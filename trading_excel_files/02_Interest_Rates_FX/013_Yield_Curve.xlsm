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8100" yWindow="-640" windowWidth="49100" windowHeight="283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US 10y - 3y" sheetId="3" state="visible" r:id="rId3"/>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6">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s>
  <fills count="5">
    <fill>
      <patternFill/>
    </fill>
    <fill>
      <patternFill patternType="gray125"/>
    </fill>
    <fill>
      <patternFill patternType="solid">
        <fgColor theme="0"/>
        <bgColor indexed="64"/>
      </patternFill>
    </fill>
    <fill>
      <patternFill patternType="solid">
        <fgColor theme="4" tint="0.7999816888943144"/>
        <bgColor indexed="64"/>
      </patternFill>
    </fill>
    <fill>
      <patternFill patternType="solid">
        <fgColor rgb="FF00B05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s>
  <cellStyleXfs count="4">
    <xf numFmtId="0" fontId="0" fillId="0" borderId="0"/>
    <xf numFmtId="0" fontId="3" fillId="0" borderId="0"/>
    <xf numFmtId="0" fontId="4" fillId="0" borderId="0"/>
    <xf numFmtId="22" fontId="4" fillId="0" borderId="0"/>
  </cellStyleXfs>
  <cellXfs count="29">
    <xf numFmtId="0" fontId="0" fillId="0" borderId="0" pivotButton="0" quotePrefix="0" xfId="0"/>
    <xf numFmtId="0" fontId="3" fillId="0" borderId="0" pivotButton="0" quotePrefix="0" xfId="1"/>
    <xf numFmtId="0" fontId="2"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0" fontId="0" fillId="2" borderId="0" applyAlignment="1" pivotButton="0" quotePrefix="0" xfId="0">
      <alignment horizontal="left" vertical="center" wrapText="1"/>
    </xf>
    <xf numFmtId="14" fontId="0" fillId="0" borderId="0" pivotButton="0" quotePrefix="0" xfId="0"/>
    <xf numFmtId="0" fontId="0" fillId="0" borderId="0" pivotButton="0" quotePrefix="0" xfId="0"/>
    <xf numFmtId="0" fontId="0" fillId="2" borderId="0" pivotButton="0" quotePrefix="0" xfId="0"/>
    <xf numFmtId="164" fontId="0" fillId="2" borderId="0" applyAlignment="1" pivotButton="0" quotePrefix="0" xfId="0">
      <alignment horizontal="left" vertical="center" wrapText="1"/>
    </xf>
    <xf numFmtId="165" fontId="0" fillId="0" borderId="0" pivotButton="0" quotePrefix="0" xfId="0"/>
    <xf numFmtId="0" fontId="2" fillId="3" borderId="1" applyAlignment="1" pivotButton="0" quotePrefix="0" xfId="0">
      <alignment horizontal="center"/>
    </xf>
    <xf numFmtId="0" fontId="0" fillId="0" borderId="5" pivotButton="0" quotePrefix="0" xfId="0"/>
    <xf numFmtId="0" fontId="0" fillId="0" borderId="6" pivotButton="0" quotePrefix="0" xfId="0"/>
    <xf numFmtId="0" fontId="2" fillId="2" borderId="2" applyAlignment="1" pivotButton="0" quotePrefix="0" xfId="0">
      <alignment horizontal="center" vertical="center"/>
    </xf>
    <xf numFmtId="0" fontId="0" fillId="2" borderId="0" pivotButton="0" quotePrefix="0" xfId="0"/>
    <xf numFmtId="0" fontId="0" fillId="0" borderId="2" pivotButton="0" quotePrefix="0" xfId="0"/>
    <xf numFmtId="0" fontId="1" fillId="4" borderId="7" applyAlignment="1" pivotButton="0" quotePrefix="0" xfId="0">
      <alignment horizontal="center"/>
    </xf>
    <xf numFmtId="0" fontId="0" fillId="0" borderId="3" pivotButton="0" quotePrefix="0" xfId="0"/>
    <xf numFmtId="0" fontId="0" fillId="0" borderId="4" pivotButton="0" quotePrefix="0" xfId="0"/>
    <xf numFmtId="0" fontId="0" fillId="2" borderId="0" applyAlignment="1" pivotButton="0" quotePrefix="0" xfId="0">
      <alignment vertical="center" wrapText="1"/>
    </xf>
    <xf numFmtId="0" fontId="3" fillId="2" borderId="0" pivotButton="0" quotePrefix="0" xfId="1"/>
    <xf numFmtId="164" fontId="0" fillId="2" borderId="0" applyAlignment="1" pivotButton="0" quotePrefix="0" xfId="0">
      <alignment horizontal="left" vertical="center" wrapText="1"/>
    </xf>
    <xf numFmtId="0" fontId="0" fillId="2" borderId="0" applyAlignment="1" pivotButton="0" quotePrefix="0" xfId="0">
      <alignment wrapText="1"/>
    </xf>
    <xf numFmtId="0" fontId="3" fillId="0" borderId="0" applyAlignment="1" pivotButton="0" quotePrefix="0" xfId="1">
      <alignment wrapText="1"/>
    </xf>
    <xf numFmtId="0" fontId="3" fillId="2" borderId="0" applyAlignment="1" pivotButton="0" quotePrefix="0" xfId="1">
      <alignment wrapText="1"/>
    </xf>
    <xf numFmtId="164" fontId="5" fillId="2" borderId="0" applyAlignment="1" pivotButton="0" quotePrefix="0" xfId="0">
      <alignment horizontal="left" vertical="center" wrapText="1"/>
    </xf>
    <xf numFmtId="166" fontId="0" fillId="0" borderId="0" pivotButton="0" quotePrefix="0" xfId="0"/>
    <xf numFmtId="166" fontId="0" fillId="0" borderId="0" pivotButton="0" quotePrefix="0" xfId="0"/>
  </cellXfs>
  <cellStyles count="4">
    <cellStyle name="Normal" xfId="0" builtinId="0"/>
    <cellStyle name="Hyperlink" xfId="1" builtinId="8"/>
    <cellStyle name="Normal 2" xfId="2"/>
    <cellStyle name="blp_datetime" xfId="3"/>
  </cellStyles>
  <dxfs count="4">
    <dxf>
      <numFmt numFmtId="0" formatCode="General"/>
    </dxf>
    <dxf>
      <numFmt numFmtId="0" formatCode="General"/>
    </dxf>
    <dxf>
      <numFmt numFmtId="0" formatCode="General"/>
    </dxf>
    <dxf>
      <numFmt numFmtId="19" formatCode="d/m/yy"/>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charts/chart1.xml><?xml version="1.0" encoding="utf-8"?>
<chartSpace xmlns="http://schemas.openxmlformats.org/drawingml/2006/chart">
  <chart>
    <title>
      <tx>
        <strRef>
          <f>Table7[[#Headers],[U.S 10y - U.S 3y]]</f>
          <strCache>
            <ptCount val="1"/>
            <pt idx="0">
              <v>U.S 10y - U.S 3y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'US 10y - 3y'!$D$2</f>
              <strCache>
                <ptCount val="1"/>
                <pt idx="0">
                  <v>U.S 10y - U.S 3y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'US 10y - 3y'!$A$12526:$A$15679</f>
              <numCache>
                <formatCode>m/d/yy</formatCode>
                <ptCount val="3154"/>
                <pt idx="0">
                  <v>40179</v>
                </pt>
                <pt idx="1">
                  <v>40182</v>
                </pt>
                <pt idx="2">
                  <v>40183</v>
                </pt>
                <pt idx="3">
                  <v>40184</v>
                </pt>
                <pt idx="4">
                  <v>40185</v>
                </pt>
                <pt idx="5">
                  <v>40186</v>
                </pt>
                <pt idx="6">
                  <v>40189</v>
                </pt>
                <pt idx="7">
                  <v>40190</v>
                </pt>
                <pt idx="8">
                  <v>40191</v>
                </pt>
                <pt idx="9">
                  <v>40192</v>
                </pt>
                <pt idx="10">
                  <v>40193</v>
                </pt>
                <pt idx="11">
                  <v>40196</v>
                </pt>
                <pt idx="12">
                  <v>40197</v>
                </pt>
                <pt idx="13">
                  <v>40198</v>
                </pt>
                <pt idx="14">
                  <v>40199</v>
                </pt>
                <pt idx="15">
                  <v>40200</v>
                </pt>
                <pt idx="16">
                  <v>40203</v>
                </pt>
                <pt idx="17">
                  <v>40204</v>
                </pt>
                <pt idx="18">
                  <v>40205</v>
                </pt>
                <pt idx="19">
                  <v>40206</v>
                </pt>
                <pt idx="20">
                  <v>40207</v>
                </pt>
                <pt idx="21">
                  <v>40210</v>
                </pt>
                <pt idx="22">
                  <v>40211</v>
                </pt>
                <pt idx="23">
                  <v>40212</v>
                </pt>
                <pt idx="24">
                  <v>40213</v>
                </pt>
                <pt idx="25">
                  <v>40214</v>
                </pt>
                <pt idx="26">
                  <v>40217</v>
                </pt>
                <pt idx="27">
                  <v>40218</v>
                </pt>
                <pt idx="28">
                  <v>40219</v>
                </pt>
                <pt idx="29">
                  <v>40220</v>
                </pt>
                <pt idx="30">
                  <v>40221</v>
                </pt>
                <pt idx="31">
                  <v>40224</v>
                </pt>
                <pt idx="32">
                  <v>40225</v>
                </pt>
                <pt idx="33">
                  <v>40226</v>
                </pt>
                <pt idx="34">
                  <v>40227</v>
                </pt>
                <pt idx="35">
                  <v>40228</v>
                </pt>
                <pt idx="36">
                  <v>40231</v>
                </pt>
                <pt idx="37">
                  <v>40232</v>
                </pt>
                <pt idx="38">
                  <v>40233</v>
                </pt>
                <pt idx="39">
                  <v>40234</v>
                </pt>
                <pt idx="40">
                  <v>40235</v>
                </pt>
                <pt idx="41">
                  <v>40238</v>
                </pt>
                <pt idx="42">
                  <v>40239</v>
                </pt>
                <pt idx="43">
                  <v>40240</v>
                </pt>
                <pt idx="44">
                  <v>40241</v>
                </pt>
                <pt idx="45">
                  <v>40242</v>
                </pt>
                <pt idx="46">
                  <v>40245</v>
                </pt>
                <pt idx="47">
                  <v>40246</v>
                </pt>
                <pt idx="48">
                  <v>40247</v>
                </pt>
                <pt idx="49">
                  <v>40248</v>
                </pt>
                <pt idx="50">
                  <v>40249</v>
                </pt>
                <pt idx="51">
                  <v>40252</v>
                </pt>
                <pt idx="52">
                  <v>40253</v>
                </pt>
                <pt idx="53">
                  <v>40254</v>
                </pt>
                <pt idx="54">
                  <v>40255</v>
                </pt>
                <pt idx="55">
                  <v>40256</v>
                </pt>
                <pt idx="56">
                  <v>40259</v>
                </pt>
                <pt idx="57">
                  <v>40260</v>
                </pt>
                <pt idx="58">
                  <v>40261</v>
                </pt>
                <pt idx="59">
                  <v>40262</v>
                </pt>
                <pt idx="60">
                  <v>40263</v>
                </pt>
                <pt idx="61">
                  <v>40266</v>
                </pt>
                <pt idx="62">
                  <v>40267</v>
                </pt>
                <pt idx="63">
                  <v>40268</v>
                </pt>
                <pt idx="64">
                  <v>40269</v>
                </pt>
                <pt idx="65">
                  <v>40270</v>
                </pt>
                <pt idx="66">
                  <v>40273</v>
                </pt>
                <pt idx="67">
                  <v>40274</v>
                </pt>
                <pt idx="68">
                  <v>40275</v>
                </pt>
                <pt idx="69">
                  <v>40276</v>
                </pt>
                <pt idx="70">
                  <v>40277</v>
                </pt>
                <pt idx="71">
                  <v>40280</v>
                </pt>
                <pt idx="72">
                  <v>40281</v>
                </pt>
                <pt idx="73">
                  <v>40282</v>
                </pt>
                <pt idx="74">
                  <v>40283</v>
                </pt>
                <pt idx="75">
                  <v>40284</v>
                </pt>
                <pt idx="76">
                  <v>40287</v>
                </pt>
                <pt idx="77">
                  <v>40288</v>
                </pt>
                <pt idx="78">
                  <v>40289</v>
                </pt>
                <pt idx="79">
                  <v>40290</v>
                </pt>
                <pt idx="80">
                  <v>40291</v>
                </pt>
                <pt idx="81">
                  <v>40294</v>
                </pt>
                <pt idx="82">
                  <v>40295</v>
                </pt>
                <pt idx="83">
                  <v>40296</v>
                </pt>
                <pt idx="84">
                  <v>40297</v>
                </pt>
                <pt idx="85">
                  <v>40298</v>
                </pt>
                <pt idx="86">
                  <v>40301</v>
                </pt>
                <pt idx="87">
                  <v>40302</v>
                </pt>
                <pt idx="88">
                  <v>40303</v>
                </pt>
                <pt idx="89">
                  <v>40304</v>
                </pt>
                <pt idx="90">
                  <v>40305</v>
                </pt>
                <pt idx="91">
                  <v>40308</v>
                </pt>
                <pt idx="92">
                  <v>40309</v>
                </pt>
                <pt idx="93">
                  <v>40310</v>
                </pt>
                <pt idx="94">
                  <v>40311</v>
                </pt>
                <pt idx="95">
                  <v>40312</v>
                </pt>
                <pt idx="96">
                  <v>40315</v>
                </pt>
                <pt idx="97">
                  <v>40316</v>
                </pt>
                <pt idx="98">
                  <v>40317</v>
                </pt>
                <pt idx="99">
                  <v>40318</v>
                </pt>
                <pt idx="100">
                  <v>40319</v>
                </pt>
                <pt idx="101">
                  <v>40322</v>
                </pt>
                <pt idx="102">
                  <v>40323</v>
                </pt>
                <pt idx="103">
                  <v>40324</v>
                </pt>
                <pt idx="104">
                  <v>40325</v>
                </pt>
                <pt idx="105">
                  <v>40326</v>
                </pt>
                <pt idx="106">
                  <v>40329</v>
                </pt>
                <pt idx="107">
                  <v>40330</v>
                </pt>
                <pt idx="108">
                  <v>40331</v>
                </pt>
                <pt idx="109">
                  <v>40332</v>
                </pt>
                <pt idx="110">
                  <v>40333</v>
                </pt>
                <pt idx="111">
                  <v>40336</v>
                </pt>
                <pt idx="112">
                  <v>40337</v>
                </pt>
                <pt idx="113">
                  <v>40338</v>
                </pt>
                <pt idx="114">
                  <v>40339</v>
                </pt>
                <pt idx="115">
                  <v>40340</v>
                </pt>
                <pt idx="116">
                  <v>40343</v>
                </pt>
                <pt idx="117">
                  <v>40344</v>
                </pt>
                <pt idx="118">
                  <v>40345</v>
                </pt>
                <pt idx="119">
                  <v>40346</v>
                </pt>
                <pt idx="120">
                  <v>40347</v>
                </pt>
                <pt idx="121">
                  <v>40350</v>
                </pt>
                <pt idx="122">
                  <v>40351</v>
                </pt>
                <pt idx="123">
                  <v>40352</v>
                </pt>
                <pt idx="124">
                  <v>40353</v>
                </pt>
                <pt idx="125">
                  <v>40354</v>
                </pt>
                <pt idx="126">
                  <v>40357</v>
                </pt>
                <pt idx="127">
                  <v>40358</v>
                </pt>
                <pt idx="128">
                  <v>40359</v>
                </pt>
                <pt idx="129">
                  <v>40360</v>
                </pt>
                <pt idx="130">
                  <v>40361</v>
                </pt>
                <pt idx="131">
                  <v>40364</v>
                </pt>
                <pt idx="132">
                  <v>40365</v>
                </pt>
                <pt idx="133">
                  <v>40366</v>
                </pt>
                <pt idx="134">
                  <v>40367</v>
                </pt>
                <pt idx="135">
                  <v>40368</v>
                </pt>
                <pt idx="136">
                  <v>40371</v>
                </pt>
                <pt idx="137">
                  <v>40372</v>
                </pt>
                <pt idx="138">
                  <v>40373</v>
                </pt>
                <pt idx="139">
                  <v>40374</v>
                </pt>
                <pt idx="140">
                  <v>40375</v>
                </pt>
                <pt idx="141">
                  <v>40378</v>
                </pt>
                <pt idx="142">
                  <v>40379</v>
                </pt>
                <pt idx="143">
                  <v>40380</v>
                </pt>
                <pt idx="144">
                  <v>40381</v>
                </pt>
                <pt idx="145">
                  <v>40382</v>
                </pt>
                <pt idx="146">
                  <v>40385</v>
                </pt>
                <pt idx="147">
                  <v>40386</v>
                </pt>
                <pt idx="148">
                  <v>40387</v>
                </pt>
                <pt idx="149">
                  <v>40388</v>
                </pt>
                <pt idx="150">
                  <v>40389</v>
                </pt>
                <pt idx="151">
                  <v>40392</v>
                </pt>
                <pt idx="152">
                  <v>40393</v>
                </pt>
                <pt idx="153">
                  <v>40394</v>
                </pt>
                <pt idx="154">
                  <v>40395</v>
                </pt>
                <pt idx="155">
                  <v>40396</v>
                </pt>
                <pt idx="156">
                  <v>40399</v>
                </pt>
                <pt idx="157">
                  <v>40400</v>
                </pt>
                <pt idx="158">
                  <v>40401</v>
                </pt>
                <pt idx="159">
                  <v>40402</v>
                </pt>
                <pt idx="160">
                  <v>40403</v>
                </pt>
                <pt idx="161">
                  <v>40406</v>
                </pt>
                <pt idx="162">
                  <v>40407</v>
                </pt>
                <pt idx="163">
                  <v>40408</v>
                </pt>
                <pt idx="164">
                  <v>40409</v>
                </pt>
                <pt idx="165">
                  <v>40410</v>
                </pt>
                <pt idx="166">
                  <v>40413</v>
                </pt>
                <pt idx="167">
                  <v>40414</v>
                </pt>
                <pt idx="168">
                  <v>40415</v>
                </pt>
                <pt idx="169">
                  <v>40416</v>
                </pt>
                <pt idx="170">
                  <v>40417</v>
                </pt>
                <pt idx="171">
                  <v>40420</v>
                </pt>
                <pt idx="172">
                  <v>40421</v>
                </pt>
                <pt idx="173">
                  <v>40422</v>
                </pt>
                <pt idx="174">
                  <v>40423</v>
                </pt>
                <pt idx="175">
                  <v>40424</v>
                </pt>
                <pt idx="176">
                  <v>40427</v>
                </pt>
                <pt idx="177">
                  <v>40428</v>
                </pt>
                <pt idx="178">
                  <v>40429</v>
                </pt>
                <pt idx="179">
                  <v>40430</v>
                </pt>
                <pt idx="180">
                  <v>40431</v>
                </pt>
                <pt idx="181">
                  <v>40434</v>
                </pt>
                <pt idx="182">
                  <v>40435</v>
                </pt>
                <pt idx="183">
                  <v>40436</v>
                </pt>
                <pt idx="184">
                  <v>40437</v>
                </pt>
                <pt idx="185">
                  <v>40438</v>
                </pt>
                <pt idx="186">
                  <v>40441</v>
                </pt>
                <pt idx="187">
                  <v>40442</v>
                </pt>
                <pt idx="188">
                  <v>40443</v>
                </pt>
                <pt idx="189">
                  <v>40444</v>
                </pt>
                <pt idx="190">
                  <v>40445</v>
                </pt>
                <pt idx="191">
                  <v>40448</v>
                </pt>
                <pt idx="192">
                  <v>40449</v>
                </pt>
                <pt idx="193">
                  <v>40450</v>
                </pt>
                <pt idx="194">
                  <v>40451</v>
                </pt>
                <pt idx="195">
                  <v>40452</v>
                </pt>
                <pt idx="196">
                  <v>40455</v>
                </pt>
                <pt idx="197">
                  <v>40456</v>
                </pt>
                <pt idx="198">
                  <v>40457</v>
                </pt>
                <pt idx="199">
                  <v>40458</v>
                </pt>
                <pt idx="200">
                  <v>40459</v>
                </pt>
                <pt idx="201">
                  <v>40462</v>
                </pt>
                <pt idx="202">
                  <v>40463</v>
                </pt>
                <pt idx="203">
                  <v>40464</v>
                </pt>
                <pt idx="204">
                  <v>40465</v>
                </pt>
                <pt idx="205">
                  <v>40466</v>
                </pt>
                <pt idx="206">
                  <v>40469</v>
                </pt>
                <pt idx="207">
                  <v>40470</v>
                </pt>
                <pt idx="208">
                  <v>40471</v>
                </pt>
                <pt idx="209">
                  <v>40472</v>
                </pt>
                <pt idx="210">
                  <v>40473</v>
                </pt>
                <pt idx="211">
                  <v>40476</v>
                </pt>
                <pt idx="212">
                  <v>40477</v>
                </pt>
                <pt idx="213">
                  <v>40478</v>
                </pt>
                <pt idx="214">
                  <v>40479</v>
                </pt>
                <pt idx="215">
                  <v>40480</v>
                </pt>
                <pt idx="216">
                  <v>40483</v>
                </pt>
                <pt idx="217">
                  <v>40484</v>
                </pt>
                <pt idx="218">
                  <v>40485</v>
                </pt>
                <pt idx="219">
                  <v>40486</v>
                </pt>
                <pt idx="220">
                  <v>40487</v>
                </pt>
                <pt idx="221">
                  <v>40490</v>
                </pt>
                <pt idx="222">
                  <v>40491</v>
                </pt>
                <pt idx="223">
                  <v>40492</v>
                </pt>
                <pt idx="224">
                  <v>40493</v>
                </pt>
                <pt idx="225">
                  <v>40494</v>
                </pt>
                <pt idx="226">
                  <v>40497</v>
                </pt>
                <pt idx="227">
                  <v>40498</v>
                </pt>
                <pt idx="228">
                  <v>40499</v>
                </pt>
                <pt idx="229">
                  <v>40500</v>
                </pt>
                <pt idx="230">
                  <v>40501</v>
                </pt>
                <pt idx="231">
                  <v>40504</v>
                </pt>
                <pt idx="232">
                  <v>40505</v>
                </pt>
                <pt idx="233">
                  <v>40506</v>
                </pt>
                <pt idx="234">
                  <v>40507</v>
                </pt>
                <pt idx="235">
                  <v>40508</v>
                </pt>
                <pt idx="236">
                  <v>40511</v>
                </pt>
                <pt idx="237">
                  <v>40512</v>
                </pt>
                <pt idx="238">
                  <v>40513</v>
                </pt>
                <pt idx="239">
                  <v>40514</v>
                </pt>
                <pt idx="240">
                  <v>40515</v>
                </pt>
                <pt idx="241">
                  <v>40518</v>
                </pt>
                <pt idx="242">
                  <v>40519</v>
                </pt>
                <pt idx="243">
                  <v>40520</v>
                </pt>
                <pt idx="244">
                  <v>40521</v>
                </pt>
                <pt idx="245">
                  <v>40522</v>
                </pt>
                <pt idx="246">
                  <v>40525</v>
                </pt>
                <pt idx="247">
                  <v>40526</v>
                </pt>
                <pt idx="248">
                  <v>40527</v>
                </pt>
                <pt idx="249">
                  <v>40528</v>
                </pt>
                <pt idx="250">
                  <v>40529</v>
                </pt>
                <pt idx="251">
                  <v>40532</v>
                </pt>
                <pt idx="252">
                  <v>40533</v>
                </pt>
                <pt idx="253">
                  <v>40534</v>
                </pt>
                <pt idx="254">
                  <v>40535</v>
                </pt>
                <pt idx="255">
                  <v>40536</v>
                </pt>
                <pt idx="256">
                  <v>40539</v>
                </pt>
                <pt idx="257">
                  <v>40540</v>
                </pt>
                <pt idx="258">
                  <v>40541</v>
                </pt>
                <pt idx="259">
                  <v>40542</v>
                </pt>
                <pt idx="260">
                  <v>40543</v>
                </pt>
                <pt idx="261">
                  <v>40546</v>
                </pt>
                <pt idx="262">
                  <v>40547</v>
                </pt>
                <pt idx="263">
                  <v>40548</v>
                </pt>
                <pt idx="264">
                  <v>40549</v>
                </pt>
                <pt idx="265">
                  <v>40550</v>
                </pt>
                <pt idx="266">
                  <v>40553</v>
                </pt>
                <pt idx="267">
                  <v>40554</v>
                </pt>
                <pt idx="268">
                  <v>40555</v>
                </pt>
                <pt idx="269">
                  <v>40556</v>
                </pt>
                <pt idx="270">
                  <v>40557</v>
                </pt>
                <pt idx="271">
                  <v>40560</v>
                </pt>
                <pt idx="272">
                  <v>40561</v>
                </pt>
                <pt idx="273">
                  <v>40562</v>
                </pt>
                <pt idx="274">
                  <v>40563</v>
                </pt>
                <pt idx="275">
                  <v>40564</v>
                </pt>
                <pt idx="276">
                  <v>40567</v>
                </pt>
                <pt idx="277">
                  <v>40568</v>
                </pt>
                <pt idx="278">
                  <v>40569</v>
                </pt>
                <pt idx="279">
                  <v>40570</v>
                </pt>
                <pt idx="280">
                  <v>40571</v>
                </pt>
                <pt idx="281">
                  <v>40574</v>
                </pt>
                <pt idx="282">
                  <v>40575</v>
                </pt>
                <pt idx="283">
                  <v>40576</v>
                </pt>
                <pt idx="284">
                  <v>40577</v>
                </pt>
                <pt idx="285">
                  <v>40578</v>
                </pt>
                <pt idx="286">
                  <v>40581</v>
                </pt>
                <pt idx="287">
                  <v>40582</v>
                </pt>
                <pt idx="288">
                  <v>40583</v>
                </pt>
                <pt idx="289">
                  <v>40584</v>
                </pt>
                <pt idx="290">
                  <v>40585</v>
                </pt>
                <pt idx="291">
                  <v>40588</v>
                </pt>
                <pt idx="292">
                  <v>40589</v>
                </pt>
                <pt idx="293">
                  <v>40590</v>
                </pt>
                <pt idx="294">
                  <v>40591</v>
                </pt>
                <pt idx="295">
                  <v>40592</v>
                </pt>
                <pt idx="296">
                  <v>40595</v>
                </pt>
                <pt idx="297">
                  <v>40596</v>
                </pt>
                <pt idx="298">
                  <v>40597</v>
                </pt>
                <pt idx="299">
                  <v>40598</v>
                </pt>
                <pt idx="300">
                  <v>40599</v>
                </pt>
                <pt idx="301">
                  <v>40602</v>
                </pt>
                <pt idx="302">
                  <v>40603</v>
                </pt>
                <pt idx="303">
                  <v>40604</v>
                </pt>
                <pt idx="304">
                  <v>40605</v>
                </pt>
                <pt idx="305">
                  <v>40606</v>
                </pt>
                <pt idx="306">
                  <v>40609</v>
                </pt>
                <pt idx="307">
                  <v>40610</v>
                </pt>
                <pt idx="308">
                  <v>40611</v>
                </pt>
                <pt idx="309">
                  <v>40612</v>
                </pt>
                <pt idx="310">
                  <v>40613</v>
                </pt>
                <pt idx="311">
                  <v>40616</v>
                </pt>
                <pt idx="312">
                  <v>40617</v>
                </pt>
                <pt idx="313">
                  <v>40618</v>
                </pt>
                <pt idx="314">
                  <v>40619</v>
                </pt>
                <pt idx="315">
                  <v>40620</v>
                </pt>
                <pt idx="316">
                  <v>40623</v>
                </pt>
                <pt idx="317">
                  <v>40624</v>
                </pt>
                <pt idx="318">
                  <v>40625</v>
                </pt>
                <pt idx="319">
                  <v>40626</v>
                </pt>
                <pt idx="320">
                  <v>40627</v>
                </pt>
                <pt idx="321">
                  <v>40630</v>
                </pt>
                <pt idx="322">
                  <v>40631</v>
                </pt>
                <pt idx="323">
                  <v>40632</v>
                </pt>
                <pt idx="324">
                  <v>40633</v>
                </pt>
                <pt idx="325">
                  <v>40634</v>
                </pt>
                <pt idx="326">
                  <v>40637</v>
                </pt>
                <pt idx="327">
                  <v>40638</v>
                </pt>
                <pt idx="328">
                  <v>40639</v>
                </pt>
                <pt idx="329">
                  <v>40640</v>
                </pt>
                <pt idx="330">
                  <v>40641</v>
                </pt>
                <pt idx="331">
                  <v>40644</v>
                </pt>
                <pt idx="332">
                  <v>40645</v>
                </pt>
                <pt idx="333">
                  <v>40646</v>
                </pt>
                <pt idx="334">
                  <v>40647</v>
                </pt>
                <pt idx="335">
                  <v>40648</v>
                </pt>
                <pt idx="336">
                  <v>40651</v>
                </pt>
                <pt idx="337">
                  <v>40652</v>
                </pt>
                <pt idx="338">
                  <v>40653</v>
                </pt>
                <pt idx="339">
                  <v>40654</v>
                </pt>
                <pt idx="340">
                  <v>40655</v>
                </pt>
                <pt idx="341">
                  <v>40658</v>
                </pt>
                <pt idx="342">
                  <v>40659</v>
                </pt>
                <pt idx="343">
                  <v>40660</v>
                </pt>
                <pt idx="344">
                  <v>40661</v>
                </pt>
                <pt idx="345">
                  <v>40662</v>
                </pt>
                <pt idx="346">
                  <v>40665</v>
                </pt>
                <pt idx="347">
                  <v>40666</v>
                </pt>
                <pt idx="348">
                  <v>40667</v>
                </pt>
                <pt idx="349">
                  <v>40668</v>
                </pt>
                <pt idx="350">
                  <v>40669</v>
                </pt>
                <pt idx="351">
                  <v>40672</v>
                </pt>
                <pt idx="352">
                  <v>40673</v>
                </pt>
                <pt idx="353">
                  <v>40674</v>
                </pt>
                <pt idx="354">
                  <v>40675</v>
                </pt>
                <pt idx="355">
                  <v>40676</v>
                </pt>
                <pt idx="356">
                  <v>40679</v>
                </pt>
                <pt idx="357">
                  <v>40680</v>
                </pt>
                <pt idx="358">
                  <v>40681</v>
                </pt>
                <pt idx="359">
                  <v>40682</v>
                </pt>
                <pt idx="360">
                  <v>40683</v>
                </pt>
                <pt idx="361">
                  <v>40686</v>
                </pt>
                <pt idx="362">
                  <v>40687</v>
                </pt>
                <pt idx="363">
                  <v>40688</v>
                </pt>
                <pt idx="364">
                  <v>40689</v>
                </pt>
                <pt idx="365">
                  <v>40690</v>
                </pt>
                <pt idx="366">
                  <v>40693</v>
                </pt>
                <pt idx="367">
                  <v>40694</v>
                </pt>
                <pt idx="368">
                  <v>40695</v>
                </pt>
                <pt idx="369">
                  <v>40696</v>
                </pt>
                <pt idx="370">
                  <v>40697</v>
                </pt>
                <pt idx="371">
                  <v>40700</v>
                </pt>
                <pt idx="372">
                  <v>40701</v>
                </pt>
                <pt idx="373">
                  <v>40702</v>
                </pt>
                <pt idx="374">
                  <v>40703</v>
                </pt>
                <pt idx="375">
                  <v>40704</v>
                </pt>
                <pt idx="376">
                  <v>40707</v>
                </pt>
                <pt idx="377">
                  <v>40708</v>
                </pt>
                <pt idx="378">
                  <v>40709</v>
                </pt>
                <pt idx="379">
                  <v>40710</v>
                </pt>
                <pt idx="380">
                  <v>40711</v>
                </pt>
                <pt idx="381">
                  <v>40714</v>
                </pt>
                <pt idx="382">
                  <v>40715</v>
                </pt>
                <pt idx="383">
                  <v>40716</v>
                </pt>
                <pt idx="384">
                  <v>40717</v>
                </pt>
                <pt idx="385">
                  <v>40718</v>
                </pt>
                <pt idx="386">
                  <v>40721</v>
                </pt>
                <pt idx="387">
                  <v>40722</v>
                </pt>
                <pt idx="388">
                  <v>40723</v>
                </pt>
                <pt idx="389">
                  <v>40724</v>
                </pt>
                <pt idx="390">
                  <v>40725</v>
                </pt>
                <pt idx="391">
                  <v>40728</v>
                </pt>
                <pt idx="392">
                  <v>40729</v>
                </pt>
                <pt idx="393">
                  <v>40730</v>
                </pt>
                <pt idx="394">
                  <v>40731</v>
                </pt>
                <pt idx="395">
                  <v>40732</v>
                </pt>
                <pt idx="396">
                  <v>40735</v>
                </pt>
                <pt idx="397">
                  <v>40736</v>
                </pt>
                <pt idx="398">
                  <v>40737</v>
                </pt>
                <pt idx="399">
                  <v>40738</v>
                </pt>
                <pt idx="400">
                  <v>40739</v>
                </pt>
                <pt idx="401">
                  <v>40742</v>
                </pt>
                <pt idx="402">
                  <v>40743</v>
                </pt>
                <pt idx="403">
                  <v>40744</v>
                </pt>
                <pt idx="404">
                  <v>40745</v>
                </pt>
                <pt idx="405">
                  <v>40746</v>
                </pt>
                <pt idx="406">
                  <v>40749</v>
                </pt>
                <pt idx="407">
                  <v>40750</v>
                </pt>
                <pt idx="408">
                  <v>40751</v>
                </pt>
                <pt idx="409">
                  <v>40752</v>
                </pt>
                <pt idx="410">
                  <v>40753</v>
                </pt>
                <pt idx="411">
                  <v>40756</v>
                </pt>
                <pt idx="412">
                  <v>40757</v>
                </pt>
                <pt idx="413">
                  <v>40758</v>
                </pt>
                <pt idx="414">
                  <v>40759</v>
                </pt>
                <pt idx="415">
                  <v>40760</v>
                </pt>
                <pt idx="416">
                  <v>40763</v>
                </pt>
                <pt idx="417">
                  <v>40764</v>
                </pt>
                <pt idx="418">
                  <v>40765</v>
                </pt>
                <pt idx="419">
                  <v>40766</v>
                </pt>
                <pt idx="420">
                  <v>40767</v>
                </pt>
                <pt idx="421">
                  <v>40770</v>
                </pt>
                <pt idx="422">
                  <v>40771</v>
                </pt>
                <pt idx="423">
                  <v>40772</v>
                </pt>
                <pt idx="424">
                  <v>40773</v>
                </pt>
                <pt idx="425">
                  <v>40774</v>
                </pt>
                <pt idx="426">
                  <v>40777</v>
                </pt>
                <pt idx="427">
                  <v>40778</v>
                </pt>
                <pt idx="428">
                  <v>40779</v>
                </pt>
                <pt idx="429">
                  <v>40780</v>
                </pt>
                <pt idx="430">
                  <v>40781</v>
                </pt>
                <pt idx="431">
                  <v>40784</v>
                </pt>
                <pt idx="432">
                  <v>40785</v>
                </pt>
                <pt idx="433">
                  <v>40786</v>
                </pt>
                <pt idx="434">
                  <v>40787</v>
                </pt>
                <pt idx="435">
                  <v>40788</v>
                </pt>
                <pt idx="436">
                  <v>40791</v>
                </pt>
                <pt idx="437">
                  <v>40792</v>
                </pt>
                <pt idx="438">
                  <v>40793</v>
                </pt>
                <pt idx="439">
                  <v>40794</v>
                </pt>
                <pt idx="440">
                  <v>40795</v>
                </pt>
                <pt idx="441">
                  <v>40798</v>
                </pt>
                <pt idx="442">
                  <v>40799</v>
                </pt>
                <pt idx="443">
                  <v>40800</v>
                </pt>
                <pt idx="444">
                  <v>40801</v>
                </pt>
                <pt idx="445">
                  <v>40802</v>
                </pt>
                <pt idx="446">
                  <v>40805</v>
                </pt>
                <pt idx="447">
                  <v>40806</v>
                </pt>
                <pt idx="448">
                  <v>40807</v>
                </pt>
                <pt idx="449">
                  <v>40808</v>
                </pt>
                <pt idx="450">
                  <v>40809</v>
                </pt>
                <pt idx="451">
                  <v>40812</v>
                </pt>
                <pt idx="452">
                  <v>40813</v>
                </pt>
                <pt idx="453">
                  <v>40814</v>
                </pt>
                <pt idx="454">
                  <v>40815</v>
                </pt>
                <pt idx="455">
                  <v>40816</v>
                </pt>
                <pt idx="456">
                  <v>40819</v>
                </pt>
                <pt idx="457">
                  <v>40820</v>
                </pt>
                <pt idx="458">
                  <v>40821</v>
                </pt>
                <pt idx="459">
                  <v>40822</v>
                </pt>
                <pt idx="460">
                  <v>40823</v>
                </pt>
                <pt idx="461">
                  <v>40826</v>
                </pt>
                <pt idx="462">
                  <v>40827</v>
                </pt>
                <pt idx="463">
                  <v>40828</v>
                </pt>
                <pt idx="464">
                  <v>40829</v>
                </pt>
                <pt idx="465">
                  <v>40830</v>
                </pt>
                <pt idx="466">
                  <v>40833</v>
                </pt>
                <pt idx="467">
                  <v>40834</v>
                </pt>
                <pt idx="468">
                  <v>40835</v>
                </pt>
                <pt idx="469">
                  <v>40836</v>
                </pt>
                <pt idx="470">
                  <v>40837</v>
                </pt>
                <pt idx="471">
                  <v>40840</v>
                </pt>
                <pt idx="472">
                  <v>40841</v>
                </pt>
                <pt idx="473">
                  <v>40842</v>
                </pt>
                <pt idx="474">
                  <v>40843</v>
                </pt>
                <pt idx="475">
                  <v>40844</v>
                </pt>
                <pt idx="476">
                  <v>40847</v>
                </pt>
                <pt idx="477">
                  <v>40848</v>
                </pt>
                <pt idx="478">
                  <v>40849</v>
                </pt>
                <pt idx="479">
                  <v>40850</v>
                </pt>
                <pt idx="480">
                  <v>40851</v>
                </pt>
                <pt idx="481">
                  <v>40854</v>
                </pt>
                <pt idx="482">
                  <v>40855</v>
                </pt>
                <pt idx="483">
                  <v>40856</v>
                </pt>
                <pt idx="484">
                  <v>40857</v>
                </pt>
                <pt idx="485">
                  <v>40858</v>
                </pt>
                <pt idx="486">
                  <v>40861</v>
                </pt>
                <pt idx="487">
                  <v>40862</v>
                </pt>
                <pt idx="488">
                  <v>40863</v>
                </pt>
                <pt idx="489">
                  <v>40864</v>
                </pt>
                <pt idx="490">
                  <v>40865</v>
                </pt>
                <pt idx="491">
                  <v>40868</v>
                </pt>
                <pt idx="492">
                  <v>40869</v>
                </pt>
                <pt idx="493">
                  <v>40870</v>
                </pt>
                <pt idx="494">
                  <v>40871</v>
                </pt>
                <pt idx="495">
                  <v>40872</v>
                </pt>
                <pt idx="496">
                  <v>40875</v>
                </pt>
                <pt idx="497">
                  <v>40876</v>
                </pt>
                <pt idx="498">
                  <v>40877</v>
                </pt>
                <pt idx="499">
                  <v>40878</v>
                </pt>
                <pt idx="500">
                  <v>40879</v>
                </pt>
                <pt idx="501">
                  <v>40882</v>
                </pt>
                <pt idx="502">
                  <v>40883</v>
                </pt>
                <pt idx="503">
                  <v>40884</v>
                </pt>
                <pt idx="504">
                  <v>40885</v>
                </pt>
                <pt idx="505">
                  <v>40886</v>
                </pt>
                <pt idx="506">
                  <v>40889</v>
                </pt>
                <pt idx="507">
                  <v>40890</v>
                </pt>
                <pt idx="508">
                  <v>40891</v>
                </pt>
                <pt idx="509">
                  <v>40892</v>
                </pt>
                <pt idx="510">
                  <v>40893</v>
                </pt>
                <pt idx="511">
                  <v>40896</v>
                </pt>
                <pt idx="512">
                  <v>40897</v>
                </pt>
                <pt idx="513">
                  <v>40898</v>
                </pt>
                <pt idx="514">
                  <v>40899</v>
                </pt>
                <pt idx="515">
                  <v>40900</v>
                </pt>
                <pt idx="516">
                  <v>40903</v>
                </pt>
                <pt idx="517">
                  <v>40904</v>
                </pt>
                <pt idx="518">
                  <v>40905</v>
                </pt>
                <pt idx="519">
                  <v>40906</v>
                </pt>
                <pt idx="520">
                  <v>40907</v>
                </pt>
                <pt idx="521">
                  <v>40910</v>
                </pt>
                <pt idx="522">
                  <v>40911</v>
                </pt>
                <pt idx="523">
                  <v>40912</v>
                </pt>
                <pt idx="524">
                  <v>40913</v>
                </pt>
                <pt idx="525">
                  <v>40914</v>
                </pt>
                <pt idx="526">
                  <v>40917</v>
                </pt>
                <pt idx="527">
                  <v>40918</v>
                </pt>
                <pt idx="528">
                  <v>40919</v>
                </pt>
                <pt idx="529">
                  <v>40920</v>
                </pt>
                <pt idx="530">
                  <v>40921</v>
                </pt>
                <pt idx="531">
                  <v>40924</v>
                </pt>
                <pt idx="532">
                  <v>40925</v>
                </pt>
                <pt idx="533">
                  <v>40926</v>
                </pt>
                <pt idx="534">
                  <v>40927</v>
                </pt>
                <pt idx="535">
                  <v>40928</v>
                </pt>
                <pt idx="536">
                  <v>40931</v>
                </pt>
                <pt idx="537">
                  <v>40932</v>
                </pt>
                <pt idx="538">
                  <v>40933</v>
                </pt>
                <pt idx="539">
                  <v>40934</v>
                </pt>
                <pt idx="540">
                  <v>40935</v>
                </pt>
                <pt idx="541">
                  <v>40938</v>
                </pt>
                <pt idx="542">
                  <v>40939</v>
                </pt>
                <pt idx="543">
                  <v>40940</v>
                </pt>
                <pt idx="544">
                  <v>40941</v>
                </pt>
                <pt idx="545">
                  <v>40942</v>
                </pt>
                <pt idx="546">
                  <v>40945</v>
                </pt>
                <pt idx="547">
                  <v>40946</v>
                </pt>
                <pt idx="548">
                  <v>40947</v>
                </pt>
                <pt idx="549">
                  <v>40948</v>
                </pt>
                <pt idx="550">
                  <v>40949</v>
                </pt>
                <pt idx="551">
                  <v>40952</v>
                </pt>
                <pt idx="552">
                  <v>40953</v>
                </pt>
                <pt idx="553">
                  <v>40954</v>
                </pt>
                <pt idx="554">
                  <v>40955</v>
                </pt>
                <pt idx="555">
                  <v>40956</v>
                </pt>
                <pt idx="556">
                  <v>40959</v>
                </pt>
                <pt idx="557">
                  <v>40960</v>
                </pt>
                <pt idx="558">
                  <v>40961</v>
                </pt>
                <pt idx="559">
                  <v>40962</v>
                </pt>
                <pt idx="560">
                  <v>40963</v>
                </pt>
                <pt idx="561">
                  <v>40966</v>
                </pt>
                <pt idx="562">
                  <v>40967</v>
                </pt>
                <pt idx="563">
                  <v>40968</v>
                </pt>
                <pt idx="564">
                  <v>40969</v>
                </pt>
                <pt idx="565">
                  <v>40970</v>
                </pt>
                <pt idx="566">
                  <v>40973</v>
                </pt>
                <pt idx="567">
                  <v>40974</v>
                </pt>
                <pt idx="568">
                  <v>40975</v>
                </pt>
                <pt idx="569">
                  <v>40976</v>
                </pt>
                <pt idx="570">
                  <v>40977</v>
                </pt>
                <pt idx="571">
                  <v>40980</v>
                </pt>
                <pt idx="572">
                  <v>40981</v>
                </pt>
                <pt idx="573">
                  <v>40982</v>
                </pt>
                <pt idx="574">
                  <v>40983</v>
                </pt>
                <pt idx="575">
                  <v>40984</v>
                </pt>
                <pt idx="576">
                  <v>40987</v>
                </pt>
                <pt idx="577">
                  <v>40988</v>
                </pt>
                <pt idx="578">
                  <v>40989</v>
                </pt>
                <pt idx="579">
                  <v>40990</v>
                </pt>
                <pt idx="580">
                  <v>40991</v>
                </pt>
                <pt idx="581">
                  <v>40994</v>
                </pt>
                <pt idx="582">
                  <v>40995</v>
                </pt>
                <pt idx="583">
                  <v>40996</v>
                </pt>
                <pt idx="584">
                  <v>40997</v>
                </pt>
                <pt idx="585">
                  <v>40998</v>
                </pt>
                <pt idx="586">
                  <v>41001</v>
                </pt>
                <pt idx="587">
                  <v>41002</v>
                </pt>
                <pt idx="588">
                  <v>41003</v>
                </pt>
                <pt idx="589">
                  <v>41004</v>
                </pt>
                <pt idx="590">
                  <v>41005</v>
                </pt>
                <pt idx="591">
                  <v>41008</v>
                </pt>
                <pt idx="592">
                  <v>41009</v>
                </pt>
                <pt idx="593">
                  <v>41010</v>
                </pt>
                <pt idx="594">
                  <v>41011</v>
                </pt>
                <pt idx="595">
                  <v>41012</v>
                </pt>
                <pt idx="596">
                  <v>41015</v>
                </pt>
                <pt idx="597">
                  <v>41016</v>
                </pt>
                <pt idx="598">
                  <v>41017</v>
                </pt>
                <pt idx="599">
                  <v>41018</v>
                </pt>
                <pt idx="600">
                  <v>41019</v>
                </pt>
                <pt idx="601">
                  <v>41022</v>
                </pt>
                <pt idx="602">
                  <v>41023</v>
                </pt>
                <pt idx="603">
                  <v>41024</v>
                </pt>
                <pt idx="604">
                  <v>41025</v>
                </pt>
                <pt idx="605">
                  <v>41026</v>
                </pt>
                <pt idx="606">
                  <v>41029</v>
                </pt>
                <pt idx="607">
                  <v>41030</v>
                </pt>
                <pt idx="608">
                  <v>41031</v>
                </pt>
                <pt idx="609">
                  <v>41032</v>
                </pt>
                <pt idx="610">
                  <v>41033</v>
                </pt>
                <pt idx="611">
                  <v>41036</v>
                </pt>
                <pt idx="612">
                  <v>41037</v>
                </pt>
                <pt idx="613">
                  <v>41038</v>
                </pt>
                <pt idx="614">
                  <v>41039</v>
                </pt>
                <pt idx="615">
                  <v>41040</v>
                </pt>
                <pt idx="616">
                  <v>41043</v>
                </pt>
                <pt idx="617">
                  <v>41044</v>
                </pt>
                <pt idx="618">
                  <v>41045</v>
                </pt>
                <pt idx="619">
                  <v>41046</v>
                </pt>
                <pt idx="620">
                  <v>41047</v>
                </pt>
                <pt idx="621">
                  <v>41050</v>
                </pt>
                <pt idx="622">
                  <v>41051</v>
                </pt>
                <pt idx="623">
                  <v>41052</v>
                </pt>
                <pt idx="624">
                  <v>41053</v>
                </pt>
                <pt idx="625">
                  <v>41054</v>
                </pt>
                <pt idx="626">
                  <v>41057</v>
                </pt>
                <pt idx="627">
                  <v>41058</v>
                </pt>
                <pt idx="628">
                  <v>41059</v>
                </pt>
                <pt idx="629">
                  <v>41060</v>
                </pt>
                <pt idx="630">
                  <v>41061</v>
                </pt>
                <pt idx="631">
                  <v>41064</v>
                </pt>
                <pt idx="632">
                  <v>41065</v>
                </pt>
                <pt idx="633">
                  <v>41066</v>
                </pt>
                <pt idx="634">
                  <v>41067</v>
                </pt>
                <pt idx="635">
                  <v>41068</v>
                </pt>
                <pt idx="636">
                  <v>41071</v>
                </pt>
                <pt idx="637">
                  <v>41072</v>
                </pt>
                <pt idx="638">
                  <v>41073</v>
                </pt>
                <pt idx="639">
                  <v>41074</v>
                </pt>
                <pt idx="640">
                  <v>41075</v>
                </pt>
                <pt idx="641">
                  <v>41078</v>
                </pt>
                <pt idx="642">
                  <v>41079</v>
                </pt>
                <pt idx="643">
                  <v>41080</v>
                </pt>
                <pt idx="644">
                  <v>41081</v>
                </pt>
                <pt idx="645">
                  <v>41082</v>
                </pt>
                <pt idx="646">
                  <v>41085</v>
                </pt>
                <pt idx="647">
                  <v>41086</v>
                </pt>
                <pt idx="648">
                  <v>41087</v>
                </pt>
                <pt idx="649">
                  <v>41088</v>
                </pt>
                <pt idx="650">
                  <v>41089</v>
                </pt>
                <pt idx="651">
                  <v>41092</v>
                </pt>
                <pt idx="652">
                  <v>41093</v>
                </pt>
                <pt idx="653">
                  <v>41094</v>
                </pt>
                <pt idx="654">
                  <v>41095</v>
                </pt>
                <pt idx="655">
                  <v>41096</v>
                </pt>
                <pt idx="656">
                  <v>41099</v>
                </pt>
                <pt idx="657">
                  <v>41100</v>
                </pt>
                <pt idx="658">
                  <v>41101</v>
                </pt>
                <pt idx="659">
                  <v>41102</v>
                </pt>
                <pt idx="660">
                  <v>41103</v>
                </pt>
                <pt idx="661">
                  <v>41106</v>
                </pt>
                <pt idx="662">
                  <v>41107</v>
                </pt>
                <pt idx="663">
                  <v>41108</v>
                </pt>
                <pt idx="664">
                  <v>41109</v>
                </pt>
                <pt idx="665">
                  <v>41110</v>
                </pt>
                <pt idx="666">
                  <v>41113</v>
                </pt>
                <pt idx="667">
                  <v>41114</v>
                </pt>
                <pt idx="668">
                  <v>41115</v>
                </pt>
                <pt idx="669">
                  <v>41116</v>
                </pt>
                <pt idx="670">
                  <v>41117</v>
                </pt>
                <pt idx="671">
                  <v>41120</v>
                </pt>
                <pt idx="672">
                  <v>41121</v>
                </pt>
                <pt idx="673">
                  <v>41122</v>
                </pt>
                <pt idx="674">
                  <v>41123</v>
                </pt>
                <pt idx="675">
                  <v>41124</v>
                </pt>
                <pt idx="676">
                  <v>41127</v>
                </pt>
                <pt idx="677">
                  <v>41128</v>
                </pt>
                <pt idx="678">
                  <v>41129</v>
                </pt>
                <pt idx="679">
                  <v>41130</v>
                </pt>
                <pt idx="680">
                  <v>41131</v>
                </pt>
                <pt idx="681">
                  <v>41134</v>
                </pt>
                <pt idx="682">
                  <v>41135</v>
                </pt>
                <pt idx="683">
                  <v>41136</v>
                </pt>
                <pt idx="684">
                  <v>41137</v>
                </pt>
                <pt idx="685">
                  <v>41138</v>
                </pt>
                <pt idx="686">
                  <v>41141</v>
                </pt>
                <pt idx="687">
                  <v>41142</v>
                </pt>
                <pt idx="688">
                  <v>41143</v>
                </pt>
                <pt idx="689">
                  <v>41144</v>
                </pt>
                <pt idx="690">
                  <v>41145</v>
                </pt>
                <pt idx="691">
                  <v>41148</v>
                </pt>
                <pt idx="692">
                  <v>41149</v>
                </pt>
                <pt idx="693">
                  <v>41150</v>
                </pt>
                <pt idx="694">
                  <v>41151</v>
                </pt>
                <pt idx="695">
                  <v>41152</v>
                </pt>
                <pt idx="696">
                  <v>41155</v>
                </pt>
                <pt idx="697">
                  <v>41156</v>
                </pt>
                <pt idx="698">
                  <v>41157</v>
                </pt>
                <pt idx="699">
                  <v>41158</v>
                </pt>
                <pt idx="700">
                  <v>41159</v>
                </pt>
                <pt idx="701">
                  <v>41162</v>
                </pt>
                <pt idx="702">
                  <v>41163</v>
                </pt>
                <pt idx="703">
                  <v>41164</v>
                </pt>
                <pt idx="704">
                  <v>41165</v>
                </pt>
                <pt idx="705">
                  <v>41166</v>
                </pt>
                <pt idx="706">
                  <v>41169</v>
                </pt>
                <pt idx="707">
                  <v>41170</v>
                </pt>
                <pt idx="708">
                  <v>41171</v>
                </pt>
                <pt idx="709">
                  <v>41172</v>
                </pt>
                <pt idx="710">
                  <v>41173</v>
                </pt>
                <pt idx="711">
                  <v>41176</v>
                </pt>
                <pt idx="712">
                  <v>41177</v>
                </pt>
                <pt idx="713">
                  <v>41178</v>
                </pt>
                <pt idx="714">
                  <v>41179</v>
                </pt>
                <pt idx="715">
                  <v>41180</v>
                </pt>
                <pt idx="716">
                  <v>41183</v>
                </pt>
                <pt idx="717">
                  <v>41184</v>
                </pt>
                <pt idx="718">
                  <v>41185</v>
                </pt>
                <pt idx="719">
                  <v>41186</v>
                </pt>
                <pt idx="720">
                  <v>41187</v>
                </pt>
                <pt idx="721">
                  <v>41190</v>
                </pt>
                <pt idx="722">
                  <v>41191</v>
                </pt>
                <pt idx="723">
                  <v>41192</v>
                </pt>
                <pt idx="724">
                  <v>41193</v>
                </pt>
                <pt idx="725">
                  <v>41194</v>
                </pt>
                <pt idx="726">
                  <v>41197</v>
                </pt>
                <pt idx="727">
                  <v>41198</v>
                </pt>
                <pt idx="728">
                  <v>41199</v>
                </pt>
                <pt idx="729">
                  <v>41200</v>
                </pt>
                <pt idx="730">
                  <v>41201</v>
                </pt>
                <pt idx="731">
                  <v>41204</v>
                </pt>
                <pt idx="732">
                  <v>41205</v>
                </pt>
                <pt idx="733">
                  <v>41206</v>
                </pt>
                <pt idx="734">
                  <v>41207</v>
                </pt>
                <pt idx="735">
                  <v>41208</v>
                </pt>
                <pt idx="736">
                  <v>41211</v>
                </pt>
                <pt idx="737">
                  <v>41212</v>
                </pt>
                <pt idx="738">
                  <v>41213</v>
                </pt>
                <pt idx="739">
                  <v>41214</v>
                </pt>
                <pt idx="740">
                  <v>41215</v>
                </pt>
                <pt idx="741">
                  <v>41218</v>
                </pt>
                <pt idx="742">
                  <v>41219</v>
                </pt>
                <pt idx="743">
                  <v>41220</v>
                </pt>
                <pt idx="744">
                  <v>41221</v>
                </pt>
                <pt idx="745">
                  <v>41222</v>
                </pt>
                <pt idx="746">
                  <v>41225</v>
                </pt>
                <pt idx="747">
                  <v>41226</v>
                </pt>
                <pt idx="748">
                  <v>41227</v>
                </pt>
                <pt idx="749">
                  <v>41228</v>
                </pt>
                <pt idx="750">
                  <v>41229</v>
                </pt>
                <pt idx="751">
                  <v>41232</v>
                </pt>
                <pt idx="752">
                  <v>41233</v>
                </pt>
                <pt idx="753">
                  <v>41234</v>
                </pt>
                <pt idx="754">
                  <v>41235</v>
                </pt>
                <pt idx="755">
                  <v>41236</v>
                </pt>
                <pt idx="756">
                  <v>41239</v>
                </pt>
                <pt idx="757">
                  <v>41240</v>
                </pt>
                <pt idx="758">
                  <v>41241</v>
                </pt>
                <pt idx="759">
                  <v>41242</v>
                </pt>
                <pt idx="760">
                  <v>41243</v>
                </pt>
                <pt idx="761">
                  <v>41246</v>
                </pt>
                <pt idx="762">
                  <v>41247</v>
                </pt>
                <pt idx="763">
                  <v>41248</v>
                </pt>
                <pt idx="764">
                  <v>41249</v>
                </pt>
                <pt idx="765">
                  <v>41250</v>
                </pt>
                <pt idx="766">
                  <v>41253</v>
                </pt>
                <pt idx="767">
                  <v>41254</v>
                </pt>
                <pt idx="768">
                  <v>41255</v>
                </pt>
                <pt idx="769">
                  <v>41256</v>
                </pt>
                <pt idx="770">
                  <v>41257</v>
                </pt>
                <pt idx="771">
                  <v>41260</v>
                </pt>
                <pt idx="772">
                  <v>41261</v>
                </pt>
                <pt idx="773">
                  <v>41262</v>
                </pt>
                <pt idx="774">
                  <v>41263</v>
                </pt>
                <pt idx="775">
                  <v>41264</v>
                </pt>
                <pt idx="776">
                  <v>41267</v>
                </pt>
                <pt idx="777">
                  <v>41268</v>
                </pt>
                <pt idx="778">
                  <v>41269</v>
                </pt>
                <pt idx="779">
                  <v>41270</v>
                </pt>
                <pt idx="780">
                  <v>41271</v>
                </pt>
                <pt idx="781">
                  <v>41274</v>
                </pt>
                <pt idx="782">
                  <v>41275</v>
                </pt>
                <pt idx="783">
                  <v>41276</v>
                </pt>
                <pt idx="784">
                  <v>41277</v>
                </pt>
                <pt idx="785">
                  <v>41278</v>
                </pt>
                <pt idx="786">
                  <v>41281</v>
                </pt>
                <pt idx="787">
                  <v>41282</v>
                </pt>
                <pt idx="788">
                  <v>41283</v>
                </pt>
                <pt idx="789">
                  <v>41284</v>
                </pt>
                <pt idx="790">
                  <v>41285</v>
                </pt>
                <pt idx="791">
                  <v>41288</v>
                </pt>
                <pt idx="792">
                  <v>41289</v>
                </pt>
                <pt idx="793">
                  <v>41290</v>
                </pt>
                <pt idx="794">
                  <v>41291</v>
                </pt>
                <pt idx="795">
                  <v>41292</v>
                </pt>
                <pt idx="796">
                  <v>41295</v>
                </pt>
                <pt idx="797">
                  <v>41296</v>
                </pt>
                <pt idx="798">
                  <v>41297</v>
                </pt>
                <pt idx="799">
                  <v>41298</v>
                </pt>
                <pt idx="800">
                  <v>41299</v>
                </pt>
                <pt idx="801">
                  <v>41302</v>
                </pt>
                <pt idx="802">
                  <v>41303</v>
                </pt>
                <pt idx="803">
                  <v>41304</v>
                </pt>
                <pt idx="804">
                  <v>41305</v>
                </pt>
                <pt idx="805">
                  <v>41306</v>
                </pt>
                <pt idx="806">
                  <v>41309</v>
                </pt>
                <pt idx="807">
                  <v>41310</v>
                </pt>
                <pt idx="808">
                  <v>41311</v>
                </pt>
                <pt idx="809">
                  <v>41312</v>
                </pt>
                <pt idx="810">
                  <v>41313</v>
                </pt>
                <pt idx="811">
                  <v>41316</v>
                </pt>
                <pt idx="812">
                  <v>41317</v>
                </pt>
                <pt idx="813">
                  <v>41318</v>
                </pt>
                <pt idx="814">
                  <v>41319</v>
                </pt>
                <pt idx="815">
                  <v>41320</v>
                </pt>
                <pt idx="816">
                  <v>41323</v>
                </pt>
                <pt idx="817">
                  <v>41324</v>
                </pt>
                <pt idx="818">
                  <v>41325</v>
                </pt>
                <pt idx="819">
                  <v>41326</v>
                </pt>
                <pt idx="820">
                  <v>41327</v>
                </pt>
                <pt idx="821">
                  <v>41330</v>
                </pt>
                <pt idx="822">
                  <v>41331</v>
                </pt>
                <pt idx="823">
                  <v>41332</v>
                </pt>
                <pt idx="824">
                  <v>41333</v>
                </pt>
                <pt idx="825">
                  <v>41334</v>
                </pt>
                <pt idx="826">
                  <v>41337</v>
                </pt>
                <pt idx="827">
                  <v>41338</v>
                </pt>
                <pt idx="828">
                  <v>41339</v>
                </pt>
                <pt idx="829">
                  <v>41340</v>
                </pt>
                <pt idx="830">
                  <v>41341</v>
                </pt>
                <pt idx="831">
                  <v>41344</v>
                </pt>
                <pt idx="832">
                  <v>41345</v>
                </pt>
                <pt idx="833">
                  <v>41346</v>
                </pt>
                <pt idx="834">
                  <v>41347</v>
                </pt>
                <pt idx="835">
                  <v>41348</v>
                </pt>
                <pt idx="836">
                  <v>41351</v>
                </pt>
                <pt idx="837">
                  <v>41352</v>
                </pt>
                <pt idx="838">
                  <v>41353</v>
                </pt>
                <pt idx="839">
                  <v>41354</v>
                </pt>
                <pt idx="840">
                  <v>41355</v>
                </pt>
                <pt idx="841">
                  <v>41358</v>
                </pt>
                <pt idx="842">
                  <v>41359</v>
                </pt>
                <pt idx="843">
                  <v>41360</v>
                </pt>
                <pt idx="844">
                  <v>41361</v>
                </pt>
                <pt idx="845">
                  <v>41362</v>
                </pt>
                <pt idx="846">
                  <v>41365</v>
                </pt>
                <pt idx="847">
                  <v>41366</v>
                </pt>
                <pt idx="848">
                  <v>41367</v>
                </pt>
                <pt idx="849">
                  <v>41368</v>
                </pt>
                <pt idx="850">
                  <v>41369</v>
                </pt>
                <pt idx="851">
                  <v>41372</v>
                </pt>
                <pt idx="852">
                  <v>41373</v>
                </pt>
                <pt idx="853">
                  <v>41374</v>
                </pt>
                <pt idx="854">
                  <v>41375</v>
                </pt>
                <pt idx="855">
                  <v>41376</v>
                </pt>
                <pt idx="856">
                  <v>41379</v>
                </pt>
                <pt idx="857">
                  <v>41380</v>
                </pt>
                <pt idx="858">
                  <v>41381</v>
                </pt>
                <pt idx="859">
                  <v>41382</v>
                </pt>
                <pt idx="860">
                  <v>41383</v>
                </pt>
                <pt idx="861">
                  <v>41386</v>
                </pt>
                <pt idx="862">
                  <v>41387</v>
                </pt>
                <pt idx="863">
                  <v>41388</v>
                </pt>
                <pt idx="864">
                  <v>41389</v>
                </pt>
                <pt idx="865">
                  <v>41390</v>
                </pt>
                <pt idx="866">
                  <v>41393</v>
                </pt>
                <pt idx="867">
                  <v>41394</v>
                </pt>
                <pt idx="868">
                  <v>41395</v>
                </pt>
                <pt idx="869">
                  <v>41396</v>
                </pt>
                <pt idx="870">
                  <v>41397</v>
                </pt>
                <pt idx="871">
                  <v>41400</v>
                </pt>
                <pt idx="872">
                  <v>41401</v>
                </pt>
                <pt idx="873">
                  <v>41402</v>
                </pt>
                <pt idx="874">
                  <v>41403</v>
                </pt>
                <pt idx="875">
                  <v>41404</v>
                </pt>
                <pt idx="876">
                  <v>41407</v>
                </pt>
                <pt idx="877">
                  <v>41408</v>
                </pt>
                <pt idx="878">
                  <v>41409</v>
                </pt>
                <pt idx="879">
                  <v>41410</v>
                </pt>
                <pt idx="880">
                  <v>41411</v>
                </pt>
                <pt idx="881">
                  <v>41414</v>
                </pt>
                <pt idx="882">
                  <v>41415</v>
                </pt>
                <pt idx="883">
                  <v>41416</v>
                </pt>
                <pt idx="884">
                  <v>41417</v>
                </pt>
                <pt idx="885">
                  <v>41418</v>
                </pt>
                <pt idx="886">
                  <v>41421</v>
                </pt>
                <pt idx="887">
                  <v>41422</v>
                </pt>
                <pt idx="888">
                  <v>41423</v>
                </pt>
                <pt idx="889">
                  <v>41424</v>
                </pt>
                <pt idx="890">
                  <v>41425</v>
                </pt>
                <pt idx="891">
                  <v>41428</v>
                </pt>
                <pt idx="892">
                  <v>41429</v>
                </pt>
                <pt idx="893">
                  <v>41430</v>
                </pt>
                <pt idx="894">
                  <v>41431</v>
                </pt>
                <pt idx="895">
                  <v>41432</v>
                </pt>
                <pt idx="896">
                  <v>41435</v>
                </pt>
                <pt idx="897">
                  <v>41436</v>
                </pt>
                <pt idx="898">
                  <v>41437</v>
                </pt>
                <pt idx="899">
                  <v>41438</v>
                </pt>
                <pt idx="900">
                  <v>41439</v>
                </pt>
                <pt idx="901">
                  <v>41442</v>
                </pt>
                <pt idx="902">
                  <v>41443</v>
                </pt>
                <pt idx="903">
                  <v>41444</v>
                </pt>
                <pt idx="904">
                  <v>41445</v>
                </pt>
                <pt idx="905">
                  <v>41446</v>
                </pt>
                <pt idx="906">
                  <v>41449</v>
                </pt>
                <pt idx="907">
                  <v>41450</v>
                </pt>
                <pt idx="908">
                  <v>41451</v>
                </pt>
                <pt idx="909">
                  <v>41452</v>
                </pt>
                <pt idx="910">
                  <v>41453</v>
                </pt>
                <pt idx="911">
                  <v>41456</v>
                </pt>
                <pt idx="912">
                  <v>41457</v>
                </pt>
                <pt idx="913">
                  <v>41458</v>
                </pt>
                <pt idx="914">
                  <v>41459</v>
                </pt>
                <pt idx="915">
                  <v>41460</v>
                </pt>
                <pt idx="916">
                  <v>41463</v>
                </pt>
                <pt idx="917">
                  <v>41464</v>
                </pt>
                <pt idx="918">
                  <v>41465</v>
                </pt>
                <pt idx="919">
                  <v>41466</v>
                </pt>
                <pt idx="920">
                  <v>41467</v>
                </pt>
                <pt idx="921">
                  <v>41470</v>
                </pt>
                <pt idx="922">
                  <v>41471</v>
                </pt>
                <pt idx="923">
                  <v>41472</v>
                </pt>
                <pt idx="924">
                  <v>41473</v>
                </pt>
                <pt idx="925">
                  <v>41474</v>
                </pt>
                <pt idx="926">
                  <v>41477</v>
                </pt>
                <pt idx="927">
                  <v>41478</v>
                </pt>
                <pt idx="928">
                  <v>41479</v>
                </pt>
                <pt idx="929">
                  <v>41480</v>
                </pt>
                <pt idx="930">
                  <v>41481</v>
                </pt>
                <pt idx="931">
                  <v>41484</v>
                </pt>
                <pt idx="932">
                  <v>41485</v>
                </pt>
                <pt idx="933">
                  <v>41486</v>
                </pt>
                <pt idx="934">
                  <v>41487</v>
                </pt>
                <pt idx="935">
                  <v>41488</v>
                </pt>
                <pt idx="936">
                  <v>41491</v>
                </pt>
                <pt idx="937">
                  <v>41492</v>
                </pt>
                <pt idx="938">
                  <v>41493</v>
                </pt>
                <pt idx="939">
                  <v>41494</v>
                </pt>
                <pt idx="940">
                  <v>41495</v>
                </pt>
                <pt idx="941">
                  <v>41498</v>
                </pt>
                <pt idx="942">
                  <v>41499</v>
                </pt>
                <pt idx="943">
                  <v>41500</v>
                </pt>
                <pt idx="944">
                  <v>41501</v>
                </pt>
                <pt idx="945">
                  <v>41502</v>
                </pt>
                <pt idx="946">
                  <v>41505</v>
                </pt>
                <pt idx="947">
                  <v>41506</v>
                </pt>
                <pt idx="948">
                  <v>41507</v>
                </pt>
                <pt idx="949">
                  <v>41508</v>
                </pt>
                <pt idx="950">
                  <v>41509</v>
                </pt>
                <pt idx="951">
                  <v>41512</v>
                </pt>
                <pt idx="952">
                  <v>41513</v>
                </pt>
                <pt idx="953">
                  <v>41514</v>
                </pt>
                <pt idx="954">
                  <v>41515</v>
                </pt>
                <pt idx="955">
                  <v>41516</v>
                </pt>
                <pt idx="956">
                  <v>41519</v>
                </pt>
                <pt idx="957">
                  <v>41520</v>
                </pt>
                <pt idx="958">
                  <v>41521</v>
                </pt>
                <pt idx="959">
                  <v>41522</v>
                </pt>
                <pt idx="960">
                  <v>41523</v>
                </pt>
                <pt idx="961">
                  <v>41526</v>
                </pt>
                <pt idx="962">
                  <v>41527</v>
                </pt>
                <pt idx="963">
                  <v>41528</v>
                </pt>
                <pt idx="964">
                  <v>41529</v>
                </pt>
                <pt idx="965">
                  <v>41530</v>
                </pt>
                <pt idx="966">
                  <v>41533</v>
                </pt>
                <pt idx="967">
                  <v>41534</v>
                </pt>
                <pt idx="968">
                  <v>41535</v>
                </pt>
                <pt idx="969">
                  <v>41536</v>
                </pt>
                <pt idx="970">
                  <v>41537</v>
                </pt>
                <pt idx="971">
                  <v>41540</v>
                </pt>
                <pt idx="972">
                  <v>41541</v>
                </pt>
                <pt idx="973">
                  <v>41542</v>
                </pt>
                <pt idx="974">
                  <v>41543</v>
                </pt>
                <pt idx="975">
                  <v>41544</v>
                </pt>
                <pt idx="976">
                  <v>41547</v>
                </pt>
                <pt idx="977">
                  <v>41548</v>
                </pt>
                <pt idx="978">
                  <v>41549</v>
                </pt>
                <pt idx="979">
                  <v>41550</v>
                </pt>
                <pt idx="980">
                  <v>41551</v>
                </pt>
                <pt idx="981">
                  <v>41554</v>
                </pt>
                <pt idx="982">
                  <v>41555</v>
                </pt>
                <pt idx="983">
                  <v>41556</v>
                </pt>
                <pt idx="984">
                  <v>41557</v>
                </pt>
                <pt idx="985">
                  <v>41558</v>
                </pt>
                <pt idx="986">
                  <v>41561</v>
                </pt>
                <pt idx="987">
                  <v>41562</v>
                </pt>
                <pt idx="988">
                  <v>41563</v>
                </pt>
                <pt idx="989">
                  <v>41564</v>
                </pt>
                <pt idx="990">
                  <v>41565</v>
                </pt>
                <pt idx="991">
                  <v>41568</v>
                </pt>
                <pt idx="992">
                  <v>41569</v>
                </pt>
                <pt idx="993">
                  <v>41570</v>
                </pt>
                <pt idx="994">
                  <v>41571</v>
                </pt>
                <pt idx="995">
                  <v>41572</v>
                </pt>
                <pt idx="996">
                  <v>41575</v>
                </pt>
                <pt idx="997">
                  <v>41576</v>
                </pt>
                <pt idx="998">
                  <v>41577</v>
                </pt>
                <pt idx="999">
                  <v>41578</v>
                </pt>
                <pt idx="1000">
                  <v>41579</v>
                </pt>
                <pt idx="1001">
                  <v>41582</v>
                </pt>
                <pt idx="1002">
                  <v>41583</v>
                </pt>
                <pt idx="1003">
                  <v>41584</v>
                </pt>
                <pt idx="1004">
                  <v>41585</v>
                </pt>
                <pt idx="1005">
                  <v>41586</v>
                </pt>
                <pt idx="1006">
                  <v>41589</v>
                </pt>
                <pt idx="1007">
                  <v>41590</v>
                </pt>
                <pt idx="1008">
                  <v>41591</v>
                </pt>
                <pt idx="1009">
                  <v>41592</v>
                </pt>
                <pt idx="1010">
                  <v>41593</v>
                </pt>
                <pt idx="1011">
                  <v>41596</v>
                </pt>
                <pt idx="1012">
                  <v>41597</v>
                </pt>
                <pt idx="1013">
                  <v>41598</v>
                </pt>
                <pt idx="1014">
                  <v>41599</v>
                </pt>
                <pt idx="1015">
                  <v>41600</v>
                </pt>
                <pt idx="1016">
                  <v>41603</v>
                </pt>
                <pt idx="1017">
                  <v>41604</v>
                </pt>
                <pt idx="1018">
                  <v>41605</v>
                </pt>
                <pt idx="1019">
                  <v>41606</v>
                </pt>
                <pt idx="1020">
                  <v>41607</v>
                </pt>
                <pt idx="1021">
                  <v>41610</v>
                </pt>
                <pt idx="1022">
                  <v>41611</v>
                </pt>
                <pt idx="1023">
                  <v>41612</v>
                </pt>
                <pt idx="1024">
                  <v>41613</v>
                </pt>
                <pt idx="1025">
                  <v>41614</v>
                </pt>
                <pt idx="1026">
                  <v>41617</v>
                </pt>
                <pt idx="1027">
                  <v>41618</v>
                </pt>
                <pt idx="1028">
                  <v>41619</v>
                </pt>
                <pt idx="1029">
                  <v>41620</v>
                </pt>
                <pt idx="1030">
                  <v>41621</v>
                </pt>
                <pt idx="1031">
                  <v>41624</v>
                </pt>
                <pt idx="1032">
                  <v>41625</v>
                </pt>
                <pt idx="1033">
                  <v>41626</v>
                </pt>
                <pt idx="1034">
                  <v>41627</v>
                </pt>
                <pt idx="1035">
                  <v>41628</v>
                </pt>
                <pt idx="1036">
                  <v>41631</v>
                </pt>
                <pt idx="1037">
                  <v>41632</v>
                </pt>
                <pt idx="1038">
                  <v>41633</v>
                </pt>
                <pt idx="1039">
                  <v>41634</v>
                </pt>
                <pt idx="1040">
                  <v>41635</v>
                </pt>
                <pt idx="1041">
                  <v>41638</v>
                </pt>
                <pt idx="1042">
                  <v>41639</v>
                </pt>
                <pt idx="1043">
                  <v>41640</v>
                </pt>
                <pt idx="1044">
                  <v>41641</v>
                </pt>
                <pt idx="1045">
                  <v>41642</v>
                </pt>
                <pt idx="1046">
                  <v>41645</v>
                </pt>
                <pt idx="1047">
                  <v>41646</v>
                </pt>
                <pt idx="1048">
                  <v>41647</v>
                </pt>
                <pt idx="1049">
                  <v>41648</v>
                </pt>
                <pt idx="1050">
                  <v>41649</v>
                </pt>
                <pt idx="1051">
                  <v>41652</v>
                </pt>
                <pt idx="1052">
                  <v>41653</v>
                </pt>
                <pt idx="1053">
                  <v>41654</v>
                </pt>
                <pt idx="1054">
                  <v>41655</v>
                </pt>
                <pt idx="1055">
                  <v>41656</v>
                </pt>
                <pt idx="1056">
                  <v>41659</v>
                </pt>
                <pt idx="1057">
                  <v>41660</v>
                </pt>
                <pt idx="1058">
                  <v>41661</v>
                </pt>
                <pt idx="1059">
                  <v>41662</v>
                </pt>
                <pt idx="1060">
                  <v>41663</v>
                </pt>
                <pt idx="1061">
                  <v>41666</v>
                </pt>
                <pt idx="1062">
                  <v>41667</v>
                </pt>
                <pt idx="1063">
                  <v>41668</v>
                </pt>
                <pt idx="1064">
                  <v>41669</v>
                </pt>
                <pt idx="1065">
                  <v>41670</v>
                </pt>
                <pt idx="1066">
                  <v>41673</v>
                </pt>
                <pt idx="1067">
                  <v>41674</v>
                </pt>
                <pt idx="1068">
                  <v>41675</v>
                </pt>
                <pt idx="1069">
                  <v>41676</v>
                </pt>
                <pt idx="1070">
                  <v>41677</v>
                </pt>
                <pt idx="1071">
                  <v>41680</v>
                </pt>
                <pt idx="1072">
                  <v>41681</v>
                </pt>
                <pt idx="1073">
                  <v>41682</v>
                </pt>
                <pt idx="1074">
                  <v>41683</v>
                </pt>
                <pt idx="1075">
                  <v>41684</v>
                </pt>
                <pt idx="1076">
                  <v>41687</v>
                </pt>
                <pt idx="1077">
                  <v>41688</v>
                </pt>
                <pt idx="1078">
                  <v>41689</v>
                </pt>
                <pt idx="1079">
                  <v>41690</v>
                </pt>
                <pt idx="1080">
                  <v>41691</v>
                </pt>
                <pt idx="1081">
                  <v>41694</v>
                </pt>
                <pt idx="1082">
                  <v>41695</v>
                </pt>
                <pt idx="1083">
                  <v>41696</v>
                </pt>
                <pt idx="1084">
                  <v>41697</v>
                </pt>
                <pt idx="1085">
                  <v>41698</v>
                </pt>
                <pt idx="1086">
                  <v>41701</v>
                </pt>
                <pt idx="1087">
                  <v>41702</v>
                </pt>
                <pt idx="1088">
                  <v>41703</v>
                </pt>
                <pt idx="1089">
                  <v>41704</v>
                </pt>
                <pt idx="1090">
                  <v>41705</v>
                </pt>
                <pt idx="1091">
                  <v>41708</v>
                </pt>
                <pt idx="1092">
                  <v>41709</v>
                </pt>
                <pt idx="1093">
                  <v>41710</v>
                </pt>
                <pt idx="1094">
                  <v>41711</v>
                </pt>
                <pt idx="1095">
                  <v>41712</v>
                </pt>
                <pt idx="1096">
                  <v>41715</v>
                </pt>
                <pt idx="1097">
                  <v>41716</v>
                </pt>
                <pt idx="1098">
                  <v>41717</v>
                </pt>
                <pt idx="1099">
                  <v>41718</v>
                </pt>
                <pt idx="1100">
                  <v>41719</v>
                </pt>
                <pt idx="1101">
                  <v>41722</v>
                </pt>
                <pt idx="1102">
                  <v>41723</v>
                </pt>
                <pt idx="1103">
                  <v>41724</v>
                </pt>
                <pt idx="1104">
                  <v>41725</v>
                </pt>
                <pt idx="1105">
                  <v>41726</v>
                </pt>
                <pt idx="1106">
                  <v>41729</v>
                </pt>
                <pt idx="1107">
                  <v>41730</v>
                </pt>
                <pt idx="1108">
                  <v>41731</v>
                </pt>
                <pt idx="1109">
                  <v>41732</v>
                </pt>
                <pt idx="1110">
                  <v>41733</v>
                </pt>
                <pt idx="1111">
                  <v>41736</v>
                </pt>
                <pt idx="1112">
                  <v>41737</v>
                </pt>
                <pt idx="1113">
                  <v>41738</v>
                </pt>
                <pt idx="1114">
                  <v>41739</v>
                </pt>
                <pt idx="1115">
                  <v>41740</v>
                </pt>
                <pt idx="1116">
                  <v>41743</v>
                </pt>
                <pt idx="1117">
                  <v>41744</v>
                </pt>
                <pt idx="1118">
                  <v>41745</v>
                </pt>
                <pt idx="1119">
                  <v>41746</v>
                </pt>
                <pt idx="1120">
                  <v>41747</v>
                </pt>
                <pt idx="1121">
                  <v>41750</v>
                </pt>
                <pt idx="1122">
                  <v>41751</v>
                </pt>
                <pt idx="1123">
                  <v>41752</v>
                </pt>
                <pt idx="1124">
                  <v>41753</v>
                </pt>
                <pt idx="1125">
                  <v>41754</v>
                </pt>
                <pt idx="1126">
                  <v>41757</v>
                </pt>
                <pt idx="1127">
                  <v>41758</v>
                </pt>
                <pt idx="1128">
                  <v>41759</v>
                </pt>
                <pt idx="1129">
                  <v>41760</v>
                </pt>
                <pt idx="1130">
                  <v>41761</v>
                </pt>
                <pt idx="1131">
                  <v>41764</v>
                </pt>
                <pt idx="1132">
                  <v>41765</v>
                </pt>
                <pt idx="1133">
                  <v>41766</v>
                </pt>
                <pt idx="1134">
                  <v>41767</v>
                </pt>
                <pt idx="1135">
                  <v>41768</v>
                </pt>
                <pt idx="1136">
                  <v>41771</v>
                </pt>
                <pt idx="1137">
                  <v>41772</v>
                </pt>
                <pt idx="1138">
                  <v>41773</v>
                </pt>
                <pt idx="1139">
                  <v>41774</v>
                </pt>
                <pt idx="1140">
                  <v>41775</v>
                </pt>
                <pt idx="1141">
                  <v>41778</v>
                </pt>
                <pt idx="1142">
                  <v>41779</v>
                </pt>
                <pt idx="1143">
                  <v>41780</v>
                </pt>
                <pt idx="1144">
                  <v>41781</v>
                </pt>
                <pt idx="1145">
                  <v>41782</v>
                </pt>
                <pt idx="1146">
                  <v>41785</v>
                </pt>
                <pt idx="1147">
                  <v>41786</v>
                </pt>
                <pt idx="1148">
                  <v>41787</v>
                </pt>
                <pt idx="1149">
                  <v>41788</v>
                </pt>
                <pt idx="1150">
                  <v>41789</v>
                </pt>
                <pt idx="1151">
                  <v>41792</v>
                </pt>
                <pt idx="1152">
                  <v>41793</v>
                </pt>
                <pt idx="1153">
                  <v>41794</v>
                </pt>
                <pt idx="1154">
                  <v>41795</v>
                </pt>
                <pt idx="1155">
                  <v>41796</v>
                </pt>
                <pt idx="1156">
                  <v>41799</v>
                </pt>
                <pt idx="1157">
                  <v>41800</v>
                </pt>
                <pt idx="1158">
                  <v>41801</v>
                </pt>
                <pt idx="1159">
                  <v>41802</v>
                </pt>
                <pt idx="1160">
                  <v>41803</v>
                </pt>
                <pt idx="1161">
                  <v>41806</v>
                </pt>
                <pt idx="1162">
                  <v>41807</v>
                </pt>
                <pt idx="1163">
                  <v>41808</v>
                </pt>
                <pt idx="1164">
                  <v>41809</v>
                </pt>
                <pt idx="1165">
                  <v>41810</v>
                </pt>
                <pt idx="1166">
                  <v>41813</v>
                </pt>
                <pt idx="1167">
                  <v>41814</v>
                </pt>
                <pt idx="1168">
                  <v>41815</v>
                </pt>
                <pt idx="1169">
                  <v>41816</v>
                </pt>
                <pt idx="1170">
                  <v>41817</v>
                </pt>
                <pt idx="1171">
                  <v>41820</v>
                </pt>
                <pt idx="1172">
                  <v>41821</v>
                </pt>
                <pt idx="1173">
                  <v>41822</v>
                </pt>
                <pt idx="1174">
                  <v>41823</v>
                </pt>
                <pt idx="1175">
                  <v>41824</v>
                </pt>
                <pt idx="1176">
                  <v>41827</v>
                </pt>
                <pt idx="1177">
                  <v>41828</v>
                </pt>
                <pt idx="1178">
                  <v>41829</v>
                </pt>
                <pt idx="1179">
                  <v>41830</v>
                </pt>
                <pt idx="1180">
                  <v>41831</v>
                </pt>
                <pt idx="1181">
                  <v>41834</v>
                </pt>
                <pt idx="1182">
                  <v>41835</v>
                </pt>
                <pt idx="1183">
                  <v>41836</v>
                </pt>
                <pt idx="1184">
                  <v>41837</v>
                </pt>
                <pt idx="1185">
                  <v>41838</v>
                </pt>
                <pt idx="1186">
                  <v>41841</v>
                </pt>
                <pt idx="1187">
                  <v>41842</v>
                </pt>
                <pt idx="1188">
                  <v>41843</v>
                </pt>
                <pt idx="1189">
                  <v>41844</v>
                </pt>
                <pt idx="1190">
                  <v>41845</v>
                </pt>
                <pt idx="1191">
                  <v>41848</v>
                </pt>
                <pt idx="1192">
                  <v>41849</v>
                </pt>
                <pt idx="1193">
                  <v>41850</v>
                </pt>
                <pt idx="1194">
                  <v>41851</v>
                </pt>
                <pt idx="1195">
                  <v>41852</v>
                </pt>
                <pt idx="1196">
                  <v>41855</v>
                </pt>
                <pt idx="1197">
                  <v>41856</v>
                </pt>
                <pt idx="1198">
                  <v>41857</v>
                </pt>
                <pt idx="1199">
                  <v>41858</v>
                </pt>
                <pt idx="1200">
                  <v>41859</v>
                </pt>
                <pt idx="1201">
                  <v>41862</v>
                </pt>
                <pt idx="1202">
                  <v>41863</v>
                </pt>
                <pt idx="1203">
                  <v>41864</v>
                </pt>
                <pt idx="1204">
                  <v>41865</v>
                </pt>
                <pt idx="1205">
                  <v>41866</v>
                </pt>
                <pt idx="1206">
                  <v>41869</v>
                </pt>
                <pt idx="1207">
                  <v>41870</v>
                </pt>
                <pt idx="1208">
                  <v>41871</v>
                </pt>
                <pt idx="1209">
                  <v>41872</v>
                </pt>
                <pt idx="1210">
                  <v>41873</v>
                </pt>
                <pt idx="1211">
                  <v>41876</v>
                </pt>
                <pt idx="1212">
                  <v>41877</v>
                </pt>
                <pt idx="1213">
                  <v>41878</v>
                </pt>
                <pt idx="1214">
                  <v>41879</v>
                </pt>
                <pt idx="1215">
                  <v>41880</v>
                </pt>
                <pt idx="1216">
                  <v>41883</v>
                </pt>
                <pt idx="1217">
                  <v>41884</v>
                </pt>
                <pt idx="1218">
                  <v>41885</v>
                </pt>
                <pt idx="1219">
                  <v>41886</v>
                </pt>
                <pt idx="1220">
                  <v>41887</v>
                </pt>
                <pt idx="1221">
                  <v>41890</v>
                </pt>
                <pt idx="1222">
                  <v>41891</v>
                </pt>
                <pt idx="1223">
                  <v>41892</v>
                </pt>
                <pt idx="1224">
                  <v>41893</v>
                </pt>
                <pt idx="1225">
                  <v>41894</v>
                </pt>
                <pt idx="1226">
                  <v>41897</v>
                </pt>
                <pt idx="1227">
                  <v>41898</v>
                </pt>
                <pt idx="1228">
                  <v>41899</v>
                </pt>
                <pt idx="1229">
                  <v>41900</v>
                </pt>
                <pt idx="1230">
                  <v>41901</v>
                </pt>
                <pt idx="1231">
                  <v>41904</v>
                </pt>
                <pt idx="1232">
                  <v>41905</v>
                </pt>
                <pt idx="1233">
                  <v>41906</v>
                </pt>
                <pt idx="1234">
                  <v>41907</v>
                </pt>
                <pt idx="1235">
                  <v>41908</v>
                </pt>
                <pt idx="1236">
                  <v>41911</v>
                </pt>
                <pt idx="1237">
                  <v>41912</v>
                </pt>
                <pt idx="1238">
                  <v>41913</v>
                </pt>
                <pt idx="1239">
                  <v>41914</v>
                </pt>
                <pt idx="1240">
                  <v>41915</v>
                </pt>
                <pt idx="1241">
                  <v>41918</v>
                </pt>
                <pt idx="1242">
                  <v>41919</v>
                </pt>
                <pt idx="1243">
                  <v>41920</v>
                </pt>
                <pt idx="1244">
                  <v>41921</v>
                </pt>
                <pt idx="1245">
                  <v>41922</v>
                </pt>
                <pt idx="1246">
                  <v>41925</v>
                </pt>
                <pt idx="1247">
                  <v>41926</v>
                </pt>
                <pt idx="1248">
                  <v>41927</v>
                </pt>
                <pt idx="1249">
                  <v>41928</v>
                </pt>
                <pt idx="1250">
                  <v>41929</v>
                </pt>
                <pt idx="1251">
                  <v>41932</v>
                </pt>
                <pt idx="1252">
                  <v>41933</v>
                </pt>
                <pt idx="1253">
                  <v>41934</v>
                </pt>
                <pt idx="1254">
                  <v>41935</v>
                </pt>
                <pt idx="1255">
                  <v>41936</v>
                </pt>
                <pt idx="1256">
                  <v>41939</v>
                </pt>
                <pt idx="1257">
                  <v>41940</v>
                </pt>
                <pt idx="1258">
                  <v>41941</v>
                </pt>
                <pt idx="1259">
                  <v>41942</v>
                </pt>
                <pt idx="1260">
                  <v>41943</v>
                </pt>
                <pt idx="1261">
                  <v>41946</v>
                </pt>
                <pt idx="1262">
                  <v>41947</v>
                </pt>
                <pt idx="1263">
                  <v>41948</v>
                </pt>
                <pt idx="1264">
                  <v>41949</v>
                </pt>
                <pt idx="1265">
                  <v>41950</v>
                </pt>
                <pt idx="1266">
                  <v>41953</v>
                </pt>
                <pt idx="1267">
                  <v>41954</v>
                </pt>
                <pt idx="1268">
                  <v>41955</v>
                </pt>
                <pt idx="1269">
                  <v>41956</v>
                </pt>
                <pt idx="1270">
                  <v>41957</v>
                </pt>
                <pt idx="1271">
                  <v>41960</v>
                </pt>
                <pt idx="1272">
                  <v>41961</v>
                </pt>
                <pt idx="1273">
                  <v>41962</v>
                </pt>
                <pt idx="1274">
                  <v>41963</v>
                </pt>
                <pt idx="1275">
                  <v>41964</v>
                </pt>
                <pt idx="1276">
                  <v>41967</v>
                </pt>
                <pt idx="1277">
                  <v>41968</v>
                </pt>
                <pt idx="1278">
                  <v>41969</v>
                </pt>
                <pt idx="1279">
                  <v>41970</v>
                </pt>
                <pt idx="1280">
                  <v>41971</v>
                </pt>
                <pt idx="1281">
                  <v>41974</v>
                </pt>
                <pt idx="1282">
                  <v>41975</v>
                </pt>
                <pt idx="1283">
                  <v>41976</v>
                </pt>
                <pt idx="1284">
                  <v>41977</v>
                </pt>
                <pt idx="1285">
                  <v>41978</v>
                </pt>
                <pt idx="1286">
                  <v>41981</v>
                </pt>
                <pt idx="1287">
                  <v>41982</v>
                </pt>
                <pt idx="1288">
                  <v>41983</v>
                </pt>
                <pt idx="1289">
                  <v>41984</v>
                </pt>
                <pt idx="1290">
                  <v>41985</v>
                </pt>
                <pt idx="1291">
                  <v>41988</v>
                </pt>
                <pt idx="1292">
                  <v>41989</v>
                </pt>
                <pt idx="1293">
                  <v>41990</v>
                </pt>
                <pt idx="1294">
                  <v>41991</v>
                </pt>
                <pt idx="1295">
                  <v>41992</v>
                </pt>
                <pt idx="1296">
                  <v>41995</v>
                </pt>
                <pt idx="1297">
                  <v>41996</v>
                </pt>
                <pt idx="1298">
                  <v>41997</v>
                </pt>
                <pt idx="1299">
                  <v>41998</v>
                </pt>
                <pt idx="1300">
                  <v>41999</v>
                </pt>
                <pt idx="1301">
                  <v>42002</v>
                </pt>
                <pt idx="1302">
                  <v>42003</v>
                </pt>
                <pt idx="1303">
                  <v>42004</v>
                </pt>
                <pt idx="1304">
                  <v>42005</v>
                </pt>
                <pt idx="1305">
                  <v>42006</v>
                </pt>
                <pt idx="1306">
                  <v>42009</v>
                </pt>
                <pt idx="1307">
                  <v>42010</v>
                </pt>
                <pt idx="1308">
                  <v>42011</v>
                </pt>
                <pt idx="1309">
                  <v>42012</v>
                </pt>
                <pt idx="1310">
                  <v>42013</v>
                </pt>
                <pt idx="1311">
                  <v>42016</v>
                </pt>
                <pt idx="1312">
                  <v>42017</v>
                </pt>
                <pt idx="1313">
                  <v>42018</v>
                </pt>
                <pt idx="1314">
                  <v>42019</v>
                </pt>
                <pt idx="1315">
                  <v>42020</v>
                </pt>
                <pt idx="1316">
                  <v>42023</v>
                </pt>
                <pt idx="1317">
                  <v>42024</v>
                </pt>
                <pt idx="1318">
                  <v>42025</v>
                </pt>
                <pt idx="1319">
                  <v>42026</v>
                </pt>
                <pt idx="1320">
                  <v>42027</v>
                </pt>
                <pt idx="1321">
                  <v>42030</v>
                </pt>
                <pt idx="1322">
                  <v>42031</v>
                </pt>
                <pt idx="1323">
                  <v>42032</v>
                </pt>
                <pt idx="1324">
                  <v>42033</v>
                </pt>
                <pt idx="1325">
                  <v>42034</v>
                </pt>
                <pt idx="1326">
                  <v>42037</v>
                </pt>
                <pt idx="1327">
                  <v>42038</v>
                </pt>
                <pt idx="1328">
                  <v>42039</v>
                </pt>
                <pt idx="1329">
                  <v>42040</v>
                </pt>
                <pt idx="1330">
                  <v>42041</v>
                </pt>
                <pt idx="1331">
                  <v>42044</v>
                </pt>
                <pt idx="1332">
                  <v>42045</v>
                </pt>
                <pt idx="1333">
                  <v>42046</v>
                </pt>
                <pt idx="1334">
                  <v>42047</v>
                </pt>
                <pt idx="1335">
                  <v>42048</v>
                </pt>
                <pt idx="1336">
                  <v>42051</v>
                </pt>
                <pt idx="1337">
                  <v>42052</v>
                </pt>
                <pt idx="1338">
                  <v>42053</v>
                </pt>
                <pt idx="1339">
                  <v>42054</v>
                </pt>
                <pt idx="1340">
                  <v>42055</v>
                </pt>
                <pt idx="1341">
                  <v>42058</v>
                </pt>
                <pt idx="1342">
                  <v>42059</v>
                </pt>
                <pt idx="1343">
                  <v>42060</v>
                </pt>
                <pt idx="1344">
                  <v>42061</v>
                </pt>
                <pt idx="1345">
                  <v>42062</v>
                </pt>
                <pt idx="1346">
                  <v>42065</v>
                </pt>
                <pt idx="1347">
                  <v>42066</v>
                </pt>
                <pt idx="1348">
                  <v>42067</v>
                </pt>
                <pt idx="1349">
                  <v>42068</v>
                </pt>
                <pt idx="1350">
                  <v>42069</v>
                </pt>
                <pt idx="1351">
                  <v>42072</v>
                </pt>
                <pt idx="1352">
                  <v>42073</v>
                </pt>
                <pt idx="1353">
                  <v>42074</v>
                </pt>
                <pt idx="1354">
                  <v>42075</v>
                </pt>
                <pt idx="1355">
                  <v>42076</v>
                </pt>
                <pt idx="1356">
                  <v>42079</v>
                </pt>
                <pt idx="1357">
                  <v>42080</v>
                </pt>
                <pt idx="1358">
                  <v>42081</v>
                </pt>
                <pt idx="1359">
                  <v>42082</v>
                </pt>
                <pt idx="1360">
                  <v>42083</v>
                </pt>
                <pt idx="1361">
                  <v>42086</v>
                </pt>
                <pt idx="1362">
                  <v>42087</v>
                </pt>
                <pt idx="1363">
                  <v>42088</v>
                </pt>
                <pt idx="1364">
                  <v>42089</v>
                </pt>
                <pt idx="1365">
                  <v>42090</v>
                </pt>
                <pt idx="1366">
                  <v>42093</v>
                </pt>
                <pt idx="1367">
                  <v>42094</v>
                </pt>
                <pt idx="1368">
                  <v>42095</v>
                </pt>
                <pt idx="1369">
                  <v>42096</v>
                </pt>
                <pt idx="1370">
                  <v>42097</v>
                </pt>
                <pt idx="1371">
                  <v>42100</v>
                </pt>
                <pt idx="1372">
                  <v>42101</v>
                </pt>
                <pt idx="1373">
                  <v>42102</v>
                </pt>
                <pt idx="1374">
                  <v>42103</v>
                </pt>
                <pt idx="1375">
                  <v>42104</v>
                </pt>
                <pt idx="1376">
                  <v>42107</v>
                </pt>
                <pt idx="1377">
                  <v>42108</v>
                </pt>
                <pt idx="1378">
                  <v>42109</v>
                </pt>
                <pt idx="1379">
                  <v>42110</v>
                </pt>
                <pt idx="1380">
                  <v>42111</v>
                </pt>
                <pt idx="1381">
                  <v>42114</v>
                </pt>
                <pt idx="1382">
                  <v>42115</v>
                </pt>
                <pt idx="1383">
                  <v>42116</v>
                </pt>
                <pt idx="1384">
                  <v>42117</v>
                </pt>
                <pt idx="1385">
                  <v>42118</v>
                </pt>
                <pt idx="1386">
                  <v>42121</v>
                </pt>
                <pt idx="1387">
                  <v>42122</v>
                </pt>
                <pt idx="1388">
                  <v>42123</v>
                </pt>
                <pt idx="1389">
                  <v>42124</v>
                </pt>
                <pt idx="1390">
                  <v>42125</v>
                </pt>
                <pt idx="1391">
                  <v>42128</v>
                </pt>
                <pt idx="1392">
                  <v>42129</v>
                </pt>
                <pt idx="1393">
                  <v>42130</v>
                </pt>
                <pt idx="1394">
                  <v>42131</v>
                </pt>
                <pt idx="1395">
                  <v>42132</v>
                </pt>
                <pt idx="1396">
                  <v>42135</v>
                </pt>
                <pt idx="1397">
                  <v>42136</v>
                </pt>
                <pt idx="1398">
                  <v>42137</v>
                </pt>
                <pt idx="1399">
                  <v>42138</v>
                </pt>
                <pt idx="1400">
                  <v>42139</v>
                </pt>
                <pt idx="1401">
                  <v>42142</v>
                </pt>
                <pt idx="1402">
                  <v>42143</v>
                </pt>
                <pt idx="1403">
                  <v>42144</v>
                </pt>
                <pt idx="1404">
                  <v>42145</v>
                </pt>
                <pt idx="1405">
                  <v>42146</v>
                </pt>
                <pt idx="1406">
                  <v>42149</v>
                </pt>
                <pt idx="1407">
                  <v>42150</v>
                </pt>
                <pt idx="1408">
                  <v>42151</v>
                </pt>
                <pt idx="1409">
                  <v>42152</v>
                </pt>
                <pt idx="1410">
                  <v>42153</v>
                </pt>
                <pt idx="1411">
                  <v>42156</v>
                </pt>
                <pt idx="1412">
                  <v>42157</v>
                </pt>
                <pt idx="1413">
                  <v>42158</v>
                </pt>
                <pt idx="1414">
                  <v>42159</v>
                </pt>
                <pt idx="1415">
                  <v>42160</v>
                </pt>
                <pt idx="1416">
                  <v>42163</v>
                </pt>
                <pt idx="1417">
                  <v>42164</v>
                </pt>
                <pt idx="1418">
                  <v>42165</v>
                </pt>
                <pt idx="1419">
                  <v>42166</v>
                </pt>
                <pt idx="1420">
                  <v>42167</v>
                </pt>
                <pt idx="1421">
                  <v>42170</v>
                </pt>
                <pt idx="1422">
                  <v>42171</v>
                </pt>
                <pt idx="1423">
                  <v>42172</v>
                </pt>
                <pt idx="1424">
                  <v>42173</v>
                </pt>
                <pt idx="1425">
                  <v>42174</v>
                </pt>
                <pt idx="1426">
                  <v>42177</v>
                </pt>
                <pt idx="1427">
                  <v>42178</v>
                </pt>
                <pt idx="1428">
                  <v>42179</v>
                </pt>
                <pt idx="1429">
                  <v>42180</v>
                </pt>
                <pt idx="1430">
                  <v>42181</v>
                </pt>
                <pt idx="1431">
                  <v>42184</v>
                </pt>
                <pt idx="1432">
                  <v>42185</v>
                </pt>
                <pt idx="1433">
                  <v>42186</v>
                </pt>
                <pt idx="1434">
                  <v>42187</v>
                </pt>
                <pt idx="1435">
                  <v>42188</v>
                </pt>
                <pt idx="1436">
                  <v>42191</v>
                </pt>
                <pt idx="1437">
                  <v>42192</v>
                </pt>
                <pt idx="1438">
                  <v>42193</v>
                </pt>
                <pt idx="1439">
                  <v>42194</v>
                </pt>
                <pt idx="1440">
                  <v>42195</v>
                </pt>
                <pt idx="1441">
                  <v>42198</v>
                </pt>
                <pt idx="1442">
                  <v>42199</v>
                </pt>
                <pt idx="1443">
                  <v>42200</v>
                </pt>
                <pt idx="1444">
                  <v>42201</v>
                </pt>
                <pt idx="1445">
                  <v>42202</v>
                </pt>
                <pt idx="1446">
                  <v>42205</v>
                </pt>
                <pt idx="1447">
                  <v>42206</v>
                </pt>
                <pt idx="1448">
                  <v>42207</v>
                </pt>
                <pt idx="1449">
                  <v>42208</v>
                </pt>
                <pt idx="1450">
                  <v>42209</v>
                </pt>
                <pt idx="1451">
                  <v>42212</v>
                </pt>
                <pt idx="1452">
                  <v>42213</v>
                </pt>
                <pt idx="1453">
                  <v>42214</v>
                </pt>
                <pt idx="1454">
                  <v>42215</v>
                </pt>
                <pt idx="1455">
                  <v>42216</v>
                </pt>
                <pt idx="1456">
                  <v>42219</v>
                </pt>
                <pt idx="1457">
                  <v>42220</v>
                </pt>
                <pt idx="1458">
                  <v>42221</v>
                </pt>
                <pt idx="1459">
                  <v>42222</v>
                </pt>
                <pt idx="1460">
                  <v>42223</v>
                </pt>
                <pt idx="1461">
                  <v>42226</v>
                </pt>
                <pt idx="1462">
                  <v>42227</v>
                </pt>
                <pt idx="1463">
                  <v>42228</v>
                </pt>
                <pt idx="1464">
                  <v>42229</v>
                </pt>
                <pt idx="1465">
                  <v>42230</v>
                </pt>
                <pt idx="1466">
                  <v>42233</v>
                </pt>
                <pt idx="1467">
                  <v>42234</v>
                </pt>
                <pt idx="1468">
                  <v>42235</v>
                </pt>
                <pt idx="1469">
                  <v>42236</v>
                </pt>
                <pt idx="1470">
                  <v>42237</v>
                </pt>
                <pt idx="1471">
                  <v>42240</v>
                </pt>
                <pt idx="1472">
                  <v>42241</v>
                </pt>
                <pt idx="1473">
                  <v>42242</v>
                </pt>
                <pt idx="1474">
                  <v>42243</v>
                </pt>
                <pt idx="1475">
                  <v>42244</v>
                </pt>
                <pt idx="1476">
                  <v>42247</v>
                </pt>
                <pt idx="1477">
                  <v>42248</v>
                </pt>
                <pt idx="1478">
                  <v>42249</v>
                </pt>
                <pt idx="1479">
                  <v>42250</v>
                </pt>
                <pt idx="1480">
                  <v>42251</v>
                </pt>
                <pt idx="1481">
                  <v>42254</v>
                </pt>
                <pt idx="1482">
                  <v>42255</v>
                </pt>
                <pt idx="1483">
                  <v>42256</v>
                </pt>
                <pt idx="1484">
                  <v>42257</v>
                </pt>
                <pt idx="1485">
                  <v>42258</v>
                </pt>
                <pt idx="1486">
                  <v>42261</v>
                </pt>
                <pt idx="1487">
                  <v>42262</v>
                </pt>
                <pt idx="1488">
                  <v>42263</v>
                </pt>
                <pt idx="1489">
                  <v>42264</v>
                </pt>
                <pt idx="1490">
                  <v>42265</v>
                </pt>
                <pt idx="1491">
                  <v>42268</v>
                </pt>
                <pt idx="1492">
                  <v>42269</v>
                </pt>
                <pt idx="1493">
                  <v>42270</v>
                </pt>
                <pt idx="1494">
                  <v>42271</v>
                </pt>
                <pt idx="1495">
                  <v>42272</v>
                </pt>
                <pt idx="1496">
                  <v>42275</v>
                </pt>
                <pt idx="1497">
                  <v>42276</v>
                </pt>
                <pt idx="1498">
                  <v>42277</v>
                </pt>
                <pt idx="1499">
                  <v>42278</v>
                </pt>
                <pt idx="1500">
                  <v>42279</v>
                </pt>
                <pt idx="1501">
                  <v>42282</v>
                </pt>
                <pt idx="1502">
                  <v>42283</v>
                </pt>
                <pt idx="1503">
                  <v>42284</v>
                </pt>
                <pt idx="1504">
                  <v>42285</v>
                </pt>
                <pt idx="1505">
                  <v>42286</v>
                </pt>
                <pt idx="1506">
                  <v>42289</v>
                </pt>
                <pt idx="1507">
                  <v>42290</v>
                </pt>
                <pt idx="1508">
                  <v>42291</v>
                </pt>
                <pt idx="1509">
                  <v>42292</v>
                </pt>
                <pt idx="1510">
                  <v>42293</v>
                </pt>
                <pt idx="1511">
                  <v>42296</v>
                </pt>
                <pt idx="1512">
                  <v>42297</v>
                </pt>
                <pt idx="1513">
                  <v>42298</v>
                </pt>
                <pt idx="1514">
                  <v>42299</v>
                </pt>
                <pt idx="1515">
                  <v>42300</v>
                </pt>
                <pt idx="1516">
                  <v>42303</v>
                </pt>
                <pt idx="1517">
                  <v>42304</v>
                </pt>
                <pt idx="1518">
                  <v>42305</v>
                </pt>
                <pt idx="1519">
                  <v>42306</v>
                </pt>
                <pt idx="1520">
                  <v>42307</v>
                </pt>
                <pt idx="1521">
                  <v>42310</v>
                </pt>
                <pt idx="1522">
                  <v>42311</v>
                </pt>
                <pt idx="1523">
                  <v>42312</v>
                </pt>
                <pt idx="1524">
                  <v>42313</v>
                </pt>
                <pt idx="1525">
                  <v>42314</v>
                </pt>
                <pt idx="1526">
                  <v>42317</v>
                </pt>
                <pt idx="1527">
                  <v>42318</v>
                </pt>
                <pt idx="1528">
                  <v>42319</v>
                </pt>
                <pt idx="1529">
                  <v>42320</v>
                </pt>
                <pt idx="1530">
                  <v>42321</v>
                </pt>
                <pt idx="1531">
                  <v>42324</v>
                </pt>
                <pt idx="1532">
                  <v>42325</v>
                </pt>
                <pt idx="1533">
                  <v>42326</v>
                </pt>
                <pt idx="1534">
                  <v>42327</v>
                </pt>
                <pt idx="1535">
                  <v>42328</v>
                </pt>
                <pt idx="1536">
                  <v>42331</v>
                </pt>
                <pt idx="1537">
                  <v>42332</v>
                </pt>
                <pt idx="1538">
                  <v>42333</v>
                </pt>
                <pt idx="1539">
                  <v>42334</v>
                </pt>
                <pt idx="1540">
                  <v>42335</v>
                </pt>
                <pt idx="1541">
                  <v>42338</v>
                </pt>
                <pt idx="1542">
                  <v>42339</v>
                </pt>
                <pt idx="1543">
                  <v>42340</v>
                </pt>
                <pt idx="1544">
                  <v>42341</v>
                </pt>
                <pt idx="1545">
                  <v>42342</v>
                </pt>
                <pt idx="1546">
                  <v>42345</v>
                </pt>
                <pt idx="1547">
                  <v>42346</v>
                </pt>
                <pt idx="1548">
                  <v>42347</v>
                </pt>
                <pt idx="1549">
                  <v>42348</v>
                </pt>
                <pt idx="1550">
                  <v>42349</v>
                </pt>
                <pt idx="1551">
                  <v>42352</v>
                </pt>
                <pt idx="1552">
                  <v>42353</v>
                </pt>
                <pt idx="1553">
                  <v>42354</v>
                </pt>
                <pt idx="1554">
                  <v>42355</v>
                </pt>
                <pt idx="1555">
                  <v>42356</v>
                </pt>
                <pt idx="1556">
                  <v>42359</v>
                </pt>
                <pt idx="1557">
                  <v>42360</v>
                </pt>
                <pt idx="1558">
                  <v>42361</v>
                </pt>
                <pt idx="1559">
                  <v>42362</v>
                </pt>
                <pt idx="1560">
                  <v>42363</v>
                </pt>
                <pt idx="1561">
                  <v>42366</v>
                </pt>
                <pt idx="1562">
                  <v>42367</v>
                </pt>
                <pt idx="1563">
                  <v>42368</v>
                </pt>
                <pt idx="1564">
                  <v>42369</v>
                </pt>
                <pt idx="1565">
                  <v>42370</v>
                </pt>
                <pt idx="1566">
                  <v>42373</v>
                </pt>
                <pt idx="1567">
                  <v>42374</v>
                </pt>
                <pt idx="1568">
                  <v>42375</v>
                </pt>
                <pt idx="1569">
                  <v>42376</v>
                </pt>
                <pt idx="1570">
                  <v>42377</v>
                </pt>
                <pt idx="1571">
                  <v>42380</v>
                </pt>
                <pt idx="1572">
                  <v>42381</v>
                </pt>
                <pt idx="1573">
                  <v>42382</v>
                </pt>
                <pt idx="1574">
                  <v>42383</v>
                </pt>
                <pt idx="1575">
                  <v>42384</v>
                </pt>
                <pt idx="1576">
                  <v>42387</v>
                </pt>
                <pt idx="1577">
                  <v>42388</v>
                </pt>
                <pt idx="1578">
                  <v>42389</v>
                </pt>
                <pt idx="1579">
                  <v>42390</v>
                </pt>
                <pt idx="1580">
                  <v>42391</v>
                </pt>
                <pt idx="1581">
                  <v>42394</v>
                </pt>
                <pt idx="1582">
                  <v>42395</v>
                </pt>
                <pt idx="1583">
                  <v>42396</v>
                </pt>
                <pt idx="1584">
                  <v>42397</v>
                </pt>
                <pt idx="1585">
                  <v>42398</v>
                </pt>
                <pt idx="1586">
                  <v>42401</v>
                </pt>
                <pt idx="1587">
                  <v>42402</v>
                </pt>
                <pt idx="1588">
                  <v>42403</v>
                </pt>
                <pt idx="1589">
                  <v>42404</v>
                </pt>
                <pt idx="1590">
                  <v>42405</v>
                </pt>
                <pt idx="1591">
                  <v>42408</v>
                </pt>
                <pt idx="1592">
                  <v>42409</v>
                </pt>
                <pt idx="1593">
                  <v>42410</v>
                </pt>
                <pt idx="1594">
                  <v>42411</v>
                </pt>
                <pt idx="1595">
                  <v>42412</v>
                </pt>
                <pt idx="1596">
                  <v>42415</v>
                </pt>
                <pt idx="1597">
                  <v>42416</v>
                </pt>
                <pt idx="1598">
                  <v>42417</v>
                </pt>
                <pt idx="1599">
                  <v>42418</v>
                </pt>
                <pt idx="1600">
                  <v>42419</v>
                </pt>
                <pt idx="1601">
                  <v>42422</v>
                </pt>
                <pt idx="1602">
                  <v>42423</v>
                </pt>
                <pt idx="1603">
                  <v>42424</v>
                </pt>
                <pt idx="1604">
                  <v>42425</v>
                </pt>
                <pt idx="1605">
                  <v>42426</v>
                </pt>
                <pt idx="1606">
                  <v>42429</v>
                </pt>
                <pt idx="1607">
                  <v>42430</v>
                </pt>
                <pt idx="1608">
                  <v>42431</v>
                </pt>
                <pt idx="1609">
                  <v>42432</v>
                </pt>
                <pt idx="1610">
                  <v>42433</v>
                </pt>
                <pt idx="1611">
                  <v>42436</v>
                </pt>
                <pt idx="1612">
                  <v>42437</v>
                </pt>
                <pt idx="1613">
                  <v>42438</v>
                </pt>
                <pt idx="1614">
                  <v>42439</v>
                </pt>
                <pt idx="1615">
                  <v>42440</v>
                </pt>
                <pt idx="1616">
                  <v>42443</v>
                </pt>
                <pt idx="1617">
                  <v>42444</v>
                </pt>
                <pt idx="1618">
                  <v>42445</v>
                </pt>
                <pt idx="1619">
                  <v>42446</v>
                </pt>
                <pt idx="1620">
                  <v>42447</v>
                </pt>
                <pt idx="1621">
                  <v>42450</v>
                </pt>
                <pt idx="1622">
                  <v>42451</v>
                </pt>
                <pt idx="1623">
                  <v>42452</v>
                </pt>
                <pt idx="1624">
                  <v>42453</v>
                </pt>
                <pt idx="1625">
                  <v>42454</v>
                </pt>
                <pt idx="1626">
                  <v>42457</v>
                </pt>
                <pt idx="1627">
                  <v>42458</v>
                </pt>
                <pt idx="1628">
                  <v>42459</v>
                </pt>
                <pt idx="1629">
                  <v>42460</v>
                </pt>
                <pt idx="1630">
                  <v>42461</v>
                </pt>
                <pt idx="1631">
                  <v>42464</v>
                </pt>
                <pt idx="1632">
                  <v>42465</v>
                </pt>
                <pt idx="1633">
                  <v>42466</v>
                </pt>
                <pt idx="1634">
                  <v>42467</v>
                </pt>
                <pt idx="1635">
                  <v>42468</v>
                </pt>
                <pt idx="1636">
                  <v>42471</v>
                </pt>
                <pt idx="1637">
                  <v>42472</v>
                </pt>
                <pt idx="1638">
                  <v>42473</v>
                </pt>
                <pt idx="1639">
                  <v>42474</v>
                </pt>
                <pt idx="1640">
                  <v>42475</v>
                </pt>
                <pt idx="1641">
                  <v>42478</v>
                </pt>
                <pt idx="1642">
                  <v>42479</v>
                </pt>
                <pt idx="1643">
                  <v>42480</v>
                </pt>
                <pt idx="1644">
                  <v>42481</v>
                </pt>
                <pt idx="1645">
                  <v>42482</v>
                </pt>
                <pt idx="1646">
                  <v>42485</v>
                </pt>
                <pt idx="1647">
                  <v>42486</v>
                </pt>
                <pt idx="1648">
                  <v>42487</v>
                </pt>
                <pt idx="1649">
                  <v>42488</v>
                </pt>
                <pt idx="1650">
                  <v>42489</v>
                </pt>
                <pt idx="1651">
                  <v>42492</v>
                </pt>
                <pt idx="1652">
                  <v>42493</v>
                </pt>
                <pt idx="1653">
                  <v>42494</v>
                </pt>
                <pt idx="1654">
                  <v>42495</v>
                </pt>
                <pt idx="1655">
                  <v>42496</v>
                </pt>
                <pt idx="1656">
                  <v>42499</v>
                </pt>
                <pt idx="1657">
                  <v>42500</v>
                </pt>
                <pt idx="1658">
                  <v>42501</v>
                </pt>
                <pt idx="1659">
                  <v>42502</v>
                </pt>
                <pt idx="1660">
                  <v>42503</v>
                </pt>
                <pt idx="1661">
                  <v>42506</v>
                </pt>
                <pt idx="1662">
                  <v>42507</v>
                </pt>
                <pt idx="1663">
                  <v>42508</v>
                </pt>
                <pt idx="1664">
                  <v>42509</v>
                </pt>
                <pt idx="1665">
                  <v>42510</v>
                </pt>
                <pt idx="1666">
                  <v>42513</v>
                </pt>
                <pt idx="1667">
                  <v>42514</v>
                </pt>
                <pt idx="1668">
                  <v>42515</v>
                </pt>
                <pt idx="1669">
                  <v>42516</v>
                </pt>
                <pt idx="1670">
                  <v>42517</v>
                </pt>
                <pt idx="1671">
                  <v>42520</v>
                </pt>
                <pt idx="1672">
                  <v>42521</v>
                </pt>
                <pt idx="1673">
                  <v>42522</v>
                </pt>
                <pt idx="1674">
                  <v>42523</v>
                </pt>
                <pt idx="1675">
                  <v>42524</v>
                </pt>
                <pt idx="1676">
                  <v>42527</v>
                </pt>
                <pt idx="1677">
                  <v>42528</v>
                </pt>
                <pt idx="1678">
                  <v>42529</v>
                </pt>
                <pt idx="1679">
                  <v>42530</v>
                </pt>
                <pt idx="1680">
                  <v>42531</v>
                </pt>
                <pt idx="1681">
                  <v>42534</v>
                </pt>
                <pt idx="1682">
                  <v>42535</v>
                </pt>
                <pt idx="1683">
                  <v>42536</v>
                </pt>
                <pt idx="1684">
                  <v>42537</v>
                </pt>
                <pt idx="1685">
                  <v>42538</v>
                </pt>
                <pt idx="1686">
                  <v>42541</v>
                </pt>
                <pt idx="1687">
                  <v>42542</v>
                </pt>
                <pt idx="1688">
                  <v>42543</v>
                </pt>
                <pt idx="1689">
                  <v>42544</v>
                </pt>
                <pt idx="1690">
                  <v>42545</v>
                </pt>
                <pt idx="1691">
                  <v>42548</v>
                </pt>
                <pt idx="1692">
                  <v>42549</v>
                </pt>
                <pt idx="1693">
                  <v>42550</v>
                </pt>
                <pt idx="1694">
                  <v>42551</v>
                </pt>
                <pt idx="1695">
                  <v>42552</v>
                </pt>
                <pt idx="1696">
                  <v>42555</v>
                </pt>
                <pt idx="1697">
                  <v>42556</v>
                </pt>
                <pt idx="1698">
                  <v>42557</v>
                </pt>
                <pt idx="1699">
                  <v>42558</v>
                </pt>
                <pt idx="1700">
                  <v>42559</v>
                </pt>
                <pt idx="1701">
                  <v>42562</v>
                </pt>
                <pt idx="1702">
                  <v>42563</v>
                </pt>
                <pt idx="1703">
                  <v>42564</v>
                </pt>
                <pt idx="1704">
                  <v>42565</v>
                </pt>
                <pt idx="1705">
                  <v>42566</v>
                </pt>
                <pt idx="1706">
                  <v>42569</v>
                </pt>
                <pt idx="1707">
                  <v>42570</v>
                </pt>
                <pt idx="1708">
                  <v>42571</v>
                </pt>
                <pt idx="1709">
                  <v>42572</v>
                </pt>
                <pt idx="1710">
                  <v>42573</v>
                </pt>
                <pt idx="1711">
                  <v>42576</v>
                </pt>
                <pt idx="1712">
                  <v>42577</v>
                </pt>
                <pt idx="1713">
                  <v>42578</v>
                </pt>
                <pt idx="1714">
                  <v>42579</v>
                </pt>
                <pt idx="1715">
                  <v>42580</v>
                </pt>
                <pt idx="1716">
                  <v>42583</v>
                </pt>
                <pt idx="1717">
                  <v>42584</v>
                </pt>
                <pt idx="1718">
                  <v>42585</v>
                </pt>
                <pt idx="1719">
                  <v>42586</v>
                </pt>
                <pt idx="1720">
                  <v>42587</v>
                </pt>
                <pt idx="1721">
                  <v>42590</v>
                </pt>
                <pt idx="1722">
                  <v>42591</v>
                </pt>
                <pt idx="1723">
                  <v>42592</v>
                </pt>
                <pt idx="1724">
                  <v>42593</v>
                </pt>
                <pt idx="1725">
                  <v>42594</v>
                </pt>
                <pt idx="1726">
                  <v>42597</v>
                </pt>
                <pt idx="1727">
                  <v>42598</v>
                </pt>
                <pt idx="1728">
                  <v>42599</v>
                </pt>
                <pt idx="1729">
                  <v>42600</v>
                </pt>
                <pt idx="1730">
                  <v>42601</v>
                </pt>
                <pt idx="1731">
                  <v>42604</v>
                </pt>
                <pt idx="1732">
                  <v>42605</v>
                </pt>
                <pt idx="1733">
                  <v>42606</v>
                </pt>
                <pt idx="1734">
                  <v>42607</v>
                </pt>
                <pt idx="1735">
                  <v>42608</v>
                </pt>
                <pt idx="1736">
                  <v>42611</v>
                </pt>
                <pt idx="1737">
                  <v>42612</v>
                </pt>
                <pt idx="1738">
                  <v>42613</v>
                </pt>
                <pt idx="1739">
                  <v>42614</v>
                </pt>
                <pt idx="1740">
                  <v>42615</v>
                </pt>
                <pt idx="1741">
                  <v>42618</v>
                </pt>
                <pt idx="1742">
                  <v>42619</v>
                </pt>
                <pt idx="1743">
                  <v>42620</v>
                </pt>
                <pt idx="1744">
                  <v>42621</v>
                </pt>
                <pt idx="1745">
                  <v>42622</v>
                </pt>
                <pt idx="1746">
                  <v>42625</v>
                </pt>
                <pt idx="1747">
                  <v>42626</v>
                </pt>
                <pt idx="1748">
                  <v>42627</v>
                </pt>
                <pt idx="1749">
                  <v>42628</v>
                </pt>
                <pt idx="1750">
                  <v>42629</v>
                </pt>
                <pt idx="1751">
                  <v>42632</v>
                </pt>
                <pt idx="1752">
                  <v>42633</v>
                </pt>
                <pt idx="1753">
                  <v>42634</v>
                </pt>
                <pt idx="1754">
                  <v>42635</v>
                </pt>
                <pt idx="1755">
                  <v>42636</v>
                </pt>
                <pt idx="1756">
                  <v>42639</v>
                </pt>
                <pt idx="1757">
                  <v>42640</v>
                </pt>
                <pt idx="1758">
                  <v>42641</v>
                </pt>
                <pt idx="1759">
                  <v>42642</v>
                </pt>
                <pt idx="1760">
                  <v>42643</v>
                </pt>
                <pt idx="1761">
                  <v>42646</v>
                </pt>
                <pt idx="1762">
                  <v>42647</v>
                </pt>
                <pt idx="1763">
                  <v>42648</v>
                </pt>
                <pt idx="1764">
                  <v>42649</v>
                </pt>
                <pt idx="1765">
                  <v>42650</v>
                </pt>
                <pt idx="1766">
                  <v>42653</v>
                </pt>
                <pt idx="1767">
                  <v>42654</v>
                </pt>
                <pt idx="1768">
                  <v>42655</v>
                </pt>
                <pt idx="1769">
                  <v>42656</v>
                </pt>
                <pt idx="1770">
                  <v>42657</v>
                </pt>
                <pt idx="1771">
                  <v>42660</v>
                </pt>
                <pt idx="1772">
                  <v>42661</v>
                </pt>
                <pt idx="1773">
                  <v>42662</v>
                </pt>
                <pt idx="1774">
                  <v>42663</v>
                </pt>
                <pt idx="1775">
                  <v>42664</v>
                </pt>
                <pt idx="1776">
                  <v>42667</v>
                </pt>
                <pt idx="1777">
                  <v>42668</v>
                </pt>
                <pt idx="1778">
                  <v>42669</v>
                </pt>
                <pt idx="1779">
                  <v>42670</v>
                </pt>
                <pt idx="1780">
                  <v>42671</v>
                </pt>
                <pt idx="1781">
                  <v>42674</v>
                </pt>
                <pt idx="1782">
                  <v>42675</v>
                </pt>
                <pt idx="1783">
                  <v>42676</v>
                </pt>
                <pt idx="1784">
                  <v>42677</v>
                </pt>
                <pt idx="1785">
                  <v>42678</v>
                </pt>
                <pt idx="1786">
                  <v>42681</v>
                </pt>
                <pt idx="1787">
                  <v>42682</v>
                </pt>
                <pt idx="1788">
                  <v>42683</v>
                </pt>
                <pt idx="1789">
                  <v>42684</v>
                </pt>
                <pt idx="1790">
                  <v>42685</v>
                </pt>
                <pt idx="1791">
                  <v>42688</v>
                </pt>
                <pt idx="1792">
                  <v>42689</v>
                </pt>
                <pt idx="1793">
                  <v>42690</v>
                </pt>
                <pt idx="1794">
                  <v>42691</v>
                </pt>
                <pt idx="1795">
                  <v>42692</v>
                </pt>
                <pt idx="1796">
                  <v>42695</v>
                </pt>
                <pt idx="1797">
                  <v>42696</v>
                </pt>
                <pt idx="1798">
                  <v>42697</v>
                </pt>
                <pt idx="1799">
                  <v>42698</v>
                </pt>
                <pt idx="1800">
                  <v>42699</v>
                </pt>
                <pt idx="1801">
                  <v>42702</v>
                </pt>
                <pt idx="1802">
                  <v>42703</v>
                </pt>
                <pt idx="1803">
                  <v>42704</v>
                </pt>
                <pt idx="1804">
                  <v>42705</v>
                </pt>
                <pt idx="1805">
                  <v>42706</v>
                </pt>
                <pt idx="1806">
                  <v>42709</v>
                </pt>
                <pt idx="1807">
                  <v>42710</v>
                </pt>
                <pt idx="1808">
                  <v>42711</v>
                </pt>
                <pt idx="1809">
                  <v>42712</v>
                </pt>
                <pt idx="1810">
                  <v>42713</v>
                </pt>
                <pt idx="1811">
                  <v>42716</v>
                </pt>
                <pt idx="1812">
                  <v>42717</v>
                </pt>
                <pt idx="1813">
                  <v>42718</v>
                </pt>
                <pt idx="1814">
                  <v>42719</v>
                </pt>
                <pt idx="1815">
                  <v>42720</v>
                </pt>
                <pt idx="1816">
                  <v>42723</v>
                </pt>
                <pt idx="1817">
                  <v>42724</v>
                </pt>
                <pt idx="1818">
                  <v>42725</v>
                </pt>
                <pt idx="1819">
                  <v>42726</v>
                </pt>
                <pt idx="1820">
                  <v>42727</v>
                </pt>
                <pt idx="1821">
                  <v>42730</v>
                </pt>
                <pt idx="1822">
                  <v>42731</v>
                </pt>
                <pt idx="1823">
                  <v>42732</v>
                </pt>
                <pt idx="1824">
                  <v>42733</v>
                </pt>
                <pt idx="1825">
                  <v>42734</v>
                </pt>
                <pt idx="1826">
                  <v>42737</v>
                </pt>
                <pt idx="1827">
                  <v>42738</v>
                </pt>
                <pt idx="1828">
                  <v>42739</v>
                </pt>
                <pt idx="1829">
                  <v>42740</v>
                </pt>
                <pt idx="1830">
                  <v>42741</v>
                </pt>
                <pt idx="1831">
                  <v>42744</v>
                </pt>
                <pt idx="1832">
                  <v>42745</v>
                </pt>
                <pt idx="1833">
                  <v>42746</v>
                </pt>
                <pt idx="1834">
                  <v>42747</v>
                </pt>
                <pt idx="1835">
                  <v>42748</v>
                </pt>
                <pt idx="1836">
                  <v>42751</v>
                </pt>
                <pt idx="1837">
                  <v>42752</v>
                </pt>
                <pt idx="1838">
                  <v>42753</v>
                </pt>
                <pt idx="1839">
                  <v>42754</v>
                </pt>
                <pt idx="1840">
                  <v>42755</v>
                </pt>
                <pt idx="1841">
                  <v>42758</v>
                </pt>
                <pt idx="1842">
                  <v>42759</v>
                </pt>
                <pt idx="1843">
                  <v>42760</v>
                </pt>
                <pt idx="1844">
                  <v>42761</v>
                </pt>
                <pt idx="1845">
                  <v>42762</v>
                </pt>
                <pt idx="1846">
                  <v>42765</v>
                </pt>
                <pt idx="1847">
                  <v>42766</v>
                </pt>
                <pt idx="1848">
                  <v>42767</v>
                </pt>
                <pt idx="1849">
                  <v>42768</v>
                </pt>
                <pt idx="1850">
                  <v>42769</v>
                </pt>
                <pt idx="1851">
                  <v>42772</v>
                </pt>
                <pt idx="1852">
                  <v>42773</v>
                </pt>
                <pt idx="1853">
                  <v>42774</v>
                </pt>
                <pt idx="1854">
                  <v>42775</v>
                </pt>
                <pt idx="1855">
                  <v>42776</v>
                </pt>
                <pt idx="1856">
                  <v>42779</v>
                </pt>
                <pt idx="1857">
                  <v>42780</v>
                </pt>
                <pt idx="1858">
                  <v>42781</v>
                </pt>
                <pt idx="1859">
                  <v>42782</v>
                </pt>
                <pt idx="1860">
                  <v>42783</v>
                </pt>
                <pt idx="1861">
                  <v>42786</v>
                </pt>
                <pt idx="1862">
                  <v>42787</v>
                </pt>
                <pt idx="1863">
                  <v>42788</v>
                </pt>
                <pt idx="1864">
                  <v>42789</v>
                </pt>
                <pt idx="1865">
                  <v>42790</v>
                </pt>
                <pt idx="1866">
                  <v>42793</v>
                </pt>
                <pt idx="1867">
                  <v>42794</v>
                </pt>
                <pt idx="1868">
                  <v>42795</v>
                </pt>
                <pt idx="1869">
                  <v>42796</v>
                </pt>
                <pt idx="1870">
                  <v>42797</v>
                </pt>
                <pt idx="1871">
                  <v>42800</v>
                </pt>
                <pt idx="1872">
                  <v>42801</v>
                </pt>
                <pt idx="1873">
                  <v>42802</v>
                </pt>
                <pt idx="1874">
                  <v>42803</v>
                </pt>
                <pt idx="1875">
                  <v>42804</v>
                </pt>
                <pt idx="1876">
                  <v>42807</v>
                </pt>
                <pt idx="1877">
                  <v>42808</v>
                </pt>
                <pt idx="1878">
                  <v>42809</v>
                </pt>
                <pt idx="1879">
                  <v>42810</v>
                </pt>
                <pt idx="1880">
                  <v>42811</v>
                </pt>
                <pt idx="1881">
                  <v>42814</v>
                </pt>
                <pt idx="1882">
                  <v>42815</v>
                </pt>
                <pt idx="1883">
                  <v>42816</v>
                </pt>
                <pt idx="1884">
                  <v>42817</v>
                </pt>
                <pt idx="1885">
                  <v>42818</v>
                </pt>
                <pt idx="1886">
                  <v>42821</v>
                </pt>
                <pt idx="1887">
                  <v>42822</v>
                </pt>
                <pt idx="1888">
                  <v>42823</v>
                </pt>
                <pt idx="1889">
                  <v>42824</v>
                </pt>
                <pt idx="1890">
                  <v>42825</v>
                </pt>
                <pt idx="1891">
                  <v>42828</v>
                </pt>
                <pt idx="1892">
                  <v>42829</v>
                </pt>
                <pt idx="1893">
                  <v>42830</v>
                </pt>
                <pt idx="1894">
                  <v>42831</v>
                </pt>
                <pt idx="1895">
                  <v>42832</v>
                </pt>
                <pt idx="1896">
                  <v>42835</v>
                </pt>
                <pt idx="1897">
                  <v>42836</v>
                </pt>
                <pt idx="1898">
                  <v>42837</v>
                </pt>
                <pt idx="1899">
                  <v>42838</v>
                </pt>
                <pt idx="1900">
                  <v>42839</v>
                </pt>
                <pt idx="1901">
                  <v>42842</v>
                </pt>
                <pt idx="1902">
                  <v>42843</v>
                </pt>
                <pt idx="1903">
                  <v>42844</v>
                </pt>
                <pt idx="1904">
                  <v>42845</v>
                </pt>
                <pt idx="1905">
                  <v>42846</v>
                </pt>
                <pt idx="1906">
                  <v>42849</v>
                </pt>
                <pt idx="1907">
                  <v>42850</v>
                </pt>
                <pt idx="1908">
                  <v>42851</v>
                </pt>
                <pt idx="1909">
                  <v>42852</v>
                </pt>
                <pt idx="1910">
                  <v>42853</v>
                </pt>
                <pt idx="1911">
                  <v>42856</v>
                </pt>
                <pt idx="1912">
                  <v>42857</v>
                </pt>
                <pt idx="1913">
                  <v>42858</v>
                </pt>
                <pt idx="1914">
                  <v>42859</v>
                </pt>
                <pt idx="1915">
                  <v>42860</v>
                </pt>
                <pt idx="1916">
                  <v>42863</v>
                </pt>
                <pt idx="1917">
                  <v>42864</v>
                </pt>
                <pt idx="1918">
                  <v>42865</v>
                </pt>
                <pt idx="1919">
                  <v>42866</v>
                </pt>
                <pt idx="1920">
                  <v>42867</v>
                </pt>
                <pt idx="1921">
                  <v>42870</v>
                </pt>
                <pt idx="1922">
                  <v>42871</v>
                </pt>
                <pt idx="1923">
                  <v>42872</v>
                </pt>
                <pt idx="1924">
                  <v>42873</v>
                </pt>
                <pt idx="1925">
                  <v>42874</v>
                </pt>
                <pt idx="1926">
                  <v>42877</v>
                </pt>
                <pt idx="1927">
                  <v>42878</v>
                </pt>
                <pt idx="1928">
                  <v>42879</v>
                </pt>
                <pt idx="1929">
                  <v>42880</v>
                </pt>
                <pt idx="1930">
                  <v>42881</v>
                </pt>
                <pt idx="1931">
                  <v>42884</v>
                </pt>
                <pt idx="1932">
                  <v>42885</v>
                </pt>
                <pt idx="1933">
                  <v>42886</v>
                </pt>
                <pt idx="1934">
                  <v>42887</v>
                </pt>
                <pt idx="1935">
                  <v>42888</v>
                </pt>
                <pt idx="1936">
                  <v>42891</v>
                </pt>
                <pt idx="1937">
                  <v>42892</v>
                </pt>
                <pt idx="1938">
                  <v>42893</v>
                </pt>
                <pt idx="1939">
                  <v>42894</v>
                </pt>
                <pt idx="1940">
                  <v>42895</v>
                </pt>
                <pt idx="1941">
                  <v>42898</v>
                </pt>
                <pt idx="1942">
                  <v>42899</v>
                </pt>
                <pt idx="1943">
                  <v>42900</v>
                </pt>
                <pt idx="1944">
                  <v>42901</v>
                </pt>
                <pt idx="1945">
                  <v>42902</v>
                </pt>
                <pt idx="1946">
                  <v>42905</v>
                </pt>
                <pt idx="1947">
                  <v>42906</v>
                </pt>
                <pt idx="1948">
                  <v>42907</v>
                </pt>
                <pt idx="1949">
                  <v>42908</v>
                </pt>
                <pt idx="1950">
                  <v>42909</v>
                </pt>
                <pt idx="1951">
                  <v>42912</v>
                </pt>
                <pt idx="1952">
                  <v>42913</v>
                </pt>
                <pt idx="1953">
                  <v>42914</v>
                </pt>
                <pt idx="1954">
                  <v>42915</v>
                </pt>
                <pt idx="1955">
                  <v>42916</v>
                </pt>
                <pt idx="1956">
                  <v>42919</v>
                </pt>
                <pt idx="1957">
                  <v>42920</v>
                </pt>
                <pt idx="1958">
                  <v>42921</v>
                </pt>
                <pt idx="1959">
                  <v>42922</v>
                </pt>
                <pt idx="1960">
                  <v>42923</v>
                </pt>
                <pt idx="1961">
                  <v>42926</v>
                </pt>
                <pt idx="1962">
                  <v>42927</v>
                </pt>
                <pt idx="1963">
                  <v>42928</v>
                </pt>
                <pt idx="1964">
                  <v>42929</v>
                </pt>
                <pt idx="1965">
                  <v>42930</v>
                </pt>
                <pt idx="1966">
                  <v>42933</v>
                </pt>
                <pt idx="1967">
                  <v>42934</v>
                </pt>
                <pt idx="1968">
                  <v>42935</v>
                </pt>
                <pt idx="1969">
                  <v>42936</v>
                </pt>
                <pt idx="1970">
                  <v>42937</v>
                </pt>
                <pt idx="1971">
                  <v>42940</v>
                </pt>
                <pt idx="1972">
                  <v>42941</v>
                </pt>
                <pt idx="1973">
                  <v>42942</v>
                </pt>
                <pt idx="1974">
                  <v>42943</v>
                </pt>
                <pt idx="1975">
                  <v>42944</v>
                </pt>
                <pt idx="1976">
                  <v>42947</v>
                </pt>
                <pt idx="1977">
                  <v>42948</v>
                </pt>
                <pt idx="1978">
                  <v>42949</v>
                </pt>
                <pt idx="1979">
                  <v>42950</v>
                </pt>
                <pt idx="1980">
                  <v>42951</v>
                </pt>
                <pt idx="1981">
                  <v>42954</v>
                </pt>
                <pt idx="1982">
                  <v>42955</v>
                </pt>
                <pt idx="1983">
                  <v>42956</v>
                </pt>
                <pt idx="1984">
                  <v>42957</v>
                </pt>
                <pt idx="1985">
                  <v>42958</v>
                </pt>
                <pt idx="1986">
                  <v>42961</v>
                </pt>
                <pt idx="1987">
                  <v>42962</v>
                </pt>
                <pt idx="1988">
                  <v>42963</v>
                </pt>
                <pt idx="1989">
                  <v>42964</v>
                </pt>
                <pt idx="1990">
                  <v>42965</v>
                </pt>
                <pt idx="1991">
                  <v>42968</v>
                </pt>
                <pt idx="1992">
                  <v>42969</v>
                </pt>
                <pt idx="1993">
                  <v>42970</v>
                </pt>
                <pt idx="1994">
                  <v>42971</v>
                </pt>
                <pt idx="1995">
                  <v>42972</v>
                </pt>
                <pt idx="1996">
                  <v>42975</v>
                </pt>
                <pt idx="1997">
                  <v>42976</v>
                </pt>
                <pt idx="1998">
                  <v>42977</v>
                </pt>
                <pt idx="1999">
                  <v>42978</v>
                </pt>
                <pt idx="2000">
                  <v>42979</v>
                </pt>
                <pt idx="2001">
                  <v>42982</v>
                </pt>
                <pt idx="2002">
                  <v>42983</v>
                </pt>
                <pt idx="2003">
                  <v>42984</v>
                </pt>
                <pt idx="2004">
                  <v>42985</v>
                </pt>
                <pt idx="2005">
                  <v>42986</v>
                </pt>
                <pt idx="2006">
                  <v>42989</v>
                </pt>
                <pt idx="2007">
                  <v>42990</v>
                </pt>
                <pt idx="2008">
                  <v>42991</v>
                </pt>
                <pt idx="2009">
                  <v>42992</v>
                </pt>
                <pt idx="2010">
                  <v>42993</v>
                </pt>
                <pt idx="2011">
                  <v>42996</v>
                </pt>
                <pt idx="2012">
                  <v>42997</v>
                </pt>
                <pt idx="2013">
                  <v>42998</v>
                </pt>
                <pt idx="2014">
                  <v>42999</v>
                </pt>
                <pt idx="2015">
                  <v>43000</v>
                </pt>
                <pt idx="2016">
                  <v>43003</v>
                </pt>
                <pt idx="2017">
                  <v>43004</v>
                </pt>
                <pt idx="2018">
                  <v>43005</v>
                </pt>
                <pt idx="2019">
                  <v>43006</v>
                </pt>
                <pt idx="2020">
                  <v>43007</v>
                </pt>
                <pt idx="2021">
                  <v>43010</v>
                </pt>
                <pt idx="2022">
                  <v>43011</v>
                </pt>
                <pt idx="2023">
                  <v>43012</v>
                </pt>
                <pt idx="2024">
                  <v>43013</v>
                </pt>
                <pt idx="2025">
                  <v>43014</v>
                </pt>
                <pt idx="2026">
                  <v>43017</v>
                </pt>
                <pt idx="2027">
                  <v>43018</v>
                </pt>
                <pt idx="2028">
                  <v>43019</v>
                </pt>
                <pt idx="2029">
                  <v>43020</v>
                </pt>
                <pt idx="2030">
                  <v>43021</v>
                </pt>
                <pt idx="2031">
                  <v>43024</v>
                </pt>
                <pt idx="2032">
                  <v>43025</v>
                </pt>
                <pt idx="2033">
                  <v>43026</v>
                </pt>
                <pt idx="2034">
                  <v>43027</v>
                </pt>
                <pt idx="2035">
                  <v>43028</v>
                </pt>
                <pt idx="2036">
                  <v>43031</v>
                </pt>
                <pt idx="2037">
                  <v>43032</v>
                </pt>
                <pt idx="2038">
                  <v>43033</v>
                </pt>
                <pt idx="2039">
                  <v>43034</v>
                </pt>
                <pt idx="2040">
                  <v>43035</v>
                </pt>
                <pt idx="2041">
                  <v>43038</v>
                </pt>
                <pt idx="2042">
                  <v>43039</v>
                </pt>
                <pt idx="2043">
                  <v>43040</v>
                </pt>
                <pt idx="2044">
                  <v>43041</v>
                </pt>
                <pt idx="2045">
                  <v>43042</v>
                </pt>
                <pt idx="2046">
                  <v>43045</v>
                </pt>
                <pt idx="2047">
                  <v>43046</v>
                </pt>
                <pt idx="2048">
                  <v>43047</v>
                </pt>
                <pt idx="2049">
                  <v>43048</v>
                </pt>
                <pt idx="2050">
                  <v>43049</v>
                </pt>
                <pt idx="2051">
                  <v>43052</v>
                </pt>
                <pt idx="2052">
                  <v>43053</v>
                </pt>
                <pt idx="2053">
                  <v>43054</v>
                </pt>
                <pt idx="2054">
                  <v>43055</v>
                </pt>
                <pt idx="2055">
                  <v>43056</v>
                </pt>
                <pt idx="2056">
                  <v>43059</v>
                </pt>
                <pt idx="2057">
                  <v>43060</v>
                </pt>
                <pt idx="2058">
                  <v>43061</v>
                </pt>
                <pt idx="2059">
                  <v>43062</v>
                </pt>
                <pt idx="2060">
                  <v>43063</v>
                </pt>
                <pt idx="2061">
                  <v>43066</v>
                </pt>
                <pt idx="2062">
                  <v>43067</v>
                </pt>
                <pt idx="2063">
                  <v>43068</v>
                </pt>
                <pt idx="2064">
                  <v>43069</v>
                </pt>
                <pt idx="2065">
                  <v>43070</v>
                </pt>
                <pt idx="2066">
                  <v>43073</v>
                </pt>
                <pt idx="2067">
                  <v>43074</v>
                </pt>
                <pt idx="2068">
                  <v>43075</v>
                </pt>
                <pt idx="2069">
                  <v>43076</v>
                </pt>
                <pt idx="2070">
                  <v>43077</v>
                </pt>
                <pt idx="2071">
                  <v>43080</v>
                </pt>
                <pt idx="2072">
                  <v>43081</v>
                </pt>
                <pt idx="2073">
                  <v>43082</v>
                </pt>
                <pt idx="2074">
                  <v>43083</v>
                </pt>
                <pt idx="2075">
                  <v>43084</v>
                </pt>
                <pt idx="2076">
                  <v>43087</v>
                </pt>
                <pt idx="2077">
                  <v>43088</v>
                </pt>
                <pt idx="2078">
                  <v>43089</v>
                </pt>
                <pt idx="2079">
                  <v>43090</v>
                </pt>
                <pt idx="2080">
                  <v>43091</v>
                </pt>
                <pt idx="2081">
                  <v>43094</v>
                </pt>
                <pt idx="2082">
                  <v>43095</v>
                </pt>
                <pt idx="2083">
                  <v>43096</v>
                </pt>
                <pt idx="2084">
                  <v>43097</v>
                </pt>
                <pt idx="2085">
                  <v>43098</v>
                </pt>
                <pt idx="2086">
                  <v>43101</v>
                </pt>
                <pt idx="2087">
                  <v>43102</v>
                </pt>
                <pt idx="2088">
                  <v>43103</v>
                </pt>
                <pt idx="2089">
                  <v>43104</v>
                </pt>
                <pt idx="2090">
                  <v>43105</v>
                </pt>
                <pt idx="2091">
                  <v>43108</v>
                </pt>
                <pt idx="2092">
                  <v>43109</v>
                </pt>
                <pt idx="2093">
                  <v>43110</v>
                </pt>
                <pt idx="2094">
                  <v>43111</v>
                </pt>
                <pt idx="2095">
                  <v>43112</v>
                </pt>
                <pt idx="2096">
                  <v>43115</v>
                </pt>
                <pt idx="2097">
                  <v>43116</v>
                </pt>
                <pt idx="2098">
                  <v>43117</v>
                </pt>
                <pt idx="2099">
                  <v>43118</v>
                </pt>
                <pt idx="2100">
                  <v>43119</v>
                </pt>
                <pt idx="2101">
                  <v>43122</v>
                </pt>
                <pt idx="2102">
                  <v>43123</v>
                </pt>
                <pt idx="2103">
                  <v>43124</v>
                </pt>
                <pt idx="2104">
                  <v>43125</v>
                </pt>
                <pt idx="2105">
                  <v>43126</v>
                </pt>
                <pt idx="2106">
                  <v>43129</v>
                </pt>
                <pt idx="2107">
                  <v>43130</v>
                </pt>
                <pt idx="2108">
                  <v>43131</v>
                </pt>
                <pt idx="2109">
                  <v>43132</v>
                </pt>
                <pt idx="2110">
                  <v>43133</v>
                </pt>
                <pt idx="2111">
                  <v>43136</v>
                </pt>
                <pt idx="2112">
                  <v>43137</v>
                </pt>
                <pt idx="2113">
                  <v>43138</v>
                </pt>
                <pt idx="2114">
                  <v>43139</v>
                </pt>
                <pt idx="2115">
                  <v>43140</v>
                </pt>
                <pt idx="2116">
                  <v>43143</v>
                </pt>
                <pt idx="2117">
                  <v>43144</v>
                </pt>
                <pt idx="2118">
                  <v>43145</v>
                </pt>
                <pt idx="2119">
                  <v>43146</v>
                </pt>
                <pt idx="2120">
                  <v>43147</v>
                </pt>
                <pt idx="2121">
                  <v>43150</v>
                </pt>
                <pt idx="2122">
                  <v>43151</v>
                </pt>
                <pt idx="2123">
                  <v>43152</v>
                </pt>
                <pt idx="2124">
                  <v>43153</v>
                </pt>
                <pt idx="2125">
                  <v>43154</v>
                </pt>
                <pt idx="2126">
                  <v>43157</v>
                </pt>
                <pt idx="2127">
                  <v>43158</v>
                </pt>
                <pt idx="2128">
                  <v>43159</v>
                </pt>
                <pt idx="2129">
                  <v>43160</v>
                </pt>
                <pt idx="2130">
                  <v>43161</v>
                </pt>
                <pt idx="2131">
                  <v>43164</v>
                </pt>
                <pt idx="2132">
                  <v>43165</v>
                </pt>
                <pt idx="2133">
                  <v>43166</v>
                </pt>
                <pt idx="2134">
                  <v>43167</v>
                </pt>
                <pt idx="2135">
                  <v>43168</v>
                </pt>
                <pt idx="2136">
                  <v>43171</v>
                </pt>
                <pt idx="2137">
                  <v>43172</v>
                </pt>
                <pt idx="2138">
                  <v>43173</v>
                </pt>
                <pt idx="2139">
                  <v>43174</v>
                </pt>
                <pt idx="2140">
                  <v>43175</v>
                </pt>
                <pt idx="2141">
                  <v>43178</v>
                </pt>
                <pt idx="2142">
                  <v>43179</v>
                </pt>
                <pt idx="2143">
                  <v>43180</v>
                </pt>
                <pt idx="2144">
                  <v>43181</v>
                </pt>
                <pt idx="2145">
                  <v>43182</v>
                </pt>
                <pt idx="2146">
                  <v>43185</v>
                </pt>
                <pt idx="2147">
                  <v>43186</v>
                </pt>
                <pt idx="2148">
                  <v>43187</v>
                </pt>
                <pt idx="2149">
                  <v>43188</v>
                </pt>
                <pt idx="2150">
                  <v>43189</v>
                </pt>
                <pt idx="2151">
                  <v>43192</v>
                </pt>
                <pt idx="2152">
                  <v>43193</v>
                </pt>
                <pt idx="2153">
                  <v>43194</v>
                </pt>
                <pt idx="2154">
                  <v>43195</v>
                </pt>
                <pt idx="2155">
                  <v>43196</v>
                </pt>
                <pt idx="2156">
                  <v>43199</v>
                </pt>
                <pt idx="2157">
                  <v>43200</v>
                </pt>
                <pt idx="2158">
                  <v>43201</v>
                </pt>
                <pt idx="2159">
                  <v>43202</v>
                </pt>
                <pt idx="2160">
                  <v>43203</v>
                </pt>
                <pt idx="2161">
                  <v>43206</v>
                </pt>
                <pt idx="2162">
                  <v>43207</v>
                </pt>
                <pt idx="2163">
                  <v>43208</v>
                </pt>
                <pt idx="2164">
                  <v>43209</v>
                </pt>
                <pt idx="2165">
                  <v>43210</v>
                </pt>
                <pt idx="2166">
                  <v>43213</v>
                </pt>
                <pt idx="2167">
                  <v>43214</v>
                </pt>
                <pt idx="2168">
                  <v>43215</v>
                </pt>
                <pt idx="2169">
                  <v>43216</v>
                </pt>
                <pt idx="2170">
                  <v>43217</v>
                </pt>
                <pt idx="2171">
                  <v>43220</v>
                </pt>
                <pt idx="2172">
                  <v>43221</v>
                </pt>
                <pt idx="2173">
                  <v>43222</v>
                </pt>
                <pt idx="2174">
                  <v>43223</v>
                </pt>
                <pt idx="2175">
                  <v>43224</v>
                </pt>
                <pt idx="2176">
                  <v>43227</v>
                </pt>
                <pt idx="2177">
                  <v>43228</v>
                </pt>
                <pt idx="2178">
                  <v>43229</v>
                </pt>
                <pt idx="2179">
                  <v>43230</v>
                </pt>
                <pt idx="2180">
                  <v>43231</v>
                </pt>
                <pt idx="2181">
                  <v>43234</v>
                </pt>
                <pt idx="2182">
                  <v>43235</v>
                </pt>
                <pt idx="2183">
                  <v>43236</v>
                </pt>
                <pt idx="2184">
                  <v>43237</v>
                </pt>
                <pt idx="2185">
                  <v>43238</v>
                </pt>
                <pt idx="2186">
                  <v>43241</v>
                </pt>
                <pt idx="2187">
                  <v>43242</v>
                </pt>
                <pt idx="2188">
                  <v>43243</v>
                </pt>
                <pt idx="2189">
                  <v>43244</v>
                </pt>
                <pt idx="2190">
                  <v>43245</v>
                </pt>
                <pt idx="2191">
                  <v>43248</v>
                </pt>
                <pt idx="2192">
                  <v>43249</v>
                </pt>
                <pt idx="2193">
                  <v>43250</v>
                </pt>
                <pt idx="2194">
                  <v>43251</v>
                </pt>
                <pt idx="2195">
                  <v>43252</v>
                </pt>
                <pt idx="2196">
                  <v>43255</v>
                </pt>
                <pt idx="2197">
                  <v>43256</v>
                </pt>
                <pt idx="2198">
                  <v>43257</v>
                </pt>
                <pt idx="2199">
                  <v>43258</v>
                </pt>
                <pt idx="2200">
                  <v>43259</v>
                </pt>
                <pt idx="2201">
                  <v>43262</v>
                </pt>
                <pt idx="2202">
                  <v>43263</v>
                </pt>
                <pt idx="2203">
                  <v>43264</v>
                </pt>
                <pt idx="2204">
                  <v>43265</v>
                </pt>
                <pt idx="2205">
                  <v>43266</v>
                </pt>
                <pt idx="2206">
                  <v>43269</v>
                </pt>
                <pt idx="2207">
                  <v>43270</v>
                </pt>
                <pt idx="2208">
                  <v>43271</v>
                </pt>
                <pt idx="2209">
                  <v>43272</v>
                </pt>
                <pt idx="2210">
                  <v>43273</v>
                </pt>
                <pt idx="2211">
                  <v>43276</v>
                </pt>
                <pt idx="2212">
                  <v>43277</v>
                </pt>
                <pt idx="2213">
                  <v>43278</v>
                </pt>
                <pt idx="2214">
                  <v>43279</v>
                </pt>
                <pt idx="2215">
                  <v>43280</v>
                </pt>
                <pt idx="2216">
                  <v>43283</v>
                </pt>
                <pt idx="2217">
                  <v>43284</v>
                </pt>
                <pt idx="2218">
                  <v>43285</v>
                </pt>
                <pt idx="2219">
                  <v>43286</v>
                </pt>
                <pt idx="2220">
                  <v>43287</v>
                </pt>
                <pt idx="2221">
                  <v>43290</v>
                </pt>
                <pt idx="2222">
                  <v>43291</v>
                </pt>
                <pt idx="2223">
                  <v>43292</v>
                </pt>
                <pt idx="2224">
                  <v>43293</v>
                </pt>
                <pt idx="2225">
                  <v>43294</v>
                </pt>
                <pt idx="2226">
                  <v>43297</v>
                </pt>
                <pt idx="2227">
                  <v>43298</v>
                </pt>
                <pt idx="2228">
                  <v>43299</v>
                </pt>
                <pt idx="2229">
                  <v>43300</v>
                </pt>
                <pt idx="2230">
                  <v>43301</v>
                </pt>
                <pt idx="2231">
                  <v>43304</v>
                </pt>
                <pt idx="2232">
                  <v>43305</v>
                </pt>
                <pt idx="2233">
                  <v>43306</v>
                </pt>
                <pt idx="2234">
                  <v>43307</v>
                </pt>
                <pt idx="2235">
                  <v>43308</v>
                </pt>
                <pt idx="2236">
                  <v>43311</v>
                </pt>
                <pt idx="2237">
                  <v>43312</v>
                </pt>
                <pt idx="2238">
                  <v>43313</v>
                </pt>
                <pt idx="2239">
                  <v>43314</v>
                </pt>
                <pt idx="2240">
                  <v>43315</v>
                </pt>
                <pt idx="2241">
                  <v>43318</v>
                </pt>
                <pt idx="2242">
                  <v>43319</v>
                </pt>
                <pt idx="2243">
                  <v>43320</v>
                </pt>
                <pt idx="2244">
                  <v>43321</v>
                </pt>
                <pt idx="2245">
                  <v>43322</v>
                </pt>
                <pt idx="2246">
                  <v>43325</v>
                </pt>
                <pt idx="2247">
                  <v>43326</v>
                </pt>
                <pt idx="2248">
                  <v>43327</v>
                </pt>
                <pt idx="2249">
                  <v>43328</v>
                </pt>
                <pt idx="2250">
                  <v>43329</v>
                </pt>
                <pt idx="2251">
                  <v>43332</v>
                </pt>
                <pt idx="2252">
                  <v>43333</v>
                </pt>
                <pt idx="2253">
                  <v>43334</v>
                </pt>
                <pt idx="2254">
                  <v>43335</v>
                </pt>
                <pt idx="2255">
                  <v>43336</v>
                </pt>
                <pt idx="2256">
                  <v>43339</v>
                </pt>
                <pt idx="2257">
                  <v>43340</v>
                </pt>
                <pt idx="2258">
                  <v>43341</v>
                </pt>
                <pt idx="2259">
                  <v>43342</v>
                </pt>
                <pt idx="2260">
                  <v>43343</v>
                </pt>
                <pt idx="2261">
                  <v>43346</v>
                </pt>
                <pt idx="2262">
                  <v>43347</v>
                </pt>
                <pt idx="2263">
                  <v>43348</v>
                </pt>
                <pt idx="2264">
                  <v>43349</v>
                </pt>
                <pt idx="2265">
                  <v>43350</v>
                </pt>
                <pt idx="2266">
                  <v>43353</v>
                </pt>
                <pt idx="2267">
                  <v>43354</v>
                </pt>
                <pt idx="2268">
                  <v>43355</v>
                </pt>
                <pt idx="2269">
                  <v>43356</v>
                </pt>
                <pt idx="2270">
                  <v>43357</v>
                </pt>
                <pt idx="2271">
                  <v>43360</v>
                </pt>
                <pt idx="2272">
                  <v>43361</v>
                </pt>
                <pt idx="2273">
                  <v>43362</v>
                </pt>
                <pt idx="2274">
                  <v>43363</v>
                </pt>
                <pt idx="2275">
                  <v>43364</v>
                </pt>
                <pt idx="2276">
                  <v>43367</v>
                </pt>
                <pt idx="2277">
                  <v>43368</v>
                </pt>
                <pt idx="2278">
                  <v>43369</v>
                </pt>
                <pt idx="2279">
                  <v>43370</v>
                </pt>
                <pt idx="2280">
                  <v>43371</v>
                </pt>
                <pt idx="2281">
                  <v>43374</v>
                </pt>
                <pt idx="2282">
                  <v>43375</v>
                </pt>
                <pt idx="2283">
                  <v>43376</v>
                </pt>
                <pt idx="2284">
                  <v>43377</v>
                </pt>
                <pt idx="2285">
                  <v>43378</v>
                </pt>
                <pt idx="2286">
                  <v>43381</v>
                </pt>
                <pt idx="2287">
                  <v>43382</v>
                </pt>
                <pt idx="2288">
                  <v>43383</v>
                </pt>
                <pt idx="2289">
                  <v>43384</v>
                </pt>
                <pt idx="2290">
                  <v>43385</v>
                </pt>
                <pt idx="2291">
                  <v>43388</v>
                </pt>
                <pt idx="2292">
                  <v>43389</v>
                </pt>
                <pt idx="2293">
                  <v>43390</v>
                </pt>
                <pt idx="2294">
                  <v>43391</v>
                </pt>
                <pt idx="2295">
                  <v>43392</v>
                </pt>
                <pt idx="2296">
                  <v>43395</v>
                </pt>
                <pt idx="2297">
                  <v>43396</v>
                </pt>
                <pt idx="2298">
                  <v>43397</v>
                </pt>
                <pt idx="2299">
                  <v>43398</v>
                </pt>
                <pt idx="2300">
                  <v>43399</v>
                </pt>
                <pt idx="2301">
                  <v>43402</v>
                </pt>
                <pt idx="2302">
                  <v>43403</v>
                </pt>
                <pt idx="2303">
                  <v>43404</v>
                </pt>
                <pt idx="2304">
                  <v>43405</v>
                </pt>
                <pt idx="2305">
                  <v>43406</v>
                </pt>
                <pt idx="2306">
                  <v>43409</v>
                </pt>
                <pt idx="2307">
                  <v>43410</v>
                </pt>
                <pt idx="2308">
                  <v>43411</v>
                </pt>
                <pt idx="2309">
                  <v>43412</v>
                </pt>
                <pt idx="2310">
                  <v>43413</v>
                </pt>
                <pt idx="2311">
                  <v>43416</v>
                </pt>
                <pt idx="2312">
                  <v>43417</v>
                </pt>
                <pt idx="2313">
                  <v>43418</v>
                </pt>
                <pt idx="2314">
                  <v>43419</v>
                </pt>
                <pt idx="2315">
                  <v>43420</v>
                </pt>
                <pt idx="2316">
                  <v>43423</v>
                </pt>
                <pt idx="2317">
                  <v>43424</v>
                </pt>
                <pt idx="2318">
                  <v>43425</v>
                </pt>
                <pt idx="2319">
                  <v>43426</v>
                </pt>
                <pt idx="2320">
                  <v>43427</v>
                </pt>
                <pt idx="2321">
                  <v>43430</v>
                </pt>
                <pt idx="2322">
                  <v>43431</v>
                </pt>
                <pt idx="2323">
                  <v>43432</v>
                </pt>
                <pt idx="2324">
                  <v>43433</v>
                </pt>
                <pt idx="2325">
                  <v>43434</v>
                </pt>
                <pt idx="2326">
                  <v>43437</v>
                </pt>
                <pt idx="2327">
                  <v>43438</v>
                </pt>
                <pt idx="2328">
                  <v>43439</v>
                </pt>
                <pt idx="2329">
                  <v>43440</v>
                </pt>
                <pt idx="2330">
                  <v>43441</v>
                </pt>
                <pt idx="2331">
                  <v>43444</v>
                </pt>
                <pt idx="2332">
                  <v>43445</v>
                </pt>
                <pt idx="2333">
                  <v>43446</v>
                </pt>
                <pt idx="2334">
                  <v>43447</v>
                </pt>
                <pt idx="2335">
                  <v>43448</v>
                </pt>
                <pt idx="2336">
                  <v>43451</v>
                </pt>
                <pt idx="2337">
                  <v>43452</v>
                </pt>
                <pt idx="2338">
                  <v>43453</v>
                </pt>
                <pt idx="2339">
                  <v>43454</v>
                </pt>
                <pt idx="2340">
                  <v>43455</v>
                </pt>
                <pt idx="2341">
                  <v>43458</v>
                </pt>
                <pt idx="2342">
                  <v>43459</v>
                </pt>
                <pt idx="2343">
                  <v>43460</v>
                </pt>
                <pt idx="2344">
                  <v>43461</v>
                </pt>
                <pt idx="2345">
                  <v>43462</v>
                </pt>
                <pt idx="2346">
                  <v>43465</v>
                </pt>
                <pt idx="2347">
                  <v>43466</v>
                </pt>
                <pt idx="2348">
                  <v>43467</v>
                </pt>
                <pt idx="2349">
                  <v>43468</v>
                </pt>
                <pt idx="2350">
                  <v>43469</v>
                </pt>
                <pt idx="2351">
                  <v>43472</v>
                </pt>
                <pt idx="2352">
                  <v>43473</v>
                </pt>
                <pt idx="2353">
                  <v>43474</v>
                </pt>
                <pt idx="2354">
                  <v>43475</v>
                </pt>
                <pt idx="2355">
                  <v>43476</v>
                </pt>
                <pt idx="2356">
                  <v>43479</v>
                </pt>
                <pt idx="2357">
                  <v>43480</v>
                </pt>
                <pt idx="2358">
                  <v>43481</v>
                </pt>
                <pt idx="2359">
                  <v>43482</v>
                </pt>
                <pt idx="2360">
                  <v>43483</v>
                </pt>
                <pt idx="2361">
                  <v>43486</v>
                </pt>
                <pt idx="2362">
                  <v>43487</v>
                </pt>
                <pt idx="2363">
                  <v>43488</v>
                </pt>
                <pt idx="2364">
                  <v>43489</v>
                </pt>
                <pt idx="2365">
                  <v>43490</v>
                </pt>
                <pt idx="2366">
                  <v>43493</v>
                </pt>
                <pt idx="2367">
                  <v>43494</v>
                </pt>
                <pt idx="2368">
                  <v>43495</v>
                </pt>
                <pt idx="2369">
                  <v>43496</v>
                </pt>
                <pt idx="2370">
                  <v>43497</v>
                </pt>
                <pt idx="2371">
                  <v>43500</v>
                </pt>
                <pt idx="2372">
                  <v>43501</v>
                </pt>
                <pt idx="2373">
                  <v>43502</v>
                </pt>
                <pt idx="2374">
                  <v>43503</v>
                </pt>
                <pt idx="2375">
                  <v>43504</v>
                </pt>
                <pt idx="2376">
                  <v>43507</v>
                </pt>
                <pt idx="2377">
                  <v>43508</v>
                </pt>
                <pt idx="2378">
                  <v>43509</v>
                </pt>
                <pt idx="2379">
                  <v>43510</v>
                </pt>
                <pt idx="2380">
                  <v>43511</v>
                </pt>
                <pt idx="2381">
                  <v>43514</v>
                </pt>
                <pt idx="2382">
                  <v>43515</v>
                </pt>
                <pt idx="2383">
                  <v>43516</v>
                </pt>
                <pt idx="2384">
                  <v>43517</v>
                </pt>
                <pt idx="2385">
                  <v>43518</v>
                </pt>
                <pt idx="2386">
                  <v>43521</v>
                </pt>
                <pt idx="2387">
                  <v>43522</v>
                </pt>
                <pt idx="2388">
                  <v>43523</v>
                </pt>
                <pt idx="2389">
                  <v>43524</v>
                </pt>
                <pt idx="2390">
                  <v>43525</v>
                </pt>
                <pt idx="2391">
                  <v>43528</v>
                </pt>
                <pt idx="2392">
                  <v>43529</v>
                </pt>
                <pt idx="2393">
                  <v>43530</v>
                </pt>
                <pt idx="2394">
                  <v>43531</v>
                </pt>
                <pt idx="2395">
                  <v>43532</v>
                </pt>
                <pt idx="2396">
                  <v>43535</v>
                </pt>
                <pt idx="2397">
                  <v>43536</v>
                </pt>
                <pt idx="2398">
                  <v>43537</v>
                </pt>
                <pt idx="2399">
                  <v>43538</v>
                </pt>
                <pt idx="2400">
                  <v>43539</v>
                </pt>
                <pt idx="2401">
                  <v>43542</v>
                </pt>
                <pt idx="2402">
                  <v>43543</v>
                </pt>
                <pt idx="2403">
                  <v>43544</v>
                </pt>
                <pt idx="2404">
                  <v>43545</v>
                </pt>
                <pt idx="2405">
                  <v>43546</v>
                </pt>
                <pt idx="2406">
                  <v>43549</v>
                </pt>
                <pt idx="2407">
                  <v>43550</v>
                </pt>
                <pt idx="2408">
                  <v>43551</v>
                </pt>
                <pt idx="2409">
                  <v>43552</v>
                </pt>
                <pt idx="2410">
                  <v>43553</v>
                </pt>
                <pt idx="2411">
                  <v>43556</v>
                </pt>
                <pt idx="2412">
                  <v>43557</v>
                </pt>
                <pt idx="2413">
                  <v>43558</v>
                </pt>
                <pt idx="2414">
                  <v>43559</v>
                </pt>
                <pt idx="2415">
                  <v>43560</v>
                </pt>
                <pt idx="2416">
                  <v>43563</v>
                </pt>
                <pt idx="2417">
                  <v>43564</v>
                </pt>
                <pt idx="2418">
                  <v>43565</v>
                </pt>
                <pt idx="2419">
                  <v>43566</v>
                </pt>
                <pt idx="2420">
                  <v>43567</v>
                </pt>
                <pt idx="2421">
                  <v>43570</v>
                </pt>
                <pt idx="2422">
                  <v>43571</v>
                </pt>
                <pt idx="2423">
                  <v>43572</v>
                </pt>
                <pt idx="2424">
                  <v>43573</v>
                </pt>
                <pt idx="2425">
                  <v>43574</v>
                </pt>
                <pt idx="2426">
                  <v>43577</v>
                </pt>
                <pt idx="2427">
                  <v>43578</v>
                </pt>
                <pt idx="2428">
                  <v>43579</v>
                </pt>
                <pt idx="2429">
                  <v>43580</v>
                </pt>
                <pt idx="2430">
                  <v>43581</v>
                </pt>
                <pt idx="2431">
                  <v>43584</v>
                </pt>
                <pt idx="2432">
                  <v>43585</v>
                </pt>
                <pt idx="2433">
                  <v>43586</v>
                </pt>
                <pt idx="2434">
                  <v>43587</v>
                </pt>
                <pt idx="2435">
                  <v>43588</v>
                </pt>
                <pt idx="2436">
                  <v>43591</v>
                </pt>
                <pt idx="2437">
                  <v>43592</v>
                </pt>
                <pt idx="2438">
                  <v>43593</v>
                </pt>
                <pt idx="2439">
                  <v>43594</v>
                </pt>
                <pt idx="2440">
                  <v>43595</v>
                </pt>
                <pt idx="2441">
                  <v>43598</v>
                </pt>
                <pt idx="2442">
                  <v>43599</v>
                </pt>
                <pt idx="2443">
                  <v>43600</v>
                </pt>
                <pt idx="2444">
                  <v>43601</v>
                </pt>
                <pt idx="2445">
                  <v>43602</v>
                </pt>
                <pt idx="2446">
                  <v>43605</v>
                </pt>
                <pt idx="2447">
                  <v>43606</v>
                </pt>
                <pt idx="2448">
                  <v>43607</v>
                </pt>
                <pt idx="2449">
                  <v>43608</v>
                </pt>
                <pt idx="2450">
                  <v>43609</v>
                </pt>
                <pt idx="2451">
                  <v>43612</v>
                </pt>
                <pt idx="2452">
                  <v>43613</v>
                </pt>
                <pt idx="2453">
                  <v>43614</v>
                </pt>
                <pt idx="2454">
                  <v>43615</v>
                </pt>
                <pt idx="2455">
                  <v>43616</v>
                </pt>
                <pt idx="2456">
                  <v>43619</v>
                </pt>
                <pt idx="2457">
                  <v>43620</v>
                </pt>
                <pt idx="2458">
                  <v>43621</v>
                </pt>
                <pt idx="2459">
                  <v>43622</v>
                </pt>
                <pt idx="2460">
                  <v>43623</v>
                </pt>
                <pt idx="2461">
                  <v>43626</v>
                </pt>
                <pt idx="2462">
                  <v>43627</v>
                </pt>
                <pt idx="2463">
                  <v>43628</v>
                </pt>
                <pt idx="2464">
                  <v>43629</v>
                </pt>
                <pt idx="2465">
                  <v>43630</v>
                </pt>
                <pt idx="2466">
                  <v>43633</v>
                </pt>
                <pt idx="2467">
                  <v>43634</v>
                </pt>
                <pt idx="2468">
                  <v>43635</v>
                </pt>
                <pt idx="2469">
                  <v>43636</v>
                </pt>
                <pt idx="2470">
                  <v>43637</v>
                </pt>
                <pt idx="2471">
                  <v>43640</v>
                </pt>
                <pt idx="2472">
                  <v>43641</v>
                </pt>
                <pt idx="2473">
                  <v>43642</v>
                </pt>
                <pt idx="2474">
                  <v>43643</v>
                </pt>
                <pt idx="2475">
                  <v>43644</v>
                </pt>
                <pt idx="2476">
                  <v>43647</v>
                </pt>
                <pt idx="2477">
                  <v>43648</v>
                </pt>
                <pt idx="2478">
                  <v>43649</v>
                </pt>
                <pt idx="2479">
                  <v>43650</v>
                </pt>
                <pt idx="2480">
                  <v>43651</v>
                </pt>
                <pt idx="2481">
                  <v>43654</v>
                </pt>
                <pt idx="2482">
                  <v>43655</v>
                </pt>
                <pt idx="2483">
                  <v>43656</v>
                </pt>
                <pt idx="2484">
                  <v>43657</v>
                </pt>
                <pt idx="2485">
                  <v>43658</v>
                </pt>
                <pt idx="2486">
                  <v>43661</v>
                </pt>
                <pt idx="2487">
                  <v>43662</v>
                </pt>
                <pt idx="2488">
                  <v>43663</v>
                </pt>
                <pt idx="2489">
                  <v>43664</v>
                </pt>
                <pt idx="2490">
                  <v>43665</v>
                </pt>
                <pt idx="2491">
                  <v>43668</v>
                </pt>
                <pt idx="2492">
                  <v>43669</v>
                </pt>
                <pt idx="2493">
                  <v>43670</v>
                </pt>
                <pt idx="2494">
                  <v>43671</v>
                </pt>
                <pt idx="2495">
                  <v>43672</v>
                </pt>
                <pt idx="2496">
                  <v>43675</v>
                </pt>
                <pt idx="2497">
                  <v>43676</v>
                </pt>
                <pt idx="2498">
                  <v>43677</v>
                </pt>
                <pt idx="2499">
                  <v>43678</v>
                </pt>
                <pt idx="2500">
                  <v>43679</v>
                </pt>
                <pt idx="2501">
                  <v>43682</v>
                </pt>
                <pt idx="2502">
                  <v>43683</v>
                </pt>
                <pt idx="2503">
                  <v>43684</v>
                </pt>
                <pt idx="2504">
                  <v>43685</v>
                </pt>
                <pt idx="2505">
                  <v>43686</v>
                </pt>
                <pt idx="2506">
                  <v>43689</v>
                </pt>
                <pt idx="2507">
                  <v>43690</v>
                </pt>
                <pt idx="2508">
                  <v>43691</v>
                </pt>
                <pt idx="2509">
                  <v>43692</v>
                </pt>
                <pt idx="2510">
                  <v>43693</v>
                </pt>
                <pt idx="2511">
                  <v>43696</v>
                </pt>
                <pt idx="2512">
                  <v>43697</v>
                </pt>
                <pt idx="2513">
                  <v>43698</v>
                </pt>
                <pt idx="2514">
                  <v>43699</v>
                </pt>
                <pt idx="2515">
                  <v>43700</v>
                </pt>
                <pt idx="2516">
                  <v>43703</v>
                </pt>
                <pt idx="2517">
                  <v>43704</v>
                </pt>
                <pt idx="2518">
                  <v>43705</v>
                </pt>
                <pt idx="2519">
                  <v>43706</v>
                </pt>
                <pt idx="2520">
                  <v>43707</v>
                </pt>
                <pt idx="2521">
                  <v>43710</v>
                </pt>
                <pt idx="2522">
                  <v>43711</v>
                </pt>
                <pt idx="2523">
                  <v>43712</v>
                </pt>
                <pt idx="2524">
                  <v>43713</v>
                </pt>
                <pt idx="2525">
                  <v>43714</v>
                </pt>
                <pt idx="2526">
                  <v>43717</v>
                </pt>
                <pt idx="2527">
                  <v>43718</v>
                </pt>
                <pt idx="2528">
                  <v>43719</v>
                </pt>
                <pt idx="2529">
                  <v>43720</v>
                </pt>
                <pt idx="2530">
                  <v>43721</v>
                </pt>
                <pt idx="2531">
                  <v>43724</v>
                </pt>
                <pt idx="2532">
                  <v>43725</v>
                </pt>
                <pt idx="2533">
                  <v>43726</v>
                </pt>
                <pt idx="2534">
                  <v>43727</v>
                </pt>
                <pt idx="2535">
                  <v>43728</v>
                </pt>
                <pt idx="2536">
                  <v>43731</v>
                </pt>
                <pt idx="2537">
                  <v>43732</v>
                </pt>
                <pt idx="2538">
                  <v>43733</v>
                </pt>
                <pt idx="2539">
                  <v>43734</v>
                </pt>
                <pt idx="2540">
                  <v>43735</v>
                </pt>
                <pt idx="2541">
                  <v>43738</v>
                </pt>
                <pt idx="2542">
                  <v>43739</v>
                </pt>
                <pt idx="2543">
                  <v>43740</v>
                </pt>
                <pt idx="2544">
                  <v>43741</v>
                </pt>
                <pt idx="2545">
                  <v>43742</v>
                </pt>
                <pt idx="2546">
                  <v>43745</v>
                </pt>
                <pt idx="2547">
                  <v>43746</v>
                </pt>
                <pt idx="2548">
                  <v>43747</v>
                </pt>
                <pt idx="2549">
                  <v>43748</v>
                </pt>
                <pt idx="2550">
                  <v>43749</v>
                </pt>
                <pt idx="2551">
                  <v>43752</v>
                </pt>
                <pt idx="2552">
                  <v>43753</v>
                </pt>
                <pt idx="2553">
                  <v>43754</v>
                </pt>
                <pt idx="2554">
                  <v>43755</v>
                </pt>
                <pt idx="2555">
                  <v>43756</v>
                </pt>
                <pt idx="2556">
                  <v>43759</v>
                </pt>
                <pt idx="2557">
                  <v>43760</v>
                </pt>
                <pt idx="2558">
                  <v>43761</v>
                </pt>
                <pt idx="2559">
                  <v>43762</v>
                </pt>
                <pt idx="2560">
                  <v>43763</v>
                </pt>
                <pt idx="2561">
                  <v>43766</v>
                </pt>
                <pt idx="2562">
                  <v>43767</v>
                </pt>
                <pt idx="2563">
                  <v>43768</v>
                </pt>
                <pt idx="2564">
                  <v>43769</v>
                </pt>
                <pt idx="2565">
                  <v>43770</v>
                </pt>
                <pt idx="2566">
                  <v>43773</v>
                </pt>
                <pt idx="2567">
                  <v>43774</v>
                </pt>
                <pt idx="2568">
                  <v>43775</v>
                </pt>
                <pt idx="2569">
                  <v>43776</v>
                </pt>
                <pt idx="2570">
                  <v>43777</v>
                </pt>
                <pt idx="2571">
                  <v>43780</v>
                </pt>
                <pt idx="2572">
                  <v>43781</v>
                </pt>
                <pt idx="2573">
                  <v>43782</v>
                </pt>
                <pt idx="2574">
                  <v>43783</v>
                </pt>
                <pt idx="2575">
                  <v>43784</v>
                </pt>
                <pt idx="2576">
                  <v>43787</v>
                </pt>
                <pt idx="2577">
                  <v>43788</v>
                </pt>
                <pt idx="2578">
                  <v>43789</v>
                </pt>
                <pt idx="2579">
                  <v>43790</v>
                </pt>
                <pt idx="2580">
                  <v>43791</v>
                </pt>
                <pt idx="2581">
                  <v>43794</v>
                </pt>
                <pt idx="2582">
                  <v>43795</v>
                </pt>
                <pt idx="2583">
                  <v>43796</v>
                </pt>
                <pt idx="2584">
                  <v>43797</v>
                </pt>
                <pt idx="2585">
                  <v>43798</v>
                </pt>
                <pt idx="2586">
                  <v>43801</v>
                </pt>
                <pt idx="2587">
                  <v>43802</v>
                </pt>
                <pt idx="2588">
                  <v>43803</v>
                </pt>
                <pt idx="2589">
                  <v>43804</v>
                </pt>
                <pt idx="2590">
                  <v>43805</v>
                </pt>
                <pt idx="2591">
                  <v>43808</v>
                </pt>
                <pt idx="2592">
                  <v>43809</v>
                </pt>
                <pt idx="2593">
                  <v>43810</v>
                </pt>
                <pt idx="2594">
                  <v>43811</v>
                </pt>
                <pt idx="2595">
                  <v>43812</v>
                </pt>
                <pt idx="2596">
                  <v>43815</v>
                </pt>
                <pt idx="2597">
                  <v>43816</v>
                </pt>
                <pt idx="2598">
                  <v>43817</v>
                </pt>
                <pt idx="2599">
                  <v>43818</v>
                </pt>
                <pt idx="2600">
                  <v>43819</v>
                </pt>
                <pt idx="2601">
                  <v>43822</v>
                </pt>
                <pt idx="2602">
                  <v>43823</v>
                </pt>
                <pt idx="2603">
                  <v>43824</v>
                </pt>
                <pt idx="2604">
                  <v>43825</v>
                </pt>
                <pt idx="2605">
                  <v>43826</v>
                </pt>
                <pt idx="2606">
                  <v>43829</v>
                </pt>
                <pt idx="2607">
                  <v>43830</v>
                </pt>
                <pt idx="2608">
                  <v>43831</v>
                </pt>
                <pt idx="2609">
                  <v>43832</v>
                </pt>
                <pt idx="2610">
                  <v>43833</v>
                </pt>
                <pt idx="2611">
                  <v>43836</v>
                </pt>
                <pt idx="2612">
                  <v>43837</v>
                </pt>
                <pt idx="2613">
                  <v>43838</v>
                </pt>
                <pt idx="2614">
                  <v>43839</v>
                </pt>
                <pt idx="2615">
                  <v>43840</v>
                </pt>
                <pt idx="2616">
                  <v>43843</v>
                </pt>
                <pt idx="2617">
                  <v>43844</v>
                </pt>
                <pt idx="2618">
                  <v>43845</v>
                </pt>
                <pt idx="2619">
                  <v>43846</v>
                </pt>
                <pt idx="2620">
                  <v>43847</v>
                </pt>
                <pt idx="2621">
                  <v>43850</v>
                </pt>
                <pt idx="2622">
                  <v>43851</v>
                </pt>
                <pt idx="2623">
                  <v>43852</v>
                </pt>
                <pt idx="2624">
                  <v>43853</v>
                </pt>
                <pt idx="2625">
                  <v>43854</v>
                </pt>
                <pt idx="2626">
                  <v>43857</v>
                </pt>
                <pt idx="2627">
                  <v>43858</v>
                </pt>
                <pt idx="2628">
                  <v>43859</v>
                </pt>
                <pt idx="2629">
                  <v>43860</v>
                </pt>
                <pt idx="2630">
                  <v>43861</v>
                </pt>
                <pt idx="2631">
                  <v>43864</v>
                </pt>
                <pt idx="2632">
                  <v>43865</v>
                </pt>
                <pt idx="2633">
                  <v>43866</v>
                </pt>
                <pt idx="2634">
                  <v>43867</v>
                </pt>
                <pt idx="2635">
                  <v>43868</v>
                </pt>
                <pt idx="2636">
                  <v>43871</v>
                </pt>
                <pt idx="2637">
                  <v>43872</v>
                </pt>
                <pt idx="2638">
                  <v>43873</v>
                </pt>
                <pt idx="2639">
                  <v>43874</v>
                </pt>
                <pt idx="2640">
                  <v>43875</v>
                </pt>
                <pt idx="2641">
                  <v>43878</v>
                </pt>
                <pt idx="2642">
                  <v>43879</v>
                </pt>
                <pt idx="2643">
                  <v>43880</v>
                </pt>
                <pt idx="2644">
                  <v>43881</v>
                </pt>
                <pt idx="2645">
                  <v>43882</v>
                </pt>
                <pt idx="2646">
                  <v>43885</v>
                </pt>
                <pt idx="2647">
                  <v>43886</v>
                </pt>
                <pt idx="2648">
                  <v>43887</v>
                </pt>
                <pt idx="2649">
                  <v>43888</v>
                </pt>
                <pt idx="2650">
                  <v>43889</v>
                </pt>
                <pt idx="2651">
                  <v>43892</v>
                </pt>
                <pt idx="2652">
                  <v>43893</v>
                </pt>
                <pt idx="2653">
                  <v>43894</v>
                </pt>
                <pt idx="2654">
                  <v>43895</v>
                </pt>
                <pt idx="2655">
                  <v>43896</v>
                </pt>
                <pt idx="2656">
                  <v>43899</v>
                </pt>
                <pt idx="2657">
                  <v>43900</v>
                </pt>
                <pt idx="2658">
                  <v>43901</v>
                </pt>
                <pt idx="2659">
                  <v>43902</v>
                </pt>
                <pt idx="2660">
                  <v>43903</v>
                </pt>
                <pt idx="2661">
                  <v>43906</v>
                </pt>
                <pt idx="2662">
                  <v>43907</v>
                </pt>
                <pt idx="2663">
                  <v>43908</v>
                </pt>
                <pt idx="2664">
                  <v>43909</v>
                </pt>
                <pt idx="2665">
                  <v>43910</v>
                </pt>
                <pt idx="2666">
                  <v>43913</v>
                </pt>
                <pt idx="2667">
                  <v>43914</v>
                </pt>
                <pt idx="2668">
                  <v>43915</v>
                </pt>
                <pt idx="2669">
                  <v>43916</v>
                </pt>
                <pt idx="2670">
                  <v>43917</v>
                </pt>
                <pt idx="2671">
                  <v>43920</v>
                </pt>
                <pt idx="2672">
                  <v>43921</v>
                </pt>
                <pt idx="2673">
                  <v>43922</v>
                </pt>
                <pt idx="2674">
                  <v>43923</v>
                </pt>
                <pt idx="2675">
                  <v>43924</v>
                </pt>
                <pt idx="2676">
                  <v>43927</v>
                </pt>
                <pt idx="2677">
                  <v>43928</v>
                </pt>
                <pt idx="2678">
                  <v>43929</v>
                </pt>
                <pt idx="2679">
                  <v>43930</v>
                </pt>
                <pt idx="2680">
                  <v>43931</v>
                </pt>
                <pt idx="2681">
                  <v>43934</v>
                </pt>
                <pt idx="2682">
                  <v>43935</v>
                </pt>
                <pt idx="2683">
                  <v>43936</v>
                </pt>
                <pt idx="2684">
                  <v>43937</v>
                </pt>
                <pt idx="2685">
                  <v>43938</v>
                </pt>
                <pt idx="2686">
                  <v>43941</v>
                </pt>
                <pt idx="2687">
                  <v>43942</v>
                </pt>
                <pt idx="2688">
                  <v>43943</v>
                </pt>
                <pt idx="2689">
                  <v>43944</v>
                </pt>
                <pt idx="2690">
                  <v>43945</v>
                </pt>
                <pt idx="2691">
                  <v>43948</v>
                </pt>
                <pt idx="2692">
                  <v>43949</v>
                </pt>
                <pt idx="2693">
                  <v>43950</v>
                </pt>
                <pt idx="2694">
                  <v>43951</v>
                </pt>
                <pt idx="2695">
                  <v>43952</v>
                </pt>
                <pt idx="2696">
                  <v>43955</v>
                </pt>
                <pt idx="2697">
                  <v>43956</v>
                </pt>
                <pt idx="2698">
                  <v>43957</v>
                </pt>
                <pt idx="2699">
                  <v>43958</v>
                </pt>
                <pt idx="2700">
                  <v>43959</v>
                </pt>
                <pt idx="2701">
                  <v>43962</v>
                </pt>
                <pt idx="2702">
                  <v>43963</v>
                </pt>
                <pt idx="2703">
                  <v>43964</v>
                </pt>
                <pt idx="2704">
                  <v>43965</v>
                </pt>
                <pt idx="2705">
                  <v>43966</v>
                </pt>
                <pt idx="2706">
                  <v>43969</v>
                </pt>
                <pt idx="2707">
                  <v>43970</v>
                </pt>
                <pt idx="2708">
                  <v>43971</v>
                </pt>
                <pt idx="2709">
                  <v>43972</v>
                </pt>
                <pt idx="2710">
                  <v>43973</v>
                </pt>
                <pt idx="2711">
                  <v>43976</v>
                </pt>
                <pt idx="2712">
                  <v>43977</v>
                </pt>
                <pt idx="2713">
                  <v>43978</v>
                </pt>
                <pt idx="2714">
                  <v>43979</v>
                </pt>
                <pt idx="2715">
                  <v>43980</v>
                </pt>
                <pt idx="2716">
                  <v>43983</v>
                </pt>
                <pt idx="2717">
                  <v>43984</v>
                </pt>
                <pt idx="2718">
                  <v>43985</v>
                </pt>
                <pt idx="2719">
                  <v>43986</v>
                </pt>
                <pt idx="2720">
                  <v>43987</v>
                </pt>
                <pt idx="2721">
                  <v>43990</v>
                </pt>
                <pt idx="2722">
                  <v>43991</v>
                </pt>
                <pt idx="2723">
                  <v>43992</v>
                </pt>
                <pt idx="2724">
                  <v>43993</v>
                </pt>
                <pt idx="2725">
                  <v>43994</v>
                </pt>
                <pt idx="2726">
                  <v>43997</v>
                </pt>
                <pt idx="2727">
                  <v>43998</v>
                </pt>
                <pt idx="2728">
                  <v>43999</v>
                </pt>
                <pt idx="2729">
                  <v>44000</v>
                </pt>
                <pt idx="2730">
                  <v>44001</v>
                </pt>
                <pt idx="2731">
                  <v>44004</v>
                </pt>
                <pt idx="2732">
                  <v>44005</v>
                </pt>
                <pt idx="2733">
                  <v>44006</v>
                </pt>
                <pt idx="2734">
                  <v>44007</v>
                </pt>
                <pt idx="2735">
                  <v>44008</v>
                </pt>
                <pt idx="2736">
                  <v>44011</v>
                </pt>
                <pt idx="2737">
                  <v>44012</v>
                </pt>
                <pt idx="2738">
                  <v>44013</v>
                </pt>
                <pt idx="2739">
                  <v>44014</v>
                </pt>
                <pt idx="2740">
                  <v>44015</v>
                </pt>
                <pt idx="2741">
                  <v>44018</v>
                </pt>
                <pt idx="2742">
                  <v>44019</v>
                </pt>
                <pt idx="2743">
                  <v>44020</v>
                </pt>
                <pt idx="2744">
                  <v>44021</v>
                </pt>
                <pt idx="2745">
                  <v>44022</v>
                </pt>
                <pt idx="2746">
                  <v>44025</v>
                </pt>
                <pt idx="2747">
                  <v>44026</v>
                </pt>
                <pt idx="2748">
                  <v>44027</v>
                </pt>
                <pt idx="2749">
                  <v>44028</v>
                </pt>
                <pt idx="2750">
                  <v>44029</v>
                </pt>
                <pt idx="2751">
                  <v>44032</v>
                </pt>
                <pt idx="2752">
                  <v>44033</v>
                </pt>
                <pt idx="2753">
                  <v>44034</v>
                </pt>
                <pt idx="2754">
                  <v>44035</v>
                </pt>
                <pt idx="2755">
                  <v>44036</v>
                </pt>
                <pt idx="2756">
                  <v>44039</v>
                </pt>
                <pt idx="2757">
                  <v>44040</v>
                </pt>
                <pt idx="2758">
                  <v>44041</v>
                </pt>
                <pt idx="2759">
                  <v>44042</v>
                </pt>
                <pt idx="2760">
                  <v>44043</v>
                </pt>
                <pt idx="2761">
                  <v>44046</v>
                </pt>
                <pt idx="2762">
                  <v>44047</v>
                </pt>
                <pt idx="2763">
                  <v>44048</v>
                </pt>
                <pt idx="2764">
                  <v>44049</v>
                </pt>
                <pt idx="2765">
                  <v>44050</v>
                </pt>
                <pt idx="2766">
                  <v>44053</v>
                </pt>
                <pt idx="2767">
                  <v>44054</v>
                </pt>
                <pt idx="2768">
                  <v>44055</v>
                </pt>
                <pt idx="2769">
                  <v>44056</v>
                </pt>
                <pt idx="2770">
                  <v>44057</v>
                </pt>
                <pt idx="2771">
                  <v>44060</v>
                </pt>
                <pt idx="2772">
                  <v>44061</v>
                </pt>
                <pt idx="2773">
                  <v>44062</v>
                </pt>
                <pt idx="2774">
                  <v>44063</v>
                </pt>
                <pt idx="2775">
                  <v>44064</v>
                </pt>
                <pt idx="2776">
                  <v>44067</v>
                </pt>
                <pt idx="2777">
                  <v>44068</v>
                </pt>
                <pt idx="2778">
                  <v>44069</v>
                </pt>
                <pt idx="2779">
                  <v>44070</v>
                </pt>
                <pt idx="2780">
                  <v>44071</v>
                </pt>
                <pt idx="2781">
                  <v>44074</v>
                </pt>
                <pt idx="2782">
                  <v>44075</v>
                </pt>
                <pt idx="2783">
                  <v>44076</v>
                </pt>
                <pt idx="2784">
                  <v>44077</v>
                </pt>
                <pt idx="2785">
                  <v>44078</v>
                </pt>
                <pt idx="2786">
                  <v>44081</v>
                </pt>
                <pt idx="2787">
                  <v>44082</v>
                </pt>
                <pt idx="2788">
                  <v>44083</v>
                </pt>
                <pt idx="2789">
                  <v>44084</v>
                </pt>
                <pt idx="2790">
                  <v>44085</v>
                </pt>
                <pt idx="2791">
                  <v>44088</v>
                </pt>
                <pt idx="2792">
                  <v>44089</v>
                </pt>
                <pt idx="2793">
                  <v>44090</v>
                </pt>
                <pt idx="2794">
                  <v>44091</v>
                </pt>
                <pt idx="2795">
                  <v>44092</v>
                </pt>
                <pt idx="2796">
                  <v>44095</v>
                </pt>
                <pt idx="2797">
                  <v>44096</v>
                </pt>
                <pt idx="2798">
                  <v>44097</v>
                </pt>
                <pt idx="2799">
                  <v>44098</v>
                </pt>
                <pt idx="2800">
                  <v>44099</v>
                </pt>
                <pt idx="2801">
                  <v>44102</v>
                </pt>
                <pt idx="2802">
                  <v>44103</v>
                </pt>
                <pt idx="2803">
                  <v>44104</v>
                </pt>
                <pt idx="2804">
                  <v>44105</v>
                </pt>
                <pt idx="2805">
                  <v>44106</v>
                </pt>
                <pt idx="2806">
                  <v>44109</v>
                </pt>
                <pt idx="2807">
                  <v>44110</v>
                </pt>
                <pt idx="2808">
                  <v>44111</v>
                </pt>
                <pt idx="2809">
                  <v>44112</v>
                </pt>
                <pt idx="2810">
                  <v>44113</v>
                </pt>
                <pt idx="2811">
                  <v>44116</v>
                </pt>
                <pt idx="2812">
                  <v>44117</v>
                </pt>
                <pt idx="2813">
                  <v>44118</v>
                </pt>
                <pt idx="2814">
                  <v>44119</v>
                </pt>
                <pt idx="2815">
                  <v>44120</v>
                </pt>
                <pt idx="2816">
                  <v>44123</v>
                </pt>
                <pt idx="2817">
                  <v>44124</v>
                </pt>
                <pt idx="2818">
                  <v>44125</v>
                </pt>
                <pt idx="2819">
                  <v>44126</v>
                </pt>
                <pt idx="2820">
                  <v>44127</v>
                </pt>
                <pt idx="2821">
                  <v>44130</v>
                </pt>
                <pt idx="2822">
                  <v>44131</v>
                </pt>
                <pt idx="2823">
                  <v>44132</v>
                </pt>
                <pt idx="2824">
                  <v>44133</v>
                </pt>
                <pt idx="2825">
                  <v>44134</v>
                </pt>
                <pt idx="2826">
                  <v>44137</v>
                </pt>
                <pt idx="2827">
                  <v>44138</v>
                </pt>
                <pt idx="2828">
                  <v>44139</v>
                </pt>
                <pt idx="2829">
                  <v>44140</v>
                </pt>
                <pt idx="2830">
                  <v>44141</v>
                </pt>
                <pt idx="2831">
                  <v>44144</v>
                </pt>
                <pt idx="2832">
                  <v>44145</v>
                </pt>
                <pt idx="2833">
                  <v>44146</v>
                </pt>
                <pt idx="2834">
                  <v>44147</v>
                </pt>
                <pt idx="2835">
                  <v>44148</v>
                </pt>
                <pt idx="2836">
                  <v>44151</v>
                </pt>
                <pt idx="2837">
                  <v>44152</v>
                </pt>
                <pt idx="2838">
                  <v>44153</v>
                </pt>
                <pt idx="2839">
                  <v>44154</v>
                </pt>
                <pt idx="2840">
                  <v>44155</v>
                </pt>
                <pt idx="2841">
                  <v>44158</v>
                </pt>
                <pt idx="2842">
                  <v>44159</v>
                </pt>
                <pt idx="2843">
                  <v>44160</v>
                </pt>
                <pt idx="2844">
                  <v>44161</v>
                </pt>
                <pt idx="2845">
                  <v>44162</v>
                </pt>
                <pt idx="2846">
                  <v>44165</v>
                </pt>
                <pt idx="2847">
                  <v>44166</v>
                </pt>
                <pt idx="2848">
                  <v>44167</v>
                </pt>
                <pt idx="2849">
                  <v>44168</v>
                </pt>
                <pt idx="2850">
                  <v>44169</v>
                </pt>
                <pt idx="2851">
                  <v>44172</v>
                </pt>
                <pt idx="2852">
                  <v>44173</v>
                </pt>
                <pt idx="2853">
                  <v>44174</v>
                </pt>
                <pt idx="2854">
                  <v>44175</v>
                </pt>
                <pt idx="2855">
                  <v>44176</v>
                </pt>
                <pt idx="2856">
                  <v>44179</v>
                </pt>
                <pt idx="2857">
                  <v>44180</v>
                </pt>
                <pt idx="2858">
                  <v>44181</v>
                </pt>
                <pt idx="2859">
                  <v>44182</v>
                </pt>
                <pt idx="2860">
                  <v>44183</v>
                </pt>
                <pt idx="2861">
                  <v>44186</v>
                </pt>
                <pt idx="2862">
                  <v>44187</v>
                </pt>
                <pt idx="2863">
                  <v>44188</v>
                </pt>
                <pt idx="2864">
                  <v>44189</v>
                </pt>
                <pt idx="2865">
                  <v>44190</v>
                </pt>
                <pt idx="2866">
                  <v>44193</v>
                </pt>
                <pt idx="2867">
                  <v>44194</v>
                </pt>
                <pt idx="2868">
                  <v>44195</v>
                </pt>
                <pt idx="2869">
                  <v>44196</v>
                </pt>
                <pt idx="2870">
                  <v>44197</v>
                </pt>
                <pt idx="2871">
                  <v>44200</v>
                </pt>
                <pt idx="2872">
                  <v>44201</v>
                </pt>
                <pt idx="2873">
                  <v>44202</v>
                </pt>
                <pt idx="2874">
                  <v>44203</v>
                </pt>
                <pt idx="2875">
                  <v>44204</v>
                </pt>
                <pt idx="2876">
                  <v>44207</v>
                </pt>
                <pt idx="2877">
                  <v>44208</v>
                </pt>
                <pt idx="2878">
                  <v>44209</v>
                </pt>
                <pt idx="2879">
                  <v>44210</v>
                </pt>
                <pt idx="2880">
                  <v>44211</v>
                </pt>
                <pt idx="2881">
                  <v>44214</v>
                </pt>
                <pt idx="2882">
                  <v>44215</v>
                </pt>
                <pt idx="2883">
                  <v>44216</v>
                </pt>
                <pt idx="2884">
                  <v>44217</v>
                </pt>
                <pt idx="2885">
                  <v>44218</v>
                </pt>
                <pt idx="2886">
                  <v>44221</v>
                </pt>
                <pt idx="2887">
                  <v>44222</v>
                </pt>
                <pt idx="2888">
                  <v>44223</v>
                </pt>
                <pt idx="2889">
                  <v>44224</v>
                </pt>
                <pt idx="2890">
                  <v>44225</v>
                </pt>
                <pt idx="2891">
                  <v>44228</v>
                </pt>
                <pt idx="2892">
                  <v>44229</v>
                </pt>
                <pt idx="2893">
                  <v>44230</v>
                </pt>
                <pt idx="2894">
                  <v>44231</v>
                </pt>
                <pt idx="2895">
                  <v>44232</v>
                </pt>
                <pt idx="2896">
                  <v>44235</v>
                </pt>
                <pt idx="2897">
                  <v>44236</v>
                </pt>
                <pt idx="2898">
                  <v>44237</v>
                </pt>
                <pt idx="2899">
                  <v>44238</v>
                </pt>
                <pt idx="2900">
                  <v>44239</v>
                </pt>
                <pt idx="2901">
                  <v>44242</v>
                </pt>
                <pt idx="2902">
                  <v>44243</v>
                </pt>
                <pt idx="2903">
                  <v>44244</v>
                </pt>
                <pt idx="2904">
                  <v>44245</v>
                </pt>
                <pt idx="2905">
                  <v>44246</v>
                </pt>
                <pt idx="2906">
                  <v>44249</v>
                </pt>
                <pt idx="2907">
                  <v>44250</v>
                </pt>
                <pt idx="2908">
                  <v>44251</v>
                </pt>
                <pt idx="2909">
                  <v>44252</v>
                </pt>
                <pt idx="2910">
                  <v>44253</v>
                </pt>
                <pt idx="2911">
                  <v>44256</v>
                </pt>
                <pt idx="2912">
                  <v>44257</v>
                </pt>
                <pt idx="2913">
                  <v>44258</v>
                </pt>
                <pt idx="2914">
                  <v>44259</v>
                </pt>
                <pt idx="2915">
                  <v>44260</v>
                </pt>
                <pt idx="2916">
                  <v>44263</v>
                </pt>
                <pt idx="2917">
                  <v>44264</v>
                </pt>
                <pt idx="2918">
                  <v>44265</v>
                </pt>
                <pt idx="2919">
                  <v>44266</v>
                </pt>
                <pt idx="2920">
                  <v>44267</v>
                </pt>
                <pt idx="2921">
                  <v>44270</v>
                </pt>
                <pt idx="2922">
                  <v>44271</v>
                </pt>
                <pt idx="2923">
                  <v>44272</v>
                </pt>
                <pt idx="2924">
                  <v>44273</v>
                </pt>
                <pt idx="2925">
                  <v>44274</v>
                </pt>
                <pt idx="2926">
                  <v>44277</v>
                </pt>
                <pt idx="2927">
                  <v>44278</v>
                </pt>
                <pt idx="2928">
                  <v>44279</v>
                </pt>
                <pt idx="2929">
                  <v>44280</v>
                </pt>
                <pt idx="2930">
                  <v>44281</v>
                </pt>
                <pt idx="2931">
                  <v>44284</v>
                </pt>
                <pt idx="2932">
                  <v>44285</v>
                </pt>
                <pt idx="2933">
                  <v>44286</v>
                </pt>
                <pt idx="2934">
                  <v>44287</v>
                </pt>
                <pt idx="2935">
                  <v>44288</v>
                </pt>
                <pt idx="2936">
                  <v>44291</v>
                </pt>
                <pt idx="2937">
                  <v>44292</v>
                </pt>
                <pt idx="2938">
                  <v>44293</v>
                </pt>
                <pt idx="2939">
                  <v>44294</v>
                </pt>
                <pt idx="2940">
                  <v>44295</v>
                </pt>
                <pt idx="2941">
                  <v>44298</v>
                </pt>
                <pt idx="2942">
                  <v>44299</v>
                </pt>
                <pt idx="2943">
                  <v>44300</v>
                </pt>
                <pt idx="2944">
                  <v>44301</v>
                </pt>
                <pt idx="2945">
                  <v>44302</v>
                </pt>
                <pt idx="2946">
                  <v>44305</v>
                </pt>
                <pt idx="2947">
                  <v>44306</v>
                </pt>
                <pt idx="2948">
                  <v>44307</v>
                </pt>
                <pt idx="2949">
                  <v>44308</v>
                </pt>
                <pt idx="2950">
                  <v>44309</v>
                </pt>
                <pt idx="2951">
                  <v>44312</v>
                </pt>
                <pt idx="2952">
                  <v>44313</v>
                </pt>
                <pt idx="2953">
                  <v>44314</v>
                </pt>
                <pt idx="2954">
                  <v>44315</v>
                </pt>
                <pt idx="2955">
                  <v>44316</v>
                </pt>
                <pt idx="2956">
                  <v>44319</v>
                </pt>
                <pt idx="2957">
                  <v>44320</v>
                </pt>
                <pt idx="2958">
                  <v>44321</v>
                </pt>
                <pt idx="2959">
                  <v>44322</v>
                </pt>
                <pt idx="2960">
                  <v>44323</v>
                </pt>
                <pt idx="2961">
                  <v>44326</v>
                </pt>
                <pt idx="2962">
                  <v>44327</v>
                </pt>
                <pt idx="2963">
                  <v>44328</v>
                </pt>
                <pt idx="2964">
                  <v>44329</v>
                </pt>
                <pt idx="2965">
                  <v>44330</v>
                </pt>
                <pt idx="2966">
                  <v>44333</v>
                </pt>
                <pt idx="2967">
                  <v>44334</v>
                </pt>
                <pt idx="2968">
                  <v>44335</v>
                </pt>
                <pt idx="2969">
                  <v>44336</v>
                </pt>
                <pt idx="2970">
                  <v>44337</v>
                </pt>
                <pt idx="2971">
                  <v>44340</v>
                </pt>
                <pt idx="2972">
                  <v>44341</v>
                </pt>
                <pt idx="2973">
                  <v>44342</v>
                </pt>
                <pt idx="2974">
                  <v>44343</v>
                </pt>
                <pt idx="2975">
                  <v>44344</v>
                </pt>
                <pt idx="2976">
                  <v>44347</v>
                </pt>
                <pt idx="2977">
                  <v>44348</v>
                </pt>
                <pt idx="2978">
                  <v>44349</v>
                </pt>
                <pt idx="2979">
                  <v>44350</v>
                </pt>
                <pt idx="2980">
                  <v>44351</v>
                </pt>
                <pt idx="2981">
                  <v>44354</v>
                </pt>
                <pt idx="2982">
                  <v>44355</v>
                </pt>
                <pt idx="2983">
                  <v>44356</v>
                </pt>
                <pt idx="2984">
                  <v>44357</v>
                </pt>
                <pt idx="2985">
                  <v>44358</v>
                </pt>
                <pt idx="2986">
                  <v>44361</v>
                </pt>
                <pt idx="2987">
                  <v>44362</v>
                </pt>
                <pt idx="2988">
                  <v>44363</v>
                </pt>
                <pt idx="2989">
                  <v>44364</v>
                </pt>
                <pt idx="2990">
                  <v>44365</v>
                </pt>
                <pt idx="2991">
                  <v>44368</v>
                </pt>
                <pt idx="2992">
                  <v>44369</v>
                </pt>
                <pt idx="2993">
                  <v>44370</v>
                </pt>
                <pt idx="2994">
                  <v>44371</v>
                </pt>
                <pt idx="2995">
                  <v>44372</v>
                </pt>
                <pt idx="2996">
                  <v>44375</v>
                </pt>
                <pt idx="2997">
                  <v>44376</v>
                </pt>
                <pt idx="2998">
                  <v>44377</v>
                </pt>
                <pt idx="2999">
                  <v>44378</v>
                </pt>
                <pt idx="3000">
                  <v>44379</v>
                </pt>
                <pt idx="3001">
                  <v>44382</v>
                </pt>
                <pt idx="3002">
                  <v>44383</v>
                </pt>
                <pt idx="3003">
                  <v>44384</v>
                </pt>
                <pt idx="3004">
                  <v>44385</v>
                </pt>
                <pt idx="3005">
                  <v>44386</v>
                </pt>
                <pt idx="3006">
                  <v>44389</v>
                </pt>
                <pt idx="3007">
                  <v>44390</v>
                </pt>
                <pt idx="3008">
                  <v>44391</v>
                </pt>
                <pt idx="3009">
                  <v>44392</v>
                </pt>
                <pt idx="3010">
                  <v>44393</v>
                </pt>
                <pt idx="3011">
                  <v>44396</v>
                </pt>
                <pt idx="3012">
                  <v>44397</v>
                </pt>
                <pt idx="3013">
                  <v>44398</v>
                </pt>
                <pt idx="3014">
                  <v>44399</v>
                </pt>
                <pt idx="3015">
                  <v>44400</v>
                </pt>
                <pt idx="3016">
                  <v>44403</v>
                </pt>
                <pt idx="3017">
                  <v>44404</v>
                </pt>
                <pt idx="3018">
                  <v>44405</v>
                </pt>
                <pt idx="3019">
                  <v>44406</v>
                </pt>
                <pt idx="3020">
                  <v>44407</v>
                </pt>
                <pt idx="3021">
                  <v>44410</v>
                </pt>
                <pt idx="3022">
                  <v>44411</v>
                </pt>
                <pt idx="3023">
                  <v>44412</v>
                </pt>
                <pt idx="3024">
                  <v>44413</v>
                </pt>
                <pt idx="3025">
                  <v>44414</v>
                </pt>
                <pt idx="3026">
                  <v>44417</v>
                </pt>
                <pt idx="3027">
                  <v>44418</v>
                </pt>
                <pt idx="3028">
                  <v>44419</v>
                </pt>
                <pt idx="3029">
                  <v>44420</v>
                </pt>
                <pt idx="3030">
                  <v>44421</v>
                </pt>
                <pt idx="3031">
                  <v>44424</v>
                </pt>
                <pt idx="3032">
                  <v>44425</v>
                </pt>
                <pt idx="3033">
                  <v>44426</v>
                </pt>
                <pt idx="3034">
                  <v>44427</v>
                </pt>
                <pt idx="3035">
                  <v>44428</v>
                </pt>
                <pt idx="3036">
                  <v>44431</v>
                </pt>
                <pt idx="3037">
                  <v>44432</v>
                </pt>
                <pt idx="3038">
                  <v>44433</v>
                </pt>
                <pt idx="3039">
                  <v>44434</v>
                </pt>
                <pt idx="3040">
                  <v>44435</v>
                </pt>
                <pt idx="3041">
                  <v>44438</v>
                </pt>
                <pt idx="3042">
                  <v>44439</v>
                </pt>
                <pt idx="3043">
                  <v>44440</v>
                </pt>
                <pt idx="3044">
                  <v>44441</v>
                </pt>
                <pt idx="3045">
                  <v>44442</v>
                </pt>
                <pt idx="3046">
                  <v>44445</v>
                </pt>
                <pt idx="3047">
                  <v>44446</v>
                </pt>
                <pt idx="3048">
                  <v>44447</v>
                </pt>
                <pt idx="3049">
                  <v>44448</v>
                </pt>
                <pt idx="3050">
                  <v>44449</v>
                </pt>
                <pt idx="3051">
                  <v>44452</v>
                </pt>
                <pt idx="3052">
                  <v>44453</v>
                </pt>
                <pt idx="3053">
                  <v>44454</v>
                </pt>
                <pt idx="3054">
                  <v>44455</v>
                </pt>
                <pt idx="3055">
                  <v>44456</v>
                </pt>
                <pt idx="3056">
                  <v>44459</v>
                </pt>
                <pt idx="3057">
                  <v>44460</v>
                </pt>
                <pt idx="3058">
                  <v>44461</v>
                </pt>
                <pt idx="3059">
                  <v>44462</v>
                </pt>
                <pt idx="3060">
                  <v>44463</v>
                </pt>
                <pt idx="3061">
                  <v>44466</v>
                </pt>
                <pt idx="3062">
                  <v>44467</v>
                </pt>
                <pt idx="3063">
                  <v>44468</v>
                </pt>
                <pt idx="3064">
                  <v>44469</v>
                </pt>
                <pt idx="3065">
                  <v>44470</v>
                </pt>
                <pt idx="3066">
                  <v>44473</v>
                </pt>
                <pt idx="3067">
                  <v>44474</v>
                </pt>
                <pt idx="3068">
                  <v>44475</v>
                </pt>
                <pt idx="3069">
                  <v>44476</v>
                </pt>
                <pt idx="3070">
                  <v>44477</v>
                </pt>
                <pt idx="3071">
                  <v>44480</v>
                </pt>
                <pt idx="3072">
                  <v>44481</v>
                </pt>
                <pt idx="3073">
                  <v>44482</v>
                </pt>
                <pt idx="3074">
                  <v>44483</v>
                </pt>
                <pt idx="3075">
                  <v>44484</v>
                </pt>
                <pt idx="3076">
                  <v>44487</v>
                </pt>
                <pt idx="3077">
                  <v>44488</v>
                </pt>
                <pt idx="3078">
                  <v>44489</v>
                </pt>
                <pt idx="3079">
                  <v>44490</v>
                </pt>
                <pt idx="3080">
                  <v>44491</v>
                </pt>
                <pt idx="3081">
                  <v>44494</v>
                </pt>
                <pt idx="3082">
                  <v>44495</v>
                </pt>
                <pt idx="3083">
                  <v>44496</v>
                </pt>
                <pt idx="3084">
                  <v>44497</v>
                </pt>
                <pt idx="3085">
                  <v>44498</v>
                </pt>
                <pt idx="3086">
                  <v>44501</v>
                </pt>
                <pt idx="3087">
                  <v>44502</v>
                </pt>
                <pt idx="3088">
                  <v>44503</v>
                </pt>
                <pt idx="3089">
                  <v>44504</v>
                </pt>
                <pt idx="3090">
                  <v>44505</v>
                </pt>
                <pt idx="3091">
                  <v>44508</v>
                </pt>
                <pt idx="3092">
                  <v>44509</v>
                </pt>
                <pt idx="3093">
                  <v>44510</v>
                </pt>
                <pt idx="3094">
                  <v>44511</v>
                </pt>
                <pt idx="3095">
                  <v>44512</v>
                </pt>
                <pt idx="3096">
                  <v>44515</v>
                </pt>
                <pt idx="3097">
                  <v>44516</v>
                </pt>
                <pt idx="3098">
                  <v>44517</v>
                </pt>
                <pt idx="3099">
                  <v>44518</v>
                </pt>
                <pt idx="3100">
                  <v>44519</v>
                </pt>
                <pt idx="3101">
                  <v>44522</v>
                </pt>
                <pt idx="3102">
                  <v>44523</v>
                </pt>
                <pt idx="3103">
                  <v>44524</v>
                </pt>
                <pt idx="3104">
                  <v>44525</v>
                </pt>
                <pt idx="3105">
                  <v>44526</v>
                </pt>
                <pt idx="3106">
                  <v>44529</v>
                </pt>
                <pt idx="3107">
                  <v>44530</v>
                </pt>
                <pt idx="3108">
                  <v>44531</v>
                </pt>
                <pt idx="3109">
                  <v>44532</v>
                </pt>
                <pt idx="3110">
                  <v>44533</v>
                </pt>
                <pt idx="3111">
                  <v>44536</v>
                </pt>
                <pt idx="3112">
                  <v>44537</v>
                </pt>
                <pt idx="3113">
                  <v>44538</v>
                </pt>
                <pt idx="3114">
                  <v>44539</v>
                </pt>
                <pt idx="3115">
                  <v>44540</v>
                </pt>
                <pt idx="3116">
                  <v>44543</v>
                </pt>
                <pt idx="3117">
                  <v>44544</v>
                </pt>
                <pt idx="3118">
                  <v>44545</v>
                </pt>
                <pt idx="3119">
                  <v>44546</v>
                </pt>
                <pt idx="3120">
                  <v>44547</v>
                </pt>
                <pt idx="3121">
                  <v>44550</v>
                </pt>
                <pt idx="3122">
                  <v>44551</v>
                </pt>
                <pt idx="3123">
                  <v>44552</v>
                </pt>
                <pt idx="3124">
                  <v>44553</v>
                </pt>
                <pt idx="3125">
                  <v>44554</v>
                </pt>
                <pt idx="3126">
                  <v>44557</v>
                </pt>
                <pt idx="3127">
                  <v>44558</v>
                </pt>
                <pt idx="3128">
                  <v>44559</v>
                </pt>
                <pt idx="3129">
                  <v>44560</v>
                </pt>
                <pt idx="3130">
                  <v>44561</v>
                </pt>
                <pt idx="3131">
                  <v>44564</v>
                </pt>
                <pt idx="3132">
                  <v>44565</v>
                </pt>
                <pt idx="3133">
                  <v>44566</v>
                </pt>
                <pt idx="3134">
                  <v>44567</v>
                </pt>
                <pt idx="3135">
                  <v>44568</v>
                </pt>
                <pt idx="3136">
                  <v>44571</v>
                </pt>
                <pt idx="3137">
                  <v>44572</v>
                </pt>
                <pt idx="3138">
                  <v>44573</v>
                </pt>
                <pt idx="3139">
                  <v>44574</v>
                </pt>
                <pt idx="3140">
                  <v>44575</v>
                </pt>
                <pt idx="3141">
                  <v>44578</v>
                </pt>
                <pt idx="3142">
                  <v>44579</v>
                </pt>
                <pt idx="3143">
                  <v>44580</v>
                </pt>
                <pt idx="3144">
                  <v>44581</v>
                </pt>
                <pt idx="3145">
                  <v>44582</v>
                </pt>
                <pt idx="3146">
                  <v>44585</v>
                </pt>
                <pt idx="3147">
                  <v>44586</v>
                </pt>
                <pt idx="3148">
                  <v>44587</v>
                </pt>
                <pt idx="3149">
                  <v>44588</v>
                </pt>
                <pt idx="3150">
                  <v>44589</v>
                </pt>
                <pt idx="3151">
                  <v>44592</v>
                </pt>
                <pt idx="3152">
                  <v>44593</v>
                </pt>
                <pt idx="3153">
                  <v>44594</v>
                </pt>
              </numCache>
            </numRef>
          </cat>
          <val>
            <numRef>
              <f>'US 10y - 3y'!$D$12526:$D$15679</f>
              <numCache>
                <formatCode>General</formatCode>
                <ptCount val="3154"/>
                <pt idx="0">
                  <v>#N/A</v>
                </pt>
                <pt idx="1">
                  <v>3.77</v>
                </pt>
                <pt idx="2">
                  <v>3.7</v>
                </pt>
                <pt idx="3">
                  <v>3.79</v>
                </pt>
                <pt idx="4">
                  <v>3.8</v>
                </pt>
                <pt idx="5">
                  <v>3.78</v>
                </pt>
                <pt idx="6">
                  <v>3.81</v>
                </pt>
                <pt idx="7">
                  <v>3.69</v>
                </pt>
                <pt idx="8">
                  <v>3.74</v>
                </pt>
                <pt idx="9">
                  <v>3.71</v>
                </pt>
                <pt idx="10">
                  <v>3.64</v>
                </pt>
                <pt idx="11">
                  <v>#N/A</v>
                </pt>
                <pt idx="12">
                  <v>3.67</v>
                </pt>
                <pt idx="13">
                  <v>3.63</v>
                </pt>
                <pt idx="14">
                  <v>3.56</v>
                </pt>
                <pt idx="15">
                  <v>3.56</v>
                </pt>
                <pt idx="16">
                  <v>3.6</v>
                </pt>
                <pt idx="17">
                  <v>3.58</v>
                </pt>
                <pt idx="18">
                  <v>3.58</v>
                </pt>
                <pt idx="19">
                  <v>3.6</v>
                </pt>
                <pt idx="20">
                  <v>3.55</v>
                </pt>
                <pt idx="21">
                  <v>3.58</v>
                </pt>
                <pt idx="22">
                  <v>3.57</v>
                </pt>
                <pt idx="23">
                  <v>3.63</v>
                </pt>
                <pt idx="24">
                  <v>3.53</v>
                </pt>
                <pt idx="25">
                  <v>3.49</v>
                </pt>
                <pt idx="26">
                  <v>3.5</v>
                </pt>
                <pt idx="27">
                  <v>3.55</v>
                </pt>
                <pt idx="28">
                  <v>3.61</v>
                </pt>
                <pt idx="29">
                  <v>3.62</v>
                </pt>
                <pt idx="30">
                  <v>3.59</v>
                </pt>
                <pt idx="31">
                  <v>#N/A</v>
                </pt>
                <pt idx="32">
                  <v>3.56</v>
                </pt>
                <pt idx="33">
                  <v>3.64</v>
                </pt>
                <pt idx="34">
                  <v>3.69</v>
                </pt>
                <pt idx="35">
                  <v>3.67</v>
                </pt>
                <pt idx="36">
                  <v>3.69</v>
                </pt>
                <pt idx="37">
                  <v>3.57</v>
                </pt>
                <pt idx="38">
                  <v>3.58</v>
                </pt>
                <pt idx="39">
                  <v>3.51</v>
                </pt>
                <pt idx="40">
                  <v>3.48</v>
                </pt>
                <pt idx="41">
                  <v>3.48</v>
                </pt>
                <pt idx="42">
                  <v>3.48</v>
                </pt>
                <pt idx="43">
                  <v>3.49</v>
                </pt>
                <pt idx="44">
                  <v>3.47</v>
                </pt>
                <pt idx="45">
                  <v>3.54</v>
                </pt>
                <pt idx="46">
                  <v>3.56</v>
                </pt>
                <pt idx="47">
                  <v>3.55</v>
                </pt>
                <pt idx="48">
                  <v>3.58</v>
                </pt>
                <pt idx="49">
                  <v>3.57</v>
                </pt>
                <pt idx="50">
                  <v>3.56</v>
                </pt>
                <pt idx="51">
                  <v>3.54</v>
                </pt>
                <pt idx="52">
                  <v>3.5</v>
                </pt>
                <pt idx="53">
                  <v>3.5</v>
                </pt>
                <pt idx="54">
                  <v>3.52</v>
                </pt>
                <pt idx="55">
                  <v>3.54</v>
                </pt>
                <pt idx="56">
                  <v>3.52</v>
                </pt>
                <pt idx="57">
                  <v>3.55</v>
                </pt>
                <pt idx="58">
                  <v>3.7</v>
                </pt>
                <pt idx="59">
                  <v>3.77</v>
                </pt>
                <pt idx="60">
                  <v>3.72</v>
                </pt>
                <pt idx="61">
                  <v>3.73</v>
                </pt>
                <pt idx="62">
                  <v>3.72</v>
                </pt>
                <pt idx="63">
                  <v>3.68</v>
                </pt>
                <pt idx="64">
                  <v>3.73</v>
                </pt>
                <pt idx="65">
                  <v>3.8</v>
                </pt>
                <pt idx="66">
                  <v>3.83</v>
                </pt>
                <pt idx="67">
                  <v>3.81</v>
                </pt>
                <pt idx="68">
                  <v>3.72</v>
                </pt>
                <pt idx="69">
                  <v>3.74</v>
                </pt>
                <pt idx="70">
                  <v>3.74</v>
                </pt>
                <pt idx="71">
                  <v>3.71</v>
                </pt>
                <pt idx="72">
                  <v>3.68</v>
                </pt>
                <pt idx="73">
                  <v>3.72</v>
                </pt>
                <pt idx="74">
                  <v>3.7</v>
                </pt>
                <pt idx="75">
                  <v>3.63</v>
                </pt>
                <pt idx="76">
                  <v>3.67</v>
                </pt>
                <pt idx="77">
                  <v>3.66</v>
                </pt>
                <pt idx="78">
                  <v>3.62</v>
                </pt>
                <pt idx="79">
                  <v>3.64</v>
                </pt>
                <pt idx="80">
                  <v>3.68</v>
                </pt>
                <pt idx="81">
                  <v>3.67</v>
                </pt>
                <pt idx="82">
                  <v>3.55</v>
                </pt>
                <pt idx="83">
                  <v>3.64</v>
                </pt>
                <pt idx="84">
                  <v>3.59</v>
                </pt>
                <pt idx="85">
                  <v>3.53</v>
                </pt>
                <pt idx="86">
                  <v>3.55</v>
                </pt>
                <pt idx="87">
                  <v>3.47</v>
                </pt>
                <pt idx="88">
                  <v>3.43</v>
                </pt>
                <pt idx="89">
                  <v>3.3</v>
                </pt>
                <pt idx="90">
                  <v>3.32</v>
                </pt>
                <pt idx="91">
                  <v>3.41</v>
                </pt>
                <pt idx="92">
                  <v>3.4</v>
                </pt>
                <pt idx="93">
                  <v>3.4</v>
                </pt>
                <pt idx="94">
                  <v>3.39</v>
                </pt>
                <pt idx="95">
                  <v>3.28</v>
                </pt>
                <pt idx="96">
                  <v>3.31</v>
                </pt>
                <pt idx="97">
                  <v>3.21</v>
                </pt>
                <pt idx="98">
                  <v>3.19</v>
                </pt>
                <pt idx="99">
                  <v>3.08</v>
                </pt>
                <pt idx="100">
                  <v>3.03</v>
                </pt>
                <pt idx="101">
                  <v>3.06</v>
                </pt>
                <pt idx="102">
                  <v>3.01</v>
                </pt>
                <pt idx="103">
                  <v>3.04</v>
                </pt>
                <pt idx="104">
                  <v>3.17</v>
                </pt>
                <pt idx="105">
                  <v>3.15</v>
                </pt>
                <pt idx="106">
                  <v>#N/A</v>
                </pt>
                <pt idx="107">
                  <v>3.13</v>
                </pt>
                <pt idx="108">
                  <v>3.19</v>
                </pt>
                <pt idx="109">
                  <v>3.25</v>
                </pt>
                <pt idx="110">
                  <v>3.06</v>
                </pt>
                <pt idx="111">
                  <v>3.05</v>
                </pt>
                <pt idx="112">
                  <v>3.06</v>
                </pt>
                <pt idx="113">
                  <v>3.1</v>
                </pt>
                <pt idx="114">
                  <v>3.23</v>
                </pt>
                <pt idx="115">
                  <v>3.16</v>
                </pt>
                <pt idx="116">
                  <v>3.21</v>
                </pt>
                <pt idx="117">
                  <v>3.23</v>
                </pt>
                <pt idx="118">
                  <v>3.17</v>
                </pt>
                <pt idx="119">
                  <v>3.12</v>
                </pt>
                <pt idx="120">
                  <v>3.13</v>
                </pt>
                <pt idx="121">
                  <v>3.14</v>
                </pt>
                <pt idx="122">
                  <v>3.05</v>
                </pt>
                <pt idx="123">
                  <v>3</v>
                </pt>
                <pt idx="124">
                  <v>3.01</v>
                </pt>
                <pt idx="125">
                  <v>2.99</v>
                </pt>
                <pt idx="126">
                  <v>2.88</v>
                </pt>
                <pt idx="127">
                  <v>2.82</v>
                </pt>
                <pt idx="128">
                  <v>2.79</v>
                </pt>
                <pt idx="129">
                  <v>2.79</v>
                </pt>
                <pt idx="130">
                  <v>2.83</v>
                </pt>
                <pt idx="131">
                  <v>#N/A</v>
                </pt>
                <pt idx="132">
                  <v>2.78</v>
                </pt>
                <pt idx="133">
                  <v>2.84</v>
                </pt>
                <pt idx="134">
                  <v>2.89</v>
                </pt>
                <pt idx="135">
                  <v>2.91</v>
                </pt>
                <pt idx="136">
                  <v>2.92</v>
                </pt>
                <pt idx="137">
                  <v>3</v>
                </pt>
                <pt idx="138">
                  <v>2.92</v>
                </pt>
                <pt idx="139">
                  <v>2.85</v>
                </pt>
                <pt idx="140">
                  <v>2.81</v>
                </pt>
                <pt idx="141">
                  <v>2.82</v>
                </pt>
                <pt idx="142">
                  <v>2.82</v>
                </pt>
                <pt idx="143">
                  <v>2.74</v>
                </pt>
                <pt idx="144">
                  <v>2.8</v>
                </pt>
                <pt idx="145">
                  <v>2.86</v>
                </pt>
                <pt idx="146">
                  <v>2.87</v>
                </pt>
                <pt idx="147">
                  <v>2.93</v>
                </pt>
                <pt idx="148">
                  <v>2.88</v>
                </pt>
                <pt idx="149">
                  <v>2.88</v>
                </pt>
                <pt idx="150">
                  <v>2.79</v>
                </pt>
                <pt idx="151">
                  <v>2.83</v>
                </pt>
                <pt idx="152">
                  <v>2.78</v>
                </pt>
                <pt idx="153">
                  <v>2.82</v>
                </pt>
                <pt idx="154">
                  <v>2.79</v>
                </pt>
                <pt idx="155">
                  <v>2.71</v>
                </pt>
                <pt idx="156">
                  <v>2.71</v>
                </pt>
                <pt idx="157">
                  <v>2.64</v>
                </pt>
                <pt idx="158">
                  <v>2.57</v>
                </pt>
                <pt idx="159">
                  <v>2.58</v>
                </pt>
                <pt idx="160">
                  <v>2.53</v>
                </pt>
                <pt idx="161">
                  <v>2.42</v>
                </pt>
                <pt idx="162">
                  <v>2.47</v>
                </pt>
                <pt idx="163">
                  <v>2.48</v>
                </pt>
                <pt idx="164">
                  <v>2.42</v>
                </pt>
                <pt idx="165">
                  <v>2.47</v>
                </pt>
                <pt idx="166">
                  <v>2.44</v>
                </pt>
                <pt idx="167">
                  <v>2.34</v>
                </pt>
                <pt idx="168">
                  <v>2.38</v>
                </pt>
                <pt idx="169">
                  <v>2.34</v>
                </pt>
                <pt idx="170">
                  <v>2.51</v>
                </pt>
                <pt idx="171">
                  <v>2.4</v>
                </pt>
                <pt idx="172">
                  <v>2.33</v>
                </pt>
                <pt idx="173">
                  <v>2.45</v>
                </pt>
                <pt idx="174">
                  <v>2.49</v>
                </pt>
                <pt idx="175">
                  <v>2.58</v>
                </pt>
                <pt idx="176">
                  <v>#N/A</v>
                </pt>
                <pt idx="177">
                  <v>2.47</v>
                </pt>
                <pt idx="178">
                  <v>2.52</v>
                </pt>
                <pt idx="179">
                  <v>2.63</v>
                </pt>
                <pt idx="180">
                  <v>2.67</v>
                </pt>
                <pt idx="181">
                  <v>2.59</v>
                </pt>
                <pt idx="182">
                  <v>2.53</v>
                </pt>
                <pt idx="183">
                  <v>2.59</v>
                </pt>
                <pt idx="184">
                  <v>2.61</v>
                </pt>
                <pt idx="185">
                  <v>2.59</v>
                </pt>
                <pt idx="186">
                  <v>2.55</v>
                </pt>
                <pt idx="187">
                  <v>2.44</v>
                </pt>
                <pt idx="188">
                  <v>2.4</v>
                </pt>
                <pt idx="189">
                  <v>2.4</v>
                </pt>
                <pt idx="190">
                  <v>2.47</v>
                </pt>
                <pt idx="191">
                  <v>2.38</v>
                </pt>
                <pt idx="192">
                  <v>2.32</v>
                </pt>
                <pt idx="193">
                  <v>2.36</v>
                </pt>
                <pt idx="194">
                  <v>2.37</v>
                </pt>
                <pt idx="195">
                  <v>2.38</v>
                </pt>
                <pt idx="196">
                  <v>2.37</v>
                </pt>
                <pt idx="197">
                  <v>2.38</v>
                </pt>
                <pt idx="198">
                  <v>2.28</v>
                </pt>
                <pt idx="199">
                  <v>2.28</v>
                </pt>
                <pt idx="200">
                  <v>2.29</v>
                </pt>
                <pt idx="201">
                  <v>#N/A</v>
                </pt>
                <pt idx="202">
                  <v>2.31</v>
                </pt>
                <pt idx="203">
                  <v>2.33</v>
                </pt>
                <pt idx="204">
                  <v>2.38</v>
                </pt>
                <pt idx="205">
                  <v>2.45</v>
                </pt>
                <pt idx="206">
                  <v>2.37</v>
                </pt>
                <pt idx="207">
                  <v>2.36</v>
                </pt>
                <pt idx="208">
                  <v>2.37</v>
                </pt>
                <pt idx="209">
                  <v>2.44</v>
                </pt>
                <pt idx="210">
                  <v>2.46</v>
                </pt>
                <pt idx="211">
                  <v>2.45</v>
                </pt>
                <pt idx="212">
                  <v>2.53</v>
                </pt>
                <pt idx="213">
                  <v>2.61</v>
                </pt>
                <pt idx="214">
                  <v>2.56</v>
                </pt>
                <pt idx="215">
                  <v>2.51</v>
                </pt>
                <pt idx="216">
                  <v>2.53</v>
                </pt>
                <pt idx="217">
                  <v>2.5</v>
                </pt>
                <pt idx="218">
                  <v>2.54</v>
                </pt>
                <pt idx="219">
                  <v>2.4</v>
                </pt>
                <pt idx="220">
                  <v>2.45</v>
                </pt>
                <pt idx="221">
                  <v>2.47</v>
                </pt>
                <pt idx="222">
                  <v>2.59</v>
                </pt>
                <pt idx="223">
                  <v>2.52</v>
                </pt>
                <pt idx="224">
                  <v>#N/A</v>
                </pt>
                <pt idx="225">
                  <v>2.63</v>
                </pt>
                <pt idx="226">
                  <v>2.78</v>
                </pt>
                <pt idx="227">
                  <v>2.7</v>
                </pt>
                <pt idx="228">
                  <v>2.75</v>
                </pt>
                <pt idx="229">
                  <v>2.75</v>
                </pt>
                <pt idx="230">
                  <v>2.74</v>
                </pt>
                <pt idx="231">
                  <v>2.65</v>
                </pt>
                <pt idx="232">
                  <v>2.62</v>
                </pt>
                <pt idx="233">
                  <v>2.77</v>
                </pt>
                <pt idx="234">
                  <v>#N/A</v>
                </pt>
                <pt idx="235">
                  <v>2.71</v>
                </pt>
                <pt idx="236">
                  <v>2.66</v>
                </pt>
                <pt idx="237">
                  <v>2.64</v>
                </pt>
                <pt idx="238">
                  <v>2.81</v>
                </pt>
                <pt idx="239">
                  <v>2.85</v>
                </pt>
                <pt idx="240">
                  <v>2.89</v>
                </pt>
                <pt idx="241">
                  <v>2.8</v>
                </pt>
                <pt idx="242">
                  <v>3.01</v>
                </pt>
                <pt idx="243">
                  <v>3.11</v>
                </pt>
                <pt idx="244">
                  <v>3.09</v>
                </pt>
                <pt idx="245">
                  <v>3.19</v>
                </pt>
                <pt idx="246">
                  <v>3.14</v>
                </pt>
                <pt idx="247">
                  <v>3.34</v>
                </pt>
                <pt idx="248">
                  <v>3.39</v>
                </pt>
                <pt idx="249">
                  <v>3.34</v>
                </pt>
                <pt idx="250">
                  <v>3.22</v>
                </pt>
                <pt idx="251">
                  <v>3.22</v>
                </pt>
                <pt idx="252">
                  <v>3.21</v>
                </pt>
                <pt idx="253">
                  <v>3.22</v>
                </pt>
                <pt idx="254">
                  <v>3.27</v>
                </pt>
                <pt idx="255">
                  <v>#N/A</v>
                </pt>
                <pt idx="256">
                  <v>3.19</v>
                </pt>
                <pt idx="257">
                  <v>3.35</v>
                </pt>
                <pt idx="258">
                  <v>3.22</v>
                </pt>
                <pt idx="259">
                  <v>3.26</v>
                </pt>
                <pt idx="260">
                  <v>3.18</v>
                </pt>
                <pt idx="261">
                  <v>3.21</v>
                </pt>
                <pt idx="262">
                  <v>3.22</v>
                </pt>
                <pt idx="263">
                  <v>3.36</v>
                </pt>
                <pt idx="264">
                  <v>3.29</v>
                </pt>
                <pt idx="265">
                  <v>3.2</v>
                </pt>
                <pt idx="266">
                  <v>3.17</v>
                </pt>
                <pt idx="267">
                  <v>3.22</v>
                </pt>
                <pt idx="268">
                  <v>3.25</v>
                </pt>
                <pt idx="269">
                  <v>3.19</v>
                </pt>
                <pt idx="270">
                  <v>3.2</v>
                </pt>
                <pt idx="271">
                  <v>#N/A</v>
                </pt>
                <pt idx="272">
                  <v>3.23</v>
                </pt>
                <pt idx="273">
                  <v>3.21</v>
                </pt>
                <pt idx="274">
                  <v>3.31</v>
                </pt>
                <pt idx="275">
                  <v>3.28</v>
                </pt>
                <pt idx="276">
                  <v>3.27</v>
                </pt>
                <pt idx="277">
                  <v>3.19</v>
                </pt>
                <pt idx="278">
                  <v>3.29</v>
                </pt>
                <pt idx="279">
                  <v>3.27</v>
                </pt>
                <pt idx="280">
                  <v>3.21</v>
                </pt>
                <pt idx="281">
                  <v>3.27</v>
                </pt>
                <pt idx="282">
                  <v>3.33</v>
                </pt>
                <pt idx="283">
                  <v>3.36</v>
                </pt>
                <pt idx="284">
                  <v>3.44</v>
                </pt>
                <pt idx="285">
                  <v>3.53</v>
                </pt>
                <pt idx="286">
                  <v>3.52</v>
                </pt>
                <pt idx="287">
                  <v>3.6</v>
                </pt>
                <pt idx="288">
                  <v>3.51</v>
                </pt>
                <pt idx="289">
                  <v>3.58</v>
                </pt>
                <pt idx="290">
                  <v>3.52</v>
                </pt>
                <pt idx="291">
                  <v>3.49</v>
                </pt>
                <pt idx="292">
                  <v>3.48</v>
                </pt>
                <pt idx="293">
                  <v>3.5</v>
                </pt>
                <pt idx="294">
                  <v>3.49</v>
                </pt>
                <pt idx="295">
                  <v>3.49</v>
                </pt>
                <pt idx="296">
                  <v>#N/A</v>
                </pt>
                <pt idx="297">
                  <v>3.34</v>
                </pt>
                <pt idx="298">
                  <v>3.37</v>
                </pt>
                <pt idx="299">
                  <v>3.33</v>
                </pt>
                <pt idx="300">
                  <v>3.29</v>
                </pt>
                <pt idx="301">
                  <v>3.27</v>
                </pt>
                <pt idx="302">
                  <v>3.27</v>
                </pt>
                <pt idx="303">
                  <v>3.33</v>
                </pt>
                <pt idx="304">
                  <v>3.45</v>
                </pt>
                <pt idx="305">
                  <v>3.37</v>
                </pt>
                <pt idx="306">
                  <v>3.4</v>
                </pt>
                <pt idx="307">
                  <v>3.45</v>
                </pt>
                <pt idx="308">
                  <v>3.38</v>
                </pt>
                <pt idx="309">
                  <v>3.29</v>
                </pt>
                <pt idx="310">
                  <v>3.32</v>
                </pt>
                <pt idx="311">
                  <v>3.27</v>
                </pt>
                <pt idx="312">
                  <v>3.23</v>
                </pt>
                <pt idx="313">
                  <v>3.12</v>
                </pt>
                <pt idx="314">
                  <v>3.17</v>
                </pt>
                <pt idx="315">
                  <v>3.21</v>
                </pt>
                <pt idx="316">
                  <v>3.24</v>
                </pt>
                <pt idx="317">
                  <v>3.24</v>
                </pt>
                <pt idx="318">
                  <v>3.27</v>
                </pt>
                <pt idx="319">
                  <v>3.33</v>
                </pt>
                <pt idx="320">
                  <v>3.37</v>
                </pt>
                <pt idx="321">
                  <v>3.36</v>
                </pt>
                <pt idx="322">
                  <v>3.4</v>
                </pt>
                <pt idx="323">
                  <v>3.37</v>
                </pt>
                <pt idx="324">
                  <v>3.38</v>
                </pt>
                <pt idx="325">
                  <v>3.39</v>
                </pt>
                <pt idx="326">
                  <v>3.39</v>
                </pt>
                <pt idx="327">
                  <v>3.43</v>
                </pt>
                <pt idx="328">
                  <v>3.5</v>
                </pt>
                <pt idx="329">
                  <v>3.54</v>
                </pt>
                <pt idx="330">
                  <v>3.55</v>
                </pt>
                <pt idx="331">
                  <v>3.54</v>
                </pt>
                <pt idx="332">
                  <v>3.47</v>
                </pt>
                <pt idx="333">
                  <v>3.43</v>
                </pt>
                <pt idx="334">
                  <v>3.44</v>
                </pt>
                <pt idx="335">
                  <v>3.36</v>
                </pt>
                <pt idx="336">
                  <v>3.33</v>
                </pt>
                <pt idx="337">
                  <v>3.33</v>
                </pt>
                <pt idx="338">
                  <v>3.37</v>
                </pt>
                <pt idx="339">
                  <v>3.36</v>
                </pt>
                <pt idx="340">
                  <v>#N/A</v>
                </pt>
                <pt idx="341">
                  <v>3.32</v>
                </pt>
                <pt idx="342">
                  <v>3.27</v>
                </pt>
                <pt idx="343">
                  <v>3.33</v>
                </pt>
                <pt idx="344">
                  <v>3.3</v>
                </pt>
                <pt idx="345">
                  <v>3.28</v>
                </pt>
                <pt idx="346">
                  <v>3.26</v>
                </pt>
                <pt idx="347">
                  <v>3.25</v>
                </pt>
                <pt idx="348">
                  <v>3.22</v>
                </pt>
                <pt idx="349">
                  <v>3.16</v>
                </pt>
                <pt idx="350">
                  <v>3.17</v>
                </pt>
                <pt idx="351">
                  <v>3.14</v>
                </pt>
                <pt idx="352">
                  <v>3.2</v>
                </pt>
                <pt idx="353">
                  <v>3.16</v>
                </pt>
                <pt idx="354">
                  <v>3.2</v>
                </pt>
                <pt idx="355">
                  <v>3.15</v>
                </pt>
                <pt idx="356">
                  <v>3.11</v>
                </pt>
                <pt idx="357">
                  <v>3.08</v>
                </pt>
                <pt idx="358">
                  <v>3.13</v>
                </pt>
                <pt idx="359">
                  <v>3.12</v>
                </pt>
                <pt idx="360">
                  <v>3.1</v>
                </pt>
                <pt idx="361">
                  <v>3.07</v>
                </pt>
                <pt idx="362">
                  <v>3.06</v>
                </pt>
                <pt idx="363">
                  <v>3.07</v>
                </pt>
                <pt idx="364">
                  <v>3.02</v>
                </pt>
                <pt idx="365">
                  <v>3.02</v>
                </pt>
                <pt idx="366">
                  <v>#N/A</v>
                </pt>
                <pt idx="367">
                  <v>2.99</v>
                </pt>
                <pt idx="368">
                  <v>2.91</v>
                </pt>
                <pt idx="369">
                  <v>3</v>
                </pt>
                <pt idx="370">
                  <v>2.95</v>
                </pt>
                <pt idx="371">
                  <v>2.96</v>
                </pt>
                <pt idx="372">
                  <v>2.96</v>
                </pt>
                <pt idx="373">
                  <v>2.94</v>
                </pt>
                <pt idx="374">
                  <v>2.96</v>
                </pt>
                <pt idx="375">
                  <v>2.94</v>
                </pt>
                <pt idx="376">
                  <v>2.95</v>
                </pt>
                <pt idx="377">
                  <v>3.06</v>
                </pt>
                <pt idx="378">
                  <v>2.93</v>
                </pt>
                <pt idx="379">
                  <v>2.88</v>
                </pt>
                <pt idx="380">
                  <v>2.9</v>
                </pt>
                <pt idx="381">
                  <v>2.94</v>
                </pt>
                <pt idx="382">
                  <v>2.96</v>
                </pt>
                <pt idx="383">
                  <v>2.99</v>
                </pt>
                <pt idx="384">
                  <v>2.92</v>
                </pt>
                <pt idx="385">
                  <v>2.86</v>
                </pt>
                <pt idx="386">
                  <v>2.93</v>
                </pt>
                <pt idx="387">
                  <v>3.02</v>
                </pt>
                <pt idx="388">
                  <v>3.12</v>
                </pt>
                <pt idx="389">
                  <v>3.15</v>
                </pt>
                <pt idx="390">
                  <v>3.2</v>
                </pt>
                <pt idx="391">
                  <v>#N/A</v>
                </pt>
                <pt idx="392">
                  <v>3.14</v>
                </pt>
                <pt idx="393">
                  <v>3.11</v>
                </pt>
                <pt idx="394">
                  <v>3.14</v>
                </pt>
                <pt idx="395">
                  <v>3</v>
                </pt>
                <pt idx="396">
                  <v>2.91</v>
                </pt>
                <pt idx="397">
                  <v>2.89</v>
                </pt>
                <pt idx="398">
                  <v>2.91</v>
                </pt>
                <pt idx="399">
                  <v>2.97</v>
                </pt>
                <pt idx="400">
                  <v>2.92</v>
                </pt>
                <pt idx="401">
                  <v>2.92</v>
                </pt>
                <pt idx="402">
                  <v>2.88</v>
                </pt>
                <pt idx="403">
                  <v>2.94</v>
                </pt>
                <pt idx="404">
                  <v>2.98</v>
                </pt>
                <pt idx="405">
                  <v>2.94</v>
                </pt>
                <pt idx="406">
                  <v>2.98</v>
                </pt>
                <pt idx="407">
                  <v>2.92</v>
                </pt>
                <pt idx="408">
                  <v>2.93</v>
                </pt>
                <pt idx="409">
                  <v>2.91</v>
                </pt>
                <pt idx="410">
                  <v>2.72</v>
                </pt>
                <pt idx="411">
                  <v>2.67</v>
                </pt>
                <pt idx="412">
                  <v>2.6</v>
                </pt>
                <pt idx="413">
                  <v>2.62</v>
                </pt>
                <pt idx="414">
                  <v>2.45</v>
                </pt>
                <pt idx="415">
                  <v>2.57</v>
                </pt>
                <pt idx="416">
                  <v>2.35</v>
                </pt>
                <pt idx="417">
                  <v>2.17</v>
                </pt>
                <pt idx="418">
                  <v>2.15</v>
                </pt>
                <pt idx="419">
                  <v>2.31</v>
                </pt>
                <pt idx="420">
                  <v>2.22</v>
                </pt>
                <pt idx="421">
                  <v>2.27</v>
                </pt>
                <pt idx="422">
                  <v>2.2</v>
                </pt>
                <pt idx="423">
                  <v>2.16</v>
                </pt>
                <pt idx="424">
                  <v>2.07</v>
                </pt>
                <pt idx="425">
                  <v>2.05</v>
                </pt>
                <pt idx="426">
                  <v>2.09</v>
                </pt>
                <pt idx="427">
                  <v>2.14</v>
                </pt>
                <pt idx="428">
                  <v>2.27</v>
                </pt>
                <pt idx="429">
                  <v>2.22</v>
                </pt>
                <pt idx="430">
                  <v>2.18</v>
                </pt>
                <pt idx="431">
                  <v>2.26</v>
                </pt>
                <pt idx="432">
                  <v>2.18</v>
                </pt>
                <pt idx="433">
                  <v>2.21</v>
                </pt>
                <pt idx="434">
                  <v>2.13</v>
                </pt>
                <pt idx="435">
                  <v>2</v>
                </pt>
                <pt idx="436">
                  <v>#N/A</v>
                </pt>
                <pt idx="437">
                  <v>1.96</v>
                </pt>
                <pt idx="438">
                  <v>2.03</v>
                </pt>
                <pt idx="439">
                  <v>1.98</v>
                </pt>
                <pt idx="440">
                  <v>1.92</v>
                </pt>
                <pt idx="441">
                  <v>1.93</v>
                </pt>
                <pt idx="442">
                  <v>1.99</v>
                </pt>
                <pt idx="443">
                  <v>2.02</v>
                </pt>
                <pt idx="444">
                  <v>2.08</v>
                </pt>
                <pt idx="445">
                  <v>2.07</v>
                </pt>
                <pt idx="446">
                  <v>1.96</v>
                </pt>
                <pt idx="447">
                  <v>1.94</v>
                </pt>
                <pt idx="448">
                  <v>1.87</v>
                </pt>
                <pt idx="449">
                  <v>#N/A</v>
                </pt>
                <pt idx="450">
                  <v>1.83</v>
                </pt>
                <pt idx="451">
                  <v>1.89</v>
                </pt>
                <pt idx="452">
                  <v>1.99</v>
                </pt>
                <pt idx="453">
                  <v>2.01</v>
                </pt>
                <pt idx="454">
                  <v>1.97</v>
                </pt>
                <pt idx="455">
                  <v>1.9</v>
                </pt>
                <pt idx="456">
                  <v>1.78</v>
                </pt>
                <pt idx="457">
                  <v>1.8</v>
                </pt>
                <pt idx="458">
                  <v>#N/A</v>
                </pt>
                <pt idx="459">
                  <v>2</v>
                </pt>
                <pt idx="460">
                  <v>2.09</v>
                </pt>
                <pt idx="461">
                  <v>#N/A</v>
                </pt>
                <pt idx="462">
                  <v>2.16</v>
                </pt>
                <pt idx="463">
                  <v>2.22</v>
                </pt>
                <pt idx="464">
                  <v>2.17</v>
                </pt>
                <pt idx="465">
                  <v>2.24</v>
                </pt>
                <pt idx="466">
                  <v>2.14</v>
                </pt>
                <pt idx="467">
                  <v>2.15</v>
                </pt>
                <pt idx="468">
                  <v>2.15</v>
                </pt>
                <pt idx="469">
                  <v>2.17</v>
                </pt>
                <pt idx="470">
                  <v>2.21</v>
                </pt>
                <pt idx="471">
                  <v>2.23</v>
                </pt>
                <pt idx="472">
                  <v>2.13</v>
                </pt>
                <pt idx="473">
                  <v>2.21</v>
                </pt>
                <pt idx="474">
                  <v>2.4</v>
                </pt>
                <pt idx="475">
                  <v>2.33</v>
                </pt>
                <pt idx="476">
                  <v>2.16</v>
                </pt>
                <pt idx="477">
                  <v>2</v>
                </pt>
                <pt idx="478">
                  <v>2.02</v>
                </pt>
                <pt idx="479">
                  <v>2.08</v>
                </pt>
                <pt idx="480">
                  <v>2.05</v>
                </pt>
                <pt idx="481">
                  <v>2.03</v>
                </pt>
                <pt idx="482">
                  <v>2.09</v>
                </pt>
                <pt idx="483">
                  <v>1.99</v>
                </pt>
                <pt idx="484">
                  <v>2.03</v>
                </pt>
                <pt idx="485">
                  <v>#N/A</v>
                </pt>
                <pt idx="486">
                  <v>2.03</v>
                </pt>
                <pt idx="487">
                  <v>2.05</v>
                </pt>
                <pt idx="488">
                  <v>2</v>
                </pt>
                <pt idx="489">
                  <v>1.94</v>
                </pt>
                <pt idx="490">
                  <v>2</v>
                </pt>
                <pt idx="491">
                  <v>1.95</v>
                </pt>
                <pt idx="492">
                  <v>1.92</v>
                </pt>
                <pt idx="493">
                  <v>1.87</v>
                </pt>
                <pt idx="494">
                  <v>#N/A</v>
                </pt>
                <pt idx="495">
                  <v>1.95</v>
                </pt>
                <pt idx="496">
                  <v>1.94</v>
                </pt>
                <pt idx="497">
                  <v>1.98</v>
                </pt>
                <pt idx="498">
                  <v>2.07</v>
                </pt>
                <pt idx="499">
                  <v>2.1</v>
                </pt>
                <pt idx="500">
                  <v>2.03</v>
                </pt>
                <pt idx="501">
                  <v>2.03</v>
                </pt>
                <pt idx="502">
                  <v>2.07</v>
                </pt>
                <pt idx="503">
                  <v>2</v>
                </pt>
                <pt idx="504">
                  <v>1.98</v>
                </pt>
                <pt idx="505">
                  <v>2.06</v>
                </pt>
                <pt idx="506">
                  <v>2.02</v>
                </pt>
                <pt idx="507">
                  <v>1.95</v>
                </pt>
                <pt idx="508">
                  <v>1.91</v>
                </pt>
                <pt idx="509">
                  <v>#N/A</v>
                </pt>
                <pt idx="510">
                  <v>#N/A</v>
                </pt>
                <pt idx="511">
                  <v>1.81</v>
                </pt>
                <pt idx="512">
                  <v>1.93</v>
                </pt>
                <pt idx="513">
                  <v>1.97</v>
                </pt>
                <pt idx="514">
                  <v>1.96</v>
                </pt>
                <pt idx="515">
                  <v>2.02</v>
                </pt>
                <pt idx="516">
                  <v>#N/A</v>
                </pt>
                <pt idx="517">
                  <v>2</v>
                </pt>
                <pt idx="518">
                  <v>1.92</v>
                </pt>
                <pt idx="519">
                  <v>1.89</v>
                </pt>
                <pt idx="520">
                  <v>1.87</v>
                </pt>
                <pt idx="521">
                  <v>#N/A</v>
                </pt>
                <pt idx="522">
                  <v>1.95</v>
                </pt>
                <pt idx="523">
                  <v>1.98</v>
                </pt>
                <pt idx="524">
                  <v>2</v>
                </pt>
                <pt idx="525">
                  <v>1.96</v>
                </pt>
                <pt idx="526">
                  <v>1.97</v>
                </pt>
                <pt idx="527">
                  <v>1.98</v>
                </pt>
                <pt idx="528">
                  <v>1.91</v>
                </pt>
                <pt idx="529">
                  <v>1.91</v>
                </pt>
                <pt idx="530">
                  <v>1.86</v>
                </pt>
                <pt idx="531">
                  <v>#N/A</v>
                </pt>
                <pt idx="532">
                  <v>1.84</v>
                </pt>
                <pt idx="533">
                  <v>1.89</v>
                </pt>
                <pt idx="534">
                  <v>1.96</v>
                </pt>
                <pt idx="535">
                  <v>2</v>
                </pt>
                <pt idx="536">
                  <v>2.05</v>
                </pt>
                <pt idx="537">
                  <v>2.04</v>
                </pt>
                <pt idx="538">
                  <v>1.97</v>
                </pt>
                <pt idx="539">
                  <v>1.91</v>
                </pt>
                <pt idx="540">
                  <v>1.87</v>
                </pt>
                <pt idx="541">
                  <v>1.82</v>
                </pt>
                <pt idx="542">
                  <v>1.77</v>
                </pt>
                <pt idx="543">
                  <v>1.81</v>
                </pt>
                <pt idx="544">
                  <v>1.78</v>
                </pt>
                <pt idx="545">
                  <v>1.89</v>
                </pt>
                <pt idx="546">
                  <v>1.85</v>
                </pt>
                <pt idx="547">
                  <v>1.92</v>
                </pt>
                <pt idx="548">
                  <v>1.92</v>
                </pt>
                <pt idx="549">
                  <v>1.95</v>
                </pt>
                <pt idx="550">
                  <v>1.87</v>
                </pt>
                <pt idx="551">
                  <v>1.88</v>
                </pt>
                <pt idx="552">
                  <v>1.8</v>
                </pt>
                <pt idx="553">
                  <v>1.82</v>
                </pt>
                <pt idx="554">
                  <v>1.89</v>
                </pt>
                <pt idx="555">
                  <v>1.92</v>
                </pt>
                <pt idx="556">
                  <v>#N/A</v>
                </pt>
                <pt idx="557">
                  <v>1.97</v>
                </pt>
                <pt idx="558">
                  <v>1.92</v>
                </pt>
                <pt idx="559">
                  <v>1.9</v>
                </pt>
                <pt idx="560">
                  <v>1.88</v>
                </pt>
                <pt idx="561">
                  <v>1.8</v>
                </pt>
                <pt idx="562">
                  <v>1.84</v>
                </pt>
                <pt idx="563">
                  <v>1.9</v>
                </pt>
                <pt idx="564">
                  <v>1.95</v>
                </pt>
                <pt idx="565">
                  <v>1.92</v>
                </pt>
                <pt idx="566">
                  <v>1.92</v>
                </pt>
                <pt idx="567">
                  <v>1.88</v>
                </pt>
                <pt idx="568">
                  <v>1.9</v>
                </pt>
                <pt idx="569">
                  <v>1.95</v>
                </pt>
                <pt idx="570">
                  <v>1.95</v>
                </pt>
                <pt idx="571">
                  <v>1.95</v>
                </pt>
                <pt idx="572">
                  <v>2.06</v>
                </pt>
                <pt idx="573">
                  <v>2.2</v>
                </pt>
                <pt idx="574">
                  <v>2.21</v>
                </pt>
                <pt idx="575">
                  <v>2.22</v>
                </pt>
                <pt idx="576">
                  <v>2.29</v>
                </pt>
                <pt idx="577">
                  <v>2.28</v>
                </pt>
                <pt idx="578">
                  <v>2.22</v>
                </pt>
                <pt idx="579">
                  <v>2.21</v>
                </pt>
                <pt idx="580">
                  <v>2.17</v>
                </pt>
                <pt idx="581">
                  <v>2.17</v>
                </pt>
                <pt idx="582">
                  <v>2.11</v>
                </pt>
                <pt idx="583">
                  <v>2.12</v>
                </pt>
                <pt idx="584">
                  <v>2.11</v>
                </pt>
                <pt idx="585">
                  <v>2.16</v>
                </pt>
                <pt idx="586">
                  <v>2.14</v>
                </pt>
                <pt idx="587">
                  <v>2.22</v>
                </pt>
                <pt idx="588">
                  <v>2.17</v>
                </pt>
                <pt idx="589">
                  <v>2.11</v>
                </pt>
                <pt idx="590">
                  <v>2</v>
                </pt>
                <pt idx="591">
                  <v>1.97</v>
                </pt>
                <pt idx="592">
                  <v>1.92</v>
                </pt>
                <pt idx="593">
                  <v>1.96</v>
                </pt>
                <pt idx="594">
                  <v>1.99</v>
                </pt>
                <pt idx="595">
                  <v>1.93</v>
                </pt>
                <pt idx="596">
                  <v>1.92</v>
                </pt>
                <pt idx="597">
                  <v>1.95</v>
                </pt>
                <pt idx="598">
                  <v>1.93</v>
                </pt>
                <pt idx="599">
                  <v>1.91</v>
                </pt>
                <pt idx="600">
                  <v>1.91</v>
                </pt>
                <pt idx="601">
                  <v>1.88</v>
                </pt>
                <pt idx="602">
                  <v>1.91</v>
                </pt>
                <pt idx="603">
                  <v>1.92</v>
                </pt>
                <pt idx="604">
                  <v>1.89</v>
                </pt>
                <pt idx="605">
                  <v>1.87</v>
                </pt>
                <pt idx="606">
                  <v>1.85</v>
                </pt>
                <pt idx="607">
                  <v>1.89</v>
                </pt>
                <pt idx="608">
                  <v>1.88</v>
                </pt>
                <pt idx="609">
                  <v>1.87</v>
                </pt>
                <pt idx="610">
                  <v>1.84</v>
                </pt>
                <pt idx="611">
                  <v>1.82</v>
                </pt>
                <pt idx="612">
                  <v>1.79</v>
                </pt>
                <pt idx="613">
                  <v>1.78</v>
                </pt>
                <pt idx="614">
                  <v>1.79</v>
                </pt>
                <pt idx="615">
                  <v>1.74</v>
                </pt>
                <pt idx="616">
                  <v>1.68</v>
                </pt>
                <pt idx="617">
                  <v>1.67</v>
                </pt>
                <pt idx="618">
                  <v>1.66</v>
                </pt>
                <pt idx="619">
                  <v>1.6</v>
                </pt>
                <pt idx="620">
                  <v>1.63</v>
                </pt>
                <pt idx="621">
                  <v>1.66</v>
                </pt>
                <pt idx="622">
                  <v>1.7</v>
                </pt>
                <pt idx="623">
                  <v>1.64</v>
                </pt>
                <pt idx="624">
                  <v>1.67</v>
                </pt>
                <pt idx="625">
                  <v>1.66</v>
                </pt>
                <pt idx="626">
                  <v>#N/A</v>
                </pt>
                <pt idx="627">
                  <v>1.65</v>
                </pt>
                <pt idx="628">
                  <v>1.56</v>
                </pt>
                <pt idx="629">
                  <v>1.52</v>
                </pt>
                <pt idx="630">
                  <v>1.4</v>
                </pt>
                <pt idx="631">
                  <v>1.45</v>
                </pt>
                <pt idx="632">
                  <v>1.49</v>
                </pt>
                <pt idx="633">
                  <v>1.57</v>
                </pt>
                <pt idx="634">
                  <v>1.57</v>
                </pt>
                <pt idx="635">
                  <v>1.56</v>
                </pt>
                <pt idx="636">
                  <v>1.51</v>
                </pt>
                <pt idx="637">
                  <v>1.57</v>
                </pt>
                <pt idx="638">
                  <v>1.51</v>
                </pt>
                <pt idx="639">
                  <v>1.53</v>
                </pt>
                <pt idx="640">
                  <v>1.51</v>
                </pt>
                <pt idx="641">
                  <v>1.49</v>
                </pt>
                <pt idx="642">
                  <v>1.55</v>
                </pt>
                <pt idx="643">
                  <v>1.56</v>
                </pt>
                <pt idx="644">
                  <v>1.54</v>
                </pt>
                <pt idx="645">
                  <v>1.6</v>
                </pt>
                <pt idx="646">
                  <v>1.53</v>
                </pt>
                <pt idx="647">
                  <v>1.56</v>
                </pt>
                <pt idx="648">
                  <v>1.56</v>
                </pt>
                <pt idx="649">
                  <v>1.51</v>
                </pt>
                <pt idx="650">
                  <v>1.58</v>
                </pt>
                <pt idx="651">
                  <v>1.51</v>
                </pt>
                <pt idx="652">
                  <v>1.56</v>
                </pt>
                <pt idx="653">
                  <v>#N/A</v>
                </pt>
                <pt idx="654">
                  <v>1.54</v>
                </pt>
                <pt idx="655">
                  <v>1.49</v>
                </pt>
                <pt idx="656">
                  <v>1.44</v>
                </pt>
                <pt idx="657">
                  <v>1.44</v>
                </pt>
                <pt idx="658">
                  <v>1.44</v>
                </pt>
                <pt idx="659">
                  <v>1.4</v>
                </pt>
                <pt idx="660">
                  <v>1.42</v>
                </pt>
                <pt idx="661">
                  <v>1.4</v>
                </pt>
                <pt idx="662">
                  <v>1.43</v>
                </pt>
                <pt idx="663">
                  <v>1.43</v>
                </pt>
                <pt idx="664">
                  <v>1.45</v>
                </pt>
                <pt idx="665">
                  <v>1.4</v>
                </pt>
                <pt idx="666">
                  <v>1.37</v>
                </pt>
                <pt idx="667">
                  <v>1.34</v>
                </pt>
                <pt idx="668">
                  <v>1.33</v>
                </pt>
                <pt idx="669">
                  <v>1.34</v>
                </pt>
                <pt idx="670">
                  <v>1.47</v>
                </pt>
                <pt idx="671">
                  <v>1.42</v>
                </pt>
                <pt idx="672">
                  <v>1.4</v>
                </pt>
                <pt idx="673">
                  <v>1.46</v>
                </pt>
                <pt idx="674">
                  <v>1.42</v>
                </pt>
                <pt idx="675">
                  <v>1.51</v>
                </pt>
                <pt idx="676">
                  <v>1.49</v>
                </pt>
                <pt idx="677">
                  <v>1.55</v>
                </pt>
                <pt idx="678">
                  <v>1.57</v>
                </pt>
                <pt idx="679">
                  <v>1.58</v>
                </pt>
                <pt idx="680">
                  <v>1.55</v>
                </pt>
                <pt idx="681">
                  <v>1.54</v>
                </pt>
                <pt idx="682">
                  <v>1.62</v>
                </pt>
                <pt idx="683">
                  <v>1.71</v>
                </pt>
                <pt idx="684">
                  <v>1.74</v>
                </pt>
                <pt idx="685">
                  <v>1.72</v>
                </pt>
                <pt idx="686">
                  <v>1.71</v>
                </pt>
                <pt idx="687">
                  <v>1.69</v>
                </pt>
                <pt idx="688">
                  <v>1.6</v>
                </pt>
                <pt idx="689">
                  <v>1.57</v>
                </pt>
                <pt idx="690">
                  <v>1.58</v>
                </pt>
                <pt idx="691">
                  <v>1.54</v>
                </pt>
                <pt idx="692">
                  <v>1.54</v>
                </pt>
                <pt idx="693">
                  <v>1.54</v>
                </pt>
                <pt idx="694">
                  <v>1.53</v>
                </pt>
                <pt idx="695">
                  <v>1.48</v>
                </pt>
                <pt idx="696">
                  <v>#N/A</v>
                </pt>
                <pt idx="697">
                  <v>1.49</v>
                </pt>
                <pt idx="698">
                  <v>1.49</v>
                </pt>
                <pt idx="699">
                  <v>1.57</v>
                </pt>
                <pt idx="700">
                  <v>1.56</v>
                </pt>
                <pt idx="701">
                  <v>1.58</v>
                </pt>
                <pt idx="702">
                  <v>1.6</v>
                </pt>
                <pt idx="703">
                  <v>1.67</v>
                </pt>
                <pt idx="704">
                  <v>1.65</v>
                </pt>
                <pt idx="705">
                  <v>1.77</v>
                </pt>
                <pt idx="706">
                  <v>1.74</v>
                </pt>
                <pt idx="707">
                  <v>1.72</v>
                </pt>
                <pt idx="708">
                  <v>1.68</v>
                </pt>
                <pt idx="709">
                  <v>1.69</v>
                </pt>
                <pt idx="710">
                  <v>1.66</v>
                </pt>
                <pt idx="711">
                  <v>1.63</v>
                </pt>
                <pt idx="712">
                  <v>1.59</v>
                </pt>
                <pt idx="713">
                  <v>1.53</v>
                </pt>
                <pt idx="714">
                  <v>1.57</v>
                </pt>
                <pt idx="715">
                  <v>1.55</v>
                </pt>
                <pt idx="716">
                  <v>1.55</v>
                </pt>
                <pt idx="717">
                  <v>1.55</v>
                </pt>
                <pt idx="718">
                  <v>1.55</v>
                </pt>
                <pt idx="719">
                  <v>1.6</v>
                </pt>
                <pt idx="720">
                  <v>1.64</v>
                </pt>
                <pt idx="721">
                  <v>#N/A</v>
                </pt>
                <pt idx="722">
                  <v>1.64</v>
                </pt>
                <pt idx="723">
                  <v>1.62</v>
                </pt>
                <pt idx="724">
                  <v>1.6</v>
                </pt>
                <pt idx="725">
                  <v>1.58</v>
                </pt>
                <pt idx="726">
                  <v>1.59</v>
                </pt>
                <pt idx="727">
                  <v>1.66</v>
                </pt>
                <pt idx="728">
                  <v>1.72</v>
                </pt>
                <pt idx="729">
                  <v>1.76</v>
                </pt>
                <pt idx="730">
                  <v>1.69</v>
                </pt>
                <pt idx="731">
                  <v>1.73</v>
                </pt>
                <pt idx="732">
                  <v>1.68</v>
                </pt>
                <pt idx="733">
                  <v>1.69</v>
                </pt>
                <pt idx="734">
                  <v>1.75</v>
                </pt>
                <pt idx="735">
                  <v>1.66</v>
                </pt>
                <pt idx="736">
                  <v>1.6</v>
                </pt>
                <pt idx="737">
                  <v>#N/A</v>
                </pt>
                <pt idx="738">
                  <v>1.61</v>
                </pt>
                <pt idx="739">
                  <v>1.66</v>
                </pt>
                <pt idx="740">
                  <v>1.66</v>
                </pt>
                <pt idx="741">
                  <v>1.61</v>
                </pt>
                <pt idx="742">
                  <v>1.68</v>
                </pt>
                <pt idx="743">
                  <v>1.58</v>
                </pt>
                <pt idx="744">
                  <v>1.52</v>
                </pt>
                <pt idx="745">
                  <v>1.52</v>
                </pt>
                <pt idx="746">
                  <v>#N/A</v>
                </pt>
                <pt idx="747">
                  <v>1.48</v>
                </pt>
                <pt idx="748">
                  <v>1.49</v>
                </pt>
                <pt idx="749">
                  <v>1.5</v>
                </pt>
                <pt idx="750">
                  <v>1.52</v>
                </pt>
                <pt idx="751">
                  <v>1.52</v>
                </pt>
                <pt idx="752">
                  <v>1.58</v>
                </pt>
                <pt idx="753">
                  <v>1.59</v>
                </pt>
                <pt idx="754">
                  <v>#N/A</v>
                </pt>
                <pt idx="755">
                  <v>1.6</v>
                </pt>
                <pt idx="756">
                  <v>1.56</v>
                </pt>
                <pt idx="757">
                  <v>1.54</v>
                </pt>
                <pt idx="758">
                  <v>1.53</v>
                </pt>
                <pt idx="759">
                  <v>1.53</v>
                </pt>
                <pt idx="760">
                  <v>1.54</v>
                </pt>
                <pt idx="761">
                  <v>1.53</v>
                </pt>
                <pt idx="762">
                  <v>1.52</v>
                </pt>
                <pt idx="763">
                  <v>1.5</v>
                </pt>
                <pt idx="764">
                  <v>1.49</v>
                </pt>
                <pt idx="765">
                  <v>1.55</v>
                </pt>
                <pt idx="766">
                  <v>1.54</v>
                </pt>
                <pt idx="767">
                  <v>1.58</v>
                </pt>
                <pt idx="768">
                  <v>1.65</v>
                </pt>
                <pt idx="769">
                  <v>1.68</v>
                </pt>
                <pt idx="770">
                  <v>1.68</v>
                </pt>
                <pt idx="771">
                  <v>1.73</v>
                </pt>
                <pt idx="772">
                  <v>1.78</v>
                </pt>
                <pt idx="773">
                  <v>1.77</v>
                </pt>
                <pt idx="774">
                  <v>1.75</v>
                </pt>
                <pt idx="775">
                  <v>1.71</v>
                </pt>
                <pt idx="776">
                  <v>1.73</v>
                </pt>
                <pt idx="777">
                  <v>#N/A</v>
                </pt>
                <pt idx="778">
                  <v>1.68</v>
                </pt>
                <pt idx="779">
                  <v>1.66</v>
                </pt>
                <pt idx="780">
                  <v>1.72</v>
                </pt>
                <pt idx="781">
                  <v>1.73</v>
                </pt>
                <pt idx="782">
                  <v>#N/A</v>
                </pt>
                <pt idx="783">
                  <v>1.78</v>
                </pt>
                <pt idx="784">
                  <v>1.84</v>
                </pt>
                <pt idx="785">
                  <v>1.86</v>
                </pt>
                <pt idx="786">
                  <v>1.85</v>
                </pt>
                <pt idx="787">
                  <v>1.82</v>
                </pt>
                <pt idx="788">
                  <v>1.82</v>
                </pt>
                <pt idx="789">
                  <v>1.85</v>
                </pt>
                <pt idx="790">
                  <v>1.82</v>
                </pt>
                <pt idx="791">
                  <v>1.81</v>
                </pt>
                <pt idx="792">
                  <v>1.77</v>
                </pt>
                <pt idx="793">
                  <v>1.76</v>
                </pt>
                <pt idx="794">
                  <v>1.82</v>
                </pt>
                <pt idx="795">
                  <v>1.79</v>
                </pt>
                <pt idx="796">
                  <v>#N/A</v>
                </pt>
                <pt idx="797">
                  <v>1.78</v>
                </pt>
                <pt idx="798">
                  <v>1.78</v>
                </pt>
                <pt idx="799">
                  <v>1.8</v>
                </pt>
                <pt idx="800">
                  <v>1.9</v>
                </pt>
                <pt idx="801">
                  <v>1.93</v>
                </pt>
                <pt idx="802">
                  <v>1.96</v>
                </pt>
                <pt idx="803">
                  <v>1.96</v>
                </pt>
                <pt idx="804">
                  <v>1.95</v>
                </pt>
                <pt idx="805">
                  <v>1.98</v>
                </pt>
                <pt idx="806">
                  <v>1.93</v>
                </pt>
                <pt idx="807">
                  <v>1.97</v>
                </pt>
                <pt idx="808">
                  <v>1.93</v>
                </pt>
                <pt idx="809">
                  <v>1.92</v>
                </pt>
                <pt idx="810">
                  <v>1.92</v>
                </pt>
                <pt idx="811">
                  <v>1.9</v>
                </pt>
                <pt idx="812">
                  <v>1.93</v>
                </pt>
                <pt idx="813">
                  <v>1.95</v>
                </pt>
                <pt idx="814">
                  <v>1.89</v>
                </pt>
                <pt idx="815">
                  <v>1.91</v>
                </pt>
                <pt idx="816">
                  <v>#N/A</v>
                </pt>
                <pt idx="817">
                  <v>1.91</v>
                </pt>
                <pt idx="818">
                  <v>1.9</v>
                </pt>
                <pt idx="819">
                  <v>1.86</v>
                </pt>
                <pt idx="820">
                  <v>1.84</v>
                </pt>
                <pt idx="821">
                  <v>1.76</v>
                </pt>
                <pt idx="822">
                  <v>1.74</v>
                </pt>
                <pt idx="823">
                  <v>1.8</v>
                </pt>
                <pt idx="824">
                  <v>1.78</v>
                </pt>
                <pt idx="825">
                  <v>1.75</v>
                </pt>
                <pt idx="826">
                  <v>1.77</v>
                </pt>
                <pt idx="827">
                  <v>1.82</v>
                </pt>
                <pt idx="828">
                  <v>1.85</v>
                </pt>
                <pt idx="829">
                  <v>1.9</v>
                </pt>
                <pt idx="830">
                  <v>1.96</v>
                </pt>
                <pt idx="831">
                  <v>1.97</v>
                </pt>
                <pt idx="832">
                  <v>1.93</v>
                </pt>
                <pt idx="833">
                  <v>1.95</v>
                </pt>
                <pt idx="834">
                  <v>1.94</v>
                </pt>
                <pt idx="835">
                  <v>1.92</v>
                </pt>
                <pt idx="836">
                  <v>1.89</v>
                </pt>
                <pt idx="837">
                  <v>1.85</v>
                </pt>
                <pt idx="838">
                  <v>1.89</v>
                </pt>
                <pt idx="839">
                  <v>1.88</v>
                </pt>
                <pt idx="840">
                  <v>1.86</v>
                </pt>
                <pt idx="841">
                  <v>1.85</v>
                </pt>
                <pt idx="842">
                  <v>1.85</v>
                </pt>
                <pt idx="843">
                  <v>1.78</v>
                </pt>
                <pt idx="844">
                  <v>1.8</v>
                </pt>
                <pt idx="845">
                  <v>#N/A</v>
                </pt>
                <pt idx="846">
                  <v>1.78</v>
                </pt>
                <pt idx="847">
                  <v>1.81</v>
                </pt>
                <pt idx="848">
                  <v>1.77</v>
                </pt>
                <pt idx="849">
                  <v>1.71</v>
                </pt>
                <pt idx="850">
                  <v>1.65</v>
                </pt>
                <pt idx="851">
                  <v>1.69</v>
                </pt>
                <pt idx="852">
                  <v>1.72</v>
                </pt>
                <pt idx="853">
                  <v>1.77</v>
                </pt>
                <pt idx="854">
                  <v>1.75</v>
                </pt>
                <pt idx="855">
                  <v>1.69</v>
                </pt>
                <pt idx="856">
                  <v>1.66</v>
                </pt>
                <pt idx="857">
                  <v>1.69</v>
                </pt>
                <pt idx="858">
                  <v>1.67</v>
                </pt>
                <pt idx="859">
                  <v>1.67</v>
                </pt>
                <pt idx="860">
                  <v>1.68</v>
                </pt>
                <pt idx="861">
                  <v>1.67</v>
                </pt>
                <pt idx="862">
                  <v>1.69</v>
                </pt>
                <pt idx="863">
                  <v>1.67</v>
                </pt>
                <pt idx="864">
                  <v>1.69</v>
                </pt>
                <pt idx="865">
                  <v>1.65</v>
                </pt>
                <pt idx="866">
                  <v>1.65</v>
                </pt>
                <pt idx="867">
                  <v>1.65</v>
                </pt>
                <pt idx="868">
                  <v>1.6</v>
                </pt>
                <pt idx="869">
                  <v>1.61</v>
                </pt>
                <pt idx="870">
                  <v>1.73</v>
                </pt>
                <pt idx="871">
                  <v>1.76</v>
                </pt>
                <pt idx="872">
                  <v>1.78</v>
                </pt>
                <pt idx="873">
                  <v>1.77</v>
                </pt>
                <pt idx="874">
                  <v>1.77</v>
                </pt>
                <pt idx="875">
                  <v>1.86</v>
                </pt>
                <pt idx="876">
                  <v>1.87</v>
                </pt>
                <pt idx="877">
                  <v>1.91</v>
                </pt>
                <pt idx="878">
                  <v>1.9</v>
                </pt>
                <pt idx="879">
                  <v>1.84</v>
                </pt>
                <pt idx="880">
                  <v>1.91</v>
                </pt>
                <pt idx="881">
                  <v>1.92</v>
                </pt>
                <pt idx="882">
                  <v>1.9</v>
                </pt>
                <pt idx="883">
                  <v>1.99</v>
                </pt>
                <pt idx="884">
                  <v>1.97</v>
                </pt>
                <pt idx="885">
                  <v>1.97</v>
                </pt>
                <pt idx="886">
                  <v>#N/A</v>
                </pt>
                <pt idx="887">
                  <v>2.1</v>
                </pt>
                <pt idx="888">
                  <v>2.08</v>
                </pt>
                <pt idx="889">
                  <v>2.09</v>
                </pt>
                <pt idx="890">
                  <v>2.12</v>
                </pt>
                <pt idx="891">
                  <v>2.08</v>
                </pt>
                <pt idx="892">
                  <v>2.1</v>
                </pt>
                <pt idx="893">
                  <v>2.05</v>
                </pt>
                <pt idx="894">
                  <v>2.03</v>
                </pt>
                <pt idx="895">
                  <v>2.13</v>
                </pt>
                <pt idx="896">
                  <v>2.17</v>
                </pt>
                <pt idx="897">
                  <v>2.15</v>
                </pt>
                <pt idx="898">
                  <v>2.2</v>
                </pt>
                <pt idx="899">
                  <v>2.14</v>
                </pt>
                <pt idx="900">
                  <v>2.09</v>
                </pt>
                <pt idx="901">
                  <v>2.14</v>
                </pt>
                <pt idx="902">
                  <v>2.15</v>
                </pt>
                <pt idx="903">
                  <v>2.28</v>
                </pt>
                <pt idx="904">
                  <v>2.36</v>
                </pt>
                <pt idx="905">
                  <v>2.47</v>
                </pt>
                <pt idx="906">
                  <v>2.51</v>
                </pt>
                <pt idx="907">
                  <v>2.54</v>
                </pt>
                <pt idx="908">
                  <v>2.49</v>
                </pt>
                <pt idx="909">
                  <v>2.43</v>
                </pt>
                <pt idx="910">
                  <v>2.48</v>
                </pt>
                <pt idx="911">
                  <v>2.46</v>
                </pt>
                <pt idx="912">
                  <v>2.45</v>
                </pt>
                <pt idx="913">
                  <v>2.47</v>
                </pt>
                <pt idx="914">
                  <v>#N/A</v>
                </pt>
                <pt idx="915">
                  <v>2.69</v>
                </pt>
                <pt idx="916">
                  <v>2.6</v>
                </pt>
                <pt idx="917">
                  <v>2.61</v>
                </pt>
                <pt idx="918">
                  <v>2.66</v>
                </pt>
                <pt idx="919">
                  <v>2.56</v>
                </pt>
                <pt idx="920">
                  <v>2.57</v>
                </pt>
                <pt idx="921">
                  <v>2.53</v>
                </pt>
                <pt idx="922">
                  <v>2.52</v>
                </pt>
                <pt idx="923">
                  <v>2.49</v>
                </pt>
                <pt idx="924">
                  <v>2.53</v>
                </pt>
                <pt idx="925">
                  <v>2.47</v>
                </pt>
                <pt idx="926">
                  <v>2.46</v>
                </pt>
                <pt idx="927">
                  <v>2.51</v>
                </pt>
                <pt idx="928">
                  <v>2.58</v>
                </pt>
                <pt idx="929">
                  <v>2.59</v>
                </pt>
                <pt idx="930">
                  <v>2.55</v>
                </pt>
                <pt idx="931">
                  <v>2.58</v>
                </pt>
                <pt idx="932">
                  <v>2.59</v>
                </pt>
                <pt idx="933">
                  <v>2.56</v>
                </pt>
                <pt idx="934">
                  <v>2.7</v>
                </pt>
                <pt idx="935">
                  <v>2.59</v>
                </pt>
                <pt idx="936">
                  <v>2.62</v>
                </pt>
                <pt idx="937">
                  <v>2.63</v>
                </pt>
                <pt idx="938">
                  <v>2.56</v>
                </pt>
                <pt idx="939">
                  <v>2.53</v>
                </pt>
                <pt idx="940">
                  <v>2.52</v>
                </pt>
                <pt idx="941">
                  <v>2.55</v>
                </pt>
                <pt idx="942">
                  <v>2.65</v>
                </pt>
                <pt idx="943">
                  <v>2.66</v>
                </pt>
                <pt idx="944">
                  <v>2.72</v>
                </pt>
                <pt idx="945">
                  <v>2.79</v>
                </pt>
                <pt idx="946">
                  <v>2.82</v>
                </pt>
                <pt idx="947">
                  <v>2.78</v>
                </pt>
                <pt idx="948">
                  <v>2.83</v>
                </pt>
                <pt idx="949">
                  <v>2.87</v>
                </pt>
                <pt idx="950">
                  <v>2.79</v>
                </pt>
                <pt idx="951">
                  <v>2.75</v>
                </pt>
                <pt idx="952">
                  <v>2.67</v>
                </pt>
                <pt idx="953">
                  <v>2.75</v>
                </pt>
                <pt idx="954">
                  <v>2.73</v>
                </pt>
                <pt idx="955">
                  <v>2.75</v>
                </pt>
                <pt idx="956">
                  <v>#N/A</v>
                </pt>
                <pt idx="957">
                  <v>2.84</v>
                </pt>
                <pt idx="958">
                  <v>2.88</v>
                </pt>
                <pt idx="959">
                  <v>2.96</v>
                </pt>
                <pt idx="960">
                  <v>2.92</v>
                </pt>
                <pt idx="961">
                  <v>2.88</v>
                </pt>
                <pt idx="962">
                  <v>2.94</v>
                </pt>
                <pt idx="963">
                  <v>2.91</v>
                </pt>
                <pt idx="964">
                  <v>2.91</v>
                </pt>
                <pt idx="965">
                  <v>2.89</v>
                </pt>
                <pt idx="966">
                  <v>2.86</v>
                </pt>
                <pt idx="967">
                  <v>2.85</v>
                </pt>
                <pt idx="968">
                  <v>2.68</v>
                </pt>
                <pt idx="969">
                  <v>2.75</v>
                </pt>
                <pt idx="970">
                  <v>2.74</v>
                </pt>
                <pt idx="971">
                  <v>2.7</v>
                </pt>
                <pt idx="972">
                  <v>2.65</v>
                </pt>
                <pt idx="973">
                  <v>2.61</v>
                </pt>
                <pt idx="974">
                  <v>#N/A</v>
                </pt>
                <pt idx="975">
                  <v>2.62</v>
                </pt>
                <pt idx="976">
                  <v>2.62</v>
                </pt>
                <pt idx="977">
                  <v>2.64</v>
                </pt>
                <pt idx="978">
                  <v>2.61</v>
                </pt>
                <pt idx="979">
                  <v>2.59</v>
                </pt>
                <pt idx="980">
                  <v>2.63</v>
                </pt>
                <pt idx="981">
                  <v>2.62</v>
                </pt>
                <pt idx="982">
                  <v>2.61</v>
                </pt>
                <pt idx="983">
                  <v>2.63</v>
                </pt>
                <pt idx="984">
                  <v>2.66</v>
                </pt>
                <pt idx="985">
                  <v>2.62</v>
                </pt>
                <pt idx="986">
                  <v>#N/A</v>
                </pt>
                <pt idx="987">
                  <v>2.61</v>
                </pt>
                <pt idx="988">
                  <v>2.59</v>
                </pt>
                <pt idx="989">
                  <v>2.56</v>
                </pt>
                <pt idx="990">
                  <v>2.56</v>
                </pt>
                <pt idx="991">
                  <v>2.59</v>
                </pt>
                <pt idx="992">
                  <v>2.5</v>
                </pt>
                <pt idx="993">
                  <v>2.47</v>
                </pt>
                <pt idx="994">
                  <v>2.5</v>
                </pt>
                <pt idx="995">
                  <v>2.49</v>
                </pt>
                <pt idx="996">
                  <v>2.5</v>
                </pt>
                <pt idx="997">
                  <v>2.49</v>
                </pt>
                <pt idx="998">
                  <v>2.51</v>
                </pt>
                <pt idx="999">
                  <v>2.53</v>
                </pt>
                <pt idx="1000">
                  <v>2.61</v>
                </pt>
                <pt idx="1001">
                  <v>2.58</v>
                </pt>
                <pt idx="1002">
                  <v>2.64</v>
                </pt>
                <pt idx="1003">
                  <v>2.62</v>
                </pt>
                <pt idx="1004">
                  <v>2.58</v>
                </pt>
                <pt idx="1005">
                  <v>2.71</v>
                </pt>
                <pt idx="1006">
                  <v>#N/A</v>
                </pt>
                <pt idx="1007">
                  <v>2.72</v>
                </pt>
                <pt idx="1008">
                  <v>2.67</v>
                </pt>
                <pt idx="1009">
                  <v>2.61</v>
                </pt>
                <pt idx="1010">
                  <v>2.63</v>
                </pt>
                <pt idx="1011">
                  <v>2.58</v>
                </pt>
                <pt idx="1012">
                  <v>2.63</v>
                </pt>
                <pt idx="1013">
                  <v>2.72</v>
                </pt>
                <pt idx="1014">
                  <v>2.72</v>
                </pt>
                <pt idx="1015">
                  <v>2.68</v>
                </pt>
                <pt idx="1016">
                  <v>2.66</v>
                </pt>
                <pt idx="1017">
                  <v>2.64</v>
                </pt>
                <pt idx="1018">
                  <v>2.67</v>
                </pt>
                <pt idx="1019">
                  <v>#N/A</v>
                </pt>
                <pt idx="1020">
                  <v>2.69</v>
                </pt>
                <pt idx="1021">
                  <v>2.76</v>
                </pt>
                <pt idx="1022">
                  <v>2.73</v>
                </pt>
                <pt idx="1023">
                  <v>2.78</v>
                </pt>
                <pt idx="1024">
                  <v>2.82</v>
                </pt>
                <pt idx="1025">
                  <v>2.82</v>
                </pt>
                <pt idx="1026">
                  <v>2.79</v>
                </pt>
                <pt idx="1027">
                  <v>2.74</v>
                </pt>
                <pt idx="1028">
                  <v>2.79</v>
                </pt>
                <pt idx="1029">
                  <v>2.82</v>
                </pt>
                <pt idx="1030">
                  <v>2.81</v>
                </pt>
                <pt idx="1031">
                  <v>2.82</v>
                </pt>
                <pt idx="1032">
                  <v>2.78</v>
                </pt>
                <pt idx="1033">
                  <v>2.82</v>
                </pt>
                <pt idx="1034">
                  <v>2.88</v>
                </pt>
                <pt idx="1035">
                  <v>2.82</v>
                </pt>
                <pt idx="1036">
                  <v>2.87</v>
                </pt>
                <pt idx="1037">
                  <v>2.92</v>
                </pt>
                <pt idx="1038">
                  <v>#N/A</v>
                </pt>
                <pt idx="1039">
                  <v>2.93</v>
                </pt>
                <pt idx="1040">
                  <v>2.95</v>
                </pt>
                <pt idx="1041">
                  <v>2.92</v>
                </pt>
                <pt idx="1042">
                  <v>2.97</v>
                </pt>
                <pt idx="1043">
                  <v>#N/A</v>
                </pt>
                <pt idx="1044">
                  <v>2.93</v>
                </pt>
                <pt idx="1045">
                  <v>2.94</v>
                </pt>
                <pt idx="1046">
                  <v>2.93</v>
                </pt>
                <pt idx="1047">
                  <v>2.92</v>
                </pt>
                <pt idx="1048">
                  <v>2.96</v>
                </pt>
                <pt idx="1049">
                  <v>2.93</v>
                </pt>
                <pt idx="1050">
                  <v>2.83</v>
                </pt>
                <pt idx="1051">
                  <v>2.81</v>
                </pt>
                <pt idx="1052">
                  <v>2.84</v>
                </pt>
                <pt idx="1053">
                  <v>2.86</v>
                </pt>
                <pt idx="1054">
                  <v>2.82</v>
                </pt>
                <pt idx="1055">
                  <v>2.79</v>
                </pt>
                <pt idx="1056">
                  <v>#N/A</v>
                </pt>
                <pt idx="1057">
                  <v>2.81</v>
                </pt>
                <pt idx="1058">
                  <v>2.83</v>
                </pt>
                <pt idx="1059">
                  <v>2.75</v>
                </pt>
                <pt idx="1060">
                  <v>2.71</v>
                </pt>
                <pt idx="1061">
                  <v>2.73</v>
                </pt>
                <pt idx="1062">
                  <v>2.72</v>
                </pt>
                <pt idx="1063">
                  <v>2.65</v>
                </pt>
                <pt idx="1064">
                  <v>2.7</v>
                </pt>
                <pt idx="1065">
                  <v>2.65</v>
                </pt>
                <pt idx="1066">
                  <v>2.56</v>
                </pt>
                <pt idx="1067">
                  <v>2.58</v>
                </pt>
                <pt idx="1068">
                  <v>2.63</v>
                </pt>
                <pt idx="1069">
                  <v>2.66</v>
                </pt>
                <pt idx="1070">
                  <v>2.63</v>
                </pt>
                <pt idx="1071">
                  <v>2.63</v>
                </pt>
                <pt idx="1072">
                  <v>2.7</v>
                </pt>
                <pt idx="1073">
                  <v>2.75</v>
                </pt>
                <pt idx="1074">
                  <v>2.7</v>
                </pt>
                <pt idx="1075">
                  <v>2.73</v>
                </pt>
                <pt idx="1076">
                  <v>#N/A</v>
                </pt>
                <pt idx="1077">
                  <v>2.66</v>
                </pt>
                <pt idx="1078">
                  <v>2.67</v>
                </pt>
                <pt idx="1079">
                  <v>2.71</v>
                </pt>
                <pt idx="1080">
                  <v>2.68</v>
                </pt>
                <pt idx="1081">
                  <v>2.7</v>
                </pt>
                <pt idx="1082">
                  <v>2.65</v>
                </pt>
                <pt idx="1083">
                  <v>2.62</v>
                </pt>
                <pt idx="1084">
                  <v>2.61</v>
                </pt>
                <pt idx="1085">
                  <v>2.61</v>
                </pt>
                <pt idx="1086">
                  <v>2.55</v>
                </pt>
                <pt idx="1087">
                  <v>2.65</v>
                </pt>
                <pt idx="1088">
                  <v>2.64</v>
                </pt>
                <pt idx="1089">
                  <v>2.69</v>
                </pt>
                <pt idx="1090">
                  <v>2.74</v>
                </pt>
                <pt idx="1091">
                  <v>2.74</v>
                </pt>
                <pt idx="1092">
                  <v>2.72</v>
                </pt>
                <pt idx="1093">
                  <v>2.68</v>
                </pt>
                <pt idx="1094">
                  <v>2.61</v>
                </pt>
                <pt idx="1095">
                  <v>2.6</v>
                </pt>
                <pt idx="1096">
                  <v>2.64</v>
                </pt>
                <pt idx="1097">
                  <v>2.63</v>
                </pt>
                <pt idx="1098">
                  <v>2.72</v>
                </pt>
                <pt idx="1099">
                  <v>2.73</v>
                </pt>
                <pt idx="1100">
                  <v>2.69</v>
                </pt>
                <pt idx="1101">
                  <v>2.68</v>
                </pt>
                <pt idx="1102">
                  <v>2.7</v>
                </pt>
                <pt idx="1103">
                  <v>2.66</v>
                </pt>
                <pt idx="1104">
                  <v>2.65</v>
                </pt>
                <pt idx="1105">
                  <v>2.69</v>
                </pt>
                <pt idx="1106">
                  <v>2.68</v>
                </pt>
                <pt idx="1107">
                  <v>2.73</v>
                </pt>
                <pt idx="1108">
                  <v>2.8</v>
                </pt>
                <pt idx="1109">
                  <v>2.78</v>
                </pt>
                <pt idx="1110">
                  <v>2.71</v>
                </pt>
                <pt idx="1111">
                  <v>2.68</v>
                </pt>
                <pt idx="1112">
                  <v>2.66</v>
                </pt>
                <pt idx="1113">
                  <v>2.67</v>
                </pt>
                <pt idx="1114">
                  <v>2.61</v>
                </pt>
                <pt idx="1115">
                  <v>2.59</v>
                </pt>
                <pt idx="1116">
                  <v>2.61</v>
                </pt>
                <pt idx="1117">
                  <v>2.6</v>
                </pt>
                <pt idx="1118">
                  <v>2.61</v>
                </pt>
                <pt idx="1119">
                  <v>2.7</v>
                </pt>
                <pt idx="1120">
                  <v>#N/A</v>
                </pt>
                <pt idx="1121">
                  <v>2.69</v>
                </pt>
                <pt idx="1122">
                  <v>2.7</v>
                </pt>
                <pt idx="1123">
                  <v>2.68</v>
                </pt>
                <pt idx="1124">
                  <v>2.69</v>
                </pt>
                <pt idx="1125">
                  <v>2.65</v>
                </pt>
                <pt idx="1126">
                  <v>2.67</v>
                </pt>
                <pt idx="1127">
                  <v>2.69</v>
                </pt>
                <pt idx="1128">
                  <v>2.64</v>
                </pt>
                <pt idx="1129">
                  <v>2.6</v>
                </pt>
                <pt idx="1130">
                  <v>2.58</v>
                </pt>
                <pt idx="1131">
                  <v>2.6</v>
                </pt>
                <pt idx="1132">
                  <v>2.58</v>
                </pt>
                <pt idx="1133">
                  <v>2.59</v>
                </pt>
                <pt idx="1134">
                  <v>2.58</v>
                </pt>
                <pt idx="1135">
                  <v>2.59</v>
                </pt>
                <pt idx="1136">
                  <v>2.63</v>
                </pt>
                <pt idx="1137">
                  <v>2.58</v>
                </pt>
                <pt idx="1138">
                  <v>2.51</v>
                </pt>
                <pt idx="1139">
                  <v>2.47</v>
                </pt>
                <pt idx="1140">
                  <v>2.49</v>
                </pt>
                <pt idx="1141">
                  <v>2.51</v>
                </pt>
                <pt idx="1142">
                  <v>2.49</v>
                </pt>
                <pt idx="1143">
                  <v>2.5</v>
                </pt>
                <pt idx="1144">
                  <v>2.53</v>
                </pt>
                <pt idx="1145">
                  <v>2.5</v>
                </pt>
                <pt idx="1146">
                  <v>#N/A</v>
                </pt>
                <pt idx="1147">
                  <v>2.48</v>
                </pt>
                <pt idx="1148">
                  <v>2.4</v>
                </pt>
                <pt idx="1149">
                  <v>2.41</v>
                </pt>
                <pt idx="1150">
                  <v>2.44</v>
                </pt>
                <pt idx="1151">
                  <v>2.5</v>
                </pt>
                <pt idx="1152">
                  <v>2.56</v>
                </pt>
                <pt idx="1153">
                  <v>2.57</v>
                </pt>
                <pt idx="1154">
                  <v>2.55</v>
                </pt>
                <pt idx="1155">
                  <v>2.56</v>
                </pt>
                <pt idx="1156">
                  <v>2.58</v>
                </pt>
                <pt idx="1157">
                  <v>2.6</v>
                </pt>
                <pt idx="1158">
                  <v>2.61</v>
                </pt>
                <pt idx="1159">
                  <v>2.54</v>
                </pt>
                <pt idx="1160">
                  <v>2.56</v>
                </pt>
                <pt idx="1161">
                  <v>2.57</v>
                </pt>
                <pt idx="1162">
                  <v>2.62</v>
                </pt>
                <pt idx="1163">
                  <v>2.58</v>
                </pt>
                <pt idx="1164">
                  <v>2.62</v>
                </pt>
                <pt idx="1165">
                  <v>2.61</v>
                </pt>
                <pt idx="1166">
                  <v>2.6</v>
                </pt>
                <pt idx="1167">
                  <v>2.56</v>
                </pt>
                <pt idx="1168">
                  <v>2.54</v>
                </pt>
                <pt idx="1169">
                  <v>2.49</v>
                </pt>
                <pt idx="1170">
                  <v>2.51</v>
                </pt>
                <pt idx="1171">
                  <v>2.49</v>
                </pt>
                <pt idx="1172">
                  <v>2.56</v>
                </pt>
                <pt idx="1173">
                  <v>2.62</v>
                </pt>
                <pt idx="1174">
                  <v>2.64</v>
                </pt>
                <pt idx="1175">
                  <v>#N/A</v>
                </pt>
                <pt idx="1176">
                  <v>2.59</v>
                </pt>
                <pt idx="1177">
                  <v>2.55</v>
                </pt>
                <pt idx="1178">
                  <v>2.54</v>
                </pt>
                <pt idx="1179">
                  <v>2.53</v>
                </pt>
                <pt idx="1180">
                  <v>2.51</v>
                </pt>
                <pt idx="1181">
                  <v>2.52</v>
                </pt>
                <pt idx="1182">
                  <v>2.54</v>
                </pt>
                <pt idx="1183">
                  <v>2.53</v>
                </pt>
                <pt idx="1184">
                  <v>2.45</v>
                </pt>
                <pt idx="1185">
                  <v>2.48</v>
                </pt>
                <pt idx="1186">
                  <v>2.46</v>
                </pt>
                <pt idx="1187">
                  <v>2.45</v>
                </pt>
                <pt idx="1188">
                  <v>2.45</v>
                </pt>
                <pt idx="1189">
                  <v>2.49</v>
                </pt>
                <pt idx="1190">
                  <v>2.45</v>
                </pt>
                <pt idx="1191">
                  <v>2.46</v>
                </pt>
                <pt idx="1192">
                  <v>2.45</v>
                </pt>
                <pt idx="1193">
                  <v>2.53</v>
                </pt>
                <pt idx="1194">
                  <v>2.55</v>
                </pt>
                <pt idx="1195">
                  <v>2.49</v>
                </pt>
                <pt idx="1196">
                  <v>2.47</v>
                </pt>
                <pt idx="1197">
                  <v>2.46</v>
                </pt>
                <pt idx="1198">
                  <v>2.46</v>
                </pt>
                <pt idx="1199">
                  <v>2.4</v>
                </pt>
                <pt idx="1200">
                  <v>2.41</v>
                </pt>
                <pt idx="1201">
                  <v>2.4</v>
                </pt>
                <pt idx="1202">
                  <v>2.43</v>
                </pt>
                <pt idx="1203">
                  <v>2.39</v>
                </pt>
                <pt idx="1204">
                  <v>2.36</v>
                </pt>
                <pt idx="1205">
                  <v>2.31</v>
                </pt>
                <pt idx="1206">
                  <v>2.36</v>
                </pt>
                <pt idx="1207">
                  <v>2.37</v>
                </pt>
                <pt idx="1208">
                  <v>2.39</v>
                </pt>
                <pt idx="1209">
                  <v>2.39</v>
                </pt>
                <pt idx="1210">
                  <v>2.37</v>
                </pt>
                <pt idx="1211">
                  <v>2.35</v>
                </pt>
                <pt idx="1212">
                  <v>2.36</v>
                </pt>
                <pt idx="1213">
                  <v>2.33</v>
                </pt>
                <pt idx="1214">
                  <v>2.31</v>
                </pt>
                <pt idx="1215">
                  <v>2.32</v>
                </pt>
                <pt idx="1216">
                  <v>#N/A</v>
                </pt>
                <pt idx="1217">
                  <v>2.39</v>
                </pt>
                <pt idx="1218">
                  <v>2.38</v>
                </pt>
                <pt idx="1219">
                  <v>2.42</v>
                </pt>
                <pt idx="1220">
                  <v>2.43</v>
                </pt>
                <pt idx="1221">
                  <v>2.46</v>
                </pt>
                <pt idx="1222">
                  <v>2.48</v>
                </pt>
                <pt idx="1223">
                  <v>2.52</v>
                </pt>
                <pt idx="1224">
                  <v>2.52</v>
                </pt>
                <pt idx="1225">
                  <v>2.6</v>
                </pt>
                <pt idx="1226">
                  <v>2.58</v>
                </pt>
                <pt idx="1227">
                  <v>2.58</v>
                </pt>
                <pt idx="1228">
                  <v>2.6</v>
                </pt>
                <pt idx="1229">
                  <v>2.61</v>
                </pt>
                <pt idx="1230">
                  <v>2.57</v>
                </pt>
                <pt idx="1231">
                  <v>2.56</v>
                </pt>
                <pt idx="1232">
                  <v>2.53</v>
                </pt>
                <pt idx="1233">
                  <v>2.55</v>
                </pt>
                <pt idx="1234">
                  <v>2.51</v>
                </pt>
                <pt idx="1235">
                  <v>2.53</v>
                </pt>
                <pt idx="1236">
                  <v>2.48</v>
                </pt>
                <pt idx="1237">
                  <v>2.5</v>
                </pt>
                <pt idx="1238">
                  <v>2.4</v>
                </pt>
                <pt idx="1239">
                  <v>2.43</v>
                </pt>
                <pt idx="1240">
                  <v>2.44</v>
                </pt>
                <pt idx="1241">
                  <v>2.41</v>
                </pt>
                <pt idx="1242">
                  <v>2.34</v>
                </pt>
                <pt idx="1243">
                  <v>2.34</v>
                </pt>
                <pt idx="1244">
                  <v>2.33</v>
                </pt>
                <pt idx="1245">
                  <v>2.3</v>
                </pt>
                <pt idx="1246">
                  <v>#N/A</v>
                </pt>
                <pt idx="1247">
                  <v>2.19</v>
                </pt>
                <pt idx="1248">
                  <v>2.13</v>
                </pt>
                <pt idx="1249">
                  <v>2.14</v>
                </pt>
                <pt idx="1250">
                  <v>2.2</v>
                </pt>
                <pt idx="1251">
                  <v>2.18</v>
                </pt>
                <pt idx="1252">
                  <v>2.21</v>
                </pt>
                <pt idx="1253">
                  <v>2.23</v>
                </pt>
                <pt idx="1254">
                  <v>2.28</v>
                </pt>
                <pt idx="1255">
                  <v>2.28</v>
                </pt>
                <pt idx="1256">
                  <v>2.25</v>
                </pt>
                <pt idx="1257">
                  <v>2.28</v>
                </pt>
                <pt idx="1258">
                  <v>2.31</v>
                </pt>
                <pt idx="1259">
                  <v>2.31</v>
                </pt>
                <pt idx="1260">
                  <v>2.34</v>
                </pt>
                <pt idx="1261">
                  <v>2.34</v>
                </pt>
                <pt idx="1262">
                  <v>2.32</v>
                </pt>
                <pt idx="1263">
                  <v>2.33</v>
                </pt>
                <pt idx="1264">
                  <v>2.36</v>
                </pt>
                <pt idx="1265">
                  <v>2.29</v>
                </pt>
                <pt idx="1266">
                  <v>2.36</v>
                </pt>
                <pt idx="1267">
                  <v>#N/A</v>
                </pt>
                <pt idx="1268">
                  <v>2.35</v>
                </pt>
                <pt idx="1269">
                  <v>2.33</v>
                </pt>
                <pt idx="1270">
                  <v>2.3</v>
                </pt>
                <pt idx="1271">
                  <v>2.31</v>
                </pt>
                <pt idx="1272">
                  <v>2.3</v>
                </pt>
                <pt idx="1273">
                  <v>2.35</v>
                </pt>
                <pt idx="1274">
                  <v>2.32</v>
                </pt>
                <pt idx="1275">
                  <v>2.3</v>
                </pt>
                <pt idx="1276">
                  <v>2.28</v>
                </pt>
                <pt idx="1277">
                  <v>2.25</v>
                </pt>
                <pt idx="1278">
                  <v>2.22</v>
                </pt>
                <pt idx="1279">
                  <v>#N/A</v>
                </pt>
                <pt idx="1280">
                  <v>2.16</v>
                </pt>
                <pt idx="1281">
                  <v>2.19</v>
                </pt>
                <pt idx="1282">
                  <v>2.25</v>
                </pt>
                <pt idx="1283">
                  <v>2.28</v>
                </pt>
                <pt idx="1284">
                  <v>2.23</v>
                </pt>
                <pt idx="1285">
                  <v>2.29</v>
                </pt>
                <pt idx="1286">
                  <v>2.23</v>
                </pt>
                <pt idx="1287">
                  <v>2.18</v>
                </pt>
                <pt idx="1288">
                  <v>2.15</v>
                </pt>
                <pt idx="1289">
                  <v>2.16</v>
                </pt>
                <pt idx="1290">
                  <v>2.08</v>
                </pt>
                <pt idx="1291">
                  <v>2.08</v>
                </pt>
                <pt idx="1292">
                  <v>2.04</v>
                </pt>
                <pt idx="1293">
                  <v>2.11</v>
                </pt>
                <pt idx="1294">
                  <v>2.18</v>
                </pt>
                <pt idx="1295">
                  <v>2.13</v>
                </pt>
                <pt idx="1296">
                  <v>2.12</v>
                </pt>
                <pt idx="1297">
                  <v>2.23</v>
                </pt>
                <pt idx="1298">
                  <v>2.26</v>
                </pt>
                <pt idx="1299">
                  <v>#N/A</v>
                </pt>
                <pt idx="1300">
                  <v>2.24</v>
                </pt>
                <pt idx="1301">
                  <v>2.19</v>
                </pt>
                <pt idx="1302">
                  <v>2.17</v>
                </pt>
                <pt idx="1303">
                  <v>2.13</v>
                </pt>
                <pt idx="1304">
                  <v>#N/A</v>
                </pt>
                <pt idx="1305">
                  <v>2.1</v>
                </pt>
                <pt idx="1306">
                  <v>2.01</v>
                </pt>
                <pt idx="1307">
                  <v>1.94</v>
                </pt>
                <pt idx="1308">
                  <v>1.93</v>
                </pt>
                <pt idx="1309">
                  <v>2</v>
                </pt>
                <pt idx="1310">
                  <v>1.96</v>
                </pt>
                <pt idx="1311">
                  <v>1.89</v>
                </pt>
                <pt idx="1312">
                  <v>1.88</v>
                </pt>
                <pt idx="1313">
                  <v>1.82</v>
                </pt>
                <pt idx="1314">
                  <v>1.74</v>
                </pt>
                <pt idx="1315">
                  <v>1.8</v>
                </pt>
                <pt idx="1316">
                  <v>#N/A</v>
                </pt>
                <pt idx="1317">
                  <v>1.79</v>
                </pt>
                <pt idx="1318">
                  <v>1.84</v>
                </pt>
                <pt idx="1319">
                  <v>1.87</v>
                </pt>
                <pt idx="1320">
                  <v>1.79</v>
                </pt>
                <pt idx="1321">
                  <v>1.8</v>
                </pt>
                <pt idx="1322">
                  <v>1.81</v>
                </pt>
                <pt idx="1323">
                  <v>1.71</v>
                </pt>
                <pt idx="1324">
                  <v>1.74</v>
                </pt>
                <pt idx="1325">
                  <v>1.66</v>
                </pt>
                <pt idx="1326">
                  <v>1.66</v>
                </pt>
                <pt idx="1327">
                  <v>1.77</v>
                </pt>
                <pt idx="1328">
                  <v>1.8</v>
                </pt>
                <pt idx="1329">
                  <v>1.81</v>
                </pt>
                <pt idx="1330">
                  <v>1.93</v>
                </pt>
                <pt idx="1331">
                  <v>1.95</v>
                </pt>
                <pt idx="1332">
                  <v>2</v>
                </pt>
                <pt idx="1333">
                  <v>1.99</v>
                </pt>
                <pt idx="1334">
                  <v>1.97</v>
                </pt>
                <pt idx="1335">
                  <v>2.01</v>
                </pt>
                <pt idx="1336">
                  <v>#N/A</v>
                </pt>
                <pt idx="1337">
                  <v>2.12</v>
                </pt>
                <pt idx="1338">
                  <v>2.05</v>
                </pt>
                <pt idx="1339">
                  <v>2.09</v>
                </pt>
                <pt idx="1340">
                  <v>2.11</v>
                </pt>
                <pt idx="1341">
                  <v>2.04</v>
                </pt>
                <pt idx="1342">
                  <v>1.97</v>
                </pt>
                <pt idx="1343">
                  <v>1.94</v>
                </pt>
                <pt idx="1344">
                  <v>2</v>
                </pt>
                <pt idx="1345">
                  <v>1.98</v>
                </pt>
                <pt idx="1346">
                  <v>2.06</v>
                </pt>
                <pt idx="1347">
                  <v>2.1</v>
                </pt>
                <pt idx="1348">
                  <v>2.11</v>
                </pt>
                <pt idx="1349">
                  <v>2.09</v>
                </pt>
                <pt idx="1350">
                  <v>2.23</v>
                </pt>
                <pt idx="1351">
                  <v>2.18</v>
                </pt>
                <pt idx="1352">
                  <v>2.12</v>
                </pt>
                <pt idx="1353">
                  <v>2.08</v>
                </pt>
                <pt idx="1354">
                  <v>2.07</v>
                </pt>
                <pt idx="1355">
                  <v>2.1</v>
                </pt>
                <pt idx="1356">
                  <v>2.05</v>
                </pt>
                <pt idx="1357">
                  <v>2.01</v>
                </pt>
                <pt idx="1358">
                  <v>1.9</v>
                </pt>
                <pt idx="1359">
                  <v>1.95</v>
                </pt>
                <pt idx="1360">
                  <v>1.92</v>
                </pt>
                <pt idx="1361">
                  <v>1.89</v>
                </pt>
                <pt idx="1362">
                  <v>1.86</v>
                </pt>
                <pt idx="1363">
                  <v>1.89</v>
                </pt>
                <pt idx="1364">
                  <v>1.98</v>
                </pt>
                <pt idx="1365">
                  <v>1.91</v>
                </pt>
                <pt idx="1366">
                  <v>1.92</v>
                </pt>
                <pt idx="1367">
                  <v>1.91</v>
                </pt>
                <pt idx="1368">
                  <v>1.84</v>
                </pt>
                <pt idx="1369">
                  <v>1.9</v>
                </pt>
                <pt idx="1370">
                  <v>1.83</v>
                </pt>
                <pt idx="1371">
                  <v>1.89</v>
                </pt>
                <pt idx="1372">
                  <v>1.87</v>
                </pt>
                <pt idx="1373">
                  <v>1.89</v>
                </pt>
                <pt idx="1374">
                  <v>1.94</v>
                </pt>
                <pt idx="1375">
                  <v>1.94</v>
                </pt>
                <pt idx="1376">
                  <v>1.91</v>
                </pt>
                <pt idx="1377">
                  <v>1.88</v>
                </pt>
                <pt idx="1378">
                  <v>1.89</v>
                </pt>
                <pt idx="1379">
                  <v>1.88</v>
                </pt>
                <pt idx="1380">
                  <v>1.86</v>
                </pt>
                <pt idx="1381">
                  <v>1.87</v>
                </pt>
                <pt idx="1382">
                  <v>1.89</v>
                </pt>
                <pt idx="1383">
                  <v>1.96</v>
                </pt>
                <pt idx="1384">
                  <v>1.93</v>
                </pt>
                <pt idx="1385">
                  <v>1.9</v>
                </pt>
                <pt idx="1386">
                  <v>1.92</v>
                </pt>
                <pt idx="1387">
                  <v>1.98</v>
                </pt>
                <pt idx="1388">
                  <v>2.05</v>
                </pt>
                <pt idx="1389">
                  <v>2.04</v>
                </pt>
                <pt idx="1390">
                  <v>2.11</v>
                </pt>
                <pt idx="1391">
                  <v>2.14</v>
                </pt>
                <pt idx="1392">
                  <v>2.18</v>
                </pt>
                <pt idx="1393">
                  <v>2.23</v>
                </pt>
                <pt idx="1394">
                  <v>2.17</v>
                </pt>
                <pt idx="1395">
                  <v>2.15</v>
                </pt>
                <pt idx="1396">
                  <v>2.26</v>
                </pt>
                <pt idx="1397">
                  <v>2.25</v>
                </pt>
                <pt idx="1398">
                  <v>2.25</v>
                </pt>
                <pt idx="1399">
                  <v>2.22</v>
                </pt>
                <pt idx="1400">
                  <v>2.12</v>
                </pt>
                <pt idx="1401">
                  <v>2.21</v>
                </pt>
                <pt idx="1402">
                  <v>2.25</v>
                </pt>
                <pt idx="1403">
                  <v>2.24</v>
                </pt>
                <pt idx="1404">
                  <v>2.17</v>
                </pt>
                <pt idx="1405">
                  <v>2.19</v>
                </pt>
                <pt idx="1406">
                  <v>#N/A</v>
                </pt>
                <pt idx="1407">
                  <v>2.12</v>
                </pt>
                <pt idx="1408">
                  <v>2.13</v>
                </pt>
                <pt idx="1409">
                  <v>2.12</v>
                </pt>
                <pt idx="1410">
                  <v>2.11</v>
                </pt>
                <pt idx="1411">
                  <v>2.17</v>
                </pt>
                <pt idx="1412">
                  <v>2.26</v>
                </pt>
                <pt idx="1413">
                  <v>2.36</v>
                </pt>
                <pt idx="1414">
                  <v>2.29</v>
                </pt>
                <pt idx="1415">
                  <v>2.38</v>
                </pt>
                <pt idx="1416">
                  <v>2.37</v>
                </pt>
                <pt idx="1417">
                  <v>2.4</v>
                </pt>
                <pt idx="1418">
                  <v>2.48</v>
                </pt>
                <pt idx="1419">
                  <v>2.38</v>
                </pt>
                <pt idx="1420">
                  <v>2.37</v>
                </pt>
                <pt idx="1421">
                  <v>2.34</v>
                </pt>
                <pt idx="1422">
                  <v>2.31</v>
                </pt>
                <pt idx="1423">
                  <v>2.31</v>
                </pt>
                <pt idx="1424">
                  <v>2.34</v>
                </pt>
                <pt idx="1425">
                  <v>2.25</v>
                </pt>
                <pt idx="1426">
                  <v>2.36</v>
                </pt>
                <pt idx="1427">
                  <v>2.41</v>
                </pt>
                <pt idx="1428">
                  <v>2.37</v>
                </pt>
                <pt idx="1429">
                  <v>2.39</v>
                </pt>
                <pt idx="1430">
                  <v>2.48</v>
                </pt>
                <pt idx="1431">
                  <v>2.31</v>
                </pt>
                <pt idx="1432">
                  <v>2.34</v>
                </pt>
                <pt idx="1433">
                  <v>2.42</v>
                </pt>
                <pt idx="1434">
                  <v>2.39</v>
                </pt>
                <pt idx="1435">
                  <v>#N/A</v>
                </pt>
                <pt idx="1436">
                  <v>2.28</v>
                </pt>
                <pt idx="1437">
                  <v>2.25</v>
                </pt>
                <pt idx="1438">
                  <v>2.2</v>
                </pt>
                <pt idx="1439">
                  <v>2.29</v>
                </pt>
                <pt idx="1440">
                  <v>2.41</v>
                </pt>
                <pt idx="1441">
                  <v>2.42</v>
                </pt>
                <pt idx="1442">
                  <v>2.4</v>
                </pt>
                <pt idx="1443">
                  <v>2.34</v>
                </pt>
                <pt idx="1444">
                  <v>2.34</v>
                </pt>
                <pt idx="1445">
                  <v>2.31</v>
                </pt>
                <pt idx="1446">
                  <v>2.34</v>
                </pt>
                <pt idx="1447">
                  <v>2.32</v>
                </pt>
                <pt idx="1448">
                  <v>2.29</v>
                </pt>
                <pt idx="1449">
                  <v>2.25</v>
                </pt>
                <pt idx="1450">
                  <v>2.23</v>
                </pt>
                <pt idx="1451">
                  <v>2.18</v>
                </pt>
                <pt idx="1452">
                  <v>2.21</v>
                </pt>
                <pt idx="1453">
                  <v>2.23</v>
                </pt>
                <pt idx="1454">
                  <v>2.21</v>
                </pt>
                <pt idx="1455">
                  <v>2.12</v>
                </pt>
                <pt idx="1456">
                  <v>2.08</v>
                </pt>
                <pt idx="1457">
                  <v>2.15</v>
                </pt>
                <pt idx="1458">
                  <v>2.2</v>
                </pt>
                <pt idx="1459">
                  <v>2.19</v>
                </pt>
                <pt idx="1460">
                  <v>2.12</v>
                </pt>
                <pt idx="1461">
                  <v>2.12</v>
                </pt>
                <pt idx="1462">
                  <v>2.05</v>
                </pt>
                <pt idx="1463">
                  <v>2.04</v>
                </pt>
                <pt idx="1464">
                  <v>2.09</v>
                </pt>
                <pt idx="1465">
                  <v>2.11</v>
                </pt>
                <pt idx="1466">
                  <v>2.06</v>
                </pt>
                <pt idx="1467">
                  <v>2.13</v>
                </pt>
                <pt idx="1468">
                  <v>2.07</v>
                </pt>
                <pt idx="1469">
                  <v>2.07</v>
                </pt>
                <pt idx="1470">
                  <v>2.02</v>
                </pt>
                <pt idx="1471">
                  <v>1.95</v>
                </pt>
                <pt idx="1472">
                  <v>2.05</v>
                </pt>
                <pt idx="1473">
                  <v>2.12</v>
                </pt>
                <pt idx="1474">
                  <v>2.12</v>
                </pt>
                <pt idx="1475">
                  <v>2.13</v>
                </pt>
                <pt idx="1476">
                  <v>2.13</v>
                </pt>
                <pt idx="1477">
                  <v>2.14</v>
                </pt>
                <pt idx="1478">
                  <v>2.17</v>
                </pt>
                <pt idx="1479">
                  <v>2.16</v>
                </pt>
                <pt idx="1480">
                  <v>2.11</v>
                </pt>
                <pt idx="1481">
                  <v>#N/A</v>
                </pt>
                <pt idx="1482">
                  <v>2.14</v>
                </pt>
                <pt idx="1483">
                  <v>2.18</v>
                </pt>
                <pt idx="1484">
                  <v>2.21</v>
                </pt>
                <pt idx="1485">
                  <v>2.16</v>
                </pt>
                <pt idx="1486">
                  <v>2.11</v>
                </pt>
                <pt idx="1487">
                  <v>2.21</v>
                </pt>
                <pt idx="1488">
                  <v>2.24</v>
                </pt>
                <pt idx="1489">
                  <v>2.2</v>
                </pt>
                <pt idx="1490">
                  <v>2.14</v>
                </pt>
                <pt idx="1491">
                  <v>2.19</v>
                </pt>
                <pt idx="1492">
                  <v>2.15</v>
                </pt>
                <pt idx="1493">
                  <v>2.15</v>
                </pt>
                <pt idx="1494">
                  <v>2.12</v>
                </pt>
                <pt idx="1495">
                  <v>2.18</v>
                </pt>
                <pt idx="1496">
                  <v>2.09</v>
                </pt>
                <pt idx="1497">
                  <v>2.04</v>
                </pt>
                <pt idx="1498">
                  <v>2.07</v>
                </pt>
                <pt idx="1499">
                  <v>2.07</v>
                </pt>
                <pt idx="1500">
                  <v>#N/A</v>
                </pt>
                <pt idx="1501">
                  <v>2.06</v>
                </pt>
                <pt idx="1502">
                  <v>#N/A</v>
                </pt>
                <pt idx="1503">
                  <v>#N/A</v>
                </pt>
                <pt idx="1504">
                  <v>2.13</v>
                </pt>
                <pt idx="1505">
                  <v>2.11</v>
                </pt>
                <pt idx="1506">
                  <v>#N/A</v>
                </pt>
                <pt idx="1507">
                  <v>2.05</v>
                </pt>
                <pt idx="1508">
                  <v>#N/A</v>
                </pt>
                <pt idx="1509">
                  <v>2.03</v>
                </pt>
                <pt idx="1510">
                  <v>2.03</v>
                </pt>
                <pt idx="1511">
                  <v>2.02</v>
                </pt>
                <pt idx="1512">
                  <v>2.06</v>
                </pt>
                <pt idx="1513">
                  <v>2.03</v>
                </pt>
                <pt idx="1514">
                  <v>#N/A</v>
                </pt>
                <pt idx="1515">
                  <v>2.08</v>
                </pt>
                <pt idx="1516">
                  <v>2.05</v>
                </pt>
                <pt idx="1517">
                  <v>2.02</v>
                </pt>
                <pt idx="1518">
                  <v>2.06</v>
                </pt>
                <pt idx="1519">
                  <v>2.12</v>
                </pt>
                <pt idx="1520">
                  <v>2.08</v>
                </pt>
                <pt idx="1521">
                  <v>2.12</v>
                </pt>
                <pt idx="1522">
                  <v>2.17</v>
                </pt>
                <pt idx="1523">
                  <v>2.2</v>
                </pt>
                <pt idx="1524">
                  <v>2.21</v>
                </pt>
                <pt idx="1525">
                  <v>2.26</v>
                </pt>
                <pt idx="1526">
                  <v>2.22</v>
                </pt>
                <pt idx="1527">
                  <v>2.19</v>
                </pt>
                <pt idx="1528">
                  <v>#N/A</v>
                </pt>
                <pt idx="1529">
                  <v>2.18</v>
                </pt>
                <pt idx="1530">
                  <v>2.15</v>
                </pt>
                <pt idx="1531">
                  <v>2.12</v>
                </pt>
                <pt idx="1532">
                  <v>2.11</v>
                </pt>
                <pt idx="1533">
                  <v>2.15</v>
                </pt>
                <pt idx="1534">
                  <v>2.13</v>
                </pt>
                <pt idx="1535">
                  <v>2.15</v>
                </pt>
                <pt idx="1536">
                  <v>2.11</v>
                </pt>
                <pt idx="1537">
                  <v>2.08</v>
                </pt>
                <pt idx="1538">
                  <v>2.04</v>
                </pt>
                <pt idx="1539">
                  <v>#N/A</v>
                </pt>
                <pt idx="1540">
                  <v>2.05</v>
                </pt>
                <pt idx="1541">
                  <v>1.99</v>
                </pt>
                <pt idx="1542">
                  <v>1.94</v>
                </pt>
                <pt idx="1543">
                  <v>1.97</v>
                </pt>
                <pt idx="1544">
                  <v>2.12</v>
                </pt>
                <pt idx="1545">
                  <v>2.06</v>
                </pt>
                <pt idx="1546">
                  <v>1.94</v>
                </pt>
                <pt idx="1547">
                  <v>1.97</v>
                </pt>
                <pt idx="1548">
                  <v>1.96</v>
                </pt>
                <pt idx="1549">
                  <v>2</v>
                </pt>
                <pt idx="1550">
                  <v>1.91</v>
                </pt>
                <pt idx="1551">
                  <v>1.97</v>
                </pt>
                <pt idx="1552">
                  <v>2.03</v>
                </pt>
                <pt idx="1553">
                  <v>2.03</v>
                </pt>
                <pt idx="1554">
                  <v>2.01</v>
                </pt>
                <pt idx="1555">
                  <v>2</v>
                </pt>
                <pt idx="1556">
                  <v>1.96</v>
                </pt>
                <pt idx="1557">
                  <v>2.03</v>
                </pt>
                <pt idx="1558">
                  <v>2.07</v>
                </pt>
                <pt idx="1559">
                  <v>2.05</v>
                </pt>
                <pt idx="1560">
                  <v>#N/A</v>
                </pt>
                <pt idx="1561">
                  <v>2.01</v>
                </pt>
                <pt idx="1562">
                  <v>2.09</v>
                </pt>
                <pt idx="1563">
                  <v>2.1</v>
                </pt>
                <pt idx="1564">
                  <v>2.11</v>
                </pt>
                <pt idx="1565">
                  <v>#N/A</v>
                </pt>
                <pt idx="1566">
                  <v>2.02</v>
                </pt>
                <pt idx="1567">
                  <v>2.05</v>
                </pt>
                <pt idx="1568">
                  <v>1.97</v>
                </pt>
                <pt idx="1569">
                  <v>1.96</v>
                </pt>
                <pt idx="1570">
                  <v>1.93</v>
                </pt>
                <pt idx="1571">
                  <v>1.96</v>
                </pt>
                <pt idx="1572">
                  <v>1.91</v>
                </pt>
                <pt idx="1573">
                  <v>1.86</v>
                </pt>
                <pt idx="1574">
                  <v>1.85</v>
                </pt>
                <pt idx="1575">
                  <v>1.8</v>
                </pt>
                <pt idx="1576">
                  <v>#N/A</v>
                </pt>
                <pt idx="1577">
                  <v>1.8</v>
                </pt>
                <pt idx="1578">
                  <v>1.75</v>
                </pt>
                <pt idx="1579">
                  <v>1.74</v>
                </pt>
                <pt idx="1580">
                  <v>1.77</v>
                </pt>
                <pt idx="1581">
                  <v>1.72</v>
                </pt>
                <pt idx="1582">
                  <v>1.7</v>
                </pt>
                <pt idx="1583">
                  <v>1.7</v>
                </pt>
                <pt idx="1584">
                  <v>1.66</v>
                </pt>
                <pt idx="1585">
                  <v>1.62</v>
                </pt>
                <pt idx="1586">
                  <v>1.62</v>
                </pt>
                <pt idx="1587">
                  <v>1.53</v>
                </pt>
                <pt idx="1588">
                  <v>1.55</v>
                </pt>
                <pt idx="1589">
                  <v>1.58</v>
                </pt>
                <pt idx="1590">
                  <v>1.57</v>
                </pt>
                <pt idx="1591">
                  <v>1.43</v>
                </pt>
                <pt idx="1592">
                  <v>1.44</v>
                </pt>
                <pt idx="1593">
                  <v>1.4</v>
                </pt>
                <pt idx="1594">
                  <v>1.35</v>
                </pt>
                <pt idx="1595">
                  <v>1.45</v>
                </pt>
                <pt idx="1596">
                  <v>#N/A</v>
                </pt>
                <pt idx="1597">
                  <v>1.48</v>
                </pt>
                <pt idx="1598">
                  <v>1.51</v>
                </pt>
                <pt idx="1599">
                  <v>1.45</v>
                </pt>
                <pt idx="1600">
                  <v>1.46</v>
                </pt>
                <pt idx="1601">
                  <v>1.44</v>
                </pt>
                <pt idx="1602">
                  <v>1.42</v>
                </pt>
                <pt idx="1603">
                  <v>1.42</v>
                </pt>
                <pt idx="1604">
                  <v>1.39</v>
                </pt>
                <pt idx="1605">
                  <v>1.44</v>
                </pt>
                <pt idx="1606">
                  <v>1.41</v>
                </pt>
                <pt idx="1607">
                  <v>1.5</v>
                </pt>
                <pt idx="1608">
                  <v>1.49</v>
                </pt>
                <pt idx="1609">
                  <v>1.56</v>
                </pt>
                <pt idx="1610">
                  <v>1.6</v>
                </pt>
                <pt idx="1611">
                  <v>1.59</v>
                </pt>
                <pt idx="1612">
                  <v>1.54</v>
                </pt>
                <pt idx="1613">
                  <v>1.6</v>
                </pt>
                <pt idx="1614">
                  <v>1.62</v>
                </pt>
                <pt idx="1615">
                  <v>1.66</v>
                </pt>
                <pt idx="1616">
                  <v>1.63</v>
                </pt>
                <pt idx="1617">
                  <v>1.63</v>
                </pt>
                <pt idx="1618">
                  <v>1.63</v>
                </pt>
                <pt idx="1619">
                  <v>1.62</v>
                </pt>
                <pt idx="1620">
                  <v>1.59</v>
                </pt>
                <pt idx="1621">
                  <v>1.61</v>
                </pt>
                <pt idx="1622">
                  <v>1.64</v>
                </pt>
                <pt idx="1623">
                  <v>1.58</v>
                </pt>
                <pt idx="1624">
                  <v>1.62</v>
                </pt>
                <pt idx="1625">
                  <v>#N/A</v>
                </pt>
                <pt idx="1626">
                  <v>1.6</v>
                </pt>
                <pt idx="1627">
                  <v>1.58</v>
                </pt>
                <pt idx="1628">
                  <v>1.63</v>
                </pt>
                <pt idx="1629">
                  <v>1.57</v>
                </pt>
                <pt idx="1630">
                  <v>1.56</v>
                </pt>
                <pt idx="1631">
                  <v>1.55</v>
                </pt>
                <pt idx="1632">
                  <v>1.5</v>
                </pt>
                <pt idx="1633">
                  <v>1.53</v>
                </pt>
                <pt idx="1634">
                  <v>1.47</v>
                </pt>
                <pt idx="1635">
                  <v>1.49</v>
                </pt>
                <pt idx="1636">
                  <v>1.5</v>
                </pt>
                <pt idx="1637">
                  <v>1.57</v>
                </pt>
                <pt idx="1638">
                  <v>1.54</v>
                </pt>
                <pt idx="1639">
                  <v>1.58</v>
                </pt>
                <pt idx="1640">
                  <v>1.54</v>
                </pt>
                <pt idx="1641">
                  <v>1.56</v>
                </pt>
                <pt idx="1642">
                  <v>1.58</v>
                </pt>
                <pt idx="1643">
                  <v>1.62</v>
                </pt>
                <pt idx="1644">
                  <v>1.65</v>
                </pt>
                <pt idx="1645">
                  <v>1.66</v>
                </pt>
                <pt idx="1646">
                  <v>1.66</v>
                </pt>
                <pt idx="1647">
                  <v>1.7</v>
                </pt>
                <pt idx="1648">
                  <v>1.63</v>
                </pt>
                <pt idx="1649">
                  <v>1.62</v>
                </pt>
                <pt idx="1650">
                  <v>1.61</v>
                </pt>
                <pt idx="1651">
                  <v>1.66</v>
                </pt>
                <pt idx="1652">
                  <v>1.6</v>
                </pt>
                <pt idx="1653">
                  <v>1.6</v>
                </pt>
                <pt idx="1654">
                  <v>1.56</v>
                </pt>
                <pt idx="1655">
                  <v>1.6</v>
                </pt>
                <pt idx="1656">
                  <v>1.53</v>
                </pt>
                <pt idx="1657">
                  <v>1.53</v>
                </pt>
                <pt idx="1658">
                  <v>1.47</v>
                </pt>
                <pt idx="1659">
                  <v>1.48</v>
                </pt>
                <pt idx="1660">
                  <v>1.43</v>
                </pt>
                <pt idx="1661">
                  <v>1.47</v>
                </pt>
                <pt idx="1662">
                  <v>1.48</v>
                </pt>
                <pt idx="1663">
                  <v>1.57</v>
                </pt>
                <pt idx="1664">
                  <v>1.55</v>
                </pt>
                <pt idx="1665">
                  <v>1.53</v>
                </pt>
                <pt idx="1666">
                  <v>1.49</v>
                </pt>
                <pt idx="1667">
                  <v>1.51</v>
                </pt>
                <pt idx="1668">
                  <v>1.54</v>
                </pt>
                <pt idx="1669">
                  <v>1.53</v>
                </pt>
                <pt idx="1670">
                  <v>1.54</v>
                </pt>
                <pt idx="1671">
                  <v>#N/A</v>
                </pt>
                <pt idx="1672">
                  <v>1.5</v>
                </pt>
                <pt idx="1673">
                  <v>1.55</v>
                </pt>
                <pt idx="1674">
                  <v>1.53</v>
                </pt>
                <pt idx="1675">
                  <v>1.42</v>
                </pt>
                <pt idx="1676">
                  <v>1.45</v>
                </pt>
                <pt idx="1677">
                  <v>1.44</v>
                </pt>
                <pt idx="1678">
                  <v>1.47</v>
                </pt>
                <pt idx="1679">
                  <v>1.43</v>
                </pt>
                <pt idx="1680">
                  <v>1.39</v>
                </pt>
                <pt idx="1681">
                  <v>1.35</v>
                </pt>
                <pt idx="1682">
                  <v>1.35</v>
                </pt>
                <pt idx="1683">
                  <v>1.34</v>
                </pt>
                <pt idx="1684">
                  <v>1.3</v>
                </pt>
                <pt idx="1685">
                  <v>1.36</v>
                </pt>
                <pt idx="1686">
                  <v>1.39</v>
                </pt>
                <pt idx="1687">
                  <v>1.44</v>
                </pt>
                <pt idx="1688">
                  <v>1.42</v>
                </pt>
                <pt idx="1689">
                  <v>1.44</v>
                </pt>
                <pt idx="1690">
                  <v>1.31</v>
                </pt>
                <pt idx="1691">
                  <v>1.19</v>
                </pt>
                <pt idx="1692">
                  <v>1.2</v>
                </pt>
                <pt idx="1693">
                  <v>1.24</v>
                </pt>
                <pt idx="1694">
                  <v>1.23</v>
                </pt>
                <pt idx="1695">
                  <v>1.19</v>
                </pt>
                <pt idx="1696">
                  <v>#N/A</v>
                </pt>
                <pt idx="1697">
                  <v>1.09</v>
                </pt>
                <pt idx="1698">
                  <v>1.11</v>
                </pt>
                <pt idx="1699">
                  <v>1.11</v>
                </pt>
                <pt idx="1700">
                  <v>1.1</v>
                </pt>
                <pt idx="1701">
                  <v>1.12</v>
                </pt>
                <pt idx="1702">
                  <v>1.24</v>
                </pt>
                <pt idx="1703">
                  <v>1.17</v>
                </pt>
                <pt idx="1704">
                  <v>1.22</v>
                </pt>
                <pt idx="1705">
                  <v>1.29</v>
                </pt>
                <pt idx="1706">
                  <v>1.27</v>
                </pt>
                <pt idx="1707">
                  <v>1.25</v>
                </pt>
                <pt idx="1708">
                  <v>1.27</v>
                </pt>
                <pt idx="1709">
                  <v>1.26</v>
                </pt>
                <pt idx="1710">
                  <v>1.25</v>
                </pt>
                <pt idx="1711">
                  <v>1.26</v>
                </pt>
                <pt idx="1712">
                  <v>1.26</v>
                </pt>
                <pt idx="1713">
                  <v>1.21</v>
                </pt>
                <pt idx="1714">
                  <v>1.27</v>
                </pt>
                <pt idx="1715">
                  <v>1.19</v>
                </pt>
                <pt idx="1716">
                  <v>1.22</v>
                </pt>
                <pt idx="1717">
                  <v>1.26</v>
                </pt>
                <pt idx="1718">
                  <v>1.27</v>
                </pt>
                <pt idx="1719">
                  <v>1.25</v>
                </pt>
                <pt idx="1720">
                  <v>1.32</v>
                </pt>
                <pt idx="1721">
                  <v>1.28</v>
                </pt>
                <pt idx="1722">
                  <v>1.26</v>
                </pt>
                <pt idx="1723">
                  <v>1.22</v>
                </pt>
                <pt idx="1724">
                  <v>1.29</v>
                </pt>
                <pt idx="1725">
                  <v>1.23</v>
                </pt>
                <pt idx="1726">
                  <v>1.24</v>
                </pt>
                <pt idx="1727">
                  <v>1.3</v>
                </pt>
                <pt idx="1728">
                  <v>1.26</v>
                </pt>
                <pt idx="1729">
                  <v>1.24</v>
                </pt>
                <pt idx="1730">
                  <v>1.29</v>
                </pt>
                <pt idx="1731">
                  <v>1.26</v>
                </pt>
                <pt idx="1732">
                  <v>1.25</v>
                </pt>
                <pt idx="1733">
                  <v>1.25</v>
                </pt>
                <pt idx="1734">
                  <v>1.25</v>
                </pt>
                <pt idx="1735">
                  <v>1.29</v>
                </pt>
                <pt idx="1736">
                  <v>1.24</v>
                </pt>
                <pt idx="1737">
                  <v>1.24</v>
                </pt>
                <pt idx="1738">
                  <v>1.25</v>
                </pt>
                <pt idx="1739">
                  <v>1.24</v>
                </pt>
                <pt idx="1740">
                  <v>1.28</v>
                </pt>
                <pt idx="1741">
                  <v>#N/A</v>
                </pt>
                <pt idx="1742">
                  <v>1.23</v>
                </pt>
                <pt idx="1743">
                  <v>1.2</v>
                </pt>
                <pt idx="1744">
                  <v>1.27</v>
                </pt>
                <pt idx="1745">
                  <v>1.33</v>
                </pt>
                <pt idx="1746">
                  <v>1.31</v>
                </pt>
                <pt idx="1747">
                  <v>1.37</v>
                </pt>
                <pt idx="1748">
                  <v>1.37</v>
                </pt>
                <pt idx="1749">
                  <v>1.42</v>
                </pt>
                <pt idx="1750">
                  <v>1.41</v>
                </pt>
                <pt idx="1751">
                  <v>1.4</v>
                </pt>
                <pt idx="1752">
                  <v>1.39</v>
                </pt>
                <pt idx="1753">
                  <v>1.44</v>
                </pt>
                <pt idx="1754">
                  <v>1.45</v>
                </pt>
                <pt idx="1755">
                  <v>1.44</v>
                </pt>
                <pt idx="1756">
                  <v>1.34</v>
                </pt>
                <pt idx="1757">
                  <v>1.3</v>
                </pt>
                <pt idx="1758">
                  <v>1.3</v>
                </pt>
                <pt idx="1759">
                  <v>1.3</v>
                </pt>
                <pt idx="1760">
                  <v>1.32</v>
                </pt>
                <pt idx="1761">
                  <v>1.31</v>
                </pt>
                <pt idx="1762">
                  <v>1.36</v>
                </pt>
                <pt idx="1763">
                  <v>1.4</v>
                </pt>
                <pt idx="1764">
                  <v>1.43</v>
                </pt>
                <pt idx="1765">
                  <v>1.41</v>
                </pt>
                <pt idx="1766">
                  <v>#N/A</v>
                </pt>
                <pt idx="1767">
                  <v>1.42</v>
                </pt>
                <pt idx="1768">
                  <v>1.43</v>
                </pt>
                <pt idx="1769">
                  <v>1.46</v>
                </pt>
                <pt idx="1770">
                  <v>1.49</v>
                </pt>
                <pt idx="1771">
                  <v>1.43</v>
                </pt>
                <pt idx="1772">
                  <v>1.41</v>
                </pt>
                <pt idx="1773">
                  <v>1.42</v>
                </pt>
                <pt idx="1774">
                  <v>1.42</v>
                </pt>
                <pt idx="1775">
                  <v>1.41</v>
                </pt>
                <pt idx="1776">
                  <v>1.44</v>
                </pt>
                <pt idx="1777">
                  <v>1.43</v>
                </pt>
                <pt idx="1778">
                  <v>1.46</v>
                </pt>
                <pt idx="1779">
                  <v>1.56</v>
                </pt>
                <pt idx="1780">
                  <v>1.57</v>
                </pt>
                <pt idx="1781">
                  <v>1.5</v>
                </pt>
                <pt idx="1782">
                  <v>1.48</v>
                </pt>
                <pt idx="1783">
                  <v>1.45</v>
                </pt>
                <pt idx="1784">
                  <v>1.45</v>
                </pt>
                <pt idx="1785">
                  <v>1.42</v>
                </pt>
                <pt idx="1786">
                  <v>1.42</v>
                </pt>
                <pt idx="1787">
                  <v>1.45</v>
                </pt>
                <pt idx="1788">
                  <v>1.63</v>
                </pt>
                <pt idx="1789">
                  <v>1.68</v>
                </pt>
                <pt idx="1790">
                  <v>#N/A</v>
                </pt>
                <pt idx="1791">
                  <v>1.69</v>
                </pt>
                <pt idx="1792">
                  <v>1.73</v>
                </pt>
                <pt idx="1793">
                  <v>1.76</v>
                </pt>
                <pt idx="1794">
                  <v>1.86</v>
                </pt>
                <pt idx="1795">
                  <v>1.91</v>
                </pt>
                <pt idx="1796">
                  <v>1.87</v>
                </pt>
                <pt idx="1797">
                  <v>1.83</v>
                </pt>
                <pt idx="1798">
                  <v>1.86</v>
                </pt>
                <pt idx="1799">
                  <v>#N/A</v>
                </pt>
                <pt idx="1800">
                  <v>1.88</v>
                </pt>
                <pt idx="1801">
                  <v>1.84</v>
                </pt>
                <pt idx="1802">
                  <v>1.82</v>
                </pt>
                <pt idx="1803">
                  <v>1.89</v>
                </pt>
                <pt idx="1804">
                  <v>1.98</v>
                </pt>
                <pt idx="1805">
                  <v>1.92</v>
                </pt>
                <pt idx="1806">
                  <v>1.9</v>
                </pt>
                <pt idx="1807">
                  <v>1.9</v>
                </pt>
                <pt idx="1808">
                  <v>1.83</v>
                </pt>
                <pt idx="1809">
                  <v>1.9</v>
                </pt>
                <pt idx="1810">
                  <v>1.94</v>
                </pt>
                <pt idx="1811">
                  <v>1.98</v>
                </pt>
                <pt idx="1812">
                  <v>1.94</v>
                </pt>
                <pt idx="1813">
                  <v>2</v>
                </pt>
                <pt idx="1814">
                  <v>2.1</v>
                </pt>
                <pt idx="1815">
                  <v>2.1</v>
                </pt>
                <pt idx="1816">
                  <v>2.02</v>
                </pt>
                <pt idx="1817">
                  <v>2.05</v>
                </pt>
                <pt idx="1818">
                  <v>2.04</v>
                </pt>
                <pt idx="1819">
                  <v>2.05</v>
                </pt>
                <pt idx="1820">
                  <v>2.04</v>
                </pt>
                <pt idx="1821">
                  <v>#N/A</v>
                </pt>
                <pt idx="1822">
                  <v>2.06</v>
                </pt>
                <pt idx="1823">
                  <v>1.99</v>
                </pt>
                <pt idx="1824">
                  <v>2.03</v>
                </pt>
                <pt idx="1825">
                  <v>1.95</v>
                </pt>
                <pt idx="1826">
                  <v>#N/A</v>
                </pt>
                <pt idx="1827">
                  <v>1.92</v>
                </pt>
                <pt idx="1828">
                  <v>1.94</v>
                </pt>
                <pt idx="1829">
                  <v>1.86</v>
                </pt>
                <pt idx="1830">
                  <v>1.9</v>
                </pt>
                <pt idx="1831">
                  <v>1.88</v>
                </pt>
                <pt idx="1832">
                  <v>1.87</v>
                </pt>
                <pt idx="1833">
                  <v>1.87</v>
                </pt>
                <pt idx="1834">
                  <v>1.85</v>
                </pt>
                <pt idx="1835">
                  <v>1.88</v>
                </pt>
                <pt idx="1836">
                  <v>#N/A</v>
                </pt>
                <pt idx="1837">
                  <v>1.79</v>
                </pt>
                <pt idx="1838">
                  <v>1.9</v>
                </pt>
                <pt idx="1839">
                  <v>1.96</v>
                </pt>
                <pt idx="1840">
                  <v>1.99</v>
                </pt>
                <pt idx="1841">
                  <v>1.9</v>
                </pt>
                <pt idx="1842">
                  <v>1.97</v>
                </pt>
                <pt idx="1843">
                  <v>2.04</v>
                </pt>
                <pt idx="1844">
                  <v>2.01</v>
                </pt>
                <pt idx="1845">
                  <v>1.98</v>
                </pt>
                <pt idx="1846">
                  <v>1.98</v>
                </pt>
                <pt idx="1847">
                  <v>1.93</v>
                </pt>
                <pt idx="1848">
                  <v>1.98</v>
                </pt>
                <pt idx="1849">
                  <v>1.97</v>
                </pt>
                <pt idx="1850">
                  <v>1.99</v>
                </pt>
                <pt idx="1851">
                  <v>1.89</v>
                </pt>
                <pt idx="1852">
                  <v>1.87</v>
                </pt>
                <pt idx="1853">
                  <v>1.81</v>
                </pt>
                <pt idx="1854">
                  <v>1.87</v>
                </pt>
                <pt idx="1855">
                  <v>1.87</v>
                </pt>
                <pt idx="1856">
                  <v>1.91</v>
                </pt>
                <pt idx="1857">
                  <v>1.93</v>
                </pt>
                <pt idx="1858">
                  <v>1.98</v>
                </pt>
                <pt idx="1859">
                  <v>1.93</v>
                </pt>
                <pt idx="1860">
                  <v>1.9</v>
                </pt>
                <pt idx="1861">
                  <v>#N/A</v>
                </pt>
                <pt idx="1862">
                  <v>1.9</v>
                </pt>
                <pt idx="1863">
                  <v>1.9</v>
                </pt>
                <pt idx="1864">
                  <v>1.87</v>
                </pt>
                <pt idx="1865">
                  <v>1.8</v>
                </pt>
                <pt idx="1866">
                  <v>1.86</v>
                </pt>
                <pt idx="1867">
                  <v>1.83</v>
                </pt>
                <pt idx="1868">
                  <v>1.84</v>
                </pt>
                <pt idx="1869">
                  <v>1.83</v>
                </pt>
                <pt idx="1870">
                  <v>1.79</v>
                </pt>
                <pt idx="1871">
                  <v>1.76</v>
                </pt>
                <pt idx="1872">
                  <v>1.77</v>
                </pt>
                <pt idx="1873">
                  <v>1.85</v>
                </pt>
                <pt idx="1874">
                  <v>1.88</v>
                </pt>
                <pt idx="1875">
                  <v>1.85</v>
                </pt>
                <pt idx="1876">
                  <v>1.84</v>
                </pt>
                <pt idx="1877">
                  <v>1.83</v>
                </pt>
                <pt idx="1878">
                  <v>1.79</v>
                </pt>
                <pt idx="1879">
                  <v>1.81</v>
                </pt>
                <pt idx="1880">
                  <v>1.78</v>
                </pt>
                <pt idx="1881">
                  <v>1.72</v>
                </pt>
                <pt idx="1882">
                  <v>1.67</v>
                </pt>
                <pt idx="1883">
                  <v>1.64</v>
                </pt>
                <pt idx="1884">
                  <v>1.66</v>
                </pt>
                <pt idx="1885">
                  <v>1.63</v>
                </pt>
                <pt idx="1886">
                  <v>1.61</v>
                </pt>
                <pt idx="1887">
                  <v>1.65</v>
                </pt>
                <pt idx="1888">
                  <v>1.62</v>
                </pt>
                <pt idx="1889">
                  <v>1.65</v>
                </pt>
                <pt idx="1890">
                  <v>1.65</v>
                </pt>
                <pt idx="1891">
                  <v>1.57</v>
                </pt>
                <pt idx="1892">
                  <v>1.58</v>
                </pt>
                <pt idx="1893">
                  <v>1.55</v>
                </pt>
                <pt idx="1894">
                  <v>1.56</v>
                </pt>
                <pt idx="1895">
                  <v>1.57</v>
                </pt>
                <pt idx="1896">
                  <v>1.56</v>
                </pt>
                <pt idx="1897">
                  <v>1.51</v>
                </pt>
                <pt idx="1898">
                  <v>1.48</v>
                </pt>
                <pt idx="1899">
                  <v>1.44</v>
                </pt>
                <pt idx="1900">
                  <v>#N/A</v>
                </pt>
                <pt idx="1901">
                  <v>1.44</v>
                </pt>
                <pt idx="1902">
                  <v>1.37</v>
                </pt>
                <pt idx="1903">
                  <v>1.41</v>
                </pt>
                <pt idx="1904">
                  <v>1.46</v>
                </pt>
                <pt idx="1905">
                  <v>1.46</v>
                </pt>
                <pt idx="1906">
                  <v>1.48</v>
                </pt>
                <pt idx="1907">
                  <v>1.54</v>
                </pt>
                <pt idx="1908">
                  <v>1.5</v>
                </pt>
                <pt idx="1909">
                  <v>1.5</v>
                </pt>
                <pt idx="1910">
                  <v>1.5</v>
                </pt>
                <pt idx="1911">
                  <v>1.51</v>
                </pt>
                <pt idx="1912">
                  <v>1.48</v>
                </pt>
                <pt idx="1913">
                  <v>1.49</v>
                </pt>
                <pt idx="1914">
                  <v>1.52</v>
                </pt>
                <pt idx="1915">
                  <v>1.48</v>
                </pt>
                <pt idx="1916">
                  <v>1.49</v>
                </pt>
                <pt idx="1917">
                  <v>1.52</v>
                </pt>
                <pt idx="1918">
                  <v>1.52</v>
                </pt>
                <pt idx="1919">
                  <v>1.52</v>
                </pt>
                <pt idx="1920">
                  <v>1.47</v>
                </pt>
                <pt idx="1921">
                  <v>1.45</v>
                </pt>
                <pt idx="1922">
                  <v>1.44</v>
                </pt>
                <pt idx="1923">
                  <v>1.33</v>
                </pt>
                <pt idx="1924">
                  <v>1.32</v>
                </pt>
                <pt idx="1925">
                  <v>1.33</v>
                </pt>
                <pt idx="1926">
                  <v>1.33</v>
                </pt>
                <pt idx="1927">
                  <v>1.38</v>
                </pt>
                <pt idx="1928">
                  <v>1.34</v>
                </pt>
                <pt idx="1929">
                  <v>1.33</v>
                </pt>
                <pt idx="1930">
                  <v>1.33</v>
                </pt>
                <pt idx="1931">
                  <v>#N/A</v>
                </pt>
                <pt idx="1932">
                  <v>1.29</v>
                </pt>
                <pt idx="1933">
                  <v>1.25</v>
                </pt>
                <pt idx="1934">
                  <v>1.25</v>
                </pt>
                <pt idx="1935">
                  <v>1.19</v>
                </pt>
                <pt idx="1936">
                  <v>1.23</v>
                </pt>
                <pt idx="1937">
                  <v>1.18</v>
                </pt>
                <pt idx="1938">
                  <v>1.2</v>
                </pt>
                <pt idx="1939">
                  <v>1.2</v>
                </pt>
                <pt idx="1940">
                  <v>1.22</v>
                </pt>
                <pt idx="1941">
                  <v>1.24</v>
                </pt>
                <pt idx="1942">
                  <v>1.22</v>
                </pt>
                <pt idx="1943">
                  <v>1.16</v>
                </pt>
                <pt idx="1944">
                  <v>1.16</v>
                </pt>
                <pt idx="1945">
                  <v>1.15</v>
                </pt>
                <pt idx="1946">
                  <v>1.18</v>
                </pt>
                <pt idx="1947">
                  <v>1.16</v>
                </pt>
                <pt idx="1948">
                  <v>1.19</v>
                </pt>
                <pt idx="1949">
                  <v>1.21</v>
                </pt>
                <pt idx="1950">
                  <v>1.2</v>
                </pt>
                <pt idx="1951">
                  <v>1.16</v>
                </pt>
                <pt idx="1952">
                  <v>1.22</v>
                </pt>
                <pt idx="1953">
                  <v>1.22</v>
                </pt>
                <pt idx="1954">
                  <v>1.25</v>
                </pt>
                <pt idx="1955">
                  <v>1.3</v>
                </pt>
                <pt idx="1956">
                  <v>1.31</v>
                </pt>
                <pt idx="1957">
                  <v>#N/A</v>
                </pt>
                <pt idx="1958">
                  <v>1.3</v>
                </pt>
                <pt idx="1959">
                  <v>1.35</v>
                </pt>
                <pt idx="1960">
                  <v>1.36</v>
                </pt>
                <pt idx="1961">
                  <v>1.35</v>
                </pt>
                <pt idx="1962">
                  <v>1.34</v>
                </pt>
                <pt idx="1963">
                  <v>1.3</v>
                </pt>
                <pt idx="1964">
                  <v>1.32</v>
                </pt>
                <pt idx="1965">
                  <v>1.31</v>
                </pt>
                <pt idx="1966">
                  <v>1.26</v>
                </pt>
                <pt idx="1967">
                  <v>1.22</v>
                </pt>
                <pt idx="1968">
                  <v>1.18</v>
                </pt>
                <pt idx="1969">
                  <v>1.14</v>
                </pt>
                <pt idx="1970">
                  <v>1.1</v>
                </pt>
                <pt idx="1971">
                  <v>1.11</v>
                </pt>
                <pt idx="1972">
                  <v>1.17</v>
                </pt>
                <pt idx="1973">
                  <v>1.18</v>
                </pt>
                <pt idx="1974">
                  <v>1.23</v>
                </pt>
                <pt idx="1975">
                  <v>1.24</v>
                </pt>
                <pt idx="1976">
                  <v>1.25</v>
                </pt>
                <pt idx="1977">
                  <v>1.2</v>
                </pt>
                <pt idx="1978">
                  <v>1.21</v>
                </pt>
                <pt idx="1979">
                  <v>1.18</v>
                </pt>
                <pt idx="1980">
                  <v>1.21</v>
                </pt>
                <pt idx="1981">
                  <v>1.25</v>
                </pt>
                <pt idx="1982">
                  <v>1.25</v>
                </pt>
                <pt idx="1983">
                  <v>1.2</v>
                </pt>
                <pt idx="1984">
                  <v>1.17</v>
                </pt>
                <pt idx="1985">
                  <v>1.18</v>
                </pt>
                <pt idx="1986">
                  <v>1.21</v>
                </pt>
                <pt idx="1987">
                  <v>1.25</v>
                </pt>
                <pt idx="1988">
                  <v>1.23</v>
                </pt>
                <pt idx="1989">
                  <v>1.21</v>
                </pt>
                <pt idx="1990">
                  <v>1.19</v>
                </pt>
                <pt idx="1991">
                  <v>1.19</v>
                </pt>
                <pt idx="1992">
                  <v>1.23</v>
                </pt>
                <pt idx="1993">
                  <v>1.19</v>
                </pt>
                <pt idx="1994">
                  <v>1.19</v>
                </pt>
                <pt idx="1995">
                  <v>1.16</v>
                </pt>
                <pt idx="1996">
                  <v>1.19</v>
                </pt>
                <pt idx="1997">
                  <v>1.12</v>
                </pt>
                <pt idx="1998">
                  <v>1.14</v>
                </pt>
                <pt idx="1999">
                  <v>1.13</v>
                </pt>
                <pt idx="2000">
                  <v>1.16</v>
                </pt>
                <pt idx="2001">
                  <v>#N/A</v>
                </pt>
                <pt idx="2002">
                  <v>1.06</v>
                </pt>
                <pt idx="2003">
                  <v>1.05</v>
                </pt>
                <pt idx="2004">
                  <v>1.02</v>
                </pt>
                <pt idx="2005">
                  <v>1.04</v>
                </pt>
                <pt idx="2006">
                  <v>1.1</v>
                </pt>
                <pt idx="2007">
                  <v>1.15</v>
                </pt>
                <pt idx="2008">
                  <v>1.18</v>
                </pt>
                <pt idx="2009">
                  <v>1.17</v>
                </pt>
                <pt idx="2010">
                  <v>1.17</v>
                </pt>
                <pt idx="2011">
                  <v>1.19</v>
                </pt>
                <pt idx="2012">
                  <v>1.21</v>
                </pt>
                <pt idx="2013">
                  <v>1.26</v>
                </pt>
                <pt idx="2014">
                  <v>1.25</v>
                </pt>
                <pt idx="2015">
                  <v>1.25</v>
                </pt>
                <pt idx="2016">
                  <v>1.18</v>
                </pt>
                <pt idx="2017">
                  <v>1.19</v>
                </pt>
                <pt idx="2018">
                  <v>1.26</v>
                </pt>
                <pt idx="2019">
                  <v>1.27</v>
                </pt>
                <pt idx="2020">
                  <v>1.29</v>
                </pt>
                <pt idx="2021">
                  <v>1.34</v>
                </pt>
                <pt idx="2022">
                  <v>1.28</v>
                </pt>
                <pt idx="2023">
                  <v>1.27</v>
                </pt>
                <pt idx="2024">
                  <v>1.3</v>
                </pt>
                <pt idx="2025">
                  <v>1.32</v>
                </pt>
                <pt idx="2026">
                  <v>#N/A</v>
                </pt>
                <pt idx="2027">
                  <v>1.29</v>
                </pt>
                <pt idx="2028">
                  <v>1.27</v>
                </pt>
                <pt idx="2029">
                  <v>1.26</v>
                </pt>
                <pt idx="2030">
                  <v>1.21</v>
                </pt>
                <pt idx="2031">
                  <v>1.21</v>
                </pt>
                <pt idx="2032">
                  <v>1.23</v>
                </pt>
                <pt idx="2033">
                  <v>1.27</v>
                </pt>
                <pt idx="2034">
                  <v>1.25</v>
                </pt>
                <pt idx="2035">
                  <v>1.3</v>
                </pt>
                <pt idx="2036">
                  <v>1.3</v>
                </pt>
                <pt idx="2037">
                  <v>1.32</v>
                </pt>
                <pt idx="2038">
                  <v>1.34</v>
                </pt>
                <pt idx="2039">
                  <v>1.37</v>
                </pt>
                <pt idx="2040">
                  <v>1.34</v>
                </pt>
                <pt idx="2041">
                  <v>1.27</v>
                </pt>
                <pt idx="2042">
                  <v>1.25</v>
                </pt>
                <pt idx="2043">
                  <v>1.21</v>
                </pt>
                <pt idx="2044">
                  <v>1.2</v>
                </pt>
                <pt idx="2045">
                  <v>1.18</v>
                </pt>
                <pt idx="2046">
                  <v>1.15</v>
                </pt>
                <pt idx="2047">
                  <v>1.12</v>
                </pt>
                <pt idx="2048">
                  <v>1.11</v>
                </pt>
                <pt idx="2049">
                  <v>1.11</v>
                </pt>
                <pt idx="2050">
                  <v>1.19</v>
                </pt>
                <pt idx="2051">
                  <v>1.18</v>
                </pt>
                <pt idx="2052">
                  <v>1.14</v>
                </pt>
                <pt idx="2053">
                  <v>1.1</v>
                </pt>
                <pt idx="2054">
                  <v>1.12</v>
                </pt>
                <pt idx="2055">
                  <v>1.09</v>
                </pt>
                <pt idx="2056">
                  <v>1.09</v>
                </pt>
                <pt idx="2057">
                  <v>1.08</v>
                </pt>
                <pt idx="2058">
                  <v>1.05</v>
                </pt>
                <pt idx="2059">
                  <v>#N/A</v>
                </pt>
                <pt idx="2060">
                  <v>1.08</v>
                </pt>
                <pt idx="2061">
                  <v>1.07</v>
                </pt>
                <pt idx="2062">
                  <v>1.06</v>
                </pt>
                <pt idx="2063">
                  <v>1.1</v>
                </pt>
                <pt idx="2064">
                  <v>1.17</v>
                </pt>
                <pt idx="2065">
                  <v>1.12</v>
                </pt>
                <pt idx="2066">
                  <v>1.09</v>
                </pt>
                <pt idx="2067">
                  <v>1.08</v>
                </pt>
                <pt idx="2068">
                  <v>1.05</v>
                </pt>
                <pt idx="2069">
                  <v>1.1</v>
                </pt>
                <pt idx="2070">
                  <v>1.12</v>
                </pt>
                <pt idx="2071">
                  <v>1.08</v>
                </pt>
                <pt idx="2072">
                  <v>1.08</v>
                </pt>
                <pt idx="2073">
                  <v>1.08</v>
                </pt>
                <pt idx="2074">
                  <v>1.05</v>
                </pt>
                <pt idx="2075">
                  <v>1.06</v>
                </pt>
                <pt idx="2076">
                  <v>1.03</v>
                </pt>
                <pt idx="2077">
                  <v>1.11</v>
                </pt>
                <pt idx="2078">
                  <v>1.13</v>
                </pt>
                <pt idx="2079">
                  <v>1.15</v>
                </pt>
                <pt idx="2080">
                  <v>1.17</v>
                </pt>
                <pt idx="2081">
                  <v>#N/A</v>
                </pt>
                <pt idx="2082">
                  <v>1.02</v>
                </pt>
                <pt idx="2083">
                  <v>1</v>
                </pt>
                <pt idx="2084">
                  <v>1.06</v>
                </pt>
                <pt idx="2085">
                  <v>1.03</v>
                </pt>
                <pt idx="2086">
                  <v>#N/A</v>
                </pt>
                <pt idx="2087">
                  <v>1.04</v>
                </pt>
                <pt idx="2088">
                  <v>1.05</v>
                </pt>
                <pt idx="2089">
                  <v>1.07</v>
                </pt>
                <pt idx="2090">
                  <v>1.1</v>
                </pt>
                <pt idx="2091">
                  <v>1.06</v>
                </pt>
                <pt idx="2092">
                  <v>1.13</v>
                </pt>
                <pt idx="2093">
                  <v>1.15</v>
                </pt>
                <pt idx="2094">
                  <v>1.13</v>
                </pt>
                <pt idx="2095">
                  <v>1.14</v>
                </pt>
                <pt idx="2096">
                  <v>#N/A</v>
                </pt>
                <pt idx="2097">
                  <v>1.11</v>
                </pt>
                <pt idx="2098">
                  <v>1.15</v>
                </pt>
                <pt idx="2099">
                  <v>1.19</v>
                </pt>
                <pt idx="2100">
                  <v>1.22</v>
                </pt>
                <pt idx="2101">
                  <v>1.23</v>
                </pt>
                <pt idx="2102">
                  <v>1.21</v>
                </pt>
                <pt idx="2103">
                  <v>1.24</v>
                </pt>
                <pt idx="2104">
                  <v>1.23</v>
                </pt>
                <pt idx="2105">
                  <v>1.27</v>
                </pt>
                <pt idx="2106">
                  <v>1.27</v>
                </pt>
                <pt idx="2107">
                  <v>1.31</v>
                </pt>
                <pt idx="2108">
                  <v>1.28</v>
                </pt>
                <pt idx="2109">
                  <v>1.32</v>
                </pt>
                <pt idx="2110">
                  <v>1.38</v>
                </pt>
                <pt idx="2111">
                  <v>1.28</v>
                </pt>
                <pt idx="2112">
                  <v>1.29</v>
                </pt>
                <pt idx="2113">
                  <v>1.31</v>
                </pt>
                <pt idx="2114">
                  <v>1.32</v>
                </pt>
                <pt idx="2115">
                  <v>1.3</v>
                </pt>
                <pt idx="2116">
                  <v>1.25</v>
                </pt>
                <pt idx="2117">
                  <v>1.26</v>
                </pt>
                <pt idx="2118">
                  <v>1.35</v>
                </pt>
                <pt idx="2119">
                  <v>1.34</v>
                </pt>
                <pt idx="2120">
                  <v>1.28</v>
                </pt>
                <pt idx="2121">
                  <v>#N/A</v>
                </pt>
                <pt idx="2122">
                  <v>1.24</v>
                </pt>
                <pt idx="2123">
                  <v>1.32</v>
                </pt>
                <pt idx="2124">
                  <v>1.31</v>
                </pt>
                <pt idx="2125">
                  <v>1.27</v>
                </pt>
                <pt idx="2126">
                  <v>1.21</v>
                </pt>
                <pt idx="2127">
                  <v>1.26</v>
                </pt>
                <pt idx="2128">
                  <v>1.24</v>
                </pt>
                <pt idx="2129">
                  <v>1.21</v>
                </pt>
                <pt idx="2130">
                  <v>1.24</v>
                </pt>
                <pt idx="2131">
                  <v>1.21</v>
                </pt>
                <pt idx="2132">
                  <v>1.23</v>
                </pt>
                <pt idx="2133">
                  <v>1.24</v>
                </pt>
                <pt idx="2134">
                  <v>1.22</v>
                </pt>
                <pt idx="2135">
                  <v>1.26</v>
                </pt>
                <pt idx="2136">
                  <v>1.19</v>
                </pt>
                <pt idx="2137">
                  <v>1.14</v>
                </pt>
                <pt idx="2138">
                  <v>1.08</v>
                </pt>
                <pt idx="2139">
                  <v>1.08</v>
                </pt>
                <pt idx="2140">
                  <v>1.1</v>
                </pt>
                <pt idx="2141">
                  <v>1.08</v>
                </pt>
                <pt idx="2142">
                  <v>1.11</v>
                </pt>
                <pt idx="2143">
                  <v>1.18</v>
                </pt>
                <pt idx="2144">
                  <v>1.14</v>
                </pt>
                <pt idx="2145">
                  <v>1.11</v>
                </pt>
                <pt idx="2146">
                  <v>1.09</v>
                </pt>
                <pt idx="2147">
                  <v>1.04</v>
                </pt>
                <pt idx="2148">
                  <v>1.07</v>
                </pt>
                <pt idx="2149">
                  <v>1.04</v>
                </pt>
                <pt idx="2150">
                  <v>#N/A</v>
                </pt>
                <pt idx="2151">
                  <v>0.99</v>
                </pt>
                <pt idx="2152">
                  <v>1.07</v>
                </pt>
                <pt idx="2153">
                  <v>1.11</v>
                </pt>
                <pt idx="2154">
                  <v>1.14</v>
                </pt>
                <pt idx="2155">
                  <v>1.07</v>
                </pt>
                <pt idx="2156">
                  <v>1.05</v>
                </pt>
                <pt idx="2157">
                  <v>1.09</v>
                </pt>
                <pt idx="2158">
                  <v>1.09</v>
                </pt>
                <pt idx="2159">
                  <v>1.11</v>
                </pt>
                <pt idx="2160">
                  <v>1.09</v>
                </pt>
                <pt idx="2161">
                  <v>1.07</v>
                </pt>
                <pt idx="2162">
                  <v>1.05</v>
                </pt>
                <pt idx="2163">
                  <v>1.09</v>
                </pt>
                <pt idx="2164">
                  <v>1.13</v>
                </pt>
                <pt idx="2165">
                  <v>1.18</v>
                </pt>
                <pt idx="2166">
                  <v>1.14</v>
                </pt>
                <pt idx="2167">
                  <v>1.16</v>
                </pt>
                <pt idx="2168">
                  <v>1.21</v>
                </pt>
                <pt idx="2169">
                  <v>1.21</v>
                </pt>
                <pt idx="2170">
                  <v>1.18</v>
                </pt>
                <pt idx="2171">
                  <v>1.11</v>
                </pt>
                <pt idx="2172">
                  <v>1.15</v>
                </pt>
                <pt idx="2173">
                  <v>1.16</v>
                </pt>
                <pt idx="2174">
                  <v>1.14</v>
                </pt>
                <pt idx="2175">
                  <v>1.15</v>
                </pt>
                <pt idx="2176">
                  <v>1.12</v>
                </pt>
                <pt idx="2177">
                  <v>1.13</v>
                </pt>
                <pt idx="2178">
                  <v>1.15</v>
                </pt>
                <pt idx="2179">
                  <v>1.11</v>
                </pt>
                <pt idx="2180">
                  <v>1.09</v>
                </pt>
                <pt idx="2181">
                  <v>1.1</v>
                </pt>
                <pt idx="2182">
                  <v>1.19</v>
                </pt>
                <pt idx="2183">
                  <v>1.21</v>
                </pt>
                <pt idx="2184">
                  <v>1.23</v>
                </pt>
                <pt idx="2185">
                  <v>1.19</v>
                </pt>
                <pt idx="2186">
                  <v>1.16</v>
                </pt>
                <pt idx="2187">
                  <v>1.16</v>
                </pt>
                <pt idx="2188">
                  <v>1.13</v>
                </pt>
                <pt idx="2189">
                  <v>1.11</v>
                </pt>
                <pt idx="2190">
                  <v>1.07</v>
                </pt>
                <pt idx="2191">
                  <v>#N/A</v>
                </pt>
                <pt idx="2192">
                  <v>0.8700000000000001</v>
                </pt>
                <pt idx="2193">
                  <v>0.9399999999999999</v>
                </pt>
                <pt idx="2194">
                  <v>0.9400000000000002</v>
                </pt>
                <pt idx="2195">
                  <v>1.01</v>
                </pt>
                <pt idx="2196">
                  <v>1.03</v>
                </pt>
                <pt idx="2197">
                  <v>1.01</v>
                </pt>
                <pt idx="2198">
                  <v>1.06</v>
                </pt>
                <pt idx="2199">
                  <v>1.03</v>
                </pt>
                <pt idx="2200">
                  <v>1.04</v>
                </pt>
                <pt idx="2201">
                  <v>1.05</v>
                </pt>
                <pt idx="2202">
                  <v>1.07</v>
                </pt>
                <pt idx="2203">
                  <v>1.08</v>
                </pt>
                <pt idx="2204">
                  <v>1.04</v>
                </pt>
                <pt idx="2205">
                  <v>1.03</v>
                </pt>
                <pt idx="2206">
                  <v>1.01</v>
                </pt>
                <pt idx="2207">
                  <v>0.9800000000000002</v>
                </pt>
                <pt idx="2208">
                  <v>1.03</v>
                </pt>
                <pt idx="2209">
                  <v>1</v>
                </pt>
                <pt idx="2210">
                  <v>1.01</v>
                </pt>
                <pt idx="2211">
                  <v>0.9700000000000002</v>
                </pt>
                <pt idx="2212">
                  <v>0.98</v>
                </pt>
                <pt idx="2213">
                  <v>0.9400000000000002</v>
                </pt>
                <pt idx="2214">
                  <v>0.95</v>
                </pt>
                <pt idx="2215">
                  <v>0.9600000000000002</v>
                </pt>
                <pt idx="2216">
                  <v>0.9200000000000002</v>
                </pt>
                <pt idx="2217">
                  <v>0.8900000000000001</v>
                </pt>
                <pt idx="2218">
                  <v>#N/A</v>
                </pt>
                <pt idx="2219">
                  <v>0.9199999999999999</v>
                </pt>
                <pt idx="2220">
                  <v>0.8899999999999999</v>
                </pt>
                <pt idx="2221">
                  <v>0.9099999999999999</v>
                </pt>
                <pt idx="2222">
                  <v>0.9200000000000002</v>
                </pt>
                <pt idx="2223">
                  <v>0.9200000000000002</v>
                </pt>
                <pt idx="2224">
                  <v>0.9100000000000001</v>
                </pt>
                <pt idx="2225">
                  <v>0.8900000000000001</v>
                </pt>
                <pt idx="2226">
                  <v>0.8700000000000001</v>
                </pt>
                <pt idx="2227">
                  <v>0.8799999999999999</v>
                </pt>
                <pt idx="2228">
                  <v>0.9199999999999999</v>
                </pt>
                <pt idx="2229">
                  <v>0.8799999999999999</v>
                </pt>
                <pt idx="2230">
                  <v>0.9400000000000002</v>
                </pt>
                <pt idx="2231">
                  <v>1</v>
                </pt>
                <pt idx="2232">
                  <v>0.9700000000000002</v>
                </pt>
                <pt idx="2233">
                  <v>0.97</v>
                </pt>
                <pt idx="2234">
                  <v>1.03</v>
                </pt>
                <pt idx="2235">
                  <v>1</v>
                </pt>
                <pt idx="2236">
                  <v>0.9700000000000002</v>
                </pt>
                <pt idx="2237">
                  <v>0.97</v>
                </pt>
                <pt idx="2238">
                  <v>1.01</v>
                </pt>
                <pt idx="2239">
                  <v>1</v>
                </pt>
                <pt idx="2240">
                  <v>0.9800000000000002</v>
                </pt>
                <pt idx="2241">
                  <v>0.9199999999999999</v>
                </pt>
                <pt idx="2242">
                  <v>0.96</v>
                </pt>
                <pt idx="2243">
                  <v>0.9399999999999999</v>
                </pt>
                <pt idx="2244">
                  <v>0.9100000000000001</v>
                </pt>
                <pt idx="2245">
                  <v>0.8600000000000003</v>
                </pt>
                <pt idx="2246">
                  <v>0.8500000000000001</v>
                </pt>
                <pt idx="2247">
                  <v>0.8500000000000001</v>
                </pt>
                <pt idx="2248">
                  <v>0.8300000000000001</v>
                </pt>
                <pt idx="2249">
                  <v>0.8400000000000003</v>
                </pt>
                <pt idx="2250">
                  <v>0.8600000000000003</v>
                </pt>
                <pt idx="2251">
                  <v>0.79</v>
                </pt>
                <pt idx="2252">
                  <v>0.8100000000000001</v>
                </pt>
                <pt idx="2253">
                  <v>0.77</v>
                </pt>
                <pt idx="2254">
                  <v>0.7799999999999998</v>
                </pt>
                <pt idx="2255">
                  <v>0.77</v>
                </pt>
                <pt idx="2256">
                  <v>0.77</v>
                </pt>
                <pt idx="2257">
                  <v>0.79</v>
                </pt>
                <pt idx="2258">
                  <v>0.8000000000000003</v>
                </pt>
                <pt idx="2259">
                  <v>0.79</v>
                </pt>
                <pt idx="2260">
                  <v>0.79</v>
                </pt>
                <pt idx="2261">
                  <v>#N/A</v>
                </pt>
                <pt idx="2262">
                  <v>0.8100000000000001</v>
                </pt>
                <pt idx="2263">
                  <v>0.7999999999999998</v>
                </pt>
                <pt idx="2264">
                  <v>0.79</v>
                </pt>
                <pt idx="2265">
                  <v>0.8399999999999999</v>
                </pt>
                <pt idx="2266">
                  <v>0.8300000000000001</v>
                </pt>
                <pt idx="2267">
                  <v>0.8700000000000001</v>
                </pt>
                <pt idx="2268">
                  <v>0.8500000000000001</v>
                </pt>
                <pt idx="2269">
                  <v>0.8600000000000003</v>
                </pt>
                <pt idx="2270">
                  <v>0.8700000000000001</v>
                </pt>
                <pt idx="2271">
                  <v>0.8600000000000003</v>
                </pt>
                <pt idx="2272">
                  <v>0.9199999999999999</v>
                </pt>
                <pt idx="2273">
                  <v>0.96</v>
                </pt>
                <pt idx="2274">
                  <v>0.9399999999999999</v>
                </pt>
                <pt idx="2275">
                  <v>0.9299999999999997</v>
                </pt>
                <pt idx="2276">
                  <v>0.8999999999999999</v>
                </pt>
                <pt idx="2277">
                  <v>0.9300000000000002</v>
                </pt>
                <pt idx="2278">
                  <v>0.8999999999999999</v>
                </pt>
                <pt idx="2279">
                  <v>0.9199999999999999</v>
                </pt>
                <pt idx="2280">
                  <v>0.8999999999999999</v>
                </pt>
                <pt idx="2281">
                  <v>0.8999999999999999</v>
                </pt>
                <pt idx="2282">
                  <v>0.8599999999999999</v>
                </pt>
                <pt idx="2283">
                  <v>0.96</v>
                </pt>
                <pt idx="2284">
                  <v>1.01</v>
                </pt>
                <pt idx="2285">
                  <v>1.05</v>
                </pt>
                <pt idx="2286">
                  <v>#N/A</v>
                </pt>
                <pt idx="2287">
                  <v>1</v>
                </pt>
                <pt idx="2288">
                  <v>0.9900000000000002</v>
                </pt>
                <pt idx="2289">
                  <v>0.9199999999999999</v>
                </pt>
                <pt idx="2290">
                  <v>0.9199999999999999</v>
                </pt>
                <pt idx="2291">
                  <v>0.8900000000000001</v>
                </pt>
                <pt idx="2292">
                  <v>0.9000000000000004</v>
                </pt>
                <pt idx="2293">
                  <v>0.9199999999999999</v>
                </pt>
                <pt idx="2294">
                  <v>0.8999999999999999</v>
                </pt>
                <pt idx="2295">
                  <v>0.9400000000000004</v>
                </pt>
                <pt idx="2296">
                  <v>0.9000000000000004</v>
                </pt>
                <pt idx="2297">
                  <v>0.8799999999999999</v>
                </pt>
                <pt idx="2298">
                  <v>0.8100000000000001</v>
                </pt>
                <pt idx="2299">
                  <v>0.8500000000000001</v>
                </pt>
                <pt idx="2300">
                  <v>0.8000000000000003</v>
                </pt>
                <pt idx="2301">
                  <v>0.7800000000000002</v>
                </pt>
                <pt idx="2302">
                  <v>0.8300000000000001</v>
                </pt>
                <pt idx="2303">
                  <v>0.8599999999999999</v>
                </pt>
                <pt idx="2304">
                  <v>0.8700000000000001</v>
                </pt>
                <pt idx="2305">
                  <v>0.9400000000000004</v>
                </pt>
                <pt idx="2306">
                  <v>0.8800000000000003</v>
                </pt>
                <pt idx="2307">
                  <v>0.9100000000000001</v>
                </pt>
                <pt idx="2308">
                  <v>0.9000000000000004</v>
                </pt>
                <pt idx="2309">
                  <v>0.9400000000000004</v>
                </pt>
                <pt idx="2310">
                  <v>0.8799999999999999</v>
                </pt>
                <pt idx="2311">
                  <v>#N/A</v>
                </pt>
                <pt idx="2312">
                  <v>0.8000000000000003</v>
                </pt>
                <pt idx="2313">
                  <v>0.79</v>
                </pt>
                <pt idx="2314">
                  <v>0.79</v>
                </pt>
                <pt idx="2315">
                  <v>0.77</v>
                </pt>
                <pt idx="2316">
                  <v>0.7200000000000002</v>
                </pt>
                <pt idx="2317">
                  <v>0.7200000000000002</v>
                </pt>
                <pt idx="2318">
                  <v>0.7000000000000002</v>
                </pt>
                <pt idx="2319">
                  <v>#N/A</v>
                </pt>
                <pt idx="2320">
                  <v>0.6899999999999999</v>
                </pt>
                <pt idx="2321">
                  <v>0.6999999999999997</v>
                </pt>
                <pt idx="2322">
                  <v>0.7000000000000002</v>
                </pt>
                <pt idx="2323">
                  <v>0.71</v>
                </pt>
                <pt idx="2324">
                  <v>0.71</v>
                </pt>
                <pt idx="2325">
                  <v>0.6899999999999999</v>
                </pt>
                <pt idx="2326">
                  <v>0.6400000000000001</v>
                </pt>
                <pt idx="2327">
                  <v>0.5300000000000002</v>
                </pt>
                <pt idx="2328">
                  <v>#N/A</v>
                </pt>
                <pt idx="2329">
                  <v>0.5100000000000002</v>
                </pt>
                <pt idx="2330">
                  <v>0.5</v>
                </pt>
                <pt idx="2331">
                  <v>0.48</v>
                </pt>
                <pt idx="2332">
                  <v>0.52</v>
                </pt>
                <pt idx="2333">
                  <v>0.52</v>
                </pt>
                <pt idx="2334">
                  <v>0.5300000000000002</v>
                </pt>
                <pt idx="2335">
                  <v>0.52</v>
                </pt>
                <pt idx="2336">
                  <v>0.5</v>
                </pt>
                <pt idx="2337">
                  <v>0.48</v>
                </pt>
                <pt idx="2338">
                  <v>0.4199999999999999</v>
                </pt>
                <pt idx="2339">
                  <v>0.4500000000000002</v>
                </pt>
                <pt idx="2340">
                  <v>0.4500000000000002</v>
                </pt>
                <pt idx="2341">
                  <v>0.3300000000000001</v>
                </pt>
                <pt idx="2342">
                  <v>#N/A</v>
                </pt>
                <pt idx="2343">
                  <v>0.4199999999999999</v>
                </pt>
                <pt idx="2344">
                  <v>0.4100000000000001</v>
                </pt>
                <pt idx="2345">
                  <v>0.3700000000000001</v>
                </pt>
                <pt idx="2346">
                  <v>0.29</v>
                </pt>
                <pt idx="2347">
                  <v>#N/A</v>
                </pt>
                <pt idx="2348">
                  <v>0.29</v>
                </pt>
                <pt idx="2349">
                  <v>0.2000000000000002</v>
                </pt>
                <pt idx="2350">
                  <v>0.2999999999999998</v>
                </pt>
                <pt idx="2351">
                  <v>0.29</v>
                </pt>
                <pt idx="2352">
                  <v>0.3199999999999998</v>
                </pt>
                <pt idx="2353">
                  <v>0.3400000000000003</v>
                </pt>
                <pt idx="2354">
                  <v>0.3600000000000003</v>
                </pt>
                <pt idx="2355">
                  <v>0.3300000000000001</v>
                </pt>
                <pt idx="2356">
                  <v>0.3100000000000001</v>
                </pt>
                <pt idx="2357">
                  <v>0.3200000000000003</v>
                </pt>
                <pt idx="2358">
                  <v>0.3500000000000001</v>
                </pt>
                <pt idx="2359">
                  <v>0.3799999999999999</v>
                </pt>
                <pt idx="2360">
                  <v>0.4300000000000002</v>
                </pt>
                <pt idx="2361">
                  <v>#N/A</v>
                </pt>
                <pt idx="2362">
                  <v>0.3600000000000003</v>
                </pt>
                <pt idx="2363">
                  <v>0.3999999999999999</v>
                </pt>
                <pt idx="2364">
                  <v>0.4000000000000004</v>
                </pt>
                <pt idx="2365">
                  <v>0.4199999999999999</v>
                </pt>
                <pt idx="2366">
                  <v>0.3799999999999999</v>
                </pt>
                <pt idx="2367">
                  <v>0.3500000000000001</v>
                </pt>
                <pt idx="2368">
                  <v>0.3300000000000001</v>
                </pt>
                <pt idx="2369">
                  <v>0.27</v>
                </pt>
                <pt idx="2370">
                  <v>0.3500000000000001</v>
                </pt>
                <pt idx="2371">
                  <v>0.3599999999999999</v>
                </pt>
                <pt idx="2372">
                  <v>0.3399999999999999</v>
                </pt>
                <pt idx="2373">
                  <v>0.3300000000000001</v>
                </pt>
                <pt idx="2374">
                  <v>0.2799999999999998</v>
                </pt>
                <pt idx="2375">
                  <v>0.25</v>
                </pt>
                <pt idx="2376">
                  <v>0.25</v>
                </pt>
                <pt idx="2377">
                  <v>0.3000000000000003</v>
                </pt>
                <pt idx="2378">
                  <v>0.3199999999999998</v>
                </pt>
                <pt idx="2379">
                  <v>0.2800000000000002</v>
                </pt>
                <pt idx="2380">
                  <v>0.2800000000000002</v>
                </pt>
                <pt idx="2381">
                  <v>#N/A</v>
                </pt>
                <pt idx="2382">
                  <v>0.2399999999999998</v>
                </pt>
                <pt idx="2383">
                  <v>0.25</v>
                </pt>
                <pt idx="2384">
                  <v>0.29</v>
                </pt>
                <pt idx="2385">
                  <v>0.2399999999999998</v>
                </pt>
                <pt idx="2386">
                  <v>0.25</v>
                </pt>
                <pt idx="2387">
                  <v>0.2400000000000002</v>
                </pt>
                <pt idx="2388">
                  <v>0.29</v>
                </pt>
                <pt idx="2389">
                  <v>0.3300000000000001</v>
                </pt>
                <pt idx="2390">
                  <v>0.3699999999999997</v>
                </pt>
                <pt idx="2391">
                  <v>0.3100000000000001</v>
                </pt>
                <pt idx="2392">
                  <v>0.3100000000000001</v>
                </pt>
                <pt idx="2393">
                  <v>0.2799999999999998</v>
                </pt>
                <pt idx="2394">
                  <v>0.2400000000000002</v>
                </pt>
                <pt idx="2395">
                  <v>0.21</v>
                </pt>
                <pt idx="2396">
                  <v>0.23</v>
                </pt>
                <pt idx="2397">
                  <v>0.1999999999999997</v>
                </pt>
                <pt idx="2398">
                  <v>0.21</v>
                </pt>
                <pt idx="2399">
                  <v>0.23</v>
                </pt>
                <pt idx="2400">
                  <v>0.1899999999999999</v>
                </pt>
                <pt idx="2401">
                  <v>0.21</v>
                </pt>
                <pt idx="2402">
                  <v>0.1999999999999997</v>
                </pt>
                <pt idx="2403">
                  <v>0.1200000000000001</v>
                </pt>
                <pt idx="2404">
                  <v>0.1099999999999999</v>
                </pt>
                <pt idx="2405">
                  <v>0.0299999999999998</v>
                </pt>
                <pt idx="2406">
                  <v>0.02000000000000002</v>
                </pt>
                <pt idx="2407">
                  <v>0</v>
                </pt>
                <pt idx="2408">
                  <v>0</v>
                </pt>
                <pt idx="2409">
                  <v>0.01000000000000023</v>
                </pt>
                <pt idx="2410">
                  <v>0.06000000000000005</v>
                </pt>
                <pt idx="2411">
                  <v>0.1100000000000003</v>
                </pt>
                <pt idx="2412">
                  <v>0.1099999999999999</v>
                </pt>
                <pt idx="2413">
                  <v>0.1299999999999999</v>
                </pt>
                <pt idx="2414">
                  <v>0.1199999999999997</v>
                </pt>
                <pt idx="2415">
                  <v>0.1099999999999999</v>
                </pt>
                <pt idx="2416">
                  <v>0.1400000000000001</v>
                </pt>
                <pt idx="2417">
                  <v>0.1399999999999997</v>
                </pt>
                <pt idx="2418">
                  <v>0.1000000000000001</v>
                </pt>
                <pt idx="2419">
                  <v>0.1299999999999999</v>
                </pt>
                <pt idx="2420">
                  <v>0.1699999999999999</v>
                </pt>
                <pt idx="2421">
                  <v>0.1699999999999999</v>
                </pt>
                <pt idx="2422">
                  <v>0.2200000000000002</v>
                </pt>
                <pt idx="2423">
                  <v>0.1999999999999997</v>
                </pt>
                <pt idx="2424">
                  <v>0.1999999999999997</v>
                </pt>
                <pt idx="2425">
                  <v>#N/A</v>
                </pt>
                <pt idx="2426">
                  <v>0.1999999999999997</v>
                </pt>
                <pt idx="2427">
                  <v>0.1699999999999999</v>
                </pt>
                <pt idx="2428">
                  <v>0.1399999999999997</v>
                </pt>
                <pt idx="2429">
                  <v>0.1600000000000001</v>
                </pt>
                <pt idx="2430">
                  <v>0.1399999999999997</v>
                </pt>
                <pt idx="2431">
                  <v>0.1499999999999999</v>
                </pt>
                <pt idx="2432">
                  <v>0.1299999999999999</v>
                </pt>
                <pt idx="2433">
                  <v>0.1400000000000001</v>
                </pt>
                <pt idx="2434">
                  <v>0.1399999999999997</v>
                </pt>
                <pt idx="2435">
                  <v>0.1600000000000001</v>
                </pt>
                <pt idx="2436">
                  <v>0.1199999999999997</v>
                </pt>
                <pt idx="2437">
                  <v>0.07000000000000028</v>
                </pt>
                <pt idx="2438">
                  <v>0.1100000000000003</v>
                </pt>
                <pt idx="2439">
                  <v>0.07000000000000028</v>
                </pt>
                <pt idx="2440">
                  <v>0.0900000000000003</v>
                </pt>
                <pt idx="2441">
                  <v>0.04000000000000004</v>
                </pt>
                <pt idx="2442">
                  <v>0.06000000000000005</v>
                </pt>
                <pt idx="2443">
                  <v>0</v>
                </pt>
                <pt idx="2444">
                  <v>0.04999999999999982</v>
                </pt>
                <pt idx="2445">
                  <v>0.05000000000000027</v>
                </pt>
                <pt idx="2446">
                  <v>0.07000000000000028</v>
                </pt>
                <pt idx="2447">
                  <v>0.0900000000000003</v>
                </pt>
                <pt idx="2448">
                  <v>0.06000000000000005</v>
                </pt>
                <pt idx="2449">
                  <v>-0.009999999999999787</v>
                </pt>
                <pt idx="2450">
                  <v>0.02000000000000002</v>
                </pt>
                <pt idx="2451">
                  <v>#N/A</v>
                </pt>
                <pt idx="2452">
                  <v>-0.06000000000000005</v>
                </pt>
                <pt idx="2453">
                  <v>-0.06999999999999984</v>
                </pt>
                <pt idx="2454">
                  <v>-0.1099999999999999</v>
                </pt>
                <pt idx="2455">
                  <v>-0.1599999999999997</v>
                </pt>
                <pt idx="2456">
                  <v>-0.23</v>
                </pt>
                <pt idx="2457">
                  <v>-0.1799999999999997</v>
                </pt>
                <pt idx="2458">
                  <v>-0.1799999999999997</v>
                </pt>
                <pt idx="2459">
                  <v>-0.1599999999999997</v>
                </pt>
                <pt idx="2460">
                  <v>-0.1400000000000001</v>
                </pt>
                <pt idx="2461">
                  <v>-0.0900000000000003</v>
                </pt>
                <pt idx="2462">
                  <v>-0.07000000000000028</v>
                </pt>
                <pt idx="2463">
                  <v>-0.06000000000000005</v>
                </pt>
                <pt idx="2464">
                  <v>-0.04000000000000004</v>
                </pt>
                <pt idx="2465">
                  <v>-0.06000000000000005</v>
                </pt>
                <pt idx="2466">
                  <v>-0.0900000000000003</v>
                </pt>
                <pt idx="2467">
                  <v>-0.1099999999999999</v>
                </pt>
                <pt idx="2468">
                  <v>-0.1000000000000001</v>
                </pt>
                <pt idx="2469">
                  <v>-0.08000000000000007</v>
                </pt>
                <pt idx="2470">
                  <v>0</v>
                </pt>
                <pt idx="2471">
                  <v>-0.06000000000000005</v>
                </pt>
                <pt idx="2472">
                  <v>-0.06999999999999984</v>
                </pt>
                <pt idx="2473">
                  <v>-0.05000000000000027</v>
                </pt>
                <pt idx="2474">
                  <v>-0.08000000000000007</v>
                </pt>
                <pt idx="2475">
                  <v>-0.08000000000000007</v>
                </pt>
                <pt idx="2476">
                  <v>-0.1300000000000003</v>
                </pt>
                <pt idx="2477">
                  <v>-0.1699999999999999</v>
                </pt>
                <pt idx="2478">
                  <v>-0.2000000000000002</v>
                </pt>
                <pt idx="2479">
                  <v>#N/A</v>
                </pt>
                <pt idx="2480">
                  <v>-0.1400000000000001</v>
                </pt>
                <pt idx="2481">
                  <v>-0.1600000000000001</v>
                </pt>
                <pt idx="2482">
                  <v>-0.1400000000000001</v>
                </pt>
                <pt idx="2483">
                  <v>-0.08000000000000007</v>
                </pt>
                <pt idx="2484">
                  <v>0.009999999999999787</v>
                </pt>
                <pt idx="2485">
                  <v>0.02000000000000002</v>
                </pt>
                <pt idx="2486">
                  <v>-0.02000000000000002</v>
                </pt>
                <pt idx="2487">
                  <v>0.0299999999999998</v>
                </pt>
                <pt idx="2488">
                  <v>-0.0299999999999998</v>
                </pt>
                <pt idx="2489">
                  <v>0.03000000000000025</v>
                </pt>
                <pt idx="2490">
                  <v>0.0299999999999998</v>
                </pt>
                <pt idx="2491">
                  <v>0.009999999999999787</v>
                </pt>
                <pt idx="2492">
                  <v>0.06000000000000005</v>
                </pt>
                <pt idx="2493">
                  <v>0</v>
                </pt>
                <pt idx="2494">
                  <v>0.02000000000000002</v>
                </pt>
                <pt idx="2495">
                  <v>0</v>
                </pt>
                <pt idx="2496">
                  <v>-0.009999999999999787</v>
                </pt>
                <pt idx="2497">
                  <v>0.02000000000000002</v>
                </pt>
                <pt idx="2498">
                  <v>-0.02000000000000002</v>
                </pt>
                <pt idx="2499">
                  <v>-0.1299999999999999</v>
                </pt>
                <pt idx="2500">
                  <v>-0.1599999999999999</v>
                </pt>
                <pt idx="2501">
                  <v>-0.25</v>
                </pt>
                <pt idx="2502">
                  <v>-0.2799999999999998</v>
                </pt>
                <pt idx="2503">
                  <v>-0.27</v>
                </pt>
                <pt idx="2504">
                  <v>-0.26</v>
                </pt>
                <pt idx="2505">
                  <v>-0.22</v>
                </pt>
                <pt idx="2506">
                  <v>-0.3100000000000001</v>
                </pt>
                <pt idx="2507">
                  <v>-0.28</v>
                </pt>
                <pt idx="2508">
                  <v>-0.3299999999999998</v>
                </pt>
                <pt idx="2509">
                  <v>-0.3500000000000001</v>
                </pt>
                <pt idx="2510">
                  <v>-0.28</v>
                </pt>
                <pt idx="2511">
                  <v>-0.2999999999999998</v>
                </pt>
                <pt idx="2512">
                  <v>-0.3499999999999999</v>
                </pt>
                <pt idx="2513">
                  <v>-0.3399999999999999</v>
                </pt>
                <pt idx="2514">
                  <v>-0.3399999999999999</v>
                </pt>
                <pt idx="2515">
                  <v>-0.4099999999999999</v>
                </pt>
                <pt idx="2516">
                  <v>-0.4199999999999999</v>
                </pt>
                <pt idx="2517">
                  <v>-0.45</v>
                </pt>
                <pt idx="2518">
                  <v>-0.48</v>
                </pt>
                <pt idx="2519">
                  <v>-0.45</v>
                </pt>
                <pt idx="2520">
                  <v>-0.45</v>
                </pt>
                <pt idx="2521">
                  <v>#N/A</v>
                </pt>
                <pt idx="2522">
                  <v>-0.47</v>
                </pt>
                <pt idx="2523">
                  <v>-0.46</v>
                </pt>
                <pt idx="2524">
                  <v>-0.3599999999999999</v>
                </pt>
                <pt idx="2525">
                  <v>-0.3699999999999999</v>
                </pt>
                <pt idx="2526">
                  <v>-0.29</v>
                </pt>
                <pt idx="2527">
                  <v>-0.1899999999999999</v>
                </pt>
                <pt idx="2528">
                  <v>-0.1699999999999999</v>
                </pt>
                <pt idx="2529">
                  <v>-0.1199999999999999</v>
                </pt>
                <pt idx="2530">
                  <v>-0.02000000000000002</v>
                </pt>
                <pt idx="2531">
                  <v>-0.1099999999999999</v>
                </pt>
                <pt idx="2532">
                  <v>-0.1399999999999999</v>
                </pt>
                <pt idx="2533">
                  <v>-0.1099999999999999</v>
                </pt>
                <pt idx="2534">
                  <v>-0.09999999999999987</v>
                </pt>
                <pt idx="2535">
                  <v>-0.1300000000000001</v>
                </pt>
                <pt idx="2536">
                  <v>-0.1799999999999999</v>
                </pt>
                <pt idx="2537">
                  <v>-0.24</v>
                </pt>
                <pt idx="2538">
                  <v>-0.1200000000000001</v>
                </pt>
                <pt idx="2539">
                  <v>-0.09000000000000008</v>
                </pt>
                <pt idx="2540">
                  <v>-0.07000000000000006</v>
                </pt>
                <pt idx="2541">
                  <v>-0.1600000000000001</v>
                </pt>
                <pt idx="2542">
                  <v>-0.1300000000000001</v>
                </pt>
                <pt idx="2543">
                  <v>-0.1499999999999999</v>
                </pt>
                <pt idx="2544">
                  <v>-0.1299999999999999</v>
                </pt>
                <pt idx="2545">
                  <v>-0.1599999999999999</v>
                </pt>
                <pt idx="2546">
                  <v>-0.1499999999999999</v>
                </pt>
                <pt idx="2547">
                  <v>-0.1399999999999999</v>
                </pt>
                <pt idx="2548">
                  <v>-0.06999999999999984</v>
                </pt>
                <pt idx="2549">
                  <v>0.02000000000000002</v>
                </pt>
                <pt idx="2550">
                  <v>0.1100000000000001</v>
                </pt>
                <pt idx="2551">
                  <v>#N/A</v>
                </pt>
                <pt idx="2552">
                  <v>0.1300000000000001</v>
                </pt>
                <pt idx="2553">
                  <v>0.1200000000000001</v>
                </pt>
                <pt idx="2554">
                  <v>0.1300000000000001</v>
                </pt>
                <pt idx="2555">
                  <v>0.1300000000000001</v>
                </pt>
                <pt idx="2556">
                  <v>0.1600000000000001</v>
                </pt>
                <pt idx="2557">
                  <v>0.1599999999999999</v>
                </pt>
                <pt idx="2558">
                  <v>0.1499999999999999</v>
                </pt>
                <pt idx="2559">
                  <v>0.1300000000000001</v>
                </pt>
                <pt idx="2560">
                  <v>0.1700000000000002</v>
                </pt>
                <pt idx="2561">
                  <v>0.23</v>
                </pt>
                <pt idx="2562">
                  <v>0.24</v>
                </pt>
                <pt idx="2563">
                  <v>0.1899999999999999</v>
                </pt>
                <pt idx="2564">
                  <v>0.1799999999999999</v>
                </pt>
                <pt idx="2565">
                  <v>0.24</v>
                </pt>
                <pt idx="2566">
                  <v>0.29</v>
                </pt>
                <pt idx="2567">
                  <v>0.3300000000000001</v>
                </pt>
                <pt idx="2568">
                  <v>0.28</v>
                </pt>
                <pt idx="2569">
                  <v>0.3899999999999999</v>
                </pt>
                <pt idx="2570">
                  <v>0.4199999999999999</v>
                </pt>
                <pt idx="2571">
                  <v>#N/A</v>
                </pt>
                <pt idx="2572">
                  <v>0.3599999999999999</v>
                </pt>
                <pt idx="2573">
                  <v>0.3399999999999999</v>
                </pt>
                <pt idx="2574">
                  <v>0.28</v>
                </pt>
                <pt idx="2575">
                  <v>0.3</v>
                </pt>
                <pt idx="2576">
                  <v>0.27</v>
                </pt>
                <pt idx="2577">
                  <v>0.25</v>
                </pt>
                <pt idx="2578">
                  <v>0.1899999999999999</v>
                </pt>
                <pt idx="2579">
                  <v>0.22</v>
                </pt>
                <pt idx="2580">
                  <v>0.22</v>
                </pt>
                <pt idx="2581">
                  <v>0.1799999999999999</v>
                </pt>
                <pt idx="2582">
                  <v>0.1699999999999999</v>
                </pt>
                <pt idx="2583">
                  <v>0.1799999999999999</v>
                </pt>
                <pt idx="2584">
                  <v>#N/A</v>
                </pt>
                <pt idx="2585">
                  <v>0.22</v>
                </pt>
                <pt idx="2586">
                  <v>0.26</v>
                </pt>
                <pt idx="2587">
                  <v>0.1799999999999999</v>
                </pt>
                <pt idx="2588">
                  <v>0.25</v>
                </pt>
                <pt idx="2589">
                  <v>0.29</v>
                </pt>
                <pt idx="2590">
                  <v>0.3400000000000001</v>
                </pt>
                <pt idx="2591">
                  <v>0.3200000000000001</v>
                </pt>
                <pt idx="2592">
                  <v>0.3200000000000001</v>
                </pt>
                <pt idx="2593">
                  <v>0.25</v>
                </pt>
                <pt idx="2594">
                  <v>0.3699999999999999</v>
                </pt>
                <pt idx="2595">
                  <v>0.28</v>
                </pt>
                <pt idx="2596">
                  <v>0.3499999999999999</v>
                </pt>
                <pt idx="2597">
                  <v>0.3599999999999999</v>
                </pt>
                <pt idx="2598">
                  <v>0.3899999999999999</v>
                </pt>
                <pt idx="2599">
                  <v>0.3799999999999999</v>
                </pt>
                <pt idx="2600">
                  <v>0.3699999999999999</v>
                </pt>
                <pt idx="2601">
                  <v>0.3699999999999999</v>
                </pt>
                <pt idx="2602">
                  <v>0.3499999999999999</v>
                </pt>
                <pt idx="2603">
                  <v>#N/A</v>
                </pt>
                <pt idx="2604">
                  <v>0.3499999999999999</v>
                </pt>
                <pt idx="2605">
                  <v>0.3399999999999999</v>
                </pt>
                <pt idx="2606">
                  <v>0.3599999999999999</v>
                </pt>
                <pt idx="2607">
                  <v>0.3999999999999999</v>
                </pt>
                <pt idx="2608">
                  <v>#N/A</v>
                </pt>
                <pt idx="2609">
                  <v>0.3699999999999999</v>
                </pt>
                <pt idx="2610">
                  <v>0.3100000000000001</v>
                </pt>
                <pt idx="2611">
                  <v>0.28</v>
                </pt>
                <pt idx="2612">
                  <v>0.3200000000000001</v>
                </pt>
                <pt idx="2613">
                  <v>0.3600000000000001</v>
                </pt>
                <pt idx="2614">
                  <v>0.3400000000000001</v>
                </pt>
                <pt idx="2615">
                  <v>0.3200000000000001</v>
                </pt>
                <pt idx="2616">
                  <v>0.3100000000000001</v>
                </pt>
                <pt idx="2617">
                  <v>0.28</v>
                </pt>
                <pt idx="2618">
                  <v>0.25</v>
                </pt>
                <pt idx="2619">
                  <v>0.29</v>
                </pt>
                <pt idx="2620">
                  <v>0.3100000000000001</v>
                </pt>
                <pt idx="2621">
                  <v>#N/A</v>
                </pt>
                <pt idx="2622">
                  <v>0.25</v>
                </pt>
                <pt idx="2623">
                  <v>0.25</v>
                </pt>
                <pt idx="2624">
                  <v>0.22</v>
                </pt>
                <pt idx="2625">
                  <v>0.1899999999999999</v>
                </pt>
                <pt idx="2626">
                  <v>0.09000000000000008</v>
                </pt>
                <pt idx="2627">
                  <v>0.1099999999999999</v>
                </pt>
                <pt idx="2628">
                  <v>0.07000000000000006</v>
                </pt>
                <pt idx="2629">
                  <v>0.03000000000000003</v>
                </pt>
                <pt idx="2630">
                  <v>-0.01000000000000001</v>
                </pt>
                <pt idx="2631">
                  <v>0</v>
                </pt>
                <pt idx="2632">
                  <v>0.07000000000000006</v>
                </pt>
                <pt idx="2633">
                  <v>0.1199999999999999</v>
                </pt>
                <pt idx="2634">
                  <v>0.1099999999999999</v>
                </pt>
                <pt idx="2635">
                  <v>0.06000000000000005</v>
                </pt>
                <pt idx="2636">
                  <v>0.01000000000000001</v>
                </pt>
                <pt idx="2637">
                  <v>0.05000000000000004</v>
                </pt>
                <pt idx="2638">
                  <v>0.07000000000000006</v>
                </pt>
                <pt idx="2639">
                  <v>0.05000000000000004</v>
                </pt>
                <pt idx="2640">
                  <v>0.04000000000000004</v>
                </pt>
                <pt idx="2641">
                  <v>#N/A</v>
                </pt>
                <pt idx="2642">
                  <v>0</v>
                </pt>
                <pt idx="2643">
                  <v>0.01000000000000001</v>
                </pt>
                <pt idx="2644">
                  <v>-0.03000000000000003</v>
                </pt>
                <pt idx="2645">
                  <v>-0.07000000000000006</v>
                </pt>
                <pt idx="2646">
                  <v>-0.1200000000000001</v>
                </pt>
                <pt idx="2647">
                  <v>-0.1699999999999999</v>
                </pt>
                <pt idx="2648">
                  <v>-0.1699999999999999</v>
                </pt>
                <pt idx="2649">
                  <v>-0.1199999999999999</v>
                </pt>
                <pt idx="2650">
                  <v>-0.1200000000000001</v>
                </pt>
                <pt idx="2651">
                  <v>0</v>
                </pt>
                <pt idx="2652">
                  <v>0.08999999999999997</v>
                </pt>
                <pt idx="2653">
                  <v>0.3100000000000001</v>
                </pt>
                <pt idx="2654">
                  <v>0.3100000000000001</v>
                </pt>
                <pt idx="2655">
                  <v>0.29</v>
                </pt>
                <pt idx="2656">
                  <v>0.22</v>
                </pt>
                <pt idx="2657">
                  <v>0.33</v>
                </pt>
                <pt idx="2658">
                  <v>0.41</v>
                </pt>
                <pt idx="2659">
                  <v>0.55</v>
                </pt>
                <pt idx="2660">
                  <v>0.6699999999999999</v>
                </pt>
                <pt idx="2661">
                  <v>0.49</v>
                </pt>
                <pt idx="2662">
                  <v>0.8300000000000001</v>
                </pt>
                <pt idx="2663">
                  <v>1.16</v>
                </pt>
                <pt idx="2664">
                  <v>1.08</v>
                </pt>
                <pt idx="2665">
                  <v>0.87</v>
                </pt>
                <pt idx="2666">
                  <v>0.74</v>
                </pt>
                <pt idx="2667">
                  <v>0.83</v>
                </pt>
                <pt idx="2668">
                  <v>0.92</v>
                </pt>
                <pt idx="2669">
                  <v>0.88</v>
                </pt>
                <pt idx="2670">
                  <v>0.6899999999999999</v>
                </pt>
                <pt idx="2671">
                  <v>0.58</v>
                </pt>
                <pt idx="2672">
                  <v>0.59</v>
                </pt>
                <pt idx="2673">
                  <v>0.53</v>
                </pt>
                <pt idx="2674">
                  <v>0.54</v>
                </pt>
                <pt idx="2675">
                  <v>0.52</v>
                </pt>
                <pt idx="2676">
                  <v>0.52</v>
                </pt>
                <pt idx="2677">
                  <v>0.61</v>
                </pt>
                <pt idx="2678">
                  <v>0.55</v>
                </pt>
                <pt idx="2679">
                  <v>0.48</v>
                </pt>
                <pt idx="2680">
                  <v>#N/A</v>
                </pt>
                <pt idx="2681">
                  <v>0.5</v>
                </pt>
                <pt idx="2682">
                  <v>0.5600000000000001</v>
                </pt>
                <pt idx="2683">
                  <v>0.49</v>
                </pt>
                <pt idx="2684">
                  <v>0.47</v>
                </pt>
                <pt idx="2685">
                  <v>0.53</v>
                </pt>
                <pt idx="2686">
                  <v>0.51</v>
                </pt>
                <pt idx="2687">
                  <v>0.47</v>
                </pt>
                <pt idx="2688">
                  <v>0.51</v>
                </pt>
                <pt idx="2689">
                  <v>0.5</v>
                </pt>
                <pt idx="2690">
                  <v>0.48</v>
                </pt>
                <pt idx="2691">
                  <v>0.55</v>
                </pt>
                <pt idx="2692">
                  <v>0.51</v>
                </pt>
                <pt idx="2693">
                  <v>0.53</v>
                </pt>
                <pt idx="2694">
                  <v>0.55</v>
                </pt>
                <pt idx="2695">
                  <v>0.52</v>
                </pt>
                <pt idx="2696">
                  <v>0.51</v>
                </pt>
                <pt idx="2697">
                  <v>0.53</v>
                </pt>
                <pt idx="2698">
                  <v>0.6</v>
                </pt>
                <pt idx="2699">
                  <v>0.52</v>
                </pt>
                <pt idx="2700">
                  <v>0.57</v>
                </pt>
                <pt idx="2701">
                  <v>0.61</v>
                </pt>
                <pt idx="2702">
                  <v>0.5599999999999999</v>
                </pt>
                <pt idx="2703">
                  <v>0.51</v>
                </pt>
                <pt idx="2704">
                  <v>0.51</v>
                </pt>
                <pt idx="2705">
                  <v>0.52</v>
                </pt>
                <pt idx="2706">
                  <v>0.6</v>
                </pt>
                <pt idx="2707">
                  <v>0.57</v>
                </pt>
                <pt idx="2708">
                  <v>0.5600000000000001</v>
                </pt>
                <pt idx="2709">
                  <v>0.5600000000000001</v>
                </pt>
                <pt idx="2710">
                  <v>0.54</v>
                </pt>
                <pt idx="2711">
                  <v>#N/A</v>
                </pt>
                <pt idx="2712">
                  <v>0.5499999999999999</v>
                </pt>
                <pt idx="2713">
                  <v>0.53</v>
                </pt>
                <pt idx="2714">
                  <v>0.5499999999999999</v>
                </pt>
                <pt idx="2715">
                  <v>0.51</v>
                </pt>
                <pt idx="2716">
                  <v>0.52</v>
                </pt>
                <pt idx="2717">
                  <v>0.53</v>
                </pt>
                <pt idx="2718">
                  <v>0.61</v>
                </pt>
                <pt idx="2719">
                  <v>0.6699999999999999</v>
                </pt>
                <pt idx="2720">
                  <v>0.76</v>
                </pt>
                <pt idx="2721">
                  <v>0.71</v>
                </pt>
                <pt idx="2722">
                  <v>0.6499999999999999</v>
                </pt>
                <pt idx="2723">
                  <v>0.58</v>
                </pt>
                <pt idx="2724">
                  <v>0.49</v>
                </pt>
                <pt idx="2725">
                  <v>0.5499999999999999</v>
                </pt>
                <pt idx="2726">
                  <v>0.53</v>
                </pt>
                <pt idx="2727">
                  <v>0.58</v>
                </pt>
                <pt idx="2728">
                  <v>0.57</v>
                </pt>
                <pt idx="2729">
                  <v>0.5499999999999999</v>
                </pt>
                <pt idx="2730">
                  <v>0.5499999999999999</v>
                </pt>
                <pt idx="2731">
                  <v>0.5499999999999999</v>
                </pt>
                <pt idx="2732">
                  <v>0.5599999999999999</v>
                </pt>
                <pt idx="2733">
                  <v>0.5399999999999999</v>
                </pt>
                <pt idx="2734">
                  <v>0.52</v>
                </pt>
                <pt idx="2735">
                  <v>0.5</v>
                </pt>
                <pt idx="2736">
                  <v>0.5</v>
                </pt>
                <pt idx="2737">
                  <v>0.5</v>
                </pt>
                <pt idx="2738">
                  <v>0.5499999999999999</v>
                </pt>
                <pt idx="2739">
                  <v>0.54</v>
                </pt>
                <pt idx="2740">
                  <v>#N/A</v>
                </pt>
                <pt idx="2741">
                  <v>0.5399999999999999</v>
                </pt>
                <pt idx="2742">
                  <v>0.5</v>
                </pt>
                <pt idx="2743">
                  <v>0.52</v>
                </pt>
                <pt idx="2744">
                  <v>0.49</v>
                </pt>
                <pt idx="2745">
                  <v>0.52</v>
                </pt>
                <pt idx="2746">
                  <v>0.5</v>
                </pt>
                <pt idx="2747">
                  <v>0.48</v>
                </pt>
                <pt idx="2748">
                  <v>0.48</v>
                </pt>
                <pt idx="2749">
                  <v>0.51</v>
                </pt>
                <pt idx="2750">
                  <v>0.53</v>
                </pt>
                <pt idx="2751">
                  <v>0.49</v>
                </pt>
                <pt idx="2752">
                  <v>0.48</v>
                </pt>
                <pt idx="2753">
                  <v>0.47</v>
                </pt>
                <pt idx="2754">
                  <v>0.47</v>
                </pt>
                <pt idx="2755">
                  <v>0.48</v>
                </pt>
                <pt idx="2756">
                  <v>0.51</v>
                </pt>
                <pt idx="2757">
                  <v>0.48</v>
                </pt>
                <pt idx="2758">
                  <v>0.47</v>
                </pt>
                <pt idx="2759">
                  <v>0.4600000000000001</v>
                </pt>
                <pt idx="2760">
                  <v>0.4600000000000001</v>
                </pt>
                <pt idx="2761">
                  <v>0.4600000000000001</v>
                </pt>
                <pt idx="2762">
                  <v>0.43</v>
                </pt>
                <pt idx="2763">
                  <v>0.4500000000000001</v>
                </pt>
                <pt idx="2764">
                  <v>0.4500000000000001</v>
                </pt>
                <pt idx="2765">
                  <v>0.47</v>
                </pt>
                <pt idx="2766">
                  <v>0.48</v>
                </pt>
                <pt idx="2767">
                  <v>0.53</v>
                </pt>
                <pt idx="2768">
                  <v>0.58</v>
                </pt>
                <pt idx="2769">
                  <v>0.61</v>
                </pt>
                <pt idx="2770">
                  <v>0.61</v>
                </pt>
                <pt idx="2771">
                  <v>0.59</v>
                </pt>
                <pt idx="2772">
                  <v>0.5800000000000001</v>
                </pt>
                <pt idx="2773">
                  <v>0.5700000000000001</v>
                </pt>
                <pt idx="2774">
                  <v>0.54</v>
                </pt>
                <pt idx="2775">
                  <v>0.54</v>
                </pt>
                <pt idx="2776">
                  <v>0.53</v>
                </pt>
                <pt idx="2777">
                  <v>0.58</v>
                </pt>
                <pt idx="2778">
                  <v>0.58</v>
                </pt>
                <pt idx="2779">
                  <v>0.63</v>
                </pt>
                <pt idx="2780">
                  <v>0.64</v>
                </pt>
                <pt idx="2781">
                  <v>0.61</v>
                </pt>
                <pt idx="2782">
                  <v>0.5600000000000001</v>
                </pt>
                <pt idx="2783">
                  <v>0.54</v>
                </pt>
                <pt idx="2784">
                  <v>0.52</v>
                </pt>
                <pt idx="2785">
                  <v>0.61</v>
                </pt>
                <pt idx="2786">
                  <v>#N/A</v>
                </pt>
                <pt idx="2787">
                  <v>0.5599999999999999</v>
                </pt>
                <pt idx="2788">
                  <v>0.59</v>
                </pt>
                <pt idx="2789">
                  <v>0.5600000000000001</v>
                </pt>
                <pt idx="2790">
                  <v>0.5600000000000001</v>
                </pt>
                <pt idx="2791">
                  <v>0.5700000000000001</v>
                </pt>
                <pt idx="2792">
                  <v>0.5700000000000001</v>
                </pt>
                <pt idx="2793">
                  <v>0.57</v>
                </pt>
                <pt idx="2794">
                  <v>0.6</v>
                </pt>
                <pt idx="2795">
                  <v>0.6</v>
                </pt>
                <pt idx="2796">
                  <v>0.5800000000000001</v>
                </pt>
                <pt idx="2797">
                  <v>0.5800000000000001</v>
                </pt>
                <pt idx="2798">
                  <v>0.5700000000000001</v>
                </pt>
                <pt idx="2799">
                  <v>0.5700000000000001</v>
                </pt>
                <pt idx="2800">
                  <v>0.5600000000000001</v>
                </pt>
                <pt idx="2801">
                  <v>0.5600000000000001</v>
                </pt>
                <pt idx="2802">
                  <v>0.5700000000000001</v>
                </pt>
                <pt idx="2803">
                  <v>0.59</v>
                </pt>
                <pt idx="2804">
                  <v>0.5900000000000001</v>
                </pt>
                <pt idx="2805">
                  <v>0.61</v>
                </pt>
                <pt idx="2806">
                  <v>0.68</v>
                </pt>
                <pt idx="2807">
                  <v>0.66</v>
                </pt>
                <pt idx="2808">
                  <v>0.7100000000000001</v>
                </pt>
                <pt idx="2809">
                  <v>0.6900000000000001</v>
                </pt>
                <pt idx="2810">
                  <v>0.6900000000000001</v>
                </pt>
                <pt idx="2811">
                  <v>#N/A</v>
                </pt>
                <pt idx="2812">
                  <v>0.63</v>
                </pt>
                <pt idx="2813">
                  <v>0.61</v>
                </pt>
                <pt idx="2814">
                  <v>0.63</v>
                </pt>
                <pt idx="2815">
                  <v>0.65</v>
                </pt>
                <pt idx="2816">
                  <v>0.67</v>
                </pt>
                <pt idx="2817">
                  <v>0.7100000000000001</v>
                </pt>
                <pt idx="2818">
                  <v>0.73</v>
                </pt>
                <pt idx="2819">
                  <v>0.78</v>
                </pt>
                <pt idx="2820">
                  <v>0.75</v>
                </pt>
                <pt idx="2821">
                  <v>0.7000000000000001</v>
                </pt>
                <pt idx="2822">
                  <v>0.6900000000000001</v>
                </pt>
                <pt idx="2823">
                  <v>0.6900000000000001</v>
                </pt>
                <pt idx="2824">
                  <v>0.76</v>
                </pt>
                <pt idx="2825">
                  <v>0.79</v>
                </pt>
                <pt idx="2826">
                  <v>0.78</v>
                </pt>
                <pt idx="2827">
                  <v>0.8</v>
                </pt>
                <pt idx="2828">
                  <v>0.68</v>
                </pt>
                <pt idx="2829">
                  <v>0.6900000000000001</v>
                </pt>
                <pt idx="2830">
                  <v>0.73</v>
                </pt>
                <pt idx="2831">
                  <v>0.85</v>
                </pt>
                <pt idx="2832">
                  <v>0.88</v>
                </pt>
                <pt idx="2833">
                  <v>#N/A</v>
                </pt>
                <pt idx="2834">
                  <v>0.78</v>
                </pt>
                <pt idx="2835">
                  <v>0.8</v>
                </pt>
                <pt idx="2836">
                  <v>0.8200000000000001</v>
                </pt>
                <pt idx="2837">
                  <v>0.78</v>
                </pt>
                <pt idx="2838">
                  <v>0.79</v>
                </pt>
                <pt idx="2839">
                  <v>0.79</v>
                </pt>
                <pt idx="2840">
                  <v>0.76</v>
                </pt>
                <pt idx="2841">
                  <v>0.78</v>
                </pt>
                <pt idx="2842">
                  <v>0.79</v>
                </pt>
                <pt idx="2843">
                  <v>0.79</v>
                </pt>
                <pt idx="2844">
                  <v>#N/A</v>
                </pt>
                <pt idx="2845">
                  <v>0.75</v>
                </pt>
                <pt idx="2846">
                  <v>0.76</v>
                </pt>
                <pt idx="2847">
                  <v>0.8300000000000001</v>
                </pt>
                <pt idx="2848">
                  <v>0.86</v>
                </pt>
                <pt idx="2849">
                  <v>0.8400000000000001</v>
                </pt>
                <pt idx="2850">
                  <v>0.88</v>
                </pt>
                <pt idx="2851">
                  <v>0.86</v>
                </pt>
                <pt idx="2852">
                  <v>0.8300000000000001</v>
                </pt>
                <pt idx="2853">
                  <v>0.87</v>
                </pt>
                <pt idx="2854">
                  <v>0.8400000000000001</v>
                </pt>
                <pt idx="2855">
                  <v>0.8200000000000001</v>
                </pt>
                <pt idx="2856">
                  <v>0.8100000000000001</v>
                </pt>
                <pt idx="2857">
                  <v>0.8400000000000001</v>
                </pt>
                <pt idx="2858">
                  <v>0.8300000000000001</v>
                </pt>
                <pt idx="2859">
                  <v>0.86</v>
                </pt>
                <pt idx="2860">
                  <v>0.87</v>
                </pt>
                <pt idx="2861">
                  <v>0.86</v>
                </pt>
                <pt idx="2862">
                  <v>0.8400000000000001</v>
                </pt>
                <pt idx="2863">
                  <v>0.87</v>
                </pt>
                <pt idx="2864">
                  <v>0.85</v>
                </pt>
                <pt idx="2865">
                  <v>#N/A</v>
                </pt>
                <pt idx="2866">
                  <v>0.83</v>
                </pt>
                <pt idx="2867">
                  <v>0.84</v>
                </pt>
                <pt idx="2868">
                  <v>0.8500000000000001</v>
                </pt>
                <pt idx="2869">
                  <v>0.8400000000000001</v>
                </pt>
                <pt idx="2870">
                  <v>#N/A</v>
                </pt>
                <pt idx="2871">
                  <v>0.8400000000000001</v>
                </pt>
                <pt idx="2872">
                  <v>0.87</v>
                </pt>
                <pt idx="2873">
                  <v>0.9500000000000001</v>
                </pt>
                <pt idx="2874">
                  <v>0.9900000000000001</v>
                </pt>
                <pt idx="2875">
                  <v>1.05</v>
                </pt>
                <pt idx="2876">
                  <v>1.07</v>
                </pt>
                <pt idx="2877">
                  <v>1.06</v>
                </pt>
                <pt idx="2878">
                  <v>1.01</v>
                </pt>
                <pt idx="2879">
                  <v>1.06</v>
                </pt>
                <pt idx="2880">
                  <v>1.02</v>
                </pt>
                <pt idx="2881">
                  <v>#N/A</v>
                </pt>
                <pt idx="2882">
                  <v>1.01</v>
                </pt>
                <pt idx="2883">
                  <v>1.02</v>
                </pt>
                <pt idx="2884">
                  <v>1.03</v>
                </pt>
                <pt idx="2885">
                  <v>1.02</v>
                </pt>
                <pt idx="2886">
                  <v>0.9600000000000001</v>
                </pt>
                <pt idx="2887">
                  <v>0.98</v>
                </pt>
                <pt idx="2888">
                  <v>0.9600000000000001</v>
                </pt>
                <pt idx="2889">
                  <v>1</v>
                </pt>
                <pt idx="2890">
                  <v>1.05</v>
                </pt>
                <pt idx="2891">
                  <v>1.02</v>
                </pt>
                <pt idx="2892">
                  <v>1.05</v>
                </pt>
                <pt idx="2893">
                  <v>1.11</v>
                </pt>
                <pt idx="2894">
                  <v>1.11</v>
                </pt>
                <pt idx="2895">
                  <v>1.16</v>
                </pt>
                <pt idx="2896">
                  <v>1.14</v>
                </pt>
                <pt idx="2897">
                  <v>1.14</v>
                </pt>
                <pt idx="2898">
                  <v>1.1</v>
                </pt>
                <pt idx="2899">
                  <v>1.11</v>
                </pt>
                <pt idx="2900">
                  <v>1.16</v>
                </pt>
                <pt idx="2901">
                  <v>#N/A</v>
                </pt>
                <pt idx="2902">
                  <v>1.26</v>
                </pt>
                <pt idx="2903">
                  <v>1.25</v>
                </pt>
                <pt idx="2904">
                  <v>1.26</v>
                </pt>
                <pt idx="2905">
                  <v>1.3</v>
                </pt>
                <pt idx="2906">
                  <v>1.34</v>
                </pt>
                <pt idx="2907">
                  <v>1.33</v>
                </pt>
                <pt idx="2908">
                  <v>1.35</v>
                </pt>
                <pt idx="2909">
                  <v>1.5</v>
                </pt>
                <pt idx="2910">
                  <v>1.4</v>
                </pt>
                <pt idx="2911">
                  <v>1.4</v>
                </pt>
                <pt idx="2912">
                  <v>1.38</v>
                </pt>
                <pt idx="2913">
                  <v>1.42</v>
                </pt>
                <pt idx="2914">
                  <v>1.5</v>
                </pt>
                <pt idx="2915">
                  <v>1.52</v>
                </pt>
                <pt idx="2916">
                  <v>1.54</v>
                </pt>
                <pt idx="2917">
                  <v>1.5</v>
                </pt>
                <pt idx="2918">
                  <v>1.49</v>
                </pt>
                <pt idx="2919">
                  <v>1.5</v>
                </pt>
                <pt idx="2920">
                  <v>1.6</v>
                </pt>
                <pt idx="2921">
                  <v>1.58</v>
                </pt>
                <pt idx="2922">
                  <v>1.6</v>
                </pt>
                <pt idx="2923">
                  <v>1.61</v>
                </pt>
                <pt idx="2924">
                  <v>1.7</v>
                </pt>
                <pt idx="2925">
                  <v>1.73</v>
                </pt>
                <pt idx="2926">
                  <v>1.66</v>
                </pt>
                <pt idx="2927">
                  <v>1.62</v>
                </pt>
                <pt idx="2928">
                  <v>1.6</v>
                </pt>
                <pt idx="2929">
                  <v>1.61</v>
                </pt>
                <pt idx="2930">
                  <v>1.65</v>
                </pt>
                <pt idx="2931">
                  <v>1.7</v>
                </pt>
                <pt idx="2932">
                  <v>1.71</v>
                </pt>
                <pt idx="2933">
                  <v>1.71</v>
                </pt>
                <pt idx="2934">
                  <v>1.67</v>
                </pt>
                <pt idx="2935">
                  <v>1.7</v>
                </pt>
                <pt idx="2936">
                  <v>1.7</v>
                </pt>
                <pt idx="2937">
                  <v>1.65</v>
                </pt>
                <pt idx="2938">
                  <v>1.66</v>
                </pt>
                <pt idx="2939">
                  <v>1.63</v>
                </pt>
                <pt idx="2940">
                  <v>1.65</v>
                </pt>
                <pt idx="2941">
                  <v>1.67</v>
                </pt>
                <pt idx="2942">
                  <v>1.61</v>
                </pt>
                <pt idx="2943">
                  <v>1.62</v>
                </pt>
                <pt idx="2944">
                  <v>1.54</v>
                </pt>
                <pt idx="2945">
                  <v>1.57</v>
                </pt>
                <pt idx="2946">
                  <v>1.59</v>
                </pt>
                <pt idx="2947">
                  <v>1.55</v>
                </pt>
                <pt idx="2948">
                  <v>1.54</v>
                </pt>
                <pt idx="2949">
                  <v>1.54</v>
                </pt>
                <pt idx="2950">
                  <v>1.55</v>
                </pt>
                <pt idx="2951">
                  <v>1.55</v>
                </pt>
                <pt idx="2952">
                  <v>1.62</v>
                </pt>
                <pt idx="2953">
                  <v>1.62</v>
                </pt>
                <pt idx="2954">
                  <v>1.64</v>
                </pt>
                <pt idx="2955">
                  <v>1.64</v>
                </pt>
                <pt idx="2956">
                  <v>1.59</v>
                </pt>
                <pt idx="2957">
                  <v>1.59</v>
                </pt>
                <pt idx="2958">
                  <v>1.57</v>
                </pt>
                <pt idx="2959">
                  <v>1.56</v>
                </pt>
                <pt idx="2960">
                  <v>1.58</v>
                </pt>
                <pt idx="2961">
                  <v>1.61</v>
                </pt>
                <pt idx="2962">
                  <v>1.63</v>
                </pt>
                <pt idx="2963">
                  <v>1.67</v>
                </pt>
                <pt idx="2964">
                  <v>1.64</v>
                </pt>
                <pt idx="2965">
                  <v>1.62</v>
                </pt>
                <pt idx="2966">
                  <v>1.62</v>
                </pt>
                <pt idx="2967">
                  <v>1.62</v>
                </pt>
                <pt idx="2968">
                  <v>1.67</v>
                </pt>
                <pt idx="2969">
                  <v>1.62</v>
                </pt>
                <pt idx="2970">
                  <v>1.62</v>
                </pt>
                <pt idx="2971">
                  <v>1.59</v>
                </pt>
                <pt idx="2972">
                  <v>1.54</v>
                </pt>
                <pt idx="2973">
                  <v>1.56</v>
                </pt>
                <pt idx="2974">
                  <v>1.59</v>
                </pt>
                <pt idx="2975">
                  <v>1.57</v>
                </pt>
                <pt idx="2976">
                  <v>#N/A</v>
                </pt>
                <pt idx="2977">
                  <v>1.6</v>
                </pt>
                <pt idx="2978">
                  <v>1.57</v>
                </pt>
                <pt idx="2979">
                  <v>1.61</v>
                </pt>
                <pt idx="2980">
                  <v>1.54</v>
                </pt>
                <pt idx="2981">
                  <v>1.55</v>
                </pt>
                <pt idx="2982">
                  <v>1.51</v>
                </pt>
                <pt idx="2983">
                  <v>1.47</v>
                </pt>
                <pt idx="2984">
                  <v>1.42</v>
                </pt>
                <pt idx="2985">
                  <v>1.44</v>
                </pt>
                <pt idx="2986">
                  <v>1.48</v>
                </pt>
                <pt idx="2987">
                  <v>1.48</v>
                </pt>
                <pt idx="2988">
                  <v>1.53</v>
                </pt>
                <pt idx="2989">
                  <v>1.48</v>
                </pt>
                <pt idx="2990">
                  <v>1.4</v>
                </pt>
                <pt idx="2991">
                  <v>1.45</v>
                </pt>
                <pt idx="2992">
                  <v>1.44</v>
                </pt>
                <pt idx="2993">
                  <v>1.45</v>
                </pt>
                <pt idx="2994">
                  <v>1.44</v>
                </pt>
                <pt idx="2995">
                  <v>1.48</v>
                </pt>
                <pt idx="2996">
                  <v>1.44</v>
                </pt>
                <pt idx="2997">
                  <v>1.45</v>
                </pt>
                <pt idx="2998">
                  <v>1.4</v>
                </pt>
                <pt idx="2999">
                  <v>1.43</v>
                </pt>
                <pt idx="3000">
                  <v>1.39</v>
                </pt>
                <pt idx="3001">
                  <v>#N/A</v>
                </pt>
                <pt idx="3002">
                  <v>1.32</v>
                </pt>
                <pt idx="3003">
                  <v>1.28</v>
                </pt>
                <pt idx="3004">
                  <v>1.24</v>
                </pt>
                <pt idx="3005">
                  <v>1.31</v>
                </pt>
                <pt idx="3006">
                  <v>1.33</v>
                </pt>
                <pt idx="3007">
                  <v>1.37</v>
                </pt>
                <pt idx="3008">
                  <v>1.31</v>
                </pt>
                <pt idx="3009">
                  <v>1.26</v>
                </pt>
                <pt idx="3010">
                  <v>1.26</v>
                </pt>
                <pt idx="3011">
                  <v>1.14</v>
                </pt>
                <pt idx="3012">
                  <v>1.18</v>
                </pt>
                <pt idx="3013">
                  <v>1.25</v>
                </pt>
                <pt idx="3014">
                  <v>1.22</v>
                </pt>
                <pt idx="3015">
                  <v>1.25</v>
                </pt>
                <pt idx="3016">
                  <v>1.24</v>
                </pt>
                <pt idx="3017">
                  <v>1.2</v>
                </pt>
                <pt idx="3018">
                  <v>1.21</v>
                </pt>
                <pt idx="3019">
                  <v>1.22</v>
                </pt>
                <pt idx="3020">
                  <v>1.18</v>
                </pt>
                <pt idx="3021">
                  <v>1.15</v>
                </pt>
                <pt idx="3022">
                  <v>1.14</v>
                </pt>
                <pt idx="3023">
                  <v>1.14</v>
                </pt>
                <pt idx="3024">
                  <v>1.18</v>
                </pt>
                <pt idx="3025">
                  <v>1.25</v>
                </pt>
                <pt idx="3026">
                  <v>1.27</v>
                </pt>
                <pt idx="3027">
                  <v>1.31</v>
                </pt>
                <pt idx="3028">
                  <v>1.3</v>
                </pt>
                <pt idx="3029">
                  <v>1.3</v>
                </pt>
                <pt idx="3030">
                  <v>1.23</v>
                </pt>
                <pt idx="3031">
                  <v>1.2</v>
                </pt>
                <pt idx="3032">
                  <v>1.19</v>
                </pt>
                <pt idx="3033">
                  <v>1.2</v>
                </pt>
                <pt idx="3034">
                  <v>1.18</v>
                </pt>
                <pt idx="3035">
                  <v>1.21</v>
                </pt>
                <pt idx="3036">
                  <v>1.2</v>
                </pt>
                <pt idx="3037">
                  <v>1.24</v>
                </pt>
                <pt idx="3038">
                  <v>1.29</v>
                </pt>
                <pt idx="3039">
                  <v>1.29</v>
                </pt>
                <pt idx="3040">
                  <v>1.26</v>
                </pt>
                <pt idx="3041">
                  <v>1.24</v>
                </pt>
                <pt idx="3042">
                  <v>1.26</v>
                </pt>
                <pt idx="3043">
                  <v>1.26</v>
                </pt>
                <pt idx="3044">
                  <v>1.24</v>
                </pt>
                <pt idx="3045">
                  <v>1.28</v>
                </pt>
                <pt idx="3046">
                  <v>#N/A</v>
                </pt>
                <pt idx="3047">
                  <v>1.33</v>
                </pt>
                <pt idx="3048">
                  <v>1.3</v>
                </pt>
                <pt idx="3049">
                  <v>1.26</v>
                </pt>
                <pt idx="3050">
                  <v>1.3</v>
                </pt>
                <pt idx="3051">
                  <v>1.27</v>
                </pt>
                <pt idx="3052">
                  <v>1.24</v>
                </pt>
                <pt idx="3053">
                  <v>1.27</v>
                </pt>
                <pt idx="3054">
                  <v>1.3</v>
                </pt>
                <pt idx="3055">
                  <v>1.33</v>
                </pt>
                <pt idx="3056">
                  <v>1.27</v>
                </pt>
                <pt idx="3057">
                  <v>1.3</v>
                </pt>
                <pt idx="3058">
                  <v>1.29</v>
                </pt>
                <pt idx="3059">
                  <v>1.38</v>
                </pt>
                <pt idx="3060">
                  <v>1.44</v>
                </pt>
                <pt idx="3061">
                  <v>1.44</v>
                </pt>
                <pt idx="3062">
                  <v>1.5</v>
                </pt>
                <pt idx="3063">
                  <v>1.51</v>
                </pt>
                <pt idx="3064">
                  <v>1.48</v>
                </pt>
                <pt idx="3065">
                  <v>1.44</v>
                </pt>
                <pt idx="3066">
                  <v>1.45</v>
                </pt>
                <pt idx="3067">
                  <v>1.5</v>
                </pt>
                <pt idx="3068">
                  <v>1.49</v>
                </pt>
                <pt idx="3069">
                  <v>1.53</v>
                </pt>
                <pt idx="3070">
                  <v>1.56</v>
                </pt>
                <pt idx="3071">
                  <v>#N/A</v>
                </pt>
                <pt idx="3072">
                  <v>1.53</v>
                </pt>
                <pt idx="3073">
                  <v>1.51</v>
                </pt>
                <pt idx="3074">
                  <v>1.47</v>
                </pt>
                <pt idx="3075">
                  <v>1.54</v>
                </pt>
                <pt idx="3076">
                  <v>1.53</v>
                </pt>
                <pt idx="3077">
                  <v>1.6</v>
                </pt>
                <pt idx="3078">
                  <v>1.6</v>
                </pt>
                <pt idx="3079">
                  <v>1.62</v>
                </pt>
                <pt idx="3080">
                  <v>1.6</v>
                </pt>
                <pt idx="3081">
                  <v>1.58</v>
                </pt>
                <pt idx="3082">
                  <v>1.57</v>
                </pt>
                <pt idx="3083">
                  <v>1.48</v>
                </pt>
                <pt idx="3084">
                  <v>1.51</v>
                </pt>
                <pt idx="3085">
                  <v>1.5</v>
                </pt>
                <pt idx="3086">
                  <v>1.53</v>
                </pt>
                <pt idx="3087">
                  <v>1.51</v>
                </pt>
                <pt idx="3088">
                  <v>1.55</v>
                </pt>
                <pt idx="3089">
                  <v>1.49</v>
                </pt>
                <pt idx="3090">
                  <v>1.4</v>
                </pt>
                <pt idx="3091">
                  <v>1.45</v>
                </pt>
                <pt idx="3092">
                  <v>1.42</v>
                </pt>
                <pt idx="3093">
                  <v>1.51</v>
                </pt>
                <pt idx="3094">
                  <v>#N/A</v>
                </pt>
                <pt idx="3095">
                  <v>1.53</v>
                </pt>
                <pt idx="3096">
                  <v>1.58</v>
                </pt>
                <pt idx="3097">
                  <v>1.58</v>
                </pt>
                <pt idx="3098">
                  <v>1.55</v>
                </pt>
                <pt idx="3099">
                  <v>1.54</v>
                </pt>
                <pt idx="3100">
                  <v>1.49</v>
                </pt>
                <pt idx="3101">
                  <v>1.58</v>
                </pt>
                <pt idx="3102">
                  <v>1.61</v>
                </pt>
                <pt idx="3103">
                  <v>1.58</v>
                </pt>
                <pt idx="3104">
                  <v>#N/A</v>
                </pt>
                <pt idx="3105">
                  <v>1.42</v>
                </pt>
                <pt idx="3106">
                  <v>1.46</v>
                </pt>
                <pt idx="3107">
                  <v>1.38</v>
                </pt>
                <pt idx="3108">
                  <v>1.37</v>
                </pt>
                <pt idx="3109">
                  <v>1.39</v>
                </pt>
                <pt idx="3110">
                  <v>1.29</v>
                </pt>
                <pt idx="3111">
                  <v>1.37</v>
                </pt>
                <pt idx="3112">
                  <v>1.42</v>
                </pt>
                <pt idx="3113">
                  <v>1.45</v>
                </pt>
                <pt idx="3114">
                  <v>1.43</v>
                </pt>
                <pt idx="3115">
                  <v>1.42</v>
                </pt>
                <pt idx="3116">
                  <v>1.37</v>
                </pt>
                <pt idx="3117">
                  <v>1.39</v>
                </pt>
                <pt idx="3118">
                  <v>1.41</v>
                </pt>
                <pt idx="3119">
                  <v>1.39</v>
                </pt>
                <pt idx="3120">
                  <v>1.36</v>
                </pt>
                <pt idx="3121">
                  <v>1.36</v>
                </pt>
                <pt idx="3122">
                  <v>1.41</v>
                </pt>
                <pt idx="3123">
                  <v>1.38</v>
                </pt>
                <pt idx="3124">
                  <v>1.42</v>
                </pt>
                <pt idx="3125">
                  <v>#N/A</v>
                </pt>
                <pt idx="3126">
                  <v>1.42</v>
                </pt>
                <pt idx="3127">
                  <v>1.43</v>
                </pt>
                <pt idx="3128">
                  <v>1.5</v>
                </pt>
                <pt idx="3129">
                  <v>1.47</v>
                </pt>
                <pt idx="3130">
                  <v>1.46</v>
                </pt>
                <pt idx="3131">
                  <v>1.54</v>
                </pt>
                <pt idx="3132">
                  <v>1.58</v>
                </pt>
                <pt idx="3133">
                  <v>1.62</v>
                </pt>
                <pt idx="3134">
                  <v>1.63</v>
                </pt>
                <pt idx="3135">
                  <v>1.66</v>
                </pt>
                <pt idx="3136">
                  <v>1.65</v>
                </pt>
                <pt idx="3137">
                  <v>1.63</v>
                </pt>
                <pt idx="3138">
                  <v>1.62</v>
                </pt>
                <pt idx="3139">
                  <v>1.58</v>
                </pt>
                <pt idx="3140">
                  <v>1.65</v>
                </pt>
                <pt idx="3141">
                  <v>#N/A</v>
                </pt>
                <pt idx="3142">
                  <v>1.7</v>
                </pt>
                <pt idx="3143">
                  <v>1.66</v>
                </pt>
                <pt idx="3144">
                  <v>1.65</v>
                </pt>
                <pt idx="3145">
                  <v>1.58</v>
                </pt>
                <pt idx="3146">
                  <v>1.55</v>
                </pt>
                <pt idx="3147">
                  <v>1.58</v>
                </pt>
                <pt idx="3148">
                  <v>1.66</v>
                </pt>
                <pt idx="3149">
                  <v>1.61</v>
                </pt>
                <pt idx="3150">
                  <v>1.59</v>
                </pt>
                <pt idx="3151">
                  <v>1.55</v>
                </pt>
                <pt idx="3152">
                  <v>1.61</v>
                </pt>
                <pt idx="3153">
                  <v>1.58</v>
                </pt>
              </numCache>
            </numRef>
          </val>
          <smooth val="0"/>
        </ser>
        <dLbls>
          <showLegendKey val="0"/>
          <showVal val="0"/>
          <showCatName val="0"/>
          <showSerName val="0"/>
          <showPercent val="0"/>
          <showBubbleSize val="0"/>
        </dLbls>
        <smooth val="0"/>
        <axId val="866732928"/>
        <axId val="866734608"/>
      </lineChart>
      <dateAx>
        <axId val="8667329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6734608"/>
        <crosses val="autoZero"/>
        <lblOffset val="100"/>
        <baseTimeUnit val="days"/>
      </dateAx>
      <valAx>
        <axId val="866734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67329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span"/>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drawing1.xml><?xml version="1.0" encoding="utf-8"?>
<wsDr xmlns="http://schemas.openxmlformats.org/drawingml/2006/spreadsheetDrawing">
  <twoCellAnchor>
    <from>
      <col>4</col>
      <colOff>620058</colOff>
      <row>15653</row>
      <rowOff>82860</rowOff>
    </from>
    <to>
      <col>15</col>
      <colOff>328705</colOff>
      <row>15680</row>
      <rowOff>38033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7" displayName="Table7" ref="A2:D15679" headerRowCount="1" totalsRowShown="0">
  <autoFilter ref="A2:D15679"/>
  <tableColumns count="4">
    <tableColumn id="1" name="Date" dataDxfId="3">
      <calculatedColumnFormula>Database!$A2088</calculatedColumnFormula>
    </tableColumn>
    <tableColumn id="2" name="United States 10y" dataDxfId="2">
      <calculatedColumnFormula>IF(VLOOKUP(Table7[[#This Row],[Date]],Database!$A:$C,MATCH($B$1,Database!$A$1:$C$1,),)=0,#N/A,VLOOKUP(Table7[[#This Row],[Date]],Database!$A:$C,MATCH($B$1,Database!$A$1:$C$1,),))</calculatedColumnFormula>
    </tableColumn>
    <tableColumn id="3" name="United States 3y" dataDxfId="1">
      <calculatedColumnFormula>IF(VLOOKUP(Table7[[#This Row],[Date]],Database!$A:$C,MATCH($C$1,Database!$A$1:$C$1,),)=0,#N/A,VLOOKUP(Table7[[#This Row],[Date]],Database!$A:$C,MATCH($C$1,Database!$A$1:$C$1,),))</calculatedColumnFormula>
    </tableColumn>
    <tableColumn id="4" name="U.S 10y - U.S 3y" dataDxfId="0">
      <calculatedColumnFormula>IFERROR(Table7[[#This Row],[United States 10y]]-Table7[[#This Row],[United States 3y]],#N/A)</calculatedColumnFormula>
    </tableColumn>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industry/industrial-production.htm" TargetMode="External" Id="rId1"/><Relationship Type="http://schemas.openxmlformats.org/officeDocument/2006/relationships/hyperlink" Target="https://data.oecd.org/interest/long-term-interest-rates.htm" TargetMode="External" Id="rId2"/><Relationship Type="http://schemas.openxmlformats.org/officeDocument/2006/relationships/hyperlink" Target="https://data.oecd.org/interest/short-term-interest-rates.htm" TargetMode="External" Id="rId3"/><Relationship Type="http://schemas.openxmlformats.org/officeDocument/2006/relationships/hyperlink" Target="https://www.investing.com/rates-bonds/china-10-year-bond-yield-historical-data" TargetMode="External" Id="rId4"/><Relationship Type="http://schemas.openxmlformats.org/officeDocument/2006/relationships/hyperlink" Target="https://www.investing.com/rates-bonds/china-2-year-bond-yield-historical-data" TargetMode="External" Id="rId5"/></Relationships>
</file>

<file path=xl/worksheets/_rels/sheet3.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tabColor rgb="FFFFFF00"/>
    <outlinePr summaryBelow="1" summaryRight="1"/>
    <pageSetUpPr/>
  </sheetPr>
  <dimension ref="B1:J35"/>
  <sheetViews>
    <sheetView topLeftCell="A8" zoomScale="170" zoomScaleNormal="170" workbookViewId="0">
      <selection activeCell="A1" sqref="A1:XFD1"/>
    </sheetView>
  </sheetViews>
  <sheetFormatPr baseColWidth="10" defaultColWidth="9.1640625" defaultRowHeight="15"/>
  <cols>
    <col width="9.1640625" customWidth="1" style="15" min="1" max="1"/>
    <col width="12.83203125" customWidth="1" style="15" min="2" max="10"/>
    <col width="9.1640625" customWidth="1" style="15" min="11" max="26"/>
    <col width="9.1640625" customWidth="1" style="15" min="27" max="16384"/>
  </cols>
  <sheetData>
    <row r="1">
      <c r="B1" s="14" t="n"/>
    </row>
    <row r="2" ht="16" customHeight="1" s="7" thickBot="1">
      <c r="B2" s="16" t="n"/>
      <c r="C2" s="16" t="n"/>
      <c r="D2" s="16" t="n"/>
      <c r="E2" s="16" t="n"/>
      <c r="F2" s="16" t="n"/>
      <c r="G2" s="16" t="n"/>
      <c r="H2" s="16" t="n"/>
      <c r="I2" s="16" t="n"/>
      <c r="J2" s="16" t="n"/>
    </row>
    <row r="3" ht="16" customHeight="1" s="7" thickBot="1">
      <c r="B3" s="17" t="inlineStr">
        <is>
          <t>Interest Rates</t>
        </is>
      </c>
      <c r="C3" s="18" t="n"/>
      <c r="D3" s="18" t="n"/>
      <c r="E3" s="18" t="n"/>
      <c r="F3" s="18" t="n"/>
      <c r="G3" s="18" t="n"/>
      <c r="H3" s="18" t="n"/>
      <c r="I3" s="18" t="n"/>
      <c r="J3" s="19" t="n"/>
    </row>
    <row r="5">
      <c r="B5" s="11" t="inlineStr">
        <is>
          <t>Definition</t>
        </is>
      </c>
      <c r="C5" s="12" t="n"/>
      <c r="D5" s="12" t="n"/>
      <c r="E5" s="12" t="n"/>
      <c r="F5" s="12" t="n"/>
      <c r="G5" s="12" t="n"/>
      <c r="H5" s="12" t="n"/>
      <c r="I5" s="12" t="n"/>
      <c r="J5" s="13" t="n"/>
    </row>
    <row r="7" ht="110.25" customHeight="1" s="7">
      <c r="B7" s="20" t="inlineStr">
        <is>
          <t>Long-term interest rates refer to government bonds maturing in ten years. Rates are mainly determined by the price charged by the lender, the risk from the borrower and the fall in the capital value. Long-term interest rates are generally averages of daily rates, measured as a percentage. These interest rates are implied by the prices at which the government bonds are traded on financial markets, not the interest rates at which the loans were issued. In all cases, they refer to bonds whose capital repayment is guaranteed by governments. Long-term interest rates are one of the determinants of business investment. Low long-term interest rates encourage investment in new equipment and high interest rates discourage it. Investment is, in turn, a major source of economic growth.</t>
        </is>
      </c>
    </row>
    <row r="8" ht="63" customHeight="1" s="7">
      <c r="B8" s="20" t="inlineStr">
        <is>
          <t>Short-term interest rates are the rates at which short-term borrowings are effected between financial institutions or the rate at which short-term government paper is issued or traded in the market. Short-term interest rates are generally averages of daily rates, measured as a percentage. Short-term interest rates are based on three-month money market rates where available. Typical standardised names are "money market rate" and "treasury bill rate".</t>
        </is>
      </c>
    </row>
    <row r="9" ht="33.75" customHeight="1" s="7">
      <c r="B9" s="21" t="inlineStr">
        <is>
          <t>https://data.oecd.org/industry/industrial-production.htm</t>
        </is>
      </c>
    </row>
    <row r="10">
      <c r="B10" s="4" t="n"/>
      <c r="C10" s="4" t="n"/>
      <c r="D10" s="4" t="n"/>
      <c r="E10" s="4" t="n"/>
    </row>
    <row r="11">
      <c r="B11" s="11" t="inlineStr">
        <is>
          <t>Process / TO DO LIST</t>
        </is>
      </c>
      <c r="C11" s="12" t="n"/>
      <c r="D11" s="12" t="n"/>
      <c r="E11" s="12" t="n"/>
      <c r="F11" s="12" t="n"/>
      <c r="G11" s="12" t="n"/>
      <c r="H11" s="12" t="n"/>
      <c r="I11" s="12" t="n"/>
      <c r="J11" s="13" t="n"/>
    </row>
    <row r="13">
      <c r="B13" s="11" t="inlineStr">
        <is>
          <t>TO DO LIST</t>
        </is>
      </c>
      <c r="C13" s="12" t="n"/>
      <c r="D13" s="12" t="n"/>
      <c r="E13" s="12" t="n"/>
      <c r="F13" s="13" t="n"/>
      <c r="G13" s="11" t="inlineStr">
        <is>
          <t>Comments</t>
        </is>
      </c>
      <c r="H13" s="12" t="n"/>
      <c r="I13" s="12" t="n"/>
      <c r="J13" s="13" t="n"/>
    </row>
    <row r="15">
      <c r="B15" s="2" t="inlineStr">
        <is>
          <t>LT interest rates</t>
        </is>
      </c>
      <c r="G15" s="15" t="n"/>
    </row>
    <row r="16" ht="33" customHeight="1" s="7">
      <c r="B16" s="24" t="inlineStr">
        <is>
          <t>https://data.oecd.org/interest/long-term-interest-rates.htm#indicator-chart</t>
        </is>
      </c>
      <c r="G16" s="15" t="inlineStr">
        <is>
          <t>Database 10y</t>
        </is>
      </c>
    </row>
    <row r="17" ht="15.75" customHeight="1" s="7">
      <c r="B17" s="15" t="inlineStr">
        <is>
          <t>Table</t>
        </is>
      </c>
      <c r="G17" s="22" t="n"/>
    </row>
    <row r="18" ht="15.75" customHeight="1" s="7">
      <c r="B18" s="15" t="inlineStr">
        <is>
          <t>monthly / as old as possible</t>
        </is>
      </c>
      <c r="G18" s="22" t="n"/>
    </row>
    <row r="19" ht="15.75" customHeight="1" s="7">
      <c r="B19" s="15" t="inlineStr">
        <is>
          <t>download</t>
        </is>
      </c>
      <c r="G19" s="26" t="n"/>
    </row>
    <row r="20" ht="15.75" customHeight="1" s="7">
      <c r="G20" s="22" t="n"/>
    </row>
    <row r="21" ht="15.75" customHeight="1" s="7">
      <c r="B21" s="2" t="inlineStr">
        <is>
          <t>ST interest rates</t>
        </is>
      </c>
      <c r="G21" s="22" t="n"/>
    </row>
    <row r="22" ht="32.25" customHeight="1" s="7">
      <c r="B22" s="24" t="inlineStr">
        <is>
          <t>https://data.oecd.org/interest/short-term-interest-rates.htm#indicator-chart</t>
        </is>
      </c>
      <c r="G22" s="22" t="n"/>
    </row>
    <row r="23" ht="15.75" customHeight="1" s="7">
      <c r="B23" s="15" t="inlineStr">
        <is>
          <t>Table</t>
        </is>
      </c>
      <c r="G23" s="22" t="n"/>
    </row>
    <row r="24" ht="15.75" customHeight="1" s="7">
      <c r="B24" s="15" t="inlineStr">
        <is>
          <t>monthly / as old as possible</t>
        </is>
      </c>
      <c r="G24" s="22" t="n"/>
    </row>
    <row r="25" ht="15.75" customHeight="1" s="7">
      <c r="B25" s="15" t="inlineStr">
        <is>
          <t>download</t>
        </is>
      </c>
      <c r="G25" s="22" t="n"/>
    </row>
    <row r="26" ht="15.75" customHeight="1" s="7">
      <c r="B26" s="1" t="n"/>
      <c r="G26" s="22" t="n"/>
    </row>
    <row r="27" ht="15.75" customHeight="1" s="7">
      <c r="B27" s="2" t="inlineStr">
        <is>
          <t>10 y</t>
        </is>
      </c>
      <c r="G27" s="22" t="inlineStr">
        <is>
          <t>10y database</t>
        </is>
      </c>
    </row>
    <row r="28" ht="39.75" customHeight="1" s="7">
      <c r="B28" s="25" t="inlineStr">
        <is>
          <t>https://www.investing.com/rates-bonds/china-10-year-bond-yield-historical-data</t>
        </is>
      </c>
      <c r="G28" s="22" t="inlineStr">
        <is>
          <t>Collect data per country - Example - change china for france in hyperlink</t>
        </is>
      </c>
    </row>
    <row r="29" ht="15.75" customHeight="1" s="7">
      <c r="G29" s="22" t="n"/>
      <c r="H29" s="5" t="n"/>
      <c r="I29" s="5" t="n"/>
      <c r="J29" s="5" t="n"/>
    </row>
    <row r="30">
      <c r="B30" s="15" t="inlineStr">
        <is>
          <t>2y</t>
        </is>
      </c>
      <c r="G30" s="15" t="inlineStr">
        <is>
          <t>2y database</t>
        </is>
      </c>
    </row>
    <row r="31" ht="34.5" customHeight="1" s="7">
      <c r="B31" s="24" t="inlineStr">
        <is>
          <t>https://www.investing.com/rates-bonds/china-2-year-bond-yield-historical-data</t>
        </is>
      </c>
      <c r="G31" s="22" t="inlineStr">
        <is>
          <t>Collect data per country - Example - change china for france in hyperlink</t>
        </is>
      </c>
    </row>
    <row r="32">
      <c r="B32" s="1" t="n"/>
    </row>
    <row r="33">
      <c r="B33" s="2" t="n"/>
    </row>
    <row r="34" ht="33.75" customHeight="1" s="7">
      <c r="B34" s="23" t="n"/>
    </row>
    <row r="35">
      <c r="B35" s="3" t="n"/>
    </row>
  </sheetData>
  <mergeCells count="29">
    <mergeCell ref="B34:J34"/>
    <mergeCell ref="B8:J8"/>
    <mergeCell ref="B16:F16"/>
    <mergeCell ref="B22:F22"/>
    <mergeCell ref="B31:F31"/>
    <mergeCell ref="G31:J31"/>
    <mergeCell ref="G24:J24"/>
    <mergeCell ref="G25:J25"/>
    <mergeCell ref="G26:J26"/>
    <mergeCell ref="G27:J27"/>
    <mergeCell ref="B28:F28"/>
    <mergeCell ref="G28:J28"/>
    <mergeCell ref="G19:J19"/>
    <mergeCell ref="G20:J20"/>
    <mergeCell ref="G21:J21"/>
    <mergeCell ref="G22:J22"/>
    <mergeCell ref="G23:J23"/>
    <mergeCell ref="B13:F13"/>
    <mergeCell ref="G13:J13"/>
    <mergeCell ref="G15:J15"/>
    <mergeCell ref="G16:J16"/>
    <mergeCell ref="G17:J17"/>
    <mergeCell ref="G18:J18"/>
    <mergeCell ref="B11:J11"/>
    <mergeCell ref="B1:J2"/>
    <mergeCell ref="B3:J3"/>
    <mergeCell ref="B5:J5"/>
    <mergeCell ref="B7:J7"/>
    <mergeCell ref="B9:J9"/>
  </mergeCells>
  <hyperlinks>
    <hyperlink xmlns:r="http://schemas.openxmlformats.org/officeDocument/2006/relationships" ref="B9" r:id="rId1"/>
    <hyperlink xmlns:r="http://schemas.openxmlformats.org/officeDocument/2006/relationships" ref="B16" location="indicator-chart" display="https://data.oecd.org/interest/long-term-interest-rates.htm - indicator-chart" r:id="rId2"/>
    <hyperlink xmlns:r="http://schemas.openxmlformats.org/officeDocument/2006/relationships" ref="B22" location="indicator-chart" display="https://data.oecd.org/interest/short-term-interest-rates.htm - indicator-chart" r:id="rId3"/>
    <hyperlink xmlns:r="http://schemas.openxmlformats.org/officeDocument/2006/relationships" ref="B28" r:id="rId4"/>
    <hyperlink xmlns:r="http://schemas.openxmlformats.org/officeDocument/2006/relationships" ref="B31" r:id="rId5"/>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C17765"/>
  <sheetViews>
    <sheetView zoomScale="220" zoomScaleNormal="220" workbookViewId="0">
      <pane ySplit="1" topLeftCell="A17738" activePane="bottomLeft" state="frozen"/>
      <selection activeCell="K15648" sqref="K15648"/>
      <selection pane="bottomLeft" activeCell="K15648" sqref="K15648"/>
    </sheetView>
  </sheetViews>
  <sheetFormatPr baseColWidth="10" defaultRowHeight="15"/>
  <sheetData>
    <row r="1">
      <c r="A1" t="inlineStr">
        <is>
          <t>DATE</t>
        </is>
      </c>
      <c r="B1" t="inlineStr">
        <is>
          <t>DGS10</t>
        </is>
      </c>
      <c r="C1" t="inlineStr">
        <is>
          <t>DTB3</t>
        </is>
      </c>
    </row>
    <row r="2">
      <c r="A2" s="28" t="n">
        <v>19728</v>
      </c>
      <c r="B2" t="n">
        <v/>
      </c>
      <c r="C2" t="n">
        <v>1.33</v>
      </c>
    </row>
    <row r="3">
      <c r="A3" s="28" t="n">
        <v>19729</v>
      </c>
      <c r="B3" t="n">
        <v/>
      </c>
      <c r="C3" t="n">
        <v>1.28</v>
      </c>
    </row>
    <row r="4">
      <c r="A4" s="28" t="n">
        <v>19730</v>
      </c>
      <c r="B4" t="n">
        <v/>
      </c>
      <c r="C4" t="n">
        <v>1.28</v>
      </c>
    </row>
    <row r="5">
      <c r="A5" s="28" t="n">
        <v>19731</v>
      </c>
      <c r="B5" t="n">
        <v/>
      </c>
      <c r="C5" t="n">
        <v>1.31</v>
      </c>
    </row>
    <row r="6">
      <c r="A6" s="28" t="n">
        <v>19732</v>
      </c>
      <c r="B6" t="n">
        <v/>
      </c>
      <c r="C6" t="n">
        <v>1.31</v>
      </c>
    </row>
    <row r="7">
      <c r="A7" s="28" t="n">
        <v>19735</v>
      </c>
      <c r="B7" t="n">
        <v/>
      </c>
      <c r="C7" t="n">
        <v>1.33</v>
      </c>
    </row>
    <row r="8">
      <c r="A8" s="28" t="n">
        <v>19736</v>
      </c>
      <c r="B8" t="n">
        <v/>
      </c>
      <c r="C8" t="n">
        <v>1.3</v>
      </c>
    </row>
    <row r="9">
      <c r="A9" s="28" t="n">
        <v>19737</v>
      </c>
      <c r="B9" t="n">
        <v/>
      </c>
      <c r="C9" t="n">
        <v>1.3</v>
      </c>
    </row>
    <row r="10">
      <c r="A10" s="28" t="n">
        <v>19738</v>
      </c>
      <c r="B10" t="n">
        <v/>
      </c>
      <c r="C10" t="n">
        <v>1.28</v>
      </c>
    </row>
    <row r="11">
      <c r="A11" s="28" t="n">
        <v>19739</v>
      </c>
      <c r="B11" t="n">
        <v/>
      </c>
      <c r="C11" t="n">
        <v>1.2</v>
      </c>
    </row>
    <row r="12">
      <c r="A12" s="28" t="n">
        <v>19742</v>
      </c>
      <c r="B12" t="n">
        <v/>
      </c>
      <c r="C12" t="n">
        <v>1.2</v>
      </c>
    </row>
    <row r="13">
      <c r="A13" s="28" t="n">
        <v>19743</v>
      </c>
      <c r="B13" t="n">
        <v/>
      </c>
      <c r="C13" t="n">
        <v>0</v>
      </c>
    </row>
    <row r="14">
      <c r="A14" s="28" t="n">
        <v>19744</v>
      </c>
      <c r="B14" t="n">
        <v/>
      </c>
      <c r="C14" t="n">
        <v>1.16</v>
      </c>
    </row>
    <row r="15">
      <c r="A15" s="28" t="n">
        <v>19745</v>
      </c>
      <c r="B15" t="n">
        <v/>
      </c>
      <c r="C15" t="n">
        <v>1.08</v>
      </c>
    </row>
    <row r="16">
      <c r="A16" s="28" t="n">
        <v>19746</v>
      </c>
      <c r="B16" t="n">
        <v/>
      </c>
      <c r="C16" t="n">
        <v>1</v>
      </c>
    </row>
    <row r="17">
      <c r="A17" s="28" t="n">
        <v>19749</v>
      </c>
      <c r="B17" t="n">
        <v/>
      </c>
      <c r="C17" t="n">
        <v>1</v>
      </c>
    </row>
    <row r="18">
      <c r="A18" s="28" t="n">
        <v>19750</v>
      </c>
      <c r="B18" t="n">
        <v/>
      </c>
      <c r="C18" t="n">
        <v>1</v>
      </c>
    </row>
    <row r="19">
      <c r="A19" s="28" t="n">
        <v>19751</v>
      </c>
      <c r="B19" t="n">
        <v/>
      </c>
      <c r="C19" t="n">
        <v>1.08</v>
      </c>
    </row>
    <row r="20">
      <c r="A20" s="28" t="n">
        <v>19752</v>
      </c>
      <c r="B20" t="n">
        <v/>
      </c>
      <c r="C20" t="n">
        <v>0.96</v>
      </c>
    </row>
    <row r="21">
      <c r="A21" s="28" t="n">
        <v>19753</v>
      </c>
      <c r="B21" t="n">
        <v/>
      </c>
      <c r="C21" t="n">
        <v>1.02</v>
      </c>
    </row>
    <row r="22">
      <c r="A22" s="28" t="n">
        <v>19756</v>
      </c>
      <c r="B22" t="n">
        <v/>
      </c>
      <c r="C22" t="n">
        <v>1.04</v>
      </c>
    </row>
    <row r="23">
      <c r="A23" s="28" t="n">
        <v>19757</v>
      </c>
      <c r="B23" t="n">
        <v/>
      </c>
      <c r="C23" t="n">
        <v>1</v>
      </c>
    </row>
    <row r="24">
      <c r="A24" s="28" t="n">
        <v>19758</v>
      </c>
      <c r="B24" t="n">
        <v/>
      </c>
      <c r="C24" t="n">
        <v>1.02</v>
      </c>
    </row>
    <row r="25">
      <c r="A25" s="28" t="n">
        <v>19759</v>
      </c>
      <c r="B25" t="n">
        <v/>
      </c>
      <c r="C25" t="n">
        <v>1.01</v>
      </c>
    </row>
    <row r="26">
      <c r="A26" s="28" t="n">
        <v>19760</v>
      </c>
      <c r="B26" t="n">
        <v/>
      </c>
      <c r="C26" t="n">
        <v>0.9</v>
      </c>
    </row>
    <row r="27">
      <c r="A27" s="28" t="n">
        <v>19763</v>
      </c>
      <c r="B27" t="n">
        <v/>
      </c>
      <c r="C27" t="n">
        <v>0.89</v>
      </c>
    </row>
    <row r="28">
      <c r="A28" s="28" t="n">
        <v>19764</v>
      </c>
      <c r="B28" t="n">
        <v/>
      </c>
      <c r="C28" t="n">
        <v>0.88</v>
      </c>
    </row>
    <row r="29">
      <c r="A29" s="28" t="n">
        <v>19765</v>
      </c>
      <c r="B29" t="n">
        <v/>
      </c>
      <c r="C29" t="n">
        <v>0.93</v>
      </c>
    </row>
    <row r="30">
      <c r="A30" s="28" t="n">
        <v>19766</v>
      </c>
      <c r="B30" t="n">
        <v/>
      </c>
      <c r="C30" t="n">
        <v>0.9399999999999999</v>
      </c>
    </row>
    <row r="31">
      <c r="A31" s="28" t="n">
        <v>19767</v>
      </c>
      <c r="B31" t="n">
        <v/>
      </c>
      <c r="C31" t="n">
        <v>0</v>
      </c>
    </row>
    <row r="32">
      <c r="A32" s="28" t="n">
        <v>19770</v>
      </c>
      <c r="B32" t="n">
        <v/>
      </c>
      <c r="C32" t="n">
        <v>0.98</v>
      </c>
    </row>
    <row r="33">
      <c r="A33" s="28" t="n">
        <v>19771</v>
      </c>
      <c r="B33" t="n">
        <v/>
      </c>
      <c r="C33" t="n">
        <v>0.98</v>
      </c>
    </row>
    <row r="34">
      <c r="A34" s="28" t="n">
        <v>19772</v>
      </c>
      <c r="B34" t="n">
        <v/>
      </c>
      <c r="C34" t="n">
        <v>1.02</v>
      </c>
    </row>
    <row r="35">
      <c r="A35" s="28" t="n">
        <v>19773</v>
      </c>
      <c r="B35" t="n">
        <v/>
      </c>
      <c r="C35" t="n">
        <v>0.97</v>
      </c>
    </row>
    <row r="36">
      <c r="A36" s="28" t="n">
        <v>19774</v>
      </c>
      <c r="B36" t="n">
        <v/>
      </c>
      <c r="C36" t="n">
        <v>0.96</v>
      </c>
    </row>
    <row r="37">
      <c r="A37" s="28" t="n">
        <v>19777</v>
      </c>
      <c r="B37" t="n">
        <v/>
      </c>
      <c r="C37" t="n">
        <v>0</v>
      </c>
    </row>
    <row r="38">
      <c r="A38" s="28" t="n">
        <v>19778</v>
      </c>
      <c r="B38" t="n">
        <v/>
      </c>
      <c r="C38" t="n">
        <v>0.95</v>
      </c>
    </row>
    <row r="39">
      <c r="A39" s="28" t="n">
        <v>19779</v>
      </c>
      <c r="B39" t="n">
        <v/>
      </c>
      <c r="C39" t="n">
        <v>0.97</v>
      </c>
    </row>
    <row r="40">
      <c r="A40" s="28" t="n">
        <v>19780</v>
      </c>
      <c r="B40" t="n">
        <v/>
      </c>
      <c r="C40" t="n">
        <v>1</v>
      </c>
    </row>
    <row r="41">
      <c r="A41" s="28" t="n">
        <v>19781</v>
      </c>
      <c r="B41" t="n">
        <v/>
      </c>
      <c r="C41" t="n">
        <v>1</v>
      </c>
    </row>
    <row r="42">
      <c r="A42" s="28" t="n">
        <v>19784</v>
      </c>
      <c r="B42" t="n">
        <v/>
      </c>
      <c r="C42" t="n">
        <v>1.03</v>
      </c>
    </row>
    <row r="43">
      <c r="A43" s="28" t="n">
        <v>19785</v>
      </c>
      <c r="B43" t="n">
        <v/>
      </c>
      <c r="C43" t="n">
        <v>1.03</v>
      </c>
    </row>
    <row r="44">
      <c r="A44" s="28" t="n">
        <v>19786</v>
      </c>
      <c r="B44" t="n">
        <v/>
      </c>
      <c r="C44" t="n">
        <v>1.05</v>
      </c>
    </row>
    <row r="45">
      <c r="A45" s="28" t="n">
        <v>19787</v>
      </c>
      <c r="B45" t="n">
        <v/>
      </c>
      <c r="C45" t="n">
        <v>1.03</v>
      </c>
    </row>
    <row r="46">
      <c r="A46" s="28" t="n">
        <v>19788</v>
      </c>
      <c r="B46" t="n">
        <v/>
      </c>
      <c r="C46" t="n">
        <v>1.02</v>
      </c>
    </row>
    <row r="47">
      <c r="A47" s="28" t="n">
        <v>19791</v>
      </c>
      <c r="B47" t="n">
        <v/>
      </c>
      <c r="C47" t="n">
        <v>1.03</v>
      </c>
    </row>
    <row r="48">
      <c r="A48" s="28" t="n">
        <v>19792</v>
      </c>
      <c r="B48" t="n">
        <v/>
      </c>
      <c r="C48" t="n">
        <v>1.03</v>
      </c>
    </row>
    <row r="49">
      <c r="A49" s="28" t="n">
        <v>19793</v>
      </c>
      <c r="B49" t="n">
        <v/>
      </c>
      <c r="C49" t="n">
        <v>1.06</v>
      </c>
    </row>
    <row r="50">
      <c r="A50" s="28" t="n">
        <v>19794</v>
      </c>
      <c r="B50" t="n">
        <v/>
      </c>
      <c r="C50" t="n">
        <v>1.05</v>
      </c>
    </row>
    <row r="51">
      <c r="A51" s="28" t="n">
        <v>19795</v>
      </c>
      <c r="B51" t="n">
        <v/>
      </c>
      <c r="C51" t="n">
        <v>1.04</v>
      </c>
    </row>
    <row r="52">
      <c r="A52" s="28" t="n">
        <v>19798</v>
      </c>
      <c r="B52" t="n">
        <v/>
      </c>
      <c r="C52" t="n">
        <v>1.04</v>
      </c>
    </row>
    <row r="53">
      <c r="A53" s="28" t="n">
        <v>19799</v>
      </c>
      <c r="B53" t="n">
        <v/>
      </c>
      <c r="C53" t="n">
        <v>1.02</v>
      </c>
    </row>
    <row r="54">
      <c r="A54" s="28" t="n">
        <v>19800</v>
      </c>
      <c r="B54" t="n">
        <v/>
      </c>
      <c r="C54" t="n">
        <v>1.01</v>
      </c>
    </row>
    <row r="55">
      <c r="A55" s="28" t="n">
        <v>19801</v>
      </c>
      <c r="B55" t="n">
        <v/>
      </c>
      <c r="C55" t="n">
        <v>1.01</v>
      </c>
    </row>
    <row r="56">
      <c r="A56" s="28" t="n">
        <v>19802</v>
      </c>
      <c r="B56" t="n">
        <v/>
      </c>
      <c r="C56" t="n">
        <v>1</v>
      </c>
    </row>
    <row r="57">
      <c r="A57" s="28" t="n">
        <v>19805</v>
      </c>
      <c r="B57" t="n">
        <v/>
      </c>
      <c r="C57" t="n">
        <v>1</v>
      </c>
    </row>
    <row r="58">
      <c r="A58" s="28" t="n">
        <v>19806</v>
      </c>
      <c r="B58" t="n">
        <v/>
      </c>
      <c r="C58" t="n">
        <v>1</v>
      </c>
    </row>
    <row r="59">
      <c r="A59" s="28" t="n">
        <v>19807</v>
      </c>
      <c r="B59" t="n">
        <v/>
      </c>
      <c r="C59" t="n">
        <v>1.05</v>
      </c>
    </row>
    <row r="60">
      <c r="A60" s="28" t="n">
        <v>19808</v>
      </c>
      <c r="B60" t="n">
        <v/>
      </c>
      <c r="C60" t="n">
        <v>1.07</v>
      </c>
    </row>
    <row r="61">
      <c r="A61" s="28" t="n">
        <v>19809</v>
      </c>
      <c r="B61" t="n">
        <v/>
      </c>
      <c r="C61" t="n">
        <v>1.05</v>
      </c>
    </row>
    <row r="62">
      <c r="A62" s="28" t="n">
        <v>19812</v>
      </c>
      <c r="B62" t="n">
        <v/>
      </c>
      <c r="C62" t="n">
        <v>1.05</v>
      </c>
    </row>
    <row r="63">
      <c r="A63" s="28" t="n">
        <v>19813</v>
      </c>
      <c r="B63" t="n">
        <v/>
      </c>
      <c r="C63" t="n">
        <v>1.04</v>
      </c>
    </row>
    <row r="64">
      <c r="A64" s="28" t="n">
        <v>19814</v>
      </c>
      <c r="B64" t="n">
        <v/>
      </c>
      <c r="C64" t="n">
        <v>1.03</v>
      </c>
    </row>
    <row r="65">
      <c r="A65" s="28" t="n">
        <v>19815</v>
      </c>
      <c r="B65" t="n">
        <v/>
      </c>
      <c r="C65" t="n">
        <v>1.02</v>
      </c>
    </row>
    <row r="66">
      <c r="A66" s="28" t="n">
        <v>19816</v>
      </c>
      <c r="B66" t="n">
        <v/>
      </c>
      <c r="C66" t="n">
        <v>1</v>
      </c>
    </row>
    <row r="67">
      <c r="A67" s="28" t="n">
        <v>19819</v>
      </c>
      <c r="B67" t="n">
        <v/>
      </c>
      <c r="C67" t="n">
        <v>0.98</v>
      </c>
    </row>
    <row r="68">
      <c r="A68" s="28" t="n">
        <v>19820</v>
      </c>
      <c r="B68" t="n">
        <v/>
      </c>
      <c r="C68" t="n">
        <v>0.97</v>
      </c>
    </row>
    <row r="69">
      <c r="A69" s="28" t="n">
        <v>19821</v>
      </c>
      <c r="B69" t="n">
        <v/>
      </c>
      <c r="C69" t="n">
        <v>1</v>
      </c>
    </row>
    <row r="70">
      <c r="A70" s="28" t="n">
        <v>19822</v>
      </c>
      <c r="B70" t="n">
        <v/>
      </c>
      <c r="C70" t="n">
        <v>1</v>
      </c>
    </row>
    <row r="71">
      <c r="A71" s="28" t="n">
        <v>19823</v>
      </c>
      <c r="B71" t="n">
        <v/>
      </c>
      <c r="C71" t="n">
        <v>1.03</v>
      </c>
    </row>
    <row r="72">
      <c r="A72" s="28" t="n">
        <v>19826</v>
      </c>
      <c r="B72" t="n">
        <v/>
      </c>
      <c r="C72" t="n">
        <v>1.04</v>
      </c>
    </row>
    <row r="73">
      <c r="A73" s="28" t="n">
        <v>19827</v>
      </c>
      <c r="B73" t="n">
        <v/>
      </c>
      <c r="C73" t="n">
        <v>1.06</v>
      </c>
    </row>
    <row r="74">
      <c r="A74" s="28" t="n">
        <v>19828</v>
      </c>
      <c r="B74" t="n">
        <v/>
      </c>
      <c r="C74" t="n">
        <v>1.04</v>
      </c>
    </row>
    <row r="75">
      <c r="A75" s="28" t="n">
        <v>19829</v>
      </c>
      <c r="B75" t="n">
        <v/>
      </c>
      <c r="C75" t="n">
        <v>1.03</v>
      </c>
    </row>
    <row r="76">
      <c r="A76" s="28" t="n">
        <v>19830</v>
      </c>
      <c r="B76" t="n">
        <v/>
      </c>
      <c r="C76" t="n">
        <v>1.03</v>
      </c>
    </row>
    <row r="77">
      <c r="A77" s="28" t="n">
        <v>19833</v>
      </c>
      <c r="B77" t="n">
        <v/>
      </c>
      <c r="C77" t="n">
        <v>1.02</v>
      </c>
    </row>
    <row r="78">
      <c r="A78" s="28" t="n">
        <v>19834</v>
      </c>
      <c r="B78" t="n">
        <v/>
      </c>
      <c r="C78" t="n">
        <v>1</v>
      </c>
    </row>
    <row r="79">
      <c r="A79" s="28" t="n">
        <v>19835</v>
      </c>
      <c r="B79" t="n">
        <v/>
      </c>
      <c r="C79" t="n">
        <v>1</v>
      </c>
    </row>
    <row r="80">
      <c r="A80" s="28" t="n">
        <v>19836</v>
      </c>
      <c r="B80" t="n">
        <v/>
      </c>
      <c r="C80" t="n">
        <v>0.98</v>
      </c>
    </row>
    <row r="81">
      <c r="A81" s="28" t="n">
        <v>19837</v>
      </c>
      <c r="B81" t="n">
        <v/>
      </c>
      <c r="C81" t="n">
        <v>0.9399999999999999</v>
      </c>
    </row>
    <row r="82">
      <c r="A82" s="28" t="n">
        <v>19840</v>
      </c>
      <c r="B82" t="n">
        <v/>
      </c>
      <c r="C82" t="n">
        <v>0.85</v>
      </c>
    </row>
    <row r="83">
      <c r="A83" s="28" t="n">
        <v>19841</v>
      </c>
      <c r="B83" t="n">
        <v/>
      </c>
      <c r="C83" t="n">
        <v>0.83</v>
      </c>
    </row>
    <row r="84">
      <c r="A84" s="28" t="n">
        <v>19842</v>
      </c>
      <c r="B84" t="n">
        <v/>
      </c>
      <c r="C84" t="n">
        <v>0.82</v>
      </c>
    </row>
    <row r="85">
      <c r="A85" s="28" t="n">
        <v>19843</v>
      </c>
      <c r="B85" t="n">
        <v/>
      </c>
      <c r="C85" t="n">
        <v>0.8100000000000001</v>
      </c>
    </row>
    <row r="86">
      <c r="A86" s="28" t="n">
        <v>19844</v>
      </c>
      <c r="B86" t="n">
        <v/>
      </c>
      <c r="C86" t="n">
        <v>0.8100000000000001</v>
      </c>
    </row>
    <row r="87">
      <c r="A87" s="28" t="n">
        <v>19847</v>
      </c>
      <c r="B87" t="n">
        <v/>
      </c>
      <c r="C87" t="n">
        <v>0.77</v>
      </c>
    </row>
    <row r="88">
      <c r="A88" s="28" t="n">
        <v>19848</v>
      </c>
      <c r="B88" t="n">
        <v/>
      </c>
      <c r="C88" t="n">
        <v>0.72</v>
      </c>
    </row>
    <row r="89">
      <c r="A89" s="28" t="n">
        <v>19849</v>
      </c>
      <c r="B89" t="n">
        <v/>
      </c>
      <c r="C89" t="n">
        <v>0.72</v>
      </c>
    </row>
    <row r="90">
      <c r="A90" s="28" t="n">
        <v>19850</v>
      </c>
      <c r="B90" t="n">
        <v/>
      </c>
      <c r="C90" t="n">
        <v>0.75</v>
      </c>
    </row>
    <row r="91">
      <c r="A91" s="28" t="n">
        <v>19851</v>
      </c>
      <c r="B91" t="n">
        <v/>
      </c>
      <c r="C91" t="n">
        <v>0.79</v>
      </c>
    </row>
    <row r="92">
      <c r="A92" s="28" t="n">
        <v>19854</v>
      </c>
      <c r="B92" t="n">
        <v/>
      </c>
      <c r="C92" t="n">
        <v>0.8</v>
      </c>
    </row>
    <row r="93">
      <c r="A93" s="28" t="n">
        <v>19855</v>
      </c>
      <c r="B93" t="n">
        <v/>
      </c>
      <c r="C93" t="n">
        <v>0.78</v>
      </c>
    </row>
    <row r="94">
      <c r="A94" s="28" t="n">
        <v>19856</v>
      </c>
      <c r="B94" t="n">
        <v/>
      </c>
      <c r="C94" t="n">
        <v>0.82</v>
      </c>
    </row>
    <row r="95">
      <c r="A95" s="28" t="n">
        <v>19857</v>
      </c>
      <c r="B95" t="n">
        <v/>
      </c>
      <c r="C95" t="n">
        <v>0.82</v>
      </c>
    </row>
    <row r="96">
      <c r="A96" s="28" t="n">
        <v>19858</v>
      </c>
      <c r="B96" t="n">
        <v/>
      </c>
      <c r="C96" t="n">
        <v>0.8</v>
      </c>
    </row>
    <row r="97">
      <c r="A97" s="28" t="n">
        <v>19861</v>
      </c>
      <c r="B97" t="n">
        <v/>
      </c>
      <c r="C97" t="n">
        <v>0.8</v>
      </c>
    </row>
    <row r="98">
      <c r="A98" s="28" t="n">
        <v>19862</v>
      </c>
      <c r="B98" t="n">
        <v/>
      </c>
      <c r="C98" t="n">
        <v>0.8100000000000001</v>
      </c>
    </row>
    <row r="99">
      <c r="A99" s="28" t="n">
        <v>19863</v>
      </c>
      <c r="B99" t="n">
        <v/>
      </c>
      <c r="C99" t="n">
        <v>0.79</v>
      </c>
    </row>
    <row r="100">
      <c r="A100" s="28" t="n">
        <v>19864</v>
      </c>
      <c r="B100" t="n">
        <v/>
      </c>
      <c r="C100" t="n">
        <v>0.78</v>
      </c>
    </row>
    <row r="101">
      <c r="A101" s="28" t="n">
        <v>19865</v>
      </c>
      <c r="B101" t="n">
        <v/>
      </c>
      <c r="C101" t="n">
        <v>0.76</v>
      </c>
    </row>
    <row r="102">
      <c r="A102" s="28" t="n">
        <v>19868</v>
      </c>
      <c r="B102" t="n">
        <v/>
      </c>
      <c r="C102" t="n">
        <v>0.73</v>
      </c>
    </row>
    <row r="103">
      <c r="A103" s="28" t="n">
        <v>19869</v>
      </c>
      <c r="B103" t="n">
        <v/>
      </c>
      <c r="C103" t="n">
        <v>0.7</v>
      </c>
    </row>
    <row r="104">
      <c r="A104" s="28" t="n">
        <v>19870</v>
      </c>
      <c r="B104" t="n">
        <v/>
      </c>
      <c r="C104" t="n">
        <v>0.7</v>
      </c>
    </row>
    <row r="105">
      <c r="A105" s="28" t="n">
        <v>19871</v>
      </c>
      <c r="B105" t="n">
        <v/>
      </c>
      <c r="C105" t="n">
        <v>0.7</v>
      </c>
    </row>
    <row r="106">
      <c r="A106" s="28" t="n">
        <v>19872</v>
      </c>
      <c r="B106" t="n">
        <v/>
      </c>
      <c r="C106" t="n">
        <v>0.72</v>
      </c>
    </row>
    <row r="107">
      <c r="A107" s="28" t="n">
        <v>19875</v>
      </c>
      <c r="B107" t="n">
        <v/>
      </c>
      <c r="C107" t="n">
        <v>0</v>
      </c>
    </row>
    <row r="108">
      <c r="A108" s="28" t="n">
        <v>19876</v>
      </c>
      <c r="B108" t="n">
        <v/>
      </c>
      <c r="C108" t="n">
        <v>0.71</v>
      </c>
    </row>
    <row r="109">
      <c r="A109" s="28" t="n">
        <v>19877</v>
      </c>
      <c r="B109" t="n">
        <v/>
      </c>
      <c r="C109" t="n">
        <v>0.71</v>
      </c>
    </row>
    <row r="110">
      <c r="A110" s="28" t="n">
        <v>19878</v>
      </c>
      <c r="B110" t="n">
        <v/>
      </c>
      <c r="C110" t="n">
        <v>0.68</v>
      </c>
    </row>
    <row r="111">
      <c r="A111" s="28" t="n">
        <v>19879</v>
      </c>
      <c r="B111" t="n">
        <v/>
      </c>
      <c r="C111" t="n">
        <v>0.66</v>
      </c>
    </row>
    <row r="112">
      <c r="A112" s="28" t="n">
        <v>19882</v>
      </c>
      <c r="B112" t="n">
        <v/>
      </c>
      <c r="C112" t="n">
        <v>0.61</v>
      </c>
    </row>
    <row r="113">
      <c r="A113" s="28" t="n">
        <v>19883</v>
      </c>
      <c r="B113" t="n">
        <v/>
      </c>
      <c r="C113" t="n">
        <v>0.61</v>
      </c>
    </row>
    <row r="114">
      <c r="A114" s="28" t="n">
        <v>19884</v>
      </c>
      <c r="B114" t="n">
        <v/>
      </c>
      <c r="C114" t="n">
        <v>0.62</v>
      </c>
    </row>
    <row r="115">
      <c r="A115" s="28" t="n">
        <v>19885</v>
      </c>
      <c r="B115" t="n">
        <v/>
      </c>
      <c r="C115" t="n">
        <v>0.61</v>
      </c>
    </row>
    <row r="116">
      <c r="A116" s="28" t="n">
        <v>19886</v>
      </c>
      <c r="B116" t="n">
        <v/>
      </c>
      <c r="C116" t="n">
        <v>0.62</v>
      </c>
    </row>
    <row r="117">
      <c r="A117" s="28" t="n">
        <v>19889</v>
      </c>
      <c r="B117" t="n">
        <v/>
      </c>
      <c r="C117" t="n">
        <v>0.64</v>
      </c>
    </row>
    <row r="118">
      <c r="A118" s="28" t="n">
        <v>19890</v>
      </c>
      <c r="B118" t="n">
        <v/>
      </c>
      <c r="C118" t="n">
        <v>0.63</v>
      </c>
    </row>
    <row r="119">
      <c r="A119" s="28" t="n">
        <v>19891</v>
      </c>
      <c r="B119" t="n">
        <v/>
      </c>
      <c r="C119" t="n">
        <v>0.63</v>
      </c>
    </row>
    <row r="120">
      <c r="A120" s="28" t="n">
        <v>19892</v>
      </c>
      <c r="B120" t="n">
        <v/>
      </c>
      <c r="C120" t="n">
        <v>0.61</v>
      </c>
    </row>
    <row r="121">
      <c r="A121" s="28" t="n">
        <v>19893</v>
      </c>
      <c r="B121" t="n">
        <v/>
      </c>
      <c r="C121" t="n">
        <v>0.63</v>
      </c>
    </row>
    <row r="122">
      <c r="A122" s="28" t="n">
        <v>19896</v>
      </c>
      <c r="B122" t="n">
        <v/>
      </c>
      <c r="C122" t="n">
        <v>0.63</v>
      </c>
    </row>
    <row r="123">
      <c r="A123" s="28" t="n">
        <v>19897</v>
      </c>
      <c r="B123" t="n">
        <v/>
      </c>
      <c r="C123" t="n">
        <v>0.61</v>
      </c>
    </row>
    <row r="124">
      <c r="A124" s="28" t="n">
        <v>19898</v>
      </c>
      <c r="B124" t="n">
        <v/>
      </c>
      <c r="C124" t="n">
        <v>0.62</v>
      </c>
    </row>
    <row r="125">
      <c r="A125" s="28" t="n">
        <v>19899</v>
      </c>
      <c r="B125" t="n">
        <v/>
      </c>
      <c r="C125" t="n">
        <v>0.62</v>
      </c>
    </row>
    <row r="126">
      <c r="A126" s="28" t="n">
        <v>19900</v>
      </c>
      <c r="B126" t="n">
        <v/>
      </c>
      <c r="C126" t="n">
        <v>0.64</v>
      </c>
    </row>
    <row r="127">
      <c r="A127" s="28" t="n">
        <v>19903</v>
      </c>
      <c r="B127" t="n">
        <v/>
      </c>
      <c r="C127" t="n">
        <v>0.64</v>
      </c>
    </row>
    <row r="128">
      <c r="A128" s="28" t="n">
        <v>19904</v>
      </c>
      <c r="B128" t="n">
        <v/>
      </c>
      <c r="C128" t="n">
        <v>0.64</v>
      </c>
    </row>
    <row r="129">
      <c r="A129" s="28" t="n">
        <v>19905</v>
      </c>
      <c r="B129" t="n">
        <v/>
      </c>
      <c r="C129" t="n">
        <v>0.64</v>
      </c>
    </row>
    <row r="130">
      <c r="A130" s="28" t="n">
        <v>19906</v>
      </c>
      <c r="B130" t="n">
        <v/>
      </c>
      <c r="C130" t="n">
        <v>0.65</v>
      </c>
    </row>
    <row r="131">
      <c r="A131" s="28" t="n">
        <v>19907</v>
      </c>
      <c r="B131" t="n">
        <v/>
      </c>
      <c r="C131" t="n">
        <v>0.66</v>
      </c>
    </row>
    <row r="132">
      <c r="A132" s="28" t="n">
        <v>19910</v>
      </c>
      <c r="B132" t="n">
        <v/>
      </c>
      <c r="C132" t="n">
        <v>0</v>
      </c>
    </row>
    <row r="133">
      <c r="A133" s="28" t="n">
        <v>19911</v>
      </c>
      <c r="B133" t="n">
        <v/>
      </c>
      <c r="C133" t="n">
        <v>0.66</v>
      </c>
    </row>
    <row r="134">
      <c r="A134" s="28" t="n">
        <v>19912</v>
      </c>
      <c r="B134" t="n">
        <v/>
      </c>
      <c r="C134" t="n">
        <v>0.65</v>
      </c>
    </row>
    <row r="135">
      <c r="A135" s="28" t="n">
        <v>19913</v>
      </c>
      <c r="B135" t="n">
        <v/>
      </c>
      <c r="C135" t="n">
        <v>0.65</v>
      </c>
    </row>
    <row r="136">
      <c r="A136" s="28" t="n">
        <v>19914</v>
      </c>
      <c r="B136" t="n">
        <v/>
      </c>
      <c r="C136" t="n">
        <v>0.67</v>
      </c>
    </row>
    <row r="137">
      <c r="A137" s="28" t="n">
        <v>19917</v>
      </c>
      <c r="B137" t="n">
        <v/>
      </c>
      <c r="C137" t="n">
        <v>0.6899999999999999</v>
      </c>
    </row>
    <row r="138">
      <c r="A138" s="28" t="n">
        <v>19918</v>
      </c>
      <c r="B138" t="n">
        <v/>
      </c>
      <c r="C138" t="n">
        <v>0.7</v>
      </c>
    </row>
    <row r="139">
      <c r="A139" s="28" t="n">
        <v>19919</v>
      </c>
      <c r="B139" t="n">
        <v/>
      </c>
      <c r="C139" t="n">
        <v>0.73</v>
      </c>
    </row>
    <row r="140">
      <c r="A140" s="28" t="n">
        <v>19920</v>
      </c>
      <c r="B140" t="n">
        <v/>
      </c>
      <c r="C140" t="n">
        <v>0.75</v>
      </c>
    </row>
    <row r="141">
      <c r="A141" s="28" t="n">
        <v>19921</v>
      </c>
      <c r="B141" t="n">
        <v/>
      </c>
      <c r="C141" t="n">
        <v>0.73</v>
      </c>
    </row>
    <row r="142">
      <c r="A142" s="28" t="n">
        <v>19924</v>
      </c>
      <c r="B142" t="n">
        <v/>
      </c>
      <c r="C142" t="n">
        <v>0.73</v>
      </c>
    </row>
    <row r="143">
      <c r="A143" s="28" t="n">
        <v>19925</v>
      </c>
      <c r="B143" t="n">
        <v/>
      </c>
      <c r="C143" t="n">
        <v>0.72</v>
      </c>
    </row>
    <row r="144">
      <c r="A144" s="28" t="n">
        <v>19926</v>
      </c>
      <c r="B144" t="n">
        <v/>
      </c>
      <c r="C144" t="n">
        <v>0.74</v>
      </c>
    </row>
    <row r="145">
      <c r="A145" s="28" t="n">
        <v>19927</v>
      </c>
      <c r="B145" t="n">
        <v/>
      </c>
      <c r="C145" t="n">
        <v>0.75</v>
      </c>
    </row>
    <row r="146">
      <c r="A146" s="28" t="n">
        <v>19928</v>
      </c>
      <c r="B146" t="n">
        <v/>
      </c>
      <c r="C146" t="n">
        <v>0.77</v>
      </c>
    </row>
    <row r="147">
      <c r="A147" s="28" t="n">
        <v>19931</v>
      </c>
      <c r="B147" t="n">
        <v/>
      </c>
      <c r="C147" t="n">
        <v>0.78</v>
      </c>
    </row>
    <row r="148">
      <c r="A148" s="28" t="n">
        <v>19932</v>
      </c>
      <c r="B148" t="n">
        <v/>
      </c>
      <c r="C148" t="n">
        <v>0.77</v>
      </c>
    </row>
    <row r="149">
      <c r="A149" s="28" t="n">
        <v>19933</v>
      </c>
      <c r="B149" t="n">
        <v/>
      </c>
      <c r="C149" t="n">
        <v>0.79</v>
      </c>
    </row>
    <row r="150">
      <c r="A150" s="28" t="n">
        <v>19934</v>
      </c>
      <c r="B150" t="n">
        <v/>
      </c>
      <c r="C150" t="n">
        <v>0.79</v>
      </c>
    </row>
    <row r="151">
      <c r="A151" s="28" t="n">
        <v>19935</v>
      </c>
      <c r="B151" t="n">
        <v/>
      </c>
      <c r="C151" t="n">
        <v>0.79</v>
      </c>
    </row>
    <row r="152">
      <c r="A152" s="28" t="n">
        <v>19938</v>
      </c>
      <c r="B152" t="n">
        <v/>
      </c>
      <c r="C152" t="n">
        <v>0.78</v>
      </c>
    </row>
    <row r="153">
      <c r="A153" s="28" t="n">
        <v>19939</v>
      </c>
      <c r="B153" t="n">
        <v/>
      </c>
      <c r="C153" t="n">
        <v>0.77</v>
      </c>
    </row>
    <row r="154">
      <c r="A154" s="28" t="n">
        <v>19940</v>
      </c>
      <c r="B154" t="n">
        <v/>
      </c>
      <c r="C154" t="n">
        <v>0.79</v>
      </c>
    </row>
    <row r="155">
      <c r="A155" s="28" t="n">
        <v>19941</v>
      </c>
      <c r="B155" t="n">
        <v/>
      </c>
      <c r="C155" t="n">
        <v>0.8</v>
      </c>
    </row>
    <row r="156">
      <c r="A156" s="28" t="n">
        <v>19942</v>
      </c>
      <c r="B156" t="n">
        <v/>
      </c>
      <c r="C156" t="n">
        <v>0.83</v>
      </c>
    </row>
    <row r="157">
      <c r="A157" s="28" t="n">
        <v>19945</v>
      </c>
      <c r="B157" t="n">
        <v/>
      </c>
      <c r="C157" t="n">
        <v>0.9</v>
      </c>
    </row>
    <row r="158">
      <c r="A158" s="28" t="n">
        <v>19946</v>
      </c>
      <c r="B158" t="n">
        <v/>
      </c>
      <c r="C158" t="n">
        <v>0.88</v>
      </c>
    </row>
    <row r="159">
      <c r="A159" s="28" t="n">
        <v>19947</v>
      </c>
      <c r="B159" t="n">
        <v/>
      </c>
      <c r="C159" t="n">
        <v>0.93</v>
      </c>
    </row>
    <row r="160">
      <c r="A160" s="28" t="n">
        <v>19948</v>
      </c>
      <c r="B160" t="n">
        <v/>
      </c>
      <c r="C160" t="n">
        <v>0.93</v>
      </c>
    </row>
    <row r="161">
      <c r="A161" s="28" t="n">
        <v>19949</v>
      </c>
      <c r="B161" t="n">
        <v/>
      </c>
      <c r="C161" t="n">
        <v>0.93</v>
      </c>
    </row>
    <row r="162">
      <c r="A162" s="28" t="n">
        <v>19952</v>
      </c>
      <c r="B162" t="n">
        <v/>
      </c>
      <c r="C162" t="n">
        <v>0.91</v>
      </c>
    </row>
    <row r="163">
      <c r="A163" s="28" t="n">
        <v>19953</v>
      </c>
      <c r="B163" t="n">
        <v/>
      </c>
      <c r="C163" t="n">
        <v>0.91</v>
      </c>
    </row>
    <row r="164">
      <c r="A164" s="28" t="n">
        <v>19954</v>
      </c>
      <c r="B164" t="n">
        <v/>
      </c>
      <c r="C164" t="n">
        <v>0.92</v>
      </c>
    </row>
    <row r="165">
      <c r="A165" s="28" t="n">
        <v>19955</v>
      </c>
      <c r="B165" t="n">
        <v/>
      </c>
      <c r="C165" t="n">
        <v>0.93</v>
      </c>
    </row>
    <row r="166">
      <c r="A166" s="28" t="n">
        <v>19956</v>
      </c>
      <c r="B166" t="n">
        <v/>
      </c>
      <c r="C166" t="n">
        <v>0.9399999999999999</v>
      </c>
    </row>
    <row r="167">
      <c r="A167" s="28" t="n">
        <v>19959</v>
      </c>
      <c r="B167" t="n">
        <v/>
      </c>
      <c r="C167" t="n">
        <v>1</v>
      </c>
    </row>
    <row r="168">
      <c r="A168" s="28" t="n">
        <v>19960</v>
      </c>
      <c r="B168" t="n">
        <v/>
      </c>
      <c r="C168" t="n">
        <v>1</v>
      </c>
    </row>
    <row r="169">
      <c r="A169" s="28" t="n">
        <v>19961</v>
      </c>
      <c r="B169" t="n">
        <v/>
      </c>
      <c r="C169" t="n">
        <v>0.98</v>
      </c>
    </row>
    <row r="170">
      <c r="A170" s="28" t="n">
        <v>19962</v>
      </c>
      <c r="B170" t="n">
        <v/>
      </c>
      <c r="C170" t="n">
        <v>0.99</v>
      </c>
    </row>
    <row r="171">
      <c r="A171" s="28" t="n">
        <v>19963</v>
      </c>
      <c r="B171" t="n">
        <v/>
      </c>
      <c r="C171" t="n">
        <v>1</v>
      </c>
    </row>
    <row r="172">
      <c r="A172" s="28" t="n">
        <v>19966</v>
      </c>
      <c r="B172" t="n">
        <v/>
      </c>
      <c r="C172" t="n">
        <v>1.04</v>
      </c>
    </row>
    <row r="173">
      <c r="A173" s="28" t="n">
        <v>19967</v>
      </c>
      <c r="B173" t="n">
        <v/>
      </c>
      <c r="C173" t="n">
        <v>1.05</v>
      </c>
    </row>
    <row r="174">
      <c r="A174" s="28" t="n">
        <v>19968</v>
      </c>
      <c r="B174" t="n">
        <v/>
      </c>
      <c r="C174" t="n">
        <v>1.03</v>
      </c>
    </row>
    <row r="175">
      <c r="A175" s="28" t="n">
        <v>19969</v>
      </c>
      <c r="B175" t="n">
        <v/>
      </c>
      <c r="C175" t="n">
        <v>1.02</v>
      </c>
    </row>
    <row r="176">
      <c r="A176" s="28" t="n">
        <v>19970</v>
      </c>
      <c r="B176" t="n">
        <v/>
      </c>
      <c r="C176" t="n">
        <v>1.02</v>
      </c>
    </row>
    <row r="177">
      <c r="A177" s="28" t="n">
        <v>19973</v>
      </c>
      <c r="B177" t="n">
        <v/>
      </c>
      <c r="C177" t="n">
        <v>0</v>
      </c>
    </row>
    <row r="178">
      <c r="A178" s="28" t="n">
        <v>19974</v>
      </c>
      <c r="B178" t="n">
        <v/>
      </c>
      <c r="C178" t="n">
        <v>1.03</v>
      </c>
    </row>
    <row r="179">
      <c r="A179" s="28" t="n">
        <v>19975</v>
      </c>
      <c r="B179" t="n">
        <v/>
      </c>
      <c r="C179" t="n">
        <v>1.02</v>
      </c>
    </row>
    <row r="180">
      <c r="A180" s="28" t="n">
        <v>19976</v>
      </c>
      <c r="B180" t="n">
        <v/>
      </c>
      <c r="C180" t="n">
        <v>1.02</v>
      </c>
    </row>
    <row r="181">
      <c r="A181" s="28" t="n">
        <v>19977</v>
      </c>
      <c r="B181" t="n">
        <v/>
      </c>
      <c r="C181" t="n">
        <v>1.02</v>
      </c>
    </row>
    <row r="182">
      <c r="A182" s="28" t="n">
        <v>19980</v>
      </c>
      <c r="B182" t="n">
        <v/>
      </c>
      <c r="C182" t="n">
        <v>1.03</v>
      </c>
    </row>
    <row r="183">
      <c r="A183" s="28" t="n">
        <v>19981</v>
      </c>
      <c r="B183" t="n">
        <v/>
      </c>
      <c r="C183" t="n">
        <v>1.04</v>
      </c>
    </row>
    <row r="184">
      <c r="A184" s="28" t="n">
        <v>19982</v>
      </c>
      <c r="B184" t="n">
        <v/>
      </c>
      <c r="C184" t="n">
        <v>1.02</v>
      </c>
    </row>
    <row r="185">
      <c r="A185" s="28" t="n">
        <v>19983</v>
      </c>
      <c r="B185" t="n">
        <v/>
      </c>
      <c r="C185" t="n">
        <v>1</v>
      </c>
    </row>
    <row r="186">
      <c r="A186" s="28" t="n">
        <v>19984</v>
      </c>
      <c r="B186" t="n">
        <v/>
      </c>
      <c r="C186" t="n">
        <v>1</v>
      </c>
    </row>
    <row r="187">
      <c r="A187" s="28" t="n">
        <v>19987</v>
      </c>
      <c r="B187" t="n">
        <v/>
      </c>
      <c r="C187" t="n">
        <v>0.98</v>
      </c>
    </row>
    <row r="188">
      <c r="A188" s="28" t="n">
        <v>19988</v>
      </c>
      <c r="B188" t="n">
        <v/>
      </c>
      <c r="C188" t="n">
        <v>0.98</v>
      </c>
    </row>
    <row r="189">
      <c r="A189" s="28" t="n">
        <v>19989</v>
      </c>
      <c r="B189" t="n">
        <v/>
      </c>
      <c r="C189" t="n">
        <v>0.99</v>
      </c>
    </row>
    <row r="190">
      <c r="A190" s="28" t="n">
        <v>19990</v>
      </c>
      <c r="B190" t="n">
        <v/>
      </c>
      <c r="C190" t="n">
        <v>0.99</v>
      </c>
    </row>
    <row r="191">
      <c r="A191" s="28" t="n">
        <v>19991</v>
      </c>
      <c r="B191" t="n">
        <v/>
      </c>
      <c r="C191" t="n">
        <v>0.99</v>
      </c>
    </row>
    <row r="192">
      <c r="A192" s="28" t="n">
        <v>19994</v>
      </c>
      <c r="B192" t="n">
        <v/>
      </c>
      <c r="C192" t="n">
        <v>1</v>
      </c>
    </row>
    <row r="193">
      <c r="A193" s="28" t="n">
        <v>19995</v>
      </c>
      <c r="B193" t="n">
        <v/>
      </c>
      <c r="C193" t="n">
        <v>0.99</v>
      </c>
    </row>
    <row r="194">
      <c r="A194" s="28" t="n">
        <v>19996</v>
      </c>
      <c r="B194" t="n">
        <v/>
      </c>
      <c r="C194" t="n">
        <v>1</v>
      </c>
    </row>
    <row r="195">
      <c r="A195" s="28" t="n">
        <v>19997</v>
      </c>
      <c r="B195" t="n">
        <v/>
      </c>
      <c r="C195" t="n">
        <v>0.99</v>
      </c>
    </row>
    <row r="196">
      <c r="A196" s="28" t="n">
        <v>19998</v>
      </c>
      <c r="B196" t="n">
        <v/>
      </c>
      <c r="C196" t="n">
        <v>0.97</v>
      </c>
    </row>
    <row r="197">
      <c r="A197" s="28" t="n">
        <v>20001</v>
      </c>
      <c r="B197" t="n">
        <v/>
      </c>
      <c r="C197" t="n">
        <v>0.96</v>
      </c>
    </row>
    <row r="198">
      <c r="A198" s="28" t="n">
        <v>20002</v>
      </c>
      <c r="B198" t="n">
        <v/>
      </c>
      <c r="C198" t="n">
        <v>0.9399999999999999</v>
      </c>
    </row>
    <row r="199">
      <c r="A199" s="28" t="n">
        <v>20003</v>
      </c>
      <c r="B199" t="n">
        <v/>
      </c>
      <c r="C199" t="n">
        <v>0.9399999999999999</v>
      </c>
    </row>
    <row r="200">
      <c r="A200" s="28" t="n">
        <v>20004</v>
      </c>
      <c r="B200" t="n">
        <v/>
      </c>
      <c r="C200" t="n">
        <v>0.9399999999999999</v>
      </c>
    </row>
    <row r="201">
      <c r="A201" s="28" t="n">
        <v>20005</v>
      </c>
      <c r="B201" t="n">
        <v/>
      </c>
      <c r="C201" t="n">
        <v>0.9399999999999999</v>
      </c>
    </row>
    <row r="202">
      <c r="A202" s="28" t="n">
        <v>20008</v>
      </c>
      <c r="B202" t="n">
        <v/>
      </c>
      <c r="C202" t="n">
        <v>0.96</v>
      </c>
    </row>
    <row r="203">
      <c r="A203" s="28" t="n">
        <v>20009</v>
      </c>
      <c r="B203" t="n">
        <v/>
      </c>
      <c r="C203" t="n">
        <v>0</v>
      </c>
    </row>
    <row r="204">
      <c r="A204" s="28" t="n">
        <v>20010</v>
      </c>
      <c r="B204" t="n">
        <v/>
      </c>
      <c r="C204" t="n">
        <v>0.98</v>
      </c>
    </row>
    <row r="205">
      <c r="A205" s="28" t="n">
        <v>20011</v>
      </c>
      <c r="B205" t="n">
        <v/>
      </c>
      <c r="C205" t="n">
        <v>0.99</v>
      </c>
    </row>
    <row r="206">
      <c r="A206" s="28" t="n">
        <v>20012</v>
      </c>
      <c r="B206" t="n">
        <v/>
      </c>
      <c r="C206" t="n">
        <v>1</v>
      </c>
    </row>
    <row r="207">
      <c r="A207" s="28" t="n">
        <v>20015</v>
      </c>
      <c r="B207" t="n">
        <v/>
      </c>
      <c r="C207" t="n">
        <v>1</v>
      </c>
    </row>
    <row r="208">
      <c r="A208" s="28" t="n">
        <v>20016</v>
      </c>
      <c r="B208" t="n">
        <v/>
      </c>
      <c r="C208" t="n">
        <v>0.99</v>
      </c>
    </row>
    <row r="209">
      <c r="A209" s="28" t="n">
        <v>20017</v>
      </c>
      <c r="B209" t="n">
        <v/>
      </c>
      <c r="C209" t="n">
        <v>1.01</v>
      </c>
    </row>
    <row r="210">
      <c r="A210" s="28" t="n">
        <v>20018</v>
      </c>
      <c r="B210" t="n">
        <v/>
      </c>
      <c r="C210" t="n">
        <v>1</v>
      </c>
    </row>
    <row r="211">
      <c r="A211" s="28" t="n">
        <v>20019</v>
      </c>
      <c r="B211" t="n">
        <v/>
      </c>
      <c r="C211" t="n">
        <v>1</v>
      </c>
    </row>
    <row r="212">
      <c r="A212" s="28" t="n">
        <v>20022</v>
      </c>
      <c r="B212" t="n">
        <v/>
      </c>
      <c r="C212" t="n">
        <v>1</v>
      </c>
    </row>
    <row r="213">
      <c r="A213" s="28" t="n">
        <v>20023</v>
      </c>
      <c r="B213" t="n">
        <v/>
      </c>
      <c r="C213" t="n">
        <v>1</v>
      </c>
    </row>
    <row r="214">
      <c r="A214" s="28" t="n">
        <v>20024</v>
      </c>
      <c r="B214" t="n">
        <v/>
      </c>
      <c r="C214" t="n">
        <v>1.01</v>
      </c>
    </row>
    <row r="215">
      <c r="A215" s="28" t="n">
        <v>20025</v>
      </c>
      <c r="B215" t="n">
        <v/>
      </c>
      <c r="C215" t="n">
        <v>1.01</v>
      </c>
    </row>
    <row r="216">
      <c r="A216" s="28" t="n">
        <v>20026</v>
      </c>
      <c r="B216" t="n">
        <v/>
      </c>
      <c r="C216" t="n">
        <v>1</v>
      </c>
    </row>
    <row r="217">
      <c r="A217" s="28" t="n">
        <v>20029</v>
      </c>
      <c r="B217" t="n">
        <v/>
      </c>
      <c r="C217" t="n">
        <v>1</v>
      </c>
    </row>
    <row r="218">
      <c r="A218" s="28" t="n">
        <v>20030</v>
      </c>
      <c r="B218" t="n">
        <v/>
      </c>
      <c r="C218" t="n">
        <v>0</v>
      </c>
    </row>
    <row r="219">
      <c r="A219" s="28" t="n">
        <v>20031</v>
      </c>
      <c r="B219" t="n">
        <v/>
      </c>
      <c r="C219" t="n">
        <v>1.01</v>
      </c>
    </row>
    <row r="220">
      <c r="A220" s="28" t="n">
        <v>20032</v>
      </c>
      <c r="B220" t="n">
        <v/>
      </c>
      <c r="C220" t="n">
        <v>1.01</v>
      </c>
    </row>
    <row r="221">
      <c r="A221" s="28" t="n">
        <v>20033</v>
      </c>
      <c r="B221" t="n">
        <v/>
      </c>
      <c r="C221" t="n">
        <v>0.97</v>
      </c>
    </row>
    <row r="222">
      <c r="A222" s="28" t="n">
        <v>20036</v>
      </c>
      <c r="B222" t="n">
        <v/>
      </c>
      <c r="C222" t="n">
        <v>0.9399999999999999</v>
      </c>
    </row>
    <row r="223">
      <c r="A223" s="28" t="n">
        <v>20037</v>
      </c>
      <c r="B223" t="n">
        <v/>
      </c>
      <c r="C223" t="n">
        <v>0.87</v>
      </c>
    </row>
    <row r="224">
      <c r="A224" s="28" t="n">
        <v>20038</v>
      </c>
      <c r="B224" t="n">
        <v/>
      </c>
      <c r="C224" t="n">
        <v>0.88</v>
      </c>
    </row>
    <row r="225">
      <c r="A225" s="28" t="n">
        <v>20039</v>
      </c>
      <c r="B225" t="n">
        <v/>
      </c>
      <c r="C225" t="n">
        <v>0</v>
      </c>
    </row>
    <row r="226">
      <c r="A226" s="28" t="n">
        <v>20040</v>
      </c>
      <c r="B226" t="n">
        <v/>
      </c>
      <c r="C226" t="n">
        <v>0.9</v>
      </c>
    </row>
    <row r="227">
      <c r="A227" s="28" t="n">
        <v>20043</v>
      </c>
      <c r="B227" t="n">
        <v/>
      </c>
      <c r="C227" t="n">
        <v>0.9</v>
      </c>
    </row>
    <row r="228">
      <c r="A228" s="28" t="n">
        <v>20044</v>
      </c>
      <c r="B228" t="n">
        <v/>
      </c>
      <c r="C228" t="n">
        <v>0.89</v>
      </c>
    </row>
    <row r="229">
      <c r="A229" s="28" t="n">
        <v>20045</v>
      </c>
      <c r="B229" t="n">
        <v/>
      </c>
      <c r="C229" t="n">
        <v>0.9</v>
      </c>
    </row>
    <row r="230">
      <c r="A230" s="28" t="n">
        <v>20046</v>
      </c>
      <c r="B230" t="n">
        <v/>
      </c>
      <c r="C230" t="n">
        <v>0.88</v>
      </c>
    </row>
    <row r="231">
      <c r="A231" s="28" t="n">
        <v>20047</v>
      </c>
      <c r="B231" t="n">
        <v/>
      </c>
      <c r="C231" t="n">
        <v>0.87</v>
      </c>
    </row>
    <row r="232">
      <c r="A232" s="28" t="n">
        <v>20050</v>
      </c>
      <c r="B232" t="n">
        <v/>
      </c>
      <c r="C232" t="n">
        <v>0.87</v>
      </c>
    </row>
    <row r="233">
      <c r="A233" s="28" t="n">
        <v>20051</v>
      </c>
      <c r="B233" t="n">
        <v/>
      </c>
      <c r="C233" t="n">
        <v>0.89</v>
      </c>
    </row>
    <row r="234">
      <c r="A234" s="28" t="n">
        <v>20052</v>
      </c>
      <c r="B234" t="n">
        <v/>
      </c>
      <c r="C234" t="n">
        <v>0.93</v>
      </c>
    </row>
    <row r="235">
      <c r="A235" s="28" t="n">
        <v>20053</v>
      </c>
      <c r="B235" t="n">
        <v/>
      </c>
      <c r="C235" t="n">
        <v>0</v>
      </c>
    </row>
    <row r="236">
      <c r="A236" s="28" t="n">
        <v>20054</v>
      </c>
      <c r="B236" t="n">
        <v/>
      </c>
      <c r="C236" t="n">
        <v>0.97</v>
      </c>
    </row>
    <row r="237">
      <c r="A237" s="28" t="n">
        <v>20057</v>
      </c>
      <c r="B237" t="n">
        <v/>
      </c>
      <c r="C237" t="n">
        <v>1</v>
      </c>
    </row>
    <row r="238">
      <c r="A238" s="28" t="n">
        <v>20058</v>
      </c>
      <c r="B238" t="n">
        <v/>
      </c>
      <c r="C238" t="n">
        <v>1.01</v>
      </c>
    </row>
    <row r="239">
      <c r="A239" s="28" t="n">
        <v>20059</v>
      </c>
      <c r="B239" t="n">
        <v/>
      </c>
      <c r="C239" t="n">
        <v>1.03</v>
      </c>
    </row>
    <row r="240">
      <c r="A240" s="28" t="n">
        <v>20060</v>
      </c>
      <c r="B240" t="n">
        <v/>
      </c>
      <c r="C240" t="n">
        <v>1.03</v>
      </c>
    </row>
    <row r="241">
      <c r="A241" s="28" t="n">
        <v>20061</v>
      </c>
      <c r="B241" t="n">
        <v/>
      </c>
      <c r="C241" t="n">
        <v>1.03</v>
      </c>
    </row>
    <row r="242">
      <c r="A242" s="28" t="n">
        <v>20064</v>
      </c>
      <c r="B242" t="n">
        <v/>
      </c>
      <c r="C242" t="n">
        <v>1.05</v>
      </c>
    </row>
    <row r="243">
      <c r="A243" s="28" t="n">
        <v>20065</v>
      </c>
      <c r="B243" t="n">
        <v/>
      </c>
      <c r="C243" t="n">
        <v>1.06</v>
      </c>
    </row>
    <row r="244">
      <c r="A244" s="28" t="n">
        <v>20066</v>
      </c>
      <c r="B244" t="n">
        <v/>
      </c>
      <c r="C244" t="n">
        <v>1.1</v>
      </c>
    </row>
    <row r="245">
      <c r="A245" s="28" t="n">
        <v>20067</v>
      </c>
      <c r="B245" t="n">
        <v/>
      </c>
      <c r="C245" t="n">
        <v>1.11</v>
      </c>
    </row>
    <row r="246">
      <c r="A246" s="28" t="n">
        <v>20068</v>
      </c>
      <c r="B246" t="n">
        <v/>
      </c>
      <c r="C246" t="n">
        <v>1.14</v>
      </c>
    </row>
    <row r="247">
      <c r="A247" s="28" t="n">
        <v>20071</v>
      </c>
      <c r="B247" t="n">
        <v/>
      </c>
      <c r="C247" t="n">
        <v>1.26</v>
      </c>
    </row>
    <row r="248">
      <c r="A248" s="28" t="n">
        <v>20072</v>
      </c>
      <c r="B248" t="n">
        <v/>
      </c>
      <c r="C248" t="n">
        <v>1.28</v>
      </c>
    </row>
    <row r="249">
      <c r="A249" s="28" t="n">
        <v>20073</v>
      </c>
      <c r="B249" t="n">
        <v/>
      </c>
      <c r="C249" t="n">
        <v>1.23</v>
      </c>
    </row>
    <row r="250">
      <c r="A250" s="28" t="n">
        <v>20074</v>
      </c>
      <c r="B250" t="n">
        <v/>
      </c>
      <c r="C250" t="n">
        <v>1.24</v>
      </c>
    </row>
    <row r="251">
      <c r="A251" s="28" t="n">
        <v>20075</v>
      </c>
      <c r="B251" t="n">
        <v/>
      </c>
      <c r="C251" t="n">
        <v>1.25</v>
      </c>
    </row>
    <row r="252">
      <c r="A252" s="28" t="n">
        <v>20078</v>
      </c>
      <c r="B252" t="n">
        <v/>
      </c>
      <c r="C252" t="n">
        <v>1.29</v>
      </c>
    </row>
    <row r="253">
      <c r="A253" s="28" t="n">
        <v>20079</v>
      </c>
      <c r="B253" t="n">
        <v/>
      </c>
      <c r="C253" t="n">
        <v>1.26</v>
      </c>
    </row>
    <row r="254">
      <c r="A254" s="28" t="n">
        <v>20080</v>
      </c>
      <c r="B254" t="n">
        <v/>
      </c>
      <c r="C254" t="n">
        <v>1.22</v>
      </c>
    </row>
    <row r="255">
      <c r="A255" s="28" t="n">
        <v>20081</v>
      </c>
      <c r="B255" t="n">
        <v/>
      </c>
      <c r="C255" t="n">
        <v>1.2</v>
      </c>
    </row>
    <row r="256">
      <c r="A256" s="28" t="n">
        <v>20082</v>
      </c>
      <c r="B256" t="n">
        <v/>
      </c>
      <c r="C256" t="n">
        <v>1.2</v>
      </c>
    </row>
    <row r="257">
      <c r="A257" s="28" t="n">
        <v>20085</v>
      </c>
      <c r="B257" t="n">
        <v/>
      </c>
      <c r="C257" t="n">
        <v>1.15</v>
      </c>
    </row>
    <row r="258">
      <c r="A258" s="28" t="n">
        <v>20086</v>
      </c>
      <c r="B258" t="n">
        <v/>
      </c>
      <c r="C258" t="n">
        <v>1.12</v>
      </c>
    </row>
    <row r="259">
      <c r="A259" s="28" t="n">
        <v>20087</v>
      </c>
      <c r="B259" t="n">
        <v/>
      </c>
      <c r="C259" t="n">
        <v>1.08</v>
      </c>
    </row>
    <row r="260">
      <c r="A260" s="28" t="n">
        <v>20088</v>
      </c>
      <c r="B260" t="n">
        <v/>
      </c>
      <c r="C260" t="n">
        <v>1.03</v>
      </c>
    </row>
    <row r="261">
      <c r="A261" s="28" t="n">
        <v>20089</v>
      </c>
      <c r="B261" t="n">
        <v/>
      </c>
      <c r="C261" t="n">
        <v>1.02</v>
      </c>
    </row>
    <row r="262">
      <c r="A262" s="28" t="n">
        <v>20092</v>
      </c>
      <c r="B262" t="n">
        <v/>
      </c>
      <c r="C262" t="n">
        <v>1.07</v>
      </c>
    </row>
    <row r="263">
      <c r="A263" s="28" t="n">
        <v>20093</v>
      </c>
      <c r="B263" t="n">
        <v/>
      </c>
      <c r="C263" t="n">
        <v>1.07</v>
      </c>
    </row>
    <row r="264">
      <c r="A264" s="28" t="n">
        <v>20094</v>
      </c>
      <c r="B264" t="n">
        <v/>
      </c>
      <c r="C264" t="n">
        <v>1.08</v>
      </c>
    </row>
    <row r="265">
      <c r="A265" s="28" t="n">
        <v>20095</v>
      </c>
      <c r="B265" t="n">
        <v/>
      </c>
      <c r="C265" t="n">
        <v>1.1</v>
      </c>
    </row>
    <row r="266">
      <c r="A266" s="28" t="n">
        <v>20096</v>
      </c>
      <c r="B266" t="n">
        <v/>
      </c>
      <c r="C266" t="n">
        <v>1.11</v>
      </c>
    </row>
    <row r="267">
      <c r="A267" s="28" t="n">
        <v>20099</v>
      </c>
      <c r="B267" t="n">
        <v/>
      </c>
      <c r="C267" t="n">
        <v>1.2</v>
      </c>
    </row>
    <row r="268">
      <c r="A268" s="28" t="n">
        <v>20100</v>
      </c>
      <c r="B268" t="n">
        <v/>
      </c>
      <c r="C268" t="n">
        <v>1.23</v>
      </c>
    </row>
    <row r="269">
      <c r="A269" s="28" t="n">
        <v>20101</v>
      </c>
      <c r="B269" t="n">
        <v/>
      </c>
      <c r="C269" t="n">
        <v>1.28</v>
      </c>
    </row>
    <row r="270">
      <c r="A270" s="28" t="n">
        <v>20102</v>
      </c>
      <c r="B270" t="n">
        <v/>
      </c>
      <c r="C270" t="n">
        <v>1.35</v>
      </c>
    </row>
    <row r="271">
      <c r="A271" s="28" t="n">
        <v>20103</v>
      </c>
      <c r="B271" t="n">
        <v/>
      </c>
      <c r="C271" t="n">
        <v>1.36</v>
      </c>
    </row>
    <row r="272">
      <c r="A272" s="28" t="n">
        <v>20106</v>
      </c>
      <c r="B272" t="n">
        <v/>
      </c>
      <c r="C272" t="n">
        <v>1.36</v>
      </c>
    </row>
    <row r="273">
      <c r="A273" s="28" t="n">
        <v>20107</v>
      </c>
      <c r="B273" t="n">
        <v/>
      </c>
      <c r="C273" t="n">
        <v>1.33</v>
      </c>
    </row>
    <row r="274">
      <c r="A274" s="28" t="n">
        <v>20108</v>
      </c>
      <c r="B274" t="n">
        <v/>
      </c>
      <c r="C274" t="n">
        <v>0</v>
      </c>
    </row>
    <row r="275">
      <c r="A275" s="28" t="n">
        <v>20109</v>
      </c>
      <c r="B275" t="n">
        <v/>
      </c>
      <c r="C275" t="n">
        <v>1.28</v>
      </c>
    </row>
    <row r="276">
      <c r="A276" s="28" t="n">
        <v>20110</v>
      </c>
      <c r="B276" t="n">
        <v/>
      </c>
      <c r="C276" t="n">
        <v>1.29</v>
      </c>
    </row>
    <row r="277">
      <c r="A277" s="28" t="n">
        <v>20113</v>
      </c>
      <c r="B277" t="n">
        <v/>
      </c>
      <c r="C277" t="n">
        <v>1.31</v>
      </c>
    </row>
    <row r="278">
      <c r="A278" s="28" t="n">
        <v>20114</v>
      </c>
      <c r="B278" t="n">
        <v/>
      </c>
      <c r="C278" t="n">
        <v>1.3</v>
      </c>
    </row>
    <row r="279">
      <c r="A279" s="28" t="n">
        <v>20115</v>
      </c>
      <c r="B279" t="n">
        <v/>
      </c>
      <c r="C279" t="n">
        <v>1.26</v>
      </c>
    </row>
    <row r="280">
      <c r="A280" s="28" t="n">
        <v>20116</v>
      </c>
      <c r="B280" t="n">
        <v/>
      </c>
      <c r="C280" t="n">
        <v>1.2</v>
      </c>
    </row>
    <row r="281">
      <c r="A281" s="28" t="n">
        <v>20117</v>
      </c>
      <c r="B281" t="n">
        <v/>
      </c>
      <c r="C281" t="n">
        <v>1.14</v>
      </c>
    </row>
    <row r="282">
      <c r="A282" s="28" t="n">
        <v>20120</v>
      </c>
      <c r="B282" t="n">
        <v/>
      </c>
      <c r="C282" t="n">
        <v>1.12</v>
      </c>
    </row>
    <row r="283">
      <c r="A283" s="28" t="n">
        <v>20121</v>
      </c>
      <c r="B283" t="n">
        <v/>
      </c>
      <c r="C283" t="n">
        <v>1.1</v>
      </c>
    </row>
    <row r="284">
      <c r="A284" s="28" t="n">
        <v>20122</v>
      </c>
      <c r="B284" t="n">
        <v/>
      </c>
      <c r="C284" t="n">
        <v>1.12</v>
      </c>
    </row>
    <row r="285">
      <c r="A285" s="28" t="n">
        <v>20123</v>
      </c>
      <c r="B285" t="n">
        <v/>
      </c>
      <c r="C285" t="n">
        <v>1.13</v>
      </c>
    </row>
    <row r="286">
      <c r="A286" s="28" t="n">
        <v>20124</v>
      </c>
      <c r="B286" t="n">
        <v/>
      </c>
      <c r="C286" t="n">
        <v>1.08</v>
      </c>
    </row>
    <row r="287">
      <c r="A287" s="28" t="n">
        <v>20127</v>
      </c>
      <c r="B287" t="n">
        <v/>
      </c>
      <c r="C287" t="n">
        <v>1.04</v>
      </c>
    </row>
    <row r="288">
      <c r="A288" s="28" t="n">
        <v>20128</v>
      </c>
      <c r="B288" t="n">
        <v/>
      </c>
      <c r="C288" t="n">
        <v>1.03</v>
      </c>
    </row>
    <row r="289">
      <c r="A289" s="28" t="n">
        <v>20129</v>
      </c>
      <c r="B289" t="n">
        <v/>
      </c>
      <c r="C289" t="n">
        <v>1.07</v>
      </c>
    </row>
    <row r="290">
      <c r="A290" s="28" t="n">
        <v>20130</v>
      </c>
      <c r="B290" t="n">
        <v/>
      </c>
      <c r="C290" t="n">
        <v>1.07</v>
      </c>
    </row>
    <row r="291">
      <c r="A291" s="28" t="n">
        <v>20131</v>
      </c>
      <c r="B291" t="n">
        <v/>
      </c>
      <c r="C291" t="n">
        <v>1.06</v>
      </c>
    </row>
    <row r="292">
      <c r="A292" s="28" t="n">
        <v>20134</v>
      </c>
      <c r="B292" t="n">
        <v/>
      </c>
      <c r="C292" t="n">
        <v>1.1</v>
      </c>
    </row>
    <row r="293">
      <c r="A293" s="28" t="n">
        <v>20135</v>
      </c>
      <c r="B293" t="n">
        <v/>
      </c>
      <c r="C293" t="n">
        <v>1.1</v>
      </c>
    </row>
    <row r="294">
      <c r="A294" s="28" t="n">
        <v>20136</v>
      </c>
      <c r="B294" t="n">
        <v/>
      </c>
      <c r="C294" t="n">
        <v>1.17</v>
      </c>
    </row>
    <row r="295">
      <c r="A295" s="28" t="n">
        <v>20137</v>
      </c>
      <c r="B295" t="n">
        <v/>
      </c>
      <c r="C295" t="n">
        <v>1.2</v>
      </c>
    </row>
    <row r="296">
      <c r="A296" s="28" t="n">
        <v>20138</v>
      </c>
      <c r="B296" t="n">
        <v/>
      </c>
      <c r="C296" t="n">
        <v>1.23</v>
      </c>
    </row>
    <row r="297">
      <c r="A297" s="28" t="n">
        <v>20141</v>
      </c>
      <c r="B297" t="n">
        <v/>
      </c>
      <c r="C297" t="n">
        <v>1.3</v>
      </c>
    </row>
    <row r="298">
      <c r="A298" s="28" t="n">
        <v>20142</v>
      </c>
      <c r="B298" t="n">
        <v/>
      </c>
      <c r="C298" t="n">
        <v>0</v>
      </c>
    </row>
    <row r="299">
      <c r="A299" s="28" t="n">
        <v>20143</v>
      </c>
      <c r="B299" t="n">
        <v/>
      </c>
      <c r="C299" t="n">
        <v>1.35</v>
      </c>
    </row>
    <row r="300">
      <c r="A300" s="28" t="n">
        <v>20144</v>
      </c>
      <c r="B300" t="n">
        <v/>
      </c>
      <c r="C300" t="n">
        <v>1.37</v>
      </c>
    </row>
    <row r="301">
      <c r="A301" s="28" t="n">
        <v>20145</v>
      </c>
      <c r="B301" t="n">
        <v/>
      </c>
      <c r="C301" t="n">
        <v>1.37</v>
      </c>
    </row>
    <row r="302">
      <c r="A302" s="28" t="n">
        <v>20148</v>
      </c>
      <c r="B302" t="n">
        <v/>
      </c>
      <c r="C302" t="n">
        <v>1.37</v>
      </c>
    </row>
    <row r="303">
      <c r="A303" s="28" t="n">
        <v>20149</v>
      </c>
      <c r="B303" t="n">
        <v/>
      </c>
      <c r="C303" t="n">
        <v>1.36</v>
      </c>
    </row>
    <row r="304">
      <c r="A304" s="28" t="n">
        <v>20150</v>
      </c>
      <c r="B304" t="n">
        <v/>
      </c>
      <c r="C304" t="n">
        <v>1.33</v>
      </c>
    </row>
    <row r="305">
      <c r="A305" s="28" t="n">
        <v>20151</v>
      </c>
      <c r="B305" t="n">
        <v/>
      </c>
      <c r="C305" t="n">
        <v>1.24</v>
      </c>
    </row>
    <row r="306">
      <c r="A306" s="28" t="n">
        <v>20152</v>
      </c>
      <c r="B306" t="n">
        <v/>
      </c>
      <c r="C306" t="n">
        <v>1.17</v>
      </c>
    </row>
    <row r="307">
      <c r="A307" s="28" t="n">
        <v>20155</v>
      </c>
      <c r="B307" t="n">
        <v/>
      </c>
      <c r="C307" t="n">
        <v>1.2</v>
      </c>
    </row>
    <row r="308">
      <c r="A308" s="28" t="n">
        <v>20156</v>
      </c>
      <c r="B308" t="n">
        <v/>
      </c>
      <c r="C308" t="n">
        <v>1.19</v>
      </c>
    </row>
    <row r="309">
      <c r="A309" s="28" t="n">
        <v>20157</v>
      </c>
      <c r="B309" t="n">
        <v/>
      </c>
      <c r="C309" t="n">
        <v>1.25</v>
      </c>
    </row>
    <row r="310">
      <c r="A310" s="28" t="n">
        <v>20158</v>
      </c>
      <c r="B310" t="n">
        <v/>
      </c>
      <c r="C310" t="n">
        <v>1.27</v>
      </c>
    </row>
    <row r="311">
      <c r="A311" s="28" t="n">
        <v>20159</v>
      </c>
      <c r="B311" t="n">
        <v/>
      </c>
      <c r="C311" t="n">
        <v>1.24</v>
      </c>
    </row>
    <row r="312">
      <c r="A312" s="28" t="n">
        <v>20162</v>
      </c>
      <c r="B312" t="n">
        <v/>
      </c>
      <c r="C312" t="n">
        <v>1.25</v>
      </c>
    </row>
    <row r="313">
      <c r="A313" s="28" t="n">
        <v>20163</v>
      </c>
      <c r="B313" t="n">
        <v/>
      </c>
      <c r="C313" t="n">
        <v>1.23</v>
      </c>
    </row>
    <row r="314">
      <c r="A314" s="28" t="n">
        <v>20164</v>
      </c>
      <c r="B314" t="n">
        <v/>
      </c>
      <c r="C314" t="n">
        <v>1.26</v>
      </c>
    </row>
    <row r="315">
      <c r="A315" s="28" t="n">
        <v>20165</v>
      </c>
      <c r="B315" t="n">
        <v/>
      </c>
      <c r="C315" t="n">
        <v>1.28</v>
      </c>
    </row>
    <row r="316">
      <c r="A316" s="28" t="n">
        <v>20166</v>
      </c>
      <c r="B316" t="n">
        <v/>
      </c>
      <c r="C316" t="n">
        <v>1.3</v>
      </c>
    </row>
    <row r="317">
      <c r="A317" s="28" t="n">
        <v>20169</v>
      </c>
      <c r="B317" t="n">
        <v/>
      </c>
      <c r="C317" t="n">
        <v>1.32</v>
      </c>
    </row>
    <row r="318">
      <c r="A318" s="28" t="n">
        <v>20170</v>
      </c>
      <c r="B318" t="n">
        <v/>
      </c>
      <c r="C318" t="n">
        <v>1.27</v>
      </c>
    </row>
    <row r="319">
      <c r="A319" s="28" t="n">
        <v>20171</v>
      </c>
      <c r="B319" t="n">
        <v/>
      </c>
      <c r="C319" t="n">
        <v>1.31</v>
      </c>
    </row>
    <row r="320">
      <c r="A320" s="28" t="n">
        <v>20172</v>
      </c>
      <c r="B320" t="n">
        <v/>
      </c>
      <c r="C320" t="n">
        <v>1.31</v>
      </c>
    </row>
    <row r="321">
      <c r="A321" s="28" t="n">
        <v>20173</v>
      </c>
      <c r="B321" t="n">
        <v/>
      </c>
      <c r="C321" t="n">
        <v>1.29</v>
      </c>
    </row>
    <row r="322">
      <c r="A322" s="28" t="n">
        <v>20176</v>
      </c>
      <c r="B322" t="n">
        <v/>
      </c>
      <c r="C322" t="n">
        <v>1.32</v>
      </c>
    </row>
    <row r="323">
      <c r="A323" s="28" t="n">
        <v>20177</v>
      </c>
      <c r="B323" t="n">
        <v/>
      </c>
      <c r="C323" t="n">
        <v>1.33</v>
      </c>
    </row>
    <row r="324">
      <c r="A324" s="28" t="n">
        <v>20178</v>
      </c>
      <c r="B324" t="n">
        <v/>
      </c>
      <c r="C324" t="n">
        <v>1.4</v>
      </c>
    </row>
    <row r="325">
      <c r="A325" s="28" t="n">
        <v>20179</v>
      </c>
      <c r="B325" t="n">
        <v/>
      </c>
      <c r="C325" t="n">
        <v>1.41</v>
      </c>
    </row>
    <row r="326">
      <c r="A326" s="28" t="n">
        <v>20180</v>
      </c>
      <c r="B326" t="n">
        <v/>
      </c>
      <c r="C326" t="n">
        <v>1.4</v>
      </c>
    </row>
    <row r="327">
      <c r="A327" s="28" t="n">
        <v>20183</v>
      </c>
      <c r="B327" t="n">
        <v/>
      </c>
      <c r="C327" t="n">
        <v>1.43</v>
      </c>
    </row>
    <row r="328">
      <c r="A328" s="28" t="n">
        <v>20184</v>
      </c>
      <c r="B328" t="n">
        <v/>
      </c>
      <c r="C328" t="n">
        <v>1.46</v>
      </c>
    </row>
    <row r="329">
      <c r="A329" s="28" t="n">
        <v>20185</v>
      </c>
      <c r="B329" t="n">
        <v/>
      </c>
      <c r="C329" t="n">
        <v>1.52</v>
      </c>
    </row>
    <row r="330">
      <c r="A330" s="28" t="n">
        <v>20186</v>
      </c>
      <c r="B330" t="n">
        <v/>
      </c>
      <c r="C330" t="n">
        <v>1.55</v>
      </c>
    </row>
    <row r="331">
      <c r="A331" s="28" t="n">
        <v>20187</v>
      </c>
      <c r="B331" t="n">
        <v/>
      </c>
      <c r="C331" t="n">
        <v>1.55</v>
      </c>
    </row>
    <row r="332">
      <c r="A332" s="28" t="n">
        <v>20190</v>
      </c>
      <c r="B332" t="n">
        <v/>
      </c>
      <c r="C332" t="n">
        <v>1.63</v>
      </c>
    </row>
    <row r="333">
      <c r="A333" s="28" t="n">
        <v>20191</v>
      </c>
      <c r="B333" t="n">
        <v/>
      </c>
      <c r="C333" t="n">
        <v>1.62</v>
      </c>
    </row>
    <row r="334">
      <c r="A334" s="28" t="n">
        <v>20192</v>
      </c>
      <c r="B334" t="n">
        <v/>
      </c>
      <c r="C334" t="n">
        <v>1.65</v>
      </c>
    </row>
    <row r="335">
      <c r="A335" s="28" t="n">
        <v>20193</v>
      </c>
      <c r="B335" t="n">
        <v/>
      </c>
      <c r="C335" t="n">
        <v>1.62</v>
      </c>
    </row>
    <row r="336">
      <c r="A336" s="28" t="n">
        <v>20194</v>
      </c>
      <c r="B336" t="n">
        <v/>
      </c>
      <c r="C336" t="n">
        <v>1.62</v>
      </c>
    </row>
    <row r="337">
      <c r="A337" s="28" t="n">
        <v>20197</v>
      </c>
      <c r="B337" t="n">
        <v/>
      </c>
      <c r="C337" t="n">
        <v>1.64</v>
      </c>
    </row>
    <row r="338">
      <c r="A338" s="28" t="n">
        <v>20198</v>
      </c>
      <c r="B338" t="n">
        <v/>
      </c>
      <c r="C338" t="n">
        <v>1.64</v>
      </c>
    </row>
    <row r="339">
      <c r="A339" s="28" t="n">
        <v>20199</v>
      </c>
      <c r="B339" t="n">
        <v/>
      </c>
      <c r="C339" t="n">
        <v>1.65</v>
      </c>
    </row>
    <row r="340">
      <c r="A340" s="28" t="n">
        <v>20200</v>
      </c>
      <c r="B340" t="n">
        <v/>
      </c>
      <c r="C340" t="n">
        <v>1.65</v>
      </c>
    </row>
    <row r="341">
      <c r="A341" s="28" t="n">
        <v>20201</v>
      </c>
      <c r="B341" t="n">
        <v/>
      </c>
      <c r="C341" t="n">
        <v>1.65</v>
      </c>
    </row>
    <row r="342">
      <c r="A342" s="28" t="n">
        <v>20204</v>
      </c>
      <c r="B342" t="n">
        <v/>
      </c>
      <c r="C342" t="n">
        <v>1.66</v>
      </c>
    </row>
    <row r="343">
      <c r="A343" s="28" t="n">
        <v>20205</v>
      </c>
      <c r="B343" t="n">
        <v/>
      </c>
      <c r="C343" t="n">
        <v>1.62</v>
      </c>
    </row>
    <row r="344">
      <c r="A344" s="28" t="n">
        <v>20206</v>
      </c>
      <c r="B344" t="n">
        <v/>
      </c>
      <c r="C344" t="n">
        <v>1.62</v>
      </c>
    </row>
    <row r="345">
      <c r="A345" s="28" t="n">
        <v>20207</v>
      </c>
      <c r="B345" t="n">
        <v/>
      </c>
      <c r="C345" t="n">
        <v>1.63</v>
      </c>
    </row>
    <row r="346">
      <c r="A346" s="28" t="n">
        <v>20208</v>
      </c>
      <c r="B346" t="n">
        <v/>
      </c>
      <c r="C346" t="n">
        <v>1.59</v>
      </c>
    </row>
    <row r="347">
      <c r="A347" s="28" t="n">
        <v>20211</v>
      </c>
      <c r="B347" t="n">
        <v/>
      </c>
      <c r="C347" t="n">
        <v>1.61</v>
      </c>
    </row>
    <row r="348">
      <c r="A348" s="28" t="n">
        <v>20212</v>
      </c>
      <c r="B348" t="n">
        <v/>
      </c>
      <c r="C348" t="n">
        <v>1.59</v>
      </c>
    </row>
    <row r="349">
      <c r="A349" s="28" t="n">
        <v>20213</v>
      </c>
      <c r="B349" t="n">
        <v/>
      </c>
      <c r="C349" t="n">
        <v>1.54</v>
      </c>
    </row>
    <row r="350">
      <c r="A350" s="28" t="n">
        <v>20214</v>
      </c>
      <c r="B350" t="n">
        <v/>
      </c>
      <c r="C350" t="n">
        <v>1.49</v>
      </c>
    </row>
    <row r="351">
      <c r="A351" s="28" t="n">
        <v>20215</v>
      </c>
      <c r="B351" t="n">
        <v/>
      </c>
      <c r="C351" t="n">
        <v>1.51</v>
      </c>
    </row>
    <row r="352">
      <c r="A352" s="28" t="n">
        <v>20218</v>
      </c>
      <c r="B352" t="n">
        <v/>
      </c>
      <c r="C352" t="n">
        <v>1.44</v>
      </c>
    </row>
    <row r="353">
      <c r="A353" s="28" t="n">
        <v>20219</v>
      </c>
      <c r="B353" t="n">
        <v/>
      </c>
      <c r="C353" t="n">
        <v>1.39</v>
      </c>
    </row>
    <row r="354">
      <c r="A354" s="28" t="n">
        <v>20220</v>
      </c>
      <c r="B354" t="n">
        <v/>
      </c>
      <c r="C354" t="n">
        <v>1.42</v>
      </c>
    </row>
    <row r="355">
      <c r="A355" s="28" t="n">
        <v>20221</v>
      </c>
      <c r="B355" t="n">
        <v/>
      </c>
      <c r="C355" t="n">
        <v>1.44</v>
      </c>
    </row>
    <row r="356">
      <c r="A356" s="28" t="n">
        <v>20222</v>
      </c>
      <c r="B356" t="n">
        <v/>
      </c>
      <c r="C356" t="n">
        <v>1.43</v>
      </c>
    </row>
    <row r="357">
      <c r="A357" s="28" t="n">
        <v>20225</v>
      </c>
      <c r="B357" t="n">
        <v/>
      </c>
      <c r="C357" t="n">
        <v>1.41</v>
      </c>
    </row>
    <row r="358">
      <c r="A358" s="28" t="n">
        <v>20226</v>
      </c>
      <c r="B358" t="n">
        <v/>
      </c>
      <c r="C358" t="n">
        <v>1.39</v>
      </c>
    </row>
    <row r="359">
      <c r="A359" s="28" t="n">
        <v>20227</v>
      </c>
      <c r="B359" t="n">
        <v/>
      </c>
      <c r="C359" t="n">
        <v>1.41</v>
      </c>
    </row>
    <row r="360">
      <c r="A360" s="28" t="n">
        <v>20228</v>
      </c>
      <c r="B360" t="n">
        <v/>
      </c>
      <c r="C360" t="n">
        <v>1.44</v>
      </c>
    </row>
    <row r="361">
      <c r="A361" s="28" t="n">
        <v>20229</v>
      </c>
      <c r="B361" t="n">
        <v/>
      </c>
      <c r="C361" t="n">
        <v>1.42</v>
      </c>
    </row>
    <row r="362">
      <c r="A362" s="28" t="n">
        <v>20232</v>
      </c>
      <c r="B362" t="n">
        <v/>
      </c>
      <c r="C362" t="n">
        <v>1.43</v>
      </c>
    </row>
    <row r="363">
      <c r="A363" s="28" t="n">
        <v>20233</v>
      </c>
      <c r="B363" t="n">
        <v/>
      </c>
      <c r="C363" t="n">
        <v>1.44</v>
      </c>
    </row>
    <row r="364">
      <c r="A364" s="28" t="n">
        <v>20234</v>
      </c>
      <c r="B364" t="n">
        <v/>
      </c>
      <c r="C364" t="n">
        <v>1.47</v>
      </c>
    </row>
    <row r="365">
      <c r="A365" s="28" t="n">
        <v>20235</v>
      </c>
      <c r="B365" t="n">
        <v/>
      </c>
      <c r="C365" t="n">
        <v>1.43</v>
      </c>
    </row>
    <row r="366">
      <c r="A366" s="28" t="n">
        <v>20236</v>
      </c>
      <c r="B366" t="n">
        <v/>
      </c>
      <c r="C366" t="n">
        <v>1.41</v>
      </c>
    </row>
    <row r="367">
      <c r="A367" s="28" t="n">
        <v>20239</v>
      </c>
      <c r="B367" t="n">
        <v/>
      </c>
      <c r="C367" t="n">
        <v>0</v>
      </c>
    </row>
    <row r="368">
      <c r="A368" s="28" t="n">
        <v>20240</v>
      </c>
      <c r="B368" t="n">
        <v/>
      </c>
      <c r="C368" t="n">
        <v>1.39</v>
      </c>
    </row>
    <row r="369">
      <c r="A369" s="28" t="n">
        <v>20241</v>
      </c>
      <c r="B369" t="n">
        <v/>
      </c>
      <c r="C369" t="n">
        <v>1.4</v>
      </c>
    </row>
    <row r="370">
      <c r="A370" s="28" t="n">
        <v>20242</v>
      </c>
      <c r="B370" t="n">
        <v/>
      </c>
      <c r="C370" t="n">
        <v>1.36</v>
      </c>
    </row>
    <row r="371">
      <c r="A371" s="28" t="n">
        <v>20243</v>
      </c>
      <c r="B371" t="n">
        <v/>
      </c>
      <c r="C371" t="n">
        <v>1.32</v>
      </c>
    </row>
    <row r="372">
      <c r="A372" s="28" t="n">
        <v>20246</v>
      </c>
      <c r="B372" t="n">
        <v/>
      </c>
      <c r="C372" t="n">
        <v>1.35</v>
      </c>
    </row>
    <row r="373">
      <c r="A373" s="28" t="n">
        <v>20247</v>
      </c>
      <c r="B373" t="n">
        <v/>
      </c>
      <c r="C373" t="n">
        <v>1.36</v>
      </c>
    </row>
    <row r="374">
      <c r="A374" s="28" t="n">
        <v>20248</v>
      </c>
      <c r="B374" t="n">
        <v/>
      </c>
      <c r="C374" t="n">
        <v>1.43</v>
      </c>
    </row>
    <row r="375">
      <c r="A375" s="28" t="n">
        <v>20249</v>
      </c>
      <c r="B375" t="n">
        <v/>
      </c>
      <c r="C375" t="n">
        <v>1.44</v>
      </c>
    </row>
    <row r="376">
      <c r="A376" s="28" t="n">
        <v>20250</v>
      </c>
      <c r="B376" t="n">
        <v/>
      </c>
      <c r="C376" t="n">
        <v>1.47</v>
      </c>
    </row>
    <row r="377">
      <c r="A377" s="28" t="n">
        <v>20253</v>
      </c>
      <c r="B377" t="n">
        <v/>
      </c>
      <c r="C377" t="n">
        <v>1.47</v>
      </c>
    </row>
    <row r="378">
      <c r="A378" s="28" t="n">
        <v>20254</v>
      </c>
      <c r="B378" t="n">
        <v/>
      </c>
      <c r="C378" t="n">
        <v>1.44</v>
      </c>
    </row>
    <row r="379">
      <c r="A379" s="28" t="n">
        <v>20255</v>
      </c>
      <c r="B379" t="n">
        <v/>
      </c>
      <c r="C379" t="n">
        <v>1.49</v>
      </c>
    </row>
    <row r="380">
      <c r="A380" s="28" t="n">
        <v>20256</v>
      </c>
      <c r="B380" t="n">
        <v/>
      </c>
      <c r="C380" t="n">
        <v>1.5</v>
      </c>
    </row>
    <row r="381">
      <c r="A381" s="28" t="n">
        <v>20257</v>
      </c>
      <c r="B381" t="n">
        <v/>
      </c>
      <c r="C381" t="n">
        <v>1.45</v>
      </c>
    </row>
    <row r="382">
      <c r="A382" s="28" t="n">
        <v>20260</v>
      </c>
      <c r="B382" t="n">
        <v/>
      </c>
      <c r="C382" t="n">
        <v>1.41</v>
      </c>
    </row>
    <row r="383">
      <c r="A383" s="28" t="n">
        <v>20261</v>
      </c>
      <c r="B383" t="n">
        <v/>
      </c>
      <c r="C383" t="n">
        <v>1.36</v>
      </c>
    </row>
    <row r="384">
      <c r="A384" s="28" t="n">
        <v>20262</v>
      </c>
      <c r="B384" t="n">
        <v/>
      </c>
      <c r="C384" t="n">
        <v>1.37</v>
      </c>
    </row>
    <row r="385">
      <c r="A385" s="28" t="n">
        <v>20263</v>
      </c>
      <c r="B385" t="n">
        <v/>
      </c>
      <c r="C385" t="n">
        <v>1.37</v>
      </c>
    </row>
    <row r="386">
      <c r="A386" s="28" t="n">
        <v>20264</v>
      </c>
      <c r="B386" t="n">
        <v/>
      </c>
      <c r="C386" t="n">
        <v>1.33</v>
      </c>
    </row>
    <row r="387">
      <c r="A387" s="28" t="n">
        <v>20267</v>
      </c>
      <c r="B387" t="n">
        <v/>
      </c>
      <c r="C387" t="n">
        <v>1.37</v>
      </c>
    </row>
    <row r="388">
      <c r="A388" s="28" t="n">
        <v>20268</v>
      </c>
      <c r="B388" t="n">
        <v/>
      </c>
      <c r="C388" t="n">
        <v>1.4</v>
      </c>
    </row>
    <row r="389">
      <c r="A389" s="28" t="n">
        <v>20269</v>
      </c>
      <c r="B389" t="n">
        <v/>
      </c>
      <c r="C389" t="n">
        <v>1.45</v>
      </c>
    </row>
    <row r="390">
      <c r="A390" s="28" t="n">
        <v>20270</v>
      </c>
      <c r="B390" t="n">
        <v/>
      </c>
      <c r="C390" t="n">
        <v>1.47</v>
      </c>
    </row>
    <row r="391">
      <c r="A391" s="28" t="n">
        <v>20271</v>
      </c>
      <c r="B391" t="n">
        <v/>
      </c>
      <c r="C391" t="n">
        <v>1.46</v>
      </c>
    </row>
    <row r="392">
      <c r="A392" s="28" t="n">
        <v>20274</v>
      </c>
      <c r="B392" t="n">
        <v/>
      </c>
      <c r="C392" t="n">
        <v>0</v>
      </c>
    </row>
    <row r="393">
      <c r="A393" s="28" t="n">
        <v>20275</v>
      </c>
      <c r="B393" t="n">
        <v/>
      </c>
      <c r="C393" t="n">
        <v>1.48</v>
      </c>
    </row>
    <row r="394">
      <c r="A394" s="28" t="n">
        <v>20276</v>
      </c>
      <c r="B394" t="n">
        <v/>
      </c>
      <c r="C394" t="n">
        <v>1.53</v>
      </c>
    </row>
    <row r="395">
      <c r="A395" s="28" t="n">
        <v>20277</v>
      </c>
      <c r="B395" t="n">
        <v/>
      </c>
      <c r="C395" t="n">
        <v>1.52</v>
      </c>
    </row>
    <row r="396">
      <c r="A396" s="28" t="n">
        <v>20278</v>
      </c>
      <c r="B396" t="n">
        <v/>
      </c>
      <c r="C396" t="n">
        <v>1.51</v>
      </c>
    </row>
    <row r="397">
      <c r="A397" s="28" t="n">
        <v>20281</v>
      </c>
      <c r="B397" t="n">
        <v/>
      </c>
      <c r="C397" t="n">
        <v>1.55</v>
      </c>
    </row>
    <row r="398">
      <c r="A398" s="28" t="n">
        <v>20282</v>
      </c>
      <c r="B398" t="n">
        <v/>
      </c>
      <c r="C398" t="n">
        <v>1.55</v>
      </c>
    </row>
    <row r="399">
      <c r="A399" s="28" t="n">
        <v>20283</v>
      </c>
      <c r="B399" t="n">
        <v/>
      </c>
      <c r="C399" t="n">
        <v>1.6</v>
      </c>
    </row>
    <row r="400">
      <c r="A400" s="28" t="n">
        <v>20284</v>
      </c>
      <c r="B400" t="n">
        <v/>
      </c>
      <c r="C400" t="n">
        <v>1.57</v>
      </c>
    </row>
    <row r="401">
      <c r="A401" s="28" t="n">
        <v>20285</v>
      </c>
      <c r="B401" t="n">
        <v/>
      </c>
      <c r="C401" t="n">
        <v>1.57</v>
      </c>
    </row>
    <row r="402">
      <c r="A402" s="28" t="n">
        <v>20288</v>
      </c>
      <c r="B402" t="n">
        <v/>
      </c>
      <c r="C402" t="n">
        <v>1.55</v>
      </c>
    </row>
    <row r="403">
      <c r="A403" s="28" t="n">
        <v>20289</v>
      </c>
      <c r="B403" t="n">
        <v/>
      </c>
      <c r="C403" t="n">
        <v>1.55</v>
      </c>
    </row>
    <row r="404">
      <c r="A404" s="28" t="n">
        <v>20290</v>
      </c>
      <c r="B404" t="n">
        <v/>
      </c>
      <c r="C404" t="n">
        <v>1.64</v>
      </c>
    </row>
    <row r="405">
      <c r="A405" s="28" t="n">
        <v>20291</v>
      </c>
      <c r="B405" t="n">
        <v/>
      </c>
      <c r="C405" t="n">
        <v>1.66</v>
      </c>
    </row>
    <row r="406">
      <c r="A406" s="28" t="n">
        <v>20292</v>
      </c>
      <c r="B406" t="n">
        <v/>
      </c>
      <c r="C406" t="n">
        <v>1.66</v>
      </c>
    </row>
    <row r="407">
      <c r="A407" s="28" t="n">
        <v>20295</v>
      </c>
      <c r="B407" t="n">
        <v/>
      </c>
      <c r="C407" t="n">
        <v>1.68</v>
      </c>
    </row>
    <row r="408">
      <c r="A408" s="28" t="n">
        <v>20296</v>
      </c>
      <c r="B408" t="n">
        <v/>
      </c>
      <c r="C408" t="n">
        <v>1.68</v>
      </c>
    </row>
    <row r="409">
      <c r="A409" s="28" t="n">
        <v>20297</v>
      </c>
      <c r="B409" t="n">
        <v/>
      </c>
      <c r="C409" t="n">
        <v>1.72</v>
      </c>
    </row>
    <row r="410">
      <c r="A410" s="28" t="n">
        <v>20298</v>
      </c>
      <c r="B410" t="n">
        <v/>
      </c>
      <c r="C410" t="n">
        <v>1.73</v>
      </c>
    </row>
    <row r="411">
      <c r="A411" s="28" t="n">
        <v>20299</v>
      </c>
      <c r="B411" t="n">
        <v/>
      </c>
      <c r="C411" t="n">
        <v>1.75</v>
      </c>
    </row>
    <row r="412">
      <c r="A412" s="28" t="n">
        <v>20302</v>
      </c>
      <c r="B412" t="n">
        <v/>
      </c>
      <c r="C412" t="n">
        <v>1.83</v>
      </c>
    </row>
    <row r="413">
      <c r="A413" s="28" t="n">
        <v>20303</v>
      </c>
      <c r="B413" t="n">
        <v/>
      </c>
      <c r="C413" t="n">
        <v>1.86</v>
      </c>
    </row>
    <row r="414">
      <c r="A414" s="28" t="n">
        <v>20304</v>
      </c>
      <c r="B414" t="n">
        <v/>
      </c>
      <c r="C414" t="n">
        <v>1.9</v>
      </c>
    </row>
    <row r="415">
      <c r="A415" s="28" t="n">
        <v>20305</v>
      </c>
      <c r="B415" t="n">
        <v/>
      </c>
      <c r="C415" t="n">
        <v>1.91</v>
      </c>
    </row>
    <row r="416">
      <c r="A416" s="28" t="n">
        <v>20306</v>
      </c>
      <c r="B416" t="n">
        <v/>
      </c>
      <c r="C416" t="n">
        <v>1.89</v>
      </c>
    </row>
    <row r="417">
      <c r="A417" s="28" t="n">
        <v>20309</v>
      </c>
      <c r="B417" t="n">
        <v/>
      </c>
      <c r="C417" t="n">
        <v>1.88</v>
      </c>
    </row>
    <row r="418">
      <c r="A418" s="28" t="n">
        <v>20310</v>
      </c>
      <c r="B418" t="n">
        <v/>
      </c>
      <c r="C418" t="n">
        <v>1.88</v>
      </c>
    </row>
    <row r="419">
      <c r="A419" s="28" t="n">
        <v>20311</v>
      </c>
      <c r="B419" t="n">
        <v/>
      </c>
      <c r="C419" t="n">
        <v>1.89</v>
      </c>
    </row>
    <row r="420">
      <c r="A420" s="28" t="n">
        <v>20312</v>
      </c>
      <c r="B420" t="n">
        <v/>
      </c>
      <c r="C420" t="n">
        <v>1.87</v>
      </c>
    </row>
    <row r="421">
      <c r="A421" s="28" t="n">
        <v>20313</v>
      </c>
      <c r="B421" t="n">
        <v/>
      </c>
      <c r="C421" t="n">
        <v>1.84</v>
      </c>
    </row>
    <row r="422">
      <c r="A422" s="28" t="n">
        <v>20316</v>
      </c>
      <c r="B422" t="n">
        <v/>
      </c>
      <c r="C422" t="n">
        <v>1.86</v>
      </c>
    </row>
    <row r="423">
      <c r="A423" s="28" t="n">
        <v>20317</v>
      </c>
      <c r="B423" t="n">
        <v/>
      </c>
      <c r="C423" t="n">
        <v>1.86</v>
      </c>
    </row>
    <row r="424">
      <c r="A424" s="28" t="n">
        <v>20318</v>
      </c>
      <c r="B424" t="n">
        <v/>
      </c>
      <c r="C424" t="n">
        <v>1.88</v>
      </c>
    </row>
    <row r="425">
      <c r="A425" s="28" t="n">
        <v>20319</v>
      </c>
      <c r="B425" t="n">
        <v/>
      </c>
      <c r="C425" t="n">
        <v>1.82</v>
      </c>
    </row>
    <row r="426">
      <c r="A426" s="28" t="n">
        <v>20320</v>
      </c>
      <c r="B426" t="n">
        <v/>
      </c>
      <c r="C426" t="n">
        <v>1.8</v>
      </c>
    </row>
    <row r="427">
      <c r="A427" s="28" t="n">
        <v>20323</v>
      </c>
      <c r="B427" t="n">
        <v/>
      </c>
      <c r="C427" t="n">
        <v>1.84</v>
      </c>
    </row>
    <row r="428">
      <c r="A428" s="28" t="n">
        <v>20324</v>
      </c>
      <c r="B428" t="n">
        <v/>
      </c>
      <c r="C428" t="n">
        <v>1.86</v>
      </c>
    </row>
    <row r="429">
      <c r="A429" s="28" t="n">
        <v>20325</v>
      </c>
      <c r="B429" t="n">
        <v/>
      </c>
      <c r="C429" t="n">
        <v>1.92</v>
      </c>
    </row>
    <row r="430">
      <c r="A430" s="28" t="n">
        <v>20326</v>
      </c>
      <c r="B430" t="n">
        <v/>
      </c>
      <c r="C430" t="n">
        <v>1.93</v>
      </c>
    </row>
    <row r="431">
      <c r="A431" s="28" t="n">
        <v>20327</v>
      </c>
      <c r="B431" t="n">
        <v/>
      </c>
      <c r="C431" t="n">
        <v>1.95</v>
      </c>
    </row>
    <row r="432">
      <c r="A432" s="28" t="n">
        <v>20330</v>
      </c>
      <c r="B432" t="n">
        <v/>
      </c>
      <c r="C432" t="n">
        <v>2.04</v>
      </c>
    </row>
    <row r="433">
      <c r="A433" s="28" t="n">
        <v>20331</v>
      </c>
      <c r="B433" t="n">
        <v/>
      </c>
      <c r="C433" t="n">
        <v>2.07</v>
      </c>
    </row>
    <row r="434">
      <c r="A434" s="28" t="n">
        <v>20332</v>
      </c>
      <c r="B434" t="n">
        <v/>
      </c>
      <c r="C434" t="n">
        <v>2.09</v>
      </c>
    </row>
    <row r="435">
      <c r="A435" s="28" t="n">
        <v>20333</v>
      </c>
      <c r="B435" t="n">
        <v/>
      </c>
      <c r="C435" t="n">
        <v>2.1</v>
      </c>
    </row>
    <row r="436">
      <c r="A436" s="28" t="n">
        <v>20334</v>
      </c>
      <c r="B436" t="n">
        <v/>
      </c>
      <c r="C436" t="n">
        <v>2.09</v>
      </c>
    </row>
    <row r="437">
      <c r="A437" s="28" t="n">
        <v>20337</v>
      </c>
      <c r="B437" t="n">
        <v/>
      </c>
      <c r="C437" t="n">
        <v>0</v>
      </c>
    </row>
    <row r="438">
      <c r="A438" s="28" t="n">
        <v>20338</v>
      </c>
      <c r="B438" t="n">
        <v/>
      </c>
      <c r="C438" t="n">
        <v>2.09</v>
      </c>
    </row>
    <row r="439">
      <c r="A439" s="28" t="n">
        <v>20339</v>
      </c>
      <c r="B439" t="n">
        <v/>
      </c>
      <c r="C439" t="n">
        <v>2.11</v>
      </c>
    </row>
    <row r="440">
      <c r="A440" s="28" t="n">
        <v>20340</v>
      </c>
      <c r="B440" t="n">
        <v/>
      </c>
      <c r="C440" t="n">
        <v>2.1</v>
      </c>
    </row>
    <row r="441">
      <c r="A441" s="28" t="n">
        <v>20341</v>
      </c>
      <c r="B441" t="n">
        <v/>
      </c>
      <c r="C441" t="n">
        <v>2.11</v>
      </c>
    </row>
    <row r="442">
      <c r="A442" s="28" t="n">
        <v>20344</v>
      </c>
      <c r="B442" t="n">
        <v/>
      </c>
      <c r="C442" t="n">
        <v>2.09</v>
      </c>
    </row>
    <row r="443">
      <c r="A443" s="28" t="n">
        <v>20345</v>
      </c>
      <c r="B443" t="n">
        <v/>
      </c>
      <c r="C443" t="n">
        <v>2.08</v>
      </c>
    </row>
    <row r="444">
      <c r="A444" s="28" t="n">
        <v>20346</v>
      </c>
      <c r="B444" t="n">
        <v/>
      </c>
      <c r="C444" t="n">
        <v>2.06</v>
      </c>
    </row>
    <row r="445">
      <c r="A445" s="28" t="n">
        <v>20347</v>
      </c>
      <c r="B445" t="n">
        <v/>
      </c>
      <c r="C445" t="n">
        <v>2.04</v>
      </c>
    </row>
    <row r="446">
      <c r="A446" s="28" t="n">
        <v>20348</v>
      </c>
      <c r="B446" t="n">
        <v/>
      </c>
      <c r="C446" t="n">
        <v>2.02</v>
      </c>
    </row>
    <row r="447">
      <c r="A447" s="28" t="n">
        <v>20351</v>
      </c>
      <c r="B447" t="n">
        <v/>
      </c>
      <c r="C447" t="n">
        <v>1.98</v>
      </c>
    </row>
    <row r="448">
      <c r="A448" s="28" t="n">
        <v>20352</v>
      </c>
      <c r="B448" t="n">
        <v/>
      </c>
      <c r="C448" t="n">
        <v>1.96</v>
      </c>
    </row>
    <row r="449">
      <c r="A449" s="28" t="n">
        <v>20353</v>
      </c>
      <c r="B449" t="n">
        <v/>
      </c>
      <c r="C449" t="n">
        <v>1.98</v>
      </c>
    </row>
    <row r="450">
      <c r="A450" s="28" t="n">
        <v>20354</v>
      </c>
      <c r="B450" t="n">
        <v/>
      </c>
      <c r="C450" t="n">
        <v>2.01</v>
      </c>
    </row>
    <row r="451">
      <c r="A451" s="28" t="n">
        <v>20355</v>
      </c>
      <c r="B451" t="n">
        <v/>
      </c>
      <c r="C451" t="n">
        <v>2.04</v>
      </c>
    </row>
    <row r="452">
      <c r="A452" s="28" t="n">
        <v>20358</v>
      </c>
      <c r="B452" t="n">
        <v/>
      </c>
      <c r="C452" t="n">
        <v>2.08</v>
      </c>
    </row>
    <row r="453">
      <c r="A453" s="28" t="n">
        <v>20359</v>
      </c>
      <c r="B453" t="n">
        <v/>
      </c>
      <c r="C453" t="n">
        <v>2.08</v>
      </c>
    </row>
    <row r="454">
      <c r="A454" s="28" t="n">
        <v>20360</v>
      </c>
      <c r="B454" t="n">
        <v/>
      </c>
      <c r="C454" t="n">
        <v>2.12</v>
      </c>
    </row>
    <row r="455">
      <c r="A455" s="28" t="n">
        <v>20361</v>
      </c>
      <c r="B455" t="n">
        <v/>
      </c>
      <c r="C455" t="n">
        <v>2.12</v>
      </c>
    </row>
    <row r="456">
      <c r="A456" s="28" t="n">
        <v>20362</v>
      </c>
      <c r="B456" t="n">
        <v/>
      </c>
      <c r="C456" t="n">
        <v>2.15</v>
      </c>
    </row>
    <row r="457">
      <c r="A457" s="28" t="n">
        <v>20365</v>
      </c>
      <c r="B457" t="n">
        <v/>
      </c>
      <c r="C457" t="n">
        <v>2.18</v>
      </c>
    </row>
    <row r="458">
      <c r="A458" s="28" t="n">
        <v>20366</v>
      </c>
      <c r="B458" t="n">
        <v/>
      </c>
      <c r="C458" t="n">
        <v>2.2</v>
      </c>
    </row>
    <row r="459">
      <c r="A459" s="28" t="n">
        <v>20367</v>
      </c>
      <c r="B459" t="n">
        <v/>
      </c>
      <c r="C459" t="n">
        <v>2.23</v>
      </c>
    </row>
    <row r="460">
      <c r="A460" s="28" t="n">
        <v>20368</v>
      </c>
      <c r="B460" t="n">
        <v/>
      </c>
      <c r="C460" t="n">
        <v>2.22</v>
      </c>
    </row>
    <row r="461">
      <c r="A461" s="28" t="n">
        <v>20369</v>
      </c>
      <c r="B461" t="n">
        <v/>
      </c>
      <c r="C461" t="n">
        <v>2.22</v>
      </c>
    </row>
    <row r="462">
      <c r="A462" s="28" t="n">
        <v>20372</v>
      </c>
      <c r="B462" t="n">
        <v/>
      </c>
      <c r="C462" t="n">
        <v>2.23</v>
      </c>
    </row>
    <row r="463">
      <c r="A463" s="28" t="n">
        <v>20373</v>
      </c>
      <c r="B463" t="n">
        <v/>
      </c>
      <c r="C463" t="n">
        <v>2.24</v>
      </c>
    </row>
    <row r="464">
      <c r="A464" s="28" t="n">
        <v>20374</v>
      </c>
      <c r="B464" t="n">
        <v/>
      </c>
      <c r="C464" t="n">
        <v>0</v>
      </c>
    </row>
    <row r="465">
      <c r="A465" s="28" t="n">
        <v>20375</v>
      </c>
      <c r="B465" t="n">
        <v/>
      </c>
      <c r="C465" t="n">
        <v>2.27</v>
      </c>
    </row>
    <row r="466">
      <c r="A466" s="28" t="n">
        <v>20376</v>
      </c>
      <c r="B466" t="n">
        <v/>
      </c>
      <c r="C466" t="n">
        <v>2.3</v>
      </c>
    </row>
    <row r="467">
      <c r="A467" s="28" t="n">
        <v>20379</v>
      </c>
      <c r="B467" t="n">
        <v/>
      </c>
      <c r="C467" t="n">
        <v>2.29</v>
      </c>
    </row>
    <row r="468">
      <c r="A468" s="28" t="n">
        <v>20380</v>
      </c>
      <c r="B468" t="n">
        <v/>
      </c>
      <c r="C468" t="n">
        <v>2.27</v>
      </c>
    </row>
    <row r="469">
      <c r="A469" s="28" t="n">
        <v>20381</v>
      </c>
      <c r="B469" t="n">
        <v/>
      </c>
      <c r="C469" t="n">
        <v>2.27</v>
      </c>
    </row>
    <row r="470">
      <c r="A470" s="28" t="n">
        <v>20382</v>
      </c>
      <c r="B470" t="n">
        <v/>
      </c>
      <c r="C470" t="n">
        <v>2.23</v>
      </c>
    </row>
    <row r="471">
      <c r="A471" s="28" t="n">
        <v>20383</v>
      </c>
      <c r="B471" t="n">
        <v/>
      </c>
      <c r="C471" t="n">
        <v>2.21</v>
      </c>
    </row>
    <row r="472">
      <c r="A472" s="28" t="n">
        <v>20386</v>
      </c>
      <c r="B472" t="n">
        <v/>
      </c>
      <c r="C472" t="n">
        <v>2.21</v>
      </c>
    </row>
    <row r="473">
      <c r="A473" s="28" t="n">
        <v>20387</v>
      </c>
      <c r="B473" t="n">
        <v/>
      </c>
      <c r="C473" t="n">
        <v>2.2</v>
      </c>
    </row>
    <row r="474">
      <c r="A474" s="28" t="n">
        <v>20388</v>
      </c>
      <c r="B474" t="n">
        <v/>
      </c>
      <c r="C474" t="n">
        <v>2.23</v>
      </c>
    </row>
    <row r="475">
      <c r="A475" s="28" t="n">
        <v>20389</v>
      </c>
      <c r="B475" t="n">
        <v/>
      </c>
      <c r="C475" t="n">
        <v>2.22</v>
      </c>
    </row>
    <row r="476">
      <c r="A476" s="28" t="n">
        <v>20390</v>
      </c>
      <c r="B476" t="n">
        <v/>
      </c>
      <c r="C476" t="n">
        <v>2.19</v>
      </c>
    </row>
    <row r="477">
      <c r="A477" s="28" t="n">
        <v>20393</v>
      </c>
      <c r="B477" t="n">
        <v/>
      </c>
      <c r="C477" t="n">
        <v>2.15</v>
      </c>
    </row>
    <row r="478">
      <c r="A478" s="28" t="n">
        <v>20394</v>
      </c>
      <c r="B478" t="n">
        <v/>
      </c>
      <c r="C478" t="n">
        <v>2.1</v>
      </c>
    </row>
    <row r="479">
      <c r="A479" s="28" t="n">
        <v>20395</v>
      </c>
      <c r="B479" t="n">
        <v/>
      </c>
      <c r="C479" t="n">
        <v>2.06</v>
      </c>
    </row>
    <row r="480">
      <c r="A480" s="28" t="n">
        <v>20396</v>
      </c>
      <c r="B480" t="n">
        <v/>
      </c>
      <c r="C480" t="n">
        <v>2.01</v>
      </c>
    </row>
    <row r="481">
      <c r="A481" s="28" t="n">
        <v>20397</v>
      </c>
      <c r="B481" t="n">
        <v/>
      </c>
      <c r="C481" t="n">
        <v>1.96</v>
      </c>
    </row>
    <row r="482">
      <c r="A482" s="28" t="n">
        <v>20400</v>
      </c>
      <c r="B482" t="n">
        <v/>
      </c>
      <c r="C482" t="n">
        <v>2</v>
      </c>
    </row>
    <row r="483">
      <c r="A483" s="28" t="n">
        <v>20401</v>
      </c>
      <c r="B483" t="n">
        <v/>
      </c>
      <c r="C483" t="n">
        <v>2</v>
      </c>
    </row>
    <row r="484">
      <c r="A484" s="28" t="n">
        <v>20402</v>
      </c>
      <c r="B484" t="n">
        <v/>
      </c>
      <c r="C484" t="n">
        <v>2.08</v>
      </c>
    </row>
    <row r="485">
      <c r="A485" s="28" t="n">
        <v>20403</v>
      </c>
      <c r="B485" t="n">
        <v/>
      </c>
      <c r="C485" t="n">
        <v>2.12</v>
      </c>
    </row>
    <row r="486">
      <c r="A486" s="28" t="n">
        <v>20404</v>
      </c>
      <c r="B486" t="n">
        <v/>
      </c>
      <c r="C486" t="n">
        <v>0</v>
      </c>
    </row>
    <row r="487">
      <c r="A487" s="28" t="n">
        <v>20407</v>
      </c>
      <c r="B487" t="n">
        <v/>
      </c>
      <c r="C487" t="n">
        <v>2.2</v>
      </c>
    </row>
    <row r="488">
      <c r="A488" s="28" t="n">
        <v>20408</v>
      </c>
      <c r="B488" t="n">
        <v/>
      </c>
      <c r="C488" t="n">
        <v>2.3</v>
      </c>
    </row>
    <row r="489">
      <c r="A489" s="28" t="n">
        <v>20409</v>
      </c>
      <c r="B489" t="n">
        <v/>
      </c>
      <c r="C489" t="n">
        <v>2.34</v>
      </c>
    </row>
    <row r="490">
      <c r="A490" s="28" t="n">
        <v>20410</v>
      </c>
      <c r="B490" t="n">
        <v/>
      </c>
      <c r="C490" t="n">
        <v>2.27</v>
      </c>
    </row>
    <row r="491">
      <c r="A491" s="28" t="n">
        <v>20411</v>
      </c>
      <c r="B491" t="n">
        <v/>
      </c>
      <c r="C491" t="n">
        <v>2.35</v>
      </c>
    </row>
    <row r="492">
      <c r="A492" s="28" t="n">
        <v>20414</v>
      </c>
      <c r="B492" t="n">
        <v/>
      </c>
      <c r="C492" t="n">
        <v>2.4</v>
      </c>
    </row>
    <row r="493">
      <c r="A493" s="28" t="n">
        <v>20415</v>
      </c>
      <c r="B493" t="n">
        <v/>
      </c>
      <c r="C493" t="n">
        <v>2.38</v>
      </c>
    </row>
    <row r="494">
      <c r="A494" s="28" t="n">
        <v>20416</v>
      </c>
      <c r="B494" t="n">
        <v/>
      </c>
      <c r="C494" t="n">
        <v>2.44</v>
      </c>
    </row>
    <row r="495">
      <c r="A495" s="28" t="n">
        <v>20417</v>
      </c>
      <c r="B495" t="n">
        <v/>
      </c>
      <c r="C495" t="n">
        <v>0</v>
      </c>
    </row>
    <row r="496">
      <c r="A496" s="28" t="n">
        <v>20418</v>
      </c>
      <c r="B496" t="n">
        <v/>
      </c>
      <c r="C496" t="n">
        <v>2.42</v>
      </c>
    </row>
    <row r="497">
      <c r="A497" s="28" t="n">
        <v>20421</v>
      </c>
      <c r="B497" t="n">
        <v/>
      </c>
      <c r="C497" t="n">
        <v>2.42</v>
      </c>
    </row>
    <row r="498">
      <c r="A498" s="28" t="n">
        <v>20422</v>
      </c>
      <c r="B498" t="n">
        <v/>
      </c>
      <c r="C498" t="n">
        <v>2.42</v>
      </c>
    </row>
    <row r="499">
      <c r="A499" s="28" t="n">
        <v>20423</v>
      </c>
      <c r="B499" t="n">
        <v/>
      </c>
      <c r="C499" t="n">
        <v>2.44</v>
      </c>
    </row>
    <row r="500">
      <c r="A500" s="28" t="n">
        <v>20424</v>
      </c>
      <c r="B500" t="n">
        <v/>
      </c>
      <c r="C500" t="n">
        <v>2.42</v>
      </c>
    </row>
    <row r="501">
      <c r="A501" s="28" t="n">
        <v>20425</v>
      </c>
      <c r="B501" t="n">
        <v/>
      </c>
      <c r="C501" t="n">
        <v>2.36</v>
      </c>
    </row>
    <row r="502">
      <c r="A502" s="28" t="n">
        <v>20428</v>
      </c>
      <c r="B502" t="n">
        <v/>
      </c>
      <c r="C502" t="n">
        <v>2.4</v>
      </c>
    </row>
    <row r="503">
      <c r="A503" s="28" t="n">
        <v>20429</v>
      </c>
      <c r="B503" t="n">
        <v/>
      </c>
      <c r="C503" t="n">
        <v>2.45</v>
      </c>
    </row>
    <row r="504">
      <c r="A504" s="28" t="n">
        <v>20430</v>
      </c>
      <c r="B504" t="n">
        <v/>
      </c>
      <c r="C504" t="n">
        <v>2.51</v>
      </c>
    </row>
    <row r="505">
      <c r="A505" s="28" t="n">
        <v>20431</v>
      </c>
      <c r="B505" t="n">
        <v/>
      </c>
      <c r="C505" t="n">
        <v>2.5</v>
      </c>
    </row>
    <row r="506">
      <c r="A506" s="28" t="n">
        <v>20432</v>
      </c>
      <c r="B506" t="n">
        <v/>
      </c>
      <c r="C506" t="n">
        <v>2.52</v>
      </c>
    </row>
    <row r="507">
      <c r="A507" s="28" t="n">
        <v>20435</v>
      </c>
      <c r="B507" t="n">
        <v/>
      </c>
      <c r="C507" t="n">
        <v>2.52</v>
      </c>
    </row>
    <row r="508">
      <c r="A508" s="28" t="n">
        <v>20436</v>
      </c>
      <c r="B508" t="n">
        <v/>
      </c>
      <c r="C508" t="n">
        <v>2.52</v>
      </c>
    </row>
    <row r="509">
      <c r="A509" s="28" t="n">
        <v>20437</v>
      </c>
      <c r="B509" t="n">
        <v/>
      </c>
      <c r="C509" t="n">
        <v>2.57</v>
      </c>
    </row>
    <row r="510">
      <c r="A510" s="28" t="n">
        <v>20438</v>
      </c>
      <c r="B510" t="n">
        <v/>
      </c>
      <c r="C510" t="n">
        <v>2.56</v>
      </c>
    </row>
    <row r="511">
      <c r="A511" s="28" t="n">
        <v>20439</v>
      </c>
      <c r="B511" t="n">
        <v/>
      </c>
      <c r="C511" t="n">
        <v>2.55</v>
      </c>
    </row>
    <row r="512">
      <c r="A512" s="28" t="n">
        <v>20442</v>
      </c>
      <c r="B512" t="n">
        <v/>
      </c>
      <c r="C512" t="n">
        <v>2.58</v>
      </c>
    </row>
    <row r="513">
      <c r="A513" s="28" t="n">
        <v>20443</v>
      </c>
      <c r="B513" t="n">
        <v/>
      </c>
      <c r="C513" t="n">
        <v>2.6</v>
      </c>
    </row>
    <row r="514">
      <c r="A514" s="28" t="n">
        <v>20444</v>
      </c>
      <c r="B514" t="n">
        <v/>
      </c>
      <c r="C514" t="n">
        <v>2.65</v>
      </c>
    </row>
    <row r="515">
      <c r="A515" s="28" t="n">
        <v>20445</v>
      </c>
      <c r="B515" t="n">
        <v/>
      </c>
      <c r="C515" t="n">
        <v>2.66</v>
      </c>
    </row>
    <row r="516">
      <c r="A516" s="28" t="n">
        <v>20446</v>
      </c>
      <c r="B516" t="n">
        <v/>
      </c>
      <c r="C516" t="n">
        <v>2.67</v>
      </c>
    </row>
    <row r="517">
      <c r="A517" s="28" t="n">
        <v>20449</v>
      </c>
      <c r="B517" t="n">
        <v/>
      </c>
      <c r="C517" t="n">
        <v>0</v>
      </c>
    </row>
    <row r="518">
      <c r="A518" s="28" t="n">
        <v>20450</v>
      </c>
      <c r="B518" t="n">
        <v/>
      </c>
      <c r="C518" t="n">
        <v>2.65</v>
      </c>
    </row>
    <row r="519">
      <c r="A519" s="28" t="n">
        <v>20451</v>
      </c>
      <c r="B519" t="n">
        <v/>
      </c>
      <c r="C519" t="n">
        <v>2.63</v>
      </c>
    </row>
    <row r="520">
      <c r="A520" s="28" t="n">
        <v>20452</v>
      </c>
      <c r="B520" t="n">
        <v/>
      </c>
      <c r="C520" t="n">
        <v>2.54</v>
      </c>
    </row>
    <row r="521">
      <c r="A521" s="28" t="n">
        <v>20453</v>
      </c>
      <c r="B521" t="n">
        <v/>
      </c>
      <c r="C521" t="n">
        <v>2.5</v>
      </c>
    </row>
    <row r="522">
      <c r="A522" s="28" t="n">
        <v>20456</v>
      </c>
      <c r="B522" t="n">
        <v/>
      </c>
      <c r="C522" t="n">
        <v>0</v>
      </c>
    </row>
    <row r="523">
      <c r="A523" s="28" t="n">
        <v>20457</v>
      </c>
      <c r="B523" t="n">
        <v/>
      </c>
      <c r="C523" t="n">
        <v>2.5</v>
      </c>
    </row>
    <row r="524">
      <c r="A524" s="28" t="n">
        <v>20458</v>
      </c>
      <c r="B524" t="n">
        <v/>
      </c>
      <c r="C524" t="n">
        <v>2.5</v>
      </c>
    </row>
    <row r="525">
      <c r="A525" s="28" t="n">
        <v>20459</v>
      </c>
      <c r="B525" t="n">
        <v/>
      </c>
      <c r="C525" t="n">
        <v>2.52</v>
      </c>
    </row>
    <row r="526">
      <c r="A526" s="28" t="n">
        <v>20460</v>
      </c>
      <c r="B526" t="n">
        <v/>
      </c>
      <c r="C526" t="n">
        <v>2.52</v>
      </c>
    </row>
    <row r="527">
      <c r="A527" s="28" t="n">
        <v>20463</v>
      </c>
      <c r="B527" t="n">
        <v/>
      </c>
      <c r="C527" t="n">
        <v>2.58</v>
      </c>
    </row>
    <row r="528">
      <c r="A528" s="28" t="n">
        <v>20464</v>
      </c>
      <c r="B528" t="n">
        <v/>
      </c>
      <c r="C528" t="n">
        <v>2.51</v>
      </c>
    </row>
    <row r="529">
      <c r="A529" s="28" t="n">
        <v>20465</v>
      </c>
      <c r="B529" t="n">
        <v/>
      </c>
      <c r="C529" t="n">
        <v>2.55</v>
      </c>
    </row>
    <row r="530">
      <c r="A530" s="28" t="n">
        <v>20466</v>
      </c>
      <c r="B530" t="n">
        <v/>
      </c>
      <c r="C530" t="n">
        <v>2.53</v>
      </c>
    </row>
    <row r="531">
      <c r="A531" s="28" t="n">
        <v>20467</v>
      </c>
      <c r="B531" t="n">
        <v/>
      </c>
      <c r="C531" t="n">
        <v>2.5</v>
      </c>
    </row>
    <row r="532">
      <c r="A532" s="28" t="n">
        <v>20470</v>
      </c>
      <c r="B532" t="n">
        <v/>
      </c>
      <c r="C532" t="n">
        <v>2.46</v>
      </c>
    </row>
    <row r="533">
      <c r="A533" s="28" t="n">
        <v>20471</v>
      </c>
      <c r="B533" t="n">
        <v/>
      </c>
      <c r="C533" t="n">
        <v>2.42</v>
      </c>
    </row>
    <row r="534">
      <c r="A534" s="28" t="n">
        <v>20472</v>
      </c>
      <c r="B534" t="n">
        <v/>
      </c>
      <c r="C534" t="n">
        <v>2.41</v>
      </c>
    </row>
    <row r="535">
      <c r="A535" s="28" t="n">
        <v>20473</v>
      </c>
      <c r="B535" t="n">
        <v/>
      </c>
      <c r="C535" t="n">
        <v>2.35</v>
      </c>
    </row>
    <row r="536">
      <c r="A536" s="28" t="n">
        <v>20474</v>
      </c>
      <c r="B536" t="n">
        <v/>
      </c>
      <c r="C536" t="n">
        <v>2.3</v>
      </c>
    </row>
    <row r="537">
      <c r="A537" s="28" t="n">
        <v>20477</v>
      </c>
      <c r="B537" t="n">
        <v/>
      </c>
      <c r="C537" t="n">
        <v>2.26</v>
      </c>
    </row>
    <row r="538">
      <c r="A538" s="28" t="n">
        <v>20478</v>
      </c>
      <c r="B538" t="n">
        <v/>
      </c>
      <c r="C538" t="n">
        <v>2.26</v>
      </c>
    </row>
    <row r="539">
      <c r="A539" s="28" t="n">
        <v>20479</v>
      </c>
      <c r="B539" t="n">
        <v/>
      </c>
      <c r="C539" t="n">
        <v>2.28</v>
      </c>
    </row>
    <row r="540">
      <c r="A540" s="28" t="n">
        <v>20480</v>
      </c>
      <c r="B540" t="n">
        <v/>
      </c>
      <c r="C540" t="n">
        <v>2.28</v>
      </c>
    </row>
    <row r="541">
      <c r="A541" s="28" t="n">
        <v>20481</v>
      </c>
      <c r="B541" t="n">
        <v/>
      </c>
      <c r="C541" t="n">
        <v>2.3</v>
      </c>
    </row>
    <row r="542">
      <c r="A542" s="28" t="n">
        <v>20484</v>
      </c>
      <c r="B542" t="n">
        <v/>
      </c>
      <c r="C542" t="n">
        <v>2.34</v>
      </c>
    </row>
    <row r="543">
      <c r="A543" s="28" t="n">
        <v>20485</v>
      </c>
      <c r="B543" t="n">
        <v/>
      </c>
      <c r="C543" t="n">
        <v>2.32</v>
      </c>
    </row>
    <row r="544">
      <c r="A544" s="28" t="n">
        <v>20486</v>
      </c>
      <c r="B544" t="n">
        <v/>
      </c>
      <c r="C544" t="n">
        <v>2.3</v>
      </c>
    </row>
    <row r="545">
      <c r="A545" s="28" t="n">
        <v>20487</v>
      </c>
      <c r="B545" t="n">
        <v/>
      </c>
      <c r="C545" t="n">
        <v>2.25</v>
      </c>
    </row>
    <row r="546">
      <c r="A546" s="28" t="n">
        <v>20488</v>
      </c>
      <c r="B546" t="n">
        <v/>
      </c>
      <c r="C546" t="n">
        <v>2.26</v>
      </c>
    </row>
    <row r="547">
      <c r="A547" s="28" t="n">
        <v>20491</v>
      </c>
      <c r="B547" t="n">
        <v/>
      </c>
      <c r="C547" t="n">
        <v>2.22</v>
      </c>
    </row>
    <row r="548">
      <c r="A548" s="28" t="n">
        <v>20492</v>
      </c>
      <c r="B548" t="n">
        <v/>
      </c>
      <c r="C548" t="n">
        <v>2.2</v>
      </c>
    </row>
    <row r="549">
      <c r="A549" s="28" t="n">
        <v>20493</v>
      </c>
      <c r="B549" t="n">
        <v/>
      </c>
      <c r="C549" t="n">
        <v>2.25</v>
      </c>
    </row>
    <row r="550">
      <c r="A550" s="28" t="n">
        <v>20494</v>
      </c>
      <c r="B550" t="n">
        <v/>
      </c>
      <c r="C550" t="n">
        <v>2.28</v>
      </c>
    </row>
    <row r="551">
      <c r="A551" s="28" t="n">
        <v>20495</v>
      </c>
      <c r="B551" t="n">
        <v/>
      </c>
      <c r="C551" t="n">
        <v>2.33</v>
      </c>
    </row>
    <row r="552">
      <c r="A552" s="28" t="n">
        <v>20498</v>
      </c>
      <c r="B552" t="n">
        <v/>
      </c>
      <c r="C552" t="n">
        <v>2.33</v>
      </c>
    </row>
    <row r="553">
      <c r="A553" s="28" t="n">
        <v>20499</v>
      </c>
      <c r="B553" t="n">
        <v/>
      </c>
      <c r="C553" t="n">
        <v>2.32</v>
      </c>
    </row>
    <row r="554">
      <c r="A554" s="28" t="n">
        <v>20500</v>
      </c>
      <c r="B554" t="n">
        <v/>
      </c>
      <c r="C554" t="n">
        <v>2.37</v>
      </c>
    </row>
    <row r="555">
      <c r="A555" s="28" t="n">
        <v>20501</v>
      </c>
      <c r="B555" t="n">
        <v/>
      </c>
      <c r="C555" t="n">
        <v>2.38</v>
      </c>
    </row>
    <row r="556">
      <c r="A556" s="28" t="n">
        <v>20502</v>
      </c>
      <c r="B556" t="n">
        <v/>
      </c>
      <c r="C556" t="n">
        <v>2.37</v>
      </c>
    </row>
    <row r="557">
      <c r="A557" s="28" t="n">
        <v>20505</v>
      </c>
      <c r="B557" t="n">
        <v/>
      </c>
      <c r="C557" t="n">
        <v>2.36</v>
      </c>
    </row>
    <row r="558">
      <c r="A558" s="28" t="n">
        <v>20506</v>
      </c>
      <c r="B558" t="n">
        <v/>
      </c>
      <c r="C558" t="n">
        <v>2.41</v>
      </c>
    </row>
    <row r="559">
      <c r="A559" s="28" t="n">
        <v>20507</v>
      </c>
      <c r="B559" t="n">
        <v/>
      </c>
      <c r="C559" t="n">
        <v>0</v>
      </c>
    </row>
    <row r="560">
      <c r="A560" s="28" t="n">
        <v>20508</v>
      </c>
      <c r="B560" t="n">
        <v/>
      </c>
      <c r="C560" t="n">
        <v>2.42</v>
      </c>
    </row>
    <row r="561">
      <c r="A561" s="28" t="n">
        <v>20509</v>
      </c>
      <c r="B561" t="n">
        <v/>
      </c>
      <c r="C561" t="n">
        <v>2.41</v>
      </c>
    </row>
    <row r="562">
      <c r="A562" s="28" t="n">
        <v>20512</v>
      </c>
      <c r="B562" t="n">
        <v/>
      </c>
      <c r="C562" t="n">
        <v>2.36</v>
      </c>
    </row>
    <row r="563">
      <c r="A563" s="28" t="n">
        <v>20513</v>
      </c>
      <c r="B563" t="n">
        <v/>
      </c>
      <c r="C563" t="n">
        <v>2.28</v>
      </c>
    </row>
    <row r="564">
      <c r="A564" s="28" t="n">
        <v>20514</v>
      </c>
      <c r="B564" t="n">
        <v/>
      </c>
      <c r="C564" t="n">
        <v>2.3</v>
      </c>
    </row>
    <row r="565">
      <c r="A565" s="28" t="n">
        <v>20515</v>
      </c>
      <c r="B565" t="n">
        <v/>
      </c>
      <c r="C565" t="n">
        <v>2.18</v>
      </c>
    </row>
    <row r="566">
      <c r="A566" s="28" t="n">
        <v>20516</v>
      </c>
      <c r="B566" t="n">
        <v/>
      </c>
      <c r="C566" t="n">
        <v>2.06</v>
      </c>
    </row>
    <row r="567">
      <c r="A567" s="28" t="n">
        <v>20519</v>
      </c>
      <c r="B567" t="n">
        <v/>
      </c>
      <c r="C567" t="n">
        <v>2.15</v>
      </c>
    </row>
    <row r="568">
      <c r="A568" s="28" t="n">
        <v>20520</v>
      </c>
      <c r="B568" t="n">
        <v/>
      </c>
      <c r="C568" t="n">
        <v>2.18</v>
      </c>
    </row>
    <row r="569">
      <c r="A569" s="28" t="n">
        <v>20521</v>
      </c>
      <c r="B569" t="n">
        <v/>
      </c>
      <c r="C569" t="n">
        <v>2.29</v>
      </c>
    </row>
    <row r="570">
      <c r="A570" s="28" t="n">
        <v>20522</v>
      </c>
      <c r="B570" t="n">
        <v/>
      </c>
      <c r="C570" t="n">
        <v>2.29</v>
      </c>
    </row>
    <row r="571">
      <c r="A571" s="28" t="n">
        <v>20523</v>
      </c>
      <c r="B571" t="n">
        <v/>
      </c>
      <c r="C571" t="n">
        <v>2.28</v>
      </c>
    </row>
    <row r="572">
      <c r="A572" s="28" t="n">
        <v>20526</v>
      </c>
      <c r="B572" t="n">
        <v/>
      </c>
      <c r="C572" t="n">
        <v>2.32</v>
      </c>
    </row>
    <row r="573">
      <c r="A573" s="28" t="n">
        <v>20527</v>
      </c>
      <c r="B573" t="n">
        <v/>
      </c>
      <c r="C573" t="n">
        <v>2.33</v>
      </c>
    </row>
    <row r="574">
      <c r="A574" s="28" t="n">
        <v>20528</v>
      </c>
      <c r="B574" t="n">
        <v/>
      </c>
      <c r="C574" t="n">
        <v>2.4</v>
      </c>
    </row>
    <row r="575">
      <c r="A575" s="28" t="n">
        <v>20529</v>
      </c>
      <c r="B575" t="n">
        <v/>
      </c>
      <c r="C575" t="n">
        <v>2.37</v>
      </c>
    </row>
    <row r="576">
      <c r="A576" s="28" t="n">
        <v>20530</v>
      </c>
      <c r="B576" t="n">
        <v/>
      </c>
      <c r="C576" t="n">
        <v>2.38</v>
      </c>
    </row>
    <row r="577">
      <c r="A577" s="28" t="n">
        <v>20533</v>
      </c>
      <c r="B577" t="n">
        <v/>
      </c>
      <c r="C577" t="n">
        <v>2.37</v>
      </c>
    </row>
    <row r="578">
      <c r="A578" s="28" t="n">
        <v>20534</v>
      </c>
      <c r="B578" t="n">
        <v/>
      </c>
      <c r="C578" t="n">
        <v>2.27</v>
      </c>
    </row>
    <row r="579">
      <c r="A579" s="28" t="n">
        <v>20535</v>
      </c>
      <c r="B579" t="n">
        <v/>
      </c>
      <c r="C579" t="n">
        <v>2.25</v>
      </c>
    </row>
    <row r="580">
      <c r="A580" s="28" t="n">
        <v>20536</v>
      </c>
      <c r="B580" t="n">
        <v/>
      </c>
      <c r="C580" t="n">
        <v>2.22</v>
      </c>
    </row>
    <row r="581">
      <c r="A581" s="28" t="n">
        <v>20537</v>
      </c>
      <c r="B581" t="n">
        <v/>
      </c>
      <c r="C581" t="n">
        <v>2.17</v>
      </c>
    </row>
    <row r="582">
      <c r="A582" s="28" t="n">
        <v>20540</v>
      </c>
      <c r="B582" t="n">
        <v/>
      </c>
      <c r="C582" t="n">
        <v>2.13</v>
      </c>
    </row>
    <row r="583">
      <c r="A583" s="28" t="n">
        <v>20541</v>
      </c>
      <c r="B583" t="n">
        <v/>
      </c>
      <c r="C583" t="n">
        <v>2.12</v>
      </c>
    </row>
    <row r="584">
      <c r="A584" s="28" t="n">
        <v>20542</v>
      </c>
      <c r="B584" t="n">
        <v/>
      </c>
      <c r="C584" t="n">
        <v>2.2</v>
      </c>
    </row>
    <row r="585">
      <c r="A585" s="28" t="n">
        <v>20543</v>
      </c>
      <c r="B585" t="n">
        <v/>
      </c>
      <c r="C585" t="n">
        <v>2.3</v>
      </c>
    </row>
    <row r="586">
      <c r="A586" s="28" t="n">
        <v>20544</v>
      </c>
      <c r="B586" t="n">
        <v/>
      </c>
      <c r="C586" t="n">
        <v>2.3</v>
      </c>
    </row>
    <row r="587">
      <c r="A587" s="28" t="n">
        <v>20547</v>
      </c>
      <c r="B587" t="n">
        <v/>
      </c>
      <c r="C587" t="n">
        <v>2.35</v>
      </c>
    </row>
    <row r="588">
      <c r="A588" s="28" t="n">
        <v>20548</v>
      </c>
      <c r="B588" t="n">
        <v/>
      </c>
      <c r="C588" t="n">
        <v>2.36</v>
      </c>
    </row>
    <row r="589">
      <c r="A589" s="28" t="n">
        <v>20549</v>
      </c>
      <c r="B589" t="n">
        <v/>
      </c>
      <c r="C589" t="n">
        <v>2.43</v>
      </c>
    </row>
    <row r="590">
      <c r="A590" s="28" t="n">
        <v>20550</v>
      </c>
      <c r="B590" t="n">
        <v/>
      </c>
      <c r="C590" t="n">
        <v>2.38</v>
      </c>
    </row>
    <row r="591">
      <c r="A591" s="28" t="n">
        <v>20551</v>
      </c>
      <c r="B591" t="n">
        <v/>
      </c>
      <c r="C591" t="n">
        <v>2.38</v>
      </c>
    </row>
    <row r="592">
      <c r="A592" s="28" t="n">
        <v>20554</v>
      </c>
      <c r="B592" t="n">
        <v/>
      </c>
      <c r="C592" t="n">
        <v>2.46</v>
      </c>
    </row>
    <row r="593">
      <c r="A593" s="28" t="n">
        <v>20555</v>
      </c>
      <c r="B593" t="n">
        <v/>
      </c>
      <c r="C593" t="n">
        <v>2.48</v>
      </c>
    </row>
    <row r="594">
      <c r="A594" s="28" t="n">
        <v>20556</v>
      </c>
      <c r="B594" t="n">
        <v/>
      </c>
      <c r="C594" t="n">
        <v>2.57</v>
      </c>
    </row>
    <row r="595">
      <c r="A595" s="28" t="n">
        <v>20557</v>
      </c>
      <c r="B595" t="n">
        <v/>
      </c>
      <c r="C595" t="n">
        <v>2.56</v>
      </c>
    </row>
    <row r="596">
      <c r="A596" s="28" t="n">
        <v>20558</v>
      </c>
      <c r="B596" t="n">
        <v/>
      </c>
      <c r="C596" t="n">
        <v>2.68</v>
      </c>
    </row>
    <row r="597">
      <c r="A597" s="28" t="n">
        <v>20561</v>
      </c>
      <c r="B597" t="n">
        <v/>
      </c>
      <c r="C597" t="n">
        <v>2.75</v>
      </c>
    </row>
    <row r="598">
      <c r="A598" s="28" t="n">
        <v>20562</v>
      </c>
      <c r="B598" t="n">
        <v/>
      </c>
      <c r="C598" t="n">
        <v>2.7</v>
      </c>
    </row>
    <row r="599">
      <c r="A599" s="28" t="n">
        <v>20563</v>
      </c>
      <c r="B599" t="n">
        <v/>
      </c>
      <c r="C599" t="n">
        <v>2.75</v>
      </c>
    </row>
    <row r="600">
      <c r="A600" s="28" t="n">
        <v>20564</v>
      </c>
      <c r="B600" t="n">
        <v/>
      </c>
      <c r="C600" t="n">
        <v>2.75</v>
      </c>
    </row>
    <row r="601">
      <c r="A601" s="28" t="n">
        <v>20565</v>
      </c>
      <c r="B601" t="n">
        <v/>
      </c>
      <c r="C601" t="n">
        <v>2.75</v>
      </c>
    </row>
    <row r="602">
      <c r="A602" s="28" t="n">
        <v>20568</v>
      </c>
      <c r="B602" t="n">
        <v/>
      </c>
      <c r="C602" t="n">
        <v>2.73</v>
      </c>
    </row>
    <row r="603">
      <c r="A603" s="28" t="n">
        <v>20569</v>
      </c>
      <c r="B603" t="n">
        <v/>
      </c>
      <c r="C603" t="n">
        <v>2.7</v>
      </c>
    </row>
    <row r="604">
      <c r="A604" s="28" t="n">
        <v>20570</v>
      </c>
      <c r="B604" t="n">
        <v/>
      </c>
      <c r="C604" t="n">
        <v>2.73</v>
      </c>
    </row>
    <row r="605">
      <c r="A605" s="28" t="n">
        <v>20571</v>
      </c>
      <c r="B605" t="n">
        <v/>
      </c>
      <c r="C605" t="n">
        <v>2.7</v>
      </c>
    </row>
    <row r="606">
      <c r="A606" s="28" t="n">
        <v>20572</v>
      </c>
      <c r="B606" t="n">
        <v/>
      </c>
      <c r="C606" t="n">
        <v>2.68</v>
      </c>
    </row>
    <row r="607">
      <c r="A607" s="28" t="n">
        <v>20575</v>
      </c>
      <c r="B607" t="n">
        <v/>
      </c>
      <c r="C607" t="n">
        <v>2.69</v>
      </c>
    </row>
    <row r="608">
      <c r="A608" s="28" t="n">
        <v>20576</v>
      </c>
      <c r="B608" t="n">
        <v/>
      </c>
      <c r="C608" t="n">
        <v>2.65</v>
      </c>
    </row>
    <row r="609">
      <c r="A609" s="28" t="n">
        <v>20577</v>
      </c>
      <c r="B609" t="n">
        <v/>
      </c>
      <c r="C609" t="n">
        <v>2.62</v>
      </c>
    </row>
    <row r="610">
      <c r="A610" s="28" t="n">
        <v>20578</v>
      </c>
      <c r="B610" t="n">
        <v/>
      </c>
      <c r="C610" t="n">
        <v>2.56</v>
      </c>
    </row>
    <row r="611">
      <c r="A611" s="28" t="n">
        <v>20579</v>
      </c>
      <c r="B611" t="n">
        <v/>
      </c>
      <c r="C611" t="n">
        <v>2.54</v>
      </c>
    </row>
    <row r="612">
      <c r="A612" s="28" t="n">
        <v>20582</v>
      </c>
      <c r="B612" t="n">
        <v/>
      </c>
      <c r="C612" t="n">
        <v>2.49</v>
      </c>
    </row>
    <row r="613">
      <c r="A613" s="28" t="n">
        <v>20583</v>
      </c>
      <c r="B613" t="n">
        <v/>
      </c>
      <c r="C613" t="n">
        <v>2.51</v>
      </c>
    </row>
    <row r="614">
      <c r="A614" s="28" t="n">
        <v>20584</v>
      </c>
      <c r="B614" t="n">
        <v/>
      </c>
      <c r="C614" t="n">
        <v>2.56</v>
      </c>
    </row>
    <row r="615">
      <c r="A615" s="28" t="n">
        <v>20585</v>
      </c>
      <c r="B615" t="n">
        <v/>
      </c>
      <c r="C615" t="n">
        <v>2.6</v>
      </c>
    </row>
    <row r="616">
      <c r="A616" s="28" t="n">
        <v>20586</v>
      </c>
      <c r="B616" t="n">
        <v/>
      </c>
      <c r="C616" t="n">
        <v>2.61</v>
      </c>
    </row>
    <row r="617">
      <c r="A617" s="28" t="n">
        <v>20589</v>
      </c>
      <c r="B617" t="n">
        <v/>
      </c>
      <c r="C617" t="n">
        <v>2.65</v>
      </c>
    </row>
    <row r="618">
      <c r="A618" s="28" t="n">
        <v>20590</v>
      </c>
      <c r="B618" t="n">
        <v/>
      </c>
      <c r="C618" t="n">
        <v>2.65</v>
      </c>
    </row>
    <row r="619">
      <c r="A619" s="28" t="n">
        <v>20591</v>
      </c>
      <c r="B619" t="n">
        <v/>
      </c>
      <c r="C619" t="n">
        <v>2.71</v>
      </c>
    </row>
    <row r="620">
      <c r="A620" s="28" t="n">
        <v>20592</v>
      </c>
      <c r="B620" t="n">
        <v/>
      </c>
      <c r="C620" t="n">
        <v>2.67</v>
      </c>
    </row>
    <row r="621">
      <c r="A621" s="28" t="n">
        <v>20593</v>
      </c>
      <c r="B621" t="n">
        <v/>
      </c>
      <c r="C621" t="n">
        <v>2.65</v>
      </c>
    </row>
    <row r="622">
      <c r="A622" s="28" t="n">
        <v>20596</v>
      </c>
      <c r="B622" t="n">
        <v/>
      </c>
      <c r="C622" t="n">
        <v>2.65</v>
      </c>
    </row>
    <row r="623">
      <c r="A623" s="28" t="n">
        <v>20597</v>
      </c>
      <c r="B623" t="n">
        <v/>
      </c>
      <c r="C623" t="n">
        <v>2.65</v>
      </c>
    </row>
    <row r="624">
      <c r="A624" s="28" t="n">
        <v>20598</v>
      </c>
      <c r="B624" t="n">
        <v/>
      </c>
      <c r="C624" t="n">
        <v>2.68</v>
      </c>
    </row>
    <row r="625">
      <c r="A625" s="28" t="n">
        <v>20599</v>
      </c>
      <c r="B625" t="n">
        <v/>
      </c>
      <c r="C625" t="n">
        <v>2.65</v>
      </c>
    </row>
    <row r="626">
      <c r="A626" s="28" t="n">
        <v>20600</v>
      </c>
      <c r="B626" t="n">
        <v/>
      </c>
      <c r="C626" t="n">
        <v>2.61</v>
      </c>
    </row>
    <row r="627">
      <c r="A627" s="28" t="n">
        <v>20603</v>
      </c>
      <c r="B627" t="n">
        <v/>
      </c>
      <c r="C627" t="n">
        <v>2.54</v>
      </c>
    </row>
    <row r="628">
      <c r="A628" s="28" t="n">
        <v>20604</v>
      </c>
      <c r="B628" t="n">
        <v/>
      </c>
      <c r="C628" t="n">
        <v>2.53</v>
      </c>
    </row>
    <row r="629">
      <c r="A629" s="28" t="n">
        <v>20605</v>
      </c>
      <c r="B629" t="n">
        <v/>
      </c>
      <c r="C629" t="n">
        <v>0</v>
      </c>
    </row>
    <row r="630">
      <c r="A630" s="28" t="n">
        <v>20606</v>
      </c>
      <c r="B630" t="n">
        <v/>
      </c>
      <c r="C630" t="n">
        <v>2.57</v>
      </c>
    </row>
    <row r="631">
      <c r="A631" s="28" t="n">
        <v>20607</v>
      </c>
      <c r="B631" t="n">
        <v/>
      </c>
      <c r="C631" t="n">
        <v>2.55</v>
      </c>
    </row>
    <row r="632">
      <c r="A632" s="28" t="n">
        <v>20610</v>
      </c>
      <c r="B632" t="n">
        <v/>
      </c>
      <c r="C632" t="n">
        <v>2.52</v>
      </c>
    </row>
    <row r="633">
      <c r="A633" s="28" t="n">
        <v>20611</v>
      </c>
      <c r="B633" t="n">
        <v/>
      </c>
      <c r="C633" t="n">
        <v>2.5</v>
      </c>
    </row>
    <row r="634">
      <c r="A634" s="28" t="n">
        <v>20612</v>
      </c>
      <c r="B634" t="n">
        <v/>
      </c>
      <c r="C634" t="n">
        <v>2.54</v>
      </c>
    </row>
    <row r="635">
      <c r="A635" s="28" t="n">
        <v>20613</v>
      </c>
      <c r="B635" t="n">
        <v/>
      </c>
      <c r="C635" t="n">
        <v>2.54</v>
      </c>
    </row>
    <row r="636">
      <c r="A636" s="28" t="n">
        <v>20614</v>
      </c>
      <c r="B636" t="n">
        <v/>
      </c>
      <c r="C636" t="n">
        <v>2.54</v>
      </c>
    </row>
    <row r="637">
      <c r="A637" s="28" t="n">
        <v>20617</v>
      </c>
      <c r="B637" t="n">
        <v/>
      </c>
      <c r="C637" t="n">
        <v>2.55</v>
      </c>
    </row>
    <row r="638">
      <c r="A638" s="28" t="n">
        <v>20618</v>
      </c>
      <c r="B638" t="n">
        <v/>
      </c>
      <c r="C638" t="n">
        <v>2.51</v>
      </c>
    </row>
    <row r="639">
      <c r="A639" s="28" t="n">
        <v>20619</v>
      </c>
      <c r="B639" t="n">
        <v/>
      </c>
      <c r="C639" t="n">
        <v>2.52</v>
      </c>
    </row>
    <row r="640">
      <c r="A640" s="28" t="n">
        <v>20620</v>
      </c>
      <c r="B640" t="n">
        <v/>
      </c>
      <c r="C640" t="n">
        <v>2.5</v>
      </c>
    </row>
    <row r="641">
      <c r="A641" s="28" t="n">
        <v>20621</v>
      </c>
      <c r="B641" t="n">
        <v/>
      </c>
      <c r="C641" t="n">
        <v>2.49</v>
      </c>
    </row>
    <row r="642">
      <c r="A642" s="28" t="n">
        <v>20624</v>
      </c>
      <c r="B642" t="n">
        <v/>
      </c>
      <c r="C642" t="n">
        <v>2.43</v>
      </c>
    </row>
    <row r="643">
      <c r="A643" s="28" t="n">
        <v>20625</v>
      </c>
      <c r="B643" t="n">
        <v/>
      </c>
      <c r="C643" t="n">
        <v>2.38</v>
      </c>
    </row>
    <row r="644">
      <c r="A644" s="28" t="n">
        <v>20626</v>
      </c>
      <c r="B644" t="n">
        <v/>
      </c>
      <c r="C644" t="n">
        <v>2.42</v>
      </c>
    </row>
    <row r="645">
      <c r="A645" s="28" t="n">
        <v>20627</v>
      </c>
      <c r="B645" t="n">
        <v/>
      </c>
      <c r="C645" t="n">
        <v>2.41</v>
      </c>
    </row>
    <row r="646">
      <c r="A646" s="28" t="n">
        <v>20628</v>
      </c>
      <c r="B646" t="n">
        <v/>
      </c>
      <c r="C646" t="n">
        <v>2.43</v>
      </c>
    </row>
    <row r="647">
      <c r="A647" s="28" t="n">
        <v>20631</v>
      </c>
      <c r="B647" t="n">
        <v/>
      </c>
      <c r="C647" t="n">
        <v>2.49</v>
      </c>
    </row>
    <row r="648">
      <c r="A648" s="28" t="n">
        <v>20632</v>
      </c>
      <c r="B648" t="n">
        <v/>
      </c>
      <c r="C648" t="n">
        <v>2.52</v>
      </c>
    </row>
    <row r="649">
      <c r="A649" s="28" t="n">
        <v>20633</v>
      </c>
      <c r="B649" t="n">
        <v/>
      </c>
      <c r="C649" t="n">
        <v>2.54</v>
      </c>
    </row>
    <row r="650">
      <c r="A650" s="28" t="n">
        <v>20634</v>
      </c>
      <c r="B650" t="n">
        <v/>
      </c>
      <c r="C650" t="n">
        <v>2.44</v>
      </c>
    </row>
    <row r="651">
      <c r="A651" s="28" t="n">
        <v>20635</v>
      </c>
      <c r="B651" t="n">
        <v/>
      </c>
      <c r="C651" t="n">
        <v>2.42</v>
      </c>
    </row>
    <row r="652">
      <c r="A652" s="28" t="n">
        <v>20638</v>
      </c>
      <c r="B652" t="n">
        <v/>
      </c>
      <c r="C652" t="n">
        <v>2.38</v>
      </c>
    </row>
    <row r="653">
      <c r="A653" s="28" t="n">
        <v>20639</v>
      </c>
      <c r="B653" t="n">
        <v/>
      </c>
      <c r="C653" t="n">
        <v>2.34</v>
      </c>
    </row>
    <row r="654">
      <c r="A654" s="28" t="n">
        <v>20640</v>
      </c>
      <c r="B654" t="n">
        <v/>
      </c>
      <c r="C654" t="n">
        <v>0</v>
      </c>
    </row>
    <row r="655">
      <c r="A655" s="28" t="n">
        <v>20641</v>
      </c>
      <c r="B655" t="n">
        <v/>
      </c>
      <c r="C655" t="n">
        <v>2.29</v>
      </c>
    </row>
    <row r="656">
      <c r="A656" s="28" t="n">
        <v>20642</v>
      </c>
      <c r="B656" t="n">
        <v/>
      </c>
      <c r="C656" t="n">
        <v>2.33</v>
      </c>
    </row>
    <row r="657">
      <c r="A657" s="28" t="n">
        <v>20645</v>
      </c>
      <c r="B657" t="n">
        <v/>
      </c>
      <c r="C657" t="n">
        <v>2.34</v>
      </c>
    </row>
    <row r="658">
      <c r="A658" s="28" t="n">
        <v>20646</v>
      </c>
      <c r="B658" t="n">
        <v/>
      </c>
      <c r="C658" t="n">
        <v>2.3</v>
      </c>
    </row>
    <row r="659">
      <c r="A659" s="28" t="n">
        <v>20647</v>
      </c>
      <c r="B659" t="n">
        <v/>
      </c>
      <c r="C659" t="n">
        <v>2.37</v>
      </c>
    </row>
    <row r="660">
      <c r="A660" s="28" t="n">
        <v>20648</v>
      </c>
      <c r="B660" t="n">
        <v/>
      </c>
      <c r="C660" t="n">
        <v>2.36</v>
      </c>
    </row>
    <row r="661">
      <c r="A661" s="28" t="n">
        <v>20649</v>
      </c>
      <c r="B661" t="n">
        <v/>
      </c>
      <c r="C661" t="n">
        <v>2.3</v>
      </c>
    </row>
    <row r="662">
      <c r="A662" s="28" t="n">
        <v>20652</v>
      </c>
      <c r="B662" t="n">
        <v/>
      </c>
      <c r="C662" t="n">
        <v>2.24</v>
      </c>
    </row>
    <row r="663">
      <c r="A663" s="28" t="n">
        <v>20653</v>
      </c>
      <c r="B663" t="n">
        <v/>
      </c>
      <c r="C663" t="n">
        <v>2.24</v>
      </c>
    </row>
    <row r="664">
      <c r="A664" s="28" t="n">
        <v>20654</v>
      </c>
      <c r="B664" t="n">
        <v/>
      </c>
      <c r="C664" t="n">
        <v>2.29</v>
      </c>
    </row>
    <row r="665">
      <c r="A665" s="28" t="n">
        <v>20655</v>
      </c>
      <c r="B665" t="n">
        <v/>
      </c>
      <c r="C665" t="n">
        <v>2.29</v>
      </c>
    </row>
    <row r="666">
      <c r="A666" s="28" t="n">
        <v>20656</v>
      </c>
      <c r="B666" t="n">
        <v/>
      </c>
      <c r="C666" t="n">
        <v>2.26</v>
      </c>
    </row>
    <row r="667">
      <c r="A667" s="28" t="n">
        <v>20659</v>
      </c>
      <c r="B667" t="n">
        <v/>
      </c>
      <c r="C667" t="n">
        <v>2.28</v>
      </c>
    </row>
    <row r="668">
      <c r="A668" s="28" t="n">
        <v>20660</v>
      </c>
      <c r="B668" t="n">
        <v/>
      </c>
      <c r="C668" t="n">
        <v>2.29</v>
      </c>
    </row>
    <row r="669">
      <c r="A669" s="28" t="n">
        <v>20661</v>
      </c>
      <c r="B669" t="n">
        <v/>
      </c>
      <c r="C669" t="n">
        <v>2.37</v>
      </c>
    </row>
    <row r="670">
      <c r="A670" s="28" t="n">
        <v>20662</v>
      </c>
      <c r="B670" t="n">
        <v/>
      </c>
      <c r="C670" t="n">
        <v>2.34</v>
      </c>
    </row>
    <row r="671">
      <c r="A671" s="28" t="n">
        <v>20663</v>
      </c>
      <c r="B671" t="n">
        <v/>
      </c>
      <c r="C671" t="n">
        <v>2.31</v>
      </c>
    </row>
    <row r="672">
      <c r="A672" s="28" t="n">
        <v>20666</v>
      </c>
      <c r="B672" t="n">
        <v/>
      </c>
      <c r="C672" t="n">
        <v>2.33</v>
      </c>
    </row>
    <row r="673">
      <c r="A673" s="28" t="n">
        <v>20667</v>
      </c>
      <c r="B673" t="n">
        <v/>
      </c>
      <c r="C673" t="n">
        <v>2.3</v>
      </c>
    </row>
    <row r="674">
      <c r="A674" s="28" t="n">
        <v>20668</v>
      </c>
      <c r="B674" t="n">
        <v/>
      </c>
      <c r="C674" t="n">
        <v>2.31</v>
      </c>
    </row>
    <row r="675">
      <c r="A675" s="28" t="n">
        <v>20669</v>
      </c>
      <c r="B675" t="n">
        <v/>
      </c>
      <c r="C675" t="n">
        <v>2.27</v>
      </c>
    </row>
    <row r="676">
      <c r="A676" s="28" t="n">
        <v>20670</v>
      </c>
      <c r="B676" t="n">
        <v/>
      </c>
      <c r="C676" t="n">
        <v>2.24</v>
      </c>
    </row>
    <row r="677">
      <c r="A677" s="28" t="n">
        <v>20673</v>
      </c>
      <c r="B677" t="n">
        <v/>
      </c>
      <c r="C677" t="n">
        <v>2.33</v>
      </c>
    </row>
    <row r="678">
      <c r="A678" s="28" t="n">
        <v>20674</v>
      </c>
      <c r="B678" t="n">
        <v/>
      </c>
      <c r="C678" t="n">
        <v>2.36</v>
      </c>
    </row>
    <row r="679">
      <c r="A679" s="28" t="n">
        <v>20675</v>
      </c>
      <c r="B679" t="n">
        <v/>
      </c>
      <c r="C679" t="n">
        <v>2.43</v>
      </c>
    </row>
    <row r="680">
      <c r="A680" s="28" t="n">
        <v>20676</v>
      </c>
      <c r="B680" t="n">
        <v/>
      </c>
      <c r="C680" t="n">
        <v>2.41</v>
      </c>
    </row>
    <row r="681">
      <c r="A681" s="28" t="n">
        <v>20677</v>
      </c>
      <c r="B681" t="n">
        <v/>
      </c>
      <c r="C681" t="n">
        <v>2.48</v>
      </c>
    </row>
    <row r="682">
      <c r="A682" s="28" t="n">
        <v>20680</v>
      </c>
      <c r="B682" t="n">
        <v/>
      </c>
      <c r="C682" t="n">
        <v>2.56</v>
      </c>
    </row>
    <row r="683">
      <c r="A683" s="28" t="n">
        <v>20681</v>
      </c>
      <c r="B683" t="n">
        <v/>
      </c>
      <c r="C683" t="n">
        <v>2.59</v>
      </c>
    </row>
    <row r="684">
      <c r="A684" s="28" t="n">
        <v>20682</v>
      </c>
      <c r="B684" t="n">
        <v/>
      </c>
      <c r="C684" t="n">
        <v>2.65</v>
      </c>
    </row>
    <row r="685">
      <c r="A685" s="28" t="n">
        <v>20683</v>
      </c>
      <c r="B685" t="n">
        <v/>
      </c>
      <c r="C685" t="n">
        <v>2.69</v>
      </c>
    </row>
    <row r="686">
      <c r="A686" s="28" t="n">
        <v>20684</v>
      </c>
      <c r="B686" t="n">
        <v/>
      </c>
      <c r="C686" t="n">
        <v>2.7</v>
      </c>
    </row>
    <row r="687">
      <c r="A687" s="28" t="n">
        <v>20687</v>
      </c>
      <c r="B687" t="n">
        <v/>
      </c>
      <c r="C687" t="n">
        <v>2.78</v>
      </c>
    </row>
    <row r="688">
      <c r="A688" s="28" t="n">
        <v>20688</v>
      </c>
      <c r="B688" t="n">
        <v/>
      </c>
      <c r="C688" t="n">
        <v>2.8</v>
      </c>
    </row>
    <row r="689">
      <c r="A689" s="28" t="n">
        <v>20689</v>
      </c>
      <c r="B689" t="n">
        <v/>
      </c>
      <c r="C689" t="n">
        <v>2.86</v>
      </c>
    </row>
    <row r="690">
      <c r="A690" s="28" t="n">
        <v>20690</v>
      </c>
      <c r="B690" t="n">
        <v/>
      </c>
      <c r="C690" t="n">
        <v>2.84</v>
      </c>
    </row>
    <row r="691">
      <c r="A691" s="28" t="n">
        <v>20691</v>
      </c>
      <c r="B691" t="n">
        <v/>
      </c>
      <c r="C691" t="n">
        <v>2.8</v>
      </c>
    </row>
    <row r="692">
      <c r="A692" s="28" t="n">
        <v>20694</v>
      </c>
      <c r="B692" t="n">
        <v/>
      </c>
      <c r="C692" t="n">
        <v>2.77</v>
      </c>
    </row>
    <row r="693">
      <c r="A693" s="28" t="n">
        <v>20695</v>
      </c>
      <c r="B693" t="n">
        <v/>
      </c>
      <c r="C693" t="n">
        <v>2.7</v>
      </c>
    </row>
    <row r="694">
      <c r="A694" s="28" t="n">
        <v>20696</v>
      </c>
      <c r="B694" t="n">
        <v/>
      </c>
      <c r="C694" t="n">
        <v>2.73</v>
      </c>
    </row>
    <row r="695">
      <c r="A695" s="28" t="n">
        <v>20697</v>
      </c>
      <c r="B695" t="n">
        <v/>
      </c>
      <c r="C695" t="n">
        <v>2.74</v>
      </c>
    </row>
    <row r="696">
      <c r="A696" s="28" t="n">
        <v>20698</v>
      </c>
      <c r="B696" t="n">
        <v/>
      </c>
      <c r="C696" t="n">
        <v>2.66</v>
      </c>
    </row>
    <row r="697">
      <c r="A697" s="28" t="n">
        <v>20701</v>
      </c>
      <c r="B697" t="n">
        <v/>
      </c>
      <c r="C697" t="n">
        <v>0</v>
      </c>
    </row>
    <row r="698">
      <c r="A698" s="28" t="n">
        <v>20702</v>
      </c>
      <c r="B698" t="n">
        <v/>
      </c>
      <c r="C698" t="n">
        <v>2.64</v>
      </c>
    </row>
    <row r="699">
      <c r="A699" s="28" t="n">
        <v>20703</v>
      </c>
      <c r="B699" t="n">
        <v/>
      </c>
      <c r="C699" t="n">
        <v>2.7</v>
      </c>
    </row>
    <row r="700">
      <c r="A700" s="28" t="n">
        <v>20704</v>
      </c>
      <c r="B700" t="n">
        <v/>
      </c>
      <c r="C700" t="n">
        <v>2.7</v>
      </c>
    </row>
    <row r="701">
      <c r="A701" s="28" t="n">
        <v>20705</v>
      </c>
      <c r="B701" t="n">
        <v/>
      </c>
      <c r="C701" t="n">
        <v>2.7</v>
      </c>
    </row>
    <row r="702">
      <c r="A702" s="28" t="n">
        <v>20708</v>
      </c>
      <c r="B702" t="n">
        <v/>
      </c>
      <c r="C702" t="n">
        <v>2.73</v>
      </c>
    </row>
    <row r="703">
      <c r="A703" s="28" t="n">
        <v>20709</v>
      </c>
      <c r="B703" t="n">
        <v/>
      </c>
      <c r="C703" t="n">
        <v>2.75</v>
      </c>
    </row>
    <row r="704">
      <c r="A704" s="28" t="n">
        <v>20710</v>
      </c>
      <c r="B704" t="n">
        <v/>
      </c>
      <c r="C704" t="n">
        <v>2.82</v>
      </c>
    </row>
    <row r="705">
      <c r="A705" s="28" t="n">
        <v>20711</v>
      </c>
      <c r="B705" t="n">
        <v/>
      </c>
      <c r="C705" t="n">
        <v>2.82</v>
      </c>
    </row>
    <row r="706">
      <c r="A706" s="28" t="n">
        <v>20712</v>
      </c>
      <c r="B706" t="n">
        <v/>
      </c>
      <c r="C706" t="n">
        <v>2.82</v>
      </c>
    </row>
    <row r="707">
      <c r="A707" s="28" t="n">
        <v>20715</v>
      </c>
      <c r="B707" t="n">
        <v/>
      </c>
      <c r="C707" t="n">
        <v>2.87</v>
      </c>
    </row>
    <row r="708">
      <c r="A708" s="28" t="n">
        <v>20716</v>
      </c>
      <c r="B708" t="n">
        <v/>
      </c>
      <c r="C708" t="n">
        <v>2.86</v>
      </c>
    </row>
    <row r="709">
      <c r="A709" s="28" t="n">
        <v>20717</v>
      </c>
      <c r="B709" t="n">
        <v/>
      </c>
      <c r="C709" t="n">
        <v>2.95</v>
      </c>
    </row>
    <row r="710">
      <c r="A710" s="28" t="n">
        <v>20718</v>
      </c>
      <c r="B710" t="n">
        <v/>
      </c>
      <c r="C710" t="n">
        <v>2.93</v>
      </c>
    </row>
    <row r="711">
      <c r="A711" s="28" t="n">
        <v>20719</v>
      </c>
      <c r="B711" t="n">
        <v/>
      </c>
      <c r="C711" t="n">
        <v>2.92</v>
      </c>
    </row>
    <row r="712">
      <c r="A712" s="28" t="n">
        <v>20722</v>
      </c>
      <c r="B712" t="n">
        <v/>
      </c>
      <c r="C712" t="n">
        <v>2.93</v>
      </c>
    </row>
    <row r="713">
      <c r="A713" s="28" t="n">
        <v>20723</v>
      </c>
      <c r="B713" t="n">
        <v/>
      </c>
      <c r="C713" t="n">
        <v>2.93</v>
      </c>
    </row>
    <row r="714">
      <c r="A714" s="28" t="n">
        <v>20724</v>
      </c>
      <c r="B714" t="n">
        <v/>
      </c>
      <c r="C714" t="n">
        <v>2.97</v>
      </c>
    </row>
    <row r="715">
      <c r="A715" s="28" t="n">
        <v>20725</v>
      </c>
      <c r="B715" t="n">
        <v/>
      </c>
      <c r="C715" t="n">
        <v>2.96</v>
      </c>
    </row>
    <row r="716">
      <c r="A716" s="28" t="n">
        <v>20726</v>
      </c>
      <c r="B716" t="n">
        <v/>
      </c>
      <c r="C716" t="n">
        <v>2.91</v>
      </c>
    </row>
    <row r="717">
      <c r="A717" s="28" t="n">
        <v>20729</v>
      </c>
      <c r="B717" t="n">
        <v/>
      </c>
      <c r="C717" t="n">
        <v>2.85</v>
      </c>
    </row>
    <row r="718">
      <c r="A718" s="28" t="n">
        <v>20730</v>
      </c>
      <c r="B718" t="n">
        <v/>
      </c>
      <c r="C718" t="n">
        <v>2.84</v>
      </c>
    </row>
    <row r="719">
      <c r="A719" s="28" t="n">
        <v>20731</v>
      </c>
      <c r="B719" t="n">
        <v/>
      </c>
      <c r="C719" t="n">
        <v>2.88</v>
      </c>
    </row>
    <row r="720">
      <c r="A720" s="28" t="n">
        <v>20732</v>
      </c>
      <c r="B720" t="n">
        <v/>
      </c>
      <c r="C720" t="n">
        <v>2.88</v>
      </c>
    </row>
    <row r="721">
      <c r="A721" s="28" t="n">
        <v>20733</v>
      </c>
      <c r="B721" t="n">
        <v/>
      </c>
      <c r="C721" t="n">
        <v>2.92</v>
      </c>
    </row>
    <row r="722">
      <c r="A722" s="28" t="n">
        <v>20736</v>
      </c>
      <c r="B722" t="n">
        <v/>
      </c>
      <c r="C722" t="n">
        <v>2.96</v>
      </c>
    </row>
    <row r="723">
      <c r="A723" s="28" t="n">
        <v>20737</v>
      </c>
      <c r="B723" t="n">
        <v/>
      </c>
      <c r="C723" t="n">
        <v>2.95</v>
      </c>
    </row>
    <row r="724">
      <c r="A724" s="28" t="n">
        <v>20738</v>
      </c>
      <c r="B724" t="n">
        <v/>
      </c>
      <c r="C724" t="n">
        <v>3.01</v>
      </c>
    </row>
    <row r="725">
      <c r="A725" s="28" t="n">
        <v>20739</v>
      </c>
      <c r="B725" t="n">
        <v/>
      </c>
      <c r="C725" t="n">
        <v>2.93</v>
      </c>
    </row>
    <row r="726">
      <c r="A726" s="28" t="n">
        <v>20740</v>
      </c>
      <c r="B726" t="n">
        <v/>
      </c>
      <c r="C726" t="n">
        <v>0</v>
      </c>
    </row>
    <row r="727">
      <c r="A727" s="28" t="n">
        <v>20743</v>
      </c>
      <c r="B727" t="n">
        <v/>
      </c>
      <c r="C727" t="n">
        <v>2.93</v>
      </c>
    </row>
    <row r="728">
      <c r="A728" s="28" t="n">
        <v>20744</v>
      </c>
      <c r="B728" t="n">
        <v/>
      </c>
      <c r="C728" t="n">
        <v>2.89</v>
      </c>
    </row>
    <row r="729">
      <c r="A729" s="28" t="n">
        <v>20745</v>
      </c>
      <c r="B729" t="n">
        <v/>
      </c>
      <c r="C729" t="n">
        <v>2.97</v>
      </c>
    </row>
    <row r="730">
      <c r="A730" s="28" t="n">
        <v>20746</v>
      </c>
      <c r="B730" t="n">
        <v/>
      </c>
      <c r="C730" t="n">
        <v>2.97</v>
      </c>
    </row>
    <row r="731">
      <c r="A731" s="28" t="n">
        <v>20747</v>
      </c>
      <c r="B731" t="n">
        <v/>
      </c>
      <c r="C731" t="n">
        <v>2.93</v>
      </c>
    </row>
    <row r="732">
      <c r="A732" s="28" t="n">
        <v>20750</v>
      </c>
      <c r="B732" t="n">
        <v/>
      </c>
      <c r="C732" t="n">
        <v>2.88</v>
      </c>
    </row>
    <row r="733">
      <c r="A733" s="28" t="n">
        <v>20751</v>
      </c>
      <c r="B733" t="n">
        <v/>
      </c>
      <c r="C733" t="n">
        <v>2.86</v>
      </c>
    </row>
    <row r="734">
      <c r="A734" s="28" t="n">
        <v>20752</v>
      </c>
      <c r="B734" t="n">
        <v/>
      </c>
      <c r="C734" t="n">
        <v>2.85</v>
      </c>
    </row>
    <row r="735">
      <c r="A735" s="28" t="n">
        <v>20753</v>
      </c>
      <c r="B735" t="n">
        <v/>
      </c>
      <c r="C735" t="n">
        <v>2.86</v>
      </c>
    </row>
    <row r="736">
      <c r="A736" s="28" t="n">
        <v>20754</v>
      </c>
      <c r="B736" t="n">
        <v/>
      </c>
      <c r="C736" t="n">
        <v>2.86</v>
      </c>
    </row>
    <row r="737">
      <c r="A737" s="28" t="n">
        <v>20757</v>
      </c>
      <c r="B737" t="n">
        <v/>
      </c>
      <c r="C737" t="n">
        <v>2.86</v>
      </c>
    </row>
    <row r="738">
      <c r="A738" s="28" t="n">
        <v>20758</v>
      </c>
      <c r="B738" t="n">
        <v/>
      </c>
      <c r="C738" t="n">
        <v>2.82</v>
      </c>
    </row>
    <row r="739">
      <c r="A739" s="28" t="n">
        <v>20759</v>
      </c>
      <c r="B739" t="n">
        <v/>
      </c>
      <c r="C739" t="n">
        <v>2.86</v>
      </c>
    </row>
    <row r="740">
      <c r="A740" s="28" t="n">
        <v>20760</v>
      </c>
      <c r="B740" t="n">
        <v/>
      </c>
      <c r="C740" t="n">
        <v>2.85</v>
      </c>
    </row>
    <row r="741">
      <c r="A741" s="28" t="n">
        <v>20761</v>
      </c>
      <c r="B741" t="n">
        <v/>
      </c>
      <c r="C741" t="n">
        <v>2.86</v>
      </c>
    </row>
    <row r="742">
      <c r="A742" s="28" t="n">
        <v>20764</v>
      </c>
      <c r="B742" t="n">
        <v/>
      </c>
      <c r="C742" t="n">
        <v>2.87</v>
      </c>
    </row>
    <row r="743">
      <c r="A743" s="28" t="n">
        <v>20765</v>
      </c>
      <c r="B743" t="n">
        <v/>
      </c>
      <c r="C743" t="n">
        <v>2.87</v>
      </c>
    </row>
    <row r="744">
      <c r="A744" s="28" t="n">
        <v>20766</v>
      </c>
      <c r="B744" t="n">
        <v/>
      </c>
      <c r="C744" t="n">
        <v>2.9</v>
      </c>
    </row>
    <row r="745">
      <c r="A745" s="28" t="n">
        <v>20767</v>
      </c>
      <c r="B745" t="n">
        <v/>
      </c>
      <c r="C745" t="n">
        <v>2.94</v>
      </c>
    </row>
    <row r="746">
      <c r="A746" s="28" t="n">
        <v>20768</v>
      </c>
      <c r="B746" t="n">
        <v/>
      </c>
      <c r="C746" t="n">
        <v>2.94</v>
      </c>
    </row>
    <row r="747">
      <c r="A747" s="28" t="n">
        <v>20771</v>
      </c>
      <c r="B747" t="n">
        <v/>
      </c>
      <c r="C747" t="n">
        <v>0</v>
      </c>
    </row>
    <row r="748">
      <c r="A748" s="28" t="n">
        <v>20772</v>
      </c>
      <c r="B748" t="n">
        <v/>
      </c>
      <c r="C748" t="n">
        <v>2.94</v>
      </c>
    </row>
    <row r="749">
      <c r="A749" s="28" t="n">
        <v>20773</v>
      </c>
      <c r="B749" t="n">
        <v/>
      </c>
      <c r="C749" t="n">
        <v>3</v>
      </c>
    </row>
    <row r="750">
      <c r="A750" s="28" t="n">
        <v>20774</v>
      </c>
      <c r="B750" t="n">
        <v/>
      </c>
      <c r="C750" t="n">
        <v>3.01</v>
      </c>
    </row>
    <row r="751">
      <c r="A751" s="28" t="n">
        <v>20775</v>
      </c>
      <c r="B751" t="n">
        <v/>
      </c>
      <c r="C751" t="n">
        <v>3</v>
      </c>
    </row>
    <row r="752">
      <c r="A752" s="28" t="n">
        <v>20778</v>
      </c>
      <c r="B752" t="n">
        <v/>
      </c>
      <c r="C752" t="n">
        <v>3</v>
      </c>
    </row>
    <row r="753">
      <c r="A753" s="28" t="n">
        <v>20779</v>
      </c>
      <c r="B753" t="n">
        <v/>
      </c>
      <c r="C753" t="n">
        <v>3.01</v>
      </c>
    </row>
    <row r="754">
      <c r="A754" s="28" t="n">
        <v>20780</v>
      </c>
      <c r="B754" t="n">
        <v/>
      </c>
      <c r="C754" t="n">
        <v>3.07</v>
      </c>
    </row>
    <row r="755">
      <c r="A755" s="28" t="n">
        <v>20781</v>
      </c>
      <c r="B755" t="n">
        <v/>
      </c>
      <c r="C755" t="n">
        <v>0</v>
      </c>
    </row>
    <row r="756">
      <c r="A756" s="28" t="n">
        <v>20782</v>
      </c>
      <c r="B756" t="n">
        <v/>
      </c>
      <c r="C756" t="n">
        <v>3.1</v>
      </c>
    </row>
    <row r="757">
      <c r="A757" s="28" t="n">
        <v>20785</v>
      </c>
      <c r="B757" t="n">
        <v/>
      </c>
      <c r="C757" t="n">
        <v>3.16</v>
      </c>
    </row>
    <row r="758">
      <c r="A758" s="28" t="n">
        <v>20786</v>
      </c>
      <c r="B758" t="n">
        <v/>
      </c>
      <c r="C758" t="n">
        <v>3.12</v>
      </c>
    </row>
    <row r="759">
      <c r="A759" s="28" t="n">
        <v>20787</v>
      </c>
      <c r="B759" t="n">
        <v/>
      </c>
      <c r="C759" t="n">
        <v>3.03</v>
      </c>
    </row>
    <row r="760">
      <c r="A760" s="28" t="n">
        <v>20788</v>
      </c>
      <c r="B760" t="n">
        <v/>
      </c>
      <c r="C760" t="n">
        <v>3.03</v>
      </c>
    </row>
    <row r="761">
      <c r="A761" s="28" t="n">
        <v>20789</v>
      </c>
      <c r="B761" t="n">
        <v/>
      </c>
      <c r="C761" t="n">
        <v>3.04</v>
      </c>
    </row>
    <row r="762">
      <c r="A762" s="28" t="n">
        <v>20792</v>
      </c>
      <c r="B762" t="n">
        <v/>
      </c>
      <c r="C762" t="n">
        <v>3.06</v>
      </c>
    </row>
    <row r="763">
      <c r="A763" s="28" t="n">
        <v>20793</v>
      </c>
      <c r="B763" t="n">
        <v/>
      </c>
      <c r="C763" t="n">
        <v>3.07</v>
      </c>
    </row>
    <row r="764">
      <c r="A764" s="28" t="n">
        <v>20794</v>
      </c>
      <c r="B764" t="n">
        <v/>
      </c>
      <c r="C764" t="n">
        <v>3.14</v>
      </c>
    </row>
    <row r="765">
      <c r="A765" s="28" t="n">
        <v>20795</v>
      </c>
      <c r="B765" t="n">
        <v/>
      </c>
      <c r="C765" t="n">
        <v>3.14</v>
      </c>
    </row>
    <row r="766">
      <c r="A766" s="28" t="n">
        <v>20796</v>
      </c>
      <c r="B766" t="n">
        <v/>
      </c>
      <c r="C766" t="n">
        <v>3.19</v>
      </c>
    </row>
    <row r="767">
      <c r="A767" s="28" t="n">
        <v>20799</v>
      </c>
      <c r="B767" t="n">
        <v/>
      </c>
      <c r="C767" t="n">
        <v>3.22</v>
      </c>
    </row>
    <row r="768">
      <c r="A768" s="28" t="n">
        <v>20800</v>
      </c>
      <c r="B768" t="n">
        <v/>
      </c>
      <c r="C768" t="n">
        <v>3.22</v>
      </c>
    </row>
    <row r="769">
      <c r="A769" s="28" t="n">
        <v>20801</v>
      </c>
      <c r="B769" t="n">
        <v/>
      </c>
      <c r="C769" t="n">
        <v>3.25</v>
      </c>
    </row>
    <row r="770">
      <c r="A770" s="28" t="n">
        <v>20802</v>
      </c>
      <c r="B770" t="n">
        <v/>
      </c>
      <c r="C770" t="n">
        <v>3.24</v>
      </c>
    </row>
    <row r="771">
      <c r="A771" s="28" t="n">
        <v>20803</v>
      </c>
      <c r="B771" t="n">
        <v/>
      </c>
      <c r="C771" t="n">
        <v>3.25</v>
      </c>
    </row>
    <row r="772">
      <c r="A772" s="28" t="n">
        <v>20806</v>
      </c>
      <c r="B772" t="n">
        <v/>
      </c>
      <c r="C772" t="n">
        <v>3.29</v>
      </c>
    </row>
    <row r="773">
      <c r="A773" s="28" t="n">
        <v>20807</v>
      </c>
      <c r="B773" t="n">
        <v/>
      </c>
      <c r="C773" t="n">
        <v>3.26</v>
      </c>
    </row>
    <row r="774">
      <c r="A774" s="28" t="n">
        <v>20808</v>
      </c>
      <c r="B774" t="n">
        <v/>
      </c>
      <c r="C774" t="n">
        <v>3.32</v>
      </c>
    </row>
    <row r="775">
      <c r="A775" s="28" t="n">
        <v>20809</v>
      </c>
      <c r="B775" t="n">
        <v/>
      </c>
      <c r="C775" t="n">
        <v>3.27</v>
      </c>
    </row>
    <row r="776">
      <c r="A776" s="28" t="n">
        <v>20810</v>
      </c>
      <c r="B776" t="n">
        <v/>
      </c>
      <c r="C776" t="n">
        <v>3.19</v>
      </c>
    </row>
    <row r="777">
      <c r="A777" s="28" t="n">
        <v>20813</v>
      </c>
      <c r="B777" t="n">
        <v/>
      </c>
      <c r="C777" t="n">
        <v>3.11</v>
      </c>
    </row>
    <row r="778">
      <c r="A778" s="28" t="n">
        <v>20814</v>
      </c>
      <c r="B778" t="n">
        <v/>
      </c>
      <c r="C778" t="n">
        <v>0</v>
      </c>
    </row>
    <row r="779">
      <c r="A779" s="28" t="n">
        <v>20815</v>
      </c>
      <c r="B779" t="n">
        <v/>
      </c>
      <c r="C779" t="n">
        <v>3.22</v>
      </c>
    </row>
    <row r="780">
      <c r="A780" s="28" t="n">
        <v>20816</v>
      </c>
      <c r="B780" t="n">
        <v/>
      </c>
      <c r="C780" t="n">
        <v>3.23</v>
      </c>
    </row>
    <row r="781">
      <c r="A781" s="28" t="n">
        <v>20817</v>
      </c>
      <c r="B781" t="n">
        <v/>
      </c>
      <c r="C781" t="n">
        <v>3.22</v>
      </c>
    </row>
    <row r="782">
      <c r="A782" s="28" t="n">
        <v>20820</v>
      </c>
      <c r="B782" t="n">
        <v/>
      </c>
      <c r="C782" t="n">
        <v>3.22</v>
      </c>
    </row>
    <row r="783">
      <c r="A783" s="28" t="n">
        <v>20821</v>
      </c>
      <c r="B783" t="n">
        <v/>
      </c>
      <c r="C783" t="n">
        <v>3.22</v>
      </c>
    </row>
    <row r="784">
      <c r="A784" s="28" t="n">
        <v>20822</v>
      </c>
      <c r="B784" t="n">
        <v/>
      </c>
      <c r="C784" t="n">
        <v>3.17</v>
      </c>
    </row>
    <row r="785">
      <c r="A785" s="28" t="n">
        <v>20823</v>
      </c>
      <c r="B785" t="n">
        <v/>
      </c>
      <c r="C785" t="n">
        <v>3.1</v>
      </c>
    </row>
    <row r="786">
      <c r="A786" s="28" t="n">
        <v>20824</v>
      </c>
      <c r="B786" t="n">
        <v/>
      </c>
      <c r="C786" t="n">
        <v>3.07</v>
      </c>
    </row>
    <row r="787">
      <c r="A787" s="28" t="n">
        <v>20827</v>
      </c>
      <c r="B787" t="n">
        <v/>
      </c>
      <c r="C787" t="n">
        <v>3.1</v>
      </c>
    </row>
    <row r="788">
      <c r="A788" s="28" t="n">
        <v>20828</v>
      </c>
      <c r="B788" t="n">
        <v/>
      </c>
      <c r="C788" t="n">
        <v>3.05</v>
      </c>
    </row>
    <row r="789">
      <c r="A789" s="28" t="n">
        <v>20829</v>
      </c>
      <c r="B789" t="n">
        <v/>
      </c>
      <c r="C789" t="n">
        <v>3.12</v>
      </c>
    </row>
    <row r="790">
      <c r="A790" s="28" t="n">
        <v>20830</v>
      </c>
      <c r="B790" t="n">
        <v/>
      </c>
      <c r="C790" t="n">
        <v>3.06</v>
      </c>
    </row>
    <row r="791">
      <c r="A791" s="28" t="n">
        <v>20831</v>
      </c>
      <c r="B791" t="n">
        <v/>
      </c>
      <c r="C791" t="n">
        <v>3.06</v>
      </c>
    </row>
    <row r="792">
      <c r="A792" s="28" t="n">
        <v>20834</v>
      </c>
      <c r="B792" t="n">
        <v/>
      </c>
      <c r="C792" t="n">
        <v>3.14</v>
      </c>
    </row>
    <row r="793">
      <c r="A793" s="28" t="n">
        <v>20835</v>
      </c>
      <c r="B793" t="n">
        <v/>
      </c>
      <c r="C793" t="n">
        <v>3.1</v>
      </c>
    </row>
    <row r="794">
      <c r="A794" s="28" t="n">
        <v>20836</v>
      </c>
      <c r="B794" t="n">
        <v/>
      </c>
      <c r="C794" t="n">
        <v>3.12</v>
      </c>
    </row>
    <row r="795">
      <c r="A795" s="28" t="n">
        <v>20837</v>
      </c>
      <c r="B795" t="n">
        <v/>
      </c>
      <c r="C795" t="n">
        <v>3.06</v>
      </c>
    </row>
    <row r="796">
      <c r="A796" s="28" t="n">
        <v>20838</v>
      </c>
      <c r="B796" t="n">
        <v/>
      </c>
      <c r="C796" t="n">
        <v>3.02</v>
      </c>
    </row>
    <row r="797">
      <c r="A797" s="28" t="n">
        <v>20841</v>
      </c>
      <c r="B797" t="n">
        <v/>
      </c>
      <c r="C797" t="n">
        <v>3.02</v>
      </c>
    </row>
    <row r="798">
      <c r="A798" s="28" t="n">
        <v>20842</v>
      </c>
      <c r="B798" t="n">
        <v/>
      </c>
      <c r="C798" t="n">
        <v>3.02</v>
      </c>
    </row>
    <row r="799">
      <c r="A799" s="28" t="n">
        <v>20843</v>
      </c>
      <c r="B799" t="n">
        <v/>
      </c>
      <c r="C799" t="n">
        <v>3.11</v>
      </c>
    </row>
    <row r="800">
      <c r="A800" s="28" t="n">
        <v>20844</v>
      </c>
      <c r="B800" t="n">
        <v/>
      </c>
      <c r="C800" t="n">
        <v>3.16</v>
      </c>
    </row>
    <row r="801">
      <c r="A801" s="28" t="n">
        <v>20845</v>
      </c>
      <c r="B801" t="n">
        <v/>
      </c>
      <c r="C801" t="n">
        <v>3.17</v>
      </c>
    </row>
    <row r="802">
      <c r="A802" s="28" t="n">
        <v>20848</v>
      </c>
      <c r="B802" t="n">
        <v/>
      </c>
      <c r="C802" t="n">
        <v>3.23</v>
      </c>
    </row>
    <row r="803">
      <c r="A803" s="28" t="n">
        <v>20849</v>
      </c>
      <c r="B803" t="n">
        <v/>
      </c>
      <c r="C803" t="n">
        <v>3.18</v>
      </c>
    </row>
    <row r="804">
      <c r="A804" s="28" t="n">
        <v>20850</v>
      </c>
      <c r="B804" t="n">
        <v/>
      </c>
      <c r="C804" t="n">
        <v>3.17</v>
      </c>
    </row>
    <row r="805">
      <c r="A805" s="28" t="n">
        <v>20851</v>
      </c>
      <c r="B805" t="n">
        <v/>
      </c>
      <c r="C805" t="n">
        <v>3.12</v>
      </c>
    </row>
    <row r="806">
      <c r="A806" s="28" t="n">
        <v>20852</v>
      </c>
      <c r="B806" t="n">
        <v/>
      </c>
      <c r="C806" t="n">
        <v>3.08</v>
      </c>
    </row>
    <row r="807">
      <c r="A807" s="28" t="n">
        <v>20855</v>
      </c>
      <c r="B807" t="n">
        <v/>
      </c>
      <c r="C807" t="n">
        <v>3.09</v>
      </c>
    </row>
    <row r="808">
      <c r="A808" s="28" t="n">
        <v>20856</v>
      </c>
      <c r="B808" t="n">
        <v/>
      </c>
      <c r="C808" t="n">
        <v>3.05</v>
      </c>
    </row>
    <row r="809">
      <c r="A809" s="28" t="n">
        <v>20857</v>
      </c>
      <c r="B809" t="n">
        <v/>
      </c>
      <c r="C809" t="n">
        <v>3.08</v>
      </c>
    </row>
    <row r="810">
      <c r="A810" s="28" t="n">
        <v>20858</v>
      </c>
      <c r="B810" t="n">
        <v/>
      </c>
      <c r="C810" t="n">
        <v>3.03</v>
      </c>
    </row>
    <row r="811">
      <c r="A811" s="28" t="n">
        <v>20859</v>
      </c>
      <c r="B811" t="n">
        <v/>
      </c>
      <c r="C811" t="n">
        <v>3</v>
      </c>
    </row>
    <row r="812">
      <c r="A812" s="28" t="n">
        <v>20862</v>
      </c>
      <c r="B812" t="n">
        <v/>
      </c>
      <c r="C812" t="n">
        <v>3</v>
      </c>
    </row>
    <row r="813">
      <c r="A813" s="28" t="n">
        <v>20863</v>
      </c>
      <c r="B813" t="n">
        <v/>
      </c>
      <c r="C813" t="n">
        <v>3</v>
      </c>
    </row>
    <row r="814">
      <c r="A814" s="28" t="n">
        <v>20864</v>
      </c>
      <c r="B814" t="n">
        <v/>
      </c>
      <c r="C814" t="n">
        <v>2.98</v>
      </c>
    </row>
    <row r="815">
      <c r="A815" s="28" t="n">
        <v>20865</v>
      </c>
      <c r="B815" t="n">
        <v/>
      </c>
      <c r="C815" t="n">
        <v>3</v>
      </c>
    </row>
    <row r="816">
      <c r="A816" s="28" t="n">
        <v>20866</v>
      </c>
      <c r="B816" t="n">
        <v/>
      </c>
      <c r="C816" t="n">
        <v>3.04</v>
      </c>
    </row>
    <row r="817">
      <c r="A817" s="28" t="n">
        <v>20869</v>
      </c>
      <c r="B817" t="n">
        <v/>
      </c>
      <c r="C817" t="n">
        <v>3.1</v>
      </c>
    </row>
    <row r="818">
      <c r="A818" s="28" t="n">
        <v>20870</v>
      </c>
      <c r="B818" t="n">
        <v/>
      </c>
      <c r="C818" t="n">
        <v>3.1</v>
      </c>
    </row>
    <row r="819">
      <c r="A819" s="28" t="n">
        <v>20871</v>
      </c>
      <c r="B819" t="n">
        <v/>
      </c>
      <c r="C819" t="n">
        <v>3.19</v>
      </c>
    </row>
    <row r="820">
      <c r="A820" s="28" t="n">
        <v>20872</v>
      </c>
      <c r="B820" t="n">
        <v/>
      </c>
      <c r="C820" t="n">
        <v>3.2</v>
      </c>
    </row>
    <row r="821">
      <c r="A821" s="28" t="n">
        <v>20873</v>
      </c>
      <c r="B821" t="n">
        <v/>
      </c>
      <c r="C821" t="n">
        <v>0</v>
      </c>
    </row>
    <row r="822">
      <c r="A822" s="28" t="n">
        <v>20876</v>
      </c>
      <c r="B822" t="n">
        <v/>
      </c>
      <c r="C822" t="n">
        <v>3.22</v>
      </c>
    </row>
    <row r="823">
      <c r="A823" s="28" t="n">
        <v>20877</v>
      </c>
      <c r="B823" t="n">
        <v/>
      </c>
      <c r="C823" t="n">
        <v>3.24</v>
      </c>
    </row>
    <row r="824">
      <c r="A824" s="28" t="n">
        <v>20878</v>
      </c>
      <c r="B824" t="n">
        <v/>
      </c>
      <c r="C824" t="n">
        <v>3.29</v>
      </c>
    </row>
    <row r="825">
      <c r="A825" s="28" t="n">
        <v>20879</v>
      </c>
      <c r="B825" t="n">
        <v/>
      </c>
      <c r="C825" t="n">
        <v>3.28</v>
      </c>
    </row>
    <row r="826">
      <c r="A826" s="28" t="n">
        <v>20880</v>
      </c>
      <c r="B826" t="n">
        <v/>
      </c>
      <c r="C826" t="n">
        <v>3.24</v>
      </c>
    </row>
    <row r="827">
      <c r="A827" s="28" t="n">
        <v>20883</v>
      </c>
      <c r="B827" t="n">
        <v/>
      </c>
      <c r="C827" t="n">
        <v>3.18</v>
      </c>
    </row>
    <row r="828">
      <c r="A828" s="28" t="n">
        <v>20884</v>
      </c>
      <c r="B828" t="n">
        <v/>
      </c>
      <c r="C828" t="n">
        <v>3.15</v>
      </c>
    </row>
    <row r="829">
      <c r="A829" s="28" t="n">
        <v>20885</v>
      </c>
      <c r="B829" t="n">
        <v/>
      </c>
      <c r="C829" t="n">
        <v>3.19</v>
      </c>
    </row>
    <row r="830">
      <c r="A830" s="28" t="n">
        <v>20886</v>
      </c>
      <c r="B830" t="n">
        <v/>
      </c>
      <c r="C830" t="n">
        <v>3.19</v>
      </c>
    </row>
    <row r="831">
      <c r="A831" s="28" t="n">
        <v>20887</v>
      </c>
      <c r="B831" t="n">
        <v/>
      </c>
      <c r="C831" t="n">
        <v>3.2</v>
      </c>
    </row>
    <row r="832">
      <c r="A832" s="28" t="n">
        <v>20890</v>
      </c>
      <c r="B832" t="n">
        <v/>
      </c>
      <c r="C832" t="n">
        <v>3.19</v>
      </c>
    </row>
    <row r="833">
      <c r="A833" s="28" t="n">
        <v>20891</v>
      </c>
      <c r="B833" t="n">
        <v/>
      </c>
      <c r="C833" t="n">
        <v>3.16</v>
      </c>
    </row>
    <row r="834">
      <c r="A834" s="28" t="n">
        <v>20892</v>
      </c>
      <c r="B834" t="n">
        <v/>
      </c>
      <c r="C834" t="n">
        <v>3.17</v>
      </c>
    </row>
    <row r="835">
      <c r="A835" s="28" t="n">
        <v>20893</v>
      </c>
      <c r="B835" t="n">
        <v/>
      </c>
      <c r="C835" t="n">
        <v>3.14</v>
      </c>
    </row>
    <row r="836">
      <c r="A836" s="28" t="n">
        <v>20894</v>
      </c>
      <c r="B836" t="n">
        <v/>
      </c>
      <c r="C836" t="n">
        <v>3.1</v>
      </c>
    </row>
    <row r="837">
      <c r="A837" s="28" t="n">
        <v>20897</v>
      </c>
      <c r="B837" t="n">
        <v/>
      </c>
      <c r="C837" t="n">
        <v>3.02</v>
      </c>
    </row>
    <row r="838">
      <c r="A838" s="28" t="n">
        <v>20898</v>
      </c>
      <c r="B838" t="n">
        <v/>
      </c>
      <c r="C838" t="n">
        <v>3.02</v>
      </c>
    </row>
    <row r="839">
      <c r="A839" s="28" t="n">
        <v>20899</v>
      </c>
      <c r="B839" t="n">
        <v/>
      </c>
      <c r="C839" t="n">
        <v>3</v>
      </c>
    </row>
    <row r="840">
      <c r="A840" s="28" t="n">
        <v>20900</v>
      </c>
      <c r="B840" t="n">
        <v/>
      </c>
      <c r="C840" t="n">
        <v>2.97</v>
      </c>
    </row>
    <row r="841">
      <c r="A841" s="28" t="n">
        <v>20901</v>
      </c>
      <c r="B841" t="n">
        <v/>
      </c>
      <c r="C841" t="n">
        <v>2.97</v>
      </c>
    </row>
    <row r="842">
      <c r="A842" s="28" t="n">
        <v>20904</v>
      </c>
      <c r="B842" t="n">
        <v/>
      </c>
      <c r="C842" t="n">
        <v>2.98</v>
      </c>
    </row>
    <row r="843">
      <c r="A843" s="28" t="n">
        <v>20905</v>
      </c>
      <c r="B843" t="n">
        <v/>
      </c>
      <c r="C843" t="n">
        <v>2.94</v>
      </c>
    </row>
    <row r="844">
      <c r="A844" s="28" t="n">
        <v>20906</v>
      </c>
      <c r="B844" t="n">
        <v/>
      </c>
      <c r="C844" t="n">
        <v>2.99</v>
      </c>
    </row>
    <row r="845">
      <c r="A845" s="28" t="n">
        <v>20907</v>
      </c>
      <c r="B845" t="n">
        <v/>
      </c>
      <c r="C845" t="n">
        <v>2.96</v>
      </c>
    </row>
    <row r="846">
      <c r="A846" s="28" t="n">
        <v>20908</v>
      </c>
      <c r="B846" t="n">
        <v/>
      </c>
      <c r="C846" t="n">
        <v>2.96</v>
      </c>
    </row>
    <row r="847">
      <c r="A847" s="28" t="n">
        <v>20911</v>
      </c>
      <c r="B847" t="n">
        <v/>
      </c>
      <c r="C847" t="n">
        <v>2.96</v>
      </c>
    </row>
    <row r="848">
      <c r="A848" s="28" t="n">
        <v>20912</v>
      </c>
      <c r="B848" t="n">
        <v/>
      </c>
      <c r="C848" t="n">
        <v>2.97</v>
      </c>
    </row>
    <row r="849">
      <c r="A849" s="28" t="n">
        <v>20913</v>
      </c>
      <c r="B849" t="n">
        <v/>
      </c>
      <c r="C849" t="n">
        <v>3.06</v>
      </c>
    </row>
    <row r="850">
      <c r="A850" s="28" t="n">
        <v>20914</v>
      </c>
      <c r="B850" t="n">
        <v/>
      </c>
      <c r="C850" t="n">
        <v>3.08</v>
      </c>
    </row>
    <row r="851">
      <c r="A851" s="28" t="n">
        <v>20915</v>
      </c>
      <c r="B851" t="n">
        <v/>
      </c>
      <c r="C851" t="n">
        <v>3.08</v>
      </c>
    </row>
    <row r="852">
      <c r="A852" s="28" t="n">
        <v>20918</v>
      </c>
      <c r="B852" t="n">
        <v/>
      </c>
      <c r="C852" t="n">
        <v>3.1</v>
      </c>
    </row>
    <row r="853">
      <c r="A853" s="28" t="n">
        <v>20919</v>
      </c>
      <c r="B853" t="n">
        <v/>
      </c>
      <c r="C853" t="n">
        <v>3.09</v>
      </c>
    </row>
    <row r="854">
      <c r="A854" s="28" t="n">
        <v>20920</v>
      </c>
      <c r="B854" t="n">
        <v/>
      </c>
      <c r="C854" t="n">
        <v>3.14</v>
      </c>
    </row>
    <row r="855">
      <c r="A855" s="28" t="n">
        <v>20921</v>
      </c>
      <c r="B855" t="n">
        <v/>
      </c>
      <c r="C855" t="n">
        <v>3.16</v>
      </c>
    </row>
    <row r="856">
      <c r="A856" s="28" t="n">
        <v>20922</v>
      </c>
      <c r="B856" t="n">
        <v/>
      </c>
      <c r="C856" t="n">
        <v>3.16</v>
      </c>
    </row>
    <row r="857">
      <c r="A857" s="28" t="n">
        <v>20925</v>
      </c>
      <c r="B857" t="n">
        <v/>
      </c>
      <c r="C857" t="n">
        <v>3.14</v>
      </c>
    </row>
    <row r="858">
      <c r="A858" s="28" t="n">
        <v>20926</v>
      </c>
      <c r="B858" t="n">
        <v/>
      </c>
      <c r="C858" t="n">
        <v>3.11</v>
      </c>
    </row>
    <row r="859">
      <c r="A859" s="28" t="n">
        <v>20927</v>
      </c>
      <c r="B859" t="n">
        <v/>
      </c>
      <c r="C859" t="n">
        <v>3.12</v>
      </c>
    </row>
    <row r="860">
      <c r="A860" s="28" t="n">
        <v>20928</v>
      </c>
      <c r="B860" t="n">
        <v/>
      </c>
      <c r="C860" t="n">
        <v>3.08</v>
      </c>
    </row>
    <row r="861">
      <c r="A861" s="28" t="n">
        <v>20929</v>
      </c>
      <c r="B861" t="n">
        <v/>
      </c>
      <c r="C861" t="n">
        <v>3.08</v>
      </c>
    </row>
    <row r="862">
      <c r="A862" s="28" t="n">
        <v>20932</v>
      </c>
      <c r="B862" t="n">
        <v/>
      </c>
      <c r="C862" t="n">
        <v>3.04</v>
      </c>
    </row>
    <row r="863">
      <c r="A863" s="28" t="n">
        <v>20933</v>
      </c>
      <c r="B863" t="n">
        <v/>
      </c>
      <c r="C863" t="n">
        <v>3.02</v>
      </c>
    </row>
    <row r="864">
      <c r="A864" s="28" t="n">
        <v>20934</v>
      </c>
      <c r="B864" t="n">
        <v/>
      </c>
      <c r="C864" t="n">
        <v>3.02</v>
      </c>
    </row>
    <row r="865">
      <c r="A865" s="28" t="n">
        <v>20935</v>
      </c>
      <c r="B865" t="n">
        <v/>
      </c>
      <c r="C865" t="n">
        <v>3.02</v>
      </c>
    </row>
    <row r="866">
      <c r="A866" s="28" t="n">
        <v>20936</v>
      </c>
      <c r="B866" t="n">
        <v/>
      </c>
      <c r="C866" t="n">
        <v>3.02</v>
      </c>
    </row>
    <row r="867">
      <c r="A867" s="28" t="n">
        <v>20939</v>
      </c>
      <c r="B867" t="n">
        <v/>
      </c>
      <c r="C867" t="n">
        <v>3</v>
      </c>
    </row>
    <row r="868">
      <c r="A868" s="28" t="n">
        <v>20940</v>
      </c>
      <c r="B868" t="n">
        <v/>
      </c>
      <c r="C868" t="n">
        <v>3.01</v>
      </c>
    </row>
    <row r="869">
      <c r="A869" s="28" t="n">
        <v>20941</v>
      </c>
      <c r="B869" t="n">
        <v/>
      </c>
      <c r="C869" t="n">
        <v>3.03</v>
      </c>
    </row>
    <row r="870">
      <c r="A870" s="28" t="n">
        <v>20942</v>
      </c>
      <c r="B870" t="n">
        <v/>
      </c>
      <c r="C870" t="n">
        <v>3</v>
      </c>
    </row>
    <row r="871">
      <c r="A871" s="28" t="n">
        <v>20943</v>
      </c>
      <c r="B871" t="n">
        <v/>
      </c>
      <c r="C871" t="n">
        <v>2.95</v>
      </c>
    </row>
    <row r="872">
      <c r="A872" s="28" t="n">
        <v>20946</v>
      </c>
      <c r="B872" t="n">
        <v/>
      </c>
      <c r="C872" t="n">
        <v>2.92</v>
      </c>
    </row>
    <row r="873">
      <c r="A873" s="28" t="n">
        <v>20947</v>
      </c>
      <c r="B873" t="n">
        <v/>
      </c>
      <c r="C873" t="n">
        <v>2.92</v>
      </c>
    </row>
    <row r="874">
      <c r="A874" s="28" t="n">
        <v>20948</v>
      </c>
      <c r="B874" t="n">
        <v/>
      </c>
      <c r="C874" t="n">
        <v>2.97</v>
      </c>
    </row>
    <row r="875">
      <c r="A875" s="28" t="n">
        <v>20949</v>
      </c>
      <c r="B875" t="n">
        <v/>
      </c>
      <c r="C875" t="n">
        <v>2.94</v>
      </c>
    </row>
    <row r="876">
      <c r="A876" s="28" t="n">
        <v>20950</v>
      </c>
      <c r="B876" t="n">
        <v/>
      </c>
      <c r="C876" t="n">
        <v>2.92</v>
      </c>
    </row>
    <row r="877">
      <c r="A877" s="28" t="n">
        <v>20953</v>
      </c>
      <c r="B877" t="n">
        <v/>
      </c>
      <c r="C877" t="n">
        <v>2.9</v>
      </c>
    </row>
    <row r="878">
      <c r="A878" s="28" t="n">
        <v>20954</v>
      </c>
      <c r="B878" t="n">
        <v/>
      </c>
      <c r="C878" t="n">
        <v>2.92</v>
      </c>
    </row>
    <row r="879">
      <c r="A879" s="28" t="n">
        <v>20955</v>
      </c>
      <c r="B879" t="n">
        <v/>
      </c>
      <c r="C879" t="n">
        <v>2.99</v>
      </c>
    </row>
    <row r="880">
      <c r="A880" s="28" t="n">
        <v>20956</v>
      </c>
      <c r="B880" t="n">
        <v/>
      </c>
      <c r="C880" t="n">
        <v>3.02</v>
      </c>
    </row>
    <row r="881">
      <c r="A881" s="28" t="n">
        <v>20957</v>
      </c>
      <c r="B881" t="n">
        <v/>
      </c>
      <c r="C881" t="n">
        <v>3.07</v>
      </c>
    </row>
    <row r="882">
      <c r="A882" s="28" t="n">
        <v>20960</v>
      </c>
      <c r="B882" t="n">
        <v/>
      </c>
      <c r="C882" t="n">
        <v>3.08</v>
      </c>
    </row>
    <row r="883">
      <c r="A883" s="28" t="n">
        <v>20961</v>
      </c>
      <c r="B883" t="n">
        <v/>
      </c>
      <c r="C883" t="n">
        <v>3.09</v>
      </c>
    </row>
    <row r="884">
      <c r="A884" s="28" t="n">
        <v>20962</v>
      </c>
      <c r="B884" t="n">
        <v/>
      </c>
      <c r="C884" t="n">
        <v>3.14</v>
      </c>
    </row>
    <row r="885">
      <c r="A885" s="28" t="n">
        <v>20963</v>
      </c>
      <c r="B885" t="n">
        <v/>
      </c>
      <c r="C885" t="n">
        <v>3.16</v>
      </c>
    </row>
    <row r="886">
      <c r="A886" s="28" t="n">
        <v>20964</v>
      </c>
      <c r="B886" t="n">
        <v/>
      </c>
      <c r="C886" t="n">
        <v>3.21</v>
      </c>
    </row>
    <row r="887">
      <c r="A887" s="28" t="n">
        <v>20967</v>
      </c>
      <c r="B887" t="n">
        <v/>
      </c>
      <c r="C887" t="n">
        <v>3.22</v>
      </c>
    </row>
    <row r="888">
      <c r="A888" s="28" t="n">
        <v>20968</v>
      </c>
      <c r="B888" t="n">
        <v/>
      </c>
      <c r="C888" t="n">
        <v>3.23</v>
      </c>
    </row>
    <row r="889">
      <c r="A889" s="28" t="n">
        <v>20969</v>
      </c>
      <c r="B889" t="n">
        <v/>
      </c>
      <c r="C889" t="n">
        <v>3.29</v>
      </c>
    </row>
    <row r="890">
      <c r="A890" s="28" t="n">
        <v>20970</v>
      </c>
      <c r="B890" t="n">
        <v/>
      </c>
      <c r="C890" t="n">
        <v>0</v>
      </c>
    </row>
    <row r="891">
      <c r="A891" s="28" t="n">
        <v>20971</v>
      </c>
      <c r="B891" t="n">
        <v/>
      </c>
      <c r="C891" t="n">
        <v>3.31</v>
      </c>
    </row>
    <row r="892">
      <c r="A892" s="28" t="n">
        <v>20974</v>
      </c>
      <c r="B892" t="n">
        <v/>
      </c>
      <c r="C892" t="n">
        <v>3.32</v>
      </c>
    </row>
    <row r="893">
      <c r="A893" s="28" t="n">
        <v>20975</v>
      </c>
      <c r="B893" t="n">
        <v/>
      </c>
      <c r="C893" t="n">
        <v>3.32</v>
      </c>
    </row>
    <row r="894">
      <c r="A894" s="28" t="n">
        <v>20976</v>
      </c>
      <c r="B894" t="n">
        <v/>
      </c>
      <c r="C894" t="n">
        <v>3.34</v>
      </c>
    </row>
    <row r="895">
      <c r="A895" s="28" t="n">
        <v>20977</v>
      </c>
      <c r="B895" t="n">
        <v/>
      </c>
      <c r="C895" t="n">
        <v>3.29</v>
      </c>
    </row>
    <row r="896">
      <c r="A896" s="28" t="n">
        <v>20978</v>
      </c>
      <c r="B896" t="n">
        <v/>
      </c>
      <c r="C896" t="n">
        <v>3.24</v>
      </c>
    </row>
    <row r="897">
      <c r="A897" s="28" t="n">
        <v>20981</v>
      </c>
      <c r="B897" t="n">
        <v/>
      </c>
      <c r="C897" t="n">
        <v>3.24</v>
      </c>
    </row>
    <row r="898">
      <c r="A898" s="28" t="n">
        <v>20982</v>
      </c>
      <c r="B898" t="n">
        <v/>
      </c>
      <c r="C898" t="n">
        <v>3.24</v>
      </c>
    </row>
    <row r="899">
      <c r="A899" s="28" t="n">
        <v>20983</v>
      </c>
      <c r="B899" t="n">
        <v/>
      </c>
      <c r="C899" t="n">
        <v>3.27</v>
      </c>
    </row>
    <row r="900">
      <c r="A900" s="28" t="n">
        <v>20984</v>
      </c>
      <c r="B900" t="n">
        <v/>
      </c>
      <c r="C900" t="n">
        <v>3.3</v>
      </c>
    </row>
    <row r="901">
      <c r="A901" s="28" t="n">
        <v>20985</v>
      </c>
      <c r="B901" t="n">
        <v/>
      </c>
      <c r="C901" t="n">
        <v>3.32</v>
      </c>
    </row>
    <row r="902">
      <c r="A902" s="28" t="n">
        <v>20988</v>
      </c>
      <c r="B902" t="n">
        <v/>
      </c>
      <c r="C902" t="n">
        <v>3.36</v>
      </c>
    </row>
    <row r="903">
      <c r="A903" s="28" t="n">
        <v>20989</v>
      </c>
      <c r="B903" t="n">
        <v/>
      </c>
      <c r="C903" t="n">
        <v>3.36</v>
      </c>
    </row>
    <row r="904">
      <c r="A904" s="28" t="n">
        <v>20990</v>
      </c>
      <c r="B904" t="n">
        <v/>
      </c>
      <c r="C904" t="n">
        <v>3.37</v>
      </c>
    </row>
    <row r="905">
      <c r="A905" s="28" t="n">
        <v>20991</v>
      </c>
      <c r="B905" t="n">
        <v/>
      </c>
      <c r="C905" t="n">
        <v>3.38</v>
      </c>
    </row>
    <row r="906">
      <c r="A906" s="28" t="n">
        <v>20992</v>
      </c>
      <c r="B906" t="n">
        <v/>
      </c>
      <c r="C906" t="n">
        <v>3.32</v>
      </c>
    </row>
    <row r="907">
      <c r="A907" s="28" t="n">
        <v>20995</v>
      </c>
      <c r="B907" t="n">
        <v/>
      </c>
      <c r="C907" t="n">
        <v>3.22</v>
      </c>
    </row>
    <row r="908">
      <c r="A908" s="28" t="n">
        <v>20996</v>
      </c>
      <c r="B908" t="n">
        <v/>
      </c>
      <c r="C908" t="n">
        <v>3.2</v>
      </c>
    </row>
    <row r="909">
      <c r="A909" s="28" t="n">
        <v>20997</v>
      </c>
      <c r="B909" t="n">
        <v/>
      </c>
      <c r="C909" t="n">
        <v>3.23</v>
      </c>
    </row>
    <row r="910">
      <c r="A910" s="28" t="n">
        <v>20998</v>
      </c>
      <c r="B910" t="n">
        <v/>
      </c>
      <c r="C910" t="n">
        <v>3.27</v>
      </c>
    </row>
    <row r="911">
      <c r="A911" s="28" t="n">
        <v>20999</v>
      </c>
      <c r="B911" t="n">
        <v/>
      </c>
      <c r="C911" t="n">
        <v>3.22</v>
      </c>
    </row>
    <row r="912">
      <c r="A912" s="28" t="n">
        <v>21002</v>
      </c>
      <c r="B912" t="n">
        <v/>
      </c>
      <c r="C912" t="n">
        <v>3.18</v>
      </c>
    </row>
    <row r="913">
      <c r="A913" s="28" t="n">
        <v>21003</v>
      </c>
      <c r="B913" t="n">
        <v/>
      </c>
      <c r="C913" t="n">
        <v>3.14</v>
      </c>
    </row>
    <row r="914">
      <c r="A914" s="28" t="n">
        <v>21004</v>
      </c>
      <c r="B914" t="n">
        <v/>
      </c>
      <c r="C914" t="n">
        <v>3.23</v>
      </c>
    </row>
    <row r="915">
      <c r="A915" s="28" t="n">
        <v>21005</v>
      </c>
      <c r="B915" t="n">
        <v/>
      </c>
      <c r="C915" t="n">
        <v>0</v>
      </c>
    </row>
    <row r="916">
      <c r="A916" s="28" t="n">
        <v>21006</v>
      </c>
      <c r="B916" t="n">
        <v/>
      </c>
      <c r="C916" t="n">
        <v>3.21</v>
      </c>
    </row>
    <row r="917">
      <c r="A917" s="28" t="n">
        <v>21009</v>
      </c>
      <c r="B917" t="n">
        <v/>
      </c>
      <c r="C917" t="n">
        <v>3.12</v>
      </c>
    </row>
    <row r="918">
      <c r="A918" s="28" t="n">
        <v>21010</v>
      </c>
      <c r="B918" t="n">
        <v/>
      </c>
      <c r="C918" t="n">
        <v>3.1</v>
      </c>
    </row>
    <row r="919">
      <c r="A919" s="28" t="n">
        <v>21011</v>
      </c>
      <c r="B919" t="n">
        <v/>
      </c>
      <c r="C919" t="n">
        <v>3.18</v>
      </c>
    </row>
    <row r="920">
      <c r="A920" s="28" t="n">
        <v>21012</v>
      </c>
      <c r="B920" t="n">
        <v/>
      </c>
      <c r="C920" t="n">
        <v>3.15</v>
      </c>
    </row>
    <row r="921">
      <c r="A921" s="28" t="n">
        <v>21013</v>
      </c>
      <c r="B921" t="n">
        <v/>
      </c>
      <c r="C921" t="n">
        <v>3.11</v>
      </c>
    </row>
    <row r="922">
      <c r="A922" s="28" t="n">
        <v>21016</v>
      </c>
      <c r="B922" t="n">
        <v/>
      </c>
      <c r="C922" t="n">
        <v>3.06</v>
      </c>
    </row>
    <row r="923">
      <c r="A923" s="28" t="n">
        <v>21017</v>
      </c>
      <c r="B923" t="n">
        <v/>
      </c>
      <c r="C923" t="n">
        <v>3.06</v>
      </c>
    </row>
    <row r="924">
      <c r="A924" s="28" t="n">
        <v>21018</v>
      </c>
      <c r="B924" t="n">
        <v/>
      </c>
      <c r="C924" t="n">
        <v>3.06</v>
      </c>
    </row>
    <row r="925">
      <c r="A925" s="28" t="n">
        <v>21019</v>
      </c>
      <c r="B925" t="n">
        <v/>
      </c>
      <c r="C925" t="n">
        <v>3.02</v>
      </c>
    </row>
    <row r="926">
      <c r="A926" s="28" t="n">
        <v>21020</v>
      </c>
      <c r="B926" t="n">
        <v/>
      </c>
      <c r="C926" t="n">
        <v>3</v>
      </c>
    </row>
    <row r="927">
      <c r="A927" s="28" t="n">
        <v>21023</v>
      </c>
      <c r="B927" t="n">
        <v/>
      </c>
      <c r="C927" t="n">
        <v>3.08</v>
      </c>
    </row>
    <row r="928">
      <c r="A928" s="28" t="n">
        <v>21024</v>
      </c>
      <c r="B928" t="n">
        <v/>
      </c>
      <c r="C928" t="n">
        <v>3.12</v>
      </c>
    </row>
    <row r="929">
      <c r="A929" s="28" t="n">
        <v>21025</v>
      </c>
      <c r="B929" t="n">
        <v/>
      </c>
      <c r="C929" t="n">
        <v>3.22</v>
      </c>
    </row>
    <row r="930">
      <c r="A930" s="28" t="n">
        <v>21026</v>
      </c>
      <c r="B930" t="n">
        <v/>
      </c>
      <c r="C930" t="n">
        <v>3.24</v>
      </c>
    </row>
    <row r="931">
      <c r="A931" s="28" t="n">
        <v>21027</v>
      </c>
      <c r="B931" t="n">
        <v/>
      </c>
      <c r="C931" t="n">
        <v>3.26</v>
      </c>
    </row>
    <row r="932">
      <c r="A932" s="28" t="n">
        <v>21030</v>
      </c>
      <c r="B932" t="n">
        <v/>
      </c>
      <c r="C932" t="n">
        <v>3.3</v>
      </c>
    </row>
    <row r="933">
      <c r="A933" s="28" t="n">
        <v>21031</v>
      </c>
      <c r="B933" t="n">
        <v/>
      </c>
      <c r="C933" t="n">
        <v>3.33</v>
      </c>
    </row>
    <row r="934">
      <c r="A934" s="28" t="n">
        <v>21032</v>
      </c>
      <c r="B934" t="n">
        <v/>
      </c>
      <c r="C934" t="n">
        <v>3.38</v>
      </c>
    </row>
    <row r="935">
      <c r="A935" s="28" t="n">
        <v>21033</v>
      </c>
      <c r="B935" t="n">
        <v/>
      </c>
      <c r="C935" t="n">
        <v>3.37</v>
      </c>
    </row>
    <row r="936">
      <c r="A936" s="28" t="n">
        <v>21034</v>
      </c>
      <c r="B936" t="n">
        <v/>
      </c>
      <c r="C936" t="n">
        <v>3.3</v>
      </c>
    </row>
    <row r="937">
      <c r="A937" s="28" t="n">
        <v>21037</v>
      </c>
      <c r="B937" t="n">
        <v/>
      </c>
      <c r="C937" t="n">
        <v>3.26</v>
      </c>
    </row>
    <row r="938">
      <c r="A938" s="28" t="n">
        <v>21038</v>
      </c>
      <c r="B938" t="n">
        <v/>
      </c>
      <c r="C938" t="n">
        <v>3.24</v>
      </c>
    </row>
    <row r="939">
      <c r="A939" s="28" t="n">
        <v>21039</v>
      </c>
      <c r="B939" t="n">
        <v/>
      </c>
      <c r="C939" t="n">
        <v>3.3</v>
      </c>
    </row>
    <row r="940">
      <c r="A940" s="28" t="n">
        <v>21040</v>
      </c>
      <c r="B940" t="n">
        <v/>
      </c>
      <c r="C940" t="n">
        <v>3.31</v>
      </c>
    </row>
    <row r="941">
      <c r="A941" s="28" t="n">
        <v>21041</v>
      </c>
      <c r="B941" t="n">
        <v/>
      </c>
      <c r="C941" t="n">
        <v>3.36</v>
      </c>
    </row>
    <row r="942">
      <c r="A942" s="28" t="n">
        <v>21044</v>
      </c>
      <c r="B942" t="n">
        <v/>
      </c>
      <c r="C942" t="n">
        <v>3.4</v>
      </c>
    </row>
    <row r="943">
      <c r="A943" s="28" t="n">
        <v>21045</v>
      </c>
      <c r="B943" t="n">
        <v/>
      </c>
      <c r="C943" t="n">
        <v>3.4</v>
      </c>
    </row>
    <row r="944">
      <c r="A944" s="28" t="n">
        <v>21046</v>
      </c>
      <c r="B944" t="n">
        <v/>
      </c>
      <c r="C944" t="n">
        <v>3.47</v>
      </c>
    </row>
    <row r="945">
      <c r="A945" s="28" t="n">
        <v>21047</v>
      </c>
      <c r="B945" t="n">
        <v/>
      </c>
      <c r="C945" t="n">
        <v>3.4</v>
      </c>
    </row>
    <row r="946">
      <c r="A946" s="28" t="n">
        <v>21048</v>
      </c>
      <c r="B946" t="n">
        <v/>
      </c>
      <c r="C946" t="n">
        <v>3.34</v>
      </c>
    </row>
    <row r="947">
      <c r="A947" s="28" t="n">
        <v>21051</v>
      </c>
      <c r="B947" t="n">
        <v/>
      </c>
      <c r="C947" t="n">
        <v>3.28</v>
      </c>
    </row>
    <row r="948">
      <c r="A948" s="28" t="n">
        <v>21052</v>
      </c>
      <c r="B948" t="n">
        <v/>
      </c>
      <c r="C948" t="n">
        <v>3.26</v>
      </c>
    </row>
    <row r="949">
      <c r="A949" s="28" t="n">
        <v>21053</v>
      </c>
      <c r="B949" t="n">
        <v/>
      </c>
      <c r="C949" t="n">
        <v>3.34</v>
      </c>
    </row>
    <row r="950">
      <c r="A950" s="28" t="n">
        <v>21054</v>
      </c>
      <c r="B950" t="n">
        <v/>
      </c>
      <c r="C950" t="n">
        <v>3.33</v>
      </c>
    </row>
    <row r="951">
      <c r="A951" s="28" t="n">
        <v>21055</v>
      </c>
      <c r="B951" t="n">
        <v/>
      </c>
      <c r="C951" t="n">
        <v>3.37</v>
      </c>
    </row>
    <row r="952">
      <c r="A952" s="28" t="n">
        <v>21058</v>
      </c>
      <c r="B952" t="n">
        <v/>
      </c>
      <c r="C952" t="n">
        <v>3.42</v>
      </c>
    </row>
    <row r="953">
      <c r="A953" s="28" t="n">
        <v>21059</v>
      </c>
      <c r="B953" t="n">
        <v/>
      </c>
      <c r="C953" t="n">
        <v>3.42</v>
      </c>
    </row>
    <row r="954">
      <c r="A954" s="28" t="n">
        <v>21060</v>
      </c>
      <c r="B954" t="n">
        <v/>
      </c>
      <c r="C954" t="n">
        <v>3.51</v>
      </c>
    </row>
    <row r="955">
      <c r="A955" s="28" t="n">
        <v>21061</v>
      </c>
      <c r="B955" t="n">
        <v/>
      </c>
      <c r="C955" t="n">
        <v>3.51</v>
      </c>
    </row>
    <row r="956">
      <c r="A956" s="28" t="n">
        <v>21062</v>
      </c>
      <c r="B956" t="n">
        <v/>
      </c>
      <c r="C956" t="n">
        <v>3.5</v>
      </c>
    </row>
    <row r="957">
      <c r="A957" s="28" t="n">
        <v>21065</v>
      </c>
      <c r="B957" t="n">
        <v/>
      </c>
      <c r="C957" t="n">
        <v>3.5</v>
      </c>
    </row>
    <row r="958">
      <c r="A958" s="28" t="n">
        <v>21066</v>
      </c>
      <c r="B958" t="n">
        <v/>
      </c>
      <c r="C958" t="n">
        <v>0</v>
      </c>
    </row>
    <row r="959">
      <c r="A959" s="28" t="n">
        <v>21067</v>
      </c>
      <c r="B959" t="n">
        <v/>
      </c>
      <c r="C959" t="n">
        <v>3.56</v>
      </c>
    </row>
    <row r="960">
      <c r="A960" s="28" t="n">
        <v>21068</v>
      </c>
      <c r="B960" t="n">
        <v/>
      </c>
      <c r="C960" t="n">
        <v>3.55</v>
      </c>
    </row>
    <row r="961">
      <c r="A961" s="28" t="n">
        <v>21069</v>
      </c>
      <c r="B961" t="n">
        <v/>
      </c>
      <c r="C961" t="n">
        <v>3.54</v>
      </c>
    </row>
    <row r="962">
      <c r="A962" s="28" t="n">
        <v>21072</v>
      </c>
      <c r="B962" t="n">
        <v/>
      </c>
      <c r="C962" t="n">
        <v>3.52</v>
      </c>
    </row>
    <row r="963">
      <c r="A963" s="28" t="n">
        <v>21073</v>
      </c>
      <c r="B963" t="n">
        <v/>
      </c>
      <c r="C963" t="n">
        <v>3.51</v>
      </c>
    </row>
    <row r="964">
      <c r="A964" s="28" t="n">
        <v>21074</v>
      </c>
      <c r="B964" t="n">
        <v/>
      </c>
      <c r="C964" t="n">
        <v>3.56</v>
      </c>
    </row>
    <row r="965">
      <c r="A965" s="28" t="n">
        <v>21075</v>
      </c>
      <c r="B965" t="n">
        <v/>
      </c>
      <c r="C965" t="n">
        <v>3.57</v>
      </c>
    </row>
    <row r="966">
      <c r="A966" s="28" t="n">
        <v>21076</v>
      </c>
      <c r="B966" t="n">
        <v/>
      </c>
      <c r="C966" t="n">
        <v>3.57</v>
      </c>
    </row>
    <row r="967">
      <c r="A967" s="28" t="n">
        <v>21079</v>
      </c>
      <c r="B967" t="n">
        <v/>
      </c>
      <c r="C967" t="n">
        <v>3.58</v>
      </c>
    </row>
    <row r="968">
      <c r="A968" s="28" t="n">
        <v>21080</v>
      </c>
      <c r="B968" t="n">
        <v/>
      </c>
      <c r="C968" t="n">
        <v>3.57</v>
      </c>
    </row>
    <row r="969">
      <c r="A969" s="28" t="n">
        <v>21081</v>
      </c>
      <c r="B969" t="n">
        <v/>
      </c>
      <c r="C969" t="n">
        <v>3.59</v>
      </c>
    </row>
    <row r="970">
      <c r="A970" s="28" t="n">
        <v>21082</v>
      </c>
      <c r="B970" t="n">
        <v/>
      </c>
      <c r="C970" t="n">
        <v>3.6</v>
      </c>
    </row>
    <row r="971">
      <c r="A971" s="28" t="n">
        <v>21083</v>
      </c>
      <c r="B971" t="n">
        <v/>
      </c>
      <c r="C971" t="n">
        <v>3.54</v>
      </c>
    </row>
    <row r="972">
      <c r="A972" s="28" t="n">
        <v>21086</v>
      </c>
      <c r="B972" t="n">
        <v/>
      </c>
      <c r="C972" t="n">
        <v>3.5</v>
      </c>
    </row>
    <row r="973">
      <c r="A973" s="28" t="n">
        <v>21087</v>
      </c>
      <c r="B973" t="n">
        <v/>
      </c>
      <c r="C973" t="n">
        <v>3.45</v>
      </c>
    </row>
    <row r="974">
      <c r="A974" s="28" t="n">
        <v>21088</v>
      </c>
      <c r="B974" t="n">
        <v/>
      </c>
      <c r="C974" t="n">
        <v>3.5</v>
      </c>
    </row>
    <row r="975">
      <c r="A975" s="28" t="n">
        <v>21089</v>
      </c>
      <c r="B975" t="n">
        <v/>
      </c>
      <c r="C975" t="n">
        <v>3.49</v>
      </c>
    </row>
    <row r="976">
      <c r="A976" s="28" t="n">
        <v>21090</v>
      </c>
      <c r="B976" t="n">
        <v/>
      </c>
      <c r="C976" t="n">
        <v>3.45</v>
      </c>
    </row>
    <row r="977">
      <c r="A977" s="28" t="n">
        <v>21093</v>
      </c>
      <c r="B977" t="n">
        <v/>
      </c>
      <c r="C977" t="n">
        <v>3.46</v>
      </c>
    </row>
    <row r="978">
      <c r="A978" s="28" t="n">
        <v>21094</v>
      </c>
      <c r="B978" t="n">
        <v/>
      </c>
      <c r="C978" t="n">
        <v>3.44</v>
      </c>
    </row>
    <row r="979">
      <c r="A979" s="28" t="n">
        <v>21095</v>
      </c>
      <c r="B979" t="n">
        <v/>
      </c>
      <c r="C979" t="n">
        <v>3.54</v>
      </c>
    </row>
    <row r="980">
      <c r="A980" s="28" t="n">
        <v>21096</v>
      </c>
      <c r="B980" t="n">
        <v/>
      </c>
      <c r="C980" t="n">
        <v>3.53</v>
      </c>
    </row>
    <row r="981">
      <c r="A981" s="28" t="n">
        <v>21097</v>
      </c>
      <c r="B981" t="n">
        <v/>
      </c>
      <c r="C981" t="n">
        <v>3.5</v>
      </c>
    </row>
    <row r="982">
      <c r="A982" s="28" t="n">
        <v>21100</v>
      </c>
      <c r="B982" t="n">
        <v/>
      </c>
      <c r="C982" t="n">
        <v>3.49</v>
      </c>
    </row>
    <row r="983">
      <c r="A983" s="28" t="n">
        <v>21101</v>
      </c>
      <c r="B983" t="n">
        <v/>
      </c>
      <c r="C983" t="n">
        <v>3.52</v>
      </c>
    </row>
    <row r="984">
      <c r="A984" s="28" t="n">
        <v>21102</v>
      </c>
      <c r="B984" t="n">
        <v/>
      </c>
      <c r="C984" t="n">
        <v>3.56</v>
      </c>
    </row>
    <row r="985">
      <c r="A985" s="28" t="n">
        <v>21103</v>
      </c>
      <c r="B985" t="n">
        <v/>
      </c>
      <c r="C985" t="n">
        <v>3.56</v>
      </c>
    </row>
    <row r="986">
      <c r="A986" s="28" t="n">
        <v>21104</v>
      </c>
      <c r="B986" t="n">
        <v/>
      </c>
      <c r="C986" t="n">
        <v>3.57</v>
      </c>
    </row>
    <row r="987">
      <c r="A987" s="28" t="n">
        <v>21107</v>
      </c>
      <c r="B987" t="n">
        <v/>
      </c>
      <c r="C987" t="n">
        <v>3.62</v>
      </c>
    </row>
    <row r="988">
      <c r="A988" s="28" t="n">
        <v>21108</v>
      </c>
      <c r="B988" t="n">
        <v/>
      </c>
      <c r="C988" t="n">
        <v>3.65</v>
      </c>
    </row>
    <row r="989">
      <c r="A989" s="28" t="n">
        <v>21109</v>
      </c>
      <c r="B989" t="n">
        <v/>
      </c>
      <c r="C989" t="n">
        <v>3.67</v>
      </c>
    </row>
    <row r="990">
      <c r="A990" s="28" t="n">
        <v>21110</v>
      </c>
      <c r="B990" t="n">
        <v/>
      </c>
      <c r="C990" t="n">
        <v>3.67</v>
      </c>
    </row>
    <row r="991">
      <c r="A991" s="28" t="n">
        <v>21111</v>
      </c>
      <c r="B991" t="n">
        <v/>
      </c>
      <c r="C991" t="n">
        <v>3.6</v>
      </c>
    </row>
    <row r="992">
      <c r="A992" s="28" t="n">
        <v>21114</v>
      </c>
      <c r="B992" t="n">
        <v/>
      </c>
      <c r="C992" t="n">
        <v>3.58</v>
      </c>
    </row>
    <row r="993">
      <c r="A993" s="28" t="n">
        <v>21115</v>
      </c>
      <c r="B993" t="n">
        <v/>
      </c>
      <c r="C993" t="n">
        <v>3.58</v>
      </c>
    </row>
    <row r="994">
      <c r="A994" s="28" t="n">
        <v>21116</v>
      </c>
      <c r="B994" t="n">
        <v/>
      </c>
      <c r="C994" t="n">
        <v>3.61</v>
      </c>
    </row>
    <row r="995">
      <c r="A995" s="28" t="n">
        <v>21117</v>
      </c>
      <c r="B995" t="n">
        <v/>
      </c>
      <c r="C995" t="n">
        <v>3.58</v>
      </c>
    </row>
    <row r="996">
      <c r="A996" s="28" t="n">
        <v>21118</v>
      </c>
      <c r="B996" t="n">
        <v/>
      </c>
      <c r="C996" t="n">
        <v>3.6</v>
      </c>
    </row>
    <row r="997">
      <c r="A997" s="28" t="n">
        <v>21121</v>
      </c>
      <c r="B997" t="n">
        <v/>
      </c>
      <c r="C997" t="n">
        <v>3.6</v>
      </c>
    </row>
    <row r="998">
      <c r="A998" s="28" t="n">
        <v>21122</v>
      </c>
      <c r="B998" t="n">
        <v/>
      </c>
      <c r="C998" t="n">
        <v>3.58</v>
      </c>
    </row>
    <row r="999">
      <c r="A999" s="28" t="n">
        <v>21123</v>
      </c>
      <c r="B999" t="n">
        <v/>
      </c>
      <c r="C999" t="n">
        <v>3.6</v>
      </c>
    </row>
    <row r="1000">
      <c r="A1000" s="28" t="n">
        <v>21124</v>
      </c>
      <c r="B1000" t="n">
        <v/>
      </c>
      <c r="C1000" t="n">
        <v>3.6</v>
      </c>
    </row>
    <row r="1001">
      <c r="A1001" s="28" t="n">
        <v>21125</v>
      </c>
      <c r="B1001" t="n">
        <v/>
      </c>
      <c r="C1001" t="n">
        <v>3.59</v>
      </c>
    </row>
    <row r="1002">
      <c r="A1002" s="28" t="n">
        <v>21128</v>
      </c>
      <c r="B1002" t="n">
        <v/>
      </c>
      <c r="C1002" t="n">
        <v>3.54</v>
      </c>
    </row>
    <row r="1003">
      <c r="A1003" s="28" t="n">
        <v>21129</v>
      </c>
      <c r="B1003" t="n">
        <v/>
      </c>
      <c r="C1003" t="n">
        <v>3.54</v>
      </c>
    </row>
    <row r="1004">
      <c r="A1004" s="28" t="n">
        <v>21130</v>
      </c>
      <c r="B1004" t="n">
        <v/>
      </c>
      <c r="C1004" t="n">
        <v>3.52</v>
      </c>
    </row>
    <row r="1005">
      <c r="A1005" s="28" t="n">
        <v>21131</v>
      </c>
      <c r="B1005" t="n">
        <v/>
      </c>
      <c r="C1005" t="n">
        <v>3.5</v>
      </c>
    </row>
    <row r="1006">
      <c r="A1006" s="28" t="n">
        <v>21132</v>
      </c>
      <c r="B1006" t="n">
        <v/>
      </c>
      <c r="C1006" t="n">
        <v>3.46</v>
      </c>
    </row>
    <row r="1007">
      <c r="A1007" s="28" t="n">
        <v>21135</v>
      </c>
      <c r="B1007" t="n">
        <v/>
      </c>
      <c r="C1007" t="n">
        <v>0</v>
      </c>
    </row>
    <row r="1008">
      <c r="A1008" s="28" t="n">
        <v>21136</v>
      </c>
      <c r="B1008" t="n">
        <v/>
      </c>
      <c r="C1008" t="n">
        <v>3.45</v>
      </c>
    </row>
    <row r="1009">
      <c r="A1009" s="28" t="n">
        <v>21137</v>
      </c>
      <c r="B1009" t="n">
        <v/>
      </c>
      <c r="C1009" t="n">
        <v>3.45</v>
      </c>
    </row>
    <row r="1010">
      <c r="A1010" s="28" t="n">
        <v>21138</v>
      </c>
      <c r="B1010" t="n">
        <v/>
      </c>
      <c r="C1010" t="n">
        <v>3.44</v>
      </c>
    </row>
    <row r="1011">
      <c r="A1011" s="28" t="n">
        <v>21139</v>
      </c>
      <c r="B1011" t="n">
        <v/>
      </c>
      <c r="C1011" t="n">
        <v>3.16</v>
      </c>
    </row>
    <row r="1012">
      <c r="A1012" s="28" t="n">
        <v>21142</v>
      </c>
      <c r="B1012" t="n">
        <v/>
      </c>
      <c r="C1012" t="n">
        <v>3.12</v>
      </c>
    </row>
    <row r="1013">
      <c r="A1013" s="28" t="n">
        <v>21143</v>
      </c>
      <c r="B1013" t="n">
        <v/>
      </c>
      <c r="C1013" t="n">
        <v>3.1</v>
      </c>
    </row>
    <row r="1014">
      <c r="A1014" s="28" t="n">
        <v>21144</v>
      </c>
      <c r="B1014" t="n">
        <v/>
      </c>
      <c r="C1014" t="n">
        <v>3.12</v>
      </c>
    </row>
    <row r="1015">
      <c r="A1015" s="28" t="n">
        <v>21145</v>
      </c>
      <c r="B1015" t="n">
        <v/>
      </c>
      <c r="C1015" t="n">
        <v>3.13</v>
      </c>
    </row>
    <row r="1016">
      <c r="A1016" s="28" t="n">
        <v>21146</v>
      </c>
      <c r="B1016" t="n">
        <v/>
      </c>
      <c r="C1016" t="n">
        <v>3.13</v>
      </c>
    </row>
    <row r="1017">
      <c r="A1017" s="28" t="n">
        <v>21149</v>
      </c>
      <c r="B1017" t="n">
        <v/>
      </c>
      <c r="C1017" t="n">
        <v>3.14</v>
      </c>
    </row>
    <row r="1018">
      <c r="A1018" s="28" t="n">
        <v>21150</v>
      </c>
      <c r="B1018" t="n">
        <v/>
      </c>
      <c r="C1018" t="n">
        <v>3.14</v>
      </c>
    </row>
    <row r="1019">
      <c r="A1019" s="28" t="n">
        <v>21151</v>
      </c>
      <c r="B1019" t="n">
        <v/>
      </c>
      <c r="C1019" t="n">
        <v>3.15</v>
      </c>
    </row>
    <row r="1020">
      <c r="A1020" s="28" t="n">
        <v>21152</v>
      </c>
      <c r="B1020" t="n">
        <v/>
      </c>
      <c r="C1020" t="n">
        <v>0</v>
      </c>
    </row>
    <row r="1021">
      <c r="A1021" s="28" t="n">
        <v>21153</v>
      </c>
      <c r="B1021" t="n">
        <v/>
      </c>
      <c r="C1021" t="n">
        <v>3.14</v>
      </c>
    </row>
    <row r="1022">
      <c r="A1022" s="28" t="n">
        <v>21156</v>
      </c>
      <c r="B1022" t="n">
        <v/>
      </c>
      <c r="C1022" t="n">
        <v>3.09</v>
      </c>
    </row>
    <row r="1023">
      <c r="A1023" s="28" t="n">
        <v>21157</v>
      </c>
      <c r="B1023" t="n">
        <v/>
      </c>
      <c r="C1023" t="n">
        <v>3.05</v>
      </c>
    </row>
    <row r="1024">
      <c r="A1024" s="28" t="n">
        <v>21158</v>
      </c>
      <c r="B1024" t="n">
        <v/>
      </c>
      <c r="C1024" t="n">
        <v>3.07</v>
      </c>
    </row>
    <row r="1025">
      <c r="A1025" s="28" t="n">
        <v>21159</v>
      </c>
      <c r="B1025" t="n">
        <v/>
      </c>
      <c r="C1025" t="n">
        <v>3.07</v>
      </c>
    </row>
    <row r="1026">
      <c r="A1026" s="28" t="n">
        <v>21160</v>
      </c>
      <c r="B1026" t="n">
        <v/>
      </c>
      <c r="C1026" t="n">
        <v>3.06</v>
      </c>
    </row>
    <row r="1027">
      <c r="A1027" s="28" t="n">
        <v>21163</v>
      </c>
      <c r="B1027" t="n">
        <v/>
      </c>
      <c r="C1027" t="n">
        <v>2.99</v>
      </c>
    </row>
    <row r="1028">
      <c r="A1028" s="28" t="n">
        <v>21164</v>
      </c>
      <c r="B1028" t="n">
        <v/>
      </c>
      <c r="C1028" t="n">
        <v>2.97</v>
      </c>
    </row>
    <row r="1029">
      <c r="A1029" s="28" t="n">
        <v>21165</v>
      </c>
      <c r="B1029" t="n">
        <v/>
      </c>
      <c r="C1029" t="n">
        <v>3</v>
      </c>
    </row>
    <row r="1030">
      <c r="A1030" s="28" t="n">
        <v>21166</v>
      </c>
      <c r="B1030" t="n">
        <v/>
      </c>
      <c r="C1030" t="n">
        <v>3.05</v>
      </c>
    </row>
    <row r="1031">
      <c r="A1031" s="28" t="n">
        <v>21167</v>
      </c>
      <c r="B1031" t="n">
        <v/>
      </c>
      <c r="C1031" t="n">
        <v>3.06</v>
      </c>
    </row>
    <row r="1032">
      <c r="A1032" s="28" t="n">
        <v>21170</v>
      </c>
      <c r="B1032" t="n">
        <v/>
      </c>
      <c r="C1032" t="n">
        <v>3.1</v>
      </c>
    </row>
    <row r="1033">
      <c r="A1033" s="28" t="n">
        <v>21171</v>
      </c>
      <c r="B1033" t="n">
        <v/>
      </c>
      <c r="C1033" t="n">
        <v>3.08</v>
      </c>
    </row>
    <row r="1034">
      <c r="A1034" s="28" t="n">
        <v>21172</v>
      </c>
      <c r="B1034" t="n">
        <v/>
      </c>
      <c r="C1034" t="n">
        <v>3.11</v>
      </c>
    </row>
    <row r="1035">
      <c r="A1035" s="28" t="n">
        <v>21173</v>
      </c>
      <c r="B1035" t="n">
        <v/>
      </c>
      <c r="C1035" t="n">
        <v>3.15</v>
      </c>
    </row>
    <row r="1036">
      <c r="A1036" s="28" t="n">
        <v>21174</v>
      </c>
      <c r="B1036" t="n">
        <v/>
      </c>
      <c r="C1036" t="n">
        <v>3.15</v>
      </c>
    </row>
    <row r="1037">
      <c r="A1037" s="28" t="n">
        <v>21177</v>
      </c>
      <c r="B1037" t="n">
        <v/>
      </c>
      <c r="C1037" t="n">
        <v>3.16</v>
      </c>
    </row>
    <row r="1038">
      <c r="A1038" s="28" t="n">
        <v>21178</v>
      </c>
      <c r="B1038" t="n">
        <v/>
      </c>
      <c r="C1038" t="n">
        <v>3.11</v>
      </c>
    </row>
    <row r="1039">
      <c r="A1039" s="28" t="n">
        <v>21179</v>
      </c>
      <c r="B1039" t="n">
        <v/>
      </c>
      <c r="C1039" t="n">
        <v>0</v>
      </c>
    </row>
    <row r="1040">
      <c r="A1040" s="28" t="n">
        <v>21180</v>
      </c>
      <c r="B1040" t="n">
        <v/>
      </c>
      <c r="C1040" t="n">
        <v>3.1</v>
      </c>
    </row>
    <row r="1041">
      <c r="A1041" s="28" t="n">
        <v>21181</v>
      </c>
      <c r="B1041" t="n">
        <v/>
      </c>
      <c r="C1041" t="n">
        <v>3.04</v>
      </c>
    </row>
    <row r="1042">
      <c r="A1042" s="28" t="n">
        <v>21184</v>
      </c>
      <c r="B1042" t="n">
        <v/>
      </c>
      <c r="C1042" t="n">
        <v>2.75</v>
      </c>
    </row>
    <row r="1043">
      <c r="A1043" s="28" t="n">
        <v>21185</v>
      </c>
      <c r="B1043" t="n">
        <v/>
      </c>
      <c r="C1043" t="n">
        <v>2.75</v>
      </c>
    </row>
    <row r="1044">
      <c r="A1044" s="28" t="n">
        <v>21186</v>
      </c>
      <c r="B1044" t="n">
        <v/>
      </c>
      <c r="C1044" t="n">
        <v>0</v>
      </c>
    </row>
    <row r="1045">
      <c r="A1045" s="28" t="n">
        <v>21187</v>
      </c>
      <c r="B1045" t="n">
        <v/>
      </c>
      <c r="C1045" t="n">
        <v>2.78</v>
      </c>
    </row>
    <row r="1046">
      <c r="A1046" s="28" t="n">
        <v>21188</v>
      </c>
      <c r="B1046" t="n">
        <v/>
      </c>
      <c r="C1046" t="n">
        <v>2.8</v>
      </c>
    </row>
    <row r="1047">
      <c r="A1047" s="28" t="n">
        <v>21191</v>
      </c>
      <c r="B1047" t="n">
        <v/>
      </c>
      <c r="C1047" t="n">
        <v>2.82</v>
      </c>
    </row>
    <row r="1048">
      <c r="A1048" s="28" t="n">
        <v>21192</v>
      </c>
      <c r="B1048" t="n">
        <v/>
      </c>
      <c r="C1048" t="n">
        <v>2.79</v>
      </c>
    </row>
    <row r="1049">
      <c r="A1049" s="28" t="n">
        <v>21193</v>
      </c>
      <c r="B1049" t="n">
        <v/>
      </c>
      <c r="C1049" t="n">
        <v>2.78</v>
      </c>
    </row>
    <row r="1050">
      <c r="A1050" s="28" t="n">
        <v>21194</v>
      </c>
      <c r="B1050" t="n">
        <v/>
      </c>
      <c r="C1050" t="n">
        <v>2.73</v>
      </c>
    </row>
    <row r="1051">
      <c r="A1051" s="28" t="n">
        <v>21195</v>
      </c>
      <c r="B1051" t="n">
        <v/>
      </c>
      <c r="C1051" t="n">
        <v>2.65</v>
      </c>
    </row>
    <row r="1052">
      <c r="A1052" s="28" t="n">
        <v>21198</v>
      </c>
      <c r="B1052" t="n">
        <v/>
      </c>
      <c r="C1052" t="n">
        <v>2.59</v>
      </c>
    </row>
    <row r="1053">
      <c r="A1053" s="28" t="n">
        <v>21199</v>
      </c>
      <c r="B1053" t="n">
        <v/>
      </c>
      <c r="C1053" t="n">
        <v>2.56</v>
      </c>
    </row>
    <row r="1054">
      <c r="A1054" s="28" t="n">
        <v>21200</v>
      </c>
      <c r="B1054" t="n">
        <v/>
      </c>
      <c r="C1054" t="n">
        <v>2.59</v>
      </c>
    </row>
    <row r="1055">
      <c r="A1055" s="28" t="n">
        <v>21201</v>
      </c>
      <c r="B1055" t="n">
        <v/>
      </c>
      <c r="C1055" t="n">
        <v>2.56</v>
      </c>
    </row>
    <row r="1056">
      <c r="A1056" s="28" t="n">
        <v>21202</v>
      </c>
      <c r="B1056" t="n">
        <v/>
      </c>
      <c r="C1056" t="n">
        <v>2.56</v>
      </c>
    </row>
    <row r="1057">
      <c r="A1057" s="28" t="n">
        <v>21205</v>
      </c>
      <c r="B1057" t="n">
        <v/>
      </c>
      <c r="C1057" t="n">
        <v>2.51</v>
      </c>
    </row>
    <row r="1058">
      <c r="A1058" s="28" t="n">
        <v>21206</v>
      </c>
      <c r="B1058" t="n">
        <v/>
      </c>
      <c r="C1058" t="n">
        <v>2.42</v>
      </c>
    </row>
    <row r="1059">
      <c r="A1059" s="28" t="n">
        <v>21207</v>
      </c>
      <c r="B1059" t="n">
        <v/>
      </c>
      <c r="C1059" t="n">
        <v>2.39</v>
      </c>
    </row>
    <row r="1060">
      <c r="A1060" s="28" t="n">
        <v>21208</v>
      </c>
      <c r="B1060" t="n">
        <v/>
      </c>
      <c r="C1060" t="n">
        <v>2.28</v>
      </c>
    </row>
    <row r="1061">
      <c r="A1061" s="28" t="n">
        <v>21209</v>
      </c>
      <c r="B1061" t="n">
        <v/>
      </c>
      <c r="C1061" t="n">
        <v>2.26</v>
      </c>
    </row>
    <row r="1062">
      <c r="A1062" s="28" t="n">
        <v>21212</v>
      </c>
      <c r="B1062" t="n">
        <v/>
      </c>
      <c r="C1062" t="n">
        <v>2.19</v>
      </c>
    </row>
    <row r="1063">
      <c r="A1063" s="28" t="n">
        <v>21213</v>
      </c>
      <c r="B1063" t="n">
        <v/>
      </c>
      <c r="C1063" t="n">
        <v>2.11</v>
      </c>
    </row>
    <row r="1064">
      <c r="A1064" s="28" t="n">
        <v>21214</v>
      </c>
      <c r="B1064" t="n">
        <v/>
      </c>
      <c r="C1064" t="n">
        <v>2.02</v>
      </c>
    </row>
    <row r="1065">
      <c r="A1065" s="28" t="n">
        <v>21215</v>
      </c>
      <c r="B1065" t="n">
        <v/>
      </c>
      <c r="C1065" t="n">
        <v>1.75</v>
      </c>
    </row>
    <row r="1066">
      <c r="A1066" s="28" t="n">
        <v>21216</v>
      </c>
      <c r="B1066" t="n">
        <v/>
      </c>
      <c r="C1066" t="n">
        <v>1.55</v>
      </c>
    </row>
    <row r="1067">
      <c r="A1067" s="28" t="n">
        <v>21219</v>
      </c>
      <c r="B1067" t="n">
        <v/>
      </c>
      <c r="C1067" t="n">
        <v>1.6</v>
      </c>
    </row>
    <row r="1068">
      <c r="A1068" s="28" t="n">
        <v>21220</v>
      </c>
      <c r="B1068" t="n">
        <v/>
      </c>
      <c r="C1068" t="n">
        <v>1.62</v>
      </c>
    </row>
    <row r="1069">
      <c r="A1069" s="28" t="n">
        <v>21221</v>
      </c>
      <c r="B1069" t="n">
        <v/>
      </c>
      <c r="C1069" t="n">
        <v>1.67</v>
      </c>
    </row>
    <row r="1070">
      <c r="A1070" s="28" t="n">
        <v>21222</v>
      </c>
      <c r="B1070" t="n">
        <v/>
      </c>
      <c r="C1070" t="n">
        <v>1.68</v>
      </c>
    </row>
    <row r="1071">
      <c r="A1071" s="28" t="n">
        <v>21223</v>
      </c>
      <c r="B1071" t="n">
        <v/>
      </c>
      <c r="C1071" t="n">
        <v>1.67</v>
      </c>
    </row>
    <row r="1072">
      <c r="A1072" s="28" t="n">
        <v>21226</v>
      </c>
      <c r="B1072" t="n">
        <v/>
      </c>
      <c r="C1072" t="n">
        <v>1.66</v>
      </c>
    </row>
    <row r="1073">
      <c r="A1073" s="28" t="n">
        <v>21227</v>
      </c>
      <c r="B1073" t="n">
        <v/>
      </c>
      <c r="C1073" t="n">
        <v>1.66</v>
      </c>
    </row>
    <row r="1074">
      <c r="A1074" s="28" t="n">
        <v>21228</v>
      </c>
      <c r="B1074" t="n">
        <v/>
      </c>
      <c r="C1074" t="n">
        <v>0</v>
      </c>
    </row>
    <row r="1075">
      <c r="A1075" s="28" t="n">
        <v>21229</v>
      </c>
      <c r="B1075" t="n">
        <v/>
      </c>
      <c r="C1075" t="n">
        <v>1.72</v>
      </c>
    </row>
    <row r="1076">
      <c r="A1076" s="28" t="n">
        <v>21230</v>
      </c>
      <c r="B1076" t="n">
        <v/>
      </c>
      <c r="C1076" t="n">
        <v>1.72</v>
      </c>
    </row>
    <row r="1077">
      <c r="A1077" s="28" t="n">
        <v>21233</v>
      </c>
      <c r="B1077" t="n">
        <v/>
      </c>
      <c r="C1077" t="n">
        <v>1.69</v>
      </c>
    </row>
    <row r="1078">
      <c r="A1078" s="28" t="n">
        <v>21234</v>
      </c>
      <c r="B1078" t="n">
        <v/>
      </c>
      <c r="C1078" t="n">
        <v>0</v>
      </c>
    </row>
    <row r="1079">
      <c r="A1079" s="28" t="n">
        <v>21235</v>
      </c>
      <c r="B1079" t="n">
        <v/>
      </c>
      <c r="C1079" t="n">
        <v>1.7</v>
      </c>
    </row>
    <row r="1080">
      <c r="A1080" s="28" t="n">
        <v>21236</v>
      </c>
      <c r="B1080" t="n">
        <v/>
      </c>
      <c r="C1080" t="n">
        <v>1.62</v>
      </c>
    </row>
    <row r="1081">
      <c r="A1081" s="28" t="n">
        <v>21237</v>
      </c>
      <c r="B1081" t="n">
        <v/>
      </c>
      <c r="C1081" t="n">
        <v>1.42</v>
      </c>
    </row>
    <row r="1082">
      <c r="A1082" s="28" t="n">
        <v>21240</v>
      </c>
      <c r="B1082" t="n">
        <v/>
      </c>
      <c r="C1082" t="n">
        <v>1.2</v>
      </c>
    </row>
    <row r="1083">
      <c r="A1083" s="28" t="n">
        <v>21241</v>
      </c>
      <c r="B1083" t="n">
        <v/>
      </c>
      <c r="C1083" t="n">
        <v>1.2</v>
      </c>
    </row>
    <row r="1084">
      <c r="A1084" s="28" t="n">
        <v>21242</v>
      </c>
      <c r="B1084" t="n">
        <v/>
      </c>
      <c r="C1084" t="n">
        <v>1.21</v>
      </c>
    </row>
    <row r="1085">
      <c r="A1085" s="28" t="n">
        <v>21243</v>
      </c>
      <c r="B1085" t="n">
        <v/>
      </c>
      <c r="C1085" t="n">
        <v>1.22</v>
      </c>
    </row>
    <row r="1086">
      <c r="A1086" s="28" t="n">
        <v>21244</v>
      </c>
      <c r="B1086" t="n">
        <v/>
      </c>
      <c r="C1086" t="n">
        <v>1.27</v>
      </c>
    </row>
    <row r="1087">
      <c r="A1087" s="28" t="n">
        <v>21247</v>
      </c>
      <c r="B1087" t="n">
        <v/>
      </c>
      <c r="C1087" t="n">
        <v>1.3</v>
      </c>
    </row>
    <row r="1088">
      <c r="A1088" s="28" t="n">
        <v>21248</v>
      </c>
      <c r="B1088" t="n">
        <v/>
      </c>
      <c r="C1088" t="n">
        <v>1.4</v>
      </c>
    </row>
    <row r="1089">
      <c r="A1089" s="28" t="n">
        <v>21249</v>
      </c>
      <c r="B1089" t="n">
        <v/>
      </c>
      <c r="C1089" t="n">
        <v>1.41</v>
      </c>
    </row>
    <row r="1090">
      <c r="A1090" s="28" t="n">
        <v>21250</v>
      </c>
      <c r="B1090" t="n">
        <v/>
      </c>
      <c r="C1090" t="n">
        <v>1.42</v>
      </c>
    </row>
    <row r="1091">
      <c r="A1091" s="28" t="n">
        <v>21251</v>
      </c>
      <c r="B1091" t="n">
        <v/>
      </c>
      <c r="C1091" t="n">
        <v>1.43</v>
      </c>
    </row>
    <row r="1092">
      <c r="A1092" s="28" t="n">
        <v>21254</v>
      </c>
      <c r="B1092" t="n">
        <v/>
      </c>
      <c r="C1092" t="n">
        <v>1.48</v>
      </c>
    </row>
    <row r="1093">
      <c r="A1093" s="28" t="n">
        <v>21255</v>
      </c>
      <c r="B1093" t="n">
        <v/>
      </c>
      <c r="C1093" t="n">
        <v>1.42</v>
      </c>
    </row>
    <row r="1094">
      <c r="A1094" s="28" t="n">
        <v>21256</v>
      </c>
      <c r="B1094" t="n">
        <v/>
      </c>
      <c r="C1094" t="n">
        <v>1.36</v>
      </c>
    </row>
    <row r="1095">
      <c r="A1095" s="28" t="n">
        <v>21257</v>
      </c>
      <c r="B1095" t="n">
        <v/>
      </c>
      <c r="C1095" t="n">
        <v>1.34</v>
      </c>
    </row>
    <row r="1096">
      <c r="A1096" s="28" t="n">
        <v>21258</v>
      </c>
      <c r="B1096" t="n">
        <v/>
      </c>
      <c r="C1096" t="n">
        <v>1.34</v>
      </c>
    </row>
    <row r="1097">
      <c r="A1097" s="28" t="n">
        <v>21261</v>
      </c>
      <c r="B1097" t="n">
        <v/>
      </c>
      <c r="C1097" t="n">
        <v>1.32</v>
      </c>
    </row>
    <row r="1098">
      <c r="A1098" s="28" t="n">
        <v>21262</v>
      </c>
      <c r="B1098" t="n">
        <v/>
      </c>
      <c r="C1098" t="n">
        <v>1.35</v>
      </c>
    </row>
    <row r="1099">
      <c r="A1099" s="28" t="n">
        <v>21263</v>
      </c>
      <c r="B1099" t="n">
        <v/>
      </c>
      <c r="C1099" t="n">
        <v>1.34</v>
      </c>
    </row>
    <row r="1100">
      <c r="A1100" s="28" t="n">
        <v>21264</v>
      </c>
      <c r="B1100" t="n">
        <v/>
      </c>
      <c r="C1100" t="n">
        <v>1.35</v>
      </c>
    </row>
    <row r="1101">
      <c r="A1101" s="28" t="n">
        <v>21265</v>
      </c>
      <c r="B1101" t="n">
        <v/>
      </c>
      <c r="C1101" t="n">
        <v>1.31</v>
      </c>
    </row>
    <row r="1102">
      <c r="A1102" s="28" t="n">
        <v>21268</v>
      </c>
      <c r="B1102" t="n">
        <v/>
      </c>
      <c r="C1102" t="n">
        <v>1.16</v>
      </c>
    </row>
    <row r="1103">
      <c r="A1103" s="28" t="n">
        <v>21269</v>
      </c>
      <c r="B1103" t="n">
        <v/>
      </c>
      <c r="C1103" t="n">
        <v>1.12</v>
      </c>
    </row>
    <row r="1104">
      <c r="A1104" s="28" t="n">
        <v>21270</v>
      </c>
      <c r="B1104" t="n">
        <v/>
      </c>
      <c r="C1104" t="n">
        <v>1.13</v>
      </c>
    </row>
    <row r="1105">
      <c r="A1105" s="28" t="n">
        <v>21271</v>
      </c>
      <c r="B1105" t="n">
        <v/>
      </c>
      <c r="C1105" t="n">
        <v>1.06</v>
      </c>
    </row>
    <row r="1106">
      <c r="A1106" s="28" t="n">
        <v>21272</v>
      </c>
      <c r="B1106" t="n">
        <v/>
      </c>
      <c r="C1106" t="n">
        <v>1.06</v>
      </c>
    </row>
    <row r="1107">
      <c r="A1107" s="28" t="n">
        <v>21275</v>
      </c>
      <c r="B1107" t="n">
        <v/>
      </c>
      <c r="C1107" t="n">
        <v>1.1</v>
      </c>
    </row>
    <row r="1108">
      <c r="A1108" s="28" t="n">
        <v>21276</v>
      </c>
      <c r="B1108" t="n">
        <v/>
      </c>
      <c r="C1108" t="n">
        <v>1.1</v>
      </c>
    </row>
    <row r="1109">
      <c r="A1109" s="28" t="n">
        <v>21277</v>
      </c>
      <c r="B1109" t="n">
        <v/>
      </c>
      <c r="C1109" t="n">
        <v>1.12</v>
      </c>
    </row>
    <row r="1110">
      <c r="A1110" s="28" t="n">
        <v>21278</v>
      </c>
      <c r="B1110" t="n">
        <v/>
      </c>
      <c r="C1110" t="n">
        <v>1.02</v>
      </c>
    </row>
    <row r="1111">
      <c r="A1111" s="28" t="n">
        <v>21279</v>
      </c>
      <c r="B1111" t="n">
        <v/>
      </c>
      <c r="C1111" t="n">
        <v>0</v>
      </c>
    </row>
    <row r="1112">
      <c r="A1112" s="28" t="n">
        <v>21282</v>
      </c>
      <c r="B1112" t="n">
        <v/>
      </c>
      <c r="C1112" t="n">
        <v>1.04</v>
      </c>
    </row>
    <row r="1113">
      <c r="A1113" s="28" t="n">
        <v>21283</v>
      </c>
      <c r="B1113" t="n">
        <v/>
      </c>
      <c r="C1113" t="n">
        <v>1.09</v>
      </c>
    </row>
    <row r="1114">
      <c r="A1114" s="28" t="n">
        <v>21284</v>
      </c>
      <c r="B1114" t="n">
        <v/>
      </c>
      <c r="C1114" t="n">
        <v>1.12</v>
      </c>
    </row>
    <row r="1115">
      <c r="A1115" s="28" t="n">
        <v>21285</v>
      </c>
      <c r="B1115" t="n">
        <v/>
      </c>
      <c r="C1115" t="n">
        <v>1.12</v>
      </c>
    </row>
    <row r="1116">
      <c r="A1116" s="28" t="n">
        <v>21286</v>
      </c>
      <c r="B1116" t="n">
        <v/>
      </c>
      <c r="C1116" t="n">
        <v>1.15</v>
      </c>
    </row>
    <row r="1117">
      <c r="A1117" s="28" t="n">
        <v>21289</v>
      </c>
      <c r="B1117" t="n">
        <v/>
      </c>
      <c r="C1117" t="n">
        <v>1.18</v>
      </c>
    </row>
    <row r="1118">
      <c r="A1118" s="28" t="n">
        <v>21290</v>
      </c>
      <c r="B1118" t="n">
        <v/>
      </c>
      <c r="C1118" t="n">
        <v>1.14</v>
      </c>
    </row>
    <row r="1119">
      <c r="A1119" s="28" t="n">
        <v>21291</v>
      </c>
      <c r="B1119" t="n">
        <v/>
      </c>
      <c r="C1119" t="n">
        <v>1.14</v>
      </c>
    </row>
    <row r="1120">
      <c r="A1120" s="28" t="n">
        <v>21292</v>
      </c>
      <c r="B1120" t="n">
        <v/>
      </c>
      <c r="C1120" t="n">
        <v>1.14</v>
      </c>
    </row>
    <row r="1121">
      <c r="A1121" s="28" t="n">
        <v>21293</v>
      </c>
      <c r="B1121" t="n">
        <v/>
      </c>
      <c r="C1121" t="n">
        <v>1.04</v>
      </c>
    </row>
    <row r="1122">
      <c r="A1122" s="28" t="n">
        <v>21296</v>
      </c>
      <c r="B1122" t="n">
        <v/>
      </c>
      <c r="C1122" t="n">
        <v>1.04</v>
      </c>
    </row>
    <row r="1123">
      <c r="A1123" s="28" t="n">
        <v>21297</v>
      </c>
      <c r="B1123" t="n">
        <v/>
      </c>
      <c r="C1123" t="n">
        <v>1.05</v>
      </c>
    </row>
    <row r="1124">
      <c r="A1124" s="28" t="n">
        <v>21298</v>
      </c>
      <c r="B1124" t="n">
        <v/>
      </c>
      <c r="C1124" t="n">
        <v>1.09</v>
      </c>
    </row>
    <row r="1125">
      <c r="A1125" s="28" t="n">
        <v>21299</v>
      </c>
      <c r="B1125" t="n">
        <v/>
      </c>
      <c r="C1125" t="n">
        <v>1.2</v>
      </c>
    </row>
    <row r="1126">
      <c r="A1126" s="28" t="n">
        <v>21300</v>
      </c>
      <c r="B1126" t="n">
        <v/>
      </c>
      <c r="C1126" t="n">
        <v>1.25</v>
      </c>
    </row>
    <row r="1127">
      <c r="A1127" s="28" t="n">
        <v>21303</v>
      </c>
      <c r="B1127" t="n">
        <v/>
      </c>
      <c r="C1127" t="n">
        <v>1.33</v>
      </c>
    </row>
    <row r="1128">
      <c r="A1128" s="28" t="n">
        <v>21304</v>
      </c>
      <c r="B1128" t="n">
        <v/>
      </c>
      <c r="C1128" t="n">
        <v>1.2</v>
      </c>
    </row>
    <row r="1129">
      <c r="A1129" s="28" t="n">
        <v>21305</v>
      </c>
      <c r="B1129" t="n">
        <v/>
      </c>
      <c r="C1129" t="n">
        <v>1.2</v>
      </c>
    </row>
    <row r="1130">
      <c r="A1130" s="28" t="n">
        <v>21306</v>
      </c>
      <c r="B1130" t="n">
        <v/>
      </c>
      <c r="C1130" t="n">
        <v>1.22</v>
      </c>
    </row>
    <row r="1131">
      <c r="A1131" s="28" t="n">
        <v>21307</v>
      </c>
      <c r="B1131" t="n">
        <v/>
      </c>
      <c r="C1131" t="n">
        <v>1.2</v>
      </c>
    </row>
    <row r="1132">
      <c r="A1132" s="28" t="n">
        <v>21310</v>
      </c>
      <c r="B1132" t="n">
        <v/>
      </c>
      <c r="C1132" t="n">
        <v>1.16</v>
      </c>
    </row>
    <row r="1133">
      <c r="A1133" s="28" t="n">
        <v>21311</v>
      </c>
      <c r="B1133" t="n">
        <v/>
      </c>
      <c r="C1133" t="n">
        <v>1.1</v>
      </c>
    </row>
    <row r="1134">
      <c r="A1134" s="28" t="n">
        <v>21312</v>
      </c>
      <c r="B1134" t="n">
        <v/>
      </c>
      <c r="C1134" t="n">
        <v>1.13</v>
      </c>
    </row>
    <row r="1135">
      <c r="A1135" s="28" t="n">
        <v>21313</v>
      </c>
      <c r="B1135" t="n">
        <v/>
      </c>
      <c r="C1135" t="n">
        <v>1.1</v>
      </c>
    </row>
    <row r="1136">
      <c r="A1136" s="28" t="n">
        <v>21314</v>
      </c>
      <c r="B1136" t="n">
        <v/>
      </c>
      <c r="C1136" t="n">
        <v>1.06</v>
      </c>
    </row>
    <row r="1137">
      <c r="A1137" s="28" t="n">
        <v>21317</v>
      </c>
      <c r="B1137" t="n">
        <v/>
      </c>
      <c r="C1137" t="n">
        <v>1.06</v>
      </c>
    </row>
    <row r="1138">
      <c r="A1138" s="28" t="n">
        <v>21318</v>
      </c>
      <c r="B1138" t="n">
        <v/>
      </c>
      <c r="C1138" t="n">
        <v>1.05</v>
      </c>
    </row>
    <row r="1139">
      <c r="A1139" s="28" t="n">
        <v>21319</v>
      </c>
      <c r="B1139" t="n">
        <v/>
      </c>
      <c r="C1139" t="n">
        <v>1.04</v>
      </c>
    </row>
    <row r="1140">
      <c r="A1140" s="28" t="n">
        <v>21320</v>
      </c>
      <c r="B1140" t="n">
        <v/>
      </c>
      <c r="C1140" t="n">
        <v>0.99</v>
      </c>
    </row>
    <row r="1141">
      <c r="A1141" s="28" t="n">
        <v>21321</v>
      </c>
      <c r="B1141" t="n">
        <v/>
      </c>
      <c r="C1141" t="n">
        <v>0.9399999999999999</v>
      </c>
    </row>
    <row r="1142">
      <c r="A1142" s="28" t="n">
        <v>21324</v>
      </c>
      <c r="B1142" t="n">
        <v/>
      </c>
      <c r="C1142" t="n">
        <v>0.85</v>
      </c>
    </row>
    <row r="1143">
      <c r="A1143" s="28" t="n">
        <v>21325</v>
      </c>
      <c r="B1143" t="n">
        <v/>
      </c>
      <c r="C1143" t="n">
        <v>0.8</v>
      </c>
    </row>
    <row r="1144">
      <c r="A1144" s="28" t="n">
        <v>21326</v>
      </c>
      <c r="B1144" t="n">
        <v/>
      </c>
      <c r="C1144" t="n">
        <v>0.73</v>
      </c>
    </row>
    <row r="1145">
      <c r="A1145" s="28" t="n">
        <v>21327</v>
      </c>
      <c r="B1145" t="n">
        <v/>
      </c>
      <c r="C1145" t="n">
        <v>0.7</v>
      </c>
    </row>
    <row r="1146">
      <c r="A1146" s="28" t="n">
        <v>21328</v>
      </c>
      <c r="B1146" t="n">
        <v/>
      </c>
      <c r="C1146" t="n">
        <v>0.64</v>
      </c>
    </row>
    <row r="1147">
      <c r="A1147" s="28" t="n">
        <v>21331</v>
      </c>
      <c r="B1147" t="n">
        <v/>
      </c>
      <c r="C1147" t="n">
        <v>0.6</v>
      </c>
    </row>
    <row r="1148">
      <c r="A1148" s="28" t="n">
        <v>21332</v>
      </c>
      <c r="B1148" t="n">
        <v/>
      </c>
      <c r="C1148" t="n">
        <v>0.55</v>
      </c>
    </row>
    <row r="1149">
      <c r="A1149" s="28" t="n">
        <v>21333</v>
      </c>
      <c r="B1149" t="n">
        <v/>
      </c>
      <c r="C1149" t="n">
        <v>0.6</v>
      </c>
    </row>
    <row r="1150">
      <c r="A1150" s="28" t="n">
        <v>21334</v>
      </c>
      <c r="B1150" t="n">
        <v/>
      </c>
      <c r="C1150" t="n">
        <v>0.58</v>
      </c>
    </row>
    <row r="1151">
      <c r="A1151" s="28" t="n">
        <v>21335</v>
      </c>
      <c r="B1151" t="n">
        <v/>
      </c>
      <c r="C1151" t="n">
        <v>0</v>
      </c>
    </row>
    <row r="1152">
      <c r="A1152" s="28" t="n">
        <v>21338</v>
      </c>
      <c r="B1152" t="n">
        <v/>
      </c>
      <c r="C1152" t="n">
        <v>0.67</v>
      </c>
    </row>
    <row r="1153">
      <c r="A1153" s="28" t="n">
        <v>21339</v>
      </c>
      <c r="B1153" t="n">
        <v/>
      </c>
      <c r="C1153" t="n">
        <v>0.68</v>
      </c>
    </row>
    <row r="1154">
      <c r="A1154" s="28" t="n">
        <v>21340</v>
      </c>
      <c r="B1154" t="n">
        <v/>
      </c>
      <c r="C1154" t="n">
        <v>0.74</v>
      </c>
    </row>
    <row r="1155">
      <c r="A1155" s="28" t="n">
        <v>21341</v>
      </c>
      <c r="B1155" t="n">
        <v/>
      </c>
      <c r="C1155" t="n">
        <v>0.74</v>
      </c>
    </row>
    <row r="1156">
      <c r="A1156" s="28" t="n">
        <v>21342</v>
      </c>
      <c r="B1156" t="n">
        <v/>
      </c>
      <c r="C1156" t="n">
        <v>0.74</v>
      </c>
    </row>
    <row r="1157">
      <c r="A1157" s="28" t="n">
        <v>21345</v>
      </c>
      <c r="B1157" t="n">
        <v/>
      </c>
      <c r="C1157" t="n">
        <v>0.78</v>
      </c>
    </row>
    <row r="1158">
      <c r="A1158" s="28" t="n">
        <v>21346</v>
      </c>
      <c r="B1158" t="n">
        <v/>
      </c>
      <c r="C1158" t="n">
        <v>0.8</v>
      </c>
    </row>
    <row r="1159">
      <c r="A1159" s="28" t="n">
        <v>21347</v>
      </c>
      <c r="B1159" t="n">
        <v/>
      </c>
      <c r="C1159" t="n">
        <v>0.85</v>
      </c>
    </row>
    <row r="1160">
      <c r="A1160" s="28" t="n">
        <v>21348</v>
      </c>
      <c r="B1160" t="n">
        <v/>
      </c>
      <c r="C1160" t="n">
        <v>0.85</v>
      </c>
    </row>
    <row r="1161">
      <c r="A1161" s="28" t="n">
        <v>21349</v>
      </c>
      <c r="B1161" t="n">
        <v/>
      </c>
      <c r="C1161" t="n">
        <v>0.86</v>
      </c>
    </row>
    <row r="1162">
      <c r="A1162" s="28" t="n">
        <v>21352</v>
      </c>
      <c r="B1162" t="n">
        <v/>
      </c>
      <c r="C1162" t="n">
        <v>0.89</v>
      </c>
    </row>
    <row r="1163">
      <c r="A1163" s="28" t="n">
        <v>21353</v>
      </c>
      <c r="B1163" t="n">
        <v/>
      </c>
      <c r="C1163" t="n">
        <v>0.86</v>
      </c>
    </row>
    <row r="1164">
      <c r="A1164" s="28" t="n">
        <v>21354</v>
      </c>
      <c r="B1164" t="n">
        <v/>
      </c>
      <c r="C1164" t="n">
        <v>0.92</v>
      </c>
    </row>
    <row r="1165">
      <c r="A1165" s="28" t="n">
        <v>21355</v>
      </c>
      <c r="B1165" t="n">
        <v/>
      </c>
      <c r="C1165" t="n">
        <v>0.96</v>
      </c>
    </row>
    <row r="1166">
      <c r="A1166" s="28" t="n">
        <v>21356</v>
      </c>
      <c r="B1166" t="n">
        <v/>
      </c>
      <c r="C1166" t="n">
        <v>0.95</v>
      </c>
    </row>
    <row r="1167">
      <c r="A1167" s="28" t="n">
        <v>21359</v>
      </c>
      <c r="B1167" t="n">
        <v/>
      </c>
      <c r="C1167" t="n">
        <v>0.98</v>
      </c>
    </row>
    <row r="1168">
      <c r="A1168" s="28" t="n">
        <v>21360</v>
      </c>
      <c r="B1168" t="n">
        <v/>
      </c>
      <c r="C1168" t="n">
        <v>0.96</v>
      </c>
    </row>
    <row r="1169">
      <c r="A1169" s="28" t="n">
        <v>21361</v>
      </c>
      <c r="B1169" t="n">
        <v/>
      </c>
      <c r="C1169" t="n">
        <v>0.92</v>
      </c>
    </row>
    <row r="1170">
      <c r="A1170" s="28" t="n">
        <v>21362</v>
      </c>
      <c r="B1170" t="n">
        <v/>
      </c>
      <c r="C1170" t="n">
        <v>0.85</v>
      </c>
    </row>
    <row r="1171">
      <c r="A1171" s="28" t="n">
        <v>21363</v>
      </c>
      <c r="B1171" t="n">
        <v/>
      </c>
      <c r="C1171" t="n">
        <v>0.77</v>
      </c>
    </row>
    <row r="1172">
      <c r="A1172" s="28" t="n">
        <v>21366</v>
      </c>
      <c r="B1172" t="n">
        <v/>
      </c>
      <c r="C1172" t="n">
        <v>0.75</v>
      </c>
    </row>
    <row r="1173">
      <c r="A1173" s="28" t="n">
        <v>21367</v>
      </c>
      <c r="B1173" t="n">
        <v/>
      </c>
      <c r="C1173" t="n">
        <v>0.78</v>
      </c>
    </row>
    <row r="1174">
      <c r="A1174" s="28" t="n">
        <v>21368</v>
      </c>
      <c r="B1174" t="n">
        <v/>
      </c>
      <c r="C1174" t="n">
        <v>0.82</v>
      </c>
    </row>
    <row r="1175">
      <c r="A1175" s="28" t="n">
        <v>21369</v>
      </c>
      <c r="B1175" t="n">
        <v/>
      </c>
      <c r="C1175" t="n">
        <v>0.8</v>
      </c>
    </row>
    <row r="1176">
      <c r="A1176" s="28" t="n">
        <v>21370</v>
      </c>
      <c r="B1176" t="n">
        <v/>
      </c>
      <c r="C1176" t="n">
        <v>0</v>
      </c>
    </row>
    <row r="1177">
      <c r="A1177" s="28" t="n">
        <v>21373</v>
      </c>
      <c r="B1177" t="n">
        <v/>
      </c>
      <c r="C1177" t="n">
        <v>0.92</v>
      </c>
    </row>
    <row r="1178">
      <c r="A1178" s="28" t="n">
        <v>21374</v>
      </c>
      <c r="B1178" t="n">
        <v/>
      </c>
      <c r="C1178" t="n">
        <v>0.95</v>
      </c>
    </row>
    <row r="1179">
      <c r="A1179" s="28" t="n">
        <v>21375</v>
      </c>
      <c r="B1179" t="n">
        <v/>
      </c>
      <c r="C1179" t="n">
        <v>0.9399999999999999</v>
      </c>
    </row>
    <row r="1180">
      <c r="A1180" s="28" t="n">
        <v>21376</v>
      </c>
      <c r="B1180" t="n">
        <v/>
      </c>
      <c r="C1180" t="n">
        <v>0.95</v>
      </c>
    </row>
    <row r="1181">
      <c r="A1181" s="28" t="n">
        <v>21377</v>
      </c>
      <c r="B1181" t="n">
        <v/>
      </c>
      <c r="C1181" t="n">
        <v>0.98</v>
      </c>
    </row>
    <row r="1182">
      <c r="A1182" s="28" t="n">
        <v>21380</v>
      </c>
      <c r="B1182" t="n">
        <v/>
      </c>
      <c r="C1182" t="n">
        <v>1.06</v>
      </c>
    </row>
    <row r="1183">
      <c r="A1183" s="28" t="n">
        <v>21381</v>
      </c>
      <c r="B1183" t="n">
        <v/>
      </c>
      <c r="C1183" t="n">
        <v>0.98</v>
      </c>
    </row>
    <row r="1184">
      <c r="A1184" s="28" t="n">
        <v>21382</v>
      </c>
      <c r="B1184" t="n">
        <v/>
      </c>
      <c r="C1184" t="n">
        <v>0.9</v>
      </c>
    </row>
    <row r="1185">
      <c r="A1185" s="28" t="n">
        <v>21383</v>
      </c>
      <c r="B1185" t="n">
        <v/>
      </c>
      <c r="C1185" t="n">
        <v>0.85</v>
      </c>
    </row>
    <row r="1186">
      <c r="A1186" s="28" t="n">
        <v>21384</v>
      </c>
      <c r="B1186" t="n">
        <v/>
      </c>
      <c r="C1186" t="n">
        <v>0.91</v>
      </c>
    </row>
    <row r="1187">
      <c r="A1187" s="28" t="n">
        <v>21387</v>
      </c>
      <c r="B1187" t="n">
        <v/>
      </c>
      <c r="C1187" t="n">
        <v>0.93</v>
      </c>
    </row>
    <row r="1188">
      <c r="A1188" s="28" t="n">
        <v>21388</v>
      </c>
      <c r="B1188" t="n">
        <v/>
      </c>
      <c r="C1188" t="n">
        <v>0.88</v>
      </c>
    </row>
    <row r="1189">
      <c r="A1189" s="28" t="n">
        <v>21389</v>
      </c>
      <c r="B1189" t="n">
        <v/>
      </c>
      <c r="C1189" t="n">
        <v>0.88</v>
      </c>
    </row>
    <row r="1190">
      <c r="A1190" s="28" t="n">
        <v>21390</v>
      </c>
      <c r="B1190" t="n">
        <v/>
      </c>
      <c r="C1190" t="n">
        <v>0.88</v>
      </c>
    </row>
    <row r="1191">
      <c r="A1191" s="28" t="n">
        <v>21391</v>
      </c>
      <c r="B1191" t="n">
        <v/>
      </c>
      <c r="C1191" t="n">
        <v>0.82</v>
      </c>
    </row>
    <row r="1192">
      <c r="A1192" s="28" t="n">
        <v>21394</v>
      </c>
      <c r="B1192" t="n">
        <v/>
      </c>
      <c r="C1192" t="n">
        <v>0.92</v>
      </c>
    </row>
    <row r="1193">
      <c r="A1193" s="28" t="n">
        <v>21395</v>
      </c>
      <c r="B1193" t="n">
        <v/>
      </c>
      <c r="C1193" t="n">
        <v>0.92</v>
      </c>
    </row>
    <row r="1194">
      <c r="A1194" s="28" t="n">
        <v>21396</v>
      </c>
      <c r="B1194" t="n">
        <v/>
      </c>
      <c r="C1194" t="n">
        <v>0.96</v>
      </c>
    </row>
    <row r="1195">
      <c r="A1195" s="28" t="n">
        <v>21397</v>
      </c>
      <c r="B1195" t="n">
        <v/>
      </c>
      <c r="C1195" t="n">
        <v>0.91</v>
      </c>
    </row>
    <row r="1196">
      <c r="A1196" s="28" t="n">
        <v>21398</v>
      </c>
      <c r="B1196" t="n">
        <v/>
      </c>
      <c r="C1196" t="n">
        <v>0.97</v>
      </c>
    </row>
    <row r="1197">
      <c r="A1197" s="28" t="n">
        <v>21401</v>
      </c>
      <c r="B1197" t="n">
        <v/>
      </c>
      <c r="C1197" t="n">
        <v>1.1</v>
      </c>
    </row>
    <row r="1198">
      <c r="A1198" s="28" t="n">
        <v>21402</v>
      </c>
      <c r="B1198" t="n">
        <v/>
      </c>
      <c r="C1198" t="n">
        <v>1.1</v>
      </c>
    </row>
    <row r="1199">
      <c r="A1199" s="28" t="n">
        <v>21403</v>
      </c>
      <c r="B1199" t="n">
        <v/>
      </c>
      <c r="C1199" t="n">
        <v>1.15</v>
      </c>
    </row>
    <row r="1200">
      <c r="A1200" s="28" t="n">
        <v>21404</v>
      </c>
      <c r="B1200" t="n">
        <v/>
      </c>
      <c r="C1200" t="n">
        <v>1.32</v>
      </c>
    </row>
    <row r="1201">
      <c r="A1201" s="28" t="n">
        <v>21405</v>
      </c>
      <c r="B1201" t="n">
        <v/>
      </c>
      <c r="C1201" t="n">
        <v>1.32</v>
      </c>
    </row>
    <row r="1202">
      <c r="A1202" s="28" t="n">
        <v>21408</v>
      </c>
      <c r="B1202" t="n">
        <v/>
      </c>
      <c r="C1202" t="n">
        <v>1.48</v>
      </c>
    </row>
    <row r="1203">
      <c r="A1203" s="28" t="n">
        <v>21409</v>
      </c>
      <c r="B1203" t="n">
        <v/>
      </c>
      <c r="C1203" t="n">
        <v>1.47</v>
      </c>
    </row>
    <row r="1204">
      <c r="A1204" s="28" t="n">
        <v>21410</v>
      </c>
      <c r="B1204" t="n">
        <v/>
      </c>
      <c r="C1204" t="n">
        <v>1.59</v>
      </c>
    </row>
    <row r="1205">
      <c r="A1205" s="28" t="n">
        <v>21411</v>
      </c>
      <c r="B1205" t="n">
        <v/>
      </c>
      <c r="C1205" t="n">
        <v>1.61</v>
      </c>
    </row>
    <row r="1206">
      <c r="A1206" s="28" t="n">
        <v>21412</v>
      </c>
      <c r="B1206" t="n">
        <v/>
      </c>
      <c r="C1206" t="n">
        <v>1.75</v>
      </c>
    </row>
    <row r="1207">
      <c r="A1207" s="28" t="n">
        <v>21415</v>
      </c>
      <c r="B1207" t="n">
        <v/>
      </c>
      <c r="C1207" t="n">
        <v>1.84</v>
      </c>
    </row>
    <row r="1208">
      <c r="A1208" s="28" t="n">
        <v>21416</v>
      </c>
      <c r="B1208" t="n">
        <v/>
      </c>
      <c r="C1208" t="n">
        <v>1.82</v>
      </c>
    </row>
    <row r="1209">
      <c r="A1209" s="28" t="n">
        <v>21417</v>
      </c>
      <c r="B1209" t="n">
        <v/>
      </c>
      <c r="C1209" t="n">
        <v>1.9</v>
      </c>
    </row>
    <row r="1210">
      <c r="A1210" s="28" t="n">
        <v>21418</v>
      </c>
      <c r="B1210" t="n">
        <v/>
      </c>
      <c r="C1210" t="n">
        <v>1.99</v>
      </c>
    </row>
    <row r="1211">
      <c r="A1211" s="28" t="n">
        <v>21419</v>
      </c>
      <c r="B1211" t="n">
        <v/>
      </c>
      <c r="C1211" t="n">
        <v>1.99</v>
      </c>
    </row>
    <row r="1212">
      <c r="A1212" s="28" t="n">
        <v>21422</v>
      </c>
      <c r="B1212" t="n">
        <v/>
      </c>
      <c r="C1212" t="n">
        <v>2.12</v>
      </c>
    </row>
    <row r="1213">
      <c r="A1213" s="28" t="n">
        <v>21423</v>
      </c>
      <c r="B1213" t="n">
        <v/>
      </c>
      <c r="C1213" t="n">
        <v>2.14</v>
      </c>
    </row>
    <row r="1214">
      <c r="A1214" s="28" t="n">
        <v>21424</v>
      </c>
      <c r="B1214" t="n">
        <v/>
      </c>
      <c r="C1214" t="n">
        <v>2.26</v>
      </c>
    </row>
    <row r="1215">
      <c r="A1215" s="28" t="n">
        <v>21425</v>
      </c>
      <c r="B1215" t="n">
        <v/>
      </c>
      <c r="C1215" t="n">
        <v>2.3</v>
      </c>
    </row>
    <row r="1216">
      <c r="A1216" s="28" t="n">
        <v>21426</v>
      </c>
      <c r="B1216" t="n">
        <v/>
      </c>
      <c r="C1216" t="n">
        <v>2.33</v>
      </c>
    </row>
    <row r="1217">
      <c r="A1217" s="28" t="n">
        <v>21429</v>
      </c>
      <c r="B1217" t="n">
        <v/>
      </c>
      <c r="C1217" t="n">
        <v>0</v>
      </c>
    </row>
    <row r="1218">
      <c r="A1218" s="28" t="n">
        <v>21430</v>
      </c>
      <c r="B1218" t="n">
        <v/>
      </c>
      <c r="C1218" t="n">
        <v>2.3</v>
      </c>
    </row>
    <row r="1219">
      <c r="A1219" s="28" t="n">
        <v>21431</v>
      </c>
      <c r="B1219" t="n">
        <v/>
      </c>
      <c r="C1219" t="n">
        <v>2.39</v>
      </c>
    </row>
    <row r="1220">
      <c r="A1220" s="28" t="n">
        <v>21432</v>
      </c>
      <c r="B1220" t="n">
        <v/>
      </c>
      <c r="C1220" t="n">
        <v>2.33</v>
      </c>
    </row>
    <row r="1221">
      <c r="A1221" s="28" t="n">
        <v>21433</v>
      </c>
      <c r="B1221" t="n">
        <v/>
      </c>
      <c r="C1221" t="n">
        <v>2.26</v>
      </c>
    </row>
    <row r="1222">
      <c r="A1222" s="28" t="n">
        <v>21436</v>
      </c>
      <c r="B1222" t="n">
        <v/>
      </c>
      <c r="C1222" t="n">
        <v>2.28</v>
      </c>
    </row>
    <row r="1223">
      <c r="A1223" s="28" t="n">
        <v>21437</v>
      </c>
      <c r="B1223" t="n">
        <v/>
      </c>
      <c r="C1223" t="n">
        <v>2.28</v>
      </c>
    </row>
    <row r="1224">
      <c r="A1224" s="28" t="n">
        <v>21438</v>
      </c>
      <c r="B1224" t="n">
        <v/>
      </c>
      <c r="C1224" t="n">
        <v>2.43</v>
      </c>
    </row>
    <row r="1225">
      <c r="A1225" s="28" t="n">
        <v>21439</v>
      </c>
      <c r="B1225" t="n">
        <v/>
      </c>
      <c r="C1225" t="n">
        <v>2.41</v>
      </c>
    </row>
    <row r="1226">
      <c r="A1226" s="28" t="n">
        <v>21440</v>
      </c>
      <c r="B1226" t="n">
        <v/>
      </c>
      <c r="C1226" t="n">
        <v>2.44</v>
      </c>
    </row>
    <row r="1227">
      <c r="A1227" s="28" t="n">
        <v>21443</v>
      </c>
      <c r="B1227" t="n">
        <v/>
      </c>
      <c r="C1227" t="n">
        <v>2.54</v>
      </c>
    </row>
    <row r="1228">
      <c r="A1228" s="28" t="n">
        <v>21444</v>
      </c>
      <c r="B1228" t="n">
        <v/>
      </c>
      <c r="C1228" t="n">
        <v>2.54</v>
      </c>
    </row>
    <row r="1229">
      <c r="A1229" s="28" t="n">
        <v>21445</v>
      </c>
      <c r="B1229" t="n">
        <v/>
      </c>
      <c r="C1229" t="n">
        <v>2.52</v>
      </c>
    </row>
    <row r="1230">
      <c r="A1230" s="28" t="n">
        <v>21446</v>
      </c>
      <c r="B1230" t="n">
        <v/>
      </c>
      <c r="C1230" t="n">
        <v>2.33</v>
      </c>
    </row>
    <row r="1231">
      <c r="A1231" s="28" t="n">
        <v>21447</v>
      </c>
      <c r="B1231" t="n">
        <v/>
      </c>
      <c r="C1231" t="n">
        <v>2.33</v>
      </c>
    </row>
    <row r="1232">
      <c r="A1232" s="28" t="n">
        <v>21450</v>
      </c>
      <c r="B1232" t="n">
        <v/>
      </c>
      <c r="C1232" t="n">
        <v>2.38</v>
      </c>
    </row>
    <row r="1233">
      <c r="A1233" s="28" t="n">
        <v>21451</v>
      </c>
      <c r="B1233" t="n">
        <v/>
      </c>
      <c r="C1233" t="n">
        <v>2.36</v>
      </c>
    </row>
    <row r="1234">
      <c r="A1234" s="28" t="n">
        <v>21452</v>
      </c>
      <c r="B1234" t="n">
        <v/>
      </c>
      <c r="C1234" t="n">
        <v>2.5</v>
      </c>
    </row>
    <row r="1235">
      <c r="A1235" s="28" t="n">
        <v>21453</v>
      </c>
      <c r="B1235" t="n">
        <v/>
      </c>
      <c r="C1235" t="n">
        <v>2.52</v>
      </c>
    </row>
    <row r="1236">
      <c r="A1236" s="28" t="n">
        <v>21454</v>
      </c>
      <c r="B1236" t="n">
        <v/>
      </c>
      <c r="C1236" t="n">
        <v>2.62</v>
      </c>
    </row>
    <row r="1237">
      <c r="A1237" s="28" t="n">
        <v>21457</v>
      </c>
      <c r="B1237" t="n">
        <v/>
      </c>
      <c r="C1237" t="n">
        <v>2.82</v>
      </c>
    </row>
    <row r="1238">
      <c r="A1238" s="28" t="n">
        <v>21458</v>
      </c>
      <c r="B1238" t="n">
        <v/>
      </c>
      <c r="C1238" t="n">
        <v>2.7</v>
      </c>
    </row>
    <row r="1239">
      <c r="A1239" s="28" t="n">
        <v>21459</v>
      </c>
      <c r="B1239" t="n">
        <v/>
      </c>
      <c r="C1239" t="n">
        <v>2.86</v>
      </c>
    </row>
    <row r="1240">
      <c r="A1240" s="28" t="n">
        <v>21460</v>
      </c>
      <c r="B1240" t="n">
        <v/>
      </c>
      <c r="C1240" t="n">
        <v>2.62</v>
      </c>
    </row>
    <row r="1241">
      <c r="A1241" s="28" t="n">
        <v>21461</v>
      </c>
      <c r="B1241" t="n">
        <v/>
      </c>
      <c r="C1241" t="n">
        <v>2.48</v>
      </c>
    </row>
    <row r="1242">
      <c r="A1242" s="28" t="n">
        <v>21464</v>
      </c>
      <c r="B1242" t="n">
        <v/>
      </c>
      <c r="C1242" t="n">
        <v>2.54</v>
      </c>
    </row>
    <row r="1243">
      <c r="A1243" s="28" t="n">
        <v>21465</v>
      </c>
      <c r="B1243" t="n">
        <v/>
      </c>
      <c r="C1243" t="n">
        <v>2.54</v>
      </c>
    </row>
    <row r="1244">
      <c r="A1244" s="28" t="n">
        <v>21466</v>
      </c>
      <c r="B1244" t="n">
        <v/>
      </c>
      <c r="C1244" t="n">
        <v>2.67</v>
      </c>
    </row>
    <row r="1245">
      <c r="A1245" s="28" t="n">
        <v>21467</v>
      </c>
      <c r="B1245" t="n">
        <v/>
      </c>
      <c r="C1245" t="n">
        <v>2.74</v>
      </c>
    </row>
    <row r="1246">
      <c r="A1246" s="28" t="n">
        <v>21468</v>
      </c>
      <c r="B1246" t="n">
        <v/>
      </c>
      <c r="C1246" t="n">
        <v>2.7</v>
      </c>
    </row>
    <row r="1247">
      <c r="A1247" s="28" t="n">
        <v>21471</v>
      </c>
      <c r="B1247" t="n">
        <v/>
      </c>
      <c r="C1247" t="n">
        <v>0</v>
      </c>
    </row>
    <row r="1248">
      <c r="A1248" s="28" t="n">
        <v>21472</v>
      </c>
      <c r="B1248" t="n">
        <v/>
      </c>
      <c r="C1248" t="n">
        <v>2.66</v>
      </c>
    </row>
    <row r="1249">
      <c r="A1249" s="28" t="n">
        <v>21473</v>
      </c>
      <c r="B1249" t="n">
        <v/>
      </c>
      <c r="C1249" t="n">
        <v>2.69</v>
      </c>
    </row>
    <row r="1250">
      <c r="A1250" s="28" t="n">
        <v>21474</v>
      </c>
      <c r="B1250" t="n">
        <v/>
      </c>
      <c r="C1250" t="n">
        <v>2.69</v>
      </c>
    </row>
    <row r="1251">
      <c r="A1251" s="28" t="n">
        <v>21475</v>
      </c>
      <c r="B1251" t="n">
        <v/>
      </c>
      <c r="C1251" t="n">
        <v>2.65</v>
      </c>
    </row>
    <row r="1252">
      <c r="A1252" s="28" t="n">
        <v>21478</v>
      </c>
      <c r="B1252" t="n">
        <v/>
      </c>
      <c r="C1252" t="n">
        <v>2.64</v>
      </c>
    </row>
    <row r="1253">
      <c r="A1253" s="28" t="n">
        <v>21479</v>
      </c>
      <c r="B1253" t="n">
        <v/>
      </c>
      <c r="C1253" t="n">
        <v>2.6</v>
      </c>
    </row>
    <row r="1254">
      <c r="A1254" s="28" t="n">
        <v>21480</v>
      </c>
      <c r="B1254" t="n">
        <v/>
      </c>
      <c r="C1254" t="n">
        <v>2.8</v>
      </c>
    </row>
    <row r="1255">
      <c r="A1255" s="28" t="n">
        <v>21481</v>
      </c>
      <c r="B1255" t="n">
        <v/>
      </c>
      <c r="C1255" t="n">
        <v>2.75</v>
      </c>
    </row>
    <row r="1256">
      <c r="A1256" s="28" t="n">
        <v>21482</v>
      </c>
      <c r="B1256" t="n">
        <v/>
      </c>
      <c r="C1256" t="n">
        <v>2.66</v>
      </c>
    </row>
    <row r="1257">
      <c r="A1257" s="28" t="n">
        <v>21485</v>
      </c>
      <c r="B1257" t="n">
        <v/>
      </c>
      <c r="C1257" t="n">
        <v>2.48</v>
      </c>
    </row>
    <row r="1258">
      <c r="A1258" s="28" t="n">
        <v>21486</v>
      </c>
      <c r="B1258" t="n">
        <v/>
      </c>
      <c r="C1258" t="n">
        <v>2.46</v>
      </c>
    </row>
    <row r="1259">
      <c r="A1259" s="28" t="n">
        <v>21487</v>
      </c>
      <c r="B1259" t="n">
        <v/>
      </c>
      <c r="C1259" t="n">
        <v>2.6</v>
      </c>
    </row>
    <row r="1260">
      <c r="A1260" s="28" t="n">
        <v>21488</v>
      </c>
      <c r="B1260" t="n">
        <v/>
      </c>
      <c r="C1260" t="n">
        <v>2.57</v>
      </c>
    </row>
    <row r="1261">
      <c r="A1261" s="28" t="n">
        <v>21489</v>
      </c>
      <c r="B1261" t="n">
        <v/>
      </c>
      <c r="C1261" t="n">
        <v>2.55</v>
      </c>
    </row>
    <row r="1262">
      <c r="A1262" s="28" t="n">
        <v>21492</v>
      </c>
      <c r="B1262" t="n">
        <v/>
      </c>
      <c r="C1262" t="n">
        <v>2.55</v>
      </c>
    </row>
    <row r="1263">
      <c r="A1263" s="28" t="n">
        <v>21493</v>
      </c>
      <c r="B1263" t="n">
        <v/>
      </c>
      <c r="C1263" t="n">
        <v>0</v>
      </c>
    </row>
    <row r="1264">
      <c r="A1264" s="28" t="n">
        <v>21494</v>
      </c>
      <c r="B1264" t="n">
        <v/>
      </c>
      <c r="C1264" t="n">
        <v>2.51</v>
      </c>
    </row>
    <row r="1265">
      <c r="A1265" s="28" t="n">
        <v>21495</v>
      </c>
      <c r="B1265" t="n">
        <v/>
      </c>
      <c r="C1265" t="n">
        <v>2.45</v>
      </c>
    </row>
    <row r="1266">
      <c r="A1266" s="28" t="n">
        <v>21496</v>
      </c>
      <c r="B1266" t="n">
        <v/>
      </c>
      <c r="C1266" t="n">
        <v>2.46</v>
      </c>
    </row>
    <row r="1267">
      <c r="A1267" s="28" t="n">
        <v>21499</v>
      </c>
      <c r="B1267" t="n">
        <v/>
      </c>
      <c r="C1267" t="n">
        <v>2.62</v>
      </c>
    </row>
    <row r="1268">
      <c r="A1268" s="28" t="n">
        <v>21500</v>
      </c>
      <c r="B1268" t="n">
        <v/>
      </c>
      <c r="C1268" t="n">
        <v>0</v>
      </c>
    </row>
    <row r="1269">
      <c r="A1269" s="28" t="n">
        <v>21501</v>
      </c>
      <c r="B1269" t="n">
        <v/>
      </c>
      <c r="C1269" t="n">
        <v>2.69</v>
      </c>
    </row>
    <row r="1270">
      <c r="A1270" s="28" t="n">
        <v>21502</v>
      </c>
      <c r="B1270" t="n">
        <v/>
      </c>
      <c r="C1270" t="n">
        <v>2.74</v>
      </c>
    </row>
    <row r="1271">
      <c r="A1271" s="28" t="n">
        <v>21503</v>
      </c>
      <c r="B1271" t="n">
        <v/>
      </c>
      <c r="C1271" t="n">
        <v>2.78</v>
      </c>
    </row>
    <row r="1272">
      <c r="A1272" s="28" t="n">
        <v>21506</v>
      </c>
      <c r="B1272" t="n">
        <v/>
      </c>
      <c r="C1272" t="n">
        <v>2.77</v>
      </c>
    </row>
    <row r="1273">
      <c r="A1273" s="28" t="n">
        <v>21507</v>
      </c>
      <c r="B1273" t="n">
        <v/>
      </c>
      <c r="C1273" t="n">
        <v>2.72</v>
      </c>
    </row>
    <row r="1274">
      <c r="A1274" s="28" t="n">
        <v>21508</v>
      </c>
      <c r="B1274" t="n">
        <v/>
      </c>
      <c r="C1274" t="n">
        <v>2.79</v>
      </c>
    </row>
    <row r="1275">
      <c r="A1275" s="28" t="n">
        <v>21509</v>
      </c>
      <c r="B1275" t="n">
        <v/>
      </c>
      <c r="C1275" t="n">
        <v>2.69</v>
      </c>
    </row>
    <row r="1276">
      <c r="A1276" s="28" t="n">
        <v>21510</v>
      </c>
      <c r="B1276" t="n">
        <v/>
      </c>
      <c r="C1276" t="n">
        <v>2.66</v>
      </c>
    </row>
    <row r="1277">
      <c r="A1277" s="28" t="n">
        <v>21513</v>
      </c>
      <c r="B1277" t="n">
        <v/>
      </c>
      <c r="C1277" t="n">
        <v>2.64</v>
      </c>
    </row>
    <row r="1278">
      <c r="A1278" s="28" t="n">
        <v>21514</v>
      </c>
      <c r="B1278" t="n">
        <v/>
      </c>
      <c r="C1278" t="n">
        <v>2.7</v>
      </c>
    </row>
    <row r="1279">
      <c r="A1279" s="28" t="n">
        <v>21515</v>
      </c>
      <c r="B1279" t="n">
        <v/>
      </c>
      <c r="C1279" t="n">
        <v>2.78</v>
      </c>
    </row>
    <row r="1280">
      <c r="A1280" s="28" t="n">
        <v>21516</v>
      </c>
      <c r="B1280" t="n">
        <v/>
      </c>
      <c r="C1280" t="n">
        <v>0</v>
      </c>
    </row>
    <row r="1281">
      <c r="A1281" s="28" t="n">
        <v>21517</v>
      </c>
      <c r="B1281" t="n">
        <v/>
      </c>
      <c r="C1281" t="n">
        <v>2.78</v>
      </c>
    </row>
    <row r="1282">
      <c r="A1282" s="28" t="n">
        <v>21520</v>
      </c>
      <c r="B1282" t="n">
        <v/>
      </c>
      <c r="C1282" t="n">
        <v>2.75</v>
      </c>
    </row>
    <row r="1283">
      <c r="A1283" s="28" t="n">
        <v>21521</v>
      </c>
      <c r="B1283" t="n">
        <v/>
      </c>
      <c r="C1283" t="n">
        <v>2.78</v>
      </c>
    </row>
    <row r="1284">
      <c r="A1284" s="28" t="n">
        <v>21522</v>
      </c>
      <c r="B1284" t="n">
        <v/>
      </c>
      <c r="C1284" t="n">
        <v>2.82</v>
      </c>
    </row>
    <row r="1285">
      <c r="A1285" s="28" t="n">
        <v>21523</v>
      </c>
      <c r="B1285" t="n">
        <v/>
      </c>
      <c r="C1285" t="n">
        <v>2.82</v>
      </c>
    </row>
    <row r="1286">
      <c r="A1286" s="28" t="n">
        <v>21524</v>
      </c>
      <c r="B1286" t="n">
        <v/>
      </c>
      <c r="C1286" t="n">
        <v>2.78</v>
      </c>
    </row>
    <row r="1287">
      <c r="A1287" s="28" t="n">
        <v>21527</v>
      </c>
      <c r="B1287" t="n">
        <v/>
      </c>
      <c r="C1287" t="n">
        <v>2.77</v>
      </c>
    </row>
    <row r="1288">
      <c r="A1288" s="28" t="n">
        <v>21528</v>
      </c>
      <c r="B1288" t="n">
        <v/>
      </c>
      <c r="C1288" t="n">
        <v>2.82</v>
      </c>
    </row>
    <row r="1289">
      <c r="A1289" s="28" t="n">
        <v>21529</v>
      </c>
      <c r="B1289" t="n">
        <v/>
      </c>
      <c r="C1289" t="n">
        <v>2.84</v>
      </c>
    </row>
    <row r="1290">
      <c r="A1290" s="28" t="n">
        <v>21530</v>
      </c>
      <c r="B1290" t="n">
        <v/>
      </c>
      <c r="C1290" t="n">
        <v>2.84</v>
      </c>
    </row>
    <row r="1291">
      <c r="A1291" s="28" t="n">
        <v>21531</v>
      </c>
      <c r="B1291" t="n">
        <v/>
      </c>
      <c r="C1291" t="n">
        <v>2.84</v>
      </c>
    </row>
    <row r="1292">
      <c r="A1292" s="28" t="n">
        <v>21534</v>
      </c>
      <c r="B1292" t="n">
        <v/>
      </c>
      <c r="C1292" t="n">
        <v>2.83</v>
      </c>
    </row>
    <row r="1293">
      <c r="A1293" s="28" t="n">
        <v>21535</v>
      </c>
      <c r="B1293" t="n">
        <v/>
      </c>
      <c r="C1293" t="n">
        <v>2.83</v>
      </c>
    </row>
    <row r="1294">
      <c r="A1294" s="28" t="n">
        <v>21536</v>
      </c>
      <c r="B1294" t="n">
        <v/>
      </c>
      <c r="C1294" t="n">
        <v>2.87</v>
      </c>
    </row>
    <row r="1295">
      <c r="A1295" s="28" t="n">
        <v>21537</v>
      </c>
      <c r="B1295" t="n">
        <v/>
      </c>
      <c r="C1295" t="n">
        <v>2.83</v>
      </c>
    </row>
    <row r="1296">
      <c r="A1296" s="28" t="n">
        <v>21538</v>
      </c>
      <c r="B1296" t="n">
        <v/>
      </c>
      <c r="C1296" t="n">
        <v>2.76</v>
      </c>
    </row>
    <row r="1297">
      <c r="A1297" s="28" t="n">
        <v>21541</v>
      </c>
      <c r="B1297" t="n">
        <v/>
      </c>
      <c r="C1297" t="n">
        <v>2.7</v>
      </c>
    </row>
    <row r="1298">
      <c r="A1298" s="28" t="n">
        <v>21542</v>
      </c>
      <c r="B1298" t="n">
        <v/>
      </c>
      <c r="C1298" t="n">
        <v>2.7</v>
      </c>
    </row>
    <row r="1299">
      <c r="A1299" s="28" t="n">
        <v>21543</v>
      </c>
      <c r="B1299" t="n">
        <v/>
      </c>
      <c r="C1299" t="n">
        <v>2.71</v>
      </c>
    </row>
    <row r="1300">
      <c r="A1300" s="28" t="n">
        <v>21544</v>
      </c>
      <c r="B1300" t="n">
        <v/>
      </c>
      <c r="C1300" t="n">
        <v>0</v>
      </c>
    </row>
    <row r="1301">
      <c r="A1301" s="28" t="n">
        <v>21545</v>
      </c>
      <c r="B1301" t="n">
        <v/>
      </c>
      <c r="C1301" t="n">
        <v>2.71</v>
      </c>
    </row>
    <row r="1302">
      <c r="A1302" s="28" t="n">
        <v>21548</v>
      </c>
      <c r="B1302" t="n">
        <v/>
      </c>
      <c r="C1302" t="n">
        <v>2.67</v>
      </c>
    </row>
    <row r="1303">
      <c r="A1303" s="28" t="n">
        <v>21549</v>
      </c>
      <c r="B1303" t="n">
        <v/>
      </c>
      <c r="C1303" t="n">
        <v>2.67</v>
      </c>
    </row>
    <row r="1304">
      <c r="A1304" s="28" t="n">
        <v>21550</v>
      </c>
      <c r="B1304" t="n">
        <v/>
      </c>
      <c r="C1304" t="n">
        <v>2.68</v>
      </c>
    </row>
    <row r="1305">
      <c r="A1305" s="28" t="n">
        <v>21551</v>
      </c>
      <c r="B1305" t="n">
        <v/>
      </c>
      <c r="C1305" t="n">
        <v>0</v>
      </c>
    </row>
    <row r="1306">
      <c r="A1306" s="28" t="n">
        <v>21552</v>
      </c>
      <c r="B1306" t="n">
        <v/>
      </c>
      <c r="C1306" t="n">
        <v>2.67</v>
      </c>
    </row>
    <row r="1307">
      <c r="A1307" s="28" t="n">
        <v>21555</v>
      </c>
      <c r="B1307" t="n">
        <v/>
      </c>
      <c r="C1307" t="n">
        <v>2.66</v>
      </c>
    </row>
    <row r="1308">
      <c r="A1308" s="28" t="n">
        <v>21556</v>
      </c>
      <c r="B1308" t="n">
        <v/>
      </c>
      <c r="C1308" t="n">
        <v>2.68</v>
      </c>
    </row>
    <row r="1309">
      <c r="A1309" s="28" t="n">
        <v>21557</v>
      </c>
      <c r="B1309" t="n">
        <v/>
      </c>
      <c r="C1309" t="n">
        <v>2.77</v>
      </c>
    </row>
    <row r="1310">
      <c r="A1310" s="28" t="n">
        <v>21558</v>
      </c>
      <c r="B1310" t="n">
        <v/>
      </c>
      <c r="C1310" t="n">
        <v>2.76</v>
      </c>
    </row>
    <row r="1311">
      <c r="A1311" s="28" t="n">
        <v>21559</v>
      </c>
      <c r="B1311" t="n">
        <v/>
      </c>
      <c r="C1311" t="n">
        <v>2.71</v>
      </c>
    </row>
    <row r="1312">
      <c r="A1312" s="28" t="n">
        <v>21562</v>
      </c>
      <c r="B1312" t="n">
        <v/>
      </c>
      <c r="C1312" t="n">
        <v>2.76</v>
      </c>
    </row>
    <row r="1313">
      <c r="A1313" s="28" t="n">
        <v>21563</v>
      </c>
      <c r="B1313" t="n">
        <v/>
      </c>
      <c r="C1313" t="n">
        <v>2.79</v>
      </c>
    </row>
    <row r="1314">
      <c r="A1314" s="28" t="n">
        <v>21564</v>
      </c>
      <c r="B1314" t="n">
        <v/>
      </c>
      <c r="C1314" t="n">
        <v>2.92</v>
      </c>
    </row>
    <row r="1315">
      <c r="A1315" s="28" t="n">
        <v>21565</v>
      </c>
      <c r="B1315" t="n">
        <v/>
      </c>
      <c r="C1315" t="n">
        <v>2.94</v>
      </c>
    </row>
    <row r="1316">
      <c r="A1316" s="28" t="n">
        <v>21566</v>
      </c>
      <c r="B1316" t="n">
        <v/>
      </c>
      <c r="C1316" t="n">
        <v>2.91</v>
      </c>
    </row>
    <row r="1317">
      <c r="A1317" s="28" t="n">
        <v>21569</v>
      </c>
      <c r="B1317" t="n">
        <v/>
      </c>
      <c r="C1317" t="n">
        <v>3.01</v>
      </c>
    </row>
    <row r="1318">
      <c r="A1318" s="28" t="n">
        <v>21570</v>
      </c>
      <c r="B1318" t="n">
        <v/>
      </c>
      <c r="C1318" t="n">
        <v>3.01</v>
      </c>
    </row>
    <row r="1319">
      <c r="A1319" s="28" t="n">
        <v>21571</v>
      </c>
      <c r="B1319" t="n">
        <v/>
      </c>
      <c r="C1319" t="n">
        <v>2.93</v>
      </c>
    </row>
    <row r="1320">
      <c r="A1320" s="28" t="n">
        <v>21572</v>
      </c>
      <c r="B1320" t="n">
        <v/>
      </c>
      <c r="C1320" t="n">
        <v>2.92</v>
      </c>
    </row>
    <row r="1321">
      <c r="A1321" s="28" t="n">
        <v>21573</v>
      </c>
      <c r="B1321" t="n">
        <v/>
      </c>
      <c r="C1321" t="n">
        <v>2.96</v>
      </c>
    </row>
    <row r="1322">
      <c r="A1322" s="28" t="n">
        <v>21576</v>
      </c>
      <c r="B1322" t="n">
        <v/>
      </c>
      <c r="C1322" t="n">
        <v>2.94</v>
      </c>
    </row>
    <row r="1323">
      <c r="A1323" s="28" t="n">
        <v>21577</v>
      </c>
      <c r="B1323" t="n">
        <v/>
      </c>
      <c r="C1323" t="n">
        <v>2.84</v>
      </c>
    </row>
    <row r="1324">
      <c r="A1324" s="28" t="n">
        <v>21578</v>
      </c>
      <c r="B1324" t="n">
        <v/>
      </c>
      <c r="C1324" t="n">
        <v>2.76</v>
      </c>
    </row>
    <row r="1325">
      <c r="A1325" s="28" t="n">
        <v>21579</v>
      </c>
      <c r="B1325" t="n">
        <v/>
      </c>
      <c r="C1325" t="n">
        <v>2.69</v>
      </c>
    </row>
    <row r="1326">
      <c r="A1326" s="28" t="n">
        <v>21580</v>
      </c>
      <c r="B1326" t="n">
        <v/>
      </c>
      <c r="C1326" t="n">
        <v>2.64</v>
      </c>
    </row>
    <row r="1327">
      <c r="A1327" s="28" t="n">
        <v>21583</v>
      </c>
      <c r="B1327" t="n">
        <v/>
      </c>
      <c r="C1327" t="n">
        <v>2.75</v>
      </c>
    </row>
    <row r="1328">
      <c r="A1328" s="28" t="n">
        <v>21584</v>
      </c>
      <c r="B1328" t="n">
        <v/>
      </c>
      <c r="C1328" t="n">
        <v>2.8</v>
      </c>
    </row>
    <row r="1329">
      <c r="A1329" s="28" t="n">
        <v>21585</v>
      </c>
      <c r="B1329" t="n">
        <v/>
      </c>
      <c r="C1329" t="n">
        <v>2.75</v>
      </c>
    </row>
    <row r="1330">
      <c r="A1330" s="28" t="n">
        <v>21586</v>
      </c>
      <c r="B1330" t="n">
        <v/>
      </c>
      <c r="C1330" t="n">
        <v>2.59</v>
      </c>
    </row>
    <row r="1331">
      <c r="A1331" s="28" t="n">
        <v>21587</v>
      </c>
      <c r="B1331" t="n">
        <v/>
      </c>
      <c r="C1331" t="n">
        <v>2.6</v>
      </c>
    </row>
    <row r="1332">
      <c r="A1332" s="28" t="n">
        <v>21590</v>
      </c>
      <c r="B1332" t="n">
        <v/>
      </c>
      <c r="C1332" t="n">
        <v>2.78</v>
      </c>
    </row>
    <row r="1333">
      <c r="A1333" s="28" t="n">
        <v>21591</v>
      </c>
      <c r="B1333" t="n">
        <v/>
      </c>
      <c r="C1333" t="n">
        <v>2.7</v>
      </c>
    </row>
    <row r="1334">
      <c r="A1334" s="28" t="n">
        <v>21592</v>
      </c>
      <c r="B1334" t="n">
        <v/>
      </c>
      <c r="C1334" t="n">
        <v>2.7</v>
      </c>
    </row>
    <row r="1335">
      <c r="A1335" s="28" t="n">
        <v>21593</v>
      </c>
      <c r="B1335" t="n">
        <v/>
      </c>
      <c r="C1335" t="n">
        <v>0</v>
      </c>
    </row>
    <row r="1336">
      <c r="A1336" s="28" t="n">
        <v>21594</v>
      </c>
      <c r="B1336" t="n">
        <v/>
      </c>
      <c r="C1336" t="n">
        <v>2.7</v>
      </c>
    </row>
    <row r="1337">
      <c r="A1337" s="28" t="n">
        <v>21597</v>
      </c>
      <c r="B1337" t="n">
        <v/>
      </c>
      <c r="C1337" t="n">
        <v>2.66</v>
      </c>
    </row>
    <row r="1338">
      <c r="A1338" s="28" t="n">
        <v>21598</v>
      </c>
      <c r="B1338" t="n">
        <v/>
      </c>
      <c r="C1338" t="n">
        <v>2.58</v>
      </c>
    </row>
    <row r="1339">
      <c r="A1339" s="28" t="n">
        <v>21599</v>
      </c>
      <c r="B1339" t="n">
        <v/>
      </c>
      <c r="C1339" t="n">
        <v>2.68</v>
      </c>
    </row>
    <row r="1340">
      <c r="A1340" s="28" t="n">
        <v>21600</v>
      </c>
      <c r="B1340" t="n">
        <v/>
      </c>
      <c r="C1340" t="n">
        <v>2.64</v>
      </c>
    </row>
    <row r="1341">
      <c r="A1341" s="28" t="n">
        <v>21601</v>
      </c>
      <c r="B1341" t="n">
        <v/>
      </c>
      <c r="C1341" t="n">
        <v>2.58</v>
      </c>
    </row>
    <row r="1342">
      <c r="A1342" s="28" t="n">
        <v>21604</v>
      </c>
      <c r="B1342" t="n">
        <v/>
      </c>
      <c r="C1342" t="n">
        <v>0</v>
      </c>
    </row>
    <row r="1343">
      <c r="A1343" s="28" t="n">
        <v>21605</v>
      </c>
      <c r="B1343" t="n">
        <v/>
      </c>
      <c r="C1343" t="n">
        <v>2.64</v>
      </c>
    </row>
    <row r="1344">
      <c r="A1344" s="28" t="n">
        <v>21606</v>
      </c>
      <c r="B1344" t="n">
        <v/>
      </c>
      <c r="C1344" t="n">
        <v>2.82</v>
      </c>
    </row>
    <row r="1345">
      <c r="A1345" s="28" t="n">
        <v>21607</v>
      </c>
      <c r="B1345" t="n">
        <v/>
      </c>
      <c r="C1345" t="n">
        <v>2.82</v>
      </c>
    </row>
    <row r="1346">
      <c r="A1346" s="28" t="n">
        <v>21608</v>
      </c>
      <c r="B1346" t="n">
        <v/>
      </c>
      <c r="C1346" t="n">
        <v>2.76</v>
      </c>
    </row>
    <row r="1347">
      <c r="A1347" s="28" t="n">
        <v>21611</v>
      </c>
      <c r="B1347" t="n">
        <v/>
      </c>
      <c r="C1347" t="n">
        <v>2.77</v>
      </c>
    </row>
    <row r="1348">
      <c r="A1348" s="28" t="n">
        <v>21612</v>
      </c>
      <c r="B1348" t="n">
        <v/>
      </c>
      <c r="C1348" t="n">
        <v>2.78</v>
      </c>
    </row>
    <row r="1349">
      <c r="A1349" s="28" t="n">
        <v>21613</v>
      </c>
      <c r="B1349" t="n">
        <v/>
      </c>
      <c r="C1349" t="n">
        <v>2.85</v>
      </c>
    </row>
    <row r="1350">
      <c r="A1350" s="28" t="n">
        <v>21614</v>
      </c>
      <c r="B1350" t="n">
        <v/>
      </c>
      <c r="C1350" t="n">
        <v>2.82</v>
      </c>
    </row>
    <row r="1351">
      <c r="A1351" s="28" t="n">
        <v>21615</v>
      </c>
      <c r="B1351" t="n">
        <v/>
      </c>
      <c r="C1351" t="n">
        <v>2.98</v>
      </c>
    </row>
    <row r="1352">
      <c r="A1352" s="28" t="n">
        <v>21618</v>
      </c>
      <c r="B1352" t="n">
        <v/>
      </c>
      <c r="C1352" t="n">
        <v>2.97</v>
      </c>
    </row>
    <row r="1353">
      <c r="A1353" s="28" t="n">
        <v>21619</v>
      </c>
      <c r="B1353" t="n">
        <v/>
      </c>
      <c r="C1353" t="n">
        <v>2.84</v>
      </c>
    </row>
    <row r="1354">
      <c r="A1354" s="28" t="n">
        <v>21620</v>
      </c>
      <c r="B1354" t="n">
        <v/>
      </c>
      <c r="C1354" t="n">
        <v>2.85</v>
      </c>
    </row>
    <row r="1355">
      <c r="A1355" s="28" t="n">
        <v>21621</v>
      </c>
      <c r="B1355" t="n">
        <v/>
      </c>
      <c r="C1355" t="n">
        <v>2.81</v>
      </c>
    </row>
    <row r="1356">
      <c r="A1356" s="28" t="n">
        <v>21622</v>
      </c>
      <c r="B1356" t="n">
        <v/>
      </c>
      <c r="C1356" t="n">
        <v>2.8</v>
      </c>
    </row>
    <row r="1357">
      <c r="A1357" s="28" t="n">
        <v>21625</v>
      </c>
      <c r="B1357" t="n">
        <v/>
      </c>
      <c r="C1357" t="n">
        <v>2.72</v>
      </c>
    </row>
    <row r="1358">
      <c r="A1358" s="28" t="n">
        <v>21626</v>
      </c>
      <c r="B1358" t="n">
        <v/>
      </c>
      <c r="C1358" t="n">
        <v>2.76</v>
      </c>
    </row>
    <row r="1359">
      <c r="A1359" s="28" t="n">
        <v>21627</v>
      </c>
      <c r="B1359" t="n">
        <v/>
      </c>
      <c r="C1359" t="n">
        <v>2.8</v>
      </c>
    </row>
    <row r="1360">
      <c r="A1360" s="28" t="n">
        <v>21628</v>
      </c>
      <c r="B1360" t="n">
        <v/>
      </c>
      <c r="C1360" t="n">
        <v>2.79</v>
      </c>
    </row>
    <row r="1361">
      <c r="A1361" s="28" t="n">
        <v>21629</v>
      </c>
      <c r="B1361" t="n">
        <v/>
      </c>
      <c r="C1361" t="n">
        <v>2.77</v>
      </c>
    </row>
    <row r="1362">
      <c r="A1362" s="28" t="n">
        <v>21632</v>
      </c>
      <c r="B1362" t="n">
        <v/>
      </c>
      <c r="C1362" t="n">
        <v>2.74</v>
      </c>
    </row>
    <row r="1363">
      <c r="A1363" s="28" t="n">
        <v>21633</v>
      </c>
      <c r="B1363" t="n">
        <v/>
      </c>
      <c r="C1363" t="n">
        <v>2.74</v>
      </c>
    </row>
    <row r="1364">
      <c r="A1364" s="28" t="n">
        <v>21634</v>
      </c>
      <c r="B1364" t="n">
        <v/>
      </c>
      <c r="C1364" t="n">
        <v>2.77</v>
      </c>
    </row>
    <row r="1365">
      <c r="A1365" s="28" t="n">
        <v>21635</v>
      </c>
      <c r="B1365" t="n">
        <v/>
      </c>
      <c r="C1365" t="n">
        <v>2.77</v>
      </c>
    </row>
    <row r="1366">
      <c r="A1366" s="28" t="n">
        <v>21636</v>
      </c>
      <c r="B1366" t="n">
        <v/>
      </c>
      <c r="C1366" t="n">
        <v>0</v>
      </c>
    </row>
    <row r="1367">
      <c r="A1367" s="28" t="n">
        <v>21639</v>
      </c>
      <c r="B1367" t="n">
        <v/>
      </c>
      <c r="C1367" t="n">
        <v>2.78</v>
      </c>
    </row>
    <row r="1368">
      <c r="A1368" s="28" t="n">
        <v>21640</v>
      </c>
      <c r="B1368" t="n">
        <v/>
      </c>
      <c r="C1368" t="n">
        <v>2.78</v>
      </c>
    </row>
    <row r="1369">
      <c r="A1369" s="28" t="n">
        <v>21641</v>
      </c>
      <c r="B1369" t="n">
        <v/>
      </c>
      <c r="C1369" t="n">
        <v>2.87</v>
      </c>
    </row>
    <row r="1370">
      <c r="A1370" s="28" t="n">
        <v>21642</v>
      </c>
      <c r="B1370" t="n">
        <v/>
      </c>
      <c r="C1370" t="n">
        <v>2.88</v>
      </c>
    </row>
    <row r="1371">
      <c r="A1371" s="28" t="n">
        <v>21643</v>
      </c>
      <c r="B1371" t="n">
        <v/>
      </c>
      <c r="C1371" t="n">
        <v>2.88</v>
      </c>
    </row>
    <row r="1372">
      <c r="A1372" s="28" t="n">
        <v>21646</v>
      </c>
      <c r="B1372" t="n">
        <v/>
      </c>
      <c r="C1372" t="n">
        <v>2.92</v>
      </c>
    </row>
    <row r="1373">
      <c r="A1373" s="28" t="n">
        <v>21647</v>
      </c>
      <c r="B1373" t="n">
        <v/>
      </c>
      <c r="C1373" t="n">
        <v>2.91</v>
      </c>
    </row>
    <row r="1374">
      <c r="A1374" s="28" t="n">
        <v>21648</v>
      </c>
      <c r="B1374" t="n">
        <v/>
      </c>
      <c r="C1374" t="n">
        <v>2.96</v>
      </c>
    </row>
    <row r="1375">
      <c r="A1375" s="28" t="n">
        <v>21649</v>
      </c>
      <c r="B1375" t="n">
        <v/>
      </c>
      <c r="C1375" t="n">
        <v>2.98</v>
      </c>
    </row>
    <row r="1376">
      <c r="A1376" s="28" t="n">
        <v>21650</v>
      </c>
      <c r="B1376" t="n">
        <v/>
      </c>
      <c r="C1376" t="n">
        <v>3.02</v>
      </c>
    </row>
    <row r="1377">
      <c r="A1377" s="28" t="n">
        <v>21653</v>
      </c>
      <c r="B1377" t="n">
        <v/>
      </c>
      <c r="C1377" t="n">
        <v>3</v>
      </c>
    </row>
    <row r="1378">
      <c r="A1378" s="28" t="n">
        <v>21654</v>
      </c>
      <c r="B1378" t="n">
        <v/>
      </c>
      <c r="C1378" t="n">
        <v>3.02</v>
      </c>
    </row>
    <row r="1379">
      <c r="A1379" s="28" t="n">
        <v>21655</v>
      </c>
      <c r="B1379" t="n">
        <v/>
      </c>
      <c r="C1379" t="n">
        <v>3.14</v>
      </c>
    </row>
    <row r="1380">
      <c r="A1380" s="28" t="n">
        <v>21656</v>
      </c>
      <c r="B1380" t="n">
        <v/>
      </c>
      <c r="C1380" t="n">
        <v>3.15</v>
      </c>
    </row>
    <row r="1381">
      <c r="A1381" s="28" t="n">
        <v>21657</v>
      </c>
      <c r="B1381" t="n">
        <v/>
      </c>
      <c r="C1381" t="n">
        <v>3.12</v>
      </c>
    </row>
    <row r="1382">
      <c r="A1382" s="28" t="n">
        <v>21660</v>
      </c>
      <c r="B1382" t="n">
        <v/>
      </c>
      <c r="C1382" t="n">
        <v>3.02</v>
      </c>
    </row>
    <row r="1383">
      <c r="A1383" s="28" t="n">
        <v>21661</v>
      </c>
      <c r="B1383" t="n">
        <v/>
      </c>
      <c r="C1383" t="n">
        <v>2.99</v>
      </c>
    </row>
    <row r="1384">
      <c r="A1384" s="28" t="n">
        <v>21662</v>
      </c>
      <c r="B1384" t="n">
        <v/>
      </c>
      <c r="C1384" t="n">
        <v>3</v>
      </c>
    </row>
    <row r="1385">
      <c r="A1385" s="28" t="n">
        <v>21663</v>
      </c>
      <c r="B1385" t="n">
        <v/>
      </c>
      <c r="C1385" t="n">
        <v>2.98</v>
      </c>
    </row>
    <row r="1386">
      <c r="A1386" s="28" t="n">
        <v>21664</v>
      </c>
      <c r="B1386" t="n">
        <v/>
      </c>
      <c r="C1386" t="n">
        <v>2.9</v>
      </c>
    </row>
    <row r="1387">
      <c r="A1387" s="28" t="n">
        <v>21667</v>
      </c>
      <c r="B1387" t="n">
        <v/>
      </c>
      <c r="C1387" t="n">
        <v>2.78</v>
      </c>
    </row>
    <row r="1388">
      <c r="A1388" s="28" t="n">
        <v>21668</v>
      </c>
      <c r="B1388" t="n">
        <v/>
      </c>
      <c r="C1388" t="n">
        <v>2.75</v>
      </c>
    </row>
    <row r="1389">
      <c r="A1389" s="28" t="n">
        <v>21669</v>
      </c>
      <c r="B1389" t="n">
        <v/>
      </c>
      <c r="C1389" t="n">
        <v>2.8</v>
      </c>
    </row>
    <row r="1390">
      <c r="A1390" s="28" t="n">
        <v>21670</v>
      </c>
      <c r="B1390" t="n">
        <v/>
      </c>
      <c r="C1390" t="n">
        <v>2.85</v>
      </c>
    </row>
    <row r="1391">
      <c r="A1391" s="28" t="n">
        <v>21671</v>
      </c>
      <c r="B1391" t="n">
        <v/>
      </c>
      <c r="C1391" t="n">
        <v>2.87</v>
      </c>
    </row>
    <row r="1392">
      <c r="A1392" s="28" t="n">
        <v>21674</v>
      </c>
      <c r="B1392" t="n">
        <v/>
      </c>
      <c r="C1392" t="n">
        <v>2.9</v>
      </c>
    </row>
    <row r="1393">
      <c r="A1393" s="28" t="n">
        <v>21675</v>
      </c>
      <c r="B1393" t="n">
        <v/>
      </c>
      <c r="C1393" t="n">
        <v>2.86</v>
      </c>
    </row>
    <row r="1394">
      <c r="A1394" s="28" t="n">
        <v>21676</v>
      </c>
      <c r="B1394" t="n">
        <v/>
      </c>
      <c r="C1394" t="n">
        <v>2.85</v>
      </c>
    </row>
    <row r="1395">
      <c r="A1395" s="28" t="n">
        <v>21677</v>
      </c>
      <c r="B1395" t="n">
        <v/>
      </c>
      <c r="C1395" t="n">
        <v>2.78</v>
      </c>
    </row>
    <row r="1396">
      <c r="A1396" s="28" t="n">
        <v>21678</v>
      </c>
      <c r="B1396" t="n">
        <v/>
      </c>
      <c r="C1396" t="n">
        <v>2.77</v>
      </c>
    </row>
    <row r="1397">
      <c r="A1397" s="28" t="n">
        <v>21681</v>
      </c>
      <c r="B1397" t="n">
        <v/>
      </c>
      <c r="C1397" t="n">
        <v>2.71</v>
      </c>
    </row>
    <row r="1398">
      <c r="A1398" s="28" t="n">
        <v>21682</v>
      </c>
      <c r="B1398" t="n">
        <v/>
      </c>
      <c r="C1398" t="n">
        <v>2.73</v>
      </c>
    </row>
    <row r="1399">
      <c r="A1399" s="28" t="n">
        <v>21683</v>
      </c>
      <c r="B1399" t="n">
        <v/>
      </c>
      <c r="C1399" t="n">
        <v>2.82</v>
      </c>
    </row>
    <row r="1400">
      <c r="A1400" s="28" t="n">
        <v>21684</v>
      </c>
      <c r="B1400" t="n">
        <v/>
      </c>
      <c r="C1400" t="n">
        <v>2.75</v>
      </c>
    </row>
    <row r="1401">
      <c r="A1401" s="28" t="n">
        <v>21685</v>
      </c>
      <c r="B1401" t="n">
        <v/>
      </c>
      <c r="C1401" t="n">
        <v>2.8</v>
      </c>
    </row>
    <row r="1402">
      <c r="A1402" s="28" t="n">
        <v>21688</v>
      </c>
      <c r="B1402" t="n">
        <v/>
      </c>
      <c r="C1402" t="n">
        <v>2.83</v>
      </c>
    </row>
    <row r="1403">
      <c r="A1403" s="28" t="n">
        <v>21689</v>
      </c>
      <c r="B1403" t="n">
        <v/>
      </c>
      <c r="C1403" t="n">
        <v>2.84</v>
      </c>
    </row>
    <row r="1404">
      <c r="A1404" s="28" t="n">
        <v>21690</v>
      </c>
      <c r="B1404" t="n">
        <v/>
      </c>
      <c r="C1404" t="n">
        <v>2.88</v>
      </c>
    </row>
    <row r="1405">
      <c r="A1405" s="28" t="n">
        <v>21691</v>
      </c>
      <c r="B1405" t="n">
        <v/>
      </c>
      <c r="C1405" t="n">
        <v>2.85</v>
      </c>
    </row>
    <row r="1406">
      <c r="A1406" s="28" t="n">
        <v>21692</v>
      </c>
      <c r="B1406" t="n">
        <v/>
      </c>
      <c r="C1406" t="n">
        <v>2.85</v>
      </c>
    </row>
    <row r="1407">
      <c r="A1407" s="28" t="n">
        <v>21695</v>
      </c>
      <c r="B1407" t="n">
        <v/>
      </c>
      <c r="C1407" t="n">
        <v>2.85</v>
      </c>
    </row>
    <row r="1408">
      <c r="A1408" s="28" t="n">
        <v>21696</v>
      </c>
      <c r="B1408" t="n">
        <v/>
      </c>
      <c r="C1408" t="n">
        <v>2.86</v>
      </c>
    </row>
    <row r="1409">
      <c r="A1409" s="28" t="n">
        <v>21697</v>
      </c>
      <c r="B1409" t="n">
        <v/>
      </c>
      <c r="C1409" t="n">
        <v>2.89</v>
      </c>
    </row>
    <row r="1410">
      <c r="A1410" s="28" t="n">
        <v>21698</v>
      </c>
      <c r="B1410" t="n">
        <v/>
      </c>
      <c r="C1410" t="n">
        <v>2.91</v>
      </c>
    </row>
    <row r="1411">
      <c r="A1411" s="28" t="n">
        <v>21699</v>
      </c>
      <c r="B1411" t="n">
        <v/>
      </c>
      <c r="C1411" t="n">
        <v>3.08</v>
      </c>
    </row>
    <row r="1412">
      <c r="A1412" s="28" t="n">
        <v>21702</v>
      </c>
      <c r="B1412" t="n">
        <v/>
      </c>
      <c r="C1412" t="n">
        <v>3.09</v>
      </c>
    </row>
    <row r="1413">
      <c r="A1413" s="28" t="n">
        <v>21703</v>
      </c>
      <c r="B1413" t="n">
        <v/>
      </c>
      <c r="C1413" t="n">
        <v>3.12</v>
      </c>
    </row>
    <row r="1414">
      <c r="A1414" s="28" t="n">
        <v>21704</v>
      </c>
      <c r="B1414" t="n">
        <v/>
      </c>
      <c r="C1414" t="n">
        <v>3.18</v>
      </c>
    </row>
    <row r="1415">
      <c r="A1415" s="28" t="n">
        <v>21705</v>
      </c>
      <c r="B1415" t="n">
        <v/>
      </c>
      <c r="C1415" t="n">
        <v>3.2</v>
      </c>
    </row>
    <row r="1416">
      <c r="A1416" s="28" t="n">
        <v>21706</v>
      </c>
      <c r="B1416" t="n">
        <v/>
      </c>
      <c r="C1416" t="n">
        <v>3.18</v>
      </c>
    </row>
    <row r="1417">
      <c r="A1417" s="28" t="n">
        <v>21709</v>
      </c>
      <c r="B1417" t="n">
        <v/>
      </c>
      <c r="C1417" t="n">
        <v>3.23</v>
      </c>
    </row>
    <row r="1418">
      <c r="A1418" s="28" t="n">
        <v>21710</v>
      </c>
      <c r="B1418" t="n">
        <v/>
      </c>
      <c r="C1418" t="n">
        <v>3.25</v>
      </c>
    </row>
    <row r="1419">
      <c r="A1419" s="28" t="n">
        <v>21711</v>
      </c>
      <c r="B1419" t="n">
        <v/>
      </c>
      <c r="C1419" t="n">
        <v>3.3</v>
      </c>
    </row>
    <row r="1420">
      <c r="A1420" s="28" t="n">
        <v>21712</v>
      </c>
      <c r="B1420" t="n">
        <v/>
      </c>
      <c r="C1420" t="n">
        <v>3.28</v>
      </c>
    </row>
    <row r="1421">
      <c r="A1421" s="28" t="n">
        <v>21713</v>
      </c>
      <c r="B1421" t="n">
        <v/>
      </c>
      <c r="C1421" t="n">
        <v>3.28</v>
      </c>
    </row>
    <row r="1422">
      <c r="A1422" s="28" t="n">
        <v>21716</v>
      </c>
      <c r="B1422" t="n">
        <v/>
      </c>
      <c r="C1422" t="n">
        <v>3.23</v>
      </c>
    </row>
    <row r="1423">
      <c r="A1423" s="28" t="n">
        <v>21717</v>
      </c>
      <c r="B1423" t="n">
        <v/>
      </c>
      <c r="C1423" t="n">
        <v>3.22</v>
      </c>
    </row>
    <row r="1424">
      <c r="A1424" s="28" t="n">
        <v>21718</v>
      </c>
      <c r="B1424" t="n">
        <v/>
      </c>
      <c r="C1424" t="n">
        <v>3.26</v>
      </c>
    </row>
    <row r="1425">
      <c r="A1425" s="28" t="n">
        <v>21719</v>
      </c>
      <c r="B1425" t="n">
        <v/>
      </c>
      <c r="C1425" t="n">
        <v>3.22</v>
      </c>
    </row>
    <row r="1426">
      <c r="A1426" s="28" t="n">
        <v>21720</v>
      </c>
      <c r="B1426" t="n">
        <v/>
      </c>
      <c r="C1426" t="n">
        <v>3.25</v>
      </c>
    </row>
    <row r="1427">
      <c r="A1427" s="28" t="n">
        <v>21723</v>
      </c>
      <c r="B1427" t="n">
        <v/>
      </c>
      <c r="C1427" t="n">
        <v>3.22</v>
      </c>
    </row>
    <row r="1428">
      <c r="A1428" s="28" t="n">
        <v>21724</v>
      </c>
      <c r="B1428" t="n">
        <v/>
      </c>
      <c r="C1428" t="n">
        <v>3.21</v>
      </c>
    </row>
    <row r="1429">
      <c r="A1429" s="28" t="n">
        <v>21725</v>
      </c>
      <c r="B1429" t="n">
        <v/>
      </c>
      <c r="C1429" t="n">
        <v>3.27</v>
      </c>
    </row>
    <row r="1430">
      <c r="A1430" s="28" t="n">
        <v>21726</v>
      </c>
      <c r="B1430" t="n">
        <v/>
      </c>
      <c r="C1430" t="n">
        <v>3.27</v>
      </c>
    </row>
    <row r="1431">
      <c r="A1431" s="28" t="n">
        <v>21727</v>
      </c>
      <c r="B1431" t="n">
        <v/>
      </c>
      <c r="C1431" t="n">
        <v>3.12</v>
      </c>
    </row>
    <row r="1432">
      <c r="A1432" s="28" t="n">
        <v>21730</v>
      </c>
      <c r="B1432" t="n">
        <v/>
      </c>
      <c r="C1432" t="n">
        <v>3.1</v>
      </c>
    </row>
    <row r="1433">
      <c r="A1433" s="28" t="n">
        <v>21731</v>
      </c>
      <c r="B1433" t="n">
        <v/>
      </c>
      <c r="C1433" t="n">
        <v>3.14</v>
      </c>
    </row>
    <row r="1434">
      <c r="A1434" s="28" t="n">
        <v>21732</v>
      </c>
      <c r="B1434" t="n">
        <v/>
      </c>
      <c r="C1434" t="n">
        <v>3.2</v>
      </c>
    </row>
    <row r="1435">
      <c r="A1435" s="28" t="n">
        <v>21733</v>
      </c>
      <c r="B1435" t="n">
        <v/>
      </c>
      <c r="C1435" t="n">
        <v>3.19</v>
      </c>
    </row>
    <row r="1436">
      <c r="A1436" s="28" t="n">
        <v>21734</v>
      </c>
      <c r="B1436" t="n">
        <v/>
      </c>
      <c r="C1436" t="n">
        <v>3.19</v>
      </c>
    </row>
    <row r="1437">
      <c r="A1437" s="28" t="n">
        <v>21737</v>
      </c>
      <c r="B1437" t="n">
        <v/>
      </c>
      <c r="C1437" t="n">
        <v>3.2</v>
      </c>
    </row>
    <row r="1438">
      <c r="A1438" s="28" t="n">
        <v>21738</v>
      </c>
      <c r="B1438" t="n">
        <v/>
      </c>
      <c r="C1438" t="n">
        <v>3.22</v>
      </c>
    </row>
    <row r="1439">
      <c r="A1439" s="28" t="n">
        <v>21739</v>
      </c>
      <c r="B1439" t="n">
        <v/>
      </c>
      <c r="C1439" t="n">
        <v>3.33</v>
      </c>
    </row>
    <row r="1440">
      <c r="A1440" s="28" t="n">
        <v>21740</v>
      </c>
      <c r="B1440" t="n">
        <v/>
      </c>
      <c r="C1440" t="n">
        <v>3.32</v>
      </c>
    </row>
    <row r="1441">
      <c r="A1441" s="28" t="n">
        <v>21741</v>
      </c>
      <c r="B1441" t="n">
        <v/>
      </c>
      <c r="C1441" t="n">
        <v>3.31</v>
      </c>
    </row>
    <row r="1442">
      <c r="A1442" s="28" t="n">
        <v>21744</v>
      </c>
      <c r="B1442" t="n">
        <v/>
      </c>
      <c r="C1442" t="n">
        <v>3.34</v>
      </c>
    </row>
    <row r="1443">
      <c r="A1443" s="28" t="n">
        <v>21745</v>
      </c>
      <c r="B1443" t="n">
        <v/>
      </c>
      <c r="C1443" t="n">
        <v>3.38</v>
      </c>
    </row>
    <row r="1444">
      <c r="A1444" s="28" t="n">
        <v>21746</v>
      </c>
      <c r="B1444" t="n">
        <v/>
      </c>
      <c r="C1444" t="n">
        <v>3.39</v>
      </c>
    </row>
    <row r="1445">
      <c r="A1445" s="28" t="n">
        <v>21747</v>
      </c>
      <c r="B1445" t="n">
        <v/>
      </c>
      <c r="C1445" t="n">
        <v>3.38</v>
      </c>
    </row>
    <row r="1446">
      <c r="A1446" s="28" t="n">
        <v>21748</v>
      </c>
      <c r="B1446" t="n">
        <v/>
      </c>
      <c r="C1446" t="n">
        <v>3.34</v>
      </c>
    </row>
    <row r="1447">
      <c r="A1447" s="28" t="n">
        <v>21751</v>
      </c>
      <c r="B1447" t="n">
        <v/>
      </c>
      <c r="C1447" t="n">
        <v>3.32</v>
      </c>
    </row>
    <row r="1448">
      <c r="A1448" s="28" t="n">
        <v>21752</v>
      </c>
      <c r="B1448" t="n">
        <v/>
      </c>
      <c r="C1448" t="n">
        <v>3.24</v>
      </c>
    </row>
    <row r="1449">
      <c r="A1449" s="28" t="n">
        <v>21753</v>
      </c>
      <c r="B1449" t="n">
        <v/>
      </c>
      <c r="C1449" t="n">
        <v>3.14</v>
      </c>
    </row>
    <row r="1450">
      <c r="A1450" s="28" t="n">
        <v>21754</v>
      </c>
      <c r="B1450" t="n">
        <v/>
      </c>
      <c r="C1450" t="n">
        <v>3.04</v>
      </c>
    </row>
    <row r="1451">
      <c r="A1451" s="28" t="n">
        <v>21755</v>
      </c>
      <c r="B1451" t="n">
        <v/>
      </c>
      <c r="C1451" t="n">
        <v>3</v>
      </c>
    </row>
    <row r="1452">
      <c r="A1452" s="28" t="n">
        <v>21758</v>
      </c>
      <c r="B1452" t="n">
        <v/>
      </c>
      <c r="C1452" t="n">
        <v>3.02</v>
      </c>
    </row>
    <row r="1453">
      <c r="A1453" s="28" t="n">
        <v>21759</v>
      </c>
      <c r="B1453" t="n">
        <v/>
      </c>
      <c r="C1453" t="n">
        <v>2.98</v>
      </c>
    </row>
    <row r="1454">
      <c r="A1454" s="28" t="n">
        <v>21760</v>
      </c>
      <c r="B1454" t="n">
        <v/>
      </c>
      <c r="C1454" t="n">
        <v>3.03</v>
      </c>
    </row>
    <row r="1455">
      <c r="A1455" s="28" t="n">
        <v>21761</v>
      </c>
      <c r="B1455" t="n">
        <v/>
      </c>
      <c r="C1455" t="n">
        <v>3.01</v>
      </c>
    </row>
    <row r="1456">
      <c r="A1456" s="28" t="n">
        <v>21762</v>
      </c>
      <c r="B1456" t="n">
        <v/>
      </c>
      <c r="C1456" t="n">
        <v>3</v>
      </c>
    </row>
    <row r="1457">
      <c r="A1457" s="28" t="n">
        <v>21765</v>
      </c>
      <c r="B1457" t="n">
        <v/>
      </c>
      <c r="C1457" t="n">
        <v>2.99</v>
      </c>
    </row>
    <row r="1458">
      <c r="A1458" s="28" t="n">
        <v>21766</v>
      </c>
      <c r="B1458" t="n">
        <v/>
      </c>
      <c r="C1458" t="n">
        <v>2.97</v>
      </c>
    </row>
    <row r="1459">
      <c r="A1459" s="28" t="n">
        <v>21767</v>
      </c>
      <c r="B1459" t="n">
        <v/>
      </c>
      <c r="C1459" t="n">
        <v>3.01</v>
      </c>
    </row>
    <row r="1460">
      <c r="A1460" s="28" t="n">
        <v>21768</v>
      </c>
      <c r="B1460" t="n">
        <v/>
      </c>
      <c r="C1460" t="n">
        <v>3.03</v>
      </c>
    </row>
    <row r="1461">
      <c r="A1461" s="28" t="n">
        <v>21769</v>
      </c>
      <c r="B1461" t="n">
        <v/>
      </c>
      <c r="C1461" t="n">
        <v>3.01</v>
      </c>
    </row>
    <row r="1462">
      <c r="A1462" s="28" t="n">
        <v>21772</v>
      </c>
      <c r="B1462" t="n">
        <v/>
      </c>
      <c r="C1462" t="n">
        <v>3.04</v>
      </c>
    </row>
    <row r="1463">
      <c r="A1463" s="28" t="n">
        <v>21773</v>
      </c>
      <c r="B1463" t="n">
        <v/>
      </c>
      <c r="C1463" t="n">
        <v>3.08</v>
      </c>
    </row>
    <row r="1464">
      <c r="A1464" s="28" t="n">
        <v>21774</v>
      </c>
      <c r="B1464" t="n">
        <v/>
      </c>
      <c r="C1464" t="n">
        <v>3.24</v>
      </c>
    </row>
    <row r="1465">
      <c r="A1465" s="28" t="n">
        <v>21775</v>
      </c>
      <c r="B1465" t="n">
        <v/>
      </c>
      <c r="C1465" t="n">
        <v>3.24</v>
      </c>
    </row>
    <row r="1466">
      <c r="A1466" s="28" t="n">
        <v>21776</v>
      </c>
      <c r="B1466" t="n">
        <v/>
      </c>
      <c r="C1466" t="n">
        <v>3.26</v>
      </c>
    </row>
    <row r="1467">
      <c r="A1467" s="28" t="n">
        <v>21779</v>
      </c>
      <c r="B1467" t="n">
        <v/>
      </c>
      <c r="C1467" t="n">
        <v>3.36</v>
      </c>
    </row>
    <row r="1468">
      <c r="A1468" s="28" t="n">
        <v>21780</v>
      </c>
      <c r="B1468" t="n">
        <v/>
      </c>
      <c r="C1468" t="n">
        <v>3.44</v>
      </c>
    </row>
    <row r="1469">
      <c r="A1469" s="28" t="n">
        <v>21781</v>
      </c>
      <c r="B1469" t="n">
        <v/>
      </c>
      <c r="C1469" t="n">
        <v>3.52</v>
      </c>
    </row>
    <row r="1470">
      <c r="A1470" s="28" t="n">
        <v>21782</v>
      </c>
      <c r="B1470" t="n">
        <v/>
      </c>
      <c r="C1470" t="n">
        <v>3.54</v>
      </c>
    </row>
    <row r="1471">
      <c r="A1471" s="28" t="n">
        <v>21783</v>
      </c>
      <c r="B1471" t="n">
        <v/>
      </c>
      <c r="C1471" t="n">
        <v>3.66</v>
      </c>
    </row>
    <row r="1472">
      <c r="A1472" s="28" t="n">
        <v>21786</v>
      </c>
      <c r="B1472" t="n">
        <v/>
      </c>
      <c r="C1472" t="n">
        <v>3.78</v>
      </c>
    </row>
    <row r="1473">
      <c r="A1473" s="28" t="n">
        <v>21787</v>
      </c>
      <c r="B1473" t="n">
        <v/>
      </c>
      <c r="C1473" t="n">
        <v>3.75</v>
      </c>
    </row>
    <row r="1474">
      <c r="A1474" s="28" t="n">
        <v>21788</v>
      </c>
      <c r="B1474" t="n">
        <v/>
      </c>
      <c r="C1474" t="n">
        <v>3.77</v>
      </c>
    </row>
    <row r="1475">
      <c r="A1475" s="28" t="n">
        <v>21789</v>
      </c>
      <c r="B1475" t="n">
        <v/>
      </c>
      <c r="C1475" t="n">
        <v>3.65</v>
      </c>
    </row>
    <row r="1476">
      <c r="A1476" s="28" t="n">
        <v>21790</v>
      </c>
      <c r="B1476" t="n">
        <v/>
      </c>
      <c r="C1476" t="n">
        <v>3.7</v>
      </c>
    </row>
    <row r="1477">
      <c r="A1477" s="28" t="n">
        <v>21793</v>
      </c>
      <c r="B1477" t="n">
        <v/>
      </c>
      <c r="C1477" t="n">
        <v>3.88</v>
      </c>
    </row>
    <row r="1478">
      <c r="A1478" s="28" t="n">
        <v>21794</v>
      </c>
      <c r="B1478" t="n">
        <v/>
      </c>
      <c r="C1478" t="n">
        <v>3.92</v>
      </c>
    </row>
    <row r="1479">
      <c r="A1479" s="28" t="n">
        <v>21795</v>
      </c>
      <c r="B1479" t="n">
        <v/>
      </c>
      <c r="C1479" t="n">
        <v>4.01</v>
      </c>
    </row>
    <row r="1480">
      <c r="A1480" s="28" t="n">
        <v>21796</v>
      </c>
      <c r="B1480" t="n">
        <v/>
      </c>
      <c r="C1480" t="n">
        <v>3.99</v>
      </c>
    </row>
    <row r="1481">
      <c r="A1481" s="28" t="n">
        <v>21797</v>
      </c>
      <c r="B1481" t="n">
        <v/>
      </c>
      <c r="C1481" t="n">
        <v>3.93</v>
      </c>
    </row>
    <row r="1482">
      <c r="A1482" s="28" t="n">
        <v>21800</v>
      </c>
      <c r="B1482" t="n">
        <v/>
      </c>
      <c r="C1482" t="n">
        <v>0</v>
      </c>
    </row>
    <row r="1483">
      <c r="A1483" s="28" t="n">
        <v>21801</v>
      </c>
      <c r="B1483" t="n">
        <v/>
      </c>
      <c r="C1483" t="n">
        <v>4</v>
      </c>
    </row>
    <row r="1484">
      <c r="A1484" s="28" t="n">
        <v>21802</v>
      </c>
      <c r="B1484" t="n">
        <v/>
      </c>
      <c r="C1484" t="n">
        <v>4.02</v>
      </c>
    </row>
    <row r="1485">
      <c r="A1485" s="28" t="n">
        <v>21803</v>
      </c>
      <c r="B1485" t="n">
        <v/>
      </c>
      <c r="C1485" t="n">
        <v>4.02</v>
      </c>
    </row>
    <row r="1486">
      <c r="A1486" s="28" t="n">
        <v>21804</v>
      </c>
      <c r="B1486" t="n">
        <v/>
      </c>
      <c r="C1486" t="n">
        <v>4.02</v>
      </c>
    </row>
    <row r="1487">
      <c r="A1487" s="28" t="n">
        <v>21807</v>
      </c>
      <c r="B1487" t="n">
        <v/>
      </c>
      <c r="C1487" t="n">
        <v>4.15</v>
      </c>
    </row>
    <row r="1488">
      <c r="A1488" s="28" t="n">
        <v>21808</v>
      </c>
      <c r="B1488" t="n">
        <v/>
      </c>
      <c r="C1488" t="n">
        <v>4.18</v>
      </c>
    </row>
    <row r="1489">
      <c r="A1489" s="28" t="n">
        <v>21809</v>
      </c>
      <c r="B1489" t="n">
        <v/>
      </c>
      <c r="C1489" t="n">
        <v>4.17</v>
      </c>
    </row>
    <row r="1490">
      <c r="A1490" s="28" t="n">
        <v>21810</v>
      </c>
      <c r="B1490" t="n">
        <v/>
      </c>
      <c r="C1490" t="n">
        <v>4.18</v>
      </c>
    </row>
    <row r="1491">
      <c r="A1491" s="28" t="n">
        <v>21811</v>
      </c>
      <c r="B1491" t="n">
        <v/>
      </c>
      <c r="C1491" t="n">
        <v>3.98</v>
      </c>
    </row>
    <row r="1492">
      <c r="A1492" s="28" t="n">
        <v>21814</v>
      </c>
      <c r="B1492" t="n">
        <v/>
      </c>
      <c r="C1492" t="n">
        <v>3.89</v>
      </c>
    </row>
    <row r="1493">
      <c r="A1493" s="28" t="n">
        <v>21815</v>
      </c>
      <c r="B1493" t="n">
        <v/>
      </c>
      <c r="C1493" t="n">
        <v>3.94</v>
      </c>
    </row>
    <row r="1494">
      <c r="A1494" s="28" t="n">
        <v>21816</v>
      </c>
      <c r="B1494" t="n">
        <v/>
      </c>
      <c r="C1494" t="n">
        <v>4.03</v>
      </c>
    </row>
    <row r="1495">
      <c r="A1495" s="28" t="n">
        <v>21817</v>
      </c>
      <c r="B1495" t="n">
        <v/>
      </c>
      <c r="C1495" t="n">
        <v>4</v>
      </c>
    </row>
    <row r="1496">
      <c r="A1496" s="28" t="n">
        <v>21818</v>
      </c>
      <c r="B1496" t="n">
        <v/>
      </c>
      <c r="C1496" t="n">
        <v>4.03</v>
      </c>
    </row>
    <row r="1497">
      <c r="A1497" s="28" t="n">
        <v>21821</v>
      </c>
      <c r="B1497" t="n">
        <v/>
      </c>
      <c r="C1497" t="n">
        <v>4.2</v>
      </c>
    </row>
    <row r="1498">
      <c r="A1498" s="28" t="n">
        <v>21822</v>
      </c>
      <c r="B1498" t="n">
        <v/>
      </c>
      <c r="C1498" t="n">
        <v>4.16</v>
      </c>
    </row>
    <row r="1499">
      <c r="A1499" s="28" t="n">
        <v>21823</v>
      </c>
      <c r="B1499" t="n">
        <v/>
      </c>
      <c r="C1499" t="n">
        <v>4.1</v>
      </c>
    </row>
    <row r="1500">
      <c r="A1500" s="28" t="n">
        <v>21824</v>
      </c>
      <c r="B1500" t="n">
        <v/>
      </c>
      <c r="C1500" t="n">
        <v>4.08</v>
      </c>
    </row>
    <row r="1501">
      <c r="A1501" s="28" t="n">
        <v>21825</v>
      </c>
      <c r="B1501" t="n">
        <v/>
      </c>
      <c r="C1501" t="n">
        <v>3.94</v>
      </c>
    </row>
    <row r="1502">
      <c r="A1502" s="28" t="n">
        <v>21828</v>
      </c>
      <c r="B1502" t="n">
        <v/>
      </c>
      <c r="C1502" t="n">
        <v>3.9</v>
      </c>
    </row>
    <row r="1503">
      <c r="A1503" s="28" t="n">
        <v>21829</v>
      </c>
      <c r="B1503" t="n">
        <v/>
      </c>
      <c r="C1503" t="n">
        <v>3.9</v>
      </c>
    </row>
    <row r="1504">
      <c r="A1504" s="28" t="n">
        <v>21830</v>
      </c>
      <c r="B1504" t="n">
        <v/>
      </c>
      <c r="C1504" t="n">
        <v>4.06</v>
      </c>
    </row>
    <row r="1505">
      <c r="A1505" s="28" t="n">
        <v>21831</v>
      </c>
      <c r="B1505" t="n">
        <v/>
      </c>
      <c r="C1505" t="n">
        <v>4.06</v>
      </c>
    </row>
    <row r="1506">
      <c r="A1506" s="28" t="n">
        <v>21832</v>
      </c>
      <c r="B1506" t="n">
        <v/>
      </c>
      <c r="C1506" t="n">
        <v>4.17</v>
      </c>
    </row>
    <row r="1507">
      <c r="A1507" s="28" t="n">
        <v>21835</v>
      </c>
      <c r="B1507" t="n">
        <v/>
      </c>
      <c r="C1507" t="n">
        <v>0</v>
      </c>
    </row>
    <row r="1508">
      <c r="A1508" s="28" t="n">
        <v>21836</v>
      </c>
      <c r="B1508" t="n">
        <v/>
      </c>
      <c r="C1508" t="n">
        <v>4.24</v>
      </c>
    </row>
    <row r="1509">
      <c r="A1509" s="28" t="n">
        <v>21837</v>
      </c>
      <c r="B1509" t="n">
        <v/>
      </c>
      <c r="C1509" t="n">
        <v>4.3</v>
      </c>
    </row>
    <row r="1510">
      <c r="A1510" s="28" t="n">
        <v>21838</v>
      </c>
      <c r="B1510" t="n">
        <v/>
      </c>
      <c r="C1510" t="n">
        <v>4.25</v>
      </c>
    </row>
    <row r="1511">
      <c r="A1511" s="28" t="n">
        <v>21839</v>
      </c>
      <c r="B1511" t="n">
        <v/>
      </c>
      <c r="C1511" t="n">
        <v>4.18</v>
      </c>
    </row>
    <row r="1512">
      <c r="A1512" s="28" t="n">
        <v>21842</v>
      </c>
      <c r="B1512" t="n">
        <v/>
      </c>
      <c r="C1512" t="n">
        <v>4.06</v>
      </c>
    </row>
    <row r="1513">
      <c r="A1513" s="28" t="n">
        <v>21843</v>
      </c>
      <c r="B1513" t="n">
        <v/>
      </c>
      <c r="C1513" t="n">
        <v>4</v>
      </c>
    </row>
    <row r="1514">
      <c r="A1514" s="28" t="n">
        <v>21844</v>
      </c>
      <c r="B1514" t="n">
        <v/>
      </c>
      <c r="C1514" t="n">
        <v>3.97</v>
      </c>
    </row>
    <row r="1515">
      <c r="A1515" s="28" t="n">
        <v>21845</v>
      </c>
      <c r="B1515" t="n">
        <v/>
      </c>
      <c r="C1515" t="n">
        <v>3.99</v>
      </c>
    </row>
    <row r="1516">
      <c r="A1516" s="28" t="n">
        <v>21846</v>
      </c>
      <c r="B1516" t="n">
        <v/>
      </c>
      <c r="C1516" t="n">
        <v>3.92</v>
      </c>
    </row>
    <row r="1517">
      <c r="A1517" s="28" t="n">
        <v>21849</v>
      </c>
      <c r="B1517" t="n">
        <v/>
      </c>
      <c r="C1517" t="n">
        <v>3.99</v>
      </c>
    </row>
    <row r="1518">
      <c r="A1518" s="28" t="n">
        <v>21850</v>
      </c>
      <c r="B1518" t="n">
        <v/>
      </c>
      <c r="C1518" t="n">
        <v>3.99</v>
      </c>
    </row>
    <row r="1519">
      <c r="A1519" s="28" t="n">
        <v>21851</v>
      </c>
      <c r="B1519" t="n">
        <v/>
      </c>
      <c r="C1519" t="n">
        <v>4.02</v>
      </c>
    </row>
    <row r="1520">
      <c r="A1520" s="28" t="n">
        <v>21852</v>
      </c>
      <c r="B1520" t="n">
        <v/>
      </c>
      <c r="C1520" t="n">
        <v>4.01</v>
      </c>
    </row>
    <row r="1521">
      <c r="A1521" s="28" t="n">
        <v>21853</v>
      </c>
      <c r="B1521" t="n">
        <v/>
      </c>
      <c r="C1521" t="n">
        <v>4</v>
      </c>
    </row>
    <row r="1522">
      <c r="A1522" s="28" t="n">
        <v>21856</v>
      </c>
      <c r="B1522" t="n">
        <v/>
      </c>
      <c r="C1522" t="n">
        <v>4.14</v>
      </c>
    </row>
    <row r="1523">
      <c r="A1523" s="28" t="n">
        <v>21857</v>
      </c>
      <c r="B1523" t="n">
        <v/>
      </c>
      <c r="C1523" t="n">
        <v>0</v>
      </c>
    </row>
    <row r="1524">
      <c r="A1524" s="28" t="n">
        <v>21858</v>
      </c>
      <c r="B1524" t="n">
        <v/>
      </c>
      <c r="C1524" t="n">
        <v>4.06</v>
      </c>
    </row>
    <row r="1525">
      <c r="A1525" s="28" t="n">
        <v>21859</v>
      </c>
      <c r="B1525" t="n">
        <v/>
      </c>
      <c r="C1525" t="n">
        <v>4</v>
      </c>
    </row>
    <row r="1526">
      <c r="A1526" s="28" t="n">
        <v>21860</v>
      </c>
      <c r="B1526" t="n">
        <v/>
      </c>
      <c r="C1526" t="n">
        <v>3.93</v>
      </c>
    </row>
    <row r="1527">
      <c r="A1527" s="28" t="n">
        <v>21863</v>
      </c>
      <c r="B1527" t="n">
        <v/>
      </c>
      <c r="C1527" t="n">
        <v>4.04</v>
      </c>
    </row>
    <row r="1528">
      <c r="A1528" s="28" t="n">
        <v>21864</v>
      </c>
      <c r="B1528" t="n">
        <v/>
      </c>
      <c r="C1528" t="n">
        <v>4</v>
      </c>
    </row>
    <row r="1529">
      <c r="A1529" s="28" t="n">
        <v>21865</v>
      </c>
      <c r="B1529" t="n">
        <v/>
      </c>
      <c r="C1529" t="n">
        <v>0</v>
      </c>
    </row>
    <row r="1530">
      <c r="A1530" s="28" t="n">
        <v>21866</v>
      </c>
      <c r="B1530" t="n">
        <v/>
      </c>
      <c r="C1530" t="n">
        <v>4.05</v>
      </c>
    </row>
    <row r="1531">
      <c r="A1531" s="28" t="n">
        <v>21867</v>
      </c>
      <c r="B1531" t="n">
        <v/>
      </c>
      <c r="C1531" t="n">
        <v>4.05</v>
      </c>
    </row>
    <row r="1532">
      <c r="A1532" s="28" t="n">
        <v>21870</v>
      </c>
      <c r="B1532" t="n">
        <v/>
      </c>
      <c r="C1532" t="n">
        <v>4.26</v>
      </c>
    </row>
    <row r="1533">
      <c r="A1533" s="28" t="n">
        <v>21871</v>
      </c>
      <c r="B1533" t="n">
        <v/>
      </c>
      <c r="C1533" t="n">
        <v>4.18</v>
      </c>
    </row>
    <row r="1534">
      <c r="A1534" s="28" t="n">
        <v>21872</v>
      </c>
      <c r="B1534" t="n">
        <v/>
      </c>
      <c r="C1534" t="n">
        <v>4.24</v>
      </c>
    </row>
    <row r="1535">
      <c r="A1535" s="28" t="n">
        <v>21873</v>
      </c>
      <c r="B1535" t="n">
        <v/>
      </c>
      <c r="C1535" t="n">
        <v>4.18</v>
      </c>
    </row>
    <row r="1536">
      <c r="A1536" s="28" t="n">
        <v>21874</v>
      </c>
      <c r="B1536" t="n">
        <v/>
      </c>
      <c r="C1536" t="n">
        <v>4.13</v>
      </c>
    </row>
    <row r="1537">
      <c r="A1537" s="28" t="n">
        <v>21877</v>
      </c>
      <c r="B1537" t="n">
        <v/>
      </c>
      <c r="C1537" t="n">
        <v>4.18</v>
      </c>
    </row>
    <row r="1538">
      <c r="A1538" s="28" t="n">
        <v>21878</v>
      </c>
      <c r="B1538" t="n">
        <v/>
      </c>
      <c r="C1538" t="n">
        <v>4.2</v>
      </c>
    </row>
    <row r="1539">
      <c r="A1539" s="28" t="n">
        <v>21879</v>
      </c>
      <c r="B1539" t="n">
        <v/>
      </c>
      <c r="C1539" t="n">
        <v>4.28</v>
      </c>
    </row>
    <row r="1540">
      <c r="A1540" s="28" t="n">
        <v>21880</v>
      </c>
      <c r="B1540" t="n">
        <v/>
      </c>
      <c r="C1540" t="n">
        <v>0</v>
      </c>
    </row>
    <row r="1541">
      <c r="A1541" s="28" t="n">
        <v>21881</v>
      </c>
      <c r="B1541" t="n">
        <v/>
      </c>
      <c r="C1541" t="n">
        <v>4.32</v>
      </c>
    </row>
    <row r="1542">
      <c r="A1542" s="28" t="n">
        <v>21884</v>
      </c>
      <c r="B1542" t="n">
        <v/>
      </c>
      <c r="C1542" t="n">
        <v>4.44</v>
      </c>
    </row>
    <row r="1543">
      <c r="A1543" s="28" t="n">
        <v>21885</v>
      </c>
      <c r="B1543" t="n">
        <v/>
      </c>
      <c r="C1543" t="n">
        <v>4.44</v>
      </c>
    </row>
    <row r="1544">
      <c r="A1544" s="28" t="n">
        <v>21886</v>
      </c>
      <c r="B1544" t="n">
        <v/>
      </c>
      <c r="C1544" t="n">
        <v>4.56</v>
      </c>
    </row>
    <row r="1545">
      <c r="A1545" s="28" t="n">
        <v>21887</v>
      </c>
      <c r="B1545" t="n">
        <v/>
      </c>
      <c r="C1545" t="n">
        <v>4.55</v>
      </c>
    </row>
    <row r="1546">
      <c r="A1546" s="28" t="n">
        <v>21888</v>
      </c>
      <c r="B1546" t="n">
        <v/>
      </c>
      <c r="C1546" t="n">
        <v>4.53</v>
      </c>
    </row>
    <row r="1547">
      <c r="A1547" s="28" t="n">
        <v>21891</v>
      </c>
      <c r="B1547" t="n">
        <v/>
      </c>
      <c r="C1547" t="n">
        <v>4.52</v>
      </c>
    </row>
    <row r="1548">
      <c r="A1548" s="28" t="n">
        <v>21892</v>
      </c>
      <c r="B1548" t="n">
        <v/>
      </c>
      <c r="C1548" t="n">
        <v>4.48</v>
      </c>
    </row>
    <row r="1549">
      <c r="A1549" s="28" t="n">
        <v>21893</v>
      </c>
      <c r="B1549" t="n">
        <v/>
      </c>
      <c r="C1549" t="n">
        <v>4.46</v>
      </c>
    </row>
    <row r="1550">
      <c r="A1550" s="28" t="n">
        <v>21894</v>
      </c>
      <c r="B1550" t="n">
        <v/>
      </c>
      <c r="C1550" t="n">
        <v>4.47</v>
      </c>
    </row>
    <row r="1551">
      <c r="A1551" s="28" t="n">
        <v>21895</v>
      </c>
      <c r="B1551" t="n">
        <v/>
      </c>
      <c r="C1551" t="n">
        <v>4.48</v>
      </c>
    </row>
    <row r="1552">
      <c r="A1552" s="28" t="n">
        <v>21898</v>
      </c>
      <c r="B1552" t="n">
        <v/>
      </c>
      <c r="C1552" t="n">
        <v>4.45</v>
      </c>
    </row>
    <row r="1553">
      <c r="A1553" s="28" t="n">
        <v>21899</v>
      </c>
      <c r="B1553" t="n">
        <v/>
      </c>
      <c r="C1553" t="n">
        <v>4.44</v>
      </c>
    </row>
    <row r="1554">
      <c r="A1554" s="28" t="n">
        <v>21900</v>
      </c>
      <c r="B1554" t="n">
        <v/>
      </c>
      <c r="C1554" t="n">
        <v>4.48</v>
      </c>
    </row>
    <row r="1555">
      <c r="A1555" s="28" t="n">
        <v>21901</v>
      </c>
      <c r="B1555" t="n">
        <v/>
      </c>
      <c r="C1555" t="n">
        <v>4.55</v>
      </c>
    </row>
    <row r="1556">
      <c r="A1556" s="28" t="n">
        <v>21902</v>
      </c>
      <c r="B1556" t="n">
        <v/>
      </c>
      <c r="C1556" t="n">
        <v>4.55</v>
      </c>
    </row>
    <row r="1557">
      <c r="A1557" s="28" t="n">
        <v>21905</v>
      </c>
      <c r="B1557" t="n">
        <v/>
      </c>
      <c r="C1557" t="n">
        <v>4.61</v>
      </c>
    </row>
    <row r="1558">
      <c r="A1558" s="28" t="n">
        <v>21906</v>
      </c>
      <c r="B1558" t="n">
        <v/>
      </c>
      <c r="C1558" t="n">
        <v>4.6</v>
      </c>
    </row>
    <row r="1559">
      <c r="A1559" s="28" t="n">
        <v>21907</v>
      </c>
      <c r="B1559" t="n">
        <v/>
      </c>
      <c r="C1559" t="n">
        <v>4.63</v>
      </c>
    </row>
    <row r="1560">
      <c r="A1560" s="28" t="n">
        <v>21908</v>
      </c>
      <c r="B1560" t="n">
        <v/>
      </c>
      <c r="C1560" t="n">
        <v>4.46</v>
      </c>
    </row>
    <row r="1561">
      <c r="A1561" s="28" t="n">
        <v>21909</v>
      </c>
      <c r="B1561" t="n">
        <v/>
      </c>
      <c r="C1561" t="n">
        <v>0</v>
      </c>
    </row>
    <row r="1562">
      <c r="A1562" s="28" t="n">
        <v>21912</v>
      </c>
      <c r="B1562" t="n">
        <v/>
      </c>
      <c r="C1562" t="n">
        <v>4.44</v>
      </c>
    </row>
    <row r="1563">
      <c r="A1563" s="28" t="n">
        <v>21913</v>
      </c>
      <c r="B1563" t="n">
        <v/>
      </c>
      <c r="C1563" t="n">
        <v>4.37</v>
      </c>
    </row>
    <row r="1564">
      <c r="A1564" s="28" t="n">
        <v>21914</v>
      </c>
      <c r="B1564" t="n">
        <v/>
      </c>
      <c r="C1564" t="n">
        <v>4.37</v>
      </c>
    </row>
    <row r="1565">
      <c r="A1565" s="28" t="n">
        <v>21915</v>
      </c>
      <c r="B1565" t="n">
        <v/>
      </c>
      <c r="C1565" t="n">
        <v>4.4</v>
      </c>
    </row>
    <row r="1566">
      <c r="A1566" s="28" t="n">
        <v>21916</v>
      </c>
      <c r="B1566" t="n">
        <v/>
      </c>
      <c r="C1566" t="n">
        <v>0</v>
      </c>
    </row>
    <row r="1567">
      <c r="A1567" s="28" t="n">
        <v>21919</v>
      </c>
      <c r="B1567" t="n">
        <v/>
      </c>
      <c r="C1567" t="n">
        <v>4.52</v>
      </c>
    </row>
    <row r="1568">
      <c r="A1568" s="28" t="n">
        <v>21920</v>
      </c>
      <c r="B1568" t="n">
        <v/>
      </c>
      <c r="C1568" t="n">
        <v>4.55</v>
      </c>
    </row>
    <row r="1569">
      <c r="A1569" s="28" t="n">
        <v>21921</v>
      </c>
      <c r="B1569" t="n">
        <v/>
      </c>
      <c r="C1569" t="n">
        <v>4.68</v>
      </c>
    </row>
    <row r="1570">
      <c r="A1570" s="28" t="n">
        <v>21922</v>
      </c>
      <c r="B1570" t="n">
        <v/>
      </c>
      <c r="C1570" t="n">
        <v>4.63</v>
      </c>
    </row>
    <row r="1571">
      <c r="A1571" s="28" t="n">
        <v>21923</v>
      </c>
      <c r="B1571" t="n">
        <v/>
      </c>
      <c r="C1571" t="n">
        <v>4.59</v>
      </c>
    </row>
    <row r="1572">
      <c r="A1572" s="28" t="n">
        <v>21926</v>
      </c>
      <c r="B1572" t="n">
        <v/>
      </c>
      <c r="C1572" t="n">
        <v>4.54</v>
      </c>
    </row>
    <row r="1573">
      <c r="A1573" s="28" t="n">
        <v>21927</v>
      </c>
      <c r="B1573" t="n">
        <v/>
      </c>
      <c r="C1573" t="n">
        <v>4.54</v>
      </c>
    </row>
    <row r="1574">
      <c r="A1574" s="28" t="n">
        <v>21928</v>
      </c>
      <c r="B1574" t="n">
        <v/>
      </c>
      <c r="C1574" t="n">
        <v>4.56</v>
      </c>
    </row>
    <row r="1575">
      <c r="A1575" s="28" t="n">
        <v>21929</v>
      </c>
      <c r="B1575" t="n">
        <v/>
      </c>
      <c r="C1575" t="n">
        <v>4.51</v>
      </c>
    </row>
    <row r="1576">
      <c r="A1576" s="28" t="n">
        <v>21930</v>
      </c>
      <c r="B1576" t="n">
        <v/>
      </c>
      <c r="C1576" t="n">
        <v>4.49</v>
      </c>
    </row>
    <row r="1577">
      <c r="A1577" s="28" t="n">
        <v>21933</v>
      </c>
      <c r="B1577" t="n">
        <v/>
      </c>
      <c r="C1577" t="n">
        <v>4.37</v>
      </c>
    </row>
    <row r="1578">
      <c r="A1578" s="28" t="n">
        <v>21934</v>
      </c>
      <c r="B1578" t="n">
        <v/>
      </c>
      <c r="C1578" t="n">
        <v>4.31</v>
      </c>
    </row>
    <row r="1579">
      <c r="A1579" s="28" t="n">
        <v>21935</v>
      </c>
      <c r="B1579" t="n">
        <v/>
      </c>
      <c r="C1579" t="n">
        <v>4.3</v>
      </c>
    </row>
    <row r="1580">
      <c r="A1580" s="28" t="n">
        <v>21936</v>
      </c>
      <c r="B1580" t="n">
        <v/>
      </c>
      <c r="C1580" t="n">
        <v>4.27</v>
      </c>
    </row>
    <row r="1581">
      <c r="A1581" s="28" t="n">
        <v>21937</v>
      </c>
      <c r="B1581" t="n">
        <v/>
      </c>
      <c r="C1581" t="n">
        <v>4.12</v>
      </c>
    </row>
    <row r="1582">
      <c r="A1582" s="28" t="n">
        <v>21940</v>
      </c>
      <c r="B1582" t="n">
        <v/>
      </c>
      <c r="C1582" t="n">
        <v>4.12</v>
      </c>
    </row>
    <row r="1583">
      <c r="A1583" s="28" t="n">
        <v>21941</v>
      </c>
      <c r="B1583" t="n">
        <v/>
      </c>
      <c r="C1583" t="n">
        <v>4.04</v>
      </c>
    </row>
    <row r="1584">
      <c r="A1584" s="28" t="n">
        <v>21942</v>
      </c>
      <c r="B1584" t="n">
        <v/>
      </c>
      <c r="C1584" t="n">
        <v>3.99</v>
      </c>
    </row>
    <row r="1585">
      <c r="A1585" s="28" t="n">
        <v>21943</v>
      </c>
      <c r="B1585" t="n">
        <v/>
      </c>
      <c r="C1585" t="n">
        <v>3.92</v>
      </c>
    </row>
    <row r="1586">
      <c r="A1586" s="28" t="n">
        <v>21944</v>
      </c>
      <c r="B1586" t="n">
        <v/>
      </c>
      <c r="C1586" t="n">
        <v>3.99</v>
      </c>
    </row>
    <row r="1587">
      <c r="A1587" s="28" t="n">
        <v>21947</v>
      </c>
      <c r="B1587" t="n">
        <v/>
      </c>
      <c r="C1587" t="n">
        <v>4</v>
      </c>
    </row>
    <row r="1588">
      <c r="A1588" s="28" t="n">
        <v>21948</v>
      </c>
      <c r="B1588" t="n">
        <v/>
      </c>
      <c r="C1588" t="n">
        <v>3.96</v>
      </c>
    </row>
    <row r="1589">
      <c r="A1589" s="28" t="n">
        <v>21949</v>
      </c>
      <c r="B1589" t="n">
        <v/>
      </c>
      <c r="C1589" t="n">
        <v>4</v>
      </c>
    </row>
    <row r="1590">
      <c r="A1590" s="28" t="n">
        <v>21950</v>
      </c>
      <c r="B1590" t="n">
        <v/>
      </c>
      <c r="C1590" t="n">
        <v>3.95</v>
      </c>
    </row>
    <row r="1591">
      <c r="A1591" s="28" t="n">
        <v>21951</v>
      </c>
      <c r="B1591" t="n">
        <v/>
      </c>
      <c r="C1591" t="n">
        <v>3.8</v>
      </c>
    </row>
    <row r="1592">
      <c r="A1592" s="28" t="n">
        <v>21954</v>
      </c>
      <c r="B1592" t="n">
        <v/>
      </c>
      <c r="C1592" t="n">
        <v>3.55</v>
      </c>
    </row>
    <row r="1593">
      <c r="A1593" s="28" t="n">
        <v>21955</v>
      </c>
      <c r="B1593" t="n">
        <v/>
      </c>
      <c r="C1593" t="n">
        <v>3.58</v>
      </c>
    </row>
    <row r="1594">
      <c r="A1594" s="28" t="n">
        <v>21956</v>
      </c>
      <c r="B1594" t="n">
        <v/>
      </c>
      <c r="C1594" t="n">
        <v>3.7</v>
      </c>
    </row>
    <row r="1595">
      <c r="A1595" s="28" t="n">
        <v>21957</v>
      </c>
      <c r="B1595" t="n">
        <v/>
      </c>
      <c r="C1595" t="n">
        <v>3.85</v>
      </c>
    </row>
    <row r="1596">
      <c r="A1596" s="28" t="n">
        <v>21958</v>
      </c>
      <c r="B1596" t="n">
        <v/>
      </c>
      <c r="C1596" t="n">
        <v>0</v>
      </c>
    </row>
    <row r="1597">
      <c r="A1597" s="28" t="n">
        <v>21961</v>
      </c>
      <c r="B1597" t="n">
        <v/>
      </c>
      <c r="C1597" t="n">
        <v>3.96</v>
      </c>
    </row>
    <row r="1598">
      <c r="A1598" s="28" t="n">
        <v>21962</v>
      </c>
      <c r="B1598" t="n">
        <v/>
      </c>
      <c r="C1598" t="n">
        <v>4.04</v>
      </c>
    </row>
    <row r="1599">
      <c r="A1599" s="28" t="n">
        <v>21963</v>
      </c>
      <c r="B1599" t="n">
        <v/>
      </c>
      <c r="C1599" t="n">
        <v>4.07</v>
      </c>
    </row>
    <row r="1600">
      <c r="A1600" s="28" t="n">
        <v>21964</v>
      </c>
      <c r="B1600" t="n">
        <v/>
      </c>
      <c r="C1600" t="n">
        <v>4.04</v>
      </c>
    </row>
    <row r="1601">
      <c r="A1601" s="28" t="n">
        <v>21965</v>
      </c>
      <c r="B1601" t="n">
        <v/>
      </c>
      <c r="C1601" t="n">
        <v>4.08</v>
      </c>
    </row>
    <row r="1602">
      <c r="A1602" s="28" t="n">
        <v>21968</v>
      </c>
      <c r="B1602" t="n">
        <v/>
      </c>
      <c r="C1602" t="n">
        <v>0</v>
      </c>
    </row>
    <row r="1603">
      <c r="A1603" s="28" t="n">
        <v>21969</v>
      </c>
      <c r="B1603" t="n">
        <v/>
      </c>
      <c r="C1603" t="n">
        <v>4.06</v>
      </c>
    </row>
    <row r="1604">
      <c r="A1604" s="28" t="n">
        <v>21970</v>
      </c>
      <c r="B1604" t="n">
        <v/>
      </c>
      <c r="C1604" t="n">
        <v>4.13</v>
      </c>
    </row>
    <row r="1605">
      <c r="A1605" s="28" t="n">
        <v>21971</v>
      </c>
      <c r="B1605" t="n">
        <v/>
      </c>
      <c r="C1605" t="n">
        <v>4.17</v>
      </c>
    </row>
    <row r="1606">
      <c r="A1606" s="28" t="n">
        <v>21972</v>
      </c>
      <c r="B1606" t="n">
        <v/>
      </c>
      <c r="C1606" t="n">
        <v>4.19</v>
      </c>
    </row>
    <row r="1607">
      <c r="A1607" s="28" t="n">
        <v>21975</v>
      </c>
      <c r="B1607" t="n">
        <v/>
      </c>
      <c r="C1607" t="n">
        <v>4.19</v>
      </c>
    </row>
    <row r="1608">
      <c r="A1608" s="28" t="n">
        <v>21976</v>
      </c>
      <c r="B1608" t="n">
        <v/>
      </c>
      <c r="C1608" t="n">
        <v>4.09</v>
      </c>
    </row>
    <row r="1609">
      <c r="A1609" s="28" t="n">
        <v>21977</v>
      </c>
      <c r="B1609" t="n">
        <v/>
      </c>
      <c r="C1609" t="n">
        <v>3.98</v>
      </c>
    </row>
    <row r="1610">
      <c r="A1610" s="28" t="n">
        <v>21978</v>
      </c>
      <c r="B1610" t="n">
        <v/>
      </c>
      <c r="C1610" t="n">
        <v>3.7</v>
      </c>
    </row>
    <row r="1611">
      <c r="A1611" s="28" t="n">
        <v>21979</v>
      </c>
      <c r="B1611" t="n">
        <v/>
      </c>
      <c r="C1611" t="n">
        <v>3.64</v>
      </c>
    </row>
    <row r="1612">
      <c r="A1612" s="28" t="n">
        <v>21982</v>
      </c>
      <c r="B1612" t="n">
        <v/>
      </c>
      <c r="C1612" t="n">
        <v>3.54</v>
      </c>
    </row>
    <row r="1613">
      <c r="A1613" s="28" t="n">
        <v>21983</v>
      </c>
      <c r="B1613" t="n">
        <v/>
      </c>
      <c r="C1613" t="n">
        <v>3.56</v>
      </c>
    </row>
    <row r="1614">
      <c r="A1614" s="28" t="n">
        <v>21984</v>
      </c>
      <c r="B1614" t="n">
        <v/>
      </c>
      <c r="C1614" t="n">
        <v>3.64</v>
      </c>
    </row>
    <row r="1615">
      <c r="A1615" s="28" t="n">
        <v>21985</v>
      </c>
      <c r="B1615" t="n">
        <v/>
      </c>
      <c r="C1615" t="n">
        <v>3.66</v>
      </c>
    </row>
    <row r="1616">
      <c r="A1616" s="28" t="n">
        <v>21986</v>
      </c>
      <c r="B1616" t="n">
        <v/>
      </c>
      <c r="C1616" t="n">
        <v>3.59</v>
      </c>
    </row>
    <row r="1617">
      <c r="A1617" s="28" t="n">
        <v>21989</v>
      </c>
      <c r="B1617" t="n">
        <v/>
      </c>
      <c r="C1617" t="n">
        <v>3.44</v>
      </c>
    </row>
    <row r="1618">
      <c r="A1618" s="28" t="n">
        <v>21990</v>
      </c>
      <c r="B1618" t="n">
        <v/>
      </c>
      <c r="C1618" t="n">
        <v>3.46</v>
      </c>
    </row>
    <row r="1619">
      <c r="A1619" s="28" t="n">
        <v>21991</v>
      </c>
      <c r="B1619" t="n">
        <v/>
      </c>
      <c r="C1619" t="n">
        <v>3.43</v>
      </c>
    </row>
    <row r="1620">
      <c r="A1620" s="28" t="n">
        <v>21992</v>
      </c>
      <c r="B1620" t="n">
        <v/>
      </c>
      <c r="C1620" t="n">
        <v>3.44</v>
      </c>
    </row>
    <row r="1621">
      <c r="A1621" s="28" t="n">
        <v>21993</v>
      </c>
      <c r="B1621" t="n">
        <v/>
      </c>
      <c r="C1621" t="n">
        <v>3.3</v>
      </c>
    </row>
    <row r="1622">
      <c r="A1622" s="28" t="n">
        <v>21996</v>
      </c>
      <c r="B1622" t="n">
        <v/>
      </c>
      <c r="C1622" t="n">
        <v>3.05</v>
      </c>
    </row>
    <row r="1623">
      <c r="A1623" s="28" t="n">
        <v>21997</v>
      </c>
      <c r="B1623" t="n">
        <v/>
      </c>
      <c r="C1623" t="n">
        <v>2.9</v>
      </c>
    </row>
    <row r="1624">
      <c r="A1624" s="28" t="n">
        <v>21998</v>
      </c>
      <c r="B1624" t="n">
        <v/>
      </c>
      <c r="C1624" t="n">
        <v>2.77</v>
      </c>
    </row>
    <row r="1625">
      <c r="A1625" s="28" t="n">
        <v>21999</v>
      </c>
      <c r="B1625" t="n">
        <v/>
      </c>
      <c r="C1625" t="n">
        <v>2.82</v>
      </c>
    </row>
    <row r="1626">
      <c r="A1626" s="28" t="n">
        <v>22000</v>
      </c>
      <c r="B1626" t="n">
        <v/>
      </c>
      <c r="C1626" t="n">
        <v>2.68</v>
      </c>
    </row>
    <row r="1627">
      <c r="A1627" s="28" t="n">
        <v>22003</v>
      </c>
      <c r="B1627" t="n">
        <v/>
      </c>
      <c r="C1627" t="n">
        <v>2.78</v>
      </c>
    </row>
    <row r="1628">
      <c r="A1628" s="28" t="n">
        <v>22004</v>
      </c>
      <c r="B1628" t="n">
        <v/>
      </c>
      <c r="C1628" t="n">
        <v>2.83</v>
      </c>
    </row>
    <row r="1629">
      <c r="A1629" s="28" t="n">
        <v>22005</v>
      </c>
      <c r="B1629" t="n">
        <v/>
      </c>
      <c r="C1629" t="n">
        <v>2.92</v>
      </c>
    </row>
    <row r="1630">
      <c r="A1630" s="28" t="n">
        <v>22006</v>
      </c>
      <c r="B1630" t="n">
        <v/>
      </c>
      <c r="C1630" t="n">
        <v>3.02</v>
      </c>
    </row>
    <row r="1631">
      <c r="A1631" s="28" t="n">
        <v>22007</v>
      </c>
      <c r="B1631" t="n">
        <v/>
      </c>
      <c r="C1631" t="n">
        <v>2.84</v>
      </c>
    </row>
    <row r="1632">
      <c r="A1632" s="28" t="n">
        <v>22010</v>
      </c>
      <c r="B1632" t="n">
        <v/>
      </c>
      <c r="C1632" t="n">
        <v>2.72</v>
      </c>
    </row>
    <row r="1633">
      <c r="A1633" s="28" t="n">
        <v>22011</v>
      </c>
      <c r="B1633" t="n">
        <v/>
      </c>
      <c r="C1633" t="n">
        <v>2.8</v>
      </c>
    </row>
    <row r="1634">
      <c r="A1634" s="28" t="n">
        <v>22012</v>
      </c>
      <c r="B1634" t="n">
        <v/>
      </c>
      <c r="C1634" t="n">
        <v>2.92</v>
      </c>
    </row>
    <row r="1635">
      <c r="A1635" s="28" t="n">
        <v>22013</v>
      </c>
      <c r="B1635" t="n">
        <v/>
      </c>
      <c r="C1635" t="n">
        <v>3.05</v>
      </c>
    </row>
    <row r="1636">
      <c r="A1636" s="28" t="n">
        <v>22014</v>
      </c>
      <c r="B1636" t="n">
        <v/>
      </c>
      <c r="C1636" t="n">
        <v>3.3</v>
      </c>
    </row>
    <row r="1637">
      <c r="A1637" s="28" t="n">
        <v>22017</v>
      </c>
      <c r="B1637" t="n">
        <v/>
      </c>
      <c r="C1637" t="n">
        <v>3.55</v>
      </c>
    </row>
    <row r="1638">
      <c r="A1638" s="28" t="n">
        <v>22018</v>
      </c>
      <c r="B1638" t="n">
        <v/>
      </c>
      <c r="C1638" t="n">
        <v>3.6</v>
      </c>
    </row>
    <row r="1639">
      <c r="A1639" s="28" t="n">
        <v>22019</v>
      </c>
      <c r="B1639" t="n">
        <v/>
      </c>
      <c r="C1639" t="n">
        <v>3.57</v>
      </c>
    </row>
    <row r="1640">
      <c r="A1640" s="28" t="n">
        <v>22020</v>
      </c>
      <c r="B1640" t="n">
        <v/>
      </c>
      <c r="C1640" t="n">
        <v>3.52</v>
      </c>
    </row>
    <row r="1641">
      <c r="A1641" s="28" t="n">
        <v>22021</v>
      </c>
      <c r="B1641" t="n">
        <v/>
      </c>
      <c r="C1641" t="n">
        <v>0</v>
      </c>
    </row>
    <row r="1642">
      <c r="A1642" s="28" t="n">
        <v>22024</v>
      </c>
      <c r="B1642" t="n">
        <v/>
      </c>
      <c r="C1642" t="n">
        <v>3.28</v>
      </c>
    </row>
    <row r="1643">
      <c r="A1643" s="28" t="n">
        <v>22025</v>
      </c>
      <c r="B1643" t="n">
        <v/>
      </c>
      <c r="C1643" t="n">
        <v>3.34</v>
      </c>
    </row>
    <row r="1644">
      <c r="A1644" s="28" t="n">
        <v>22026</v>
      </c>
      <c r="B1644" t="n">
        <v/>
      </c>
      <c r="C1644" t="n">
        <v>3.34</v>
      </c>
    </row>
    <row r="1645">
      <c r="A1645" s="28" t="n">
        <v>22027</v>
      </c>
      <c r="B1645" t="n">
        <v/>
      </c>
      <c r="C1645" t="n">
        <v>3.35</v>
      </c>
    </row>
    <row r="1646">
      <c r="A1646" s="28" t="n">
        <v>22028</v>
      </c>
      <c r="B1646" t="n">
        <v/>
      </c>
      <c r="C1646" t="n">
        <v>3.37</v>
      </c>
    </row>
    <row r="1647">
      <c r="A1647" s="28" t="n">
        <v>22031</v>
      </c>
      <c r="B1647" t="n">
        <v/>
      </c>
      <c r="C1647" t="n">
        <v>3.26</v>
      </c>
    </row>
    <row r="1648">
      <c r="A1648" s="28" t="n">
        <v>22032</v>
      </c>
      <c r="B1648" t="n">
        <v/>
      </c>
      <c r="C1648" t="n">
        <v>3.25</v>
      </c>
    </row>
    <row r="1649">
      <c r="A1649" s="28" t="n">
        <v>22033</v>
      </c>
      <c r="B1649" t="n">
        <v/>
      </c>
      <c r="C1649" t="n">
        <v>3.25</v>
      </c>
    </row>
    <row r="1650">
      <c r="A1650" s="28" t="n">
        <v>22034</v>
      </c>
      <c r="B1650" t="n">
        <v/>
      </c>
      <c r="C1650" t="n">
        <v>3.16</v>
      </c>
    </row>
    <row r="1651">
      <c r="A1651" s="28" t="n">
        <v>22035</v>
      </c>
      <c r="B1651" t="n">
        <v/>
      </c>
      <c r="C1651" t="n">
        <v>3.04</v>
      </c>
    </row>
    <row r="1652">
      <c r="A1652" s="28" t="n">
        <v>22038</v>
      </c>
      <c r="B1652" t="n">
        <v/>
      </c>
      <c r="C1652" t="n">
        <v>3.03</v>
      </c>
    </row>
    <row r="1653">
      <c r="A1653" s="28" t="n">
        <v>22039</v>
      </c>
      <c r="B1653" t="n">
        <v/>
      </c>
      <c r="C1653" t="n">
        <v>3.14</v>
      </c>
    </row>
    <row r="1654">
      <c r="A1654" s="28" t="n">
        <v>22040</v>
      </c>
      <c r="B1654" t="n">
        <v/>
      </c>
      <c r="C1654" t="n">
        <v>3.12</v>
      </c>
    </row>
    <row r="1655">
      <c r="A1655" s="28" t="n">
        <v>22041</v>
      </c>
      <c r="B1655" t="n">
        <v/>
      </c>
      <c r="C1655" t="n">
        <v>3.09</v>
      </c>
    </row>
    <row r="1656">
      <c r="A1656" s="28" t="n">
        <v>22042</v>
      </c>
      <c r="B1656" t="n">
        <v/>
      </c>
      <c r="C1656" t="n">
        <v>3.04</v>
      </c>
    </row>
    <row r="1657">
      <c r="A1657" s="28" t="n">
        <v>22045</v>
      </c>
      <c r="B1657" t="n">
        <v/>
      </c>
      <c r="C1657" t="n">
        <v>3.22</v>
      </c>
    </row>
    <row r="1658">
      <c r="A1658" s="28" t="n">
        <v>22046</v>
      </c>
      <c r="B1658" t="n">
        <v/>
      </c>
      <c r="C1658" t="n">
        <v>3.25</v>
      </c>
    </row>
    <row r="1659">
      <c r="A1659" s="28" t="n">
        <v>22047</v>
      </c>
      <c r="B1659" t="n">
        <v/>
      </c>
      <c r="C1659" t="n">
        <v>3.31</v>
      </c>
    </row>
    <row r="1660">
      <c r="A1660" s="28" t="n">
        <v>22048</v>
      </c>
      <c r="B1660" t="n">
        <v/>
      </c>
      <c r="C1660" t="n">
        <v>3.36</v>
      </c>
    </row>
    <row r="1661">
      <c r="A1661" s="28" t="n">
        <v>22049</v>
      </c>
      <c r="B1661" t="n">
        <v/>
      </c>
      <c r="C1661" t="n">
        <v>3.44</v>
      </c>
    </row>
    <row r="1662">
      <c r="A1662" s="28" t="n">
        <v>22052</v>
      </c>
      <c r="B1662" t="n">
        <v/>
      </c>
      <c r="C1662" t="n">
        <v>3.62</v>
      </c>
    </row>
    <row r="1663">
      <c r="A1663" s="28" t="n">
        <v>22053</v>
      </c>
      <c r="B1663" t="n">
        <v/>
      </c>
      <c r="C1663" t="n">
        <v>3.54</v>
      </c>
    </row>
    <row r="1664">
      <c r="A1664" s="28" t="n">
        <v>22054</v>
      </c>
      <c r="B1664" t="n">
        <v/>
      </c>
      <c r="C1664" t="n">
        <v>3.67</v>
      </c>
    </row>
    <row r="1665">
      <c r="A1665" s="28" t="n">
        <v>22055</v>
      </c>
      <c r="B1665" t="n">
        <v/>
      </c>
      <c r="C1665" t="n">
        <v>3.42</v>
      </c>
    </row>
    <row r="1666">
      <c r="A1666" s="28" t="n">
        <v>22056</v>
      </c>
      <c r="B1666" t="n">
        <v/>
      </c>
      <c r="C1666" t="n">
        <v>3.25</v>
      </c>
    </row>
    <row r="1667">
      <c r="A1667" s="28" t="n">
        <v>22059</v>
      </c>
      <c r="B1667" t="n">
        <v/>
      </c>
      <c r="C1667" t="n">
        <v>3.42</v>
      </c>
    </row>
    <row r="1668">
      <c r="A1668" s="28" t="n">
        <v>22060</v>
      </c>
      <c r="B1668" t="n">
        <v/>
      </c>
      <c r="C1668" t="n">
        <v>3.36</v>
      </c>
    </row>
    <row r="1669">
      <c r="A1669" s="28" t="n">
        <v>22061</v>
      </c>
      <c r="B1669" t="n">
        <v/>
      </c>
      <c r="C1669" t="n">
        <v>3.32</v>
      </c>
    </row>
    <row r="1670">
      <c r="A1670" s="28" t="n">
        <v>22062</v>
      </c>
      <c r="B1670" t="n">
        <v/>
      </c>
      <c r="C1670" t="n">
        <v>3.26</v>
      </c>
    </row>
    <row r="1671">
      <c r="A1671" s="28" t="n">
        <v>22063</v>
      </c>
      <c r="B1671" t="n">
        <v/>
      </c>
      <c r="C1671" t="n">
        <v>3.09</v>
      </c>
    </row>
    <row r="1672">
      <c r="A1672" s="28" t="n">
        <v>22066</v>
      </c>
      <c r="B1672" t="n">
        <v/>
      </c>
      <c r="C1672" t="n">
        <v>0</v>
      </c>
    </row>
    <row r="1673">
      <c r="A1673" s="28" t="n">
        <v>22067</v>
      </c>
      <c r="B1673" t="n">
        <v/>
      </c>
      <c r="C1673" t="n">
        <v>3.12</v>
      </c>
    </row>
    <row r="1674">
      <c r="A1674" s="28" t="n">
        <v>22068</v>
      </c>
      <c r="B1674" t="n">
        <v/>
      </c>
      <c r="C1674" t="n">
        <v>3.06</v>
      </c>
    </row>
    <row r="1675">
      <c r="A1675" s="28" t="n">
        <v>22069</v>
      </c>
      <c r="B1675" t="n">
        <v/>
      </c>
      <c r="C1675" t="n">
        <v>2.92</v>
      </c>
    </row>
    <row r="1676">
      <c r="A1676" s="28" t="n">
        <v>22070</v>
      </c>
      <c r="B1676" t="n">
        <v/>
      </c>
      <c r="C1676" t="n">
        <v>2.65</v>
      </c>
    </row>
    <row r="1677">
      <c r="A1677" s="28" t="n">
        <v>22073</v>
      </c>
      <c r="B1677" t="n">
        <v/>
      </c>
      <c r="C1677" t="n">
        <v>2.62</v>
      </c>
    </row>
    <row r="1678">
      <c r="A1678" s="28" t="n">
        <v>22074</v>
      </c>
      <c r="B1678" t="n">
        <v/>
      </c>
      <c r="C1678" t="n">
        <v>2.68</v>
      </c>
    </row>
    <row r="1679">
      <c r="A1679" s="28" t="n">
        <v>22075</v>
      </c>
      <c r="B1679" t="n">
        <v/>
      </c>
      <c r="C1679" t="n">
        <v>2.75</v>
      </c>
    </row>
    <row r="1680">
      <c r="A1680" s="28" t="n">
        <v>22076</v>
      </c>
      <c r="B1680" t="n">
        <v/>
      </c>
      <c r="C1680" t="n">
        <v>2.63</v>
      </c>
    </row>
    <row r="1681">
      <c r="A1681" s="28" t="n">
        <v>22077</v>
      </c>
      <c r="B1681" t="n">
        <v/>
      </c>
      <c r="C1681" t="n">
        <v>2.38</v>
      </c>
    </row>
    <row r="1682">
      <c r="A1682" s="28" t="n">
        <v>22080</v>
      </c>
      <c r="B1682" t="n">
        <v/>
      </c>
      <c r="C1682" t="n">
        <v>2.29</v>
      </c>
    </row>
    <row r="1683">
      <c r="A1683" s="28" t="n">
        <v>22081</v>
      </c>
      <c r="B1683" t="n">
        <v/>
      </c>
      <c r="C1683" t="n">
        <v>2.29</v>
      </c>
    </row>
    <row r="1684">
      <c r="A1684" s="28" t="n">
        <v>22082</v>
      </c>
      <c r="B1684" t="n">
        <v/>
      </c>
      <c r="C1684" t="n">
        <v>2.27</v>
      </c>
    </row>
    <row r="1685">
      <c r="A1685" s="28" t="n">
        <v>22083</v>
      </c>
      <c r="B1685" t="n">
        <v/>
      </c>
      <c r="C1685" t="n">
        <v>2.32</v>
      </c>
    </row>
    <row r="1686">
      <c r="A1686" s="28" t="n">
        <v>22084</v>
      </c>
      <c r="B1686" t="n">
        <v/>
      </c>
      <c r="C1686" t="n">
        <v>2.37</v>
      </c>
    </row>
    <row r="1687">
      <c r="A1687" s="28" t="n">
        <v>22087</v>
      </c>
      <c r="B1687" t="n">
        <v/>
      </c>
      <c r="C1687" t="n">
        <v>2.55</v>
      </c>
    </row>
    <row r="1688">
      <c r="A1688" s="28" t="n">
        <v>22088</v>
      </c>
      <c r="B1688" t="n">
        <v/>
      </c>
      <c r="C1688" t="n">
        <v>2.32</v>
      </c>
    </row>
    <row r="1689">
      <c r="A1689" s="28" t="n">
        <v>22089</v>
      </c>
      <c r="B1689" t="n">
        <v/>
      </c>
      <c r="C1689" t="n">
        <v>2.36</v>
      </c>
    </row>
    <row r="1690">
      <c r="A1690" s="28" t="n">
        <v>22090</v>
      </c>
      <c r="B1690" t="n">
        <v/>
      </c>
      <c r="C1690" t="n">
        <v>2.39</v>
      </c>
    </row>
    <row r="1691">
      <c r="A1691" s="28" t="n">
        <v>22091</v>
      </c>
      <c r="B1691" t="n">
        <v/>
      </c>
      <c r="C1691" t="n">
        <v>2.35</v>
      </c>
    </row>
    <row r="1692">
      <c r="A1692" s="28" t="n">
        <v>22094</v>
      </c>
      <c r="B1692" t="n">
        <v/>
      </c>
      <c r="C1692" t="n">
        <v>2.31</v>
      </c>
    </row>
    <row r="1693">
      <c r="A1693" s="28" t="n">
        <v>22095</v>
      </c>
      <c r="B1693" t="n">
        <v/>
      </c>
      <c r="C1693" t="n">
        <v>2.2</v>
      </c>
    </row>
    <row r="1694">
      <c r="A1694" s="28" t="n">
        <v>22096</v>
      </c>
      <c r="B1694" t="n">
        <v/>
      </c>
      <c r="C1694" t="n">
        <v>2.14</v>
      </c>
    </row>
    <row r="1695">
      <c r="A1695" s="28" t="n">
        <v>22097</v>
      </c>
      <c r="B1695" t="n">
        <v/>
      </c>
      <c r="C1695" t="n">
        <v>2.19</v>
      </c>
    </row>
    <row r="1696">
      <c r="A1696" s="28" t="n">
        <v>22098</v>
      </c>
      <c r="B1696" t="n">
        <v/>
      </c>
      <c r="C1696" t="n">
        <v>2.05</v>
      </c>
    </row>
    <row r="1697">
      <c r="A1697" s="28" t="n">
        <v>22101</v>
      </c>
      <c r="B1697" t="n">
        <v/>
      </c>
      <c r="C1697" t="n">
        <v>0</v>
      </c>
    </row>
    <row r="1698">
      <c r="A1698" s="28" t="n">
        <v>22102</v>
      </c>
      <c r="B1698" t="n">
        <v/>
      </c>
      <c r="C1698" t="n">
        <v>2.1</v>
      </c>
    </row>
    <row r="1699">
      <c r="A1699" s="28" t="n">
        <v>22103</v>
      </c>
      <c r="B1699" t="n">
        <v/>
      </c>
      <c r="C1699" t="n">
        <v>2.25</v>
      </c>
    </row>
    <row r="1700">
      <c r="A1700" s="28" t="n">
        <v>22104</v>
      </c>
      <c r="B1700" t="n">
        <v/>
      </c>
      <c r="C1700" t="n">
        <v>2.34</v>
      </c>
    </row>
    <row r="1701">
      <c r="A1701" s="28" t="n">
        <v>22105</v>
      </c>
      <c r="B1701" t="n">
        <v/>
      </c>
      <c r="C1701" t="n">
        <v>2.39</v>
      </c>
    </row>
    <row r="1702">
      <c r="A1702" s="28" t="n">
        <v>22108</v>
      </c>
      <c r="B1702" t="n">
        <v/>
      </c>
      <c r="C1702" t="n">
        <v>2.49</v>
      </c>
    </row>
    <row r="1703">
      <c r="A1703" s="28" t="n">
        <v>22109</v>
      </c>
      <c r="B1703" t="n">
        <v/>
      </c>
      <c r="C1703" t="n">
        <v>2.42</v>
      </c>
    </row>
    <row r="1704">
      <c r="A1704" s="28" t="n">
        <v>22110</v>
      </c>
      <c r="B1704" t="n">
        <v/>
      </c>
      <c r="C1704" t="n">
        <v>2.46</v>
      </c>
    </row>
    <row r="1705">
      <c r="A1705" s="28" t="n">
        <v>22111</v>
      </c>
      <c r="B1705" t="n">
        <v/>
      </c>
      <c r="C1705" t="n">
        <v>2.37</v>
      </c>
    </row>
    <row r="1706">
      <c r="A1706" s="28" t="n">
        <v>22112</v>
      </c>
      <c r="B1706" t="n">
        <v/>
      </c>
      <c r="C1706" t="n">
        <v>2.31</v>
      </c>
    </row>
    <row r="1707">
      <c r="A1707" s="28" t="n">
        <v>22115</v>
      </c>
      <c r="B1707" t="n">
        <v/>
      </c>
      <c r="C1707" t="n">
        <v>2.26</v>
      </c>
    </row>
    <row r="1708">
      <c r="A1708" s="28" t="n">
        <v>22116</v>
      </c>
      <c r="B1708" t="n">
        <v/>
      </c>
      <c r="C1708" t="n">
        <v>2.28</v>
      </c>
    </row>
    <row r="1709">
      <c r="A1709" s="28" t="n">
        <v>22117</v>
      </c>
      <c r="B1709" t="n">
        <v/>
      </c>
      <c r="C1709" t="n">
        <v>2.34</v>
      </c>
    </row>
    <row r="1710">
      <c r="A1710" s="28" t="n">
        <v>22118</v>
      </c>
      <c r="B1710" t="n">
        <v/>
      </c>
      <c r="C1710" t="n">
        <v>2.34</v>
      </c>
    </row>
    <row r="1711">
      <c r="A1711" s="28" t="n">
        <v>22119</v>
      </c>
      <c r="B1711" t="n">
        <v/>
      </c>
      <c r="C1711" t="n">
        <v>2.35</v>
      </c>
    </row>
    <row r="1712">
      <c r="A1712" s="28" t="n">
        <v>22122</v>
      </c>
      <c r="B1712" t="n">
        <v/>
      </c>
      <c r="C1712" t="n">
        <v>2.31</v>
      </c>
    </row>
    <row r="1713">
      <c r="A1713" s="28" t="n">
        <v>22123</v>
      </c>
      <c r="B1713" t="n">
        <v/>
      </c>
      <c r="C1713" t="n">
        <v>2.23</v>
      </c>
    </row>
    <row r="1714">
      <c r="A1714" s="28" t="n">
        <v>22124</v>
      </c>
      <c r="B1714" t="n">
        <v/>
      </c>
      <c r="C1714" t="n">
        <v>2.23</v>
      </c>
    </row>
    <row r="1715">
      <c r="A1715" s="28" t="n">
        <v>22125</v>
      </c>
      <c r="B1715" t="n">
        <v/>
      </c>
      <c r="C1715" t="n">
        <v>2.23</v>
      </c>
    </row>
    <row r="1716">
      <c r="A1716" s="28" t="n">
        <v>22126</v>
      </c>
      <c r="B1716" t="n">
        <v/>
      </c>
      <c r="C1716" t="n">
        <v>2.19</v>
      </c>
    </row>
    <row r="1717">
      <c r="A1717" s="28" t="n">
        <v>22129</v>
      </c>
      <c r="B1717" t="n">
        <v/>
      </c>
      <c r="C1717" t="n">
        <v>2.1</v>
      </c>
    </row>
    <row r="1718">
      <c r="A1718" s="28" t="n">
        <v>22130</v>
      </c>
      <c r="B1718" t="n">
        <v/>
      </c>
      <c r="C1718" t="n">
        <v>2.12</v>
      </c>
    </row>
    <row r="1719">
      <c r="A1719" s="28" t="n">
        <v>22131</v>
      </c>
      <c r="B1719" t="n">
        <v/>
      </c>
      <c r="C1719" t="n">
        <v>2.17</v>
      </c>
    </row>
    <row r="1720">
      <c r="A1720" s="28" t="n">
        <v>22132</v>
      </c>
      <c r="B1720" t="n">
        <v/>
      </c>
      <c r="C1720" t="n">
        <v>2.15</v>
      </c>
    </row>
    <row r="1721">
      <c r="A1721" s="28" t="n">
        <v>22133</v>
      </c>
      <c r="B1721" t="n">
        <v/>
      </c>
      <c r="C1721" t="n">
        <v>2.13</v>
      </c>
    </row>
    <row r="1722">
      <c r="A1722" s="28" t="n">
        <v>22136</v>
      </c>
      <c r="B1722" t="n">
        <v/>
      </c>
      <c r="C1722" t="n">
        <v>2.18</v>
      </c>
    </row>
    <row r="1723">
      <c r="A1723" s="28" t="n">
        <v>22137</v>
      </c>
      <c r="B1723" t="n">
        <v/>
      </c>
      <c r="C1723" t="n">
        <v>2.16</v>
      </c>
    </row>
    <row r="1724">
      <c r="A1724" s="28" t="n">
        <v>22138</v>
      </c>
      <c r="B1724" t="n">
        <v/>
      </c>
      <c r="C1724" t="n">
        <v>2.19</v>
      </c>
    </row>
    <row r="1725">
      <c r="A1725" s="28" t="n">
        <v>22139</v>
      </c>
      <c r="B1725" t="n">
        <v/>
      </c>
      <c r="C1725" t="n">
        <v>2.24</v>
      </c>
    </row>
    <row r="1726">
      <c r="A1726" s="28" t="n">
        <v>22140</v>
      </c>
      <c r="B1726" t="n">
        <v/>
      </c>
      <c r="C1726" t="n">
        <v>2.15</v>
      </c>
    </row>
    <row r="1727">
      <c r="A1727" s="28" t="n">
        <v>22143</v>
      </c>
      <c r="B1727" t="n">
        <v/>
      </c>
      <c r="C1727" t="n">
        <v>2.2</v>
      </c>
    </row>
    <row r="1728">
      <c r="A1728" s="28" t="n">
        <v>22144</v>
      </c>
      <c r="B1728" t="n">
        <v/>
      </c>
      <c r="C1728" t="n">
        <v>2.22</v>
      </c>
    </row>
    <row r="1729">
      <c r="A1729" s="28" t="n">
        <v>22145</v>
      </c>
      <c r="B1729" t="n">
        <v/>
      </c>
      <c r="C1729" t="n">
        <v>2.33</v>
      </c>
    </row>
    <row r="1730">
      <c r="A1730" s="28" t="n">
        <v>22146</v>
      </c>
      <c r="B1730" t="n">
        <v/>
      </c>
      <c r="C1730" t="n">
        <v>2.38</v>
      </c>
    </row>
    <row r="1731">
      <c r="A1731" s="28" t="n">
        <v>22147</v>
      </c>
      <c r="B1731" t="n">
        <v/>
      </c>
      <c r="C1731" t="n">
        <v>2.4</v>
      </c>
    </row>
    <row r="1732">
      <c r="A1732" s="28" t="n">
        <v>22150</v>
      </c>
      <c r="B1732" t="n">
        <v/>
      </c>
      <c r="C1732" t="n">
        <v>2.37</v>
      </c>
    </row>
    <row r="1733">
      <c r="A1733" s="28" t="n">
        <v>22151</v>
      </c>
      <c r="B1733" t="n">
        <v/>
      </c>
      <c r="C1733" t="n">
        <v>2.35</v>
      </c>
    </row>
    <row r="1734">
      <c r="A1734" s="28" t="n">
        <v>22152</v>
      </c>
      <c r="B1734" t="n">
        <v/>
      </c>
      <c r="C1734" t="n">
        <v>2.46</v>
      </c>
    </row>
    <row r="1735">
      <c r="A1735" s="28" t="n">
        <v>22153</v>
      </c>
      <c r="B1735" t="n">
        <v/>
      </c>
      <c r="C1735" t="n">
        <v>2.49</v>
      </c>
    </row>
    <row r="1736">
      <c r="A1736" s="28" t="n">
        <v>22154</v>
      </c>
      <c r="B1736" t="n">
        <v/>
      </c>
      <c r="C1736" t="n">
        <v>2.46</v>
      </c>
    </row>
    <row r="1737">
      <c r="A1737" s="28" t="n">
        <v>22157</v>
      </c>
      <c r="B1737" t="n">
        <v/>
      </c>
      <c r="C1737" t="n">
        <v>2.48</v>
      </c>
    </row>
    <row r="1738">
      <c r="A1738" s="28" t="n">
        <v>22158</v>
      </c>
      <c r="B1738" t="n">
        <v/>
      </c>
      <c r="C1738" t="n">
        <v>2.53</v>
      </c>
    </row>
    <row r="1739">
      <c r="A1739" s="28" t="n">
        <v>22159</v>
      </c>
      <c r="B1739" t="n">
        <v/>
      </c>
      <c r="C1739" t="n">
        <v>2.57</v>
      </c>
    </row>
    <row r="1740">
      <c r="A1740" s="28" t="n">
        <v>22160</v>
      </c>
      <c r="B1740" t="n">
        <v/>
      </c>
      <c r="C1740" t="n">
        <v>2.58</v>
      </c>
    </row>
    <row r="1741">
      <c r="A1741" s="28" t="n">
        <v>22161</v>
      </c>
      <c r="B1741" t="n">
        <v/>
      </c>
      <c r="C1741" t="n">
        <v>2.49</v>
      </c>
    </row>
    <row r="1742">
      <c r="A1742" s="28" t="n">
        <v>22164</v>
      </c>
      <c r="B1742" t="n">
        <v/>
      </c>
      <c r="C1742" t="n">
        <v>0</v>
      </c>
    </row>
    <row r="1743">
      <c r="A1743" s="28" t="n">
        <v>22165</v>
      </c>
      <c r="B1743" t="n">
        <v/>
      </c>
      <c r="C1743" t="n">
        <v>2.54</v>
      </c>
    </row>
    <row r="1744">
      <c r="A1744" s="28" t="n">
        <v>22166</v>
      </c>
      <c r="B1744" t="n">
        <v/>
      </c>
      <c r="C1744" t="n">
        <v>2.54</v>
      </c>
    </row>
    <row r="1745">
      <c r="A1745" s="28" t="n">
        <v>22167</v>
      </c>
      <c r="B1745" t="n">
        <v/>
      </c>
      <c r="C1745" t="n">
        <v>2.55</v>
      </c>
    </row>
    <row r="1746">
      <c r="A1746" s="28" t="n">
        <v>22168</v>
      </c>
      <c r="B1746" t="n">
        <v/>
      </c>
      <c r="C1746" t="n">
        <v>2.59</v>
      </c>
    </row>
    <row r="1747">
      <c r="A1747" s="28" t="n">
        <v>22171</v>
      </c>
      <c r="B1747" t="n">
        <v/>
      </c>
      <c r="C1747" t="n">
        <v>2.61</v>
      </c>
    </row>
    <row r="1748">
      <c r="A1748" s="28" t="n">
        <v>22172</v>
      </c>
      <c r="B1748" t="n">
        <v/>
      </c>
      <c r="C1748" t="n">
        <v>2.63</v>
      </c>
    </row>
    <row r="1749">
      <c r="A1749" s="28" t="n">
        <v>22173</v>
      </c>
      <c r="B1749" t="n">
        <v/>
      </c>
      <c r="C1749" t="n">
        <v>2.63</v>
      </c>
    </row>
    <row r="1750">
      <c r="A1750" s="28" t="n">
        <v>22174</v>
      </c>
      <c r="B1750" t="n">
        <v/>
      </c>
      <c r="C1750" t="n">
        <v>2.53</v>
      </c>
    </row>
    <row r="1751">
      <c r="A1751" s="28" t="n">
        <v>22175</v>
      </c>
      <c r="B1751" t="n">
        <v/>
      </c>
      <c r="C1751" t="n">
        <v>2.48</v>
      </c>
    </row>
    <row r="1752">
      <c r="A1752" s="28" t="n">
        <v>22178</v>
      </c>
      <c r="B1752" t="n">
        <v/>
      </c>
      <c r="C1752" t="n">
        <v>2.4</v>
      </c>
    </row>
    <row r="1753">
      <c r="A1753" s="28" t="n">
        <v>22179</v>
      </c>
      <c r="B1753" t="n">
        <v/>
      </c>
      <c r="C1753" t="n">
        <v>2.39</v>
      </c>
    </row>
    <row r="1754">
      <c r="A1754" s="28" t="n">
        <v>22180</v>
      </c>
      <c r="B1754" t="n">
        <v/>
      </c>
      <c r="C1754" t="n">
        <v>2.46</v>
      </c>
    </row>
    <row r="1755">
      <c r="A1755" s="28" t="n">
        <v>22181</v>
      </c>
      <c r="B1755" t="n">
        <v/>
      </c>
      <c r="C1755" t="n">
        <v>2.5</v>
      </c>
    </row>
    <row r="1756">
      <c r="A1756" s="28" t="n">
        <v>22182</v>
      </c>
      <c r="B1756" t="n">
        <v/>
      </c>
      <c r="C1756" t="n">
        <v>2.4</v>
      </c>
    </row>
    <row r="1757">
      <c r="A1757" s="28" t="n">
        <v>22185</v>
      </c>
      <c r="B1757" t="n">
        <v/>
      </c>
      <c r="C1757" t="n">
        <v>2.34</v>
      </c>
    </row>
    <row r="1758">
      <c r="A1758" s="28" t="n">
        <v>22186</v>
      </c>
      <c r="B1758" t="n">
        <v/>
      </c>
      <c r="C1758" t="n">
        <v>2.4</v>
      </c>
    </row>
    <row r="1759">
      <c r="A1759" s="28" t="n">
        <v>22187</v>
      </c>
      <c r="B1759" t="n">
        <v/>
      </c>
      <c r="C1759" t="n">
        <v>2.37</v>
      </c>
    </row>
    <row r="1760">
      <c r="A1760" s="28" t="n">
        <v>22188</v>
      </c>
      <c r="B1760" t="n">
        <v/>
      </c>
      <c r="C1760" t="n">
        <v>2.33</v>
      </c>
    </row>
    <row r="1761">
      <c r="A1761" s="28" t="n">
        <v>22189</v>
      </c>
      <c r="B1761" t="n">
        <v/>
      </c>
      <c r="C1761" t="n">
        <v>2.3</v>
      </c>
    </row>
    <row r="1762">
      <c r="A1762" s="28" t="n">
        <v>22192</v>
      </c>
      <c r="B1762" t="n">
        <v/>
      </c>
      <c r="C1762" t="n">
        <v>2.31</v>
      </c>
    </row>
    <row r="1763">
      <c r="A1763" s="28" t="n">
        <v>22193</v>
      </c>
      <c r="B1763" t="n">
        <v/>
      </c>
      <c r="C1763" t="n">
        <v>2.27</v>
      </c>
    </row>
    <row r="1764">
      <c r="A1764" s="28" t="n">
        <v>22194</v>
      </c>
      <c r="B1764" t="n">
        <v/>
      </c>
      <c r="C1764" t="n">
        <v>2.45</v>
      </c>
    </row>
    <row r="1765">
      <c r="A1765" s="28" t="n">
        <v>22195</v>
      </c>
      <c r="B1765" t="n">
        <v/>
      </c>
      <c r="C1765" t="n">
        <v>2.47</v>
      </c>
    </row>
    <row r="1766">
      <c r="A1766" s="28" t="n">
        <v>22196</v>
      </c>
      <c r="B1766" t="n">
        <v/>
      </c>
      <c r="C1766" t="n">
        <v>2.53</v>
      </c>
    </row>
    <row r="1767">
      <c r="A1767" s="28" t="n">
        <v>22199</v>
      </c>
      <c r="B1767" t="n">
        <v/>
      </c>
      <c r="C1767" t="n">
        <v>2.61</v>
      </c>
    </row>
    <row r="1768">
      <c r="A1768" s="28" t="n">
        <v>22200</v>
      </c>
      <c r="B1768" t="n">
        <v/>
      </c>
      <c r="C1768" t="n">
        <v>2.53</v>
      </c>
    </row>
    <row r="1769">
      <c r="A1769" s="28" t="n">
        <v>22201</v>
      </c>
      <c r="B1769" t="n">
        <v/>
      </c>
      <c r="C1769" t="n">
        <v>0</v>
      </c>
    </row>
    <row r="1770">
      <c r="A1770" s="28" t="n">
        <v>22202</v>
      </c>
      <c r="B1770" t="n">
        <v/>
      </c>
      <c r="C1770" t="n">
        <v>2.6</v>
      </c>
    </row>
    <row r="1771">
      <c r="A1771" s="28" t="n">
        <v>22203</v>
      </c>
      <c r="B1771" t="n">
        <v/>
      </c>
      <c r="C1771" t="n">
        <v>2.44</v>
      </c>
    </row>
    <row r="1772">
      <c r="A1772" s="28" t="n">
        <v>22206</v>
      </c>
      <c r="B1772" t="n">
        <v/>
      </c>
      <c r="C1772" t="n">
        <v>2.33</v>
      </c>
    </row>
    <row r="1773">
      <c r="A1773" s="28" t="n">
        <v>22207</v>
      </c>
      <c r="B1773" t="n">
        <v/>
      </c>
      <c r="C1773" t="n">
        <v>2.25</v>
      </c>
    </row>
    <row r="1774">
      <c r="A1774" s="28" t="n">
        <v>22208</v>
      </c>
      <c r="B1774" t="n">
        <v/>
      </c>
      <c r="C1774" t="n">
        <v>2.3</v>
      </c>
    </row>
    <row r="1775">
      <c r="A1775" s="28" t="n">
        <v>22209</v>
      </c>
      <c r="B1775" t="n">
        <v/>
      </c>
      <c r="C1775" t="n">
        <v>2.12</v>
      </c>
    </row>
    <row r="1776">
      <c r="A1776" s="28" t="n">
        <v>22210</v>
      </c>
      <c r="B1776" t="n">
        <v/>
      </c>
      <c r="C1776" t="n">
        <v>2.15</v>
      </c>
    </row>
    <row r="1777">
      <c r="A1777" s="28" t="n">
        <v>22213</v>
      </c>
      <c r="B1777" t="n">
        <v/>
      </c>
      <c r="C1777" t="n">
        <v>2.11</v>
      </c>
    </row>
    <row r="1778">
      <c r="A1778" s="28" t="n">
        <v>22214</v>
      </c>
      <c r="B1778" t="n">
        <v/>
      </c>
      <c r="C1778" t="n">
        <v>2.12</v>
      </c>
    </row>
    <row r="1779">
      <c r="A1779" s="28" t="n">
        <v>22215</v>
      </c>
      <c r="B1779" t="n">
        <v/>
      </c>
      <c r="C1779" t="n">
        <v>2.17</v>
      </c>
    </row>
    <row r="1780">
      <c r="A1780" s="28" t="n">
        <v>22216</v>
      </c>
      <c r="B1780" t="n">
        <v/>
      </c>
      <c r="C1780" t="n">
        <v>2.1</v>
      </c>
    </row>
    <row r="1781">
      <c r="A1781" s="28" t="n">
        <v>22217</v>
      </c>
      <c r="B1781" t="n">
        <v/>
      </c>
      <c r="C1781" t="n">
        <v>2.07</v>
      </c>
    </row>
    <row r="1782">
      <c r="A1782" s="28" t="n">
        <v>22220</v>
      </c>
      <c r="B1782" t="n">
        <v/>
      </c>
      <c r="C1782" t="n">
        <v>2.12</v>
      </c>
    </row>
    <row r="1783">
      <c r="A1783" s="28" t="n">
        <v>22221</v>
      </c>
      <c r="B1783" t="n">
        <v/>
      </c>
      <c r="C1783" t="n">
        <v>2.25</v>
      </c>
    </row>
    <row r="1784">
      <c r="A1784" s="28" t="n">
        <v>22222</v>
      </c>
      <c r="B1784" t="n">
        <v/>
      </c>
      <c r="C1784" t="n">
        <v>2.2</v>
      </c>
    </row>
    <row r="1785">
      <c r="A1785" s="28" t="n">
        <v>22223</v>
      </c>
      <c r="B1785" t="n">
        <v/>
      </c>
      <c r="C1785" t="n">
        <v>2.21</v>
      </c>
    </row>
    <row r="1786">
      <c r="A1786" s="28" t="n">
        <v>22224</v>
      </c>
      <c r="B1786" t="n">
        <v/>
      </c>
      <c r="C1786" t="n">
        <v>2.22</v>
      </c>
    </row>
    <row r="1787">
      <c r="A1787" s="28" t="n">
        <v>22227</v>
      </c>
      <c r="B1787" t="n">
        <v/>
      </c>
      <c r="C1787" t="n">
        <v>2.34</v>
      </c>
    </row>
    <row r="1788">
      <c r="A1788" s="28" t="n">
        <v>22228</v>
      </c>
      <c r="B1788" t="n">
        <v/>
      </c>
      <c r="C1788" t="n">
        <v>0</v>
      </c>
    </row>
    <row r="1789">
      <c r="A1789" s="28" t="n">
        <v>22229</v>
      </c>
      <c r="B1789" t="n">
        <v/>
      </c>
      <c r="C1789" t="n">
        <v>2.41</v>
      </c>
    </row>
    <row r="1790">
      <c r="A1790" s="28" t="n">
        <v>22230</v>
      </c>
      <c r="B1790" t="n">
        <v/>
      </c>
      <c r="C1790" t="n">
        <v>2.45</v>
      </c>
    </row>
    <row r="1791">
      <c r="A1791" s="28" t="n">
        <v>22231</v>
      </c>
      <c r="B1791" t="n">
        <v/>
      </c>
      <c r="C1791" t="n">
        <v>0</v>
      </c>
    </row>
    <row r="1792">
      <c r="A1792" s="28" t="n">
        <v>22234</v>
      </c>
      <c r="B1792" t="n">
        <v/>
      </c>
      <c r="C1792" t="n">
        <v>2.52</v>
      </c>
    </row>
    <row r="1793">
      <c r="A1793" s="28" t="n">
        <v>22235</v>
      </c>
      <c r="B1793" t="n">
        <v/>
      </c>
      <c r="C1793" t="n">
        <v>2.52</v>
      </c>
    </row>
    <row r="1794">
      <c r="A1794" s="28" t="n">
        <v>22236</v>
      </c>
      <c r="B1794" t="n">
        <v/>
      </c>
      <c r="C1794" t="n">
        <v>2.49</v>
      </c>
    </row>
    <row r="1795">
      <c r="A1795" s="28" t="n">
        <v>22237</v>
      </c>
      <c r="B1795" t="n">
        <v/>
      </c>
      <c r="C1795" t="n">
        <v>2.4</v>
      </c>
    </row>
    <row r="1796">
      <c r="A1796" s="28" t="n">
        <v>22238</v>
      </c>
      <c r="B1796" t="n">
        <v/>
      </c>
      <c r="C1796" t="n">
        <v>2.37</v>
      </c>
    </row>
    <row r="1797">
      <c r="A1797" s="28" t="n">
        <v>22241</v>
      </c>
      <c r="B1797" t="n">
        <v/>
      </c>
      <c r="C1797" t="n">
        <v>2.35</v>
      </c>
    </row>
    <row r="1798">
      <c r="A1798" s="28" t="n">
        <v>22242</v>
      </c>
      <c r="B1798" t="n">
        <v/>
      </c>
      <c r="C1798" t="n">
        <v>2.38</v>
      </c>
    </row>
    <row r="1799">
      <c r="A1799" s="28" t="n">
        <v>22243</v>
      </c>
      <c r="B1799" t="n">
        <v/>
      </c>
      <c r="C1799" t="n">
        <v>2.41</v>
      </c>
    </row>
    <row r="1800">
      <c r="A1800" s="28" t="n">
        <v>22244</v>
      </c>
      <c r="B1800" t="n">
        <v/>
      </c>
      <c r="C1800" t="n">
        <v>0</v>
      </c>
    </row>
    <row r="1801">
      <c r="A1801" s="28" t="n">
        <v>22245</v>
      </c>
      <c r="B1801" t="n">
        <v/>
      </c>
      <c r="C1801" t="n">
        <v>2.39</v>
      </c>
    </row>
    <row r="1802">
      <c r="A1802" s="28" t="n">
        <v>22248</v>
      </c>
      <c r="B1802" t="n">
        <v/>
      </c>
      <c r="C1802" t="n">
        <v>2.32</v>
      </c>
    </row>
    <row r="1803">
      <c r="A1803" s="28" t="n">
        <v>22249</v>
      </c>
      <c r="B1803" t="n">
        <v/>
      </c>
      <c r="C1803" t="n">
        <v>2.4</v>
      </c>
    </row>
    <row r="1804">
      <c r="A1804" s="28" t="n">
        <v>22250</v>
      </c>
      <c r="B1804" t="n">
        <v/>
      </c>
      <c r="C1804" t="n">
        <v>2.4</v>
      </c>
    </row>
    <row r="1805">
      <c r="A1805" s="28" t="n">
        <v>22251</v>
      </c>
      <c r="B1805" t="n">
        <v/>
      </c>
      <c r="C1805" t="n">
        <v>2.33</v>
      </c>
    </row>
    <row r="1806">
      <c r="A1806" s="28" t="n">
        <v>22252</v>
      </c>
      <c r="B1806" t="n">
        <v/>
      </c>
      <c r="C1806" t="n">
        <v>2.3</v>
      </c>
    </row>
    <row r="1807">
      <c r="A1807" s="28" t="n">
        <v>22255</v>
      </c>
      <c r="B1807" t="n">
        <v/>
      </c>
      <c r="C1807" t="n">
        <v>2.28</v>
      </c>
    </row>
    <row r="1808">
      <c r="A1808" s="28" t="n">
        <v>22256</v>
      </c>
      <c r="B1808" t="n">
        <v/>
      </c>
      <c r="C1808" t="n">
        <v>2.3</v>
      </c>
    </row>
    <row r="1809">
      <c r="A1809" s="28" t="n">
        <v>22257</v>
      </c>
      <c r="B1809" t="n">
        <v/>
      </c>
      <c r="C1809" t="n">
        <v>2.32</v>
      </c>
    </row>
    <row r="1810">
      <c r="A1810" s="28" t="n">
        <v>22258</v>
      </c>
      <c r="B1810" t="n">
        <v/>
      </c>
      <c r="C1810" t="n">
        <v>2.26</v>
      </c>
    </row>
    <row r="1811">
      <c r="A1811" s="28" t="n">
        <v>22259</v>
      </c>
      <c r="B1811" t="n">
        <v/>
      </c>
      <c r="C1811" t="n">
        <v>2.26</v>
      </c>
    </row>
    <row r="1812">
      <c r="A1812" s="28" t="n">
        <v>22262</v>
      </c>
      <c r="B1812" t="n">
        <v/>
      </c>
      <c r="C1812" t="n">
        <v>2.28</v>
      </c>
    </row>
    <row r="1813">
      <c r="A1813" s="28" t="n">
        <v>22263</v>
      </c>
      <c r="B1813" t="n">
        <v/>
      </c>
      <c r="C1813" t="n">
        <v>2.26</v>
      </c>
    </row>
    <row r="1814">
      <c r="A1814" s="28" t="n">
        <v>22264</v>
      </c>
      <c r="B1814" t="n">
        <v/>
      </c>
      <c r="C1814" t="n">
        <v>2.23</v>
      </c>
    </row>
    <row r="1815">
      <c r="A1815" s="28" t="n">
        <v>22265</v>
      </c>
      <c r="B1815" t="n">
        <v/>
      </c>
      <c r="C1815" t="n">
        <v>2.25</v>
      </c>
    </row>
    <row r="1816">
      <c r="A1816" s="28" t="n">
        <v>22266</v>
      </c>
      <c r="B1816" t="n">
        <v/>
      </c>
      <c r="C1816" t="n">
        <v>2.24</v>
      </c>
    </row>
    <row r="1817">
      <c r="A1817" s="28" t="n">
        <v>22269</v>
      </c>
      <c r="B1817" t="n">
        <v/>
      </c>
      <c r="C1817" t="n">
        <v>2.23</v>
      </c>
    </row>
    <row r="1818">
      <c r="A1818" s="28" t="n">
        <v>22270</v>
      </c>
      <c r="B1818" t="n">
        <v/>
      </c>
      <c r="C1818" t="n">
        <v>2.3</v>
      </c>
    </row>
    <row r="1819">
      <c r="A1819" s="28" t="n">
        <v>22271</v>
      </c>
      <c r="B1819" t="n">
        <v/>
      </c>
      <c r="C1819" t="n">
        <v>2.26</v>
      </c>
    </row>
    <row r="1820">
      <c r="A1820" s="28" t="n">
        <v>22272</v>
      </c>
      <c r="B1820" t="n">
        <v/>
      </c>
      <c r="C1820" t="n">
        <v>2.22</v>
      </c>
    </row>
    <row r="1821">
      <c r="A1821" s="28" t="n">
        <v>22273</v>
      </c>
      <c r="B1821" t="n">
        <v/>
      </c>
      <c r="C1821" t="n">
        <v>2.18</v>
      </c>
    </row>
    <row r="1822">
      <c r="A1822" s="28" t="n">
        <v>22276</v>
      </c>
      <c r="B1822" t="n">
        <v/>
      </c>
      <c r="C1822" t="n">
        <v>0</v>
      </c>
    </row>
    <row r="1823">
      <c r="A1823" s="28" t="n">
        <v>22277</v>
      </c>
      <c r="B1823" t="n">
        <v/>
      </c>
      <c r="C1823" t="n">
        <v>2.21</v>
      </c>
    </row>
    <row r="1824">
      <c r="A1824" s="28" t="n">
        <v>22278</v>
      </c>
      <c r="B1824" t="n">
        <v/>
      </c>
      <c r="C1824" t="n">
        <v>2.16</v>
      </c>
    </row>
    <row r="1825">
      <c r="A1825" s="28" t="n">
        <v>22279</v>
      </c>
      <c r="B1825" t="n">
        <v/>
      </c>
      <c r="C1825" t="n">
        <v>2.17</v>
      </c>
    </row>
    <row r="1826">
      <c r="A1826" s="28" t="n">
        <v>22280</v>
      </c>
      <c r="B1826" t="n">
        <v/>
      </c>
      <c r="C1826" t="n">
        <v>2.2</v>
      </c>
    </row>
    <row r="1827">
      <c r="A1827" s="28" t="n">
        <v>22283</v>
      </c>
      <c r="B1827" t="n">
        <v/>
      </c>
      <c r="C1827" t="n">
        <v>0</v>
      </c>
    </row>
    <row r="1828">
      <c r="A1828" s="28" t="n">
        <v>22284</v>
      </c>
      <c r="B1828" t="n">
        <v/>
      </c>
      <c r="C1828" t="n">
        <v>2.3</v>
      </c>
    </row>
    <row r="1829">
      <c r="A1829" s="28" t="n">
        <v>22285</v>
      </c>
      <c r="B1829" t="n">
        <v/>
      </c>
      <c r="C1829" t="n">
        <v>2.26</v>
      </c>
    </row>
    <row r="1830">
      <c r="A1830" s="28" t="n">
        <v>22286</v>
      </c>
      <c r="B1830" t="n">
        <v/>
      </c>
      <c r="C1830" t="n">
        <v>2.27</v>
      </c>
    </row>
    <row r="1831">
      <c r="A1831" s="28" t="n">
        <v>22287</v>
      </c>
      <c r="B1831" t="n">
        <v/>
      </c>
      <c r="C1831" t="n">
        <v>2.28</v>
      </c>
    </row>
    <row r="1832">
      <c r="A1832" s="28" t="n">
        <v>22290</v>
      </c>
      <c r="B1832" t="n">
        <v/>
      </c>
      <c r="C1832" t="n">
        <v>2.31</v>
      </c>
    </row>
    <row r="1833">
      <c r="A1833" s="28" t="n">
        <v>22291</v>
      </c>
      <c r="B1833" t="n">
        <v/>
      </c>
      <c r="C1833" t="n">
        <v>2.27</v>
      </c>
    </row>
    <row r="1834">
      <c r="A1834" s="28" t="n">
        <v>22292</v>
      </c>
      <c r="B1834" t="n">
        <v/>
      </c>
      <c r="C1834" t="n">
        <v>2.26</v>
      </c>
    </row>
    <row r="1835">
      <c r="A1835" s="28" t="n">
        <v>22293</v>
      </c>
      <c r="B1835" t="n">
        <v/>
      </c>
      <c r="C1835" t="n">
        <v>2.27</v>
      </c>
    </row>
    <row r="1836">
      <c r="A1836" s="28" t="n">
        <v>22294</v>
      </c>
      <c r="B1836" t="n">
        <v/>
      </c>
      <c r="C1836" t="n">
        <v>2.27</v>
      </c>
    </row>
    <row r="1837">
      <c r="A1837" s="28" t="n">
        <v>22297</v>
      </c>
      <c r="B1837" t="n">
        <v/>
      </c>
      <c r="C1837" t="n">
        <v>2.25</v>
      </c>
    </row>
    <row r="1838">
      <c r="A1838" s="28" t="n">
        <v>22298</v>
      </c>
      <c r="B1838" t="n">
        <v/>
      </c>
      <c r="C1838" t="n">
        <v>2.2</v>
      </c>
    </row>
    <row r="1839">
      <c r="A1839" s="28" t="n">
        <v>22299</v>
      </c>
      <c r="B1839" t="n">
        <v/>
      </c>
      <c r="C1839" t="n">
        <v>2.29</v>
      </c>
    </row>
    <row r="1840">
      <c r="A1840" s="28" t="n">
        <v>22300</v>
      </c>
      <c r="B1840" t="n">
        <v/>
      </c>
      <c r="C1840" t="n">
        <v>2.27</v>
      </c>
    </row>
    <row r="1841">
      <c r="A1841" s="28" t="n">
        <v>22301</v>
      </c>
      <c r="B1841" t="n">
        <v/>
      </c>
      <c r="C1841" t="n">
        <v>2.22</v>
      </c>
    </row>
    <row r="1842">
      <c r="A1842" s="28" t="n">
        <v>22304</v>
      </c>
      <c r="B1842" t="n">
        <v/>
      </c>
      <c r="C1842" t="n">
        <v>2.16</v>
      </c>
    </row>
    <row r="1843">
      <c r="A1843" s="28" t="n">
        <v>22305</v>
      </c>
      <c r="B1843" t="n">
        <v/>
      </c>
      <c r="C1843" t="n">
        <v>2.15</v>
      </c>
    </row>
    <row r="1844">
      <c r="A1844" s="28" t="n">
        <v>22306</v>
      </c>
      <c r="B1844" t="n">
        <v/>
      </c>
      <c r="C1844" t="n">
        <v>2.2</v>
      </c>
    </row>
    <row r="1845">
      <c r="A1845" s="28" t="n">
        <v>22307</v>
      </c>
      <c r="B1845" t="n">
        <v/>
      </c>
      <c r="C1845" t="n">
        <v>2.17</v>
      </c>
    </row>
    <row r="1846">
      <c r="A1846" s="28" t="n">
        <v>22308</v>
      </c>
      <c r="B1846" t="n">
        <v/>
      </c>
      <c r="C1846" t="n">
        <v>2.18</v>
      </c>
    </row>
    <row r="1847">
      <c r="A1847" s="28" t="n">
        <v>22311</v>
      </c>
      <c r="B1847" t="n">
        <v/>
      </c>
      <c r="C1847" t="n">
        <v>2.24</v>
      </c>
    </row>
    <row r="1848">
      <c r="A1848" s="28" t="n">
        <v>22312</v>
      </c>
      <c r="B1848" t="n">
        <v/>
      </c>
      <c r="C1848" t="n">
        <v>2.28</v>
      </c>
    </row>
    <row r="1849">
      <c r="A1849" s="28" t="n">
        <v>22313</v>
      </c>
      <c r="B1849" t="n">
        <v/>
      </c>
      <c r="C1849" t="n">
        <v>2.35</v>
      </c>
    </row>
    <row r="1850">
      <c r="A1850" s="28" t="n">
        <v>22314</v>
      </c>
      <c r="B1850" t="n">
        <v/>
      </c>
      <c r="C1850" t="n">
        <v>2.31</v>
      </c>
    </row>
    <row r="1851">
      <c r="A1851" s="28" t="n">
        <v>22315</v>
      </c>
      <c r="B1851" t="n">
        <v/>
      </c>
      <c r="C1851" t="n">
        <v>2.28</v>
      </c>
    </row>
    <row r="1852">
      <c r="A1852" s="28" t="n">
        <v>22318</v>
      </c>
      <c r="B1852" t="n">
        <v/>
      </c>
      <c r="C1852" t="n">
        <v>2.32</v>
      </c>
    </row>
    <row r="1853">
      <c r="A1853" s="28" t="n">
        <v>22319</v>
      </c>
      <c r="B1853" t="n">
        <v/>
      </c>
      <c r="C1853" t="n">
        <v>2.33</v>
      </c>
    </row>
    <row r="1854">
      <c r="A1854" s="28" t="n">
        <v>22320</v>
      </c>
      <c r="B1854" t="n">
        <v/>
      </c>
      <c r="C1854" t="n">
        <v>2.36</v>
      </c>
    </row>
    <row r="1855">
      <c r="A1855" s="28" t="n">
        <v>22321</v>
      </c>
      <c r="B1855" t="n">
        <v/>
      </c>
      <c r="C1855" t="n">
        <v>2.36</v>
      </c>
    </row>
    <row r="1856">
      <c r="A1856" s="28" t="n">
        <v>22322</v>
      </c>
      <c r="B1856" t="n">
        <v/>
      </c>
      <c r="C1856" t="n">
        <v>2.39</v>
      </c>
    </row>
    <row r="1857">
      <c r="A1857" s="28" t="n">
        <v>22325</v>
      </c>
      <c r="B1857" t="n">
        <v/>
      </c>
      <c r="C1857" t="n">
        <v>0</v>
      </c>
    </row>
    <row r="1858">
      <c r="A1858" s="28" t="n">
        <v>22326</v>
      </c>
      <c r="B1858" t="n">
        <v/>
      </c>
      <c r="C1858" t="n">
        <v>2.4</v>
      </c>
    </row>
    <row r="1859">
      <c r="A1859" s="28" t="n">
        <v>22327</v>
      </c>
      <c r="B1859" t="n">
        <v/>
      </c>
      <c r="C1859" t="n">
        <v>2.44</v>
      </c>
    </row>
    <row r="1860">
      <c r="A1860" s="28" t="n">
        <v>22328</v>
      </c>
      <c r="B1860" t="n">
        <v/>
      </c>
      <c r="C1860" t="n">
        <v>2.38</v>
      </c>
    </row>
    <row r="1861">
      <c r="A1861" s="28" t="n">
        <v>22329</v>
      </c>
      <c r="B1861" t="n">
        <v/>
      </c>
      <c r="C1861" t="n">
        <v>2.4</v>
      </c>
    </row>
    <row r="1862">
      <c r="A1862" s="28" t="n">
        <v>22332</v>
      </c>
      <c r="B1862" t="n">
        <v/>
      </c>
      <c r="C1862" t="n">
        <v>2.45</v>
      </c>
    </row>
    <row r="1863">
      <c r="A1863" s="28" t="n">
        <v>22333</v>
      </c>
      <c r="B1863" t="n">
        <v/>
      </c>
      <c r="C1863" t="n">
        <v>2.52</v>
      </c>
    </row>
    <row r="1864">
      <c r="A1864" s="28" t="n">
        <v>22334</v>
      </c>
      <c r="B1864" t="n">
        <v/>
      </c>
      <c r="C1864" t="n">
        <v>0</v>
      </c>
    </row>
    <row r="1865">
      <c r="A1865" s="28" t="n">
        <v>22335</v>
      </c>
      <c r="B1865" t="n">
        <v/>
      </c>
      <c r="C1865" t="n">
        <v>2.54</v>
      </c>
    </row>
    <row r="1866">
      <c r="A1866" s="28" t="n">
        <v>22336</v>
      </c>
      <c r="B1866" t="n">
        <v/>
      </c>
      <c r="C1866" t="n">
        <v>2.52</v>
      </c>
    </row>
    <row r="1867">
      <c r="A1867" s="28" t="n">
        <v>22339</v>
      </c>
      <c r="B1867" t="n">
        <v/>
      </c>
      <c r="C1867" t="n">
        <v>2.56</v>
      </c>
    </row>
    <row r="1868">
      <c r="A1868" s="28" t="n">
        <v>22340</v>
      </c>
      <c r="B1868" t="n">
        <v/>
      </c>
      <c r="C1868" t="n">
        <v>2.58</v>
      </c>
    </row>
    <row r="1869">
      <c r="A1869" s="28" t="n">
        <v>22341</v>
      </c>
      <c r="B1869" t="n">
        <v/>
      </c>
      <c r="C1869" t="n">
        <v>2.6</v>
      </c>
    </row>
    <row r="1870">
      <c r="A1870" s="28" t="n">
        <v>22342</v>
      </c>
      <c r="B1870" t="n">
        <v/>
      </c>
      <c r="C1870" t="n">
        <v>2.54</v>
      </c>
    </row>
    <row r="1871">
      <c r="A1871" s="28" t="n">
        <v>22343</v>
      </c>
      <c r="B1871" t="n">
        <v/>
      </c>
      <c r="C1871" t="n">
        <v>2.51</v>
      </c>
    </row>
    <row r="1872">
      <c r="A1872" s="28" t="n">
        <v>22346</v>
      </c>
      <c r="B1872" t="n">
        <v/>
      </c>
      <c r="C1872" t="n">
        <v>2.45</v>
      </c>
    </row>
    <row r="1873">
      <c r="A1873" s="28" t="n">
        <v>22347</v>
      </c>
      <c r="B1873" t="n">
        <v/>
      </c>
      <c r="C1873" t="n">
        <v>2.46</v>
      </c>
    </row>
    <row r="1874">
      <c r="A1874" s="28" t="n">
        <v>22348</v>
      </c>
      <c r="B1874" t="n">
        <v/>
      </c>
      <c r="C1874" t="n">
        <v>2.44</v>
      </c>
    </row>
    <row r="1875">
      <c r="A1875" s="28" t="n">
        <v>22349</v>
      </c>
      <c r="B1875" t="n">
        <v/>
      </c>
      <c r="C1875" t="n">
        <v>2.43</v>
      </c>
    </row>
    <row r="1876">
      <c r="A1876" s="28" t="n">
        <v>22350</v>
      </c>
      <c r="B1876" t="n">
        <v/>
      </c>
      <c r="C1876" t="n">
        <v>2.42</v>
      </c>
    </row>
    <row r="1877">
      <c r="A1877" s="28" t="n">
        <v>22353</v>
      </c>
      <c r="B1877" t="n">
        <v/>
      </c>
      <c r="C1877" t="n">
        <v>2.38</v>
      </c>
    </row>
    <row r="1878">
      <c r="A1878" s="28" t="n">
        <v>22354</v>
      </c>
      <c r="B1878" t="n">
        <v/>
      </c>
      <c r="C1878" t="n">
        <v>2.37</v>
      </c>
    </row>
    <row r="1879">
      <c r="A1879" s="28" t="n">
        <v>22355</v>
      </c>
      <c r="B1879" t="n">
        <v/>
      </c>
      <c r="C1879" t="n">
        <v>2.36</v>
      </c>
    </row>
    <row r="1880">
      <c r="A1880" s="28" t="n">
        <v>22356</v>
      </c>
      <c r="B1880" t="n">
        <v/>
      </c>
      <c r="C1880" t="n">
        <v>2.33</v>
      </c>
    </row>
    <row r="1881">
      <c r="A1881" s="28" t="n">
        <v>22357</v>
      </c>
      <c r="B1881" t="n">
        <v/>
      </c>
      <c r="C1881" t="n">
        <v>2.3</v>
      </c>
    </row>
    <row r="1882">
      <c r="A1882" s="28" t="n">
        <v>22360</v>
      </c>
      <c r="B1882" t="n">
        <v/>
      </c>
      <c r="C1882" t="n">
        <v>2.29</v>
      </c>
    </row>
    <row r="1883">
      <c r="A1883" s="28" t="n">
        <v>22361</v>
      </c>
      <c r="B1883" t="n">
        <v/>
      </c>
      <c r="C1883" t="n">
        <v>2.27</v>
      </c>
    </row>
    <row r="1884">
      <c r="A1884" s="28" t="n">
        <v>22362</v>
      </c>
      <c r="B1884" t="n">
        <v/>
      </c>
      <c r="C1884" t="n">
        <v>2.24</v>
      </c>
    </row>
    <row r="1885">
      <c r="A1885" s="28" t="n">
        <v>22363</v>
      </c>
      <c r="B1885" t="n">
        <v/>
      </c>
      <c r="C1885" t="n">
        <v>2.29</v>
      </c>
    </row>
    <row r="1886">
      <c r="A1886" s="28" t="n">
        <v>22364</v>
      </c>
      <c r="B1886" t="n">
        <v/>
      </c>
      <c r="C1886" t="n">
        <v>2.32</v>
      </c>
    </row>
    <row r="1887">
      <c r="A1887" s="28" t="n">
        <v>22367</v>
      </c>
      <c r="B1887" t="n">
        <v/>
      </c>
      <c r="C1887" t="n">
        <v>2.32</v>
      </c>
    </row>
    <row r="1888">
      <c r="A1888" s="28" t="n">
        <v>22368</v>
      </c>
      <c r="B1888" t="n">
        <v/>
      </c>
      <c r="C1888" t="n">
        <v>2.35</v>
      </c>
    </row>
    <row r="1889">
      <c r="A1889" s="28" t="n">
        <v>22369</v>
      </c>
      <c r="B1889" t="n">
        <v/>
      </c>
      <c r="C1889" t="n">
        <v>2.41</v>
      </c>
    </row>
    <row r="1890">
      <c r="A1890" s="28" t="n">
        <v>22370</v>
      </c>
      <c r="B1890" t="n">
        <v/>
      </c>
      <c r="C1890" t="n">
        <v>2.42</v>
      </c>
    </row>
    <row r="1891">
      <c r="A1891" s="28" t="n">
        <v>22371</v>
      </c>
      <c r="B1891" t="n">
        <v/>
      </c>
      <c r="C1891" t="n">
        <v>0</v>
      </c>
    </row>
    <row r="1892">
      <c r="A1892" s="28" t="n">
        <v>22374</v>
      </c>
      <c r="B1892" t="n">
        <v/>
      </c>
      <c r="C1892" t="n">
        <v>2.4</v>
      </c>
    </row>
    <row r="1893">
      <c r="A1893" s="28" t="n">
        <v>22375</v>
      </c>
      <c r="B1893" t="n">
        <v/>
      </c>
      <c r="C1893" t="n">
        <v>2.39</v>
      </c>
    </row>
    <row r="1894">
      <c r="A1894" s="28" t="n">
        <v>22376</v>
      </c>
      <c r="B1894" t="n">
        <v/>
      </c>
      <c r="C1894" t="n">
        <v>2.39</v>
      </c>
    </row>
    <row r="1895">
      <c r="A1895" s="28" t="n">
        <v>22377</v>
      </c>
      <c r="B1895" t="n">
        <v/>
      </c>
      <c r="C1895" t="n">
        <v>2.32</v>
      </c>
    </row>
    <row r="1896">
      <c r="A1896" s="28" t="n">
        <v>22378</v>
      </c>
      <c r="B1896" t="n">
        <v/>
      </c>
      <c r="C1896" t="n">
        <v>2.3</v>
      </c>
    </row>
    <row r="1897">
      <c r="A1897" s="28" t="n">
        <v>22381</v>
      </c>
      <c r="B1897" t="n">
        <v/>
      </c>
      <c r="C1897" t="n">
        <v>2.3</v>
      </c>
    </row>
    <row r="1898">
      <c r="A1898" s="28" t="n">
        <v>22382</v>
      </c>
      <c r="B1898" t="n">
        <v/>
      </c>
      <c r="C1898" t="n">
        <v>2.3</v>
      </c>
    </row>
    <row r="1899">
      <c r="A1899" s="28" t="n">
        <v>22383</v>
      </c>
      <c r="B1899" t="n">
        <v/>
      </c>
      <c r="C1899" t="n">
        <v>2.34</v>
      </c>
    </row>
    <row r="1900">
      <c r="A1900" s="28" t="n">
        <v>22384</v>
      </c>
      <c r="B1900" t="n">
        <v/>
      </c>
      <c r="C1900" t="n">
        <v>2.33</v>
      </c>
    </row>
    <row r="1901">
      <c r="A1901" s="28" t="n">
        <v>22385</v>
      </c>
      <c r="B1901" t="n">
        <v/>
      </c>
      <c r="C1901" t="n">
        <v>2.3</v>
      </c>
    </row>
    <row r="1902">
      <c r="A1902" s="28" t="n">
        <v>22388</v>
      </c>
      <c r="B1902" t="n">
        <v/>
      </c>
      <c r="C1902" t="n">
        <v>2.28</v>
      </c>
    </row>
    <row r="1903">
      <c r="A1903" s="28" t="n">
        <v>22389</v>
      </c>
      <c r="B1903" t="n">
        <v/>
      </c>
      <c r="C1903" t="n">
        <v>2.26</v>
      </c>
    </row>
    <row r="1904">
      <c r="A1904" s="28" t="n">
        <v>22390</v>
      </c>
      <c r="B1904" t="n">
        <v/>
      </c>
      <c r="C1904" t="n">
        <v>2.26</v>
      </c>
    </row>
    <row r="1905">
      <c r="A1905" s="28" t="n">
        <v>22391</v>
      </c>
      <c r="B1905" t="n">
        <v/>
      </c>
      <c r="C1905" t="n">
        <v>2.22</v>
      </c>
    </row>
    <row r="1906">
      <c r="A1906" s="28" t="n">
        <v>22392</v>
      </c>
      <c r="B1906" t="n">
        <v/>
      </c>
      <c r="C1906" t="n">
        <v>2.23</v>
      </c>
    </row>
    <row r="1907">
      <c r="A1907" s="28" t="n">
        <v>22395</v>
      </c>
      <c r="B1907" t="n">
        <v/>
      </c>
      <c r="C1907" t="n">
        <v>2.18</v>
      </c>
    </row>
    <row r="1908">
      <c r="A1908" s="28" t="n">
        <v>22396</v>
      </c>
      <c r="B1908" t="n">
        <v/>
      </c>
      <c r="C1908" t="n">
        <v>2.2</v>
      </c>
    </row>
    <row r="1909">
      <c r="A1909" s="28" t="n">
        <v>22397</v>
      </c>
      <c r="B1909" t="n">
        <v/>
      </c>
      <c r="C1909" t="n">
        <v>2.24</v>
      </c>
    </row>
    <row r="1910">
      <c r="A1910" s="28" t="n">
        <v>22398</v>
      </c>
      <c r="B1910" t="n">
        <v/>
      </c>
      <c r="C1910" t="n">
        <v>2.27</v>
      </c>
    </row>
    <row r="1911">
      <c r="A1911" s="28" t="n">
        <v>22399</v>
      </c>
      <c r="B1911" t="n">
        <v/>
      </c>
      <c r="C1911" t="n">
        <v>2.27</v>
      </c>
    </row>
    <row r="1912">
      <c r="A1912" s="28" t="n">
        <v>22402</v>
      </c>
      <c r="B1912" t="n">
        <v/>
      </c>
      <c r="C1912" t="n">
        <v>2.27</v>
      </c>
    </row>
    <row r="1913">
      <c r="A1913" s="28" t="n">
        <v>22403</v>
      </c>
      <c r="B1913" t="n">
        <v/>
      </c>
      <c r="C1913" t="n">
        <v>2.25</v>
      </c>
    </row>
    <row r="1914">
      <c r="A1914" s="28" t="n">
        <v>22404</v>
      </c>
      <c r="B1914" t="n">
        <v/>
      </c>
      <c r="C1914" t="n">
        <v>2.21</v>
      </c>
    </row>
    <row r="1915">
      <c r="A1915" s="28" t="n">
        <v>22405</v>
      </c>
      <c r="B1915" t="n">
        <v/>
      </c>
      <c r="C1915" t="n">
        <v>2.19</v>
      </c>
    </row>
    <row r="1916">
      <c r="A1916" s="28" t="n">
        <v>22406</v>
      </c>
      <c r="B1916" t="n">
        <v/>
      </c>
      <c r="C1916" t="n">
        <v>2.18</v>
      </c>
    </row>
    <row r="1917">
      <c r="A1917" s="28" t="n">
        <v>22409</v>
      </c>
      <c r="B1917" t="n">
        <v/>
      </c>
      <c r="C1917" t="n">
        <v>2.21</v>
      </c>
    </row>
    <row r="1918">
      <c r="A1918" s="28" t="n">
        <v>22410</v>
      </c>
      <c r="B1918" t="n">
        <v/>
      </c>
      <c r="C1918" t="n">
        <v>2.24</v>
      </c>
    </row>
    <row r="1919">
      <c r="A1919" s="28" t="n">
        <v>22411</v>
      </c>
      <c r="B1919" t="n">
        <v/>
      </c>
      <c r="C1919" t="n">
        <v>2.23</v>
      </c>
    </row>
    <row r="1920">
      <c r="A1920" s="28" t="n">
        <v>22412</v>
      </c>
      <c r="B1920" t="n">
        <v/>
      </c>
      <c r="C1920" t="n">
        <v>2.23</v>
      </c>
    </row>
    <row r="1921">
      <c r="A1921" s="28" t="n">
        <v>22413</v>
      </c>
      <c r="B1921" t="n">
        <v/>
      </c>
      <c r="C1921" t="n">
        <v>2.22</v>
      </c>
    </row>
    <row r="1922">
      <c r="A1922" s="28" t="n">
        <v>22416</v>
      </c>
      <c r="B1922" t="n">
        <v/>
      </c>
      <c r="C1922" t="n">
        <v>2.24</v>
      </c>
    </row>
    <row r="1923">
      <c r="A1923" s="28" t="n">
        <v>22417</v>
      </c>
      <c r="B1923" t="n">
        <v/>
      </c>
      <c r="C1923" t="n">
        <v>2.25</v>
      </c>
    </row>
    <row r="1924">
      <c r="A1924" s="28" t="n">
        <v>22418</v>
      </c>
      <c r="B1924" t="n">
        <v/>
      </c>
      <c r="C1924" t="n">
        <v>2.33</v>
      </c>
    </row>
    <row r="1925">
      <c r="A1925" s="28" t="n">
        <v>22419</v>
      </c>
      <c r="B1925" t="n">
        <v/>
      </c>
      <c r="C1925" t="n">
        <v>2.32</v>
      </c>
    </row>
    <row r="1926">
      <c r="A1926" s="28" t="n">
        <v>22420</v>
      </c>
      <c r="B1926" t="n">
        <v/>
      </c>
      <c r="C1926" t="n">
        <v>2.29</v>
      </c>
    </row>
    <row r="1927">
      <c r="A1927" s="28" t="n">
        <v>22423</v>
      </c>
      <c r="B1927" t="n">
        <v/>
      </c>
      <c r="C1927" t="n">
        <v>2.32</v>
      </c>
    </row>
    <row r="1928">
      <c r="A1928" s="28" t="n">
        <v>22424</v>
      </c>
      <c r="B1928" t="n">
        <v/>
      </c>
      <c r="C1928" t="n">
        <v>2.36</v>
      </c>
    </row>
    <row r="1929">
      <c r="A1929" s="28" t="n">
        <v>22425</v>
      </c>
      <c r="B1929" t="n">
        <v/>
      </c>
      <c r="C1929" t="n">
        <v>2.44</v>
      </c>
    </row>
    <row r="1930">
      <c r="A1930" s="28" t="n">
        <v>22426</v>
      </c>
      <c r="B1930" t="n">
        <v/>
      </c>
      <c r="C1930" t="n">
        <v>2.42</v>
      </c>
    </row>
    <row r="1931">
      <c r="A1931" s="28" t="n">
        <v>22427</v>
      </c>
      <c r="B1931" t="n">
        <v/>
      </c>
      <c r="C1931" t="n">
        <v>2.39</v>
      </c>
    </row>
    <row r="1932">
      <c r="A1932" s="28" t="n">
        <v>22430</v>
      </c>
      <c r="B1932" t="n">
        <v/>
      </c>
      <c r="C1932" t="n">
        <v>2.36</v>
      </c>
    </row>
    <row r="1933">
      <c r="A1933" s="28" t="n">
        <v>22431</v>
      </c>
      <c r="B1933" t="n">
        <v/>
      </c>
      <c r="C1933" t="n">
        <v>0</v>
      </c>
    </row>
    <row r="1934">
      <c r="A1934" s="28" t="n">
        <v>22432</v>
      </c>
      <c r="B1934" t="n">
        <v/>
      </c>
      <c r="C1934" t="n">
        <v>2.34</v>
      </c>
    </row>
    <row r="1935">
      <c r="A1935" s="28" t="n">
        <v>22433</v>
      </c>
      <c r="B1935" t="n">
        <v/>
      </c>
      <c r="C1935" t="n">
        <v>2.37</v>
      </c>
    </row>
    <row r="1936">
      <c r="A1936" s="28" t="n">
        <v>22434</v>
      </c>
      <c r="B1936" t="n">
        <v/>
      </c>
      <c r="C1936" t="n">
        <v>2.47</v>
      </c>
    </row>
    <row r="1937">
      <c r="A1937" s="28" t="n">
        <v>22437</v>
      </c>
      <c r="B1937" t="n">
        <v/>
      </c>
      <c r="C1937" t="n">
        <v>2.49</v>
      </c>
    </row>
    <row r="1938">
      <c r="A1938" s="28" t="n">
        <v>22438</v>
      </c>
      <c r="B1938" t="n">
        <v/>
      </c>
      <c r="C1938" t="n">
        <v>2.42</v>
      </c>
    </row>
    <row r="1939">
      <c r="A1939" s="28" t="n">
        <v>22439</v>
      </c>
      <c r="B1939" t="n">
        <v/>
      </c>
      <c r="C1939" t="n">
        <v>2.39</v>
      </c>
    </row>
    <row r="1940">
      <c r="A1940" s="28" t="n">
        <v>22440</v>
      </c>
      <c r="B1940" t="n">
        <v/>
      </c>
      <c r="C1940" t="n">
        <v>2.36</v>
      </c>
    </row>
    <row r="1941">
      <c r="A1941" s="28" t="n">
        <v>22441</v>
      </c>
      <c r="B1941" t="n">
        <v/>
      </c>
      <c r="C1941" t="n">
        <v>2.35</v>
      </c>
    </row>
    <row r="1942">
      <c r="A1942" s="28" t="n">
        <v>22444</v>
      </c>
      <c r="B1942" t="n">
        <v/>
      </c>
      <c r="C1942" t="n">
        <v>2.31</v>
      </c>
    </row>
    <row r="1943">
      <c r="A1943" s="28" t="n">
        <v>22445</v>
      </c>
      <c r="B1943" t="n">
        <v/>
      </c>
      <c r="C1943" t="n">
        <v>2.33</v>
      </c>
    </row>
    <row r="1944">
      <c r="A1944" s="28" t="n">
        <v>22446</v>
      </c>
      <c r="B1944" t="n">
        <v/>
      </c>
      <c r="C1944" t="n">
        <v>2.32</v>
      </c>
    </row>
    <row r="1945">
      <c r="A1945" s="28" t="n">
        <v>22447</v>
      </c>
      <c r="B1945" t="n">
        <v/>
      </c>
      <c r="C1945" t="n">
        <v>2.32</v>
      </c>
    </row>
    <row r="1946">
      <c r="A1946" s="28" t="n">
        <v>22448</v>
      </c>
      <c r="B1946" t="n">
        <v/>
      </c>
      <c r="C1946" t="n">
        <v>2.33</v>
      </c>
    </row>
    <row r="1947">
      <c r="A1947" s="28" t="n">
        <v>22451</v>
      </c>
      <c r="B1947" t="n">
        <v/>
      </c>
      <c r="C1947" t="n">
        <v>2.33</v>
      </c>
    </row>
    <row r="1948">
      <c r="A1948" s="28" t="n">
        <v>22452</v>
      </c>
      <c r="B1948" t="n">
        <v/>
      </c>
      <c r="C1948" t="n">
        <v>2.31</v>
      </c>
    </row>
    <row r="1949">
      <c r="A1949" s="28" t="n">
        <v>22453</v>
      </c>
      <c r="B1949" t="n">
        <v/>
      </c>
      <c r="C1949" t="n">
        <v>2.32</v>
      </c>
    </row>
    <row r="1950">
      <c r="A1950" s="28" t="n">
        <v>22454</v>
      </c>
      <c r="B1950" t="n">
        <v/>
      </c>
      <c r="C1950" t="n">
        <v>2.31</v>
      </c>
    </row>
    <row r="1951">
      <c r="A1951" s="28" t="n">
        <v>22455</v>
      </c>
      <c r="B1951" t="n">
        <v/>
      </c>
      <c r="C1951" t="n">
        <v>2.28</v>
      </c>
    </row>
    <row r="1952">
      <c r="A1952" s="28" t="n">
        <v>22458</v>
      </c>
      <c r="B1952" t="n">
        <v/>
      </c>
      <c r="C1952" t="n">
        <v>2.24</v>
      </c>
    </row>
    <row r="1953">
      <c r="A1953" s="28" t="n">
        <v>22459</v>
      </c>
      <c r="B1953" t="n">
        <v/>
      </c>
      <c r="C1953" t="n">
        <v>2.28</v>
      </c>
    </row>
    <row r="1954">
      <c r="A1954" s="28" t="n">
        <v>22460</v>
      </c>
      <c r="B1954" t="n">
        <v/>
      </c>
      <c r="C1954" t="n">
        <v>2.29</v>
      </c>
    </row>
    <row r="1955">
      <c r="A1955" s="28" t="n">
        <v>22461</v>
      </c>
      <c r="B1955" t="n">
        <v/>
      </c>
      <c r="C1955" t="n">
        <v>2.27</v>
      </c>
    </row>
    <row r="1956">
      <c r="A1956" s="28" t="n">
        <v>22462</v>
      </c>
      <c r="B1956" t="n">
        <v/>
      </c>
      <c r="C1956" t="n">
        <v>2.27</v>
      </c>
    </row>
    <row r="1957">
      <c r="A1957" s="28" t="n">
        <v>22465</v>
      </c>
      <c r="B1957" t="n">
        <v/>
      </c>
      <c r="C1957" t="n">
        <v>2.3</v>
      </c>
    </row>
    <row r="1958">
      <c r="A1958" s="28" t="n">
        <v>22466</v>
      </c>
      <c r="B1958" t="n">
        <v/>
      </c>
      <c r="C1958" t="n">
        <v>0</v>
      </c>
    </row>
    <row r="1959">
      <c r="A1959" s="28" t="n">
        <v>22467</v>
      </c>
      <c r="B1959" t="n">
        <v/>
      </c>
      <c r="C1959" t="n">
        <v>2.32</v>
      </c>
    </row>
    <row r="1960">
      <c r="A1960" s="28" t="n">
        <v>22468</v>
      </c>
      <c r="B1960" t="n">
        <v/>
      </c>
      <c r="C1960" t="n">
        <v>2.31</v>
      </c>
    </row>
    <row r="1961">
      <c r="A1961" s="28" t="n">
        <v>22469</v>
      </c>
      <c r="B1961" t="n">
        <v/>
      </c>
      <c r="C1961" t="n">
        <v>2.3</v>
      </c>
    </row>
    <row r="1962">
      <c r="A1962" s="28" t="n">
        <v>22472</v>
      </c>
      <c r="B1962" t="n">
        <v/>
      </c>
      <c r="C1962" t="n">
        <v>2.28</v>
      </c>
    </row>
    <row r="1963">
      <c r="A1963" s="28" t="n">
        <v>22473</v>
      </c>
      <c r="B1963" t="n">
        <v/>
      </c>
      <c r="C1963" t="n">
        <v>2.25</v>
      </c>
    </row>
    <row r="1964">
      <c r="A1964" s="28" t="n">
        <v>22474</v>
      </c>
      <c r="B1964" t="n">
        <v/>
      </c>
      <c r="C1964" t="n">
        <v>2.26</v>
      </c>
    </row>
    <row r="1965">
      <c r="A1965" s="28" t="n">
        <v>22475</v>
      </c>
      <c r="B1965" t="n">
        <v/>
      </c>
      <c r="C1965" t="n">
        <v>2.24</v>
      </c>
    </row>
    <row r="1966">
      <c r="A1966" s="28" t="n">
        <v>22476</v>
      </c>
      <c r="B1966" t="n">
        <v/>
      </c>
      <c r="C1966" t="n">
        <v>2.2</v>
      </c>
    </row>
    <row r="1967">
      <c r="A1967" s="28" t="n">
        <v>22479</v>
      </c>
      <c r="B1967" t="n">
        <v/>
      </c>
      <c r="C1967" t="n">
        <v>2.18</v>
      </c>
    </row>
    <row r="1968">
      <c r="A1968" s="28" t="n">
        <v>22480</v>
      </c>
      <c r="B1968" t="n">
        <v/>
      </c>
      <c r="C1968" t="n">
        <v>2.2</v>
      </c>
    </row>
    <row r="1969">
      <c r="A1969" s="28" t="n">
        <v>22481</v>
      </c>
      <c r="B1969" t="n">
        <v/>
      </c>
      <c r="C1969" t="n">
        <v>2.2</v>
      </c>
    </row>
    <row r="1970">
      <c r="A1970" s="28" t="n">
        <v>22482</v>
      </c>
      <c r="B1970" t="n">
        <v/>
      </c>
      <c r="C1970" t="n">
        <v>2.19</v>
      </c>
    </row>
    <row r="1971">
      <c r="A1971" s="28" t="n">
        <v>22483</v>
      </c>
      <c r="B1971" t="n">
        <v/>
      </c>
      <c r="C1971" t="n">
        <v>2.16</v>
      </c>
    </row>
    <row r="1972">
      <c r="A1972" s="28" t="n">
        <v>22486</v>
      </c>
      <c r="B1972" t="n">
        <v/>
      </c>
      <c r="C1972" t="n">
        <v>2.19</v>
      </c>
    </row>
    <row r="1973">
      <c r="A1973" s="28" t="n">
        <v>22487</v>
      </c>
      <c r="B1973" t="n">
        <v/>
      </c>
      <c r="C1973" t="n">
        <v>2.21</v>
      </c>
    </row>
    <row r="1974">
      <c r="A1974" s="28" t="n">
        <v>22488</v>
      </c>
      <c r="B1974" t="n">
        <v/>
      </c>
      <c r="C1974" t="n">
        <v>2.25</v>
      </c>
    </row>
    <row r="1975">
      <c r="A1975" s="28" t="n">
        <v>22489</v>
      </c>
      <c r="B1975" t="n">
        <v/>
      </c>
      <c r="C1975" t="n">
        <v>2.2</v>
      </c>
    </row>
    <row r="1976">
      <c r="A1976" s="28" t="n">
        <v>22490</v>
      </c>
      <c r="B1976" t="n">
        <v/>
      </c>
      <c r="C1976" t="n">
        <v>2.24</v>
      </c>
    </row>
    <row r="1977">
      <c r="A1977" s="28" t="n">
        <v>22493</v>
      </c>
      <c r="B1977" t="n">
        <v/>
      </c>
      <c r="C1977" t="n">
        <v>2.26</v>
      </c>
    </row>
    <row r="1978">
      <c r="A1978" s="28" t="n">
        <v>22494</v>
      </c>
      <c r="B1978" t="n">
        <v/>
      </c>
      <c r="C1978" t="n">
        <v>2.25</v>
      </c>
    </row>
    <row r="1979">
      <c r="A1979" s="28" t="n">
        <v>22495</v>
      </c>
      <c r="B1979" t="n">
        <v/>
      </c>
      <c r="C1979" t="n">
        <v>2.3</v>
      </c>
    </row>
    <row r="1980">
      <c r="A1980" s="28" t="n">
        <v>22496</v>
      </c>
      <c r="B1980" t="n">
        <v/>
      </c>
      <c r="C1980" t="n">
        <v>2.29</v>
      </c>
    </row>
    <row r="1981">
      <c r="A1981" s="28" t="n">
        <v>22497</v>
      </c>
      <c r="B1981" t="n">
        <v/>
      </c>
      <c r="C1981" t="n">
        <v>2.29</v>
      </c>
    </row>
    <row r="1982">
      <c r="A1982" s="28" t="n">
        <v>22500</v>
      </c>
      <c r="B1982" t="n">
        <v/>
      </c>
      <c r="C1982" t="n">
        <v>2.31</v>
      </c>
    </row>
    <row r="1983">
      <c r="A1983" s="28" t="n">
        <v>22501</v>
      </c>
      <c r="B1983" t="n">
        <v/>
      </c>
      <c r="C1983" t="n">
        <v>2.34</v>
      </c>
    </row>
    <row r="1984">
      <c r="A1984" s="28" t="n">
        <v>22502</v>
      </c>
      <c r="B1984" t="n">
        <v/>
      </c>
      <c r="C1984" t="n">
        <v>2.39</v>
      </c>
    </row>
    <row r="1985">
      <c r="A1985" s="28" t="n">
        <v>22503</v>
      </c>
      <c r="B1985" t="n">
        <v/>
      </c>
      <c r="C1985" t="n">
        <v>2.42</v>
      </c>
    </row>
    <row r="1986">
      <c r="A1986" s="28" t="n">
        <v>22504</v>
      </c>
      <c r="B1986" t="n">
        <v/>
      </c>
      <c r="C1986" t="n">
        <v>2.44</v>
      </c>
    </row>
    <row r="1987">
      <c r="A1987" s="28" t="n">
        <v>22507</v>
      </c>
      <c r="B1987" t="n">
        <v/>
      </c>
      <c r="C1987" t="n">
        <v>2.48</v>
      </c>
    </row>
    <row r="1988">
      <c r="A1988" s="28" t="n">
        <v>22508</v>
      </c>
      <c r="B1988" t="n">
        <v/>
      </c>
      <c r="C1988" t="n">
        <v>2.49</v>
      </c>
    </row>
    <row r="1989">
      <c r="A1989" s="28" t="n">
        <v>22509</v>
      </c>
      <c r="B1989" t="n">
        <v/>
      </c>
      <c r="C1989" t="n">
        <v>2.54</v>
      </c>
    </row>
    <row r="1990">
      <c r="A1990" s="28" t="n">
        <v>22510</v>
      </c>
      <c r="B1990" t="n">
        <v/>
      </c>
      <c r="C1990" t="n">
        <v>2.5</v>
      </c>
    </row>
    <row r="1991">
      <c r="A1991" s="28" t="n">
        <v>22511</v>
      </c>
      <c r="B1991" t="n">
        <v/>
      </c>
      <c r="C1991" t="n">
        <v>2.47</v>
      </c>
    </row>
    <row r="1992">
      <c r="A1992" s="28" t="n">
        <v>22514</v>
      </c>
      <c r="B1992" t="n">
        <v/>
      </c>
      <c r="C1992" t="n">
        <v>2.46</v>
      </c>
    </row>
    <row r="1993">
      <c r="A1993" s="28" t="n">
        <v>22515</v>
      </c>
      <c r="B1993" t="n">
        <v/>
      </c>
      <c r="C1993" t="n">
        <v>2.46</v>
      </c>
    </row>
    <row r="1994">
      <c r="A1994" s="28" t="n">
        <v>22516</v>
      </c>
      <c r="B1994" t="n">
        <v/>
      </c>
      <c r="C1994" t="n">
        <v>2.49</v>
      </c>
    </row>
    <row r="1995">
      <c r="A1995" s="28" t="n">
        <v>22517</v>
      </c>
      <c r="B1995" t="n">
        <v/>
      </c>
      <c r="C1995" t="n">
        <v>2.39</v>
      </c>
    </row>
    <row r="1996">
      <c r="A1996" s="28" t="n">
        <v>22518</v>
      </c>
      <c r="B1996" t="n">
        <v/>
      </c>
      <c r="C1996" t="n">
        <v>2.34</v>
      </c>
    </row>
    <row r="1997">
      <c r="A1997" s="28" t="n">
        <v>22521</v>
      </c>
      <c r="B1997" t="n">
        <v/>
      </c>
      <c r="C1997" t="n">
        <v>2.3</v>
      </c>
    </row>
    <row r="1998">
      <c r="A1998" s="28" t="n">
        <v>22522</v>
      </c>
      <c r="B1998" t="n">
        <v/>
      </c>
      <c r="C1998" t="n">
        <v>2.36</v>
      </c>
    </row>
    <row r="1999">
      <c r="A1999" s="28" t="n">
        <v>22523</v>
      </c>
      <c r="B1999" t="n">
        <v/>
      </c>
      <c r="C1999" t="n">
        <v>2.36</v>
      </c>
    </row>
    <row r="2000">
      <c r="A2000" s="28" t="n">
        <v>22524</v>
      </c>
      <c r="B2000" t="n">
        <v/>
      </c>
      <c r="C2000" t="n">
        <v>2.35</v>
      </c>
    </row>
    <row r="2001">
      <c r="A2001" s="28" t="n">
        <v>22525</v>
      </c>
      <c r="B2001" t="n">
        <v/>
      </c>
      <c r="C2001" t="n">
        <v>2.35</v>
      </c>
    </row>
    <row r="2002">
      <c r="A2002" s="28" t="n">
        <v>22528</v>
      </c>
      <c r="B2002" t="n">
        <v/>
      </c>
      <c r="C2002" t="n">
        <v>0</v>
      </c>
    </row>
    <row r="2003">
      <c r="A2003" s="28" t="n">
        <v>22529</v>
      </c>
      <c r="B2003" t="n">
        <v/>
      </c>
      <c r="C2003" t="n">
        <v>2.35</v>
      </c>
    </row>
    <row r="2004">
      <c r="A2004" s="28" t="n">
        <v>22530</v>
      </c>
      <c r="B2004" t="n">
        <v/>
      </c>
      <c r="C2004" t="n">
        <v>2.33</v>
      </c>
    </row>
    <row r="2005">
      <c r="A2005" s="28" t="n">
        <v>22531</v>
      </c>
      <c r="B2005" t="n">
        <v/>
      </c>
      <c r="C2005" t="n">
        <v>2.3</v>
      </c>
    </row>
    <row r="2006">
      <c r="A2006" s="28" t="n">
        <v>22532</v>
      </c>
      <c r="B2006" t="n">
        <v/>
      </c>
      <c r="C2006" t="n">
        <v>2.31</v>
      </c>
    </row>
    <row r="2007">
      <c r="A2007" s="28" t="n">
        <v>22535</v>
      </c>
      <c r="B2007" t="n">
        <v/>
      </c>
      <c r="C2007" t="n">
        <v>2.29</v>
      </c>
    </row>
    <row r="2008">
      <c r="A2008" s="28" t="n">
        <v>22536</v>
      </c>
      <c r="B2008" t="n">
        <v/>
      </c>
      <c r="C2008" t="n">
        <v>2.29</v>
      </c>
    </row>
    <row r="2009">
      <c r="A2009" s="28" t="n">
        <v>22537</v>
      </c>
      <c r="B2009" t="n">
        <v/>
      </c>
      <c r="C2009" t="n">
        <v>2.31</v>
      </c>
    </row>
    <row r="2010">
      <c r="A2010" s="28" t="n">
        <v>22538</v>
      </c>
      <c r="B2010" t="n">
        <v/>
      </c>
      <c r="C2010" t="n">
        <v>2.29</v>
      </c>
    </row>
    <row r="2011">
      <c r="A2011" s="28" t="n">
        <v>22539</v>
      </c>
      <c r="B2011" t="n">
        <v/>
      </c>
      <c r="C2011" t="n">
        <v>2.27</v>
      </c>
    </row>
    <row r="2012">
      <c r="A2012" s="28" t="n">
        <v>22542</v>
      </c>
      <c r="B2012" t="n">
        <v/>
      </c>
      <c r="C2012" t="n">
        <v>2.25</v>
      </c>
    </row>
    <row r="2013">
      <c r="A2013" s="28" t="n">
        <v>22543</v>
      </c>
      <c r="B2013" t="n">
        <v/>
      </c>
      <c r="C2013" t="n">
        <v>2.26</v>
      </c>
    </row>
    <row r="2014">
      <c r="A2014" s="28" t="n">
        <v>22544</v>
      </c>
      <c r="B2014" t="n">
        <v/>
      </c>
      <c r="C2014" t="n">
        <v>2.29</v>
      </c>
    </row>
    <row r="2015">
      <c r="A2015" s="28" t="n">
        <v>22545</v>
      </c>
      <c r="B2015" t="n">
        <v/>
      </c>
      <c r="C2015" t="n">
        <v>2.26</v>
      </c>
    </row>
    <row r="2016">
      <c r="A2016" s="28" t="n">
        <v>22546</v>
      </c>
      <c r="B2016" t="n">
        <v/>
      </c>
      <c r="C2016" t="n">
        <v>2.25</v>
      </c>
    </row>
    <row r="2017">
      <c r="A2017" s="28" t="n">
        <v>22549</v>
      </c>
      <c r="B2017" t="n">
        <v/>
      </c>
      <c r="C2017" t="n">
        <v>2.25</v>
      </c>
    </row>
    <row r="2018">
      <c r="A2018" s="28" t="n">
        <v>22550</v>
      </c>
      <c r="B2018" t="n">
        <v/>
      </c>
      <c r="C2018" t="n">
        <v>2.25</v>
      </c>
    </row>
    <row r="2019">
      <c r="A2019" s="28" t="n">
        <v>22551</v>
      </c>
      <c r="B2019" t="n">
        <v/>
      </c>
      <c r="C2019" t="n">
        <v>2.26</v>
      </c>
    </row>
    <row r="2020">
      <c r="A2020" s="28" t="n">
        <v>22552</v>
      </c>
      <c r="B2020" t="n">
        <v/>
      </c>
      <c r="C2020" t="n">
        <v>2.25</v>
      </c>
    </row>
    <row r="2021">
      <c r="A2021" s="28" t="n">
        <v>22553</v>
      </c>
      <c r="B2021" t="n">
        <v/>
      </c>
      <c r="C2021" t="n">
        <v>2.23</v>
      </c>
    </row>
    <row r="2022">
      <c r="A2022" s="28" t="n">
        <v>22556</v>
      </c>
      <c r="B2022" t="n">
        <v/>
      </c>
      <c r="C2022" t="n">
        <v>2.24</v>
      </c>
    </row>
    <row r="2023">
      <c r="A2023" s="28" t="n">
        <v>22557</v>
      </c>
      <c r="B2023" t="n">
        <v/>
      </c>
      <c r="C2023" t="n">
        <v>2.24</v>
      </c>
    </row>
    <row r="2024">
      <c r="A2024" s="28" t="n">
        <v>22558</v>
      </c>
      <c r="B2024" t="n">
        <v/>
      </c>
      <c r="C2024" t="n">
        <v>2.33</v>
      </c>
    </row>
    <row r="2025">
      <c r="A2025" s="28" t="n">
        <v>22559</v>
      </c>
      <c r="B2025" t="n">
        <v/>
      </c>
      <c r="C2025" t="n">
        <v>2.29</v>
      </c>
    </row>
    <row r="2026">
      <c r="A2026" s="28" t="n">
        <v>22560</v>
      </c>
      <c r="B2026" t="n">
        <v/>
      </c>
      <c r="C2026" t="n">
        <v>2.31</v>
      </c>
    </row>
    <row r="2027">
      <c r="A2027" s="28" t="n">
        <v>22563</v>
      </c>
      <c r="B2027" t="n">
        <v/>
      </c>
      <c r="C2027" t="n">
        <v>2.33</v>
      </c>
    </row>
    <row r="2028">
      <c r="A2028" s="28" t="n">
        <v>22564</v>
      </c>
      <c r="B2028" t="n">
        <v/>
      </c>
      <c r="C2028" t="n">
        <v>2.31</v>
      </c>
    </row>
    <row r="2029">
      <c r="A2029" s="28" t="n">
        <v>22565</v>
      </c>
      <c r="B2029" t="n">
        <v/>
      </c>
      <c r="C2029" t="n">
        <v>2.37</v>
      </c>
    </row>
    <row r="2030">
      <c r="A2030" s="28" t="n">
        <v>22566</v>
      </c>
      <c r="B2030" t="n">
        <v/>
      </c>
      <c r="C2030" t="n">
        <v>0</v>
      </c>
    </row>
    <row r="2031">
      <c r="A2031" s="28" t="n">
        <v>22567</v>
      </c>
      <c r="B2031" t="n">
        <v/>
      </c>
      <c r="C2031" t="n">
        <v>2.37</v>
      </c>
    </row>
    <row r="2032">
      <c r="A2032" s="28" t="n">
        <v>22570</v>
      </c>
      <c r="B2032" t="n">
        <v/>
      </c>
      <c r="C2032" t="n">
        <v>2.32</v>
      </c>
    </row>
    <row r="2033">
      <c r="A2033" s="28" t="n">
        <v>22571</v>
      </c>
      <c r="B2033" t="n">
        <v/>
      </c>
      <c r="C2033" t="n">
        <v>2.26</v>
      </c>
    </row>
    <row r="2034">
      <c r="A2034" s="28" t="n">
        <v>22572</v>
      </c>
      <c r="B2034" t="n">
        <v/>
      </c>
      <c r="C2034" t="n">
        <v>2.29</v>
      </c>
    </row>
    <row r="2035">
      <c r="A2035" s="28" t="n">
        <v>22573</v>
      </c>
      <c r="B2035" t="n">
        <v/>
      </c>
      <c r="C2035" t="n">
        <v>2.29</v>
      </c>
    </row>
    <row r="2036">
      <c r="A2036" s="28" t="n">
        <v>22574</v>
      </c>
      <c r="B2036" t="n">
        <v/>
      </c>
      <c r="C2036" t="n">
        <v>2.3</v>
      </c>
    </row>
    <row r="2037">
      <c r="A2037" s="28" t="n">
        <v>22577</v>
      </c>
      <c r="B2037" t="n">
        <v/>
      </c>
      <c r="C2037" t="n">
        <v>2.3</v>
      </c>
    </row>
    <row r="2038">
      <c r="A2038" s="28" t="n">
        <v>22578</v>
      </c>
      <c r="B2038" t="n">
        <v/>
      </c>
      <c r="C2038" t="n">
        <v>2.28</v>
      </c>
    </row>
    <row r="2039">
      <c r="A2039" s="28" t="n">
        <v>22579</v>
      </c>
      <c r="B2039" t="n">
        <v/>
      </c>
      <c r="C2039" t="n">
        <v>2.3</v>
      </c>
    </row>
    <row r="2040">
      <c r="A2040" s="28" t="n">
        <v>22580</v>
      </c>
      <c r="B2040" t="n">
        <v/>
      </c>
      <c r="C2040" t="n">
        <v>2.3</v>
      </c>
    </row>
    <row r="2041">
      <c r="A2041" s="28" t="n">
        <v>22581</v>
      </c>
      <c r="B2041" t="n">
        <v/>
      </c>
      <c r="C2041" t="n">
        <v>2.29</v>
      </c>
    </row>
    <row r="2042">
      <c r="A2042" s="28" t="n">
        <v>22584</v>
      </c>
      <c r="B2042" t="n">
        <v/>
      </c>
      <c r="C2042" t="n">
        <v>2.27</v>
      </c>
    </row>
    <row r="2043">
      <c r="A2043" s="28" t="n">
        <v>22585</v>
      </c>
      <c r="B2043" t="n">
        <v/>
      </c>
      <c r="C2043" t="n">
        <v>2.28</v>
      </c>
    </row>
    <row r="2044">
      <c r="A2044" s="28" t="n">
        <v>22586</v>
      </c>
      <c r="B2044" t="n">
        <v/>
      </c>
      <c r="C2044" t="n">
        <v>2.28</v>
      </c>
    </row>
    <row r="2045">
      <c r="A2045" s="28" t="n">
        <v>22587</v>
      </c>
      <c r="B2045" t="n">
        <v/>
      </c>
      <c r="C2045" t="n">
        <v>2.27</v>
      </c>
    </row>
    <row r="2046">
      <c r="A2046" s="28" t="n">
        <v>22588</v>
      </c>
      <c r="B2046" t="n">
        <v/>
      </c>
      <c r="C2046" t="n">
        <v>2.28</v>
      </c>
    </row>
    <row r="2047">
      <c r="A2047" s="28" t="n">
        <v>22591</v>
      </c>
      <c r="B2047" t="n">
        <v/>
      </c>
      <c r="C2047" t="n">
        <v>2.32</v>
      </c>
    </row>
    <row r="2048">
      <c r="A2048" s="28" t="n">
        <v>22592</v>
      </c>
      <c r="B2048" t="n">
        <v/>
      </c>
      <c r="C2048" t="n">
        <v>0</v>
      </c>
    </row>
    <row r="2049">
      <c r="A2049" s="28" t="n">
        <v>22593</v>
      </c>
      <c r="B2049" t="n">
        <v/>
      </c>
      <c r="C2049" t="n">
        <v>2.39</v>
      </c>
    </row>
    <row r="2050">
      <c r="A2050" s="28" t="n">
        <v>22594</v>
      </c>
      <c r="B2050" t="n">
        <v/>
      </c>
      <c r="C2050" t="n">
        <v>2.41</v>
      </c>
    </row>
    <row r="2051">
      <c r="A2051" s="28" t="n">
        <v>22595</v>
      </c>
      <c r="B2051" t="n">
        <v/>
      </c>
      <c r="C2051" t="n">
        <v>2.47</v>
      </c>
    </row>
    <row r="2052">
      <c r="A2052" s="28" t="n">
        <v>22598</v>
      </c>
      <c r="B2052" t="n">
        <v/>
      </c>
      <c r="C2052" t="n">
        <v>2.49</v>
      </c>
    </row>
    <row r="2053">
      <c r="A2053" s="28" t="n">
        <v>22599</v>
      </c>
      <c r="B2053" t="n">
        <v/>
      </c>
      <c r="C2053" t="n">
        <v>2.52</v>
      </c>
    </row>
    <row r="2054">
      <c r="A2054" s="28" t="n">
        <v>22600</v>
      </c>
      <c r="B2054" t="n">
        <v/>
      </c>
      <c r="C2054" t="n">
        <v>2.58</v>
      </c>
    </row>
    <row r="2055">
      <c r="A2055" s="28" t="n">
        <v>22601</v>
      </c>
      <c r="B2055" t="n">
        <v/>
      </c>
      <c r="C2055" t="n">
        <v>2.54</v>
      </c>
    </row>
    <row r="2056">
      <c r="A2056" s="28" t="n">
        <v>22602</v>
      </c>
      <c r="B2056" t="n">
        <v/>
      </c>
      <c r="C2056" t="n">
        <v>2.53</v>
      </c>
    </row>
    <row r="2057">
      <c r="A2057" s="28" t="n">
        <v>22605</v>
      </c>
      <c r="B2057" t="n">
        <v/>
      </c>
      <c r="C2057" t="n">
        <v>2.52</v>
      </c>
    </row>
    <row r="2058">
      <c r="A2058" s="28" t="n">
        <v>22606</v>
      </c>
      <c r="B2058" t="n">
        <v/>
      </c>
      <c r="C2058" t="n">
        <v>2.52</v>
      </c>
    </row>
    <row r="2059">
      <c r="A2059" s="28" t="n">
        <v>22607</v>
      </c>
      <c r="B2059" t="n">
        <v/>
      </c>
      <c r="C2059" t="n">
        <v>2.56</v>
      </c>
    </row>
    <row r="2060">
      <c r="A2060" s="28" t="n">
        <v>22608</v>
      </c>
      <c r="B2060" t="n">
        <v/>
      </c>
      <c r="C2060" t="n">
        <v>0</v>
      </c>
    </row>
    <row r="2061">
      <c r="A2061" s="28" t="n">
        <v>22609</v>
      </c>
      <c r="B2061" t="n">
        <v/>
      </c>
      <c r="C2061" t="n">
        <v>2.55</v>
      </c>
    </row>
    <row r="2062">
      <c r="A2062" s="28" t="n">
        <v>22612</v>
      </c>
      <c r="B2062" t="n">
        <v/>
      </c>
      <c r="C2062" t="n">
        <v>2.58</v>
      </c>
    </row>
    <row r="2063">
      <c r="A2063" s="28" t="n">
        <v>22613</v>
      </c>
      <c r="B2063" t="n">
        <v/>
      </c>
      <c r="C2063" t="n">
        <v>2.57</v>
      </c>
    </row>
    <row r="2064">
      <c r="A2064" s="28" t="n">
        <v>22614</v>
      </c>
      <c r="B2064" t="n">
        <v/>
      </c>
      <c r="C2064" t="n">
        <v>2.59</v>
      </c>
    </row>
    <row r="2065">
      <c r="A2065" s="28" t="n">
        <v>22615</v>
      </c>
      <c r="B2065" t="n">
        <v/>
      </c>
      <c r="C2065" t="n">
        <v>2.55</v>
      </c>
    </row>
    <row r="2066">
      <c r="A2066" s="28" t="n">
        <v>22616</v>
      </c>
      <c r="B2066" t="n">
        <v/>
      </c>
      <c r="C2066" t="n">
        <v>2.53</v>
      </c>
    </row>
    <row r="2067">
      <c r="A2067" s="28" t="n">
        <v>22619</v>
      </c>
      <c r="B2067" t="n">
        <v/>
      </c>
      <c r="C2067" t="n">
        <v>2.56</v>
      </c>
    </row>
    <row r="2068">
      <c r="A2068" s="28" t="n">
        <v>22620</v>
      </c>
      <c r="B2068" t="n">
        <v/>
      </c>
      <c r="C2068" t="n">
        <v>2.58</v>
      </c>
    </row>
    <row r="2069">
      <c r="A2069" s="28" t="n">
        <v>22621</v>
      </c>
      <c r="B2069" t="n">
        <v/>
      </c>
      <c r="C2069" t="n">
        <v>2.61</v>
      </c>
    </row>
    <row r="2070">
      <c r="A2070" s="28" t="n">
        <v>22622</v>
      </c>
      <c r="B2070" t="n">
        <v/>
      </c>
      <c r="C2070" t="n">
        <v>2.58</v>
      </c>
    </row>
    <row r="2071">
      <c r="A2071" s="28" t="n">
        <v>22623</v>
      </c>
      <c r="B2071" t="n">
        <v/>
      </c>
      <c r="C2071" t="n">
        <v>2.57</v>
      </c>
    </row>
    <row r="2072">
      <c r="A2072" s="28" t="n">
        <v>22626</v>
      </c>
      <c r="B2072" t="n">
        <v/>
      </c>
      <c r="C2072" t="n">
        <v>2.56</v>
      </c>
    </row>
    <row r="2073">
      <c r="A2073" s="28" t="n">
        <v>22627</v>
      </c>
      <c r="B2073" t="n">
        <v/>
      </c>
      <c r="C2073" t="n">
        <v>2.57</v>
      </c>
    </row>
    <row r="2074">
      <c r="A2074" s="28" t="n">
        <v>22628</v>
      </c>
      <c r="B2074" t="n">
        <v/>
      </c>
      <c r="C2074" t="n">
        <v>2.6</v>
      </c>
    </row>
    <row r="2075">
      <c r="A2075" s="28" t="n">
        <v>22629</v>
      </c>
      <c r="B2075" t="n">
        <v/>
      </c>
      <c r="C2075" t="n">
        <v>2.61</v>
      </c>
    </row>
    <row r="2076">
      <c r="A2076" s="28" t="n">
        <v>22630</v>
      </c>
      <c r="B2076" t="n">
        <v/>
      </c>
      <c r="C2076" t="n">
        <v>2.63</v>
      </c>
    </row>
    <row r="2077">
      <c r="A2077" s="28" t="n">
        <v>22633</v>
      </c>
      <c r="B2077" t="n">
        <v/>
      </c>
      <c r="C2077" t="n">
        <v>2.63</v>
      </c>
    </row>
    <row r="2078">
      <c r="A2078" s="28" t="n">
        <v>22634</v>
      </c>
      <c r="B2078" t="n">
        <v/>
      </c>
      <c r="C2078" t="n">
        <v>2.6</v>
      </c>
    </row>
    <row r="2079">
      <c r="A2079" s="28" t="n">
        <v>22635</v>
      </c>
      <c r="B2079" t="n">
        <v/>
      </c>
      <c r="C2079" t="n">
        <v>2.6</v>
      </c>
    </row>
    <row r="2080">
      <c r="A2080" s="28" t="n">
        <v>22636</v>
      </c>
      <c r="B2080" t="n">
        <v/>
      </c>
      <c r="C2080" t="n">
        <v>2.6</v>
      </c>
    </row>
    <row r="2081">
      <c r="A2081" s="28" t="n">
        <v>22637</v>
      </c>
      <c r="B2081" t="n">
        <v/>
      </c>
      <c r="C2081" t="n">
        <v>2.6</v>
      </c>
    </row>
    <row r="2082">
      <c r="A2082" s="28" t="n">
        <v>22640</v>
      </c>
      <c r="B2082" t="n">
        <v/>
      </c>
      <c r="C2082" t="n">
        <v>0</v>
      </c>
    </row>
    <row r="2083">
      <c r="A2083" s="28" t="n">
        <v>22641</v>
      </c>
      <c r="B2083" t="n">
        <v/>
      </c>
      <c r="C2083" t="n">
        <v>2.64</v>
      </c>
    </row>
    <row r="2084">
      <c r="A2084" s="28" t="n">
        <v>22642</v>
      </c>
      <c r="B2084" t="n">
        <v/>
      </c>
      <c r="C2084" t="n">
        <v>2.66</v>
      </c>
    </row>
    <row r="2085">
      <c r="A2085" s="28" t="n">
        <v>22643</v>
      </c>
      <c r="B2085" t="n">
        <v/>
      </c>
      <c r="C2085" t="n">
        <v>2.66</v>
      </c>
    </row>
    <row r="2086">
      <c r="A2086" s="28" t="n">
        <v>22644</v>
      </c>
      <c r="B2086" t="n">
        <v/>
      </c>
      <c r="C2086" t="n">
        <v>2.67</v>
      </c>
    </row>
    <row r="2087">
      <c r="A2087" s="28" t="n">
        <v>22647</v>
      </c>
      <c r="B2087" t="n">
        <v/>
      </c>
      <c r="C2087" t="n">
        <v>0</v>
      </c>
    </row>
    <row r="2088">
      <c r="A2088" s="28" t="n">
        <v>22648</v>
      </c>
      <c r="B2088" t="n">
        <v>4.06</v>
      </c>
      <c r="C2088" t="n">
        <v>2.7</v>
      </c>
    </row>
    <row r="2089">
      <c r="A2089" s="28" t="n">
        <v>22649</v>
      </c>
      <c r="B2089" t="n">
        <v>4.03</v>
      </c>
      <c r="C2089" t="n">
        <v>2.73</v>
      </c>
    </row>
    <row r="2090">
      <c r="A2090" s="28" t="n">
        <v>22650</v>
      </c>
      <c r="B2090" t="n">
        <v>3.99</v>
      </c>
      <c r="C2090" t="n">
        <v>2.72</v>
      </c>
    </row>
    <row r="2091">
      <c r="A2091" s="28" t="n">
        <v>22651</v>
      </c>
      <c r="B2091" t="n">
        <v>4.02</v>
      </c>
      <c r="C2091" t="n">
        <v>2.74</v>
      </c>
    </row>
    <row r="2092">
      <c r="A2092" s="28" t="n">
        <v>22654</v>
      </c>
      <c r="B2092" t="n">
        <v>4.03</v>
      </c>
      <c r="C2092" t="n">
        <v>2.78</v>
      </c>
    </row>
    <row r="2093">
      <c r="A2093" s="28" t="n">
        <v>22655</v>
      </c>
      <c r="B2093" t="n">
        <v>4.05</v>
      </c>
      <c r="C2093" t="n">
        <v>2.78</v>
      </c>
    </row>
    <row r="2094">
      <c r="A2094" s="28" t="n">
        <v>22656</v>
      </c>
      <c r="B2094" t="n">
        <v>4.07</v>
      </c>
      <c r="C2094" t="n">
        <v>2.81</v>
      </c>
    </row>
    <row r="2095">
      <c r="A2095" s="28" t="n">
        <v>22657</v>
      </c>
      <c r="B2095" t="n">
        <v>4.08</v>
      </c>
      <c r="C2095" t="n">
        <v>2.78</v>
      </c>
    </row>
    <row r="2096">
      <c r="A2096" s="28" t="n">
        <v>22658</v>
      </c>
      <c r="B2096" t="n">
        <v>4.08</v>
      </c>
      <c r="C2096" t="n">
        <v>2.76</v>
      </c>
    </row>
    <row r="2097">
      <c r="A2097" s="28" t="n">
        <v>22661</v>
      </c>
      <c r="B2097" t="n">
        <v>4.1</v>
      </c>
      <c r="C2097" t="n">
        <v>2.74</v>
      </c>
    </row>
    <row r="2098">
      <c r="A2098" s="28" t="n">
        <v>22662</v>
      </c>
      <c r="B2098" t="n">
        <v>4.13</v>
      </c>
      <c r="C2098" t="n">
        <v>2.73</v>
      </c>
    </row>
    <row r="2099">
      <c r="A2099" s="28" t="n">
        <v>22663</v>
      </c>
      <c r="B2099" t="n">
        <v>4.12</v>
      </c>
      <c r="C2099" t="n">
        <v>2.74</v>
      </c>
    </row>
    <row r="2100">
      <c r="A2100" s="28" t="n">
        <v>22664</v>
      </c>
      <c r="B2100" t="n">
        <v>4.11</v>
      </c>
      <c r="C2100" t="n">
        <v>2.71</v>
      </c>
    </row>
    <row r="2101">
      <c r="A2101" s="28" t="n">
        <v>22665</v>
      </c>
      <c r="B2101" t="n">
        <v>4.11</v>
      </c>
      <c r="C2101" t="n">
        <v>2.71</v>
      </c>
    </row>
    <row r="2102">
      <c r="A2102" s="28" t="n">
        <v>22668</v>
      </c>
      <c r="B2102" t="n">
        <v>4.09</v>
      </c>
      <c r="C2102" t="n">
        <v>2.68</v>
      </c>
    </row>
    <row r="2103">
      <c r="A2103" s="28" t="n">
        <v>22669</v>
      </c>
      <c r="B2103" t="n">
        <v>4.11</v>
      </c>
      <c r="C2103" t="n">
        <v>2.66</v>
      </c>
    </row>
    <row r="2104">
      <c r="A2104" s="28" t="n">
        <v>22670</v>
      </c>
      <c r="B2104" t="n">
        <v>4.1</v>
      </c>
      <c r="C2104" t="n">
        <v>2.66</v>
      </c>
    </row>
    <row r="2105">
      <c r="A2105" s="28" t="n">
        <v>22671</v>
      </c>
      <c r="B2105" t="n">
        <v>4.11</v>
      </c>
      <c r="C2105" t="n">
        <v>2.66</v>
      </c>
    </row>
    <row r="2106">
      <c r="A2106" s="28" t="n">
        <v>22672</v>
      </c>
      <c r="B2106" t="n">
        <v>4.11</v>
      </c>
      <c r="C2106" t="n">
        <v>2.67</v>
      </c>
    </row>
    <row r="2107">
      <c r="A2107" s="28" t="n">
        <v>22675</v>
      </c>
      <c r="B2107" t="n">
        <v>4.12</v>
      </c>
      <c r="C2107" t="n">
        <v>2.67</v>
      </c>
    </row>
    <row r="2108">
      <c r="A2108" s="28" t="n">
        <v>22676</v>
      </c>
      <c r="B2108" t="n">
        <v>4.11</v>
      </c>
      <c r="C2108" t="n">
        <v>2.67</v>
      </c>
    </row>
    <row r="2109">
      <c r="A2109" s="28" t="n">
        <v>22677</v>
      </c>
      <c r="B2109" t="n">
        <v>4.1</v>
      </c>
      <c r="C2109" t="n">
        <v>2.73</v>
      </c>
    </row>
    <row r="2110">
      <c r="A2110" s="28" t="n">
        <v>22678</v>
      </c>
      <c r="B2110" t="n">
        <v>4.09</v>
      </c>
      <c r="C2110" t="n">
        <v>2.69</v>
      </c>
    </row>
    <row r="2111">
      <c r="A2111" s="28" t="n">
        <v>22679</v>
      </c>
      <c r="B2111" t="n">
        <v>4.08</v>
      </c>
      <c r="C2111" t="n">
        <v>2.67</v>
      </c>
    </row>
    <row r="2112">
      <c r="A2112" s="28" t="n">
        <v>22682</v>
      </c>
      <c r="B2112" t="n">
        <v>4.07</v>
      </c>
      <c r="C2112" t="n">
        <v>2.67</v>
      </c>
    </row>
    <row r="2113">
      <c r="A2113" s="28" t="n">
        <v>22683</v>
      </c>
      <c r="B2113" t="n">
        <v>4.06</v>
      </c>
      <c r="C2113" t="n">
        <v>2.68</v>
      </c>
    </row>
    <row r="2114">
      <c r="A2114" s="28" t="n">
        <v>22684</v>
      </c>
      <c r="B2114" t="n">
        <v>4.07</v>
      </c>
      <c r="C2114" t="n">
        <v>2.73</v>
      </c>
    </row>
    <row r="2115">
      <c r="A2115" s="28" t="n">
        <v>22685</v>
      </c>
      <c r="B2115" t="n">
        <v>4.07</v>
      </c>
      <c r="C2115" t="n">
        <v>2.72</v>
      </c>
    </row>
    <row r="2116">
      <c r="A2116" s="28" t="n">
        <v>22686</v>
      </c>
      <c r="B2116" t="n">
        <v>4.05</v>
      </c>
      <c r="C2116" t="n">
        <v>2.72</v>
      </c>
    </row>
    <row r="2117">
      <c r="A2117" s="28" t="n">
        <v>22689</v>
      </c>
      <c r="B2117" t="n">
        <v>0</v>
      </c>
      <c r="C2117" t="n">
        <v>0</v>
      </c>
    </row>
    <row r="2118">
      <c r="A2118" s="28" t="n">
        <v>22690</v>
      </c>
      <c r="B2118" t="n">
        <v>4.03</v>
      </c>
      <c r="C2118" t="n">
        <v>2.76</v>
      </c>
    </row>
    <row r="2119">
      <c r="A2119" s="28" t="n">
        <v>22691</v>
      </c>
      <c r="B2119" t="n">
        <v>4.03</v>
      </c>
      <c r="C2119" t="n">
        <v>2.82</v>
      </c>
    </row>
    <row r="2120">
      <c r="A2120" s="28" t="n">
        <v>22692</v>
      </c>
      <c r="B2120" t="n">
        <v>4.02</v>
      </c>
      <c r="C2120" t="n">
        <v>2.84</v>
      </c>
    </row>
    <row r="2121">
      <c r="A2121" s="28" t="n">
        <v>22693</v>
      </c>
      <c r="B2121" t="n">
        <v>4.02</v>
      </c>
      <c r="C2121" t="n">
        <v>2.83</v>
      </c>
    </row>
    <row r="2122">
      <c r="A2122" s="28" t="n">
        <v>22696</v>
      </c>
      <c r="B2122" t="n">
        <v>4.01</v>
      </c>
      <c r="C2122" t="n">
        <v>2.8</v>
      </c>
    </row>
    <row r="2123">
      <c r="A2123" s="28" t="n">
        <v>22697</v>
      </c>
      <c r="B2123" t="n">
        <v>4.05</v>
      </c>
      <c r="C2123" t="n">
        <v>2.75</v>
      </c>
    </row>
    <row r="2124">
      <c r="A2124" s="28" t="n">
        <v>22698</v>
      </c>
      <c r="B2124" t="n">
        <v>4.03</v>
      </c>
      <c r="C2124" t="n">
        <v>2.73</v>
      </c>
    </row>
    <row r="2125">
      <c r="A2125" s="28" t="n">
        <v>22699</v>
      </c>
      <c r="B2125" t="n">
        <v>0</v>
      </c>
      <c r="C2125" t="n">
        <v>0</v>
      </c>
    </row>
    <row r="2126">
      <c r="A2126" s="28" t="n">
        <v>22700</v>
      </c>
      <c r="B2126" t="n">
        <v>4.02</v>
      </c>
      <c r="C2126" t="n">
        <v>2.69</v>
      </c>
    </row>
    <row r="2127">
      <c r="A2127" s="28" t="n">
        <v>22703</v>
      </c>
      <c r="B2127" t="n">
        <v>4</v>
      </c>
      <c r="C2127" t="n">
        <v>2.66</v>
      </c>
    </row>
    <row r="2128">
      <c r="A2128" s="28" t="n">
        <v>22704</v>
      </c>
      <c r="B2128" t="n">
        <v>4.01</v>
      </c>
      <c r="C2128" t="n">
        <v>2.72</v>
      </c>
    </row>
    <row r="2129">
      <c r="A2129" s="28" t="n">
        <v>22705</v>
      </c>
      <c r="B2129" t="n">
        <v>4</v>
      </c>
      <c r="C2129" t="n">
        <v>2.71</v>
      </c>
    </row>
    <row r="2130">
      <c r="A2130" s="28" t="n">
        <v>22706</v>
      </c>
      <c r="B2130" t="n">
        <v>3.98</v>
      </c>
      <c r="C2130" t="n">
        <v>2.68</v>
      </c>
    </row>
    <row r="2131">
      <c r="A2131" s="28" t="n">
        <v>22707</v>
      </c>
      <c r="B2131" t="n">
        <v>3.98</v>
      </c>
      <c r="C2131" t="n">
        <v>2.69</v>
      </c>
    </row>
    <row r="2132">
      <c r="A2132" s="28" t="n">
        <v>22710</v>
      </c>
      <c r="B2132" t="n">
        <v>4</v>
      </c>
      <c r="C2132" t="n">
        <v>2.7</v>
      </c>
    </row>
    <row r="2133">
      <c r="A2133" s="28" t="n">
        <v>22711</v>
      </c>
      <c r="B2133" t="n">
        <v>4.01</v>
      </c>
      <c r="C2133" t="n">
        <v>2.72</v>
      </c>
    </row>
    <row r="2134">
      <c r="A2134" s="28" t="n">
        <v>22712</v>
      </c>
      <c r="B2134" t="n">
        <v>4</v>
      </c>
      <c r="C2134" t="n">
        <v>2.75</v>
      </c>
    </row>
    <row r="2135">
      <c r="A2135" s="28" t="n">
        <v>22713</v>
      </c>
      <c r="B2135" t="n">
        <v>3.98</v>
      </c>
      <c r="C2135" t="n">
        <v>2.75</v>
      </c>
    </row>
    <row r="2136">
      <c r="A2136" s="28" t="n">
        <v>22714</v>
      </c>
      <c r="B2136" t="n">
        <v>3.96</v>
      </c>
      <c r="C2136" t="n">
        <v>2.76</v>
      </c>
    </row>
    <row r="2137">
      <c r="A2137" s="28" t="n">
        <v>22717</v>
      </c>
      <c r="B2137" t="n">
        <v>3.94</v>
      </c>
      <c r="C2137" t="n">
        <v>2.75</v>
      </c>
    </row>
    <row r="2138">
      <c r="A2138" s="28" t="n">
        <v>22718</v>
      </c>
      <c r="B2138" t="n">
        <v>3.92</v>
      </c>
      <c r="C2138" t="n">
        <v>2.75</v>
      </c>
    </row>
    <row r="2139">
      <c r="A2139" s="28" t="n">
        <v>22719</v>
      </c>
      <c r="B2139" t="n">
        <v>3.93</v>
      </c>
      <c r="C2139" t="n">
        <v>2.75</v>
      </c>
    </row>
    <row r="2140">
      <c r="A2140" s="28" t="n">
        <v>22720</v>
      </c>
      <c r="B2140" t="n">
        <v>3.96</v>
      </c>
      <c r="C2140" t="n">
        <v>2.73</v>
      </c>
    </row>
    <row r="2141">
      <c r="A2141" s="28" t="n">
        <v>22721</v>
      </c>
      <c r="B2141" t="n">
        <v>3.96</v>
      </c>
      <c r="C2141" t="n">
        <v>2.72</v>
      </c>
    </row>
    <row r="2142">
      <c r="A2142" s="28" t="n">
        <v>22724</v>
      </c>
      <c r="B2142" t="n">
        <v>3.93</v>
      </c>
      <c r="C2142" t="n">
        <v>2.7</v>
      </c>
    </row>
    <row r="2143">
      <c r="A2143" s="28" t="n">
        <v>22725</v>
      </c>
      <c r="B2143" t="n">
        <v>3.91</v>
      </c>
      <c r="C2143" t="n">
        <v>2.7</v>
      </c>
    </row>
    <row r="2144">
      <c r="A2144" s="28" t="n">
        <v>22726</v>
      </c>
      <c r="B2144" t="n">
        <v>3.86</v>
      </c>
      <c r="C2144" t="n">
        <v>2.71</v>
      </c>
    </row>
    <row r="2145">
      <c r="A2145" s="28" t="n">
        <v>22727</v>
      </c>
      <c r="B2145" t="n">
        <v>3.83</v>
      </c>
      <c r="C2145" t="n">
        <v>2.69</v>
      </c>
    </row>
    <row r="2146">
      <c r="A2146" s="28" t="n">
        <v>22728</v>
      </c>
      <c r="B2146" t="n">
        <v>3.87</v>
      </c>
      <c r="C2146" t="n">
        <v>2.7</v>
      </c>
    </row>
    <row r="2147">
      <c r="A2147" s="28" t="n">
        <v>22731</v>
      </c>
      <c r="B2147" t="n">
        <v>3.89</v>
      </c>
      <c r="C2147" t="n">
        <v>2.71</v>
      </c>
    </row>
    <row r="2148">
      <c r="A2148" s="28" t="n">
        <v>22732</v>
      </c>
      <c r="B2148" t="n">
        <v>3.9</v>
      </c>
      <c r="C2148" t="n">
        <v>2.72</v>
      </c>
    </row>
    <row r="2149">
      <c r="A2149" s="28" t="n">
        <v>22733</v>
      </c>
      <c r="B2149" t="n">
        <v>3.9</v>
      </c>
      <c r="C2149" t="n">
        <v>2.73</v>
      </c>
    </row>
    <row r="2150">
      <c r="A2150" s="28" t="n">
        <v>22734</v>
      </c>
      <c r="B2150" t="n">
        <v>3.9</v>
      </c>
      <c r="C2150" t="n">
        <v>2.75</v>
      </c>
    </row>
    <row r="2151">
      <c r="A2151" s="28" t="n">
        <v>22735</v>
      </c>
      <c r="B2151" t="n">
        <v>3.86</v>
      </c>
      <c r="C2151" t="n">
        <v>2.75</v>
      </c>
    </row>
    <row r="2152">
      <c r="A2152" s="28" t="n">
        <v>22738</v>
      </c>
      <c r="B2152" t="n">
        <v>3.86</v>
      </c>
      <c r="C2152" t="n">
        <v>2.74</v>
      </c>
    </row>
    <row r="2153">
      <c r="A2153" s="28" t="n">
        <v>22739</v>
      </c>
      <c r="B2153" t="n">
        <v>3.83</v>
      </c>
      <c r="C2153" t="n">
        <v>2.73</v>
      </c>
    </row>
    <row r="2154">
      <c r="A2154" s="28" t="n">
        <v>22740</v>
      </c>
      <c r="B2154" t="n">
        <v>3.78</v>
      </c>
      <c r="C2154" t="n">
        <v>2.7</v>
      </c>
    </row>
    <row r="2155">
      <c r="A2155" s="28" t="n">
        <v>22741</v>
      </c>
      <c r="B2155" t="n">
        <v>3.84</v>
      </c>
      <c r="C2155" t="n">
        <v>2.72</v>
      </c>
    </row>
    <row r="2156">
      <c r="A2156" s="28" t="n">
        <v>22742</v>
      </c>
      <c r="B2156" t="n">
        <v>3.81</v>
      </c>
      <c r="C2156" t="n">
        <v>2.7</v>
      </c>
    </row>
    <row r="2157">
      <c r="A2157" s="28" t="n">
        <v>22745</v>
      </c>
      <c r="B2157" t="n">
        <v>3.83</v>
      </c>
      <c r="C2157" t="n">
        <v>2.71</v>
      </c>
    </row>
    <row r="2158">
      <c r="A2158" s="28" t="n">
        <v>22746</v>
      </c>
      <c r="B2158" t="n">
        <v>3.83</v>
      </c>
      <c r="C2158" t="n">
        <v>2.74</v>
      </c>
    </row>
    <row r="2159">
      <c r="A2159" s="28" t="n">
        <v>22747</v>
      </c>
      <c r="B2159" t="n">
        <v>3.87</v>
      </c>
      <c r="C2159" t="n">
        <v>2.78</v>
      </c>
    </row>
    <row r="2160">
      <c r="A2160" s="28" t="n">
        <v>22748</v>
      </c>
      <c r="B2160" t="n">
        <v>3.86</v>
      </c>
      <c r="C2160" t="n">
        <v>2.73</v>
      </c>
    </row>
    <row r="2161">
      <c r="A2161" s="28" t="n">
        <v>22749</v>
      </c>
      <c r="B2161" t="n">
        <v>3.85</v>
      </c>
      <c r="C2161" t="n">
        <v>2.74</v>
      </c>
    </row>
    <row r="2162">
      <c r="A2162" s="28" t="n">
        <v>22752</v>
      </c>
      <c r="B2162" t="n">
        <v>3.83</v>
      </c>
      <c r="C2162" t="n">
        <v>2.71</v>
      </c>
    </row>
    <row r="2163">
      <c r="A2163" s="28" t="n">
        <v>22753</v>
      </c>
      <c r="B2163" t="n">
        <v>3.82</v>
      </c>
      <c r="C2163" t="n">
        <v>2.72</v>
      </c>
    </row>
    <row r="2164">
      <c r="A2164" s="28" t="n">
        <v>22754</v>
      </c>
      <c r="B2164" t="n">
        <v>3.81</v>
      </c>
      <c r="C2164" t="n">
        <v>2.73</v>
      </c>
    </row>
    <row r="2165">
      <c r="A2165" s="28" t="n">
        <v>22755</v>
      </c>
      <c r="B2165" t="n">
        <v>3.82</v>
      </c>
      <c r="C2165" t="n">
        <v>2.73</v>
      </c>
    </row>
    <row r="2166">
      <c r="A2166" s="28" t="n">
        <v>22756</v>
      </c>
      <c r="B2166" t="n">
        <v>0</v>
      </c>
      <c r="C2166" t="n">
        <v>0</v>
      </c>
    </row>
    <row r="2167">
      <c r="A2167" s="28" t="n">
        <v>22759</v>
      </c>
      <c r="B2167" t="n">
        <v>3.86</v>
      </c>
      <c r="C2167" t="n">
        <v>2.73</v>
      </c>
    </row>
    <row r="2168">
      <c r="A2168" s="28" t="n">
        <v>22760</v>
      </c>
      <c r="B2168" t="n">
        <v>3.87</v>
      </c>
      <c r="C2168" t="n">
        <v>2.73</v>
      </c>
    </row>
    <row r="2169">
      <c r="A2169" s="28" t="n">
        <v>22761</v>
      </c>
      <c r="B2169" t="n">
        <v>3.88</v>
      </c>
      <c r="C2169" t="n">
        <v>2.74</v>
      </c>
    </row>
    <row r="2170">
      <c r="A2170" s="28" t="n">
        <v>22762</v>
      </c>
      <c r="B2170" t="n">
        <v>3.89</v>
      </c>
      <c r="C2170" t="n">
        <v>2.73</v>
      </c>
    </row>
    <row r="2171">
      <c r="A2171" s="28" t="n">
        <v>22763</v>
      </c>
      <c r="B2171" t="n">
        <v>3.86</v>
      </c>
      <c r="C2171" t="n">
        <v>2.74</v>
      </c>
    </row>
    <row r="2172">
      <c r="A2172" s="28" t="n">
        <v>22766</v>
      </c>
      <c r="B2172" t="n">
        <v>3.86</v>
      </c>
      <c r="C2172" t="n">
        <v>2.74</v>
      </c>
    </row>
    <row r="2173">
      <c r="A2173" s="28" t="n">
        <v>22767</v>
      </c>
      <c r="B2173" t="n">
        <v>3.85</v>
      </c>
      <c r="C2173" t="n">
        <v>2.74</v>
      </c>
    </row>
    <row r="2174">
      <c r="A2174" s="28" t="n">
        <v>22768</v>
      </c>
      <c r="B2174" t="n">
        <v>3.86</v>
      </c>
      <c r="C2174" t="n">
        <v>2.74</v>
      </c>
    </row>
    <row r="2175">
      <c r="A2175" s="28" t="n">
        <v>22769</v>
      </c>
      <c r="B2175" t="n">
        <v>3.86</v>
      </c>
      <c r="C2175" t="n">
        <v>2.73</v>
      </c>
    </row>
    <row r="2176">
      <c r="A2176" s="28" t="n">
        <v>22770</v>
      </c>
      <c r="B2176" t="n">
        <v>3.87</v>
      </c>
      <c r="C2176" t="n">
        <v>2.73</v>
      </c>
    </row>
    <row r="2177">
      <c r="A2177" s="28" t="n">
        <v>22773</v>
      </c>
      <c r="B2177" t="n">
        <v>3.86</v>
      </c>
      <c r="C2177" t="n">
        <v>2.7</v>
      </c>
    </row>
    <row r="2178">
      <c r="A2178" s="28" t="n">
        <v>22774</v>
      </c>
      <c r="B2178" t="n">
        <v>3.85</v>
      </c>
      <c r="C2178" t="n">
        <v>2.68</v>
      </c>
    </row>
    <row r="2179">
      <c r="A2179" s="28" t="n">
        <v>22775</v>
      </c>
      <c r="B2179" t="n">
        <v>3.82</v>
      </c>
      <c r="C2179" t="n">
        <v>2.67</v>
      </c>
    </row>
    <row r="2180">
      <c r="A2180" s="28" t="n">
        <v>22776</v>
      </c>
      <c r="B2180" t="n">
        <v>3.83</v>
      </c>
      <c r="C2180" t="n">
        <v>2.66</v>
      </c>
    </row>
    <row r="2181">
      <c r="A2181" s="28" t="n">
        <v>22777</v>
      </c>
      <c r="B2181" t="n">
        <v>3.82</v>
      </c>
      <c r="C2181" t="n">
        <v>2.63</v>
      </c>
    </row>
    <row r="2182">
      <c r="A2182" s="28" t="n">
        <v>22780</v>
      </c>
      <c r="B2182" t="n">
        <v>3.85</v>
      </c>
      <c r="C2182" t="n">
        <v>2.64</v>
      </c>
    </row>
    <row r="2183">
      <c r="A2183" s="28" t="n">
        <v>22781</v>
      </c>
      <c r="B2183" t="n">
        <v>3.87</v>
      </c>
      <c r="C2183" t="n">
        <v>2.66</v>
      </c>
    </row>
    <row r="2184">
      <c r="A2184" s="28" t="n">
        <v>22782</v>
      </c>
      <c r="B2184" t="n">
        <v>3.86</v>
      </c>
      <c r="C2184" t="n">
        <v>2.67</v>
      </c>
    </row>
    <row r="2185">
      <c r="A2185" s="28" t="n">
        <v>22783</v>
      </c>
      <c r="B2185" t="n">
        <v>3.87</v>
      </c>
      <c r="C2185" t="n">
        <v>2.68</v>
      </c>
    </row>
    <row r="2186">
      <c r="A2186" s="28" t="n">
        <v>22784</v>
      </c>
      <c r="B2186" t="n">
        <v>3.93</v>
      </c>
      <c r="C2186" t="n">
        <v>2.68</v>
      </c>
    </row>
    <row r="2187">
      <c r="A2187" s="28" t="n">
        <v>22787</v>
      </c>
      <c r="B2187" t="n">
        <v>3.94</v>
      </c>
      <c r="C2187" t="n">
        <v>2.68</v>
      </c>
    </row>
    <row r="2188">
      <c r="A2188" s="28" t="n">
        <v>22788</v>
      </c>
      <c r="B2188" t="n">
        <v>3.93</v>
      </c>
      <c r="C2188" t="n">
        <v>2.68</v>
      </c>
    </row>
    <row r="2189">
      <c r="A2189" s="28" t="n">
        <v>22789</v>
      </c>
      <c r="B2189" t="n">
        <v>3.91</v>
      </c>
      <c r="C2189" t="n">
        <v>2.7</v>
      </c>
    </row>
    <row r="2190">
      <c r="A2190" s="28" t="n">
        <v>22790</v>
      </c>
      <c r="B2190" t="n">
        <v>3.9</v>
      </c>
      <c r="C2190" t="n">
        <v>2.7</v>
      </c>
    </row>
    <row r="2191">
      <c r="A2191" s="28" t="n">
        <v>22791</v>
      </c>
      <c r="B2191" t="n">
        <v>3.88</v>
      </c>
      <c r="C2191" t="n">
        <v>2.69</v>
      </c>
    </row>
    <row r="2192">
      <c r="A2192" s="28" t="n">
        <v>22794</v>
      </c>
      <c r="B2192" t="n">
        <v>3.87</v>
      </c>
      <c r="C2192" t="n">
        <v>2.65</v>
      </c>
    </row>
    <row r="2193">
      <c r="A2193" s="28" t="n">
        <v>22795</v>
      </c>
      <c r="B2193" t="n">
        <v>3.89</v>
      </c>
      <c r="C2193" t="n">
        <v>2.66</v>
      </c>
    </row>
    <row r="2194">
      <c r="A2194" s="28" t="n">
        <v>22796</v>
      </c>
      <c r="B2194" t="n">
        <v>0</v>
      </c>
      <c r="C2194" t="n">
        <v>0</v>
      </c>
    </row>
    <row r="2195">
      <c r="A2195" s="28" t="n">
        <v>22797</v>
      </c>
      <c r="B2195" t="n">
        <v>3.9</v>
      </c>
      <c r="C2195" t="n">
        <v>2.7</v>
      </c>
    </row>
    <row r="2196">
      <c r="A2196" s="28" t="n">
        <v>22798</v>
      </c>
      <c r="B2196" t="n">
        <v>3.89</v>
      </c>
      <c r="C2196" t="n">
        <v>2.69</v>
      </c>
    </row>
    <row r="2197">
      <c r="A2197" s="28" t="n">
        <v>22801</v>
      </c>
      <c r="B2197" t="n">
        <v>3.88</v>
      </c>
      <c r="C2197" t="n">
        <v>2.66</v>
      </c>
    </row>
    <row r="2198">
      <c r="A2198" s="28" t="n">
        <v>22802</v>
      </c>
      <c r="B2198" t="n">
        <v>3.89</v>
      </c>
      <c r="C2198" t="n">
        <v>2.65</v>
      </c>
    </row>
    <row r="2199">
      <c r="A2199" s="28" t="n">
        <v>22803</v>
      </c>
      <c r="B2199" t="n">
        <v>3.89</v>
      </c>
      <c r="C2199" t="n">
        <v>2.66</v>
      </c>
    </row>
    <row r="2200">
      <c r="A2200" s="28" t="n">
        <v>22804</v>
      </c>
      <c r="B2200" t="n">
        <v>3.87</v>
      </c>
      <c r="C2200" t="n">
        <v>2.64</v>
      </c>
    </row>
    <row r="2201">
      <c r="A2201" s="28" t="n">
        <v>22805</v>
      </c>
      <c r="B2201" t="n">
        <v>3.86</v>
      </c>
      <c r="C2201" t="n">
        <v>2.65</v>
      </c>
    </row>
    <row r="2202">
      <c r="A2202" s="28" t="n">
        <v>22808</v>
      </c>
      <c r="B2202" t="n">
        <v>3.87</v>
      </c>
      <c r="C2202" t="n">
        <v>2.65</v>
      </c>
    </row>
    <row r="2203">
      <c r="A2203" s="28" t="n">
        <v>22809</v>
      </c>
      <c r="B2203" t="n">
        <v>3.86</v>
      </c>
      <c r="C2203" t="n">
        <v>2.67</v>
      </c>
    </row>
    <row r="2204">
      <c r="A2204" s="28" t="n">
        <v>22810</v>
      </c>
      <c r="B2204" t="n">
        <v>3.87</v>
      </c>
      <c r="C2204" t="n">
        <v>2.71</v>
      </c>
    </row>
    <row r="2205">
      <c r="A2205" s="28" t="n">
        <v>22811</v>
      </c>
      <c r="B2205" t="n">
        <v>3.9</v>
      </c>
      <c r="C2205" t="n">
        <v>2.73</v>
      </c>
    </row>
    <row r="2206">
      <c r="A2206" s="28" t="n">
        <v>22812</v>
      </c>
      <c r="B2206" t="n">
        <v>3.89</v>
      </c>
      <c r="C2206" t="n">
        <v>2.71</v>
      </c>
    </row>
    <row r="2207">
      <c r="A2207" s="28" t="n">
        <v>22815</v>
      </c>
      <c r="B2207" t="n">
        <v>3.91</v>
      </c>
      <c r="C2207" t="n">
        <v>2.72</v>
      </c>
    </row>
    <row r="2208">
      <c r="A2208" s="28" t="n">
        <v>22816</v>
      </c>
      <c r="B2208" t="n">
        <v>3.93</v>
      </c>
      <c r="C2208" t="n">
        <v>2.75</v>
      </c>
    </row>
    <row r="2209">
      <c r="A2209" s="28" t="n">
        <v>22817</v>
      </c>
      <c r="B2209" t="n">
        <v>3.92</v>
      </c>
      <c r="C2209" t="n">
        <v>2.73</v>
      </c>
    </row>
    <row r="2210">
      <c r="A2210" s="28" t="n">
        <v>22818</v>
      </c>
      <c r="B2210" t="n">
        <v>3.9</v>
      </c>
      <c r="C2210" t="n">
        <v>2.72</v>
      </c>
    </row>
    <row r="2211">
      <c r="A2211" s="28" t="n">
        <v>22819</v>
      </c>
      <c r="B2211" t="n">
        <v>3.9</v>
      </c>
      <c r="C2211" t="n">
        <v>2.74</v>
      </c>
    </row>
    <row r="2212">
      <c r="A2212" s="28" t="n">
        <v>22822</v>
      </c>
      <c r="B2212" t="n">
        <v>3.95</v>
      </c>
      <c r="C2212" t="n">
        <v>2.79</v>
      </c>
    </row>
    <row r="2213">
      <c r="A2213" s="28" t="n">
        <v>22823</v>
      </c>
      <c r="B2213" t="n">
        <v>3.97</v>
      </c>
      <c r="C2213" t="n">
        <v>2.83</v>
      </c>
    </row>
    <row r="2214">
      <c r="A2214" s="28" t="n">
        <v>22824</v>
      </c>
      <c r="B2214" t="n">
        <v>3.96</v>
      </c>
      <c r="C2214" t="n">
        <v>2.83</v>
      </c>
    </row>
    <row r="2215">
      <c r="A2215" s="28" t="n">
        <v>22825</v>
      </c>
      <c r="B2215" t="n">
        <v>3.98</v>
      </c>
      <c r="C2215" t="n">
        <v>2.86</v>
      </c>
    </row>
    <row r="2216">
      <c r="A2216" s="28" t="n">
        <v>22826</v>
      </c>
      <c r="B2216" t="n">
        <v>4</v>
      </c>
      <c r="C2216" t="n">
        <v>2.9</v>
      </c>
    </row>
    <row r="2217">
      <c r="A2217" s="28" t="n">
        <v>22829</v>
      </c>
      <c r="B2217" t="n">
        <v>4</v>
      </c>
      <c r="C2217" t="n">
        <v>2.92</v>
      </c>
    </row>
    <row r="2218">
      <c r="A2218" s="28" t="n">
        <v>22830</v>
      </c>
      <c r="B2218" t="n">
        <v>4</v>
      </c>
      <c r="C2218" t="n">
        <v>2.9</v>
      </c>
    </row>
    <row r="2219">
      <c r="A2219" s="28" t="n">
        <v>22831</v>
      </c>
      <c r="B2219" t="n">
        <v>0</v>
      </c>
      <c r="C2219" t="n">
        <v>0</v>
      </c>
    </row>
    <row r="2220">
      <c r="A2220" s="28" t="n">
        <v>22832</v>
      </c>
      <c r="B2220" t="n">
        <v>4</v>
      </c>
      <c r="C2220" t="n">
        <v>2.92</v>
      </c>
    </row>
    <row r="2221">
      <c r="A2221" s="28" t="n">
        <v>22833</v>
      </c>
      <c r="B2221" t="n">
        <v>4.02</v>
      </c>
      <c r="C2221" t="n">
        <v>2.93</v>
      </c>
    </row>
    <row r="2222">
      <c r="A2222" s="28" t="n">
        <v>22836</v>
      </c>
      <c r="B2222" t="n">
        <v>4.05</v>
      </c>
      <c r="C2222" t="n">
        <v>2.96</v>
      </c>
    </row>
    <row r="2223">
      <c r="A2223" s="28" t="n">
        <v>22837</v>
      </c>
      <c r="B2223" t="n">
        <v>4.02</v>
      </c>
      <c r="C2223" t="n">
        <v>2.96</v>
      </c>
    </row>
    <row r="2224">
      <c r="A2224" s="28" t="n">
        <v>22838</v>
      </c>
      <c r="B2224" t="n">
        <v>3.99</v>
      </c>
      <c r="C2224" t="n">
        <v>2.97</v>
      </c>
    </row>
    <row r="2225">
      <c r="A2225" s="28" t="n">
        <v>22839</v>
      </c>
      <c r="B2225" t="n">
        <v>4</v>
      </c>
      <c r="C2225" t="n">
        <v>2.98</v>
      </c>
    </row>
    <row r="2226">
      <c r="A2226" s="28" t="n">
        <v>22840</v>
      </c>
      <c r="B2226" t="n">
        <v>4</v>
      </c>
      <c r="C2226" t="n">
        <v>2.96</v>
      </c>
    </row>
    <row r="2227">
      <c r="A2227" s="28" t="n">
        <v>22843</v>
      </c>
      <c r="B2227" t="n">
        <v>4.01</v>
      </c>
      <c r="C2227" t="n">
        <v>2.97</v>
      </c>
    </row>
    <row r="2228">
      <c r="A2228" s="28" t="n">
        <v>22844</v>
      </c>
      <c r="B2228" t="n">
        <v>4.03</v>
      </c>
      <c r="C2228" t="n">
        <v>2.97</v>
      </c>
    </row>
    <row r="2229">
      <c r="A2229" s="28" t="n">
        <v>22845</v>
      </c>
      <c r="B2229" t="n">
        <v>4.02</v>
      </c>
      <c r="C2229" t="n">
        <v>2.97</v>
      </c>
    </row>
    <row r="2230">
      <c r="A2230" s="28" t="n">
        <v>22846</v>
      </c>
      <c r="B2230" t="n">
        <v>4.02</v>
      </c>
      <c r="C2230" t="n">
        <v>2.93</v>
      </c>
    </row>
    <row r="2231">
      <c r="A2231" s="28" t="n">
        <v>22847</v>
      </c>
      <c r="B2231" t="n">
        <v>4.01</v>
      </c>
      <c r="C2231" t="n">
        <v>2.91</v>
      </c>
    </row>
    <row r="2232">
      <c r="A2232" s="28" t="n">
        <v>22850</v>
      </c>
      <c r="B2232" t="n">
        <v>4</v>
      </c>
      <c r="C2232" t="n">
        <v>2.87</v>
      </c>
    </row>
    <row r="2233">
      <c r="A2233" s="28" t="n">
        <v>22851</v>
      </c>
      <c r="B2233" t="n">
        <v>4.01</v>
      </c>
      <c r="C2233" t="n">
        <v>2.86</v>
      </c>
    </row>
    <row r="2234">
      <c r="A2234" s="28" t="n">
        <v>22852</v>
      </c>
      <c r="B2234" t="n">
        <v>4.02</v>
      </c>
      <c r="C2234" t="n">
        <v>2.89</v>
      </c>
    </row>
    <row r="2235">
      <c r="A2235" s="28" t="n">
        <v>22853</v>
      </c>
      <c r="B2235" t="n">
        <v>4.01</v>
      </c>
      <c r="C2235" t="n">
        <v>2.89</v>
      </c>
    </row>
    <row r="2236">
      <c r="A2236" s="28" t="n">
        <v>22854</v>
      </c>
      <c r="B2236" t="n">
        <v>4.02</v>
      </c>
      <c r="C2236" t="n">
        <v>2.88</v>
      </c>
    </row>
    <row r="2237">
      <c r="A2237" s="28" t="n">
        <v>22857</v>
      </c>
      <c r="B2237" t="n">
        <v>4.03</v>
      </c>
      <c r="C2237" t="n">
        <v>2.86</v>
      </c>
    </row>
    <row r="2238">
      <c r="A2238" s="28" t="n">
        <v>22858</v>
      </c>
      <c r="B2238" t="n">
        <v>4.04</v>
      </c>
      <c r="C2238" t="n">
        <v>2.86</v>
      </c>
    </row>
    <row r="2239">
      <c r="A2239" s="28" t="n">
        <v>22859</v>
      </c>
      <c r="B2239" t="n">
        <v>4.03</v>
      </c>
      <c r="C2239" t="n">
        <v>2.87</v>
      </c>
    </row>
    <row r="2240">
      <c r="A2240" s="28" t="n">
        <v>22860</v>
      </c>
      <c r="B2240" t="n">
        <v>4</v>
      </c>
      <c r="C2240" t="n">
        <v>2.83</v>
      </c>
    </row>
    <row r="2241">
      <c r="A2241" s="28" t="n">
        <v>22861</v>
      </c>
      <c r="B2241" t="n">
        <v>4.01</v>
      </c>
      <c r="C2241" t="n">
        <v>2.82</v>
      </c>
    </row>
    <row r="2242">
      <c r="A2242" s="28" t="n">
        <v>22864</v>
      </c>
      <c r="B2242" t="n">
        <v>4.01</v>
      </c>
      <c r="C2242" t="n">
        <v>2.8</v>
      </c>
    </row>
    <row r="2243">
      <c r="A2243" s="28" t="n">
        <v>22865</v>
      </c>
      <c r="B2243" t="n">
        <v>4.02</v>
      </c>
      <c r="C2243" t="n">
        <v>2.83</v>
      </c>
    </row>
    <row r="2244">
      <c r="A2244" s="28" t="n">
        <v>22866</v>
      </c>
      <c r="B2244" t="n">
        <v>4.01</v>
      </c>
      <c r="C2244" t="n">
        <v>2.84</v>
      </c>
    </row>
    <row r="2245">
      <c r="A2245" s="28" t="n">
        <v>22867</v>
      </c>
      <c r="B2245" t="n">
        <v>3.99</v>
      </c>
      <c r="C2245" t="n">
        <v>2.83</v>
      </c>
    </row>
    <row r="2246">
      <c r="A2246" s="28" t="n">
        <v>22868</v>
      </c>
      <c r="B2246" t="n">
        <v>3.99</v>
      </c>
      <c r="C2246" t="n">
        <v>2.83</v>
      </c>
    </row>
    <row r="2247">
      <c r="A2247" s="28" t="n">
        <v>22871</v>
      </c>
      <c r="B2247" t="n">
        <v>3.99</v>
      </c>
      <c r="C2247" t="n">
        <v>2.82</v>
      </c>
    </row>
    <row r="2248">
      <c r="A2248" s="28" t="n">
        <v>22872</v>
      </c>
      <c r="B2248" t="n">
        <v>3.98</v>
      </c>
      <c r="C2248" t="n">
        <v>2.83</v>
      </c>
    </row>
    <row r="2249">
      <c r="A2249" s="28" t="n">
        <v>22873</v>
      </c>
      <c r="B2249" t="n">
        <v>3.98</v>
      </c>
      <c r="C2249" t="n">
        <v>2.86</v>
      </c>
    </row>
    <row r="2250">
      <c r="A2250" s="28" t="n">
        <v>22874</v>
      </c>
      <c r="B2250" t="n">
        <v>3.96</v>
      </c>
      <c r="C2250" t="n">
        <v>2.83</v>
      </c>
    </row>
    <row r="2251">
      <c r="A2251" s="28" t="n">
        <v>22875</v>
      </c>
      <c r="B2251" t="n">
        <v>3.96</v>
      </c>
      <c r="C2251" t="n">
        <v>2.84</v>
      </c>
    </row>
    <row r="2252">
      <c r="A2252" s="28" t="n">
        <v>22878</v>
      </c>
      <c r="B2252" t="n">
        <v>3.94</v>
      </c>
      <c r="C2252" t="n">
        <v>2.82</v>
      </c>
    </row>
    <row r="2253">
      <c r="A2253" s="28" t="n">
        <v>22879</v>
      </c>
      <c r="B2253" t="n">
        <v>3.94</v>
      </c>
      <c r="C2253" t="n">
        <v>2.82</v>
      </c>
    </row>
    <row r="2254">
      <c r="A2254" s="28" t="n">
        <v>22880</v>
      </c>
      <c r="B2254" t="n">
        <v>3.95</v>
      </c>
      <c r="C2254" t="n">
        <v>2.82</v>
      </c>
    </row>
    <row r="2255">
      <c r="A2255" s="28" t="n">
        <v>22881</v>
      </c>
      <c r="B2255" t="n">
        <v>3.95</v>
      </c>
      <c r="C2255" t="n">
        <v>2.82</v>
      </c>
    </row>
    <row r="2256">
      <c r="A2256" s="28" t="n">
        <v>22882</v>
      </c>
      <c r="B2256" t="n">
        <v>3.95</v>
      </c>
      <c r="C2256" t="n">
        <v>2.82</v>
      </c>
    </row>
    <row r="2257">
      <c r="A2257" s="28" t="n">
        <v>22885</v>
      </c>
      <c r="B2257" t="n">
        <v>3.95</v>
      </c>
      <c r="C2257" t="n">
        <v>2.8</v>
      </c>
    </row>
    <row r="2258">
      <c r="A2258" s="28" t="n">
        <v>22886</v>
      </c>
      <c r="B2258" t="n">
        <v>3.96</v>
      </c>
      <c r="C2258" t="n">
        <v>2.78</v>
      </c>
    </row>
    <row r="2259">
      <c r="A2259" s="28" t="n">
        <v>22887</v>
      </c>
      <c r="B2259" t="n">
        <v>3.96</v>
      </c>
      <c r="C2259" t="n">
        <v>2.81</v>
      </c>
    </row>
    <row r="2260">
      <c r="A2260" s="28" t="n">
        <v>22888</v>
      </c>
      <c r="B2260" t="n">
        <v>3.95</v>
      </c>
      <c r="C2260" t="n">
        <v>2.8</v>
      </c>
    </row>
    <row r="2261">
      <c r="A2261" s="28" t="n">
        <v>22889</v>
      </c>
      <c r="B2261" t="n">
        <v>3.96</v>
      </c>
      <c r="C2261" t="n">
        <v>2.81</v>
      </c>
    </row>
    <row r="2262">
      <c r="A2262" s="28" t="n">
        <v>22892</v>
      </c>
      <c r="B2262" t="n">
        <v>0</v>
      </c>
      <c r="C2262" t="n">
        <v>0</v>
      </c>
    </row>
    <row r="2263">
      <c r="A2263" s="28" t="n">
        <v>22893</v>
      </c>
      <c r="B2263" t="n">
        <v>3.96</v>
      </c>
      <c r="C2263" t="n">
        <v>2.83</v>
      </c>
    </row>
    <row r="2264">
      <c r="A2264" s="28" t="n">
        <v>22894</v>
      </c>
      <c r="B2264" t="n">
        <v>3.97</v>
      </c>
      <c r="C2264" t="n">
        <v>2.85</v>
      </c>
    </row>
    <row r="2265">
      <c r="A2265" s="28" t="n">
        <v>22895</v>
      </c>
      <c r="B2265" t="n">
        <v>3.99</v>
      </c>
      <c r="C2265" t="n">
        <v>2.79</v>
      </c>
    </row>
    <row r="2266">
      <c r="A2266" s="28" t="n">
        <v>22896</v>
      </c>
      <c r="B2266" t="n">
        <v>4.01</v>
      </c>
      <c r="C2266" t="n">
        <v>2.79</v>
      </c>
    </row>
    <row r="2267">
      <c r="A2267" s="28" t="n">
        <v>22899</v>
      </c>
      <c r="B2267" t="n">
        <v>4</v>
      </c>
      <c r="C2267" t="n">
        <v>2.77</v>
      </c>
    </row>
    <row r="2268">
      <c r="A2268" s="28" t="n">
        <v>22900</v>
      </c>
      <c r="B2268" t="n">
        <v>4</v>
      </c>
      <c r="C2268" t="n">
        <v>2.77</v>
      </c>
    </row>
    <row r="2269">
      <c r="A2269" s="28" t="n">
        <v>22901</v>
      </c>
      <c r="B2269" t="n">
        <v>4</v>
      </c>
      <c r="C2269" t="n">
        <v>2.78</v>
      </c>
    </row>
    <row r="2270">
      <c r="A2270" s="28" t="n">
        <v>22902</v>
      </c>
      <c r="B2270" t="n">
        <v>3.99</v>
      </c>
      <c r="C2270" t="n">
        <v>2.78</v>
      </c>
    </row>
    <row r="2271">
      <c r="A2271" s="28" t="n">
        <v>22903</v>
      </c>
      <c r="B2271" t="n">
        <v>3.99</v>
      </c>
      <c r="C2271" t="n">
        <v>2.78</v>
      </c>
    </row>
    <row r="2272">
      <c r="A2272" s="28" t="n">
        <v>22906</v>
      </c>
      <c r="B2272" t="n">
        <v>3.99</v>
      </c>
      <c r="C2272" t="n">
        <v>2.78</v>
      </c>
    </row>
    <row r="2273">
      <c r="A2273" s="28" t="n">
        <v>22907</v>
      </c>
      <c r="B2273" t="n">
        <v>3.98</v>
      </c>
      <c r="C2273" t="n">
        <v>2.77</v>
      </c>
    </row>
    <row r="2274">
      <c r="A2274" s="28" t="n">
        <v>22908</v>
      </c>
      <c r="B2274" t="n">
        <v>3.99</v>
      </c>
      <c r="C2274" t="n">
        <v>2.77</v>
      </c>
    </row>
    <row r="2275">
      <c r="A2275" s="28" t="n">
        <v>22909</v>
      </c>
      <c r="B2275" t="n">
        <v>3.98</v>
      </c>
      <c r="C2275" t="n">
        <v>2.75</v>
      </c>
    </row>
    <row r="2276">
      <c r="A2276" s="28" t="n">
        <v>22910</v>
      </c>
      <c r="B2276" t="n">
        <v>3.98</v>
      </c>
      <c r="C2276" t="n">
        <v>2.76</v>
      </c>
    </row>
    <row r="2277">
      <c r="A2277" s="28" t="n">
        <v>22913</v>
      </c>
      <c r="B2277" t="n">
        <v>3.97</v>
      </c>
      <c r="C2277" t="n">
        <v>2.75</v>
      </c>
    </row>
    <row r="2278">
      <c r="A2278" s="28" t="n">
        <v>22914</v>
      </c>
      <c r="B2278" t="n">
        <v>3.96</v>
      </c>
      <c r="C2278" t="n">
        <v>2.76</v>
      </c>
    </row>
    <row r="2279">
      <c r="A2279" s="28" t="n">
        <v>22915</v>
      </c>
      <c r="B2279" t="n">
        <v>3.95</v>
      </c>
      <c r="C2279" t="n">
        <v>2.76</v>
      </c>
    </row>
    <row r="2280">
      <c r="A2280" s="28" t="n">
        <v>22916</v>
      </c>
      <c r="B2280" t="n">
        <v>3.95</v>
      </c>
      <c r="C2280" t="n">
        <v>2.76</v>
      </c>
    </row>
    <row r="2281">
      <c r="A2281" s="28" t="n">
        <v>22917</v>
      </c>
      <c r="B2281" t="n">
        <v>3.94</v>
      </c>
      <c r="C2281" t="n">
        <v>2.74</v>
      </c>
    </row>
    <row r="2282">
      <c r="A2282" s="28" t="n">
        <v>22920</v>
      </c>
      <c r="B2282" t="n">
        <v>3.93</v>
      </c>
      <c r="C2282" t="n">
        <v>2.73</v>
      </c>
    </row>
    <row r="2283">
      <c r="A2283" s="28" t="n">
        <v>22921</v>
      </c>
      <c r="B2283" t="n">
        <v>3.92</v>
      </c>
      <c r="C2283" t="n">
        <v>2.74</v>
      </c>
    </row>
    <row r="2284">
      <c r="A2284" s="28" t="n">
        <v>22922</v>
      </c>
      <c r="B2284" t="n">
        <v>3.9</v>
      </c>
      <c r="C2284" t="n">
        <v>2.77</v>
      </c>
    </row>
    <row r="2285">
      <c r="A2285" s="28" t="n">
        <v>22923</v>
      </c>
      <c r="B2285" t="n">
        <v>3.9</v>
      </c>
      <c r="C2285" t="n">
        <v>2.76</v>
      </c>
    </row>
    <row r="2286">
      <c r="A2286" s="28" t="n">
        <v>22924</v>
      </c>
      <c r="B2286" t="n">
        <v>3.92</v>
      </c>
      <c r="C2286" t="n">
        <v>2.76</v>
      </c>
    </row>
    <row r="2287">
      <c r="A2287" s="28" t="n">
        <v>22927</v>
      </c>
      <c r="B2287" t="n">
        <v>3.93</v>
      </c>
      <c r="C2287" t="n">
        <v>2.76</v>
      </c>
    </row>
    <row r="2288">
      <c r="A2288" s="28" t="n">
        <v>22928</v>
      </c>
      <c r="B2288" t="n">
        <v>3.95</v>
      </c>
      <c r="C2288" t="n">
        <v>2.75</v>
      </c>
    </row>
    <row r="2289">
      <c r="A2289" s="28" t="n">
        <v>22929</v>
      </c>
      <c r="B2289" t="n">
        <v>3.93</v>
      </c>
      <c r="C2289" t="n">
        <v>2.76</v>
      </c>
    </row>
    <row r="2290">
      <c r="A2290" s="28" t="n">
        <v>22930</v>
      </c>
      <c r="B2290" t="n">
        <v>3.94</v>
      </c>
      <c r="C2290" t="n">
        <v>2.77</v>
      </c>
    </row>
    <row r="2291">
      <c r="A2291" s="28" t="n">
        <v>22931</v>
      </c>
      <c r="B2291" t="n">
        <v>0</v>
      </c>
      <c r="C2291" t="n">
        <v>0</v>
      </c>
    </row>
    <row r="2292">
      <c r="A2292" s="28" t="n">
        <v>22934</v>
      </c>
      <c r="B2292" t="n">
        <v>3.94</v>
      </c>
      <c r="C2292" t="n">
        <v>2.75</v>
      </c>
    </row>
    <row r="2293">
      <c r="A2293" s="28" t="n">
        <v>22935</v>
      </c>
      <c r="B2293" t="n">
        <v>3.94</v>
      </c>
      <c r="C2293" t="n">
        <v>2.74</v>
      </c>
    </row>
    <row r="2294">
      <c r="A2294" s="28" t="n">
        <v>22936</v>
      </c>
      <c r="B2294" t="n">
        <v>3.94</v>
      </c>
      <c r="C2294" t="n">
        <v>2.75</v>
      </c>
    </row>
    <row r="2295">
      <c r="A2295" s="28" t="n">
        <v>22937</v>
      </c>
      <c r="B2295" t="n">
        <v>3.92</v>
      </c>
      <c r="C2295" t="n">
        <v>2.74</v>
      </c>
    </row>
    <row r="2296">
      <c r="A2296" s="28" t="n">
        <v>22938</v>
      </c>
      <c r="B2296" t="n">
        <v>3.88</v>
      </c>
      <c r="C2296" t="n">
        <v>2.72</v>
      </c>
    </row>
    <row r="2297">
      <c r="A2297" s="28" t="n">
        <v>22941</v>
      </c>
      <c r="B2297" t="n">
        <v>3.91</v>
      </c>
      <c r="C2297" t="n">
        <v>2.73</v>
      </c>
    </row>
    <row r="2298">
      <c r="A2298" s="28" t="n">
        <v>22942</v>
      </c>
      <c r="B2298" t="n">
        <v>3.94</v>
      </c>
      <c r="C2298" t="n">
        <v>2.74</v>
      </c>
    </row>
    <row r="2299">
      <c r="A2299" s="28" t="n">
        <v>22943</v>
      </c>
      <c r="B2299" t="n">
        <v>3.94</v>
      </c>
      <c r="C2299" t="n">
        <v>2.74</v>
      </c>
    </row>
    <row r="2300">
      <c r="A2300" s="28" t="n">
        <v>22944</v>
      </c>
      <c r="B2300" t="n">
        <v>3.94</v>
      </c>
      <c r="C2300" t="n">
        <v>2.74</v>
      </c>
    </row>
    <row r="2301">
      <c r="A2301" s="28" t="n">
        <v>22945</v>
      </c>
      <c r="B2301" t="n">
        <v>3.93</v>
      </c>
      <c r="C2301" t="n">
        <v>2.73</v>
      </c>
    </row>
    <row r="2302">
      <c r="A2302" s="28" t="n">
        <v>22948</v>
      </c>
      <c r="B2302" t="n">
        <v>3.92</v>
      </c>
      <c r="C2302" t="n">
        <v>2.69</v>
      </c>
    </row>
    <row r="2303">
      <c r="A2303" s="28" t="n">
        <v>22949</v>
      </c>
      <c r="B2303" t="n">
        <v>3.92</v>
      </c>
      <c r="C2303" t="n">
        <v>2.72</v>
      </c>
    </row>
    <row r="2304">
      <c r="A2304" s="28" t="n">
        <v>22950</v>
      </c>
      <c r="B2304" t="n">
        <v>3.92</v>
      </c>
      <c r="C2304" t="n">
        <v>2.72</v>
      </c>
    </row>
    <row r="2305">
      <c r="A2305" s="28" t="n">
        <v>22951</v>
      </c>
      <c r="B2305" t="n">
        <v>3.92</v>
      </c>
      <c r="C2305" t="n">
        <v>2.72</v>
      </c>
    </row>
    <row r="2306">
      <c r="A2306" s="28" t="n">
        <v>22952</v>
      </c>
      <c r="B2306" t="n">
        <v>3.91</v>
      </c>
      <c r="C2306" t="n">
        <v>2.83</v>
      </c>
    </row>
    <row r="2307">
      <c r="A2307" s="28" t="n">
        <v>22955</v>
      </c>
      <c r="B2307" t="n">
        <v>3.91</v>
      </c>
      <c r="C2307" t="n">
        <v>2.84</v>
      </c>
    </row>
    <row r="2308">
      <c r="A2308" s="28" t="n">
        <v>22956</v>
      </c>
      <c r="B2308" t="n">
        <v>0</v>
      </c>
      <c r="C2308" t="n">
        <v>0</v>
      </c>
    </row>
    <row r="2309">
      <c r="A2309" s="28" t="n">
        <v>22957</v>
      </c>
      <c r="B2309" t="n">
        <v>3.91</v>
      </c>
      <c r="C2309" t="n">
        <v>2.84</v>
      </c>
    </row>
    <row r="2310">
      <c r="A2310" s="28" t="n">
        <v>22958</v>
      </c>
      <c r="B2310" t="n">
        <v>3.9</v>
      </c>
      <c r="C2310" t="n">
        <v>2.8</v>
      </c>
    </row>
    <row r="2311">
      <c r="A2311" s="28" t="n">
        <v>22959</v>
      </c>
      <c r="B2311" t="n">
        <v>3.89</v>
      </c>
      <c r="C2311" t="n">
        <v>2.8</v>
      </c>
    </row>
    <row r="2312">
      <c r="A2312" s="28" t="n">
        <v>22962</v>
      </c>
      <c r="B2312" t="n">
        <v>0</v>
      </c>
      <c r="C2312" t="n">
        <v>0</v>
      </c>
    </row>
    <row r="2313">
      <c r="A2313" s="28" t="n">
        <v>22963</v>
      </c>
      <c r="B2313" t="n">
        <v>3.9</v>
      </c>
      <c r="C2313" t="n">
        <v>2.81</v>
      </c>
    </row>
    <row r="2314">
      <c r="A2314" s="28" t="n">
        <v>22964</v>
      </c>
      <c r="B2314" t="n">
        <v>3.91</v>
      </c>
      <c r="C2314" t="n">
        <v>2.82</v>
      </c>
    </row>
    <row r="2315">
      <c r="A2315" s="28" t="n">
        <v>22965</v>
      </c>
      <c r="B2315" t="n">
        <v>3.91</v>
      </c>
      <c r="C2315" t="n">
        <v>2.84</v>
      </c>
    </row>
    <row r="2316">
      <c r="A2316" s="28" t="n">
        <v>22966</v>
      </c>
      <c r="B2316" t="n">
        <v>3.93</v>
      </c>
      <c r="C2316" t="n">
        <v>2.83</v>
      </c>
    </row>
    <row r="2317">
      <c r="A2317" s="28" t="n">
        <v>22969</v>
      </c>
      <c r="B2317" t="n">
        <v>3.93</v>
      </c>
      <c r="C2317" t="n">
        <v>2.83</v>
      </c>
    </row>
    <row r="2318">
      <c r="A2318" s="28" t="n">
        <v>22970</v>
      </c>
      <c r="B2318" t="n">
        <v>3.93</v>
      </c>
      <c r="C2318" t="n">
        <v>2.83</v>
      </c>
    </row>
    <row r="2319">
      <c r="A2319" s="28" t="n">
        <v>22971</v>
      </c>
      <c r="B2319" t="n">
        <v>3.92</v>
      </c>
      <c r="C2319" t="n">
        <v>2.84</v>
      </c>
    </row>
    <row r="2320">
      <c r="A2320" s="28" t="n">
        <v>22972</v>
      </c>
      <c r="B2320" t="n">
        <v>0</v>
      </c>
      <c r="C2320" t="n">
        <v>0</v>
      </c>
    </row>
    <row r="2321">
      <c r="A2321" s="28" t="n">
        <v>22973</v>
      </c>
      <c r="B2321" t="n">
        <v>3.92</v>
      </c>
      <c r="C2321" t="n">
        <v>2.84</v>
      </c>
    </row>
    <row r="2322">
      <c r="A2322" s="28" t="n">
        <v>22976</v>
      </c>
      <c r="B2322" t="n">
        <v>3.93</v>
      </c>
      <c r="C2322" t="n">
        <v>2.85</v>
      </c>
    </row>
    <row r="2323">
      <c r="A2323" s="28" t="n">
        <v>22977</v>
      </c>
      <c r="B2323" t="n">
        <v>3.92</v>
      </c>
      <c r="C2323" t="n">
        <v>2.87</v>
      </c>
    </row>
    <row r="2324">
      <c r="A2324" s="28" t="n">
        <v>22978</v>
      </c>
      <c r="B2324" t="n">
        <v>3.92</v>
      </c>
      <c r="C2324" t="n">
        <v>2.87</v>
      </c>
    </row>
    <row r="2325">
      <c r="A2325" s="28" t="n">
        <v>22979</v>
      </c>
      <c r="B2325" t="n">
        <v>3.92</v>
      </c>
      <c r="C2325" t="n">
        <v>2.86</v>
      </c>
    </row>
    <row r="2326">
      <c r="A2326" s="28" t="n">
        <v>22980</v>
      </c>
      <c r="B2326" t="n">
        <v>3.92</v>
      </c>
      <c r="C2326" t="n">
        <v>2.86</v>
      </c>
    </row>
    <row r="2327">
      <c r="A2327" s="28" t="n">
        <v>22983</v>
      </c>
      <c r="B2327" t="n">
        <v>3.93</v>
      </c>
      <c r="C2327" t="n">
        <v>2.86</v>
      </c>
    </row>
    <row r="2328">
      <c r="A2328" s="28" t="n">
        <v>22984</v>
      </c>
      <c r="B2328" t="n">
        <v>3.94</v>
      </c>
      <c r="C2328" t="n">
        <v>2.86</v>
      </c>
    </row>
    <row r="2329">
      <c r="A2329" s="28" t="n">
        <v>22985</v>
      </c>
      <c r="B2329" t="n">
        <v>3.93</v>
      </c>
      <c r="C2329" t="n">
        <v>2.85</v>
      </c>
    </row>
    <row r="2330">
      <c r="A2330" s="28" t="n">
        <v>22986</v>
      </c>
      <c r="B2330" t="n">
        <v>3.92</v>
      </c>
      <c r="C2330" t="n">
        <v>2.84</v>
      </c>
    </row>
    <row r="2331">
      <c r="A2331" s="28" t="n">
        <v>22987</v>
      </c>
      <c r="B2331" t="n">
        <v>3.91</v>
      </c>
      <c r="C2331" t="n">
        <v>2.83</v>
      </c>
    </row>
    <row r="2332">
      <c r="A2332" s="28" t="n">
        <v>22990</v>
      </c>
      <c r="B2332" t="n">
        <v>3.9</v>
      </c>
      <c r="C2332" t="n">
        <v>2.82</v>
      </c>
    </row>
    <row r="2333">
      <c r="A2333" s="28" t="n">
        <v>22991</v>
      </c>
      <c r="B2333" t="n">
        <v>3.89</v>
      </c>
      <c r="C2333" t="n">
        <v>2.84</v>
      </c>
    </row>
    <row r="2334">
      <c r="A2334" s="28" t="n">
        <v>22992</v>
      </c>
      <c r="B2334" t="n">
        <v>3.88</v>
      </c>
      <c r="C2334" t="n">
        <v>2.85</v>
      </c>
    </row>
    <row r="2335">
      <c r="A2335" s="28" t="n">
        <v>22993</v>
      </c>
      <c r="B2335" t="n">
        <v>3.88</v>
      </c>
      <c r="C2335" t="n">
        <v>2.85</v>
      </c>
    </row>
    <row r="2336">
      <c r="A2336" s="28" t="n">
        <v>22994</v>
      </c>
      <c r="B2336" t="n">
        <v>3.87</v>
      </c>
      <c r="C2336" t="n">
        <v>2.85</v>
      </c>
    </row>
    <row r="2337">
      <c r="A2337" s="28" t="n">
        <v>22997</v>
      </c>
      <c r="B2337" t="n">
        <v>3.85</v>
      </c>
      <c r="C2337" t="n">
        <v>2.86</v>
      </c>
    </row>
    <row r="2338">
      <c r="A2338" s="28" t="n">
        <v>22998</v>
      </c>
      <c r="B2338" t="n">
        <v>3.83</v>
      </c>
      <c r="C2338" t="n">
        <v>2.87</v>
      </c>
    </row>
    <row r="2339">
      <c r="A2339" s="28" t="n">
        <v>22999</v>
      </c>
      <c r="B2339" t="n">
        <v>3.84</v>
      </c>
      <c r="C2339" t="n">
        <v>2.88</v>
      </c>
    </row>
    <row r="2340">
      <c r="A2340" s="28" t="n">
        <v>23000</v>
      </c>
      <c r="B2340" t="n">
        <v>3.83</v>
      </c>
      <c r="C2340" t="n">
        <v>2.89</v>
      </c>
    </row>
    <row r="2341">
      <c r="A2341" s="28" t="n">
        <v>23001</v>
      </c>
      <c r="B2341" t="n">
        <v>3.81</v>
      </c>
      <c r="C2341" t="n">
        <v>2.88</v>
      </c>
    </row>
    <row r="2342">
      <c r="A2342" s="28" t="n">
        <v>23004</v>
      </c>
      <c r="B2342" t="n">
        <v>3.79</v>
      </c>
      <c r="C2342" t="n">
        <v>2.88</v>
      </c>
    </row>
    <row r="2343">
      <c r="A2343" s="28" t="n">
        <v>23005</v>
      </c>
      <c r="B2343" t="n">
        <v>0</v>
      </c>
      <c r="C2343" t="n">
        <v>0</v>
      </c>
    </row>
    <row r="2344">
      <c r="A2344" s="28" t="n">
        <v>23006</v>
      </c>
      <c r="B2344" t="n">
        <v>3.79</v>
      </c>
      <c r="C2344" t="n">
        <v>2.86</v>
      </c>
    </row>
    <row r="2345">
      <c r="A2345" s="28" t="n">
        <v>23007</v>
      </c>
      <c r="B2345" t="n">
        <v>3.81</v>
      </c>
      <c r="C2345" t="n">
        <v>2.9</v>
      </c>
    </row>
    <row r="2346">
      <c r="A2346" s="28" t="n">
        <v>23008</v>
      </c>
      <c r="B2346" t="n">
        <v>3.84</v>
      </c>
      <c r="C2346" t="n">
        <v>2.93</v>
      </c>
    </row>
    <row r="2347">
      <c r="A2347" s="28" t="n">
        <v>23011</v>
      </c>
      <c r="B2347" t="n">
        <v>3.85</v>
      </c>
      <c r="C2347" t="n">
        <v>2.92</v>
      </c>
    </row>
    <row r="2348">
      <c r="A2348" s="28" t="n">
        <v>23012</v>
      </c>
      <c r="B2348" t="n">
        <v>0</v>
      </c>
      <c r="C2348" t="n">
        <v>0</v>
      </c>
    </row>
    <row r="2349">
      <c r="A2349" s="28" t="n">
        <v>23013</v>
      </c>
      <c r="B2349" t="n">
        <v>3.82</v>
      </c>
      <c r="C2349" t="n">
        <v>2.88</v>
      </c>
    </row>
    <row r="2350">
      <c r="A2350" s="28" t="n">
        <v>23014</v>
      </c>
      <c r="B2350" t="n">
        <v>3.81</v>
      </c>
      <c r="C2350" t="n">
        <v>2.86</v>
      </c>
    </row>
    <row r="2351">
      <c r="A2351" s="28" t="n">
        <v>23015</v>
      </c>
      <c r="B2351" t="n">
        <v>3.84</v>
      </c>
      <c r="C2351" t="n">
        <v>2.9</v>
      </c>
    </row>
    <row r="2352">
      <c r="A2352" s="28" t="n">
        <v>23018</v>
      </c>
      <c r="B2352" t="n">
        <v>3.83</v>
      </c>
      <c r="C2352" t="n">
        <v>2.91</v>
      </c>
    </row>
    <row r="2353">
      <c r="A2353" s="28" t="n">
        <v>23019</v>
      </c>
      <c r="B2353" t="n">
        <v>3.81</v>
      </c>
      <c r="C2353" t="n">
        <v>2.9</v>
      </c>
    </row>
    <row r="2354">
      <c r="A2354" s="28" t="n">
        <v>23020</v>
      </c>
      <c r="B2354" t="n">
        <v>3.82</v>
      </c>
      <c r="C2354" t="n">
        <v>2.89</v>
      </c>
    </row>
    <row r="2355">
      <c r="A2355" s="28" t="n">
        <v>23021</v>
      </c>
      <c r="B2355" t="n">
        <v>3.81</v>
      </c>
      <c r="C2355" t="n">
        <v>2.89</v>
      </c>
    </row>
    <row r="2356">
      <c r="A2356" s="28" t="n">
        <v>23022</v>
      </c>
      <c r="B2356" t="n">
        <v>3.8</v>
      </c>
      <c r="C2356" t="n">
        <v>2.89</v>
      </c>
    </row>
    <row r="2357">
      <c r="A2357" s="28" t="n">
        <v>23025</v>
      </c>
      <c r="B2357" t="n">
        <v>3.81</v>
      </c>
      <c r="C2357" t="n">
        <v>2.88</v>
      </c>
    </row>
    <row r="2358">
      <c r="A2358" s="28" t="n">
        <v>23026</v>
      </c>
      <c r="B2358" t="n">
        <v>3.8</v>
      </c>
      <c r="C2358" t="n">
        <v>2.88</v>
      </c>
    </row>
    <row r="2359">
      <c r="A2359" s="28" t="n">
        <v>23027</v>
      </c>
      <c r="B2359" t="n">
        <v>3.8</v>
      </c>
      <c r="C2359" t="n">
        <v>2.89</v>
      </c>
    </row>
    <row r="2360">
      <c r="A2360" s="28" t="n">
        <v>23028</v>
      </c>
      <c r="B2360" t="n">
        <v>3.82</v>
      </c>
      <c r="C2360" t="n">
        <v>2.91</v>
      </c>
    </row>
    <row r="2361">
      <c r="A2361" s="28" t="n">
        <v>23029</v>
      </c>
      <c r="B2361" t="n">
        <v>3.84</v>
      </c>
      <c r="C2361" t="n">
        <v>2.92</v>
      </c>
    </row>
    <row r="2362">
      <c r="A2362" s="28" t="n">
        <v>23032</v>
      </c>
      <c r="B2362" t="n">
        <v>3.85</v>
      </c>
      <c r="C2362" t="n">
        <v>2.92</v>
      </c>
    </row>
    <row r="2363">
      <c r="A2363" s="28" t="n">
        <v>23033</v>
      </c>
      <c r="B2363" t="n">
        <v>3.86</v>
      </c>
      <c r="C2363" t="n">
        <v>2.93</v>
      </c>
    </row>
    <row r="2364">
      <c r="A2364" s="28" t="n">
        <v>23034</v>
      </c>
      <c r="B2364" t="n">
        <v>3.86</v>
      </c>
      <c r="C2364" t="n">
        <v>2.95</v>
      </c>
    </row>
    <row r="2365">
      <c r="A2365" s="28" t="n">
        <v>23035</v>
      </c>
      <c r="B2365" t="n">
        <v>3.86</v>
      </c>
      <c r="C2365" t="n">
        <v>2.94</v>
      </c>
    </row>
    <row r="2366">
      <c r="A2366" s="28" t="n">
        <v>23036</v>
      </c>
      <c r="B2366" t="n">
        <v>3.85</v>
      </c>
      <c r="C2366" t="n">
        <v>2.93</v>
      </c>
    </row>
    <row r="2367">
      <c r="A2367" s="28" t="n">
        <v>23039</v>
      </c>
      <c r="B2367" t="n">
        <v>3.86</v>
      </c>
      <c r="C2367" t="n">
        <v>2.92</v>
      </c>
    </row>
    <row r="2368">
      <c r="A2368" s="28" t="n">
        <v>23040</v>
      </c>
      <c r="B2368" t="n">
        <v>3.86</v>
      </c>
      <c r="C2368" t="n">
        <v>2.93</v>
      </c>
    </row>
    <row r="2369">
      <c r="A2369" s="28" t="n">
        <v>23041</v>
      </c>
      <c r="B2369" t="n">
        <v>3.86</v>
      </c>
      <c r="C2369" t="n">
        <v>2.93</v>
      </c>
    </row>
    <row r="2370">
      <c r="A2370" s="28" t="n">
        <v>23042</v>
      </c>
      <c r="B2370" t="n">
        <v>3.87</v>
      </c>
      <c r="C2370" t="n">
        <v>2.93</v>
      </c>
    </row>
    <row r="2371">
      <c r="A2371" s="28" t="n">
        <v>23043</v>
      </c>
      <c r="B2371" t="n">
        <v>3.88</v>
      </c>
      <c r="C2371" t="n">
        <v>2.94</v>
      </c>
    </row>
    <row r="2372">
      <c r="A2372" s="28" t="n">
        <v>23046</v>
      </c>
      <c r="B2372" t="n">
        <v>3.89</v>
      </c>
      <c r="C2372" t="n">
        <v>2.94</v>
      </c>
    </row>
    <row r="2373">
      <c r="A2373" s="28" t="n">
        <v>23047</v>
      </c>
      <c r="B2373" t="n">
        <v>3.9</v>
      </c>
      <c r="C2373" t="n">
        <v>2.96</v>
      </c>
    </row>
    <row r="2374">
      <c r="A2374" s="28" t="n">
        <v>23048</v>
      </c>
      <c r="B2374" t="n">
        <v>3.91</v>
      </c>
      <c r="C2374" t="n">
        <v>2.96</v>
      </c>
    </row>
    <row r="2375">
      <c r="A2375" s="28" t="n">
        <v>23049</v>
      </c>
      <c r="B2375" t="n">
        <v>3.91</v>
      </c>
      <c r="C2375" t="n">
        <v>2.95</v>
      </c>
    </row>
    <row r="2376">
      <c r="A2376" s="28" t="n">
        <v>23050</v>
      </c>
      <c r="B2376" t="n">
        <v>3.91</v>
      </c>
      <c r="C2376" t="n">
        <v>2.95</v>
      </c>
    </row>
    <row r="2377">
      <c r="A2377" s="28" t="n">
        <v>23053</v>
      </c>
      <c r="B2377" t="n">
        <v>3.92</v>
      </c>
      <c r="C2377" t="n">
        <v>2.94</v>
      </c>
    </row>
    <row r="2378">
      <c r="A2378" s="28" t="n">
        <v>23054</v>
      </c>
      <c r="B2378" t="n">
        <v>0</v>
      </c>
      <c r="C2378" t="n">
        <v>0</v>
      </c>
    </row>
    <row r="2379">
      <c r="A2379" s="28" t="n">
        <v>23055</v>
      </c>
      <c r="B2379" t="n">
        <v>3.92</v>
      </c>
      <c r="C2379" t="n">
        <v>2.93</v>
      </c>
    </row>
    <row r="2380">
      <c r="A2380" s="28" t="n">
        <v>23056</v>
      </c>
      <c r="B2380" t="n">
        <v>3.91</v>
      </c>
      <c r="C2380" t="n">
        <v>2.92</v>
      </c>
    </row>
    <row r="2381">
      <c r="A2381" s="28" t="n">
        <v>23057</v>
      </c>
      <c r="B2381" t="n">
        <v>3.91</v>
      </c>
      <c r="C2381" t="n">
        <v>2.92</v>
      </c>
    </row>
    <row r="2382">
      <c r="A2382" s="28" t="n">
        <v>23060</v>
      </c>
      <c r="B2382" t="n">
        <v>3.91</v>
      </c>
      <c r="C2382" t="n">
        <v>2.91</v>
      </c>
    </row>
    <row r="2383">
      <c r="A2383" s="28" t="n">
        <v>23061</v>
      </c>
      <c r="B2383" t="n">
        <v>3.93</v>
      </c>
      <c r="C2383" t="n">
        <v>2.9</v>
      </c>
    </row>
    <row r="2384">
      <c r="A2384" s="28" t="n">
        <v>23062</v>
      </c>
      <c r="B2384" t="n">
        <v>3.94</v>
      </c>
      <c r="C2384" t="n">
        <v>2.9</v>
      </c>
    </row>
    <row r="2385">
      <c r="A2385" s="28" t="n">
        <v>23063</v>
      </c>
      <c r="B2385" t="n">
        <v>3.95</v>
      </c>
      <c r="C2385" t="n">
        <v>2.87</v>
      </c>
    </row>
    <row r="2386">
      <c r="A2386" s="28" t="n">
        <v>23064</v>
      </c>
      <c r="B2386" t="n">
        <v>0</v>
      </c>
      <c r="C2386" t="n">
        <v>0</v>
      </c>
    </row>
    <row r="2387">
      <c r="A2387" s="28" t="n">
        <v>23067</v>
      </c>
      <c r="B2387" t="n">
        <v>3.95</v>
      </c>
      <c r="C2387" t="n">
        <v>2.88</v>
      </c>
    </row>
    <row r="2388">
      <c r="A2388" s="28" t="n">
        <v>23068</v>
      </c>
      <c r="B2388" t="n">
        <v>3.95</v>
      </c>
      <c r="C2388" t="n">
        <v>2.9</v>
      </c>
    </row>
    <row r="2389">
      <c r="A2389" s="28" t="n">
        <v>23069</v>
      </c>
      <c r="B2389" t="n">
        <v>3.95</v>
      </c>
      <c r="C2389" t="n">
        <v>2.91</v>
      </c>
    </row>
    <row r="2390">
      <c r="A2390" s="28" t="n">
        <v>23070</v>
      </c>
      <c r="B2390" t="n">
        <v>3.94</v>
      </c>
      <c r="C2390" t="n">
        <v>2.9</v>
      </c>
    </row>
    <row r="2391">
      <c r="A2391" s="28" t="n">
        <v>23071</v>
      </c>
      <c r="B2391" t="n">
        <v>3.93</v>
      </c>
      <c r="C2391" t="n">
        <v>2.9</v>
      </c>
    </row>
    <row r="2392">
      <c r="A2392" s="28" t="n">
        <v>23074</v>
      </c>
      <c r="B2392" t="n">
        <v>3.92</v>
      </c>
      <c r="C2392" t="n">
        <v>2.89</v>
      </c>
    </row>
    <row r="2393">
      <c r="A2393" s="28" t="n">
        <v>23075</v>
      </c>
      <c r="B2393" t="n">
        <v>3.92</v>
      </c>
      <c r="C2393" t="n">
        <v>2.9</v>
      </c>
    </row>
    <row r="2394">
      <c r="A2394" s="28" t="n">
        <v>23076</v>
      </c>
      <c r="B2394" t="n">
        <v>3.91</v>
      </c>
      <c r="C2394" t="n">
        <v>2.9</v>
      </c>
    </row>
    <row r="2395">
      <c r="A2395" s="28" t="n">
        <v>23077</v>
      </c>
      <c r="B2395" t="n">
        <v>3.92</v>
      </c>
      <c r="C2395" t="n">
        <v>2.88</v>
      </c>
    </row>
    <row r="2396">
      <c r="A2396" s="28" t="n">
        <v>23078</v>
      </c>
      <c r="B2396" t="n">
        <v>3.92</v>
      </c>
      <c r="C2396" t="n">
        <v>2.86</v>
      </c>
    </row>
    <row r="2397">
      <c r="A2397" s="28" t="n">
        <v>23081</v>
      </c>
      <c r="B2397" t="n">
        <v>3.92</v>
      </c>
      <c r="C2397" t="n">
        <v>2.87</v>
      </c>
    </row>
    <row r="2398">
      <c r="A2398" s="28" t="n">
        <v>23082</v>
      </c>
      <c r="B2398" t="n">
        <v>3.92</v>
      </c>
      <c r="C2398" t="n">
        <v>2.87</v>
      </c>
    </row>
    <row r="2399">
      <c r="A2399" s="28" t="n">
        <v>23083</v>
      </c>
      <c r="B2399" t="n">
        <v>3.92</v>
      </c>
      <c r="C2399" t="n">
        <v>2.88</v>
      </c>
    </row>
    <row r="2400">
      <c r="A2400" s="28" t="n">
        <v>23084</v>
      </c>
      <c r="B2400" t="n">
        <v>3.92</v>
      </c>
      <c r="C2400" t="n">
        <v>2.88</v>
      </c>
    </row>
    <row r="2401">
      <c r="A2401" s="28" t="n">
        <v>23085</v>
      </c>
      <c r="B2401" t="n">
        <v>3.92</v>
      </c>
      <c r="C2401" t="n">
        <v>2.88</v>
      </c>
    </row>
    <row r="2402">
      <c r="A2402" s="28" t="n">
        <v>23088</v>
      </c>
      <c r="B2402" t="n">
        <v>3.92</v>
      </c>
      <c r="C2402" t="n">
        <v>2.89</v>
      </c>
    </row>
    <row r="2403">
      <c r="A2403" s="28" t="n">
        <v>23089</v>
      </c>
      <c r="B2403" t="n">
        <v>3.92</v>
      </c>
      <c r="C2403" t="n">
        <v>2.89</v>
      </c>
    </row>
    <row r="2404">
      <c r="A2404" s="28" t="n">
        <v>23090</v>
      </c>
      <c r="B2404" t="n">
        <v>3.92</v>
      </c>
      <c r="C2404" t="n">
        <v>2.91</v>
      </c>
    </row>
    <row r="2405">
      <c r="A2405" s="28" t="n">
        <v>23091</v>
      </c>
      <c r="B2405" t="n">
        <v>3.92</v>
      </c>
      <c r="C2405" t="n">
        <v>2.9</v>
      </c>
    </row>
    <row r="2406">
      <c r="A2406" s="28" t="n">
        <v>23092</v>
      </c>
      <c r="B2406" t="n">
        <v>3.93</v>
      </c>
      <c r="C2406" t="n">
        <v>2.9</v>
      </c>
    </row>
    <row r="2407">
      <c r="A2407" s="28" t="n">
        <v>23095</v>
      </c>
      <c r="B2407" t="n">
        <v>3.94</v>
      </c>
      <c r="C2407" t="n">
        <v>2.9</v>
      </c>
    </row>
    <row r="2408">
      <c r="A2408" s="28" t="n">
        <v>23096</v>
      </c>
      <c r="B2408" t="n">
        <v>3.96</v>
      </c>
      <c r="C2408" t="n">
        <v>2.9</v>
      </c>
    </row>
    <row r="2409">
      <c r="A2409" s="28" t="n">
        <v>23097</v>
      </c>
      <c r="B2409" t="n">
        <v>3.96</v>
      </c>
      <c r="C2409" t="n">
        <v>2.92</v>
      </c>
    </row>
    <row r="2410">
      <c r="A2410" s="28" t="n">
        <v>23098</v>
      </c>
      <c r="B2410" t="n">
        <v>3.96</v>
      </c>
      <c r="C2410" t="n">
        <v>2.92</v>
      </c>
    </row>
    <row r="2411">
      <c r="A2411" s="28" t="n">
        <v>23099</v>
      </c>
      <c r="B2411" t="n">
        <v>3.95</v>
      </c>
      <c r="C2411" t="n">
        <v>2.91</v>
      </c>
    </row>
    <row r="2412">
      <c r="A2412" s="28" t="n">
        <v>23102</v>
      </c>
      <c r="B2412" t="n">
        <v>3.95</v>
      </c>
      <c r="C2412" t="n">
        <v>2.9</v>
      </c>
    </row>
    <row r="2413">
      <c r="A2413" s="28" t="n">
        <v>23103</v>
      </c>
      <c r="B2413" t="n">
        <v>3.96</v>
      </c>
      <c r="C2413" t="n">
        <v>2.9</v>
      </c>
    </row>
    <row r="2414">
      <c r="A2414" s="28" t="n">
        <v>23104</v>
      </c>
      <c r="B2414" t="n">
        <v>3.96</v>
      </c>
      <c r="C2414" t="n">
        <v>2.91</v>
      </c>
    </row>
    <row r="2415">
      <c r="A2415" s="28" t="n">
        <v>23105</v>
      </c>
      <c r="B2415" t="n">
        <v>3.95</v>
      </c>
      <c r="C2415" t="n">
        <v>2.91</v>
      </c>
    </row>
    <row r="2416">
      <c r="A2416" s="28" t="n">
        <v>23106</v>
      </c>
      <c r="B2416" t="n">
        <v>3.95</v>
      </c>
      <c r="C2416" t="n">
        <v>2.91</v>
      </c>
    </row>
    <row r="2417">
      <c r="A2417" s="28" t="n">
        <v>23109</v>
      </c>
      <c r="B2417" t="n">
        <v>3.97</v>
      </c>
      <c r="C2417" t="n">
        <v>2.9</v>
      </c>
    </row>
    <row r="2418">
      <c r="A2418" s="28" t="n">
        <v>23110</v>
      </c>
      <c r="B2418" t="n">
        <v>3.98</v>
      </c>
      <c r="C2418" t="n">
        <v>2.89</v>
      </c>
    </row>
    <row r="2419">
      <c r="A2419" s="28" t="n">
        <v>23111</v>
      </c>
      <c r="B2419" t="n">
        <v>4</v>
      </c>
      <c r="C2419" t="n">
        <v>2.9</v>
      </c>
    </row>
    <row r="2420">
      <c r="A2420" s="28" t="n">
        <v>23112</v>
      </c>
      <c r="B2420" t="n">
        <v>4</v>
      </c>
      <c r="C2420" t="n">
        <v>2.92</v>
      </c>
    </row>
    <row r="2421">
      <c r="A2421" s="28" t="n">
        <v>23113</v>
      </c>
      <c r="B2421" t="n">
        <v>0</v>
      </c>
      <c r="C2421" t="n">
        <v>0</v>
      </c>
    </row>
    <row r="2422">
      <c r="A2422" s="28" t="n">
        <v>23116</v>
      </c>
      <c r="B2422" t="n">
        <v>4.01</v>
      </c>
      <c r="C2422" t="n">
        <v>2.91</v>
      </c>
    </row>
    <row r="2423">
      <c r="A2423" s="28" t="n">
        <v>23117</v>
      </c>
      <c r="B2423" t="n">
        <v>4</v>
      </c>
      <c r="C2423" t="n">
        <v>2.9</v>
      </c>
    </row>
    <row r="2424">
      <c r="A2424" s="28" t="n">
        <v>23118</v>
      </c>
      <c r="B2424" t="n">
        <v>4</v>
      </c>
      <c r="C2424" t="n">
        <v>2.9</v>
      </c>
    </row>
    <row r="2425">
      <c r="A2425" s="28" t="n">
        <v>23119</v>
      </c>
      <c r="B2425" t="n">
        <v>3.99</v>
      </c>
      <c r="C2425" t="n">
        <v>2.89</v>
      </c>
    </row>
    <row r="2426">
      <c r="A2426" s="28" t="n">
        <v>23120</v>
      </c>
      <c r="B2426" t="n">
        <v>3.97</v>
      </c>
      <c r="C2426" t="n">
        <v>2.88</v>
      </c>
    </row>
    <row r="2427">
      <c r="A2427" s="28" t="n">
        <v>23123</v>
      </c>
      <c r="B2427" t="n">
        <v>3.97</v>
      </c>
      <c r="C2427" t="n">
        <v>2.88</v>
      </c>
    </row>
    <row r="2428">
      <c r="A2428" s="28" t="n">
        <v>23124</v>
      </c>
      <c r="B2428" t="n">
        <v>3.97</v>
      </c>
      <c r="C2428" t="n">
        <v>2.89</v>
      </c>
    </row>
    <row r="2429">
      <c r="A2429" s="28" t="n">
        <v>23125</v>
      </c>
      <c r="B2429" t="n">
        <v>3.96</v>
      </c>
      <c r="C2429" t="n">
        <v>2.89</v>
      </c>
    </row>
    <row r="2430">
      <c r="A2430" s="28" t="n">
        <v>23126</v>
      </c>
      <c r="B2430" t="n">
        <v>3.95</v>
      </c>
      <c r="C2430" t="n">
        <v>2.89</v>
      </c>
    </row>
    <row r="2431">
      <c r="A2431" s="28" t="n">
        <v>23127</v>
      </c>
      <c r="B2431" t="n">
        <v>3.95</v>
      </c>
      <c r="C2431" t="n">
        <v>2.89</v>
      </c>
    </row>
    <row r="2432">
      <c r="A2432" s="28" t="n">
        <v>23130</v>
      </c>
      <c r="B2432" t="n">
        <v>3.95</v>
      </c>
      <c r="C2432" t="n">
        <v>2.89</v>
      </c>
    </row>
    <row r="2433">
      <c r="A2433" s="28" t="n">
        <v>23131</v>
      </c>
      <c r="B2433" t="n">
        <v>3.95</v>
      </c>
      <c r="C2433" t="n">
        <v>2.9</v>
      </c>
    </row>
    <row r="2434">
      <c r="A2434" s="28" t="n">
        <v>23132</v>
      </c>
      <c r="B2434" t="n">
        <v>3.94</v>
      </c>
      <c r="C2434" t="n">
        <v>2.9</v>
      </c>
    </row>
    <row r="2435">
      <c r="A2435" s="28" t="n">
        <v>23133</v>
      </c>
      <c r="B2435" t="n">
        <v>3.94</v>
      </c>
      <c r="C2435" t="n">
        <v>2.9</v>
      </c>
    </row>
    <row r="2436">
      <c r="A2436" s="28" t="n">
        <v>23134</v>
      </c>
      <c r="B2436" t="n">
        <v>3.93</v>
      </c>
      <c r="C2436" t="n">
        <v>2.9</v>
      </c>
    </row>
    <row r="2437">
      <c r="A2437" s="28" t="n">
        <v>23137</v>
      </c>
      <c r="B2437" t="n">
        <v>3.92</v>
      </c>
      <c r="C2437" t="n">
        <v>2.9</v>
      </c>
    </row>
    <row r="2438">
      <c r="A2438" s="28" t="n">
        <v>23138</v>
      </c>
      <c r="B2438" t="n">
        <v>3.91</v>
      </c>
      <c r="C2438" t="n">
        <v>2.9</v>
      </c>
    </row>
    <row r="2439">
      <c r="A2439" s="28" t="n">
        <v>23139</v>
      </c>
      <c r="B2439" t="n">
        <v>3.92</v>
      </c>
      <c r="C2439" t="n">
        <v>2.91</v>
      </c>
    </row>
    <row r="2440">
      <c r="A2440" s="28" t="n">
        <v>23140</v>
      </c>
      <c r="B2440" t="n">
        <v>3.93</v>
      </c>
      <c r="C2440" t="n">
        <v>2.91</v>
      </c>
    </row>
    <row r="2441">
      <c r="A2441" s="28" t="n">
        <v>23141</v>
      </c>
      <c r="B2441" t="n">
        <v>3.93</v>
      </c>
      <c r="C2441" t="n">
        <v>2.91</v>
      </c>
    </row>
    <row r="2442">
      <c r="A2442" s="28" t="n">
        <v>23144</v>
      </c>
      <c r="B2442" t="n">
        <v>3.92</v>
      </c>
      <c r="C2442" t="n">
        <v>2.9</v>
      </c>
    </row>
    <row r="2443">
      <c r="A2443" s="28" t="n">
        <v>23145</v>
      </c>
      <c r="B2443" t="n">
        <v>3.91</v>
      </c>
      <c r="C2443" t="n">
        <v>2.89</v>
      </c>
    </row>
    <row r="2444">
      <c r="A2444" s="28" t="n">
        <v>23146</v>
      </c>
      <c r="B2444" t="n">
        <v>3.91</v>
      </c>
      <c r="C2444" t="n">
        <v>2.9</v>
      </c>
    </row>
    <row r="2445">
      <c r="A2445" s="28" t="n">
        <v>23147</v>
      </c>
      <c r="B2445" t="n">
        <v>3.9</v>
      </c>
      <c r="C2445" t="n">
        <v>2.9</v>
      </c>
    </row>
    <row r="2446">
      <c r="A2446" s="28" t="n">
        <v>23148</v>
      </c>
      <c r="B2446" t="n">
        <v>3.92</v>
      </c>
      <c r="C2446" t="n">
        <v>2.91</v>
      </c>
    </row>
    <row r="2447">
      <c r="A2447" s="28" t="n">
        <v>23151</v>
      </c>
      <c r="B2447" t="n">
        <v>3.93</v>
      </c>
      <c r="C2447" t="n">
        <v>2.92</v>
      </c>
    </row>
    <row r="2448">
      <c r="A2448" s="28" t="n">
        <v>23152</v>
      </c>
      <c r="B2448" t="n">
        <v>3.92</v>
      </c>
      <c r="C2448" t="n">
        <v>2.92</v>
      </c>
    </row>
    <row r="2449">
      <c r="A2449" s="28" t="n">
        <v>23153</v>
      </c>
      <c r="B2449" t="n">
        <v>3.92</v>
      </c>
      <c r="C2449" t="n">
        <v>2.94</v>
      </c>
    </row>
    <row r="2450">
      <c r="A2450" s="28" t="n">
        <v>23154</v>
      </c>
      <c r="B2450" t="n">
        <v>3.93</v>
      </c>
      <c r="C2450" t="n">
        <v>2.95</v>
      </c>
    </row>
    <row r="2451">
      <c r="A2451" s="28" t="n">
        <v>23155</v>
      </c>
      <c r="B2451" t="n">
        <v>3.95</v>
      </c>
      <c r="C2451" t="n">
        <v>2.96</v>
      </c>
    </row>
    <row r="2452">
      <c r="A2452" s="28" t="n">
        <v>23158</v>
      </c>
      <c r="B2452" t="n">
        <v>3.95</v>
      </c>
      <c r="C2452" t="n">
        <v>2.97</v>
      </c>
    </row>
    <row r="2453">
      <c r="A2453" s="28" t="n">
        <v>23159</v>
      </c>
      <c r="B2453" t="n">
        <v>3.96</v>
      </c>
      <c r="C2453" t="n">
        <v>2.97</v>
      </c>
    </row>
    <row r="2454">
      <c r="A2454" s="28" t="n">
        <v>23160</v>
      </c>
      <c r="B2454" t="n">
        <v>3.96</v>
      </c>
      <c r="C2454" t="n">
        <v>2.99</v>
      </c>
    </row>
    <row r="2455">
      <c r="A2455" s="28" t="n">
        <v>23161</v>
      </c>
      <c r="B2455" t="n">
        <v>0</v>
      </c>
      <c r="C2455" t="n">
        <v>0</v>
      </c>
    </row>
    <row r="2456">
      <c r="A2456" s="28" t="n">
        <v>23162</v>
      </c>
      <c r="B2456" t="n">
        <v>3.96</v>
      </c>
      <c r="C2456" t="n">
        <v>3</v>
      </c>
    </row>
    <row r="2457">
      <c r="A2457" s="28" t="n">
        <v>23165</v>
      </c>
      <c r="B2457" t="n">
        <v>3.98</v>
      </c>
      <c r="C2457" t="n">
        <v>3.03</v>
      </c>
    </row>
    <row r="2458">
      <c r="A2458" s="28" t="n">
        <v>23166</v>
      </c>
      <c r="B2458" t="n">
        <v>3.98</v>
      </c>
      <c r="C2458" t="n">
        <v>3.02</v>
      </c>
    </row>
    <row r="2459">
      <c r="A2459" s="28" t="n">
        <v>23167</v>
      </c>
      <c r="B2459" t="n">
        <v>3.98</v>
      </c>
      <c r="C2459" t="n">
        <v>3</v>
      </c>
    </row>
    <row r="2460">
      <c r="A2460" s="28" t="n">
        <v>23168</v>
      </c>
      <c r="B2460" t="n">
        <v>3.99</v>
      </c>
      <c r="C2460" t="n">
        <v>2.99</v>
      </c>
    </row>
    <row r="2461">
      <c r="A2461" s="28" t="n">
        <v>23169</v>
      </c>
      <c r="B2461" t="n">
        <v>3.99</v>
      </c>
      <c r="C2461" t="n">
        <v>2.98</v>
      </c>
    </row>
    <row r="2462">
      <c r="A2462" s="28" t="n">
        <v>23172</v>
      </c>
      <c r="B2462" t="n">
        <v>3.99</v>
      </c>
      <c r="C2462" t="n">
        <v>2.97</v>
      </c>
    </row>
    <row r="2463">
      <c r="A2463" s="28" t="n">
        <v>23173</v>
      </c>
      <c r="B2463" t="n">
        <v>3.98</v>
      </c>
      <c r="C2463" t="n">
        <v>2.98</v>
      </c>
    </row>
    <row r="2464">
      <c r="A2464" s="28" t="n">
        <v>23174</v>
      </c>
      <c r="B2464" t="n">
        <v>3.99</v>
      </c>
      <c r="C2464" t="n">
        <v>2.99</v>
      </c>
    </row>
    <row r="2465">
      <c r="A2465" s="28" t="n">
        <v>23175</v>
      </c>
      <c r="B2465" t="n">
        <v>3.99</v>
      </c>
      <c r="C2465" t="n">
        <v>2.98</v>
      </c>
    </row>
    <row r="2466">
      <c r="A2466" s="28" t="n">
        <v>23176</v>
      </c>
      <c r="B2466" t="n">
        <v>3.99</v>
      </c>
      <c r="C2466" t="n">
        <v>2.99</v>
      </c>
    </row>
    <row r="2467">
      <c r="A2467" s="28" t="n">
        <v>23179</v>
      </c>
      <c r="B2467" t="n">
        <v>4</v>
      </c>
      <c r="C2467" t="n">
        <v>2.98</v>
      </c>
    </row>
    <row r="2468">
      <c r="A2468" s="28" t="n">
        <v>23180</v>
      </c>
      <c r="B2468" t="n">
        <v>4</v>
      </c>
      <c r="C2468" t="n">
        <v>2.98</v>
      </c>
    </row>
    <row r="2469">
      <c r="A2469" s="28" t="n">
        <v>23181</v>
      </c>
      <c r="B2469" t="n">
        <v>4</v>
      </c>
      <c r="C2469" t="n">
        <v>2.98</v>
      </c>
    </row>
    <row r="2470">
      <c r="A2470" s="28" t="n">
        <v>23182</v>
      </c>
      <c r="B2470" t="n">
        <v>4</v>
      </c>
      <c r="C2470" t="n">
        <v>2.98</v>
      </c>
    </row>
    <row r="2471">
      <c r="A2471" s="28" t="n">
        <v>23183</v>
      </c>
      <c r="B2471" t="n">
        <v>4</v>
      </c>
      <c r="C2471" t="n">
        <v>2.98</v>
      </c>
    </row>
    <row r="2472">
      <c r="A2472" s="28" t="n">
        <v>23186</v>
      </c>
      <c r="B2472" t="n">
        <v>4</v>
      </c>
      <c r="C2472" t="n">
        <v>2.98</v>
      </c>
    </row>
    <row r="2473">
      <c r="A2473" s="28" t="n">
        <v>23187</v>
      </c>
      <c r="B2473" t="n">
        <v>4</v>
      </c>
      <c r="C2473" t="n">
        <v>2.99</v>
      </c>
    </row>
    <row r="2474">
      <c r="A2474" s="28" t="n">
        <v>23188</v>
      </c>
      <c r="B2474" t="n">
        <v>4</v>
      </c>
      <c r="C2474" t="n">
        <v>2.99</v>
      </c>
    </row>
    <row r="2475">
      <c r="A2475" s="28" t="n">
        <v>23189</v>
      </c>
      <c r="B2475" t="n">
        <v>4</v>
      </c>
      <c r="C2475" t="n">
        <v>2.99</v>
      </c>
    </row>
    <row r="2476">
      <c r="A2476" s="28" t="n">
        <v>23190</v>
      </c>
      <c r="B2476" t="n">
        <v>4</v>
      </c>
      <c r="C2476" t="n">
        <v>2.99</v>
      </c>
    </row>
    <row r="2477">
      <c r="A2477" s="28" t="n">
        <v>23193</v>
      </c>
      <c r="B2477" t="n">
        <v>4.01</v>
      </c>
      <c r="C2477" t="n">
        <v>3</v>
      </c>
    </row>
    <row r="2478">
      <c r="A2478" s="28" t="n">
        <v>23194</v>
      </c>
      <c r="B2478" t="n">
        <v>4.03</v>
      </c>
      <c r="C2478" t="n">
        <v>3.02</v>
      </c>
    </row>
    <row r="2479">
      <c r="A2479" s="28" t="n">
        <v>23195</v>
      </c>
      <c r="B2479" t="n">
        <v>4.03</v>
      </c>
      <c r="C2479" t="n">
        <v>3.04</v>
      </c>
    </row>
    <row r="2480">
      <c r="A2480" s="28" t="n">
        <v>23196</v>
      </c>
      <c r="B2480" t="n">
        <v>0</v>
      </c>
      <c r="C2480" t="n">
        <v>0</v>
      </c>
    </row>
    <row r="2481">
      <c r="A2481" s="28" t="n">
        <v>23197</v>
      </c>
      <c r="B2481" t="n">
        <v>4.04</v>
      </c>
      <c r="C2481" t="n">
        <v>3.07</v>
      </c>
    </row>
    <row r="2482">
      <c r="A2482" s="28" t="n">
        <v>23200</v>
      </c>
      <c r="B2482" t="n">
        <v>4.05</v>
      </c>
      <c r="C2482" t="n">
        <v>3.21</v>
      </c>
    </row>
    <row r="2483">
      <c r="A2483" s="28" t="n">
        <v>23201</v>
      </c>
      <c r="B2483" t="n">
        <v>4.04</v>
      </c>
      <c r="C2483" t="n">
        <v>3.22</v>
      </c>
    </row>
    <row r="2484">
      <c r="A2484" s="28" t="n">
        <v>23202</v>
      </c>
      <c r="B2484" t="n">
        <v>4.03</v>
      </c>
      <c r="C2484" t="n">
        <v>3.23</v>
      </c>
    </row>
    <row r="2485">
      <c r="A2485" s="28" t="n">
        <v>23203</v>
      </c>
      <c r="B2485" t="n">
        <v>4.04</v>
      </c>
      <c r="C2485" t="n">
        <v>3.24</v>
      </c>
    </row>
    <row r="2486">
      <c r="A2486" s="28" t="n">
        <v>23204</v>
      </c>
      <c r="B2486" t="n">
        <v>4.03</v>
      </c>
      <c r="C2486" t="n">
        <v>3.18</v>
      </c>
    </row>
    <row r="2487">
      <c r="A2487" s="28" t="n">
        <v>23207</v>
      </c>
      <c r="B2487" t="n">
        <v>4.02</v>
      </c>
      <c r="C2487" t="n">
        <v>3.17</v>
      </c>
    </row>
    <row r="2488">
      <c r="A2488" s="28" t="n">
        <v>23208</v>
      </c>
      <c r="B2488" t="n">
        <v>4.02</v>
      </c>
      <c r="C2488" t="n">
        <v>3.17</v>
      </c>
    </row>
    <row r="2489">
      <c r="A2489" s="28" t="n">
        <v>23209</v>
      </c>
      <c r="B2489" t="n">
        <v>4.03</v>
      </c>
      <c r="C2489" t="n">
        <v>3.24</v>
      </c>
    </row>
    <row r="2490">
      <c r="A2490" s="28" t="n">
        <v>23210</v>
      </c>
      <c r="B2490" t="n">
        <v>4.02</v>
      </c>
      <c r="C2490" t="n">
        <v>3.2</v>
      </c>
    </row>
    <row r="2491">
      <c r="A2491" s="28" t="n">
        <v>23211</v>
      </c>
      <c r="B2491" t="n">
        <v>4.02</v>
      </c>
      <c r="C2491" t="n">
        <v>3.18</v>
      </c>
    </row>
    <row r="2492">
      <c r="A2492" s="28" t="n">
        <v>23214</v>
      </c>
      <c r="B2492" t="n">
        <v>4.02</v>
      </c>
      <c r="C2492" t="n">
        <v>3.17</v>
      </c>
    </row>
    <row r="2493">
      <c r="A2493" s="28" t="n">
        <v>23215</v>
      </c>
      <c r="B2493" t="n">
        <v>4.02</v>
      </c>
      <c r="C2493" t="n">
        <v>3.15</v>
      </c>
    </row>
    <row r="2494">
      <c r="A2494" s="28" t="n">
        <v>23216</v>
      </c>
      <c r="B2494" t="n">
        <v>4.01</v>
      </c>
      <c r="C2494" t="n">
        <v>3.22</v>
      </c>
    </row>
    <row r="2495">
      <c r="A2495" s="28" t="n">
        <v>23217</v>
      </c>
      <c r="B2495" t="n">
        <v>4.01</v>
      </c>
      <c r="C2495" t="n">
        <v>3.21</v>
      </c>
    </row>
    <row r="2496">
      <c r="A2496" s="28" t="n">
        <v>23218</v>
      </c>
      <c r="B2496" t="n">
        <v>3.99</v>
      </c>
      <c r="C2496" t="n">
        <v>3.2</v>
      </c>
    </row>
    <row r="2497">
      <c r="A2497" s="28" t="n">
        <v>23221</v>
      </c>
      <c r="B2497" t="n">
        <v>3.99</v>
      </c>
      <c r="C2497" t="n">
        <v>3.24</v>
      </c>
    </row>
    <row r="2498">
      <c r="A2498" s="28" t="n">
        <v>23222</v>
      </c>
      <c r="B2498" t="n">
        <v>4</v>
      </c>
      <c r="C2498" t="n">
        <v>3.25</v>
      </c>
    </row>
    <row r="2499">
      <c r="A2499" s="28" t="n">
        <v>23223</v>
      </c>
      <c r="B2499" t="n">
        <v>4</v>
      </c>
      <c r="C2499" t="n">
        <v>3.27</v>
      </c>
    </row>
    <row r="2500">
      <c r="A2500" s="28" t="n">
        <v>23224</v>
      </c>
      <c r="B2500" t="n">
        <v>3.99</v>
      </c>
      <c r="C2500" t="n">
        <v>3.25</v>
      </c>
    </row>
    <row r="2501">
      <c r="A2501" s="28" t="n">
        <v>23225</v>
      </c>
      <c r="B2501" t="n">
        <v>3.99</v>
      </c>
      <c r="C2501" t="n">
        <v>3.21</v>
      </c>
    </row>
    <row r="2502">
      <c r="A2502" s="28" t="n">
        <v>23228</v>
      </c>
      <c r="B2502" t="n">
        <v>3.99</v>
      </c>
      <c r="C2502" t="n">
        <v>3.21</v>
      </c>
    </row>
    <row r="2503">
      <c r="A2503" s="28" t="n">
        <v>23229</v>
      </c>
      <c r="B2503" t="n">
        <v>4</v>
      </c>
      <c r="C2503" t="n">
        <v>3.22</v>
      </c>
    </row>
    <row r="2504">
      <c r="A2504" s="28" t="n">
        <v>23230</v>
      </c>
      <c r="B2504" t="n">
        <v>4.01</v>
      </c>
      <c r="C2504" t="n">
        <v>3.28</v>
      </c>
    </row>
    <row r="2505">
      <c r="A2505" s="28" t="n">
        <v>23231</v>
      </c>
      <c r="B2505" t="n">
        <v>4</v>
      </c>
      <c r="C2505" t="n">
        <v>3.29</v>
      </c>
    </row>
    <row r="2506">
      <c r="A2506" s="28" t="n">
        <v>23232</v>
      </c>
      <c r="B2506" t="n">
        <v>4</v>
      </c>
      <c r="C2506" t="n">
        <v>3.3</v>
      </c>
    </row>
    <row r="2507">
      <c r="A2507" s="28" t="n">
        <v>23235</v>
      </c>
      <c r="B2507" t="n">
        <v>4.01</v>
      </c>
      <c r="C2507" t="n">
        <v>3.3</v>
      </c>
    </row>
    <row r="2508">
      <c r="A2508" s="28" t="n">
        <v>23236</v>
      </c>
      <c r="B2508" t="n">
        <v>4.02</v>
      </c>
      <c r="C2508" t="n">
        <v>3.31</v>
      </c>
    </row>
    <row r="2509">
      <c r="A2509" s="28" t="n">
        <v>23237</v>
      </c>
      <c r="B2509" t="n">
        <v>4.02</v>
      </c>
      <c r="C2509" t="n">
        <v>3.32</v>
      </c>
    </row>
    <row r="2510">
      <c r="A2510" s="28" t="n">
        <v>23238</v>
      </c>
      <c r="B2510" t="n">
        <v>4.01</v>
      </c>
      <c r="C2510" t="n">
        <v>3.33</v>
      </c>
    </row>
    <row r="2511">
      <c r="A2511" s="28" t="n">
        <v>23239</v>
      </c>
      <c r="B2511" t="n">
        <v>4</v>
      </c>
      <c r="C2511" t="n">
        <v>3.34</v>
      </c>
    </row>
    <row r="2512">
      <c r="A2512" s="28" t="n">
        <v>23242</v>
      </c>
      <c r="B2512" t="n">
        <v>3.99</v>
      </c>
      <c r="C2512" t="n">
        <v>3.33</v>
      </c>
    </row>
    <row r="2513">
      <c r="A2513" s="28" t="n">
        <v>23243</v>
      </c>
      <c r="B2513" t="n">
        <v>3.99</v>
      </c>
      <c r="C2513" t="n">
        <v>3.33</v>
      </c>
    </row>
    <row r="2514">
      <c r="A2514" s="28" t="n">
        <v>23244</v>
      </c>
      <c r="B2514" t="n">
        <v>4</v>
      </c>
      <c r="C2514" t="n">
        <v>3.37</v>
      </c>
    </row>
    <row r="2515">
      <c r="A2515" s="28" t="n">
        <v>23245</v>
      </c>
      <c r="B2515" t="n">
        <v>4</v>
      </c>
      <c r="C2515" t="n">
        <v>3.37</v>
      </c>
    </row>
    <row r="2516">
      <c r="A2516" s="28" t="n">
        <v>23246</v>
      </c>
      <c r="B2516" t="n">
        <v>4</v>
      </c>
      <c r="C2516" t="n">
        <v>3.38</v>
      </c>
    </row>
    <row r="2517">
      <c r="A2517" s="28" t="n">
        <v>23249</v>
      </c>
      <c r="B2517" t="n">
        <v>4</v>
      </c>
      <c r="C2517" t="n">
        <v>3.38</v>
      </c>
    </row>
    <row r="2518">
      <c r="A2518" s="28" t="n">
        <v>23250</v>
      </c>
      <c r="B2518" t="n">
        <v>4</v>
      </c>
      <c r="C2518" t="n">
        <v>3.39</v>
      </c>
    </row>
    <row r="2519">
      <c r="A2519" s="28" t="n">
        <v>23251</v>
      </c>
      <c r="B2519" t="n">
        <v>4</v>
      </c>
      <c r="C2519" t="n">
        <v>3.4</v>
      </c>
    </row>
    <row r="2520">
      <c r="A2520" s="28" t="n">
        <v>23252</v>
      </c>
      <c r="B2520" t="n">
        <v>4.01</v>
      </c>
      <c r="C2520" t="n">
        <v>3.39</v>
      </c>
    </row>
    <row r="2521">
      <c r="A2521" s="28" t="n">
        <v>23253</v>
      </c>
      <c r="B2521" t="n">
        <v>4.02</v>
      </c>
      <c r="C2521" t="n">
        <v>3.39</v>
      </c>
    </row>
    <row r="2522">
      <c r="A2522" s="28" t="n">
        <v>23256</v>
      </c>
      <c r="B2522" t="n">
        <v>0</v>
      </c>
      <c r="C2522" t="n">
        <v>0</v>
      </c>
    </row>
    <row r="2523">
      <c r="A2523" s="28" t="n">
        <v>23257</v>
      </c>
      <c r="B2523" t="n">
        <v>4.03</v>
      </c>
      <c r="C2523" t="n">
        <v>3.38</v>
      </c>
    </row>
    <row r="2524">
      <c r="A2524" s="28" t="n">
        <v>23258</v>
      </c>
      <c r="B2524" t="n">
        <v>4.04</v>
      </c>
      <c r="C2524" t="n">
        <v>3.37</v>
      </c>
    </row>
    <row r="2525">
      <c r="A2525" s="28" t="n">
        <v>23259</v>
      </c>
      <c r="B2525" t="n">
        <v>4.08</v>
      </c>
      <c r="C2525" t="n">
        <v>3.35</v>
      </c>
    </row>
    <row r="2526">
      <c r="A2526" s="28" t="n">
        <v>23260</v>
      </c>
      <c r="B2526" t="n">
        <v>4.09</v>
      </c>
      <c r="C2526" t="n">
        <v>3.34</v>
      </c>
    </row>
    <row r="2527">
      <c r="A2527" s="28" t="n">
        <v>23263</v>
      </c>
      <c r="B2527" t="n">
        <v>4.09</v>
      </c>
      <c r="C2527" t="n">
        <v>3.34</v>
      </c>
    </row>
    <row r="2528">
      <c r="A2528" s="28" t="n">
        <v>23264</v>
      </c>
      <c r="B2528" t="n">
        <v>4.09</v>
      </c>
      <c r="C2528" t="n">
        <v>3.36</v>
      </c>
    </row>
    <row r="2529">
      <c r="A2529" s="28" t="n">
        <v>23265</v>
      </c>
      <c r="B2529" t="n">
        <v>4.09</v>
      </c>
      <c r="C2529" t="n">
        <v>3.36</v>
      </c>
    </row>
    <row r="2530">
      <c r="A2530" s="28" t="n">
        <v>23266</v>
      </c>
      <c r="B2530" t="n">
        <v>4.09</v>
      </c>
      <c r="C2530" t="n">
        <v>3.37</v>
      </c>
    </row>
    <row r="2531">
      <c r="A2531" s="28" t="n">
        <v>23267</v>
      </c>
      <c r="B2531" t="n">
        <v>4.09</v>
      </c>
      <c r="C2531" t="n">
        <v>3.38</v>
      </c>
    </row>
    <row r="2532">
      <c r="A2532" s="28" t="n">
        <v>23270</v>
      </c>
      <c r="B2532" t="n">
        <v>4.09</v>
      </c>
      <c r="C2532" t="n">
        <v>3.41</v>
      </c>
    </row>
    <row r="2533">
      <c r="A2533" s="28" t="n">
        <v>23271</v>
      </c>
      <c r="B2533" t="n">
        <v>4.09</v>
      </c>
      <c r="C2533" t="n">
        <v>3.4</v>
      </c>
    </row>
    <row r="2534">
      <c r="A2534" s="28" t="n">
        <v>23272</v>
      </c>
      <c r="B2534" t="n">
        <v>4.08</v>
      </c>
      <c r="C2534" t="n">
        <v>3.41</v>
      </c>
    </row>
    <row r="2535">
      <c r="A2535" s="28" t="n">
        <v>23273</v>
      </c>
      <c r="B2535" t="n">
        <v>4.08</v>
      </c>
      <c r="C2535" t="n">
        <v>3.41</v>
      </c>
    </row>
    <row r="2536">
      <c r="A2536" s="28" t="n">
        <v>23274</v>
      </c>
      <c r="B2536" t="n">
        <v>4.07</v>
      </c>
      <c r="C2536" t="n">
        <v>3.4</v>
      </c>
    </row>
    <row r="2537">
      <c r="A2537" s="28" t="n">
        <v>23277</v>
      </c>
      <c r="B2537" t="n">
        <v>4.07</v>
      </c>
      <c r="C2537" t="n">
        <v>3.39</v>
      </c>
    </row>
    <row r="2538">
      <c r="A2538" s="28" t="n">
        <v>23278</v>
      </c>
      <c r="B2538" t="n">
        <v>4.08</v>
      </c>
      <c r="C2538" t="n">
        <v>3.39</v>
      </c>
    </row>
    <row r="2539">
      <c r="A2539" s="28" t="n">
        <v>23279</v>
      </c>
      <c r="B2539" t="n">
        <v>4.08</v>
      </c>
      <c r="C2539" t="n">
        <v>3.37</v>
      </c>
    </row>
    <row r="2540">
      <c r="A2540" s="28" t="n">
        <v>23280</v>
      </c>
      <c r="B2540" t="n">
        <v>4.08</v>
      </c>
      <c r="C2540" t="n">
        <v>3.37</v>
      </c>
    </row>
    <row r="2541">
      <c r="A2541" s="28" t="n">
        <v>23281</v>
      </c>
      <c r="B2541" t="n">
        <v>4.07</v>
      </c>
      <c r="C2541" t="n">
        <v>3.36</v>
      </c>
    </row>
    <row r="2542">
      <c r="A2542" s="28" t="n">
        <v>23284</v>
      </c>
      <c r="B2542" t="n">
        <v>4.07</v>
      </c>
      <c r="C2542" t="n">
        <v>3.37</v>
      </c>
    </row>
    <row r="2543">
      <c r="A2543" s="28" t="n">
        <v>23285</v>
      </c>
      <c r="B2543" t="n">
        <v>4.07</v>
      </c>
      <c r="C2543" t="n">
        <v>3.37</v>
      </c>
    </row>
    <row r="2544">
      <c r="A2544" s="28" t="n">
        <v>23286</v>
      </c>
      <c r="B2544" t="n">
        <v>4.07</v>
      </c>
      <c r="C2544" t="n">
        <v>3.43</v>
      </c>
    </row>
    <row r="2545">
      <c r="A2545" s="28" t="n">
        <v>23287</v>
      </c>
      <c r="B2545" t="n">
        <v>4.07</v>
      </c>
      <c r="C2545" t="n">
        <v>3.44</v>
      </c>
    </row>
    <row r="2546">
      <c r="A2546" s="28" t="n">
        <v>23288</v>
      </c>
      <c r="B2546" t="n">
        <v>4.08</v>
      </c>
      <c r="C2546" t="n">
        <v>3.45</v>
      </c>
    </row>
    <row r="2547">
      <c r="A2547" s="28" t="n">
        <v>23291</v>
      </c>
      <c r="B2547" t="n">
        <v>4.08</v>
      </c>
      <c r="C2547" t="n">
        <v>3.46</v>
      </c>
    </row>
    <row r="2548">
      <c r="A2548" s="28" t="n">
        <v>23292</v>
      </c>
      <c r="B2548" t="n">
        <v>4.09</v>
      </c>
      <c r="C2548" t="n">
        <v>3.45</v>
      </c>
    </row>
    <row r="2549">
      <c r="A2549" s="28" t="n">
        <v>23293</v>
      </c>
      <c r="B2549" t="n">
        <v>4.1</v>
      </c>
      <c r="C2549" t="n">
        <v>3.44</v>
      </c>
    </row>
    <row r="2550">
      <c r="A2550" s="28" t="n">
        <v>23294</v>
      </c>
      <c r="B2550" t="n">
        <v>4.1</v>
      </c>
      <c r="C2550" t="n">
        <v>3.44</v>
      </c>
    </row>
    <row r="2551">
      <c r="A2551" s="28" t="n">
        <v>23295</v>
      </c>
      <c r="B2551" t="n">
        <v>4.1</v>
      </c>
      <c r="C2551" t="n">
        <v>3.44</v>
      </c>
    </row>
    <row r="2552">
      <c r="A2552" s="28" t="n">
        <v>23298</v>
      </c>
      <c r="B2552" t="n">
        <v>4.1</v>
      </c>
      <c r="C2552" t="n">
        <v>3.45</v>
      </c>
    </row>
    <row r="2553">
      <c r="A2553" s="28" t="n">
        <v>23299</v>
      </c>
      <c r="B2553" t="n">
        <v>4.11</v>
      </c>
      <c r="C2553" t="n">
        <v>3.46</v>
      </c>
    </row>
    <row r="2554">
      <c r="A2554" s="28" t="n">
        <v>23300</v>
      </c>
      <c r="B2554" t="n">
        <v>4.11</v>
      </c>
      <c r="C2554" t="n">
        <v>3.46</v>
      </c>
    </row>
    <row r="2555">
      <c r="A2555" s="28" t="n">
        <v>23301</v>
      </c>
      <c r="B2555" t="n">
        <v>4.12</v>
      </c>
      <c r="C2555" t="n">
        <v>3.49</v>
      </c>
    </row>
    <row r="2556">
      <c r="A2556" s="28" t="n">
        <v>23302</v>
      </c>
      <c r="B2556" t="n">
        <v>4.12</v>
      </c>
      <c r="C2556" t="n">
        <v>3.48</v>
      </c>
    </row>
    <row r="2557">
      <c r="A2557" s="28" t="n">
        <v>23305</v>
      </c>
      <c r="B2557" t="n">
        <v>4.12</v>
      </c>
      <c r="C2557" t="n">
        <v>3.46</v>
      </c>
    </row>
    <row r="2558">
      <c r="A2558" s="28" t="n">
        <v>23306</v>
      </c>
      <c r="B2558" t="n">
        <v>4.11</v>
      </c>
      <c r="C2558" t="n">
        <v>3.43</v>
      </c>
    </row>
    <row r="2559">
      <c r="A2559" s="28" t="n">
        <v>23307</v>
      </c>
      <c r="B2559" t="n">
        <v>4.12</v>
      </c>
      <c r="C2559" t="n">
        <v>3.44</v>
      </c>
    </row>
    <row r="2560">
      <c r="A2560" s="28" t="n">
        <v>23308</v>
      </c>
      <c r="B2560" t="n">
        <v>4.11</v>
      </c>
      <c r="C2560" t="n">
        <v>3.45</v>
      </c>
    </row>
    <row r="2561">
      <c r="A2561" s="28" t="n">
        <v>23309</v>
      </c>
      <c r="B2561" t="n">
        <v>4.12</v>
      </c>
      <c r="C2561" t="n">
        <v>3.44</v>
      </c>
    </row>
    <row r="2562">
      <c r="A2562" s="28" t="n">
        <v>23312</v>
      </c>
      <c r="B2562" t="n">
        <v>4.12</v>
      </c>
      <c r="C2562" t="n">
        <v>3.44</v>
      </c>
    </row>
    <row r="2563">
      <c r="A2563" s="28" t="n">
        <v>23313</v>
      </c>
      <c r="B2563" t="n">
        <v>4.13</v>
      </c>
      <c r="C2563" t="n">
        <v>3.46</v>
      </c>
    </row>
    <row r="2564">
      <c r="A2564" s="28" t="n">
        <v>23314</v>
      </c>
      <c r="B2564" t="n">
        <v>4.14</v>
      </c>
      <c r="C2564" t="n">
        <v>3.48</v>
      </c>
    </row>
    <row r="2565">
      <c r="A2565" s="28" t="n">
        <v>23315</v>
      </c>
      <c r="B2565" t="n">
        <v>4.15</v>
      </c>
      <c r="C2565" t="n">
        <v>3.48</v>
      </c>
    </row>
    <row r="2566">
      <c r="A2566" s="28" t="n">
        <v>23316</v>
      </c>
      <c r="B2566" t="n">
        <v>4.15</v>
      </c>
      <c r="C2566" t="n">
        <v>3.49</v>
      </c>
    </row>
    <row r="2567">
      <c r="A2567" s="28" t="n">
        <v>23319</v>
      </c>
      <c r="B2567" t="n">
        <v>4.15</v>
      </c>
      <c r="C2567" t="n">
        <v>3.51</v>
      </c>
    </row>
    <row r="2568">
      <c r="A2568" s="28" t="n">
        <v>23320</v>
      </c>
      <c r="B2568" t="n">
        <v>0</v>
      </c>
      <c r="C2568" t="n">
        <v>0</v>
      </c>
    </row>
    <row r="2569">
      <c r="A2569" s="28" t="n">
        <v>23321</v>
      </c>
      <c r="B2569" t="n">
        <v>4.17</v>
      </c>
      <c r="C2569" t="n">
        <v>3.54</v>
      </c>
    </row>
    <row r="2570">
      <c r="A2570" s="28" t="n">
        <v>23322</v>
      </c>
      <c r="B2570" t="n">
        <v>4.17</v>
      </c>
      <c r="C2570" t="n">
        <v>3.55</v>
      </c>
    </row>
    <row r="2571">
      <c r="A2571" s="28" t="n">
        <v>23323</v>
      </c>
      <c r="B2571" t="n">
        <v>4.16</v>
      </c>
      <c r="C2571" t="n">
        <v>3.55</v>
      </c>
    </row>
    <row r="2572">
      <c r="A2572" s="28" t="n">
        <v>23326</v>
      </c>
      <c r="B2572" t="n">
        <v>0</v>
      </c>
      <c r="C2572" t="n">
        <v>0</v>
      </c>
    </row>
    <row r="2573">
      <c r="A2573" s="28" t="n">
        <v>23327</v>
      </c>
      <c r="B2573" t="n">
        <v>4.16</v>
      </c>
      <c r="C2573" t="n">
        <v>3.55</v>
      </c>
    </row>
    <row r="2574">
      <c r="A2574" s="28" t="n">
        <v>23328</v>
      </c>
      <c r="B2574" t="n">
        <v>4.15</v>
      </c>
      <c r="C2574" t="n">
        <v>3.58</v>
      </c>
    </row>
    <row r="2575">
      <c r="A2575" s="28" t="n">
        <v>23329</v>
      </c>
      <c r="B2575" t="n">
        <v>4.12</v>
      </c>
      <c r="C2575" t="n">
        <v>3.54</v>
      </c>
    </row>
    <row r="2576">
      <c r="A2576" s="28" t="n">
        <v>23330</v>
      </c>
      <c r="B2576" t="n">
        <v>4.11</v>
      </c>
      <c r="C2576" t="n">
        <v>3.53</v>
      </c>
    </row>
    <row r="2577">
      <c r="A2577" s="28" t="n">
        <v>23333</v>
      </c>
      <c r="B2577" t="n">
        <v>4.11</v>
      </c>
      <c r="C2577" t="n">
        <v>3.52</v>
      </c>
    </row>
    <row r="2578">
      <c r="A2578" s="28" t="n">
        <v>23334</v>
      </c>
      <c r="B2578" t="n">
        <v>4.1</v>
      </c>
      <c r="C2578" t="n">
        <v>3.52</v>
      </c>
    </row>
    <row r="2579">
      <c r="A2579" s="28" t="n">
        <v>23335</v>
      </c>
      <c r="B2579" t="n">
        <v>4.09</v>
      </c>
      <c r="C2579" t="n">
        <v>3.51</v>
      </c>
    </row>
    <row r="2580">
      <c r="A2580" s="28" t="n">
        <v>23336</v>
      </c>
      <c r="B2580" t="n">
        <v>4.1</v>
      </c>
      <c r="C2580" t="n">
        <v>3.5</v>
      </c>
    </row>
    <row r="2581">
      <c r="A2581" s="28" t="n">
        <v>23337</v>
      </c>
      <c r="B2581" t="n">
        <v>4.09</v>
      </c>
      <c r="C2581" t="n">
        <v>3.49</v>
      </c>
    </row>
    <row r="2582">
      <c r="A2582" s="28" t="n">
        <v>23340</v>
      </c>
      <c r="B2582" t="n">
        <v>0</v>
      </c>
      <c r="C2582" t="n">
        <v>0</v>
      </c>
    </row>
    <row r="2583">
      <c r="A2583" s="28" t="n">
        <v>23341</v>
      </c>
      <c r="B2583" t="n">
        <v>4.08</v>
      </c>
      <c r="C2583" t="n">
        <v>3.46</v>
      </c>
    </row>
    <row r="2584">
      <c r="A2584" s="28" t="n">
        <v>23342</v>
      </c>
      <c r="B2584" t="n">
        <v>4.08</v>
      </c>
      <c r="C2584" t="n">
        <v>3.49</v>
      </c>
    </row>
    <row r="2585">
      <c r="A2585" s="28" t="n">
        <v>23343</v>
      </c>
      <c r="B2585" t="n">
        <v>0</v>
      </c>
      <c r="C2585" t="n">
        <v>0</v>
      </c>
    </row>
    <row r="2586">
      <c r="A2586" s="28" t="n">
        <v>23344</v>
      </c>
      <c r="B2586" t="n">
        <v>4.08</v>
      </c>
      <c r="C2586" t="n">
        <v>3.5</v>
      </c>
    </row>
    <row r="2587">
      <c r="A2587" s="28" t="n">
        <v>23347</v>
      </c>
      <c r="B2587" t="n">
        <v>4.09</v>
      </c>
      <c r="C2587" t="n">
        <v>3.53</v>
      </c>
    </row>
    <row r="2588">
      <c r="A2588" s="28" t="n">
        <v>23348</v>
      </c>
      <c r="B2588" t="n">
        <v>4.1</v>
      </c>
      <c r="C2588" t="n">
        <v>3.54</v>
      </c>
    </row>
    <row r="2589">
      <c r="A2589" s="28" t="n">
        <v>23349</v>
      </c>
      <c r="B2589" t="n">
        <v>4.1</v>
      </c>
      <c r="C2589" t="n">
        <v>3.53</v>
      </c>
    </row>
    <row r="2590">
      <c r="A2590" s="28" t="n">
        <v>23350</v>
      </c>
      <c r="B2590" t="n">
        <v>4.11</v>
      </c>
      <c r="C2590" t="n">
        <v>3.52</v>
      </c>
    </row>
    <row r="2591">
      <c r="A2591" s="28" t="n">
        <v>23351</v>
      </c>
      <c r="B2591" t="n">
        <v>4.11</v>
      </c>
      <c r="C2591" t="n">
        <v>3.5</v>
      </c>
    </row>
    <row r="2592">
      <c r="A2592" s="28" t="n">
        <v>23354</v>
      </c>
      <c r="B2592" t="n">
        <v>4.1</v>
      </c>
      <c r="C2592" t="n">
        <v>3.49</v>
      </c>
    </row>
    <row r="2593">
      <c r="A2593" s="28" t="n">
        <v>23355</v>
      </c>
      <c r="B2593" t="n">
        <v>4.1</v>
      </c>
      <c r="C2593" t="n">
        <v>3.49</v>
      </c>
    </row>
    <row r="2594">
      <c r="A2594" s="28" t="n">
        <v>23356</v>
      </c>
      <c r="B2594" t="n">
        <v>4.12</v>
      </c>
      <c r="C2594" t="n">
        <v>3.51</v>
      </c>
    </row>
    <row r="2595">
      <c r="A2595" s="28" t="n">
        <v>23357</v>
      </c>
      <c r="B2595" t="n">
        <v>4.12</v>
      </c>
      <c r="C2595" t="n">
        <v>3.51</v>
      </c>
    </row>
    <row r="2596">
      <c r="A2596" s="28" t="n">
        <v>23358</v>
      </c>
      <c r="B2596" t="n">
        <v>4.13</v>
      </c>
      <c r="C2596" t="n">
        <v>3.52</v>
      </c>
    </row>
    <row r="2597">
      <c r="A2597" s="28" t="n">
        <v>23361</v>
      </c>
      <c r="B2597" t="n">
        <v>4.15</v>
      </c>
      <c r="C2597" t="n">
        <v>3.53</v>
      </c>
    </row>
    <row r="2598">
      <c r="A2598" s="28" t="n">
        <v>23362</v>
      </c>
      <c r="B2598" t="n">
        <v>4.15</v>
      </c>
      <c r="C2598" t="n">
        <v>3.53</v>
      </c>
    </row>
    <row r="2599">
      <c r="A2599" s="28" t="n">
        <v>23363</v>
      </c>
      <c r="B2599" t="n">
        <v>4.15</v>
      </c>
      <c r="C2599" t="n">
        <v>3.53</v>
      </c>
    </row>
    <row r="2600">
      <c r="A2600" s="28" t="n">
        <v>23364</v>
      </c>
      <c r="B2600" t="n">
        <v>4.14</v>
      </c>
      <c r="C2600" t="n">
        <v>3.53</v>
      </c>
    </row>
    <row r="2601">
      <c r="A2601" s="28" t="n">
        <v>23365</v>
      </c>
      <c r="B2601" t="n">
        <v>4.15</v>
      </c>
      <c r="C2601" t="n">
        <v>3.52</v>
      </c>
    </row>
    <row r="2602">
      <c r="A2602" s="28" t="n">
        <v>23368</v>
      </c>
      <c r="B2602" t="n">
        <v>4.15</v>
      </c>
      <c r="C2602" t="n">
        <v>3.52</v>
      </c>
    </row>
    <row r="2603">
      <c r="A2603" s="28" t="n">
        <v>23369</v>
      </c>
      <c r="B2603" t="n">
        <v>4.15</v>
      </c>
      <c r="C2603" t="n">
        <v>3.52</v>
      </c>
    </row>
    <row r="2604">
      <c r="A2604" s="28" t="n">
        <v>23370</v>
      </c>
      <c r="B2604" t="n">
        <v>0</v>
      </c>
      <c r="C2604" t="n">
        <v>0</v>
      </c>
    </row>
    <row r="2605">
      <c r="A2605" s="28" t="n">
        <v>23371</v>
      </c>
      <c r="B2605" t="n">
        <v>4.15</v>
      </c>
      <c r="C2605" t="n">
        <v>3.53</v>
      </c>
    </row>
    <row r="2606">
      <c r="A2606" s="28" t="n">
        <v>23372</v>
      </c>
      <c r="B2606" t="n">
        <v>4.15</v>
      </c>
      <c r="C2606" t="n">
        <v>3.52</v>
      </c>
    </row>
    <row r="2607">
      <c r="A2607" s="28" t="n">
        <v>23375</v>
      </c>
      <c r="B2607" t="n">
        <v>4.14</v>
      </c>
      <c r="C2607" t="n">
        <v>3.52</v>
      </c>
    </row>
    <row r="2608">
      <c r="A2608" s="28" t="n">
        <v>23376</v>
      </c>
      <c r="B2608" t="n">
        <v>4.14</v>
      </c>
      <c r="C2608" t="n">
        <v>3.51</v>
      </c>
    </row>
    <row r="2609">
      <c r="A2609" s="28" t="n">
        <v>23377</v>
      </c>
      <c r="B2609" t="n">
        <v>0</v>
      </c>
      <c r="C2609" t="n">
        <v>0</v>
      </c>
    </row>
    <row r="2610">
      <c r="A2610" s="28" t="n">
        <v>23378</v>
      </c>
      <c r="B2610" t="n">
        <v>4.14</v>
      </c>
      <c r="C2610" t="n">
        <v>3.53</v>
      </c>
    </row>
    <row r="2611">
      <c r="A2611" s="28" t="n">
        <v>23379</v>
      </c>
      <c r="B2611" t="n">
        <v>4.15</v>
      </c>
      <c r="C2611" t="n">
        <v>3.53</v>
      </c>
    </row>
    <row r="2612">
      <c r="A2612" s="28" t="n">
        <v>23382</v>
      </c>
      <c r="B2612" t="n">
        <v>4.16</v>
      </c>
      <c r="C2612" t="n">
        <v>3.53</v>
      </c>
    </row>
    <row r="2613">
      <c r="A2613" s="28" t="n">
        <v>23383</v>
      </c>
      <c r="B2613" t="n">
        <v>4.15</v>
      </c>
      <c r="C2613" t="n">
        <v>3.53</v>
      </c>
    </row>
    <row r="2614">
      <c r="A2614" s="28" t="n">
        <v>23384</v>
      </c>
      <c r="B2614" t="n">
        <v>4.18</v>
      </c>
      <c r="C2614" t="n">
        <v>3.54</v>
      </c>
    </row>
    <row r="2615">
      <c r="A2615" s="28" t="n">
        <v>23385</v>
      </c>
      <c r="B2615" t="n">
        <v>4.18</v>
      </c>
      <c r="C2615" t="n">
        <v>3.53</v>
      </c>
    </row>
    <row r="2616">
      <c r="A2616" s="28" t="n">
        <v>23386</v>
      </c>
      <c r="B2616" t="n">
        <v>4.18</v>
      </c>
      <c r="C2616" t="n">
        <v>3.53</v>
      </c>
    </row>
    <row r="2617">
      <c r="A2617" s="28" t="n">
        <v>23389</v>
      </c>
      <c r="B2617" t="n">
        <v>4.18</v>
      </c>
      <c r="C2617" t="n">
        <v>3.54</v>
      </c>
    </row>
    <row r="2618">
      <c r="A2618" s="28" t="n">
        <v>23390</v>
      </c>
      <c r="B2618" t="n">
        <v>4.18</v>
      </c>
      <c r="C2618" t="n">
        <v>3.54</v>
      </c>
    </row>
    <row r="2619">
      <c r="A2619" s="28" t="n">
        <v>23391</v>
      </c>
      <c r="B2619" t="n">
        <v>4.18</v>
      </c>
      <c r="C2619" t="n">
        <v>3.55</v>
      </c>
    </row>
    <row r="2620">
      <c r="A2620" s="28" t="n">
        <v>23392</v>
      </c>
      <c r="B2620" t="n">
        <v>4.17</v>
      </c>
      <c r="C2620" t="n">
        <v>3.54</v>
      </c>
    </row>
    <row r="2621">
      <c r="A2621" s="28" t="n">
        <v>23393</v>
      </c>
      <c r="B2621" t="n">
        <v>4.17</v>
      </c>
      <c r="C2621" t="n">
        <v>3.54</v>
      </c>
    </row>
    <row r="2622">
      <c r="A2622" s="28" t="n">
        <v>23396</v>
      </c>
      <c r="B2622" t="n">
        <v>4.16</v>
      </c>
      <c r="C2622" t="n">
        <v>3.52</v>
      </c>
    </row>
    <row r="2623">
      <c r="A2623" s="28" t="n">
        <v>23397</v>
      </c>
      <c r="B2623" t="n">
        <v>4.16</v>
      </c>
      <c r="C2623" t="n">
        <v>3.52</v>
      </c>
    </row>
    <row r="2624">
      <c r="A2624" s="28" t="n">
        <v>23398</v>
      </c>
      <c r="B2624" t="n">
        <v>4.16</v>
      </c>
      <c r="C2624" t="n">
        <v>3.52</v>
      </c>
    </row>
    <row r="2625">
      <c r="A2625" s="28" t="n">
        <v>23399</v>
      </c>
      <c r="B2625" t="n">
        <v>4.16</v>
      </c>
      <c r="C2625" t="n">
        <v>3.51</v>
      </c>
    </row>
    <row r="2626">
      <c r="A2626" s="28" t="n">
        <v>23400</v>
      </c>
      <c r="B2626" t="n">
        <v>4.18</v>
      </c>
      <c r="C2626" t="n">
        <v>3.51</v>
      </c>
    </row>
    <row r="2627">
      <c r="A2627" s="28" t="n">
        <v>23403</v>
      </c>
      <c r="B2627" t="n">
        <v>4.18</v>
      </c>
      <c r="C2627" t="n">
        <v>3.5</v>
      </c>
    </row>
    <row r="2628">
      <c r="A2628" s="28" t="n">
        <v>23404</v>
      </c>
      <c r="B2628" t="n">
        <v>4.17</v>
      </c>
      <c r="C2628" t="n">
        <v>3.5</v>
      </c>
    </row>
    <row r="2629">
      <c r="A2629" s="28" t="n">
        <v>23405</v>
      </c>
      <c r="B2629" t="n">
        <v>4.17</v>
      </c>
      <c r="C2629" t="n">
        <v>3.5</v>
      </c>
    </row>
    <row r="2630">
      <c r="A2630" s="28" t="n">
        <v>23406</v>
      </c>
      <c r="B2630" t="n">
        <v>4.16</v>
      </c>
      <c r="C2630" t="n">
        <v>3.5</v>
      </c>
    </row>
    <row r="2631">
      <c r="A2631" s="28" t="n">
        <v>23407</v>
      </c>
      <c r="B2631" t="n">
        <v>4.15</v>
      </c>
      <c r="C2631" t="n">
        <v>3.5</v>
      </c>
    </row>
    <row r="2632">
      <c r="A2632" s="28" t="n">
        <v>23410</v>
      </c>
      <c r="B2632" t="n">
        <v>4.15</v>
      </c>
      <c r="C2632" t="n">
        <v>3.5</v>
      </c>
    </row>
    <row r="2633">
      <c r="A2633" s="28" t="n">
        <v>23411</v>
      </c>
      <c r="B2633" t="n">
        <v>4.15</v>
      </c>
      <c r="C2633" t="n">
        <v>3.51</v>
      </c>
    </row>
    <row r="2634">
      <c r="A2634" s="28" t="n">
        <v>23412</v>
      </c>
      <c r="B2634" t="n">
        <v>4.15</v>
      </c>
      <c r="C2634" t="n">
        <v>3.51</v>
      </c>
    </row>
    <row r="2635">
      <c r="A2635" s="28" t="n">
        <v>23413</v>
      </c>
      <c r="B2635" t="n">
        <v>4.14</v>
      </c>
      <c r="C2635" t="n">
        <v>3.5</v>
      </c>
    </row>
    <row r="2636">
      <c r="A2636" s="28" t="n">
        <v>23414</v>
      </c>
      <c r="B2636" t="n">
        <v>4.14</v>
      </c>
      <c r="C2636" t="n">
        <v>3.52</v>
      </c>
    </row>
    <row r="2637">
      <c r="A2637" s="28" t="n">
        <v>23417</v>
      </c>
      <c r="B2637" t="n">
        <v>4.14</v>
      </c>
      <c r="C2637" t="n">
        <v>3.53</v>
      </c>
    </row>
    <row r="2638">
      <c r="A2638" s="28" t="n">
        <v>23418</v>
      </c>
      <c r="B2638" t="n">
        <v>4.14</v>
      </c>
      <c r="C2638" t="n">
        <v>3.52</v>
      </c>
    </row>
    <row r="2639">
      <c r="A2639" s="28" t="n">
        <v>23419</v>
      </c>
      <c r="B2639" t="n">
        <v>0</v>
      </c>
      <c r="C2639" t="n">
        <v>0</v>
      </c>
    </row>
    <row r="2640">
      <c r="A2640" s="28" t="n">
        <v>23420</v>
      </c>
      <c r="B2640" t="n">
        <v>4.13</v>
      </c>
      <c r="C2640" t="n">
        <v>3.52</v>
      </c>
    </row>
    <row r="2641">
      <c r="A2641" s="28" t="n">
        <v>23421</v>
      </c>
      <c r="B2641" t="n">
        <v>4.13</v>
      </c>
      <c r="C2641" t="n">
        <v>3.52</v>
      </c>
    </row>
    <row r="2642">
      <c r="A2642" s="28" t="n">
        <v>23424</v>
      </c>
      <c r="B2642" t="n">
        <v>4.13</v>
      </c>
      <c r="C2642" t="n">
        <v>3.52</v>
      </c>
    </row>
    <row r="2643">
      <c r="A2643" s="28" t="n">
        <v>23425</v>
      </c>
      <c r="B2643" t="n">
        <v>4.14</v>
      </c>
      <c r="C2643" t="n">
        <v>3.52</v>
      </c>
    </row>
    <row r="2644">
      <c r="A2644" s="28" t="n">
        <v>23426</v>
      </c>
      <c r="B2644" t="n">
        <v>4.14</v>
      </c>
      <c r="C2644" t="n">
        <v>3.54</v>
      </c>
    </row>
    <row r="2645">
      <c r="A2645" s="28" t="n">
        <v>23427</v>
      </c>
      <c r="B2645" t="n">
        <v>4.14</v>
      </c>
      <c r="C2645" t="n">
        <v>3.54</v>
      </c>
    </row>
    <row r="2646">
      <c r="A2646" s="28" t="n">
        <v>23428</v>
      </c>
      <c r="B2646" t="n">
        <v>0</v>
      </c>
      <c r="C2646" t="n">
        <v>0</v>
      </c>
    </row>
    <row r="2647">
      <c r="A2647" s="28" t="n">
        <v>23431</v>
      </c>
      <c r="B2647" t="n">
        <v>4.15</v>
      </c>
      <c r="C2647" t="n">
        <v>3.53</v>
      </c>
    </row>
    <row r="2648">
      <c r="A2648" s="28" t="n">
        <v>23432</v>
      </c>
      <c r="B2648" t="n">
        <v>4.15</v>
      </c>
      <c r="C2648" t="n">
        <v>3.53</v>
      </c>
    </row>
    <row r="2649">
      <c r="A2649" s="28" t="n">
        <v>23433</v>
      </c>
      <c r="B2649" t="n">
        <v>4.15</v>
      </c>
      <c r="C2649" t="n">
        <v>3.55</v>
      </c>
    </row>
    <row r="2650">
      <c r="A2650" s="28" t="n">
        <v>23434</v>
      </c>
      <c r="B2650" t="n">
        <v>4.17</v>
      </c>
      <c r="C2650" t="n">
        <v>3.59</v>
      </c>
    </row>
    <row r="2651">
      <c r="A2651" s="28" t="n">
        <v>23435</v>
      </c>
      <c r="B2651" t="n">
        <v>4.18</v>
      </c>
      <c r="C2651" t="n">
        <v>3.6</v>
      </c>
    </row>
    <row r="2652">
      <c r="A2652" s="28" t="n">
        <v>23438</v>
      </c>
      <c r="B2652" t="n">
        <v>4.17</v>
      </c>
      <c r="C2652" t="n">
        <v>3.58</v>
      </c>
    </row>
    <row r="2653">
      <c r="A2653" s="28" t="n">
        <v>23439</v>
      </c>
      <c r="B2653" t="n">
        <v>4.18</v>
      </c>
      <c r="C2653" t="n">
        <v>3.56</v>
      </c>
    </row>
    <row r="2654">
      <c r="A2654" s="28" t="n">
        <v>23440</v>
      </c>
      <c r="B2654" t="n">
        <v>4.19</v>
      </c>
      <c r="C2654" t="n">
        <v>3.57</v>
      </c>
    </row>
    <row r="2655">
      <c r="A2655" s="28" t="n">
        <v>23441</v>
      </c>
      <c r="B2655" t="n">
        <v>4.19</v>
      </c>
      <c r="C2655" t="n">
        <v>3.55</v>
      </c>
    </row>
    <row r="2656">
      <c r="A2656" s="28" t="n">
        <v>23442</v>
      </c>
      <c r="B2656" t="n">
        <v>4.19</v>
      </c>
      <c r="C2656" t="n">
        <v>3.54</v>
      </c>
    </row>
    <row r="2657">
      <c r="A2657" s="28" t="n">
        <v>23445</v>
      </c>
      <c r="B2657" t="n">
        <v>4.2</v>
      </c>
      <c r="C2657" t="n">
        <v>3.53</v>
      </c>
    </row>
    <row r="2658">
      <c r="A2658" s="28" t="n">
        <v>23446</v>
      </c>
      <c r="B2658" t="n">
        <v>4.2</v>
      </c>
      <c r="C2658" t="n">
        <v>3.54</v>
      </c>
    </row>
    <row r="2659">
      <c r="A2659" s="28" t="n">
        <v>23447</v>
      </c>
      <c r="B2659" t="n">
        <v>4.21</v>
      </c>
      <c r="C2659" t="n">
        <v>3.56</v>
      </c>
    </row>
    <row r="2660">
      <c r="A2660" s="28" t="n">
        <v>23448</v>
      </c>
      <c r="B2660" t="n">
        <v>4.21</v>
      </c>
      <c r="C2660" t="n">
        <v>3.55</v>
      </c>
    </row>
    <row r="2661">
      <c r="A2661" s="28" t="n">
        <v>23449</v>
      </c>
      <c r="B2661" t="n">
        <v>4.22</v>
      </c>
      <c r="C2661" t="n">
        <v>3.54</v>
      </c>
    </row>
    <row r="2662">
      <c r="A2662" s="28" t="n">
        <v>23452</v>
      </c>
      <c r="B2662" t="n">
        <v>4.21</v>
      </c>
      <c r="C2662" t="n">
        <v>3.53</v>
      </c>
    </row>
    <row r="2663">
      <c r="A2663" s="28" t="n">
        <v>23453</v>
      </c>
      <c r="B2663" t="n">
        <v>4.22</v>
      </c>
      <c r="C2663" t="n">
        <v>3.53</v>
      </c>
    </row>
    <row r="2664">
      <c r="A2664" s="28" t="n">
        <v>23454</v>
      </c>
      <c r="B2664" t="n">
        <v>4.23</v>
      </c>
      <c r="C2664" t="n">
        <v>3.55</v>
      </c>
    </row>
    <row r="2665">
      <c r="A2665" s="28" t="n">
        <v>23455</v>
      </c>
      <c r="B2665" t="n">
        <v>4.24</v>
      </c>
      <c r="C2665" t="n">
        <v>3.55</v>
      </c>
    </row>
    <row r="2666">
      <c r="A2666" s="28" t="n">
        <v>23456</v>
      </c>
      <c r="B2666" t="n">
        <v>4.25</v>
      </c>
      <c r="C2666" t="n">
        <v>3.55</v>
      </c>
    </row>
    <row r="2667">
      <c r="A2667" s="28" t="n">
        <v>23459</v>
      </c>
      <c r="B2667" t="n">
        <v>4.25</v>
      </c>
      <c r="C2667" t="n">
        <v>3.54</v>
      </c>
    </row>
    <row r="2668">
      <c r="A2668" s="28" t="n">
        <v>23460</v>
      </c>
      <c r="B2668" t="n">
        <v>4.26</v>
      </c>
      <c r="C2668" t="n">
        <v>3.53</v>
      </c>
    </row>
    <row r="2669">
      <c r="A2669" s="28" t="n">
        <v>23461</v>
      </c>
      <c r="B2669" t="n">
        <v>4.26</v>
      </c>
      <c r="C2669" t="n">
        <v>3.55</v>
      </c>
    </row>
    <row r="2670">
      <c r="A2670" s="28" t="n">
        <v>23462</v>
      </c>
      <c r="B2670" t="n">
        <v>4.25</v>
      </c>
      <c r="C2670" t="n">
        <v>3.54</v>
      </c>
    </row>
    <row r="2671">
      <c r="A2671" s="28" t="n">
        <v>23463</v>
      </c>
      <c r="B2671" t="n">
        <v>0</v>
      </c>
      <c r="C2671" t="n">
        <v>0</v>
      </c>
    </row>
    <row r="2672">
      <c r="A2672" s="28" t="n">
        <v>23466</v>
      </c>
      <c r="B2672" t="n">
        <v>4.25</v>
      </c>
      <c r="C2672" t="n">
        <v>3.52</v>
      </c>
    </row>
    <row r="2673">
      <c r="A2673" s="28" t="n">
        <v>23467</v>
      </c>
      <c r="B2673" t="n">
        <v>4.23</v>
      </c>
      <c r="C2673" t="n">
        <v>3.51</v>
      </c>
    </row>
    <row r="2674">
      <c r="A2674" s="28" t="n">
        <v>23468</v>
      </c>
      <c r="B2674" t="n">
        <v>4.23</v>
      </c>
      <c r="C2674" t="n">
        <v>3.53</v>
      </c>
    </row>
    <row r="2675">
      <c r="A2675" s="28" t="n">
        <v>23469</v>
      </c>
      <c r="B2675" t="n">
        <v>4.24</v>
      </c>
      <c r="C2675" t="n">
        <v>3.53</v>
      </c>
    </row>
    <row r="2676">
      <c r="A2676" s="28" t="n">
        <v>23470</v>
      </c>
      <c r="B2676" t="n">
        <v>4.25</v>
      </c>
      <c r="C2676" t="n">
        <v>3.52</v>
      </c>
    </row>
    <row r="2677">
      <c r="A2677" s="28" t="n">
        <v>23473</v>
      </c>
      <c r="B2677" t="n">
        <v>4.25</v>
      </c>
      <c r="C2677" t="n">
        <v>3.5</v>
      </c>
    </row>
    <row r="2678">
      <c r="A2678" s="28" t="n">
        <v>23474</v>
      </c>
      <c r="B2678" t="n">
        <v>4.25</v>
      </c>
      <c r="C2678" t="n">
        <v>3.49</v>
      </c>
    </row>
    <row r="2679">
      <c r="A2679" s="28" t="n">
        <v>23475</v>
      </c>
      <c r="B2679" t="n">
        <v>4.22</v>
      </c>
      <c r="C2679" t="n">
        <v>3.48</v>
      </c>
    </row>
    <row r="2680">
      <c r="A2680" s="28" t="n">
        <v>23476</v>
      </c>
      <c r="B2680" t="n">
        <v>4.22</v>
      </c>
      <c r="C2680" t="n">
        <v>3.46</v>
      </c>
    </row>
    <row r="2681">
      <c r="A2681" s="28" t="n">
        <v>23477</v>
      </c>
      <c r="B2681" t="n">
        <v>4.22</v>
      </c>
      <c r="C2681" t="n">
        <v>3.46</v>
      </c>
    </row>
    <row r="2682">
      <c r="A2682" s="28" t="n">
        <v>23480</v>
      </c>
      <c r="B2682" t="n">
        <v>4.23</v>
      </c>
      <c r="C2682" t="n">
        <v>3.47</v>
      </c>
    </row>
    <row r="2683">
      <c r="A2683" s="28" t="n">
        <v>23481</v>
      </c>
      <c r="B2683" t="n">
        <v>4.24</v>
      </c>
      <c r="C2683" t="n">
        <v>3.48</v>
      </c>
    </row>
    <row r="2684">
      <c r="A2684" s="28" t="n">
        <v>23482</v>
      </c>
      <c r="B2684" t="n">
        <v>4.23</v>
      </c>
      <c r="C2684" t="n">
        <v>3.49</v>
      </c>
    </row>
    <row r="2685">
      <c r="A2685" s="28" t="n">
        <v>23483</v>
      </c>
      <c r="B2685" t="n">
        <v>4.23</v>
      </c>
      <c r="C2685" t="n">
        <v>3.47</v>
      </c>
    </row>
    <row r="2686">
      <c r="A2686" s="28" t="n">
        <v>23484</v>
      </c>
      <c r="B2686" t="n">
        <v>4.24</v>
      </c>
      <c r="C2686" t="n">
        <v>3.46</v>
      </c>
    </row>
    <row r="2687">
      <c r="A2687" s="28" t="n">
        <v>23487</v>
      </c>
      <c r="B2687" t="n">
        <v>4.24</v>
      </c>
      <c r="C2687" t="n">
        <v>3.45</v>
      </c>
    </row>
    <row r="2688">
      <c r="A2688" s="28" t="n">
        <v>23488</v>
      </c>
      <c r="B2688" t="n">
        <v>4.23</v>
      </c>
      <c r="C2688" t="n">
        <v>3.44</v>
      </c>
    </row>
    <row r="2689">
      <c r="A2689" s="28" t="n">
        <v>23489</v>
      </c>
      <c r="B2689" t="n">
        <v>4.23</v>
      </c>
      <c r="C2689" t="n">
        <v>3.46</v>
      </c>
    </row>
    <row r="2690">
      <c r="A2690" s="28" t="n">
        <v>23490</v>
      </c>
      <c r="B2690" t="n">
        <v>4.23</v>
      </c>
      <c r="C2690" t="n">
        <v>3.45</v>
      </c>
    </row>
    <row r="2691">
      <c r="A2691" s="28" t="n">
        <v>23491</v>
      </c>
      <c r="B2691" t="n">
        <v>4.23</v>
      </c>
      <c r="C2691" t="n">
        <v>3.45</v>
      </c>
    </row>
    <row r="2692">
      <c r="A2692" s="28" t="n">
        <v>23494</v>
      </c>
      <c r="B2692" t="n">
        <v>4.23</v>
      </c>
      <c r="C2692" t="n">
        <v>3.44</v>
      </c>
    </row>
    <row r="2693">
      <c r="A2693" s="28" t="n">
        <v>23495</v>
      </c>
      <c r="B2693" t="n">
        <v>4.23</v>
      </c>
      <c r="C2693" t="n">
        <v>3.44</v>
      </c>
    </row>
    <row r="2694">
      <c r="A2694" s="28" t="n">
        <v>23496</v>
      </c>
      <c r="B2694" t="n">
        <v>4.22</v>
      </c>
      <c r="C2694" t="n">
        <v>3.45</v>
      </c>
    </row>
    <row r="2695">
      <c r="A2695" s="28" t="n">
        <v>23497</v>
      </c>
      <c r="B2695" t="n">
        <v>4.22</v>
      </c>
      <c r="C2695" t="n">
        <v>3.45</v>
      </c>
    </row>
    <row r="2696">
      <c r="A2696" s="28" t="n">
        <v>23498</v>
      </c>
      <c r="B2696" t="n">
        <v>4.22</v>
      </c>
      <c r="C2696" t="n">
        <v>3.46</v>
      </c>
    </row>
    <row r="2697">
      <c r="A2697" s="28" t="n">
        <v>23501</v>
      </c>
      <c r="B2697" t="n">
        <v>4.22</v>
      </c>
      <c r="C2697" t="n">
        <v>3.47</v>
      </c>
    </row>
    <row r="2698">
      <c r="A2698" s="28" t="n">
        <v>23502</v>
      </c>
      <c r="B2698" t="n">
        <v>4.22</v>
      </c>
      <c r="C2698" t="n">
        <v>3.48</v>
      </c>
    </row>
    <row r="2699">
      <c r="A2699" s="28" t="n">
        <v>23503</v>
      </c>
      <c r="B2699" t="n">
        <v>4.22</v>
      </c>
      <c r="C2699" t="n">
        <v>3.5</v>
      </c>
    </row>
    <row r="2700">
      <c r="A2700" s="28" t="n">
        <v>23504</v>
      </c>
      <c r="B2700" t="n">
        <v>4.22</v>
      </c>
      <c r="C2700" t="n">
        <v>3.49</v>
      </c>
    </row>
    <row r="2701">
      <c r="A2701" s="28" t="n">
        <v>23505</v>
      </c>
      <c r="B2701" t="n">
        <v>4.2</v>
      </c>
      <c r="C2701" t="n">
        <v>3.49</v>
      </c>
    </row>
    <row r="2702">
      <c r="A2702" s="28" t="n">
        <v>23508</v>
      </c>
      <c r="B2702" t="n">
        <v>4.19</v>
      </c>
      <c r="C2702" t="n">
        <v>3.47</v>
      </c>
    </row>
    <row r="2703">
      <c r="A2703" s="28" t="n">
        <v>23509</v>
      </c>
      <c r="B2703" t="n">
        <v>4.19</v>
      </c>
      <c r="C2703" t="n">
        <v>3.47</v>
      </c>
    </row>
    <row r="2704">
      <c r="A2704" s="28" t="n">
        <v>23510</v>
      </c>
      <c r="B2704" t="n">
        <v>4.19</v>
      </c>
      <c r="C2704" t="n">
        <v>3.48</v>
      </c>
    </row>
    <row r="2705">
      <c r="A2705" s="28" t="n">
        <v>23511</v>
      </c>
      <c r="B2705" t="n">
        <v>4.19</v>
      </c>
      <c r="C2705" t="n">
        <v>3.48</v>
      </c>
    </row>
    <row r="2706">
      <c r="A2706" s="28" t="n">
        <v>23512</v>
      </c>
      <c r="B2706" t="n">
        <v>4.19</v>
      </c>
      <c r="C2706" t="n">
        <v>3.47</v>
      </c>
    </row>
    <row r="2707">
      <c r="A2707" s="28" t="n">
        <v>23515</v>
      </c>
      <c r="B2707" t="n">
        <v>4.19</v>
      </c>
      <c r="C2707" t="n">
        <v>3.46</v>
      </c>
    </row>
    <row r="2708">
      <c r="A2708" s="28" t="n">
        <v>23516</v>
      </c>
      <c r="B2708" t="n">
        <v>4.19</v>
      </c>
      <c r="C2708" t="n">
        <v>3.47</v>
      </c>
    </row>
    <row r="2709">
      <c r="A2709" s="28" t="n">
        <v>23517</v>
      </c>
      <c r="B2709" t="n">
        <v>4.2</v>
      </c>
      <c r="C2709" t="n">
        <v>3.49</v>
      </c>
    </row>
    <row r="2710">
      <c r="A2710" s="28" t="n">
        <v>23518</v>
      </c>
      <c r="B2710" t="n">
        <v>4.2</v>
      </c>
      <c r="C2710" t="n">
        <v>3.48</v>
      </c>
    </row>
    <row r="2711">
      <c r="A2711" s="28" t="n">
        <v>23519</v>
      </c>
      <c r="B2711" t="n">
        <v>4.2</v>
      </c>
      <c r="C2711" t="n">
        <v>3.47</v>
      </c>
    </row>
    <row r="2712">
      <c r="A2712" s="28" t="n">
        <v>23522</v>
      </c>
      <c r="B2712" t="n">
        <v>4.19</v>
      </c>
      <c r="C2712" t="n">
        <v>3.46</v>
      </c>
    </row>
    <row r="2713">
      <c r="A2713" s="28" t="n">
        <v>23523</v>
      </c>
      <c r="B2713" t="n">
        <v>4.19</v>
      </c>
      <c r="C2713" t="n">
        <v>3.46</v>
      </c>
    </row>
    <row r="2714">
      <c r="A2714" s="28" t="n">
        <v>23524</v>
      </c>
      <c r="B2714" t="n">
        <v>4.2</v>
      </c>
      <c r="C2714" t="n">
        <v>3.48</v>
      </c>
    </row>
    <row r="2715">
      <c r="A2715" s="28" t="n">
        <v>23525</v>
      </c>
      <c r="B2715" t="n">
        <v>4.19</v>
      </c>
      <c r="C2715" t="n">
        <v>3.47</v>
      </c>
    </row>
    <row r="2716">
      <c r="A2716" s="28" t="n">
        <v>23526</v>
      </c>
      <c r="B2716" t="n">
        <v>0</v>
      </c>
      <c r="C2716" t="n">
        <v>0</v>
      </c>
    </row>
    <row r="2717">
      <c r="A2717" s="28" t="n">
        <v>23529</v>
      </c>
      <c r="B2717" t="n">
        <v>4.19</v>
      </c>
      <c r="C2717" t="n">
        <v>3.47</v>
      </c>
    </row>
    <row r="2718">
      <c r="A2718" s="28" t="n">
        <v>23530</v>
      </c>
      <c r="B2718" t="n">
        <v>4.19</v>
      </c>
      <c r="C2718" t="n">
        <v>3.47</v>
      </c>
    </row>
    <row r="2719">
      <c r="A2719" s="28" t="n">
        <v>23531</v>
      </c>
      <c r="B2719" t="n">
        <v>4.19</v>
      </c>
      <c r="C2719" t="n">
        <v>3.48</v>
      </c>
    </row>
    <row r="2720">
      <c r="A2720" s="28" t="n">
        <v>23532</v>
      </c>
      <c r="B2720" t="n">
        <v>4.19</v>
      </c>
      <c r="C2720" t="n">
        <v>3.47</v>
      </c>
    </row>
    <row r="2721">
      <c r="A2721" s="28" t="n">
        <v>23533</v>
      </c>
      <c r="B2721" t="n">
        <v>4.18</v>
      </c>
      <c r="C2721" t="n">
        <v>3.47</v>
      </c>
    </row>
    <row r="2722">
      <c r="A2722" s="28" t="n">
        <v>23536</v>
      </c>
      <c r="B2722" t="n">
        <v>4.18</v>
      </c>
      <c r="C2722" t="n">
        <v>3.46</v>
      </c>
    </row>
    <row r="2723">
      <c r="A2723" s="28" t="n">
        <v>23537</v>
      </c>
      <c r="B2723" t="n">
        <v>4.17</v>
      </c>
      <c r="C2723" t="n">
        <v>3.46</v>
      </c>
    </row>
    <row r="2724">
      <c r="A2724" s="28" t="n">
        <v>23538</v>
      </c>
      <c r="B2724" t="n">
        <v>4.17</v>
      </c>
      <c r="C2724" t="n">
        <v>3.47</v>
      </c>
    </row>
    <row r="2725">
      <c r="A2725" s="28" t="n">
        <v>23539</v>
      </c>
      <c r="B2725" t="n">
        <v>4.18</v>
      </c>
      <c r="C2725" t="n">
        <v>3.48</v>
      </c>
    </row>
    <row r="2726">
      <c r="A2726" s="28" t="n">
        <v>23540</v>
      </c>
      <c r="B2726" t="n">
        <v>4.18</v>
      </c>
      <c r="C2726" t="n">
        <v>3.48</v>
      </c>
    </row>
    <row r="2727">
      <c r="A2727" s="28" t="n">
        <v>23543</v>
      </c>
      <c r="B2727" t="n">
        <v>4.18</v>
      </c>
      <c r="C2727" t="n">
        <v>3.49</v>
      </c>
    </row>
    <row r="2728">
      <c r="A2728" s="28" t="n">
        <v>23544</v>
      </c>
      <c r="B2728" t="n">
        <v>4.18</v>
      </c>
      <c r="C2728" t="n">
        <v>3.49</v>
      </c>
    </row>
    <row r="2729">
      <c r="A2729" s="28" t="n">
        <v>23545</v>
      </c>
      <c r="B2729" t="n">
        <v>4.18</v>
      </c>
      <c r="C2729" t="n">
        <v>3.5</v>
      </c>
    </row>
    <row r="2730">
      <c r="A2730" s="28" t="n">
        <v>23546</v>
      </c>
      <c r="B2730" t="n">
        <v>4.17</v>
      </c>
      <c r="C2730" t="n">
        <v>3.49</v>
      </c>
    </row>
    <row r="2731">
      <c r="A2731" s="28" t="n">
        <v>23547</v>
      </c>
      <c r="B2731" t="n">
        <v>4.16</v>
      </c>
      <c r="C2731" t="n">
        <v>3.48</v>
      </c>
    </row>
    <row r="2732">
      <c r="A2732" s="28" t="n">
        <v>23550</v>
      </c>
      <c r="B2732" t="n">
        <v>4.15</v>
      </c>
      <c r="C2732" t="n">
        <v>3.48</v>
      </c>
    </row>
    <row r="2733">
      <c r="A2733" s="28" t="n">
        <v>23551</v>
      </c>
      <c r="B2733" t="n">
        <v>4.15</v>
      </c>
      <c r="C2733" t="n">
        <v>3.47</v>
      </c>
    </row>
    <row r="2734">
      <c r="A2734" s="28" t="n">
        <v>23552</v>
      </c>
      <c r="B2734" t="n">
        <v>4.15</v>
      </c>
      <c r="C2734" t="n">
        <v>3.47</v>
      </c>
    </row>
    <row r="2735">
      <c r="A2735" s="28" t="n">
        <v>23553</v>
      </c>
      <c r="B2735" t="n">
        <v>4.15</v>
      </c>
      <c r="C2735" t="n">
        <v>3.47</v>
      </c>
    </row>
    <row r="2736">
      <c r="A2736" s="28" t="n">
        <v>23554</v>
      </c>
      <c r="B2736" t="n">
        <v>4.15</v>
      </c>
      <c r="C2736" t="n">
        <v>3.47</v>
      </c>
    </row>
    <row r="2737">
      <c r="A2737" s="28" t="n">
        <v>23557</v>
      </c>
      <c r="B2737" t="n">
        <v>4.15</v>
      </c>
      <c r="C2737" t="n">
        <v>3.47</v>
      </c>
    </row>
    <row r="2738">
      <c r="A2738" s="28" t="n">
        <v>23558</v>
      </c>
      <c r="B2738" t="n">
        <v>4.15</v>
      </c>
      <c r="C2738" t="n">
        <v>3.47</v>
      </c>
    </row>
    <row r="2739">
      <c r="A2739" s="28" t="n">
        <v>23559</v>
      </c>
      <c r="B2739" t="n">
        <v>4.15</v>
      </c>
      <c r="C2739" t="n">
        <v>3.48</v>
      </c>
    </row>
    <row r="2740">
      <c r="A2740" s="28" t="n">
        <v>23560</v>
      </c>
      <c r="B2740" t="n">
        <v>4.15</v>
      </c>
      <c r="C2740" t="n">
        <v>3.48</v>
      </c>
    </row>
    <row r="2741">
      <c r="A2741" s="28" t="n">
        <v>23561</v>
      </c>
      <c r="B2741" t="n">
        <v>0</v>
      </c>
      <c r="C2741" t="n">
        <v>3.48</v>
      </c>
    </row>
    <row r="2742">
      <c r="A2742" s="28" t="n">
        <v>23564</v>
      </c>
      <c r="B2742" t="n">
        <v>4.16</v>
      </c>
      <c r="C2742" t="n">
        <v>3.48</v>
      </c>
    </row>
    <row r="2743">
      <c r="A2743" s="28" t="n">
        <v>23565</v>
      </c>
      <c r="B2743" t="n">
        <v>4.15</v>
      </c>
      <c r="C2743" t="n">
        <v>3.49</v>
      </c>
    </row>
    <row r="2744">
      <c r="A2744" s="28" t="n">
        <v>23566</v>
      </c>
      <c r="B2744" t="n">
        <v>4.15</v>
      </c>
      <c r="C2744" t="n">
        <v>3.5</v>
      </c>
    </row>
    <row r="2745">
      <c r="A2745" s="28" t="n">
        <v>23567</v>
      </c>
      <c r="B2745" t="n">
        <v>4.18</v>
      </c>
      <c r="C2745" t="n">
        <v>3.48</v>
      </c>
    </row>
    <row r="2746">
      <c r="A2746" s="28" t="n">
        <v>23568</v>
      </c>
      <c r="B2746" t="n">
        <v>4.19</v>
      </c>
      <c r="C2746" t="n">
        <v>3.43</v>
      </c>
    </row>
    <row r="2747">
      <c r="A2747" s="28" t="n">
        <v>23571</v>
      </c>
      <c r="B2747" t="n">
        <v>4.19</v>
      </c>
      <c r="C2747" t="n">
        <v>3.43</v>
      </c>
    </row>
    <row r="2748">
      <c r="A2748" s="28" t="n">
        <v>23572</v>
      </c>
      <c r="B2748" t="n">
        <v>4.19</v>
      </c>
      <c r="C2748" t="n">
        <v>3.44</v>
      </c>
    </row>
    <row r="2749">
      <c r="A2749" s="28" t="n">
        <v>23573</v>
      </c>
      <c r="B2749" t="n">
        <v>4.19</v>
      </c>
      <c r="C2749" t="n">
        <v>3.44</v>
      </c>
    </row>
    <row r="2750">
      <c r="A2750" s="28" t="n">
        <v>23574</v>
      </c>
      <c r="B2750" t="n">
        <v>4.19</v>
      </c>
      <c r="C2750" t="n">
        <v>3.42</v>
      </c>
    </row>
    <row r="2751">
      <c r="A2751" s="28" t="n">
        <v>23575</v>
      </c>
      <c r="B2751" t="n">
        <v>4.2</v>
      </c>
      <c r="C2751" t="n">
        <v>3.44</v>
      </c>
    </row>
    <row r="2752">
      <c r="A2752" s="28" t="n">
        <v>23578</v>
      </c>
      <c r="B2752" t="n">
        <v>4.21</v>
      </c>
      <c r="C2752" t="n">
        <v>3.46</v>
      </c>
    </row>
    <row r="2753">
      <c r="A2753" s="28" t="n">
        <v>23579</v>
      </c>
      <c r="B2753" t="n">
        <v>4.2</v>
      </c>
      <c r="C2753" t="n">
        <v>3.46</v>
      </c>
    </row>
    <row r="2754">
      <c r="A2754" s="28" t="n">
        <v>23580</v>
      </c>
      <c r="B2754" t="n">
        <v>4.21</v>
      </c>
      <c r="C2754" t="n">
        <v>3.48</v>
      </c>
    </row>
    <row r="2755">
      <c r="A2755" s="28" t="n">
        <v>23581</v>
      </c>
      <c r="B2755" t="n">
        <v>4.2</v>
      </c>
      <c r="C2755" t="n">
        <v>3.45</v>
      </c>
    </row>
    <row r="2756">
      <c r="A2756" s="28" t="n">
        <v>23582</v>
      </c>
      <c r="B2756" t="n">
        <v>4.2</v>
      </c>
      <c r="C2756" t="n">
        <v>3.45</v>
      </c>
    </row>
    <row r="2757">
      <c r="A2757" s="28" t="n">
        <v>23585</v>
      </c>
      <c r="B2757" t="n">
        <v>4.2</v>
      </c>
      <c r="C2757" t="n">
        <v>3.45</v>
      </c>
    </row>
    <row r="2758">
      <c r="A2758" s="28" t="n">
        <v>23586</v>
      </c>
      <c r="B2758" t="n">
        <v>4.2</v>
      </c>
      <c r="C2758" t="n">
        <v>3.46</v>
      </c>
    </row>
    <row r="2759">
      <c r="A2759" s="28" t="n">
        <v>23587</v>
      </c>
      <c r="B2759" t="n">
        <v>4.2</v>
      </c>
      <c r="C2759" t="n">
        <v>3.47</v>
      </c>
    </row>
    <row r="2760">
      <c r="A2760" s="28" t="n">
        <v>23588</v>
      </c>
      <c r="B2760" t="n">
        <v>4.19</v>
      </c>
      <c r="C2760" t="n">
        <v>3.47</v>
      </c>
    </row>
    <row r="2761">
      <c r="A2761" s="28" t="n">
        <v>23589</v>
      </c>
      <c r="B2761" t="n">
        <v>4.19</v>
      </c>
      <c r="C2761" t="n">
        <v>3.47</v>
      </c>
    </row>
    <row r="2762">
      <c r="A2762" s="28" t="n">
        <v>23592</v>
      </c>
      <c r="B2762" t="n">
        <v>4.19</v>
      </c>
      <c r="C2762" t="n">
        <v>3.47</v>
      </c>
    </row>
    <row r="2763">
      <c r="A2763" s="28" t="n">
        <v>23593</v>
      </c>
      <c r="B2763" t="n">
        <v>4.19</v>
      </c>
      <c r="C2763" t="n">
        <v>3.47</v>
      </c>
    </row>
    <row r="2764">
      <c r="A2764" s="28" t="n">
        <v>23594</v>
      </c>
      <c r="B2764" t="n">
        <v>4.19</v>
      </c>
      <c r="C2764" t="n">
        <v>3.5</v>
      </c>
    </row>
    <row r="2765">
      <c r="A2765" s="28" t="n">
        <v>23595</v>
      </c>
      <c r="B2765" t="n">
        <v>4.18</v>
      </c>
      <c r="C2765" t="n">
        <v>3.49</v>
      </c>
    </row>
    <row r="2766">
      <c r="A2766" s="28" t="n">
        <v>23596</v>
      </c>
      <c r="B2766" t="n">
        <v>4.19</v>
      </c>
      <c r="C2766" t="n">
        <v>3.49</v>
      </c>
    </row>
    <row r="2767">
      <c r="A2767" s="28" t="n">
        <v>23599</v>
      </c>
      <c r="B2767" t="n">
        <v>4.19</v>
      </c>
      <c r="C2767" t="n">
        <v>3.5</v>
      </c>
    </row>
    <row r="2768">
      <c r="A2768" s="28" t="n">
        <v>23600</v>
      </c>
      <c r="B2768" t="n">
        <v>4.2</v>
      </c>
      <c r="C2768" t="n">
        <v>3.5</v>
      </c>
    </row>
    <row r="2769">
      <c r="A2769" s="28" t="n">
        <v>23601</v>
      </c>
      <c r="B2769" t="n">
        <v>4.2</v>
      </c>
      <c r="C2769" t="n">
        <v>3.51</v>
      </c>
    </row>
    <row r="2770">
      <c r="A2770" s="28" t="n">
        <v>23602</v>
      </c>
      <c r="B2770" t="n">
        <v>4.19</v>
      </c>
      <c r="C2770" t="n">
        <v>3.51</v>
      </c>
    </row>
    <row r="2771">
      <c r="A2771" s="28" t="n">
        <v>23603</v>
      </c>
      <c r="B2771" t="n">
        <v>4.19</v>
      </c>
      <c r="C2771" t="n">
        <v>3.51</v>
      </c>
    </row>
    <row r="2772">
      <c r="A2772" s="28" t="n">
        <v>23606</v>
      </c>
      <c r="B2772" t="n">
        <v>4.19</v>
      </c>
      <c r="C2772" t="n">
        <v>3.5</v>
      </c>
    </row>
    <row r="2773">
      <c r="A2773" s="28" t="n">
        <v>23607</v>
      </c>
      <c r="B2773" t="n">
        <v>4.19</v>
      </c>
      <c r="C2773" t="n">
        <v>3.49</v>
      </c>
    </row>
    <row r="2774">
      <c r="A2774" s="28" t="n">
        <v>23608</v>
      </c>
      <c r="B2774" t="n">
        <v>4.19</v>
      </c>
      <c r="C2774" t="n">
        <v>3.5</v>
      </c>
    </row>
    <row r="2775">
      <c r="A2775" s="28" t="n">
        <v>23609</v>
      </c>
      <c r="B2775" t="n">
        <v>4.19</v>
      </c>
      <c r="C2775" t="n">
        <v>3.5</v>
      </c>
    </row>
    <row r="2776">
      <c r="A2776" s="28" t="n">
        <v>23610</v>
      </c>
      <c r="B2776" t="n">
        <v>4.19</v>
      </c>
      <c r="C2776" t="n">
        <v>3.5</v>
      </c>
    </row>
    <row r="2777">
      <c r="A2777" s="28" t="n">
        <v>23613</v>
      </c>
      <c r="B2777" t="n">
        <v>4.19</v>
      </c>
      <c r="C2777" t="n">
        <v>3.5</v>
      </c>
    </row>
    <row r="2778">
      <c r="A2778" s="28" t="n">
        <v>23614</v>
      </c>
      <c r="B2778" t="n">
        <v>4.2</v>
      </c>
      <c r="C2778" t="n">
        <v>3.5</v>
      </c>
    </row>
    <row r="2779">
      <c r="A2779" s="28" t="n">
        <v>23615</v>
      </c>
      <c r="B2779" t="n">
        <v>4.2</v>
      </c>
      <c r="C2779" t="n">
        <v>3.51</v>
      </c>
    </row>
    <row r="2780">
      <c r="A2780" s="28" t="n">
        <v>23616</v>
      </c>
      <c r="B2780" t="n">
        <v>4.2</v>
      </c>
      <c r="C2780" t="n">
        <v>3.49</v>
      </c>
    </row>
    <row r="2781">
      <c r="A2781" s="28" t="n">
        <v>23617</v>
      </c>
      <c r="B2781" t="n">
        <v>4.21</v>
      </c>
      <c r="C2781" t="n">
        <v>3.49</v>
      </c>
    </row>
    <row r="2782">
      <c r="A2782" s="28" t="n">
        <v>23620</v>
      </c>
      <c r="B2782" t="n">
        <v>4.21</v>
      </c>
      <c r="C2782" t="n">
        <v>3.5</v>
      </c>
    </row>
    <row r="2783">
      <c r="A2783" s="28" t="n">
        <v>23621</v>
      </c>
      <c r="B2783" t="n">
        <v>4.21</v>
      </c>
      <c r="C2783" t="n">
        <v>3.5</v>
      </c>
    </row>
    <row r="2784">
      <c r="A2784" s="28" t="n">
        <v>23622</v>
      </c>
      <c r="B2784" t="n">
        <v>4.22</v>
      </c>
      <c r="C2784" t="n">
        <v>3.51</v>
      </c>
    </row>
    <row r="2785">
      <c r="A2785" s="28" t="n">
        <v>23623</v>
      </c>
      <c r="B2785" t="n">
        <v>4.22</v>
      </c>
      <c r="C2785" t="n">
        <v>3.5</v>
      </c>
    </row>
    <row r="2786">
      <c r="A2786" s="28" t="n">
        <v>23624</v>
      </c>
      <c r="B2786" t="n">
        <v>4.22</v>
      </c>
      <c r="C2786" t="n">
        <v>3.51</v>
      </c>
    </row>
    <row r="2787">
      <c r="A2787" s="28" t="n">
        <v>23627</v>
      </c>
      <c r="B2787" t="n">
        <v>0</v>
      </c>
      <c r="C2787" t="n">
        <v>0</v>
      </c>
    </row>
    <row r="2788">
      <c r="A2788" s="28" t="n">
        <v>23628</v>
      </c>
      <c r="B2788" t="n">
        <v>4.22</v>
      </c>
      <c r="C2788" t="n">
        <v>3.51</v>
      </c>
    </row>
    <row r="2789">
      <c r="A2789" s="28" t="n">
        <v>23629</v>
      </c>
      <c r="B2789" t="n">
        <v>4.22</v>
      </c>
      <c r="C2789" t="n">
        <v>3.53</v>
      </c>
    </row>
    <row r="2790">
      <c r="A2790" s="28" t="n">
        <v>23630</v>
      </c>
      <c r="B2790" t="n">
        <v>4.22</v>
      </c>
      <c r="C2790" t="n">
        <v>3.52</v>
      </c>
    </row>
    <row r="2791">
      <c r="A2791" s="28" t="n">
        <v>23631</v>
      </c>
      <c r="B2791" t="n">
        <v>4.22</v>
      </c>
      <c r="C2791" t="n">
        <v>3.52</v>
      </c>
    </row>
    <row r="2792">
      <c r="A2792" s="28" t="n">
        <v>23634</v>
      </c>
      <c r="B2792" t="n">
        <v>4.22</v>
      </c>
      <c r="C2792" t="n">
        <v>3.53</v>
      </c>
    </row>
    <row r="2793">
      <c r="A2793" s="28" t="n">
        <v>23635</v>
      </c>
      <c r="B2793" t="n">
        <v>4.22</v>
      </c>
      <c r="C2793" t="n">
        <v>3.54</v>
      </c>
    </row>
    <row r="2794">
      <c r="A2794" s="28" t="n">
        <v>23636</v>
      </c>
      <c r="B2794" t="n">
        <v>4.21</v>
      </c>
      <c r="C2794" t="n">
        <v>3.55</v>
      </c>
    </row>
    <row r="2795">
      <c r="A2795" s="28" t="n">
        <v>23637</v>
      </c>
      <c r="B2795" t="n">
        <v>4.2</v>
      </c>
      <c r="C2795" t="n">
        <v>3.54</v>
      </c>
    </row>
    <row r="2796">
      <c r="A2796" s="28" t="n">
        <v>23638</v>
      </c>
      <c r="B2796" t="n">
        <v>4.2</v>
      </c>
      <c r="C2796" t="n">
        <v>3.54</v>
      </c>
    </row>
    <row r="2797">
      <c r="A2797" s="28" t="n">
        <v>23641</v>
      </c>
      <c r="B2797" t="n">
        <v>4.19</v>
      </c>
      <c r="C2797" t="n">
        <v>3.54</v>
      </c>
    </row>
    <row r="2798">
      <c r="A2798" s="28" t="n">
        <v>23642</v>
      </c>
      <c r="B2798" t="n">
        <v>4.19</v>
      </c>
      <c r="C2798" t="n">
        <v>3.54</v>
      </c>
    </row>
    <row r="2799">
      <c r="A2799" s="28" t="n">
        <v>23643</v>
      </c>
      <c r="B2799" t="n">
        <v>4.19</v>
      </c>
      <c r="C2799" t="n">
        <v>3.55</v>
      </c>
    </row>
    <row r="2800">
      <c r="A2800" s="28" t="n">
        <v>23644</v>
      </c>
      <c r="B2800" t="n">
        <v>4.19</v>
      </c>
      <c r="C2800" t="n">
        <v>3.55</v>
      </c>
    </row>
    <row r="2801">
      <c r="A2801" s="28" t="n">
        <v>23645</v>
      </c>
      <c r="B2801" t="n">
        <v>4.19</v>
      </c>
      <c r="C2801" t="n">
        <v>3.54</v>
      </c>
    </row>
    <row r="2802">
      <c r="A2802" s="28" t="n">
        <v>23648</v>
      </c>
      <c r="B2802" t="n">
        <v>4.17</v>
      </c>
      <c r="C2802" t="n">
        <v>3.55</v>
      </c>
    </row>
    <row r="2803">
      <c r="A2803" s="28" t="n">
        <v>23649</v>
      </c>
      <c r="B2803" t="n">
        <v>4.18</v>
      </c>
      <c r="C2803" t="n">
        <v>3.55</v>
      </c>
    </row>
    <row r="2804">
      <c r="A2804" s="28" t="n">
        <v>23650</v>
      </c>
      <c r="B2804" t="n">
        <v>4.18</v>
      </c>
      <c r="C2804" t="n">
        <v>3.55</v>
      </c>
    </row>
    <row r="2805">
      <c r="A2805" s="28" t="n">
        <v>23651</v>
      </c>
      <c r="B2805" t="n">
        <v>4.18</v>
      </c>
      <c r="C2805" t="n">
        <v>3.55</v>
      </c>
    </row>
    <row r="2806">
      <c r="A2806" s="28" t="n">
        <v>23652</v>
      </c>
      <c r="B2806" t="n">
        <v>4.18</v>
      </c>
      <c r="C2806" t="n">
        <v>3.56</v>
      </c>
    </row>
    <row r="2807">
      <c r="A2807" s="28" t="n">
        <v>23655</v>
      </c>
      <c r="B2807" t="n">
        <v>4.2</v>
      </c>
      <c r="C2807" t="n">
        <v>3.56</v>
      </c>
    </row>
    <row r="2808">
      <c r="A2808" s="28" t="n">
        <v>23656</v>
      </c>
      <c r="B2808" t="n">
        <v>4.19</v>
      </c>
      <c r="C2808" t="n">
        <v>3.56</v>
      </c>
    </row>
    <row r="2809">
      <c r="A2809" s="28" t="n">
        <v>23657</v>
      </c>
      <c r="B2809" t="n">
        <v>4.19</v>
      </c>
      <c r="C2809" t="n">
        <v>3.58</v>
      </c>
    </row>
    <row r="2810">
      <c r="A2810" s="28" t="n">
        <v>23658</v>
      </c>
      <c r="B2810" t="n">
        <v>4.19</v>
      </c>
      <c r="C2810" t="n">
        <v>3.58</v>
      </c>
    </row>
    <row r="2811">
      <c r="A2811" s="28" t="n">
        <v>23659</v>
      </c>
      <c r="B2811" t="n">
        <v>4.19</v>
      </c>
      <c r="C2811" t="n">
        <v>3.58</v>
      </c>
    </row>
    <row r="2812">
      <c r="A2812" s="28" t="n">
        <v>23662</v>
      </c>
      <c r="B2812" t="n">
        <v>0</v>
      </c>
      <c r="C2812" t="n">
        <v>0</v>
      </c>
    </row>
    <row r="2813">
      <c r="A2813" s="28" t="n">
        <v>23663</v>
      </c>
      <c r="B2813" t="n">
        <v>4.19</v>
      </c>
      <c r="C2813" t="n">
        <v>3.57</v>
      </c>
    </row>
    <row r="2814">
      <c r="A2814" s="28" t="n">
        <v>23664</v>
      </c>
      <c r="B2814" t="n">
        <v>4.19</v>
      </c>
      <c r="C2814" t="n">
        <v>3.59</v>
      </c>
    </row>
    <row r="2815">
      <c r="A2815" s="28" t="n">
        <v>23665</v>
      </c>
      <c r="B2815" t="n">
        <v>4.2</v>
      </c>
      <c r="C2815" t="n">
        <v>3.59</v>
      </c>
    </row>
    <row r="2816">
      <c r="A2816" s="28" t="n">
        <v>23666</v>
      </c>
      <c r="B2816" t="n">
        <v>4.21</v>
      </c>
      <c r="C2816" t="n">
        <v>3.59</v>
      </c>
    </row>
    <row r="2817">
      <c r="A2817" s="28" t="n">
        <v>23669</v>
      </c>
      <c r="B2817" t="n">
        <v>4.21</v>
      </c>
      <c r="C2817" t="n">
        <v>3.59</v>
      </c>
    </row>
    <row r="2818">
      <c r="A2818" s="28" t="n">
        <v>23670</v>
      </c>
      <c r="B2818" t="n">
        <v>4.2</v>
      </c>
      <c r="C2818" t="n">
        <v>3.59</v>
      </c>
    </row>
    <row r="2819">
      <c r="A2819" s="28" t="n">
        <v>23671</v>
      </c>
      <c r="B2819" t="n">
        <v>4.19</v>
      </c>
      <c r="C2819" t="n">
        <v>3.59</v>
      </c>
    </row>
    <row r="2820">
      <c r="A2820" s="28" t="n">
        <v>23672</v>
      </c>
      <c r="B2820" t="n">
        <v>4.19</v>
      </c>
      <c r="C2820" t="n">
        <v>3.58</v>
      </c>
    </row>
    <row r="2821">
      <c r="A2821" s="28" t="n">
        <v>23673</v>
      </c>
      <c r="B2821" t="n">
        <v>4.19</v>
      </c>
      <c r="C2821" t="n">
        <v>3.57</v>
      </c>
    </row>
    <row r="2822">
      <c r="A2822" s="28" t="n">
        <v>23676</v>
      </c>
      <c r="B2822" t="n">
        <v>4.19</v>
      </c>
      <c r="C2822" t="n">
        <v>3.56</v>
      </c>
    </row>
    <row r="2823">
      <c r="A2823" s="28" t="n">
        <v>23677</v>
      </c>
      <c r="B2823" t="n">
        <v>4.18</v>
      </c>
      <c r="C2823" t="n">
        <v>3.56</v>
      </c>
    </row>
    <row r="2824">
      <c r="A2824" s="28" t="n">
        <v>23678</v>
      </c>
      <c r="B2824" t="n">
        <v>4.17</v>
      </c>
      <c r="C2824" t="n">
        <v>3.56</v>
      </c>
    </row>
    <row r="2825">
      <c r="A2825" s="28" t="n">
        <v>23679</v>
      </c>
      <c r="B2825" t="n">
        <v>4.16</v>
      </c>
      <c r="C2825" t="n">
        <v>3.55</v>
      </c>
    </row>
    <row r="2826">
      <c r="A2826" s="28" t="n">
        <v>23680</v>
      </c>
      <c r="B2826" t="n">
        <v>4.16</v>
      </c>
      <c r="C2826" t="n">
        <v>3.55</v>
      </c>
    </row>
    <row r="2827">
      <c r="A2827" s="28" t="n">
        <v>23683</v>
      </c>
      <c r="B2827" t="n">
        <v>4.15</v>
      </c>
      <c r="C2827" t="n">
        <v>3.55</v>
      </c>
    </row>
    <row r="2828">
      <c r="A2828" s="28" t="n">
        <v>23684</v>
      </c>
      <c r="B2828" t="n">
        <v>0</v>
      </c>
      <c r="C2828" t="n">
        <v>0</v>
      </c>
    </row>
    <row r="2829">
      <c r="A2829" s="28" t="n">
        <v>23685</v>
      </c>
      <c r="B2829" t="n">
        <v>4.15</v>
      </c>
      <c r="C2829" t="n">
        <v>3.57</v>
      </c>
    </row>
    <row r="2830">
      <c r="A2830" s="28" t="n">
        <v>23686</v>
      </c>
      <c r="B2830" t="n">
        <v>4.15</v>
      </c>
      <c r="C2830" t="n">
        <v>3.57</v>
      </c>
    </row>
    <row r="2831">
      <c r="A2831" s="28" t="n">
        <v>23687</v>
      </c>
      <c r="B2831" t="n">
        <v>4.15</v>
      </c>
      <c r="C2831" t="n">
        <v>3.57</v>
      </c>
    </row>
    <row r="2832">
      <c r="A2832" s="28" t="n">
        <v>23690</v>
      </c>
      <c r="B2832" t="n">
        <v>4.15</v>
      </c>
      <c r="C2832" t="n">
        <v>3.57</v>
      </c>
    </row>
    <row r="2833">
      <c r="A2833" s="28" t="n">
        <v>23691</v>
      </c>
      <c r="B2833" t="n">
        <v>4.14</v>
      </c>
      <c r="C2833" t="n">
        <v>3.56</v>
      </c>
    </row>
    <row r="2834">
      <c r="A2834" s="28" t="n">
        <v>23692</v>
      </c>
      <c r="B2834" t="n">
        <v>0</v>
      </c>
      <c r="C2834" t="n">
        <v>0</v>
      </c>
    </row>
    <row r="2835">
      <c r="A2835" s="28" t="n">
        <v>23693</v>
      </c>
      <c r="B2835" t="n">
        <v>4.12</v>
      </c>
      <c r="C2835" t="n">
        <v>3.58</v>
      </c>
    </row>
    <row r="2836">
      <c r="A2836" s="28" t="n">
        <v>23694</v>
      </c>
      <c r="B2836" t="n">
        <v>4.13</v>
      </c>
      <c r="C2836" t="n">
        <v>3.59</v>
      </c>
    </row>
    <row r="2837">
      <c r="A2837" s="28" t="n">
        <v>23697</v>
      </c>
      <c r="B2837" t="n">
        <v>4.13</v>
      </c>
      <c r="C2837" t="n">
        <v>3.6</v>
      </c>
    </row>
    <row r="2838">
      <c r="A2838" s="28" t="n">
        <v>23698</v>
      </c>
      <c r="B2838" t="n">
        <v>4.14</v>
      </c>
      <c r="C2838" t="n">
        <v>3.6</v>
      </c>
    </row>
    <row r="2839">
      <c r="A2839" s="28" t="n">
        <v>23699</v>
      </c>
      <c r="B2839" t="n">
        <v>4.14</v>
      </c>
      <c r="C2839" t="n">
        <v>3.61</v>
      </c>
    </row>
    <row r="2840">
      <c r="A2840" s="28" t="n">
        <v>23700</v>
      </c>
      <c r="B2840" t="n">
        <v>4.13</v>
      </c>
      <c r="C2840" t="n">
        <v>3.61</v>
      </c>
    </row>
    <row r="2841">
      <c r="A2841" s="28" t="n">
        <v>23701</v>
      </c>
      <c r="B2841" t="n">
        <v>4.13</v>
      </c>
      <c r="C2841" t="n">
        <v>3.62</v>
      </c>
    </row>
    <row r="2842">
      <c r="A2842" s="28" t="n">
        <v>23704</v>
      </c>
      <c r="B2842" t="n">
        <v>4.18</v>
      </c>
      <c r="C2842" t="n">
        <v>3.73</v>
      </c>
    </row>
    <row r="2843">
      <c r="A2843" s="28" t="n">
        <v>23705</v>
      </c>
      <c r="B2843" t="n">
        <v>4.18</v>
      </c>
      <c r="C2843" t="n">
        <v>3.78</v>
      </c>
    </row>
    <row r="2844">
      <c r="A2844" s="28" t="n">
        <v>23706</v>
      </c>
      <c r="B2844" t="n">
        <v>4.19</v>
      </c>
      <c r="C2844" t="n">
        <v>3.82</v>
      </c>
    </row>
    <row r="2845">
      <c r="A2845" s="28" t="n">
        <v>23707</v>
      </c>
      <c r="B2845" t="n">
        <v>0</v>
      </c>
      <c r="C2845" t="n">
        <v>0</v>
      </c>
    </row>
    <row r="2846">
      <c r="A2846" s="28" t="n">
        <v>23708</v>
      </c>
      <c r="B2846" t="n">
        <v>4.19</v>
      </c>
      <c r="C2846" t="n">
        <v>3.81</v>
      </c>
    </row>
    <row r="2847">
      <c r="A2847" s="28" t="n">
        <v>23711</v>
      </c>
      <c r="B2847" t="n">
        <v>4.2</v>
      </c>
      <c r="C2847" t="n">
        <v>3.84</v>
      </c>
    </row>
    <row r="2848">
      <c r="A2848" s="28" t="n">
        <v>23712</v>
      </c>
      <c r="B2848" t="n">
        <v>4.2</v>
      </c>
      <c r="C2848" t="n">
        <v>3.85</v>
      </c>
    </row>
    <row r="2849">
      <c r="A2849" s="28" t="n">
        <v>23713</v>
      </c>
      <c r="B2849" t="n">
        <v>4.19</v>
      </c>
      <c r="C2849" t="n">
        <v>3.84</v>
      </c>
    </row>
    <row r="2850">
      <c r="A2850" s="28" t="n">
        <v>23714</v>
      </c>
      <c r="B2850" t="n">
        <v>4.18</v>
      </c>
      <c r="C2850" t="n">
        <v>3.79</v>
      </c>
    </row>
    <row r="2851">
      <c r="A2851" s="28" t="n">
        <v>23715</v>
      </c>
      <c r="B2851" t="n">
        <v>4.18</v>
      </c>
      <c r="C2851" t="n">
        <v>3.78</v>
      </c>
    </row>
    <row r="2852">
      <c r="A2852" s="28" t="n">
        <v>23718</v>
      </c>
      <c r="B2852" t="n">
        <v>4.17</v>
      </c>
      <c r="C2852" t="n">
        <v>3.76</v>
      </c>
    </row>
    <row r="2853">
      <c r="A2853" s="28" t="n">
        <v>23719</v>
      </c>
      <c r="B2853" t="n">
        <v>4.16</v>
      </c>
      <c r="C2853" t="n">
        <v>3.8</v>
      </c>
    </row>
    <row r="2854">
      <c r="A2854" s="28" t="n">
        <v>23720</v>
      </c>
      <c r="B2854" t="n">
        <v>4.16</v>
      </c>
      <c r="C2854" t="n">
        <v>3.84</v>
      </c>
    </row>
    <row r="2855">
      <c r="A2855" s="28" t="n">
        <v>23721</v>
      </c>
      <c r="B2855" t="n">
        <v>4.15</v>
      </c>
      <c r="C2855" t="n">
        <v>3.83</v>
      </c>
    </row>
    <row r="2856">
      <c r="A2856" s="28" t="n">
        <v>23722</v>
      </c>
      <c r="B2856" t="n">
        <v>4.15</v>
      </c>
      <c r="C2856" t="n">
        <v>3.82</v>
      </c>
    </row>
    <row r="2857">
      <c r="A2857" s="28" t="n">
        <v>23725</v>
      </c>
      <c r="B2857" t="n">
        <v>4.16</v>
      </c>
      <c r="C2857" t="n">
        <v>3.84</v>
      </c>
    </row>
    <row r="2858">
      <c r="A2858" s="28" t="n">
        <v>23726</v>
      </c>
      <c r="B2858" t="n">
        <v>4.17</v>
      </c>
      <c r="C2858" t="n">
        <v>3.85</v>
      </c>
    </row>
    <row r="2859">
      <c r="A2859" s="28" t="n">
        <v>23727</v>
      </c>
      <c r="B2859" t="n">
        <v>4.18</v>
      </c>
      <c r="C2859" t="n">
        <v>3.87</v>
      </c>
    </row>
    <row r="2860">
      <c r="A2860" s="28" t="n">
        <v>23728</v>
      </c>
      <c r="B2860" t="n">
        <v>4.18</v>
      </c>
      <c r="C2860" t="n">
        <v>3.87</v>
      </c>
    </row>
    <row r="2861">
      <c r="A2861" s="28" t="n">
        <v>23729</v>
      </c>
      <c r="B2861" t="n">
        <v>4.19</v>
      </c>
      <c r="C2861" t="n">
        <v>3.86</v>
      </c>
    </row>
    <row r="2862">
      <c r="A2862" s="28" t="n">
        <v>23732</v>
      </c>
      <c r="B2862" t="n">
        <v>4.18</v>
      </c>
      <c r="C2862" t="n">
        <v>3.86</v>
      </c>
    </row>
    <row r="2863">
      <c r="A2863" s="28" t="n">
        <v>23733</v>
      </c>
      <c r="B2863" t="n">
        <v>4.18</v>
      </c>
      <c r="C2863" t="n">
        <v>3.86</v>
      </c>
    </row>
    <row r="2864">
      <c r="A2864" s="28" t="n">
        <v>23734</v>
      </c>
      <c r="B2864" t="n">
        <v>4.19</v>
      </c>
      <c r="C2864" t="n">
        <v>3.86</v>
      </c>
    </row>
    <row r="2865">
      <c r="A2865" s="28" t="n">
        <v>23735</v>
      </c>
      <c r="B2865" t="n">
        <v>4.19</v>
      </c>
      <c r="C2865" t="n">
        <v>3.86</v>
      </c>
    </row>
    <row r="2866">
      <c r="A2866" s="28" t="n">
        <v>23736</v>
      </c>
      <c r="B2866" t="n">
        <v>0</v>
      </c>
      <c r="C2866" t="n">
        <v>0</v>
      </c>
    </row>
    <row r="2867">
      <c r="A2867" s="28" t="n">
        <v>23739</v>
      </c>
      <c r="B2867" t="n">
        <v>4.19</v>
      </c>
      <c r="C2867" t="n">
        <v>3.85</v>
      </c>
    </row>
    <row r="2868">
      <c r="A2868" s="28" t="n">
        <v>23740</v>
      </c>
      <c r="B2868" t="n">
        <v>4.19</v>
      </c>
      <c r="C2868" t="n">
        <v>3.82</v>
      </c>
    </row>
    <row r="2869">
      <c r="A2869" s="28" t="n">
        <v>23741</v>
      </c>
      <c r="B2869" t="n">
        <v>4.2</v>
      </c>
      <c r="C2869" t="n">
        <v>3.84</v>
      </c>
    </row>
    <row r="2870">
      <c r="A2870" s="28" t="n">
        <v>23742</v>
      </c>
      <c r="B2870" t="n">
        <v>4.21</v>
      </c>
      <c r="C2870" t="n">
        <v>3.82</v>
      </c>
    </row>
    <row r="2871">
      <c r="A2871" s="28" t="n">
        <v>23743</v>
      </c>
      <c r="B2871" t="n">
        <v>0</v>
      </c>
      <c r="C2871" t="n">
        <v>0</v>
      </c>
    </row>
    <row r="2872">
      <c r="A2872" s="28" t="n">
        <v>23746</v>
      </c>
      <c r="B2872" t="n">
        <v>4.2</v>
      </c>
      <c r="C2872" t="n">
        <v>3.81</v>
      </c>
    </row>
    <row r="2873">
      <c r="A2873" s="28" t="n">
        <v>23747</v>
      </c>
      <c r="B2873" t="n">
        <v>4.2</v>
      </c>
      <c r="C2873" t="n">
        <v>3.8</v>
      </c>
    </row>
    <row r="2874">
      <c r="A2874" s="28" t="n">
        <v>23748</v>
      </c>
      <c r="B2874" t="n">
        <v>4.2</v>
      </c>
      <c r="C2874" t="n">
        <v>3.82</v>
      </c>
    </row>
    <row r="2875">
      <c r="A2875" s="28" t="n">
        <v>23749</v>
      </c>
      <c r="B2875" t="n">
        <v>4.2</v>
      </c>
      <c r="C2875" t="n">
        <v>3.8</v>
      </c>
    </row>
    <row r="2876">
      <c r="A2876" s="28" t="n">
        <v>23750</v>
      </c>
      <c r="B2876" t="n">
        <v>4.2</v>
      </c>
      <c r="C2876" t="n">
        <v>3.78</v>
      </c>
    </row>
    <row r="2877">
      <c r="A2877" s="28" t="n">
        <v>23753</v>
      </c>
      <c r="B2877" t="n">
        <v>4.2</v>
      </c>
      <c r="C2877" t="n">
        <v>3.77</v>
      </c>
    </row>
    <row r="2878">
      <c r="A2878" s="28" t="n">
        <v>23754</v>
      </c>
      <c r="B2878" t="n">
        <v>4.19</v>
      </c>
      <c r="C2878" t="n">
        <v>3.76</v>
      </c>
    </row>
    <row r="2879">
      <c r="A2879" s="28" t="n">
        <v>23755</v>
      </c>
      <c r="B2879" t="n">
        <v>4.19</v>
      </c>
      <c r="C2879" t="n">
        <v>3.77</v>
      </c>
    </row>
    <row r="2880">
      <c r="A2880" s="28" t="n">
        <v>23756</v>
      </c>
      <c r="B2880" t="n">
        <v>4.19</v>
      </c>
      <c r="C2880" t="n">
        <v>3.77</v>
      </c>
    </row>
    <row r="2881">
      <c r="A2881" s="28" t="n">
        <v>23757</v>
      </c>
      <c r="B2881" t="n">
        <v>4.19</v>
      </c>
      <c r="C2881" t="n">
        <v>3.77</v>
      </c>
    </row>
    <row r="2882">
      <c r="A2882" s="28" t="n">
        <v>23760</v>
      </c>
      <c r="B2882" t="n">
        <v>4.19</v>
      </c>
      <c r="C2882" t="n">
        <v>3.77</v>
      </c>
    </row>
    <row r="2883">
      <c r="A2883" s="28" t="n">
        <v>23761</v>
      </c>
      <c r="B2883" t="n">
        <v>4.18</v>
      </c>
      <c r="C2883" t="n">
        <v>3.77</v>
      </c>
    </row>
    <row r="2884">
      <c r="A2884" s="28" t="n">
        <v>23762</v>
      </c>
      <c r="B2884" t="n">
        <v>4.18</v>
      </c>
      <c r="C2884" t="n">
        <v>3.83</v>
      </c>
    </row>
    <row r="2885">
      <c r="A2885" s="28" t="n">
        <v>23763</v>
      </c>
      <c r="B2885" t="n">
        <v>4.17</v>
      </c>
      <c r="C2885" t="n">
        <v>3.83</v>
      </c>
    </row>
    <row r="2886">
      <c r="A2886" s="28" t="n">
        <v>23764</v>
      </c>
      <c r="B2886" t="n">
        <v>4.17</v>
      </c>
      <c r="C2886" t="n">
        <v>3.83</v>
      </c>
    </row>
    <row r="2887">
      <c r="A2887" s="28" t="n">
        <v>23767</v>
      </c>
      <c r="B2887" t="n">
        <v>4.18</v>
      </c>
      <c r="C2887" t="n">
        <v>3.84</v>
      </c>
    </row>
    <row r="2888">
      <c r="A2888" s="28" t="n">
        <v>23768</v>
      </c>
      <c r="B2888" t="n">
        <v>4.19</v>
      </c>
      <c r="C2888" t="n">
        <v>3.84</v>
      </c>
    </row>
    <row r="2889">
      <c r="A2889" s="28" t="n">
        <v>23769</v>
      </c>
      <c r="B2889" t="n">
        <v>4.19</v>
      </c>
      <c r="C2889" t="n">
        <v>3.85</v>
      </c>
    </row>
    <row r="2890">
      <c r="A2890" s="28" t="n">
        <v>23770</v>
      </c>
      <c r="B2890" t="n">
        <v>4.19</v>
      </c>
      <c r="C2890" t="n">
        <v>3.86</v>
      </c>
    </row>
    <row r="2891">
      <c r="A2891" s="28" t="n">
        <v>23771</v>
      </c>
      <c r="B2891" t="n">
        <v>4.19</v>
      </c>
      <c r="C2891" t="n">
        <v>3.87</v>
      </c>
    </row>
    <row r="2892">
      <c r="A2892" s="28" t="n">
        <v>23774</v>
      </c>
      <c r="B2892" t="n">
        <v>4.2</v>
      </c>
      <c r="C2892" t="n">
        <v>3.88</v>
      </c>
    </row>
    <row r="2893">
      <c r="A2893" s="28" t="n">
        <v>23775</v>
      </c>
      <c r="B2893" t="n">
        <v>4.2</v>
      </c>
      <c r="C2893" t="n">
        <v>3.88</v>
      </c>
    </row>
    <row r="2894">
      <c r="A2894" s="28" t="n">
        <v>23776</v>
      </c>
      <c r="B2894" t="n">
        <v>4.2</v>
      </c>
      <c r="C2894" t="n">
        <v>3.89</v>
      </c>
    </row>
    <row r="2895">
      <c r="A2895" s="28" t="n">
        <v>23777</v>
      </c>
      <c r="B2895" t="n">
        <v>4.21</v>
      </c>
      <c r="C2895" t="n">
        <v>3.9</v>
      </c>
    </row>
    <row r="2896">
      <c r="A2896" s="28" t="n">
        <v>23778</v>
      </c>
      <c r="B2896" t="n">
        <v>4.22</v>
      </c>
      <c r="C2896" t="n">
        <v>3.91</v>
      </c>
    </row>
    <row r="2897">
      <c r="A2897" s="28" t="n">
        <v>23781</v>
      </c>
      <c r="B2897" t="n">
        <v>4.21</v>
      </c>
      <c r="C2897" t="n">
        <v>3.89</v>
      </c>
    </row>
    <row r="2898">
      <c r="A2898" s="28" t="n">
        <v>23782</v>
      </c>
      <c r="B2898" t="n">
        <v>4.21</v>
      </c>
      <c r="C2898" t="n">
        <v>3.89</v>
      </c>
    </row>
    <row r="2899">
      <c r="A2899" s="28" t="n">
        <v>23783</v>
      </c>
      <c r="B2899" t="n">
        <v>4.21</v>
      </c>
      <c r="C2899" t="n">
        <v>3.91</v>
      </c>
    </row>
    <row r="2900">
      <c r="A2900" s="28" t="n">
        <v>23784</v>
      </c>
      <c r="B2900" t="n">
        <v>4.21</v>
      </c>
      <c r="C2900" t="n">
        <v>3.92</v>
      </c>
    </row>
    <row r="2901">
      <c r="A2901" s="28" t="n">
        <v>23785</v>
      </c>
      <c r="B2901" t="n">
        <v>0</v>
      </c>
      <c r="C2901" t="n">
        <v>0</v>
      </c>
    </row>
    <row r="2902">
      <c r="A2902" s="28" t="n">
        <v>23788</v>
      </c>
      <c r="B2902" t="n">
        <v>4.22</v>
      </c>
      <c r="C2902" t="n">
        <v>3.91</v>
      </c>
    </row>
    <row r="2903">
      <c r="A2903" s="28" t="n">
        <v>23789</v>
      </c>
      <c r="B2903" t="n">
        <v>4.21</v>
      </c>
      <c r="C2903" t="n">
        <v>3.92</v>
      </c>
    </row>
    <row r="2904">
      <c r="A2904" s="28" t="n">
        <v>23790</v>
      </c>
      <c r="B2904" t="n">
        <v>4.21</v>
      </c>
      <c r="C2904" t="n">
        <v>3.96</v>
      </c>
    </row>
    <row r="2905">
      <c r="A2905" s="28" t="n">
        <v>23791</v>
      </c>
      <c r="B2905" t="n">
        <v>4.21</v>
      </c>
      <c r="C2905" t="n">
        <v>3.96</v>
      </c>
    </row>
    <row r="2906">
      <c r="A2906" s="28" t="n">
        <v>23792</v>
      </c>
      <c r="B2906" t="n">
        <v>4.22</v>
      </c>
      <c r="C2906" t="n">
        <v>3.96</v>
      </c>
    </row>
    <row r="2907">
      <c r="A2907" s="28" t="n">
        <v>23795</v>
      </c>
      <c r="B2907" t="n">
        <v>0</v>
      </c>
      <c r="C2907" t="n">
        <v>0</v>
      </c>
    </row>
    <row r="2908">
      <c r="A2908" s="28" t="n">
        <v>23796</v>
      </c>
      <c r="B2908" t="n">
        <v>4.21</v>
      </c>
      <c r="C2908" t="n">
        <v>3.98</v>
      </c>
    </row>
    <row r="2909">
      <c r="A2909" s="28" t="n">
        <v>23797</v>
      </c>
      <c r="B2909" t="n">
        <v>4.22</v>
      </c>
      <c r="C2909" t="n">
        <v>4</v>
      </c>
    </row>
    <row r="2910">
      <c r="A2910" s="28" t="n">
        <v>23798</v>
      </c>
      <c r="B2910" t="n">
        <v>4.21</v>
      </c>
      <c r="C2910" t="n">
        <v>4</v>
      </c>
    </row>
    <row r="2911">
      <c r="A2911" s="28" t="n">
        <v>23799</v>
      </c>
      <c r="B2911" t="n">
        <v>4.22</v>
      </c>
      <c r="C2911" t="n">
        <v>3.99</v>
      </c>
    </row>
    <row r="2912">
      <c r="A2912" s="28" t="n">
        <v>23802</v>
      </c>
      <c r="B2912" t="n">
        <v>4.22</v>
      </c>
      <c r="C2912" t="n">
        <v>3.97</v>
      </c>
    </row>
    <row r="2913">
      <c r="A2913" s="28" t="n">
        <v>23803</v>
      </c>
      <c r="B2913" t="n">
        <v>4.24</v>
      </c>
      <c r="C2913" t="n">
        <v>3.96</v>
      </c>
    </row>
    <row r="2914">
      <c r="A2914" s="28" t="n">
        <v>23804</v>
      </c>
      <c r="B2914" t="n">
        <v>4.23</v>
      </c>
      <c r="C2914" t="n">
        <v>3.97</v>
      </c>
    </row>
    <row r="2915">
      <c r="A2915" s="28" t="n">
        <v>23805</v>
      </c>
      <c r="B2915" t="n">
        <v>4.22</v>
      </c>
      <c r="C2915" t="n">
        <v>3.96</v>
      </c>
    </row>
    <row r="2916">
      <c r="A2916" s="28" t="n">
        <v>23806</v>
      </c>
      <c r="B2916" t="n">
        <v>4.23</v>
      </c>
      <c r="C2916" t="n">
        <v>3.95</v>
      </c>
    </row>
    <row r="2917">
      <c r="A2917" s="28" t="n">
        <v>23809</v>
      </c>
      <c r="B2917" t="n">
        <v>4.23</v>
      </c>
      <c r="C2917" t="n">
        <v>3.94</v>
      </c>
    </row>
    <row r="2918">
      <c r="A2918" s="28" t="n">
        <v>23810</v>
      </c>
      <c r="B2918" t="n">
        <v>4.23</v>
      </c>
      <c r="C2918" t="n">
        <v>3.94</v>
      </c>
    </row>
    <row r="2919">
      <c r="A2919" s="28" t="n">
        <v>23811</v>
      </c>
      <c r="B2919" t="n">
        <v>4.23</v>
      </c>
      <c r="C2919" t="n">
        <v>3.95</v>
      </c>
    </row>
    <row r="2920">
      <c r="A2920" s="28" t="n">
        <v>23812</v>
      </c>
      <c r="B2920" t="n">
        <v>4.22</v>
      </c>
      <c r="C2920" t="n">
        <v>3.94</v>
      </c>
    </row>
    <row r="2921">
      <c r="A2921" s="28" t="n">
        <v>23813</v>
      </c>
      <c r="B2921" t="n">
        <v>4.22</v>
      </c>
      <c r="C2921" t="n">
        <v>3.93</v>
      </c>
    </row>
    <row r="2922">
      <c r="A2922" s="28" t="n">
        <v>23816</v>
      </c>
      <c r="B2922" t="n">
        <v>4.21</v>
      </c>
      <c r="C2922" t="n">
        <v>3.92</v>
      </c>
    </row>
    <row r="2923">
      <c r="A2923" s="28" t="n">
        <v>23817</v>
      </c>
      <c r="B2923" t="n">
        <v>4.21</v>
      </c>
      <c r="C2923" t="n">
        <v>3.91</v>
      </c>
    </row>
    <row r="2924">
      <c r="A2924" s="28" t="n">
        <v>23818</v>
      </c>
      <c r="B2924" t="n">
        <v>4.2</v>
      </c>
      <c r="C2924" t="n">
        <v>3.92</v>
      </c>
    </row>
    <row r="2925">
      <c r="A2925" s="28" t="n">
        <v>23819</v>
      </c>
      <c r="B2925" t="n">
        <v>4.2</v>
      </c>
      <c r="C2925" t="n">
        <v>3.92</v>
      </c>
    </row>
    <row r="2926">
      <c r="A2926" s="28" t="n">
        <v>23820</v>
      </c>
      <c r="B2926" t="n">
        <v>4.2</v>
      </c>
      <c r="C2926" t="n">
        <v>3.92</v>
      </c>
    </row>
    <row r="2927">
      <c r="A2927" s="28" t="n">
        <v>23823</v>
      </c>
      <c r="B2927" t="n">
        <v>4.19</v>
      </c>
      <c r="C2927" t="n">
        <v>3.92</v>
      </c>
    </row>
    <row r="2928">
      <c r="A2928" s="28" t="n">
        <v>23824</v>
      </c>
      <c r="B2928" t="n">
        <v>4.19</v>
      </c>
      <c r="C2928" t="n">
        <v>3.91</v>
      </c>
    </row>
    <row r="2929">
      <c r="A2929" s="28" t="n">
        <v>23825</v>
      </c>
      <c r="B2929" t="n">
        <v>4.18</v>
      </c>
      <c r="C2929" t="n">
        <v>3.91</v>
      </c>
    </row>
    <row r="2930">
      <c r="A2930" s="28" t="n">
        <v>23826</v>
      </c>
      <c r="B2930" t="n">
        <v>4.19</v>
      </c>
      <c r="C2930" t="n">
        <v>3.89</v>
      </c>
    </row>
    <row r="2931">
      <c r="A2931" s="28" t="n">
        <v>23827</v>
      </c>
      <c r="B2931" t="n">
        <v>4.2</v>
      </c>
      <c r="C2931" t="n">
        <v>3.9</v>
      </c>
    </row>
    <row r="2932">
      <c r="A2932" s="28" t="n">
        <v>23830</v>
      </c>
      <c r="B2932" t="n">
        <v>4.2</v>
      </c>
      <c r="C2932" t="n">
        <v>3.9</v>
      </c>
    </row>
    <row r="2933">
      <c r="A2933" s="28" t="n">
        <v>23831</v>
      </c>
      <c r="B2933" t="n">
        <v>4.2</v>
      </c>
      <c r="C2933" t="n">
        <v>3.92</v>
      </c>
    </row>
    <row r="2934">
      <c r="A2934" s="28" t="n">
        <v>23832</v>
      </c>
      <c r="B2934" t="n">
        <v>4.2</v>
      </c>
      <c r="C2934" t="n">
        <v>3.93</v>
      </c>
    </row>
    <row r="2935">
      <c r="A2935" s="28" t="n">
        <v>23833</v>
      </c>
      <c r="B2935" t="n">
        <v>4.2</v>
      </c>
      <c r="C2935" t="n">
        <v>3.93</v>
      </c>
    </row>
    <row r="2936">
      <c r="A2936" s="28" t="n">
        <v>23834</v>
      </c>
      <c r="B2936" t="n">
        <v>4.2</v>
      </c>
      <c r="C2936" t="n">
        <v>3.94</v>
      </c>
    </row>
    <row r="2937">
      <c r="A2937" s="28" t="n">
        <v>23837</v>
      </c>
      <c r="B2937" t="n">
        <v>4.2</v>
      </c>
      <c r="C2937" t="n">
        <v>3.93</v>
      </c>
    </row>
    <row r="2938">
      <c r="A2938" s="28" t="n">
        <v>23838</v>
      </c>
      <c r="B2938" t="n">
        <v>4.2</v>
      </c>
      <c r="C2938" t="n">
        <v>3.92</v>
      </c>
    </row>
    <row r="2939">
      <c r="A2939" s="28" t="n">
        <v>23839</v>
      </c>
      <c r="B2939" t="n">
        <v>4.2</v>
      </c>
      <c r="C2939" t="n">
        <v>3.94</v>
      </c>
    </row>
    <row r="2940">
      <c r="A2940" s="28" t="n">
        <v>23840</v>
      </c>
      <c r="B2940" t="n">
        <v>4.19</v>
      </c>
      <c r="C2940" t="n">
        <v>3.92</v>
      </c>
    </row>
    <row r="2941">
      <c r="A2941" s="28" t="n">
        <v>23841</v>
      </c>
      <c r="B2941" t="n">
        <v>4.2</v>
      </c>
      <c r="C2941" t="n">
        <v>3.93</v>
      </c>
    </row>
    <row r="2942">
      <c r="A2942" s="28" t="n">
        <v>23844</v>
      </c>
      <c r="B2942" t="n">
        <v>4.2</v>
      </c>
      <c r="C2942" t="n">
        <v>3.93</v>
      </c>
    </row>
    <row r="2943">
      <c r="A2943" s="28" t="n">
        <v>23845</v>
      </c>
      <c r="B2943" t="n">
        <v>4.2</v>
      </c>
      <c r="C2943" t="n">
        <v>3.92</v>
      </c>
    </row>
    <row r="2944">
      <c r="A2944" s="28" t="n">
        <v>23846</v>
      </c>
      <c r="B2944" t="n">
        <v>4.19</v>
      </c>
      <c r="C2944" t="n">
        <v>3.94</v>
      </c>
    </row>
    <row r="2945">
      <c r="A2945" s="28" t="n">
        <v>23847</v>
      </c>
      <c r="B2945" t="n">
        <v>4.2</v>
      </c>
      <c r="C2945" t="n">
        <v>3.94</v>
      </c>
    </row>
    <row r="2946">
      <c r="A2946" s="28" t="n">
        <v>23848</v>
      </c>
      <c r="B2946" t="n">
        <v>0</v>
      </c>
      <c r="C2946" t="n">
        <v>0</v>
      </c>
    </row>
    <row r="2947">
      <c r="A2947" s="28" t="n">
        <v>23851</v>
      </c>
      <c r="B2947" t="n">
        <v>4.21</v>
      </c>
      <c r="C2947" t="n">
        <v>3.94</v>
      </c>
    </row>
    <row r="2948">
      <c r="A2948" s="28" t="n">
        <v>23852</v>
      </c>
      <c r="B2948" t="n">
        <v>4.21</v>
      </c>
      <c r="C2948" t="n">
        <v>3.93</v>
      </c>
    </row>
    <row r="2949">
      <c r="A2949" s="28" t="n">
        <v>23853</v>
      </c>
      <c r="B2949" t="n">
        <v>4.21</v>
      </c>
      <c r="C2949" t="n">
        <v>3.94</v>
      </c>
    </row>
    <row r="2950">
      <c r="A2950" s="28" t="n">
        <v>23854</v>
      </c>
      <c r="B2950" t="n">
        <v>4.21</v>
      </c>
      <c r="C2950" t="n">
        <v>3.94</v>
      </c>
    </row>
    <row r="2951">
      <c r="A2951" s="28" t="n">
        <v>23855</v>
      </c>
      <c r="B2951" t="n">
        <v>4.21</v>
      </c>
      <c r="C2951" t="n">
        <v>3.92</v>
      </c>
    </row>
    <row r="2952">
      <c r="A2952" s="28" t="n">
        <v>23858</v>
      </c>
      <c r="B2952" t="n">
        <v>4.21</v>
      </c>
      <c r="C2952" t="n">
        <v>3.9</v>
      </c>
    </row>
    <row r="2953">
      <c r="A2953" s="28" t="n">
        <v>23859</v>
      </c>
      <c r="B2953" t="n">
        <v>4.21</v>
      </c>
      <c r="C2953" t="n">
        <v>3.9</v>
      </c>
    </row>
    <row r="2954">
      <c r="A2954" s="28" t="n">
        <v>23860</v>
      </c>
      <c r="B2954" t="n">
        <v>4.21</v>
      </c>
      <c r="C2954" t="n">
        <v>3.92</v>
      </c>
    </row>
    <row r="2955">
      <c r="A2955" s="28" t="n">
        <v>23861</v>
      </c>
      <c r="B2955" t="n">
        <v>4.21</v>
      </c>
      <c r="C2955" t="n">
        <v>3.92</v>
      </c>
    </row>
    <row r="2956">
      <c r="A2956" s="28" t="n">
        <v>23862</v>
      </c>
      <c r="B2956" t="n">
        <v>4.21</v>
      </c>
      <c r="C2956" t="n">
        <v>3.91</v>
      </c>
    </row>
    <row r="2957">
      <c r="A2957" s="28" t="n">
        <v>23865</v>
      </c>
      <c r="B2957" t="n">
        <v>4.21</v>
      </c>
      <c r="C2957" t="n">
        <v>3.9</v>
      </c>
    </row>
    <row r="2958">
      <c r="A2958" s="28" t="n">
        <v>23866</v>
      </c>
      <c r="B2958" t="n">
        <v>4.2</v>
      </c>
      <c r="C2958" t="n">
        <v>3.88</v>
      </c>
    </row>
    <row r="2959">
      <c r="A2959" s="28" t="n">
        <v>23867</v>
      </c>
      <c r="B2959" t="n">
        <v>4.2</v>
      </c>
      <c r="C2959" t="n">
        <v>3.9</v>
      </c>
    </row>
    <row r="2960">
      <c r="A2960" s="28" t="n">
        <v>23868</v>
      </c>
      <c r="B2960" t="n">
        <v>4.2</v>
      </c>
      <c r="C2960" t="n">
        <v>3.89</v>
      </c>
    </row>
    <row r="2961">
      <c r="A2961" s="28" t="n">
        <v>23869</v>
      </c>
      <c r="B2961" t="n">
        <v>4.2</v>
      </c>
      <c r="C2961" t="n">
        <v>3.89</v>
      </c>
    </row>
    <row r="2962">
      <c r="A2962" s="28" t="n">
        <v>23872</v>
      </c>
      <c r="B2962" t="n">
        <v>4.2</v>
      </c>
      <c r="C2962" t="n">
        <v>3.88</v>
      </c>
    </row>
    <row r="2963">
      <c r="A2963" s="28" t="n">
        <v>23873</v>
      </c>
      <c r="B2963" t="n">
        <v>4.2</v>
      </c>
      <c r="C2963" t="n">
        <v>3.88</v>
      </c>
    </row>
    <row r="2964">
      <c r="A2964" s="28" t="n">
        <v>23874</v>
      </c>
      <c r="B2964" t="n">
        <v>4.2</v>
      </c>
      <c r="C2964" t="n">
        <v>3.9</v>
      </c>
    </row>
    <row r="2965">
      <c r="A2965" s="28" t="n">
        <v>23875</v>
      </c>
      <c r="B2965" t="n">
        <v>4.21</v>
      </c>
      <c r="C2965" t="n">
        <v>3.9</v>
      </c>
    </row>
    <row r="2966">
      <c r="A2966" s="28" t="n">
        <v>23876</v>
      </c>
      <c r="B2966" t="n">
        <v>4.21</v>
      </c>
      <c r="C2966" t="n">
        <v>3.9</v>
      </c>
    </row>
    <row r="2967">
      <c r="A2967" s="28" t="n">
        <v>23879</v>
      </c>
      <c r="B2967" t="n">
        <v>4.21</v>
      </c>
      <c r="C2967" t="n">
        <v>3.89</v>
      </c>
    </row>
    <row r="2968">
      <c r="A2968" s="28" t="n">
        <v>23880</v>
      </c>
      <c r="B2968" t="n">
        <v>4.22</v>
      </c>
      <c r="C2968" t="n">
        <v>3.89</v>
      </c>
    </row>
    <row r="2969">
      <c r="A2969" s="28" t="n">
        <v>23881</v>
      </c>
      <c r="B2969" t="n">
        <v>4.22</v>
      </c>
      <c r="C2969" t="n">
        <v>3.9</v>
      </c>
    </row>
    <row r="2970">
      <c r="A2970" s="28" t="n">
        <v>23882</v>
      </c>
      <c r="B2970" t="n">
        <v>4.22</v>
      </c>
      <c r="C2970" t="n">
        <v>3.9</v>
      </c>
    </row>
    <row r="2971">
      <c r="A2971" s="28" t="n">
        <v>23883</v>
      </c>
      <c r="B2971" t="n">
        <v>4.22</v>
      </c>
      <c r="C2971" t="n">
        <v>3.9</v>
      </c>
    </row>
    <row r="2972">
      <c r="A2972" s="28" t="n">
        <v>23886</v>
      </c>
      <c r="B2972" t="n">
        <v>4.22</v>
      </c>
      <c r="C2972" t="n">
        <v>3.88</v>
      </c>
    </row>
    <row r="2973">
      <c r="A2973" s="28" t="n">
        <v>23887</v>
      </c>
      <c r="B2973" t="n">
        <v>4.22</v>
      </c>
      <c r="C2973" t="n">
        <v>3.88</v>
      </c>
    </row>
    <row r="2974">
      <c r="A2974" s="28" t="n">
        <v>23888</v>
      </c>
      <c r="B2974" t="n">
        <v>4.22</v>
      </c>
      <c r="C2974" t="n">
        <v>3.89</v>
      </c>
    </row>
    <row r="2975">
      <c r="A2975" s="28" t="n">
        <v>23889</v>
      </c>
      <c r="B2975" t="n">
        <v>4.22</v>
      </c>
      <c r="C2975" t="n">
        <v>3.88</v>
      </c>
    </row>
    <row r="2976">
      <c r="A2976" s="28" t="n">
        <v>23890</v>
      </c>
      <c r="B2976" t="n">
        <v>4.23</v>
      </c>
      <c r="C2976" t="n">
        <v>3.87</v>
      </c>
    </row>
    <row r="2977">
      <c r="A2977" s="28" t="n">
        <v>23893</v>
      </c>
      <c r="B2977" t="n">
        <v>0</v>
      </c>
      <c r="C2977" t="n">
        <v>0</v>
      </c>
    </row>
    <row r="2978">
      <c r="A2978" s="28" t="n">
        <v>23894</v>
      </c>
      <c r="B2978" t="n">
        <v>4.23</v>
      </c>
      <c r="C2978" t="n">
        <v>3.88</v>
      </c>
    </row>
    <row r="2979">
      <c r="A2979" s="28" t="n">
        <v>23895</v>
      </c>
      <c r="B2979" t="n">
        <v>4.23</v>
      </c>
      <c r="C2979" t="n">
        <v>3.87</v>
      </c>
    </row>
    <row r="2980">
      <c r="A2980" s="28" t="n">
        <v>23896</v>
      </c>
      <c r="B2980" t="n">
        <v>4.23</v>
      </c>
      <c r="C2980" t="n">
        <v>3.84</v>
      </c>
    </row>
    <row r="2981">
      <c r="A2981" s="28" t="n">
        <v>23897</v>
      </c>
      <c r="B2981" t="n">
        <v>4.23</v>
      </c>
      <c r="C2981" t="n">
        <v>3.81</v>
      </c>
    </row>
    <row r="2982">
      <c r="A2982" s="28" t="n">
        <v>23900</v>
      </c>
      <c r="B2982" t="n">
        <v>4.23</v>
      </c>
      <c r="C2982" t="n">
        <v>3.78</v>
      </c>
    </row>
    <row r="2983">
      <c r="A2983" s="28" t="n">
        <v>23901</v>
      </c>
      <c r="B2983" t="n">
        <v>4.23</v>
      </c>
      <c r="C2983" t="n">
        <v>3.81</v>
      </c>
    </row>
    <row r="2984">
      <c r="A2984" s="28" t="n">
        <v>23902</v>
      </c>
      <c r="B2984" t="n">
        <v>4.23</v>
      </c>
      <c r="C2984" t="n">
        <v>3.82</v>
      </c>
    </row>
    <row r="2985">
      <c r="A2985" s="28" t="n">
        <v>23903</v>
      </c>
      <c r="B2985" t="n">
        <v>4.23</v>
      </c>
      <c r="C2985" t="n">
        <v>3.81</v>
      </c>
    </row>
    <row r="2986">
      <c r="A2986" s="28" t="n">
        <v>23904</v>
      </c>
      <c r="B2986" t="n">
        <v>4.23</v>
      </c>
      <c r="C2986" t="n">
        <v>3.81</v>
      </c>
    </row>
    <row r="2987">
      <c r="A2987" s="28" t="n">
        <v>23907</v>
      </c>
      <c r="B2987" t="n">
        <v>4.21</v>
      </c>
      <c r="C2987" t="n">
        <v>3.8</v>
      </c>
    </row>
    <row r="2988">
      <c r="A2988" s="28" t="n">
        <v>23908</v>
      </c>
      <c r="B2988" t="n">
        <v>4.21</v>
      </c>
      <c r="C2988" t="n">
        <v>3.8</v>
      </c>
    </row>
    <row r="2989">
      <c r="A2989" s="28" t="n">
        <v>23909</v>
      </c>
      <c r="B2989" t="n">
        <v>4.21</v>
      </c>
      <c r="C2989" t="n">
        <v>3.79</v>
      </c>
    </row>
    <row r="2990">
      <c r="A2990" s="28" t="n">
        <v>23910</v>
      </c>
      <c r="B2990" t="n">
        <v>4.21</v>
      </c>
      <c r="C2990" t="n">
        <v>3.8</v>
      </c>
    </row>
    <row r="2991">
      <c r="A2991" s="28" t="n">
        <v>23911</v>
      </c>
      <c r="B2991" t="n">
        <v>4.21</v>
      </c>
      <c r="C2991" t="n">
        <v>3.8</v>
      </c>
    </row>
    <row r="2992">
      <c r="A2992" s="28" t="n">
        <v>23914</v>
      </c>
      <c r="B2992" t="n">
        <v>4.2</v>
      </c>
      <c r="C2992" t="n">
        <v>3.78</v>
      </c>
    </row>
    <row r="2993">
      <c r="A2993" s="28" t="n">
        <v>23915</v>
      </c>
      <c r="B2993" t="n">
        <v>4.2</v>
      </c>
      <c r="C2993" t="n">
        <v>3.78</v>
      </c>
    </row>
    <row r="2994">
      <c r="A2994" s="28" t="n">
        <v>23916</v>
      </c>
      <c r="B2994" t="n">
        <v>4.2</v>
      </c>
      <c r="C2994" t="n">
        <v>3.78</v>
      </c>
    </row>
    <row r="2995">
      <c r="A2995" s="28" t="n">
        <v>23917</v>
      </c>
      <c r="B2995" t="n">
        <v>4.19</v>
      </c>
      <c r="C2995" t="n">
        <v>3.77</v>
      </c>
    </row>
    <row r="2996">
      <c r="A2996" s="28" t="n">
        <v>23918</v>
      </c>
      <c r="B2996" t="n">
        <v>4.19</v>
      </c>
      <c r="C2996" t="n">
        <v>3.77</v>
      </c>
    </row>
    <row r="2997">
      <c r="A2997" s="28" t="n">
        <v>23921</v>
      </c>
      <c r="B2997" t="n">
        <v>4.19</v>
      </c>
      <c r="C2997" t="n">
        <v>3.78</v>
      </c>
    </row>
    <row r="2998">
      <c r="A2998" s="28" t="n">
        <v>23922</v>
      </c>
      <c r="B2998" t="n">
        <v>4.2</v>
      </c>
      <c r="C2998" t="n">
        <v>3.81</v>
      </c>
    </row>
    <row r="2999">
      <c r="A2999" s="28" t="n">
        <v>23923</v>
      </c>
      <c r="B2999" t="n">
        <v>4.2</v>
      </c>
      <c r="C2999" t="n">
        <v>3.81</v>
      </c>
    </row>
    <row r="3000">
      <c r="A3000" s="28" t="n">
        <v>23924</v>
      </c>
      <c r="B3000" t="n">
        <v>4.2</v>
      </c>
      <c r="C3000" t="n">
        <v>3.82</v>
      </c>
    </row>
    <row r="3001">
      <c r="A3001" s="28" t="n">
        <v>23925</v>
      </c>
      <c r="B3001" t="n">
        <v>4.21</v>
      </c>
      <c r="C3001" t="n">
        <v>3.83</v>
      </c>
    </row>
    <row r="3002">
      <c r="A3002" s="28" t="n">
        <v>23928</v>
      </c>
      <c r="B3002" t="n">
        <v>0</v>
      </c>
      <c r="C3002" t="n">
        <v>0</v>
      </c>
    </row>
    <row r="3003">
      <c r="A3003" s="28" t="n">
        <v>23929</v>
      </c>
      <c r="B3003" t="n">
        <v>4.21</v>
      </c>
      <c r="C3003" t="n">
        <v>3.87</v>
      </c>
    </row>
    <row r="3004">
      <c r="A3004" s="28" t="n">
        <v>23930</v>
      </c>
      <c r="B3004" t="n">
        <v>4.21</v>
      </c>
      <c r="C3004" t="n">
        <v>3.86</v>
      </c>
    </row>
    <row r="3005">
      <c r="A3005" s="28" t="n">
        <v>23931</v>
      </c>
      <c r="B3005" t="n">
        <v>4.2</v>
      </c>
      <c r="C3005" t="n">
        <v>3.87</v>
      </c>
    </row>
    <row r="3006">
      <c r="A3006" s="28" t="n">
        <v>23932</v>
      </c>
      <c r="B3006" t="n">
        <v>4.21</v>
      </c>
      <c r="C3006" t="n">
        <v>3.87</v>
      </c>
    </row>
    <row r="3007">
      <c r="A3007" s="28" t="n">
        <v>23935</v>
      </c>
      <c r="B3007" t="n">
        <v>4.21</v>
      </c>
      <c r="C3007" t="n">
        <v>3.87</v>
      </c>
    </row>
    <row r="3008">
      <c r="A3008" s="28" t="n">
        <v>23936</v>
      </c>
      <c r="B3008" t="n">
        <v>4.21</v>
      </c>
      <c r="C3008" t="n">
        <v>3.88</v>
      </c>
    </row>
    <row r="3009">
      <c r="A3009" s="28" t="n">
        <v>23937</v>
      </c>
      <c r="B3009" t="n">
        <v>4.21</v>
      </c>
      <c r="C3009" t="n">
        <v>3.87</v>
      </c>
    </row>
    <row r="3010">
      <c r="A3010" s="28" t="n">
        <v>23938</v>
      </c>
      <c r="B3010" t="n">
        <v>4.2</v>
      </c>
      <c r="C3010" t="n">
        <v>3.85</v>
      </c>
    </row>
    <row r="3011">
      <c r="A3011" s="28" t="n">
        <v>23939</v>
      </c>
      <c r="B3011" t="n">
        <v>4.2</v>
      </c>
      <c r="C3011" t="n">
        <v>3.84</v>
      </c>
    </row>
    <row r="3012">
      <c r="A3012" s="28" t="n">
        <v>23942</v>
      </c>
      <c r="B3012" t="n">
        <v>4.2</v>
      </c>
      <c r="C3012" t="n">
        <v>3.82</v>
      </c>
    </row>
    <row r="3013">
      <c r="A3013" s="28" t="n">
        <v>23943</v>
      </c>
      <c r="B3013" t="n">
        <v>4.2</v>
      </c>
      <c r="C3013" t="n">
        <v>3.82</v>
      </c>
    </row>
    <row r="3014">
      <c r="A3014" s="28" t="n">
        <v>23944</v>
      </c>
      <c r="B3014" t="n">
        <v>4.2</v>
      </c>
      <c r="C3014" t="n">
        <v>3.82</v>
      </c>
    </row>
    <row r="3015">
      <c r="A3015" s="28" t="n">
        <v>23945</v>
      </c>
      <c r="B3015" t="n">
        <v>4.2</v>
      </c>
      <c r="C3015" t="n">
        <v>3.81</v>
      </c>
    </row>
    <row r="3016">
      <c r="A3016" s="28" t="n">
        <v>23946</v>
      </c>
      <c r="B3016" t="n">
        <v>4.2</v>
      </c>
      <c r="C3016" t="n">
        <v>3.81</v>
      </c>
    </row>
    <row r="3017">
      <c r="A3017" s="28" t="n">
        <v>23949</v>
      </c>
      <c r="B3017" t="n">
        <v>4.2</v>
      </c>
      <c r="C3017" t="n">
        <v>3.8</v>
      </c>
    </row>
    <row r="3018">
      <c r="A3018" s="28" t="n">
        <v>23950</v>
      </c>
      <c r="B3018" t="n">
        <v>4.2</v>
      </c>
      <c r="C3018" t="n">
        <v>3.81</v>
      </c>
    </row>
    <row r="3019">
      <c r="A3019" s="28" t="n">
        <v>23951</v>
      </c>
      <c r="B3019" t="n">
        <v>4.2</v>
      </c>
      <c r="C3019" t="n">
        <v>3.81</v>
      </c>
    </row>
    <row r="3020">
      <c r="A3020" s="28" t="n">
        <v>23952</v>
      </c>
      <c r="B3020" t="n">
        <v>4.21</v>
      </c>
      <c r="C3020" t="n">
        <v>3.8</v>
      </c>
    </row>
    <row r="3021">
      <c r="A3021" s="28" t="n">
        <v>23953</v>
      </c>
      <c r="B3021" t="n">
        <v>4.22</v>
      </c>
      <c r="C3021" t="n">
        <v>3.81</v>
      </c>
    </row>
    <row r="3022">
      <c r="A3022" s="28" t="n">
        <v>23956</v>
      </c>
      <c r="B3022" t="n">
        <v>4.22</v>
      </c>
      <c r="C3022" t="n">
        <v>3.82</v>
      </c>
    </row>
    <row r="3023">
      <c r="A3023" s="28" t="n">
        <v>23957</v>
      </c>
      <c r="B3023" t="n">
        <v>4.22</v>
      </c>
      <c r="C3023" t="n">
        <v>3.85</v>
      </c>
    </row>
    <row r="3024">
      <c r="A3024" s="28" t="n">
        <v>23958</v>
      </c>
      <c r="B3024" t="n">
        <v>4.23</v>
      </c>
      <c r="C3024" t="n">
        <v>3.85</v>
      </c>
    </row>
    <row r="3025">
      <c r="A3025" s="28" t="n">
        <v>23959</v>
      </c>
      <c r="B3025" t="n">
        <v>4.23</v>
      </c>
      <c r="C3025" t="n">
        <v>3.85</v>
      </c>
    </row>
    <row r="3026">
      <c r="A3026" s="28" t="n">
        <v>23960</v>
      </c>
      <c r="B3026" t="n">
        <v>4.24</v>
      </c>
      <c r="C3026" t="n">
        <v>3.84</v>
      </c>
    </row>
    <row r="3027">
      <c r="A3027" s="28" t="n">
        <v>23963</v>
      </c>
      <c r="B3027" t="n">
        <v>4.24</v>
      </c>
      <c r="C3027" t="n">
        <v>3.83</v>
      </c>
    </row>
    <row r="3028">
      <c r="A3028" s="28" t="n">
        <v>23964</v>
      </c>
      <c r="B3028" t="n">
        <v>4.24</v>
      </c>
      <c r="C3028" t="n">
        <v>3.85</v>
      </c>
    </row>
    <row r="3029">
      <c r="A3029" s="28" t="n">
        <v>23965</v>
      </c>
      <c r="B3029" t="n">
        <v>4.25</v>
      </c>
      <c r="C3029" t="n">
        <v>3.84</v>
      </c>
    </row>
    <row r="3030">
      <c r="A3030" s="28" t="n">
        <v>23966</v>
      </c>
      <c r="B3030" t="n">
        <v>4.25</v>
      </c>
      <c r="C3030" t="n">
        <v>3.83</v>
      </c>
    </row>
    <row r="3031">
      <c r="A3031" s="28" t="n">
        <v>23967</v>
      </c>
      <c r="B3031" t="n">
        <v>4.25</v>
      </c>
      <c r="C3031" t="n">
        <v>3.8</v>
      </c>
    </row>
    <row r="3032">
      <c r="A3032" s="28" t="n">
        <v>23970</v>
      </c>
      <c r="B3032" t="n">
        <v>4.26</v>
      </c>
      <c r="C3032" t="n">
        <v>3.8</v>
      </c>
    </row>
    <row r="3033">
      <c r="A3033" s="28" t="n">
        <v>23971</v>
      </c>
      <c r="B3033" t="n">
        <v>4.27</v>
      </c>
      <c r="C3033" t="n">
        <v>3.83</v>
      </c>
    </row>
    <row r="3034">
      <c r="A3034" s="28" t="n">
        <v>23972</v>
      </c>
      <c r="B3034" t="n">
        <v>4.26</v>
      </c>
      <c r="C3034" t="n">
        <v>3.83</v>
      </c>
    </row>
    <row r="3035">
      <c r="A3035" s="28" t="n">
        <v>23973</v>
      </c>
      <c r="B3035" t="n">
        <v>4.26</v>
      </c>
      <c r="C3035" t="n">
        <v>3.83</v>
      </c>
    </row>
    <row r="3036">
      <c r="A3036" s="28" t="n">
        <v>23974</v>
      </c>
      <c r="B3036" t="n">
        <v>4.26</v>
      </c>
      <c r="C3036" t="n">
        <v>3.83</v>
      </c>
    </row>
    <row r="3037">
      <c r="A3037" s="28" t="n">
        <v>23977</v>
      </c>
      <c r="B3037" t="n">
        <v>4.26</v>
      </c>
      <c r="C3037" t="n">
        <v>3.84</v>
      </c>
    </row>
    <row r="3038">
      <c r="A3038" s="28" t="n">
        <v>23978</v>
      </c>
      <c r="B3038" t="n">
        <v>4.27</v>
      </c>
      <c r="C3038" t="n">
        <v>3.87</v>
      </c>
    </row>
    <row r="3039">
      <c r="A3039" s="28" t="n">
        <v>23979</v>
      </c>
      <c r="B3039" t="n">
        <v>4.26</v>
      </c>
      <c r="C3039" t="n">
        <v>3.87</v>
      </c>
    </row>
    <row r="3040">
      <c r="A3040" s="28" t="n">
        <v>23980</v>
      </c>
      <c r="B3040" t="n">
        <v>4.27</v>
      </c>
      <c r="C3040" t="n">
        <v>3.86</v>
      </c>
    </row>
    <row r="3041">
      <c r="A3041" s="28" t="n">
        <v>23981</v>
      </c>
      <c r="B3041" t="n">
        <v>4.27</v>
      </c>
      <c r="C3041" t="n">
        <v>3.86</v>
      </c>
    </row>
    <row r="3042">
      <c r="A3042" s="28" t="n">
        <v>23984</v>
      </c>
      <c r="B3042" t="n">
        <v>4.27</v>
      </c>
      <c r="C3042" t="n">
        <v>3.86</v>
      </c>
    </row>
    <row r="3043">
      <c r="A3043" s="28" t="n">
        <v>23985</v>
      </c>
      <c r="B3043" t="n">
        <v>4.27</v>
      </c>
      <c r="C3043" t="n">
        <v>3.9</v>
      </c>
    </row>
    <row r="3044">
      <c r="A3044" s="28" t="n">
        <v>23986</v>
      </c>
      <c r="B3044" t="n">
        <v>4.28</v>
      </c>
      <c r="C3044" t="n">
        <v>3.89</v>
      </c>
    </row>
    <row r="3045">
      <c r="A3045" s="28" t="n">
        <v>23987</v>
      </c>
      <c r="B3045" t="n">
        <v>4.28</v>
      </c>
      <c r="C3045" t="n">
        <v>3.86</v>
      </c>
    </row>
    <row r="3046">
      <c r="A3046" s="28" t="n">
        <v>23988</v>
      </c>
      <c r="B3046" t="n">
        <v>4.27</v>
      </c>
      <c r="C3046" t="n">
        <v>3.87</v>
      </c>
    </row>
    <row r="3047">
      <c r="A3047" s="28" t="n">
        <v>23991</v>
      </c>
      <c r="B3047" t="n">
        <v>0</v>
      </c>
      <c r="C3047" t="n">
        <v>0</v>
      </c>
    </row>
    <row r="3048">
      <c r="A3048" s="28" t="n">
        <v>23992</v>
      </c>
      <c r="B3048" t="n">
        <v>4.27</v>
      </c>
      <c r="C3048" t="n">
        <v>3.91</v>
      </c>
    </row>
    <row r="3049">
      <c r="A3049" s="28" t="n">
        <v>23993</v>
      </c>
      <c r="B3049" t="n">
        <v>4.27</v>
      </c>
      <c r="C3049" t="n">
        <v>3.91</v>
      </c>
    </row>
    <row r="3050">
      <c r="A3050" s="28" t="n">
        <v>23994</v>
      </c>
      <c r="B3050" t="n">
        <v>4.27</v>
      </c>
      <c r="C3050" t="n">
        <v>3.9</v>
      </c>
    </row>
    <row r="3051">
      <c r="A3051" s="28" t="n">
        <v>23995</v>
      </c>
      <c r="B3051" t="n">
        <v>4.28</v>
      </c>
      <c r="C3051" t="n">
        <v>3.88</v>
      </c>
    </row>
    <row r="3052">
      <c r="A3052" s="28" t="n">
        <v>23998</v>
      </c>
      <c r="B3052" t="n">
        <v>4.28</v>
      </c>
      <c r="C3052" t="n">
        <v>3.88</v>
      </c>
    </row>
    <row r="3053">
      <c r="A3053" s="28" t="n">
        <v>23999</v>
      </c>
      <c r="B3053" t="n">
        <v>4.28</v>
      </c>
      <c r="C3053" t="n">
        <v>3.88</v>
      </c>
    </row>
    <row r="3054">
      <c r="A3054" s="28" t="n">
        <v>24000</v>
      </c>
      <c r="B3054" t="n">
        <v>4.28</v>
      </c>
      <c r="C3054" t="n">
        <v>3.88</v>
      </c>
    </row>
    <row r="3055">
      <c r="A3055" s="28" t="n">
        <v>24001</v>
      </c>
      <c r="B3055" t="n">
        <v>4.27</v>
      </c>
      <c r="C3055" t="n">
        <v>3.88</v>
      </c>
    </row>
    <row r="3056">
      <c r="A3056" s="28" t="n">
        <v>24002</v>
      </c>
      <c r="B3056" t="n">
        <v>4.27</v>
      </c>
      <c r="C3056" t="n">
        <v>3.88</v>
      </c>
    </row>
    <row r="3057">
      <c r="A3057" s="28" t="n">
        <v>24005</v>
      </c>
      <c r="B3057" t="n">
        <v>4.27</v>
      </c>
      <c r="C3057" t="n">
        <v>3.89</v>
      </c>
    </row>
    <row r="3058">
      <c r="A3058" s="28" t="n">
        <v>24006</v>
      </c>
      <c r="B3058" t="n">
        <v>4.28</v>
      </c>
      <c r="C3058" t="n">
        <v>3.93</v>
      </c>
    </row>
    <row r="3059">
      <c r="A3059" s="28" t="n">
        <v>24007</v>
      </c>
      <c r="B3059" t="n">
        <v>4.29</v>
      </c>
      <c r="C3059" t="n">
        <v>3.94</v>
      </c>
    </row>
    <row r="3060">
      <c r="A3060" s="28" t="n">
        <v>24008</v>
      </c>
      <c r="B3060" t="n">
        <v>4.3</v>
      </c>
      <c r="C3060" t="n">
        <v>3.96</v>
      </c>
    </row>
    <row r="3061">
      <c r="A3061" s="28" t="n">
        <v>24009</v>
      </c>
      <c r="B3061" t="n">
        <v>4.31</v>
      </c>
      <c r="C3061" t="n">
        <v>3.98</v>
      </c>
    </row>
    <row r="3062">
      <c r="A3062" s="28" t="n">
        <v>24012</v>
      </c>
      <c r="B3062" t="n">
        <v>4.31</v>
      </c>
      <c r="C3062" t="n">
        <v>3.99</v>
      </c>
    </row>
    <row r="3063">
      <c r="A3063" s="28" t="n">
        <v>24013</v>
      </c>
      <c r="B3063" t="n">
        <v>4.33</v>
      </c>
      <c r="C3063" t="n">
        <v>4.02</v>
      </c>
    </row>
    <row r="3064">
      <c r="A3064" s="28" t="n">
        <v>24014</v>
      </c>
      <c r="B3064" t="n">
        <v>4.36</v>
      </c>
      <c r="C3064" t="n">
        <v>4.05</v>
      </c>
    </row>
    <row r="3065">
      <c r="A3065" s="28" t="n">
        <v>24015</v>
      </c>
      <c r="B3065" t="n">
        <v>4.35</v>
      </c>
      <c r="C3065" t="n">
        <v>4.02</v>
      </c>
    </row>
    <row r="3066">
      <c r="A3066" s="28" t="n">
        <v>24016</v>
      </c>
      <c r="B3066" t="n">
        <v>4.36</v>
      </c>
      <c r="C3066" t="n">
        <v>4</v>
      </c>
    </row>
    <row r="3067">
      <c r="A3067" s="28" t="n">
        <v>24019</v>
      </c>
      <c r="B3067" t="n">
        <v>4.35</v>
      </c>
      <c r="C3067" t="n">
        <v>3.98</v>
      </c>
    </row>
    <row r="3068">
      <c r="A3068" s="28" t="n">
        <v>24020</v>
      </c>
      <c r="B3068" t="n">
        <v>4.33</v>
      </c>
      <c r="C3068" t="n">
        <v>4.05</v>
      </c>
    </row>
    <row r="3069">
      <c r="A3069" s="28" t="n">
        <v>24021</v>
      </c>
      <c r="B3069" t="n">
        <v>4.32</v>
      </c>
      <c r="C3069" t="n">
        <v>4.04</v>
      </c>
    </row>
    <row r="3070">
      <c r="A3070" s="28" t="n">
        <v>24022</v>
      </c>
      <c r="B3070" t="n">
        <v>4.31</v>
      </c>
      <c r="C3070" t="n">
        <v>4</v>
      </c>
    </row>
    <row r="3071">
      <c r="A3071" s="28" t="n">
        <v>24023</v>
      </c>
      <c r="B3071" t="n">
        <v>4.32</v>
      </c>
      <c r="C3071" t="n">
        <v>4</v>
      </c>
    </row>
    <row r="3072">
      <c r="A3072" s="28" t="n">
        <v>24026</v>
      </c>
      <c r="B3072" t="n">
        <v>4.31</v>
      </c>
      <c r="C3072" t="n">
        <v>3.98</v>
      </c>
    </row>
    <row r="3073">
      <c r="A3073" s="28" t="n">
        <v>24027</v>
      </c>
      <c r="B3073" t="n">
        <v>0</v>
      </c>
      <c r="C3073" t="n">
        <v>0</v>
      </c>
    </row>
    <row r="3074">
      <c r="A3074" s="28" t="n">
        <v>24028</v>
      </c>
      <c r="B3074" t="n">
        <v>4.3</v>
      </c>
      <c r="C3074" t="n">
        <v>4.01</v>
      </c>
    </row>
    <row r="3075">
      <c r="A3075" s="28" t="n">
        <v>24029</v>
      </c>
      <c r="B3075" t="n">
        <v>4.31</v>
      </c>
      <c r="C3075" t="n">
        <v>4.01</v>
      </c>
    </row>
    <row r="3076">
      <c r="A3076" s="28" t="n">
        <v>24030</v>
      </c>
      <c r="B3076" t="n">
        <v>4.34</v>
      </c>
      <c r="C3076" t="n">
        <v>4.02</v>
      </c>
    </row>
    <row r="3077">
      <c r="A3077" s="28" t="n">
        <v>24033</v>
      </c>
      <c r="B3077" t="n">
        <v>4.34</v>
      </c>
      <c r="C3077" t="n">
        <v>4.02</v>
      </c>
    </row>
    <row r="3078">
      <c r="A3078" s="28" t="n">
        <v>24034</v>
      </c>
      <c r="B3078" t="n">
        <v>4.35</v>
      </c>
      <c r="C3078" t="n">
        <v>4.04</v>
      </c>
    </row>
    <row r="3079">
      <c r="A3079" s="28" t="n">
        <v>24035</v>
      </c>
      <c r="B3079" t="n">
        <v>4.36</v>
      </c>
      <c r="C3079" t="n">
        <v>4.04</v>
      </c>
    </row>
    <row r="3080">
      <c r="A3080" s="28" t="n">
        <v>24036</v>
      </c>
      <c r="B3080" t="n">
        <v>4.37</v>
      </c>
      <c r="C3080" t="n">
        <v>4.04</v>
      </c>
    </row>
    <row r="3081">
      <c r="A3081" s="28" t="n">
        <v>24037</v>
      </c>
      <c r="B3081" t="n">
        <v>4.36</v>
      </c>
      <c r="C3081" t="n">
        <v>4.04</v>
      </c>
    </row>
    <row r="3082">
      <c r="A3082" s="28" t="n">
        <v>24040</v>
      </c>
      <c r="B3082" t="n">
        <v>4.38</v>
      </c>
      <c r="C3082" t="n">
        <v>4.03</v>
      </c>
    </row>
    <row r="3083">
      <c r="A3083" s="28" t="n">
        <v>24041</v>
      </c>
      <c r="B3083" t="n">
        <v>4.38</v>
      </c>
      <c r="C3083" t="n">
        <v>4.05</v>
      </c>
    </row>
    <row r="3084">
      <c r="A3084" s="28" t="n">
        <v>24042</v>
      </c>
      <c r="B3084" t="n">
        <v>4.39</v>
      </c>
      <c r="C3084" t="n">
        <v>4.05</v>
      </c>
    </row>
    <row r="3085">
      <c r="A3085" s="28" t="n">
        <v>24043</v>
      </c>
      <c r="B3085" t="n">
        <v>4.4</v>
      </c>
      <c r="C3085" t="n">
        <v>4.06</v>
      </c>
    </row>
    <row r="3086">
      <c r="A3086" s="28" t="n">
        <v>24044</v>
      </c>
      <c r="B3086" t="n">
        <v>4.41</v>
      </c>
      <c r="C3086" t="n">
        <v>4.06</v>
      </c>
    </row>
    <row r="3087">
      <c r="A3087" s="28" t="n">
        <v>24047</v>
      </c>
      <c r="B3087" t="n">
        <v>4.43</v>
      </c>
      <c r="C3087" t="n">
        <v>4.07</v>
      </c>
    </row>
    <row r="3088">
      <c r="A3088" s="28" t="n">
        <v>24048</v>
      </c>
      <c r="B3088" t="n">
        <v>0</v>
      </c>
      <c r="C3088" t="n">
        <v>0</v>
      </c>
    </row>
    <row r="3089">
      <c r="A3089" s="28" t="n">
        <v>24049</v>
      </c>
      <c r="B3089" t="n">
        <v>4.43</v>
      </c>
      <c r="C3089" t="n">
        <v>4.09</v>
      </c>
    </row>
    <row r="3090">
      <c r="A3090" s="28" t="n">
        <v>24050</v>
      </c>
      <c r="B3090" t="n">
        <v>4.43</v>
      </c>
      <c r="C3090" t="n">
        <v>4.07</v>
      </c>
    </row>
    <row r="3091">
      <c r="A3091" s="28" t="n">
        <v>24051</v>
      </c>
      <c r="B3091" t="n">
        <v>4.43</v>
      </c>
      <c r="C3091" t="n">
        <v>4.04</v>
      </c>
    </row>
    <row r="3092">
      <c r="A3092" s="28" t="n">
        <v>24054</v>
      </c>
      <c r="B3092" t="n">
        <v>4.45</v>
      </c>
      <c r="C3092" t="n">
        <v>4.04</v>
      </c>
    </row>
    <row r="3093">
      <c r="A3093" s="28" t="n">
        <v>24055</v>
      </c>
      <c r="B3093" t="n">
        <v>4.47</v>
      </c>
      <c r="C3093" t="n">
        <v>4.07</v>
      </c>
    </row>
    <row r="3094">
      <c r="A3094" s="28" t="n">
        <v>24056</v>
      </c>
      <c r="B3094" t="n">
        <v>4.46</v>
      </c>
      <c r="C3094" t="n">
        <v>4.08</v>
      </c>
    </row>
    <row r="3095">
      <c r="A3095" s="28" t="n">
        <v>24057</v>
      </c>
      <c r="B3095" t="n">
        <v>0</v>
      </c>
      <c r="C3095" t="n">
        <v>0</v>
      </c>
    </row>
    <row r="3096">
      <c r="A3096" s="28" t="n">
        <v>24058</v>
      </c>
      <c r="B3096" t="n">
        <v>4.44</v>
      </c>
      <c r="C3096" t="n">
        <v>4.07</v>
      </c>
    </row>
    <row r="3097">
      <c r="A3097" s="28" t="n">
        <v>24061</v>
      </c>
      <c r="B3097" t="n">
        <v>4.45</v>
      </c>
      <c r="C3097" t="n">
        <v>4.08</v>
      </c>
    </row>
    <row r="3098">
      <c r="A3098" s="28" t="n">
        <v>24062</v>
      </c>
      <c r="B3098" t="n">
        <v>4.44</v>
      </c>
      <c r="C3098" t="n">
        <v>4.09</v>
      </c>
    </row>
    <row r="3099">
      <c r="A3099" s="28" t="n">
        <v>24063</v>
      </c>
      <c r="B3099" t="n">
        <v>4.45</v>
      </c>
      <c r="C3099" t="n">
        <v>4.09</v>
      </c>
    </row>
    <row r="3100">
      <c r="A3100" s="28" t="n">
        <v>24064</v>
      </c>
      <c r="B3100" t="n">
        <v>4.45</v>
      </c>
      <c r="C3100" t="n">
        <v>4.1</v>
      </c>
    </row>
    <row r="3101">
      <c r="A3101" s="28" t="n">
        <v>24065</v>
      </c>
      <c r="B3101" t="n">
        <v>4.46</v>
      </c>
      <c r="C3101" t="n">
        <v>4.1</v>
      </c>
    </row>
    <row r="3102">
      <c r="A3102" s="28" t="n">
        <v>24068</v>
      </c>
      <c r="B3102" t="n">
        <v>4.45</v>
      </c>
      <c r="C3102" t="n">
        <v>4.1</v>
      </c>
    </row>
    <row r="3103">
      <c r="A3103" s="28" t="n">
        <v>24069</v>
      </c>
      <c r="B3103" t="n">
        <v>4.45</v>
      </c>
      <c r="C3103" t="n">
        <v>4.12</v>
      </c>
    </row>
    <row r="3104">
      <c r="A3104" s="28" t="n">
        <v>24070</v>
      </c>
      <c r="B3104" t="n">
        <v>4.45</v>
      </c>
      <c r="C3104" t="n">
        <v>4.12</v>
      </c>
    </row>
    <row r="3105">
      <c r="A3105" s="28" t="n">
        <v>24071</v>
      </c>
      <c r="B3105" t="n">
        <v>0</v>
      </c>
      <c r="C3105" t="n">
        <v>0</v>
      </c>
    </row>
    <row r="3106">
      <c r="A3106" s="28" t="n">
        <v>24072</v>
      </c>
      <c r="B3106" t="n">
        <v>4.45</v>
      </c>
      <c r="C3106" t="n">
        <v>4.11</v>
      </c>
    </row>
    <row r="3107">
      <c r="A3107" s="28" t="n">
        <v>24075</v>
      </c>
      <c r="B3107" t="n">
        <v>4.46</v>
      </c>
      <c r="C3107" t="n">
        <v>4.1</v>
      </c>
    </row>
    <row r="3108">
      <c r="A3108" s="28" t="n">
        <v>24076</v>
      </c>
      <c r="B3108" t="n">
        <v>4.48</v>
      </c>
      <c r="C3108" t="n">
        <v>4.13</v>
      </c>
    </row>
    <row r="3109">
      <c r="A3109" s="28" t="n">
        <v>24077</v>
      </c>
      <c r="B3109" t="n">
        <v>4.52</v>
      </c>
      <c r="C3109" t="n">
        <v>4.13</v>
      </c>
    </row>
    <row r="3110">
      <c r="A3110" s="28" t="n">
        <v>24078</v>
      </c>
      <c r="B3110" t="n">
        <v>4.52</v>
      </c>
      <c r="C3110" t="n">
        <v>4.12</v>
      </c>
    </row>
    <row r="3111">
      <c r="A3111" s="28" t="n">
        <v>24079</v>
      </c>
      <c r="B3111" t="n">
        <v>4.52</v>
      </c>
      <c r="C3111" t="n">
        <v>4.12</v>
      </c>
    </row>
    <row r="3112">
      <c r="A3112" s="28" t="n">
        <v>24082</v>
      </c>
      <c r="B3112" t="n">
        <v>4.61</v>
      </c>
      <c r="C3112" t="n">
        <v>4.3</v>
      </c>
    </row>
    <row r="3113">
      <c r="A3113" s="28" t="n">
        <v>24083</v>
      </c>
      <c r="B3113" t="n">
        <v>4.59</v>
      </c>
      <c r="C3113" t="n">
        <v>4.36</v>
      </c>
    </row>
    <row r="3114">
      <c r="A3114" s="28" t="n">
        <v>24084</v>
      </c>
      <c r="B3114" t="n">
        <v>4.6</v>
      </c>
      <c r="C3114" t="n">
        <v>4.36</v>
      </c>
    </row>
    <row r="3115">
      <c r="A3115" s="28" t="n">
        <v>24085</v>
      </c>
      <c r="B3115" t="n">
        <v>4.6</v>
      </c>
      <c r="C3115" t="n">
        <v>4.34</v>
      </c>
    </row>
    <row r="3116">
      <c r="A3116" s="28" t="n">
        <v>24086</v>
      </c>
      <c r="B3116" t="n">
        <v>4.6</v>
      </c>
      <c r="C3116" t="n">
        <v>4.33</v>
      </c>
    </row>
    <row r="3117">
      <c r="A3117" s="28" t="n">
        <v>24089</v>
      </c>
      <c r="B3117" t="n">
        <v>4.65</v>
      </c>
      <c r="C3117" t="n">
        <v>4.36</v>
      </c>
    </row>
    <row r="3118">
      <c r="A3118" s="28" t="n">
        <v>24090</v>
      </c>
      <c r="B3118" t="n">
        <v>4.67</v>
      </c>
      <c r="C3118" t="n">
        <v>4.41</v>
      </c>
    </row>
    <row r="3119">
      <c r="A3119" s="28" t="n">
        <v>24091</v>
      </c>
      <c r="B3119" t="n">
        <v>4.67</v>
      </c>
      <c r="C3119" t="n">
        <v>4.4</v>
      </c>
    </row>
    <row r="3120">
      <c r="A3120" s="28" t="n">
        <v>24092</v>
      </c>
      <c r="B3120" t="n">
        <v>4.66</v>
      </c>
      <c r="C3120" t="n">
        <v>4.42</v>
      </c>
    </row>
    <row r="3121">
      <c r="A3121" s="28" t="n">
        <v>24093</v>
      </c>
      <c r="B3121" t="n">
        <v>4.65</v>
      </c>
      <c r="C3121" t="n">
        <v>4.46</v>
      </c>
    </row>
    <row r="3122">
      <c r="A3122" s="28" t="n">
        <v>24096</v>
      </c>
      <c r="B3122" t="n">
        <v>4.61</v>
      </c>
      <c r="C3122" t="n">
        <v>4.5</v>
      </c>
    </row>
    <row r="3123">
      <c r="A3123" s="28" t="n">
        <v>24097</v>
      </c>
      <c r="B3123" t="n">
        <v>4.64</v>
      </c>
      <c r="C3123" t="n">
        <v>4.48</v>
      </c>
    </row>
    <row r="3124">
      <c r="A3124" s="28" t="n">
        <v>24098</v>
      </c>
      <c r="B3124" t="n">
        <v>4.65</v>
      </c>
      <c r="C3124" t="n">
        <v>4.47</v>
      </c>
    </row>
    <row r="3125">
      <c r="A3125" s="28" t="n">
        <v>24099</v>
      </c>
      <c r="B3125" t="n">
        <v>4.65</v>
      </c>
      <c r="C3125" t="n">
        <v>4.47</v>
      </c>
    </row>
    <row r="3126">
      <c r="A3126" s="28" t="n">
        <v>24100</v>
      </c>
      <c r="B3126" t="n">
        <v>0</v>
      </c>
      <c r="C3126" t="n">
        <v>0</v>
      </c>
    </row>
    <row r="3127">
      <c r="A3127" s="28" t="n">
        <v>24103</v>
      </c>
      <c r="B3127" t="n">
        <v>4.62</v>
      </c>
      <c r="C3127" t="n">
        <v>4.47</v>
      </c>
    </row>
    <row r="3128">
      <c r="A3128" s="28" t="n">
        <v>24104</v>
      </c>
      <c r="B3128" t="n">
        <v>4.61</v>
      </c>
      <c r="C3128" t="n">
        <v>4.47</v>
      </c>
    </row>
    <row r="3129">
      <c r="A3129" s="28" t="n">
        <v>24105</v>
      </c>
      <c r="B3129" t="n">
        <v>4.62</v>
      </c>
      <c r="C3129" t="n">
        <v>4.48</v>
      </c>
    </row>
    <row r="3130">
      <c r="A3130" s="28" t="n">
        <v>24106</v>
      </c>
      <c r="B3130" t="n">
        <v>4.63</v>
      </c>
      <c r="C3130" t="n">
        <v>4.48</v>
      </c>
    </row>
    <row r="3131">
      <c r="A3131" s="28" t="n">
        <v>24107</v>
      </c>
      <c r="B3131" t="n">
        <v>4.65</v>
      </c>
      <c r="C3131" t="n">
        <v>4.49</v>
      </c>
    </row>
    <row r="3132">
      <c r="A3132" s="28" t="n">
        <v>24110</v>
      </c>
      <c r="B3132" t="n">
        <v>4.63</v>
      </c>
      <c r="C3132" t="n">
        <v>4.51</v>
      </c>
    </row>
    <row r="3133">
      <c r="A3133" s="28" t="n">
        <v>24111</v>
      </c>
      <c r="B3133" t="n">
        <v>4.65</v>
      </c>
      <c r="C3133" t="n">
        <v>4.56</v>
      </c>
    </row>
    <row r="3134">
      <c r="A3134" s="28" t="n">
        <v>24112</v>
      </c>
      <c r="B3134" t="n">
        <v>4.63</v>
      </c>
      <c r="C3134" t="n">
        <v>4.56</v>
      </c>
    </row>
    <row r="3135">
      <c r="A3135" s="28" t="n">
        <v>24113</v>
      </c>
      <c r="B3135" t="n">
        <v>4.6</v>
      </c>
      <c r="C3135" t="n">
        <v>4.54</v>
      </c>
    </row>
    <row r="3136">
      <c r="A3136" s="28" t="n">
        <v>24114</v>
      </c>
      <c r="B3136" t="n">
        <v>4.6</v>
      </c>
      <c r="C3136" t="n">
        <v>4.54</v>
      </c>
    </row>
    <row r="3137">
      <c r="A3137" s="28" t="n">
        <v>24117</v>
      </c>
      <c r="B3137" t="n">
        <v>4.61</v>
      </c>
      <c r="C3137" t="n">
        <v>4.55</v>
      </c>
    </row>
    <row r="3138">
      <c r="A3138" s="28" t="n">
        <v>24118</v>
      </c>
      <c r="B3138" t="n">
        <v>4.6</v>
      </c>
      <c r="C3138" t="n">
        <v>4.6</v>
      </c>
    </row>
    <row r="3139">
      <c r="A3139" s="28" t="n">
        <v>24119</v>
      </c>
      <c r="B3139" t="n">
        <v>4.56</v>
      </c>
      <c r="C3139" t="n">
        <v>4.61</v>
      </c>
    </row>
    <row r="3140">
      <c r="A3140" s="28" t="n">
        <v>24120</v>
      </c>
      <c r="B3140" t="n">
        <v>4.58</v>
      </c>
      <c r="C3140" t="n">
        <v>4.6</v>
      </c>
    </row>
    <row r="3141">
      <c r="A3141" s="28" t="n">
        <v>24121</v>
      </c>
      <c r="B3141" t="n">
        <v>4.59</v>
      </c>
      <c r="C3141" t="n">
        <v>4.63</v>
      </c>
    </row>
    <row r="3142">
      <c r="A3142" s="28" t="n">
        <v>24124</v>
      </c>
      <c r="B3142" t="n">
        <v>4.61</v>
      </c>
      <c r="C3142" t="n">
        <v>4.63</v>
      </c>
    </row>
    <row r="3143">
      <c r="A3143" s="28" t="n">
        <v>24125</v>
      </c>
      <c r="B3143" t="n">
        <v>4.61</v>
      </c>
      <c r="C3143" t="n">
        <v>4.66</v>
      </c>
    </row>
    <row r="3144">
      <c r="A3144" s="28" t="n">
        <v>24126</v>
      </c>
      <c r="B3144" t="n">
        <v>4.61</v>
      </c>
      <c r="C3144" t="n">
        <v>4.62</v>
      </c>
    </row>
    <row r="3145">
      <c r="A3145" s="28" t="n">
        <v>24127</v>
      </c>
      <c r="B3145" t="n">
        <v>4.6</v>
      </c>
      <c r="C3145" t="n">
        <v>4.59</v>
      </c>
    </row>
    <row r="3146">
      <c r="A3146" s="28" t="n">
        <v>24128</v>
      </c>
      <c r="B3146" t="n">
        <v>4.59</v>
      </c>
      <c r="C3146" t="n">
        <v>4.59</v>
      </c>
    </row>
    <row r="3147">
      <c r="A3147" s="28" t="n">
        <v>24131</v>
      </c>
      <c r="B3147" t="n">
        <v>4.6</v>
      </c>
      <c r="C3147" t="n">
        <v>4.57</v>
      </c>
    </row>
    <row r="3148">
      <c r="A3148" s="28" t="n">
        <v>24132</v>
      </c>
      <c r="B3148" t="n">
        <v>4.61</v>
      </c>
      <c r="C3148" t="n">
        <v>4.6</v>
      </c>
    </row>
    <row r="3149">
      <c r="A3149" s="28" t="n">
        <v>24133</v>
      </c>
      <c r="B3149" t="n">
        <v>4.61</v>
      </c>
      <c r="C3149" t="n">
        <v>4.6</v>
      </c>
    </row>
    <row r="3150">
      <c r="A3150" s="28" t="n">
        <v>24134</v>
      </c>
      <c r="B3150" t="n">
        <v>4.63</v>
      </c>
      <c r="C3150" t="n">
        <v>4.56</v>
      </c>
    </row>
    <row r="3151">
      <c r="A3151" s="28" t="n">
        <v>24135</v>
      </c>
      <c r="B3151" t="n">
        <v>4.65</v>
      </c>
      <c r="C3151" t="n">
        <v>4.57</v>
      </c>
    </row>
    <row r="3152">
      <c r="A3152" s="28" t="n">
        <v>24138</v>
      </c>
      <c r="B3152" t="n">
        <v>4.69</v>
      </c>
      <c r="C3152" t="n">
        <v>4.63</v>
      </c>
    </row>
    <row r="3153">
      <c r="A3153" s="28" t="n">
        <v>24139</v>
      </c>
      <c r="B3153" t="n">
        <v>4.69</v>
      </c>
      <c r="C3153" t="n">
        <v>4.66</v>
      </c>
    </row>
    <row r="3154">
      <c r="A3154" s="28" t="n">
        <v>24140</v>
      </c>
      <c r="B3154" t="n">
        <v>4.7</v>
      </c>
      <c r="C3154" t="n">
        <v>4.64</v>
      </c>
    </row>
    <row r="3155">
      <c r="A3155" s="28" t="n">
        <v>24141</v>
      </c>
      <c r="B3155" t="n">
        <v>4.7</v>
      </c>
      <c r="C3155" t="n">
        <v>4.63</v>
      </c>
    </row>
    <row r="3156">
      <c r="A3156" s="28" t="n">
        <v>24142</v>
      </c>
      <c r="B3156" t="n">
        <v>4.71</v>
      </c>
      <c r="C3156" t="n">
        <v>4.62</v>
      </c>
    </row>
    <row r="3157">
      <c r="A3157" s="28" t="n">
        <v>24145</v>
      </c>
      <c r="B3157" t="n">
        <v>4.73</v>
      </c>
      <c r="C3157" t="n">
        <v>4.61</v>
      </c>
    </row>
    <row r="3158">
      <c r="A3158" s="28" t="n">
        <v>24146</v>
      </c>
      <c r="B3158" t="n">
        <v>4.72</v>
      </c>
      <c r="C3158" t="n">
        <v>4.64</v>
      </c>
    </row>
    <row r="3159">
      <c r="A3159" s="28" t="n">
        <v>24147</v>
      </c>
      <c r="B3159" t="n">
        <v>4.74</v>
      </c>
      <c r="C3159" t="n">
        <v>4.64</v>
      </c>
    </row>
    <row r="3160">
      <c r="A3160" s="28" t="n">
        <v>24148</v>
      </c>
      <c r="B3160" t="n">
        <v>4.78</v>
      </c>
      <c r="C3160" t="n">
        <v>4.65</v>
      </c>
    </row>
    <row r="3161">
      <c r="A3161" s="28" t="n">
        <v>24149</v>
      </c>
      <c r="B3161" t="n">
        <v>4.86</v>
      </c>
      <c r="C3161" t="n">
        <v>4.65</v>
      </c>
    </row>
    <row r="3162">
      <c r="A3162" s="28" t="n">
        <v>24152</v>
      </c>
      <c r="B3162" t="n">
        <v>4.87</v>
      </c>
      <c r="C3162" t="n">
        <v>4.65</v>
      </c>
    </row>
    <row r="3163">
      <c r="A3163" s="28" t="n">
        <v>24153</v>
      </c>
      <c r="B3163" t="n">
        <v>4.88</v>
      </c>
      <c r="C3163" t="n">
        <v>4.68</v>
      </c>
    </row>
    <row r="3164">
      <c r="A3164" s="28" t="n">
        <v>24154</v>
      </c>
      <c r="B3164" t="n">
        <v>4.89</v>
      </c>
      <c r="C3164" t="n">
        <v>4.7</v>
      </c>
    </row>
    <row r="3165">
      <c r="A3165" s="28" t="n">
        <v>24155</v>
      </c>
      <c r="B3165" t="n">
        <v>4.88</v>
      </c>
      <c r="C3165" t="n">
        <v>4.66</v>
      </c>
    </row>
    <row r="3166">
      <c r="A3166" s="28" t="n">
        <v>24156</v>
      </c>
      <c r="B3166" t="n">
        <v>4.9</v>
      </c>
      <c r="C3166" t="n">
        <v>4.66</v>
      </c>
    </row>
    <row r="3167">
      <c r="A3167" s="28" t="n">
        <v>24159</v>
      </c>
      <c r="B3167" t="n">
        <v>4.92</v>
      </c>
      <c r="C3167" t="n">
        <v>4.66</v>
      </c>
    </row>
    <row r="3168">
      <c r="A3168" s="28" t="n">
        <v>24160</v>
      </c>
      <c r="B3168" t="n">
        <v>0</v>
      </c>
      <c r="C3168" t="n">
        <v>0</v>
      </c>
    </row>
    <row r="3169">
      <c r="A3169" s="28" t="n">
        <v>24161</v>
      </c>
      <c r="B3169" t="n">
        <v>4.92</v>
      </c>
      <c r="C3169" t="n">
        <v>4.69</v>
      </c>
    </row>
    <row r="3170">
      <c r="A3170" s="28" t="n">
        <v>24162</v>
      </c>
      <c r="B3170" t="n">
        <v>4.93</v>
      </c>
      <c r="C3170" t="n">
        <v>4.67</v>
      </c>
    </row>
    <row r="3171">
      <c r="A3171" s="28" t="n">
        <v>24163</v>
      </c>
      <c r="B3171" t="n">
        <v>4.97</v>
      </c>
      <c r="C3171" t="n">
        <v>4.63</v>
      </c>
    </row>
    <row r="3172">
      <c r="A3172" s="28" t="n">
        <v>24166</v>
      </c>
      <c r="B3172" t="n">
        <v>5.02</v>
      </c>
      <c r="C3172" t="n">
        <v>4.64</v>
      </c>
    </row>
    <row r="3173">
      <c r="A3173" s="28" t="n">
        <v>24167</v>
      </c>
      <c r="B3173" t="n">
        <v>5.01</v>
      </c>
      <c r="C3173" t="n">
        <v>4.65</v>
      </c>
    </row>
    <row r="3174">
      <c r="A3174" s="28" t="n">
        <v>24168</v>
      </c>
      <c r="B3174" t="n">
        <v>5</v>
      </c>
      <c r="C3174" t="n">
        <v>4.64</v>
      </c>
    </row>
    <row r="3175">
      <c r="A3175" s="28" t="n">
        <v>24169</v>
      </c>
      <c r="B3175" t="n">
        <v>5</v>
      </c>
      <c r="C3175" t="n">
        <v>4.61</v>
      </c>
    </row>
    <row r="3176">
      <c r="A3176" s="28" t="n">
        <v>24170</v>
      </c>
      <c r="B3176" t="n">
        <v>4.98</v>
      </c>
      <c r="C3176" t="n">
        <v>4.57</v>
      </c>
    </row>
    <row r="3177">
      <c r="A3177" s="28" t="n">
        <v>24173</v>
      </c>
      <c r="B3177" t="n">
        <v>4.96</v>
      </c>
      <c r="C3177" t="n">
        <v>4.57</v>
      </c>
    </row>
    <row r="3178">
      <c r="A3178" s="28" t="n">
        <v>24174</v>
      </c>
      <c r="B3178" t="n">
        <v>4.93</v>
      </c>
      <c r="C3178" t="n">
        <v>4.63</v>
      </c>
    </row>
    <row r="3179">
      <c r="A3179" s="28" t="n">
        <v>24175</v>
      </c>
      <c r="B3179" t="n">
        <v>4.93</v>
      </c>
      <c r="C3179" t="n">
        <v>4.63</v>
      </c>
    </row>
    <row r="3180">
      <c r="A3180" s="28" t="n">
        <v>24176</v>
      </c>
      <c r="B3180" t="n">
        <v>4.95</v>
      </c>
      <c r="C3180" t="n">
        <v>4.65</v>
      </c>
    </row>
    <row r="3181">
      <c r="A3181" s="28" t="n">
        <v>24177</v>
      </c>
      <c r="B3181" t="n">
        <v>4.96</v>
      </c>
      <c r="C3181" t="n">
        <v>4.69</v>
      </c>
    </row>
    <row r="3182">
      <c r="A3182" s="28" t="n">
        <v>24180</v>
      </c>
      <c r="B3182" t="n">
        <v>4.94</v>
      </c>
      <c r="C3182" t="n">
        <v>4.67</v>
      </c>
    </row>
    <row r="3183">
      <c r="A3183" s="28" t="n">
        <v>24181</v>
      </c>
      <c r="B3183" t="n">
        <v>4.91</v>
      </c>
      <c r="C3183" t="n">
        <v>4.65</v>
      </c>
    </row>
    <row r="3184">
      <c r="A3184" s="28" t="n">
        <v>24182</v>
      </c>
      <c r="B3184" t="n">
        <v>4.9</v>
      </c>
      <c r="C3184" t="n">
        <v>4.65</v>
      </c>
    </row>
    <row r="3185">
      <c r="A3185" s="28" t="n">
        <v>24183</v>
      </c>
      <c r="B3185" t="n">
        <v>4.86</v>
      </c>
      <c r="C3185" t="n">
        <v>4.64</v>
      </c>
    </row>
    <row r="3186">
      <c r="A3186" s="28" t="n">
        <v>24184</v>
      </c>
      <c r="B3186" t="n">
        <v>4.84</v>
      </c>
      <c r="C3186" t="n">
        <v>4.59</v>
      </c>
    </row>
    <row r="3187">
      <c r="A3187" s="28" t="n">
        <v>24187</v>
      </c>
      <c r="B3187" t="n">
        <v>4.81</v>
      </c>
      <c r="C3187" t="n">
        <v>4.52</v>
      </c>
    </row>
    <row r="3188">
      <c r="A3188" s="28" t="n">
        <v>24188</v>
      </c>
      <c r="B3188" t="n">
        <v>4.78</v>
      </c>
      <c r="C3188" t="n">
        <v>4.55</v>
      </c>
    </row>
    <row r="3189">
      <c r="A3189" s="28" t="n">
        <v>24189</v>
      </c>
      <c r="B3189" t="n">
        <v>4.73</v>
      </c>
      <c r="C3189" t="n">
        <v>4.49</v>
      </c>
    </row>
    <row r="3190">
      <c r="A3190" s="28" t="n">
        <v>24190</v>
      </c>
      <c r="B3190" t="n">
        <v>4.76</v>
      </c>
      <c r="C3190" t="n">
        <v>4.46</v>
      </c>
    </row>
    <row r="3191">
      <c r="A3191" s="28" t="n">
        <v>24191</v>
      </c>
      <c r="B3191" t="n">
        <v>4.82</v>
      </c>
      <c r="C3191" t="n">
        <v>4.53</v>
      </c>
    </row>
    <row r="3192">
      <c r="A3192" s="28" t="n">
        <v>24194</v>
      </c>
      <c r="B3192" t="n">
        <v>4.81</v>
      </c>
      <c r="C3192" t="n">
        <v>4.5</v>
      </c>
    </row>
    <row r="3193">
      <c r="A3193" s="28" t="n">
        <v>24195</v>
      </c>
      <c r="B3193" t="n">
        <v>4.8</v>
      </c>
      <c r="C3193" t="n">
        <v>4.55</v>
      </c>
    </row>
    <row r="3194">
      <c r="A3194" s="28" t="n">
        <v>24196</v>
      </c>
      <c r="B3194" t="n">
        <v>4.7</v>
      </c>
      <c r="C3194" t="n">
        <v>4.53</v>
      </c>
    </row>
    <row r="3195">
      <c r="A3195" s="28" t="n">
        <v>24197</v>
      </c>
      <c r="B3195" t="n">
        <v>4.71</v>
      </c>
      <c r="C3195" t="n">
        <v>4.52</v>
      </c>
    </row>
    <row r="3196">
      <c r="A3196" s="28" t="n">
        <v>24198</v>
      </c>
      <c r="B3196" t="n">
        <v>4.7</v>
      </c>
      <c r="C3196" t="n">
        <v>4.5</v>
      </c>
    </row>
    <row r="3197">
      <c r="A3197" s="28" t="n">
        <v>24201</v>
      </c>
      <c r="B3197" t="n">
        <v>4.69</v>
      </c>
      <c r="C3197" t="n">
        <v>4.48</v>
      </c>
    </row>
    <row r="3198">
      <c r="A3198" s="28" t="n">
        <v>24202</v>
      </c>
      <c r="B3198" t="n">
        <v>4.66</v>
      </c>
      <c r="C3198" t="n">
        <v>4.54</v>
      </c>
    </row>
    <row r="3199">
      <c r="A3199" s="28" t="n">
        <v>24203</v>
      </c>
      <c r="B3199" t="n">
        <v>4.71</v>
      </c>
      <c r="C3199" t="n">
        <v>4.56</v>
      </c>
    </row>
    <row r="3200">
      <c r="A3200" s="28" t="n">
        <v>24204</v>
      </c>
      <c r="B3200" t="n">
        <v>4.73</v>
      </c>
      <c r="C3200" t="n">
        <v>4.58</v>
      </c>
    </row>
    <row r="3201">
      <c r="A3201" s="28" t="n">
        <v>24205</v>
      </c>
      <c r="B3201" t="n">
        <v>0</v>
      </c>
      <c r="C3201" t="n">
        <v>0</v>
      </c>
    </row>
    <row r="3202">
      <c r="A3202" s="28" t="n">
        <v>24208</v>
      </c>
      <c r="B3202" t="n">
        <v>4.73</v>
      </c>
      <c r="C3202" t="n">
        <v>4.59</v>
      </c>
    </row>
    <row r="3203">
      <c r="A3203" s="28" t="n">
        <v>24209</v>
      </c>
      <c r="B3203" t="n">
        <v>4.73</v>
      </c>
      <c r="C3203" t="n">
        <v>4.66</v>
      </c>
    </row>
    <row r="3204">
      <c r="A3204" s="28" t="n">
        <v>24210</v>
      </c>
      <c r="B3204" t="n">
        <v>4.74</v>
      </c>
      <c r="C3204" t="n">
        <v>4.67</v>
      </c>
    </row>
    <row r="3205">
      <c r="A3205" s="28" t="n">
        <v>24211</v>
      </c>
      <c r="B3205" t="n">
        <v>4.76</v>
      </c>
      <c r="C3205" t="n">
        <v>4.66</v>
      </c>
    </row>
    <row r="3206">
      <c r="A3206" s="28" t="n">
        <v>24212</v>
      </c>
      <c r="B3206" t="n">
        <v>4.77</v>
      </c>
      <c r="C3206" t="n">
        <v>4.66</v>
      </c>
    </row>
    <row r="3207">
      <c r="A3207" s="28" t="n">
        <v>24215</v>
      </c>
      <c r="B3207" t="n">
        <v>4.76</v>
      </c>
      <c r="C3207" t="n">
        <v>4.65</v>
      </c>
    </row>
    <row r="3208">
      <c r="A3208" s="28" t="n">
        <v>24216</v>
      </c>
      <c r="B3208" t="n">
        <v>4.76</v>
      </c>
      <c r="C3208" t="n">
        <v>4.66</v>
      </c>
    </row>
    <row r="3209">
      <c r="A3209" s="28" t="n">
        <v>24217</v>
      </c>
      <c r="B3209" t="n">
        <v>4.8</v>
      </c>
      <c r="C3209" t="n">
        <v>4.67</v>
      </c>
    </row>
    <row r="3210">
      <c r="A3210" s="28" t="n">
        <v>24218</v>
      </c>
      <c r="B3210" t="n">
        <v>4.77</v>
      </c>
      <c r="C3210" t="n">
        <v>4.66</v>
      </c>
    </row>
    <row r="3211">
      <c r="A3211" s="28" t="n">
        <v>24219</v>
      </c>
      <c r="B3211" t="n">
        <v>4.77</v>
      </c>
      <c r="C3211" t="n">
        <v>4.63</v>
      </c>
    </row>
    <row r="3212">
      <c r="A3212" s="28" t="n">
        <v>24222</v>
      </c>
      <c r="B3212" t="n">
        <v>4.78</v>
      </c>
      <c r="C3212" t="n">
        <v>4.63</v>
      </c>
    </row>
    <row r="3213">
      <c r="A3213" s="28" t="n">
        <v>24223</v>
      </c>
      <c r="B3213" t="n">
        <v>4.79</v>
      </c>
      <c r="C3213" t="n">
        <v>4.64</v>
      </c>
    </row>
    <row r="3214">
      <c r="A3214" s="28" t="n">
        <v>24224</v>
      </c>
      <c r="B3214" t="n">
        <v>4.78</v>
      </c>
      <c r="C3214" t="n">
        <v>4.64</v>
      </c>
    </row>
    <row r="3215">
      <c r="A3215" s="28" t="n">
        <v>24225</v>
      </c>
      <c r="B3215" t="n">
        <v>4.78</v>
      </c>
      <c r="C3215" t="n">
        <v>4.63</v>
      </c>
    </row>
    <row r="3216">
      <c r="A3216" s="28" t="n">
        <v>24226</v>
      </c>
      <c r="B3216" t="n">
        <v>4.79</v>
      </c>
      <c r="C3216" t="n">
        <v>4.65</v>
      </c>
    </row>
    <row r="3217">
      <c r="A3217" s="28" t="n">
        <v>24229</v>
      </c>
      <c r="B3217" t="n">
        <v>4.8</v>
      </c>
      <c r="C3217" t="n">
        <v>4.65</v>
      </c>
    </row>
    <row r="3218">
      <c r="A3218" s="28" t="n">
        <v>24230</v>
      </c>
      <c r="B3218" t="n">
        <v>4.81</v>
      </c>
      <c r="C3218" t="n">
        <v>4.68</v>
      </c>
    </row>
    <row r="3219">
      <c r="A3219" s="28" t="n">
        <v>24231</v>
      </c>
      <c r="B3219" t="n">
        <v>4.81</v>
      </c>
      <c r="C3219" t="n">
        <v>4.67</v>
      </c>
    </row>
    <row r="3220">
      <c r="A3220" s="28" t="n">
        <v>24232</v>
      </c>
      <c r="B3220" t="n">
        <v>4.81</v>
      </c>
      <c r="C3220" t="n">
        <v>4.67</v>
      </c>
    </row>
    <row r="3221">
      <c r="A3221" s="28" t="n">
        <v>24233</v>
      </c>
      <c r="B3221" t="n">
        <v>4.79</v>
      </c>
      <c r="C3221" t="n">
        <v>4.66</v>
      </c>
    </row>
    <row r="3222">
      <c r="A3222" s="28" t="n">
        <v>24236</v>
      </c>
      <c r="B3222" t="n">
        <v>4.75</v>
      </c>
      <c r="C3222" t="n">
        <v>4.61</v>
      </c>
    </row>
    <row r="3223">
      <c r="A3223" s="28" t="n">
        <v>24237</v>
      </c>
      <c r="B3223" t="n">
        <v>4.75</v>
      </c>
      <c r="C3223" t="n">
        <v>4.61</v>
      </c>
    </row>
    <row r="3224">
      <c r="A3224" s="28" t="n">
        <v>24238</v>
      </c>
      <c r="B3224" t="n">
        <v>4.77</v>
      </c>
      <c r="C3224" t="n">
        <v>4.61</v>
      </c>
    </row>
    <row r="3225">
      <c r="A3225" s="28" t="n">
        <v>24239</v>
      </c>
      <c r="B3225" t="n">
        <v>4.77</v>
      </c>
      <c r="C3225" t="n">
        <v>4.61</v>
      </c>
    </row>
    <row r="3226">
      <c r="A3226" s="28" t="n">
        <v>24240</v>
      </c>
      <c r="B3226" t="n">
        <v>4.77</v>
      </c>
      <c r="C3226" t="n">
        <v>4.61</v>
      </c>
    </row>
    <row r="3227">
      <c r="A3227" s="28" t="n">
        <v>24243</v>
      </c>
      <c r="B3227" t="n">
        <v>4.77</v>
      </c>
      <c r="C3227" t="n">
        <v>4.6</v>
      </c>
    </row>
    <row r="3228">
      <c r="A3228" s="28" t="n">
        <v>24244</v>
      </c>
      <c r="B3228" t="n">
        <v>4.75</v>
      </c>
      <c r="C3228" t="n">
        <v>4.64</v>
      </c>
    </row>
    <row r="3229">
      <c r="A3229" s="28" t="n">
        <v>24245</v>
      </c>
      <c r="B3229" t="n">
        <v>4.75</v>
      </c>
      <c r="C3229" t="n">
        <v>4.65</v>
      </c>
    </row>
    <row r="3230">
      <c r="A3230" s="28" t="n">
        <v>24246</v>
      </c>
      <c r="B3230" t="n">
        <v>4.75</v>
      </c>
      <c r="C3230" t="n">
        <v>4.65</v>
      </c>
    </row>
    <row r="3231">
      <c r="A3231" s="28" t="n">
        <v>24247</v>
      </c>
      <c r="B3231" t="n">
        <v>4.75</v>
      </c>
      <c r="C3231" t="n">
        <v>4.64</v>
      </c>
    </row>
    <row r="3232">
      <c r="A3232" s="28" t="n">
        <v>24250</v>
      </c>
      <c r="B3232" t="n">
        <v>4.77</v>
      </c>
      <c r="C3232" t="n">
        <v>4.62</v>
      </c>
    </row>
    <row r="3233">
      <c r="A3233" s="28" t="n">
        <v>24251</v>
      </c>
      <c r="B3233" t="n">
        <v>4.79</v>
      </c>
      <c r="C3233" t="n">
        <v>4.65</v>
      </c>
    </row>
    <row r="3234">
      <c r="A3234" s="28" t="n">
        <v>24252</v>
      </c>
      <c r="B3234" t="n">
        <v>4.78</v>
      </c>
      <c r="C3234" t="n">
        <v>4.65</v>
      </c>
    </row>
    <row r="3235">
      <c r="A3235" s="28" t="n">
        <v>24253</v>
      </c>
      <c r="B3235" t="n">
        <v>4.8</v>
      </c>
      <c r="C3235" t="n">
        <v>4.64</v>
      </c>
    </row>
    <row r="3236">
      <c r="A3236" s="28" t="n">
        <v>24254</v>
      </c>
      <c r="B3236" t="n">
        <v>4.81</v>
      </c>
      <c r="C3236" t="n">
        <v>4.62</v>
      </c>
    </row>
    <row r="3237">
      <c r="A3237" s="28" t="n">
        <v>24257</v>
      </c>
      <c r="B3237" t="n">
        <v>0</v>
      </c>
      <c r="C3237" t="n">
        <v>0</v>
      </c>
    </row>
    <row r="3238">
      <c r="A3238" s="28" t="n">
        <v>24258</v>
      </c>
      <c r="B3238" t="n">
        <v>4.8</v>
      </c>
      <c r="C3238" t="n">
        <v>4.64</v>
      </c>
    </row>
    <row r="3239">
      <c r="A3239" s="28" t="n">
        <v>24259</v>
      </c>
      <c r="B3239" t="n">
        <v>4.79</v>
      </c>
      <c r="C3239" t="n">
        <v>4.63</v>
      </c>
    </row>
    <row r="3240">
      <c r="A3240" s="28" t="n">
        <v>24260</v>
      </c>
      <c r="B3240" t="n">
        <v>4.77</v>
      </c>
      <c r="C3240" t="n">
        <v>4.56</v>
      </c>
    </row>
    <row r="3241">
      <c r="A3241" s="28" t="n">
        <v>24261</v>
      </c>
      <c r="B3241" t="n">
        <v>4.78</v>
      </c>
      <c r="C3241" t="n">
        <v>4.54</v>
      </c>
    </row>
    <row r="3242">
      <c r="A3242" s="28" t="n">
        <v>24264</v>
      </c>
      <c r="B3242" t="n">
        <v>4.79</v>
      </c>
      <c r="C3242" t="n">
        <v>4.54</v>
      </c>
    </row>
    <row r="3243">
      <c r="A3243" s="28" t="n">
        <v>24265</v>
      </c>
      <c r="B3243" t="n">
        <v>4.81</v>
      </c>
      <c r="C3243" t="n">
        <v>4.6</v>
      </c>
    </row>
    <row r="3244">
      <c r="A3244" s="28" t="n">
        <v>24266</v>
      </c>
      <c r="B3244" t="n">
        <v>4.83</v>
      </c>
      <c r="C3244" t="n">
        <v>4.59</v>
      </c>
    </row>
    <row r="3245">
      <c r="A3245" s="28" t="n">
        <v>24267</v>
      </c>
      <c r="B3245" t="n">
        <v>4.83</v>
      </c>
      <c r="C3245" t="n">
        <v>4.58</v>
      </c>
    </row>
    <row r="3246">
      <c r="A3246" s="28" t="n">
        <v>24268</v>
      </c>
      <c r="B3246" t="n">
        <v>4.83</v>
      </c>
      <c r="C3246" t="n">
        <v>4.57</v>
      </c>
    </row>
    <row r="3247">
      <c r="A3247" s="28" t="n">
        <v>24271</v>
      </c>
      <c r="B3247" t="n">
        <v>4.83</v>
      </c>
      <c r="C3247" t="n">
        <v>4.56</v>
      </c>
    </row>
    <row r="3248">
      <c r="A3248" s="28" t="n">
        <v>24272</v>
      </c>
      <c r="B3248" t="n">
        <v>4.83</v>
      </c>
      <c r="C3248" t="n">
        <v>4.58</v>
      </c>
    </row>
    <row r="3249">
      <c r="A3249" s="28" t="n">
        <v>24273</v>
      </c>
      <c r="B3249" t="n">
        <v>4.79</v>
      </c>
      <c r="C3249" t="n">
        <v>4.54</v>
      </c>
    </row>
    <row r="3250">
      <c r="A3250" s="28" t="n">
        <v>24274</v>
      </c>
      <c r="B3250" t="n">
        <v>4.81</v>
      </c>
      <c r="C3250" t="n">
        <v>4.5</v>
      </c>
    </row>
    <row r="3251">
      <c r="A3251" s="28" t="n">
        <v>24275</v>
      </c>
      <c r="B3251" t="n">
        <v>4.8</v>
      </c>
      <c r="C3251" t="n">
        <v>4.46</v>
      </c>
    </row>
    <row r="3252">
      <c r="A3252" s="28" t="n">
        <v>24278</v>
      </c>
      <c r="B3252" t="n">
        <v>4.76</v>
      </c>
      <c r="C3252" t="n">
        <v>4.43</v>
      </c>
    </row>
    <row r="3253">
      <c r="A3253" s="28" t="n">
        <v>24279</v>
      </c>
      <c r="B3253" t="n">
        <v>4.75</v>
      </c>
      <c r="C3253" t="n">
        <v>4.47</v>
      </c>
    </row>
    <row r="3254">
      <c r="A3254" s="28" t="n">
        <v>24280</v>
      </c>
      <c r="B3254" t="n">
        <v>4.76</v>
      </c>
      <c r="C3254" t="n">
        <v>4.4</v>
      </c>
    </row>
    <row r="3255">
      <c r="A3255" s="28" t="n">
        <v>24281</v>
      </c>
      <c r="B3255" t="n">
        <v>4.77</v>
      </c>
      <c r="C3255" t="n">
        <v>4.34</v>
      </c>
    </row>
    <row r="3256">
      <c r="A3256" s="28" t="n">
        <v>24282</v>
      </c>
      <c r="B3256" t="n">
        <v>4.8</v>
      </c>
      <c r="C3256" t="n">
        <v>4.38</v>
      </c>
    </row>
    <row r="3257">
      <c r="A3257" s="28" t="n">
        <v>24285</v>
      </c>
      <c r="B3257" t="n">
        <v>4.83</v>
      </c>
      <c r="C3257" t="n">
        <v>4.33</v>
      </c>
    </row>
    <row r="3258">
      <c r="A3258" s="28" t="n">
        <v>24286</v>
      </c>
      <c r="B3258" t="n">
        <v>4.89</v>
      </c>
      <c r="C3258" t="n">
        <v>4.38</v>
      </c>
    </row>
    <row r="3259">
      <c r="A3259" s="28" t="n">
        <v>24287</v>
      </c>
      <c r="B3259" t="n">
        <v>4.9</v>
      </c>
      <c r="C3259" t="n">
        <v>4.43</v>
      </c>
    </row>
    <row r="3260">
      <c r="A3260" s="28" t="n">
        <v>24288</v>
      </c>
      <c r="B3260" t="n">
        <v>4.97</v>
      </c>
      <c r="C3260" t="n">
        <v>4.58</v>
      </c>
    </row>
    <row r="3261">
      <c r="A3261" s="28" t="n">
        <v>24289</v>
      </c>
      <c r="B3261" t="n">
        <v>4.99</v>
      </c>
      <c r="C3261" t="n">
        <v>4.64</v>
      </c>
    </row>
    <row r="3262">
      <c r="A3262" s="28" t="n">
        <v>24292</v>
      </c>
      <c r="B3262" t="n">
        <v>0</v>
      </c>
      <c r="C3262" t="n">
        <v>0</v>
      </c>
    </row>
    <row r="3263">
      <c r="A3263" s="28" t="n">
        <v>24293</v>
      </c>
      <c r="B3263" t="n">
        <v>4.96</v>
      </c>
      <c r="C3263" t="n">
        <v>4.77</v>
      </c>
    </row>
    <row r="3264">
      <c r="A3264" s="28" t="n">
        <v>24294</v>
      </c>
      <c r="B3264" t="n">
        <v>4.95</v>
      </c>
      <c r="C3264" t="n">
        <v>4.66</v>
      </c>
    </row>
    <row r="3265">
      <c r="A3265" s="28" t="n">
        <v>24295</v>
      </c>
      <c r="B3265" t="n">
        <v>4.95</v>
      </c>
      <c r="C3265" t="n">
        <v>4.66</v>
      </c>
    </row>
    <row r="3266">
      <c r="A3266" s="28" t="n">
        <v>24296</v>
      </c>
      <c r="B3266" t="n">
        <v>4.97</v>
      </c>
      <c r="C3266" t="n">
        <v>4.68</v>
      </c>
    </row>
    <row r="3267">
      <c r="A3267" s="28" t="n">
        <v>24299</v>
      </c>
      <c r="B3267" t="n">
        <v>5.03</v>
      </c>
      <c r="C3267" t="n">
        <v>4.74</v>
      </c>
    </row>
    <row r="3268">
      <c r="A3268" s="28" t="n">
        <v>24300</v>
      </c>
      <c r="B3268" t="n">
        <v>5.05</v>
      </c>
      <c r="C3268" t="n">
        <v>4.89</v>
      </c>
    </row>
    <row r="3269">
      <c r="A3269" s="28" t="n">
        <v>24301</v>
      </c>
      <c r="B3269" t="n">
        <v>5.07</v>
      </c>
      <c r="C3269" t="n">
        <v>4.88</v>
      </c>
    </row>
    <row r="3270">
      <c r="A3270" s="28" t="n">
        <v>24302</v>
      </c>
      <c r="B3270" t="n">
        <v>5.1</v>
      </c>
      <c r="C3270" t="n">
        <v>4.92</v>
      </c>
    </row>
    <row r="3271">
      <c r="A3271" s="28" t="n">
        <v>24303</v>
      </c>
      <c r="B3271" t="n">
        <v>5.09</v>
      </c>
      <c r="C3271" t="n">
        <v>4.93</v>
      </c>
    </row>
    <row r="3272">
      <c r="A3272" s="28" t="n">
        <v>24306</v>
      </c>
      <c r="B3272" t="n">
        <v>5.04</v>
      </c>
      <c r="C3272" t="n">
        <v>4.93</v>
      </c>
    </row>
    <row r="3273">
      <c r="A3273" s="28" t="n">
        <v>24307</v>
      </c>
      <c r="B3273" t="n">
        <v>5.03</v>
      </c>
      <c r="C3273" t="n">
        <v>4.96</v>
      </c>
    </row>
    <row r="3274">
      <c r="A3274" s="28" t="n">
        <v>24308</v>
      </c>
      <c r="B3274" t="n">
        <v>5.02</v>
      </c>
      <c r="C3274" t="n">
        <v>4.9</v>
      </c>
    </row>
    <row r="3275">
      <c r="A3275" s="28" t="n">
        <v>24309</v>
      </c>
      <c r="B3275" t="n">
        <v>5.04</v>
      </c>
      <c r="C3275" t="n">
        <v>4.88</v>
      </c>
    </row>
    <row r="3276">
      <c r="A3276" s="28" t="n">
        <v>24310</v>
      </c>
      <c r="B3276" t="n">
        <v>5.02</v>
      </c>
      <c r="C3276" t="n">
        <v>4.84</v>
      </c>
    </row>
    <row r="3277">
      <c r="A3277" s="28" t="n">
        <v>24313</v>
      </c>
      <c r="B3277" t="n">
        <v>4.99</v>
      </c>
      <c r="C3277" t="n">
        <v>4.78</v>
      </c>
    </row>
    <row r="3278">
      <c r="A3278" s="28" t="n">
        <v>24314</v>
      </c>
      <c r="B3278" t="n">
        <v>4.99</v>
      </c>
      <c r="C3278" t="n">
        <v>4.77</v>
      </c>
    </row>
    <row r="3279">
      <c r="A3279" s="28" t="n">
        <v>24315</v>
      </c>
      <c r="B3279" t="n">
        <v>4.99</v>
      </c>
      <c r="C3279" t="n">
        <v>4.66</v>
      </c>
    </row>
    <row r="3280">
      <c r="A3280" s="28" t="n">
        <v>24316</v>
      </c>
      <c r="B3280" t="n">
        <v>5.03</v>
      </c>
      <c r="C3280" t="n">
        <v>4.69</v>
      </c>
    </row>
    <row r="3281">
      <c r="A3281" s="28" t="n">
        <v>24317</v>
      </c>
      <c r="B3281" t="n">
        <v>5.05</v>
      </c>
      <c r="C3281" t="n">
        <v>4.77</v>
      </c>
    </row>
    <row r="3282">
      <c r="A3282" s="28" t="n">
        <v>24320</v>
      </c>
      <c r="B3282" t="n">
        <v>5.05</v>
      </c>
      <c r="C3282" t="n">
        <v>4.75</v>
      </c>
    </row>
    <row r="3283">
      <c r="A3283" s="28" t="n">
        <v>24321</v>
      </c>
      <c r="B3283" t="n">
        <v>5.04</v>
      </c>
      <c r="C3283" t="n">
        <v>4.84</v>
      </c>
    </row>
    <row r="3284">
      <c r="A3284" s="28" t="n">
        <v>24322</v>
      </c>
      <c r="B3284" t="n">
        <v>5.06</v>
      </c>
      <c r="C3284" t="n">
        <v>4.87</v>
      </c>
    </row>
    <row r="3285">
      <c r="A3285" s="28" t="n">
        <v>24323</v>
      </c>
      <c r="B3285" t="n">
        <v>5.07</v>
      </c>
      <c r="C3285" t="n">
        <v>4.84</v>
      </c>
    </row>
    <row r="3286">
      <c r="A3286" s="28" t="n">
        <v>24324</v>
      </c>
      <c r="B3286" t="n">
        <v>5.07</v>
      </c>
      <c r="C3286" t="n">
        <v>4.79</v>
      </c>
    </row>
    <row r="3287">
      <c r="A3287" s="28" t="n">
        <v>24327</v>
      </c>
      <c r="B3287" t="n">
        <v>5.08</v>
      </c>
      <c r="C3287" t="n">
        <v>4.78</v>
      </c>
    </row>
    <row r="3288">
      <c r="A3288" s="28" t="n">
        <v>24328</v>
      </c>
      <c r="B3288" t="n">
        <v>5.1</v>
      </c>
      <c r="C3288" t="n">
        <v>4.86</v>
      </c>
    </row>
    <row r="3289">
      <c r="A3289" s="28" t="n">
        <v>24329</v>
      </c>
      <c r="B3289" t="n">
        <v>5.1</v>
      </c>
      <c r="C3289" t="n">
        <v>4.89</v>
      </c>
    </row>
    <row r="3290">
      <c r="A3290" s="28" t="n">
        <v>24330</v>
      </c>
      <c r="B3290" t="n">
        <v>5.11</v>
      </c>
      <c r="C3290" t="n">
        <v>4.91</v>
      </c>
    </row>
    <row r="3291">
      <c r="A3291" s="28" t="n">
        <v>24331</v>
      </c>
      <c r="B3291" t="n">
        <v>5.11</v>
      </c>
      <c r="C3291" t="n">
        <v>4.94</v>
      </c>
    </row>
    <row r="3292">
      <c r="A3292" s="28" t="n">
        <v>24334</v>
      </c>
      <c r="B3292" t="n">
        <v>5.15</v>
      </c>
      <c r="C3292" t="n">
        <v>5</v>
      </c>
    </row>
    <row r="3293">
      <c r="A3293" s="28" t="n">
        <v>24335</v>
      </c>
      <c r="B3293" t="n">
        <v>5.18</v>
      </c>
      <c r="C3293" t="n">
        <v>5.09</v>
      </c>
    </row>
    <row r="3294">
      <c r="A3294" s="28" t="n">
        <v>24336</v>
      </c>
      <c r="B3294" t="n">
        <v>5.24</v>
      </c>
      <c r="C3294" t="n">
        <v>5.08</v>
      </c>
    </row>
    <row r="3295">
      <c r="A3295" s="28" t="n">
        <v>24337</v>
      </c>
      <c r="B3295" t="n">
        <v>5.29</v>
      </c>
      <c r="C3295" t="n">
        <v>5.09</v>
      </c>
    </row>
    <row r="3296">
      <c r="A3296" s="28" t="n">
        <v>24338</v>
      </c>
      <c r="B3296" t="n">
        <v>5.31</v>
      </c>
      <c r="C3296" t="n">
        <v>5.06</v>
      </c>
    </row>
    <row r="3297">
      <c r="A3297" s="28" t="n">
        <v>24341</v>
      </c>
      <c r="B3297" t="n">
        <v>5.29</v>
      </c>
      <c r="C3297" t="n">
        <v>4.97</v>
      </c>
    </row>
    <row r="3298">
      <c r="A3298" s="28" t="n">
        <v>24342</v>
      </c>
      <c r="B3298" t="n">
        <v>5.33</v>
      </c>
      <c r="C3298" t="n">
        <v>5.05</v>
      </c>
    </row>
    <row r="3299">
      <c r="A3299" s="28" t="n">
        <v>24343</v>
      </c>
      <c r="B3299" t="n">
        <v>5.36</v>
      </c>
      <c r="C3299" t="n">
        <v>5.02</v>
      </c>
    </row>
    <row r="3300">
      <c r="A3300" s="28" t="n">
        <v>24344</v>
      </c>
      <c r="B3300" t="n">
        <v>5.39</v>
      </c>
      <c r="C3300" t="n">
        <v>5.03</v>
      </c>
    </row>
    <row r="3301">
      <c r="A3301" s="28" t="n">
        <v>24345</v>
      </c>
      <c r="B3301" t="n">
        <v>5.48</v>
      </c>
      <c r="C3301" t="n">
        <v>5.03</v>
      </c>
    </row>
    <row r="3302">
      <c r="A3302" s="28" t="n">
        <v>24348</v>
      </c>
      <c r="B3302" t="n">
        <v>5.51</v>
      </c>
      <c r="C3302" t="n">
        <v>5.04</v>
      </c>
    </row>
    <row r="3303">
      <c r="A3303" s="28" t="n">
        <v>24349</v>
      </c>
      <c r="B3303" t="n">
        <v>5.48</v>
      </c>
      <c r="C3303" t="n">
        <v>5.09</v>
      </c>
    </row>
    <row r="3304">
      <c r="A3304" s="28" t="n">
        <v>24350</v>
      </c>
      <c r="B3304" t="n">
        <v>5.36</v>
      </c>
      <c r="C3304" t="n">
        <v>5.06</v>
      </c>
    </row>
    <row r="3305">
      <c r="A3305" s="28" t="n">
        <v>24351</v>
      </c>
      <c r="B3305" t="n">
        <v>5.3</v>
      </c>
      <c r="C3305" t="n">
        <v>5.08</v>
      </c>
    </row>
    <row r="3306">
      <c r="A3306" s="28" t="n">
        <v>24352</v>
      </c>
      <c r="B3306" t="n">
        <v>5.23</v>
      </c>
      <c r="C3306" t="n">
        <v>5.09</v>
      </c>
    </row>
    <row r="3307">
      <c r="A3307" s="28" t="n">
        <v>24355</v>
      </c>
      <c r="B3307" t="n">
        <v>0</v>
      </c>
      <c r="C3307" t="n">
        <v>0</v>
      </c>
    </row>
    <row r="3308">
      <c r="A3308" s="28" t="n">
        <v>24356</v>
      </c>
      <c r="B3308" t="n">
        <v>5.19</v>
      </c>
      <c r="C3308" t="n">
        <v>5.17</v>
      </c>
    </row>
    <row r="3309">
      <c r="A3309" s="28" t="n">
        <v>24357</v>
      </c>
      <c r="B3309" t="n">
        <v>5.2</v>
      </c>
      <c r="C3309" t="n">
        <v>5.19</v>
      </c>
    </row>
    <row r="3310">
      <c r="A3310" s="28" t="n">
        <v>24358</v>
      </c>
      <c r="B3310" t="n">
        <v>5.18</v>
      </c>
      <c r="C3310" t="n">
        <v>5.21</v>
      </c>
    </row>
    <row r="3311">
      <c r="A3311" s="28" t="n">
        <v>24359</v>
      </c>
      <c r="B3311" t="n">
        <v>5.17</v>
      </c>
      <c r="C3311" t="n">
        <v>5.22</v>
      </c>
    </row>
    <row r="3312">
      <c r="A3312" s="28" t="n">
        <v>24362</v>
      </c>
      <c r="B3312" t="n">
        <v>5.18</v>
      </c>
      <c r="C3312" t="n">
        <v>5.29</v>
      </c>
    </row>
    <row r="3313">
      <c r="A3313" s="28" t="n">
        <v>24363</v>
      </c>
      <c r="B3313" t="n">
        <v>5.16</v>
      </c>
      <c r="C3313" t="n">
        <v>5.43</v>
      </c>
    </row>
    <row r="3314">
      <c r="A3314" s="28" t="n">
        <v>24364</v>
      </c>
      <c r="B3314" t="n">
        <v>5.21</v>
      </c>
      <c r="C3314" t="n">
        <v>5.45</v>
      </c>
    </row>
    <row r="3315">
      <c r="A3315" s="28" t="n">
        <v>24365</v>
      </c>
      <c r="B3315" t="n">
        <v>5.25</v>
      </c>
      <c r="C3315" t="n">
        <v>5.46</v>
      </c>
    </row>
    <row r="3316">
      <c r="A3316" s="28" t="n">
        <v>24366</v>
      </c>
      <c r="B3316" t="n">
        <v>5.24</v>
      </c>
      <c r="C3316" t="n">
        <v>5.46</v>
      </c>
    </row>
    <row r="3317">
      <c r="A3317" s="28" t="n">
        <v>24369</v>
      </c>
      <c r="B3317" t="n">
        <v>5.32</v>
      </c>
      <c r="C3317" t="n">
        <v>5.47</v>
      </c>
    </row>
    <row r="3318">
      <c r="A3318" s="28" t="n">
        <v>24370</v>
      </c>
      <c r="B3318" t="n">
        <v>5.27</v>
      </c>
      <c r="C3318" t="n">
        <v>5.57</v>
      </c>
    </row>
    <row r="3319">
      <c r="A3319" s="28" t="n">
        <v>24371</v>
      </c>
      <c r="B3319" t="n">
        <v>5.21</v>
      </c>
      <c r="C3319" t="n">
        <v>5.59</v>
      </c>
    </row>
    <row r="3320">
      <c r="A3320" s="28" t="n">
        <v>24372</v>
      </c>
      <c r="B3320" t="n">
        <v>5.15</v>
      </c>
      <c r="C3320" t="n">
        <v>5.55</v>
      </c>
    </row>
    <row r="3321">
      <c r="A3321" s="28" t="n">
        <v>24373</v>
      </c>
      <c r="B3321" t="n">
        <v>5.17</v>
      </c>
      <c r="C3321" t="n">
        <v>5.51</v>
      </c>
    </row>
    <row r="3322">
      <c r="A3322" s="28" t="n">
        <v>24376</v>
      </c>
      <c r="B3322" t="n">
        <v>5.17</v>
      </c>
      <c r="C3322" t="n">
        <v>5.45</v>
      </c>
    </row>
    <row r="3323">
      <c r="A3323" s="28" t="n">
        <v>24377</v>
      </c>
      <c r="B3323" t="n">
        <v>5.13</v>
      </c>
      <c r="C3323" t="n">
        <v>5.44</v>
      </c>
    </row>
    <row r="3324">
      <c r="A3324" s="28" t="n">
        <v>24378</v>
      </c>
      <c r="B3324" t="n">
        <v>5.09</v>
      </c>
      <c r="C3324" t="n">
        <v>5.41</v>
      </c>
    </row>
    <row r="3325">
      <c r="A3325" s="28" t="n">
        <v>24379</v>
      </c>
      <c r="B3325" t="n">
        <v>4.99</v>
      </c>
      <c r="C3325" t="n">
        <v>5.34</v>
      </c>
    </row>
    <row r="3326">
      <c r="A3326" s="28" t="n">
        <v>24380</v>
      </c>
      <c r="B3326" t="n">
        <v>5.02</v>
      </c>
      <c r="C3326" t="n">
        <v>5.34</v>
      </c>
    </row>
    <row r="3327">
      <c r="A3327" s="28" t="n">
        <v>24383</v>
      </c>
      <c r="B3327" t="n">
        <v>5.08</v>
      </c>
      <c r="C3327" t="n">
        <v>5.33</v>
      </c>
    </row>
    <row r="3328">
      <c r="A3328" s="28" t="n">
        <v>24384</v>
      </c>
      <c r="B3328" t="n">
        <v>5.06</v>
      </c>
      <c r="C3328" t="n">
        <v>5.44</v>
      </c>
    </row>
    <row r="3329">
      <c r="A3329" s="28" t="n">
        <v>24385</v>
      </c>
      <c r="B3329" t="n">
        <v>5.05</v>
      </c>
      <c r="C3329" t="n">
        <v>5.42</v>
      </c>
    </row>
    <row r="3330">
      <c r="A3330" s="28" t="n">
        <v>24386</v>
      </c>
      <c r="B3330" t="n">
        <v>5.03</v>
      </c>
      <c r="C3330" t="n">
        <v>5.38</v>
      </c>
    </row>
    <row r="3331">
      <c r="A3331" s="28" t="n">
        <v>24387</v>
      </c>
      <c r="B3331" t="n">
        <v>5.02</v>
      </c>
      <c r="C3331" t="n">
        <v>5.36</v>
      </c>
    </row>
    <row r="3332">
      <c r="A3332" s="28" t="n">
        <v>24390</v>
      </c>
      <c r="B3332" t="n">
        <v>5.05</v>
      </c>
      <c r="C3332" t="n">
        <v>5.4</v>
      </c>
    </row>
    <row r="3333">
      <c r="A3333" s="28" t="n">
        <v>24391</v>
      </c>
      <c r="B3333" t="n">
        <v>5.05</v>
      </c>
      <c r="C3333" t="n">
        <v>5.47</v>
      </c>
    </row>
    <row r="3334">
      <c r="A3334" s="28" t="n">
        <v>24392</v>
      </c>
      <c r="B3334" t="n">
        <v>0</v>
      </c>
      <c r="C3334" t="n">
        <v>0</v>
      </c>
    </row>
    <row r="3335">
      <c r="A3335" s="28" t="n">
        <v>24393</v>
      </c>
      <c r="B3335" t="n">
        <v>5.07</v>
      </c>
      <c r="C3335" t="n">
        <v>5.48</v>
      </c>
    </row>
    <row r="3336">
      <c r="A3336" s="28" t="n">
        <v>24394</v>
      </c>
      <c r="B3336" t="n">
        <v>5.06</v>
      </c>
      <c r="C3336" t="n">
        <v>5.44</v>
      </c>
    </row>
    <row r="3337">
      <c r="A3337" s="28" t="n">
        <v>24397</v>
      </c>
      <c r="B3337" t="n">
        <v>5.04</v>
      </c>
      <c r="C3337" t="n">
        <v>5.39</v>
      </c>
    </row>
    <row r="3338">
      <c r="A3338" s="28" t="n">
        <v>24398</v>
      </c>
      <c r="B3338" t="n">
        <v>4.99</v>
      </c>
      <c r="C3338" t="n">
        <v>5.41</v>
      </c>
    </row>
    <row r="3339">
      <c r="A3339" s="28" t="n">
        <v>24399</v>
      </c>
      <c r="B3339" t="n">
        <v>5</v>
      </c>
      <c r="C3339" t="n">
        <v>5.4</v>
      </c>
    </row>
    <row r="3340">
      <c r="A3340" s="28" t="n">
        <v>24400</v>
      </c>
      <c r="B3340" t="n">
        <v>5.02</v>
      </c>
      <c r="C3340" t="n">
        <v>5.38</v>
      </c>
    </row>
    <row r="3341">
      <c r="A3341" s="28" t="n">
        <v>24401</v>
      </c>
      <c r="B3341" t="n">
        <v>4.94</v>
      </c>
      <c r="C3341" t="n">
        <v>5.27</v>
      </c>
    </row>
    <row r="3342">
      <c r="A3342" s="28" t="n">
        <v>24404</v>
      </c>
      <c r="B3342" t="n">
        <v>4.94</v>
      </c>
      <c r="C3342" t="n">
        <v>5.19</v>
      </c>
    </row>
    <row r="3343">
      <c r="A3343" s="28" t="n">
        <v>24405</v>
      </c>
      <c r="B3343" t="n">
        <v>4.94</v>
      </c>
      <c r="C3343" t="n">
        <v>5.23</v>
      </c>
    </row>
    <row r="3344">
      <c r="A3344" s="28" t="n">
        <v>24406</v>
      </c>
      <c r="B3344" t="n">
        <v>4.96</v>
      </c>
      <c r="C3344" t="n">
        <v>5.24</v>
      </c>
    </row>
    <row r="3345">
      <c r="A3345" s="28" t="n">
        <v>24407</v>
      </c>
      <c r="B3345" t="n">
        <v>4.99</v>
      </c>
      <c r="C3345" t="n">
        <v>5.25</v>
      </c>
    </row>
    <row r="3346">
      <c r="A3346" s="28" t="n">
        <v>24408</v>
      </c>
      <c r="B3346" t="n">
        <v>4.97</v>
      </c>
      <c r="C3346" t="n">
        <v>5.23</v>
      </c>
    </row>
    <row r="3347">
      <c r="A3347" s="28" t="n">
        <v>24411</v>
      </c>
      <c r="B3347" t="n">
        <v>4.97</v>
      </c>
      <c r="C3347" t="n">
        <v>5.22</v>
      </c>
    </row>
    <row r="3348">
      <c r="A3348" s="28" t="n">
        <v>24412</v>
      </c>
      <c r="B3348" t="n">
        <v>4.99</v>
      </c>
      <c r="C3348" t="n">
        <v>5.27</v>
      </c>
    </row>
    <row r="3349">
      <c r="A3349" s="28" t="n">
        <v>24413</v>
      </c>
      <c r="B3349" t="n">
        <v>5.04</v>
      </c>
      <c r="C3349" t="n">
        <v>5.33</v>
      </c>
    </row>
    <row r="3350">
      <c r="A3350" s="28" t="n">
        <v>24414</v>
      </c>
      <c r="B3350" t="n">
        <v>5.06</v>
      </c>
      <c r="C3350" t="n">
        <v>5.33</v>
      </c>
    </row>
    <row r="3351">
      <c r="A3351" s="28" t="n">
        <v>24415</v>
      </c>
      <c r="B3351" t="n">
        <v>5.11</v>
      </c>
      <c r="C3351" t="n">
        <v>5.36</v>
      </c>
    </row>
    <row r="3352">
      <c r="A3352" s="28" t="n">
        <v>24418</v>
      </c>
      <c r="B3352" t="n">
        <v>5.11</v>
      </c>
      <c r="C3352" t="n">
        <v>5.37</v>
      </c>
    </row>
    <row r="3353">
      <c r="A3353" s="28" t="n">
        <v>24419</v>
      </c>
      <c r="B3353" t="n">
        <v>0</v>
      </c>
      <c r="C3353" t="n">
        <v>0</v>
      </c>
    </row>
    <row r="3354">
      <c r="A3354" s="28" t="n">
        <v>24420</v>
      </c>
      <c r="B3354" t="n">
        <v>5.12</v>
      </c>
      <c r="C3354" t="n">
        <v>5.42</v>
      </c>
    </row>
    <row r="3355">
      <c r="A3355" s="28" t="n">
        <v>24421</v>
      </c>
      <c r="B3355" t="n">
        <v>5.17</v>
      </c>
      <c r="C3355" t="n">
        <v>5.45</v>
      </c>
    </row>
    <row r="3356">
      <c r="A3356" s="28" t="n">
        <v>24422</v>
      </c>
      <c r="B3356" t="n">
        <v>0</v>
      </c>
      <c r="C3356" t="n">
        <v>0</v>
      </c>
    </row>
    <row r="3357">
      <c r="A3357" s="28" t="n">
        <v>24425</v>
      </c>
      <c r="B3357" t="n">
        <v>5.19</v>
      </c>
      <c r="C3357" t="n">
        <v>5.41</v>
      </c>
    </row>
    <row r="3358">
      <c r="A3358" s="28" t="n">
        <v>24426</v>
      </c>
      <c r="B3358" t="n">
        <v>5.21</v>
      </c>
      <c r="C3358" t="n">
        <v>5.45</v>
      </c>
    </row>
    <row r="3359">
      <c r="A3359" s="28" t="n">
        <v>24427</v>
      </c>
      <c r="B3359" t="n">
        <v>5.22</v>
      </c>
      <c r="C3359" t="n">
        <v>5.44</v>
      </c>
    </row>
    <row r="3360">
      <c r="A3360" s="28" t="n">
        <v>24428</v>
      </c>
      <c r="B3360" t="n">
        <v>5.23</v>
      </c>
      <c r="C3360" t="n">
        <v>5.36</v>
      </c>
    </row>
    <row r="3361">
      <c r="A3361" s="28" t="n">
        <v>24429</v>
      </c>
      <c r="B3361" t="n">
        <v>5.22</v>
      </c>
      <c r="C3361" t="n">
        <v>5.29</v>
      </c>
    </row>
    <row r="3362">
      <c r="A3362" s="28" t="n">
        <v>24432</v>
      </c>
      <c r="B3362" t="n">
        <v>5.17</v>
      </c>
      <c r="C3362" t="n">
        <v>5.21</v>
      </c>
    </row>
    <row r="3363">
      <c r="A3363" s="28" t="n">
        <v>24433</v>
      </c>
      <c r="B3363" t="n">
        <v>5.2</v>
      </c>
      <c r="C3363" t="n">
        <v>5.28</v>
      </c>
    </row>
    <row r="3364">
      <c r="A3364" s="28" t="n">
        <v>24434</v>
      </c>
      <c r="B3364" t="n">
        <v>5.22</v>
      </c>
      <c r="C3364" t="n">
        <v>5.28</v>
      </c>
    </row>
    <row r="3365">
      <c r="A3365" s="28" t="n">
        <v>24435</v>
      </c>
      <c r="B3365" t="n">
        <v>0</v>
      </c>
      <c r="C3365" t="n">
        <v>0</v>
      </c>
    </row>
    <row r="3366">
      <c r="A3366" s="28" t="n">
        <v>24436</v>
      </c>
      <c r="B3366" t="n">
        <v>5.23</v>
      </c>
      <c r="C3366" t="n">
        <v>5.27</v>
      </c>
    </row>
    <row r="3367">
      <c r="A3367" s="28" t="n">
        <v>24439</v>
      </c>
      <c r="B3367" t="n">
        <v>5.19</v>
      </c>
      <c r="C3367" t="n">
        <v>5.2</v>
      </c>
    </row>
    <row r="3368">
      <c r="A3368" s="28" t="n">
        <v>24440</v>
      </c>
      <c r="B3368" t="n">
        <v>5.15</v>
      </c>
      <c r="C3368" t="n">
        <v>5.19</v>
      </c>
    </row>
    <row r="3369">
      <c r="A3369" s="28" t="n">
        <v>24441</v>
      </c>
      <c r="B3369" t="n">
        <v>5.12</v>
      </c>
      <c r="C3369" t="n">
        <v>5.16</v>
      </c>
    </row>
    <row r="3370">
      <c r="A3370" s="28" t="n">
        <v>24442</v>
      </c>
      <c r="B3370" t="n">
        <v>5.09</v>
      </c>
      <c r="C3370" t="n">
        <v>5.16</v>
      </c>
    </row>
    <row r="3371">
      <c r="A3371" s="28" t="n">
        <v>24443</v>
      </c>
      <c r="B3371" t="n">
        <v>5.03</v>
      </c>
      <c r="C3371" t="n">
        <v>5.16</v>
      </c>
    </row>
    <row r="3372">
      <c r="A3372" s="28" t="n">
        <v>24446</v>
      </c>
      <c r="B3372" t="n">
        <v>5.06</v>
      </c>
      <c r="C3372" t="n">
        <v>5.17</v>
      </c>
    </row>
    <row r="3373">
      <c r="A3373" s="28" t="n">
        <v>24447</v>
      </c>
      <c r="B3373" t="n">
        <v>5.07</v>
      </c>
      <c r="C3373" t="n">
        <v>5.15</v>
      </c>
    </row>
    <row r="3374">
      <c r="A3374" s="28" t="n">
        <v>24448</v>
      </c>
      <c r="B3374" t="n">
        <v>5.07</v>
      </c>
      <c r="C3374" t="n">
        <v>5.19</v>
      </c>
    </row>
    <row r="3375">
      <c r="A3375" s="28" t="n">
        <v>24449</v>
      </c>
      <c r="B3375" t="n">
        <v>5.1</v>
      </c>
      <c r="C3375" t="n">
        <v>5.18</v>
      </c>
    </row>
    <row r="3376">
      <c r="A3376" s="28" t="n">
        <v>24450</v>
      </c>
      <c r="B3376" t="n">
        <v>5.05</v>
      </c>
      <c r="C3376" t="n">
        <v>5.11</v>
      </c>
    </row>
    <row r="3377">
      <c r="A3377" s="28" t="n">
        <v>24453</v>
      </c>
      <c r="B3377" t="n">
        <v>4.93</v>
      </c>
      <c r="C3377" t="n">
        <v>5.03</v>
      </c>
    </row>
    <row r="3378">
      <c r="A3378" s="28" t="n">
        <v>24454</v>
      </c>
      <c r="B3378" t="n">
        <v>4.86</v>
      </c>
      <c r="C3378" t="n">
        <v>5.04</v>
      </c>
    </row>
    <row r="3379">
      <c r="A3379" s="28" t="n">
        <v>24455</v>
      </c>
      <c r="B3379" t="n">
        <v>4.83</v>
      </c>
      <c r="C3379" t="n">
        <v>5.01</v>
      </c>
    </row>
    <row r="3380">
      <c r="A3380" s="28" t="n">
        <v>24456</v>
      </c>
      <c r="B3380" t="n">
        <v>4.76</v>
      </c>
      <c r="C3380" t="n">
        <v>4.92</v>
      </c>
    </row>
    <row r="3381">
      <c r="A3381" s="28" t="n">
        <v>24457</v>
      </c>
      <c r="B3381" t="n">
        <v>4.78</v>
      </c>
      <c r="C3381" t="n">
        <v>4.85</v>
      </c>
    </row>
    <row r="3382">
      <c r="A3382" s="28" t="n">
        <v>24460</v>
      </c>
      <c r="B3382" t="n">
        <v>4.72</v>
      </c>
      <c r="C3382" t="n">
        <v>4.85</v>
      </c>
    </row>
    <row r="3383">
      <c r="A3383" s="28" t="n">
        <v>24461</v>
      </c>
      <c r="B3383" t="n">
        <v>4.69</v>
      </c>
      <c r="C3383" t="n">
        <v>4.82</v>
      </c>
    </row>
    <row r="3384">
      <c r="A3384" s="28" t="n">
        <v>24462</v>
      </c>
      <c r="B3384" t="n">
        <v>4.66</v>
      </c>
      <c r="C3384" t="n">
        <v>4.82</v>
      </c>
    </row>
    <row r="3385">
      <c r="A3385" s="28" t="n">
        <v>24463</v>
      </c>
      <c r="B3385" t="n">
        <v>4.68</v>
      </c>
      <c r="C3385" t="n">
        <v>4.81</v>
      </c>
    </row>
    <row r="3386">
      <c r="A3386" s="28" t="n">
        <v>24464</v>
      </c>
      <c r="B3386" t="n">
        <v>4.67</v>
      </c>
      <c r="C3386" t="n">
        <v>4.78</v>
      </c>
    </row>
    <row r="3387">
      <c r="A3387" s="28" t="n">
        <v>24467</v>
      </c>
      <c r="B3387" t="n">
        <v>0</v>
      </c>
      <c r="C3387" t="n">
        <v>0</v>
      </c>
    </row>
    <row r="3388">
      <c r="A3388" s="28" t="n">
        <v>24468</v>
      </c>
      <c r="B3388" t="n">
        <v>4.71</v>
      </c>
      <c r="C3388" t="n">
        <v>4.78</v>
      </c>
    </row>
    <row r="3389">
      <c r="A3389" s="28" t="n">
        <v>24469</v>
      </c>
      <c r="B3389" t="n">
        <v>4.64</v>
      </c>
      <c r="C3389" t="n">
        <v>4.8</v>
      </c>
    </row>
    <row r="3390">
      <c r="A3390" s="28" t="n">
        <v>24470</v>
      </c>
      <c r="B3390" t="n">
        <v>4.66</v>
      </c>
      <c r="C3390" t="n">
        <v>4.82</v>
      </c>
    </row>
    <row r="3391">
      <c r="A3391" s="28" t="n">
        <v>24471</v>
      </c>
      <c r="B3391" t="n">
        <v>4.64</v>
      </c>
      <c r="C3391" t="n">
        <v>4.81</v>
      </c>
    </row>
    <row r="3392">
      <c r="A3392" s="28" t="n">
        <v>24474</v>
      </c>
      <c r="B3392" t="n">
        <v>0</v>
      </c>
      <c r="C3392" t="n">
        <v>0</v>
      </c>
    </row>
    <row r="3393">
      <c r="A3393" s="28" t="n">
        <v>24475</v>
      </c>
      <c r="B3393" t="n">
        <v>4.69</v>
      </c>
      <c r="C3393" t="n">
        <v>4.84</v>
      </c>
    </row>
    <row r="3394">
      <c r="A3394" s="28" t="n">
        <v>24476</v>
      </c>
      <c r="B3394" t="n">
        <v>4.65</v>
      </c>
      <c r="C3394" t="n">
        <v>4.81</v>
      </c>
    </row>
    <row r="3395">
      <c r="A3395" s="28" t="n">
        <v>24477</v>
      </c>
      <c r="B3395" t="n">
        <v>4.63</v>
      </c>
      <c r="C3395" t="n">
        <v>4.78</v>
      </c>
    </row>
    <row r="3396">
      <c r="A3396" s="28" t="n">
        <v>24478</v>
      </c>
      <c r="B3396" t="n">
        <v>4.64</v>
      </c>
      <c r="C3396" t="n">
        <v>4.78</v>
      </c>
    </row>
    <row r="3397">
      <c r="A3397" s="28" t="n">
        <v>24481</v>
      </c>
      <c r="B3397" t="n">
        <v>4.71</v>
      </c>
      <c r="C3397" t="n">
        <v>4.79</v>
      </c>
    </row>
    <row r="3398">
      <c r="A3398" s="28" t="n">
        <v>24482</v>
      </c>
      <c r="B3398" t="n">
        <v>4.69</v>
      </c>
      <c r="C3398" t="n">
        <v>4.85</v>
      </c>
    </row>
    <row r="3399">
      <c r="A3399" s="28" t="n">
        <v>24483</v>
      </c>
      <c r="B3399" t="n">
        <v>4.54</v>
      </c>
      <c r="C3399" t="n">
        <v>4.79</v>
      </c>
    </row>
    <row r="3400">
      <c r="A3400" s="28" t="n">
        <v>24484</v>
      </c>
      <c r="B3400" t="n">
        <v>4.55</v>
      </c>
      <c r="C3400" t="n">
        <v>4.83</v>
      </c>
    </row>
    <row r="3401">
      <c r="A3401" s="28" t="n">
        <v>24485</v>
      </c>
      <c r="B3401" t="n">
        <v>4.51</v>
      </c>
      <c r="C3401" t="n">
        <v>4.79</v>
      </c>
    </row>
    <row r="3402">
      <c r="A3402" s="28" t="n">
        <v>24488</v>
      </c>
      <c r="B3402" t="n">
        <v>4.49</v>
      </c>
      <c r="C3402" t="n">
        <v>4.72</v>
      </c>
    </row>
    <row r="3403">
      <c r="A3403" s="28" t="n">
        <v>24489</v>
      </c>
      <c r="B3403" t="n">
        <v>4.51</v>
      </c>
      <c r="C3403" t="n">
        <v>4.69</v>
      </c>
    </row>
    <row r="3404">
      <c r="A3404" s="28" t="n">
        <v>24490</v>
      </c>
      <c r="B3404" t="n">
        <v>4.53</v>
      </c>
      <c r="C3404" t="n">
        <v>4.7</v>
      </c>
    </row>
    <row r="3405">
      <c r="A3405" s="28" t="n">
        <v>24491</v>
      </c>
      <c r="B3405" t="n">
        <v>4.58</v>
      </c>
      <c r="C3405" t="n">
        <v>4.72</v>
      </c>
    </row>
    <row r="3406">
      <c r="A3406" s="28" t="n">
        <v>24492</v>
      </c>
      <c r="B3406" t="n">
        <v>4.6</v>
      </c>
      <c r="C3406" t="n">
        <v>4.71</v>
      </c>
    </row>
    <row r="3407">
      <c r="A3407" s="28" t="n">
        <v>24495</v>
      </c>
      <c r="B3407" t="n">
        <v>4.6</v>
      </c>
      <c r="C3407" t="n">
        <v>4.68</v>
      </c>
    </row>
    <row r="3408">
      <c r="A3408" s="28" t="n">
        <v>24496</v>
      </c>
      <c r="B3408" t="n">
        <v>4.65</v>
      </c>
      <c r="C3408" t="n">
        <v>4.69</v>
      </c>
    </row>
    <row r="3409">
      <c r="A3409" s="28" t="n">
        <v>24497</v>
      </c>
      <c r="B3409" t="n">
        <v>4.62</v>
      </c>
      <c r="C3409" t="n">
        <v>4.7</v>
      </c>
    </row>
    <row r="3410">
      <c r="A3410" s="28" t="n">
        <v>24498</v>
      </c>
      <c r="B3410" t="n">
        <v>4.5</v>
      </c>
      <c r="C3410" t="n">
        <v>4.64</v>
      </c>
    </row>
    <row r="3411">
      <c r="A3411" s="28" t="n">
        <v>24499</v>
      </c>
      <c r="B3411" t="n">
        <v>4.47</v>
      </c>
      <c r="C3411" t="n">
        <v>4.59</v>
      </c>
    </row>
    <row r="3412">
      <c r="A3412" s="28" t="n">
        <v>24502</v>
      </c>
      <c r="B3412" t="n">
        <v>4.48</v>
      </c>
      <c r="C3412" t="n">
        <v>4.51</v>
      </c>
    </row>
    <row r="3413">
      <c r="A3413" s="28" t="n">
        <v>24503</v>
      </c>
      <c r="B3413" t="n">
        <v>4.52</v>
      </c>
      <c r="C3413" t="n">
        <v>4.51</v>
      </c>
    </row>
    <row r="3414">
      <c r="A3414" s="28" t="n">
        <v>24504</v>
      </c>
      <c r="B3414" t="n">
        <v>4.52</v>
      </c>
      <c r="C3414" t="n">
        <v>4.5</v>
      </c>
    </row>
    <row r="3415">
      <c r="A3415" s="28" t="n">
        <v>24505</v>
      </c>
      <c r="B3415" t="n">
        <v>4.51</v>
      </c>
      <c r="C3415" t="n">
        <v>4.47</v>
      </c>
    </row>
    <row r="3416">
      <c r="A3416" s="28" t="n">
        <v>24506</v>
      </c>
      <c r="B3416" t="n">
        <v>4.52</v>
      </c>
      <c r="C3416" t="n">
        <v>4.46</v>
      </c>
    </row>
    <row r="3417">
      <c r="A3417" s="28" t="n">
        <v>24509</v>
      </c>
      <c r="B3417" t="n">
        <v>4.53</v>
      </c>
      <c r="C3417" t="n">
        <v>4.53</v>
      </c>
    </row>
    <row r="3418">
      <c r="A3418" s="28" t="n">
        <v>24510</v>
      </c>
      <c r="B3418" t="n">
        <v>4.54</v>
      </c>
      <c r="C3418" t="n">
        <v>4.55</v>
      </c>
    </row>
    <row r="3419">
      <c r="A3419" s="28" t="n">
        <v>24511</v>
      </c>
      <c r="B3419" t="n">
        <v>4.54</v>
      </c>
      <c r="C3419" t="n">
        <v>4.53</v>
      </c>
    </row>
    <row r="3420">
      <c r="A3420" s="28" t="n">
        <v>24512</v>
      </c>
      <c r="B3420" t="n">
        <v>4.53</v>
      </c>
      <c r="C3420" t="n">
        <v>4.52</v>
      </c>
    </row>
    <row r="3421">
      <c r="A3421" s="28" t="n">
        <v>24513</v>
      </c>
      <c r="B3421" t="n">
        <v>4.59</v>
      </c>
      <c r="C3421" t="n">
        <v>4.56</v>
      </c>
    </row>
    <row r="3422">
      <c r="A3422" s="28" t="n">
        <v>24516</v>
      </c>
      <c r="B3422" t="n">
        <v>0</v>
      </c>
      <c r="C3422" t="n">
        <v>0</v>
      </c>
    </row>
    <row r="3423">
      <c r="A3423" s="28" t="n">
        <v>24517</v>
      </c>
      <c r="B3423" t="n">
        <v>4.64</v>
      </c>
      <c r="C3423" t="n">
        <v>4.6</v>
      </c>
    </row>
    <row r="3424">
      <c r="A3424" s="28" t="n">
        <v>24518</v>
      </c>
      <c r="B3424" t="n">
        <v>4.69</v>
      </c>
      <c r="C3424" t="n">
        <v>4.62</v>
      </c>
    </row>
    <row r="3425">
      <c r="A3425" s="28" t="n">
        <v>24519</v>
      </c>
      <c r="B3425" t="n">
        <v>4.67</v>
      </c>
      <c r="C3425" t="n">
        <v>4.61</v>
      </c>
    </row>
    <row r="3426">
      <c r="A3426" s="28" t="n">
        <v>24520</v>
      </c>
      <c r="B3426" t="n">
        <v>4.68</v>
      </c>
      <c r="C3426" t="n">
        <v>4.62</v>
      </c>
    </row>
    <row r="3427">
      <c r="A3427" s="28" t="n">
        <v>24523</v>
      </c>
      <c r="B3427" t="n">
        <v>4.7</v>
      </c>
      <c r="C3427" t="n">
        <v>4.6</v>
      </c>
    </row>
    <row r="3428">
      <c r="A3428" s="28" t="n">
        <v>24524</v>
      </c>
      <c r="B3428" t="n">
        <v>4.71</v>
      </c>
      <c r="C3428" t="n">
        <v>4.62</v>
      </c>
    </row>
    <row r="3429">
      <c r="A3429" s="28" t="n">
        <v>24525</v>
      </c>
      <c r="B3429" t="n">
        <v>0</v>
      </c>
      <c r="C3429" t="n">
        <v>0</v>
      </c>
    </row>
    <row r="3430">
      <c r="A3430" s="28" t="n">
        <v>24526</v>
      </c>
      <c r="B3430" t="n">
        <v>4.74</v>
      </c>
      <c r="C3430" t="n">
        <v>4.64</v>
      </c>
    </row>
    <row r="3431">
      <c r="A3431" s="28" t="n">
        <v>24527</v>
      </c>
      <c r="B3431" t="n">
        <v>4.73</v>
      </c>
      <c r="C3431" t="n">
        <v>4.59</v>
      </c>
    </row>
    <row r="3432">
      <c r="A3432" s="28" t="n">
        <v>24530</v>
      </c>
      <c r="B3432" t="n">
        <v>4.72</v>
      </c>
      <c r="C3432" t="n">
        <v>4.54</v>
      </c>
    </row>
    <row r="3433">
      <c r="A3433" s="28" t="n">
        <v>24531</v>
      </c>
      <c r="B3433" t="n">
        <v>4.72</v>
      </c>
      <c r="C3433" t="n">
        <v>4.54</v>
      </c>
    </row>
    <row r="3434">
      <c r="A3434" s="28" t="n">
        <v>24532</v>
      </c>
      <c r="B3434" t="n">
        <v>4.66</v>
      </c>
      <c r="C3434" t="n">
        <v>4.45</v>
      </c>
    </row>
    <row r="3435">
      <c r="A3435" s="28" t="n">
        <v>24533</v>
      </c>
      <c r="B3435" t="n">
        <v>4.63</v>
      </c>
      <c r="C3435" t="n">
        <v>4.41</v>
      </c>
    </row>
    <row r="3436">
      <c r="A3436" s="28" t="n">
        <v>24534</v>
      </c>
      <c r="B3436" t="n">
        <v>4.62</v>
      </c>
      <c r="C3436" t="n">
        <v>4.37</v>
      </c>
    </row>
    <row r="3437">
      <c r="A3437" s="28" t="n">
        <v>24537</v>
      </c>
      <c r="B3437" t="n">
        <v>4.61</v>
      </c>
      <c r="C3437" t="n">
        <v>4.36</v>
      </c>
    </row>
    <row r="3438">
      <c r="A3438" s="28" t="n">
        <v>24538</v>
      </c>
      <c r="B3438" t="n">
        <v>4.6</v>
      </c>
      <c r="C3438" t="n">
        <v>4.38</v>
      </c>
    </row>
    <row r="3439">
      <c r="A3439" s="28" t="n">
        <v>24539</v>
      </c>
      <c r="B3439" t="n">
        <v>4.61</v>
      </c>
      <c r="C3439" t="n">
        <v>4.39</v>
      </c>
    </row>
    <row r="3440">
      <c r="A3440" s="28" t="n">
        <v>24540</v>
      </c>
      <c r="B3440" t="n">
        <v>4.57</v>
      </c>
      <c r="C3440" t="n">
        <v>4.37</v>
      </c>
    </row>
    <row r="3441">
      <c r="A3441" s="28" t="n">
        <v>24541</v>
      </c>
      <c r="B3441" t="n">
        <v>4.58</v>
      </c>
      <c r="C3441" t="n">
        <v>4.36</v>
      </c>
    </row>
    <row r="3442">
      <c r="A3442" s="28" t="n">
        <v>24544</v>
      </c>
      <c r="B3442" t="n">
        <v>4.56</v>
      </c>
      <c r="C3442" t="n">
        <v>4.33</v>
      </c>
    </row>
    <row r="3443">
      <c r="A3443" s="28" t="n">
        <v>24545</v>
      </c>
      <c r="B3443" t="n">
        <v>4.53</v>
      </c>
      <c r="C3443" t="n">
        <v>4.31</v>
      </c>
    </row>
    <row r="3444">
      <c r="A3444" s="28" t="n">
        <v>24546</v>
      </c>
      <c r="B3444" t="n">
        <v>4.49</v>
      </c>
      <c r="C3444" t="n">
        <v>4.28</v>
      </c>
    </row>
    <row r="3445">
      <c r="A3445" s="28" t="n">
        <v>24547</v>
      </c>
      <c r="B3445" t="n">
        <v>4.45</v>
      </c>
      <c r="C3445" t="n">
        <v>4.24</v>
      </c>
    </row>
    <row r="3446">
      <c r="A3446" s="28" t="n">
        <v>24548</v>
      </c>
      <c r="B3446" t="n">
        <v>4.47</v>
      </c>
      <c r="C3446" t="n">
        <v>4.24</v>
      </c>
    </row>
    <row r="3447">
      <c r="A3447" s="28" t="n">
        <v>24551</v>
      </c>
      <c r="B3447" t="n">
        <v>4.45</v>
      </c>
      <c r="C3447" t="n">
        <v>4.1</v>
      </c>
    </row>
    <row r="3448">
      <c r="A3448" s="28" t="n">
        <v>24552</v>
      </c>
      <c r="B3448" t="n">
        <v>4.51</v>
      </c>
      <c r="C3448" t="n">
        <v>4.16</v>
      </c>
    </row>
    <row r="3449">
      <c r="A3449" s="28" t="n">
        <v>24553</v>
      </c>
      <c r="B3449" t="n">
        <v>4.52</v>
      </c>
      <c r="C3449" t="n">
        <v>4.17</v>
      </c>
    </row>
    <row r="3450">
      <c r="A3450" s="28" t="n">
        <v>24554</v>
      </c>
      <c r="B3450" t="n">
        <v>4.5</v>
      </c>
      <c r="C3450" t="n">
        <v>4.15</v>
      </c>
    </row>
    <row r="3451">
      <c r="A3451" s="28" t="n">
        <v>24555</v>
      </c>
      <c r="B3451" t="n">
        <v>0</v>
      </c>
      <c r="C3451" t="n">
        <v>0</v>
      </c>
    </row>
    <row r="3452">
      <c r="A3452" s="28" t="n">
        <v>24558</v>
      </c>
      <c r="B3452" t="n">
        <v>4.52</v>
      </c>
      <c r="C3452" t="n">
        <v>4.17</v>
      </c>
    </row>
    <row r="3453">
      <c r="A3453" s="28" t="n">
        <v>24559</v>
      </c>
      <c r="B3453" t="n">
        <v>4.52</v>
      </c>
      <c r="C3453" t="n">
        <v>4.17</v>
      </c>
    </row>
    <row r="3454">
      <c r="A3454" s="28" t="n">
        <v>24560</v>
      </c>
      <c r="B3454" t="n">
        <v>4.52</v>
      </c>
      <c r="C3454" t="n">
        <v>4.17</v>
      </c>
    </row>
    <row r="3455">
      <c r="A3455" s="28" t="n">
        <v>24561</v>
      </c>
      <c r="B3455" t="n">
        <v>4.5</v>
      </c>
      <c r="C3455" t="n">
        <v>4.11</v>
      </c>
    </row>
    <row r="3456">
      <c r="A3456" s="28" t="n">
        <v>24562</v>
      </c>
      <c r="B3456" t="n">
        <v>4.5</v>
      </c>
      <c r="C3456" t="n">
        <v>4.01</v>
      </c>
    </row>
    <row r="3457">
      <c r="A3457" s="28" t="n">
        <v>24565</v>
      </c>
      <c r="B3457" t="n">
        <v>4.5</v>
      </c>
      <c r="C3457" t="n">
        <v>3.97</v>
      </c>
    </row>
    <row r="3458">
      <c r="A3458" s="28" t="n">
        <v>24566</v>
      </c>
      <c r="B3458" t="n">
        <v>4.49</v>
      </c>
      <c r="C3458" t="n">
        <v>4</v>
      </c>
    </row>
    <row r="3459">
      <c r="A3459" s="28" t="n">
        <v>24567</v>
      </c>
      <c r="B3459" t="n">
        <v>4.5</v>
      </c>
      <c r="C3459" t="n">
        <v>3.98</v>
      </c>
    </row>
    <row r="3460">
      <c r="A3460" s="28" t="n">
        <v>24568</v>
      </c>
      <c r="B3460" t="n">
        <v>4.49</v>
      </c>
      <c r="C3460" t="n">
        <v>3.95</v>
      </c>
    </row>
    <row r="3461">
      <c r="A3461" s="28" t="n">
        <v>24569</v>
      </c>
      <c r="B3461" t="n">
        <v>4.48</v>
      </c>
      <c r="C3461" t="n">
        <v>3.87</v>
      </c>
    </row>
    <row r="3462">
      <c r="A3462" s="28" t="n">
        <v>24572</v>
      </c>
      <c r="B3462" t="n">
        <v>4.5</v>
      </c>
      <c r="C3462" t="n">
        <v>3.81</v>
      </c>
    </row>
    <row r="3463">
      <c r="A3463" s="28" t="n">
        <v>24573</v>
      </c>
      <c r="B3463" t="n">
        <v>4.51</v>
      </c>
      <c r="C3463" t="n">
        <v>3.82</v>
      </c>
    </row>
    <row r="3464">
      <c r="A3464" s="28" t="n">
        <v>24574</v>
      </c>
      <c r="B3464" t="n">
        <v>4.51</v>
      </c>
      <c r="C3464" t="n">
        <v>3.84</v>
      </c>
    </row>
    <row r="3465">
      <c r="A3465" s="28" t="n">
        <v>24575</v>
      </c>
      <c r="B3465" t="n">
        <v>4.54</v>
      </c>
      <c r="C3465" t="n">
        <v>3.87</v>
      </c>
    </row>
    <row r="3466">
      <c r="A3466" s="28" t="n">
        <v>24576</v>
      </c>
      <c r="B3466" t="n">
        <v>4.56</v>
      </c>
      <c r="C3466" t="n">
        <v>3.89</v>
      </c>
    </row>
    <row r="3467">
      <c r="A3467" s="28" t="n">
        <v>24579</v>
      </c>
      <c r="B3467" t="n">
        <v>4.61</v>
      </c>
      <c r="C3467" t="n">
        <v>3.89</v>
      </c>
    </row>
    <row r="3468">
      <c r="A3468" s="28" t="n">
        <v>24580</v>
      </c>
      <c r="B3468" t="n">
        <v>4.63</v>
      </c>
      <c r="C3468" t="n">
        <v>3.88</v>
      </c>
    </row>
    <row r="3469">
      <c r="A3469" s="28" t="n">
        <v>24581</v>
      </c>
      <c r="B3469" t="n">
        <v>4.63</v>
      </c>
      <c r="C3469" t="n">
        <v>3.82</v>
      </c>
    </row>
    <row r="3470">
      <c r="A3470" s="28" t="n">
        <v>24582</v>
      </c>
      <c r="B3470" t="n">
        <v>4.63</v>
      </c>
      <c r="C3470" t="n">
        <v>3.79</v>
      </c>
    </row>
    <row r="3471">
      <c r="A3471" s="28" t="n">
        <v>24583</v>
      </c>
      <c r="B3471" t="n">
        <v>4.66</v>
      </c>
      <c r="C3471" t="n">
        <v>3.75</v>
      </c>
    </row>
    <row r="3472">
      <c r="A3472" s="28" t="n">
        <v>24586</v>
      </c>
      <c r="B3472" t="n">
        <v>4.68</v>
      </c>
      <c r="C3472" t="n">
        <v>3.73</v>
      </c>
    </row>
    <row r="3473">
      <c r="A3473" s="28" t="n">
        <v>24587</v>
      </c>
      <c r="B3473" t="n">
        <v>4.71</v>
      </c>
      <c r="C3473" t="n">
        <v>3.73</v>
      </c>
    </row>
    <row r="3474">
      <c r="A3474" s="28" t="n">
        <v>24588</v>
      </c>
      <c r="B3474" t="n">
        <v>4.73</v>
      </c>
      <c r="C3474" t="n">
        <v>3.72</v>
      </c>
    </row>
    <row r="3475">
      <c r="A3475" s="28" t="n">
        <v>24589</v>
      </c>
      <c r="B3475" t="n">
        <v>4.73</v>
      </c>
      <c r="C3475" t="n">
        <v>3.71</v>
      </c>
    </row>
    <row r="3476">
      <c r="A3476" s="28" t="n">
        <v>24590</v>
      </c>
      <c r="B3476" t="n">
        <v>4.78</v>
      </c>
      <c r="C3476" t="n">
        <v>3.73</v>
      </c>
    </row>
    <row r="3477">
      <c r="A3477" s="28" t="n">
        <v>24593</v>
      </c>
      <c r="B3477" t="n">
        <v>4.77</v>
      </c>
      <c r="C3477" t="n">
        <v>3.75</v>
      </c>
    </row>
    <row r="3478">
      <c r="A3478" s="28" t="n">
        <v>24594</v>
      </c>
      <c r="B3478" t="n">
        <v>4.75</v>
      </c>
      <c r="C3478" t="n">
        <v>3.74</v>
      </c>
    </row>
    <row r="3479">
      <c r="A3479" s="28" t="n">
        <v>24595</v>
      </c>
      <c r="B3479" t="n">
        <v>4.75</v>
      </c>
      <c r="C3479" t="n">
        <v>3.74</v>
      </c>
    </row>
    <row r="3480">
      <c r="A3480" s="28" t="n">
        <v>24596</v>
      </c>
      <c r="B3480" t="n">
        <v>4.76</v>
      </c>
      <c r="C3480" t="n">
        <v>3.69</v>
      </c>
    </row>
    <row r="3481">
      <c r="A3481" s="28" t="n">
        <v>24597</v>
      </c>
      <c r="B3481" t="n">
        <v>4.77</v>
      </c>
      <c r="C3481" t="n">
        <v>3.69</v>
      </c>
    </row>
    <row r="3482">
      <c r="A3482" s="28" t="n">
        <v>24600</v>
      </c>
      <c r="B3482" t="n">
        <v>4.83</v>
      </c>
      <c r="C3482" t="n">
        <v>3.65</v>
      </c>
    </row>
    <row r="3483">
      <c r="A3483" s="28" t="n">
        <v>24601</v>
      </c>
      <c r="B3483" t="n">
        <v>4.87</v>
      </c>
      <c r="C3483" t="n">
        <v>3.66</v>
      </c>
    </row>
    <row r="3484">
      <c r="A3484" s="28" t="n">
        <v>24602</v>
      </c>
      <c r="B3484" t="n">
        <v>4.87</v>
      </c>
      <c r="C3484" t="n">
        <v>3.67</v>
      </c>
    </row>
    <row r="3485">
      <c r="A3485" s="28" t="n">
        <v>24603</v>
      </c>
      <c r="B3485" t="n">
        <v>4.84</v>
      </c>
      <c r="C3485" t="n">
        <v>3.65</v>
      </c>
    </row>
    <row r="3486">
      <c r="A3486" s="28" t="n">
        <v>24604</v>
      </c>
      <c r="B3486" t="n">
        <v>4.82</v>
      </c>
      <c r="C3486" t="n">
        <v>3.65</v>
      </c>
    </row>
    <row r="3487">
      <c r="A3487" s="28" t="n">
        <v>24607</v>
      </c>
      <c r="B3487" t="n">
        <v>4.86</v>
      </c>
      <c r="C3487" t="n">
        <v>3.6</v>
      </c>
    </row>
    <row r="3488">
      <c r="A3488" s="28" t="n">
        <v>24608</v>
      </c>
      <c r="B3488" t="n">
        <v>4.87</v>
      </c>
      <c r="C3488" t="n">
        <v>3.63</v>
      </c>
    </row>
    <row r="3489">
      <c r="A3489" s="28" t="n">
        <v>24609</v>
      </c>
      <c r="B3489" t="n">
        <v>4.88</v>
      </c>
      <c r="C3489" t="n">
        <v>3.63</v>
      </c>
    </row>
    <row r="3490">
      <c r="A3490" s="28" t="n">
        <v>24610</v>
      </c>
      <c r="B3490" t="n">
        <v>4.88</v>
      </c>
      <c r="C3490" t="n">
        <v>3.55</v>
      </c>
    </row>
    <row r="3491">
      <c r="A3491" s="28" t="n">
        <v>24611</v>
      </c>
      <c r="B3491" t="n">
        <v>4.89</v>
      </c>
      <c r="C3491" t="n">
        <v>3.54</v>
      </c>
    </row>
    <row r="3492">
      <c r="A3492" s="28" t="n">
        <v>24614</v>
      </c>
      <c r="B3492" t="n">
        <v>4.94</v>
      </c>
      <c r="C3492" t="n">
        <v>3.5</v>
      </c>
    </row>
    <row r="3493">
      <c r="A3493" s="28" t="n">
        <v>24615</v>
      </c>
      <c r="B3493" t="n">
        <v>4.94</v>
      </c>
      <c r="C3493" t="n">
        <v>3.53</v>
      </c>
    </row>
    <row r="3494">
      <c r="A3494" s="28" t="n">
        <v>24616</v>
      </c>
      <c r="B3494" t="n">
        <v>4.93</v>
      </c>
      <c r="C3494" t="n">
        <v>3.51</v>
      </c>
    </row>
    <row r="3495">
      <c r="A3495" s="28" t="n">
        <v>24617</v>
      </c>
      <c r="B3495" t="n">
        <v>4.92</v>
      </c>
      <c r="C3495" t="n">
        <v>3.49</v>
      </c>
    </row>
    <row r="3496">
      <c r="A3496" s="28" t="n">
        <v>24618</v>
      </c>
      <c r="B3496" t="n">
        <v>4.86</v>
      </c>
      <c r="C3496" t="n">
        <v>3.48</v>
      </c>
    </row>
    <row r="3497">
      <c r="A3497" s="28" t="n">
        <v>24621</v>
      </c>
      <c r="B3497" t="n">
        <v>4.84</v>
      </c>
      <c r="C3497" t="n">
        <v>3.46</v>
      </c>
    </row>
    <row r="3498">
      <c r="A3498" s="28" t="n">
        <v>24622</v>
      </c>
      <c r="B3498" t="n">
        <v>0</v>
      </c>
      <c r="C3498" t="n">
        <v>0</v>
      </c>
    </row>
    <row r="3499">
      <c r="A3499" s="28" t="n">
        <v>24623</v>
      </c>
      <c r="B3499" t="n">
        <v>4.81</v>
      </c>
      <c r="C3499" t="n">
        <v>3.46</v>
      </c>
    </row>
    <row r="3500">
      <c r="A3500" s="28" t="n">
        <v>24624</v>
      </c>
      <c r="B3500" t="n">
        <v>4.81</v>
      </c>
      <c r="C3500" t="n">
        <v>3.4</v>
      </c>
    </row>
    <row r="3501">
      <c r="A3501" s="28" t="n">
        <v>24625</v>
      </c>
      <c r="B3501" t="n">
        <v>4.82</v>
      </c>
      <c r="C3501" t="n">
        <v>3.39</v>
      </c>
    </row>
    <row r="3502">
      <c r="A3502" s="28" t="n">
        <v>24628</v>
      </c>
      <c r="B3502" t="n">
        <v>4.85</v>
      </c>
      <c r="C3502" t="n">
        <v>3.37</v>
      </c>
    </row>
    <row r="3503">
      <c r="A3503" s="28" t="n">
        <v>24629</v>
      </c>
      <c r="B3503" t="n">
        <v>4.84</v>
      </c>
      <c r="C3503" t="n">
        <v>3.4</v>
      </c>
    </row>
    <row r="3504">
      <c r="A3504" s="28" t="n">
        <v>24630</v>
      </c>
      <c r="B3504" t="n">
        <v>4.84</v>
      </c>
      <c r="C3504" t="n">
        <v>3.41</v>
      </c>
    </row>
    <row r="3505">
      <c r="A3505" s="28" t="n">
        <v>24631</v>
      </c>
      <c r="B3505" t="n">
        <v>4.86</v>
      </c>
      <c r="C3505" t="n">
        <v>3.43</v>
      </c>
    </row>
    <row r="3506">
      <c r="A3506" s="28" t="n">
        <v>24632</v>
      </c>
      <c r="B3506" t="n">
        <v>4.89</v>
      </c>
      <c r="C3506" t="n">
        <v>3.45</v>
      </c>
    </row>
    <row r="3507">
      <c r="A3507" s="28" t="n">
        <v>24635</v>
      </c>
      <c r="B3507" t="n">
        <v>4.94</v>
      </c>
      <c r="C3507" t="n">
        <v>3.5</v>
      </c>
    </row>
    <row r="3508">
      <c r="A3508" s="28" t="n">
        <v>24636</v>
      </c>
      <c r="B3508" t="n">
        <v>4.95</v>
      </c>
      <c r="C3508" t="n">
        <v>3.55</v>
      </c>
    </row>
    <row r="3509">
      <c r="A3509" s="28" t="n">
        <v>24637</v>
      </c>
      <c r="B3509" t="n">
        <v>5.02</v>
      </c>
      <c r="C3509" t="n">
        <v>3.61</v>
      </c>
    </row>
    <row r="3510">
      <c r="A3510" s="28" t="n">
        <v>24638</v>
      </c>
      <c r="B3510" t="n">
        <v>5.02</v>
      </c>
      <c r="C3510" t="n">
        <v>3.59</v>
      </c>
    </row>
    <row r="3511">
      <c r="A3511" s="28" t="n">
        <v>24639</v>
      </c>
      <c r="B3511" t="n">
        <v>5.07</v>
      </c>
      <c r="C3511" t="n">
        <v>3.61</v>
      </c>
    </row>
    <row r="3512">
      <c r="A3512" s="28" t="n">
        <v>24642</v>
      </c>
      <c r="B3512" t="n">
        <v>5.07</v>
      </c>
      <c r="C3512" t="n">
        <v>3.58</v>
      </c>
    </row>
    <row r="3513">
      <c r="A3513" s="28" t="n">
        <v>24643</v>
      </c>
      <c r="B3513" t="n">
        <v>5.14</v>
      </c>
      <c r="C3513" t="n">
        <v>3.55</v>
      </c>
    </row>
    <row r="3514">
      <c r="A3514" s="28" t="n">
        <v>24644</v>
      </c>
      <c r="B3514" t="n">
        <v>5.14</v>
      </c>
      <c r="C3514" t="n">
        <v>3.49</v>
      </c>
    </row>
    <row r="3515">
      <c r="A3515" s="28" t="n">
        <v>24645</v>
      </c>
      <c r="B3515" t="n">
        <v>5.13</v>
      </c>
      <c r="C3515" t="n">
        <v>3.38</v>
      </c>
    </row>
    <row r="3516">
      <c r="A3516" s="28" t="n">
        <v>24646</v>
      </c>
      <c r="B3516" t="n">
        <v>5.14</v>
      </c>
      <c r="C3516" t="n">
        <v>3.33</v>
      </c>
    </row>
    <row r="3517">
      <c r="A3517" s="28" t="n">
        <v>24649</v>
      </c>
      <c r="B3517" t="n">
        <v>5.16</v>
      </c>
      <c r="C3517" t="n">
        <v>3.44</v>
      </c>
    </row>
    <row r="3518">
      <c r="A3518" s="28" t="n">
        <v>24650</v>
      </c>
      <c r="B3518" t="n">
        <v>5.21</v>
      </c>
      <c r="C3518" t="n">
        <v>3.67</v>
      </c>
    </row>
    <row r="3519">
      <c r="A3519" s="28" t="n">
        <v>24651</v>
      </c>
      <c r="B3519" t="n">
        <v>5.18</v>
      </c>
      <c r="C3519" t="n">
        <v>3.76</v>
      </c>
    </row>
    <row r="3520">
      <c r="A3520" s="28" t="n">
        <v>24652</v>
      </c>
      <c r="B3520" t="n">
        <v>5.2</v>
      </c>
      <c r="C3520" t="n">
        <v>3.88</v>
      </c>
    </row>
    <row r="3521">
      <c r="A3521" s="28" t="n">
        <v>24653</v>
      </c>
      <c r="B3521" t="n">
        <v>5.22</v>
      </c>
      <c r="C3521" t="n">
        <v>4</v>
      </c>
    </row>
    <row r="3522">
      <c r="A3522" s="28" t="n">
        <v>24656</v>
      </c>
      <c r="B3522" t="n">
        <v>5.22</v>
      </c>
      <c r="C3522" t="n">
        <v>4.1</v>
      </c>
    </row>
    <row r="3523">
      <c r="A3523" s="28" t="n">
        <v>24657</v>
      </c>
      <c r="B3523" t="n">
        <v>0</v>
      </c>
      <c r="C3523" t="n">
        <v>0</v>
      </c>
    </row>
    <row r="3524">
      <c r="A3524" s="28" t="n">
        <v>24658</v>
      </c>
      <c r="B3524" t="n">
        <v>5.17</v>
      </c>
      <c r="C3524" t="n">
        <v>4.29</v>
      </c>
    </row>
    <row r="3525">
      <c r="A3525" s="28" t="n">
        <v>24659</v>
      </c>
      <c r="B3525" t="n">
        <v>5.11</v>
      </c>
      <c r="C3525" t="n">
        <v>4.21</v>
      </c>
    </row>
    <row r="3526">
      <c r="A3526" s="28" t="n">
        <v>24660</v>
      </c>
      <c r="B3526" t="n">
        <v>5.15</v>
      </c>
      <c r="C3526" t="n">
        <v>4.21</v>
      </c>
    </row>
    <row r="3527">
      <c r="A3527" s="28" t="n">
        <v>24663</v>
      </c>
      <c r="B3527" t="n">
        <v>5.16</v>
      </c>
      <c r="C3527" t="n">
        <v>4.18</v>
      </c>
    </row>
    <row r="3528">
      <c r="A3528" s="28" t="n">
        <v>24664</v>
      </c>
      <c r="B3528" t="n">
        <v>5.09</v>
      </c>
      <c r="C3528" t="n">
        <v>4.22</v>
      </c>
    </row>
    <row r="3529">
      <c r="A3529" s="28" t="n">
        <v>24665</v>
      </c>
      <c r="B3529" t="n">
        <v>5.06</v>
      </c>
      <c r="C3529" t="n">
        <v>4.18</v>
      </c>
    </row>
    <row r="3530">
      <c r="A3530" s="28" t="n">
        <v>24666</v>
      </c>
      <c r="B3530" t="n">
        <v>5.08</v>
      </c>
      <c r="C3530" t="n">
        <v>4.16</v>
      </c>
    </row>
    <row r="3531">
      <c r="A3531" s="28" t="n">
        <v>24667</v>
      </c>
      <c r="B3531" t="n">
        <v>5.08</v>
      </c>
      <c r="C3531" t="n">
        <v>4.18</v>
      </c>
    </row>
    <row r="3532">
      <c r="A3532" s="28" t="n">
        <v>24670</v>
      </c>
      <c r="B3532" t="n">
        <v>5.09</v>
      </c>
      <c r="C3532" t="n">
        <v>4.17</v>
      </c>
    </row>
    <row r="3533">
      <c r="A3533" s="28" t="n">
        <v>24671</v>
      </c>
      <c r="B3533" t="n">
        <v>5.16</v>
      </c>
      <c r="C3533" t="n">
        <v>4.2</v>
      </c>
    </row>
    <row r="3534">
      <c r="A3534" s="28" t="n">
        <v>24672</v>
      </c>
      <c r="B3534" t="n">
        <v>5.18</v>
      </c>
      <c r="C3534" t="n">
        <v>4.19</v>
      </c>
    </row>
    <row r="3535">
      <c r="A3535" s="28" t="n">
        <v>24673</v>
      </c>
      <c r="B3535" t="n">
        <v>5.2</v>
      </c>
      <c r="C3535" t="n">
        <v>4.21</v>
      </c>
    </row>
    <row r="3536">
      <c r="A3536" s="28" t="n">
        <v>24674</v>
      </c>
      <c r="B3536" t="n">
        <v>5.2</v>
      </c>
      <c r="C3536" t="n">
        <v>4.22</v>
      </c>
    </row>
    <row r="3537">
      <c r="A3537" s="28" t="n">
        <v>24677</v>
      </c>
      <c r="B3537" t="n">
        <v>5.23</v>
      </c>
      <c r="C3537" t="n">
        <v>4.35</v>
      </c>
    </row>
    <row r="3538">
      <c r="A3538" s="28" t="n">
        <v>24678</v>
      </c>
      <c r="B3538" t="n">
        <v>5.23</v>
      </c>
      <c r="C3538" t="n">
        <v>4.32</v>
      </c>
    </row>
    <row r="3539">
      <c r="A3539" s="28" t="n">
        <v>24679</v>
      </c>
      <c r="B3539" t="n">
        <v>5.23</v>
      </c>
      <c r="C3539" t="n">
        <v>4.28</v>
      </c>
    </row>
    <row r="3540">
      <c r="A3540" s="28" t="n">
        <v>24680</v>
      </c>
      <c r="B3540" t="n">
        <v>5.2</v>
      </c>
      <c r="C3540" t="n">
        <v>4.17</v>
      </c>
    </row>
    <row r="3541">
      <c r="A3541" s="28" t="n">
        <v>24681</v>
      </c>
      <c r="B3541" t="n">
        <v>5.18</v>
      </c>
      <c r="C3541" t="n">
        <v>4.15</v>
      </c>
    </row>
    <row r="3542">
      <c r="A3542" s="28" t="n">
        <v>24684</v>
      </c>
      <c r="B3542" t="n">
        <v>5.16</v>
      </c>
      <c r="C3542" t="n">
        <v>4.12</v>
      </c>
    </row>
    <row r="3543">
      <c r="A3543" s="28" t="n">
        <v>24685</v>
      </c>
      <c r="B3543" t="n">
        <v>5.18</v>
      </c>
      <c r="C3543" t="n">
        <v>4.16</v>
      </c>
    </row>
    <row r="3544">
      <c r="A3544" s="28" t="n">
        <v>24686</v>
      </c>
      <c r="B3544" t="n">
        <v>5.21</v>
      </c>
      <c r="C3544" t="n">
        <v>4.18</v>
      </c>
    </row>
    <row r="3545">
      <c r="A3545" s="28" t="n">
        <v>24687</v>
      </c>
      <c r="B3545" t="n">
        <v>5.2</v>
      </c>
      <c r="C3545" t="n">
        <v>4.15</v>
      </c>
    </row>
    <row r="3546">
      <c r="A3546" s="28" t="n">
        <v>24688</v>
      </c>
      <c r="B3546" t="n">
        <v>5.26</v>
      </c>
      <c r="C3546" t="n">
        <v>4.19</v>
      </c>
    </row>
    <row r="3547">
      <c r="A3547" s="28" t="n">
        <v>24691</v>
      </c>
      <c r="B3547" t="n">
        <v>5.3</v>
      </c>
      <c r="C3547" t="n">
        <v>4.15</v>
      </c>
    </row>
    <row r="3548">
      <c r="A3548" s="28" t="n">
        <v>24692</v>
      </c>
      <c r="B3548" t="n">
        <v>5.28</v>
      </c>
      <c r="C3548" t="n">
        <v>4.2</v>
      </c>
    </row>
    <row r="3549">
      <c r="A3549" s="28" t="n">
        <v>24693</v>
      </c>
      <c r="B3549" t="n">
        <v>5.27</v>
      </c>
      <c r="C3549" t="n">
        <v>4.18</v>
      </c>
    </row>
    <row r="3550">
      <c r="A3550" s="28" t="n">
        <v>24694</v>
      </c>
      <c r="B3550" t="n">
        <v>5.28</v>
      </c>
      <c r="C3550" t="n">
        <v>4.17</v>
      </c>
    </row>
    <row r="3551">
      <c r="A3551" s="28" t="n">
        <v>24695</v>
      </c>
      <c r="B3551" t="n">
        <v>5.29</v>
      </c>
      <c r="C3551" t="n">
        <v>4.17</v>
      </c>
    </row>
    <row r="3552">
      <c r="A3552" s="28" t="n">
        <v>24698</v>
      </c>
      <c r="B3552" t="n">
        <v>5.29</v>
      </c>
      <c r="C3552" t="n">
        <v>4.16</v>
      </c>
    </row>
    <row r="3553">
      <c r="A3553" s="28" t="n">
        <v>24699</v>
      </c>
      <c r="B3553" t="n">
        <v>5.29</v>
      </c>
      <c r="C3553" t="n">
        <v>4.2</v>
      </c>
    </row>
    <row r="3554">
      <c r="A3554" s="28" t="n">
        <v>24700</v>
      </c>
      <c r="B3554" t="n">
        <v>5.28</v>
      </c>
      <c r="C3554" t="n">
        <v>4.21</v>
      </c>
    </row>
    <row r="3555">
      <c r="A3555" s="28" t="n">
        <v>24701</v>
      </c>
      <c r="B3555" t="n">
        <v>5.28</v>
      </c>
      <c r="C3555" t="n">
        <v>4.21</v>
      </c>
    </row>
    <row r="3556">
      <c r="A3556" s="28" t="n">
        <v>24702</v>
      </c>
      <c r="B3556" t="n">
        <v>5.28</v>
      </c>
      <c r="C3556" t="n">
        <v>4.25</v>
      </c>
    </row>
    <row r="3557">
      <c r="A3557" s="28" t="n">
        <v>24705</v>
      </c>
      <c r="B3557" t="n">
        <v>5.3</v>
      </c>
      <c r="C3557" t="n">
        <v>4.29</v>
      </c>
    </row>
    <row r="3558">
      <c r="A3558" s="28" t="n">
        <v>24706</v>
      </c>
      <c r="B3558" t="n">
        <v>5.3</v>
      </c>
      <c r="C3558" t="n">
        <v>4.36</v>
      </c>
    </row>
    <row r="3559">
      <c r="A3559" s="28" t="n">
        <v>24707</v>
      </c>
      <c r="B3559" t="n">
        <v>5.31</v>
      </c>
      <c r="C3559" t="n">
        <v>4.39</v>
      </c>
    </row>
    <row r="3560">
      <c r="A3560" s="28" t="n">
        <v>24708</v>
      </c>
      <c r="B3560" t="n">
        <v>5.31</v>
      </c>
      <c r="C3560" t="n">
        <v>4.37</v>
      </c>
    </row>
    <row r="3561">
      <c r="A3561" s="28" t="n">
        <v>24709</v>
      </c>
      <c r="B3561" t="n">
        <v>5.32</v>
      </c>
      <c r="C3561" t="n">
        <v>4.4</v>
      </c>
    </row>
    <row r="3562">
      <c r="A3562" s="28" t="n">
        <v>24712</v>
      </c>
      <c r="B3562" t="n">
        <v>5.29</v>
      </c>
      <c r="C3562" t="n">
        <v>4.45</v>
      </c>
    </row>
    <row r="3563">
      <c r="A3563" s="28" t="n">
        <v>24713</v>
      </c>
      <c r="B3563" t="n">
        <v>5.27</v>
      </c>
      <c r="C3563" t="n">
        <v>4.45</v>
      </c>
    </row>
    <row r="3564">
      <c r="A3564" s="28" t="n">
        <v>24714</v>
      </c>
      <c r="B3564" t="n">
        <v>5.28</v>
      </c>
      <c r="C3564" t="n">
        <v>4.44</v>
      </c>
    </row>
    <row r="3565">
      <c r="A3565" s="28" t="n">
        <v>24715</v>
      </c>
      <c r="B3565" t="n">
        <v>5.27</v>
      </c>
      <c r="C3565" t="n">
        <v>4.38</v>
      </c>
    </row>
    <row r="3566">
      <c r="A3566" s="28" t="n">
        <v>24716</v>
      </c>
      <c r="B3566" t="n">
        <v>5.25</v>
      </c>
      <c r="C3566" t="n">
        <v>4.34</v>
      </c>
    </row>
    <row r="3567">
      <c r="A3567" s="28" t="n">
        <v>24719</v>
      </c>
      <c r="B3567" t="n">
        <v>0</v>
      </c>
      <c r="C3567" t="n">
        <v>0</v>
      </c>
    </row>
    <row r="3568">
      <c r="A3568" s="28" t="n">
        <v>24720</v>
      </c>
      <c r="B3568" t="n">
        <v>5.22</v>
      </c>
      <c r="C3568" t="n">
        <v>4.29</v>
      </c>
    </row>
    <row r="3569">
      <c r="A3569" s="28" t="n">
        <v>24721</v>
      </c>
      <c r="B3569" t="n">
        <v>5.2</v>
      </c>
      <c r="C3569" t="n">
        <v>4.31</v>
      </c>
    </row>
    <row r="3570">
      <c r="A3570" s="28" t="n">
        <v>24722</v>
      </c>
      <c r="B3570" t="n">
        <v>5.2</v>
      </c>
      <c r="C3570" t="n">
        <v>4.3</v>
      </c>
    </row>
    <row r="3571">
      <c r="A3571" s="28" t="n">
        <v>24723</v>
      </c>
      <c r="B3571" t="n">
        <v>5.26</v>
      </c>
      <c r="C3571" t="n">
        <v>4.31</v>
      </c>
    </row>
    <row r="3572">
      <c r="A3572" s="28" t="n">
        <v>24726</v>
      </c>
      <c r="B3572" t="n">
        <v>5.28</v>
      </c>
      <c r="C3572" t="n">
        <v>4.34</v>
      </c>
    </row>
    <row r="3573">
      <c r="A3573" s="28" t="n">
        <v>24727</v>
      </c>
      <c r="B3573" t="n">
        <v>5.29</v>
      </c>
      <c r="C3573" t="n">
        <v>4.37</v>
      </c>
    </row>
    <row r="3574">
      <c r="A3574" s="28" t="n">
        <v>24728</v>
      </c>
      <c r="B3574" t="n">
        <v>5.27</v>
      </c>
      <c r="C3574" t="n">
        <v>4.36</v>
      </c>
    </row>
    <row r="3575">
      <c r="A3575" s="28" t="n">
        <v>24729</v>
      </c>
      <c r="B3575" t="n">
        <v>5.28</v>
      </c>
      <c r="C3575" t="n">
        <v>4.39</v>
      </c>
    </row>
    <row r="3576">
      <c r="A3576" s="28" t="n">
        <v>24730</v>
      </c>
      <c r="B3576" t="n">
        <v>5.29</v>
      </c>
      <c r="C3576" t="n">
        <v>4.4</v>
      </c>
    </row>
    <row r="3577">
      <c r="A3577" s="28" t="n">
        <v>24733</v>
      </c>
      <c r="B3577" t="n">
        <v>5.3</v>
      </c>
      <c r="C3577" t="n">
        <v>4.47</v>
      </c>
    </row>
    <row r="3578">
      <c r="A3578" s="28" t="n">
        <v>24734</v>
      </c>
      <c r="B3578" t="n">
        <v>5.35</v>
      </c>
      <c r="C3578" t="n">
        <v>4.5</v>
      </c>
    </row>
    <row r="3579">
      <c r="A3579" s="28" t="n">
        <v>24735</v>
      </c>
      <c r="B3579" t="n">
        <v>5.34</v>
      </c>
      <c r="C3579" t="n">
        <v>4.57</v>
      </c>
    </row>
    <row r="3580">
      <c r="A3580" s="28" t="n">
        <v>24736</v>
      </c>
      <c r="B3580" t="n">
        <v>5.36</v>
      </c>
      <c r="C3580" t="n">
        <v>4.58</v>
      </c>
    </row>
    <row r="3581">
      <c r="A3581" s="28" t="n">
        <v>24737</v>
      </c>
      <c r="B3581" t="n">
        <v>5.36</v>
      </c>
      <c r="C3581" t="n">
        <v>4.6</v>
      </c>
    </row>
    <row r="3582">
      <c r="A3582" s="28" t="n">
        <v>24740</v>
      </c>
      <c r="B3582" t="n">
        <v>5.38</v>
      </c>
      <c r="C3582" t="n">
        <v>4.59</v>
      </c>
    </row>
    <row r="3583">
      <c r="A3583" s="28" t="n">
        <v>24741</v>
      </c>
      <c r="B3583" t="n">
        <v>5.37</v>
      </c>
      <c r="C3583" t="n">
        <v>4.54</v>
      </c>
    </row>
    <row r="3584">
      <c r="A3584" s="28" t="n">
        <v>24742</v>
      </c>
      <c r="B3584" t="n">
        <v>5.37</v>
      </c>
      <c r="C3584" t="n">
        <v>4.44</v>
      </c>
    </row>
    <row r="3585">
      <c r="A3585" s="28" t="n">
        <v>24743</v>
      </c>
      <c r="B3585" t="n">
        <v>5.36</v>
      </c>
      <c r="C3585" t="n">
        <v>4.4</v>
      </c>
    </row>
    <row r="3586">
      <c r="A3586" s="28" t="n">
        <v>24744</v>
      </c>
      <c r="B3586" t="n">
        <v>5.31</v>
      </c>
      <c r="C3586" t="n">
        <v>4.39</v>
      </c>
    </row>
    <row r="3587">
      <c r="A3587" s="28" t="n">
        <v>24747</v>
      </c>
      <c r="B3587" t="n">
        <v>5.35</v>
      </c>
      <c r="C3587" t="n">
        <v>4.4</v>
      </c>
    </row>
    <row r="3588">
      <c r="A3588" s="28" t="n">
        <v>24748</v>
      </c>
      <c r="B3588" t="n">
        <v>5.35</v>
      </c>
      <c r="C3588" t="n">
        <v>4.52</v>
      </c>
    </row>
    <row r="3589">
      <c r="A3589" s="28" t="n">
        <v>24749</v>
      </c>
      <c r="B3589" t="n">
        <v>5.37</v>
      </c>
      <c r="C3589" t="n">
        <v>4.54</v>
      </c>
    </row>
    <row r="3590">
      <c r="A3590" s="28" t="n">
        <v>24750</v>
      </c>
      <c r="B3590" t="n">
        <v>5.37</v>
      </c>
      <c r="C3590" t="n">
        <v>4.51</v>
      </c>
    </row>
    <row r="3591">
      <c r="A3591" s="28" t="n">
        <v>24751</v>
      </c>
      <c r="B3591" t="n">
        <v>5.37</v>
      </c>
      <c r="C3591" t="n">
        <v>4.5</v>
      </c>
    </row>
    <row r="3592">
      <c r="A3592" s="28" t="n">
        <v>24754</v>
      </c>
      <c r="B3592" t="n">
        <v>5.39</v>
      </c>
      <c r="C3592" t="n">
        <v>4.52</v>
      </c>
    </row>
    <row r="3593">
      <c r="A3593" s="28" t="n">
        <v>24755</v>
      </c>
      <c r="B3593" t="n">
        <v>5.42</v>
      </c>
      <c r="C3593" t="n">
        <v>4.54</v>
      </c>
    </row>
    <row r="3594">
      <c r="A3594" s="28" t="n">
        <v>24756</v>
      </c>
      <c r="B3594" t="n">
        <v>5.42</v>
      </c>
      <c r="C3594" t="n">
        <v>4.6</v>
      </c>
    </row>
    <row r="3595">
      <c r="A3595" s="28" t="n">
        <v>24757</v>
      </c>
      <c r="B3595" t="n">
        <v>0</v>
      </c>
      <c r="C3595" t="n">
        <v>0</v>
      </c>
    </row>
    <row r="3596">
      <c r="A3596" s="28" t="n">
        <v>24758</v>
      </c>
      <c r="B3596" t="n">
        <v>5.45</v>
      </c>
      <c r="C3596" t="n">
        <v>4.61</v>
      </c>
    </row>
    <row r="3597">
      <c r="A3597" s="28" t="n">
        <v>24761</v>
      </c>
      <c r="B3597" t="n">
        <v>5.47</v>
      </c>
      <c r="C3597" t="n">
        <v>4.64</v>
      </c>
    </row>
    <row r="3598">
      <c r="A3598" s="28" t="n">
        <v>24762</v>
      </c>
      <c r="B3598" t="n">
        <v>5.49</v>
      </c>
      <c r="C3598" t="n">
        <v>4.67</v>
      </c>
    </row>
    <row r="3599">
      <c r="A3599" s="28" t="n">
        <v>24763</v>
      </c>
      <c r="B3599" t="n">
        <v>5.52</v>
      </c>
      <c r="C3599" t="n">
        <v>4.62</v>
      </c>
    </row>
    <row r="3600">
      <c r="A3600" s="28" t="n">
        <v>24764</v>
      </c>
      <c r="B3600" t="n">
        <v>5.53</v>
      </c>
      <c r="C3600" t="n">
        <v>4.57</v>
      </c>
    </row>
    <row r="3601">
      <c r="A3601" s="28" t="n">
        <v>24765</v>
      </c>
      <c r="B3601" t="n">
        <v>5.52</v>
      </c>
      <c r="C3601" t="n">
        <v>4.58</v>
      </c>
    </row>
    <row r="3602">
      <c r="A3602" s="28" t="n">
        <v>24768</v>
      </c>
      <c r="B3602" t="n">
        <v>5.56</v>
      </c>
      <c r="C3602" t="n">
        <v>4.58</v>
      </c>
    </row>
    <row r="3603">
      <c r="A3603" s="28" t="n">
        <v>24769</v>
      </c>
      <c r="B3603" t="n">
        <v>5.56</v>
      </c>
      <c r="C3603" t="n">
        <v>4.57</v>
      </c>
    </row>
    <row r="3604">
      <c r="A3604" s="28" t="n">
        <v>24770</v>
      </c>
      <c r="B3604" t="n">
        <v>5.57</v>
      </c>
      <c r="C3604" t="n">
        <v>4.58</v>
      </c>
    </row>
    <row r="3605">
      <c r="A3605" s="28" t="n">
        <v>24771</v>
      </c>
      <c r="B3605" t="n">
        <v>5.58</v>
      </c>
      <c r="C3605" t="n">
        <v>4.54</v>
      </c>
    </row>
    <row r="3606">
      <c r="A3606" s="28" t="n">
        <v>24772</v>
      </c>
      <c r="B3606" t="n">
        <v>5.57</v>
      </c>
      <c r="C3606" t="n">
        <v>4.53</v>
      </c>
    </row>
    <row r="3607">
      <c r="A3607" s="28" t="n">
        <v>24775</v>
      </c>
      <c r="B3607" t="n">
        <v>5.6</v>
      </c>
      <c r="C3607" t="n">
        <v>4.53</v>
      </c>
    </row>
    <row r="3608">
      <c r="A3608" s="28" t="n">
        <v>24776</v>
      </c>
      <c r="B3608" t="n">
        <v>5.64</v>
      </c>
      <c r="C3608" t="n">
        <v>4.56</v>
      </c>
    </row>
    <row r="3609">
      <c r="A3609" s="28" t="n">
        <v>24777</v>
      </c>
      <c r="B3609" t="n">
        <v>5.7</v>
      </c>
      <c r="C3609" t="n">
        <v>4.58</v>
      </c>
    </row>
    <row r="3610">
      <c r="A3610" s="28" t="n">
        <v>24778</v>
      </c>
      <c r="B3610" t="n">
        <v>5.71</v>
      </c>
      <c r="C3610" t="n">
        <v>4.57</v>
      </c>
    </row>
    <row r="3611">
      <c r="A3611" s="28" t="n">
        <v>24779</v>
      </c>
      <c r="B3611" t="n">
        <v>5.75</v>
      </c>
      <c r="C3611" t="n">
        <v>4.61</v>
      </c>
    </row>
    <row r="3612">
      <c r="A3612" s="28" t="n">
        <v>24782</v>
      </c>
      <c r="B3612" t="n">
        <v>5.77</v>
      </c>
      <c r="C3612" t="n">
        <v>4.64</v>
      </c>
    </row>
    <row r="3613">
      <c r="A3613" s="28" t="n">
        <v>24783</v>
      </c>
      <c r="B3613" t="n">
        <v>0</v>
      </c>
      <c r="C3613" t="n">
        <v>0</v>
      </c>
    </row>
    <row r="3614">
      <c r="A3614" s="28" t="n">
        <v>24784</v>
      </c>
      <c r="B3614" t="n">
        <v>5.74</v>
      </c>
      <c r="C3614" t="n">
        <v>4.66</v>
      </c>
    </row>
    <row r="3615">
      <c r="A3615" s="28" t="n">
        <v>24785</v>
      </c>
      <c r="B3615" t="n">
        <v>5.78</v>
      </c>
      <c r="C3615" t="n">
        <v>4.63</v>
      </c>
    </row>
    <row r="3616">
      <c r="A3616" s="28" t="n">
        <v>24786</v>
      </c>
      <c r="B3616" t="n">
        <v>5.83</v>
      </c>
      <c r="C3616" t="n">
        <v>4.61</v>
      </c>
    </row>
    <row r="3617">
      <c r="A3617" s="28" t="n">
        <v>24789</v>
      </c>
      <c r="B3617" t="n">
        <v>5.87</v>
      </c>
      <c r="C3617" t="n">
        <v>4.62</v>
      </c>
    </row>
    <row r="3618">
      <c r="A3618" s="28" t="n">
        <v>24790</v>
      </c>
      <c r="B3618" t="n">
        <v>5.81</v>
      </c>
      <c r="C3618" t="n">
        <v>4.64</v>
      </c>
    </row>
    <row r="3619">
      <c r="A3619" s="28" t="n">
        <v>24791</v>
      </c>
      <c r="B3619" t="n">
        <v>5.78</v>
      </c>
      <c r="C3619" t="n">
        <v>4.63</v>
      </c>
    </row>
    <row r="3620">
      <c r="A3620" s="28" t="n">
        <v>24792</v>
      </c>
      <c r="B3620" t="n">
        <v>5.72</v>
      </c>
      <c r="C3620" t="n">
        <v>4.6</v>
      </c>
    </row>
    <row r="3621">
      <c r="A3621" s="28" t="n">
        <v>24793</v>
      </c>
      <c r="B3621" t="n">
        <v>5.75</v>
      </c>
      <c r="C3621" t="n">
        <v>4.67</v>
      </c>
    </row>
    <row r="3622">
      <c r="A3622" s="28" t="n">
        <v>24796</v>
      </c>
      <c r="B3622" t="n">
        <v>5.85</v>
      </c>
      <c r="C3622" t="n">
        <v>4.9</v>
      </c>
    </row>
    <row r="3623">
      <c r="A3623" s="28" t="n">
        <v>24797</v>
      </c>
      <c r="B3623" t="n">
        <v>5.71</v>
      </c>
      <c r="C3623" t="n">
        <v>4.87</v>
      </c>
    </row>
    <row r="3624">
      <c r="A3624" s="28" t="n">
        <v>24798</v>
      </c>
      <c r="B3624" t="n">
        <v>5.7</v>
      </c>
      <c r="C3624" t="n">
        <v>4.77</v>
      </c>
    </row>
    <row r="3625">
      <c r="A3625" s="28" t="n">
        <v>24799</v>
      </c>
      <c r="B3625" t="n">
        <v>0</v>
      </c>
      <c r="C3625" t="n">
        <v>0</v>
      </c>
    </row>
    <row r="3626">
      <c r="A3626" s="28" t="n">
        <v>24800</v>
      </c>
      <c r="B3626" t="n">
        <v>5.78</v>
      </c>
      <c r="C3626" t="n">
        <v>4.91</v>
      </c>
    </row>
    <row r="3627">
      <c r="A3627" s="28" t="n">
        <v>24803</v>
      </c>
      <c r="B3627" t="n">
        <v>5.76</v>
      </c>
      <c r="C3627" t="n">
        <v>4.9</v>
      </c>
    </row>
    <row r="3628">
      <c r="A3628" s="28" t="n">
        <v>24804</v>
      </c>
      <c r="B3628" t="n">
        <v>5.65</v>
      </c>
      <c r="C3628" t="n">
        <v>4.88</v>
      </c>
    </row>
    <row r="3629">
      <c r="A3629" s="28" t="n">
        <v>24805</v>
      </c>
      <c r="B3629" t="n">
        <v>5.67</v>
      </c>
      <c r="C3629" t="n">
        <v>4.9</v>
      </c>
    </row>
    <row r="3630">
      <c r="A3630" s="28" t="n">
        <v>24806</v>
      </c>
      <c r="B3630" t="n">
        <v>5.74</v>
      </c>
      <c r="C3630" t="n">
        <v>4.95</v>
      </c>
    </row>
    <row r="3631">
      <c r="A3631" s="28" t="n">
        <v>24807</v>
      </c>
      <c r="B3631" t="n">
        <v>5.78</v>
      </c>
      <c r="C3631" t="n">
        <v>5.01</v>
      </c>
    </row>
    <row r="3632">
      <c r="A3632" s="28" t="n">
        <v>24810</v>
      </c>
      <c r="B3632" t="n">
        <v>5.76</v>
      </c>
      <c r="C3632" t="n">
        <v>4.92</v>
      </c>
    </row>
    <row r="3633">
      <c r="A3633" s="28" t="n">
        <v>24811</v>
      </c>
      <c r="B3633" t="n">
        <v>5.74</v>
      </c>
      <c r="C3633" t="n">
        <v>4.96</v>
      </c>
    </row>
    <row r="3634">
      <c r="A3634" s="28" t="n">
        <v>24812</v>
      </c>
      <c r="B3634" t="n">
        <v>5.69</v>
      </c>
      <c r="C3634" t="n">
        <v>4.9</v>
      </c>
    </row>
    <row r="3635">
      <c r="A3635" s="28" t="n">
        <v>24813</v>
      </c>
      <c r="B3635" t="n">
        <v>5.71</v>
      </c>
      <c r="C3635" t="n">
        <v>4.91</v>
      </c>
    </row>
    <row r="3636">
      <c r="A3636" s="28" t="n">
        <v>24814</v>
      </c>
      <c r="B3636" t="n">
        <v>5.72</v>
      </c>
      <c r="C3636" t="n">
        <v>4.89</v>
      </c>
    </row>
    <row r="3637">
      <c r="A3637" s="28" t="n">
        <v>24817</v>
      </c>
      <c r="B3637" t="n">
        <v>5.74</v>
      </c>
      <c r="C3637" t="n">
        <v>4.9</v>
      </c>
    </row>
    <row r="3638">
      <c r="A3638" s="28" t="n">
        <v>24818</v>
      </c>
      <c r="B3638" t="n">
        <v>5.75</v>
      </c>
      <c r="C3638" t="n">
        <v>4.95</v>
      </c>
    </row>
    <row r="3639">
      <c r="A3639" s="28" t="n">
        <v>24819</v>
      </c>
      <c r="B3639" t="n">
        <v>5.71</v>
      </c>
      <c r="C3639" t="n">
        <v>4.96</v>
      </c>
    </row>
    <row r="3640">
      <c r="A3640" s="28" t="n">
        <v>24820</v>
      </c>
      <c r="B3640" t="n">
        <v>5.7</v>
      </c>
      <c r="C3640" t="n">
        <v>4.98</v>
      </c>
    </row>
    <row r="3641">
      <c r="A3641" s="28" t="n">
        <v>24821</v>
      </c>
      <c r="B3641" t="n">
        <v>5.71</v>
      </c>
      <c r="C3641" t="n">
        <v>5.07</v>
      </c>
    </row>
    <row r="3642">
      <c r="A3642" s="28" t="n">
        <v>24824</v>
      </c>
      <c r="B3642" t="n">
        <v>5.68</v>
      </c>
      <c r="C3642" t="n">
        <v>5.05</v>
      </c>
    </row>
    <row r="3643">
      <c r="A3643" s="28" t="n">
        <v>24825</v>
      </c>
      <c r="B3643" t="n">
        <v>5.66</v>
      </c>
      <c r="C3643" t="n">
        <v>5.02</v>
      </c>
    </row>
    <row r="3644">
      <c r="A3644" s="28" t="n">
        <v>24826</v>
      </c>
      <c r="B3644" t="n">
        <v>5.62</v>
      </c>
      <c r="C3644" t="n">
        <v>4.97</v>
      </c>
    </row>
    <row r="3645">
      <c r="A3645" s="28" t="n">
        <v>24827</v>
      </c>
      <c r="B3645" t="n">
        <v>5.64</v>
      </c>
      <c r="C3645" t="n">
        <v>4.91</v>
      </c>
    </row>
    <row r="3646">
      <c r="A3646" s="28" t="n">
        <v>24828</v>
      </c>
      <c r="B3646" t="n">
        <v>5.69</v>
      </c>
      <c r="C3646" t="n">
        <v>4.96</v>
      </c>
    </row>
    <row r="3647">
      <c r="A3647" s="28" t="n">
        <v>24831</v>
      </c>
      <c r="B3647" t="n">
        <v>0</v>
      </c>
      <c r="C3647" t="n">
        <v>0</v>
      </c>
    </row>
    <row r="3648">
      <c r="A3648" s="28" t="n">
        <v>24832</v>
      </c>
      <c r="B3648" t="n">
        <v>5.64</v>
      </c>
      <c r="C3648" t="n">
        <v>4.98</v>
      </c>
    </row>
    <row r="3649">
      <c r="A3649" s="28" t="n">
        <v>24833</v>
      </c>
      <c r="B3649" t="n">
        <v>5.64</v>
      </c>
      <c r="C3649" t="n">
        <v>4.99</v>
      </c>
    </row>
    <row r="3650">
      <c r="A3650" s="28" t="n">
        <v>24834</v>
      </c>
      <c r="B3650" t="n">
        <v>5.7</v>
      </c>
      <c r="C3650" t="n">
        <v>5.01</v>
      </c>
    </row>
    <row r="3651">
      <c r="A3651" s="28" t="n">
        <v>24835</v>
      </c>
      <c r="B3651" t="n">
        <v>5.7</v>
      </c>
      <c r="C3651" t="n">
        <v>5.04</v>
      </c>
    </row>
    <row r="3652">
      <c r="A3652" s="28" t="n">
        <v>24838</v>
      </c>
      <c r="B3652" t="n">
        <v>0</v>
      </c>
      <c r="C3652" t="n">
        <v>0</v>
      </c>
    </row>
    <row r="3653">
      <c r="A3653" s="28" t="n">
        <v>24839</v>
      </c>
      <c r="B3653" t="n">
        <v>5.63</v>
      </c>
      <c r="C3653" t="n">
        <v>5.04</v>
      </c>
    </row>
    <row r="3654">
      <c r="A3654" s="28" t="n">
        <v>24840</v>
      </c>
      <c r="B3654" t="n">
        <v>5.63</v>
      </c>
      <c r="C3654" t="n">
        <v>5.04</v>
      </c>
    </row>
    <row r="3655">
      <c r="A3655" s="28" t="n">
        <v>24841</v>
      </c>
      <c r="B3655" t="n">
        <v>5.51</v>
      </c>
      <c r="C3655" t="n">
        <v>4.99</v>
      </c>
    </row>
    <row r="3656">
      <c r="A3656" s="28" t="n">
        <v>24842</v>
      </c>
      <c r="B3656" t="n">
        <v>5.48</v>
      </c>
      <c r="C3656" t="n">
        <v>4.96</v>
      </c>
    </row>
    <row r="3657">
      <c r="A3657" s="28" t="n">
        <v>24845</v>
      </c>
      <c r="B3657" t="n">
        <v>5.5</v>
      </c>
      <c r="C3657" t="n">
        <v>5.02</v>
      </c>
    </row>
    <row r="3658">
      <c r="A3658" s="28" t="n">
        <v>24846</v>
      </c>
      <c r="B3658" t="n">
        <v>5.52</v>
      </c>
      <c r="C3658" t="n">
        <v>5.1</v>
      </c>
    </row>
    <row r="3659">
      <c r="A3659" s="28" t="n">
        <v>24847</v>
      </c>
      <c r="B3659" t="n">
        <v>5.46</v>
      </c>
      <c r="C3659" t="n">
        <v>5.08</v>
      </c>
    </row>
    <row r="3660">
      <c r="A3660" s="28" t="n">
        <v>24848</v>
      </c>
      <c r="B3660" t="n">
        <v>5.46</v>
      </c>
      <c r="C3660" t="n">
        <v>5.07</v>
      </c>
    </row>
    <row r="3661">
      <c r="A3661" s="28" t="n">
        <v>24849</v>
      </c>
      <c r="B3661" t="n">
        <v>5.43</v>
      </c>
      <c r="C3661" t="n">
        <v>5.08</v>
      </c>
    </row>
    <row r="3662">
      <c r="A3662" s="28" t="n">
        <v>24852</v>
      </c>
      <c r="B3662" t="n">
        <v>5.49</v>
      </c>
      <c r="C3662" t="n">
        <v>5.02</v>
      </c>
    </row>
    <row r="3663">
      <c r="A3663" s="28" t="n">
        <v>24853</v>
      </c>
      <c r="B3663" t="n">
        <v>5.52</v>
      </c>
      <c r="C3663" t="n">
        <v>5.01</v>
      </c>
    </row>
    <row r="3664">
      <c r="A3664" s="28" t="n">
        <v>24854</v>
      </c>
      <c r="B3664" t="n">
        <v>5.48</v>
      </c>
      <c r="C3664" t="n">
        <v>4.99</v>
      </c>
    </row>
    <row r="3665">
      <c r="A3665" s="28" t="n">
        <v>24855</v>
      </c>
      <c r="B3665" t="n">
        <v>5.55</v>
      </c>
      <c r="C3665" t="n">
        <v>5.01</v>
      </c>
    </row>
    <row r="3666">
      <c r="A3666" s="28" t="n">
        <v>24856</v>
      </c>
      <c r="B3666" t="n">
        <v>5.59</v>
      </c>
      <c r="C3666" t="n">
        <v>5.07</v>
      </c>
    </row>
    <row r="3667">
      <c r="A3667" s="28" t="n">
        <v>24859</v>
      </c>
      <c r="B3667" t="n">
        <v>5.61</v>
      </c>
      <c r="C3667" t="n">
        <v>5.03</v>
      </c>
    </row>
    <row r="3668">
      <c r="A3668" s="28" t="n">
        <v>24860</v>
      </c>
      <c r="B3668" t="n">
        <v>5.56</v>
      </c>
      <c r="C3668" t="n">
        <v>5.03</v>
      </c>
    </row>
    <row r="3669">
      <c r="A3669" s="28" t="n">
        <v>24861</v>
      </c>
      <c r="B3669" t="n">
        <v>5.56</v>
      </c>
      <c r="C3669" t="n">
        <v>5.01</v>
      </c>
    </row>
    <row r="3670">
      <c r="A3670" s="28" t="n">
        <v>24862</v>
      </c>
      <c r="B3670" t="n">
        <v>5.52</v>
      </c>
      <c r="C3670" t="n">
        <v>4.91</v>
      </c>
    </row>
    <row r="3671">
      <c r="A3671" s="28" t="n">
        <v>24863</v>
      </c>
      <c r="B3671" t="n">
        <v>5.53</v>
      </c>
      <c r="C3671" t="n">
        <v>4.88</v>
      </c>
    </row>
    <row r="3672">
      <c r="A3672" s="28" t="n">
        <v>24866</v>
      </c>
      <c r="B3672" t="n">
        <v>5.53</v>
      </c>
      <c r="C3672" t="n">
        <v>4.82</v>
      </c>
    </row>
    <row r="3673">
      <c r="A3673" s="28" t="n">
        <v>24867</v>
      </c>
      <c r="B3673" t="n">
        <v>5.53</v>
      </c>
      <c r="C3673" t="n">
        <v>4.87</v>
      </c>
    </row>
    <row r="3674">
      <c r="A3674" s="28" t="n">
        <v>24868</v>
      </c>
      <c r="B3674" t="n">
        <v>5.54</v>
      </c>
      <c r="C3674" t="n">
        <v>4.88</v>
      </c>
    </row>
    <row r="3675">
      <c r="A3675" s="28" t="n">
        <v>24869</v>
      </c>
      <c r="B3675" t="n">
        <v>5.58</v>
      </c>
      <c r="C3675" t="n">
        <v>4.84</v>
      </c>
    </row>
    <row r="3676">
      <c r="A3676" s="28" t="n">
        <v>24870</v>
      </c>
      <c r="B3676" t="n">
        <v>5.58</v>
      </c>
      <c r="C3676" t="n">
        <v>4.86</v>
      </c>
    </row>
    <row r="3677">
      <c r="A3677" s="28" t="n">
        <v>24873</v>
      </c>
      <c r="B3677" t="n">
        <v>5.6</v>
      </c>
      <c r="C3677" t="n">
        <v>4.91</v>
      </c>
    </row>
    <row r="3678">
      <c r="A3678" s="28" t="n">
        <v>24874</v>
      </c>
      <c r="B3678" t="n">
        <v>5.61</v>
      </c>
      <c r="C3678" t="n">
        <v>5.02</v>
      </c>
    </row>
    <row r="3679">
      <c r="A3679" s="28" t="n">
        <v>24875</v>
      </c>
      <c r="B3679" t="n">
        <v>5.59</v>
      </c>
      <c r="C3679" t="n">
        <v>5.03</v>
      </c>
    </row>
    <row r="3680">
      <c r="A3680" s="28" t="n">
        <v>24876</v>
      </c>
      <c r="B3680" t="n">
        <v>5.6</v>
      </c>
      <c r="C3680" t="n">
        <v>5.03</v>
      </c>
    </row>
    <row r="3681">
      <c r="A3681" s="28" t="n">
        <v>24877</v>
      </c>
      <c r="B3681" t="n">
        <v>5.59</v>
      </c>
      <c r="C3681" t="n">
        <v>5.01</v>
      </c>
    </row>
    <row r="3682">
      <c r="A3682" s="28" t="n">
        <v>24880</v>
      </c>
      <c r="B3682" t="n">
        <v>0</v>
      </c>
      <c r="C3682" t="n">
        <v>0</v>
      </c>
    </row>
    <row r="3683">
      <c r="A3683" s="28" t="n">
        <v>24881</v>
      </c>
      <c r="B3683" t="n">
        <v>5.55</v>
      </c>
      <c r="C3683" t="n">
        <v>5.01</v>
      </c>
    </row>
    <row r="3684">
      <c r="A3684" s="28" t="n">
        <v>24882</v>
      </c>
      <c r="B3684" t="n">
        <v>5.54</v>
      </c>
      <c r="C3684" t="n">
        <v>5</v>
      </c>
    </row>
    <row r="3685">
      <c r="A3685" s="28" t="n">
        <v>24883</v>
      </c>
      <c r="B3685" t="n">
        <v>5.51</v>
      </c>
      <c r="C3685" t="n">
        <v>4.96</v>
      </c>
    </row>
    <row r="3686">
      <c r="A3686" s="28" t="n">
        <v>24884</v>
      </c>
      <c r="B3686" t="n">
        <v>5.5</v>
      </c>
      <c r="C3686" t="n">
        <v>4.92</v>
      </c>
    </row>
    <row r="3687">
      <c r="A3687" s="28" t="n">
        <v>24887</v>
      </c>
      <c r="B3687" t="n">
        <v>5.53</v>
      </c>
      <c r="C3687" t="n">
        <v>4.9</v>
      </c>
    </row>
    <row r="3688">
      <c r="A3688" s="28" t="n">
        <v>24888</v>
      </c>
      <c r="B3688" t="n">
        <v>5.54</v>
      </c>
      <c r="C3688" t="n">
        <v>4.97</v>
      </c>
    </row>
    <row r="3689">
      <c r="A3689" s="28" t="n">
        <v>24889</v>
      </c>
      <c r="B3689" t="n">
        <v>5.54</v>
      </c>
      <c r="C3689" t="n">
        <v>4.99</v>
      </c>
    </row>
    <row r="3690">
      <c r="A3690" s="28" t="n">
        <v>24890</v>
      </c>
      <c r="B3690" t="n">
        <v>0</v>
      </c>
      <c r="C3690" t="n">
        <v>0</v>
      </c>
    </row>
    <row r="3691">
      <c r="A3691" s="28" t="n">
        <v>24891</v>
      </c>
      <c r="B3691" t="n">
        <v>5.56</v>
      </c>
      <c r="C3691" t="n">
        <v>5.01</v>
      </c>
    </row>
    <row r="3692">
      <c r="A3692" s="28" t="n">
        <v>24894</v>
      </c>
      <c r="B3692" t="n">
        <v>5.58</v>
      </c>
      <c r="C3692" t="n">
        <v>5.04</v>
      </c>
    </row>
    <row r="3693">
      <c r="A3693" s="28" t="n">
        <v>24895</v>
      </c>
      <c r="B3693" t="n">
        <v>5.58</v>
      </c>
      <c r="C3693" t="n">
        <v>5.06</v>
      </c>
    </row>
    <row r="3694">
      <c r="A3694" s="28" t="n">
        <v>24896</v>
      </c>
      <c r="B3694" t="n">
        <v>5.57</v>
      </c>
      <c r="C3694" t="n">
        <v>5.02</v>
      </c>
    </row>
    <row r="3695">
      <c r="A3695" s="28" t="n">
        <v>24897</v>
      </c>
      <c r="B3695" t="n">
        <v>5.56</v>
      </c>
      <c r="C3695" t="n">
        <v>5.02</v>
      </c>
    </row>
    <row r="3696">
      <c r="A3696" s="28" t="n">
        <v>24898</v>
      </c>
      <c r="B3696" t="n">
        <v>5.56</v>
      </c>
      <c r="C3696" t="n">
        <v>5.01</v>
      </c>
    </row>
    <row r="3697">
      <c r="A3697" s="28" t="n">
        <v>24901</v>
      </c>
      <c r="B3697" t="n">
        <v>5.57</v>
      </c>
      <c r="C3697" t="n">
        <v>4.99</v>
      </c>
    </row>
    <row r="3698">
      <c r="A3698" s="28" t="n">
        <v>24902</v>
      </c>
      <c r="B3698" t="n">
        <v>5.59</v>
      </c>
      <c r="C3698" t="n">
        <v>5</v>
      </c>
    </row>
    <row r="3699">
      <c r="A3699" s="28" t="n">
        <v>24903</v>
      </c>
      <c r="B3699" t="n">
        <v>5.61</v>
      </c>
      <c r="C3699" t="n">
        <v>5.03</v>
      </c>
    </row>
    <row r="3700">
      <c r="A3700" s="28" t="n">
        <v>24904</v>
      </c>
      <c r="B3700" t="n">
        <v>5.67</v>
      </c>
      <c r="C3700" t="n">
        <v>5.09</v>
      </c>
    </row>
    <row r="3701">
      <c r="A3701" s="28" t="n">
        <v>24905</v>
      </c>
      <c r="B3701" t="n">
        <v>5.75</v>
      </c>
      <c r="C3701" t="n">
        <v>5.09</v>
      </c>
    </row>
    <row r="3702">
      <c r="A3702" s="28" t="n">
        <v>24908</v>
      </c>
      <c r="B3702" t="n">
        <v>5.75</v>
      </c>
      <c r="C3702" t="n">
        <v>5.09</v>
      </c>
    </row>
    <row r="3703">
      <c r="A3703" s="28" t="n">
        <v>24909</v>
      </c>
      <c r="B3703" t="n">
        <v>5.79</v>
      </c>
      <c r="C3703" t="n">
        <v>5.14</v>
      </c>
    </row>
    <row r="3704">
      <c r="A3704" s="28" t="n">
        <v>24910</v>
      </c>
      <c r="B3704" t="n">
        <v>5.86</v>
      </c>
      <c r="C3704" t="n">
        <v>5.25</v>
      </c>
    </row>
    <row r="3705">
      <c r="A3705" s="28" t="n">
        <v>24911</v>
      </c>
      <c r="B3705" t="n">
        <v>5.95</v>
      </c>
      <c r="C3705" t="n">
        <v>5.45</v>
      </c>
    </row>
    <row r="3706">
      <c r="A3706" s="28" t="n">
        <v>24912</v>
      </c>
      <c r="B3706" t="n">
        <v>5.84</v>
      </c>
      <c r="C3706" t="n">
        <v>5.37</v>
      </c>
    </row>
    <row r="3707">
      <c r="A3707" s="28" t="n">
        <v>24915</v>
      </c>
      <c r="B3707" t="n">
        <v>5.76</v>
      </c>
      <c r="C3707" t="n">
        <v>5.26</v>
      </c>
    </row>
    <row r="3708">
      <c r="A3708" s="28" t="n">
        <v>24916</v>
      </c>
      <c r="B3708" t="n">
        <v>5.77</v>
      </c>
      <c r="C3708" t="n">
        <v>5.31</v>
      </c>
    </row>
    <row r="3709">
      <c r="A3709" s="28" t="n">
        <v>24917</v>
      </c>
      <c r="B3709" t="n">
        <v>5.73</v>
      </c>
      <c r="C3709" t="n">
        <v>5.26</v>
      </c>
    </row>
    <row r="3710">
      <c r="A3710" s="28" t="n">
        <v>24918</v>
      </c>
      <c r="B3710" t="n">
        <v>5.76</v>
      </c>
      <c r="C3710" t="n">
        <v>5.25</v>
      </c>
    </row>
    <row r="3711">
      <c r="A3711" s="28" t="n">
        <v>24919</v>
      </c>
      <c r="B3711" t="n">
        <v>5.74</v>
      </c>
      <c r="C3711" t="n">
        <v>5.19</v>
      </c>
    </row>
    <row r="3712">
      <c r="A3712" s="28" t="n">
        <v>24922</v>
      </c>
      <c r="B3712" t="n">
        <v>5.74</v>
      </c>
      <c r="C3712" t="n">
        <v>5.15</v>
      </c>
    </row>
    <row r="3713">
      <c r="A3713" s="28" t="n">
        <v>24923</v>
      </c>
      <c r="B3713" t="n">
        <v>5.78</v>
      </c>
      <c r="C3713" t="n">
        <v>5.1</v>
      </c>
    </row>
    <row r="3714">
      <c r="A3714" s="28" t="n">
        <v>24924</v>
      </c>
      <c r="B3714" t="n">
        <v>5.78</v>
      </c>
      <c r="C3714" t="n">
        <v>5.13</v>
      </c>
    </row>
    <row r="3715">
      <c r="A3715" s="28" t="n">
        <v>24925</v>
      </c>
      <c r="B3715" t="n">
        <v>5.78</v>
      </c>
      <c r="C3715" t="n">
        <v>5.15</v>
      </c>
    </row>
    <row r="3716">
      <c r="A3716" s="28" t="n">
        <v>24926</v>
      </c>
      <c r="B3716" t="n">
        <v>5.76</v>
      </c>
      <c r="C3716" t="n">
        <v>5.17</v>
      </c>
    </row>
    <row r="3717">
      <c r="A3717" s="28" t="n">
        <v>24929</v>
      </c>
      <c r="B3717" t="n">
        <v>5.64</v>
      </c>
      <c r="C3717" t="n">
        <v>5.13</v>
      </c>
    </row>
    <row r="3718">
      <c r="A3718" s="28" t="n">
        <v>24930</v>
      </c>
      <c r="B3718" t="n">
        <v>5.62</v>
      </c>
      <c r="C3718" t="n">
        <v>5.19</v>
      </c>
    </row>
    <row r="3719">
      <c r="A3719" s="28" t="n">
        <v>24931</v>
      </c>
      <c r="B3719" t="n">
        <v>5.49</v>
      </c>
      <c r="C3719" t="n">
        <v>5.19</v>
      </c>
    </row>
    <row r="3720">
      <c r="A3720" s="28" t="n">
        <v>24932</v>
      </c>
      <c r="B3720" t="n">
        <v>5.52</v>
      </c>
      <c r="C3720" t="n">
        <v>5.27</v>
      </c>
    </row>
    <row r="3721">
      <c r="A3721" s="28" t="n">
        <v>24933</v>
      </c>
      <c r="B3721" t="n">
        <v>5.52</v>
      </c>
      <c r="C3721" t="n">
        <v>5.24</v>
      </c>
    </row>
    <row r="3722">
      <c r="A3722" s="28" t="n">
        <v>24936</v>
      </c>
      <c r="B3722" t="n">
        <v>5.54</v>
      </c>
      <c r="C3722" t="n">
        <v>5.26</v>
      </c>
    </row>
    <row r="3723">
      <c r="A3723" s="28" t="n">
        <v>24937</v>
      </c>
      <c r="B3723" t="n">
        <v>0</v>
      </c>
      <c r="C3723" t="n">
        <v>0</v>
      </c>
    </row>
    <row r="3724">
      <c r="A3724" s="28" t="n">
        <v>24938</v>
      </c>
      <c r="B3724" t="n">
        <v>5.53</v>
      </c>
      <c r="C3724" t="n">
        <v>5.34</v>
      </c>
    </row>
    <row r="3725">
      <c r="A3725" s="28" t="n">
        <v>24939</v>
      </c>
      <c r="B3725" t="n">
        <v>5.54</v>
      </c>
      <c r="C3725" t="n">
        <v>5.44</v>
      </c>
    </row>
    <row r="3726">
      <c r="A3726" s="28" t="n">
        <v>24940</v>
      </c>
      <c r="B3726" t="n">
        <v>0</v>
      </c>
      <c r="C3726" t="n">
        <v>0</v>
      </c>
    </row>
    <row r="3727">
      <c r="A3727" s="28" t="n">
        <v>24943</v>
      </c>
      <c r="B3727" t="n">
        <v>5.6</v>
      </c>
      <c r="C3727" t="n">
        <v>5.41</v>
      </c>
    </row>
    <row r="3728">
      <c r="A3728" s="28" t="n">
        <v>24944</v>
      </c>
      <c r="B3728" t="n">
        <v>5.62</v>
      </c>
      <c r="C3728" t="n">
        <v>5.37</v>
      </c>
    </row>
    <row r="3729">
      <c r="A3729" s="28" t="n">
        <v>24945</v>
      </c>
      <c r="B3729" t="n">
        <v>5.62</v>
      </c>
      <c r="C3729" t="n">
        <v>5.33</v>
      </c>
    </row>
    <row r="3730">
      <c r="A3730" s="28" t="n">
        <v>24946</v>
      </c>
      <c r="B3730" t="n">
        <v>5.64</v>
      </c>
      <c r="C3730" t="n">
        <v>5.34</v>
      </c>
    </row>
    <row r="3731">
      <c r="A3731" s="28" t="n">
        <v>24947</v>
      </c>
      <c r="B3731" t="n">
        <v>5.76</v>
      </c>
      <c r="C3731" t="n">
        <v>5.53</v>
      </c>
    </row>
    <row r="3732">
      <c r="A3732" s="28" t="n">
        <v>24950</v>
      </c>
      <c r="B3732" t="n">
        <v>5.78</v>
      </c>
      <c r="C3732" t="n">
        <v>5.51</v>
      </c>
    </row>
    <row r="3733">
      <c r="A3733" s="28" t="n">
        <v>24951</v>
      </c>
      <c r="B3733" t="n">
        <v>5.73</v>
      </c>
      <c r="C3733" t="n">
        <v>5.49</v>
      </c>
    </row>
    <row r="3734">
      <c r="A3734" s="28" t="n">
        <v>24952</v>
      </c>
      <c r="B3734" t="n">
        <v>5.72</v>
      </c>
      <c r="C3734" t="n">
        <v>5.5</v>
      </c>
    </row>
    <row r="3735">
      <c r="A3735" s="28" t="n">
        <v>24953</v>
      </c>
      <c r="B3735" t="n">
        <v>5.72</v>
      </c>
      <c r="C3735" t="n">
        <v>5.5</v>
      </c>
    </row>
    <row r="3736">
      <c r="A3736" s="28" t="n">
        <v>24954</v>
      </c>
      <c r="B3736" t="n">
        <v>5.71</v>
      </c>
      <c r="C3736" t="n">
        <v>5.51</v>
      </c>
    </row>
    <row r="3737">
      <c r="A3737" s="28" t="n">
        <v>24957</v>
      </c>
      <c r="B3737" t="n">
        <v>5.73</v>
      </c>
      <c r="C3737" t="n">
        <v>5.48</v>
      </c>
    </row>
    <row r="3738">
      <c r="A3738" s="28" t="n">
        <v>24958</v>
      </c>
      <c r="B3738" t="n">
        <v>5.74</v>
      </c>
      <c r="C3738" t="n">
        <v>5.51</v>
      </c>
    </row>
    <row r="3739">
      <c r="A3739" s="28" t="n">
        <v>24959</v>
      </c>
      <c r="B3739" t="n">
        <v>5.73</v>
      </c>
      <c r="C3739" t="n">
        <v>5.48</v>
      </c>
    </row>
    <row r="3740">
      <c r="A3740" s="28" t="n">
        <v>24960</v>
      </c>
      <c r="B3740" t="n">
        <v>5.76</v>
      </c>
      <c r="C3740" t="n">
        <v>5.48</v>
      </c>
    </row>
    <row r="3741">
      <c r="A3741" s="28" t="n">
        <v>24961</v>
      </c>
      <c r="B3741" t="n">
        <v>5.8</v>
      </c>
      <c r="C3741" t="n">
        <v>5.54</v>
      </c>
    </row>
    <row r="3742">
      <c r="A3742" s="28" t="n">
        <v>24964</v>
      </c>
      <c r="B3742" t="n">
        <v>5.78</v>
      </c>
      <c r="C3742" t="n">
        <v>5.48</v>
      </c>
    </row>
    <row r="3743">
      <c r="A3743" s="28" t="n">
        <v>24965</v>
      </c>
      <c r="B3743" t="n">
        <v>5.79</v>
      </c>
      <c r="C3743" t="n">
        <v>5.52</v>
      </c>
    </row>
    <row r="3744">
      <c r="A3744" s="28" t="n">
        <v>24966</v>
      </c>
      <c r="B3744" t="n">
        <v>5.8</v>
      </c>
      <c r="C3744" t="n">
        <v>5.53</v>
      </c>
    </row>
    <row r="3745">
      <c r="A3745" s="28" t="n">
        <v>24967</v>
      </c>
      <c r="B3745" t="n">
        <v>5.79</v>
      </c>
      <c r="C3745" t="n">
        <v>5.55</v>
      </c>
    </row>
    <row r="3746">
      <c r="A3746" s="28" t="n">
        <v>24968</v>
      </c>
      <c r="B3746" t="n">
        <v>5.79</v>
      </c>
      <c r="C3746" t="n">
        <v>5.55</v>
      </c>
    </row>
    <row r="3747">
      <c r="A3747" s="28" t="n">
        <v>24971</v>
      </c>
      <c r="B3747" t="n">
        <v>5.79</v>
      </c>
      <c r="C3747" t="n">
        <v>5.53</v>
      </c>
    </row>
    <row r="3748">
      <c r="A3748" s="28" t="n">
        <v>24972</v>
      </c>
      <c r="B3748" t="n">
        <v>5.82</v>
      </c>
      <c r="C3748" t="n">
        <v>5.6</v>
      </c>
    </row>
    <row r="3749">
      <c r="A3749" s="28" t="n">
        <v>24973</v>
      </c>
      <c r="B3749" t="n">
        <v>5.85</v>
      </c>
      <c r="C3749" t="n">
        <v>5.67</v>
      </c>
    </row>
    <row r="3750">
      <c r="A3750" s="28" t="n">
        <v>24974</v>
      </c>
      <c r="B3750" t="n">
        <v>5.9</v>
      </c>
      <c r="C3750" t="n">
        <v>5.78</v>
      </c>
    </row>
    <row r="3751">
      <c r="A3751" s="28" t="n">
        <v>24975</v>
      </c>
      <c r="B3751" t="n">
        <v>5.92</v>
      </c>
      <c r="C3751" t="n">
        <v>5.8</v>
      </c>
    </row>
    <row r="3752">
      <c r="A3752" s="28" t="n">
        <v>24978</v>
      </c>
      <c r="B3752" t="n">
        <v>5.96</v>
      </c>
      <c r="C3752" t="n">
        <v>5.82</v>
      </c>
    </row>
    <row r="3753">
      <c r="A3753" s="28" t="n">
        <v>24979</v>
      </c>
      <c r="B3753" t="n">
        <v>6.02</v>
      </c>
      <c r="C3753" t="n">
        <v>5.92</v>
      </c>
    </row>
    <row r="3754">
      <c r="A3754" s="28" t="n">
        <v>24980</v>
      </c>
      <c r="B3754" t="n">
        <v>6.02</v>
      </c>
      <c r="C3754" t="n">
        <v>5.86</v>
      </c>
    </row>
    <row r="3755">
      <c r="A3755" s="28" t="n">
        <v>24981</v>
      </c>
      <c r="B3755" t="n">
        <v>5.98</v>
      </c>
      <c r="C3755" t="n">
        <v>5.8</v>
      </c>
    </row>
    <row r="3756">
      <c r="A3756" s="28" t="n">
        <v>24982</v>
      </c>
      <c r="B3756" t="n">
        <v>5.96</v>
      </c>
      <c r="C3756" t="n">
        <v>5.72</v>
      </c>
    </row>
    <row r="3757">
      <c r="A3757" s="28" t="n">
        <v>24985</v>
      </c>
      <c r="B3757" t="n">
        <v>5.92</v>
      </c>
      <c r="C3757" t="n">
        <v>5.67</v>
      </c>
    </row>
    <row r="3758">
      <c r="A3758" s="28" t="n">
        <v>24986</v>
      </c>
      <c r="B3758" t="n">
        <v>5.94</v>
      </c>
      <c r="C3758" t="n">
        <v>5.72</v>
      </c>
    </row>
    <row r="3759">
      <c r="A3759" s="28" t="n">
        <v>24987</v>
      </c>
      <c r="B3759" t="n">
        <v>5.95</v>
      </c>
      <c r="C3759" t="n">
        <v>5.73</v>
      </c>
    </row>
    <row r="3760">
      <c r="A3760" s="28" t="n">
        <v>24988</v>
      </c>
      <c r="B3760" t="n">
        <v>0</v>
      </c>
      <c r="C3760" t="n">
        <v>0</v>
      </c>
    </row>
    <row r="3761">
      <c r="A3761" s="28" t="n">
        <v>24989</v>
      </c>
      <c r="B3761" t="n">
        <v>5.86</v>
      </c>
      <c r="C3761" t="n">
        <v>5.68</v>
      </c>
    </row>
    <row r="3762">
      <c r="A3762" s="28" t="n">
        <v>24992</v>
      </c>
      <c r="B3762" t="n">
        <v>5.79</v>
      </c>
      <c r="C3762" t="n">
        <v>5.65</v>
      </c>
    </row>
    <row r="3763">
      <c r="A3763" s="28" t="n">
        <v>24993</v>
      </c>
      <c r="B3763" t="n">
        <v>5.78</v>
      </c>
      <c r="C3763" t="n">
        <v>5.66</v>
      </c>
    </row>
    <row r="3764">
      <c r="A3764" s="28" t="n">
        <v>24994</v>
      </c>
      <c r="B3764" t="n">
        <v>5.81</v>
      </c>
      <c r="C3764" t="n">
        <v>5.65</v>
      </c>
    </row>
    <row r="3765">
      <c r="A3765" s="28" t="n">
        <v>24995</v>
      </c>
      <c r="B3765" t="n">
        <v>5.83</v>
      </c>
      <c r="C3765" t="n">
        <v>5.66</v>
      </c>
    </row>
    <row r="3766">
      <c r="A3766" s="28" t="n">
        <v>24996</v>
      </c>
      <c r="B3766" t="n">
        <v>5.82</v>
      </c>
      <c r="C3766" t="n">
        <v>5.66</v>
      </c>
    </row>
    <row r="3767">
      <c r="A3767" s="28" t="n">
        <v>24999</v>
      </c>
      <c r="B3767" t="n">
        <v>5.8</v>
      </c>
      <c r="C3767" t="n">
        <v>5.68</v>
      </c>
    </row>
    <row r="3768">
      <c r="A3768" s="28" t="n">
        <v>25000</v>
      </c>
      <c r="B3768" t="n">
        <v>5.79</v>
      </c>
      <c r="C3768" t="n">
        <v>5.72</v>
      </c>
    </row>
    <row r="3769">
      <c r="A3769" s="28" t="n">
        <v>25001</v>
      </c>
      <c r="B3769" t="n">
        <v>5.77</v>
      </c>
      <c r="C3769" t="n">
        <v>5.71</v>
      </c>
    </row>
    <row r="3770">
      <c r="A3770" s="28" t="n">
        <v>25002</v>
      </c>
      <c r="B3770" t="n">
        <v>5.76</v>
      </c>
      <c r="C3770" t="n">
        <v>5.69</v>
      </c>
    </row>
    <row r="3771">
      <c r="A3771" s="28" t="n">
        <v>25003</v>
      </c>
      <c r="B3771" t="n">
        <v>5.72</v>
      </c>
      <c r="C3771" t="n">
        <v>5.63</v>
      </c>
    </row>
    <row r="3772">
      <c r="A3772" s="28" t="n">
        <v>25006</v>
      </c>
      <c r="B3772" t="n">
        <v>5.71</v>
      </c>
      <c r="C3772" t="n">
        <v>5.58</v>
      </c>
    </row>
    <row r="3773">
      <c r="A3773" s="28" t="n">
        <v>25007</v>
      </c>
      <c r="B3773" t="n">
        <v>5.71</v>
      </c>
      <c r="C3773" t="n">
        <v>5.6</v>
      </c>
    </row>
    <row r="3774">
      <c r="A3774" s="28" t="n">
        <v>25008</v>
      </c>
      <c r="B3774" t="n">
        <v>5.67</v>
      </c>
      <c r="C3774" t="n">
        <v>5.47</v>
      </c>
    </row>
    <row r="3775">
      <c r="A3775" s="28" t="n">
        <v>25009</v>
      </c>
      <c r="B3775" t="n">
        <v>5.62</v>
      </c>
      <c r="C3775" t="n">
        <v>5.4</v>
      </c>
    </row>
    <row r="3776">
      <c r="A3776" s="28" t="n">
        <v>25010</v>
      </c>
      <c r="B3776" t="n">
        <v>5.6</v>
      </c>
      <c r="C3776" t="n">
        <v>5.2</v>
      </c>
    </row>
    <row r="3777">
      <c r="A3777" s="28" t="n">
        <v>25013</v>
      </c>
      <c r="B3777" t="n">
        <v>5.61</v>
      </c>
      <c r="C3777" t="n">
        <v>5.2</v>
      </c>
    </row>
    <row r="3778">
      <c r="A3778" s="28" t="n">
        <v>25014</v>
      </c>
      <c r="B3778" t="n">
        <v>5.64</v>
      </c>
      <c r="C3778" t="n">
        <v>5.34</v>
      </c>
    </row>
    <row r="3779">
      <c r="A3779" s="28" t="n">
        <v>25015</v>
      </c>
      <c r="B3779" t="n">
        <v>5.64</v>
      </c>
      <c r="C3779" t="n">
        <v>5.35</v>
      </c>
    </row>
    <row r="3780">
      <c r="A3780" s="28" t="n">
        <v>25016</v>
      </c>
      <c r="B3780" t="n">
        <v>5.65</v>
      </c>
      <c r="C3780" t="n">
        <v>5.32</v>
      </c>
    </row>
    <row r="3781">
      <c r="A3781" s="28" t="n">
        <v>25017</v>
      </c>
      <c r="B3781" t="n">
        <v>5.64</v>
      </c>
      <c r="C3781" t="n">
        <v>5.3</v>
      </c>
    </row>
    <row r="3782">
      <c r="A3782" s="28" t="n">
        <v>25020</v>
      </c>
      <c r="B3782" t="n">
        <v>5.62</v>
      </c>
      <c r="C3782" t="n">
        <v>5.3</v>
      </c>
    </row>
    <row r="3783">
      <c r="A3783" s="28" t="n">
        <v>25021</v>
      </c>
      <c r="B3783" t="n">
        <v>5.58</v>
      </c>
      <c r="C3783" t="n">
        <v>5.34</v>
      </c>
    </row>
    <row r="3784">
      <c r="A3784" s="28" t="n">
        <v>25022</v>
      </c>
      <c r="B3784" t="n">
        <v>5.57</v>
      </c>
      <c r="C3784" t="n">
        <v>5.39</v>
      </c>
    </row>
    <row r="3785">
      <c r="A3785" s="28" t="n">
        <v>25023</v>
      </c>
      <c r="B3785" t="n">
        <v>0</v>
      </c>
      <c r="C3785" t="n">
        <v>0</v>
      </c>
    </row>
    <row r="3786">
      <c r="A3786" s="28" t="n">
        <v>25024</v>
      </c>
      <c r="B3786" t="n">
        <v>5.56</v>
      </c>
      <c r="C3786" t="n">
        <v>5.36</v>
      </c>
    </row>
    <row r="3787">
      <c r="A3787" s="28" t="n">
        <v>25027</v>
      </c>
      <c r="B3787" t="n">
        <v>5.53</v>
      </c>
      <c r="C3787" t="n">
        <v>5.33</v>
      </c>
    </row>
    <row r="3788">
      <c r="A3788" s="28" t="n">
        <v>25028</v>
      </c>
      <c r="B3788" t="n">
        <v>5.51</v>
      </c>
      <c r="C3788" t="n">
        <v>5.38</v>
      </c>
    </row>
    <row r="3789">
      <c r="A3789" s="28" t="n">
        <v>25029</v>
      </c>
      <c r="B3789" t="n">
        <v>5.52</v>
      </c>
      <c r="C3789" t="n">
        <v>5.38</v>
      </c>
    </row>
    <row r="3790">
      <c r="A3790" s="28" t="n">
        <v>25030</v>
      </c>
      <c r="B3790" t="n">
        <v>5.52</v>
      </c>
      <c r="C3790" t="n">
        <v>5.39</v>
      </c>
    </row>
    <row r="3791">
      <c r="A3791" s="28" t="n">
        <v>25031</v>
      </c>
      <c r="B3791" t="n">
        <v>5.53</v>
      </c>
      <c r="C3791" t="n">
        <v>5.38</v>
      </c>
    </row>
    <row r="3792">
      <c r="A3792" s="28" t="n">
        <v>25034</v>
      </c>
      <c r="B3792" t="n">
        <v>5.56</v>
      </c>
      <c r="C3792" t="n">
        <v>5.42</v>
      </c>
    </row>
    <row r="3793">
      <c r="A3793" s="28" t="n">
        <v>25035</v>
      </c>
      <c r="B3793" t="n">
        <v>5.57</v>
      </c>
      <c r="C3793" t="n">
        <v>5.47</v>
      </c>
    </row>
    <row r="3794">
      <c r="A3794" s="28" t="n">
        <v>25036</v>
      </c>
      <c r="B3794" t="n">
        <v>5.55</v>
      </c>
      <c r="C3794" t="n">
        <v>5.39</v>
      </c>
    </row>
    <row r="3795">
      <c r="A3795" s="28" t="n">
        <v>25037</v>
      </c>
      <c r="B3795" t="n">
        <v>5.56</v>
      </c>
      <c r="C3795" t="n">
        <v>5.34</v>
      </c>
    </row>
    <row r="3796">
      <c r="A3796" s="28" t="n">
        <v>25038</v>
      </c>
      <c r="B3796" t="n">
        <v>5.53</v>
      </c>
      <c r="C3796" t="n">
        <v>5.29</v>
      </c>
    </row>
    <row r="3797">
      <c r="A3797" s="28" t="n">
        <v>25041</v>
      </c>
      <c r="B3797" t="n">
        <v>5.45</v>
      </c>
      <c r="C3797" t="n">
        <v>5.27</v>
      </c>
    </row>
    <row r="3798">
      <c r="A3798" s="28" t="n">
        <v>25042</v>
      </c>
      <c r="B3798" t="n">
        <v>5.38</v>
      </c>
      <c r="C3798" t="n">
        <v>5.26</v>
      </c>
    </row>
    <row r="3799">
      <c r="A3799" s="28" t="n">
        <v>25043</v>
      </c>
      <c r="B3799" t="n">
        <v>5.39</v>
      </c>
      <c r="C3799" t="n">
        <v>5.24</v>
      </c>
    </row>
    <row r="3800">
      <c r="A3800" s="28" t="n">
        <v>25044</v>
      </c>
      <c r="B3800" t="n">
        <v>5.37</v>
      </c>
      <c r="C3800" t="n">
        <v>5.2</v>
      </c>
    </row>
    <row r="3801">
      <c r="A3801" s="28" t="n">
        <v>25045</v>
      </c>
      <c r="B3801" t="n">
        <v>5.39</v>
      </c>
      <c r="C3801" t="n">
        <v>5.2</v>
      </c>
    </row>
    <row r="3802">
      <c r="A3802" s="28" t="n">
        <v>25048</v>
      </c>
      <c r="B3802" t="n">
        <v>5.41</v>
      </c>
      <c r="C3802" t="n">
        <v>5.19</v>
      </c>
    </row>
    <row r="3803">
      <c r="A3803" s="28" t="n">
        <v>25049</v>
      </c>
      <c r="B3803" t="n">
        <v>5.41</v>
      </c>
      <c r="C3803" t="n">
        <v>5.2</v>
      </c>
    </row>
    <row r="3804">
      <c r="A3804" s="28" t="n">
        <v>25050</v>
      </c>
      <c r="B3804" t="n">
        <v>5.39</v>
      </c>
      <c r="C3804" t="n">
        <v>5.17</v>
      </c>
    </row>
    <row r="3805">
      <c r="A3805" s="28" t="n">
        <v>25051</v>
      </c>
      <c r="B3805" t="n">
        <v>5.38</v>
      </c>
      <c r="C3805" t="n">
        <v>4.97</v>
      </c>
    </row>
    <row r="3806">
      <c r="A3806" s="28" t="n">
        <v>25052</v>
      </c>
      <c r="B3806" t="n">
        <v>5.34</v>
      </c>
      <c r="C3806" t="n">
        <v>4.9</v>
      </c>
    </row>
    <row r="3807">
      <c r="A3807" s="28" t="n">
        <v>25055</v>
      </c>
      <c r="B3807" t="n">
        <v>5.37</v>
      </c>
      <c r="C3807" t="n">
        <v>4.89</v>
      </c>
    </row>
    <row r="3808">
      <c r="A3808" s="28" t="n">
        <v>25056</v>
      </c>
      <c r="B3808" t="n">
        <v>5.38</v>
      </c>
      <c r="C3808" t="n">
        <v>4.98</v>
      </c>
    </row>
    <row r="3809">
      <c r="A3809" s="28" t="n">
        <v>25057</v>
      </c>
      <c r="B3809" t="n">
        <v>5.36</v>
      </c>
      <c r="C3809" t="n">
        <v>4.96</v>
      </c>
    </row>
    <row r="3810">
      <c r="A3810" s="28" t="n">
        <v>25058</v>
      </c>
      <c r="B3810" t="n">
        <v>5.37</v>
      </c>
      <c r="C3810" t="n">
        <v>4.96</v>
      </c>
    </row>
    <row r="3811">
      <c r="A3811" s="28" t="n">
        <v>25059</v>
      </c>
      <c r="B3811" t="n">
        <v>5.39</v>
      </c>
      <c r="C3811" t="n">
        <v>4.99</v>
      </c>
    </row>
    <row r="3812">
      <c r="A3812" s="28" t="n">
        <v>25062</v>
      </c>
      <c r="B3812" t="n">
        <v>5.42</v>
      </c>
      <c r="C3812" t="n">
        <v>5.05</v>
      </c>
    </row>
    <row r="3813">
      <c r="A3813" s="28" t="n">
        <v>25063</v>
      </c>
      <c r="B3813" t="n">
        <v>5.43</v>
      </c>
      <c r="C3813" t="n">
        <v>5.11</v>
      </c>
    </row>
    <row r="3814">
      <c r="A3814" s="28" t="n">
        <v>25064</v>
      </c>
      <c r="B3814" t="n">
        <v>5.43</v>
      </c>
      <c r="C3814" t="n">
        <v>5.14</v>
      </c>
    </row>
    <row r="3815">
      <c r="A3815" s="28" t="n">
        <v>25065</v>
      </c>
      <c r="B3815" t="n">
        <v>5.45</v>
      </c>
      <c r="C3815" t="n">
        <v>5.17</v>
      </c>
    </row>
    <row r="3816">
      <c r="A3816" s="28" t="n">
        <v>25066</v>
      </c>
      <c r="B3816" t="n">
        <v>5.42</v>
      </c>
      <c r="C3816" t="n">
        <v>5.11</v>
      </c>
    </row>
    <row r="3817">
      <c r="A3817" s="28" t="n">
        <v>25069</v>
      </c>
      <c r="B3817" t="n">
        <v>5.43</v>
      </c>
      <c r="C3817" t="n">
        <v>5.11</v>
      </c>
    </row>
    <row r="3818">
      <c r="A3818" s="28" t="n">
        <v>25070</v>
      </c>
      <c r="B3818" t="n">
        <v>5.43</v>
      </c>
      <c r="C3818" t="n">
        <v>5.14</v>
      </c>
    </row>
    <row r="3819">
      <c r="A3819" s="28" t="n">
        <v>25071</v>
      </c>
      <c r="B3819" t="n">
        <v>5.46</v>
      </c>
      <c r="C3819" t="n">
        <v>5.17</v>
      </c>
    </row>
    <row r="3820">
      <c r="A3820" s="28" t="n">
        <v>25072</v>
      </c>
      <c r="B3820" t="n">
        <v>5.5</v>
      </c>
      <c r="C3820" t="n">
        <v>5.17</v>
      </c>
    </row>
    <row r="3821">
      <c r="A3821" s="28" t="n">
        <v>25073</v>
      </c>
      <c r="B3821" t="n">
        <v>5.47</v>
      </c>
      <c r="C3821" t="n">
        <v>5.15</v>
      </c>
    </row>
    <row r="3822">
      <c r="A3822" s="28" t="n">
        <v>25076</v>
      </c>
      <c r="B3822" t="n">
        <v>5.46</v>
      </c>
      <c r="C3822" t="n">
        <v>5.16</v>
      </c>
    </row>
    <row r="3823">
      <c r="A3823" s="28" t="n">
        <v>25077</v>
      </c>
      <c r="B3823" t="n">
        <v>5.46</v>
      </c>
      <c r="C3823" t="n">
        <v>5.19</v>
      </c>
    </row>
    <row r="3824">
      <c r="A3824" s="28" t="n">
        <v>25078</v>
      </c>
      <c r="B3824" t="n">
        <v>5.45</v>
      </c>
      <c r="C3824" t="n">
        <v>5.2</v>
      </c>
    </row>
    <row r="3825">
      <c r="A3825" s="28" t="n">
        <v>25079</v>
      </c>
      <c r="B3825" t="n">
        <v>5.43</v>
      </c>
      <c r="C3825" t="n">
        <v>5.21</v>
      </c>
    </row>
    <row r="3826">
      <c r="A3826" s="28" t="n">
        <v>25080</v>
      </c>
      <c r="B3826" t="n">
        <v>5.42</v>
      </c>
      <c r="C3826" t="n">
        <v>5.18</v>
      </c>
    </row>
    <row r="3827">
      <c r="A3827" s="28" t="n">
        <v>25083</v>
      </c>
      <c r="B3827" t="n">
        <v>0</v>
      </c>
      <c r="C3827" t="n">
        <v>0</v>
      </c>
    </row>
    <row r="3828">
      <c r="A3828" s="28" t="n">
        <v>25084</v>
      </c>
      <c r="B3828" t="n">
        <v>5.41</v>
      </c>
      <c r="C3828" t="n">
        <v>5.18</v>
      </c>
    </row>
    <row r="3829">
      <c r="A3829" s="28" t="n">
        <v>25085</v>
      </c>
      <c r="B3829" t="n">
        <v>5.43</v>
      </c>
      <c r="C3829" t="n">
        <v>5.19</v>
      </c>
    </row>
    <row r="3830">
      <c r="A3830" s="28" t="n">
        <v>25086</v>
      </c>
      <c r="B3830" t="n">
        <v>5.46</v>
      </c>
      <c r="C3830" t="n">
        <v>5.22</v>
      </c>
    </row>
    <row r="3831">
      <c r="A3831" s="28" t="n">
        <v>25087</v>
      </c>
      <c r="B3831" t="n">
        <v>5.48</v>
      </c>
      <c r="C3831" t="n">
        <v>5.23</v>
      </c>
    </row>
    <row r="3832">
      <c r="A3832" s="28" t="n">
        <v>25090</v>
      </c>
      <c r="B3832" t="n">
        <v>5.49</v>
      </c>
      <c r="C3832" t="n">
        <v>5.24</v>
      </c>
    </row>
    <row r="3833">
      <c r="A3833" s="28" t="n">
        <v>25091</v>
      </c>
      <c r="B3833" t="n">
        <v>5.51</v>
      </c>
      <c r="C3833" t="n">
        <v>5.3</v>
      </c>
    </row>
    <row r="3834">
      <c r="A3834" s="28" t="n">
        <v>25092</v>
      </c>
      <c r="B3834" t="n">
        <v>5.5</v>
      </c>
      <c r="C3834" t="n">
        <v>5.3</v>
      </c>
    </row>
    <row r="3835">
      <c r="A3835" s="28" t="n">
        <v>25093</v>
      </c>
      <c r="B3835" t="n">
        <v>5.49</v>
      </c>
      <c r="C3835" t="n">
        <v>5.3</v>
      </c>
    </row>
    <row r="3836">
      <c r="A3836" s="28" t="n">
        <v>25094</v>
      </c>
      <c r="B3836" t="n">
        <v>5.48</v>
      </c>
      <c r="C3836" t="n">
        <v>5.24</v>
      </c>
    </row>
    <row r="3837">
      <c r="A3837" s="28" t="n">
        <v>25097</v>
      </c>
      <c r="B3837" t="n">
        <v>5.46</v>
      </c>
      <c r="C3837" t="n">
        <v>5.22</v>
      </c>
    </row>
    <row r="3838">
      <c r="A3838" s="28" t="n">
        <v>25098</v>
      </c>
      <c r="B3838" t="n">
        <v>5.46</v>
      </c>
      <c r="C3838" t="n">
        <v>5.2</v>
      </c>
    </row>
    <row r="3839">
      <c r="A3839" s="28" t="n">
        <v>25099</v>
      </c>
      <c r="B3839" t="n">
        <v>5.42</v>
      </c>
      <c r="C3839" t="n">
        <v>5.15</v>
      </c>
    </row>
    <row r="3840">
      <c r="A3840" s="28" t="n">
        <v>25100</v>
      </c>
      <c r="B3840" t="n">
        <v>5.43</v>
      </c>
      <c r="C3840" t="n">
        <v>5.16</v>
      </c>
    </row>
    <row r="3841">
      <c r="A3841" s="28" t="n">
        <v>25101</v>
      </c>
      <c r="B3841" t="n">
        <v>5.45</v>
      </c>
      <c r="C3841" t="n">
        <v>5.17</v>
      </c>
    </row>
    <row r="3842">
      <c r="A3842" s="28" t="n">
        <v>25104</v>
      </c>
      <c r="B3842" t="n">
        <v>5.45</v>
      </c>
      <c r="C3842" t="n">
        <v>5.17</v>
      </c>
    </row>
    <row r="3843">
      <c r="A3843" s="28" t="n">
        <v>25105</v>
      </c>
      <c r="B3843" t="n">
        <v>5.44</v>
      </c>
      <c r="C3843" t="n">
        <v>5.13</v>
      </c>
    </row>
    <row r="3844">
      <c r="A3844" s="28" t="n">
        <v>25106</v>
      </c>
      <c r="B3844" t="n">
        <v>5.44</v>
      </c>
      <c r="C3844" t="n">
        <v>5.11</v>
      </c>
    </row>
    <row r="3845">
      <c r="A3845" s="28" t="n">
        <v>25107</v>
      </c>
      <c r="B3845" t="n">
        <v>5.45</v>
      </c>
      <c r="C3845" t="n">
        <v>5.09</v>
      </c>
    </row>
    <row r="3846">
      <c r="A3846" s="28" t="n">
        <v>25108</v>
      </c>
      <c r="B3846" t="n">
        <v>5.46</v>
      </c>
      <c r="C3846" t="n">
        <v>5.12</v>
      </c>
    </row>
    <row r="3847">
      <c r="A3847" s="28" t="n">
        <v>25111</v>
      </c>
      <c r="B3847" t="n">
        <v>5.49</v>
      </c>
      <c r="C3847" t="n">
        <v>5.16</v>
      </c>
    </row>
    <row r="3848">
      <c r="A3848" s="28" t="n">
        <v>25112</v>
      </c>
      <c r="B3848" t="n">
        <v>5.49</v>
      </c>
      <c r="C3848" t="n">
        <v>5.16</v>
      </c>
    </row>
    <row r="3849">
      <c r="A3849" s="28" t="n">
        <v>25113</v>
      </c>
      <c r="B3849" t="n">
        <v>5.49</v>
      </c>
      <c r="C3849" t="n">
        <v>5.22</v>
      </c>
    </row>
    <row r="3850">
      <c r="A3850" s="28" t="n">
        <v>25114</v>
      </c>
      <c r="B3850" t="n">
        <v>5.5</v>
      </c>
      <c r="C3850" t="n">
        <v>5.21</v>
      </c>
    </row>
    <row r="3851">
      <c r="A3851" s="28" t="n">
        <v>25115</v>
      </c>
      <c r="B3851" t="n">
        <v>5.52</v>
      </c>
      <c r="C3851" t="n">
        <v>5.23</v>
      </c>
    </row>
    <row r="3852">
      <c r="A3852" s="28" t="n">
        <v>25118</v>
      </c>
      <c r="B3852" t="n">
        <v>5.55</v>
      </c>
      <c r="C3852" t="n">
        <v>5.26</v>
      </c>
    </row>
    <row r="3853">
      <c r="A3853" s="28" t="n">
        <v>25119</v>
      </c>
      <c r="B3853" t="n">
        <v>5.57</v>
      </c>
      <c r="C3853" t="n">
        <v>5.35</v>
      </c>
    </row>
    <row r="3854">
      <c r="A3854" s="28" t="n">
        <v>25120</v>
      </c>
      <c r="B3854" t="n">
        <v>5.6</v>
      </c>
      <c r="C3854" t="n">
        <v>5.37</v>
      </c>
    </row>
    <row r="3855">
      <c r="A3855" s="28" t="n">
        <v>25121</v>
      </c>
      <c r="B3855" t="n">
        <v>5.61</v>
      </c>
      <c r="C3855" t="n">
        <v>5.34</v>
      </c>
    </row>
    <row r="3856">
      <c r="A3856" s="28" t="n">
        <v>25122</v>
      </c>
      <c r="B3856" t="n">
        <v>5.61</v>
      </c>
      <c r="C3856" t="n">
        <v>5.26</v>
      </c>
    </row>
    <row r="3857">
      <c r="A3857" s="28" t="n">
        <v>25125</v>
      </c>
      <c r="B3857" t="n">
        <v>5.62</v>
      </c>
      <c r="C3857" t="n">
        <v>5.32</v>
      </c>
    </row>
    <row r="3858">
      <c r="A3858" s="28" t="n">
        <v>25126</v>
      </c>
      <c r="B3858" t="n">
        <v>5.65</v>
      </c>
      <c r="C3858" t="n">
        <v>5.38</v>
      </c>
    </row>
    <row r="3859">
      <c r="A3859" s="28" t="n">
        <v>25127</v>
      </c>
      <c r="B3859" t="n">
        <v>5.62</v>
      </c>
      <c r="C3859" t="n">
        <v>5.37</v>
      </c>
    </row>
    <row r="3860">
      <c r="A3860" s="28" t="n">
        <v>25128</v>
      </c>
      <c r="B3860" t="n">
        <v>5.58</v>
      </c>
      <c r="C3860" t="n">
        <v>5.33</v>
      </c>
    </row>
    <row r="3861">
      <c r="A3861" s="28" t="n">
        <v>25129</v>
      </c>
      <c r="B3861" t="n">
        <v>5.57</v>
      </c>
      <c r="C3861" t="n">
        <v>5.33</v>
      </c>
    </row>
    <row r="3862">
      <c r="A3862" s="28" t="n">
        <v>25132</v>
      </c>
      <c r="B3862" t="n">
        <v>5.58</v>
      </c>
      <c r="C3862" t="n">
        <v>5.36</v>
      </c>
    </row>
    <row r="3863">
      <c r="A3863" s="28" t="n">
        <v>25133</v>
      </c>
      <c r="B3863" t="n">
        <v>5.58</v>
      </c>
      <c r="C3863" t="n">
        <v>5.42</v>
      </c>
    </row>
    <row r="3864">
      <c r="A3864" s="28" t="n">
        <v>25134</v>
      </c>
      <c r="B3864" t="n">
        <v>5.58</v>
      </c>
      <c r="C3864" t="n">
        <v>5.4</v>
      </c>
    </row>
    <row r="3865">
      <c r="A3865" s="28" t="n">
        <v>25135</v>
      </c>
      <c r="B3865" t="n">
        <v>5.61</v>
      </c>
      <c r="C3865" t="n">
        <v>5.4</v>
      </c>
    </row>
    <row r="3866">
      <c r="A3866" s="28" t="n">
        <v>25136</v>
      </c>
      <c r="B3866" t="n">
        <v>5.6</v>
      </c>
      <c r="C3866" t="n">
        <v>5.42</v>
      </c>
    </row>
    <row r="3867">
      <c r="A3867" s="28" t="n">
        <v>25139</v>
      </c>
      <c r="B3867" t="n">
        <v>5.61</v>
      </c>
      <c r="C3867" t="n">
        <v>5.46</v>
      </c>
    </row>
    <row r="3868">
      <c r="A3868" s="28" t="n">
        <v>25140</v>
      </c>
      <c r="B3868" t="n">
        <v>5.62</v>
      </c>
      <c r="C3868" t="n">
        <v>5.51</v>
      </c>
    </row>
    <row r="3869">
      <c r="A3869" s="28" t="n">
        <v>25141</v>
      </c>
      <c r="B3869" t="n">
        <v>5.63</v>
      </c>
      <c r="C3869" t="n">
        <v>5.5</v>
      </c>
    </row>
    <row r="3870">
      <c r="A3870" s="28" t="n">
        <v>25142</v>
      </c>
      <c r="B3870" t="n">
        <v>5.61</v>
      </c>
      <c r="C3870" t="n">
        <v>5.48</v>
      </c>
    </row>
    <row r="3871">
      <c r="A3871" s="28" t="n">
        <v>25143</v>
      </c>
      <c r="B3871" t="n">
        <v>5.61</v>
      </c>
      <c r="C3871" t="n">
        <v>5.46</v>
      </c>
    </row>
    <row r="3872">
      <c r="A3872" s="28" t="n">
        <v>25146</v>
      </c>
      <c r="B3872" t="n">
        <v>5.63</v>
      </c>
      <c r="C3872" t="n">
        <v>5.52</v>
      </c>
    </row>
    <row r="3873">
      <c r="A3873" s="28" t="n">
        <v>25147</v>
      </c>
      <c r="B3873" t="n">
        <v>0</v>
      </c>
      <c r="C3873" t="n">
        <v>0</v>
      </c>
    </row>
    <row r="3874">
      <c r="A3874" s="28" t="n">
        <v>25148</v>
      </c>
      <c r="B3874" t="n">
        <v>5.62</v>
      </c>
      <c r="C3874" t="n">
        <v>5.51</v>
      </c>
    </row>
    <row r="3875">
      <c r="A3875" s="28" t="n">
        <v>25149</v>
      </c>
      <c r="B3875" t="n">
        <v>5.63</v>
      </c>
      <c r="C3875" t="n">
        <v>5.45</v>
      </c>
    </row>
    <row r="3876">
      <c r="A3876" s="28" t="n">
        <v>25150</v>
      </c>
      <c r="B3876" t="n">
        <v>5.65</v>
      </c>
      <c r="C3876" t="n">
        <v>5.46</v>
      </c>
    </row>
    <row r="3877">
      <c r="A3877" s="28" t="n">
        <v>25153</v>
      </c>
      <c r="B3877" t="n">
        <v>0</v>
      </c>
      <c r="C3877" t="n">
        <v>0</v>
      </c>
    </row>
    <row r="3878">
      <c r="A3878" s="28" t="n">
        <v>25154</v>
      </c>
      <c r="B3878" t="n">
        <v>5.68</v>
      </c>
      <c r="C3878" t="n">
        <v>5.46</v>
      </c>
    </row>
    <row r="3879">
      <c r="A3879" s="28" t="n">
        <v>25155</v>
      </c>
      <c r="B3879" t="n">
        <v>5.66</v>
      </c>
      <c r="C3879" t="n">
        <v>5.41</v>
      </c>
    </row>
    <row r="3880">
      <c r="A3880" s="28" t="n">
        <v>25156</v>
      </c>
      <c r="B3880" t="n">
        <v>5.66</v>
      </c>
      <c r="C3880" t="n">
        <v>5.4</v>
      </c>
    </row>
    <row r="3881">
      <c r="A3881" s="28" t="n">
        <v>25157</v>
      </c>
      <c r="B3881" t="n">
        <v>5.68</v>
      </c>
      <c r="C3881" t="n">
        <v>5.42</v>
      </c>
    </row>
    <row r="3882">
      <c r="A3882" s="28" t="n">
        <v>25160</v>
      </c>
      <c r="B3882" t="n">
        <v>5.71</v>
      </c>
      <c r="C3882" t="n">
        <v>5.44</v>
      </c>
    </row>
    <row r="3883">
      <c r="A3883" s="28" t="n">
        <v>25161</v>
      </c>
      <c r="B3883" t="n">
        <v>5.74</v>
      </c>
      <c r="C3883" t="n">
        <v>5.45</v>
      </c>
    </row>
    <row r="3884">
      <c r="A3884" s="28" t="n">
        <v>25162</v>
      </c>
      <c r="B3884" t="n">
        <v>5.74</v>
      </c>
      <c r="C3884" t="n">
        <v>5.42</v>
      </c>
    </row>
    <row r="3885">
      <c r="A3885" s="28" t="n">
        <v>25163</v>
      </c>
      <c r="B3885" t="n">
        <v>5.73</v>
      </c>
      <c r="C3885" t="n">
        <v>5.42</v>
      </c>
    </row>
    <row r="3886">
      <c r="A3886" s="28" t="n">
        <v>25164</v>
      </c>
      <c r="B3886" t="n">
        <v>5.74</v>
      </c>
      <c r="C3886" t="n">
        <v>5.42</v>
      </c>
    </row>
    <row r="3887">
      <c r="A3887" s="28" t="n">
        <v>25167</v>
      </c>
      <c r="B3887" t="n">
        <v>5.75</v>
      </c>
      <c r="C3887" t="n">
        <v>5.42</v>
      </c>
    </row>
    <row r="3888">
      <c r="A3888" s="28" t="n">
        <v>25168</v>
      </c>
      <c r="B3888" t="n">
        <v>5.76</v>
      </c>
      <c r="C3888" t="n">
        <v>5.46</v>
      </c>
    </row>
    <row r="3889">
      <c r="A3889" s="28" t="n">
        <v>25169</v>
      </c>
      <c r="B3889" t="n">
        <v>5.76</v>
      </c>
      <c r="C3889" t="n">
        <v>5.49</v>
      </c>
    </row>
    <row r="3890">
      <c r="A3890" s="28" t="n">
        <v>25170</v>
      </c>
      <c r="B3890" t="n">
        <v>0</v>
      </c>
      <c r="C3890" t="n">
        <v>0</v>
      </c>
    </row>
    <row r="3891">
      <c r="A3891" s="28" t="n">
        <v>25171</v>
      </c>
      <c r="B3891" t="n">
        <v>5.78</v>
      </c>
      <c r="C3891" t="n">
        <v>5.52</v>
      </c>
    </row>
    <row r="3892">
      <c r="A3892" s="28" t="n">
        <v>25174</v>
      </c>
      <c r="B3892" t="n">
        <v>5.89</v>
      </c>
      <c r="C3892" t="n">
        <v>5.61</v>
      </c>
    </row>
    <row r="3893">
      <c r="A3893" s="28" t="n">
        <v>25175</v>
      </c>
      <c r="B3893" t="n">
        <v>5.96</v>
      </c>
      <c r="C3893" t="n">
        <v>5.67</v>
      </c>
    </row>
    <row r="3894">
      <c r="A3894" s="28" t="n">
        <v>25176</v>
      </c>
      <c r="B3894" t="n">
        <v>5.95</v>
      </c>
      <c r="C3894" t="n">
        <v>5.7</v>
      </c>
    </row>
    <row r="3895">
      <c r="A3895" s="28" t="n">
        <v>25177</v>
      </c>
      <c r="B3895" t="n">
        <v>5.93</v>
      </c>
      <c r="C3895" t="n">
        <v>5.66</v>
      </c>
    </row>
    <row r="3896">
      <c r="A3896" s="28" t="n">
        <v>25178</v>
      </c>
      <c r="B3896" t="n">
        <v>5.91</v>
      </c>
      <c r="C3896" t="n">
        <v>5.66</v>
      </c>
    </row>
    <row r="3897">
      <c r="A3897" s="28" t="n">
        <v>25181</v>
      </c>
      <c r="B3897" t="n">
        <v>5.92</v>
      </c>
      <c r="C3897" t="n">
        <v>5.73</v>
      </c>
    </row>
    <row r="3898">
      <c r="A3898" s="28" t="n">
        <v>25182</v>
      </c>
      <c r="B3898" t="n">
        <v>5.93</v>
      </c>
      <c r="C3898" t="n">
        <v>5.84</v>
      </c>
    </row>
    <row r="3899">
      <c r="A3899" s="28" t="n">
        <v>25183</v>
      </c>
      <c r="B3899" t="n">
        <v>5.93</v>
      </c>
      <c r="C3899" t="n">
        <v>5.88</v>
      </c>
    </row>
    <row r="3900">
      <c r="A3900" s="28" t="n">
        <v>25184</v>
      </c>
      <c r="B3900" t="n">
        <v>5.94</v>
      </c>
      <c r="C3900" t="n">
        <v>5.89</v>
      </c>
    </row>
    <row r="3901">
      <c r="A3901" s="28" t="n">
        <v>25185</v>
      </c>
      <c r="B3901" t="n">
        <v>5.93</v>
      </c>
      <c r="C3901" t="n">
        <v>5.88</v>
      </c>
    </row>
    <row r="3902">
      <c r="A3902" s="28" t="n">
        <v>25188</v>
      </c>
      <c r="B3902" t="n">
        <v>5.96</v>
      </c>
      <c r="C3902" t="n">
        <v>5.94</v>
      </c>
    </row>
    <row r="3903">
      <c r="A3903" s="28" t="n">
        <v>25189</v>
      </c>
      <c r="B3903" t="n">
        <v>5.97</v>
      </c>
      <c r="C3903" t="n">
        <v>5.96</v>
      </c>
    </row>
    <row r="3904">
      <c r="A3904" s="28" t="n">
        <v>25190</v>
      </c>
      <c r="B3904" t="n">
        <v>6</v>
      </c>
      <c r="C3904" t="n">
        <v>6</v>
      </c>
    </row>
    <row r="3905">
      <c r="A3905" s="28" t="n">
        <v>25191</v>
      </c>
      <c r="B3905" t="n">
        <v>6.07</v>
      </c>
      <c r="C3905" t="n">
        <v>6.08</v>
      </c>
    </row>
    <row r="3906">
      <c r="A3906" s="28" t="n">
        <v>25192</v>
      </c>
      <c r="B3906" t="n">
        <v>6.14</v>
      </c>
      <c r="C3906" t="n">
        <v>6.19</v>
      </c>
    </row>
    <row r="3907">
      <c r="A3907" s="28" t="n">
        <v>25195</v>
      </c>
      <c r="B3907" t="n">
        <v>6.23</v>
      </c>
      <c r="C3907" t="n">
        <v>6.28</v>
      </c>
    </row>
    <row r="3908">
      <c r="A3908" s="28" t="n">
        <v>25196</v>
      </c>
      <c r="B3908" t="n">
        <v>6.27</v>
      </c>
      <c r="C3908" t="n">
        <v>6.29</v>
      </c>
    </row>
    <row r="3909">
      <c r="A3909" s="28" t="n">
        <v>25197</v>
      </c>
      <c r="B3909" t="n">
        <v>0</v>
      </c>
      <c r="C3909" t="n">
        <v>0</v>
      </c>
    </row>
    <row r="3910">
      <c r="A3910" s="28" t="n">
        <v>25198</v>
      </c>
      <c r="B3910" t="n">
        <v>6.17</v>
      </c>
      <c r="C3910" t="n">
        <v>6.19</v>
      </c>
    </row>
    <row r="3911">
      <c r="A3911" s="28" t="n">
        <v>25199</v>
      </c>
      <c r="B3911" t="n">
        <v>6.2</v>
      </c>
      <c r="C3911" t="n">
        <v>6.12</v>
      </c>
    </row>
    <row r="3912">
      <c r="A3912" s="28" t="n">
        <v>25202</v>
      </c>
      <c r="B3912" t="n">
        <v>6.21</v>
      </c>
      <c r="C3912" t="n">
        <v>6.26</v>
      </c>
    </row>
    <row r="3913">
      <c r="A3913" s="28" t="n">
        <v>25203</v>
      </c>
      <c r="B3913" t="n">
        <v>6.16</v>
      </c>
      <c r="C3913" t="n">
        <v>6.25</v>
      </c>
    </row>
    <row r="3914">
      <c r="A3914" s="28" t="n">
        <v>25204</v>
      </c>
      <c r="B3914" t="n">
        <v>0</v>
      </c>
      <c r="C3914" t="n">
        <v>0</v>
      </c>
    </row>
    <row r="3915">
      <c r="A3915" s="28" t="n">
        <v>25205</v>
      </c>
      <c r="B3915" t="n">
        <v>6.04</v>
      </c>
      <c r="C3915" t="n">
        <v>6.14</v>
      </c>
    </row>
    <row r="3916">
      <c r="A3916" s="28" t="n">
        <v>25206</v>
      </c>
      <c r="B3916" t="n">
        <v>6.01</v>
      </c>
      <c r="C3916" t="n">
        <v>6.13</v>
      </c>
    </row>
    <row r="3917">
      <c r="A3917" s="28" t="n">
        <v>25209</v>
      </c>
      <c r="B3917" t="n">
        <v>6.04</v>
      </c>
      <c r="C3917" t="n">
        <v>6.18</v>
      </c>
    </row>
    <row r="3918">
      <c r="A3918" s="28" t="n">
        <v>25210</v>
      </c>
      <c r="B3918" t="n">
        <v>6.14</v>
      </c>
      <c r="C3918" t="n">
        <v>6.25</v>
      </c>
    </row>
    <row r="3919">
      <c r="A3919" s="28" t="n">
        <v>25211</v>
      </c>
      <c r="B3919" t="n">
        <v>6.09</v>
      </c>
      <c r="C3919" t="n">
        <v>6.19</v>
      </c>
    </row>
    <row r="3920">
      <c r="A3920" s="28" t="n">
        <v>25212</v>
      </c>
      <c r="B3920" t="n">
        <v>6.04</v>
      </c>
      <c r="C3920" t="n">
        <v>6.15</v>
      </c>
    </row>
    <row r="3921">
      <c r="A3921" s="28" t="n">
        <v>25213</v>
      </c>
      <c r="B3921" t="n">
        <v>6.03</v>
      </c>
      <c r="C3921" t="n">
        <v>6.11</v>
      </c>
    </row>
    <row r="3922">
      <c r="A3922" s="28" t="n">
        <v>25216</v>
      </c>
      <c r="B3922" t="n">
        <v>6.04</v>
      </c>
      <c r="C3922" t="n">
        <v>6.13</v>
      </c>
    </row>
    <row r="3923">
      <c r="A3923" s="28" t="n">
        <v>25217</v>
      </c>
      <c r="B3923" t="n">
        <v>6.04</v>
      </c>
      <c r="C3923" t="n">
        <v>6.18</v>
      </c>
    </row>
    <row r="3924">
      <c r="A3924" s="28" t="n">
        <v>25218</v>
      </c>
      <c r="B3924" t="n">
        <v>6.02</v>
      </c>
      <c r="C3924" t="n">
        <v>6.13</v>
      </c>
    </row>
    <row r="3925">
      <c r="A3925" s="28" t="n">
        <v>25219</v>
      </c>
      <c r="B3925" t="n">
        <v>5.98</v>
      </c>
      <c r="C3925" t="n">
        <v>6.05</v>
      </c>
    </row>
    <row r="3926">
      <c r="A3926" s="28" t="n">
        <v>25220</v>
      </c>
      <c r="B3926" t="n">
        <v>5.97</v>
      </c>
      <c r="C3926" t="n">
        <v>6.07</v>
      </c>
    </row>
    <row r="3927">
      <c r="A3927" s="28" t="n">
        <v>25223</v>
      </c>
      <c r="B3927" t="n">
        <v>5.95</v>
      </c>
      <c r="C3927" t="n">
        <v>6.01</v>
      </c>
    </row>
    <row r="3928">
      <c r="A3928" s="28" t="n">
        <v>25224</v>
      </c>
      <c r="B3928" t="n">
        <v>5.97</v>
      </c>
      <c r="C3928" t="n">
        <v>6.09</v>
      </c>
    </row>
    <row r="3929">
      <c r="A3929" s="28" t="n">
        <v>25225</v>
      </c>
      <c r="B3929" t="n">
        <v>6.03</v>
      </c>
      <c r="C3929" t="n">
        <v>6.13</v>
      </c>
    </row>
    <row r="3930">
      <c r="A3930" s="28" t="n">
        <v>25226</v>
      </c>
      <c r="B3930" t="n">
        <v>6.02</v>
      </c>
      <c r="C3930" t="n">
        <v>6.16</v>
      </c>
    </row>
    <row r="3931">
      <c r="A3931" s="28" t="n">
        <v>25227</v>
      </c>
      <c r="B3931" t="n">
        <v>6.01</v>
      </c>
      <c r="C3931" t="n">
        <v>6.17</v>
      </c>
    </row>
    <row r="3932">
      <c r="A3932" s="28" t="n">
        <v>25230</v>
      </c>
      <c r="B3932" t="n">
        <v>6.03</v>
      </c>
      <c r="C3932" t="n">
        <v>6.13</v>
      </c>
    </row>
    <row r="3933">
      <c r="A3933" s="28" t="n">
        <v>25231</v>
      </c>
      <c r="B3933" t="n">
        <v>6.05</v>
      </c>
      <c r="C3933" t="n">
        <v>6.16</v>
      </c>
    </row>
    <row r="3934">
      <c r="A3934" s="28" t="n">
        <v>25232</v>
      </c>
      <c r="B3934" t="n">
        <v>6.09</v>
      </c>
      <c r="C3934" t="n">
        <v>6.16</v>
      </c>
    </row>
    <row r="3935">
      <c r="A3935" s="28" t="n">
        <v>25233</v>
      </c>
      <c r="B3935" t="n">
        <v>6.14</v>
      </c>
      <c r="C3935" t="n">
        <v>6.17</v>
      </c>
    </row>
    <row r="3936">
      <c r="A3936" s="28" t="n">
        <v>25234</v>
      </c>
      <c r="B3936" t="n">
        <v>6.19</v>
      </c>
      <c r="C3936" t="n">
        <v>6.19</v>
      </c>
    </row>
    <row r="3937">
      <c r="A3937" s="28" t="n">
        <v>25237</v>
      </c>
      <c r="B3937" t="n">
        <v>6.22</v>
      </c>
      <c r="C3937" t="n">
        <v>6.19</v>
      </c>
    </row>
    <row r="3938">
      <c r="A3938" s="28" t="n">
        <v>25238</v>
      </c>
      <c r="B3938" t="n">
        <v>6.2</v>
      </c>
      <c r="C3938" t="n">
        <v>6.2</v>
      </c>
    </row>
    <row r="3939">
      <c r="A3939" s="28" t="n">
        <v>25239</v>
      </c>
      <c r="B3939" t="n">
        <v>6.19</v>
      </c>
      <c r="C3939" t="n">
        <v>6.2</v>
      </c>
    </row>
    <row r="3940">
      <c r="A3940" s="28" t="n">
        <v>25240</v>
      </c>
      <c r="B3940" t="n">
        <v>6.2</v>
      </c>
      <c r="C3940" t="n">
        <v>6.2</v>
      </c>
    </row>
    <row r="3941">
      <c r="A3941" s="28" t="n">
        <v>25241</v>
      </c>
      <c r="B3941" t="n">
        <v>6.14</v>
      </c>
      <c r="C3941" t="n">
        <v>6.15</v>
      </c>
    </row>
    <row r="3942">
      <c r="A3942" s="28" t="n">
        <v>25244</v>
      </c>
      <c r="B3942" t="n">
        <v>6.14</v>
      </c>
      <c r="C3942" t="n">
        <v>6.14</v>
      </c>
    </row>
    <row r="3943">
      <c r="A3943" s="28" t="n">
        <v>25245</v>
      </c>
      <c r="B3943" t="n">
        <v>6.1</v>
      </c>
      <c r="C3943" t="n">
        <v>6.08</v>
      </c>
    </row>
    <row r="3944">
      <c r="A3944" s="28" t="n">
        <v>25246</v>
      </c>
      <c r="B3944" t="n">
        <v>0</v>
      </c>
      <c r="C3944" t="n">
        <v>0</v>
      </c>
    </row>
    <row r="3945">
      <c r="A3945" s="28" t="n">
        <v>25247</v>
      </c>
      <c r="B3945" t="n">
        <v>6.09</v>
      </c>
      <c r="C3945" t="n">
        <v>6.08</v>
      </c>
    </row>
    <row r="3946">
      <c r="A3946" s="28" t="n">
        <v>25248</v>
      </c>
      <c r="B3946" t="n">
        <v>6.11</v>
      </c>
      <c r="C3946" t="n">
        <v>6.05</v>
      </c>
    </row>
    <row r="3947">
      <c r="A3947" s="28" t="n">
        <v>25251</v>
      </c>
      <c r="B3947" t="n">
        <v>6.14</v>
      </c>
      <c r="C3947" t="n">
        <v>6.06</v>
      </c>
    </row>
    <row r="3948">
      <c r="A3948" s="28" t="n">
        <v>25252</v>
      </c>
      <c r="B3948" t="n">
        <v>6.16</v>
      </c>
      <c r="C3948" t="n">
        <v>6.15</v>
      </c>
    </row>
    <row r="3949">
      <c r="A3949" s="28" t="n">
        <v>25253</v>
      </c>
      <c r="B3949" t="n">
        <v>6.2</v>
      </c>
      <c r="C3949" t="n">
        <v>6.14</v>
      </c>
    </row>
    <row r="3950">
      <c r="A3950" s="28" t="n">
        <v>25254</v>
      </c>
      <c r="B3950" t="n">
        <v>6.23</v>
      </c>
      <c r="C3950" t="n">
        <v>6.07</v>
      </c>
    </row>
    <row r="3951">
      <c r="A3951" s="28" t="n">
        <v>25255</v>
      </c>
      <c r="B3951" t="n">
        <v>6.24</v>
      </c>
      <c r="C3951" t="n">
        <v>6.02</v>
      </c>
    </row>
    <row r="3952">
      <c r="A3952" s="28" t="n">
        <v>25258</v>
      </c>
      <c r="B3952" t="n">
        <v>6.22</v>
      </c>
      <c r="C3952" t="n">
        <v>6</v>
      </c>
    </row>
    <row r="3953">
      <c r="A3953" s="28" t="n">
        <v>25259</v>
      </c>
      <c r="B3953" t="n">
        <v>6.24</v>
      </c>
      <c r="C3953" t="n">
        <v>6.09</v>
      </c>
    </row>
    <row r="3954">
      <c r="A3954" s="28" t="n">
        <v>25260</v>
      </c>
      <c r="B3954" t="n">
        <v>6.24</v>
      </c>
      <c r="C3954" t="n">
        <v>6.1</v>
      </c>
    </row>
    <row r="3955">
      <c r="A3955" s="28" t="n">
        <v>25261</v>
      </c>
      <c r="B3955" t="n">
        <v>6.27</v>
      </c>
      <c r="C3955" t="n">
        <v>6.19</v>
      </c>
    </row>
    <row r="3956">
      <c r="A3956" s="28" t="n">
        <v>25262</v>
      </c>
      <c r="B3956" t="n">
        <v>6.26</v>
      </c>
      <c r="C3956" t="n">
        <v>6.19</v>
      </c>
    </row>
    <row r="3957">
      <c r="A3957" s="28" t="n">
        <v>25265</v>
      </c>
      <c r="B3957" t="n">
        <v>6.25</v>
      </c>
      <c r="C3957" t="n">
        <v>6.17</v>
      </c>
    </row>
    <row r="3958">
      <c r="A3958" s="28" t="n">
        <v>25266</v>
      </c>
      <c r="B3958" t="n">
        <v>6.24</v>
      </c>
      <c r="C3958" t="n">
        <v>6.16</v>
      </c>
    </row>
    <row r="3959">
      <c r="A3959" s="28" t="n">
        <v>25267</v>
      </c>
      <c r="B3959" t="n">
        <v>6.24</v>
      </c>
      <c r="C3959" t="n">
        <v>6.09</v>
      </c>
    </row>
    <row r="3960">
      <c r="A3960" s="28" t="n">
        <v>25268</v>
      </c>
      <c r="B3960" t="n">
        <v>6.26</v>
      </c>
      <c r="C3960" t="n">
        <v>6.08</v>
      </c>
    </row>
    <row r="3961">
      <c r="A3961" s="28" t="n">
        <v>25269</v>
      </c>
      <c r="B3961" t="n">
        <v>6.27</v>
      </c>
      <c r="C3961" t="n">
        <v>6.06</v>
      </c>
    </row>
    <row r="3962">
      <c r="A3962" s="28" t="n">
        <v>25272</v>
      </c>
      <c r="B3962" t="n">
        <v>6.27</v>
      </c>
      <c r="C3962" t="n">
        <v>6.01</v>
      </c>
    </row>
    <row r="3963">
      <c r="A3963" s="28" t="n">
        <v>25273</v>
      </c>
      <c r="B3963" t="n">
        <v>6.3</v>
      </c>
      <c r="C3963" t="n">
        <v>6.01</v>
      </c>
    </row>
    <row r="3964">
      <c r="A3964" s="28" t="n">
        <v>25274</v>
      </c>
      <c r="B3964" t="n">
        <v>6.31</v>
      </c>
      <c r="C3964" t="n">
        <v>5.99</v>
      </c>
    </row>
    <row r="3965">
      <c r="A3965" s="28" t="n">
        <v>25275</v>
      </c>
      <c r="B3965" t="n">
        <v>6.32</v>
      </c>
      <c r="C3965" t="n">
        <v>6.03</v>
      </c>
    </row>
    <row r="3966">
      <c r="A3966" s="28" t="n">
        <v>25276</v>
      </c>
      <c r="B3966" t="n">
        <v>6.31</v>
      </c>
      <c r="C3966" t="n">
        <v>6.02</v>
      </c>
    </row>
    <row r="3967">
      <c r="A3967" s="28" t="n">
        <v>25279</v>
      </c>
      <c r="B3967" t="n">
        <v>6.35</v>
      </c>
      <c r="C3967" t="n">
        <v>6.08</v>
      </c>
    </row>
    <row r="3968">
      <c r="A3968" s="28" t="n">
        <v>25280</v>
      </c>
      <c r="B3968" t="n">
        <v>6.35</v>
      </c>
      <c r="C3968" t="n">
        <v>5.99</v>
      </c>
    </row>
    <row r="3969">
      <c r="A3969" s="28" t="n">
        <v>25281</v>
      </c>
      <c r="B3969" t="n">
        <v>6.32</v>
      </c>
      <c r="C3969" t="n">
        <v>5.99</v>
      </c>
    </row>
    <row r="3970">
      <c r="A3970" s="28" t="n">
        <v>25282</v>
      </c>
      <c r="B3970" t="n">
        <v>6.31</v>
      </c>
      <c r="C3970" t="n">
        <v>5.99</v>
      </c>
    </row>
    <row r="3971">
      <c r="A3971" s="28" t="n">
        <v>25283</v>
      </c>
      <c r="B3971" t="n">
        <v>6.29</v>
      </c>
      <c r="C3971" t="n">
        <v>5.96</v>
      </c>
    </row>
    <row r="3972">
      <c r="A3972" s="28" t="n">
        <v>25286</v>
      </c>
      <c r="B3972" t="n">
        <v>6.28</v>
      </c>
      <c r="C3972" t="n">
        <v>5.91</v>
      </c>
    </row>
    <row r="3973">
      <c r="A3973" s="28" t="n">
        <v>25287</v>
      </c>
      <c r="B3973" t="n">
        <v>6.3</v>
      </c>
      <c r="C3973" t="n">
        <v>5.92</v>
      </c>
    </row>
    <row r="3974">
      <c r="A3974" s="28" t="n">
        <v>25288</v>
      </c>
      <c r="B3974" t="n">
        <v>6.32</v>
      </c>
      <c r="C3974" t="n">
        <v>5.94</v>
      </c>
    </row>
    <row r="3975">
      <c r="A3975" s="28" t="n">
        <v>25289</v>
      </c>
      <c r="B3975" t="n">
        <v>6.33</v>
      </c>
      <c r="C3975" t="n">
        <v>5.94</v>
      </c>
    </row>
    <row r="3976">
      <c r="A3976" s="28" t="n">
        <v>25290</v>
      </c>
      <c r="B3976" t="n">
        <v>6.3</v>
      </c>
      <c r="C3976" t="n">
        <v>5.99</v>
      </c>
    </row>
    <row r="3977">
      <c r="A3977" s="28" t="n">
        <v>25293</v>
      </c>
      <c r="B3977" t="n">
        <v>0</v>
      </c>
      <c r="C3977" t="n">
        <v>0</v>
      </c>
    </row>
    <row r="3978">
      <c r="A3978" s="28" t="n">
        <v>25294</v>
      </c>
      <c r="B3978" t="n">
        <v>6.25</v>
      </c>
      <c r="C3978" t="n">
        <v>5.99</v>
      </c>
    </row>
    <row r="3979">
      <c r="A3979" s="28" t="n">
        <v>25295</v>
      </c>
      <c r="B3979" t="n">
        <v>6.25</v>
      </c>
      <c r="C3979" t="n">
        <v>6.08</v>
      </c>
    </row>
    <row r="3980">
      <c r="A3980" s="28" t="n">
        <v>25296</v>
      </c>
      <c r="B3980" t="n">
        <v>6.26</v>
      </c>
      <c r="C3980" t="n">
        <v>6.09</v>
      </c>
    </row>
    <row r="3981">
      <c r="A3981" s="28" t="n">
        <v>25297</v>
      </c>
      <c r="B3981" t="n">
        <v>0</v>
      </c>
      <c r="C3981" t="n">
        <v>0</v>
      </c>
    </row>
    <row r="3982">
      <c r="A3982" s="28" t="n">
        <v>25300</v>
      </c>
      <c r="B3982" t="n">
        <v>6.28</v>
      </c>
      <c r="C3982" t="n">
        <v>6.15</v>
      </c>
    </row>
    <row r="3983">
      <c r="A3983" s="28" t="n">
        <v>25301</v>
      </c>
      <c r="B3983" t="n">
        <v>6.25</v>
      </c>
      <c r="C3983" t="n">
        <v>6.16</v>
      </c>
    </row>
    <row r="3984">
      <c r="A3984" s="28" t="n">
        <v>25302</v>
      </c>
      <c r="B3984" t="n">
        <v>6.19</v>
      </c>
      <c r="C3984" t="n">
        <v>6.13</v>
      </c>
    </row>
    <row r="3985">
      <c r="A3985" s="28" t="n">
        <v>25303</v>
      </c>
      <c r="B3985" t="n">
        <v>6.18</v>
      </c>
      <c r="C3985" t="n">
        <v>6.16</v>
      </c>
    </row>
    <row r="3986">
      <c r="A3986" s="28" t="n">
        <v>25304</v>
      </c>
      <c r="B3986" t="n">
        <v>6.15</v>
      </c>
      <c r="C3986" t="n">
        <v>6.17</v>
      </c>
    </row>
    <row r="3987">
      <c r="A3987" s="28" t="n">
        <v>25307</v>
      </c>
      <c r="B3987" t="n">
        <v>6.06</v>
      </c>
      <c r="C3987" t="n">
        <v>6.16</v>
      </c>
    </row>
    <row r="3988">
      <c r="A3988" s="28" t="n">
        <v>25308</v>
      </c>
      <c r="B3988" t="n">
        <v>6.11</v>
      </c>
      <c r="C3988" t="n">
        <v>6.23</v>
      </c>
    </row>
    <row r="3989">
      <c r="A3989" s="28" t="n">
        <v>25309</v>
      </c>
      <c r="B3989" t="n">
        <v>6.1</v>
      </c>
      <c r="C3989" t="n">
        <v>6.22</v>
      </c>
    </row>
    <row r="3990">
      <c r="A3990" s="28" t="n">
        <v>25310</v>
      </c>
      <c r="B3990" t="n">
        <v>6.13</v>
      </c>
      <c r="C3990" t="n">
        <v>6.2</v>
      </c>
    </row>
    <row r="3991">
      <c r="A3991" s="28" t="n">
        <v>25311</v>
      </c>
      <c r="B3991" t="n">
        <v>6.16</v>
      </c>
      <c r="C3991" t="n">
        <v>6.19</v>
      </c>
    </row>
    <row r="3992">
      <c r="A3992" s="28" t="n">
        <v>25314</v>
      </c>
      <c r="B3992" t="n">
        <v>6.14</v>
      </c>
      <c r="C3992" t="n">
        <v>6.17</v>
      </c>
    </row>
    <row r="3993">
      <c r="A3993" s="28" t="n">
        <v>25315</v>
      </c>
      <c r="B3993" t="n">
        <v>6.12</v>
      </c>
      <c r="C3993" t="n">
        <v>6.17</v>
      </c>
    </row>
    <row r="3994">
      <c r="A3994" s="28" t="n">
        <v>25316</v>
      </c>
      <c r="B3994" t="n">
        <v>6.12</v>
      </c>
      <c r="C3994" t="n">
        <v>6.15</v>
      </c>
    </row>
    <row r="3995">
      <c r="A3995" s="28" t="n">
        <v>25317</v>
      </c>
      <c r="B3995" t="n">
        <v>6.14</v>
      </c>
      <c r="C3995" t="n">
        <v>6.1</v>
      </c>
    </row>
    <row r="3996">
      <c r="A3996" s="28" t="n">
        <v>25318</v>
      </c>
      <c r="B3996" t="n">
        <v>6.15</v>
      </c>
      <c r="C3996" t="n">
        <v>6.08</v>
      </c>
    </row>
    <row r="3997">
      <c r="A3997" s="28" t="n">
        <v>25321</v>
      </c>
      <c r="B3997" t="n">
        <v>6.19</v>
      </c>
      <c r="C3997" t="n">
        <v>6</v>
      </c>
    </row>
    <row r="3998">
      <c r="A3998" s="28" t="n">
        <v>25322</v>
      </c>
      <c r="B3998" t="n">
        <v>6.21</v>
      </c>
      <c r="C3998" t="n">
        <v>5.92</v>
      </c>
    </row>
    <row r="3999">
      <c r="A3999" s="28" t="n">
        <v>25323</v>
      </c>
      <c r="B3999" t="n">
        <v>6.2</v>
      </c>
      <c r="C3999" t="n">
        <v>5.87</v>
      </c>
    </row>
    <row r="4000">
      <c r="A4000" s="28" t="n">
        <v>25324</v>
      </c>
      <c r="B4000" t="n">
        <v>6.25</v>
      </c>
      <c r="C4000" t="n">
        <v>5.92</v>
      </c>
    </row>
    <row r="4001">
      <c r="A4001" s="28" t="n">
        <v>25325</v>
      </c>
      <c r="B4001" t="n">
        <v>6.23</v>
      </c>
      <c r="C4001" t="n">
        <v>5.96</v>
      </c>
    </row>
    <row r="4002">
      <c r="A4002" s="28" t="n">
        <v>25328</v>
      </c>
      <c r="B4002" t="n">
        <v>6.19</v>
      </c>
      <c r="C4002" t="n">
        <v>5.94</v>
      </c>
    </row>
    <row r="4003">
      <c r="A4003" s="28" t="n">
        <v>25329</v>
      </c>
      <c r="B4003" t="n">
        <v>6.22</v>
      </c>
      <c r="C4003" t="n">
        <v>6.02</v>
      </c>
    </row>
    <row r="4004">
      <c r="A4004" s="28" t="n">
        <v>25330</v>
      </c>
      <c r="B4004" t="n">
        <v>6.22</v>
      </c>
      <c r="C4004" t="n">
        <v>6.01</v>
      </c>
    </row>
    <row r="4005">
      <c r="A4005" s="28" t="n">
        <v>25331</v>
      </c>
      <c r="B4005" t="n">
        <v>6.2</v>
      </c>
      <c r="C4005" t="n">
        <v>5.96</v>
      </c>
    </row>
    <row r="4006">
      <c r="A4006" s="28" t="n">
        <v>25332</v>
      </c>
      <c r="B4006" t="n">
        <v>6.23</v>
      </c>
      <c r="C4006" t="n">
        <v>5.96</v>
      </c>
    </row>
    <row r="4007">
      <c r="A4007" s="28" t="n">
        <v>25335</v>
      </c>
      <c r="B4007" t="n">
        <v>6.27</v>
      </c>
      <c r="C4007" t="n">
        <v>6.04</v>
      </c>
    </row>
    <row r="4008">
      <c r="A4008" s="28" t="n">
        <v>25336</v>
      </c>
      <c r="B4008" t="n">
        <v>6.25</v>
      </c>
      <c r="C4008" t="n">
        <v>6.09</v>
      </c>
    </row>
    <row r="4009">
      <c r="A4009" s="28" t="n">
        <v>25337</v>
      </c>
      <c r="B4009" t="n">
        <v>6.24</v>
      </c>
      <c r="C4009" t="n">
        <v>6.07</v>
      </c>
    </row>
    <row r="4010">
      <c r="A4010" s="28" t="n">
        <v>25338</v>
      </c>
      <c r="B4010" t="n">
        <v>6.26</v>
      </c>
      <c r="C4010" t="n">
        <v>6.09</v>
      </c>
    </row>
    <row r="4011">
      <c r="A4011" s="28" t="n">
        <v>25339</v>
      </c>
      <c r="B4011" t="n">
        <v>6.31</v>
      </c>
      <c r="C4011" t="n">
        <v>6.1</v>
      </c>
    </row>
    <row r="4012">
      <c r="A4012" s="28" t="n">
        <v>25342</v>
      </c>
      <c r="B4012" t="n">
        <v>6.36</v>
      </c>
      <c r="C4012" t="n">
        <v>6.09</v>
      </c>
    </row>
    <row r="4013">
      <c r="A4013" s="28" t="n">
        <v>25343</v>
      </c>
      <c r="B4013" t="n">
        <v>6.36</v>
      </c>
      <c r="C4013" t="n">
        <v>6.12</v>
      </c>
    </row>
    <row r="4014">
      <c r="A4014" s="28" t="n">
        <v>25344</v>
      </c>
      <c r="B4014" t="n">
        <v>6.36</v>
      </c>
      <c r="C4014" t="n">
        <v>6.08</v>
      </c>
    </row>
    <row r="4015">
      <c r="A4015" s="28" t="n">
        <v>25345</v>
      </c>
      <c r="B4015" t="n">
        <v>6.36</v>
      </c>
      <c r="C4015" t="n">
        <v>6.02</v>
      </c>
    </row>
    <row r="4016">
      <c r="A4016" s="28" t="n">
        <v>25346</v>
      </c>
      <c r="B4016" t="n">
        <v>6.38</v>
      </c>
      <c r="C4016" t="n">
        <v>6.01</v>
      </c>
    </row>
    <row r="4017">
      <c r="A4017" s="28" t="n">
        <v>25349</v>
      </c>
      <c r="B4017" t="n">
        <v>6.44</v>
      </c>
      <c r="C4017" t="n">
        <v>6.07</v>
      </c>
    </row>
    <row r="4018">
      <c r="A4018" s="28" t="n">
        <v>25350</v>
      </c>
      <c r="B4018" t="n">
        <v>6.54</v>
      </c>
      <c r="C4018" t="n">
        <v>6.14</v>
      </c>
    </row>
    <row r="4019">
      <c r="A4019" s="28" t="n">
        <v>25351</v>
      </c>
      <c r="B4019" t="n">
        <v>6.56</v>
      </c>
      <c r="C4019" t="n">
        <v>6.12</v>
      </c>
    </row>
    <row r="4020">
      <c r="A4020" s="28" t="n">
        <v>25352</v>
      </c>
      <c r="B4020" t="n">
        <v>6.56</v>
      </c>
      <c r="C4020" t="n">
        <v>6.08</v>
      </c>
    </row>
    <row r="4021">
      <c r="A4021" s="28" t="n">
        <v>25353</v>
      </c>
      <c r="B4021" t="n">
        <v>0</v>
      </c>
      <c r="C4021" t="n">
        <v>0</v>
      </c>
    </row>
    <row r="4022">
      <c r="A4022" s="28" t="n">
        <v>25356</v>
      </c>
      <c r="B4022" t="n">
        <v>6.56</v>
      </c>
      <c r="C4022" t="n">
        <v>6.12</v>
      </c>
    </row>
    <row r="4023">
      <c r="A4023" s="28" t="n">
        <v>25357</v>
      </c>
      <c r="B4023" t="n">
        <v>6.55</v>
      </c>
      <c r="C4023" t="n">
        <v>6.18</v>
      </c>
    </row>
    <row r="4024">
      <c r="A4024" s="28" t="n">
        <v>25358</v>
      </c>
      <c r="B4024" t="n">
        <v>6.56</v>
      </c>
      <c r="C4024" t="n">
        <v>6.26</v>
      </c>
    </row>
    <row r="4025">
      <c r="A4025" s="28" t="n">
        <v>25359</v>
      </c>
      <c r="B4025" t="n">
        <v>6.54</v>
      </c>
      <c r="C4025" t="n">
        <v>6.39</v>
      </c>
    </row>
    <row r="4026">
      <c r="A4026" s="28" t="n">
        <v>25360</v>
      </c>
      <c r="B4026" t="n">
        <v>6.52</v>
      </c>
      <c r="C4026" t="n">
        <v>6.34</v>
      </c>
    </row>
    <row r="4027">
      <c r="A4027" s="28" t="n">
        <v>25363</v>
      </c>
      <c r="B4027" t="n">
        <v>6.59</v>
      </c>
      <c r="C4027" t="n">
        <v>6.45</v>
      </c>
    </row>
    <row r="4028">
      <c r="A4028" s="28" t="n">
        <v>25364</v>
      </c>
      <c r="B4028" t="n">
        <v>6.56</v>
      </c>
      <c r="C4028" t="n">
        <v>6.62</v>
      </c>
    </row>
    <row r="4029">
      <c r="A4029" s="28" t="n">
        <v>25365</v>
      </c>
      <c r="B4029" t="n">
        <v>6.56</v>
      </c>
      <c r="C4029" t="n">
        <v>6.69</v>
      </c>
    </row>
    <row r="4030">
      <c r="A4030" s="28" t="n">
        <v>25366</v>
      </c>
      <c r="B4030" t="n">
        <v>6.54</v>
      </c>
      <c r="C4030" t="n">
        <v>6.81</v>
      </c>
    </row>
    <row r="4031">
      <c r="A4031" s="28" t="n">
        <v>25367</v>
      </c>
      <c r="B4031" t="n">
        <v>6.51</v>
      </c>
      <c r="C4031" t="n">
        <v>6.76</v>
      </c>
    </row>
    <row r="4032">
      <c r="A4032" s="28" t="n">
        <v>25370</v>
      </c>
      <c r="B4032" t="n">
        <v>6.49</v>
      </c>
      <c r="C4032" t="n">
        <v>6.63</v>
      </c>
    </row>
    <row r="4033">
      <c r="A4033" s="28" t="n">
        <v>25371</v>
      </c>
      <c r="B4033" t="n">
        <v>6.52</v>
      </c>
      <c r="C4033" t="n">
        <v>6.52</v>
      </c>
    </row>
    <row r="4034">
      <c r="A4034" s="28" t="n">
        <v>25372</v>
      </c>
      <c r="B4034" t="n">
        <v>6.53</v>
      </c>
      <c r="C4034" t="n">
        <v>6.55</v>
      </c>
    </row>
    <row r="4035">
      <c r="A4035" s="28" t="n">
        <v>25373</v>
      </c>
      <c r="B4035" t="n">
        <v>6.57</v>
      </c>
      <c r="C4035" t="n">
        <v>6.6</v>
      </c>
    </row>
    <row r="4036">
      <c r="A4036" s="28" t="n">
        <v>25374</v>
      </c>
      <c r="B4036" t="n">
        <v>6.59</v>
      </c>
      <c r="C4036" t="n">
        <v>6.52</v>
      </c>
    </row>
    <row r="4037">
      <c r="A4037" s="28" t="n">
        <v>25377</v>
      </c>
      <c r="B4037" t="n">
        <v>6.6</v>
      </c>
      <c r="C4037" t="n">
        <v>6.37</v>
      </c>
    </row>
    <row r="4038">
      <c r="A4038" s="28" t="n">
        <v>25378</v>
      </c>
      <c r="B4038" t="n">
        <v>6.63</v>
      </c>
      <c r="C4038" t="n">
        <v>6.5</v>
      </c>
    </row>
    <row r="4039">
      <c r="A4039" s="28" t="n">
        <v>25379</v>
      </c>
      <c r="B4039" t="n">
        <v>6.63</v>
      </c>
      <c r="C4039" t="n">
        <v>6.4</v>
      </c>
    </row>
    <row r="4040">
      <c r="A4040" s="28" t="n">
        <v>25380</v>
      </c>
      <c r="B4040" t="n">
        <v>6.62</v>
      </c>
      <c r="C4040" t="n">
        <v>6.07</v>
      </c>
    </row>
    <row r="4041">
      <c r="A4041" s="28" t="n">
        <v>25381</v>
      </c>
      <c r="B4041" t="n">
        <v>6.66</v>
      </c>
      <c r="C4041" t="n">
        <v>6.15</v>
      </c>
    </row>
    <row r="4042">
      <c r="A4042" s="28" t="n">
        <v>25384</v>
      </c>
      <c r="B4042" t="n">
        <v>6.73</v>
      </c>
      <c r="C4042" t="n">
        <v>6.29</v>
      </c>
    </row>
    <row r="4043">
      <c r="A4043" s="28" t="n">
        <v>25385</v>
      </c>
      <c r="B4043" t="n">
        <v>6.75</v>
      </c>
      <c r="C4043" t="n">
        <v>6.67</v>
      </c>
    </row>
    <row r="4044">
      <c r="A4044" s="28" t="n">
        <v>25386</v>
      </c>
      <c r="B4044" t="n">
        <v>6.77</v>
      </c>
      <c r="C4044" t="n">
        <v>6.74</v>
      </c>
    </row>
    <row r="4045">
      <c r="A4045" s="28" t="n">
        <v>25387</v>
      </c>
      <c r="B4045" t="n">
        <v>6.75</v>
      </c>
      <c r="C4045" t="n">
        <v>6.81</v>
      </c>
    </row>
    <row r="4046">
      <c r="A4046" s="28" t="n">
        <v>25388</v>
      </c>
      <c r="B4046" t="n">
        <v>0</v>
      </c>
      <c r="C4046" t="n">
        <v>0</v>
      </c>
    </row>
    <row r="4047">
      <c r="A4047" s="28" t="n">
        <v>25391</v>
      </c>
      <c r="B4047" t="n">
        <v>6.76</v>
      </c>
      <c r="C4047" t="n">
        <v>6.88</v>
      </c>
    </row>
    <row r="4048">
      <c r="A4048" s="28" t="n">
        <v>25392</v>
      </c>
      <c r="B4048" t="n">
        <v>6.79</v>
      </c>
      <c r="C4048" t="n">
        <v>6.98</v>
      </c>
    </row>
    <row r="4049">
      <c r="A4049" s="28" t="n">
        <v>25393</v>
      </c>
      <c r="B4049" t="n">
        <v>6.82</v>
      </c>
      <c r="C4049" t="n">
        <v>7.04</v>
      </c>
    </row>
    <row r="4050">
      <c r="A4050" s="28" t="n">
        <v>25394</v>
      </c>
      <c r="B4050" t="n">
        <v>6.78</v>
      </c>
      <c r="C4050" t="n">
        <v>7</v>
      </c>
    </row>
    <row r="4051">
      <c r="A4051" s="28" t="n">
        <v>25395</v>
      </c>
      <c r="B4051" t="n">
        <v>6.64</v>
      </c>
      <c r="C4051" t="n">
        <v>6.89</v>
      </c>
    </row>
    <row r="4052">
      <c r="A4052" s="28" t="n">
        <v>25398</v>
      </c>
      <c r="B4052" t="n">
        <v>6.69</v>
      </c>
      <c r="C4052" t="n">
        <v>6.94</v>
      </c>
    </row>
    <row r="4053">
      <c r="A4053" s="28" t="n">
        <v>25399</v>
      </c>
      <c r="B4053" t="n">
        <v>6.72</v>
      </c>
      <c r="C4053" t="n">
        <v>7.09</v>
      </c>
    </row>
    <row r="4054">
      <c r="A4054" s="28" t="n">
        <v>25400</v>
      </c>
      <c r="B4054" t="n">
        <v>6.67</v>
      </c>
      <c r="C4054" t="n">
        <v>6.99</v>
      </c>
    </row>
    <row r="4055">
      <c r="A4055" s="28" t="n">
        <v>25401</v>
      </c>
      <c r="B4055" t="n">
        <v>6.69</v>
      </c>
      <c r="C4055" t="n">
        <v>7.04</v>
      </c>
    </row>
    <row r="4056">
      <c r="A4056" s="28" t="n">
        <v>25402</v>
      </c>
      <c r="B4056" t="n">
        <v>6.7</v>
      </c>
      <c r="C4056" t="n">
        <v>7.05</v>
      </c>
    </row>
    <row r="4057">
      <c r="A4057" s="28" t="n">
        <v>25405</v>
      </c>
      <c r="B4057" t="n">
        <v>0</v>
      </c>
      <c r="C4057" t="n">
        <v>0</v>
      </c>
    </row>
    <row r="4058">
      <c r="A4058" s="28" t="n">
        <v>25406</v>
      </c>
      <c r="B4058" t="n">
        <v>6.66</v>
      </c>
      <c r="C4058" t="n">
        <v>7.08</v>
      </c>
    </row>
    <row r="4059">
      <c r="A4059" s="28" t="n">
        <v>25407</v>
      </c>
      <c r="B4059" t="n">
        <v>6.68</v>
      </c>
      <c r="C4059" t="n">
        <v>7.13</v>
      </c>
    </row>
    <row r="4060">
      <c r="A4060" s="28" t="n">
        <v>25408</v>
      </c>
      <c r="B4060" t="n">
        <v>6.7</v>
      </c>
      <c r="C4060" t="n">
        <v>7.12</v>
      </c>
    </row>
    <row r="4061">
      <c r="A4061" s="28" t="n">
        <v>25409</v>
      </c>
      <c r="B4061" t="n">
        <v>6.71</v>
      </c>
      <c r="C4061" t="n">
        <v>7.13</v>
      </c>
    </row>
    <row r="4062">
      <c r="A4062" s="28" t="n">
        <v>25412</v>
      </c>
      <c r="B4062" t="n">
        <v>6.73</v>
      </c>
      <c r="C4062" t="n">
        <v>7.12</v>
      </c>
    </row>
    <row r="4063">
      <c r="A4063" s="28" t="n">
        <v>25413</v>
      </c>
      <c r="B4063" t="n">
        <v>6.72</v>
      </c>
      <c r="C4063" t="n">
        <v>7.14</v>
      </c>
    </row>
    <row r="4064">
      <c r="A4064" s="28" t="n">
        <v>25414</v>
      </c>
      <c r="B4064" t="n">
        <v>6.72</v>
      </c>
      <c r="C4064" t="n">
        <v>7.11</v>
      </c>
    </row>
    <row r="4065">
      <c r="A4065" s="28" t="n">
        <v>25415</v>
      </c>
      <c r="B4065" t="n">
        <v>6.66</v>
      </c>
      <c r="C4065" t="n">
        <v>7.06</v>
      </c>
    </row>
    <row r="4066">
      <c r="A4066" s="28" t="n">
        <v>25416</v>
      </c>
      <c r="B4066" t="n">
        <v>6.66</v>
      </c>
      <c r="C4066" t="n">
        <v>7</v>
      </c>
    </row>
    <row r="4067">
      <c r="A4067" s="28" t="n">
        <v>25419</v>
      </c>
      <c r="B4067" t="n">
        <v>6.63</v>
      </c>
      <c r="C4067" t="n">
        <v>6.93</v>
      </c>
    </row>
    <row r="4068">
      <c r="A4068" s="28" t="n">
        <v>25420</v>
      </c>
      <c r="B4068" t="n">
        <v>6.6</v>
      </c>
      <c r="C4068" t="n">
        <v>6.98</v>
      </c>
    </row>
    <row r="4069">
      <c r="A4069" s="28" t="n">
        <v>25421</v>
      </c>
      <c r="B4069" t="n">
        <v>6.62</v>
      </c>
      <c r="C4069" t="n">
        <v>6.99</v>
      </c>
    </row>
    <row r="4070">
      <c r="A4070" s="28" t="n">
        <v>25422</v>
      </c>
      <c r="B4070" t="n">
        <v>6.63</v>
      </c>
      <c r="C4070" t="n">
        <v>6.97</v>
      </c>
    </row>
    <row r="4071">
      <c r="A4071" s="28" t="n">
        <v>25423</v>
      </c>
      <c r="B4071" t="n">
        <v>6.64</v>
      </c>
      <c r="C4071" t="n">
        <v>7.02</v>
      </c>
    </row>
    <row r="4072">
      <c r="A4072" s="28" t="n">
        <v>25426</v>
      </c>
      <c r="B4072" t="n">
        <v>6.69</v>
      </c>
      <c r="C4072" t="n">
        <v>7.01</v>
      </c>
    </row>
    <row r="4073">
      <c r="A4073" s="28" t="n">
        <v>25427</v>
      </c>
      <c r="B4073" t="n">
        <v>6.7</v>
      </c>
      <c r="C4073" t="n">
        <v>7.1</v>
      </c>
    </row>
    <row r="4074">
      <c r="A4074" s="28" t="n">
        <v>25428</v>
      </c>
      <c r="B4074" t="n">
        <v>6.7</v>
      </c>
      <c r="C4074" t="n">
        <v>7.08</v>
      </c>
    </row>
    <row r="4075">
      <c r="A4075" s="28" t="n">
        <v>25429</v>
      </c>
      <c r="B4075" t="n">
        <v>6.68</v>
      </c>
      <c r="C4075" t="n">
        <v>6.97</v>
      </c>
    </row>
    <row r="4076">
      <c r="A4076" s="28" t="n">
        <v>25430</v>
      </c>
      <c r="B4076" t="n">
        <v>6.68</v>
      </c>
      <c r="C4076" t="n">
        <v>6.85</v>
      </c>
    </row>
    <row r="4077">
      <c r="A4077" s="28" t="n">
        <v>25433</v>
      </c>
      <c r="B4077" t="n">
        <v>6.66</v>
      </c>
      <c r="C4077" t="n">
        <v>6.78</v>
      </c>
    </row>
    <row r="4078">
      <c r="A4078" s="28" t="n">
        <v>25434</v>
      </c>
      <c r="B4078" t="n">
        <v>6.65</v>
      </c>
      <c r="C4078" t="n">
        <v>6.84</v>
      </c>
    </row>
    <row r="4079">
      <c r="A4079" s="28" t="n">
        <v>25435</v>
      </c>
      <c r="B4079" t="n">
        <v>6.66</v>
      </c>
      <c r="C4079" t="n">
        <v>6.86</v>
      </c>
    </row>
    <row r="4080">
      <c r="A4080" s="28" t="n">
        <v>25436</v>
      </c>
      <c r="B4080" t="n">
        <v>6.68</v>
      </c>
      <c r="C4080" t="n">
        <v>6.93</v>
      </c>
    </row>
    <row r="4081">
      <c r="A4081" s="28" t="n">
        <v>25437</v>
      </c>
      <c r="B4081" t="n">
        <v>6.71</v>
      </c>
      <c r="C4081" t="n">
        <v>6.96</v>
      </c>
    </row>
    <row r="4082">
      <c r="A4082" s="28" t="n">
        <v>25440</v>
      </c>
      <c r="B4082" t="n">
        <v>6.72</v>
      </c>
      <c r="C4082" t="n">
        <v>7</v>
      </c>
    </row>
    <row r="4083">
      <c r="A4083" s="28" t="n">
        <v>25441</v>
      </c>
      <c r="B4083" t="n">
        <v>6.76</v>
      </c>
      <c r="C4083" t="n">
        <v>7.16</v>
      </c>
    </row>
    <row r="4084">
      <c r="A4084" s="28" t="n">
        <v>25442</v>
      </c>
      <c r="B4084" t="n">
        <v>6.79</v>
      </c>
      <c r="C4084" t="n">
        <v>7.15</v>
      </c>
    </row>
    <row r="4085">
      <c r="A4085" s="28" t="n">
        <v>25443</v>
      </c>
      <c r="B4085" t="n">
        <v>6.83</v>
      </c>
      <c r="C4085" t="n">
        <v>7.09</v>
      </c>
    </row>
    <row r="4086">
      <c r="A4086" s="28" t="n">
        <v>25444</v>
      </c>
      <c r="B4086" t="n">
        <v>6.83</v>
      </c>
      <c r="C4086" t="n">
        <v>6.95</v>
      </c>
    </row>
    <row r="4087">
      <c r="A4087" s="28" t="n">
        <v>25447</v>
      </c>
      <c r="B4087" t="n">
        <v>0</v>
      </c>
      <c r="C4087" t="n">
        <v>0</v>
      </c>
    </row>
    <row r="4088">
      <c r="A4088" s="28" t="n">
        <v>25448</v>
      </c>
      <c r="B4088" t="n">
        <v>6.87</v>
      </c>
      <c r="C4088" t="n">
        <v>7.03</v>
      </c>
    </row>
    <row r="4089">
      <c r="A4089" s="28" t="n">
        <v>25449</v>
      </c>
      <c r="B4089" t="n">
        <v>6.94</v>
      </c>
      <c r="C4089" t="n">
        <v>7</v>
      </c>
    </row>
    <row r="4090">
      <c r="A4090" s="28" t="n">
        <v>25450</v>
      </c>
      <c r="B4090" t="n">
        <v>6.96</v>
      </c>
      <c r="C4090" t="n">
        <v>7.04</v>
      </c>
    </row>
    <row r="4091">
      <c r="A4091" s="28" t="n">
        <v>25451</v>
      </c>
      <c r="B4091" t="n">
        <v>6.99</v>
      </c>
      <c r="C4091" t="n">
        <v>7.06</v>
      </c>
    </row>
    <row r="4092">
      <c r="A4092" s="28" t="n">
        <v>25454</v>
      </c>
      <c r="B4092" t="n">
        <v>7.03</v>
      </c>
      <c r="C4092" t="n">
        <v>7.09</v>
      </c>
    </row>
    <row r="4093">
      <c r="A4093" s="28" t="n">
        <v>25455</v>
      </c>
      <c r="B4093" t="n">
        <v>7.04</v>
      </c>
      <c r="C4093" t="n">
        <v>7.16</v>
      </c>
    </row>
    <row r="4094">
      <c r="A4094" s="28" t="n">
        <v>25456</v>
      </c>
      <c r="B4094" t="n">
        <v>7.02</v>
      </c>
      <c r="C4094" t="n">
        <v>7.12</v>
      </c>
    </row>
    <row r="4095">
      <c r="A4095" s="28" t="n">
        <v>25457</v>
      </c>
      <c r="B4095" t="n">
        <v>7.05</v>
      </c>
      <c r="C4095" t="n">
        <v>7.09</v>
      </c>
    </row>
    <row r="4096">
      <c r="A4096" s="28" t="n">
        <v>25458</v>
      </c>
      <c r="B4096" t="n">
        <v>7.08</v>
      </c>
      <c r="C4096" t="n">
        <v>7.1</v>
      </c>
    </row>
    <row r="4097">
      <c r="A4097" s="28" t="n">
        <v>25461</v>
      </c>
      <c r="B4097" t="n">
        <v>7.09</v>
      </c>
      <c r="C4097" t="n">
        <v>7.1</v>
      </c>
    </row>
    <row r="4098">
      <c r="A4098" s="28" t="n">
        <v>25462</v>
      </c>
      <c r="B4098" t="n">
        <v>7.14</v>
      </c>
      <c r="C4098" t="n">
        <v>7.13</v>
      </c>
    </row>
    <row r="4099">
      <c r="A4099" s="28" t="n">
        <v>25463</v>
      </c>
      <c r="B4099" t="n">
        <v>7.14</v>
      </c>
      <c r="C4099" t="n">
        <v>7.13</v>
      </c>
    </row>
    <row r="4100">
      <c r="A4100" s="28" t="n">
        <v>25464</v>
      </c>
      <c r="B4100" t="n">
        <v>7.27</v>
      </c>
      <c r="C4100" t="n">
        <v>7.14</v>
      </c>
    </row>
    <row r="4101">
      <c r="A4101" s="28" t="n">
        <v>25465</v>
      </c>
      <c r="B4101" t="n">
        <v>7.28</v>
      </c>
      <c r="C4101" t="n">
        <v>7.16</v>
      </c>
    </row>
    <row r="4102">
      <c r="A4102" s="28" t="n">
        <v>25468</v>
      </c>
      <c r="B4102" t="n">
        <v>7.26</v>
      </c>
      <c r="C4102" t="n">
        <v>7.14</v>
      </c>
    </row>
    <row r="4103">
      <c r="A4103" s="28" t="n">
        <v>25469</v>
      </c>
      <c r="B4103" t="n">
        <v>7.26</v>
      </c>
      <c r="C4103" t="n">
        <v>7.1</v>
      </c>
    </row>
    <row r="4104">
      <c r="A4104" s="28" t="n">
        <v>25470</v>
      </c>
      <c r="B4104" t="n">
        <v>7.27</v>
      </c>
      <c r="C4104" t="n">
        <v>7.1</v>
      </c>
    </row>
    <row r="4105">
      <c r="A4105" s="28" t="n">
        <v>25471</v>
      </c>
      <c r="B4105" t="n">
        <v>7.3</v>
      </c>
      <c r="C4105" t="n">
        <v>7.09</v>
      </c>
    </row>
    <row r="4106">
      <c r="A4106" s="28" t="n">
        <v>25472</v>
      </c>
      <c r="B4106" t="n">
        <v>7.4</v>
      </c>
      <c r="C4106" t="n">
        <v>7.06</v>
      </c>
    </row>
    <row r="4107">
      <c r="A4107" s="28" t="n">
        <v>25475</v>
      </c>
      <c r="B4107" t="n">
        <v>7.45</v>
      </c>
      <c r="C4107" t="n">
        <v>6.91</v>
      </c>
    </row>
    <row r="4108">
      <c r="A4108" s="28" t="n">
        <v>25476</v>
      </c>
      <c r="B4108" t="n">
        <v>7.51</v>
      </c>
      <c r="C4108" t="n">
        <v>7.14</v>
      </c>
    </row>
    <row r="4109">
      <c r="A4109" s="28" t="n">
        <v>25477</v>
      </c>
      <c r="B4109" t="n">
        <v>7.52</v>
      </c>
      <c r="C4109" t="n">
        <v>7.17</v>
      </c>
    </row>
    <row r="4110">
      <c r="A4110" s="28" t="n">
        <v>25478</v>
      </c>
      <c r="B4110" t="n">
        <v>7.45</v>
      </c>
      <c r="C4110" t="n">
        <v>7.08</v>
      </c>
    </row>
    <row r="4111">
      <c r="A4111" s="28" t="n">
        <v>25479</v>
      </c>
      <c r="B4111" t="n">
        <v>7.38</v>
      </c>
      <c r="C4111" t="n">
        <v>7</v>
      </c>
    </row>
    <row r="4112">
      <c r="A4112" s="28" t="n">
        <v>25482</v>
      </c>
      <c r="B4112" t="n">
        <v>7.35</v>
      </c>
      <c r="C4112" t="n">
        <v>6.94</v>
      </c>
    </row>
    <row r="4113">
      <c r="A4113" s="28" t="n">
        <v>25483</v>
      </c>
      <c r="B4113" t="n">
        <v>7.31</v>
      </c>
      <c r="C4113" t="n">
        <v>6.99</v>
      </c>
    </row>
    <row r="4114">
      <c r="A4114" s="28" t="n">
        <v>25484</v>
      </c>
      <c r="B4114" t="n">
        <v>7.29</v>
      </c>
      <c r="C4114" t="n">
        <v>7</v>
      </c>
    </row>
    <row r="4115">
      <c r="A4115" s="28" t="n">
        <v>25485</v>
      </c>
      <c r="B4115" t="n">
        <v>7.3</v>
      </c>
      <c r="C4115" t="n">
        <v>7.03</v>
      </c>
    </row>
    <row r="4116">
      <c r="A4116" s="28" t="n">
        <v>25486</v>
      </c>
      <c r="B4116" t="n">
        <v>7.22</v>
      </c>
      <c r="C4116" t="n">
        <v>6.98</v>
      </c>
    </row>
    <row r="4117">
      <c r="A4117" s="28" t="n">
        <v>25489</v>
      </c>
      <c r="B4117" t="n">
        <v>0</v>
      </c>
      <c r="C4117" t="n">
        <v>0</v>
      </c>
    </row>
    <row r="4118">
      <c r="A4118" s="28" t="n">
        <v>25490</v>
      </c>
      <c r="B4118" t="n">
        <v>7.1</v>
      </c>
      <c r="C4118" t="n">
        <v>7.04</v>
      </c>
    </row>
    <row r="4119">
      <c r="A4119" s="28" t="n">
        <v>25491</v>
      </c>
      <c r="B4119" t="n">
        <v>7.12</v>
      </c>
      <c r="C4119" t="n">
        <v>7.04</v>
      </c>
    </row>
    <row r="4120">
      <c r="A4120" s="28" t="n">
        <v>25492</v>
      </c>
      <c r="B4120" t="n">
        <v>7.04</v>
      </c>
      <c r="C4120" t="n">
        <v>7.02</v>
      </c>
    </row>
    <row r="4121">
      <c r="A4121" s="28" t="n">
        <v>25493</v>
      </c>
      <c r="B4121" t="n">
        <v>6.99</v>
      </c>
      <c r="C4121" t="n">
        <v>6.97</v>
      </c>
    </row>
    <row r="4122">
      <c r="A4122" s="28" t="n">
        <v>25496</v>
      </c>
      <c r="B4122" t="n">
        <v>6.83</v>
      </c>
      <c r="C4122" t="n">
        <v>6.91</v>
      </c>
    </row>
    <row r="4123">
      <c r="A4123" s="28" t="n">
        <v>25497</v>
      </c>
      <c r="B4123" t="n">
        <v>6.77</v>
      </c>
      <c r="C4123" t="n">
        <v>6.9</v>
      </c>
    </row>
    <row r="4124">
      <c r="A4124" s="28" t="n">
        <v>25498</v>
      </c>
      <c r="B4124" t="n">
        <v>6.8</v>
      </c>
      <c r="C4124" t="n">
        <v>6.91</v>
      </c>
    </row>
    <row r="4125">
      <c r="A4125" s="28" t="n">
        <v>25499</v>
      </c>
      <c r="B4125" t="n">
        <v>6.9</v>
      </c>
      <c r="C4125" t="n">
        <v>6.98</v>
      </c>
    </row>
    <row r="4126">
      <c r="A4126" s="28" t="n">
        <v>25500</v>
      </c>
      <c r="B4126" t="n">
        <v>6.9</v>
      </c>
      <c r="C4126" t="n">
        <v>7</v>
      </c>
    </row>
    <row r="4127">
      <c r="A4127" s="28" t="n">
        <v>25503</v>
      </c>
      <c r="B4127" t="n">
        <v>6.93</v>
      </c>
      <c r="C4127" t="n">
        <v>6.99</v>
      </c>
    </row>
    <row r="4128">
      <c r="A4128" s="28" t="n">
        <v>25504</v>
      </c>
      <c r="B4128" t="n">
        <v>7</v>
      </c>
      <c r="C4128" t="n">
        <v>7</v>
      </c>
    </row>
    <row r="4129">
      <c r="A4129" s="28" t="n">
        <v>25505</v>
      </c>
      <c r="B4129" t="n">
        <v>7</v>
      </c>
      <c r="C4129" t="n">
        <v>7.01</v>
      </c>
    </row>
    <row r="4130">
      <c r="A4130" s="28" t="n">
        <v>25506</v>
      </c>
      <c r="B4130" t="n">
        <v>6.96</v>
      </c>
      <c r="C4130" t="n">
        <v>7.02</v>
      </c>
    </row>
    <row r="4131">
      <c r="A4131" s="28" t="n">
        <v>25507</v>
      </c>
      <c r="B4131" t="n">
        <v>6.94</v>
      </c>
      <c r="C4131" t="n">
        <v>6.99</v>
      </c>
    </row>
    <row r="4132">
      <c r="A4132" s="28" t="n">
        <v>25510</v>
      </c>
      <c r="B4132" t="n">
        <v>6.9</v>
      </c>
      <c r="C4132" t="n">
        <v>6.97</v>
      </c>
    </row>
    <row r="4133">
      <c r="A4133" s="28" t="n">
        <v>25511</v>
      </c>
      <c r="B4133" t="n">
        <v>0</v>
      </c>
      <c r="C4133" t="n">
        <v>0</v>
      </c>
    </row>
    <row r="4134">
      <c r="A4134" s="28" t="n">
        <v>25512</v>
      </c>
      <c r="B4134" t="n">
        <v>6.97</v>
      </c>
      <c r="C4134" t="n">
        <v>7.07</v>
      </c>
    </row>
    <row r="4135">
      <c r="A4135" s="28" t="n">
        <v>25513</v>
      </c>
      <c r="B4135" t="n">
        <v>7.01</v>
      </c>
      <c r="C4135" t="n">
        <v>7.12</v>
      </c>
    </row>
    <row r="4136">
      <c r="A4136" s="28" t="n">
        <v>25514</v>
      </c>
      <c r="B4136" t="n">
        <v>6.99</v>
      </c>
      <c r="C4136" t="n">
        <v>7.13</v>
      </c>
    </row>
    <row r="4137">
      <c r="A4137" s="28" t="n">
        <v>25517</v>
      </c>
      <c r="B4137" t="n">
        <v>6.99</v>
      </c>
      <c r="C4137" t="n">
        <v>7.12</v>
      </c>
    </row>
    <row r="4138">
      <c r="A4138" s="28" t="n">
        <v>25518</v>
      </c>
      <c r="B4138" t="n">
        <v>0</v>
      </c>
      <c r="C4138" t="n">
        <v>0</v>
      </c>
    </row>
    <row r="4139">
      <c r="A4139" s="28" t="n">
        <v>25519</v>
      </c>
      <c r="B4139" t="n">
        <v>7.06</v>
      </c>
      <c r="C4139" t="n">
        <v>7.17</v>
      </c>
    </row>
    <row r="4140">
      <c r="A4140" s="28" t="n">
        <v>25520</v>
      </c>
      <c r="B4140" t="n">
        <v>7.12</v>
      </c>
      <c r="C4140" t="n">
        <v>7.2</v>
      </c>
    </row>
    <row r="4141">
      <c r="A4141" s="28" t="n">
        <v>25521</v>
      </c>
      <c r="B4141" t="n">
        <v>7.08</v>
      </c>
      <c r="C4141" t="n">
        <v>7.09</v>
      </c>
    </row>
    <row r="4142">
      <c r="A4142" s="28" t="n">
        <v>25524</v>
      </c>
      <c r="B4142" t="n">
        <v>7.13</v>
      </c>
      <c r="C4142" t="n">
        <v>7.07</v>
      </c>
    </row>
    <row r="4143">
      <c r="A4143" s="28" t="n">
        <v>25525</v>
      </c>
      <c r="B4143" t="n">
        <v>7.22</v>
      </c>
      <c r="C4143" t="n">
        <v>7.2</v>
      </c>
    </row>
    <row r="4144">
      <c r="A4144" s="28" t="n">
        <v>25526</v>
      </c>
      <c r="B4144" t="n">
        <v>7.25</v>
      </c>
      <c r="C4144" t="n">
        <v>7.23</v>
      </c>
    </row>
    <row r="4145">
      <c r="A4145" s="28" t="n">
        <v>25527</v>
      </c>
      <c r="B4145" t="n">
        <v>7.31</v>
      </c>
      <c r="C4145" t="n">
        <v>7.35</v>
      </c>
    </row>
    <row r="4146">
      <c r="A4146" s="28" t="n">
        <v>25528</v>
      </c>
      <c r="B4146" t="n">
        <v>7.28</v>
      </c>
      <c r="C4146" t="n">
        <v>7.38</v>
      </c>
    </row>
    <row r="4147">
      <c r="A4147" s="28" t="n">
        <v>25531</v>
      </c>
      <c r="B4147" t="n">
        <v>7.27</v>
      </c>
      <c r="C4147" t="n">
        <v>7.42</v>
      </c>
    </row>
    <row r="4148">
      <c r="A4148" s="28" t="n">
        <v>25532</v>
      </c>
      <c r="B4148" t="n">
        <v>7.28</v>
      </c>
      <c r="C4148" t="n">
        <v>7.52</v>
      </c>
    </row>
    <row r="4149">
      <c r="A4149" s="28" t="n">
        <v>25533</v>
      </c>
      <c r="B4149" t="n">
        <v>7.3</v>
      </c>
      <c r="C4149" t="n">
        <v>7.55</v>
      </c>
    </row>
    <row r="4150">
      <c r="A4150" s="28" t="n">
        <v>25534</v>
      </c>
      <c r="B4150" t="n">
        <v>0</v>
      </c>
      <c r="C4150" t="n">
        <v>0</v>
      </c>
    </row>
    <row r="4151">
      <c r="A4151" s="28" t="n">
        <v>25535</v>
      </c>
      <c r="B4151" t="n">
        <v>7.29</v>
      </c>
      <c r="C4151" t="n">
        <v>7.51</v>
      </c>
    </row>
    <row r="4152">
      <c r="A4152" s="28" t="n">
        <v>25538</v>
      </c>
      <c r="B4152" t="n">
        <v>7.29</v>
      </c>
      <c r="C4152" t="n">
        <v>7.5</v>
      </c>
    </row>
    <row r="4153">
      <c r="A4153" s="28" t="n">
        <v>25539</v>
      </c>
      <c r="B4153" t="n">
        <v>7.35</v>
      </c>
      <c r="C4153" t="n">
        <v>7.55</v>
      </c>
    </row>
    <row r="4154">
      <c r="A4154" s="28" t="n">
        <v>25540</v>
      </c>
      <c r="B4154" t="n">
        <v>7.39</v>
      </c>
      <c r="C4154" t="n">
        <v>7.62</v>
      </c>
    </row>
    <row r="4155">
      <c r="A4155" s="28" t="n">
        <v>25541</v>
      </c>
      <c r="B4155" t="n">
        <v>7.35</v>
      </c>
      <c r="C4155" t="n">
        <v>7.64</v>
      </c>
    </row>
    <row r="4156">
      <c r="A4156" s="28" t="n">
        <v>25542</v>
      </c>
      <c r="B4156" t="n">
        <v>7.35</v>
      </c>
      <c r="C4156" t="n">
        <v>7.67</v>
      </c>
    </row>
    <row r="4157">
      <c r="A4157" s="28" t="n">
        <v>25545</v>
      </c>
      <c r="B4157" t="n">
        <v>7.4</v>
      </c>
      <c r="C4157" t="n">
        <v>7.68</v>
      </c>
    </row>
    <row r="4158">
      <c r="A4158" s="28" t="n">
        <v>25546</v>
      </c>
      <c r="B4158" t="n">
        <v>7.5</v>
      </c>
      <c r="C4158" t="n">
        <v>7.84</v>
      </c>
    </row>
    <row r="4159">
      <c r="A4159" s="28" t="n">
        <v>25547</v>
      </c>
      <c r="B4159" t="n">
        <v>7.59</v>
      </c>
      <c r="C4159" t="n">
        <v>7.91</v>
      </c>
    </row>
    <row r="4160">
      <c r="A4160" s="28" t="n">
        <v>25548</v>
      </c>
      <c r="B4160" t="n">
        <v>7.62</v>
      </c>
      <c r="C4160" t="n">
        <v>7.85</v>
      </c>
    </row>
    <row r="4161">
      <c r="A4161" s="28" t="n">
        <v>25549</v>
      </c>
      <c r="B4161" t="n">
        <v>7.6</v>
      </c>
      <c r="C4161" t="n">
        <v>7.81</v>
      </c>
    </row>
    <row r="4162">
      <c r="A4162" s="28" t="n">
        <v>25552</v>
      </c>
      <c r="B4162" t="n">
        <v>7.63</v>
      </c>
      <c r="C4162" t="n">
        <v>7.92</v>
      </c>
    </row>
    <row r="4163">
      <c r="A4163" s="28" t="n">
        <v>25553</v>
      </c>
      <c r="B4163" t="n">
        <v>7.72</v>
      </c>
      <c r="C4163" t="n">
        <v>7.91</v>
      </c>
    </row>
    <row r="4164">
      <c r="A4164" s="28" t="n">
        <v>25554</v>
      </c>
      <c r="B4164" t="n">
        <v>7.76</v>
      </c>
      <c r="C4164" t="n">
        <v>7.92</v>
      </c>
    </row>
    <row r="4165">
      <c r="A4165" s="28" t="n">
        <v>25555</v>
      </c>
      <c r="B4165" t="n">
        <v>7.81</v>
      </c>
      <c r="C4165" t="n">
        <v>7.88</v>
      </c>
    </row>
    <row r="4166">
      <c r="A4166" s="28" t="n">
        <v>25556</v>
      </c>
      <c r="B4166" t="n">
        <v>7.79</v>
      </c>
      <c r="C4166" t="n">
        <v>7.79</v>
      </c>
    </row>
    <row r="4167">
      <c r="A4167" s="28" t="n">
        <v>25559</v>
      </c>
      <c r="B4167" t="n">
        <v>7.76</v>
      </c>
      <c r="C4167" t="n">
        <v>7.82</v>
      </c>
    </row>
    <row r="4168">
      <c r="A4168" s="28" t="n">
        <v>25560</v>
      </c>
      <c r="B4168" t="n">
        <v>7.82</v>
      </c>
      <c r="C4168" t="n">
        <v>7.82</v>
      </c>
    </row>
    <row r="4169">
      <c r="A4169" s="28" t="n">
        <v>25561</v>
      </c>
      <c r="B4169" t="n">
        <v>7.89</v>
      </c>
      <c r="C4169" t="n">
        <v>7.85</v>
      </c>
    </row>
    <row r="4170">
      <c r="A4170" s="28" t="n">
        <v>25562</v>
      </c>
      <c r="B4170" t="n">
        <v>0</v>
      </c>
      <c r="C4170" t="n">
        <v>0</v>
      </c>
    </row>
    <row r="4171">
      <c r="A4171" s="28" t="n">
        <v>25563</v>
      </c>
      <c r="B4171" t="n">
        <v>7.87</v>
      </c>
      <c r="C4171" t="n">
        <v>7.86</v>
      </c>
    </row>
    <row r="4172">
      <c r="A4172" s="28" t="n">
        <v>25566</v>
      </c>
      <c r="B4172" t="n">
        <v>8.050000000000001</v>
      </c>
      <c r="C4172" t="n">
        <v>8.08</v>
      </c>
    </row>
    <row r="4173">
      <c r="A4173" s="28" t="n">
        <v>25567</v>
      </c>
      <c r="B4173" t="n">
        <v>7.97</v>
      </c>
      <c r="C4173" t="n">
        <v>8.050000000000001</v>
      </c>
    </row>
    <row r="4174">
      <c r="A4174" s="28" t="n">
        <v>25568</v>
      </c>
      <c r="B4174" t="n">
        <v>7.88</v>
      </c>
      <c r="C4174" t="n">
        <v>8.01</v>
      </c>
    </row>
    <row r="4175">
      <c r="A4175" s="28" t="n">
        <v>25569</v>
      </c>
      <c r="B4175" t="n">
        <v>0</v>
      </c>
      <c r="C4175" t="n">
        <v>0</v>
      </c>
    </row>
    <row r="4176">
      <c r="A4176" s="28" t="n">
        <v>25570</v>
      </c>
      <c r="B4176" t="n">
        <v>7.86</v>
      </c>
      <c r="C4176" t="n">
        <v>7.92</v>
      </c>
    </row>
    <row r="4177">
      <c r="A4177" s="28" t="n">
        <v>25573</v>
      </c>
      <c r="B4177" t="n">
        <v>7.88</v>
      </c>
      <c r="C4177" t="n">
        <v>7.91</v>
      </c>
    </row>
    <row r="4178">
      <c r="A4178" s="28" t="n">
        <v>25574</v>
      </c>
      <c r="B4178" t="n">
        <v>7.96</v>
      </c>
      <c r="C4178" t="n">
        <v>7.93</v>
      </c>
    </row>
    <row r="4179">
      <c r="A4179" s="28" t="n">
        <v>25575</v>
      </c>
      <c r="B4179" t="n">
        <v>7.99</v>
      </c>
      <c r="C4179" t="n">
        <v>7.9</v>
      </c>
    </row>
    <row r="4180">
      <c r="A4180" s="28" t="n">
        <v>25576</v>
      </c>
      <c r="B4180" t="n">
        <v>7.96</v>
      </c>
      <c r="C4180" t="n">
        <v>7.91</v>
      </c>
    </row>
    <row r="4181">
      <c r="A4181" s="28" t="n">
        <v>25577</v>
      </c>
      <c r="B4181" t="n">
        <v>7.86</v>
      </c>
      <c r="C4181" t="n">
        <v>7.89</v>
      </c>
    </row>
    <row r="4182">
      <c r="A4182" s="28" t="n">
        <v>25580</v>
      </c>
      <c r="B4182" t="n">
        <v>7.82</v>
      </c>
      <c r="C4182" t="n">
        <v>7.8</v>
      </c>
    </row>
    <row r="4183">
      <c r="A4183" s="28" t="n">
        <v>25581</v>
      </c>
      <c r="B4183" t="n">
        <v>7.81</v>
      </c>
      <c r="C4183" t="n">
        <v>7.82</v>
      </c>
    </row>
    <row r="4184">
      <c r="A4184" s="28" t="n">
        <v>25582</v>
      </c>
      <c r="B4184" t="n">
        <v>7.86</v>
      </c>
      <c r="C4184" t="n">
        <v>7.87</v>
      </c>
    </row>
    <row r="4185">
      <c r="A4185" s="28" t="n">
        <v>25583</v>
      </c>
      <c r="B4185" t="n">
        <v>7.85</v>
      </c>
      <c r="C4185" t="n">
        <v>7.84</v>
      </c>
    </row>
    <row r="4186">
      <c r="A4186" s="28" t="n">
        <v>25584</v>
      </c>
      <c r="B4186" t="n">
        <v>7.75</v>
      </c>
      <c r="C4186" t="n">
        <v>7.8</v>
      </c>
    </row>
    <row r="4187">
      <c r="A4187" s="28" t="n">
        <v>25587</v>
      </c>
      <c r="B4187" t="n">
        <v>7.69</v>
      </c>
      <c r="C4187" t="n">
        <v>7.79</v>
      </c>
    </row>
    <row r="4188">
      <c r="A4188" s="28" t="n">
        <v>25588</v>
      </c>
      <c r="B4188" t="n">
        <v>7.72</v>
      </c>
      <c r="C4188" t="n">
        <v>7.82</v>
      </c>
    </row>
    <row r="4189">
      <c r="A4189" s="28" t="n">
        <v>25589</v>
      </c>
      <c r="B4189" t="n">
        <v>7.69</v>
      </c>
      <c r="C4189" t="n">
        <v>7.83</v>
      </c>
    </row>
    <row r="4190">
      <c r="A4190" s="28" t="n">
        <v>25590</v>
      </c>
      <c r="B4190" t="n">
        <v>7.67</v>
      </c>
      <c r="C4190" t="n">
        <v>7.87</v>
      </c>
    </row>
    <row r="4191">
      <c r="A4191" s="28" t="n">
        <v>25591</v>
      </c>
      <c r="B4191" t="n">
        <v>7.69</v>
      </c>
      <c r="C4191" t="n">
        <v>7.86</v>
      </c>
    </row>
    <row r="4192">
      <c r="A4192" s="28" t="n">
        <v>25594</v>
      </c>
      <c r="B4192" t="n">
        <v>7.71</v>
      </c>
      <c r="C4192" t="n">
        <v>7.88</v>
      </c>
    </row>
    <row r="4193">
      <c r="A4193" s="28" t="n">
        <v>25595</v>
      </c>
      <c r="B4193" t="n">
        <v>7.7</v>
      </c>
      <c r="C4193" t="n">
        <v>7.91</v>
      </c>
    </row>
    <row r="4194">
      <c r="A4194" s="28" t="n">
        <v>25596</v>
      </c>
      <c r="B4194" t="n">
        <v>7.7</v>
      </c>
      <c r="C4194" t="n">
        <v>7.91</v>
      </c>
    </row>
    <row r="4195">
      <c r="A4195" s="28" t="n">
        <v>25597</v>
      </c>
      <c r="B4195" t="n">
        <v>7.77</v>
      </c>
      <c r="C4195" t="n">
        <v>7.91</v>
      </c>
    </row>
    <row r="4196">
      <c r="A4196" s="28" t="n">
        <v>25598</v>
      </c>
      <c r="B4196" t="n">
        <v>7.75</v>
      </c>
      <c r="C4196" t="n">
        <v>7.86</v>
      </c>
    </row>
    <row r="4197">
      <c r="A4197" s="28" t="n">
        <v>25601</v>
      </c>
      <c r="B4197" t="n">
        <v>7.65</v>
      </c>
      <c r="C4197" t="n">
        <v>7.72</v>
      </c>
    </row>
    <row r="4198">
      <c r="A4198" s="28" t="n">
        <v>25602</v>
      </c>
      <c r="B4198" t="n">
        <v>7.58</v>
      </c>
      <c r="C4198" t="n">
        <v>7.7</v>
      </c>
    </row>
    <row r="4199">
      <c r="A4199" s="28" t="n">
        <v>25603</v>
      </c>
      <c r="B4199" t="n">
        <v>7.5</v>
      </c>
      <c r="C4199" t="n">
        <v>7.66</v>
      </c>
    </row>
    <row r="4200">
      <c r="A4200" s="28" t="n">
        <v>25604</v>
      </c>
      <c r="B4200" t="n">
        <v>7.45</v>
      </c>
      <c r="C4200" t="n">
        <v>7.56</v>
      </c>
    </row>
    <row r="4201">
      <c r="A4201" s="28" t="n">
        <v>25605</v>
      </c>
      <c r="B4201" t="n">
        <v>7.36</v>
      </c>
      <c r="C4201" t="n">
        <v>7.42</v>
      </c>
    </row>
    <row r="4202">
      <c r="A4202" s="28" t="n">
        <v>25608</v>
      </c>
      <c r="B4202" t="n">
        <v>7.28</v>
      </c>
      <c r="C4202" t="n">
        <v>7.3</v>
      </c>
    </row>
    <row r="4203">
      <c r="A4203" s="28" t="n">
        <v>25609</v>
      </c>
      <c r="B4203" t="n">
        <v>7.32</v>
      </c>
      <c r="C4203" t="n">
        <v>7.28</v>
      </c>
    </row>
    <row r="4204">
      <c r="A4204" s="28" t="n">
        <v>25610</v>
      </c>
      <c r="B4204" t="n">
        <v>7.33</v>
      </c>
      <c r="C4204" t="n">
        <v>7.25</v>
      </c>
    </row>
    <row r="4205">
      <c r="A4205" s="28" t="n">
        <v>25611</v>
      </c>
      <c r="B4205" t="n">
        <v>0</v>
      </c>
      <c r="C4205" t="n">
        <v>0</v>
      </c>
    </row>
    <row r="4206">
      <c r="A4206" s="28" t="n">
        <v>25612</v>
      </c>
      <c r="B4206" t="n">
        <v>7.15</v>
      </c>
      <c r="C4206" t="n">
        <v>6.95</v>
      </c>
    </row>
    <row r="4207">
      <c r="A4207" s="28" t="n">
        <v>25615</v>
      </c>
      <c r="B4207" t="n">
        <v>7.17</v>
      </c>
      <c r="C4207" t="n">
        <v>6.83</v>
      </c>
    </row>
    <row r="4208">
      <c r="A4208" s="28" t="n">
        <v>25616</v>
      </c>
      <c r="B4208" t="n">
        <v>7.15</v>
      </c>
      <c r="C4208" t="n">
        <v>6.77</v>
      </c>
    </row>
    <row r="4209">
      <c r="A4209" s="28" t="n">
        <v>25617</v>
      </c>
      <c r="B4209" t="n">
        <v>7.12</v>
      </c>
      <c r="C4209" t="n">
        <v>6.77</v>
      </c>
    </row>
    <row r="4210">
      <c r="A4210" s="28" t="n">
        <v>25618</v>
      </c>
      <c r="B4210" t="n">
        <v>7.09</v>
      </c>
      <c r="C4210" t="n">
        <v>6.79</v>
      </c>
    </row>
    <row r="4211">
      <c r="A4211" s="28" t="n">
        <v>25619</v>
      </c>
      <c r="B4211" t="n">
        <v>7.12</v>
      </c>
      <c r="C4211" t="n">
        <v>6.8</v>
      </c>
    </row>
    <row r="4212">
      <c r="A4212" s="28" t="n">
        <v>25622</v>
      </c>
      <c r="B4212" t="n">
        <v>0</v>
      </c>
      <c r="C4212" t="n">
        <v>0</v>
      </c>
    </row>
    <row r="4213">
      <c r="A4213" s="28" t="n">
        <v>25623</v>
      </c>
      <c r="B4213" t="n">
        <v>7.14</v>
      </c>
      <c r="C4213" t="n">
        <v>6.88</v>
      </c>
    </row>
    <row r="4214">
      <c r="A4214" s="28" t="n">
        <v>25624</v>
      </c>
      <c r="B4214" t="n">
        <v>7.04</v>
      </c>
      <c r="C4214" t="n">
        <v>6.89</v>
      </c>
    </row>
    <row r="4215">
      <c r="A4215" s="28" t="n">
        <v>25625</v>
      </c>
      <c r="B4215" t="n">
        <v>6.94</v>
      </c>
      <c r="C4215" t="n">
        <v>6.88</v>
      </c>
    </row>
    <row r="4216">
      <c r="A4216" s="28" t="n">
        <v>25626</v>
      </c>
      <c r="B4216" t="n">
        <v>6.9</v>
      </c>
      <c r="C4216" t="n">
        <v>6.85</v>
      </c>
    </row>
    <row r="4217">
      <c r="A4217" s="28" t="n">
        <v>25629</v>
      </c>
      <c r="B4217" t="n">
        <v>6.95</v>
      </c>
      <c r="C4217" t="n">
        <v>6.87</v>
      </c>
    </row>
    <row r="4218">
      <c r="A4218" s="28" t="n">
        <v>25630</v>
      </c>
      <c r="B4218" t="n">
        <v>6.99</v>
      </c>
      <c r="C4218" t="n">
        <v>6.92</v>
      </c>
    </row>
    <row r="4219">
      <c r="A4219" s="28" t="n">
        <v>25631</v>
      </c>
      <c r="B4219" t="n">
        <v>6.97</v>
      </c>
      <c r="C4219" t="n">
        <v>6.93</v>
      </c>
    </row>
    <row r="4220">
      <c r="A4220" s="28" t="n">
        <v>25632</v>
      </c>
      <c r="B4220" t="n">
        <v>6.98</v>
      </c>
      <c r="C4220" t="n">
        <v>6.88</v>
      </c>
    </row>
    <row r="4221">
      <c r="A4221" s="28" t="n">
        <v>25633</v>
      </c>
      <c r="B4221" t="n">
        <v>6.96</v>
      </c>
      <c r="C4221" t="n">
        <v>6.85</v>
      </c>
    </row>
    <row r="4222">
      <c r="A4222" s="28" t="n">
        <v>25636</v>
      </c>
      <c r="B4222" t="n">
        <v>6.99</v>
      </c>
      <c r="C4222" t="n">
        <v>6.86</v>
      </c>
    </row>
    <row r="4223">
      <c r="A4223" s="28" t="n">
        <v>25637</v>
      </c>
      <c r="B4223" t="n">
        <v>7.04</v>
      </c>
      <c r="C4223" t="n">
        <v>6.71</v>
      </c>
    </row>
    <row r="4224">
      <c r="A4224" s="28" t="n">
        <v>25638</v>
      </c>
      <c r="B4224" t="n">
        <v>7.11</v>
      </c>
      <c r="C4224" t="n">
        <v>6.72</v>
      </c>
    </row>
    <row r="4225">
      <c r="A4225" s="28" t="n">
        <v>25639</v>
      </c>
      <c r="B4225" t="n">
        <v>7.16</v>
      </c>
      <c r="C4225" t="n">
        <v>6.75</v>
      </c>
    </row>
    <row r="4226">
      <c r="A4226" s="28" t="n">
        <v>25640</v>
      </c>
      <c r="B4226" t="n">
        <v>7.23</v>
      </c>
      <c r="C4226" t="n">
        <v>6.77</v>
      </c>
    </row>
    <row r="4227">
      <c r="A4227" s="28" t="n">
        <v>25643</v>
      </c>
      <c r="B4227" t="n">
        <v>7.24</v>
      </c>
      <c r="C4227" t="n">
        <v>6.82</v>
      </c>
    </row>
    <row r="4228">
      <c r="A4228" s="28" t="n">
        <v>25644</v>
      </c>
      <c r="B4228" t="n">
        <v>7.36</v>
      </c>
      <c r="C4228" t="n">
        <v>6.81</v>
      </c>
    </row>
    <row r="4229">
      <c r="A4229" s="28" t="n">
        <v>25645</v>
      </c>
      <c r="B4229" t="n">
        <v>7.28</v>
      </c>
      <c r="C4229" t="n">
        <v>6.75</v>
      </c>
    </row>
    <row r="4230">
      <c r="A4230" s="28" t="n">
        <v>25646</v>
      </c>
      <c r="B4230" t="n">
        <v>7.07</v>
      </c>
      <c r="C4230" t="n">
        <v>6.65</v>
      </c>
    </row>
    <row r="4231">
      <c r="A4231" s="28" t="n">
        <v>25647</v>
      </c>
      <c r="B4231" t="n">
        <v>7.06</v>
      </c>
      <c r="C4231" t="n">
        <v>6.52</v>
      </c>
    </row>
    <row r="4232">
      <c r="A4232" s="28" t="n">
        <v>25650</v>
      </c>
      <c r="B4232" t="n">
        <v>7.05</v>
      </c>
      <c r="C4232" t="n">
        <v>6.15</v>
      </c>
    </row>
    <row r="4233">
      <c r="A4233" s="28" t="n">
        <v>25651</v>
      </c>
      <c r="B4233" t="n">
        <v>7.02</v>
      </c>
      <c r="C4233" t="n">
        <v>6.08</v>
      </c>
    </row>
    <row r="4234">
      <c r="A4234" s="28" t="n">
        <v>25652</v>
      </c>
      <c r="B4234" t="n">
        <v>6.96</v>
      </c>
      <c r="C4234" t="n">
        <v>6.15</v>
      </c>
    </row>
    <row r="4235">
      <c r="A4235" s="28" t="n">
        <v>25653</v>
      </c>
      <c r="B4235" t="n">
        <v>6.98</v>
      </c>
      <c r="C4235" t="n">
        <v>6.26</v>
      </c>
    </row>
    <row r="4236">
      <c r="A4236" s="28" t="n">
        <v>25654</v>
      </c>
      <c r="B4236" t="n">
        <v>0</v>
      </c>
      <c r="C4236" t="n">
        <v>0</v>
      </c>
    </row>
    <row r="4237">
      <c r="A4237" s="28" t="n">
        <v>25657</v>
      </c>
      <c r="B4237" t="n">
        <v>7.05</v>
      </c>
      <c r="C4237" t="n">
        <v>6.32</v>
      </c>
    </row>
    <row r="4238">
      <c r="A4238" s="28" t="n">
        <v>25658</v>
      </c>
      <c r="B4238" t="n">
        <v>7.08</v>
      </c>
      <c r="C4238" t="n">
        <v>6.38</v>
      </c>
    </row>
    <row r="4239">
      <c r="A4239" s="28" t="n">
        <v>25659</v>
      </c>
      <c r="B4239" t="n">
        <v>7.04</v>
      </c>
      <c r="C4239" t="n">
        <v>6.34</v>
      </c>
    </row>
    <row r="4240">
      <c r="A4240" s="28" t="n">
        <v>25660</v>
      </c>
      <c r="B4240" t="n">
        <v>7.08</v>
      </c>
      <c r="C4240" t="n">
        <v>6.35</v>
      </c>
    </row>
    <row r="4241">
      <c r="A4241" s="28" t="n">
        <v>25661</v>
      </c>
      <c r="B4241" t="n">
        <v>7.14</v>
      </c>
      <c r="C4241" t="n">
        <v>6.36</v>
      </c>
    </row>
    <row r="4242">
      <c r="A4242" s="28" t="n">
        <v>25664</v>
      </c>
      <c r="B4242" t="n">
        <v>7.17</v>
      </c>
      <c r="C4242" t="n">
        <v>6.39</v>
      </c>
    </row>
    <row r="4243">
      <c r="A4243" s="28" t="n">
        <v>25665</v>
      </c>
      <c r="B4243" t="n">
        <v>7.18</v>
      </c>
      <c r="C4243" t="n">
        <v>6.44</v>
      </c>
    </row>
    <row r="4244">
      <c r="A4244" s="28" t="n">
        <v>25666</v>
      </c>
      <c r="B4244" t="n">
        <v>7.17</v>
      </c>
      <c r="C4244" t="n">
        <v>6.43</v>
      </c>
    </row>
    <row r="4245">
      <c r="A4245" s="28" t="n">
        <v>25667</v>
      </c>
      <c r="B4245" t="n">
        <v>7.18</v>
      </c>
      <c r="C4245" t="n">
        <v>6.38</v>
      </c>
    </row>
    <row r="4246">
      <c r="A4246" s="28" t="n">
        <v>25668</v>
      </c>
      <c r="B4246" t="n">
        <v>7.17</v>
      </c>
      <c r="C4246" t="n">
        <v>6.36</v>
      </c>
    </row>
    <row r="4247">
      <c r="A4247" s="28" t="n">
        <v>25671</v>
      </c>
      <c r="B4247" t="n">
        <v>7.2</v>
      </c>
      <c r="C4247" t="n">
        <v>6.34</v>
      </c>
    </row>
    <row r="4248">
      <c r="A4248" s="28" t="n">
        <v>25672</v>
      </c>
      <c r="B4248" t="n">
        <v>7.22</v>
      </c>
      <c r="C4248" t="n">
        <v>6.32</v>
      </c>
    </row>
    <row r="4249">
      <c r="A4249" s="28" t="n">
        <v>25673</v>
      </c>
      <c r="B4249" t="n">
        <v>7.27</v>
      </c>
      <c r="C4249" t="n">
        <v>6.38</v>
      </c>
    </row>
    <row r="4250">
      <c r="A4250" s="28" t="n">
        <v>25674</v>
      </c>
      <c r="B4250" t="n">
        <v>7.34</v>
      </c>
      <c r="C4250" t="n">
        <v>6.4</v>
      </c>
    </row>
    <row r="4251">
      <c r="A4251" s="28" t="n">
        <v>25675</v>
      </c>
      <c r="B4251" t="n">
        <v>7.4</v>
      </c>
      <c r="C4251" t="n">
        <v>6.4</v>
      </c>
    </row>
    <row r="4252">
      <c r="A4252" s="28" t="n">
        <v>25678</v>
      </c>
      <c r="B4252" t="n">
        <v>7.44</v>
      </c>
      <c r="C4252" t="n">
        <v>6.48</v>
      </c>
    </row>
    <row r="4253">
      <c r="A4253" s="28" t="n">
        <v>25679</v>
      </c>
      <c r="B4253" t="n">
        <v>7.5</v>
      </c>
      <c r="C4253" t="n">
        <v>6.54</v>
      </c>
    </row>
    <row r="4254">
      <c r="A4254" s="28" t="n">
        <v>25680</v>
      </c>
      <c r="B4254" t="n">
        <v>7.61</v>
      </c>
      <c r="C4254" t="n">
        <v>6.74</v>
      </c>
    </row>
    <row r="4255">
      <c r="A4255" s="28" t="n">
        <v>25681</v>
      </c>
      <c r="B4255" t="n">
        <v>7.64</v>
      </c>
      <c r="C4255" t="n">
        <v>6.58</v>
      </c>
    </row>
    <row r="4256">
      <c r="A4256" s="28" t="n">
        <v>25682</v>
      </c>
      <c r="B4256" t="n">
        <v>7.72</v>
      </c>
      <c r="C4256" t="n">
        <v>6.6</v>
      </c>
    </row>
    <row r="4257">
      <c r="A4257" s="28" t="n">
        <v>25685</v>
      </c>
      <c r="B4257" t="n">
        <v>7.74</v>
      </c>
      <c r="C4257" t="n">
        <v>6.65</v>
      </c>
    </row>
    <row r="4258">
      <c r="A4258" s="28" t="n">
        <v>25686</v>
      </c>
      <c r="B4258" t="n">
        <v>7.79</v>
      </c>
      <c r="C4258" t="n">
        <v>6.96</v>
      </c>
    </row>
    <row r="4259">
      <c r="A4259" s="28" t="n">
        <v>25687</v>
      </c>
      <c r="B4259" t="n">
        <v>7.78</v>
      </c>
      <c r="C4259" t="n">
        <v>6.91</v>
      </c>
    </row>
    <row r="4260">
      <c r="A4260" s="28" t="n">
        <v>25688</v>
      </c>
      <c r="B4260" t="n">
        <v>7.82</v>
      </c>
      <c r="C4260" t="n">
        <v>6.93</v>
      </c>
    </row>
    <row r="4261">
      <c r="A4261" s="28" t="n">
        <v>25689</v>
      </c>
      <c r="B4261" t="n">
        <v>7.85</v>
      </c>
      <c r="C4261" t="n">
        <v>6.84</v>
      </c>
    </row>
    <row r="4262">
      <c r="A4262" s="28" t="n">
        <v>25692</v>
      </c>
      <c r="B4262" t="n">
        <v>7.94</v>
      </c>
      <c r="C4262" t="n">
        <v>6.91</v>
      </c>
    </row>
    <row r="4263">
      <c r="A4263" s="28" t="n">
        <v>25693</v>
      </c>
      <c r="B4263" t="n">
        <v>7.92</v>
      </c>
      <c r="C4263" t="n">
        <v>7.09</v>
      </c>
    </row>
    <row r="4264">
      <c r="A4264" s="28" t="n">
        <v>25694</v>
      </c>
      <c r="B4264" t="n">
        <v>7.86</v>
      </c>
      <c r="C4264" t="n">
        <v>6.91</v>
      </c>
    </row>
    <row r="4265">
      <c r="A4265" s="28" t="n">
        <v>25695</v>
      </c>
      <c r="B4265" t="n">
        <v>7.82</v>
      </c>
      <c r="C4265" t="n">
        <v>6.64</v>
      </c>
    </row>
    <row r="4266">
      <c r="A4266" s="28" t="n">
        <v>25696</v>
      </c>
      <c r="B4266" t="n">
        <v>7.78</v>
      </c>
      <c r="C4266" t="n">
        <v>6.56</v>
      </c>
    </row>
    <row r="4267">
      <c r="A4267" s="28" t="n">
        <v>25699</v>
      </c>
      <c r="B4267" t="n">
        <v>7.82</v>
      </c>
      <c r="C4267" t="n">
        <v>6.74</v>
      </c>
    </row>
    <row r="4268">
      <c r="A4268" s="28" t="n">
        <v>25700</v>
      </c>
      <c r="B4268" t="n">
        <v>7.84</v>
      </c>
      <c r="C4268" t="n">
        <v>6.92</v>
      </c>
    </row>
    <row r="4269">
      <c r="A4269" s="28" t="n">
        <v>25701</v>
      </c>
      <c r="B4269" t="n">
        <v>7.85</v>
      </c>
      <c r="C4269" t="n">
        <v>6.82</v>
      </c>
    </row>
    <row r="4270">
      <c r="A4270" s="28" t="n">
        <v>25702</v>
      </c>
      <c r="B4270" t="n">
        <v>7.86</v>
      </c>
      <c r="C4270" t="n">
        <v>6.76</v>
      </c>
    </row>
    <row r="4271">
      <c r="A4271" s="28" t="n">
        <v>25703</v>
      </c>
      <c r="B4271" t="n">
        <v>7.83</v>
      </c>
      <c r="C4271" t="n">
        <v>6.76</v>
      </c>
    </row>
    <row r="4272">
      <c r="A4272" s="28" t="n">
        <v>25706</v>
      </c>
      <c r="B4272" t="n">
        <v>7.8</v>
      </c>
      <c r="C4272" t="n">
        <v>6.68</v>
      </c>
    </row>
    <row r="4273">
      <c r="A4273" s="28" t="n">
        <v>25707</v>
      </c>
      <c r="B4273" t="n">
        <v>7.8</v>
      </c>
      <c r="C4273" t="n">
        <v>6.72</v>
      </c>
    </row>
    <row r="4274">
      <c r="A4274" s="28" t="n">
        <v>25708</v>
      </c>
      <c r="B4274" t="n">
        <v>7.85</v>
      </c>
      <c r="C4274" t="n">
        <v>6.67</v>
      </c>
    </row>
    <row r="4275">
      <c r="A4275" s="28" t="n">
        <v>25709</v>
      </c>
      <c r="B4275" t="n">
        <v>7.9</v>
      </c>
      <c r="C4275" t="n">
        <v>6.71</v>
      </c>
    </row>
    <row r="4276">
      <c r="A4276" s="28" t="n">
        <v>25710</v>
      </c>
      <c r="B4276" t="n">
        <v>7.99</v>
      </c>
      <c r="C4276" t="n">
        <v>6.86</v>
      </c>
    </row>
    <row r="4277">
      <c r="A4277" s="28" t="n">
        <v>25713</v>
      </c>
      <c r="B4277" t="n">
        <v>8.15</v>
      </c>
      <c r="C4277" t="n">
        <v>7.01</v>
      </c>
    </row>
    <row r="4278">
      <c r="A4278" s="28" t="n">
        <v>25714</v>
      </c>
      <c r="B4278" t="n">
        <v>8.220000000000001</v>
      </c>
      <c r="C4278" t="n">
        <v>7.08</v>
      </c>
    </row>
    <row r="4279">
      <c r="A4279" s="28" t="n">
        <v>25715</v>
      </c>
      <c r="B4279" t="n">
        <v>8.02</v>
      </c>
      <c r="C4279" t="n">
        <v>7.04</v>
      </c>
    </row>
    <row r="4280">
      <c r="A4280" s="28" t="n">
        <v>25716</v>
      </c>
      <c r="B4280" t="n">
        <v>7.98</v>
      </c>
      <c r="C4280" t="n">
        <v>6.95</v>
      </c>
    </row>
    <row r="4281">
      <c r="A4281" s="28" t="n">
        <v>25717</v>
      </c>
      <c r="B4281" t="n">
        <v>7.95</v>
      </c>
      <c r="C4281" t="n">
        <v>6.93</v>
      </c>
    </row>
    <row r="4282">
      <c r="A4282" s="28" t="n">
        <v>25720</v>
      </c>
      <c r="B4282" t="n">
        <v>7.84</v>
      </c>
      <c r="C4282" t="n">
        <v>6.85</v>
      </c>
    </row>
    <row r="4283">
      <c r="A4283" s="28" t="n">
        <v>25721</v>
      </c>
      <c r="B4283" t="n">
        <v>7.78</v>
      </c>
      <c r="C4283" t="n">
        <v>6.82</v>
      </c>
    </row>
    <row r="4284">
      <c r="A4284" s="28" t="n">
        <v>25722</v>
      </c>
      <c r="B4284" t="n">
        <v>7.76</v>
      </c>
      <c r="C4284" t="n">
        <v>6.81</v>
      </c>
    </row>
    <row r="4285">
      <c r="A4285" s="28" t="n">
        <v>25723</v>
      </c>
      <c r="B4285" t="n">
        <v>7.8</v>
      </c>
      <c r="C4285" t="n">
        <v>6.81</v>
      </c>
    </row>
    <row r="4286">
      <c r="A4286" s="28" t="n">
        <v>25724</v>
      </c>
      <c r="B4286" t="n">
        <v>7.88</v>
      </c>
      <c r="C4286" t="n">
        <v>6.8</v>
      </c>
    </row>
    <row r="4287">
      <c r="A4287" s="28" t="n">
        <v>25727</v>
      </c>
      <c r="B4287" t="n">
        <v>7.89</v>
      </c>
      <c r="C4287" t="n">
        <v>6.75</v>
      </c>
    </row>
    <row r="4288">
      <c r="A4288" s="28" t="n">
        <v>25728</v>
      </c>
      <c r="B4288" t="n">
        <v>7.88</v>
      </c>
      <c r="C4288" t="n">
        <v>6.77</v>
      </c>
    </row>
    <row r="4289">
      <c r="A4289" s="28" t="n">
        <v>25729</v>
      </c>
      <c r="B4289" t="n">
        <v>7.87</v>
      </c>
      <c r="C4289" t="n">
        <v>6.76</v>
      </c>
    </row>
    <row r="4290">
      <c r="A4290" s="28" t="n">
        <v>25730</v>
      </c>
      <c r="B4290" t="n">
        <v>7.92</v>
      </c>
      <c r="C4290" t="n">
        <v>6.74</v>
      </c>
    </row>
    <row r="4291">
      <c r="A4291" s="28" t="n">
        <v>25731</v>
      </c>
      <c r="B4291" t="n">
        <v>7.98</v>
      </c>
      <c r="C4291" t="n">
        <v>6.79</v>
      </c>
    </row>
    <row r="4292">
      <c r="A4292" s="28" t="n">
        <v>25734</v>
      </c>
      <c r="B4292" t="n">
        <v>7.98</v>
      </c>
      <c r="C4292" t="n">
        <v>6.71</v>
      </c>
    </row>
    <row r="4293">
      <c r="A4293" s="28" t="n">
        <v>25735</v>
      </c>
      <c r="B4293" t="n">
        <v>7.87</v>
      </c>
      <c r="C4293" t="n">
        <v>6.71</v>
      </c>
    </row>
    <row r="4294">
      <c r="A4294" s="28" t="n">
        <v>25736</v>
      </c>
      <c r="B4294" t="n">
        <v>7.9</v>
      </c>
      <c r="C4294" t="n">
        <v>6.72</v>
      </c>
    </row>
    <row r="4295">
      <c r="A4295" s="28" t="n">
        <v>25737</v>
      </c>
      <c r="B4295" t="n">
        <v>7.9</v>
      </c>
      <c r="C4295" t="n">
        <v>6.73</v>
      </c>
    </row>
    <row r="4296">
      <c r="A4296" s="28" t="n">
        <v>25738</v>
      </c>
      <c r="B4296" t="n">
        <v>7.9</v>
      </c>
      <c r="C4296" t="n">
        <v>6.7</v>
      </c>
    </row>
    <row r="4297">
      <c r="A4297" s="28" t="n">
        <v>25741</v>
      </c>
      <c r="B4297" t="n">
        <v>7.86</v>
      </c>
      <c r="C4297" t="n">
        <v>6.54</v>
      </c>
    </row>
    <row r="4298">
      <c r="A4298" s="28" t="n">
        <v>25742</v>
      </c>
      <c r="B4298" t="n">
        <v>7.79</v>
      </c>
      <c r="C4298" t="n">
        <v>6.6</v>
      </c>
    </row>
    <row r="4299">
      <c r="A4299" s="28" t="n">
        <v>25743</v>
      </c>
      <c r="B4299" t="n">
        <v>7.74</v>
      </c>
      <c r="C4299" t="n">
        <v>6.62</v>
      </c>
    </row>
    <row r="4300">
      <c r="A4300" s="28" t="n">
        <v>25744</v>
      </c>
      <c r="B4300" t="n">
        <v>7.76</v>
      </c>
      <c r="C4300" t="n">
        <v>6.41</v>
      </c>
    </row>
    <row r="4301">
      <c r="A4301" s="28" t="n">
        <v>25745</v>
      </c>
      <c r="B4301" t="n">
        <v>7.78</v>
      </c>
      <c r="C4301" t="n">
        <v>6.38</v>
      </c>
    </row>
    <row r="4302">
      <c r="A4302" s="28" t="n">
        <v>25748</v>
      </c>
      <c r="B4302" t="n">
        <v>7.76</v>
      </c>
      <c r="C4302" t="n">
        <v>6.37</v>
      </c>
    </row>
    <row r="4303">
      <c r="A4303" s="28" t="n">
        <v>25749</v>
      </c>
      <c r="B4303" t="n">
        <v>7.68</v>
      </c>
      <c r="C4303" t="n">
        <v>6.49</v>
      </c>
    </row>
    <row r="4304">
      <c r="A4304" s="28" t="n">
        <v>25750</v>
      </c>
      <c r="B4304" t="n">
        <v>7.64</v>
      </c>
      <c r="C4304" t="n">
        <v>6.48</v>
      </c>
    </row>
    <row r="4305">
      <c r="A4305" s="28" t="n">
        <v>25751</v>
      </c>
      <c r="B4305" t="n">
        <v>7.55</v>
      </c>
      <c r="C4305" t="n">
        <v>6.48</v>
      </c>
    </row>
    <row r="4306">
      <c r="A4306" s="28" t="n">
        <v>25752</v>
      </c>
      <c r="B4306" t="n">
        <v>0</v>
      </c>
      <c r="C4306" t="n">
        <v>0</v>
      </c>
    </row>
    <row r="4307">
      <c r="A4307" s="28" t="n">
        <v>25755</v>
      </c>
      <c r="B4307" t="n">
        <v>7.49</v>
      </c>
      <c r="C4307" t="n">
        <v>6.58</v>
      </c>
    </row>
    <row r="4308">
      <c r="A4308" s="28" t="n">
        <v>25756</v>
      </c>
      <c r="B4308" t="n">
        <v>7.46</v>
      </c>
      <c r="C4308" t="n">
        <v>6.71</v>
      </c>
    </row>
    <row r="4309">
      <c r="A4309" s="28" t="n">
        <v>25757</v>
      </c>
      <c r="B4309" t="n">
        <v>7.49</v>
      </c>
      <c r="C4309" t="n">
        <v>6.67</v>
      </c>
    </row>
    <row r="4310">
      <c r="A4310" s="28" t="n">
        <v>25758</v>
      </c>
      <c r="B4310" t="n">
        <v>7.49</v>
      </c>
      <c r="C4310" t="n">
        <v>6.61</v>
      </c>
    </row>
    <row r="4311">
      <c r="A4311" s="28" t="n">
        <v>25759</v>
      </c>
      <c r="B4311" t="n">
        <v>7.54</v>
      </c>
      <c r="C4311" t="n">
        <v>6.52</v>
      </c>
    </row>
    <row r="4312">
      <c r="A4312" s="28" t="n">
        <v>25762</v>
      </c>
      <c r="B4312" t="n">
        <v>7.55</v>
      </c>
      <c r="C4312" t="n">
        <v>6.5</v>
      </c>
    </row>
    <row r="4313">
      <c r="A4313" s="28" t="n">
        <v>25763</v>
      </c>
      <c r="B4313" t="n">
        <v>7.53</v>
      </c>
      <c r="C4313" t="n">
        <v>6.51</v>
      </c>
    </row>
    <row r="4314">
      <c r="A4314" s="28" t="n">
        <v>25764</v>
      </c>
      <c r="B4314" t="n">
        <v>7.49</v>
      </c>
      <c r="C4314" t="n">
        <v>6.49</v>
      </c>
    </row>
    <row r="4315">
      <c r="A4315" s="28" t="n">
        <v>25765</v>
      </c>
      <c r="B4315" t="n">
        <v>7.46</v>
      </c>
      <c r="C4315" t="n">
        <v>6.38</v>
      </c>
    </row>
    <row r="4316">
      <c r="A4316" s="28" t="n">
        <v>25766</v>
      </c>
      <c r="B4316" t="n">
        <v>7.45</v>
      </c>
      <c r="C4316" t="n">
        <v>6.4</v>
      </c>
    </row>
    <row r="4317">
      <c r="A4317" s="28" t="n">
        <v>25769</v>
      </c>
      <c r="B4317" t="n">
        <v>7.46</v>
      </c>
      <c r="C4317" t="n">
        <v>6.37</v>
      </c>
    </row>
    <row r="4318">
      <c r="A4318" s="28" t="n">
        <v>25770</v>
      </c>
      <c r="B4318" t="n">
        <v>7.45</v>
      </c>
      <c r="C4318" t="n">
        <v>6.38</v>
      </c>
    </row>
    <row r="4319">
      <c r="A4319" s="28" t="n">
        <v>25771</v>
      </c>
      <c r="B4319" t="n">
        <v>7.43</v>
      </c>
      <c r="C4319" t="n">
        <v>6.35</v>
      </c>
    </row>
    <row r="4320">
      <c r="A4320" s="28" t="n">
        <v>25772</v>
      </c>
      <c r="B4320" t="n">
        <v>7.32</v>
      </c>
      <c r="C4320" t="n">
        <v>6.28</v>
      </c>
    </row>
    <row r="4321">
      <c r="A4321" s="28" t="n">
        <v>25773</v>
      </c>
      <c r="B4321" t="n">
        <v>7.34</v>
      </c>
      <c r="C4321" t="n">
        <v>6.32</v>
      </c>
    </row>
    <row r="4322">
      <c r="A4322" s="28" t="n">
        <v>25776</v>
      </c>
      <c r="B4322" t="n">
        <v>7.36</v>
      </c>
      <c r="C4322" t="n">
        <v>6.34</v>
      </c>
    </row>
    <row r="4323">
      <c r="A4323" s="28" t="n">
        <v>25777</v>
      </c>
      <c r="B4323" t="n">
        <v>7.41</v>
      </c>
      <c r="C4323" t="n">
        <v>6.38</v>
      </c>
    </row>
    <row r="4324">
      <c r="A4324" s="28" t="n">
        <v>25778</v>
      </c>
      <c r="B4324" t="n">
        <v>7.39</v>
      </c>
      <c r="C4324" t="n">
        <v>6.38</v>
      </c>
    </row>
    <row r="4325">
      <c r="A4325" s="28" t="n">
        <v>25779</v>
      </c>
      <c r="B4325" t="n">
        <v>7.38</v>
      </c>
      <c r="C4325" t="n">
        <v>6.39</v>
      </c>
    </row>
    <row r="4326">
      <c r="A4326" s="28" t="n">
        <v>25780</v>
      </c>
      <c r="B4326" t="n">
        <v>7.38</v>
      </c>
      <c r="C4326" t="n">
        <v>6.38</v>
      </c>
    </row>
    <row r="4327">
      <c r="A4327" s="28" t="n">
        <v>25783</v>
      </c>
      <c r="B4327" t="n">
        <v>7.39</v>
      </c>
      <c r="C4327" t="n">
        <v>6.4</v>
      </c>
    </row>
    <row r="4328">
      <c r="A4328" s="28" t="n">
        <v>25784</v>
      </c>
      <c r="B4328" t="n">
        <v>7.4</v>
      </c>
      <c r="C4328" t="n">
        <v>6.46</v>
      </c>
    </row>
    <row r="4329">
      <c r="A4329" s="28" t="n">
        <v>25785</v>
      </c>
      <c r="B4329" t="n">
        <v>7.42</v>
      </c>
      <c r="C4329" t="n">
        <v>6.5</v>
      </c>
    </row>
    <row r="4330">
      <c r="A4330" s="28" t="n">
        <v>25786</v>
      </c>
      <c r="B4330" t="n">
        <v>7.43</v>
      </c>
      <c r="C4330" t="n">
        <v>6.49</v>
      </c>
    </row>
    <row r="4331">
      <c r="A4331" s="28" t="n">
        <v>25787</v>
      </c>
      <c r="B4331" t="n">
        <v>7.45</v>
      </c>
      <c r="C4331" t="n">
        <v>6.47</v>
      </c>
    </row>
    <row r="4332">
      <c r="A4332" s="28" t="n">
        <v>25790</v>
      </c>
      <c r="B4332" t="n">
        <v>7.5</v>
      </c>
      <c r="C4332" t="n">
        <v>6.48</v>
      </c>
    </row>
    <row r="4333">
      <c r="A4333" s="28" t="n">
        <v>25791</v>
      </c>
      <c r="B4333" t="n">
        <v>7.54</v>
      </c>
      <c r="C4333" t="n">
        <v>6.54</v>
      </c>
    </row>
    <row r="4334">
      <c r="A4334" s="28" t="n">
        <v>25792</v>
      </c>
      <c r="B4334" t="n">
        <v>7.56</v>
      </c>
      <c r="C4334" t="n">
        <v>6.55</v>
      </c>
    </row>
    <row r="4335">
      <c r="A4335" s="28" t="n">
        <v>25793</v>
      </c>
      <c r="B4335" t="n">
        <v>7.58</v>
      </c>
      <c r="C4335" t="n">
        <v>6.53</v>
      </c>
    </row>
    <row r="4336">
      <c r="A4336" s="28" t="n">
        <v>25794</v>
      </c>
      <c r="B4336" t="n">
        <v>7.67</v>
      </c>
      <c r="C4336" t="n">
        <v>6.54</v>
      </c>
    </row>
    <row r="4337">
      <c r="A4337" s="28" t="n">
        <v>25797</v>
      </c>
      <c r="B4337" t="n">
        <v>7.71</v>
      </c>
      <c r="C4337" t="n">
        <v>6.53</v>
      </c>
    </row>
    <row r="4338">
      <c r="A4338" s="28" t="n">
        <v>25798</v>
      </c>
      <c r="B4338" t="n">
        <v>7.68</v>
      </c>
      <c r="C4338" t="n">
        <v>6.47</v>
      </c>
    </row>
    <row r="4339">
      <c r="A4339" s="28" t="n">
        <v>25799</v>
      </c>
      <c r="B4339" t="n">
        <v>7.65</v>
      </c>
      <c r="C4339" t="n">
        <v>6.41</v>
      </c>
    </row>
    <row r="4340">
      <c r="A4340" s="28" t="n">
        <v>25800</v>
      </c>
      <c r="B4340" t="n">
        <v>7.64</v>
      </c>
      <c r="C4340" t="n">
        <v>6.38</v>
      </c>
    </row>
    <row r="4341">
      <c r="A4341" s="28" t="n">
        <v>25801</v>
      </c>
      <c r="B4341" t="n">
        <v>7.6</v>
      </c>
      <c r="C4341" t="n">
        <v>6.29</v>
      </c>
    </row>
    <row r="4342">
      <c r="A4342" s="28" t="n">
        <v>25804</v>
      </c>
      <c r="B4342" t="n">
        <v>7.48</v>
      </c>
      <c r="C4342" t="n">
        <v>6.23</v>
      </c>
    </row>
    <row r="4343">
      <c r="A4343" s="28" t="n">
        <v>25805</v>
      </c>
      <c r="B4343" t="n">
        <v>7.46</v>
      </c>
      <c r="C4343" t="n">
        <v>6.23</v>
      </c>
    </row>
    <row r="4344">
      <c r="A4344" s="28" t="n">
        <v>25806</v>
      </c>
      <c r="B4344" t="n">
        <v>7.45</v>
      </c>
      <c r="C4344" t="n">
        <v>6.25</v>
      </c>
    </row>
    <row r="4345">
      <c r="A4345" s="28" t="n">
        <v>25807</v>
      </c>
      <c r="B4345" t="n">
        <v>7.48</v>
      </c>
      <c r="C4345" t="n">
        <v>6.27</v>
      </c>
    </row>
    <row r="4346">
      <c r="A4346" s="28" t="n">
        <v>25808</v>
      </c>
      <c r="B4346" t="n">
        <v>7.49</v>
      </c>
      <c r="C4346" t="n">
        <v>6.28</v>
      </c>
    </row>
    <row r="4347">
      <c r="A4347" s="28" t="n">
        <v>25811</v>
      </c>
      <c r="B4347" t="n">
        <v>7.49</v>
      </c>
      <c r="C4347" t="n">
        <v>6.33</v>
      </c>
    </row>
    <row r="4348">
      <c r="A4348" s="28" t="n">
        <v>25812</v>
      </c>
      <c r="B4348" t="n">
        <v>7.47</v>
      </c>
      <c r="C4348" t="n">
        <v>6.39</v>
      </c>
    </row>
    <row r="4349">
      <c r="A4349" s="28" t="n">
        <v>25813</v>
      </c>
      <c r="B4349" t="n">
        <v>7.48</v>
      </c>
      <c r="C4349" t="n">
        <v>6.4</v>
      </c>
    </row>
    <row r="4350">
      <c r="A4350" s="28" t="n">
        <v>25814</v>
      </c>
      <c r="B4350" t="n">
        <v>7.48</v>
      </c>
      <c r="C4350" t="n">
        <v>6.39</v>
      </c>
    </row>
    <row r="4351">
      <c r="A4351" s="28" t="n">
        <v>25815</v>
      </c>
      <c r="B4351" t="n">
        <v>7.47</v>
      </c>
      <c r="C4351" t="n">
        <v>6.32</v>
      </c>
    </row>
    <row r="4352">
      <c r="A4352" s="28" t="n">
        <v>25818</v>
      </c>
      <c r="B4352" t="n">
        <v>0</v>
      </c>
      <c r="C4352" t="n">
        <v>0</v>
      </c>
    </row>
    <row r="4353">
      <c r="A4353" s="28" t="n">
        <v>25819</v>
      </c>
      <c r="B4353" t="n">
        <v>7.5</v>
      </c>
      <c r="C4353" t="n">
        <v>6.38</v>
      </c>
    </row>
    <row r="4354">
      <c r="A4354" s="28" t="n">
        <v>25820</v>
      </c>
      <c r="B4354" t="n">
        <v>7.54</v>
      </c>
      <c r="C4354" t="n">
        <v>6.4</v>
      </c>
    </row>
    <row r="4355">
      <c r="A4355" s="28" t="n">
        <v>25821</v>
      </c>
      <c r="B4355" t="n">
        <v>7.52</v>
      </c>
      <c r="C4355" t="n">
        <v>6.41</v>
      </c>
    </row>
    <row r="4356">
      <c r="A4356" s="28" t="n">
        <v>25822</v>
      </c>
      <c r="B4356" t="n">
        <v>7.5</v>
      </c>
      <c r="C4356" t="n">
        <v>6.39</v>
      </c>
    </row>
    <row r="4357">
      <c r="A4357" s="28" t="n">
        <v>25825</v>
      </c>
      <c r="B4357" t="n">
        <v>7.48</v>
      </c>
      <c r="C4357" t="n">
        <v>6.33</v>
      </c>
    </row>
    <row r="4358">
      <c r="A4358" s="28" t="n">
        <v>25826</v>
      </c>
      <c r="B4358" t="n">
        <v>7.46</v>
      </c>
      <c r="C4358" t="n">
        <v>6.32</v>
      </c>
    </row>
    <row r="4359">
      <c r="A4359" s="28" t="n">
        <v>25827</v>
      </c>
      <c r="B4359" t="n">
        <v>7.4</v>
      </c>
      <c r="C4359" t="n">
        <v>6.2</v>
      </c>
    </row>
    <row r="4360">
      <c r="A4360" s="28" t="n">
        <v>25828</v>
      </c>
      <c r="B4360" t="n">
        <v>7.32</v>
      </c>
      <c r="C4360" t="n">
        <v>6.15</v>
      </c>
    </row>
    <row r="4361">
      <c r="A4361" s="28" t="n">
        <v>25829</v>
      </c>
      <c r="B4361" t="n">
        <v>7.31</v>
      </c>
      <c r="C4361" t="n">
        <v>6.08</v>
      </c>
    </row>
    <row r="4362">
      <c r="A4362" s="28" t="n">
        <v>25832</v>
      </c>
      <c r="B4362" t="n">
        <v>7.29</v>
      </c>
      <c r="C4362" t="n">
        <v>5.96</v>
      </c>
    </row>
    <row r="4363">
      <c r="A4363" s="28" t="n">
        <v>25833</v>
      </c>
      <c r="B4363" t="n">
        <v>7.28</v>
      </c>
      <c r="C4363" t="n">
        <v>5.74</v>
      </c>
    </row>
    <row r="4364">
      <c r="A4364" s="28" t="n">
        <v>25834</v>
      </c>
      <c r="B4364" t="n">
        <v>7.24</v>
      </c>
      <c r="C4364" t="n">
        <v>5.71</v>
      </c>
    </row>
    <row r="4365">
      <c r="A4365" s="28" t="n">
        <v>25835</v>
      </c>
      <c r="B4365" t="n">
        <v>7.26</v>
      </c>
      <c r="C4365" t="n">
        <v>5.76</v>
      </c>
    </row>
    <row r="4366">
      <c r="A4366" s="28" t="n">
        <v>25836</v>
      </c>
      <c r="B4366" t="n">
        <v>7.28</v>
      </c>
      <c r="C4366" t="n">
        <v>5.82</v>
      </c>
    </row>
    <row r="4367">
      <c r="A4367" s="28" t="n">
        <v>25839</v>
      </c>
      <c r="B4367" t="n">
        <v>7.31</v>
      </c>
      <c r="C4367" t="n">
        <v>5.81</v>
      </c>
    </row>
    <row r="4368">
      <c r="A4368" s="28" t="n">
        <v>25840</v>
      </c>
      <c r="B4368" t="n">
        <v>7.3</v>
      </c>
      <c r="C4368" t="n">
        <v>5.82</v>
      </c>
    </row>
    <row r="4369">
      <c r="A4369" s="28" t="n">
        <v>25841</v>
      </c>
      <c r="B4369" t="n">
        <v>7.29</v>
      </c>
      <c r="C4369" t="n">
        <v>5.84</v>
      </c>
    </row>
    <row r="4370">
      <c r="A4370" s="28" t="n">
        <v>25842</v>
      </c>
      <c r="B4370" t="n">
        <v>7.29</v>
      </c>
      <c r="C4370" t="n">
        <v>5.86</v>
      </c>
    </row>
    <row r="4371">
      <c r="A4371" s="28" t="n">
        <v>25843</v>
      </c>
      <c r="B4371" t="n">
        <v>7.26</v>
      </c>
      <c r="C4371" t="n">
        <v>5.86</v>
      </c>
    </row>
    <row r="4372">
      <c r="A4372" s="28" t="n">
        <v>25846</v>
      </c>
      <c r="B4372" t="n">
        <v>7.26</v>
      </c>
      <c r="C4372" t="n">
        <v>5.9</v>
      </c>
    </row>
    <row r="4373">
      <c r="A4373" s="28" t="n">
        <v>25847</v>
      </c>
      <c r="B4373" t="n">
        <v>7.24</v>
      </c>
      <c r="C4373" t="n">
        <v>6.05</v>
      </c>
    </row>
    <row r="4374">
      <c r="A4374" s="28" t="n">
        <v>25848</v>
      </c>
      <c r="B4374" t="n">
        <v>7.23</v>
      </c>
      <c r="C4374" t="n">
        <v>6.06</v>
      </c>
    </row>
    <row r="4375">
      <c r="A4375" s="28" t="n">
        <v>25849</v>
      </c>
      <c r="B4375" t="n">
        <v>7.25</v>
      </c>
      <c r="C4375" t="n">
        <v>6.07</v>
      </c>
    </row>
    <row r="4376">
      <c r="A4376" s="28" t="n">
        <v>25850</v>
      </c>
      <c r="B4376" t="n">
        <v>7.25</v>
      </c>
      <c r="C4376" t="n">
        <v>6.05</v>
      </c>
    </row>
    <row r="4377">
      <c r="A4377" s="28" t="n">
        <v>25853</v>
      </c>
      <c r="B4377" t="n">
        <v>0</v>
      </c>
      <c r="C4377" t="n">
        <v>0</v>
      </c>
    </row>
    <row r="4378">
      <c r="A4378" s="28" t="n">
        <v>25854</v>
      </c>
      <c r="B4378" t="n">
        <v>7.25</v>
      </c>
      <c r="C4378" t="n">
        <v>6.01</v>
      </c>
    </row>
    <row r="4379">
      <c r="A4379" s="28" t="n">
        <v>25855</v>
      </c>
      <c r="B4379" t="n">
        <v>7.3</v>
      </c>
      <c r="C4379" t="n">
        <v>5.96</v>
      </c>
    </row>
    <row r="4380">
      <c r="A4380" s="28" t="n">
        <v>25856</v>
      </c>
      <c r="B4380" t="n">
        <v>7.3</v>
      </c>
      <c r="C4380" t="n">
        <v>5.91</v>
      </c>
    </row>
    <row r="4381">
      <c r="A4381" s="28" t="n">
        <v>25857</v>
      </c>
      <c r="B4381" t="n">
        <v>7.31</v>
      </c>
      <c r="C4381" t="n">
        <v>5.93</v>
      </c>
    </row>
    <row r="4382">
      <c r="A4382" s="28" t="n">
        <v>25860</v>
      </c>
      <c r="B4382" t="n">
        <v>7.35</v>
      </c>
      <c r="C4382" t="n">
        <v>5.94</v>
      </c>
    </row>
    <row r="4383">
      <c r="A4383" s="28" t="n">
        <v>25861</v>
      </c>
      <c r="B4383" t="n">
        <v>7.37</v>
      </c>
      <c r="C4383" t="n">
        <v>5.86</v>
      </c>
    </row>
    <row r="4384">
      <c r="A4384" s="28" t="n">
        <v>25862</v>
      </c>
      <c r="B4384" t="n">
        <v>7.42</v>
      </c>
      <c r="C4384" t="n">
        <v>5.82</v>
      </c>
    </row>
    <row r="4385">
      <c r="A4385" s="28" t="n">
        <v>25863</v>
      </c>
      <c r="B4385" t="n">
        <v>7.46</v>
      </c>
      <c r="C4385" t="n">
        <v>5.78</v>
      </c>
    </row>
    <row r="4386">
      <c r="A4386" s="28" t="n">
        <v>25864</v>
      </c>
      <c r="B4386" t="n">
        <v>7.44</v>
      </c>
      <c r="C4386" t="n">
        <v>5.76</v>
      </c>
    </row>
    <row r="4387">
      <c r="A4387" s="28" t="n">
        <v>25867</v>
      </c>
      <c r="B4387" t="n">
        <v>7.44</v>
      </c>
      <c r="C4387" t="n">
        <v>5.8</v>
      </c>
    </row>
    <row r="4388">
      <c r="A4388" s="28" t="n">
        <v>25868</v>
      </c>
      <c r="B4388" t="n">
        <v>7.42</v>
      </c>
      <c r="C4388" t="n">
        <v>5.85</v>
      </c>
    </row>
    <row r="4389">
      <c r="A4389" s="28" t="n">
        <v>25869</v>
      </c>
      <c r="B4389" t="n">
        <v>7.38</v>
      </c>
      <c r="C4389" t="n">
        <v>5.88</v>
      </c>
    </row>
    <row r="4390">
      <c r="A4390" s="28" t="n">
        <v>25870</v>
      </c>
      <c r="B4390" t="n">
        <v>7.31</v>
      </c>
      <c r="C4390" t="n">
        <v>5.85</v>
      </c>
    </row>
    <row r="4391">
      <c r="A4391" s="28" t="n">
        <v>25871</v>
      </c>
      <c r="B4391" t="n">
        <v>7.33</v>
      </c>
      <c r="C4391" t="n">
        <v>5.84</v>
      </c>
    </row>
    <row r="4392">
      <c r="A4392" s="28" t="n">
        <v>25874</v>
      </c>
      <c r="B4392" t="n">
        <v>7.24</v>
      </c>
      <c r="C4392" t="n">
        <v>5.69</v>
      </c>
    </row>
    <row r="4393">
      <c r="A4393" s="28" t="n">
        <v>25875</v>
      </c>
      <c r="B4393" t="n">
        <v>0</v>
      </c>
      <c r="C4393" t="n">
        <v>0</v>
      </c>
    </row>
    <row r="4394">
      <c r="A4394" s="28" t="n">
        <v>25876</v>
      </c>
      <c r="B4394" t="n">
        <v>7.23</v>
      </c>
      <c r="C4394" t="n">
        <v>5.56</v>
      </c>
    </row>
    <row r="4395">
      <c r="A4395" s="28" t="n">
        <v>25877</v>
      </c>
      <c r="B4395" t="n">
        <v>7.2</v>
      </c>
      <c r="C4395" t="n">
        <v>5.49</v>
      </c>
    </row>
    <row r="4396">
      <c r="A4396" s="28" t="n">
        <v>25878</v>
      </c>
      <c r="B4396" t="n">
        <v>7.15</v>
      </c>
      <c r="C4396" t="n">
        <v>5.5</v>
      </c>
    </row>
    <row r="4397">
      <c r="A4397" s="28" t="n">
        <v>25881</v>
      </c>
      <c r="B4397" t="n">
        <v>7.06</v>
      </c>
      <c r="C4397" t="n">
        <v>5.49</v>
      </c>
    </row>
    <row r="4398">
      <c r="A4398" s="28" t="n">
        <v>25882</v>
      </c>
      <c r="B4398" t="n">
        <v>7.06</v>
      </c>
      <c r="C4398" t="n">
        <v>5.48</v>
      </c>
    </row>
    <row r="4399">
      <c r="A4399" s="28" t="n">
        <v>25883</v>
      </c>
      <c r="B4399" t="n">
        <v>0</v>
      </c>
      <c r="C4399" t="n">
        <v>0</v>
      </c>
    </row>
    <row r="4400">
      <c r="A4400" s="28" t="n">
        <v>25884</v>
      </c>
      <c r="B4400" t="n">
        <v>7.03</v>
      </c>
      <c r="C4400" t="n">
        <v>5.49</v>
      </c>
    </row>
    <row r="4401">
      <c r="A4401" s="28" t="n">
        <v>25885</v>
      </c>
      <c r="B4401" t="n">
        <v>7</v>
      </c>
      <c r="C4401" t="n">
        <v>5.44</v>
      </c>
    </row>
    <row r="4402">
      <c r="A4402" s="28" t="n">
        <v>25888</v>
      </c>
      <c r="B4402" t="n">
        <v>6.96</v>
      </c>
      <c r="C4402" t="n">
        <v>5.3</v>
      </c>
    </row>
    <row r="4403">
      <c r="A4403" s="28" t="n">
        <v>25889</v>
      </c>
      <c r="B4403" t="n">
        <v>6.93</v>
      </c>
      <c r="C4403" t="n">
        <v>5.22</v>
      </c>
    </row>
    <row r="4404">
      <c r="A4404" s="28" t="n">
        <v>25890</v>
      </c>
      <c r="B4404" t="n">
        <v>6.86</v>
      </c>
      <c r="C4404" t="n">
        <v>5.24</v>
      </c>
    </row>
    <row r="4405">
      <c r="A4405" s="28" t="n">
        <v>25891</v>
      </c>
      <c r="B4405" t="n">
        <v>6.72</v>
      </c>
      <c r="C4405" t="n">
        <v>5.17</v>
      </c>
    </row>
    <row r="4406">
      <c r="A4406" s="28" t="n">
        <v>25892</v>
      </c>
      <c r="B4406" t="n">
        <v>6.48</v>
      </c>
      <c r="C4406" t="n">
        <v>5.02</v>
      </c>
    </row>
    <row r="4407">
      <c r="A4407" s="28" t="n">
        <v>25895</v>
      </c>
      <c r="B4407" t="n">
        <v>6.32</v>
      </c>
      <c r="C4407" t="n">
        <v>4.8</v>
      </c>
    </row>
    <row r="4408">
      <c r="A4408" s="28" t="n">
        <v>25896</v>
      </c>
      <c r="B4408" t="n">
        <v>6.45</v>
      </c>
      <c r="C4408" t="n">
        <v>4.93</v>
      </c>
    </row>
    <row r="4409">
      <c r="A4409" s="28" t="n">
        <v>25897</v>
      </c>
      <c r="B4409" t="n">
        <v>6.48</v>
      </c>
      <c r="C4409" t="n">
        <v>5.06</v>
      </c>
    </row>
    <row r="4410">
      <c r="A4410" s="28" t="n">
        <v>25898</v>
      </c>
      <c r="B4410" t="n">
        <v>0</v>
      </c>
      <c r="C4410" t="n">
        <v>0</v>
      </c>
    </row>
    <row r="4411">
      <c r="A4411" s="28" t="n">
        <v>25899</v>
      </c>
      <c r="B4411" t="n">
        <v>6.48</v>
      </c>
      <c r="C4411" t="n">
        <v>5.16</v>
      </c>
    </row>
    <row r="4412">
      <c r="A4412" s="28" t="n">
        <v>25902</v>
      </c>
      <c r="B4412" t="n">
        <v>6.49</v>
      </c>
      <c r="C4412" t="n">
        <v>5.04</v>
      </c>
    </row>
    <row r="4413">
      <c r="A4413" s="28" t="n">
        <v>25903</v>
      </c>
      <c r="B4413" t="n">
        <v>6.48</v>
      </c>
      <c r="C4413" t="n">
        <v>4.98</v>
      </c>
    </row>
    <row r="4414">
      <c r="A4414" s="28" t="n">
        <v>25904</v>
      </c>
      <c r="B4414" t="n">
        <v>6.41</v>
      </c>
      <c r="C4414" t="n">
        <v>4.97</v>
      </c>
    </row>
    <row r="4415">
      <c r="A4415" s="28" t="n">
        <v>25905</v>
      </c>
      <c r="B4415" t="n">
        <v>6.31</v>
      </c>
      <c r="C4415" t="n">
        <v>4.94</v>
      </c>
    </row>
    <row r="4416">
      <c r="A4416" s="28" t="n">
        <v>25906</v>
      </c>
      <c r="B4416" t="n">
        <v>6.21</v>
      </c>
      <c r="C4416" t="n">
        <v>4.91</v>
      </c>
    </row>
    <row r="4417">
      <c r="A4417" s="28" t="n">
        <v>25909</v>
      </c>
      <c r="B4417" t="n">
        <v>6.27</v>
      </c>
      <c r="C4417" t="n">
        <v>4.92</v>
      </c>
    </row>
    <row r="4418">
      <c r="A4418" s="28" t="n">
        <v>25910</v>
      </c>
      <c r="B4418" t="n">
        <v>6.29</v>
      </c>
      <c r="C4418" t="n">
        <v>4.96</v>
      </c>
    </row>
    <row r="4419">
      <c r="A4419" s="28" t="n">
        <v>25911</v>
      </c>
      <c r="B4419" t="n">
        <v>6.34</v>
      </c>
      <c r="C4419" t="n">
        <v>4.96</v>
      </c>
    </row>
    <row r="4420">
      <c r="A4420" s="28" t="n">
        <v>25912</v>
      </c>
      <c r="B4420" t="n">
        <v>6.34</v>
      </c>
      <c r="C4420" t="n">
        <v>4.9</v>
      </c>
    </row>
    <row r="4421">
      <c r="A4421" s="28" t="n">
        <v>25913</v>
      </c>
      <c r="B4421" t="n">
        <v>6.31</v>
      </c>
      <c r="C4421" t="n">
        <v>4.86</v>
      </c>
    </row>
    <row r="4422">
      <c r="A4422" s="28" t="n">
        <v>25916</v>
      </c>
      <c r="B4422" t="n">
        <v>6.26</v>
      </c>
      <c r="C4422" t="n">
        <v>4.8</v>
      </c>
    </row>
    <row r="4423">
      <c r="A4423" s="28" t="n">
        <v>25917</v>
      </c>
      <c r="B4423" t="n">
        <v>6.29</v>
      </c>
      <c r="C4423" t="n">
        <v>4.78</v>
      </c>
    </row>
    <row r="4424">
      <c r="A4424" s="28" t="n">
        <v>25918</v>
      </c>
      <c r="B4424" t="n">
        <v>6.29</v>
      </c>
      <c r="C4424" t="n">
        <v>4.76</v>
      </c>
    </row>
    <row r="4425">
      <c r="A4425" s="28" t="n">
        <v>25919</v>
      </c>
      <c r="B4425" t="n">
        <v>6.3</v>
      </c>
      <c r="C4425" t="n">
        <v>4.74</v>
      </c>
    </row>
    <row r="4426">
      <c r="A4426" s="28" t="n">
        <v>25920</v>
      </c>
      <c r="B4426" t="n">
        <v>6.33</v>
      </c>
      <c r="C4426" t="n">
        <v>4.75</v>
      </c>
    </row>
    <row r="4427">
      <c r="A4427" s="28" t="n">
        <v>25923</v>
      </c>
      <c r="B4427" t="n">
        <v>6.45</v>
      </c>
      <c r="C4427" t="n">
        <v>4.8</v>
      </c>
    </row>
    <row r="4428">
      <c r="A4428" s="28" t="n">
        <v>25924</v>
      </c>
      <c r="B4428" t="n">
        <v>6.52</v>
      </c>
      <c r="C4428" t="n">
        <v>4.81</v>
      </c>
    </row>
    <row r="4429">
      <c r="A4429" s="28" t="n">
        <v>25925</v>
      </c>
      <c r="B4429" t="n">
        <v>6.57</v>
      </c>
      <c r="C4429" t="n">
        <v>4.86</v>
      </c>
    </row>
    <row r="4430">
      <c r="A4430" s="28" t="n">
        <v>25926</v>
      </c>
      <c r="B4430" t="n">
        <v>6.53</v>
      </c>
      <c r="C4430" t="n">
        <v>4.83</v>
      </c>
    </row>
    <row r="4431">
      <c r="A4431" s="28" t="n">
        <v>25927</v>
      </c>
      <c r="B4431" t="n">
        <v>0</v>
      </c>
      <c r="C4431" t="n">
        <v>0</v>
      </c>
    </row>
    <row r="4432">
      <c r="A4432" s="28" t="n">
        <v>25930</v>
      </c>
      <c r="B4432" t="n">
        <v>6.54</v>
      </c>
      <c r="C4432" t="n">
        <v>4.84</v>
      </c>
    </row>
    <row r="4433">
      <c r="A4433" s="28" t="n">
        <v>25931</v>
      </c>
      <c r="B4433" t="n">
        <v>6.56</v>
      </c>
      <c r="C4433" t="n">
        <v>4.93</v>
      </c>
    </row>
    <row r="4434">
      <c r="A4434" s="28" t="n">
        <v>25932</v>
      </c>
      <c r="B4434" t="n">
        <v>6.51</v>
      </c>
      <c r="C4434" t="n">
        <v>4.89</v>
      </c>
    </row>
    <row r="4435">
      <c r="A4435" s="28" t="n">
        <v>25933</v>
      </c>
      <c r="B4435" t="n">
        <v>6.5</v>
      </c>
      <c r="C4435" t="n">
        <v>4.85</v>
      </c>
    </row>
    <row r="4436">
      <c r="A4436" s="28" t="n">
        <v>25934</v>
      </c>
      <c r="B4436" t="n">
        <v>0</v>
      </c>
      <c r="C4436" t="n">
        <v>0</v>
      </c>
    </row>
    <row r="4437">
      <c r="A4437" s="28" t="n">
        <v>25937</v>
      </c>
      <c r="B4437" t="n">
        <v>6.46</v>
      </c>
      <c r="C4437" t="n">
        <v>4.89</v>
      </c>
    </row>
    <row r="4438">
      <c r="A4438" s="28" t="n">
        <v>25938</v>
      </c>
      <c r="B4438" t="n">
        <v>6.47</v>
      </c>
      <c r="C4438" t="n">
        <v>4.89</v>
      </c>
    </row>
    <row r="4439">
      <c r="A4439" s="28" t="n">
        <v>25939</v>
      </c>
      <c r="B4439" t="n">
        <v>6.47</v>
      </c>
      <c r="C4439" t="n">
        <v>4.84</v>
      </c>
    </row>
    <row r="4440">
      <c r="A4440" s="28" t="n">
        <v>25940</v>
      </c>
      <c r="B4440" t="n">
        <v>6.45</v>
      </c>
      <c r="C4440" t="n">
        <v>4.81</v>
      </c>
    </row>
    <row r="4441">
      <c r="A4441" s="28" t="n">
        <v>25941</v>
      </c>
      <c r="B4441" t="n">
        <v>6.44</v>
      </c>
      <c r="C4441" t="n">
        <v>4.75</v>
      </c>
    </row>
    <row r="4442">
      <c r="A4442" s="28" t="n">
        <v>25944</v>
      </c>
      <c r="B4442" t="n">
        <v>6.39</v>
      </c>
      <c r="C4442" t="n">
        <v>4.66</v>
      </c>
    </row>
    <row r="4443">
      <c r="A4443" s="28" t="n">
        <v>25945</v>
      </c>
      <c r="B4443" t="n">
        <v>6.35</v>
      </c>
      <c r="C4443" t="n">
        <v>4.63</v>
      </c>
    </row>
    <row r="4444">
      <c r="A4444" s="28" t="n">
        <v>25946</v>
      </c>
      <c r="B4444" t="n">
        <v>6.29</v>
      </c>
      <c r="C4444" t="n">
        <v>4.56</v>
      </c>
    </row>
    <row r="4445">
      <c r="A4445" s="28" t="n">
        <v>25947</v>
      </c>
      <c r="B4445" t="n">
        <v>6.22</v>
      </c>
      <c r="C4445" t="n">
        <v>4.38</v>
      </c>
    </row>
    <row r="4446">
      <c r="A4446" s="28" t="n">
        <v>25948</v>
      </c>
      <c r="B4446" t="n">
        <v>6.22</v>
      </c>
      <c r="C4446" t="n">
        <v>4.32</v>
      </c>
    </row>
    <row r="4447">
      <c r="A4447" s="28" t="n">
        <v>25951</v>
      </c>
      <c r="B4447" t="n">
        <v>6.16</v>
      </c>
      <c r="C4447" t="n">
        <v>4.26</v>
      </c>
    </row>
    <row r="4448">
      <c r="A4448" s="28" t="n">
        <v>25952</v>
      </c>
      <c r="B4448" t="n">
        <v>6.17</v>
      </c>
      <c r="C4448" t="n">
        <v>4.25</v>
      </c>
    </row>
    <row r="4449">
      <c r="A4449" s="28" t="n">
        <v>25953</v>
      </c>
      <c r="B4449" t="n">
        <v>6.15</v>
      </c>
      <c r="C4449" t="n">
        <v>4.18</v>
      </c>
    </row>
    <row r="4450">
      <c r="A4450" s="28" t="n">
        <v>25954</v>
      </c>
      <c r="B4450" t="n">
        <v>6.09</v>
      </c>
      <c r="C4450" t="n">
        <v>4.12</v>
      </c>
    </row>
    <row r="4451">
      <c r="A4451" s="28" t="n">
        <v>25955</v>
      </c>
      <c r="B4451" t="n">
        <v>6.06</v>
      </c>
      <c r="C4451" t="n">
        <v>4.18</v>
      </c>
    </row>
    <row r="4452">
      <c r="A4452" s="28" t="n">
        <v>25958</v>
      </c>
      <c r="B4452" t="n">
        <v>6.05</v>
      </c>
      <c r="C4452" t="n">
        <v>4.18</v>
      </c>
    </row>
    <row r="4453">
      <c r="A4453" s="28" t="n">
        <v>25959</v>
      </c>
      <c r="B4453" t="n">
        <v>6.07</v>
      </c>
      <c r="C4453" t="n">
        <v>4.25</v>
      </c>
    </row>
    <row r="4454">
      <c r="A4454" s="28" t="n">
        <v>25960</v>
      </c>
      <c r="B4454" t="n">
        <v>6.09</v>
      </c>
      <c r="C4454" t="n">
        <v>4.22</v>
      </c>
    </row>
    <row r="4455">
      <c r="A4455" s="28" t="n">
        <v>25961</v>
      </c>
      <c r="B4455" t="n">
        <v>6.08</v>
      </c>
      <c r="C4455" t="n">
        <v>4.18</v>
      </c>
    </row>
    <row r="4456">
      <c r="A4456" s="28" t="n">
        <v>25962</v>
      </c>
      <c r="B4456" t="n">
        <v>6.09</v>
      </c>
      <c r="C4456" t="n">
        <v>4.15</v>
      </c>
    </row>
    <row r="4457">
      <c r="A4457" s="28" t="n">
        <v>25965</v>
      </c>
      <c r="B4457" t="n">
        <v>6.09</v>
      </c>
      <c r="C4457" t="n">
        <v>4.12</v>
      </c>
    </row>
    <row r="4458">
      <c r="A4458" s="28" t="n">
        <v>25966</v>
      </c>
      <c r="B4458" t="n">
        <v>6.11</v>
      </c>
      <c r="C4458" t="n">
        <v>4.1</v>
      </c>
    </row>
    <row r="4459">
      <c r="A4459" s="28" t="n">
        <v>25967</v>
      </c>
      <c r="B4459" t="n">
        <v>6.11</v>
      </c>
      <c r="C4459" t="n">
        <v>4.09</v>
      </c>
    </row>
    <row r="4460">
      <c r="A4460" s="28" t="n">
        <v>25968</v>
      </c>
      <c r="B4460" t="n">
        <v>6.1</v>
      </c>
      <c r="C4460" t="n">
        <v>4.03</v>
      </c>
    </row>
    <row r="4461">
      <c r="A4461" s="28" t="n">
        <v>25969</v>
      </c>
      <c r="B4461" t="n">
        <v>6.1</v>
      </c>
      <c r="C4461" t="n">
        <v>3.96</v>
      </c>
    </row>
    <row r="4462">
      <c r="A4462" s="28" t="n">
        <v>25972</v>
      </c>
      <c r="B4462" t="n">
        <v>6.09</v>
      </c>
      <c r="C4462" t="n">
        <v>3.82</v>
      </c>
    </row>
    <row r="4463">
      <c r="A4463" s="28" t="n">
        <v>25973</v>
      </c>
      <c r="B4463" t="n">
        <v>6.07</v>
      </c>
      <c r="C4463" t="n">
        <v>3.64</v>
      </c>
    </row>
    <row r="4464">
      <c r="A4464" s="28" t="n">
        <v>25974</v>
      </c>
      <c r="B4464" t="n">
        <v>6.08</v>
      </c>
      <c r="C4464" t="n">
        <v>3.7</v>
      </c>
    </row>
    <row r="4465">
      <c r="A4465" s="28" t="n">
        <v>25975</v>
      </c>
      <c r="B4465" t="n">
        <v>6.08</v>
      </c>
      <c r="C4465" t="n">
        <v>3.64</v>
      </c>
    </row>
    <row r="4466">
      <c r="A4466" s="28" t="n">
        <v>25976</v>
      </c>
      <c r="B4466" t="n">
        <v>0</v>
      </c>
      <c r="C4466" t="n">
        <v>0</v>
      </c>
    </row>
    <row r="4467">
      <c r="A4467" s="28" t="n">
        <v>25979</v>
      </c>
      <c r="B4467" t="n">
        <v>0</v>
      </c>
      <c r="C4467" t="n">
        <v>0</v>
      </c>
    </row>
    <row r="4468">
      <c r="A4468" s="28" t="n">
        <v>25980</v>
      </c>
      <c r="B4468" t="n">
        <v>6.11</v>
      </c>
      <c r="C4468" t="n">
        <v>3.63</v>
      </c>
    </row>
    <row r="4469">
      <c r="A4469" s="28" t="n">
        <v>25981</v>
      </c>
      <c r="B4469" t="n">
        <v>6.11</v>
      </c>
      <c r="C4469" t="n">
        <v>3.6</v>
      </c>
    </row>
    <row r="4470">
      <c r="A4470" s="28" t="n">
        <v>25982</v>
      </c>
      <c r="B4470" t="n">
        <v>6.11</v>
      </c>
      <c r="C4470" t="n">
        <v>3.52</v>
      </c>
    </row>
    <row r="4471">
      <c r="A4471" s="28" t="n">
        <v>25983</v>
      </c>
      <c r="B4471" t="n">
        <v>6.12</v>
      </c>
      <c r="C4471" t="n">
        <v>3.49</v>
      </c>
    </row>
    <row r="4472">
      <c r="A4472" s="28" t="n">
        <v>25986</v>
      </c>
      <c r="B4472" t="n">
        <v>6.15</v>
      </c>
      <c r="C4472" t="n">
        <v>3.48</v>
      </c>
    </row>
    <row r="4473">
      <c r="A4473" s="28" t="n">
        <v>25987</v>
      </c>
      <c r="B4473" t="n">
        <v>6.18</v>
      </c>
      <c r="C4473" t="n">
        <v>3.48</v>
      </c>
    </row>
    <row r="4474">
      <c r="A4474" s="28" t="n">
        <v>25988</v>
      </c>
      <c r="B4474" t="n">
        <v>6.16</v>
      </c>
      <c r="C4474" t="n">
        <v>3.41</v>
      </c>
    </row>
    <row r="4475">
      <c r="A4475" s="28" t="n">
        <v>25989</v>
      </c>
      <c r="B4475" t="n">
        <v>6.11</v>
      </c>
      <c r="C4475" t="n">
        <v>3.4</v>
      </c>
    </row>
    <row r="4476">
      <c r="A4476" s="28" t="n">
        <v>25990</v>
      </c>
      <c r="B4476" t="n">
        <v>6.14</v>
      </c>
      <c r="C4476" t="n">
        <v>3.4</v>
      </c>
    </row>
    <row r="4477">
      <c r="A4477" s="28" t="n">
        <v>25993</v>
      </c>
      <c r="B4477" t="n">
        <v>6.12</v>
      </c>
      <c r="C4477" t="n">
        <v>3.36</v>
      </c>
    </row>
    <row r="4478">
      <c r="A4478" s="28" t="n">
        <v>25994</v>
      </c>
      <c r="B4478" t="n">
        <v>6.09</v>
      </c>
      <c r="C4478" t="n">
        <v>3.36</v>
      </c>
    </row>
    <row r="4479">
      <c r="A4479" s="28" t="n">
        <v>25995</v>
      </c>
      <c r="B4479" t="n">
        <v>6.05</v>
      </c>
      <c r="C4479" t="n">
        <v>3.34</v>
      </c>
    </row>
    <row r="4480">
      <c r="A4480" s="28" t="n">
        <v>25996</v>
      </c>
      <c r="B4480" t="n">
        <v>6.05</v>
      </c>
      <c r="C4480" t="n">
        <v>3.34</v>
      </c>
    </row>
    <row r="4481">
      <c r="A4481" s="28" t="n">
        <v>25997</v>
      </c>
      <c r="B4481" t="n">
        <v>6.03</v>
      </c>
      <c r="C4481" t="n">
        <v>3.33</v>
      </c>
    </row>
    <row r="4482">
      <c r="A4482" s="28" t="n">
        <v>26000</v>
      </c>
      <c r="B4482" t="n">
        <v>5.99</v>
      </c>
      <c r="C4482" t="n">
        <v>3.32</v>
      </c>
    </row>
    <row r="4483">
      <c r="A4483" s="28" t="n">
        <v>26001</v>
      </c>
      <c r="B4483" t="n">
        <v>5.9</v>
      </c>
      <c r="C4483" t="n">
        <v>3.32</v>
      </c>
    </row>
    <row r="4484">
      <c r="A4484" s="28" t="n">
        <v>26002</v>
      </c>
      <c r="B4484" t="n">
        <v>5.8</v>
      </c>
      <c r="C4484" t="n">
        <v>3.3</v>
      </c>
    </row>
    <row r="4485">
      <c r="A4485" s="28" t="n">
        <v>26003</v>
      </c>
      <c r="B4485" t="n">
        <v>5.69</v>
      </c>
      <c r="C4485" t="n">
        <v>3.22</v>
      </c>
    </row>
    <row r="4486">
      <c r="A4486" s="28" t="n">
        <v>26004</v>
      </c>
      <c r="B4486" t="n">
        <v>5.72</v>
      </c>
      <c r="C4486" t="n">
        <v>3.24</v>
      </c>
    </row>
    <row r="4487">
      <c r="A4487" s="28" t="n">
        <v>26007</v>
      </c>
      <c r="B4487" t="n">
        <v>5.7</v>
      </c>
      <c r="C4487" t="n">
        <v>3.3</v>
      </c>
    </row>
    <row r="4488">
      <c r="A4488" s="28" t="n">
        <v>26008</v>
      </c>
      <c r="B4488" t="n">
        <v>5.68</v>
      </c>
      <c r="C4488" t="n">
        <v>3.34</v>
      </c>
    </row>
    <row r="4489">
      <c r="A4489" s="28" t="n">
        <v>26009</v>
      </c>
      <c r="B4489" t="n">
        <v>5.61</v>
      </c>
      <c r="C4489" t="n">
        <v>3.52</v>
      </c>
    </row>
    <row r="4490">
      <c r="A4490" s="28" t="n">
        <v>26010</v>
      </c>
      <c r="B4490" t="n">
        <v>5.55</v>
      </c>
      <c r="C4490" t="n">
        <v>3.45</v>
      </c>
    </row>
    <row r="4491">
      <c r="A4491" s="28" t="n">
        <v>26011</v>
      </c>
      <c r="B4491" t="n">
        <v>5.51</v>
      </c>
      <c r="C4491" t="n">
        <v>3.35</v>
      </c>
    </row>
    <row r="4492">
      <c r="A4492" s="28" t="n">
        <v>26014</v>
      </c>
      <c r="B4492" t="n">
        <v>5.42</v>
      </c>
      <c r="C4492" t="n">
        <v>3.3</v>
      </c>
    </row>
    <row r="4493">
      <c r="A4493" s="28" t="n">
        <v>26015</v>
      </c>
      <c r="B4493" t="n">
        <v>5.38</v>
      </c>
      <c r="C4493" t="n">
        <v>3.36</v>
      </c>
    </row>
    <row r="4494">
      <c r="A4494" s="28" t="n">
        <v>26016</v>
      </c>
      <c r="B4494" t="n">
        <v>5.41</v>
      </c>
      <c r="C4494" t="n">
        <v>3.39</v>
      </c>
    </row>
    <row r="4495">
      <c r="A4495" s="28" t="n">
        <v>26017</v>
      </c>
      <c r="B4495" t="n">
        <v>5.43</v>
      </c>
      <c r="C4495" t="n">
        <v>3.39</v>
      </c>
    </row>
    <row r="4496">
      <c r="A4496" s="28" t="n">
        <v>26018</v>
      </c>
      <c r="B4496" t="n">
        <v>5.48</v>
      </c>
      <c r="C4496" t="n">
        <v>3.43</v>
      </c>
    </row>
    <row r="4497">
      <c r="A4497" s="28" t="n">
        <v>26021</v>
      </c>
      <c r="B4497" t="n">
        <v>5.54</v>
      </c>
      <c r="C4497" t="n">
        <v>3.48</v>
      </c>
    </row>
    <row r="4498">
      <c r="A4498" s="28" t="n">
        <v>26022</v>
      </c>
      <c r="B4498" t="n">
        <v>5.5</v>
      </c>
      <c r="C4498" t="n">
        <v>3.6</v>
      </c>
    </row>
    <row r="4499">
      <c r="A4499" s="28" t="n">
        <v>26023</v>
      </c>
      <c r="B4499" t="n">
        <v>5.53</v>
      </c>
      <c r="C4499" t="n">
        <v>3.64</v>
      </c>
    </row>
    <row r="4500">
      <c r="A4500" s="28" t="n">
        <v>26024</v>
      </c>
      <c r="B4500" t="n">
        <v>5.58</v>
      </c>
      <c r="C4500" t="n">
        <v>3.65</v>
      </c>
    </row>
    <row r="4501">
      <c r="A4501" s="28" t="n">
        <v>26025</v>
      </c>
      <c r="B4501" t="n">
        <v>5.6</v>
      </c>
      <c r="C4501" t="n">
        <v>3.67</v>
      </c>
    </row>
    <row r="4502">
      <c r="A4502" s="28" t="n">
        <v>26028</v>
      </c>
      <c r="B4502" t="n">
        <v>5.63</v>
      </c>
      <c r="C4502" t="n">
        <v>3.69</v>
      </c>
    </row>
    <row r="4503">
      <c r="A4503" s="28" t="n">
        <v>26029</v>
      </c>
      <c r="B4503" t="n">
        <v>5.6</v>
      </c>
      <c r="C4503" t="n">
        <v>3.73</v>
      </c>
    </row>
    <row r="4504">
      <c r="A4504" s="28" t="n">
        <v>26030</v>
      </c>
      <c r="B4504" t="n">
        <v>5.58</v>
      </c>
      <c r="C4504" t="n">
        <v>3.82</v>
      </c>
    </row>
    <row r="4505">
      <c r="A4505" s="28" t="n">
        <v>26031</v>
      </c>
      <c r="B4505" t="n">
        <v>5.62</v>
      </c>
      <c r="C4505" t="n">
        <v>3.9</v>
      </c>
    </row>
    <row r="4506">
      <c r="A4506" s="28" t="n">
        <v>26032</v>
      </c>
      <c r="B4506" t="n">
        <v>0</v>
      </c>
      <c r="C4506" t="n">
        <v>0</v>
      </c>
    </row>
    <row r="4507">
      <c r="A4507" s="28" t="n">
        <v>26035</v>
      </c>
      <c r="B4507" t="n">
        <v>5.73</v>
      </c>
      <c r="C4507" t="n">
        <v>4.03</v>
      </c>
    </row>
    <row r="4508">
      <c r="A4508" s="28" t="n">
        <v>26036</v>
      </c>
      <c r="B4508" t="n">
        <v>5.72</v>
      </c>
      <c r="C4508" t="n">
        <v>4.04</v>
      </c>
    </row>
    <row r="4509">
      <c r="A4509" s="28" t="n">
        <v>26037</v>
      </c>
      <c r="B4509" t="n">
        <v>5.77</v>
      </c>
      <c r="C4509" t="n">
        <v>4</v>
      </c>
    </row>
    <row r="4510">
      <c r="A4510" s="28" t="n">
        <v>26038</v>
      </c>
      <c r="B4510" t="n">
        <v>5.8</v>
      </c>
      <c r="C4510" t="n">
        <v>3.9</v>
      </c>
    </row>
    <row r="4511">
      <c r="A4511" s="28" t="n">
        <v>26039</v>
      </c>
      <c r="B4511" t="n">
        <v>5.82</v>
      </c>
      <c r="C4511" t="n">
        <v>3.82</v>
      </c>
    </row>
    <row r="4512">
      <c r="A4512" s="28" t="n">
        <v>26042</v>
      </c>
      <c r="B4512" t="n">
        <v>5.88</v>
      </c>
      <c r="C4512" t="n">
        <v>3.8</v>
      </c>
    </row>
    <row r="4513">
      <c r="A4513" s="28" t="n">
        <v>26043</v>
      </c>
      <c r="B4513" t="n">
        <v>5.97</v>
      </c>
      <c r="C4513" t="n">
        <v>3.82</v>
      </c>
    </row>
    <row r="4514">
      <c r="A4514" s="28" t="n">
        <v>26044</v>
      </c>
      <c r="B4514" t="n">
        <v>6.04</v>
      </c>
      <c r="C4514" t="n">
        <v>3.86</v>
      </c>
    </row>
    <row r="4515">
      <c r="A4515" s="28" t="n">
        <v>26045</v>
      </c>
      <c r="B4515" t="n">
        <v>6.02</v>
      </c>
      <c r="C4515" t="n">
        <v>3.79</v>
      </c>
    </row>
    <row r="4516">
      <c r="A4516" s="28" t="n">
        <v>26046</v>
      </c>
      <c r="B4516" t="n">
        <v>6.01</v>
      </c>
      <c r="C4516" t="n">
        <v>3.8</v>
      </c>
    </row>
    <row r="4517">
      <c r="A4517" s="28" t="n">
        <v>26049</v>
      </c>
      <c r="B4517" t="n">
        <v>6</v>
      </c>
      <c r="C4517" t="n">
        <v>3.82</v>
      </c>
    </row>
    <row r="4518">
      <c r="A4518" s="28" t="n">
        <v>26050</v>
      </c>
      <c r="B4518" t="n">
        <v>6</v>
      </c>
      <c r="C4518" t="n">
        <v>3.96</v>
      </c>
    </row>
    <row r="4519">
      <c r="A4519" s="28" t="n">
        <v>26051</v>
      </c>
      <c r="B4519" t="n">
        <v>5.99</v>
      </c>
      <c r="C4519" t="n">
        <v>4.04</v>
      </c>
    </row>
    <row r="4520">
      <c r="A4520" s="28" t="n">
        <v>26052</v>
      </c>
      <c r="B4520" t="n">
        <v>6.07</v>
      </c>
      <c r="C4520" t="n">
        <v>4.02</v>
      </c>
    </row>
    <row r="4521">
      <c r="A4521" s="28" t="n">
        <v>26053</v>
      </c>
      <c r="B4521" t="n">
        <v>6.08</v>
      </c>
      <c r="C4521" t="n">
        <v>3.93</v>
      </c>
    </row>
    <row r="4522">
      <c r="A4522" s="28" t="n">
        <v>26056</v>
      </c>
      <c r="B4522" t="n">
        <v>6.15</v>
      </c>
      <c r="C4522" t="n">
        <v>3.84</v>
      </c>
    </row>
    <row r="4523">
      <c r="A4523" s="28" t="n">
        <v>26057</v>
      </c>
      <c r="B4523" t="n">
        <v>6.25</v>
      </c>
      <c r="C4523" t="n">
        <v>3.88</v>
      </c>
    </row>
    <row r="4524">
      <c r="A4524" s="28" t="n">
        <v>26058</v>
      </c>
      <c r="B4524" t="n">
        <v>6.26</v>
      </c>
      <c r="C4524" t="n">
        <v>3.92</v>
      </c>
    </row>
    <row r="4525">
      <c r="A4525" s="28" t="n">
        <v>26059</v>
      </c>
      <c r="B4525" t="n">
        <v>6.28</v>
      </c>
      <c r="C4525" t="n">
        <v>3.82</v>
      </c>
    </row>
    <row r="4526">
      <c r="A4526" s="28" t="n">
        <v>26060</v>
      </c>
      <c r="B4526" t="n">
        <v>6.25</v>
      </c>
      <c r="C4526" t="n">
        <v>3.78</v>
      </c>
    </row>
    <row r="4527">
      <c r="A4527" s="28" t="n">
        <v>26063</v>
      </c>
      <c r="B4527" t="n">
        <v>6.22</v>
      </c>
      <c r="C4527" t="n">
        <v>3.83</v>
      </c>
    </row>
    <row r="4528">
      <c r="A4528" s="28" t="n">
        <v>26064</v>
      </c>
      <c r="B4528" t="n">
        <v>6.26</v>
      </c>
      <c r="C4528" t="n">
        <v>3.86</v>
      </c>
    </row>
    <row r="4529">
      <c r="A4529" s="28" t="n">
        <v>26065</v>
      </c>
      <c r="B4529" t="n">
        <v>6.35</v>
      </c>
      <c r="C4529" t="n">
        <v>3.94</v>
      </c>
    </row>
    <row r="4530">
      <c r="A4530" s="28" t="n">
        <v>26066</v>
      </c>
      <c r="B4530" t="n">
        <v>6.47</v>
      </c>
      <c r="C4530" t="n">
        <v>4.06</v>
      </c>
    </row>
    <row r="4531">
      <c r="A4531" s="28" t="n">
        <v>26067</v>
      </c>
      <c r="B4531" t="n">
        <v>6.49</v>
      </c>
      <c r="C4531" t="n">
        <v>4.12</v>
      </c>
    </row>
    <row r="4532">
      <c r="A4532" s="28" t="n">
        <v>26070</v>
      </c>
      <c r="B4532" t="n">
        <v>6.57</v>
      </c>
      <c r="C4532" t="n">
        <v>4.3</v>
      </c>
    </row>
    <row r="4533">
      <c r="A4533" s="28" t="n">
        <v>26071</v>
      </c>
      <c r="B4533" t="n">
        <v>6.65</v>
      </c>
      <c r="C4533" t="n">
        <v>4.43</v>
      </c>
    </row>
    <row r="4534">
      <c r="A4534" s="28" t="n">
        <v>26072</v>
      </c>
      <c r="B4534" t="n">
        <v>6.6</v>
      </c>
      <c r="C4534" t="n">
        <v>4.38</v>
      </c>
    </row>
    <row r="4535">
      <c r="A4535" s="28" t="n">
        <v>26073</v>
      </c>
      <c r="B4535" t="n">
        <v>6.49</v>
      </c>
      <c r="C4535" t="n">
        <v>4.37</v>
      </c>
    </row>
    <row r="4536">
      <c r="A4536" s="28" t="n">
        <v>26074</v>
      </c>
      <c r="B4536" t="n">
        <v>6.53</v>
      </c>
      <c r="C4536" t="n">
        <v>4.38</v>
      </c>
    </row>
    <row r="4537">
      <c r="A4537" s="28" t="n">
        <v>26077</v>
      </c>
      <c r="B4537" t="n">
        <v>6.49</v>
      </c>
      <c r="C4537" t="n">
        <v>4.41</v>
      </c>
    </row>
    <row r="4538">
      <c r="A4538" s="28" t="n">
        <v>26078</v>
      </c>
      <c r="B4538" t="n">
        <v>6.44</v>
      </c>
      <c r="C4538" t="n">
        <v>4.45</v>
      </c>
    </row>
    <row r="4539">
      <c r="A4539" s="28" t="n">
        <v>26079</v>
      </c>
      <c r="B4539" t="n">
        <v>6.37</v>
      </c>
      <c r="C4539" t="n">
        <v>4.4</v>
      </c>
    </row>
    <row r="4540">
      <c r="A4540" s="28" t="n">
        <v>26080</v>
      </c>
      <c r="B4540" t="n">
        <v>6.35</v>
      </c>
      <c r="C4540" t="n">
        <v>4.35</v>
      </c>
    </row>
    <row r="4541">
      <c r="A4541" s="28" t="n">
        <v>26081</v>
      </c>
      <c r="B4541" t="n">
        <v>6.38</v>
      </c>
      <c r="C4541" t="n">
        <v>4.34</v>
      </c>
    </row>
    <row r="4542">
      <c r="A4542" s="28" t="n">
        <v>26084</v>
      </c>
      <c r="B4542" t="n">
        <v>0</v>
      </c>
      <c r="C4542" t="n">
        <v>0</v>
      </c>
    </row>
    <row r="4543">
      <c r="A4543" s="28" t="n">
        <v>26085</v>
      </c>
      <c r="B4543" t="n">
        <v>6.36</v>
      </c>
      <c r="C4543" t="n">
        <v>4.36</v>
      </c>
    </row>
    <row r="4544">
      <c r="A4544" s="28" t="n">
        <v>26086</v>
      </c>
      <c r="B4544" t="n">
        <v>6.24</v>
      </c>
      <c r="C4544" t="n">
        <v>4.26</v>
      </c>
    </row>
    <row r="4545">
      <c r="A4545" s="28" t="n">
        <v>26087</v>
      </c>
      <c r="B4545" t="n">
        <v>6.19</v>
      </c>
      <c r="C4545" t="n">
        <v>4.24</v>
      </c>
    </row>
    <row r="4546">
      <c r="A4546" s="28" t="n">
        <v>26088</v>
      </c>
      <c r="B4546" t="n">
        <v>6.26</v>
      </c>
      <c r="C4546" t="n">
        <v>4.32</v>
      </c>
    </row>
    <row r="4547">
      <c r="A4547" s="28" t="n">
        <v>26091</v>
      </c>
      <c r="B4547" t="n">
        <v>6.34</v>
      </c>
      <c r="C4547" t="n">
        <v>4.44</v>
      </c>
    </row>
    <row r="4548">
      <c r="A4548" s="28" t="n">
        <v>26092</v>
      </c>
      <c r="B4548" t="n">
        <v>6.38</v>
      </c>
      <c r="C4548" t="n">
        <v>4.56</v>
      </c>
    </row>
    <row r="4549">
      <c r="A4549" s="28" t="n">
        <v>26093</v>
      </c>
      <c r="B4549" t="n">
        <v>6.44</v>
      </c>
      <c r="C4549" t="n">
        <v>4.6</v>
      </c>
    </row>
    <row r="4550">
      <c r="A4550" s="28" t="n">
        <v>26094</v>
      </c>
      <c r="B4550" t="n">
        <v>6.48</v>
      </c>
      <c r="C4550" t="n">
        <v>4.62</v>
      </c>
    </row>
    <row r="4551">
      <c r="A4551" s="28" t="n">
        <v>26095</v>
      </c>
      <c r="B4551" t="n">
        <v>6.5</v>
      </c>
      <c r="C4551" t="n">
        <v>4.71</v>
      </c>
    </row>
    <row r="4552">
      <c r="A4552" s="28" t="n">
        <v>26098</v>
      </c>
      <c r="B4552" t="n">
        <v>6.63</v>
      </c>
      <c r="C4552" t="n">
        <v>4.93</v>
      </c>
    </row>
    <row r="4553">
      <c r="A4553" s="28" t="n">
        <v>26099</v>
      </c>
      <c r="B4553" t="n">
        <v>6.73</v>
      </c>
      <c r="C4553" t="n">
        <v>5.02</v>
      </c>
    </row>
    <row r="4554">
      <c r="A4554" s="28" t="n">
        <v>26100</v>
      </c>
      <c r="B4554" t="n">
        <v>6.68</v>
      </c>
      <c r="C4554" t="n">
        <v>4.97</v>
      </c>
    </row>
    <row r="4555">
      <c r="A4555" s="28" t="n">
        <v>26101</v>
      </c>
      <c r="B4555" t="n">
        <v>6.68</v>
      </c>
      <c r="C4555" t="n">
        <v>4.9</v>
      </c>
    </row>
    <row r="4556">
      <c r="A4556" s="28" t="n">
        <v>26102</v>
      </c>
      <c r="B4556" t="n">
        <v>6.58</v>
      </c>
      <c r="C4556" t="n">
        <v>4.93</v>
      </c>
    </row>
    <row r="4557">
      <c r="A4557" s="28" t="n">
        <v>26105</v>
      </c>
      <c r="B4557" t="n">
        <v>6.53</v>
      </c>
      <c r="C4557" t="n">
        <v>4.89</v>
      </c>
    </row>
    <row r="4558">
      <c r="A4558" s="28" t="n">
        <v>26106</v>
      </c>
      <c r="B4558" t="n">
        <v>6.62</v>
      </c>
      <c r="C4558" t="n">
        <v>4.96</v>
      </c>
    </row>
    <row r="4559">
      <c r="A4559" s="28" t="n">
        <v>26107</v>
      </c>
      <c r="B4559" t="n">
        <v>6.61</v>
      </c>
      <c r="C4559" t="n">
        <v>4.82</v>
      </c>
    </row>
    <row r="4560">
      <c r="A4560" s="28" t="n">
        <v>26108</v>
      </c>
      <c r="B4560" t="n">
        <v>6.61</v>
      </c>
      <c r="C4560" t="n">
        <v>4.8</v>
      </c>
    </row>
    <row r="4561">
      <c r="A4561" s="28" t="n">
        <v>26109</v>
      </c>
      <c r="B4561" t="n">
        <v>6.62</v>
      </c>
      <c r="C4561" t="n">
        <v>4.88</v>
      </c>
    </row>
    <row r="4562">
      <c r="A4562" s="28" t="n">
        <v>26112</v>
      </c>
      <c r="B4562" t="n">
        <v>6.64</v>
      </c>
      <c r="C4562" t="n">
        <v>4.96</v>
      </c>
    </row>
    <row r="4563">
      <c r="A4563" s="28" t="n">
        <v>26113</v>
      </c>
      <c r="B4563" t="n">
        <v>6.67</v>
      </c>
      <c r="C4563" t="n">
        <v>5.19</v>
      </c>
    </row>
    <row r="4564">
      <c r="A4564" s="28" t="n">
        <v>26114</v>
      </c>
      <c r="B4564" t="n">
        <v>6.7</v>
      </c>
      <c r="C4564" t="n">
        <v>5.22</v>
      </c>
    </row>
    <row r="4565">
      <c r="A4565" s="28" t="n">
        <v>26115</v>
      </c>
      <c r="B4565" t="n">
        <v>6.69</v>
      </c>
      <c r="C4565" t="n">
        <v>5.21</v>
      </c>
    </row>
    <row r="4566">
      <c r="A4566" s="28" t="n">
        <v>26116</v>
      </c>
      <c r="B4566" t="n">
        <v>6.69</v>
      </c>
      <c r="C4566" t="n">
        <v>5.36</v>
      </c>
    </row>
    <row r="4567">
      <c r="A4567" s="28" t="n">
        <v>26119</v>
      </c>
      <c r="B4567" t="n">
        <v>0</v>
      </c>
      <c r="C4567" t="n">
        <v>0</v>
      </c>
    </row>
    <row r="4568">
      <c r="A4568" s="28" t="n">
        <v>26120</v>
      </c>
      <c r="B4568" t="n">
        <v>6.68</v>
      </c>
      <c r="C4568" t="n">
        <v>5.48</v>
      </c>
    </row>
    <row r="4569">
      <c r="A4569" s="28" t="n">
        <v>26121</v>
      </c>
      <c r="B4569" t="n">
        <v>6.66</v>
      </c>
      <c r="C4569" t="n">
        <v>5.42</v>
      </c>
    </row>
    <row r="4570">
      <c r="A4570" s="28" t="n">
        <v>26122</v>
      </c>
      <c r="B4570" t="n">
        <v>6.67</v>
      </c>
      <c r="C4570" t="n">
        <v>5.41</v>
      </c>
    </row>
    <row r="4571">
      <c r="A4571" s="28" t="n">
        <v>26123</v>
      </c>
      <c r="B4571" t="n">
        <v>6.68</v>
      </c>
      <c r="C4571" t="n">
        <v>5.36</v>
      </c>
    </row>
    <row r="4572">
      <c r="A4572" s="28" t="n">
        <v>26126</v>
      </c>
      <c r="B4572" t="n">
        <v>6.6</v>
      </c>
      <c r="C4572" t="n">
        <v>5.32</v>
      </c>
    </row>
    <row r="4573">
      <c r="A4573" s="28" t="n">
        <v>26127</v>
      </c>
      <c r="B4573" t="n">
        <v>6.61</v>
      </c>
      <c r="C4573" t="n">
        <v>5.33</v>
      </c>
    </row>
    <row r="4574">
      <c r="A4574" s="28" t="n">
        <v>26128</v>
      </c>
      <c r="B4574" t="n">
        <v>6.6</v>
      </c>
      <c r="C4574" t="n">
        <v>5.35</v>
      </c>
    </row>
    <row r="4575">
      <c r="A4575" s="28" t="n">
        <v>26129</v>
      </c>
      <c r="B4575" t="n">
        <v>6.59</v>
      </c>
      <c r="C4575" t="n">
        <v>5.39</v>
      </c>
    </row>
    <row r="4576">
      <c r="A4576" s="28" t="n">
        <v>26130</v>
      </c>
      <c r="B4576" t="n">
        <v>6.66</v>
      </c>
      <c r="C4576" t="n">
        <v>5.5</v>
      </c>
    </row>
    <row r="4577">
      <c r="A4577" s="28" t="n">
        <v>26133</v>
      </c>
      <c r="B4577" t="n">
        <v>6.71</v>
      </c>
      <c r="C4577" t="n">
        <v>5.53</v>
      </c>
    </row>
    <row r="4578">
      <c r="A4578" s="28" t="n">
        <v>26134</v>
      </c>
      <c r="B4578" t="n">
        <v>6.7</v>
      </c>
      <c r="C4578" t="n">
        <v>5.5</v>
      </c>
    </row>
    <row r="4579">
      <c r="A4579" s="28" t="n">
        <v>26135</v>
      </c>
      <c r="B4579" t="n">
        <v>6.7</v>
      </c>
      <c r="C4579" t="n">
        <v>5.44</v>
      </c>
    </row>
    <row r="4580">
      <c r="A4580" s="28" t="n">
        <v>26136</v>
      </c>
      <c r="B4580" t="n">
        <v>6.79</v>
      </c>
      <c r="C4580" t="n">
        <v>5.34</v>
      </c>
    </row>
    <row r="4581">
      <c r="A4581" s="28" t="n">
        <v>26137</v>
      </c>
      <c r="B4581" t="n">
        <v>6.84</v>
      </c>
      <c r="C4581" t="n">
        <v>5.47</v>
      </c>
    </row>
    <row r="4582">
      <c r="A4582" s="28" t="n">
        <v>26140</v>
      </c>
      <c r="B4582" t="n">
        <v>6.86</v>
      </c>
      <c r="C4582" t="n">
        <v>5.46</v>
      </c>
    </row>
    <row r="4583">
      <c r="A4583" s="28" t="n">
        <v>26141</v>
      </c>
      <c r="B4583" t="n">
        <v>6.91</v>
      </c>
      <c r="C4583" t="n">
        <v>5.46</v>
      </c>
    </row>
    <row r="4584">
      <c r="A4584" s="28" t="n">
        <v>26142</v>
      </c>
      <c r="B4584" t="n">
        <v>6.95</v>
      </c>
      <c r="C4584" t="n">
        <v>5.43</v>
      </c>
    </row>
    <row r="4585">
      <c r="A4585" s="28" t="n">
        <v>26143</v>
      </c>
      <c r="B4585" t="n">
        <v>6.88</v>
      </c>
      <c r="C4585" t="n">
        <v>5.34</v>
      </c>
    </row>
    <row r="4586">
      <c r="A4586" s="28" t="n">
        <v>26144</v>
      </c>
      <c r="B4586" t="n">
        <v>6.85</v>
      </c>
      <c r="C4586" t="n">
        <v>5.31</v>
      </c>
    </row>
    <row r="4587">
      <c r="A4587" s="28" t="n">
        <v>26147</v>
      </c>
      <c r="B4587" t="n">
        <v>6.86</v>
      </c>
      <c r="C4587" t="n">
        <v>5.24</v>
      </c>
    </row>
    <row r="4588">
      <c r="A4588" s="28" t="n">
        <v>26148</v>
      </c>
      <c r="B4588" t="n">
        <v>6.91</v>
      </c>
      <c r="C4588" t="n">
        <v>5.32</v>
      </c>
    </row>
    <row r="4589">
      <c r="A4589" s="28" t="n">
        <v>26149</v>
      </c>
      <c r="B4589" t="n">
        <v>6.89</v>
      </c>
      <c r="C4589" t="n">
        <v>5.33</v>
      </c>
    </row>
    <row r="4590">
      <c r="A4590" s="28" t="n">
        <v>26150</v>
      </c>
      <c r="B4590" t="n">
        <v>6.86</v>
      </c>
      <c r="C4590" t="n">
        <v>5.3</v>
      </c>
    </row>
    <row r="4591">
      <c r="A4591" s="28" t="n">
        <v>26151</v>
      </c>
      <c r="B4591" t="n">
        <v>6.86</v>
      </c>
      <c r="C4591" t="n">
        <v>5.28</v>
      </c>
    </row>
    <row r="4592">
      <c r="A4592" s="28" t="n">
        <v>26154</v>
      </c>
      <c r="B4592" t="n">
        <v>6.88</v>
      </c>
      <c r="C4592" t="n">
        <v>5.32</v>
      </c>
    </row>
    <row r="4593">
      <c r="A4593" s="28" t="n">
        <v>26155</v>
      </c>
      <c r="B4593" t="n">
        <v>6.89</v>
      </c>
      <c r="C4593" t="n">
        <v>5.37</v>
      </c>
    </row>
    <row r="4594">
      <c r="A4594" s="28" t="n">
        <v>26156</v>
      </c>
      <c r="B4594" t="n">
        <v>6.86</v>
      </c>
      <c r="C4594" t="n">
        <v>5.22</v>
      </c>
    </row>
    <row r="4595">
      <c r="A4595" s="28" t="n">
        <v>26157</v>
      </c>
      <c r="B4595" t="n">
        <v>6.8</v>
      </c>
      <c r="C4595" t="n">
        <v>5.21</v>
      </c>
    </row>
    <row r="4596">
      <c r="A4596" s="28" t="n">
        <v>26158</v>
      </c>
      <c r="B4596" t="n">
        <v>6.68</v>
      </c>
      <c r="C4596" t="n">
        <v>5.15</v>
      </c>
    </row>
    <row r="4597">
      <c r="A4597" s="28" t="n">
        <v>26161</v>
      </c>
      <c r="B4597" t="n">
        <v>6.41</v>
      </c>
      <c r="C4597" t="n">
        <v>4.83</v>
      </c>
    </row>
    <row r="4598">
      <c r="A4598" s="28" t="n">
        <v>26162</v>
      </c>
      <c r="B4598" t="n">
        <v>6.3</v>
      </c>
      <c r="C4598" t="n">
        <v>4.77</v>
      </c>
    </row>
    <row r="4599">
      <c r="A4599" s="28" t="n">
        <v>26163</v>
      </c>
      <c r="B4599" t="n">
        <v>6.35</v>
      </c>
      <c r="C4599" t="n">
        <v>4.78</v>
      </c>
    </row>
    <row r="4600">
      <c r="A4600" s="28" t="n">
        <v>26164</v>
      </c>
      <c r="B4600" t="n">
        <v>6.34</v>
      </c>
      <c r="C4600" t="n">
        <v>4.54</v>
      </c>
    </row>
    <row r="4601">
      <c r="A4601" s="28" t="n">
        <v>26165</v>
      </c>
      <c r="B4601" t="n">
        <v>6.37</v>
      </c>
      <c r="C4601" t="n">
        <v>4.65</v>
      </c>
    </row>
    <row r="4602">
      <c r="A4602" s="28" t="n">
        <v>26168</v>
      </c>
      <c r="B4602" t="n">
        <v>6.48</v>
      </c>
      <c r="C4602" t="n">
        <v>4.75</v>
      </c>
    </row>
    <row r="4603">
      <c r="A4603" s="28" t="n">
        <v>26169</v>
      </c>
      <c r="B4603" t="n">
        <v>6.38</v>
      </c>
      <c r="C4603" t="n">
        <v>4.6</v>
      </c>
    </row>
    <row r="4604">
      <c r="A4604" s="28" t="n">
        <v>26170</v>
      </c>
      <c r="B4604" t="n">
        <v>6.4</v>
      </c>
      <c r="C4604" t="n">
        <v>4.73</v>
      </c>
    </row>
    <row r="4605">
      <c r="A4605" s="28" t="n">
        <v>26171</v>
      </c>
      <c r="B4605" t="n">
        <v>6.37</v>
      </c>
      <c r="C4605" t="n">
        <v>4.68</v>
      </c>
    </row>
    <row r="4606">
      <c r="A4606" s="28" t="n">
        <v>26172</v>
      </c>
      <c r="B4606" t="n">
        <v>6.33</v>
      </c>
      <c r="C4606" t="n">
        <v>4.63</v>
      </c>
    </row>
    <row r="4607">
      <c r="A4607" s="28" t="n">
        <v>26175</v>
      </c>
      <c r="B4607" t="n">
        <v>6.32</v>
      </c>
      <c r="C4607" t="n">
        <v>4.44</v>
      </c>
    </row>
    <row r="4608">
      <c r="A4608" s="28" t="n">
        <v>26176</v>
      </c>
      <c r="B4608" t="n">
        <v>6.28</v>
      </c>
      <c r="C4608" t="n">
        <v>4.44</v>
      </c>
    </row>
    <row r="4609">
      <c r="A4609" s="28" t="n">
        <v>26177</v>
      </c>
      <c r="B4609" t="n">
        <v>6.22</v>
      </c>
      <c r="C4609" t="n">
        <v>4.5</v>
      </c>
    </row>
    <row r="4610">
      <c r="A4610" s="28" t="n">
        <v>26178</v>
      </c>
      <c r="B4610" t="n">
        <v>6.17</v>
      </c>
      <c r="C4610" t="n">
        <v>4.53</v>
      </c>
    </row>
    <row r="4611">
      <c r="A4611" s="28" t="n">
        <v>26179</v>
      </c>
      <c r="B4611" t="n">
        <v>6.12</v>
      </c>
      <c r="C4611" t="n">
        <v>4.54</v>
      </c>
    </row>
    <row r="4612">
      <c r="A4612" s="28" t="n">
        <v>26182</v>
      </c>
      <c r="B4612" t="n">
        <v>0</v>
      </c>
      <c r="C4612" t="n">
        <v>0</v>
      </c>
    </row>
    <row r="4613">
      <c r="A4613" s="28" t="n">
        <v>26183</v>
      </c>
      <c r="B4613" t="n">
        <v>6.07</v>
      </c>
      <c r="C4613" t="n">
        <v>4.58</v>
      </c>
    </row>
    <row r="4614">
      <c r="A4614" s="28" t="n">
        <v>26184</v>
      </c>
      <c r="B4614" t="n">
        <v>6.08</v>
      </c>
      <c r="C4614" t="n">
        <v>4.6</v>
      </c>
    </row>
    <row r="4615">
      <c r="A4615" s="28" t="n">
        <v>26185</v>
      </c>
      <c r="B4615" t="n">
        <v>6.13</v>
      </c>
      <c r="C4615" t="n">
        <v>4.65</v>
      </c>
    </row>
    <row r="4616">
      <c r="A4616" s="28" t="n">
        <v>26186</v>
      </c>
      <c r="B4616" t="n">
        <v>6.12</v>
      </c>
      <c r="C4616" t="n">
        <v>4.68</v>
      </c>
    </row>
    <row r="4617">
      <c r="A4617" s="28" t="n">
        <v>26189</v>
      </c>
      <c r="B4617" t="n">
        <v>6.2</v>
      </c>
      <c r="C4617" t="n">
        <v>4.76</v>
      </c>
    </row>
    <row r="4618">
      <c r="A4618" s="28" t="n">
        <v>26190</v>
      </c>
      <c r="B4618" t="n">
        <v>6.18</v>
      </c>
      <c r="C4618" t="n">
        <v>4.87</v>
      </c>
    </row>
    <row r="4619">
      <c r="A4619" s="28" t="n">
        <v>26191</v>
      </c>
      <c r="B4619" t="n">
        <v>6.17</v>
      </c>
      <c r="C4619" t="n">
        <v>4.85</v>
      </c>
    </row>
    <row r="4620">
      <c r="A4620" s="28" t="n">
        <v>26192</v>
      </c>
      <c r="B4620" t="n">
        <v>6.14</v>
      </c>
      <c r="C4620" t="n">
        <v>4.82</v>
      </c>
    </row>
    <row r="4621">
      <c r="A4621" s="28" t="n">
        <v>26193</v>
      </c>
      <c r="B4621" t="n">
        <v>6.13</v>
      </c>
      <c r="C4621" t="n">
        <v>4.72</v>
      </c>
    </row>
    <row r="4622">
      <c r="A4622" s="28" t="n">
        <v>26196</v>
      </c>
      <c r="B4622" t="n">
        <v>6.15</v>
      </c>
      <c r="C4622" t="n">
        <v>4.72</v>
      </c>
    </row>
    <row r="4623">
      <c r="A4623" s="28" t="n">
        <v>26197</v>
      </c>
      <c r="B4623" t="n">
        <v>6.17</v>
      </c>
      <c r="C4623" t="n">
        <v>4.78</v>
      </c>
    </row>
    <row r="4624">
      <c r="A4624" s="28" t="n">
        <v>26198</v>
      </c>
      <c r="B4624" t="n">
        <v>6.19</v>
      </c>
      <c r="C4624" t="n">
        <v>4.77</v>
      </c>
    </row>
    <row r="4625">
      <c r="A4625" s="28" t="n">
        <v>26199</v>
      </c>
      <c r="B4625" t="n">
        <v>6.2</v>
      </c>
      <c r="C4625" t="n">
        <v>4.75</v>
      </c>
    </row>
    <row r="4626">
      <c r="A4626" s="28" t="n">
        <v>26200</v>
      </c>
      <c r="B4626" t="n">
        <v>6.16</v>
      </c>
      <c r="C4626" t="n">
        <v>4.73</v>
      </c>
    </row>
    <row r="4627">
      <c r="A4627" s="28" t="n">
        <v>26203</v>
      </c>
      <c r="B4627" t="n">
        <v>6.13</v>
      </c>
      <c r="C4627" t="n">
        <v>4.72</v>
      </c>
    </row>
    <row r="4628">
      <c r="A4628" s="28" t="n">
        <v>26204</v>
      </c>
      <c r="B4628" t="n">
        <v>6.12</v>
      </c>
      <c r="C4628" t="n">
        <v>4.67</v>
      </c>
    </row>
    <row r="4629">
      <c r="A4629" s="28" t="n">
        <v>26205</v>
      </c>
      <c r="B4629" t="n">
        <v>6.08</v>
      </c>
      <c r="C4629" t="n">
        <v>4.67</v>
      </c>
    </row>
    <row r="4630">
      <c r="A4630" s="28" t="n">
        <v>26206</v>
      </c>
      <c r="B4630" t="n">
        <v>6</v>
      </c>
      <c r="C4630" t="n">
        <v>4.6</v>
      </c>
    </row>
    <row r="4631">
      <c r="A4631" s="28" t="n">
        <v>26207</v>
      </c>
      <c r="B4631" t="n">
        <v>6</v>
      </c>
      <c r="C4631" t="n">
        <v>4.55</v>
      </c>
    </row>
    <row r="4632">
      <c r="A4632" s="28" t="n">
        <v>26210</v>
      </c>
      <c r="B4632" t="n">
        <v>5.98</v>
      </c>
      <c r="C4632" t="n">
        <v>4.46</v>
      </c>
    </row>
    <row r="4633">
      <c r="A4633" s="28" t="n">
        <v>26211</v>
      </c>
      <c r="B4633" t="n">
        <v>6.01</v>
      </c>
      <c r="C4633" t="n">
        <v>4.57</v>
      </c>
    </row>
    <row r="4634">
      <c r="A4634" s="28" t="n">
        <v>26212</v>
      </c>
      <c r="B4634" t="n">
        <v>5.98</v>
      </c>
      <c r="C4634" t="n">
        <v>4.54</v>
      </c>
    </row>
    <row r="4635">
      <c r="A4635" s="28" t="n">
        <v>26213</v>
      </c>
      <c r="B4635" t="n">
        <v>5.97</v>
      </c>
      <c r="C4635" t="n">
        <v>4.56</v>
      </c>
    </row>
    <row r="4636">
      <c r="A4636" s="28" t="n">
        <v>26214</v>
      </c>
      <c r="B4636" t="n">
        <v>5.94</v>
      </c>
      <c r="C4636" t="n">
        <v>4.53</v>
      </c>
    </row>
    <row r="4637">
      <c r="A4637" s="28" t="n">
        <v>26217</v>
      </c>
      <c r="B4637" t="n">
        <v>0</v>
      </c>
      <c r="C4637" t="n">
        <v>0</v>
      </c>
    </row>
    <row r="4638">
      <c r="A4638" s="28" t="n">
        <v>26218</v>
      </c>
      <c r="B4638" t="n">
        <v>5.88</v>
      </c>
      <c r="C4638" t="n">
        <v>4.46</v>
      </c>
    </row>
    <row r="4639">
      <c r="A4639" s="28" t="n">
        <v>26219</v>
      </c>
      <c r="B4639" t="n">
        <v>5.86</v>
      </c>
      <c r="C4639" t="n">
        <v>4.44</v>
      </c>
    </row>
    <row r="4640">
      <c r="A4640" s="28" t="n">
        <v>26220</v>
      </c>
      <c r="B4640" t="n">
        <v>5.88</v>
      </c>
      <c r="C4640" t="n">
        <v>4.43</v>
      </c>
    </row>
    <row r="4641">
      <c r="A4641" s="28" t="n">
        <v>26221</v>
      </c>
      <c r="B4641" t="n">
        <v>5.9</v>
      </c>
      <c r="C4641" t="n">
        <v>4.44</v>
      </c>
    </row>
    <row r="4642">
      <c r="A4642" s="28" t="n">
        <v>26224</v>
      </c>
      <c r="B4642" t="n">
        <v>5.95</v>
      </c>
      <c r="C4642" t="n">
        <v>4.45</v>
      </c>
    </row>
    <row r="4643">
      <c r="A4643" s="28" t="n">
        <v>26225</v>
      </c>
      <c r="B4643" t="n">
        <v>5.96</v>
      </c>
      <c r="C4643" t="n">
        <v>4.5</v>
      </c>
    </row>
    <row r="4644">
      <c r="A4644" s="28" t="n">
        <v>26226</v>
      </c>
      <c r="B4644" t="n">
        <v>5.92</v>
      </c>
      <c r="C4644" t="n">
        <v>4.46</v>
      </c>
    </row>
    <row r="4645">
      <c r="A4645" s="28" t="n">
        <v>26227</v>
      </c>
      <c r="B4645" t="n">
        <v>5.88</v>
      </c>
      <c r="C4645" t="n">
        <v>4.48</v>
      </c>
    </row>
    <row r="4646">
      <c r="A4646" s="28" t="n">
        <v>26228</v>
      </c>
      <c r="B4646" t="n">
        <v>5.9</v>
      </c>
      <c r="C4646" t="n">
        <v>4.46</v>
      </c>
    </row>
    <row r="4647">
      <c r="A4647" s="28" t="n">
        <v>26231</v>
      </c>
      <c r="B4647" t="n">
        <v>0</v>
      </c>
      <c r="C4647" t="n">
        <v>0</v>
      </c>
    </row>
    <row r="4648">
      <c r="A4648" s="28" t="n">
        <v>26232</v>
      </c>
      <c r="B4648" t="n">
        <v>5.89</v>
      </c>
      <c r="C4648" t="n">
        <v>4.38</v>
      </c>
    </row>
    <row r="4649">
      <c r="A4649" s="28" t="n">
        <v>26233</v>
      </c>
      <c r="B4649" t="n">
        <v>5.92</v>
      </c>
      <c r="C4649" t="n">
        <v>4.37</v>
      </c>
    </row>
    <row r="4650">
      <c r="A4650" s="28" t="n">
        <v>26234</v>
      </c>
      <c r="B4650" t="n">
        <v>5.9</v>
      </c>
      <c r="C4650" t="n">
        <v>4.36</v>
      </c>
    </row>
    <row r="4651">
      <c r="A4651" s="28" t="n">
        <v>26235</v>
      </c>
      <c r="B4651" t="n">
        <v>5.87</v>
      </c>
      <c r="C4651" t="n">
        <v>4.31</v>
      </c>
    </row>
    <row r="4652">
      <c r="A4652" s="28" t="n">
        <v>26238</v>
      </c>
      <c r="B4652" t="n">
        <v>5.8</v>
      </c>
      <c r="C4652" t="n">
        <v>4.26</v>
      </c>
    </row>
    <row r="4653">
      <c r="A4653" s="28" t="n">
        <v>26239</v>
      </c>
      <c r="B4653" t="n">
        <v>0</v>
      </c>
      <c r="C4653" t="n">
        <v>0</v>
      </c>
    </row>
    <row r="4654">
      <c r="A4654" s="28" t="n">
        <v>26240</v>
      </c>
      <c r="B4654" t="n">
        <v>5.72</v>
      </c>
      <c r="C4654" t="n">
        <v>4.16</v>
      </c>
    </row>
    <row r="4655">
      <c r="A4655" s="28" t="n">
        <v>26241</v>
      </c>
      <c r="B4655" t="n">
        <v>5.72</v>
      </c>
      <c r="C4655" t="n">
        <v>4.14</v>
      </c>
    </row>
    <row r="4656">
      <c r="A4656" s="28" t="n">
        <v>26242</v>
      </c>
      <c r="B4656" t="n">
        <v>5.72</v>
      </c>
      <c r="C4656" t="n">
        <v>4.15</v>
      </c>
    </row>
    <row r="4657">
      <c r="A4657" s="28" t="n">
        <v>26245</v>
      </c>
      <c r="B4657" t="n">
        <v>5.77</v>
      </c>
      <c r="C4657" t="n">
        <v>4.18</v>
      </c>
    </row>
    <row r="4658">
      <c r="A4658" s="28" t="n">
        <v>26246</v>
      </c>
      <c r="B4658" t="n">
        <v>5.77</v>
      </c>
      <c r="C4658" t="n">
        <v>4.17</v>
      </c>
    </row>
    <row r="4659">
      <c r="A4659" s="28" t="n">
        <v>26247</v>
      </c>
      <c r="B4659" t="n">
        <v>5.82</v>
      </c>
      <c r="C4659" t="n">
        <v>4.19</v>
      </c>
    </row>
    <row r="4660">
      <c r="A4660" s="28" t="n">
        <v>26248</v>
      </c>
      <c r="B4660" t="n">
        <v>5.79</v>
      </c>
      <c r="C4660" t="n">
        <v>4.18</v>
      </c>
    </row>
    <row r="4661">
      <c r="A4661" s="28" t="n">
        <v>26249</v>
      </c>
      <c r="B4661" t="n">
        <v>5.77</v>
      </c>
      <c r="C4661" t="n">
        <v>4.17</v>
      </c>
    </row>
    <row r="4662">
      <c r="A4662" s="28" t="n">
        <v>26252</v>
      </c>
      <c r="B4662" t="n">
        <v>5.77</v>
      </c>
      <c r="C4662" t="n">
        <v>4.16</v>
      </c>
    </row>
    <row r="4663">
      <c r="A4663" s="28" t="n">
        <v>26253</v>
      </c>
      <c r="B4663" t="n">
        <v>5.76</v>
      </c>
      <c r="C4663" t="n">
        <v>4.1</v>
      </c>
    </row>
    <row r="4664">
      <c r="A4664" s="28" t="n">
        <v>26254</v>
      </c>
      <c r="B4664" t="n">
        <v>5.75</v>
      </c>
      <c r="C4664" t="n">
        <v>4.14</v>
      </c>
    </row>
    <row r="4665">
      <c r="A4665" s="28" t="n">
        <v>26255</v>
      </c>
      <c r="B4665" t="n">
        <v>5.77</v>
      </c>
      <c r="C4665" t="n">
        <v>4.14</v>
      </c>
    </row>
    <row r="4666">
      <c r="A4666" s="28" t="n">
        <v>26256</v>
      </c>
      <c r="B4666" t="n">
        <v>5.79</v>
      </c>
      <c r="C4666" t="n">
        <v>4.17</v>
      </c>
    </row>
    <row r="4667">
      <c r="A4667" s="28" t="n">
        <v>26259</v>
      </c>
      <c r="B4667" t="n">
        <v>5.82</v>
      </c>
      <c r="C4667" t="n">
        <v>4.24</v>
      </c>
    </row>
    <row r="4668">
      <c r="A4668" s="28" t="n">
        <v>26260</v>
      </c>
      <c r="B4668" t="n">
        <v>5.89</v>
      </c>
      <c r="C4668" t="n">
        <v>4.32</v>
      </c>
    </row>
    <row r="4669">
      <c r="A4669" s="28" t="n">
        <v>26261</v>
      </c>
      <c r="B4669" t="n">
        <v>5.95</v>
      </c>
      <c r="C4669" t="n">
        <v>4.4</v>
      </c>
    </row>
    <row r="4670">
      <c r="A4670" s="28" t="n">
        <v>26262</v>
      </c>
      <c r="B4670" t="n">
        <v>0</v>
      </c>
      <c r="C4670" t="n">
        <v>0</v>
      </c>
    </row>
    <row r="4671">
      <c r="A4671" s="28" t="n">
        <v>26263</v>
      </c>
      <c r="B4671" t="n">
        <v>5.94</v>
      </c>
      <c r="C4671" t="n">
        <v>4.4</v>
      </c>
    </row>
    <row r="4672">
      <c r="A4672" s="28" t="n">
        <v>26266</v>
      </c>
      <c r="B4672" t="n">
        <v>5.95</v>
      </c>
      <c r="C4672" t="n">
        <v>4.34</v>
      </c>
    </row>
    <row r="4673">
      <c r="A4673" s="28" t="n">
        <v>26267</v>
      </c>
      <c r="B4673" t="n">
        <v>5.93</v>
      </c>
      <c r="C4673" t="n">
        <v>4.34</v>
      </c>
    </row>
    <row r="4674">
      <c r="A4674" s="28" t="n">
        <v>26268</v>
      </c>
      <c r="B4674" t="n">
        <v>5.92</v>
      </c>
      <c r="C4674" t="n">
        <v>4.31</v>
      </c>
    </row>
    <row r="4675">
      <c r="A4675" s="28" t="n">
        <v>26269</v>
      </c>
      <c r="B4675" t="n">
        <v>5.9</v>
      </c>
      <c r="C4675" t="n">
        <v>4.28</v>
      </c>
    </row>
    <row r="4676">
      <c r="A4676" s="28" t="n">
        <v>26270</v>
      </c>
      <c r="B4676" t="n">
        <v>5.88</v>
      </c>
      <c r="C4676" t="n">
        <v>4.15</v>
      </c>
    </row>
    <row r="4677">
      <c r="A4677" s="28" t="n">
        <v>26273</v>
      </c>
      <c r="B4677" t="n">
        <v>5.88</v>
      </c>
      <c r="C4677" t="n">
        <v>4.1</v>
      </c>
    </row>
    <row r="4678">
      <c r="A4678" s="28" t="n">
        <v>26274</v>
      </c>
      <c r="B4678" t="n">
        <v>5.92</v>
      </c>
      <c r="C4678" t="n">
        <v>4.13</v>
      </c>
    </row>
    <row r="4679">
      <c r="A4679" s="28" t="n">
        <v>26275</v>
      </c>
      <c r="B4679" t="n">
        <v>5.92</v>
      </c>
      <c r="C4679" t="n">
        <v>4.1</v>
      </c>
    </row>
    <row r="4680">
      <c r="A4680" s="28" t="n">
        <v>26276</v>
      </c>
      <c r="B4680" t="n">
        <v>5.94</v>
      </c>
      <c r="C4680" t="n">
        <v>4.11</v>
      </c>
    </row>
    <row r="4681">
      <c r="A4681" s="28" t="n">
        <v>26277</v>
      </c>
      <c r="B4681" t="n">
        <v>5.93</v>
      </c>
      <c r="C4681" t="n">
        <v>4.09</v>
      </c>
    </row>
    <row r="4682">
      <c r="A4682" s="28" t="n">
        <v>26280</v>
      </c>
      <c r="B4682" t="n">
        <v>5.9</v>
      </c>
      <c r="C4682" t="n">
        <v>3.96</v>
      </c>
    </row>
    <row r="4683">
      <c r="A4683" s="28" t="n">
        <v>26281</v>
      </c>
      <c r="B4683" t="n">
        <v>5.94</v>
      </c>
      <c r="C4683" t="n">
        <v>4.06</v>
      </c>
    </row>
    <row r="4684">
      <c r="A4684" s="28" t="n">
        <v>26282</v>
      </c>
      <c r="B4684" t="n">
        <v>5.96</v>
      </c>
      <c r="C4684" t="n">
        <v>4.12</v>
      </c>
    </row>
    <row r="4685">
      <c r="A4685" s="28" t="n">
        <v>26283</v>
      </c>
      <c r="B4685" t="n">
        <v>5.95</v>
      </c>
      <c r="C4685" t="n">
        <v>4.06</v>
      </c>
    </row>
    <row r="4686">
      <c r="A4686" s="28" t="n">
        <v>26284</v>
      </c>
      <c r="B4686" t="n">
        <v>5.93</v>
      </c>
      <c r="C4686" t="n">
        <v>4</v>
      </c>
    </row>
    <row r="4687">
      <c r="A4687" s="28" t="n">
        <v>26287</v>
      </c>
      <c r="B4687" t="n">
        <v>5.97</v>
      </c>
      <c r="C4687" t="n">
        <v>4.12</v>
      </c>
    </row>
    <row r="4688">
      <c r="A4688" s="28" t="n">
        <v>26288</v>
      </c>
      <c r="B4688" t="n">
        <v>6</v>
      </c>
      <c r="C4688" t="n">
        <v>4.08</v>
      </c>
    </row>
    <row r="4689">
      <c r="A4689" s="28" t="n">
        <v>26289</v>
      </c>
      <c r="B4689" t="n">
        <v>6.01</v>
      </c>
      <c r="C4689" t="n">
        <v>4.04</v>
      </c>
    </row>
    <row r="4690">
      <c r="A4690" s="28" t="n">
        <v>26290</v>
      </c>
      <c r="B4690" t="n">
        <v>5.97</v>
      </c>
      <c r="C4690" t="n">
        <v>3.83</v>
      </c>
    </row>
    <row r="4691">
      <c r="A4691" s="28" t="n">
        <v>26291</v>
      </c>
      <c r="B4691" t="n">
        <v>0</v>
      </c>
      <c r="C4691" t="n">
        <v>0</v>
      </c>
    </row>
    <row r="4692">
      <c r="A4692" s="28" t="n">
        <v>26294</v>
      </c>
      <c r="B4692" t="n">
        <v>5.91</v>
      </c>
      <c r="C4692" t="n">
        <v>3.78</v>
      </c>
    </row>
    <row r="4693">
      <c r="A4693" s="28" t="n">
        <v>26295</v>
      </c>
      <c r="B4693" t="n">
        <v>5.86</v>
      </c>
      <c r="C4693" t="n">
        <v>3.75</v>
      </c>
    </row>
    <row r="4694">
      <c r="A4694" s="28" t="n">
        <v>26296</v>
      </c>
      <c r="B4694" t="n">
        <v>5.9</v>
      </c>
      <c r="C4694" t="n">
        <v>3.76</v>
      </c>
    </row>
    <row r="4695">
      <c r="A4695" s="28" t="n">
        <v>26297</v>
      </c>
      <c r="B4695" t="n">
        <v>5.9</v>
      </c>
      <c r="C4695" t="n">
        <v>3.7</v>
      </c>
    </row>
    <row r="4696">
      <c r="A4696" s="28" t="n">
        <v>26298</v>
      </c>
      <c r="B4696" t="n">
        <v>5.89</v>
      </c>
      <c r="C4696" t="n">
        <v>3.68</v>
      </c>
    </row>
    <row r="4697">
      <c r="A4697" s="28" t="n">
        <v>26301</v>
      </c>
      <c r="B4697" t="n">
        <v>5.94</v>
      </c>
      <c r="C4697" t="n">
        <v>3.69</v>
      </c>
    </row>
    <row r="4698">
      <c r="A4698" s="28" t="n">
        <v>26302</v>
      </c>
      <c r="B4698" t="n">
        <v>5.93</v>
      </c>
      <c r="C4698" t="n">
        <v>3.72</v>
      </c>
    </row>
    <row r="4699">
      <c r="A4699" s="28" t="n">
        <v>26303</v>
      </c>
      <c r="B4699" t="n">
        <v>5.91</v>
      </c>
      <c r="C4699" t="n">
        <v>3.69</v>
      </c>
    </row>
    <row r="4700">
      <c r="A4700" s="28" t="n">
        <v>26304</v>
      </c>
      <c r="B4700" t="n">
        <v>5.9</v>
      </c>
      <c r="C4700" t="n">
        <v>3.55</v>
      </c>
    </row>
    <row r="4701">
      <c r="A4701" s="28" t="n">
        <v>26305</v>
      </c>
      <c r="B4701" t="n">
        <v>5.88</v>
      </c>
      <c r="C4701" t="n">
        <v>3.33</v>
      </c>
    </row>
    <row r="4702">
      <c r="A4702" s="28" t="n">
        <v>26308</v>
      </c>
      <c r="B4702" t="n">
        <v>5.86</v>
      </c>
      <c r="C4702" t="n">
        <v>3.02</v>
      </c>
    </row>
    <row r="4703">
      <c r="A4703" s="28" t="n">
        <v>26309</v>
      </c>
      <c r="B4703" t="n">
        <v>5.88</v>
      </c>
      <c r="C4703" t="n">
        <v>3.22</v>
      </c>
    </row>
    <row r="4704">
      <c r="A4704" s="28" t="n">
        <v>26310</v>
      </c>
      <c r="B4704" t="n">
        <v>5.88</v>
      </c>
      <c r="C4704" t="n">
        <v>3.23</v>
      </c>
    </row>
    <row r="4705">
      <c r="A4705" s="28" t="n">
        <v>26311</v>
      </c>
      <c r="B4705" t="n">
        <v>5.86</v>
      </c>
      <c r="C4705" t="n">
        <v>3.2</v>
      </c>
    </row>
    <row r="4706">
      <c r="A4706" s="28" t="n">
        <v>26312</v>
      </c>
      <c r="B4706" t="n">
        <v>5.85</v>
      </c>
      <c r="C4706" t="n">
        <v>3.19</v>
      </c>
    </row>
    <row r="4707">
      <c r="A4707" s="28" t="n">
        <v>26315</v>
      </c>
      <c r="B4707" t="n">
        <v>5.89</v>
      </c>
      <c r="C4707" t="n">
        <v>3.24</v>
      </c>
    </row>
    <row r="4708">
      <c r="A4708" s="28" t="n">
        <v>26316</v>
      </c>
      <c r="B4708" t="n">
        <v>5.92</v>
      </c>
      <c r="C4708" t="n">
        <v>3.26</v>
      </c>
    </row>
    <row r="4709">
      <c r="A4709" s="28" t="n">
        <v>26317</v>
      </c>
      <c r="B4709" t="n">
        <v>5.96</v>
      </c>
      <c r="C4709" t="n">
        <v>3.3</v>
      </c>
    </row>
    <row r="4710">
      <c r="A4710" s="28" t="n">
        <v>26318</v>
      </c>
      <c r="B4710" t="n">
        <v>5.98</v>
      </c>
      <c r="C4710" t="n">
        <v>3.35</v>
      </c>
    </row>
    <row r="4711">
      <c r="A4711" s="28" t="n">
        <v>26319</v>
      </c>
      <c r="B4711" t="n">
        <v>5.99</v>
      </c>
      <c r="C4711" t="n">
        <v>3.43</v>
      </c>
    </row>
    <row r="4712">
      <c r="A4712" s="28" t="n">
        <v>26322</v>
      </c>
      <c r="B4712" t="n">
        <v>6.02</v>
      </c>
      <c r="C4712" t="n">
        <v>3.52</v>
      </c>
    </row>
    <row r="4713">
      <c r="A4713" s="28" t="n">
        <v>26323</v>
      </c>
      <c r="B4713" t="n">
        <v>6.02</v>
      </c>
      <c r="C4713" t="n">
        <v>3.52</v>
      </c>
    </row>
    <row r="4714">
      <c r="A4714" s="28" t="n">
        <v>26324</v>
      </c>
      <c r="B4714" t="n">
        <v>6.01</v>
      </c>
      <c r="C4714" t="n">
        <v>3.46</v>
      </c>
    </row>
    <row r="4715">
      <c r="A4715" s="28" t="n">
        <v>26325</v>
      </c>
      <c r="B4715" t="n">
        <v>6.05</v>
      </c>
      <c r="C4715" t="n">
        <v>3.44</v>
      </c>
    </row>
    <row r="4716">
      <c r="A4716" s="28" t="n">
        <v>26326</v>
      </c>
      <c r="B4716" t="n">
        <v>6.08</v>
      </c>
      <c r="C4716" t="n">
        <v>3.36</v>
      </c>
    </row>
    <row r="4717">
      <c r="A4717" s="28" t="n">
        <v>26329</v>
      </c>
      <c r="B4717" t="n">
        <v>6.09</v>
      </c>
      <c r="C4717" t="n">
        <v>3.35</v>
      </c>
    </row>
    <row r="4718">
      <c r="A4718" s="28" t="n">
        <v>26330</v>
      </c>
      <c r="B4718" t="n">
        <v>6.09</v>
      </c>
      <c r="C4718" t="n">
        <v>3.43</v>
      </c>
    </row>
    <row r="4719">
      <c r="A4719" s="28" t="n">
        <v>26331</v>
      </c>
      <c r="B4719" t="n">
        <v>6.08</v>
      </c>
      <c r="C4719" t="n">
        <v>3.4</v>
      </c>
    </row>
    <row r="4720">
      <c r="A4720" s="28" t="n">
        <v>26332</v>
      </c>
      <c r="B4720" t="n">
        <v>6.08</v>
      </c>
      <c r="C4720" t="n">
        <v>3.37</v>
      </c>
    </row>
    <row r="4721">
      <c r="A4721" s="28" t="n">
        <v>26333</v>
      </c>
      <c r="B4721" t="n">
        <v>6.08</v>
      </c>
      <c r="C4721" t="n">
        <v>3.24</v>
      </c>
    </row>
    <row r="4722">
      <c r="A4722" s="28" t="n">
        <v>26336</v>
      </c>
      <c r="B4722" t="n">
        <v>6.09</v>
      </c>
      <c r="C4722" t="n">
        <v>3.1</v>
      </c>
    </row>
    <row r="4723">
      <c r="A4723" s="28" t="n">
        <v>26337</v>
      </c>
      <c r="B4723" t="n">
        <v>6.11</v>
      </c>
      <c r="C4723" t="n">
        <v>3.19</v>
      </c>
    </row>
    <row r="4724">
      <c r="A4724" s="28" t="n">
        <v>26338</v>
      </c>
      <c r="B4724" t="n">
        <v>6.12</v>
      </c>
      <c r="C4724" t="n">
        <v>3.16</v>
      </c>
    </row>
    <row r="4725">
      <c r="A4725" s="28" t="n">
        <v>26339</v>
      </c>
      <c r="B4725" t="n">
        <v>6.11</v>
      </c>
      <c r="C4725" t="n">
        <v>3.06</v>
      </c>
    </row>
    <row r="4726">
      <c r="A4726" s="28" t="n">
        <v>26340</v>
      </c>
      <c r="B4726" t="n">
        <v>6.12</v>
      </c>
      <c r="C4726" t="n">
        <v>2.99</v>
      </c>
    </row>
    <row r="4727">
      <c r="A4727" s="28" t="n">
        <v>26343</v>
      </c>
      <c r="B4727" t="n">
        <v>6.1</v>
      </c>
      <c r="C4727" t="n">
        <v>3</v>
      </c>
    </row>
    <row r="4728">
      <c r="A4728" s="28" t="n">
        <v>26344</v>
      </c>
      <c r="B4728" t="n">
        <v>6.1</v>
      </c>
      <c r="C4728" t="n">
        <v>3.06</v>
      </c>
    </row>
    <row r="4729">
      <c r="A4729" s="28" t="n">
        <v>26345</v>
      </c>
      <c r="B4729" t="n">
        <v>6.08</v>
      </c>
      <c r="C4729" t="n">
        <v>3.06</v>
      </c>
    </row>
    <row r="4730">
      <c r="A4730" s="28" t="n">
        <v>26346</v>
      </c>
      <c r="B4730" t="n">
        <v>6.06</v>
      </c>
      <c r="C4730" t="n">
        <v>3.04</v>
      </c>
    </row>
    <row r="4731">
      <c r="A4731" s="28" t="n">
        <v>26347</v>
      </c>
      <c r="B4731" t="n">
        <v>6.06</v>
      </c>
      <c r="C4731" t="n">
        <v>3.1</v>
      </c>
    </row>
    <row r="4732">
      <c r="A4732" s="28" t="n">
        <v>26350</v>
      </c>
      <c r="B4732" t="n">
        <v>0</v>
      </c>
      <c r="C4732" t="n">
        <v>0</v>
      </c>
    </row>
    <row r="4733">
      <c r="A4733" s="28" t="n">
        <v>26351</v>
      </c>
      <c r="B4733" t="n">
        <v>6.06</v>
      </c>
      <c r="C4733" t="n">
        <v>3.17</v>
      </c>
    </row>
    <row r="4734">
      <c r="A4734" s="28" t="n">
        <v>26352</v>
      </c>
      <c r="B4734" t="n">
        <v>6.07</v>
      </c>
      <c r="C4734" t="n">
        <v>3.18</v>
      </c>
    </row>
    <row r="4735">
      <c r="A4735" s="28" t="n">
        <v>26353</v>
      </c>
      <c r="B4735" t="n">
        <v>6.07</v>
      </c>
      <c r="C4735" t="n">
        <v>3.2</v>
      </c>
    </row>
    <row r="4736">
      <c r="A4736" s="28" t="n">
        <v>26354</v>
      </c>
      <c r="B4736" t="n">
        <v>6.06</v>
      </c>
      <c r="C4736" t="n">
        <v>3.36</v>
      </c>
    </row>
    <row r="4737">
      <c r="A4737" s="28" t="n">
        <v>26357</v>
      </c>
      <c r="B4737" t="n">
        <v>6.04</v>
      </c>
      <c r="C4737" t="n">
        <v>3.37</v>
      </c>
    </row>
    <row r="4738">
      <c r="A4738" s="28" t="n">
        <v>26358</v>
      </c>
      <c r="B4738" t="n">
        <v>6.04</v>
      </c>
      <c r="C4738" t="n">
        <v>3.46</v>
      </c>
    </row>
    <row r="4739">
      <c r="A4739" s="28" t="n">
        <v>26359</v>
      </c>
      <c r="B4739" t="n">
        <v>6.04</v>
      </c>
      <c r="C4739" t="n">
        <v>3.47</v>
      </c>
    </row>
    <row r="4740">
      <c r="A4740" s="28" t="n">
        <v>26360</v>
      </c>
      <c r="B4740" t="n">
        <v>6.03</v>
      </c>
      <c r="C4740" t="n">
        <v>3.48</v>
      </c>
    </row>
    <row r="4741">
      <c r="A4741" s="28" t="n">
        <v>26361</v>
      </c>
      <c r="B4741" t="n">
        <v>6.02</v>
      </c>
      <c r="C4741" t="n">
        <v>3.49</v>
      </c>
    </row>
    <row r="4742">
      <c r="A4742" s="28" t="n">
        <v>26364</v>
      </c>
      <c r="B4742" t="n">
        <v>6.01</v>
      </c>
      <c r="C4742" t="n">
        <v>3.5</v>
      </c>
    </row>
    <row r="4743">
      <c r="A4743" s="28" t="n">
        <v>26365</v>
      </c>
      <c r="B4743" t="n">
        <v>6.02</v>
      </c>
      <c r="C4743" t="n">
        <v>3.56</v>
      </c>
    </row>
    <row r="4744">
      <c r="A4744" s="28" t="n">
        <v>26366</v>
      </c>
      <c r="B4744" t="n">
        <v>6.02</v>
      </c>
      <c r="C4744" t="n">
        <v>3.56</v>
      </c>
    </row>
    <row r="4745">
      <c r="A4745" s="28" t="n">
        <v>26367</v>
      </c>
      <c r="B4745" t="n">
        <v>6.02</v>
      </c>
      <c r="C4745" t="n">
        <v>3.59</v>
      </c>
    </row>
    <row r="4746">
      <c r="A4746" s="28" t="n">
        <v>26368</v>
      </c>
      <c r="B4746" t="n">
        <v>6.03</v>
      </c>
      <c r="C4746" t="n">
        <v>3.64</v>
      </c>
    </row>
    <row r="4747">
      <c r="A4747" s="28" t="n">
        <v>26371</v>
      </c>
      <c r="B4747" t="n">
        <v>6.07</v>
      </c>
      <c r="C4747" t="n">
        <v>3.75</v>
      </c>
    </row>
    <row r="4748">
      <c r="A4748" s="28" t="n">
        <v>26372</v>
      </c>
      <c r="B4748" t="n">
        <v>6.06</v>
      </c>
      <c r="C4748" t="n">
        <v>3.89</v>
      </c>
    </row>
    <row r="4749">
      <c r="A4749" s="28" t="n">
        <v>26373</v>
      </c>
      <c r="B4749" t="n">
        <v>6.11</v>
      </c>
      <c r="C4749" t="n">
        <v>3.94</v>
      </c>
    </row>
    <row r="4750">
      <c r="A4750" s="28" t="n">
        <v>26374</v>
      </c>
      <c r="B4750" t="n">
        <v>6.08</v>
      </c>
      <c r="C4750" t="n">
        <v>3.9</v>
      </c>
    </row>
    <row r="4751">
      <c r="A4751" s="28" t="n">
        <v>26375</v>
      </c>
      <c r="B4751" t="n">
        <v>6.08</v>
      </c>
      <c r="C4751" t="n">
        <v>3.88</v>
      </c>
    </row>
    <row r="4752">
      <c r="A4752" s="28" t="n">
        <v>26378</v>
      </c>
      <c r="B4752" t="n">
        <v>6.09</v>
      </c>
      <c r="C4752" t="n">
        <v>3.87</v>
      </c>
    </row>
    <row r="4753">
      <c r="A4753" s="28" t="n">
        <v>26379</v>
      </c>
      <c r="B4753" t="n">
        <v>6.08</v>
      </c>
      <c r="C4753" t="n">
        <v>3.87</v>
      </c>
    </row>
    <row r="4754">
      <c r="A4754" s="28" t="n">
        <v>26380</v>
      </c>
      <c r="B4754" t="n">
        <v>6.08</v>
      </c>
      <c r="C4754" t="n">
        <v>3.77</v>
      </c>
    </row>
    <row r="4755">
      <c r="A4755" s="28" t="n">
        <v>26381</v>
      </c>
      <c r="B4755" t="n">
        <v>6.1</v>
      </c>
      <c r="C4755" t="n">
        <v>3.78</v>
      </c>
    </row>
    <row r="4756">
      <c r="A4756" s="28" t="n">
        <v>26382</v>
      </c>
      <c r="B4756" t="n">
        <v>6.12</v>
      </c>
      <c r="C4756" t="n">
        <v>3.8</v>
      </c>
    </row>
    <row r="4757">
      <c r="A4757" s="28" t="n">
        <v>26385</v>
      </c>
      <c r="B4757" t="n">
        <v>6.1</v>
      </c>
      <c r="C4757" t="n">
        <v>3.77</v>
      </c>
    </row>
    <row r="4758">
      <c r="A4758" s="28" t="n">
        <v>26386</v>
      </c>
      <c r="B4758" t="n">
        <v>6.11</v>
      </c>
      <c r="C4758" t="n">
        <v>3.84</v>
      </c>
    </row>
    <row r="4759">
      <c r="A4759" s="28" t="n">
        <v>26387</v>
      </c>
      <c r="B4759" t="n">
        <v>6.12</v>
      </c>
      <c r="C4759" t="n">
        <v>3.87</v>
      </c>
    </row>
    <row r="4760">
      <c r="A4760" s="28" t="n">
        <v>26388</v>
      </c>
      <c r="B4760" t="n">
        <v>6.12</v>
      </c>
      <c r="C4760" t="n">
        <v>3.83</v>
      </c>
    </row>
    <row r="4761">
      <c r="A4761" s="28" t="n">
        <v>26389</v>
      </c>
      <c r="B4761" t="n">
        <v>0</v>
      </c>
      <c r="C4761" t="n">
        <v>0</v>
      </c>
    </row>
    <row r="4762">
      <c r="A4762" s="28" t="n">
        <v>26392</v>
      </c>
      <c r="B4762" t="n">
        <v>6.14</v>
      </c>
      <c r="C4762" t="n">
        <v>3.79</v>
      </c>
    </row>
    <row r="4763">
      <c r="A4763" s="28" t="n">
        <v>26393</v>
      </c>
      <c r="B4763" t="n">
        <v>6.18</v>
      </c>
      <c r="C4763" t="n">
        <v>3.84</v>
      </c>
    </row>
    <row r="4764">
      <c r="A4764" s="28" t="n">
        <v>26394</v>
      </c>
      <c r="B4764" t="n">
        <v>6.18</v>
      </c>
      <c r="C4764" t="n">
        <v>3.82</v>
      </c>
    </row>
    <row r="4765">
      <c r="A4765" s="28" t="n">
        <v>26395</v>
      </c>
      <c r="B4765" t="n">
        <v>6.18</v>
      </c>
      <c r="C4765" t="n">
        <v>3.8</v>
      </c>
    </row>
    <row r="4766">
      <c r="A4766" s="28" t="n">
        <v>26396</v>
      </c>
      <c r="B4766" t="n">
        <v>6.18</v>
      </c>
      <c r="C4766" t="n">
        <v>3.8</v>
      </c>
    </row>
    <row r="4767">
      <c r="A4767" s="28" t="n">
        <v>26399</v>
      </c>
      <c r="B4767" t="n">
        <v>6.17</v>
      </c>
      <c r="C4767" t="n">
        <v>3.75</v>
      </c>
    </row>
    <row r="4768">
      <c r="A4768" s="28" t="n">
        <v>26400</v>
      </c>
      <c r="B4768" t="n">
        <v>6.18</v>
      </c>
      <c r="C4768" t="n">
        <v>3.82</v>
      </c>
    </row>
    <row r="4769">
      <c r="A4769" s="28" t="n">
        <v>26401</v>
      </c>
      <c r="B4769" t="n">
        <v>6.21</v>
      </c>
      <c r="C4769" t="n">
        <v>3.82</v>
      </c>
    </row>
    <row r="4770">
      <c r="A4770" s="28" t="n">
        <v>26402</v>
      </c>
      <c r="B4770" t="n">
        <v>6.25</v>
      </c>
      <c r="C4770" t="n">
        <v>3.86</v>
      </c>
    </row>
    <row r="4771">
      <c r="A4771" s="28" t="n">
        <v>26403</v>
      </c>
      <c r="B4771" t="n">
        <v>6.25</v>
      </c>
      <c r="C4771" t="n">
        <v>3.84</v>
      </c>
    </row>
    <row r="4772">
      <c r="A4772" s="28" t="n">
        <v>26406</v>
      </c>
      <c r="B4772" t="n">
        <v>6.24</v>
      </c>
      <c r="C4772" t="n">
        <v>3.85</v>
      </c>
    </row>
    <row r="4773">
      <c r="A4773" s="28" t="n">
        <v>26407</v>
      </c>
      <c r="B4773" t="n">
        <v>6.24</v>
      </c>
      <c r="C4773" t="n">
        <v>3.68</v>
      </c>
    </row>
    <row r="4774">
      <c r="A4774" s="28" t="n">
        <v>26408</v>
      </c>
      <c r="B4774" t="n">
        <v>6.22</v>
      </c>
      <c r="C4774" t="n">
        <v>3.64</v>
      </c>
    </row>
    <row r="4775">
      <c r="A4775" s="28" t="n">
        <v>26409</v>
      </c>
      <c r="B4775" t="n">
        <v>6.21</v>
      </c>
      <c r="C4775" t="n">
        <v>3.57</v>
      </c>
    </row>
    <row r="4776">
      <c r="A4776" s="28" t="n">
        <v>26410</v>
      </c>
      <c r="B4776" t="n">
        <v>6.2</v>
      </c>
      <c r="C4776" t="n">
        <v>3.47</v>
      </c>
    </row>
    <row r="4777">
      <c r="A4777" s="28" t="n">
        <v>26413</v>
      </c>
      <c r="B4777" t="n">
        <v>6.21</v>
      </c>
      <c r="C4777" t="n">
        <v>3.46</v>
      </c>
    </row>
    <row r="4778">
      <c r="A4778" s="28" t="n">
        <v>26414</v>
      </c>
      <c r="B4778" t="n">
        <v>6.21</v>
      </c>
      <c r="C4778" t="n">
        <v>3.55</v>
      </c>
    </row>
    <row r="4779">
      <c r="A4779" s="28" t="n">
        <v>26415</v>
      </c>
      <c r="B4779" t="n">
        <v>6.19</v>
      </c>
      <c r="C4779" t="n">
        <v>3.58</v>
      </c>
    </row>
    <row r="4780">
      <c r="A4780" s="28" t="n">
        <v>26416</v>
      </c>
      <c r="B4780" t="n">
        <v>6.11</v>
      </c>
      <c r="C4780" t="n">
        <v>3.54</v>
      </c>
    </row>
    <row r="4781">
      <c r="A4781" s="28" t="n">
        <v>26417</v>
      </c>
      <c r="B4781" t="n">
        <v>6.14</v>
      </c>
      <c r="C4781" t="n">
        <v>3.63</v>
      </c>
    </row>
    <row r="4782">
      <c r="A4782" s="28" t="n">
        <v>26420</v>
      </c>
      <c r="B4782" t="n">
        <v>6.14</v>
      </c>
      <c r="C4782" t="n">
        <v>3.62</v>
      </c>
    </row>
    <row r="4783">
      <c r="A4783" s="28" t="n">
        <v>26421</v>
      </c>
      <c r="B4783" t="n">
        <v>6.16</v>
      </c>
      <c r="C4783" t="n">
        <v>3.65</v>
      </c>
    </row>
    <row r="4784">
      <c r="A4784" s="28" t="n">
        <v>26422</v>
      </c>
      <c r="B4784" t="n">
        <v>6.17</v>
      </c>
      <c r="C4784" t="n">
        <v>3.6</v>
      </c>
    </row>
    <row r="4785">
      <c r="A4785" s="28" t="n">
        <v>26423</v>
      </c>
      <c r="B4785" t="n">
        <v>6.17</v>
      </c>
      <c r="C4785" t="n">
        <v>3.54</v>
      </c>
    </row>
    <row r="4786">
      <c r="A4786" s="28" t="n">
        <v>26424</v>
      </c>
      <c r="B4786" t="n">
        <v>6.17</v>
      </c>
      <c r="C4786" t="n">
        <v>3.42</v>
      </c>
    </row>
    <row r="4787">
      <c r="A4787" s="28" t="n">
        <v>26427</v>
      </c>
      <c r="B4787" t="n">
        <v>6.17</v>
      </c>
      <c r="C4787" t="n">
        <v>3.44</v>
      </c>
    </row>
    <row r="4788">
      <c r="A4788" s="28" t="n">
        <v>26428</v>
      </c>
      <c r="B4788" t="n">
        <v>6.2</v>
      </c>
      <c r="C4788" t="n">
        <v>3.65</v>
      </c>
    </row>
    <row r="4789">
      <c r="A4789" s="28" t="n">
        <v>26429</v>
      </c>
      <c r="B4789" t="n">
        <v>6.19</v>
      </c>
      <c r="C4789" t="n">
        <v>3.62</v>
      </c>
    </row>
    <row r="4790">
      <c r="A4790" s="28" t="n">
        <v>26430</v>
      </c>
      <c r="B4790" t="n">
        <v>6.19</v>
      </c>
      <c r="C4790" t="n">
        <v>3.62</v>
      </c>
    </row>
    <row r="4791">
      <c r="A4791" s="28" t="n">
        <v>26431</v>
      </c>
      <c r="B4791" t="n">
        <v>6.16</v>
      </c>
      <c r="C4791" t="n">
        <v>3.6</v>
      </c>
    </row>
    <row r="4792">
      <c r="A4792" s="28" t="n">
        <v>26434</v>
      </c>
      <c r="B4792" t="n">
        <v>6.16</v>
      </c>
      <c r="C4792" t="n">
        <v>3.65</v>
      </c>
    </row>
    <row r="4793">
      <c r="A4793" s="28" t="n">
        <v>26435</v>
      </c>
      <c r="B4793" t="n">
        <v>6.16</v>
      </c>
      <c r="C4793" t="n">
        <v>3.76</v>
      </c>
    </row>
    <row r="4794">
      <c r="A4794" s="28" t="n">
        <v>26436</v>
      </c>
      <c r="B4794" t="n">
        <v>6.15</v>
      </c>
      <c r="C4794" t="n">
        <v>3.78</v>
      </c>
    </row>
    <row r="4795">
      <c r="A4795" s="28" t="n">
        <v>26437</v>
      </c>
      <c r="B4795" t="n">
        <v>6.13</v>
      </c>
      <c r="C4795" t="n">
        <v>3.79</v>
      </c>
    </row>
    <row r="4796">
      <c r="A4796" s="28" t="n">
        <v>26438</v>
      </c>
      <c r="B4796" t="n">
        <v>6.1</v>
      </c>
      <c r="C4796" t="n">
        <v>3.8</v>
      </c>
    </row>
    <row r="4797">
      <c r="A4797" s="28" t="n">
        <v>26441</v>
      </c>
      <c r="B4797" t="n">
        <v>6.07</v>
      </c>
      <c r="C4797" t="n">
        <v>3.79</v>
      </c>
    </row>
    <row r="4798">
      <c r="A4798" s="28" t="n">
        <v>26442</v>
      </c>
      <c r="B4798" t="n">
        <v>6.05</v>
      </c>
      <c r="C4798" t="n">
        <v>3.84</v>
      </c>
    </row>
    <row r="4799">
      <c r="A4799" s="28" t="n">
        <v>26443</v>
      </c>
      <c r="B4799" t="n">
        <v>6.06</v>
      </c>
      <c r="C4799" t="n">
        <v>3.84</v>
      </c>
    </row>
    <row r="4800">
      <c r="A4800" s="28" t="n">
        <v>26444</v>
      </c>
      <c r="B4800" t="n">
        <v>6.04</v>
      </c>
      <c r="C4800" t="n">
        <v>3.76</v>
      </c>
    </row>
    <row r="4801">
      <c r="A4801" s="28" t="n">
        <v>26445</v>
      </c>
      <c r="B4801" t="n">
        <v>6.04</v>
      </c>
      <c r="C4801" t="n">
        <v>3.75</v>
      </c>
    </row>
    <row r="4802">
      <c r="A4802" s="28" t="n">
        <v>26448</v>
      </c>
      <c r="B4802" t="n">
        <v>0</v>
      </c>
      <c r="C4802" t="n">
        <v>0</v>
      </c>
    </row>
    <row r="4803">
      <c r="A4803" s="28" t="n">
        <v>26449</v>
      </c>
      <c r="B4803" t="n">
        <v>6.05</v>
      </c>
      <c r="C4803" t="n">
        <v>3.8</v>
      </c>
    </row>
    <row r="4804">
      <c r="A4804" s="28" t="n">
        <v>26450</v>
      </c>
      <c r="B4804" t="n">
        <v>6.05</v>
      </c>
      <c r="C4804" t="n">
        <v>3.81</v>
      </c>
    </row>
    <row r="4805">
      <c r="A4805" s="28" t="n">
        <v>26451</v>
      </c>
      <c r="B4805" t="n">
        <v>6.07</v>
      </c>
      <c r="C4805" t="n">
        <v>3.83</v>
      </c>
    </row>
    <row r="4806">
      <c r="A4806" s="28" t="n">
        <v>26452</v>
      </c>
      <c r="B4806" t="n">
        <v>6.09</v>
      </c>
      <c r="C4806" t="n">
        <v>3.86</v>
      </c>
    </row>
    <row r="4807">
      <c r="A4807" s="28" t="n">
        <v>26455</v>
      </c>
      <c r="B4807" t="n">
        <v>6.1</v>
      </c>
      <c r="C4807" t="n">
        <v>3.83</v>
      </c>
    </row>
    <row r="4808">
      <c r="A4808" s="28" t="n">
        <v>26456</v>
      </c>
      <c r="B4808" t="n">
        <v>6.13</v>
      </c>
      <c r="C4808" t="n">
        <v>3.89</v>
      </c>
    </row>
    <row r="4809">
      <c r="A4809" s="28" t="n">
        <v>26457</v>
      </c>
      <c r="B4809" t="n">
        <v>6.12</v>
      </c>
      <c r="C4809" t="n">
        <v>3.88</v>
      </c>
    </row>
    <row r="4810">
      <c r="A4810" s="28" t="n">
        <v>26458</v>
      </c>
      <c r="B4810" t="n">
        <v>6.12</v>
      </c>
      <c r="C4810" t="n">
        <v>3.86</v>
      </c>
    </row>
    <row r="4811">
      <c r="A4811" s="28" t="n">
        <v>26459</v>
      </c>
      <c r="B4811" t="n">
        <v>6.11</v>
      </c>
      <c r="C4811" t="n">
        <v>3.86</v>
      </c>
    </row>
    <row r="4812">
      <c r="A4812" s="28" t="n">
        <v>26462</v>
      </c>
      <c r="B4812" t="n">
        <v>6.1</v>
      </c>
      <c r="C4812" t="n">
        <v>3.82</v>
      </c>
    </row>
    <row r="4813">
      <c r="A4813" s="28" t="n">
        <v>26463</v>
      </c>
      <c r="B4813" t="n">
        <v>6.1</v>
      </c>
      <c r="C4813" t="n">
        <v>3.84</v>
      </c>
    </row>
    <row r="4814">
      <c r="A4814" s="28" t="n">
        <v>26464</v>
      </c>
      <c r="B4814" t="n">
        <v>6.1</v>
      </c>
      <c r="C4814" t="n">
        <v>3.86</v>
      </c>
    </row>
    <row r="4815">
      <c r="A4815" s="28" t="n">
        <v>26465</v>
      </c>
      <c r="B4815" t="n">
        <v>6.1</v>
      </c>
      <c r="C4815" t="n">
        <v>3.9</v>
      </c>
    </row>
    <row r="4816">
      <c r="A4816" s="28" t="n">
        <v>26466</v>
      </c>
      <c r="B4816" t="n">
        <v>6.1</v>
      </c>
      <c r="C4816" t="n">
        <v>3.95</v>
      </c>
    </row>
    <row r="4817">
      <c r="A4817" s="28" t="n">
        <v>26469</v>
      </c>
      <c r="B4817" t="n">
        <v>6.08</v>
      </c>
      <c r="C4817" t="n">
        <v>3.92</v>
      </c>
    </row>
    <row r="4818">
      <c r="A4818" s="28" t="n">
        <v>26470</v>
      </c>
      <c r="B4818" t="n">
        <v>6.08</v>
      </c>
      <c r="C4818" t="n">
        <v>3.95</v>
      </c>
    </row>
    <row r="4819">
      <c r="A4819" s="28" t="n">
        <v>26471</v>
      </c>
      <c r="B4819" t="n">
        <v>6.09</v>
      </c>
      <c r="C4819" t="n">
        <v>3.97</v>
      </c>
    </row>
    <row r="4820">
      <c r="A4820" s="28" t="n">
        <v>26472</v>
      </c>
      <c r="B4820" t="n">
        <v>6.11</v>
      </c>
      <c r="C4820" t="n">
        <v>4.02</v>
      </c>
    </row>
    <row r="4821">
      <c r="A4821" s="28" t="n">
        <v>26473</v>
      </c>
      <c r="B4821" t="n">
        <v>6.1</v>
      </c>
      <c r="C4821" t="n">
        <v>4</v>
      </c>
    </row>
    <row r="4822">
      <c r="A4822" s="28" t="n">
        <v>26476</v>
      </c>
      <c r="B4822" t="n">
        <v>6.12</v>
      </c>
      <c r="C4822" t="n">
        <v>3.98</v>
      </c>
    </row>
    <row r="4823">
      <c r="A4823" s="28" t="n">
        <v>26477</v>
      </c>
      <c r="B4823" t="n">
        <v>6.12</v>
      </c>
      <c r="C4823" t="n">
        <v>3.99</v>
      </c>
    </row>
    <row r="4824">
      <c r="A4824" s="28" t="n">
        <v>26478</v>
      </c>
      <c r="B4824" t="n">
        <v>6.12</v>
      </c>
      <c r="C4824" t="n">
        <v>3.87</v>
      </c>
    </row>
    <row r="4825">
      <c r="A4825" s="28" t="n">
        <v>26479</v>
      </c>
      <c r="B4825" t="n">
        <v>6.14</v>
      </c>
      <c r="C4825" t="n">
        <v>3.96</v>
      </c>
    </row>
    <row r="4826">
      <c r="A4826" s="28" t="n">
        <v>26480</v>
      </c>
      <c r="B4826" t="n">
        <v>6.15</v>
      </c>
      <c r="C4826" t="n">
        <v>4.06</v>
      </c>
    </row>
    <row r="4827">
      <c r="A4827" s="28" t="n">
        <v>26483</v>
      </c>
      <c r="B4827" t="n">
        <v>6.14</v>
      </c>
      <c r="C4827" t="n">
        <v>4.14</v>
      </c>
    </row>
    <row r="4828">
      <c r="A4828" s="28" t="n">
        <v>26484</v>
      </c>
      <c r="B4828" t="n">
        <v>0</v>
      </c>
      <c r="C4828" t="n">
        <v>0</v>
      </c>
    </row>
    <row r="4829">
      <c r="A4829" s="28" t="n">
        <v>26485</v>
      </c>
      <c r="B4829" t="n">
        <v>6.13</v>
      </c>
      <c r="C4829" t="n">
        <v>4.08</v>
      </c>
    </row>
    <row r="4830">
      <c r="A4830" s="28" t="n">
        <v>26486</v>
      </c>
      <c r="B4830" t="n">
        <v>6.13</v>
      </c>
      <c r="C4830" t="n">
        <v>4.02</v>
      </c>
    </row>
    <row r="4831">
      <c r="A4831" s="28" t="n">
        <v>26487</v>
      </c>
      <c r="B4831" t="n">
        <v>6.13</v>
      </c>
      <c r="C4831" t="n">
        <v>4.02</v>
      </c>
    </row>
    <row r="4832">
      <c r="A4832" s="28" t="n">
        <v>26490</v>
      </c>
      <c r="B4832" t="n">
        <v>6.13</v>
      </c>
      <c r="C4832" t="n">
        <v>4.04</v>
      </c>
    </row>
    <row r="4833">
      <c r="A4833" s="28" t="n">
        <v>26491</v>
      </c>
      <c r="B4833" t="n">
        <v>6.13</v>
      </c>
      <c r="C4833" t="n">
        <v>4.13</v>
      </c>
    </row>
    <row r="4834">
      <c r="A4834" s="28" t="n">
        <v>26492</v>
      </c>
      <c r="B4834" t="n">
        <v>6.12</v>
      </c>
      <c r="C4834" t="n">
        <v>4.07</v>
      </c>
    </row>
    <row r="4835">
      <c r="A4835" s="28" t="n">
        <v>26493</v>
      </c>
      <c r="B4835" t="n">
        <v>6.11</v>
      </c>
      <c r="C4835" t="n">
        <v>4.04</v>
      </c>
    </row>
    <row r="4836">
      <c r="A4836" s="28" t="n">
        <v>26494</v>
      </c>
      <c r="B4836" t="n">
        <v>6.1</v>
      </c>
      <c r="C4836" t="n">
        <v>3.95</v>
      </c>
    </row>
    <row r="4837">
      <c r="A4837" s="28" t="n">
        <v>26497</v>
      </c>
      <c r="B4837" t="n">
        <v>6.11</v>
      </c>
      <c r="C4837" t="n">
        <v>3.92</v>
      </c>
    </row>
    <row r="4838">
      <c r="A4838" s="28" t="n">
        <v>26498</v>
      </c>
      <c r="B4838" t="n">
        <v>6.11</v>
      </c>
      <c r="C4838" t="n">
        <v>3.97</v>
      </c>
    </row>
    <row r="4839">
      <c r="A4839" s="28" t="n">
        <v>26499</v>
      </c>
      <c r="B4839" t="n">
        <v>6.09</v>
      </c>
      <c r="C4839" t="n">
        <v>3.91</v>
      </c>
    </row>
    <row r="4840">
      <c r="A4840" s="28" t="n">
        <v>26500</v>
      </c>
      <c r="B4840" t="n">
        <v>6.09</v>
      </c>
      <c r="C4840" t="n">
        <v>3.91</v>
      </c>
    </row>
    <row r="4841">
      <c r="A4841" s="28" t="n">
        <v>26501</v>
      </c>
      <c r="B4841" t="n">
        <v>6.1</v>
      </c>
      <c r="C4841" t="n">
        <v>3.94</v>
      </c>
    </row>
    <row r="4842">
      <c r="A4842" s="28" t="n">
        <v>26504</v>
      </c>
      <c r="B4842" t="n">
        <v>6.1</v>
      </c>
      <c r="C4842" t="n">
        <v>3.97</v>
      </c>
    </row>
    <row r="4843">
      <c r="A4843" s="28" t="n">
        <v>26505</v>
      </c>
      <c r="B4843" t="n">
        <v>6.09</v>
      </c>
      <c r="C4843" t="n">
        <v>4.03</v>
      </c>
    </row>
    <row r="4844">
      <c r="A4844" s="28" t="n">
        <v>26506</v>
      </c>
      <c r="B4844" t="n">
        <v>6.08</v>
      </c>
      <c r="C4844" t="n">
        <v>3.96</v>
      </c>
    </row>
    <row r="4845">
      <c r="A4845" s="28" t="n">
        <v>26507</v>
      </c>
      <c r="B4845" t="n">
        <v>6.13</v>
      </c>
      <c r="C4845" t="n">
        <v>3.91</v>
      </c>
    </row>
    <row r="4846">
      <c r="A4846" s="28" t="n">
        <v>26508</v>
      </c>
      <c r="B4846" t="n">
        <v>6.12</v>
      </c>
      <c r="C4846" t="n">
        <v>3.85</v>
      </c>
    </row>
    <row r="4847">
      <c r="A4847" s="28" t="n">
        <v>26511</v>
      </c>
      <c r="B4847" t="n">
        <v>6.12</v>
      </c>
      <c r="C4847" t="n">
        <v>3.8</v>
      </c>
    </row>
    <row r="4848">
      <c r="A4848" s="28" t="n">
        <v>26512</v>
      </c>
      <c r="B4848" t="n">
        <v>6.14</v>
      </c>
      <c r="C4848" t="n">
        <v>3.79</v>
      </c>
    </row>
    <row r="4849">
      <c r="A4849" s="28" t="n">
        <v>26513</v>
      </c>
      <c r="B4849" t="n">
        <v>6.14</v>
      </c>
      <c r="C4849" t="n">
        <v>3.77</v>
      </c>
    </row>
    <row r="4850">
      <c r="A4850" s="28" t="n">
        <v>26514</v>
      </c>
      <c r="B4850" t="n">
        <v>6.15</v>
      </c>
      <c r="C4850" t="n">
        <v>3.79</v>
      </c>
    </row>
    <row r="4851">
      <c r="A4851" s="28" t="n">
        <v>26515</v>
      </c>
      <c r="B4851" t="n">
        <v>6.16</v>
      </c>
      <c r="C4851" t="n">
        <v>3.82</v>
      </c>
    </row>
    <row r="4852">
      <c r="A4852" s="28" t="n">
        <v>26518</v>
      </c>
      <c r="B4852" t="n">
        <v>6.16</v>
      </c>
      <c r="C4852" t="n">
        <v>3.85</v>
      </c>
    </row>
    <row r="4853">
      <c r="A4853" s="28" t="n">
        <v>26519</v>
      </c>
      <c r="B4853" t="n">
        <v>6.15</v>
      </c>
      <c r="C4853" t="n">
        <v>3.88</v>
      </c>
    </row>
    <row r="4854">
      <c r="A4854" s="28" t="n">
        <v>26520</v>
      </c>
      <c r="B4854" t="n">
        <v>6.14</v>
      </c>
      <c r="C4854" t="n">
        <v>3.86</v>
      </c>
    </row>
    <row r="4855">
      <c r="A4855" s="28" t="n">
        <v>26521</v>
      </c>
      <c r="B4855" t="n">
        <v>6.14</v>
      </c>
      <c r="C4855" t="n">
        <v>3.86</v>
      </c>
    </row>
    <row r="4856">
      <c r="A4856" s="28" t="n">
        <v>26522</v>
      </c>
      <c r="B4856" t="n">
        <v>6.14</v>
      </c>
      <c r="C4856" t="n">
        <v>3.84</v>
      </c>
    </row>
    <row r="4857">
      <c r="A4857" s="28" t="n">
        <v>26525</v>
      </c>
      <c r="B4857" t="n">
        <v>6.16</v>
      </c>
      <c r="C4857" t="n">
        <v>3.87</v>
      </c>
    </row>
    <row r="4858">
      <c r="A4858" s="28" t="n">
        <v>26526</v>
      </c>
      <c r="B4858" t="n">
        <v>6.17</v>
      </c>
      <c r="C4858" t="n">
        <v>3.93</v>
      </c>
    </row>
    <row r="4859">
      <c r="A4859" s="28" t="n">
        <v>26527</v>
      </c>
      <c r="B4859" t="n">
        <v>6.18</v>
      </c>
      <c r="C4859" t="n">
        <v>3.91</v>
      </c>
    </row>
    <row r="4860">
      <c r="A4860" s="28" t="n">
        <v>26528</v>
      </c>
      <c r="B4860" t="n">
        <v>6.2</v>
      </c>
      <c r="C4860" t="n">
        <v>3.88</v>
      </c>
    </row>
    <row r="4861">
      <c r="A4861" s="28" t="n">
        <v>26529</v>
      </c>
      <c r="B4861" t="n">
        <v>6.21</v>
      </c>
      <c r="C4861" t="n">
        <v>3.92</v>
      </c>
    </row>
    <row r="4862">
      <c r="A4862" s="28" t="n">
        <v>26532</v>
      </c>
      <c r="B4862" t="n">
        <v>6.21</v>
      </c>
      <c r="C4862" t="n">
        <v>3.97</v>
      </c>
    </row>
    <row r="4863">
      <c r="A4863" s="28" t="n">
        <v>26533</v>
      </c>
      <c r="B4863" t="n">
        <v>6.2</v>
      </c>
      <c r="C4863" t="n">
        <v>4.12</v>
      </c>
    </row>
    <row r="4864">
      <c r="A4864" s="28" t="n">
        <v>26534</v>
      </c>
      <c r="B4864" t="n">
        <v>6.22</v>
      </c>
      <c r="C4864" t="n">
        <v>4.18</v>
      </c>
    </row>
    <row r="4865">
      <c r="A4865" s="28" t="n">
        <v>26535</v>
      </c>
      <c r="B4865" t="n">
        <v>6.23</v>
      </c>
      <c r="C4865" t="n">
        <v>4.14</v>
      </c>
    </row>
    <row r="4866">
      <c r="A4866" s="28" t="n">
        <v>26536</v>
      </c>
      <c r="B4866" t="n">
        <v>6.26</v>
      </c>
      <c r="C4866" t="n">
        <v>4.23</v>
      </c>
    </row>
    <row r="4867">
      <c r="A4867" s="28" t="n">
        <v>26539</v>
      </c>
      <c r="B4867" t="n">
        <v>6.3</v>
      </c>
      <c r="C4867" t="n">
        <v>4.26</v>
      </c>
    </row>
    <row r="4868">
      <c r="A4868" s="28" t="n">
        <v>26540</v>
      </c>
      <c r="B4868" t="n">
        <v>6.34</v>
      </c>
      <c r="C4868" t="n">
        <v>4.45</v>
      </c>
    </row>
    <row r="4869">
      <c r="A4869" s="28" t="n">
        <v>26541</v>
      </c>
      <c r="B4869" t="n">
        <v>6.42</v>
      </c>
      <c r="C4869" t="n">
        <v>4.55</v>
      </c>
    </row>
    <row r="4870">
      <c r="A4870" s="28" t="n">
        <v>26542</v>
      </c>
      <c r="B4870" t="n">
        <v>6.42</v>
      </c>
      <c r="C4870" t="n">
        <v>4.55</v>
      </c>
    </row>
    <row r="4871">
      <c r="A4871" s="28" t="n">
        <v>26543</v>
      </c>
      <c r="B4871" t="n">
        <v>6.43</v>
      </c>
      <c r="C4871" t="n">
        <v>4.54</v>
      </c>
    </row>
    <row r="4872">
      <c r="A4872" s="28" t="n">
        <v>26546</v>
      </c>
      <c r="B4872" t="n">
        <v>0</v>
      </c>
      <c r="C4872" t="n">
        <v>0</v>
      </c>
    </row>
    <row r="4873">
      <c r="A4873" s="28" t="n">
        <v>26547</v>
      </c>
      <c r="B4873" t="n">
        <v>6.46</v>
      </c>
      <c r="C4873" t="n">
        <v>4.68</v>
      </c>
    </row>
    <row r="4874">
      <c r="A4874" s="28" t="n">
        <v>26548</v>
      </c>
      <c r="B4874" t="n">
        <v>6.49</v>
      </c>
      <c r="C4874" t="n">
        <v>4.71</v>
      </c>
    </row>
    <row r="4875">
      <c r="A4875" s="28" t="n">
        <v>26549</v>
      </c>
      <c r="B4875" t="n">
        <v>6.52</v>
      </c>
      <c r="C4875" t="n">
        <v>4.7</v>
      </c>
    </row>
    <row r="4876">
      <c r="A4876" s="28" t="n">
        <v>26550</v>
      </c>
      <c r="B4876" t="n">
        <v>6.56</v>
      </c>
      <c r="C4876" t="n">
        <v>4.73</v>
      </c>
    </row>
    <row r="4877">
      <c r="A4877" s="28" t="n">
        <v>26553</v>
      </c>
      <c r="B4877" t="n">
        <v>6.54</v>
      </c>
      <c r="C4877" t="n">
        <v>4.74</v>
      </c>
    </row>
    <row r="4878">
      <c r="A4878" s="28" t="n">
        <v>26554</v>
      </c>
      <c r="B4878" t="n">
        <v>6.54</v>
      </c>
      <c r="C4878" t="n">
        <v>4.72</v>
      </c>
    </row>
    <row r="4879">
      <c r="A4879" s="28" t="n">
        <v>26555</v>
      </c>
      <c r="B4879" t="n">
        <v>6.54</v>
      </c>
      <c r="C4879" t="n">
        <v>4.71</v>
      </c>
    </row>
    <row r="4880">
      <c r="A4880" s="28" t="n">
        <v>26556</v>
      </c>
      <c r="B4880" t="n">
        <v>6.57</v>
      </c>
      <c r="C4880" t="n">
        <v>4.7</v>
      </c>
    </row>
    <row r="4881">
      <c r="A4881" s="28" t="n">
        <v>26557</v>
      </c>
      <c r="B4881" t="n">
        <v>6.56</v>
      </c>
      <c r="C4881" t="n">
        <v>4.68</v>
      </c>
    </row>
    <row r="4882">
      <c r="A4882" s="28" t="n">
        <v>26560</v>
      </c>
      <c r="B4882" t="n">
        <v>6.55</v>
      </c>
      <c r="C4882" t="n">
        <v>4.65</v>
      </c>
    </row>
    <row r="4883">
      <c r="A4883" s="28" t="n">
        <v>26561</v>
      </c>
      <c r="B4883" t="n">
        <v>6.55</v>
      </c>
      <c r="C4883" t="n">
        <v>4.64</v>
      </c>
    </row>
    <row r="4884">
      <c r="A4884" s="28" t="n">
        <v>26562</v>
      </c>
      <c r="B4884" t="n">
        <v>6.56</v>
      </c>
      <c r="C4884" t="n">
        <v>4.63</v>
      </c>
    </row>
    <row r="4885">
      <c r="A4885" s="28" t="n">
        <v>26563</v>
      </c>
      <c r="B4885" t="n">
        <v>6.59</v>
      </c>
      <c r="C4885" t="n">
        <v>4.66</v>
      </c>
    </row>
    <row r="4886">
      <c r="A4886" s="28" t="n">
        <v>26564</v>
      </c>
      <c r="B4886" t="n">
        <v>6.62</v>
      </c>
      <c r="C4886" t="n">
        <v>4.7</v>
      </c>
    </row>
    <row r="4887">
      <c r="A4887" s="28" t="n">
        <v>26567</v>
      </c>
      <c r="B4887" t="n">
        <v>6.62</v>
      </c>
      <c r="C4887" t="n">
        <v>4.67</v>
      </c>
    </row>
    <row r="4888">
      <c r="A4888" s="28" t="n">
        <v>26568</v>
      </c>
      <c r="B4888" t="n">
        <v>6.6</v>
      </c>
      <c r="C4888" t="n">
        <v>4.63</v>
      </c>
    </row>
    <row r="4889">
      <c r="A4889" s="28" t="n">
        <v>26569</v>
      </c>
      <c r="B4889" t="n">
        <v>6.59</v>
      </c>
      <c r="C4889" t="n">
        <v>4.61</v>
      </c>
    </row>
    <row r="4890">
      <c r="A4890" s="28" t="n">
        <v>26570</v>
      </c>
      <c r="B4890" t="n">
        <v>6.56</v>
      </c>
      <c r="C4890" t="n">
        <v>4.56</v>
      </c>
    </row>
    <row r="4891">
      <c r="A4891" s="28" t="n">
        <v>26571</v>
      </c>
      <c r="B4891" t="n">
        <v>6.54</v>
      </c>
      <c r="C4891" t="n">
        <v>4.55</v>
      </c>
    </row>
    <row r="4892">
      <c r="A4892" s="28" t="n">
        <v>26574</v>
      </c>
      <c r="B4892" t="n">
        <v>6.54</v>
      </c>
      <c r="C4892" t="n">
        <v>4.51</v>
      </c>
    </row>
    <row r="4893">
      <c r="A4893" s="28" t="n">
        <v>26575</v>
      </c>
      <c r="B4893" t="n">
        <v>6.54</v>
      </c>
      <c r="C4893" t="n">
        <v>4.67</v>
      </c>
    </row>
    <row r="4894">
      <c r="A4894" s="28" t="n">
        <v>26576</v>
      </c>
      <c r="B4894" t="n">
        <v>6.53</v>
      </c>
      <c r="C4894" t="n">
        <v>4.69</v>
      </c>
    </row>
    <row r="4895">
      <c r="A4895" s="28" t="n">
        <v>26577</v>
      </c>
      <c r="B4895" t="n">
        <v>6.53</v>
      </c>
      <c r="C4895" t="n">
        <v>4.73</v>
      </c>
    </row>
    <row r="4896">
      <c r="A4896" s="28" t="n">
        <v>26578</v>
      </c>
      <c r="B4896" t="n">
        <v>6.52</v>
      </c>
      <c r="C4896" t="n">
        <v>4.71</v>
      </c>
    </row>
    <row r="4897">
      <c r="A4897" s="28" t="n">
        <v>26581</v>
      </c>
      <c r="B4897" t="n">
        <v>0</v>
      </c>
      <c r="C4897" t="n">
        <v>0</v>
      </c>
    </row>
    <row r="4898">
      <c r="A4898" s="28" t="n">
        <v>26582</v>
      </c>
      <c r="B4898" t="n">
        <v>6.48</v>
      </c>
      <c r="C4898" t="n">
        <v>4.74</v>
      </c>
    </row>
    <row r="4899">
      <c r="A4899" s="28" t="n">
        <v>26583</v>
      </c>
      <c r="B4899" t="n">
        <v>6.47</v>
      </c>
      <c r="C4899" t="n">
        <v>4.76</v>
      </c>
    </row>
    <row r="4900">
      <c r="A4900" s="28" t="n">
        <v>26584</v>
      </c>
      <c r="B4900" t="n">
        <v>6.5</v>
      </c>
      <c r="C4900" t="n">
        <v>4.81</v>
      </c>
    </row>
    <row r="4901">
      <c r="A4901" s="28" t="n">
        <v>26585</v>
      </c>
      <c r="B4901" t="n">
        <v>6.5</v>
      </c>
      <c r="C4901" t="n">
        <v>4.84</v>
      </c>
    </row>
    <row r="4902">
      <c r="A4902" s="28" t="n">
        <v>26588</v>
      </c>
      <c r="B4902" t="n">
        <v>6.49</v>
      </c>
      <c r="C4902" t="n">
        <v>4.8</v>
      </c>
    </row>
    <row r="4903">
      <c r="A4903" s="28" t="n">
        <v>26589</v>
      </c>
      <c r="B4903" t="n">
        <v>6.49</v>
      </c>
      <c r="C4903" t="n">
        <v>4.82</v>
      </c>
    </row>
    <row r="4904">
      <c r="A4904" s="28" t="n">
        <v>26590</v>
      </c>
      <c r="B4904" t="n">
        <v>6.49</v>
      </c>
      <c r="C4904" t="n">
        <v>4.79</v>
      </c>
    </row>
    <row r="4905">
      <c r="A4905" s="28" t="n">
        <v>26591</v>
      </c>
      <c r="B4905" t="n">
        <v>6.48</v>
      </c>
      <c r="C4905" t="n">
        <v>4.75</v>
      </c>
    </row>
    <row r="4906">
      <c r="A4906" s="28" t="n">
        <v>26592</v>
      </c>
      <c r="B4906" t="n">
        <v>6.47</v>
      </c>
      <c r="C4906" t="n">
        <v>4.74</v>
      </c>
    </row>
    <row r="4907">
      <c r="A4907" s="28" t="n">
        <v>26595</v>
      </c>
      <c r="B4907" t="n">
        <v>0</v>
      </c>
      <c r="C4907" t="n">
        <v>0</v>
      </c>
    </row>
    <row r="4908">
      <c r="A4908" s="28" t="n">
        <v>26596</v>
      </c>
      <c r="B4908" t="n">
        <v>6.45</v>
      </c>
      <c r="C4908" t="n">
        <v>4.74</v>
      </c>
    </row>
    <row r="4909">
      <c r="A4909" s="28" t="n">
        <v>26597</v>
      </c>
      <c r="B4909" t="n">
        <v>6.44</v>
      </c>
      <c r="C4909" t="n">
        <v>4.74</v>
      </c>
    </row>
    <row r="4910">
      <c r="A4910" s="28" t="n">
        <v>26598</v>
      </c>
      <c r="B4910" t="n">
        <v>6.42</v>
      </c>
      <c r="C4910" t="n">
        <v>4.72</v>
      </c>
    </row>
    <row r="4911">
      <c r="A4911" s="28" t="n">
        <v>26599</v>
      </c>
      <c r="B4911" t="n">
        <v>6.42</v>
      </c>
      <c r="C4911" t="n">
        <v>4.72</v>
      </c>
    </row>
    <row r="4912">
      <c r="A4912" s="28" t="n">
        <v>26602</v>
      </c>
      <c r="B4912" t="n">
        <v>6.42</v>
      </c>
      <c r="C4912" t="n">
        <v>4.74</v>
      </c>
    </row>
    <row r="4913">
      <c r="A4913" s="28" t="n">
        <v>26603</v>
      </c>
      <c r="B4913" t="n">
        <v>6.41</v>
      </c>
      <c r="C4913" t="n">
        <v>4.76</v>
      </c>
    </row>
    <row r="4914">
      <c r="A4914" s="28" t="n">
        <v>26604</v>
      </c>
      <c r="B4914" t="n">
        <v>6.39</v>
      </c>
      <c r="C4914" t="n">
        <v>4.75</v>
      </c>
    </row>
    <row r="4915">
      <c r="A4915" s="28" t="n">
        <v>26605</v>
      </c>
      <c r="B4915" t="n">
        <v>6.34</v>
      </c>
      <c r="C4915" t="n">
        <v>4.72</v>
      </c>
    </row>
    <row r="4916">
      <c r="A4916" s="28" t="n">
        <v>26606</v>
      </c>
      <c r="B4916" t="n">
        <v>6.3</v>
      </c>
      <c r="C4916" t="n">
        <v>4.71</v>
      </c>
    </row>
    <row r="4917">
      <c r="A4917" s="28" t="n">
        <v>26609</v>
      </c>
      <c r="B4917" t="n">
        <v>6.27</v>
      </c>
      <c r="C4917" t="n">
        <v>4.66</v>
      </c>
    </row>
    <row r="4918">
      <c r="A4918" s="28" t="n">
        <v>26610</v>
      </c>
      <c r="B4918" t="n">
        <v>0</v>
      </c>
      <c r="C4918" t="n">
        <v>0</v>
      </c>
    </row>
    <row r="4919">
      <c r="A4919" s="28" t="n">
        <v>26611</v>
      </c>
      <c r="B4919" t="n">
        <v>6.3</v>
      </c>
      <c r="C4919" t="n">
        <v>4.75</v>
      </c>
    </row>
    <row r="4920">
      <c r="A4920" s="28" t="n">
        <v>26612</v>
      </c>
      <c r="B4920" t="n">
        <v>6.3</v>
      </c>
      <c r="C4920" t="n">
        <v>4.72</v>
      </c>
    </row>
    <row r="4921">
      <c r="A4921" s="28" t="n">
        <v>26613</v>
      </c>
      <c r="B4921" t="n">
        <v>6.3</v>
      </c>
      <c r="C4921" t="n">
        <v>4.72</v>
      </c>
    </row>
    <row r="4922">
      <c r="A4922" s="28" t="n">
        <v>26616</v>
      </c>
      <c r="B4922" t="n">
        <v>6.27</v>
      </c>
      <c r="C4922" t="n">
        <v>4.74</v>
      </c>
    </row>
    <row r="4923">
      <c r="A4923" s="28" t="n">
        <v>26617</v>
      </c>
      <c r="B4923" t="n">
        <v>6.26</v>
      </c>
      <c r="C4923" t="n">
        <v>4.78</v>
      </c>
    </row>
    <row r="4924">
      <c r="A4924" s="28" t="n">
        <v>26618</v>
      </c>
      <c r="B4924" t="n">
        <v>6.23</v>
      </c>
      <c r="C4924" t="n">
        <v>4.74</v>
      </c>
    </row>
    <row r="4925">
      <c r="A4925" s="28" t="n">
        <v>26619</v>
      </c>
      <c r="B4925" t="n">
        <v>6.24</v>
      </c>
      <c r="C4925" t="n">
        <v>4.76</v>
      </c>
    </row>
    <row r="4926">
      <c r="A4926" s="28" t="n">
        <v>26620</v>
      </c>
      <c r="B4926" t="n">
        <v>6.24</v>
      </c>
      <c r="C4926" t="n">
        <v>4.76</v>
      </c>
    </row>
    <row r="4927">
      <c r="A4927" s="28" t="n">
        <v>26623</v>
      </c>
      <c r="B4927" t="n">
        <v>6.23</v>
      </c>
      <c r="C4927" t="n">
        <v>4.76</v>
      </c>
    </row>
    <row r="4928">
      <c r="A4928" s="28" t="n">
        <v>26624</v>
      </c>
      <c r="B4928" t="n">
        <v>6.26</v>
      </c>
      <c r="C4928" t="n">
        <v>4.82</v>
      </c>
    </row>
    <row r="4929">
      <c r="A4929" s="28" t="n">
        <v>26625</v>
      </c>
      <c r="B4929" t="n">
        <v>6.27</v>
      </c>
      <c r="C4929" t="n">
        <v>4.84</v>
      </c>
    </row>
    <row r="4930">
      <c r="A4930" s="28" t="n">
        <v>26626</v>
      </c>
      <c r="B4930" t="n">
        <v>0</v>
      </c>
      <c r="C4930" t="n">
        <v>0</v>
      </c>
    </row>
    <row r="4931">
      <c r="A4931" s="28" t="n">
        <v>26627</v>
      </c>
      <c r="B4931" t="n">
        <v>6.27</v>
      </c>
      <c r="C4931" t="n">
        <v>4.85</v>
      </c>
    </row>
    <row r="4932">
      <c r="A4932" s="28" t="n">
        <v>26630</v>
      </c>
      <c r="B4932" t="n">
        <v>6.3</v>
      </c>
      <c r="C4932" t="n">
        <v>4.88</v>
      </c>
    </row>
    <row r="4933">
      <c r="A4933" s="28" t="n">
        <v>26631</v>
      </c>
      <c r="B4933" t="n">
        <v>6.29</v>
      </c>
      <c r="C4933" t="n">
        <v>4.88</v>
      </c>
    </row>
    <row r="4934">
      <c r="A4934" s="28" t="n">
        <v>26632</v>
      </c>
      <c r="B4934" t="n">
        <v>6.27</v>
      </c>
      <c r="C4934" t="n">
        <v>4.87</v>
      </c>
    </row>
    <row r="4935">
      <c r="A4935" s="28" t="n">
        <v>26633</v>
      </c>
      <c r="B4935" t="n">
        <v>6.28</v>
      </c>
      <c r="C4935" t="n">
        <v>4.88</v>
      </c>
    </row>
    <row r="4936">
      <c r="A4936" s="28" t="n">
        <v>26634</v>
      </c>
      <c r="B4936" t="n">
        <v>6.29</v>
      </c>
      <c r="C4936" t="n">
        <v>4.9</v>
      </c>
    </row>
    <row r="4937">
      <c r="A4937" s="28" t="n">
        <v>26637</v>
      </c>
      <c r="B4937" t="n">
        <v>6.3</v>
      </c>
      <c r="C4937" t="n">
        <v>4.92</v>
      </c>
    </row>
    <row r="4938">
      <c r="A4938" s="28" t="n">
        <v>26638</v>
      </c>
      <c r="B4938" t="n">
        <v>6.31</v>
      </c>
      <c r="C4938" t="n">
        <v>5</v>
      </c>
    </row>
    <row r="4939">
      <c r="A4939" s="28" t="n">
        <v>26639</v>
      </c>
      <c r="B4939" t="n">
        <v>6.31</v>
      </c>
      <c r="C4939" t="n">
        <v>5</v>
      </c>
    </row>
    <row r="4940">
      <c r="A4940" s="28" t="n">
        <v>26640</v>
      </c>
      <c r="B4940" t="n">
        <v>6.31</v>
      </c>
      <c r="C4940" t="n">
        <v>5.03</v>
      </c>
    </row>
    <row r="4941">
      <c r="A4941" s="28" t="n">
        <v>26641</v>
      </c>
      <c r="B4941" t="n">
        <v>6.32</v>
      </c>
      <c r="C4941" t="n">
        <v>5.06</v>
      </c>
    </row>
    <row r="4942">
      <c r="A4942" s="28" t="n">
        <v>26644</v>
      </c>
      <c r="B4942" t="n">
        <v>6.34</v>
      </c>
      <c r="C4942" t="n">
        <v>5.1</v>
      </c>
    </row>
    <row r="4943">
      <c r="A4943" s="28" t="n">
        <v>26645</v>
      </c>
      <c r="B4943" t="n">
        <v>6.35</v>
      </c>
      <c r="C4943" t="n">
        <v>5.05</v>
      </c>
    </row>
    <row r="4944">
      <c r="A4944" s="28" t="n">
        <v>26646</v>
      </c>
      <c r="B4944" t="n">
        <v>6.35</v>
      </c>
      <c r="C4944" t="n">
        <v>5</v>
      </c>
    </row>
    <row r="4945">
      <c r="A4945" s="28" t="n">
        <v>26647</v>
      </c>
      <c r="B4945" t="n">
        <v>6.35</v>
      </c>
      <c r="C4945" t="n">
        <v>5.02</v>
      </c>
    </row>
    <row r="4946">
      <c r="A4946" s="28" t="n">
        <v>26648</v>
      </c>
      <c r="B4946" t="n">
        <v>6.35</v>
      </c>
      <c r="C4946" t="n">
        <v>5.07</v>
      </c>
    </row>
    <row r="4947">
      <c r="A4947" s="28" t="n">
        <v>26651</v>
      </c>
      <c r="B4947" t="n">
        <v>6.38</v>
      </c>
      <c r="C4947" t="n">
        <v>5.17</v>
      </c>
    </row>
    <row r="4948">
      <c r="A4948" s="28" t="n">
        <v>26652</v>
      </c>
      <c r="B4948" t="n">
        <v>6.4</v>
      </c>
      <c r="C4948" t="n">
        <v>5.19</v>
      </c>
    </row>
    <row r="4949">
      <c r="A4949" s="28" t="n">
        <v>26653</v>
      </c>
      <c r="B4949" t="n">
        <v>6.4</v>
      </c>
      <c r="C4949" t="n">
        <v>5.15</v>
      </c>
    </row>
    <row r="4950">
      <c r="A4950" s="28" t="n">
        <v>26654</v>
      </c>
      <c r="B4950" t="n">
        <v>6.4</v>
      </c>
      <c r="C4950" t="n">
        <v>5.12</v>
      </c>
    </row>
    <row r="4951">
      <c r="A4951" s="28" t="n">
        <v>26655</v>
      </c>
      <c r="B4951" t="n">
        <v>6.4</v>
      </c>
      <c r="C4951" t="n">
        <v>5.12</v>
      </c>
    </row>
    <row r="4952">
      <c r="A4952" s="28" t="n">
        <v>26658</v>
      </c>
      <c r="B4952" t="n">
        <v>0</v>
      </c>
      <c r="C4952" t="n">
        <v>0</v>
      </c>
    </row>
    <row r="4953">
      <c r="A4953" s="28" t="n">
        <v>26659</v>
      </c>
      <c r="B4953" t="n">
        <v>6.39</v>
      </c>
      <c r="C4953" t="n">
        <v>5.15</v>
      </c>
    </row>
    <row r="4954">
      <c r="A4954" s="28" t="n">
        <v>26660</v>
      </c>
      <c r="B4954" t="n">
        <v>6.4</v>
      </c>
      <c r="C4954" t="n">
        <v>5.11</v>
      </c>
    </row>
    <row r="4955">
      <c r="A4955" s="28" t="n">
        <v>26661</v>
      </c>
      <c r="B4955" t="n">
        <v>6.41</v>
      </c>
      <c r="C4955" t="n">
        <v>5.1</v>
      </c>
    </row>
    <row r="4956">
      <c r="A4956" s="28" t="n">
        <v>26662</v>
      </c>
      <c r="B4956" t="n">
        <v>6.41</v>
      </c>
      <c r="C4956" t="n">
        <v>5.14</v>
      </c>
    </row>
    <row r="4957">
      <c r="A4957" s="28" t="n">
        <v>26665</v>
      </c>
      <c r="B4957" t="n">
        <v>0</v>
      </c>
      <c r="C4957" t="n">
        <v>0</v>
      </c>
    </row>
    <row r="4958">
      <c r="A4958" s="28" t="n">
        <v>26666</v>
      </c>
      <c r="B4958" t="n">
        <v>6.43</v>
      </c>
      <c r="C4958" t="n">
        <v>5.22</v>
      </c>
    </row>
    <row r="4959">
      <c r="A4959" s="28" t="n">
        <v>26667</v>
      </c>
      <c r="B4959" t="n">
        <v>6.42</v>
      </c>
      <c r="C4959" t="n">
        <v>5.16</v>
      </c>
    </row>
    <row r="4960">
      <c r="A4960" s="28" t="n">
        <v>26668</v>
      </c>
      <c r="B4960" t="n">
        <v>6.4</v>
      </c>
      <c r="C4960" t="n">
        <v>5.12</v>
      </c>
    </row>
    <row r="4961">
      <c r="A4961" s="28" t="n">
        <v>26669</v>
      </c>
      <c r="B4961" t="n">
        <v>6.42</v>
      </c>
      <c r="C4961" t="n">
        <v>5.13</v>
      </c>
    </row>
    <row r="4962">
      <c r="A4962" s="28" t="n">
        <v>26672</v>
      </c>
      <c r="B4962" t="n">
        <v>6.43</v>
      </c>
      <c r="C4962" t="n">
        <v>5.13</v>
      </c>
    </row>
    <row r="4963">
      <c r="A4963" s="28" t="n">
        <v>26673</v>
      </c>
      <c r="B4963" t="n">
        <v>6.42</v>
      </c>
      <c r="C4963" t="n">
        <v>5.17</v>
      </c>
    </row>
    <row r="4964">
      <c r="A4964" s="28" t="n">
        <v>26674</v>
      </c>
      <c r="B4964" t="n">
        <v>6.43</v>
      </c>
      <c r="C4964" t="n">
        <v>5.19</v>
      </c>
    </row>
    <row r="4965">
      <c r="A4965" s="28" t="n">
        <v>26675</v>
      </c>
      <c r="B4965" t="n">
        <v>6.43</v>
      </c>
      <c r="C4965" t="n">
        <v>5.23</v>
      </c>
    </row>
    <row r="4966">
      <c r="A4966" s="28" t="n">
        <v>26676</v>
      </c>
      <c r="B4966" t="n">
        <v>6.44</v>
      </c>
      <c r="C4966" t="n">
        <v>5.24</v>
      </c>
    </row>
    <row r="4967">
      <c r="A4967" s="28" t="n">
        <v>26679</v>
      </c>
      <c r="B4967" t="n">
        <v>6.44</v>
      </c>
      <c r="C4967" t="n">
        <v>5.27</v>
      </c>
    </row>
    <row r="4968">
      <c r="A4968" s="28" t="n">
        <v>26680</v>
      </c>
      <c r="B4968" t="n">
        <v>6.44</v>
      </c>
      <c r="C4968" t="n">
        <v>5.36</v>
      </c>
    </row>
    <row r="4969">
      <c r="A4969" s="28" t="n">
        <v>26681</v>
      </c>
      <c r="B4969" t="n">
        <v>6.45</v>
      </c>
      <c r="C4969" t="n">
        <v>5.36</v>
      </c>
    </row>
    <row r="4970">
      <c r="A4970" s="28" t="n">
        <v>26682</v>
      </c>
      <c r="B4970" t="n">
        <v>6.46</v>
      </c>
      <c r="C4970" t="n">
        <v>5.46</v>
      </c>
    </row>
    <row r="4971">
      <c r="A4971" s="28" t="n">
        <v>26683</v>
      </c>
      <c r="B4971" t="n">
        <v>6.49</v>
      </c>
      <c r="C4971" t="n">
        <v>5.56</v>
      </c>
    </row>
    <row r="4972">
      <c r="A4972" s="28" t="n">
        <v>26686</v>
      </c>
      <c r="B4972" t="n">
        <v>6.5</v>
      </c>
      <c r="C4972" t="n">
        <v>5.59</v>
      </c>
    </row>
    <row r="4973">
      <c r="A4973" s="28" t="n">
        <v>26687</v>
      </c>
      <c r="B4973" t="n">
        <v>6.48</v>
      </c>
      <c r="C4973" t="n">
        <v>5.61</v>
      </c>
    </row>
    <row r="4974">
      <c r="A4974" s="28" t="n">
        <v>26688</v>
      </c>
      <c r="B4974" t="n">
        <v>6.49</v>
      </c>
      <c r="C4974" t="n">
        <v>5.67</v>
      </c>
    </row>
    <row r="4975">
      <c r="A4975" s="28" t="n">
        <v>26689</v>
      </c>
      <c r="B4975" t="n">
        <v>6.51</v>
      </c>
      <c r="C4975" t="n">
        <v>5.73</v>
      </c>
    </row>
    <row r="4976">
      <c r="A4976" s="28" t="n">
        <v>26690</v>
      </c>
      <c r="B4976" t="n">
        <v>6.53</v>
      </c>
      <c r="C4976" t="n">
        <v>5.74</v>
      </c>
    </row>
    <row r="4977">
      <c r="A4977" s="28" t="n">
        <v>26693</v>
      </c>
      <c r="B4977" t="n">
        <v>6.55</v>
      </c>
      <c r="C4977" t="n">
        <v>5.66</v>
      </c>
    </row>
    <row r="4978">
      <c r="A4978" s="28" t="n">
        <v>26694</v>
      </c>
      <c r="B4978" t="n">
        <v>6.52</v>
      </c>
      <c r="C4978" t="n">
        <v>5.69</v>
      </c>
    </row>
    <row r="4979">
      <c r="A4979" s="28" t="n">
        <v>26695</v>
      </c>
      <c r="B4979" t="n">
        <v>6.54</v>
      </c>
      <c r="C4979" t="n">
        <v>5.68</v>
      </c>
    </row>
    <row r="4980">
      <c r="A4980" s="28" t="n">
        <v>26696</v>
      </c>
      <c r="B4980" t="n">
        <v>6.6</v>
      </c>
      <c r="C4980" t="n">
        <v>5.76</v>
      </c>
    </row>
    <row r="4981">
      <c r="A4981" s="28" t="n">
        <v>26697</v>
      </c>
      <c r="B4981" t="n">
        <v>6.64</v>
      </c>
      <c r="C4981" t="n">
        <v>5.73</v>
      </c>
    </row>
    <row r="4982">
      <c r="A4982" s="28" t="n">
        <v>26700</v>
      </c>
      <c r="B4982" t="n">
        <v>6.64</v>
      </c>
      <c r="C4982" t="n">
        <v>5.69</v>
      </c>
    </row>
    <row r="4983">
      <c r="A4983" s="28" t="n">
        <v>26701</v>
      </c>
      <c r="B4983" t="n">
        <v>6.64</v>
      </c>
      <c r="C4983" t="n">
        <v>5.65</v>
      </c>
    </row>
    <row r="4984">
      <c r="A4984" s="28" t="n">
        <v>26702</v>
      </c>
      <c r="B4984" t="n">
        <v>6.64</v>
      </c>
      <c r="C4984" t="n">
        <v>5.57</v>
      </c>
    </row>
    <row r="4985">
      <c r="A4985" s="28" t="n">
        <v>26703</v>
      </c>
      <c r="B4985" t="n">
        <v>6.66</v>
      </c>
      <c r="C4985" t="n">
        <v>5.44</v>
      </c>
    </row>
    <row r="4986">
      <c r="A4986" s="28" t="n">
        <v>26704</v>
      </c>
      <c r="B4986" t="n">
        <v>6.63</v>
      </c>
      <c r="C4986" t="n">
        <v>5.44</v>
      </c>
    </row>
    <row r="4987">
      <c r="A4987" s="28" t="n">
        <v>26707</v>
      </c>
      <c r="B4987" t="n">
        <v>0</v>
      </c>
      <c r="C4987" t="n">
        <v>0</v>
      </c>
    </row>
    <row r="4988">
      <c r="A4988" s="28" t="n">
        <v>26708</v>
      </c>
      <c r="B4988" t="n">
        <v>6.61</v>
      </c>
      <c r="C4988" t="n">
        <v>5.5</v>
      </c>
    </row>
    <row r="4989">
      <c r="A4989" s="28" t="n">
        <v>26709</v>
      </c>
      <c r="B4989" t="n">
        <v>6.62</v>
      </c>
      <c r="C4989" t="n">
        <v>5.43</v>
      </c>
    </row>
    <row r="4990">
      <c r="A4990" s="28" t="n">
        <v>26710</v>
      </c>
      <c r="B4990" t="n">
        <v>6.62</v>
      </c>
      <c r="C4990" t="n">
        <v>5.37</v>
      </c>
    </row>
    <row r="4991">
      <c r="A4991" s="28" t="n">
        <v>26711</v>
      </c>
      <c r="B4991" t="n">
        <v>6.63</v>
      </c>
      <c r="C4991" t="n">
        <v>5.4</v>
      </c>
    </row>
    <row r="4992">
      <c r="A4992" s="28" t="n">
        <v>26714</v>
      </c>
      <c r="B4992" t="n">
        <v>0</v>
      </c>
      <c r="C4992" t="n">
        <v>0</v>
      </c>
    </row>
    <row r="4993">
      <c r="A4993" s="28" t="n">
        <v>26715</v>
      </c>
      <c r="B4993" t="n">
        <v>6.66</v>
      </c>
      <c r="C4993" t="n">
        <v>5.57</v>
      </c>
    </row>
    <row r="4994">
      <c r="A4994" s="28" t="n">
        <v>26716</v>
      </c>
      <c r="B4994" t="n">
        <v>6.66</v>
      </c>
      <c r="C4994" t="n">
        <v>5.62</v>
      </c>
    </row>
    <row r="4995">
      <c r="A4995" s="28" t="n">
        <v>26717</v>
      </c>
      <c r="B4995" t="n">
        <v>6.65</v>
      </c>
      <c r="C4995" t="n">
        <v>5.56</v>
      </c>
    </row>
    <row r="4996">
      <c r="A4996" s="28" t="n">
        <v>26718</v>
      </c>
      <c r="B4996" t="n">
        <v>6.61</v>
      </c>
      <c r="C4996" t="n">
        <v>5.55</v>
      </c>
    </row>
    <row r="4997">
      <c r="A4997" s="28" t="n">
        <v>26721</v>
      </c>
      <c r="B4997" t="n">
        <v>6.65</v>
      </c>
      <c r="C4997" t="n">
        <v>5.76</v>
      </c>
    </row>
    <row r="4998">
      <c r="A4998" s="28" t="n">
        <v>26722</v>
      </c>
      <c r="B4998" t="n">
        <v>6.64</v>
      </c>
      <c r="C4998" t="n">
        <v>5.9</v>
      </c>
    </row>
    <row r="4999">
      <c r="A4999" s="28" t="n">
        <v>26723</v>
      </c>
      <c r="B4999" t="n">
        <v>6.64</v>
      </c>
      <c r="C4999" t="n">
        <v>5.85</v>
      </c>
    </row>
    <row r="5000">
      <c r="A5000" s="28" t="n">
        <v>26724</v>
      </c>
      <c r="B5000" t="n">
        <v>6.65</v>
      </c>
      <c r="C5000" t="n">
        <v>5.79</v>
      </c>
    </row>
    <row r="5001">
      <c r="A5001" s="28" t="n">
        <v>26725</v>
      </c>
      <c r="B5001" t="n">
        <v>6.67</v>
      </c>
      <c r="C5001" t="n">
        <v>5.75</v>
      </c>
    </row>
    <row r="5002">
      <c r="A5002" s="28" t="n">
        <v>26728</v>
      </c>
      <c r="B5002" t="n">
        <v>6.68</v>
      </c>
      <c r="C5002" t="n">
        <v>5.79</v>
      </c>
    </row>
    <row r="5003">
      <c r="A5003" s="28" t="n">
        <v>26729</v>
      </c>
      <c r="B5003" t="n">
        <v>6.68</v>
      </c>
      <c r="C5003" t="n">
        <v>5.94</v>
      </c>
    </row>
    <row r="5004">
      <c r="A5004" s="28" t="n">
        <v>26730</v>
      </c>
      <c r="B5004" t="n">
        <v>6.66</v>
      </c>
      <c r="C5004" t="n">
        <v>5.87</v>
      </c>
    </row>
    <row r="5005">
      <c r="A5005" s="28" t="n">
        <v>26731</v>
      </c>
      <c r="B5005" t="n">
        <v>6.67</v>
      </c>
      <c r="C5005" t="n">
        <v>5.83</v>
      </c>
    </row>
    <row r="5006">
      <c r="A5006" s="28" t="n">
        <v>26732</v>
      </c>
      <c r="B5006" t="n">
        <v>6.68</v>
      </c>
      <c r="C5006" t="n">
        <v>5.84</v>
      </c>
    </row>
    <row r="5007">
      <c r="A5007" s="28" t="n">
        <v>26735</v>
      </c>
      <c r="B5007" t="n">
        <v>6.68</v>
      </c>
      <c r="C5007" t="n">
        <v>5.88</v>
      </c>
    </row>
    <row r="5008">
      <c r="A5008" s="28" t="n">
        <v>26736</v>
      </c>
      <c r="B5008" t="n">
        <v>6.7</v>
      </c>
      <c r="C5008" t="n">
        <v>6</v>
      </c>
    </row>
    <row r="5009">
      <c r="A5009" s="28" t="n">
        <v>26737</v>
      </c>
      <c r="B5009" t="n">
        <v>6.71</v>
      </c>
      <c r="C5009" t="n">
        <v>6.06</v>
      </c>
    </row>
    <row r="5010">
      <c r="A5010" s="28" t="n">
        <v>26738</v>
      </c>
      <c r="B5010" t="n">
        <v>6.73</v>
      </c>
      <c r="C5010" t="n">
        <v>6.11</v>
      </c>
    </row>
    <row r="5011">
      <c r="A5011" s="28" t="n">
        <v>26739</v>
      </c>
      <c r="B5011" t="n">
        <v>6.77</v>
      </c>
      <c r="C5011" t="n">
        <v>6.21</v>
      </c>
    </row>
    <row r="5012">
      <c r="A5012" s="28" t="n">
        <v>26742</v>
      </c>
      <c r="B5012" t="n">
        <v>6.75</v>
      </c>
      <c r="C5012" t="n">
        <v>6.22</v>
      </c>
    </row>
    <row r="5013">
      <c r="A5013" s="28" t="n">
        <v>26743</v>
      </c>
      <c r="B5013" t="n">
        <v>6.76</v>
      </c>
      <c r="C5013" t="n">
        <v>6.34</v>
      </c>
    </row>
    <row r="5014">
      <c r="A5014" s="28" t="n">
        <v>26744</v>
      </c>
      <c r="B5014" t="n">
        <v>6.76</v>
      </c>
      <c r="C5014" t="n">
        <v>6.35</v>
      </c>
    </row>
    <row r="5015">
      <c r="A5015" s="28" t="n">
        <v>26745</v>
      </c>
      <c r="B5015" t="n">
        <v>6.76</v>
      </c>
      <c r="C5015" t="n">
        <v>6.31</v>
      </c>
    </row>
    <row r="5016">
      <c r="A5016" s="28" t="n">
        <v>26746</v>
      </c>
      <c r="B5016" t="n">
        <v>6.76</v>
      </c>
      <c r="C5016" t="n">
        <v>6.31</v>
      </c>
    </row>
    <row r="5017">
      <c r="A5017" s="28" t="n">
        <v>26749</v>
      </c>
      <c r="B5017" t="n">
        <v>6.73</v>
      </c>
      <c r="C5017" t="n">
        <v>6.23</v>
      </c>
    </row>
    <row r="5018">
      <c r="A5018" s="28" t="n">
        <v>26750</v>
      </c>
      <c r="B5018" t="n">
        <v>6.72</v>
      </c>
      <c r="C5018" t="n">
        <v>6.26</v>
      </c>
    </row>
    <row r="5019">
      <c r="A5019" s="28" t="n">
        <v>26751</v>
      </c>
      <c r="B5019" t="n">
        <v>6.67</v>
      </c>
      <c r="C5019" t="n">
        <v>6.28</v>
      </c>
    </row>
    <row r="5020">
      <c r="A5020" s="28" t="n">
        <v>26752</v>
      </c>
      <c r="B5020" t="n">
        <v>6.68</v>
      </c>
      <c r="C5020" t="n">
        <v>6.29</v>
      </c>
    </row>
    <row r="5021">
      <c r="A5021" s="28" t="n">
        <v>26753</v>
      </c>
      <c r="B5021" t="n">
        <v>6.73</v>
      </c>
      <c r="C5021" t="n">
        <v>6.4</v>
      </c>
    </row>
    <row r="5022">
      <c r="A5022" s="28" t="n">
        <v>26756</v>
      </c>
      <c r="B5022" t="n">
        <v>6.74</v>
      </c>
      <c r="C5022" t="n">
        <v>6.46</v>
      </c>
    </row>
    <row r="5023">
      <c r="A5023" s="28" t="n">
        <v>26757</v>
      </c>
      <c r="B5023" t="n">
        <v>6.73</v>
      </c>
      <c r="C5023" t="n">
        <v>6.55</v>
      </c>
    </row>
    <row r="5024">
      <c r="A5024" s="28" t="n">
        <v>26758</v>
      </c>
      <c r="B5024" t="n">
        <v>6.7</v>
      </c>
      <c r="C5024" t="n">
        <v>6.51</v>
      </c>
    </row>
    <row r="5025">
      <c r="A5025" s="28" t="n">
        <v>26759</v>
      </c>
      <c r="B5025" t="n">
        <v>6.68</v>
      </c>
      <c r="C5025" t="n">
        <v>6.48</v>
      </c>
    </row>
    <row r="5026">
      <c r="A5026" s="28" t="n">
        <v>26760</v>
      </c>
      <c r="B5026" t="n">
        <v>6.64</v>
      </c>
      <c r="C5026" t="n">
        <v>6.25</v>
      </c>
    </row>
    <row r="5027">
      <c r="A5027" s="28" t="n">
        <v>26763</v>
      </c>
      <c r="B5027" t="n">
        <v>6.62</v>
      </c>
      <c r="C5027" t="n">
        <v>6.16</v>
      </c>
    </row>
    <row r="5028">
      <c r="A5028" s="28" t="n">
        <v>26764</v>
      </c>
      <c r="B5028" t="n">
        <v>6.64</v>
      </c>
      <c r="C5028" t="n">
        <v>6.21</v>
      </c>
    </row>
    <row r="5029">
      <c r="A5029" s="28" t="n">
        <v>26765</v>
      </c>
      <c r="B5029" t="n">
        <v>6.65</v>
      </c>
      <c r="C5029" t="n">
        <v>6.22</v>
      </c>
    </row>
    <row r="5030">
      <c r="A5030" s="28" t="n">
        <v>26766</v>
      </c>
      <c r="B5030" t="n">
        <v>6.66</v>
      </c>
      <c r="C5030" t="n">
        <v>6.2</v>
      </c>
    </row>
    <row r="5031">
      <c r="A5031" s="28" t="n">
        <v>26767</v>
      </c>
      <c r="B5031" t="n">
        <v>6.63</v>
      </c>
      <c r="C5031" t="n">
        <v>6.21</v>
      </c>
    </row>
    <row r="5032">
      <c r="A5032" s="28" t="n">
        <v>26770</v>
      </c>
      <c r="B5032" t="n">
        <v>6.62</v>
      </c>
      <c r="C5032" t="n">
        <v>6.19</v>
      </c>
    </row>
    <row r="5033">
      <c r="A5033" s="28" t="n">
        <v>26771</v>
      </c>
      <c r="B5033" t="n">
        <v>6.64</v>
      </c>
      <c r="C5033" t="n">
        <v>6.19</v>
      </c>
    </row>
    <row r="5034">
      <c r="A5034" s="28" t="n">
        <v>26772</v>
      </c>
      <c r="B5034" t="n">
        <v>6.64</v>
      </c>
      <c r="C5034" t="n">
        <v>6.11</v>
      </c>
    </row>
    <row r="5035">
      <c r="A5035" s="28" t="n">
        <v>26773</v>
      </c>
      <c r="B5035" t="n">
        <v>6.66</v>
      </c>
      <c r="C5035" t="n">
        <v>6.13</v>
      </c>
    </row>
    <row r="5036">
      <c r="A5036" s="28" t="n">
        <v>26774</v>
      </c>
      <c r="B5036" t="n">
        <v>0</v>
      </c>
      <c r="C5036" t="n">
        <v>0</v>
      </c>
    </row>
    <row r="5037">
      <c r="A5037" s="28" t="n">
        <v>26777</v>
      </c>
      <c r="B5037" t="n">
        <v>6.73</v>
      </c>
      <c r="C5037" t="n">
        <v>6.19</v>
      </c>
    </row>
    <row r="5038">
      <c r="A5038" s="28" t="n">
        <v>26778</v>
      </c>
      <c r="B5038" t="n">
        <v>6.66</v>
      </c>
      <c r="C5038" t="n">
        <v>6.28</v>
      </c>
    </row>
    <row r="5039">
      <c r="A5039" s="28" t="n">
        <v>26779</v>
      </c>
      <c r="B5039" t="n">
        <v>6.66</v>
      </c>
      <c r="C5039" t="n">
        <v>6.28</v>
      </c>
    </row>
    <row r="5040">
      <c r="A5040" s="28" t="n">
        <v>26780</v>
      </c>
      <c r="B5040" t="n">
        <v>6.68</v>
      </c>
      <c r="C5040" t="n">
        <v>6.2</v>
      </c>
    </row>
    <row r="5041">
      <c r="A5041" s="28" t="n">
        <v>26781</v>
      </c>
      <c r="B5041" t="n">
        <v>6.69</v>
      </c>
      <c r="C5041" t="n">
        <v>6.21</v>
      </c>
    </row>
    <row r="5042">
      <c r="A5042" s="28" t="n">
        <v>26784</v>
      </c>
      <c r="B5042" t="n">
        <v>6.7</v>
      </c>
      <c r="C5042" t="n">
        <v>6.23</v>
      </c>
    </row>
    <row r="5043">
      <c r="A5043" s="28" t="n">
        <v>26785</v>
      </c>
      <c r="B5043" t="n">
        <v>6.72</v>
      </c>
      <c r="C5043" t="n">
        <v>6.29</v>
      </c>
    </row>
    <row r="5044">
      <c r="A5044" s="28" t="n">
        <v>26786</v>
      </c>
      <c r="B5044" t="n">
        <v>6.76</v>
      </c>
      <c r="C5044" t="n">
        <v>6.26</v>
      </c>
    </row>
    <row r="5045">
      <c r="A5045" s="28" t="n">
        <v>26787</v>
      </c>
      <c r="B5045" t="n">
        <v>6.77</v>
      </c>
      <c r="C5045" t="n">
        <v>6.21</v>
      </c>
    </row>
    <row r="5046">
      <c r="A5046" s="28" t="n">
        <v>26788</v>
      </c>
      <c r="B5046" t="n">
        <v>6.79</v>
      </c>
      <c r="C5046" t="n">
        <v>6.19</v>
      </c>
    </row>
    <row r="5047">
      <c r="A5047" s="28" t="n">
        <v>26791</v>
      </c>
      <c r="B5047" t="n">
        <v>6.81</v>
      </c>
      <c r="C5047" t="n">
        <v>6.13</v>
      </c>
    </row>
    <row r="5048">
      <c r="A5048" s="28" t="n">
        <v>26792</v>
      </c>
      <c r="B5048" t="n">
        <v>6.8</v>
      </c>
      <c r="C5048" t="n">
        <v>6.02</v>
      </c>
    </row>
    <row r="5049">
      <c r="A5049" s="28" t="n">
        <v>26793</v>
      </c>
      <c r="B5049" t="n">
        <v>6.8</v>
      </c>
      <c r="C5049" t="n">
        <v>5.97</v>
      </c>
    </row>
    <row r="5050">
      <c r="A5050" s="28" t="n">
        <v>26794</v>
      </c>
      <c r="B5050" t="n">
        <v>6.81</v>
      </c>
      <c r="C5050" t="n">
        <v>6</v>
      </c>
    </row>
    <row r="5051">
      <c r="A5051" s="28" t="n">
        <v>26795</v>
      </c>
      <c r="B5051" t="n">
        <v>6.82</v>
      </c>
      <c r="C5051" t="n">
        <v>6.23</v>
      </c>
    </row>
    <row r="5052">
      <c r="A5052" s="28" t="n">
        <v>26798</v>
      </c>
      <c r="B5052" t="n">
        <v>6.83</v>
      </c>
      <c r="C5052" t="n">
        <v>6.17</v>
      </c>
    </row>
    <row r="5053">
      <c r="A5053" s="28" t="n">
        <v>26799</v>
      </c>
      <c r="B5053" t="n">
        <v>6.86</v>
      </c>
      <c r="C5053" t="n">
        <v>6.17</v>
      </c>
    </row>
    <row r="5054">
      <c r="A5054" s="28" t="n">
        <v>26800</v>
      </c>
      <c r="B5054" t="n">
        <v>6.84</v>
      </c>
      <c r="C5054" t="n">
        <v>6.19</v>
      </c>
    </row>
    <row r="5055">
      <c r="A5055" s="28" t="n">
        <v>26801</v>
      </c>
      <c r="B5055" t="n">
        <v>6.85</v>
      </c>
      <c r="C5055" t="n">
        <v>6.28</v>
      </c>
    </row>
    <row r="5056">
      <c r="A5056" s="28" t="n">
        <v>26802</v>
      </c>
      <c r="B5056" t="n">
        <v>6.86</v>
      </c>
      <c r="C5056" t="n">
        <v>6.3</v>
      </c>
    </row>
    <row r="5057">
      <c r="A5057" s="28" t="n">
        <v>26805</v>
      </c>
      <c r="B5057" t="n">
        <v>6.89</v>
      </c>
      <c r="C5057" t="n">
        <v>6.38</v>
      </c>
    </row>
    <row r="5058">
      <c r="A5058" s="28" t="n">
        <v>26806</v>
      </c>
      <c r="B5058" t="n">
        <v>6.9</v>
      </c>
      <c r="C5058" t="n">
        <v>6.6</v>
      </c>
    </row>
    <row r="5059">
      <c r="A5059" s="28" t="n">
        <v>26807</v>
      </c>
      <c r="B5059" t="n">
        <v>6.92</v>
      </c>
      <c r="C5059" t="n">
        <v>6.63</v>
      </c>
    </row>
    <row r="5060">
      <c r="A5060" s="28" t="n">
        <v>26808</v>
      </c>
      <c r="B5060" t="n">
        <v>6.91</v>
      </c>
      <c r="C5060" t="n">
        <v>6.55</v>
      </c>
    </row>
    <row r="5061">
      <c r="A5061" s="28" t="n">
        <v>26809</v>
      </c>
      <c r="B5061" t="n">
        <v>6.91</v>
      </c>
      <c r="C5061" t="n">
        <v>6.64</v>
      </c>
    </row>
    <row r="5062">
      <c r="A5062" s="28" t="n">
        <v>26812</v>
      </c>
      <c r="B5062" t="n">
        <v>0</v>
      </c>
      <c r="C5062" t="n">
        <v>0</v>
      </c>
    </row>
    <row r="5063">
      <c r="A5063" s="28" t="n">
        <v>26813</v>
      </c>
      <c r="B5063" t="n">
        <v>6.93</v>
      </c>
      <c r="C5063" t="n">
        <v>6.84</v>
      </c>
    </row>
    <row r="5064">
      <c r="A5064" s="28" t="n">
        <v>26814</v>
      </c>
      <c r="B5064" t="n">
        <v>6.93</v>
      </c>
      <c r="C5064" t="n">
        <v>6.91</v>
      </c>
    </row>
    <row r="5065">
      <c r="A5065" s="28" t="n">
        <v>26815</v>
      </c>
      <c r="B5065" t="n">
        <v>6.93</v>
      </c>
      <c r="C5065" t="n">
        <v>6.92</v>
      </c>
    </row>
    <row r="5066">
      <c r="A5066" s="28" t="n">
        <v>26816</v>
      </c>
      <c r="B5066" t="n">
        <v>6.96</v>
      </c>
      <c r="C5066" t="n">
        <v>6.97</v>
      </c>
    </row>
    <row r="5067">
      <c r="A5067" s="28" t="n">
        <v>26819</v>
      </c>
      <c r="B5067" t="n">
        <v>6.98</v>
      </c>
      <c r="C5067" t="n">
        <v>7.07</v>
      </c>
    </row>
    <row r="5068">
      <c r="A5068" s="28" t="n">
        <v>26820</v>
      </c>
      <c r="B5068" t="n">
        <v>6.95</v>
      </c>
      <c r="C5068" t="n">
        <v>7.13</v>
      </c>
    </row>
    <row r="5069">
      <c r="A5069" s="28" t="n">
        <v>26821</v>
      </c>
      <c r="B5069" t="n">
        <v>6.89</v>
      </c>
      <c r="C5069" t="n">
        <v>7.06</v>
      </c>
    </row>
    <row r="5070">
      <c r="A5070" s="28" t="n">
        <v>26822</v>
      </c>
      <c r="B5070" t="n">
        <v>6.89</v>
      </c>
      <c r="C5070" t="n">
        <v>7.08</v>
      </c>
    </row>
    <row r="5071">
      <c r="A5071" s="28" t="n">
        <v>26823</v>
      </c>
      <c r="B5071" t="n">
        <v>6.87</v>
      </c>
      <c r="C5071" t="n">
        <v>7</v>
      </c>
    </row>
    <row r="5072">
      <c r="A5072" s="28" t="n">
        <v>26826</v>
      </c>
      <c r="B5072" t="n">
        <v>6.87</v>
      </c>
      <c r="C5072" t="n">
        <v>7.08</v>
      </c>
    </row>
    <row r="5073">
      <c r="A5073" s="28" t="n">
        <v>26827</v>
      </c>
      <c r="B5073" t="n">
        <v>6.86</v>
      </c>
      <c r="C5073" t="n">
        <v>7.14</v>
      </c>
    </row>
    <row r="5074">
      <c r="A5074" s="28" t="n">
        <v>26828</v>
      </c>
      <c r="B5074" t="n">
        <v>6.85</v>
      </c>
      <c r="C5074" t="n">
        <v>7.16</v>
      </c>
    </row>
    <row r="5075">
      <c r="A5075" s="28" t="n">
        <v>26829</v>
      </c>
      <c r="B5075" t="n">
        <v>6.85</v>
      </c>
      <c r="C5075" t="n">
        <v>7.17</v>
      </c>
    </row>
    <row r="5076">
      <c r="A5076" s="28" t="n">
        <v>26830</v>
      </c>
      <c r="B5076" t="n">
        <v>6.86</v>
      </c>
      <c r="C5076" t="n">
        <v>7.18</v>
      </c>
    </row>
    <row r="5077">
      <c r="A5077" s="28" t="n">
        <v>26833</v>
      </c>
      <c r="B5077" t="n">
        <v>6.87</v>
      </c>
      <c r="C5077" t="n">
        <v>7.2</v>
      </c>
    </row>
    <row r="5078">
      <c r="A5078" s="28" t="n">
        <v>26834</v>
      </c>
      <c r="B5078" t="n">
        <v>6.87</v>
      </c>
      <c r="C5078" t="n">
        <v>7.27</v>
      </c>
    </row>
    <row r="5079">
      <c r="A5079" s="28" t="n">
        <v>26835</v>
      </c>
      <c r="B5079" t="n">
        <v>6.89</v>
      </c>
      <c r="C5079" t="n">
        <v>7.29</v>
      </c>
    </row>
    <row r="5080">
      <c r="A5080" s="28" t="n">
        <v>26836</v>
      </c>
      <c r="B5080" t="n">
        <v>6.89</v>
      </c>
      <c r="C5080" t="n">
        <v>7.24</v>
      </c>
    </row>
    <row r="5081">
      <c r="A5081" s="28" t="n">
        <v>26837</v>
      </c>
      <c r="B5081" t="n">
        <v>6.91</v>
      </c>
      <c r="C5081" t="n">
        <v>7.24</v>
      </c>
    </row>
    <row r="5082">
      <c r="A5082" s="28" t="n">
        <v>26840</v>
      </c>
      <c r="B5082" t="n">
        <v>6.93</v>
      </c>
      <c r="C5082" t="n">
        <v>7.2</v>
      </c>
    </row>
    <row r="5083">
      <c r="A5083" s="28" t="n">
        <v>26841</v>
      </c>
      <c r="B5083" t="n">
        <v>6.93</v>
      </c>
      <c r="C5083" t="n">
        <v>7.26</v>
      </c>
    </row>
    <row r="5084">
      <c r="A5084" s="28" t="n">
        <v>26842</v>
      </c>
      <c r="B5084" t="n">
        <v>6.92</v>
      </c>
      <c r="C5084" t="n">
        <v>7.28</v>
      </c>
    </row>
    <row r="5085">
      <c r="A5085" s="28" t="n">
        <v>26843</v>
      </c>
      <c r="B5085" t="n">
        <v>6.92</v>
      </c>
      <c r="C5085" t="n">
        <v>7.35</v>
      </c>
    </row>
    <row r="5086">
      <c r="A5086" s="28" t="n">
        <v>26844</v>
      </c>
      <c r="B5086" t="n">
        <v>6.94</v>
      </c>
      <c r="C5086" t="n">
        <v>7.52</v>
      </c>
    </row>
    <row r="5087">
      <c r="A5087" s="28" t="n">
        <v>26847</v>
      </c>
      <c r="B5087" t="n">
        <v>7.01</v>
      </c>
      <c r="C5087" t="n">
        <v>7.9</v>
      </c>
    </row>
    <row r="5088">
      <c r="A5088" s="28" t="n">
        <v>26848</v>
      </c>
      <c r="B5088" t="n">
        <v>7.01</v>
      </c>
      <c r="C5088" t="n">
        <v>7.98</v>
      </c>
    </row>
    <row r="5089">
      <c r="A5089" s="28" t="n">
        <v>26849</v>
      </c>
      <c r="B5089" t="n">
        <v>0</v>
      </c>
      <c r="C5089" t="n">
        <v>0</v>
      </c>
    </row>
    <row r="5090">
      <c r="A5090" s="28" t="n">
        <v>26850</v>
      </c>
      <c r="B5090" t="n">
        <v>7.01</v>
      </c>
      <c r="C5090" t="n">
        <v>7.95</v>
      </c>
    </row>
    <row r="5091">
      <c r="A5091" s="28" t="n">
        <v>26851</v>
      </c>
      <c r="B5091" t="n">
        <v>7.03</v>
      </c>
      <c r="C5091" t="n">
        <v>7.92</v>
      </c>
    </row>
    <row r="5092">
      <c r="A5092" s="28" t="n">
        <v>26854</v>
      </c>
      <c r="B5092" t="n">
        <v>7.05</v>
      </c>
      <c r="C5092" t="n">
        <v>7.92</v>
      </c>
    </row>
    <row r="5093">
      <c r="A5093" s="28" t="n">
        <v>26855</v>
      </c>
      <c r="B5093" t="n">
        <v>7.05</v>
      </c>
      <c r="C5093" t="n">
        <v>7.89</v>
      </c>
    </row>
    <row r="5094">
      <c r="A5094" s="28" t="n">
        <v>26856</v>
      </c>
      <c r="B5094" t="n">
        <v>7.05</v>
      </c>
      <c r="C5094" t="n">
        <v>7.68</v>
      </c>
    </row>
    <row r="5095">
      <c r="A5095" s="28" t="n">
        <v>26857</v>
      </c>
      <c r="B5095" t="n">
        <v>7.04</v>
      </c>
      <c r="C5095" t="n">
        <v>7.63</v>
      </c>
    </row>
    <row r="5096">
      <c r="A5096" s="28" t="n">
        <v>26858</v>
      </c>
      <c r="B5096" t="n">
        <v>7.05</v>
      </c>
      <c r="C5096" t="n">
        <v>7.78</v>
      </c>
    </row>
    <row r="5097">
      <c r="A5097" s="28" t="n">
        <v>26861</v>
      </c>
      <c r="B5097" t="n">
        <v>7.06</v>
      </c>
      <c r="C5097" t="n">
        <v>7.85</v>
      </c>
    </row>
    <row r="5098">
      <c r="A5098" s="28" t="n">
        <v>26862</v>
      </c>
      <c r="B5098" t="n">
        <v>7.06</v>
      </c>
      <c r="C5098" t="n">
        <v>7.96</v>
      </c>
    </row>
    <row r="5099">
      <c r="A5099" s="28" t="n">
        <v>26863</v>
      </c>
      <c r="B5099" t="n">
        <v>7.07</v>
      </c>
      <c r="C5099" t="n">
        <v>8.029999999999999</v>
      </c>
    </row>
    <row r="5100">
      <c r="A5100" s="28" t="n">
        <v>26864</v>
      </c>
      <c r="B5100" t="n">
        <v>7.11</v>
      </c>
      <c r="C5100" t="n">
        <v>8.130000000000001</v>
      </c>
    </row>
    <row r="5101">
      <c r="A5101" s="28" t="n">
        <v>26865</v>
      </c>
      <c r="B5101" t="n">
        <v>7.17</v>
      </c>
      <c r="C5101" t="n">
        <v>8.17</v>
      </c>
    </row>
    <row r="5102">
      <c r="A5102" s="28" t="n">
        <v>26868</v>
      </c>
      <c r="B5102" t="n">
        <v>7.17</v>
      </c>
      <c r="C5102" t="n">
        <v>8.029999999999999</v>
      </c>
    </row>
    <row r="5103">
      <c r="A5103" s="28" t="n">
        <v>26869</v>
      </c>
      <c r="B5103" t="n">
        <v>7.19</v>
      </c>
      <c r="C5103" t="n">
        <v>8.18</v>
      </c>
    </row>
    <row r="5104">
      <c r="A5104" s="28" t="n">
        <v>26870</v>
      </c>
      <c r="B5104" t="n">
        <v>7.19</v>
      </c>
      <c r="C5104" t="n">
        <v>8.17</v>
      </c>
    </row>
    <row r="5105">
      <c r="A5105" s="28" t="n">
        <v>26871</v>
      </c>
      <c r="B5105" t="n">
        <v>7.28</v>
      </c>
      <c r="C5105" t="n">
        <v>8.23</v>
      </c>
    </row>
    <row r="5106">
      <c r="A5106" s="28" t="n">
        <v>26872</v>
      </c>
      <c r="B5106" t="n">
        <v>7.35</v>
      </c>
      <c r="C5106" t="n">
        <v>8.25</v>
      </c>
    </row>
    <row r="5107">
      <c r="A5107" s="28" t="n">
        <v>26875</v>
      </c>
      <c r="B5107" t="n">
        <v>7.37</v>
      </c>
      <c r="C5107" t="n">
        <v>8.23</v>
      </c>
    </row>
    <row r="5108">
      <c r="A5108" s="28" t="n">
        <v>26876</v>
      </c>
      <c r="B5108" t="n">
        <v>7.43</v>
      </c>
      <c r="C5108" t="n">
        <v>8.32</v>
      </c>
    </row>
    <row r="5109">
      <c r="A5109" s="28" t="n">
        <v>26877</v>
      </c>
      <c r="B5109" t="n">
        <v>7.55</v>
      </c>
      <c r="C5109" t="n">
        <v>8.380000000000001</v>
      </c>
    </row>
    <row r="5110">
      <c r="A5110" s="28" t="n">
        <v>26878</v>
      </c>
      <c r="B5110" t="n">
        <v>7.52</v>
      </c>
      <c r="C5110" t="n">
        <v>8.279999999999999</v>
      </c>
    </row>
    <row r="5111">
      <c r="A5111" s="28" t="n">
        <v>26879</v>
      </c>
      <c r="B5111" t="n">
        <v>7.53</v>
      </c>
      <c r="C5111" t="n">
        <v>8.27</v>
      </c>
    </row>
    <row r="5112">
      <c r="A5112" s="28" t="n">
        <v>26882</v>
      </c>
      <c r="B5112" t="n">
        <v>7.54</v>
      </c>
      <c r="C5112" t="n">
        <v>8.32</v>
      </c>
    </row>
    <row r="5113">
      <c r="A5113" s="28" t="n">
        <v>26883</v>
      </c>
      <c r="B5113" t="n">
        <v>7.58</v>
      </c>
      <c r="C5113" t="n">
        <v>8.75</v>
      </c>
    </row>
    <row r="5114">
      <c r="A5114" s="28" t="n">
        <v>26884</v>
      </c>
      <c r="B5114" t="n">
        <v>7.52</v>
      </c>
      <c r="C5114" t="n">
        <v>8.77</v>
      </c>
    </row>
    <row r="5115">
      <c r="A5115" s="28" t="n">
        <v>26885</v>
      </c>
      <c r="B5115" t="n">
        <v>7.54</v>
      </c>
      <c r="C5115" t="n">
        <v>8.81</v>
      </c>
    </row>
    <row r="5116">
      <c r="A5116" s="28" t="n">
        <v>26886</v>
      </c>
      <c r="B5116" t="n">
        <v>7.52</v>
      </c>
      <c r="C5116" t="n">
        <v>8.84</v>
      </c>
    </row>
    <row r="5117">
      <c r="A5117" s="28" t="n">
        <v>26889</v>
      </c>
      <c r="B5117" t="n">
        <v>7.47</v>
      </c>
      <c r="C5117" t="n">
        <v>8.82</v>
      </c>
    </row>
    <row r="5118">
      <c r="A5118" s="28" t="n">
        <v>26890</v>
      </c>
      <c r="B5118" t="n">
        <v>7.46</v>
      </c>
      <c r="C5118" t="n">
        <v>9.050000000000001</v>
      </c>
    </row>
    <row r="5119">
      <c r="A5119" s="28" t="n">
        <v>26891</v>
      </c>
      <c r="B5119" t="n">
        <v>7.45</v>
      </c>
      <c r="C5119" t="n">
        <v>8.949999999999999</v>
      </c>
    </row>
    <row r="5120">
      <c r="A5120" s="28" t="n">
        <v>26892</v>
      </c>
      <c r="B5120" t="n">
        <v>7.37</v>
      </c>
      <c r="C5120" t="n">
        <v>8.859999999999999</v>
      </c>
    </row>
    <row r="5121">
      <c r="A5121" s="28" t="n">
        <v>26893</v>
      </c>
      <c r="B5121" t="n">
        <v>7.28</v>
      </c>
      <c r="C5121" t="n">
        <v>8.720000000000001</v>
      </c>
    </row>
    <row r="5122">
      <c r="A5122" s="28" t="n">
        <v>26896</v>
      </c>
      <c r="B5122" t="n">
        <v>7.38</v>
      </c>
      <c r="C5122" t="n">
        <v>8.789999999999999</v>
      </c>
    </row>
    <row r="5123">
      <c r="A5123" s="28" t="n">
        <v>26897</v>
      </c>
      <c r="B5123" t="n">
        <v>7.36</v>
      </c>
      <c r="C5123" t="n">
        <v>8.92</v>
      </c>
    </row>
    <row r="5124">
      <c r="A5124" s="28" t="n">
        <v>26898</v>
      </c>
      <c r="B5124" t="n">
        <v>7.39</v>
      </c>
      <c r="C5124" t="n">
        <v>8.779999999999999</v>
      </c>
    </row>
    <row r="5125">
      <c r="A5125" s="28" t="n">
        <v>26899</v>
      </c>
      <c r="B5125" t="n">
        <v>7.31</v>
      </c>
      <c r="C5125" t="n">
        <v>8.619999999999999</v>
      </c>
    </row>
    <row r="5126">
      <c r="A5126" s="28" t="n">
        <v>26900</v>
      </c>
      <c r="B5126" t="n">
        <v>7.23</v>
      </c>
      <c r="C5126" t="n">
        <v>8.460000000000001</v>
      </c>
    </row>
    <row r="5127">
      <c r="A5127" s="28" t="n">
        <v>26903</v>
      </c>
      <c r="B5127" t="n">
        <v>7.26</v>
      </c>
      <c r="C5127" t="n">
        <v>8.529999999999999</v>
      </c>
    </row>
    <row r="5128">
      <c r="A5128" s="28" t="n">
        <v>26904</v>
      </c>
      <c r="B5128" t="n">
        <v>7.29</v>
      </c>
      <c r="C5128" t="n">
        <v>8.720000000000001</v>
      </c>
    </row>
    <row r="5129">
      <c r="A5129" s="28" t="n">
        <v>26905</v>
      </c>
      <c r="B5129" t="n">
        <v>7.26</v>
      </c>
      <c r="C5129" t="n">
        <v>8.619999999999999</v>
      </c>
    </row>
    <row r="5130">
      <c r="A5130" s="28" t="n">
        <v>26906</v>
      </c>
      <c r="B5130" t="n">
        <v>7.25</v>
      </c>
      <c r="C5130" t="n">
        <v>8.57</v>
      </c>
    </row>
    <row r="5131">
      <c r="A5131" s="28" t="n">
        <v>26907</v>
      </c>
      <c r="B5131" t="n">
        <v>7.25</v>
      </c>
      <c r="C5131" t="n">
        <v>8.66</v>
      </c>
    </row>
    <row r="5132">
      <c r="A5132" s="28" t="n">
        <v>26910</v>
      </c>
      <c r="B5132" t="n">
        <v>0</v>
      </c>
      <c r="C5132" t="n">
        <v>0</v>
      </c>
    </row>
    <row r="5133">
      <c r="A5133" s="28" t="n">
        <v>26911</v>
      </c>
      <c r="B5133" t="n">
        <v>7.21</v>
      </c>
      <c r="C5133" t="n">
        <v>8.779999999999999</v>
      </c>
    </row>
    <row r="5134">
      <c r="A5134" s="28" t="n">
        <v>26912</v>
      </c>
      <c r="B5134" t="n">
        <v>7.11</v>
      </c>
      <c r="C5134" t="n">
        <v>8.76</v>
      </c>
    </row>
    <row r="5135">
      <c r="A5135" s="28" t="n">
        <v>26913</v>
      </c>
      <c r="B5135" t="n">
        <v>7.1</v>
      </c>
      <c r="C5135" t="n">
        <v>8.84</v>
      </c>
    </row>
    <row r="5136">
      <c r="A5136" s="28" t="n">
        <v>26914</v>
      </c>
      <c r="B5136" t="n">
        <v>7.11</v>
      </c>
      <c r="C5136" t="n">
        <v>8.800000000000001</v>
      </c>
    </row>
    <row r="5137">
      <c r="A5137" s="28" t="n">
        <v>26917</v>
      </c>
      <c r="B5137" t="n">
        <v>7.16</v>
      </c>
      <c r="C5137" t="n">
        <v>9.029999999999999</v>
      </c>
    </row>
    <row r="5138">
      <c r="A5138" s="28" t="n">
        <v>26918</v>
      </c>
      <c r="B5138" t="n">
        <v>7.19</v>
      </c>
      <c r="C5138" t="n">
        <v>9.039999999999999</v>
      </c>
    </row>
    <row r="5139">
      <c r="A5139" s="28" t="n">
        <v>26919</v>
      </c>
      <c r="B5139" t="n">
        <v>7.2</v>
      </c>
      <c r="C5139" t="n">
        <v>9.02</v>
      </c>
    </row>
    <row r="5140">
      <c r="A5140" s="28" t="n">
        <v>26920</v>
      </c>
      <c r="B5140" t="n">
        <v>7.21</v>
      </c>
      <c r="C5140" t="n">
        <v>8.859999999999999</v>
      </c>
    </row>
    <row r="5141">
      <c r="A5141" s="28" t="n">
        <v>26921</v>
      </c>
      <c r="B5141" t="n">
        <v>7.21</v>
      </c>
      <c r="C5141" t="n">
        <v>8.75</v>
      </c>
    </row>
    <row r="5142">
      <c r="A5142" s="28" t="n">
        <v>26924</v>
      </c>
      <c r="B5142" t="n">
        <v>7.16</v>
      </c>
      <c r="C5142" t="n">
        <v>8.699999999999999</v>
      </c>
    </row>
    <row r="5143">
      <c r="A5143" s="28" t="n">
        <v>26925</v>
      </c>
      <c r="B5143" t="n">
        <v>7.08</v>
      </c>
      <c r="C5143" t="n">
        <v>8.68</v>
      </c>
    </row>
    <row r="5144">
      <c r="A5144" s="28" t="n">
        <v>26926</v>
      </c>
      <c r="B5144" t="n">
        <v>7.1</v>
      </c>
      <c r="C5144" t="n">
        <v>8.550000000000001</v>
      </c>
    </row>
    <row r="5145">
      <c r="A5145" s="28" t="n">
        <v>26927</v>
      </c>
      <c r="B5145" t="n">
        <v>7.09</v>
      </c>
      <c r="C5145" t="n">
        <v>8.279999999999999</v>
      </c>
    </row>
    <row r="5146">
      <c r="A5146" s="28" t="n">
        <v>26928</v>
      </c>
      <c r="B5146" t="n">
        <v>7.02</v>
      </c>
      <c r="C5146" t="n">
        <v>7.69</v>
      </c>
    </row>
    <row r="5147">
      <c r="A5147" s="28" t="n">
        <v>26931</v>
      </c>
      <c r="B5147" t="n">
        <v>7</v>
      </c>
      <c r="C5147" t="n">
        <v>7.38</v>
      </c>
    </row>
    <row r="5148">
      <c r="A5148" s="28" t="n">
        <v>26932</v>
      </c>
      <c r="B5148" t="n">
        <v>6.96</v>
      </c>
      <c r="C5148" t="n">
        <v>7.2</v>
      </c>
    </row>
    <row r="5149">
      <c r="A5149" s="28" t="n">
        <v>26933</v>
      </c>
      <c r="B5149" t="n">
        <v>6.97</v>
      </c>
      <c r="C5149" t="n">
        <v>7.12</v>
      </c>
    </row>
    <row r="5150">
      <c r="A5150" s="28" t="n">
        <v>26934</v>
      </c>
      <c r="B5150" t="n">
        <v>6.94</v>
      </c>
      <c r="C5150" t="n">
        <v>6.96</v>
      </c>
    </row>
    <row r="5151">
      <c r="A5151" s="28" t="n">
        <v>26935</v>
      </c>
      <c r="B5151" t="n">
        <v>6.9</v>
      </c>
      <c r="C5151" t="n">
        <v>6.98</v>
      </c>
    </row>
    <row r="5152">
      <c r="A5152" s="28" t="n">
        <v>26938</v>
      </c>
      <c r="B5152" t="n">
        <v>6.91</v>
      </c>
      <c r="C5152" t="n">
        <v>7.06</v>
      </c>
    </row>
    <row r="5153">
      <c r="A5153" s="28" t="n">
        <v>26939</v>
      </c>
      <c r="B5153" t="n">
        <v>6.89</v>
      </c>
      <c r="C5153" t="n">
        <v>7.64</v>
      </c>
    </row>
    <row r="5154">
      <c r="A5154" s="28" t="n">
        <v>26940</v>
      </c>
      <c r="B5154" t="n">
        <v>6.9</v>
      </c>
      <c r="C5154" t="n">
        <v>7.48</v>
      </c>
    </row>
    <row r="5155">
      <c r="A5155" s="28" t="n">
        <v>26941</v>
      </c>
      <c r="B5155" t="n">
        <v>6.88</v>
      </c>
      <c r="C5155" t="n">
        <v>7.58</v>
      </c>
    </row>
    <row r="5156">
      <c r="A5156" s="28" t="n">
        <v>26942</v>
      </c>
      <c r="B5156" t="n">
        <v>6.86</v>
      </c>
      <c r="C5156" t="n">
        <v>7.36</v>
      </c>
    </row>
    <row r="5157">
      <c r="A5157" s="28" t="n">
        <v>26945</v>
      </c>
      <c r="B5157" t="n">
        <v>0</v>
      </c>
      <c r="C5157" t="n">
        <v>0</v>
      </c>
    </row>
    <row r="5158">
      <c r="A5158" s="28" t="n">
        <v>26946</v>
      </c>
      <c r="B5158" t="n">
        <v>6.78</v>
      </c>
      <c r="C5158" t="n">
        <v>7.13</v>
      </c>
    </row>
    <row r="5159">
      <c r="A5159" s="28" t="n">
        <v>26947</v>
      </c>
      <c r="B5159" t="n">
        <v>6.77</v>
      </c>
      <c r="C5159" t="n">
        <v>7.14</v>
      </c>
    </row>
    <row r="5160">
      <c r="A5160" s="28" t="n">
        <v>26948</v>
      </c>
      <c r="B5160" t="n">
        <v>6.78</v>
      </c>
      <c r="C5160" t="n">
        <v>7.15</v>
      </c>
    </row>
    <row r="5161">
      <c r="A5161" s="28" t="n">
        <v>26949</v>
      </c>
      <c r="B5161" t="n">
        <v>6.75</v>
      </c>
      <c r="C5161" t="n">
        <v>7.14</v>
      </c>
    </row>
    <row r="5162">
      <c r="A5162" s="28" t="n">
        <v>26952</v>
      </c>
      <c r="B5162" t="n">
        <v>6.77</v>
      </c>
      <c r="C5162" t="n">
        <v>7.19</v>
      </c>
    </row>
    <row r="5163">
      <c r="A5163" s="28" t="n">
        <v>26953</v>
      </c>
      <c r="B5163" t="n">
        <v>6.81</v>
      </c>
      <c r="C5163" t="n">
        <v>7.28</v>
      </c>
    </row>
    <row r="5164">
      <c r="A5164" s="28" t="n">
        <v>26954</v>
      </c>
      <c r="B5164" t="n">
        <v>6.82</v>
      </c>
      <c r="C5164" t="n">
        <v>7.19</v>
      </c>
    </row>
    <row r="5165">
      <c r="A5165" s="28" t="n">
        <v>26955</v>
      </c>
      <c r="B5165" t="n">
        <v>6.81</v>
      </c>
      <c r="C5165" t="n">
        <v>7.13</v>
      </c>
    </row>
    <row r="5166">
      <c r="A5166" s="28" t="n">
        <v>26956</v>
      </c>
      <c r="B5166" t="n">
        <v>6.8</v>
      </c>
      <c r="C5166" t="n">
        <v>7.03</v>
      </c>
    </row>
    <row r="5167">
      <c r="A5167" s="28" t="n">
        <v>26959</v>
      </c>
      <c r="B5167" t="n">
        <v>0</v>
      </c>
      <c r="C5167" t="n">
        <v>0</v>
      </c>
    </row>
    <row r="5168">
      <c r="A5168" s="28" t="n">
        <v>26960</v>
      </c>
      <c r="B5168" t="n">
        <v>6.8</v>
      </c>
      <c r="C5168" t="n">
        <v>7.04</v>
      </c>
    </row>
    <row r="5169">
      <c r="A5169" s="28" t="n">
        <v>26961</v>
      </c>
      <c r="B5169" t="n">
        <v>6.75</v>
      </c>
      <c r="C5169" t="n">
        <v>7.02</v>
      </c>
    </row>
    <row r="5170">
      <c r="A5170" s="28" t="n">
        <v>26962</v>
      </c>
      <c r="B5170" t="n">
        <v>6.73</v>
      </c>
      <c r="C5170" t="n">
        <v>7.05</v>
      </c>
    </row>
    <row r="5171">
      <c r="A5171" s="28" t="n">
        <v>26963</v>
      </c>
      <c r="B5171" t="n">
        <v>6.72</v>
      </c>
      <c r="C5171" t="n">
        <v>7.18</v>
      </c>
    </row>
    <row r="5172">
      <c r="A5172" s="28" t="n">
        <v>26966</v>
      </c>
      <c r="B5172" t="n">
        <v>6.72</v>
      </c>
      <c r="C5172" t="n">
        <v>7.2</v>
      </c>
    </row>
    <row r="5173">
      <c r="A5173" s="28" t="n">
        <v>26967</v>
      </c>
      <c r="B5173" t="n">
        <v>6.72</v>
      </c>
      <c r="C5173" t="n">
        <v>7.22</v>
      </c>
    </row>
    <row r="5174">
      <c r="A5174" s="28" t="n">
        <v>26968</v>
      </c>
      <c r="B5174" t="n">
        <v>6.71</v>
      </c>
      <c r="C5174" t="n">
        <v>7.36</v>
      </c>
    </row>
    <row r="5175">
      <c r="A5175" s="28" t="n">
        <v>26969</v>
      </c>
      <c r="B5175" t="n">
        <v>6.71</v>
      </c>
      <c r="C5175" t="n">
        <v>7.48</v>
      </c>
    </row>
    <row r="5176">
      <c r="A5176" s="28" t="n">
        <v>26970</v>
      </c>
      <c r="B5176" t="n">
        <v>6.72</v>
      </c>
      <c r="C5176" t="n">
        <v>7.66</v>
      </c>
    </row>
    <row r="5177">
      <c r="A5177" s="28" t="n">
        <v>26973</v>
      </c>
      <c r="B5177" t="n">
        <v>6.74</v>
      </c>
      <c r="C5177" t="n">
        <v>8</v>
      </c>
    </row>
    <row r="5178">
      <c r="A5178" s="28" t="n">
        <v>26974</v>
      </c>
      <c r="B5178" t="n">
        <v>0</v>
      </c>
      <c r="C5178" t="n">
        <v>0</v>
      </c>
    </row>
    <row r="5179">
      <c r="A5179" s="28" t="n">
        <v>26975</v>
      </c>
      <c r="B5179" t="n">
        <v>6.76</v>
      </c>
      <c r="C5179" t="n">
        <v>8.199999999999999</v>
      </c>
    </row>
    <row r="5180">
      <c r="A5180" s="28" t="n">
        <v>26976</v>
      </c>
      <c r="B5180" t="n">
        <v>6.77</v>
      </c>
      <c r="C5180" t="n">
        <v>8.119999999999999</v>
      </c>
    </row>
    <row r="5181">
      <c r="A5181" s="28" t="n">
        <v>26977</v>
      </c>
      <c r="B5181" t="n">
        <v>6.76</v>
      </c>
      <c r="C5181" t="n">
        <v>8.140000000000001</v>
      </c>
    </row>
    <row r="5182">
      <c r="A5182" s="28" t="n">
        <v>26980</v>
      </c>
      <c r="B5182" t="n">
        <v>6.76</v>
      </c>
      <c r="C5182" t="n">
        <v>8.51</v>
      </c>
    </row>
    <row r="5183">
      <c r="A5183" s="28" t="n">
        <v>26981</v>
      </c>
      <c r="B5183" t="n">
        <v>6.76</v>
      </c>
      <c r="C5183" t="n">
        <v>8.619999999999999</v>
      </c>
    </row>
    <row r="5184">
      <c r="A5184" s="28" t="n">
        <v>26982</v>
      </c>
      <c r="B5184" t="n">
        <v>6.79</v>
      </c>
      <c r="C5184" t="n">
        <v>8.300000000000001</v>
      </c>
    </row>
    <row r="5185">
      <c r="A5185" s="28" t="n">
        <v>26983</v>
      </c>
      <c r="B5185" t="n">
        <v>6.76</v>
      </c>
      <c r="C5185" t="n">
        <v>7.53</v>
      </c>
    </row>
    <row r="5186">
      <c r="A5186" s="28" t="n">
        <v>26984</v>
      </c>
      <c r="B5186" t="n">
        <v>6.72</v>
      </c>
      <c r="C5186" t="n">
        <v>7.61</v>
      </c>
    </row>
    <row r="5187">
      <c r="A5187" s="28" t="n">
        <v>26987</v>
      </c>
      <c r="B5187" t="n">
        <v>6.71</v>
      </c>
      <c r="C5187" t="n">
        <v>7.5</v>
      </c>
    </row>
    <row r="5188">
      <c r="A5188" s="28" t="n">
        <v>26988</v>
      </c>
      <c r="B5188" t="n">
        <v>6.72</v>
      </c>
      <c r="C5188" t="n">
        <v>7.77</v>
      </c>
    </row>
    <row r="5189">
      <c r="A5189" s="28" t="n">
        <v>26989</v>
      </c>
      <c r="B5189" t="n">
        <v>6.71</v>
      </c>
      <c r="C5189" t="n">
        <v>7.78</v>
      </c>
    </row>
    <row r="5190">
      <c r="A5190" s="28" t="n">
        <v>26990</v>
      </c>
      <c r="B5190" t="n">
        <v>0</v>
      </c>
      <c r="C5190" t="n">
        <v>0</v>
      </c>
    </row>
    <row r="5191">
      <c r="A5191" s="28" t="n">
        <v>26991</v>
      </c>
      <c r="B5191" t="n">
        <v>6.7</v>
      </c>
      <c r="C5191" t="n">
        <v>7.82</v>
      </c>
    </row>
    <row r="5192">
      <c r="A5192" s="28" t="n">
        <v>26994</v>
      </c>
      <c r="B5192" t="n">
        <v>6.69</v>
      </c>
      <c r="C5192" t="n">
        <v>7.76</v>
      </c>
    </row>
    <row r="5193">
      <c r="A5193" s="28" t="n">
        <v>26995</v>
      </c>
      <c r="B5193" t="n">
        <v>6.7</v>
      </c>
      <c r="C5193" t="n">
        <v>7.58</v>
      </c>
    </row>
    <row r="5194">
      <c r="A5194" s="28" t="n">
        <v>26996</v>
      </c>
      <c r="B5194" t="n">
        <v>6.7</v>
      </c>
      <c r="C5194" t="n">
        <v>7.52</v>
      </c>
    </row>
    <row r="5195">
      <c r="A5195" s="28" t="n">
        <v>26997</v>
      </c>
      <c r="B5195" t="n">
        <v>6.7</v>
      </c>
      <c r="C5195" t="n">
        <v>7.45</v>
      </c>
    </row>
    <row r="5196">
      <c r="A5196" s="28" t="n">
        <v>26998</v>
      </c>
      <c r="B5196" t="n">
        <v>6.69</v>
      </c>
      <c r="C5196" t="n">
        <v>7.3</v>
      </c>
    </row>
    <row r="5197">
      <c r="A5197" s="28" t="n">
        <v>27001</v>
      </c>
      <c r="B5197" t="n">
        <v>6.69</v>
      </c>
      <c r="C5197" t="n">
        <v>7.12</v>
      </c>
    </row>
    <row r="5198">
      <c r="A5198" s="28" t="n">
        <v>27002</v>
      </c>
      <c r="B5198" t="n">
        <v>6.69</v>
      </c>
      <c r="C5198" t="n">
        <v>7.25</v>
      </c>
    </row>
    <row r="5199">
      <c r="A5199" s="28" t="n">
        <v>27003</v>
      </c>
      <c r="B5199" t="n">
        <v>6.72</v>
      </c>
      <c r="C5199" t="n">
        <v>7.68</v>
      </c>
    </row>
    <row r="5200">
      <c r="A5200" s="28" t="n">
        <v>27004</v>
      </c>
      <c r="B5200" t="n">
        <v>6.75</v>
      </c>
      <c r="C5200" t="n">
        <v>7.64</v>
      </c>
    </row>
    <row r="5201">
      <c r="A5201" s="28" t="n">
        <v>27005</v>
      </c>
      <c r="B5201" t="n">
        <v>6.74</v>
      </c>
      <c r="C5201" t="n">
        <v>7.65</v>
      </c>
    </row>
    <row r="5202">
      <c r="A5202" s="28" t="n">
        <v>27008</v>
      </c>
      <c r="B5202" t="n">
        <v>6.71</v>
      </c>
      <c r="C5202" t="n">
        <v>7.44</v>
      </c>
    </row>
    <row r="5203">
      <c r="A5203" s="28" t="n">
        <v>27009</v>
      </c>
      <c r="B5203" t="n">
        <v>6.69</v>
      </c>
      <c r="C5203" t="n">
        <v>7.52</v>
      </c>
    </row>
    <row r="5204">
      <c r="A5204" s="28" t="n">
        <v>27010</v>
      </c>
      <c r="B5204" t="n">
        <v>6.69</v>
      </c>
      <c r="C5204" t="n">
        <v>7.48</v>
      </c>
    </row>
    <row r="5205">
      <c r="A5205" s="28" t="n">
        <v>27011</v>
      </c>
      <c r="B5205" t="n">
        <v>6.68</v>
      </c>
      <c r="C5205" t="n">
        <v>7.58</v>
      </c>
    </row>
    <row r="5206">
      <c r="A5206" s="28" t="n">
        <v>27012</v>
      </c>
      <c r="B5206" t="n">
        <v>6.68</v>
      </c>
      <c r="C5206" t="n">
        <v>7.53</v>
      </c>
    </row>
    <row r="5207">
      <c r="A5207" s="28" t="n">
        <v>27015</v>
      </c>
      <c r="B5207" t="n">
        <v>6.67</v>
      </c>
      <c r="C5207" t="n">
        <v>7.47</v>
      </c>
    </row>
    <row r="5208">
      <c r="A5208" s="28" t="n">
        <v>27016</v>
      </c>
      <c r="B5208" t="n">
        <v>6.68</v>
      </c>
      <c r="C5208" t="n">
        <v>7.34</v>
      </c>
    </row>
    <row r="5209">
      <c r="A5209" s="28" t="n">
        <v>27017</v>
      </c>
      <c r="B5209" t="n">
        <v>6.71</v>
      </c>
      <c r="C5209" t="n">
        <v>7.3</v>
      </c>
    </row>
    <row r="5210">
      <c r="A5210" s="28" t="n">
        <v>27018</v>
      </c>
      <c r="B5210" t="n">
        <v>6.73</v>
      </c>
      <c r="C5210" t="n">
        <v>7.31</v>
      </c>
    </row>
    <row r="5211">
      <c r="A5211" s="28" t="n">
        <v>27019</v>
      </c>
      <c r="B5211" t="n">
        <v>6.78</v>
      </c>
      <c r="C5211" t="n">
        <v>7.33</v>
      </c>
    </row>
    <row r="5212">
      <c r="A5212" s="28" t="n">
        <v>27022</v>
      </c>
      <c r="B5212" t="n">
        <v>0</v>
      </c>
      <c r="C5212" t="n">
        <v>0</v>
      </c>
    </row>
    <row r="5213">
      <c r="A5213" s="28" t="n">
        <v>27023</v>
      </c>
      <c r="B5213" t="n">
        <v>0</v>
      </c>
      <c r="C5213" t="n">
        <v>0</v>
      </c>
    </row>
    <row r="5214">
      <c r="A5214" s="28" t="n">
        <v>27024</v>
      </c>
      <c r="B5214" t="n">
        <v>6.83</v>
      </c>
      <c r="C5214" t="n">
        <v>7.57</v>
      </c>
    </row>
    <row r="5215">
      <c r="A5215" s="28" t="n">
        <v>27025</v>
      </c>
      <c r="B5215" t="n">
        <v>6.88</v>
      </c>
      <c r="C5215" t="n">
        <v>7.47</v>
      </c>
    </row>
    <row r="5216">
      <c r="A5216" s="28" t="n">
        <v>27026</v>
      </c>
      <c r="B5216" t="n">
        <v>6.91</v>
      </c>
      <c r="C5216" t="n">
        <v>7.47</v>
      </c>
    </row>
    <row r="5217">
      <c r="A5217" s="28" t="n">
        <v>27029</v>
      </c>
      <c r="B5217" t="n">
        <v>6.9</v>
      </c>
      <c r="C5217" t="n">
        <v>7.46</v>
      </c>
    </row>
    <row r="5218">
      <c r="A5218" s="28" t="n">
        <v>27030</v>
      </c>
      <c r="B5218" t="n">
        <v>0</v>
      </c>
      <c r="C5218" t="n">
        <v>0</v>
      </c>
    </row>
    <row r="5219">
      <c r="A5219" s="28" t="n">
        <v>27031</v>
      </c>
      <c r="B5219" t="n">
        <v>6.94</v>
      </c>
      <c r="C5219" t="n">
        <v>7.52</v>
      </c>
    </row>
    <row r="5220">
      <c r="A5220" s="28" t="n">
        <v>27032</v>
      </c>
      <c r="B5220" t="n">
        <v>6.96</v>
      </c>
      <c r="C5220" t="n">
        <v>7.47</v>
      </c>
    </row>
    <row r="5221">
      <c r="A5221" s="28" t="n">
        <v>27033</v>
      </c>
      <c r="B5221" t="n">
        <v>6.94</v>
      </c>
      <c r="C5221" t="n">
        <v>7.49</v>
      </c>
    </row>
    <row r="5222">
      <c r="A5222" s="28" t="n">
        <v>27036</v>
      </c>
      <c r="B5222" t="n">
        <v>6.96</v>
      </c>
      <c r="C5222" t="n">
        <v>7.6</v>
      </c>
    </row>
    <row r="5223">
      <c r="A5223" s="28" t="n">
        <v>27037</v>
      </c>
      <c r="B5223" t="n">
        <v>6.96</v>
      </c>
      <c r="C5223" t="n">
        <v>7.64</v>
      </c>
    </row>
    <row r="5224">
      <c r="A5224" s="28" t="n">
        <v>27038</v>
      </c>
      <c r="B5224" t="n">
        <v>6.96</v>
      </c>
      <c r="C5224" t="n">
        <v>7.67</v>
      </c>
    </row>
    <row r="5225">
      <c r="A5225" s="28" t="n">
        <v>27039</v>
      </c>
      <c r="B5225" t="n">
        <v>7</v>
      </c>
      <c r="C5225" t="n">
        <v>7.83</v>
      </c>
    </row>
    <row r="5226">
      <c r="A5226" s="28" t="n">
        <v>27040</v>
      </c>
      <c r="B5226" t="n">
        <v>7.01</v>
      </c>
      <c r="C5226" t="n">
        <v>7.87</v>
      </c>
    </row>
    <row r="5227">
      <c r="A5227" s="28" t="n">
        <v>27043</v>
      </c>
      <c r="B5227" t="n">
        <v>7.01</v>
      </c>
      <c r="C5227" t="n">
        <v>7.96</v>
      </c>
    </row>
    <row r="5228">
      <c r="A5228" s="28" t="n">
        <v>27044</v>
      </c>
      <c r="B5228" t="n">
        <v>6.99</v>
      </c>
      <c r="C5228" t="n">
        <v>7.89</v>
      </c>
    </row>
    <row r="5229">
      <c r="A5229" s="28" t="n">
        <v>27045</v>
      </c>
      <c r="B5229" t="n">
        <v>6.99</v>
      </c>
      <c r="C5229" t="n">
        <v>7.9</v>
      </c>
    </row>
    <row r="5230">
      <c r="A5230" s="28" t="n">
        <v>27046</v>
      </c>
      <c r="B5230" t="n">
        <v>6.97</v>
      </c>
      <c r="C5230" t="n">
        <v>7.86</v>
      </c>
    </row>
    <row r="5231">
      <c r="A5231" s="28" t="n">
        <v>27047</v>
      </c>
      <c r="B5231" t="n">
        <v>6.98</v>
      </c>
      <c r="C5231" t="n">
        <v>7.86</v>
      </c>
    </row>
    <row r="5232">
      <c r="A5232" s="28" t="n">
        <v>27050</v>
      </c>
      <c r="B5232" t="n">
        <v>6.99</v>
      </c>
      <c r="C5232" t="n">
        <v>7.97</v>
      </c>
    </row>
    <row r="5233">
      <c r="A5233" s="28" t="n">
        <v>27051</v>
      </c>
      <c r="B5233" t="n">
        <v>7</v>
      </c>
      <c r="C5233" t="n">
        <v>7.96</v>
      </c>
    </row>
    <row r="5234">
      <c r="A5234" s="28" t="n">
        <v>27052</v>
      </c>
      <c r="B5234" t="n">
        <v>7.01</v>
      </c>
      <c r="C5234" t="n">
        <v>8.01</v>
      </c>
    </row>
    <row r="5235">
      <c r="A5235" s="28" t="n">
        <v>27053</v>
      </c>
      <c r="B5235" t="n">
        <v>7.02</v>
      </c>
      <c r="C5235" t="n">
        <v>8.01</v>
      </c>
    </row>
    <row r="5236">
      <c r="A5236" s="28" t="n">
        <v>27054</v>
      </c>
      <c r="B5236" t="n">
        <v>7.02</v>
      </c>
      <c r="C5236" t="n">
        <v>7.98</v>
      </c>
    </row>
    <row r="5237">
      <c r="A5237" s="28" t="n">
        <v>27057</v>
      </c>
      <c r="B5237" t="n">
        <v>7.01</v>
      </c>
      <c r="C5237" t="n">
        <v>7.84</v>
      </c>
    </row>
    <row r="5238">
      <c r="A5238" s="28" t="n">
        <v>27058</v>
      </c>
      <c r="B5238" t="n">
        <v>7.02</v>
      </c>
      <c r="C5238" t="n">
        <v>7.62</v>
      </c>
    </row>
    <row r="5239">
      <c r="A5239" s="28" t="n">
        <v>27059</v>
      </c>
      <c r="B5239" t="n">
        <v>7.01</v>
      </c>
      <c r="C5239" t="n">
        <v>7.51</v>
      </c>
    </row>
    <row r="5240">
      <c r="A5240" s="28" t="n">
        <v>27060</v>
      </c>
      <c r="B5240" t="n">
        <v>7</v>
      </c>
      <c r="C5240" t="n">
        <v>7.48</v>
      </c>
    </row>
    <row r="5241">
      <c r="A5241" s="28" t="n">
        <v>27061</v>
      </c>
      <c r="B5241" t="n">
        <v>7</v>
      </c>
      <c r="C5241" t="n">
        <v>7.31</v>
      </c>
    </row>
    <row r="5242">
      <c r="A5242" s="28" t="n">
        <v>27064</v>
      </c>
      <c r="B5242" t="n">
        <v>6.98</v>
      </c>
      <c r="C5242" t="n">
        <v>7.13</v>
      </c>
    </row>
    <row r="5243">
      <c r="A5243" s="28" t="n">
        <v>27065</v>
      </c>
      <c r="B5243" t="n">
        <v>6.95</v>
      </c>
      <c r="C5243" t="n">
        <v>6.93</v>
      </c>
    </row>
    <row r="5244">
      <c r="A5244" s="28" t="n">
        <v>27066</v>
      </c>
      <c r="B5244" t="n">
        <v>6.93</v>
      </c>
      <c r="C5244" t="n">
        <v>6.93</v>
      </c>
    </row>
    <row r="5245">
      <c r="A5245" s="28" t="n">
        <v>27067</v>
      </c>
      <c r="B5245" t="n">
        <v>6.93</v>
      </c>
      <c r="C5245" t="n">
        <v>7.11</v>
      </c>
    </row>
    <row r="5246">
      <c r="A5246" s="28" t="n">
        <v>27068</v>
      </c>
      <c r="B5246" t="n">
        <v>6.93</v>
      </c>
      <c r="C5246" t="n">
        <v>7.04</v>
      </c>
    </row>
    <row r="5247">
      <c r="A5247" s="28" t="n">
        <v>27071</v>
      </c>
      <c r="B5247" t="n">
        <v>6.93</v>
      </c>
      <c r="C5247" t="n">
        <v>7.12</v>
      </c>
    </row>
    <row r="5248">
      <c r="A5248" s="28" t="n">
        <v>27072</v>
      </c>
      <c r="B5248" t="n">
        <v>0</v>
      </c>
      <c r="C5248" t="n">
        <v>0</v>
      </c>
    </row>
    <row r="5249">
      <c r="A5249" s="28" t="n">
        <v>27073</v>
      </c>
      <c r="B5249" t="n">
        <v>6.93</v>
      </c>
      <c r="C5249" t="n">
        <v>7.04</v>
      </c>
    </row>
    <row r="5250">
      <c r="A5250" s="28" t="n">
        <v>27074</v>
      </c>
      <c r="B5250" t="n">
        <v>6.93</v>
      </c>
      <c r="C5250" t="n">
        <v>7.03</v>
      </c>
    </row>
    <row r="5251">
      <c r="A5251" s="28" t="n">
        <v>27075</v>
      </c>
      <c r="B5251" t="n">
        <v>6.93</v>
      </c>
      <c r="C5251" t="n">
        <v>7.06</v>
      </c>
    </row>
    <row r="5252">
      <c r="A5252" s="28" t="n">
        <v>27078</v>
      </c>
      <c r="B5252" t="n">
        <v>0</v>
      </c>
      <c r="C5252" t="n">
        <v>0</v>
      </c>
    </row>
    <row r="5253">
      <c r="A5253" s="28" t="n">
        <v>27079</v>
      </c>
      <c r="B5253" t="n">
        <v>6.93</v>
      </c>
      <c r="C5253" t="n">
        <v>7.03</v>
      </c>
    </row>
    <row r="5254">
      <c r="A5254" s="28" t="n">
        <v>27080</v>
      </c>
      <c r="B5254" t="n">
        <v>6.96</v>
      </c>
      <c r="C5254" t="n">
        <v>7.04</v>
      </c>
    </row>
    <row r="5255">
      <c r="A5255" s="28" t="n">
        <v>27081</v>
      </c>
      <c r="B5255" t="n">
        <v>6.98</v>
      </c>
      <c r="C5255" t="n">
        <v>7.09</v>
      </c>
    </row>
    <row r="5256">
      <c r="A5256" s="28" t="n">
        <v>27082</v>
      </c>
      <c r="B5256" t="n">
        <v>6.97</v>
      </c>
      <c r="C5256" t="n">
        <v>7.1</v>
      </c>
    </row>
    <row r="5257">
      <c r="A5257" s="28" t="n">
        <v>27085</v>
      </c>
      <c r="B5257" t="n">
        <v>6.96</v>
      </c>
      <c r="C5257" t="n">
        <v>7.15</v>
      </c>
    </row>
    <row r="5258">
      <c r="A5258" s="28" t="n">
        <v>27086</v>
      </c>
      <c r="B5258" t="n">
        <v>6.98</v>
      </c>
      <c r="C5258" t="n">
        <v>7.3</v>
      </c>
    </row>
    <row r="5259">
      <c r="A5259" s="28" t="n">
        <v>27087</v>
      </c>
      <c r="B5259" t="n">
        <v>7</v>
      </c>
      <c r="C5259" t="n">
        <v>7.35</v>
      </c>
    </row>
    <row r="5260">
      <c r="A5260" s="28" t="n">
        <v>27088</v>
      </c>
      <c r="B5260" t="n">
        <v>7.01</v>
      </c>
      <c r="C5260" t="n">
        <v>7.46</v>
      </c>
    </row>
    <row r="5261">
      <c r="A5261" s="28" t="n">
        <v>27089</v>
      </c>
      <c r="B5261" t="n">
        <v>7.08</v>
      </c>
      <c r="C5261" t="n">
        <v>7.54</v>
      </c>
    </row>
    <row r="5262">
      <c r="A5262" s="28" t="n">
        <v>27092</v>
      </c>
      <c r="B5262" t="n">
        <v>7.09</v>
      </c>
      <c r="C5262" t="n">
        <v>7.56</v>
      </c>
    </row>
    <row r="5263">
      <c r="A5263" s="28" t="n">
        <v>27093</v>
      </c>
      <c r="B5263" t="n">
        <v>7.1</v>
      </c>
      <c r="C5263" t="n">
        <v>7.73</v>
      </c>
    </row>
    <row r="5264">
      <c r="A5264" s="28" t="n">
        <v>27094</v>
      </c>
      <c r="B5264" t="n">
        <v>7.09</v>
      </c>
      <c r="C5264" t="n">
        <v>7.71</v>
      </c>
    </row>
    <row r="5265">
      <c r="A5265" s="28" t="n">
        <v>27095</v>
      </c>
      <c r="B5265" t="n">
        <v>7.06</v>
      </c>
      <c r="C5265" t="n">
        <v>7.7</v>
      </c>
    </row>
    <row r="5266">
      <c r="A5266" s="28" t="n">
        <v>27096</v>
      </c>
      <c r="B5266" t="n">
        <v>7.06</v>
      </c>
      <c r="C5266" t="n">
        <v>7.84</v>
      </c>
    </row>
    <row r="5267">
      <c r="A5267" s="28" t="n">
        <v>27099</v>
      </c>
      <c r="B5267" t="n">
        <v>7.08</v>
      </c>
      <c r="C5267" t="n">
        <v>7.87</v>
      </c>
    </row>
    <row r="5268">
      <c r="A5268" s="28" t="n">
        <v>27100</v>
      </c>
      <c r="B5268" t="n">
        <v>7.09</v>
      </c>
      <c r="C5268" t="n">
        <v>7.83</v>
      </c>
    </row>
    <row r="5269">
      <c r="A5269" s="28" t="n">
        <v>27101</v>
      </c>
      <c r="B5269" t="n">
        <v>7.13</v>
      </c>
      <c r="C5269" t="n">
        <v>7.83</v>
      </c>
    </row>
    <row r="5270">
      <c r="A5270" s="28" t="n">
        <v>27102</v>
      </c>
      <c r="B5270" t="n">
        <v>7.13</v>
      </c>
      <c r="C5270" t="n">
        <v>7.72</v>
      </c>
    </row>
    <row r="5271">
      <c r="A5271" s="28" t="n">
        <v>27103</v>
      </c>
      <c r="B5271" t="n">
        <v>7.18</v>
      </c>
      <c r="C5271" t="n">
        <v>7.84</v>
      </c>
    </row>
    <row r="5272">
      <c r="A5272" s="28" t="n">
        <v>27106</v>
      </c>
      <c r="B5272" t="n">
        <v>7.23</v>
      </c>
      <c r="C5272" t="n">
        <v>7.95</v>
      </c>
    </row>
    <row r="5273">
      <c r="A5273" s="28" t="n">
        <v>27107</v>
      </c>
      <c r="B5273" t="n">
        <v>7.24</v>
      </c>
      <c r="C5273" t="n">
        <v>8.06</v>
      </c>
    </row>
    <row r="5274">
      <c r="A5274" s="28" t="n">
        <v>27108</v>
      </c>
      <c r="B5274" t="n">
        <v>7.27</v>
      </c>
      <c r="C5274" t="n">
        <v>8.1</v>
      </c>
    </row>
    <row r="5275">
      <c r="A5275" s="28" t="n">
        <v>27109</v>
      </c>
      <c r="B5275" t="n">
        <v>7.3</v>
      </c>
      <c r="C5275" t="n">
        <v>8.109999999999999</v>
      </c>
    </row>
    <row r="5276">
      <c r="A5276" s="28" t="n">
        <v>27110</v>
      </c>
      <c r="B5276" t="n">
        <v>7.35</v>
      </c>
      <c r="C5276" t="n">
        <v>8.07</v>
      </c>
    </row>
    <row r="5277">
      <c r="A5277" s="28" t="n">
        <v>27113</v>
      </c>
      <c r="B5277" t="n">
        <v>7.39</v>
      </c>
      <c r="C5277" t="n">
        <v>8.119999999999999</v>
      </c>
    </row>
    <row r="5278">
      <c r="A5278" s="28" t="n">
        <v>27114</v>
      </c>
      <c r="B5278" t="n">
        <v>7.38</v>
      </c>
      <c r="C5278" t="n">
        <v>8.33</v>
      </c>
    </row>
    <row r="5279">
      <c r="A5279" s="28" t="n">
        <v>27115</v>
      </c>
      <c r="B5279" t="n">
        <v>7.35</v>
      </c>
      <c r="C5279" t="n">
        <v>8.449999999999999</v>
      </c>
    </row>
    <row r="5280">
      <c r="A5280" s="28" t="n">
        <v>27116</v>
      </c>
      <c r="B5280" t="n">
        <v>7.38</v>
      </c>
      <c r="C5280" t="n">
        <v>8.550000000000001</v>
      </c>
    </row>
    <row r="5281">
      <c r="A5281" s="28" t="n">
        <v>27117</v>
      </c>
      <c r="B5281" t="n">
        <v>7.41</v>
      </c>
      <c r="C5281" t="n">
        <v>8.279999999999999</v>
      </c>
    </row>
    <row r="5282">
      <c r="A5282" s="28" t="n">
        <v>27120</v>
      </c>
      <c r="B5282" t="n">
        <v>7.42</v>
      </c>
      <c r="C5282" t="n">
        <v>8.31</v>
      </c>
    </row>
    <row r="5283">
      <c r="A5283" s="28" t="n">
        <v>27121</v>
      </c>
      <c r="B5283" t="n">
        <v>7.43</v>
      </c>
      <c r="C5283" t="n">
        <v>8.44</v>
      </c>
    </row>
    <row r="5284">
      <c r="A5284" s="28" t="n">
        <v>27122</v>
      </c>
      <c r="B5284" t="n">
        <v>7.43</v>
      </c>
      <c r="C5284" t="n">
        <v>8.49</v>
      </c>
    </row>
    <row r="5285">
      <c r="A5285" s="28" t="n">
        <v>27123</v>
      </c>
      <c r="B5285" t="n">
        <v>7.51</v>
      </c>
      <c r="C5285" t="n">
        <v>8.65</v>
      </c>
    </row>
    <row r="5286">
      <c r="A5286" s="28" t="n">
        <v>27124</v>
      </c>
      <c r="B5286" t="n">
        <v>7.54</v>
      </c>
      <c r="C5286" t="n">
        <v>8.65</v>
      </c>
    </row>
    <row r="5287">
      <c r="A5287" s="28" t="n">
        <v>27127</v>
      </c>
      <c r="B5287" t="n">
        <v>7.5</v>
      </c>
      <c r="C5287" t="n">
        <v>8.56</v>
      </c>
    </row>
    <row r="5288">
      <c r="A5288" s="28" t="n">
        <v>27128</v>
      </c>
      <c r="B5288" t="n">
        <v>7.49</v>
      </c>
      <c r="C5288" t="n">
        <v>8.619999999999999</v>
      </c>
    </row>
    <row r="5289">
      <c r="A5289" s="28" t="n">
        <v>27129</v>
      </c>
      <c r="B5289" t="n">
        <v>7.46</v>
      </c>
      <c r="C5289" t="n">
        <v>8.52</v>
      </c>
    </row>
    <row r="5290">
      <c r="A5290" s="28" t="n">
        <v>27130</v>
      </c>
      <c r="B5290" t="n">
        <v>7.45</v>
      </c>
      <c r="C5290" t="n">
        <v>8.24</v>
      </c>
    </row>
    <row r="5291">
      <c r="A5291" s="28" t="n">
        <v>27131</v>
      </c>
      <c r="B5291" t="n">
        <v>0</v>
      </c>
      <c r="C5291" t="n">
        <v>0</v>
      </c>
    </row>
    <row r="5292">
      <c r="A5292" s="28" t="n">
        <v>27134</v>
      </c>
      <c r="B5292" t="n">
        <v>7.42</v>
      </c>
      <c r="C5292" t="n">
        <v>7.95</v>
      </c>
    </row>
    <row r="5293">
      <c r="A5293" s="28" t="n">
        <v>27135</v>
      </c>
      <c r="B5293" t="n">
        <v>7.43</v>
      </c>
      <c r="C5293" t="n">
        <v>8.18</v>
      </c>
    </row>
    <row r="5294">
      <c r="A5294" s="28" t="n">
        <v>27136</v>
      </c>
      <c r="B5294" t="n">
        <v>7.45</v>
      </c>
      <c r="C5294" t="n">
        <v>8.16</v>
      </c>
    </row>
    <row r="5295">
      <c r="A5295" s="28" t="n">
        <v>27137</v>
      </c>
      <c r="B5295" t="n">
        <v>7.5</v>
      </c>
      <c r="C5295" t="n">
        <v>8.15</v>
      </c>
    </row>
    <row r="5296">
      <c r="A5296" s="28" t="n">
        <v>27138</v>
      </c>
      <c r="B5296" t="n">
        <v>7.51</v>
      </c>
      <c r="C5296" t="n">
        <v>7.81</v>
      </c>
    </row>
    <row r="5297">
      <c r="A5297" s="28" t="n">
        <v>27141</v>
      </c>
      <c r="B5297" t="n">
        <v>7.52</v>
      </c>
      <c r="C5297" t="n">
        <v>7.76</v>
      </c>
    </row>
    <row r="5298">
      <c r="A5298" s="28" t="n">
        <v>27142</v>
      </c>
      <c r="B5298" t="n">
        <v>7.54</v>
      </c>
      <c r="C5298" t="n">
        <v>8.050000000000001</v>
      </c>
    </row>
    <row r="5299">
      <c r="A5299" s="28" t="n">
        <v>27143</v>
      </c>
      <c r="B5299" t="n">
        <v>7.58</v>
      </c>
      <c r="C5299" t="n">
        <v>8.02</v>
      </c>
    </row>
    <row r="5300">
      <c r="A5300" s="28" t="n">
        <v>27144</v>
      </c>
      <c r="B5300" t="n">
        <v>7.63</v>
      </c>
      <c r="C5300" t="n">
        <v>8.210000000000001</v>
      </c>
    </row>
    <row r="5301">
      <c r="A5301" s="28" t="n">
        <v>27145</v>
      </c>
      <c r="B5301" t="n">
        <v>7.64</v>
      </c>
      <c r="C5301" t="n">
        <v>8.48</v>
      </c>
    </row>
    <row r="5302">
      <c r="A5302" s="28" t="n">
        <v>27148</v>
      </c>
      <c r="B5302" t="n">
        <v>7.65</v>
      </c>
      <c r="C5302" t="n">
        <v>8.880000000000001</v>
      </c>
    </row>
    <row r="5303">
      <c r="A5303" s="28" t="n">
        <v>27149</v>
      </c>
      <c r="B5303" t="n">
        <v>7.66</v>
      </c>
      <c r="C5303" t="n">
        <v>8.9</v>
      </c>
    </row>
    <row r="5304">
      <c r="A5304" s="28" t="n">
        <v>27150</v>
      </c>
      <c r="B5304" t="n">
        <v>7.62</v>
      </c>
      <c r="C5304" t="n">
        <v>8.77</v>
      </c>
    </row>
    <row r="5305">
      <c r="A5305" s="28" t="n">
        <v>27151</v>
      </c>
      <c r="B5305" t="n">
        <v>7.58</v>
      </c>
      <c r="C5305" t="n">
        <v>8.699999999999999</v>
      </c>
    </row>
    <row r="5306">
      <c r="A5306" s="28" t="n">
        <v>27152</v>
      </c>
      <c r="B5306" t="n">
        <v>7.65</v>
      </c>
      <c r="C5306" t="n">
        <v>8.82</v>
      </c>
    </row>
    <row r="5307">
      <c r="A5307" s="28" t="n">
        <v>27155</v>
      </c>
      <c r="B5307" t="n">
        <v>7.65</v>
      </c>
      <c r="C5307" t="n">
        <v>8.82</v>
      </c>
    </row>
    <row r="5308">
      <c r="A5308" s="28" t="n">
        <v>27156</v>
      </c>
      <c r="B5308" t="n">
        <v>7.65</v>
      </c>
      <c r="C5308" t="n">
        <v>8.859999999999999</v>
      </c>
    </row>
    <row r="5309">
      <c r="A5309" s="28" t="n">
        <v>27157</v>
      </c>
      <c r="B5309" t="n">
        <v>7.65</v>
      </c>
      <c r="C5309" t="n">
        <v>8.699999999999999</v>
      </c>
    </row>
    <row r="5310">
      <c r="A5310" s="28" t="n">
        <v>27158</v>
      </c>
      <c r="B5310" t="n">
        <v>7.7</v>
      </c>
      <c r="C5310" t="n">
        <v>8.49</v>
      </c>
    </row>
    <row r="5311">
      <c r="A5311" s="28" t="n">
        <v>27159</v>
      </c>
      <c r="B5311" t="n">
        <v>7.63</v>
      </c>
      <c r="C5311" t="n">
        <v>8.15</v>
      </c>
    </row>
    <row r="5312">
      <c r="A5312" s="28" t="n">
        <v>27162</v>
      </c>
      <c r="B5312" t="n">
        <v>7.54</v>
      </c>
      <c r="C5312" t="n">
        <v>8.029999999999999</v>
      </c>
    </row>
    <row r="5313">
      <c r="A5313" s="28" t="n">
        <v>27163</v>
      </c>
      <c r="B5313" t="n">
        <v>7.57</v>
      </c>
      <c r="C5313" t="n">
        <v>8.130000000000001</v>
      </c>
    </row>
    <row r="5314">
      <c r="A5314" s="28" t="n">
        <v>27164</v>
      </c>
      <c r="B5314" t="n">
        <v>7.55</v>
      </c>
      <c r="C5314" t="n">
        <v>7.96</v>
      </c>
    </row>
    <row r="5315">
      <c r="A5315" s="28" t="n">
        <v>27165</v>
      </c>
      <c r="B5315" t="n">
        <v>7.54</v>
      </c>
      <c r="C5315" t="n">
        <v>7.94</v>
      </c>
    </row>
    <row r="5316">
      <c r="A5316" s="28" t="n">
        <v>27166</v>
      </c>
      <c r="B5316" t="n">
        <v>7.57</v>
      </c>
      <c r="C5316" t="n">
        <v>7.93</v>
      </c>
    </row>
    <row r="5317">
      <c r="A5317" s="28" t="n">
        <v>27169</v>
      </c>
      <c r="B5317" t="n">
        <v>7.58</v>
      </c>
      <c r="C5317" t="n">
        <v>7.94</v>
      </c>
    </row>
    <row r="5318">
      <c r="A5318" s="28" t="n">
        <v>27170</v>
      </c>
      <c r="B5318" t="n">
        <v>7.57</v>
      </c>
      <c r="C5318" t="n">
        <v>8.210000000000001</v>
      </c>
    </row>
    <row r="5319">
      <c r="A5319" s="28" t="n">
        <v>27171</v>
      </c>
      <c r="B5319" t="n">
        <v>7.56</v>
      </c>
      <c r="C5319" t="n">
        <v>8.140000000000001</v>
      </c>
    </row>
    <row r="5320">
      <c r="A5320" s="28" t="n">
        <v>27172</v>
      </c>
      <c r="B5320" t="n">
        <v>7.52</v>
      </c>
      <c r="C5320" t="n">
        <v>7.54</v>
      </c>
    </row>
    <row r="5321">
      <c r="A5321" s="28" t="n">
        <v>27173</v>
      </c>
      <c r="B5321" t="n">
        <v>7.49</v>
      </c>
      <c r="C5321" t="n">
        <v>7.68</v>
      </c>
    </row>
    <row r="5322">
      <c r="A5322" s="28" t="n">
        <v>27176</v>
      </c>
      <c r="B5322" t="n">
        <v>0</v>
      </c>
      <c r="C5322" t="n">
        <v>0</v>
      </c>
    </row>
    <row r="5323">
      <c r="A5323" s="28" t="n">
        <v>27177</v>
      </c>
      <c r="B5323" t="n">
        <v>7.5</v>
      </c>
      <c r="C5323" t="n">
        <v>8.02</v>
      </c>
    </row>
    <row r="5324">
      <c r="A5324" s="28" t="n">
        <v>27178</v>
      </c>
      <c r="B5324" t="n">
        <v>7.52</v>
      </c>
      <c r="C5324" t="n">
        <v>8.130000000000001</v>
      </c>
    </row>
    <row r="5325">
      <c r="A5325" s="28" t="n">
        <v>27179</v>
      </c>
      <c r="B5325" t="n">
        <v>7.51</v>
      </c>
      <c r="C5325" t="n">
        <v>7.93</v>
      </c>
    </row>
    <row r="5326">
      <c r="A5326" s="28" t="n">
        <v>27180</v>
      </c>
      <c r="B5326" t="n">
        <v>7.52</v>
      </c>
      <c r="C5326" t="n">
        <v>8.08</v>
      </c>
    </row>
    <row r="5327">
      <c r="A5327" s="28" t="n">
        <v>27183</v>
      </c>
      <c r="B5327" t="n">
        <v>7.53</v>
      </c>
      <c r="C5327" t="n">
        <v>8.09</v>
      </c>
    </row>
    <row r="5328">
      <c r="A5328" s="28" t="n">
        <v>27184</v>
      </c>
      <c r="B5328" t="n">
        <v>7.52</v>
      </c>
      <c r="C5328" t="n">
        <v>8.109999999999999</v>
      </c>
    </row>
    <row r="5329">
      <c r="A5329" s="28" t="n">
        <v>27185</v>
      </c>
      <c r="B5329" t="n">
        <v>7.52</v>
      </c>
      <c r="C5329" t="n">
        <v>7.95</v>
      </c>
    </row>
    <row r="5330">
      <c r="A5330" s="28" t="n">
        <v>27186</v>
      </c>
      <c r="B5330" t="n">
        <v>7.5</v>
      </c>
      <c r="C5330" t="n">
        <v>7.93</v>
      </c>
    </row>
    <row r="5331">
      <c r="A5331" s="28" t="n">
        <v>27187</v>
      </c>
      <c r="B5331" t="n">
        <v>7.46</v>
      </c>
      <c r="C5331" t="n">
        <v>8.15</v>
      </c>
    </row>
    <row r="5332">
      <c r="A5332" s="28" t="n">
        <v>27190</v>
      </c>
      <c r="B5332" t="n">
        <v>7.47</v>
      </c>
      <c r="C5332" t="n">
        <v>8.140000000000001</v>
      </c>
    </row>
    <row r="5333">
      <c r="A5333" s="28" t="n">
        <v>27191</v>
      </c>
      <c r="B5333" t="n">
        <v>7.48</v>
      </c>
      <c r="C5333" t="n">
        <v>8.130000000000001</v>
      </c>
    </row>
    <row r="5334">
      <c r="A5334" s="28" t="n">
        <v>27192</v>
      </c>
      <c r="B5334" t="n">
        <v>7.5</v>
      </c>
      <c r="C5334" t="n">
        <v>8.199999999999999</v>
      </c>
    </row>
    <row r="5335">
      <c r="A5335" s="28" t="n">
        <v>27193</v>
      </c>
      <c r="B5335" t="n">
        <v>7.5</v>
      </c>
      <c r="C5335" t="n">
        <v>8.359999999999999</v>
      </c>
    </row>
    <row r="5336">
      <c r="A5336" s="28" t="n">
        <v>27194</v>
      </c>
      <c r="B5336" t="n">
        <v>7.5</v>
      </c>
      <c r="C5336" t="n">
        <v>8.31</v>
      </c>
    </row>
    <row r="5337">
      <c r="A5337" s="28" t="n">
        <v>27197</v>
      </c>
      <c r="B5337" t="n">
        <v>7.49</v>
      </c>
      <c r="C5337" t="n">
        <v>8.17</v>
      </c>
    </row>
    <row r="5338">
      <c r="A5338" s="28" t="n">
        <v>27198</v>
      </c>
      <c r="B5338" t="n">
        <v>7.52</v>
      </c>
      <c r="C5338" t="n">
        <v>8.130000000000001</v>
      </c>
    </row>
    <row r="5339">
      <c r="A5339" s="28" t="n">
        <v>27199</v>
      </c>
      <c r="B5339" t="n">
        <v>7.52</v>
      </c>
      <c r="C5339" t="n">
        <v>7.99</v>
      </c>
    </row>
    <row r="5340">
      <c r="A5340" s="28" t="n">
        <v>27200</v>
      </c>
      <c r="B5340" t="n">
        <v>7.55</v>
      </c>
      <c r="C5340" t="n">
        <v>7.82</v>
      </c>
    </row>
    <row r="5341">
      <c r="A5341" s="28" t="n">
        <v>27201</v>
      </c>
      <c r="B5341" t="n">
        <v>7.55</v>
      </c>
      <c r="C5341" t="n">
        <v>7.3</v>
      </c>
    </row>
    <row r="5342">
      <c r="A5342" s="28" t="n">
        <v>27204</v>
      </c>
      <c r="B5342" t="n">
        <v>7.58</v>
      </c>
      <c r="C5342" t="n">
        <v>7.46</v>
      </c>
    </row>
    <row r="5343">
      <c r="A5343" s="28" t="n">
        <v>27205</v>
      </c>
      <c r="B5343" t="n">
        <v>7.62</v>
      </c>
      <c r="C5343" t="n">
        <v>7.63</v>
      </c>
    </row>
    <row r="5344">
      <c r="A5344" s="28" t="n">
        <v>27206</v>
      </c>
      <c r="B5344" t="n">
        <v>7.62</v>
      </c>
      <c r="C5344" t="n">
        <v>7.3</v>
      </c>
    </row>
    <row r="5345">
      <c r="A5345" s="28" t="n">
        <v>27207</v>
      </c>
      <c r="B5345" t="n">
        <v>7.64</v>
      </c>
      <c r="C5345" t="n">
        <v>7.53</v>
      </c>
    </row>
    <row r="5346">
      <c r="A5346" s="28" t="n">
        <v>27208</v>
      </c>
      <c r="B5346" t="n">
        <v>7.64</v>
      </c>
      <c r="C5346" t="n">
        <v>7.34</v>
      </c>
    </row>
    <row r="5347">
      <c r="A5347" s="28" t="n">
        <v>27211</v>
      </c>
      <c r="B5347" t="n">
        <v>7.65</v>
      </c>
      <c r="C5347" t="n">
        <v>7.28</v>
      </c>
    </row>
    <row r="5348">
      <c r="A5348" s="28" t="n">
        <v>27212</v>
      </c>
      <c r="B5348" t="n">
        <v>7.65</v>
      </c>
      <c r="C5348" t="n">
        <v>7.34</v>
      </c>
    </row>
    <row r="5349">
      <c r="A5349" s="28" t="n">
        <v>27213</v>
      </c>
      <c r="B5349" t="n">
        <v>7.7</v>
      </c>
      <c r="C5349" t="n">
        <v>7.75</v>
      </c>
    </row>
    <row r="5350">
      <c r="A5350" s="28" t="n">
        <v>27214</v>
      </c>
      <c r="B5350" t="n">
        <v>0</v>
      </c>
      <c r="C5350" t="n">
        <v>0</v>
      </c>
    </row>
    <row r="5351">
      <c r="A5351" s="28" t="n">
        <v>27215</v>
      </c>
      <c r="B5351" t="n">
        <v>7.71</v>
      </c>
      <c r="C5351" t="n">
        <v>7.74</v>
      </c>
    </row>
    <row r="5352">
      <c r="A5352" s="28" t="n">
        <v>27218</v>
      </c>
      <c r="B5352" t="n">
        <v>7.77</v>
      </c>
      <c r="C5352" t="n">
        <v>7.62</v>
      </c>
    </row>
    <row r="5353">
      <c r="A5353" s="28" t="n">
        <v>27219</v>
      </c>
      <c r="B5353" t="n">
        <v>7.81</v>
      </c>
      <c r="C5353" t="n">
        <v>7.56</v>
      </c>
    </row>
    <row r="5354">
      <c r="A5354" s="28" t="n">
        <v>27220</v>
      </c>
      <c r="B5354" t="n">
        <v>7.82</v>
      </c>
      <c r="C5354" t="n">
        <v>7.39</v>
      </c>
    </row>
    <row r="5355">
      <c r="A5355" s="28" t="n">
        <v>27221</v>
      </c>
      <c r="B5355" t="n">
        <v>7.84</v>
      </c>
      <c r="C5355" t="n">
        <v>7.32</v>
      </c>
    </row>
    <row r="5356">
      <c r="A5356" s="28" t="n">
        <v>27222</v>
      </c>
      <c r="B5356" t="n">
        <v>7.85</v>
      </c>
      <c r="C5356" t="n">
        <v>7.36</v>
      </c>
    </row>
    <row r="5357">
      <c r="A5357" s="28" t="n">
        <v>27225</v>
      </c>
      <c r="B5357" t="n">
        <v>7.86</v>
      </c>
      <c r="C5357" t="n">
        <v>7.62</v>
      </c>
    </row>
    <row r="5358">
      <c r="A5358" s="28" t="n">
        <v>27226</v>
      </c>
      <c r="B5358" t="n">
        <v>7.88</v>
      </c>
      <c r="C5358" t="n">
        <v>7.53</v>
      </c>
    </row>
    <row r="5359">
      <c r="A5359" s="28" t="n">
        <v>27227</v>
      </c>
      <c r="B5359" t="n">
        <v>7.91</v>
      </c>
      <c r="C5359" t="n">
        <v>7.72</v>
      </c>
    </row>
    <row r="5360">
      <c r="A5360" s="28" t="n">
        <v>27228</v>
      </c>
      <c r="B5360" t="n">
        <v>7.9</v>
      </c>
      <c r="C5360" t="n">
        <v>7.92</v>
      </c>
    </row>
    <row r="5361">
      <c r="A5361" s="28" t="n">
        <v>27229</v>
      </c>
      <c r="B5361" t="n">
        <v>7.87</v>
      </c>
      <c r="C5361" t="n">
        <v>7.82</v>
      </c>
    </row>
    <row r="5362">
      <c r="A5362" s="28" t="n">
        <v>27232</v>
      </c>
      <c r="B5362" t="n">
        <v>7.77</v>
      </c>
      <c r="C5362" t="n">
        <v>7.56</v>
      </c>
    </row>
    <row r="5363">
      <c r="A5363" s="28" t="n">
        <v>27233</v>
      </c>
      <c r="B5363" t="n">
        <v>7.79</v>
      </c>
      <c r="C5363" t="n">
        <v>7.45</v>
      </c>
    </row>
    <row r="5364">
      <c r="A5364" s="28" t="n">
        <v>27234</v>
      </c>
      <c r="B5364" t="n">
        <v>7.76</v>
      </c>
      <c r="C5364" t="n">
        <v>7.42</v>
      </c>
    </row>
    <row r="5365">
      <c r="A5365" s="28" t="n">
        <v>27235</v>
      </c>
      <c r="B5365" t="n">
        <v>7.75</v>
      </c>
      <c r="C5365" t="n">
        <v>7.3</v>
      </c>
    </row>
    <row r="5366">
      <c r="A5366" s="28" t="n">
        <v>27236</v>
      </c>
      <c r="B5366" t="n">
        <v>7.79</v>
      </c>
      <c r="C5366" t="n">
        <v>7.4</v>
      </c>
    </row>
    <row r="5367">
      <c r="A5367" s="28" t="n">
        <v>27239</v>
      </c>
      <c r="B5367" t="n">
        <v>7.85</v>
      </c>
      <c r="C5367" t="n">
        <v>7.42</v>
      </c>
    </row>
    <row r="5368">
      <c r="A5368" s="28" t="n">
        <v>27240</v>
      </c>
      <c r="B5368" t="n">
        <v>7.89</v>
      </c>
      <c r="C5368" t="n">
        <v>7.84</v>
      </c>
    </row>
    <row r="5369">
      <c r="A5369" s="28" t="n">
        <v>27241</v>
      </c>
      <c r="B5369" t="n">
        <v>7.89</v>
      </c>
      <c r="C5369" t="n">
        <v>7.67</v>
      </c>
    </row>
    <row r="5370">
      <c r="A5370" s="28" t="n">
        <v>27242</v>
      </c>
      <c r="B5370" t="n">
        <v>7.92</v>
      </c>
      <c r="C5370" t="n">
        <v>7.94</v>
      </c>
    </row>
    <row r="5371">
      <c r="A5371" s="28" t="n">
        <v>27243</v>
      </c>
      <c r="B5371" t="n">
        <v>7.96</v>
      </c>
      <c r="C5371" t="n">
        <v>8.33</v>
      </c>
    </row>
    <row r="5372">
      <c r="A5372" s="28" t="n">
        <v>27246</v>
      </c>
      <c r="B5372" t="n">
        <v>7.99</v>
      </c>
      <c r="C5372" t="n">
        <v>8.33</v>
      </c>
    </row>
    <row r="5373">
      <c r="A5373" s="28" t="n">
        <v>27247</v>
      </c>
      <c r="B5373" t="n">
        <v>7.97</v>
      </c>
      <c r="C5373" t="n">
        <v>8.65</v>
      </c>
    </row>
    <row r="5374">
      <c r="A5374" s="28" t="n">
        <v>27248</v>
      </c>
      <c r="B5374" t="n">
        <v>7.97</v>
      </c>
      <c r="C5374" t="n">
        <v>8.84</v>
      </c>
    </row>
    <row r="5375">
      <c r="A5375" s="28" t="n">
        <v>27249</v>
      </c>
      <c r="B5375" t="n">
        <v>7.97</v>
      </c>
      <c r="C5375" t="n">
        <v>9.02</v>
      </c>
    </row>
    <row r="5376">
      <c r="A5376" s="28" t="n">
        <v>27250</v>
      </c>
      <c r="B5376" t="n">
        <v>8.029999999999999</v>
      </c>
      <c r="C5376" t="n">
        <v>8.93</v>
      </c>
    </row>
    <row r="5377">
      <c r="A5377" s="28" t="n">
        <v>27253</v>
      </c>
      <c r="B5377" t="n">
        <v>8.050000000000001</v>
      </c>
      <c r="C5377" t="n">
        <v>8.75</v>
      </c>
    </row>
    <row r="5378">
      <c r="A5378" s="28" t="n">
        <v>27254</v>
      </c>
      <c r="B5378" t="n">
        <v>8.06</v>
      </c>
      <c r="C5378" t="n">
        <v>8.73</v>
      </c>
    </row>
    <row r="5379">
      <c r="A5379" s="28" t="n">
        <v>27255</v>
      </c>
      <c r="B5379" t="n">
        <v>8.050000000000001</v>
      </c>
      <c r="C5379" t="n">
        <v>8.76</v>
      </c>
    </row>
    <row r="5380">
      <c r="A5380" s="28" t="n">
        <v>27256</v>
      </c>
      <c r="B5380" t="n">
        <v>8.02</v>
      </c>
      <c r="C5380" t="n">
        <v>8.76</v>
      </c>
    </row>
    <row r="5381">
      <c r="A5381" s="28" t="n">
        <v>27257</v>
      </c>
      <c r="B5381" t="n">
        <v>8</v>
      </c>
      <c r="C5381" t="n">
        <v>8.74</v>
      </c>
    </row>
    <row r="5382">
      <c r="A5382" s="28" t="n">
        <v>27260</v>
      </c>
      <c r="B5382" t="n">
        <v>7.98</v>
      </c>
      <c r="C5382" t="n">
        <v>8.84</v>
      </c>
    </row>
    <row r="5383">
      <c r="A5383" s="28" t="n">
        <v>27261</v>
      </c>
      <c r="B5383" t="n">
        <v>7.99</v>
      </c>
      <c r="C5383" t="n">
        <v>9.050000000000001</v>
      </c>
    </row>
    <row r="5384">
      <c r="A5384" s="28" t="n">
        <v>27262</v>
      </c>
      <c r="B5384" t="n">
        <v>8.050000000000001</v>
      </c>
      <c r="C5384" t="n">
        <v>9.31</v>
      </c>
    </row>
    <row r="5385">
      <c r="A5385" s="28" t="n">
        <v>27263</v>
      </c>
      <c r="B5385" t="n">
        <v>8.09</v>
      </c>
      <c r="C5385" t="n">
        <v>9.49</v>
      </c>
    </row>
    <row r="5386">
      <c r="A5386" s="28" t="n">
        <v>27264</v>
      </c>
      <c r="B5386" t="n">
        <v>8.15</v>
      </c>
      <c r="C5386" t="n">
        <v>9.74</v>
      </c>
    </row>
    <row r="5387">
      <c r="A5387" s="28" t="n">
        <v>27267</v>
      </c>
      <c r="B5387" t="n">
        <v>8.16</v>
      </c>
      <c r="C5387" t="n">
        <v>9.609999999999999</v>
      </c>
    </row>
    <row r="5388">
      <c r="A5388" s="28" t="n">
        <v>27268</v>
      </c>
      <c r="B5388" t="n">
        <v>8.15</v>
      </c>
      <c r="C5388" t="n">
        <v>9.720000000000001</v>
      </c>
    </row>
    <row r="5389">
      <c r="A5389" s="28" t="n">
        <v>27269</v>
      </c>
      <c r="B5389" t="n">
        <v>8.15</v>
      </c>
      <c r="C5389" t="n">
        <v>9.59</v>
      </c>
    </row>
    <row r="5390">
      <c r="A5390" s="28" t="n">
        <v>27270</v>
      </c>
      <c r="B5390" t="n">
        <v>8.15</v>
      </c>
      <c r="C5390" t="n">
        <v>9.02</v>
      </c>
    </row>
    <row r="5391">
      <c r="A5391" s="28" t="n">
        <v>27271</v>
      </c>
      <c r="B5391" t="n">
        <v>8.109999999999999</v>
      </c>
      <c r="C5391" t="n">
        <v>8.93</v>
      </c>
    </row>
    <row r="5392">
      <c r="A5392" s="28" t="n">
        <v>27274</v>
      </c>
      <c r="B5392" t="n">
        <v>0</v>
      </c>
      <c r="C5392" t="n">
        <v>0</v>
      </c>
    </row>
    <row r="5393">
      <c r="A5393" s="28" t="n">
        <v>27275</v>
      </c>
      <c r="B5393" t="n">
        <v>8.109999999999999</v>
      </c>
      <c r="C5393" t="n">
        <v>9.41</v>
      </c>
    </row>
    <row r="5394">
      <c r="A5394" s="28" t="n">
        <v>27276</v>
      </c>
      <c r="B5394" t="n">
        <v>8.119999999999999</v>
      </c>
      <c r="C5394" t="n">
        <v>9.359999999999999</v>
      </c>
    </row>
    <row r="5395">
      <c r="A5395" s="28" t="n">
        <v>27277</v>
      </c>
      <c r="B5395" t="n">
        <v>8.1</v>
      </c>
      <c r="C5395" t="n">
        <v>9.33</v>
      </c>
    </row>
    <row r="5396">
      <c r="A5396" s="28" t="n">
        <v>27278</v>
      </c>
      <c r="B5396" t="n">
        <v>8.09</v>
      </c>
      <c r="C5396" t="n">
        <v>9.26</v>
      </c>
    </row>
    <row r="5397">
      <c r="A5397" s="28" t="n">
        <v>27281</v>
      </c>
      <c r="B5397" t="n">
        <v>8.02</v>
      </c>
      <c r="C5397" t="n">
        <v>9.15</v>
      </c>
    </row>
    <row r="5398">
      <c r="A5398" s="28" t="n">
        <v>27282</v>
      </c>
      <c r="B5398" t="n">
        <v>8.039999999999999</v>
      </c>
      <c r="C5398" t="n">
        <v>9.07</v>
      </c>
    </row>
    <row r="5399">
      <c r="A5399" s="28" t="n">
        <v>27283</v>
      </c>
      <c r="B5399" t="n">
        <v>8.050000000000001</v>
      </c>
      <c r="C5399" t="n">
        <v>9.06</v>
      </c>
    </row>
    <row r="5400">
      <c r="A5400" s="28" t="n">
        <v>27284</v>
      </c>
      <c r="B5400" t="n">
        <v>8.130000000000001</v>
      </c>
      <c r="C5400" t="n">
        <v>9.25</v>
      </c>
    </row>
    <row r="5401">
      <c r="A5401" s="28" t="n">
        <v>27285</v>
      </c>
      <c r="B5401" t="n">
        <v>8.130000000000001</v>
      </c>
      <c r="C5401" t="n">
        <v>8.960000000000001</v>
      </c>
    </row>
    <row r="5402">
      <c r="A5402" s="28" t="n">
        <v>27288</v>
      </c>
      <c r="B5402" t="n">
        <v>8.1</v>
      </c>
      <c r="C5402" t="n">
        <v>8.109999999999999</v>
      </c>
    </row>
    <row r="5403">
      <c r="A5403" s="28" t="n">
        <v>27289</v>
      </c>
      <c r="B5403" t="n">
        <v>8.09</v>
      </c>
      <c r="C5403" t="n">
        <v>8.09</v>
      </c>
    </row>
    <row r="5404">
      <c r="A5404" s="28" t="n">
        <v>27290</v>
      </c>
      <c r="B5404" t="n">
        <v>8.08</v>
      </c>
      <c r="C5404" t="n">
        <v>7.83</v>
      </c>
    </row>
    <row r="5405">
      <c r="A5405" s="28" t="n">
        <v>27291</v>
      </c>
      <c r="B5405" t="n">
        <v>8.039999999999999</v>
      </c>
      <c r="C5405" t="n">
        <v>7.12</v>
      </c>
    </row>
    <row r="5406">
      <c r="A5406" s="28" t="n">
        <v>27292</v>
      </c>
      <c r="B5406" t="n">
        <v>8.02</v>
      </c>
      <c r="C5406" t="n">
        <v>7.07</v>
      </c>
    </row>
    <row r="5407">
      <c r="A5407" s="28" t="n">
        <v>27295</v>
      </c>
      <c r="B5407" t="n">
        <v>7.91</v>
      </c>
      <c r="C5407" t="n">
        <v>6.93</v>
      </c>
    </row>
    <row r="5408">
      <c r="A5408" s="28" t="n">
        <v>27296</v>
      </c>
      <c r="B5408" t="n">
        <v>7.94</v>
      </c>
      <c r="C5408" t="n">
        <v>6.99</v>
      </c>
    </row>
    <row r="5409">
      <c r="A5409" s="28" t="n">
        <v>27297</v>
      </c>
      <c r="B5409" t="n">
        <v>7.94</v>
      </c>
      <c r="C5409" t="n">
        <v>7.07</v>
      </c>
    </row>
    <row r="5410">
      <c r="A5410" s="28" t="n">
        <v>27298</v>
      </c>
      <c r="B5410" t="n">
        <v>7.96</v>
      </c>
      <c r="C5410" t="n">
        <v>6.89</v>
      </c>
    </row>
    <row r="5411">
      <c r="A5411" s="28" t="n">
        <v>27299</v>
      </c>
      <c r="B5411" t="n">
        <v>7.94</v>
      </c>
      <c r="C5411" t="n">
        <v>6.17</v>
      </c>
    </row>
    <row r="5412">
      <c r="A5412" s="28" t="n">
        <v>27302</v>
      </c>
      <c r="B5412" t="n">
        <v>7.94</v>
      </c>
      <c r="C5412" t="n">
        <v>6.12</v>
      </c>
    </row>
    <row r="5413">
      <c r="A5413" s="28" t="n">
        <v>27303</v>
      </c>
      <c r="B5413" t="n">
        <v>7.97</v>
      </c>
      <c r="C5413" t="n">
        <v>6.69</v>
      </c>
    </row>
    <row r="5414">
      <c r="A5414" s="28" t="n">
        <v>27304</v>
      </c>
      <c r="B5414" t="n">
        <v>7.98</v>
      </c>
      <c r="C5414" t="n">
        <v>6.79</v>
      </c>
    </row>
    <row r="5415">
      <c r="A5415" s="28" t="n">
        <v>27305</v>
      </c>
      <c r="B5415" t="n">
        <v>8.039999999999999</v>
      </c>
      <c r="C5415" t="n">
        <v>7.06</v>
      </c>
    </row>
    <row r="5416">
      <c r="A5416" s="28" t="n">
        <v>27306</v>
      </c>
      <c r="B5416" t="n">
        <v>8.02</v>
      </c>
      <c r="C5416" t="n">
        <v>6.52</v>
      </c>
    </row>
    <row r="5417">
      <c r="A5417" s="28" t="n">
        <v>27309</v>
      </c>
      <c r="B5417" t="n">
        <v>8.01</v>
      </c>
      <c r="C5417" t="n">
        <v>6.52</v>
      </c>
    </row>
    <row r="5418">
      <c r="A5418" s="28" t="n">
        <v>27310</v>
      </c>
      <c r="B5418" t="n">
        <v>7.95</v>
      </c>
      <c r="C5418" t="n">
        <v>6.91</v>
      </c>
    </row>
    <row r="5419">
      <c r="A5419" s="28" t="n">
        <v>27311</v>
      </c>
      <c r="B5419" t="n">
        <v>7.95</v>
      </c>
      <c r="C5419" t="n">
        <v>7.34</v>
      </c>
    </row>
    <row r="5420">
      <c r="A5420" s="28" t="n">
        <v>27312</v>
      </c>
      <c r="B5420" t="n">
        <v>7.93</v>
      </c>
      <c r="C5420" t="n">
        <v>7.8</v>
      </c>
    </row>
    <row r="5421">
      <c r="A5421" s="28" t="n">
        <v>27313</v>
      </c>
      <c r="B5421" t="n">
        <v>7.88</v>
      </c>
      <c r="C5421" t="n">
        <v>7.63</v>
      </c>
    </row>
    <row r="5422">
      <c r="A5422" s="28" t="n">
        <v>27316</v>
      </c>
      <c r="B5422" t="n">
        <v>0</v>
      </c>
      <c r="C5422" t="n">
        <v>0</v>
      </c>
    </row>
    <row r="5423">
      <c r="A5423" s="28" t="n">
        <v>27317</v>
      </c>
      <c r="B5423" t="n">
        <v>7.87</v>
      </c>
      <c r="C5423" t="n">
        <v>7.74</v>
      </c>
    </row>
    <row r="5424">
      <c r="A5424" s="28" t="n">
        <v>27318</v>
      </c>
      <c r="B5424" t="n">
        <v>7.87</v>
      </c>
      <c r="C5424" t="n">
        <v>7.72</v>
      </c>
    </row>
    <row r="5425">
      <c r="A5425" s="28" t="n">
        <v>27319</v>
      </c>
      <c r="B5425" t="n">
        <v>7.88</v>
      </c>
      <c r="C5425" t="n">
        <v>7.82</v>
      </c>
    </row>
    <row r="5426">
      <c r="A5426" s="28" t="n">
        <v>27320</v>
      </c>
      <c r="B5426" t="n">
        <v>7.86</v>
      </c>
      <c r="C5426" t="n">
        <v>7.63</v>
      </c>
    </row>
    <row r="5427">
      <c r="A5427" s="28" t="n">
        <v>27323</v>
      </c>
      <c r="B5427" t="n">
        <v>7.81</v>
      </c>
      <c r="C5427" t="n">
        <v>7.59</v>
      </c>
    </row>
    <row r="5428">
      <c r="A5428" s="28" t="n">
        <v>27324</v>
      </c>
      <c r="B5428" t="n">
        <v>7.81</v>
      </c>
      <c r="C5428" t="n">
        <v>7.43</v>
      </c>
    </row>
    <row r="5429">
      <c r="A5429" s="28" t="n">
        <v>27325</v>
      </c>
      <c r="B5429" t="n">
        <v>7.85</v>
      </c>
      <c r="C5429" t="n">
        <v>7.55</v>
      </c>
    </row>
    <row r="5430">
      <c r="A5430" s="28" t="n">
        <v>27326</v>
      </c>
      <c r="B5430" t="n">
        <v>7.87</v>
      </c>
      <c r="C5430" t="n">
        <v>7.63</v>
      </c>
    </row>
    <row r="5431">
      <c r="A5431" s="28" t="n">
        <v>27327</v>
      </c>
      <c r="B5431" t="n">
        <v>7.86</v>
      </c>
      <c r="C5431" t="n">
        <v>7.82</v>
      </c>
    </row>
    <row r="5432">
      <c r="A5432" s="28" t="n">
        <v>27330</v>
      </c>
      <c r="B5432" t="n">
        <v>7.88</v>
      </c>
      <c r="C5432" t="n">
        <v>8.140000000000001</v>
      </c>
    </row>
    <row r="5433">
      <c r="A5433" s="28" t="n">
        <v>27331</v>
      </c>
      <c r="B5433" t="n">
        <v>7.84</v>
      </c>
      <c r="C5433" t="n">
        <v>8.029999999999999</v>
      </c>
    </row>
    <row r="5434">
      <c r="A5434" s="28" t="n">
        <v>27332</v>
      </c>
      <c r="B5434" t="n">
        <v>7.81</v>
      </c>
      <c r="C5434" t="n">
        <v>7.98</v>
      </c>
    </row>
    <row r="5435">
      <c r="A5435" s="28" t="n">
        <v>27333</v>
      </c>
      <c r="B5435" t="n">
        <v>7.79</v>
      </c>
      <c r="C5435" t="n">
        <v>7.8</v>
      </c>
    </row>
    <row r="5436">
      <c r="A5436" s="28" t="n">
        <v>27334</v>
      </c>
      <c r="B5436" t="n">
        <v>7.8</v>
      </c>
      <c r="C5436" t="n">
        <v>7.78</v>
      </c>
    </row>
    <row r="5437">
      <c r="A5437" s="28" t="n">
        <v>27337</v>
      </c>
      <c r="B5437" t="n">
        <v>7.8</v>
      </c>
      <c r="C5437" t="n">
        <v>7.82</v>
      </c>
    </row>
    <row r="5438">
      <c r="A5438" s="28" t="n">
        <v>27338</v>
      </c>
      <c r="B5438" t="n">
        <v>0</v>
      </c>
      <c r="C5438" t="n">
        <v>0</v>
      </c>
    </row>
    <row r="5439">
      <c r="A5439" s="28" t="n">
        <v>27339</v>
      </c>
      <c r="B5439" t="n">
        <v>7.76</v>
      </c>
      <c r="C5439" t="n">
        <v>7.62</v>
      </c>
    </row>
    <row r="5440">
      <c r="A5440" s="28" t="n">
        <v>27340</v>
      </c>
      <c r="B5440" t="n">
        <v>7.74</v>
      </c>
      <c r="C5440" t="n">
        <v>7.62</v>
      </c>
    </row>
    <row r="5441">
      <c r="A5441" s="28" t="n">
        <v>27341</v>
      </c>
      <c r="B5441" t="n">
        <v>7.72</v>
      </c>
      <c r="C5441" t="n">
        <v>7.58</v>
      </c>
    </row>
    <row r="5442">
      <c r="A5442" s="28" t="n">
        <v>27344</v>
      </c>
      <c r="B5442" t="n">
        <v>0</v>
      </c>
      <c r="C5442" t="n">
        <v>0</v>
      </c>
    </row>
    <row r="5443">
      <c r="A5443" s="28" t="n">
        <v>27345</v>
      </c>
      <c r="B5443" t="n">
        <v>7.78</v>
      </c>
      <c r="C5443" t="n">
        <v>7.35</v>
      </c>
    </row>
    <row r="5444">
      <c r="A5444" s="28" t="n">
        <v>27346</v>
      </c>
      <c r="B5444" t="n">
        <v>7.75</v>
      </c>
      <c r="C5444" t="n">
        <v>7.18</v>
      </c>
    </row>
    <row r="5445">
      <c r="A5445" s="28" t="n">
        <v>27347</v>
      </c>
      <c r="B5445" t="n">
        <v>7.72</v>
      </c>
      <c r="C5445" t="n">
        <v>7.17</v>
      </c>
    </row>
    <row r="5446">
      <c r="A5446" s="28" t="n">
        <v>27348</v>
      </c>
      <c r="B5446" t="n">
        <v>7.61</v>
      </c>
      <c r="C5446" t="n">
        <v>7.32</v>
      </c>
    </row>
    <row r="5447">
      <c r="A5447" s="28" t="n">
        <v>27351</v>
      </c>
      <c r="B5447" t="n">
        <v>7.63</v>
      </c>
      <c r="C5447" t="n">
        <v>7.52</v>
      </c>
    </row>
    <row r="5448">
      <c r="A5448" s="28" t="n">
        <v>27352</v>
      </c>
      <c r="B5448" t="n">
        <v>7.63</v>
      </c>
      <c r="C5448" t="n">
        <v>7.46</v>
      </c>
    </row>
    <row r="5449">
      <c r="A5449" s="28" t="n">
        <v>27353</v>
      </c>
      <c r="B5449" t="n">
        <v>7.59</v>
      </c>
      <c r="C5449" t="n">
        <v>7.41</v>
      </c>
    </row>
    <row r="5450">
      <c r="A5450" s="28" t="n">
        <v>27354</v>
      </c>
      <c r="B5450" t="n">
        <v>7.6</v>
      </c>
      <c r="C5450" t="n">
        <v>7.51</v>
      </c>
    </row>
    <row r="5451">
      <c r="A5451" s="28" t="n">
        <v>27355</v>
      </c>
      <c r="B5451" t="n">
        <v>7.6</v>
      </c>
      <c r="C5451" t="n">
        <v>7.4</v>
      </c>
    </row>
    <row r="5452">
      <c r="A5452" s="28" t="n">
        <v>27358</v>
      </c>
      <c r="B5452" t="n">
        <v>7.62</v>
      </c>
      <c r="C5452" t="n">
        <v>7.31</v>
      </c>
    </row>
    <row r="5453">
      <c r="A5453" s="28" t="n">
        <v>27359</v>
      </c>
      <c r="B5453" t="n">
        <v>7.63</v>
      </c>
      <c r="C5453" t="n">
        <v>7.42</v>
      </c>
    </row>
    <row r="5454">
      <c r="A5454" s="28" t="n">
        <v>27360</v>
      </c>
      <c r="B5454" t="n">
        <v>7.64</v>
      </c>
      <c r="C5454" t="n">
        <v>7.6</v>
      </c>
    </row>
    <row r="5455">
      <c r="A5455" s="28" t="n">
        <v>27361</v>
      </c>
      <c r="B5455" t="n">
        <v>0</v>
      </c>
      <c r="C5455" t="n">
        <v>0</v>
      </c>
    </row>
    <row r="5456">
      <c r="A5456" s="28" t="n">
        <v>27362</v>
      </c>
      <c r="B5456" t="n">
        <v>7.64</v>
      </c>
      <c r="C5456" t="n">
        <v>7.47</v>
      </c>
    </row>
    <row r="5457">
      <c r="A5457" s="28" t="n">
        <v>27365</v>
      </c>
      <c r="B5457" t="n">
        <v>7.71</v>
      </c>
      <c r="C5457" t="n">
        <v>7.31</v>
      </c>
    </row>
    <row r="5458">
      <c r="A5458" s="28" t="n">
        <v>27366</v>
      </c>
      <c r="B5458" t="n">
        <v>7.74</v>
      </c>
      <c r="C5458" t="n">
        <v>7.53</v>
      </c>
    </row>
    <row r="5459">
      <c r="A5459" s="28" t="n">
        <v>27367</v>
      </c>
      <c r="B5459" t="n">
        <v>7.68</v>
      </c>
      <c r="C5459" t="n">
        <v>7.47</v>
      </c>
    </row>
    <row r="5460">
      <c r="A5460" s="28" t="n">
        <v>27368</v>
      </c>
      <c r="B5460" t="n">
        <v>7.64</v>
      </c>
      <c r="C5460" t="n">
        <v>7.48</v>
      </c>
    </row>
    <row r="5461">
      <c r="A5461" s="28" t="n">
        <v>27369</v>
      </c>
      <c r="B5461" t="n">
        <v>7.59</v>
      </c>
      <c r="C5461" t="n">
        <v>7.42</v>
      </c>
    </row>
    <row r="5462">
      <c r="A5462" s="28" t="n">
        <v>27372</v>
      </c>
      <c r="B5462" t="n">
        <v>7.4</v>
      </c>
      <c r="C5462" t="n">
        <v>7.24</v>
      </c>
    </row>
    <row r="5463">
      <c r="A5463" s="28" t="n">
        <v>27373</v>
      </c>
      <c r="B5463" t="n">
        <v>7.42</v>
      </c>
      <c r="C5463" t="n">
        <v>7.15</v>
      </c>
    </row>
    <row r="5464">
      <c r="A5464" s="28" t="n">
        <v>27374</v>
      </c>
      <c r="B5464" t="n">
        <v>7.38</v>
      </c>
      <c r="C5464" t="n">
        <v>7.12</v>
      </c>
    </row>
    <row r="5465">
      <c r="A5465" s="28" t="n">
        <v>27375</v>
      </c>
      <c r="B5465" t="n">
        <v>7.39</v>
      </c>
      <c r="C5465" t="n">
        <v>7.38</v>
      </c>
    </row>
    <row r="5466">
      <c r="A5466" s="28" t="n">
        <v>27376</v>
      </c>
      <c r="B5466" t="n">
        <v>7.38</v>
      </c>
      <c r="C5466" t="n">
        <v>7.31</v>
      </c>
    </row>
    <row r="5467">
      <c r="A5467" s="28" t="n">
        <v>27379</v>
      </c>
      <c r="B5467" t="n">
        <v>7.34</v>
      </c>
      <c r="C5467" t="n">
        <v>7.14</v>
      </c>
    </row>
    <row r="5468">
      <c r="A5468" s="28" t="n">
        <v>27380</v>
      </c>
      <c r="B5468" t="n">
        <v>7.28</v>
      </c>
      <c r="C5468" t="n">
        <v>6.77</v>
      </c>
    </row>
    <row r="5469">
      <c r="A5469" s="28" t="n">
        <v>27381</v>
      </c>
      <c r="B5469" t="n">
        <v>7.25</v>
      </c>
      <c r="C5469" t="n">
        <v>6.81</v>
      </c>
    </row>
    <row r="5470">
      <c r="A5470" s="28" t="n">
        <v>27382</v>
      </c>
      <c r="B5470" t="n">
        <v>7.25</v>
      </c>
      <c r="C5470" t="n">
        <v>6.89</v>
      </c>
    </row>
    <row r="5471">
      <c r="A5471" s="28" t="n">
        <v>27383</v>
      </c>
      <c r="B5471" t="n">
        <v>7.27</v>
      </c>
      <c r="C5471" t="n">
        <v>6.97</v>
      </c>
    </row>
    <row r="5472">
      <c r="A5472" s="28" t="n">
        <v>27386</v>
      </c>
      <c r="B5472" t="n">
        <v>7.41</v>
      </c>
      <c r="C5472" t="n">
        <v>7.13</v>
      </c>
    </row>
    <row r="5473">
      <c r="A5473" s="28" t="n">
        <v>27387</v>
      </c>
      <c r="B5473" t="n">
        <v>7.43</v>
      </c>
      <c r="C5473" t="n">
        <v>6.98</v>
      </c>
    </row>
    <row r="5474">
      <c r="A5474" s="28" t="n">
        <v>27388</v>
      </c>
      <c r="B5474" t="n">
        <v>0</v>
      </c>
      <c r="C5474" t="n">
        <v>0</v>
      </c>
    </row>
    <row r="5475">
      <c r="A5475" s="28" t="n">
        <v>27389</v>
      </c>
      <c r="B5475" t="n">
        <v>7.37</v>
      </c>
      <c r="C5475" t="n">
        <v>6.95</v>
      </c>
    </row>
    <row r="5476">
      <c r="A5476" s="28" t="n">
        <v>27390</v>
      </c>
      <c r="B5476" t="n">
        <v>7.39</v>
      </c>
      <c r="C5476" t="n">
        <v>6.96</v>
      </c>
    </row>
    <row r="5477">
      <c r="A5477" s="28" t="n">
        <v>27393</v>
      </c>
      <c r="B5477" t="n">
        <v>7.39</v>
      </c>
      <c r="C5477" t="n">
        <v>7.11</v>
      </c>
    </row>
    <row r="5478">
      <c r="A5478" s="28" t="n">
        <v>27394</v>
      </c>
      <c r="B5478" t="n">
        <v>7.4</v>
      </c>
      <c r="C5478" t="n">
        <v>7.06</v>
      </c>
    </row>
    <row r="5479">
      <c r="A5479" s="28" t="n">
        <v>27395</v>
      </c>
      <c r="B5479" t="n">
        <v>0</v>
      </c>
      <c r="C5479" t="n">
        <v>0</v>
      </c>
    </row>
    <row r="5480">
      <c r="A5480" s="28" t="n">
        <v>27396</v>
      </c>
      <c r="B5480" t="n">
        <v>7.42</v>
      </c>
      <c r="C5480" t="n">
        <v>6.9</v>
      </c>
    </row>
    <row r="5481">
      <c r="A5481" s="28" t="n">
        <v>27397</v>
      </c>
      <c r="B5481" t="n">
        <v>7.43</v>
      </c>
      <c r="C5481" t="n">
        <v>6.76</v>
      </c>
    </row>
    <row r="5482">
      <c r="A5482" s="28" t="n">
        <v>27400</v>
      </c>
      <c r="B5482" t="n">
        <v>7.39</v>
      </c>
      <c r="C5482" t="n">
        <v>6.7</v>
      </c>
    </row>
    <row r="5483">
      <c r="A5483" s="28" t="n">
        <v>27401</v>
      </c>
      <c r="B5483" t="n">
        <v>7.38</v>
      </c>
      <c r="C5483" t="n">
        <v>6.51</v>
      </c>
    </row>
    <row r="5484">
      <c r="A5484" s="28" t="n">
        <v>27402</v>
      </c>
      <c r="B5484" t="n">
        <v>7.39</v>
      </c>
      <c r="C5484" t="n">
        <v>6.54</v>
      </c>
    </row>
    <row r="5485">
      <c r="A5485" s="28" t="n">
        <v>27403</v>
      </c>
      <c r="B5485" t="n">
        <v>7.35</v>
      </c>
      <c r="C5485" t="n">
        <v>6.55</v>
      </c>
    </row>
    <row r="5486">
      <c r="A5486" s="28" t="n">
        <v>27404</v>
      </c>
      <c r="B5486" t="n">
        <v>7.37</v>
      </c>
      <c r="C5486" t="n">
        <v>6.64</v>
      </c>
    </row>
    <row r="5487">
      <c r="A5487" s="28" t="n">
        <v>27407</v>
      </c>
      <c r="B5487" t="n">
        <v>7.46</v>
      </c>
      <c r="C5487" t="n">
        <v>6.74</v>
      </c>
    </row>
    <row r="5488">
      <c r="A5488" s="28" t="n">
        <v>27408</v>
      </c>
      <c r="B5488" t="n">
        <v>7.49</v>
      </c>
      <c r="C5488" t="n">
        <v>6.55</v>
      </c>
    </row>
    <row r="5489">
      <c r="A5489" s="28" t="n">
        <v>27409</v>
      </c>
      <c r="B5489" t="n">
        <v>7.54</v>
      </c>
      <c r="C5489" t="n">
        <v>6.65</v>
      </c>
    </row>
    <row r="5490">
      <c r="A5490" s="28" t="n">
        <v>27410</v>
      </c>
      <c r="B5490" t="n">
        <v>7.54</v>
      </c>
      <c r="C5490" t="n">
        <v>6.49</v>
      </c>
    </row>
    <row r="5491">
      <c r="A5491" s="28" t="n">
        <v>27411</v>
      </c>
      <c r="B5491" t="n">
        <v>7.53</v>
      </c>
      <c r="C5491" t="n">
        <v>6.29</v>
      </c>
    </row>
    <row r="5492">
      <c r="A5492" s="28" t="n">
        <v>27414</v>
      </c>
      <c r="B5492" t="n">
        <v>7.59</v>
      </c>
      <c r="C5492" t="n">
        <v>6.42</v>
      </c>
    </row>
    <row r="5493">
      <c r="A5493" s="28" t="n">
        <v>27415</v>
      </c>
      <c r="B5493" t="n">
        <v>7.55</v>
      </c>
      <c r="C5493" t="n">
        <v>6.24</v>
      </c>
    </row>
    <row r="5494">
      <c r="A5494" s="28" t="n">
        <v>27416</v>
      </c>
      <c r="B5494" t="n">
        <v>7.51</v>
      </c>
      <c r="C5494" t="n">
        <v>6.17</v>
      </c>
    </row>
    <row r="5495">
      <c r="A5495" s="28" t="n">
        <v>27417</v>
      </c>
      <c r="B5495" t="n">
        <v>7.57</v>
      </c>
      <c r="C5495" t="n">
        <v>5.59</v>
      </c>
    </row>
    <row r="5496">
      <c r="A5496" s="28" t="n">
        <v>27418</v>
      </c>
      <c r="B5496" t="n">
        <v>7.64</v>
      </c>
      <c r="C5496" t="n">
        <v>5.49</v>
      </c>
    </row>
    <row r="5497">
      <c r="A5497" s="28" t="n">
        <v>27421</v>
      </c>
      <c r="B5497" t="n">
        <v>7.61</v>
      </c>
      <c r="C5497" t="n">
        <v>5.57</v>
      </c>
    </row>
    <row r="5498">
      <c r="A5498" s="28" t="n">
        <v>27422</v>
      </c>
      <c r="B5498" t="n">
        <v>7.61</v>
      </c>
      <c r="C5498" t="n">
        <v>5.66</v>
      </c>
    </row>
    <row r="5499">
      <c r="A5499" s="28" t="n">
        <v>27423</v>
      </c>
      <c r="B5499" t="n">
        <v>7.59</v>
      </c>
      <c r="C5499" t="n">
        <v>5.77</v>
      </c>
    </row>
    <row r="5500">
      <c r="A5500" s="28" t="n">
        <v>27424</v>
      </c>
      <c r="B5500" t="n">
        <v>7.54</v>
      </c>
      <c r="C5500" t="n">
        <v>5.73</v>
      </c>
    </row>
    <row r="5501">
      <c r="A5501" s="28" t="n">
        <v>27425</v>
      </c>
      <c r="B5501" t="n">
        <v>7.53</v>
      </c>
      <c r="C5501" t="n">
        <v>5.68</v>
      </c>
    </row>
    <row r="5502">
      <c r="A5502" s="28" t="n">
        <v>27428</v>
      </c>
      <c r="B5502" t="n">
        <v>7.49</v>
      </c>
      <c r="C5502" t="n">
        <v>5.66</v>
      </c>
    </row>
    <row r="5503">
      <c r="A5503" s="28" t="n">
        <v>27429</v>
      </c>
      <c r="B5503" t="n">
        <v>7.47</v>
      </c>
      <c r="C5503" t="n">
        <v>5.6</v>
      </c>
    </row>
    <row r="5504">
      <c r="A5504" s="28" t="n">
        <v>27430</v>
      </c>
      <c r="B5504" t="n">
        <v>7.35</v>
      </c>
      <c r="C5504" t="n">
        <v>5.45</v>
      </c>
    </row>
    <row r="5505">
      <c r="A5505" s="28" t="n">
        <v>27431</v>
      </c>
      <c r="B5505" t="n">
        <v>7.43</v>
      </c>
      <c r="C5505" t="n">
        <v>5.6</v>
      </c>
    </row>
    <row r="5506">
      <c r="A5506" s="28" t="n">
        <v>27432</v>
      </c>
      <c r="B5506" t="n">
        <v>7.38</v>
      </c>
      <c r="C5506" t="n">
        <v>5.74</v>
      </c>
    </row>
    <row r="5507">
      <c r="A5507" s="28" t="n">
        <v>27435</v>
      </c>
      <c r="B5507" t="n">
        <v>7.45</v>
      </c>
      <c r="C5507" t="n">
        <v>5.83</v>
      </c>
    </row>
    <row r="5508">
      <c r="A5508" s="28" t="n">
        <v>27436</v>
      </c>
      <c r="B5508" t="n">
        <v>7.42</v>
      </c>
      <c r="C5508" t="n">
        <v>5.7</v>
      </c>
    </row>
    <row r="5509">
      <c r="A5509" s="28" t="n">
        <v>27437</v>
      </c>
      <c r="B5509" t="n">
        <v>0</v>
      </c>
      <c r="C5509" t="n">
        <v>0</v>
      </c>
    </row>
    <row r="5510">
      <c r="A5510" s="28" t="n">
        <v>27438</v>
      </c>
      <c r="B5510" t="n">
        <v>7.44</v>
      </c>
      <c r="C5510" t="n">
        <v>5.62</v>
      </c>
    </row>
    <row r="5511">
      <c r="A5511" s="28" t="n">
        <v>27439</v>
      </c>
      <c r="B5511" t="n">
        <v>7.35</v>
      </c>
      <c r="C5511" t="n">
        <v>5.45</v>
      </c>
    </row>
    <row r="5512">
      <c r="A5512" s="28" t="n">
        <v>27442</v>
      </c>
      <c r="B5512" t="n">
        <v>0</v>
      </c>
      <c r="C5512" t="n">
        <v>0</v>
      </c>
    </row>
    <row r="5513">
      <c r="A5513" s="28" t="n">
        <v>27443</v>
      </c>
      <c r="B5513" t="n">
        <v>7.28</v>
      </c>
      <c r="C5513" t="n">
        <v>5.32</v>
      </c>
    </row>
    <row r="5514">
      <c r="A5514" s="28" t="n">
        <v>27444</v>
      </c>
      <c r="B5514" t="n">
        <v>7.26</v>
      </c>
      <c r="C5514" t="n">
        <v>5.3</v>
      </c>
    </row>
    <row r="5515">
      <c r="A5515" s="28" t="n">
        <v>27445</v>
      </c>
      <c r="B5515" t="n">
        <v>7.3</v>
      </c>
      <c r="C5515" t="n">
        <v>5.23</v>
      </c>
    </row>
    <row r="5516">
      <c r="A5516" s="28" t="n">
        <v>27446</v>
      </c>
      <c r="B5516" t="n">
        <v>7.22</v>
      </c>
      <c r="C5516" t="n">
        <v>5.16</v>
      </c>
    </row>
    <row r="5517">
      <c r="A5517" s="28" t="n">
        <v>27449</v>
      </c>
      <c r="B5517" t="n">
        <v>7.36</v>
      </c>
      <c r="C5517" t="n">
        <v>5.32</v>
      </c>
    </row>
    <row r="5518">
      <c r="A5518" s="28" t="n">
        <v>27450</v>
      </c>
      <c r="B5518" t="n">
        <v>7.43</v>
      </c>
      <c r="C5518" t="n">
        <v>5.44</v>
      </c>
    </row>
    <row r="5519">
      <c r="A5519" s="28" t="n">
        <v>27451</v>
      </c>
      <c r="B5519" t="n">
        <v>7.5</v>
      </c>
      <c r="C5519" t="n">
        <v>5.62</v>
      </c>
    </row>
    <row r="5520">
      <c r="A5520" s="28" t="n">
        <v>27452</v>
      </c>
      <c r="B5520" t="n">
        <v>7.47</v>
      </c>
      <c r="C5520" t="n">
        <v>5.56</v>
      </c>
    </row>
    <row r="5521">
      <c r="A5521" s="28" t="n">
        <v>27453</v>
      </c>
      <c r="B5521" t="n">
        <v>7.46</v>
      </c>
      <c r="C5521" t="n">
        <v>5.4</v>
      </c>
    </row>
    <row r="5522">
      <c r="A5522" s="28" t="n">
        <v>27456</v>
      </c>
      <c r="B5522" t="n">
        <v>7.5</v>
      </c>
      <c r="C5522" t="n">
        <v>5.59</v>
      </c>
    </row>
    <row r="5523">
      <c r="A5523" s="28" t="n">
        <v>27457</v>
      </c>
      <c r="B5523" t="n">
        <v>7.53</v>
      </c>
      <c r="C5523" t="n">
        <v>5.62</v>
      </c>
    </row>
    <row r="5524">
      <c r="A5524" s="28" t="n">
        <v>27458</v>
      </c>
      <c r="B5524" t="n">
        <v>7.48</v>
      </c>
      <c r="C5524" t="n">
        <v>5.53</v>
      </c>
    </row>
    <row r="5525">
      <c r="A5525" s="28" t="n">
        <v>27459</v>
      </c>
      <c r="B5525" t="n">
        <v>7.49</v>
      </c>
      <c r="C5525" t="n">
        <v>5.53</v>
      </c>
    </row>
    <row r="5526">
      <c r="A5526" s="28" t="n">
        <v>27460</v>
      </c>
      <c r="B5526" t="n">
        <v>7.52</v>
      </c>
      <c r="C5526" t="n">
        <v>5.58</v>
      </c>
    </row>
    <row r="5527">
      <c r="A5527" s="28" t="n">
        <v>27463</v>
      </c>
      <c r="B5527" t="n">
        <v>7.56</v>
      </c>
      <c r="C5527" t="n">
        <v>5.64</v>
      </c>
    </row>
    <row r="5528">
      <c r="A5528" s="28" t="n">
        <v>27464</v>
      </c>
      <c r="B5528" t="n">
        <v>7.58</v>
      </c>
      <c r="C5528" t="n">
        <v>5.48</v>
      </c>
    </row>
    <row r="5529">
      <c r="A5529" s="28" t="n">
        <v>27465</v>
      </c>
      <c r="B5529" t="n">
        <v>7.58</v>
      </c>
      <c r="C5529" t="n">
        <v>5.41</v>
      </c>
    </row>
    <row r="5530">
      <c r="A5530" s="28" t="n">
        <v>27466</v>
      </c>
      <c r="B5530" t="n">
        <v>7.56</v>
      </c>
      <c r="C5530" t="n">
        <v>5.4</v>
      </c>
    </row>
    <row r="5531">
      <c r="A5531" s="28" t="n">
        <v>27467</v>
      </c>
      <c r="B5531" t="n">
        <v>7.58</v>
      </c>
      <c r="C5531" t="n">
        <v>5.38</v>
      </c>
    </row>
    <row r="5532">
      <c r="A5532" s="28" t="n">
        <v>27470</v>
      </c>
      <c r="B5532" t="n">
        <v>7.7</v>
      </c>
      <c r="C5532" t="n">
        <v>5.41</v>
      </c>
    </row>
    <row r="5533">
      <c r="A5533" s="28" t="n">
        <v>27471</v>
      </c>
      <c r="B5533" t="n">
        <v>7.7</v>
      </c>
      <c r="C5533" t="n">
        <v>5.42</v>
      </c>
    </row>
    <row r="5534">
      <c r="A5534" s="28" t="n">
        <v>27472</v>
      </c>
      <c r="B5534" t="n">
        <v>7.8</v>
      </c>
      <c r="C5534" t="n">
        <v>5.49</v>
      </c>
    </row>
    <row r="5535">
      <c r="A5535" s="28" t="n">
        <v>27473</v>
      </c>
      <c r="B5535" t="n">
        <v>7.95</v>
      </c>
      <c r="C5535" t="n">
        <v>5.35</v>
      </c>
    </row>
    <row r="5536">
      <c r="A5536" s="28" t="n">
        <v>27474</v>
      </c>
      <c r="B5536" t="n">
        <v>7.84</v>
      </c>
      <c r="C5536" t="n">
        <v>5.4</v>
      </c>
    </row>
    <row r="5537">
      <c r="A5537" s="28" t="n">
        <v>27477</v>
      </c>
      <c r="B5537" t="n">
        <v>8.050000000000001</v>
      </c>
      <c r="C5537" t="n">
        <v>5.55</v>
      </c>
    </row>
    <row r="5538">
      <c r="A5538" s="28" t="n">
        <v>27478</v>
      </c>
      <c r="B5538" t="n">
        <v>8.029999999999999</v>
      </c>
      <c r="C5538" t="n">
        <v>5.54</v>
      </c>
    </row>
    <row r="5539">
      <c r="A5539" s="28" t="n">
        <v>27479</v>
      </c>
      <c r="B5539" t="n">
        <v>8.02</v>
      </c>
      <c r="C5539" t="n">
        <v>5.52</v>
      </c>
    </row>
    <row r="5540">
      <c r="A5540" s="28" t="n">
        <v>27480</v>
      </c>
      <c r="B5540" t="n">
        <v>8.08</v>
      </c>
      <c r="C5540" t="n">
        <v>5.49</v>
      </c>
    </row>
    <row r="5541">
      <c r="A5541" s="28" t="n">
        <v>27481</v>
      </c>
      <c r="B5541" t="n">
        <v>0</v>
      </c>
      <c r="C5541" t="n">
        <v>0</v>
      </c>
    </row>
    <row r="5542">
      <c r="A5542" s="28" t="n">
        <v>27484</v>
      </c>
      <c r="B5542" t="n">
        <v>8.01</v>
      </c>
      <c r="C5542" t="n">
        <v>5.53</v>
      </c>
    </row>
    <row r="5543">
      <c r="A5543" s="28" t="n">
        <v>27485</v>
      </c>
      <c r="B5543" t="n">
        <v>8.08</v>
      </c>
      <c r="C5543" t="n">
        <v>5.64</v>
      </c>
    </row>
    <row r="5544">
      <c r="A5544" s="28" t="n">
        <v>27486</v>
      </c>
      <c r="B5544" t="n">
        <v>8.220000000000001</v>
      </c>
      <c r="C5544" t="n">
        <v>5.64</v>
      </c>
    </row>
    <row r="5545">
      <c r="A5545" s="28" t="n">
        <v>27487</v>
      </c>
      <c r="B5545" t="n">
        <v>8.130000000000001</v>
      </c>
      <c r="C5545" t="n">
        <v>5.6</v>
      </c>
    </row>
    <row r="5546">
      <c r="A5546" s="28" t="n">
        <v>27488</v>
      </c>
      <c r="B5546" t="n">
        <v>8.15</v>
      </c>
      <c r="C5546" t="n">
        <v>5.68</v>
      </c>
    </row>
    <row r="5547">
      <c r="A5547" s="28" t="n">
        <v>27491</v>
      </c>
      <c r="B5547" t="n">
        <v>8.26</v>
      </c>
      <c r="C5547" t="n">
        <v>6.01</v>
      </c>
    </row>
    <row r="5548">
      <c r="A5548" s="28" t="n">
        <v>27492</v>
      </c>
      <c r="B5548" t="n">
        <v>8.210000000000001</v>
      </c>
      <c r="C5548" t="n">
        <v>5.7</v>
      </c>
    </row>
    <row r="5549">
      <c r="A5549" s="28" t="n">
        <v>27493</v>
      </c>
      <c r="B5549" t="n">
        <v>8.17</v>
      </c>
      <c r="C5549" t="n">
        <v>5.7</v>
      </c>
    </row>
    <row r="5550">
      <c r="A5550" s="28" t="n">
        <v>27494</v>
      </c>
      <c r="B5550" t="n">
        <v>8.19</v>
      </c>
      <c r="C5550" t="n">
        <v>5.71</v>
      </c>
    </row>
    <row r="5551">
      <c r="A5551" s="28" t="n">
        <v>27495</v>
      </c>
      <c r="B5551" t="n">
        <v>8.220000000000001</v>
      </c>
      <c r="C5551" t="n">
        <v>5.56</v>
      </c>
    </row>
    <row r="5552">
      <c r="A5552" s="28" t="n">
        <v>27498</v>
      </c>
      <c r="B5552" t="n">
        <v>8.16</v>
      </c>
      <c r="C5552" t="n">
        <v>5.53</v>
      </c>
    </row>
    <row r="5553">
      <c r="A5553" s="28" t="n">
        <v>27499</v>
      </c>
      <c r="B5553" t="n">
        <v>8.16</v>
      </c>
      <c r="C5553" t="n">
        <v>5.48</v>
      </c>
    </row>
    <row r="5554">
      <c r="A5554" s="28" t="n">
        <v>27500</v>
      </c>
      <c r="B5554" t="n">
        <v>8.15</v>
      </c>
      <c r="C5554" t="n">
        <v>5.34</v>
      </c>
    </row>
    <row r="5555">
      <c r="A5555" s="28" t="n">
        <v>27501</v>
      </c>
      <c r="B5555" t="n">
        <v>8.210000000000001</v>
      </c>
      <c r="C5555" t="n">
        <v>5.4</v>
      </c>
    </row>
    <row r="5556">
      <c r="A5556" s="28" t="n">
        <v>27502</v>
      </c>
      <c r="B5556" t="n">
        <v>8.27</v>
      </c>
      <c r="C5556" t="n">
        <v>5.44</v>
      </c>
    </row>
    <row r="5557">
      <c r="A5557" s="28" t="n">
        <v>27505</v>
      </c>
      <c r="B5557" t="n">
        <v>8.32</v>
      </c>
      <c r="C5557" t="n">
        <v>5.55</v>
      </c>
    </row>
    <row r="5558">
      <c r="A5558" s="28" t="n">
        <v>27506</v>
      </c>
      <c r="B5558" t="n">
        <v>8.32</v>
      </c>
      <c r="C5558" t="n">
        <v>5.75</v>
      </c>
    </row>
    <row r="5559">
      <c r="A5559" s="28" t="n">
        <v>27507</v>
      </c>
      <c r="B5559" t="n">
        <v>8.27</v>
      </c>
      <c r="C5559" t="n">
        <v>5.69</v>
      </c>
    </row>
    <row r="5560">
      <c r="A5560" s="28" t="n">
        <v>27508</v>
      </c>
      <c r="B5560" t="n">
        <v>8.25</v>
      </c>
      <c r="C5560" t="n">
        <v>5.67</v>
      </c>
    </row>
    <row r="5561">
      <c r="A5561" s="28" t="n">
        <v>27509</v>
      </c>
      <c r="B5561" t="n">
        <v>8.25</v>
      </c>
      <c r="C5561" t="n">
        <v>5.63</v>
      </c>
    </row>
    <row r="5562">
      <c r="A5562" s="28" t="n">
        <v>27512</v>
      </c>
      <c r="B5562" t="n">
        <v>8.35</v>
      </c>
      <c r="C5562" t="n">
        <v>5.62</v>
      </c>
    </row>
    <row r="5563">
      <c r="A5563" s="28" t="n">
        <v>27513</v>
      </c>
      <c r="B5563" t="n">
        <v>8.34</v>
      </c>
      <c r="C5563" t="n">
        <v>5.6</v>
      </c>
    </row>
    <row r="5564">
      <c r="A5564" s="28" t="n">
        <v>27514</v>
      </c>
      <c r="B5564" t="n">
        <v>8.31</v>
      </c>
      <c r="C5564" t="n">
        <v>5.5</v>
      </c>
    </row>
    <row r="5565">
      <c r="A5565" s="28" t="n">
        <v>27515</v>
      </c>
      <c r="B5565" t="n">
        <v>8.31</v>
      </c>
      <c r="C5565" t="n">
        <v>5.5</v>
      </c>
    </row>
    <row r="5566">
      <c r="A5566" s="28" t="n">
        <v>27516</v>
      </c>
      <c r="B5566" t="n">
        <v>8.109999999999999</v>
      </c>
      <c r="C5566" t="n">
        <v>5.31</v>
      </c>
    </row>
    <row r="5567">
      <c r="A5567" s="28" t="n">
        <v>27519</v>
      </c>
      <c r="B5567" t="n">
        <v>8.08</v>
      </c>
      <c r="C5567" t="n">
        <v>5.34</v>
      </c>
    </row>
    <row r="5568">
      <c r="A5568" s="28" t="n">
        <v>27520</v>
      </c>
      <c r="B5568" t="n">
        <v>8.109999999999999</v>
      </c>
      <c r="C5568" t="n">
        <v>5.44</v>
      </c>
    </row>
    <row r="5569">
      <c r="A5569" s="28" t="n">
        <v>27521</v>
      </c>
      <c r="B5569" t="n">
        <v>8.07</v>
      </c>
      <c r="C5569" t="n">
        <v>5.47</v>
      </c>
    </row>
    <row r="5570">
      <c r="A5570" s="28" t="n">
        <v>27522</v>
      </c>
      <c r="B5570" t="n">
        <v>8.09</v>
      </c>
      <c r="C5570" t="n">
        <v>5.43</v>
      </c>
    </row>
    <row r="5571">
      <c r="A5571" s="28" t="n">
        <v>27523</v>
      </c>
      <c r="B5571" t="n">
        <v>8.08</v>
      </c>
      <c r="C5571" t="n">
        <v>5.38</v>
      </c>
    </row>
    <row r="5572">
      <c r="A5572" s="28" t="n">
        <v>27526</v>
      </c>
      <c r="B5572" t="n">
        <v>8.07</v>
      </c>
      <c r="C5572" t="n">
        <v>5.16</v>
      </c>
    </row>
    <row r="5573">
      <c r="A5573" s="28" t="n">
        <v>27527</v>
      </c>
      <c r="B5573" t="n">
        <v>8.06</v>
      </c>
      <c r="C5573" t="n">
        <v>5</v>
      </c>
    </row>
    <row r="5574">
      <c r="A5574" s="28" t="n">
        <v>27528</v>
      </c>
      <c r="B5574" t="n">
        <v>8.02</v>
      </c>
      <c r="C5574" t="n">
        <v>4.94</v>
      </c>
    </row>
    <row r="5575">
      <c r="A5575" s="28" t="n">
        <v>27529</v>
      </c>
      <c r="B5575" t="n">
        <v>8.02</v>
      </c>
      <c r="C5575" t="n">
        <v>5.05</v>
      </c>
    </row>
    <row r="5576">
      <c r="A5576" s="28" t="n">
        <v>27530</v>
      </c>
      <c r="B5576" t="n">
        <v>8.01</v>
      </c>
      <c r="C5576" t="n">
        <v>5.06</v>
      </c>
    </row>
    <row r="5577">
      <c r="A5577" s="28" t="n">
        <v>27533</v>
      </c>
      <c r="B5577" t="n">
        <v>8</v>
      </c>
      <c r="C5577" t="n">
        <v>5.11</v>
      </c>
    </row>
    <row r="5578">
      <c r="A5578" s="28" t="n">
        <v>27534</v>
      </c>
      <c r="B5578" t="n">
        <v>7.98</v>
      </c>
      <c r="C5578" t="n">
        <v>5.11</v>
      </c>
    </row>
    <row r="5579">
      <c r="A5579" s="28" t="n">
        <v>27535</v>
      </c>
      <c r="B5579" t="n">
        <v>7.98</v>
      </c>
      <c r="C5579" t="n">
        <v>5.16</v>
      </c>
    </row>
    <row r="5580">
      <c r="A5580" s="28" t="n">
        <v>27536</v>
      </c>
      <c r="B5580" t="n">
        <v>8.02</v>
      </c>
      <c r="C5580" t="n">
        <v>5.2</v>
      </c>
    </row>
    <row r="5581">
      <c r="A5581" s="28" t="n">
        <v>27537</v>
      </c>
      <c r="B5581" t="n">
        <v>8.02</v>
      </c>
      <c r="C5581" t="n">
        <v>5.21</v>
      </c>
    </row>
    <row r="5582">
      <c r="A5582" s="28" t="n">
        <v>27540</v>
      </c>
      <c r="B5582" t="n">
        <v>0</v>
      </c>
      <c r="C5582" t="n">
        <v>0</v>
      </c>
    </row>
    <row r="5583">
      <c r="A5583" s="28" t="n">
        <v>27541</v>
      </c>
      <c r="B5583" t="n">
        <v>7.98</v>
      </c>
      <c r="C5583" t="n">
        <v>5.27</v>
      </c>
    </row>
    <row r="5584">
      <c r="A5584" s="28" t="n">
        <v>27542</v>
      </c>
      <c r="B5584" t="n">
        <v>8.02</v>
      </c>
      <c r="C5584" t="n">
        <v>5.21</v>
      </c>
    </row>
    <row r="5585">
      <c r="A5585" s="28" t="n">
        <v>27543</v>
      </c>
      <c r="B5585" t="n">
        <v>8.18</v>
      </c>
      <c r="C5585" t="n">
        <v>5.22</v>
      </c>
    </row>
    <row r="5586">
      <c r="A5586" s="28" t="n">
        <v>27544</v>
      </c>
      <c r="B5586" t="n">
        <v>8.039999999999999</v>
      </c>
      <c r="C5586" t="n">
        <v>5.2</v>
      </c>
    </row>
    <row r="5587">
      <c r="A5587" s="28" t="n">
        <v>27547</v>
      </c>
      <c r="B5587" t="n">
        <v>8.02</v>
      </c>
      <c r="C5587" t="n">
        <v>5.25</v>
      </c>
    </row>
    <row r="5588">
      <c r="A5588" s="28" t="n">
        <v>27548</v>
      </c>
      <c r="B5588" t="n">
        <v>8</v>
      </c>
      <c r="C5588" t="n">
        <v>5.24</v>
      </c>
    </row>
    <row r="5589">
      <c r="A5589" s="28" t="n">
        <v>27549</v>
      </c>
      <c r="B5589" t="n">
        <v>7.99</v>
      </c>
      <c r="C5589" t="n">
        <v>5.24</v>
      </c>
    </row>
    <row r="5590">
      <c r="A5590" s="28" t="n">
        <v>27550</v>
      </c>
      <c r="B5590" t="n">
        <v>7.97</v>
      </c>
      <c r="C5590" t="n">
        <v>5.22</v>
      </c>
    </row>
    <row r="5591">
      <c r="A5591" s="28" t="n">
        <v>27551</v>
      </c>
      <c r="B5591" t="n">
        <v>7.88</v>
      </c>
      <c r="C5591" t="n">
        <v>5.21</v>
      </c>
    </row>
    <row r="5592">
      <c r="A5592" s="28" t="n">
        <v>27554</v>
      </c>
      <c r="B5592" t="n">
        <v>7.78</v>
      </c>
      <c r="C5592" t="n">
        <v>5.12</v>
      </c>
    </row>
    <row r="5593">
      <c r="A5593" s="28" t="n">
        <v>27555</v>
      </c>
      <c r="B5593" t="n">
        <v>7.77</v>
      </c>
      <c r="C5593" t="n">
        <v>5.08</v>
      </c>
    </row>
    <row r="5594">
      <c r="A5594" s="28" t="n">
        <v>27556</v>
      </c>
      <c r="B5594" t="n">
        <v>7.65</v>
      </c>
      <c r="C5594" t="n">
        <v>4.95</v>
      </c>
    </row>
    <row r="5595">
      <c r="A5595" s="28" t="n">
        <v>27557</v>
      </c>
      <c r="B5595" t="n">
        <v>7.67</v>
      </c>
      <c r="C5595" t="n">
        <v>4.89</v>
      </c>
    </row>
    <row r="5596">
      <c r="A5596" s="28" t="n">
        <v>27558</v>
      </c>
      <c r="B5596" t="n">
        <v>7.69</v>
      </c>
      <c r="C5596" t="n">
        <v>4.94</v>
      </c>
    </row>
    <row r="5597">
      <c r="A5597" s="28" t="n">
        <v>27561</v>
      </c>
      <c r="B5597" t="n">
        <v>7.66</v>
      </c>
      <c r="C5597" t="n">
        <v>4.88</v>
      </c>
    </row>
    <row r="5598">
      <c r="A5598" s="28" t="n">
        <v>27562</v>
      </c>
      <c r="B5598" t="n">
        <v>7.72</v>
      </c>
      <c r="C5598" t="n">
        <v>5.03</v>
      </c>
    </row>
    <row r="5599">
      <c r="A5599" s="28" t="n">
        <v>27563</v>
      </c>
      <c r="B5599" t="n">
        <v>7.83</v>
      </c>
      <c r="C5599" t="n">
        <v>5.36</v>
      </c>
    </row>
    <row r="5600">
      <c r="A5600" s="28" t="n">
        <v>27564</v>
      </c>
      <c r="B5600" t="n">
        <v>7.8</v>
      </c>
      <c r="C5600" t="n">
        <v>5.22</v>
      </c>
    </row>
    <row r="5601">
      <c r="A5601" s="28" t="n">
        <v>27565</v>
      </c>
      <c r="B5601" t="n">
        <v>7.94</v>
      </c>
      <c r="C5601" t="n">
        <v>5.7</v>
      </c>
    </row>
    <row r="5602">
      <c r="A5602" s="28" t="n">
        <v>27568</v>
      </c>
      <c r="B5602" t="n">
        <v>7.9</v>
      </c>
      <c r="C5602" t="n">
        <v>5.65</v>
      </c>
    </row>
    <row r="5603">
      <c r="A5603" s="28" t="n">
        <v>27569</v>
      </c>
      <c r="B5603" t="n">
        <v>7.9</v>
      </c>
      <c r="C5603" t="n">
        <v>5.75</v>
      </c>
    </row>
    <row r="5604">
      <c r="A5604" s="28" t="n">
        <v>27570</v>
      </c>
      <c r="B5604" t="n">
        <v>8.02</v>
      </c>
      <c r="C5604" t="n">
        <v>5.82</v>
      </c>
    </row>
    <row r="5605">
      <c r="A5605" s="28" t="n">
        <v>27571</v>
      </c>
      <c r="B5605" t="n">
        <v>7.98</v>
      </c>
      <c r="C5605" t="n">
        <v>6</v>
      </c>
    </row>
    <row r="5606">
      <c r="A5606" s="28" t="n">
        <v>27572</v>
      </c>
      <c r="B5606" t="n">
        <v>7.95</v>
      </c>
      <c r="C5606" t="n">
        <v>5.78</v>
      </c>
    </row>
    <row r="5607">
      <c r="A5607" s="28" t="n">
        <v>27575</v>
      </c>
      <c r="B5607" t="n">
        <v>7.96</v>
      </c>
      <c r="C5607" t="n">
        <v>5.86</v>
      </c>
    </row>
    <row r="5608">
      <c r="A5608" s="28" t="n">
        <v>27576</v>
      </c>
      <c r="B5608" t="n">
        <v>7.97</v>
      </c>
      <c r="C5608" t="n">
        <v>6.02</v>
      </c>
    </row>
    <row r="5609">
      <c r="A5609" s="28" t="n">
        <v>27577</v>
      </c>
      <c r="B5609" t="n">
        <v>8.050000000000001</v>
      </c>
      <c r="C5609" t="n">
        <v>6.02</v>
      </c>
    </row>
    <row r="5610">
      <c r="A5610" s="28" t="n">
        <v>27578</v>
      </c>
      <c r="B5610" t="n">
        <v>8.050000000000001</v>
      </c>
      <c r="C5610" t="n">
        <v>6</v>
      </c>
    </row>
    <row r="5611">
      <c r="A5611" s="28" t="n">
        <v>27579</v>
      </c>
      <c r="B5611" t="n">
        <v>0</v>
      </c>
      <c r="C5611" t="n">
        <v>0</v>
      </c>
    </row>
    <row r="5612">
      <c r="A5612" s="28" t="n">
        <v>27582</v>
      </c>
      <c r="B5612" t="n">
        <v>8.06</v>
      </c>
      <c r="C5612" t="n">
        <v>6.06</v>
      </c>
    </row>
    <row r="5613">
      <c r="A5613" s="28" t="n">
        <v>27583</v>
      </c>
      <c r="B5613" t="n">
        <v>8.01</v>
      </c>
      <c r="C5613" t="n">
        <v>6.06</v>
      </c>
    </row>
    <row r="5614">
      <c r="A5614" s="28" t="n">
        <v>27584</v>
      </c>
      <c r="B5614" t="n">
        <v>8.02</v>
      </c>
      <c r="C5614" t="n">
        <v>6.1</v>
      </c>
    </row>
    <row r="5615">
      <c r="A5615" s="28" t="n">
        <v>27585</v>
      </c>
      <c r="B5615" t="n">
        <v>8.02</v>
      </c>
      <c r="C5615" t="n">
        <v>6.04</v>
      </c>
    </row>
    <row r="5616">
      <c r="A5616" s="28" t="n">
        <v>27586</v>
      </c>
      <c r="B5616" t="n">
        <v>7.99</v>
      </c>
      <c r="C5616" t="n">
        <v>6.02</v>
      </c>
    </row>
    <row r="5617">
      <c r="A5617" s="28" t="n">
        <v>27589</v>
      </c>
      <c r="B5617" t="n">
        <v>7.99</v>
      </c>
      <c r="C5617" t="n">
        <v>6.03</v>
      </c>
    </row>
    <row r="5618">
      <c r="A5618" s="28" t="n">
        <v>27590</v>
      </c>
      <c r="B5618" t="n">
        <v>7.98</v>
      </c>
      <c r="C5618" t="n">
        <v>6.05</v>
      </c>
    </row>
    <row r="5619">
      <c r="A5619" s="28" t="n">
        <v>27591</v>
      </c>
      <c r="B5619" t="n">
        <v>8.029999999999999</v>
      </c>
      <c r="C5619" t="n">
        <v>6.07</v>
      </c>
    </row>
    <row r="5620">
      <c r="A5620" s="28" t="n">
        <v>27592</v>
      </c>
      <c r="B5620" t="n">
        <v>8.039999999999999</v>
      </c>
      <c r="C5620" t="n">
        <v>6.03</v>
      </c>
    </row>
    <row r="5621">
      <c r="A5621" s="28" t="n">
        <v>27593</v>
      </c>
      <c r="B5621" t="n">
        <v>8.06</v>
      </c>
      <c r="C5621" t="n">
        <v>6.05</v>
      </c>
    </row>
    <row r="5622">
      <c r="A5622" s="28" t="n">
        <v>27596</v>
      </c>
      <c r="B5622" t="n">
        <v>8.07</v>
      </c>
      <c r="C5622" t="n">
        <v>6.2</v>
      </c>
    </row>
    <row r="5623">
      <c r="A5623" s="28" t="n">
        <v>27597</v>
      </c>
      <c r="B5623" t="n">
        <v>8.1</v>
      </c>
      <c r="C5623" t="n">
        <v>6.34</v>
      </c>
    </row>
    <row r="5624">
      <c r="A5624" s="28" t="n">
        <v>27598</v>
      </c>
      <c r="B5624" t="n">
        <v>8.09</v>
      </c>
      <c r="C5624" t="n">
        <v>6.34</v>
      </c>
    </row>
    <row r="5625">
      <c r="A5625" s="28" t="n">
        <v>27599</v>
      </c>
      <c r="B5625" t="n">
        <v>8.09</v>
      </c>
      <c r="C5625" t="n">
        <v>6.19</v>
      </c>
    </row>
    <row r="5626">
      <c r="A5626" s="28" t="n">
        <v>27600</v>
      </c>
      <c r="B5626" t="n">
        <v>8.119999999999999</v>
      </c>
      <c r="C5626" t="n">
        <v>6.27</v>
      </c>
    </row>
    <row r="5627">
      <c r="A5627" s="28" t="n">
        <v>27603</v>
      </c>
      <c r="B5627" t="n">
        <v>8.119999999999999</v>
      </c>
      <c r="C5627" t="n">
        <v>6.3</v>
      </c>
    </row>
    <row r="5628">
      <c r="A5628" s="28" t="n">
        <v>27604</v>
      </c>
      <c r="B5628" t="n">
        <v>8.130000000000001</v>
      </c>
      <c r="C5628" t="n">
        <v>6.3</v>
      </c>
    </row>
    <row r="5629">
      <c r="A5629" s="28" t="n">
        <v>27605</v>
      </c>
      <c r="B5629" t="n">
        <v>8.16</v>
      </c>
      <c r="C5629" t="n">
        <v>6.2</v>
      </c>
    </row>
    <row r="5630">
      <c r="A5630" s="28" t="n">
        <v>27606</v>
      </c>
      <c r="B5630" t="n">
        <v>8.199999999999999</v>
      </c>
      <c r="C5630" t="n">
        <v>6.25</v>
      </c>
    </row>
    <row r="5631">
      <c r="A5631" s="28" t="n">
        <v>27607</v>
      </c>
      <c r="B5631" t="n">
        <v>8.26</v>
      </c>
      <c r="C5631" t="n">
        <v>6.35</v>
      </c>
    </row>
    <row r="5632">
      <c r="A5632" s="28" t="n">
        <v>27610</v>
      </c>
      <c r="B5632" t="n">
        <v>8.369999999999999</v>
      </c>
      <c r="C5632" t="n">
        <v>6.4</v>
      </c>
    </row>
    <row r="5633">
      <c r="A5633" s="28" t="n">
        <v>27611</v>
      </c>
      <c r="B5633" t="n">
        <v>8.369999999999999</v>
      </c>
      <c r="C5633" t="n">
        <v>6.45</v>
      </c>
    </row>
    <row r="5634">
      <c r="A5634" s="28" t="n">
        <v>27612</v>
      </c>
      <c r="B5634" t="n">
        <v>8.4</v>
      </c>
      <c r="C5634" t="n">
        <v>6.41</v>
      </c>
    </row>
    <row r="5635">
      <c r="A5635" s="28" t="n">
        <v>27613</v>
      </c>
      <c r="B5635" t="n">
        <v>8.48</v>
      </c>
      <c r="C5635" t="n">
        <v>6.44</v>
      </c>
    </row>
    <row r="5636">
      <c r="A5636" s="28" t="n">
        <v>27614</v>
      </c>
      <c r="B5636" t="n">
        <v>8.4</v>
      </c>
      <c r="C5636" t="n">
        <v>6.41</v>
      </c>
    </row>
    <row r="5637">
      <c r="A5637" s="28" t="n">
        <v>27617</v>
      </c>
      <c r="B5637" t="n">
        <v>8.380000000000001</v>
      </c>
      <c r="C5637" t="n">
        <v>6.37</v>
      </c>
    </row>
    <row r="5638">
      <c r="A5638" s="28" t="n">
        <v>27618</v>
      </c>
      <c r="B5638" t="n">
        <v>8.4</v>
      </c>
      <c r="C5638" t="n">
        <v>6.4</v>
      </c>
    </row>
    <row r="5639">
      <c r="A5639" s="28" t="n">
        <v>27619</v>
      </c>
      <c r="B5639" t="n">
        <v>8.390000000000001</v>
      </c>
      <c r="C5639" t="n">
        <v>6.45</v>
      </c>
    </row>
    <row r="5640">
      <c r="A5640" s="28" t="n">
        <v>27620</v>
      </c>
      <c r="B5640" t="n">
        <v>8.449999999999999</v>
      </c>
      <c r="C5640" t="n">
        <v>6.45</v>
      </c>
    </row>
    <row r="5641">
      <c r="A5641" s="28" t="n">
        <v>27621</v>
      </c>
      <c r="B5641" t="n">
        <v>8.48</v>
      </c>
      <c r="C5641" t="n">
        <v>6.42</v>
      </c>
    </row>
    <row r="5642">
      <c r="A5642" s="28" t="n">
        <v>27624</v>
      </c>
      <c r="B5642" t="n">
        <v>8.460000000000001</v>
      </c>
      <c r="C5642" t="n">
        <v>6.42</v>
      </c>
    </row>
    <row r="5643">
      <c r="A5643" s="28" t="n">
        <v>27625</v>
      </c>
      <c r="B5643" t="n">
        <v>8.42</v>
      </c>
      <c r="C5643" t="n">
        <v>6.47</v>
      </c>
    </row>
    <row r="5644">
      <c r="A5644" s="28" t="n">
        <v>27626</v>
      </c>
      <c r="B5644" t="n">
        <v>8.42</v>
      </c>
      <c r="C5644" t="n">
        <v>6.46</v>
      </c>
    </row>
    <row r="5645">
      <c r="A5645" s="28" t="n">
        <v>27627</v>
      </c>
      <c r="B5645" t="n">
        <v>8.48</v>
      </c>
      <c r="C5645" t="n">
        <v>6.48</v>
      </c>
    </row>
    <row r="5646">
      <c r="A5646" s="28" t="n">
        <v>27628</v>
      </c>
      <c r="B5646" t="n">
        <v>8.460000000000001</v>
      </c>
      <c r="C5646" t="n">
        <v>6.46</v>
      </c>
    </row>
    <row r="5647">
      <c r="A5647" s="28" t="n">
        <v>27631</v>
      </c>
      <c r="B5647" t="n">
        <v>8.460000000000001</v>
      </c>
      <c r="C5647" t="n">
        <v>6.53</v>
      </c>
    </row>
    <row r="5648">
      <c r="A5648" s="28" t="n">
        <v>27632</v>
      </c>
      <c r="B5648" t="n">
        <v>8.4</v>
      </c>
      <c r="C5648" t="n">
        <v>6.58</v>
      </c>
    </row>
    <row r="5649">
      <c r="A5649" s="28" t="n">
        <v>27633</v>
      </c>
      <c r="B5649" t="n">
        <v>8.369999999999999</v>
      </c>
      <c r="C5649" t="n">
        <v>6.55</v>
      </c>
    </row>
    <row r="5650">
      <c r="A5650" s="28" t="n">
        <v>27634</v>
      </c>
      <c r="B5650" t="n">
        <v>8.279999999999999</v>
      </c>
      <c r="C5650" t="n">
        <v>6.42</v>
      </c>
    </row>
    <row r="5651">
      <c r="A5651" s="28" t="n">
        <v>27635</v>
      </c>
      <c r="B5651" t="n">
        <v>8.220000000000001</v>
      </c>
      <c r="C5651" t="n">
        <v>6.36</v>
      </c>
    </row>
    <row r="5652">
      <c r="A5652" s="28" t="n">
        <v>27638</v>
      </c>
      <c r="B5652" t="n">
        <v>0</v>
      </c>
      <c r="C5652" t="n">
        <v>0</v>
      </c>
    </row>
    <row r="5653">
      <c r="A5653" s="28" t="n">
        <v>27639</v>
      </c>
      <c r="B5653" t="n">
        <v>8.26</v>
      </c>
      <c r="C5653" t="n">
        <v>6.42</v>
      </c>
    </row>
    <row r="5654">
      <c r="A5654" s="28" t="n">
        <v>27640</v>
      </c>
      <c r="B5654" t="n">
        <v>8.289999999999999</v>
      </c>
      <c r="C5654" t="n">
        <v>6.39</v>
      </c>
    </row>
    <row r="5655">
      <c r="A5655" s="28" t="n">
        <v>27641</v>
      </c>
      <c r="B5655" t="n">
        <v>8.289999999999999</v>
      </c>
      <c r="C5655" t="n">
        <v>6.33</v>
      </c>
    </row>
    <row r="5656">
      <c r="A5656" s="28" t="n">
        <v>27642</v>
      </c>
      <c r="B5656" t="n">
        <v>8.35</v>
      </c>
      <c r="C5656" t="n">
        <v>6.39</v>
      </c>
    </row>
    <row r="5657">
      <c r="A5657" s="28" t="n">
        <v>27645</v>
      </c>
      <c r="B5657" t="n">
        <v>8.359999999999999</v>
      </c>
      <c r="C5657" t="n">
        <v>6.41</v>
      </c>
    </row>
    <row r="5658">
      <c r="A5658" s="28" t="n">
        <v>27646</v>
      </c>
      <c r="B5658" t="n">
        <v>8.4</v>
      </c>
      <c r="C5658" t="n">
        <v>6.41</v>
      </c>
    </row>
    <row r="5659">
      <c r="A5659" s="28" t="n">
        <v>27647</v>
      </c>
      <c r="B5659" t="n">
        <v>8.460000000000001</v>
      </c>
      <c r="C5659" t="n">
        <v>6.42</v>
      </c>
    </row>
    <row r="5660">
      <c r="A5660" s="28" t="n">
        <v>27648</v>
      </c>
      <c r="B5660" t="n">
        <v>8.550000000000001</v>
      </c>
      <c r="C5660" t="n">
        <v>6.46</v>
      </c>
    </row>
    <row r="5661">
      <c r="A5661" s="28" t="n">
        <v>27649</v>
      </c>
      <c r="B5661" t="n">
        <v>8.57</v>
      </c>
      <c r="C5661" t="n">
        <v>6.45</v>
      </c>
    </row>
    <row r="5662">
      <c r="A5662" s="28" t="n">
        <v>27652</v>
      </c>
      <c r="B5662" t="n">
        <v>8.58</v>
      </c>
      <c r="C5662" t="n">
        <v>6.5</v>
      </c>
    </row>
    <row r="5663">
      <c r="A5663" s="28" t="n">
        <v>27653</v>
      </c>
      <c r="B5663" t="n">
        <v>8.59</v>
      </c>
      <c r="C5663" t="n">
        <v>6.54</v>
      </c>
    </row>
    <row r="5664">
      <c r="A5664" s="28" t="n">
        <v>27654</v>
      </c>
      <c r="B5664" t="n">
        <v>8.529999999999999</v>
      </c>
      <c r="C5664" t="n">
        <v>6.45</v>
      </c>
    </row>
    <row r="5665">
      <c r="A5665" s="28" t="n">
        <v>27655</v>
      </c>
      <c r="B5665" t="n">
        <v>8.5</v>
      </c>
      <c r="C5665" t="n">
        <v>6.38</v>
      </c>
    </row>
    <row r="5666">
      <c r="A5666" s="28" t="n">
        <v>27656</v>
      </c>
      <c r="B5666" t="n">
        <v>8.42</v>
      </c>
      <c r="C5666" t="n">
        <v>6.36</v>
      </c>
    </row>
    <row r="5667">
      <c r="A5667" s="28" t="n">
        <v>27659</v>
      </c>
      <c r="B5667" t="n">
        <v>8.380000000000001</v>
      </c>
      <c r="C5667" t="n">
        <v>6.34</v>
      </c>
    </row>
    <row r="5668">
      <c r="A5668" s="28" t="n">
        <v>27660</v>
      </c>
      <c r="B5668" t="n">
        <v>8.35</v>
      </c>
      <c r="C5668" t="n">
        <v>6.36</v>
      </c>
    </row>
    <row r="5669">
      <c r="A5669" s="28" t="n">
        <v>27661</v>
      </c>
      <c r="B5669" t="n">
        <v>8.31</v>
      </c>
      <c r="C5669" t="n">
        <v>6.35</v>
      </c>
    </row>
    <row r="5670">
      <c r="A5670" s="28" t="n">
        <v>27662</v>
      </c>
      <c r="B5670" t="n">
        <v>8.380000000000001</v>
      </c>
      <c r="C5670" t="n">
        <v>6.4</v>
      </c>
    </row>
    <row r="5671">
      <c r="A5671" s="28" t="n">
        <v>27663</v>
      </c>
      <c r="B5671" t="n">
        <v>8.449999999999999</v>
      </c>
      <c r="C5671" t="n">
        <v>6.43</v>
      </c>
    </row>
    <row r="5672">
      <c r="A5672" s="28" t="n">
        <v>27666</v>
      </c>
      <c r="B5672" t="n">
        <v>8.460000000000001</v>
      </c>
      <c r="C5672" t="n">
        <v>6.43</v>
      </c>
    </row>
    <row r="5673">
      <c r="A5673" s="28" t="n">
        <v>27667</v>
      </c>
      <c r="B5673" t="n">
        <v>8.48</v>
      </c>
      <c r="C5673" t="n">
        <v>6.58</v>
      </c>
    </row>
    <row r="5674">
      <c r="A5674" s="28" t="n">
        <v>27668</v>
      </c>
      <c r="B5674" t="n">
        <v>8.470000000000001</v>
      </c>
      <c r="C5674" t="n">
        <v>6.53</v>
      </c>
    </row>
    <row r="5675">
      <c r="A5675" s="28" t="n">
        <v>27669</v>
      </c>
      <c r="B5675" t="n">
        <v>8.44</v>
      </c>
      <c r="C5675" t="n">
        <v>6.48</v>
      </c>
    </row>
    <row r="5676">
      <c r="A5676" s="28" t="n">
        <v>27670</v>
      </c>
      <c r="B5676" t="n">
        <v>8.33</v>
      </c>
      <c r="C5676" t="n">
        <v>6.29</v>
      </c>
    </row>
    <row r="5677">
      <c r="A5677" s="28" t="n">
        <v>27673</v>
      </c>
      <c r="B5677" t="n">
        <v>8.300000000000001</v>
      </c>
      <c r="C5677" t="n">
        <v>6.24</v>
      </c>
    </row>
    <row r="5678">
      <c r="A5678" s="28" t="n">
        <v>27674</v>
      </c>
      <c r="B5678" t="n">
        <v>8.33</v>
      </c>
      <c r="C5678" t="n">
        <v>6.33</v>
      </c>
    </row>
    <row r="5679">
      <c r="A5679" s="28" t="n">
        <v>27675</v>
      </c>
      <c r="B5679" t="n">
        <v>8.300000000000001</v>
      </c>
      <c r="C5679" t="n">
        <v>6.27</v>
      </c>
    </row>
    <row r="5680">
      <c r="A5680" s="28" t="n">
        <v>27676</v>
      </c>
      <c r="B5680" t="n">
        <v>8.23</v>
      </c>
      <c r="C5680" t="n">
        <v>6.22</v>
      </c>
    </row>
    <row r="5681">
      <c r="A5681" s="28" t="n">
        <v>27677</v>
      </c>
      <c r="B5681" t="n">
        <v>8.15</v>
      </c>
      <c r="C5681" t="n">
        <v>6.09</v>
      </c>
    </row>
    <row r="5682">
      <c r="A5682" s="28" t="n">
        <v>27680</v>
      </c>
      <c r="B5682" t="n">
        <v>0</v>
      </c>
      <c r="C5682" t="n">
        <v>0</v>
      </c>
    </row>
    <row r="5683">
      <c r="A5683" s="28" t="n">
        <v>27681</v>
      </c>
      <c r="B5683" t="n">
        <v>8.19</v>
      </c>
      <c r="C5683" t="n">
        <v>6.09</v>
      </c>
    </row>
    <row r="5684">
      <c r="A5684" s="28" t="n">
        <v>27682</v>
      </c>
      <c r="B5684" t="n">
        <v>8.19</v>
      </c>
      <c r="C5684" t="n">
        <v>6.1</v>
      </c>
    </row>
    <row r="5685">
      <c r="A5685" s="28" t="n">
        <v>27683</v>
      </c>
      <c r="B5685" t="n">
        <v>8.07</v>
      </c>
      <c r="C5685" t="n">
        <v>5.97</v>
      </c>
    </row>
    <row r="5686">
      <c r="A5686" s="28" t="n">
        <v>27684</v>
      </c>
      <c r="B5686" t="n">
        <v>8.07</v>
      </c>
      <c r="C5686" t="n">
        <v>5.89</v>
      </c>
    </row>
    <row r="5687">
      <c r="A5687" s="28" t="n">
        <v>27687</v>
      </c>
      <c r="B5687" t="n">
        <v>8.07</v>
      </c>
      <c r="C5687" t="n">
        <v>5.9</v>
      </c>
    </row>
    <row r="5688">
      <c r="A5688" s="28" t="n">
        <v>27688</v>
      </c>
      <c r="B5688" t="n">
        <v>8.050000000000001</v>
      </c>
      <c r="C5688" t="n">
        <v>5.66</v>
      </c>
    </row>
    <row r="5689">
      <c r="A5689" s="28" t="n">
        <v>27689</v>
      </c>
      <c r="B5689" t="n">
        <v>8.050000000000001</v>
      </c>
      <c r="C5689" t="n">
        <v>5.73</v>
      </c>
    </row>
    <row r="5690">
      <c r="A5690" s="28" t="n">
        <v>27690</v>
      </c>
      <c r="B5690" t="n">
        <v>7.99</v>
      </c>
      <c r="C5690" t="n">
        <v>5.72</v>
      </c>
    </row>
    <row r="5691">
      <c r="A5691" s="28" t="n">
        <v>27691</v>
      </c>
      <c r="B5691" t="n">
        <v>8</v>
      </c>
      <c r="C5691" t="n">
        <v>5.66</v>
      </c>
    </row>
    <row r="5692">
      <c r="A5692" s="28" t="n">
        <v>27694</v>
      </c>
      <c r="B5692" t="n">
        <v>8</v>
      </c>
      <c r="C5692" t="n">
        <v>5.72</v>
      </c>
    </row>
    <row r="5693">
      <c r="A5693" s="28" t="n">
        <v>27695</v>
      </c>
      <c r="B5693" t="n">
        <v>7.99</v>
      </c>
      <c r="C5693" t="n">
        <v>5.63</v>
      </c>
    </row>
    <row r="5694">
      <c r="A5694" s="28" t="n">
        <v>27696</v>
      </c>
      <c r="B5694" t="n">
        <v>7.98</v>
      </c>
      <c r="C5694" t="n">
        <v>5.56</v>
      </c>
    </row>
    <row r="5695">
      <c r="A5695" s="28" t="n">
        <v>27697</v>
      </c>
      <c r="B5695" t="n">
        <v>7.92</v>
      </c>
      <c r="C5695" t="n">
        <v>5.46</v>
      </c>
    </row>
    <row r="5696">
      <c r="A5696" s="28" t="n">
        <v>27698</v>
      </c>
      <c r="B5696" t="n">
        <v>7.91</v>
      </c>
      <c r="C5696" t="n">
        <v>5.51</v>
      </c>
    </row>
    <row r="5697">
      <c r="A5697" s="28" t="n">
        <v>27701</v>
      </c>
      <c r="B5697" t="n">
        <v>7.97</v>
      </c>
      <c r="C5697" t="n">
        <v>5.57</v>
      </c>
    </row>
    <row r="5698">
      <c r="A5698" s="28" t="n">
        <v>27702</v>
      </c>
      <c r="B5698" t="n">
        <v>0</v>
      </c>
      <c r="C5698" t="n">
        <v>0</v>
      </c>
    </row>
    <row r="5699">
      <c r="A5699" s="28" t="n">
        <v>27703</v>
      </c>
      <c r="B5699" t="n">
        <v>7.91</v>
      </c>
      <c r="C5699" t="n">
        <v>5.53</v>
      </c>
    </row>
    <row r="5700">
      <c r="A5700" s="28" t="n">
        <v>27704</v>
      </c>
      <c r="B5700" t="n">
        <v>7.94</v>
      </c>
      <c r="C5700" t="n">
        <v>5.51</v>
      </c>
    </row>
    <row r="5701">
      <c r="A5701" s="28" t="n">
        <v>27705</v>
      </c>
      <c r="B5701" t="n">
        <v>7.91</v>
      </c>
      <c r="C5701" t="n">
        <v>5.38</v>
      </c>
    </row>
    <row r="5702">
      <c r="A5702" s="28" t="n">
        <v>27708</v>
      </c>
      <c r="B5702" t="n">
        <v>7.9</v>
      </c>
      <c r="C5702" t="n">
        <v>5.3</v>
      </c>
    </row>
    <row r="5703">
      <c r="A5703" s="28" t="n">
        <v>27709</v>
      </c>
      <c r="B5703" t="n">
        <v>0</v>
      </c>
      <c r="C5703" t="n">
        <v>0</v>
      </c>
    </row>
    <row r="5704">
      <c r="A5704" s="28" t="n">
        <v>27710</v>
      </c>
      <c r="B5704" t="n">
        <v>7.95</v>
      </c>
      <c r="C5704" t="n">
        <v>5.36</v>
      </c>
    </row>
    <row r="5705">
      <c r="A5705" s="28" t="n">
        <v>27711</v>
      </c>
      <c r="B5705" t="n">
        <v>7.97</v>
      </c>
      <c r="C5705" t="n">
        <v>5.37</v>
      </c>
    </row>
    <row r="5706">
      <c r="A5706" s="28" t="n">
        <v>27712</v>
      </c>
      <c r="B5706" t="n">
        <v>8.06</v>
      </c>
      <c r="C5706" t="n">
        <v>5.45</v>
      </c>
    </row>
    <row r="5707">
      <c r="A5707" s="28" t="n">
        <v>27715</v>
      </c>
      <c r="B5707" t="n">
        <v>8.08</v>
      </c>
      <c r="C5707" t="n">
        <v>5.45</v>
      </c>
    </row>
    <row r="5708">
      <c r="A5708" s="28" t="n">
        <v>27716</v>
      </c>
      <c r="B5708" t="n">
        <v>8.130000000000001</v>
      </c>
      <c r="C5708" t="n">
        <v>5.47</v>
      </c>
    </row>
    <row r="5709">
      <c r="A5709" s="28" t="n">
        <v>27717</v>
      </c>
      <c r="B5709" t="n">
        <v>8.140000000000001</v>
      </c>
      <c r="C5709" t="n">
        <v>5.47</v>
      </c>
    </row>
    <row r="5710">
      <c r="A5710" s="28" t="n">
        <v>27718</v>
      </c>
      <c r="B5710" t="n">
        <v>8.119999999999999</v>
      </c>
      <c r="C5710" t="n">
        <v>5.46</v>
      </c>
    </row>
    <row r="5711">
      <c r="A5711" s="28" t="n">
        <v>27719</v>
      </c>
      <c r="B5711" t="n">
        <v>8.210000000000001</v>
      </c>
      <c r="C5711" t="n">
        <v>5.6</v>
      </c>
    </row>
    <row r="5712">
      <c r="A5712" s="28" t="n">
        <v>27722</v>
      </c>
      <c r="B5712" t="n">
        <v>8.16</v>
      </c>
      <c r="C5712" t="n">
        <v>5.52</v>
      </c>
    </row>
    <row r="5713">
      <c r="A5713" s="28" t="n">
        <v>27723</v>
      </c>
      <c r="B5713" t="n">
        <v>8.16</v>
      </c>
      <c r="C5713" t="n">
        <v>5.56</v>
      </c>
    </row>
    <row r="5714">
      <c r="A5714" s="28" t="n">
        <v>27724</v>
      </c>
      <c r="B5714" t="n">
        <v>8.15</v>
      </c>
      <c r="C5714" t="n">
        <v>5.55</v>
      </c>
    </row>
    <row r="5715">
      <c r="A5715" s="28" t="n">
        <v>27725</v>
      </c>
      <c r="B5715" t="n">
        <v>0</v>
      </c>
      <c r="C5715" t="n">
        <v>0</v>
      </c>
    </row>
    <row r="5716">
      <c r="A5716" s="28" t="n">
        <v>27726</v>
      </c>
      <c r="B5716" t="n">
        <v>8.140000000000001</v>
      </c>
      <c r="C5716" t="n">
        <v>5.54</v>
      </c>
    </row>
    <row r="5717">
      <c r="A5717" s="28" t="n">
        <v>27729</v>
      </c>
      <c r="B5717" t="n">
        <v>8.119999999999999</v>
      </c>
      <c r="C5717" t="n">
        <v>5.55</v>
      </c>
    </row>
    <row r="5718">
      <c r="A5718" s="28" t="n">
        <v>27730</v>
      </c>
      <c r="B5718" t="n">
        <v>8.1</v>
      </c>
      <c r="C5718" t="n">
        <v>5.57</v>
      </c>
    </row>
    <row r="5719">
      <c r="A5719" s="28" t="n">
        <v>27731</v>
      </c>
      <c r="B5719" t="n">
        <v>8.1</v>
      </c>
      <c r="C5719" t="n">
        <v>5.56</v>
      </c>
    </row>
    <row r="5720">
      <c r="A5720" s="28" t="n">
        <v>27732</v>
      </c>
      <c r="B5720" t="n">
        <v>8.15</v>
      </c>
      <c r="C5720" t="n">
        <v>5.61</v>
      </c>
    </row>
    <row r="5721">
      <c r="A5721" s="28" t="n">
        <v>27733</v>
      </c>
      <c r="B5721" t="n">
        <v>8.130000000000001</v>
      </c>
      <c r="C5721" t="n">
        <v>5.58</v>
      </c>
    </row>
    <row r="5722">
      <c r="A5722" s="28" t="n">
        <v>27736</v>
      </c>
      <c r="B5722" t="n">
        <v>8.19</v>
      </c>
      <c r="C5722" t="n">
        <v>5.58</v>
      </c>
    </row>
    <row r="5723">
      <c r="A5723" s="28" t="n">
        <v>27737</v>
      </c>
      <c r="B5723" t="n">
        <v>8.23</v>
      </c>
      <c r="C5723" t="n">
        <v>5.68</v>
      </c>
    </row>
    <row r="5724">
      <c r="A5724" s="28" t="n">
        <v>27738</v>
      </c>
      <c r="B5724" t="n">
        <v>8.23</v>
      </c>
      <c r="C5724" t="n">
        <v>5.64</v>
      </c>
    </row>
    <row r="5725">
      <c r="A5725" s="28" t="n">
        <v>27739</v>
      </c>
      <c r="B5725" t="n">
        <v>8.16</v>
      </c>
      <c r="C5725" t="n">
        <v>5.56</v>
      </c>
    </row>
    <row r="5726">
      <c r="A5726" s="28" t="n">
        <v>27740</v>
      </c>
      <c r="B5726" t="n">
        <v>8.119999999999999</v>
      </c>
      <c r="C5726" t="n">
        <v>5.56</v>
      </c>
    </row>
    <row r="5727">
      <c r="A5727" s="28" t="n">
        <v>27743</v>
      </c>
      <c r="B5727" t="n">
        <v>8.06</v>
      </c>
      <c r="C5727" t="n">
        <v>5.51</v>
      </c>
    </row>
    <row r="5728">
      <c r="A5728" s="28" t="n">
        <v>27744</v>
      </c>
      <c r="B5728" t="n">
        <v>8</v>
      </c>
      <c r="C5728" t="n">
        <v>5.51</v>
      </c>
    </row>
    <row r="5729">
      <c r="A5729" s="28" t="n">
        <v>27745</v>
      </c>
      <c r="B5729" t="n">
        <v>7.95</v>
      </c>
      <c r="C5729" t="n">
        <v>5.45</v>
      </c>
    </row>
    <row r="5730">
      <c r="A5730" s="28" t="n">
        <v>27746</v>
      </c>
      <c r="B5730" t="n">
        <v>7.96</v>
      </c>
      <c r="C5730" t="n">
        <v>5.44</v>
      </c>
    </row>
    <row r="5731">
      <c r="A5731" s="28" t="n">
        <v>27747</v>
      </c>
      <c r="B5731" t="n">
        <v>7.88</v>
      </c>
      <c r="C5731" t="n">
        <v>5.28</v>
      </c>
    </row>
    <row r="5732">
      <c r="A5732" s="28" t="n">
        <v>27750</v>
      </c>
      <c r="B5732" t="n">
        <v>7.87</v>
      </c>
      <c r="C5732" t="n">
        <v>5.34</v>
      </c>
    </row>
    <row r="5733">
      <c r="A5733" s="28" t="n">
        <v>27751</v>
      </c>
      <c r="B5733" t="n">
        <v>7.87</v>
      </c>
      <c r="C5733" t="n">
        <v>5.33</v>
      </c>
    </row>
    <row r="5734">
      <c r="A5734" s="28" t="n">
        <v>27752</v>
      </c>
      <c r="B5734" t="n">
        <v>7.82</v>
      </c>
      <c r="C5734" t="n">
        <v>5.27</v>
      </c>
    </row>
    <row r="5735">
      <c r="A5735" s="28" t="n">
        <v>27753</v>
      </c>
      <c r="B5735" t="n">
        <v>0</v>
      </c>
      <c r="C5735" t="n">
        <v>0</v>
      </c>
    </row>
    <row r="5736">
      <c r="A5736" s="28" t="n">
        <v>27754</v>
      </c>
      <c r="B5736" t="n">
        <v>7.75</v>
      </c>
      <c r="C5736" t="n">
        <v>5.17</v>
      </c>
    </row>
    <row r="5737">
      <c r="A5737" s="28" t="n">
        <v>27757</v>
      </c>
      <c r="B5737" t="n">
        <v>7.75</v>
      </c>
      <c r="C5737" t="n">
        <v>5.18</v>
      </c>
    </row>
    <row r="5738">
      <c r="A5738" s="28" t="n">
        <v>27758</v>
      </c>
      <c r="B5738" t="n">
        <v>7.73</v>
      </c>
      <c r="C5738" t="n">
        <v>5.18</v>
      </c>
    </row>
    <row r="5739">
      <c r="A5739" s="28" t="n">
        <v>27759</v>
      </c>
      <c r="B5739" t="n">
        <v>7.76</v>
      </c>
      <c r="C5739" t="n">
        <v>5.2</v>
      </c>
    </row>
    <row r="5740">
      <c r="A5740" s="28" t="n">
        <v>27760</v>
      </c>
      <c r="B5740" t="n">
        <v>0</v>
      </c>
      <c r="C5740" t="n">
        <v>0</v>
      </c>
    </row>
    <row r="5741">
      <c r="A5741" s="28" t="n">
        <v>27761</v>
      </c>
      <c r="B5741" t="n">
        <v>7.77</v>
      </c>
      <c r="C5741" t="n">
        <v>5.2</v>
      </c>
    </row>
    <row r="5742">
      <c r="A5742" s="28" t="n">
        <v>27764</v>
      </c>
      <c r="B5742" t="n">
        <v>7.74</v>
      </c>
      <c r="C5742" t="n">
        <v>5.23</v>
      </c>
    </row>
    <row r="5743">
      <c r="A5743" s="28" t="n">
        <v>27765</v>
      </c>
      <c r="B5743" t="n">
        <v>7.64</v>
      </c>
      <c r="C5743" t="n">
        <v>5.15</v>
      </c>
    </row>
    <row r="5744">
      <c r="A5744" s="28" t="n">
        <v>27766</v>
      </c>
      <c r="B5744" t="n">
        <v>7.69</v>
      </c>
      <c r="C5744" t="n">
        <v>5.08</v>
      </c>
    </row>
    <row r="5745">
      <c r="A5745" s="28" t="n">
        <v>27767</v>
      </c>
      <c r="B5745" t="n">
        <v>7.74</v>
      </c>
      <c r="C5745" t="n">
        <v>5</v>
      </c>
    </row>
    <row r="5746">
      <c r="A5746" s="28" t="n">
        <v>27768</v>
      </c>
      <c r="B5746" t="n">
        <v>7.64</v>
      </c>
      <c r="C5746" t="n">
        <v>4.87</v>
      </c>
    </row>
    <row r="5747">
      <c r="A5747" s="28" t="n">
        <v>27771</v>
      </c>
      <c r="B5747" t="n">
        <v>7.63</v>
      </c>
      <c r="C5747" t="n">
        <v>4.83</v>
      </c>
    </row>
    <row r="5748">
      <c r="A5748" s="28" t="n">
        <v>27772</v>
      </c>
      <c r="B5748" t="n">
        <v>7.64</v>
      </c>
      <c r="C5748" t="n">
        <v>4.83</v>
      </c>
    </row>
    <row r="5749">
      <c r="A5749" s="28" t="n">
        <v>27773</v>
      </c>
      <c r="B5749" t="n">
        <v>7.71</v>
      </c>
      <c r="C5749" t="n">
        <v>4.85</v>
      </c>
    </row>
    <row r="5750">
      <c r="A5750" s="28" t="n">
        <v>27774</v>
      </c>
      <c r="B5750" t="n">
        <v>7.73</v>
      </c>
      <c r="C5750" t="n">
        <v>4.84</v>
      </c>
    </row>
    <row r="5751">
      <c r="A5751" s="28" t="n">
        <v>27775</v>
      </c>
      <c r="B5751" t="n">
        <v>7.79</v>
      </c>
      <c r="C5751" t="n">
        <v>4.87</v>
      </c>
    </row>
    <row r="5752">
      <c r="A5752" s="28" t="n">
        <v>27778</v>
      </c>
      <c r="B5752" t="n">
        <v>7.76</v>
      </c>
      <c r="C5752" t="n">
        <v>4.79</v>
      </c>
    </row>
    <row r="5753">
      <c r="A5753" s="28" t="n">
        <v>27779</v>
      </c>
      <c r="B5753" t="n">
        <v>7.71</v>
      </c>
      <c r="C5753" t="n">
        <v>4.83</v>
      </c>
    </row>
    <row r="5754">
      <c r="A5754" s="28" t="n">
        <v>27780</v>
      </c>
      <c r="B5754" t="n">
        <v>7.78</v>
      </c>
      <c r="C5754" t="n">
        <v>4.79</v>
      </c>
    </row>
    <row r="5755">
      <c r="A5755" s="28" t="n">
        <v>27781</v>
      </c>
      <c r="B5755" t="n">
        <v>7.8</v>
      </c>
      <c r="C5755" t="n">
        <v>4.79</v>
      </c>
    </row>
    <row r="5756">
      <c r="A5756" s="28" t="n">
        <v>27782</v>
      </c>
      <c r="B5756" t="n">
        <v>7.78</v>
      </c>
      <c r="C5756" t="n">
        <v>4.68</v>
      </c>
    </row>
    <row r="5757">
      <c r="A5757" s="28" t="n">
        <v>27785</v>
      </c>
      <c r="B5757" t="n">
        <v>7.79</v>
      </c>
      <c r="C5757" t="n">
        <v>4.74</v>
      </c>
    </row>
    <row r="5758">
      <c r="A5758" s="28" t="n">
        <v>27786</v>
      </c>
      <c r="B5758" t="n">
        <v>7.8</v>
      </c>
      <c r="C5758" t="n">
        <v>4.75</v>
      </c>
    </row>
    <row r="5759">
      <c r="A5759" s="28" t="n">
        <v>27787</v>
      </c>
      <c r="B5759" t="n">
        <v>7.83</v>
      </c>
      <c r="C5759" t="n">
        <v>4.71</v>
      </c>
    </row>
    <row r="5760">
      <c r="A5760" s="28" t="n">
        <v>27788</v>
      </c>
      <c r="B5760" t="n">
        <v>7.82</v>
      </c>
      <c r="C5760" t="n">
        <v>4.68</v>
      </c>
    </row>
    <row r="5761">
      <c r="A5761" s="28" t="n">
        <v>27789</v>
      </c>
      <c r="B5761" t="n">
        <v>7.8</v>
      </c>
      <c r="C5761" t="n">
        <v>4.73</v>
      </c>
    </row>
    <row r="5762">
      <c r="A5762" s="28" t="n">
        <v>27792</v>
      </c>
      <c r="B5762" t="n">
        <v>7.8</v>
      </c>
      <c r="C5762" t="n">
        <v>4.8</v>
      </c>
    </row>
    <row r="5763">
      <c r="A5763" s="28" t="n">
        <v>27793</v>
      </c>
      <c r="B5763" t="n">
        <v>7.82</v>
      </c>
      <c r="C5763" t="n">
        <v>4.91</v>
      </c>
    </row>
    <row r="5764">
      <c r="A5764" s="28" t="n">
        <v>27794</v>
      </c>
      <c r="B5764" t="n">
        <v>7.85</v>
      </c>
      <c r="C5764" t="n">
        <v>4.96</v>
      </c>
    </row>
    <row r="5765">
      <c r="A5765" s="28" t="n">
        <v>27795</v>
      </c>
      <c r="B5765" t="n">
        <v>7.83</v>
      </c>
      <c r="C5765" t="n">
        <v>4.92</v>
      </c>
    </row>
    <row r="5766">
      <c r="A5766" s="28" t="n">
        <v>27796</v>
      </c>
      <c r="B5766" t="n">
        <v>7.88</v>
      </c>
      <c r="C5766" t="n">
        <v>4.9</v>
      </c>
    </row>
    <row r="5767">
      <c r="A5767" s="28" t="n">
        <v>27799</v>
      </c>
      <c r="B5767" t="n">
        <v>7.86</v>
      </c>
      <c r="C5767" t="n">
        <v>4.84</v>
      </c>
    </row>
    <row r="5768">
      <c r="A5768" s="28" t="n">
        <v>27800</v>
      </c>
      <c r="B5768" t="n">
        <v>7.88</v>
      </c>
      <c r="C5768" t="n">
        <v>4.87</v>
      </c>
    </row>
    <row r="5769">
      <c r="A5769" s="28" t="n">
        <v>27801</v>
      </c>
      <c r="B5769" t="n">
        <v>7.85</v>
      </c>
      <c r="C5769" t="n">
        <v>4.83</v>
      </c>
    </row>
    <row r="5770">
      <c r="A5770" s="28" t="n">
        <v>27802</v>
      </c>
      <c r="B5770" t="n">
        <v>0</v>
      </c>
      <c r="C5770" t="n">
        <v>0</v>
      </c>
    </row>
    <row r="5771">
      <c r="A5771" s="28" t="n">
        <v>27803</v>
      </c>
      <c r="B5771" t="n">
        <v>7.82</v>
      </c>
      <c r="C5771" t="n">
        <v>4.85</v>
      </c>
    </row>
    <row r="5772">
      <c r="A5772" s="28" t="n">
        <v>27806</v>
      </c>
      <c r="B5772" t="n">
        <v>0</v>
      </c>
      <c r="C5772" t="n">
        <v>0</v>
      </c>
    </row>
    <row r="5773">
      <c r="A5773" s="28" t="n">
        <v>27807</v>
      </c>
      <c r="B5773" t="n">
        <v>7.78</v>
      </c>
      <c r="C5773" t="n">
        <v>4.88</v>
      </c>
    </row>
    <row r="5774">
      <c r="A5774" s="28" t="n">
        <v>27808</v>
      </c>
      <c r="B5774" t="n">
        <v>7.79</v>
      </c>
      <c r="C5774" t="n">
        <v>4.92</v>
      </c>
    </row>
    <row r="5775">
      <c r="A5775" s="28" t="n">
        <v>27809</v>
      </c>
      <c r="B5775" t="n">
        <v>7.8</v>
      </c>
      <c r="C5775" t="n">
        <v>4.88</v>
      </c>
    </row>
    <row r="5776">
      <c r="A5776" s="28" t="n">
        <v>27810</v>
      </c>
      <c r="B5776" t="n">
        <v>7.77</v>
      </c>
      <c r="C5776" t="n">
        <v>4.81</v>
      </c>
    </row>
    <row r="5777">
      <c r="A5777" s="28" t="n">
        <v>27813</v>
      </c>
      <c r="B5777" t="n">
        <v>7.72</v>
      </c>
      <c r="C5777" t="n">
        <v>4.84</v>
      </c>
    </row>
    <row r="5778">
      <c r="A5778" s="28" t="n">
        <v>27814</v>
      </c>
      <c r="B5778" t="n">
        <v>7.69</v>
      </c>
      <c r="C5778" t="n">
        <v>4.9</v>
      </c>
    </row>
    <row r="5779">
      <c r="A5779" s="28" t="n">
        <v>27815</v>
      </c>
      <c r="B5779" t="n">
        <v>7.68</v>
      </c>
      <c r="C5779" t="n">
        <v>4.87</v>
      </c>
    </row>
    <row r="5780">
      <c r="A5780" s="28" t="n">
        <v>27816</v>
      </c>
      <c r="B5780" t="n">
        <v>7.68</v>
      </c>
      <c r="C5780" t="n">
        <v>4.88</v>
      </c>
    </row>
    <row r="5781">
      <c r="A5781" s="28" t="n">
        <v>27817</v>
      </c>
      <c r="B5781" t="n">
        <v>7.77</v>
      </c>
      <c r="C5781" t="n">
        <v>5</v>
      </c>
    </row>
    <row r="5782">
      <c r="A5782" s="28" t="n">
        <v>27820</v>
      </c>
      <c r="B5782" t="n">
        <v>7.86</v>
      </c>
      <c r="C5782" t="n">
        <v>5.2</v>
      </c>
    </row>
    <row r="5783">
      <c r="A5783" s="28" t="n">
        <v>27821</v>
      </c>
      <c r="B5783" t="n">
        <v>7.82</v>
      </c>
      <c r="C5783" t="n">
        <v>5.25</v>
      </c>
    </row>
    <row r="5784">
      <c r="A5784" s="28" t="n">
        <v>27822</v>
      </c>
      <c r="B5784" t="n">
        <v>7.82</v>
      </c>
      <c r="C5784" t="n">
        <v>5.2</v>
      </c>
    </row>
    <row r="5785">
      <c r="A5785" s="28" t="n">
        <v>27823</v>
      </c>
      <c r="B5785" t="n">
        <v>7.85</v>
      </c>
      <c r="C5785" t="n">
        <v>5.22</v>
      </c>
    </row>
    <row r="5786">
      <c r="A5786" s="28" t="n">
        <v>27824</v>
      </c>
      <c r="B5786" t="n">
        <v>7.8</v>
      </c>
      <c r="C5786" t="n">
        <v>5.13</v>
      </c>
    </row>
    <row r="5787">
      <c r="A5787" s="28" t="n">
        <v>27827</v>
      </c>
      <c r="B5787" t="n">
        <v>7.76</v>
      </c>
      <c r="C5787" t="n">
        <v>5.07</v>
      </c>
    </row>
    <row r="5788">
      <c r="A5788" s="28" t="n">
        <v>27828</v>
      </c>
      <c r="B5788" t="n">
        <v>7.78</v>
      </c>
      <c r="C5788" t="n">
        <v>5</v>
      </c>
    </row>
    <row r="5789">
      <c r="A5789" s="28" t="n">
        <v>27829</v>
      </c>
      <c r="B5789" t="n">
        <v>7.76</v>
      </c>
      <c r="C5789" t="n">
        <v>4.97</v>
      </c>
    </row>
    <row r="5790">
      <c r="A5790" s="28" t="n">
        <v>27830</v>
      </c>
      <c r="B5790" t="n">
        <v>7.77</v>
      </c>
      <c r="C5790" t="n">
        <v>4.99</v>
      </c>
    </row>
    <row r="5791">
      <c r="A5791" s="28" t="n">
        <v>27831</v>
      </c>
      <c r="B5791" t="n">
        <v>7.71</v>
      </c>
      <c r="C5791" t="n">
        <v>4.9</v>
      </c>
    </row>
    <row r="5792">
      <c r="A5792" s="28" t="n">
        <v>27834</v>
      </c>
      <c r="B5792" t="n">
        <v>7.74</v>
      </c>
      <c r="C5792" t="n">
        <v>4.94</v>
      </c>
    </row>
    <row r="5793">
      <c r="A5793" s="28" t="n">
        <v>27835</v>
      </c>
      <c r="B5793" t="n">
        <v>7.76</v>
      </c>
      <c r="C5793" t="n">
        <v>5.01</v>
      </c>
    </row>
    <row r="5794">
      <c r="A5794" s="28" t="n">
        <v>27836</v>
      </c>
      <c r="B5794" t="n">
        <v>7.76</v>
      </c>
      <c r="C5794" t="n">
        <v>5</v>
      </c>
    </row>
    <row r="5795">
      <c r="A5795" s="28" t="n">
        <v>27837</v>
      </c>
      <c r="B5795" t="n">
        <v>7.73</v>
      </c>
      <c r="C5795" t="n">
        <v>4.98</v>
      </c>
    </row>
    <row r="5796">
      <c r="A5796" s="28" t="n">
        <v>27838</v>
      </c>
      <c r="B5796" t="n">
        <v>7.74</v>
      </c>
      <c r="C5796" t="n">
        <v>4.96</v>
      </c>
    </row>
    <row r="5797">
      <c r="A5797" s="28" t="n">
        <v>27841</v>
      </c>
      <c r="B5797" t="n">
        <v>7.68</v>
      </c>
      <c r="C5797" t="n">
        <v>4.86</v>
      </c>
    </row>
    <row r="5798">
      <c r="A5798" s="28" t="n">
        <v>27842</v>
      </c>
      <c r="B5798" t="n">
        <v>7.67</v>
      </c>
      <c r="C5798" t="n">
        <v>4.89</v>
      </c>
    </row>
    <row r="5799">
      <c r="A5799" s="28" t="n">
        <v>27843</v>
      </c>
      <c r="B5799" t="n">
        <v>7.65</v>
      </c>
      <c r="C5799" t="n">
        <v>4.86</v>
      </c>
    </row>
    <row r="5800">
      <c r="A5800" s="28" t="n">
        <v>27844</v>
      </c>
      <c r="B5800" t="n">
        <v>7.64</v>
      </c>
      <c r="C5800" t="n">
        <v>4.85</v>
      </c>
    </row>
    <row r="5801">
      <c r="A5801" s="28" t="n">
        <v>27845</v>
      </c>
      <c r="B5801" t="n">
        <v>7.64</v>
      </c>
      <c r="C5801" t="n">
        <v>4.88</v>
      </c>
    </row>
    <row r="5802">
      <c r="A5802" s="28" t="n">
        <v>27848</v>
      </c>
      <c r="B5802" t="n">
        <v>7.64</v>
      </c>
      <c r="C5802" t="n">
        <v>4.9</v>
      </c>
    </row>
    <row r="5803">
      <c r="A5803" s="28" t="n">
        <v>27849</v>
      </c>
      <c r="B5803" t="n">
        <v>7.65</v>
      </c>
      <c r="C5803" t="n">
        <v>4.99</v>
      </c>
    </row>
    <row r="5804">
      <c r="A5804" s="28" t="n">
        <v>27850</v>
      </c>
      <c r="B5804" t="n">
        <v>7.66</v>
      </c>
      <c r="C5804" t="n">
        <v>4.97</v>
      </c>
    </row>
    <row r="5805">
      <c r="A5805" s="28" t="n">
        <v>27851</v>
      </c>
      <c r="B5805" t="n">
        <v>7.68</v>
      </c>
      <c r="C5805" t="n">
        <v>5.01</v>
      </c>
    </row>
    <row r="5806">
      <c r="A5806" s="28" t="n">
        <v>27852</v>
      </c>
      <c r="B5806" t="n">
        <v>7.67</v>
      </c>
      <c r="C5806" t="n">
        <v>4.96</v>
      </c>
    </row>
    <row r="5807">
      <c r="A5807" s="28" t="n">
        <v>27855</v>
      </c>
      <c r="B5807" t="n">
        <v>7.62</v>
      </c>
      <c r="C5807" t="n">
        <v>4.91</v>
      </c>
    </row>
    <row r="5808">
      <c r="A5808" s="28" t="n">
        <v>27856</v>
      </c>
      <c r="B5808" t="n">
        <v>7.59</v>
      </c>
      <c r="C5808" t="n">
        <v>4.9</v>
      </c>
    </row>
    <row r="5809">
      <c r="A5809" s="28" t="n">
        <v>27857</v>
      </c>
      <c r="B5809" t="n">
        <v>7.56</v>
      </c>
      <c r="C5809" t="n">
        <v>4.93</v>
      </c>
    </row>
    <row r="5810">
      <c r="A5810" s="28" t="n">
        <v>27858</v>
      </c>
      <c r="B5810" t="n">
        <v>7.55</v>
      </c>
      <c r="C5810" t="n">
        <v>4.9</v>
      </c>
    </row>
    <row r="5811">
      <c r="A5811" s="28" t="n">
        <v>27859</v>
      </c>
      <c r="B5811" t="n">
        <v>7.52</v>
      </c>
      <c r="C5811" t="n">
        <v>4.89</v>
      </c>
    </row>
    <row r="5812">
      <c r="A5812" s="28" t="n">
        <v>27862</v>
      </c>
      <c r="B5812" t="n">
        <v>7.52</v>
      </c>
      <c r="C5812" t="n">
        <v>4.84</v>
      </c>
    </row>
    <row r="5813">
      <c r="A5813" s="28" t="n">
        <v>27863</v>
      </c>
      <c r="B5813" t="n">
        <v>7.5</v>
      </c>
      <c r="C5813" t="n">
        <v>4.78</v>
      </c>
    </row>
    <row r="5814">
      <c r="A5814" s="28" t="n">
        <v>27864</v>
      </c>
      <c r="B5814" t="n">
        <v>7.47</v>
      </c>
      <c r="C5814" t="n">
        <v>4.79</v>
      </c>
    </row>
    <row r="5815">
      <c r="A5815" s="28" t="n">
        <v>27865</v>
      </c>
      <c r="B5815" t="n">
        <v>7.47</v>
      </c>
      <c r="C5815" t="n">
        <v>4.78</v>
      </c>
    </row>
    <row r="5816">
      <c r="A5816" s="28" t="n">
        <v>27866</v>
      </c>
      <c r="B5816" t="n">
        <v>0</v>
      </c>
      <c r="C5816" t="n">
        <v>0</v>
      </c>
    </row>
    <row r="5817">
      <c r="A5817" s="28" t="n">
        <v>27869</v>
      </c>
      <c r="B5817" t="n">
        <v>7.51</v>
      </c>
      <c r="C5817" t="n">
        <v>4.77</v>
      </c>
    </row>
    <row r="5818">
      <c r="A5818" s="28" t="n">
        <v>27870</v>
      </c>
      <c r="B5818" t="n">
        <v>7.5</v>
      </c>
      <c r="C5818" t="n">
        <v>4.73</v>
      </c>
    </row>
    <row r="5819">
      <c r="A5819" s="28" t="n">
        <v>27871</v>
      </c>
      <c r="B5819" t="n">
        <v>7.47</v>
      </c>
      <c r="C5819" t="n">
        <v>4.69</v>
      </c>
    </row>
    <row r="5820">
      <c r="A5820" s="28" t="n">
        <v>27872</v>
      </c>
      <c r="B5820" t="n">
        <v>7.52</v>
      </c>
      <c r="C5820" t="n">
        <v>4.78</v>
      </c>
    </row>
    <row r="5821">
      <c r="A5821" s="28" t="n">
        <v>27873</v>
      </c>
      <c r="B5821" t="n">
        <v>7.59</v>
      </c>
      <c r="C5821" t="n">
        <v>4.92</v>
      </c>
    </row>
    <row r="5822">
      <c r="A5822" s="28" t="n">
        <v>27876</v>
      </c>
      <c r="B5822" t="n">
        <v>7.61</v>
      </c>
      <c r="C5822" t="n">
        <v>4.9</v>
      </c>
    </row>
    <row r="5823">
      <c r="A5823" s="28" t="n">
        <v>27877</v>
      </c>
      <c r="B5823" t="n">
        <v>7.62</v>
      </c>
      <c r="C5823" t="n">
        <v>4.89</v>
      </c>
    </row>
    <row r="5824">
      <c r="A5824" s="28" t="n">
        <v>27878</v>
      </c>
      <c r="B5824" t="n">
        <v>7.6</v>
      </c>
      <c r="C5824" t="n">
        <v>4.85</v>
      </c>
    </row>
    <row r="5825">
      <c r="A5825" s="28" t="n">
        <v>27879</v>
      </c>
      <c r="B5825" t="n">
        <v>7.61</v>
      </c>
      <c r="C5825" t="n">
        <v>4.86</v>
      </c>
    </row>
    <row r="5826">
      <c r="A5826" s="28" t="n">
        <v>27880</v>
      </c>
      <c r="B5826" t="n">
        <v>7.67</v>
      </c>
      <c r="C5826" t="n">
        <v>4.91</v>
      </c>
    </row>
    <row r="5827">
      <c r="A5827" s="28" t="n">
        <v>27883</v>
      </c>
      <c r="B5827" t="n">
        <v>7.69</v>
      </c>
      <c r="C5827" t="n">
        <v>4.88</v>
      </c>
    </row>
    <row r="5828">
      <c r="A5828" s="28" t="n">
        <v>27884</v>
      </c>
      <c r="B5828" t="n">
        <v>7.66</v>
      </c>
      <c r="C5828" t="n">
        <v>4.87</v>
      </c>
    </row>
    <row r="5829">
      <c r="A5829" s="28" t="n">
        <v>27885</v>
      </c>
      <c r="B5829" t="n">
        <v>7.68</v>
      </c>
      <c r="C5829" t="n">
        <v>4.86</v>
      </c>
    </row>
    <row r="5830">
      <c r="A5830" s="28" t="n">
        <v>27886</v>
      </c>
      <c r="B5830" t="n">
        <v>7.78</v>
      </c>
      <c r="C5830" t="n">
        <v>4.92</v>
      </c>
    </row>
    <row r="5831">
      <c r="A5831" s="28" t="n">
        <v>27887</v>
      </c>
      <c r="B5831" t="n">
        <v>7.87</v>
      </c>
      <c r="C5831" t="n">
        <v>5</v>
      </c>
    </row>
    <row r="5832">
      <c r="A5832" s="28" t="n">
        <v>27890</v>
      </c>
      <c r="B5832" t="n">
        <v>7.92</v>
      </c>
      <c r="C5832" t="n">
        <v>5.06</v>
      </c>
    </row>
    <row r="5833">
      <c r="A5833" s="28" t="n">
        <v>27891</v>
      </c>
      <c r="B5833" t="n">
        <v>7.92</v>
      </c>
      <c r="C5833" t="n">
        <v>5.08</v>
      </c>
    </row>
    <row r="5834">
      <c r="A5834" s="28" t="n">
        <v>27892</v>
      </c>
      <c r="B5834" t="n">
        <v>7.94</v>
      </c>
      <c r="C5834" t="n">
        <v>5.14</v>
      </c>
    </row>
    <row r="5835">
      <c r="A5835" s="28" t="n">
        <v>27893</v>
      </c>
      <c r="B5835" t="n">
        <v>7.92</v>
      </c>
      <c r="C5835" t="n">
        <v>5.1</v>
      </c>
    </row>
    <row r="5836">
      <c r="A5836" s="28" t="n">
        <v>27894</v>
      </c>
      <c r="B5836" t="n">
        <v>7.93</v>
      </c>
      <c r="C5836" t="n">
        <v>5.16</v>
      </c>
    </row>
    <row r="5837">
      <c r="A5837" s="28" t="n">
        <v>27897</v>
      </c>
      <c r="B5837" t="n">
        <v>7.94</v>
      </c>
      <c r="C5837" t="n">
        <v>5.22</v>
      </c>
    </row>
    <row r="5838">
      <c r="A5838" s="28" t="n">
        <v>27898</v>
      </c>
      <c r="B5838" t="n">
        <v>7.94</v>
      </c>
      <c r="C5838" t="n">
        <v>5.28</v>
      </c>
    </row>
    <row r="5839">
      <c r="A5839" s="28" t="n">
        <v>27899</v>
      </c>
      <c r="B5839" t="n">
        <v>7.94</v>
      </c>
      <c r="C5839" t="n">
        <v>5.31</v>
      </c>
    </row>
    <row r="5840">
      <c r="A5840" s="28" t="n">
        <v>27900</v>
      </c>
      <c r="B5840" t="n">
        <v>7.95</v>
      </c>
      <c r="C5840" t="n">
        <v>5.39</v>
      </c>
    </row>
    <row r="5841">
      <c r="A5841" s="28" t="n">
        <v>27901</v>
      </c>
      <c r="B5841" t="n">
        <v>8</v>
      </c>
      <c r="C5841" t="n">
        <v>5.44</v>
      </c>
    </row>
    <row r="5842">
      <c r="A5842" s="28" t="n">
        <v>27904</v>
      </c>
      <c r="B5842" t="n">
        <v>7.98</v>
      </c>
      <c r="C5842" t="n">
        <v>5.45</v>
      </c>
    </row>
    <row r="5843">
      <c r="A5843" s="28" t="n">
        <v>27905</v>
      </c>
      <c r="B5843" t="n">
        <v>7.94</v>
      </c>
      <c r="C5843" t="n">
        <v>5.46</v>
      </c>
    </row>
    <row r="5844">
      <c r="A5844" s="28" t="n">
        <v>27906</v>
      </c>
      <c r="B5844" t="n">
        <v>7.95</v>
      </c>
      <c r="C5844" t="n">
        <v>5.46</v>
      </c>
    </row>
    <row r="5845">
      <c r="A5845" s="28" t="n">
        <v>27907</v>
      </c>
      <c r="B5845" t="n">
        <v>7.99</v>
      </c>
      <c r="C5845" t="n">
        <v>5.49</v>
      </c>
    </row>
    <row r="5846">
      <c r="A5846" s="28" t="n">
        <v>27908</v>
      </c>
      <c r="B5846" t="n">
        <v>7.96</v>
      </c>
      <c r="C5846" t="n">
        <v>5.49</v>
      </c>
    </row>
    <row r="5847">
      <c r="A5847" s="28" t="n">
        <v>27911</v>
      </c>
      <c r="B5847" t="n">
        <v>0</v>
      </c>
      <c r="C5847" t="n">
        <v>0</v>
      </c>
    </row>
    <row r="5848">
      <c r="A5848" s="28" t="n">
        <v>27912</v>
      </c>
      <c r="B5848" t="n">
        <v>7.94</v>
      </c>
      <c r="C5848" t="n">
        <v>5.55</v>
      </c>
    </row>
    <row r="5849">
      <c r="A5849" s="28" t="n">
        <v>27913</v>
      </c>
      <c r="B5849" t="n">
        <v>7.94</v>
      </c>
      <c r="C5849" t="n">
        <v>5.57</v>
      </c>
    </row>
    <row r="5850">
      <c r="A5850" s="28" t="n">
        <v>27914</v>
      </c>
      <c r="B5850" t="n">
        <v>7.92</v>
      </c>
      <c r="C5850" t="n">
        <v>5.52</v>
      </c>
    </row>
    <row r="5851">
      <c r="A5851" s="28" t="n">
        <v>27915</v>
      </c>
      <c r="B5851" t="n">
        <v>7.89</v>
      </c>
      <c r="C5851" t="n">
        <v>5.46</v>
      </c>
    </row>
    <row r="5852">
      <c r="A5852" s="28" t="n">
        <v>27918</v>
      </c>
      <c r="B5852" t="n">
        <v>7.88</v>
      </c>
      <c r="C5852" t="n">
        <v>5.45</v>
      </c>
    </row>
    <row r="5853">
      <c r="A5853" s="28" t="n">
        <v>27919</v>
      </c>
      <c r="B5853" t="n">
        <v>7.9</v>
      </c>
      <c r="C5853" t="n">
        <v>5.45</v>
      </c>
    </row>
    <row r="5854">
      <c r="A5854" s="28" t="n">
        <v>27920</v>
      </c>
      <c r="B5854" t="n">
        <v>7.9</v>
      </c>
      <c r="C5854" t="n">
        <v>5.44</v>
      </c>
    </row>
    <row r="5855">
      <c r="A5855" s="28" t="n">
        <v>27921</v>
      </c>
      <c r="B5855" t="n">
        <v>7.86</v>
      </c>
      <c r="C5855" t="n">
        <v>5.43</v>
      </c>
    </row>
    <row r="5856">
      <c r="A5856" s="28" t="n">
        <v>27922</v>
      </c>
      <c r="B5856" t="n">
        <v>7.86</v>
      </c>
      <c r="C5856" t="n">
        <v>5.42</v>
      </c>
    </row>
    <row r="5857">
      <c r="A5857" s="28" t="n">
        <v>27925</v>
      </c>
      <c r="B5857" t="n">
        <v>7.84</v>
      </c>
      <c r="C5857" t="n">
        <v>5.4</v>
      </c>
    </row>
    <row r="5858">
      <c r="A5858" s="28" t="n">
        <v>27926</v>
      </c>
      <c r="B5858" t="n">
        <v>7.85</v>
      </c>
      <c r="C5858" t="n">
        <v>5.37</v>
      </c>
    </row>
    <row r="5859">
      <c r="A5859" s="28" t="n">
        <v>27927</v>
      </c>
      <c r="B5859" t="n">
        <v>7.87</v>
      </c>
      <c r="C5859" t="n">
        <v>5.4</v>
      </c>
    </row>
    <row r="5860">
      <c r="A5860" s="28" t="n">
        <v>27928</v>
      </c>
      <c r="B5860" t="n">
        <v>7.85</v>
      </c>
      <c r="C5860" t="n">
        <v>5.38</v>
      </c>
    </row>
    <row r="5861">
      <c r="A5861" s="28" t="n">
        <v>27929</v>
      </c>
      <c r="B5861" t="n">
        <v>7.81</v>
      </c>
      <c r="C5861" t="n">
        <v>5.35</v>
      </c>
    </row>
    <row r="5862">
      <c r="A5862" s="28" t="n">
        <v>27932</v>
      </c>
      <c r="B5862" t="n">
        <v>7.8</v>
      </c>
      <c r="C5862" t="n">
        <v>5.36</v>
      </c>
    </row>
    <row r="5863">
      <c r="A5863" s="28" t="n">
        <v>27933</v>
      </c>
      <c r="B5863" t="n">
        <v>7.81</v>
      </c>
      <c r="C5863" t="n">
        <v>5.38</v>
      </c>
    </row>
    <row r="5864">
      <c r="A5864" s="28" t="n">
        <v>27934</v>
      </c>
      <c r="B5864" t="n">
        <v>7.81</v>
      </c>
      <c r="C5864" t="n">
        <v>5.33</v>
      </c>
    </row>
    <row r="5865">
      <c r="A5865" s="28" t="n">
        <v>27935</v>
      </c>
      <c r="B5865" t="n">
        <v>7.81</v>
      </c>
      <c r="C5865" t="n">
        <v>5.31</v>
      </c>
    </row>
    <row r="5866">
      <c r="A5866" s="28" t="n">
        <v>27936</v>
      </c>
      <c r="B5866" t="n">
        <v>7.83</v>
      </c>
      <c r="C5866" t="n">
        <v>5.31</v>
      </c>
    </row>
    <row r="5867">
      <c r="A5867" s="28" t="n">
        <v>27939</v>
      </c>
      <c r="B5867" t="n">
        <v>7.86</v>
      </c>
      <c r="C5867" t="n">
        <v>5.35</v>
      </c>
    </row>
    <row r="5868">
      <c r="A5868" s="28" t="n">
        <v>27940</v>
      </c>
      <c r="B5868" t="n">
        <v>7.86</v>
      </c>
      <c r="C5868" t="n">
        <v>5.37</v>
      </c>
    </row>
    <row r="5869">
      <c r="A5869" s="28" t="n">
        <v>27941</v>
      </c>
      <c r="B5869" t="n">
        <v>7.86</v>
      </c>
      <c r="C5869" t="n">
        <v>5.37</v>
      </c>
    </row>
    <row r="5870">
      <c r="A5870" s="28" t="n">
        <v>27942</v>
      </c>
      <c r="B5870" t="n">
        <v>7.88</v>
      </c>
      <c r="C5870" t="n">
        <v>5.36</v>
      </c>
    </row>
    <row r="5871">
      <c r="A5871" s="28" t="n">
        <v>27943</v>
      </c>
      <c r="B5871" t="n">
        <v>7.84</v>
      </c>
      <c r="C5871" t="n">
        <v>5.35</v>
      </c>
    </row>
    <row r="5872">
      <c r="A5872" s="28" t="n">
        <v>27946</v>
      </c>
      <c r="B5872" t="n">
        <v>0</v>
      </c>
      <c r="C5872" t="n">
        <v>0</v>
      </c>
    </row>
    <row r="5873">
      <c r="A5873" s="28" t="n">
        <v>27947</v>
      </c>
      <c r="B5873" t="n">
        <v>7.82</v>
      </c>
      <c r="C5873" t="n">
        <v>5.39</v>
      </c>
    </row>
    <row r="5874">
      <c r="A5874" s="28" t="n">
        <v>27948</v>
      </c>
      <c r="B5874" t="n">
        <v>7.84</v>
      </c>
      <c r="C5874" t="n">
        <v>5.4</v>
      </c>
    </row>
    <row r="5875">
      <c r="A5875" s="28" t="n">
        <v>27949</v>
      </c>
      <c r="B5875" t="n">
        <v>7.82</v>
      </c>
      <c r="C5875" t="n">
        <v>5.33</v>
      </c>
    </row>
    <row r="5876">
      <c r="A5876" s="28" t="n">
        <v>27950</v>
      </c>
      <c r="B5876" t="n">
        <v>7.78</v>
      </c>
      <c r="C5876" t="n">
        <v>5.25</v>
      </c>
    </row>
    <row r="5877">
      <c r="A5877" s="28" t="n">
        <v>27953</v>
      </c>
      <c r="B5877" t="n">
        <v>7.76</v>
      </c>
      <c r="C5877" t="n">
        <v>5.16</v>
      </c>
    </row>
    <row r="5878">
      <c r="A5878" s="28" t="n">
        <v>27954</v>
      </c>
      <c r="B5878" t="n">
        <v>7.77</v>
      </c>
      <c r="C5878" t="n">
        <v>5.15</v>
      </c>
    </row>
    <row r="5879">
      <c r="A5879" s="28" t="n">
        <v>27955</v>
      </c>
      <c r="B5879" t="n">
        <v>7.79</v>
      </c>
      <c r="C5879" t="n">
        <v>5.15</v>
      </c>
    </row>
    <row r="5880">
      <c r="A5880" s="28" t="n">
        <v>27956</v>
      </c>
      <c r="B5880" t="n">
        <v>7.77</v>
      </c>
      <c r="C5880" t="n">
        <v>5.11</v>
      </c>
    </row>
    <row r="5881">
      <c r="A5881" s="28" t="n">
        <v>27957</v>
      </c>
      <c r="B5881" t="n">
        <v>7.83</v>
      </c>
      <c r="C5881" t="n">
        <v>5.2</v>
      </c>
    </row>
    <row r="5882">
      <c r="A5882" s="28" t="n">
        <v>27960</v>
      </c>
      <c r="B5882" t="n">
        <v>7.86</v>
      </c>
      <c r="C5882" t="n">
        <v>5.23</v>
      </c>
    </row>
    <row r="5883">
      <c r="A5883" s="28" t="n">
        <v>27961</v>
      </c>
      <c r="B5883" t="n">
        <v>7.87</v>
      </c>
      <c r="C5883" t="n">
        <v>5.24</v>
      </c>
    </row>
    <row r="5884">
      <c r="A5884" s="28" t="n">
        <v>27962</v>
      </c>
      <c r="B5884" t="n">
        <v>7.86</v>
      </c>
      <c r="C5884" t="n">
        <v>5.23</v>
      </c>
    </row>
    <row r="5885">
      <c r="A5885" s="28" t="n">
        <v>27963</v>
      </c>
      <c r="B5885" t="n">
        <v>7.86</v>
      </c>
      <c r="C5885" t="n">
        <v>5.23</v>
      </c>
    </row>
    <row r="5886">
      <c r="A5886" s="28" t="n">
        <v>27964</v>
      </c>
      <c r="B5886" t="n">
        <v>7.84</v>
      </c>
      <c r="C5886" t="n">
        <v>5.21</v>
      </c>
    </row>
    <row r="5887">
      <c r="A5887" s="28" t="n">
        <v>27967</v>
      </c>
      <c r="B5887" t="n">
        <v>7.87</v>
      </c>
      <c r="C5887" t="n">
        <v>5.19</v>
      </c>
    </row>
    <row r="5888">
      <c r="A5888" s="28" t="n">
        <v>27968</v>
      </c>
      <c r="B5888" t="n">
        <v>7.85</v>
      </c>
      <c r="C5888" t="n">
        <v>5.15</v>
      </c>
    </row>
    <row r="5889">
      <c r="A5889" s="28" t="n">
        <v>27969</v>
      </c>
      <c r="B5889" t="n">
        <v>7.85</v>
      </c>
      <c r="C5889" t="n">
        <v>5.17</v>
      </c>
    </row>
    <row r="5890">
      <c r="A5890" s="28" t="n">
        <v>27970</v>
      </c>
      <c r="B5890" t="n">
        <v>7.85</v>
      </c>
      <c r="C5890" t="n">
        <v>5.16</v>
      </c>
    </row>
    <row r="5891">
      <c r="A5891" s="28" t="n">
        <v>27971</v>
      </c>
      <c r="B5891" t="n">
        <v>7.86</v>
      </c>
      <c r="C5891" t="n">
        <v>5.17</v>
      </c>
    </row>
    <row r="5892">
      <c r="A5892" s="28" t="n">
        <v>27974</v>
      </c>
      <c r="B5892" t="n">
        <v>7.85</v>
      </c>
      <c r="C5892" t="n">
        <v>5.11</v>
      </c>
    </row>
    <row r="5893">
      <c r="A5893" s="28" t="n">
        <v>27975</v>
      </c>
      <c r="B5893" t="n">
        <v>7.82</v>
      </c>
      <c r="C5893" t="n">
        <v>5.14</v>
      </c>
    </row>
    <row r="5894">
      <c r="A5894" s="28" t="n">
        <v>27976</v>
      </c>
      <c r="B5894" t="n">
        <v>7.81</v>
      </c>
      <c r="C5894" t="n">
        <v>5.19</v>
      </c>
    </row>
    <row r="5895">
      <c r="A5895" s="28" t="n">
        <v>27977</v>
      </c>
      <c r="B5895" t="n">
        <v>7.82</v>
      </c>
      <c r="C5895" t="n">
        <v>5.19</v>
      </c>
    </row>
    <row r="5896">
      <c r="A5896" s="28" t="n">
        <v>27978</v>
      </c>
      <c r="B5896" t="n">
        <v>7.84</v>
      </c>
      <c r="C5896" t="n">
        <v>5.18</v>
      </c>
    </row>
    <row r="5897">
      <c r="A5897" s="28" t="n">
        <v>27981</v>
      </c>
      <c r="B5897" t="n">
        <v>7.84</v>
      </c>
      <c r="C5897" t="n">
        <v>5.18</v>
      </c>
    </row>
    <row r="5898">
      <c r="A5898" s="28" t="n">
        <v>27982</v>
      </c>
      <c r="B5898" t="n">
        <v>7.84</v>
      </c>
      <c r="C5898" t="n">
        <v>5.18</v>
      </c>
    </row>
    <row r="5899">
      <c r="A5899" s="28" t="n">
        <v>27983</v>
      </c>
      <c r="B5899" t="n">
        <v>7.82</v>
      </c>
      <c r="C5899" t="n">
        <v>5.17</v>
      </c>
    </row>
    <row r="5900">
      <c r="A5900" s="28" t="n">
        <v>27984</v>
      </c>
      <c r="B5900" t="n">
        <v>7.81</v>
      </c>
      <c r="C5900" t="n">
        <v>5.16</v>
      </c>
    </row>
    <row r="5901">
      <c r="A5901" s="28" t="n">
        <v>27985</v>
      </c>
      <c r="B5901" t="n">
        <v>7.78</v>
      </c>
      <c r="C5901" t="n">
        <v>5.16</v>
      </c>
    </row>
    <row r="5902">
      <c r="A5902" s="28" t="n">
        <v>27988</v>
      </c>
      <c r="B5902" t="n">
        <v>7.74</v>
      </c>
      <c r="C5902" t="n">
        <v>5.14</v>
      </c>
    </row>
    <row r="5903">
      <c r="A5903" s="28" t="n">
        <v>27989</v>
      </c>
      <c r="B5903" t="n">
        <v>7.75</v>
      </c>
      <c r="C5903" t="n">
        <v>5.15</v>
      </c>
    </row>
    <row r="5904">
      <c r="A5904" s="28" t="n">
        <v>27990</v>
      </c>
      <c r="B5904" t="n">
        <v>7.76</v>
      </c>
      <c r="C5904" t="n">
        <v>5.15</v>
      </c>
    </row>
    <row r="5905">
      <c r="A5905" s="28" t="n">
        <v>27991</v>
      </c>
      <c r="B5905" t="n">
        <v>7.76</v>
      </c>
      <c r="C5905" t="n">
        <v>5.15</v>
      </c>
    </row>
    <row r="5906">
      <c r="A5906" s="28" t="n">
        <v>27992</v>
      </c>
      <c r="B5906" t="n">
        <v>7.76</v>
      </c>
      <c r="C5906" t="n">
        <v>5.17</v>
      </c>
    </row>
    <row r="5907">
      <c r="A5907" s="28" t="n">
        <v>27995</v>
      </c>
      <c r="B5907" t="n">
        <v>7.73</v>
      </c>
      <c r="C5907" t="n">
        <v>5.14</v>
      </c>
    </row>
    <row r="5908">
      <c r="A5908" s="28" t="n">
        <v>27996</v>
      </c>
      <c r="B5908" t="n">
        <v>7.72</v>
      </c>
      <c r="C5908" t="n">
        <v>5.11</v>
      </c>
    </row>
    <row r="5909">
      <c r="A5909" s="28" t="n">
        <v>27997</v>
      </c>
      <c r="B5909" t="n">
        <v>7.69</v>
      </c>
      <c r="C5909" t="n">
        <v>5.1</v>
      </c>
    </row>
    <row r="5910">
      <c r="A5910" s="28" t="n">
        <v>27998</v>
      </c>
      <c r="B5910" t="n">
        <v>7.68</v>
      </c>
      <c r="C5910" t="n">
        <v>5.08</v>
      </c>
    </row>
    <row r="5911">
      <c r="A5911" s="28" t="n">
        <v>27999</v>
      </c>
      <c r="B5911" t="n">
        <v>7.72</v>
      </c>
      <c r="C5911" t="n">
        <v>5.13</v>
      </c>
    </row>
    <row r="5912">
      <c r="A5912" s="28" t="n">
        <v>28002</v>
      </c>
      <c r="B5912" t="n">
        <v>7.71</v>
      </c>
      <c r="C5912" t="n">
        <v>5.07</v>
      </c>
    </row>
    <row r="5913">
      <c r="A5913" s="28" t="n">
        <v>28003</v>
      </c>
      <c r="B5913" t="n">
        <v>7.66</v>
      </c>
      <c r="C5913" t="n">
        <v>5.09</v>
      </c>
    </row>
    <row r="5914">
      <c r="A5914" s="28" t="n">
        <v>28004</v>
      </c>
      <c r="B5914" t="n">
        <v>7.64</v>
      </c>
      <c r="C5914" t="n">
        <v>5.09</v>
      </c>
    </row>
    <row r="5915">
      <c r="A5915" s="28" t="n">
        <v>28005</v>
      </c>
      <c r="B5915" t="n">
        <v>7.67</v>
      </c>
      <c r="C5915" t="n">
        <v>5.1</v>
      </c>
    </row>
    <row r="5916">
      <c r="A5916" s="28" t="n">
        <v>28006</v>
      </c>
      <c r="B5916" t="n">
        <v>7.65</v>
      </c>
      <c r="C5916" t="n">
        <v>5.09</v>
      </c>
    </row>
    <row r="5917">
      <c r="A5917" s="28" t="n">
        <v>28009</v>
      </c>
      <c r="B5917" t="n">
        <v>0</v>
      </c>
      <c r="C5917" t="n">
        <v>0</v>
      </c>
    </row>
    <row r="5918">
      <c r="A5918" s="28" t="n">
        <v>28010</v>
      </c>
      <c r="B5918" t="n">
        <v>7.64</v>
      </c>
      <c r="C5918" t="n">
        <v>5.09</v>
      </c>
    </row>
    <row r="5919">
      <c r="A5919" s="28" t="n">
        <v>28011</v>
      </c>
      <c r="B5919" t="n">
        <v>7.64</v>
      </c>
      <c r="C5919" t="n">
        <v>5.1</v>
      </c>
    </row>
    <row r="5920">
      <c r="A5920" s="28" t="n">
        <v>28012</v>
      </c>
      <c r="B5920" t="n">
        <v>7.66</v>
      </c>
      <c r="C5920" t="n">
        <v>5.12</v>
      </c>
    </row>
    <row r="5921">
      <c r="A5921" s="28" t="n">
        <v>28013</v>
      </c>
      <c r="B5921" t="n">
        <v>7.64</v>
      </c>
      <c r="C5921" t="n">
        <v>5.11</v>
      </c>
    </row>
    <row r="5922">
      <c r="A5922" s="28" t="n">
        <v>28016</v>
      </c>
      <c r="B5922" t="n">
        <v>7.64</v>
      </c>
      <c r="C5922" t="n">
        <v>5.12</v>
      </c>
    </row>
    <row r="5923">
      <c r="A5923" s="28" t="n">
        <v>28017</v>
      </c>
      <c r="B5923" t="n">
        <v>7.64</v>
      </c>
      <c r="C5923" t="n">
        <v>5.12</v>
      </c>
    </row>
    <row r="5924">
      <c r="A5924" s="28" t="n">
        <v>28018</v>
      </c>
      <c r="B5924" t="n">
        <v>7.62</v>
      </c>
      <c r="C5924" t="n">
        <v>5.11</v>
      </c>
    </row>
    <row r="5925">
      <c r="A5925" s="28" t="n">
        <v>28019</v>
      </c>
      <c r="B5925" t="n">
        <v>7.6</v>
      </c>
      <c r="C5925" t="n">
        <v>5.1</v>
      </c>
    </row>
    <row r="5926">
      <c r="A5926" s="28" t="n">
        <v>28020</v>
      </c>
      <c r="B5926" t="n">
        <v>7.49</v>
      </c>
      <c r="C5926" t="n">
        <v>5.06</v>
      </c>
    </row>
    <row r="5927">
      <c r="A5927" s="28" t="n">
        <v>28023</v>
      </c>
      <c r="B5927" t="n">
        <v>7.52</v>
      </c>
      <c r="C5927" t="n">
        <v>5.06</v>
      </c>
    </row>
    <row r="5928">
      <c r="A5928" s="28" t="n">
        <v>28024</v>
      </c>
      <c r="B5928" t="n">
        <v>7.51</v>
      </c>
      <c r="C5928" t="n">
        <v>5.03</v>
      </c>
    </row>
    <row r="5929">
      <c r="A5929" s="28" t="n">
        <v>28025</v>
      </c>
      <c r="B5929" t="n">
        <v>7.53</v>
      </c>
      <c r="C5929" t="n">
        <v>5.03</v>
      </c>
    </row>
    <row r="5930">
      <c r="A5930" s="28" t="n">
        <v>28026</v>
      </c>
      <c r="B5930" t="n">
        <v>7.54</v>
      </c>
      <c r="C5930" t="n">
        <v>5.04</v>
      </c>
    </row>
    <row r="5931">
      <c r="A5931" s="28" t="n">
        <v>28027</v>
      </c>
      <c r="B5931" t="n">
        <v>7.58</v>
      </c>
      <c r="C5931" t="n">
        <v>5.11</v>
      </c>
    </row>
    <row r="5932">
      <c r="A5932" s="28" t="n">
        <v>28030</v>
      </c>
      <c r="B5932" t="n">
        <v>7.6</v>
      </c>
      <c r="C5932" t="n">
        <v>5.08</v>
      </c>
    </row>
    <row r="5933">
      <c r="A5933" s="28" t="n">
        <v>28031</v>
      </c>
      <c r="B5933" t="n">
        <v>7.56</v>
      </c>
      <c r="C5933" t="n">
        <v>5.06</v>
      </c>
    </row>
    <row r="5934">
      <c r="A5934" s="28" t="n">
        <v>28032</v>
      </c>
      <c r="B5934" t="n">
        <v>7.56</v>
      </c>
      <c r="C5934" t="n">
        <v>5.07</v>
      </c>
    </row>
    <row r="5935">
      <c r="A5935" s="28" t="n">
        <v>28033</v>
      </c>
      <c r="B5935" t="n">
        <v>7.55</v>
      </c>
      <c r="C5935" t="n">
        <v>5.06</v>
      </c>
    </row>
    <row r="5936">
      <c r="A5936" s="28" t="n">
        <v>28034</v>
      </c>
      <c r="B5936" t="n">
        <v>7.49</v>
      </c>
      <c r="C5936" t="n">
        <v>5.04</v>
      </c>
    </row>
    <row r="5937">
      <c r="A5937" s="28" t="n">
        <v>28037</v>
      </c>
      <c r="B5937" t="n">
        <v>7.46</v>
      </c>
      <c r="C5937" t="n">
        <v>5.08</v>
      </c>
    </row>
    <row r="5938">
      <c r="A5938" s="28" t="n">
        <v>28038</v>
      </c>
      <c r="B5938" t="n">
        <v>7.47</v>
      </c>
      <c r="C5938" t="n">
        <v>5.1</v>
      </c>
    </row>
    <row r="5939">
      <c r="A5939" s="28" t="n">
        <v>28039</v>
      </c>
      <c r="B5939" t="n">
        <v>7.44</v>
      </c>
      <c r="C5939" t="n">
        <v>5.07</v>
      </c>
    </row>
    <row r="5940">
      <c r="A5940" s="28" t="n">
        <v>28040</v>
      </c>
      <c r="B5940" t="n">
        <v>7.43</v>
      </c>
      <c r="C5940" t="n">
        <v>5.03</v>
      </c>
    </row>
    <row r="5941">
      <c r="A5941" s="28" t="n">
        <v>28041</v>
      </c>
      <c r="B5941" t="n">
        <v>7.38</v>
      </c>
      <c r="C5941" t="n">
        <v>4.92</v>
      </c>
    </row>
    <row r="5942">
      <c r="A5942" s="28" t="n">
        <v>28044</v>
      </c>
      <c r="B5942" t="n">
        <v>0</v>
      </c>
      <c r="C5942" t="n">
        <v>0</v>
      </c>
    </row>
    <row r="5943">
      <c r="A5943" s="28" t="n">
        <v>28045</v>
      </c>
      <c r="B5943" t="n">
        <v>7.35</v>
      </c>
      <c r="C5943" t="n">
        <v>4.89</v>
      </c>
    </row>
    <row r="5944">
      <c r="A5944" s="28" t="n">
        <v>28046</v>
      </c>
      <c r="B5944" t="n">
        <v>7.35</v>
      </c>
      <c r="C5944" t="n">
        <v>4.9</v>
      </c>
    </row>
    <row r="5945">
      <c r="A5945" s="28" t="n">
        <v>28047</v>
      </c>
      <c r="B5945" t="n">
        <v>7.34</v>
      </c>
      <c r="C5945" t="n">
        <v>4.85</v>
      </c>
    </row>
    <row r="5946">
      <c r="A5946" s="28" t="n">
        <v>28048</v>
      </c>
      <c r="B5946" t="n">
        <v>7.31</v>
      </c>
      <c r="C5946" t="n">
        <v>4.79</v>
      </c>
    </row>
    <row r="5947">
      <c r="A5947" s="28" t="n">
        <v>28051</v>
      </c>
      <c r="B5947" t="n">
        <v>7.31</v>
      </c>
      <c r="C5947" t="n">
        <v>4.79</v>
      </c>
    </row>
    <row r="5948">
      <c r="A5948" s="28" t="n">
        <v>28052</v>
      </c>
      <c r="B5948" t="n">
        <v>7.35</v>
      </c>
      <c r="C5948" t="n">
        <v>4.84</v>
      </c>
    </row>
    <row r="5949">
      <c r="A5949" s="28" t="n">
        <v>28053</v>
      </c>
      <c r="B5949" t="n">
        <v>7.38</v>
      </c>
      <c r="C5949" t="n">
        <v>4.84</v>
      </c>
    </row>
    <row r="5950">
      <c r="A5950" s="28" t="n">
        <v>28054</v>
      </c>
      <c r="B5950" t="n">
        <v>7.39</v>
      </c>
      <c r="C5950" t="n">
        <v>4.85</v>
      </c>
    </row>
    <row r="5951">
      <c r="A5951" s="28" t="n">
        <v>28055</v>
      </c>
      <c r="B5951" t="n">
        <v>7.48</v>
      </c>
      <c r="C5951" t="n">
        <v>4.89</v>
      </c>
    </row>
    <row r="5952">
      <c r="A5952" s="28" t="n">
        <v>28058</v>
      </c>
      <c r="B5952" t="n">
        <v>7.53</v>
      </c>
      <c r="C5952" t="n">
        <v>4.94</v>
      </c>
    </row>
    <row r="5953">
      <c r="A5953" s="28" t="n">
        <v>28059</v>
      </c>
      <c r="B5953" t="n">
        <v>7.48</v>
      </c>
      <c r="C5953" t="n">
        <v>4.9</v>
      </c>
    </row>
    <row r="5954">
      <c r="A5954" s="28" t="n">
        <v>28060</v>
      </c>
      <c r="B5954" t="n">
        <v>7.45</v>
      </c>
      <c r="C5954" t="n">
        <v>4.88</v>
      </c>
    </row>
    <row r="5955">
      <c r="A5955" s="28" t="n">
        <v>28061</v>
      </c>
      <c r="B5955" t="n">
        <v>7.41</v>
      </c>
      <c r="C5955" t="n">
        <v>4.88</v>
      </c>
    </row>
    <row r="5956">
      <c r="A5956" s="28" t="n">
        <v>28062</v>
      </c>
      <c r="B5956" t="n">
        <v>7.42</v>
      </c>
      <c r="C5956" t="n">
        <v>4.89</v>
      </c>
    </row>
    <row r="5957">
      <c r="A5957" s="28" t="n">
        <v>28065</v>
      </c>
      <c r="B5957" t="n">
        <v>7.38</v>
      </c>
      <c r="C5957" t="n">
        <v>4.84</v>
      </c>
    </row>
    <row r="5958">
      <c r="A5958" s="28" t="n">
        <v>28066</v>
      </c>
      <c r="B5958" t="n">
        <v>0</v>
      </c>
      <c r="C5958" t="n">
        <v>0</v>
      </c>
    </row>
    <row r="5959">
      <c r="A5959" s="28" t="n">
        <v>28067</v>
      </c>
      <c r="B5959" t="n">
        <v>7.44</v>
      </c>
      <c r="C5959" t="n">
        <v>4.85</v>
      </c>
    </row>
    <row r="5960">
      <c r="A5960" s="28" t="n">
        <v>28068</v>
      </c>
      <c r="B5960" t="n">
        <v>7.38</v>
      </c>
      <c r="C5960" t="n">
        <v>4.79</v>
      </c>
    </row>
    <row r="5961">
      <c r="A5961" s="28" t="n">
        <v>28069</v>
      </c>
      <c r="B5961" t="n">
        <v>7.41</v>
      </c>
      <c r="C5961" t="n">
        <v>4.84</v>
      </c>
    </row>
    <row r="5962">
      <c r="A5962" s="28" t="n">
        <v>28072</v>
      </c>
      <c r="B5962" t="n">
        <v>7.46</v>
      </c>
      <c r="C5962" t="n">
        <v>4.89</v>
      </c>
    </row>
    <row r="5963">
      <c r="A5963" s="28" t="n">
        <v>28073</v>
      </c>
      <c r="B5963" t="n">
        <v>7.46</v>
      </c>
      <c r="C5963" t="n">
        <v>4.93</v>
      </c>
    </row>
    <row r="5964">
      <c r="A5964" s="28" t="n">
        <v>28074</v>
      </c>
      <c r="B5964" t="n">
        <v>7.45</v>
      </c>
      <c r="C5964" t="n">
        <v>4.92</v>
      </c>
    </row>
    <row r="5965">
      <c r="A5965" s="28" t="n">
        <v>28075</v>
      </c>
      <c r="B5965" t="n">
        <v>0</v>
      </c>
      <c r="C5965" t="n">
        <v>0</v>
      </c>
    </row>
    <row r="5966">
      <c r="A5966" s="28" t="n">
        <v>28076</v>
      </c>
      <c r="B5966" t="n">
        <v>7.43</v>
      </c>
      <c r="C5966" t="n">
        <v>4.92</v>
      </c>
    </row>
    <row r="5967">
      <c r="A5967" s="28" t="n">
        <v>28079</v>
      </c>
      <c r="B5967" t="n">
        <v>7.41</v>
      </c>
      <c r="C5967" t="n">
        <v>4.9</v>
      </c>
    </row>
    <row r="5968">
      <c r="A5968" s="28" t="n">
        <v>28080</v>
      </c>
      <c r="B5968" t="n">
        <v>7.33</v>
      </c>
      <c r="C5968" t="n">
        <v>4.83</v>
      </c>
    </row>
    <row r="5969">
      <c r="A5969" s="28" t="n">
        <v>28081</v>
      </c>
      <c r="B5969" t="n">
        <v>7.32</v>
      </c>
      <c r="C5969" t="n">
        <v>4.81</v>
      </c>
    </row>
    <row r="5970">
      <c r="A5970" s="28" t="n">
        <v>28082</v>
      </c>
      <c r="B5970" t="n">
        <v>7.33</v>
      </c>
      <c r="C5970" t="n">
        <v>4.81</v>
      </c>
    </row>
    <row r="5971">
      <c r="A5971" s="28" t="n">
        <v>28083</v>
      </c>
      <c r="B5971" t="n">
        <v>7.24</v>
      </c>
      <c r="C5971" t="n">
        <v>4.67</v>
      </c>
    </row>
    <row r="5972">
      <c r="A5972" s="28" t="n">
        <v>28086</v>
      </c>
      <c r="B5972" t="n">
        <v>7.17</v>
      </c>
      <c r="C5972" t="n">
        <v>4.61</v>
      </c>
    </row>
    <row r="5973">
      <c r="A5973" s="28" t="n">
        <v>28087</v>
      </c>
      <c r="B5973" t="n">
        <v>7.16</v>
      </c>
      <c r="C5973" t="n">
        <v>4.64</v>
      </c>
    </row>
    <row r="5974">
      <c r="A5974" s="28" t="n">
        <v>28088</v>
      </c>
      <c r="B5974" t="n">
        <v>7.14</v>
      </c>
      <c r="C5974" t="n">
        <v>4.63</v>
      </c>
    </row>
    <row r="5975">
      <c r="A5975" s="28" t="n">
        <v>28089</v>
      </c>
      <c r="B5975" t="n">
        <v>0</v>
      </c>
      <c r="C5975" t="n">
        <v>0</v>
      </c>
    </row>
    <row r="5976">
      <c r="A5976" s="28" t="n">
        <v>28090</v>
      </c>
      <c r="B5976" t="n">
        <v>6.99</v>
      </c>
      <c r="C5976" t="n">
        <v>4.51</v>
      </c>
    </row>
    <row r="5977">
      <c r="A5977" s="28" t="n">
        <v>28093</v>
      </c>
      <c r="B5977" t="n">
        <v>7.02</v>
      </c>
      <c r="C5977" t="n">
        <v>4.49</v>
      </c>
    </row>
    <row r="5978">
      <c r="A5978" s="28" t="n">
        <v>28094</v>
      </c>
      <c r="B5978" t="n">
        <v>7.01</v>
      </c>
      <c r="C5978" t="n">
        <v>4.42</v>
      </c>
    </row>
    <row r="5979">
      <c r="A5979" s="28" t="n">
        <v>28095</v>
      </c>
      <c r="B5979" t="n">
        <v>6.97</v>
      </c>
      <c r="C5979" t="n">
        <v>4.41</v>
      </c>
    </row>
    <row r="5980">
      <c r="A5980" s="28" t="n">
        <v>28096</v>
      </c>
      <c r="B5980" t="n">
        <v>6.92</v>
      </c>
      <c r="C5980" t="n">
        <v>4.4</v>
      </c>
    </row>
    <row r="5981">
      <c r="A5981" s="28" t="n">
        <v>28097</v>
      </c>
      <c r="B5981" t="n">
        <v>6.86</v>
      </c>
      <c r="C5981" t="n">
        <v>4.38</v>
      </c>
    </row>
    <row r="5982">
      <c r="A5982" s="28" t="n">
        <v>28100</v>
      </c>
      <c r="B5982" t="n">
        <v>6.87</v>
      </c>
      <c r="C5982" t="n">
        <v>4.38</v>
      </c>
    </row>
    <row r="5983">
      <c r="A5983" s="28" t="n">
        <v>28101</v>
      </c>
      <c r="B5983" t="n">
        <v>6.88</v>
      </c>
      <c r="C5983" t="n">
        <v>4.4</v>
      </c>
    </row>
    <row r="5984">
      <c r="A5984" s="28" t="n">
        <v>28102</v>
      </c>
      <c r="B5984" t="n">
        <v>6.91</v>
      </c>
      <c r="C5984" t="n">
        <v>4.44</v>
      </c>
    </row>
    <row r="5985">
      <c r="A5985" s="28" t="n">
        <v>28103</v>
      </c>
      <c r="B5985" t="n">
        <v>6.92</v>
      </c>
      <c r="C5985" t="n">
        <v>4.44</v>
      </c>
    </row>
    <row r="5986">
      <c r="A5986" s="28" t="n">
        <v>28104</v>
      </c>
      <c r="B5986" t="n">
        <v>6.82</v>
      </c>
      <c r="C5986" t="n">
        <v>4.37</v>
      </c>
    </row>
    <row r="5987">
      <c r="A5987" s="28" t="n">
        <v>28107</v>
      </c>
      <c r="B5987" t="n">
        <v>6.9</v>
      </c>
      <c r="C5987" t="n">
        <v>4.38</v>
      </c>
    </row>
    <row r="5988">
      <c r="A5988" s="28" t="n">
        <v>28108</v>
      </c>
      <c r="B5988" t="n">
        <v>6.89</v>
      </c>
      <c r="C5988" t="n">
        <v>4.34</v>
      </c>
    </row>
    <row r="5989">
      <c r="A5989" s="28" t="n">
        <v>28109</v>
      </c>
      <c r="B5989" t="n">
        <v>6.88</v>
      </c>
      <c r="C5989" t="n">
        <v>4.33</v>
      </c>
    </row>
    <row r="5990">
      <c r="A5990" s="28" t="n">
        <v>28110</v>
      </c>
      <c r="B5990" t="n">
        <v>6.88</v>
      </c>
      <c r="C5990" t="n">
        <v>4.33</v>
      </c>
    </row>
    <row r="5991">
      <c r="A5991" s="28" t="n">
        <v>28111</v>
      </c>
      <c r="B5991" t="n">
        <v>6.88</v>
      </c>
      <c r="C5991" t="n">
        <v>4.25</v>
      </c>
    </row>
    <row r="5992">
      <c r="A5992" s="28" t="n">
        <v>28114</v>
      </c>
      <c r="B5992" t="n">
        <v>6.84</v>
      </c>
      <c r="C5992" t="n">
        <v>4.24</v>
      </c>
    </row>
    <row r="5993">
      <c r="A5993" s="28" t="n">
        <v>28115</v>
      </c>
      <c r="B5993" t="n">
        <v>6.85</v>
      </c>
      <c r="C5993" t="n">
        <v>4.27</v>
      </c>
    </row>
    <row r="5994">
      <c r="A5994" s="28" t="n">
        <v>28116</v>
      </c>
      <c r="B5994" t="n">
        <v>6.86</v>
      </c>
      <c r="C5994" t="n">
        <v>4.28</v>
      </c>
    </row>
    <row r="5995">
      <c r="A5995" s="28" t="n">
        <v>28117</v>
      </c>
      <c r="B5995" t="n">
        <v>6.84</v>
      </c>
      <c r="C5995" t="n">
        <v>4.28</v>
      </c>
    </row>
    <row r="5996">
      <c r="A5996" s="28" t="n">
        <v>28118</v>
      </c>
      <c r="B5996" t="n">
        <v>0</v>
      </c>
      <c r="C5996" t="n">
        <v>0</v>
      </c>
    </row>
    <row r="5997">
      <c r="A5997" s="28" t="n">
        <v>28121</v>
      </c>
      <c r="B5997" t="n">
        <v>6.84</v>
      </c>
      <c r="C5997" t="n">
        <v>4.3</v>
      </c>
    </row>
    <row r="5998">
      <c r="A5998" s="28" t="n">
        <v>28122</v>
      </c>
      <c r="B5998" t="n">
        <v>6.86</v>
      </c>
      <c r="C5998" t="n">
        <v>4.35</v>
      </c>
    </row>
    <row r="5999">
      <c r="A5999" s="28" t="n">
        <v>28123</v>
      </c>
      <c r="B5999" t="n">
        <v>6.84</v>
      </c>
      <c r="C5999" t="n">
        <v>4.37</v>
      </c>
    </row>
    <row r="6000">
      <c r="A6000" s="28" t="n">
        <v>28124</v>
      </c>
      <c r="B6000" t="n">
        <v>6.8</v>
      </c>
      <c r="C6000" t="n">
        <v>4.34</v>
      </c>
    </row>
    <row r="6001">
      <c r="A6001" s="28" t="n">
        <v>28125</v>
      </c>
      <c r="B6001" t="n">
        <v>6.81</v>
      </c>
      <c r="C6001" t="n">
        <v>4.34</v>
      </c>
    </row>
    <row r="6002">
      <c r="A6002" s="28" t="n">
        <v>28128</v>
      </c>
      <c r="B6002" t="n">
        <v>6.84</v>
      </c>
      <c r="C6002" t="n">
        <v>4.39</v>
      </c>
    </row>
    <row r="6003">
      <c r="A6003" s="28" t="n">
        <v>28129</v>
      </c>
      <c r="B6003" t="n">
        <v>6.9</v>
      </c>
      <c r="C6003" t="n">
        <v>4.49</v>
      </c>
    </row>
    <row r="6004">
      <c r="A6004" s="28" t="n">
        <v>28130</v>
      </c>
      <c r="B6004" t="n">
        <v>6.88</v>
      </c>
      <c r="C6004" t="n">
        <v>4.47</v>
      </c>
    </row>
    <row r="6005">
      <c r="A6005" s="28" t="n">
        <v>28131</v>
      </c>
      <c r="B6005" t="n">
        <v>6.93</v>
      </c>
      <c r="C6005" t="n">
        <v>4.5</v>
      </c>
    </row>
    <row r="6006">
      <c r="A6006" s="28" t="n">
        <v>28132</v>
      </c>
      <c r="B6006" t="n">
        <v>7.07</v>
      </c>
      <c r="C6006" t="n">
        <v>4.62</v>
      </c>
    </row>
    <row r="6007">
      <c r="A6007" s="28" t="n">
        <v>28135</v>
      </c>
      <c r="B6007" t="n">
        <v>7.2</v>
      </c>
      <c r="C6007" t="n">
        <v>4.61</v>
      </c>
    </row>
    <row r="6008">
      <c r="A6008" s="28" t="n">
        <v>28136</v>
      </c>
      <c r="B6008" t="n">
        <v>7.28</v>
      </c>
      <c r="C6008" t="n">
        <v>4.6</v>
      </c>
    </row>
    <row r="6009">
      <c r="A6009" s="28" t="n">
        <v>28137</v>
      </c>
      <c r="B6009" t="n">
        <v>7.26</v>
      </c>
      <c r="C6009" t="n">
        <v>4.57</v>
      </c>
    </row>
    <row r="6010">
      <c r="A6010" s="28" t="n">
        <v>28138</v>
      </c>
      <c r="B6010" t="n">
        <v>7.18</v>
      </c>
      <c r="C6010" t="n">
        <v>4.52</v>
      </c>
    </row>
    <row r="6011">
      <c r="A6011" s="28" t="n">
        <v>28139</v>
      </c>
      <c r="B6011" t="n">
        <v>7.28</v>
      </c>
      <c r="C6011" t="n">
        <v>4.61</v>
      </c>
    </row>
    <row r="6012">
      <c r="A6012" s="28" t="n">
        <v>28142</v>
      </c>
      <c r="B6012" t="n">
        <v>7.28</v>
      </c>
      <c r="C6012" t="n">
        <v>4.65</v>
      </c>
    </row>
    <row r="6013">
      <c r="A6013" s="28" t="n">
        <v>28143</v>
      </c>
      <c r="B6013" t="n">
        <v>7.34</v>
      </c>
      <c r="C6013" t="n">
        <v>4.69</v>
      </c>
    </row>
    <row r="6014">
      <c r="A6014" s="28" t="n">
        <v>28144</v>
      </c>
      <c r="B6014" t="n">
        <v>7.28</v>
      </c>
      <c r="C6014" t="n">
        <v>4.63</v>
      </c>
    </row>
    <row r="6015">
      <c r="A6015" s="28" t="n">
        <v>28145</v>
      </c>
      <c r="B6015" t="n">
        <v>7.26</v>
      </c>
      <c r="C6015" t="n">
        <v>4.63</v>
      </c>
    </row>
    <row r="6016">
      <c r="A6016" s="28" t="n">
        <v>28146</v>
      </c>
      <c r="B6016" t="n">
        <v>7.28</v>
      </c>
      <c r="C6016" t="n">
        <v>4.65</v>
      </c>
    </row>
    <row r="6017">
      <c r="A6017" s="28" t="n">
        <v>28149</v>
      </c>
      <c r="B6017" t="n">
        <v>7.34</v>
      </c>
      <c r="C6017" t="n">
        <v>4.71</v>
      </c>
    </row>
    <row r="6018">
      <c r="A6018" s="28" t="n">
        <v>28150</v>
      </c>
      <c r="B6018" t="n">
        <v>7.32</v>
      </c>
      <c r="C6018" t="n">
        <v>4.7</v>
      </c>
    </row>
    <row r="6019">
      <c r="A6019" s="28" t="n">
        <v>28151</v>
      </c>
      <c r="B6019" t="n">
        <v>7.33</v>
      </c>
      <c r="C6019" t="n">
        <v>4.71</v>
      </c>
    </row>
    <row r="6020">
      <c r="A6020" s="28" t="n">
        <v>28152</v>
      </c>
      <c r="B6020" t="n">
        <v>7.43</v>
      </c>
      <c r="C6020" t="n">
        <v>4.77</v>
      </c>
    </row>
    <row r="6021">
      <c r="A6021" s="28" t="n">
        <v>28153</v>
      </c>
      <c r="B6021" t="n">
        <v>7.4</v>
      </c>
      <c r="C6021" t="n">
        <v>4.73</v>
      </c>
    </row>
    <row r="6022">
      <c r="A6022" s="28" t="n">
        <v>28156</v>
      </c>
      <c r="B6022" t="n">
        <v>7.4</v>
      </c>
      <c r="C6022" t="n">
        <v>4.72</v>
      </c>
    </row>
    <row r="6023">
      <c r="A6023" s="28" t="n">
        <v>28157</v>
      </c>
      <c r="B6023" t="n">
        <v>7.41</v>
      </c>
      <c r="C6023" t="n">
        <v>4.74</v>
      </c>
    </row>
    <row r="6024">
      <c r="A6024" s="28" t="n">
        <v>28158</v>
      </c>
      <c r="B6024" t="n">
        <v>7.47</v>
      </c>
      <c r="C6024" t="n">
        <v>4.76</v>
      </c>
    </row>
    <row r="6025">
      <c r="A6025" s="28" t="n">
        <v>28159</v>
      </c>
      <c r="B6025" t="n">
        <v>7.46</v>
      </c>
      <c r="C6025" t="n">
        <v>4.73</v>
      </c>
    </row>
    <row r="6026">
      <c r="A6026" s="28" t="n">
        <v>28160</v>
      </c>
      <c r="B6026" t="n">
        <v>7.28</v>
      </c>
      <c r="C6026" t="n">
        <v>4.62</v>
      </c>
    </row>
    <row r="6027">
      <c r="A6027" s="28" t="n">
        <v>28163</v>
      </c>
      <c r="B6027" t="n">
        <v>7.34</v>
      </c>
      <c r="C6027" t="n">
        <v>4.62</v>
      </c>
    </row>
    <row r="6028">
      <c r="A6028" s="28" t="n">
        <v>28164</v>
      </c>
      <c r="B6028" t="n">
        <v>7.35</v>
      </c>
      <c r="C6028" t="n">
        <v>4.63</v>
      </c>
    </row>
    <row r="6029">
      <c r="A6029" s="28" t="n">
        <v>28165</v>
      </c>
      <c r="B6029" t="n">
        <v>7.34</v>
      </c>
      <c r="C6029" t="n">
        <v>4.62</v>
      </c>
    </row>
    <row r="6030">
      <c r="A6030" s="28" t="n">
        <v>28166</v>
      </c>
      <c r="B6030" t="n">
        <v>7.34</v>
      </c>
      <c r="C6030" t="n">
        <v>4.63</v>
      </c>
    </row>
    <row r="6031">
      <c r="A6031" s="28" t="n">
        <v>28167</v>
      </c>
      <c r="B6031" t="n">
        <v>7.36</v>
      </c>
      <c r="C6031" t="n">
        <v>4.61</v>
      </c>
    </row>
    <row r="6032">
      <c r="A6032" s="28" t="n">
        <v>28170</v>
      </c>
      <c r="B6032" t="n">
        <v>7.38</v>
      </c>
      <c r="C6032" t="n">
        <v>4.63</v>
      </c>
    </row>
    <row r="6033">
      <c r="A6033" s="28" t="n">
        <v>28171</v>
      </c>
      <c r="B6033" t="n">
        <v>7.36</v>
      </c>
      <c r="C6033" t="n">
        <v>4.63</v>
      </c>
    </row>
    <row r="6034">
      <c r="A6034" s="28" t="n">
        <v>28172</v>
      </c>
      <c r="B6034" t="n">
        <v>7.34</v>
      </c>
      <c r="C6034" t="n">
        <v>4.62</v>
      </c>
    </row>
    <row r="6035">
      <c r="A6035" s="28" t="n">
        <v>28173</v>
      </c>
      <c r="B6035" t="n">
        <v>7.26</v>
      </c>
      <c r="C6035" t="n">
        <v>4.61</v>
      </c>
    </row>
    <row r="6036">
      <c r="A6036" s="28" t="n">
        <v>28174</v>
      </c>
      <c r="B6036" t="n">
        <v>7.41</v>
      </c>
      <c r="C6036" t="n">
        <v>4.66</v>
      </c>
    </row>
    <row r="6037">
      <c r="A6037" s="28" t="n">
        <v>28177</v>
      </c>
      <c r="B6037" t="n">
        <v>0</v>
      </c>
      <c r="C6037" t="n">
        <v>0</v>
      </c>
    </row>
    <row r="6038">
      <c r="A6038" s="28" t="n">
        <v>28178</v>
      </c>
      <c r="B6038" t="n">
        <v>7.42</v>
      </c>
      <c r="C6038" t="n">
        <v>4.69</v>
      </c>
    </row>
    <row r="6039">
      <c r="A6039" s="28" t="n">
        <v>28179</v>
      </c>
      <c r="B6039" t="n">
        <v>7.48</v>
      </c>
      <c r="C6039" t="n">
        <v>4.7</v>
      </c>
    </row>
    <row r="6040">
      <c r="A6040" s="28" t="n">
        <v>28180</v>
      </c>
      <c r="B6040" t="n">
        <v>7.5</v>
      </c>
      <c r="C6040" t="n">
        <v>4.73</v>
      </c>
    </row>
    <row r="6041">
      <c r="A6041" s="28" t="n">
        <v>28181</v>
      </c>
      <c r="B6041" t="n">
        <v>7.48</v>
      </c>
      <c r="C6041" t="n">
        <v>4.71</v>
      </c>
    </row>
    <row r="6042">
      <c r="A6042" s="28" t="n">
        <v>28184</v>
      </c>
      <c r="B6042" t="n">
        <v>7.45</v>
      </c>
      <c r="C6042" t="n">
        <v>4.7</v>
      </c>
    </row>
    <row r="6043">
      <c r="A6043" s="28" t="n">
        <v>28185</v>
      </c>
      <c r="B6043" t="n">
        <v>7.49</v>
      </c>
      <c r="C6043" t="n">
        <v>4.7</v>
      </c>
    </row>
    <row r="6044">
      <c r="A6044" s="28" t="n">
        <v>28186</v>
      </c>
      <c r="B6044" t="n">
        <v>7.45</v>
      </c>
      <c r="C6044" t="n">
        <v>4.64</v>
      </c>
    </row>
    <row r="6045">
      <c r="A6045" s="28" t="n">
        <v>28187</v>
      </c>
      <c r="B6045" t="n">
        <v>7.43</v>
      </c>
      <c r="C6045" t="n">
        <v>4.61</v>
      </c>
    </row>
    <row r="6046">
      <c r="A6046" s="28" t="n">
        <v>28188</v>
      </c>
      <c r="B6046" t="n">
        <v>7.48</v>
      </c>
      <c r="C6046" t="n">
        <v>4.63</v>
      </c>
    </row>
    <row r="6047">
      <c r="A6047" s="28" t="n">
        <v>28191</v>
      </c>
      <c r="B6047" t="n">
        <v>7.5</v>
      </c>
      <c r="C6047" t="n">
        <v>4.65</v>
      </c>
    </row>
    <row r="6048">
      <c r="A6048" s="28" t="n">
        <v>28192</v>
      </c>
      <c r="B6048" t="n">
        <v>7.52</v>
      </c>
      <c r="C6048" t="n">
        <v>4.66</v>
      </c>
    </row>
    <row r="6049">
      <c r="A6049" s="28" t="n">
        <v>28193</v>
      </c>
      <c r="B6049" t="n">
        <v>7.5</v>
      </c>
      <c r="C6049" t="n">
        <v>4.63</v>
      </c>
    </row>
    <row r="6050">
      <c r="A6050" s="28" t="n">
        <v>28194</v>
      </c>
      <c r="B6050" t="n">
        <v>7.49</v>
      </c>
      <c r="C6050" t="n">
        <v>4.62</v>
      </c>
    </row>
    <row r="6051">
      <c r="A6051" s="28" t="n">
        <v>28195</v>
      </c>
      <c r="B6051" t="n">
        <v>7.44</v>
      </c>
      <c r="C6051" t="n">
        <v>4.59</v>
      </c>
    </row>
    <row r="6052">
      <c r="A6052" s="28" t="n">
        <v>28198</v>
      </c>
      <c r="B6052" t="n">
        <v>7.45</v>
      </c>
      <c r="C6052" t="n">
        <v>4.57</v>
      </c>
    </row>
    <row r="6053">
      <c r="A6053" s="28" t="n">
        <v>28199</v>
      </c>
      <c r="B6053" t="n">
        <v>7.44</v>
      </c>
      <c r="C6053" t="n">
        <v>4.57</v>
      </c>
    </row>
    <row r="6054">
      <c r="A6054" s="28" t="n">
        <v>28200</v>
      </c>
      <c r="B6054" t="n">
        <v>7.44</v>
      </c>
      <c r="C6054" t="n">
        <v>4.62</v>
      </c>
    </row>
    <row r="6055">
      <c r="A6055" s="28" t="n">
        <v>28201</v>
      </c>
      <c r="B6055" t="n">
        <v>7.47</v>
      </c>
      <c r="C6055" t="n">
        <v>4.62</v>
      </c>
    </row>
    <row r="6056">
      <c r="A6056" s="28" t="n">
        <v>28202</v>
      </c>
      <c r="B6056" t="n">
        <v>7.44</v>
      </c>
      <c r="C6056" t="n">
        <v>4.59</v>
      </c>
    </row>
    <row r="6057">
      <c r="A6057" s="28" t="n">
        <v>28205</v>
      </c>
      <c r="B6057" t="n">
        <v>7.43</v>
      </c>
      <c r="C6057" t="n">
        <v>4.56</v>
      </c>
    </row>
    <row r="6058">
      <c r="A6058" s="28" t="n">
        <v>28206</v>
      </c>
      <c r="B6058" t="n">
        <v>7.43</v>
      </c>
      <c r="C6058" t="n">
        <v>4.56</v>
      </c>
    </row>
    <row r="6059">
      <c r="A6059" s="28" t="n">
        <v>28207</v>
      </c>
      <c r="B6059" t="n">
        <v>7.44</v>
      </c>
      <c r="C6059" t="n">
        <v>4.54</v>
      </c>
    </row>
    <row r="6060">
      <c r="A6060" s="28" t="n">
        <v>28208</v>
      </c>
      <c r="B6060" t="n">
        <v>7.46</v>
      </c>
      <c r="C6060" t="n">
        <v>4.59</v>
      </c>
    </row>
    <row r="6061">
      <c r="A6061" s="28" t="n">
        <v>28209</v>
      </c>
      <c r="B6061" t="n">
        <v>7.48</v>
      </c>
      <c r="C6061" t="n">
        <v>4.62</v>
      </c>
    </row>
    <row r="6062">
      <c r="A6062" s="28" t="n">
        <v>28212</v>
      </c>
      <c r="B6062" t="n">
        <v>7.47</v>
      </c>
      <c r="C6062" t="n">
        <v>4.59</v>
      </c>
    </row>
    <row r="6063">
      <c r="A6063" s="28" t="n">
        <v>28213</v>
      </c>
      <c r="B6063" t="n">
        <v>7.47</v>
      </c>
      <c r="C6063" t="n">
        <v>4.59</v>
      </c>
    </row>
    <row r="6064">
      <c r="A6064" s="28" t="n">
        <v>28214</v>
      </c>
      <c r="B6064" t="n">
        <v>7.44</v>
      </c>
      <c r="C6064" t="n">
        <v>4.57</v>
      </c>
    </row>
    <row r="6065">
      <c r="A6065" s="28" t="n">
        <v>28215</v>
      </c>
      <c r="B6065" t="n">
        <v>7.42</v>
      </c>
      <c r="C6065" t="n">
        <v>4.54</v>
      </c>
    </row>
    <row r="6066">
      <c r="A6066" s="28" t="n">
        <v>28216</v>
      </c>
      <c r="B6066" t="n">
        <v>7.43</v>
      </c>
      <c r="C6066" t="n">
        <v>4.54</v>
      </c>
    </row>
    <row r="6067">
      <c r="A6067" s="28" t="n">
        <v>28219</v>
      </c>
      <c r="B6067" t="n">
        <v>7.44</v>
      </c>
      <c r="C6067" t="n">
        <v>4.55</v>
      </c>
    </row>
    <row r="6068">
      <c r="A6068" s="28" t="n">
        <v>28220</v>
      </c>
      <c r="B6068" t="n">
        <v>7.47</v>
      </c>
      <c r="C6068" t="n">
        <v>4.6</v>
      </c>
    </row>
    <row r="6069">
      <c r="A6069" s="28" t="n">
        <v>28221</v>
      </c>
      <c r="B6069" t="n">
        <v>7.46</v>
      </c>
      <c r="C6069" t="n">
        <v>4.58</v>
      </c>
    </row>
    <row r="6070">
      <c r="A6070" s="28" t="n">
        <v>28222</v>
      </c>
      <c r="B6070" t="n">
        <v>7.43</v>
      </c>
      <c r="C6070" t="n">
        <v>4.58</v>
      </c>
    </row>
    <row r="6071">
      <c r="A6071" s="28" t="n">
        <v>28223</v>
      </c>
      <c r="B6071" t="n">
        <v>0</v>
      </c>
      <c r="C6071" t="n">
        <v>0</v>
      </c>
    </row>
    <row r="6072">
      <c r="A6072" s="28" t="n">
        <v>28226</v>
      </c>
      <c r="B6072" t="n">
        <v>7.39</v>
      </c>
      <c r="C6072" t="n">
        <v>4.56</v>
      </c>
    </row>
    <row r="6073">
      <c r="A6073" s="28" t="n">
        <v>28227</v>
      </c>
      <c r="B6073" t="n">
        <v>7.39</v>
      </c>
      <c r="C6073" t="n">
        <v>4.59</v>
      </c>
    </row>
    <row r="6074">
      <c r="A6074" s="28" t="n">
        <v>28228</v>
      </c>
      <c r="B6074" t="n">
        <v>7.36</v>
      </c>
      <c r="C6074" t="n">
        <v>4.57</v>
      </c>
    </row>
    <row r="6075">
      <c r="A6075" s="28" t="n">
        <v>28229</v>
      </c>
      <c r="B6075" t="n">
        <v>7.22</v>
      </c>
      <c r="C6075" t="n">
        <v>4.52</v>
      </c>
    </row>
    <row r="6076">
      <c r="A6076" s="28" t="n">
        <v>28230</v>
      </c>
      <c r="B6076" t="n">
        <v>7.25</v>
      </c>
      <c r="C6076" t="n">
        <v>4.52</v>
      </c>
    </row>
    <row r="6077">
      <c r="A6077" s="28" t="n">
        <v>28233</v>
      </c>
      <c r="B6077" t="n">
        <v>7.25</v>
      </c>
      <c r="C6077" t="n">
        <v>4.51</v>
      </c>
    </row>
    <row r="6078">
      <c r="A6078" s="28" t="n">
        <v>28234</v>
      </c>
      <c r="B6078" t="n">
        <v>7.3</v>
      </c>
      <c r="C6078" t="n">
        <v>4.52</v>
      </c>
    </row>
    <row r="6079">
      <c r="A6079" s="28" t="n">
        <v>28235</v>
      </c>
      <c r="B6079" t="n">
        <v>7.32</v>
      </c>
      <c r="C6079" t="n">
        <v>4.5</v>
      </c>
    </row>
    <row r="6080">
      <c r="A6080" s="28" t="n">
        <v>28236</v>
      </c>
      <c r="B6080" t="n">
        <v>7.33</v>
      </c>
      <c r="C6080" t="n">
        <v>4.48</v>
      </c>
    </row>
    <row r="6081">
      <c r="A6081" s="28" t="n">
        <v>28237</v>
      </c>
      <c r="B6081" t="n">
        <v>7.36</v>
      </c>
      <c r="C6081" t="n">
        <v>4.53</v>
      </c>
    </row>
    <row r="6082">
      <c r="A6082" s="28" t="n">
        <v>28240</v>
      </c>
      <c r="B6082" t="n">
        <v>7.4</v>
      </c>
      <c r="C6082" t="n">
        <v>4.53</v>
      </c>
    </row>
    <row r="6083">
      <c r="A6083" s="28" t="n">
        <v>28241</v>
      </c>
      <c r="B6083" t="n">
        <v>7.38</v>
      </c>
      <c r="C6083" t="n">
        <v>4.5</v>
      </c>
    </row>
    <row r="6084">
      <c r="A6084" s="28" t="n">
        <v>28242</v>
      </c>
      <c r="B6084" t="n">
        <v>7.38</v>
      </c>
      <c r="C6084" t="n">
        <v>4.45</v>
      </c>
    </row>
    <row r="6085">
      <c r="A6085" s="28" t="n">
        <v>28243</v>
      </c>
      <c r="B6085" t="n">
        <v>7.4</v>
      </c>
      <c r="C6085" t="n">
        <v>4.39</v>
      </c>
    </row>
    <row r="6086">
      <c r="A6086" s="28" t="n">
        <v>28244</v>
      </c>
      <c r="B6086" t="n">
        <v>7.45</v>
      </c>
      <c r="C6086" t="n">
        <v>4.69</v>
      </c>
    </row>
    <row r="6087">
      <c r="A6087" s="28" t="n">
        <v>28247</v>
      </c>
      <c r="B6087" t="n">
        <v>7.45</v>
      </c>
      <c r="C6087" t="n">
        <v>4.75</v>
      </c>
    </row>
    <row r="6088">
      <c r="A6088" s="28" t="n">
        <v>28248</v>
      </c>
      <c r="B6088" t="n">
        <v>7.44</v>
      </c>
      <c r="C6088" t="n">
        <v>4.75</v>
      </c>
    </row>
    <row r="6089">
      <c r="A6089" s="28" t="n">
        <v>28249</v>
      </c>
      <c r="B6089" t="n">
        <v>7.45</v>
      </c>
      <c r="C6089" t="n">
        <v>4.69</v>
      </c>
    </row>
    <row r="6090">
      <c r="A6090" s="28" t="n">
        <v>28250</v>
      </c>
      <c r="B6090" t="n">
        <v>7.47</v>
      </c>
      <c r="C6090" t="n">
        <v>4.74</v>
      </c>
    </row>
    <row r="6091">
      <c r="A6091" s="28" t="n">
        <v>28251</v>
      </c>
      <c r="B6091" t="n">
        <v>7.5</v>
      </c>
      <c r="C6091" t="n">
        <v>4.8</v>
      </c>
    </row>
    <row r="6092">
      <c r="A6092" s="28" t="n">
        <v>28254</v>
      </c>
      <c r="B6092" t="n">
        <v>7.5</v>
      </c>
      <c r="C6092" t="n">
        <v>4.81</v>
      </c>
    </row>
    <row r="6093">
      <c r="A6093" s="28" t="n">
        <v>28255</v>
      </c>
      <c r="B6093" t="n">
        <v>7.52</v>
      </c>
      <c r="C6093" t="n">
        <v>4.94</v>
      </c>
    </row>
    <row r="6094">
      <c r="A6094" s="28" t="n">
        <v>28256</v>
      </c>
      <c r="B6094" t="n">
        <v>7.52</v>
      </c>
      <c r="C6094" t="n">
        <v>5.04</v>
      </c>
    </row>
    <row r="6095">
      <c r="A6095" s="28" t="n">
        <v>28257</v>
      </c>
      <c r="B6095" t="n">
        <v>7.5</v>
      </c>
      <c r="C6095" t="n">
        <v>5</v>
      </c>
    </row>
    <row r="6096">
      <c r="A6096" s="28" t="n">
        <v>28258</v>
      </c>
      <c r="B6096" t="n">
        <v>7.48</v>
      </c>
      <c r="C6096" t="n">
        <v>4.99</v>
      </c>
    </row>
    <row r="6097">
      <c r="A6097" s="28" t="n">
        <v>28261</v>
      </c>
      <c r="B6097" t="n">
        <v>7.46</v>
      </c>
      <c r="C6097" t="n">
        <v>4.99</v>
      </c>
    </row>
    <row r="6098">
      <c r="A6098" s="28" t="n">
        <v>28262</v>
      </c>
      <c r="B6098" t="n">
        <v>7.45</v>
      </c>
      <c r="C6098" t="n">
        <v>5</v>
      </c>
    </row>
    <row r="6099">
      <c r="A6099" s="28" t="n">
        <v>28263</v>
      </c>
      <c r="B6099" t="n">
        <v>7.43</v>
      </c>
      <c r="C6099" t="n">
        <v>4.98</v>
      </c>
    </row>
    <row r="6100">
      <c r="A6100" s="28" t="n">
        <v>28264</v>
      </c>
      <c r="B6100" t="n">
        <v>7.49</v>
      </c>
      <c r="C6100" t="n">
        <v>5.09</v>
      </c>
    </row>
    <row r="6101">
      <c r="A6101" s="28" t="n">
        <v>28265</v>
      </c>
      <c r="B6101" t="n">
        <v>7.49</v>
      </c>
      <c r="C6101" t="n">
        <v>5.17</v>
      </c>
    </row>
    <row r="6102">
      <c r="A6102" s="28" t="n">
        <v>28268</v>
      </c>
      <c r="B6102" t="n">
        <v>7.46</v>
      </c>
      <c r="C6102" t="n">
        <v>5.13</v>
      </c>
    </row>
    <row r="6103">
      <c r="A6103" s="28" t="n">
        <v>28269</v>
      </c>
      <c r="B6103" t="n">
        <v>7.41</v>
      </c>
      <c r="C6103" t="n">
        <v>5.1</v>
      </c>
    </row>
    <row r="6104">
      <c r="A6104" s="28" t="n">
        <v>28270</v>
      </c>
      <c r="B6104" t="n">
        <v>7.39</v>
      </c>
      <c r="C6104" t="n">
        <v>5.06</v>
      </c>
    </row>
    <row r="6105">
      <c r="A6105" s="28" t="n">
        <v>28271</v>
      </c>
      <c r="B6105" t="n">
        <v>7.42</v>
      </c>
      <c r="C6105" t="n">
        <v>5.03</v>
      </c>
    </row>
    <row r="6106">
      <c r="A6106" s="28" t="n">
        <v>28272</v>
      </c>
      <c r="B6106" t="n">
        <v>7.38</v>
      </c>
      <c r="C6106" t="n">
        <v>4.99</v>
      </c>
    </row>
    <row r="6107">
      <c r="A6107" s="28" t="n">
        <v>28275</v>
      </c>
      <c r="B6107" t="n">
        <v>0</v>
      </c>
      <c r="C6107" t="n">
        <v>0</v>
      </c>
    </row>
    <row r="6108">
      <c r="A6108" s="28" t="n">
        <v>28276</v>
      </c>
      <c r="B6108" t="n">
        <v>7.38</v>
      </c>
      <c r="C6108" t="n">
        <v>5.03</v>
      </c>
    </row>
    <row r="6109">
      <c r="A6109" s="28" t="n">
        <v>28277</v>
      </c>
      <c r="B6109" t="n">
        <v>7.38</v>
      </c>
      <c r="C6109" t="n">
        <v>5.04</v>
      </c>
    </row>
    <row r="6110">
      <c r="A6110" s="28" t="n">
        <v>28278</v>
      </c>
      <c r="B6110" t="n">
        <v>7.39</v>
      </c>
      <c r="C6110" t="n">
        <v>5.04</v>
      </c>
    </row>
    <row r="6111">
      <c r="A6111" s="28" t="n">
        <v>28279</v>
      </c>
      <c r="B6111" t="n">
        <v>7.36</v>
      </c>
      <c r="C6111" t="n">
        <v>5.02</v>
      </c>
    </row>
    <row r="6112">
      <c r="A6112" s="28" t="n">
        <v>28282</v>
      </c>
      <c r="B6112" t="n">
        <v>7.37</v>
      </c>
      <c r="C6112" t="n">
        <v>5.04</v>
      </c>
    </row>
    <row r="6113">
      <c r="A6113" s="28" t="n">
        <v>28283</v>
      </c>
      <c r="B6113" t="n">
        <v>7.36</v>
      </c>
      <c r="C6113" t="n">
        <v>5.05</v>
      </c>
    </row>
    <row r="6114">
      <c r="A6114" s="28" t="n">
        <v>28284</v>
      </c>
      <c r="B6114" t="n">
        <v>7.36</v>
      </c>
      <c r="C6114" t="n">
        <v>5.06</v>
      </c>
    </row>
    <row r="6115">
      <c r="A6115" s="28" t="n">
        <v>28285</v>
      </c>
      <c r="B6115" t="n">
        <v>7.35</v>
      </c>
      <c r="C6115" t="n">
        <v>5.08</v>
      </c>
    </row>
    <row r="6116">
      <c r="A6116" s="28" t="n">
        <v>28286</v>
      </c>
      <c r="B6116" t="n">
        <v>7.3</v>
      </c>
      <c r="C6116" t="n">
        <v>5.06</v>
      </c>
    </row>
    <row r="6117">
      <c r="A6117" s="28" t="n">
        <v>28289</v>
      </c>
      <c r="B6117" t="n">
        <v>7.27</v>
      </c>
      <c r="C6117" t="n">
        <v>5.03</v>
      </c>
    </row>
    <row r="6118">
      <c r="A6118" s="28" t="n">
        <v>28290</v>
      </c>
      <c r="B6118" t="n">
        <v>7.22</v>
      </c>
      <c r="C6118" t="n">
        <v>5.01</v>
      </c>
    </row>
    <row r="6119">
      <c r="A6119" s="28" t="n">
        <v>28291</v>
      </c>
      <c r="B6119" t="n">
        <v>7.23</v>
      </c>
      <c r="C6119" t="n">
        <v>5.02</v>
      </c>
    </row>
    <row r="6120">
      <c r="A6120" s="28" t="n">
        <v>28292</v>
      </c>
      <c r="B6120" t="n">
        <v>7.24</v>
      </c>
      <c r="C6120" t="n">
        <v>5.02</v>
      </c>
    </row>
    <row r="6121">
      <c r="A6121" s="28" t="n">
        <v>28293</v>
      </c>
      <c r="B6121" t="n">
        <v>7.24</v>
      </c>
      <c r="C6121" t="n">
        <v>4.99</v>
      </c>
    </row>
    <row r="6122">
      <c r="A6122" s="28" t="n">
        <v>28296</v>
      </c>
      <c r="B6122" t="n">
        <v>7.27</v>
      </c>
      <c r="C6122" t="n">
        <v>5.01</v>
      </c>
    </row>
    <row r="6123">
      <c r="A6123" s="28" t="n">
        <v>28297</v>
      </c>
      <c r="B6123" t="n">
        <v>7.26</v>
      </c>
      <c r="C6123" t="n">
        <v>5.03</v>
      </c>
    </row>
    <row r="6124">
      <c r="A6124" s="28" t="n">
        <v>28298</v>
      </c>
      <c r="B6124" t="n">
        <v>7.25</v>
      </c>
      <c r="C6124" t="n">
        <v>5.02</v>
      </c>
    </row>
    <row r="6125">
      <c r="A6125" s="28" t="n">
        <v>28299</v>
      </c>
      <c r="B6125" t="n">
        <v>7.26</v>
      </c>
      <c r="C6125" t="n">
        <v>5.02</v>
      </c>
    </row>
    <row r="6126">
      <c r="A6126" s="28" t="n">
        <v>28300</v>
      </c>
      <c r="B6126" t="n">
        <v>7.2</v>
      </c>
      <c r="C6126" t="n">
        <v>4.98</v>
      </c>
    </row>
    <row r="6127">
      <c r="A6127" s="28" t="n">
        <v>28303</v>
      </c>
      <c r="B6127" t="n">
        <v>7.2</v>
      </c>
      <c r="C6127" t="n">
        <v>4.93</v>
      </c>
    </row>
    <row r="6128">
      <c r="A6128" s="28" t="n">
        <v>28304</v>
      </c>
      <c r="B6128" t="n">
        <v>7.16</v>
      </c>
      <c r="C6128" t="n">
        <v>4.96</v>
      </c>
    </row>
    <row r="6129">
      <c r="A6129" s="28" t="n">
        <v>28305</v>
      </c>
      <c r="B6129" t="n">
        <v>7.19</v>
      </c>
      <c r="C6129" t="n">
        <v>4.97</v>
      </c>
    </row>
    <row r="6130">
      <c r="A6130" s="28" t="n">
        <v>28306</v>
      </c>
      <c r="B6130" t="n">
        <v>7.2</v>
      </c>
      <c r="C6130" t="n">
        <v>4.98</v>
      </c>
    </row>
    <row r="6131">
      <c r="A6131" s="28" t="n">
        <v>28307</v>
      </c>
      <c r="B6131" t="n">
        <v>7.34</v>
      </c>
      <c r="C6131" t="n">
        <v>5.02</v>
      </c>
    </row>
    <row r="6132">
      <c r="A6132" s="28" t="n">
        <v>28310</v>
      </c>
      <c r="B6132" t="n">
        <v>0</v>
      </c>
      <c r="C6132" t="n">
        <v>0</v>
      </c>
    </row>
    <row r="6133">
      <c r="A6133" s="28" t="n">
        <v>28311</v>
      </c>
      <c r="B6133" t="n">
        <v>7.35</v>
      </c>
      <c r="C6133" t="n">
        <v>5.12</v>
      </c>
    </row>
    <row r="6134">
      <c r="A6134" s="28" t="n">
        <v>28312</v>
      </c>
      <c r="B6134" t="n">
        <v>7.37</v>
      </c>
      <c r="C6134" t="n">
        <v>5.12</v>
      </c>
    </row>
    <row r="6135">
      <c r="A6135" s="28" t="n">
        <v>28313</v>
      </c>
      <c r="B6135" t="n">
        <v>7.29</v>
      </c>
      <c r="C6135" t="n">
        <v>5.11</v>
      </c>
    </row>
    <row r="6136">
      <c r="A6136" s="28" t="n">
        <v>28314</v>
      </c>
      <c r="B6136" t="n">
        <v>7.31</v>
      </c>
      <c r="C6136" t="n">
        <v>5.13</v>
      </c>
    </row>
    <row r="6137">
      <c r="A6137" s="28" t="n">
        <v>28317</v>
      </c>
      <c r="B6137" t="n">
        <v>7.33</v>
      </c>
      <c r="C6137" t="n">
        <v>5.14</v>
      </c>
    </row>
    <row r="6138">
      <c r="A6138" s="28" t="n">
        <v>28318</v>
      </c>
      <c r="B6138" t="n">
        <v>7.32</v>
      </c>
      <c r="C6138" t="n">
        <v>5.16</v>
      </c>
    </row>
    <row r="6139">
      <c r="A6139" s="28" t="n">
        <v>28319</v>
      </c>
      <c r="B6139" t="n">
        <v>7.28</v>
      </c>
      <c r="C6139" t="n">
        <v>5.16</v>
      </c>
    </row>
    <row r="6140">
      <c r="A6140" s="28" t="n">
        <v>28320</v>
      </c>
      <c r="B6140" t="n">
        <v>0</v>
      </c>
      <c r="C6140" t="n">
        <v>0</v>
      </c>
    </row>
    <row r="6141">
      <c r="A6141" s="28" t="n">
        <v>28321</v>
      </c>
      <c r="B6141" t="n">
        <v>7.31</v>
      </c>
      <c r="C6141" t="n">
        <v>5.18</v>
      </c>
    </row>
    <row r="6142">
      <c r="A6142" s="28" t="n">
        <v>28324</v>
      </c>
      <c r="B6142" t="n">
        <v>7.34</v>
      </c>
      <c r="C6142" t="n">
        <v>5.18</v>
      </c>
    </row>
    <row r="6143">
      <c r="A6143" s="28" t="n">
        <v>28325</v>
      </c>
      <c r="B6143" t="n">
        <v>7.33</v>
      </c>
      <c r="C6143" t="n">
        <v>5.22</v>
      </c>
    </row>
    <row r="6144">
      <c r="A6144" s="28" t="n">
        <v>28326</v>
      </c>
      <c r="B6144" t="n">
        <v>7.32</v>
      </c>
      <c r="C6144" t="n">
        <v>5.23</v>
      </c>
    </row>
    <row r="6145">
      <c r="A6145" s="28" t="n">
        <v>28327</v>
      </c>
      <c r="B6145" t="n">
        <v>7.32</v>
      </c>
      <c r="C6145" t="n">
        <v>5.23</v>
      </c>
    </row>
    <row r="6146">
      <c r="A6146" s="28" t="n">
        <v>28328</v>
      </c>
      <c r="B6146" t="n">
        <v>7.31</v>
      </c>
      <c r="C6146" t="n">
        <v>5.17</v>
      </c>
    </row>
    <row r="6147">
      <c r="A6147" s="28" t="n">
        <v>28331</v>
      </c>
      <c r="B6147" t="n">
        <v>7.28</v>
      </c>
      <c r="C6147" t="n">
        <v>5.16</v>
      </c>
    </row>
    <row r="6148">
      <c r="A6148" s="28" t="n">
        <v>28332</v>
      </c>
      <c r="B6148" t="n">
        <v>7.28</v>
      </c>
      <c r="C6148" t="n">
        <v>5.16</v>
      </c>
    </row>
    <row r="6149">
      <c r="A6149" s="28" t="n">
        <v>28333</v>
      </c>
      <c r="B6149" t="n">
        <v>7.36</v>
      </c>
      <c r="C6149" t="n">
        <v>5.25</v>
      </c>
    </row>
    <row r="6150">
      <c r="A6150" s="28" t="n">
        <v>28334</v>
      </c>
      <c r="B6150" t="n">
        <v>7.41</v>
      </c>
      <c r="C6150" t="n">
        <v>5.39</v>
      </c>
    </row>
    <row r="6151">
      <c r="A6151" s="28" t="n">
        <v>28335</v>
      </c>
      <c r="B6151" t="n">
        <v>7.42</v>
      </c>
      <c r="C6151" t="n">
        <v>5.4</v>
      </c>
    </row>
    <row r="6152">
      <c r="A6152" s="28" t="n">
        <v>28338</v>
      </c>
      <c r="B6152" t="n">
        <v>7.43</v>
      </c>
      <c r="C6152" t="n">
        <v>5.35</v>
      </c>
    </row>
    <row r="6153">
      <c r="A6153" s="28" t="n">
        <v>28339</v>
      </c>
      <c r="B6153" t="n">
        <v>7.44</v>
      </c>
      <c r="C6153" t="n">
        <v>5.4</v>
      </c>
    </row>
    <row r="6154">
      <c r="A6154" s="28" t="n">
        <v>28340</v>
      </c>
      <c r="B6154" t="n">
        <v>7.42</v>
      </c>
      <c r="C6154" t="n">
        <v>5.33</v>
      </c>
    </row>
    <row r="6155">
      <c r="A6155" s="28" t="n">
        <v>28341</v>
      </c>
      <c r="B6155" t="n">
        <v>7.43</v>
      </c>
      <c r="C6155" t="n">
        <v>5.35</v>
      </c>
    </row>
    <row r="6156">
      <c r="A6156" s="28" t="n">
        <v>28342</v>
      </c>
      <c r="B6156" t="n">
        <v>7.42</v>
      </c>
      <c r="C6156" t="n">
        <v>5.34</v>
      </c>
    </row>
    <row r="6157">
      <c r="A6157" s="28" t="n">
        <v>28345</v>
      </c>
      <c r="B6157" t="n">
        <v>7.41</v>
      </c>
      <c r="C6157" t="n">
        <v>5.32</v>
      </c>
    </row>
    <row r="6158">
      <c r="A6158" s="28" t="n">
        <v>28346</v>
      </c>
      <c r="B6158" t="n">
        <v>7.45</v>
      </c>
      <c r="C6158" t="n">
        <v>5.53</v>
      </c>
    </row>
    <row r="6159">
      <c r="A6159" s="28" t="n">
        <v>28347</v>
      </c>
      <c r="B6159" t="n">
        <v>7.46</v>
      </c>
      <c r="C6159" t="n">
        <v>5.46</v>
      </c>
    </row>
    <row r="6160">
      <c r="A6160" s="28" t="n">
        <v>28348</v>
      </c>
      <c r="B6160" t="n">
        <v>7.47</v>
      </c>
      <c r="C6160" t="n">
        <v>5.52</v>
      </c>
    </row>
    <row r="6161">
      <c r="A6161" s="28" t="n">
        <v>28349</v>
      </c>
      <c r="B6161" t="n">
        <v>7.48</v>
      </c>
      <c r="C6161" t="n">
        <v>5.51</v>
      </c>
    </row>
    <row r="6162">
      <c r="A6162" s="28" t="n">
        <v>28352</v>
      </c>
      <c r="B6162" t="n">
        <v>7.48</v>
      </c>
      <c r="C6162" t="n">
        <v>5.54</v>
      </c>
    </row>
    <row r="6163">
      <c r="A6163" s="28" t="n">
        <v>28353</v>
      </c>
      <c r="B6163" t="n">
        <v>7.48</v>
      </c>
      <c r="C6163" t="n">
        <v>5.67</v>
      </c>
    </row>
    <row r="6164">
      <c r="A6164" s="28" t="n">
        <v>28354</v>
      </c>
      <c r="B6164" t="n">
        <v>7.44</v>
      </c>
      <c r="C6164" t="n">
        <v>5.6</v>
      </c>
    </row>
    <row r="6165">
      <c r="A6165" s="28" t="n">
        <v>28355</v>
      </c>
      <c r="B6165" t="n">
        <v>7.42</v>
      </c>
      <c r="C6165" t="n">
        <v>5.53</v>
      </c>
    </row>
    <row r="6166">
      <c r="A6166" s="28" t="n">
        <v>28356</v>
      </c>
      <c r="B6166" t="n">
        <v>7.4</v>
      </c>
      <c r="C6166" t="n">
        <v>5.48</v>
      </c>
    </row>
    <row r="6167">
      <c r="A6167" s="28" t="n">
        <v>28359</v>
      </c>
      <c r="B6167" t="n">
        <v>7.39</v>
      </c>
      <c r="C6167" t="n">
        <v>5.47</v>
      </c>
    </row>
    <row r="6168">
      <c r="A6168" s="28" t="n">
        <v>28360</v>
      </c>
      <c r="B6168" t="n">
        <v>7.36</v>
      </c>
      <c r="C6168" t="n">
        <v>5.55</v>
      </c>
    </row>
    <row r="6169">
      <c r="A6169" s="28" t="n">
        <v>28361</v>
      </c>
      <c r="B6169" t="n">
        <v>7.35</v>
      </c>
      <c r="C6169" t="n">
        <v>5.55</v>
      </c>
    </row>
    <row r="6170">
      <c r="A6170" s="28" t="n">
        <v>28362</v>
      </c>
      <c r="B6170" t="n">
        <v>7.32</v>
      </c>
      <c r="C6170" t="n">
        <v>5.53</v>
      </c>
    </row>
    <row r="6171">
      <c r="A6171" s="28" t="n">
        <v>28363</v>
      </c>
      <c r="B6171" t="n">
        <v>7.27</v>
      </c>
      <c r="C6171" t="n">
        <v>5.54</v>
      </c>
    </row>
    <row r="6172">
      <c r="A6172" s="28" t="n">
        <v>28366</v>
      </c>
      <c r="B6172" t="n">
        <v>7.25</v>
      </c>
      <c r="C6172" t="n">
        <v>5.57</v>
      </c>
    </row>
    <row r="6173">
      <c r="A6173" s="28" t="n">
        <v>28367</v>
      </c>
      <c r="B6173" t="n">
        <v>7.27</v>
      </c>
      <c r="C6173" t="n">
        <v>5.59</v>
      </c>
    </row>
    <row r="6174">
      <c r="A6174" s="28" t="n">
        <v>28368</v>
      </c>
      <c r="B6174" t="n">
        <v>7.28</v>
      </c>
      <c r="C6174" t="n">
        <v>5.56</v>
      </c>
    </row>
    <row r="6175">
      <c r="A6175" s="28" t="n">
        <v>28369</v>
      </c>
      <c r="B6175" t="n">
        <v>7.3</v>
      </c>
      <c r="C6175" t="n">
        <v>5.56</v>
      </c>
    </row>
    <row r="6176">
      <c r="A6176" s="28" t="n">
        <v>28370</v>
      </c>
      <c r="B6176" t="n">
        <v>7.24</v>
      </c>
      <c r="C6176" t="n">
        <v>5.53</v>
      </c>
    </row>
    <row r="6177">
      <c r="A6177" s="28" t="n">
        <v>28373</v>
      </c>
      <c r="B6177" t="n">
        <v>0</v>
      </c>
      <c r="C6177" t="n">
        <v>0</v>
      </c>
    </row>
    <row r="6178">
      <c r="A6178" s="28" t="n">
        <v>28374</v>
      </c>
      <c r="B6178" t="n">
        <v>7.24</v>
      </c>
      <c r="C6178" t="n">
        <v>5.58</v>
      </c>
    </row>
    <row r="6179">
      <c r="A6179" s="28" t="n">
        <v>28375</v>
      </c>
      <c r="B6179" t="n">
        <v>7.26</v>
      </c>
      <c r="C6179" t="n">
        <v>5.6</v>
      </c>
    </row>
    <row r="6180">
      <c r="A6180" s="28" t="n">
        <v>28376</v>
      </c>
      <c r="B6180" t="n">
        <v>7.28</v>
      </c>
      <c r="C6180" t="n">
        <v>5.61</v>
      </c>
    </row>
    <row r="6181">
      <c r="A6181" s="28" t="n">
        <v>28377</v>
      </c>
      <c r="B6181" t="n">
        <v>7.36</v>
      </c>
      <c r="C6181" t="n">
        <v>5.8</v>
      </c>
    </row>
    <row r="6182">
      <c r="A6182" s="28" t="n">
        <v>28380</v>
      </c>
      <c r="B6182" t="n">
        <v>7.38</v>
      </c>
      <c r="C6182" t="n">
        <v>5.82</v>
      </c>
    </row>
    <row r="6183">
      <c r="A6183" s="28" t="n">
        <v>28381</v>
      </c>
      <c r="B6183" t="n">
        <v>7.37</v>
      </c>
      <c r="C6183" t="n">
        <v>5.9</v>
      </c>
    </row>
    <row r="6184">
      <c r="A6184" s="28" t="n">
        <v>28382</v>
      </c>
      <c r="B6184" t="n">
        <v>7.34</v>
      </c>
      <c r="C6184" t="n">
        <v>5.87</v>
      </c>
    </row>
    <row r="6185">
      <c r="A6185" s="28" t="n">
        <v>28383</v>
      </c>
      <c r="B6185" t="n">
        <v>7.33</v>
      </c>
      <c r="C6185" t="n">
        <v>5.87</v>
      </c>
    </row>
    <row r="6186">
      <c r="A6186" s="28" t="n">
        <v>28384</v>
      </c>
      <c r="B6186" t="n">
        <v>7.32</v>
      </c>
      <c r="C6186" t="n">
        <v>5.86</v>
      </c>
    </row>
    <row r="6187">
      <c r="A6187" s="28" t="n">
        <v>28387</v>
      </c>
      <c r="B6187" t="n">
        <v>7.32</v>
      </c>
      <c r="C6187" t="n">
        <v>5.86</v>
      </c>
    </row>
    <row r="6188">
      <c r="A6188" s="28" t="n">
        <v>28388</v>
      </c>
      <c r="B6188" t="n">
        <v>7.36</v>
      </c>
      <c r="C6188" t="n">
        <v>5.87</v>
      </c>
    </row>
    <row r="6189">
      <c r="A6189" s="28" t="n">
        <v>28389</v>
      </c>
      <c r="B6189" t="n">
        <v>7.36</v>
      </c>
      <c r="C6189" t="n">
        <v>5.87</v>
      </c>
    </row>
    <row r="6190">
      <c r="A6190" s="28" t="n">
        <v>28390</v>
      </c>
      <c r="B6190" t="n">
        <v>7.39</v>
      </c>
      <c r="C6190" t="n">
        <v>5.96</v>
      </c>
    </row>
    <row r="6191">
      <c r="A6191" s="28" t="n">
        <v>28391</v>
      </c>
      <c r="B6191" t="n">
        <v>7.39</v>
      </c>
      <c r="C6191" t="n">
        <v>5.95</v>
      </c>
    </row>
    <row r="6192">
      <c r="A6192" s="28" t="n">
        <v>28394</v>
      </c>
      <c r="B6192" t="n">
        <v>7.42</v>
      </c>
      <c r="C6192" t="n">
        <v>5.97</v>
      </c>
    </row>
    <row r="6193">
      <c r="A6193" s="28" t="n">
        <v>28395</v>
      </c>
      <c r="B6193" t="n">
        <v>7.38</v>
      </c>
      <c r="C6193" t="n">
        <v>5.92</v>
      </c>
    </row>
    <row r="6194">
      <c r="A6194" s="28" t="n">
        <v>28396</v>
      </c>
      <c r="B6194" t="n">
        <v>7.38</v>
      </c>
      <c r="C6194" t="n">
        <v>5.86</v>
      </c>
    </row>
    <row r="6195">
      <c r="A6195" s="28" t="n">
        <v>28397</v>
      </c>
      <c r="B6195" t="n">
        <v>7.39</v>
      </c>
      <c r="C6195" t="n">
        <v>5.83</v>
      </c>
    </row>
    <row r="6196">
      <c r="A6196" s="28" t="n">
        <v>28398</v>
      </c>
      <c r="B6196" t="n">
        <v>7.41</v>
      </c>
      <c r="C6196" t="n">
        <v>5.89</v>
      </c>
    </row>
    <row r="6197">
      <c r="A6197" s="28" t="n">
        <v>28401</v>
      </c>
      <c r="B6197" t="n">
        <v>7.41</v>
      </c>
      <c r="C6197" t="n">
        <v>5.95</v>
      </c>
    </row>
    <row r="6198">
      <c r="A6198" s="28" t="n">
        <v>28402</v>
      </c>
      <c r="B6198" t="n">
        <v>7.4</v>
      </c>
      <c r="C6198" t="n">
        <v>6.1</v>
      </c>
    </row>
    <row r="6199">
      <c r="A6199" s="28" t="n">
        <v>28403</v>
      </c>
      <c r="B6199" t="n">
        <v>7.4</v>
      </c>
      <c r="C6199" t="n">
        <v>6.13</v>
      </c>
    </row>
    <row r="6200">
      <c r="A6200" s="28" t="n">
        <v>28404</v>
      </c>
      <c r="B6200" t="n">
        <v>7.44</v>
      </c>
      <c r="C6200" t="n">
        <v>6.13</v>
      </c>
    </row>
    <row r="6201">
      <c r="A6201" s="28" t="n">
        <v>28405</v>
      </c>
      <c r="B6201" t="n">
        <v>7.48</v>
      </c>
      <c r="C6201" t="n">
        <v>6.12</v>
      </c>
    </row>
    <row r="6202">
      <c r="A6202" s="28" t="n">
        <v>28408</v>
      </c>
      <c r="B6202" t="n">
        <v>0</v>
      </c>
      <c r="C6202" t="n">
        <v>0</v>
      </c>
    </row>
    <row r="6203">
      <c r="A6203" s="28" t="n">
        <v>28409</v>
      </c>
      <c r="B6203" t="n">
        <v>7.54</v>
      </c>
      <c r="C6203" t="n">
        <v>6.27</v>
      </c>
    </row>
    <row r="6204">
      <c r="A6204" s="28" t="n">
        <v>28410</v>
      </c>
      <c r="B6204" t="n">
        <v>7.54</v>
      </c>
      <c r="C6204" t="n">
        <v>6.36</v>
      </c>
    </row>
    <row r="6205">
      <c r="A6205" s="28" t="n">
        <v>28411</v>
      </c>
      <c r="B6205" t="n">
        <v>7.54</v>
      </c>
      <c r="C6205" t="n">
        <v>6.36</v>
      </c>
    </row>
    <row r="6206">
      <c r="A6206" s="28" t="n">
        <v>28412</v>
      </c>
      <c r="B6206" t="n">
        <v>7.54</v>
      </c>
      <c r="C6206" t="n">
        <v>6.29</v>
      </c>
    </row>
    <row r="6207">
      <c r="A6207" s="28" t="n">
        <v>28415</v>
      </c>
      <c r="B6207" t="n">
        <v>7.55</v>
      </c>
      <c r="C6207" t="n">
        <v>6.28</v>
      </c>
    </row>
    <row r="6208">
      <c r="A6208" s="28" t="n">
        <v>28416</v>
      </c>
      <c r="B6208" t="n">
        <v>7.55</v>
      </c>
      <c r="C6208" t="n">
        <v>6.28</v>
      </c>
    </row>
    <row r="6209">
      <c r="A6209" s="28" t="n">
        <v>28417</v>
      </c>
      <c r="B6209" t="n">
        <v>7.54</v>
      </c>
      <c r="C6209" t="n">
        <v>6.14</v>
      </c>
    </row>
    <row r="6210">
      <c r="A6210" s="28" t="n">
        <v>28418</v>
      </c>
      <c r="B6210" t="n">
        <v>7.54</v>
      </c>
      <c r="C6210" t="n">
        <v>6.09</v>
      </c>
    </row>
    <row r="6211">
      <c r="A6211" s="28" t="n">
        <v>28419</v>
      </c>
      <c r="B6211" t="n">
        <v>7.55</v>
      </c>
      <c r="C6211" t="n">
        <v>6.08</v>
      </c>
    </row>
    <row r="6212">
      <c r="A6212" s="28" t="n">
        <v>28422</v>
      </c>
      <c r="B6212" t="n">
        <v>7.56</v>
      </c>
      <c r="C6212" t="n">
        <v>6.13</v>
      </c>
    </row>
    <row r="6213">
      <c r="A6213" s="28" t="n">
        <v>28423</v>
      </c>
      <c r="B6213" t="n">
        <v>7.58</v>
      </c>
      <c r="C6213" t="n">
        <v>6.15</v>
      </c>
    </row>
    <row r="6214">
      <c r="A6214" s="28" t="n">
        <v>28424</v>
      </c>
      <c r="B6214" t="n">
        <v>7.57</v>
      </c>
      <c r="C6214" t="n">
        <v>6.1</v>
      </c>
    </row>
    <row r="6215">
      <c r="A6215" s="28" t="n">
        <v>28425</v>
      </c>
      <c r="B6215" t="n">
        <v>7.56</v>
      </c>
      <c r="C6215" t="n">
        <v>6.05</v>
      </c>
    </row>
    <row r="6216">
      <c r="A6216" s="28" t="n">
        <v>28426</v>
      </c>
      <c r="B6216" t="n">
        <v>7.56</v>
      </c>
      <c r="C6216" t="n">
        <v>6.01</v>
      </c>
    </row>
    <row r="6217">
      <c r="A6217" s="28" t="n">
        <v>28429</v>
      </c>
      <c r="B6217" t="n">
        <v>7.62</v>
      </c>
      <c r="C6217" t="n">
        <v>6.18</v>
      </c>
    </row>
    <row r="6218">
      <c r="A6218" s="28" t="n">
        <v>28430</v>
      </c>
      <c r="B6218" t="n">
        <v>7.63</v>
      </c>
      <c r="C6218" t="n">
        <v>6.22</v>
      </c>
    </row>
    <row r="6219">
      <c r="A6219" s="28" t="n">
        <v>28431</v>
      </c>
      <c r="B6219" t="n">
        <v>7.69</v>
      </c>
      <c r="C6219" t="n">
        <v>6.22</v>
      </c>
    </row>
    <row r="6220">
      <c r="A6220" s="28" t="n">
        <v>28432</v>
      </c>
      <c r="B6220" t="n">
        <v>7.68</v>
      </c>
      <c r="C6220" t="n">
        <v>6.2</v>
      </c>
    </row>
    <row r="6221">
      <c r="A6221" s="28" t="n">
        <v>28433</v>
      </c>
      <c r="B6221" t="n">
        <v>7.64</v>
      </c>
      <c r="C6221" t="n">
        <v>6.17</v>
      </c>
    </row>
    <row r="6222">
      <c r="A6222" s="28" t="n">
        <v>28436</v>
      </c>
      <c r="B6222" t="n">
        <v>7.62</v>
      </c>
      <c r="C6222" t="n">
        <v>6.16</v>
      </c>
    </row>
    <row r="6223">
      <c r="A6223" s="28" t="n">
        <v>28437</v>
      </c>
      <c r="B6223" t="n">
        <v>0</v>
      </c>
      <c r="C6223" t="n">
        <v>0</v>
      </c>
    </row>
    <row r="6224">
      <c r="A6224" s="28" t="n">
        <v>28438</v>
      </c>
      <c r="B6224" t="n">
        <v>7.6</v>
      </c>
      <c r="C6224" t="n">
        <v>6.15</v>
      </c>
    </row>
    <row r="6225">
      <c r="A6225" s="28" t="n">
        <v>28439</v>
      </c>
      <c r="B6225" t="n">
        <v>7.59</v>
      </c>
      <c r="C6225" t="n">
        <v>6.13</v>
      </c>
    </row>
    <row r="6226">
      <c r="A6226" s="28" t="n">
        <v>28440</v>
      </c>
      <c r="B6226" t="n">
        <v>0</v>
      </c>
      <c r="C6226" t="n">
        <v>0</v>
      </c>
    </row>
    <row r="6227">
      <c r="A6227" s="28" t="n">
        <v>28443</v>
      </c>
      <c r="B6227" t="n">
        <v>7.56</v>
      </c>
      <c r="C6227" t="n">
        <v>6.09</v>
      </c>
    </row>
    <row r="6228">
      <c r="A6228" s="28" t="n">
        <v>28444</v>
      </c>
      <c r="B6228" t="n">
        <v>7.56</v>
      </c>
      <c r="C6228" t="n">
        <v>6.1</v>
      </c>
    </row>
    <row r="6229">
      <c r="A6229" s="28" t="n">
        <v>28445</v>
      </c>
      <c r="B6229" t="n">
        <v>7.55</v>
      </c>
      <c r="C6229" t="n">
        <v>6.09</v>
      </c>
    </row>
    <row r="6230">
      <c r="A6230" s="28" t="n">
        <v>28446</v>
      </c>
      <c r="B6230" t="n">
        <v>7.54</v>
      </c>
      <c r="C6230" t="n">
        <v>6.05</v>
      </c>
    </row>
    <row r="6231">
      <c r="A6231" s="28" t="n">
        <v>28447</v>
      </c>
      <c r="B6231" t="n">
        <v>7.54</v>
      </c>
      <c r="C6231" t="n">
        <v>6.04</v>
      </c>
    </row>
    <row r="6232">
      <c r="A6232" s="28" t="n">
        <v>28450</v>
      </c>
      <c r="B6232" t="n">
        <v>7.56</v>
      </c>
      <c r="C6232" t="n">
        <v>6.07</v>
      </c>
    </row>
    <row r="6233">
      <c r="A6233" s="28" t="n">
        <v>28451</v>
      </c>
      <c r="B6233" t="n">
        <v>7.54</v>
      </c>
      <c r="C6233" t="n">
        <v>6.08</v>
      </c>
    </row>
    <row r="6234">
      <c r="A6234" s="28" t="n">
        <v>28452</v>
      </c>
      <c r="B6234" t="n">
        <v>7.52</v>
      </c>
      <c r="C6234" t="n">
        <v>6.05</v>
      </c>
    </row>
    <row r="6235">
      <c r="A6235" s="28" t="n">
        <v>28453</v>
      </c>
      <c r="B6235" t="n">
        <v>0</v>
      </c>
      <c r="C6235" t="n">
        <v>0</v>
      </c>
    </row>
    <row r="6236">
      <c r="A6236" s="28" t="n">
        <v>28454</v>
      </c>
      <c r="B6236" t="n">
        <v>7.52</v>
      </c>
      <c r="C6236" t="n">
        <v>6.04</v>
      </c>
    </row>
    <row r="6237">
      <c r="A6237" s="28" t="n">
        <v>28457</v>
      </c>
      <c r="B6237" t="n">
        <v>7.53</v>
      </c>
      <c r="C6237" t="n">
        <v>6.04</v>
      </c>
    </row>
    <row r="6238">
      <c r="A6238" s="28" t="n">
        <v>28458</v>
      </c>
      <c r="B6238" t="n">
        <v>7.55</v>
      </c>
      <c r="C6238" t="n">
        <v>6.05</v>
      </c>
    </row>
    <row r="6239">
      <c r="A6239" s="28" t="n">
        <v>28459</v>
      </c>
      <c r="B6239" t="n">
        <v>7.55</v>
      </c>
      <c r="C6239" t="n">
        <v>6.04</v>
      </c>
    </row>
    <row r="6240">
      <c r="A6240" s="28" t="n">
        <v>28460</v>
      </c>
      <c r="B6240" t="n">
        <v>7.58</v>
      </c>
      <c r="C6240" t="n">
        <v>6.03</v>
      </c>
    </row>
    <row r="6241">
      <c r="A6241" s="28" t="n">
        <v>28461</v>
      </c>
      <c r="B6241" t="n">
        <v>7.59</v>
      </c>
      <c r="C6241" t="n">
        <v>6.02</v>
      </c>
    </row>
    <row r="6242">
      <c r="A6242" s="28" t="n">
        <v>28464</v>
      </c>
      <c r="B6242" t="n">
        <v>7.6</v>
      </c>
      <c r="C6242" t="n">
        <v>6.01</v>
      </c>
    </row>
    <row r="6243">
      <c r="A6243" s="28" t="n">
        <v>28465</v>
      </c>
      <c r="B6243" t="n">
        <v>7.63</v>
      </c>
      <c r="C6243" t="n">
        <v>6.07</v>
      </c>
    </row>
    <row r="6244">
      <c r="A6244" s="28" t="n">
        <v>28466</v>
      </c>
      <c r="B6244" t="n">
        <v>7.63</v>
      </c>
      <c r="C6244" t="n">
        <v>6.1</v>
      </c>
    </row>
    <row r="6245">
      <c r="A6245" s="28" t="n">
        <v>28467</v>
      </c>
      <c r="B6245" t="n">
        <v>7.64</v>
      </c>
      <c r="C6245" t="n">
        <v>6.08</v>
      </c>
    </row>
    <row r="6246">
      <c r="A6246" s="28" t="n">
        <v>28468</v>
      </c>
      <c r="B6246" t="n">
        <v>7.63</v>
      </c>
      <c r="C6246" t="n">
        <v>6.07</v>
      </c>
    </row>
    <row r="6247">
      <c r="A6247" s="28" t="n">
        <v>28471</v>
      </c>
      <c r="B6247" t="n">
        <v>7.64</v>
      </c>
      <c r="C6247" t="n">
        <v>6.07</v>
      </c>
    </row>
    <row r="6248">
      <c r="A6248" s="28" t="n">
        <v>28472</v>
      </c>
      <c r="B6248" t="n">
        <v>7.65</v>
      </c>
      <c r="C6248" t="n">
        <v>6.05</v>
      </c>
    </row>
    <row r="6249">
      <c r="A6249" s="28" t="n">
        <v>28473</v>
      </c>
      <c r="B6249" t="n">
        <v>7.66</v>
      </c>
      <c r="C6249" t="n">
        <v>6.05</v>
      </c>
    </row>
    <row r="6250">
      <c r="A6250" s="28" t="n">
        <v>28474</v>
      </c>
      <c r="B6250" t="n">
        <v>7.67</v>
      </c>
      <c r="C6250" t="n">
        <v>6.01</v>
      </c>
    </row>
    <row r="6251">
      <c r="A6251" s="28" t="n">
        <v>28475</v>
      </c>
      <c r="B6251" t="n">
        <v>7.67</v>
      </c>
      <c r="C6251" t="n">
        <v>5.99</v>
      </c>
    </row>
    <row r="6252">
      <c r="A6252" s="28" t="n">
        <v>28478</v>
      </c>
      <c r="B6252" t="n">
        <v>7.69</v>
      </c>
      <c r="C6252" t="n">
        <v>5.95</v>
      </c>
    </row>
    <row r="6253">
      <c r="A6253" s="28" t="n">
        <v>28479</v>
      </c>
      <c r="B6253" t="n">
        <v>7.74</v>
      </c>
      <c r="C6253" t="n">
        <v>6.01</v>
      </c>
    </row>
    <row r="6254">
      <c r="A6254" s="28" t="n">
        <v>28480</v>
      </c>
      <c r="B6254" t="n">
        <v>7.72</v>
      </c>
      <c r="C6254" t="n">
        <v>6</v>
      </c>
    </row>
    <row r="6255">
      <c r="A6255" s="28" t="n">
        <v>28481</v>
      </c>
      <c r="B6255" t="n">
        <v>7.75</v>
      </c>
      <c r="C6255" t="n">
        <v>6.11</v>
      </c>
    </row>
    <row r="6256">
      <c r="A6256" s="28" t="n">
        <v>28482</v>
      </c>
      <c r="B6256" t="n">
        <v>7.75</v>
      </c>
      <c r="C6256" t="n">
        <v>6.1</v>
      </c>
    </row>
    <row r="6257">
      <c r="A6257" s="28" t="n">
        <v>28485</v>
      </c>
      <c r="B6257" t="n">
        <v>0</v>
      </c>
      <c r="C6257" t="n">
        <v>0</v>
      </c>
    </row>
    <row r="6258">
      <c r="A6258" s="28" t="n">
        <v>28486</v>
      </c>
      <c r="B6258" t="n">
        <v>7.77</v>
      </c>
      <c r="C6258" t="n">
        <v>6.16</v>
      </c>
    </row>
    <row r="6259">
      <c r="A6259" s="28" t="n">
        <v>28487</v>
      </c>
      <c r="B6259" t="n">
        <v>7.78</v>
      </c>
      <c r="C6259" t="n">
        <v>6.19</v>
      </c>
    </row>
    <row r="6260">
      <c r="A6260" s="28" t="n">
        <v>28488</v>
      </c>
      <c r="B6260" t="n">
        <v>7.82</v>
      </c>
      <c r="C6260" t="n">
        <v>6.17</v>
      </c>
    </row>
    <row r="6261">
      <c r="A6261" s="28" t="n">
        <v>28489</v>
      </c>
      <c r="B6261" t="n">
        <v>7.78</v>
      </c>
      <c r="C6261" t="n">
        <v>6.13</v>
      </c>
    </row>
    <row r="6262">
      <c r="A6262" s="28" t="n">
        <v>28492</v>
      </c>
      <c r="B6262" t="n">
        <v>0</v>
      </c>
      <c r="C6262" t="n">
        <v>0</v>
      </c>
    </row>
    <row r="6263">
      <c r="A6263" s="28" t="n">
        <v>28493</v>
      </c>
      <c r="B6263" t="n">
        <v>7.83</v>
      </c>
      <c r="C6263" t="n">
        <v>6.18</v>
      </c>
    </row>
    <row r="6264">
      <c r="A6264" s="28" t="n">
        <v>28494</v>
      </c>
      <c r="B6264" t="n">
        <v>7.82</v>
      </c>
      <c r="C6264" t="n">
        <v>6.16</v>
      </c>
    </row>
    <row r="6265">
      <c r="A6265" s="28" t="n">
        <v>28495</v>
      </c>
      <c r="B6265" t="n">
        <v>7.83</v>
      </c>
      <c r="C6265" t="n">
        <v>6.2</v>
      </c>
    </row>
    <row r="6266">
      <c r="A6266" s="28" t="n">
        <v>28496</v>
      </c>
      <c r="B6266" t="n">
        <v>7.85</v>
      </c>
      <c r="C6266" t="n">
        <v>6.25</v>
      </c>
    </row>
    <row r="6267">
      <c r="A6267" s="28" t="n">
        <v>28499</v>
      </c>
      <c r="B6267" t="n">
        <v>8.01</v>
      </c>
      <c r="C6267" t="n">
        <v>6.64</v>
      </c>
    </row>
    <row r="6268">
      <c r="A6268" s="28" t="n">
        <v>28500</v>
      </c>
      <c r="B6268" t="n">
        <v>8.02</v>
      </c>
      <c r="C6268" t="n">
        <v>6.65</v>
      </c>
    </row>
    <row r="6269">
      <c r="A6269" s="28" t="n">
        <v>28501</v>
      </c>
      <c r="B6269" t="n">
        <v>8.029999999999999</v>
      </c>
      <c r="C6269" t="n">
        <v>6.68</v>
      </c>
    </row>
    <row r="6270">
      <c r="A6270" s="28" t="n">
        <v>28502</v>
      </c>
      <c r="B6270" t="n">
        <v>8.02</v>
      </c>
      <c r="C6270" t="n">
        <v>6.56</v>
      </c>
    </row>
    <row r="6271">
      <c r="A6271" s="28" t="n">
        <v>28503</v>
      </c>
      <c r="B6271" t="n">
        <v>7.98</v>
      </c>
      <c r="C6271" t="n">
        <v>6.48</v>
      </c>
    </row>
    <row r="6272">
      <c r="A6272" s="28" t="n">
        <v>28506</v>
      </c>
      <c r="B6272" t="n">
        <v>7.98</v>
      </c>
      <c r="C6272" t="n">
        <v>6.46</v>
      </c>
    </row>
    <row r="6273">
      <c r="A6273" s="28" t="n">
        <v>28507</v>
      </c>
      <c r="B6273" t="n">
        <v>7.98</v>
      </c>
      <c r="C6273" t="n">
        <v>6.5</v>
      </c>
    </row>
    <row r="6274">
      <c r="A6274" s="28" t="n">
        <v>28508</v>
      </c>
      <c r="B6274" t="n">
        <v>7.98</v>
      </c>
      <c r="C6274" t="n">
        <v>6.5</v>
      </c>
    </row>
    <row r="6275">
      <c r="A6275" s="28" t="n">
        <v>28509</v>
      </c>
      <c r="B6275" t="n">
        <v>7.97</v>
      </c>
      <c r="C6275" t="n">
        <v>6.48</v>
      </c>
    </row>
    <row r="6276">
      <c r="A6276" s="28" t="n">
        <v>28510</v>
      </c>
      <c r="B6276" t="n">
        <v>7.97</v>
      </c>
      <c r="C6276" t="n">
        <v>6.48</v>
      </c>
    </row>
    <row r="6277">
      <c r="A6277" s="28" t="n">
        <v>28513</v>
      </c>
      <c r="B6277" t="n">
        <v>7.97</v>
      </c>
      <c r="C6277" t="n">
        <v>6.43</v>
      </c>
    </row>
    <row r="6278">
      <c r="A6278" s="28" t="n">
        <v>28514</v>
      </c>
      <c r="B6278" t="n">
        <v>7.99</v>
      </c>
      <c r="C6278" t="n">
        <v>6.44</v>
      </c>
    </row>
    <row r="6279">
      <c r="A6279" s="28" t="n">
        <v>28515</v>
      </c>
      <c r="B6279" t="n">
        <v>8</v>
      </c>
      <c r="C6279" t="n">
        <v>6.46</v>
      </c>
    </row>
    <row r="6280">
      <c r="A6280" s="28" t="n">
        <v>28516</v>
      </c>
      <c r="B6280" t="n">
        <v>7.98</v>
      </c>
      <c r="C6280" t="n">
        <v>6.43</v>
      </c>
    </row>
    <row r="6281">
      <c r="A6281" s="28" t="n">
        <v>28517</v>
      </c>
      <c r="B6281" t="n">
        <v>7.97</v>
      </c>
      <c r="C6281" t="n">
        <v>6.42</v>
      </c>
    </row>
    <row r="6282">
      <c r="A6282" s="28" t="n">
        <v>28520</v>
      </c>
      <c r="B6282" t="n">
        <v>7.96</v>
      </c>
      <c r="C6282" t="n">
        <v>6.43</v>
      </c>
    </row>
    <row r="6283">
      <c r="A6283" s="28" t="n">
        <v>28521</v>
      </c>
      <c r="B6283" t="n">
        <v>7.94</v>
      </c>
      <c r="C6283" t="n">
        <v>6.42</v>
      </c>
    </row>
    <row r="6284">
      <c r="A6284" s="28" t="n">
        <v>28522</v>
      </c>
      <c r="B6284" t="n">
        <v>7.96</v>
      </c>
      <c r="C6284" t="n">
        <v>6.41</v>
      </c>
    </row>
    <row r="6285">
      <c r="A6285" s="28" t="n">
        <v>28523</v>
      </c>
      <c r="B6285" t="n">
        <v>7.96</v>
      </c>
      <c r="C6285" t="n">
        <v>6.42</v>
      </c>
    </row>
    <row r="6286">
      <c r="A6286" s="28" t="n">
        <v>28524</v>
      </c>
      <c r="B6286" t="n">
        <v>7.97</v>
      </c>
      <c r="C6286" t="n">
        <v>6.42</v>
      </c>
    </row>
    <row r="6287">
      <c r="A6287" s="28" t="n">
        <v>28527</v>
      </c>
      <c r="B6287" t="n">
        <v>7.99</v>
      </c>
      <c r="C6287" t="n">
        <v>6.45</v>
      </c>
    </row>
    <row r="6288">
      <c r="A6288" s="28" t="n">
        <v>28528</v>
      </c>
      <c r="B6288" t="n">
        <v>7.99</v>
      </c>
      <c r="C6288" t="n">
        <v>6.46</v>
      </c>
    </row>
    <row r="6289">
      <c r="A6289" s="28" t="n">
        <v>28529</v>
      </c>
      <c r="B6289" t="n">
        <v>8</v>
      </c>
      <c r="C6289" t="n">
        <v>6.44</v>
      </c>
    </row>
    <row r="6290">
      <c r="A6290" s="28" t="n">
        <v>28530</v>
      </c>
      <c r="B6290" t="n">
        <v>8.01</v>
      </c>
      <c r="C6290" t="n">
        <v>6.43</v>
      </c>
    </row>
    <row r="6291">
      <c r="A6291" s="28" t="n">
        <v>28531</v>
      </c>
      <c r="B6291" t="n">
        <v>8.02</v>
      </c>
      <c r="C6291" t="n">
        <v>6.44</v>
      </c>
    </row>
    <row r="6292">
      <c r="A6292" s="28" t="n">
        <v>28534</v>
      </c>
      <c r="B6292" t="n">
        <v>0</v>
      </c>
      <c r="C6292" t="n">
        <v>0</v>
      </c>
    </row>
    <row r="6293">
      <c r="A6293" s="28" t="n">
        <v>28535</v>
      </c>
      <c r="B6293" t="n">
        <v>8.050000000000001</v>
      </c>
      <c r="C6293" t="n">
        <v>6.47</v>
      </c>
    </row>
    <row r="6294">
      <c r="A6294" s="28" t="n">
        <v>28536</v>
      </c>
      <c r="B6294" t="n">
        <v>8.08</v>
      </c>
      <c r="C6294" t="n">
        <v>6.5</v>
      </c>
    </row>
    <row r="6295">
      <c r="A6295" s="28" t="n">
        <v>28537</v>
      </c>
      <c r="B6295" t="n">
        <v>8.1</v>
      </c>
      <c r="C6295" t="n">
        <v>6.51</v>
      </c>
    </row>
    <row r="6296">
      <c r="A6296" s="28" t="n">
        <v>28538</v>
      </c>
      <c r="B6296" t="n">
        <v>8.09</v>
      </c>
      <c r="C6296" t="n">
        <v>6.45</v>
      </c>
    </row>
    <row r="6297">
      <c r="A6297" s="28" t="n">
        <v>28541</v>
      </c>
      <c r="B6297" t="n">
        <v>0</v>
      </c>
      <c r="C6297" t="n">
        <v>0</v>
      </c>
    </row>
    <row r="6298">
      <c r="A6298" s="28" t="n">
        <v>28542</v>
      </c>
      <c r="B6298" t="n">
        <v>8.1</v>
      </c>
      <c r="C6298" t="n">
        <v>6.5</v>
      </c>
    </row>
    <row r="6299">
      <c r="A6299" s="28" t="n">
        <v>28543</v>
      </c>
      <c r="B6299" t="n">
        <v>8.1</v>
      </c>
      <c r="C6299" t="n">
        <v>6.47</v>
      </c>
    </row>
    <row r="6300">
      <c r="A6300" s="28" t="n">
        <v>28544</v>
      </c>
      <c r="B6300" t="n">
        <v>8.08</v>
      </c>
      <c r="C6300" t="n">
        <v>6.43</v>
      </c>
    </row>
    <row r="6301">
      <c r="A6301" s="28" t="n">
        <v>28545</v>
      </c>
      <c r="B6301" t="n">
        <v>8.039999999999999</v>
      </c>
      <c r="C6301" t="n">
        <v>6.4</v>
      </c>
    </row>
    <row r="6302">
      <c r="A6302" s="28" t="n">
        <v>28548</v>
      </c>
      <c r="B6302" t="n">
        <v>8.02</v>
      </c>
      <c r="C6302" t="n">
        <v>6.4</v>
      </c>
    </row>
    <row r="6303">
      <c r="A6303" s="28" t="n">
        <v>28549</v>
      </c>
      <c r="B6303" t="n">
        <v>8.039999999999999</v>
      </c>
      <c r="C6303" t="n">
        <v>6.42</v>
      </c>
    </row>
    <row r="6304">
      <c r="A6304" s="28" t="n">
        <v>28550</v>
      </c>
      <c r="B6304" t="n">
        <v>8.050000000000001</v>
      </c>
      <c r="C6304" t="n">
        <v>6.42</v>
      </c>
    </row>
    <row r="6305">
      <c r="A6305" s="28" t="n">
        <v>28551</v>
      </c>
      <c r="B6305" t="n">
        <v>8.039999999999999</v>
      </c>
      <c r="C6305" t="n">
        <v>6.39</v>
      </c>
    </row>
    <row r="6306">
      <c r="A6306" s="28" t="n">
        <v>28552</v>
      </c>
      <c r="B6306" t="n">
        <v>8.039999999999999</v>
      </c>
      <c r="C6306" t="n">
        <v>6.34</v>
      </c>
    </row>
    <row r="6307">
      <c r="A6307" s="28" t="n">
        <v>28555</v>
      </c>
      <c r="B6307" t="n">
        <v>8.050000000000001</v>
      </c>
      <c r="C6307" t="n">
        <v>6.32</v>
      </c>
    </row>
    <row r="6308">
      <c r="A6308" s="28" t="n">
        <v>28556</v>
      </c>
      <c r="B6308" t="n">
        <v>8.029999999999999</v>
      </c>
      <c r="C6308" t="n">
        <v>6.32</v>
      </c>
    </row>
    <row r="6309">
      <c r="A6309" s="28" t="n">
        <v>28557</v>
      </c>
      <c r="B6309" t="n">
        <v>8.029999999999999</v>
      </c>
      <c r="C6309" t="n">
        <v>6.29</v>
      </c>
    </row>
    <row r="6310">
      <c r="A6310" s="28" t="n">
        <v>28558</v>
      </c>
      <c r="B6310" t="n">
        <v>8.02</v>
      </c>
      <c r="C6310" t="n">
        <v>6.25</v>
      </c>
    </row>
    <row r="6311">
      <c r="A6311" s="28" t="n">
        <v>28559</v>
      </c>
      <c r="B6311" t="n">
        <v>8</v>
      </c>
      <c r="C6311" t="n">
        <v>6.28</v>
      </c>
    </row>
    <row r="6312">
      <c r="A6312" s="28" t="n">
        <v>28562</v>
      </c>
      <c r="B6312" t="n">
        <v>7.99</v>
      </c>
      <c r="C6312" t="n">
        <v>6.27</v>
      </c>
    </row>
    <row r="6313">
      <c r="A6313" s="28" t="n">
        <v>28563</v>
      </c>
      <c r="B6313" t="n">
        <v>7.99</v>
      </c>
      <c r="C6313" t="n">
        <v>6.3</v>
      </c>
    </row>
    <row r="6314">
      <c r="A6314" s="28" t="n">
        <v>28564</v>
      </c>
      <c r="B6314" t="n">
        <v>8</v>
      </c>
      <c r="C6314" t="n">
        <v>6.27</v>
      </c>
    </row>
    <row r="6315">
      <c r="A6315" s="28" t="n">
        <v>28565</v>
      </c>
      <c r="B6315" t="n">
        <v>8</v>
      </c>
      <c r="C6315" t="n">
        <v>6.25</v>
      </c>
    </row>
    <row r="6316">
      <c r="A6316" s="28" t="n">
        <v>28566</v>
      </c>
      <c r="B6316" t="n">
        <v>8</v>
      </c>
      <c r="C6316" t="n">
        <v>6.24</v>
      </c>
    </row>
    <row r="6317">
      <c r="A6317" s="28" t="n">
        <v>28569</v>
      </c>
      <c r="B6317" t="n">
        <v>7.97</v>
      </c>
      <c r="C6317" t="n">
        <v>6.16</v>
      </c>
    </row>
    <row r="6318">
      <c r="A6318" s="28" t="n">
        <v>28570</v>
      </c>
      <c r="B6318" t="n">
        <v>7.97</v>
      </c>
      <c r="C6318" t="n">
        <v>6.22</v>
      </c>
    </row>
    <row r="6319">
      <c r="A6319" s="28" t="n">
        <v>28571</v>
      </c>
      <c r="B6319" t="n">
        <v>7.98</v>
      </c>
      <c r="C6319" t="n">
        <v>6.22</v>
      </c>
    </row>
    <row r="6320">
      <c r="A6320" s="28" t="n">
        <v>28572</v>
      </c>
      <c r="B6320" t="n">
        <v>8.01</v>
      </c>
      <c r="C6320" t="n">
        <v>6.24</v>
      </c>
    </row>
    <row r="6321">
      <c r="A6321" s="28" t="n">
        <v>28573</v>
      </c>
      <c r="B6321" t="n">
        <v>0</v>
      </c>
      <c r="C6321" t="n">
        <v>0</v>
      </c>
    </row>
    <row r="6322">
      <c r="A6322" s="28" t="n">
        <v>28576</v>
      </c>
      <c r="B6322" t="n">
        <v>8.119999999999999</v>
      </c>
      <c r="C6322" t="n">
        <v>6.28</v>
      </c>
    </row>
    <row r="6323">
      <c r="A6323" s="28" t="n">
        <v>28577</v>
      </c>
      <c r="B6323" t="n">
        <v>8.119999999999999</v>
      </c>
      <c r="C6323" t="n">
        <v>6.28</v>
      </c>
    </row>
    <row r="6324">
      <c r="A6324" s="28" t="n">
        <v>28578</v>
      </c>
      <c r="B6324" t="n">
        <v>8.109999999999999</v>
      </c>
      <c r="C6324" t="n">
        <v>6.28</v>
      </c>
    </row>
    <row r="6325">
      <c r="A6325" s="28" t="n">
        <v>28579</v>
      </c>
      <c r="B6325" t="n">
        <v>8.119999999999999</v>
      </c>
      <c r="C6325" t="n">
        <v>6.37</v>
      </c>
    </row>
    <row r="6326">
      <c r="A6326" s="28" t="n">
        <v>28580</v>
      </c>
      <c r="B6326" t="n">
        <v>8.15</v>
      </c>
      <c r="C6326" t="n">
        <v>6.47</v>
      </c>
    </row>
    <row r="6327">
      <c r="A6327" s="28" t="n">
        <v>28583</v>
      </c>
      <c r="B6327" t="n">
        <v>8.130000000000001</v>
      </c>
      <c r="C6327" t="n">
        <v>6.31</v>
      </c>
    </row>
    <row r="6328">
      <c r="A6328" s="28" t="n">
        <v>28584</v>
      </c>
      <c r="B6328" t="n">
        <v>8.119999999999999</v>
      </c>
      <c r="C6328" t="n">
        <v>6.39</v>
      </c>
    </row>
    <row r="6329">
      <c r="A6329" s="28" t="n">
        <v>28585</v>
      </c>
      <c r="B6329" t="n">
        <v>8.140000000000001</v>
      </c>
      <c r="C6329" t="n">
        <v>6.42</v>
      </c>
    </row>
    <row r="6330">
      <c r="A6330" s="28" t="n">
        <v>28586</v>
      </c>
      <c r="B6330" t="n">
        <v>8.16</v>
      </c>
      <c r="C6330" t="n">
        <v>6.41</v>
      </c>
    </row>
    <row r="6331">
      <c r="A6331" s="28" t="n">
        <v>28587</v>
      </c>
      <c r="B6331" t="n">
        <v>8.140000000000001</v>
      </c>
      <c r="C6331" t="n">
        <v>6.34</v>
      </c>
    </row>
    <row r="6332">
      <c r="A6332" s="28" t="n">
        <v>28590</v>
      </c>
      <c r="B6332" t="n">
        <v>8.15</v>
      </c>
      <c r="C6332" t="n">
        <v>6.34</v>
      </c>
    </row>
    <row r="6333">
      <c r="A6333" s="28" t="n">
        <v>28591</v>
      </c>
      <c r="B6333" t="n">
        <v>8.16</v>
      </c>
      <c r="C6333" t="n">
        <v>6.35</v>
      </c>
    </row>
    <row r="6334">
      <c r="A6334" s="28" t="n">
        <v>28592</v>
      </c>
      <c r="B6334" t="n">
        <v>8.16</v>
      </c>
      <c r="C6334" t="n">
        <v>6.33</v>
      </c>
    </row>
    <row r="6335">
      <c r="A6335" s="28" t="n">
        <v>28593</v>
      </c>
      <c r="B6335" t="n">
        <v>8.15</v>
      </c>
      <c r="C6335" t="n">
        <v>6.29</v>
      </c>
    </row>
    <row r="6336">
      <c r="A6336" s="28" t="n">
        <v>28594</v>
      </c>
      <c r="B6336" t="n">
        <v>8.119999999999999</v>
      </c>
      <c r="C6336" t="n">
        <v>6.14</v>
      </c>
    </row>
    <row r="6337">
      <c r="A6337" s="28" t="n">
        <v>28597</v>
      </c>
      <c r="B6337" t="n">
        <v>8.08</v>
      </c>
      <c r="C6337" t="n">
        <v>6.1</v>
      </c>
    </row>
    <row r="6338">
      <c r="A6338" s="28" t="n">
        <v>28598</v>
      </c>
      <c r="B6338" t="n">
        <v>8.08</v>
      </c>
      <c r="C6338" t="n">
        <v>6.15</v>
      </c>
    </row>
    <row r="6339">
      <c r="A6339" s="28" t="n">
        <v>28599</v>
      </c>
      <c r="B6339" t="n">
        <v>8.130000000000001</v>
      </c>
      <c r="C6339" t="n">
        <v>6.32</v>
      </c>
    </row>
    <row r="6340">
      <c r="A6340" s="28" t="n">
        <v>28600</v>
      </c>
      <c r="B6340" t="n">
        <v>8.140000000000001</v>
      </c>
      <c r="C6340" t="n">
        <v>6.3</v>
      </c>
    </row>
    <row r="6341">
      <c r="A6341" s="28" t="n">
        <v>28601</v>
      </c>
      <c r="B6341" t="n">
        <v>8.16</v>
      </c>
      <c r="C6341" t="n">
        <v>6.25</v>
      </c>
    </row>
    <row r="6342">
      <c r="A6342" s="28" t="n">
        <v>28604</v>
      </c>
      <c r="B6342" t="n">
        <v>8.18</v>
      </c>
      <c r="C6342" t="n">
        <v>6.09</v>
      </c>
    </row>
    <row r="6343">
      <c r="A6343" s="28" t="n">
        <v>28605</v>
      </c>
      <c r="B6343" t="n">
        <v>8.18</v>
      </c>
      <c r="C6343" t="n">
        <v>6.22</v>
      </c>
    </row>
    <row r="6344">
      <c r="A6344" s="28" t="n">
        <v>28606</v>
      </c>
      <c r="B6344" t="n">
        <v>8.220000000000001</v>
      </c>
      <c r="C6344" t="n">
        <v>6.25</v>
      </c>
    </row>
    <row r="6345">
      <c r="A6345" s="28" t="n">
        <v>28607</v>
      </c>
      <c r="B6345" t="n">
        <v>8.24</v>
      </c>
      <c r="C6345" t="n">
        <v>6.37</v>
      </c>
    </row>
    <row r="6346">
      <c r="A6346" s="28" t="n">
        <v>28608</v>
      </c>
      <c r="B6346" t="n">
        <v>8.24</v>
      </c>
      <c r="C6346" t="n">
        <v>6.35</v>
      </c>
    </row>
    <row r="6347">
      <c r="A6347" s="28" t="n">
        <v>28611</v>
      </c>
      <c r="B6347" t="n">
        <v>8.24</v>
      </c>
      <c r="C6347" t="n">
        <v>6.31</v>
      </c>
    </row>
    <row r="6348">
      <c r="A6348" s="28" t="n">
        <v>28612</v>
      </c>
      <c r="B6348" t="n">
        <v>8.25</v>
      </c>
      <c r="C6348" t="n">
        <v>6.46</v>
      </c>
    </row>
    <row r="6349">
      <c r="A6349" s="28" t="n">
        <v>28613</v>
      </c>
      <c r="B6349" t="n">
        <v>8.279999999999999</v>
      </c>
      <c r="C6349" t="n">
        <v>6.39</v>
      </c>
    </row>
    <row r="6350">
      <c r="A6350" s="28" t="n">
        <v>28614</v>
      </c>
      <c r="B6350" t="n">
        <v>8.27</v>
      </c>
      <c r="C6350" t="n">
        <v>6.33</v>
      </c>
    </row>
    <row r="6351">
      <c r="A6351" s="28" t="n">
        <v>28615</v>
      </c>
      <c r="B6351" t="n">
        <v>8.34</v>
      </c>
      <c r="C6351" t="n">
        <v>6.43</v>
      </c>
    </row>
    <row r="6352">
      <c r="A6352" s="28" t="n">
        <v>28618</v>
      </c>
      <c r="B6352" t="n">
        <v>8.35</v>
      </c>
      <c r="C6352" t="n">
        <v>6.36</v>
      </c>
    </row>
    <row r="6353">
      <c r="A6353" s="28" t="n">
        <v>28619</v>
      </c>
      <c r="B6353" t="n">
        <v>8.34</v>
      </c>
      <c r="C6353" t="n">
        <v>6.45</v>
      </c>
    </row>
    <row r="6354">
      <c r="A6354" s="28" t="n">
        <v>28620</v>
      </c>
      <c r="B6354" t="n">
        <v>8.34</v>
      </c>
      <c r="C6354" t="n">
        <v>6.39</v>
      </c>
    </row>
    <row r="6355">
      <c r="A6355" s="28" t="n">
        <v>28621</v>
      </c>
      <c r="B6355" t="n">
        <v>8.34</v>
      </c>
      <c r="C6355" t="n">
        <v>6.32</v>
      </c>
    </row>
    <row r="6356">
      <c r="A6356" s="28" t="n">
        <v>28622</v>
      </c>
      <c r="B6356" t="n">
        <v>8.359999999999999</v>
      </c>
      <c r="C6356" t="n">
        <v>6.33</v>
      </c>
    </row>
    <row r="6357">
      <c r="A6357" s="28" t="n">
        <v>28625</v>
      </c>
      <c r="B6357" t="n">
        <v>8.35</v>
      </c>
      <c r="C6357" t="n">
        <v>6.25</v>
      </c>
    </row>
    <row r="6358">
      <c r="A6358" s="28" t="n">
        <v>28626</v>
      </c>
      <c r="B6358" t="n">
        <v>8.34</v>
      </c>
      <c r="C6358" t="n">
        <v>6.34</v>
      </c>
    </row>
    <row r="6359">
      <c r="A6359" s="28" t="n">
        <v>28627</v>
      </c>
      <c r="B6359" t="n">
        <v>8.33</v>
      </c>
      <c r="C6359" t="n">
        <v>6.28</v>
      </c>
    </row>
    <row r="6360">
      <c r="A6360" s="28" t="n">
        <v>28628</v>
      </c>
      <c r="B6360" t="n">
        <v>8.369999999999999</v>
      </c>
      <c r="C6360" t="n">
        <v>6.35</v>
      </c>
    </row>
    <row r="6361">
      <c r="A6361" s="28" t="n">
        <v>28629</v>
      </c>
      <c r="B6361" t="n">
        <v>8.380000000000001</v>
      </c>
      <c r="C6361" t="n">
        <v>6.39</v>
      </c>
    </row>
    <row r="6362">
      <c r="A6362" s="28" t="n">
        <v>28632</v>
      </c>
      <c r="B6362" t="n">
        <v>8.380000000000001</v>
      </c>
      <c r="C6362" t="n">
        <v>6.42</v>
      </c>
    </row>
    <row r="6363">
      <c r="A6363" s="28" t="n">
        <v>28633</v>
      </c>
      <c r="B6363" t="n">
        <v>8.369999999999999</v>
      </c>
      <c r="C6363" t="n">
        <v>6.48</v>
      </c>
    </row>
    <row r="6364">
      <c r="A6364" s="28" t="n">
        <v>28634</v>
      </c>
      <c r="B6364" t="n">
        <v>8.390000000000001</v>
      </c>
      <c r="C6364" t="n">
        <v>6.51</v>
      </c>
    </row>
    <row r="6365">
      <c r="A6365" s="28" t="n">
        <v>28635</v>
      </c>
      <c r="B6365" t="n">
        <v>8.4</v>
      </c>
      <c r="C6365" t="n">
        <v>6.5</v>
      </c>
    </row>
    <row r="6366">
      <c r="A6366" s="28" t="n">
        <v>28636</v>
      </c>
      <c r="B6366" t="n">
        <v>8.42</v>
      </c>
      <c r="C6366" t="n">
        <v>6.63</v>
      </c>
    </row>
    <row r="6367">
      <c r="A6367" s="28" t="n">
        <v>28639</v>
      </c>
      <c r="B6367" t="n">
        <v>0</v>
      </c>
      <c r="C6367" t="n">
        <v>0</v>
      </c>
    </row>
    <row r="6368">
      <c r="A6368" s="28" t="n">
        <v>28640</v>
      </c>
      <c r="B6368" t="n">
        <v>0</v>
      </c>
      <c r="C6368" t="n">
        <v>0</v>
      </c>
    </row>
    <row r="6369">
      <c r="A6369" s="28" t="n">
        <v>28641</v>
      </c>
      <c r="B6369" t="n">
        <v>8.42</v>
      </c>
      <c r="C6369" t="n">
        <v>6.65</v>
      </c>
    </row>
    <row r="6370">
      <c r="A6370" s="28" t="n">
        <v>28642</v>
      </c>
      <c r="B6370" t="n">
        <v>8.41</v>
      </c>
      <c r="C6370" t="n">
        <v>6.61</v>
      </c>
    </row>
    <row r="6371">
      <c r="A6371" s="28" t="n">
        <v>28643</v>
      </c>
      <c r="B6371" t="n">
        <v>8.390000000000001</v>
      </c>
      <c r="C6371" t="n">
        <v>6.59</v>
      </c>
    </row>
    <row r="6372">
      <c r="A6372" s="28" t="n">
        <v>28646</v>
      </c>
      <c r="B6372" t="n">
        <v>8.380000000000001</v>
      </c>
      <c r="C6372" t="n">
        <v>6.59</v>
      </c>
    </row>
    <row r="6373">
      <c r="A6373" s="28" t="n">
        <v>28647</v>
      </c>
      <c r="B6373" t="n">
        <v>8.369999999999999</v>
      </c>
      <c r="C6373" t="n">
        <v>6.61</v>
      </c>
    </row>
    <row r="6374">
      <c r="A6374" s="28" t="n">
        <v>28648</v>
      </c>
      <c r="B6374" t="n">
        <v>8.369999999999999</v>
      </c>
      <c r="C6374" t="n">
        <v>6.64</v>
      </c>
    </row>
    <row r="6375">
      <c r="A6375" s="28" t="n">
        <v>28649</v>
      </c>
      <c r="B6375" t="n">
        <v>8.380000000000001</v>
      </c>
      <c r="C6375" t="n">
        <v>6.63</v>
      </c>
    </row>
    <row r="6376">
      <c r="A6376" s="28" t="n">
        <v>28650</v>
      </c>
      <c r="B6376" t="n">
        <v>8.41</v>
      </c>
      <c r="C6376" t="n">
        <v>6.65</v>
      </c>
    </row>
    <row r="6377">
      <c r="A6377" s="28" t="n">
        <v>28653</v>
      </c>
      <c r="B6377" t="n">
        <v>8.4</v>
      </c>
      <c r="C6377" t="n">
        <v>6.62</v>
      </c>
    </row>
    <row r="6378">
      <c r="A6378" s="28" t="n">
        <v>28654</v>
      </c>
      <c r="B6378" t="n">
        <v>8.41</v>
      </c>
      <c r="C6378" t="n">
        <v>6.63</v>
      </c>
    </row>
    <row r="6379">
      <c r="A6379" s="28" t="n">
        <v>28655</v>
      </c>
      <c r="B6379" t="n">
        <v>8.41</v>
      </c>
      <c r="C6379" t="n">
        <v>6.63</v>
      </c>
    </row>
    <row r="6380">
      <c r="A6380" s="28" t="n">
        <v>28656</v>
      </c>
      <c r="B6380" t="n">
        <v>8.41</v>
      </c>
      <c r="C6380" t="n">
        <v>6.66</v>
      </c>
    </row>
    <row r="6381">
      <c r="A6381" s="28" t="n">
        <v>28657</v>
      </c>
      <c r="B6381" t="n">
        <v>8.43</v>
      </c>
      <c r="C6381" t="n">
        <v>6.72</v>
      </c>
    </row>
    <row r="6382">
      <c r="A6382" s="28" t="n">
        <v>28660</v>
      </c>
      <c r="B6382" t="n">
        <v>8.449999999999999</v>
      </c>
      <c r="C6382" t="n">
        <v>6.69</v>
      </c>
    </row>
    <row r="6383">
      <c r="A6383" s="28" t="n">
        <v>28661</v>
      </c>
      <c r="B6383" t="n">
        <v>8.470000000000001</v>
      </c>
      <c r="C6383" t="n">
        <v>6.74</v>
      </c>
    </row>
    <row r="6384">
      <c r="A6384" s="28" t="n">
        <v>28662</v>
      </c>
      <c r="B6384" t="n">
        <v>8.5</v>
      </c>
      <c r="C6384" t="n">
        <v>6.84</v>
      </c>
    </row>
    <row r="6385">
      <c r="A6385" s="28" t="n">
        <v>28663</v>
      </c>
      <c r="B6385" t="n">
        <v>8.5</v>
      </c>
      <c r="C6385" t="n">
        <v>6.81</v>
      </c>
    </row>
    <row r="6386">
      <c r="A6386" s="28" t="n">
        <v>28664</v>
      </c>
      <c r="B6386" t="n">
        <v>8.550000000000001</v>
      </c>
      <c r="C6386" t="n">
        <v>6.86</v>
      </c>
    </row>
    <row r="6387">
      <c r="A6387" s="28" t="n">
        <v>28667</v>
      </c>
      <c r="B6387" t="n">
        <v>8.59</v>
      </c>
      <c r="C6387" t="n">
        <v>6.88</v>
      </c>
    </row>
    <row r="6388">
      <c r="A6388" s="28" t="n">
        <v>28668</v>
      </c>
      <c r="B6388" t="n">
        <v>8.58</v>
      </c>
      <c r="C6388" t="n">
        <v>6.94</v>
      </c>
    </row>
    <row r="6389">
      <c r="A6389" s="28" t="n">
        <v>28669</v>
      </c>
      <c r="B6389" t="n">
        <v>8.57</v>
      </c>
      <c r="C6389" t="n">
        <v>6.88</v>
      </c>
    </row>
    <row r="6390">
      <c r="A6390" s="28" t="n">
        <v>28670</v>
      </c>
      <c r="B6390" t="n">
        <v>8.57</v>
      </c>
      <c r="C6390" t="n">
        <v>6.92</v>
      </c>
    </row>
    <row r="6391">
      <c r="A6391" s="28" t="n">
        <v>28671</v>
      </c>
      <c r="B6391" t="n">
        <v>8.619999999999999</v>
      </c>
      <c r="C6391" t="n">
        <v>7.01</v>
      </c>
    </row>
    <row r="6392">
      <c r="A6392" s="28" t="n">
        <v>28674</v>
      </c>
      <c r="B6392" t="n">
        <v>8.59</v>
      </c>
      <c r="C6392" t="n">
        <v>6.95</v>
      </c>
    </row>
    <row r="6393">
      <c r="A6393" s="28" t="n">
        <v>28675</v>
      </c>
      <c r="B6393" t="n">
        <v>0</v>
      </c>
      <c r="C6393" t="n">
        <v>0</v>
      </c>
    </row>
    <row r="6394">
      <c r="A6394" s="28" t="n">
        <v>28676</v>
      </c>
      <c r="B6394" t="n">
        <v>8.619999999999999</v>
      </c>
      <c r="C6394" t="n">
        <v>7.07</v>
      </c>
    </row>
    <row r="6395">
      <c r="A6395" s="28" t="n">
        <v>28677</v>
      </c>
      <c r="B6395" t="n">
        <v>8.619999999999999</v>
      </c>
      <c r="C6395" t="n">
        <v>7.06</v>
      </c>
    </row>
    <row r="6396">
      <c r="A6396" s="28" t="n">
        <v>28678</v>
      </c>
      <c r="B6396" t="n">
        <v>8.66</v>
      </c>
      <c r="C6396" t="n">
        <v>7.13</v>
      </c>
    </row>
    <row r="6397">
      <c r="A6397" s="28" t="n">
        <v>28681</v>
      </c>
      <c r="B6397" t="n">
        <v>8.68</v>
      </c>
      <c r="C6397" t="n">
        <v>7.16</v>
      </c>
    </row>
    <row r="6398">
      <c r="A6398" s="28" t="n">
        <v>28682</v>
      </c>
      <c r="B6398" t="n">
        <v>8.68</v>
      </c>
      <c r="C6398" t="n">
        <v>7.2</v>
      </c>
    </row>
    <row r="6399">
      <c r="A6399" s="28" t="n">
        <v>28683</v>
      </c>
      <c r="B6399" t="n">
        <v>8.67</v>
      </c>
      <c r="C6399" t="n">
        <v>7.19</v>
      </c>
    </row>
    <row r="6400">
      <c r="A6400" s="28" t="n">
        <v>28684</v>
      </c>
      <c r="B6400" t="n">
        <v>8.68</v>
      </c>
      <c r="C6400" t="n">
        <v>7.18</v>
      </c>
    </row>
    <row r="6401">
      <c r="A6401" s="28" t="n">
        <v>28685</v>
      </c>
      <c r="B6401" t="n">
        <v>8.68</v>
      </c>
      <c r="C6401" t="n">
        <v>7.07</v>
      </c>
    </row>
    <row r="6402">
      <c r="A6402" s="28" t="n">
        <v>28688</v>
      </c>
      <c r="B6402" t="n">
        <v>8.65</v>
      </c>
      <c r="C6402" t="n">
        <v>6.99</v>
      </c>
    </row>
    <row r="6403">
      <c r="A6403" s="28" t="n">
        <v>28689</v>
      </c>
      <c r="B6403" t="n">
        <v>8.630000000000001</v>
      </c>
      <c r="C6403" t="n">
        <v>7.09</v>
      </c>
    </row>
    <row r="6404">
      <c r="A6404" s="28" t="n">
        <v>28690</v>
      </c>
      <c r="B6404" t="n">
        <v>8.619999999999999</v>
      </c>
      <c r="C6404" t="n">
        <v>7.06</v>
      </c>
    </row>
    <row r="6405">
      <c r="A6405" s="28" t="n">
        <v>28691</v>
      </c>
      <c r="B6405" t="n">
        <v>8.66</v>
      </c>
      <c r="C6405" t="n">
        <v>7.07</v>
      </c>
    </row>
    <row r="6406">
      <c r="A6406" s="28" t="n">
        <v>28692</v>
      </c>
      <c r="B6406" t="n">
        <v>8.67</v>
      </c>
      <c r="C6406" t="n">
        <v>7.02</v>
      </c>
    </row>
    <row r="6407">
      <c r="A6407" s="28" t="n">
        <v>28695</v>
      </c>
      <c r="B6407" t="n">
        <v>8.67</v>
      </c>
      <c r="C6407" t="n">
        <v>6.83</v>
      </c>
    </row>
    <row r="6408">
      <c r="A6408" s="28" t="n">
        <v>28696</v>
      </c>
      <c r="B6408" t="n">
        <v>8.67</v>
      </c>
      <c r="C6408" t="n">
        <v>6.92</v>
      </c>
    </row>
    <row r="6409">
      <c r="A6409" s="28" t="n">
        <v>28697</v>
      </c>
      <c r="B6409" t="n">
        <v>8.66</v>
      </c>
      <c r="C6409" t="n">
        <v>6.9</v>
      </c>
    </row>
    <row r="6410">
      <c r="A6410" s="28" t="n">
        <v>28698</v>
      </c>
      <c r="B6410" t="n">
        <v>8.58</v>
      </c>
      <c r="C6410" t="n">
        <v>6.76</v>
      </c>
    </row>
    <row r="6411">
      <c r="A6411" s="28" t="n">
        <v>28699</v>
      </c>
      <c r="B6411" t="n">
        <v>8.550000000000001</v>
      </c>
      <c r="C6411" t="n">
        <v>6.74</v>
      </c>
    </row>
    <row r="6412">
      <c r="A6412" s="28" t="n">
        <v>28702</v>
      </c>
      <c r="B6412" t="n">
        <v>8.56</v>
      </c>
      <c r="C6412" t="n">
        <v>6.76</v>
      </c>
    </row>
    <row r="6413">
      <c r="A6413" s="28" t="n">
        <v>28703</v>
      </c>
      <c r="B6413" t="n">
        <v>8.539999999999999</v>
      </c>
      <c r="C6413" t="n">
        <v>6.88</v>
      </c>
    </row>
    <row r="6414">
      <c r="A6414" s="28" t="n">
        <v>28704</v>
      </c>
      <c r="B6414" t="n">
        <v>8.44</v>
      </c>
      <c r="C6414" t="n">
        <v>6.76</v>
      </c>
    </row>
    <row r="6415">
      <c r="A6415" s="28" t="n">
        <v>28705</v>
      </c>
      <c r="B6415" t="n">
        <v>8.390000000000001</v>
      </c>
      <c r="C6415" t="n">
        <v>6.8</v>
      </c>
    </row>
    <row r="6416">
      <c r="A6416" s="28" t="n">
        <v>28706</v>
      </c>
      <c r="B6416" t="n">
        <v>8.380000000000001</v>
      </c>
      <c r="C6416" t="n">
        <v>6.78</v>
      </c>
    </row>
    <row r="6417">
      <c r="A6417" s="28" t="n">
        <v>28709</v>
      </c>
      <c r="B6417" t="n">
        <v>8.359999999999999</v>
      </c>
      <c r="C6417" t="n">
        <v>6.76</v>
      </c>
    </row>
    <row r="6418">
      <c r="A6418" s="28" t="n">
        <v>28710</v>
      </c>
      <c r="B6418" t="n">
        <v>8.35</v>
      </c>
      <c r="C6418" t="n">
        <v>6.72</v>
      </c>
    </row>
    <row r="6419">
      <c r="A6419" s="28" t="n">
        <v>28711</v>
      </c>
      <c r="B6419" t="n">
        <v>8.34</v>
      </c>
      <c r="C6419" t="n">
        <v>6.74</v>
      </c>
    </row>
    <row r="6420">
      <c r="A6420" s="28" t="n">
        <v>28712</v>
      </c>
      <c r="B6420" t="n">
        <v>8.449999999999999</v>
      </c>
      <c r="C6420" t="n">
        <v>6.85</v>
      </c>
    </row>
    <row r="6421">
      <c r="A6421" s="28" t="n">
        <v>28713</v>
      </c>
      <c r="B6421" t="n">
        <v>8.44</v>
      </c>
      <c r="C6421" t="n">
        <v>6.86</v>
      </c>
    </row>
    <row r="6422">
      <c r="A6422" s="28" t="n">
        <v>28716</v>
      </c>
      <c r="B6422" t="n">
        <v>8.449999999999999</v>
      </c>
      <c r="C6422" t="n">
        <v>6.88</v>
      </c>
    </row>
    <row r="6423">
      <c r="A6423" s="28" t="n">
        <v>28717</v>
      </c>
      <c r="B6423" t="n">
        <v>8.460000000000001</v>
      </c>
      <c r="C6423" t="n">
        <v>6.99</v>
      </c>
    </row>
    <row r="6424">
      <c r="A6424" s="28" t="n">
        <v>28718</v>
      </c>
      <c r="B6424" t="n">
        <v>8.550000000000001</v>
      </c>
      <c r="C6424" t="n">
        <v>7.24</v>
      </c>
    </row>
    <row r="6425">
      <c r="A6425" s="28" t="n">
        <v>28719</v>
      </c>
      <c r="B6425" t="n">
        <v>8.48</v>
      </c>
      <c r="C6425" t="n">
        <v>7.19</v>
      </c>
    </row>
    <row r="6426">
      <c r="A6426" s="28" t="n">
        <v>28720</v>
      </c>
      <c r="B6426" t="n">
        <v>8.460000000000001</v>
      </c>
      <c r="C6426" t="n">
        <v>7.3</v>
      </c>
    </row>
    <row r="6427">
      <c r="A6427" s="28" t="n">
        <v>28723</v>
      </c>
      <c r="B6427" t="n">
        <v>8.41</v>
      </c>
      <c r="C6427" t="n">
        <v>7.26</v>
      </c>
    </row>
    <row r="6428">
      <c r="A6428" s="28" t="n">
        <v>28724</v>
      </c>
      <c r="B6428" t="n">
        <v>8.41</v>
      </c>
      <c r="C6428" t="n">
        <v>7.28</v>
      </c>
    </row>
    <row r="6429">
      <c r="A6429" s="28" t="n">
        <v>28725</v>
      </c>
      <c r="B6429" t="n">
        <v>8.32</v>
      </c>
      <c r="C6429" t="n">
        <v>7.22</v>
      </c>
    </row>
    <row r="6430">
      <c r="A6430" s="28" t="n">
        <v>28726</v>
      </c>
      <c r="B6430" t="n">
        <v>8.35</v>
      </c>
      <c r="C6430" t="n">
        <v>7.24</v>
      </c>
    </row>
    <row r="6431">
      <c r="A6431" s="28" t="n">
        <v>28727</v>
      </c>
      <c r="B6431" t="n">
        <v>8.34</v>
      </c>
      <c r="C6431" t="n">
        <v>7.24</v>
      </c>
    </row>
    <row r="6432">
      <c r="A6432" s="28" t="n">
        <v>28730</v>
      </c>
      <c r="B6432" t="n">
        <v>8.35</v>
      </c>
      <c r="C6432" t="n">
        <v>7.33</v>
      </c>
    </row>
    <row r="6433">
      <c r="A6433" s="28" t="n">
        <v>28731</v>
      </c>
      <c r="B6433" t="n">
        <v>8.369999999999999</v>
      </c>
      <c r="C6433" t="n">
        <v>7.45</v>
      </c>
    </row>
    <row r="6434">
      <c r="A6434" s="28" t="n">
        <v>28732</v>
      </c>
      <c r="B6434" t="n">
        <v>8.42</v>
      </c>
      <c r="C6434" t="n">
        <v>7.48</v>
      </c>
    </row>
    <row r="6435">
      <c r="A6435" s="28" t="n">
        <v>28733</v>
      </c>
      <c r="B6435" t="n">
        <v>8.390000000000001</v>
      </c>
      <c r="C6435" t="n">
        <v>7.54</v>
      </c>
    </row>
    <row r="6436">
      <c r="A6436" s="28" t="n">
        <v>28734</v>
      </c>
      <c r="B6436" t="n">
        <v>8.380000000000001</v>
      </c>
      <c r="C6436" t="n">
        <v>7.7</v>
      </c>
    </row>
    <row r="6437">
      <c r="A6437" s="28" t="n">
        <v>28737</v>
      </c>
      <c r="B6437" t="n">
        <v>0</v>
      </c>
      <c r="C6437" t="n">
        <v>0</v>
      </c>
    </row>
    <row r="6438">
      <c r="A6438" s="28" t="n">
        <v>28738</v>
      </c>
      <c r="B6438" t="n">
        <v>8.34</v>
      </c>
      <c r="C6438" t="n">
        <v>7.57</v>
      </c>
    </row>
    <row r="6439">
      <c r="A6439" s="28" t="n">
        <v>28739</v>
      </c>
      <c r="B6439" t="n">
        <v>8.35</v>
      </c>
      <c r="C6439" t="n">
        <v>7.58</v>
      </c>
    </row>
    <row r="6440">
      <c r="A6440" s="28" t="n">
        <v>28740</v>
      </c>
      <c r="B6440" t="n">
        <v>8.34</v>
      </c>
      <c r="C6440" t="n">
        <v>7.59</v>
      </c>
    </row>
    <row r="6441">
      <c r="A6441" s="28" t="n">
        <v>28741</v>
      </c>
      <c r="B6441" t="n">
        <v>8.34</v>
      </c>
      <c r="C6441" t="n">
        <v>7.67</v>
      </c>
    </row>
    <row r="6442">
      <c r="A6442" s="28" t="n">
        <v>28744</v>
      </c>
      <c r="B6442" t="n">
        <v>8.31</v>
      </c>
      <c r="C6442" t="n">
        <v>7.71</v>
      </c>
    </row>
    <row r="6443">
      <c r="A6443" s="28" t="n">
        <v>28745</v>
      </c>
      <c r="B6443" t="n">
        <v>8.289999999999999</v>
      </c>
      <c r="C6443" t="n">
        <v>7.75</v>
      </c>
    </row>
    <row r="6444">
      <c r="A6444" s="28" t="n">
        <v>28746</v>
      </c>
      <c r="B6444" t="n">
        <v>8.300000000000001</v>
      </c>
      <c r="C6444" t="n">
        <v>7.76</v>
      </c>
    </row>
    <row r="6445">
      <c r="A6445" s="28" t="n">
        <v>28747</v>
      </c>
      <c r="B6445" t="n">
        <v>8.32</v>
      </c>
      <c r="C6445" t="n">
        <v>7.77</v>
      </c>
    </row>
    <row r="6446">
      <c r="A6446" s="28" t="n">
        <v>28748</v>
      </c>
      <c r="B6446" t="n">
        <v>8.35</v>
      </c>
      <c r="C6446" t="n">
        <v>7.88</v>
      </c>
    </row>
    <row r="6447">
      <c r="A6447" s="28" t="n">
        <v>28751</v>
      </c>
      <c r="B6447" t="n">
        <v>8.369999999999999</v>
      </c>
      <c r="C6447" t="n">
        <v>7.9</v>
      </c>
    </row>
    <row r="6448">
      <c r="A6448" s="28" t="n">
        <v>28752</v>
      </c>
      <c r="B6448" t="n">
        <v>8.380000000000001</v>
      </c>
      <c r="C6448" t="n">
        <v>7.95</v>
      </c>
    </row>
    <row r="6449">
      <c r="A6449" s="28" t="n">
        <v>28753</v>
      </c>
      <c r="B6449" t="n">
        <v>8.460000000000001</v>
      </c>
      <c r="C6449" t="n">
        <v>8.08</v>
      </c>
    </row>
    <row r="6450">
      <c r="A6450" s="28" t="n">
        <v>28754</v>
      </c>
      <c r="B6450" t="n">
        <v>8.51</v>
      </c>
      <c r="C6450" t="n">
        <v>8.039999999999999</v>
      </c>
    </row>
    <row r="6451">
      <c r="A6451" s="28" t="n">
        <v>28755</v>
      </c>
      <c r="B6451" t="n">
        <v>8.56</v>
      </c>
      <c r="C6451" t="n">
        <v>8.15</v>
      </c>
    </row>
    <row r="6452">
      <c r="A6452" s="28" t="n">
        <v>28758</v>
      </c>
      <c r="B6452" t="n">
        <v>8.56</v>
      </c>
      <c r="C6452" t="n">
        <v>8.09</v>
      </c>
    </row>
    <row r="6453">
      <c r="A6453" s="28" t="n">
        <v>28759</v>
      </c>
      <c r="B6453" t="n">
        <v>8.529999999999999</v>
      </c>
      <c r="C6453" t="n">
        <v>8.01</v>
      </c>
    </row>
    <row r="6454">
      <c r="A6454" s="28" t="n">
        <v>28760</v>
      </c>
      <c r="B6454" t="n">
        <v>8.539999999999999</v>
      </c>
      <c r="C6454" t="n">
        <v>7.89</v>
      </c>
    </row>
    <row r="6455">
      <c r="A6455" s="28" t="n">
        <v>28761</v>
      </c>
      <c r="B6455" t="n">
        <v>8.539999999999999</v>
      </c>
      <c r="C6455" t="n">
        <v>7.83</v>
      </c>
    </row>
    <row r="6456">
      <c r="A6456" s="28" t="n">
        <v>28762</v>
      </c>
      <c r="B6456" t="n">
        <v>8.56</v>
      </c>
      <c r="C6456" t="n">
        <v>7.98</v>
      </c>
    </row>
    <row r="6457">
      <c r="A6457" s="28" t="n">
        <v>28765</v>
      </c>
      <c r="B6457" t="n">
        <v>8.58</v>
      </c>
      <c r="C6457" t="n">
        <v>7.98</v>
      </c>
    </row>
    <row r="6458">
      <c r="A6458" s="28" t="n">
        <v>28766</v>
      </c>
      <c r="B6458" t="n">
        <v>8.57</v>
      </c>
      <c r="C6458" t="n">
        <v>8.16</v>
      </c>
    </row>
    <row r="6459">
      <c r="A6459" s="28" t="n">
        <v>28767</v>
      </c>
      <c r="B6459" t="n">
        <v>8.59</v>
      </c>
      <c r="C6459" t="n">
        <v>8.18</v>
      </c>
    </row>
    <row r="6460">
      <c r="A6460" s="28" t="n">
        <v>28768</v>
      </c>
      <c r="B6460" t="n">
        <v>8.6</v>
      </c>
      <c r="C6460" t="n">
        <v>8.19</v>
      </c>
    </row>
    <row r="6461">
      <c r="A6461" s="28" t="n">
        <v>28769</v>
      </c>
      <c r="B6461" t="n">
        <v>8.58</v>
      </c>
      <c r="C6461" t="n">
        <v>8.19</v>
      </c>
    </row>
    <row r="6462">
      <c r="A6462" s="28" t="n">
        <v>28772</v>
      </c>
      <c r="B6462" t="n">
        <v>0</v>
      </c>
      <c r="C6462" t="n">
        <v>0</v>
      </c>
    </row>
    <row r="6463">
      <c r="A6463" s="28" t="n">
        <v>28773</v>
      </c>
      <c r="B6463" t="n">
        <v>8.58</v>
      </c>
      <c r="C6463" t="n">
        <v>8.210000000000001</v>
      </c>
    </row>
    <row r="6464">
      <c r="A6464" s="28" t="n">
        <v>28774</v>
      </c>
      <c r="B6464" t="n">
        <v>8.56</v>
      </c>
      <c r="C6464" t="n">
        <v>8.09</v>
      </c>
    </row>
    <row r="6465">
      <c r="A6465" s="28" t="n">
        <v>28775</v>
      </c>
      <c r="B6465" t="n">
        <v>8.51</v>
      </c>
      <c r="C6465" t="n">
        <v>7.78</v>
      </c>
    </row>
    <row r="6466">
      <c r="A6466" s="28" t="n">
        <v>28776</v>
      </c>
      <c r="B6466" t="n">
        <v>8.52</v>
      </c>
      <c r="C6466" t="n">
        <v>7.82</v>
      </c>
    </row>
    <row r="6467">
      <c r="A6467" s="28" t="n">
        <v>28779</v>
      </c>
      <c r="B6467" t="n">
        <v>8.59</v>
      </c>
      <c r="C6467" t="n">
        <v>7.88</v>
      </c>
    </row>
    <row r="6468">
      <c r="A6468" s="28" t="n">
        <v>28780</v>
      </c>
      <c r="B6468" t="n">
        <v>8.6</v>
      </c>
      <c r="C6468" t="n">
        <v>8.15</v>
      </c>
    </row>
    <row r="6469">
      <c r="A6469" s="28" t="n">
        <v>28781</v>
      </c>
      <c r="B6469" t="n">
        <v>8.619999999999999</v>
      </c>
      <c r="C6469" t="n">
        <v>7.94</v>
      </c>
    </row>
    <row r="6470">
      <c r="A6470" s="28" t="n">
        <v>28782</v>
      </c>
      <c r="B6470" t="n">
        <v>8.640000000000001</v>
      </c>
      <c r="C6470" t="n">
        <v>7.75</v>
      </c>
    </row>
    <row r="6471">
      <c r="A6471" s="28" t="n">
        <v>28783</v>
      </c>
      <c r="B6471" t="n">
        <v>8.66</v>
      </c>
      <c r="C6471" t="n">
        <v>7.75</v>
      </c>
    </row>
    <row r="6472">
      <c r="A6472" s="28" t="n">
        <v>28786</v>
      </c>
      <c r="B6472" t="n">
        <v>8.66</v>
      </c>
      <c r="C6472" t="n">
        <v>7.52</v>
      </c>
    </row>
    <row r="6473">
      <c r="A6473" s="28" t="n">
        <v>28787</v>
      </c>
      <c r="B6473" t="n">
        <v>8.640000000000001</v>
      </c>
      <c r="C6473" t="n">
        <v>7.77</v>
      </c>
    </row>
    <row r="6474">
      <c r="A6474" s="28" t="n">
        <v>28788</v>
      </c>
      <c r="B6474" t="n">
        <v>8.65</v>
      </c>
      <c r="C6474" t="n">
        <v>7.54</v>
      </c>
    </row>
    <row r="6475">
      <c r="A6475" s="28" t="n">
        <v>28789</v>
      </c>
      <c r="B6475" t="n">
        <v>8.720000000000001</v>
      </c>
      <c r="C6475" t="n">
        <v>7.76</v>
      </c>
    </row>
    <row r="6476">
      <c r="A6476" s="28" t="n">
        <v>28790</v>
      </c>
      <c r="B6476" t="n">
        <v>8.779999999999999</v>
      </c>
      <c r="C6476" t="n">
        <v>7.93</v>
      </c>
    </row>
    <row r="6477">
      <c r="A6477" s="28" t="n">
        <v>28793</v>
      </c>
      <c r="B6477" t="n">
        <v>8.880000000000001</v>
      </c>
      <c r="C6477" t="n">
        <v>8.470000000000001</v>
      </c>
    </row>
    <row r="6478">
      <c r="A6478" s="28" t="n">
        <v>28794</v>
      </c>
      <c r="B6478" t="n">
        <v>8.960000000000001</v>
      </c>
      <c r="C6478" t="n">
        <v>8.75</v>
      </c>
    </row>
    <row r="6479">
      <c r="A6479" s="28" t="n">
        <v>28795</v>
      </c>
      <c r="B6479" t="n">
        <v>8.66</v>
      </c>
      <c r="C6479" t="n">
        <v>8.85</v>
      </c>
    </row>
    <row r="6480">
      <c r="A6480" s="28" t="n">
        <v>28796</v>
      </c>
      <c r="B6480" t="n">
        <v>8.73</v>
      </c>
      <c r="C6480" t="n">
        <v>8.76</v>
      </c>
    </row>
    <row r="6481">
      <c r="A6481" s="28" t="n">
        <v>28797</v>
      </c>
      <c r="B6481" t="n">
        <v>8.859999999999999</v>
      </c>
      <c r="C6481" t="n">
        <v>8.800000000000001</v>
      </c>
    </row>
    <row r="6482">
      <c r="A6482" s="28" t="n">
        <v>28800</v>
      </c>
      <c r="B6482" t="n">
        <v>8.85</v>
      </c>
      <c r="C6482" t="n">
        <v>8.84</v>
      </c>
    </row>
    <row r="6483">
      <c r="A6483" s="28" t="n">
        <v>28801</v>
      </c>
      <c r="B6483" t="n">
        <v>0</v>
      </c>
      <c r="C6483" t="n">
        <v>0</v>
      </c>
    </row>
    <row r="6484">
      <c r="A6484" s="28" t="n">
        <v>28802</v>
      </c>
      <c r="B6484" t="n">
        <v>8.859999999999999</v>
      </c>
      <c r="C6484" t="n">
        <v>8.99</v>
      </c>
    </row>
    <row r="6485">
      <c r="A6485" s="28" t="n">
        <v>28803</v>
      </c>
      <c r="B6485" t="n">
        <v>8.869999999999999</v>
      </c>
      <c r="C6485" t="n">
        <v>8.82</v>
      </c>
    </row>
    <row r="6486">
      <c r="A6486" s="28" t="n">
        <v>28804</v>
      </c>
      <c r="B6486" t="n">
        <v>8.859999999999999</v>
      </c>
      <c r="C6486" t="n">
        <v>8.51</v>
      </c>
    </row>
    <row r="6487">
      <c r="A6487" s="28" t="n">
        <v>28807</v>
      </c>
      <c r="B6487" t="n">
        <v>8.83</v>
      </c>
      <c r="C6487" t="n">
        <v>8.23</v>
      </c>
    </row>
    <row r="6488">
      <c r="A6488" s="28" t="n">
        <v>28808</v>
      </c>
      <c r="B6488" t="n">
        <v>8.82</v>
      </c>
      <c r="C6488" t="n">
        <v>8.300000000000001</v>
      </c>
    </row>
    <row r="6489">
      <c r="A6489" s="28" t="n">
        <v>28809</v>
      </c>
      <c r="B6489" t="n">
        <v>8.76</v>
      </c>
      <c r="C6489" t="n">
        <v>8.02</v>
      </c>
    </row>
    <row r="6490">
      <c r="A6490" s="28" t="n">
        <v>28810</v>
      </c>
      <c r="B6490" t="n">
        <v>8.720000000000001</v>
      </c>
      <c r="C6490" t="n">
        <v>8.17</v>
      </c>
    </row>
    <row r="6491">
      <c r="A6491" s="28" t="n">
        <v>28811</v>
      </c>
      <c r="B6491" t="n">
        <v>8.720000000000001</v>
      </c>
      <c r="C6491" t="n">
        <v>7.98</v>
      </c>
    </row>
    <row r="6492">
      <c r="A6492" s="28" t="n">
        <v>28814</v>
      </c>
      <c r="B6492" t="n">
        <v>8.720000000000001</v>
      </c>
      <c r="C6492" t="n">
        <v>8.210000000000001</v>
      </c>
    </row>
    <row r="6493">
      <c r="A6493" s="28" t="n">
        <v>28815</v>
      </c>
      <c r="B6493" t="n">
        <v>8.77</v>
      </c>
      <c r="C6493" t="n">
        <v>8.83</v>
      </c>
    </row>
    <row r="6494">
      <c r="A6494" s="28" t="n">
        <v>28816</v>
      </c>
      <c r="B6494" t="n">
        <v>8.77</v>
      </c>
      <c r="C6494" t="n">
        <v>8.630000000000001</v>
      </c>
    </row>
    <row r="6495">
      <c r="A6495" s="28" t="n">
        <v>28817</v>
      </c>
      <c r="B6495" t="n">
        <v>0</v>
      </c>
      <c r="C6495" t="n">
        <v>0</v>
      </c>
    </row>
    <row r="6496">
      <c r="A6496" s="28" t="n">
        <v>28818</v>
      </c>
      <c r="B6496" t="n">
        <v>8.859999999999999</v>
      </c>
      <c r="C6496" t="n">
        <v>8.859999999999999</v>
      </c>
    </row>
    <row r="6497">
      <c r="A6497" s="28" t="n">
        <v>28821</v>
      </c>
      <c r="B6497" t="n">
        <v>8.859999999999999</v>
      </c>
      <c r="C6497" t="n">
        <v>8.960000000000001</v>
      </c>
    </row>
    <row r="6498">
      <c r="A6498" s="28" t="n">
        <v>28822</v>
      </c>
      <c r="B6498" t="n">
        <v>8.859999999999999</v>
      </c>
      <c r="C6498" t="n">
        <v>9.119999999999999</v>
      </c>
    </row>
    <row r="6499">
      <c r="A6499" s="28" t="n">
        <v>28823</v>
      </c>
      <c r="B6499" t="n">
        <v>8.859999999999999</v>
      </c>
      <c r="C6499" t="n">
        <v>8.98</v>
      </c>
    </row>
    <row r="6500">
      <c r="A6500" s="28" t="n">
        <v>28824</v>
      </c>
      <c r="B6500" t="n">
        <v>8.859999999999999</v>
      </c>
      <c r="C6500" t="n">
        <v>9.01</v>
      </c>
    </row>
    <row r="6501">
      <c r="A6501" s="28" t="n">
        <v>28825</v>
      </c>
      <c r="B6501" t="n">
        <v>8.800000000000001</v>
      </c>
      <c r="C6501" t="n">
        <v>8.85</v>
      </c>
    </row>
    <row r="6502">
      <c r="A6502" s="28" t="n">
        <v>28828</v>
      </c>
      <c r="B6502" t="n">
        <v>8.82</v>
      </c>
      <c r="C6502" t="n">
        <v>8.949999999999999</v>
      </c>
    </row>
    <row r="6503">
      <c r="A6503" s="28" t="n">
        <v>28829</v>
      </c>
      <c r="B6503" t="n">
        <v>8.85</v>
      </c>
      <c r="C6503" t="n">
        <v>8.949999999999999</v>
      </c>
    </row>
    <row r="6504">
      <c r="A6504" s="28" t="n">
        <v>28830</v>
      </c>
      <c r="B6504" t="n">
        <v>8.85</v>
      </c>
      <c r="C6504" t="n">
        <v>8.890000000000001</v>
      </c>
    </row>
    <row r="6505">
      <c r="A6505" s="28" t="n">
        <v>28831</v>
      </c>
      <c r="B6505" t="n">
        <v>8.890000000000001</v>
      </c>
      <c r="C6505" t="n">
        <v>8.9</v>
      </c>
    </row>
    <row r="6506">
      <c r="A6506" s="28" t="n">
        <v>28832</v>
      </c>
      <c r="B6506" t="n">
        <v>8.9</v>
      </c>
      <c r="C6506" t="n">
        <v>8.949999999999999</v>
      </c>
    </row>
    <row r="6507">
      <c r="A6507" s="28" t="n">
        <v>28835</v>
      </c>
      <c r="B6507" t="n">
        <v>8.9</v>
      </c>
      <c r="C6507" t="n">
        <v>8.93</v>
      </c>
    </row>
    <row r="6508">
      <c r="A6508" s="28" t="n">
        <v>28836</v>
      </c>
      <c r="B6508" t="n">
        <v>8.92</v>
      </c>
      <c r="C6508" t="n">
        <v>8.859999999999999</v>
      </c>
    </row>
    <row r="6509">
      <c r="A6509" s="28" t="n">
        <v>28837</v>
      </c>
      <c r="B6509" t="n">
        <v>8.98</v>
      </c>
      <c r="C6509" t="n">
        <v>8.880000000000001</v>
      </c>
    </row>
    <row r="6510">
      <c r="A6510" s="28" t="n">
        <v>28838</v>
      </c>
      <c r="B6510" t="n">
        <v>8.960000000000001</v>
      </c>
      <c r="C6510" t="n">
        <v>8.9</v>
      </c>
    </row>
    <row r="6511">
      <c r="A6511" s="28" t="n">
        <v>28839</v>
      </c>
      <c r="B6511" t="n">
        <v>9</v>
      </c>
      <c r="C6511" t="n">
        <v>9.08</v>
      </c>
    </row>
    <row r="6512">
      <c r="A6512" s="28" t="n">
        <v>28842</v>
      </c>
      <c r="B6512" t="n">
        <v>9.130000000000001</v>
      </c>
      <c r="C6512" t="n">
        <v>9.26</v>
      </c>
    </row>
    <row r="6513">
      <c r="A6513" s="28" t="n">
        <v>28843</v>
      </c>
      <c r="B6513" t="n">
        <v>9.140000000000001</v>
      </c>
      <c r="C6513" t="n">
        <v>9.210000000000001</v>
      </c>
    </row>
    <row r="6514">
      <c r="A6514" s="28" t="n">
        <v>28844</v>
      </c>
      <c r="B6514" t="n">
        <v>9.16</v>
      </c>
      <c r="C6514" t="n">
        <v>9.25</v>
      </c>
    </row>
    <row r="6515">
      <c r="A6515" s="28" t="n">
        <v>28845</v>
      </c>
      <c r="B6515" t="n">
        <v>9.16</v>
      </c>
      <c r="C6515" t="n">
        <v>9.289999999999999</v>
      </c>
    </row>
    <row r="6516">
      <c r="A6516" s="28" t="n">
        <v>28846</v>
      </c>
      <c r="B6516" t="n">
        <v>9.109999999999999</v>
      </c>
      <c r="C6516" t="n">
        <v>9.369999999999999</v>
      </c>
    </row>
    <row r="6517">
      <c r="A6517" s="28" t="n">
        <v>28849</v>
      </c>
      <c r="B6517" t="n">
        <v>0</v>
      </c>
      <c r="C6517" t="n">
        <v>0</v>
      </c>
    </row>
    <row r="6518">
      <c r="A6518" s="28" t="n">
        <v>28850</v>
      </c>
      <c r="B6518" t="n">
        <v>9.130000000000001</v>
      </c>
      <c r="C6518" t="n">
        <v>9.359999999999999</v>
      </c>
    </row>
    <row r="6519">
      <c r="A6519" s="28" t="n">
        <v>28851</v>
      </c>
      <c r="B6519" t="n">
        <v>9.119999999999999</v>
      </c>
      <c r="C6519" t="n">
        <v>9.19</v>
      </c>
    </row>
    <row r="6520">
      <c r="A6520" s="28" t="n">
        <v>28852</v>
      </c>
      <c r="B6520" t="n">
        <v>9.16</v>
      </c>
      <c r="C6520" t="n">
        <v>9.199999999999999</v>
      </c>
    </row>
    <row r="6521">
      <c r="A6521" s="28" t="n">
        <v>28853</v>
      </c>
      <c r="B6521" t="n">
        <v>9.15</v>
      </c>
      <c r="C6521" t="n">
        <v>9.26</v>
      </c>
    </row>
    <row r="6522">
      <c r="A6522" s="28" t="n">
        <v>28856</v>
      </c>
      <c r="B6522" t="n">
        <v>0</v>
      </c>
      <c r="C6522" t="n">
        <v>0</v>
      </c>
    </row>
    <row r="6523">
      <c r="A6523" s="28" t="n">
        <v>28857</v>
      </c>
      <c r="B6523" t="n">
        <v>9.18</v>
      </c>
      <c r="C6523" t="n">
        <v>9.41</v>
      </c>
    </row>
    <row r="6524">
      <c r="A6524" s="28" t="n">
        <v>28858</v>
      </c>
      <c r="B6524" t="n">
        <v>9.16</v>
      </c>
      <c r="C6524" t="n">
        <v>9.31</v>
      </c>
    </row>
    <row r="6525">
      <c r="A6525" s="28" t="n">
        <v>28859</v>
      </c>
      <c r="B6525" t="n">
        <v>9.109999999999999</v>
      </c>
      <c r="C6525" t="n">
        <v>9.31</v>
      </c>
    </row>
    <row r="6526">
      <c r="A6526" s="28" t="n">
        <v>28860</v>
      </c>
      <c r="B6526" t="n">
        <v>9.1</v>
      </c>
      <c r="C6526" t="n">
        <v>9.34</v>
      </c>
    </row>
    <row r="6527">
      <c r="A6527" s="28" t="n">
        <v>28863</v>
      </c>
      <c r="B6527" t="n">
        <v>9.140000000000001</v>
      </c>
      <c r="C6527" t="n">
        <v>9.359999999999999</v>
      </c>
    </row>
    <row r="6528">
      <c r="A6528" s="28" t="n">
        <v>28864</v>
      </c>
      <c r="B6528" t="n">
        <v>9.16</v>
      </c>
      <c r="C6528" t="n">
        <v>9.27</v>
      </c>
    </row>
    <row r="6529">
      <c r="A6529" s="28" t="n">
        <v>28865</v>
      </c>
      <c r="B6529" t="n">
        <v>9.16</v>
      </c>
      <c r="C6529" t="n">
        <v>9.25</v>
      </c>
    </row>
    <row r="6530">
      <c r="A6530" s="28" t="n">
        <v>28866</v>
      </c>
      <c r="B6530" t="n">
        <v>9.15</v>
      </c>
      <c r="C6530" t="n">
        <v>9.279999999999999</v>
      </c>
    </row>
    <row r="6531">
      <c r="A6531" s="28" t="n">
        <v>28867</v>
      </c>
      <c r="B6531" t="n">
        <v>9.140000000000001</v>
      </c>
      <c r="C6531" t="n">
        <v>9.35</v>
      </c>
    </row>
    <row r="6532">
      <c r="A6532" s="28" t="n">
        <v>28870</v>
      </c>
      <c r="B6532" t="n">
        <v>9.15</v>
      </c>
      <c r="C6532" t="n">
        <v>9.44</v>
      </c>
    </row>
    <row r="6533">
      <c r="A6533" s="28" t="n">
        <v>28871</v>
      </c>
      <c r="B6533" t="n">
        <v>9.16</v>
      </c>
      <c r="C6533" t="n">
        <v>9.44</v>
      </c>
    </row>
    <row r="6534">
      <c r="A6534" s="28" t="n">
        <v>28872</v>
      </c>
      <c r="B6534" t="n">
        <v>9.18</v>
      </c>
      <c r="C6534" t="n">
        <v>9.44</v>
      </c>
    </row>
    <row r="6535">
      <c r="A6535" s="28" t="n">
        <v>28873</v>
      </c>
      <c r="B6535" t="n">
        <v>9.18</v>
      </c>
      <c r="C6535" t="n">
        <v>9.460000000000001</v>
      </c>
    </row>
    <row r="6536">
      <c r="A6536" s="28" t="n">
        <v>28874</v>
      </c>
      <c r="B6536" t="n">
        <v>9.15</v>
      </c>
      <c r="C6536" t="n">
        <v>9.4</v>
      </c>
    </row>
    <row r="6537">
      <c r="A6537" s="28" t="n">
        <v>28877</v>
      </c>
      <c r="B6537" t="n">
        <v>9.119999999999999</v>
      </c>
      <c r="C6537" t="n">
        <v>9.34</v>
      </c>
    </row>
    <row r="6538">
      <c r="A6538" s="28" t="n">
        <v>28878</v>
      </c>
      <c r="B6538" t="n">
        <v>9.1</v>
      </c>
      <c r="C6538" t="n">
        <v>9.359999999999999</v>
      </c>
    </row>
    <row r="6539">
      <c r="A6539" s="28" t="n">
        <v>28879</v>
      </c>
      <c r="B6539" t="n">
        <v>9.08</v>
      </c>
      <c r="C6539" t="n">
        <v>9.35</v>
      </c>
    </row>
    <row r="6540">
      <c r="A6540" s="28" t="n">
        <v>28880</v>
      </c>
      <c r="B6540" t="n">
        <v>8.98</v>
      </c>
      <c r="C6540" t="n">
        <v>9.33</v>
      </c>
    </row>
    <row r="6541">
      <c r="A6541" s="28" t="n">
        <v>28881</v>
      </c>
      <c r="B6541" t="n">
        <v>8.93</v>
      </c>
      <c r="C6541" t="n">
        <v>9.34</v>
      </c>
    </row>
    <row r="6542">
      <c r="A6542" s="28" t="n">
        <v>28884</v>
      </c>
      <c r="B6542" t="n">
        <v>8.960000000000001</v>
      </c>
      <c r="C6542" t="n">
        <v>9.35</v>
      </c>
    </row>
    <row r="6543">
      <c r="A6543" s="28" t="n">
        <v>28885</v>
      </c>
      <c r="B6543" t="n">
        <v>8.949999999999999</v>
      </c>
      <c r="C6543" t="n">
        <v>9.27</v>
      </c>
    </row>
    <row r="6544">
      <c r="A6544" s="28" t="n">
        <v>28886</v>
      </c>
      <c r="B6544" t="n">
        <v>8.949999999999999</v>
      </c>
      <c r="C6544" t="n">
        <v>9.289999999999999</v>
      </c>
    </row>
    <row r="6545">
      <c r="A6545" s="28" t="n">
        <v>28887</v>
      </c>
      <c r="B6545" t="n">
        <v>8.94</v>
      </c>
      <c r="C6545" t="n">
        <v>9.25</v>
      </c>
    </row>
    <row r="6546">
      <c r="A6546" s="28" t="n">
        <v>28888</v>
      </c>
      <c r="B6546" t="n">
        <v>8.890000000000001</v>
      </c>
      <c r="C6546" t="n">
        <v>9.25</v>
      </c>
    </row>
    <row r="6547">
      <c r="A6547" s="28" t="n">
        <v>28891</v>
      </c>
      <c r="B6547" t="n">
        <v>8.949999999999999</v>
      </c>
      <c r="C6547" t="n">
        <v>9.18</v>
      </c>
    </row>
    <row r="6548">
      <c r="A6548" s="28" t="n">
        <v>28892</v>
      </c>
      <c r="B6548" t="n">
        <v>9</v>
      </c>
      <c r="C6548" t="n">
        <v>9.210000000000001</v>
      </c>
    </row>
    <row r="6549">
      <c r="A6549" s="28" t="n">
        <v>28893</v>
      </c>
      <c r="B6549" t="n">
        <v>9.09</v>
      </c>
      <c r="C6549" t="n">
        <v>9.25</v>
      </c>
    </row>
    <row r="6550">
      <c r="A6550" s="28" t="n">
        <v>28894</v>
      </c>
      <c r="B6550" t="n">
        <v>9.09</v>
      </c>
      <c r="C6550" t="n">
        <v>9.24</v>
      </c>
    </row>
    <row r="6551">
      <c r="A6551" s="28" t="n">
        <v>28895</v>
      </c>
      <c r="B6551" t="n">
        <v>9.109999999999999</v>
      </c>
      <c r="C6551" t="n">
        <v>9.31</v>
      </c>
    </row>
    <row r="6552">
      <c r="A6552" s="28" t="n">
        <v>28898</v>
      </c>
      <c r="B6552" t="n">
        <v>0</v>
      </c>
      <c r="C6552" t="n">
        <v>0</v>
      </c>
    </row>
    <row r="6553">
      <c r="A6553" s="28" t="n">
        <v>28899</v>
      </c>
      <c r="B6553" t="n">
        <v>9.109999999999999</v>
      </c>
      <c r="C6553" t="n">
        <v>9.289999999999999</v>
      </c>
    </row>
    <row r="6554">
      <c r="A6554" s="28" t="n">
        <v>28900</v>
      </c>
      <c r="B6554" t="n">
        <v>9.119999999999999</v>
      </c>
      <c r="C6554" t="n">
        <v>9.27</v>
      </c>
    </row>
    <row r="6555">
      <c r="A6555" s="28" t="n">
        <v>28901</v>
      </c>
      <c r="B6555" t="n">
        <v>9.119999999999999</v>
      </c>
      <c r="C6555" t="n">
        <v>9.26</v>
      </c>
    </row>
    <row r="6556">
      <c r="A6556" s="28" t="n">
        <v>28902</v>
      </c>
      <c r="B6556" t="n">
        <v>9.109999999999999</v>
      </c>
      <c r="C6556" t="n">
        <v>9.289999999999999</v>
      </c>
    </row>
    <row r="6557">
      <c r="A6557" s="28" t="n">
        <v>28905</v>
      </c>
      <c r="B6557" t="n">
        <v>0</v>
      </c>
      <c r="C6557" t="n">
        <v>0</v>
      </c>
    </row>
    <row r="6558">
      <c r="A6558" s="28" t="n">
        <v>28906</v>
      </c>
      <c r="B6558" t="n">
        <v>9.119999999999999</v>
      </c>
      <c r="C6558" t="n">
        <v>9.380000000000001</v>
      </c>
    </row>
    <row r="6559">
      <c r="A6559" s="28" t="n">
        <v>28907</v>
      </c>
      <c r="B6559" t="n">
        <v>9.15</v>
      </c>
      <c r="C6559" t="n">
        <v>9.42</v>
      </c>
    </row>
    <row r="6560">
      <c r="A6560" s="28" t="n">
        <v>28908</v>
      </c>
      <c r="B6560" t="n">
        <v>9.199999999999999</v>
      </c>
      <c r="C6560" t="n">
        <v>9.41</v>
      </c>
    </row>
    <row r="6561">
      <c r="A6561" s="28" t="n">
        <v>28909</v>
      </c>
      <c r="B6561" t="n">
        <v>9.210000000000001</v>
      </c>
      <c r="C6561" t="n">
        <v>9.44</v>
      </c>
    </row>
    <row r="6562">
      <c r="A6562" s="28" t="n">
        <v>28912</v>
      </c>
      <c r="B6562" t="n">
        <v>9.199999999999999</v>
      </c>
      <c r="C6562" t="n">
        <v>9.460000000000001</v>
      </c>
    </row>
    <row r="6563">
      <c r="A6563" s="28" t="n">
        <v>28913</v>
      </c>
      <c r="B6563" t="n">
        <v>9.19</v>
      </c>
      <c r="C6563" t="n">
        <v>9.470000000000001</v>
      </c>
    </row>
    <row r="6564">
      <c r="A6564" s="28" t="n">
        <v>28914</v>
      </c>
      <c r="B6564" t="n">
        <v>9.17</v>
      </c>
      <c r="C6564" t="n">
        <v>9.449999999999999</v>
      </c>
    </row>
    <row r="6565">
      <c r="A6565" s="28" t="n">
        <v>28915</v>
      </c>
      <c r="B6565" t="n">
        <v>9.17</v>
      </c>
      <c r="C6565" t="n">
        <v>9.4</v>
      </c>
    </row>
    <row r="6566">
      <c r="A6566" s="28" t="n">
        <v>28916</v>
      </c>
      <c r="B6566" t="n">
        <v>9.16</v>
      </c>
      <c r="C6566" t="n">
        <v>9.41</v>
      </c>
    </row>
    <row r="6567">
      <c r="A6567" s="28" t="n">
        <v>28919</v>
      </c>
      <c r="B6567" t="n">
        <v>9.109999999999999</v>
      </c>
      <c r="C6567" t="n">
        <v>9.4</v>
      </c>
    </row>
    <row r="6568">
      <c r="A6568" s="28" t="n">
        <v>28920</v>
      </c>
      <c r="B6568" t="n">
        <v>9.140000000000001</v>
      </c>
      <c r="C6568" t="n">
        <v>9.42</v>
      </c>
    </row>
    <row r="6569">
      <c r="A6569" s="28" t="n">
        <v>28921</v>
      </c>
      <c r="B6569" t="n">
        <v>9.1</v>
      </c>
      <c r="C6569" t="n">
        <v>9.42</v>
      </c>
    </row>
    <row r="6570">
      <c r="A6570" s="28" t="n">
        <v>28922</v>
      </c>
      <c r="B6570" t="n">
        <v>9.1</v>
      </c>
      <c r="C6570" t="n">
        <v>9.42</v>
      </c>
    </row>
    <row r="6571">
      <c r="A6571" s="28" t="n">
        <v>28923</v>
      </c>
      <c r="B6571" t="n">
        <v>9.109999999999999</v>
      </c>
      <c r="C6571" t="n">
        <v>9.52</v>
      </c>
    </row>
    <row r="6572">
      <c r="A6572" s="28" t="n">
        <v>28926</v>
      </c>
      <c r="B6572" t="n">
        <v>9.109999999999999</v>
      </c>
      <c r="C6572" t="n">
        <v>9.51</v>
      </c>
    </row>
    <row r="6573">
      <c r="A6573" s="28" t="n">
        <v>28927</v>
      </c>
      <c r="B6573" t="n">
        <v>9.109999999999999</v>
      </c>
      <c r="C6573" t="n">
        <v>9.51</v>
      </c>
    </row>
    <row r="6574">
      <c r="A6574" s="28" t="n">
        <v>28928</v>
      </c>
      <c r="B6574" t="n">
        <v>9.119999999999999</v>
      </c>
      <c r="C6574" t="n">
        <v>9.52</v>
      </c>
    </row>
    <row r="6575">
      <c r="A6575" s="28" t="n">
        <v>28929</v>
      </c>
      <c r="B6575" t="n">
        <v>9.140000000000001</v>
      </c>
      <c r="C6575" t="n">
        <v>9.49</v>
      </c>
    </row>
    <row r="6576">
      <c r="A6576" s="28" t="n">
        <v>28930</v>
      </c>
      <c r="B6576" t="n">
        <v>9.119999999999999</v>
      </c>
      <c r="C6576" t="n">
        <v>9.52</v>
      </c>
    </row>
    <row r="6577">
      <c r="A6577" s="28" t="n">
        <v>28933</v>
      </c>
      <c r="B6577" t="n">
        <v>9.119999999999999</v>
      </c>
      <c r="C6577" t="n">
        <v>9.5</v>
      </c>
    </row>
    <row r="6578">
      <c r="A6578" s="28" t="n">
        <v>28934</v>
      </c>
      <c r="B6578" t="n">
        <v>9.130000000000001</v>
      </c>
      <c r="C6578" t="n">
        <v>9.52</v>
      </c>
    </row>
    <row r="6579">
      <c r="A6579" s="28" t="n">
        <v>28935</v>
      </c>
      <c r="B6579" t="n">
        <v>9.130000000000001</v>
      </c>
      <c r="C6579" t="n">
        <v>9.56</v>
      </c>
    </row>
    <row r="6580">
      <c r="A6580" s="28" t="n">
        <v>28936</v>
      </c>
      <c r="B6580" t="n">
        <v>9.119999999999999</v>
      </c>
      <c r="C6580" t="n">
        <v>9.56</v>
      </c>
    </row>
    <row r="6581">
      <c r="A6581" s="28" t="n">
        <v>28937</v>
      </c>
      <c r="B6581" t="n">
        <v>9.119999999999999</v>
      </c>
      <c r="C6581" t="n">
        <v>9.550000000000001</v>
      </c>
    </row>
    <row r="6582">
      <c r="A6582" s="28" t="n">
        <v>28940</v>
      </c>
      <c r="B6582" t="n">
        <v>9.119999999999999</v>
      </c>
      <c r="C6582" t="n">
        <v>9.539999999999999</v>
      </c>
    </row>
    <row r="6583">
      <c r="A6583" s="28" t="n">
        <v>28941</v>
      </c>
      <c r="B6583" t="n">
        <v>9.109999999999999</v>
      </c>
      <c r="C6583" t="n">
        <v>9.49</v>
      </c>
    </row>
    <row r="6584">
      <c r="A6584" s="28" t="n">
        <v>28942</v>
      </c>
      <c r="B6584" t="n">
        <v>9.07</v>
      </c>
      <c r="C6584" t="n">
        <v>9.43</v>
      </c>
    </row>
    <row r="6585">
      <c r="A6585" s="28" t="n">
        <v>28943</v>
      </c>
      <c r="B6585" t="n">
        <v>9.06</v>
      </c>
      <c r="C6585" t="n">
        <v>9.390000000000001</v>
      </c>
    </row>
    <row r="6586">
      <c r="A6586" s="28" t="n">
        <v>28944</v>
      </c>
      <c r="B6586" t="n">
        <v>9.109999999999999</v>
      </c>
      <c r="C6586" t="n">
        <v>9.44</v>
      </c>
    </row>
    <row r="6587">
      <c r="A6587" s="28" t="n">
        <v>28947</v>
      </c>
      <c r="B6587" t="n">
        <v>9.109999999999999</v>
      </c>
      <c r="C6587" t="n">
        <v>9.539999999999999</v>
      </c>
    </row>
    <row r="6588">
      <c r="A6588" s="28" t="n">
        <v>28948</v>
      </c>
      <c r="B6588" t="n">
        <v>9.1</v>
      </c>
      <c r="C6588" t="n">
        <v>9.52</v>
      </c>
    </row>
    <row r="6589">
      <c r="A6589" s="28" t="n">
        <v>28949</v>
      </c>
      <c r="B6589" t="n">
        <v>9.09</v>
      </c>
      <c r="C6589" t="n">
        <v>9.49</v>
      </c>
    </row>
    <row r="6590">
      <c r="A6590" s="28" t="n">
        <v>28950</v>
      </c>
      <c r="B6590" t="n">
        <v>9.07</v>
      </c>
      <c r="C6590" t="n">
        <v>9.49</v>
      </c>
    </row>
    <row r="6591">
      <c r="A6591" s="28" t="n">
        <v>28951</v>
      </c>
      <c r="B6591" t="n">
        <v>9.1</v>
      </c>
      <c r="C6591" t="n">
        <v>9.6</v>
      </c>
    </row>
    <row r="6592">
      <c r="A6592" s="28" t="n">
        <v>28954</v>
      </c>
      <c r="B6592" t="n">
        <v>9.140000000000001</v>
      </c>
      <c r="C6592" t="n">
        <v>9.619999999999999</v>
      </c>
    </row>
    <row r="6593">
      <c r="A6593" s="28" t="n">
        <v>28955</v>
      </c>
      <c r="B6593" t="n">
        <v>9.17</v>
      </c>
      <c r="C6593" t="n">
        <v>9.75</v>
      </c>
    </row>
    <row r="6594">
      <c r="A6594" s="28" t="n">
        <v>28956</v>
      </c>
      <c r="B6594" t="n">
        <v>9.199999999999999</v>
      </c>
      <c r="C6594" t="n">
        <v>9.720000000000001</v>
      </c>
    </row>
    <row r="6595">
      <c r="A6595" s="28" t="n">
        <v>28957</v>
      </c>
      <c r="B6595" t="n">
        <v>9.199999999999999</v>
      </c>
      <c r="C6595" t="n">
        <v>9.69</v>
      </c>
    </row>
    <row r="6596">
      <c r="A6596" s="28" t="n">
        <v>28958</v>
      </c>
      <c r="B6596" t="n">
        <v>0</v>
      </c>
      <c r="C6596" t="n">
        <v>0</v>
      </c>
    </row>
    <row r="6597">
      <c r="A6597" s="28" t="n">
        <v>28961</v>
      </c>
      <c r="B6597" t="n">
        <v>9.19</v>
      </c>
      <c r="C6597" t="n">
        <v>9.66</v>
      </c>
    </row>
    <row r="6598">
      <c r="A6598" s="28" t="n">
        <v>28962</v>
      </c>
      <c r="B6598" t="n">
        <v>9.16</v>
      </c>
      <c r="C6598" t="n">
        <v>9.5</v>
      </c>
    </row>
    <row r="6599">
      <c r="A6599" s="28" t="n">
        <v>28963</v>
      </c>
      <c r="B6599" t="n">
        <v>9.15</v>
      </c>
      <c r="C6599" t="n">
        <v>9.289999999999999</v>
      </c>
    </row>
    <row r="6600">
      <c r="A6600" s="28" t="n">
        <v>28964</v>
      </c>
      <c r="B6600" t="n">
        <v>9.15</v>
      </c>
      <c r="C6600" t="n">
        <v>9.300000000000001</v>
      </c>
    </row>
    <row r="6601">
      <c r="A6601" s="28" t="n">
        <v>28965</v>
      </c>
      <c r="B6601" t="n">
        <v>9.19</v>
      </c>
      <c r="C6601" t="n">
        <v>9.31</v>
      </c>
    </row>
    <row r="6602">
      <c r="A6602" s="28" t="n">
        <v>28968</v>
      </c>
      <c r="B6602" t="n">
        <v>9.210000000000001</v>
      </c>
      <c r="C6602" t="n">
        <v>9.199999999999999</v>
      </c>
    </row>
    <row r="6603">
      <c r="A6603" s="28" t="n">
        <v>28969</v>
      </c>
      <c r="B6603" t="n">
        <v>9.24</v>
      </c>
      <c r="C6603" t="n">
        <v>9.1</v>
      </c>
    </row>
    <row r="6604">
      <c r="A6604" s="28" t="n">
        <v>28970</v>
      </c>
      <c r="B6604" t="n">
        <v>9.23</v>
      </c>
      <c r="C6604" t="n">
        <v>9.07</v>
      </c>
    </row>
    <row r="6605">
      <c r="A6605" s="28" t="n">
        <v>28971</v>
      </c>
      <c r="B6605" t="n">
        <v>9.27</v>
      </c>
      <c r="C6605" t="n">
        <v>9.140000000000001</v>
      </c>
    </row>
    <row r="6606">
      <c r="A6606" s="28" t="n">
        <v>28972</v>
      </c>
      <c r="B6606" t="n">
        <v>9.32</v>
      </c>
      <c r="C6606" t="n">
        <v>9.66</v>
      </c>
    </row>
    <row r="6607">
      <c r="A6607" s="28" t="n">
        <v>28975</v>
      </c>
      <c r="B6607" t="n">
        <v>9.35</v>
      </c>
      <c r="C6607" t="n">
        <v>9.56</v>
      </c>
    </row>
    <row r="6608">
      <c r="A6608" s="28" t="n">
        <v>28976</v>
      </c>
      <c r="B6608" t="n">
        <v>9.359999999999999</v>
      </c>
      <c r="C6608" t="n">
        <v>9.5</v>
      </c>
    </row>
    <row r="6609">
      <c r="A6609" s="28" t="n">
        <v>28977</v>
      </c>
      <c r="B6609" t="n">
        <v>9.34</v>
      </c>
      <c r="C6609" t="n">
        <v>9.550000000000001</v>
      </c>
    </row>
    <row r="6610">
      <c r="A6610" s="28" t="n">
        <v>28978</v>
      </c>
      <c r="B6610" t="n">
        <v>9.380000000000001</v>
      </c>
      <c r="C6610" t="n">
        <v>9.609999999999999</v>
      </c>
    </row>
    <row r="6611">
      <c r="A6611" s="28" t="n">
        <v>28979</v>
      </c>
      <c r="B6611" t="n">
        <v>9.390000000000001</v>
      </c>
      <c r="C6611" t="n">
        <v>9.68</v>
      </c>
    </row>
    <row r="6612">
      <c r="A6612" s="28" t="n">
        <v>28982</v>
      </c>
      <c r="B6612" t="n">
        <v>9.390000000000001</v>
      </c>
      <c r="C6612" t="n">
        <v>9.66</v>
      </c>
    </row>
    <row r="6613">
      <c r="A6613" s="28" t="n">
        <v>28983</v>
      </c>
      <c r="B6613" t="n">
        <v>9.380000000000001</v>
      </c>
      <c r="C6613" t="n">
        <v>9.66</v>
      </c>
    </row>
    <row r="6614">
      <c r="A6614" s="28" t="n">
        <v>28984</v>
      </c>
      <c r="B6614" t="n">
        <v>9.359999999999999</v>
      </c>
      <c r="C6614" t="n">
        <v>9.640000000000001</v>
      </c>
    </row>
    <row r="6615">
      <c r="A6615" s="28" t="n">
        <v>28985</v>
      </c>
      <c r="B6615" t="n">
        <v>9.359999999999999</v>
      </c>
      <c r="C6615" t="n">
        <v>9.640000000000001</v>
      </c>
    </row>
    <row r="6616">
      <c r="A6616" s="28" t="n">
        <v>28986</v>
      </c>
      <c r="B6616" t="n">
        <v>9.34</v>
      </c>
      <c r="C6616" t="n">
        <v>9.56</v>
      </c>
    </row>
    <row r="6617">
      <c r="A6617" s="28" t="n">
        <v>28989</v>
      </c>
      <c r="B6617" t="n">
        <v>9.300000000000001</v>
      </c>
      <c r="C6617" t="n">
        <v>9.550000000000001</v>
      </c>
    </row>
    <row r="6618">
      <c r="A6618" s="28" t="n">
        <v>28990</v>
      </c>
      <c r="B6618" t="n">
        <v>9.32</v>
      </c>
      <c r="C6618" t="n">
        <v>9.6</v>
      </c>
    </row>
    <row r="6619">
      <c r="A6619" s="28" t="n">
        <v>28991</v>
      </c>
      <c r="B6619" t="n">
        <v>9.31</v>
      </c>
      <c r="C6619" t="n">
        <v>9.57</v>
      </c>
    </row>
    <row r="6620">
      <c r="A6620" s="28" t="n">
        <v>28992</v>
      </c>
      <c r="B6620" t="n">
        <v>9.24</v>
      </c>
      <c r="C6620" t="n">
        <v>9.57</v>
      </c>
    </row>
    <row r="6621">
      <c r="A6621" s="28" t="n">
        <v>28993</v>
      </c>
      <c r="B6621" t="n">
        <v>9.23</v>
      </c>
      <c r="C6621" t="n">
        <v>9.720000000000001</v>
      </c>
    </row>
    <row r="6622">
      <c r="A6622" s="28" t="n">
        <v>28996</v>
      </c>
      <c r="B6622" t="n">
        <v>9.24</v>
      </c>
      <c r="C6622" t="n">
        <v>9.77</v>
      </c>
    </row>
    <row r="6623">
      <c r="A6623" s="28" t="n">
        <v>28997</v>
      </c>
      <c r="B6623" t="n">
        <v>9.15</v>
      </c>
      <c r="C6623" t="n">
        <v>9.699999999999999</v>
      </c>
    </row>
    <row r="6624">
      <c r="A6624" s="28" t="n">
        <v>28998</v>
      </c>
      <c r="B6624" t="n">
        <v>9.07</v>
      </c>
      <c r="C6624" t="n">
        <v>9.67</v>
      </c>
    </row>
    <row r="6625">
      <c r="A6625" s="28" t="n">
        <v>28999</v>
      </c>
      <c r="B6625" t="n">
        <v>9.06</v>
      </c>
      <c r="C6625" t="n">
        <v>9.529999999999999</v>
      </c>
    </row>
    <row r="6626">
      <c r="A6626" s="28" t="n">
        <v>29000</v>
      </c>
      <c r="B6626" t="n">
        <v>9.01</v>
      </c>
      <c r="C6626" t="n">
        <v>9.539999999999999</v>
      </c>
    </row>
    <row r="6627">
      <c r="A6627" s="28" t="n">
        <v>29003</v>
      </c>
      <c r="B6627" t="n">
        <v>0</v>
      </c>
      <c r="C6627" t="n">
        <v>0</v>
      </c>
    </row>
    <row r="6628">
      <c r="A6628" s="28" t="n">
        <v>29004</v>
      </c>
      <c r="B6628" t="n">
        <v>9.01</v>
      </c>
      <c r="C6628" t="n">
        <v>9.550000000000001</v>
      </c>
    </row>
    <row r="6629">
      <c r="A6629" s="28" t="n">
        <v>29005</v>
      </c>
      <c r="B6629" t="n">
        <v>0</v>
      </c>
      <c r="C6629" t="n">
        <v>0</v>
      </c>
    </row>
    <row r="6630">
      <c r="A6630" s="28" t="n">
        <v>29006</v>
      </c>
      <c r="B6630" t="n">
        <v>9.06</v>
      </c>
      <c r="C6630" t="n">
        <v>9.57</v>
      </c>
    </row>
    <row r="6631">
      <c r="A6631" s="28" t="n">
        <v>29007</v>
      </c>
      <c r="B6631" t="n">
        <v>9.050000000000001</v>
      </c>
      <c r="C6631" t="n">
        <v>9.52</v>
      </c>
    </row>
    <row r="6632">
      <c r="A6632" s="28" t="n">
        <v>29010</v>
      </c>
      <c r="B6632" t="n">
        <v>9.06</v>
      </c>
      <c r="C6632" t="n">
        <v>9.539999999999999</v>
      </c>
    </row>
    <row r="6633">
      <c r="A6633" s="28" t="n">
        <v>29011</v>
      </c>
      <c r="B6633" t="n">
        <v>9.02</v>
      </c>
      <c r="C6633" t="n">
        <v>9.44</v>
      </c>
    </row>
    <row r="6634">
      <c r="A6634" s="28" t="n">
        <v>29012</v>
      </c>
      <c r="B6634" t="n">
        <v>8.970000000000001</v>
      </c>
      <c r="C6634" t="n">
        <v>9.35</v>
      </c>
    </row>
    <row r="6635">
      <c r="A6635" s="28" t="n">
        <v>29013</v>
      </c>
      <c r="B6635" t="n">
        <v>8.890000000000001</v>
      </c>
      <c r="C6635" t="n">
        <v>9.289999999999999</v>
      </c>
    </row>
    <row r="6636">
      <c r="A6636" s="28" t="n">
        <v>29014</v>
      </c>
      <c r="B6636" t="n">
        <v>8.9</v>
      </c>
      <c r="C6636" t="n">
        <v>9.18</v>
      </c>
    </row>
    <row r="6637">
      <c r="A6637" s="28" t="n">
        <v>29017</v>
      </c>
      <c r="B6637" t="n">
        <v>8.94</v>
      </c>
      <c r="C6637" t="n">
        <v>9.06</v>
      </c>
    </row>
    <row r="6638">
      <c r="A6638" s="28" t="n">
        <v>29018</v>
      </c>
      <c r="B6638" t="n">
        <v>8.789999999999999</v>
      </c>
      <c r="C6638" t="n">
        <v>8.880000000000001</v>
      </c>
    </row>
    <row r="6639">
      <c r="A6639" s="28" t="n">
        <v>29019</v>
      </c>
      <c r="B6639" t="n">
        <v>8.83</v>
      </c>
      <c r="C6639" t="n">
        <v>8.869999999999999</v>
      </c>
    </row>
    <row r="6640">
      <c r="A6640" s="28" t="n">
        <v>29020</v>
      </c>
      <c r="B6640" t="n">
        <v>8.869999999999999</v>
      </c>
      <c r="C6640" t="n">
        <v>8.9</v>
      </c>
    </row>
    <row r="6641">
      <c r="A6641" s="28" t="n">
        <v>29021</v>
      </c>
      <c r="B6641" t="n">
        <v>8.960000000000001</v>
      </c>
      <c r="C6641" t="n">
        <v>9.15</v>
      </c>
    </row>
    <row r="6642">
      <c r="A6642" s="28" t="n">
        <v>29024</v>
      </c>
      <c r="B6642" t="n">
        <v>8.949999999999999</v>
      </c>
      <c r="C6642" t="n">
        <v>8.949999999999999</v>
      </c>
    </row>
    <row r="6643">
      <c r="A6643" s="28" t="n">
        <v>29025</v>
      </c>
      <c r="B6643" t="n">
        <v>8.949999999999999</v>
      </c>
      <c r="C6643" t="n">
        <v>8.970000000000001</v>
      </c>
    </row>
    <row r="6644">
      <c r="A6644" s="28" t="n">
        <v>29026</v>
      </c>
      <c r="B6644" t="n">
        <v>8.94</v>
      </c>
      <c r="C6644" t="n">
        <v>8.94</v>
      </c>
    </row>
    <row r="6645">
      <c r="A6645" s="28" t="n">
        <v>29027</v>
      </c>
      <c r="B6645" t="n">
        <v>8.93</v>
      </c>
      <c r="C6645" t="n">
        <v>8.960000000000001</v>
      </c>
    </row>
    <row r="6646">
      <c r="A6646" s="28" t="n">
        <v>29028</v>
      </c>
      <c r="B6646" t="n">
        <v>8.98</v>
      </c>
      <c r="C6646" t="n">
        <v>8.99</v>
      </c>
    </row>
    <row r="6647">
      <c r="A6647" s="28" t="n">
        <v>29031</v>
      </c>
      <c r="B6647" t="n">
        <v>8.93</v>
      </c>
      <c r="C6647" t="n">
        <v>8.75</v>
      </c>
    </row>
    <row r="6648">
      <c r="A6648" s="28" t="n">
        <v>29032</v>
      </c>
      <c r="B6648" t="n">
        <v>8.82</v>
      </c>
      <c r="C6648" t="n">
        <v>8.76</v>
      </c>
    </row>
    <row r="6649">
      <c r="A6649" s="28" t="n">
        <v>29033</v>
      </c>
      <c r="B6649" t="n">
        <v>8.800000000000001</v>
      </c>
      <c r="C6649" t="n">
        <v>8.81</v>
      </c>
    </row>
    <row r="6650">
      <c r="A6650" s="28" t="n">
        <v>29034</v>
      </c>
      <c r="B6650" t="n">
        <v>8.800000000000001</v>
      </c>
      <c r="C6650" t="n">
        <v>8.9</v>
      </c>
    </row>
    <row r="6651">
      <c r="A6651" s="28" t="n">
        <v>29035</v>
      </c>
      <c r="B6651" t="n">
        <v>8.81</v>
      </c>
      <c r="C6651" t="n">
        <v>8.949999999999999</v>
      </c>
    </row>
    <row r="6652">
      <c r="A6652" s="28" t="n">
        <v>29038</v>
      </c>
      <c r="B6652" t="n">
        <v>8.76</v>
      </c>
      <c r="C6652" t="n">
        <v>8.93</v>
      </c>
    </row>
    <row r="6653">
      <c r="A6653" s="28" t="n">
        <v>29039</v>
      </c>
      <c r="B6653" t="n">
        <v>8.77</v>
      </c>
      <c r="C6653" t="n">
        <v>9.06</v>
      </c>
    </row>
    <row r="6654">
      <c r="A6654" s="28" t="n">
        <v>29040</v>
      </c>
      <c r="B6654" t="n">
        <v>0</v>
      </c>
      <c r="C6654" t="n">
        <v>0</v>
      </c>
    </row>
    <row r="6655">
      <c r="A6655" s="28" t="n">
        <v>29041</v>
      </c>
      <c r="B6655" t="n">
        <v>8.800000000000001</v>
      </c>
      <c r="C6655" t="n">
        <v>9.19</v>
      </c>
    </row>
    <row r="6656">
      <c r="A6656" s="28" t="n">
        <v>29042</v>
      </c>
      <c r="B6656" t="n">
        <v>8.82</v>
      </c>
      <c r="C6656" t="n">
        <v>9.199999999999999</v>
      </c>
    </row>
    <row r="6657">
      <c r="A6657" s="28" t="n">
        <v>29045</v>
      </c>
      <c r="B6657" t="n">
        <v>8.859999999999999</v>
      </c>
      <c r="C6657" t="n">
        <v>9.26</v>
      </c>
    </row>
    <row r="6658">
      <c r="A6658" s="28" t="n">
        <v>29046</v>
      </c>
      <c r="B6658" t="n">
        <v>8.92</v>
      </c>
      <c r="C6658" t="n">
        <v>9.32</v>
      </c>
    </row>
    <row r="6659">
      <c r="A6659" s="28" t="n">
        <v>29047</v>
      </c>
      <c r="B6659" t="n">
        <v>8.970000000000001</v>
      </c>
      <c r="C6659" t="n">
        <v>9.27</v>
      </c>
    </row>
    <row r="6660">
      <c r="A6660" s="28" t="n">
        <v>29048</v>
      </c>
      <c r="B6660" t="n">
        <v>8.949999999999999</v>
      </c>
      <c r="C6660" t="n">
        <v>9.26</v>
      </c>
    </row>
    <row r="6661">
      <c r="A6661" s="28" t="n">
        <v>29049</v>
      </c>
      <c r="B6661" t="n">
        <v>8.94</v>
      </c>
      <c r="C6661" t="n">
        <v>9.300000000000001</v>
      </c>
    </row>
    <row r="6662">
      <c r="A6662" s="28" t="n">
        <v>29052</v>
      </c>
      <c r="B6662" t="n">
        <v>8.99</v>
      </c>
      <c r="C6662" t="n">
        <v>9.359999999999999</v>
      </c>
    </row>
    <row r="6663">
      <c r="A6663" s="28" t="n">
        <v>29053</v>
      </c>
      <c r="B6663" t="n">
        <v>9.01</v>
      </c>
      <c r="C6663" t="n">
        <v>9.279999999999999</v>
      </c>
    </row>
    <row r="6664">
      <c r="A6664" s="28" t="n">
        <v>29054</v>
      </c>
      <c r="B6664" t="n">
        <v>9.029999999999999</v>
      </c>
      <c r="C6664" t="n">
        <v>9.25</v>
      </c>
    </row>
    <row r="6665">
      <c r="A6665" s="28" t="n">
        <v>29055</v>
      </c>
      <c r="B6665" t="n">
        <v>9.039999999999999</v>
      </c>
      <c r="C6665" t="n">
        <v>9.26</v>
      </c>
    </row>
    <row r="6666">
      <c r="A6666" s="28" t="n">
        <v>29056</v>
      </c>
      <c r="B6666" t="n">
        <v>8.98</v>
      </c>
      <c r="C6666" t="n">
        <v>9.42</v>
      </c>
    </row>
    <row r="6667">
      <c r="A6667" s="28" t="n">
        <v>29059</v>
      </c>
      <c r="B6667" t="n">
        <v>9.029999999999999</v>
      </c>
      <c r="C6667" t="n">
        <v>9.44</v>
      </c>
    </row>
    <row r="6668">
      <c r="A6668" s="28" t="n">
        <v>29060</v>
      </c>
      <c r="B6668" t="n">
        <v>9.06</v>
      </c>
      <c r="C6668" t="n">
        <v>9.380000000000001</v>
      </c>
    </row>
    <row r="6669">
      <c r="A6669" s="28" t="n">
        <v>29061</v>
      </c>
      <c r="B6669" t="n">
        <v>8.99</v>
      </c>
      <c r="C6669" t="n">
        <v>9.220000000000001</v>
      </c>
    </row>
    <row r="6670">
      <c r="A6670" s="28" t="n">
        <v>29062</v>
      </c>
      <c r="B6670" t="n">
        <v>8.970000000000001</v>
      </c>
      <c r="C6670" t="n">
        <v>9.130000000000001</v>
      </c>
    </row>
    <row r="6671">
      <c r="A6671" s="28" t="n">
        <v>29063</v>
      </c>
      <c r="B6671" t="n">
        <v>9.02</v>
      </c>
      <c r="C6671" t="n">
        <v>9.23</v>
      </c>
    </row>
    <row r="6672">
      <c r="A6672" s="28" t="n">
        <v>29066</v>
      </c>
      <c r="B6672" t="n">
        <v>9.029999999999999</v>
      </c>
      <c r="C6672" t="n">
        <v>9.09</v>
      </c>
    </row>
    <row r="6673">
      <c r="A6673" s="28" t="n">
        <v>29067</v>
      </c>
      <c r="B6673" t="n">
        <v>9.01</v>
      </c>
      <c r="C6673" t="n">
        <v>9.18</v>
      </c>
    </row>
    <row r="6674">
      <c r="A6674" s="28" t="n">
        <v>29068</v>
      </c>
      <c r="B6674" t="n">
        <v>8.99</v>
      </c>
      <c r="C6674" t="n">
        <v>9.16</v>
      </c>
    </row>
    <row r="6675">
      <c r="A6675" s="28" t="n">
        <v>29069</v>
      </c>
      <c r="B6675" t="n">
        <v>8.91</v>
      </c>
      <c r="C6675" t="n">
        <v>9.33</v>
      </c>
    </row>
    <row r="6676">
      <c r="A6676" s="28" t="n">
        <v>29070</v>
      </c>
      <c r="B6676" t="n">
        <v>8.92</v>
      </c>
      <c r="C6676" t="n">
        <v>9.380000000000001</v>
      </c>
    </row>
    <row r="6677">
      <c r="A6677" s="28" t="n">
        <v>29073</v>
      </c>
      <c r="B6677" t="n">
        <v>8.91</v>
      </c>
      <c r="C6677" t="n">
        <v>9.34</v>
      </c>
    </row>
    <row r="6678">
      <c r="A6678" s="28" t="n">
        <v>29074</v>
      </c>
      <c r="B6678" t="n">
        <v>8.91</v>
      </c>
      <c r="C6678" t="n">
        <v>9.4</v>
      </c>
    </row>
    <row r="6679">
      <c r="A6679" s="28" t="n">
        <v>29075</v>
      </c>
      <c r="B6679" t="n">
        <v>8.93</v>
      </c>
      <c r="C6679" t="n">
        <v>9.4</v>
      </c>
    </row>
    <row r="6680">
      <c r="A6680" s="28" t="n">
        <v>29076</v>
      </c>
      <c r="B6680" t="n">
        <v>8.970000000000001</v>
      </c>
      <c r="C6680" t="n">
        <v>9.4</v>
      </c>
    </row>
    <row r="6681">
      <c r="A6681" s="28" t="n">
        <v>29077</v>
      </c>
      <c r="B6681" t="n">
        <v>9</v>
      </c>
      <c r="C6681" t="n">
        <v>9.460000000000001</v>
      </c>
    </row>
    <row r="6682">
      <c r="A6682" s="28" t="n">
        <v>29080</v>
      </c>
      <c r="B6682" t="n">
        <v>9</v>
      </c>
      <c r="C6682" t="n">
        <v>9.470000000000001</v>
      </c>
    </row>
    <row r="6683">
      <c r="A6683" s="28" t="n">
        <v>29081</v>
      </c>
      <c r="B6683" t="n">
        <v>8.98</v>
      </c>
      <c r="C6683" t="n">
        <v>9.49</v>
      </c>
    </row>
    <row r="6684">
      <c r="A6684" s="28" t="n">
        <v>29082</v>
      </c>
      <c r="B6684" t="n">
        <v>9</v>
      </c>
      <c r="C6684" t="n">
        <v>9.550000000000001</v>
      </c>
    </row>
    <row r="6685">
      <c r="A6685" s="28" t="n">
        <v>29083</v>
      </c>
      <c r="B6685" t="n">
        <v>9</v>
      </c>
      <c r="C6685" t="n">
        <v>9.52</v>
      </c>
    </row>
    <row r="6686">
      <c r="A6686" s="28" t="n">
        <v>29084</v>
      </c>
      <c r="B6686" t="n">
        <v>9.01</v>
      </c>
      <c r="C6686" t="n">
        <v>9.58</v>
      </c>
    </row>
    <row r="6687">
      <c r="A6687" s="28" t="n">
        <v>29087</v>
      </c>
      <c r="B6687" t="n">
        <v>9.02</v>
      </c>
      <c r="C6687" t="n">
        <v>9.5</v>
      </c>
    </row>
    <row r="6688">
      <c r="A6688" s="28" t="n">
        <v>29088</v>
      </c>
      <c r="B6688" t="n">
        <v>9.039999999999999</v>
      </c>
      <c r="C6688" t="n">
        <v>9.539999999999999</v>
      </c>
    </row>
    <row r="6689">
      <c r="A6689" s="28" t="n">
        <v>29089</v>
      </c>
      <c r="B6689" t="n">
        <v>9.039999999999999</v>
      </c>
      <c r="C6689" t="n">
        <v>9.56</v>
      </c>
    </row>
    <row r="6690">
      <c r="A6690" s="28" t="n">
        <v>29090</v>
      </c>
      <c r="B6690" t="n">
        <v>9.050000000000001</v>
      </c>
      <c r="C6690" t="n">
        <v>9.529999999999999</v>
      </c>
    </row>
    <row r="6691">
      <c r="A6691" s="28" t="n">
        <v>29091</v>
      </c>
      <c r="B6691" t="n">
        <v>9.140000000000001</v>
      </c>
      <c r="C6691" t="n">
        <v>9.640000000000001</v>
      </c>
    </row>
    <row r="6692">
      <c r="A6692" s="28" t="n">
        <v>29094</v>
      </c>
      <c r="B6692" t="n">
        <v>9.119999999999999</v>
      </c>
      <c r="C6692" t="n">
        <v>9.65</v>
      </c>
    </row>
    <row r="6693">
      <c r="A6693" s="28" t="n">
        <v>29095</v>
      </c>
      <c r="B6693" t="n">
        <v>9.15</v>
      </c>
      <c r="C6693" t="n">
        <v>9.74</v>
      </c>
    </row>
    <row r="6694">
      <c r="A6694" s="28" t="n">
        <v>29096</v>
      </c>
      <c r="B6694" t="n">
        <v>9.140000000000001</v>
      </c>
      <c r="C6694" t="n">
        <v>9.77</v>
      </c>
    </row>
    <row r="6695">
      <c r="A6695" s="28" t="n">
        <v>29097</v>
      </c>
      <c r="B6695" t="n">
        <v>9.210000000000001</v>
      </c>
      <c r="C6695" t="n">
        <v>9.75</v>
      </c>
    </row>
    <row r="6696">
      <c r="A6696" s="28" t="n">
        <v>29098</v>
      </c>
      <c r="B6696" t="n">
        <v>9.24</v>
      </c>
      <c r="C6696" t="n">
        <v>9.81</v>
      </c>
    </row>
    <row r="6697">
      <c r="A6697" s="28" t="n">
        <v>29101</v>
      </c>
      <c r="B6697" t="n">
        <v>0</v>
      </c>
      <c r="C6697" t="n">
        <v>0</v>
      </c>
    </row>
    <row r="6698">
      <c r="A6698" s="28" t="n">
        <v>29102</v>
      </c>
      <c r="B6698" t="n">
        <v>9.32</v>
      </c>
      <c r="C6698" t="n">
        <v>10.02</v>
      </c>
    </row>
    <row r="6699">
      <c r="A6699" s="28" t="n">
        <v>29103</v>
      </c>
      <c r="B6699" t="n">
        <v>9.32</v>
      </c>
      <c r="C6699" t="n">
        <v>10.07</v>
      </c>
    </row>
    <row r="6700">
      <c r="A6700" s="28" t="n">
        <v>29104</v>
      </c>
      <c r="B6700" t="n">
        <v>9.35</v>
      </c>
      <c r="C6700" t="n">
        <v>10.27</v>
      </c>
    </row>
    <row r="6701">
      <c r="A6701" s="28" t="n">
        <v>29105</v>
      </c>
      <c r="B6701" t="n">
        <v>9.34</v>
      </c>
      <c r="C6701" t="n">
        <v>10.42</v>
      </c>
    </row>
    <row r="6702">
      <c r="A6702" s="28" t="n">
        <v>29108</v>
      </c>
      <c r="B6702" t="n">
        <v>9.359999999999999</v>
      </c>
      <c r="C6702" t="n">
        <v>10.55</v>
      </c>
    </row>
    <row r="6703">
      <c r="A6703" s="28" t="n">
        <v>29109</v>
      </c>
      <c r="B6703" t="n">
        <v>9.25</v>
      </c>
      <c r="C6703" t="n">
        <v>10.45</v>
      </c>
    </row>
    <row r="6704">
      <c r="A6704" s="28" t="n">
        <v>29110</v>
      </c>
      <c r="B6704" t="n">
        <v>9.300000000000001</v>
      </c>
      <c r="C6704" t="n">
        <v>10.45</v>
      </c>
    </row>
    <row r="6705">
      <c r="A6705" s="28" t="n">
        <v>29111</v>
      </c>
      <c r="B6705" t="n">
        <v>9.34</v>
      </c>
      <c r="C6705" t="n">
        <v>10.5</v>
      </c>
    </row>
    <row r="6706">
      <c r="A6706" s="28" t="n">
        <v>29112</v>
      </c>
      <c r="B6706" t="n">
        <v>9.289999999999999</v>
      </c>
      <c r="C6706" t="n">
        <v>10.29</v>
      </c>
    </row>
    <row r="6707">
      <c r="A6707" s="28" t="n">
        <v>29115</v>
      </c>
      <c r="B6707" t="n">
        <v>9.369999999999999</v>
      </c>
      <c r="C6707" t="n">
        <v>10.37</v>
      </c>
    </row>
    <row r="6708">
      <c r="A6708" s="28" t="n">
        <v>29116</v>
      </c>
      <c r="B6708" t="n">
        <v>9.359999999999999</v>
      </c>
      <c r="C6708" t="n">
        <v>10.4</v>
      </c>
    </row>
    <row r="6709">
      <c r="A6709" s="28" t="n">
        <v>29117</v>
      </c>
      <c r="B6709" t="n">
        <v>9.31</v>
      </c>
      <c r="C6709" t="n">
        <v>10.2</v>
      </c>
    </row>
    <row r="6710">
      <c r="A6710" s="28" t="n">
        <v>29118</v>
      </c>
      <c r="B6710" t="n">
        <v>9.289999999999999</v>
      </c>
      <c r="C6710" t="n">
        <v>10.21</v>
      </c>
    </row>
    <row r="6711">
      <c r="A6711" s="28" t="n">
        <v>29119</v>
      </c>
      <c r="B6711" t="n">
        <v>9.26</v>
      </c>
      <c r="C6711" t="n">
        <v>10.1</v>
      </c>
    </row>
    <row r="6712">
      <c r="A6712" s="28" t="n">
        <v>29122</v>
      </c>
      <c r="B6712" t="n">
        <v>9.34</v>
      </c>
      <c r="C6712" t="n">
        <v>10.03</v>
      </c>
    </row>
    <row r="6713">
      <c r="A6713" s="28" t="n">
        <v>29123</v>
      </c>
      <c r="B6713" t="n">
        <v>9.32</v>
      </c>
      <c r="C6713" t="n">
        <v>10.06</v>
      </c>
    </row>
    <row r="6714">
      <c r="A6714" s="28" t="n">
        <v>29124</v>
      </c>
      <c r="B6714" t="n">
        <v>9.359999999999999</v>
      </c>
      <c r="C6714" t="n">
        <v>10.22</v>
      </c>
    </row>
    <row r="6715">
      <c r="A6715" s="28" t="n">
        <v>29125</v>
      </c>
      <c r="B6715" t="n">
        <v>9.44</v>
      </c>
      <c r="C6715" t="n">
        <v>10.28</v>
      </c>
    </row>
    <row r="6716">
      <c r="A6716" s="28" t="n">
        <v>29126</v>
      </c>
      <c r="B6716" t="n">
        <v>9.44</v>
      </c>
      <c r="C6716" t="n">
        <v>10.12</v>
      </c>
    </row>
    <row r="6717">
      <c r="A6717" s="28" t="n">
        <v>29129</v>
      </c>
      <c r="B6717" t="n">
        <v>9.51</v>
      </c>
      <c r="C6717" t="n">
        <v>10.15</v>
      </c>
    </row>
    <row r="6718">
      <c r="A6718" s="28" t="n">
        <v>29130</v>
      </c>
      <c r="B6718" t="n">
        <v>9.470000000000001</v>
      </c>
      <c r="C6718" t="n">
        <v>10.37</v>
      </c>
    </row>
    <row r="6719">
      <c r="A6719" s="28" t="n">
        <v>29131</v>
      </c>
      <c r="B6719" t="n">
        <v>9.5</v>
      </c>
      <c r="C6719" t="n">
        <v>10.39</v>
      </c>
    </row>
    <row r="6720">
      <c r="A6720" s="28" t="n">
        <v>29132</v>
      </c>
      <c r="B6720" t="n">
        <v>9.58</v>
      </c>
      <c r="C6720" t="n">
        <v>10.56</v>
      </c>
    </row>
    <row r="6721">
      <c r="A6721" s="28" t="n">
        <v>29133</v>
      </c>
      <c r="B6721" t="n">
        <v>9.6</v>
      </c>
      <c r="C6721" t="n">
        <v>10.7</v>
      </c>
    </row>
    <row r="6722">
      <c r="A6722" s="28" t="n">
        <v>29136</v>
      </c>
      <c r="B6722" t="n">
        <v>0</v>
      </c>
      <c r="C6722" t="n">
        <v>0</v>
      </c>
    </row>
    <row r="6723">
      <c r="A6723" s="28" t="n">
        <v>29137</v>
      </c>
      <c r="B6723" t="n">
        <v>9.93</v>
      </c>
      <c r="C6723" t="n">
        <v>11.82</v>
      </c>
    </row>
    <row r="6724">
      <c r="A6724" s="28" t="n">
        <v>29138</v>
      </c>
      <c r="B6724" t="n">
        <v>10.09</v>
      </c>
      <c r="C6724" t="n">
        <v>11.74</v>
      </c>
    </row>
    <row r="6725">
      <c r="A6725" s="28" t="n">
        <v>29139</v>
      </c>
      <c r="B6725" t="n">
        <v>10.17</v>
      </c>
      <c r="C6725" t="n">
        <v>11.57</v>
      </c>
    </row>
    <row r="6726">
      <c r="A6726" s="28" t="n">
        <v>29140</v>
      </c>
      <c r="B6726" t="n">
        <v>10.15</v>
      </c>
      <c r="C6726" t="n">
        <v>11.35</v>
      </c>
    </row>
    <row r="6727">
      <c r="A6727" s="28" t="n">
        <v>29143</v>
      </c>
      <c r="B6727" t="n">
        <v>10.31</v>
      </c>
      <c r="C6727" t="n">
        <v>11.6</v>
      </c>
    </row>
    <row r="6728">
      <c r="A6728" s="28" t="n">
        <v>29144</v>
      </c>
      <c r="B6728" t="n">
        <v>10.27</v>
      </c>
      <c r="C6728" t="n">
        <v>11.84</v>
      </c>
    </row>
    <row r="6729">
      <c r="A6729" s="28" t="n">
        <v>29145</v>
      </c>
      <c r="B6729" t="n">
        <v>10.2</v>
      </c>
      <c r="C6729" t="n">
        <v>11.69</v>
      </c>
    </row>
    <row r="6730">
      <c r="A6730" s="28" t="n">
        <v>29146</v>
      </c>
      <c r="B6730" t="n">
        <v>10.41</v>
      </c>
      <c r="C6730" t="n">
        <v>12.05</v>
      </c>
    </row>
    <row r="6731">
      <c r="A6731" s="28" t="n">
        <v>29147</v>
      </c>
      <c r="B6731" t="n">
        <v>10.68</v>
      </c>
      <c r="C6731" t="n">
        <v>12.37</v>
      </c>
    </row>
    <row r="6732">
      <c r="A6732" s="28" t="n">
        <v>29150</v>
      </c>
      <c r="B6732" t="n">
        <v>10.96</v>
      </c>
      <c r="C6732" t="n">
        <v>12.84</v>
      </c>
    </row>
    <row r="6733">
      <c r="A6733" s="28" t="n">
        <v>29151</v>
      </c>
      <c r="B6733" t="n">
        <v>11.02</v>
      </c>
      <c r="C6733" t="n">
        <v>13.01</v>
      </c>
    </row>
    <row r="6734">
      <c r="A6734" s="28" t="n">
        <v>29152</v>
      </c>
      <c r="B6734" t="n">
        <v>10.83</v>
      </c>
      <c r="C6734" t="n">
        <v>12.72</v>
      </c>
    </row>
    <row r="6735">
      <c r="A6735" s="28" t="n">
        <v>29153</v>
      </c>
      <c r="B6735" t="n">
        <v>10.98</v>
      </c>
      <c r="C6735" t="n">
        <v>12.53</v>
      </c>
    </row>
    <row r="6736">
      <c r="A6736" s="28" t="n">
        <v>29154</v>
      </c>
      <c r="B6736" t="n">
        <v>10.67</v>
      </c>
      <c r="C6736" t="n">
        <v>11.91</v>
      </c>
    </row>
    <row r="6737">
      <c r="A6737" s="28" t="n">
        <v>29157</v>
      </c>
      <c r="B6737" t="n">
        <v>10.78</v>
      </c>
      <c r="C6737" t="n">
        <v>12.02</v>
      </c>
    </row>
    <row r="6738">
      <c r="A6738" s="28" t="n">
        <v>29158</v>
      </c>
      <c r="B6738" t="n">
        <v>10.75</v>
      </c>
      <c r="C6738" t="n">
        <v>12.08</v>
      </c>
    </row>
    <row r="6739">
      <c r="A6739" s="28" t="n">
        <v>29159</v>
      </c>
      <c r="B6739" t="n">
        <v>10.72</v>
      </c>
      <c r="C6739" t="n">
        <v>12.12</v>
      </c>
    </row>
    <row r="6740">
      <c r="A6740" s="28" t="n">
        <v>29160</v>
      </c>
      <c r="B6740" t="n">
        <v>10.79</v>
      </c>
      <c r="C6740" t="n">
        <v>12.06</v>
      </c>
    </row>
    <row r="6741">
      <c r="A6741" s="28" t="n">
        <v>29161</v>
      </c>
      <c r="B6741" t="n">
        <v>10.84</v>
      </c>
      <c r="C6741" t="n">
        <v>12.05</v>
      </c>
    </row>
    <row r="6742">
      <c r="A6742" s="28" t="n">
        <v>29164</v>
      </c>
      <c r="B6742" t="n">
        <v>10.85</v>
      </c>
      <c r="C6742" t="n">
        <v>12.06</v>
      </c>
    </row>
    <row r="6743">
      <c r="A6743" s="28" t="n">
        <v>29165</v>
      </c>
      <c r="B6743" t="n">
        <v>0</v>
      </c>
      <c r="C6743" t="n">
        <v>0</v>
      </c>
    </row>
    <row r="6744">
      <c r="A6744" s="28" t="n">
        <v>29166</v>
      </c>
      <c r="B6744" t="n">
        <v>11</v>
      </c>
      <c r="C6744" t="n">
        <v>12.48</v>
      </c>
    </row>
    <row r="6745">
      <c r="A6745" s="28" t="n">
        <v>29167</v>
      </c>
      <c r="B6745" t="n">
        <v>10.96</v>
      </c>
      <c r="C6745" t="n">
        <v>12.44</v>
      </c>
    </row>
    <row r="6746">
      <c r="A6746" s="28" t="n">
        <v>29168</v>
      </c>
      <c r="B6746" t="n">
        <v>10.68</v>
      </c>
      <c r="C6746" t="n">
        <v>12</v>
      </c>
    </row>
    <row r="6747">
      <c r="A6747" s="28" t="n">
        <v>29171</v>
      </c>
      <c r="B6747" t="n">
        <v>0</v>
      </c>
      <c r="C6747" t="n">
        <v>0</v>
      </c>
    </row>
    <row r="6748">
      <c r="A6748" s="28" t="n">
        <v>29172</v>
      </c>
      <c r="B6748" t="n">
        <v>10.63</v>
      </c>
      <c r="C6748" t="n">
        <v>12.06</v>
      </c>
    </row>
    <row r="6749">
      <c r="A6749" s="28" t="n">
        <v>29173</v>
      </c>
      <c r="B6749" t="n">
        <v>10.75</v>
      </c>
      <c r="C6749" t="n">
        <v>11.94</v>
      </c>
    </row>
    <row r="6750">
      <c r="A6750" s="28" t="n">
        <v>29174</v>
      </c>
      <c r="B6750" t="n">
        <v>10.62</v>
      </c>
      <c r="C6750" t="n">
        <v>11.7</v>
      </c>
    </row>
    <row r="6751">
      <c r="A6751" s="28" t="n">
        <v>29175</v>
      </c>
      <c r="B6751" t="n">
        <v>10.77</v>
      </c>
      <c r="C6751" t="n">
        <v>11.91</v>
      </c>
    </row>
    <row r="6752">
      <c r="A6752" s="28" t="n">
        <v>29178</v>
      </c>
      <c r="B6752" t="n">
        <v>10.8</v>
      </c>
      <c r="C6752" t="n">
        <v>11.99</v>
      </c>
    </row>
    <row r="6753">
      <c r="A6753" s="28" t="n">
        <v>29179</v>
      </c>
      <c r="B6753" t="n">
        <v>10.78</v>
      </c>
      <c r="C6753" t="n">
        <v>11.92</v>
      </c>
    </row>
    <row r="6754">
      <c r="A6754" s="28" t="n">
        <v>29180</v>
      </c>
      <c r="B6754" t="n">
        <v>10.73</v>
      </c>
      <c r="C6754" t="n">
        <v>11.81</v>
      </c>
    </row>
    <row r="6755">
      <c r="A6755" s="28" t="n">
        <v>29181</v>
      </c>
      <c r="B6755" t="n">
        <v>0</v>
      </c>
      <c r="C6755" t="n">
        <v>0</v>
      </c>
    </row>
    <row r="6756">
      <c r="A6756" s="28" t="n">
        <v>29182</v>
      </c>
      <c r="B6756" t="n">
        <v>10.51</v>
      </c>
      <c r="C6756" t="n">
        <v>11.34</v>
      </c>
    </row>
    <row r="6757">
      <c r="A6757" s="28" t="n">
        <v>29185</v>
      </c>
      <c r="B6757" t="n">
        <v>10.37</v>
      </c>
      <c r="C6757" t="n">
        <v>11.05</v>
      </c>
    </row>
    <row r="6758">
      <c r="A6758" s="28" t="n">
        <v>29186</v>
      </c>
      <c r="B6758" t="n">
        <v>10.24</v>
      </c>
      <c r="C6758" t="n">
        <v>11.09</v>
      </c>
    </row>
    <row r="6759">
      <c r="A6759" s="28" t="n">
        <v>29187</v>
      </c>
      <c r="B6759" t="n">
        <v>10.37</v>
      </c>
      <c r="C6759" t="n">
        <v>11.4</v>
      </c>
    </row>
    <row r="6760">
      <c r="A6760" s="28" t="n">
        <v>29188</v>
      </c>
      <c r="B6760" t="n">
        <v>10.34</v>
      </c>
      <c r="C6760" t="n">
        <v>11.27</v>
      </c>
    </row>
    <row r="6761">
      <c r="A6761" s="28" t="n">
        <v>29189</v>
      </c>
      <c r="B6761" t="n">
        <v>10.38</v>
      </c>
      <c r="C6761" t="n">
        <v>11.49</v>
      </c>
    </row>
    <row r="6762">
      <c r="A6762" s="28" t="n">
        <v>29192</v>
      </c>
      <c r="B6762" t="n">
        <v>10.44</v>
      </c>
      <c r="C6762" t="n">
        <v>11.83</v>
      </c>
    </row>
    <row r="6763">
      <c r="A6763" s="28" t="n">
        <v>29193</v>
      </c>
      <c r="B6763" t="n">
        <v>10.32</v>
      </c>
      <c r="C6763" t="n">
        <v>11.68</v>
      </c>
    </row>
    <row r="6764">
      <c r="A6764" s="28" t="n">
        <v>29194</v>
      </c>
      <c r="B6764" t="n">
        <v>10.27</v>
      </c>
      <c r="C6764" t="n">
        <v>11.64</v>
      </c>
    </row>
    <row r="6765">
      <c r="A6765" s="28" t="n">
        <v>29195</v>
      </c>
      <c r="B6765" t="n">
        <v>10.13</v>
      </c>
      <c r="C6765" t="n">
        <v>11.65</v>
      </c>
    </row>
    <row r="6766">
      <c r="A6766" s="28" t="n">
        <v>29196</v>
      </c>
      <c r="B6766" t="n">
        <v>10.3</v>
      </c>
      <c r="C6766" t="n">
        <v>11.93</v>
      </c>
    </row>
    <row r="6767">
      <c r="A6767" s="28" t="n">
        <v>29199</v>
      </c>
      <c r="B6767" t="n">
        <v>10.27</v>
      </c>
      <c r="C6767" t="n">
        <v>12.09</v>
      </c>
    </row>
    <row r="6768">
      <c r="A6768" s="28" t="n">
        <v>29200</v>
      </c>
      <c r="B6768" t="n">
        <v>10.46</v>
      </c>
      <c r="C6768" t="n">
        <v>12.29</v>
      </c>
    </row>
    <row r="6769">
      <c r="A6769" s="28" t="n">
        <v>29201</v>
      </c>
      <c r="B6769" t="n">
        <v>10.58</v>
      </c>
      <c r="C6769" t="n">
        <v>12.6</v>
      </c>
    </row>
    <row r="6770">
      <c r="A6770" s="28" t="n">
        <v>29202</v>
      </c>
      <c r="B6770" t="n">
        <v>10.51</v>
      </c>
      <c r="C6770" t="n">
        <v>12.42</v>
      </c>
    </row>
    <row r="6771">
      <c r="A6771" s="28" t="n">
        <v>29203</v>
      </c>
      <c r="B6771" t="n">
        <v>10.45</v>
      </c>
      <c r="C6771" t="n">
        <v>12.3</v>
      </c>
    </row>
    <row r="6772">
      <c r="A6772" s="28" t="n">
        <v>29206</v>
      </c>
      <c r="B6772" t="n">
        <v>10.42</v>
      </c>
      <c r="C6772" t="n">
        <v>12.24</v>
      </c>
    </row>
    <row r="6773">
      <c r="A6773" s="28" t="n">
        <v>29207</v>
      </c>
      <c r="B6773" t="n">
        <v>10.34</v>
      </c>
      <c r="C6773" t="n">
        <v>12.17</v>
      </c>
    </row>
    <row r="6774">
      <c r="A6774" s="28" t="n">
        <v>29208</v>
      </c>
      <c r="B6774" t="n">
        <v>10.33</v>
      </c>
      <c r="C6774" t="n">
        <v>11.91</v>
      </c>
    </row>
    <row r="6775">
      <c r="A6775" s="28" t="n">
        <v>29209</v>
      </c>
      <c r="B6775" t="n">
        <v>10.38</v>
      </c>
      <c r="C6775" t="n">
        <v>11.9</v>
      </c>
    </row>
    <row r="6776">
      <c r="A6776" s="28" t="n">
        <v>29210</v>
      </c>
      <c r="B6776" t="n">
        <v>10.39</v>
      </c>
      <c r="C6776" t="n">
        <v>12.08</v>
      </c>
    </row>
    <row r="6777">
      <c r="A6777" s="28" t="n">
        <v>29213</v>
      </c>
      <c r="B6777" t="n">
        <v>10.45</v>
      </c>
      <c r="C6777" t="n">
        <v>12.05</v>
      </c>
    </row>
    <row r="6778">
      <c r="A6778" s="28" t="n">
        <v>29214</v>
      </c>
      <c r="B6778" t="n">
        <v>0</v>
      </c>
      <c r="C6778" t="n">
        <v>0</v>
      </c>
    </row>
    <row r="6779">
      <c r="A6779" s="28" t="n">
        <v>29215</v>
      </c>
      <c r="B6779" t="n">
        <v>10.48</v>
      </c>
      <c r="C6779" t="n">
        <v>12</v>
      </c>
    </row>
    <row r="6780">
      <c r="A6780" s="28" t="n">
        <v>29216</v>
      </c>
      <c r="B6780" t="n">
        <v>10.46</v>
      </c>
      <c r="C6780" t="n">
        <v>11.97</v>
      </c>
    </row>
    <row r="6781">
      <c r="A6781" s="28" t="n">
        <v>29217</v>
      </c>
      <c r="B6781" t="n">
        <v>10.41</v>
      </c>
      <c r="C6781" t="n">
        <v>11.92</v>
      </c>
    </row>
    <row r="6782">
      <c r="A6782" s="28" t="n">
        <v>29220</v>
      </c>
      <c r="B6782" t="n">
        <v>10.33</v>
      </c>
      <c r="C6782" t="n">
        <v>12.04</v>
      </c>
    </row>
    <row r="6783">
      <c r="A6783" s="28" t="n">
        <v>29221</v>
      </c>
      <c r="B6783" t="n">
        <v>0</v>
      </c>
      <c r="C6783" t="n">
        <v>0</v>
      </c>
    </row>
    <row r="6784">
      <c r="A6784" s="28" t="n">
        <v>29222</v>
      </c>
      <c r="B6784" t="n">
        <v>10.5</v>
      </c>
      <c r="C6784" t="n">
        <v>12.17</v>
      </c>
    </row>
    <row r="6785">
      <c r="A6785" s="28" t="n">
        <v>29223</v>
      </c>
      <c r="B6785" t="n">
        <v>10.6</v>
      </c>
      <c r="C6785" t="n">
        <v>12.1</v>
      </c>
    </row>
    <row r="6786">
      <c r="A6786" s="28" t="n">
        <v>29224</v>
      </c>
      <c r="B6786" t="n">
        <v>10.66</v>
      </c>
      <c r="C6786" t="n">
        <v>12.1</v>
      </c>
    </row>
    <row r="6787">
      <c r="A6787" s="28" t="n">
        <v>29227</v>
      </c>
      <c r="B6787" t="n">
        <v>10.63</v>
      </c>
      <c r="C6787" t="n">
        <v>11.86</v>
      </c>
    </row>
    <row r="6788">
      <c r="A6788" s="28" t="n">
        <v>29228</v>
      </c>
      <c r="B6788" t="n">
        <v>10.57</v>
      </c>
      <c r="C6788" t="n">
        <v>11.78</v>
      </c>
    </row>
    <row r="6789">
      <c r="A6789" s="28" t="n">
        <v>29229</v>
      </c>
      <c r="B6789" t="n">
        <v>10.58</v>
      </c>
      <c r="C6789" t="n">
        <v>11.76</v>
      </c>
    </row>
    <row r="6790">
      <c r="A6790" s="28" t="n">
        <v>29230</v>
      </c>
      <c r="B6790" t="n">
        <v>10.51</v>
      </c>
      <c r="C6790" t="n">
        <v>11.45</v>
      </c>
    </row>
    <row r="6791">
      <c r="A6791" s="28" t="n">
        <v>29231</v>
      </c>
      <c r="B6791" t="n">
        <v>10.68</v>
      </c>
      <c r="C6791" t="n">
        <v>11.76</v>
      </c>
    </row>
    <row r="6792">
      <c r="A6792" s="28" t="n">
        <v>29234</v>
      </c>
      <c r="B6792" t="n">
        <v>10.7</v>
      </c>
      <c r="C6792" t="n">
        <v>11.84</v>
      </c>
    </row>
    <row r="6793">
      <c r="A6793" s="28" t="n">
        <v>29235</v>
      </c>
      <c r="B6793" t="n">
        <v>10.65</v>
      </c>
      <c r="C6793" t="n">
        <v>11.87</v>
      </c>
    </row>
    <row r="6794">
      <c r="A6794" s="28" t="n">
        <v>29236</v>
      </c>
      <c r="B6794" t="n">
        <v>10.65</v>
      </c>
      <c r="C6794" t="n">
        <v>11.82</v>
      </c>
    </row>
    <row r="6795">
      <c r="A6795" s="28" t="n">
        <v>29237</v>
      </c>
      <c r="B6795" t="n">
        <v>10.71</v>
      </c>
      <c r="C6795" t="n">
        <v>11.94</v>
      </c>
    </row>
    <row r="6796">
      <c r="A6796" s="28" t="n">
        <v>29238</v>
      </c>
      <c r="B6796" t="n">
        <v>10.82</v>
      </c>
      <c r="C6796" t="n">
        <v>12.07</v>
      </c>
    </row>
    <row r="6797">
      <c r="A6797" s="28" t="n">
        <v>29241</v>
      </c>
      <c r="B6797" t="n">
        <v>10.96</v>
      </c>
      <c r="C6797" t="n">
        <v>12.23</v>
      </c>
    </row>
    <row r="6798">
      <c r="A6798" s="28" t="n">
        <v>29242</v>
      </c>
      <c r="B6798" t="n">
        <v>10.85</v>
      </c>
      <c r="C6798" t="n">
        <v>12.16</v>
      </c>
    </row>
    <row r="6799">
      <c r="A6799" s="28" t="n">
        <v>29243</v>
      </c>
      <c r="B6799" t="n">
        <v>10.82</v>
      </c>
      <c r="C6799" t="n">
        <v>12.02</v>
      </c>
    </row>
    <row r="6800">
      <c r="A6800" s="28" t="n">
        <v>29244</v>
      </c>
      <c r="B6800" t="n">
        <v>11.01</v>
      </c>
      <c r="C6800" t="n">
        <v>12.17</v>
      </c>
    </row>
    <row r="6801">
      <c r="A6801" s="28" t="n">
        <v>29245</v>
      </c>
      <c r="B6801" t="n">
        <v>11.1</v>
      </c>
      <c r="C6801" t="n">
        <v>12.29</v>
      </c>
    </row>
    <row r="6802">
      <c r="A6802" s="28" t="n">
        <v>29248</v>
      </c>
      <c r="B6802" t="n">
        <v>11.15</v>
      </c>
      <c r="C6802" t="n">
        <v>12.18</v>
      </c>
    </row>
    <row r="6803">
      <c r="A6803" s="28" t="n">
        <v>29249</v>
      </c>
      <c r="B6803" t="n">
        <v>11.21</v>
      </c>
      <c r="C6803" t="n">
        <v>12.26</v>
      </c>
    </row>
    <row r="6804">
      <c r="A6804" s="28" t="n">
        <v>29250</v>
      </c>
      <c r="B6804" t="n">
        <v>11.16</v>
      </c>
      <c r="C6804" t="n">
        <v>12.13</v>
      </c>
    </row>
    <row r="6805">
      <c r="A6805" s="28" t="n">
        <v>29251</v>
      </c>
      <c r="B6805" t="n">
        <v>11.13</v>
      </c>
      <c r="C6805" t="n">
        <v>12</v>
      </c>
    </row>
    <row r="6806">
      <c r="A6806" s="28" t="n">
        <v>29252</v>
      </c>
      <c r="B6806" t="n">
        <v>11.29</v>
      </c>
      <c r="C6806" t="n">
        <v>12.17</v>
      </c>
    </row>
    <row r="6807">
      <c r="A6807" s="28" t="n">
        <v>29255</v>
      </c>
      <c r="B6807" t="n">
        <v>11.4</v>
      </c>
      <c r="C6807" t="n">
        <v>11.98</v>
      </c>
    </row>
    <row r="6808">
      <c r="A6808" s="28" t="n">
        <v>29256</v>
      </c>
      <c r="B6808" t="n">
        <v>11.73</v>
      </c>
      <c r="C6808" t="n">
        <v>12.22</v>
      </c>
    </row>
    <row r="6809">
      <c r="A6809" s="28" t="n">
        <v>29257</v>
      </c>
      <c r="B6809" t="n">
        <v>11.92</v>
      </c>
      <c r="C6809" t="n">
        <v>12.06</v>
      </c>
    </row>
    <row r="6810">
      <c r="A6810" s="28" t="n">
        <v>29258</v>
      </c>
      <c r="B6810" t="n">
        <v>11.71</v>
      </c>
      <c r="C6810" t="n">
        <v>11.92</v>
      </c>
    </row>
    <row r="6811">
      <c r="A6811" s="28" t="n">
        <v>29259</v>
      </c>
      <c r="B6811" t="n">
        <v>11.8</v>
      </c>
      <c r="C6811" t="n">
        <v>12.07</v>
      </c>
    </row>
    <row r="6812">
      <c r="A6812" s="28" t="n">
        <v>29262</v>
      </c>
      <c r="B6812" t="n">
        <v>12.01</v>
      </c>
      <c r="C6812" t="n">
        <v>12.22</v>
      </c>
    </row>
    <row r="6813">
      <c r="A6813" s="28" t="n">
        <v>29263</v>
      </c>
      <c r="B6813" t="n">
        <v>0</v>
      </c>
      <c r="C6813" t="n">
        <v>0</v>
      </c>
    </row>
    <row r="6814">
      <c r="A6814" s="28" t="n">
        <v>29264</v>
      </c>
      <c r="B6814" t="n">
        <v>11.86</v>
      </c>
      <c r="C6814" t="n">
        <v>12.18</v>
      </c>
    </row>
    <row r="6815">
      <c r="A6815" s="28" t="n">
        <v>29265</v>
      </c>
      <c r="B6815" t="n">
        <v>11.97</v>
      </c>
      <c r="C6815" t="n">
        <v>12.23</v>
      </c>
    </row>
    <row r="6816">
      <c r="A6816" s="28" t="n">
        <v>29266</v>
      </c>
      <c r="B6816" t="n">
        <v>12.2</v>
      </c>
      <c r="C6816" t="n">
        <v>12.8</v>
      </c>
    </row>
    <row r="6817">
      <c r="A6817" s="28" t="n">
        <v>29269</v>
      </c>
      <c r="B6817" t="n">
        <v>0</v>
      </c>
      <c r="C6817" t="n">
        <v>0</v>
      </c>
    </row>
    <row r="6818">
      <c r="A6818" s="28" t="n">
        <v>29270</v>
      </c>
      <c r="B6818" t="n">
        <v>12.85</v>
      </c>
      <c r="C6818" t="n">
        <v>13.4</v>
      </c>
    </row>
    <row r="6819">
      <c r="A6819" s="28" t="n">
        <v>29271</v>
      </c>
      <c r="B6819" t="n">
        <v>12.84</v>
      </c>
      <c r="C6819" t="n">
        <v>13.3</v>
      </c>
    </row>
    <row r="6820">
      <c r="A6820" s="28" t="n">
        <v>29272</v>
      </c>
      <c r="B6820" t="n">
        <v>13.22</v>
      </c>
      <c r="C6820" t="n">
        <v>13.42</v>
      </c>
    </row>
    <row r="6821">
      <c r="A6821" s="28" t="n">
        <v>29273</v>
      </c>
      <c r="B6821" t="n">
        <v>13.06</v>
      </c>
      <c r="C6821" t="n">
        <v>13.38</v>
      </c>
    </row>
    <row r="6822">
      <c r="A6822" s="28" t="n">
        <v>29276</v>
      </c>
      <c r="B6822" t="n">
        <v>13.27</v>
      </c>
      <c r="C6822" t="n">
        <v>13.65</v>
      </c>
    </row>
    <row r="6823">
      <c r="A6823" s="28" t="n">
        <v>29277</v>
      </c>
      <c r="B6823" t="n">
        <v>13.65</v>
      </c>
      <c r="C6823" t="n">
        <v>13.85</v>
      </c>
    </row>
    <row r="6824">
      <c r="A6824" s="28" t="n">
        <v>29278</v>
      </c>
      <c r="B6824" t="n">
        <v>13.46</v>
      </c>
      <c r="C6824" t="n">
        <v>13.84</v>
      </c>
    </row>
    <row r="6825">
      <c r="A6825" s="28" t="n">
        <v>29279</v>
      </c>
      <c r="B6825" t="n">
        <v>12.92</v>
      </c>
      <c r="C6825" t="n">
        <v>13.57</v>
      </c>
    </row>
    <row r="6826">
      <c r="A6826" s="28" t="n">
        <v>29280</v>
      </c>
      <c r="B6826" t="n">
        <v>12.72</v>
      </c>
      <c r="C6826" t="n">
        <v>14.01</v>
      </c>
    </row>
    <row r="6827">
      <c r="A6827" s="28" t="n">
        <v>29283</v>
      </c>
      <c r="B6827" t="n">
        <v>12.79</v>
      </c>
      <c r="C6827" t="n">
        <v>15</v>
      </c>
    </row>
    <row r="6828">
      <c r="A6828" s="28" t="n">
        <v>29284</v>
      </c>
      <c r="B6828" t="n">
        <v>12.91</v>
      </c>
      <c r="C6828" t="n">
        <v>15.15</v>
      </c>
    </row>
    <row r="6829">
      <c r="A6829" s="28" t="n">
        <v>29285</v>
      </c>
      <c r="B6829" t="n">
        <v>13.03</v>
      </c>
      <c r="C6829" t="n">
        <v>15.37</v>
      </c>
    </row>
    <row r="6830">
      <c r="A6830" s="28" t="n">
        <v>29286</v>
      </c>
      <c r="B6830" t="n">
        <v>13.13</v>
      </c>
      <c r="C6830" t="n">
        <v>15.7</v>
      </c>
    </row>
    <row r="6831">
      <c r="A6831" s="28" t="n">
        <v>29287</v>
      </c>
      <c r="B6831" t="n">
        <v>12.86</v>
      </c>
      <c r="C6831" t="n">
        <v>15.63</v>
      </c>
    </row>
    <row r="6832">
      <c r="A6832" s="28" t="n">
        <v>29290</v>
      </c>
      <c r="B6832" t="n">
        <v>12.63</v>
      </c>
      <c r="C6832" t="n">
        <v>15.26</v>
      </c>
    </row>
    <row r="6833">
      <c r="A6833" s="28" t="n">
        <v>29291</v>
      </c>
      <c r="B6833" t="n">
        <v>12.41</v>
      </c>
      <c r="C6833" t="n">
        <v>15.38</v>
      </c>
    </row>
    <row r="6834">
      <c r="A6834" s="28" t="n">
        <v>29292</v>
      </c>
      <c r="B6834" t="n">
        <v>12.62</v>
      </c>
      <c r="C6834" t="n">
        <v>15.6</v>
      </c>
    </row>
    <row r="6835">
      <c r="A6835" s="28" t="n">
        <v>29293</v>
      </c>
      <c r="B6835" t="n">
        <v>12.5</v>
      </c>
      <c r="C6835" t="n">
        <v>15.12</v>
      </c>
    </row>
    <row r="6836">
      <c r="A6836" s="28" t="n">
        <v>29294</v>
      </c>
      <c r="B6836" t="n">
        <v>12.52</v>
      </c>
      <c r="C6836" t="n">
        <v>15.25</v>
      </c>
    </row>
    <row r="6837">
      <c r="A6837" s="28" t="n">
        <v>29297</v>
      </c>
      <c r="B6837" t="n">
        <v>12.58</v>
      </c>
      <c r="C6837" t="n">
        <v>14.67</v>
      </c>
    </row>
    <row r="6838">
      <c r="A6838" s="28" t="n">
        <v>29298</v>
      </c>
      <c r="B6838" t="n">
        <v>12.4</v>
      </c>
      <c r="C6838" t="n">
        <v>14.62</v>
      </c>
    </row>
    <row r="6839">
      <c r="A6839" s="28" t="n">
        <v>29299</v>
      </c>
      <c r="B6839" t="n">
        <v>12.35</v>
      </c>
      <c r="C6839" t="n">
        <v>14.33</v>
      </c>
    </row>
    <row r="6840">
      <c r="A6840" s="28" t="n">
        <v>29300</v>
      </c>
      <c r="B6840" t="n">
        <v>12.62</v>
      </c>
      <c r="C6840" t="n">
        <v>15.02</v>
      </c>
    </row>
    <row r="6841">
      <c r="A6841" s="28" t="n">
        <v>29301</v>
      </c>
      <c r="B6841" t="n">
        <v>12.75</v>
      </c>
      <c r="C6841" t="n">
        <v>15.15</v>
      </c>
    </row>
    <row r="6842">
      <c r="A6842" s="28" t="n">
        <v>29304</v>
      </c>
      <c r="B6842" t="n">
        <v>13.17</v>
      </c>
      <c r="C6842" t="n">
        <v>15.93</v>
      </c>
    </row>
    <row r="6843">
      <c r="A6843" s="28" t="n">
        <v>29305</v>
      </c>
      <c r="B6843" t="n">
        <v>13.1</v>
      </c>
      <c r="C6843" t="n">
        <v>16</v>
      </c>
    </row>
    <row r="6844">
      <c r="A6844" s="28" t="n">
        <v>29306</v>
      </c>
      <c r="B6844" t="n">
        <v>13.03</v>
      </c>
      <c r="C6844" t="n">
        <v>15.93</v>
      </c>
    </row>
    <row r="6845">
      <c r="A6845" s="28" t="n">
        <v>29307</v>
      </c>
      <c r="B6845" t="n">
        <v>12.97</v>
      </c>
      <c r="C6845" t="n">
        <v>15.12</v>
      </c>
    </row>
    <row r="6846">
      <c r="A6846" s="28" t="n">
        <v>29308</v>
      </c>
      <c r="B6846" t="n">
        <v>12.72</v>
      </c>
      <c r="C6846" t="n">
        <v>14.75</v>
      </c>
    </row>
    <row r="6847">
      <c r="A6847" s="28" t="n">
        <v>29311</v>
      </c>
      <c r="B6847" t="n">
        <v>12.64</v>
      </c>
      <c r="C6847" t="n">
        <v>14.24</v>
      </c>
    </row>
    <row r="6848">
      <c r="A6848" s="28" t="n">
        <v>29312</v>
      </c>
      <c r="B6848" t="n">
        <v>12.69</v>
      </c>
      <c r="C6848" t="n">
        <v>15.03</v>
      </c>
    </row>
    <row r="6849">
      <c r="A6849" s="28" t="n">
        <v>29313</v>
      </c>
      <c r="B6849" t="n">
        <v>12.63</v>
      </c>
      <c r="C6849" t="n">
        <v>14.88</v>
      </c>
    </row>
    <row r="6850">
      <c r="A6850" s="28" t="n">
        <v>29314</v>
      </c>
      <c r="B6850" t="n">
        <v>12.52</v>
      </c>
      <c r="C6850" t="n">
        <v>14.97</v>
      </c>
    </row>
    <row r="6851">
      <c r="A6851" s="28" t="n">
        <v>29315</v>
      </c>
      <c r="B6851" t="n">
        <v>0</v>
      </c>
      <c r="C6851" t="n">
        <v>0</v>
      </c>
    </row>
    <row r="6852">
      <c r="A6852" s="28" t="n">
        <v>29318</v>
      </c>
      <c r="B6852" t="n">
        <v>12.13</v>
      </c>
      <c r="C6852" t="n">
        <v>14.41</v>
      </c>
    </row>
    <row r="6853">
      <c r="A6853" s="28" t="n">
        <v>29319</v>
      </c>
      <c r="B6853" t="n">
        <v>12.21</v>
      </c>
      <c r="C6853" t="n">
        <v>14.48</v>
      </c>
    </row>
    <row r="6854">
      <c r="A6854" s="28" t="n">
        <v>29320</v>
      </c>
      <c r="B6854" t="n">
        <v>12.06</v>
      </c>
      <c r="C6854" t="n">
        <v>14.31</v>
      </c>
    </row>
    <row r="6855">
      <c r="A6855" s="28" t="n">
        <v>29321</v>
      </c>
      <c r="B6855" t="n">
        <v>12.06</v>
      </c>
      <c r="C6855" t="n">
        <v>14.3</v>
      </c>
    </row>
    <row r="6856">
      <c r="A6856" s="28" t="n">
        <v>29322</v>
      </c>
      <c r="B6856" t="n">
        <v>11.79</v>
      </c>
      <c r="C6856" t="n">
        <v>13.99</v>
      </c>
    </row>
    <row r="6857">
      <c r="A6857" s="28" t="n">
        <v>29325</v>
      </c>
      <c r="B6857" t="n">
        <v>11.62</v>
      </c>
      <c r="C6857" t="n">
        <v>13.84</v>
      </c>
    </row>
    <row r="6858">
      <c r="A6858" s="28" t="n">
        <v>29326</v>
      </c>
      <c r="B6858" t="n">
        <v>11.57</v>
      </c>
      <c r="C6858" t="n">
        <v>13.82</v>
      </c>
    </row>
    <row r="6859">
      <c r="A6859" s="28" t="n">
        <v>29327</v>
      </c>
      <c r="B6859" t="n">
        <v>10.9</v>
      </c>
      <c r="C6859" t="n">
        <v>13.5</v>
      </c>
    </row>
    <row r="6860">
      <c r="A6860" s="28" t="n">
        <v>29328</v>
      </c>
      <c r="B6860" t="n">
        <v>11.13</v>
      </c>
      <c r="C6860" t="n">
        <v>13.5</v>
      </c>
    </row>
    <row r="6861">
      <c r="A6861" s="28" t="n">
        <v>29329</v>
      </c>
      <c r="B6861" t="n">
        <v>11.05</v>
      </c>
      <c r="C6861" t="n">
        <v>13.2</v>
      </c>
    </row>
    <row r="6862">
      <c r="A6862" s="28" t="n">
        <v>29332</v>
      </c>
      <c r="B6862" t="n">
        <v>10.9</v>
      </c>
      <c r="C6862" t="n">
        <v>12.93</v>
      </c>
    </row>
    <row r="6863">
      <c r="A6863" s="28" t="n">
        <v>29333</v>
      </c>
      <c r="B6863" t="n">
        <v>10.82</v>
      </c>
      <c r="C6863" t="n">
        <v>12.25</v>
      </c>
    </row>
    <row r="6864">
      <c r="A6864" s="28" t="n">
        <v>29334</v>
      </c>
      <c r="B6864" t="n">
        <v>10.89</v>
      </c>
      <c r="C6864" t="n">
        <v>12.01</v>
      </c>
    </row>
    <row r="6865">
      <c r="A6865" s="28" t="n">
        <v>29335</v>
      </c>
      <c r="B6865" t="n">
        <v>10.96</v>
      </c>
      <c r="C6865" t="n">
        <v>11.91</v>
      </c>
    </row>
    <row r="6866">
      <c r="A6866" s="28" t="n">
        <v>29336</v>
      </c>
      <c r="B6866" t="n">
        <v>10.95</v>
      </c>
      <c r="C6866" t="n">
        <v>11.81</v>
      </c>
    </row>
    <row r="6867">
      <c r="A6867" s="28" t="n">
        <v>29339</v>
      </c>
      <c r="B6867" t="n">
        <v>10.63</v>
      </c>
      <c r="C6867" t="n">
        <v>11</v>
      </c>
    </row>
    <row r="6868">
      <c r="A6868" s="28" t="n">
        <v>29340</v>
      </c>
      <c r="B6868" t="n">
        <v>10.67</v>
      </c>
      <c r="C6868" t="n">
        <v>10.74</v>
      </c>
    </row>
    <row r="6869">
      <c r="A6869" s="28" t="n">
        <v>29341</v>
      </c>
      <c r="B6869" t="n">
        <v>10.76</v>
      </c>
      <c r="C6869" t="n">
        <v>10.39</v>
      </c>
    </row>
    <row r="6870">
      <c r="A6870" s="28" t="n">
        <v>29342</v>
      </c>
      <c r="B6870" t="n">
        <v>10.57</v>
      </c>
      <c r="C6870" t="n">
        <v>10.36</v>
      </c>
    </row>
    <row r="6871">
      <c r="A6871" s="28" t="n">
        <v>29343</v>
      </c>
      <c r="B6871" t="n">
        <v>10.24</v>
      </c>
      <c r="C6871" t="n">
        <v>9.85</v>
      </c>
    </row>
    <row r="6872">
      <c r="A6872" s="28" t="n">
        <v>29346</v>
      </c>
      <c r="B6872" t="n">
        <v>10.18</v>
      </c>
      <c r="C6872" t="n">
        <v>9.66</v>
      </c>
    </row>
    <row r="6873">
      <c r="A6873" s="28" t="n">
        <v>29347</v>
      </c>
      <c r="B6873" t="n">
        <v>9.800000000000001</v>
      </c>
      <c r="C6873" t="n">
        <v>9.5</v>
      </c>
    </row>
    <row r="6874">
      <c r="A6874" s="28" t="n">
        <v>29348</v>
      </c>
      <c r="B6874" t="n">
        <v>9.960000000000001</v>
      </c>
      <c r="C6874" t="n">
        <v>8.98</v>
      </c>
    </row>
    <row r="6875">
      <c r="A6875" s="28" t="n">
        <v>29349</v>
      </c>
      <c r="B6875" t="n">
        <v>10.18</v>
      </c>
      <c r="C6875" t="n">
        <v>8.75</v>
      </c>
    </row>
    <row r="6876">
      <c r="A6876" s="28" t="n">
        <v>29350</v>
      </c>
      <c r="B6876" t="n">
        <v>10.3</v>
      </c>
      <c r="C6876" t="n">
        <v>8.81</v>
      </c>
    </row>
    <row r="6877">
      <c r="A6877" s="28" t="n">
        <v>29353</v>
      </c>
      <c r="B6877" t="n">
        <v>10.3</v>
      </c>
      <c r="C6877" t="n">
        <v>8.6</v>
      </c>
    </row>
    <row r="6878">
      <c r="A6878" s="28" t="n">
        <v>29354</v>
      </c>
      <c r="B6878" t="n">
        <v>10.13</v>
      </c>
      <c r="C6878" t="n">
        <v>8.279999999999999</v>
      </c>
    </row>
    <row r="6879">
      <c r="A6879" s="28" t="n">
        <v>29355</v>
      </c>
      <c r="B6879" t="n">
        <v>10.14</v>
      </c>
      <c r="C6879" t="n">
        <v>8.140000000000001</v>
      </c>
    </row>
    <row r="6880">
      <c r="A6880" s="28" t="n">
        <v>29356</v>
      </c>
      <c r="B6880" t="n">
        <v>10.31</v>
      </c>
      <c r="C6880" t="n">
        <v>8.609999999999999</v>
      </c>
    </row>
    <row r="6881">
      <c r="A6881" s="28" t="n">
        <v>29357</v>
      </c>
      <c r="B6881" t="n">
        <v>10.37</v>
      </c>
      <c r="C6881" t="n">
        <v>9.039999999999999</v>
      </c>
    </row>
    <row r="6882">
      <c r="A6882" s="28" t="n">
        <v>29360</v>
      </c>
      <c r="B6882" t="n">
        <v>10.53</v>
      </c>
      <c r="C6882" t="n">
        <v>8.890000000000001</v>
      </c>
    </row>
    <row r="6883">
      <c r="A6883" s="28" t="n">
        <v>29361</v>
      </c>
      <c r="B6883" t="n">
        <v>10.22</v>
      </c>
      <c r="C6883" t="n">
        <v>8.289999999999999</v>
      </c>
    </row>
    <row r="6884">
      <c r="A6884" s="28" t="n">
        <v>29362</v>
      </c>
      <c r="B6884" t="n">
        <v>10.08</v>
      </c>
      <c r="C6884" t="n">
        <v>8.06</v>
      </c>
    </row>
    <row r="6885">
      <c r="A6885" s="28" t="n">
        <v>29363</v>
      </c>
      <c r="B6885" t="n">
        <v>10.1</v>
      </c>
      <c r="C6885" t="n">
        <v>7.95</v>
      </c>
    </row>
    <row r="6886">
      <c r="A6886" s="28" t="n">
        <v>29364</v>
      </c>
      <c r="B6886" t="n">
        <v>9.85</v>
      </c>
      <c r="C6886" t="n">
        <v>7.54</v>
      </c>
    </row>
    <row r="6887">
      <c r="A6887" s="28" t="n">
        <v>29367</v>
      </c>
      <c r="B6887" t="n">
        <v>0</v>
      </c>
      <c r="C6887" t="n">
        <v>0</v>
      </c>
    </row>
    <row r="6888">
      <c r="A6888" s="28" t="n">
        <v>29368</v>
      </c>
      <c r="B6888" t="n">
        <v>9.960000000000001</v>
      </c>
      <c r="C6888" t="n">
        <v>7.52</v>
      </c>
    </row>
    <row r="6889">
      <c r="A6889" s="28" t="n">
        <v>29369</v>
      </c>
      <c r="B6889" t="n">
        <v>10.1</v>
      </c>
      <c r="C6889" t="n">
        <v>7.66</v>
      </c>
    </row>
    <row r="6890">
      <c r="A6890" s="28" t="n">
        <v>29370</v>
      </c>
      <c r="B6890" t="n">
        <v>10.24</v>
      </c>
      <c r="C6890" t="n">
        <v>7.88</v>
      </c>
    </row>
    <row r="6891">
      <c r="A6891" s="28" t="n">
        <v>29371</v>
      </c>
      <c r="B6891" t="n">
        <v>10.25</v>
      </c>
      <c r="C6891" t="n">
        <v>7.75</v>
      </c>
    </row>
    <row r="6892">
      <c r="A6892" s="28" t="n">
        <v>29374</v>
      </c>
      <c r="B6892" t="n">
        <v>10.31</v>
      </c>
      <c r="C6892" t="n">
        <v>7.9</v>
      </c>
    </row>
    <row r="6893">
      <c r="A6893" s="28" t="n">
        <v>29375</v>
      </c>
      <c r="B6893" t="n">
        <v>10.16</v>
      </c>
      <c r="C6893" t="n">
        <v>7.61</v>
      </c>
    </row>
    <row r="6894">
      <c r="A6894" s="28" t="n">
        <v>29376</v>
      </c>
      <c r="B6894" t="n">
        <v>10.07</v>
      </c>
      <c r="C6894" t="n">
        <v>7.41</v>
      </c>
    </row>
    <row r="6895">
      <c r="A6895" s="28" t="n">
        <v>29377</v>
      </c>
      <c r="B6895" t="n">
        <v>10.02</v>
      </c>
      <c r="C6895" t="n">
        <v>7.36</v>
      </c>
    </row>
    <row r="6896">
      <c r="A6896" s="28" t="n">
        <v>29378</v>
      </c>
      <c r="B6896" t="n">
        <v>9.81</v>
      </c>
      <c r="C6896" t="n">
        <v>7.29</v>
      </c>
    </row>
    <row r="6897">
      <c r="A6897" s="28" t="n">
        <v>29381</v>
      </c>
      <c r="B6897" t="n">
        <v>9.73</v>
      </c>
      <c r="C6897" t="n">
        <v>6.87</v>
      </c>
    </row>
    <row r="6898">
      <c r="A6898" s="28" t="n">
        <v>29382</v>
      </c>
      <c r="B6898" t="n">
        <v>9.83</v>
      </c>
      <c r="C6898" t="n">
        <v>6.64</v>
      </c>
    </row>
    <row r="6899">
      <c r="A6899" s="28" t="n">
        <v>29383</v>
      </c>
      <c r="B6899" t="n">
        <v>9.699999999999999</v>
      </c>
      <c r="C6899" t="n">
        <v>6.3</v>
      </c>
    </row>
    <row r="6900">
      <c r="A6900" s="28" t="n">
        <v>29384</v>
      </c>
      <c r="B6900" t="n">
        <v>9.529999999999999</v>
      </c>
      <c r="C6900" t="n">
        <v>6.2</v>
      </c>
    </row>
    <row r="6901">
      <c r="A6901" s="28" t="n">
        <v>29385</v>
      </c>
      <c r="B6901" t="n">
        <v>9.51</v>
      </c>
      <c r="C6901" t="n">
        <v>6.18</v>
      </c>
    </row>
    <row r="6902">
      <c r="A6902" s="28" t="n">
        <v>29388</v>
      </c>
      <c r="B6902" t="n">
        <v>9.470000000000001</v>
      </c>
      <c r="C6902" t="n">
        <v>6.37</v>
      </c>
    </row>
    <row r="6903">
      <c r="A6903" s="28" t="n">
        <v>29389</v>
      </c>
      <c r="B6903" t="n">
        <v>9.49</v>
      </c>
      <c r="C6903" t="n">
        <v>6.74</v>
      </c>
    </row>
    <row r="6904">
      <c r="A6904" s="28" t="n">
        <v>29390</v>
      </c>
      <c r="B6904" t="n">
        <v>9.56</v>
      </c>
      <c r="C6904" t="n">
        <v>6.97</v>
      </c>
    </row>
    <row r="6905">
      <c r="A6905" s="28" t="n">
        <v>29391</v>
      </c>
      <c r="B6905" t="n">
        <v>9.56</v>
      </c>
      <c r="C6905" t="n">
        <v>6.98</v>
      </c>
    </row>
    <row r="6906">
      <c r="A6906" s="28" t="n">
        <v>29392</v>
      </c>
      <c r="B6906" t="n">
        <v>9.49</v>
      </c>
      <c r="C6906" t="n">
        <v>6.74</v>
      </c>
    </row>
    <row r="6907">
      <c r="A6907" s="28" t="n">
        <v>29395</v>
      </c>
      <c r="B6907" t="n">
        <v>9.630000000000001</v>
      </c>
      <c r="C6907" t="n">
        <v>7.14</v>
      </c>
    </row>
    <row r="6908">
      <c r="A6908" s="28" t="n">
        <v>29396</v>
      </c>
      <c r="B6908" t="n">
        <v>9.68</v>
      </c>
      <c r="C6908" t="n">
        <v>7.3</v>
      </c>
    </row>
    <row r="6909">
      <c r="A6909" s="28" t="n">
        <v>29397</v>
      </c>
      <c r="B6909" t="n">
        <v>9.789999999999999</v>
      </c>
      <c r="C6909" t="n">
        <v>7.42</v>
      </c>
    </row>
    <row r="6910">
      <c r="A6910" s="28" t="n">
        <v>29398</v>
      </c>
      <c r="B6910" t="n">
        <v>9.869999999999999</v>
      </c>
      <c r="C6910" t="n">
        <v>7.56</v>
      </c>
    </row>
    <row r="6911">
      <c r="A6911" s="28" t="n">
        <v>29399</v>
      </c>
      <c r="B6911" t="n">
        <v>10.04</v>
      </c>
      <c r="C6911" t="n">
        <v>7.7</v>
      </c>
    </row>
    <row r="6912">
      <c r="A6912" s="28" t="n">
        <v>29402</v>
      </c>
      <c r="B6912" t="n">
        <v>10.09</v>
      </c>
      <c r="C6912" t="n">
        <v>7.88</v>
      </c>
    </row>
    <row r="6913">
      <c r="A6913" s="28" t="n">
        <v>29403</v>
      </c>
      <c r="B6913" t="n">
        <v>10.13</v>
      </c>
      <c r="C6913" t="n">
        <v>8.039999999999999</v>
      </c>
    </row>
    <row r="6914">
      <c r="A6914" s="28" t="n">
        <v>29404</v>
      </c>
      <c r="B6914" t="n">
        <v>10.19</v>
      </c>
      <c r="C6914" t="n">
        <v>7.94</v>
      </c>
    </row>
    <row r="6915">
      <c r="A6915" s="28" t="n">
        <v>29405</v>
      </c>
      <c r="B6915" t="n">
        <v>10.01</v>
      </c>
      <c r="C6915" t="n">
        <v>7.81</v>
      </c>
    </row>
    <row r="6916">
      <c r="A6916" s="28" t="n">
        <v>29406</v>
      </c>
      <c r="B6916" t="n">
        <v>0</v>
      </c>
      <c r="C6916" t="n">
        <v>0</v>
      </c>
    </row>
    <row r="6917">
      <c r="A6917" s="28" t="n">
        <v>29409</v>
      </c>
      <c r="B6917" t="n">
        <v>10.2</v>
      </c>
      <c r="C6917" t="n">
        <v>8.24</v>
      </c>
    </row>
    <row r="6918">
      <c r="A6918" s="28" t="n">
        <v>29410</v>
      </c>
      <c r="B6918" t="n">
        <v>10.09</v>
      </c>
      <c r="C6918" t="n">
        <v>8.06</v>
      </c>
    </row>
    <row r="6919">
      <c r="A6919" s="28" t="n">
        <v>29411</v>
      </c>
      <c r="B6919" t="n">
        <v>10.14</v>
      </c>
      <c r="C6919" t="n">
        <v>7.97</v>
      </c>
    </row>
    <row r="6920">
      <c r="A6920" s="28" t="n">
        <v>29412</v>
      </c>
      <c r="B6920" t="n">
        <v>10.21</v>
      </c>
      <c r="C6920" t="n">
        <v>7.96</v>
      </c>
    </row>
    <row r="6921">
      <c r="A6921" s="28" t="n">
        <v>29413</v>
      </c>
      <c r="B6921" t="n">
        <v>10.28</v>
      </c>
      <c r="C6921" t="n">
        <v>8.17</v>
      </c>
    </row>
    <row r="6922">
      <c r="A6922" s="28" t="n">
        <v>29416</v>
      </c>
      <c r="B6922" t="n">
        <v>10.33</v>
      </c>
      <c r="C6922" t="n">
        <v>8.18</v>
      </c>
    </row>
    <row r="6923">
      <c r="A6923" s="28" t="n">
        <v>29417</v>
      </c>
      <c r="B6923" t="n">
        <v>10.17</v>
      </c>
      <c r="C6923" t="n">
        <v>8.050000000000001</v>
      </c>
    </row>
    <row r="6924">
      <c r="A6924" s="28" t="n">
        <v>29418</v>
      </c>
      <c r="B6924" t="n">
        <v>10.07</v>
      </c>
      <c r="C6924" t="n">
        <v>7.76</v>
      </c>
    </row>
    <row r="6925">
      <c r="A6925" s="28" t="n">
        <v>29419</v>
      </c>
      <c r="B6925" t="n">
        <v>10.21</v>
      </c>
      <c r="C6925" t="n">
        <v>7.96</v>
      </c>
    </row>
    <row r="6926">
      <c r="A6926" s="28" t="n">
        <v>29420</v>
      </c>
      <c r="B6926" t="n">
        <v>10.2</v>
      </c>
      <c r="C6926" t="n">
        <v>7.96</v>
      </c>
    </row>
    <row r="6927">
      <c r="A6927" s="28" t="n">
        <v>29423</v>
      </c>
      <c r="B6927" t="n">
        <v>10.13</v>
      </c>
      <c r="C6927" t="n">
        <v>7.86</v>
      </c>
    </row>
    <row r="6928">
      <c r="A6928" s="28" t="n">
        <v>29424</v>
      </c>
      <c r="B6928" t="n">
        <v>10.18</v>
      </c>
      <c r="C6928" t="n">
        <v>7.88</v>
      </c>
    </row>
    <row r="6929">
      <c r="A6929" s="28" t="n">
        <v>29425</v>
      </c>
      <c r="B6929" t="n">
        <v>10.12</v>
      </c>
      <c r="C6929" t="n">
        <v>7.83</v>
      </c>
    </row>
    <row r="6930">
      <c r="A6930" s="28" t="n">
        <v>29426</v>
      </c>
      <c r="B6930" t="n">
        <v>10.24</v>
      </c>
      <c r="C6930" t="n">
        <v>8.01</v>
      </c>
    </row>
    <row r="6931">
      <c r="A6931" s="28" t="n">
        <v>29427</v>
      </c>
      <c r="B6931" t="n">
        <v>10.35</v>
      </c>
      <c r="C6931" t="n">
        <v>8.050000000000001</v>
      </c>
    </row>
    <row r="6932">
      <c r="A6932" s="28" t="n">
        <v>29430</v>
      </c>
      <c r="B6932" t="n">
        <v>10.46</v>
      </c>
      <c r="C6932" t="n">
        <v>8.210000000000001</v>
      </c>
    </row>
    <row r="6933">
      <c r="A6933" s="28" t="n">
        <v>29431</v>
      </c>
      <c r="B6933" t="n">
        <v>10.45</v>
      </c>
      <c r="C6933" t="n">
        <v>8.300000000000001</v>
      </c>
    </row>
    <row r="6934">
      <c r="A6934" s="28" t="n">
        <v>29432</v>
      </c>
      <c r="B6934" t="n">
        <v>10.53</v>
      </c>
      <c r="C6934" t="n">
        <v>8.380000000000001</v>
      </c>
    </row>
    <row r="6935">
      <c r="A6935" s="28" t="n">
        <v>29433</v>
      </c>
      <c r="B6935" t="n">
        <v>10.76</v>
      </c>
      <c r="C6935" t="n">
        <v>8.619999999999999</v>
      </c>
    </row>
    <row r="6936">
      <c r="A6936" s="28" t="n">
        <v>29434</v>
      </c>
      <c r="B6936" t="n">
        <v>10.76</v>
      </c>
      <c r="C6936" t="n">
        <v>8.699999999999999</v>
      </c>
    </row>
    <row r="6937">
      <c r="A6937" s="28" t="n">
        <v>29437</v>
      </c>
      <c r="B6937" t="n">
        <v>10.69</v>
      </c>
      <c r="C6937" t="n">
        <v>8.640000000000001</v>
      </c>
    </row>
    <row r="6938">
      <c r="A6938" s="28" t="n">
        <v>29438</v>
      </c>
      <c r="B6938" t="n">
        <v>10.7</v>
      </c>
      <c r="C6938" t="n">
        <v>8.720000000000001</v>
      </c>
    </row>
    <row r="6939">
      <c r="A6939" s="28" t="n">
        <v>29439</v>
      </c>
      <c r="B6939" t="n">
        <v>10.8</v>
      </c>
      <c r="C6939" t="n">
        <v>8.550000000000001</v>
      </c>
    </row>
    <row r="6940">
      <c r="A6940" s="28" t="n">
        <v>29440</v>
      </c>
      <c r="B6940" t="n">
        <v>10.71</v>
      </c>
      <c r="C6940" t="n">
        <v>8.380000000000001</v>
      </c>
    </row>
    <row r="6941">
      <c r="A6941" s="28" t="n">
        <v>29441</v>
      </c>
      <c r="B6941" t="n">
        <v>10.87</v>
      </c>
      <c r="C6941" t="n">
        <v>8.619999999999999</v>
      </c>
    </row>
    <row r="6942">
      <c r="A6942" s="28" t="n">
        <v>29444</v>
      </c>
      <c r="B6942" t="n">
        <v>11.03</v>
      </c>
      <c r="C6942" t="n">
        <v>8.83</v>
      </c>
    </row>
    <row r="6943">
      <c r="A6943" s="28" t="n">
        <v>29445</v>
      </c>
      <c r="B6943" t="n">
        <v>10.98</v>
      </c>
      <c r="C6943" t="n">
        <v>8.640000000000001</v>
      </c>
    </row>
    <row r="6944">
      <c r="A6944" s="28" t="n">
        <v>29446</v>
      </c>
      <c r="B6944" t="n">
        <v>10.89</v>
      </c>
      <c r="C6944" t="n">
        <v>8.550000000000001</v>
      </c>
    </row>
    <row r="6945">
      <c r="A6945" s="28" t="n">
        <v>29447</v>
      </c>
      <c r="B6945" t="n">
        <v>10.9</v>
      </c>
      <c r="C6945" t="n">
        <v>8.449999999999999</v>
      </c>
    </row>
    <row r="6946">
      <c r="A6946" s="28" t="n">
        <v>29448</v>
      </c>
      <c r="B6946" t="n">
        <v>10.86</v>
      </c>
      <c r="C6946" t="n">
        <v>8.539999999999999</v>
      </c>
    </row>
    <row r="6947">
      <c r="A6947" s="28" t="n">
        <v>29451</v>
      </c>
      <c r="B6947" t="n">
        <v>11.13</v>
      </c>
      <c r="C6947" t="n">
        <v>9.109999999999999</v>
      </c>
    </row>
    <row r="6948">
      <c r="A6948" s="28" t="n">
        <v>29452</v>
      </c>
      <c r="B6948" t="n">
        <v>11.24</v>
      </c>
      <c r="C6948" t="n">
        <v>9.380000000000001</v>
      </c>
    </row>
    <row r="6949">
      <c r="A6949" s="28" t="n">
        <v>29453</v>
      </c>
      <c r="B6949" t="n">
        <v>11.22</v>
      </c>
      <c r="C6949" t="n">
        <v>9.31</v>
      </c>
    </row>
    <row r="6950">
      <c r="A6950" s="28" t="n">
        <v>29454</v>
      </c>
      <c r="B6950" t="n">
        <v>11.3</v>
      </c>
      <c r="C6950" t="n">
        <v>9.699999999999999</v>
      </c>
    </row>
    <row r="6951">
      <c r="A6951" s="28" t="n">
        <v>29455</v>
      </c>
      <c r="B6951" t="n">
        <v>11.13</v>
      </c>
      <c r="C6951" t="n">
        <v>9.539999999999999</v>
      </c>
    </row>
    <row r="6952">
      <c r="A6952" s="28" t="n">
        <v>29458</v>
      </c>
      <c r="B6952" t="n">
        <v>11.4</v>
      </c>
      <c r="C6952" t="n">
        <v>9.779999999999999</v>
      </c>
    </row>
    <row r="6953">
      <c r="A6953" s="28" t="n">
        <v>29459</v>
      </c>
      <c r="B6953" t="n">
        <v>11.42</v>
      </c>
      <c r="C6953" t="n">
        <v>9.94</v>
      </c>
    </row>
    <row r="6954">
      <c r="A6954" s="28" t="n">
        <v>29460</v>
      </c>
      <c r="B6954" t="n">
        <v>11.67</v>
      </c>
      <c r="C6954" t="n">
        <v>10.07</v>
      </c>
    </row>
    <row r="6955">
      <c r="A6955" s="28" t="n">
        <v>29461</v>
      </c>
      <c r="B6955" t="n">
        <v>11.89</v>
      </c>
      <c r="C6955" t="n">
        <v>10.32</v>
      </c>
    </row>
    <row r="6956">
      <c r="A6956" s="28" t="n">
        <v>29462</v>
      </c>
      <c r="B6956" t="n">
        <v>11.55</v>
      </c>
      <c r="C6956" t="n">
        <v>9.960000000000001</v>
      </c>
    </row>
    <row r="6957">
      <c r="A6957" s="28" t="n">
        <v>29465</v>
      </c>
      <c r="B6957" t="n">
        <v>0</v>
      </c>
      <c r="C6957" t="n">
        <v>0</v>
      </c>
    </row>
    <row r="6958">
      <c r="A6958" s="28" t="n">
        <v>29466</v>
      </c>
      <c r="B6958" t="n">
        <v>11.32</v>
      </c>
      <c r="C6958" t="n">
        <v>9.869999999999999</v>
      </c>
    </row>
    <row r="6959">
      <c r="A6959" s="28" t="n">
        <v>29467</v>
      </c>
      <c r="B6959" t="n">
        <v>11.08</v>
      </c>
      <c r="C6959" t="n">
        <v>9.74</v>
      </c>
    </row>
    <row r="6960">
      <c r="A6960" s="28" t="n">
        <v>29468</v>
      </c>
      <c r="B6960" t="n">
        <v>11.16</v>
      </c>
      <c r="C6960" t="n">
        <v>9.75</v>
      </c>
    </row>
    <row r="6961">
      <c r="A6961" s="28" t="n">
        <v>29469</v>
      </c>
      <c r="B6961" t="n">
        <v>11.21</v>
      </c>
      <c r="C6961" t="n">
        <v>9.77</v>
      </c>
    </row>
    <row r="6962">
      <c r="A6962" s="28" t="n">
        <v>29472</v>
      </c>
      <c r="B6962" t="n">
        <v>11.29</v>
      </c>
      <c r="C6962" t="n">
        <v>10.1</v>
      </c>
    </row>
    <row r="6963">
      <c r="A6963" s="28" t="n">
        <v>29473</v>
      </c>
      <c r="B6963" t="n">
        <v>11.19</v>
      </c>
      <c r="C6963" t="n">
        <v>10.04</v>
      </c>
    </row>
    <row r="6964">
      <c r="A6964" s="28" t="n">
        <v>29474</v>
      </c>
      <c r="B6964" t="n">
        <v>11.14</v>
      </c>
      <c r="C6964" t="n">
        <v>9.94</v>
      </c>
    </row>
    <row r="6965">
      <c r="A6965" s="28" t="n">
        <v>29475</v>
      </c>
      <c r="B6965" t="n">
        <v>11.32</v>
      </c>
      <c r="C6965" t="n">
        <v>10.14</v>
      </c>
    </row>
    <row r="6966">
      <c r="A6966" s="28" t="n">
        <v>29476</v>
      </c>
      <c r="B6966" t="n">
        <v>11.37</v>
      </c>
      <c r="C6966" t="n">
        <v>10.22</v>
      </c>
    </row>
    <row r="6967">
      <c r="A6967" s="28" t="n">
        <v>29479</v>
      </c>
      <c r="B6967" t="n">
        <v>11.62</v>
      </c>
      <c r="C6967" t="n">
        <v>10.47</v>
      </c>
    </row>
    <row r="6968">
      <c r="A6968" s="28" t="n">
        <v>29480</v>
      </c>
      <c r="B6968" t="n">
        <v>11.52</v>
      </c>
      <c r="C6968" t="n">
        <v>10.29</v>
      </c>
    </row>
    <row r="6969">
      <c r="A6969" s="28" t="n">
        <v>29481</v>
      </c>
      <c r="B6969" t="n">
        <v>11.57</v>
      </c>
      <c r="C6969" t="n">
        <v>10.34</v>
      </c>
    </row>
    <row r="6970">
      <c r="A6970" s="28" t="n">
        <v>29482</v>
      </c>
      <c r="B6970" t="n">
        <v>11.53</v>
      </c>
      <c r="C6970" t="n">
        <v>10.15</v>
      </c>
    </row>
    <row r="6971">
      <c r="A6971" s="28" t="n">
        <v>29483</v>
      </c>
      <c r="B6971" t="n">
        <v>11.33</v>
      </c>
      <c r="C6971" t="n">
        <v>10.03</v>
      </c>
    </row>
    <row r="6972">
      <c r="A6972" s="28" t="n">
        <v>29486</v>
      </c>
      <c r="B6972" t="n">
        <v>11.69</v>
      </c>
      <c r="C6972" t="n">
        <v>10.56</v>
      </c>
    </row>
    <row r="6973">
      <c r="A6973" s="28" t="n">
        <v>29487</v>
      </c>
      <c r="B6973" t="n">
        <v>11.76</v>
      </c>
      <c r="C6973" t="n">
        <v>10.33</v>
      </c>
    </row>
    <row r="6974">
      <c r="A6974" s="28" t="n">
        <v>29488</v>
      </c>
      <c r="B6974" t="n">
        <v>11.75</v>
      </c>
      <c r="C6974" t="n">
        <v>10.16</v>
      </c>
    </row>
    <row r="6975">
      <c r="A6975" s="28" t="n">
        <v>29489</v>
      </c>
      <c r="B6975" t="n">
        <v>11.91</v>
      </c>
      <c r="C6975" t="n">
        <v>10.36</v>
      </c>
    </row>
    <row r="6976">
      <c r="A6976" s="28" t="n">
        <v>29490</v>
      </c>
      <c r="B6976" t="n">
        <v>11.99</v>
      </c>
      <c r="C6976" t="n">
        <v>10.82</v>
      </c>
    </row>
    <row r="6977">
      <c r="A6977" s="28" t="n">
        <v>29493</v>
      </c>
      <c r="B6977" t="n">
        <v>12.07</v>
      </c>
      <c r="C6977" t="n">
        <v>11.18</v>
      </c>
    </row>
    <row r="6978">
      <c r="A6978" s="28" t="n">
        <v>29494</v>
      </c>
      <c r="B6978" t="n">
        <v>11.86</v>
      </c>
      <c r="C6978" t="n">
        <v>11.44</v>
      </c>
    </row>
    <row r="6979">
      <c r="A6979" s="28" t="n">
        <v>29495</v>
      </c>
      <c r="B6979" t="n">
        <v>11.78</v>
      </c>
      <c r="C6979" t="n">
        <v>11.45</v>
      </c>
    </row>
    <row r="6980">
      <c r="A6980" s="28" t="n">
        <v>29496</v>
      </c>
      <c r="B6980" t="n">
        <v>11.83</v>
      </c>
      <c r="C6980" t="n">
        <v>11.53</v>
      </c>
    </row>
    <row r="6981">
      <c r="A6981" s="28" t="n">
        <v>29497</v>
      </c>
      <c r="B6981" t="n">
        <v>11.4</v>
      </c>
      <c r="C6981" t="n">
        <v>11.33</v>
      </c>
    </row>
    <row r="6982">
      <c r="A6982" s="28" t="n">
        <v>29500</v>
      </c>
      <c r="B6982" t="n">
        <v>11.35</v>
      </c>
      <c r="C6982" t="n">
        <v>11.14</v>
      </c>
    </row>
    <row r="6983">
      <c r="A6983" s="28" t="n">
        <v>29501</v>
      </c>
      <c r="B6983" t="n">
        <v>11.43</v>
      </c>
      <c r="C6983" t="n">
        <v>11.3</v>
      </c>
    </row>
    <row r="6984">
      <c r="A6984" s="28" t="n">
        <v>29502</v>
      </c>
      <c r="B6984" t="n">
        <v>11.51</v>
      </c>
      <c r="C6984" t="n">
        <v>11.38</v>
      </c>
    </row>
    <row r="6985">
      <c r="A6985" s="28" t="n">
        <v>29503</v>
      </c>
      <c r="B6985" t="n">
        <v>11.39</v>
      </c>
      <c r="C6985" t="n">
        <v>11.14</v>
      </c>
    </row>
    <row r="6986">
      <c r="A6986" s="28" t="n">
        <v>29504</v>
      </c>
      <c r="B6986" t="n">
        <v>11.44</v>
      </c>
      <c r="C6986" t="n">
        <v>11.25</v>
      </c>
    </row>
    <row r="6987">
      <c r="A6987" s="28" t="n">
        <v>29507</v>
      </c>
      <c r="B6987" t="n">
        <v>0</v>
      </c>
      <c r="C6987" t="n">
        <v>0</v>
      </c>
    </row>
    <row r="6988">
      <c r="A6988" s="28" t="n">
        <v>29508</v>
      </c>
      <c r="B6988" t="n">
        <v>11.37</v>
      </c>
      <c r="C6988" t="n">
        <v>11.18</v>
      </c>
    </row>
    <row r="6989">
      <c r="A6989" s="28" t="n">
        <v>29509</v>
      </c>
      <c r="B6989" t="n">
        <v>11.29</v>
      </c>
      <c r="C6989" t="n">
        <v>10.91</v>
      </c>
    </row>
    <row r="6990">
      <c r="A6990" s="28" t="n">
        <v>29510</v>
      </c>
      <c r="B6990" t="n">
        <v>11.47</v>
      </c>
      <c r="C6990" t="n">
        <v>10.98</v>
      </c>
    </row>
    <row r="6991">
      <c r="A6991" s="28" t="n">
        <v>29511</v>
      </c>
      <c r="B6991" t="n">
        <v>11.62</v>
      </c>
      <c r="C6991" t="n">
        <v>11.2</v>
      </c>
    </row>
    <row r="6992">
      <c r="A6992" s="28" t="n">
        <v>29514</v>
      </c>
      <c r="B6992" t="n">
        <v>11.64</v>
      </c>
      <c r="C6992" t="n">
        <v>11.31</v>
      </c>
    </row>
    <row r="6993">
      <c r="A6993" s="28" t="n">
        <v>29515</v>
      </c>
      <c r="B6993" t="n">
        <v>11.7</v>
      </c>
      <c r="C6993" t="n">
        <v>11.64</v>
      </c>
    </row>
    <row r="6994">
      <c r="A6994" s="28" t="n">
        <v>29516</v>
      </c>
      <c r="B6994" t="n">
        <v>11.88</v>
      </c>
      <c r="C6994" t="n">
        <v>11.81</v>
      </c>
    </row>
    <row r="6995">
      <c r="A6995" s="28" t="n">
        <v>29517</v>
      </c>
      <c r="B6995" t="n">
        <v>11.82</v>
      </c>
      <c r="C6995" t="n">
        <v>11.79</v>
      </c>
    </row>
    <row r="6996">
      <c r="A6996" s="28" t="n">
        <v>29518</v>
      </c>
      <c r="B6996" t="n">
        <v>11.74</v>
      </c>
      <c r="C6996" t="n">
        <v>11.74</v>
      </c>
    </row>
    <row r="6997">
      <c r="A6997" s="28" t="n">
        <v>29521</v>
      </c>
      <c r="B6997" t="n">
        <v>12.13</v>
      </c>
      <c r="C6997" t="n">
        <v>12.31</v>
      </c>
    </row>
    <row r="6998">
      <c r="A6998" s="28" t="n">
        <v>29522</v>
      </c>
      <c r="B6998" t="n">
        <v>12.32</v>
      </c>
      <c r="C6998" t="n">
        <v>12.49</v>
      </c>
    </row>
    <row r="6999">
      <c r="A6999" s="28" t="n">
        <v>29523</v>
      </c>
      <c r="B6999" t="n">
        <v>12.48</v>
      </c>
      <c r="C6999" t="n">
        <v>12.52</v>
      </c>
    </row>
    <row r="7000">
      <c r="A7000" s="28" t="n">
        <v>29524</v>
      </c>
      <c r="B7000" t="n">
        <v>12.48</v>
      </c>
      <c r="C7000" t="n">
        <v>12.54</v>
      </c>
    </row>
    <row r="7001">
      <c r="A7001" s="28" t="n">
        <v>29525</v>
      </c>
      <c r="B7001" t="n">
        <v>12.46</v>
      </c>
      <c r="C7001" t="n">
        <v>12.71</v>
      </c>
    </row>
    <row r="7002">
      <c r="A7002" s="28" t="n">
        <v>29528</v>
      </c>
      <c r="B7002" t="n">
        <v>12.46</v>
      </c>
      <c r="C7002" t="n">
        <v>13.17</v>
      </c>
    </row>
    <row r="7003">
      <c r="A7003" s="28" t="n">
        <v>29529</v>
      </c>
      <c r="B7003" t="n">
        <v>0</v>
      </c>
      <c r="C7003" t="n">
        <v>0</v>
      </c>
    </row>
    <row r="7004">
      <c r="A7004" s="28" t="n">
        <v>29530</v>
      </c>
      <c r="B7004" t="n">
        <v>12.61</v>
      </c>
      <c r="C7004" t="n">
        <v>13.4</v>
      </c>
    </row>
    <row r="7005">
      <c r="A7005" s="28" t="n">
        <v>29531</v>
      </c>
      <c r="B7005" t="n">
        <v>13.04</v>
      </c>
      <c r="C7005" t="n">
        <v>13.5</v>
      </c>
    </row>
    <row r="7006">
      <c r="A7006" s="28" t="n">
        <v>29532</v>
      </c>
      <c r="B7006" t="n">
        <v>12.66</v>
      </c>
      <c r="C7006" t="n">
        <v>13.04</v>
      </c>
    </row>
    <row r="7007">
      <c r="A7007" s="28" t="n">
        <v>29535</v>
      </c>
      <c r="B7007" t="n">
        <v>12.78</v>
      </c>
      <c r="C7007" t="n">
        <v>13.48</v>
      </c>
    </row>
    <row r="7008">
      <c r="A7008" s="28" t="n">
        <v>29536</v>
      </c>
      <c r="B7008" t="n">
        <v>0</v>
      </c>
      <c r="C7008" t="n">
        <v>0</v>
      </c>
    </row>
    <row r="7009">
      <c r="A7009" s="28" t="n">
        <v>29537</v>
      </c>
      <c r="B7009" t="n">
        <v>12.47</v>
      </c>
      <c r="C7009" t="n">
        <v>13.18</v>
      </c>
    </row>
    <row r="7010">
      <c r="A7010" s="28" t="n">
        <v>29538</v>
      </c>
      <c r="B7010" t="n">
        <v>12.49</v>
      </c>
      <c r="C7010" t="n">
        <v>13.09</v>
      </c>
    </row>
    <row r="7011">
      <c r="A7011" s="28" t="n">
        <v>29539</v>
      </c>
      <c r="B7011" t="n">
        <v>12.79</v>
      </c>
      <c r="C7011" t="n">
        <v>13.39</v>
      </c>
    </row>
    <row r="7012">
      <c r="A7012" s="28" t="n">
        <v>29542</v>
      </c>
      <c r="B7012" t="n">
        <v>12.95</v>
      </c>
      <c r="C7012" t="n">
        <v>14.19</v>
      </c>
    </row>
    <row r="7013">
      <c r="A7013" s="28" t="n">
        <v>29543</v>
      </c>
      <c r="B7013" t="n">
        <v>12.62</v>
      </c>
      <c r="C7013" t="n">
        <v>13.69</v>
      </c>
    </row>
    <row r="7014">
      <c r="A7014" s="28" t="n">
        <v>29544</v>
      </c>
      <c r="B7014" t="n">
        <v>12.51</v>
      </c>
      <c r="C7014" t="n">
        <v>13.72</v>
      </c>
    </row>
    <row r="7015">
      <c r="A7015" s="28" t="n">
        <v>29545</v>
      </c>
      <c r="B7015" t="n">
        <v>12.59</v>
      </c>
      <c r="C7015" t="n">
        <v>13.96</v>
      </c>
    </row>
    <row r="7016">
      <c r="A7016" s="28" t="n">
        <v>29546</v>
      </c>
      <c r="B7016" t="n">
        <v>12.8</v>
      </c>
      <c r="C7016" t="n">
        <v>14.32</v>
      </c>
    </row>
    <row r="7017">
      <c r="A7017" s="28" t="n">
        <v>29549</v>
      </c>
      <c r="B7017" t="n">
        <v>12.76</v>
      </c>
      <c r="C7017" t="n">
        <v>14.41</v>
      </c>
    </row>
    <row r="7018">
      <c r="A7018" s="28" t="n">
        <v>29550</v>
      </c>
      <c r="B7018" t="n">
        <v>12.74</v>
      </c>
      <c r="C7018" t="n">
        <v>14.16</v>
      </c>
    </row>
    <row r="7019">
      <c r="A7019" s="28" t="n">
        <v>29551</v>
      </c>
      <c r="B7019" t="n">
        <v>12.65</v>
      </c>
      <c r="C7019" t="n">
        <v>14.2</v>
      </c>
    </row>
    <row r="7020">
      <c r="A7020" s="28" t="n">
        <v>29552</v>
      </c>
      <c r="B7020" t="n">
        <v>0</v>
      </c>
      <c r="C7020" t="n">
        <v>0</v>
      </c>
    </row>
    <row r="7021">
      <c r="A7021" s="28" t="n">
        <v>29553</v>
      </c>
      <c r="B7021" t="n">
        <v>12.72</v>
      </c>
      <c r="C7021" t="n">
        <v>14.48</v>
      </c>
    </row>
    <row r="7022">
      <c r="A7022" s="28" t="n">
        <v>29556</v>
      </c>
      <c r="B7022" t="n">
        <v>12.92</v>
      </c>
      <c r="C7022" t="n">
        <v>14.71</v>
      </c>
    </row>
    <row r="7023">
      <c r="A7023" s="28" t="n">
        <v>29557</v>
      </c>
      <c r="B7023" t="n">
        <v>12.95</v>
      </c>
      <c r="C7023" t="n">
        <v>14.82</v>
      </c>
    </row>
    <row r="7024">
      <c r="A7024" s="28" t="n">
        <v>29558</v>
      </c>
      <c r="B7024" t="n">
        <v>12.92</v>
      </c>
      <c r="C7024" t="n">
        <v>14.66</v>
      </c>
    </row>
    <row r="7025">
      <c r="A7025" s="28" t="n">
        <v>29559</v>
      </c>
      <c r="B7025" t="n">
        <v>12.91</v>
      </c>
      <c r="C7025" t="n">
        <v>14.86</v>
      </c>
    </row>
    <row r="7026">
      <c r="A7026" s="28" t="n">
        <v>29560</v>
      </c>
      <c r="B7026" t="n">
        <v>12.85</v>
      </c>
      <c r="C7026" t="n">
        <v>15.84</v>
      </c>
    </row>
    <row r="7027">
      <c r="A7027" s="28" t="n">
        <v>29563</v>
      </c>
      <c r="B7027" t="n">
        <v>12.91</v>
      </c>
      <c r="C7027" t="n">
        <v>16.53</v>
      </c>
    </row>
    <row r="7028">
      <c r="A7028" s="28" t="n">
        <v>29564</v>
      </c>
      <c r="B7028" t="n">
        <v>13.1</v>
      </c>
      <c r="C7028" t="n">
        <v>16.72</v>
      </c>
    </row>
    <row r="7029">
      <c r="A7029" s="28" t="n">
        <v>29565</v>
      </c>
      <c r="B7029" t="n">
        <v>13.15</v>
      </c>
      <c r="C7029" t="n">
        <v>16.88</v>
      </c>
    </row>
    <row r="7030">
      <c r="A7030" s="28" t="n">
        <v>29566</v>
      </c>
      <c r="B7030" t="n">
        <v>13.57</v>
      </c>
      <c r="C7030" t="n">
        <v>17.14</v>
      </c>
    </row>
    <row r="7031">
      <c r="A7031" s="28" t="n">
        <v>29567</v>
      </c>
      <c r="B7031" t="n">
        <v>13.21</v>
      </c>
      <c r="C7031" t="n">
        <v>16.55</v>
      </c>
    </row>
    <row r="7032">
      <c r="A7032" s="28" t="n">
        <v>29570</v>
      </c>
      <c r="B7032" t="n">
        <v>13.25</v>
      </c>
      <c r="C7032" t="n">
        <v>16.77</v>
      </c>
    </row>
    <row r="7033">
      <c r="A7033" s="28" t="n">
        <v>29571</v>
      </c>
      <c r="B7033" t="n">
        <v>13.51</v>
      </c>
      <c r="C7033" t="n">
        <v>16.7</v>
      </c>
    </row>
    <row r="7034">
      <c r="A7034" s="28" t="n">
        <v>29572</v>
      </c>
      <c r="B7034" t="n">
        <v>13.28</v>
      </c>
      <c r="C7034" t="n">
        <v>16.47</v>
      </c>
    </row>
    <row r="7035">
      <c r="A7035" s="28" t="n">
        <v>29573</v>
      </c>
      <c r="B7035" t="n">
        <v>13.22</v>
      </c>
      <c r="C7035" t="n">
        <v>16.2</v>
      </c>
    </row>
    <row r="7036">
      <c r="A7036" s="28" t="n">
        <v>29574</v>
      </c>
      <c r="B7036" t="n">
        <v>12.64</v>
      </c>
      <c r="C7036" t="n">
        <v>14.93</v>
      </c>
    </row>
    <row r="7037">
      <c r="A7037" s="28" t="n">
        <v>29577</v>
      </c>
      <c r="B7037" t="n">
        <v>12.14</v>
      </c>
      <c r="C7037" t="n">
        <v>14.84</v>
      </c>
    </row>
    <row r="7038">
      <c r="A7038" s="28" t="n">
        <v>29578</v>
      </c>
      <c r="B7038" t="n">
        <v>12.35</v>
      </c>
      <c r="C7038" t="n">
        <v>14.49</v>
      </c>
    </row>
    <row r="7039">
      <c r="A7039" s="28" t="n">
        <v>29579</v>
      </c>
      <c r="B7039" t="n">
        <v>12.42</v>
      </c>
      <c r="C7039" t="n">
        <v>14.71</v>
      </c>
    </row>
    <row r="7040">
      <c r="A7040" s="28" t="n">
        <v>29580</v>
      </c>
      <c r="B7040" t="n">
        <v>0</v>
      </c>
      <c r="C7040" t="n">
        <v>0</v>
      </c>
    </row>
    <row r="7041">
      <c r="A7041" s="28" t="n">
        <v>29581</v>
      </c>
      <c r="B7041" t="n">
        <v>12.25</v>
      </c>
      <c r="C7041" t="n">
        <v>14.45</v>
      </c>
    </row>
    <row r="7042">
      <c r="A7042" s="28" t="n">
        <v>29584</v>
      </c>
      <c r="B7042" t="n">
        <v>12.2</v>
      </c>
      <c r="C7042" t="n">
        <v>14.18</v>
      </c>
    </row>
    <row r="7043">
      <c r="A7043" s="28" t="n">
        <v>29585</v>
      </c>
      <c r="B7043" t="n">
        <v>12.39</v>
      </c>
      <c r="C7043" t="n">
        <v>14.12</v>
      </c>
    </row>
    <row r="7044">
      <c r="A7044" s="28" t="n">
        <v>29586</v>
      </c>
      <c r="B7044" t="n">
        <v>12.43</v>
      </c>
      <c r="C7044" t="n">
        <v>14.3</v>
      </c>
    </row>
    <row r="7045">
      <c r="A7045" s="28" t="n">
        <v>29587</v>
      </c>
      <c r="B7045" t="n">
        <v>0</v>
      </c>
      <c r="C7045" t="n">
        <v>0</v>
      </c>
    </row>
    <row r="7046">
      <c r="A7046" s="28" t="n">
        <v>29588</v>
      </c>
      <c r="B7046" t="n">
        <v>12.42</v>
      </c>
      <c r="C7046" t="n">
        <v>14.65</v>
      </c>
    </row>
    <row r="7047">
      <c r="A7047" s="28" t="n">
        <v>29591</v>
      </c>
      <c r="B7047" t="n">
        <v>12.15</v>
      </c>
      <c r="C7047" t="n">
        <v>13.52</v>
      </c>
    </row>
    <row r="7048">
      <c r="A7048" s="28" t="n">
        <v>29592</v>
      </c>
      <c r="B7048" t="n">
        <v>12.11</v>
      </c>
      <c r="C7048" t="n">
        <v>13.58</v>
      </c>
    </row>
    <row r="7049">
      <c r="A7049" s="28" t="n">
        <v>29593</v>
      </c>
      <c r="B7049" t="n">
        <v>12.38</v>
      </c>
      <c r="C7049" t="n">
        <v>14.5</v>
      </c>
    </row>
    <row r="7050">
      <c r="A7050" s="28" t="n">
        <v>29594</v>
      </c>
      <c r="B7050" t="n">
        <v>12.35</v>
      </c>
      <c r="C7050" t="n">
        <v>14.76</v>
      </c>
    </row>
    <row r="7051">
      <c r="A7051" s="28" t="n">
        <v>29595</v>
      </c>
      <c r="B7051" t="n">
        <v>12.57</v>
      </c>
      <c r="C7051" t="n">
        <v>15.2</v>
      </c>
    </row>
    <row r="7052">
      <c r="A7052" s="28" t="n">
        <v>29598</v>
      </c>
      <c r="B7052" t="n">
        <v>12.45</v>
      </c>
      <c r="C7052" t="n">
        <v>15.22</v>
      </c>
    </row>
    <row r="7053">
      <c r="A7053" s="28" t="n">
        <v>29599</v>
      </c>
      <c r="B7053" t="n">
        <v>12.53</v>
      </c>
      <c r="C7053" t="n">
        <v>15.24</v>
      </c>
    </row>
    <row r="7054">
      <c r="A7054" s="28" t="n">
        <v>29600</v>
      </c>
      <c r="B7054" t="n">
        <v>12.53</v>
      </c>
      <c r="C7054" t="n">
        <v>15.08</v>
      </c>
    </row>
    <row r="7055">
      <c r="A7055" s="28" t="n">
        <v>29601</v>
      </c>
      <c r="B7055" t="n">
        <v>12.62</v>
      </c>
      <c r="C7055" t="n">
        <v>15.25</v>
      </c>
    </row>
    <row r="7056">
      <c r="A7056" s="28" t="n">
        <v>29602</v>
      </c>
      <c r="B7056" t="n">
        <v>12.53</v>
      </c>
      <c r="C7056" t="n">
        <v>15.15</v>
      </c>
    </row>
    <row r="7057">
      <c r="A7057" s="28" t="n">
        <v>29605</v>
      </c>
      <c r="B7057" t="n">
        <v>12.64</v>
      </c>
      <c r="C7057" t="n">
        <v>15.79</v>
      </c>
    </row>
    <row r="7058">
      <c r="A7058" s="28" t="n">
        <v>29606</v>
      </c>
      <c r="B7058" t="n">
        <v>12.5</v>
      </c>
      <c r="C7058" t="n">
        <v>15.32</v>
      </c>
    </row>
    <row r="7059">
      <c r="A7059" s="28" t="n">
        <v>29607</v>
      </c>
      <c r="B7059" t="n">
        <v>12.77</v>
      </c>
      <c r="C7059" t="n">
        <v>15.71</v>
      </c>
    </row>
    <row r="7060">
      <c r="A7060" s="28" t="n">
        <v>29608</v>
      </c>
      <c r="B7060" t="n">
        <v>12.87</v>
      </c>
      <c r="C7060" t="n">
        <v>15.72</v>
      </c>
    </row>
    <row r="7061">
      <c r="A7061" s="28" t="n">
        <v>29609</v>
      </c>
      <c r="B7061" t="n">
        <v>12.84</v>
      </c>
      <c r="C7061" t="n">
        <v>15.7</v>
      </c>
    </row>
    <row r="7062">
      <c r="A7062" s="28" t="n">
        <v>29612</v>
      </c>
      <c r="B7062" t="n">
        <v>12.7</v>
      </c>
      <c r="C7062" t="n">
        <v>15.35</v>
      </c>
    </row>
    <row r="7063">
      <c r="A7063" s="28" t="n">
        <v>29613</v>
      </c>
      <c r="B7063" t="n">
        <v>12.73</v>
      </c>
      <c r="C7063" t="n">
        <v>15.2</v>
      </c>
    </row>
    <row r="7064">
      <c r="A7064" s="28" t="n">
        <v>29614</v>
      </c>
      <c r="B7064" t="n">
        <v>12.77</v>
      </c>
      <c r="C7064" t="n">
        <v>15.06</v>
      </c>
    </row>
    <row r="7065">
      <c r="A7065" s="28" t="n">
        <v>29615</v>
      </c>
      <c r="B7065" t="n">
        <v>12.8</v>
      </c>
      <c r="C7065" t="n">
        <v>14.87</v>
      </c>
    </row>
    <row r="7066">
      <c r="A7066" s="28" t="n">
        <v>29616</v>
      </c>
      <c r="B7066" t="n">
        <v>12.68</v>
      </c>
      <c r="C7066" t="n">
        <v>14.59</v>
      </c>
    </row>
    <row r="7067">
      <c r="A7067" s="28" t="n">
        <v>29619</v>
      </c>
      <c r="B7067" t="n">
        <v>12.86</v>
      </c>
      <c r="C7067" t="n">
        <v>14.9</v>
      </c>
    </row>
    <row r="7068">
      <c r="A7068" s="28" t="n">
        <v>29620</v>
      </c>
      <c r="B7068" t="n">
        <v>12.98</v>
      </c>
      <c r="C7068" t="n">
        <v>14.85</v>
      </c>
    </row>
    <row r="7069">
      <c r="A7069" s="28" t="n">
        <v>29621</v>
      </c>
      <c r="B7069" t="n">
        <v>12.86</v>
      </c>
      <c r="C7069" t="n">
        <v>14.67</v>
      </c>
    </row>
    <row r="7070">
      <c r="A7070" s="28" t="n">
        <v>29622</v>
      </c>
      <c r="B7070" t="n">
        <v>12.95</v>
      </c>
      <c r="C7070" t="n">
        <v>14.74</v>
      </c>
    </row>
    <row r="7071">
      <c r="A7071" s="28" t="n">
        <v>29623</v>
      </c>
      <c r="B7071" t="n">
        <v>13.09</v>
      </c>
      <c r="C7071" t="n">
        <v>15.32</v>
      </c>
    </row>
    <row r="7072">
      <c r="A7072" s="28" t="n">
        <v>29626</v>
      </c>
      <c r="B7072" t="n">
        <v>13.21</v>
      </c>
      <c r="C7072" t="n">
        <v>15.52</v>
      </c>
    </row>
    <row r="7073">
      <c r="A7073" s="28" t="n">
        <v>29627</v>
      </c>
      <c r="B7073" t="n">
        <v>13.27</v>
      </c>
      <c r="C7073" t="n">
        <v>15.46</v>
      </c>
    </row>
    <row r="7074">
      <c r="A7074" s="28" t="n">
        <v>29628</v>
      </c>
      <c r="B7074" t="n">
        <v>13.42</v>
      </c>
      <c r="C7074" t="n">
        <v>15.54</v>
      </c>
    </row>
    <row r="7075">
      <c r="A7075" s="28" t="n">
        <v>29629</v>
      </c>
      <c r="B7075" t="n">
        <v>0</v>
      </c>
      <c r="C7075" t="n">
        <v>0</v>
      </c>
    </row>
    <row r="7076">
      <c r="A7076" s="28" t="n">
        <v>29630</v>
      </c>
      <c r="B7076" t="n">
        <v>13.65</v>
      </c>
      <c r="C7076" t="n">
        <v>15.51</v>
      </c>
    </row>
    <row r="7077">
      <c r="A7077" s="28" t="n">
        <v>29633</v>
      </c>
      <c r="B7077" t="n">
        <v>0</v>
      </c>
      <c r="C7077" t="n">
        <v>0</v>
      </c>
    </row>
    <row r="7078">
      <c r="A7078" s="28" t="n">
        <v>29634</v>
      </c>
      <c r="B7078" t="n">
        <v>13.33</v>
      </c>
      <c r="C7078" t="n">
        <v>15.14</v>
      </c>
    </row>
    <row r="7079">
      <c r="A7079" s="28" t="n">
        <v>29635</v>
      </c>
      <c r="B7079" t="n">
        <v>13.3</v>
      </c>
      <c r="C7079" t="n">
        <v>15.02</v>
      </c>
    </row>
    <row r="7080">
      <c r="A7080" s="28" t="n">
        <v>29636</v>
      </c>
      <c r="B7080" t="n">
        <v>13.09</v>
      </c>
      <c r="C7080" t="n">
        <v>14.48</v>
      </c>
    </row>
    <row r="7081">
      <c r="A7081" s="28" t="n">
        <v>29637</v>
      </c>
      <c r="B7081" t="n">
        <v>12.9</v>
      </c>
      <c r="C7081" t="n">
        <v>14.09</v>
      </c>
    </row>
    <row r="7082">
      <c r="A7082" s="28" t="n">
        <v>29640</v>
      </c>
      <c r="B7082" t="n">
        <v>13.19</v>
      </c>
      <c r="C7082" t="n">
        <v>14.23</v>
      </c>
    </row>
    <row r="7083">
      <c r="A7083" s="28" t="n">
        <v>29641</v>
      </c>
      <c r="B7083" t="n">
        <v>13.21</v>
      </c>
      <c r="C7083" t="n">
        <v>14.15</v>
      </c>
    </row>
    <row r="7084">
      <c r="A7084" s="28" t="n">
        <v>29642</v>
      </c>
      <c r="B7084" t="n">
        <v>13.29</v>
      </c>
      <c r="C7084" t="n">
        <v>14.2</v>
      </c>
    </row>
    <row r="7085">
      <c r="A7085" s="28" t="n">
        <v>29643</v>
      </c>
      <c r="B7085" t="n">
        <v>13.47</v>
      </c>
      <c r="C7085" t="n">
        <v>14.14</v>
      </c>
    </row>
    <row r="7086">
      <c r="A7086" s="28" t="n">
        <v>29644</v>
      </c>
      <c r="B7086" t="n">
        <v>13.43</v>
      </c>
      <c r="C7086" t="n">
        <v>14.22</v>
      </c>
    </row>
    <row r="7087">
      <c r="A7087" s="28" t="n">
        <v>29647</v>
      </c>
      <c r="B7087" t="n">
        <v>13.62</v>
      </c>
      <c r="C7087" t="n">
        <v>14.52</v>
      </c>
    </row>
    <row r="7088">
      <c r="A7088" s="28" t="n">
        <v>29648</v>
      </c>
      <c r="B7088" t="n">
        <v>13.43</v>
      </c>
      <c r="C7088" t="n">
        <v>14.39</v>
      </c>
    </row>
    <row r="7089">
      <c r="A7089" s="28" t="n">
        <v>29649</v>
      </c>
      <c r="B7089" t="n">
        <v>13.45</v>
      </c>
      <c r="C7089" t="n">
        <v>14.49</v>
      </c>
    </row>
    <row r="7090">
      <c r="A7090" s="28" t="n">
        <v>29650</v>
      </c>
      <c r="B7090" t="n">
        <v>13.43</v>
      </c>
      <c r="C7090" t="n">
        <v>14.51</v>
      </c>
    </row>
    <row r="7091">
      <c r="A7091" s="28" t="n">
        <v>29651</v>
      </c>
      <c r="B7091" t="n">
        <v>13.2</v>
      </c>
      <c r="C7091" t="n">
        <v>14.29</v>
      </c>
    </row>
    <row r="7092">
      <c r="A7092" s="28" t="n">
        <v>29654</v>
      </c>
      <c r="B7092" t="n">
        <v>13.09</v>
      </c>
      <c r="C7092" t="n">
        <v>14.16</v>
      </c>
    </row>
    <row r="7093">
      <c r="A7093" s="28" t="n">
        <v>29655</v>
      </c>
      <c r="B7093" t="n">
        <v>13.08</v>
      </c>
      <c r="C7093" t="n">
        <v>13.99</v>
      </c>
    </row>
    <row r="7094">
      <c r="A7094" s="28" t="n">
        <v>29656</v>
      </c>
      <c r="B7094" t="n">
        <v>13.12</v>
      </c>
      <c r="C7094" t="n">
        <v>13.92</v>
      </c>
    </row>
    <row r="7095">
      <c r="A7095" s="28" t="n">
        <v>29657</v>
      </c>
      <c r="B7095" t="n">
        <v>13.03</v>
      </c>
      <c r="C7095" t="n">
        <v>13.66</v>
      </c>
    </row>
    <row r="7096">
      <c r="A7096" s="28" t="n">
        <v>29658</v>
      </c>
      <c r="B7096" t="n">
        <v>12.86</v>
      </c>
      <c r="C7096" t="n">
        <v>13.21</v>
      </c>
    </row>
    <row r="7097">
      <c r="A7097" s="28" t="n">
        <v>29661</v>
      </c>
      <c r="B7097" t="n">
        <v>12.85</v>
      </c>
      <c r="C7097" t="n">
        <v>13.02</v>
      </c>
    </row>
    <row r="7098">
      <c r="A7098" s="28" t="n">
        <v>29662</v>
      </c>
      <c r="B7098" t="n">
        <v>12.68</v>
      </c>
      <c r="C7098" t="n">
        <v>12.95</v>
      </c>
    </row>
    <row r="7099">
      <c r="A7099" s="28" t="n">
        <v>29663</v>
      </c>
      <c r="B7099" t="n">
        <v>12.58</v>
      </c>
      <c r="C7099" t="n">
        <v>12.45</v>
      </c>
    </row>
    <row r="7100">
      <c r="A7100" s="28" t="n">
        <v>29664</v>
      </c>
      <c r="B7100" t="n">
        <v>12.67</v>
      </c>
      <c r="C7100" t="n">
        <v>12.36</v>
      </c>
    </row>
    <row r="7101">
      <c r="A7101" s="28" t="n">
        <v>29665</v>
      </c>
      <c r="B7101" t="n">
        <v>12.77</v>
      </c>
      <c r="C7101" t="n">
        <v>12.36</v>
      </c>
    </row>
    <row r="7102">
      <c r="A7102" s="28" t="n">
        <v>29668</v>
      </c>
      <c r="B7102" t="n">
        <v>13.13</v>
      </c>
      <c r="C7102" t="n">
        <v>12.83</v>
      </c>
    </row>
    <row r="7103">
      <c r="A7103" s="28" t="n">
        <v>29669</v>
      </c>
      <c r="B7103" t="n">
        <v>13.3</v>
      </c>
      <c r="C7103" t="n">
        <v>12.84</v>
      </c>
    </row>
    <row r="7104">
      <c r="A7104" s="28" t="n">
        <v>29670</v>
      </c>
      <c r="B7104" t="n">
        <v>13.21</v>
      </c>
      <c r="C7104" t="n">
        <v>12.83</v>
      </c>
    </row>
    <row r="7105">
      <c r="A7105" s="28" t="n">
        <v>29671</v>
      </c>
      <c r="B7105" t="n">
        <v>13.34</v>
      </c>
      <c r="C7105" t="n">
        <v>12.97</v>
      </c>
    </row>
    <row r="7106">
      <c r="A7106" s="28" t="n">
        <v>29672</v>
      </c>
      <c r="B7106" t="n">
        <v>13.36</v>
      </c>
      <c r="C7106" t="n">
        <v>13.08</v>
      </c>
    </row>
    <row r="7107">
      <c r="A7107" s="28" t="n">
        <v>29675</v>
      </c>
      <c r="B7107" t="n">
        <v>13.22</v>
      </c>
      <c r="C7107" t="n">
        <v>12.6</v>
      </c>
    </row>
    <row r="7108">
      <c r="A7108" s="28" t="n">
        <v>29676</v>
      </c>
      <c r="B7108" t="n">
        <v>13.13</v>
      </c>
      <c r="C7108" t="n">
        <v>12.46</v>
      </c>
    </row>
    <row r="7109">
      <c r="A7109" s="28" t="n">
        <v>29677</v>
      </c>
      <c r="B7109" t="n">
        <v>13.14</v>
      </c>
      <c r="C7109" t="n">
        <v>12.37</v>
      </c>
    </row>
    <row r="7110">
      <c r="A7110" s="28" t="n">
        <v>29678</v>
      </c>
      <c r="B7110" t="n">
        <v>13.25</v>
      </c>
      <c r="C7110" t="n">
        <v>12.58</v>
      </c>
    </row>
    <row r="7111">
      <c r="A7111" s="28" t="n">
        <v>29679</v>
      </c>
      <c r="B7111" t="n">
        <v>13.4</v>
      </c>
      <c r="C7111" t="n">
        <v>12.97</v>
      </c>
    </row>
    <row r="7112">
      <c r="A7112" s="28" t="n">
        <v>29682</v>
      </c>
      <c r="B7112" t="n">
        <v>13.74</v>
      </c>
      <c r="C7112" t="n">
        <v>14</v>
      </c>
    </row>
    <row r="7113">
      <c r="A7113" s="28" t="n">
        <v>29683</v>
      </c>
      <c r="B7113" t="n">
        <v>13.41</v>
      </c>
      <c r="C7113" t="n">
        <v>13.63</v>
      </c>
    </row>
    <row r="7114">
      <c r="A7114" s="28" t="n">
        <v>29684</v>
      </c>
      <c r="B7114" t="n">
        <v>13.61</v>
      </c>
      <c r="C7114" t="n">
        <v>13.66</v>
      </c>
    </row>
    <row r="7115">
      <c r="A7115" s="28" t="n">
        <v>29685</v>
      </c>
      <c r="B7115" t="n">
        <v>13.45</v>
      </c>
      <c r="C7115" t="n">
        <v>13.49</v>
      </c>
    </row>
    <row r="7116">
      <c r="A7116" s="28" t="n">
        <v>29686</v>
      </c>
      <c r="B7116" t="n">
        <v>13.59</v>
      </c>
      <c r="C7116" t="n">
        <v>13.59</v>
      </c>
    </row>
    <row r="7117">
      <c r="A7117" s="28" t="n">
        <v>29689</v>
      </c>
      <c r="B7117" t="n">
        <v>13.68</v>
      </c>
      <c r="C7117" t="n">
        <v>13.78</v>
      </c>
    </row>
    <row r="7118">
      <c r="A7118" s="28" t="n">
        <v>29690</v>
      </c>
      <c r="B7118" t="n">
        <v>13.58</v>
      </c>
      <c r="C7118" t="n">
        <v>13.37</v>
      </c>
    </row>
    <row r="7119">
      <c r="A7119" s="28" t="n">
        <v>29691</v>
      </c>
      <c r="B7119" t="n">
        <v>13.74</v>
      </c>
      <c r="C7119" t="n">
        <v>13.68</v>
      </c>
    </row>
    <row r="7120">
      <c r="A7120" s="28" t="n">
        <v>29692</v>
      </c>
      <c r="B7120" t="n">
        <v>13.79</v>
      </c>
      <c r="C7120" t="n">
        <v>13.79</v>
      </c>
    </row>
    <row r="7121">
      <c r="A7121" s="28" t="n">
        <v>29693</v>
      </c>
      <c r="B7121" t="n">
        <v>0</v>
      </c>
      <c r="C7121" t="n">
        <v>0</v>
      </c>
    </row>
    <row r="7122">
      <c r="A7122" s="28" t="n">
        <v>29696</v>
      </c>
      <c r="B7122" t="n">
        <v>13.69</v>
      </c>
      <c r="C7122" t="n">
        <v>13.75</v>
      </c>
    </row>
    <row r="7123">
      <c r="A7123" s="28" t="n">
        <v>29697</v>
      </c>
      <c r="B7123" t="n">
        <v>13.73</v>
      </c>
      <c r="C7123" t="n">
        <v>13.66</v>
      </c>
    </row>
    <row r="7124">
      <c r="A7124" s="28" t="n">
        <v>29698</v>
      </c>
      <c r="B7124" t="n">
        <v>13.78</v>
      </c>
      <c r="C7124" t="n">
        <v>13.58</v>
      </c>
    </row>
    <row r="7125">
      <c r="A7125" s="28" t="n">
        <v>29699</v>
      </c>
      <c r="B7125" t="n">
        <v>13.8</v>
      </c>
      <c r="C7125" t="n">
        <v>13.64</v>
      </c>
    </row>
    <row r="7126">
      <c r="A7126" s="28" t="n">
        <v>29700</v>
      </c>
      <c r="B7126" t="n">
        <v>13.88</v>
      </c>
      <c r="C7126" t="n">
        <v>14.05</v>
      </c>
    </row>
    <row r="7127">
      <c r="A7127" s="28" t="n">
        <v>29703</v>
      </c>
      <c r="B7127" t="n">
        <v>13.92</v>
      </c>
      <c r="C7127" t="n">
        <v>14.28</v>
      </c>
    </row>
    <row r="7128">
      <c r="A7128" s="28" t="n">
        <v>29704</v>
      </c>
      <c r="B7128" t="n">
        <v>13.93</v>
      </c>
      <c r="C7128" t="n">
        <v>14.39</v>
      </c>
    </row>
    <row r="7129">
      <c r="A7129" s="28" t="n">
        <v>29705</v>
      </c>
      <c r="B7129" t="n">
        <v>14.05</v>
      </c>
      <c r="C7129" t="n">
        <v>14.42</v>
      </c>
    </row>
    <row r="7130">
      <c r="A7130" s="28" t="n">
        <v>29706</v>
      </c>
      <c r="B7130" t="n">
        <v>14.11</v>
      </c>
      <c r="C7130" t="n">
        <v>14.86</v>
      </c>
    </row>
    <row r="7131">
      <c r="A7131" s="28" t="n">
        <v>29707</v>
      </c>
      <c r="B7131" t="n">
        <v>14.05</v>
      </c>
      <c r="C7131" t="n">
        <v>14.67</v>
      </c>
    </row>
    <row r="7132">
      <c r="A7132" s="28" t="n">
        <v>29710</v>
      </c>
      <c r="B7132" t="n">
        <v>14.47</v>
      </c>
      <c r="C7132" t="n">
        <v>16.01</v>
      </c>
    </row>
    <row r="7133">
      <c r="A7133" s="28" t="n">
        <v>29711</v>
      </c>
      <c r="B7133" t="n">
        <v>14.69</v>
      </c>
      <c r="C7133" t="n">
        <v>16.61</v>
      </c>
    </row>
    <row r="7134">
      <c r="A7134" s="28" t="n">
        <v>29712</v>
      </c>
      <c r="B7134" t="n">
        <v>14.56</v>
      </c>
      <c r="C7134" t="n">
        <v>16.52</v>
      </c>
    </row>
    <row r="7135">
      <c r="A7135" s="28" t="n">
        <v>29713</v>
      </c>
      <c r="B7135" t="n">
        <v>14.33</v>
      </c>
      <c r="C7135" t="n">
        <v>16.58</v>
      </c>
    </row>
    <row r="7136">
      <c r="A7136" s="28" t="n">
        <v>29714</v>
      </c>
      <c r="B7136" t="n">
        <v>14.23</v>
      </c>
      <c r="C7136" t="n">
        <v>16.48</v>
      </c>
    </row>
    <row r="7137">
      <c r="A7137" s="28" t="n">
        <v>29717</v>
      </c>
      <c r="B7137" t="n">
        <v>14.34</v>
      </c>
      <c r="C7137" t="n">
        <v>16.59</v>
      </c>
    </row>
    <row r="7138">
      <c r="A7138" s="28" t="n">
        <v>29718</v>
      </c>
      <c r="B7138" t="n">
        <v>14.46</v>
      </c>
      <c r="C7138" t="n">
        <v>16.94</v>
      </c>
    </row>
    <row r="7139">
      <c r="A7139" s="28" t="n">
        <v>29719</v>
      </c>
      <c r="B7139" t="n">
        <v>14.49</v>
      </c>
      <c r="C7139" t="n">
        <v>17.01</v>
      </c>
    </row>
    <row r="7140">
      <c r="A7140" s="28" t="n">
        <v>29720</v>
      </c>
      <c r="B7140" t="n">
        <v>14.24</v>
      </c>
      <c r="C7140" t="n">
        <v>16.67</v>
      </c>
    </row>
    <row r="7141">
      <c r="A7141" s="28" t="n">
        <v>29721</v>
      </c>
      <c r="B7141" t="n">
        <v>14.07</v>
      </c>
      <c r="C7141" t="n">
        <v>16.55</v>
      </c>
    </row>
    <row r="7142">
      <c r="A7142" s="28" t="n">
        <v>29724</v>
      </c>
      <c r="B7142" t="n">
        <v>13.8</v>
      </c>
      <c r="C7142" t="n">
        <v>16.2</v>
      </c>
    </row>
    <row r="7143">
      <c r="A7143" s="28" t="n">
        <v>29725</v>
      </c>
      <c r="B7143" t="n">
        <v>13.95</v>
      </c>
      <c r="C7143" t="n">
        <v>16.56</v>
      </c>
    </row>
    <row r="7144">
      <c r="A7144" s="28" t="n">
        <v>29726</v>
      </c>
      <c r="B7144" t="n">
        <v>14</v>
      </c>
      <c r="C7144" t="n">
        <v>16.6</v>
      </c>
    </row>
    <row r="7145">
      <c r="A7145" s="28" t="n">
        <v>29727</v>
      </c>
      <c r="B7145" t="n">
        <v>14.05</v>
      </c>
      <c r="C7145" t="n">
        <v>17</v>
      </c>
    </row>
    <row r="7146">
      <c r="A7146" s="28" t="n">
        <v>29728</v>
      </c>
      <c r="B7146" t="n">
        <v>13.82</v>
      </c>
      <c r="C7146" t="n">
        <v>16.68</v>
      </c>
    </row>
    <row r="7147">
      <c r="A7147" s="28" t="n">
        <v>29731</v>
      </c>
      <c r="B7147" t="n">
        <v>0</v>
      </c>
      <c r="C7147" t="n">
        <v>0</v>
      </c>
    </row>
    <row r="7148">
      <c r="A7148" s="28" t="n">
        <v>29732</v>
      </c>
      <c r="B7148" t="n">
        <v>13.67</v>
      </c>
      <c r="C7148" t="n">
        <v>15.93</v>
      </c>
    </row>
    <row r="7149">
      <c r="A7149" s="28" t="n">
        <v>29733</v>
      </c>
      <c r="B7149" t="n">
        <v>13.71</v>
      </c>
      <c r="C7149" t="n">
        <v>16.01</v>
      </c>
    </row>
    <row r="7150">
      <c r="A7150" s="28" t="n">
        <v>29734</v>
      </c>
      <c r="B7150" t="n">
        <v>13.56</v>
      </c>
      <c r="C7150" t="n">
        <v>15.38</v>
      </c>
    </row>
    <row r="7151">
      <c r="A7151" s="28" t="n">
        <v>29735</v>
      </c>
      <c r="B7151" t="n">
        <v>13.5</v>
      </c>
      <c r="C7151" t="n">
        <v>15.1</v>
      </c>
    </row>
    <row r="7152">
      <c r="A7152" s="28" t="n">
        <v>29738</v>
      </c>
      <c r="B7152" t="n">
        <v>13.46</v>
      </c>
      <c r="C7152" t="n">
        <v>15.5</v>
      </c>
    </row>
    <row r="7153">
      <c r="A7153" s="28" t="n">
        <v>29739</v>
      </c>
      <c r="B7153" t="n">
        <v>13.58</v>
      </c>
      <c r="C7153" t="n">
        <v>15.69</v>
      </c>
    </row>
    <row r="7154">
      <c r="A7154" s="28" t="n">
        <v>29740</v>
      </c>
      <c r="B7154" t="n">
        <v>13.55</v>
      </c>
      <c r="C7154" t="n">
        <v>15.64</v>
      </c>
    </row>
    <row r="7155">
      <c r="A7155" s="28" t="n">
        <v>29741</v>
      </c>
      <c r="B7155" t="n">
        <v>13.51</v>
      </c>
      <c r="C7155" t="n">
        <v>15.81</v>
      </c>
    </row>
    <row r="7156">
      <c r="A7156" s="28" t="n">
        <v>29742</v>
      </c>
      <c r="B7156" t="n">
        <v>13.56</v>
      </c>
      <c r="C7156" t="n">
        <v>15.83</v>
      </c>
    </row>
    <row r="7157">
      <c r="A7157" s="28" t="n">
        <v>29745</v>
      </c>
      <c r="B7157" t="n">
        <v>13.36</v>
      </c>
      <c r="C7157" t="n">
        <v>15.18</v>
      </c>
    </row>
    <row r="7158">
      <c r="A7158" s="28" t="n">
        <v>29746</v>
      </c>
      <c r="B7158" t="n">
        <v>13.37</v>
      </c>
      <c r="C7158" t="n">
        <v>15.01</v>
      </c>
    </row>
    <row r="7159">
      <c r="A7159" s="28" t="n">
        <v>29747</v>
      </c>
      <c r="B7159" t="n">
        <v>13.31</v>
      </c>
      <c r="C7159" t="n">
        <v>14.69</v>
      </c>
    </row>
    <row r="7160">
      <c r="A7160" s="28" t="n">
        <v>29748</v>
      </c>
      <c r="B7160" t="n">
        <v>13.32</v>
      </c>
      <c r="C7160" t="n">
        <v>14.56</v>
      </c>
    </row>
    <row r="7161">
      <c r="A7161" s="28" t="n">
        <v>29749</v>
      </c>
      <c r="B7161" t="n">
        <v>13.35</v>
      </c>
      <c r="C7161" t="n">
        <v>14.53</v>
      </c>
    </row>
    <row r="7162">
      <c r="A7162" s="28" t="n">
        <v>29752</v>
      </c>
      <c r="B7162" t="n">
        <v>13.09</v>
      </c>
      <c r="C7162" t="n">
        <v>13.72</v>
      </c>
    </row>
    <row r="7163">
      <c r="A7163" s="28" t="n">
        <v>29753</v>
      </c>
      <c r="B7163" t="n">
        <v>13.08</v>
      </c>
      <c r="C7163" t="n">
        <v>13.73</v>
      </c>
    </row>
    <row r="7164">
      <c r="A7164" s="28" t="n">
        <v>29754</v>
      </c>
      <c r="B7164" t="n">
        <v>13.23</v>
      </c>
      <c r="C7164" t="n">
        <v>14.24</v>
      </c>
    </row>
    <row r="7165">
      <c r="A7165" s="28" t="n">
        <v>29755</v>
      </c>
      <c r="B7165" t="n">
        <v>13.57</v>
      </c>
      <c r="C7165" t="n">
        <v>15</v>
      </c>
    </row>
    <row r="7166">
      <c r="A7166" s="28" t="n">
        <v>29756</v>
      </c>
      <c r="B7166" t="n">
        <v>13.46</v>
      </c>
      <c r="C7166" t="n">
        <v>14.87</v>
      </c>
    </row>
    <row r="7167">
      <c r="A7167" s="28" t="n">
        <v>29759</v>
      </c>
      <c r="B7167" t="n">
        <v>13.44</v>
      </c>
      <c r="C7167" t="n">
        <v>14.36</v>
      </c>
    </row>
    <row r="7168">
      <c r="A7168" s="28" t="n">
        <v>29760</v>
      </c>
      <c r="B7168" t="n">
        <v>13.56</v>
      </c>
      <c r="C7168" t="n">
        <v>14.5</v>
      </c>
    </row>
    <row r="7169">
      <c r="A7169" s="28" t="n">
        <v>29761</v>
      </c>
      <c r="B7169" t="n">
        <v>13.66</v>
      </c>
      <c r="C7169" t="n">
        <v>14.7</v>
      </c>
    </row>
    <row r="7170">
      <c r="A7170" s="28" t="n">
        <v>29762</v>
      </c>
      <c r="B7170" t="n">
        <v>13.7</v>
      </c>
      <c r="C7170" t="n">
        <v>14.24</v>
      </c>
    </row>
    <row r="7171">
      <c r="A7171" s="28" t="n">
        <v>29763</v>
      </c>
      <c r="B7171" t="n">
        <v>13.69</v>
      </c>
      <c r="C7171" t="n">
        <v>14.13</v>
      </c>
    </row>
    <row r="7172">
      <c r="A7172" s="28" t="n">
        <v>29766</v>
      </c>
      <c r="B7172" t="n">
        <v>13.68</v>
      </c>
      <c r="C7172" t="n">
        <v>13.94</v>
      </c>
    </row>
    <row r="7173">
      <c r="A7173" s="28" t="n">
        <v>29767</v>
      </c>
      <c r="B7173" t="n">
        <v>13.86</v>
      </c>
      <c r="C7173" t="n">
        <v>14.28</v>
      </c>
    </row>
    <row r="7174">
      <c r="A7174" s="28" t="n">
        <v>29768</v>
      </c>
      <c r="B7174" t="n">
        <v>14.04</v>
      </c>
      <c r="C7174" t="n">
        <v>14.65</v>
      </c>
    </row>
    <row r="7175">
      <c r="A7175" s="28" t="n">
        <v>29769</v>
      </c>
      <c r="B7175" t="n">
        <v>13.95</v>
      </c>
      <c r="C7175" t="n">
        <v>14.48</v>
      </c>
    </row>
    <row r="7176">
      <c r="A7176" s="28" t="n">
        <v>29770</v>
      </c>
      <c r="B7176" t="n">
        <v>0</v>
      </c>
      <c r="C7176" t="n">
        <v>0</v>
      </c>
    </row>
    <row r="7177">
      <c r="A7177" s="28" t="n">
        <v>29773</v>
      </c>
      <c r="B7177" t="n">
        <v>13.81</v>
      </c>
      <c r="C7177" t="n">
        <v>14.35</v>
      </c>
    </row>
    <row r="7178">
      <c r="A7178" s="28" t="n">
        <v>29774</v>
      </c>
      <c r="B7178" t="n">
        <v>14.04</v>
      </c>
      <c r="C7178" t="n">
        <v>14.89</v>
      </c>
    </row>
    <row r="7179">
      <c r="A7179" s="28" t="n">
        <v>29775</v>
      </c>
      <c r="B7179" t="n">
        <v>14.11</v>
      </c>
      <c r="C7179" t="n">
        <v>14.98</v>
      </c>
    </row>
    <row r="7180">
      <c r="A7180" s="28" t="n">
        <v>29776</v>
      </c>
      <c r="B7180" t="n">
        <v>14.12</v>
      </c>
      <c r="C7180" t="n">
        <v>15.13</v>
      </c>
    </row>
    <row r="7181">
      <c r="A7181" s="28" t="n">
        <v>29777</v>
      </c>
      <c r="B7181" t="n">
        <v>13.94</v>
      </c>
      <c r="C7181" t="n">
        <v>14.75</v>
      </c>
    </row>
    <row r="7182">
      <c r="A7182" s="28" t="n">
        <v>29780</v>
      </c>
      <c r="B7182" t="n">
        <v>13.99</v>
      </c>
      <c r="C7182" t="n">
        <v>14.6</v>
      </c>
    </row>
    <row r="7183">
      <c r="A7183" s="28" t="n">
        <v>29781</v>
      </c>
      <c r="B7183" t="n">
        <v>14.15</v>
      </c>
      <c r="C7183" t="n">
        <v>14.78</v>
      </c>
    </row>
    <row r="7184">
      <c r="A7184" s="28" t="n">
        <v>29782</v>
      </c>
      <c r="B7184" t="n">
        <v>14.07</v>
      </c>
      <c r="C7184" t="n">
        <v>14.45</v>
      </c>
    </row>
    <row r="7185">
      <c r="A7185" s="28" t="n">
        <v>29783</v>
      </c>
      <c r="B7185" t="n">
        <v>14.11</v>
      </c>
      <c r="C7185" t="n">
        <v>14.52</v>
      </c>
    </row>
    <row r="7186">
      <c r="A7186" s="28" t="n">
        <v>29784</v>
      </c>
      <c r="B7186" t="n">
        <v>14.09</v>
      </c>
      <c r="C7186" t="n">
        <v>14.43</v>
      </c>
    </row>
    <row r="7187">
      <c r="A7187" s="28" t="n">
        <v>29787</v>
      </c>
      <c r="B7187" t="n">
        <v>14.59</v>
      </c>
      <c r="C7187" t="n">
        <v>15.5</v>
      </c>
    </row>
    <row r="7188">
      <c r="A7188" s="28" t="n">
        <v>29788</v>
      </c>
      <c r="B7188" t="n">
        <v>14.61</v>
      </c>
      <c r="C7188" t="n">
        <v>15.72</v>
      </c>
    </row>
    <row r="7189">
      <c r="A7189" s="28" t="n">
        <v>29789</v>
      </c>
      <c r="B7189" t="n">
        <v>14.63</v>
      </c>
      <c r="C7189" t="n">
        <v>15.68</v>
      </c>
    </row>
    <row r="7190">
      <c r="A7190" s="28" t="n">
        <v>29790</v>
      </c>
      <c r="B7190" t="n">
        <v>14.57</v>
      </c>
      <c r="C7190" t="n">
        <v>15.5</v>
      </c>
    </row>
    <row r="7191">
      <c r="A7191" s="28" t="n">
        <v>29791</v>
      </c>
      <c r="B7191" t="n">
        <v>14.41</v>
      </c>
      <c r="C7191" t="n">
        <v>15.08</v>
      </c>
    </row>
    <row r="7192">
      <c r="A7192" s="28" t="n">
        <v>29794</v>
      </c>
      <c r="B7192" t="n">
        <v>14.43</v>
      </c>
      <c r="C7192" t="n">
        <v>15.11</v>
      </c>
    </row>
    <row r="7193">
      <c r="A7193" s="28" t="n">
        <v>29795</v>
      </c>
      <c r="B7193" t="n">
        <v>14.53</v>
      </c>
      <c r="C7193" t="n">
        <v>15.3</v>
      </c>
    </row>
    <row r="7194">
      <c r="A7194" s="28" t="n">
        <v>29796</v>
      </c>
      <c r="B7194" t="n">
        <v>14.61</v>
      </c>
      <c r="C7194" t="n">
        <v>15.18</v>
      </c>
    </row>
    <row r="7195">
      <c r="A7195" s="28" t="n">
        <v>29797</v>
      </c>
      <c r="B7195" t="n">
        <v>14.71</v>
      </c>
      <c r="C7195" t="n">
        <v>14.87</v>
      </c>
    </row>
    <row r="7196">
      <c r="A7196" s="28" t="n">
        <v>29798</v>
      </c>
      <c r="B7196" t="n">
        <v>14.67</v>
      </c>
      <c r="C7196" t="n">
        <v>14.87</v>
      </c>
    </row>
    <row r="7197">
      <c r="A7197" s="28" t="n">
        <v>29801</v>
      </c>
      <c r="B7197" t="n">
        <v>14.95</v>
      </c>
      <c r="C7197" t="n">
        <v>15.5</v>
      </c>
    </row>
    <row r="7198">
      <c r="A7198" s="28" t="n">
        <v>29802</v>
      </c>
      <c r="B7198" t="n">
        <v>14.95</v>
      </c>
      <c r="C7198" t="n">
        <v>15.48</v>
      </c>
    </row>
    <row r="7199">
      <c r="A7199" s="28" t="n">
        <v>29803</v>
      </c>
      <c r="B7199" t="n">
        <v>14.91</v>
      </c>
      <c r="C7199" t="n">
        <v>15.35</v>
      </c>
    </row>
    <row r="7200">
      <c r="A7200" s="28" t="n">
        <v>29804</v>
      </c>
      <c r="B7200" t="n">
        <v>14.86</v>
      </c>
      <c r="C7200" t="n">
        <v>15.36</v>
      </c>
    </row>
    <row r="7201">
      <c r="A7201" s="28" t="n">
        <v>29805</v>
      </c>
      <c r="B7201" t="n">
        <v>14.83</v>
      </c>
      <c r="C7201" t="n">
        <v>15.44</v>
      </c>
    </row>
    <row r="7202">
      <c r="A7202" s="28" t="n">
        <v>29808</v>
      </c>
      <c r="B7202" t="n">
        <v>14.65</v>
      </c>
      <c r="C7202" t="n">
        <v>15.22</v>
      </c>
    </row>
    <row r="7203">
      <c r="A7203" s="28" t="n">
        <v>29809</v>
      </c>
      <c r="B7203" t="n">
        <v>14.4</v>
      </c>
      <c r="C7203" t="n">
        <v>14.85</v>
      </c>
    </row>
    <row r="7204">
      <c r="A7204" s="28" t="n">
        <v>29810</v>
      </c>
      <c r="B7204" t="n">
        <v>14.61</v>
      </c>
      <c r="C7204" t="n">
        <v>15.28</v>
      </c>
    </row>
    <row r="7205">
      <c r="A7205" s="28" t="n">
        <v>29811</v>
      </c>
      <c r="B7205" t="n">
        <v>14.65</v>
      </c>
      <c r="C7205" t="n">
        <v>15.42</v>
      </c>
    </row>
    <row r="7206">
      <c r="A7206" s="28" t="n">
        <v>29812</v>
      </c>
      <c r="B7206" t="n">
        <v>14.74</v>
      </c>
      <c r="C7206" t="n">
        <v>15.5</v>
      </c>
    </row>
    <row r="7207">
      <c r="A7207" s="28" t="n">
        <v>29815</v>
      </c>
      <c r="B7207" t="n">
        <v>14.71</v>
      </c>
      <c r="C7207" t="n">
        <v>15.74</v>
      </c>
    </row>
    <row r="7208">
      <c r="A7208" s="28" t="n">
        <v>29816</v>
      </c>
      <c r="B7208" t="n">
        <v>14.79</v>
      </c>
      <c r="C7208" t="n">
        <v>15.72</v>
      </c>
    </row>
    <row r="7209">
      <c r="A7209" s="28" t="n">
        <v>29817</v>
      </c>
      <c r="B7209" t="n">
        <v>14.77</v>
      </c>
      <c r="C7209" t="n">
        <v>15.67</v>
      </c>
    </row>
    <row r="7210">
      <c r="A7210" s="28" t="n">
        <v>29818</v>
      </c>
      <c r="B7210" t="n">
        <v>14.89</v>
      </c>
      <c r="C7210" t="n">
        <v>15.62</v>
      </c>
    </row>
    <row r="7211">
      <c r="A7211" s="28" t="n">
        <v>29819</v>
      </c>
      <c r="B7211" t="n">
        <v>14.97</v>
      </c>
      <c r="C7211" t="n">
        <v>15.4</v>
      </c>
    </row>
    <row r="7212">
      <c r="A7212" s="28" t="n">
        <v>29822</v>
      </c>
      <c r="B7212" t="n">
        <v>15.32</v>
      </c>
      <c r="C7212" t="n">
        <v>15.85</v>
      </c>
    </row>
    <row r="7213">
      <c r="A7213" s="28" t="n">
        <v>29823</v>
      </c>
      <c r="B7213" t="n">
        <v>15.35</v>
      </c>
      <c r="C7213" t="n">
        <v>15.78</v>
      </c>
    </row>
    <row r="7214">
      <c r="A7214" s="28" t="n">
        <v>29824</v>
      </c>
      <c r="B7214" t="n">
        <v>15.31</v>
      </c>
      <c r="C7214" t="n">
        <v>15.83</v>
      </c>
    </row>
    <row r="7215">
      <c r="A7215" s="28" t="n">
        <v>29825</v>
      </c>
      <c r="B7215" t="n">
        <v>15.36</v>
      </c>
      <c r="C7215" t="n">
        <v>15.72</v>
      </c>
    </row>
    <row r="7216">
      <c r="A7216" s="28" t="n">
        <v>29826</v>
      </c>
      <c r="B7216" t="n">
        <v>15.25</v>
      </c>
      <c r="C7216" t="n">
        <v>15.38</v>
      </c>
    </row>
    <row r="7217">
      <c r="A7217" s="28" t="n">
        <v>29829</v>
      </c>
      <c r="B7217" t="n">
        <v>15.41</v>
      </c>
      <c r="C7217" t="n">
        <v>15.52</v>
      </c>
    </row>
    <row r="7218">
      <c r="A7218" s="28" t="n">
        <v>29830</v>
      </c>
      <c r="B7218" t="n">
        <v>15.41</v>
      </c>
      <c r="C7218" t="n">
        <v>15.59</v>
      </c>
    </row>
    <row r="7219">
      <c r="A7219" s="28" t="n">
        <v>29831</v>
      </c>
      <c r="B7219" t="n">
        <v>15.4</v>
      </c>
      <c r="C7219" t="n">
        <v>15.66</v>
      </c>
    </row>
    <row r="7220">
      <c r="A7220" s="28" t="n">
        <v>29832</v>
      </c>
      <c r="B7220" t="n">
        <v>15.48</v>
      </c>
      <c r="C7220" t="n">
        <v>15.63</v>
      </c>
    </row>
    <row r="7221">
      <c r="A7221" s="28" t="n">
        <v>29833</v>
      </c>
      <c r="B7221" t="n">
        <v>15.51</v>
      </c>
      <c r="C7221" t="n">
        <v>15.56</v>
      </c>
    </row>
    <row r="7222">
      <c r="A7222" s="28" t="n">
        <v>29836</v>
      </c>
      <c r="B7222" t="n">
        <v>0</v>
      </c>
      <c r="C7222" t="n">
        <v>0</v>
      </c>
    </row>
    <row r="7223">
      <c r="A7223" s="28" t="n">
        <v>29837</v>
      </c>
      <c r="B7223" t="n">
        <v>15.59</v>
      </c>
      <c r="C7223" t="n">
        <v>15.65</v>
      </c>
    </row>
    <row r="7224">
      <c r="A7224" s="28" t="n">
        <v>29838</v>
      </c>
      <c r="B7224" t="n">
        <v>15.53</v>
      </c>
      <c r="C7224" t="n">
        <v>15.36</v>
      </c>
    </row>
    <row r="7225">
      <c r="A7225" s="28" t="n">
        <v>29839</v>
      </c>
      <c r="B7225" t="n">
        <v>15.3</v>
      </c>
      <c r="C7225" t="n">
        <v>15.01</v>
      </c>
    </row>
    <row r="7226">
      <c r="A7226" s="28" t="n">
        <v>29840</v>
      </c>
      <c r="B7226" t="n">
        <v>15.05</v>
      </c>
      <c r="C7226" t="n">
        <v>14.52</v>
      </c>
    </row>
    <row r="7227">
      <c r="A7227" s="28" t="n">
        <v>29843</v>
      </c>
      <c r="B7227" t="n">
        <v>15.2</v>
      </c>
      <c r="C7227" t="n">
        <v>14.45</v>
      </c>
    </row>
    <row r="7228">
      <c r="A7228" s="28" t="n">
        <v>29844</v>
      </c>
      <c r="B7228" t="n">
        <v>15.08</v>
      </c>
      <c r="C7228" t="n">
        <v>14.29</v>
      </c>
    </row>
    <row r="7229">
      <c r="A7229" s="28" t="n">
        <v>29845</v>
      </c>
      <c r="B7229" t="n">
        <v>15.11</v>
      </c>
      <c r="C7229" t="n">
        <v>14.34</v>
      </c>
    </row>
    <row r="7230">
      <c r="A7230" s="28" t="n">
        <v>29846</v>
      </c>
      <c r="B7230" t="n">
        <v>14.95</v>
      </c>
      <c r="C7230" t="n">
        <v>14.32</v>
      </c>
    </row>
    <row r="7231">
      <c r="A7231" s="28" t="n">
        <v>29847</v>
      </c>
      <c r="B7231" t="n">
        <v>14.91</v>
      </c>
      <c r="C7231" t="n">
        <v>14.34</v>
      </c>
    </row>
    <row r="7232">
      <c r="A7232" s="28" t="n">
        <v>29850</v>
      </c>
      <c r="B7232" t="n">
        <v>14.78</v>
      </c>
      <c r="C7232" t="n">
        <v>14.27</v>
      </c>
    </row>
    <row r="7233">
      <c r="A7233" s="28" t="n">
        <v>29851</v>
      </c>
      <c r="B7233" t="n">
        <v>15.03</v>
      </c>
      <c r="C7233" t="n">
        <v>14.48</v>
      </c>
    </row>
    <row r="7234">
      <c r="A7234" s="28" t="n">
        <v>29852</v>
      </c>
      <c r="B7234" t="n">
        <v>15.23</v>
      </c>
      <c r="C7234" t="n">
        <v>14.2</v>
      </c>
    </row>
    <row r="7235">
      <c r="A7235" s="28" t="n">
        <v>29853</v>
      </c>
      <c r="B7235" t="n">
        <v>15.31</v>
      </c>
      <c r="C7235" t="n">
        <v>14.21</v>
      </c>
    </row>
    <row r="7236">
      <c r="A7236" s="28" t="n">
        <v>29854</v>
      </c>
      <c r="B7236" t="n">
        <v>15.68</v>
      </c>
      <c r="C7236" t="n">
        <v>14.3</v>
      </c>
    </row>
    <row r="7237">
      <c r="A7237" s="28" t="n">
        <v>29857</v>
      </c>
      <c r="B7237" t="n">
        <v>15.65</v>
      </c>
      <c r="C7237" t="n">
        <v>14.12</v>
      </c>
    </row>
    <row r="7238">
      <c r="A7238" s="28" t="n">
        <v>29858</v>
      </c>
      <c r="B7238" t="n">
        <v>15.76</v>
      </c>
      <c r="C7238" t="n">
        <v>14.16</v>
      </c>
    </row>
    <row r="7239">
      <c r="A7239" s="28" t="n">
        <v>29859</v>
      </c>
      <c r="B7239" t="n">
        <v>15.84</v>
      </c>
      <c r="C7239" t="n">
        <v>14.34</v>
      </c>
    </row>
    <row r="7240">
      <c r="A7240" s="28" t="n">
        <v>29860</v>
      </c>
      <c r="B7240" t="n">
        <v>15.75</v>
      </c>
      <c r="C7240" t="n">
        <v>14.57</v>
      </c>
    </row>
    <row r="7241">
      <c r="A7241" s="28" t="n">
        <v>29861</v>
      </c>
      <c r="B7241" t="n">
        <v>15.41</v>
      </c>
      <c r="C7241" t="n">
        <v>14.65</v>
      </c>
    </row>
    <row r="7242">
      <c r="A7242" s="28" t="n">
        <v>29864</v>
      </c>
      <c r="B7242" t="n">
        <v>15.19</v>
      </c>
      <c r="C7242" t="n">
        <v>14.27</v>
      </c>
    </row>
    <row r="7243">
      <c r="A7243" s="28" t="n">
        <v>29865</v>
      </c>
      <c r="B7243" t="n">
        <v>15.14</v>
      </c>
      <c r="C7243" t="n">
        <v>13.9</v>
      </c>
    </row>
    <row r="7244">
      <c r="A7244" s="28" t="n">
        <v>29866</v>
      </c>
      <c r="B7244" t="n">
        <v>15.04</v>
      </c>
      <c r="C7244" t="n">
        <v>13.85</v>
      </c>
    </row>
    <row r="7245">
      <c r="A7245" s="28" t="n">
        <v>29867</v>
      </c>
      <c r="B7245" t="n">
        <v>15</v>
      </c>
      <c r="C7245" t="n">
        <v>13.7</v>
      </c>
    </row>
    <row r="7246">
      <c r="A7246" s="28" t="n">
        <v>29868</v>
      </c>
      <c r="B7246" t="n">
        <v>14.73</v>
      </c>
      <c r="C7246" t="n">
        <v>13.33</v>
      </c>
    </row>
    <row r="7247">
      <c r="A7247" s="28" t="n">
        <v>29871</v>
      </c>
      <c r="B7247" t="n">
        <v>0</v>
      </c>
      <c r="C7247" t="n">
        <v>0</v>
      </c>
    </row>
    <row r="7248">
      <c r="A7248" s="28" t="n">
        <v>29872</v>
      </c>
      <c r="B7248" t="n">
        <v>14.83</v>
      </c>
      <c r="C7248" t="n">
        <v>13.5</v>
      </c>
    </row>
    <row r="7249">
      <c r="A7249" s="28" t="n">
        <v>29873</v>
      </c>
      <c r="B7249" t="n">
        <v>14.87</v>
      </c>
      <c r="C7249" t="n">
        <v>13.24</v>
      </c>
    </row>
    <row r="7250">
      <c r="A7250" s="28" t="n">
        <v>29874</v>
      </c>
      <c r="B7250" t="n">
        <v>14.88</v>
      </c>
      <c r="C7250" t="n">
        <v>13.36</v>
      </c>
    </row>
    <row r="7251">
      <c r="A7251" s="28" t="n">
        <v>29875</v>
      </c>
      <c r="B7251" t="n">
        <v>14.94</v>
      </c>
      <c r="C7251" t="n">
        <v>13.52</v>
      </c>
    </row>
    <row r="7252">
      <c r="A7252" s="28" t="n">
        <v>29878</v>
      </c>
      <c r="B7252" t="n">
        <v>14.95</v>
      </c>
      <c r="C7252" t="n">
        <v>13.52</v>
      </c>
    </row>
    <row r="7253">
      <c r="A7253" s="28" t="n">
        <v>29879</v>
      </c>
      <c r="B7253" t="n">
        <v>15.09</v>
      </c>
      <c r="C7253" t="n">
        <v>13.46</v>
      </c>
    </row>
    <row r="7254">
      <c r="A7254" s="28" t="n">
        <v>29880</v>
      </c>
      <c r="B7254" t="n">
        <v>15.34</v>
      </c>
      <c r="C7254" t="n">
        <v>13.29</v>
      </c>
    </row>
    <row r="7255">
      <c r="A7255" s="28" t="n">
        <v>29881</v>
      </c>
      <c r="B7255" t="n">
        <v>15.38</v>
      </c>
      <c r="C7255" t="n">
        <v>13.32</v>
      </c>
    </row>
    <row r="7256">
      <c r="A7256" s="28" t="n">
        <v>29882</v>
      </c>
      <c r="B7256" t="n">
        <v>15.3</v>
      </c>
      <c r="C7256" t="n">
        <v>13.24</v>
      </c>
    </row>
    <row r="7257">
      <c r="A7257" s="28" t="n">
        <v>29885</v>
      </c>
      <c r="B7257" t="n">
        <v>15.6</v>
      </c>
      <c r="C7257" t="n">
        <v>13.32</v>
      </c>
    </row>
    <row r="7258">
      <c r="A7258" s="28" t="n">
        <v>29886</v>
      </c>
      <c r="B7258" t="n">
        <v>15.54</v>
      </c>
      <c r="C7258" t="n">
        <v>13.36</v>
      </c>
    </row>
    <row r="7259">
      <c r="A7259" s="28" t="n">
        <v>29887</v>
      </c>
      <c r="B7259" t="n">
        <v>15.44</v>
      </c>
      <c r="C7259" t="n">
        <v>13.22</v>
      </c>
    </row>
    <row r="7260">
      <c r="A7260" s="28" t="n">
        <v>29888</v>
      </c>
      <c r="B7260" t="n">
        <v>15.06</v>
      </c>
      <c r="C7260" t="n">
        <v>13.04</v>
      </c>
    </row>
    <row r="7261">
      <c r="A7261" s="28" t="n">
        <v>29889</v>
      </c>
      <c r="B7261" t="n">
        <v>14.63</v>
      </c>
      <c r="C7261" t="n">
        <v>12.75</v>
      </c>
    </row>
    <row r="7262">
      <c r="A7262" s="28" t="n">
        <v>29892</v>
      </c>
      <c r="B7262" t="n">
        <v>14.57</v>
      </c>
      <c r="C7262" t="n">
        <v>12.69</v>
      </c>
    </row>
    <row r="7263">
      <c r="A7263" s="28" t="n">
        <v>29893</v>
      </c>
      <c r="B7263" t="n">
        <v>0</v>
      </c>
      <c r="C7263" t="n">
        <v>0</v>
      </c>
    </row>
    <row r="7264">
      <c r="A7264" s="28" t="n">
        <v>29894</v>
      </c>
      <c r="B7264" t="n">
        <v>14.18</v>
      </c>
      <c r="C7264" t="n">
        <v>12.3</v>
      </c>
    </row>
    <row r="7265">
      <c r="A7265" s="28" t="n">
        <v>29895</v>
      </c>
      <c r="B7265" t="n">
        <v>14.19</v>
      </c>
      <c r="C7265" t="n">
        <v>12.18</v>
      </c>
    </row>
    <row r="7266">
      <c r="A7266" s="28" t="n">
        <v>29896</v>
      </c>
      <c r="B7266" t="n">
        <v>13.94</v>
      </c>
      <c r="C7266" t="n">
        <v>11.68</v>
      </c>
    </row>
    <row r="7267">
      <c r="A7267" s="28" t="n">
        <v>29899</v>
      </c>
      <c r="B7267" t="n">
        <v>13.39</v>
      </c>
      <c r="C7267" t="n">
        <v>11.19</v>
      </c>
    </row>
    <row r="7268">
      <c r="A7268" s="28" t="n">
        <v>29900</v>
      </c>
      <c r="B7268" t="n">
        <v>13.4</v>
      </c>
      <c r="C7268" t="n">
        <v>11.15</v>
      </c>
    </row>
    <row r="7269">
      <c r="A7269" s="28" t="n">
        <v>29901</v>
      </c>
      <c r="B7269" t="n">
        <v>0</v>
      </c>
      <c r="C7269" t="n">
        <v>0</v>
      </c>
    </row>
    <row r="7270">
      <c r="A7270" s="28" t="n">
        <v>29902</v>
      </c>
      <c r="B7270" t="n">
        <v>13.19</v>
      </c>
      <c r="C7270" t="n">
        <v>10.6</v>
      </c>
    </row>
    <row r="7271">
      <c r="A7271" s="28" t="n">
        <v>29903</v>
      </c>
      <c r="B7271" t="n">
        <v>13.18</v>
      </c>
      <c r="C7271" t="n">
        <v>10.78</v>
      </c>
    </row>
    <row r="7272">
      <c r="A7272" s="28" t="n">
        <v>29906</v>
      </c>
      <c r="B7272" t="n">
        <v>13.07</v>
      </c>
      <c r="C7272" t="n">
        <v>10.63</v>
      </c>
    </row>
    <row r="7273">
      <c r="A7273" s="28" t="n">
        <v>29907</v>
      </c>
      <c r="B7273" t="n">
        <v>13.18</v>
      </c>
      <c r="C7273" t="n">
        <v>10.63</v>
      </c>
    </row>
    <row r="7274">
      <c r="A7274" s="28" t="n">
        <v>29908</v>
      </c>
      <c r="B7274" t="n">
        <v>13</v>
      </c>
      <c r="C7274" t="n">
        <v>10.07</v>
      </c>
    </row>
    <row r="7275">
      <c r="A7275" s="28" t="n">
        <v>29909</v>
      </c>
      <c r="B7275" t="n">
        <v>13.04</v>
      </c>
      <c r="C7275" t="n">
        <v>10.12</v>
      </c>
    </row>
    <row r="7276">
      <c r="A7276" s="28" t="n">
        <v>29910</v>
      </c>
      <c r="B7276" t="n">
        <v>13.14</v>
      </c>
      <c r="C7276" t="n">
        <v>10.11</v>
      </c>
    </row>
    <row r="7277">
      <c r="A7277" s="28" t="n">
        <v>29913</v>
      </c>
      <c r="B7277" t="n">
        <v>13.44</v>
      </c>
      <c r="C7277" t="n">
        <v>10.49</v>
      </c>
    </row>
    <row r="7278">
      <c r="A7278" s="28" t="n">
        <v>29914</v>
      </c>
      <c r="B7278" t="n">
        <v>13.13</v>
      </c>
      <c r="C7278" t="n">
        <v>10.17</v>
      </c>
    </row>
    <row r="7279">
      <c r="A7279" s="28" t="n">
        <v>29915</v>
      </c>
      <c r="B7279" t="n">
        <v>12.98</v>
      </c>
      <c r="C7279" t="n">
        <v>10.1</v>
      </c>
    </row>
    <row r="7280">
      <c r="A7280" s="28" t="n">
        <v>29916</v>
      </c>
      <c r="B7280" t="n">
        <v>0</v>
      </c>
      <c r="C7280" t="n">
        <v>0</v>
      </c>
    </row>
    <row r="7281">
      <c r="A7281" s="28" t="n">
        <v>29917</v>
      </c>
      <c r="B7281" t="n">
        <v>12.92</v>
      </c>
      <c r="C7281" t="n">
        <v>10.17</v>
      </c>
    </row>
    <row r="7282">
      <c r="A7282" s="28" t="n">
        <v>29920</v>
      </c>
      <c r="B7282" t="n">
        <v>13.13</v>
      </c>
      <c r="C7282" t="n">
        <v>10.37</v>
      </c>
    </row>
    <row r="7283">
      <c r="A7283" s="28" t="n">
        <v>29921</v>
      </c>
      <c r="B7283" t="n">
        <v>13.37</v>
      </c>
      <c r="C7283" t="n">
        <v>10.49</v>
      </c>
    </row>
    <row r="7284">
      <c r="A7284" s="28" t="n">
        <v>29922</v>
      </c>
      <c r="B7284" t="n">
        <v>13.49</v>
      </c>
      <c r="C7284" t="n">
        <v>10.62</v>
      </c>
    </row>
    <row r="7285">
      <c r="A7285" s="28" t="n">
        <v>29923</v>
      </c>
      <c r="B7285" t="n">
        <v>13.45</v>
      </c>
      <c r="C7285" t="n">
        <v>10.52</v>
      </c>
    </row>
    <row r="7286">
      <c r="A7286" s="28" t="n">
        <v>29924</v>
      </c>
      <c r="B7286" t="n">
        <v>13.15</v>
      </c>
      <c r="C7286" t="n">
        <v>9.94</v>
      </c>
    </row>
    <row r="7287">
      <c r="A7287" s="28" t="n">
        <v>29927</v>
      </c>
      <c r="B7287" t="n">
        <v>13.5</v>
      </c>
      <c r="C7287" t="n">
        <v>10.22</v>
      </c>
    </row>
    <row r="7288">
      <c r="A7288" s="28" t="n">
        <v>29928</v>
      </c>
      <c r="B7288" t="n">
        <v>13.5</v>
      </c>
      <c r="C7288" t="n">
        <v>10.26</v>
      </c>
    </row>
    <row r="7289">
      <c r="A7289" s="28" t="n">
        <v>29929</v>
      </c>
      <c r="B7289" t="n">
        <v>13.64</v>
      </c>
      <c r="C7289" t="n">
        <v>10.38</v>
      </c>
    </row>
    <row r="7290">
      <c r="A7290" s="28" t="n">
        <v>29930</v>
      </c>
      <c r="B7290" t="n">
        <v>13.8</v>
      </c>
      <c r="C7290" t="n">
        <v>10.68</v>
      </c>
    </row>
    <row r="7291">
      <c r="A7291" s="28" t="n">
        <v>29931</v>
      </c>
      <c r="B7291" t="n">
        <v>13.84</v>
      </c>
      <c r="C7291" t="n">
        <v>10.82</v>
      </c>
    </row>
    <row r="7292">
      <c r="A7292" s="28" t="n">
        <v>29934</v>
      </c>
      <c r="B7292" t="n">
        <v>13.62</v>
      </c>
      <c r="C7292" t="n">
        <v>10.95</v>
      </c>
    </row>
    <row r="7293">
      <c r="A7293" s="28" t="n">
        <v>29935</v>
      </c>
      <c r="B7293" t="n">
        <v>13.55</v>
      </c>
      <c r="C7293" t="n">
        <v>10.89</v>
      </c>
    </row>
    <row r="7294">
      <c r="A7294" s="28" t="n">
        <v>29936</v>
      </c>
      <c r="B7294" t="n">
        <v>13.53</v>
      </c>
      <c r="C7294" t="n">
        <v>10.87</v>
      </c>
    </row>
    <row r="7295">
      <c r="A7295" s="28" t="n">
        <v>29937</v>
      </c>
      <c r="B7295" t="n">
        <v>13.71</v>
      </c>
      <c r="C7295" t="n">
        <v>11.14</v>
      </c>
    </row>
    <row r="7296">
      <c r="A7296" s="28" t="n">
        <v>29938</v>
      </c>
      <c r="B7296" t="n">
        <v>13.51</v>
      </c>
      <c r="C7296" t="n">
        <v>10.87</v>
      </c>
    </row>
    <row r="7297">
      <c r="A7297" s="28" t="n">
        <v>29941</v>
      </c>
      <c r="B7297" t="n">
        <v>13.83</v>
      </c>
      <c r="C7297" t="n">
        <v>11.1</v>
      </c>
    </row>
    <row r="7298">
      <c r="A7298" s="28" t="n">
        <v>29942</v>
      </c>
      <c r="B7298" t="n">
        <v>14.02</v>
      </c>
      <c r="C7298" t="n">
        <v>11.03</v>
      </c>
    </row>
    <row r="7299">
      <c r="A7299" s="28" t="n">
        <v>29943</v>
      </c>
      <c r="B7299" t="n">
        <v>14.14</v>
      </c>
      <c r="C7299" t="n">
        <v>11.32</v>
      </c>
    </row>
    <row r="7300">
      <c r="A7300" s="28" t="n">
        <v>29944</v>
      </c>
      <c r="B7300" t="n">
        <v>14.01</v>
      </c>
      <c r="C7300" t="n">
        <v>11.1</v>
      </c>
    </row>
    <row r="7301">
      <c r="A7301" s="28" t="n">
        <v>29945</v>
      </c>
      <c r="B7301" t="n">
        <v>0</v>
      </c>
      <c r="C7301" t="n">
        <v>0</v>
      </c>
    </row>
    <row r="7302">
      <c r="A7302" s="28" t="n">
        <v>29948</v>
      </c>
      <c r="B7302" t="n">
        <v>14.01</v>
      </c>
      <c r="C7302" t="n">
        <v>11.27</v>
      </c>
    </row>
    <row r="7303">
      <c r="A7303" s="28" t="n">
        <v>29949</v>
      </c>
      <c r="B7303" t="n">
        <v>14.12</v>
      </c>
      <c r="C7303" t="n">
        <v>11.7</v>
      </c>
    </row>
    <row r="7304">
      <c r="A7304" s="28" t="n">
        <v>29950</v>
      </c>
      <c r="B7304" t="n">
        <v>14.17</v>
      </c>
      <c r="C7304" t="n">
        <v>11.36</v>
      </c>
    </row>
    <row r="7305">
      <c r="A7305" s="28" t="n">
        <v>29951</v>
      </c>
      <c r="B7305" t="n">
        <v>13.98</v>
      </c>
      <c r="C7305" t="n">
        <v>11.08</v>
      </c>
    </row>
    <row r="7306">
      <c r="A7306" s="28" t="n">
        <v>29952</v>
      </c>
      <c r="B7306" t="n">
        <v>0</v>
      </c>
      <c r="C7306" t="n">
        <v>0</v>
      </c>
    </row>
    <row r="7307">
      <c r="A7307" s="28" t="n">
        <v>29955</v>
      </c>
      <c r="B7307" t="n">
        <v>14.19</v>
      </c>
      <c r="C7307" t="n">
        <v>11.39</v>
      </c>
    </row>
    <row r="7308">
      <c r="A7308" s="28" t="n">
        <v>29956</v>
      </c>
      <c r="B7308" t="n">
        <v>14.44</v>
      </c>
      <c r="C7308" t="n">
        <v>11.72</v>
      </c>
    </row>
    <row r="7309">
      <c r="A7309" s="28" t="n">
        <v>29957</v>
      </c>
      <c r="B7309" t="n">
        <v>14.59</v>
      </c>
      <c r="C7309" t="n">
        <v>11.64</v>
      </c>
    </row>
    <row r="7310">
      <c r="A7310" s="28" t="n">
        <v>29958</v>
      </c>
      <c r="B7310" t="n">
        <v>14.63</v>
      </c>
      <c r="C7310" t="n">
        <v>11.66</v>
      </c>
    </row>
    <row r="7311">
      <c r="A7311" s="28" t="n">
        <v>29959</v>
      </c>
      <c r="B7311" t="n">
        <v>14.48</v>
      </c>
      <c r="C7311" t="n">
        <v>11.52</v>
      </c>
    </row>
    <row r="7312">
      <c r="A7312" s="28" t="n">
        <v>29962</v>
      </c>
      <c r="B7312" t="n">
        <v>14.81</v>
      </c>
      <c r="C7312" t="n">
        <v>11.97</v>
      </c>
    </row>
    <row r="7313">
      <c r="A7313" s="28" t="n">
        <v>29963</v>
      </c>
      <c r="B7313" t="n">
        <v>14.62</v>
      </c>
      <c r="C7313" t="n">
        <v>11.96</v>
      </c>
    </row>
    <row r="7314">
      <c r="A7314" s="28" t="n">
        <v>29964</v>
      </c>
      <c r="B7314" t="n">
        <v>14.83</v>
      </c>
      <c r="C7314" t="n">
        <v>12.14</v>
      </c>
    </row>
    <row r="7315">
      <c r="A7315" s="28" t="n">
        <v>29965</v>
      </c>
      <c r="B7315" t="n">
        <v>14.7</v>
      </c>
      <c r="C7315" t="n">
        <v>12.06</v>
      </c>
    </row>
    <row r="7316">
      <c r="A7316" s="28" t="n">
        <v>29966</v>
      </c>
      <c r="B7316" t="n">
        <v>14.82</v>
      </c>
      <c r="C7316" t="n">
        <v>12.21</v>
      </c>
    </row>
    <row r="7317">
      <c r="A7317" s="28" t="n">
        <v>29969</v>
      </c>
      <c r="B7317" t="n">
        <v>14.75</v>
      </c>
      <c r="C7317" t="n">
        <v>12.25</v>
      </c>
    </row>
    <row r="7318">
      <c r="A7318" s="28" t="n">
        <v>29970</v>
      </c>
      <c r="B7318" t="n">
        <v>14.8</v>
      </c>
      <c r="C7318" t="n">
        <v>12.56</v>
      </c>
    </row>
    <row r="7319">
      <c r="A7319" s="28" t="n">
        <v>29971</v>
      </c>
      <c r="B7319" t="n">
        <v>14.81</v>
      </c>
      <c r="C7319" t="n">
        <v>12.72</v>
      </c>
    </row>
    <row r="7320">
      <c r="A7320" s="28" t="n">
        <v>29972</v>
      </c>
      <c r="B7320" t="n">
        <v>14.62</v>
      </c>
      <c r="C7320" t="n">
        <v>12.77</v>
      </c>
    </row>
    <row r="7321">
      <c r="A7321" s="28" t="n">
        <v>29973</v>
      </c>
      <c r="B7321" t="n">
        <v>14.69</v>
      </c>
      <c r="C7321" t="n">
        <v>13.02</v>
      </c>
    </row>
    <row r="7322">
      <c r="A7322" s="28" t="n">
        <v>29976</v>
      </c>
      <c r="B7322" t="n">
        <v>14.62</v>
      </c>
      <c r="C7322" t="n">
        <v>13.32</v>
      </c>
    </row>
    <row r="7323">
      <c r="A7323" s="28" t="n">
        <v>29977</v>
      </c>
      <c r="B7323" t="n">
        <v>14.54</v>
      </c>
      <c r="C7323" t="n">
        <v>13.02</v>
      </c>
    </row>
    <row r="7324">
      <c r="A7324" s="28" t="n">
        <v>29978</v>
      </c>
      <c r="B7324" t="n">
        <v>14.51</v>
      </c>
      <c r="C7324" t="n">
        <v>12.8</v>
      </c>
    </row>
    <row r="7325">
      <c r="A7325" s="28" t="n">
        <v>29979</v>
      </c>
      <c r="B7325" t="n">
        <v>14.29</v>
      </c>
      <c r="C7325" t="n">
        <v>12.28</v>
      </c>
    </row>
    <row r="7326">
      <c r="A7326" s="28" t="n">
        <v>29980</v>
      </c>
      <c r="B7326" t="n">
        <v>14.14</v>
      </c>
      <c r="C7326" t="n">
        <v>12.52</v>
      </c>
    </row>
    <row r="7327">
      <c r="A7327" s="28" t="n">
        <v>29983</v>
      </c>
      <c r="B7327" t="n">
        <v>14.58</v>
      </c>
      <c r="C7327" t="n">
        <v>13.68</v>
      </c>
    </row>
    <row r="7328">
      <c r="A7328" s="28" t="n">
        <v>29984</v>
      </c>
      <c r="B7328" t="n">
        <v>14.47</v>
      </c>
      <c r="C7328" t="n">
        <v>13.61</v>
      </c>
    </row>
    <row r="7329">
      <c r="A7329" s="28" t="n">
        <v>29985</v>
      </c>
      <c r="B7329" t="n">
        <v>14.69</v>
      </c>
      <c r="C7329" t="n">
        <v>13.77</v>
      </c>
    </row>
    <row r="7330">
      <c r="A7330" s="28" t="n">
        <v>29986</v>
      </c>
      <c r="B7330" t="n">
        <v>14.76</v>
      </c>
      <c r="C7330" t="n">
        <v>13.69</v>
      </c>
    </row>
    <row r="7331">
      <c r="A7331" s="28" t="n">
        <v>29987</v>
      </c>
      <c r="B7331" t="n">
        <v>14.65</v>
      </c>
      <c r="C7331" t="n">
        <v>13.63</v>
      </c>
    </row>
    <row r="7332">
      <c r="A7332" s="28" t="n">
        <v>29990</v>
      </c>
      <c r="B7332" t="n">
        <v>14.88</v>
      </c>
      <c r="C7332" t="n">
        <v>13.96</v>
      </c>
    </row>
    <row r="7333">
      <c r="A7333" s="28" t="n">
        <v>29991</v>
      </c>
      <c r="B7333" t="n">
        <v>14.95</v>
      </c>
      <c r="C7333" t="n">
        <v>14.18</v>
      </c>
    </row>
    <row r="7334">
      <c r="A7334" s="28" t="n">
        <v>29992</v>
      </c>
      <c r="B7334" t="n">
        <v>14.81</v>
      </c>
      <c r="C7334" t="n">
        <v>14.15</v>
      </c>
    </row>
    <row r="7335">
      <c r="A7335" s="28" t="n">
        <v>29993</v>
      </c>
      <c r="B7335" t="n">
        <v>14.71</v>
      </c>
      <c r="C7335" t="n">
        <v>14.19</v>
      </c>
    </row>
    <row r="7336">
      <c r="A7336" s="28" t="n">
        <v>29994</v>
      </c>
      <c r="B7336" t="n">
        <v>0</v>
      </c>
      <c r="C7336" t="n">
        <v>0</v>
      </c>
    </row>
    <row r="7337">
      <c r="A7337" s="28" t="n">
        <v>29997</v>
      </c>
      <c r="B7337" t="n">
        <v>0</v>
      </c>
      <c r="C7337" t="n">
        <v>0</v>
      </c>
    </row>
    <row r="7338">
      <c r="A7338" s="28" t="n">
        <v>29998</v>
      </c>
      <c r="B7338" t="n">
        <v>14.53</v>
      </c>
      <c r="C7338" t="n">
        <v>14.57</v>
      </c>
    </row>
    <row r="7339">
      <c r="A7339" s="28" t="n">
        <v>29999</v>
      </c>
      <c r="B7339" t="n">
        <v>14.5</v>
      </c>
      <c r="C7339" t="n">
        <v>14.47</v>
      </c>
    </row>
    <row r="7340">
      <c r="A7340" s="28" t="n">
        <v>30000</v>
      </c>
      <c r="B7340" t="n">
        <v>14.28</v>
      </c>
      <c r="C7340" t="n">
        <v>13.7</v>
      </c>
    </row>
    <row r="7341">
      <c r="A7341" s="28" t="n">
        <v>30001</v>
      </c>
      <c r="B7341" t="n">
        <v>14.24</v>
      </c>
      <c r="C7341" t="n">
        <v>13.49</v>
      </c>
    </row>
    <row r="7342">
      <c r="A7342" s="28" t="n">
        <v>30004</v>
      </c>
      <c r="B7342" t="n">
        <v>13.87</v>
      </c>
      <c r="C7342" t="n">
        <v>12.55</v>
      </c>
    </row>
    <row r="7343">
      <c r="A7343" s="28" t="n">
        <v>30005</v>
      </c>
      <c r="B7343" t="n">
        <v>13.93</v>
      </c>
      <c r="C7343" t="n">
        <v>12.35</v>
      </c>
    </row>
    <row r="7344">
      <c r="A7344" s="28" t="n">
        <v>30006</v>
      </c>
      <c r="B7344" t="n">
        <v>13.87</v>
      </c>
      <c r="C7344" t="n">
        <v>12</v>
      </c>
    </row>
    <row r="7345">
      <c r="A7345" s="28" t="n">
        <v>30007</v>
      </c>
      <c r="B7345" t="n">
        <v>13.91</v>
      </c>
      <c r="C7345" t="n">
        <v>12.23</v>
      </c>
    </row>
    <row r="7346">
      <c r="A7346" s="28" t="n">
        <v>30008</v>
      </c>
      <c r="B7346" t="n">
        <v>14.03</v>
      </c>
      <c r="C7346" t="n">
        <v>12.44</v>
      </c>
    </row>
    <row r="7347">
      <c r="A7347" s="28" t="n">
        <v>30011</v>
      </c>
      <c r="B7347" t="n">
        <v>13.85</v>
      </c>
      <c r="C7347" t="n">
        <v>12.27</v>
      </c>
    </row>
    <row r="7348">
      <c r="A7348" s="28" t="n">
        <v>30012</v>
      </c>
      <c r="B7348" t="n">
        <v>13.74</v>
      </c>
      <c r="C7348" t="n">
        <v>12.37</v>
      </c>
    </row>
    <row r="7349">
      <c r="A7349" s="28" t="n">
        <v>30013</v>
      </c>
      <c r="B7349" t="n">
        <v>13.69</v>
      </c>
      <c r="C7349" t="n">
        <v>12.28</v>
      </c>
    </row>
    <row r="7350">
      <c r="A7350" s="28" t="n">
        <v>30014</v>
      </c>
      <c r="B7350" t="n">
        <v>13.61</v>
      </c>
      <c r="C7350" t="n">
        <v>12.18</v>
      </c>
    </row>
    <row r="7351">
      <c r="A7351" s="28" t="n">
        <v>30015</v>
      </c>
      <c r="B7351" t="n">
        <v>13.59</v>
      </c>
      <c r="C7351" t="n">
        <v>12.19</v>
      </c>
    </row>
    <row r="7352">
      <c r="A7352" s="28" t="n">
        <v>30018</v>
      </c>
      <c r="B7352" t="n">
        <v>13.67</v>
      </c>
      <c r="C7352" t="n">
        <v>12.12</v>
      </c>
    </row>
    <row r="7353">
      <c r="A7353" s="28" t="n">
        <v>30019</v>
      </c>
      <c r="B7353" t="n">
        <v>13.69</v>
      </c>
      <c r="C7353" t="n">
        <v>12.36</v>
      </c>
    </row>
    <row r="7354">
      <c r="A7354" s="28" t="n">
        <v>30020</v>
      </c>
      <c r="B7354" t="n">
        <v>13.73</v>
      </c>
      <c r="C7354" t="n">
        <v>12.41</v>
      </c>
    </row>
    <row r="7355">
      <c r="A7355" s="28" t="n">
        <v>30021</v>
      </c>
      <c r="B7355" t="n">
        <v>13.95</v>
      </c>
      <c r="C7355" t="n">
        <v>12.64</v>
      </c>
    </row>
    <row r="7356">
      <c r="A7356" s="28" t="n">
        <v>30022</v>
      </c>
      <c r="B7356" t="n">
        <v>13.97</v>
      </c>
      <c r="C7356" t="n">
        <v>12.81</v>
      </c>
    </row>
    <row r="7357">
      <c r="A7357" s="28" t="n">
        <v>30025</v>
      </c>
      <c r="B7357" t="n">
        <v>13.96</v>
      </c>
      <c r="C7357" t="n">
        <v>12.89</v>
      </c>
    </row>
    <row r="7358">
      <c r="A7358" s="28" t="n">
        <v>30026</v>
      </c>
      <c r="B7358" t="n">
        <v>13.91</v>
      </c>
      <c r="C7358" t="n">
        <v>12.73</v>
      </c>
    </row>
    <row r="7359">
      <c r="A7359" s="28" t="n">
        <v>30027</v>
      </c>
      <c r="B7359" t="n">
        <v>13.88</v>
      </c>
      <c r="C7359" t="n">
        <v>12.76</v>
      </c>
    </row>
    <row r="7360">
      <c r="A7360" s="28" t="n">
        <v>30028</v>
      </c>
      <c r="B7360" t="n">
        <v>13.87</v>
      </c>
      <c r="C7360" t="n">
        <v>12.83</v>
      </c>
    </row>
    <row r="7361">
      <c r="A7361" s="28" t="n">
        <v>30029</v>
      </c>
      <c r="B7361" t="n">
        <v>13.89</v>
      </c>
      <c r="C7361" t="n">
        <v>13.04</v>
      </c>
    </row>
    <row r="7362">
      <c r="A7362" s="28" t="n">
        <v>30032</v>
      </c>
      <c r="B7362" t="n">
        <v>13.74</v>
      </c>
      <c r="C7362" t="n">
        <v>12.65</v>
      </c>
    </row>
    <row r="7363">
      <c r="A7363" s="28" t="n">
        <v>30033</v>
      </c>
      <c r="B7363" t="n">
        <v>13.72</v>
      </c>
      <c r="C7363" t="n">
        <v>12.53</v>
      </c>
    </row>
    <row r="7364">
      <c r="A7364" s="28" t="n">
        <v>30034</v>
      </c>
      <c r="B7364" t="n">
        <v>13.91</v>
      </c>
      <c r="C7364" t="n">
        <v>12.68</v>
      </c>
    </row>
    <row r="7365">
      <c r="A7365" s="28" t="n">
        <v>30035</v>
      </c>
      <c r="B7365" t="n">
        <v>13.9</v>
      </c>
      <c r="C7365" t="n">
        <v>12.75</v>
      </c>
    </row>
    <row r="7366">
      <c r="A7366" s="28" t="n">
        <v>30036</v>
      </c>
      <c r="B7366" t="n">
        <v>14.01</v>
      </c>
      <c r="C7366" t="n">
        <v>13</v>
      </c>
    </row>
    <row r="7367">
      <c r="A7367" s="28" t="n">
        <v>30039</v>
      </c>
      <c r="B7367" t="n">
        <v>14.16</v>
      </c>
      <c r="C7367" t="n">
        <v>13.41</v>
      </c>
    </row>
    <row r="7368">
      <c r="A7368" s="28" t="n">
        <v>30040</v>
      </c>
      <c r="B7368" t="n">
        <v>14.19</v>
      </c>
      <c r="C7368" t="n">
        <v>13.43</v>
      </c>
    </row>
    <row r="7369">
      <c r="A7369" s="28" t="n">
        <v>30041</v>
      </c>
      <c r="B7369" t="n">
        <v>14.18</v>
      </c>
      <c r="C7369" t="n">
        <v>13.26</v>
      </c>
    </row>
    <row r="7370">
      <c r="A7370" s="28" t="n">
        <v>30042</v>
      </c>
      <c r="B7370" t="n">
        <v>14.1</v>
      </c>
      <c r="C7370" t="n">
        <v>13.24</v>
      </c>
    </row>
    <row r="7371">
      <c r="A7371" s="28" t="n">
        <v>30043</v>
      </c>
      <c r="B7371" t="n">
        <v>14.1</v>
      </c>
      <c r="C7371" t="n">
        <v>13.26</v>
      </c>
    </row>
    <row r="7372">
      <c r="A7372" s="28" t="n">
        <v>30046</v>
      </c>
      <c r="B7372" t="n">
        <v>14.16</v>
      </c>
      <c r="C7372" t="n">
        <v>13.05</v>
      </c>
    </row>
    <row r="7373">
      <c r="A7373" s="28" t="n">
        <v>30047</v>
      </c>
      <c r="B7373" t="n">
        <v>14.18</v>
      </c>
      <c r="C7373" t="n">
        <v>13.13</v>
      </c>
    </row>
    <row r="7374">
      <c r="A7374" s="28" t="n">
        <v>30048</v>
      </c>
      <c r="B7374" t="n">
        <v>14.18</v>
      </c>
      <c r="C7374" t="n">
        <v>13.18</v>
      </c>
    </row>
    <row r="7375">
      <c r="A7375" s="28" t="n">
        <v>30049</v>
      </c>
      <c r="B7375" t="n">
        <v>13.98</v>
      </c>
      <c r="C7375" t="n">
        <v>13.03</v>
      </c>
    </row>
    <row r="7376">
      <c r="A7376" s="28" t="n">
        <v>30050</v>
      </c>
      <c r="B7376" t="n">
        <v>0</v>
      </c>
      <c r="C7376" t="n">
        <v>0</v>
      </c>
    </row>
    <row r="7377">
      <c r="A7377" s="28" t="n">
        <v>30053</v>
      </c>
      <c r="B7377" t="n">
        <v>13.83</v>
      </c>
      <c r="C7377" t="n">
        <v>12.81</v>
      </c>
    </row>
    <row r="7378">
      <c r="A7378" s="28" t="n">
        <v>30054</v>
      </c>
      <c r="B7378" t="n">
        <v>13.83</v>
      </c>
      <c r="C7378" t="n">
        <v>12.73</v>
      </c>
    </row>
    <row r="7379">
      <c r="A7379" s="28" t="n">
        <v>30055</v>
      </c>
      <c r="B7379" t="n">
        <v>13.95</v>
      </c>
      <c r="C7379" t="n">
        <v>12.81</v>
      </c>
    </row>
    <row r="7380">
      <c r="A7380" s="28" t="n">
        <v>30056</v>
      </c>
      <c r="B7380" t="n">
        <v>13.91</v>
      </c>
      <c r="C7380" t="n">
        <v>12.86</v>
      </c>
    </row>
    <row r="7381">
      <c r="A7381" s="28" t="n">
        <v>30057</v>
      </c>
      <c r="B7381" t="n">
        <v>13.71</v>
      </c>
      <c r="C7381" t="n">
        <v>12.64</v>
      </c>
    </row>
    <row r="7382">
      <c r="A7382" s="28" t="n">
        <v>30060</v>
      </c>
      <c r="B7382" t="n">
        <v>13.66</v>
      </c>
      <c r="C7382" t="n">
        <v>12.48</v>
      </c>
    </row>
    <row r="7383">
      <c r="A7383" s="28" t="n">
        <v>30061</v>
      </c>
      <c r="B7383" t="n">
        <v>13.72</v>
      </c>
      <c r="C7383" t="n">
        <v>12.46</v>
      </c>
    </row>
    <row r="7384">
      <c r="A7384" s="28" t="n">
        <v>30062</v>
      </c>
      <c r="B7384" t="n">
        <v>13.69</v>
      </c>
      <c r="C7384" t="n">
        <v>12.19</v>
      </c>
    </row>
    <row r="7385">
      <c r="A7385" s="28" t="n">
        <v>30063</v>
      </c>
      <c r="B7385" t="n">
        <v>13.71</v>
      </c>
      <c r="C7385" t="n">
        <v>12.42</v>
      </c>
    </row>
    <row r="7386">
      <c r="A7386" s="28" t="n">
        <v>30064</v>
      </c>
      <c r="B7386" t="n">
        <v>13.69</v>
      </c>
      <c r="C7386" t="n">
        <v>12.39</v>
      </c>
    </row>
    <row r="7387">
      <c r="A7387" s="28" t="n">
        <v>30067</v>
      </c>
      <c r="B7387" t="n">
        <v>13.7</v>
      </c>
      <c r="C7387" t="n">
        <v>12.44</v>
      </c>
    </row>
    <row r="7388">
      <c r="A7388" s="28" t="n">
        <v>30068</v>
      </c>
      <c r="B7388" t="n">
        <v>13.7</v>
      </c>
      <c r="C7388" t="n">
        <v>12.43</v>
      </c>
    </row>
    <row r="7389">
      <c r="A7389" s="28" t="n">
        <v>30069</v>
      </c>
      <c r="B7389" t="n">
        <v>13.77</v>
      </c>
      <c r="C7389" t="n">
        <v>12.44</v>
      </c>
    </row>
    <row r="7390">
      <c r="A7390" s="28" t="n">
        <v>30070</v>
      </c>
      <c r="B7390" t="n">
        <v>13.87</v>
      </c>
      <c r="C7390" t="n">
        <v>12.44</v>
      </c>
    </row>
    <row r="7391">
      <c r="A7391" s="28" t="n">
        <v>30071</v>
      </c>
      <c r="B7391" t="n">
        <v>13.87</v>
      </c>
      <c r="C7391" t="n">
        <v>12.34</v>
      </c>
    </row>
    <row r="7392">
      <c r="A7392" s="28" t="n">
        <v>30074</v>
      </c>
      <c r="B7392" t="n">
        <v>13.95</v>
      </c>
      <c r="C7392" t="n">
        <v>12.74</v>
      </c>
    </row>
    <row r="7393">
      <c r="A7393" s="28" t="n">
        <v>30075</v>
      </c>
      <c r="B7393" t="n">
        <v>13.87</v>
      </c>
      <c r="C7393" t="n">
        <v>12.73</v>
      </c>
    </row>
    <row r="7394">
      <c r="A7394" s="28" t="n">
        <v>30076</v>
      </c>
      <c r="B7394" t="n">
        <v>13.8</v>
      </c>
      <c r="C7394" t="n">
        <v>12.62</v>
      </c>
    </row>
    <row r="7395">
      <c r="A7395" s="28" t="n">
        <v>30077</v>
      </c>
      <c r="B7395" t="n">
        <v>13.54</v>
      </c>
      <c r="C7395" t="n">
        <v>12.34</v>
      </c>
    </row>
    <row r="7396">
      <c r="A7396" s="28" t="n">
        <v>30078</v>
      </c>
      <c r="B7396" t="n">
        <v>13.48</v>
      </c>
      <c r="C7396" t="n">
        <v>12.25</v>
      </c>
    </row>
    <row r="7397">
      <c r="A7397" s="28" t="n">
        <v>30081</v>
      </c>
      <c r="B7397" t="n">
        <v>13.49</v>
      </c>
      <c r="C7397" t="n">
        <v>12.33</v>
      </c>
    </row>
    <row r="7398">
      <c r="A7398" s="28" t="n">
        <v>30082</v>
      </c>
      <c r="B7398" t="n">
        <v>13.46</v>
      </c>
      <c r="C7398" t="n">
        <v>12.3</v>
      </c>
    </row>
    <row r="7399">
      <c r="A7399" s="28" t="n">
        <v>30083</v>
      </c>
      <c r="B7399" t="n">
        <v>13.59</v>
      </c>
      <c r="C7399" t="n">
        <v>12.4</v>
      </c>
    </row>
    <row r="7400">
      <c r="A7400" s="28" t="n">
        <v>30084</v>
      </c>
      <c r="B7400" t="n">
        <v>13.62</v>
      </c>
      <c r="C7400" t="n">
        <v>12.5</v>
      </c>
    </row>
    <row r="7401">
      <c r="A7401" s="28" t="n">
        <v>30085</v>
      </c>
      <c r="B7401" t="n">
        <v>13.48</v>
      </c>
      <c r="C7401" t="n">
        <v>12.36</v>
      </c>
    </row>
    <row r="7402">
      <c r="A7402" s="28" t="n">
        <v>30088</v>
      </c>
      <c r="B7402" t="n">
        <v>13.57</v>
      </c>
      <c r="C7402" t="n">
        <v>12.32</v>
      </c>
    </row>
    <row r="7403">
      <c r="A7403" s="28" t="n">
        <v>30089</v>
      </c>
      <c r="B7403" t="n">
        <v>13.6</v>
      </c>
      <c r="C7403" t="n">
        <v>12.23</v>
      </c>
    </row>
    <row r="7404">
      <c r="A7404" s="28" t="n">
        <v>30090</v>
      </c>
      <c r="B7404" t="n">
        <v>13.64</v>
      </c>
      <c r="C7404" t="n">
        <v>11.94</v>
      </c>
    </row>
    <row r="7405">
      <c r="A7405" s="28" t="n">
        <v>30091</v>
      </c>
      <c r="B7405" t="n">
        <v>13.53</v>
      </c>
      <c r="C7405" t="n">
        <v>11.5</v>
      </c>
    </row>
    <row r="7406">
      <c r="A7406" s="28" t="n">
        <v>30092</v>
      </c>
      <c r="B7406" t="n">
        <v>13.52</v>
      </c>
      <c r="C7406" t="n">
        <v>11.51</v>
      </c>
    </row>
    <row r="7407">
      <c r="A7407" s="28" t="n">
        <v>30095</v>
      </c>
      <c r="B7407" t="n">
        <v>13.58</v>
      </c>
      <c r="C7407" t="n">
        <v>11.5</v>
      </c>
    </row>
    <row r="7408">
      <c r="A7408" s="28" t="n">
        <v>30096</v>
      </c>
      <c r="B7408" t="n">
        <v>13.62</v>
      </c>
      <c r="C7408" t="n">
        <v>11.57</v>
      </c>
    </row>
    <row r="7409">
      <c r="A7409" s="28" t="n">
        <v>30097</v>
      </c>
      <c r="B7409" t="n">
        <v>13.68</v>
      </c>
      <c r="C7409" t="n">
        <v>11.55</v>
      </c>
    </row>
    <row r="7410">
      <c r="A7410" s="28" t="n">
        <v>30098</v>
      </c>
      <c r="B7410" t="n">
        <v>13.72</v>
      </c>
      <c r="C7410" t="n">
        <v>11.57</v>
      </c>
    </row>
    <row r="7411">
      <c r="A7411" s="28" t="n">
        <v>30099</v>
      </c>
      <c r="B7411" t="n">
        <v>13.71</v>
      </c>
      <c r="C7411" t="n">
        <v>11.5</v>
      </c>
    </row>
    <row r="7412">
      <c r="A7412" s="28" t="n">
        <v>30102</v>
      </c>
      <c r="B7412" t="n">
        <v>0</v>
      </c>
      <c r="C7412" t="n">
        <v>0</v>
      </c>
    </row>
    <row r="7413">
      <c r="A7413" s="28" t="n">
        <v>30103</v>
      </c>
      <c r="B7413" t="n">
        <v>13.93</v>
      </c>
      <c r="C7413" t="n">
        <v>12.01</v>
      </c>
    </row>
    <row r="7414">
      <c r="A7414" s="28" t="n">
        <v>30104</v>
      </c>
      <c r="B7414" t="n">
        <v>13.86</v>
      </c>
      <c r="C7414" t="n">
        <v>12.06</v>
      </c>
    </row>
    <row r="7415">
      <c r="A7415" s="28" t="n">
        <v>30105</v>
      </c>
      <c r="B7415" t="n">
        <v>13.9</v>
      </c>
      <c r="C7415" t="n">
        <v>12.07</v>
      </c>
    </row>
    <row r="7416">
      <c r="A7416" s="28" t="n">
        <v>30106</v>
      </c>
      <c r="B7416" t="n">
        <v>13.98</v>
      </c>
      <c r="C7416" t="n">
        <v>12.22</v>
      </c>
    </row>
    <row r="7417">
      <c r="A7417" s="28" t="n">
        <v>30109</v>
      </c>
      <c r="B7417" t="n">
        <v>13.94</v>
      </c>
      <c r="C7417" t="n">
        <v>12.09</v>
      </c>
    </row>
    <row r="7418">
      <c r="A7418" s="28" t="n">
        <v>30110</v>
      </c>
      <c r="B7418" t="n">
        <v>13.98</v>
      </c>
      <c r="C7418" t="n">
        <v>12.17</v>
      </c>
    </row>
    <row r="7419">
      <c r="A7419" s="28" t="n">
        <v>30111</v>
      </c>
      <c r="B7419" t="n">
        <v>13.99</v>
      </c>
      <c r="C7419" t="n">
        <v>12.08</v>
      </c>
    </row>
    <row r="7420">
      <c r="A7420" s="28" t="n">
        <v>30112</v>
      </c>
      <c r="B7420" t="n">
        <v>14.02</v>
      </c>
      <c r="C7420" t="n">
        <v>11.98</v>
      </c>
    </row>
    <row r="7421">
      <c r="A7421" s="28" t="n">
        <v>30113</v>
      </c>
      <c r="B7421" t="n">
        <v>13.93</v>
      </c>
      <c r="C7421" t="n">
        <v>11.99</v>
      </c>
    </row>
    <row r="7422">
      <c r="A7422" s="28" t="n">
        <v>30116</v>
      </c>
      <c r="B7422" t="n">
        <v>14.21</v>
      </c>
      <c r="C7422" t="n">
        <v>12.34</v>
      </c>
    </row>
    <row r="7423">
      <c r="A7423" s="28" t="n">
        <v>30117</v>
      </c>
      <c r="B7423" t="n">
        <v>14.21</v>
      </c>
      <c r="C7423" t="n">
        <v>12.36</v>
      </c>
    </row>
    <row r="7424">
      <c r="A7424" s="28" t="n">
        <v>30118</v>
      </c>
      <c r="B7424" t="n">
        <v>14.26</v>
      </c>
      <c r="C7424" t="n">
        <v>12.31</v>
      </c>
    </row>
    <row r="7425">
      <c r="A7425" s="28" t="n">
        <v>30119</v>
      </c>
      <c r="B7425" t="n">
        <v>14.48</v>
      </c>
      <c r="C7425" t="n">
        <v>12.56</v>
      </c>
    </row>
    <row r="7426">
      <c r="A7426" s="28" t="n">
        <v>30120</v>
      </c>
      <c r="B7426" t="n">
        <v>14.62</v>
      </c>
      <c r="C7426" t="n">
        <v>12.73</v>
      </c>
    </row>
    <row r="7427">
      <c r="A7427" s="28" t="n">
        <v>30123</v>
      </c>
      <c r="B7427" t="n">
        <v>14.63</v>
      </c>
      <c r="C7427" t="n">
        <v>12.56</v>
      </c>
    </row>
    <row r="7428">
      <c r="A7428" s="28" t="n">
        <v>30124</v>
      </c>
      <c r="B7428" t="n">
        <v>14.66</v>
      </c>
      <c r="C7428" t="n">
        <v>12.78</v>
      </c>
    </row>
    <row r="7429">
      <c r="A7429" s="28" t="n">
        <v>30125</v>
      </c>
      <c r="B7429" t="n">
        <v>14.74</v>
      </c>
      <c r="C7429" t="n">
        <v>12.87</v>
      </c>
    </row>
    <row r="7430">
      <c r="A7430" s="28" t="n">
        <v>30126</v>
      </c>
      <c r="B7430" t="n">
        <v>14.71</v>
      </c>
      <c r="C7430" t="n">
        <v>12.99</v>
      </c>
    </row>
    <row r="7431">
      <c r="A7431" s="28" t="n">
        <v>30127</v>
      </c>
      <c r="B7431" t="n">
        <v>14.76</v>
      </c>
      <c r="C7431" t="n">
        <v>13.19</v>
      </c>
    </row>
    <row r="7432">
      <c r="A7432" s="28" t="n">
        <v>30130</v>
      </c>
      <c r="B7432" t="n">
        <v>14.73</v>
      </c>
      <c r="C7432" t="n">
        <v>13.11</v>
      </c>
    </row>
    <row r="7433">
      <c r="A7433" s="28" t="n">
        <v>30131</v>
      </c>
      <c r="B7433" t="n">
        <v>14.61</v>
      </c>
      <c r="C7433" t="n">
        <v>13.02</v>
      </c>
    </row>
    <row r="7434">
      <c r="A7434" s="28" t="n">
        <v>30132</v>
      </c>
      <c r="B7434" t="n">
        <v>14.44</v>
      </c>
      <c r="C7434" t="n">
        <v>12.76</v>
      </c>
    </row>
    <row r="7435">
      <c r="A7435" s="28" t="n">
        <v>30133</v>
      </c>
      <c r="B7435" t="n">
        <v>14.4</v>
      </c>
      <c r="C7435" t="n">
        <v>12.55</v>
      </c>
    </row>
    <row r="7436">
      <c r="A7436" s="28" t="n">
        <v>30134</v>
      </c>
      <c r="B7436" t="n">
        <v>14.5</v>
      </c>
      <c r="C7436" t="n">
        <v>12.59</v>
      </c>
    </row>
    <row r="7437">
      <c r="A7437" s="28" t="n">
        <v>30137</v>
      </c>
      <c r="B7437" t="n">
        <v>0</v>
      </c>
      <c r="C7437" t="n">
        <v>0</v>
      </c>
    </row>
    <row r="7438">
      <c r="A7438" s="28" t="n">
        <v>30138</v>
      </c>
      <c r="B7438" t="n">
        <v>14.48</v>
      </c>
      <c r="C7438" t="n">
        <v>12.62</v>
      </c>
    </row>
    <row r="7439">
      <c r="A7439" s="28" t="n">
        <v>30139</v>
      </c>
      <c r="B7439" t="n">
        <v>14.49</v>
      </c>
      <c r="C7439" t="n">
        <v>12.58</v>
      </c>
    </row>
    <row r="7440">
      <c r="A7440" s="28" t="n">
        <v>30140</v>
      </c>
      <c r="B7440" t="n">
        <v>14.19</v>
      </c>
      <c r="C7440" t="n">
        <v>11.95</v>
      </c>
    </row>
    <row r="7441">
      <c r="A7441" s="28" t="n">
        <v>30141</v>
      </c>
      <c r="B7441" t="n">
        <v>14.03</v>
      </c>
      <c r="C7441" t="n">
        <v>11.77</v>
      </c>
    </row>
    <row r="7442">
      <c r="A7442" s="28" t="n">
        <v>30144</v>
      </c>
      <c r="B7442" t="n">
        <v>13.87</v>
      </c>
      <c r="C7442" t="n">
        <v>11.73</v>
      </c>
    </row>
    <row r="7443">
      <c r="A7443" s="28" t="n">
        <v>30145</v>
      </c>
      <c r="B7443" t="n">
        <v>14.02</v>
      </c>
      <c r="C7443" t="n">
        <v>11.95</v>
      </c>
    </row>
    <row r="7444">
      <c r="A7444" s="28" t="n">
        <v>30146</v>
      </c>
      <c r="B7444" t="n">
        <v>14.1</v>
      </c>
      <c r="C7444" t="n">
        <v>12</v>
      </c>
    </row>
    <row r="7445">
      <c r="A7445" s="28" t="n">
        <v>30147</v>
      </c>
      <c r="B7445" t="n">
        <v>13.96</v>
      </c>
      <c r="C7445" t="n">
        <v>11.64</v>
      </c>
    </row>
    <row r="7446">
      <c r="A7446" s="28" t="n">
        <v>30148</v>
      </c>
      <c r="B7446" t="n">
        <v>13.7</v>
      </c>
      <c r="C7446" t="n">
        <v>11.21</v>
      </c>
    </row>
    <row r="7447">
      <c r="A7447" s="28" t="n">
        <v>30151</v>
      </c>
      <c r="B7447" t="n">
        <v>13.68</v>
      </c>
      <c r="C7447" t="n">
        <v>11.06</v>
      </c>
    </row>
    <row r="7448">
      <c r="A7448" s="28" t="n">
        <v>30152</v>
      </c>
      <c r="B7448" t="n">
        <v>13.53</v>
      </c>
      <c r="C7448" t="n">
        <v>10.66</v>
      </c>
    </row>
    <row r="7449">
      <c r="A7449" s="28" t="n">
        <v>30153</v>
      </c>
      <c r="B7449" t="n">
        <v>13.6</v>
      </c>
      <c r="C7449" t="n">
        <v>10.75</v>
      </c>
    </row>
    <row r="7450">
      <c r="A7450" s="28" t="n">
        <v>30154</v>
      </c>
      <c r="B7450" t="n">
        <v>13.51</v>
      </c>
      <c r="C7450" t="n">
        <v>10.41</v>
      </c>
    </row>
    <row r="7451">
      <c r="A7451" s="28" t="n">
        <v>30155</v>
      </c>
      <c r="B7451" t="n">
        <v>13.56</v>
      </c>
      <c r="C7451" t="n">
        <v>10.33</v>
      </c>
    </row>
    <row r="7452">
      <c r="A7452" s="28" t="n">
        <v>30158</v>
      </c>
      <c r="B7452" t="n">
        <v>13.91</v>
      </c>
      <c r="C7452" t="n">
        <v>10.45</v>
      </c>
    </row>
    <row r="7453">
      <c r="A7453" s="28" t="n">
        <v>30159</v>
      </c>
      <c r="B7453" t="n">
        <v>13.86</v>
      </c>
      <c r="C7453" t="n">
        <v>10.66</v>
      </c>
    </row>
    <row r="7454">
      <c r="A7454" s="28" t="n">
        <v>30160</v>
      </c>
      <c r="B7454" t="n">
        <v>13.97</v>
      </c>
      <c r="C7454" t="n">
        <v>10.72</v>
      </c>
    </row>
    <row r="7455">
      <c r="A7455" s="28" t="n">
        <v>30161</v>
      </c>
      <c r="B7455" t="n">
        <v>13.83</v>
      </c>
      <c r="C7455" t="n">
        <v>10.53</v>
      </c>
    </row>
    <row r="7456">
      <c r="A7456" s="28" t="n">
        <v>30162</v>
      </c>
      <c r="B7456" t="n">
        <v>13.68</v>
      </c>
      <c r="C7456" t="n">
        <v>10.17</v>
      </c>
    </row>
    <row r="7457">
      <c r="A7457" s="28" t="n">
        <v>30165</v>
      </c>
      <c r="B7457" t="n">
        <v>13.41</v>
      </c>
      <c r="C7457" t="n">
        <v>9.359999999999999</v>
      </c>
    </row>
    <row r="7458">
      <c r="A7458" s="28" t="n">
        <v>30166</v>
      </c>
      <c r="B7458" t="n">
        <v>13.51</v>
      </c>
      <c r="C7458" t="n">
        <v>9.800000000000001</v>
      </c>
    </row>
    <row r="7459">
      <c r="A7459" s="28" t="n">
        <v>30167</v>
      </c>
      <c r="B7459" t="n">
        <v>13.68</v>
      </c>
      <c r="C7459" t="n">
        <v>9.73</v>
      </c>
    </row>
    <row r="7460">
      <c r="A7460" s="28" t="n">
        <v>30168</v>
      </c>
      <c r="B7460" t="n">
        <v>13.7</v>
      </c>
      <c r="C7460" t="n">
        <v>9.800000000000001</v>
      </c>
    </row>
    <row r="7461">
      <c r="A7461" s="28" t="n">
        <v>30169</v>
      </c>
      <c r="B7461" t="n">
        <v>13.85</v>
      </c>
      <c r="C7461" t="n">
        <v>10.31</v>
      </c>
    </row>
    <row r="7462">
      <c r="A7462" s="28" t="n">
        <v>30172</v>
      </c>
      <c r="B7462" t="n">
        <v>13.7</v>
      </c>
      <c r="C7462" t="n">
        <v>9.859999999999999</v>
      </c>
    </row>
    <row r="7463">
      <c r="A7463" s="28" t="n">
        <v>30173</v>
      </c>
      <c r="B7463" t="n">
        <v>13.69</v>
      </c>
      <c r="C7463" t="n">
        <v>10.02</v>
      </c>
    </row>
    <row r="7464">
      <c r="A7464" s="28" t="n">
        <v>30174</v>
      </c>
      <c r="B7464" t="n">
        <v>13.71</v>
      </c>
      <c r="C7464" t="n">
        <v>9.970000000000001</v>
      </c>
    </row>
    <row r="7465">
      <c r="A7465" s="28" t="n">
        <v>30175</v>
      </c>
      <c r="B7465" t="n">
        <v>13.55</v>
      </c>
      <c r="C7465" t="n">
        <v>9.380000000000001</v>
      </c>
    </row>
    <row r="7466">
      <c r="A7466" s="28" t="n">
        <v>30176</v>
      </c>
      <c r="B7466" t="n">
        <v>13.2</v>
      </c>
      <c r="C7466" t="n">
        <v>9.25</v>
      </c>
    </row>
    <row r="7467">
      <c r="A7467" s="28" t="n">
        <v>30179</v>
      </c>
      <c r="B7467" t="n">
        <v>13.09</v>
      </c>
      <c r="C7467" t="n">
        <v>8.67</v>
      </c>
    </row>
    <row r="7468">
      <c r="A7468" s="28" t="n">
        <v>30180</v>
      </c>
      <c r="B7468" t="n">
        <v>12.65</v>
      </c>
      <c r="C7468" t="n">
        <v>8.050000000000001</v>
      </c>
    </row>
    <row r="7469">
      <c r="A7469" s="28" t="n">
        <v>30181</v>
      </c>
      <c r="B7469" t="n">
        <v>12.57</v>
      </c>
      <c r="C7469" t="n">
        <v>8.06</v>
      </c>
    </row>
    <row r="7470">
      <c r="A7470" s="28" t="n">
        <v>30182</v>
      </c>
      <c r="B7470" t="n">
        <v>12.47</v>
      </c>
      <c r="C7470" t="n">
        <v>7.52</v>
      </c>
    </row>
    <row r="7471">
      <c r="A7471" s="28" t="n">
        <v>30183</v>
      </c>
      <c r="B7471" t="n">
        <v>12.24</v>
      </c>
      <c r="C7471" t="n">
        <v>7.08</v>
      </c>
    </row>
    <row r="7472">
      <c r="A7472" s="28" t="n">
        <v>30186</v>
      </c>
      <c r="B7472" t="n">
        <v>12.47</v>
      </c>
      <c r="C7472" t="n">
        <v>7.5</v>
      </c>
    </row>
    <row r="7473">
      <c r="A7473" s="28" t="n">
        <v>30187</v>
      </c>
      <c r="B7473" t="n">
        <v>12.35</v>
      </c>
      <c r="C7473" t="n">
        <v>7.61</v>
      </c>
    </row>
    <row r="7474">
      <c r="A7474" s="28" t="n">
        <v>30188</v>
      </c>
      <c r="B7474" t="n">
        <v>12.43</v>
      </c>
      <c r="C7474" t="n">
        <v>7.42</v>
      </c>
    </row>
    <row r="7475">
      <c r="A7475" s="28" t="n">
        <v>30189</v>
      </c>
      <c r="B7475" t="n">
        <v>12.55</v>
      </c>
      <c r="C7475" t="n">
        <v>7.14</v>
      </c>
    </row>
    <row r="7476">
      <c r="A7476" s="28" t="n">
        <v>30190</v>
      </c>
      <c r="B7476" t="n">
        <v>12.77</v>
      </c>
      <c r="C7476" t="n">
        <v>7.84</v>
      </c>
    </row>
    <row r="7477">
      <c r="A7477" s="28" t="n">
        <v>30193</v>
      </c>
      <c r="B7477" t="n">
        <v>12.81</v>
      </c>
      <c r="C7477" t="n">
        <v>8.16</v>
      </c>
    </row>
    <row r="7478">
      <c r="A7478" s="28" t="n">
        <v>30194</v>
      </c>
      <c r="B7478" t="n">
        <v>12.81</v>
      </c>
      <c r="C7478" t="n">
        <v>8.42</v>
      </c>
    </row>
    <row r="7479">
      <c r="A7479" s="28" t="n">
        <v>30195</v>
      </c>
      <c r="B7479" t="n">
        <v>12.76</v>
      </c>
      <c r="C7479" t="n">
        <v>8.42</v>
      </c>
    </row>
    <row r="7480">
      <c r="A7480" s="28" t="n">
        <v>30196</v>
      </c>
      <c r="B7480" t="n">
        <v>12.6</v>
      </c>
      <c r="C7480" t="n">
        <v>8.359999999999999</v>
      </c>
    </row>
    <row r="7481">
      <c r="A7481" s="28" t="n">
        <v>30197</v>
      </c>
      <c r="B7481" t="n">
        <v>12.47</v>
      </c>
      <c r="C7481" t="n">
        <v>8.17</v>
      </c>
    </row>
    <row r="7482">
      <c r="A7482" s="28" t="n">
        <v>30200</v>
      </c>
      <c r="B7482" t="n">
        <v>0</v>
      </c>
      <c r="C7482" t="n">
        <v>0</v>
      </c>
    </row>
    <row r="7483">
      <c r="A7483" s="28" t="n">
        <v>30201</v>
      </c>
      <c r="B7483" t="n">
        <v>12.53</v>
      </c>
      <c r="C7483" t="n">
        <v>8.390000000000001</v>
      </c>
    </row>
    <row r="7484">
      <c r="A7484" s="28" t="n">
        <v>30202</v>
      </c>
      <c r="B7484" t="n">
        <v>12.51</v>
      </c>
      <c r="C7484" t="n">
        <v>8.300000000000001</v>
      </c>
    </row>
    <row r="7485">
      <c r="A7485" s="28" t="n">
        <v>30203</v>
      </c>
      <c r="B7485" t="n">
        <v>12.53</v>
      </c>
      <c r="C7485" t="n">
        <v>8.279999999999999</v>
      </c>
    </row>
    <row r="7486">
      <c r="A7486" s="28" t="n">
        <v>30204</v>
      </c>
      <c r="B7486" t="n">
        <v>12.73</v>
      </c>
      <c r="C7486" t="n">
        <v>8.369999999999999</v>
      </c>
    </row>
    <row r="7487">
      <c r="A7487" s="28" t="n">
        <v>30207</v>
      </c>
      <c r="B7487" t="n">
        <v>12.63</v>
      </c>
      <c r="C7487" t="n">
        <v>8.119999999999999</v>
      </c>
    </row>
    <row r="7488">
      <c r="A7488" s="28" t="n">
        <v>30208</v>
      </c>
      <c r="B7488" t="n">
        <v>12.56</v>
      </c>
      <c r="C7488" t="n">
        <v>7.89</v>
      </c>
    </row>
    <row r="7489">
      <c r="A7489" s="28" t="n">
        <v>30209</v>
      </c>
      <c r="B7489" t="n">
        <v>12.6</v>
      </c>
      <c r="C7489" t="n">
        <v>8.140000000000001</v>
      </c>
    </row>
    <row r="7490">
      <c r="A7490" s="28" t="n">
        <v>30210</v>
      </c>
      <c r="B7490" t="n">
        <v>12.6</v>
      </c>
      <c r="C7490" t="n">
        <v>8.029999999999999</v>
      </c>
    </row>
    <row r="7491">
      <c r="A7491" s="28" t="n">
        <v>30211</v>
      </c>
      <c r="B7491" t="n">
        <v>12.51</v>
      </c>
      <c r="C7491" t="n">
        <v>7.96</v>
      </c>
    </row>
    <row r="7492">
      <c r="A7492" s="28" t="n">
        <v>30214</v>
      </c>
      <c r="B7492" t="n">
        <v>12.47</v>
      </c>
      <c r="C7492" t="n">
        <v>7.78</v>
      </c>
    </row>
    <row r="7493">
      <c r="A7493" s="28" t="n">
        <v>30215</v>
      </c>
      <c r="B7493" t="n">
        <v>12.18</v>
      </c>
      <c r="C7493" t="n">
        <v>7.63</v>
      </c>
    </row>
    <row r="7494">
      <c r="A7494" s="28" t="n">
        <v>30216</v>
      </c>
      <c r="B7494" t="n">
        <v>12.04</v>
      </c>
      <c r="C7494" t="n">
        <v>7.35</v>
      </c>
    </row>
    <row r="7495">
      <c r="A7495" s="28" t="n">
        <v>30217</v>
      </c>
      <c r="B7495" t="n">
        <v>11.94</v>
      </c>
      <c r="C7495" t="n">
        <v>7.28</v>
      </c>
    </row>
    <row r="7496">
      <c r="A7496" s="28" t="n">
        <v>30218</v>
      </c>
      <c r="B7496" t="n">
        <v>12.09</v>
      </c>
      <c r="C7496" t="n">
        <v>7.6</v>
      </c>
    </row>
    <row r="7497">
      <c r="A7497" s="28" t="n">
        <v>30221</v>
      </c>
      <c r="B7497" t="n">
        <v>11.99</v>
      </c>
      <c r="C7497" t="n">
        <v>7.58</v>
      </c>
    </row>
    <row r="7498">
      <c r="A7498" s="28" t="n">
        <v>30222</v>
      </c>
      <c r="B7498" t="n">
        <v>11.85</v>
      </c>
      <c r="C7498" t="n">
        <v>7.48</v>
      </c>
    </row>
    <row r="7499">
      <c r="A7499" s="28" t="n">
        <v>30223</v>
      </c>
      <c r="B7499" t="n">
        <v>11.8</v>
      </c>
      <c r="C7499" t="n">
        <v>7.58</v>
      </c>
    </row>
    <row r="7500">
      <c r="A7500" s="28" t="n">
        <v>30224</v>
      </c>
      <c r="B7500" t="n">
        <v>11.73</v>
      </c>
      <c r="C7500" t="n">
        <v>7.62</v>
      </c>
    </row>
    <row r="7501">
      <c r="A7501" s="28" t="n">
        <v>30225</v>
      </c>
      <c r="B7501" t="n">
        <v>11.51</v>
      </c>
      <c r="C7501" t="n">
        <v>7.35</v>
      </c>
    </row>
    <row r="7502">
      <c r="A7502" s="28" t="n">
        <v>30228</v>
      </c>
      <c r="B7502" t="n">
        <v>11.72</v>
      </c>
      <c r="C7502" t="n">
        <v>7.94</v>
      </c>
    </row>
    <row r="7503">
      <c r="A7503" s="28" t="n">
        <v>30229</v>
      </c>
      <c r="B7503" t="n">
        <v>11.69</v>
      </c>
      <c r="C7503" t="n">
        <v>8.140000000000001</v>
      </c>
    </row>
    <row r="7504">
      <c r="A7504" s="28" t="n">
        <v>30230</v>
      </c>
      <c r="B7504" t="n">
        <v>11.5</v>
      </c>
      <c r="C7504" t="n">
        <v>8.050000000000001</v>
      </c>
    </row>
    <row r="7505">
      <c r="A7505" s="28" t="n">
        <v>30231</v>
      </c>
      <c r="B7505" t="n">
        <v>10.91</v>
      </c>
      <c r="C7505" t="n">
        <v>7.76</v>
      </c>
    </row>
    <row r="7506">
      <c r="A7506" s="28" t="n">
        <v>30232</v>
      </c>
      <c r="B7506" t="n">
        <v>10.83</v>
      </c>
      <c r="C7506" t="n">
        <v>7.75</v>
      </c>
    </row>
    <row r="7507">
      <c r="A7507" s="28" t="n">
        <v>30235</v>
      </c>
      <c r="B7507" t="n">
        <v>0</v>
      </c>
      <c r="C7507" t="n">
        <v>0</v>
      </c>
    </row>
    <row r="7508">
      <c r="A7508" s="28" t="n">
        <v>30236</v>
      </c>
      <c r="B7508" t="n">
        <v>10.53</v>
      </c>
      <c r="C7508" t="n">
        <v>7.38</v>
      </c>
    </row>
    <row r="7509">
      <c r="A7509" s="28" t="n">
        <v>30237</v>
      </c>
      <c r="B7509" t="n">
        <v>10.39</v>
      </c>
      <c r="C7509" t="n">
        <v>7.42</v>
      </c>
    </row>
    <row r="7510">
      <c r="A7510" s="28" t="n">
        <v>30238</v>
      </c>
      <c r="B7510" t="n">
        <v>10.61</v>
      </c>
      <c r="C7510" t="n">
        <v>7.54</v>
      </c>
    </row>
    <row r="7511">
      <c r="A7511" s="28" t="n">
        <v>30239</v>
      </c>
      <c r="B7511" t="n">
        <v>10.75</v>
      </c>
      <c r="C7511" t="n">
        <v>7.56</v>
      </c>
    </row>
    <row r="7512">
      <c r="A7512" s="28" t="n">
        <v>30242</v>
      </c>
      <c r="B7512" t="n">
        <v>10.58</v>
      </c>
      <c r="C7512" t="n">
        <v>7.43</v>
      </c>
    </row>
    <row r="7513">
      <c r="A7513" s="28" t="n">
        <v>30243</v>
      </c>
      <c r="B7513" t="n">
        <v>10.56</v>
      </c>
      <c r="C7513" t="n">
        <v>7.48</v>
      </c>
    </row>
    <row r="7514">
      <c r="A7514" s="28" t="n">
        <v>30244</v>
      </c>
      <c r="B7514" t="n">
        <v>10.69</v>
      </c>
      <c r="C7514" t="n">
        <v>7.56</v>
      </c>
    </row>
    <row r="7515">
      <c r="A7515" s="28" t="n">
        <v>30245</v>
      </c>
      <c r="B7515" t="n">
        <v>10.69</v>
      </c>
      <c r="C7515" t="n">
        <v>7.57</v>
      </c>
    </row>
    <row r="7516">
      <c r="A7516" s="28" t="n">
        <v>30246</v>
      </c>
      <c r="B7516" t="n">
        <v>10.81</v>
      </c>
      <c r="C7516" t="n">
        <v>7.64</v>
      </c>
    </row>
    <row r="7517">
      <c r="A7517" s="28" t="n">
        <v>30249</v>
      </c>
      <c r="B7517" t="n">
        <v>11.11</v>
      </c>
      <c r="C7517" t="n">
        <v>7.87</v>
      </c>
    </row>
    <row r="7518">
      <c r="A7518" s="28" t="n">
        <v>30250</v>
      </c>
      <c r="B7518" t="n">
        <v>10.87</v>
      </c>
      <c r="C7518" t="n">
        <v>7.96</v>
      </c>
    </row>
    <row r="7519">
      <c r="A7519" s="28" t="n">
        <v>30251</v>
      </c>
      <c r="B7519" t="n">
        <v>10.9</v>
      </c>
      <c r="C7519" t="n">
        <v>8</v>
      </c>
    </row>
    <row r="7520">
      <c r="A7520" s="28" t="n">
        <v>30252</v>
      </c>
      <c r="B7520" t="n">
        <v>10.77</v>
      </c>
      <c r="C7520" t="n">
        <v>7.91</v>
      </c>
    </row>
    <row r="7521">
      <c r="A7521" s="28" t="n">
        <v>30253</v>
      </c>
      <c r="B7521" t="n">
        <v>10.71</v>
      </c>
      <c r="C7521" t="n">
        <v>7.9</v>
      </c>
    </row>
    <row r="7522">
      <c r="A7522" s="28" t="n">
        <v>30256</v>
      </c>
      <c r="B7522" t="n">
        <v>10.56</v>
      </c>
      <c r="C7522" t="n">
        <v>7.81</v>
      </c>
    </row>
    <row r="7523">
      <c r="A7523" s="28" t="n">
        <v>30257</v>
      </c>
      <c r="B7523" t="n">
        <v>0</v>
      </c>
      <c r="C7523" t="n">
        <v>0</v>
      </c>
    </row>
    <row r="7524">
      <c r="A7524" s="28" t="n">
        <v>30258</v>
      </c>
      <c r="B7524" t="n">
        <v>10.46</v>
      </c>
      <c r="C7524" t="n">
        <v>7.79</v>
      </c>
    </row>
    <row r="7525">
      <c r="A7525" s="28" t="n">
        <v>30259</v>
      </c>
      <c r="B7525" t="n">
        <v>10.42</v>
      </c>
      <c r="C7525" t="n">
        <v>7.73</v>
      </c>
    </row>
    <row r="7526">
      <c r="A7526" s="28" t="n">
        <v>30260</v>
      </c>
      <c r="B7526" t="n">
        <v>10.48</v>
      </c>
      <c r="C7526" t="n">
        <v>7.78</v>
      </c>
    </row>
    <row r="7527">
      <c r="A7527" s="28" t="n">
        <v>30263</v>
      </c>
      <c r="B7527" t="n">
        <v>10.55</v>
      </c>
      <c r="C7527" t="n">
        <v>7.92</v>
      </c>
    </row>
    <row r="7528">
      <c r="A7528" s="28" t="n">
        <v>30264</v>
      </c>
      <c r="B7528" t="n">
        <v>10.51</v>
      </c>
      <c r="C7528" t="n">
        <v>8</v>
      </c>
    </row>
    <row r="7529">
      <c r="A7529" s="28" t="n">
        <v>30265</v>
      </c>
      <c r="B7529" t="n">
        <v>10.48</v>
      </c>
      <c r="C7529" t="n">
        <v>8.08</v>
      </c>
    </row>
    <row r="7530">
      <c r="A7530" s="28" t="n">
        <v>30266</v>
      </c>
      <c r="B7530" t="n">
        <v>0</v>
      </c>
      <c r="C7530" t="n">
        <v>0</v>
      </c>
    </row>
    <row r="7531">
      <c r="A7531" s="28" t="n">
        <v>30267</v>
      </c>
      <c r="B7531" t="n">
        <v>10.58</v>
      </c>
      <c r="C7531" t="n">
        <v>8.279999999999999</v>
      </c>
    </row>
    <row r="7532">
      <c r="A7532" s="28" t="n">
        <v>30270</v>
      </c>
      <c r="B7532" t="n">
        <v>10.65</v>
      </c>
      <c r="C7532" t="n">
        <v>8.43</v>
      </c>
    </row>
    <row r="7533">
      <c r="A7533" s="28" t="n">
        <v>30271</v>
      </c>
      <c r="B7533" t="n">
        <v>10.67</v>
      </c>
      <c r="C7533" t="n">
        <v>8.4</v>
      </c>
    </row>
    <row r="7534">
      <c r="A7534" s="28" t="n">
        <v>30272</v>
      </c>
      <c r="B7534" t="n">
        <v>10.59</v>
      </c>
      <c r="C7534" t="n">
        <v>8.359999999999999</v>
      </c>
    </row>
    <row r="7535">
      <c r="A7535" s="28" t="n">
        <v>30273</v>
      </c>
      <c r="B7535" t="n">
        <v>10.46</v>
      </c>
      <c r="C7535" t="n">
        <v>8.27</v>
      </c>
    </row>
    <row r="7536">
      <c r="A7536" s="28" t="n">
        <v>30274</v>
      </c>
      <c r="B7536" t="n">
        <v>10.42</v>
      </c>
      <c r="C7536" t="n">
        <v>8.1</v>
      </c>
    </row>
    <row r="7537">
      <c r="A7537" s="28" t="n">
        <v>30277</v>
      </c>
      <c r="B7537" t="n">
        <v>10.43</v>
      </c>
      <c r="C7537" t="n">
        <v>7.96</v>
      </c>
    </row>
    <row r="7538">
      <c r="A7538" s="28" t="n">
        <v>30278</v>
      </c>
      <c r="B7538" t="n">
        <v>10.53</v>
      </c>
      <c r="C7538" t="n">
        <v>7.95</v>
      </c>
    </row>
    <row r="7539">
      <c r="A7539" s="28" t="n">
        <v>30279</v>
      </c>
      <c r="B7539" t="n">
        <v>10.59</v>
      </c>
      <c r="C7539" t="n">
        <v>7.93</v>
      </c>
    </row>
    <row r="7540">
      <c r="A7540" s="28" t="n">
        <v>30280</v>
      </c>
      <c r="B7540" t="n">
        <v>0</v>
      </c>
      <c r="C7540" t="n">
        <v>0</v>
      </c>
    </row>
    <row r="7541">
      <c r="A7541" s="28" t="n">
        <v>30281</v>
      </c>
      <c r="B7541" t="n">
        <v>10.51</v>
      </c>
      <c r="C7541" t="n">
        <v>7.93</v>
      </c>
    </row>
    <row r="7542">
      <c r="A7542" s="28" t="n">
        <v>30284</v>
      </c>
      <c r="B7542" t="n">
        <v>10.78</v>
      </c>
      <c r="C7542" t="n">
        <v>8.26</v>
      </c>
    </row>
    <row r="7543">
      <c r="A7543" s="28" t="n">
        <v>30285</v>
      </c>
      <c r="B7543" t="n">
        <v>10.79</v>
      </c>
      <c r="C7543" t="n">
        <v>8.279999999999999</v>
      </c>
    </row>
    <row r="7544">
      <c r="A7544" s="28" t="n">
        <v>30286</v>
      </c>
      <c r="B7544" t="n">
        <v>10.74</v>
      </c>
      <c r="C7544" t="n">
        <v>8.279999999999999</v>
      </c>
    </row>
    <row r="7545">
      <c r="A7545" s="28" t="n">
        <v>30287</v>
      </c>
      <c r="B7545" t="n">
        <v>10.68</v>
      </c>
      <c r="C7545" t="n">
        <v>8.039999999999999</v>
      </c>
    </row>
    <row r="7546">
      <c r="A7546" s="28" t="n">
        <v>30288</v>
      </c>
      <c r="B7546" t="n">
        <v>10.47</v>
      </c>
      <c r="C7546" t="n">
        <v>7.84</v>
      </c>
    </row>
    <row r="7547">
      <c r="A7547" s="28" t="n">
        <v>30291</v>
      </c>
      <c r="B7547" t="n">
        <v>10.46</v>
      </c>
      <c r="C7547" t="n">
        <v>7.88</v>
      </c>
    </row>
    <row r="7548">
      <c r="A7548" s="28" t="n">
        <v>30292</v>
      </c>
      <c r="B7548" t="n">
        <v>10.48</v>
      </c>
      <c r="C7548" t="n">
        <v>7.93</v>
      </c>
    </row>
    <row r="7549">
      <c r="A7549" s="28" t="n">
        <v>30293</v>
      </c>
      <c r="B7549" t="n">
        <v>10.62</v>
      </c>
      <c r="C7549" t="n">
        <v>7.97</v>
      </c>
    </row>
    <row r="7550">
      <c r="A7550" s="28" t="n">
        <v>30294</v>
      </c>
      <c r="B7550" t="n">
        <v>10.58</v>
      </c>
      <c r="C7550" t="n">
        <v>7.96</v>
      </c>
    </row>
    <row r="7551">
      <c r="A7551" s="28" t="n">
        <v>30295</v>
      </c>
      <c r="B7551" t="n">
        <v>10.66</v>
      </c>
      <c r="C7551" t="n">
        <v>8.039999999999999</v>
      </c>
    </row>
    <row r="7552">
      <c r="A7552" s="28" t="n">
        <v>30298</v>
      </c>
      <c r="B7552" t="n">
        <v>10.61</v>
      </c>
      <c r="C7552" t="n">
        <v>8</v>
      </c>
    </row>
    <row r="7553">
      <c r="A7553" s="28" t="n">
        <v>30299</v>
      </c>
      <c r="B7553" t="n">
        <v>10.46</v>
      </c>
      <c r="C7553" t="n">
        <v>7.68</v>
      </c>
    </row>
    <row r="7554">
      <c r="A7554" s="28" t="n">
        <v>30300</v>
      </c>
      <c r="B7554" t="n">
        <v>10.5</v>
      </c>
      <c r="C7554" t="n">
        <v>7.63</v>
      </c>
    </row>
    <row r="7555">
      <c r="A7555" s="28" t="n">
        <v>30301</v>
      </c>
      <c r="B7555" t="n">
        <v>10.59</v>
      </c>
      <c r="C7555" t="n">
        <v>7.83</v>
      </c>
    </row>
    <row r="7556">
      <c r="A7556" s="28" t="n">
        <v>30302</v>
      </c>
      <c r="B7556" t="n">
        <v>10.64</v>
      </c>
      <c r="C7556" t="n">
        <v>7.87</v>
      </c>
    </row>
    <row r="7557">
      <c r="A7557" s="28" t="n">
        <v>30305</v>
      </c>
      <c r="B7557" t="n">
        <v>10.7</v>
      </c>
      <c r="C7557" t="n">
        <v>7.88</v>
      </c>
    </row>
    <row r="7558">
      <c r="A7558" s="28" t="n">
        <v>30306</v>
      </c>
      <c r="B7558" t="n">
        <v>10.54</v>
      </c>
      <c r="C7558" t="n">
        <v>7.9</v>
      </c>
    </row>
    <row r="7559">
      <c r="A7559" s="28" t="n">
        <v>30307</v>
      </c>
      <c r="B7559" t="n">
        <v>10.53</v>
      </c>
      <c r="C7559" t="n">
        <v>7.92</v>
      </c>
    </row>
    <row r="7560">
      <c r="A7560" s="28" t="n">
        <v>30308</v>
      </c>
      <c r="B7560" t="n">
        <v>10.47</v>
      </c>
      <c r="C7560" t="n">
        <v>7.92</v>
      </c>
    </row>
    <row r="7561">
      <c r="A7561" s="28" t="n">
        <v>30309</v>
      </c>
      <c r="B7561" t="n">
        <v>0</v>
      </c>
      <c r="C7561" t="n">
        <v>0</v>
      </c>
    </row>
    <row r="7562">
      <c r="A7562" s="28" t="n">
        <v>30312</v>
      </c>
      <c r="B7562" t="n">
        <v>10.44</v>
      </c>
      <c r="C7562" t="n">
        <v>7.91</v>
      </c>
    </row>
    <row r="7563">
      <c r="A7563" s="28" t="n">
        <v>30313</v>
      </c>
      <c r="B7563" t="n">
        <v>10.44</v>
      </c>
      <c r="C7563" t="n">
        <v>8.050000000000001</v>
      </c>
    </row>
    <row r="7564">
      <c r="A7564" s="28" t="n">
        <v>30314</v>
      </c>
      <c r="B7564" t="n">
        <v>10.47</v>
      </c>
      <c r="C7564" t="n">
        <v>8.140000000000001</v>
      </c>
    </row>
    <row r="7565">
      <c r="A7565" s="28" t="n">
        <v>30315</v>
      </c>
      <c r="B7565" t="n">
        <v>10.44</v>
      </c>
      <c r="C7565" t="n">
        <v>8.02</v>
      </c>
    </row>
    <row r="7566">
      <c r="A7566" s="28" t="n">
        <v>30316</v>
      </c>
      <c r="B7566" t="n">
        <v>10.36</v>
      </c>
      <c r="C7566" t="n">
        <v>7.92</v>
      </c>
    </row>
    <row r="7567">
      <c r="A7567" s="28" t="n">
        <v>30319</v>
      </c>
      <c r="B7567" t="n">
        <v>10.32</v>
      </c>
      <c r="C7567" t="n">
        <v>7.92</v>
      </c>
    </row>
    <row r="7568">
      <c r="A7568" s="28" t="n">
        <v>30320</v>
      </c>
      <c r="B7568" t="n">
        <v>10.37</v>
      </c>
      <c r="C7568" t="n">
        <v>8</v>
      </c>
    </row>
    <row r="7569">
      <c r="A7569" s="28" t="n">
        <v>30321</v>
      </c>
      <c r="B7569" t="n">
        <v>10.35</v>
      </c>
      <c r="C7569" t="n">
        <v>7.98</v>
      </c>
    </row>
    <row r="7570">
      <c r="A7570" s="28" t="n">
        <v>30322</v>
      </c>
      <c r="B7570" t="n">
        <v>10.39</v>
      </c>
      <c r="C7570" t="n">
        <v>7.94</v>
      </c>
    </row>
    <row r="7571">
      <c r="A7571" s="28" t="n">
        <v>30323</v>
      </c>
      <c r="B7571" t="n">
        <v>10.36</v>
      </c>
      <c r="C7571" t="n">
        <v>7.76</v>
      </c>
    </row>
    <row r="7572">
      <c r="A7572" s="28" t="n">
        <v>30326</v>
      </c>
      <c r="B7572" t="n">
        <v>10.38</v>
      </c>
      <c r="C7572" t="n">
        <v>7.72</v>
      </c>
    </row>
    <row r="7573">
      <c r="A7573" s="28" t="n">
        <v>30327</v>
      </c>
      <c r="B7573" t="n">
        <v>10.34</v>
      </c>
      <c r="C7573" t="n">
        <v>7.69</v>
      </c>
    </row>
    <row r="7574">
      <c r="A7574" s="28" t="n">
        <v>30328</v>
      </c>
      <c r="B7574" t="n">
        <v>10.32</v>
      </c>
      <c r="C7574" t="n">
        <v>7.68</v>
      </c>
    </row>
    <row r="7575">
      <c r="A7575" s="28" t="n">
        <v>30329</v>
      </c>
      <c r="B7575" t="n">
        <v>10.27</v>
      </c>
      <c r="C7575" t="n">
        <v>7.66</v>
      </c>
    </row>
    <row r="7576">
      <c r="A7576" s="28" t="n">
        <v>30330</v>
      </c>
      <c r="B7576" t="n">
        <v>10.28</v>
      </c>
      <c r="C7576" t="n">
        <v>7.55</v>
      </c>
    </row>
    <row r="7577">
      <c r="A7577" s="28" t="n">
        <v>30333</v>
      </c>
      <c r="B7577" t="n">
        <v>10.28</v>
      </c>
      <c r="C7577" t="n">
        <v>7.6</v>
      </c>
    </row>
    <row r="7578">
      <c r="A7578" s="28" t="n">
        <v>30334</v>
      </c>
      <c r="B7578" t="n">
        <v>10.3</v>
      </c>
      <c r="C7578" t="n">
        <v>7.64</v>
      </c>
    </row>
    <row r="7579">
      <c r="A7579" s="28" t="n">
        <v>30335</v>
      </c>
      <c r="B7579" t="n">
        <v>10.41</v>
      </c>
      <c r="C7579" t="n">
        <v>7.68</v>
      </c>
    </row>
    <row r="7580">
      <c r="A7580" s="28" t="n">
        <v>30336</v>
      </c>
      <c r="B7580" t="n">
        <v>10.43</v>
      </c>
      <c r="C7580" t="n">
        <v>7.78</v>
      </c>
    </row>
    <row r="7581">
      <c r="A7581" s="28" t="n">
        <v>30337</v>
      </c>
      <c r="B7581" t="n">
        <v>10.61</v>
      </c>
      <c r="C7581" t="n">
        <v>8.029999999999999</v>
      </c>
    </row>
    <row r="7582">
      <c r="A7582" s="28" t="n">
        <v>30340</v>
      </c>
      <c r="B7582" t="n">
        <v>10.7</v>
      </c>
      <c r="C7582" t="n">
        <v>8.1</v>
      </c>
    </row>
    <row r="7583">
      <c r="A7583" s="28" t="n">
        <v>30341</v>
      </c>
      <c r="B7583" t="n">
        <v>10.62</v>
      </c>
      <c r="C7583" t="n">
        <v>8.050000000000001</v>
      </c>
    </row>
    <row r="7584">
      <c r="A7584" s="28" t="n">
        <v>30342</v>
      </c>
      <c r="B7584" t="n">
        <v>10.69</v>
      </c>
      <c r="C7584" t="n">
        <v>8.08</v>
      </c>
    </row>
    <row r="7585">
      <c r="A7585" s="28" t="n">
        <v>30343</v>
      </c>
      <c r="B7585" t="n">
        <v>10.67</v>
      </c>
      <c r="C7585" t="n">
        <v>8.02</v>
      </c>
    </row>
    <row r="7586">
      <c r="A7586" s="28" t="n">
        <v>30344</v>
      </c>
      <c r="B7586" t="n">
        <v>10.71</v>
      </c>
      <c r="C7586" t="n">
        <v>8</v>
      </c>
    </row>
    <row r="7587">
      <c r="A7587" s="28" t="n">
        <v>30347</v>
      </c>
      <c r="B7587" t="n">
        <v>10.8</v>
      </c>
      <c r="C7587" t="n">
        <v>8.1</v>
      </c>
    </row>
    <row r="7588">
      <c r="A7588" s="28" t="n">
        <v>30348</v>
      </c>
      <c r="B7588" t="n">
        <v>10.78</v>
      </c>
      <c r="C7588" t="n">
        <v>8.16</v>
      </c>
    </row>
    <row r="7589">
      <c r="A7589" s="28" t="n">
        <v>30349</v>
      </c>
      <c r="B7589" t="n">
        <v>10.88</v>
      </c>
      <c r="C7589" t="n">
        <v>8.16</v>
      </c>
    </row>
    <row r="7590">
      <c r="A7590" s="28" t="n">
        <v>30350</v>
      </c>
      <c r="B7590" t="n">
        <v>10.93</v>
      </c>
      <c r="C7590" t="n">
        <v>8.15</v>
      </c>
    </row>
    <row r="7591">
      <c r="A7591" s="28" t="n">
        <v>30351</v>
      </c>
      <c r="B7591" t="n">
        <v>10.99</v>
      </c>
      <c r="C7591" t="n">
        <v>8.25</v>
      </c>
    </row>
    <row r="7592">
      <c r="A7592" s="28" t="n">
        <v>30354</v>
      </c>
      <c r="B7592" t="n">
        <v>10.96</v>
      </c>
      <c r="C7592" t="n">
        <v>8.23</v>
      </c>
    </row>
    <row r="7593">
      <c r="A7593" s="28" t="n">
        <v>30355</v>
      </c>
      <c r="B7593" t="n">
        <v>10.99</v>
      </c>
      <c r="C7593" t="n">
        <v>8.289999999999999</v>
      </c>
    </row>
    <row r="7594">
      <c r="A7594" s="28" t="n">
        <v>30356</v>
      </c>
      <c r="B7594" t="n">
        <v>11</v>
      </c>
      <c r="C7594" t="n">
        <v>8.279999999999999</v>
      </c>
    </row>
    <row r="7595">
      <c r="A7595" s="28" t="n">
        <v>30357</v>
      </c>
      <c r="B7595" t="n">
        <v>10.83</v>
      </c>
      <c r="C7595" t="n">
        <v>8.17</v>
      </c>
    </row>
    <row r="7596">
      <c r="A7596" s="28" t="n">
        <v>30358</v>
      </c>
      <c r="B7596" t="n">
        <v>10.8</v>
      </c>
      <c r="C7596" t="n">
        <v>8.140000000000001</v>
      </c>
    </row>
    <row r="7597">
      <c r="A7597" s="28" t="n">
        <v>30361</v>
      </c>
      <c r="B7597" t="n">
        <v>10.8</v>
      </c>
      <c r="C7597" t="n">
        <v>8.24</v>
      </c>
    </row>
    <row r="7598">
      <c r="A7598" s="28" t="n">
        <v>30362</v>
      </c>
      <c r="B7598" t="n">
        <v>10.84</v>
      </c>
      <c r="C7598" t="n">
        <v>8.25</v>
      </c>
    </row>
    <row r="7599">
      <c r="A7599" s="28" t="n">
        <v>30363</v>
      </c>
      <c r="B7599" t="n">
        <v>10.81</v>
      </c>
      <c r="C7599" t="n">
        <v>8.199999999999999</v>
      </c>
    </row>
    <row r="7600">
      <c r="A7600" s="28" t="n">
        <v>30364</v>
      </c>
      <c r="B7600" t="n">
        <v>10.71</v>
      </c>
      <c r="C7600" t="n">
        <v>8.1</v>
      </c>
    </row>
    <row r="7601">
      <c r="A7601" s="28" t="n">
        <v>30365</v>
      </c>
      <c r="B7601" t="n">
        <v>10.6</v>
      </c>
      <c r="C7601" t="n">
        <v>7.99</v>
      </c>
    </row>
    <row r="7602">
      <c r="A7602" s="28" t="n">
        <v>30368</v>
      </c>
      <c r="B7602" t="n">
        <v>0</v>
      </c>
      <c r="C7602" t="n">
        <v>0</v>
      </c>
    </row>
    <row r="7603">
      <c r="A7603" s="28" t="n">
        <v>30369</v>
      </c>
      <c r="B7603" t="n">
        <v>10.46</v>
      </c>
      <c r="C7603" t="n">
        <v>7.91</v>
      </c>
    </row>
    <row r="7604">
      <c r="A7604" s="28" t="n">
        <v>30370</v>
      </c>
      <c r="B7604" t="n">
        <v>10.44</v>
      </c>
      <c r="C7604" t="n">
        <v>7.96</v>
      </c>
    </row>
    <row r="7605">
      <c r="A7605" s="28" t="n">
        <v>30371</v>
      </c>
      <c r="B7605" t="n">
        <v>10.42</v>
      </c>
      <c r="C7605" t="n">
        <v>7.93</v>
      </c>
    </row>
    <row r="7606">
      <c r="A7606" s="28" t="n">
        <v>30372</v>
      </c>
      <c r="B7606" t="n">
        <v>10.26</v>
      </c>
      <c r="C7606" t="n">
        <v>7.82</v>
      </c>
    </row>
    <row r="7607">
      <c r="A7607" s="28" t="n">
        <v>30375</v>
      </c>
      <c r="B7607" t="n">
        <v>10.27</v>
      </c>
      <c r="C7607" t="n">
        <v>7.93</v>
      </c>
    </row>
    <row r="7608">
      <c r="A7608" s="28" t="n">
        <v>30376</v>
      </c>
      <c r="B7608" t="n">
        <v>10.22</v>
      </c>
      <c r="C7608" t="n">
        <v>7.96</v>
      </c>
    </row>
    <row r="7609">
      <c r="A7609" s="28" t="n">
        <v>30377</v>
      </c>
      <c r="B7609" t="n">
        <v>10.26</v>
      </c>
      <c r="C7609" t="n">
        <v>8</v>
      </c>
    </row>
    <row r="7610">
      <c r="A7610" s="28" t="n">
        <v>30378</v>
      </c>
      <c r="B7610" t="n">
        <v>10.23</v>
      </c>
      <c r="C7610" t="n">
        <v>7.95</v>
      </c>
    </row>
    <row r="7611">
      <c r="A7611" s="28" t="n">
        <v>30379</v>
      </c>
      <c r="B7611" t="n">
        <v>10.27</v>
      </c>
      <c r="C7611" t="n">
        <v>8.01</v>
      </c>
    </row>
    <row r="7612">
      <c r="A7612" s="28" t="n">
        <v>30382</v>
      </c>
      <c r="B7612" t="n">
        <v>10.43</v>
      </c>
      <c r="C7612" t="n">
        <v>8.18</v>
      </c>
    </row>
    <row r="7613">
      <c r="A7613" s="28" t="n">
        <v>30383</v>
      </c>
      <c r="B7613" t="n">
        <v>10.52</v>
      </c>
      <c r="C7613" t="n">
        <v>8.300000000000001</v>
      </c>
    </row>
    <row r="7614">
      <c r="A7614" s="28" t="n">
        <v>30384</v>
      </c>
      <c r="B7614" t="n">
        <v>10.48</v>
      </c>
      <c r="C7614" t="n">
        <v>8.26</v>
      </c>
    </row>
    <row r="7615">
      <c r="A7615" s="28" t="n">
        <v>30385</v>
      </c>
      <c r="B7615" t="n">
        <v>10.55</v>
      </c>
      <c r="C7615" t="n">
        <v>8.24</v>
      </c>
    </row>
    <row r="7616">
      <c r="A7616" s="28" t="n">
        <v>30386</v>
      </c>
      <c r="B7616" t="n">
        <v>10.59</v>
      </c>
      <c r="C7616" t="n">
        <v>8.27</v>
      </c>
    </row>
    <row r="7617">
      <c r="A7617" s="28" t="n">
        <v>30389</v>
      </c>
      <c r="B7617" t="n">
        <v>10.48</v>
      </c>
      <c r="C7617" t="n">
        <v>8.23</v>
      </c>
    </row>
    <row r="7618">
      <c r="A7618" s="28" t="n">
        <v>30390</v>
      </c>
      <c r="B7618" t="n">
        <v>10.46</v>
      </c>
      <c r="C7618" t="n">
        <v>8.25</v>
      </c>
    </row>
    <row r="7619">
      <c r="A7619" s="28" t="n">
        <v>30391</v>
      </c>
      <c r="B7619" t="n">
        <v>10.53</v>
      </c>
      <c r="C7619" t="n">
        <v>8.300000000000001</v>
      </c>
    </row>
    <row r="7620">
      <c r="A7620" s="28" t="n">
        <v>30392</v>
      </c>
      <c r="B7620" t="n">
        <v>10.56</v>
      </c>
      <c r="C7620" t="n">
        <v>8.34</v>
      </c>
    </row>
    <row r="7621">
      <c r="A7621" s="28" t="n">
        <v>30393</v>
      </c>
      <c r="B7621" t="n">
        <v>10.58</v>
      </c>
      <c r="C7621" t="n">
        <v>8.44</v>
      </c>
    </row>
    <row r="7622">
      <c r="A7622" s="28" t="n">
        <v>30396</v>
      </c>
      <c r="B7622" t="n">
        <v>10.6</v>
      </c>
      <c r="C7622" t="n">
        <v>8.5</v>
      </c>
    </row>
    <row r="7623">
      <c r="A7623" s="28" t="n">
        <v>30397</v>
      </c>
      <c r="B7623" t="n">
        <v>10.62</v>
      </c>
      <c r="C7623" t="n">
        <v>8.609999999999999</v>
      </c>
    </row>
    <row r="7624">
      <c r="A7624" s="28" t="n">
        <v>30398</v>
      </c>
      <c r="B7624" t="n">
        <v>10.58</v>
      </c>
      <c r="C7624" t="n">
        <v>8.470000000000001</v>
      </c>
    </row>
    <row r="7625">
      <c r="A7625" s="28" t="n">
        <v>30399</v>
      </c>
      <c r="B7625" t="n">
        <v>10.58</v>
      </c>
      <c r="C7625" t="n">
        <v>8.51</v>
      </c>
    </row>
    <row r="7626">
      <c r="A7626" s="28" t="n">
        <v>30400</v>
      </c>
      <c r="B7626" t="n">
        <v>10.64</v>
      </c>
      <c r="C7626" t="n">
        <v>8.65</v>
      </c>
    </row>
    <row r="7627">
      <c r="A7627" s="28" t="n">
        <v>30403</v>
      </c>
      <c r="B7627" t="n">
        <v>10.66</v>
      </c>
      <c r="C7627" t="n">
        <v>8.65</v>
      </c>
    </row>
    <row r="7628">
      <c r="A7628" s="28" t="n">
        <v>30404</v>
      </c>
      <c r="B7628" t="n">
        <v>10.6</v>
      </c>
      <c r="C7628" t="n">
        <v>8.630000000000001</v>
      </c>
    </row>
    <row r="7629">
      <c r="A7629" s="28" t="n">
        <v>30405</v>
      </c>
      <c r="B7629" t="n">
        <v>10.59</v>
      </c>
      <c r="C7629" t="n">
        <v>8.630000000000001</v>
      </c>
    </row>
    <row r="7630">
      <c r="A7630" s="28" t="n">
        <v>30406</v>
      </c>
      <c r="B7630" t="n">
        <v>10.62</v>
      </c>
      <c r="C7630" t="n">
        <v>8.640000000000001</v>
      </c>
    </row>
    <row r="7631">
      <c r="A7631" s="28" t="n">
        <v>30407</v>
      </c>
      <c r="B7631" t="n">
        <v>0</v>
      </c>
      <c r="C7631" t="n">
        <v>0</v>
      </c>
    </row>
    <row r="7632">
      <c r="A7632" s="28" t="n">
        <v>30410</v>
      </c>
      <c r="B7632" t="n">
        <v>10.6</v>
      </c>
      <c r="C7632" t="n">
        <v>8.640000000000001</v>
      </c>
    </row>
    <row r="7633">
      <c r="A7633" s="28" t="n">
        <v>30411</v>
      </c>
      <c r="B7633" t="n">
        <v>10.49</v>
      </c>
      <c r="C7633" t="n">
        <v>8.51</v>
      </c>
    </row>
    <row r="7634">
      <c r="A7634" s="28" t="n">
        <v>30412</v>
      </c>
      <c r="B7634" t="n">
        <v>10.49</v>
      </c>
      <c r="C7634" t="n">
        <v>8.4</v>
      </c>
    </row>
    <row r="7635">
      <c r="A7635" s="28" t="n">
        <v>30413</v>
      </c>
      <c r="B7635" t="n">
        <v>10.51</v>
      </c>
      <c r="C7635" t="n">
        <v>8.359999999999999</v>
      </c>
    </row>
    <row r="7636">
      <c r="A7636" s="28" t="n">
        <v>30414</v>
      </c>
      <c r="B7636" t="n">
        <v>10.51</v>
      </c>
      <c r="C7636" t="n">
        <v>8.33</v>
      </c>
    </row>
    <row r="7637">
      <c r="A7637" s="28" t="n">
        <v>30417</v>
      </c>
      <c r="B7637" t="n">
        <v>10.41</v>
      </c>
      <c r="C7637" t="n">
        <v>8.17</v>
      </c>
    </row>
    <row r="7638">
      <c r="A7638" s="28" t="n">
        <v>30418</v>
      </c>
      <c r="B7638" t="n">
        <v>10.42</v>
      </c>
      <c r="C7638" t="n">
        <v>8.199999999999999</v>
      </c>
    </row>
    <row r="7639">
      <c r="A7639" s="28" t="n">
        <v>30419</v>
      </c>
      <c r="B7639" t="n">
        <v>10.39</v>
      </c>
      <c r="C7639" t="n">
        <v>8.18</v>
      </c>
    </row>
    <row r="7640">
      <c r="A7640" s="28" t="n">
        <v>30420</v>
      </c>
      <c r="B7640" t="n">
        <v>10.29</v>
      </c>
      <c r="C7640" t="n">
        <v>8.119999999999999</v>
      </c>
    </row>
    <row r="7641">
      <c r="A7641" s="28" t="n">
        <v>30421</v>
      </c>
      <c r="B7641" t="n">
        <v>10.33</v>
      </c>
      <c r="C7641" t="n">
        <v>8.140000000000001</v>
      </c>
    </row>
    <row r="7642">
      <c r="A7642" s="28" t="n">
        <v>30424</v>
      </c>
      <c r="B7642" t="n">
        <v>10.29</v>
      </c>
      <c r="C7642" t="n">
        <v>8.07</v>
      </c>
    </row>
    <row r="7643">
      <c r="A7643" s="28" t="n">
        <v>30425</v>
      </c>
      <c r="B7643" t="n">
        <v>10.39</v>
      </c>
      <c r="C7643" t="n">
        <v>8.16</v>
      </c>
    </row>
    <row r="7644">
      <c r="A7644" s="28" t="n">
        <v>30426</v>
      </c>
      <c r="B7644" t="n">
        <v>10.39</v>
      </c>
      <c r="C7644" t="n">
        <v>8.1</v>
      </c>
    </row>
    <row r="7645">
      <c r="A7645" s="28" t="n">
        <v>30427</v>
      </c>
      <c r="B7645" t="n">
        <v>10.43</v>
      </c>
      <c r="C7645" t="n">
        <v>8.140000000000001</v>
      </c>
    </row>
    <row r="7646">
      <c r="A7646" s="28" t="n">
        <v>30428</v>
      </c>
      <c r="B7646" t="n">
        <v>10.42</v>
      </c>
      <c r="C7646" t="n">
        <v>8.15</v>
      </c>
    </row>
    <row r="7647">
      <c r="A7647" s="28" t="n">
        <v>30431</v>
      </c>
      <c r="B7647" t="n">
        <v>10.4</v>
      </c>
      <c r="C7647" t="n">
        <v>8.15</v>
      </c>
    </row>
    <row r="7648">
      <c r="A7648" s="28" t="n">
        <v>30432</v>
      </c>
      <c r="B7648" t="n">
        <v>10.37</v>
      </c>
      <c r="C7648" t="n">
        <v>8.140000000000001</v>
      </c>
    </row>
    <row r="7649">
      <c r="A7649" s="28" t="n">
        <v>30433</v>
      </c>
      <c r="B7649" t="n">
        <v>10.29</v>
      </c>
      <c r="C7649" t="n">
        <v>8.1</v>
      </c>
    </row>
    <row r="7650">
      <c r="A7650" s="28" t="n">
        <v>30434</v>
      </c>
      <c r="B7650" t="n">
        <v>10.31</v>
      </c>
      <c r="C7650" t="n">
        <v>8.1</v>
      </c>
    </row>
    <row r="7651">
      <c r="A7651" s="28" t="n">
        <v>30435</v>
      </c>
      <c r="B7651" t="n">
        <v>10.27</v>
      </c>
      <c r="C7651" t="n">
        <v>8.08</v>
      </c>
    </row>
    <row r="7652">
      <c r="A7652" s="28" t="n">
        <v>30438</v>
      </c>
      <c r="B7652" t="n">
        <v>10.26</v>
      </c>
      <c r="C7652" t="n">
        <v>8.050000000000001</v>
      </c>
    </row>
    <row r="7653">
      <c r="A7653" s="28" t="n">
        <v>30439</v>
      </c>
      <c r="B7653" t="n">
        <v>10.26</v>
      </c>
      <c r="C7653" t="n">
        <v>8.039999999999999</v>
      </c>
    </row>
    <row r="7654">
      <c r="A7654" s="28" t="n">
        <v>30440</v>
      </c>
      <c r="B7654" t="n">
        <v>10.12</v>
      </c>
      <c r="C7654" t="n">
        <v>8.01</v>
      </c>
    </row>
    <row r="7655">
      <c r="A7655" s="28" t="n">
        <v>30441</v>
      </c>
      <c r="B7655" t="n">
        <v>10.16</v>
      </c>
      <c r="C7655" t="n">
        <v>8.06</v>
      </c>
    </row>
    <row r="7656">
      <c r="A7656" s="28" t="n">
        <v>30442</v>
      </c>
      <c r="B7656" t="n">
        <v>10.13</v>
      </c>
      <c r="C7656" t="n">
        <v>7.98</v>
      </c>
    </row>
    <row r="7657">
      <c r="A7657" s="28" t="n">
        <v>30445</v>
      </c>
      <c r="B7657" t="n">
        <v>10.25</v>
      </c>
      <c r="C7657" t="n">
        <v>8.130000000000001</v>
      </c>
    </row>
    <row r="7658">
      <c r="A7658" s="28" t="n">
        <v>30446</v>
      </c>
      <c r="B7658" t="n">
        <v>10.16</v>
      </c>
      <c r="C7658" t="n">
        <v>8</v>
      </c>
    </row>
    <row r="7659">
      <c r="A7659" s="28" t="n">
        <v>30447</v>
      </c>
      <c r="B7659" t="n">
        <v>10.18</v>
      </c>
      <c r="C7659" t="n">
        <v>7.96</v>
      </c>
    </row>
    <row r="7660">
      <c r="A7660" s="28" t="n">
        <v>30448</v>
      </c>
      <c r="B7660" t="n">
        <v>10.23</v>
      </c>
      <c r="C7660" t="n">
        <v>8.050000000000001</v>
      </c>
    </row>
    <row r="7661">
      <c r="A7661" s="28" t="n">
        <v>30449</v>
      </c>
      <c r="B7661" t="n">
        <v>10.22</v>
      </c>
      <c r="C7661" t="n">
        <v>8.02</v>
      </c>
    </row>
    <row r="7662">
      <c r="A7662" s="28" t="n">
        <v>30452</v>
      </c>
      <c r="B7662" t="n">
        <v>10.37</v>
      </c>
      <c r="C7662" t="n">
        <v>8.15</v>
      </c>
    </row>
    <row r="7663">
      <c r="A7663" s="28" t="n">
        <v>30453</v>
      </c>
      <c r="B7663" t="n">
        <v>10.41</v>
      </c>
      <c r="C7663" t="n">
        <v>8.130000000000001</v>
      </c>
    </row>
    <row r="7664">
      <c r="A7664" s="28" t="n">
        <v>30454</v>
      </c>
      <c r="B7664" t="n">
        <v>10.43</v>
      </c>
      <c r="C7664" t="n">
        <v>8.109999999999999</v>
      </c>
    </row>
    <row r="7665">
      <c r="A7665" s="28" t="n">
        <v>30455</v>
      </c>
      <c r="B7665" t="n">
        <v>10.49</v>
      </c>
      <c r="C7665" t="n">
        <v>8.140000000000001</v>
      </c>
    </row>
    <row r="7666">
      <c r="A7666" s="28" t="n">
        <v>30456</v>
      </c>
      <c r="B7666" t="n">
        <v>10.54</v>
      </c>
      <c r="C7666" t="n">
        <v>8.18</v>
      </c>
    </row>
    <row r="7667">
      <c r="A7667" s="28" t="n">
        <v>30459</v>
      </c>
      <c r="B7667" t="n">
        <v>10.57</v>
      </c>
      <c r="C7667" t="n">
        <v>8.42</v>
      </c>
    </row>
    <row r="7668">
      <c r="A7668" s="28" t="n">
        <v>30460</v>
      </c>
      <c r="B7668" t="n">
        <v>10.56</v>
      </c>
      <c r="C7668" t="n">
        <v>8.470000000000001</v>
      </c>
    </row>
    <row r="7669">
      <c r="A7669" s="28" t="n">
        <v>30461</v>
      </c>
      <c r="B7669" t="n">
        <v>10.58</v>
      </c>
      <c r="C7669" t="n">
        <v>8.49</v>
      </c>
    </row>
    <row r="7670">
      <c r="A7670" s="28" t="n">
        <v>30462</v>
      </c>
      <c r="B7670" t="n">
        <v>10.63</v>
      </c>
      <c r="C7670" t="n">
        <v>8.529999999999999</v>
      </c>
    </row>
    <row r="7671">
      <c r="A7671" s="28" t="n">
        <v>30463</v>
      </c>
      <c r="B7671" t="n">
        <v>10.62</v>
      </c>
      <c r="C7671" t="n">
        <v>8.48</v>
      </c>
    </row>
    <row r="7672">
      <c r="A7672" s="28" t="n">
        <v>30466</v>
      </c>
      <c r="B7672" t="n">
        <v>0</v>
      </c>
      <c r="C7672" t="n">
        <v>0</v>
      </c>
    </row>
    <row r="7673">
      <c r="A7673" s="28" t="n">
        <v>30467</v>
      </c>
      <c r="B7673" t="n">
        <v>10.81</v>
      </c>
      <c r="C7673" t="n">
        <v>8.630000000000001</v>
      </c>
    </row>
    <row r="7674">
      <c r="A7674" s="28" t="n">
        <v>30468</v>
      </c>
      <c r="B7674" t="n">
        <v>10.77</v>
      </c>
      <c r="C7674" t="n">
        <v>8.58</v>
      </c>
    </row>
    <row r="7675">
      <c r="A7675" s="28" t="n">
        <v>30469</v>
      </c>
      <c r="B7675" t="n">
        <v>10.78</v>
      </c>
      <c r="C7675" t="n">
        <v>8.5</v>
      </c>
    </row>
    <row r="7676">
      <c r="A7676" s="28" t="n">
        <v>30470</v>
      </c>
      <c r="B7676" t="n">
        <v>10.79</v>
      </c>
      <c r="C7676" t="n">
        <v>8.550000000000001</v>
      </c>
    </row>
    <row r="7677">
      <c r="A7677" s="28" t="n">
        <v>30473</v>
      </c>
      <c r="B7677" t="n">
        <v>10.79</v>
      </c>
      <c r="C7677" t="n">
        <v>8.640000000000001</v>
      </c>
    </row>
    <row r="7678">
      <c r="A7678" s="28" t="n">
        <v>30474</v>
      </c>
      <c r="B7678" t="n">
        <v>10.85</v>
      </c>
      <c r="C7678" t="n">
        <v>8.82</v>
      </c>
    </row>
    <row r="7679">
      <c r="A7679" s="28" t="n">
        <v>30475</v>
      </c>
      <c r="B7679" t="n">
        <v>10.92</v>
      </c>
      <c r="C7679" t="n">
        <v>8.83</v>
      </c>
    </row>
    <row r="7680">
      <c r="A7680" s="28" t="n">
        <v>30476</v>
      </c>
      <c r="B7680" t="n">
        <v>10.88</v>
      </c>
      <c r="C7680" t="n">
        <v>8.74</v>
      </c>
    </row>
    <row r="7681">
      <c r="A7681" s="28" t="n">
        <v>30477</v>
      </c>
      <c r="B7681" t="n">
        <v>10.89</v>
      </c>
      <c r="C7681" t="n">
        <v>8.779999999999999</v>
      </c>
    </row>
    <row r="7682">
      <c r="A7682" s="28" t="n">
        <v>30480</v>
      </c>
      <c r="B7682" t="n">
        <v>10.75</v>
      </c>
      <c r="C7682" t="n">
        <v>8.699999999999999</v>
      </c>
    </row>
    <row r="7683">
      <c r="A7683" s="28" t="n">
        <v>30481</v>
      </c>
      <c r="B7683" t="n">
        <v>10.77</v>
      </c>
      <c r="C7683" t="n">
        <v>8.73</v>
      </c>
    </row>
    <row r="7684">
      <c r="A7684" s="28" t="n">
        <v>30482</v>
      </c>
      <c r="B7684" t="n">
        <v>10.72</v>
      </c>
      <c r="C7684" t="n">
        <v>8.720000000000001</v>
      </c>
    </row>
    <row r="7685">
      <c r="A7685" s="28" t="n">
        <v>30483</v>
      </c>
      <c r="B7685" t="n">
        <v>10.64</v>
      </c>
      <c r="C7685" t="n">
        <v>8.65</v>
      </c>
    </row>
    <row r="7686">
      <c r="A7686" s="28" t="n">
        <v>30484</v>
      </c>
      <c r="B7686" t="n">
        <v>10.68</v>
      </c>
      <c r="C7686" t="n">
        <v>8.69</v>
      </c>
    </row>
    <row r="7687">
      <c r="A7687" s="28" t="n">
        <v>30487</v>
      </c>
      <c r="B7687" t="n">
        <v>10.8</v>
      </c>
      <c r="C7687" t="n">
        <v>8.960000000000001</v>
      </c>
    </row>
    <row r="7688">
      <c r="A7688" s="28" t="n">
        <v>30488</v>
      </c>
      <c r="B7688" t="n">
        <v>10.79</v>
      </c>
      <c r="C7688" t="n">
        <v>8.949999999999999</v>
      </c>
    </row>
    <row r="7689">
      <c r="A7689" s="28" t="n">
        <v>30489</v>
      </c>
      <c r="B7689" t="n">
        <v>10.83</v>
      </c>
      <c r="C7689" t="n">
        <v>8.970000000000001</v>
      </c>
    </row>
    <row r="7690">
      <c r="A7690" s="28" t="n">
        <v>30490</v>
      </c>
      <c r="B7690" t="n">
        <v>10.9</v>
      </c>
      <c r="C7690" t="n">
        <v>8.93</v>
      </c>
    </row>
    <row r="7691">
      <c r="A7691" s="28" t="n">
        <v>30491</v>
      </c>
      <c r="B7691" t="n">
        <v>11.02</v>
      </c>
      <c r="C7691" t="n">
        <v>9.039999999999999</v>
      </c>
    </row>
    <row r="7692">
      <c r="A7692" s="28" t="n">
        <v>30494</v>
      </c>
      <c r="B7692" t="n">
        <v>11.11</v>
      </c>
      <c r="C7692" t="n">
        <v>9.029999999999999</v>
      </c>
    </row>
    <row r="7693">
      <c r="A7693" s="28" t="n">
        <v>30495</v>
      </c>
      <c r="B7693" t="n">
        <v>11.04</v>
      </c>
      <c r="C7693" t="n">
        <v>8.98</v>
      </c>
    </row>
    <row r="7694">
      <c r="A7694" s="28" t="n">
        <v>30496</v>
      </c>
      <c r="B7694" t="n">
        <v>10.99</v>
      </c>
      <c r="C7694" t="n">
        <v>8.85</v>
      </c>
    </row>
    <row r="7695">
      <c r="A7695" s="28" t="n">
        <v>30497</v>
      </c>
      <c r="B7695" t="n">
        <v>10.96</v>
      </c>
      <c r="C7695" t="n">
        <v>8.789999999999999</v>
      </c>
    </row>
    <row r="7696">
      <c r="A7696" s="28" t="n">
        <v>30498</v>
      </c>
      <c r="B7696" t="n">
        <v>10.93</v>
      </c>
      <c r="C7696" t="n">
        <v>8.73</v>
      </c>
    </row>
    <row r="7697">
      <c r="A7697" s="28" t="n">
        <v>30501</v>
      </c>
      <c r="B7697" t="n">
        <v>0</v>
      </c>
      <c r="C7697" t="n">
        <v>0</v>
      </c>
    </row>
    <row r="7698">
      <c r="A7698" s="28" t="n">
        <v>30502</v>
      </c>
      <c r="B7698" t="n">
        <v>11.21</v>
      </c>
      <c r="C7698" t="n">
        <v>9.02</v>
      </c>
    </row>
    <row r="7699">
      <c r="A7699" s="28" t="n">
        <v>30503</v>
      </c>
      <c r="B7699" t="n">
        <v>11.16</v>
      </c>
      <c r="C7699" t="n">
        <v>9.02</v>
      </c>
    </row>
    <row r="7700">
      <c r="A7700" s="28" t="n">
        <v>30504</v>
      </c>
      <c r="B7700" t="n">
        <v>11.29</v>
      </c>
      <c r="C7700" t="n">
        <v>9.1</v>
      </c>
    </row>
    <row r="7701">
      <c r="A7701" s="28" t="n">
        <v>30505</v>
      </c>
      <c r="B7701" t="n">
        <v>11.33</v>
      </c>
      <c r="C7701" t="n">
        <v>9.119999999999999</v>
      </c>
    </row>
    <row r="7702">
      <c r="A7702" s="28" t="n">
        <v>30508</v>
      </c>
      <c r="B7702" t="n">
        <v>11.28</v>
      </c>
      <c r="C7702" t="n">
        <v>9.039999999999999</v>
      </c>
    </row>
    <row r="7703">
      <c r="A7703" s="28" t="n">
        <v>30509</v>
      </c>
      <c r="B7703" t="n">
        <v>11.42</v>
      </c>
      <c r="C7703" t="n">
        <v>9.140000000000001</v>
      </c>
    </row>
    <row r="7704">
      <c r="A7704" s="28" t="n">
        <v>30510</v>
      </c>
      <c r="B7704" t="n">
        <v>11.4</v>
      </c>
      <c r="C7704" t="n">
        <v>9.1</v>
      </c>
    </row>
    <row r="7705">
      <c r="A7705" s="28" t="n">
        <v>30511</v>
      </c>
      <c r="B7705" t="n">
        <v>11.38</v>
      </c>
      <c r="C7705" t="n">
        <v>9.08</v>
      </c>
    </row>
    <row r="7706">
      <c r="A7706" s="28" t="n">
        <v>30512</v>
      </c>
      <c r="B7706" t="n">
        <v>11.51</v>
      </c>
      <c r="C7706" t="n">
        <v>9.140000000000001</v>
      </c>
    </row>
    <row r="7707">
      <c r="A7707" s="28" t="n">
        <v>30515</v>
      </c>
      <c r="B7707" t="n">
        <v>11.41</v>
      </c>
      <c r="C7707" t="n">
        <v>9.109999999999999</v>
      </c>
    </row>
    <row r="7708">
      <c r="A7708" s="28" t="n">
        <v>30516</v>
      </c>
      <c r="B7708" t="n">
        <v>11.36</v>
      </c>
      <c r="C7708" t="n">
        <v>9.140000000000001</v>
      </c>
    </row>
    <row r="7709">
      <c r="A7709" s="28" t="n">
        <v>30517</v>
      </c>
      <c r="B7709" t="n">
        <v>11.28</v>
      </c>
      <c r="C7709" t="n">
        <v>9.07</v>
      </c>
    </row>
    <row r="7710">
      <c r="A7710" s="28" t="n">
        <v>30518</v>
      </c>
      <c r="B7710" t="n">
        <v>11.32</v>
      </c>
      <c r="C7710" t="n">
        <v>9.07</v>
      </c>
    </row>
    <row r="7711">
      <c r="A7711" s="28" t="n">
        <v>30519</v>
      </c>
      <c r="B7711" t="n">
        <v>11.43</v>
      </c>
      <c r="C7711" t="n">
        <v>9.09</v>
      </c>
    </row>
    <row r="7712">
      <c r="A7712" s="28" t="n">
        <v>30522</v>
      </c>
      <c r="B7712" t="n">
        <v>11.41</v>
      </c>
      <c r="C7712" t="n">
        <v>9.07</v>
      </c>
    </row>
    <row r="7713">
      <c r="A7713" s="28" t="n">
        <v>30523</v>
      </c>
      <c r="B7713" t="n">
        <v>11.49</v>
      </c>
      <c r="C7713" t="n">
        <v>9.109999999999999</v>
      </c>
    </row>
    <row r="7714">
      <c r="A7714" s="28" t="n">
        <v>30524</v>
      </c>
      <c r="B7714" t="n">
        <v>11.51</v>
      </c>
      <c r="C7714" t="n">
        <v>9.07</v>
      </c>
    </row>
    <row r="7715">
      <c r="A7715" s="28" t="n">
        <v>30525</v>
      </c>
      <c r="B7715" t="n">
        <v>11.66</v>
      </c>
      <c r="C7715" t="n">
        <v>9.17</v>
      </c>
    </row>
    <row r="7716">
      <c r="A7716" s="28" t="n">
        <v>30526</v>
      </c>
      <c r="B7716" t="n">
        <v>11.76</v>
      </c>
      <c r="C7716" t="n">
        <v>9.220000000000001</v>
      </c>
    </row>
    <row r="7717">
      <c r="A7717" s="28" t="n">
        <v>30529</v>
      </c>
      <c r="B7717" t="n">
        <v>11.8</v>
      </c>
      <c r="C7717" t="n">
        <v>9.27</v>
      </c>
    </row>
    <row r="7718">
      <c r="A7718" s="28" t="n">
        <v>30530</v>
      </c>
      <c r="B7718" t="n">
        <v>11.82</v>
      </c>
      <c r="C7718" t="n">
        <v>9.49</v>
      </c>
    </row>
    <row r="7719">
      <c r="A7719" s="28" t="n">
        <v>30531</v>
      </c>
      <c r="B7719" t="n">
        <v>11.92</v>
      </c>
      <c r="C7719" t="n">
        <v>9.390000000000001</v>
      </c>
    </row>
    <row r="7720">
      <c r="A7720" s="28" t="n">
        <v>30532</v>
      </c>
      <c r="B7720" t="n">
        <v>12.12</v>
      </c>
      <c r="C7720" t="n">
        <v>9.43</v>
      </c>
    </row>
    <row r="7721">
      <c r="A7721" s="28" t="n">
        <v>30533</v>
      </c>
      <c r="B7721" t="n">
        <v>12.1</v>
      </c>
      <c r="C7721" t="n">
        <v>9.449999999999999</v>
      </c>
    </row>
    <row r="7722">
      <c r="A7722" s="28" t="n">
        <v>30536</v>
      </c>
      <c r="B7722" t="n">
        <v>12.2</v>
      </c>
      <c r="C7722" t="n">
        <v>9.5</v>
      </c>
    </row>
    <row r="7723">
      <c r="A7723" s="28" t="n">
        <v>30537</v>
      </c>
      <c r="B7723" t="n">
        <v>12.13</v>
      </c>
      <c r="C7723" t="n">
        <v>9.529999999999999</v>
      </c>
    </row>
    <row r="7724">
      <c r="A7724" s="28" t="n">
        <v>30538</v>
      </c>
      <c r="B7724" t="n">
        <v>12.17</v>
      </c>
      <c r="C7724" t="n">
        <v>9.56</v>
      </c>
    </row>
    <row r="7725">
      <c r="A7725" s="28" t="n">
        <v>30539</v>
      </c>
      <c r="B7725" t="n">
        <v>12.04</v>
      </c>
      <c r="C7725" t="n">
        <v>9.52</v>
      </c>
    </row>
    <row r="7726">
      <c r="A7726" s="28" t="n">
        <v>30540</v>
      </c>
      <c r="B7726" t="n">
        <v>11.96</v>
      </c>
      <c r="C7726" t="n">
        <v>9.49</v>
      </c>
    </row>
    <row r="7727">
      <c r="A7727" s="28" t="n">
        <v>30543</v>
      </c>
      <c r="B7727" t="n">
        <v>11.76</v>
      </c>
      <c r="C7727" t="n">
        <v>9.4</v>
      </c>
    </row>
    <row r="7728">
      <c r="A7728" s="28" t="n">
        <v>30544</v>
      </c>
      <c r="B7728" t="n">
        <v>11.71</v>
      </c>
      <c r="C7728" t="n">
        <v>9.4</v>
      </c>
    </row>
    <row r="7729">
      <c r="A7729" s="28" t="n">
        <v>30545</v>
      </c>
      <c r="B7729" t="n">
        <v>11.65</v>
      </c>
      <c r="C7729" t="n">
        <v>9.32</v>
      </c>
    </row>
    <row r="7730">
      <c r="A7730" s="28" t="n">
        <v>30546</v>
      </c>
      <c r="B7730" t="n">
        <v>11.7</v>
      </c>
      <c r="C7730" t="n">
        <v>9.300000000000001</v>
      </c>
    </row>
    <row r="7731">
      <c r="A7731" s="28" t="n">
        <v>30547</v>
      </c>
      <c r="B7731" t="n">
        <v>11.72</v>
      </c>
      <c r="C7731" t="n">
        <v>9.31</v>
      </c>
    </row>
    <row r="7732">
      <c r="A7732" s="28" t="n">
        <v>30550</v>
      </c>
      <c r="B7732" t="n">
        <v>11.54</v>
      </c>
      <c r="C7732" t="n">
        <v>9.16</v>
      </c>
    </row>
    <row r="7733">
      <c r="A7733" s="28" t="n">
        <v>30551</v>
      </c>
      <c r="B7733" t="n">
        <v>11.57</v>
      </c>
      <c r="C7733" t="n">
        <v>9.19</v>
      </c>
    </row>
    <row r="7734">
      <c r="A7734" s="28" t="n">
        <v>30552</v>
      </c>
      <c r="B7734" t="n">
        <v>11.54</v>
      </c>
      <c r="C7734" t="n">
        <v>9.119999999999999</v>
      </c>
    </row>
    <row r="7735">
      <c r="A7735" s="28" t="n">
        <v>30553</v>
      </c>
      <c r="B7735" t="n">
        <v>11.62</v>
      </c>
      <c r="C7735" t="n">
        <v>9.1</v>
      </c>
    </row>
    <row r="7736">
      <c r="A7736" s="28" t="n">
        <v>30554</v>
      </c>
      <c r="B7736" t="n">
        <v>11.65</v>
      </c>
      <c r="C7736" t="n">
        <v>9.16</v>
      </c>
    </row>
    <row r="7737">
      <c r="A7737" s="28" t="n">
        <v>30557</v>
      </c>
      <c r="B7737" t="n">
        <v>11.86</v>
      </c>
      <c r="C7737" t="n">
        <v>9.25</v>
      </c>
    </row>
    <row r="7738">
      <c r="A7738" s="28" t="n">
        <v>30558</v>
      </c>
      <c r="B7738" t="n">
        <v>11.9</v>
      </c>
      <c r="C7738" t="n">
        <v>9.300000000000001</v>
      </c>
    </row>
    <row r="7739">
      <c r="A7739" s="28" t="n">
        <v>30559</v>
      </c>
      <c r="B7739" t="n">
        <v>11.98</v>
      </c>
      <c r="C7739" t="n">
        <v>9.26</v>
      </c>
    </row>
    <row r="7740">
      <c r="A7740" s="28" t="n">
        <v>30560</v>
      </c>
      <c r="B7740" t="n">
        <v>11.97</v>
      </c>
      <c r="C7740" t="n">
        <v>9.220000000000001</v>
      </c>
    </row>
    <row r="7741">
      <c r="A7741" s="28" t="n">
        <v>30561</v>
      </c>
      <c r="B7741" t="n">
        <v>12.01</v>
      </c>
      <c r="C7741" t="n">
        <v>9.27</v>
      </c>
    </row>
    <row r="7742">
      <c r="A7742" s="28" t="n">
        <v>30564</v>
      </c>
      <c r="B7742" t="n">
        <v>0</v>
      </c>
      <c r="C7742" t="n">
        <v>0</v>
      </c>
    </row>
    <row r="7743">
      <c r="A7743" s="28" t="n">
        <v>30565</v>
      </c>
      <c r="B7743" t="n">
        <v>11.85</v>
      </c>
      <c r="C7743" t="n">
        <v>9.18</v>
      </c>
    </row>
    <row r="7744">
      <c r="A7744" s="28" t="n">
        <v>30566</v>
      </c>
      <c r="B7744" t="n">
        <v>11.7</v>
      </c>
      <c r="C7744" t="n">
        <v>9.1</v>
      </c>
    </row>
    <row r="7745">
      <c r="A7745" s="28" t="n">
        <v>30567</v>
      </c>
      <c r="B7745" t="n">
        <v>11.77</v>
      </c>
      <c r="C7745" t="n">
        <v>9.109999999999999</v>
      </c>
    </row>
    <row r="7746">
      <c r="A7746" s="28" t="n">
        <v>30568</v>
      </c>
      <c r="B7746" t="n">
        <v>11.73</v>
      </c>
      <c r="C7746" t="n">
        <v>9.130000000000001</v>
      </c>
    </row>
    <row r="7747">
      <c r="A7747" s="28" t="n">
        <v>30571</v>
      </c>
      <c r="B7747" t="n">
        <v>11.56</v>
      </c>
      <c r="C7747" t="n">
        <v>9.050000000000001</v>
      </c>
    </row>
    <row r="7748">
      <c r="A7748" s="28" t="n">
        <v>30572</v>
      </c>
      <c r="B7748" t="n">
        <v>11.63</v>
      </c>
      <c r="C7748" t="n">
        <v>9.08</v>
      </c>
    </row>
    <row r="7749">
      <c r="A7749" s="28" t="n">
        <v>30573</v>
      </c>
      <c r="B7749" t="n">
        <v>11.76</v>
      </c>
      <c r="C7749" t="n">
        <v>9.109999999999999</v>
      </c>
    </row>
    <row r="7750">
      <c r="A7750" s="28" t="n">
        <v>30574</v>
      </c>
      <c r="B7750" t="n">
        <v>11.82</v>
      </c>
      <c r="C7750" t="n">
        <v>9.1</v>
      </c>
    </row>
    <row r="7751">
      <c r="A7751" s="28" t="n">
        <v>30575</v>
      </c>
      <c r="B7751" t="n">
        <v>11.68</v>
      </c>
      <c r="C7751" t="n">
        <v>9.07</v>
      </c>
    </row>
    <row r="7752">
      <c r="A7752" s="28" t="n">
        <v>30578</v>
      </c>
      <c r="B7752" t="n">
        <v>11.66</v>
      </c>
      <c r="C7752" t="n">
        <v>8.99</v>
      </c>
    </row>
    <row r="7753">
      <c r="A7753" s="28" t="n">
        <v>30579</v>
      </c>
      <c r="B7753" t="n">
        <v>11.57</v>
      </c>
      <c r="C7753" t="n">
        <v>8.970000000000001</v>
      </c>
    </row>
    <row r="7754">
      <c r="A7754" s="28" t="n">
        <v>30580</v>
      </c>
      <c r="B7754" t="n">
        <v>11.64</v>
      </c>
      <c r="C7754" t="n">
        <v>8.949999999999999</v>
      </c>
    </row>
    <row r="7755">
      <c r="A7755" s="28" t="n">
        <v>30581</v>
      </c>
      <c r="B7755" t="n">
        <v>11.6</v>
      </c>
      <c r="C7755" t="n">
        <v>8.93</v>
      </c>
    </row>
    <row r="7756">
      <c r="A7756" s="28" t="n">
        <v>30582</v>
      </c>
      <c r="B7756" t="n">
        <v>11.49</v>
      </c>
      <c r="C7756" t="n">
        <v>8.880000000000001</v>
      </c>
    </row>
    <row r="7757">
      <c r="A7757" s="28" t="n">
        <v>30585</v>
      </c>
      <c r="B7757" t="n">
        <v>11.41</v>
      </c>
      <c r="C7757" t="n">
        <v>8.73</v>
      </c>
    </row>
    <row r="7758">
      <c r="A7758" s="28" t="n">
        <v>30586</v>
      </c>
      <c r="B7758" t="n">
        <v>11.45</v>
      </c>
      <c r="C7758" t="n">
        <v>8.73</v>
      </c>
    </row>
    <row r="7759">
      <c r="A7759" s="28" t="n">
        <v>30587</v>
      </c>
      <c r="B7759" t="n">
        <v>11.49</v>
      </c>
      <c r="C7759" t="n">
        <v>8.779999999999999</v>
      </c>
    </row>
    <row r="7760">
      <c r="A7760" s="28" t="n">
        <v>30588</v>
      </c>
      <c r="B7760" t="n">
        <v>11.5</v>
      </c>
      <c r="C7760" t="n">
        <v>8.81</v>
      </c>
    </row>
    <row r="7761">
      <c r="A7761" s="28" t="n">
        <v>30589</v>
      </c>
      <c r="B7761" t="n">
        <v>11.44</v>
      </c>
      <c r="C7761" t="n">
        <v>8.710000000000001</v>
      </c>
    </row>
    <row r="7762">
      <c r="A7762" s="28" t="n">
        <v>30592</v>
      </c>
      <c r="B7762" t="n">
        <v>11.47</v>
      </c>
      <c r="C7762" t="n">
        <v>8.74</v>
      </c>
    </row>
    <row r="7763">
      <c r="A7763" s="28" t="n">
        <v>30593</v>
      </c>
      <c r="B7763" t="n">
        <v>11.46</v>
      </c>
      <c r="C7763" t="n">
        <v>8.65</v>
      </c>
    </row>
    <row r="7764">
      <c r="A7764" s="28" t="n">
        <v>30594</v>
      </c>
      <c r="B7764" t="n">
        <v>11.35</v>
      </c>
      <c r="C7764" t="n">
        <v>8.539999999999999</v>
      </c>
    </row>
    <row r="7765">
      <c r="A7765" s="28" t="n">
        <v>30595</v>
      </c>
      <c r="B7765" t="n">
        <v>11.31</v>
      </c>
      <c r="C7765" t="n">
        <v>8.56</v>
      </c>
    </row>
    <row r="7766">
      <c r="A7766" s="28" t="n">
        <v>30596</v>
      </c>
      <c r="B7766" t="n">
        <v>11.33</v>
      </c>
      <c r="C7766" t="n">
        <v>8.6</v>
      </c>
    </row>
    <row r="7767">
      <c r="A7767" s="28" t="n">
        <v>30599</v>
      </c>
      <c r="B7767" t="n">
        <v>0</v>
      </c>
      <c r="C7767" t="n">
        <v>0</v>
      </c>
    </row>
    <row r="7768">
      <c r="A7768" s="28" t="n">
        <v>30600</v>
      </c>
      <c r="B7768" t="n">
        <v>11.57</v>
      </c>
      <c r="C7768" t="n">
        <v>8.81</v>
      </c>
    </row>
    <row r="7769">
      <c r="A7769" s="28" t="n">
        <v>30601</v>
      </c>
      <c r="B7769" t="n">
        <v>11.59</v>
      </c>
      <c r="C7769" t="n">
        <v>8.779999999999999</v>
      </c>
    </row>
    <row r="7770">
      <c r="A7770" s="28" t="n">
        <v>30602</v>
      </c>
      <c r="B7770" t="n">
        <v>11.65</v>
      </c>
      <c r="C7770" t="n">
        <v>8.81</v>
      </c>
    </row>
    <row r="7771">
      <c r="A7771" s="28" t="n">
        <v>30603</v>
      </c>
      <c r="B7771" t="n">
        <v>11.58</v>
      </c>
      <c r="C7771" t="n">
        <v>8.77</v>
      </c>
    </row>
    <row r="7772">
      <c r="A7772" s="28" t="n">
        <v>30606</v>
      </c>
      <c r="B7772" t="n">
        <v>11.47</v>
      </c>
      <c r="C7772" t="n">
        <v>8.550000000000001</v>
      </c>
    </row>
    <row r="7773">
      <c r="A7773" s="28" t="n">
        <v>30607</v>
      </c>
      <c r="B7773" t="n">
        <v>11.49</v>
      </c>
      <c r="C7773" t="n">
        <v>8.52</v>
      </c>
    </row>
    <row r="7774">
      <c r="A7774" s="28" t="n">
        <v>30608</v>
      </c>
      <c r="B7774" t="n">
        <v>11.49</v>
      </c>
      <c r="C7774" t="n">
        <v>8.5</v>
      </c>
    </row>
    <row r="7775">
      <c r="A7775" s="28" t="n">
        <v>30609</v>
      </c>
      <c r="B7775" t="n">
        <v>11.47</v>
      </c>
      <c r="C7775" t="n">
        <v>8.539999999999999</v>
      </c>
    </row>
    <row r="7776">
      <c r="A7776" s="28" t="n">
        <v>30610</v>
      </c>
      <c r="B7776" t="n">
        <v>11.43</v>
      </c>
      <c r="C7776" t="n">
        <v>8.539999999999999</v>
      </c>
    </row>
    <row r="7777">
      <c r="A7777" s="28" t="n">
        <v>30613</v>
      </c>
      <c r="B7777" t="n">
        <v>11.66</v>
      </c>
      <c r="C7777" t="n">
        <v>8.68</v>
      </c>
    </row>
    <row r="7778">
      <c r="A7778" s="28" t="n">
        <v>30614</v>
      </c>
      <c r="B7778" t="n">
        <v>11.7</v>
      </c>
      <c r="C7778" t="n">
        <v>8.66</v>
      </c>
    </row>
    <row r="7779">
      <c r="A7779" s="28" t="n">
        <v>30615</v>
      </c>
      <c r="B7779" t="n">
        <v>11.72</v>
      </c>
      <c r="C7779" t="n">
        <v>8.66</v>
      </c>
    </row>
    <row r="7780">
      <c r="A7780" s="28" t="n">
        <v>30616</v>
      </c>
      <c r="B7780" t="n">
        <v>11.66</v>
      </c>
      <c r="C7780" t="n">
        <v>8.65</v>
      </c>
    </row>
    <row r="7781">
      <c r="A7781" s="28" t="n">
        <v>30617</v>
      </c>
      <c r="B7781" t="n">
        <v>11.68</v>
      </c>
      <c r="C7781" t="n">
        <v>8.630000000000001</v>
      </c>
    </row>
    <row r="7782">
      <c r="A7782" s="28" t="n">
        <v>30620</v>
      </c>
      <c r="B7782" t="n">
        <v>11.74</v>
      </c>
      <c r="C7782" t="n">
        <v>8.51</v>
      </c>
    </row>
    <row r="7783">
      <c r="A7783" s="28" t="n">
        <v>30621</v>
      </c>
      <c r="B7783" t="n">
        <v>11.69</v>
      </c>
      <c r="C7783" t="n">
        <v>8.470000000000001</v>
      </c>
    </row>
    <row r="7784">
      <c r="A7784" s="28" t="n">
        <v>30622</v>
      </c>
      <c r="B7784" t="n">
        <v>11.7</v>
      </c>
      <c r="C7784" t="n">
        <v>8.49</v>
      </c>
    </row>
    <row r="7785">
      <c r="A7785" s="28" t="n">
        <v>30623</v>
      </c>
      <c r="B7785" t="n">
        <v>11.75</v>
      </c>
      <c r="C7785" t="n">
        <v>8.640000000000001</v>
      </c>
    </row>
    <row r="7786">
      <c r="A7786" s="28" t="n">
        <v>30624</v>
      </c>
      <c r="B7786" t="n">
        <v>11.85</v>
      </c>
      <c r="C7786" t="n">
        <v>8.81</v>
      </c>
    </row>
    <row r="7787">
      <c r="A7787" s="28" t="n">
        <v>30627</v>
      </c>
      <c r="B7787" t="n">
        <v>11.85</v>
      </c>
      <c r="C7787" t="n">
        <v>8.77</v>
      </c>
    </row>
    <row r="7788">
      <c r="A7788" s="28" t="n">
        <v>30628</v>
      </c>
      <c r="B7788" t="n">
        <v>0</v>
      </c>
      <c r="C7788" t="n">
        <v>0</v>
      </c>
    </row>
    <row r="7789">
      <c r="A7789" s="28" t="n">
        <v>30629</v>
      </c>
      <c r="B7789" t="n">
        <v>11.84</v>
      </c>
      <c r="C7789" t="n">
        <v>8.779999999999999</v>
      </c>
    </row>
    <row r="7790">
      <c r="A7790" s="28" t="n">
        <v>30630</v>
      </c>
      <c r="B7790" t="n">
        <v>11.71</v>
      </c>
      <c r="C7790" t="n">
        <v>8.76</v>
      </c>
    </row>
    <row r="7791">
      <c r="A7791" s="28" t="n">
        <v>30631</v>
      </c>
      <c r="B7791" t="n">
        <v>0</v>
      </c>
      <c r="C7791" t="n">
        <v>0</v>
      </c>
    </row>
    <row r="7792">
      <c r="A7792" s="28" t="n">
        <v>30634</v>
      </c>
      <c r="B7792" t="n">
        <v>11.68</v>
      </c>
      <c r="C7792" t="n">
        <v>8.77</v>
      </c>
    </row>
    <row r="7793">
      <c r="A7793" s="28" t="n">
        <v>30635</v>
      </c>
      <c r="B7793" t="n">
        <v>11.7</v>
      </c>
      <c r="C7793" t="n">
        <v>8.779999999999999</v>
      </c>
    </row>
    <row r="7794">
      <c r="A7794" s="28" t="n">
        <v>30636</v>
      </c>
      <c r="B7794" t="n">
        <v>11.7</v>
      </c>
      <c r="C7794" t="n">
        <v>8.800000000000001</v>
      </c>
    </row>
    <row r="7795">
      <c r="A7795" s="28" t="n">
        <v>30637</v>
      </c>
      <c r="B7795" t="n">
        <v>11.72</v>
      </c>
      <c r="C7795" t="n">
        <v>8.84</v>
      </c>
    </row>
    <row r="7796">
      <c r="A7796" s="28" t="n">
        <v>30638</v>
      </c>
      <c r="B7796" t="n">
        <v>11.72</v>
      </c>
      <c r="C7796" t="n">
        <v>8.85</v>
      </c>
    </row>
    <row r="7797">
      <c r="A7797" s="28" t="n">
        <v>30641</v>
      </c>
      <c r="B7797" t="n">
        <v>11.65</v>
      </c>
      <c r="C7797" t="n">
        <v>8.779999999999999</v>
      </c>
    </row>
    <row r="7798">
      <c r="A7798" s="28" t="n">
        <v>30642</v>
      </c>
      <c r="B7798" t="n">
        <v>11.57</v>
      </c>
      <c r="C7798" t="n">
        <v>8.77</v>
      </c>
    </row>
    <row r="7799">
      <c r="A7799" s="28" t="n">
        <v>30643</v>
      </c>
      <c r="B7799" t="n">
        <v>11.59</v>
      </c>
      <c r="C7799" t="n">
        <v>8.81</v>
      </c>
    </row>
    <row r="7800">
      <c r="A7800" s="28" t="n">
        <v>30644</v>
      </c>
      <c r="B7800" t="n">
        <v>0</v>
      </c>
      <c r="C7800" t="n">
        <v>0</v>
      </c>
    </row>
    <row r="7801">
      <c r="A7801" s="28" t="n">
        <v>30645</v>
      </c>
      <c r="B7801" t="n">
        <v>11.55</v>
      </c>
      <c r="C7801" t="n">
        <v>8.779999999999999</v>
      </c>
    </row>
    <row r="7802">
      <c r="A7802" s="28" t="n">
        <v>30648</v>
      </c>
      <c r="B7802" t="n">
        <v>11.63</v>
      </c>
      <c r="C7802" t="n">
        <v>8.869999999999999</v>
      </c>
    </row>
    <row r="7803">
      <c r="A7803" s="28" t="n">
        <v>30649</v>
      </c>
      <c r="B7803" t="n">
        <v>11.58</v>
      </c>
      <c r="C7803" t="n">
        <v>8.869999999999999</v>
      </c>
    </row>
    <row r="7804">
      <c r="A7804" s="28" t="n">
        <v>30650</v>
      </c>
      <c r="B7804" t="n">
        <v>11.63</v>
      </c>
      <c r="C7804" t="n">
        <v>8.880000000000001</v>
      </c>
    </row>
    <row r="7805">
      <c r="A7805" s="28" t="n">
        <v>30651</v>
      </c>
      <c r="B7805" t="n">
        <v>11.63</v>
      </c>
      <c r="C7805" t="n">
        <v>8.869999999999999</v>
      </c>
    </row>
    <row r="7806">
      <c r="A7806" s="28" t="n">
        <v>30652</v>
      </c>
      <c r="B7806" t="n">
        <v>11.75</v>
      </c>
      <c r="C7806" t="n">
        <v>8.93</v>
      </c>
    </row>
    <row r="7807">
      <c r="A7807" s="28" t="n">
        <v>30655</v>
      </c>
      <c r="B7807" t="n">
        <v>11.78</v>
      </c>
      <c r="C7807" t="n">
        <v>8.93</v>
      </c>
    </row>
    <row r="7808">
      <c r="A7808" s="28" t="n">
        <v>30656</v>
      </c>
      <c r="B7808" t="n">
        <v>11.76</v>
      </c>
      <c r="C7808" t="n">
        <v>8.94</v>
      </c>
    </row>
    <row r="7809">
      <c r="A7809" s="28" t="n">
        <v>30657</v>
      </c>
      <c r="B7809" t="n">
        <v>11.79</v>
      </c>
      <c r="C7809" t="n">
        <v>8.949999999999999</v>
      </c>
    </row>
    <row r="7810">
      <c r="A7810" s="28" t="n">
        <v>30658</v>
      </c>
      <c r="B7810" t="n">
        <v>11.89</v>
      </c>
      <c r="C7810" t="n">
        <v>9.02</v>
      </c>
    </row>
    <row r="7811">
      <c r="A7811" s="28" t="n">
        <v>30659</v>
      </c>
      <c r="B7811" t="n">
        <v>11.9</v>
      </c>
      <c r="C7811" t="n">
        <v>9</v>
      </c>
    </row>
    <row r="7812">
      <c r="A7812" s="28" t="n">
        <v>30662</v>
      </c>
      <c r="B7812" t="n">
        <v>11.87</v>
      </c>
      <c r="C7812" t="n">
        <v>8.960000000000001</v>
      </c>
    </row>
    <row r="7813">
      <c r="A7813" s="28" t="n">
        <v>30663</v>
      </c>
      <c r="B7813" t="n">
        <v>11.95</v>
      </c>
      <c r="C7813" t="n">
        <v>9.09</v>
      </c>
    </row>
    <row r="7814">
      <c r="A7814" s="28" t="n">
        <v>30664</v>
      </c>
      <c r="B7814" t="n">
        <v>11.97</v>
      </c>
      <c r="C7814" t="n">
        <v>9.119999999999999</v>
      </c>
    </row>
    <row r="7815">
      <c r="A7815" s="28" t="n">
        <v>30665</v>
      </c>
      <c r="B7815" t="n">
        <v>11.96</v>
      </c>
      <c r="C7815" t="n">
        <v>9.17</v>
      </c>
    </row>
    <row r="7816">
      <c r="A7816" s="28" t="n">
        <v>30666</v>
      </c>
      <c r="B7816" t="n">
        <v>11.88</v>
      </c>
      <c r="C7816" t="n">
        <v>9.109999999999999</v>
      </c>
    </row>
    <row r="7817">
      <c r="A7817" s="28" t="n">
        <v>30669</v>
      </c>
      <c r="B7817" t="n">
        <v>11.87</v>
      </c>
      <c r="C7817" t="n">
        <v>9.09</v>
      </c>
    </row>
    <row r="7818">
      <c r="A7818" s="28" t="n">
        <v>30670</v>
      </c>
      <c r="B7818" t="n">
        <v>11.86</v>
      </c>
      <c r="C7818" t="n">
        <v>9.039999999999999</v>
      </c>
    </row>
    <row r="7819">
      <c r="A7819" s="28" t="n">
        <v>30671</v>
      </c>
      <c r="B7819" t="n">
        <v>11.83</v>
      </c>
      <c r="C7819" t="n">
        <v>9</v>
      </c>
    </row>
    <row r="7820">
      <c r="A7820" s="28" t="n">
        <v>30672</v>
      </c>
      <c r="B7820" t="n">
        <v>11.77</v>
      </c>
      <c r="C7820" t="n">
        <v>8.890000000000001</v>
      </c>
    </row>
    <row r="7821">
      <c r="A7821" s="28" t="n">
        <v>30673</v>
      </c>
      <c r="B7821" t="n">
        <v>11.79</v>
      </c>
      <c r="C7821" t="n">
        <v>8.960000000000001</v>
      </c>
    </row>
    <row r="7822">
      <c r="A7822" s="28" t="n">
        <v>30676</v>
      </c>
      <c r="B7822" t="n">
        <v>0</v>
      </c>
      <c r="C7822" t="n">
        <v>0</v>
      </c>
    </row>
    <row r="7823">
      <c r="A7823" s="28" t="n">
        <v>30677</v>
      </c>
      <c r="B7823" t="n">
        <v>11.75</v>
      </c>
      <c r="C7823" t="n">
        <v>8.92</v>
      </c>
    </row>
    <row r="7824">
      <c r="A7824" s="28" t="n">
        <v>30678</v>
      </c>
      <c r="B7824" t="n">
        <v>11.81</v>
      </c>
      <c r="C7824" t="n">
        <v>8.98</v>
      </c>
    </row>
    <row r="7825">
      <c r="A7825" s="28" t="n">
        <v>30679</v>
      </c>
      <c r="B7825" t="n">
        <v>11.79</v>
      </c>
      <c r="C7825" t="n">
        <v>8.98</v>
      </c>
    </row>
    <row r="7826">
      <c r="A7826" s="28" t="n">
        <v>30680</v>
      </c>
      <c r="B7826" t="n">
        <v>11.82</v>
      </c>
      <c r="C7826" t="n">
        <v>8.970000000000001</v>
      </c>
    </row>
    <row r="7827">
      <c r="A7827" s="28" t="n">
        <v>30683</v>
      </c>
      <c r="B7827" t="n">
        <v>0</v>
      </c>
      <c r="C7827" t="n">
        <v>0</v>
      </c>
    </row>
    <row r="7828">
      <c r="A7828" s="28" t="n">
        <v>30684</v>
      </c>
      <c r="B7828" t="n">
        <v>11.86</v>
      </c>
      <c r="C7828" t="n">
        <v>9</v>
      </c>
    </row>
    <row r="7829">
      <c r="A7829" s="28" t="n">
        <v>30685</v>
      </c>
      <c r="B7829" t="n">
        <v>11.78</v>
      </c>
      <c r="C7829" t="n">
        <v>8.98</v>
      </c>
    </row>
    <row r="7830">
      <c r="A7830" s="28" t="n">
        <v>30686</v>
      </c>
      <c r="B7830" t="n">
        <v>11.77</v>
      </c>
      <c r="C7830" t="n">
        <v>8.93</v>
      </c>
    </row>
    <row r="7831">
      <c r="A7831" s="28" t="n">
        <v>30687</v>
      </c>
      <c r="B7831" t="n">
        <v>11.73</v>
      </c>
      <c r="C7831" t="n">
        <v>8.869999999999999</v>
      </c>
    </row>
    <row r="7832">
      <c r="A7832" s="28" t="n">
        <v>30690</v>
      </c>
      <c r="B7832" t="n">
        <v>11.75</v>
      </c>
      <c r="C7832" t="n">
        <v>8.9</v>
      </c>
    </row>
    <row r="7833">
      <c r="A7833" s="28" t="n">
        <v>30691</v>
      </c>
      <c r="B7833" t="n">
        <v>11.71</v>
      </c>
      <c r="C7833" t="n">
        <v>8.9</v>
      </c>
    </row>
    <row r="7834">
      <c r="A7834" s="28" t="n">
        <v>30692</v>
      </c>
      <c r="B7834" t="n">
        <v>11.76</v>
      </c>
      <c r="C7834" t="n">
        <v>8.93</v>
      </c>
    </row>
    <row r="7835">
      <c r="A7835" s="28" t="n">
        <v>30693</v>
      </c>
      <c r="B7835" t="n">
        <v>11.76</v>
      </c>
      <c r="C7835" t="n">
        <v>8.92</v>
      </c>
    </row>
    <row r="7836">
      <c r="A7836" s="28" t="n">
        <v>30694</v>
      </c>
      <c r="B7836" t="n">
        <v>11.59</v>
      </c>
      <c r="C7836" t="n">
        <v>8.74</v>
      </c>
    </row>
    <row r="7837">
      <c r="A7837" s="28" t="n">
        <v>30697</v>
      </c>
      <c r="B7837" t="n">
        <v>11.54</v>
      </c>
      <c r="C7837" t="n">
        <v>8.779999999999999</v>
      </c>
    </row>
    <row r="7838">
      <c r="A7838" s="28" t="n">
        <v>30698</v>
      </c>
      <c r="B7838" t="n">
        <v>11.57</v>
      </c>
      <c r="C7838" t="n">
        <v>8.83</v>
      </c>
    </row>
    <row r="7839">
      <c r="A7839" s="28" t="n">
        <v>30699</v>
      </c>
      <c r="B7839" t="n">
        <v>11.61</v>
      </c>
      <c r="C7839" t="n">
        <v>8.91</v>
      </c>
    </row>
    <row r="7840">
      <c r="A7840" s="28" t="n">
        <v>30700</v>
      </c>
      <c r="B7840" t="n">
        <v>11.6</v>
      </c>
      <c r="C7840" t="n">
        <v>8.9</v>
      </c>
    </row>
    <row r="7841">
      <c r="A7841" s="28" t="n">
        <v>30701</v>
      </c>
      <c r="B7841" t="n">
        <v>11.64</v>
      </c>
      <c r="C7841" t="n">
        <v>8.970000000000001</v>
      </c>
    </row>
    <row r="7842">
      <c r="A7842" s="28" t="n">
        <v>30704</v>
      </c>
      <c r="B7842" t="n">
        <v>11.63</v>
      </c>
      <c r="C7842" t="n">
        <v>8.94</v>
      </c>
    </row>
    <row r="7843">
      <c r="A7843" s="28" t="n">
        <v>30705</v>
      </c>
      <c r="B7843" t="n">
        <v>11.63</v>
      </c>
      <c r="C7843" t="n">
        <v>8.92</v>
      </c>
    </row>
    <row r="7844">
      <c r="A7844" s="28" t="n">
        <v>30706</v>
      </c>
      <c r="B7844" t="n">
        <v>11.64</v>
      </c>
      <c r="C7844" t="n">
        <v>8.93</v>
      </c>
    </row>
    <row r="7845">
      <c r="A7845" s="28" t="n">
        <v>30707</v>
      </c>
      <c r="B7845" t="n">
        <v>11.63</v>
      </c>
      <c r="C7845" t="n">
        <v>8.93</v>
      </c>
    </row>
    <row r="7846">
      <c r="A7846" s="28" t="n">
        <v>30708</v>
      </c>
      <c r="B7846" t="n">
        <v>11.63</v>
      </c>
      <c r="C7846" t="n">
        <v>8.91</v>
      </c>
    </row>
    <row r="7847">
      <c r="A7847" s="28" t="n">
        <v>30711</v>
      </c>
      <c r="B7847" t="n">
        <v>11.66</v>
      </c>
      <c r="C7847" t="n">
        <v>8.890000000000001</v>
      </c>
    </row>
    <row r="7848">
      <c r="A7848" s="28" t="n">
        <v>30712</v>
      </c>
      <c r="B7848" t="n">
        <v>11.67</v>
      </c>
      <c r="C7848" t="n">
        <v>8.890000000000001</v>
      </c>
    </row>
    <row r="7849">
      <c r="A7849" s="28" t="n">
        <v>30713</v>
      </c>
      <c r="B7849" t="n">
        <v>11.64</v>
      </c>
      <c r="C7849" t="n">
        <v>8.890000000000001</v>
      </c>
    </row>
    <row r="7850">
      <c r="A7850" s="28" t="n">
        <v>30714</v>
      </c>
      <c r="B7850" t="n">
        <v>11.6</v>
      </c>
      <c r="C7850" t="n">
        <v>8.91</v>
      </c>
    </row>
    <row r="7851">
      <c r="A7851" s="28" t="n">
        <v>30715</v>
      </c>
      <c r="B7851" t="n">
        <v>11.6</v>
      </c>
      <c r="C7851" t="n">
        <v>8.960000000000001</v>
      </c>
    </row>
    <row r="7852">
      <c r="A7852" s="28" t="n">
        <v>30718</v>
      </c>
      <c r="B7852" t="n">
        <v>11.7</v>
      </c>
      <c r="C7852" t="n">
        <v>9.09</v>
      </c>
    </row>
    <row r="7853">
      <c r="A7853" s="28" t="n">
        <v>30719</v>
      </c>
      <c r="B7853" t="n">
        <v>11.71</v>
      </c>
      <c r="C7853" t="n">
        <v>9.06</v>
      </c>
    </row>
    <row r="7854">
      <c r="A7854" s="28" t="n">
        <v>30720</v>
      </c>
      <c r="B7854" t="n">
        <v>11.72</v>
      </c>
      <c r="C7854" t="n">
        <v>9.06</v>
      </c>
    </row>
    <row r="7855">
      <c r="A7855" s="28" t="n">
        <v>30721</v>
      </c>
      <c r="B7855" t="n">
        <v>11.73</v>
      </c>
      <c r="C7855" t="n">
        <v>9.029999999999999</v>
      </c>
    </row>
    <row r="7856">
      <c r="A7856" s="28" t="n">
        <v>30722</v>
      </c>
      <c r="B7856" t="n">
        <v>11.83</v>
      </c>
      <c r="C7856" t="n">
        <v>9.06</v>
      </c>
    </row>
    <row r="7857">
      <c r="A7857" s="28" t="n">
        <v>30725</v>
      </c>
      <c r="B7857" t="n">
        <v>0</v>
      </c>
      <c r="C7857" t="n">
        <v>0</v>
      </c>
    </row>
    <row r="7858">
      <c r="A7858" s="28" t="n">
        <v>30726</v>
      </c>
      <c r="B7858" t="n">
        <v>11.85</v>
      </c>
      <c r="C7858" t="n">
        <v>9.07</v>
      </c>
    </row>
    <row r="7859">
      <c r="A7859" s="28" t="n">
        <v>30727</v>
      </c>
      <c r="B7859" t="n">
        <v>11.81</v>
      </c>
      <c r="C7859" t="n">
        <v>9.06</v>
      </c>
    </row>
    <row r="7860">
      <c r="A7860" s="28" t="n">
        <v>30728</v>
      </c>
      <c r="B7860" t="n">
        <v>11.83</v>
      </c>
      <c r="C7860" t="n">
        <v>9.07</v>
      </c>
    </row>
    <row r="7861">
      <c r="A7861" s="28" t="n">
        <v>30729</v>
      </c>
      <c r="B7861" t="n">
        <v>11.92</v>
      </c>
      <c r="C7861" t="n">
        <v>9.17</v>
      </c>
    </row>
    <row r="7862">
      <c r="A7862" s="28" t="n">
        <v>30732</v>
      </c>
      <c r="B7862" t="n">
        <v>0</v>
      </c>
      <c r="C7862" t="n">
        <v>0</v>
      </c>
    </row>
    <row r="7863">
      <c r="A7863" s="28" t="n">
        <v>30733</v>
      </c>
      <c r="B7863" t="n">
        <v>11.91</v>
      </c>
      <c r="C7863" t="n">
        <v>9.130000000000001</v>
      </c>
    </row>
    <row r="7864">
      <c r="A7864" s="28" t="n">
        <v>30734</v>
      </c>
      <c r="B7864" t="n">
        <v>11.93</v>
      </c>
      <c r="C7864" t="n">
        <v>9.130000000000001</v>
      </c>
    </row>
    <row r="7865">
      <c r="A7865" s="28" t="n">
        <v>30735</v>
      </c>
      <c r="B7865" t="n">
        <v>12.05</v>
      </c>
      <c r="C7865" t="n">
        <v>9.26</v>
      </c>
    </row>
    <row r="7866">
      <c r="A7866" s="28" t="n">
        <v>30736</v>
      </c>
      <c r="B7866" t="n">
        <v>11.99</v>
      </c>
      <c r="C7866" t="n">
        <v>9.18</v>
      </c>
    </row>
    <row r="7867">
      <c r="A7867" s="28" t="n">
        <v>30739</v>
      </c>
      <c r="B7867" t="n">
        <v>12.05</v>
      </c>
      <c r="C7867" t="n">
        <v>9.19</v>
      </c>
    </row>
    <row r="7868">
      <c r="A7868" s="28" t="n">
        <v>30740</v>
      </c>
      <c r="B7868" t="n">
        <v>12.09</v>
      </c>
      <c r="C7868" t="n">
        <v>9.210000000000001</v>
      </c>
    </row>
    <row r="7869">
      <c r="A7869" s="28" t="n">
        <v>30741</v>
      </c>
      <c r="B7869" t="n">
        <v>12.04</v>
      </c>
      <c r="C7869" t="n">
        <v>9.140000000000001</v>
      </c>
    </row>
    <row r="7870">
      <c r="A7870" s="28" t="n">
        <v>30742</v>
      </c>
      <c r="B7870" t="n">
        <v>12.07</v>
      </c>
      <c r="C7870" t="n">
        <v>9.19</v>
      </c>
    </row>
    <row r="7871">
      <c r="A7871" s="28" t="n">
        <v>30743</v>
      </c>
      <c r="B7871" t="n">
        <v>11.99</v>
      </c>
      <c r="C7871" t="n">
        <v>9.16</v>
      </c>
    </row>
    <row r="7872">
      <c r="A7872" s="28" t="n">
        <v>30746</v>
      </c>
      <c r="B7872" t="n">
        <v>12.07</v>
      </c>
      <c r="C7872" t="n">
        <v>9.199999999999999</v>
      </c>
    </row>
    <row r="7873">
      <c r="A7873" s="28" t="n">
        <v>30747</v>
      </c>
      <c r="B7873" t="n">
        <v>12.09</v>
      </c>
      <c r="C7873" t="n">
        <v>9.23</v>
      </c>
    </row>
    <row r="7874">
      <c r="A7874" s="28" t="n">
        <v>30748</v>
      </c>
      <c r="B7874" t="n">
        <v>12.22</v>
      </c>
      <c r="C7874" t="n">
        <v>9.31</v>
      </c>
    </row>
    <row r="7875">
      <c r="A7875" s="28" t="n">
        <v>30749</v>
      </c>
      <c r="B7875" t="n">
        <v>12.24</v>
      </c>
      <c r="C7875" t="n">
        <v>9.34</v>
      </c>
    </row>
    <row r="7876">
      <c r="A7876" s="28" t="n">
        <v>30750</v>
      </c>
      <c r="B7876" t="n">
        <v>12.28</v>
      </c>
      <c r="C7876" t="n">
        <v>9.35</v>
      </c>
    </row>
    <row r="7877">
      <c r="A7877" s="28" t="n">
        <v>30753</v>
      </c>
      <c r="B7877" t="n">
        <v>12.24</v>
      </c>
      <c r="C7877" t="n">
        <v>9.34</v>
      </c>
    </row>
    <row r="7878">
      <c r="A7878" s="28" t="n">
        <v>30754</v>
      </c>
      <c r="B7878" t="n">
        <v>12.27</v>
      </c>
      <c r="C7878" t="n">
        <v>9.380000000000001</v>
      </c>
    </row>
    <row r="7879">
      <c r="A7879" s="28" t="n">
        <v>30755</v>
      </c>
      <c r="B7879" t="n">
        <v>12.31</v>
      </c>
      <c r="C7879" t="n">
        <v>9.460000000000001</v>
      </c>
    </row>
    <row r="7880">
      <c r="A7880" s="28" t="n">
        <v>30756</v>
      </c>
      <c r="B7880" t="n">
        <v>12.31</v>
      </c>
      <c r="C7880" t="n">
        <v>9.48</v>
      </c>
    </row>
    <row r="7881">
      <c r="A7881" s="28" t="n">
        <v>30757</v>
      </c>
      <c r="B7881" t="n">
        <v>12.34</v>
      </c>
      <c r="C7881" t="n">
        <v>9.5</v>
      </c>
    </row>
    <row r="7882">
      <c r="A7882" s="28" t="n">
        <v>30760</v>
      </c>
      <c r="B7882" t="n">
        <v>12.45</v>
      </c>
      <c r="C7882" t="n">
        <v>9.640000000000001</v>
      </c>
    </row>
    <row r="7883">
      <c r="A7883" s="28" t="n">
        <v>30761</v>
      </c>
      <c r="B7883" t="n">
        <v>12.44</v>
      </c>
      <c r="C7883" t="n">
        <v>9.800000000000001</v>
      </c>
    </row>
    <row r="7884">
      <c r="A7884" s="28" t="n">
        <v>30762</v>
      </c>
      <c r="B7884" t="n">
        <v>12.45</v>
      </c>
      <c r="C7884" t="n">
        <v>9.81</v>
      </c>
    </row>
    <row r="7885">
      <c r="A7885" s="28" t="n">
        <v>30763</v>
      </c>
      <c r="B7885" t="n">
        <v>12.49</v>
      </c>
      <c r="C7885" t="n">
        <v>9.789999999999999</v>
      </c>
    </row>
    <row r="7886">
      <c r="A7886" s="28" t="n">
        <v>30764</v>
      </c>
      <c r="B7886" t="n">
        <v>12.48</v>
      </c>
      <c r="C7886" t="n">
        <v>9.77</v>
      </c>
    </row>
    <row r="7887">
      <c r="A7887" s="28" t="n">
        <v>30767</v>
      </c>
      <c r="B7887" t="n">
        <v>12.46</v>
      </c>
      <c r="C7887" t="n">
        <v>9.73</v>
      </c>
    </row>
    <row r="7888">
      <c r="A7888" s="28" t="n">
        <v>30768</v>
      </c>
      <c r="B7888" t="n">
        <v>12.46</v>
      </c>
      <c r="C7888" t="n">
        <v>9.779999999999999</v>
      </c>
    </row>
    <row r="7889">
      <c r="A7889" s="28" t="n">
        <v>30769</v>
      </c>
      <c r="B7889" t="n">
        <v>12.42</v>
      </c>
      <c r="C7889" t="n">
        <v>9.710000000000001</v>
      </c>
    </row>
    <row r="7890">
      <c r="A7890" s="28" t="n">
        <v>30770</v>
      </c>
      <c r="B7890" t="n">
        <v>12.41</v>
      </c>
      <c r="C7890" t="n">
        <v>9.68</v>
      </c>
    </row>
    <row r="7891">
      <c r="A7891" s="28" t="n">
        <v>30771</v>
      </c>
      <c r="B7891" t="n">
        <v>12.53</v>
      </c>
      <c r="C7891" t="n">
        <v>9.720000000000001</v>
      </c>
    </row>
    <row r="7892">
      <c r="A7892" s="28" t="n">
        <v>30774</v>
      </c>
      <c r="B7892" t="n">
        <v>12.56</v>
      </c>
      <c r="C7892" t="n">
        <v>9.68</v>
      </c>
    </row>
    <row r="7893">
      <c r="A7893" s="28" t="n">
        <v>30775</v>
      </c>
      <c r="B7893" t="n">
        <v>12.65</v>
      </c>
      <c r="C7893" t="n">
        <v>9.779999999999999</v>
      </c>
    </row>
    <row r="7894">
      <c r="A7894" s="28" t="n">
        <v>30776</v>
      </c>
      <c r="B7894" t="n">
        <v>12.67</v>
      </c>
      <c r="C7894" t="n">
        <v>9.789999999999999</v>
      </c>
    </row>
    <row r="7895">
      <c r="A7895" s="28" t="n">
        <v>30777</v>
      </c>
      <c r="B7895" t="n">
        <v>12.65</v>
      </c>
      <c r="C7895" t="n">
        <v>9.789999999999999</v>
      </c>
    </row>
    <row r="7896">
      <c r="A7896" s="28" t="n">
        <v>30778</v>
      </c>
      <c r="B7896" t="n">
        <v>12.51</v>
      </c>
      <c r="C7896" t="n">
        <v>9.68</v>
      </c>
    </row>
    <row r="7897">
      <c r="A7897" s="28" t="n">
        <v>30781</v>
      </c>
      <c r="B7897" t="n">
        <v>12.47</v>
      </c>
      <c r="C7897" t="n">
        <v>9.59</v>
      </c>
    </row>
    <row r="7898">
      <c r="A7898" s="28" t="n">
        <v>30782</v>
      </c>
      <c r="B7898" t="n">
        <v>12.52</v>
      </c>
      <c r="C7898" t="n">
        <v>9.630000000000001</v>
      </c>
    </row>
    <row r="7899">
      <c r="A7899" s="28" t="n">
        <v>30783</v>
      </c>
      <c r="B7899" t="n">
        <v>12.5</v>
      </c>
      <c r="C7899" t="n">
        <v>9.630000000000001</v>
      </c>
    </row>
    <row r="7900">
      <c r="A7900" s="28" t="n">
        <v>30784</v>
      </c>
      <c r="B7900" t="n">
        <v>12.4</v>
      </c>
      <c r="C7900" t="n">
        <v>9.640000000000001</v>
      </c>
    </row>
    <row r="7901">
      <c r="A7901" s="28" t="n">
        <v>30785</v>
      </c>
      <c r="B7901" t="n">
        <v>12.57</v>
      </c>
      <c r="C7901" t="n">
        <v>9.74</v>
      </c>
    </row>
    <row r="7902">
      <c r="A7902" s="28" t="n">
        <v>30788</v>
      </c>
      <c r="B7902" t="n">
        <v>12.61</v>
      </c>
      <c r="C7902" t="n">
        <v>9.789999999999999</v>
      </c>
    </row>
    <row r="7903">
      <c r="A7903" s="28" t="n">
        <v>30789</v>
      </c>
      <c r="B7903" t="n">
        <v>12.57</v>
      </c>
      <c r="C7903" t="n">
        <v>9.76</v>
      </c>
    </row>
    <row r="7904">
      <c r="A7904" s="28" t="n">
        <v>30790</v>
      </c>
      <c r="B7904" t="n">
        <v>12.7</v>
      </c>
      <c r="C7904" t="n">
        <v>9.75</v>
      </c>
    </row>
    <row r="7905">
      <c r="A7905" s="28" t="n">
        <v>30791</v>
      </c>
      <c r="B7905" t="n">
        <v>12.77</v>
      </c>
      <c r="C7905" t="n">
        <v>9.73</v>
      </c>
    </row>
    <row r="7906">
      <c r="A7906" s="28" t="n">
        <v>30792</v>
      </c>
      <c r="B7906" t="n">
        <v>0</v>
      </c>
      <c r="C7906" t="n">
        <v>0</v>
      </c>
    </row>
    <row r="7907">
      <c r="A7907" s="28" t="n">
        <v>30795</v>
      </c>
      <c r="B7907" t="n">
        <v>12.8</v>
      </c>
      <c r="C7907" t="n">
        <v>9.65</v>
      </c>
    </row>
    <row r="7908">
      <c r="A7908" s="28" t="n">
        <v>30796</v>
      </c>
      <c r="B7908" t="n">
        <v>12.75</v>
      </c>
      <c r="C7908" t="n">
        <v>9.65</v>
      </c>
    </row>
    <row r="7909">
      <c r="A7909" s="28" t="n">
        <v>30797</v>
      </c>
      <c r="B7909" t="n">
        <v>12.69</v>
      </c>
      <c r="C7909" t="n">
        <v>9.630000000000001</v>
      </c>
    </row>
    <row r="7910">
      <c r="A7910" s="28" t="n">
        <v>30798</v>
      </c>
      <c r="B7910" t="n">
        <v>12.67</v>
      </c>
      <c r="C7910" t="n">
        <v>9.539999999999999</v>
      </c>
    </row>
    <row r="7911">
      <c r="A7911" s="28" t="n">
        <v>30799</v>
      </c>
      <c r="B7911" t="n">
        <v>12.79</v>
      </c>
      <c r="C7911" t="n">
        <v>9.710000000000001</v>
      </c>
    </row>
    <row r="7912">
      <c r="A7912" s="28" t="n">
        <v>30802</v>
      </c>
      <c r="B7912" t="n">
        <v>12.82</v>
      </c>
      <c r="C7912" t="n">
        <v>9.720000000000001</v>
      </c>
    </row>
    <row r="7913">
      <c r="A7913" s="28" t="n">
        <v>30803</v>
      </c>
      <c r="B7913" t="n">
        <v>12.82</v>
      </c>
      <c r="C7913" t="n">
        <v>9.699999999999999</v>
      </c>
    </row>
    <row r="7914">
      <c r="A7914" s="28" t="n">
        <v>30804</v>
      </c>
      <c r="B7914" t="n">
        <v>12.86</v>
      </c>
      <c r="C7914" t="n">
        <v>9.68</v>
      </c>
    </row>
    <row r="7915">
      <c r="A7915" s="28" t="n">
        <v>30805</v>
      </c>
      <c r="B7915" t="n">
        <v>12.89</v>
      </c>
      <c r="C7915" t="n">
        <v>9.67</v>
      </c>
    </row>
    <row r="7916">
      <c r="A7916" s="28" t="n">
        <v>30806</v>
      </c>
      <c r="B7916" t="n">
        <v>13.07</v>
      </c>
      <c r="C7916" t="n">
        <v>9.869999999999999</v>
      </c>
    </row>
    <row r="7917">
      <c r="A7917" s="28" t="n">
        <v>30809</v>
      </c>
      <c r="B7917" t="n">
        <v>13.13</v>
      </c>
      <c r="C7917" t="n">
        <v>9.93</v>
      </c>
    </row>
    <row r="7918">
      <c r="A7918" s="28" t="n">
        <v>30810</v>
      </c>
      <c r="B7918" t="n">
        <v>13.09</v>
      </c>
      <c r="C7918" t="n">
        <v>10.04</v>
      </c>
    </row>
    <row r="7919">
      <c r="A7919" s="28" t="n">
        <v>30811</v>
      </c>
      <c r="B7919" t="n">
        <v>13.21</v>
      </c>
      <c r="C7919" t="n">
        <v>10</v>
      </c>
    </row>
    <row r="7920">
      <c r="A7920" s="28" t="n">
        <v>30812</v>
      </c>
      <c r="B7920" t="n">
        <v>13.25</v>
      </c>
      <c r="C7920" t="n">
        <v>9.859999999999999</v>
      </c>
    </row>
    <row r="7921">
      <c r="A7921" s="28" t="n">
        <v>30813</v>
      </c>
      <c r="B7921" t="n">
        <v>13.46</v>
      </c>
      <c r="C7921" t="n">
        <v>10.01</v>
      </c>
    </row>
    <row r="7922">
      <c r="A7922" s="28" t="n">
        <v>30816</v>
      </c>
      <c r="B7922" t="n">
        <v>13.58</v>
      </c>
      <c r="C7922" t="n">
        <v>9.970000000000001</v>
      </c>
    </row>
    <row r="7923">
      <c r="A7923" s="28" t="n">
        <v>30817</v>
      </c>
      <c r="B7923" t="n">
        <v>13.48</v>
      </c>
      <c r="C7923" t="n">
        <v>10.11</v>
      </c>
    </row>
    <row r="7924">
      <c r="A7924" s="28" t="n">
        <v>30818</v>
      </c>
      <c r="B7924" t="n">
        <v>13.41</v>
      </c>
      <c r="C7924" t="n">
        <v>9.75</v>
      </c>
    </row>
    <row r="7925">
      <c r="A7925" s="28" t="n">
        <v>30819</v>
      </c>
      <c r="B7925" t="n">
        <v>13.54</v>
      </c>
      <c r="C7925" t="n">
        <v>9.779999999999999</v>
      </c>
    </row>
    <row r="7926">
      <c r="A7926" s="28" t="n">
        <v>30820</v>
      </c>
      <c r="B7926" t="n">
        <v>13.45</v>
      </c>
      <c r="C7926" t="n">
        <v>9.81</v>
      </c>
    </row>
    <row r="7927">
      <c r="A7927" s="28" t="n">
        <v>30823</v>
      </c>
      <c r="B7927" t="n">
        <v>13.43</v>
      </c>
      <c r="C7927" t="n">
        <v>9.699999999999999</v>
      </c>
    </row>
    <row r="7928">
      <c r="A7928" s="28" t="n">
        <v>30824</v>
      </c>
      <c r="B7928" t="n">
        <v>13.52</v>
      </c>
      <c r="C7928" t="n">
        <v>10.04</v>
      </c>
    </row>
    <row r="7929">
      <c r="A7929" s="28" t="n">
        <v>30825</v>
      </c>
      <c r="B7929" t="n">
        <v>13.54</v>
      </c>
      <c r="C7929" t="n">
        <v>9.91</v>
      </c>
    </row>
    <row r="7930">
      <c r="A7930" s="28" t="n">
        <v>30826</v>
      </c>
      <c r="B7930" t="n">
        <v>13.72</v>
      </c>
      <c r="C7930" t="n">
        <v>9.710000000000001</v>
      </c>
    </row>
    <row r="7931">
      <c r="A7931" s="28" t="n">
        <v>30827</v>
      </c>
      <c r="B7931" t="n">
        <v>13.75</v>
      </c>
      <c r="C7931" t="n">
        <v>9.58</v>
      </c>
    </row>
    <row r="7932">
      <c r="A7932" s="28" t="n">
        <v>30830</v>
      </c>
      <c r="B7932" t="n">
        <v>0</v>
      </c>
      <c r="C7932" t="n">
        <v>0</v>
      </c>
    </row>
    <row r="7933">
      <c r="A7933" s="28" t="n">
        <v>30831</v>
      </c>
      <c r="B7933" t="n">
        <v>13.89</v>
      </c>
      <c r="C7933" t="n">
        <v>9.720000000000001</v>
      </c>
    </row>
    <row r="7934">
      <c r="A7934" s="28" t="n">
        <v>30832</v>
      </c>
      <c r="B7934" t="n">
        <v>13.99</v>
      </c>
      <c r="C7934" t="n">
        <v>9.76</v>
      </c>
    </row>
    <row r="7935">
      <c r="A7935" s="28" t="n">
        <v>30833</v>
      </c>
      <c r="B7935" t="n">
        <v>13.91</v>
      </c>
      <c r="C7935" t="n">
        <v>9.75</v>
      </c>
    </row>
    <row r="7936">
      <c r="A7936" s="28" t="n">
        <v>30834</v>
      </c>
      <c r="B7936" t="n">
        <v>13.63</v>
      </c>
      <c r="C7936" t="n">
        <v>9.800000000000001</v>
      </c>
    </row>
    <row r="7937">
      <c r="A7937" s="28" t="n">
        <v>30837</v>
      </c>
      <c r="B7937" t="n">
        <v>13.42</v>
      </c>
      <c r="C7937" t="n">
        <v>9.85</v>
      </c>
    </row>
    <row r="7938">
      <c r="A7938" s="28" t="n">
        <v>30838</v>
      </c>
      <c r="B7938" t="n">
        <v>13.37</v>
      </c>
      <c r="C7938" t="n">
        <v>9.75</v>
      </c>
    </row>
    <row r="7939">
      <c r="A7939" s="28" t="n">
        <v>30839</v>
      </c>
      <c r="B7939" t="n">
        <v>13.54</v>
      </c>
      <c r="C7939" t="n">
        <v>9.76</v>
      </c>
    </row>
    <row r="7940">
      <c r="A7940" s="28" t="n">
        <v>30840</v>
      </c>
      <c r="B7940" t="n">
        <v>13.54</v>
      </c>
      <c r="C7940" t="n">
        <v>9.84</v>
      </c>
    </row>
    <row r="7941">
      <c r="A7941" s="28" t="n">
        <v>30841</v>
      </c>
      <c r="B7941" t="n">
        <v>13.46</v>
      </c>
      <c r="C7941" t="n">
        <v>9.869999999999999</v>
      </c>
    </row>
    <row r="7942">
      <c r="A7942" s="28" t="n">
        <v>30844</v>
      </c>
      <c r="B7942" t="n">
        <v>13.58</v>
      </c>
      <c r="C7942" t="n">
        <v>10.03</v>
      </c>
    </row>
    <row r="7943">
      <c r="A7943" s="28" t="n">
        <v>30845</v>
      </c>
      <c r="B7943" t="n">
        <v>13.54</v>
      </c>
      <c r="C7943" t="n">
        <v>10.07</v>
      </c>
    </row>
    <row r="7944">
      <c r="A7944" s="28" t="n">
        <v>30846</v>
      </c>
      <c r="B7944" t="n">
        <v>13.44</v>
      </c>
      <c r="C7944" t="n">
        <v>9.890000000000001</v>
      </c>
    </row>
    <row r="7945">
      <c r="A7945" s="28" t="n">
        <v>30847</v>
      </c>
      <c r="B7945" t="n">
        <v>13.39</v>
      </c>
      <c r="C7945" t="n">
        <v>9.880000000000001</v>
      </c>
    </row>
    <row r="7946">
      <c r="A7946" s="28" t="n">
        <v>30848</v>
      </c>
      <c r="B7946" t="n">
        <v>13.21</v>
      </c>
      <c r="C7946" t="n">
        <v>9.880000000000001</v>
      </c>
    </row>
    <row r="7947">
      <c r="A7947" s="28" t="n">
        <v>30851</v>
      </c>
      <c r="B7947" t="n">
        <v>13.27</v>
      </c>
      <c r="C7947" t="n">
        <v>9.960000000000001</v>
      </c>
    </row>
    <row r="7948">
      <c r="A7948" s="28" t="n">
        <v>30852</v>
      </c>
      <c r="B7948" t="n">
        <v>13.38</v>
      </c>
      <c r="C7948" t="n">
        <v>9.91</v>
      </c>
    </row>
    <row r="7949">
      <c r="A7949" s="28" t="n">
        <v>30853</v>
      </c>
      <c r="B7949" t="n">
        <v>13.65</v>
      </c>
      <c r="C7949" t="n">
        <v>9.91</v>
      </c>
    </row>
    <row r="7950">
      <c r="A7950" s="28" t="n">
        <v>30854</v>
      </c>
      <c r="B7950" t="n">
        <v>13.72</v>
      </c>
      <c r="C7950" t="n">
        <v>9.93</v>
      </c>
    </row>
    <row r="7951">
      <c r="A7951" s="28" t="n">
        <v>30855</v>
      </c>
      <c r="B7951" t="n">
        <v>13.74</v>
      </c>
      <c r="C7951" t="n">
        <v>9.84</v>
      </c>
    </row>
    <row r="7952">
      <c r="A7952" s="28" t="n">
        <v>30858</v>
      </c>
      <c r="B7952" t="n">
        <v>13.75</v>
      </c>
      <c r="C7952" t="n">
        <v>9.75</v>
      </c>
    </row>
    <row r="7953">
      <c r="A7953" s="28" t="n">
        <v>30859</v>
      </c>
      <c r="B7953" t="n">
        <v>13.79</v>
      </c>
      <c r="C7953" t="n">
        <v>9.800000000000001</v>
      </c>
    </row>
    <row r="7954">
      <c r="A7954" s="28" t="n">
        <v>30860</v>
      </c>
      <c r="B7954" t="n">
        <v>13.76</v>
      </c>
      <c r="C7954" t="n">
        <v>9.75</v>
      </c>
    </row>
    <row r="7955">
      <c r="A7955" s="28" t="n">
        <v>30861</v>
      </c>
      <c r="B7955" t="n">
        <v>13.8</v>
      </c>
      <c r="C7955" t="n">
        <v>9.84</v>
      </c>
    </row>
    <row r="7956">
      <c r="A7956" s="28" t="n">
        <v>30862</v>
      </c>
      <c r="B7956" t="n">
        <v>13.84</v>
      </c>
      <c r="C7956" t="n">
        <v>9.92</v>
      </c>
    </row>
    <row r="7957">
      <c r="A7957" s="28" t="n">
        <v>30865</v>
      </c>
      <c r="B7957" t="n">
        <v>13.87</v>
      </c>
      <c r="C7957" t="n">
        <v>9.74</v>
      </c>
    </row>
    <row r="7958">
      <c r="A7958" s="28" t="n">
        <v>30866</v>
      </c>
      <c r="B7958" t="n">
        <v>13.8</v>
      </c>
      <c r="C7958" t="n">
        <v>9.98</v>
      </c>
    </row>
    <row r="7959">
      <c r="A7959" s="28" t="n">
        <v>30867</v>
      </c>
      <c r="B7959" t="n">
        <v>0</v>
      </c>
      <c r="C7959" t="n">
        <v>0</v>
      </c>
    </row>
    <row r="7960">
      <c r="A7960" s="28" t="n">
        <v>30868</v>
      </c>
      <c r="B7960" t="n">
        <v>13.77</v>
      </c>
      <c r="C7960" t="n">
        <v>9.960000000000001</v>
      </c>
    </row>
    <row r="7961">
      <c r="A7961" s="28" t="n">
        <v>30869</v>
      </c>
      <c r="B7961" t="n">
        <v>13.75</v>
      </c>
      <c r="C7961" t="n">
        <v>10</v>
      </c>
    </row>
    <row r="7962">
      <c r="A7962" s="28" t="n">
        <v>30872</v>
      </c>
      <c r="B7962" t="n">
        <v>13.48</v>
      </c>
      <c r="C7962" t="n">
        <v>10</v>
      </c>
    </row>
    <row r="7963">
      <c r="A7963" s="28" t="n">
        <v>30873</v>
      </c>
      <c r="B7963" t="n">
        <v>13.53</v>
      </c>
      <c r="C7963" t="n">
        <v>10.09</v>
      </c>
    </row>
    <row r="7964">
      <c r="A7964" s="28" t="n">
        <v>30874</v>
      </c>
      <c r="B7964" t="n">
        <v>13.55</v>
      </c>
      <c r="C7964" t="n">
        <v>10.1</v>
      </c>
    </row>
    <row r="7965">
      <c r="A7965" s="28" t="n">
        <v>30875</v>
      </c>
      <c r="B7965" t="n">
        <v>13.42</v>
      </c>
      <c r="C7965" t="n">
        <v>10.03</v>
      </c>
    </row>
    <row r="7966">
      <c r="A7966" s="28" t="n">
        <v>30876</v>
      </c>
      <c r="B7966" t="n">
        <v>13.3</v>
      </c>
      <c r="C7966" t="n">
        <v>9.960000000000001</v>
      </c>
    </row>
    <row r="7967">
      <c r="A7967" s="28" t="n">
        <v>30879</v>
      </c>
      <c r="B7967" t="n">
        <v>13.32</v>
      </c>
      <c r="C7967" t="n">
        <v>10</v>
      </c>
    </row>
    <row r="7968">
      <c r="A7968" s="28" t="n">
        <v>30880</v>
      </c>
      <c r="B7968" t="n">
        <v>13.37</v>
      </c>
      <c r="C7968" t="n">
        <v>10.18</v>
      </c>
    </row>
    <row r="7969">
      <c r="A7969" s="28" t="n">
        <v>30881</v>
      </c>
      <c r="B7969" t="n">
        <v>13.32</v>
      </c>
      <c r="C7969" t="n">
        <v>10.11</v>
      </c>
    </row>
    <row r="7970">
      <c r="A7970" s="28" t="n">
        <v>30882</v>
      </c>
      <c r="B7970" t="n">
        <v>13.25</v>
      </c>
      <c r="C7970" t="n">
        <v>10.12</v>
      </c>
    </row>
    <row r="7971">
      <c r="A7971" s="28" t="n">
        <v>30883</v>
      </c>
      <c r="B7971" t="n">
        <v>13.36</v>
      </c>
      <c r="C7971" t="n">
        <v>10.15</v>
      </c>
    </row>
    <row r="7972">
      <c r="A7972" s="28" t="n">
        <v>30886</v>
      </c>
      <c r="B7972" t="n">
        <v>13.35</v>
      </c>
      <c r="C7972" t="n">
        <v>10.21</v>
      </c>
    </row>
    <row r="7973">
      <c r="A7973" s="28" t="n">
        <v>30887</v>
      </c>
      <c r="B7973" t="n">
        <v>13.31</v>
      </c>
      <c r="C7973" t="n">
        <v>10.27</v>
      </c>
    </row>
    <row r="7974">
      <c r="A7974" s="28" t="n">
        <v>30888</v>
      </c>
      <c r="B7974" t="n">
        <v>13.06</v>
      </c>
      <c r="C7974" t="n">
        <v>10.26</v>
      </c>
    </row>
    <row r="7975">
      <c r="A7975" s="28" t="n">
        <v>30889</v>
      </c>
      <c r="B7975" t="n">
        <v>12.89</v>
      </c>
      <c r="C7975" t="n">
        <v>10.24</v>
      </c>
    </row>
    <row r="7976">
      <c r="A7976" s="28" t="n">
        <v>30890</v>
      </c>
      <c r="B7976" t="n">
        <v>12.95</v>
      </c>
      <c r="C7976" t="n">
        <v>10.28</v>
      </c>
    </row>
    <row r="7977">
      <c r="A7977" s="28" t="n">
        <v>30893</v>
      </c>
      <c r="B7977" t="n">
        <v>13.05</v>
      </c>
      <c r="C7977" t="n">
        <v>10.34</v>
      </c>
    </row>
    <row r="7978">
      <c r="A7978" s="28" t="n">
        <v>30894</v>
      </c>
      <c r="B7978" t="n">
        <v>12.91</v>
      </c>
      <c r="C7978" t="n">
        <v>10.4</v>
      </c>
    </row>
    <row r="7979">
      <c r="A7979" s="28" t="n">
        <v>30895</v>
      </c>
      <c r="B7979" t="n">
        <v>12.81</v>
      </c>
      <c r="C7979" t="n">
        <v>10.43</v>
      </c>
    </row>
    <row r="7980">
      <c r="A7980" s="28" t="n">
        <v>30896</v>
      </c>
      <c r="B7980" t="n">
        <v>12.74</v>
      </c>
      <c r="C7980" t="n">
        <v>10.46</v>
      </c>
    </row>
    <row r="7981">
      <c r="A7981" s="28" t="n">
        <v>30897</v>
      </c>
      <c r="B7981" t="n">
        <v>12.61</v>
      </c>
      <c r="C7981" t="n">
        <v>10.46</v>
      </c>
    </row>
    <row r="7982">
      <c r="A7982" s="28" t="n">
        <v>30900</v>
      </c>
      <c r="B7982" t="n">
        <v>12.73</v>
      </c>
      <c r="C7982" t="n">
        <v>10.54</v>
      </c>
    </row>
    <row r="7983">
      <c r="A7983" s="28" t="n">
        <v>30901</v>
      </c>
      <c r="B7983" t="n">
        <v>12.69</v>
      </c>
      <c r="C7983" t="n">
        <v>10.53</v>
      </c>
    </row>
    <row r="7984">
      <c r="A7984" s="28" t="n">
        <v>30902</v>
      </c>
      <c r="B7984" t="n">
        <v>12.66</v>
      </c>
      <c r="C7984" t="n">
        <v>10.47</v>
      </c>
    </row>
    <row r="7985">
      <c r="A7985" s="28" t="n">
        <v>30903</v>
      </c>
      <c r="B7985" t="n">
        <v>12.61</v>
      </c>
      <c r="C7985" t="n">
        <v>10.41</v>
      </c>
    </row>
    <row r="7986">
      <c r="A7986" s="28" t="n">
        <v>30904</v>
      </c>
      <c r="B7986" t="n">
        <v>12.68</v>
      </c>
      <c r="C7986" t="n">
        <v>10.43</v>
      </c>
    </row>
    <row r="7987">
      <c r="A7987" s="28" t="n">
        <v>30907</v>
      </c>
      <c r="B7987" t="n">
        <v>12.74</v>
      </c>
      <c r="C7987" t="n">
        <v>10.45</v>
      </c>
    </row>
    <row r="7988">
      <c r="A7988" s="28" t="n">
        <v>30908</v>
      </c>
      <c r="B7988" t="n">
        <v>12.67</v>
      </c>
      <c r="C7988" t="n">
        <v>10.3</v>
      </c>
    </row>
    <row r="7989">
      <c r="A7989" s="28" t="n">
        <v>30909</v>
      </c>
      <c r="B7989" t="n">
        <v>12.74</v>
      </c>
      <c r="C7989" t="n">
        <v>10.2</v>
      </c>
    </row>
    <row r="7990">
      <c r="A7990" s="28" t="n">
        <v>30910</v>
      </c>
      <c r="B7990" t="n">
        <v>12.7</v>
      </c>
      <c r="C7990" t="n">
        <v>10.26</v>
      </c>
    </row>
    <row r="7991">
      <c r="A7991" s="28" t="n">
        <v>30911</v>
      </c>
      <c r="B7991" t="n">
        <v>12.7</v>
      </c>
      <c r="C7991" t="n">
        <v>10.33</v>
      </c>
    </row>
    <row r="7992">
      <c r="A7992" s="28" t="n">
        <v>30914</v>
      </c>
      <c r="B7992" t="n">
        <v>12.69</v>
      </c>
      <c r="C7992" t="n">
        <v>10.44</v>
      </c>
    </row>
    <row r="7993">
      <c r="A7993" s="28" t="n">
        <v>30915</v>
      </c>
      <c r="B7993" t="n">
        <v>12.62</v>
      </c>
      <c r="C7993" t="n">
        <v>10.42</v>
      </c>
    </row>
    <row r="7994">
      <c r="A7994" s="28" t="n">
        <v>30916</v>
      </c>
      <c r="B7994" t="n">
        <v>12.65</v>
      </c>
      <c r="C7994" t="n">
        <v>10.41</v>
      </c>
    </row>
    <row r="7995">
      <c r="A7995" s="28" t="n">
        <v>30917</v>
      </c>
      <c r="B7995" t="n">
        <v>12.69</v>
      </c>
      <c r="C7995" t="n">
        <v>10.45</v>
      </c>
    </row>
    <row r="7996">
      <c r="A7996" s="28" t="n">
        <v>30918</v>
      </c>
      <c r="B7996" t="n">
        <v>12.66</v>
      </c>
      <c r="C7996" t="n">
        <v>10.48</v>
      </c>
    </row>
    <row r="7997">
      <c r="A7997" s="28" t="n">
        <v>30921</v>
      </c>
      <c r="B7997" t="n">
        <v>12.81</v>
      </c>
      <c r="C7997" t="n">
        <v>10.67</v>
      </c>
    </row>
    <row r="7998">
      <c r="A7998" s="28" t="n">
        <v>30922</v>
      </c>
      <c r="B7998" t="n">
        <v>12.81</v>
      </c>
      <c r="C7998" t="n">
        <v>10.65</v>
      </c>
    </row>
    <row r="7999">
      <c r="A7999" s="28" t="n">
        <v>30923</v>
      </c>
      <c r="B7999" t="n">
        <v>12.83</v>
      </c>
      <c r="C7999" t="n">
        <v>10.66</v>
      </c>
    </row>
    <row r="8000">
      <c r="A8000" s="28" t="n">
        <v>30924</v>
      </c>
      <c r="B8000" t="n">
        <v>12.84</v>
      </c>
      <c r="C8000" t="n">
        <v>10.65</v>
      </c>
    </row>
    <row r="8001">
      <c r="A8001" s="28" t="n">
        <v>30925</v>
      </c>
      <c r="B8001" t="n">
        <v>12.79</v>
      </c>
      <c r="C8001" t="n">
        <v>10.63</v>
      </c>
    </row>
    <row r="8002">
      <c r="A8002" s="28" t="n">
        <v>30928</v>
      </c>
      <c r="B8002" t="n">
        <v>0</v>
      </c>
      <c r="C8002" t="n">
        <v>0</v>
      </c>
    </row>
    <row r="8003">
      <c r="A8003" s="28" t="n">
        <v>30929</v>
      </c>
      <c r="B8003" t="n">
        <v>12.88</v>
      </c>
      <c r="C8003" t="n">
        <v>10.67</v>
      </c>
    </row>
    <row r="8004">
      <c r="A8004" s="28" t="n">
        <v>30930</v>
      </c>
      <c r="B8004" t="n">
        <v>12.92</v>
      </c>
      <c r="C8004" t="n">
        <v>10.63</v>
      </c>
    </row>
    <row r="8005">
      <c r="A8005" s="28" t="n">
        <v>30931</v>
      </c>
      <c r="B8005" t="n">
        <v>12.81</v>
      </c>
      <c r="C8005" t="n">
        <v>10.6</v>
      </c>
    </row>
    <row r="8006">
      <c r="A8006" s="28" t="n">
        <v>30932</v>
      </c>
      <c r="B8006" t="n">
        <v>12.7</v>
      </c>
      <c r="C8006" t="n">
        <v>10.55</v>
      </c>
    </row>
    <row r="8007">
      <c r="A8007" s="28" t="n">
        <v>30935</v>
      </c>
      <c r="B8007" t="n">
        <v>12.62</v>
      </c>
      <c r="C8007" t="n">
        <v>10.42</v>
      </c>
    </row>
    <row r="8008">
      <c r="A8008" s="28" t="n">
        <v>30936</v>
      </c>
      <c r="B8008" t="n">
        <v>12.54</v>
      </c>
      <c r="C8008" t="n">
        <v>10.39</v>
      </c>
    </row>
    <row r="8009">
      <c r="A8009" s="28" t="n">
        <v>30937</v>
      </c>
      <c r="B8009" t="n">
        <v>12.55</v>
      </c>
      <c r="C8009" t="n">
        <v>10.4</v>
      </c>
    </row>
    <row r="8010">
      <c r="A8010" s="28" t="n">
        <v>30938</v>
      </c>
      <c r="B8010" t="n">
        <v>12.44</v>
      </c>
      <c r="C8010" t="n">
        <v>10.33</v>
      </c>
    </row>
    <row r="8011">
      <c r="A8011" s="28" t="n">
        <v>30939</v>
      </c>
      <c r="B8011" t="n">
        <v>12.42</v>
      </c>
      <c r="C8011" t="n">
        <v>10.37</v>
      </c>
    </row>
    <row r="8012">
      <c r="A8012" s="28" t="n">
        <v>30942</v>
      </c>
      <c r="B8012" t="n">
        <v>12.4</v>
      </c>
      <c r="C8012" t="n">
        <v>10.38</v>
      </c>
    </row>
    <row r="8013">
      <c r="A8013" s="28" t="n">
        <v>30943</v>
      </c>
      <c r="B8013" t="n">
        <v>12.35</v>
      </c>
      <c r="C8013" t="n">
        <v>10.32</v>
      </c>
    </row>
    <row r="8014">
      <c r="A8014" s="28" t="n">
        <v>30944</v>
      </c>
      <c r="B8014" t="n">
        <v>12.25</v>
      </c>
      <c r="C8014" t="n">
        <v>10.27</v>
      </c>
    </row>
    <row r="8015">
      <c r="A8015" s="28" t="n">
        <v>30945</v>
      </c>
      <c r="B8015" t="n">
        <v>12.28</v>
      </c>
      <c r="C8015" t="n">
        <v>10.24</v>
      </c>
    </row>
    <row r="8016">
      <c r="A8016" s="28" t="n">
        <v>30946</v>
      </c>
      <c r="B8016" t="n">
        <v>12.45</v>
      </c>
      <c r="C8016" t="n">
        <v>10.25</v>
      </c>
    </row>
    <row r="8017">
      <c r="A8017" s="28" t="n">
        <v>30949</v>
      </c>
      <c r="B8017" t="n">
        <v>12.52</v>
      </c>
      <c r="C8017" t="n">
        <v>10.3</v>
      </c>
    </row>
    <row r="8018">
      <c r="A8018" s="28" t="n">
        <v>30950</v>
      </c>
      <c r="B8018" t="n">
        <v>12.56</v>
      </c>
      <c r="C8018" t="n">
        <v>10.29</v>
      </c>
    </row>
    <row r="8019">
      <c r="A8019" s="28" t="n">
        <v>30951</v>
      </c>
      <c r="B8019" t="n">
        <v>12.46</v>
      </c>
      <c r="C8019" t="n">
        <v>10.22</v>
      </c>
    </row>
    <row r="8020">
      <c r="A8020" s="28" t="n">
        <v>30952</v>
      </c>
      <c r="B8020" t="n">
        <v>12.31</v>
      </c>
      <c r="C8020" t="n">
        <v>10.16</v>
      </c>
    </row>
    <row r="8021">
      <c r="A8021" s="28" t="n">
        <v>30953</v>
      </c>
      <c r="B8021" t="n">
        <v>12.47</v>
      </c>
      <c r="C8021" t="n">
        <v>10.22</v>
      </c>
    </row>
    <row r="8022">
      <c r="A8022" s="28" t="n">
        <v>30956</v>
      </c>
      <c r="B8022" t="n">
        <v>12.54</v>
      </c>
      <c r="C8022" t="n">
        <v>10.23</v>
      </c>
    </row>
    <row r="8023">
      <c r="A8023" s="28" t="n">
        <v>30957</v>
      </c>
      <c r="B8023" t="n">
        <v>12.54</v>
      </c>
      <c r="C8023" t="n">
        <v>10.25</v>
      </c>
    </row>
    <row r="8024">
      <c r="A8024" s="28" t="n">
        <v>30958</v>
      </c>
      <c r="B8024" t="n">
        <v>12.54</v>
      </c>
      <c r="C8024" t="n">
        <v>10.18</v>
      </c>
    </row>
    <row r="8025">
      <c r="A8025" s="28" t="n">
        <v>30959</v>
      </c>
      <c r="B8025" t="n">
        <v>12.52</v>
      </c>
      <c r="C8025" t="n">
        <v>10.15</v>
      </c>
    </row>
    <row r="8026">
      <c r="A8026" s="28" t="n">
        <v>30960</v>
      </c>
      <c r="B8026" t="n">
        <v>12.39</v>
      </c>
      <c r="C8026" t="n">
        <v>10.14</v>
      </c>
    </row>
    <row r="8027">
      <c r="A8027" s="28" t="n">
        <v>30963</v>
      </c>
      <c r="B8027" t="n">
        <v>0</v>
      </c>
      <c r="C8027" t="n">
        <v>0</v>
      </c>
    </row>
    <row r="8028">
      <c r="A8028" s="28" t="n">
        <v>30964</v>
      </c>
      <c r="B8028" t="n">
        <v>12.36</v>
      </c>
      <c r="C8028" t="n">
        <v>10.09</v>
      </c>
    </row>
    <row r="8029">
      <c r="A8029" s="28" t="n">
        <v>30965</v>
      </c>
      <c r="B8029" t="n">
        <v>12.36</v>
      </c>
      <c r="C8029" t="n">
        <v>10.07</v>
      </c>
    </row>
    <row r="8030">
      <c r="A8030" s="28" t="n">
        <v>30966</v>
      </c>
      <c r="B8030" t="n">
        <v>12.31</v>
      </c>
      <c r="C8030" t="n">
        <v>9.960000000000001</v>
      </c>
    </row>
    <row r="8031">
      <c r="A8031" s="28" t="n">
        <v>30967</v>
      </c>
      <c r="B8031" t="n">
        <v>12.28</v>
      </c>
      <c r="C8031" t="n">
        <v>9.9</v>
      </c>
    </row>
    <row r="8032">
      <c r="A8032" s="28" t="n">
        <v>30970</v>
      </c>
      <c r="B8032" t="n">
        <v>12.34</v>
      </c>
      <c r="C8032" t="n">
        <v>9.98</v>
      </c>
    </row>
    <row r="8033">
      <c r="A8033" s="28" t="n">
        <v>30971</v>
      </c>
      <c r="B8033" t="n">
        <v>12.32</v>
      </c>
      <c r="C8033" t="n">
        <v>9.949999999999999</v>
      </c>
    </row>
    <row r="8034">
      <c r="A8034" s="28" t="n">
        <v>30972</v>
      </c>
      <c r="B8034" t="n">
        <v>12.28</v>
      </c>
      <c r="C8034" t="n">
        <v>9.869999999999999</v>
      </c>
    </row>
    <row r="8035">
      <c r="A8035" s="28" t="n">
        <v>30973</v>
      </c>
      <c r="B8035" t="n">
        <v>12.09</v>
      </c>
      <c r="C8035" t="n">
        <v>9.710000000000001</v>
      </c>
    </row>
    <row r="8036">
      <c r="A8036" s="28" t="n">
        <v>30974</v>
      </c>
      <c r="B8036" t="n">
        <v>11.93</v>
      </c>
      <c r="C8036" t="n">
        <v>9.56</v>
      </c>
    </row>
    <row r="8037">
      <c r="A8037" s="28" t="n">
        <v>30977</v>
      </c>
      <c r="B8037" t="n">
        <v>11.9</v>
      </c>
      <c r="C8037" t="n">
        <v>9.550000000000001</v>
      </c>
    </row>
    <row r="8038">
      <c r="A8038" s="28" t="n">
        <v>30978</v>
      </c>
      <c r="B8038" t="n">
        <v>11.78</v>
      </c>
      <c r="C8038" t="n">
        <v>9.449999999999999</v>
      </c>
    </row>
    <row r="8039">
      <c r="A8039" s="28" t="n">
        <v>30979</v>
      </c>
      <c r="B8039" t="n">
        <v>11.74</v>
      </c>
      <c r="C8039" t="n">
        <v>9.16</v>
      </c>
    </row>
    <row r="8040">
      <c r="A8040" s="28" t="n">
        <v>30980</v>
      </c>
      <c r="B8040" t="n">
        <v>11.83</v>
      </c>
      <c r="C8040" t="n">
        <v>9.17</v>
      </c>
    </row>
    <row r="8041">
      <c r="A8041" s="28" t="n">
        <v>30981</v>
      </c>
      <c r="B8041" t="n">
        <v>11.99</v>
      </c>
      <c r="C8041" t="n">
        <v>9.34</v>
      </c>
    </row>
    <row r="8042">
      <c r="A8042" s="28" t="n">
        <v>30984</v>
      </c>
      <c r="B8042" t="n">
        <v>11.95</v>
      </c>
      <c r="C8042" t="n">
        <v>9.289999999999999</v>
      </c>
    </row>
    <row r="8043">
      <c r="A8043" s="28" t="n">
        <v>30985</v>
      </c>
      <c r="B8043" t="n">
        <v>11.75</v>
      </c>
      <c r="C8043" t="n">
        <v>9.19</v>
      </c>
    </row>
    <row r="8044">
      <c r="A8044" s="28" t="n">
        <v>30986</v>
      </c>
      <c r="B8044" t="n">
        <v>11.79</v>
      </c>
      <c r="C8044" t="n">
        <v>9.01</v>
      </c>
    </row>
    <row r="8045">
      <c r="A8045" s="28" t="n">
        <v>30987</v>
      </c>
      <c r="B8045" t="n">
        <v>11.66</v>
      </c>
      <c r="C8045" t="n">
        <v>9.01</v>
      </c>
    </row>
    <row r="8046">
      <c r="A8046" s="28" t="n">
        <v>30988</v>
      </c>
      <c r="B8046" t="n">
        <v>11.66</v>
      </c>
      <c r="C8046" t="n">
        <v>9</v>
      </c>
    </row>
    <row r="8047">
      <c r="A8047" s="28" t="n">
        <v>30991</v>
      </c>
      <c r="B8047" t="n">
        <v>11.6</v>
      </c>
      <c r="C8047" t="n">
        <v>8.67</v>
      </c>
    </row>
    <row r="8048">
      <c r="A8048" s="28" t="n">
        <v>30992</v>
      </c>
      <c r="B8048" t="n">
        <v>0</v>
      </c>
      <c r="C8048" t="n">
        <v>0</v>
      </c>
    </row>
    <row r="8049">
      <c r="A8049" s="28" t="n">
        <v>30993</v>
      </c>
      <c r="B8049" t="n">
        <v>11.72</v>
      </c>
      <c r="C8049" t="n">
        <v>8.550000000000001</v>
      </c>
    </row>
    <row r="8050">
      <c r="A8050" s="28" t="n">
        <v>30994</v>
      </c>
      <c r="B8050" t="n">
        <v>11.81</v>
      </c>
      <c r="C8050" t="n">
        <v>8.75</v>
      </c>
    </row>
    <row r="8051">
      <c r="A8051" s="28" t="n">
        <v>30995</v>
      </c>
      <c r="B8051" t="n">
        <v>11.71</v>
      </c>
      <c r="C8051" t="n">
        <v>8.640000000000001</v>
      </c>
    </row>
    <row r="8052">
      <c r="A8052" s="28" t="n">
        <v>30998</v>
      </c>
      <c r="B8052" t="n">
        <v>0</v>
      </c>
      <c r="C8052" t="n">
        <v>0</v>
      </c>
    </row>
    <row r="8053">
      <c r="A8053" s="28" t="n">
        <v>30999</v>
      </c>
      <c r="B8053" t="n">
        <v>11.78</v>
      </c>
      <c r="C8053" t="n">
        <v>8.710000000000001</v>
      </c>
    </row>
    <row r="8054">
      <c r="A8054" s="28" t="n">
        <v>31000</v>
      </c>
      <c r="B8054" t="n">
        <v>11.81</v>
      </c>
      <c r="C8054" t="n">
        <v>8.76</v>
      </c>
    </row>
    <row r="8055">
      <c r="A8055" s="28" t="n">
        <v>31001</v>
      </c>
      <c r="B8055" t="n">
        <v>11.73</v>
      </c>
      <c r="C8055" t="n">
        <v>8.66</v>
      </c>
    </row>
    <row r="8056">
      <c r="A8056" s="28" t="n">
        <v>31002</v>
      </c>
      <c r="B8056" t="n">
        <v>11.69</v>
      </c>
      <c r="C8056" t="n">
        <v>8.59</v>
      </c>
    </row>
    <row r="8057">
      <c r="A8057" s="28" t="n">
        <v>31005</v>
      </c>
      <c r="B8057" t="n">
        <v>11.61</v>
      </c>
      <c r="C8057" t="n">
        <v>8.59</v>
      </c>
    </row>
    <row r="8058">
      <c r="A8058" s="28" t="n">
        <v>31006</v>
      </c>
      <c r="B8058" t="n">
        <v>11.53</v>
      </c>
      <c r="C8058" t="n">
        <v>8.619999999999999</v>
      </c>
    </row>
    <row r="8059">
      <c r="A8059" s="28" t="n">
        <v>31007</v>
      </c>
      <c r="B8059" t="n">
        <v>11.39</v>
      </c>
      <c r="C8059" t="n">
        <v>8.539999999999999</v>
      </c>
    </row>
    <row r="8060">
      <c r="A8060" s="28" t="n">
        <v>31008</v>
      </c>
      <c r="B8060" t="n">
        <v>0</v>
      </c>
      <c r="C8060" t="n">
        <v>0</v>
      </c>
    </row>
    <row r="8061">
      <c r="A8061" s="28" t="n">
        <v>31009</v>
      </c>
      <c r="B8061" t="n">
        <v>11.24</v>
      </c>
      <c r="C8061" t="n">
        <v>8.44</v>
      </c>
    </row>
    <row r="8062">
      <c r="A8062" s="28" t="n">
        <v>31012</v>
      </c>
      <c r="B8062" t="n">
        <v>11.28</v>
      </c>
      <c r="C8062" t="n">
        <v>8.48</v>
      </c>
    </row>
    <row r="8063">
      <c r="A8063" s="28" t="n">
        <v>31013</v>
      </c>
      <c r="B8063" t="n">
        <v>11.28</v>
      </c>
      <c r="C8063" t="n">
        <v>8.380000000000001</v>
      </c>
    </row>
    <row r="8064">
      <c r="A8064" s="28" t="n">
        <v>31014</v>
      </c>
      <c r="B8064" t="n">
        <v>11.38</v>
      </c>
      <c r="C8064" t="n">
        <v>8.380000000000001</v>
      </c>
    </row>
    <row r="8065">
      <c r="A8065" s="28" t="n">
        <v>31015</v>
      </c>
      <c r="B8065" t="n">
        <v>11.42</v>
      </c>
      <c r="C8065" t="n">
        <v>8.35</v>
      </c>
    </row>
    <row r="8066">
      <c r="A8066" s="28" t="n">
        <v>31016</v>
      </c>
      <c r="B8066" t="n">
        <v>11.58</v>
      </c>
      <c r="C8066" t="n">
        <v>8.44</v>
      </c>
    </row>
    <row r="8067">
      <c r="A8067" s="28" t="n">
        <v>31019</v>
      </c>
      <c r="B8067" t="n">
        <v>11.56</v>
      </c>
      <c r="C8067" t="n">
        <v>8.41</v>
      </c>
    </row>
    <row r="8068">
      <c r="A8068" s="28" t="n">
        <v>31020</v>
      </c>
      <c r="B8068" t="n">
        <v>11.52</v>
      </c>
      <c r="C8068" t="n">
        <v>8.49</v>
      </c>
    </row>
    <row r="8069">
      <c r="A8069" s="28" t="n">
        <v>31021</v>
      </c>
      <c r="B8069" t="n">
        <v>11.52</v>
      </c>
      <c r="C8069" t="n">
        <v>8.470000000000001</v>
      </c>
    </row>
    <row r="8070">
      <c r="A8070" s="28" t="n">
        <v>31022</v>
      </c>
      <c r="B8070" t="n">
        <v>11.61</v>
      </c>
      <c r="C8070" t="n">
        <v>8.48</v>
      </c>
    </row>
    <row r="8071">
      <c r="A8071" s="28" t="n">
        <v>31023</v>
      </c>
      <c r="B8071" t="n">
        <v>11.7</v>
      </c>
      <c r="C8071" t="n">
        <v>8.35</v>
      </c>
    </row>
    <row r="8072">
      <c r="A8072" s="28" t="n">
        <v>31026</v>
      </c>
      <c r="B8072" t="n">
        <v>11.66</v>
      </c>
      <c r="C8072" t="n">
        <v>8.34</v>
      </c>
    </row>
    <row r="8073">
      <c r="A8073" s="28" t="n">
        <v>31027</v>
      </c>
      <c r="B8073" t="n">
        <v>11.57</v>
      </c>
      <c r="C8073" t="n">
        <v>8.35</v>
      </c>
    </row>
    <row r="8074">
      <c r="A8074" s="28" t="n">
        <v>31028</v>
      </c>
      <c r="B8074" t="n">
        <v>11.54</v>
      </c>
      <c r="C8074" t="n">
        <v>8.27</v>
      </c>
    </row>
    <row r="8075">
      <c r="A8075" s="28" t="n">
        <v>31029</v>
      </c>
      <c r="B8075" t="n">
        <v>11.7</v>
      </c>
      <c r="C8075" t="n">
        <v>8.289999999999999</v>
      </c>
    </row>
    <row r="8076">
      <c r="A8076" s="28" t="n">
        <v>31030</v>
      </c>
      <c r="B8076" t="n">
        <v>11.56</v>
      </c>
      <c r="C8076" t="n">
        <v>8.109999999999999</v>
      </c>
    </row>
    <row r="8077">
      <c r="A8077" s="28" t="n">
        <v>31033</v>
      </c>
      <c r="B8077" t="n">
        <v>11.49</v>
      </c>
      <c r="C8077" t="n">
        <v>7.96</v>
      </c>
    </row>
    <row r="8078">
      <c r="A8078" s="28" t="n">
        <v>31034</v>
      </c>
      <c r="B8078" t="n">
        <v>11.29</v>
      </c>
      <c r="C8078" t="n">
        <v>7.81</v>
      </c>
    </row>
    <row r="8079">
      <c r="A8079" s="28" t="n">
        <v>31035</v>
      </c>
      <c r="B8079" t="n">
        <v>11.34</v>
      </c>
      <c r="C8079" t="n">
        <v>7.71</v>
      </c>
    </row>
    <row r="8080">
      <c r="A8080" s="28" t="n">
        <v>31036</v>
      </c>
      <c r="B8080" t="n">
        <v>11.37</v>
      </c>
      <c r="C8080" t="n">
        <v>7.8</v>
      </c>
    </row>
    <row r="8081">
      <c r="A8081" s="28" t="n">
        <v>31037</v>
      </c>
      <c r="B8081" t="n">
        <v>11.34</v>
      </c>
      <c r="C8081" t="n">
        <v>7.77</v>
      </c>
    </row>
    <row r="8082">
      <c r="A8082" s="28" t="n">
        <v>31040</v>
      </c>
      <c r="B8082" t="n">
        <v>11.31</v>
      </c>
      <c r="C8082" t="n">
        <v>7.64</v>
      </c>
    </row>
    <row r="8083">
      <c r="A8083" s="28" t="n">
        <v>31041</v>
      </c>
      <c r="B8083" t="n">
        <v>0</v>
      </c>
      <c r="C8083" t="n">
        <v>0</v>
      </c>
    </row>
    <row r="8084">
      <c r="A8084" s="28" t="n">
        <v>31042</v>
      </c>
      <c r="B8084" t="n">
        <v>11.45</v>
      </c>
      <c r="C8084" t="n">
        <v>7.63</v>
      </c>
    </row>
    <row r="8085">
      <c r="A8085" s="28" t="n">
        <v>31043</v>
      </c>
      <c r="B8085" t="n">
        <v>11.45</v>
      </c>
      <c r="C8085" t="n">
        <v>7.67</v>
      </c>
    </row>
    <row r="8086">
      <c r="A8086" s="28" t="n">
        <v>31044</v>
      </c>
      <c r="B8086" t="n">
        <v>11.46</v>
      </c>
      <c r="C8086" t="n">
        <v>7.74</v>
      </c>
    </row>
    <row r="8087">
      <c r="A8087" s="28" t="n">
        <v>31047</v>
      </c>
      <c r="B8087" t="n">
        <v>11.55</v>
      </c>
      <c r="C8087" t="n">
        <v>7.85</v>
      </c>
    </row>
    <row r="8088">
      <c r="A8088" s="28" t="n">
        <v>31048</v>
      </c>
      <c r="B8088" t="n">
        <v>0</v>
      </c>
      <c r="C8088" t="n">
        <v>0</v>
      </c>
    </row>
    <row r="8089">
      <c r="A8089" s="28" t="n">
        <v>31049</v>
      </c>
      <c r="B8089" t="n">
        <v>11.7</v>
      </c>
      <c r="C8089" t="n">
        <v>7.83</v>
      </c>
    </row>
    <row r="8090">
      <c r="A8090" s="28" t="n">
        <v>31050</v>
      </c>
      <c r="B8090" t="n">
        <v>11.62</v>
      </c>
      <c r="C8090" t="n">
        <v>7.8</v>
      </c>
    </row>
    <row r="8091">
      <c r="A8091" s="28" t="n">
        <v>31051</v>
      </c>
      <c r="B8091" t="n">
        <v>11.67</v>
      </c>
      <c r="C8091" t="n">
        <v>7.82</v>
      </c>
    </row>
    <row r="8092">
      <c r="A8092" s="28" t="n">
        <v>31054</v>
      </c>
      <c r="B8092" t="n">
        <v>11.5</v>
      </c>
      <c r="C8092" t="n">
        <v>7.78</v>
      </c>
    </row>
    <row r="8093">
      <c r="A8093" s="28" t="n">
        <v>31055</v>
      </c>
      <c r="B8093" t="n">
        <v>11.45</v>
      </c>
      <c r="C8093" t="n">
        <v>7.79</v>
      </c>
    </row>
    <row r="8094">
      <c r="A8094" s="28" t="n">
        <v>31056</v>
      </c>
      <c r="B8094" t="n">
        <v>11.47</v>
      </c>
      <c r="C8094" t="n">
        <v>7.69</v>
      </c>
    </row>
    <row r="8095">
      <c r="A8095" s="28" t="n">
        <v>31057</v>
      </c>
      <c r="B8095" t="n">
        <v>11.48</v>
      </c>
      <c r="C8095" t="n">
        <v>7.74</v>
      </c>
    </row>
    <row r="8096">
      <c r="A8096" s="28" t="n">
        <v>31058</v>
      </c>
      <c r="B8096" t="n">
        <v>11.59</v>
      </c>
      <c r="C8096" t="n">
        <v>7.76</v>
      </c>
    </row>
    <row r="8097">
      <c r="A8097" s="28" t="n">
        <v>31061</v>
      </c>
      <c r="B8097" t="n">
        <v>11.6</v>
      </c>
      <c r="C8097" t="n">
        <v>7.7</v>
      </c>
    </row>
    <row r="8098">
      <c r="A8098" s="28" t="n">
        <v>31062</v>
      </c>
      <c r="B8098" t="n">
        <v>11.49</v>
      </c>
      <c r="C8098" t="n">
        <v>7.73</v>
      </c>
    </row>
    <row r="8099">
      <c r="A8099" s="28" t="n">
        <v>31063</v>
      </c>
      <c r="B8099" t="n">
        <v>11.51</v>
      </c>
      <c r="C8099" t="n">
        <v>7.74</v>
      </c>
    </row>
    <row r="8100">
      <c r="A8100" s="28" t="n">
        <v>31064</v>
      </c>
      <c r="B8100" t="n">
        <v>11.48</v>
      </c>
      <c r="C8100" t="n">
        <v>7.74</v>
      </c>
    </row>
    <row r="8101">
      <c r="A8101" s="28" t="n">
        <v>31065</v>
      </c>
      <c r="B8101" t="n">
        <v>11.39</v>
      </c>
      <c r="C8101" t="n">
        <v>7.74</v>
      </c>
    </row>
    <row r="8102">
      <c r="A8102" s="28" t="n">
        <v>31068</v>
      </c>
      <c r="B8102" t="n">
        <v>0</v>
      </c>
      <c r="C8102" t="n">
        <v>0</v>
      </c>
    </row>
    <row r="8103">
      <c r="A8103" s="28" t="n">
        <v>31069</v>
      </c>
      <c r="B8103" t="n">
        <v>11.27</v>
      </c>
      <c r="C8103" t="n">
        <v>7.7</v>
      </c>
    </row>
    <row r="8104">
      <c r="A8104" s="28" t="n">
        <v>31070</v>
      </c>
      <c r="B8104" t="n">
        <v>11.21</v>
      </c>
      <c r="C8104" t="n">
        <v>7.64</v>
      </c>
    </row>
    <row r="8105">
      <c r="A8105" s="28" t="n">
        <v>31071</v>
      </c>
      <c r="B8105" t="n">
        <v>11.06</v>
      </c>
      <c r="C8105" t="n">
        <v>7.62</v>
      </c>
    </row>
    <row r="8106">
      <c r="A8106" s="28" t="n">
        <v>31072</v>
      </c>
      <c r="B8106" t="n">
        <v>11.11</v>
      </c>
      <c r="C8106" t="n">
        <v>7.64</v>
      </c>
    </row>
    <row r="8107">
      <c r="A8107" s="28" t="n">
        <v>31075</v>
      </c>
      <c r="B8107" t="n">
        <v>11.11</v>
      </c>
      <c r="C8107" t="n">
        <v>7.72</v>
      </c>
    </row>
    <row r="8108">
      <c r="A8108" s="28" t="n">
        <v>31076</v>
      </c>
      <c r="B8108" t="n">
        <v>11.11</v>
      </c>
      <c r="C8108" t="n">
        <v>7.82</v>
      </c>
    </row>
    <row r="8109">
      <c r="A8109" s="28" t="n">
        <v>31077</v>
      </c>
      <c r="B8109" t="n">
        <v>11.08</v>
      </c>
      <c r="C8109" t="n">
        <v>7.83</v>
      </c>
    </row>
    <row r="8110">
      <c r="A8110" s="28" t="n">
        <v>31078</v>
      </c>
      <c r="B8110" t="n">
        <v>11.17</v>
      </c>
      <c r="C8110" t="n">
        <v>8.050000000000001</v>
      </c>
    </row>
    <row r="8111">
      <c r="A8111" s="28" t="n">
        <v>31079</v>
      </c>
      <c r="B8111" t="n">
        <v>11.29</v>
      </c>
      <c r="C8111" t="n">
        <v>8.19</v>
      </c>
    </row>
    <row r="8112">
      <c r="A8112" s="28" t="n">
        <v>31082</v>
      </c>
      <c r="B8112" t="n">
        <v>11.35</v>
      </c>
      <c r="C8112" t="n">
        <v>8.18</v>
      </c>
    </row>
    <row r="8113">
      <c r="A8113" s="28" t="n">
        <v>31083</v>
      </c>
      <c r="B8113" t="n">
        <v>11.3</v>
      </c>
      <c r="C8113" t="n">
        <v>8.140000000000001</v>
      </c>
    </row>
    <row r="8114">
      <c r="A8114" s="28" t="n">
        <v>31084</v>
      </c>
      <c r="B8114" t="n">
        <v>11.4</v>
      </c>
      <c r="C8114" t="n">
        <v>8.119999999999999</v>
      </c>
    </row>
    <row r="8115">
      <c r="A8115" s="28" t="n">
        <v>31085</v>
      </c>
      <c r="B8115" t="n">
        <v>11.41</v>
      </c>
      <c r="C8115" t="n">
        <v>8.17</v>
      </c>
    </row>
    <row r="8116">
      <c r="A8116" s="28" t="n">
        <v>31086</v>
      </c>
      <c r="B8116" t="n">
        <v>11.37</v>
      </c>
      <c r="C8116" t="n">
        <v>8.23</v>
      </c>
    </row>
    <row r="8117">
      <c r="A8117" s="28" t="n">
        <v>31089</v>
      </c>
      <c r="B8117" t="n">
        <v>11.42</v>
      </c>
      <c r="C8117" t="n">
        <v>8.210000000000001</v>
      </c>
    </row>
    <row r="8118">
      <c r="A8118" s="28" t="n">
        <v>31090</v>
      </c>
      <c r="B8118" t="n">
        <v>0</v>
      </c>
      <c r="C8118" t="n">
        <v>0</v>
      </c>
    </row>
    <row r="8119">
      <c r="A8119" s="28" t="n">
        <v>31091</v>
      </c>
      <c r="B8119" t="n">
        <v>11.39</v>
      </c>
      <c r="C8119" t="n">
        <v>8.24</v>
      </c>
    </row>
    <row r="8120">
      <c r="A8120" s="28" t="n">
        <v>31092</v>
      </c>
      <c r="B8120" t="n">
        <v>11.29</v>
      </c>
      <c r="C8120" t="n">
        <v>8.19</v>
      </c>
    </row>
    <row r="8121">
      <c r="A8121" s="28" t="n">
        <v>31093</v>
      </c>
      <c r="B8121" t="n">
        <v>11.38</v>
      </c>
      <c r="C8121" t="n">
        <v>8.19</v>
      </c>
    </row>
    <row r="8122">
      <c r="A8122" s="28" t="n">
        <v>31096</v>
      </c>
      <c r="B8122" t="n">
        <v>0</v>
      </c>
      <c r="C8122" t="n">
        <v>0</v>
      </c>
    </row>
    <row r="8123">
      <c r="A8123" s="28" t="n">
        <v>31097</v>
      </c>
      <c r="B8123" t="n">
        <v>11.37</v>
      </c>
      <c r="C8123" t="n">
        <v>8.17</v>
      </c>
    </row>
    <row r="8124">
      <c r="A8124" s="28" t="n">
        <v>31098</v>
      </c>
      <c r="B8124" t="n">
        <v>11.52</v>
      </c>
      <c r="C8124" t="n">
        <v>8.24</v>
      </c>
    </row>
    <row r="8125">
      <c r="A8125" s="28" t="n">
        <v>31099</v>
      </c>
      <c r="B8125" t="n">
        <v>11.64</v>
      </c>
      <c r="C8125" t="n">
        <v>8.43</v>
      </c>
    </row>
    <row r="8126">
      <c r="A8126" s="28" t="n">
        <v>31100</v>
      </c>
      <c r="B8126" t="n">
        <v>11.76</v>
      </c>
      <c r="C8126" t="n">
        <v>8.390000000000001</v>
      </c>
    </row>
    <row r="8127">
      <c r="A8127" s="28" t="n">
        <v>31103</v>
      </c>
      <c r="B8127" t="n">
        <v>11.75</v>
      </c>
      <c r="C8127" t="n">
        <v>8.380000000000001</v>
      </c>
    </row>
    <row r="8128">
      <c r="A8128" s="28" t="n">
        <v>31104</v>
      </c>
      <c r="B8128" t="n">
        <v>11.72</v>
      </c>
      <c r="C8128" t="n">
        <v>8.35</v>
      </c>
    </row>
    <row r="8129">
      <c r="A8129" s="28" t="n">
        <v>31105</v>
      </c>
      <c r="B8129" t="n">
        <v>11.89</v>
      </c>
      <c r="C8129" t="n">
        <v>8.449999999999999</v>
      </c>
    </row>
    <row r="8130">
      <c r="A8130" s="28" t="n">
        <v>31106</v>
      </c>
      <c r="B8130" t="n">
        <v>11.91</v>
      </c>
      <c r="C8130" t="n">
        <v>8.5</v>
      </c>
    </row>
    <row r="8131">
      <c r="A8131" s="28" t="n">
        <v>31107</v>
      </c>
      <c r="B8131" t="n">
        <v>11.86</v>
      </c>
      <c r="C8131" t="n">
        <v>8.66</v>
      </c>
    </row>
    <row r="8132">
      <c r="A8132" s="28" t="n">
        <v>31110</v>
      </c>
      <c r="B8132" t="n">
        <v>11.93</v>
      </c>
      <c r="C8132" t="n">
        <v>8.699999999999999</v>
      </c>
    </row>
    <row r="8133">
      <c r="A8133" s="28" t="n">
        <v>31111</v>
      </c>
      <c r="B8133" t="n">
        <v>11.86</v>
      </c>
      <c r="C8133" t="n">
        <v>8.68</v>
      </c>
    </row>
    <row r="8134">
      <c r="A8134" s="28" t="n">
        <v>31112</v>
      </c>
      <c r="B8134" t="n">
        <v>11.92</v>
      </c>
      <c r="C8134" t="n">
        <v>8.69</v>
      </c>
    </row>
    <row r="8135">
      <c r="A8135" s="28" t="n">
        <v>31113</v>
      </c>
      <c r="B8135" t="n">
        <v>11.94</v>
      </c>
      <c r="C8135" t="n">
        <v>8.800000000000001</v>
      </c>
    </row>
    <row r="8136">
      <c r="A8136" s="28" t="n">
        <v>31114</v>
      </c>
      <c r="B8136" t="n">
        <v>11.71</v>
      </c>
      <c r="C8136" t="n">
        <v>8.58</v>
      </c>
    </row>
    <row r="8137">
      <c r="A8137" s="28" t="n">
        <v>31117</v>
      </c>
      <c r="B8137" t="n">
        <v>11.72</v>
      </c>
      <c r="C8137" t="n">
        <v>8.470000000000001</v>
      </c>
    </row>
    <row r="8138">
      <c r="A8138" s="28" t="n">
        <v>31118</v>
      </c>
      <c r="B8138" t="n">
        <v>11.78</v>
      </c>
      <c r="C8138" t="n">
        <v>8.539999999999999</v>
      </c>
    </row>
    <row r="8139">
      <c r="A8139" s="28" t="n">
        <v>31119</v>
      </c>
      <c r="B8139" t="n">
        <v>11.9</v>
      </c>
      <c r="C8139" t="n">
        <v>8.6</v>
      </c>
    </row>
    <row r="8140">
      <c r="A8140" s="28" t="n">
        <v>31120</v>
      </c>
      <c r="B8140" t="n">
        <v>11.92</v>
      </c>
      <c r="C8140" t="n">
        <v>8.720000000000001</v>
      </c>
    </row>
    <row r="8141">
      <c r="A8141" s="28" t="n">
        <v>31121</v>
      </c>
      <c r="B8141" t="n">
        <v>11.93</v>
      </c>
      <c r="C8141" t="n">
        <v>8.41</v>
      </c>
    </row>
    <row r="8142">
      <c r="A8142" s="28" t="n">
        <v>31124</v>
      </c>
      <c r="B8142" t="n">
        <v>12.02</v>
      </c>
      <c r="C8142" t="n">
        <v>8.51</v>
      </c>
    </row>
    <row r="8143">
      <c r="A8143" s="28" t="n">
        <v>31125</v>
      </c>
      <c r="B8143" t="n">
        <v>11.99</v>
      </c>
      <c r="C8143" t="n">
        <v>8.550000000000001</v>
      </c>
    </row>
    <row r="8144">
      <c r="A8144" s="28" t="n">
        <v>31126</v>
      </c>
      <c r="B8144" t="n">
        <v>11.91</v>
      </c>
      <c r="C8144" t="n">
        <v>8.529999999999999</v>
      </c>
    </row>
    <row r="8145">
      <c r="A8145" s="28" t="n">
        <v>31127</v>
      </c>
      <c r="B8145" t="n">
        <v>11.82</v>
      </c>
      <c r="C8145" t="n">
        <v>8.44</v>
      </c>
    </row>
    <row r="8146">
      <c r="A8146" s="28" t="n">
        <v>31128</v>
      </c>
      <c r="B8146" t="n">
        <v>11.88</v>
      </c>
      <c r="C8146" t="n">
        <v>8.51</v>
      </c>
    </row>
    <row r="8147">
      <c r="A8147" s="28" t="n">
        <v>31131</v>
      </c>
      <c r="B8147" t="n">
        <v>11.86</v>
      </c>
      <c r="C8147" t="n">
        <v>8.42</v>
      </c>
    </row>
    <row r="8148">
      <c r="A8148" s="28" t="n">
        <v>31132</v>
      </c>
      <c r="B8148" t="n">
        <v>11.77</v>
      </c>
      <c r="C8148" t="n">
        <v>8.34</v>
      </c>
    </row>
    <row r="8149">
      <c r="A8149" s="28" t="n">
        <v>31133</v>
      </c>
      <c r="B8149" t="n">
        <v>11.84</v>
      </c>
      <c r="C8149" t="n">
        <v>8.33</v>
      </c>
    </row>
    <row r="8150">
      <c r="A8150" s="28" t="n">
        <v>31134</v>
      </c>
      <c r="B8150" t="n">
        <v>11.75</v>
      </c>
      <c r="C8150" t="n">
        <v>8.19</v>
      </c>
    </row>
    <row r="8151">
      <c r="A8151" s="28" t="n">
        <v>31135</v>
      </c>
      <c r="B8151" t="n">
        <v>11.65</v>
      </c>
      <c r="C8151" t="n">
        <v>8.18</v>
      </c>
    </row>
    <row r="8152">
      <c r="A8152" s="28" t="n">
        <v>31138</v>
      </c>
      <c r="B8152" t="n">
        <v>11.66</v>
      </c>
      <c r="C8152" t="n">
        <v>8.15</v>
      </c>
    </row>
    <row r="8153">
      <c r="A8153" s="28" t="n">
        <v>31139</v>
      </c>
      <c r="B8153" t="n">
        <v>11.7</v>
      </c>
      <c r="C8153" t="n">
        <v>8.220000000000001</v>
      </c>
    </row>
    <row r="8154">
      <c r="A8154" s="28" t="n">
        <v>31140</v>
      </c>
      <c r="B8154" t="n">
        <v>11.73</v>
      </c>
      <c r="C8154" t="n">
        <v>8.16</v>
      </c>
    </row>
    <row r="8155">
      <c r="A8155" s="28" t="n">
        <v>31141</v>
      </c>
      <c r="B8155" t="n">
        <v>11.75</v>
      </c>
      <c r="C8155" t="n">
        <v>8.130000000000001</v>
      </c>
    </row>
    <row r="8156">
      <c r="A8156" s="28" t="n">
        <v>31142</v>
      </c>
      <c r="B8156" t="n">
        <v>0</v>
      </c>
      <c r="C8156" t="n">
        <v>0</v>
      </c>
    </row>
    <row r="8157">
      <c r="A8157" s="28" t="n">
        <v>31145</v>
      </c>
      <c r="B8157" t="n">
        <v>11.77</v>
      </c>
      <c r="C8157" t="n">
        <v>8.119999999999999</v>
      </c>
    </row>
    <row r="8158">
      <c r="A8158" s="28" t="n">
        <v>31146</v>
      </c>
      <c r="B8158" t="n">
        <v>11.66</v>
      </c>
      <c r="C8158" t="n">
        <v>8.09</v>
      </c>
    </row>
    <row r="8159">
      <c r="A8159" s="28" t="n">
        <v>31147</v>
      </c>
      <c r="B8159" t="n">
        <v>11.58</v>
      </c>
      <c r="C8159" t="n">
        <v>8.1</v>
      </c>
    </row>
    <row r="8160">
      <c r="A8160" s="28" t="n">
        <v>31148</v>
      </c>
      <c r="B8160" t="n">
        <v>11.42</v>
      </c>
      <c r="C8160" t="n">
        <v>8.039999999999999</v>
      </c>
    </row>
    <row r="8161">
      <c r="A8161" s="28" t="n">
        <v>31149</v>
      </c>
      <c r="B8161" t="n">
        <v>11.43</v>
      </c>
      <c r="C8161" t="n">
        <v>8.050000000000001</v>
      </c>
    </row>
    <row r="8162">
      <c r="A8162" s="28" t="n">
        <v>31152</v>
      </c>
      <c r="B8162" t="n">
        <v>11.37</v>
      </c>
      <c r="C8162" t="n">
        <v>8.07</v>
      </c>
    </row>
    <row r="8163">
      <c r="A8163" s="28" t="n">
        <v>31153</v>
      </c>
      <c r="B8163" t="n">
        <v>11.25</v>
      </c>
      <c r="C8163" t="n">
        <v>7.93</v>
      </c>
    </row>
    <row r="8164">
      <c r="A8164" s="28" t="n">
        <v>31154</v>
      </c>
      <c r="B8164" t="n">
        <v>11.29</v>
      </c>
      <c r="C8164" t="n">
        <v>7.79</v>
      </c>
    </row>
    <row r="8165">
      <c r="A8165" s="28" t="n">
        <v>31155</v>
      </c>
      <c r="B8165" t="n">
        <v>11.13</v>
      </c>
      <c r="C8165" t="n">
        <v>7.71</v>
      </c>
    </row>
    <row r="8166">
      <c r="A8166" s="28" t="n">
        <v>31156</v>
      </c>
      <c r="B8166" t="n">
        <v>11.16</v>
      </c>
      <c r="C8166" t="n">
        <v>7.79</v>
      </c>
    </row>
    <row r="8167">
      <c r="A8167" s="28" t="n">
        <v>31159</v>
      </c>
      <c r="B8167" t="n">
        <v>11.13</v>
      </c>
      <c r="C8167" t="n">
        <v>7.67</v>
      </c>
    </row>
    <row r="8168">
      <c r="A8168" s="28" t="n">
        <v>31160</v>
      </c>
      <c r="B8168" t="n">
        <v>11.25</v>
      </c>
      <c r="C8168" t="n">
        <v>7.78</v>
      </c>
    </row>
    <row r="8169">
      <c r="A8169" s="28" t="n">
        <v>31161</v>
      </c>
      <c r="B8169" t="n">
        <v>11.25</v>
      </c>
      <c r="C8169" t="n">
        <v>7.75</v>
      </c>
    </row>
    <row r="8170">
      <c r="A8170" s="28" t="n">
        <v>31162</v>
      </c>
      <c r="B8170" t="n">
        <v>11.37</v>
      </c>
      <c r="C8170" t="n">
        <v>7.83</v>
      </c>
    </row>
    <row r="8171">
      <c r="A8171" s="28" t="n">
        <v>31163</v>
      </c>
      <c r="B8171" t="n">
        <v>11.35</v>
      </c>
      <c r="C8171" t="n">
        <v>7.81</v>
      </c>
    </row>
    <row r="8172">
      <c r="A8172" s="28" t="n">
        <v>31166</v>
      </c>
      <c r="B8172" t="n">
        <v>11.47</v>
      </c>
      <c r="C8172" t="n">
        <v>7.84</v>
      </c>
    </row>
    <row r="8173">
      <c r="A8173" s="28" t="n">
        <v>31167</v>
      </c>
      <c r="B8173" t="n">
        <v>11.41</v>
      </c>
      <c r="C8173" t="n">
        <v>7.85</v>
      </c>
    </row>
    <row r="8174">
      <c r="A8174" s="28" t="n">
        <v>31168</v>
      </c>
      <c r="B8174" t="n">
        <v>11.27</v>
      </c>
      <c r="C8174" t="n">
        <v>7.75</v>
      </c>
    </row>
    <row r="8175">
      <c r="A8175" s="28" t="n">
        <v>31169</v>
      </c>
      <c r="B8175" t="n">
        <v>11.29</v>
      </c>
      <c r="C8175" t="n">
        <v>7.76</v>
      </c>
    </row>
    <row r="8176">
      <c r="A8176" s="28" t="n">
        <v>31170</v>
      </c>
      <c r="B8176" t="n">
        <v>11.21</v>
      </c>
      <c r="C8176" t="n">
        <v>7.72</v>
      </c>
    </row>
    <row r="8177">
      <c r="A8177" s="28" t="n">
        <v>31173</v>
      </c>
      <c r="B8177" t="n">
        <v>11.19</v>
      </c>
      <c r="C8177" t="n">
        <v>7.73</v>
      </c>
    </row>
    <row r="8178">
      <c r="A8178" s="28" t="n">
        <v>31174</v>
      </c>
      <c r="B8178" t="n">
        <v>11.17</v>
      </c>
      <c r="C8178" t="n">
        <v>7.76</v>
      </c>
    </row>
    <row r="8179">
      <c r="A8179" s="28" t="n">
        <v>31175</v>
      </c>
      <c r="B8179" t="n">
        <v>11.26</v>
      </c>
      <c r="C8179" t="n">
        <v>7.82</v>
      </c>
    </row>
    <row r="8180">
      <c r="A8180" s="28" t="n">
        <v>31176</v>
      </c>
      <c r="B8180" t="n">
        <v>11.2</v>
      </c>
      <c r="C8180" t="n">
        <v>7.74</v>
      </c>
    </row>
    <row r="8181">
      <c r="A8181" s="28" t="n">
        <v>31177</v>
      </c>
      <c r="B8181" t="n">
        <v>11.04</v>
      </c>
      <c r="C8181" t="n">
        <v>7.73</v>
      </c>
    </row>
    <row r="8182">
      <c r="A8182" s="28" t="n">
        <v>31180</v>
      </c>
      <c r="B8182" t="n">
        <v>11.04</v>
      </c>
      <c r="C8182" t="n">
        <v>7.71</v>
      </c>
    </row>
    <row r="8183">
      <c r="A8183" s="28" t="n">
        <v>31181</v>
      </c>
      <c r="B8183" t="n">
        <v>10.87</v>
      </c>
      <c r="C8183" t="n">
        <v>7.6</v>
      </c>
    </row>
    <row r="8184">
      <c r="A8184" s="28" t="n">
        <v>31182</v>
      </c>
      <c r="B8184" t="n">
        <v>10.89</v>
      </c>
      <c r="C8184" t="n">
        <v>7.43</v>
      </c>
    </row>
    <row r="8185">
      <c r="A8185" s="28" t="n">
        <v>31183</v>
      </c>
      <c r="B8185" t="n">
        <v>10.81</v>
      </c>
      <c r="C8185" t="n">
        <v>7.37</v>
      </c>
    </row>
    <row r="8186">
      <c r="A8186" s="28" t="n">
        <v>31184</v>
      </c>
      <c r="B8186" t="n">
        <v>10.84</v>
      </c>
      <c r="C8186" t="n">
        <v>7.4</v>
      </c>
    </row>
    <row r="8187">
      <c r="A8187" s="28" t="n">
        <v>31187</v>
      </c>
      <c r="B8187" t="n">
        <v>10.56</v>
      </c>
      <c r="C8187" t="n">
        <v>7.26</v>
      </c>
    </row>
    <row r="8188">
      <c r="A8188" s="28" t="n">
        <v>31188</v>
      </c>
      <c r="B8188" t="n">
        <v>10.6</v>
      </c>
      <c r="C8188" t="n">
        <v>7.3</v>
      </c>
    </row>
    <row r="8189">
      <c r="A8189" s="28" t="n">
        <v>31189</v>
      </c>
      <c r="B8189" t="n">
        <v>10.62</v>
      </c>
      <c r="C8189" t="n">
        <v>7.29</v>
      </c>
    </row>
    <row r="8190">
      <c r="A8190" s="28" t="n">
        <v>31190</v>
      </c>
      <c r="B8190" t="n">
        <v>10.64</v>
      </c>
      <c r="C8190" t="n">
        <v>7.24</v>
      </c>
    </row>
    <row r="8191">
      <c r="A8191" s="28" t="n">
        <v>31191</v>
      </c>
      <c r="B8191" t="n">
        <v>10.57</v>
      </c>
      <c r="C8191" t="n">
        <v>7.18</v>
      </c>
    </row>
    <row r="8192">
      <c r="A8192" s="28" t="n">
        <v>31194</v>
      </c>
      <c r="B8192" t="n">
        <v>0</v>
      </c>
      <c r="C8192" t="n">
        <v>0</v>
      </c>
    </row>
    <row r="8193">
      <c r="A8193" s="28" t="n">
        <v>31195</v>
      </c>
      <c r="B8193" t="n">
        <v>10.43</v>
      </c>
      <c r="C8193" t="n">
        <v>7.2</v>
      </c>
    </row>
    <row r="8194">
      <c r="A8194" s="28" t="n">
        <v>31196</v>
      </c>
      <c r="B8194" t="n">
        <v>10.46</v>
      </c>
      <c r="C8194" t="n">
        <v>7.24</v>
      </c>
    </row>
    <row r="8195">
      <c r="A8195" s="28" t="n">
        <v>31197</v>
      </c>
      <c r="B8195" t="n">
        <v>10.39</v>
      </c>
      <c r="C8195" t="n">
        <v>7.18</v>
      </c>
    </row>
    <row r="8196">
      <c r="A8196" s="28" t="n">
        <v>31198</v>
      </c>
      <c r="B8196" t="n">
        <v>10.28</v>
      </c>
      <c r="C8196" t="n">
        <v>7.14</v>
      </c>
    </row>
    <row r="8197">
      <c r="A8197" s="28" t="n">
        <v>31201</v>
      </c>
      <c r="B8197" t="n">
        <v>10.05</v>
      </c>
      <c r="C8197" t="n">
        <v>7.02</v>
      </c>
    </row>
    <row r="8198">
      <c r="A8198" s="28" t="n">
        <v>31202</v>
      </c>
      <c r="B8198" t="n">
        <v>10.05</v>
      </c>
      <c r="C8198" t="n">
        <v>6.96</v>
      </c>
    </row>
    <row r="8199">
      <c r="A8199" s="28" t="n">
        <v>31203</v>
      </c>
      <c r="B8199" t="n">
        <v>9.83</v>
      </c>
      <c r="C8199" t="n">
        <v>6.92</v>
      </c>
    </row>
    <row r="8200">
      <c r="A8200" s="28" t="n">
        <v>31204</v>
      </c>
      <c r="B8200" t="n">
        <v>9.890000000000001</v>
      </c>
      <c r="C8200" t="n">
        <v>6.98</v>
      </c>
    </row>
    <row r="8201">
      <c r="A8201" s="28" t="n">
        <v>31205</v>
      </c>
      <c r="B8201" t="n">
        <v>10.19</v>
      </c>
      <c r="C8201" t="n">
        <v>7.15</v>
      </c>
    </row>
    <row r="8202">
      <c r="A8202" s="28" t="n">
        <v>31208</v>
      </c>
      <c r="B8202" t="n">
        <v>10.16</v>
      </c>
      <c r="C8202" t="n">
        <v>7.23</v>
      </c>
    </row>
    <row r="8203">
      <c r="A8203" s="28" t="n">
        <v>31209</v>
      </c>
      <c r="B8203" t="n">
        <v>10.08</v>
      </c>
      <c r="C8203" t="n">
        <v>7.15</v>
      </c>
    </row>
    <row r="8204">
      <c r="A8204" s="28" t="n">
        <v>31210</v>
      </c>
      <c r="B8204" t="n">
        <v>10.16</v>
      </c>
      <c r="C8204" t="n">
        <v>7.09</v>
      </c>
    </row>
    <row r="8205">
      <c r="A8205" s="28" t="n">
        <v>31211</v>
      </c>
      <c r="B8205" t="n">
        <v>10.21</v>
      </c>
      <c r="C8205" t="n">
        <v>6.97</v>
      </c>
    </row>
    <row r="8206">
      <c r="A8206" s="28" t="n">
        <v>31212</v>
      </c>
      <c r="B8206" t="n">
        <v>9.98</v>
      </c>
      <c r="C8206" t="n">
        <v>6.7</v>
      </c>
    </row>
    <row r="8207">
      <c r="A8207" s="28" t="n">
        <v>31215</v>
      </c>
      <c r="B8207" t="n">
        <v>9.970000000000001</v>
      </c>
      <c r="C8207" t="n">
        <v>6.77</v>
      </c>
    </row>
    <row r="8208">
      <c r="A8208" s="28" t="n">
        <v>31216</v>
      </c>
      <c r="B8208" t="n">
        <v>9.9</v>
      </c>
      <c r="C8208" t="n">
        <v>6.66</v>
      </c>
    </row>
    <row r="8209">
      <c r="A8209" s="28" t="n">
        <v>31217</v>
      </c>
      <c r="B8209" t="n">
        <v>10.04</v>
      </c>
      <c r="C8209" t="n">
        <v>6.74</v>
      </c>
    </row>
    <row r="8210">
      <c r="A8210" s="28" t="n">
        <v>31218</v>
      </c>
      <c r="B8210" t="n">
        <v>10.14</v>
      </c>
      <c r="C8210" t="n">
        <v>6.83</v>
      </c>
    </row>
    <row r="8211">
      <c r="A8211" s="28" t="n">
        <v>31219</v>
      </c>
      <c r="B8211" t="n">
        <v>10.34</v>
      </c>
      <c r="C8211" t="n">
        <v>7.04</v>
      </c>
    </row>
    <row r="8212">
      <c r="A8212" s="28" t="n">
        <v>31222</v>
      </c>
      <c r="B8212" t="n">
        <v>10.45</v>
      </c>
      <c r="C8212" t="n">
        <v>7.06</v>
      </c>
    </row>
    <row r="8213">
      <c r="A8213" s="28" t="n">
        <v>31223</v>
      </c>
      <c r="B8213" t="n">
        <v>10.5</v>
      </c>
      <c r="C8213" t="n">
        <v>7.09</v>
      </c>
    </row>
    <row r="8214">
      <c r="A8214" s="28" t="n">
        <v>31224</v>
      </c>
      <c r="B8214" t="n">
        <v>10.54</v>
      </c>
      <c r="C8214" t="n">
        <v>6.99</v>
      </c>
    </row>
    <row r="8215">
      <c r="A8215" s="28" t="n">
        <v>31225</v>
      </c>
      <c r="B8215" t="n">
        <v>10.39</v>
      </c>
      <c r="C8215" t="n">
        <v>6.9</v>
      </c>
    </row>
    <row r="8216">
      <c r="A8216" s="28" t="n">
        <v>31226</v>
      </c>
      <c r="B8216" t="n">
        <v>10.25</v>
      </c>
      <c r="C8216" t="n">
        <v>6.83</v>
      </c>
    </row>
    <row r="8217">
      <c r="A8217" s="28" t="n">
        <v>31229</v>
      </c>
      <c r="B8217" t="n">
        <v>10.19</v>
      </c>
      <c r="C8217" t="n">
        <v>6.87</v>
      </c>
    </row>
    <row r="8218">
      <c r="A8218" s="28" t="n">
        <v>31230</v>
      </c>
      <c r="B8218" t="n">
        <v>10.2</v>
      </c>
      <c r="C8218" t="n">
        <v>6.95</v>
      </c>
    </row>
    <row r="8219">
      <c r="A8219" s="28" t="n">
        <v>31231</v>
      </c>
      <c r="B8219" t="n">
        <v>10.23</v>
      </c>
      <c r="C8219" t="n">
        <v>7.02</v>
      </c>
    </row>
    <row r="8220">
      <c r="A8220" s="28" t="n">
        <v>31232</v>
      </c>
      <c r="B8220" t="n">
        <v>0</v>
      </c>
      <c r="C8220" t="n">
        <v>0</v>
      </c>
    </row>
    <row r="8221">
      <c r="A8221" s="28" t="n">
        <v>31233</v>
      </c>
      <c r="B8221" t="n">
        <v>9.93</v>
      </c>
      <c r="C8221" t="n">
        <v>6.77</v>
      </c>
    </row>
    <row r="8222">
      <c r="A8222" s="28" t="n">
        <v>31236</v>
      </c>
      <c r="B8222" t="n">
        <v>10.05</v>
      </c>
      <c r="C8222" t="n">
        <v>6.92</v>
      </c>
    </row>
    <row r="8223">
      <c r="A8223" s="28" t="n">
        <v>31237</v>
      </c>
      <c r="B8223" t="n">
        <v>10.05</v>
      </c>
      <c r="C8223" t="n">
        <v>6.96</v>
      </c>
    </row>
    <row r="8224">
      <c r="A8224" s="28" t="n">
        <v>31238</v>
      </c>
      <c r="B8224" t="n">
        <v>10.07</v>
      </c>
      <c r="C8224" t="n">
        <v>6.94</v>
      </c>
    </row>
    <row r="8225">
      <c r="A8225" s="28" t="n">
        <v>31239</v>
      </c>
      <c r="B8225" t="n">
        <v>10.22</v>
      </c>
      <c r="C8225" t="n">
        <v>7.05</v>
      </c>
    </row>
    <row r="8226">
      <c r="A8226" s="28" t="n">
        <v>31240</v>
      </c>
      <c r="B8226" t="n">
        <v>10.23</v>
      </c>
      <c r="C8226" t="n">
        <v>7.09</v>
      </c>
    </row>
    <row r="8227">
      <c r="A8227" s="28" t="n">
        <v>31243</v>
      </c>
      <c r="B8227" t="n">
        <v>10.22</v>
      </c>
      <c r="C8227" t="n">
        <v>7.04</v>
      </c>
    </row>
    <row r="8228">
      <c r="A8228" s="28" t="n">
        <v>31244</v>
      </c>
      <c r="B8228" t="n">
        <v>10.15</v>
      </c>
      <c r="C8228" t="n">
        <v>7</v>
      </c>
    </row>
    <row r="8229">
      <c r="A8229" s="28" t="n">
        <v>31245</v>
      </c>
      <c r="B8229" t="n">
        <v>10.12</v>
      </c>
      <c r="C8229" t="n">
        <v>6.99</v>
      </c>
    </row>
    <row r="8230">
      <c r="A8230" s="28" t="n">
        <v>31246</v>
      </c>
      <c r="B8230" t="n">
        <v>10.3</v>
      </c>
      <c r="C8230" t="n">
        <v>7.15</v>
      </c>
    </row>
    <row r="8231">
      <c r="A8231" s="28" t="n">
        <v>31247</v>
      </c>
      <c r="B8231" t="n">
        <v>10.34</v>
      </c>
      <c r="C8231" t="n">
        <v>7.16</v>
      </c>
    </row>
    <row r="8232">
      <c r="A8232" s="28" t="n">
        <v>31250</v>
      </c>
      <c r="B8232" t="n">
        <v>10.46</v>
      </c>
      <c r="C8232" t="n">
        <v>7.24</v>
      </c>
    </row>
    <row r="8233">
      <c r="A8233" s="28" t="n">
        <v>31251</v>
      </c>
      <c r="B8233" t="n">
        <v>10.47</v>
      </c>
      <c r="C8233" t="n">
        <v>7.26</v>
      </c>
    </row>
    <row r="8234">
      <c r="A8234" s="28" t="n">
        <v>31252</v>
      </c>
      <c r="B8234" t="n">
        <v>10.51</v>
      </c>
      <c r="C8234" t="n">
        <v>7.24</v>
      </c>
    </row>
    <row r="8235">
      <c r="A8235" s="28" t="n">
        <v>31253</v>
      </c>
      <c r="B8235" t="n">
        <v>10.52</v>
      </c>
      <c r="C8235" t="n">
        <v>7.17</v>
      </c>
    </row>
    <row r="8236">
      <c r="A8236" s="28" t="n">
        <v>31254</v>
      </c>
      <c r="B8236" t="n">
        <v>10.59</v>
      </c>
      <c r="C8236" t="n">
        <v>7.19</v>
      </c>
    </row>
    <row r="8237">
      <c r="A8237" s="28" t="n">
        <v>31257</v>
      </c>
      <c r="B8237" t="n">
        <v>10.67</v>
      </c>
      <c r="C8237" t="n">
        <v>7.25</v>
      </c>
    </row>
    <row r="8238">
      <c r="A8238" s="28" t="n">
        <v>31258</v>
      </c>
      <c r="B8238" t="n">
        <v>10.66</v>
      </c>
      <c r="C8238" t="n">
        <v>7.28</v>
      </c>
    </row>
    <row r="8239">
      <c r="A8239" s="28" t="n">
        <v>31259</v>
      </c>
      <c r="B8239" t="n">
        <v>10.57</v>
      </c>
      <c r="C8239" t="n">
        <v>7.28</v>
      </c>
    </row>
    <row r="8240">
      <c r="A8240" s="28" t="n">
        <v>31260</v>
      </c>
      <c r="B8240" t="n">
        <v>10.51</v>
      </c>
      <c r="C8240" t="n">
        <v>7.27</v>
      </c>
    </row>
    <row r="8241">
      <c r="A8241" s="28" t="n">
        <v>31261</v>
      </c>
      <c r="B8241" t="n">
        <v>10.66</v>
      </c>
      <c r="C8241" t="n">
        <v>7.31</v>
      </c>
    </row>
    <row r="8242">
      <c r="A8242" s="28" t="n">
        <v>31264</v>
      </c>
      <c r="B8242" t="n">
        <v>10.64</v>
      </c>
      <c r="C8242" t="n">
        <v>7.27</v>
      </c>
    </row>
    <row r="8243">
      <c r="A8243" s="28" t="n">
        <v>31265</v>
      </c>
      <c r="B8243" t="n">
        <v>10.65</v>
      </c>
      <c r="C8243" t="n">
        <v>7.26</v>
      </c>
    </row>
    <row r="8244">
      <c r="A8244" s="28" t="n">
        <v>31266</v>
      </c>
      <c r="B8244" t="n">
        <v>10.55</v>
      </c>
      <c r="C8244" t="n">
        <v>7.18</v>
      </c>
    </row>
    <row r="8245">
      <c r="A8245" s="28" t="n">
        <v>31267</v>
      </c>
      <c r="B8245" t="n">
        <v>10.43</v>
      </c>
      <c r="C8245" t="n">
        <v>7.17</v>
      </c>
    </row>
    <row r="8246">
      <c r="A8246" s="28" t="n">
        <v>31268</v>
      </c>
      <c r="B8246" t="n">
        <v>10.37</v>
      </c>
      <c r="C8246" t="n">
        <v>7.16</v>
      </c>
    </row>
    <row r="8247">
      <c r="A8247" s="28" t="n">
        <v>31271</v>
      </c>
      <c r="B8247" t="n">
        <v>10.38</v>
      </c>
      <c r="C8247" t="n">
        <v>7.1</v>
      </c>
    </row>
    <row r="8248">
      <c r="A8248" s="28" t="n">
        <v>31272</v>
      </c>
      <c r="B8248" t="n">
        <v>10.46</v>
      </c>
      <c r="C8248" t="n">
        <v>7.14</v>
      </c>
    </row>
    <row r="8249">
      <c r="A8249" s="28" t="n">
        <v>31273</v>
      </c>
      <c r="B8249" t="n">
        <v>10.38</v>
      </c>
      <c r="C8249" t="n">
        <v>7.09</v>
      </c>
    </row>
    <row r="8250">
      <c r="A8250" s="28" t="n">
        <v>31274</v>
      </c>
      <c r="B8250" t="n">
        <v>10.36</v>
      </c>
      <c r="C8250" t="n">
        <v>7.19</v>
      </c>
    </row>
    <row r="8251">
      <c r="A8251" s="28" t="n">
        <v>31275</v>
      </c>
      <c r="B8251" t="n">
        <v>10.26</v>
      </c>
      <c r="C8251" t="n">
        <v>7.11</v>
      </c>
    </row>
    <row r="8252">
      <c r="A8252" s="28" t="n">
        <v>31278</v>
      </c>
      <c r="B8252" t="n">
        <v>10.23</v>
      </c>
      <c r="C8252" t="n">
        <v>7.13</v>
      </c>
    </row>
    <row r="8253">
      <c r="A8253" s="28" t="n">
        <v>31279</v>
      </c>
      <c r="B8253" t="n">
        <v>10.2</v>
      </c>
      <c r="C8253" t="n">
        <v>7.12</v>
      </c>
    </row>
    <row r="8254">
      <c r="A8254" s="28" t="n">
        <v>31280</v>
      </c>
      <c r="B8254" t="n">
        <v>10.12</v>
      </c>
      <c r="C8254" t="n">
        <v>7.04</v>
      </c>
    </row>
    <row r="8255">
      <c r="A8255" s="28" t="n">
        <v>31281</v>
      </c>
      <c r="B8255" t="n">
        <v>10.1</v>
      </c>
      <c r="C8255" t="n">
        <v>7.03</v>
      </c>
    </row>
    <row r="8256">
      <c r="A8256" s="28" t="n">
        <v>31282</v>
      </c>
      <c r="B8256" t="n">
        <v>10.14</v>
      </c>
      <c r="C8256" t="n">
        <v>7.04</v>
      </c>
    </row>
    <row r="8257">
      <c r="A8257" s="28" t="n">
        <v>31285</v>
      </c>
      <c r="B8257" t="n">
        <v>10.18</v>
      </c>
      <c r="C8257" t="n">
        <v>7.07</v>
      </c>
    </row>
    <row r="8258">
      <c r="A8258" s="28" t="n">
        <v>31286</v>
      </c>
      <c r="B8258" t="n">
        <v>10.12</v>
      </c>
      <c r="C8258" t="n">
        <v>7.05</v>
      </c>
    </row>
    <row r="8259">
      <c r="A8259" s="28" t="n">
        <v>31287</v>
      </c>
      <c r="B8259" t="n">
        <v>10.16</v>
      </c>
      <c r="C8259" t="n">
        <v>7.06</v>
      </c>
    </row>
    <row r="8260">
      <c r="A8260" s="28" t="n">
        <v>31288</v>
      </c>
      <c r="B8260" t="n">
        <v>10.12</v>
      </c>
      <c r="C8260" t="n">
        <v>7.04</v>
      </c>
    </row>
    <row r="8261">
      <c r="A8261" s="28" t="n">
        <v>31289</v>
      </c>
      <c r="B8261" t="n">
        <v>10.28</v>
      </c>
      <c r="C8261" t="n">
        <v>7.14</v>
      </c>
    </row>
    <row r="8262">
      <c r="A8262" s="28" t="n">
        <v>31292</v>
      </c>
      <c r="B8262" t="n">
        <v>0</v>
      </c>
      <c r="C8262" t="n">
        <v>0</v>
      </c>
    </row>
    <row r="8263">
      <c r="A8263" s="28" t="n">
        <v>31293</v>
      </c>
      <c r="B8263" t="n">
        <v>10.24</v>
      </c>
      <c r="C8263" t="n">
        <v>7.11</v>
      </c>
    </row>
    <row r="8264">
      <c r="A8264" s="28" t="n">
        <v>31294</v>
      </c>
      <c r="B8264" t="n">
        <v>10.16</v>
      </c>
      <c r="C8264" t="n">
        <v>7.05</v>
      </c>
    </row>
    <row r="8265">
      <c r="A8265" s="28" t="n">
        <v>31295</v>
      </c>
      <c r="B8265" t="n">
        <v>10.27</v>
      </c>
      <c r="C8265" t="n">
        <v>7.13</v>
      </c>
    </row>
    <row r="8266">
      <c r="A8266" s="28" t="n">
        <v>31296</v>
      </c>
      <c r="B8266" t="n">
        <v>10.5</v>
      </c>
      <c r="C8266" t="n">
        <v>7.26</v>
      </c>
    </row>
    <row r="8267">
      <c r="A8267" s="28" t="n">
        <v>31299</v>
      </c>
      <c r="B8267" t="n">
        <v>10.49</v>
      </c>
      <c r="C8267" t="n">
        <v>7.25</v>
      </c>
    </row>
    <row r="8268">
      <c r="A8268" s="28" t="n">
        <v>31300</v>
      </c>
      <c r="B8268" t="n">
        <v>10.48</v>
      </c>
      <c r="C8268" t="n">
        <v>7.23</v>
      </c>
    </row>
    <row r="8269">
      <c r="A8269" s="28" t="n">
        <v>31301</v>
      </c>
      <c r="B8269" t="n">
        <v>10.51</v>
      </c>
      <c r="C8269" t="n">
        <v>7.24</v>
      </c>
    </row>
    <row r="8270">
      <c r="A8270" s="28" t="n">
        <v>31302</v>
      </c>
      <c r="B8270" t="n">
        <v>10.52</v>
      </c>
      <c r="C8270" t="n">
        <v>7.24</v>
      </c>
    </row>
    <row r="8271">
      <c r="A8271" s="28" t="n">
        <v>31303</v>
      </c>
      <c r="B8271" t="n">
        <v>10.4</v>
      </c>
      <c r="C8271" t="n">
        <v>7.21</v>
      </c>
    </row>
    <row r="8272">
      <c r="A8272" s="28" t="n">
        <v>31306</v>
      </c>
      <c r="B8272" t="n">
        <v>10.37</v>
      </c>
      <c r="C8272" t="n">
        <v>7.18</v>
      </c>
    </row>
    <row r="8273">
      <c r="A8273" s="28" t="n">
        <v>31307</v>
      </c>
      <c r="B8273" t="n">
        <v>10.41</v>
      </c>
      <c r="C8273" t="n">
        <v>7.2</v>
      </c>
    </row>
    <row r="8274">
      <c r="A8274" s="28" t="n">
        <v>31308</v>
      </c>
      <c r="B8274" t="n">
        <v>10.43</v>
      </c>
      <c r="C8274" t="n">
        <v>7.11</v>
      </c>
    </row>
    <row r="8275">
      <c r="A8275" s="28" t="n">
        <v>31309</v>
      </c>
      <c r="B8275" t="n">
        <v>10.43</v>
      </c>
      <c r="C8275" t="n">
        <v>7.09</v>
      </c>
    </row>
    <row r="8276">
      <c r="A8276" s="28" t="n">
        <v>31310</v>
      </c>
      <c r="B8276" t="n">
        <v>10.36</v>
      </c>
      <c r="C8276" t="n">
        <v>7.01</v>
      </c>
    </row>
    <row r="8277">
      <c r="A8277" s="28" t="n">
        <v>31313</v>
      </c>
      <c r="B8277" t="n">
        <v>10.39</v>
      </c>
      <c r="C8277" t="n">
        <v>6.89</v>
      </c>
    </row>
    <row r="8278">
      <c r="A8278" s="28" t="n">
        <v>31314</v>
      </c>
      <c r="B8278" t="n">
        <v>10.33</v>
      </c>
      <c r="C8278" t="n">
        <v>6.84</v>
      </c>
    </row>
    <row r="8279">
      <c r="A8279" s="28" t="n">
        <v>31315</v>
      </c>
      <c r="B8279" t="n">
        <v>10.27</v>
      </c>
      <c r="C8279" t="n">
        <v>6.87</v>
      </c>
    </row>
    <row r="8280">
      <c r="A8280" s="28" t="n">
        <v>31316</v>
      </c>
      <c r="B8280" t="n">
        <v>10.22</v>
      </c>
      <c r="C8280" t="n">
        <v>6.94</v>
      </c>
    </row>
    <row r="8281">
      <c r="A8281" s="28" t="n">
        <v>31317</v>
      </c>
      <c r="B8281" t="n">
        <v>0</v>
      </c>
      <c r="C8281" t="n">
        <v>0</v>
      </c>
    </row>
    <row r="8282">
      <c r="A8282" s="28" t="n">
        <v>31320</v>
      </c>
      <c r="B8282" t="n">
        <v>10.31</v>
      </c>
      <c r="C8282" t="n">
        <v>7.04</v>
      </c>
    </row>
    <row r="8283">
      <c r="A8283" s="28" t="n">
        <v>31321</v>
      </c>
      <c r="B8283" t="n">
        <v>10.29</v>
      </c>
      <c r="C8283" t="n">
        <v>7.03</v>
      </c>
    </row>
    <row r="8284">
      <c r="A8284" s="28" t="n">
        <v>31322</v>
      </c>
      <c r="B8284" t="n">
        <v>10.3</v>
      </c>
      <c r="C8284" t="n">
        <v>7.02</v>
      </c>
    </row>
    <row r="8285">
      <c r="A8285" s="28" t="n">
        <v>31323</v>
      </c>
      <c r="B8285" t="n">
        <v>10.32</v>
      </c>
      <c r="C8285" t="n">
        <v>6.98</v>
      </c>
    </row>
    <row r="8286">
      <c r="A8286" s="28" t="n">
        <v>31324</v>
      </c>
      <c r="B8286" t="n">
        <v>10.36</v>
      </c>
      <c r="C8286" t="n">
        <v>6.99</v>
      </c>
    </row>
    <row r="8287">
      <c r="A8287" s="28" t="n">
        <v>31327</v>
      </c>
      <c r="B8287" t="n">
        <v>10.42</v>
      </c>
      <c r="C8287" t="n">
        <v>7.08</v>
      </c>
    </row>
    <row r="8288">
      <c r="A8288" s="28" t="n">
        <v>31328</v>
      </c>
      <c r="B8288" t="n">
        <v>10.36</v>
      </c>
      <c r="C8288" t="n">
        <v>7.16</v>
      </c>
    </row>
    <row r="8289">
      <c r="A8289" s="28" t="n">
        <v>31329</v>
      </c>
      <c r="B8289" t="n">
        <v>10.37</v>
      </c>
      <c r="C8289" t="n">
        <v>7.19</v>
      </c>
    </row>
    <row r="8290">
      <c r="A8290" s="28" t="n">
        <v>31330</v>
      </c>
      <c r="B8290" t="n">
        <v>10.35</v>
      </c>
      <c r="C8290" t="n">
        <v>7.22</v>
      </c>
    </row>
    <row r="8291">
      <c r="A8291" s="28" t="n">
        <v>31331</v>
      </c>
      <c r="B8291" t="n">
        <v>10.34</v>
      </c>
      <c r="C8291" t="n">
        <v>7.19</v>
      </c>
    </row>
    <row r="8292">
      <c r="A8292" s="28" t="n">
        <v>31334</v>
      </c>
      <c r="B8292" t="n">
        <v>0</v>
      </c>
      <c r="C8292" t="n">
        <v>0</v>
      </c>
    </row>
    <row r="8293">
      <c r="A8293" s="28" t="n">
        <v>31335</v>
      </c>
      <c r="B8293" t="n">
        <v>10.3</v>
      </c>
      <c r="C8293" t="n">
        <v>7.21</v>
      </c>
    </row>
    <row r="8294">
      <c r="A8294" s="28" t="n">
        <v>31336</v>
      </c>
      <c r="B8294" t="n">
        <v>10.25</v>
      </c>
      <c r="C8294" t="n">
        <v>7.21</v>
      </c>
    </row>
    <row r="8295">
      <c r="A8295" s="28" t="n">
        <v>31337</v>
      </c>
      <c r="B8295" t="n">
        <v>10.21</v>
      </c>
      <c r="C8295" t="n">
        <v>7.19</v>
      </c>
    </row>
    <row r="8296">
      <c r="A8296" s="28" t="n">
        <v>31338</v>
      </c>
      <c r="B8296" t="n">
        <v>10.17</v>
      </c>
      <c r="C8296" t="n">
        <v>7.2</v>
      </c>
    </row>
    <row r="8297">
      <c r="A8297" s="28" t="n">
        <v>31341</v>
      </c>
      <c r="B8297" t="n">
        <v>10.18</v>
      </c>
      <c r="C8297" t="n">
        <v>7.21</v>
      </c>
    </row>
    <row r="8298">
      <c r="A8298" s="28" t="n">
        <v>31342</v>
      </c>
      <c r="B8298" t="n">
        <v>10.12</v>
      </c>
      <c r="C8298" t="n">
        <v>7.16</v>
      </c>
    </row>
    <row r="8299">
      <c r="A8299" s="28" t="n">
        <v>31343</v>
      </c>
      <c r="B8299" t="n">
        <v>10.14</v>
      </c>
      <c r="C8299" t="n">
        <v>7.22</v>
      </c>
    </row>
    <row r="8300">
      <c r="A8300" s="28" t="n">
        <v>31344</v>
      </c>
      <c r="B8300" t="n">
        <v>10.15</v>
      </c>
      <c r="C8300" t="n">
        <v>7.25</v>
      </c>
    </row>
    <row r="8301">
      <c r="A8301" s="28" t="n">
        <v>31345</v>
      </c>
      <c r="B8301" t="n">
        <v>10.21</v>
      </c>
      <c r="C8301" t="n">
        <v>7.24</v>
      </c>
    </row>
    <row r="8302">
      <c r="A8302" s="28" t="n">
        <v>31348</v>
      </c>
      <c r="B8302" t="n">
        <v>10.28</v>
      </c>
      <c r="C8302" t="n">
        <v>7.21</v>
      </c>
    </row>
    <row r="8303">
      <c r="A8303" s="28" t="n">
        <v>31349</v>
      </c>
      <c r="B8303" t="n">
        <v>10.11</v>
      </c>
      <c r="C8303" t="n">
        <v>7.21</v>
      </c>
    </row>
    <row r="8304">
      <c r="A8304" s="28" t="n">
        <v>31350</v>
      </c>
      <c r="B8304" t="n">
        <v>9.970000000000001</v>
      </c>
      <c r="C8304" t="n">
        <v>7.19</v>
      </c>
    </row>
    <row r="8305">
      <c r="A8305" s="28" t="n">
        <v>31351</v>
      </c>
      <c r="B8305" t="n">
        <v>10.01</v>
      </c>
      <c r="C8305" t="n">
        <v>7.19</v>
      </c>
    </row>
    <row r="8306">
      <c r="A8306" s="28" t="n">
        <v>31352</v>
      </c>
      <c r="B8306" t="n">
        <v>9.98</v>
      </c>
      <c r="C8306" t="n">
        <v>7.2</v>
      </c>
    </row>
    <row r="8307">
      <c r="A8307" s="28" t="n">
        <v>31355</v>
      </c>
      <c r="B8307" t="n">
        <v>9.98</v>
      </c>
      <c r="C8307" t="n">
        <v>7.23</v>
      </c>
    </row>
    <row r="8308">
      <c r="A8308" s="28" t="n">
        <v>31356</v>
      </c>
      <c r="B8308" t="n">
        <v>9.93</v>
      </c>
      <c r="C8308" t="n">
        <v>7.24</v>
      </c>
    </row>
    <row r="8309">
      <c r="A8309" s="28" t="n">
        <v>31357</v>
      </c>
      <c r="B8309" t="n">
        <v>9.93</v>
      </c>
      <c r="C8309" t="n">
        <v>7.25</v>
      </c>
    </row>
    <row r="8310">
      <c r="A8310" s="28" t="n">
        <v>31358</v>
      </c>
      <c r="B8310" t="n">
        <v>9.91</v>
      </c>
      <c r="C8310" t="n">
        <v>7.3</v>
      </c>
    </row>
    <row r="8311">
      <c r="A8311" s="28" t="n">
        <v>31359</v>
      </c>
      <c r="B8311" t="n">
        <v>9.84</v>
      </c>
      <c r="C8311" t="n">
        <v>7.23</v>
      </c>
    </row>
    <row r="8312">
      <c r="A8312" s="28" t="n">
        <v>31362</v>
      </c>
      <c r="B8312" t="n">
        <v>0</v>
      </c>
      <c r="C8312" t="n">
        <v>0</v>
      </c>
    </row>
    <row r="8313">
      <c r="A8313" s="28" t="n">
        <v>31363</v>
      </c>
      <c r="B8313" t="n">
        <v>9.74</v>
      </c>
      <c r="C8313" t="n">
        <v>7.22</v>
      </c>
    </row>
    <row r="8314">
      <c r="A8314" s="28" t="n">
        <v>31364</v>
      </c>
      <c r="B8314" t="n">
        <v>9.779999999999999</v>
      </c>
      <c r="C8314" t="n">
        <v>7.28</v>
      </c>
    </row>
    <row r="8315">
      <c r="A8315" s="28" t="n">
        <v>31365</v>
      </c>
      <c r="B8315" t="n">
        <v>9.84</v>
      </c>
      <c r="C8315" t="n">
        <v>7.32</v>
      </c>
    </row>
    <row r="8316">
      <c r="A8316" s="28" t="n">
        <v>31366</v>
      </c>
      <c r="B8316" t="n">
        <v>9.92</v>
      </c>
      <c r="C8316" t="n">
        <v>7.35</v>
      </c>
    </row>
    <row r="8317">
      <c r="A8317" s="28" t="n">
        <v>31369</v>
      </c>
      <c r="B8317" t="n">
        <v>9.720000000000001</v>
      </c>
      <c r="C8317" t="n">
        <v>7.24</v>
      </c>
    </row>
    <row r="8318">
      <c r="A8318" s="28" t="n">
        <v>31370</v>
      </c>
      <c r="B8318" t="n">
        <v>9.73</v>
      </c>
      <c r="C8318" t="n">
        <v>7.21</v>
      </c>
    </row>
    <row r="8319">
      <c r="A8319" s="28" t="n">
        <v>31371</v>
      </c>
      <c r="B8319" t="n">
        <v>9.720000000000001</v>
      </c>
      <c r="C8319" t="n">
        <v>7.25</v>
      </c>
    </row>
    <row r="8320">
      <c r="A8320" s="28" t="n">
        <v>31372</v>
      </c>
      <c r="B8320" t="n">
        <v>9.58</v>
      </c>
      <c r="C8320" t="n">
        <v>7.23</v>
      </c>
    </row>
    <row r="8321">
      <c r="A8321" s="28" t="n">
        <v>31373</v>
      </c>
      <c r="B8321" t="n">
        <v>9.66</v>
      </c>
      <c r="C8321" t="n">
        <v>7.23</v>
      </c>
    </row>
    <row r="8322">
      <c r="A8322" s="28" t="n">
        <v>31376</v>
      </c>
      <c r="B8322" t="n">
        <v>9.68</v>
      </c>
      <c r="C8322" t="n">
        <v>7.19</v>
      </c>
    </row>
    <row r="8323">
      <c r="A8323" s="28" t="n">
        <v>31377</v>
      </c>
      <c r="B8323" t="n">
        <v>9.68</v>
      </c>
      <c r="C8323" t="n">
        <v>7.2</v>
      </c>
    </row>
    <row r="8324">
      <c r="A8324" s="28" t="n">
        <v>31378</v>
      </c>
      <c r="B8324" t="n">
        <v>9.640000000000001</v>
      </c>
      <c r="C8324" t="n">
        <v>7.18</v>
      </c>
    </row>
    <row r="8325">
      <c r="A8325" s="28" t="n">
        <v>31379</v>
      </c>
      <c r="B8325" t="n">
        <v>0</v>
      </c>
      <c r="C8325" t="n">
        <v>0</v>
      </c>
    </row>
    <row r="8326">
      <c r="A8326" s="28" t="n">
        <v>31380</v>
      </c>
      <c r="B8326" t="n">
        <v>9.59</v>
      </c>
      <c r="C8326" t="n">
        <v>7.16</v>
      </c>
    </row>
    <row r="8327">
      <c r="A8327" s="28" t="n">
        <v>31383</v>
      </c>
      <c r="B8327" t="n">
        <v>9.69</v>
      </c>
      <c r="C8327" t="n">
        <v>7.26</v>
      </c>
    </row>
    <row r="8328">
      <c r="A8328" s="28" t="n">
        <v>31384</v>
      </c>
      <c r="B8328" t="n">
        <v>9.68</v>
      </c>
      <c r="C8328" t="n">
        <v>7.23</v>
      </c>
    </row>
    <row r="8329">
      <c r="A8329" s="28" t="n">
        <v>31385</v>
      </c>
      <c r="B8329" t="n">
        <v>9.630000000000001</v>
      </c>
      <c r="C8329" t="n">
        <v>7.22</v>
      </c>
    </row>
    <row r="8330">
      <c r="A8330" s="28" t="n">
        <v>31386</v>
      </c>
      <c r="B8330" t="n">
        <v>9.619999999999999</v>
      </c>
      <c r="C8330" t="n">
        <v>7.26</v>
      </c>
    </row>
    <row r="8331">
      <c r="A8331" s="28" t="n">
        <v>31387</v>
      </c>
      <c r="B8331" t="n">
        <v>9.65</v>
      </c>
      <c r="C8331" t="n">
        <v>7.25</v>
      </c>
    </row>
    <row r="8332">
      <c r="A8332" s="28" t="n">
        <v>31390</v>
      </c>
      <c r="B8332" t="n">
        <v>9.49</v>
      </c>
      <c r="C8332" t="n">
        <v>7.2</v>
      </c>
    </row>
    <row r="8333">
      <c r="A8333" s="28" t="n">
        <v>31391</v>
      </c>
      <c r="B8333" t="n">
        <v>9.359999999999999</v>
      </c>
      <c r="C8333" t="n">
        <v>7.17</v>
      </c>
    </row>
    <row r="8334">
      <c r="A8334" s="28" t="n">
        <v>31392</v>
      </c>
      <c r="B8334" t="n">
        <v>9.199999999999999</v>
      </c>
      <c r="C8334" t="n">
        <v>7.05</v>
      </c>
    </row>
    <row r="8335">
      <c r="A8335" s="28" t="n">
        <v>31393</v>
      </c>
      <c r="B8335" t="n">
        <v>9.27</v>
      </c>
      <c r="C8335" t="n">
        <v>7.08</v>
      </c>
    </row>
    <row r="8336">
      <c r="A8336" s="28" t="n">
        <v>31394</v>
      </c>
      <c r="B8336" t="n">
        <v>9.210000000000001</v>
      </c>
      <c r="C8336" t="n">
        <v>6.98</v>
      </c>
    </row>
    <row r="8337">
      <c r="A8337" s="28" t="n">
        <v>31397</v>
      </c>
      <c r="B8337" t="n">
        <v>9.16</v>
      </c>
      <c r="C8337" t="n">
        <v>7.03</v>
      </c>
    </row>
    <row r="8338">
      <c r="A8338" s="28" t="n">
        <v>31398</v>
      </c>
      <c r="B8338" t="n">
        <v>9.039999999999999</v>
      </c>
      <c r="C8338" t="n">
        <v>7</v>
      </c>
    </row>
    <row r="8339">
      <c r="A8339" s="28" t="n">
        <v>31399</v>
      </c>
      <c r="B8339" t="n">
        <v>9.109999999999999</v>
      </c>
      <c r="C8339" t="n">
        <v>7.13</v>
      </c>
    </row>
    <row r="8340">
      <c r="A8340" s="28" t="n">
        <v>31400</v>
      </c>
      <c r="B8340" t="n">
        <v>9.1</v>
      </c>
      <c r="C8340" t="n">
        <v>7.1</v>
      </c>
    </row>
    <row r="8341">
      <c r="A8341" s="28" t="n">
        <v>31401</v>
      </c>
      <c r="B8341" t="n">
        <v>9.039999999999999</v>
      </c>
      <c r="C8341" t="n">
        <v>7.05</v>
      </c>
    </row>
    <row r="8342">
      <c r="A8342" s="28" t="n">
        <v>31404</v>
      </c>
      <c r="B8342" t="n">
        <v>9.08</v>
      </c>
      <c r="C8342" t="n">
        <v>7.07</v>
      </c>
    </row>
    <row r="8343">
      <c r="A8343" s="28" t="n">
        <v>31405</v>
      </c>
      <c r="B8343" t="n">
        <v>9.07</v>
      </c>
      <c r="C8343" t="n">
        <v>7.05</v>
      </c>
    </row>
    <row r="8344">
      <c r="A8344" s="28" t="n">
        <v>31406</v>
      </c>
      <c r="B8344" t="n">
        <v>0</v>
      </c>
      <c r="C8344" t="n">
        <v>0</v>
      </c>
    </row>
    <row r="8345">
      <c r="A8345" s="28" t="n">
        <v>31407</v>
      </c>
      <c r="B8345" t="n">
        <v>9.039999999999999</v>
      </c>
      <c r="C8345" t="n">
        <v>7.01</v>
      </c>
    </row>
    <row r="8346">
      <c r="A8346" s="28" t="n">
        <v>31408</v>
      </c>
      <c r="B8346" t="n">
        <v>8.99</v>
      </c>
      <c r="C8346" t="n">
        <v>6.96</v>
      </c>
    </row>
    <row r="8347">
      <c r="A8347" s="28" t="n">
        <v>31411</v>
      </c>
      <c r="B8347" t="n">
        <v>9.01</v>
      </c>
      <c r="C8347" t="n">
        <v>6.94</v>
      </c>
    </row>
    <row r="8348">
      <c r="A8348" s="28" t="n">
        <v>31412</v>
      </c>
      <c r="B8348" t="n">
        <v>9</v>
      </c>
      <c r="C8348" t="n">
        <v>7.05</v>
      </c>
    </row>
    <row r="8349">
      <c r="A8349" s="28" t="n">
        <v>31413</v>
      </c>
      <c r="B8349" t="n">
        <v>0</v>
      </c>
      <c r="C8349" t="n">
        <v>0</v>
      </c>
    </row>
    <row r="8350">
      <c r="A8350" s="28" t="n">
        <v>31414</v>
      </c>
      <c r="B8350" t="n">
        <v>9.039999999999999</v>
      </c>
      <c r="C8350" t="n">
        <v>7.1</v>
      </c>
    </row>
    <row r="8351">
      <c r="A8351" s="28" t="n">
        <v>31415</v>
      </c>
      <c r="B8351" t="n">
        <v>9.050000000000001</v>
      </c>
      <c r="C8351" t="n">
        <v>7.07</v>
      </c>
    </row>
    <row r="8352">
      <c r="A8352" s="28" t="n">
        <v>31418</v>
      </c>
      <c r="B8352" t="n">
        <v>9.07</v>
      </c>
      <c r="C8352" t="n">
        <v>7.06</v>
      </c>
    </row>
    <row r="8353">
      <c r="A8353" s="28" t="n">
        <v>31419</v>
      </c>
      <c r="B8353" t="n">
        <v>8.94</v>
      </c>
      <c r="C8353" t="n">
        <v>7.03</v>
      </c>
    </row>
    <row r="8354">
      <c r="A8354" s="28" t="n">
        <v>31420</v>
      </c>
      <c r="B8354" t="n">
        <v>9.130000000000001</v>
      </c>
      <c r="C8354" t="n">
        <v>7.17</v>
      </c>
    </row>
    <row r="8355">
      <c r="A8355" s="28" t="n">
        <v>31421</v>
      </c>
      <c r="B8355" t="n">
        <v>9.27</v>
      </c>
      <c r="C8355" t="n">
        <v>7.18</v>
      </c>
    </row>
    <row r="8356">
      <c r="A8356" s="28" t="n">
        <v>31422</v>
      </c>
      <c r="B8356" t="n">
        <v>9.390000000000001</v>
      </c>
      <c r="C8356" t="n">
        <v>7.21</v>
      </c>
    </row>
    <row r="8357">
      <c r="A8357" s="28" t="n">
        <v>31425</v>
      </c>
      <c r="B8357" t="n">
        <v>9.49</v>
      </c>
      <c r="C8357" t="n">
        <v>7.24</v>
      </c>
    </row>
    <row r="8358">
      <c r="A8358" s="28" t="n">
        <v>31426</v>
      </c>
      <c r="B8358" t="n">
        <v>9.43</v>
      </c>
      <c r="C8358" t="n">
        <v>7.24</v>
      </c>
    </row>
    <row r="8359">
      <c r="A8359" s="28" t="n">
        <v>31427</v>
      </c>
      <c r="B8359" t="n">
        <v>9.31</v>
      </c>
      <c r="C8359" t="n">
        <v>7.19</v>
      </c>
    </row>
    <row r="8360">
      <c r="A8360" s="28" t="n">
        <v>31428</v>
      </c>
      <c r="B8360" t="n">
        <v>9.300000000000001</v>
      </c>
      <c r="C8360" t="n">
        <v>7.08</v>
      </c>
    </row>
    <row r="8361">
      <c r="A8361" s="28" t="n">
        <v>31429</v>
      </c>
      <c r="B8361" t="n">
        <v>9.24</v>
      </c>
      <c r="C8361" t="n">
        <v>7.11</v>
      </c>
    </row>
    <row r="8362">
      <c r="A8362" s="28" t="n">
        <v>31432</v>
      </c>
      <c r="B8362" t="n">
        <v>0</v>
      </c>
      <c r="C8362" t="n">
        <v>0</v>
      </c>
    </row>
    <row r="8363">
      <c r="A8363" s="28" t="n">
        <v>31433</v>
      </c>
      <c r="B8363" t="n">
        <v>9.220000000000001</v>
      </c>
      <c r="C8363" t="n">
        <v>7.02</v>
      </c>
    </row>
    <row r="8364">
      <c r="A8364" s="28" t="n">
        <v>31434</v>
      </c>
      <c r="B8364" t="n">
        <v>9.279999999999999</v>
      </c>
      <c r="C8364" t="n">
        <v>7</v>
      </c>
    </row>
    <row r="8365">
      <c r="A8365" s="28" t="n">
        <v>31435</v>
      </c>
      <c r="B8365" t="n">
        <v>9.23</v>
      </c>
      <c r="C8365" t="n">
        <v>6.97</v>
      </c>
    </row>
    <row r="8366">
      <c r="A8366" s="28" t="n">
        <v>31436</v>
      </c>
      <c r="B8366" t="n">
        <v>9.23</v>
      </c>
      <c r="C8366" t="n">
        <v>6.97</v>
      </c>
    </row>
    <row r="8367">
      <c r="A8367" s="28" t="n">
        <v>31439</v>
      </c>
      <c r="B8367" t="n">
        <v>9.130000000000001</v>
      </c>
      <c r="C8367" t="n">
        <v>6.95</v>
      </c>
    </row>
    <row r="8368">
      <c r="A8368" s="28" t="n">
        <v>31440</v>
      </c>
      <c r="B8368" t="n">
        <v>9.050000000000001</v>
      </c>
      <c r="C8368" t="n">
        <v>6.92</v>
      </c>
    </row>
    <row r="8369">
      <c r="A8369" s="28" t="n">
        <v>31441</v>
      </c>
      <c r="B8369" t="n">
        <v>9.09</v>
      </c>
      <c r="C8369" t="n">
        <v>7.03</v>
      </c>
    </row>
    <row r="8370">
      <c r="A8370" s="28" t="n">
        <v>31442</v>
      </c>
      <c r="B8370" t="n">
        <v>9.1</v>
      </c>
      <c r="C8370" t="n">
        <v>7.04</v>
      </c>
    </row>
    <row r="8371">
      <c r="A8371" s="28" t="n">
        <v>31443</v>
      </c>
      <c r="B8371" t="n">
        <v>9.08</v>
      </c>
      <c r="C8371" t="n">
        <v>6.97</v>
      </c>
    </row>
    <row r="8372">
      <c r="A8372" s="28" t="n">
        <v>31446</v>
      </c>
      <c r="B8372" t="n">
        <v>9.02</v>
      </c>
      <c r="C8372" t="n">
        <v>7</v>
      </c>
    </row>
    <row r="8373">
      <c r="A8373" s="28" t="n">
        <v>31447</v>
      </c>
      <c r="B8373" t="n">
        <v>8.960000000000001</v>
      </c>
      <c r="C8373" t="n">
        <v>6.98</v>
      </c>
    </row>
    <row r="8374">
      <c r="A8374" s="28" t="n">
        <v>31448</v>
      </c>
      <c r="B8374" t="n">
        <v>8.970000000000001</v>
      </c>
      <c r="C8374" t="n">
        <v>7.01</v>
      </c>
    </row>
    <row r="8375">
      <c r="A8375" s="28" t="n">
        <v>31449</v>
      </c>
      <c r="B8375" t="n">
        <v>9.029999999999999</v>
      </c>
      <c r="C8375" t="n">
        <v>7.1</v>
      </c>
    </row>
    <row r="8376">
      <c r="A8376" s="28" t="n">
        <v>31450</v>
      </c>
      <c r="B8376" t="n">
        <v>9.109999999999999</v>
      </c>
      <c r="C8376" t="n">
        <v>7.21</v>
      </c>
    </row>
    <row r="8377">
      <c r="A8377" s="28" t="n">
        <v>31453</v>
      </c>
      <c r="B8377" t="n">
        <v>9</v>
      </c>
      <c r="C8377" t="n">
        <v>7.2</v>
      </c>
    </row>
    <row r="8378">
      <c r="A8378" s="28" t="n">
        <v>31454</v>
      </c>
      <c r="B8378" t="n">
        <v>8.93</v>
      </c>
      <c r="C8378" t="n">
        <v>7.11</v>
      </c>
    </row>
    <row r="8379">
      <c r="A8379" s="28" t="n">
        <v>31455</v>
      </c>
      <c r="B8379" t="n">
        <v>8.91</v>
      </c>
      <c r="C8379" t="n">
        <v>7.11</v>
      </c>
    </row>
    <row r="8380">
      <c r="A8380" s="28" t="n">
        <v>31456</v>
      </c>
      <c r="B8380" t="n">
        <v>8.85</v>
      </c>
      <c r="C8380" t="n">
        <v>7.1</v>
      </c>
    </row>
    <row r="8381">
      <c r="A8381" s="28" t="n">
        <v>31457</v>
      </c>
      <c r="B8381" t="n">
        <v>8.68</v>
      </c>
      <c r="C8381" t="n">
        <v>7.02</v>
      </c>
    </row>
    <row r="8382">
      <c r="A8382" s="28" t="n">
        <v>31460</v>
      </c>
      <c r="B8382" t="n">
        <v>0</v>
      </c>
      <c r="C8382" t="n">
        <v>0</v>
      </c>
    </row>
    <row r="8383">
      <c r="A8383" s="28" t="n">
        <v>31461</v>
      </c>
      <c r="B8383" t="n">
        <v>8.640000000000001</v>
      </c>
      <c r="C8383" t="n">
        <v>7.02</v>
      </c>
    </row>
    <row r="8384">
      <c r="A8384" s="28" t="n">
        <v>31462</v>
      </c>
      <c r="B8384" t="n">
        <v>8.699999999999999</v>
      </c>
      <c r="C8384" t="n">
        <v>7.08</v>
      </c>
    </row>
    <row r="8385">
      <c r="A8385" s="28" t="n">
        <v>31463</v>
      </c>
      <c r="B8385" t="n">
        <v>8.67</v>
      </c>
      <c r="C8385" t="n">
        <v>7.11</v>
      </c>
    </row>
    <row r="8386">
      <c r="A8386" s="28" t="n">
        <v>31464</v>
      </c>
      <c r="B8386" t="n">
        <v>8.48</v>
      </c>
      <c r="C8386" t="n">
        <v>6.98</v>
      </c>
    </row>
    <row r="8387">
      <c r="A8387" s="28" t="n">
        <v>31467</v>
      </c>
      <c r="B8387" t="n">
        <v>8.390000000000001</v>
      </c>
      <c r="C8387" t="n">
        <v>7.02</v>
      </c>
    </row>
    <row r="8388">
      <c r="A8388" s="28" t="n">
        <v>31468</v>
      </c>
      <c r="B8388" t="n">
        <v>8.4</v>
      </c>
      <c r="C8388" t="n">
        <v>7.05</v>
      </c>
    </row>
    <row r="8389">
      <c r="A8389" s="28" t="n">
        <v>31469</v>
      </c>
      <c r="B8389" t="n">
        <v>8.359999999999999</v>
      </c>
      <c r="C8389" t="n">
        <v>7.07</v>
      </c>
    </row>
    <row r="8390">
      <c r="A8390" s="28" t="n">
        <v>31470</v>
      </c>
      <c r="B8390" t="n">
        <v>8.15</v>
      </c>
      <c r="C8390" t="n">
        <v>7.03</v>
      </c>
    </row>
    <row r="8391">
      <c r="A8391" s="28" t="n">
        <v>31471</v>
      </c>
      <c r="B8391" t="n">
        <v>8.130000000000001</v>
      </c>
      <c r="C8391" t="n">
        <v>7.02</v>
      </c>
    </row>
    <row r="8392">
      <c r="A8392" s="28" t="n">
        <v>31474</v>
      </c>
      <c r="B8392" t="n">
        <v>7.99</v>
      </c>
      <c r="C8392" t="n">
        <v>6.97</v>
      </c>
    </row>
    <row r="8393">
      <c r="A8393" s="28" t="n">
        <v>31475</v>
      </c>
      <c r="B8393" t="n">
        <v>7.93</v>
      </c>
      <c r="C8393" t="n">
        <v>6.84</v>
      </c>
    </row>
    <row r="8394">
      <c r="A8394" s="28" t="n">
        <v>31476</v>
      </c>
      <c r="B8394" t="n">
        <v>8.119999999999999</v>
      </c>
      <c r="C8394" t="n">
        <v>6.85</v>
      </c>
    </row>
    <row r="8395">
      <c r="A8395" s="28" t="n">
        <v>31477</v>
      </c>
      <c r="B8395" t="n">
        <v>8.039999999999999</v>
      </c>
      <c r="C8395" t="n">
        <v>6.69</v>
      </c>
    </row>
    <row r="8396">
      <c r="A8396" s="28" t="n">
        <v>31478</v>
      </c>
      <c r="B8396" t="n">
        <v>7.96</v>
      </c>
      <c r="C8396" t="n">
        <v>6.61</v>
      </c>
    </row>
    <row r="8397">
      <c r="A8397" s="28" t="n">
        <v>31481</v>
      </c>
      <c r="B8397" t="n">
        <v>7.76</v>
      </c>
      <c r="C8397" t="n">
        <v>6.61</v>
      </c>
    </row>
    <row r="8398">
      <c r="A8398" s="28" t="n">
        <v>31482</v>
      </c>
      <c r="B8398" t="n">
        <v>7.7</v>
      </c>
      <c r="C8398" t="n">
        <v>6.57</v>
      </c>
    </row>
    <row r="8399">
      <c r="A8399" s="28" t="n">
        <v>31483</v>
      </c>
      <c r="B8399" t="n">
        <v>7.68</v>
      </c>
      <c r="C8399" t="n">
        <v>6.62</v>
      </c>
    </row>
    <row r="8400">
      <c r="A8400" s="28" t="n">
        <v>31484</v>
      </c>
      <c r="B8400" t="n">
        <v>7.75</v>
      </c>
      <c r="C8400" t="n">
        <v>6.59</v>
      </c>
    </row>
    <row r="8401">
      <c r="A8401" s="28" t="n">
        <v>31485</v>
      </c>
      <c r="B8401" t="n">
        <v>7.72</v>
      </c>
      <c r="C8401" t="n">
        <v>6.54</v>
      </c>
    </row>
    <row r="8402">
      <c r="A8402" s="28" t="n">
        <v>31488</v>
      </c>
      <c r="B8402" t="n">
        <v>7.77</v>
      </c>
      <c r="C8402" t="n">
        <v>6.56</v>
      </c>
    </row>
    <row r="8403">
      <c r="A8403" s="28" t="n">
        <v>31489</v>
      </c>
      <c r="B8403" t="n">
        <v>7.83</v>
      </c>
      <c r="C8403" t="n">
        <v>6.54</v>
      </c>
    </row>
    <row r="8404">
      <c r="A8404" s="28" t="n">
        <v>31490</v>
      </c>
      <c r="B8404" t="n">
        <v>7.82</v>
      </c>
      <c r="C8404" t="n">
        <v>6.49</v>
      </c>
    </row>
    <row r="8405">
      <c r="A8405" s="28" t="n">
        <v>31491</v>
      </c>
      <c r="B8405" t="n">
        <v>7.78</v>
      </c>
      <c r="C8405" t="n">
        <v>6.44</v>
      </c>
    </row>
    <row r="8406">
      <c r="A8406" s="28" t="n">
        <v>31492</v>
      </c>
      <c r="B8406" t="n">
        <v>7.8</v>
      </c>
      <c r="C8406" t="n">
        <v>6.41</v>
      </c>
    </row>
    <row r="8407">
      <c r="A8407" s="28" t="n">
        <v>31495</v>
      </c>
      <c r="B8407" t="n">
        <v>7.7</v>
      </c>
      <c r="C8407" t="n">
        <v>6.41</v>
      </c>
    </row>
    <row r="8408">
      <c r="A8408" s="28" t="n">
        <v>31496</v>
      </c>
      <c r="B8408" t="n">
        <v>7.7</v>
      </c>
      <c r="C8408" t="n">
        <v>6.38</v>
      </c>
    </row>
    <row r="8409">
      <c r="A8409" s="28" t="n">
        <v>31497</v>
      </c>
      <c r="B8409" t="n">
        <v>7.64</v>
      </c>
      <c r="C8409" t="n">
        <v>6.41</v>
      </c>
    </row>
    <row r="8410">
      <c r="A8410" s="28" t="n">
        <v>31498</v>
      </c>
      <c r="B8410" t="n">
        <v>7.49</v>
      </c>
      <c r="C8410" t="n">
        <v>6.34</v>
      </c>
    </row>
    <row r="8411">
      <c r="A8411" s="28" t="n">
        <v>31499</v>
      </c>
      <c r="B8411" t="n">
        <v>0</v>
      </c>
      <c r="C8411" t="n">
        <v>0</v>
      </c>
    </row>
    <row r="8412">
      <c r="A8412" s="28" t="n">
        <v>31502</v>
      </c>
      <c r="B8412" t="n">
        <v>7.39</v>
      </c>
      <c r="C8412" t="n">
        <v>6.34</v>
      </c>
    </row>
    <row r="8413">
      <c r="A8413" s="28" t="n">
        <v>31503</v>
      </c>
      <c r="B8413" t="n">
        <v>7.37</v>
      </c>
      <c r="C8413" t="n">
        <v>6.33</v>
      </c>
    </row>
    <row r="8414">
      <c r="A8414" s="28" t="n">
        <v>31504</v>
      </c>
      <c r="B8414" t="n">
        <v>7.33</v>
      </c>
      <c r="C8414" t="n">
        <v>6.34</v>
      </c>
    </row>
    <row r="8415">
      <c r="A8415" s="28" t="n">
        <v>31505</v>
      </c>
      <c r="B8415" t="n">
        <v>7.41</v>
      </c>
      <c r="C8415" t="n">
        <v>6.33</v>
      </c>
    </row>
    <row r="8416">
      <c r="A8416" s="28" t="n">
        <v>31506</v>
      </c>
      <c r="B8416" t="n">
        <v>7.45</v>
      </c>
      <c r="C8416" t="n">
        <v>6.23</v>
      </c>
    </row>
    <row r="8417">
      <c r="A8417" s="28" t="n">
        <v>31509</v>
      </c>
      <c r="B8417" t="n">
        <v>7.43</v>
      </c>
      <c r="C8417" t="n">
        <v>6.24</v>
      </c>
    </row>
    <row r="8418">
      <c r="A8418" s="28" t="n">
        <v>31510</v>
      </c>
      <c r="B8418" t="n">
        <v>7.31</v>
      </c>
      <c r="C8418" t="n">
        <v>6.13</v>
      </c>
    </row>
    <row r="8419">
      <c r="A8419" s="28" t="n">
        <v>31511</v>
      </c>
      <c r="B8419" t="n">
        <v>7.27</v>
      </c>
      <c r="C8419" t="n">
        <v>6.01</v>
      </c>
    </row>
    <row r="8420">
      <c r="A8420" s="28" t="n">
        <v>31512</v>
      </c>
      <c r="B8420" t="n">
        <v>7.23</v>
      </c>
      <c r="C8420" t="n">
        <v>6.02</v>
      </c>
    </row>
    <row r="8421">
      <c r="A8421" s="28" t="n">
        <v>31513</v>
      </c>
      <c r="B8421" t="n">
        <v>7.29</v>
      </c>
      <c r="C8421" t="n">
        <v>5.96</v>
      </c>
    </row>
    <row r="8422">
      <c r="A8422" s="28" t="n">
        <v>31516</v>
      </c>
      <c r="B8422" t="n">
        <v>7.19</v>
      </c>
      <c r="C8422" t="n">
        <v>5.91</v>
      </c>
    </row>
    <row r="8423">
      <c r="A8423" s="28" t="n">
        <v>31517</v>
      </c>
      <c r="B8423" t="n">
        <v>7.22</v>
      </c>
      <c r="C8423" t="n">
        <v>5.81</v>
      </c>
    </row>
    <row r="8424">
      <c r="A8424" s="28" t="n">
        <v>31518</v>
      </c>
      <c r="B8424" t="n">
        <v>6.98</v>
      </c>
      <c r="C8424" t="n">
        <v>5.77</v>
      </c>
    </row>
    <row r="8425">
      <c r="A8425" s="28" t="n">
        <v>31519</v>
      </c>
      <c r="B8425" t="n">
        <v>7.03</v>
      </c>
      <c r="C8425" t="n">
        <v>5.84</v>
      </c>
    </row>
    <row r="8426">
      <c r="A8426" s="28" t="n">
        <v>31520</v>
      </c>
      <c r="B8426" t="n">
        <v>7.09</v>
      </c>
      <c r="C8426" t="n">
        <v>5.87</v>
      </c>
    </row>
    <row r="8427">
      <c r="A8427" s="28" t="n">
        <v>31523</v>
      </c>
      <c r="B8427" t="n">
        <v>7.04</v>
      </c>
      <c r="C8427" t="n">
        <v>5.87</v>
      </c>
    </row>
    <row r="8428">
      <c r="A8428" s="28" t="n">
        <v>31524</v>
      </c>
      <c r="B8428" t="n">
        <v>7.25</v>
      </c>
      <c r="C8428" t="n">
        <v>5.95</v>
      </c>
    </row>
    <row r="8429">
      <c r="A8429" s="28" t="n">
        <v>31525</v>
      </c>
      <c r="B8429" t="n">
        <v>7.36</v>
      </c>
      <c r="C8429" t="n">
        <v>6.09</v>
      </c>
    </row>
    <row r="8430">
      <c r="A8430" s="28" t="n">
        <v>31526</v>
      </c>
      <c r="B8430" t="n">
        <v>7.51</v>
      </c>
      <c r="C8430" t="n">
        <v>6.11</v>
      </c>
    </row>
    <row r="8431">
      <c r="A8431" s="28" t="n">
        <v>31527</v>
      </c>
      <c r="B8431" t="n">
        <v>7.58</v>
      </c>
      <c r="C8431" t="n">
        <v>6.14</v>
      </c>
    </row>
    <row r="8432">
      <c r="A8432" s="28" t="n">
        <v>31530</v>
      </c>
      <c r="B8432" t="n">
        <v>7.48</v>
      </c>
      <c r="C8432" t="n">
        <v>6.1</v>
      </c>
    </row>
    <row r="8433">
      <c r="A8433" s="28" t="n">
        <v>31531</v>
      </c>
      <c r="B8433" t="n">
        <v>7.38</v>
      </c>
      <c r="C8433" t="n">
        <v>6.09</v>
      </c>
    </row>
    <row r="8434">
      <c r="A8434" s="28" t="n">
        <v>31532</v>
      </c>
      <c r="B8434" t="n">
        <v>7.38</v>
      </c>
      <c r="C8434" t="n">
        <v>6.1</v>
      </c>
    </row>
    <row r="8435">
      <c r="A8435" s="28" t="n">
        <v>31533</v>
      </c>
      <c r="B8435" t="n">
        <v>7.45</v>
      </c>
      <c r="C8435" t="n">
        <v>6.11</v>
      </c>
    </row>
    <row r="8436">
      <c r="A8436" s="28" t="n">
        <v>31534</v>
      </c>
      <c r="B8436" t="n">
        <v>7.51</v>
      </c>
      <c r="C8436" t="n">
        <v>6.15</v>
      </c>
    </row>
    <row r="8437">
      <c r="A8437" s="28" t="n">
        <v>31537</v>
      </c>
      <c r="B8437" t="n">
        <v>7.45</v>
      </c>
      <c r="C8437" t="n">
        <v>6.06</v>
      </c>
    </row>
    <row r="8438">
      <c r="A8438" s="28" t="n">
        <v>31538</v>
      </c>
      <c r="B8438" t="n">
        <v>7.46</v>
      </c>
      <c r="C8438" t="n">
        <v>6.05</v>
      </c>
    </row>
    <row r="8439">
      <c r="A8439" s="28" t="n">
        <v>31539</v>
      </c>
      <c r="B8439" t="n">
        <v>7.43</v>
      </c>
      <c r="C8439" t="n">
        <v>6.04</v>
      </c>
    </row>
    <row r="8440">
      <c r="A8440" s="28" t="n">
        <v>31540</v>
      </c>
      <c r="B8440" t="n">
        <v>7.4</v>
      </c>
      <c r="C8440" t="n">
        <v>6.04</v>
      </c>
    </row>
    <row r="8441">
      <c r="A8441" s="28" t="n">
        <v>31541</v>
      </c>
      <c r="B8441" t="n">
        <v>7.48</v>
      </c>
      <c r="C8441" t="n">
        <v>6.05</v>
      </c>
    </row>
    <row r="8442">
      <c r="A8442" s="28" t="n">
        <v>31544</v>
      </c>
      <c r="B8442" t="n">
        <v>7.67</v>
      </c>
      <c r="C8442" t="n">
        <v>6.13</v>
      </c>
    </row>
    <row r="8443">
      <c r="A8443" s="28" t="n">
        <v>31545</v>
      </c>
      <c r="B8443" t="n">
        <v>7.63</v>
      </c>
      <c r="C8443" t="n">
        <v>6.09</v>
      </c>
    </row>
    <row r="8444">
      <c r="A8444" s="28" t="n">
        <v>31546</v>
      </c>
      <c r="B8444" t="n">
        <v>7.66</v>
      </c>
      <c r="C8444" t="n">
        <v>6.09</v>
      </c>
    </row>
    <row r="8445">
      <c r="A8445" s="28" t="n">
        <v>31547</v>
      </c>
      <c r="B8445" t="n">
        <v>7.79</v>
      </c>
      <c r="C8445" t="n">
        <v>6.17</v>
      </c>
    </row>
    <row r="8446">
      <c r="A8446" s="28" t="n">
        <v>31548</v>
      </c>
      <c r="B8446" t="n">
        <v>7.99</v>
      </c>
      <c r="C8446" t="n">
        <v>6.21</v>
      </c>
    </row>
    <row r="8447">
      <c r="A8447" s="28" t="n">
        <v>31551</v>
      </c>
      <c r="B8447" t="n">
        <v>7.98</v>
      </c>
      <c r="C8447" t="n">
        <v>6.2</v>
      </c>
    </row>
    <row r="8448">
      <c r="A8448" s="28" t="n">
        <v>31552</v>
      </c>
      <c r="B8448" t="n">
        <v>7.88</v>
      </c>
      <c r="C8448" t="n">
        <v>6.23</v>
      </c>
    </row>
    <row r="8449">
      <c r="A8449" s="28" t="n">
        <v>31553</v>
      </c>
      <c r="B8449" t="n">
        <v>7.9</v>
      </c>
      <c r="C8449" t="n">
        <v>6.2</v>
      </c>
    </row>
    <row r="8450">
      <c r="A8450" s="28" t="n">
        <v>31554</v>
      </c>
      <c r="B8450" t="n">
        <v>7.88</v>
      </c>
      <c r="C8450" t="n">
        <v>6.2</v>
      </c>
    </row>
    <row r="8451">
      <c r="A8451" s="28" t="n">
        <v>31555</v>
      </c>
      <c r="B8451" t="n">
        <v>7.84</v>
      </c>
      <c r="C8451" t="n">
        <v>6.18</v>
      </c>
    </row>
    <row r="8452">
      <c r="A8452" s="28" t="n">
        <v>31558</v>
      </c>
      <c r="B8452" t="n">
        <v>0</v>
      </c>
      <c r="C8452" t="n">
        <v>0</v>
      </c>
    </row>
    <row r="8453">
      <c r="A8453" s="28" t="n">
        <v>31559</v>
      </c>
      <c r="B8453" t="n">
        <v>7.73</v>
      </c>
      <c r="C8453" t="n">
        <v>6.16</v>
      </c>
    </row>
    <row r="8454">
      <c r="A8454" s="28" t="n">
        <v>31560</v>
      </c>
      <c r="B8454" t="n">
        <v>7.73</v>
      </c>
      <c r="C8454" t="n">
        <v>6.19</v>
      </c>
    </row>
    <row r="8455">
      <c r="A8455" s="28" t="n">
        <v>31561</v>
      </c>
      <c r="B8455" t="n">
        <v>7.99</v>
      </c>
      <c r="C8455" t="n">
        <v>6.3</v>
      </c>
    </row>
    <row r="8456">
      <c r="A8456" s="28" t="n">
        <v>31562</v>
      </c>
      <c r="B8456" t="n">
        <v>8.050000000000001</v>
      </c>
      <c r="C8456" t="n">
        <v>6.3</v>
      </c>
    </row>
    <row r="8457">
      <c r="A8457" s="28" t="n">
        <v>31565</v>
      </c>
      <c r="B8457" t="n">
        <v>8.32</v>
      </c>
      <c r="C8457" t="n">
        <v>6.36</v>
      </c>
    </row>
    <row r="8458">
      <c r="A8458" s="28" t="n">
        <v>31566</v>
      </c>
      <c r="B8458" t="n">
        <v>8.19</v>
      </c>
      <c r="C8458" t="n">
        <v>6.41</v>
      </c>
    </row>
    <row r="8459">
      <c r="A8459" s="28" t="n">
        <v>31567</v>
      </c>
      <c r="B8459" t="n">
        <v>8.390000000000001</v>
      </c>
      <c r="C8459" t="n">
        <v>6.52</v>
      </c>
    </row>
    <row r="8460">
      <c r="A8460" s="28" t="n">
        <v>31568</v>
      </c>
      <c r="B8460" t="n">
        <v>8.31</v>
      </c>
      <c r="C8460" t="n">
        <v>6.51</v>
      </c>
    </row>
    <row r="8461">
      <c r="A8461" s="28" t="n">
        <v>31569</v>
      </c>
      <c r="B8461" t="n">
        <v>7.95</v>
      </c>
      <c r="C8461" t="n">
        <v>6.32</v>
      </c>
    </row>
    <row r="8462">
      <c r="A8462" s="28" t="n">
        <v>31572</v>
      </c>
      <c r="B8462" t="n">
        <v>8.130000000000001</v>
      </c>
      <c r="C8462" t="n">
        <v>6.36</v>
      </c>
    </row>
    <row r="8463">
      <c r="A8463" s="28" t="n">
        <v>31573</v>
      </c>
      <c r="B8463" t="n">
        <v>8.07</v>
      </c>
      <c r="C8463" t="n">
        <v>6.28</v>
      </c>
    </row>
    <row r="8464">
      <c r="A8464" s="28" t="n">
        <v>31574</v>
      </c>
      <c r="B8464" t="n">
        <v>8.01</v>
      </c>
      <c r="C8464" t="n">
        <v>6.34</v>
      </c>
    </row>
    <row r="8465">
      <c r="A8465" s="28" t="n">
        <v>31575</v>
      </c>
      <c r="B8465" t="n">
        <v>7.98</v>
      </c>
      <c r="C8465" t="n">
        <v>6.28</v>
      </c>
    </row>
    <row r="8466">
      <c r="A8466" s="28" t="n">
        <v>31576</v>
      </c>
      <c r="B8466" t="n">
        <v>7.73</v>
      </c>
      <c r="C8466" t="n">
        <v>6.17</v>
      </c>
    </row>
    <row r="8467">
      <c r="A8467" s="28" t="n">
        <v>31579</v>
      </c>
      <c r="B8467" t="n">
        <v>7.63</v>
      </c>
      <c r="C8467" t="n">
        <v>6.12</v>
      </c>
    </row>
    <row r="8468">
      <c r="A8468" s="28" t="n">
        <v>31580</v>
      </c>
      <c r="B8468" t="n">
        <v>7.63</v>
      </c>
      <c r="C8468" t="n">
        <v>6.09</v>
      </c>
    </row>
    <row r="8469">
      <c r="A8469" s="28" t="n">
        <v>31581</v>
      </c>
      <c r="B8469" t="n">
        <v>7.57</v>
      </c>
      <c r="C8469" t="n">
        <v>6.09</v>
      </c>
    </row>
    <row r="8470">
      <c r="A8470" s="28" t="n">
        <v>31582</v>
      </c>
      <c r="B8470" t="n">
        <v>7.69</v>
      </c>
      <c r="C8470" t="n">
        <v>6.11</v>
      </c>
    </row>
    <row r="8471">
      <c r="A8471" s="28" t="n">
        <v>31583</v>
      </c>
      <c r="B8471" t="n">
        <v>7.6</v>
      </c>
      <c r="C8471" t="n">
        <v>6.1</v>
      </c>
    </row>
    <row r="8472">
      <c r="A8472" s="28" t="n">
        <v>31586</v>
      </c>
      <c r="B8472" t="n">
        <v>7.55</v>
      </c>
      <c r="C8472" t="n">
        <v>6.11</v>
      </c>
    </row>
    <row r="8473">
      <c r="A8473" s="28" t="n">
        <v>31587</v>
      </c>
      <c r="B8473" t="n">
        <v>7.47</v>
      </c>
      <c r="C8473" t="n">
        <v>6.08</v>
      </c>
    </row>
    <row r="8474">
      <c r="A8474" s="28" t="n">
        <v>31588</v>
      </c>
      <c r="B8474" t="n">
        <v>7.42</v>
      </c>
      <c r="C8474" t="n">
        <v>6.08</v>
      </c>
    </row>
    <row r="8475">
      <c r="A8475" s="28" t="n">
        <v>31589</v>
      </c>
      <c r="B8475" t="n">
        <v>7.42</v>
      </c>
      <c r="C8475" t="n">
        <v>6.08</v>
      </c>
    </row>
    <row r="8476">
      <c r="A8476" s="28" t="n">
        <v>31590</v>
      </c>
      <c r="B8476" t="n">
        <v>7.38</v>
      </c>
      <c r="C8476" t="n">
        <v>6.02</v>
      </c>
    </row>
    <row r="8477">
      <c r="A8477" s="28" t="n">
        <v>31593</v>
      </c>
      <c r="B8477" t="n">
        <v>7.35</v>
      </c>
      <c r="C8477" t="n">
        <v>5.96</v>
      </c>
    </row>
    <row r="8478">
      <c r="A8478" s="28" t="n">
        <v>31594</v>
      </c>
      <c r="B8478" t="n">
        <v>7.37</v>
      </c>
      <c r="C8478" t="n">
        <v>5.99</v>
      </c>
    </row>
    <row r="8479">
      <c r="A8479" s="28" t="n">
        <v>31595</v>
      </c>
      <c r="B8479" t="n">
        <v>7.37</v>
      </c>
      <c r="C8479" t="n">
        <v>6</v>
      </c>
    </row>
    <row r="8480">
      <c r="A8480" s="28" t="n">
        <v>31596</v>
      </c>
      <c r="B8480" t="n">
        <v>7.31</v>
      </c>
      <c r="C8480" t="n">
        <v>5.91</v>
      </c>
    </row>
    <row r="8481">
      <c r="A8481" s="28" t="n">
        <v>31597</v>
      </c>
      <c r="B8481" t="n">
        <v>0</v>
      </c>
      <c r="C8481" t="n">
        <v>0</v>
      </c>
    </row>
    <row r="8482">
      <c r="A8482" s="28" t="n">
        <v>31600</v>
      </c>
      <c r="B8482" t="n">
        <v>7.31</v>
      </c>
      <c r="C8482" t="n">
        <v>5.87</v>
      </c>
    </row>
    <row r="8483">
      <c r="A8483" s="28" t="n">
        <v>31601</v>
      </c>
      <c r="B8483" t="n">
        <v>7.44</v>
      </c>
      <c r="C8483" t="n">
        <v>5.94</v>
      </c>
    </row>
    <row r="8484">
      <c r="A8484" s="28" t="n">
        <v>31602</v>
      </c>
      <c r="B8484" t="n">
        <v>7.31</v>
      </c>
      <c r="C8484" t="n">
        <v>5.88</v>
      </c>
    </row>
    <row r="8485">
      <c r="A8485" s="28" t="n">
        <v>31603</v>
      </c>
      <c r="B8485" t="n">
        <v>7.31</v>
      </c>
      <c r="C8485" t="n">
        <v>5.85</v>
      </c>
    </row>
    <row r="8486">
      <c r="A8486" s="28" t="n">
        <v>31604</v>
      </c>
      <c r="B8486" t="n">
        <v>7.3</v>
      </c>
      <c r="C8486" t="n">
        <v>5.75</v>
      </c>
    </row>
    <row r="8487">
      <c r="A8487" s="28" t="n">
        <v>31607</v>
      </c>
      <c r="B8487" t="n">
        <v>7.25</v>
      </c>
      <c r="C8487" t="n">
        <v>5.77</v>
      </c>
    </row>
    <row r="8488">
      <c r="A8488" s="28" t="n">
        <v>31608</v>
      </c>
      <c r="B8488" t="n">
        <v>7.16</v>
      </c>
      <c r="C8488" t="n">
        <v>5.77</v>
      </c>
    </row>
    <row r="8489">
      <c r="A8489" s="28" t="n">
        <v>31609</v>
      </c>
      <c r="B8489" t="n">
        <v>7.2</v>
      </c>
      <c r="C8489" t="n">
        <v>5.77</v>
      </c>
    </row>
    <row r="8490">
      <c r="A8490" s="28" t="n">
        <v>31610</v>
      </c>
      <c r="B8490" t="n">
        <v>7.18</v>
      </c>
      <c r="C8490" t="n">
        <v>5.75</v>
      </c>
    </row>
    <row r="8491">
      <c r="A8491" s="28" t="n">
        <v>31611</v>
      </c>
      <c r="B8491" t="n">
        <v>7.16</v>
      </c>
      <c r="C8491" t="n">
        <v>5.71</v>
      </c>
    </row>
    <row r="8492">
      <c r="A8492" s="28" t="n">
        <v>31614</v>
      </c>
      <c r="B8492" t="n">
        <v>7.14</v>
      </c>
      <c r="C8492" t="n">
        <v>5.72</v>
      </c>
    </row>
    <row r="8493">
      <c r="A8493" s="28" t="n">
        <v>31615</v>
      </c>
      <c r="B8493" t="n">
        <v>7.2</v>
      </c>
      <c r="C8493" t="n">
        <v>5.73</v>
      </c>
    </row>
    <row r="8494">
      <c r="A8494" s="28" t="n">
        <v>31616</v>
      </c>
      <c r="B8494" t="n">
        <v>7.29</v>
      </c>
      <c r="C8494" t="n">
        <v>5.81</v>
      </c>
    </row>
    <row r="8495">
      <c r="A8495" s="28" t="n">
        <v>31617</v>
      </c>
      <c r="B8495" t="n">
        <v>7.35</v>
      </c>
      <c r="C8495" t="n">
        <v>5.81</v>
      </c>
    </row>
    <row r="8496">
      <c r="A8496" s="28" t="n">
        <v>31618</v>
      </c>
      <c r="B8496" t="n">
        <v>7.33</v>
      </c>
      <c r="C8496" t="n">
        <v>5.81</v>
      </c>
    </row>
    <row r="8497">
      <c r="A8497" s="28" t="n">
        <v>31621</v>
      </c>
      <c r="B8497" t="n">
        <v>7.53</v>
      </c>
      <c r="C8497" t="n">
        <v>5.89</v>
      </c>
    </row>
    <row r="8498">
      <c r="A8498" s="28" t="n">
        <v>31622</v>
      </c>
      <c r="B8498" t="n">
        <v>7.41</v>
      </c>
      <c r="C8498" t="n">
        <v>5.86</v>
      </c>
    </row>
    <row r="8499">
      <c r="A8499" s="28" t="n">
        <v>31623</v>
      </c>
      <c r="B8499" t="n">
        <v>7.41</v>
      </c>
      <c r="C8499" t="n">
        <v>5.85</v>
      </c>
    </row>
    <row r="8500">
      <c r="A8500" s="28" t="n">
        <v>31624</v>
      </c>
      <c r="B8500" t="n">
        <v>7.34</v>
      </c>
      <c r="C8500" t="n">
        <v>5.79</v>
      </c>
    </row>
    <row r="8501">
      <c r="A8501" s="28" t="n">
        <v>31625</v>
      </c>
      <c r="B8501" t="n">
        <v>7.34</v>
      </c>
      <c r="C8501" t="n">
        <v>5.77</v>
      </c>
    </row>
    <row r="8502">
      <c r="A8502" s="28" t="n">
        <v>31628</v>
      </c>
      <c r="B8502" t="n">
        <v>7.33</v>
      </c>
      <c r="C8502" t="n">
        <v>5.71</v>
      </c>
    </row>
    <row r="8503">
      <c r="A8503" s="28" t="n">
        <v>31629</v>
      </c>
      <c r="B8503" t="n">
        <v>7.39</v>
      </c>
      <c r="C8503" t="n">
        <v>5.71</v>
      </c>
    </row>
    <row r="8504">
      <c r="A8504" s="28" t="n">
        <v>31630</v>
      </c>
      <c r="B8504" t="n">
        <v>7.47</v>
      </c>
      <c r="C8504" t="n">
        <v>5.72</v>
      </c>
    </row>
    <row r="8505">
      <c r="A8505" s="28" t="n">
        <v>31631</v>
      </c>
      <c r="B8505" t="n">
        <v>7.45</v>
      </c>
      <c r="C8505" t="n">
        <v>5.72</v>
      </c>
    </row>
    <row r="8506">
      <c r="A8506" s="28" t="n">
        <v>31632</v>
      </c>
      <c r="B8506" t="n">
        <v>7.3</v>
      </c>
      <c r="C8506" t="n">
        <v>5.7</v>
      </c>
    </row>
    <row r="8507">
      <c r="A8507" s="28" t="n">
        <v>31635</v>
      </c>
      <c r="B8507" t="n">
        <v>7.25</v>
      </c>
      <c r="C8507" t="n">
        <v>5.67</v>
      </c>
    </row>
    <row r="8508">
      <c r="A8508" s="28" t="n">
        <v>31636</v>
      </c>
      <c r="B8508" t="n">
        <v>7.23</v>
      </c>
      <c r="C8508" t="n">
        <v>5.61</v>
      </c>
    </row>
    <row r="8509">
      <c r="A8509" s="28" t="n">
        <v>31637</v>
      </c>
      <c r="B8509" t="n">
        <v>7.15</v>
      </c>
      <c r="C8509" t="n">
        <v>5.57</v>
      </c>
    </row>
    <row r="8510">
      <c r="A8510" s="28" t="n">
        <v>31638</v>
      </c>
      <c r="B8510" t="n">
        <v>7.16</v>
      </c>
      <c r="C8510" t="n">
        <v>5.59</v>
      </c>
    </row>
    <row r="8511">
      <c r="A8511" s="28" t="n">
        <v>31639</v>
      </c>
      <c r="B8511" t="n">
        <v>7.14</v>
      </c>
      <c r="C8511" t="n">
        <v>5.56</v>
      </c>
    </row>
    <row r="8512">
      <c r="A8512" s="28" t="n">
        <v>31642</v>
      </c>
      <c r="B8512" t="n">
        <v>7.14</v>
      </c>
      <c r="C8512" t="n">
        <v>5.61</v>
      </c>
    </row>
    <row r="8513">
      <c r="A8513" s="28" t="n">
        <v>31643</v>
      </c>
      <c r="B8513" t="n">
        <v>7.02</v>
      </c>
      <c r="C8513" t="n">
        <v>5.56</v>
      </c>
    </row>
    <row r="8514">
      <c r="A8514" s="28" t="n">
        <v>31644</v>
      </c>
      <c r="B8514" t="n">
        <v>7</v>
      </c>
      <c r="C8514" t="n">
        <v>5.5</v>
      </c>
    </row>
    <row r="8515">
      <c r="A8515" s="28" t="n">
        <v>31645</v>
      </c>
      <c r="B8515" t="n">
        <v>6.96</v>
      </c>
      <c r="C8515" t="n">
        <v>5.37</v>
      </c>
    </row>
    <row r="8516">
      <c r="A8516" s="28" t="n">
        <v>31646</v>
      </c>
      <c r="B8516" t="n">
        <v>7.07</v>
      </c>
      <c r="C8516" t="n">
        <v>5.36</v>
      </c>
    </row>
    <row r="8517">
      <c r="A8517" s="28" t="n">
        <v>31649</v>
      </c>
      <c r="B8517" t="n">
        <v>7.06</v>
      </c>
      <c r="C8517" t="n">
        <v>5.27</v>
      </c>
    </row>
    <row r="8518">
      <c r="A8518" s="28" t="n">
        <v>31650</v>
      </c>
      <c r="B8518" t="n">
        <v>6.97</v>
      </c>
      <c r="C8518" t="n">
        <v>5.29</v>
      </c>
    </row>
    <row r="8519">
      <c r="A8519" s="28" t="n">
        <v>31651</v>
      </c>
      <c r="B8519" t="n">
        <v>7.06</v>
      </c>
      <c r="C8519" t="n">
        <v>5.32</v>
      </c>
    </row>
    <row r="8520">
      <c r="A8520" s="28" t="n">
        <v>31652</v>
      </c>
      <c r="B8520" t="n">
        <v>7.04</v>
      </c>
      <c r="C8520" t="n">
        <v>5.29</v>
      </c>
    </row>
    <row r="8521">
      <c r="A8521" s="28" t="n">
        <v>31653</v>
      </c>
      <c r="B8521" t="n">
        <v>6.95</v>
      </c>
      <c r="C8521" t="n">
        <v>5.17</v>
      </c>
    </row>
    <row r="8522">
      <c r="A8522" s="28" t="n">
        <v>31656</v>
      </c>
      <c r="B8522" t="n">
        <v>0</v>
      </c>
      <c r="C8522" t="n">
        <v>0</v>
      </c>
    </row>
    <row r="8523">
      <c r="A8523" s="28" t="n">
        <v>31657</v>
      </c>
      <c r="B8523" t="n">
        <v>7.03</v>
      </c>
      <c r="C8523" t="n">
        <v>5.19</v>
      </c>
    </row>
    <row r="8524">
      <c r="A8524" s="28" t="n">
        <v>31658</v>
      </c>
      <c r="B8524" t="n">
        <v>7.2</v>
      </c>
      <c r="C8524" t="n">
        <v>5.24</v>
      </c>
    </row>
    <row r="8525">
      <c r="A8525" s="28" t="n">
        <v>31659</v>
      </c>
      <c r="B8525" t="n">
        <v>7.15</v>
      </c>
      <c r="C8525" t="n">
        <v>5.19</v>
      </c>
    </row>
    <row r="8526">
      <c r="A8526" s="28" t="n">
        <v>31660</v>
      </c>
      <c r="B8526" t="n">
        <v>7.32</v>
      </c>
      <c r="C8526" t="n">
        <v>5.23</v>
      </c>
    </row>
    <row r="8527">
      <c r="A8527" s="28" t="n">
        <v>31663</v>
      </c>
      <c r="B8527" t="n">
        <v>7.38</v>
      </c>
      <c r="C8527" t="n">
        <v>5.24</v>
      </c>
    </row>
    <row r="8528">
      <c r="A8528" s="28" t="n">
        <v>31664</v>
      </c>
      <c r="B8528" t="n">
        <v>7.35</v>
      </c>
      <c r="C8528" t="n">
        <v>5.2</v>
      </c>
    </row>
    <row r="8529">
      <c r="A8529" s="28" t="n">
        <v>31665</v>
      </c>
      <c r="B8529" t="n">
        <v>7.35</v>
      </c>
      <c r="C8529" t="n">
        <v>5.16</v>
      </c>
    </row>
    <row r="8530">
      <c r="A8530" s="28" t="n">
        <v>31666</v>
      </c>
      <c r="B8530" t="n">
        <v>7.57</v>
      </c>
      <c r="C8530" t="n">
        <v>5.21</v>
      </c>
    </row>
    <row r="8531">
      <c r="A8531" s="28" t="n">
        <v>31667</v>
      </c>
      <c r="B8531" t="n">
        <v>7.63</v>
      </c>
      <c r="C8531" t="n">
        <v>5.17</v>
      </c>
    </row>
    <row r="8532">
      <c r="A8532" s="28" t="n">
        <v>31670</v>
      </c>
      <c r="B8532" t="n">
        <v>7.53</v>
      </c>
      <c r="C8532" t="n">
        <v>5.17</v>
      </c>
    </row>
    <row r="8533">
      <c r="A8533" s="28" t="n">
        <v>31671</v>
      </c>
      <c r="B8533" t="n">
        <v>7.53</v>
      </c>
      <c r="C8533" t="n">
        <v>5.13</v>
      </c>
    </row>
    <row r="8534">
      <c r="A8534" s="28" t="n">
        <v>31672</v>
      </c>
      <c r="B8534" t="n">
        <v>7.46</v>
      </c>
      <c r="C8534" t="n">
        <v>5.12</v>
      </c>
    </row>
    <row r="8535">
      <c r="A8535" s="28" t="n">
        <v>31673</v>
      </c>
      <c r="B8535" t="n">
        <v>7.62</v>
      </c>
      <c r="C8535" t="n">
        <v>5.23</v>
      </c>
    </row>
    <row r="8536">
      <c r="A8536" s="28" t="n">
        <v>31674</v>
      </c>
      <c r="B8536" t="n">
        <v>7.67</v>
      </c>
      <c r="C8536" t="n">
        <v>5.25</v>
      </c>
    </row>
    <row r="8537">
      <c r="A8537" s="28" t="n">
        <v>31677</v>
      </c>
      <c r="B8537" t="n">
        <v>7.62</v>
      </c>
      <c r="C8537" t="n">
        <v>5.25</v>
      </c>
    </row>
    <row r="8538">
      <c r="A8538" s="28" t="n">
        <v>31678</v>
      </c>
      <c r="B8538" t="n">
        <v>7.58</v>
      </c>
      <c r="C8538" t="n">
        <v>5.25</v>
      </c>
    </row>
    <row r="8539">
      <c r="A8539" s="28" t="n">
        <v>31679</v>
      </c>
      <c r="B8539" t="n">
        <v>7.48</v>
      </c>
      <c r="C8539" t="n">
        <v>5.24</v>
      </c>
    </row>
    <row r="8540">
      <c r="A8540" s="28" t="n">
        <v>31680</v>
      </c>
      <c r="B8540" t="n">
        <v>7.47</v>
      </c>
      <c r="C8540" t="n">
        <v>5.23</v>
      </c>
    </row>
    <row r="8541">
      <c r="A8541" s="28" t="n">
        <v>31681</v>
      </c>
      <c r="B8541" t="n">
        <v>7.47</v>
      </c>
      <c r="C8541" t="n">
        <v>5.24</v>
      </c>
    </row>
    <row r="8542">
      <c r="A8542" s="28" t="n">
        <v>31684</v>
      </c>
      <c r="B8542" t="n">
        <v>7.54</v>
      </c>
      <c r="C8542" t="n">
        <v>5.26</v>
      </c>
    </row>
    <row r="8543">
      <c r="A8543" s="28" t="n">
        <v>31685</v>
      </c>
      <c r="B8543" t="n">
        <v>7.45</v>
      </c>
      <c r="C8543" t="n">
        <v>5.2</v>
      </c>
    </row>
    <row r="8544">
      <c r="A8544" s="28" t="n">
        <v>31686</v>
      </c>
      <c r="B8544" t="n">
        <v>7.41</v>
      </c>
      <c r="C8544" t="n">
        <v>5.19</v>
      </c>
    </row>
    <row r="8545">
      <c r="A8545" s="28" t="n">
        <v>31687</v>
      </c>
      <c r="B8545" t="n">
        <v>7.45</v>
      </c>
      <c r="C8545" t="n">
        <v>5.19</v>
      </c>
    </row>
    <row r="8546">
      <c r="A8546" s="28" t="n">
        <v>31688</v>
      </c>
      <c r="B8546" t="n">
        <v>7.31</v>
      </c>
      <c r="C8546" t="n">
        <v>5.09</v>
      </c>
    </row>
    <row r="8547">
      <c r="A8547" s="28" t="n">
        <v>31691</v>
      </c>
      <c r="B8547" t="n">
        <v>7.28</v>
      </c>
      <c r="C8547" t="n">
        <v>5.05</v>
      </c>
    </row>
    <row r="8548">
      <c r="A8548" s="28" t="n">
        <v>31692</v>
      </c>
      <c r="B8548" t="n">
        <v>7.28</v>
      </c>
      <c r="C8548" t="n">
        <v>5.06</v>
      </c>
    </row>
    <row r="8549">
      <c r="A8549" s="28" t="n">
        <v>31693</v>
      </c>
      <c r="B8549" t="n">
        <v>7.31</v>
      </c>
      <c r="C8549" t="n">
        <v>5.04</v>
      </c>
    </row>
    <row r="8550">
      <c r="A8550" s="28" t="n">
        <v>31694</v>
      </c>
      <c r="B8550" t="n">
        <v>7.33</v>
      </c>
      <c r="C8550" t="n">
        <v>5.06</v>
      </c>
    </row>
    <row r="8551">
      <c r="A8551" s="28" t="n">
        <v>31695</v>
      </c>
      <c r="B8551" t="n">
        <v>7.36</v>
      </c>
      <c r="C8551" t="n">
        <v>5.06</v>
      </c>
    </row>
    <row r="8552">
      <c r="A8552" s="28" t="n">
        <v>31698</v>
      </c>
      <c r="B8552" t="n">
        <v>0</v>
      </c>
      <c r="C8552" t="n">
        <v>0</v>
      </c>
    </row>
    <row r="8553">
      <c r="A8553" s="28" t="n">
        <v>31699</v>
      </c>
      <c r="B8553" t="n">
        <v>7.49</v>
      </c>
      <c r="C8553" t="n">
        <v>5.14</v>
      </c>
    </row>
    <row r="8554">
      <c r="A8554" s="28" t="n">
        <v>31700</v>
      </c>
      <c r="B8554" t="n">
        <v>7.51</v>
      </c>
      <c r="C8554" t="n">
        <v>5.18</v>
      </c>
    </row>
    <row r="8555">
      <c r="A8555" s="28" t="n">
        <v>31701</v>
      </c>
      <c r="B8555" t="n">
        <v>7.53</v>
      </c>
      <c r="C8555" t="n">
        <v>5.2</v>
      </c>
    </row>
    <row r="8556">
      <c r="A8556" s="28" t="n">
        <v>31702</v>
      </c>
      <c r="B8556" t="n">
        <v>7.57</v>
      </c>
      <c r="C8556" t="n">
        <v>5.27</v>
      </c>
    </row>
    <row r="8557">
      <c r="A8557" s="28" t="n">
        <v>31705</v>
      </c>
      <c r="B8557" t="n">
        <v>7.66</v>
      </c>
      <c r="C8557" t="n">
        <v>5.31</v>
      </c>
    </row>
    <row r="8558">
      <c r="A8558" s="28" t="n">
        <v>31706</v>
      </c>
      <c r="B8558" t="n">
        <v>7.57</v>
      </c>
      <c r="C8558" t="n">
        <v>5.31</v>
      </c>
    </row>
    <row r="8559">
      <c r="A8559" s="28" t="n">
        <v>31707</v>
      </c>
      <c r="B8559" t="n">
        <v>7.49</v>
      </c>
      <c r="C8559" t="n">
        <v>5.3</v>
      </c>
    </row>
    <row r="8560">
      <c r="A8560" s="28" t="n">
        <v>31708</v>
      </c>
      <c r="B8560" t="n">
        <v>7.43</v>
      </c>
      <c r="C8560" t="n">
        <v>5.26</v>
      </c>
    </row>
    <row r="8561">
      <c r="A8561" s="28" t="n">
        <v>31709</v>
      </c>
      <c r="B8561" t="n">
        <v>7.47</v>
      </c>
      <c r="C8561" t="n">
        <v>5.27</v>
      </c>
    </row>
    <row r="8562">
      <c r="A8562" s="28" t="n">
        <v>31712</v>
      </c>
      <c r="B8562" t="n">
        <v>7.42</v>
      </c>
      <c r="C8562" t="n">
        <v>5.19</v>
      </c>
    </row>
    <row r="8563">
      <c r="A8563" s="28" t="n">
        <v>31713</v>
      </c>
      <c r="B8563" t="n">
        <v>7.45</v>
      </c>
      <c r="C8563" t="n">
        <v>5.2</v>
      </c>
    </row>
    <row r="8564">
      <c r="A8564" s="28" t="n">
        <v>31714</v>
      </c>
      <c r="B8564" t="n">
        <v>7.41</v>
      </c>
      <c r="C8564" t="n">
        <v>5.2</v>
      </c>
    </row>
    <row r="8565">
      <c r="A8565" s="28" t="n">
        <v>31715</v>
      </c>
      <c r="B8565" t="n">
        <v>7.31</v>
      </c>
      <c r="C8565" t="n">
        <v>5.18</v>
      </c>
    </row>
    <row r="8566">
      <c r="A8566" s="28" t="n">
        <v>31716</v>
      </c>
      <c r="B8566" t="n">
        <v>7.34</v>
      </c>
      <c r="C8566" t="n">
        <v>5.2</v>
      </c>
    </row>
    <row r="8567">
      <c r="A8567" s="28" t="n">
        <v>31719</v>
      </c>
      <c r="B8567" t="n">
        <v>7.29</v>
      </c>
      <c r="C8567" t="n">
        <v>5.21</v>
      </c>
    </row>
    <row r="8568">
      <c r="A8568" s="28" t="n">
        <v>31720</v>
      </c>
      <c r="B8568" t="n">
        <v>7.31</v>
      </c>
      <c r="C8568" t="n">
        <v>5.25</v>
      </c>
    </row>
    <row r="8569">
      <c r="A8569" s="28" t="n">
        <v>31721</v>
      </c>
      <c r="B8569" t="n">
        <v>7.24</v>
      </c>
      <c r="C8569" t="n">
        <v>5.26</v>
      </c>
    </row>
    <row r="8570">
      <c r="A8570" s="28" t="n">
        <v>31722</v>
      </c>
      <c r="B8570" t="n">
        <v>7.32</v>
      </c>
      <c r="C8570" t="n">
        <v>5.26</v>
      </c>
    </row>
    <row r="8571">
      <c r="A8571" s="28" t="n">
        <v>31723</v>
      </c>
      <c r="B8571" t="n">
        <v>7.4</v>
      </c>
      <c r="C8571" t="n">
        <v>5.32</v>
      </c>
    </row>
    <row r="8572">
      <c r="A8572" s="28" t="n">
        <v>31726</v>
      </c>
      <c r="B8572" t="n">
        <v>7.38</v>
      </c>
      <c r="C8572" t="n">
        <v>5.42</v>
      </c>
    </row>
    <row r="8573">
      <c r="A8573" s="28" t="n">
        <v>31727</v>
      </c>
      <c r="B8573" t="n">
        <v>0</v>
      </c>
      <c r="C8573" t="n">
        <v>0</v>
      </c>
    </row>
    <row r="8574">
      <c r="A8574" s="28" t="n">
        <v>31728</v>
      </c>
      <c r="B8574" t="n">
        <v>7.35</v>
      </c>
      <c r="C8574" t="n">
        <v>5.4</v>
      </c>
    </row>
    <row r="8575">
      <c r="A8575" s="28" t="n">
        <v>31729</v>
      </c>
      <c r="B8575" t="n">
        <v>7.33</v>
      </c>
      <c r="C8575" t="n">
        <v>5.4</v>
      </c>
    </row>
    <row r="8576">
      <c r="A8576" s="28" t="n">
        <v>31730</v>
      </c>
      <c r="B8576" t="n">
        <v>7.29</v>
      </c>
      <c r="C8576" t="n">
        <v>5.4</v>
      </c>
    </row>
    <row r="8577">
      <c r="A8577" s="28" t="n">
        <v>31733</v>
      </c>
      <c r="B8577" t="n">
        <v>7.22</v>
      </c>
      <c r="C8577" t="n">
        <v>5.4</v>
      </c>
    </row>
    <row r="8578">
      <c r="A8578" s="28" t="n">
        <v>31734</v>
      </c>
      <c r="B8578" t="n">
        <v>7.27</v>
      </c>
      <c r="C8578" t="n">
        <v>5.35</v>
      </c>
    </row>
    <row r="8579">
      <c r="A8579" s="28" t="n">
        <v>31735</v>
      </c>
      <c r="B8579" t="n">
        <v>7.19</v>
      </c>
      <c r="C8579" t="n">
        <v>5.33</v>
      </c>
    </row>
    <row r="8580">
      <c r="A8580" s="28" t="n">
        <v>31736</v>
      </c>
      <c r="B8580" t="n">
        <v>7.19</v>
      </c>
      <c r="C8580" t="n">
        <v>5.38</v>
      </c>
    </row>
    <row r="8581">
      <c r="A8581" s="28" t="n">
        <v>31737</v>
      </c>
      <c r="B8581" t="n">
        <v>7.17</v>
      </c>
      <c r="C8581" t="n">
        <v>5.36</v>
      </c>
    </row>
    <row r="8582">
      <c r="A8582" s="28" t="n">
        <v>31740</v>
      </c>
      <c r="B8582" t="n">
        <v>7.11</v>
      </c>
      <c r="C8582" t="n">
        <v>5.38</v>
      </c>
    </row>
    <row r="8583">
      <c r="A8583" s="28" t="n">
        <v>31741</v>
      </c>
      <c r="B8583" t="n">
        <v>7.15</v>
      </c>
      <c r="C8583" t="n">
        <v>5.39</v>
      </c>
    </row>
    <row r="8584">
      <c r="A8584" s="28" t="n">
        <v>31742</v>
      </c>
      <c r="B8584" t="n">
        <v>7.15</v>
      </c>
      <c r="C8584" t="n">
        <v>5.39</v>
      </c>
    </row>
    <row r="8585">
      <c r="A8585" s="28" t="n">
        <v>31743</v>
      </c>
      <c r="B8585" t="n">
        <v>0</v>
      </c>
      <c r="C8585" t="n">
        <v>0</v>
      </c>
    </row>
    <row r="8586">
      <c r="A8586" s="28" t="n">
        <v>31744</v>
      </c>
      <c r="B8586" t="n">
        <v>7.15</v>
      </c>
      <c r="C8586" t="n">
        <v>5.39</v>
      </c>
    </row>
    <row r="8587">
      <c r="A8587" s="28" t="n">
        <v>31747</v>
      </c>
      <c r="B8587" t="n">
        <v>7.18</v>
      </c>
      <c r="C8587" t="n">
        <v>5.42</v>
      </c>
    </row>
    <row r="8588">
      <c r="A8588" s="28" t="n">
        <v>31748</v>
      </c>
      <c r="B8588" t="n">
        <v>7.08</v>
      </c>
      <c r="C8588" t="n">
        <v>5.41</v>
      </c>
    </row>
    <row r="8589">
      <c r="A8589" s="28" t="n">
        <v>31749</v>
      </c>
      <c r="B8589" t="n">
        <v>7.06</v>
      </c>
      <c r="C8589" t="n">
        <v>5.41</v>
      </c>
    </row>
    <row r="8590">
      <c r="A8590" s="28" t="n">
        <v>31750</v>
      </c>
      <c r="B8590" t="n">
        <v>7.01</v>
      </c>
      <c r="C8590" t="n">
        <v>5.4</v>
      </c>
    </row>
    <row r="8591">
      <c r="A8591" s="28" t="n">
        <v>31751</v>
      </c>
      <c r="B8591" t="n">
        <v>7.12</v>
      </c>
      <c r="C8591" t="n">
        <v>5.44</v>
      </c>
    </row>
    <row r="8592">
      <c r="A8592" s="28" t="n">
        <v>31754</v>
      </c>
      <c r="B8592" t="n">
        <v>7.1</v>
      </c>
      <c r="C8592" t="n">
        <v>5.51</v>
      </c>
    </row>
    <row r="8593">
      <c r="A8593" s="28" t="n">
        <v>31755</v>
      </c>
      <c r="B8593" t="n">
        <v>7.07</v>
      </c>
      <c r="C8593" t="n">
        <v>5.48</v>
      </c>
    </row>
    <row r="8594">
      <c r="A8594" s="28" t="n">
        <v>31756</v>
      </c>
      <c r="B8594" t="n">
        <v>7.05</v>
      </c>
      <c r="C8594" t="n">
        <v>5.49</v>
      </c>
    </row>
    <row r="8595">
      <c r="A8595" s="28" t="n">
        <v>31757</v>
      </c>
      <c r="B8595" t="n">
        <v>7.12</v>
      </c>
      <c r="C8595" t="n">
        <v>5.49</v>
      </c>
    </row>
    <row r="8596">
      <c r="A8596" s="28" t="n">
        <v>31758</v>
      </c>
      <c r="B8596" t="n">
        <v>7.13</v>
      </c>
      <c r="C8596" t="n">
        <v>5.49</v>
      </c>
    </row>
    <row r="8597">
      <c r="A8597" s="28" t="n">
        <v>31761</v>
      </c>
      <c r="B8597" t="n">
        <v>7.15</v>
      </c>
      <c r="C8597" t="n">
        <v>5.5</v>
      </c>
    </row>
    <row r="8598">
      <c r="A8598" s="28" t="n">
        <v>31762</v>
      </c>
      <c r="B8598" t="n">
        <v>7.12</v>
      </c>
      <c r="C8598" t="n">
        <v>5.58</v>
      </c>
    </row>
    <row r="8599">
      <c r="A8599" s="28" t="n">
        <v>31763</v>
      </c>
      <c r="B8599" t="n">
        <v>7.12</v>
      </c>
      <c r="C8599" t="n">
        <v>5.64</v>
      </c>
    </row>
    <row r="8600">
      <c r="A8600" s="28" t="n">
        <v>31764</v>
      </c>
      <c r="B8600" t="n">
        <v>7.11</v>
      </c>
      <c r="C8600" t="n">
        <v>5.6</v>
      </c>
    </row>
    <row r="8601">
      <c r="A8601" s="28" t="n">
        <v>31765</v>
      </c>
      <c r="B8601" t="n">
        <v>7.1</v>
      </c>
      <c r="C8601" t="n">
        <v>5.51</v>
      </c>
    </row>
    <row r="8602">
      <c r="A8602" s="28" t="n">
        <v>31768</v>
      </c>
      <c r="B8602" t="n">
        <v>7.1</v>
      </c>
      <c r="C8602" t="n">
        <v>5.53</v>
      </c>
    </row>
    <row r="8603">
      <c r="A8603" s="28" t="n">
        <v>31769</v>
      </c>
      <c r="B8603" t="n">
        <v>7.08</v>
      </c>
      <c r="C8603" t="n">
        <v>5.55</v>
      </c>
    </row>
    <row r="8604">
      <c r="A8604" s="28" t="n">
        <v>31770</v>
      </c>
      <c r="B8604" t="n">
        <v>7.07</v>
      </c>
      <c r="C8604" t="n">
        <v>5.57</v>
      </c>
    </row>
    <row r="8605">
      <c r="A8605" s="28" t="n">
        <v>31771</v>
      </c>
      <c r="B8605" t="n">
        <v>0</v>
      </c>
      <c r="C8605" t="n">
        <v>0</v>
      </c>
    </row>
    <row r="8606">
      <c r="A8606" s="28" t="n">
        <v>31772</v>
      </c>
      <c r="B8606" t="n">
        <v>7.08</v>
      </c>
      <c r="C8606" t="n">
        <v>5.57</v>
      </c>
    </row>
    <row r="8607">
      <c r="A8607" s="28" t="n">
        <v>31775</v>
      </c>
      <c r="B8607" t="n">
        <v>7.17</v>
      </c>
      <c r="C8607" t="n">
        <v>5.67</v>
      </c>
    </row>
    <row r="8608">
      <c r="A8608" s="28" t="n">
        <v>31776</v>
      </c>
      <c r="B8608" t="n">
        <v>7.23</v>
      </c>
      <c r="C8608" t="n">
        <v>5.69</v>
      </c>
    </row>
    <row r="8609">
      <c r="A8609" s="28" t="n">
        <v>31777</v>
      </c>
      <c r="B8609" t="n">
        <v>7.23</v>
      </c>
      <c r="C8609" t="n">
        <v>5.67</v>
      </c>
    </row>
    <row r="8610">
      <c r="A8610" s="28" t="n">
        <v>31778</v>
      </c>
      <c r="B8610" t="n">
        <v>0</v>
      </c>
      <c r="C8610" t="n">
        <v>0</v>
      </c>
    </row>
    <row r="8611">
      <c r="A8611" s="28" t="n">
        <v>31779</v>
      </c>
      <c r="B8611" t="n">
        <v>7.18</v>
      </c>
      <c r="C8611" t="n">
        <v>5.55</v>
      </c>
    </row>
    <row r="8612">
      <c r="A8612" s="28" t="n">
        <v>31782</v>
      </c>
      <c r="B8612" t="n">
        <v>7.08</v>
      </c>
      <c r="C8612" t="n">
        <v>5.55</v>
      </c>
    </row>
    <row r="8613">
      <c r="A8613" s="28" t="n">
        <v>31783</v>
      </c>
      <c r="B8613" t="n">
        <v>7.08</v>
      </c>
      <c r="C8613" t="n">
        <v>5.51</v>
      </c>
    </row>
    <row r="8614">
      <c r="A8614" s="28" t="n">
        <v>31784</v>
      </c>
      <c r="B8614" t="n">
        <v>7.05</v>
      </c>
      <c r="C8614" t="n">
        <v>5.43</v>
      </c>
    </row>
    <row r="8615">
      <c r="A8615" s="28" t="n">
        <v>31785</v>
      </c>
      <c r="B8615" t="n">
        <v>7.04</v>
      </c>
      <c r="C8615" t="n">
        <v>5.43</v>
      </c>
    </row>
    <row r="8616">
      <c r="A8616" s="28" t="n">
        <v>31786</v>
      </c>
      <c r="B8616" t="n">
        <v>7.01</v>
      </c>
      <c r="C8616" t="n">
        <v>5.38</v>
      </c>
    </row>
    <row r="8617">
      <c r="A8617" s="28" t="n">
        <v>31789</v>
      </c>
      <c r="B8617" t="n">
        <v>7.05</v>
      </c>
      <c r="C8617" t="n">
        <v>5.37</v>
      </c>
    </row>
    <row r="8618">
      <c r="A8618" s="28" t="n">
        <v>31790</v>
      </c>
      <c r="B8618" t="n">
        <v>7.1</v>
      </c>
      <c r="C8618" t="n">
        <v>5.36</v>
      </c>
    </row>
    <row r="8619">
      <c r="A8619" s="28" t="n">
        <v>31791</v>
      </c>
      <c r="B8619" t="n">
        <v>7.11</v>
      </c>
      <c r="C8619" t="n">
        <v>5.35</v>
      </c>
    </row>
    <row r="8620">
      <c r="A8620" s="28" t="n">
        <v>31792</v>
      </c>
      <c r="B8620" t="n">
        <v>7.08</v>
      </c>
      <c r="C8620" t="n">
        <v>5.36</v>
      </c>
    </row>
    <row r="8621">
      <c r="A8621" s="28" t="n">
        <v>31793</v>
      </c>
      <c r="B8621" t="n">
        <v>7.03</v>
      </c>
      <c r="C8621" t="n">
        <v>5.33</v>
      </c>
    </row>
    <row r="8622">
      <c r="A8622" s="28" t="n">
        <v>31796</v>
      </c>
      <c r="B8622" t="n">
        <v>0</v>
      </c>
      <c r="C8622" t="n">
        <v>0</v>
      </c>
    </row>
    <row r="8623">
      <c r="A8623" s="28" t="n">
        <v>31797</v>
      </c>
      <c r="B8623" t="n">
        <v>7.01</v>
      </c>
      <c r="C8623" t="n">
        <v>5.3</v>
      </c>
    </row>
    <row r="8624">
      <c r="A8624" s="28" t="n">
        <v>31798</v>
      </c>
      <c r="B8624" t="n">
        <v>7.01</v>
      </c>
      <c r="C8624" t="n">
        <v>5.31</v>
      </c>
    </row>
    <row r="8625">
      <c r="A8625" s="28" t="n">
        <v>31799</v>
      </c>
      <c r="B8625" t="n">
        <v>7.03</v>
      </c>
      <c r="C8625" t="n">
        <v>5.38</v>
      </c>
    </row>
    <row r="8626">
      <c r="A8626" s="28" t="n">
        <v>31800</v>
      </c>
      <c r="B8626" t="n">
        <v>7.06</v>
      </c>
      <c r="C8626" t="n">
        <v>5.4</v>
      </c>
    </row>
    <row r="8627">
      <c r="A8627" s="28" t="n">
        <v>31803</v>
      </c>
      <c r="B8627" t="n">
        <v>7.17</v>
      </c>
      <c r="C8627" t="n">
        <v>5.49</v>
      </c>
    </row>
    <row r="8628">
      <c r="A8628" s="28" t="n">
        <v>31804</v>
      </c>
      <c r="B8628" t="n">
        <v>7.16</v>
      </c>
      <c r="C8628" t="n">
        <v>5.49</v>
      </c>
    </row>
    <row r="8629">
      <c r="A8629" s="28" t="n">
        <v>31805</v>
      </c>
      <c r="B8629" t="n">
        <v>7.13</v>
      </c>
      <c r="C8629" t="n">
        <v>5.47</v>
      </c>
    </row>
    <row r="8630">
      <c r="A8630" s="28" t="n">
        <v>31806</v>
      </c>
      <c r="B8630" t="n">
        <v>7.13</v>
      </c>
      <c r="C8630" t="n">
        <v>5.48</v>
      </c>
    </row>
    <row r="8631">
      <c r="A8631" s="28" t="n">
        <v>31807</v>
      </c>
      <c r="B8631" t="n">
        <v>7.18</v>
      </c>
      <c r="C8631" t="n">
        <v>5.6</v>
      </c>
    </row>
    <row r="8632">
      <c r="A8632" s="28" t="n">
        <v>31810</v>
      </c>
      <c r="B8632" t="n">
        <v>7.23</v>
      </c>
      <c r="C8632" t="n">
        <v>5.61</v>
      </c>
    </row>
    <row r="8633">
      <c r="A8633" s="28" t="n">
        <v>31811</v>
      </c>
      <c r="B8633" t="n">
        <v>7.25</v>
      </c>
      <c r="C8633" t="n">
        <v>5.59</v>
      </c>
    </row>
    <row r="8634">
      <c r="A8634" s="28" t="n">
        <v>31812</v>
      </c>
      <c r="B8634" t="n">
        <v>7.23</v>
      </c>
      <c r="C8634" t="n">
        <v>5.63</v>
      </c>
    </row>
    <row r="8635">
      <c r="A8635" s="28" t="n">
        <v>31813</v>
      </c>
      <c r="B8635" t="n">
        <v>7.2</v>
      </c>
      <c r="C8635" t="n">
        <v>5.59</v>
      </c>
    </row>
    <row r="8636">
      <c r="A8636" s="28" t="n">
        <v>31814</v>
      </c>
      <c r="B8636" t="n">
        <v>7.19</v>
      </c>
      <c r="C8636" t="n">
        <v>5.66</v>
      </c>
    </row>
    <row r="8637">
      <c r="A8637" s="28" t="n">
        <v>31817</v>
      </c>
      <c r="B8637" t="n">
        <v>7.25</v>
      </c>
      <c r="C8637" t="n">
        <v>5.72</v>
      </c>
    </row>
    <row r="8638">
      <c r="A8638" s="28" t="n">
        <v>31818</v>
      </c>
      <c r="B8638" t="n">
        <v>7.33</v>
      </c>
      <c r="C8638" t="n">
        <v>5.82</v>
      </c>
    </row>
    <row r="8639">
      <c r="A8639" s="28" t="n">
        <v>31819</v>
      </c>
      <c r="B8639" t="n">
        <v>7.37</v>
      </c>
      <c r="C8639" t="n">
        <v>5.86</v>
      </c>
    </row>
    <row r="8640">
      <c r="A8640" s="28" t="n">
        <v>31820</v>
      </c>
      <c r="B8640" t="n">
        <v>7.31</v>
      </c>
      <c r="C8640" t="n">
        <v>5.72</v>
      </c>
    </row>
    <row r="8641">
      <c r="A8641" s="28" t="n">
        <v>31821</v>
      </c>
      <c r="B8641" t="n">
        <v>7.28</v>
      </c>
      <c r="C8641" t="n">
        <v>5.65</v>
      </c>
    </row>
    <row r="8642">
      <c r="A8642" s="28" t="n">
        <v>31824</v>
      </c>
      <c r="B8642" t="n">
        <v>0</v>
      </c>
      <c r="C8642" t="n">
        <v>0</v>
      </c>
    </row>
    <row r="8643">
      <c r="A8643" s="28" t="n">
        <v>31825</v>
      </c>
      <c r="B8643" t="n">
        <v>7.33</v>
      </c>
      <c r="C8643" t="n">
        <v>5.72</v>
      </c>
    </row>
    <row r="8644">
      <c r="A8644" s="28" t="n">
        <v>31826</v>
      </c>
      <c r="B8644" t="n">
        <v>7.3</v>
      </c>
      <c r="C8644" t="n">
        <v>5.6</v>
      </c>
    </row>
    <row r="8645">
      <c r="A8645" s="28" t="n">
        <v>31827</v>
      </c>
      <c r="B8645" t="n">
        <v>7.23</v>
      </c>
      <c r="C8645" t="n">
        <v>5.45</v>
      </c>
    </row>
    <row r="8646">
      <c r="A8646" s="28" t="n">
        <v>31828</v>
      </c>
      <c r="B8646" t="n">
        <v>7.24</v>
      </c>
      <c r="C8646" t="n">
        <v>5.43</v>
      </c>
    </row>
    <row r="8647">
      <c r="A8647" s="28" t="n">
        <v>31831</v>
      </c>
      <c r="B8647" t="n">
        <v>7.23</v>
      </c>
      <c r="C8647" t="n">
        <v>5.44</v>
      </c>
    </row>
    <row r="8648">
      <c r="A8648" s="28" t="n">
        <v>31832</v>
      </c>
      <c r="B8648" t="n">
        <v>7.18</v>
      </c>
      <c r="C8648" t="n">
        <v>5.44</v>
      </c>
    </row>
    <row r="8649">
      <c r="A8649" s="28" t="n">
        <v>31833</v>
      </c>
      <c r="B8649" t="n">
        <v>7.21</v>
      </c>
      <c r="C8649" t="n">
        <v>5.45</v>
      </c>
    </row>
    <row r="8650">
      <c r="A8650" s="28" t="n">
        <v>31834</v>
      </c>
      <c r="B8650" t="n">
        <v>7.21</v>
      </c>
      <c r="C8650" t="n">
        <v>5.45</v>
      </c>
    </row>
    <row r="8651">
      <c r="A8651" s="28" t="n">
        <v>31835</v>
      </c>
      <c r="B8651" t="n">
        <v>7.19</v>
      </c>
      <c r="C8651" t="n">
        <v>5.45</v>
      </c>
    </row>
    <row r="8652">
      <c r="A8652" s="28" t="n">
        <v>31838</v>
      </c>
      <c r="B8652" t="n">
        <v>7.17</v>
      </c>
      <c r="C8652" t="n">
        <v>5.48</v>
      </c>
    </row>
    <row r="8653">
      <c r="A8653" s="28" t="n">
        <v>31839</v>
      </c>
      <c r="B8653" t="n">
        <v>7.21</v>
      </c>
      <c r="C8653" t="n">
        <v>5.54</v>
      </c>
    </row>
    <row r="8654">
      <c r="A8654" s="28" t="n">
        <v>31840</v>
      </c>
      <c r="B8654" t="n">
        <v>7.14</v>
      </c>
      <c r="C8654" t="n">
        <v>5.51</v>
      </c>
    </row>
    <row r="8655">
      <c r="A8655" s="28" t="n">
        <v>31841</v>
      </c>
      <c r="B8655" t="n">
        <v>7.16</v>
      </c>
      <c r="C8655" t="n">
        <v>5.52</v>
      </c>
    </row>
    <row r="8656">
      <c r="A8656" s="28" t="n">
        <v>31842</v>
      </c>
      <c r="B8656" t="n">
        <v>7.23</v>
      </c>
      <c r="C8656" t="n">
        <v>5.64</v>
      </c>
    </row>
    <row r="8657">
      <c r="A8657" s="28" t="n">
        <v>31845</v>
      </c>
      <c r="B8657" t="n">
        <v>7.23</v>
      </c>
      <c r="C8657" t="n">
        <v>5.64</v>
      </c>
    </row>
    <row r="8658">
      <c r="A8658" s="28" t="n">
        <v>31846</v>
      </c>
      <c r="B8658" t="n">
        <v>7.23</v>
      </c>
      <c r="C8658" t="n">
        <v>5.68</v>
      </c>
    </row>
    <row r="8659">
      <c r="A8659" s="28" t="n">
        <v>31847</v>
      </c>
      <c r="B8659" t="n">
        <v>7.23</v>
      </c>
      <c r="C8659" t="n">
        <v>5.69</v>
      </c>
    </row>
    <row r="8660">
      <c r="A8660" s="28" t="n">
        <v>31848</v>
      </c>
      <c r="B8660" t="n">
        <v>7.22</v>
      </c>
      <c r="C8660" t="n">
        <v>5.67</v>
      </c>
    </row>
    <row r="8661">
      <c r="A8661" s="28" t="n">
        <v>31849</v>
      </c>
      <c r="B8661" t="n">
        <v>7.19</v>
      </c>
      <c r="C8661" t="n">
        <v>5.62</v>
      </c>
    </row>
    <row r="8662">
      <c r="A8662" s="28" t="n">
        <v>31852</v>
      </c>
      <c r="B8662" t="n">
        <v>7.22</v>
      </c>
      <c r="C8662" t="n">
        <v>5.65</v>
      </c>
    </row>
    <row r="8663">
      <c r="A8663" s="28" t="n">
        <v>31853</v>
      </c>
      <c r="B8663" t="n">
        <v>7.2</v>
      </c>
      <c r="C8663" t="n">
        <v>5.57</v>
      </c>
    </row>
    <row r="8664">
      <c r="A8664" s="28" t="n">
        <v>31854</v>
      </c>
      <c r="B8664" t="n">
        <v>7.21</v>
      </c>
      <c r="C8664" t="n">
        <v>5.52</v>
      </c>
    </row>
    <row r="8665">
      <c r="A8665" s="28" t="n">
        <v>31855</v>
      </c>
      <c r="B8665" t="n">
        <v>7.21</v>
      </c>
      <c r="C8665" t="n">
        <v>5.5</v>
      </c>
    </row>
    <row r="8666">
      <c r="A8666" s="28" t="n">
        <v>31856</v>
      </c>
      <c r="B8666" t="n">
        <v>7.22</v>
      </c>
      <c r="C8666" t="n">
        <v>5.52</v>
      </c>
    </row>
    <row r="8667">
      <c r="A8667" s="28" t="n">
        <v>31859</v>
      </c>
      <c r="B8667" t="n">
        <v>7.25</v>
      </c>
      <c r="C8667" t="n">
        <v>5.62</v>
      </c>
    </row>
    <row r="8668">
      <c r="A8668" s="28" t="n">
        <v>31860</v>
      </c>
      <c r="B8668" t="n">
        <v>7.27</v>
      </c>
      <c r="C8668" t="n">
        <v>5.61</v>
      </c>
    </row>
    <row r="8669">
      <c r="A8669" s="28" t="n">
        <v>31861</v>
      </c>
      <c r="B8669" t="n">
        <v>7.26</v>
      </c>
      <c r="C8669" t="n">
        <v>5.57</v>
      </c>
    </row>
    <row r="8670">
      <c r="A8670" s="28" t="n">
        <v>31862</v>
      </c>
      <c r="B8670" t="n">
        <v>7.24</v>
      </c>
      <c r="C8670" t="n">
        <v>5.57</v>
      </c>
    </row>
    <row r="8671">
      <c r="A8671" s="28" t="n">
        <v>31863</v>
      </c>
      <c r="B8671" t="n">
        <v>7.33</v>
      </c>
      <c r="C8671" t="n">
        <v>5.63</v>
      </c>
    </row>
    <row r="8672">
      <c r="A8672" s="28" t="n">
        <v>31866</v>
      </c>
      <c r="B8672" t="n">
        <v>7.54</v>
      </c>
      <c r="C8672" t="n">
        <v>5.66</v>
      </c>
    </row>
    <row r="8673">
      <c r="A8673" s="28" t="n">
        <v>31867</v>
      </c>
      <c r="B8673" t="n">
        <v>7.51</v>
      </c>
      <c r="C8673" t="n">
        <v>5.61</v>
      </c>
    </row>
    <row r="8674">
      <c r="A8674" s="28" t="n">
        <v>31868</v>
      </c>
      <c r="B8674" t="n">
        <v>7.59</v>
      </c>
      <c r="C8674" t="n">
        <v>5.54</v>
      </c>
    </row>
    <row r="8675">
      <c r="A8675" s="28" t="n">
        <v>31869</v>
      </c>
      <c r="B8675" t="n">
        <v>7.59</v>
      </c>
      <c r="C8675" t="n">
        <v>5.51</v>
      </c>
    </row>
    <row r="8676">
      <c r="A8676" s="28" t="n">
        <v>31870</v>
      </c>
      <c r="B8676" t="n">
        <v>7.59</v>
      </c>
      <c r="C8676" t="n">
        <v>5.5</v>
      </c>
    </row>
    <row r="8677">
      <c r="A8677" s="28" t="n">
        <v>31873</v>
      </c>
      <c r="B8677" t="n">
        <v>7.54</v>
      </c>
      <c r="C8677" t="n">
        <v>5.47</v>
      </c>
    </row>
    <row r="8678">
      <c r="A8678" s="28" t="n">
        <v>31874</v>
      </c>
      <c r="B8678" t="n">
        <v>7.62</v>
      </c>
      <c r="C8678" t="n">
        <v>5.51</v>
      </c>
    </row>
    <row r="8679">
      <c r="A8679" s="28" t="n">
        <v>31875</v>
      </c>
      <c r="B8679" t="n">
        <v>7.61</v>
      </c>
      <c r="C8679" t="n">
        <v>5.5</v>
      </c>
    </row>
    <row r="8680">
      <c r="A8680" s="28" t="n">
        <v>31876</v>
      </c>
      <c r="B8680" t="n">
        <v>7.78</v>
      </c>
      <c r="C8680" t="n">
        <v>5.75</v>
      </c>
    </row>
    <row r="8681">
      <c r="A8681" s="28" t="n">
        <v>31877</v>
      </c>
      <c r="B8681" t="n">
        <v>7.98</v>
      </c>
      <c r="C8681" t="n">
        <v>5.85</v>
      </c>
    </row>
    <row r="8682">
      <c r="A8682" s="28" t="n">
        <v>31880</v>
      </c>
      <c r="B8682" t="n">
        <v>8.07</v>
      </c>
      <c r="C8682" t="n">
        <v>6.02</v>
      </c>
    </row>
    <row r="8683">
      <c r="A8683" s="28" t="n">
        <v>31881</v>
      </c>
      <c r="B8683" t="n">
        <v>8.279999999999999</v>
      </c>
      <c r="C8683" t="n">
        <v>5.92</v>
      </c>
    </row>
    <row r="8684">
      <c r="A8684" s="28" t="n">
        <v>31882</v>
      </c>
      <c r="B8684" t="n">
        <v>8.1</v>
      </c>
      <c r="C8684" t="n">
        <v>5.68</v>
      </c>
    </row>
    <row r="8685">
      <c r="A8685" s="28" t="n">
        <v>31883</v>
      </c>
      <c r="B8685" t="n">
        <v>8.029999999999999</v>
      </c>
      <c r="C8685" t="n">
        <v>5.56</v>
      </c>
    </row>
    <row r="8686">
      <c r="A8686" s="28" t="n">
        <v>31884</v>
      </c>
      <c r="B8686" t="n">
        <v>0</v>
      </c>
      <c r="C8686" t="n">
        <v>0</v>
      </c>
    </row>
    <row r="8687">
      <c r="A8687" s="28" t="n">
        <v>31887</v>
      </c>
      <c r="B8687" t="n">
        <v>8.199999999999999</v>
      </c>
      <c r="C8687" t="n">
        <v>5.54</v>
      </c>
    </row>
    <row r="8688">
      <c r="A8688" s="28" t="n">
        <v>31888</v>
      </c>
      <c r="B8688" t="n">
        <v>8.19</v>
      </c>
      <c r="C8688" t="n">
        <v>5.5</v>
      </c>
    </row>
    <row r="8689">
      <c r="A8689" s="28" t="n">
        <v>31889</v>
      </c>
      <c r="B8689" t="n">
        <v>8.24</v>
      </c>
      <c r="C8689" t="n">
        <v>5.42</v>
      </c>
    </row>
    <row r="8690">
      <c r="A8690" s="28" t="n">
        <v>31890</v>
      </c>
      <c r="B8690" t="n">
        <v>8.390000000000001</v>
      </c>
      <c r="C8690" t="n">
        <v>5.49</v>
      </c>
    </row>
    <row r="8691">
      <c r="A8691" s="28" t="n">
        <v>31891</v>
      </c>
      <c r="B8691" t="n">
        <v>8.470000000000001</v>
      </c>
      <c r="C8691" t="n">
        <v>5.76</v>
      </c>
    </row>
    <row r="8692">
      <c r="A8692" s="28" t="n">
        <v>31894</v>
      </c>
      <c r="B8692" t="n">
        <v>8.369999999999999</v>
      </c>
      <c r="C8692" t="n">
        <v>5.78</v>
      </c>
    </row>
    <row r="8693">
      <c r="A8693" s="28" t="n">
        <v>31895</v>
      </c>
      <c r="B8693" t="n">
        <v>8.279999999999999</v>
      </c>
      <c r="C8693" t="n">
        <v>5.82</v>
      </c>
    </row>
    <row r="8694">
      <c r="A8694" s="28" t="n">
        <v>31896</v>
      </c>
      <c r="B8694" t="n">
        <v>8.35</v>
      </c>
      <c r="C8694" t="n">
        <v>5.71</v>
      </c>
    </row>
    <row r="8695">
      <c r="A8695" s="28" t="n">
        <v>31897</v>
      </c>
      <c r="B8695" t="n">
        <v>8.210000000000001</v>
      </c>
      <c r="C8695" t="n">
        <v>5.53</v>
      </c>
    </row>
    <row r="8696">
      <c r="A8696" s="28" t="n">
        <v>31898</v>
      </c>
      <c r="B8696" t="n">
        <v>8.390000000000001</v>
      </c>
      <c r="C8696" t="n">
        <v>5.6</v>
      </c>
    </row>
    <row r="8697">
      <c r="A8697" s="28" t="n">
        <v>31901</v>
      </c>
      <c r="B8697" t="n">
        <v>8.52</v>
      </c>
      <c r="C8697" t="n">
        <v>5.67</v>
      </c>
    </row>
    <row r="8698">
      <c r="A8698" s="28" t="n">
        <v>31902</v>
      </c>
      <c r="B8698" t="n">
        <v>8.449999999999999</v>
      </c>
      <c r="C8698" t="n">
        <v>5.81</v>
      </c>
    </row>
    <row r="8699">
      <c r="A8699" s="28" t="n">
        <v>31903</v>
      </c>
      <c r="B8699" t="n">
        <v>8.539999999999999</v>
      </c>
      <c r="C8699" t="n">
        <v>5.5</v>
      </c>
    </row>
    <row r="8700">
      <c r="A8700" s="28" t="n">
        <v>31904</v>
      </c>
      <c r="B8700" t="n">
        <v>8.5</v>
      </c>
      <c r="C8700" t="n">
        <v>5.53</v>
      </c>
    </row>
    <row r="8701">
      <c r="A8701" s="28" t="n">
        <v>31905</v>
      </c>
      <c r="B8701" t="n">
        <v>8.43</v>
      </c>
      <c r="C8701" t="n">
        <v>5.53</v>
      </c>
    </row>
    <row r="8702">
      <c r="A8702" s="28" t="n">
        <v>31908</v>
      </c>
      <c r="B8702" t="n">
        <v>8.57</v>
      </c>
      <c r="C8702" t="n">
        <v>5.65</v>
      </c>
    </row>
    <row r="8703">
      <c r="A8703" s="28" t="n">
        <v>31909</v>
      </c>
      <c r="B8703" t="n">
        <v>8.550000000000001</v>
      </c>
      <c r="C8703" t="n">
        <v>5.6</v>
      </c>
    </row>
    <row r="8704">
      <c r="A8704" s="28" t="n">
        <v>31910</v>
      </c>
      <c r="B8704" t="n">
        <v>8.550000000000001</v>
      </c>
      <c r="C8704" t="n">
        <v>5.53</v>
      </c>
    </row>
    <row r="8705">
      <c r="A8705" s="28" t="n">
        <v>31911</v>
      </c>
      <c r="B8705" t="n">
        <v>8.57</v>
      </c>
      <c r="C8705" t="n">
        <v>5.73</v>
      </c>
    </row>
    <row r="8706">
      <c r="A8706" s="28" t="n">
        <v>31912</v>
      </c>
      <c r="B8706" t="n">
        <v>8.800000000000001</v>
      </c>
      <c r="C8706" t="n">
        <v>5.95</v>
      </c>
    </row>
    <row r="8707">
      <c r="A8707" s="28" t="n">
        <v>31915</v>
      </c>
      <c r="B8707" t="n">
        <v>8.73</v>
      </c>
      <c r="C8707" t="n">
        <v>5.87</v>
      </c>
    </row>
    <row r="8708">
      <c r="A8708" s="28" t="n">
        <v>31916</v>
      </c>
      <c r="B8708" t="n">
        <v>8.890000000000001</v>
      </c>
      <c r="C8708" t="n">
        <v>5.78</v>
      </c>
    </row>
    <row r="8709">
      <c r="A8709" s="28" t="n">
        <v>31917</v>
      </c>
      <c r="B8709" t="n">
        <v>8.92</v>
      </c>
      <c r="C8709" t="n">
        <v>5.69</v>
      </c>
    </row>
    <row r="8710">
      <c r="A8710" s="28" t="n">
        <v>31918</v>
      </c>
      <c r="B8710" t="n">
        <v>8.869999999999999</v>
      </c>
      <c r="C8710" t="n">
        <v>5.53</v>
      </c>
    </row>
    <row r="8711">
      <c r="A8711" s="28" t="n">
        <v>31919</v>
      </c>
      <c r="B8711" t="n">
        <v>8.779999999999999</v>
      </c>
      <c r="C8711" t="n">
        <v>5.55</v>
      </c>
    </row>
    <row r="8712">
      <c r="A8712" s="28" t="n">
        <v>31922</v>
      </c>
      <c r="B8712" t="n">
        <v>0</v>
      </c>
      <c r="C8712" t="n">
        <v>0</v>
      </c>
    </row>
    <row r="8713">
      <c r="A8713" s="28" t="n">
        <v>31923</v>
      </c>
      <c r="B8713" t="n">
        <v>8.550000000000001</v>
      </c>
      <c r="C8713" t="n">
        <v>5.61</v>
      </c>
    </row>
    <row r="8714">
      <c r="A8714" s="28" t="n">
        <v>31924</v>
      </c>
      <c r="B8714" t="n">
        <v>8.6</v>
      </c>
      <c r="C8714" t="n">
        <v>5.76</v>
      </c>
    </row>
    <row r="8715">
      <c r="A8715" s="28" t="n">
        <v>31925</v>
      </c>
      <c r="B8715" t="n">
        <v>8.56</v>
      </c>
      <c r="C8715" t="n">
        <v>5.63</v>
      </c>
    </row>
    <row r="8716">
      <c r="A8716" s="28" t="n">
        <v>31926</v>
      </c>
      <c r="B8716" t="n">
        <v>8.49</v>
      </c>
      <c r="C8716" t="n">
        <v>5.68</v>
      </c>
    </row>
    <row r="8717">
      <c r="A8717" s="28" t="n">
        <v>31929</v>
      </c>
      <c r="B8717" t="n">
        <v>8.449999999999999</v>
      </c>
      <c r="C8717" t="n">
        <v>5.7</v>
      </c>
    </row>
    <row r="8718">
      <c r="A8718" s="28" t="n">
        <v>31930</v>
      </c>
      <c r="B8718" t="n">
        <v>8.720000000000001</v>
      </c>
      <c r="C8718" t="n">
        <v>5.76</v>
      </c>
    </row>
    <row r="8719">
      <c r="A8719" s="28" t="n">
        <v>31931</v>
      </c>
      <c r="B8719" t="n">
        <v>8.640000000000001</v>
      </c>
      <c r="C8719" t="n">
        <v>5.69</v>
      </c>
    </row>
    <row r="8720">
      <c r="A8720" s="28" t="n">
        <v>31932</v>
      </c>
      <c r="B8720" t="n">
        <v>8.58</v>
      </c>
      <c r="C8720" t="n">
        <v>5.66</v>
      </c>
    </row>
    <row r="8721">
      <c r="A8721" s="28" t="n">
        <v>31933</v>
      </c>
      <c r="B8721" t="n">
        <v>8.5</v>
      </c>
      <c r="C8721" t="n">
        <v>5.68</v>
      </c>
    </row>
    <row r="8722">
      <c r="A8722" s="28" t="n">
        <v>31936</v>
      </c>
      <c r="B8722" t="n">
        <v>8.529999999999999</v>
      </c>
      <c r="C8722" t="n">
        <v>5.66</v>
      </c>
    </row>
    <row r="8723">
      <c r="A8723" s="28" t="n">
        <v>31937</v>
      </c>
      <c r="B8723" t="n">
        <v>8.56</v>
      </c>
      <c r="C8723" t="n">
        <v>5.51</v>
      </c>
    </row>
    <row r="8724">
      <c r="A8724" s="28" t="n">
        <v>31938</v>
      </c>
      <c r="B8724" t="n">
        <v>8.56</v>
      </c>
      <c r="C8724" t="n">
        <v>5.48</v>
      </c>
    </row>
    <row r="8725">
      <c r="A8725" s="28" t="n">
        <v>31939</v>
      </c>
      <c r="B8725" t="n">
        <v>8.52</v>
      </c>
      <c r="C8725" t="n">
        <v>5.54</v>
      </c>
    </row>
    <row r="8726">
      <c r="A8726" s="28" t="n">
        <v>31940</v>
      </c>
      <c r="B8726" t="n">
        <v>8.32</v>
      </c>
      <c r="C8726" t="n">
        <v>5.55</v>
      </c>
    </row>
    <row r="8727">
      <c r="A8727" s="28" t="n">
        <v>31943</v>
      </c>
      <c r="B8727" t="n">
        <v>8.279999999999999</v>
      </c>
      <c r="C8727" t="n">
        <v>5.65</v>
      </c>
    </row>
    <row r="8728">
      <c r="A8728" s="28" t="n">
        <v>31944</v>
      </c>
      <c r="B8728" t="n">
        <v>8.279999999999999</v>
      </c>
      <c r="C8728" t="n">
        <v>5.63</v>
      </c>
    </row>
    <row r="8729">
      <c r="A8729" s="28" t="n">
        <v>31945</v>
      </c>
      <c r="B8729" t="n">
        <v>8.23</v>
      </c>
      <c r="C8729" t="n">
        <v>5.65</v>
      </c>
    </row>
    <row r="8730">
      <c r="A8730" s="28" t="n">
        <v>31946</v>
      </c>
      <c r="B8730" t="n">
        <v>8.27</v>
      </c>
      <c r="C8730" t="n">
        <v>5.65</v>
      </c>
    </row>
    <row r="8731">
      <c r="A8731" s="28" t="n">
        <v>31947</v>
      </c>
      <c r="B8731" t="n">
        <v>8.300000000000001</v>
      </c>
      <c r="C8731" t="n">
        <v>5.66</v>
      </c>
    </row>
    <row r="8732">
      <c r="A8732" s="28" t="n">
        <v>31950</v>
      </c>
      <c r="B8732" t="n">
        <v>8.23</v>
      </c>
      <c r="C8732" t="n">
        <v>5.66</v>
      </c>
    </row>
    <row r="8733">
      <c r="A8733" s="28" t="n">
        <v>31951</v>
      </c>
      <c r="B8733" t="n">
        <v>8.23</v>
      </c>
      <c r="C8733" t="n">
        <v>5.72</v>
      </c>
    </row>
    <row r="8734">
      <c r="A8734" s="28" t="n">
        <v>31952</v>
      </c>
      <c r="B8734" t="n">
        <v>8.31</v>
      </c>
      <c r="C8734" t="n">
        <v>5.83</v>
      </c>
    </row>
    <row r="8735">
      <c r="A8735" s="28" t="n">
        <v>31953</v>
      </c>
      <c r="B8735" t="n">
        <v>8.25</v>
      </c>
      <c r="C8735" t="n">
        <v>5.84</v>
      </c>
    </row>
    <row r="8736">
      <c r="A8736" s="28" t="n">
        <v>31954</v>
      </c>
      <c r="B8736" t="n">
        <v>8.369999999999999</v>
      </c>
      <c r="C8736" t="n">
        <v>5.78</v>
      </c>
    </row>
    <row r="8737">
      <c r="A8737" s="28" t="n">
        <v>31957</v>
      </c>
      <c r="B8737" t="n">
        <v>8.34</v>
      </c>
      <c r="C8737" t="n">
        <v>5.67</v>
      </c>
    </row>
    <row r="8738">
      <c r="A8738" s="28" t="n">
        <v>31958</v>
      </c>
      <c r="B8738" t="n">
        <v>8.380000000000001</v>
      </c>
      <c r="C8738" t="n">
        <v>5.73</v>
      </c>
    </row>
    <row r="8739">
      <c r="A8739" s="28" t="n">
        <v>31959</v>
      </c>
      <c r="B8739" t="n">
        <v>8.359999999999999</v>
      </c>
      <c r="C8739" t="n">
        <v>5.64</v>
      </c>
    </row>
    <row r="8740">
      <c r="A8740" s="28" t="n">
        <v>31960</v>
      </c>
      <c r="B8740" t="n">
        <v>8.300000000000001</v>
      </c>
      <c r="C8740" t="n">
        <v>5.66</v>
      </c>
    </row>
    <row r="8741">
      <c r="A8741" s="28" t="n">
        <v>31961</v>
      </c>
      <c r="B8741" t="n">
        <v>0</v>
      </c>
      <c r="C8741" t="n">
        <v>0</v>
      </c>
    </row>
    <row r="8742">
      <c r="A8742" s="28" t="n">
        <v>31964</v>
      </c>
      <c r="B8742" t="n">
        <v>8.289999999999999</v>
      </c>
      <c r="C8742" t="n">
        <v>5.67</v>
      </c>
    </row>
    <row r="8743">
      <c r="A8743" s="28" t="n">
        <v>31965</v>
      </c>
      <c r="B8743" t="n">
        <v>8.279999999999999</v>
      </c>
      <c r="C8743" t="n">
        <v>5.6</v>
      </c>
    </row>
    <row r="8744">
      <c r="A8744" s="28" t="n">
        <v>31966</v>
      </c>
      <c r="B8744" t="n">
        <v>8.32</v>
      </c>
      <c r="C8744" t="n">
        <v>5.57</v>
      </c>
    </row>
    <row r="8745">
      <c r="A8745" s="28" t="n">
        <v>31967</v>
      </c>
      <c r="B8745" t="n">
        <v>8.369999999999999</v>
      </c>
      <c r="C8745" t="n">
        <v>5.61</v>
      </c>
    </row>
    <row r="8746">
      <c r="A8746" s="28" t="n">
        <v>31968</v>
      </c>
      <c r="B8746" t="n">
        <v>8.32</v>
      </c>
      <c r="C8746" t="n">
        <v>5.59</v>
      </c>
    </row>
    <row r="8747">
      <c r="A8747" s="28" t="n">
        <v>31971</v>
      </c>
      <c r="B8747" t="n">
        <v>8.380000000000001</v>
      </c>
      <c r="C8747" t="n">
        <v>5.61</v>
      </c>
    </row>
    <row r="8748">
      <c r="A8748" s="28" t="n">
        <v>31972</v>
      </c>
      <c r="B8748" t="n">
        <v>8.33</v>
      </c>
      <c r="C8748" t="n">
        <v>5.55</v>
      </c>
    </row>
    <row r="8749">
      <c r="A8749" s="28" t="n">
        <v>31973</v>
      </c>
      <c r="B8749" t="n">
        <v>8.43</v>
      </c>
      <c r="C8749" t="n">
        <v>5.58</v>
      </c>
    </row>
    <row r="8750">
      <c r="A8750" s="28" t="n">
        <v>31974</v>
      </c>
      <c r="B8750" t="n">
        <v>8.41</v>
      </c>
      <c r="C8750" t="n">
        <v>5.58</v>
      </c>
    </row>
    <row r="8751">
      <c r="A8751" s="28" t="n">
        <v>31975</v>
      </c>
      <c r="B8751" t="n">
        <v>8.359999999999999</v>
      </c>
      <c r="C8751" t="n">
        <v>5.56</v>
      </c>
    </row>
    <row r="8752">
      <c r="A8752" s="28" t="n">
        <v>31978</v>
      </c>
      <c r="B8752" t="n">
        <v>8.41</v>
      </c>
      <c r="C8752" t="n">
        <v>5.55</v>
      </c>
    </row>
    <row r="8753">
      <c r="A8753" s="28" t="n">
        <v>31979</v>
      </c>
      <c r="B8753" t="n">
        <v>8.49</v>
      </c>
      <c r="C8753" t="n">
        <v>5.69</v>
      </c>
    </row>
    <row r="8754">
      <c r="A8754" s="28" t="n">
        <v>31980</v>
      </c>
      <c r="B8754" t="n">
        <v>8.539999999999999</v>
      </c>
      <c r="C8754" t="n">
        <v>5.66</v>
      </c>
    </row>
    <row r="8755">
      <c r="A8755" s="28" t="n">
        <v>31981</v>
      </c>
      <c r="B8755" t="n">
        <v>8.56</v>
      </c>
      <c r="C8755" t="n">
        <v>5.67</v>
      </c>
    </row>
    <row r="8756">
      <c r="A8756" s="28" t="n">
        <v>31982</v>
      </c>
      <c r="B8756" t="n">
        <v>8.58</v>
      </c>
      <c r="C8756" t="n">
        <v>5.75</v>
      </c>
    </row>
    <row r="8757">
      <c r="A8757" s="28" t="n">
        <v>31985</v>
      </c>
      <c r="B8757" t="n">
        <v>8.6</v>
      </c>
      <c r="C8757" t="n">
        <v>5.81</v>
      </c>
    </row>
    <row r="8758">
      <c r="A8758" s="28" t="n">
        <v>31986</v>
      </c>
      <c r="B8758" t="n">
        <v>8.619999999999999</v>
      </c>
      <c r="C8758" t="n">
        <v>5.86</v>
      </c>
    </row>
    <row r="8759">
      <c r="A8759" s="28" t="n">
        <v>31987</v>
      </c>
      <c r="B8759" t="n">
        <v>8.609999999999999</v>
      </c>
      <c r="C8759" t="n">
        <v>5.88</v>
      </c>
    </row>
    <row r="8760">
      <c r="A8760" s="28" t="n">
        <v>31988</v>
      </c>
      <c r="B8760" t="n">
        <v>8.609999999999999</v>
      </c>
      <c r="C8760" t="n">
        <v>6.07</v>
      </c>
    </row>
    <row r="8761">
      <c r="A8761" s="28" t="n">
        <v>31989</v>
      </c>
      <c r="B8761" t="n">
        <v>8.66</v>
      </c>
      <c r="C8761" t="n">
        <v>6.07</v>
      </c>
    </row>
    <row r="8762">
      <c r="A8762" s="28" t="n">
        <v>31992</v>
      </c>
      <c r="B8762" t="n">
        <v>8.81</v>
      </c>
      <c r="C8762" t="n">
        <v>6.05</v>
      </c>
    </row>
    <row r="8763">
      <c r="A8763" s="28" t="n">
        <v>31993</v>
      </c>
      <c r="B8763" t="n">
        <v>8.81</v>
      </c>
      <c r="C8763" t="n">
        <v>5.85</v>
      </c>
    </row>
    <row r="8764">
      <c r="A8764" s="28" t="n">
        <v>31994</v>
      </c>
      <c r="B8764" t="n">
        <v>8.710000000000001</v>
      </c>
      <c r="C8764" t="n">
        <v>5.85</v>
      </c>
    </row>
    <row r="8765">
      <c r="A8765" s="28" t="n">
        <v>31995</v>
      </c>
      <c r="B8765" t="n">
        <v>8.73</v>
      </c>
      <c r="C8765" t="n">
        <v>5.74</v>
      </c>
    </row>
    <row r="8766">
      <c r="A8766" s="28" t="n">
        <v>31996</v>
      </c>
      <c r="B8766" t="n">
        <v>8.699999999999999</v>
      </c>
      <c r="C8766" t="n">
        <v>5.85</v>
      </c>
    </row>
    <row r="8767">
      <c r="A8767" s="28" t="n">
        <v>31999</v>
      </c>
      <c r="B8767" t="n">
        <v>8.74</v>
      </c>
      <c r="C8767" t="n">
        <v>5.91</v>
      </c>
    </row>
    <row r="8768">
      <c r="A8768" s="28" t="n">
        <v>32000</v>
      </c>
      <c r="B8768" t="n">
        <v>8.73</v>
      </c>
      <c r="C8768" t="n">
        <v>5.94</v>
      </c>
    </row>
    <row r="8769">
      <c r="A8769" s="28" t="n">
        <v>32001</v>
      </c>
      <c r="B8769" t="n">
        <v>8.720000000000001</v>
      </c>
      <c r="C8769" t="n">
        <v>5.95</v>
      </c>
    </row>
    <row r="8770">
      <c r="A8770" s="28" t="n">
        <v>32002</v>
      </c>
      <c r="B8770" t="n">
        <v>8.630000000000001</v>
      </c>
      <c r="C8770" t="n">
        <v>5.96</v>
      </c>
    </row>
    <row r="8771">
      <c r="A8771" s="28" t="n">
        <v>32003</v>
      </c>
      <c r="B8771" t="n">
        <v>8.58</v>
      </c>
      <c r="C8771" t="n">
        <v>5.96</v>
      </c>
    </row>
    <row r="8772">
      <c r="A8772" s="28" t="n">
        <v>32006</v>
      </c>
      <c r="B8772" t="n">
        <v>8.56</v>
      </c>
      <c r="C8772" t="n">
        <v>5.98</v>
      </c>
    </row>
    <row r="8773">
      <c r="A8773" s="28" t="n">
        <v>32007</v>
      </c>
      <c r="B8773" t="n">
        <v>8.73</v>
      </c>
      <c r="C8773" t="n">
        <v>6.02</v>
      </c>
    </row>
    <row r="8774">
      <c r="A8774" s="28" t="n">
        <v>32008</v>
      </c>
      <c r="B8774" t="n">
        <v>8.77</v>
      </c>
      <c r="C8774" t="n">
        <v>6.04</v>
      </c>
    </row>
    <row r="8775">
      <c r="A8775" s="28" t="n">
        <v>32009</v>
      </c>
      <c r="B8775" t="n">
        <v>8.74</v>
      </c>
      <c r="C8775" t="n">
        <v>6.11</v>
      </c>
    </row>
    <row r="8776">
      <c r="A8776" s="28" t="n">
        <v>32010</v>
      </c>
      <c r="B8776" t="n">
        <v>8.77</v>
      </c>
      <c r="C8776" t="n">
        <v>6.1</v>
      </c>
    </row>
    <row r="8777">
      <c r="A8777" s="28" t="n">
        <v>32013</v>
      </c>
      <c r="B8777" t="n">
        <v>8.779999999999999</v>
      </c>
      <c r="C8777" t="n">
        <v>6.17</v>
      </c>
    </row>
    <row r="8778">
      <c r="A8778" s="28" t="n">
        <v>32014</v>
      </c>
      <c r="B8778" t="n">
        <v>8.73</v>
      </c>
      <c r="C8778" t="n">
        <v>6.18</v>
      </c>
    </row>
    <row r="8779">
      <c r="A8779" s="28" t="n">
        <v>32015</v>
      </c>
      <c r="B8779" t="n">
        <v>8.789999999999999</v>
      </c>
      <c r="C8779" t="n">
        <v>6.25</v>
      </c>
    </row>
    <row r="8780">
      <c r="A8780" s="28" t="n">
        <v>32016</v>
      </c>
      <c r="B8780" t="n">
        <v>8.92</v>
      </c>
      <c r="C8780" t="n">
        <v>6.29</v>
      </c>
    </row>
    <row r="8781">
      <c r="A8781" s="28" t="n">
        <v>32017</v>
      </c>
      <c r="B8781" t="n">
        <v>9.02</v>
      </c>
      <c r="C8781" t="n">
        <v>6.31</v>
      </c>
    </row>
    <row r="8782">
      <c r="A8782" s="28" t="n">
        <v>32020</v>
      </c>
      <c r="B8782" t="n">
        <v>9</v>
      </c>
      <c r="C8782" t="n">
        <v>6.25</v>
      </c>
    </row>
    <row r="8783">
      <c r="A8783" s="28" t="n">
        <v>32021</v>
      </c>
      <c r="B8783" t="n">
        <v>9.050000000000001</v>
      </c>
      <c r="C8783" t="n">
        <v>6.12</v>
      </c>
    </row>
    <row r="8784">
      <c r="A8784" s="28" t="n">
        <v>32022</v>
      </c>
      <c r="B8784" t="n">
        <v>9.279999999999999</v>
      </c>
      <c r="C8784" t="n">
        <v>6.09</v>
      </c>
    </row>
    <row r="8785">
      <c r="A8785" s="28" t="n">
        <v>32023</v>
      </c>
      <c r="B8785" t="n">
        <v>9.289999999999999</v>
      </c>
      <c r="C8785" t="n">
        <v>6.19</v>
      </c>
    </row>
    <row r="8786">
      <c r="A8786" s="28" t="n">
        <v>32024</v>
      </c>
      <c r="B8786" t="n">
        <v>9.300000000000001</v>
      </c>
      <c r="C8786" t="n">
        <v>6.38</v>
      </c>
    </row>
    <row r="8787">
      <c r="A8787" s="28" t="n">
        <v>32027</v>
      </c>
      <c r="B8787" t="n">
        <v>0</v>
      </c>
      <c r="C8787" t="n">
        <v>0</v>
      </c>
    </row>
    <row r="8788">
      <c r="A8788" s="28" t="n">
        <v>32028</v>
      </c>
      <c r="B8788" t="n">
        <v>9.5</v>
      </c>
      <c r="C8788" t="n">
        <v>6.44</v>
      </c>
    </row>
    <row r="8789">
      <c r="A8789" s="28" t="n">
        <v>32029</v>
      </c>
      <c r="B8789" t="n">
        <v>9.48</v>
      </c>
      <c r="C8789" t="n">
        <v>6.43</v>
      </c>
    </row>
    <row r="8790">
      <c r="A8790" s="28" t="n">
        <v>32030</v>
      </c>
      <c r="B8790" t="n">
        <v>9.42</v>
      </c>
      <c r="C8790" t="n">
        <v>6.33</v>
      </c>
    </row>
    <row r="8791">
      <c r="A8791" s="28" t="n">
        <v>32031</v>
      </c>
      <c r="B8791" t="n">
        <v>9.33</v>
      </c>
      <c r="C8791" t="n">
        <v>6.35</v>
      </c>
    </row>
    <row r="8792">
      <c r="A8792" s="28" t="n">
        <v>32034</v>
      </c>
      <c r="B8792" t="n">
        <v>9.34</v>
      </c>
      <c r="C8792" t="n">
        <v>6.34</v>
      </c>
    </row>
    <row r="8793">
      <c r="A8793" s="28" t="n">
        <v>32035</v>
      </c>
      <c r="B8793" t="n">
        <v>9.44</v>
      </c>
      <c r="C8793" t="n">
        <v>6.34</v>
      </c>
    </row>
    <row r="8794">
      <c r="A8794" s="28" t="n">
        <v>32036</v>
      </c>
      <c r="B8794" t="n">
        <v>9.52</v>
      </c>
      <c r="C8794" t="n">
        <v>6.34</v>
      </c>
    </row>
    <row r="8795">
      <c r="A8795" s="28" t="n">
        <v>32037</v>
      </c>
      <c r="B8795" t="n">
        <v>9.48</v>
      </c>
      <c r="C8795" t="n">
        <v>6.38</v>
      </c>
    </row>
    <row r="8796">
      <c r="A8796" s="28" t="n">
        <v>32038</v>
      </c>
      <c r="B8796" t="n">
        <v>9.380000000000001</v>
      </c>
      <c r="C8796" t="n">
        <v>6.42</v>
      </c>
    </row>
    <row r="8797">
      <c r="A8797" s="28" t="n">
        <v>32041</v>
      </c>
      <c r="B8797" t="n">
        <v>9.449999999999999</v>
      </c>
      <c r="C8797" t="n">
        <v>6.51</v>
      </c>
    </row>
    <row r="8798">
      <c r="A8798" s="28" t="n">
        <v>32042</v>
      </c>
      <c r="B8798" t="n">
        <v>9.369999999999999</v>
      </c>
      <c r="C8798" t="n">
        <v>6.49</v>
      </c>
    </row>
    <row r="8799">
      <c r="A8799" s="28" t="n">
        <v>32043</v>
      </c>
      <c r="B8799" t="n">
        <v>9.4</v>
      </c>
      <c r="C8799" t="n">
        <v>6.47</v>
      </c>
    </row>
    <row r="8800">
      <c r="A8800" s="28" t="n">
        <v>32044</v>
      </c>
      <c r="B8800" t="n">
        <v>9.51</v>
      </c>
      <c r="C8800" t="n">
        <v>6.41</v>
      </c>
    </row>
    <row r="8801">
      <c r="A8801" s="28" t="n">
        <v>32045</v>
      </c>
      <c r="B8801" t="n">
        <v>9.529999999999999</v>
      </c>
      <c r="C8801" t="n">
        <v>6.5</v>
      </c>
    </row>
    <row r="8802">
      <c r="A8802" s="28" t="n">
        <v>32048</v>
      </c>
      <c r="B8802" t="n">
        <v>9.52</v>
      </c>
      <c r="C8802" t="n">
        <v>6.53</v>
      </c>
    </row>
    <row r="8803">
      <c r="A8803" s="28" t="n">
        <v>32049</v>
      </c>
      <c r="B8803" t="n">
        <v>9.640000000000001</v>
      </c>
      <c r="C8803" t="n">
        <v>6.69</v>
      </c>
    </row>
    <row r="8804">
      <c r="A8804" s="28" t="n">
        <v>32050</v>
      </c>
      <c r="B8804" t="n">
        <v>9.630000000000001</v>
      </c>
      <c r="C8804" t="n">
        <v>6.61</v>
      </c>
    </row>
    <row r="8805">
      <c r="A8805" s="28" t="n">
        <v>32051</v>
      </c>
      <c r="B8805" t="n">
        <v>9.66</v>
      </c>
      <c r="C8805" t="n">
        <v>6.63</v>
      </c>
    </row>
    <row r="8806">
      <c r="A8806" s="28" t="n">
        <v>32052</v>
      </c>
      <c r="B8806" t="n">
        <v>9.6</v>
      </c>
      <c r="C8806" t="n">
        <v>6.66</v>
      </c>
    </row>
    <row r="8807">
      <c r="A8807" s="28" t="n">
        <v>32055</v>
      </c>
      <c r="B8807" t="n">
        <v>9.69</v>
      </c>
      <c r="C8807" t="n">
        <v>6.68</v>
      </c>
    </row>
    <row r="8808">
      <c r="A8808" s="28" t="n">
        <v>32056</v>
      </c>
      <c r="B8808" t="n">
        <v>9.720000000000001</v>
      </c>
      <c r="C8808" t="n">
        <v>6.55</v>
      </c>
    </row>
    <row r="8809">
      <c r="A8809" s="28" t="n">
        <v>32057</v>
      </c>
      <c r="B8809" t="n">
        <v>9.710000000000001</v>
      </c>
      <c r="C8809" t="n">
        <v>6.56</v>
      </c>
    </row>
    <row r="8810">
      <c r="A8810" s="28" t="n">
        <v>32058</v>
      </c>
      <c r="B8810" t="n">
        <v>9.859999999999999</v>
      </c>
      <c r="C8810" t="n">
        <v>6.69</v>
      </c>
    </row>
    <row r="8811">
      <c r="A8811" s="28" t="n">
        <v>32059</v>
      </c>
      <c r="B8811" t="n">
        <v>9.94</v>
      </c>
      <c r="C8811" t="n">
        <v>6.75</v>
      </c>
    </row>
    <row r="8812">
      <c r="A8812" s="28" t="n">
        <v>32062</v>
      </c>
      <c r="B8812" t="n">
        <v>0</v>
      </c>
      <c r="C8812" t="n">
        <v>0</v>
      </c>
    </row>
    <row r="8813">
      <c r="A8813" s="28" t="n">
        <v>32063</v>
      </c>
      <c r="B8813" t="n">
        <v>9.9</v>
      </c>
      <c r="C8813" t="n">
        <v>6.74</v>
      </c>
    </row>
    <row r="8814">
      <c r="A8814" s="28" t="n">
        <v>32064</v>
      </c>
      <c r="B8814" t="n">
        <v>10.13</v>
      </c>
      <c r="C8814" t="n">
        <v>7.19</v>
      </c>
    </row>
    <row r="8815">
      <c r="A8815" s="28" t="n">
        <v>32065</v>
      </c>
      <c r="B8815" t="n">
        <v>10.18</v>
      </c>
      <c r="C8815" t="n">
        <v>7.07</v>
      </c>
    </row>
    <row r="8816">
      <c r="A8816" s="28" t="n">
        <v>32066</v>
      </c>
      <c r="B8816" t="n">
        <v>10.23</v>
      </c>
      <c r="C8816" t="n">
        <v>6.93</v>
      </c>
    </row>
    <row r="8817">
      <c r="A8817" s="28" t="n">
        <v>32069</v>
      </c>
      <c r="B8817" t="n">
        <v>10.15</v>
      </c>
      <c r="C8817" t="n">
        <v>6.39</v>
      </c>
    </row>
    <row r="8818">
      <c r="A8818" s="28" t="n">
        <v>32070</v>
      </c>
      <c r="B8818" t="n">
        <v>9.4</v>
      </c>
      <c r="C8818" t="n">
        <v>5.86</v>
      </c>
    </row>
    <row r="8819">
      <c r="A8819" s="28" t="n">
        <v>32071</v>
      </c>
      <c r="B8819" t="n">
        <v>9.300000000000001</v>
      </c>
      <c r="C8819" t="n">
        <v>5.6</v>
      </c>
    </row>
    <row r="8820">
      <c r="A8820" s="28" t="n">
        <v>32072</v>
      </c>
      <c r="B8820" t="n">
        <v>8.970000000000001</v>
      </c>
      <c r="C8820" t="n">
        <v>5.36</v>
      </c>
    </row>
    <row r="8821">
      <c r="A8821" s="28" t="n">
        <v>32073</v>
      </c>
      <c r="B8821" t="n">
        <v>8.98</v>
      </c>
      <c r="C8821" t="n">
        <v>5.29</v>
      </c>
    </row>
    <row r="8822">
      <c r="A8822" s="28" t="n">
        <v>32076</v>
      </c>
      <c r="B8822" t="n">
        <v>8.800000000000001</v>
      </c>
      <c r="C8822" t="n">
        <v>5.22</v>
      </c>
    </row>
    <row r="8823">
      <c r="A8823" s="28" t="n">
        <v>32077</v>
      </c>
      <c r="B8823" t="n">
        <v>8.92</v>
      </c>
      <c r="C8823" t="n">
        <v>5.23</v>
      </c>
    </row>
    <row r="8824">
      <c r="A8824" s="28" t="n">
        <v>32078</v>
      </c>
      <c r="B8824" t="n">
        <v>9.01</v>
      </c>
      <c r="C8824" t="n">
        <v>5.1</v>
      </c>
    </row>
    <row r="8825">
      <c r="A8825" s="28" t="n">
        <v>32079</v>
      </c>
      <c r="B8825" t="n">
        <v>8.890000000000001</v>
      </c>
      <c r="C8825" t="n">
        <v>5.03</v>
      </c>
    </row>
    <row r="8826">
      <c r="A8826" s="28" t="n">
        <v>32080</v>
      </c>
      <c r="B8826" t="n">
        <v>8.880000000000001</v>
      </c>
      <c r="C8826" t="n">
        <v>5.27</v>
      </c>
    </row>
    <row r="8827">
      <c r="A8827" s="28" t="n">
        <v>32083</v>
      </c>
      <c r="B8827" t="n">
        <v>8.98</v>
      </c>
      <c r="C8827" t="n">
        <v>5.62</v>
      </c>
    </row>
    <row r="8828">
      <c r="A8828" s="28" t="n">
        <v>32084</v>
      </c>
      <c r="B8828" t="n">
        <v>8.91</v>
      </c>
      <c r="C8828" t="n">
        <v>5.63</v>
      </c>
    </row>
    <row r="8829">
      <c r="A8829" s="28" t="n">
        <v>32085</v>
      </c>
      <c r="B8829" t="n">
        <v>8.85</v>
      </c>
      <c r="C8829" t="n">
        <v>5.54</v>
      </c>
    </row>
    <row r="8830">
      <c r="A8830" s="28" t="n">
        <v>32086</v>
      </c>
      <c r="B8830" t="n">
        <v>8.720000000000001</v>
      </c>
      <c r="C8830" t="n">
        <v>5.58</v>
      </c>
    </row>
    <row r="8831">
      <c r="A8831" s="28" t="n">
        <v>32087</v>
      </c>
      <c r="B8831" t="n">
        <v>8.76</v>
      </c>
      <c r="C8831" t="n">
        <v>5.73</v>
      </c>
    </row>
    <row r="8832">
      <c r="A8832" s="28" t="n">
        <v>32090</v>
      </c>
      <c r="B8832" t="n">
        <v>8.779999999999999</v>
      </c>
      <c r="C8832" t="n">
        <v>5.7</v>
      </c>
    </row>
    <row r="8833">
      <c r="A8833" s="28" t="n">
        <v>32091</v>
      </c>
      <c r="B8833" t="n">
        <v>8.789999999999999</v>
      </c>
      <c r="C8833" t="n">
        <v>5.67</v>
      </c>
    </row>
    <row r="8834">
      <c r="A8834" s="28" t="n">
        <v>32092</v>
      </c>
      <c r="B8834" t="n">
        <v>0</v>
      </c>
      <c r="C8834" t="n">
        <v>0</v>
      </c>
    </row>
    <row r="8835">
      <c r="A8835" s="28" t="n">
        <v>32093</v>
      </c>
      <c r="B8835" t="n">
        <v>8.800000000000001</v>
      </c>
      <c r="C8835" t="n">
        <v>5.83</v>
      </c>
    </row>
    <row r="8836">
      <c r="A8836" s="28" t="n">
        <v>32094</v>
      </c>
      <c r="B8836" t="n">
        <v>8.84</v>
      </c>
      <c r="C8836" t="n">
        <v>5.91</v>
      </c>
    </row>
    <row r="8837">
      <c r="A8837" s="28" t="n">
        <v>32097</v>
      </c>
      <c r="B8837" t="n">
        <v>8.82</v>
      </c>
      <c r="C8837" t="n">
        <v>5.87</v>
      </c>
    </row>
    <row r="8838">
      <c r="A8838" s="28" t="n">
        <v>32098</v>
      </c>
      <c r="B8838" t="n">
        <v>8.859999999999999</v>
      </c>
      <c r="C8838" t="n">
        <v>5.88</v>
      </c>
    </row>
    <row r="8839">
      <c r="A8839" s="28" t="n">
        <v>32099</v>
      </c>
      <c r="B8839" t="n">
        <v>8.85</v>
      </c>
      <c r="C8839" t="n">
        <v>5.77</v>
      </c>
    </row>
    <row r="8840">
      <c r="A8840" s="28" t="n">
        <v>32100</v>
      </c>
      <c r="B8840" t="n">
        <v>8.83</v>
      </c>
      <c r="C8840" t="n">
        <v>5.66</v>
      </c>
    </row>
    <row r="8841">
      <c r="A8841" s="28" t="n">
        <v>32101</v>
      </c>
      <c r="B8841" t="n">
        <v>8.789999999999999</v>
      </c>
      <c r="C8841" t="n">
        <v>5.72</v>
      </c>
    </row>
    <row r="8842">
      <c r="A8842" s="28" t="n">
        <v>32104</v>
      </c>
      <c r="B8842" t="n">
        <v>8.800000000000001</v>
      </c>
      <c r="C8842" t="n">
        <v>5.78</v>
      </c>
    </row>
    <row r="8843">
      <c r="A8843" s="28" t="n">
        <v>32105</v>
      </c>
      <c r="B8843" t="n">
        <v>8.890000000000001</v>
      </c>
      <c r="C8843" t="n">
        <v>5.77</v>
      </c>
    </row>
    <row r="8844">
      <c r="A8844" s="28" t="n">
        <v>32106</v>
      </c>
      <c r="B8844" t="n">
        <v>8.98</v>
      </c>
      <c r="C8844" t="n">
        <v>5.7</v>
      </c>
    </row>
    <row r="8845">
      <c r="A8845" s="28" t="n">
        <v>32107</v>
      </c>
      <c r="B8845" t="n">
        <v>0</v>
      </c>
      <c r="C8845" t="n">
        <v>0</v>
      </c>
    </row>
    <row r="8846">
      <c r="A8846" s="28" t="n">
        <v>32108</v>
      </c>
      <c r="B8846" t="n">
        <v>9.109999999999999</v>
      </c>
      <c r="C8846" t="n">
        <v>5.63</v>
      </c>
    </row>
    <row r="8847">
      <c r="A8847" s="28" t="n">
        <v>32111</v>
      </c>
      <c r="B8847" t="n">
        <v>8.99</v>
      </c>
      <c r="C8847" t="n">
        <v>5.21</v>
      </c>
    </row>
    <row r="8848">
      <c r="A8848" s="28" t="n">
        <v>32112</v>
      </c>
      <c r="B8848" t="n">
        <v>9.01</v>
      </c>
      <c r="C8848" t="n">
        <v>5.55</v>
      </c>
    </row>
    <row r="8849">
      <c r="A8849" s="28" t="n">
        <v>32113</v>
      </c>
      <c r="B8849" t="n">
        <v>9.01</v>
      </c>
      <c r="C8849" t="n">
        <v>5.49</v>
      </c>
    </row>
    <row r="8850">
      <c r="A8850" s="28" t="n">
        <v>32114</v>
      </c>
      <c r="B8850" t="n">
        <v>8.94</v>
      </c>
      <c r="C8850" t="n">
        <v>5.36</v>
      </c>
    </row>
    <row r="8851">
      <c r="A8851" s="28" t="n">
        <v>32115</v>
      </c>
      <c r="B8851" t="n">
        <v>8.94</v>
      </c>
      <c r="C8851" t="n">
        <v>5.43</v>
      </c>
    </row>
    <row r="8852">
      <c r="A8852" s="28" t="n">
        <v>32118</v>
      </c>
      <c r="B8852" t="n">
        <v>9.07</v>
      </c>
      <c r="C8852" t="n">
        <v>5.82</v>
      </c>
    </row>
    <row r="8853">
      <c r="A8853" s="28" t="n">
        <v>32119</v>
      </c>
      <c r="B8853" t="n">
        <v>9.09</v>
      </c>
      <c r="C8853" t="n">
        <v>5.86</v>
      </c>
    </row>
    <row r="8854">
      <c r="A8854" s="28" t="n">
        <v>32120</v>
      </c>
      <c r="B8854" t="n">
        <v>9.050000000000001</v>
      </c>
      <c r="C8854" t="n">
        <v>5.83</v>
      </c>
    </row>
    <row r="8855">
      <c r="A8855" s="28" t="n">
        <v>32121</v>
      </c>
      <c r="B8855" t="n">
        <v>9.23</v>
      </c>
      <c r="C8855" t="n">
        <v>5.92</v>
      </c>
    </row>
    <row r="8856">
      <c r="A8856" s="28" t="n">
        <v>32122</v>
      </c>
      <c r="B8856" t="n">
        <v>9.279999999999999</v>
      </c>
      <c r="C8856" t="n">
        <v>5.86</v>
      </c>
    </row>
    <row r="8857">
      <c r="A8857" s="28" t="n">
        <v>32125</v>
      </c>
      <c r="B8857" t="n">
        <v>9.23</v>
      </c>
      <c r="C8857" t="n">
        <v>5.85</v>
      </c>
    </row>
    <row r="8858">
      <c r="A8858" s="28" t="n">
        <v>32126</v>
      </c>
      <c r="B8858" t="n">
        <v>9.09</v>
      </c>
      <c r="C8858" t="n">
        <v>5.93</v>
      </c>
    </row>
    <row r="8859">
      <c r="A8859" s="28" t="n">
        <v>32127</v>
      </c>
      <c r="B8859" t="n">
        <v>9</v>
      </c>
      <c r="C8859" t="n">
        <v>5.94</v>
      </c>
    </row>
    <row r="8860">
      <c r="A8860" s="28" t="n">
        <v>32128</v>
      </c>
      <c r="B8860" t="n">
        <v>9.029999999999999</v>
      </c>
      <c r="C8860" t="n">
        <v>5.93</v>
      </c>
    </row>
    <row r="8861">
      <c r="A8861" s="28" t="n">
        <v>32129</v>
      </c>
      <c r="B8861" t="n">
        <v>8.890000000000001</v>
      </c>
      <c r="C8861" t="n">
        <v>5.87</v>
      </c>
    </row>
    <row r="8862">
      <c r="A8862" s="28" t="n">
        <v>32132</v>
      </c>
      <c r="B8862" t="n">
        <v>8.880000000000001</v>
      </c>
      <c r="C8862" t="n">
        <v>5.87</v>
      </c>
    </row>
    <row r="8863">
      <c r="A8863" s="28" t="n">
        <v>32133</v>
      </c>
      <c r="B8863" t="n">
        <v>8.949999999999999</v>
      </c>
      <c r="C8863" t="n">
        <v>5.93</v>
      </c>
    </row>
    <row r="8864">
      <c r="A8864" s="28" t="n">
        <v>32134</v>
      </c>
      <c r="B8864" t="n">
        <v>8.83</v>
      </c>
      <c r="C8864" t="n">
        <v>5.78</v>
      </c>
    </row>
    <row r="8865">
      <c r="A8865" s="28" t="n">
        <v>32135</v>
      </c>
      <c r="B8865" t="n">
        <v>8.82</v>
      </c>
      <c r="C8865" t="n">
        <v>5.74</v>
      </c>
    </row>
    <row r="8866">
      <c r="A8866" s="28" t="n">
        <v>32136</v>
      </c>
      <c r="B8866" t="n">
        <v>0</v>
      </c>
      <c r="C8866" t="n">
        <v>0</v>
      </c>
    </row>
    <row r="8867">
      <c r="A8867" s="28" t="n">
        <v>32139</v>
      </c>
      <c r="B8867" t="n">
        <v>8.93</v>
      </c>
      <c r="C8867" t="n">
        <v>5.7</v>
      </c>
    </row>
    <row r="8868">
      <c r="A8868" s="28" t="n">
        <v>32140</v>
      </c>
      <c r="B8868" t="n">
        <v>8.85</v>
      </c>
      <c r="C8868" t="n">
        <v>5.84</v>
      </c>
    </row>
    <row r="8869">
      <c r="A8869" s="28" t="n">
        <v>32141</v>
      </c>
      <c r="B8869" t="n">
        <v>8.779999999999999</v>
      </c>
      <c r="C8869" t="n">
        <v>5.71</v>
      </c>
    </row>
    <row r="8870">
      <c r="A8870" s="28" t="n">
        <v>32142</v>
      </c>
      <c r="B8870" t="n">
        <v>8.83</v>
      </c>
      <c r="C8870" t="n">
        <v>5.68</v>
      </c>
    </row>
    <row r="8871">
      <c r="A8871" s="28" t="n">
        <v>32143</v>
      </c>
      <c r="B8871" t="n">
        <v>0</v>
      </c>
      <c r="C8871" t="n">
        <v>0</v>
      </c>
    </row>
    <row r="8872">
      <c r="A8872" s="28" t="n">
        <v>32146</v>
      </c>
      <c r="B8872" t="n">
        <v>8.83</v>
      </c>
      <c r="C8872" t="n">
        <v>5.88</v>
      </c>
    </row>
    <row r="8873">
      <c r="A8873" s="28" t="n">
        <v>32147</v>
      </c>
      <c r="B8873" t="n">
        <v>8.76</v>
      </c>
      <c r="C8873" t="n">
        <v>5.93</v>
      </c>
    </row>
    <row r="8874">
      <c r="A8874" s="28" t="n">
        <v>32148</v>
      </c>
      <c r="B8874" t="n">
        <v>8.82</v>
      </c>
      <c r="C8874" t="n">
        <v>5.84</v>
      </c>
    </row>
    <row r="8875">
      <c r="A8875" s="28" t="n">
        <v>32149</v>
      </c>
      <c r="B8875" t="n">
        <v>8.83</v>
      </c>
      <c r="C8875" t="n">
        <v>5.78</v>
      </c>
    </row>
    <row r="8876">
      <c r="A8876" s="28" t="n">
        <v>32150</v>
      </c>
      <c r="B8876" t="n">
        <v>8.970000000000001</v>
      </c>
      <c r="C8876" t="n">
        <v>5.87</v>
      </c>
    </row>
    <row r="8877">
      <c r="A8877" s="28" t="n">
        <v>32153</v>
      </c>
      <c r="B8877" t="n">
        <v>8.94</v>
      </c>
      <c r="C8877" t="n">
        <v>5.69</v>
      </c>
    </row>
    <row r="8878">
      <c r="A8878" s="28" t="n">
        <v>32154</v>
      </c>
      <c r="B8878" t="n">
        <v>8.93</v>
      </c>
      <c r="C8878" t="n">
        <v>5.81</v>
      </c>
    </row>
    <row r="8879">
      <c r="A8879" s="28" t="n">
        <v>32155</v>
      </c>
      <c r="B8879" t="n">
        <v>8.869999999999999</v>
      </c>
      <c r="C8879" t="n">
        <v>5.79</v>
      </c>
    </row>
    <row r="8880">
      <c r="A8880" s="28" t="n">
        <v>32156</v>
      </c>
      <c r="B8880" t="n">
        <v>8.859999999999999</v>
      </c>
      <c r="C8880" t="n">
        <v>5.88</v>
      </c>
    </row>
    <row r="8881">
      <c r="A8881" s="28" t="n">
        <v>32157</v>
      </c>
      <c r="B8881" t="n">
        <v>8.6</v>
      </c>
      <c r="C8881" t="n">
        <v>5.88</v>
      </c>
    </row>
    <row r="8882">
      <c r="A8882" s="28" t="n">
        <v>32160</v>
      </c>
      <c r="B8882" t="n">
        <v>0</v>
      </c>
      <c r="C8882" t="n">
        <v>0</v>
      </c>
    </row>
    <row r="8883">
      <c r="A8883" s="28" t="n">
        <v>32161</v>
      </c>
      <c r="B8883" t="n">
        <v>8.65</v>
      </c>
      <c r="C8883" t="n">
        <v>5.96</v>
      </c>
    </row>
    <row r="8884">
      <c r="A8884" s="28" t="n">
        <v>32162</v>
      </c>
      <c r="B8884" t="n">
        <v>8.609999999999999</v>
      </c>
      <c r="C8884" t="n">
        <v>5.81</v>
      </c>
    </row>
    <row r="8885">
      <c r="A8885" s="28" t="n">
        <v>32163</v>
      </c>
      <c r="B8885" t="n">
        <v>8.529999999999999</v>
      </c>
      <c r="C8885" t="n">
        <v>5.82</v>
      </c>
    </row>
    <row r="8886">
      <c r="A8886" s="28" t="n">
        <v>32164</v>
      </c>
      <c r="B8886" t="n">
        <v>8.49</v>
      </c>
      <c r="C8886" t="n">
        <v>5.81</v>
      </c>
    </row>
    <row r="8887">
      <c r="A8887" s="28" t="n">
        <v>32167</v>
      </c>
      <c r="B8887" t="n">
        <v>8.449999999999999</v>
      </c>
      <c r="C8887" t="n">
        <v>5.83</v>
      </c>
    </row>
    <row r="8888">
      <c r="A8888" s="28" t="n">
        <v>32168</v>
      </c>
      <c r="B8888" t="n">
        <v>8.539999999999999</v>
      </c>
      <c r="C8888" t="n">
        <v>5.82</v>
      </c>
    </row>
    <row r="8889">
      <c r="A8889" s="28" t="n">
        <v>32169</v>
      </c>
      <c r="B8889" t="n">
        <v>8.380000000000001</v>
      </c>
      <c r="C8889" t="n">
        <v>5.74</v>
      </c>
    </row>
    <row r="8890">
      <c r="A8890" s="28" t="n">
        <v>32170</v>
      </c>
      <c r="B8890" t="n">
        <v>8.33</v>
      </c>
      <c r="C8890" t="n">
        <v>5.68</v>
      </c>
    </row>
    <row r="8891">
      <c r="A8891" s="28" t="n">
        <v>32171</v>
      </c>
      <c r="B8891" t="n">
        <v>8.26</v>
      </c>
      <c r="C8891" t="n">
        <v>5.64</v>
      </c>
    </row>
    <row r="8892">
      <c r="A8892" s="28" t="n">
        <v>32174</v>
      </c>
      <c r="B8892" t="n">
        <v>8.26</v>
      </c>
      <c r="C8892" t="n">
        <v>5.66</v>
      </c>
    </row>
    <row r="8893">
      <c r="A8893" s="28" t="n">
        <v>32175</v>
      </c>
      <c r="B8893" t="n">
        <v>8.18</v>
      </c>
      <c r="C8893" t="n">
        <v>5.71</v>
      </c>
    </row>
    <row r="8894">
      <c r="A8894" s="28" t="n">
        <v>32176</v>
      </c>
      <c r="B8894" t="n">
        <v>8.210000000000001</v>
      </c>
      <c r="C8894" t="n">
        <v>5.71</v>
      </c>
    </row>
    <row r="8895">
      <c r="A8895" s="28" t="n">
        <v>32177</v>
      </c>
      <c r="B8895" t="n">
        <v>8.24</v>
      </c>
      <c r="C8895" t="n">
        <v>5.65</v>
      </c>
    </row>
    <row r="8896">
      <c r="A8896" s="28" t="n">
        <v>32178</v>
      </c>
      <c r="B8896" t="n">
        <v>8.119999999999999</v>
      </c>
      <c r="C8896" t="n">
        <v>5.64</v>
      </c>
    </row>
    <row r="8897">
      <c r="A8897" s="28" t="n">
        <v>32181</v>
      </c>
      <c r="B8897" t="n">
        <v>8.19</v>
      </c>
      <c r="C8897" t="n">
        <v>5.64</v>
      </c>
    </row>
    <row r="8898">
      <c r="A8898" s="28" t="n">
        <v>32182</v>
      </c>
      <c r="B8898" t="n">
        <v>8.16</v>
      </c>
      <c r="C8898" t="n">
        <v>5.6</v>
      </c>
    </row>
    <row r="8899">
      <c r="A8899" s="28" t="n">
        <v>32183</v>
      </c>
      <c r="B8899" t="n">
        <v>8.109999999999999</v>
      </c>
      <c r="C8899" t="n">
        <v>5.61</v>
      </c>
    </row>
    <row r="8900">
      <c r="A8900" s="28" t="n">
        <v>32184</v>
      </c>
      <c r="B8900" t="n">
        <v>8.16</v>
      </c>
      <c r="C8900" t="n">
        <v>5.63</v>
      </c>
    </row>
    <row r="8901">
      <c r="A8901" s="28" t="n">
        <v>32185</v>
      </c>
      <c r="B8901" t="n">
        <v>8.279999999999999</v>
      </c>
      <c r="C8901" t="n">
        <v>5.75</v>
      </c>
    </row>
    <row r="8902">
      <c r="A8902" s="28" t="n">
        <v>32188</v>
      </c>
      <c r="B8902" t="n">
        <v>0</v>
      </c>
      <c r="C8902" t="n">
        <v>0</v>
      </c>
    </row>
    <row r="8903">
      <c r="A8903" s="28" t="n">
        <v>32189</v>
      </c>
      <c r="B8903" t="n">
        <v>8.31</v>
      </c>
      <c r="C8903" t="n">
        <v>5.75</v>
      </c>
    </row>
    <row r="8904">
      <c r="A8904" s="28" t="n">
        <v>32190</v>
      </c>
      <c r="B8904" t="n">
        <v>8.32</v>
      </c>
      <c r="C8904" t="n">
        <v>5.74</v>
      </c>
    </row>
    <row r="8905">
      <c r="A8905" s="28" t="n">
        <v>32191</v>
      </c>
      <c r="B8905" t="n">
        <v>8.279999999999999</v>
      </c>
      <c r="C8905" t="n">
        <v>5.69</v>
      </c>
    </row>
    <row r="8906">
      <c r="A8906" s="28" t="n">
        <v>32192</v>
      </c>
      <c r="B8906" t="n">
        <v>8.26</v>
      </c>
      <c r="C8906" t="n">
        <v>5.68</v>
      </c>
    </row>
    <row r="8907">
      <c r="A8907" s="28" t="n">
        <v>32195</v>
      </c>
      <c r="B8907" t="n">
        <v>8.24</v>
      </c>
      <c r="C8907" t="n">
        <v>5.66</v>
      </c>
    </row>
    <row r="8908">
      <c r="A8908" s="28" t="n">
        <v>32196</v>
      </c>
      <c r="B8908" t="n">
        <v>8.17</v>
      </c>
      <c r="C8908" t="n">
        <v>5.63</v>
      </c>
    </row>
    <row r="8909">
      <c r="A8909" s="28" t="n">
        <v>32197</v>
      </c>
      <c r="B8909" t="n">
        <v>8.18</v>
      </c>
      <c r="C8909" t="n">
        <v>5.62</v>
      </c>
    </row>
    <row r="8910">
      <c r="A8910" s="28" t="n">
        <v>32198</v>
      </c>
      <c r="B8910" t="n">
        <v>8.23</v>
      </c>
      <c r="C8910" t="n">
        <v>5.63</v>
      </c>
    </row>
    <row r="8911">
      <c r="A8911" s="28" t="n">
        <v>32199</v>
      </c>
      <c r="B8911" t="n">
        <v>8.18</v>
      </c>
      <c r="C8911" t="n">
        <v>5.59</v>
      </c>
    </row>
    <row r="8912">
      <c r="A8912" s="28" t="n">
        <v>32202</v>
      </c>
      <c r="B8912" t="n">
        <v>8.16</v>
      </c>
      <c r="C8912" t="n">
        <v>5.62</v>
      </c>
    </row>
    <row r="8913">
      <c r="A8913" s="28" t="n">
        <v>32203</v>
      </c>
      <c r="B8913" t="n">
        <v>8.15</v>
      </c>
      <c r="C8913" t="n">
        <v>5.62</v>
      </c>
    </row>
    <row r="8914">
      <c r="A8914" s="28" t="n">
        <v>32204</v>
      </c>
      <c r="B8914" t="n">
        <v>8.130000000000001</v>
      </c>
      <c r="C8914" t="n">
        <v>5.61</v>
      </c>
    </row>
    <row r="8915">
      <c r="A8915" s="28" t="n">
        <v>32205</v>
      </c>
      <c r="B8915" t="n">
        <v>8.119999999999999</v>
      </c>
      <c r="C8915" t="n">
        <v>5.6</v>
      </c>
    </row>
    <row r="8916">
      <c r="A8916" s="28" t="n">
        <v>32206</v>
      </c>
      <c r="B8916" t="n">
        <v>8.279999999999999</v>
      </c>
      <c r="C8916" t="n">
        <v>5.71</v>
      </c>
    </row>
    <row r="8917">
      <c r="A8917" s="28" t="n">
        <v>32209</v>
      </c>
      <c r="B8917" t="n">
        <v>8.300000000000001</v>
      </c>
      <c r="C8917" t="n">
        <v>5.72</v>
      </c>
    </row>
    <row r="8918">
      <c r="A8918" s="28" t="n">
        <v>32210</v>
      </c>
      <c r="B8918" t="n">
        <v>8.33</v>
      </c>
      <c r="C8918" t="n">
        <v>5.74</v>
      </c>
    </row>
    <row r="8919">
      <c r="A8919" s="28" t="n">
        <v>32211</v>
      </c>
      <c r="B8919" t="n">
        <v>8.32</v>
      </c>
      <c r="C8919" t="n">
        <v>5.73</v>
      </c>
    </row>
    <row r="8920">
      <c r="A8920" s="28" t="n">
        <v>32212</v>
      </c>
      <c r="B8920" t="n">
        <v>8.35</v>
      </c>
      <c r="C8920" t="n">
        <v>5.75</v>
      </c>
    </row>
    <row r="8921">
      <c r="A8921" s="28" t="n">
        <v>32213</v>
      </c>
      <c r="B8921" t="n">
        <v>8.289999999999999</v>
      </c>
      <c r="C8921" t="n">
        <v>5.73</v>
      </c>
    </row>
    <row r="8922">
      <c r="A8922" s="28" t="n">
        <v>32216</v>
      </c>
      <c r="B8922" t="n">
        <v>8.289999999999999</v>
      </c>
      <c r="C8922" t="n">
        <v>5.7</v>
      </c>
    </row>
    <row r="8923">
      <c r="A8923" s="28" t="n">
        <v>32217</v>
      </c>
      <c r="B8923" t="n">
        <v>8.300000000000001</v>
      </c>
      <c r="C8923" t="n">
        <v>5.61</v>
      </c>
    </row>
    <row r="8924">
      <c r="A8924" s="28" t="n">
        <v>32218</v>
      </c>
      <c r="B8924" t="n">
        <v>8.359999999999999</v>
      </c>
      <c r="C8924" t="n">
        <v>5.61</v>
      </c>
    </row>
    <row r="8925">
      <c r="A8925" s="28" t="n">
        <v>32219</v>
      </c>
      <c r="B8925" t="n">
        <v>8.300000000000001</v>
      </c>
      <c r="C8925" t="n">
        <v>5.6</v>
      </c>
    </row>
    <row r="8926">
      <c r="A8926" s="28" t="n">
        <v>32220</v>
      </c>
      <c r="B8926" t="n">
        <v>8.41</v>
      </c>
      <c r="C8926" t="n">
        <v>5.66</v>
      </c>
    </row>
    <row r="8927">
      <c r="A8927" s="28" t="n">
        <v>32223</v>
      </c>
      <c r="B8927" t="n">
        <v>8.470000000000001</v>
      </c>
      <c r="C8927" t="n">
        <v>5.74</v>
      </c>
    </row>
    <row r="8928">
      <c r="A8928" s="28" t="n">
        <v>32224</v>
      </c>
      <c r="B8928" t="n">
        <v>8.460000000000001</v>
      </c>
      <c r="C8928" t="n">
        <v>5.78</v>
      </c>
    </row>
    <row r="8929">
      <c r="A8929" s="28" t="n">
        <v>32225</v>
      </c>
      <c r="B8929" t="n">
        <v>8.470000000000001</v>
      </c>
      <c r="C8929" t="n">
        <v>5.83</v>
      </c>
    </row>
    <row r="8930">
      <c r="A8930" s="28" t="n">
        <v>32226</v>
      </c>
      <c r="B8930" t="n">
        <v>8.51</v>
      </c>
      <c r="C8930" t="n">
        <v>5.79</v>
      </c>
    </row>
    <row r="8931">
      <c r="A8931" s="28" t="n">
        <v>32227</v>
      </c>
      <c r="B8931" t="n">
        <v>8.470000000000001</v>
      </c>
      <c r="C8931" t="n">
        <v>5.7</v>
      </c>
    </row>
    <row r="8932">
      <c r="A8932" s="28" t="n">
        <v>32230</v>
      </c>
      <c r="B8932" t="n">
        <v>8.58</v>
      </c>
      <c r="C8932" t="n">
        <v>5.74</v>
      </c>
    </row>
    <row r="8933">
      <c r="A8933" s="28" t="n">
        <v>32231</v>
      </c>
      <c r="B8933" t="n">
        <v>8.56</v>
      </c>
      <c r="C8933" t="n">
        <v>5.74</v>
      </c>
    </row>
    <row r="8934">
      <c r="A8934" s="28" t="n">
        <v>32232</v>
      </c>
      <c r="B8934" t="n">
        <v>8.57</v>
      </c>
      <c r="C8934" t="n">
        <v>5.75</v>
      </c>
    </row>
    <row r="8935">
      <c r="A8935" s="28" t="n">
        <v>32233</v>
      </c>
      <c r="B8935" t="n">
        <v>8.57</v>
      </c>
      <c r="C8935" t="n">
        <v>5.71</v>
      </c>
    </row>
    <row r="8936">
      <c r="A8936" s="28" t="n">
        <v>32234</v>
      </c>
      <c r="B8936" t="n">
        <v>0</v>
      </c>
      <c r="C8936" t="n">
        <v>0</v>
      </c>
    </row>
    <row r="8937">
      <c r="A8937" s="28" t="n">
        <v>32237</v>
      </c>
      <c r="B8937" t="n">
        <v>8.68</v>
      </c>
      <c r="C8937" t="n">
        <v>5.85</v>
      </c>
    </row>
    <row r="8938">
      <c r="A8938" s="28" t="n">
        <v>32238</v>
      </c>
      <c r="B8938" t="n">
        <v>8.67</v>
      </c>
      <c r="C8938" t="n">
        <v>6</v>
      </c>
    </row>
    <row r="8939">
      <c r="A8939" s="28" t="n">
        <v>32239</v>
      </c>
      <c r="B8939" t="n">
        <v>8.609999999999999</v>
      </c>
      <c r="C8939" t="n">
        <v>6.05</v>
      </c>
    </row>
    <row r="8940">
      <c r="A8940" s="28" t="n">
        <v>32240</v>
      </c>
      <c r="B8940" t="n">
        <v>8.6</v>
      </c>
      <c r="C8940" t="n">
        <v>6.05</v>
      </c>
    </row>
    <row r="8941">
      <c r="A8941" s="28" t="n">
        <v>32241</v>
      </c>
      <c r="B8941" t="n">
        <v>8.52</v>
      </c>
      <c r="C8941" t="n">
        <v>6.02</v>
      </c>
    </row>
    <row r="8942">
      <c r="A8942" s="28" t="n">
        <v>32244</v>
      </c>
      <c r="B8942" t="n">
        <v>8.59</v>
      </c>
      <c r="C8942" t="n">
        <v>6.04</v>
      </c>
    </row>
    <row r="8943">
      <c r="A8943" s="28" t="n">
        <v>32245</v>
      </c>
      <c r="B8943" t="n">
        <v>8.57</v>
      </c>
      <c r="C8943" t="n">
        <v>5.93</v>
      </c>
    </row>
    <row r="8944">
      <c r="A8944" s="28" t="n">
        <v>32246</v>
      </c>
      <c r="B8944" t="n">
        <v>8.56</v>
      </c>
      <c r="C8944" t="n">
        <v>5.86</v>
      </c>
    </row>
    <row r="8945">
      <c r="A8945" s="28" t="n">
        <v>32247</v>
      </c>
      <c r="B8945" t="n">
        <v>8.67</v>
      </c>
      <c r="C8945" t="n">
        <v>5.74</v>
      </c>
    </row>
    <row r="8946">
      <c r="A8946" s="28" t="n">
        <v>32248</v>
      </c>
      <c r="B8946" t="n">
        <v>8.74</v>
      </c>
      <c r="C8946" t="n">
        <v>5.88</v>
      </c>
    </row>
    <row r="8947">
      <c r="A8947" s="28" t="n">
        <v>32251</v>
      </c>
      <c r="B8947" t="n">
        <v>8.81</v>
      </c>
      <c r="C8947" t="n">
        <v>5.85</v>
      </c>
    </row>
    <row r="8948">
      <c r="A8948" s="28" t="n">
        <v>32252</v>
      </c>
      <c r="B8948" t="n">
        <v>8.81</v>
      </c>
      <c r="C8948" t="n">
        <v>5.81</v>
      </c>
    </row>
    <row r="8949">
      <c r="A8949" s="28" t="n">
        <v>32253</v>
      </c>
      <c r="B8949" t="n">
        <v>8.83</v>
      </c>
      <c r="C8949" t="n">
        <v>5.84</v>
      </c>
    </row>
    <row r="8950">
      <c r="A8950" s="28" t="n">
        <v>32254</v>
      </c>
      <c r="B8950" t="n">
        <v>8.82</v>
      </c>
      <c r="C8950" t="n">
        <v>5.83</v>
      </c>
    </row>
    <row r="8951">
      <c r="A8951" s="28" t="n">
        <v>32255</v>
      </c>
      <c r="B8951" t="n">
        <v>8.779999999999999</v>
      </c>
      <c r="C8951" t="n">
        <v>5.83</v>
      </c>
    </row>
    <row r="8952">
      <c r="A8952" s="28" t="n">
        <v>32258</v>
      </c>
      <c r="B8952" t="n">
        <v>8.779999999999999</v>
      </c>
      <c r="C8952" t="n">
        <v>5.85</v>
      </c>
    </row>
    <row r="8953">
      <c r="A8953" s="28" t="n">
        <v>32259</v>
      </c>
      <c r="B8953" t="n">
        <v>8.800000000000001</v>
      </c>
      <c r="C8953" t="n">
        <v>5.9</v>
      </c>
    </row>
    <row r="8954">
      <c r="A8954" s="28" t="n">
        <v>32260</v>
      </c>
      <c r="B8954" t="n">
        <v>8.800000000000001</v>
      </c>
      <c r="C8954" t="n">
        <v>5.87</v>
      </c>
    </row>
    <row r="8955">
      <c r="A8955" s="28" t="n">
        <v>32261</v>
      </c>
      <c r="B8955" t="n">
        <v>8.859999999999999</v>
      </c>
      <c r="C8955" t="n">
        <v>5.96</v>
      </c>
    </row>
    <row r="8956">
      <c r="A8956" s="28" t="n">
        <v>32262</v>
      </c>
      <c r="B8956" t="n">
        <v>8.869999999999999</v>
      </c>
      <c r="C8956" t="n">
        <v>5.98</v>
      </c>
    </row>
    <row r="8957">
      <c r="A8957" s="28" t="n">
        <v>32265</v>
      </c>
      <c r="B8957" t="n">
        <v>8.94</v>
      </c>
      <c r="C8957" t="n">
        <v>6.08</v>
      </c>
    </row>
    <row r="8958">
      <c r="A8958" s="28" t="n">
        <v>32266</v>
      </c>
      <c r="B8958" t="n">
        <v>8.890000000000001</v>
      </c>
      <c r="C8958" t="n">
        <v>6.13</v>
      </c>
    </row>
    <row r="8959">
      <c r="A8959" s="28" t="n">
        <v>32267</v>
      </c>
      <c r="B8959" t="n">
        <v>8.9</v>
      </c>
      <c r="C8959" t="n">
        <v>6.14</v>
      </c>
    </row>
    <row r="8960">
      <c r="A8960" s="28" t="n">
        <v>32268</v>
      </c>
      <c r="B8960" t="n">
        <v>8.92</v>
      </c>
      <c r="C8960" t="n">
        <v>6.18</v>
      </c>
    </row>
    <row r="8961">
      <c r="A8961" s="28" t="n">
        <v>32269</v>
      </c>
      <c r="B8961" t="n">
        <v>9.01</v>
      </c>
      <c r="C8961" t="n">
        <v>6.29</v>
      </c>
    </row>
    <row r="8962">
      <c r="A8962" s="28" t="n">
        <v>32272</v>
      </c>
      <c r="B8962" t="n">
        <v>9.029999999999999</v>
      </c>
      <c r="C8962" t="n">
        <v>6.31</v>
      </c>
    </row>
    <row r="8963">
      <c r="A8963" s="28" t="n">
        <v>32273</v>
      </c>
      <c r="B8963" t="n">
        <v>9.07</v>
      </c>
      <c r="C8963" t="n">
        <v>6.34</v>
      </c>
    </row>
    <row r="8964">
      <c r="A8964" s="28" t="n">
        <v>32274</v>
      </c>
      <c r="B8964" t="n">
        <v>9.050000000000001</v>
      </c>
      <c r="C8964" t="n">
        <v>6.26</v>
      </c>
    </row>
    <row r="8965">
      <c r="A8965" s="28" t="n">
        <v>32275</v>
      </c>
      <c r="B8965" t="n">
        <v>9.039999999999999</v>
      </c>
      <c r="C8965" t="n">
        <v>6.21</v>
      </c>
    </row>
    <row r="8966">
      <c r="A8966" s="28" t="n">
        <v>32276</v>
      </c>
      <c r="B8966" t="n">
        <v>9</v>
      </c>
      <c r="C8966" t="n">
        <v>6.18</v>
      </c>
    </row>
    <row r="8967">
      <c r="A8967" s="28" t="n">
        <v>32279</v>
      </c>
      <c r="B8967" t="n">
        <v>9.01</v>
      </c>
      <c r="C8967" t="n">
        <v>6.2</v>
      </c>
    </row>
    <row r="8968">
      <c r="A8968" s="28" t="n">
        <v>32280</v>
      </c>
      <c r="B8968" t="n">
        <v>9.119999999999999</v>
      </c>
      <c r="C8968" t="n">
        <v>6.3</v>
      </c>
    </row>
    <row r="8969">
      <c r="A8969" s="28" t="n">
        <v>32281</v>
      </c>
      <c r="B8969" t="n">
        <v>9.19</v>
      </c>
      <c r="C8969" t="n">
        <v>6.21</v>
      </c>
    </row>
    <row r="8970">
      <c r="A8970" s="28" t="n">
        <v>32282</v>
      </c>
      <c r="B8970" t="n">
        <v>9.18</v>
      </c>
      <c r="C8970" t="n">
        <v>6.15</v>
      </c>
    </row>
    <row r="8971">
      <c r="A8971" s="28" t="n">
        <v>32283</v>
      </c>
      <c r="B8971" t="n">
        <v>9.220000000000001</v>
      </c>
      <c r="C8971" t="n">
        <v>6.24</v>
      </c>
    </row>
    <row r="8972">
      <c r="A8972" s="28" t="n">
        <v>32286</v>
      </c>
      <c r="B8972" t="n">
        <v>9.23</v>
      </c>
      <c r="C8972" t="n">
        <v>6.25</v>
      </c>
    </row>
    <row r="8973">
      <c r="A8973" s="28" t="n">
        <v>32287</v>
      </c>
      <c r="B8973" t="n">
        <v>9.220000000000001</v>
      </c>
      <c r="C8973" t="n">
        <v>6.31</v>
      </c>
    </row>
    <row r="8974">
      <c r="A8974" s="28" t="n">
        <v>32288</v>
      </c>
      <c r="B8974" t="n">
        <v>9.199999999999999</v>
      </c>
      <c r="C8974" t="n">
        <v>6.33</v>
      </c>
    </row>
    <row r="8975">
      <c r="A8975" s="28" t="n">
        <v>32289</v>
      </c>
      <c r="B8975" t="n">
        <v>9.210000000000001</v>
      </c>
      <c r="C8975" t="n">
        <v>6.42</v>
      </c>
    </row>
    <row r="8976">
      <c r="A8976" s="28" t="n">
        <v>32290</v>
      </c>
      <c r="B8976" t="n">
        <v>9.24</v>
      </c>
      <c r="C8976" t="n">
        <v>6.44</v>
      </c>
    </row>
    <row r="8977">
      <c r="A8977" s="28" t="n">
        <v>32293</v>
      </c>
      <c r="B8977" t="n">
        <v>0</v>
      </c>
      <c r="C8977" t="n">
        <v>0</v>
      </c>
    </row>
    <row r="8978">
      <c r="A8978" s="28" t="n">
        <v>32294</v>
      </c>
      <c r="B8978" t="n">
        <v>9.199999999999999</v>
      </c>
      <c r="C8978" t="n">
        <v>6.43</v>
      </c>
    </row>
    <row r="8979">
      <c r="A8979" s="28" t="n">
        <v>32295</v>
      </c>
      <c r="B8979" t="n">
        <v>9.029999999999999</v>
      </c>
      <c r="C8979" t="n">
        <v>6.47</v>
      </c>
    </row>
    <row r="8980">
      <c r="A8980" s="28" t="n">
        <v>32296</v>
      </c>
      <c r="B8980" t="n">
        <v>9.07</v>
      </c>
      <c r="C8980" t="n">
        <v>6.44</v>
      </c>
    </row>
    <row r="8981">
      <c r="A8981" s="28" t="n">
        <v>32297</v>
      </c>
      <c r="B8981" t="n">
        <v>8.970000000000001</v>
      </c>
      <c r="C8981" t="n">
        <v>6.46</v>
      </c>
    </row>
    <row r="8982">
      <c r="A8982" s="28" t="n">
        <v>32300</v>
      </c>
      <c r="B8982" t="n">
        <v>8.970000000000001</v>
      </c>
      <c r="C8982" t="n">
        <v>6.46</v>
      </c>
    </row>
    <row r="8983">
      <c r="A8983" s="28" t="n">
        <v>32301</v>
      </c>
      <c r="B8983" t="n">
        <v>9.02</v>
      </c>
      <c r="C8983" t="n">
        <v>6.43</v>
      </c>
    </row>
    <row r="8984">
      <c r="A8984" s="28" t="n">
        <v>32302</v>
      </c>
      <c r="B8984" t="n">
        <v>8.92</v>
      </c>
      <c r="C8984" t="n">
        <v>6.39</v>
      </c>
    </row>
    <row r="8985">
      <c r="A8985" s="28" t="n">
        <v>32303</v>
      </c>
      <c r="B8985" t="n">
        <v>8.960000000000001</v>
      </c>
      <c r="C8985" t="n">
        <v>6.44</v>
      </c>
    </row>
    <row r="8986">
      <c r="A8986" s="28" t="n">
        <v>32304</v>
      </c>
      <c r="B8986" t="n">
        <v>8.92</v>
      </c>
      <c r="C8986" t="n">
        <v>6.45</v>
      </c>
    </row>
    <row r="8987">
      <c r="A8987" s="28" t="n">
        <v>32307</v>
      </c>
      <c r="B8987" t="n">
        <v>8.91</v>
      </c>
      <c r="C8987" t="n">
        <v>6.44</v>
      </c>
    </row>
    <row r="8988">
      <c r="A8988" s="28" t="n">
        <v>32308</v>
      </c>
      <c r="B8988" t="n">
        <v>8.69</v>
      </c>
      <c r="C8988" t="n">
        <v>6.35</v>
      </c>
    </row>
    <row r="8989">
      <c r="A8989" s="28" t="n">
        <v>32309</v>
      </c>
      <c r="B8989" t="n">
        <v>8.710000000000001</v>
      </c>
      <c r="C8989" t="n">
        <v>6.34</v>
      </c>
    </row>
    <row r="8990">
      <c r="A8990" s="28" t="n">
        <v>32310</v>
      </c>
      <c r="B8990" t="n">
        <v>8.890000000000001</v>
      </c>
      <c r="C8990" t="n">
        <v>6.29</v>
      </c>
    </row>
    <row r="8991">
      <c r="A8991" s="28" t="n">
        <v>32311</v>
      </c>
      <c r="B8991" t="n">
        <v>9.02</v>
      </c>
      <c r="C8991" t="n">
        <v>6.37</v>
      </c>
    </row>
    <row r="8992">
      <c r="A8992" s="28" t="n">
        <v>32314</v>
      </c>
      <c r="B8992" t="n">
        <v>9.02</v>
      </c>
      <c r="C8992" t="n">
        <v>6.37</v>
      </c>
    </row>
    <row r="8993">
      <c r="A8993" s="28" t="n">
        <v>32315</v>
      </c>
      <c r="B8993" t="n">
        <v>9.029999999999999</v>
      </c>
      <c r="C8993" t="n">
        <v>6.56</v>
      </c>
    </row>
    <row r="8994">
      <c r="A8994" s="28" t="n">
        <v>32316</v>
      </c>
      <c r="B8994" t="n">
        <v>8.9</v>
      </c>
      <c r="C8994" t="n">
        <v>6.52</v>
      </c>
    </row>
    <row r="8995">
      <c r="A8995" s="28" t="n">
        <v>32317</v>
      </c>
      <c r="B8995" t="n">
        <v>8.880000000000001</v>
      </c>
      <c r="C8995" t="n">
        <v>6.52</v>
      </c>
    </row>
    <row r="8996">
      <c r="A8996" s="28" t="n">
        <v>32318</v>
      </c>
      <c r="B8996" t="n">
        <v>8.85</v>
      </c>
      <c r="C8996" t="n">
        <v>6.51</v>
      </c>
    </row>
    <row r="8997">
      <c r="A8997" s="28" t="n">
        <v>32321</v>
      </c>
      <c r="B8997" t="n">
        <v>8.94</v>
      </c>
      <c r="C8997" t="n">
        <v>6.56</v>
      </c>
    </row>
    <row r="8998">
      <c r="A8998" s="28" t="n">
        <v>32322</v>
      </c>
      <c r="B8998" t="n">
        <v>8.869999999999999</v>
      </c>
      <c r="C8998" t="n">
        <v>6.6</v>
      </c>
    </row>
    <row r="8999">
      <c r="A8999" s="28" t="n">
        <v>32323</v>
      </c>
      <c r="B8999" t="n">
        <v>8.880000000000001</v>
      </c>
      <c r="C8999" t="n">
        <v>6.58</v>
      </c>
    </row>
    <row r="9000">
      <c r="A9000" s="28" t="n">
        <v>32324</v>
      </c>
      <c r="B9000" t="n">
        <v>8.82</v>
      </c>
      <c r="C9000" t="n">
        <v>6.56</v>
      </c>
    </row>
    <row r="9001">
      <c r="A9001" s="28" t="n">
        <v>32325</v>
      </c>
      <c r="B9001" t="n">
        <v>8.77</v>
      </c>
      <c r="C9001" t="n">
        <v>6.55</v>
      </c>
    </row>
    <row r="9002">
      <c r="A9002" s="28" t="n">
        <v>32328</v>
      </c>
      <c r="B9002" t="n">
        <v>0</v>
      </c>
      <c r="C9002" t="n">
        <v>0</v>
      </c>
    </row>
    <row r="9003">
      <c r="A9003" s="28" t="n">
        <v>32329</v>
      </c>
      <c r="B9003" t="n">
        <v>8.82</v>
      </c>
      <c r="C9003" t="n">
        <v>6.56</v>
      </c>
    </row>
    <row r="9004">
      <c r="A9004" s="28" t="n">
        <v>32330</v>
      </c>
      <c r="B9004" t="n">
        <v>8.91</v>
      </c>
      <c r="C9004" t="n">
        <v>6.53</v>
      </c>
    </row>
    <row r="9005">
      <c r="A9005" s="28" t="n">
        <v>32331</v>
      </c>
      <c r="B9005" t="n">
        <v>8.949999999999999</v>
      </c>
      <c r="C9005" t="n">
        <v>6.55</v>
      </c>
    </row>
    <row r="9006">
      <c r="A9006" s="28" t="n">
        <v>32332</v>
      </c>
      <c r="B9006" t="n">
        <v>9.039999999999999</v>
      </c>
      <c r="C9006" t="n">
        <v>6.66</v>
      </c>
    </row>
    <row r="9007">
      <c r="A9007" s="28" t="n">
        <v>32335</v>
      </c>
      <c r="B9007" t="n">
        <v>9.02</v>
      </c>
      <c r="C9007" t="n">
        <v>6.61</v>
      </c>
    </row>
    <row r="9008">
      <c r="A9008" s="28" t="n">
        <v>32336</v>
      </c>
      <c r="B9008" t="n">
        <v>9.08</v>
      </c>
      <c r="C9008" t="n">
        <v>6.73</v>
      </c>
    </row>
    <row r="9009">
      <c r="A9009" s="28" t="n">
        <v>32337</v>
      </c>
      <c r="B9009" t="n">
        <v>9.119999999999999</v>
      </c>
      <c r="C9009" t="n">
        <v>6.72</v>
      </c>
    </row>
    <row r="9010">
      <c r="A9010" s="28" t="n">
        <v>32338</v>
      </c>
      <c r="B9010" t="n">
        <v>9.119999999999999</v>
      </c>
      <c r="C9010" t="n">
        <v>6.73</v>
      </c>
    </row>
    <row r="9011">
      <c r="A9011" s="28" t="n">
        <v>32339</v>
      </c>
      <c r="B9011" t="n">
        <v>9.08</v>
      </c>
      <c r="C9011" t="n">
        <v>6.72</v>
      </c>
    </row>
    <row r="9012">
      <c r="A9012" s="28" t="n">
        <v>32342</v>
      </c>
      <c r="B9012" t="n">
        <v>9.15</v>
      </c>
      <c r="C9012" t="n">
        <v>6.66</v>
      </c>
    </row>
    <row r="9013">
      <c r="A9013" s="28" t="n">
        <v>32343</v>
      </c>
      <c r="B9013" t="n">
        <v>9.1</v>
      </c>
      <c r="C9013" t="n">
        <v>6.69</v>
      </c>
    </row>
    <row r="9014">
      <c r="A9014" s="28" t="n">
        <v>32344</v>
      </c>
      <c r="B9014" t="n">
        <v>9.109999999999999</v>
      </c>
      <c r="C9014" t="n">
        <v>6.71</v>
      </c>
    </row>
    <row r="9015">
      <c r="A9015" s="28" t="n">
        <v>32345</v>
      </c>
      <c r="B9015" t="n">
        <v>9.16</v>
      </c>
      <c r="C9015" t="n">
        <v>6.78</v>
      </c>
    </row>
    <row r="9016">
      <c r="A9016" s="28" t="n">
        <v>32346</v>
      </c>
      <c r="B9016" t="n">
        <v>9.109999999999999</v>
      </c>
      <c r="C9016" t="n">
        <v>6.74</v>
      </c>
    </row>
    <row r="9017">
      <c r="A9017" s="28" t="n">
        <v>32349</v>
      </c>
      <c r="B9017" t="n">
        <v>9.07</v>
      </c>
      <c r="C9017" t="n">
        <v>6.8</v>
      </c>
    </row>
    <row r="9018">
      <c r="A9018" s="28" t="n">
        <v>32350</v>
      </c>
      <c r="B9018" t="n">
        <v>9.09</v>
      </c>
      <c r="C9018" t="n">
        <v>6.89</v>
      </c>
    </row>
    <row r="9019">
      <c r="A9019" s="28" t="n">
        <v>32351</v>
      </c>
      <c r="B9019" t="n">
        <v>9.140000000000001</v>
      </c>
      <c r="C9019" t="n">
        <v>7</v>
      </c>
    </row>
    <row r="9020">
      <c r="A9020" s="28" t="n">
        <v>32352</v>
      </c>
      <c r="B9020" t="n">
        <v>9.16</v>
      </c>
      <c r="C9020" t="n">
        <v>6.99</v>
      </c>
    </row>
    <row r="9021">
      <c r="A9021" s="28" t="n">
        <v>32353</v>
      </c>
      <c r="B9021" t="n">
        <v>9.119999999999999</v>
      </c>
      <c r="C9021" t="n">
        <v>6.95</v>
      </c>
    </row>
    <row r="9022">
      <c r="A9022" s="28" t="n">
        <v>32356</v>
      </c>
      <c r="B9022" t="n">
        <v>9.07</v>
      </c>
      <c r="C9022" t="n">
        <v>6.91</v>
      </c>
    </row>
    <row r="9023">
      <c r="A9023" s="28" t="n">
        <v>32357</v>
      </c>
      <c r="B9023" t="n">
        <v>9</v>
      </c>
      <c r="C9023" t="n">
        <v>6.9</v>
      </c>
    </row>
    <row r="9024">
      <c r="A9024" s="28" t="n">
        <v>32358</v>
      </c>
      <c r="B9024" t="n">
        <v>9.039999999999999</v>
      </c>
      <c r="C9024" t="n">
        <v>6.9</v>
      </c>
    </row>
    <row r="9025">
      <c r="A9025" s="28" t="n">
        <v>32359</v>
      </c>
      <c r="B9025" t="n">
        <v>8.99</v>
      </c>
      <c r="C9025" t="n">
        <v>6.84</v>
      </c>
    </row>
    <row r="9026">
      <c r="A9026" s="28" t="n">
        <v>32360</v>
      </c>
      <c r="B9026" t="n">
        <v>9.119999999999999</v>
      </c>
      <c r="C9026" t="n">
        <v>6.92</v>
      </c>
    </row>
    <row r="9027">
      <c r="A9027" s="28" t="n">
        <v>32363</v>
      </c>
      <c r="B9027" t="n">
        <v>9.119999999999999</v>
      </c>
      <c r="C9027" t="n">
        <v>6.84</v>
      </c>
    </row>
    <row r="9028">
      <c r="A9028" s="28" t="n">
        <v>32364</v>
      </c>
      <c r="B9028" t="n">
        <v>9.199999999999999</v>
      </c>
      <c r="C9028" t="n">
        <v>7.06</v>
      </c>
    </row>
    <row r="9029">
      <c r="A9029" s="28" t="n">
        <v>32365</v>
      </c>
      <c r="B9029" t="n">
        <v>9.300000000000001</v>
      </c>
      <c r="C9029" t="n">
        <v>6.99</v>
      </c>
    </row>
    <row r="9030">
      <c r="A9030" s="28" t="n">
        <v>32366</v>
      </c>
      <c r="B9030" t="n">
        <v>9.35</v>
      </c>
      <c r="C9030" t="n">
        <v>7.01</v>
      </c>
    </row>
    <row r="9031">
      <c r="A9031" s="28" t="n">
        <v>32367</v>
      </c>
      <c r="B9031" t="n">
        <v>9.359999999999999</v>
      </c>
      <c r="C9031" t="n">
        <v>7.01</v>
      </c>
    </row>
    <row r="9032">
      <c r="A9032" s="28" t="n">
        <v>32370</v>
      </c>
      <c r="B9032" t="n">
        <v>9.369999999999999</v>
      </c>
      <c r="C9032" t="n">
        <v>6.99</v>
      </c>
    </row>
    <row r="9033">
      <c r="A9033" s="28" t="n">
        <v>32371</v>
      </c>
      <c r="B9033" t="n">
        <v>9.35</v>
      </c>
      <c r="C9033" t="n">
        <v>7.06</v>
      </c>
    </row>
    <row r="9034">
      <c r="A9034" s="28" t="n">
        <v>32372</v>
      </c>
      <c r="B9034" t="n">
        <v>9.380000000000001</v>
      </c>
      <c r="C9034" t="n">
        <v>7.03</v>
      </c>
    </row>
    <row r="9035">
      <c r="A9035" s="28" t="n">
        <v>32373</v>
      </c>
      <c r="B9035" t="n">
        <v>9.35</v>
      </c>
      <c r="C9035" t="n">
        <v>7.02</v>
      </c>
    </row>
    <row r="9036">
      <c r="A9036" s="28" t="n">
        <v>32374</v>
      </c>
      <c r="B9036" t="n">
        <v>9.35</v>
      </c>
      <c r="C9036" t="n">
        <v>7.06</v>
      </c>
    </row>
    <row r="9037">
      <c r="A9037" s="28" t="n">
        <v>32377</v>
      </c>
      <c r="B9037" t="n">
        <v>9.369999999999999</v>
      </c>
      <c r="C9037" t="n">
        <v>7.06</v>
      </c>
    </row>
    <row r="9038">
      <c r="A9038" s="28" t="n">
        <v>32378</v>
      </c>
      <c r="B9038" t="n">
        <v>9.32</v>
      </c>
      <c r="C9038" t="n">
        <v>7.16</v>
      </c>
    </row>
    <row r="9039">
      <c r="A9039" s="28" t="n">
        <v>32379</v>
      </c>
      <c r="B9039" t="n">
        <v>9.34</v>
      </c>
      <c r="C9039" t="n">
        <v>7.18</v>
      </c>
    </row>
    <row r="9040">
      <c r="A9040" s="28" t="n">
        <v>32380</v>
      </c>
      <c r="B9040" t="n">
        <v>9.41</v>
      </c>
      <c r="C9040" t="n">
        <v>7.25</v>
      </c>
    </row>
    <row r="9041">
      <c r="A9041" s="28" t="n">
        <v>32381</v>
      </c>
      <c r="B9041" t="n">
        <v>9.380000000000001</v>
      </c>
      <c r="C9041" t="n">
        <v>7.33</v>
      </c>
    </row>
    <row r="9042">
      <c r="A9042" s="28" t="n">
        <v>32384</v>
      </c>
      <c r="B9042" t="n">
        <v>9.300000000000001</v>
      </c>
      <c r="C9042" t="n">
        <v>7.32</v>
      </c>
    </row>
    <row r="9043">
      <c r="A9043" s="28" t="n">
        <v>32385</v>
      </c>
      <c r="B9043" t="n">
        <v>9.27</v>
      </c>
      <c r="C9043" t="n">
        <v>7.3</v>
      </c>
    </row>
    <row r="9044">
      <c r="A9044" s="28" t="n">
        <v>32386</v>
      </c>
      <c r="B9044" t="n">
        <v>9.25</v>
      </c>
      <c r="C9044" t="n">
        <v>7.3</v>
      </c>
    </row>
    <row r="9045">
      <c r="A9045" s="28" t="n">
        <v>32387</v>
      </c>
      <c r="B9045" t="n">
        <v>9.25</v>
      </c>
      <c r="C9045" t="n">
        <v>7.28</v>
      </c>
    </row>
    <row r="9046">
      <c r="A9046" s="28" t="n">
        <v>32388</v>
      </c>
      <c r="B9046" t="n">
        <v>9</v>
      </c>
      <c r="C9046" t="n">
        <v>7.22</v>
      </c>
    </row>
    <row r="9047">
      <c r="A9047" s="28" t="n">
        <v>32391</v>
      </c>
      <c r="B9047" t="n">
        <v>0</v>
      </c>
      <c r="C9047" t="n">
        <v>0</v>
      </c>
    </row>
    <row r="9048">
      <c r="A9048" s="28" t="n">
        <v>32392</v>
      </c>
      <c r="B9048" t="n">
        <v>8.99</v>
      </c>
      <c r="C9048" t="n">
        <v>7.26</v>
      </c>
    </row>
    <row r="9049">
      <c r="A9049" s="28" t="n">
        <v>32393</v>
      </c>
      <c r="B9049" t="n">
        <v>8.99</v>
      </c>
      <c r="C9049" t="n">
        <v>7.33</v>
      </c>
    </row>
    <row r="9050">
      <c r="A9050" s="28" t="n">
        <v>32394</v>
      </c>
      <c r="B9050" t="n">
        <v>8.99</v>
      </c>
      <c r="C9050" t="n">
        <v>7.32</v>
      </c>
    </row>
    <row r="9051">
      <c r="A9051" s="28" t="n">
        <v>32395</v>
      </c>
      <c r="B9051" t="n">
        <v>8.93</v>
      </c>
      <c r="C9051" t="n">
        <v>7.28</v>
      </c>
    </row>
    <row r="9052">
      <c r="A9052" s="28" t="n">
        <v>32398</v>
      </c>
      <c r="B9052" t="n">
        <v>8.970000000000001</v>
      </c>
      <c r="C9052" t="n">
        <v>7.23</v>
      </c>
    </row>
    <row r="9053">
      <c r="A9053" s="28" t="n">
        <v>32399</v>
      </c>
      <c r="B9053" t="n">
        <v>8.94</v>
      </c>
      <c r="C9053" t="n">
        <v>7.17</v>
      </c>
    </row>
    <row r="9054">
      <c r="A9054" s="28" t="n">
        <v>32400</v>
      </c>
      <c r="B9054" t="n">
        <v>8.880000000000001</v>
      </c>
      <c r="C9054" t="n">
        <v>7.16</v>
      </c>
    </row>
    <row r="9055">
      <c r="A9055" s="28" t="n">
        <v>32401</v>
      </c>
      <c r="B9055" t="n">
        <v>8.91</v>
      </c>
      <c r="C9055" t="n">
        <v>7.17</v>
      </c>
    </row>
    <row r="9056">
      <c r="A9056" s="28" t="n">
        <v>32402</v>
      </c>
      <c r="B9056" t="n">
        <v>8.93</v>
      </c>
      <c r="C9056" t="n">
        <v>7.15</v>
      </c>
    </row>
    <row r="9057">
      <c r="A9057" s="28" t="n">
        <v>32405</v>
      </c>
      <c r="B9057" t="n">
        <v>8.970000000000001</v>
      </c>
      <c r="C9057" t="n">
        <v>7.13</v>
      </c>
    </row>
    <row r="9058">
      <c r="A9058" s="28" t="n">
        <v>32406</v>
      </c>
      <c r="B9058" t="n">
        <v>8.970000000000001</v>
      </c>
      <c r="C9058" t="n">
        <v>7.2</v>
      </c>
    </row>
    <row r="9059">
      <c r="A9059" s="28" t="n">
        <v>32407</v>
      </c>
      <c r="B9059" t="n">
        <v>8.93</v>
      </c>
      <c r="C9059" t="n">
        <v>7.19</v>
      </c>
    </row>
    <row r="9060">
      <c r="A9060" s="28" t="n">
        <v>32408</v>
      </c>
      <c r="B9060" t="n">
        <v>8.949999999999999</v>
      </c>
      <c r="C9060" t="n">
        <v>7.2</v>
      </c>
    </row>
    <row r="9061">
      <c r="A9061" s="28" t="n">
        <v>32409</v>
      </c>
      <c r="B9061" t="n">
        <v>8.970000000000001</v>
      </c>
      <c r="C9061" t="n">
        <v>7.23</v>
      </c>
    </row>
    <row r="9062">
      <c r="A9062" s="28" t="n">
        <v>32412</v>
      </c>
      <c r="B9062" t="n">
        <v>9</v>
      </c>
      <c r="C9062" t="n">
        <v>7.3</v>
      </c>
    </row>
    <row r="9063">
      <c r="A9063" s="28" t="n">
        <v>32413</v>
      </c>
      <c r="B9063" t="n">
        <v>9.039999999999999</v>
      </c>
      <c r="C9063" t="n">
        <v>7.33</v>
      </c>
    </row>
    <row r="9064">
      <c r="A9064" s="28" t="n">
        <v>32414</v>
      </c>
      <c r="B9064" t="n">
        <v>9.06</v>
      </c>
      <c r="C9064" t="n">
        <v>7.34</v>
      </c>
    </row>
    <row r="9065">
      <c r="A9065" s="28" t="n">
        <v>32415</v>
      </c>
      <c r="B9065" t="n">
        <v>8.98</v>
      </c>
      <c r="C9065" t="n">
        <v>7.29</v>
      </c>
    </row>
    <row r="9066">
      <c r="A9066" s="28" t="n">
        <v>32416</v>
      </c>
      <c r="B9066" t="n">
        <v>8.869999999999999</v>
      </c>
      <c r="C9066" t="n">
        <v>7.25</v>
      </c>
    </row>
    <row r="9067">
      <c r="A9067" s="28" t="n">
        <v>32419</v>
      </c>
      <c r="B9067" t="n">
        <v>8.84</v>
      </c>
      <c r="C9067" t="n">
        <v>7.24</v>
      </c>
    </row>
    <row r="9068">
      <c r="A9068" s="28" t="n">
        <v>32420</v>
      </c>
      <c r="B9068" t="n">
        <v>8.869999999999999</v>
      </c>
      <c r="C9068" t="n">
        <v>7.23</v>
      </c>
    </row>
    <row r="9069">
      <c r="A9069" s="28" t="n">
        <v>32421</v>
      </c>
      <c r="B9069" t="n">
        <v>8.869999999999999</v>
      </c>
      <c r="C9069" t="n">
        <v>7.22</v>
      </c>
    </row>
    <row r="9070">
      <c r="A9070" s="28" t="n">
        <v>32422</v>
      </c>
      <c r="B9070" t="n">
        <v>8.869999999999999</v>
      </c>
      <c r="C9070" t="n">
        <v>7.3</v>
      </c>
    </row>
    <row r="9071">
      <c r="A9071" s="28" t="n">
        <v>32423</v>
      </c>
      <c r="B9071" t="n">
        <v>8.699999999999999</v>
      </c>
      <c r="C9071" t="n">
        <v>7.27</v>
      </c>
    </row>
    <row r="9072">
      <c r="A9072" s="28" t="n">
        <v>32426</v>
      </c>
      <c r="B9072" t="n">
        <v>0</v>
      </c>
      <c r="C9072" t="n">
        <v>0</v>
      </c>
    </row>
    <row r="9073">
      <c r="A9073" s="28" t="n">
        <v>32427</v>
      </c>
      <c r="B9073" t="n">
        <v>8.75</v>
      </c>
      <c r="C9073" t="n">
        <v>7.29</v>
      </c>
    </row>
    <row r="9074">
      <c r="A9074" s="28" t="n">
        <v>32428</v>
      </c>
      <c r="B9074" t="n">
        <v>8.84</v>
      </c>
      <c r="C9074" t="n">
        <v>7.28</v>
      </c>
    </row>
    <row r="9075">
      <c r="A9075" s="28" t="n">
        <v>32429</v>
      </c>
      <c r="B9075" t="n">
        <v>8.84</v>
      </c>
      <c r="C9075" t="n">
        <v>7.34</v>
      </c>
    </row>
    <row r="9076">
      <c r="A9076" s="28" t="n">
        <v>32430</v>
      </c>
      <c r="B9076" t="n">
        <v>8.81</v>
      </c>
      <c r="C9076" t="n">
        <v>7.32</v>
      </c>
    </row>
    <row r="9077">
      <c r="A9077" s="28" t="n">
        <v>32433</v>
      </c>
      <c r="B9077" t="n">
        <v>8.789999999999999</v>
      </c>
      <c r="C9077" t="n">
        <v>7.33</v>
      </c>
    </row>
    <row r="9078">
      <c r="A9078" s="28" t="n">
        <v>32434</v>
      </c>
      <c r="B9078" t="n">
        <v>8.779999999999999</v>
      </c>
      <c r="C9078" t="n">
        <v>7.36</v>
      </c>
    </row>
    <row r="9079">
      <c r="A9079" s="28" t="n">
        <v>32435</v>
      </c>
      <c r="B9079" t="n">
        <v>8.82</v>
      </c>
      <c r="C9079" t="n">
        <v>7.43</v>
      </c>
    </row>
    <row r="9080">
      <c r="A9080" s="28" t="n">
        <v>32436</v>
      </c>
      <c r="B9080" t="n">
        <v>8.789999999999999</v>
      </c>
      <c r="C9080" t="n">
        <v>7.45</v>
      </c>
    </row>
    <row r="9081">
      <c r="A9081" s="28" t="n">
        <v>32437</v>
      </c>
      <c r="B9081" t="n">
        <v>8.83</v>
      </c>
      <c r="C9081" t="n">
        <v>7.44</v>
      </c>
    </row>
    <row r="9082">
      <c r="A9082" s="28" t="n">
        <v>32440</v>
      </c>
      <c r="B9082" t="n">
        <v>8.83</v>
      </c>
      <c r="C9082" t="n">
        <v>7.51</v>
      </c>
    </row>
    <row r="9083">
      <c r="A9083" s="28" t="n">
        <v>32441</v>
      </c>
      <c r="B9083" t="n">
        <v>8.83</v>
      </c>
      <c r="C9083" t="n">
        <v>7.44</v>
      </c>
    </row>
    <row r="9084">
      <c r="A9084" s="28" t="n">
        <v>32442</v>
      </c>
      <c r="B9084" t="n">
        <v>8.789999999999999</v>
      </c>
      <c r="C9084" t="n">
        <v>7.41</v>
      </c>
    </row>
    <row r="9085">
      <c r="A9085" s="28" t="n">
        <v>32443</v>
      </c>
      <c r="B9085" t="n">
        <v>8.720000000000001</v>
      </c>
      <c r="C9085" t="n">
        <v>7.38</v>
      </c>
    </row>
    <row r="9086">
      <c r="A9086" s="28" t="n">
        <v>32444</v>
      </c>
      <c r="B9086" t="n">
        <v>8.69</v>
      </c>
      <c r="C9086" t="n">
        <v>7.37</v>
      </c>
    </row>
    <row r="9087">
      <c r="A9087" s="28" t="n">
        <v>32447</v>
      </c>
      <c r="B9087" t="n">
        <v>8.65</v>
      </c>
      <c r="C9087" t="n">
        <v>7.36</v>
      </c>
    </row>
    <row r="9088">
      <c r="A9088" s="28" t="n">
        <v>32448</v>
      </c>
      <c r="B9088" t="n">
        <v>8.68</v>
      </c>
      <c r="C9088" t="n">
        <v>7.34</v>
      </c>
    </row>
    <row r="9089">
      <c r="A9089" s="28" t="n">
        <v>32449</v>
      </c>
      <c r="B9089" t="n">
        <v>8.73</v>
      </c>
      <c r="C9089" t="n">
        <v>7.37</v>
      </c>
    </row>
    <row r="9090">
      <c r="A9090" s="28" t="n">
        <v>32450</v>
      </c>
      <c r="B9090" t="n">
        <v>8.69</v>
      </c>
      <c r="C9090" t="n">
        <v>7.4</v>
      </c>
    </row>
    <row r="9091">
      <c r="A9091" s="28" t="n">
        <v>32451</v>
      </c>
      <c r="B9091" t="n">
        <v>8.85</v>
      </c>
      <c r="C9091" t="n">
        <v>7.45</v>
      </c>
    </row>
    <row r="9092">
      <c r="A9092" s="28" t="n">
        <v>32454</v>
      </c>
      <c r="B9092" t="n">
        <v>8.91</v>
      </c>
      <c r="C9092" t="n">
        <v>7.48</v>
      </c>
    </row>
    <row r="9093">
      <c r="A9093" s="28" t="n">
        <v>32455</v>
      </c>
      <c r="B9093" t="n">
        <v>8.91</v>
      </c>
      <c r="C9093" t="n">
        <v>7.59</v>
      </c>
    </row>
    <row r="9094">
      <c r="A9094" s="28" t="n">
        <v>32456</v>
      </c>
      <c r="B9094" t="n">
        <v>8.91</v>
      </c>
      <c r="C9094" t="n">
        <v>7.57</v>
      </c>
    </row>
    <row r="9095">
      <c r="A9095" s="28" t="n">
        <v>32457</v>
      </c>
      <c r="B9095" t="n">
        <v>8.9</v>
      </c>
      <c r="C9095" t="n">
        <v>7.64</v>
      </c>
    </row>
    <row r="9096">
      <c r="A9096" s="28" t="n">
        <v>32458</v>
      </c>
      <c r="B9096" t="n">
        <v>0</v>
      </c>
      <c r="C9096" t="n">
        <v>0</v>
      </c>
    </row>
    <row r="9097">
      <c r="A9097" s="28" t="n">
        <v>32461</v>
      </c>
      <c r="B9097" t="n">
        <v>8.91</v>
      </c>
      <c r="C9097" t="n">
        <v>7.78</v>
      </c>
    </row>
    <row r="9098">
      <c r="A9098" s="28" t="n">
        <v>32462</v>
      </c>
      <c r="B9098" t="n">
        <v>8.92</v>
      </c>
      <c r="C9098" t="n">
        <v>7.95</v>
      </c>
    </row>
    <row r="9099">
      <c r="A9099" s="28" t="n">
        <v>32463</v>
      </c>
      <c r="B9099" t="n">
        <v>9</v>
      </c>
      <c r="C9099" t="n">
        <v>7.94</v>
      </c>
    </row>
    <row r="9100">
      <c r="A9100" s="28" t="n">
        <v>32464</v>
      </c>
      <c r="B9100" t="n">
        <v>9.06</v>
      </c>
      <c r="C9100" t="n">
        <v>7.92</v>
      </c>
    </row>
    <row r="9101">
      <c r="A9101" s="28" t="n">
        <v>32465</v>
      </c>
      <c r="B9101" t="n">
        <v>9.050000000000001</v>
      </c>
      <c r="C9101" t="n">
        <v>7.94</v>
      </c>
    </row>
    <row r="9102">
      <c r="A9102" s="28" t="n">
        <v>32468</v>
      </c>
      <c r="B9102" t="n">
        <v>9.039999999999999</v>
      </c>
      <c r="C9102" t="n">
        <v>7.99</v>
      </c>
    </row>
    <row r="9103">
      <c r="A9103" s="28" t="n">
        <v>32469</v>
      </c>
      <c r="B9103" t="n">
        <v>9.09</v>
      </c>
      <c r="C9103" t="n">
        <v>8</v>
      </c>
    </row>
    <row r="9104">
      <c r="A9104" s="28" t="n">
        <v>32470</v>
      </c>
      <c r="B9104" t="n">
        <v>9.08</v>
      </c>
      <c r="C9104" t="n">
        <v>8.01</v>
      </c>
    </row>
    <row r="9105">
      <c r="A9105" s="28" t="n">
        <v>32471</v>
      </c>
      <c r="B9105" t="n">
        <v>0</v>
      </c>
      <c r="C9105" t="n">
        <v>0</v>
      </c>
    </row>
    <row r="9106">
      <c r="A9106" s="28" t="n">
        <v>32472</v>
      </c>
      <c r="B9106" t="n">
        <v>9.17</v>
      </c>
      <c r="C9106" t="n">
        <v>8.029999999999999</v>
      </c>
    </row>
    <row r="9107">
      <c r="A9107" s="28" t="n">
        <v>32475</v>
      </c>
      <c r="B9107" t="n">
        <v>9.16</v>
      </c>
      <c r="C9107" t="n">
        <v>7.98</v>
      </c>
    </row>
    <row r="9108">
      <c r="A9108" s="28" t="n">
        <v>32476</v>
      </c>
      <c r="B9108" t="n">
        <v>9.130000000000001</v>
      </c>
      <c r="C9108" t="n">
        <v>7.99</v>
      </c>
    </row>
    <row r="9109">
      <c r="A9109" s="28" t="n">
        <v>32477</v>
      </c>
      <c r="B9109" t="n">
        <v>9.06</v>
      </c>
      <c r="C9109" t="n">
        <v>7.83</v>
      </c>
    </row>
    <row r="9110">
      <c r="A9110" s="28" t="n">
        <v>32478</v>
      </c>
      <c r="B9110" t="n">
        <v>9.01</v>
      </c>
      <c r="C9110" t="n">
        <v>7.85</v>
      </c>
    </row>
    <row r="9111">
      <c r="A9111" s="28" t="n">
        <v>32479</v>
      </c>
      <c r="B9111" t="n">
        <v>9.18</v>
      </c>
      <c r="C9111" t="n">
        <v>8.07</v>
      </c>
    </row>
    <row r="9112">
      <c r="A9112" s="28" t="n">
        <v>32482</v>
      </c>
      <c r="B9112" t="n">
        <v>9.130000000000001</v>
      </c>
      <c r="C9112" t="n">
        <v>8.01</v>
      </c>
    </row>
    <row r="9113">
      <c r="A9113" s="28" t="n">
        <v>32483</v>
      </c>
      <c r="B9113" t="n">
        <v>8.949999999999999</v>
      </c>
      <c r="C9113" t="n">
        <v>7.95</v>
      </c>
    </row>
    <row r="9114">
      <c r="A9114" s="28" t="n">
        <v>32484</v>
      </c>
      <c r="B9114" t="n">
        <v>9</v>
      </c>
      <c r="C9114" t="n">
        <v>7.99</v>
      </c>
    </row>
    <row r="9115">
      <c r="A9115" s="28" t="n">
        <v>32485</v>
      </c>
      <c r="B9115" t="n">
        <v>9.02</v>
      </c>
      <c r="C9115" t="n">
        <v>7.98</v>
      </c>
    </row>
    <row r="9116">
      <c r="A9116" s="28" t="n">
        <v>32486</v>
      </c>
      <c r="B9116" t="n">
        <v>9.07</v>
      </c>
      <c r="C9116" t="n">
        <v>7.88</v>
      </c>
    </row>
    <row r="9117">
      <c r="A9117" s="28" t="n">
        <v>32489</v>
      </c>
      <c r="B9117" t="n">
        <v>9.08</v>
      </c>
      <c r="C9117" t="n">
        <v>7.9</v>
      </c>
    </row>
    <row r="9118">
      <c r="A9118" s="28" t="n">
        <v>32490</v>
      </c>
      <c r="B9118" t="n">
        <v>9.15</v>
      </c>
      <c r="C9118" t="n">
        <v>8.1</v>
      </c>
    </row>
    <row r="9119">
      <c r="A9119" s="28" t="n">
        <v>32491</v>
      </c>
      <c r="B9119" t="n">
        <v>9.19</v>
      </c>
      <c r="C9119" t="n">
        <v>8.119999999999999</v>
      </c>
    </row>
    <row r="9120">
      <c r="A9120" s="28" t="n">
        <v>32492</v>
      </c>
      <c r="B9120" t="n">
        <v>9.19</v>
      </c>
      <c r="C9120" t="n">
        <v>8.19</v>
      </c>
    </row>
    <row r="9121">
      <c r="A9121" s="28" t="n">
        <v>32493</v>
      </c>
      <c r="B9121" t="n">
        <v>9.17</v>
      </c>
      <c r="C9121" t="n">
        <v>8.16</v>
      </c>
    </row>
    <row r="9122">
      <c r="A9122" s="28" t="n">
        <v>32496</v>
      </c>
      <c r="B9122" t="n">
        <v>9.15</v>
      </c>
      <c r="C9122" t="n">
        <v>8.19</v>
      </c>
    </row>
    <row r="9123">
      <c r="A9123" s="28" t="n">
        <v>32497</v>
      </c>
      <c r="B9123" t="n">
        <v>9.08</v>
      </c>
      <c r="C9123" t="n">
        <v>8.18</v>
      </c>
    </row>
    <row r="9124">
      <c r="A9124" s="28" t="n">
        <v>32498</v>
      </c>
      <c r="B9124" t="n">
        <v>9.07</v>
      </c>
      <c r="C9124" t="n">
        <v>8.1</v>
      </c>
    </row>
    <row r="9125">
      <c r="A9125" s="28" t="n">
        <v>32499</v>
      </c>
      <c r="B9125" t="n">
        <v>9.07</v>
      </c>
      <c r="C9125" t="n">
        <v>8.050000000000001</v>
      </c>
    </row>
    <row r="9126">
      <c r="A9126" s="28" t="n">
        <v>32500</v>
      </c>
      <c r="B9126" t="n">
        <v>9.050000000000001</v>
      </c>
      <c r="C9126" t="n">
        <v>8.050000000000001</v>
      </c>
    </row>
    <row r="9127">
      <c r="A9127" s="28" t="n">
        <v>32503</v>
      </c>
      <c r="B9127" t="n">
        <v>0</v>
      </c>
      <c r="C9127" t="n">
        <v>0</v>
      </c>
    </row>
    <row r="9128">
      <c r="A9128" s="28" t="n">
        <v>32504</v>
      </c>
      <c r="B9128" t="n">
        <v>9.130000000000001</v>
      </c>
      <c r="C9128" t="n">
        <v>8.15</v>
      </c>
    </row>
    <row r="9129">
      <c r="A9129" s="28" t="n">
        <v>32505</v>
      </c>
      <c r="B9129" t="n">
        <v>9.210000000000001</v>
      </c>
      <c r="C9129" t="n">
        <v>8.26</v>
      </c>
    </row>
    <row r="9130">
      <c r="A9130" s="28" t="n">
        <v>32506</v>
      </c>
      <c r="B9130" t="n">
        <v>9.18</v>
      </c>
      <c r="C9130" t="n">
        <v>8.130000000000001</v>
      </c>
    </row>
    <row r="9131">
      <c r="A9131" s="28" t="n">
        <v>32507</v>
      </c>
      <c r="B9131" t="n">
        <v>9.140000000000001</v>
      </c>
      <c r="C9131" t="n">
        <v>8.1</v>
      </c>
    </row>
    <row r="9132">
      <c r="A9132" s="28" t="n">
        <v>32510</v>
      </c>
      <c r="B9132" t="n">
        <v>0</v>
      </c>
      <c r="C9132" t="n">
        <v>0</v>
      </c>
    </row>
    <row r="9133">
      <c r="A9133" s="28" t="n">
        <v>32511</v>
      </c>
      <c r="B9133" t="n">
        <v>9.23</v>
      </c>
      <c r="C9133" t="n">
        <v>8.140000000000001</v>
      </c>
    </row>
    <row r="9134">
      <c r="A9134" s="28" t="n">
        <v>32512</v>
      </c>
      <c r="B9134" t="n">
        <v>9.220000000000001</v>
      </c>
      <c r="C9134" t="n">
        <v>8.25</v>
      </c>
    </row>
    <row r="9135">
      <c r="A9135" s="28" t="n">
        <v>32513</v>
      </c>
      <c r="B9135" t="n">
        <v>9.27</v>
      </c>
      <c r="C9135" t="n">
        <v>8.27</v>
      </c>
    </row>
    <row r="9136">
      <c r="A9136" s="28" t="n">
        <v>32514</v>
      </c>
      <c r="B9136" t="n">
        <v>9.25</v>
      </c>
      <c r="C9136" t="n">
        <v>8.289999999999999</v>
      </c>
    </row>
    <row r="9137">
      <c r="A9137" s="28" t="n">
        <v>32517</v>
      </c>
      <c r="B9137" t="n">
        <v>9.23</v>
      </c>
      <c r="C9137" t="n">
        <v>8.279999999999999</v>
      </c>
    </row>
    <row r="9138">
      <c r="A9138" s="28" t="n">
        <v>32518</v>
      </c>
      <c r="B9138" t="n">
        <v>9.24</v>
      </c>
      <c r="C9138" t="n">
        <v>8.300000000000001</v>
      </c>
    </row>
    <row r="9139">
      <c r="A9139" s="28" t="n">
        <v>32519</v>
      </c>
      <c r="B9139" t="n">
        <v>9.24</v>
      </c>
      <c r="C9139" t="n">
        <v>8.24</v>
      </c>
    </row>
    <row r="9140">
      <c r="A9140" s="28" t="n">
        <v>32520</v>
      </c>
      <c r="B9140" t="n">
        <v>9.140000000000001</v>
      </c>
      <c r="C9140" t="n">
        <v>8.26</v>
      </c>
    </row>
    <row r="9141">
      <c r="A9141" s="28" t="n">
        <v>32521</v>
      </c>
      <c r="B9141" t="n">
        <v>9.06</v>
      </c>
      <c r="C9141" t="n">
        <v>8.210000000000001</v>
      </c>
    </row>
    <row r="9142">
      <c r="A9142" s="28" t="n">
        <v>32524</v>
      </c>
      <c r="B9142" t="n">
        <v>0</v>
      </c>
      <c r="C9142" t="n">
        <v>0</v>
      </c>
    </row>
    <row r="9143">
      <c r="A9143" s="28" t="n">
        <v>32525</v>
      </c>
      <c r="B9143" t="n">
        <v>9.06</v>
      </c>
      <c r="C9143" t="n">
        <v>8.24</v>
      </c>
    </row>
    <row r="9144">
      <c r="A9144" s="28" t="n">
        <v>32526</v>
      </c>
      <c r="B9144" t="n">
        <v>8.99</v>
      </c>
      <c r="C9144" t="n">
        <v>8.26</v>
      </c>
    </row>
    <row r="9145">
      <c r="A9145" s="28" t="n">
        <v>32527</v>
      </c>
      <c r="B9145" t="n">
        <v>9</v>
      </c>
      <c r="C9145" t="n">
        <v>8.23</v>
      </c>
    </row>
    <row r="9146">
      <c r="A9146" s="28" t="n">
        <v>32528</v>
      </c>
      <c r="B9146" t="n">
        <v>9.029999999999999</v>
      </c>
      <c r="C9146" t="n">
        <v>8.24</v>
      </c>
    </row>
    <row r="9147">
      <c r="A9147" s="28" t="n">
        <v>32531</v>
      </c>
      <c r="B9147" t="n">
        <v>9</v>
      </c>
      <c r="C9147" t="n">
        <v>8.27</v>
      </c>
    </row>
    <row r="9148">
      <c r="A9148" s="28" t="n">
        <v>32532</v>
      </c>
      <c r="B9148" t="n">
        <v>8.93</v>
      </c>
      <c r="C9148" t="n">
        <v>8.210000000000001</v>
      </c>
    </row>
    <row r="9149">
      <c r="A9149" s="28" t="n">
        <v>32533</v>
      </c>
      <c r="B9149" t="n">
        <v>8.99</v>
      </c>
      <c r="C9149" t="n">
        <v>8.289999999999999</v>
      </c>
    </row>
    <row r="9150">
      <c r="A9150" s="28" t="n">
        <v>32534</v>
      </c>
      <c r="B9150" t="n">
        <v>8.99</v>
      </c>
      <c r="C9150" t="n">
        <v>8.34</v>
      </c>
    </row>
    <row r="9151">
      <c r="A9151" s="28" t="n">
        <v>32535</v>
      </c>
      <c r="B9151" t="n">
        <v>8.949999999999999</v>
      </c>
      <c r="C9151" t="n">
        <v>8.33</v>
      </c>
    </row>
    <row r="9152">
      <c r="A9152" s="28" t="n">
        <v>32538</v>
      </c>
      <c r="B9152" t="n">
        <v>9</v>
      </c>
      <c r="C9152" t="n">
        <v>8.279999999999999</v>
      </c>
    </row>
    <row r="9153">
      <c r="A9153" s="28" t="n">
        <v>32539</v>
      </c>
      <c r="B9153" t="n">
        <v>9.01</v>
      </c>
      <c r="C9153" t="n">
        <v>8.390000000000001</v>
      </c>
    </row>
    <row r="9154">
      <c r="A9154" s="28" t="n">
        <v>32540</v>
      </c>
      <c r="B9154" t="n">
        <v>8.99</v>
      </c>
      <c r="C9154" t="n">
        <v>8.369999999999999</v>
      </c>
    </row>
    <row r="9155">
      <c r="A9155" s="28" t="n">
        <v>32541</v>
      </c>
      <c r="B9155" t="n">
        <v>8.98</v>
      </c>
      <c r="C9155" t="n">
        <v>8.380000000000001</v>
      </c>
    </row>
    <row r="9156">
      <c r="A9156" s="28" t="n">
        <v>32542</v>
      </c>
      <c r="B9156" t="n">
        <v>9.01</v>
      </c>
      <c r="C9156" t="n">
        <v>8.48</v>
      </c>
    </row>
    <row r="9157">
      <c r="A9157" s="28" t="n">
        <v>32545</v>
      </c>
      <c r="B9157" t="n">
        <v>9.01</v>
      </c>
      <c r="C9157" t="n">
        <v>8.529999999999999</v>
      </c>
    </row>
    <row r="9158">
      <c r="A9158" s="28" t="n">
        <v>32546</v>
      </c>
      <c r="B9158" t="n">
        <v>8.960000000000001</v>
      </c>
      <c r="C9158" t="n">
        <v>8.529999999999999</v>
      </c>
    </row>
    <row r="9159">
      <c r="A9159" s="28" t="n">
        <v>32547</v>
      </c>
      <c r="B9159" t="n">
        <v>8.949999999999999</v>
      </c>
      <c r="C9159" t="n">
        <v>8.529999999999999</v>
      </c>
    </row>
    <row r="9160">
      <c r="A9160" s="28" t="n">
        <v>32548</v>
      </c>
      <c r="B9160" t="n">
        <v>9.130000000000001</v>
      </c>
      <c r="C9160" t="n">
        <v>8.48</v>
      </c>
    </row>
    <row r="9161">
      <c r="A9161" s="28" t="n">
        <v>32549</v>
      </c>
      <c r="B9161" t="n">
        <v>9.19</v>
      </c>
      <c r="C9161" t="n">
        <v>8.550000000000001</v>
      </c>
    </row>
    <row r="9162">
      <c r="A9162" s="28" t="n">
        <v>32552</v>
      </c>
      <c r="B9162" t="n">
        <v>9.199999999999999</v>
      </c>
      <c r="C9162" t="n">
        <v>8.550000000000001</v>
      </c>
    </row>
    <row r="9163">
      <c r="A9163" s="28" t="n">
        <v>32553</v>
      </c>
      <c r="B9163" t="n">
        <v>9.23</v>
      </c>
      <c r="C9163" t="n">
        <v>8.56</v>
      </c>
    </row>
    <row r="9164">
      <c r="A9164" s="28" t="n">
        <v>32554</v>
      </c>
      <c r="B9164" t="n">
        <v>9.220000000000001</v>
      </c>
      <c r="C9164" t="n">
        <v>8.49</v>
      </c>
    </row>
    <row r="9165">
      <c r="A9165" s="28" t="n">
        <v>32555</v>
      </c>
      <c r="B9165" t="n">
        <v>9.210000000000001</v>
      </c>
      <c r="C9165" t="n">
        <v>8.5</v>
      </c>
    </row>
    <row r="9166">
      <c r="A9166" s="28" t="n">
        <v>32556</v>
      </c>
      <c r="B9166" t="n">
        <v>9.199999999999999</v>
      </c>
      <c r="C9166" t="n">
        <v>8.48</v>
      </c>
    </row>
    <row r="9167">
      <c r="A9167" s="28" t="n">
        <v>32559</v>
      </c>
      <c r="B9167" t="n">
        <v>0</v>
      </c>
      <c r="C9167" t="n">
        <v>0</v>
      </c>
    </row>
    <row r="9168">
      <c r="A9168" s="28" t="n">
        <v>32560</v>
      </c>
      <c r="B9168" t="n">
        <v>9.220000000000001</v>
      </c>
      <c r="C9168" t="n">
        <v>8.470000000000001</v>
      </c>
    </row>
    <row r="9169">
      <c r="A9169" s="28" t="n">
        <v>32561</v>
      </c>
      <c r="B9169" t="n">
        <v>9.289999999999999</v>
      </c>
      <c r="C9169" t="n">
        <v>8.529999999999999</v>
      </c>
    </row>
    <row r="9170">
      <c r="A9170" s="28" t="n">
        <v>32562</v>
      </c>
      <c r="B9170" t="n">
        <v>9.359999999999999</v>
      </c>
      <c r="C9170" t="n">
        <v>8.609999999999999</v>
      </c>
    </row>
    <row r="9171">
      <c r="A9171" s="28" t="n">
        <v>32563</v>
      </c>
      <c r="B9171" t="n">
        <v>9.380000000000001</v>
      </c>
      <c r="C9171" t="n">
        <v>8.65</v>
      </c>
    </row>
    <row r="9172">
      <c r="A9172" s="28" t="n">
        <v>32566</v>
      </c>
      <c r="B9172" t="n">
        <v>9.359999999999999</v>
      </c>
      <c r="C9172" t="n">
        <v>8.68</v>
      </c>
    </row>
    <row r="9173">
      <c r="A9173" s="28" t="n">
        <v>32567</v>
      </c>
      <c r="B9173" t="n">
        <v>9.32</v>
      </c>
      <c r="C9173" t="n">
        <v>8.710000000000001</v>
      </c>
    </row>
    <row r="9174">
      <c r="A9174" s="28" t="n">
        <v>32568</v>
      </c>
      <c r="B9174" t="n">
        <v>9.359999999999999</v>
      </c>
      <c r="C9174" t="n">
        <v>8.66</v>
      </c>
    </row>
    <row r="9175">
      <c r="A9175" s="28" t="n">
        <v>32569</v>
      </c>
      <c r="B9175" t="n">
        <v>9.31</v>
      </c>
      <c r="C9175" t="n">
        <v>8.66</v>
      </c>
    </row>
    <row r="9176">
      <c r="A9176" s="28" t="n">
        <v>32570</v>
      </c>
      <c r="B9176" t="n">
        <v>9.31</v>
      </c>
      <c r="C9176" t="n">
        <v>8.630000000000001</v>
      </c>
    </row>
    <row r="9177">
      <c r="A9177" s="28" t="n">
        <v>32573</v>
      </c>
      <c r="B9177" t="n">
        <v>9.26</v>
      </c>
      <c r="C9177" t="n">
        <v>8.57</v>
      </c>
    </row>
    <row r="9178">
      <c r="A9178" s="28" t="n">
        <v>32574</v>
      </c>
      <c r="B9178" t="n">
        <v>9.26</v>
      </c>
      <c r="C9178" t="n">
        <v>8.619999999999999</v>
      </c>
    </row>
    <row r="9179">
      <c r="A9179" s="28" t="n">
        <v>32575</v>
      </c>
      <c r="B9179" t="n">
        <v>9.23</v>
      </c>
      <c r="C9179" t="n">
        <v>8.609999999999999</v>
      </c>
    </row>
    <row r="9180">
      <c r="A9180" s="28" t="n">
        <v>32576</v>
      </c>
      <c r="B9180" t="n">
        <v>9.24</v>
      </c>
      <c r="C9180" t="n">
        <v>8.66</v>
      </c>
    </row>
    <row r="9181">
      <c r="A9181" s="28" t="n">
        <v>32577</v>
      </c>
      <c r="B9181" t="n">
        <v>9.34</v>
      </c>
      <c r="C9181" t="n">
        <v>8.74</v>
      </c>
    </row>
    <row r="9182">
      <c r="A9182" s="28" t="n">
        <v>32580</v>
      </c>
      <c r="B9182" t="n">
        <v>9.35</v>
      </c>
      <c r="C9182" t="n">
        <v>8.76</v>
      </c>
    </row>
    <row r="9183">
      <c r="A9183" s="28" t="n">
        <v>32581</v>
      </c>
      <c r="B9183" t="n">
        <v>9.32</v>
      </c>
      <c r="C9183" t="n">
        <v>8.699999999999999</v>
      </c>
    </row>
    <row r="9184">
      <c r="A9184" s="28" t="n">
        <v>32582</v>
      </c>
      <c r="B9184" t="n">
        <v>9.31</v>
      </c>
      <c r="C9184" t="n">
        <v>8.67</v>
      </c>
    </row>
    <row r="9185">
      <c r="A9185" s="28" t="n">
        <v>32583</v>
      </c>
      <c r="B9185" t="n">
        <v>9.300000000000001</v>
      </c>
      <c r="C9185" t="n">
        <v>8.699999999999999</v>
      </c>
    </row>
    <row r="9186">
      <c r="A9186" s="28" t="n">
        <v>32584</v>
      </c>
      <c r="B9186" t="n">
        <v>9.49</v>
      </c>
      <c r="C9186" t="n">
        <v>8.85</v>
      </c>
    </row>
    <row r="9187">
      <c r="A9187" s="28" t="n">
        <v>32587</v>
      </c>
      <c r="B9187" t="n">
        <v>9.529999999999999</v>
      </c>
      <c r="C9187" t="n">
        <v>8.99</v>
      </c>
    </row>
    <row r="9188">
      <c r="A9188" s="28" t="n">
        <v>32588</v>
      </c>
      <c r="B9188" t="n">
        <v>9.529999999999999</v>
      </c>
      <c r="C9188" t="n">
        <v>9.09</v>
      </c>
    </row>
    <row r="9189">
      <c r="A9189" s="28" t="n">
        <v>32589</v>
      </c>
      <c r="B9189" t="n">
        <v>9.449999999999999</v>
      </c>
      <c r="C9189" t="n">
        <v>9.01</v>
      </c>
    </row>
    <row r="9190">
      <c r="A9190" s="28" t="n">
        <v>32590</v>
      </c>
      <c r="B9190" t="n">
        <v>9.43</v>
      </c>
      <c r="C9190" t="n">
        <v>9.039999999999999</v>
      </c>
    </row>
    <row r="9191">
      <c r="A9191" s="28" t="n">
        <v>32591</v>
      </c>
      <c r="B9191" t="n">
        <v>0</v>
      </c>
      <c r="C9191" t="n">
        <v>0</v>
      </c>
    </row>
    <row r="9192">
      <c r="A9192" s="28" t="n">
        <v>32594</v>
      </c>
      <c r="B9192" t="n">
        <v>9.44</v>
      </c>
      <c r="C9192" t="n">
        <v>9.1</v>
      </c>
    </row>
    <row r="9193">
      <c r="A9193" s="28" t="n">
        <v>32595</v>
      </c>
      <c r="B9193" t="n">
        <v>9.41</v>
      </c>
      <c r="C9193" t="n">
        <v>9.07</v>
      </c>
    </row>
    <row r="9194">
      <c r="A9194" s="28" t="n">
        <v>32596</v>
      </c>
      <c r="B9194" t="n">
        <v>9.359999999999999</v>
      </c>
      <c r="C9194" t="n">
        <v>8.960000000000001</v>
      </c>
    </row>
    <row r="9195">
      <c r="A9195" s="28" t="n">
        <v>32597</v>
      </c>
      <c r="B9195" t="n">
        <v>9.34</v>
      </c>
      <c r="C9195" t="n">
        <v>8.949999999999999</v>
      </c>
    </row>
    <row r="9196">
      <c r="A9196" s="28" t="n">
        <v>32598</v>
      </c>
      <c r="B9196" t="n">
        <v>9.300000000000001</v>
      </c>
      <c r="C9196" t="n">
        <v>8.9</v>
      </c>
    </row>
    <row r="9197">
      <c r="A9197" s="28" t="n">
        <v>32601</v>
      </c>
      <c r="B9197" t="n">
        <v>9.210000000000001</v>
      </c>
      <c r="C9197" t="n">
        <v>8.82</v>
      </c>
    </row>
    <row r="9198">
      <c r="A9198" s="28" t="n">
        <v>32602</v>
      </c>
      <c r="B9198" t="n">
        <v>9.17</v>
      </c>
      <c r="C9198" t="n">
        <v>8.81</v>
      </c>
    </row>
    <row r="9199">
      <c r="A9199" s="28" t="n">
        <v>32603</v>
      </c>
      <c r="B9199" t="n">
        <v>9.17</v>
      </c>
      <c r="C9199" t="n">
        <v>8.82</v>
      </c>
    </row>
    <row r="9200">
      <c r="A9200" s="28" t="n">
        <v>32604</v>
      </c>
      <c r="B9200" t="n">
        <v>9.199999999999999</v>
      </c>
      <c r="C9200" t="n">
        <v>8.84</v>
      </c>
    </row>
    <row r="9201">
      <c r="A9201" s="28" t="n">
        <v>32605</v>
      </c>
      <c r="B9201" t="n">
        <v>9.27</v>
      </c>
      <c r="C9201" t="n">
        <v>8.800000000000001</v>
      </c>
    </row>
    <row r="9202">
      <c r="A9202" s="28" t="n">
        <v>32608</v>
      </c>
      <c r="B9202" t="n">
        <v>9.27</v>
      </c>
      <c r="C9202" t="n">
        <v>8.73</v>
      </c>
    </row>
    <row r="9203">
      <c r="A9203" s="28" t="n">
        <v>32609</v>
      </c>
      <c r="B9203" t="n">
        <v>9.27</v>
      </c>
      <c r="C9203" t="n">
        <v>8.68</v>
      </c>
    </row>
    <row r="9204">
      <c r="A9204" s="28" t="n">
        <v>32610</v>
      </c>
      <c r="B9204" t="n">
        <v>9.289999999999999</v>
      </c>
      <c r="C9204" t="n">
        <v>8.66</v>
      </c>
    </row>
    <row r="9205">
      <c r="A9205" s="28" t="n">
        <v>32611</v>
      </c>
      <c r="B9205" t="n">
        <v>9.34</v>
      </c>
      <c r="C9205" t="n">
        <v>8.77</v>
      </c>
    </row>
    <row r="9206">
      <c r="A9206" s="28" t="n">
        <v>32612</v>
      </c>
      <c r="B9206" t="n">
        <v>9.18</v>
      </c>
      <c r="C9206" t="n">
        <v>8.609999999999999</v>
      </c>
    </row>
    <row r="9207">
      <c r="A9207" s="28" t="n">
        <v>32615</v>
      </c>
      <c r="B9207" t="n">
        <v>9.199999999999999</v>
      </c>
      <c r="C9207" t="n">
        <v>8.609999999999999</v>
      </c>
    </row>
    <row r="9208">
      <c r="A9208" s="28" t="n">
        <v>32616</v>
      </c>
      <c r="B9208" t="n">
        <v>9.06</v>
      </c>
      <c r="C9208" t="n">
        <v>8.43</v>
      </c>
    </row>
    <row r="9209">
      <c r="A9209" s="28" t="n">
        <v>32617</v>
      </c>
      <c r="B9209" t="n">
        <v>9.08</v>
      </c>
      <c r="C9209" t="n">
        <v>8.43</v>
      </c>
    </row>
    <row r="9210">
      <c r="A9210" s="28" t="n">
        <v>32618</v>
      </c>
      <c r="B9210" t="n">
        <v>9.199999999999999</v>
      </c>
      <c r="C9210" t="n">
        <v>8.640000000000001</v>
      </c>
    </row>
    <row r="9211">
      <c r="A9211" s="28" t="n">
        <v>32619</v>
      </c>
      <c r="B9211" t="n">
        <v>9.15</v>
      </c>
      <c r="C9211" t="n">
        <v>8.640000000000001</v>
      </c>
    </row>
    <row r="9212">
      <c r="A9212" s="28" t="n">
        <v>32622</v>
      </c>
      <c r="B9212" t="n">
        <v>9.15</v>
      </c>
      <c r="C9212" t="n">
        <v>8.67</v>
      </c>
    </row>
    <row r="9213">
      <c r="A9213" s="28" t="n">
        <v>32623</v>
      </c>
      <c r="B9213" t="n">
        <v>9.119999999999999</v>
      </c>
      <c r="C9213" t="n">
        <v>8.630000000000001</v>
      </c>
    </row>
    <row r="9214">
      <c r="A9214" s="28" t="n">
        <v>32624</v>
      </c>
      <c r="B9214" t="n">
        <v>9.109999999999999</v>
      </c>
      <c r="C9214" t="n">
        <v>8.529999999999999</v>
      </c>
    </row>
    <row r="9215">
      <c r="A9215" s="28" t="n">
        <v>32625</v>
      </c>
      <c r="B9215" t="n">
        <v>9.050000000000001</v>
      </c>
      <c r="C9215" t="n">
        <v>8.41</v>
      </c>
    </row>
    <row r="9216">
      <c r="A9216" s="28" t="n">
        <v>32626</v>
      </c>
      <c r="B9216" t="n">
        <v>9.02</v>
      </c>
      <c r="C9216" t="n">
        <v>8.41</v>
      </c>
    </row>
    <row r="9217">
      <c r="A9217" s="28" t="n">
        <v>32629</v>
      </c>
      <c r="B9217" t="n">
        <v>9.140000000000001</v>
      </c>
      <c r="C9217" t="n">
        <v>8.619999999999999</v>
      </c>
    </row>
    <row r="9218">
      <c r="A9218" s="28" t="n">
        <v>32630</v>
      </c>
      <c r="B9218" t="n">
        <v>9.08</v>
      </c>
      <c r="C9218" t="n">
        <v>8.58</v>
      </c>
    </row>
    <row r="9219">
      <c r="A9219" s="28" t="n">
        <v>32631</v>
      </c>
      <c r="B9219" t="n">
        <v>9.06</v>
      </c>
      <c r="C9219" t="n">
        <v>8.529999999999999</v>
      </c>
    </row>
    <row r="9220">
      <c r="A9220" s="28" t="n">
        <v>32632</v>
      </c>
      <c r="B9220" t="n">
        <v>9.06</v>
      </c>
      <c r="C9220" t="n">
        <v>8.529999999999999</v>
      </c>
    </row>
    <row r="9221">
      <c r="A9221" s="28" t="n">
        <v>32633</v>
      </c>
      <c r="B9221" t="n">
        <v>8.99</v>
      </c>
      <c r="C9221" t="n">
        <v>8.43</v>
      </c>
    </row>
    <row r="9222">
      <c r="A9222" s="28" t="n">
        <v>32636</v>
      </c>
      <c r="B9222" t="n">
        <v>9.039999999999999</v>
      </c>
      <c r="C9222" t="n">
        <v>8.49</v>
      </c>
    </row>
    <row r="9223">
      <c r="A9223" s="28" t="n">
        <v>32637</v>
      </c>
      <c r="B9223" t="n">
        <v>9.15</v>
      </c>
      <c r="C9223" t="n">
        <v>8.5</v>
      </c>
    </row>
    <row r="9224">
      <c r="A9224" s="28" t="n">
        <v>32638</v>
      </c>
      <c r="B9224" t="n">
        <v>9.16</v>
      </c>
      <c r="C9224" t="n">
        <v>8.52</v>
      </c>
    </row>
    <row r="9225">
      <c r="A9225" s="28" t="n">
        <v>32639</v>
      </c>
      <c r="B9225" t="n">
        <v>9.1</v>
      </c>
      <c r="C9225" t="n">
        <v>8.42</v>
      </c>
    </row>
    <row r="9226">
      <c r="A9226" s="28" t="n">
        <v>32640</v>
      </c>
      <c r="B9226" t="n">
        <v>8.81</v>
      </c>
      <c r="C9226" t="n">
        <v>8.210000000000001</v>
      </c>
    </row>
    <row r="9227">
      <c r="A9227" s="28" t="n">
        <v>32643</v>
      </c>
      <c r="B9227" t="n">
        <v>8.82</v>
      </c>
      <c r="C9227" t="n">
        <v>8.24</v>
      </c>
    </row>
    <row r="9228">
      <c r="A9228" s="28" t="n">
        <v>32644</v>
      </c>
      <c r="B9228" t="n">
        <v>8.82</v>
      </c>
      <c r="C9228" t="n">
        <v>8.23</v>
      </c>
    </row>
    <row r="9229">
      <c r="A9229" s="28" t="n">
        <v>32645</v>
      </c>
      <c r="B9229" t="n">
        <v>8.800000000000001</v>
      </c>
      <c r="C9229" t="n">
        <v>8.279999999999999</v>
      </c>
    </row>
    <row r="9230">
      <c r="A9230" s="28" t="n">
        <v>32646</v>
      </c>
      <c r="B9230" t="n">
        <v>8.779999999999999</v>
      </c>
      <c r="C9230" t="n">
        <v>8.380000000000001</v>
      </c>
    </row>
    <row r="9231">
      <c r="A9231" s="28" t="n">
        <v>32647</v>
      </c>
      <c r="B9231" t="n">
        <v>8.710000000000001</v>
      </c>
      <c r="C9231" t="n">
        <v>8.35</v>
      </c>
    </row>
    <row r="9232">
      <c r="A9232" s="28" t="n">
        <v>32650</v>
      </c>
      <c r="B9232" t="n">
        <v>8.58</v>
      </c>
      <c r="C9232" t="n">
        <v>8.32</v>
      </c>
    </row>
    <row r="9233">
      <c r="A9233" s="28" t="n">
        <v>32651</v>
      </c>
      <c r="B9233" t="n">
        <v>8.6</v>
      </c>
      <c r="C9233" t="n">
        <v>8.279999999999999</v>
      </c>
    </row>
    <row r="9234">
      <c r="A9234" s="28" t="n">
        <v>32652</v>
      </c>
      <c r="B9234" t="n">
        <v>8.630000000000001</v>
      </c>
      <c r="C9234" t="n">
        <v>8.369999999999999</v>
      </c>
    </row>
    <row r="9235">
      <c r="A9235" s="28" t="n">
        <v>32653</v>
      </c>
      <c r="B9235" t="n">
        <v>8.67</v>
      </c>
      <c r="C9235" t="n">
        <v>8.539999999999999</v>
      </c>
    </row>
    <row r="9236">
      <c r="A9236" s="28" t="n">
        <v>32654</v>
      </c>
      <c r="B9236" t="n">
        <v>8.66</v>
      </c>
      <c r="C9236" t="n">
        <v>8.52</v>
      </c>
    </row>
    <row r="9237">
      <c r="A9237" s="28" t="n">
        <v>32657</v>
      </c>
      <c r="B9237" t="n">
        <v>0</v>
      </c>
      <c r="C9237" t="n">
        <v>0</v>
      </c>
    </row>
    <row r="9238">
      <c r="A9238" s="28" t="n">
        <v>32658</v>
      </c>
      <c r="B9238" t="n">
        <v>8.640000000000001</v>
      </c>
      <c r="C9238" t="n">
        <v>8.58</v>
      </c>
    </row>
    <row r="9239">
      <c r="A9239" s="28" t="n">
        <v>32659</v>
      </c>
      <c r="B9239" t="n">
        <v>8.6</v>
      </c>
      <c r="C9239" t="n">
        <v>8.609999999999999</v>
      </c>
    </row>
    <row r="9240">
      <c r="A9240" s="28" t="n">
        <v>32660</v>
      </c>
      <c r="B9240" t="n">
        <v>8.609999999999999</v>
      </c>
      <c r="C9240" t="n">
        <v>8.609999999999999</v>
      </c>
    </row>
    <row r="9241">
      <c r="A9241" s="28" t="n">
        <v>32661</v>
      </c>
      <c r="B9241" t="n">
        <v>8.43</v>
      </c>
      <c r="C9241" t="n">
        <v>8.359999999999999</v>
      </c>
    </row>
    <row r="9242">
      <c r="A9242" s="28" t="n">
        <v>32664</v>
      </c>
      <c r="B9242" t="n">
        <v>8.359999999999999</v>
      </c>
      <c r="C9242" t="n">
        <v>8.26</v>
      </c>
    </row>
    <row r="9243">
      <c r="A9243" s="28" t="n">
        <v>32665</v>
      </c>
      <c r="B9243" t="n">
        <v>8.359999999999999</v>
      </c>
      <c r="C9243" t="n">
        <v>8.16</v>
      </c>
    </row>
    <row r="9244">
      <c r="A9244" s="28" t="n">
        <v>32666</v>
      </c>
      <c r="B9244" t="n">
        <v>8.27</v>
      </c>
      <c r="C9244" t="n">
        <v>8.140000000000001</v>
      </c>
    </row>
    <row r="9245">
      <c r="A9245" s="28" t="n">
        <v>32667</v>
      </c>
      <c r="B9245" t="n">
        <v>8.27</v>
      </c>
      <c r="C9245" t="n">
        <v>8.119999999999999</v>
      </c>
    </row>
    <row r="9246">
      <c r="A9246" s="28" t="n">
        <v>32668</v>
      </c>
      <c r="B9246" t="n">
        <v>8.15</v>
      </c>
      <c r="C9246" t="n">
        <v>8.220000000000001</v>
      </c>
    </row>
    <row r="9247">
      <c r="A9247" s="28" t="n">
        <v>32671</v>
      </c>
      <c r="B9247" t="n">
        <v>8.16</v>
      </c>
      <c r="C9247" t="n">
        <v>8.19</v>
      </c>
    </row>
    <row r="9248">
      <c r="A9248" s="28" t="n">
        <v>32672</v>
      </c>
      <c r="B9248" t="n">
        <v>8.25</v>
      </c>
      <c r="C9248" t="n">
        <v>8.16</v>
      </c>
    </row>
    <row r="9249">
      <c r="A9249" s="28" t="n">
        <v>32673</v>
      </c>
      <c r="B9249" t="n">
        <v>8.199999999999999</v>
      </c>
      <c r="C9249" t="n">
        <v>8.119999999999999</v>
      </c>
    </row>
    <row r="9250">
      <c r="A9250" s="28" t="n">
        <v>32674</v>
      </c>
      <c r="B9250" t="n">
        <v>8.33</v>
      </c>
      <c r="C9250" t="n">
        <v>8.09</v>
      </c>
    </row>
    <row r="9251">
      <c r="A9251" s="28" t="n">
        <v>32675</v>
      </c>
      <c r="B9251" t="n">
        <v>8.35</v>
      </c>
      <c r="C9251" t="n">
        <v>8.140000000000001</v>
      </c>
    </row>
    <row r="9252">
      <c r="A9252" s="28" t="n">
        <v>32678</v>
      </c>
      <c r="B9252" t="n">
        <v>8.369999999999999</v>
      </c>
      <c r="C9252" t="n">
        <v>8.15</v>
      </c>
    </row>
    <row r="9253">
      <c r="A9253" s="28" t="n">
        <v>32679</v>
      </c>
      <c r="B9253" t="n">
        <v>8.31</v>
      </c>
      <c r="C9253" t="n">
        <v>8.15</v>
      </c>
    </row>
    <row r="9254">
      <c r="A9254" s="28" t="n">
        <v>32680</v>
      </c>
      <c r="B9254" t="n">
        <v>8.369999999999999</v>
      </c>
      <c r="C9254" t="n">
        <v>8.130000000000001</v>
      </c>
    </row>
    <row r="9255">
      <c r="A9255" s="28" t="n">
        <v>32681</v>
      </c>
      <c r="B9255" t="n">
        <v>8.380000000000001</v>
      </c>
      <c r="C9255" t="n">
        <v>8.15</v>
      </c>
    </row>
    <row r="9256">
      <c r="A9256" s="28" t="n">
        <v>32682</v>
      </c>
      <c r="B9256" t="n">
        <v>8.25</v>
      </c>
      <c r="C9256" t="n">
        <v>8.050000000000001</v>
      </c>
    </row>
    <row r="9257">
      <c r="A9257" s="28" t="n">
        <v>32685</v>
      </c>
      <c r="B9257" t="n">
        <v>8.18</v>
      </c>
      <c r="C9257" t="n">
        <v>8.1</v>
      </c>
    </row>
    <row r="9258">
      <c r="A9258" s="28" t="n">
        <v>32686</v>
      </c>
      <c r="B9258" t="n">
        <v>8.109999999999999</v>
      </c>
      <c r="C9258" t="n">
        <v>8.050000000000001</v>
      </c>
    </row>
    <row r="9259">
      <c r="A9259" s="28" t="n">
        <v>32687</v>
      </c>
      <c r="B9259" t="n">
        <v>8.17</v>
      </c>
      <c r="C9259" t="n">
        <v>8.039999999999999</v>
      </c>
    </row>
    <row r="9260">
      <c r="A9260" s="28" t="n">
        <v>32688</v>
      </c>
      <c r="B9260" t="n">
        <v>8.119999999999999</v>
      </c>
      <c r="C9260" t="n">
        <v>7.95</v>
      </c>
    </row>
    <row r="9261">
      <c r="A9261" s="28" t="n">
        <v>32689</v>
      </c>
      <c r="B9261" t="n">
        <v>8.1</v>
      </c>
      <c r="C9261" t="n">
        <v>7.99</v>
      </c>
    </row>
    <row r="9262">
      <c r="A9262" s="28" t="n">
        <v>32692</v>
      </c>
      <c r="B9262" t="n">
        <v>8.09</v>
      </c>
      <c r="C9262" t="n">
        <v>7.97</v>
      </c>
    </row>
    <row r="9263">
      <c r="A9263" s="28" t="n">
        <v>32693</v>
      </c>
      <c r="B9263" t="n">
        <v>0</v>
      </c>
      <c r="C9263" t="n">
        <v>0</v>
      </c>
    </row>
    <row r="9264">
      <c r="A9264" s="28" t="n">
        <v>32694</v>
      </c>
      <c r="B9264" t="n">
        <v>8.109999999999999</v>
      </c>
      <c r="C9264" t="n">
        <v>7.78</v>
      </c>
    </row>
    <row r="9265">
      <c r="A9265" s="28" t="n">
        <v>32695</v>
      </c>
      <c r="B9265" t="n">
        <v>8.08</v>
      </c>
      <c r="C9265" t="n">
        <v>7.77</v>
      </c>
    </row>
    <row r="9266">
      <c r="A9266" s="28" t="n">
        <v>32696</v>
      </c>
      <c r="B9266" t="n">
        <v>8.02</v>
      </c>
      <c r="C9266" t="n">
        <v>7.73</v>
      </c>
    </row>
    <row r="9267">
      <c r="A9267" s="28" t="n">
        <v>32699</v>
      </c>
      <c r="B9267" t="n">
        <v>7.99</v>
      </c>
      <c r="C9267" t="n">
        <v>7.75</v>
      </c>
    </row>
    <row r="9268">
      <c r="A9268" s="28" t="n">
        <v>32700</v>
      </c>
      <c r="B9268" t="n">
        <v>8</v>
      </c>
      <c r="C9268" t="n">
        <v>7.76</v>
      </c>
    </row>
    <row r="9269">
      <c r="A9269" s="28" t="n">
        <v>32701</v>
      </c>
      <c r="B9269" t="n">
        <v>8</v>
      </c>
      <c r="C9269" t="n">
        <v>7.73</v>
      </c>
    </row>
    <row r="9270">
      <c r="A9270" s="28" t="n">
        <v>32702</v>
      </c>
      <c r="B9270" t="n">
        <v>8</v>
      </c>
      <c r="C9270" t="n">
        <v>7.77</v>
      </c>
    </row>
    <row r="9271">
      <c r="A9271" s="28" t="n">
        <v>32703</v>
      </c>
      <c r="B9271" t="n">
        <v>8.039999999999999</v>
      </c>
      <c r="C9271" t="n">
        <v>7.84</v>
      </c>
    </row>
    <row r="9272">
      <c r="A9272" s="28" t="n">
        <v>32706</v>
      </c>
      <c r="B9272" t="n">
        <v>8.050000000000001</v>
      </c>
      <c r="C9272" t="n">
        <v>7.92</v>
      </c>
    </row>
    <row r="9273">
      <c r="A9273" s="28" t="n">
        <v>32707</v>
      </c>
      <c r="B9273" t="n">
        <v>8.130000000000001</v>
      </c>
      <c r="C9273" t="n">
        <v>7.91</v>
      </c>
    </row>
    <row r="9274">
      <c r="A9274" s="28" t="n">
        <v>32708</v>
      </c>
      <c r="B9274" t="n">
        <v>8.09</v>
      </c>
      <c r="C9274" t="n">
        <v>7.93</v>
      </c>
    </row>
    <row r="9275">
      <c r="A9275" s="28" t="n">
        <v>32709</v>
      </c>
      <c r="B9275" t="n">
        <v>8.01</v>
      </c>
      <c r="C9275" t="n">
        <v>7.97</v>
      </c>
    </row>
    <row r="9276">
      <c r="A9276" s="28" t="n">
        <v>32710</v>
      </c>
      <c r="B9276" t="n">
        <v>8.07</v>
      </c>
      <c r="C9276" t="n">
        <v>8.119999999999999</v>
      </c>
    </row>
    <row r="9277">
      <c r="A9277" s="28" t="n">
        <v>32713</v>
      </c>
      <c r="B9277" t="n">
        <v>8.050000000000001</v>
      </c>
      <c r="C9277" t="n">
        <v>8.1</v>
      </c>
    </row>
    <row r="9278">
      <c r="A9278" s="28" t="n">
        <v>32714</v>
      </c>
      <c r="B9278" t="n">
        <v>8.01</v>
      </c>
      <c r="C9278" t="n">
        <v>8.029999999999999</v>
      </c>
    </row>
    <row r="9279">
      <c r="A9279" s="28" t="n">
        <v>32715</v>
      </c>
      <c r="B9279" t="n">
        <v>8.02</v>
      </c>
      <c r="C9279" t="n">
        <v>8.02</v>
      </c>
    </row>
    <row r="9280">
      <c r="A9280" s="28" t="n">
        <v>32716</v>
      </c>
      <c r="B9280" t="n">
        <v>7.92</v>
      </c>
      <c r="C9280" t="n">
        <v>7.9</v>
      </c>
    </row>
    <row r="9281">
      <c r="A9281" s="28" t="n">
        <v>32717</v>
      </c>
      <c r="B9281" t="n">
        <v>7.87</v>
      </c>
      <c r="C9281" t="n">
        <v>7.86</v>
      </c>
    </row>
    <row r="9282">
      <c r="A9282" s="28" t="n">
        <v>32720</v>
      </c>
      <c r="B9282" t="n">
        <v>7.82</v>
      </c>
      <c r="C9282" t="n">
        <v>7.8</v>
      </c>
    </row>
    <row r="9283">
      <c r="A9283" s="28" t="n">
        <v>32721</v>
      </c>
      <c r="B9283" t="n">
        <v>7.74</v>
      </c>
      <c r="C9283" t="n">
        <v>7.63</v>
      </c>
    </row>
    <row r="9284">
      <c r="A9284" s="28" t="n">
        <v>32722</v>
      </c>
      <c r="B9284" t="n">
        <v>7.76</v>
      </c>
      <c r="C9284" t="n">
        <v>7.63</v>
      </c>
    </row>
    <row r="9285">
      <c r="A9285" s="28" t="n">
        <v>32723</v>
      </c>
      <c r="B9285" t="n">
        <v>7.8</v>
      </c>
      <c r="C9285" t="n">
        <v>7.64</v>
      </c>
    </row>
    <row r="9286">
      <c r="A9286" s="28" t="n">
        <v>32724</v>
      </c>
      <c r="B9286" t="n">
        <v>8</v>
      </c>
      <c r="C9286" t="n">
        <v>7.87</v>
      </c>
    </row>
    <row r="9287">
      <c r="A9287" s="28" t="n">
        <v>32727</v>
      </c>
      <c r="B9287" t="n">
        <v>8.029999999999999</v>
      </c>
      <c r="C9287" t="n">
        <v>7.95</v>
      </c>
    </row>
    <row r="9288">
      <c r="A9288" s="28" t="n">
        <v>32728</v>
      </c>
      <c r="B9288" t="n">
        <v>8</v>
      </c>
      <c r="C9288" t="n">
        <v>7.94</v>
      </c>
    </row>
    <row r="9289">
      <c r="A9289" s="28" t="n">
        <v>32729</v>
      </c>
      <c r="B9289" t="n">
        <v>8.050000000000001</v>
      </c>
      <c r="C9289" t="n">
        <v>7.91</v>
      </c>
    </row>
    <row r="9290">
      <c r="A9290" s="28" t="n">
        <v>32730</v>
      </c>
      <c r="B9290" t="n">
        <v>8.02</v>
      </c>
      <c r="C9290" t="n">
        <v>7.86</v>
      </c>
    </row>
    <row r="9291">
      <c r="A9291" s="28" t="n">
        <v>32731</v>
      </c>
      <c r="B9291" t="n">
        <v>8.09</v>
      </c>
      <c r="C9291" t="n">
        <v>7.96</v>
      </c>
    </row>
    <row r="9292">
      <c r="A9292" s="28" t="n">
        <v>32734</v>
      </c>
      <c r="B9292" t="n">
        <v>8.24</v>
      </c>
      <c r="C9292" t="n">
        <v>8.06</v>
      </c>
    </row>
    <row r="9293">
      <c r="A9293" s="28" t="n">
        <v>32735</v>
      </c>
      <c r="B9293" t="n">
        <v>8.210000000000001</v>
      </c>
      <c r="C9293" t="n">
        <v>8.029999999999999</v>
      </c>
    </row>
    <row r="9294">
      <c r="A9294" s="28" t="n">
        <v>32736</v>
      </c>
      <c r="B9294" t="n">
        <v>8.119999999999999</v>
      </c>
      <c r="C9294" t="n">
        <v>7.94</v>
      </c>
    </row>
    <row r="9295">
      <c r="A9295" s="28" t="n">
        <v>32737</v>
      </c>
      <c r="B9295" t="n">
        <v>8.18</v>
      </c>
      <c r="C9295" t="n">
        <v>7.88</v>
      </c>
    </row>
    <row r="9296">
      <c r="A9296" s="28" t="n">
        <v>32738</v>
      </c>
      <c r="B9296" t="n">
        <v>8.15</v>
      </c>
      <c r="C9296" t="n">
        <v>7.86</v>
      </c>
    </row>
    <row r="9297">
      <c r="A9297" s="28" t="n">
        <v>32741</v>
      </c>
      <c r="B9297" t="n">
        <v>8.199999999999999</v>
      </c>
      <c r="C9297" t="n">
        <v>7.92</v>
      </c>
    </row>
    <row r="9298">
      <c r="A9298" s="28" t="n">
        <v>32742</v>
      </c>
      <c r="B9298" t="n">
        <v>8.289999999999999</v>
      </c>
      <c r="C9298" t="n">
        <v>8.050000000000001</v>
      </c>
    </row>
    <row r="9299">
      <c r="A9299" s="28" t="n">
        <v>32743</v>
      </c>
      <c r="B9299" t="n">
        <v>8.25</v>
      </c>
      <c r="C9299" t="n">
        <v>8</v>
      </c>
    </row>
    <row r="9300">
      <c r="A9300" s="28" t="n">
        <v>32744</v>
      </c>
      <c r="B9300" t="n">
        <v>8.199999999999999</v>
      </c>
      <c r="C9300" t="n">
        <v>7.96</v>
      </c>
    </row>
    <row r="9301">
      <c r="A9301" s="28" t="n">
        <v>32745</v>
      </c>
      <c r="B9301" t="n">
        <v>8.210000000000001</v>
      </c>
      <c r="C9301" t="n">
        <v>7.96</v>
      </c>
    </row>
    <row r="9302">
      <c r="A9302" s="28" t="n">
        <v>32748</v>
      </c>
      <c r="B9302" t="n">
        <v>8.27</v>
      </c>
      <c r="C9302" t="n">
        <v>7.98</v>
      </c>
    </row>
    <row r="9303">
      <c r="A9303" s="28" t="n">
        <v>32749</v>
      </c>
      <c r="B9303" t="n">
        <v>8.27</v>
      </c>
      <c r="C9303" t="n">
        <v>7.9</v>
      </c>
    </row>
    <row r="9304">
      <c r="A9304" s="28" t="n">
        <v>32750</v>
      </c>
      <c r="B9304" t="n">
        <v>8.25</v>
      </c>
      <c r="C9304" t="n">
        <v>7.87</v>
      </c>
    </row>
    <row r="9305">
      <c r="A9305" s="28" t="n">
        <v>32751</v>
      </c>
      <c r="B9305" t="n">
        <v>8.26</v>
      </c>
      <c r="C9305" t="n">
        <v>7.89</v>
      </c>
    </row>
    <row r="9306">
      <c r="A9306" s="28" t="n">
        <v>32752</v>
      </c>
      <c r="B9306" t="n">
        <v>8.19</v>
      </c>
      <c r="C9306" t="n">
        <v>7.86</v>
      </c>
    </row>
    <row r="9307">
      <c r="A9307" s="28" t="n">
        <v>32755</v>
      </c>
      <c r="B9307" t="n">
        <v>0</v>
      </c>
      <c r="C9307" t="n">
        <v>0</v>
      </c>
    </row>
    <row r="9308">
      <c r="A9308" s="28" t="n">
        <v>32756</v>
      </c>
      <c r="B9308" t="n">
        <v>8.19</v>
      </c>
      <c r="C9308" t="n">
        <v>7.88</v>
      </c>
    </row>
    <row r="9309">
      <c r="A9309" s="28" t="n">
        <v>32757</v>
      </c>
      <c r="B9309" t="n">
        <v>8.17</v>
      </c>
      <c r="C9309" t="n">
        <v>7.82</v>
      </c>
    </row>
    <row r="9310">
      <c r="A9310" s="28" t="n">
        <v>32758</v>
      </c>
      <c r="B9310" t="n">
        <v>8.17</v>
      </c>
      <c r="C9310" t="n">
        <v>7.8</v>
      </c>
    </row>
    <row r="9311">
      <c r="A9311" s="28" t="n">
        <v>32759</v>
      </c>
      <c r="B9311" t="n">
        <v>8.140000000000001</v>
      </c>
      <c r="C9311" t="n">
        <v>7.78</v>
      </c>
    </row>
    <row r="9312">
      <c r="A9312" s="28" t="n">
        <v>32762</v>
      </c>
      <c r="B9312" t="n">
        <v>8.130000000000001</v>
      </c>
      <c r="C9312" t="n">
        <v>7.69</v>
      </c>
    </row>
    <row r="9313">
      <c r="A9313" s="28" t="n">
        <v>32763</v>
      </c>
      <c r="B9313" t="n">
        <v>8.130000000000001</v>
      </c>
      <c r="C9313" t="n">
        <v>7.62</v>
      </c>
    </row>
    <row r="9314">
      <c r="A9314" s="28" t="n">
        <v>32764</v>
      </c>
      <c r="B9314" t="n">
        <v>8.18</v>
      </c>
      <c r="C9314" t="n">
        <v>7.59</v>
      </c>
    </row>
    <row r="9315">
      <c r="A9315" s="28" t="n">
        <v>32765</v>
      </c>
      <c r="B9315" t="n">
        <v>8.130000000000001</v>
      </c>
      <c r="C9315" t="n">
        <v>7.58</v>
      </c>
    </row>
    <row r="9316">
      <c r="A9316" s="28" t="n">
        <v>32766</v>
      </c>
      <c r="B9316" t="n">
        <v>8.09</v>
      </c>
      <c r="C9316" t="n">
        <v>7.53</v>
      </c>
    </row>
    <row r="9317">
      <c r="A9317" s="28" t="n">
        <v>32769</v>
      </c>
      <c r="B9317" t="n">
        <v>8.1</v>
      </c>
      <c r="C9317" t="n">
        <v>7.61</v>
      </c>
    </row>
    <row r="9318">
      <c r="A9318" s="28" t="n">
        <v>32770</v>
      </c>
      <c r="B9318" t="n">
        <v>8.09</v>
      </c>
      <c r="C9318" t="n">
        <v>7.66</v>
      </c>
    </row>
    <row r="9319">
      <c r="A9319" s="28" t="n">
        <v>32771</v>
      </c>
      <c r="B9319" t="n">
        <v>8.15</v>
      </c>
      <c r="C9319" t="n">
        <v>7.81</v>
      </c>
    </row>
    <row r="9320">
      <c r="A9320" s="28" t="n">
        <v>32772</v>
      </c>
      <c r="B9320" t="n">
        <v>8.199999999999999</v>
      </c>
      <c r="C9320" t="n">
        <v>7.83</v>
      </c>
    </row>
    <row r="9321">
      <c r="A9321" s="28" t="n">
        <v>32773</v>
      </c>
      <c r="B9321" t="n">
        <v>8.220000000000001</v>
      </c>
      <c r="C9321" t="n">
        <v>7.76</v>
      </c>
    </row>
    <row r="9322">
      <c r="A9322" s="28" t="n">
        <v>32776</v>
      </c>
      <c r="B9322" t="n">
        <v>8.32</v>
      </c>
      <c r="C9322" t="n">
        <v>7.82</v>
      </c>
    </row>
    <row r="9323">
      <c r="A9323" s="28" t="n">
        <v>32777</v>
      </c>
      <c r="B9323" t="n">
        <v>8.300000000000001</v>
      </c>
      <c r="C9323" t="n">
        <v>7.76</v>
      </c>
    </row>
    <row r="9324">
      <c r="A9324" s="28" t="n">
        <v>32778</v>
      </c>
      <c r="B9324" t="n">
        <v>8.300000000000001</v>
      </c>
      <c r="C9324" t="n">
        <v>7.83</v>
      </c>
    </row>
    <row r="9325">
      <c r="A9325" s="28" t="n">
        <v>32779</v>
      </c>
      <c r="B9325" t="n">
        <v>8.300000000000001</v>
      </c>
      <c r="C9325" t="n">
        <v>7.87</v>
      </c>
    </row>
    <row r="9326">
      <c r="A9326" s="28" t="n">
        <v>32780</v>
      </c>
      <c r="B9326" t="n">
        <v>8.31</v>
      </c>
      <c r="C9326" t="n">
        <v>7.91</v>
      </c>
    </row>
    <row r="9327">
      <c r="A9327" s="28" t="n">
        <v>32783</v>
      </c>
      <c r="B9327" t="n">
        <v>8.279999999999999</v>
      </c>
      <c r="C9327" t="n">
        <v>7.89</v>
      </c>
    </row>
    <row r="9328">
      <c r="A9328" s="28" t="n">
        <v>32784</v>
      </c>
      <c r="B9328" t="n">
        <v>8.23</v>
      </c>
      <c r="C9328" t="n">
        <v>7.78</v>
      </c>
    </row>
    <row r="9329">
      <c r="A9329" s="28" t="n">
        <v>32785</v>
      </c>
      <c r="B9329" t="n">
        <v>8.220000000000001</v>
      </c>
      <c r="C9329" t="n">
        <v>7.78</v>
      </c>
    </row>
    <row r="9330">
      <c r="A9330" s="28" t="n">
        <v>32786</v>
      </c>
      <c r="B9330" t="n">
        <v>8.15</v>
      </c>
      <c r="C9330" t="n">
        <v>7.76</v>
      </c>
    </row>
    <row r="9331">
      <c r="A9331" s="28" t="n">
        <v>32787</v>
      </c>
      <c r="B9331" t="n">
        <v>8.029999999999999</v>
      </c>
      <c r="C9331" t="n">
        <v>7.58</v>
      </c>
    </row>
    <row r="9332">
      <c r="A9332" s="28" t="n">
        <v>32790</v>
      </c>
      <c r="B9332" t="n">
        <v>0</v>
      </c>
      <c r="C9332" t="n">
        <v>0</v>
      </c>
    </row>
    <row r="9333">
      <c r="A9333" s="28" t="n">
        <v>32791</v>
      </c>
      <c r="B9333" t="n">
        <v>8.029999999999999</v>
      </c>
      <c r="C9333" t="n">
        <v>7.63</v>
      </c>
    </row>
    <row r="9334">
      <c r="A9334" s="28" t="n">
        <v>32792</v>
      </c>
      <c r="B9334" t="n">
        <v>8.07</v>
      </c>
      <c r="C9334" t="n">
        <v>7.7</v>
      </c>
    </row>
    <row r="9335">
      <c r="A9335" s="28" t="n">
        <v>32793</v>
      </c>
      <c r="B9335" t="n">
        <v>8.039999999999999</v>
      </c>
      <c r="C9335" t="n">
        <v>7.7</v>
      </c>
    </row>
    <row r="9336">
      <c r="A9336" s="28" t="n">
        <v>32794</v>
      </c>
      <c r="B9336" t="n">
        <v>7.87</v>
      </c>
      <c r="C9336" t="n">
        <v>7.61</v>
      </c>
    </row>
    <row r="9337">
      <c r="A9337" s="28" t="n">
        <v>32797</v>
      </c>
      <c r="B9337" t="n">
        <v>7.98</v>
      </c>
      <c r="C9337" t="n">
        <v>7.44</v>
      </c>
    </row>
    <row r="9338">
      <c r="A9338" s="28" t="n">
        <v>32798</v>
      </c>
      <c r="B9338" t="n">
        <v>8</v>
      </c>
      <c r="C9338" t="n">
        <v>7.43</v>
      </c>
    </row>
    <row r="9339">
      <c r="A9339" s="28" t="n">
        <v>32799</v>
      </c>
      <c r="B9339" t="n">
        <v>8.01</v>
      </c>
      <c r="C9339" t="n">
        <v>7.5</v>
      </c>
    </row>
    <row r="9340">
      <c r="A9340" s="28" t="n">
        <v>32800</v>
      </c>
      <c r="B9340" t="n">
        <v>7.96</v>
      </c>
      <c r="C9340" t="n">
        <v>7.57</v>
      </c>
    </row>
    <row r="9341">
      <c r="A9341" s="28" t="n">
        <v>32801</v>
      </c>
      <c r="B9341" t="n">
        <v>7.98</v>
      </c>
      <c r="C9341" t="n">
        <v>7.55</v>
      </c>
    </row>
    <row r="9342">
      <c r="A9342" s="28" t="n">
        <v>32804</v>
      </c>
      <c r="B9342" t="n">
        <v>7.92</v>
      </c>
      <c r="C9342" t="n">
        <v>7.57</v>
      </c>
    </row>
    <row r="9343">
      <c r="A9343" s="28" t="n">
        <v>32805</v>
      </c>
      <c r="B9343" t="n">
        <v>7.87</v>
      </c>
      <c r="C9343" t="n">
        <v>7.5</v>
      </c>
    </row>
    <row r="9344">
      <c r="A9344" s="28" t="n">
        <v>32806</v>
      </c>
      <c r="B9344" t="n">
        <v>7.86</v>
      </c>
      <c r="C9344" t="n">
        <v>7.56</v>
      </c>
    </row>
    <row r="9345">
      <c r="A9345" s="28" t="n">
        <v>32807</v>
      </c>
      <c r="B9345" t="n">
        <v>7.88</v>
      </c>
      <c r="C9345" t="n">
        <v>7.6</v>
      </c>
    </row>
    <row r="9346">
      <c r="A9346" s="28" t="n">
        <v>32808</v>
      </c>
      <c r="B9346" t="n">
        <v>7.94</v>
      </c>
      <c r="C9346" t="n">
        <v>7.76</v>
      </c>
    </row>
    <row r="9347">
      <c r="A9347" s="28" t="n">
        <v>32811</v>
      </c>
      <c r="B9347" t="n">
        <v>7.92</v>
      </c>
      <c r="C9347" t="n">
        <v>7.75</v>
      </c>
    </row>
    <row r="9348">
      <c r="A9348" s="28" t="n">
        <v>32812</v>
      </c>
      <c r="B9348" t="n">
        <v>7.92</v>
      </c>
      <c r="C9348" t="n">
        <v>7.77</v>
      </c>
    </row>
    <row r="9349">
      <c r="A9349" s="28" t="n">
        <v>32813</v>
      </c>
      <c r="B9349" t="n">
        <v>7.91</v>
      </c>
      <c r="C9349" t="n">
        <v>7.78</v>
      </c>
    </row>
    <row r="9350">
      <c r="A9350" s="28" t="n">
        <v>32814</v>
      </c>
      <c r="B9350" t="n">
        <v>7.87</v>
      </c>
      <c r="C9350" t="n">
        <v>7.73</v>
      </c>
    </row>
    <row r="9351">
      <c r="A9351" s="28" t="n">
        <v>32815</v>
      </c>
      <c r="B9351" t="n">
        <v>7.96</v>
      </c>
      <c r="C9351" t="n">
        <v>7.84</v>
      </c>
    </row>
    <row r="9352">
      <c r="A9352" s="28" t="n">
        <v>32818</v>
      </c>
      <c r="B9352" t="n">
        <v>8</v>
      </c>
      <c r="C9352" t="n">
        <v>7.87</v>
      </c>
    </row>
    <row r="9353">
      <c r="A9353" s="28" t="n">
        <v>32819</v>
      </c>
      <c r="B9353" t="n">
        <v>7.9</v>
      </c>
      <c r="C9353" t="n">
        <v>7.75</v>
      </c>
    </row>
    <row r="9354">
      <c r="A9354" s="28" t="n">
        <v>32820</v>
      </c>
      <c r="B9354" t="n">
        <v>7.87</v>
      </c>
      <c r="C9354" t="n">
        <v>7.69</v>
      </c>
    </row>
    <row r="9355">
      <c r="A9355" s="28" t="n">
        <v>32821</v>
      </c>
      <c r="B9355" t="n">
        <v>7.9</v>
      </c>
      <c r="C9355" t="n">
        <v>7.7</v>
      </c>
    </row>
    <row r="9356">
      <c r="A9356" s="28" t="n">
        <v>32822</v>
      </c>
      <c r="B9356" t="n">
        <v>7.92</v>
      </c>
      <c r="C9356" t="n">
        <v>7.71</v>
      </c>
    </row>
    <row r="9357">
      <c r="A9357" s="28" t="n">
        <v>32825</v>
      </c>
      <c r="B9357" t="n">
        <v>7.89</v>
      </c>
      <c r="C9357" t="n">
        <v>7.7</v>
      </c>
    </row>
    <row r="9358">
      <c r="A9358" s="28" t="n">
        <v>32826</v>
      </c>
      <c r="B9358" t="n">
        <v>7.87</v>
      </c>
      <c r="C9358" t="n">
        <v>7.66</v>
      </c>
    </row>
    <row r="9359">
      <c r="A9359" s="28" t="n">
        <v>32827</v>
      </c>
      <c r="B9359" t="n">
        <v>7.82</v>
      </c>
      <c r="C9359" t="n">
        <v>7.64</v>
      </c>
    </row>
    <row r="9360">
      <c r="A9360" s="28" t="n">
        <v>32828</v>
      </c>
      <c r="B9360" t="n">
        <v>7.82</v>
      </c>
      <c r="C9360" t="n">
        <v>7.66</v>
      </c>
    </row>
    <row r="9361">
      <c r="A9361" s="28" t="n">
        <v>32829</v>
      </c>
      <c r="B9361" t="n">
        <v>7.88</v>
      </c>
      <c r="C9361" t="n">
        <v>7.68</v>
      </c>
    </row>
    <row r="9362">
      <c r="A9362" s="28" t="n">
        <v>32832</v>
      </c>
      <c r="B9362" t="n">
        <v>7.86</v>
      </c>
      <c r="C9362" t="n">
        <v>7.68</v>
      </c>
    </row>
    <row r="9363">
      <c r="A9363" s="28" t="n">
        <v>32833</v>
      </c>
      <c r="B9363" t="n">
        <v>7.85</v>
      </c>
      <c r="C9363" t="n">
        <v>7.63</v>
      </c>
    </row>
    <row r="9364">
      <c r="A9364" s="28" t="n">
        <v>32834</v>
      </c>
      <c r="B9364" t="n">
        <v>7.81</v>
      </c>
      <c r="C9364" t="n">
        <v>7.59</v>
      </c>
    </row>
    <row r="9365">
      <c r="A9365" s="28" t="n">
        <v>32835</v>
      </c>
      <c r="B9365" t="n">
        <v>0</v>
      </c>
      <c r="C9365" t="n">
        <v>0</v>
      </c>
    </row>
    <row r="9366">
      <c r="A9366" s="28" t="n">
        <v>32836</v>
      </c>
      <c r="B9366" t="n">
        <v>7.8</v>
      </c>
      <c r="C9366" t="n">
        <v>7.51</v>
      </c>
    </row>
    <row r="9367">
      <c r="A9367" s="28" t="n">
        <v>32839</v>
      </c>
      <c r="B9367" t="n">
        <v>7.85</v>
      </c>
      <c r="C9367" t="n">
        <v>7.66</v>
      </c>
    </row>
    <row r="9368">
      <c r="A9368" s="28" t="n">
        <v>32840</v>
      </c>
      <c r="B9368" t="n">
        <v>7.86</v>
      </c>
      <c r="C9368" t="n">
        <v>7.71</v>
      </c>
    </row>
    <row r="9369">
      <c r="A9369" s="28" t="n">
        <v>32841</v>
      </c>
      <c r="B9369" t="n">
        <v>7.88</v>
      </c>
      <c r="C9369" t="n">
        <v>7.66</v>
      </c>
    </row>
    <row r="9370">
      <c r="A9370" s="28" t="n">
        <v>32842</v>
      </c>
      <c r="B9370" t="n">
        <v>7.84</v>
      </c>
      <c r="C9370" t="n">
        <v>7.59</v>
      </c>
    </row>
    <row r="9371">
      <c r="A9371" s="28" t="n">
        <v>32843</v>
      </c>
      <c r="B9371" t="n">
        <v>7.81</v>
      </c>
      <c r="C9371" t="n">
        <v>7.53</v>
      </c>
    </row>
    <row r="9372">
      <c r="A9372" s="28" t="n">
        <v>32846</v>
      </c>
      <c r="B9372" t="n">
        <v>7.82</v>
      </c>
      <c r="C9372" t="n">
        <v>7.55</v>
      </c>
    </row>
    <row r="9373">
      <c r="A9373" s="28" t="n">
        <v>32847</v>
      </c>
      <c r="B9373" t="n">
        <v>7.82</v>
      </c>
      <c r="C9373" t="n">
        <v>7.56</v>
      </c>
    </row>
    <row r="9374">
      <c r="A9374" s="28" t="n">
        <v>32848</v>
      </c>
      <c r="B9374" t="n">
        <v>7.85</v>
      </c>
      <c r="C9374" t="n">
        <v>7.64</v>
      </c>
    </row>
    <row r="9375">
      <c r="A9375" s="28" t="n">
        <v>32849</v>
      </c>
      <c r="B9375" t="n">
        <v>7.88</v>
      </c>
      <c r="C9375" t="n">
        <v>7.69</v>
      </c>
    </row>
    <row r="9376">
      <c r="A9376" s="28" t="n">
        <v>32850</v>
      </c>
      <c r="B9376" t="n">
        <v>7.82</v>
      </c>
      <c r="C9376" t="n">
        <v>7.61</v>
      </c>
    </row>
    <row r="9377">
      <c r="A9377" s="28" t="n">
        <v>32853</v>
      </c>
      <c r="B9377" t="n">
        <v>7.83</v>
      </c>
      <c r="C9377" t="n">
        <v>7.64</v>
      </c>
    </row>
    <row r="9378">
      <c r="A9378" s="28" t="n">
        <v>32854</v>
      </c>
      <c r="B9378" t="n">
        <v>7.84</v>
      </c>
      <c r="C9378" t="n">
        <v>7.66</v>
      </c>
    </row>
    <row r="9379">
      <c r="A9379" s="28" t="n">
        <v>32855</v>
      </c>
      <c r="B9379" t="n">
        <v>7.82</v>
      </c>
      <c r="C9379" t="n">
        <v>7.69</v>
      </c>
    </row>
    <row r="9380">
      <c r="A9380" s="28" t="n">
        <v>32856</v>
      </c>
      <c r="B9380" t="n">
        <v>7.79</v>
      </c>
      <c r="C9380" t="n">
        <v>7.62</v>
      </c>
    </row>
    <row r="9381">
      <c r="A9381" s="28" t="n">
        <v>32857</v>
      </c>
      <c r="B9381" t="n">
        <v>7.8</v>
      </c>
      <c r="C9381" t="n">
        <v>7.62</v>
      </c>
    </row>
    <row r="9382">
      <c r="A9382" s="28" t="n">
        <v>32860</v>
      </c>
      <c r="B9382" t="n">
        <v>7.77</v>
      </c>
      <c r="C9382" t="n">
        <v>7.6</v>
      </c>
    </row>
    <row r="9383">
      <c r="A9383" s="28" t="n">
        <v>32861</v>
      </c>
      <c r="B9383" t="n">
        <v>7.78</v>
      </c>
      <c r="C9383" t="n">
        <v>7.67</v>
      </c>
    </row>
    <row r="9384">
      <c r="A9384" s="28" t="n">
        <v>32862</v>
      </c>
      <c r="B9384" t="n">
        <v>7.77</v>
      </c>
      <c r="C9384" t="n">
        <v>7.57</v>
      </c>
    </row>
    <row r="9385">
      <c r="A9385" s="28" t="n">
        <v>32863</v>
      </c>
      <c r="B9385" t="n">
        <v>7.77</v>
      </c>
      <c r="C9385" t="n">
        <v>7.56</v>
      </c>
    </row>
    <row r="9386">
      <c r="A9386" s="28" t="n">
        <v>32864</v>
      </c>
      <c r="B9386" t="n">
        <v>7.82</v>
      </c>
      <c r="C9386" t="n">
        <v>7.59</v>
      </c>
    </row>
    <row r="9387">
      <c r="A9387" s="28" t="n">
        <v>32867</v>
      </c>
      <c r="B9387" t="n">
        <v>0</v>
      </c>
      <c r="C9387" t="n">
        <v>0</v>
      </c>
    </row>
    <row r="9388">
      <c r="A9388" s="28" t="n">
        <v>32868</v>
      </c>
      <c r="B9388" t="n">
        <v>7.95</v>
      </c>
      <c r="C9388" t="n">
        <v>7.76</v>
      </c>
    </row>
    <row r="9389">
      <c r="A9389" s="28" t="n">
        <v>32869</v>
      </c>
      <c r="B9389" t="n">
        <v>7.94</v>
      </c>
      <c r="C9389" t="n">
        <v>7.73</v>
      </c>
    </row>
    <row r="9390">
      <c r="A9390" s="28" t="n">
        <v>32870</v>
      </c>
      <c r="B9390" t="n">
        <v>7.91</v>
      </c>
      <c r="C9390" t="n">
        <v>7.68</v>
      </c>
    </row>
    <row r="9391">
      <c r="A9391" s="28" t="n">
        <v>32871</v>
      </c>
      <c r="B9391" t="n">
        <v>7.93</v>
      </c>
      <c r="C9391" t="n">
        <v>7.55</v>
      </c>
    </row>
    <row r="9392">
      <c r="A9392" s="28" t="n">
        <v>32874</v>
      </c>
      <c r="B9392" t="n">
        <v>0</v>
      </c>
      <c r="C9392" t="n">
        <v>0</v>
      </c>
    </row>
    <row r="9393">
      <c r="A9393" s="28" t="n">
        <v>32875</v>
      </c>
      <c r="B9393" t="n">
        <v>7.94</v>
      </c>
      <c r="C9393" t="n">
        <v>7.58</v>
      </c>
    </row>
    <row r="9394">
      <c r="A9394" s="28" t="n">
        <v>32876</v>
      </c>
      <c r="B9394" t="n">
        <v>7.99</v>
      </c>
      <c r="C9394" t="n">
        <v>7.63</v>
      </c>
    </row>
    <row r="9395">
      <c r="A9395" s="28" t="n">
        <v>32877</v>
      </c>
      <c r="B9395" t="n">
        <v>7.98</v>
      </c>
      <c r="C9395" t="n">
        <v>7.59</v>
      </c>
    </row>
    <row r="9396">
      <c r="A9396" s="28" t="n">
        <v>32878</v>
      </c>
      <c r="B9396" t="n">
        <v>7.99</v>
      </c>
      <c r="C9396" t="n">
        <v>7.54</v>
      </c>
    </row>
    <row r="9397">
      <c r="A9397" s="28" t="n">
        <v>32881</v>
      </c>
      <c r="B9397" t="n">
        <v>8.02</v>
      </c>
      <c r="C9397" t="n">
        <v>7.54</v>
      </c>
    </row>
    <row r="9398">
      <c r="A9398" s="28" t="n">
        <v>32882</v>
      </c>
      <c r="B9398" t="n">
        <v>8.02</v>
      </c>
      <c r="C9398" t="n">
        <v>7.55</v>
      </c>
    </row>
    <row r="9399">
      <c r="A9399" s="28" t="n">
        <v>32883</v>
      </c>
      <c r="B9399" t="n">
        <v>8.029999999999999</v>
      </c>
      <c r="C9399" t="n">
        <v>7.5</v>
      </c>
    </row>
    <row r="9400">
      <c r="A9400" s="28" t="n">
        <v>32884</v>
      </c>
      <c r="B9400" t="n">
        <v>8.039999999999999</v>
      </c>
      <c r="C9400" t="n">
        <v>7.55</v>
      </c>
    </row>
    <row r="9401">
      <c r="A9401" s="28" t="n">
        <v>32885</v>
      </c>
      <c r="B9401" t="n">
        <v>8.1</v>
      </c>
      <c r="C9401" t="n">
        <v>7.5</v>
      </c>
    </row>
    <row r="9402">
      <c r="A9402" s="28" t="n">
        <v>32888</v>
      </c>
      <c r="B9402" t="n">
        <v>0</v>
      </c>
      <c r="C9402" t="n">
        <v>0</v>
      </c>
    </row>
    <row r="9403">
      <c r="A9403" s="28" t="n">
        <v>32889</v>
      </c>
      <c r="B9403" t="n">
        <v>8.199999999999999</v>
      </c>
      <c r="C9403" t="n">
        <v>7.63</v>
      </c>
    </row>
    <row r="9404">
      <c r="A9404" s="28" t="n">
        <v>32890</v>
      </c>
      <c r="B9404" t="n">
        <v>8.19</v>
      </c>
      <c r="C9404" t="n">
        <v>7.71</v>
      </c>
    </row>
    <row r="9405">
      <c r="A9405" s="28" t="n">
        <v>32891</v>
      </c>
      <c r="B9405" t="n">
        <v>8.32</v>
      </c>
      <c r="C9405" t="n">
        <v>7.78</v>
      </c>
    </row>
    <row r="9406">
      <c r="A9406" s="28" t="n">
        <v>32892</v>
      </c>
      <c r="B9406" t="n">
        <v>8.26</v>
      </c>
      <c r="C9406" t="n">
        <v>7.74</v>
      </c>
    </row>
    <row r="9407">
      <c r="A9407" s="28" t="n">
        <v>32895</v>
      </c>
      <c r="B9407" t="n">
        <v>8.27</v>
      </c>
      <c r="C9407" t="n">
        <v>7.73</v>
      </c>
    </row>
    <row r="9408">
      <c r="A9408" s="28" t="n">
        <v>32896</v>
      </c>
      <c r="B9408" t="n">
        <v>8.26</v>
      </c>
      <c r="C9408" t="n">
        <v>7.67</v>
      </c>
    </row>
    <row r="9409">
      <c r="A9409" s="28" t="n">
        <v>32897</v>
      </c>
      <c r="B9409" t="n">
        <v>8.380000000000001</v>
      </c>
      <c r="C9409" t="n">
        <v>7.67</v>
      </c>
    </row>
    <row r="9410">
      <c r="A9410" s="28" t="n">
        <v>32898</v>
      </c>
      <c r="B9410" t="n">
        <v>8.42</v>
      </c>
      <c r="C9410" t="n">
        <v>7.69</v>
      </c>
    </row>
    <row r="9411">
      <c r="A9411" s="28" t="n">
        <v>32899</v>
      </c>
      <c r="B9411" t="n">
        <v>8.49</v>
      </c>
      <c r="C9411" t="n">
        <v>7.68</v>
      </c>
    </row>
    <row r="9412">
      <c r="A9412" s="28" t="n">
        <v>32902</v>
      </c>
      <c r="B9412" t="n">
        <v>8.5</v>
      </c>
      <c r="C9412" t="n">
        <v>7.74</v>
      </c>
    </row>
    <row r="9413">
      <c r="A9413" s="28" t="n">
        <v>32903</v>
      </c>
      <c r="B9413" t="n">
        <v>8.51</v>
      </c>
      <c r="C9413" t="n">
        <v>7.74</v>
      </c>
    </row>
    <row r="9414">
      <c r="A9414" s="28" t="n">
        <v>32904</v>
      </c>
      <c r="B9414" t="n">
        <v>8.43</v>
      </c>
      <c r="C9414" t="n">
        <v>7.74</v>
      </c>
    </row>
    <row r="9415">
      <c r="A9415" s="28" t="n">
        <v>32905</v>
      </c>
      <c r="B9415" t="n">
        <v>8.42</v>
      </c>
      <c r="C9415" t="n">
        <v>7.76</v>
      </c>
    </row>
    <row r="9416">
      <c r="A9416" s="28" t="n">
        <v>32906</v>
      </c>
      <c r="B9416" t="n">
        <v>8.5</v>
      </c>
      <c r="C9416" t="n">
        <v>7.81</v>
      </c>
    </row>
    <row r="9417">
      <c r="A9417" s="28" t="n">
        <v>32909</v>
      </c>
      <c r="B9417" t="n">
        <v>8.529999999999999</v>
      </c>
      <c r="C9417" t="n">
        <v>7.82</v>
      </c>
    </row>
    <row r="9418">
      <c r="A9418" s="28" t="n">
        <v>32910</v>
      </c>
      <c r="B9418" t="n">
        <v>8.57</v>
      </c>
      <c r="C9418" t="n">
        <v>7.82</v>
      </c>
    </row>
    <row r="9419">
      <c r="A9419" s="28" t="n">
        <v>32911</v>
      </c>
      <c r="B9419" t="n">
        <v>8.52</v>
      </c>
      <c r="C9419" t="n">
        <v>7.81</v>
      </c>
    </row>
    <row r="9420">
      <c r="A9420" s="28" t="n">
        <v>32912</v>
      </c>
      <c r="B9420" t="n">
        <v>8.49</v>
      </c>
      <c r="C9420" t="n">
        <v>7.81</v>
      </c>
    </row>
    <row r="9421">
      <c r="A9421" s="28" t="n">
        <v>32913</v>
      </c>
      <c r="B9421" t="n">
        <v>8.31</v>
      </c>
      <c r="C9421" t="n">
        <v>7.76</v>
      </c>
    </row>
    <row r="9422">
      <c r="A9422" s="28" t="n">
        <v>32916</v>
      </c>
      <c r="B9422" t="n">
        <v>8.4</v>
      </c>
      <c r="C9422" t="n">
        <v>7.73</v>
      </c>
    </row>
    <row r="9423">
      <c r="A9423" s="28" t="n">
        <v>32917</v>
      </c>
      <c r="B9423" t="n">
        <v>8.35</v>
      </c>
      <c r="C9423" t="n">
        <v>7.58</v>
      </c>
    </row>
    <row r="9424">
      <c r="A9424" s="28" t="n">
        <v>32918</v>
      </c>
      <c r="B9424" t="n">
        <v>8.359999999999999</v>
      </c>
      <c r="C9424" t="n">
        <v>7.61</v>
      </c>
    </row>
    <row r="9425">
      <c r="A9425" s="28" t="n">
        <v>32919</v>
      </c>
      <c r="B9425" t="n">
        <v>8.43</v>
      </c>
      <c r="C9425" t="n">
        <v>7.71</v>
      </c>
    </row>
    <row r="9426">
      <c r="A9426" s="28" t="n">
        <v>32920</v>
      </c>
      <c r="B9426" t="n">
        <v>8.42</v>
      </c>
      <c r="C9426" t="n">
        <v>7.69</v>
      </c>
    </row>
    <row r="9427">
      <c r="A9427" s="28" t="n">
        <v>32923</v>
      </c>
      <c r="B9427" t="n">
        <v>0</v>
      </c>
      <c r="C9427" t="n">
        <v>0</v>
      </c>
    </row>
    <row r="9428">
      <c r="A9428" s="28" t="n">
        <v>32924</v>
      </c>
      <c r="B9428" t="n">
        <v>8.619999999999999</v>
      </c>
      <c r="C9428" t="n">
        <v>7.8</v>
      </c>
    </row>
    <row r="9429">
      <c r="A9429" s="28" t="n">
        <v>32925</v>
      </c>
      <c r="B9429" t="n">
        <v>8.619999999999999</v>
      </c>
      <c r="C9429" t="n">
        <v>7.75</v>
      </c>
    </row>
    <row r="9430">
      <c r="A9430" s="28" t="n">
        <v>32926</v>
      </c>
      <c r="B9430" t="n">
        <v>8.539999999999999</v>
      </c>
      <c r="C9430" t="n">
        <v>7.73</v>
      </c>
    </row>
    <row r="9431">
      <c r="A9431" s="28" t="n">
        <v>32927</v>
      </c>
      <c r="B9431" t="n">
        <v>8.529999999999999</v>
      </c>
      <c r="C9431" t="n">
        <v>7.68</v>
      </c>
    </row>
    <row r="9432">
      <c r="A9432" s="28" t="n">
        <v>32930</v>
      </c>
      <c r="B9432" t="n">
        <v>8.460000000000001</v>
      </c>
      <c r="C9432" t="n">
        <v>7.71</v>
      </c>
    </row>
    <row r="9433">
      <c r="A9433" s="28" t="n">
        <v>32931</v>
      </c>
      <c r="B9433" t="n">
        <v>8.41</v>
      </c>
      <c r="C9433" t="n">
        <v>7.73</v>
      </c>
    </row>
    <row r="9434">
      <c r="A9434" s="28" t="n">
        <v>32932</v>
      </c>
      <c r="B9434" t="n">
        <v>8.51</v>
      </c>
      <c r="C9434" t="n">
        <v>7.77</v>
      </c>
    </row>
    <row r="9435">
      <c r="A9435" s="28" t="n">
        <v>32933</v>
      </c>
      <c r="B9435" t="n">
        <v>8.59</v>
      </c>
      <c r="C9435" t="n">
        <v>7.81</v>
      </c>
    </row>
    <row r="9436">
      <c r="A9436" s="28" t="n">
        <v>32934</v>
      </c>
      <c r="B9436" t="n">
        <v>8.539999999999999</v>
      </c>
      <c r="C9436" t="n">
        <v>7.76</v>
      </c>
    </row>
    <row r="9437">
      <c r="A9437" s="28" t="n">
        <v>32937</v>
      </c>
      <c r="B9437" t="n">
        <v>8.65</v>
      </c>
      <c r="C9437" t="n">
        <v>7.82</v>
      </c>
    </row>
    <row r="9438">
      <c r="A9438" s="28" t="n">
        <v>32938</v>
      </c>
      <c r="B9438" t="n">
        <v>8.59</v>
      </c>
      <c r="C9438" t="n">
        <v>7.9</v>
      </c>
    </row>
    <row r="9439">
      <c r="A9439" s="28" t="n">
        <v>32939</v>
      </c>
      <c r="B9439" t="n">
        <v>8.58</v>
      </c>
      <c r="C9439" t="n">
        <v>7.91</v>
      </c>
    </row>
    <row r="9440">
      <c r="A9440" s="28" t="n">
        <v>32940</v>
      </c>
      <c r="B9440" t="n">
        <v>8.57</v>
      </c>
      <c r="C9440" t="n">
        <v>7.91</v>
      </c>
    </row>
    <row r="9441">
      <c r="A9441" s="28" t="n">
        <v>32941</v>
      </c>
      <c r="B9441" t="n">
        <v>8.65</v>
      </c>
      <c r="C9441" t="n">
        <v>7.99</v>
      </c>
    </row>
    <row r="9442">
      <c r="A9442" s="28" t="n">
        <v>32944</v>
      </c>
      <c r="B9442" t="n">
        <v>8.630000000000001</v>
      </c>
      <c r="C9442" t="n">
        <v>7.99</v>
      </c>
    </row>
    <row r="9443">
      <c r="A9443" s="28" t="n">
        <v>32945</v>
      </c>
      <c r="B9443" t="n">
        <v>8.73</v>
      </c>
      <c r="C9443" t="n">
        <v>7.98</v>
      </c>
    </row>
    <row r="9444">
      <c r="A9444" s="28" t="n">
        <v>32946</v>
      </c>
      <c r="B9444" t="n">
        <v>8.65</v>
      </c>
      <c r="C9444" t="n">
        <v>7.95</v>
      </c>
    </row>
    <row r="9445">
      <c r="A9445" s="28" t="n">
        <v>32947</v>
      </c>
      <c r="B9445" t="n">
        <v>8.66</v>
      </c>
      <c r="C9445" t="n">
        <v>7.94</v>
      </c>
    </row>
    <row r="9446">
      <c r="A9446" s="28" t="n">
        <v>32948</v>
      </c>
      <c r="B9446" t="n">
        <v>8.59</v>
      </c>
      <c r="C9446" t="n">
        <v>7.92</v>
      </c>
    </row>
    <row r="9447">
      <c r="A9447" s="28" t="n">
        <v>32951</v>
      </c>
      <c r="B9447" t="n">
        <v>8.59</v>
      </c>
      <c r="C9447" t="n">
        <v>7.94</v>
      </c>
    </row>
    <row r="9448">
      <c r="A9448" s="28" t="n">
        <v>32952</v>
      </c>
      <c r="B9448" t="n">
        <v>8.539999999999999</v>
      </c>
      <c r="C9448" t="n">
        <v>7.97</v>
      </c>
    </row>
    <row r="9449">
      <c r="A9449" s="28" t="n">
        <v>32953</v>
      </c>
      <c r="B9449" t="n">
        <v>8.550000000000001</v>
      </c>
      <c r="C9449" t="n">
        <v>7.95</v>
      </c>
    </row>
    <row r="9450">
      <c r="A9450" s="28" t="n">
        <v>32954</v>
      </c>
      <c r="B9450" t="n">
        <v>8.529999999999999</v>
      </c>
      <c r="C9450" t="n">
        <v>7.9</v>
      </c>
    </row>
    <row r="9451">
      <c r="A9451" s="28" t="n">
        <v>32955</v>
      </c>
      <c r="B9451" t="n">
        <v>8.52</v>
      </c>
      <c r="C9451" t="n">
        <v>7.88</v>
      </c>
    </row>
    <row r="9452">
      <c r="A9452" s="28" t="n">
        <v>32958</v>
      </c>
      <c r="B9452" t="n">
        <v>8.51</v>
      </c>
      <c r="C9452" t="n">
        <v>7.86</v>
      </c>
    </row>
    <row r="9453">
      <c r="A9453" s="28" t="n">
        <v>32959</v>
      </c>
      <c r="B9453" t="n">
        <v>8.52</v>
      </c>
      <c r="C9453" t="n">
        <v>7.9</v>
      </c>
    </row>
    <row r="9454">
      <c r="A9454" s="28" t="n">
        <v>32960</v>
      </c>
      <c r="B9454" t="n">
        <v>8.51</v>
      </c>
      <c r="C9454" t="n">
        <v>7.85</v>
      </c>
    </row>
    <row r="9455">
      <c r="A9455" s="28" t="n">
        <v>32961</v>
      </c>
      <c r="B9455" t="n">
        <v>8.6</v>
      </c>
      <c r="C9455" t="n">
        <v>7.83</v>
      </c>
    </row>
    <row r="9456">
      <c r="A9456" s="28" t="n">
        <v>32962</v>
      </c>
      <c r="B9456" t="n">
        <v>8.65</v>
      </c>
      <c r="C9456" t="n">
        <v>7.8</v>
      </c>
    </row>
    <row r="9457">
      <c r="A9457" s="28" t="n">
        <v>32965</v>
      </c>
      <c r="B9457" t="n">
        <v>8.65</v>
      </c>
      <c r="C9457" t="n">
        <v>7.78</v>
      </c>
    </row>
    <row r="9458">
      <c r="A9458" s="28" t="n">
        <v>32966</v>
      </c>
      <c r="B9458" t="n">
        <v>8.630000000000001</v>
      </c>
      <c r="C9458" t="n">
        <v>7.82</v>
      </c>
    </row>
    <row r="9459">
      <c r="A9459" s="28" t="n">
        <v>32967</v>
      </c>
      <c r="B9459" t="n">
        <v>8.550000000000001</v>
      </c>
      <c r="C9459" t="n">
        <v>7.75</v>
      </c>
    </row>
    <row r="9460">
      <c r="A9460" s="28" t="n">
        <v>32968</v>
      </c>
      <c r="B9460" t="n">
        <v>8.57</v>
      </c>
      <c r="C9460" t="n">
        <v>7.76</v>
      </c>
    </row>
    <row r="9461">
      <c r="A9461" s="28" t="n">
        <v>32969</v>
      </c>
      <c r="B9461" t="n">
        <v>8.56</v>
      </c>
      <c r="C9461" t="n">
        <v>7.76</v>
      </c>
    </row>
    <row r="9462">
      <c r="A9462" s="28" t="n">
        <v>32972</v>
      </c>
      <c r="B9462" t="n">
        <v>8.59</v>
      </c>
      <c r="C9462" t="n">
        <v>7.82</v>
      </c>
    </row>
    <row r="9463">
      <c r="A9463" s="28" t="n">
        <v>32973</v>
      </c>
      <c r="B9463" t="n">
        <v>8.6</v>
      </c>
      <c r="C9463" t="n">
        <v>7.78</v>
      </c>
    </row>
    <row r="9464">
      <c r="A9464" s="28" t="n">
        <v>32974</v>
      </c>
      <c r="B9464" t="n">
        <v>8.630000000000001</v>
      </c>
      <c r="C9464" t="n">
        <v>7.76</v>
      </c>
    </row>
    <row r="9465">
      <c r="A9465" s="28" t="n">
        <v>32975</v>
      </c>
      <c r="B9465" t="n">
        <v>8.640000000000001</v>
      </c>
      <c r="C9465" t="n">
        <v>7.76</v>
      </c>
    </row>
    <row r="9466">
      <c r="A9466" s="28" t="n">
        <v>32976</v>
      </c>
      <c r="B9466" t="n">
        <v>0</v>
      </c>
      <c r="C9466" t="n">
        <v>0</v>
      </c>
    </row>
    <row r="9467">
      <c r="A9467" s="28" t="n">
        <v>32979</v>
      </c>
      <c r="B9467" t="n">
        <v>8.68</v>
      </c>
      <c r="C9467" t="n">
        <v>7.74</v>
      </c>
    </row>
    <row r="9468">
      <c r="A9468" s="28" t="n">
        <v>32980</v>
      </c>
      <c r="B9468" t="n">
        <v>8.77</v>
      </c>
      <c r="C9468" t="n">
        <v>7.76</v>
      </c>
    </row>
    <row r="9469">
      <c r="A9469" s="28" t="n">
        <v>32981</v>
      </c>
      <c r="B9469" t="n">
        <v>8.859999999999999</v>
      </c>
      <c r="C9469" t="n">
        <v>7.81</v>
      </c>
    </row>
    <row r="9470">
      <c r="A9470" s="28" t="n">
        <v>32982</v>
      </c>
      <c r="B9470" t="n">
        <v>8.869999999999999</v>
      </c>
      <c r="C9470" t="n">
        <v>7.79</v>
      </c>
    </row>
    <row r="9471">
      <c r="A9471" s="28" t="n">
        <v>32983</v>
      </c>
      <c r="B9471" t="n">
        <v>8.949999999999999</v>
      </c>
      <c r="C9471" t="n">
        <v>7.69</v>
      </c>
    </row>
    <row r="9472">
      <c r="A9472" s="28" t="n">
        <v>32986</v>
      </c>
      <c r="B9472" t="n">
        <v>8.98</v>
      </c>
      <c r="C9472" t="n">
        <v>7.73</v>
      </c>
    </row>
    <row r="9473">
      <c r="A9473" s="28" t="n">
        <v>32987</v>
      </c>
      <c r="B9473" t="n">
        <v>9</v>
      </c>
      <c r="C9473" t="n">
        <v>7.76</v>
      </c>
    </row>
    <row r="9474">
      <c r="A9474" s="28" t="n">
        <v>32988</v>
      </c>
      <c r="B9474" t="n">
        <v>9.01</v>
      </c>
      <c r="C9474" t="n">
        <v>7.79</v>
      </c>
    </row>
    <row r="9475">
      <c r="A9475" s="28" t="n">
        <v>32989</v>
      </c>
      <c r="B9475" t="n">
        <v>9.07</v>
      </c>
      <c r="C9475" t="n">
        <v>7.82</v>
      </c>
    </row>
    <row r="9476">
      <c r="A9476" s="28" t="n">
        <v>32990</v>
      </c>
      <c r="B9476" t="n">
        <v>9.06</v>
      </c>
      <c r="C9476" t="n">
        <v>7.79</v>
      </c>
    </row>
    <row r="9477">
      <c r="A9477" s="28" t="n">
        <v>32993</v>
      </c>
      <c r="B9477" t="n">
        <v>9.039999999999999</v>
      </c>
      <c r="C9477" t="n">
        <v>7.79</v>
      </c>
    </row>
    <row r="9478">
      <c r="A9478" s="28" t="n">
        <v>32994</v>
      </c>
      <c r="B9478" t="n">
        <v>9.08</v>
      </c>
      <c r="C9478" t="n">
        <v>7.92</v>
      </c>
    </row>
    <row r="9479">
      <c r="A9479" s="28" t="n">
        <v>32995</v>
      </c>
      <c r="B9479" t="n">
        <v>9.09</v>
      </c>
      <c r="C9479" t="n">
        <v>7.9</v>
      </c>
    </row>
    <row r="9480">
      <c r="A9480" s="28" t="n">
        <v>32996</v>
      </c>
      <c r="B9480" t="n">
        <v>9.039999999999999</v>
      </c>
      <c r="C9480" t="n">
        <v>7.88</v>
      </c>
    </row>
    <row r="9481">
      <c r="A9481" s="28" t="n">
        <v>32997</v>
      </c>
      <c r="B9481" t="n">
        <v>8.84</v>
      </c>
      <c r="C9481" t="n">
        <v>7.76</v>
      </c>
    </row>
    <row r="9482">
      <c r="A9482" s="28" t="n">
        <v>33000</v>
      </c>
      <c r="B9482" t="n">
        <v>8.869999999999999</v>
      </c>
      <c r="C9482" t="n">
        <v>7.82</v>
      </c>
    </row>
    <row r="9483">
      <c r="A9483" s="28" t="n">
        <v>33001</v>
      </c>
      <c r="B9483" t="n">
        <v>8.84</v>
      </c>
      <c r="C9483" t="n">
        <v>7.79</v>
      </c>
    </row>
    <row r="9484">
      <c r="A9484" s="28" t="n">
        <v>33002</v>
      </c>
      <c r="B9484" t="n">
        <v>8.880000000000001</v>
      </c>
      <c r="C9484" t="n">
        <v>7.75</v>
      </c>
    </row>
    <row r="9485">
      <c r="A9485" s="28" t="n">
        <v>33003</v>
      </c>
      <c r="B9485" t="n">
        <v>8.82</v>
      </c>
      <c r="C9485" t="n">
        <v>7.71</v>
      </c>
    </row>
    <row r="9486">
      <c r="A9486" s="28" t="n">
        <v>33004</v>
      </c>
      <c r="B9486" t="n">
        <v>8.640000000000001</v>
      </c>
      <c r="C9486" t="n">
        <v>7.62</v>
      </c>
    </row>
    <row r="9487">
      <c r="A9487" s="28" t="n">
        <v>33007</v>
      </c>
      <c r="B9487" t="n">
        <v>8.609999999999999</v>
      </c>
      <c r="C9487" t="n">
        <v>7.63</v>
      </c>
    </row>
    <row r="9488">
      <c r="A9488" s="28" t="n">
        <v>33008</v>
      </c>
      <c r="B9488" t="n">
        <v>8.65</v>
      </c>
      <c r="C9488" t="n">
        <v>7.65</v>
      </c>
    </row>
    <row r="9489">
      <c r="A9489" s="28" t="n">
        <v>33009</v>
      </c>
      <c r="B9489" t="n">
        <v>8.68</v>
      </c>
      <c r="C9489" t="n">
        <v>7.67</v>
      </c>
    </row>
    <row r="9490">
      <c r="A9490" s="28" t="n">
        <v>33010</v>
      </c>
      <c r="B9490" t="n">
        <v>8.69</v>
      </c>
      <c r="C9490" t="n">
        <v>7.67</v>
      </c>
    </row>
    <row r="9491">
      <c r="A9491" s="28" t="n">
        <v>33011</v>
      </c>
      <c r="B9491" t="n">
        <v>8.75</v>
      </c>
      <c r="C9491" t="n">
        <v>7.75</v>
      </c>
    </row>
    <row r="9492">
      <c r="A9492" s="28" t="n">
        <v>33014</v>
      </c>
      <c r="B9492" t="n">
        <v>8.74</v>
      </c>
      <c r="C9492" t="n">
        <v>7.75</v>
      </c>
    </row>
    <row r="9493">
      <c r="A9493" s="28" t="n">
        <v>33015</v>
      </c>
      <c r="B9493" t="n">
        <v>8.65</v>
      </c>
      <c r="C9493" t="n">
        <v>7.73</v>
      </c>
    </row>
    <row r="9494">
      <c r="A9494" s="28" t="n">
        <v>33016</v>
      </c>
      <c r="B9494" t="n">
        <v>8.609999999999999</v>
      </c>
      <c r="C9494" t="n">
        <v>7.65</v>
      </c>
    </row>
    <row r="9495">
      <c r="A9495" s="28" t="n">
        <v>33017</v>
      </c>
      <c r="B9495" t="n">
        <v>8.630000000000001</v>
      </c>
      <c r="C9495" t="n">
        <v>7.69</v>
      </c>
    </row>
    <row r="9496">
      <c r="A9496" s="28" t="n">
        <v>33018</v>
      </c>
      <c r="B9496" t="n">
        <v>8.69</v>
      </c>
      <c r="C9496" t="n">
        <v>7.75</v>
      </c>
    </row>
    <row r="9497">
      <c r="A9497" s="28" t="n">
        <v>33021</v>
      </c>
      <c r="B9497" t="n">
        <v>0</v>
      </c>
      <c r="C9497" t="n">
        <v>0</v>
      </c>
    </row>
    <row r="9498">
      <c r="A9498" s="28" t="n">
        <v>33022</v>
      </c>
      <c r="B9498" t="n">
        <v>8.66</v>
      </c>
      <c r="C9498" t="n">
        <v>7.75</v>
      </c>
    </row>
    <row r="9499">
      <c r="A9499" s="28" t="n">
        <v>33023</v>
      </c>
      <c r="B9499" t="n">
        <v>8.619999999999999</v>
      </c>
      <c r="C9499" t="n">
        <v>7.76</v>
      </c>
    </row>
    <row r="9500">
      <c r="A9500" s="28" t="n">
        <v>33024</v>
      </c>
      <c r="B9500" t="n">
        <v>8.6</v>
      </c>
      <c r="C9500" t="n">
        <v>7.75</v>
      </c>
    </row>
    <row r="9501">
      <c r="A9501" s="28" t="n">
        <v>33025</v>
      </c>
      <c r="B9501" t="n">
        <v>8.44</v>
      </c>
      <c r="C9501" t="n">
        <v>7.68</v>
      </c>
    </row>
    <row r="9502">
      <c r="A9502" s="28" t="n">
        <v>33028</v>
      </c>
      <c r="B9502" t="n">
        <v>8.44</v>
      </c>
      <c r="C9502" t="n">
        <v>7.7</v>
      </c>
    </row>
    <row r="9503">
      <c r="A9503" s="28" t="n">
        <v>33029</v>
      </c>
      <c r="B9503" t="n">
        <v>8.470000000000001</v>
      </c>
      <c r="C9503" t="n">
        <v>7.7</v>
      </c>
    </row>
    <row r="9504">
      <c r="A9504" s="28" t="n">
        <v>33030</v>
      </c>
      <c r="B9504" t="n">
        <v>8.460000000000001</v>
      </c>
      <c r="C9504" t="n">
        <v>7.7</v>
      </c>
    </row>
    <row r="9505">
      <c r="A9505" s="28" t="n">
        <v>33031</v>
      </c>
      <c r="B9505" t="n">
        <v>8.460000000000001</v>
      </c>
      <c r="C9505" t="n">
        <v>7.7</v>
      </c>
    </row>
    <row r="9506">
      <c r="A9506" s="28" t="n">
        <v>33032</v>
      </c>
      <c r="B9506" t="n">
        <v>8.460000000000001</v>
      </c>
      <c r="C9506" t="n">
        <v>7.7</v>
      </c>
    </row>
    <row r="9507">
      <c r="A9507" s="28" t="n">
        <v>33035</v>
      </c>
      <c r="B9507" t="n">
        <v>8.48</v>
      </c>
      <c r="C9507" t="n">
        <v>7.73</v>
      </c>
    </row>
    <row r="9508">
      <c r="A9508" s="28" t="n">
        <v>33036</v>
      </c>
      <c r="B9508" t="n">
        <v>8.48</v>
      </c>
      <c r="C9508" t="n">
        <v>7.73</v>
      </c>
    </row>
    <row r="9509">
      <c r="A9509" s="28" t="n">
        <v>33037</v>
      </c>
      <c r="B9509" t="n">
        <v>8.4</v>
      </c>
      <c r="C9509" t="n">
        <v>7.67</v>
      </c>
    </row>
    <row r="9510">
      <c r="A9510" s="28" t="n">
        <v>33038</v>
      </c>
      <c r="B9510" t="n">
        <v>8.380000000000001</v>
      </c>
      <c r="C9510" t="n">
        <v>7.66</v>
      </c>
    </row>
    <row r="9511">
      <c r="A9511" s="28" t="n">
        <v>33039</v>
      </c>
      <c r="B9511" t="n">
        <v>8.460000000000001</v>
      </c>
      <c r="C9511" t="n">
        <v>7.69</v>
      </c>
    </row>
    <row r="9512">
      <c r="A9512" s="28" t="n">
        <v>33042</v>
      </c>
      <c r="B9512" t="n">
        <v>8.5</v>
      </c>
      <c r="C9512" t="n">
        <v>7.67</v>
      </c>
    </row>
    <row r="9513">
      <c r="A9513" s="28" t="n">
        <v>33043</v>
      </c>
      <c r="B9513" t="n">
        <v>8.51</v>
      </c>
      <c r="C9513" t="n">
        <v>7.74</v>
      </c>
    </row>
    <row r="9514">
      <c r="A9514" s="28" t="n">
        <v>33044</v>
      </c>
      <c r="B9514" t="n">
        <v>8.550000000000001</v>
      </c>
      <c r="C9514" t="n">
        <v>7.76</v>
      </c>
    </row>
    <row r="9515">
      <c r="A9515" s="28" t="n">
        <v>33045</v>
      </c>
      <c r="B9515" t="n">
        <v>8.52</v>
      </c>
      <c r="C9515" t="n">
        <v>7.77</v>
      </c>
    </row>
    <row r="9516">
      <c r="A9516" s="28" t="n">
        <v>33046</v>
      </c>
      <c r="B9516" t="n">
        <v>8.51</v>
      </c>
      <c r="C9516" t="n">
        <v>7.78</v>
      </c>
    </row>
    <row r="9517">
      <c r="A9517" s="28" t="n">
        <v>33049</v>
      </c>
      <c r="B9517" t="n">
        <v>8.58</v>
      </c>
      <c r="C9517" t="n">
        <v>7.79</v>
      </c>
    </row>
    <row r="9518">
      <c r="A9518" s="28" t="n">
        <v>33050</v>
      </c>
      <c r="B9518" t="n">
        <v>8.56</v>
      </c>
      <c r="C9518" t="n">
        <v>7.8</v>
      </c>
    </row>
    <row r="9519">
      <c r="A9519" s="28" t="n">
        <v>33051</v>
      </c>
      <c r="B9519" t="n">
        <v>8.52</v>
      </c>
      <c r="C9519" t="n">
        <v>7.78</v>
      </c>
    </row>
    <row r="9520">
      <c r="A9520" s="28" t="n">
        <v>33052</v>
      </c>
      <c r="B9520" t="n">
        <v>8.470000000000001</v>
      </c>
      <c r="C9520" t="n">
        <v>7.74</v>
      </c>
    </row>
    <row r="9521">
      <c r="A9521" s="28" t="n">
        <v>33053</v>
      </c>
      <c r="B9521" t="n">
        <v>8.43</v>
      </c>
      <c r="C9521" t="n">
        <v>7.74</v>
      </c>
    </row>
    <row r="9522">
      <c r="A9522" s="28" t="n">
        <v>33056</v>
      </c>
      <c r="B9522" t="n">
        <v>8.43</v>
      </c>
      <c r="C9522" t="n">
        <v>7.74</v>
      </c>
    </row>
    <row r="9523">
      <c r="A9523" s="28" t="n">
        <v>33057</v>
      </c>
      <c r="B9523" t="n">
        <v>8.4</v>
      </c>
      <c r="C9523" t="n">
        <v>7.7</v>
      </c>
    </row>
    <row r="9524">
      <c r="A9524" s="28" t="n">
        <v>33058</v>
      </c>
      <c r="B9524" t="n">
        <v>0</v>
      </c>
      <c r="C9524" t="n">
        <v>0</v>
      </c>
    </row>
    <row r="9525">
      <c r="A9525" s="28" t="n">
        <v>33059</v>
      </c>
      <c r="B9525" t="n">
        <v>8.42</v>
      </c>
      <c r="C9525" t="n">
        <v>7.66</v>
      </c>
    </row>
    <row r="9526">
      <c r="A9526" s="28" t="n">
        <v>33060</v>
      </c>
      <c r="B9526" t="n">
        <v>8.51</v>
      </c>
      <c r="C9526" t="n">
        <v>7.75</v>
      </c>
    </row>
    <row r="9527">
      <c r="A9527" s="28" t="n">
        <v>33063</v>
      </c>
      <c r="B9527" t="n">
        <v>8.57</v>
      </c>
      <c r="C9527" t="n">
        <v>7.8</v>
      </c>
    </row>
    <row r="9528">
      <c r="A9528" s="28" t="n">
        <v>33064</v>
      </c>
      <c r="B9528" t="n">
        <v>8.57</v>
      </c>
      <c r="C9528" t="n">
        <v>7.8</v>
      </c>
    </row>
    <row r="9529">
      <c r="A9529" s="28" t="n">
        <v>33065</v>
      </c>
      <c r="B9529" t="n">
        <v>8.57</v>
      </c>
      <c r="C9529" t="n">
        <v>7.78</v>
      </c>
    </row>
    <row r="9530">
      <c r="A9530" s="28" t="n">
        <v>33066</v>
      </c>
      <c r="B9530" t="n">
        <v>8.5</v>
      </c>
      <c r="C9530" t="n">
        <v>7.68</v>
      </c>
    </row>
    <row r="9531">
      <c r="A9531" s="28" t="n">
        <v>33067</v>
      </c>
      <c r="B9531" t="n">
        <v>8.449999999999999</v>
      </c>
      <c r="C9531" t="n">
        <v>7.6</v>
      </c>
    </row>
    <row r="9532">
      <c r="A9532" s="28" t="n">
        <v>33070</v>
      </c>
      <c r="B9532" t="n">
        <v>8.44</v>
      </c>
      <c r="C9532" t="n">
        <v>7.61</v>
      </c>
    </row>
    <row r="9533">
      <c r="A9533" s="28" t="n">
        <v>33071</v>
      </c>
      <c r="B9533" t="n">
        <v>8.44</v>
      </c>
      <c r="C9533" t="n">
        <v>7.61</v>
      </c>
    </row>
    <row r="9534">
      <c r="A9534" s="28" t="n">
        <v>33072</v>
      </c>
      <c r="B9534" t="n">
        <v>8.5</v>
      </c>
      <c r="C9534" t="n">
        <v>7.55</v>
      </c>
    </row>
    <row r="9535">
      <c r="A9535" s="28" t="n">
        <v>33073</v>
      </c>
      <c r="B9535" t="n">
        <v>8.51</v>
      </c>
      <c r="C9535" t="n">
        <v>7.54</v>
      </c>
    </row>
    <row r="9536">
      <c r="A9536" s="28" t="n">
        <v>33074</v>
      </c>
      <c r="B9536" t="n">
        <v>8.48</v>
      </c>
      <c r="C9536" t="n">
        <v>7.54</v>
      </c>
    </row>
    <row r="9537">
      <c r="A9537" s="28" t="n">
        <v>33077</v>
      </c>
      <c r="B9537" t="n">
        <v>8.48</v>
      </c>
      <c r="C9537" t="n">
        <v>7.48</v>
      </c>
    </row>
    <row r="9538">
      <c r="A9538" s="28" t="n">
        <v>33078</v>
      </c>
      <c r="B9538" t="n">
        <v>8.529999999999999</v>
      </c>
      <c r="C9538" t="n">
        <v>7.53</v>
      </c>
    </row>
    <row r="9539">
      <c r="A9539" s="28" t="n">
        <v>33079</v>
      </c>
      <c r="B9539" t="n">
        <v>8.49</v>
      </c>
      <c r="C9539" t="n">
        <v>7.56</v>
      </c>
    </row>
    <row r="9540">
      <c r="A9540" s="28" t="n">
        <v>33080</v>
      </c>
      <c r="B9540" t="n">
        <v>8.49</v>
      </c>
      <c r="C9540" t="n">
        <v>7.58</v>
      </c>
    </row>
    <row r="9541">
      <c r="A9541" s="28" t="n">
        <v>33081</v>
      </c>
      <c r="B9541" t="n">
        <v>8.42</v>
      </c>
      <c r="C9541" t="n">
        <v>7.52</v>
      </c>
    </row>
    <row r="9542">
      <c r="A9542" s="28" t="n">
        <v>33084</v>
      </c>
      <c r="B9542" t="n">
        <v>8.34</v>
      </c>
      <c r="C9542" t="n">
        <v>7.5</v>
      </c>
    </row>
    <row r="9543">
      <c r="A9543" s="28" t="n">
        <v>33085</v>
      </c>
      <c r="B9543" t="n">
        <v>8.359999999999999</v>
      </c>
      <c r="C9543" t="n">
        <v>7.49</v>
      </c>
    </row>
    <row r="9544">
      <c r="A9544" s="28" t="n">
        <v>33086</v>
      </c>
      <c r="B9544" t="n">
        <v>8.289999999999999</v>
      </c>
      <c r="C9544" t="n">
        <v>7.42</v>
      </c>
    </row>
    <row r="9545">
      <c r="A9545" s="28" t="n">
        <v>33087</v>
      </c>
      <c r="B9545" t="n">
        <v>8.41</v>
      </c>
      <c r="C9545" t="n">
        <v>7.43</v>
      </c>
    </row>
    <row r="9546">
      <c r="A9546" s="28" t="n">
        <v>33088</v>
      </c>
      <c r="B9546" t="n">
        <v>8.43</v>
      </c>
      <c r="C9546" t="n">
        <v>7.29</v>
      </c>
    </row>
    <row r="9547">
      <c r="A9547" s="28" t="n">
        <v>33091</v>
      </c>
      <c r="B9547" t="n">
        <v>8.710000000000001</v>
      </c>
      <c r="C9547" t="n">
        <v>7.3</v>
      </c>
    </row>
    <row r="9548">
      <c r="A9548" s="28" t="n">
        <v>33092</v>
      </c>
      <c r="B9548" t="n">
        <v>8.779999999999999</v>
      </c>
      <c r="C9548" t="n">
        <v>7.37</v>
      </c>
    </row>
    <row r="9549">
      <c r="A9549" s="28" t="n">
        <v>33093</v>
      </c>
      <c r="B9549" t="n">
        <v>8.77</v>
      </c>
      <c r="C9549" t="n">
        <v>7.38</v>
      </c>
    </row>
    <row r="9550">
      <c r="A9550" s="28" t="n">
        <v>33094</v>
      </c>
      <c r="B9550" t="n">
        <v>8.66</v>
      </c>
      <c r="C9550" t="n">
        <v>7.41</v>
      </c>
    </row>
    <row r="9551">
      <c r="A9551" s="28" t="n">
        <v>33095</v>
      </c>
      <c r="B9551" t="n">
        <v>8.68</v>
      </c>
      <c r="C9551" t="n">
        <v>7.4</v>
      </c>
    </row>
    <row r="9552">
      <c r="A9552" s="28" t="n">
        <v>33098</v>
      </c>
      <c r="B9552" t="n">
        <v>8.710000000000001</v>
      </c>
      <c r="C9552" t="n">
        <v>7.42</v>
      </c>
    </row>
    <row r="9553">
      <c r="A9553" s="28" t="n">
        <v>33099</v>
      </c>
      <c r="B9553" t="n">
        <v>8.66</v>
      </c>
      <c r="C9553" t="n">
        <v>7.43</v>
      </c>
    </row>
    <row r="9554">
      <c r="A9554" s="28" t="n">
        <v>33100</v>
      </c>
      <c r="B9554" t="n">
        <v>8.640000000000001</v>
      </c>
      <c r="C9554" t="n">
        <v>7.45</v>
      </c>
    </row>
    <row r="9555">
      <c r="A9555" s="28" t="n">
        <v>33101</v>
      </c>
      <c r="B9555" t="n">
        <v>8.76</v>
      </c>
      <c r="C9555" t="n">
        <v>7.48</v>
      </c>
    </row>
    <row r="9556">
      <c r="A9556" s="28" t="n">
        <v>33102</v>
      </c>
      <c r="B9556" t="n">
        <v>8.800000000000001</v>
      </c>
      <c r="C9556" t="n">
        <v>7.47</v>
      </c>
    </row>
    <row r="9557">
      <c r="A9557" s="28" t="n">
        <v>33105</v>
      </c>
      <c r="B9557" t="n">
        <v>8.81</v>
      </c>
      <c r="C9557" t="n">
        <v>7.52</v>
      </c>
    </row>
    <row r="9558">
      <c r="A9558" s="28" t="n">
        <v>33106</v>
      </c>
      <c r="B9558" t="n">
        <v>8.84</v>
      </c>
      <c r="C9558" t="n">
        <v>7.57</v>
      </c>
    </row>
    <row r="9559">
      <c r="A9559" s="28" t="n">
        <v>33107</v>
      </c>
      <c r="B9559" t="n">
        <v>8.91</v>
      </c>
      <c r="C9559" t="n">
        <v>7.59</v>
      </c>
    </row>
    <row r="9560">
      <c r="A9560" s="28" t="n">
        <v>33108</v>
      </c>
      <c r="B9560" t="n">
        <v>9</v>
      </c>
      <c r="C9560" t="n">
        <v>7.54</v>
      </c>
    </row>
    <row r="9561">
      <c r="A9561" s="28" t="n">
        <v>33109</v>
      </c>
      <c r="B9561" t="n">
        <v>9.050000000000001</v>
      </c>
      <c r="C9561" t="n">
        <v>7.49</v>
      </c>
    </row>
    <row r="9562">
      <c r="A9562" s="28" t="n">
        <v>33112</v>
      </c>
      <c r="B9562" t="n">
        <v>8.9</v>
      </c>
      <c r="C9562" t="n">
        <v>7.53</v>
      </c>
    </row>
    <row r="9563">
      <c r="A9563" s="28" t="n">
        <v>33113</v>
      </c>
      <c r="B9563" t="n">
        <v>8.94</v>
      </c>
      <c r="C9563" t="n">
        <v>7.48</v>
      </c>
    </row>
    <row r="9564">
      <c r="A9564" s="28" t="n">
        <v>33114</v>
      </c>
      <c r="B9564" t="n">
        <v>8.84</v>
      </c>
      <c r="C9564" t="n">
        <v>7.47</v>
      </c>
    </row>
    <row r="9565">
      <c r="A9565" s="28" t="n">
        <v>33115</v>
      </c>
      <c r="B9565" t="n">
        <v>8.859999999999999</v>
      </c>
      <c r="C9565" t="n">
        <v>7.45</v>
      </c>
    </row>
    <row r="9566">
      <c r="A9566" s="28" t="n">
        <v>33116</v>
      </c>
      <c r="B9566" t="n">
        <v>8.859999999999999</v>
      </c>
      <c r="C9566" t="n">
        <v>7.39</v>
      </c>
    </row>
    <row r="9567">
      <c r="A9567" s="28" t="n">
        <v>33119</v>
      </c>
      <c r="B9567" t="n">
        <v>0</v>
      </c>
      <c r="C9567" t="n">
        <v>0</v>
      </c>
    </row>
    <row r="9568">
      <c r="A9568" s="28" t="n">
        <v>33120</v>
      </c>
      <c r="B9568" t="n">
        <v>8.9</v>
      </c>
      <c r="C9568" t="n">
        <v>7.39</v>
      </c>
    </row>
    <row r="9569">
      <c r="A9569" s="28" t="n">
        <v>33121</v>
      </c>
      <c r="B9569" t="n">
        <v>8.859999999999999</v>
      </c>
      <c r="C9569" t="n">
        <v>7.37</v>
      </c>
    </row>
    <row r="9570">
      <c r="A9570" s="28" t="n">
        <v>33122</v>
      </c>
      <c r="B9570" t="n">
        <v>8.84</v>
      </c>
      <c r="C9570" t="n">
        <v>7.38</v>
      </c>
    </row>
    <row r="9571">
      <c r="A9571" s="28" t="n">
        <v>33123</v>
      </c>
      <c r="B9571" t="n">
        <v>8.81</v>
      </c>
      <c r="C9571" t="n">
        <v>7.39</v>
      </c>
    </row>
    <row r="9572">
      <c r="A9572" s="28" t="n">
        <v>33126</v>
      </c>
      <c r="B9572" t="n">
        <v>8.85</v>
      </c>
      <c r="C9572" t="n">
        <v>7.43</v>
      </c>
    </row>
    <row r="9573">
      <c r="A9573" s="28" t="n">
        <v>33127</v>
      </c>
      <c r="B9573" t="n">
        <v>8.83</v>
      </c>
      <c r="C9573" t="n">
        <v>7.42</v>
      </c>
    </row>
    <row r="9574">
      <c r="A9574" s="28" t="n">
        <v>33128</v>
      </c>
      <c r="B9574" t="n">
        <v>8.82</v>
      </c>
      <c r="C9574" t="n">
        <v>7.37</v>
      </c>
    </row>
    <row r="9575">
      <c r="A9575" s="28" t="n">
        <v>33129</v>
      </c>
      <c r="B9575" t="n">
        <v>8.82</v>
      </c>
      <c r="C9575" t="n">
        <v>7.35</v>
      </c>
    </row>
    <row r="9576">
      <c r="A9576" s="28" t="n">
        <v>33130</v>
      </c>
      <c r="B9576" t="n">
        <v>8.869999999999999</v>
      </c>
      <c r="C9576" t="n">
        <v>7.35</v>
      </c>
    </row>
    <row r="9577">
      <c r="A9577" s="28" t="n">
        <v>33133</v>
      </c>
      <c r="B9577" t="n">
        <v>8.9</v>
      </c>
      <c r="C9577" t="n">
        <v>7.37</v>
      </c>
    </row>
    <row r="9578">
      <c r="A9578" s="28" t="n">
        <v>33134</v>
      </c>
      <c r="B9578" t="n">
        <v>8.9</v>
      </c>
      <c r="C9578" t="n">
        <v>7.37</v>
      </c>
    </row>
    <row r="9579">
      <c r="A9579" s="28" t="n">
        <v>33135</v>
      </c>
      <c r="B9579" t="n">
        <v>8.880000000000001</v>
      </c>
      <c r="C9579" t="n">
        <v>7.39</v>
      </c>
    </row>
    <row r="9580">
      <c r="A9580" s="28" t="n">
        <v>33136</v>
      </c>
      <c r="B9580" t="n">
        <v>8.91</v>
      </c>
      <c r="C9580" t="n">
        <v>7.39</v>
      </c>
    </row>
    <row r="9581">
      <c r="A9581" s="28" t="n">
        <v>33137</v>
      </c>
      <c r="B9581" t="n">
        <v>8.99</v>
      </c>
      <c r="C9581" t="n">
        <v>7.36</v>
      </c>
    </row>
    <row r="9582">
      <c r="A9582" s="28" t="n">
        <v>33140</v>
      </c>
      <c r="B9582" t="n">
        <v>9.039999999999999</v>
      </c>
      <c r="C9582" t="n">
        <v>7.38</v>
      </c>
    </row>
    <row r="9583">
      <c r="A9583" s="28" t="n">
        <v>33141</v>
      </c>
      <c r="B9583" t="n">
        <v>9.02</v>
      </c>
      <c r="C9583" t="n">
        <v>7.35</v>
      </c>
    </row>
    <row r="9584">
      <c r="A9584" s="28" t="n">
        <v>33142</v>
      </c>
      <c r="B9584" t="n">
        <v>9</v>
      </c>
      <c r="C9584" t="n">
        <v>7.33</v>
      </c>
    </row>
    <row r="9585">
      <c r="A9585" s="28" t="n">
        <v>33143</v>
      </c>
      <c r="B9585" t="n">
        <v>8.91</v>
      </c>
      <c r="C9585" t="n">
        <v>7.23</v>
      </c>
    </row>
    <row r="9586">
      <c r="A9586" s="28" t="n">
        <v>33144</v>
      </c>
      <c r="B9586" t="n">
        <v>8.82</v>
      </c>
      <c r="C9586" t="n">
        <v>7.14</v>
      </c>
    </row>
    <row r="9587">
      <c r="A9587" s="28" t="n">
        <v>33147</v>
      </c>
      <c r="B9587" t="n">
        <v>8.710000000000001</v>
      </c>
      <c r="C9587" t="n">
        <v>7.13</v>
      </c>
    </row>
    <row r="9588">
      <c r="A9588" s="28" t="n">
        <v>33148</v>
      </c>
      <c r="B9588" t="n">
        <v>8.69</v>
      </c>
      <c r="C9588" t="n">
        <v>7.18</v>
      </c>
    </row>
    <row r="9589">
      <c r="A9589" s="28" t="n">
        <v>33149</v>
      </c>
      <c r="B9589" t="n">
        <v>8.710000000000001</v>
      </c>
      <c r="C9589" t="n">
        <v>7.15</v>
      </c>
    </row>
    <row r="9590">
      <c r="A9590" s="28" t="n">
        <v>33150</v>
      </c>
      <c r="B9590" t="n">
        <v>8.67</v>
      </c>
      <c r="C9590" t="n">
        <v>7.13</v>
      </c>
    </row>
    <row r="9591">
      <c r="A9591" s="28" t="n">
        <v>33151</v>
      </c>
      <c r="B9591" t="n">
        <v>8.65</v>
      </c>
      <c r="C9591" t="n">
        <v>7.04</v>
      </c>
    </row>
    <row r="9592">
      <c r="A9592" s="28" t="n">
        <v>33154</v>
      </c>
      <c r="B9592" t="n">
        <v>0</v>
      </c>
      <c r="C9592" t="n">
        <v>0</v>
      </c>
    </row>
    <row r="9593">
      <c r="A9593" s="28" t="n">
        <v>33155</v>
      </c>
      <c r="B9593" t="n">
        <v>8.83</v>
      </c>
      <c r="C9593" t="n">
        <v>7.17</v>
      </c>
    </row>
    <row r="9594">
      <c r="A9594" s="28" t="n">
        <v>33156</v>
      </c>
      <c r="B9594" t="n">
        <v>8.890000000000001</v>
      </c>
      <c r="C9594" t="n">
        <v>7.2</v>
      </c>
    </row>
    <row r="9595">
      <c r="A9595" s="28" t="n">
        <v>33157</v>
      </c>
      <c r="B9595" t="n">
        <v>8.92</v>
      </c>
      <c r="C9595" t="n">
        <v>7.12</v>
      </c>
    </row>
    <row r="9596">
      <c r="A9596" s="28" t="n">
        <v>33158</v>
      </c>
      <c r="B9596" t="n">
        <v>8.84</v>
      </c>
      <c r="C9596" t="n">
        <v>7.14</v>
      </c>
    </row>
    <row r="9597">
      <c r="A9597" s="28" t="n">
        <v>33161</v>
      </c>
      <c r="B9597" t="n">
        <v>8.800000000000001</v>
      </c>
      <c r="C9597" t="n">
        <v>7.16</v>
      </c>
    </row>
    <row r="9598">
      <c r="A9598" s="28" t="n">
        <v>33162</v>
      </c>
      <c r="B9598" t="n">
        <v>8.789999999999999</v>
      </c>
      <c r="C9598" t="n">
        <v>7.16</v>
      </c>
    </row>
    <row r="9599">
      <c r="A9599" s="28" t="n">
        <v>33163</v>
      </c>
      <c r="B9599" t="n">
        <v>8.76</v>
      </c>
      <c r="C9599" t="n">
        <v>7.2</v>
      </c>
    </row>
    <row r="9600">
      <c r="A9600" s="28" t="n">
        <v>33164</v>
      </c>
      <c r="B9600" t="n">
        <v>8.710000000000001</v>
      </c>
      <c r="C9600" t="n">
        <v>7.25</v>
      </c>
    </row>
    <row r="9601">
      <c r="A9601" s="28" t="n">
        <v>33165</v>
      </c>
      <c r="B9601" t="n">
        <v>8.619999999999999</v>
      </c>
      <c r="C9601" t="n">
        <v>7.25</v>
      </c>
    </row>
    <row r="9602">
      <c r="A9602" s="28" t="n">
        <v>33168</v>
      </c>
      <c r="B9602" t="n">
        <v>8.630000000000001</v>
      </c>
      <c r="C9602" t="n">
        <v>7.23</v>
      </c>
    </row>
    <row r="9603">
      <c r="A9603" s="28" t="n">
        <v>33169</v>
      </c>
      <c r="B9603" t="n">
        <v>8.65</v>
      </c>
      <c r="C9603" t="n">
        <v>7.21</v>
      </c>
    </row>
    <row r="9604">
      <c r="A9604" s="28" t="n">
        <v>33170</v>
      </c>
      <c r="B9604" t="n">
        <v>8.66</v>
      </c>
      <c r="C9604" t="n">
        <v>7.22</v>
      </c>
    </row>
    <row r="9605">
      <c r="A9605" s="28" t="n">
        <v>33171</v>
      </c>
      <c r="B9605" t="n">
        <v>8.619999999999999</v>
      </c>
      <c r="C9605" t="n">
        <v>7.18</v>
      </c>
    </row>
    <row r="9606">
      <c r="A9606" s="28" t="n">
        <v>33172</v>
      </c>
      <c r="B9606" t="n">
        <v>8.630000000000001</v>
      </c>
      <c r="C9606" t="n">
        <v>7.13</v>
      </c>
    </row>
    <row r="9607">
      <c r="A9607" s="28" t="n">
        <v>33175</v>
      </c>
      <c r="B9607" t="n">
        <v>8.699999999999999</v>
      </c>
      <c r="C9607" t="n">
        <v>7.15</v>
      </c>
    </row>
    <row r="9608">
      <c r="A9608" s="28" t="n">
        <v>33176</v>
      </c>
      <c r="B9608" t="n">
        <v>8.699999999999999</v>
      </c>
      <c r="C9608" t="n">
        <v>7.14</v>
      </c>
    </row>
    <row r="9609">
      <c r="A9609" s="28" t="n">
        <v>33177</v>
      </c>
      <c r="B9609" t="n">
        <v>8.65</v>
      </c>
      <c r="C9609" t="n">
        <v>7.11</v>
      </c>
    </row>
    <row r="9610">
      <c r="A9610" s="28" t="n">
        <v>33178</v>
      </c>
      <c r="B9610" t="n">
        <v>8.57</v>
      </c>
      <c r="C9610" t="n">
        <v>7.05</v>
      </c>
    </row>
    <row r="9611">
      <c r="A9611" s="28" t="n">
        <v>33179</v>
      </c>
      <c r="B9611" t="n">
        <v>8.57</v>
      </c>
      <c r="C9611" t="n">
        <v>7.08</v>
      </c>
    </row>
    <row r="9612">
      <c r="A9612" s="28" t="n">
        <v>33182</v>
      </c>
      <c r="B9612" t="n">
        <v>8.5</v>
      </c>
      <c r="C9612" t="n">
        <v>7.08</v>
      </c>
    </row>
    <row r="9613">
      <c r="A9613" s="28" t="n">
        <v>33183</v>
      </c>
      <c r="B9613" t="n">
        <v>8.52</v>
      </c>
      <c r="C9613" t="n">
        <v>7.08</v>
      </c>
    </row>
    <row r="9614">
      <c r="A9614" s="28" t="n">
        <v>33184</v>
      </c>
      <c r="B9614" t="n">
        <v>8.57</v>
      </c>
      <c r="C9614" t="n">
        <v>7.09</v>
      </c>
    </row>
    <row r="9615">
      <c r="A9615" s="28" t="n">
        <v>33185</v>
      </c>
      <c r="B9615" t="n">
        <v>8.58</v>
      </c>
      <c r="C9615" t="n">
        <v>7.09</v>
      </c>
    </row>
    <row r="9616">
      <c r="A9616" s="28" t="n">
        <v>33186</v>
      </c>
      <c r="B9616" t="n">
        <v>8.49</v>
      </c>
      <c r="C9616" t="n">
        <v>7.05</v>
      </c>
    </row>
    <row r="9617">
      <c r="A9617" s="28" t="n">
        <v>33189</v>
      </c>
      <c r="B9617" t="n">
        <v>0</v>
      </c>
      <c r="C9617" t="n">
        <v>0</v>
      </c>
    </row>
    <row r="9618">
      <c r="A9618" s="28" t="n">
        <v>33190</v>
      </c>
      <c r="B9618" t="n">
        <v>8.369999999999999</v>
      </c>
      <c r="C9618" t="n">
        <v>7.04</v>
      </c>
    </row>
    <row r="9619">
      <c r="A9619" s="28" t="n">
        <v>33191</v>
      </c>
      <c r="B9619" t="n">
        <v>8.359999999999999</v>
      </c>
      <c r="C9619" t="n">
        <v>7.07</v>
      </c>
    </row>
    <row r="9620">
      <c r="A9620" s="28" t="n">
        <v>33192</v>
      </c>
      <c r="B9620" t="n">
        <v>8.369999999999999</v>
      </c>
      <c r="C9620" t="n">
        <v>7.09</v>
      </c>
    </row>
    <row r="9621">
      <c r="A9621" s="28" t="n">
        <v>33193</v>
      </c>
      <c r="B9621" t="n">
        <v>8.300000000000001</v>
      </c>
      <c r="C9621" t="n">
        <v>7.08</v>
      </c>
    </row>
    <row r="9622">
      <c r="A9622" s="28" t="n">
        <v>33196</v>
      </c>
      <c r="B9622" t="n">
        <v>8.35</v>
      </c>
      <c r="C9622" t="n">
        <v>7.1</v>
      </c>
    </row>
    <row r="9623">
      <c r="A9623" s="28" t="n">
        <v>33197</v>
      </c>
      <c r="B9623" t="n">
        <v>8.31</v>
      </c>
      <c r="C9623" t="n">
        <v>7.09</v>
      </c>
    </row>
    <row r="9624">
      <c r="A9624" s="28" t="n">
        <v>33198</v>
      </c>
      <c r="B9624" t="n">
        <v>8.27</v>
      </c>
      <c r="C9624" t="n">
        <v>7.04</v>
      </c>
    </row>
    <row r="9625">
      <c r="A9625" s="28" t="n">
        <v>33199</v>
      </c>
      <c r="B9625" t="n">
        <v>0</v>
      </c>
      <c r="C9625" t="n">
        <v>0</v>
      </c>
    </row>
    <row r="9626">
      <c r="A9626" s="28" t="n">
        <v>33200</v>
      </c>
      <c r="B9626" t="n">
        <v>8.279999999999999</v>
      </c>
      <c r="C9626" t="n">
        <v>7.03</v>
      </c>
    </row>
    <row r="9627">
      <c r="A9627" s="28" t="n">
        <v>33203</v>
      </c>
      <c r="B9627" t="n">
        <v>8.27</v>
      </c>
      <c r="C9627" t="n">
        <v>7.03</v>
      </c>
    </row>
    <row r="9628">
      <c r="A9628" s="28" t="n">
        <v>33204</v>
      </c>
      <c r="B9628" t="n">
        <v>8.279999999999999</v>
      </c>
      <c r="C9628" t="n">
        <v>7.04</v>
      </c>
    </row>
    <row r="9629">
      <c r="A9629" s="28" t="n">
        <v>33205</v>
      </c>
      <c r="B9629" t="n">
        <v>8.300000000000001</v>
      </c>
      <c r="C9629" t="n">
        <v>7.06</v>
      </c>
    </row>
    <row r="9630">
      <c r="A9630" s="28" t="n">
        <v>33206</v>
      </c>
      <c r="B9630" t="n">
        <v>8.32</v>
      </c>
      <c r="C9630" t="n">
        <v>7.03</v>
      </c>
    </row>
    <row r="9631">
      <c r="A9631" s="28" t="n">
        <v>33207</v>
      </c>
      <c r="B9631" t="n">
        <v>8.26</v>
      </c>
      <c r="C9631" t="n">
        <v>7.02</v>
      </c>
    </row>
    <row r="9632">
      <c r="A9632" s="28" t="n">
        <v>33210</v>
      </c>
      <c r="B9632" t="n">
        <v>8.220000000000001</v>
      </c>
      <c r="C9632" t="n">
        <v>7.05</v>
      </c>
    </row>
    <row r="9633">
      <c r="A9633" s="28" t="n">
        <v>33211</v>
      </c>
      <c r="B9633" t="n">
        <v>8.199999999999999</v>
      </c>
      <c r="C9633" t="n">
        <v>7.01</v>
      </c>
    </row>
    <row r="9634">
      <c r="A9634" s="28" t="n">
        <v>33212</v>
      </c>
      <c r="B9634" t="n">
        <v>8.16</v>
      </c>
      <c r="C9634" t="n">
        <v>7</v>
      </c>
    </row>
    <row r="9635">
      <c r="A9635" s="28" t="n">
        <v>33213</v>
      </c>
      <c r="B9635" t="n">
        <v>8.18</v>
      </c>
      <c r="C9635" t="n">
        <v>7</v>
      </c>
    </row>
    <row r="9636">
      <c r="A9636" s="28" t="n">
        <v>33214</v>
      </c>
      <c r="B9636" t="n">
        <v>8.029999999999999</v>
      </c>
      <c r="C9636" t="n">
        <v>6.89</v>
      </c>
    </row>
    <row r="9637">
      <c r="A9637" s="28" t="n">
        <v>33217</v>
      </c>
      <c r="B9637" t="n">
        <v>7.98</v>
      </c>
      <c r="C9637" t="n">
        <v>6.86</v>
      </c>
    </row>
    <row r="9638">
      <c r="A9638" s="28" t="n">
        <v>33218</v>
      </c>
      <c r="B9638" t="n">
        <v>7.94</v>
      </c>
      <c r="C9638" t="n">
        <v>6.84</v>
      </c>
    </row>
    <row r="9639">
      <c r="A9639" s="28" t="n">
        <v>33219</v>
      </c>
      <c r="B9639" t="n">
        <v>7.91</v>
      </c>
      <c r="C9639" t="n">
        <v>6.79</v>
      </c>
    </row>
    <row r="9640">
      <c r="A9640" s="28" t="n">
        <v>33220</v>
      </c>
      <c r="B9640" t="n">
        <v>7.98</v>
      </c>
      <c r="C9640" t="n">
        <v>6.83</v>
      </c>
    </row>
    <row r="9641">
      <c r="A9641" s="28" t="n">
        <v>33221</v>
      </c>
      <c r="B9641" t="n">
        <v>8.050000000000001</v>
      </c>
      <c r="C9641" t="n">
        <v>6.85</v>
      </c>
    </row>
    <row r="9642">
      <c r="A9642" s="28" t="n">
        <v>33224</v>
      </c>
      <c r="B9642" t="n">
        <v>8.02</v>
      </c>
      <c r="C9642" t="n">
        <v>6.81</v>
      </c>
    </row>
    <row r="9643">
      <c r="A9643" s="28" t="n">
        <v>33225</v>
      </c>
      <c r="B9643" t="n">
        <v>7.99</v>
      </c>
      <c r="C9643" t="n">
        <v>6.73</v>
      </c>
    </row>
    <row r="9644">
      <c r="A9644" s="28" t="n">
        <v>33226</v>
      </c>
      <c r="B9644" t="n">
        <v>8</v>
      </c>
      <c r="C9644" t="n">
        <v>6.62</v>
      </c>
    </row>
    <row r="9645">
      <c r="A9645" s="28" t="n">
        <v>33227</v>
      </c>
      <c r="B9645" t="n">
        <v>8.050000000000001</v>
      </c>
      <c r="C9645" t="n">
        <v>6.55</v>
      </c>
    </row>
    <row r="9646">
      <c r="A9646" s="28" t="n">
        <v>33228</v>
      </c>
      <c r="B9646" t="n">
        <v>8.109999999999999</v>
      </c>
      <c r="C9646" t="n">
        <v>6.59</v>
      </c>
    </row>
    <row r="9647">
      <c r="A9647" s="28" t="n">
        <v>33231</v>
      </c>
      <c r="B9647" t="n">
        <v>8.199999999999999</v>
      </c>
      <c r="C9647" t="n">
        <v>6.53</v>
      </c>
    </row>
    <row r="9648">
      <c r="A9648" s="28" t="n">
        <v>33232</v>
      </c>
      <c r="B9648" t="n">
        <v>0</v>
      </c>
      <c r="C9648" t="n">
        <v>0</v>
      </c>
    </row>
    <row r="9649">
      <c r="A9649" s="28" t="n">
        <v>33233</v>
      </c>
      <c r="B9649" t="n">
        <v>8.15</v>
      </c>
      <c r="C9649" t="n">
        <v>6.48</v>
      </c>
    </row>
    <row r="9650">
      <c r="A9650" s="28" t="n">
        <v>33234</v>
      </c>
      <c r="B9650" t="n">
        <v>8.109999999999999</v>
      </c>
      <c r="C9650" t="n">
        <v>6.47</v>
      </c>
    </row>
    <row r="9651">
      <c r="A9651" s="28" t="n">
        <v>33235</v>
      </c>
      <c r="B9651" t="n">
        <v>8.140000000000001</v>
      </c>
      <c r="C9651" t="n">
        <v>6.45</v>
      </c>
    </row>
    <row r="9652">
      <c r="A9652" s="28" t="n">
        <v>33238</v>
      </c>
      <c r="B9652" t="n">
        <v>8.08</v>
      </c>
      <c r="C9652" t="n">
        <v>6.44</v>
      </c>
    </row>
    <row r="9653">
      <c r="A9653" s="28" t="n">
        <v>33239</v>
      </c>
      <c r="B9653" t="n">
        <v>0</v>
      </c>
      <c r="C9653" t="n">
        <v>0</v>
      </c>
    </row>
    <row r="9654">
      <c r="A9654" s="28" t="n">
        <v>33240</v>
      </c>
      <c r="B9654" t="n">
        <v>7.97</v>
      </c>
      <c r="C9654" t="n">
        <v>6.46</v>
      </c>
    </row>
    <row r="9655">
      <c r="A9655" s="28" t="n">
        <v>33241</v>
      </c>
      <c r="B9655" t="n">
        <v>7.93</v>
      </c>
      <c r="C9655" t="n">
        <v>6.44</v>
      </c>
    </row>
    <row r="9656">
      <c r="A9656" s="28" t="n">
        <v>33242</v>
      </c>
      <c r="B9656" t="n">
        <v>8.02</v>
      </c>
      <c r="C9656" t="n">
        <v>6.53</v>
      </c>
    </row>
    <row r="9657">
      <c r="A9657" s="28" t="n">
        <v>33245</v>
      </c>
      <c r="B9657" t="n">
        <v>8.130000000000001</v>
      </c>
      <c r="C9657" t="n">
        <v>6.51</v>
      </c>
    </row>
    <row r="9658">
      <c r="A9658" s="28" t="n">
        <v>33246</v>
      </c>
      <c r="B9658" t="n">
        <v>8.16</v>
      </c>
      <c r="C9658" t="n">
        <v>6.44</v>
      </c>
    </row>
    <row r="9659">
      <c r="A9659" s="28" t="n">
        <v>33247</v>
      </c>
      <c r="B9659" t="n">
        <v>8.25</v>
      </c>
      <c r="C9659" t="n">
        <v>6.25</v>
      </c>
    </row>
    <row r="9660">
      <c r="A9660" s="28" t="n">
        <v>33248</v>
      </c>
      <c r="B9660" t="n">
        <v>8.16</v>
      </c>
      <c r="C9660" t="n">
        <v>6.21</v>
      </c>
    </row>
    <row r="9661">
      <c r="A9661" s="28" t="n">
        <v>33249</v>
      </c>
      <c r="B9661" t="n">
        <v>8.199999999999999</v>
      </c>
      <c r="C9661" t="n">
        <v>6.16</v>
      </c>
    </row>
    <row r="9662">
      <c r="A9662" s="28" t="n">
        <v>33252</v>
      </c>
      <c r="B9662" t="n">
        <v>8.23</v>
      </c>
      <c r="C9662" t="n">
        <v>6.05</v>
      </c>
    </row>
    <row r="9663">
      <c r="A9663" s="28" t="n">
        <v>33253</v>
      </c>
      <c r="B9663" t="n">
        <v>8.220000000000001</v>
      </c>
      <c r="C9663" t="n">
        <v>6.05</v>
      </c>
    </row>
    <row r="9664">
      <c r="A9664" s="28" t="n">
        <v>33254</v>
      </c>
      <c r="B9664" t="n">
        <v>8.24</v>
      </c>
      <c r="C9664" t="n">
        <v>6.04</v>
      </c>
    </row>
    <row r="9665">
      <c r="A9665" s="28" t="n">
        <v>33255</v>
      </c>
      <c r="B9665" t="n">
        <v>8.050000000000001</v>
      </c>
      <c r="C9665" t="n">
        <v>6.12</v>
      </c>
    </row>
    <row r="9666">
      <c r="A9666" s="28" t="n">
        <v>33256</v>
      </c>
      <c r="B9666" t="n">
        <v>8.029999999999999</v>
      </c>
      <c r="C9666" t="n">
        <v>6.07</v>
      </c>
    </row>
    <row r="9667">
      <c r="A9667" s="28" t="n">
        <v>33259</v>
      </c>
      <c r="B9667" t="n">
        <v>0</v>
      </c>
      <c r="C9667" t="n">
        <v>0</v>
      </c>
    </row>
    <row r="9668">
      <c r="A9668" s="28" t="n">
        <v>33260</v>
      </c>
      <c r="B9668" t="n">
        <v>8.07</v>
      </c>
      <c r="C9668" t="n">
        <v>6.05</v>
      </c>
    </row>
    <row r="9669">
      <c r="A9669" s="28" t="n">
        <v>33261</v>
      </c>
      <c r="B9669" t="n">
        <v>8.039999999999999</v>
      </c>
      <c r="C9669" t="n">
        <v>6.14</v>
      </c>
    </row>
    <row r="9670">
      <c r="A9670" s="28" t="n">
        <v>33262</v>
      </c>
      <c r="B9670" t="n">
        <v>8</v>
      </c>
      <c r="C9670" t="n">
        <v>6.13</v>
      </c>
    </row>
    <row r="9671">
      <c r="A9671" s="28" t="n">
        <v>33263</v>
      </c>
      <c r="B9671" t="n">
        <v>8.06</v>
      </c>
      <c r="C9671" t="n">
        <v>6.17</v>
      </c>
    </row>
    <row r="9672">
      <c r="A9672" s="28" t="n">
        <v>33266</v>
      </c>
      <c r="B9672" t="n">
        <v>8.06</v>
      </c>
      <c r="C9672" t="n">
        <v>6.25</v>
      </c>
    </row>
    <row r="9673">
      <c r="A9673" s="28" t="n">
        <v>33267</v>
      </c>
      <c r="B9673" t="n">
        <v>8.029999999999999</v>
      </c>
      <c r="C9673" t="n">
        <v>6.22</v>
      </c>
    </row>
    <row r="9674">
      <c r="A9674" s="28" t="n">
        <v>33268</v>
      </c>
      <c r="B9674" t="n">
        <v>8.050000000000001</v>
      </c>
      <c r="C9674" t="n">
        <v>6.2</v>
      </c>
    </row>
    <row r="9675">
      <c r="A9675" s="28" t="n">
        <v>33269</v>
      </c>
      <c r="B9675" t="n">
        <v>8.029999999999999</v>
      </c>
      <c r="C9675" t="n">
        <v>6.19</v>
      </c>
    </row>
    <row r="9676">
      <c r="A9676" s="28" t="n">
        <v>33270</v>
      </c>
      <c r="B9676" t="n">
        <v>7.91</v>
      </c>
      <c r="C9676" t="n">
        <v>6</v>
      </c>
    </row>
    <row r="9677">
      <c r="A9677" s="28" t="n">
        <v>33273</v>
      </c>
      <c r="B9677" t="n">
        <v>7.88</v>
      </c>
      <c r="C9677" t="n">
        <v>5.98</v>
      </c>
    </row>
    <row r="9678">
      <c r="A9678" s="28" t="n">
        <v>33274</v>
      </c>
      <c r="B9678" t="n">
        <v>7.85</v>
      </c>
      <c r="C9678" t="n">
        <v>5.97</v>
      </c>
    </row>
    <row r="9679">
      <c r="A9679" s="28" t="n">
        <v>33275</v>
      </c>
      <c r="B9679" t="n">
        <v>7.79</v>
      </c>
      <c r="C9679" t="n">
        <v>5.91</v>
      </c>
    </row>
    <row r="9680">
      <c r="A9680" s="28" t="n">
        <v>33276</v>
      </c>
      <c r="B9680" t="n">
        <v>7.82</v>
      </c>
      <c r="C9680" t="n">
        <v>5.94</v>
      </c>
    </row>
    <row r="9681">
      <c r="A9681" s="28" t="n">
        <v>33277</v>
      </c>
      <c r="B9681" t="n">
        <v>7.77</v>
      </c>
      <c r="C9681" t="n">
        <v>5.92</v>
      </c>
    </row>
    <row r="9682">
      <c r="A9682" s="28" t="n">
        <v>33280</v>
      </c>
      <c r="B9682" t="n">
        <v>7.78</v>
      </c>
      <c r="C9682" t="n">
        <v>5.88</v>
      </c>
    </row>
    <row r="9683">
      <c r="A9683" s="28" t="n">
        <v>33281</v>
      </c>
      <c r="B9683" t="n">
        <v>7.78</v>
      </c>
      <c r="C9683" t="n">
        <v>5.85</v>
      </c>
    </row>
    <row r="9684">
      <c r="A9684" s="28" t="n">
        <v>33282</v>
      </c>
      <c r="B9684" t="n">
        <v>7.78</v>
      </c>
      <c r="C9684" t="n">
        <v>5.86</v>
      </c>
    </row>
    <row r="9685">
      <c r="A9685" s="28" t="n">
        <v>33283</v>
      </c>
      <c r="B9685" t="n">
        <v>7.8</v>
      </c>
      <c r="C9685" t="n">
        <v>5.85</v>
      </c>
    </row>
    <row r="9686">
      <c r="A9686" s="28" t="n">
        <v>33284</v>
      </c>
      <c r="B9686" t="n">
        <v>7.78</v>
      </c>
      <c r="C9686" t="n">
        <v>5.91</v>
      </c>
    </row>
    <row r="9687">
      <c r="A9687" s="28" t="n">
        <v>33287</v>
      </c>
      <c r="B9687" t="n">
        <v>0</v>
      </c>
      <c r="C9687" t="n">
        <v>0</v>
      </c>
    </row>
    <row r="9688">
      <c r="A9688" s="28" t="n">
        <v>33288</v>
      </c>
      <c r="B9688" t="n">
        <v>7.8</v>
      </c>
      <c r="C9688" t="n">
        <v>5.96</v>
      </c>
    </row>
    <row r="9689">
      <c r="A9689" s="28" t="n">
        <v>33289</v>
      </c>
      <c r="B9689" t="n">
        <v>7.84</v>
      </c>
      <c r="C9689" t="n">
        <v>5.94</v>
      </c>
    </row>
    <row r="9690">
      <c r="A9690" s="28" t="n">
        <v>33290</v>
      </c>
      <c r="B9690" t="n">
        <v>7.88</v>
      </c>
      <c r="C9690" t="n">
        <v>5.92</v>
      </c>
    </row>
    <row r="9691">
      <c r="A9691" s="28" t="n">
        <v>33291</v>
      </c>
      <c r="B9691" t="n">
        <v>7.91</v>
      </c>
      <c r="C9691" t="n">
        <v>5.95</v>
      </c>
    </row>
    <row r="9692">
      <c r="A9692" s="28" t="n">
        <v>33294</v>
      </c>
      <c r="B9692" t="n">
        <v>7.91</v>
      </c>
      <c r="C9692" t="n">
        <v>5.99</v>
      </c>
    </row>
    <row r="9693">
      <c r="A9693" s="28" t="n">
        <v>33295</v>
      </c>
      <c r="B9693" t="n">
        <v>7.96</v>
      </c>
      <c r="C9693" t="n">
        <v>6.04</v>
      </c>
    </row>
    <row r="9694">
      <c r="A9694" s="28" t="n">
        <v>33296</v>
      </c>
      <c r="B9694" t="n">
        <v>7.98</v>
      </c>
      <c r="C9694" t="n">
        <v>6.03</v>
      </c>
    </row>
    <row r="9695">
      <c r="A9695" s="28" t="n">
        <v>33297</v>
      </c>
      <c r="B9695" t="n">
        <v>8.02</v>
      </c>
      <c r="C9695" t="n">
        <v>6.04</v>
      </c>
    </row>
    <row r="9696">
      <c r="A9696" s="28" t="n">
        <v>33298</v>
      </c>
      <c r="B9696" t="n">
        <v>8.119999999999999</v>
      </c>
      <c r="C9696" t="n">
        <v>6.09</v>
      </c>
    </row>
    <row r="9697">
      <c r="A9697" s="28" t="n">
        <v>33301</v>
      </c>
      <c r="B9697" t="n">
        <v>8.119999999999999</v>
      </c>
      <c r="C9697" t="n">
        <v>6.06</v>
      </c>
    </row>
    <row r="9698">
      <c r="A9698" s="28" t="n">
        <v>33302</v>
      </c>
      <c r="B9698" t="n">
        <v>8.08</v>
      </c>
      <c r="C9698" t="n">
        <v>6.05</v>
      </c>
    </row>
    <row r="9699">
      <c r="A9699" s="28" t="n">
        <v>33303</v>
      </c>
      <c r="B9699" t="n">
        <v>8.109999999999999</v>
      </c>
      <c r="C9699" t="n">
        <v>6.08</v>
      </c>
    </row>
    <row r="9700">
      <c r="A9700" s="28" t="n">
        <v>33304</v>
      </c>
      <c r="B9700" t="n">
        <v>8.07</v>
      </c>
      <c r="C9700" t="n">
        <v>6.07</v>
      </c>
    </row>
    <row r="9701">
      <c r="A9701" s="28" t="n">
        <v>33305</v>
      </c>
      <c r="B9701" t="n">
        <v>8.130000000000001</v>
      </c>
      <c r="C9701" t="n">
        <v>5.97</v>
      </c>
    </row>
    <row r="9702">
      <c r="A9702" s="28" t="n">
        <v>33308</v>
      </c>
      <c r="B9702" t="n">
        <v>8.06</v>
      </c>
      <c r="C9702" t="n">
        <v>5.89</v>
      </c>
    </row>
    <row r="9703">
      <c r="A9703" s="28" t="n">
        <v>33309</v>
      </c>
      <c r="B9703" t="n">
        <v>8.09</v>
      </c>
      <c r="C9703" t="n">
        <v>5.86</v>
      </c>
    </row>
    <row r="9704">
      <c r="A9704" s="28" t="n">
        <v>33310</v>
      </c>
      <c r="B9704" t="n">
        <v>8.02</v>
      </c>
      <c r="C9704" t="n">
        <v>5.83</v>
      </c>
    </row>
    <row r="9705">
      <c r="A9705" s="28" t="n">
        <v>33311</v>
      </c>
      <c r="B9705" t="n">
        <v>8.02</v>
      </c>
      <c r="C9705" t="n">
        <v>5.76</v>
      </c>
    </row>
    <row r="9706">
      <c r="A9706" s="28" t="n">
        <v>33312</v>
      </c>
      <c r="B9706" t="n">
        <v>8.1</v>
      </c>
      <c r="C9706" t="n">
        <v>5.8</v>
      </c>
    </row>
    <row r="9707">
      <c r="A9707" s="28" t="n">
        <v>33315</v>
      </c>
      <c r="B9707" t="n">
        <v>8.15</v>
      </c>
      <c r="C9707" t="n">
        <v>5.84</v>
      </c>
    </row>
    <row r="9708">
      <c r="A9708" s="28" t="n">
        <v>33316</v>
      </c>
      <c r="B9708" t="n">
        <v>8.25</v>
      </c>
      <c r="C9708" t="n">
        <v>5.89</v>
      </c>
    </row>
    <row r="9709">
      <c r="A9709" s="28" t="n">
        <v>33317</v>
      </c>
      <c r="B9709" t="n">
        <v>8.199999999999999</v>
      </c>
      <c r="C9709" t="n">
        <v>5.88</v>
      </c>
    </row>
    <row r="9710">
      <c r="A9710" s="28" t="n">
        <v>33318</v>
      </c>
      <c r="B9710" t="n">
        <v>8.16</v>
      </c>
      <c r="C9710" t="n">
        <v>5.87</v>
      </c>
    </row>
    <row r="9711">
      <c r="A9711" s="28" t="n">
        <v>33319</v>
      </c>
      <c r="B9711" t="n">
        <v>8.130000000000001</v>
      </c>
      <c r="C9711" t="n">
        <v>5.87</v>
      </c>
    </row>
    <row r="9712">
      <c r="A9712" s="28" t="n">
        <v>33322</v>
      </c>
      <c r="B9712" t="n">
        <v>8.130000000000001</v>
      </c>
      <c r="C9712" t="n">
        <v>5.88</v>
      </c>
    </row>
    <row r="9713">
      <c r="A9713" s="28" t="n">
        <v>33323</v>
      </c>
      <c r="B9713" t="n">
        <v>8.130000000000001</v>
      </c>
      <c r="C9713" t="n">
        <v>5.86</v>
      </c>
    </row>
    <row r="9714">
      <c r="A9714" s="28" t="n">
        <v>33324</v>
      </c>
      <c r="B9714" t="n">
        <v>8.08</v>
      </c>
      <c r="C9714" t="n">
        <v>5.81</v>
      </c>
    </row>
    <row r="9715">
      <c r="A9715" s="28" t="n">
        <v>33325</v>
      </c>
      <c r="B9715" t="n">
        <v>8.050000000000001</v>
      </c>
      <c r="C9715" t="n">
        <v>5.74</v>
      </c>
    </row>
    <row r="9716">
      <c r="A9716" s="28" t="n">
        <v>33326</v>
      </c>
      <c r="B9716" t="n">
        <v>0</v>
      </c>
      <c r="C9716" t="n">
        <v>0</v>
      </c>
    </row>
    <row r="9717">
      <c r="A9717" s="28" t="n">
        <v>33329</v>
      </c>
      <c r="B9717" t="n">
        <v>8.07</v>
      </c>
      <c r="C9717" t="n">
        <v>5.76</v>
      </c>
    </row>
    <row r="9718">
      <c r="A9718" s="28" t="n">
        <v>33330</v>
      </c>
      <c r="B9718" t="n">
        <v>8.029999999999999</v>
      </c>
      <c r="C9718" t="n">
        <v>5.77</v>
      </c>
    </row>
    <row r="9719">
      <c r="A9719" s="28" t="n">
        <v>33331</v>
      </c>
      <c r="B9719" t="n">
        <v>8.050000000000001</v>
      </c>
      <c r="C9719" t="n">
        <v>5.77</v>
      </c>
    </row>
    <row r="9720">
      <c r="A9720" s="28" t="n">
        <v>33332</v>
      </c>
      <c r="B9720" t="n">
        <v>8</v>
      </c>
      <c r="C9720" t="n">
        <v>5.74</v>
      </c>
    </row>
    <row r="9721">
      <c r="A9721" s="28" t="n">
        <v>33333</v>
      </c>
      <c r="B9721" t="n">
        <v>7.99</v>
      </c>
      <c r="C9721" t="n">
        <v>5.71</v>
      </c>
    </row>
    <row r="9722">
      <c r="A9722" s="28" t="n">
        <v>33336</v>
      </c>
      <c r="B9722" t="n">
        <v>7.98</v>
      </c>
      <c r="C9722" t="n">
        <v>5.65</v>
      </c>
    </row>
    <row r="9723">
      <c r="A9723" s="28" t="n">
        <v>33337</v>
      </c>
      <c r="B9723" t="n">
        <v>8.029999999999999</v>
      </c>
      <c r="C9723" t="n">
        <v>5.61</v>
      </c>
    </row>
    <row r="9724">
      <c r="A9724" s="28" t="n">
        <v>33338</v>
      </c>
      <c r="B9724" t="n">
        <v>8.1</v>
      </c>
      <c r="C9724" t="n">
        <v>5.61</v>
      </c>
    </row>
    <row r="9725">
      <c r="A9725" s="28" t="n">
        <v>33339</v>
      </c>
      <c r="B9725" t="n">
        <v>8.09</v>
      </c>
      <c r="C9725" t="n">
        <v>5.57</v>
      </c>
    </row>
    <row r="9726">
      <c r="A9726" s="28" t="n">
        <v>33340</v>
      </c>
      <c r="B9726" t="n">
        <v>7.98</v>
      </c>
      <c r="C9726" t="n">
        <v>5.51</v>
      </c>
    </row>
    <row r="9727">
      <c r="A9727" s="28" t="n">
        <v>33343</v>
      </c>
      <c r="B9727" t="n">
        <v>7.95</v>
      </c>
      <c r="C9727" t="n">
        <v>5.59</v>
      </c>
    </row>
    <row r="9728">
      <c r="A9728" s="28" t="n">
        <v>33344</v>
      </c>
      <c r="B9728" t="n">
        <v>7.97</v>
      </c>
      <c r="C9728" t="n">
        <v>5.61</v>
      </c>
    </row>
    <row r="9729">
      <c r="A9729" s="28" t="n">
        <v>33345</v>
      </c>
      <c r="B9729" t="n">
        <v>7.95</v>
      </c>
      <c r="C9729" t="n">
        <v>5.56</v>
      </c>
    </row>
    <row r="9730">
      <c r="A9730" s="28" t="n">
        <v>33346</v>
      </c>
      <c r="B9730" t="n">
        <v>8.02</v>
      </c>
      <c r="C9730" t="n">
        <v>5.66</v>
      </c>
    </row>
    <row r="9731">
      <c r="A9731" s="28" t="n">
        <v>33347</v>
      </c>
      <c r="B9731" t="n">
        <v>8.1</v>
      </c>
      <c r="C9731" t="n">
        <v>5.75</v>
      </c>
    </row>
    <row r="9732">
      <c r="A9732" s="28" t="n">
        <v>33350</v>
      </c>
      <c r="B9732" t="n">
        <v>8.15</v>
      </c>
      <c r="C9732" t="n">
        <v>5.69</v>
      </c>
    </row>
    <row r="9733">
      <c r="A9733" s="28" t="n">
        <v>33351</v>
      </c>
      <c r="B9733" t="n">
        <v>8.119999999999999</v>
      </c>
      <c r="C9733" t="n">
        <v>5.71</v>
      </c>
    </row>
    <row r="9734">
      <c r="A9734" s="28" t="n">
        <v>33352</v>
      </c>
      <c r="B9734" t="n">
        <v>8.06</v>
      </c>
      <c r="C9734" t="n">
        <v>5.66</v>
      </c>
    </row>
    <row r="9735">
      <c r="A9735" s="28" t="n">
        <v>33353</v>
      </c>
      <c r="B9735" t="n">
        <v>8.07</v>
      </c>
      <c r="C9735" t="n">
        <v>5.61</v>
      </c>
    </row>
    <row r="9736">
      <c r="A9736" s="28" t="n">
        <v>33354</v>
      </c>
      <c r="B9736" t="n">
        <v>8.06</v>
      </c>
      <c r="C9736" t="n">
        <v>5.62</v>
      </c>
    </row>
    <row r="9737">
      <c r="A9737" s="28" t="n">
        <v>33357</v>
      </c>
      <c r="B9737" t="n">
        <v>8.07</v>
      </c>
      <c r="C9737" t="n">
        <v>5.59</v>
      </c>
    </row>
    <row r="9738">
      <c r="A9738" s="28" t="n">
        <v>33358</v>
      </c>
      <c r="B9738" t="n">
        <v>8.02</v>
      </c>
      <c r="C9738" t="n">
        <v>5.51</v>
      </c>
    </row>
    <row r="9739">
      <c r="A9739" s="28" t="n">
        <v>33359</v>
      </c>
      <c r="B9739" t="n">
        <v>8.01</v>
      </c>
      <c r="C9739" t="n">
        <v>5.54</v>
      </c>
    </row>
    <row r="9740">
      <c r="A9740" s="28" t="n">
        <v>33360</v>
      </c>
      <c r="B9740" t="n">
        <v>7.97</v>
      </c>
      <c r="C9740" t="n">
        <v>5.46</v>
      </c>
    </row>
    <row r="9741">
      <c r="A9741" s="28" t="n">
        <v>33361</v>
      </c>
      <c r="B9741" t="n">
        <v>8.039999999999999</v>
      </c>
      <c r="C9741" t="n">
        <v>5.47</v>
      </c>
    </row>
    <row r="9742">
      <c r="A9742" s="28" t="n">
        <v>33364</v>
      </c>
      <c r="B9742" t="n">
        <v>8.050000000000001</v>
      </c>
      <c r="C9742" t="n">
        <v>5.46</v>
      </c>
    </row>
    <row r="9743">
      <c r="A9743" s="28" t="n">
        <v>33365</v>
      </c>
      <c r="B9743" t="n">
        <v>8.06</v>
      </c>
      <c r="C9743" t="n">
        <v>5.5</v>
      </c>
    </row>
    <row r="9744">
      <c r="A9744" s="28" t="n">
        <v>33366</v>
      </c>
      <c r="B9744" t="n">
        <v>8.039999999999999</v>
      </c>
      <c r="C9744" t="n">
        <v>5.5</v>
      </c>
    </row>
    <row r="9745">
      <c r="A9745" s="28" t="n">
        <v>33367</v>
      </c>
      <c r="B9745" t="n">
        <v>8.02</v>
      </c>
      <c r="C9745" t="n">
        <v>5.48</v>
      </c>
    </row>
    <row r="9746">
      <c r="A9746" s="28" t="n">
        <v>33368</v>
      </c>
      <c r="B9746" t="n">
        <v>8.119999999999999</v>
      </c>
      <c r="C9746" t="n">
        <v>5.48</v>
      </c>
    </row>
    <row r="9747">
      <c r="A9747" s="28" t="n">
        <v>33371</v>
      </c>
      <c r="B9747" t="n">
        <v>8.07</v>
      </c>
      <c r="C9747" t="n">
        <v>5.47</v>
      </c>
    </row>
    <row r="9748">
      <c r="A9748" s="28" t="n">
        <v>33372</v>
      </c>
      <c r="B9748" t="n">
        <v>8.140000000000001</v>
      </c>
      <c r="C9748" t="n">
        <v>5.49</v>
      </c>
    </row>
    <row r="9749">
      <c r="A9749" s="28" t="n">
        <v>33373</v>
      </c>
      <c r="B9749" t="n">
        <v>8.130000000000001</v>
      </c>
      <c r="C9749" t="n">
        <v>5.45</v>
      </c>
    </row>
    <row r="9750">
      <c r="A9750" s="28" t="n">
        <v>33374</v>
      </c>
      <c r="B9750" t="n">
        <v>8.119999999999999</v>
      </c>
      <c r="C9750" t="n">
        <v>5.4</v>
      </c>
    </row>
    <row r="9751">
      <c r="A9751" s="28" t="n">
        <v>33375</v>
      </c>
      <c r="B9751" t="n">
        <v>8.08</v>
      </c>
      <c r="C9751" t="n">
        <v>5.4</v>
      </c>
    </row>
    <row r="9752">
      <c r="A9752" s="28" t="n">
        <v>33378</v>
      </c>
      <c r="B9752" t="n">
        <v>8.1</v>
      </c>
      <c r="C9752" t="n">
        <v>5.45</v>
      </c>
    </row>
    <row r="9753">
      <c r="A9753" s="28" t="n">
        <v>33379</v>
      </c>
      <c r="B9753" t="n">
        <v>8.06</v>
      </c>
      <c r="C9753" t="n">
        <v>5.5</v>
      </c>
    </row>
    <row r="9754">
      <c r="A9754" s="28" t="n">
        <v>33380</v>
      </c>
      <c r="B9754" t="n">
        <v>8.06</v>
      </c>
      <c r="C9754" t="n">
        <v>5.46</v>
      </c>
    </row>
    <row r="9755">
      <c r="A9755" s="28" t="n">
        <v>33381</v>
      </c>
      <c r="B9755" t="n">
        <v>8.1</v>
      </c>
      <c r="C9755" t="n">
        <v>5.4</v>
      </c>
    </row>
    <row r="9756">
      <c r="A9756" s="28" t="n">
        <v>33382</v>
      </c>
      <c r="B9756" t="n">
        <v>8.1</v>
      </c>
      <c r="C9756" t="n">
        <v>5.4</v>
      </c>
    </row>
    <row r="9757">
      <c r="A9757" s="28" t="n">
        <v>33385</v>
      </c>
      <c r="B9757" t="n">
        <v>0</v>
      </c>
      <c r="C9757" t="n">
        <v>0</v>
      </c>
    </row>
    <row r="9758">
      <c r="A9758" s="28" t="n">
        <v>33386</v>
      </c>
      <c r="B9758" t="n">
        <v>8.07</v>
      </c>
      <c r="C9758" t="n">
        <v>5.4</v>
      </c>
    </row>
    <row r="9759">
      <c r="A9759" s="28" t="n">
        <v>33387</v>
      </c>
      <c r="B9759" t="n">
        <v>8.07</v>
      </c>
      <c r="C9759" t="n">
        <v>5.45</v>
      </c>
    </row>
    <row r="9760">
      <c r="A9760" s="28" t="n">
        <v>33388</v>
      </c>
      <c r="B9760" t="n">
        <v>8.02</v>
      </c>
      <c r="C9760" t="n">
        <v>5.45</v>
      </c>
    </row>
    <row r="9761">
      <c r="A9761" s="28" t="n">
        <v>33389</v>
      </c>
      <c r="B9761" t="n">
        <v>8.06</v>
      </c>
      <c r="C9761" t="n">
        <v>5.53</v>
      </c>
    </row>
    <row r="9762">
      <c r="A9762" s="28" t="n">
        <v>33392</v>
      </c>
      <c r="B9762" t="n">
        <v>8.140000000000001</v>
      </c>
      <c r="C9762" t="n">
        <v>5.6</v>
      </c>
    </row>
    <row r="9763">
      <c r="A9763" s="28" t="n">
        <v>33393</v>
      </c>
      <c r="B9763" t="n">
        <v>8.140000000000001</v>
      </c>
      <c r="C9763" t="n">
        <v>5.57</v>
      </c>
    </row>
    <row r="9764">
      <c r="A9764" s="28" t="n">
        <v>33394</v>
      </c>
      <c r="B9764" t="n">
        <v>8.19</v>
      </c>
      <c r="C9764" t="n">
        <v>5.59</v>
      </c>
    </row>
    <row r="9765">
      <c r="A9765" s="28" t="n">
        <v>33395</v>
      </c>
      <c r="B9765" t="n">
        <v>8.23</v>
      </c>
      <c r="C9765" t="n">
        <v>5.56</v>
      </c>
    </row>
    <row r="9766">
      <c r="A9766" s="28" t="n">
        <v>33396</v>
      </c>
      <c r="B9766" t="n">
        <v>8.289999999999999</v>
      </c>
      <c r="C9766" t="n">
        <v>5.56</v>
      </c>
    </row>
    <row r="9767">
      <c r="A9767" s="28" t="n">
        <v>33399</v>
      </c>
      <c r="B9767" t="n">
        <v>8.289999999999999</v>
      </c>
      <c r="C9767" t="n">
        <v>5.58</v>
      </c>
    </row>
    <row r="9768">
      <c r="A9768" s="28" t="n">
        <v>33400</v>
      </c>
      <c r="B9768" t="n">
        <v>8.289999999999999</v>
      </c>
      <c r="C9768" t="n">
        <v>5.57</v>
      </c>
    </row>
    <row r="9769">
      <c r="A9769" s="28" t="n">
        <v>33401</v>
      </c>
      <c r="B9769" t="n">
        <v>8.359999999999999</v>
      </c>
      <c r="C9769" t="n">
        <v>5.56</v>
      </c>
    </row>
    <row r="9770">
      <c r="A9770" s="28" t="n">
        <v>33402</v>
      </c>
      <c r="B9770" t="n">
        <v>8.34</v>
      </c>
      <c r="C9770" t="n">
        <v>5.58</v>
      </c>
    </row>
    <row r="9771">
      <c r="A9771" s="28" t="n">
        <v>33403</v>
      </c>
      <c r="B9771" t="n">
        <v>8.289999999999999</v>
      </c>
      <c r="C9771" t="n">
        <v>5.59</v>
      </c>
    </row>
    <row r="9772">
      <c r="A9772" s="28" t="n">
        <v>33406</v>
      </c>
      <c r="B9772" t="n">
        <v>8.300000000000001</v>
      </c>
      <c r="C9772" t="n">
        <v>5.59</v>
      </c>
    </row>
    <row r="9773">
      <c r="A9773" s="28" t="n">
        <v>33407</v>
      </c>
      <c r="B9773" t="n">
        <v>8.32</v>
      </c>
      <c r="C9773" t="n">
        <v>5.62</v>
      </c>
    </row>
    <row r="9774">
      <c r="A9774" s="28" t="n">
        <v>33408</v>
      </c>
      <c r="B9774" t="n">
        <v>8.33</v>
      </c>
      <c r="C9774" t="n">
        <v>5.57</v>
      </c>
    </row>
    <row r="9775">
      <c r="A9775" s="28" t="n">
        <v>33409</v>
      </c>
      <c r="B9775" t="n">
        <v>8.300000000000001</v>
      </c>
      <c r="C9775" t="n">
        <v>5.56</v>
      </c>
    </row>
    <row r="9776">
      <c r="A9776" s="28" t="n">
        <v>33410</v>
      </c>
      <c r="B9776" t="n">
        <v>8.32</v>
      </c>
      <c r="C9776" t="n">
        <v>5.57</v>
      </c>
    </row>
    <row r="9777">
      <c r="A9777" s="28" t="n">
        <v>33413</v>
      </c>
      <c r="B9777" t="n">
        <v>8.33</v>
      </c>
      <c r="C9777" t="n">
        <v>5.56</v>
      </c>
    </row>
    <row r="9778">
      <c r="A9778" s="28" t="n">
        <v>33414</v>
      </c>
      <c r="B9778" t="n">
        <v>8.33</v>
      </c>
      <c r="C9778" t="n">
        <v>5.58</v>
      </c>
    </row>
    <row r="9779">
      <c r="A9779" s="28" t="n">
        <v>33415</v>
      </c>
      <c r="B9779" t="n">
        <v>8.33</v>
      </c>
      <c r="C9779" t="n">
        <v>5.56</v>
      </c>
    </row>
    <row r="9780">
      <c r="A9780" s="28" t="n">
        <v>33416</v>
      </c>
      <c r="B9780" t="n">
        <v>8.32</v>
      </c>
      <c r="C9780" t="n">
        <v>5.55</v>
      </c>
    </row>
    <row r="9781">
      <c r="A9781" s="28" t="n">
        <v>33417</v>
      </c>
      <c r="B9781" t="n">
        <v>8.24</v>
      </c>
      <c r="C9781" t="n">
        <v>5.54</v>
      </c>
    </row>
    <row r="9782">
      <c r="A9782" s="28" t="n">
        <v>33420</v>
      </c>
      <c r="B9782" t="n">
        <v>8.26</v>
      </c>
      <c r="C9782" t="n">
        <v>5.58</v>
      </c>
    </row>
    <row r="9783">
      <c r="A9783" s="28" t="n">
        <v>33421</v>
      </c>
      <c r="B9783" t="n">
        <v>8.27</v>
      </c>
      <c r="C9783" t="n">
        <v>5.58</v>
      </c>
    </row>
    <row r="9784">
      <c r="A9784" s="28" t="n">
        <v>33422</v>
      </c>
      <c r="B9784" t="n">
        <v>8.26</v>
      </c>
      <c r="C9784" t="n">
        <v>5.56</v>
      </c>
    </row>
    <row r="9785">
      <c r="A9785" s="28" t="n">
        <v>33423</v>
      </c>
      <c r="B9785" t="n">
        <v>0</v>
      </c>
      <c r="C9785" t="n">
        <v>0</v>
      </c>
    </row>
    <row r="9786">
      <c r="A9786" s="28" t="n">
        <v>33424</v>
      </c>
      <c r="B9786" t="n">
        <v>8.34</v>
      </c>
      <c r="C9786" t="n">
        <v>5.58</v>
      </c>
    </row>
    <row r="9787">
      <c r="A9787" s="28" t="n">
        <v>33427</v>
      </c>
      <c r="B9787" t="n">
        <v>8.34</v>
      </c>
      <c r="C9787" t="n">
        <v>5.57</v>
      </c>
    </row>
    <row r="9788">
      <c r="A9788" s="28" t="n">
        <v>33428</v>
      </c>
      <c r="B9788" t="n">
        <v>8.359999999999999</v>
      </c>
      <c r="C9788" t="n">
        <v>5.59</v>
      </c>
    </row>
    <row r="9789">
      <c r="A9789" s="28" t="n">
        <v>33429</v>
      </c>
      <c r="B9789" t="n">
        <v>8.35</v>
      </c>
      <c r="C9789" t="n">
        <v>5.58</v>
      </c>
    </row>
    <row r="9790">
      <c r="A9790" s="28" t="n">
        <v>33430</v>
      </c>
      <c r="B9790" t="n">
        <v>8.300000000000001</v>
      </c>
      <c r="C9790" t="n">
        <v>5.56</v>
      </c>
    </row>
    <row r="9791">
      <c r="A9791" s="28" t="n">
        <v>33431</v>
      </c>
      <c r="B9791" t="n">
        <v>8.26</v>
      </c>
      <c r="C9791" t="n">
        <v>5.55</v>
      </c>
    </row>
    <row r="9792">
      <c r="A9792" s="28" t="n">
        <v>33434</v>
      </c>
      <c r="B9792" t="n">
        <v>8.26</v>
      </c>
      <c r="C9792" t="n">
        <v>5.57</v>
      </c>
    </row>
    <row r="9793">
      <c r="A9793" s="28" t="n">
        <v>33435</v>
      </c>
      <c r="B9793" t="n">
        <v>8.27</v>
      </c>
      <c r="C9793" t="n">
        <v>5.59</v>
      </c>
    </row>
    <row r="9794">
      <c r="A9794" s="28" t="n">
        <v>33436</v>
      </c>
      <c r="B9794" t="n">
        <v>8.300000000000001</v>
      </c>
      <c r="C9794" t="n">
        <v>5.61</v>
      </c>
    </row>
    <row r="9795">
      <c r="A9795" s="28" t="n">
        <v>33437</v>
      </c>
      <c r="B9795" t="n">
        <v>8.31</v>
      </c>
      <c r="C9795" t="n">
        <v>5.59</v>
      </c>
    </row>
    <row r="9796">
      <c r="A9796" s="28" t="n">
        <v>33438</v>
      </c>
      <c r="B9796" t="n">
        <v>8.279999999999999</v>
      </c>
      <c r="C9796" t="n">
        <v>5.58</v>
      </c>
    </row>
    <row r="9797">
      <c r="A9797" s="28" t="n">
        <v>33441</v>
      </c>
      <c r="B9797" t="n">
        <v>8.279999999999999</v>
      </c>
      <c r="C9797" t="n">
        <v>5.57</v>
      </c>
    </row>
    <row r="9798">
      <c r="A9798" s="28" t="n">
        <v>33442</v>
      </c>
      <c r="B9798" t="n">
        <v>8.31</v>
      </c>
      <c r="C9798" t="n">
        <v>5.59</v>
      </c>
    </row>
    <row r="9799">
      <c r="A9799" s="28" t="n">
        <v>33443</v>
      </c>
      <c r="B9799" t="n">
        <v>8.24</v>
      </c>
      <c r="C9799" t="n">
        <v>5.58</v>
      </c>
    </row>
    <row r="9800">
      <c r="A9800" s="28" t="n">
        <v>33444</v>
      </c>
      <c r="B9800" t="n">
        <v>8.199999999999999</v>
      </c>
      <c r="C9800" t="n">
        <v>5.58</v>
      </c>
    </row>
    <row r="9801">
      <c r="A9801" s="28" t="n">
        <v>33445</v>
      </c>
      <c r="B9801" t="n">
        <v>8.199999999999999</v>
      </c>
      <c r="C9801" t="n">
        <v>5.58</v>
      </c>
    </row>
    <row r="9802">
      <c r="A9802" s="28" t="n">
        <v>33448</v>
      </c>
      <c r="B9802" t="n">
        <v>8.199999999999999</v>
      </c>
      <c r="C9802" t="n">
        <v>5.57</v>
      </c>
    </row>
    <row r="9803">
      <c r="A9803" s="28" t="n">
        <v>33449</v>
      </c>
      <c r="B9803" t="n">
        <v>8.210000000000001</v>
      </c>
      <c r="C9803" t="n">
        <v>5.56</v>
      </c>
    </row>
    <row r="9804">
      <c r="A9804" s="28" t="n">
        <v>33450</v>
      </c>
      <c r="B9804" t="n">
        <v>8.199999999999999</v>
      </c>
      <c r="C9804" t="n">
        <v>5.53</v>
      </c>
    </row>
    <row r="9805">
      <c r="A9805" s="28" t="n">
        <v>33451</v>
      </c>
      <c r="B9805" t="n">
        <v>8.199999999999999</v>
      </c>
      <c r="C9805" t="n">
        <v>5.55</v>
      </c>
    </row>
    <row r="9806">
      <c r="A9806" s="28" t="n">
        <v>33452</v>
      </c>
      <c r="B9806" t="n">
        <v>8.06</v>
      </c>
      <c r="C9806" t="n">
        <v>5.46</v>
      </c>
    </row>
    <row r="9807">
      <c r="A9807" s="28" t="n">
        <v>33455</v>
      </c>
      <c r="B9807" t="n">
        <v>8.039999999999999</v>
      </c>
      <c r="C9807" t="n">
        <v>5.5</v>
      </c>
    </row>
    <row r="9808">
      <c r="A9808" s="28" t="n">
        <v>33456</v>
      </c>
      <c r="B9808" t="n">
        <v>7.97</v>
      </c>
      <c r="C9808" t="n">
        <v>5.41</v>
      </c>
    </row>
    <row r="9809">
      <c r="A9809" s="28" t="n">
        <v>33457</v>
      </c>
      <c r="B9809" t="n">
        <v>7.93</v>
      </c>
      <c r="C9809" t="n">
        <v>5.38</v>
      </c>
    </row>
    <row r="9810">
      <c r="A9810" s="28" t="n">
        <v>33458</v>
      </c>
      <c r="B9810" t="n">
        <v>7.98</v>
      </c>
      <c r="C9810" t="n">
        <v>5.37</v>
      </c>
    </row>
    <row r="9811">
      <c r="A9811" s="28" t="n">
        <v>33459</v>
      </c>
      <c r="B9811" t="n">
        <v>7.98</v>
      </c>
      <c r="C9811" t="n">
        <v>5.32</v>
      </c>
    </row>
    <row r="9812">
      <c r="A9812" s="28" t="n">
        <v>33462</v>
      </c>
      <c r="B9812" t="n">
        <v>7.95</v>
      </c>
      <c r="C9812" t="n">
        <v>5.31</v>
      </c>
    </row>
    <row r="9813">
      <c r="A9813" s="28" t="n">
        <v>33463</v>
      </c>
      <c r="B9813" t="n">
        <v>7.91</v>
      </c>
      <c r="C9813" t="n">
        <v>5.29</v>
      </c>
    </row>
    <row r="9814">
      <c r="A9814" s="28" t="n">
        <v>33464</v>
      </c>
      <c r="B9814" t="n">
        <v>7.82</v>
      </c>
      <c r="C9814" t="n">
        <v>5.29</v>
      </c>
    </row>
    <row r="9815">
      <c r="A9815" s="28" t="n">
        <v>33465</v>
      </c>
      <c r="B9815" t="n">
        <v>7.84</v>
      </c>
      <c r="C9815" t="n">
        <v>5.3</v>
      </c>
    </row>
    <row r="9816">
      <c r="A9816" s="28" t="n">
        <v>33466</v>
      </c>
      <c r="B9816" t="n">
        <v>7.84</v>
      </c>
      <c r="C9816" t="n">
        <v>5.26</v>
      </c>
    </row>
    <row r="9817">
      <c r="A9817" s="28" t="n">
        <v>33469</v>
      </c>
      <c r="B9817" t="n">
        <v>7.83</v>
      </c>
      <c r="C9817" t="n">
        <v>5.11</v>
      </c>
    </row>
    <row r="9818">
      <c r="A9818" s="28" t="n">
        <v>33470</v>
      </c>
      <c r="B9818" t="n">
        <v>7.81</v>
      </c>
      <c r="C9818" t="n">
        <v>5.11</v>
      </c>
    </row>
    <row r="9819">
      <c r="A9819" s="28" t="n">
        <v>33471</v>
      </c>
      <c r="B9819" t="n">
        <v>7.8</v>
      </c>
      <c r="C9819" t="n">
        <v>5.28</v>
      </c>
    </row>
    <row r="9820">
      <c r="A9820" s="28" t="n">
        <v>33472</v>
      </c>
      <c r="B9820" t="n">
        <v>7.78</v>
      </c>
      <c r="C9820" t="n">
        <v>5.31</v>
      </c>
    </row>
    <row r="9821">
      <c r="A9821" s="28" t="n">
        <v>33473</v>
      </c>
      <c r="B9821" t="n">
        <v>7.88</v>
      </c>
      <c r="C9821" t="n">
        <v>5.39</v>
      </c>
    </row>
    <row r="9822">
      <c r="A9822" s="28" t="n">
        <v>33476</v>
      </c>
      <c r="B9822" t="n">
        <v>7.91</v>
      </c>
      <c r="C9822" t="n">
        <v>5.41</v>
      </c>
    </row>
    <row r="9823">
      <c r="A9823" s="28" t="n">
        <v>33477</v>
      </c>
      <c r="B9823" t="n">
        <v>7.89</v>
      </c>
      <c r="C9823" t="n">
        <v>5.38</v>
      </c>
    </row>
    <row r="9824">
      <c r="A9824" s="28" t="n">
        <v>33478</v>
      </c>
      <c r="B9824" t="n">
        <v>7.82</v>
      </c>
      <c r="C9824" t="n">
        <v>5.3</v>
      </c>
    </row>
    <row r="9825">
      <c r="A9825" s="28" t="n">
        <v>33479</v>
      </c>
      <c r="B9825" t="n">
        <v>7.74</v>
      </c>
      <c r="C9825" t="n">
        <v>5.27</v>
      </c>
    </row>
    <row r="9826">
      <c r="A9826" s="28" t="n">
        <v>33480</v>
      </c>
      <c r="B9826" t="n">
        <v>7.82</v>
      </c>
      <c r="C9826" t="n">
        <v>5.33</v>
      </c>
    </row>
    <row r="9827">
      <c r="A9827" s="28" t="n">
        <v>33483</v>
      </c>
      <c r="B9827" t="n">
        <v>0</v>
      </c>
      <c r="C9827" t="n">
        <v>0</v>
      </c>
    </row>
    <row r="9828">
      <c r="A9828" s="28" t="n">
        <v>33484</v>
      </c>
      <c r="B9828" t="n">
        <v>7.81</v>
      </c>
      <c r="C9828" t="n">
        <v>5.34</v>
      </c>
    </row>
    <row r="9829">
      <c r="A9829" s="28" t="n">
        <v>33485</v>
      </c>
      <c r="B9829" t="n">
        <v>7.81</v>
      </c>
      <c r="C9829" t="n">
        <v>5.33</v>
      </c>
    </row>
    <row r="9830">
      <c r="A9830" s="28" t="n">
        <v>33486</v>
      </c>
      <c r="B9830" t="n">
        <v>7.83</v>
      </c>
      <c r="C9830" t="n">
        <v>5.32</v>
      </c>
    </row>
    <row r="9831">
      <c r="A9831" s="28" t="n">
        <v>33487</v>
      </c>
      <c r="B9831" t="n">
        <v>7.76</v>
      </c>
      <c r="C9831" t="n">
        <v>5.29</v>
      </c>
    </row>
    <row r="9832">
      <c r="A9832" s="28" t="n">
        <v>33490</v>
      </c>
      <c r="B9832" t="n">
        <v>7.73</v>
      </c>
      <c r="C9832" t="n">
        <v>5.28</v>
      </c>
    </row>
    <row r="9833">
      <c r="A9833" s="28" t="n">
        <v>33491</v>
      </c>
      <c r="B9833" t="n">
        <v>7.73</v>
      </c>
      <c r="C9833" t="n">
        <v>5.24</v>
      </c>
    </row>
    <row r="9834">
      <c r="A9834" s="28" t="n">
        <v>33492</v>
      </c>
      <c r="B9834" t="n">
        <v>7.74</v>
      </c>
      <c r="C9834" t="n">
        <v>5.26</v>
      </c>
    </row>
    <row r="9835">
      <c r="A9835" s="28" t="n">
        <v>33493</v>
      </c>
      <c r="B9835" t="n">
        <v>7.67</v>
      </c>
      <c r="C9835" t="n">
        <v>5.22</v>
      </c>
    </row>
    <row r="9836">
      <c r="A9836" s="28" t="n">
        <v>33494</v>
      </c>
      <c r="B9836" t="n">
        <v>7.66</v>
      </c>
      <c r="C9836" t="n">
        <v>5.16</v>
      </c>
    </row>
    <row r="9837">
      <c r="A9837" s="28" t="n">
        <v>33497</v>
      </c>
      <c r="B9837" t="n">
        <v>7.63</v>
      </c>
      <c r="C9837" t="n">
        <v>5.18</v>
      </c>
    </row>
    <row r="9838">
      <c r="A9838" s="28" t="n">
        <v>33498</v>
      </c>
      <c r="B9838" t="n">
        <v>7.62</v>
      </c>
      <c r="C9838" t="n">
        <v>5.19</v>
      </c>
    </row>
    <row r="9839">
      <c r="A9839" s="28" t="n">
        <v>33499</v>
      </c>
      <c r="B9839" t="n">
        <v>7.62</v>
      </c>
      <c r="C9839" t="n">
        <v>5.18</v>
      </c>
    </row>
    <row r="9840">
      <c r="A9840" s="28" t="n">
        <v>33500</v>
      </c>
      <c r="B9840" t="n">
        <v>7.61</v>
      </c>
      <c r="C9840" t="n">
        <v>5.2</v>
      </c>
    </row>
    <row r="9841">
      <c r="A9841" s="28" t="n">
        <v>33501</v>
      </c>
      <c r="B9841" t="n">
        <v>7.57</v>
      </c>
      <c r="C9841" t="n">
        <v>5.19</v>
      </c>
    </row>
    <row r="9842">
      <c r="A9842" s="28" t="n">
        <v>33504</v>
      </c>
      <c r="B9842" t="n">
        <v>7.55</v>
      </c>
      <c r="C9842" t="n">
        <v>5.21</v>
      </c>
    </row>
    <row r="9843">
      <c r="A9843" s="28" t="n">
        <v>33505</v>
      </c>
      <c r="B9843" t="n">
        <v>7.56</v>
      </c>
      <c r="C9843" t="n">
        <v>5.17</v>
      </c>
    </row>
    <row r="9844">
      <c r="A9844" s="28" t="n">
        <v>33506</v>
      </c>
      <c r="B9844" t="n">
        <v>7.58</v>
      </c>
      <c r="C9844" t="n">
        <v>5.17</v>
      </c>
    </row>
    <row r="9845">
      <c r="A9845" s="28" t="n">
        <v>33507</v>
      </c>
      <c r="B9845" t="n">
        <v>7.56</v>
      </c>
      <c r="C9845" t="n">
        <v>5.13</v>
      </c>
    </row>
    <row r="9846">
      <c r="A9846" s="28" t="n">
        <v>33508</v>
      </c>
      <c r="B9846" t="n">
        <v>7.49</v>
      </c>
      <c r="C9846" t="n">
        <v>5.13</v>
      </c>
    </row>
    <row r="9847">
      <c r="A9847" s="28" t="n">
        <v>33511</v>
      </c>
      <c r="B9847" t="n">
        <v>7.47</v>
      </c>
      <c r="C9847" t="n">
        <v>5.11</v>
      </c>
    </row>
    <row r="9848">
      <c r="A9848" s="28" t="n">
        <v>33512</v>
      </c>
      <c r="B9848" t="n">
        <v>7.45</v>
      </c>
      <c r="C9848" t="n">
        <v>5.1</v>
      </c>
    </row>
    <row r="9849">
      <c r="A9849" s="28" t="n">
        <v>33513</v>
      </c>
      <c r="B9849" t="n">
        <v>7.47</v>
      </c>
      <c r="C9849" t="n">
        <v>5.09</v>
      </c>
    </row>
    <row r="9850">
      <c r="A9850" s="28" t="n">
        <v>33514</v>
      </c>
      <c r="B9850" t="n">
        <v>7.47</v>
      </c>
      <c r="C9850" t="n">
        <v>5.04</v>
      </c>
    </row>
    <row r="9851">
      <c r="A9851" s="28" t="n">
        <v>33515</v>
      </c>
      <c r="B9851" t="n">
        <v>7.39</v>
      </c>
      <c r="C9851" t="n">
        <v>5.02</v>
      </c>
    </row>
    <row r="9852">
      <c r="A9852" s="28" t="n">
        <v>33518</v>
      </c>
      <c r="B9852" t="n">
        <v>7.4</v>
      </c>
      <c r="C9852" t="n">
        <v>5.02</v>
      </c>
    </row>
    <row r="9853">
      <c r="A9853" s="28" t="n">
        <v>33519</v>
      </c>
      <c r="B9853" t="n">
        <v>7.43</v>
      </c>
      <c r="C9853" t="n">
        <v>5.02</v>
      </c>
    </row>
    <row r="9854">
      <c r="A9854" s="28" t="n">
        <v>33520</v>
      </c>
      <c r="B9854" t="n">
        <v>7.51</v>
      </c>
      <c r="C9854" t="n">
        <v>5.01</v>
      </c>
    </row>
    <row r="9855">
      <c r="A9855" s="28" t="n">
        <v>33521</v>
      </c>
      <c r="B9855" t="n">
        <v>7.58</v>
      </c>
      <c r="C9855" t="n">
        <v>5.03</v>
      </c>
    </row>
    <row r="9856">
      <c r="A9856" s="28" t="n">
        <v>33522</v>
      </c>
      <c r="B9856" t="n">
        <v>7.49</v>
      </c>
      <c r="C9856" t="n">
        <v>4.99</v>
      </c>
    </row>
    <row r="9857">
      <c r="A9857" s="28" t="n">
        <v>33525</v>
      </c>
      <c r="B9857" t="n">
        <v>0</v>
      </c>
      <c r="C9857" t="n">
        <v>0</v>
      </c>
    </row>
    <row r="9858">
      <c r="A9858" s="28" t="n">
        <v>33526</v>
      </c>
      <c r="B9858" t="n">
        <v>7.46</v>
      </c>
      <c r="C9858" t="n">
        <v>4.96</v>
      </c>
    </row>
    <row r="9859">
      <c r="A9859" s="28" t="n">
        <v>33527</v>
      </c>
      <c r="B9859" t="n">
        <v>7.45</v>
      </c>
      <c r="C9859" t="n">
        <v>4.97</v>
      </c>
    </row>
    <row r="9860">
      <c r="A9860" s="28" t="n">
        <v>33528</v>
      </c>
      <c r="B9860" t="n">
        <v>7.55</v>
      </c>
      <c r="C9860" t="n">
        <v>5.03</v>
      </c>
    </row>
    <row r="9861">
      <c r="A9861" s="28" t="n">
        <v>33529</v>
      </c>
      <c r="B9861" t="n">
        <v>7.53</v>
      </c>
      <c r="C9861" t="n">
        <v>5.03</v>
      </c>
    </row>
    <row r="9862">
      <c r="A9862" s="28" t="n">
        <v>33532</v>
      </c>
      <c r="B9862" t="n">
        <v>7.62</v>
      </c>
      <c r="C9862" t="n">
        <v>5.04</v>
      </c>
    </row>
    <row r="9863">
      <c r="A9863" s="28" t="n">
        <v>33533</v>
      </c>
      <c r="B9863" t="n">
        <v>7.67</v>
      </c>
      <c r="C9863" t="n">
        <v>5.06</v>
      </c>
    </row>
    <row r="9864">
      <c r="A9864" s="28" t="n">
        <v>33534</v>
      </c>
      <c r="B9864" t="n">
        <v>7.69</v>
      </c>
      <c r="C9864" t="n">
        <v>5.04</v>
      </c>
    </row>
    <row r="9865">
      <c r="A9865" s="28" t="n">
        <v>33535</v>
      </c>
      <c r="B9865" t="n">
        <v>7.65</v>
      </c>
      <c r="C9865" t="n">
        <v>4.97</v>
      </c>
    </row>
    <row r="9866">
      <c r="A9866" s="28" t="n">
        <v>33536</v>
      </c>
      <c r="B9866" t="n">
        <v>7.68</v>
      </c>
      <c r="C9866" t="n">
        <v>4.96</v>
      </c>
    </row>
    <row r="9867">
      <c r="A9867" s="28" t="n">
        <v>33539</v>
      </c>
      <c r="B9867" t="n">
        <v>7.65</v>
      </c>
      <c r="C9867" t="n">
        <v>4.94</v>
      </c>
    </row>
    <row r="9868">
      <c r="A9868" s="28" t="n">
        <v>33540</v>
      </c>
      <c r="B9868" t="n">
        <v>7.51</v>
      </c>
      <c r="C9868" t="n">
        <v>4.89</v>
      </c>
    </row>
    <row r="9869">
      <c r="A9869" s="28" t="n">
        <v>33541</v>
      </c>
      <c r="B9869" t="n">
        <v>7.48</v>
      </c>
      <c r="C9869" t="n">
        <v>4.84</v>
      </c>
    </row>
    <row r="9870">
      <c r="A9870" s="28" t="n">
        <v>33542</v>
      </c>
      <c r="B9870" t="n">
        <v>7.47</v>
      </c>
      <c r="C9870" t="n">
        <v>4.82</v>
      </c>
    </row>
    <row r="9871">
      <c r="A9871" s="28" t="n">
        <v>33543</v>
      </c>
      <c r="B9871" t="n">
        <v>7.48</v>
      </c>
      <c r="C9871" t="n">
        <v>4.75</v>
      </c>
    </row>
    <row r="9872">
      <c r="A9872" s="28" t="n">
        <v>33546</v>
      </c>
      <c r="B9872" t="n">
        <v>7.5</v>
      </c>
      <c r="C9872" t="n">
        <v>4.74</v>
      </c>
    </row>
    <row r="9873">
      <c r="A9873" s="28" t="n">
        <v>33547</v>
      </c>
      <c r="B9873" t="n">
        <v>7.56</v>
      </c>
      <c r="C9873" t="n">
        <v>4.76</v>
      </c>
    </row>
    <row r="9874">
      <c r="A9874" s="28" t="n">
        <v>33548</v>
      </c>
      <c r="B9874" t="n">
        <v>7.51</v>
      </c>
      <c r="C9874" t="n">
        <v>4.63</v>
      </c>
    </row>
    <row r="9875">
      <c r="A9875" s="28" t="n">
        <v>33549</v>
      </c>
      <c r="B9875" t="n">
        <v>7.43</v>
      </c>
      <c r="C9875" t="n">
        <v>4.63</v>
      </c>
    </row>
    <row r="9876">
      <c r="A9876" s="28" t="n">
        <v>33550</v>
      </c>
      <c r="B9876" t="n">
        <v>7.41</v>
      </c>
      <c r="C9876" t="n">
        <v>4.62</v>
      </c>
    </row>
    <row r="9877">
      <c r="A9877" s="28" t="n">
        <v>33553</v>
      </c>
      <c r="B9877" t="n">
        <v>0</v>
      </c>
      <c r="C9877" t="n">
        <v>0</v>
      </c>
    </row>
    <row r="9878">
      <c r="A9878" s="28" t="n">
        <v>33554</v>
      </c>
      <c r="B9878" t="n">
        <v>7.37</v>
      </c>
      <c r="C9878" t="n">
        <v>4.62</v>
      </c>
    </row>
    <row r="9879">
      <c r="A9879" s="28" t="n">
        <v>33555</v>
      </c>
      <c r="B9879" t="n">
        <v>7.41</v>
      </c>
      <c r="C9879" t="n">
        <v>4.63</v>
      </c>
    </row>
    <row r="9880">
      <c r="A9880" s="28" t="n">
        <v>33556</v>
      </c>
      <c r="B9880" t="n">
        <v>7.35</v>
      </c>
      <c r="C9880" t="n">
        <v>4.63</v>
      </c>
    </row>
    <row r="9881">
      <c r="A9881" s="28" t="n">
        <v>33557</v>
      </c>
      <c r="B9881" t="n">
        <v>7.33</v>
      </c>
      <c r="C9881" t="n">
        <v>4.59</v>
      </c>
    </row>
    <row r="9882">
      <c r="A9882" s="28" t="n">
        <v>33560</v>
      </c>
      <c r="B9882" t="n">
        <v>7.33</v>
      </c>
      <c r="C9882" t="n">
        <v>4.58</v>
      </c>
    </row>
    <row r="9883">
      <c r="A9883" s="28" t="n">
        <v>33561</v>
      </c>
      <c r="B9883" t="n">
        <v>7.37</v>
      </c>
      <c r="C9883" t="n">
        <v>4.53</v>
      </c>
    </row>
    <row r="9884">
      <c r="A9884" s="28" t="n">
        <v>33562</v>
      </c>
      <c r="B9884" t="n">
        <v>7.38</v>
      </c>
      <c r="C9884" t="n">
        <v>4.49</v>
      </c>
    </row>
    <row r="9885">
      <c r="A9885" s="28" t="n">
        <v>33563</v>
      </c>
      <c r="B9885" t="n">
        <v>7.39</v>
      </c>
      <c r="C9885" t="n">
        <v>4.43</v>
      </c>
    </row>
    <row r="9886">
      <c r="A9886" s="28" t="n">
        <v>33564</v>
      </c>
      <c r="B9886" t="n">
        <v>7.44</v>
      </c>
      <c r="C9886" t="n">
        <v>4.42</v>
      </c>
    </row>
    <row r="9887">
      <c r="A9887" s="28" t="n">
        <v>33567</v>
      </c>
      <c r="B9887" t="n">
        <v>7.45</v>
      </c>
      <c r="C9887" t="n">
        <v>4.43</v>
      </c>
    </row>
    <row r="9888">
      <c r="A9888" s="28" t="n">
        <v>33568</v>
      </c>
      <c r="B9888" t="n">
        <v>7.42</v>
      </c>
      <c r="C9888" t="n">
        <v>4.4</v>
      </c>
    </row>
    <row r="9889">
      <c r="A9889" s="28" t="n">
        <v>33569</v>
      </c>
      <c r="B9889" t="n">
        <v>7.42</v>
      </c>
      <c r="C9889" t="n">
        <v>4.39</v>
      </c>
    </row>
    <row r="9890">
      <c r="A9890" s="28" t="n">
        <v>33570</v>
      </c>
      <c r="B9890" t="n">
        <v>0</v>
      </c>
      <c r="C9890" t="n">
        <v>0</v>
      </c>
    </row>
    <row r="9891">
      <c r="A9891" s="28" t="n">
        <v>33571</v>
      </c>
      <c r="B9891" t="n">
        <v>7.38</v>
      </c>
      <c r="C9891" t="n">
        <v>4.35</v>
      </c>
    </row>
    <row r="9892">
      <c r="A9892" s="28" t="n">
        <v>33574</v>
      </c>
      <c r="B9892" t="n">
        <v>7.32</v>
      </c>
      <c r="C9892" t="n">
        <v>4.38</v>
      </c>
    </row>
    <row r="9893">
      <c r="A9893" s="28" t="n">
        <v>33575</v>
      </c>
      <c r="B9893" t="n">
        <v>7.28</v>
      </c>
      <c r="C9893" t="n">
        <v>4.36</v>
      </c>
    </row>
    <row r="9894">
      <c r="A9894" s="28" t="n">
        <v>33576</v>
      </c>
      <c r="B9894" t="n">
        <v>7.17</v>
      </c>
      <c r="C9894" t="n">
        <v>4.31</v>
      </c>
    </row>
    <row r="9895">
      <c r="A9895" s="28" t="n">
        <v>33577</v>
      </c>
      <c r="B9895" t="n">
        <v>7.21</v>
      </c>
      <c r="C9895" t="n">
        <v>4.31</v>
      </c>
    </row>
    <row r="9896">
      <c r="A9896" s="28" t="n">
        <v>33578</v>
      </c>
      <c r="B9896" t="n">
        <v>7.26</v>
      </c>
      <c r="C9896" t="n">
        <v>4.24</v>
      </c>
    </row>
    <row r="9897">
      <c r="A9897" s="28" t="n">
        <v>33581</v>
      </c>
      <c r="B9897" t="n">
        <v>7.22</v>
      </c>
      <c r="C9897" t="n">
        <v>4.15</v>
      </c>
    </row>
    <row r="9898">
      <c r="A9898" s="28" t="n">
        <v>33582</v>
      </c>
      <c r="B9898" t="n">
        <v>7.21</v>
      </c>
      <c r="C9898" t="n">
        <v>4.2</v>
      </c>
    </row>
    <row r="9899">
      <c r="A9899" s="28" t="n">
        <v>33583</v>
      </c>
      <c r="B9899" t="n">
        <v>7.22</v>
      </c>
      <c r="C9899" t="n">
        <v>4.15</v>
      </c>
    </row>
    <row r="9900">
      <c r="A9900" s="28" t="n">
        <v>33584</v>
      </c>
      <c r="B9900" t="n">
        <v>7.19</v>
      </c>
      <c r="C9900" t="n">
        <v>4.15</v>
      </c>
    </row>
    <row r="9901">
      <c r="A9901" s="28" t="n">
        <v>33585</v>
      </c>
      <c r="B9901" t="n">
        <v>7.22</v>
      </c>
      <c r="C9901" t="n">
        <v>4.15</v>
      </c>
    </row>
    <row r="9902">
      <c r="A9902" s="28" t="n">
        <v>33588</v>
      </c>
      <c r="B9902" t="n">
        <v>7.21</v>
      </c>
      <c r="C9902" t="n">
        <v>4.14</v>
      </c>
    </row>
    <row r="9903">
      <c r="A9903" s="28" t="n">
        <v>33589</v>
      </c>
      <c r="B9903" t="n">
        <v>7.18</v>
      </c>
      <c r="C9903" t="n">
        <v>4.11</v>
      </c>
    </row>
    <row r="9904">
      <c r="A9904" s="28" t="n">
        <v>33590</v>
      </c>
      <c r="B9904" t="n">
        <v>7.19</v>
      </c>
      <c r="C9904" t="n">
        <v>4.12</v>
      </c>
    </row>
    <row r="9905">
      <c r="A9905" s="28" t="n">
        <v>33591</v>
      </c>
      <c r="B9905" t="n">
        <v>7.11</v>
      </c>
      <c r="C9905" t="n">
        <v>4.04</v>
      </c>
    </row>
    <row r="9906">
      <c r="A9906" s="28" t="n">
        <v>33592</v>
      </c>
      <c r="B9906" t="n">
        <v>6.97</v>
      </c>
      <c r="C9906" t="n">
        <v>3.74</v>
      </c>
    </row>
    <row r="9907">
      <c r="A9907" s="28" t="n">
        <v>33595</v>
      </c>
      <c r="B9907" t="n">
        <v>6.88</v>
      </c>
      <c r="C9907" t="n">
        <v>3.76</v>
      </c>
    </row>
    <row r="9908">
      <c r="A9908" s="28" t="n">
        <v>33596</v>
      </c>
      <c r="B9908" t="n">
        <v>6.88</v>
      </c>
      <c r="C9908" t="n">
        <v>3.81</v>
      </c>
    </row>
    <row r="9909">
      <c r="A9909" s="28" t="n">
        <v>33597</v>
      </c>
      <c r="B9909" t="n">
        <v>0</v>
      </c>
      <c r="C9909" t="n">
        <v>0</v>
      </c>
    </row>
    <row r="9910">
      <c r="A9910" s="28" t="n">
        <v>33598</v>
      </c>
      <c r="B9910" t="n">
        <v>6.85</v>
      </c>
      <c r="C9910" t="n">
        <v>3.82</v>
      </c>
    </row>
    <row r="9911">
      <c r="A9911" s="28" t="n">
        <v>33599</v>
      </c>
      <c r="B9911" t="n">
        <v>6.82</v>
      </c>
      <c r="C9911" t="n">
        <v>3.86</v>
      </c>
    </row>
    <row r="9912">
      <c r="A9912" s="28" t="n">
        <v>33602</v>
      </c>
      <c r="B9912" t="n">
        <v>6.76</v>
      </c>
      <c r="C9912" t="n">
        <v>3.87</v>
      </c>
    </row>
    <row r="9913">
      <c r="A9913" s="28" t="n">
        <v>33603</v>
      </c>
      <c r="B9913" t="n">
        <v>6.71</v>
      </c>
      <c r="C9913" t="n">
        <v>3.88</v>
      </c>
    </row>
    <row r="9914">
      <c r="A9914" s="28" t="n">
        <v>33604</v>
      </c>
      <c r="B9914" t="n">
        <v>0</v>
      </c>
      <c r="C9914" t="n">
        <v>0</v>
      </c>
    </row>
    <row r="9915">
      <c r="A9915" s="28" t="n">
        <v>33605</v>
      </c>
      <c r="B9915" t="n">
        <v>6.78</v>
      </c>
      <c r="C9915" t="n">
        <v>3.86</v>
      </c>
    </row>
    <row r="9916">
      <c r="A9916" s="28" t="n">
        <v>33606</v>
      </c>
      <c r="B9916" t="n">
        <v>6.85</v>
      </c>
      <c r="C9916" t="n">
        <v>3.85</v>
      </c>
    </row>
    <row r="9917">
      <c r="A9917" s="28" t="n">
        <v>33609</v>
      </c>
      <c r="B9917" t="n">
        <v>6.82</v>
      </c>
      <c r="C9917" t="n">
        <v>3.81</v>
      </c>
    </row>
    <row r="9918">
      <c r="A9918" s="28" t="n">
        <v>33610</v>
      </c>
      <c r="B9918" t="n">
        <v>6.76</v>
      </c>
      <c r="C9918" t="n">
        <v>3.75</v>
      </c>
    </row>
    <row r="9919">
      <c r="A9919" s="28" t="n">
        <v>33611</v>
      </c>
      <c r="B9919" t="n">
        <v>6.77</v>
      </c>
      <c r="C9919" t="n">
        <v>3.72</v>
      </c>
    </row>
    <row r="9920">
      <c r="A9920" s="28" t="n">
        <v>33612</v>
      </c>
      <c r="B9920" t="n">
        <v>6.79</v>
      </c>
      <c r="C9920" t="n">
        <v>3.77</v>
      </c>
    </row>
    <row r="9921">
      <c r="A9921" s="28" t="n">
        <v>33613</v>
      </c>
      <c r="B9921" t="n">
        <v>6.85</v>
      </c>
      <c r="C9921" t="n">
        <v>3.82</v>
      </c>
    </row>
    <row r="9922">
      <c r="A9922" s="28" t="n">
        <v>33616</v>
      </c>
      <c r="B9922" t="n">
        <v>6.92</v>
      </c>
      <c r="C9922" t="n">
        <v>3.81</v>
      </c>
    </row>
    <row r="9923">
      <c r="A9923" s="28" t="n">
        <v>33617</v>
      </c>
      <c r="B9923" t="n">
        <v>7.03</v>
      </c>
      <c r="C9923" t="n">
        <v>3.82</v>
      </c>
    </row>
    <row r="9924">
      <c r="A9924" s="28" t="n">
        <v>33618</v>
      </c>
      <c r="B9924" t="n">
        <v>7.05</v>
      </c>
      <c r="C9924" t="n">
        <v>3.84</v>
      </c>
    </row>
    <row r="9925">
      <c r="A9925" s="28" t="n">
        <v>33619</v>
      </c>
      <c r="B9925" t="n">
        <v>7.13</v>
      </c>
      <c r="C9925" t="n">
        <v>3.79</v>
      </c>
    </row>
    <row r="9926">
      <c r="A9926" s="28" t="n">
        <v>33620</v>
      </c>
      <c r="B9926" t="n">
        <v>7.09</v>
      </c>
      <c r="C9926" t="n">
        <v>3.79</v>
      </c>
    </row>
    <row r="9927">
      <c r="A9927" s="28" t="n">
        <v>33623</v>
      </c>
      <c r="B9927" t="n">
        <v>0</v>
      </c>
      <c r="C9927" t="n">
        <v>0</v>
      </c>
    </row>
    <row r="9928">
      <c r="A9928" s="28" t="n">
        <v>33624</v>
      </c>
      <c r="B9928" t="n">
        <v>7.03</v>
      </c>
      <c r="C9928" t="n">
        <v>3.73</v>
      </c>
    </row>
    <row r="9929">
      <c r="A9929" s="28" t="n">
        <v>33625</v>
      </c>
      <c r="B9929" t="n">
        <v>7.09</v>
      </c>
      <c r="C9929" t="n">
        <v>3.75</v>
      </c>
    </row>
    <row r="9930">
      <c r="A9930" s="28" t="n">
        <v>33626</v>
      </c>
      <c r="B9930" t="n">
        <v>7.2</v>
      </c>
      <c r="C9930" t="n">
        <v>3.77</v>
      </c>
    </row>
    <row r="9931">
      <c r="A9931" s="28" t="n">
        <v>33627</v>
      </c>
      <c r="B9931" t="n">
        <v>7.25</v>
      </c>
      <c r="C9931" t="n">
        <v>3.81</v>
      </c>
    </row>
    <row r="9932">
      <c r="A9932" s="28" t="n">
        <v>33630</v>
      </c>
      <c r="B9932" t="n">
        <v>7.24</v>
      </c>
      <c r="C9932" t="n">
        <v>3.85</v>
      </c>
    </row>
    <row r="9933">
      <c r="A9933" s="28" t="n">
        <v>33631</v>
      </c>
      <c r="B9933" t="n">
        <v>7.16</v>
      </c>
      <c r="C9933" t="n">
        <v>3.83</v>
      </c>
    </row>
    <row r="9934">
      <c r="A9934" s="28" t="n">
        <v>33632</v>
      </c>
      <c r="B9934" t="n">
        <v>7.25</v>
      </c>
      <c r="C9934" t="n">
        <v>3.86</v>
      </c>
    </row>
    <row r="9935">
      <c r="A9935" s="28" t="n">
        <v>33633</v>
      </c>
      <c r="B9935" t="n">
        <v>7.31</v>
      </c>
      <c r="C9935" t="n">
        <v>3.83</v>
      </c>
    </row>
    <row r="9936">
      <c r="A9936" s="28" t="n">
        <v>33634</v>
      </c>
      <c r="B9936" t="n">
        <v>7.31</v>
      </c>
      <c r="C9936" t="n">
        <v>3.84</v>
      </c>
    </row>
    <row r="9937">
      <c r="A9937" s="28" t="n">
        <v>33637</v>
      </c>
      <c r="B9937" t="n">
        <v>7.36</v>
      </c>
      <c r="C9937" t="n">
        <v>3.84</v>
      </c>
    </row>
    <row r="9938">
      <c r="A9938" s="28" t="n">
        <v>33638</v>
      </c>
      <c r="B9938" t="n">
        <v>7.29</v>
      </c>
      <c r="C9938" t="n">
        <v>3.84</v>
      </c>
    </row>
    <row r="9939">
      <c r="A9939" s="28" t="n">
        <v>33639</v>
      </c>
      <c r="B9939" t="n">
        <v>7.21</v>
      </c>
      <c r="C9939" t="n">
        <v>3.84</v>
      </c>
    </row>
    <row r="9940">
      <c r="A9940" s="28" t="n">
        <v>33640</v>
      </c>
      <c r="B9940" t="n">
        <v>7.2</v>
      </c>
      <c r="C9940" t="n">
        <v>3.81</v>
      </c>
    </row>
    <row r="9941">
      <c r="A9941" s="28" t="n">
        <v>33641</v>
      </c>
      <c r="B9941" t="n">
        <v>7.2</v>
      </c>
      <c r="C9941" t="n">
        <v>3.74</v>
      </c>
    </row>
    <row r="9942">
      <c r="A9942" s="28" t="n">
        <v>33644</v>
      </c>
      <c r="B9942" t="n">
        <v>7.21</v>
      </c>
      <c r="C9942" t="n">
        <v>3.73</v>
      </c>
    </row>
    <row r="9943">
      <c r="A9943" s="28" t="n">
        <v>33645</v>
      </c>
      <c r="B9943" t="n">
        <v>7.23</v>
      </c>
      <c r="C9943" t="n">
        <v>3.75</v>
      </c>
    </row>
    <row r="9944">
      <c r="A9944" s="28" t="n">
        <v>33646</v>
      </c>
      <c r="B9944" t="n">
        <v>7.3</v>
      </c>
      <c r="C9944" t="n">
        <v>3.75</v>
      </c>
    </row>
    <row r="9945">
      <c r="A9945" s="28" t="n">
        <v>33647</v>
      </c>
      <c r="B9945" t="n">
        <v>7.4</v>
      </c>
      <c r="C9945" t="n">
        <v>3.79</v>
      </c>
    </row>
    <row r="9946">
      <c r="A9946" s="28" t="n">
        <v>33648</v>
      </c>
      <c r="B9946" t="n">
        <v>7.41</v>
      </c>
      <c r="C9946" t="n">
        <v>3.79</v>
      </c>
    </row>
    <row r="9947">
      <c r="A9947" s="28" t="n">
        <v>33651</v>
      </c>
      <c r="B9947" t="n">
        <v>0</v>
      </c>
      <c r="C9947" t="n">
        <v>0</v>
      </c>
    </row>
    <row r="9948">
      <c r="A9948" s="28" t="n">
        <v>33652</v>
      </c>
      <c r="B9948" t="n">
        <v>7.47</v>
      </c>
      <c r="C9948" t="n">
        <v>3.81</v>
      </c>
    </row>
    <row r="9949">
      <c r="A9949" s="28" t="n">
        <v>33653</v>
      </c>
      <c r="B9949" t="n">
        <v>7.42</v>
      </c>
      <c r="C9949" t="n">
        <v>3.85</v>
      </c>
    </row>
    <row r="9950">
      <c r="A9950" s="28" t="n">
        <v>33654</v>
      </c>
      <c r="B9950" t="n">
        <v>7.41</v>
      </c>
      <c r="C9950" t="n">
        <v>3.88</v>
      </c>
    </row>
    <row r="9951">
      <c r="A9951" s="28" t="n">
        <v>33655</v>
      </c>
      <c r="B9951" t="n">
        <v>7.45</v>
      </c>
      <c r="C9951" t="n">
        <v>3.93</v>
      </c>
    </row>
    <row r="9952">
      <c r="A9952" s="28" t="n">
        <v>33658</v>
      </c>
      <c r="B9952" t="n">
        <v>7.47</v>
      </c>
      <c r="C9952" t="n">
        <v>3.93</v>
      </c>
    </row>
    <row r="9953">
      <c r="A9953" s="28" t="n">
        <v>33659</v>
      </c>
      <c r="B9953" t="n">
        <v>7.44</v>
      </c>
      <c r="C9953" t="n">
        <v>3.96</v>
      </c>
    </row>
    <row r="9954">
      <c r="A9954" s="28" t="n">
        <v>33660</v>
      </c>
      <c r="B9954" t="n">
        <v>7.33</v>
      </c>
      <c r="C9954" t="n">
        <v>3.94</v>
      </c>
    </row>
    <row r="9955">
      <c r="A9955" s="28" t="n">
        <v>33661</v>
      </c>
      <c r="B9955" t="n">
        <v>7.35</v>
      </c>
      <c r="C9955" t="n">
        <v>3.93</v>
      </c>
    </row>
    <row r="9956">
      <c r="A9956" s="28" t="n">
        <v>33662</v>
      </c>
      <c r="B9956" t="n">
        <v>7.27</v>
      </c>
      <c r="C9956" t="n">
        <v>3.93</v>
      </c>
    </row>
    <row r="9957">
      <c r="A9957" s="28" t="n">
        <v>33665</v>
      </c>
      <c r="B9957" t="n">
        <v>7.38</v>
      </c>
      <c r="C9957" t="n">
        <v>4.03</v>
      </c>
    </row>
    <row r="9958">
      <c r="A9958" s="28" t="n">
        <v>33666</v>
      </c>
      <c r="B9958" t="n">
        <v>7.43</v>
      </c>
      <c r="C9958" t="n">
        <v>4.04</v>
      </c>
    </row>
    <row r="9959">
      <c r="A9959" s="28" t="n">
        <v>33667</v>
      </c>
      <c r="B9959" t="n">
        <v>7.43</v>
      </c>
      <c r="C9959" t="n">
        <v>4.03</v>
      </c>
    </row>
    <row r="9960">
      <c r="A9960" s="28" t="n">
        <v>33668</v>
      </c>
      <c r="B9960" t="n">
        <v>7.51</v>
      </c>
      <c r="C9960" t="n">
        <v>4.04</v>
      </c>
    </row>
    <row r="9961">
      <c r="A9961" s="28" t="n">
        <v>33669</v>
      </c>
      <c r="B9961" t="n">
        <v>7.48</v>
      </c>
      <c r="C9961" t="n">
        <v>4.04</v>
      </c>
    </row>
    <row r="9962">
      <c r="A9962" s="28" t="n">
        <v>33672</v>
      </c>
      <c r="B9962" t="n">
        <v>7.42</v>
      </c>
      <c r="C9962" t="n">
        <v>4.01</v>
      </c>
    </row>
    <row r="9963">
      <c r="A9963" s="28" t="n">
        <v>33673</v>
      </c>
      <c r="B9963" t="n">
        <v>7.43</v>
      </c>
      <c r="C9963" t="n">
        <v>4.01</v>
      </c>
    </row>
    <row r="9964">
      <c r="A9964" s="28" t="n">
        <v>33674</v>
      </c>
      <c r="B9964" t="n">
        <v>7.51</v>
      </c>
      <c r="C9964" t="n">
        <v>4.01</v>
      </c>
    </row>
    <row r="9965">
      <c r="A9965" s="28" t="n">
        <v>33675</v>
      </c>
      <c r="B9965" t="n">
        <v>7.62</v>
      </c>
      <c r="C9965" t="n">
        <v>4.02</v>
      </c>
    </row>
    <row r="9966">
      <c r="A9966" s="28" t="n">
        <v>33676</v>
      </c>
      <c r="B9966" t="n">
        <v>7.71</v>
      </c>
      <c r="C9966" t="n">
        <v>4.06</v>
      </c>
    </row>
    <row r="9967">
      <c r="A9967" s="28" t="n">
        <v>33679</v>
      </c>
      <c r="B9967" t="n">
        <v>7.69</v>
      </c>
      <c r="C9967" t="n">
        <v>4.06</v>
      </c>
    </row>
    <row r="9968">
      <c r="A9968" s="28" t="n">
        <v>33680</v>
      </c>
      <c r="B9968" t="n">
        <v>7.62</v>
      </c>
      <c r="C9968" t="n">
        <v>4.06</v>
      </c>
    </row>
    <row r="9969">
      <c r="A9969" s="28" t="n">
        <v>33681</v>
      </c>
      <c r="B9969" t="n">
        <v>7.62</v>
      </c>
      <c r="C9969" t="n">
        <v>4.05</v>
      </c>
    </row>
    <row r="9970">
      <c r="A9970" s="28" t="n">
        <v>33682</v>
      </c>
      <c r="B9970" t="n">
        <v>7.57</v>
      </c>
      <c r="C9970" t="n">
        <v>4.05</v>
      </c>
    </row>
    <row r="9971">
      <c r="A9971" s="28" t="n">
        <v>33683</v>
      </c>
      <c r="B9971" t="n">
        <v>7.64</v>
      </c>
      <c r="C9971" t="n">
        <v>4.06</v>
      </c>
    </row>
    <row r="9972">
      <c r="A9972" s="28" t="n">
        <v>33686</v>
      </c>
      <c r="B9972" t="n">
        <v>7.62</v>
      </c>
      <c r="C9972" t="n">
        <v>4.08</v>
      </c>
    </row>
    <row r="9973">
      <c r="A9973" s="28" t="n">
        <v>33687</v>
      </c>
      <c r="B9973" t="n">
        <v>7.53</v>
      </c>
      <c r="C9973" t="n">
        <v>4.05</v>
      </c>
    </row>
    <row r="9974">
      <c r="A9974" s="28" t="n">
        <v>33688</v>
      </c>
      <c r="B9974" t="n">
        <v>7.53</v>
      </c>
      <c r="C9974" t="n">
        <v>4.01</v>
      </c>
    </row>
    <row r="9975">
      <c r="A9975" s="28" t="n">
        <v>33689</v>
      </c>
      <c r="B9975" t="n">
        <v>7.57</v>
      </c>
      <c r="C9975" t="n">
        <v>4.01</v>
      </c>
    </row>
    <row r="9976">
      <c r="A9976" s="28" t="n">
        <v>33690</v>
      </c>
      <c r="B9976" t="n">
        <v>7.54</v>
      </c>
      <c r="C9976" t="n">
        <v>4.01</v>
      </c>
    </row>
    <row r="9977">
      <c r="A9977" s="28" t="n">
        <v>33693</v>
      </c>
      <c r="B9977" t="n">
        <v>7.54</v>
      </c>
      <c r="C9977" t="n">
        <v>4.01</v>
      </c>
    </row>
    <row r="9978">
      <c r="A9978" s="28" t="n">
        <v>33694</v>
      </c>
      <c r="B9978" t="n">
        <v>7.54</v>
      </c>
      <c r="C9978" t="n">
        <v>4.05</v>
      </c>
    </row>
    <row r="9979">
      <c r="A9979" s="28" t="n">
        <v>33695</v>
      </c>
      <c r="B9979" t="n">
        <v>7.46</v>
      </c>
      <c r="C9979" t="n">
        <v>4.01</v>
      </c>
    </row>
    <row r="9980">
      <c r="A9980" s="28" t="n">
        <v>33696</v>
      </c>
      <c r="B9980" t="n">
        <v>7.47</v>
      </c>
      <c r="C9980" t="n">
        <v>4.02</v>
      </c>
    </row>
    <row r="9981">
      <c r="A9981" s="28" t="n">
        <v>33697</v>
      </c>
      <c r="B9981" t="n">
        <v>7.42</v>
      </c>
      <c r="C9981" t="n">
        <v>3.96</v>
      </c>
    </row>
    <row r="9982">
      <c r="A9982" s="28" t="n">
        <v>33700</v>
      </c>
      <c r="B9982" t="n">
        <v>7.41</v>
      </c>
      <c r="C9982" t="n">
        <v>3.96</v>
      </c>
    </row>
    <row r="9983">
      <c r="A9983" s="28" t="n">
        <v>33701</v>
      </c>
      <c r="B9983" t="n">
        <v>7.41</v>
      </c>
      <c r="C9983" t="n">
        <v>3.87</v>
      </c>
    </row>
    <row r="9984">
      <c r="A9984" s="28" t="n">
        <v>33702</v>
      </c>
      <c r="B9984" t="n">
        <v>7.44</v>
      </c>
      <c r="C9984" t="n">
        <v>3.87</v>
      </c>
    </row>
    <row r="9985">
      <c r="A9985" s="28" t="n">
        <v>33703</v>
      </c>
      <c r="B9985" t="n">
        <v>7.35</v>
      </c>
      <c r="C9985" t="n">
        <v>3.66</v>
      </c>
    </row>
    <row r="9986">
      <c r="A9986" s="28" t="n">
        <v>33704</v>
      </c>
      <c r="B9986" t="n">
        <v>7.37</v>
      </c>
      <c r="C9986" t="n">
        <v>3.65</v>
      </c>
    </row>
    <row r="9987">
      <c r="A9987" s="28" t="n">
        <v>33707</v>
      </c>
      <c r="B9987" t="n">
        <v>7.33</v>
      </c>
      <c r="C9987" t="n">
        <v>3.62</v>
      </c>
    </row>
    <row r="9988">
      <c r="A9988" s="28" t="n">
        <v>33708</v>
      </c>
      <c r="B9988" t="n">
        <v>7.35</v>
      </c>
      <c r="C9988" t="n">
        <v>3.62</v>
      </c>
    </row>
    <row r="9989">
      <c r="A9989" s="28" t="n">
        <v>33709</v>
      </c>
      <c r="B9989" t="n">
        <v>7.37</v>
      </c>
      <c r="C9989" t="n">
        <v>3.62</v>
      </c>
    </row>
    <row r="9990">
      <c r="A9990" s="28" t="n">
        <v>33710</v>
      </c>
      <c r="B9990" t="n">
        <v>7.45</v>
      </c>
      <c r="C9990" t="n">
        <v>3.65</v>
      </c>
    </row>
    <row r="9991">
      <c r="A9991" s="28" t="n">
        <v>33711</v>
      </c>
      <c r="B9991" t="n">
        <v>0</v>
      </c>
      <c r="C9991" t="n">
        <v>0</v>
      </c>
    </row>
    <row r="9992">
      <c r="A9992" s="28" t="n">
        <v>33714</v>
      </c>
      <c r="B9992" t="n">
        <v>7.59</v>
      </c>
      <c r="C9992" t="n">
        <v>3.69</v>
      </c>
    </row>
    <row r="9993">
      <c r="A9993" s="28" t="n">
        <v>33715</v>
      </c>
      <c r="B9993" t="n">
        <v>7.58</v>
      </c>
      <c r="C9993" t="n">
        <v>3.68</v>
      </c>
    </row>
    <row r="9994">
      <c r="A9994" s="28" t="n">
        <v>33716</v>
      </c>
      <c r="B9994" t="n">
        <v>7.57</v>
      </c>
      <c r="C9994" t="n">
        <v>3.68</v>
      </c>
    </row>
    <row r="9995">
      <c r="A9995" s="28" t="n">
        <v>33717</v>
      </c>
      <c r="B9995" t="n">
        <v>7.59</v>
      </c>
      <c r="C9995" t="n">
        <v>3.67</v>
      </c>
    </row>
    <row r="9996">
      <c r="A9996" s="28" t="n">
        <v>33718</v>
      </c>
      <c r="B9996" t="n">
        <v>7.55</v>
      </c>
      <c r="C9996" t="n">
        <v>3.67</v>
      </c>
    </row>
    <row r="9997">
      <c r="A9997" s="28" t="n">
        <v>33721</v>
      </c>
      <c r="B9997" t="n">
        <v>7.6</v>
      </c>
      <c r="C9997" t="n">
        <v>3.71</v>
      </c>
    </row>
    <row r="9998">
      <c r="A9998" s="28" t="n">
        <v>33722</v>
      </c>
      <c r="B9998" t="n">
        <v>7.57</v>
      </c>
      <c r="C9998" t="n">
        <v>3.71</v>
      </c>
    </row>
    <row r="9999">
      <c r="A9999" s="28" t="n">
        <v>33723</v>
      </c>
      <c r="B9999" t="n">
        <v>7.6</v>
      </c>
      <c r="C9999" t="n">
        <v>3.71</v>
      </c>
    </row>
    <row r="10000">
      <c r="A10000" s="28" t="n">
        <v>33724</v>
      </c>
      <c r="B10000" t="n">
        <v>7.61</v>
      </c>
      <c r="C10000" t="n">
        <v>3.7</v>
      </c>
    </row>
    <row r="10001">
      <c r="A10001" s="28" t="n">
        <v>33725</v>
      </c>
      <c r="B10001" t="n">
        <v>7.56</v>
      </c>
      <c r="C10001" t="n">
        <v>3.63</v>
      </c>
    </row>
    <row r="10002">
      <c r="A10002" s="28" t="n">
        <v>33728</v>
      </c>
      <c r="B10002" t="n">
        <v>7.58</v>
      </c>
      <c r="C10002" t="n">
        <v>3.64</v>
      </c>
    </row>
    <row r="10003">
      <c r="A10003" s="28" t="n">
        <v>33729</v>
      </c>
      <c r="B10003" t="n">
        <v>7.56</v>
      </c>
      <c r="C10003" t="n">
        <v>3.64</v>
      </c>
    </row>
    <row r="10004">
      <c r="A10004" s="28" t="n">
        <v>33730</v>
      </c>
      <c r="B10004" t="n">
        <v>7.46</v>
      </c>
      <c r="C10004" t="n">
        <v>3.62</v>
      </c>
    </row>
    <row r="10005">
      <c r="A10005" s="28" t="n">
        <v>33731</v>
      </c>
      <c r="B10005" t="n">
        <v>7.49</v>
      </c>
      <c r="C10005" t="n">
        <v>3.62</v>
      </c>
    </row>
    <row r="10006">
      <c r="A10006" s="28" t="n">
        <v>33732</v>
      </c>
      <c r="B10006" t="n">
        <v>7.41</v>
      </c>
      <c r="C10006" t="n">
        <v>3.63</v>
      </c>
    </row>
    <row r="10007">
      <c r="A10007" s="28" t="n">
        <v>33735</v>
      </c>
      <c r="B10007" t="n">
        <v>7.4</v>
      </c>
      <c r="C10007" t="n">
        <v>3.64</v>
      </c>
    </row>
    <row r="10008">
      <c r="A10008" s="28" t="n">
        <v>33736</v>
      </c>
      <c r="B10008" t="n">
        <v>7.36</v>
      </c>
      <c r="C10008" t="n">
        <v>3.62</v>
      </c>
    </row>
    <row r="10009">
      <c r="A10009" s="28" t="n">
        <v>33737</v>
      </c>
      <c r="B10009" t="n">
        <v>7.34</v>
      </c>
      <c r="C10009" t="n">
        <v>3.59</v>
      </c>
    </row>
    <row r="10010">
      <c r="A10010" s="28" t="n">
        <v>33738</v>
      </c>
      <c r="B10010" t="n">
        <v>7.34</v>
      </c>
      <c r="C10010" t="n">
        <v>3.57</v>
      </c>
    </row>
    <row r="10011">
      <c r="A10011" s="28" t="n">
        <v>33739</v>
      </c>
      <c r="B10011" t="n">
        <v>7.28</v>
      </c>
      <c r="C10011" t="n">
        <v>3.58</v>
      </c>
    </row>
    <row r="10012">
      <c r="A10012" s="28" t="n">
        <v>33742</v>
      </c>
      <c r="B10012" t="n">
        <v>7.28</v>
      </c>
      <c r="C10012" t="n">
        <v>3.6</v>
      </c>
    </row>
    <row r="10013">
      <c r="A10013" s="28" t="n">
        <v>33743</v>
      </c>
      <c r="B10013" t="n">
        <v>7.2</v>
      </c>
      <c r="C10013" t="n">
        <v>3.54</v>
      </c>
    </row>
    <row r="10014">
      <c r="A10014" s="28" t="n">
        <v>33744</v>
      </c>
      <c r="B10014" t="n">
        <v>7.25</v>
      </c>
      <c r="C10014" t="n">
        <v>3.57</v>
      </c>
    </row>
    <row r="10015">
      <c r="A10015" s="28" t="n">
        <v>33745</v>
      </c>
      <c r="B10015" t="n">
        <v>7.39</v>
      </c>
      <c r="C10015" t="n">
        <v>3.67</v>
      </c>
    </row>
    <row r="10016">
      <c r="A10016" s="28" t="n">
        <v>33746</v>
      </c>
      <c r="B10016" t="n">
        <v>7.35</v>
      </c>
      <c r="C10016" t="n">
        <v>3.68</v>
      </c>
    </row>
    <row r="10017">
      <c r="A10017" s="28" t="n">
        <v>33749</v>
      </c>
      <c r="B10017" t="n">
        <v>0</v>
      </c>
      <c r="C10017" t="n">
        <v>0</v>
      </c>
    </row>
    <row r="10018">
      <c r="A10018" s="28" t="n">
        <v>33750</v>
      </c>
      <c r="B10018" t="n">
        <v>7.46</v>
      </c>
      <c r="C10018" t="n">
        <v>3.74</v>
      </c>
    </row>
    <row r="10019">
      <c r="A10019" s="28" t="n">
        <v>33751</v>
      </c>
      <c r="B10019" t="n">
        <v>7.44</v>
      </c>
      <c r="C10019" t="n">
        <v>3.7</v>
      </c>
    </row>
    <row r="10020">
      <c r="A10020" s="28" t="n">
        <v>33752</v>
      </c>
      <c r="B10020" t="n">
        <v>7.36</v>
      </c>
      <c r="C10020" t="n">
        <v>3.68</v>
      </c>
    </row>
    <row r="10021">
      <c r="A10021" s="28" t="n">
        <v>33753</v>
      </c>
      <c r="B10021" t="n">
        <v>7.33</v>
      </c>
      <c r="C10021" t="n">
        <v>3.7</v>
      </c>
    </row>
    <row r="10022">
      <c r="A10022" s="28" t="n">
        <v>33756</v>
      </c>
      <c r="B10022" t="n">
        <v>7.39</v>
      </c>
      <c r="C10022" t="n">
        <v>3.75</v>
      </c>
    </row>
    <row r="10023">
      <c r="A10023" s="28" t="n">
        <v>33757</v>
      </c>
      <c r="B10023" t="n">
        <v>7.35</v>
      </c>
      <c r="C10023" t="n">
        <v>3.74</v>
      </c>
    </row>
    <row r="10024">
      <c r="A10024" s="28" t="n">
        <v>33758</v>
      </c>
      <c r="B10024" t="n">
        <v>7.34</v>
      </c>
      <c r="C10024" t="n">
        <v>3.71</v>
      </c>
    </row>
    <row r="10025">
      <c r="A10025" s="28" t="n">
        <v>33759</v>
      </c>
      <c r="B10025" t="n">
        <v>7.34</v>
      </c>
      <c r="C10025" t="n">
        <v>3.69</v>
      </c>
    </row>
    <row r="10026">
      <c r="A10026" s="28" t="n">
        <v>33760</v>
      </c>
      <c r="B10026" t="n">
        <v>7.31</v>
      </c>
      <c r="C10026" t="n">
        <v>3.68</v>
      </c>
    </row>
    <row r="10027">
      <c r="A10027" s="28" t="n">
        <v>33763</v>
      </c>
      <c r="B10027" t="n">
        <v>7.31</v>
      </c>
      <c r="C10027" t="n">
        <v>3.68</v>
      </c>
    </row>
    <row r="10028">
      <c r="A10028" s="28" t="n">
        <v>33764</v>
      </c>
      <c r="B10028" t="n">
        <v>7.33</v>
      </c>
      <c r="C10028" t="n">
        <v>3.68</v>
      </c>
    </row>
    <row r="10029">
      <c r="A10029" s="28" t="n">
        <v>33765</v>
      </c>
      <c r="B10029" t="n">
        <v>7.35</v>
      </c>
      <c r="C10029" t="n">
        <v>3.68</v>
      </c>
    </row>
    <row r="10030">
      <c r="A10030" s="28" t="n">
        <v>33766</v>
      </c>
      <c r="B10030" t="n">
        <v>7.33</v>
      </c>
      <c r="C10030" t="n">
        <v>3.66</v>
      </c>
    </row>
    <row r="10031">
      <c r="A10031" s="28" t="n">
        <v>33767</v>
      </c>
      <c r="B10031" t="n">
        <v>7.29</v>
      </c>
      <c r="C10031" t="n">
        <v>3.66</v>
      </c>
    </row>
    <row r="10032">
      <c r="A10032" s="28" t="n">
        <v>33770</v>
      </c>
      <c r="B10032" t="n">
        <v>7.28</v>
      </c>
      <c r="C10032" t="n">
        <v>3.65</v>
      </c>
    </row>
    <row r="10033">
      <c r="A10033" s="28" t="n">
        <v>33771</v>
      </c>
      <c r="B10033" t="n">
        <v>7.24</v>
      </c>
      <c r="C10033" t="n">
        <v>3.64</v>
      </c>
    </row>
    <row r="10034">
      <c r="A10034" s="28" t="n">
        <v>33772</v>
      </c>
      <c r="B10034" t="n">
        <v>7.23</v>
      </c>
      <c r="C10034" t="n">
        <v>3.62</v>
      </c>
    </row>
    <row r="10035">
      <c r="A10035" s="28" t="n">
        <v>33773</v>
      </c>
      <c r="B10035" t="n">
        <v>7.19</v>
      </c>
      <c r="C10035" t="n">
        <v>3.61</v>
      </c>
    </row>
    <row r="10036">
      <c r="A10036" s="28" t="n">
        <v>33774</v>
      </c>
      <c r="B10036" t="n">
        <v>7.24</v>
      </c>
      <c r="C10036" t="n">
        <v>3.65</v>
      </c>
    </row>
    <row r="10037">
      <c r="A10037" s="28" t="n">
        <v>33777</v>
      </c>
      <c r="B10037" t="n">
        <v>7.24</v>
      </c>
      <c r="C10037" t="n">
        <v>3.64</v>
      </c>
    </row>
    <row r="10038">
      <c r="A10038" s="28" t="n">
        <v>33778</v>
      </c>
      <c r="B10038" t="n">
        <v>7.25</v>
      </c>
      <c r="C10038" t="n">
        <v>3.68</v>
      </c>
    </row>
    <row r="10039">
      <c r="A10039" s="28" t="n">
        <v>33779</v>
      </c>
      <c r="B10039" t="n">
        <v>7.2</v>
      </c>
      <c r="C10039" t="n">
        <v>3.64</v>
      </c>
    </row>
    <row r="10040">
      <c r="A10040" s="28" t="n">
        <v>33780</v>
      </c>
      <c r="B10040" t="n">
        <v>7.14</v>
      </c>
      <c r="C10040" t="n">
        <v>3.62</v>
      </c>
    </row>
    <row r="10041">
      <c r="A10041" s="28" t="n">
        <v>33781</v>
      </c>
      <c r="B10041" t="n">
        <v>7.15</v>
      </c>
      <c r="C10041" t="n">
        <v>3.62</v>
      </c>
    </row>
    <row r="10042">
      <c r="A10042" s="28" t="n">
        <v>33784</v>
      </c>
      <c r="B10042" t="n">
        <v>7.12</v>
      </c>
      <c r="C10042" t="n">
        <v>3.57</v>
      </c>
    </row>
    <row r="10043">
      <c r="A10043" s="28" t="n">
        <v>33785</v>
      </c>
      <c r="B10043" t="n">
        <v>7.14</v>
      </c>
      <c r="C10043" t="n">
        <v>3.57</v>
      </c>
    </row>
    <row r="10044">
      <c r="A10044" s="28" t="n">
        <v>33786</v>
      </c>
      <c r="B10044" t="n">
        <v>7.1</v>
      </c>
      <c r="C10044" t="n">
        <v>3.55</v>
      </c>
    </row>
    <row r="10045">
      <c r="A10045" s="28" t="n">
        <v>33787</v>
      </c>
      <c r="B10045" t="n">
        <v>6.93</v>
      </c>
      <c r="C10045" t="n">
        <v>3.24</v>
      </c>
    </row>
    <row r="10046">
      <c r="A10046" s="28" t="n">
        <v>33788</v>
      </c>
      <c r="B10046" t="n">
        <v>0</v>
      </c>
      <c r="C10046" t="n">
        <v>0</v>
      </c>
    </row>
    <row r="10047">
      <c r="A10047" s="28" t="n">
        <v>33791</v>
      </c>
      <c r="B10047" t="n">
        <v>6.9</v>
      </c>
      <c r="C10047" t="n">
        <v>3.22</v>
      </c>
    </row>
    <row r="10048">
      <c r="A10048" s="28" t="n">
        <v>33792</v>
      </c>
      <c r="B10048" t="n">
        <v>6.87</v>
      </c>
      <c r="C10048" t="n">
        <v>3.21</v>
      </c>
    </row>
    <row r="10049">
      <c r="A10049" s="28" t="n">
        <v>33793</v>
      </c>
      <c r="B10049" t="n">
        <v>6.91</v>
      </c>
      <c r="C10049" t="n">
        <v>3.22</v>
      </c>
    </row>
    <row r="10050">
      <c r="A10050" s="28" t="n">
        <v>33794</v>
      </c>
      <c r="B10050" t="n">
        <v>6.91</v>
      </c>
      <c r="C10050" t="n">
        <v>3.21</v>
      </c>
    </row>
    <row r="10051">
      <c r="A10051" s="28" t="n">
        <v>33795</v>
      </c>
      <c r="B10051" t="n">
        <v>6.93</v>
      </c>
      <c r="C10051" t="n">
        <v>3.22</v>
      </c>
    </row>
    <row r="10052">
      <c r="A10052" s="28" t="n">
        <v>33798</v>
      </c>
      <c r="B10052" t="n">
        <v>6.97</v>
      </c>
      <c r="C10052" t="n">
        <v>3.21</v>
      </c>
    </row>
    <row r="10053">
      <c r="A10053" s="28" t="n">
        <v>33799</v>
      </c>
      <c r="B10053" t="n">
        <v>6.97</v>
      </c>
      <c r="C10053" t="n">
        <v>3.21</v>
      </c>
    </row>
    <row r="10054">
      <c r="A10054" s="28" t="n">
        <v>33800</v>
      </c>
      <c r="B10054" t="n">
        <v>6.9</v>
      </c>
      <c r="C10054" t="n">
        <v>3.18</v>
      </c>
    </row>
    <row r="10055">
      <c r="A10055" s="28" t="n">
        <v>33801</v>
      </c>
      <c r="B10055" t="n">
        <v>6.87</v>
      </c>
      <c r="C10055" t="n">
        <v>3.17</v>
      </c>
    </row>
    <row r="10056">
      <c r="A10056" s="28" t="n">
        <v>33802</v>
      </c>
      <c r="B10056" t="n">
        <v>6.9</v>
      </c>
      <c r="C10056" t="n">
        <v>3.16</v>
      </c>
    </row>
    <row r="10057">
      <c r="A10057" s="28" t="n">
        <v>33805</v>
      </c>
      <c r="B10057" t="n">
        <v>6.9</v>
      </c>
      <c r="C10057" t="n">
        <v>3.18</v>
      </c>
    </row>
    <row r="10058">
      <c r="A10058" s="28" t="n">
        <v>33806</v>
      </c>
      <c r="B10058" t="n">
        <v>6.89</v>
      </c>
      <c r="C10058" t="n">
        <v>3.19</v>
      </c>
    </row>
    <row r="10059">
      <c r="A10059" s="28" t="n">
        <v>33807</v>
      </c>
      <c r="B10059" t="n">
        <v>6.85</v>
      </c>
      <c r="C10059" t="n">
        <v>3.17</v>
      </c>
    </row>
    <row r="10060">
      <c r="A10060" s="28" t="n">
        <v>33808</v>
      </c>
      <c r="B10060" t="n">
        <v>6.72</v>
      </c>
      <c r="C10060" t="n">
        <v>3.16</v>
      </c>
    </row>
    <row r="10061">
      <c r="A10061" s="28" t="n">
        <v>33809</v>
      </c>
      <c r="B10061" t="n">
        <v>6.73</v>
      </c>
      <c r="C10061" t="n">
        <v>3.16</v>
      </c>
    </row>
    <row r="10062">
      <c r="A10062" s="28" t="n">
        <v>33812</v>
      </c>
      <c r="B10062" t="n">
        <v>6.69</v>
      </c>
      <c r="C10062" t="n">
        <v>3.19</v>
      </c>
    </row>
    <row r="10063">
      <c r="A10063" s="28" t="n">
        <v>33813</v>
      </c>
      <c r="B10063" t="n">
        <v>6.63</v>
      </c>
      <c r="C10063" t="n">
        <v>3.19</v>
      </c>
    </row>
    <row r="10064">
      <c r="A10064" s="28" t="n">
        <v>33814</v>
      </c>
      <c r="B10064" t="n">
        <v>6.6</v>
      </c>
      <c r="C10064" t="n">
        <v>3.18</v>
      </c>
    </row>
    <row r="10065">
      <c r="A10065" s="28" t="n">
        <v>33815</v>
      </c>
      <c r="B10065" t="n">
        <v>6.69</v>
      </c>
      <c r="C10065" t="n">
        <v>3.18</v>
      </c>
    </row>
    <row r="10066">
      <c r="A10066" s="28" t="n">
        <v>33816</v>
      </c>
      <c r="B10066" t="n">
        <v>6.72</v>
      </c>
      <c r="C10066" t="n">
        <v>3.18</v>
      </c>
    </row>
    <row r="10067">
      <c r="A10067" s="28" t="n">
        <v>33819</v>
      </c>
      <c r="B10067" t="n">
        <v>6.72</v>
      </c>
      <c r="C10067" t="n">
        <v>3.17</v>
      </c>
    </row>
    <row r="10068">
      <c r="A10068" s="28" t="n">
        <v>33820</v>
      </c>
      <c r="B10068" t="n">
        <v>6.66</v>
      </c>
      <c r="C10068" t="n">
        <v>3.17</v>
      </c>
    </row>
    <row r="10069">
      <c r="A10069" s="28" t="n">
        <v>33821</v>
      </c>
      <c r="B10069" t="n">
        <v>6.64</v>
      </c>
      <c r="C10069" t="n">
        <v>3.17</v>
      </c>
    </row>
    <row r="10070">
      <c r="A10070" s="28" t="n">
        <v>33822</v>
      </c>
      <c r="B10070" t="n">
        <v>6.65</v>
      </c>
      <c r="C10070" t="n">
        <v>3.16</v>
      </c>
    </row>
    <row r="10071">
      <c r="A10071" s="28" t="n">
        <v>33823</v>
      </c>
      <c r="B10071" t="n">
        <v>6.57</v>
      </c>
      <c r="C10071" t="n">
        <v>3.14</v>
      </c>
    </row>
    <row r="10072">
      <c r="A10072" s="28" t="n">
        <v>33826</v>
      </c>
      <c r="B10072" t="n">
        <v>6.52</v>
      </c>
      <c r="C10072" t="n">
        <v>3.13</v>
      </c>
    </row>
    <row r="10073">
      <c r="A10073" s="28" t="n">
        <v>33827</v>
      </c>
      <c r="B10073" t="n">
        <v>6.5</v>
      </c>
      <c r="C10073" t="n">
        <v>3.13</v>
      </c>
    </row>
    <row r="10074">
      <c r="A10074" s="28" t="n">
        <v>33828</v>
      </c>
      <c r="B10074" t="n">
        <v>6.48</v>
      </c>
      <c r="C10074" t="n">
        <v>3.12</v>
      </c>
    </row>
    <row r="10075">
      <c r="A10075" s="28" t="n">
        <v>33829</v>
      </c>
      <c r="B10075" t="n">
        <v>6.55</v>
      </c>
      <c r="C10075" t="n">
        <v>3.09</v>
      </c>
    </row>
    <row r="10076">
      <c r="A10076" s="28" t="n">
        <v>33830</v>
      </c>
      <c r="B10076" t="n">
        <v>6.53</v>
      </c>
      <c r="C10076" t="n">
        <v>3.06</v>
      </c>
    </row>
    <row r="10077">
      <c r="A10077" s="28" t="n">
        <v>33833</v>
      </c>
      <c r="B10077" t="n">
        <v>6.56</v>
      </c>
      <c r="C10077" t="n">
        <v>3.07</v>
      </c>
    </row>
    <row r="10078">
      <c r="A10078" s="28" t="n">
        <v>33834</v>
      </c>
      <c r="B10078" t="n">
        <v>6.48</v>
      </c>
      <c r="C10078" t="n">
        <v>3.07</v>
      </c>
    </row>
    <row r="10079">
      <c r="A10079" s="28" t="n">
        <v>33835</v>
      </c>
      <c r="B10079" t="n">
        <v>6.47</v>
      </c>
      <c r="C10079" t="n">
        <v>3.08</v>
      </c>
    </row>
    <row r="10080">
      <c r="A10080" s="28" t="n">
        <v>33836</v>
      </c>
      <c r="B10080" t="n">
        <v>6.46</v>
      </c>
      <c r="C10080" t="n">
        <v>3.08</v>
      </c>
    </row>
    <row r="10081">
      <c r="A10081" s="28" t="n">
        <v>33837</v>
      </c>
      <c r="B10081" t="n">
        <v>6.53</v>
      </c>
      <c r="C10081" t="n">
        <v>3.07</v>
      </c>
    </row>
    <row r="10082">
      <c r="A10082" s="28" t="n">
        <v>33840</v>
      </c>
      <c r="B10082" t="n">
        <v>6.68</v>
      </c>
      <c r="C10082" t="n">
        <v>3.15</v>
      </c>
    </row>
    <row r="10083">
      <c r="A10083" s="28" t="n">
        <v>33841</v>
      </c>
      <c r="B10083" t="n">
        <v>6.73</v>
      </c>
      <c r="C10083" t="n">
        <v>3.17</v>
      </c>
    </row>
    <row r="10084">
      <c r="A10084" s="28" t="n">
        <v>33842</v>
      </c>
      <c r="B10084" t="n">
        <v>6.68</v>
      </c>
      <c r="C10084" t="n">
        <v>3.16</v>
      </c>
    </row>
    <row r="10085">
      <c r="A10085" s="28" t="n">
        <v>33843</v>
      </c>
      <c r="B10085" t="n">
        <v>6.64</v>
      </c>
      <c r="C10085" t="n">
        <v>3.16</v>
      </c>
    </row>
    <row r="10086">
      <c r="A10086" s="28" t="n">
        <v>33844</v>
      </c>
      <c r="B10086" t="n">
        <v>6.63</v>
      </c>
      <c r="C10086" t="n">
        <v>3.16</v>
      </c>
    </row>
    <row r="10087">
      <c r="A10087" s="28" t="n">
        <v>33847</v>
      </c>
      <c r="B10087" t="n">
        <v>6.62</v>
      </c>
      <c r="C10087" t="n">
        <v>3.16</v>
      </c>
    </row>
    <row r="10088">
      <c r="A10088" s="28" t="n">
        <v>33848</v>
      </c>
      <c r="B10088" t="n">
        <v>6.56</v>
      </c>
      <c r="C10088" t="n">
        <v>3.15</v>
      </c>
    </row>
    <row r="10089">
      <c r="A10089" s="28" t="n">
        <v>33849</v>
      </c>
      <c r="B10089" t="n">
        <v>6.54</v>
      </c>
      <c r="C10089" t="n">
        <v>3.14</v>
      </c>
    </row>
    <row r="10090">
      <c r="A10090" s="28" t="n">
        <v>33850</v>
      </c>
      <c r="B10090" t="n">
        <v>6.54</v>
      </c>
      <c r="C10090" t="n">
        <v>3.14</v>
      </c>
    </row>
    <row r="10091">
      <c r="A10091" s="28" t="n">
        <v>33851</v>
      </c>
      <c r="B10091" t="n">
        <v>6.4</v>
      </c>
      <c r="C10091" t="n">
        <v>2.92</v>
      </c>
    </row>
    <row r="10092">
      <c r="A10092" s="28" t="n">
        <v>33854</v>
      </c>
      <c r="B10092" t="n">
        <v>0</v>
      </c>
      <c r="C10092" t="n">
        <v>0</v>
      </c>
    </row>
    <row r="10093">
      <c r="A10093" s="28" t="n">
        <v>33855</v>
      </c>
      <c r="B10093" t="n">
        <v>6.29</v>
      </c>
      <c r="C10093" t="n">
        <v>2.9</v>
      </c>
    </row>
    <row r="10094">
      <c r="A10094" s="28" t="n">
        <v>33856</v>
      </c>
      <c r="B10094" t="n">
        <v>6.31</v>
      </c>
      <c r="C10094" t="n">
        <v>2.91</v>
      </c>
    </row>
    <row r="10095">
      <c r="A10095" s="28" t="n">
        <v>33857</v>
      </c>
      <c r="B10095" t="n">
        <v>6.31</v>
      </c>
      <c r="C10095" t="n">
        <v>2.91</v>
      </c>
    </row>
    <row r="10096">
      <c r="A10096" s="28" t="n">
        <v>33858</v>
      </c>
      <c r="B10096" t="n">
        <v>6.37</v>
      </c>
      <c r="C10096" t="n">
        <v>2.92</v>
      </c>
    </row>
    <row r="10097">
      <c r="A10097" s="28" t="n">
        <v>33861</v>
      </c>
      <c r="B10097" t="n">
        <v>6.32</v>
      </c>
      <c r="C10097" t="n">
        <v>2.89</v>
      </c>
    </row>
    <row r="10098">
      <c r="A10098" s="28" t="n">
        <v>33862</v>
      </c>
      <c r="B10098" t="n">
        <v>6.4</v>
      </c>
      <c r="C10098" t="n">
        <v>2.92</v>
      </c>
    </row>
    <row r="10099">
      <c r="A10099" s="28" t="n">
        <v>33863</v>
      </c>
      <c r="B10099" t="n">
        <v>6.41</v>
      </c>
      <c r="C10099" t="n">
        <v>2.9</v>
      </c>
    </row>
    <row r="10100">
      <c r="A10100" s="28" t="n">
        <v>33864</v>
      </c>
      <c r="B10100" t="n">
        <v>6.4</v>
      </c>
      <c r="C10100" t="n">
        <v>2.88</v>
      </c>
    </row>
    <row r="10101">
      <c r="A10101" s="28" t="n">
        <v>33865</v>
      </c>
      <c r="B10101" t="n">
        <v>6.41</v>
      </c>
      <c r="C10101" t="n">
        <v>2.88</v>
      </c>
    </row>
    <row r="10102">
      <c r="A10102" s="28" t="n">
        <v>33868</v>
      </c>
      <c r="B10102" t="n">
        <v>6.42</v>
      </c>
      <c r="C10102" t="n">
        <v>2.91</v>
      </c>
    </row>
    <row r="10103">
      <c r="A10103" s="28" t="n">
        <v>33869</v>
      </c>
      <c r="B10103" t="n">
        <v>6.5</v>
      </c>
      <c r="C10103" t="n">
        <v>2.92</v>
      </c>
    </row>
    <row r="10104">
      <c r="A10104" s="28" t="n">
        <v>33870</v>
      </c>
      <c r="B10104" t="n">
        <v>6.54</v>
      </c>
      <c r="C10104" t="n">
        <v>2.92</v>
      </c>
    </row>
    <row r="10105">
      <c r="A10105" s="28" t="n">
        <v>33871</v>
      </c>
      <c r="B10105" t="n">
        <v>6.48</v>
      </c>
      <c r="C10105" t="n">
        <v>2.89</v>
      </c>
    </row>
    <row r="10106">
      <c r="A10106" s="28" t="n">
        <v>33872</v>
      </c>
      <c r="B10106" t="n">
        <v>6.41</v>
      </c>
      <c r="C10106" t="n">
        <v>2.8</v>
      </c>
    </row>
    <row r="10107">
      <c r="A10107" s="28" t="n">
        <v>33875</v>
      </c>
      <c r="B10107" t="n">
        <v>6.37</v>
      </c>
      <c r="C10107" t="n">
        <v>2.78</v>
      </c>
    </row>
    <row r="10108">
      <c r="A10108" s="28" t="n">
        <v>33876</v>
      </c>
      <c r="B10108" t="n">
        <v>6.37</v>
      </c>
      <c r="C10108" t="n">
        <v>2.73</v>
      </c>
    </row>
    <row r="10109">
      <c r="A10109" s="28" t="n">
        <v>33877</v>
      </c>
      <c r="B10109" t="n">
        <v>6.37</v>
      </c>
      <c r="C10109" t="n">
        <v>2.69</v>
      </c>
    </row>
    <row r="10110">
      <c r="A10110" s="28" t="n">
        <v>33878</v>
      </c>
      <c r="B10110" t="n">
        <v>6.23</v>
      </c>
      <c r="C10110" t="n">
        <v>2.61</v>
      </c>
    </row>
    <row r="10111">
      <c r="A10111" s="28" t="n">
        <v>33879</v>
      </c>
      <c r="B10111" t="n">
        <v>6.26</v>
      </c>
      <c r="C10111" t="n">
        <v>2.63</v>
      </c>
    </row>
    <row r="10112">
      <c r="A10112" s="28" t="n">
        <v>33882</v>
      </c>
      <c r="B10112" t="n">
        <v>6.24</v>
      </c>
      <c r="C10112" t="n">
        <v>2.64</v>
      </c>
    </row>
    <row r="10113">
      <c r="A10113" s="28" t="n">
        <v>33883</v>
      </c>
      <c r="B10113" t="n">
        <v>6.3</v>
      </c>
      <c r="C10113" t="n">
        <v>2.73</v>
      </c>
    </row>
    <row r="10114">
      <c r="A10114" s="28" t="n">
        <v>33884</v>
      </c>
      <c r="B10114" t="n">
        <v>6.46</v>
      </c>
      <c r="C10114" t="n">
        <v>2.83</v>
      </c>
    </row>
    <row r="10115">
      <c r="A10115" s="28" t="n">
        <v>33885</v>
      </c>
      <c r="B10115" t="n">
        <v>6.41</v>
      </c>
      <c r="C10115" t="n">
        <v>2.79</v>
      </c>
    </row>
    <row r="10116">
      <c r="A10116" s="28" t="n">
        <v>33886</v>
      </c>
      <c r="B10116" t="n">
        <v>6.52</v>
      </c>
      <c r="C10116" t="n">
        <v>2.83</v>
      </c>
    </row>
    <row r="10117">
      <c r="A10117" s="28" t="n">
        <v>33889</v>
      </c>
      <c r="B10117" t="n">
        <v>0</v>
      </c>
      <c r="C10117" t="n">
        <v>0</v>
      </c>
    </row>
    <row r="10118">
      <c r="A10118" s="28" t="n">
        <v>33890</v>
      </c>
      <c r="B10118" t="n">
        <v>6.51</v>
      </c>
      <c r="C10118" t="n">
        <v>2.86</v>
      </c>
    </row>
    <row r="10119">
      <c r="A10119" s="28" t="n">
        <v>33891</v>
      </c>
      <c r="B10119" t="n">
        <v>6.51</v>
      </c>
      <c r="C10119" t="n">
        <v>2.93</v>
      </c>
    </row>
    <row r="10120">
      <c r="A10120" s="28" t="n">
        <v>33892</v>
      </c>
      <c r="B10120" t="n">
        <v>6.53</v>
      </c>
      <c r="C10120" t="n">
        <v>2.92</v>
      </c>
    </row>
    <row r="10121">
      <c r="A10121" s="28" t="n">
        <v>33893</v>
      </c>
      <c r="B10121" t="n">
        <v>6.6</v>
      </c>
      <c r="C10121" t="n">
        <v>2.9</v>
      </c>
    </row>
    <row r="10122">
      <c r="A10122" s="28" t="n">
        <v>33896</v>
      </c>
      <c r="B10122" t="n">
        <v>6.69</v>
      </c>
      <c r="C10122" t="n">
        <v>2.97</v>
      </c>
    </row>
    <row r="10123">
      <c r="A10123" s="28" t="n">
        <v>33897</v>
      </c>
      <c r="B10123" t="n">
        <v>6.86</v>
      </c>
      <c r="C10123" t="n">
        <v>3.02</v>
      </c>
    </row>
    <row r="10124">
      <c r="A10124" s="28" t="n">
        <v>33898</v>
      </c>
      <c r="B10124" t="n">
        <v>6.8</v>
      </c>
      <c r="C10124" t="n">
        <v>2.93</v>
      </c>
    </row>
    <row r="10125">
      <c r="A10125" s="28" t="n">
        <v>33899</v>
      </c>
      <c r="B10125" t="n">
        <v>6.74</v>
      </c>
      <c r="C10125" t="n">
        <v>2.91</v>
      </c>
    </row>
    <row r="10126">
      <c r="A10126" s="28" t="n">
        <v>33900</v>
      </c>
      <c r="B10126" t="n">
        <v>6.83</v>
      </c>
      <c r="C10126" t="n">
        <v>2.93</v>
      </c>
    </row>
    <row r="10127">
      <c r="A10127" s="28" t="n">
        <v>33903</v>
      </c>
      <c r="B10127" t="n">
        <v>6.83</v>
      </c>
      <c r="C10127" t="n">
        <v>2.92</v>
      </c>
    </row>
    <row r="10128">
      <c r="A10128" s="28" t="n">
        <v>33904</v>
      </c>
      <c r="B10128" t="n">
        <v>6.78</v>
      </c>
      <c r="C10128" t="n">
        <v>2.94</v>
      </c>
    </row>
    <row r="10129">
      <c r="A10129" s="28" t="n">
        <v>33905</v>
      </c>
      <c r="B10129" t="n">
        <v>6.76</v>
      </c>
      <c r="C10129" t="n">
        <v>2.94</v>
      </c>
    </row>
    <row r="10130">
      <c r="A10130" s="28" t="n">
        <v>33906</v>
      </c>
      <c r="B10130" t="n">
        <v>6.71</v>
      </c>
      <c r="C10130" t="n">
        <v>2.95</v>
      </c>
    </row>
    <row r="10131">
      <c r="A10131" s="28" t="n">
        <v>33907</v>
      </c>
      <c r="B10131" t="n">
        <v>6.8</v>
      </c>
      <c r="C10131" t="n">
        <v>2.96</v>
      </c>
    </row>
    <row r="10132">
      <c r="A10132" s="28" t="n">
        <v>33910</v>
      </c>
      <c r="B10132" t="n">
        <v>6.88</v>
      </c>
      <c r="C10132" t="n">
        <v>3.01</v>
      </c>
    </row>
    <row r="10133">
      <c r="A10133" s="28" t="n">
        <v>33911</v>
      </c>
      <c r="B10133" t="n">
        <v>6.87</v>
      </c>
      <c r="C10133" t="n">
        <v>3.03</v>
      </c>
    </row>
    <row r="10134">
      <c r="A10134" s="28" t="n">
        <v>33912</v>
      </c>
      <c r="B10134" t="n">
        <v>6.89</v>
      </c>
      <c r="C10134" t="n">
        <v>3.02</v>
      </c>
    </row>
    <row r="10135">
      <c r="A10135" s="28" t="n">
        <v>33913</v>
      </c>
      <c r="B10135" t="n">
        <v>6.87</v>
      </c>
      <c r="C10135" t="n">
        <v>3.01</v>
      </c>
    </row>
    <row r="10136">
      <c r="A10136" s="28" t="n">
        <v>33914</v>
      </c>
      <c r="B10136" t="n">
        <v>6.97</v>
      </c>
      <c r="C10136" t="n">
        <v>3.06</v>
      </c>
    </row>
    <row r="10137">
      <c r="A10137" s="28" t="n">
        <v>33917</v>
      </c>
      <c r="B10137" t="n">
        <v>7</v>
      </c>
      <c r="C10137" t="n">
        <v>3.08</v>
      </c>
    </row>
    <row r="10138">
      <c r="A10138" s="28" t="n">
        <v>33918</v>
      </c>
      <c r="B10138" t="n">
        <v>6.91</v>
      </c>
      <c r="C10138" t="n">
        <v>3.08</v>
      </c>
    </row>
    <row r="10139">
      <c r="A10139" s="28" t="n">
        <v>33919</v>
      </c>
      <c r="B10139" t="n">
        <v>0</v>
      </c>
      <c r="C10139" t="n">
        <v>0</v>
      </c>
    </row>
    <row r="10140">
      <c r="A10140" s="28" t="n">
        <v>33920</v>
      </c>
      <c r="B10140" t="n">
        <v>6.79</v>
      </c>
      <c r="C10140" t="n">
        <v>3.06</v>
      </c>
    </row>
    <row r="10141">
      <c r="A10141" s="28" t="n">
        <v>33921</v>
      </c>
      <c r="B10141" t="n">
        <v>6.82</v>
      </c>
      <c r="C10141" t="n">
        <v>3.08</v>
      </c>
    </row>
    <row r="10142">
      <c r="A10142" s="28" t="n">
        <v>33924</v>
      </c>
      <c r="B10142" t="n">
        <v>6.9</v>
      </c>
      <c r="C10142" t="n">
        <v>3.12</v>
      </c>
    </row>
    <row r="10143">
      <c r="A10143" s="28" t="n">
        <v>33925</v>
      </c>
      <c r="B10143" t="n">
        <v>6.86</v>
      </c>
      <c r="C10143" t="n">
        <v>3.17</v>
      </c>
    </row>
    <row r="10144">
      <c r="A10144" s="28" t="n">
        <v>33926</v>
      </c>
      <c r="B10144" t="n">
        <v>6.78</v>
      </c>
      <c r="C10144" t="n">
        <v>3.15</v>
      </c>
    </row>
    <row r="10145">
      <c r="A10145" s="28" t="n">
        <v>33927</v>
      </c>
      <c r="B10145" t="n">
        <v>6.81</v>
      </c>
      <c r="C10145" t="n">
        <v>3.15</v>
      </c>
    </row>
    <row r="10146">
      <c r="A10146" s="28" t="n">
        <v>33928</v>
      </c>
      <c r="B10146" t="n">
        <v>6.84</v>
      </c>
      <c r="C10146" t="n">
        <v>3.2</v>
      </c>
    </row>
    <row r="10147">
      <c r="A10147" s="28" t="n">
        <v>33931</v>
      </c>
      <c r="B10147" t="n">
        <v>6.86</v>
      </c>
      <c r="C10147" t="n">
        <v>3.24</v>
      </c>
    </row>
    <row r="10148">
      <c r="A10148" s="28" t="n">
        <v>33932</v>
      </c>
      <c r="B10148" t="n">
        <v>6.82</v>
      </c>
      <c r="C10148" t="n">
        <v>3.22</v>
      </c>
    </row>
    <row r="10149">
      <c r="A10149" s="28" t="n">
        <v>33933</v>
      </c>
      <c r="B10149" t="n">
        <v>6.84</v>
      </c>
      <c r="C10149" t="n">
        <v>3.24</v>
      </c>
    </row>
    <row r="10150">
      <c r="A10150" s="28" t="n">
        <v>33934</v>
      </c>
      <c r="B10150" t="n">
        <v>0</v>
      </c>
      <c r="C10150" t="n">
        <v>0</v>
      </c>
    </row>
    <row r="10151">
      <c r="A10151" s="28" t="n">
        <v>33935</v>
      </c>
      <c r="B10151" t="n">
        <v>6.93</v>
      </c>
      <c r="C10151" t="n">
        <v>3.25</v>
      </c>
    </row>
    <row r="10152">
      <c r="A10152" s="28" t="n">
        <v>33938</v>
      </c>
      <c r="B10152" t="n">
        <v>6.95</v>
      </c>
      <c r="C10152" t="n">
        <v>3.27</v>
      </c>
    </row>
    <row r="10153">
      <c r="A10153" s="28" t="n">
        <v>33939</v>
      </c>
      <c r="B10153" t="n">
        <v>6.94</v>
      </c>
      <c r="C10153" t="n">
        <v>3.33</v>
      </c>
    </row>
    <row r="10154">
      <c r="A10154" s="28" t="n">
        <v>33940</v>
      </c>
      <c r="B10154" t="n">
        <v>6.93</v>
      </c>
      <c r="C10154" t="n">
        <v>3.34</v>
      </c>
    </row>
    <row r="10155">
      <c r="A10155" s="28" t="n">
        <v>33941</v>
      </c>
      <c r="B10155" t="n">
        <v>6.91</v>
      </c>
      <c r="C10155" t="n">
        <v>3.3</v>
      </c>
    </row>
    <row r="10156">
      <c r="A10156" s="28" t="n">
        <v>33942</v>
      </c>
      <c r="B10156" t="n">
        <v>6.84</v>
      </c>
      <c r="C10156" t="n">
        <v>3.25</v>
      </c>
    </row>
    <row r="10157">
      <c r="A10157" s="28" t="n">
        <v>33945</v>
      </c>
      <c r="B10157" t="n">
        <v>6.78</v>
      </c>
      <c r="C10157" t="n">
        <v>3.25</v>
      </c>
    </row>
    <row r="10158">
      <c r="A10158" s="28" t="n">
        <v>33946</v>
      </c>
      <c r="B10158" t="n">
        <v>6.73</v>
      </c>
      <c r="C10158" t="n">
        <v>3.26</v>
      </c>
    </row>
    <row r="10159">
      <c r="A10159" s="28" t="n">
        <v>33947</v>
      </c>
      <c r="B10159" t="n">
        <v>6.76</v>
      </c>
      <c r="C10159" t="n">
        <v>3.23</v>
      </c>
    </row>
    <row r="10160">
      <c r="A10160" s="28" t="n">
        <v>33948</v>
      </c>
      <c r="B10160" t="n">
        <v>6.77</v>
      </c>
      <c r="C10160" t="n">
        <v>3.22</v>
      </c>
    </row>
    <row r="10161">
      <c r="A10161" s="28" t="n">
        <v>33949</v>
      </c>
      <c r="B10161" t="n">
        <v>6.8</v>
      </c>
      <c r="C10161" t="n">
        <v>3.25</v>
      </c>
    </row>
    <row r="10162">
      <c r="A10162" s="28" t="n">
        <v>33952</v>
      </c>
      <c r="B10162" t="n">
        <v>6.83</v>
      </c>
      <c r="C10162" t="n">
        <v>3.26</v>
      </c>
    </row>
    <row r="10163">
      <c r="A10163" s="28" t="n">
        <v>33953</v>
      </c>
      <c r="B10163" t="n">
        <v>6.83</v>
      </c>
      <c r="C10163" t="n">
        <v>3.22</v>
      </c>
    </row>
    <row r="10164">
      <c r="A10164" s="28" t="n">
        <v>33954</v>
      </c>
      <c r="B10164" t="n">
        <v>6.77</v>
      </c>
      <c r="C10164" t="n">
        <v>3.21</v>
      </c>
    </row>
    <row r="10165">
      <c r="A10165" s="28" t="n">
        <v>33955</v>
      </c>
      <c r="B10165" t="n">
        <v>6.77</v>
      </c>
      <c r="C10165" t="n">
        <v>3.2</v>
      </c>
    </row>
    <row r="10166">
      <c r="A10166" s="28" t="n">
        <v>33956</v>
      </c>
      <c r="B10166" t="n">
        <v>6.76</v>
      </c>
      <c r="C10166" t="n">
        <v>3.16</v>
      </c>
    </row>
    <row r="10167">
      <c r="A10167" s="28" t="n">
        <v>33959</v>
      </c>
      <c r="B10167" t="n">
        <v>6.71</v>
      </c>
      <c r="C10167" t="n">
        <v>3.17</v>
      </c>
    </row>
    <row r="10168">
      <c r="A10168" s="28" t="n">
        <v>33960</v>
      </c>
      <c r="B10168" t="n">
        <v>6.65</v>
      </c>
      <c r="C10168" t="n">
        <v>3.2</v>
      </c>
    </row>
    <row r="10169">
      <c r="A10169" s="28" t="n">
        <v>33961</v>
      </c>
      <c r="B10169" t="n">
        <v>6.68</v>
      </c>
      <c r="C10169" t="n">
        <v>3.18</v>
      </c>
    </row>
    <row r="10170">
      <c r="A10170" s="28" t="n">
        <v>33962</v>
      </c>
      <c r="B10170" t="n">
        <v>6.69</v>
      </c>
      <c r="C10170" t="n">
        <v>3.16</v>
      </c>
    </row>
    <row r="10171">
      <c r="A10171" s="28" t="n">
        <v>33963</v>
      </c>
      <c r="B10171" t="n">
        <v>0</v>
      </c>
      <c r="C10171" t="n">
        <v>0</v>
      </c>
    </row>
    <row r="10172">
      <c r="A10172" s="28" t="n">
        <v>33966</v>
      </c>
      <c r="B10172" t="n">
        <v>6.72</v>
      </c>
      <c r="C10172" t="n">
        <v>3.18</v>
      </c>
    </row>
    <row r="10173">
      <c r="A10173" s="28" t="n">
        <v>33967</v>
      </c>
      <c r="B10173" t="n">
        <v>6.69</v>
      </c>
      <c r="C10173" t="n">
        <v>3.2</v>
      </c>
    </row>
    <row r="10174">
      <c r="A10174" s="28" t="n">
        <v>33968</v>
      </c>
      <c r="B10174" t="n">
        <v>6.68</v>
      </c>
      <c r="C10174" t="n">
        <v>3.12</v>
      </c>
    </row>
    <row r="10175">
      <c r="A10175" s="28" t="n">
        <v>33969</v>
      </c>
      <c r="B10175" t="n">
        <v>6.7</v>
      </c>
      <c r="C10175" t="n">
        <v>3.08</v>
      </c>
    </row>
    <row r="10176">
      <c r="A10176" s="28" t="n">
        <v>33970</v>
      </c>
      <c r="B10176" t="n">
        <v>0</v>
      </c>
      <c r="C10176" t="n">
        <v>0</v>
      </c>
    </row>
    <row r="10177">
      <c r="A10177" s="28" t="n">
        <v>33973</v>
      </c>
      <c r="B10177" t="n">
        <v>6.6</v>
      </c>
      <c r="C10177" t="n">
        <v>3.08</v>
      </c>
    </row>
    <row r="10178">
      <c r="A10178" s="28" t="n">
        <v>33974</v>
      </c>
      <c r="B10178" t="n">
        <v>6.61</v>
      </c>
      <c r="C10178" t="n">
        <v>3.11</v>
      </c>
    </row>
    <row r="10179">
      <c r="A10179" s="28" t="n">
        <v>33975</v>
      </c>
      <c r="B10179" t="n">
        <v>6.63</v>
      </c>
      <c r="C10179" t="n">
        <v>3.1</v>
      </c>
    </row>
    <row r="10180">
      <c r="A10180" s="28" t="n">
        <v>33976</v>
      </c>
      <c r="B10180" t="n">
        <v>6.76</v>
      </c>
      <c r="C10180" t="n">
        <v>3.12</v>
      </c>
    </row>
    <row r="10181">
      <c r="A10181" s="28" t="n">
        <v>33977</v>
      </c>
      <c r="B10181" t="n">
        <v>6.75</v>
      </c>
      <c r="C10181" t="n">
        <v>3.06</v>
      </c>
    </row>
    <row r="10182">
      <c r="A10182" s="28" t="n">
        <v>33980</v>
      </c>
      <c r="B10182" t="n">
        <v>6.71</v>
      </c>
      <c r="C10182" t="n">
        <v>3.05</v>
      </c>
    </row>
    <row r="10183">
      <c r="A10183" s="28" t="n">
        <v>33981</v>
      </c>
      <c r="B10183" t="n">
        <v>6.72</v>
      </c>
      <c r="C10183" t="n">
        <v>3.02</v>
      </c>
    </row>
    <row r="10184">
      <c r="A10184" s="28" t="n">
        <v>33982</v>
      </c>
      <c r="B10184" t="n">
        <v>6.71</v>
      </c>
      <c r="C10184" t="n">
        <v>3</v>
      </c>
    </row>
    <row r="10185">
      <c r="A10185" s="28" t="n">
        <v>33983</v>
      </c>
      <c r="B10185" t="n">
        <v>6.65</v>
      </c>
      <c r="C10185" t="n">
        <v>2.98</v>
      </c>
    </row>
    <row r="10186">
      <c r="A10186" s="28" t="n">
        <v>33984</v>
      </c>
      <c r="B10186" t="n">
        <v>6.6</v>
      </c>
      <c r="C10186" t="n">
        <v>2.94</v>
      </c>
    </row>
    <row r="10187">
      <c r="A10187" s="28" t="n">
        <v>33987</v>
      </c>
      <c r="B10187" t="n">
        <v>0</v>
      </c>
      <c r="C10187" t="n">
        <v>0</v>
      </c>
    </row>
    <row r="10188">
      <c r="A10188" s="28" t="n">
        <v>33988</v>
      </c>
      <c r="B10188" t="n">
        <v>6.59</v>
      </c>
      <c r="C10188" t="n">
        <v>2.99</v>
      </c>
    </row>
    <row r="10189">
      <c r="A10189" s="28" t="n">
        <v>33989</v>
      </c>
      <c r="B10189" t="n">
        <v>6.61</v>
      </c>
      <c r="C10189" t="n">
        <v>3.01</v>
      </c>
    </row>
    <row r="10190">
      <c r="A10190" s="28" t="n">
        <v>33990</v>
      </c>
      <c r="B10190" t="n">
        <v>6.6</v>
      </c>
      <c r="C10190" t="n">
        <v>2.99</v>
      </c>
    </row>
    <row r="10191">
      <c r="A10191" s="28" t="n">
        <v>33991</v>
      </c>
      <c r="B10191" t="n">
        <v>6.57</v>
      </c>
      <c r="C10191" t="n">
        <v>2.97</v>
      </c>
    </row>
    <row r="10192">
      <c r="A10192" s="28" t="n">
        <v>33994</v>
      </c>
      <c r="B10192" t="n">
        <v>6.48</v>
      </c>
      <c r="C10192" t="n">
        <v>2.95</v>
      </c>
    </row>
    <row r="10193">
      <c r="A10193" s="28" t="n">
        <v>33995</v>
      </c>
      <c r="B10193" t="n">
        <v>6.5</v>
      </c>
      <c r="C10193" t="n">
        <v>2.95</v>
      </c>
    </row>
    <row r="10194">
      <c r="A10194" s="28" t="n">
        <v>33996</v>
      </c>
      <c r="B10194" t="n">
        <v>6.48</v>
      </c>
      <c r="C10194" t="n">
        <v>2.91</v>
      </c>
    </row>
    <row r="10195">
      <c r="A10195" s="28" t="n">
        <v>33997</v>
      </c>
      <c r="B10195" t="n">
        <v>6.44</v>
      </c>
      <c r="C10195" t="n">
        <v>2.9</v>
      </c>
    </row>
    <row r="10196">
      <c r="A10196" s="28" t="n">
        <v>33998</v>
      </c>
      <c r="B10196" t="n">
        <v>6.39</v>
      </c>
      <c r="C10196" t="n">
        <v>2.9</v>
      </c>
    </row>
    <row r="10197">
      <c r="A10197" s="28" t="n">
        <v>34001</v>
      </c>
      <c r="B10197" t="n">
        <v>6.38</v>
      </c>
      <c r="C10197" t="n">
        <v>2.9</v>
      </c>
    </row>
    <row r="10198">
      <c r="A10198" s="28" t="n">
        <v>34002</v>
      </c>
      <c r="B10198" t="n">
        <v>6.46</v>
      </c>
      <c r="C10198" t="n">
        <v>2.96</v>
      </c>
    </row>
    <row r="10199">
      <c r="A10199" s="28" t="n">
        <v>34003</v>
      </c>
      <c r="B10199" t="n">
        <v>6.45</v>
      </c>
      <c r="C10199" t="n">
        <v>2.93</v>
      </c>
    </row>
    <row r="10200">
      <c r="A10200" s="28" t="n">
        <v>34004</v>
      </c>
      <c r="B10200" t="n">
        <v>6.39</v>
      </c>
      <c r="C10200" t="n">
        <v>2.9</v>
      </c>
    </row>
    <row r="10201">
      <c r="A10201" s="28" t="n">
        <v>34005</v>
      </c>
      <c r="B10201" t="n">
        <v>6.32</v>
      </c>
      <c r="C10201" t="n">
        <v>2.9</v>
      </c>
    </row>
    <row r="10202">
      <c r="A10202" s="28" t="n">
        <v>34008</v>
      </c>
      <c r="B10202" t="n">
        <v>6.37</v>
      </c>
      <c r="C10202" t="n">
        <v>2.92</v>
      </c>
    </row>
    <row r="10203">
      <c r="A10203" s="28" t="n">
        <v>34009</v>
      </c>
      <c r="B10203" t="n">
        <v>6.41</v>
      </c>
      <c r="C10203" t="n">
        <v>2.93</v>
      </c>
    </row>
    <row r="10204">
      <c r="A10204" s="28" t="n">
        <v>34010</v>
      </c>
      <c r="B10204" t="n">
        <v>6.4</v>
      </c>
      <c r="C10204" t="n">
        <v>2.94</v>
      </c>
    </row>
    <row r="10205">
      <c r="A10205" s="28" t="n">
        <v>34011</v>
      </c>
      <c r="B10205" t="n">
        <v>6.37</v>
      </c>
      <c r="C10205" t="n">
        <v>2.92</v>
      </c>
    </row>
    <row r="10206">
      <c r="A10206" s="28" t="n">
        <v>34012</v>
      </c>
      <c r="B10206" t="n">
        <v>6.35</v>
      </c>
      <c r="C10206" t="n">
        <v>2.93</v>
      </c>
    </row>
    <row r="10207">
      <c r="A10207" s="28" t="n">
        <v>34015</v>
      </c>
      <c r="B10207" t="n">
        <v>0</v>
      </c>
      <c r="C10207" t="n">
        <v>0</v>
      </c>
    </row>
    <row r="10208">
      <c r="A10208" s="28" t="n">
        <v>34016</v>
      </c>
      <c r="B10208" t="n">
        <v>6.34</v>
      </c>
      <c r="C10208" t="n">
        <v>2.93</v>
      </c>
    </row>
    <row r="10209">
      <c r="A10209" s="28" t="n">
        <v>34017</v>
      </c>
      <c r="B10209" t="n">
        <v>6.28</v>
      </c>
      <c r="C10209" t="n">
        <v>2.91</v>
      </c>
    </row>
    <row r="10210">
      <c r="A10210" s="28" t="n">
        <v>34018</v>
      </c>
      <c r="B10210" t="n">
        <v>6.17</v>
      </c>
      <c r="C10210" t="n">
        <v>2.89</v>
      </c>
    </row>
    <row r="10211">
      <c r="A10211" s="28" t="n">
        <v>34019</v>
      </c>
      <c r="B10211" t="n">
        <v>6.15</v>
      </c>
      <c r="C10211" t="n">
        <v>2.93</v>
      </c>
    </row>
    <row r="10212">
      <c r="A10212" s="28" t="n">
        <v>34022</v>
      </c>
      <c r="B10212" t="n">
        <v>6.09</v>
      </c>
      <c r="C10212" t="n">
        <v>2.95</v>
      </c>
    </row>
    <row r="10213">
      <c r="A10213" s="28" t="n">
        <v>34023</v>
      </c>
      <c r="B10213" t="n">
        <v>5.92</v>
      </c>
      <c r="C10213" t="n">
        <v>2.94</v>
      </c>
    </row>
    <row r="10214">
      <c r="A10214" s="28" t="n">
        <v>34024</v>
      </c>
      <c r="B10214" t="n">
        <v>6.01</v>
      </c>
      <c r="C10214" t="n">
        <v>2.96</v>
      </c>
    </row>
    <row r="10215">
      <c r="A10215" s="28" t="n">
        <v>34025</v>
      </c>
      <c r="B10215" t="n">
        <v>6.03</v>
      </c>
      <c r="C10215" t="n">
        <v>2.95</v>
      </c>
    </row>
    <row r="10216">
      <c r="A10216" s="28" t="n">
        <v>34026</v>
      </c>
      <c r="B10216" t="n">
        <v>6.03</v>
      </c>
      <c r="C10216" t="n">
        <v>2.95</v>
      </c>
    </row>
    <row r="10217">
      <c r="A10217" s="28" t="n">
        <v>34029</v>
      </c>
      <c r="B10217" t="n">
        <v>5.94</v>
      </c>
      <c r="C10217" t="n">
        <v>2.95</v>
      </c>
    </row>
    <row r="10218">
      <c r="A10218" s="28" t="n">
        <v>34030</v>
      </c>
      <c r="B10218" t="n">
        <v>5.95</v>
      </c>
      <c r="C10218" t="n">
        <v>2.97</v>
      </c>
    </row>
    <row r="10219">
      <c r="A10219" s="28" t="n">
        <v>34031</v>
      </c>
      <c r="B10219" t="n">
        <v>5.88</v>
      </c>
      <c r="C10219" t="n">
        <v>2.94</v>
      </c>
    </row>
    <row r="10220">
      <c r="A10220" s="28" t="n">
        <v>34032</v>
      </c>
      <c r="B10220" t="n">
        <v>5.83</v>
      </c>
      <c r="C10220" t="n">
        <v>2.91</v>
      </c>
    </row>
    <row r="10221">
      <c r="A10221" s="28" t="n">
        <v>34033</v>
      </c>
      <c r="B10221" t="n">
        <v>5.9</v>
      </c>
      <c r="C10221" t="n">
        <v>3</v>
      </c>
    </row>
    <row r="10222">
      <c r="A10222" s="28" t="n">
        <v>34036</v>
      </c>
      <c r="B10222" t="n">
        <v>5.85</v>
      </c>
      <c r="C10222" t="n">
        <v>3</v>
      </c>
    </row>
    <row r="10223">
      <c r="A10223" s="28" t="n">
        <v>34037</v>
      </c>
      <c r="B10223" t="n">
        <v>5.91</v>
      </c>
      <c r="C10223" t="n">
        <v>2.99</v>
      </c>
    </row>
    <row r="10224">
      <c r="A10224" s="28" t="n">
        <v>34038</v>
      </c>
      <c r="B10224" t="n">
        <v>5.97</v>
      </c>
      <c r="C10224" t="n">
        <v>2.98</v>
      </c>
    </row>
    <row r="10225">
      <c r="A10225" s="28" t="n">
        <v>34039</v>
      </c>
      <c r="B10225" t="n">
        <v>5.96</v>
      </c>
      <c r="C10225" t="n">
        <v>2.96</v>
      </c>
    </row>
    <row r="10226">
      <c r="A10226" s="28" t="n">
        <v>34040</v>
      </c>
      <c r="B10226" t="n">
        <v>6.11</v>
      </c>
      <c r="C10226" t="n">
        <v>2.97</v>
      </c>
    </row>
    <row r="10227">
      <c r="A10227" s="28" t="n">
        <v>34043</v>
      </c>
      <c r="B10227" t="n">
        <v>6.17</v>
      </c>
      <c r="C10227" t="n">
        <v>2.99</v>
      </c>
    </row>
    <row r="10228">
      <c r="A10228" s="28" t="n">
        <v>34044</v>
      </c>
      <c r="B10228" t="n">
        <v>6.06</v>
      </c>
      <c r="C10228" t="n">
        <v>2.98</v>
      </c>
    </row>
    <row r="10229">
      <c r="A10229" s="28" t="n">
        <v>34045</v>
      </c>
      <c r="B10229" t="n">
        <v>6.02</v>
      </c>
      <c r="C10229" t="n">
        <v>2.98</v>
      </c>
    </row>
    <row r="10230">
      <c r="A10230" s="28" t="n">
        <v>34046</v>
      </c>
      <c r="B10230" t="n">
        <v>5.93</v>
      </c>
      <c r="C10230" t="n">
        <v>2.95</v>
      </c>
    </row>
    <row r="10231">
      <c r="A10231" s="28" t="n">
        <v>34047</v>
      </c>
      <c r="B10231" t="n">
        <v>5.95</v>
      </c>
      <c r="C10231" t="n">
        <v>2.96</v>
      </c>
    </row>
    <row r="10232">
      <c r="A10232" s="28" t="n">
        <v>34050</v>
      </c>
      <c r="B10232" t="n">
        <v>5.96</v>
      </c>
      <c r="C10232" t="n">
        <v>2.94</v>
      </c>
    </row>
    <row r="10233">
      <c r="A10233" s="28" t="n">
        <v>34051</v>
      </c>
      <c r="B10233" t="n">
        <v>5.91</v>
      </c>
      <c r="C10233" t="n">
        <v>2.92</v>
      </c>
    </row>
    <row r="10234">
      <c r="A10234" s="28" t="n">
        <v>34052</v>
      </c>
      <c r="B10234" t="n">
        <v>5.95</v>
      </c>
      <c r="C10234" t="n">
        <v>2.92</v>
      </c>
    </row>
    <row r="10235">
      <c r="A10235" s="28" t="n">
        <v>34053</v>
      </c>
      <c r="B10235" t="n">
        <v>5.98</v>
      </c>
      <c r="C10235" t="n">
        <v>2.91</v>
      </c>
    </row>
    <row r="10236">
      <c r="A10236" s="28" t="n">
        <v>34054</v>
      </c>
      <c r="B10236" t="n">
        <v>6.09</v>
      </c>
      <c r="C10236" t="n">
        <v>2.93</v>
      </c>
    </row>
    <row r="10237">
      <c r="A10237" s="28" t="n">
        <v>34057</v>
      </c>
      <c r="B10237" t="n">
        <v>6.06</v>
      </c>
      <c r="C10237" t="n">
        <v>2.94</v>
      </c>
    </row>
    <row r="10238">
      <c r="A10238" s="28" t="n">
        <v>34058</v>
      </c>
      <c r="B10238" t="n">
        <v>6.02</v>
      </c>
      <c r="C10238" t="n">
        <v>2.91</v>
      </c>
    </row>
    <row r="10239">
      <c r="A10239" s="28" t="n">
        <v>34059</v>
      </c>
      <c r="B10239" t="n">
        <v>6.03</v>
      </c>
      <c r="C10239" t="n">
        <v>2.89</v>
      </c>
    </row>
    <row r="10240">
      <c r="A10240" s="28" t="n">
        <v>34060</v>
      </c>
      <c r="B10240" t="n">
        <v>6.06</v>
      </c>
      <c r="C10240" t="n">
        <v>2.9</v>
      </c>
    </row>
    <row r="10241">
      <c r="A10241" s="28" t="n">
        <v>34061</v>
      </c>
      <c r="B10241" t="n">
        <v>6.16</v>
      </c>
      <c r="C10241" t="n">
        <v>2.91</v>
      </c>
    </row>
    <row r="10242">
      <c r="A10242" s="28" t="n">
        <v>34064</v>
      </c>
      <c r="B10242" t="n">
        <v>6.13</v>
      </c>
      <c r="C10242" t="n">
        <v>2.9</v>
      </c>
    </row>
    <row r="10243">
      <c r="A10243" s="28" t="n">
        <v>34065</v>
      </c>
      <c r="B10243" t="n">
        <v>6.08</v>
      </c>
      <c r="C10243" t="n">
        <v>2.91</v>
      </c>
    </row>
    <row r="10244">
      <c r="A10244" s="28" t="n">
        <v>34066</v>
      </c>
      <c r="B10244" t="n">
        <v>6.07</v>
      </c>
      <c r="C10244" t="n">
        <v>2.92</v>
      </c>
    </row>
    <row r="10245">
      <c r="A10245" s="28" t="n">
        <v>34067</v>
      </c>
      <c r="B10245" t="n">
        <v>5.97</v>
      </c>
      <c r="C10245" t="n">
        <v>2.9</v>
      </c>
    </row>
    <row r="10246">
      <c r="A10246" s="28" t="n">
        <v>34068</v>
      </c>
      <c r="B10246" t="n">
        <v>0</v>
      </c>
      <c r="C10246" t="n">
        <v>0</v>
      </c>
    </row>
    <row r="10247">
      <c r="A10247" s="28" t="n">
        <v>34071</v>
      </c>
      <c r="B10247" t="n">
        <v>5.92</v>
      </c>
      <c r="C10247" t="n">
        <v>2.89</v>
      </c>
    </row>
    <row r="10248">
      <c r="A10248" s="28" t="n">
        <v>34072</v>
      </c>
      <c r="B10248" t="n">
        <v>5.93</v>
      </c>
      <c r="C10248" t="n">
        <v>2.85</v>
      </c>
    </row>
    <row r="10249">
      <c r="A10249" s="28" t="n">
        <v>34073</v>
      </c>
      <c r="B10249" t="n">
        <v>5.9</v>
      </c>
      <c r="C10249" t="n">
        <v>2.82</v>
      </c>
    </row>
    <row r="10250">
      <c r="A10250" s="28" t="n">
        <v>34074</v>
      </c>
      <c r="B10250" t="n">
        <v>5.88</v>
      </c>
      <c r="C10250" t="n">
        <v>2.84</v>
      </c>
    </row>
    <row r="10251">
      <c r="A10251" s="28" t="n">
        <v>34075</v>
      </c>
      <c r="B10251" t="n">
        <v>5.89</v>
      </c>
      <c r="C10251" t="n">
        <v>2.84</v>
      </c>
    </row>
    <row r="10252">
      <c r="A10252" s="28" t="n">
        <v>34078</v>
      </c>
      <c r="B10252" t="n">
        <v>5.87</v>
      </c>
      <c r="C10252" t="n">
        <v>2.81</v>
      </c>
    </row>
    <row r="10253">
      <c r="A10253" s="28" t="n">
        <v>34079</v>
      </c>
      <c r="B10253" t="n">
        <v>5.87</v>
      </c>
      <c r="C10253" t="n">
        <v>2.79</v>
      </c>
    </row>
    <row r="10254">
      <c r="A10254" s="28" t="n">
        <v>34080</v>
      </c>
      <c r="B10254" t="n">
        <v>5.86</v>
      </c>
      <c r="C10254" t="n">
        <v>2.8</v>
      </c>
    </row>
    <row r="10255">
      <c r="A10255" s="28" t="n">
        <v>34081</v>
      </c>
      <c r="B10255" t="n">
        <v>5.85</v>
      </c>
      <c r="C10255" t="n">
        <v>2.82</v>
      </c>
    </row>
    <row r="10256">
      <c r="A10256" s="28" t="n">
        <v>34082</v>
      </c>
      <c r="B10256" t="n">
        <v>5.89</v>
      </c>
      <c r="C10256" t="n">
        <v>2.84</v>
      </c>
    </row>
    <row r="10257">
      <c r="A10257" s="28" t="n">
        <v>34085</v>
      </c>
      <c r="B10257" t="n">
        <v>5.94</v>
      </c>
      <c r="C10257" t="n">
        <v>2.89</v>
      </c>
    </row>
    <row r="10258">
      <c r="A10258" s="28" t="n">
        <v>34086</v>
      </c>
      <c r="B10258" t="n">
        <v>6.02</v>
      </c>
      <c r="C10258" t="n">
        <v>2.91</v>
      </c>
    </row>
    <row r="10259">
      <c r="A10259" s="28" t="n">
        <v>34087</v>
      </c>
      <c r="B10259" t="n">
        <v>6.03</v>
      </c>
      <c r="C10259" t="n">
        <v>2.92</v>
      </c>
    </row>
    <row r="10260">
      <c r="A10260" s="28" t="n">
        <v>34088</v>
      </c>
      <c r="B10260" t="n">
        <v>5.99</v>
      </c>
      <c r="C10260" t="n">
        <v>2.9</v>
      </c>
    </row>
    <row r="10261">
      <c r="A10261" s="28" t="n">
        <v>34089</v>
      </c>
      <c r="B10261" t="n">
        <v>6.05</v>
      </c>
      <c r="C10261" t="n">
        <v>2.91</v>
      </c>
    </row>
    <row r="10262">
      <c r="A10262" s="28" t="n">
        <v>34092</v>
      </c>
      <c r="B10262" t="n">
        <v>5.96</v>
      </c>
      <c r="C10262" t="n">
        <v>2.87</v>
      </c>
    </row>
    <row r="10263">
      <c r="A10263" s="28" t="n">
        <v>34093</v>
      </c>
      <c r="B10263" t="n">
        <v>5.92</v>
      </c>
      <c r="C10263" t="n">
        <v>2.87</v>
      </c>
    </row>
    <row r="10264">
      <c r="A10264" s="28" t="n">
        <v>34094</v>
      </c>
      <c r="B10264" t="n">
        <v>5.93</v>
      </c>
      <c r="C10264" t="n">
        <v>2.89</v>
      </c>
    </row>
    <row r="10265">
      <c r="A10265" s="28" t="n">
        <v>34095</v>
      </c>
      <c r="B10265" t="n">
        <v>5.89</v>
      </c>
      <c r="C10265" t="n">
        <v>2.86</v>
      </c>
    </row>
    <row r="10266">
      <c r="A10266" s="28" t="n">
        <v>34096</v>
      </c>
      <c r="B10266" t="n">
        <v>5.92</v>
      </c>
      <c r="C10266" t="n">
        <v>2.87</v>
      </c>
    </row>
    <row r="10267">
      <c r="A10267" s="28" t="n">
        <v>34099</v>
      </c>
      <c r="B10267" t="n">
        <v>5.89</v>
      </c>
      <c r="C10267" t="n">
        <v>2.87</v>
      </c>
    </row>
    <row r="10268">
      <c r="A10268" s="28" t="n">
        <v>34100</v>
      </c>
      <c r="B10268" t="n">
        <v>5.89</v>
      </c>
      <c r="C10268" t="n">
        <v>2.89</v>
      </c>
    </row>
    <row r="10269">
      <c r="A10269" s="28" t="n">
        <v>34101</v>
      </c>
      <c r="B10269" t="n">
        <v>5.96</v>
      </c>
      <c r="C10269" t="n">
        <v>2.9</v>
      </c>
    </row>
    <row r="10270">
      <c r="A10270" s="28" t="n">
        <v>34102</v>
      </c>
      <c r="B10270" t="n">
        <v>6.02</v>
      </c>
      <c r="C10270" t="n">
        <v>2.93</v>
      </c>
    </row>
    <row r="10271">
      <c r="A10271" s="28" t="n">
        <v>34103</v>
      </c>
      <c r="B10271" t="n">
        <v>6.03</v>
      </c>
      <c r="C10271" t="n">
        <v>2.96</v>
      </c>
    </row>
    <row r="10272">
      <c r="A10272" s="28" t="n">
        <v>34106</v>
      </c>
      <c r="B10272" t="n">
        <v>6.07</v>
      </c>
      <c r="C10272" t="n">
        <v>3</v>
      </c>
    </row>
    <row r="10273">
      <c r="A10273" s="28" t="n">
        <v>34107</v>
      </c>
      <c r="B10273" t="n">
        <v>6.15</v>
      </c>
      <c r="C10273" t="n">
        <v>3.01</v>
      </c>
    </row>
    <row r="10274">
      <c r="A10274" s="28" t="n">
        <v>34108</v>
      </c>
      <c r="B10274" t="n">
        <v>6.11</v>
      </c>
      <c r="C10274" t="n">
        <v>2.97</v>
      </c>
    </row>
    <row r="10275">
      <c r="A10275" s="28" t="n">
        <v>34109</v>
      </c>
      <c r="B10275" t="n">
        <v>6.09</v>
      </c>
      <c r="C10275" t="n">
        <v>2.96</v>
      </c>
    </row>
    <row r="10276">
      <c r="A10276" s="28" t="n">
        <v>34110</v>
      </c>
      <c r="B10276" t="n">
        <v>6.16</v>
      </c>
      <c r="C10276" t="n">
        <v>3</v>
      </c>
    </row>
    <row r="10277">
      <c r="A10277" s="28" t="n">
        <v>34113</v>
      </c>
      <c r="B10277" t="n">
        <v>6.16</v>
      </c>
      <c r="C10277" t="n">
        <v>3.04</v>
      </c>
    </row>
    <row r="10278">
      <c r="A10278" s="28" t="n">
        <v>34114</v>
      </c>
      <c r="B10278" t="n">
        <v>6.17</v>
      </c>
      <c r="C10278" t="n">
        <v>3.07</v>
      </c>
    </row>
    <row r="10279">
      <c r="A10279" s="28" t="n">
        <v>34115</v>
      </c>
      <c r="B10279" t="n">
        <v>6.12</v>
      </c>
      <c r="C10279" t="n">
        <v>3.05</v>
      </c>
    </row>
    <row r="10280">
      <c r="A10280" s="28" t="n">
        <v>34116</v>
      </c>
      <c r="B10280" t="n">
        <v>6.11</v>
      </c>
      <c r="C10280" t="n">
        <v>3.06</v>
      </c>
    </row>
    <row r="10281">
      <c r="A10281" s="28" t="n">
        <v>34117</v>
      </c>
      <c r="B10281" t="n">
        <v>6.16</v>
      </c>
      <c r="C10281" t="n">
        <v>3.06</v>
      </c>
    </row>
    <row r="10282">
      <c r="A10282" s="28" t="n">
        <v>34120</v>
      </c>
      <c r="B10282" t="n">
        <v>0</v>
      </c>
      <c r="C10282" t="n">
        <v>0</v>
      </c>
    </row>
    <row r="10283">
      <c r="A10283" s="28" t="n">
        <v>34121</v>
      </c>
      <c r="B10283" t="n">
        <v>6.07</v>
      </c>
      <c r="C10283" t="n">
        <v>3.04</v>
      </c>
    </row>
    <row r="10284">
      <c r="A10284" s="28" t="n">
        <v>34122</v>
      </c>
      <c r="B10284" t="n">
        <v>6.06</v>
      </c>
      <c r="C10284" t="n">
        <v>3.07</v>
      </c>
    </row>
    <row r="10285">
      <c r="A10285" s="28" t="n">
        <v>34123</v>
      </c>
      <c r="B10285" t="n">
        <v>6.02</v>
      </c>
      <c r="C10285" t="n">
        <v>3.03</v>
      </c>
    </row>
    <row r="10286">
      <c r="A10286" s="28" t="n">
        <v>34124</v>
      </c>
      <c r="B10286" t="n">
        <v>6.11</v>
      </c>
      <c r="C10286" t="n">
        <v>3.11</v>
      </c>
    </row>
    <row r="10287">
      <c r="A10287" s="28" t="n">
        <v>34127</v>
      </c>
      <c r="B10287" t="n">
        <v>6.08</v>
      </c>
      <c r="C10287" t="n">
        <v>3.1</v>
      </c>
    </row>
    <row r="10288">
      <c r="A10288" s="28" t="n">
        <v>34128</v>
      </c>
      <c r="B10288" t="n">
        <v>6.09</v>
      </c>
      <c r="C10288" t="n">
        <v>3.13</v>
      </c>
    </row>
    <row r="10289">
      <c r="A10289" s="28" t="n">
        <v>34129</v>
      </c>
      <c r="B10289" t="n">
        <v>6.07</v>
      </c>
      <c r="C10289" t="n">
        <v>3.11</v>
      </c>
    </row>
    <row r="10290">
      <c r="A10290" s="28" t="n">
        <v>34130</v>
      </c>
      <c r="B10290" t="n">
        <v>6.07</v>
      </c>
      <c r="C10290" t="n">
        <v>3.11</v>
      </c>
    </row>
    <row r="10291">
      <c r="A10291" s="28" t="n">
        <v>34131</v>
      </c>
      <c r="B10291" t="n">
        <v>5.97</v>
      </c>
      <c r="C10291" t="n">
        <v>3.05</v>
      </c>
    </row>
    <row r="10292">
      <c r="A10292" s="28" t="n">
        <v>34134</v>
      </c>
      <c r="B10292" t="n">
        <v>5.97</v>
      </c>
      <c r="C10292" t="n">
        <v>3.05</v>
      </c>
    </row>
    <row r="10293">
      <c r="A10293" s="28" t="n">
        <v>34135</v>
      </c>
      <c r="B10293" t="n">
        <v>5.96</v>
      </c>
      <c r="C10293" t="n">
        <v>3.05</v>
      </c>
    </row>
    <row r="10294">
      <c r="A10294" s="28" t="n">
        <v>34136</v>
      </c>
      <c r="B10294" t="n">
        <v>5.96</v>
      </c>
      <c r="C10294" t="n">
        <v>3.04</v>
      </c>
    </row>
    <row r="10295">
      <c r="A10295" s="28" t="n">
        <v>34137</v>
      </c>
      <c r="B10295" t="n">
        <v>5.93</v>
      </c>
      <c r="C10295" t="n">
        <v>3.03</v>
      </c>
    </row>
    <row r="10296">
      <c r="A10296" s="28" t="n">
        <v>34138</v>
      </c>
      <c r="B10296" t="n">
        <v>5.97</v>
      </c>
      <c r="C10296" t="n">
        <v>3.06</v>
      </c>
    </row>
    <row r="10297">
      <c r="A10297" s="28" t="n">
        <v>34141</v>
      </c>
      <c r="B10297" t="n">
        <v>5.92</v>
      </c>
      <c r="C10297" t="n">
        <v>3.06</v>
      </c>
    </row>
    <row r="10298">
      <c r="A10298" s="28" t="n">
        <v>34142</v>
      </c>
      <c r="B10298" t="n">
        <v>5.91</v>
      </c>
      <c r="C10298" t="n">
        <v>3.09</v>
      </c>
    </row>
    <row r="10299">
      <c r="A10299" s="28" t="n">
        <v>34143</v>
      </c>
      <c r="B10299" t="n">
        <v>5.91</v>
      </c>
      <c r="C10299" t="n">
        <v>3.12</v>
      </c>
    </row>
    <row r="10300">
      <c r="A10300" s="28" t="n">
        <v>34144</v>
      </c>
      <c r="B10300" t="n">
        <v>5.88</v>
      </c>
      <c r="C10300" t="n">
        <v>3.1</v>
      </c>
    </row>
    <row r="10301">
      <c r="A10301" s="28" t="n">
        <v>34145</v>
      </c>
      <c r="B10301" t="n">
        <v>5.84</v>
      </c>
      <c r="C10301" t="n">
        <v>3.08</v>
      </c>
    </row>
    <row r="10302">
      <c r="A10302" s="28" t="n">
        <v>34148</v>
      </c>
      <c r="B10302" t="n">
        <v>5.8</v>
      </c>
      <c r="C10302" t="n">
        <v>3.07</v>
      </c>
    </row>
    <row r="10303">
      <c r="A10303" s="28" t="n">
        <v>34149</v>
      </c>
      <c r="B10303" t="n">
        <v>5.79</v>
      </c>
      <c r="C10303" t="n">
        <v>3.03</v>
      </c>
    </row>
    <row r="10304">
      <c r="A10304" s="28" t="n">
        <v>34150</v>
      </c>
      <c r="B10304" t="n">
        <v>5.8</v>
      </c>
      <c r="C10304" t="n">
        <v>3.03</v>
      </c>
    </row>
    <row r="10305">
      <c r="A10305" s="28" t="n">
        <v>34151</v>
      </c>
      <c r="B10305" t="n">
        <v>5.8</v>
      </c>
      <c r="C10305" t="n">
        <v>2.99</v>
      </c>
    </row>
    <row r="10306">
      <c r="A10306" s="28" t="n">
        <v>34152</v>
      </c>
      <c r="B10306" t="n">
        <v>5.76</v>
      </c>
      <c r="C10306" t="n">
        <v>2.95</v>
      </c>
    </row>
    <row r="10307">
      <c r="A10307" s="28" t="n">
        <v>34155</v>
      </c>
      <c r="B10307" t="n">
        <v>0</v>
      </c>
      <c r="C10307" t="n">
        <v>0</v>
      </c>
    </row>
    <row r="10308">
      <c r="A10308" s="28" t="n">
        <v>34156</v>
      </c>
      <c r="B10308" t="n">
        <v>5.8</v>
      </c>
      <c r="C10308" t="n">
        <v>3.01</v>
      </c>
    </row>
    <row r="10309">
      <c r="A10309" s="28" t="n">
        <v>34157</v>
      </c>
      <c r="B10309" t="n">
        <v>5.8</v>
      </c>
      <c r="C10309" t="n">
        <v>3.04</v>
      </c>
    </row>
    <row r="10310">
      <c r="A10310" s="28" t="n">
        <v>34158</v>
      </c>
      <c r="B10310" t="n">
        <v>5.78</v>
      </c>
      <c r="C10310" t="n">
        <v>3.02</v>
      </c>
    </row>
    <row r="10311">
      <c r="A10311" s="28" t="n">
        <v>34159</v>
      </c>
      <c r="B10311" t="n">
        <v>5.76</v>
      </c>
      <c r="C10311" t="n">
        <v>3.02</v>
      </c>
    </row>
    <row r="10312">
      <c r="A10312" s="28" t="n">
        <v>34162</v>
      </c>
      <c r="B10312" t="n">
        <v>5.75</v>
      </c>
      <c r="C10312" t="n">
        <v>3.01</v>
      </c>
    </row>
    <row r="10313">
      <c r="A10313" s="28" t="n">
        <v>34163</v>
      </c>
      <c r="B10313" t="n">
        <v>5.78</v>
      </c>
      <c r="C10313" t="n">
        <v>3.04</v>
      </c>
    </row>
    <row r="10314">
      <c r="A10314" s="28" t="n">
        <v>34164</v>
      </c>
      <c r="B10314" t="n">
        <v>5.72</v>
      </c>
      <c r="C10314" t="n">
        <v>3.01</v>
      </c>
    </row>
    <row r="10315">
      <c r="A10315" s="28" t="n">
        <v>34165</v>
      </c>
      <c r="B10315" t="n">
        <v>5.72</v>
      </c>
      <c r="C10315" t="n">
        <v>3.01</v>
      </c>
    </row>
    <row r="10316">
      <c r="A10316" s="28" t="n">
        <v>34166</v>
      </c>
      <c r="B10316" t="n">
        <v>5.71</v>
      </c>
      <c r="C10316" t="n">
        <v>3.01</v>
      </c>
    </row>
    <row r="10317">
      <c r="A10317" s="28" t="n">
        <v>34169</v>
      </c>
      <c r="B10317" t="n">
        <v>5.71</v>
      </c>
      <c r="C10317" t="n">
        <v>3.03</v>
      </c>
    </row>
    <row r="10318">
      <c r="A10318" s="28" t="n">
        <v>34170</v>
      </c>
      <c r="B10318" t="n">
        <v>5.75</v>
      </c>
      <c r="C10318" t="n">
        <v>3.06</v>
      </c>
    </row>
    <row r="10319">
      <c r="A10319" s="28" t="n">
        <v>34171</v>
      </c>
      <c r="B10319" t="n">
        <v>5.83</v>
      </c>
      <c r="C10319" t="n">
        <v>3.07</v>
      </c>
    </row>
    <row r="10320">
      <c r="A10320" s="28" t="n">
        <v>34172</v>
      </c>
      <c r="B10320" t="n">
        <v>5.9</v>
      </c>
      <c r="C10320" t="n">
        <v>3.09</v>
      </c>
    </row>
    <row r="10321">
      <c r="A10321" s="28" t="n">
        <v>34173</v>
      </c>
      <c r="B10321" t="n">
        <v>5.95</v>
      </c>
      <c r="C10321" t="n">
        <v>3.09</v>
      </c>
    </row>
    <row r="10322">
      <c r="A10322" s="28" t="n">
        <v>34176</v>
      </c>
      <c r="B10322" t="n">
        <v>5.93</v>
      </c>
      <c r="C10322" t="n">
        <v>3.08</v>
      </c>
    </row>
    <row r="10323">
      <c r="A10323" s="28" t="n">
        <v>34177</v>
      </c>
      <c r="B10323" t="n">
        <v>5.92</v>
      </c>
      <c r="C10323" t="n">
        <v>3.1</v>
      </c>
    </row>
    <row r="10324">
      <c r="A10324" s="28" t="n">
        <v>34178</v>
      </c>
      <c r="B10324" t="n">
        <v>5.9</v>
      </c>
      <c r="C10324" t="n">
        <v>3.08</v>
      </c>
    </row>
    <row r="10325">
      <c r="A10325" s="28" t="n">
        <v>34179</v>
      </c>
      <c r="B10325" t="n">
        <v>5.81</v>
      </c>
      <c r="C10325" t="n">
        <v>3.02</v>
      </c>
    </row>
    <row r="10326">
      <c r="A10326" s="28" t="n">
        <v>34180</v>
      </c>
      <c r="B10326" t="n">
        <v>5.83</v>
      </c>
      <c r="C10326" t="n">
        <v>3.03</v>
      </c>
    </row>
    <row r="10327">
      <c r="A10327" s="28" t="n">
        <v>34183</v>
      </c>
      <c r="B10327" t="n">
        <v>5.85</v>
      </c>
      <c r="C10327" t="n">
        <v>3.07</v>
      </c>
    </row>
    <row r="10328">
      <c r="A10328" s="28" t="n">
        <v>34184</v>
      </c>
      <c r="B10328" t="n">
        <v>5.83</v>
      </c>
      <c r="C10328" t="n">
        <v>3.08</v>
      </c>
    </row>
    <row r="10329">
      <c r="A10329" s="28" t="n">
        <v>34185</v>
      </c>
      <c r="B10329" t="n">
        <v>5.87</v>
      </c>
      <c r="C10329" t="n">
        <v>3.08</v>
      </c>
    </row>
    <row r="10330">
      <c r="A10330" s="28" t="n">
        <v>34186</v>
      </c>
      <c r="B10330" t="n">
        <v>5.86</v>
      </c>
      <c r="C10330" t="n">
        <v>3.05</v>
      </c>
    </row>
    <row r="10331">
      <c r="A10331" s="28" t="n">
        <v>34187</v>
      </c>
      <c r="B10331" t="n">
        <v>5.86</v>
      </c>
      <c r="C10331" t="n">
        <v>3.04</v>
      </c>
    </row>
    <row r="10332">
      <c r="A10332" s="28" t="n">
        <v>34190</v>
      </c>
      <c r="B10332" t="n">
        <v>5.82</v>
      </c>
      <c r="C10332" t="n">
        <v>3.02</v>
      </c>
    </row>
    <row r="10333">
      <c r="A10333" s="28" t="n">
        <v>34191</v>
      </c>
      <c r="B10333" t="n">
        <v>5.82</v>
      </c>
      <c r="C10333" t="n">
        <v>3.03</v>
      </c>
    </row>
    <row r="10334">
      <c r="A10334" s="28" t="n">
        <v>34192</v>
      </c>
      <c r="B10334" t="n">
        <v>5.75</v>
      </c>
      <c r="C10334" t="n">
        <v>3.02</v>
      </c>
    </row>
    <row r="10335">
      <c r="A10335" s="28" t="n">
        <v>34193</v>
      </c>
      <c r="B10335" t="n">
        <v>5.77</v>
      </c>
      <c r="C10335" t="n">
        <v>3.01</v>
      </c>
    </row>
    <row r="10336">
      <c r="A10336" s="28" t="n">
        <v>34194</v>
      </c>
      <c r="B10336" t="n">
        <v>5.72</v>
      </c>
      <c r="C10336" t="n">
        <v>3.02</v>
      </c>
    </row>
    <row r="10337">
      <c r="A10337" s="28" t="n">
        <v>34197</v>
      </c>
      <c r="B10337" t="n">
        <v>5.68</v>
      </c>
      <c r="C10337" t="n">
        <v>3.02</v>
      </c>
    </row>
    <row r="10338">
      <c r="A10338" s="28" t="n">
        <v>34198</v>
      </c>
      <c r="B10338" t="n">
        <v>5.7</v>
      </c>
      <c r="C10338" t="n">
        <v>3.01</v>
      </c>
    </row>
    <row r="10339">
      <c r="A10339" s="28" t="n">
        <v>34199</v>
      </c>
      <c r="B10339" t="n">
        <v>5.69</v>
      </c>
      <c r="C10339" t="n">
        <v>2.99</v>
      </c>
    </row>
    <row r="10340">
      <c r="A10340" s="28" t="n">
        <v>34200</v>
      </c>
      <c r="B10340" t="n">
        <v>5.64</v>
      </c>
      <c r="C10340" t="n">
        <v>2.98</v>
      </c>
    </row>
    <row r="10341">
      <c r="A10341" s="28" t="n">
        <v>34201</v>
      </c>
      <c r="B10341" t="n">
        <v>5.61</v>
      </c>
      <c r="C10341" t="n">
        <v>2.99</v>
      </c>
    </row>
    <row r="10342">
      <c r="A10342" s="28" t="n">
        <v>34204</v>
      </c>
      <c r="B10342" t="n">
        <v>5.6</v>
      </c>
      <c r="C10342" t="n">
        <v>2.99</v>
      </c>
    </row>
    <row r="10343">
      <c r="A10343" s="28" t="n">
        <v>34205</v>
      </c>
      <c r="B10343" t="n">
        <v>5.54</v>
      </c>
      <c r="C10343" t="n">
        <v>2.99</v>
      </c>
    </row>
    <row r="10344">
      <c r="A10344" s="28" t="n">
        <v>34206</v>
      </c>
      <c r="B10344" t="n">
        <v>5.51</v>
      </c>
      <c r="C10344" t="n">
        <v>2.98</v>
      </c>
    </row>
    <row r="10345">
      <c r="A10345" s="28" t="n">
        <v>34207</v>
      </c>
      <c r="B10345" t="n">
        <v>5.42</v>
      </c>
      <c r="C10345" t="n">
        <v>3</v>
      </c>
    </row>
    <row r="10346">
      <c r="A10346" s="28" t="n">
        <v>34208</v>
      </c>
      <c r="B10346" t="n">
        <v>5.48</v>
      </c>
      <c r="C10346" t="n">
        <v>3.02</v>
      </c>
    </row>
    <row r="10347">
      <c r="A10347" s="28" t="n">
        <v>34211</v>
      </c>
      <c r="B10347" t="n">
        <v>5.44</v>
      </c>
      <c r="C10347" t="n">
        <v>3.02</v>
      </c>
    </row>
    <row r="10348">
      <c r="A10348" s="28" t="n">
        <v>34212</v>
      </c>
      <c r="B10348" t="n">
        <v>5.45</v>
      </c>
      <c r="C10348" t="n">
        <v>3.01</v>
      </c>
    </row>
    <row r="10349">
      <c r="A10349" s="28" t="n">
        <v>34213</v>
      </c>
      <c r="B10349" t="n">
        <v>5.46</v>
      </c>
      <c r="C10349" t="n">
        <v>3.01</v>
      </c>
    </row>
    <row r="10350">
      <c r="A10350" s="28" t="n">
        <v>34214</v>
      </c>
      <c r="B10350" t="n">
        <v>5.41</v>
      </c>
      <c r="C10350" t="n">
        <v>2.99</v>
      </c>
    </row>
    <row r="10351">
      <c r="A10351" s="28" t="n">
        <v>34215</v>
      </c>
      <c r="B10351" t="n">
        <v>5.31</v>
      </c>
      <c r="C10351" t="n">
        <v>2.94</v>
      </c>
    </row>
    <row r="10352">
      <c r="A10352" s="28" t="n">
        <v>34218</v>
      </c>
      <c r="B10352" t="n">
        <v>0</v>
      </c>
      <c r="C10352" t="n">
        <v>0</v>
      </c>
    </row>
    <row r="10353">
      <c r="A10353" s="28" t="n">
        <v>34219</v>
      </c>
      <c r="B10353" t="n">
        <v>5.23</v>
      </c>
      <c r="C10353" t="n">
        <v>2.93</v>
      </c>
    </row>
    <row r="10354">
      <c r="A10354" s="28" t="n">
        <v>34220</v>
      </c>
      <c r="B10354" t="n">
        <v>5.23</v>
      </c>
      <c r="C10354" t="n">
        <v>2.96</v>
      </c>
    </row>
    <row r="10355">
      <c r="A10355" s="28" t="n">
        <v>34221</v>
      </c>
      <c r="B10355" t="n">
        <v>5.35</v>
      </c>
      <c r="C10355" t="n">
        <v>2.98</v>
      </c>
    </row>
    <row r="10356">
      <c r="A10356" s="28" t="n">
        <v>34222</v>
      </c>
      <c r="B10356" t="n">
        <v>5.29</v>
      </c>
      <c r="C10356" t="n">
        <v>2.96</v>
      </c>
    </row>
    <row r="10357">
      <c r="A10357" s="28" t="n">
        <v>34225</v>
      </c>
      <c r="B10357" t="n">
        <v>5.26</v>
      </c>
      <c r="C10357" t="n">
        <v>2.97</v>
      </c>
    </row>
    <row r="10358">
      <c r="A10358" s="28" t="n">
        <v>34226</v>
      </c>
      <c r="B10358" t="n">
        <v>5.37</v>
      </c>
      <c r="C10358" t="n">
        <v>2.99</v>
      </c>
    </row>
    <row r="10359">
      <c r="A10359" s="28" t="n">
        <v>34227</v>
      </c>
      <c r="B10359" t="n">
        <v>5.39</v>
      </c>
      <c r="C10359" t="n">
        <v>2.96</v>
      </c>
    </row>
    <row r="10360">
      <c r="A10360" s="28" t="n">
        <v>34228</v>
      </c>
      <c r="B10360" t="n">
        <v>5.37</v>
      </c>
      <c r="C10360" t="n">
        <v>2.95</v>
      </c>
    </row>
    <row r="10361">
      <c r="A10361" s="28" t="n">
        <v>34229</v>
      </c>
      <c r="B10361" t="n">
        <v>5.38</v>
      </c>
      <c r="C10361" t="n">
        <v>2.95</v>
      </c>
    </row>
    <row r="10362">
      <c r="A10362" s="28" t="n">
        <v>34232</v>
      </c>
      <c r="B10362" t="n">
        <v>5.42</v>
      </c>
      <c r="C10362" t="n">
        <v>2.95</v>
      </c>
    </row>
    <row r="10363">
      <c r="A10363" s="28" t="n">
        <v>34233</v>
      </c>
      <c r="B10363" t="n">
        <v>5.47</v>
      </c>
      <c r="C10363" t="n">
        <v>2.92</v>
      </c>
    </row>
    <row r="10364">
      <c r="A10364" s="28" t="n">
        <v>34234</v>
      </c>
      <c r="B10364" t="n">
        <v>5.45</v>
      </c>
      <c r="C10364" t="n">
        <v>2.92</v>
      </c>
    </row>
    <row r="10365">
      <c r="A10365" s="28" t="n">
        <v>34235</v>
      </c>
      <c r="B10365" t="n">
        <v>5.42</v>
      </c>
      <c r="C10365" t="n">
        <v>2.93</v>
      </c>
    </row>
    <row r="10366">
      <c r="A10366" s="28" t="n">
        <v>34236</v>
      </c>
      <c r="B10366" t="n">
        <v>5.42</v>
      </c>
      <c r="C10366" t="n">
        <v>2.93</v>
      </c>
    </row>
    <row r="10367">
      <c r="A10367" s="28" t="n">
        <v>34239</v>
      </c>
      <c r="B10367" t="n">
        <v>5.3</v>
      </c>
      <c r="C10367" t="n">
        <v>2.91</v>
      </c>
    </row>
    <row r="10368">
      <c r="A10368" s="28" t="n">
        <v>34240</v>
      </c>
      <c r="B10368" t="n">
        <v>5.28</v>
      </c>
      <c r="C10368" t="n">
        <v>2.9</v>
      </c>
    </row>
    <row r="10369">
      <c r="A10369" s="28" t="n">
        <v>34241</v>
      </c>
      <c r="B10369" t="n">
        <v>5.35</v>
      </c>
      <c r="C10369" t="n">
        <v>2.93</v>
      </c>
    </row>
    <row r="10370">
      <c r="A10370" s="28" t="n">
        <v>34242</v>
      </c>
      <c r="B10370" t="n">
        <v>5.4</v>
      </c>
      <c r="C10370" t="n">
        <v>2.92</v>
      </c>
    </row>
    <row r="10371">
      <c r="A10371" s="28" t="n">
        <v>34243</v>
      </c>
      <c r="B10371" t="n">
        <v>5.34</v>
      </c>
      <c r="C10371" t="n">
        <v>2.92</v>
      </c>
    </row>
    <row r="10372">
      <c r="A10372" s="28" t="n">
        <v>34246</v>
      </c>
      <c r="B10372" t="n">
        <v>5.34</v>
      </c>
      <c r="C10372" t="n">
        <v>2.93</v>
      </c>
    </row>
    <row r="10373">
      <c r="A10373" s="28" t="n">
        <v>34247</v>
      </c>
      <c r="B10373" t="n">
        <v>5.35</v>
      </c>
      <c r="C10373" t="n">
        <v>3</v>
      </c>
    </row>
    <row r="10374">
      <c r="A10374" s="28" t="n">
        <v>34248</v>
      </c>
      <c r="B10374" t="n">
        <v>5.35</v>
      </c>
      <c r="C10374" t="n">
        <v>2.98</v>
      </c>
    </row>
    <row r="10375">
      <c r="A10375" s="28" t="n">
        <v>34249</v>
      </c>
      <c r="B10375" t="n">
        <v>5.33</v>
      </c>
      <c r="C10375" t="n">
        <v>2.98</v>
      </c>
    </row>
    <row r="10376">
      <c r="A10376" s="28" t="n">
        <v>34250</v>
      </c>
      <c r="B10376" t="n">
        <v>5.26</v>
      </c>
      <c r="C10376" t="n">
        <v>2.98</v>
      </c>
    </row>
    <row r="10377">
      <c r="A10377" s="28" t="n">
        <v>34253</v>
      </c>
      <c r="B10377" t="n">
        <v>0</v>
      </c>
      <c r="C10377" t="n">
        <v>0</v>
      </c>
    </row>
    <row r="10378">
      <c r="A10378" s="28" t="n">
        <v>34254</v>
      </c>
      <c r="B10378" t="n">
        <v>5.27</v>
      </c>
      <c r="C10378" t="n">
        <v>3.01</v>
      </c>
    </row>
    <row r="10379">
      <c r="A10379" s="28" t="n">
        <v>34255</v>
      </c>
      <c r="B10379" t="n">
        <v>5.27</v>
      </c>
      <c r="C10379" t="n">
        <v>3.03</v>
      </c>
    </row>
    <row r="10380">
      <c r="A10380" s="28" t="n">
        <v>34256</v>
      </c>
      <c r="B10380" t="n">
        <v>5.23</v>
      </c>
      <c r="C10380" t="n">
        <v>3.01</v>
      </c>
    </row>
    <row r="10381">
      <c r="A10381" s="28" t="n">
        <v>34257</v>
      </c>
      <c r="B10381" t="n">
        <v>5.19</v>
      </c>
      <c r="C10381" t="n">
        <v>3.01</v>
      </c>
    </row>
    <row r="10382">
      <c r="A10382" s="28" t="n">
        <v>34260</v>
      </c>
      <c r="B10382" t="n">
        <v>5.27</v>
      </c>
      <c r="C10382" t="n">
        <v>3.02</v>
      </c>
    </row>
    <row r="10383">
      <c r="A10383" s="28" t="n">
        <v>34261</v>
      </c>
      <c r="B10383" t="n">
        <v>5.27</v>
      </c>
      <c r="C10383" t="n">
        <v>3.06</v>
      </c>
    </row>
    <row r="10384">
      <c r="A10384" s="28" t="n">
        <v>34262</v>
      </c>
      <c r="B10384" t="n">
        <v>5.26</v>
      </c>
      <c r="C10384" t="n">
        <v>3.04</v>
      </c>
    </row>
    <row r="10385">
      <c r="A10385" s="28" t="n">
        <v>34263</v>
      </c>
      <c r="B10385" t="n">
        <v>5.35</v>
      </c>
      <c r="C10385" t="n">
        <v>3.05</v>
      </c>
    </row>
    <row r="10386">
      <c r="A10386" s="28" t="n">
        <v>34264</v>
      </c>
      <c r="B10386" t="n">
        <v>5.42</v>
      </c>
      <c r="C10386" t="n">
        <v>3.04</v>
      </c>
    </row>
    <row r="10387">
      <c r="A10387" s="28" t="n">
        <v>34267</v>
      </c>
      <c r="B10387" t="n">
        <v>5.47</v>
      </c>
      <c r="C10387" t="n">
        <v>3.04</v>
      </c>
    </row>
    <row r="10388">
      <c r="A10388" s="28" t="n">
        <v>34268</v>
      </c>
      <c r="B10388" t="n">
        <v>5.43</v>
      </c>
      <c r="C10388" t="n">
        <v>3.09</v>
      </c>
    </row>
    <row r="10389">
      <c r="A10389" s="28" t="n">
        <v>34269</v>
      </c>
      <c r="B10389" t="n">
        <v>5.44</v>
      </c>
      <c r="C10389" t="n">
        <v>3.09</v>
      </c>
    </row>
    <row r="10390">
      <c r="A10390" s="28" t="n">
        <v>34270</v>
      </c>
      <c r="B10390" t="n">
        <v>5.41</v>
      </c>
      <c r="C10390" t="n">
        <v>3.04</v>
      </c>
    </row>
    <row r="10391">
      <c r="A10391" s="28" t="n">
        <v>34271</v>
      </c>
      <c r="B10391" t="n">
        <v>5.43</v>
      </c>
      <c r="C10391" t="n">
        <v>3.03</v>
      </c>
    </row>
    <row r="10392">
      <c r="A10392" s="28" t="n">
        <v>34274</v>
      </c>
      <c r="B10392" t="n">
        <v>5.56</v>
      </c>
      <c r="C10392" t="n">
        <v>3.06</v>
      </c>
    </row>
    <row r="10393">
      <c r="A10393" s="28" t="n">
        <v>34275</v>
      </c>
      <c r="B10393" t="n">
        <v>5.63</v>
      </c>
      <c r="C10393" t="n">
        <v>3.12</v>
      </c>
    </row>
    <row r="10394">
      <c r="A10394" s="28" t="n">
        <v>34276</v>
      </c>
      <c r="B10394" t="n">
        <v>5.67</v>
      </c>
      <c r="C10394" t="n">
        <v>3.09</v>
      </c>
    </row>
    <row r="10395">
      <c r="A10395" s="28" t="n">
        <v>34277</v>
      </c>
      <c r="B10395" t="n">
        <v>5.67</v>
      </c>
      <c r="C10395" t="n">
        <v>3.08</v>
      </c>
    </row>
    <row r="10396">
      <c r="A10396" s="28" t="n">
        <v>34278</v>
      </c>
      <c r="B10396" t="n">
        <v>5.75</v>
      </c>
      <c r="C10396" t="n">
        <v>3.06</v>
      </c>
    </row>
    <row r="10397">
      <c r="A10397" s="28" t="n">
        <v>34281</v>
      </c>
      <c r="B10397" t="n">
        <v>5.7</v>
      </c>
      <c r="C10397" t="n">
        <v>3.06</v>
      </c>
    </row>
    <row r="10398">
      <c r="A10398" s="28" t="n">
        <v>34282</v>
      </c>
      <c r="B10398" t="n">
        <v>5.64</v>
      </c>
      <c r="C10398" t="n">
        <v>3.11</v>
      </c>
    </row>
    <row r="10399">
      <c r="A10399" s="28" t="n">
        <v>34283</v>
      </c>
      <c r="B10399" t="n">
        <v>5.72</v>
      </c>
      <c r="C10399" t="n">
        <v>3.12</v>
      </c>
    </row>
    <row r="10400">
      <c r="A10400" s="28" t="n">
        <v>34284</v>
      </c>
      <c r="B10400" t="n">
        <v>0</v>
      </c>
      <c r="C10400" t="n">
        <v>0</v>
      </c>
    </row>
    <row r="10401">
      <c r="A10401" s="28" t="n">
        <v>34285</v>
      </c>
      <c r="B10401" t="n">
        <v>5.66</v>
      </c>
      <c r="C10401" t="n">
        <v>3.11</v>
      </c>
    </row>
    <row r="10402">
      <c r="A10402" s="28" t="n">
        <v>34288</v>
      </c>
      <c r="B10402" t="n">
        <v>5.69</v>
      </c>
      <c r="C10402" t="n">
        <v>3.11</v>
      </c>
    </row>
    <row r="10403">
      <c r="A10403" s="28" t="n">
        <v>34289</v>
      </c>
      <c r="B10403" t="n">
        <v>5.66</v>
      </c>
      <c r="C10403" t="n">
        <v>3.09</v>
      </c>
    </row>
    <row r="10404">
      <c r="A10404" s="28" t="n">
        <v>34290</v>
      </c>
      <c r="B10404" t="n">
        <v>5.65</v>
      </c>
      <c r="C10404" t="n">
        <v>3.09</v>
      </c>
    </row>
    <row r="10405">
      <c r="A10405" s="28" t="n">
        <v>34291</v>
      </c>
      <c r="B10405" t="n">
        <v>5.72</v>
      </c>
      <c r="C10405" t="n">
        <v>3.11</v>
      </c>
    </row>
    <row r="10406">
      <c r="A10406" s="28" t="n">
        <v>34292</v>
      </c>
      <c r="B10406" t="n">
        <v>5.84</v>
      </c>
      <c r="C10406" t="n">
        <v>3.13</v>
      </c>
    </row>
    <row r="10407">
      <c r="A10407" s="28" t="n">
        <v>34295</v>
      </c>
      <c r="B10407" t="n">
        <v>5.89</v>
      </c>
      <c r="C10407" t="n">
        <v>3.13</v>
      </c>
    </row>
    <row r="10408">
      <c r="A10408" s="28" t="n">
        <v>34296</v>
      </c>
      <c r="B10408" t="n">
        <v>5.82</v>
      </c>
      <c r="C10408" t="n">
        <v>3.12</v>
      </c>
    </row>
    <row r="10409">
      <c r="A10409" s="28" t="n">
        <v>34297</v>
      </c>
      <c r="B10409" t="n">
        <v>5.84</v>
      </c>
      <c r="C10409" t="n">
        <v>3.12</v>
      </c>
    </row>
    <row r="10410">
      <c r="A10410" s="28" t="n">
        <v>34298</v>
      </c>
      <c r="B10410" t="n">
        <v>0</v>
      </c>
      <c r="C10410" t="n">
        <v>0</v>
      </c>
    </row>
    <row r="10411">
      <c r="A10411" s="28" t="n">
        <v>34299</v>
      </c>
      <c r="B10411" t="n">
        <v>5.78</v>
      </c>
      <c r="C10411" t="n">
        <v>3.11</v>
      </c>
    </row>
    <row r="10412">
      <c r="A10412" s="28" t="n">
        <v>34302</v>
      </c>
      <c r="B10412" t="n">
        <v>5.76</v>
      </c>
      <c r="C10412" t="n">
        <v>3.12</v>
      </c>
    </row>
    <row r="10413">
      <c r="A10413" s="28" t="n">
        <v>34303</v>
      </c>
      <c r="B10413" t="n">
        <v>5.83</v>
      </c>
      <c r="C10413" t="n">
        <v>3.14</v>
      </c>
    </row>
    <row r="10414">
      <c r="A10414" s="28" t="n">
        <v>34304</v>
      </c>
      <c r="B10414" t="n">
        <v>5.82</v>
      </c>
      <c r="C10414" t="n">
        <v>3.12</v>
      </c>
    </row>
    <row r="10415">
      <c r="A10415" s="28" t="n">
        <v>34305</v>
      </c>
      <c r="B10415" t="n">
        <v>5.81</v>
      </c>
      <c r="C10415" t="n">
        <v>3.11</v>
      </c>
    </row>
    <row r="10416">
      <c r="A10416" s="28" t="n">
        <v>34306</v>
      </c>
      <c r="B10416" t="n">
        <v>5.8</v>
      </c>
      <c r="C10416" t="n">
        <v>3.11</v>
      </c>
    </row>
    <row r="10417">
      <c r="A10417" s="28" t="n">
        <v>34309</v>
      </c>
      <c r="B10417" t="n">
        <v>5.72</v>
      </c>
      <c r="C10417" t="n">
        <v>3.09</v>
      </c>
    </row>
    <row r="10418">
      <c r="A10418" s="28" t="n">
        <v>34310</v>
      </c>
      <c r="B10418" t="n">
        <v>5.71</v>
      </c>
      <c r="C10418" t="n">
        <v>3.09</v>
      </c>
    </row>
    <row r="10419">
      <c r="A10419" s="28" t="n">
        <v>34311</v>
      </c>
      <c r="B10419" t="n">
        <v>5.71</v>
      </c>
      <c r="C10419" t="n">
        <v>3.08</v>
      </c>
    </row>
    <row r="10420">
      <c r="A10420" s="28" t="n">
        <v>34312</v>
      </c>
      <c r="B10420" t="n">
        <v>5.68</v>
      </c>
      <c r="C10420" t="n">
        <v>3.06</v>
      </c>
    </row>
    <row r="10421">
      <c r="A10421" s="28" t="n">
        <v>34313</v>
      </c>
      <c r="B10421" t="n">
        <v>5.73</v>
      </c>
      <c r="C10421" t="n">
        <v>3.05</v>
      </c>
    </row>
    <row r="10422">
      <c r="A10422" s="28" t="n">
        <v>34316</v>
      </c>
      <c r="B10422" t="n">
        <v>5.78</v>
      </c>
      <c r="C10422" t="n">
        <v>3.05</v>
      </c>
    </row>
    <row r="10423">
      <c r="A10423" s="28" t="n">
        <v>34317</v>
      </c>
      <c r="B10423" t="n">
        <v>5.82</v>
      </c>
      <c r="C10423" t="n">
        <v>3.04</v>
      </c>
    </row>
    <row r="10424">
      <c r="A10424" s="28" t="n">
        <v>34318</v>
      </c>
      <c r="B10424" t="n">
        <v>5.83</v>
      </c>
      <c r="C10424" t="n">
        <v>3.03</v>
      </c>
    </row>
    <row r="10425">
      <c r="A10425" s="28" t="n">
        <v>34319</v>
      </c>
      <c r="B10425" t="n">
        <v>5.84</v>
      </c>
      <c r="C10425" t="n">
        <v>3.03</v>
      </c>
    </row>
    <row r="10426">
      <c r="A10426" s="28" t="n">
        <v>34320</v>
      </c>
      <c r="B10426" t="n">
        <v>5.81</v>
      </c>
      <c r="C10426" t="n">
        <v>3.03</v>
      </c>
    </row>
    <row r="10427">
      <c r="A10427" s="28" t="n">
        <v>34323</v>
      </c>
      <c r="B10427" t="n">
        <v>5.83</v>
      </c>
      <c r="C10427" t="n">
        <v>3.05</v>
      </c>
    </row>
    <row r="10428">
      <c r="A10428" s="28" t="n">
        <v>34324</v>
      </c>
      <c r="B10428" t="n">
        <v>5.85</v>
      </c>
      <c r="C10428" t="n">
        <v>3.07</v>
      </c>
    </row>
    <row r="10429">
      <c r="A10429" s="28" t="n">
        <v>34325</v>
      </c>
      <c r="B10429" t="n">
        <v>5.74</v>
      </c>
      <c r="C10429" t="n">
        <v>3.06</v>
      </c>
    </row>
    <row r="10430">
      <c r="A10430" s="28" t="n">
        <v>34326</v>
      </c>
      <c r="B10430" t="n">
        <v>5.72</v>
      </c>
      <c r="C10430" t="n">
        <v>3.06</v>
      </c>
    </row>
    <row r="10431">
      <c r="A10431" s="28" t="n">
        <v>34327</v>
      </c>
      <c r="B10431" t="n">
        <v>0</v>
      </c>
      <c r="C10431" t="n">
        <v>0</v>
      </c>
    </row>
    <row r="10432">
      <c r="A10432" s="28" t="n">
        <v>34330</v>
      </c>
      <c r="B10432" t="n">
        <v>5.72</v>
      </c>
      <c r="C10432" t="n">
        <v>3.06</v>
      </c>
    </row>
    <row r="10433">
      <c r="A10433" s="28" t="n">
        <v>34331</v>
      </c>
      <c r="B10433" t="n">
        <v>5.72</v>
      </c>
      <c r="C10433" t="n">
        <v>3.06</v>
      </c>
    </row>
    <row r="10434">
      <c r="A10434" s="28" t="n">
        <v>34332</v>
      </c>
      <c r="B10434" t="n">
        <v>5.74</v>
      </c>
      <c r="C10434" t="n">
        <v>3.01</v>
      </c>
    </row>
    <row r="10435">
      <c r="A10435" s="28" t="n">
        <v>34333</v>
      </c>
      <c r="B10435" t="n">
        <v>5.82</v>
      </c>
      <c r="C10435" t="n">
        <v>2.98</v>
      </c>
    </row>
    <row r="10436">
      <c r="A10436" s="28" t="n">
        <v>34334</v>
      </c>
      <c r="B10436" t="n">
        <v>5.83</v>
      </c>
      <c r="C10436" t="n">
        <v>3.01</v>
      </c>
    </row>
    <row r="10437">
      <c r="A10437" s="28" t="n">
        <v>34337</v>
      </c>
      <c r="B10437" t="n">
        <v>5.92</v>
      </c>
      <c r="C10437" t="n">
        <v>3.03</v>
      </c>
    </row>
    <row r="10438">
      <c r="A10438" s="28" t="n">
        <v>34338</v>
      </c>
      <c r="B10438" t="n">
        <v>5.88</v>
      </c>
      <c r="C10438" t="n">
        <v>3.08</v>
      </c>
    </row>
    <row r="10439">
      <c r="A10439" s="28" t="n">
        <v>34339</v>
      </c>
      <c r="B10439" t="n">
        <v>5.9</v>
      </c>
      <c r="C10439" t="n">
        <v>3.07</v>
      </c>
    </row>
    <row r="10440">
      <c r="A10440" s="28" t="n">
        <v>34340</v>
      </c>
      <c r="B10440" t="n">
        <v>5.84</v>
      </c>
      <c r="C10440" t="n">
        <v>3.05</v>
      </c>
    </row>
    <row r="10441">
      <c r="A10441" s="28" t="n">
        <v>34341</v>
      </c>
      <c r="B10441" t="n">
        <v>5.7</v>
      </c>
      <c r="C10441" t="n">
        <v>3.01</v>
      </c>
    </row>
    <row r="10442">
      <c r="A10442" s="28" t="n">
        <v>34344</v>
      </c>
      <c r="B10442" t="n">
        <v>5.67</v>
      </c>
      <c r="C10442" t="n">
        <v>2.99</v>
      </c>
    </row>
    <row r="10443">
      <c r="A10443" s="28" t="n">
        <v>34345</v>
      </c>
      <c r="B10443" t="n">
        <v>5.67</v>
      </c>
      <c r="C10443" t="n">
        <v>2.98</v>
      </c>
    </row>
    <row r="10444">
      <c r="A10444" s="28" t="n">
        <v>34346</v>
      </c>
      <c r="B10444" t="n">
        <v>5.6</v>
      </c>
      <c r="C10444" t="n">
        <v>2.96</v>
      </c>
    </row>
    <row r="10445">
      <c r="A10445" s="28" t="n">
        <v>34347</v>
      </c>
      <c r="B10445" t="n">
        <v>5.71</v>
      </c>
      <c r="C10445" t="n">
        <v>2.95</v>
      </c>
    </row>
    <row r="10446">
      <c r="A10446" s="28" t="n">
        <v>34348</v>
      </c>
      <c r="B10446" t="n">
        <v>5.78</v>
      </c>
      <c r="C10446" t="n">
        <v>2.97</v>
      </c>
    </row>
    <row r="10447">
      <c r="A10447" s="28" t="n">
        <v>34351</v>
      </c>
      <c r="B10447" t="n">
        <v>0</v>
      </c>
      <c r="C10447" t="n">
        <v>0</v>
      </c>
    </row>
    <row r="10448">
      <c r="A10448" s="28" t="n">
        <v>34352</v>
      </c>
      <c r="B10448" t="n">
        <v>5.74</v>
      </c>
      <c r="C10448" t="n">
        <v>2.96</v>
      </c>
    </row>
    <row r="10449">
      <c r="A10449" s="28" t="n">
        <v>34353</v>
      </c>
      <c r="B10449" t="n">
        <v>5.76</v>
      </c>
      <c r="C10449" t="n">
        <v>2.97</v>
      </c>
    </row>
    <row r="10450">
      <c r="A10450" s="28" t="n">
        <v>34354</v>
      </c>
      <c r="B10450" t="n">
        <v>5.71</v>
      </c>
      <c r="C10450" t="n">
        <v>2.95</v>
      </c>
    </row>
    <row r="10451">
      <c r="A10451" s="28" t="n">
        <v>34355</v>
      </c>
      <c r="B10451" t="n">
        <v>5.73</v>
      </c>
      <c r="C10451" t="n">
        <v>2.95</v>
      </c>
    </row>
    <row r="10452">
      <c r="A10452" s="28" t="n">
        <v>34358</v>
      </c>
      <c r="B10452" t="n">
        <v>5.74</v>
      </c>
      <c r="C10452" t="n">
        <v>2.93</v>
      </c>
    </row>
    <row r="10453">
      <c r="A10453" s="28" t="n">
        <v>34359</v>
      </c>
      <c r="B10453" t="n">
        <v>5.78</v>
      </c>
      <c r="C10453" t="n">
        <v>2.93</v>
      </c>
    </row>
    <row r="10454">
      <c r="A10454" s="28" t="n">
        <v>34360</v>
      </c>
      <c r="B10454" t="n">
        <v>5.77</v>
      </c>
      <c r="C10454" t="n">
        <v>2.92</v>
      </c>
    </row>
    <row r="10455">
      <c r="A10455" s="28" t="n">
        <v>34361</v>
      </c>
      <c r="B10455" t="n">
        <v>5.73</v>
      </c>
      <c r="C10455" t="n">
        <v>2.92</v>
      </c>
    </row>
    <row r="10456">
      <c r="A10456" s="28" t="n">
        <v>34362</v>
      </c>
      <c r="B10456" t="n">
        <v>5.68</v>
      </c>
      <c r="C10456" t="n">
        <v>2.93</v>
      </c>
    </row>
    <row r="10457">
      <c r="A10457" s="28" t="n">
        <v>34365</v>
      </c>
      <c r="B10457" t="n">
        <v>5.7</v>
      </c>
      <c r="C10457" t="n">
        <v>2.96</v>
      </c>
    </row>
    <row r="10458">
      <c r="A10458" s="28" t="n">
        <v>34366</v>
      </c>
      <c r="B10458" t="n">
        <v>5.77</v>
      </c>
      <c r="C10458" t="n">
        <v>3.03</v>
      </c>
    </row>
    <row r="10459">
      <c r="A10459" s="28" t="n">
        <v>34367</v>
      </c>
      <c r="B10459" t="n">
        <v>5.77</v>
      </c>
      <c r="C10459" t="n">
        <v>3.06</v>
      </c>
    </row>
    <row r="10460">
      <c r="A10460" s="28" t="n">
        <v>34368</v>
      </c>
      <c r="B10460" t="n">
        <v>5.81</v>
      </c>
      <c r="C10460" t="n">
        <v>3.13</v>
      </c>
    </row>
    <row r="10461">
      <c r="A10461" s="28" t="n">
        <v>34369</v>
      </c>
      <c r="B10461" t="n">
        <v>5.94</v>
      </c>
      <c r="C10461" t="n">
        <v>3.23</v>
      </c>
    </row>
    <row r="10462">
      <c r="A10462" s="28" t="n">
        <v>34372</v>
      </c>
      <c r="B10462" t="n">
        <v>5.96</v>
      </c>
      <c r="C10462" t="n">
        <v>3.22</v>
      </c>
    </row>
    <row r="10463">
      <c r="A10463" s="28" t="n">
        <v>34373</v>
      </c>
      <c r="B10463" t="n">
        <v>6.01</v>
      </c>
      <c r="C10463" t="n">
        <v>3.25</v>
      </c>
    </row>
    <row r="10464">
      <c r="A10464" s="28" t="n">
        <v>34374</v>
      </c>
      <c r="B10464" t="n">
        <v>5.92</v>
      </c>
      <c r="C10464" t="n">
        <v>3.25</v>
      </c>
    </row>
    <row r="10465">
      <c r="A10465" s="28" t="n">
        <v>34375</v>
      </c>
      <c r="B10465" t="n">
        <v>5.91</v>
      </c>
      <c r="C10465" t="n">
        <v>3.26</v>
      </c>
    </row>
    <row r="10466">
      <c r="A10466" s="28" t="n">
        <v>34376</v>
      </c>
      <c r="B10466" t="n">
        <v>5.88</v>
      </c>
      <c r="C10466" t="n">
        <v>3.26</v>
      </c>
    </row>
    <row r="10467">
      <c r="A10467" s="28" t="n">
        <v>34379</v>
      </c>
      <c r="B10467" t="n">
        <v>5.9</v>
      </c>
      <c r="C10467" t="n">
        <v>3.26</v>
      </c>
    </row>
    <row r="10468">
      <c r="A10468" s="28" t="n">
        <v>34380</v>
      </c>
      <c r="B10468" t="n">
        <v>5.88</v>
      </c>
      <c r="C10468" t="n">
        <v>3.27</v>
      </c>
    </row>
    <row r="10469">
      <c r="A10469" s="28" t="n">
        <v>34381</v>
      </c>
      <c r="B10469" t="n">
        <v>5.89</v>
      </c>
      <c r="C10469" t="n">
        <v>3.27</v>
      </c>
    </row>
    <row r="10470">
      <c r="A10470" s="28" t="n">
        <v>34382</v>
      </c>
      <c r="B10470" t="n">
        <v>6</v>
      </c>
      <c r="C10470" t="n">
        <v>3.28</v>
      </c>
    </row>
    <row r="10471">
      <c r="A10471" s="28" t="n">
        <v>34383</v>
      </c>
      <c r="B10471" t="n">
        <v>6.09</v>
      </c>
      <c r="C10471" t="n">
        <v>3.29</v>
      </c>
    </row>
    <row r="10472">
      <c r="A10472" s="28" t="n">
        <v>34386</v>
      </c>
      <c r="B10472" t="n">
        <v>0</v>
      </c>
      <c r="C10472" t="n">
        <v>0</v>
      </c>
    </row>
    <row r="10473">
      <c r="A10473" s="28" t="n">
        <v>34387</v>
      </c>
      <c r="B10473" t="n">
        <v>6.05</v>
      </c>
      <c r="C10473" t="n">
        <v>3.29</v>
      </c>
    </row>
    <row r="10474">
      <c r="A10474" s="28" t="n">
        <v>34388</v>
      </c>
      <c r="B10474" t="n">
        <v>6.13</v>
      </c>
      <c r="C10474" t="n">
        <v>3.38</v>
      </c>
    </row>
    <row r="10475">
      <c r="A10475" s="28" t="n">
        <v>34389</v>
      </c>
      <c r="B10475" t="n">
        <v>6.22</v>
      </c>
      <c r="C10475" t="n">
        <v>3.36</v>
      </c>
    </row>
    <row r="10476">
      <c r="A10476" s="28" t="n">
        <v>34390</v>
      </c>
      <c r="B10476" t="n">
        <v>6.21</v>
      </c>
      <c r="C10476" t="n">
        <v>3.37</v>
      </c>
    </row>
    <row r="10477">
      <c r="A10477" s="28" t="n">
        <v>34393</v>
      </c>
      <c r="B10477" t="n">
        <v>6.15</v>
      </c>
      <c r="C10477" t="n">
        <v>3.36</v>
      </c>
    </row>
    <row r="10478">
      <c r="A10478" s="28" t="n">
        <v>34394</v>
      </c>
      <c r="B10478" t="n">
        <v>6.28</v>
      </c>
      <c r="C10478" t="n">
        <v>3.5</v>
      </c>
    </row>
    <row r="10479">
      <c r="A10479" s="28" t="n">
        <v>34395</v>
      </c>
      <c r="B10479" t="n">
        <v>6.3</v>
      </c>
      <c r="C10479" t="n">
        <v>3.47</v>
      </c>
    </row>
    <row r="10480">
      <c r="A10480" s="28" t="n">
        <v>34396</v>
      </c>
      <c r="B10480" t="n">
        <v>6.35</v>
      </c>
      <c r="C10480" t="n">
        <v>3.48</v>
      </c>
    </row>
    <row r="10481">
      <c r="A10481" s="28" t="n">
        <v>34397</v>
      </c>
      <c r="B10481" t="n">
        <v>6.38</v>
      </c>
      <c r="C10481" t="n">
        <v>3.53</v>
      </c>
    </row>
    <row r="10482">
      <c r="A10482" s="28" t="n">
        <v>34400</v>
      </c>
      <c r="B10482" t="n">
        <v>6.32</v>
      </c>
      <c r="C10482" t="n">
        <v>3.52</v>
      </c>
    </row>
    <row r="10483">
      <c r="A10483" s="28" t="n">
        <v>34401</v>
      </c>
      <c r="B10483" t="n">
        <v>6.38</v>
      </c>
      <c r="C10483" t="n">
        <v>3.55</v>
      </c>
    </row>
    <row r="10484">
      <c r="A10484" s="28" t="n">
        <v>34402</v>
      </c>
      <c r="B10484" t="n">
        <v>6.38</v>
      </c>
      <c r="C10484" t="n">
        <v>3.53</v>
      </c>
    </row>
    <row r="10485">
      <c r="A10485" s="28" t="n">
        <v>34403</v>
      </c>
      <c r="B10485" t="n">
        <v>6.48</v>
      </c>
      <c r="C10485" t="n">
        <v>3.49</v>
      </c>
    </row>
    <row r="10486">
      <c r="A10486" s="28" t="n">
        <v>34404</v>
      </c>
      <c r="B10486" t="n">
        <v>6.46</v>
      </c>
      <c r="C10486" t="n">
        <v>3.49</v>
      </c>
    </row>
    <row r="10487">
      <c r="A10487" s="28" t="n">
        <v>34407</v>
      </c>
      <c r="B10487" t="n">
        <v>6.5</v>
      </c>
      <c r="C10487" t="n">
        <v>3.54</v>
      </c>
    </row>
    <row r="10488">
      <c r="A10488" s="28" t="n">
        <v>34408</v>
      </c>
      <c r="B10488" t="n">
        <v>6.47</v>
      </c>
      <c r="C10488" t="n">
        <v>3.58</v>
      </c>
    </row>
    <row r="10489">
      <c r="A10489" s="28" t="n">
        <v>34409</v>
      </c>
      <c r="B10489" t="n">
        <v>6.4</v>
      </c>
      <c r="C10489" t="n">
        <v>3.53</v>
      </c>
    </row>
    <row r="10490">
      <c r="A10490" s="28" t="n">
        <v>34410</v>
      </c>
      <c r="B10490" t="n">
        <v>6.4</v>
      </c>
      <c r="C10490" t="n">
        <v>3.47</v>
      </c>
    </row>
    <row r="10491">
      <c r="A10491" s="28" t="n">
        <v>34411</v>
      </c>
      <c r="B10491" t="n">
        <v>6.49</v>
      </c>
      <c r="C10491" t="n">
        <v>3.48</v>
      </c>
    </row>
    <row r="10492">
      <c r="A10492" s="28" t="n">
        <v>34414</v>
      </c>
      <c r="B10492" t="n">
        <v>6.55</v>
      </c>
      <c r="C10492" t="n">
        <v>3.52</v>
      </c>
    </row>
    <row r="10493">
      <c r="A10493" s="28" t="n">
        <v>34415</v>
      </c>
      <c r="B10493" t="n">
        <v>6.44</v>
      </c>
      <c r="C10493" t="n">
        <v>3.52</v>
      </c>
    </row>
    <row r="10494">
      <c r="A10494" s="28" t="n">
        <v>34416</v>
      </c>
      <c r="B10494" t="n">
        <v>6.44</v>
      </c>
      <c r="C10494" t="n">
        <v>3.46</v>
      </c>
    </row>
    <row r="10495">
      <c r="A10495" s="28" t="n">
        <v>34417</v>
      </c>
      <c r="B10495" t="n">
        <v>6.58</v>
      </c>
      <c r="C10495" t="n">
        <v>3.45</v>
      </c>
    </row>
    <row r="10496">
      <c r="A10496" s="28" t="n">
        <v>34418</v>
      </c>
      <c r="B10496" t="n">
        <v>6.61</v>
      </c>
      <c r="C10496" t="n">
        <v>3.48</v>
      </c>
    </row>
    <row r="10497">
      <c r="A10497" s="28" t="n">
        <v>34421</v>
      </c>
      <c r="B10497" t="n">
        <v>6.63</v>
      </c>
      <c r="C10497" t="n">
        <v>3.5</v>
      </c>
    </row>
    <row r="10498">
      <c r="A10498" s="28" t="n">
        <v>34422</v>
      </c>
      <c r="B10498" t="n">
        <v>6.71</v>
      </c>
      <c r="C10498" t="n">
        <v>3.51</v>
      </c>
    </row>
    <row r="10499">
      <c r="A10499" s="28" t="n">
        <v>34423</v>
      </c>
      <c r="B10499" t="n">
        <v>6.78</v>
      </c>
      <c r="C10499" t="n">
        <v>3.49</v>
      </c>
    </row>
    <row r="10500">
      <c r="A10500" s="28" t="n">
        <v>34424</v>
      </c>
      <c r="B10500" t="n">
        <v>6.77</v>
      </c>
      <c r="C10500" t="n">
        <v>3.48</v>
      </c>
    </row>
    <row r="10501">
      <c r="A10501" s="28" t="n">
        <v>34425</v>
      </c>
      <c r="B10501" t="n">
        <v>0</v>
      </c>
      <c r="C10501" t="n">
        <v>0</v>
      </c>
    </row>
    <row r="10502">
      <c r="A10502" s="28" t="n">
        <v>34428</v>
      </c>
      <c r="B10502" t="n">
        <v>7.16</v>
      </c>
      <c r="C10502" t="n">
        <v>3.65</v>
      </c>
    </row>
    <row r="10503">
      <c r="A10503" s="28" t="n">
        <v>34429</v>
      </c>
      <c r="B10503" t="n">
        <v>6.97</v>
      </c>
      <c r="C10503" t="n">
        <v>3.66</v>
      </c>
    </row>
    <row r="10504">
      <c r="A10504" s="28" t="n">
        <v>34430</v>
      </c>
      <c r="B10504" t="n">
        <v>6.93</v>
      </c>
      <c r="C10504" t="n">
        <v>3.59</v>
      </c>
    </row>
    <row r="10505">
      <c r="A10505" s="28" t="n">
        <v>34431</v>
      </c>
      <c r="B10505" t="n">
        <v>6.86</v>
      </c>
      <c r="C10505" t="n">
        <v>3.53</v>
      </c>
    </row>
    <row r="10506">
      <c r="A10506" s="28" t="n">
        <v>34432</v>
      </c>
      <c r="B10506" t="n">
        <v>6.94</v>
      </c>
      <c r="C10506" t="n">
        <v>3.56</v>
      </c>
    </row>
    <row r="10507">
      <c r="A10507" s="28" t="n">
        <v>34435</v>
      </c>
      <c r="B10507" t="n">
        <v>6.92</v>
      </c>
      <c r="C10507" t="n">
        <v>3.54</v>
      </c>
    </row>
    <row r="10508">
      <c r="A10508" s="28" t="n">
        <v>34436</v>
      </c>
      <c r="B10508" t="n">
        <v>6.87</v>
      </c>
      <c r="C10508" t="n">
        <v>3.56</v>
      </c>
    </row>
    <row r="10509">
      <c r="A10509" s="28" t="n">
        <v>34437</v>
      </c>
      <c r="B10509" t="n">
        <v>6.93</v>
      </c>
      <c r="C10509" t="n">
        <v>3.56</v>
      </c>
    </row>
    <row r="10510">
      <c r="A10510" s="28" t="n">
        <v>34438</v>
      </c>
      <c r="B10510" t="n">
        <v>6.97</v>
      </c>
      <c r="C10510" t="n">
        <v>3.58</v>
      </c>
    </row>
    <row r="10511">
      <c r="A10511" s="28" t="n">
        <v>34439</v>
      </c>
      <c r="B10511" t="n">
        <v>6.97</v>
      </c>
      <c r="C10511" t="n">
        <v>3.59</v>
      </c>
    </row>
    <row r="10512">
      <c r="A10512" s="28" t="n">
        <v>34442</v>
      </c>
      <c r="B10512" t="n">
        <v>7.14</v>
      </c>
      <c r="C10512" t="n">
        <v>3.7</v>
      </c>
    </row>
    <row r="10513">
      <c r="A10513" s="28" t="n">
        <v>34443</v>
      </c>
      <c r="B10513" t="n">
        <v>7.1</v>
      </c>
      <c r="C10513" t="n">
        <v>3.74</v>
      </c>
    </row>
    <row r="10514">
      <c r="A10514" s="28" t="n">
        <v>34444</v>
      </c>
      <c r="B10514" t="n">
        <v>7.05</v>
      </c>
      <c r="C10514" t="n">
        <v>3.74</v>
      </c>
    </row>
    <row r="10515">
      <c r="A10515" s="28" t="n">
        <v>34445</v>
      </c>
      <c r="B10515" t="n">
        <v>6.91</v>
      </c>
      <c r="C10515" t="n">
        <v>3.74</v>
      </c>
    </row>
    <row r="10516">
      <c r="A10516" s="28" t="n">
        <v>34446</v>
      </c>
      <c r="B10516" t="n">
        <v>6.93</v>
      </c>
      <c r="C10516" t="n">
        <v>3.75</v>
      </c>
    </row>
    <row r="10517">
      <c r="A10517" s="28" t="n">
        <v>34449</v>
      </c>
      <c r="B10517" t="n">
        <v>6.86</v>
      </c>
      <c r="C10517" t="n">
        <v>3.76</v>
      </c>
    </row>
    <row r="10518">
      <c r="A10518" s="28" t="n">
        <v>34450</v>
      </c>
      <c r="B10518" t="n">
        <v>6.86</v>
      </c>
      <c r="C10518" t="n">
        <v>3.88</v>
      </c>
    </row>
    <row r="10519">
      <c r="A10519" s="28" t="n">
        <v>34451</v>
      </c>
      <c r="B10519" t="n">
        <v>0</v>
      </c>
      <c r="C10519" t="n">
        <v>0</v>
      </c>
    </row>
    <row r="10520">
      <c r="A10520" s="28" t="n">
        <v>34452</v>
      </c>
      <c r="B10520" t="n">
        <v>7.04</v>
      </c>
      <c r="C10520" t="n">
        <v>3.89</v>
      </c>
    </row>
    <row r="10521">
      <c r="A10521" s="28" t="n">
        <v>34453</v>
      </c>
      <c r="B10521" t="n">
        <v>7.06</v>
      </c>
      <c r="C10521" t="n">
        <v>3.87</v>
      </c>
    </row>
    <row r="10522">
      <c r="A10522" s="28" t="n">
        <v>34456</v>
      </c>
      <c r="B10522" t="n">
        <v>7.09</v>
      </c>
      <c r="C10522" t="n">
        <v>3.92</v>
      </c>
    </row>
    <row r="10523">
      <c r="A10523" s="28" t="n">
        <v>34457</v>
      </c>
      <c r="B10523" t="n">
        <v>7.13</v>
      </c>
      <c r="C10523" t="n">
        <v>4.02</v>
      </c>
    </row>
    <row r="10524">
      <c r="A10524" s="28" t="n">
        <v>34458</v>
      </c>
      <c r="B10524" t="n">
        <v>7.14</v>
      </c>
      <c r="C10524" t="n">
        <v>4.05</v>
      </c>
    </row>
    <row r="10525">
      <c r="A10525" s="28" t="n">
        <v>34459</v>
      </c>
      <c r="B10525" t="n">
        <v>7.11</v>
      </c>
      <c r="C10525" t="n">
        <v>4.03</v>
      </c>
    </row>
    <row r="10526">
      <c r="A10526" s="28" t="n">
        <v>34460</v>
      </c>
      <c r="B10526" t="n">
        <v>7.35</v>
      </c>
      <c r="C10526" t="n">
        <v>4.18</v>
      </c>
    </row>
    <row r="10527">
      <c r="A10527" s="28" t="n">
        <v>34463</v>
      </c>
      <c r="B10527" t="n">
        <v>7.49</v>
      </c>
      <c r="C10527" t="n">
        <v>4.25</v>
      </c>
    </row>
    <row r="10528">
      <c r="A10528" s="28" t="n">
        <v>34464</v>
      </c>
      <c r="B10528" t="n">
        <v>7.33</v>
      </c>
      <c r="C10528" t="n">
        <v>4.24</v>
      </c>
    </row>
    <row r="10529">
      <c r="A10529" s="28" t="n">
        <v>34465</v>
      </c>
      <c r="B10529" t="n">
        <v>7.4</v>
      </c>
      <c r="C10529" t="n">
        <v>4.22</v>
      </c>
    </row>
    <row r="10530">
      <c r="A10530" s="28" t="n">
        <v>34466</v>
      </c>
      <c r="B10530" t="n">
        <v>7.36</v>
      </c>
      <c r="C10530" t="n">
        <v>4.13</v>
      </c>
    </row>
    <row r="10531">
      <c r="A10531" s="28" t="n">
        <v>34467</v>
      </c>
      <c r="B10531" t="n">
        <v>7.29</v>
      </c>
      <c r="C10531" t="n">
        <v>4.12</v>
      </c>
    </row>
    <row r="10532">
      <c r="A10532" s="28" t="n">
        <v>34470</v>
      </c>
      <c r="B10532" t="n">
        <v>7.24</v>
      </c>
      <c r="C10532" t="n">
        <v>4.15</v>
      </c>
    </row>
    <row r="10533">
      <c r="A10533" s="28" t="n">
        <v>34471</v>
      </c>
      <c r="B10533" t="n">
        <v>7.03</v>
      </c>
      <c r="C10533" t="n">
        <v>4.2</v>
      </c>
    </row>
    <row r="10534">
      <c r="A10534" s="28" t="n">
        <v>34472</v>
      </c>
      <c r="B10534" t="n">
        <v>7.03</v>
      </c>
      <c r="C10534" t="n">
        <v>4.19</v>
      </c>
    </row>
    <row r="10535">
      <c r="A10535" s="28" t="n">
        <v>34473</v>
      </c>
      <c r="B10535" t="n">
        <v>6.96</v>
      </c>
      <c r="C10535" t="n">
        <v>4.13</v>
      </c>
    </row>
    <row r="10536">
      <c r="A10536" s="28" t="n">
        <v>34474</v>
      </c>
      <c r="B10536" t="n">
        <v>7.02</v>
      </c>
      <c r="C10536" t="n">
        <v>4.15</v>
      </c>
    </row>
    <row r="10537">
      <c r="A10537" s="28" t="n">
        <v>34477</v>
      </c>
      <c r="B10537" t="n">
        <v>7.19</v>
      </c>
      <c r="C10537" t="n">
        <v>4.16</v>
      </c>
    </row>
    <row r="10538">
      <c r="A10538" s="28" t="n">
        <v>34478</v>
      </c>
      <c r="B10538" t="n">
        <v>7.17</v>
      </c>
      <c r="C10538" t="n">
        <v>4.22</v>
      </c>
    </row>
    <row r="10539">
      <c r="A10539" s="28" t="n">
        <v>34479</v>
      </c>
      <c r="B10539" t="n">
        <v>7.14</v>
      </c>
      <c r="C10539" t="n">
        <v>4.18</v>
      </c>
    </row>
    <row r="10540">
      <c r="A10540" s="28" t="n">
        <v>34480</v>
      </c>
      <c r="B10540" t="n">
        <v>7.09</v>
      </c>
      <c r="C10540" t="n">
        <v>4.16</v>
      </c>
    </row>
    <row r="10541">
      <c r="A10541" s="28" t="n">
        <v>34481</v>
      </c>
      <c r="B10541" t="n">
        <v>7.12</v>
      </c>
      <c r="C10541" t="n">
        <v>4.18</v>
      </c>
    </row>
    <row r="10542">
      <c r="A10542" s="28" t="n">
        <v>34484</v>
      </c>
      <c r="B10542" t="n">
        <v>0</v>
      </c>
      <c r="C10542" t="n">
        <v>0</v>
      </c>
    </row>
    <row r="10543">
      <c r="A10543" s="28" t="n">
        <v>34485</v>
      </c>
      <c r="B10543" t="n">
        <v>7.17</v>
      </c>
      <c r="C10543" t="n">
        <v>4.16</v>
      </c>
    </row>
    <row r="10544">
      <c r="A10544" s="28" t="n">
        <v>34486</v>
      </c>
      <c r="B10544" t="n">
        <v>7.12</v>
      </c>
      <c r="C10544" t="n">
        <v>4.18</v>
      </c>
    </row>
    <row r="10545">
      <c r="A10545" s="28" t="n">
        <v>34487</v>
      </c>
      <c r="B10545" t="n">
        <v>7.07</v>
      </c>
      <c r="C10545" t="n">
        <v>4.13</v>
      </c>
    </row>
    <row r="10546">
      <c r="A10546" s="28" t="n">
        <v>34488</v>
      </c>
      <c r="B10546" t="n">
        <v>6.98</v>
      </c>
      <c r="C10546" t="n">
        <v>4.12</v>
      </c>
    </row>
    <row r="10547">
      <c r="A10547" s="28" t="n">
        <v>34491</v>
      </c>
      <c r="B10547" t="n">
        <v>6.91</v>
      </c>
      <c r="C10547" t="n">
        <v>4.09</v>
      </c>
    </row>
    <row r="10548">
      <c r="A10548" s="28" t="n">
        <v>34492</v>
      </c>
      <c r="B10548" t="n">
        <v>6.95</v>
      </c>
      <c r="C10548" t="n">
        <v>4.12</v>
      </c>
    </row>
    <row r="10549">
      <c r="A10549" s="28" t="n">
        <v>34493</v>
      </c>
      <c r="B10549" t="n">
        <v>6.96</v>
      </c>
      <c r="C10549" t="n">
        <v>4.11</v>
      </c>
    </row>
    <row r="10550">
      <c r="A10550" s="28" t="n">
        <v>34494</v>
      </c>
      <c r="B10550" t="n">
        <v>6.98</v>
      </c>
      <c r="C10550" t="n">
        <v>4.12</v>
      </c>
    </row>
    <row r="10551">
      <c r="A10551" s="28" t="n">
        <v>34495</v>
      </c>
      <c r="B10551" t="n">
        <v>7.03</v>
      </c>
      <c r="C10551" t="n">
        <v>4.11</v>
      </c>
    </row>
    <row r="10552">
      <c r="A10552" s="28" t="n">
        <v>34498</v>
      </c>
      <c r="B10552" t="n">
        <v>7.07</v>
      </c>
      <c r="C10552" t="n">
        <v>4.12</v>
      </c>
    </row>
    <row r="10553">
      <c r="A10553" s="28" t="n">
        <v>34499</v>
      </c>
      <c r="B10553" t="n">
        <v>7</v>
      </c>
      <c r="C10553" t="n">
        <v>4.11</v>
      </c>
    </row>
    <row r="10554">
      <c r="A10554" s="28" t="n">
        <v>34500</v>
      </c>
      <c r="B10554" t="n">
        <v>7.1</v>
      </c>
      <c r="C10554" t="n">
        <v>4.13</v>
      </c>
    </row>
    <row r="10555">
      <c r="A10555" s="28" t="n">
        <v>34501</v>
      </c>
      <c r="B10555" t="n">
        <v>7.07</v>
      </c>
      <c r="C10555" t="n">
        <v>4.11</v>
      </c>
    </row>
    <row r="10556">
      <c r="A10556" s="28" t="n">
        <v>34502</v>
      </c>
      <c r="B10556" t="n">
        <v>7.14</v>
      </c>
      <c r="C10556" t="n">
        <v>4.12</v>
      </c>
    </row>
    <row r="10557">
      <c r="A10557" s="28" t="n">
        <v>34505</v>
      </c>
      <c r="B10557" t="n">
        <v>7.16</v>
      </c>
      <c r="C10557" t="n">
        <v>4.12</v>
      </c>
    </row>
    <row r="10558">
      <c r="A10558" s="28" t="n">
        <v>34506</v>
      </c>
      <c r="B10558" t="n">
        <v>7.22</v>
      </c>
      <c r="C10558" t="n">
        <v>4.2</v>
      </c>
    </row>
    <row r="10559">
      <c r="A10559" s="28" t="n">
        <v>34507</v>
      </c>
      <c r="B10559" t="n">
        <v>7.13</v>
      </c>
      <c r="C10559" t="n">
        <v>4.18</v>
      </c>
    </row>
    <row r="10560">
      <c r="A10560" s="28" t="n">
        <v>34508</v>
      </c>
      <c r="B10560" t="n">
        <v>7.1</v>
      </c>
      <c r="C10560" t="n">
        <v>4.15</v>
      </c>
    </row>
    <row r="10561">
      <c r="A10561" s="28" t="n">
        <v>34509</v>
      </c>
      <c r="B10561" t="n">
        <v>7.22</v>
      </c>
      <c r="C10561" t="n">
        <v>4.17</v>
      </c>
    </row>
    <row r="10562">
      <c r="A10562" s="28" t="n">
        <v>34512</v>
      </c>
      <c r="B10562" t="n">
        <v>7.18</v>
      </c>
      <c r="C10562" t="n">
        <v>4.14</v>
      </c>
    </row>
    <row r="10563">
      <c r="A10563" s="28" t="n">
        <v>34513</v>
      </c>
      <c r="B10563" t="n">
        <v>7.26</v>
      </c>
      <c r="C10563" t="n">
        <v>4.18</v>
      </c>
    </row>
    <row r="10564">
      <c r="A10564" s="28" t="n">
        <v>34514</v>
      </c>
      <c r="B10564" t="n">
        <v>7.24</v>
      </c>
      <c r="C10564" t="n">
        <v>4.15</v>
      </c>
    </row>
    <row r="10565">
      <c r="A10565" s="28" t="n">
        <v>34515</v>
      </c>
      <c r="B10565" t="n">
        <v>7.34</v>
      </c>
      <c r="C10565" t="n">
        <v>4.15</v>
      </c>
    </row>
    <row r="10566">
      <c r="A10566" s="28" t="n">
        <v>34516</v>
      </c>
      <c r="B10566" t="n">
        <v>7.34</v>
      </c>
      <c r="C10566" t="n">
        <v>4.2</v>
      </c>
    </row>
    <row r="10567">
      <c r="A10567" s="28" t="n">
        <v>34519</v>
      </c>
      <c r="B10567" t="n">
        <v>0</v>
      </c>
      <c r="C10567" t="n">
        <v>0</v>
      </c>
    </row>
    <row r="10568">
      <c r="A10568" s="28" t="n">
        <v>34520</v>
      </c>
      <c r="B10568" t="n">
        <v>7.31</v>
      </c>
      <c r="C10568" t="n">
        <v>4.21</v>
      </c>
    </row>
    <row r="10569">
      <c r="A10569" s="28" t="n">
        <v>34521</v>
      </c>
      <c r="B10569" t="n">
        <v>7.32</v>
      </c>
      <c r="C10569" t="n">
        <v>4.28</v>
      </c>
    </row>
    <row r="10570">
      <c r="A10570" s="28" t="n">
        <v>34522</v>
      </c>
      <c r="B10570" t="n">
        <v>7.3</v>
      </c>
      <c r="C10570" t="n">
        <v>4.25</v>
      </c>
    </row>
    <row r="10571">
      <c r="A10571" s="28" t="n">
        <v>34523</v>
      </c>
      <c r="B10571" t="n">
        <v>7.42</v>
      </c>
      <c r="C10571" t="n">
        <v>4.37</v>
      </c>
    </row>
    <row r="10572">
      <c r="A10572" s="28" t="n">
        <v>34526</v>
      </c>
      <c r="B10572" t="n">
        <v>7.47</v>
      </c>
      <c r="C10572" t="n">
        <v>4.43</v>
      </c>
    </row>
    <row r="10573">
      <c r="A10573" s="28" t="n">
        <v>34527</v>
      </c>
      <c r="B10573" t="n">
        <v>7.43</v>
      </c>
      <c r="C10573" t="n">
        <v>4.45</v>
      </c>
    </row>
    <row r="10574">
      <c r="A10574" s="28" t="n">
        <v>34528</v>
      </c>
      <c r="B10574" t="n">
        <v>7.41</v>
      </c>
      <c r="C10574" t="n">
        <v>4.41</v>
      </c>
    </row>
    <row r="10575">
      <c r="A10575" s="28" t="n">
        <v>34529</v>
      </c>
      <c r="B10575" t="n">
        <v>7.25</v>
      </c>
      <c r="C10575" t="n">
        <v>4.3</v>
      </c>
    </row>
    <row r="10576">
      <c r="A10576" s="28" t="n">
        <v>34530</v>
      </c>
      <c r="B10576" t="n">
        <v>7.25</v>
      </c>
      <c r="C10576" t="n">
        <v>4.26</v>
      </c>
    </row>
    <row r="10577">
      <c r="A10577" s="28" t="n">
        <v>34533</v>
      </c>
      <c r="B10577" t="n">
        <v>7.2</v>
      </c>
      <c r="C10577" t="n">
        <v>4.24</v>
      </c>
    </row>
    <row r="10578">
      <c r="A10578" s="28" t="n">
        <v>34534</v>
      </c>
      <c r="B10578" t="n">
        <v>7.15</v>
      </c>
      <c r="C10578" t="n">
        <v>4.26</v>
      </c>
    </row>
    <row r="10579">
      <c r="A10579" s="28" t="n">
        <v>34535</v>
      </c>
      <c r="B10579" t="n">
        <v>7.25</v>
      </c>
      <c r="C10579" t="n">
        <v>4.3</v>
      </c>
    </row>
    <row r="10580">
      <c r="A10580" s="28" t="n">
        <v>34536</v>
      </c>
      <c r="B10580" t="n">
        <v>7.27</v>
      </c>
      <c r="C10580" t="n">
        <v>4.33</v>
      </c>
    </row>
    <row r="10581">
      <c r="A10581" s="28" t="n">
        <v>34537</v>
      </c>
      <c r="B10581" t="n">
        <v>7.29</v>
      </c>
      <c r="C10581" t="n">
        <v>4.38</v>
      </c>
    </row>
    <row r="10582">
      <c r="A10582" s="28" t="n">
        <v>34540</v>
      </c>
      <c r="B10582" t="n">
        <v>7.27</v>
      </c>
      <c r="C10582" t="n">
        <v>4.38</v>
      </c>
    </row>
    <row r="10583">
      <c r="A10583" s="28" t="n">
        <v>34541</v>
      </c>
      <c r="B10583" t="n">
        <v>7.28</v>
      </c>
      <c r="C10583" t="n">
        <v>4.41</v>
      </c>
    </row>
    <row r="10584">
      <c r="A10584" s="28" t="n">
        <v>34542</v>
      </c>
      <c r="B10584" t="n">
        <v>7.34</v>
      </c>
      <c r="C10584" t="n">
        <v>4.46</v>
      </c>
    </row>
    <row r="10585">
      <c r="A10585" s="28" t="n">
        <v>34543</v>
      </c>
      <c r="B10585" t="n">
        <v>7.29</v>
      </c>
      <c r="C10585" t="n">
        <v>4.42</v>
      </c>
    </row>
    <row r="10586">
      <c r="A10586" s="28" t="n">
        <v>34544</v>
      </c>
      <c r="B10586" t="n">
        <v>7.12</v>
      </c>
      <c r="C10586" t="n">
        <v>4.27</v>
      </c>
    </row>
    <row r="10587">
      <c r="A10587" s="28" t="n">
        <v>34547</v>
      </c>
      <c r="B10587" t="n">
        <v>7.13</v>
      </c>
      <c r="C10587" t="n">
        <v>4.28</v>
      </c>
    </row>
    <row r="10588">
      <c r="A10588" s="28" t="n">
        <v>34548</v>
      </c>
      <c r="B10588" t="n">
        <v>7.11</v>
      </c>
      <c r="C10588" t="n">
        <v>4.33</v>
      </c>
    </row>
    <row r="10589">
      <c r="A10589" s="28" t="n">
        <v>34549</v>
      </c>
      <c r="B10589" t="n">
        <v>7.09</v>
      </c>
      <c r="C10589" t="n">
        <v>4.33</v>
      </c>
    </row>
    <row r="10590">
      <c r="A10590" s="28" t="n">
        <v>34550</v>
      </c>
      <c r="B10590" t="n">
        <v>7.12</v>
      </c>
      <c r="C10590" t="n">
        <v>4.32</v>
      </c>
    </row>
    <row r="10591">
      <c r="A10591" s="28" t="n">
        <v>34551</v>
      </c>
      <c r="B10591" t="n">
        <v>7.28</v>
      </c>
      <c r="C10591" t="n">
        <v>4.46</v>
      </c>
    </row>
    <row r="10592">
      <c r="A10592" s="28" t="n">
        <v>34554</v>
      </c>
      <c r="B10592" t="n">
        <v>7.28</v>
      </c>
      <c r="C10592" t="n">
        <v>4.47</v>
      </c>
    </row>
    <row r="10593">
      <c r="A10593" s="28" t="n">
        <v>34555</v>
      </c>
      <c r="B10593" t="n">
        <v>7.33</v>
      </c>
      <c r="C10593" t="n">
        <v>4.45</v>
      </c>
    </row>
    <row r="10594">
      <c r="A10594" s="28" t="n">
        <v>34556</v>
      </c>
      <c r="B10594" t="n">
        <v>7.3</v>
      </c>
      <c r="C10594" t="n">
        <v>4.38</v>
      </c>
    </row>
    <row r="10595">
      <c r="A10595" s="28" t="n">
        <v>34557</v>
      </c>
      <c r="B10595" t="n">
        <v>7.36</v>
      </c>
      <c r="C10595" t="n">
        <v>4.34</v>
      </c>
    </row>
    <row r="10596">
      <c r="A10596" s="28" t="n">
        <v>34558</v>
      </c>
      <c r="B10596" t="n">
        <v>7.27</v>
      </c>
      <c r="C10596" t="n">
        <v>4.38</v>
      </c>
    </row>
    <row r="10597">
      <c r="A10597" s="28" t="n">
        <v>34561</v>
      </c>
      <c r="B10597" t="n">
        <v>7.3</v>
      </c>
      <c r="C10597" t="n">
        <v>4.45</v>
      </c>
    </row>
    <row r="10598">
      <c r="A10598" s="28" t="n">
        <v>34562</v>
      </c>
      <c r="B10598" t="n">
        <v>7.19</v>
      </c>
      <c r="C10598" t="n">
        <v>4.62</v>
      </c>
    </row>
    <row r="10599">
      <c r="A10599" s="28" t="n">
        <v>34563</v>
      </c>
      <c r="B10599" t="n">
        <v>7.15</v>
      </c>
      <c r="C10599" t="n">
        <v>4.57</v>
      </c>
    </row>
    <row r="10600">
      <c r="A10600" s="28" t="n">
        <v>34564</v>
      </c>
      <c r="B10600" t="n">
        <v>7.28</v>
      </c>
      <c r="C10600" t="n">
        <v>4.59</v>
      </c>
    </row>
    <row r="10601">
      <c r="A10601" s="28" t="n">
        <v>34565</v>
      </c>
      <c r="B10601" t="n">
        <v>7.27</v>
      </c>
      <c r="C10601" t="n">
        <v>4.56</v>
      </c>
    </row>
    <row r="10602">
      <c r="A10602" s="28" t="n">
        <v>34568</v>
      </c>
      <c r="B10602" t="n">
        <v>7.31</v>
      </c>
      <c r="C10602" t="n">
        <v>4.54</v>
      </c>
    </row>
    <row r="10603">
      <c r="A10603" s="28" t="n">
        <v>34569</v>
      </c>
      <c r="B10603" t="n">
        <v>7.28</v>
      </c>
      <c r="C10603" t="n">
        <v>4.57</v>
      </c>
    </row>
    <row r="10604">
      <c r="A10604" s="28" t="n">
        <v>34570</v>
      </c>
      <c r="B10604" t="n">
        <v>7.22</v>
      </c>
      <c r="C10604" t="n">
        <v>4.54</v>
      </c>
    </row>
    <row r="10605">
      <c r="A10605" s="28" t="n">
        <v>34571</v>
      </c>
      <c r="B10605" t="n">
        <v>7.29</v>
      </c>
      <c r="C10605" t="n">
        <v>4.56</v>
      </c>
    </row>
    <row r="10606">
      <c r="A10606" s="28" t="n">
        <v>34572</v>
      </c>
      <c r="B10606" t="n">
        <v>7.24</v>
      </c>
      <c r="C10606" t="n">
        <v>4.56</v>
      </c>
    </row>
    <row r="10607">
      <c r="A10607" s="28" t="n">
        <v>34575</v>
      </c>
      <c r="B10607" t="n">
        <v>7.24</v>
      </c>
      <c r="C10607" t="n">
        <v>4.57</v>
      </c>
    </row>
    <row r="10608">
      <c r="A10608" s="28" t="n">
        <v>34576</v>
      </c>
      <c r="B10608" t="n">
        <v>7.2</v>
      </c>
      <c r="C10608" t="n">
        <v>4.59</v>
      </c>
    </row>
    <row r="10609">
      <c r="A10609" s="28" t="n">
        <v>34577</v>
      </c>
      <c r="B10609" t="n">
        <v>7.19</v>
      </c>
      <c r="C10609" t="n">
        <v>4.56</v>
      </c>
    </row>
    <row r="10610">
      <c r="A10610" s="28" t="n">
        <v>34578</v>
      </c>
      <c r="B10610" t="n">
        <v>7.19</v>
      </c>
      <c r="C10610" t="n">
        <v>4.55</v>
      </c>
    </row>
    <row r="10611">
      <c r="A10611" s="28" t="n">
        <v>34579</v>
      </c>
      <c r="B10611" t="n">
        <v>7.21</v>
      </c>
      <c r="C10611" t="n">
        <v>4.55</v>
      </c>
    </row>
    <row r="10612">
      <c r="A10612" s="28" t="n">
        <v>34582</v>
      </c>
      <c r="B10612" t="n">
        <v>0</v>
      </c>
      <c r="C10612" t="n">
        <v>0</v>
      </c>
    </row>
    <row r="10613">
      <c r="A10613" s="28" t="n">
        <v>34583</v>
      </c>
      <c r="B10613" t="n">
        <v>7.27</v>
      </c>
      <c r="C10613" t="n">
        <v>4.55</v>
      </c>
    </row>
    <row r="10614">
      <c r="A10614" s="28" t="n">
        <v>34584</v>
      </c>
      <c r="B10614" t="n">
        <v>7.29</v>
      </c>
      <c r="C10614" t="n">
        <v>4.54</v>
      </c>
    </row>
    <row r="10615">
      <c r="A10615" s="28" t="n">
        <v>34585</v>
      </c>
      <c r="B10615" t="n">
        <v>7.3</v>
      </c>
      <c r="C10615" t="n">
        <v>4.55</v>
      </c>
    </row>
    <row r="10616">
      <c r="A10616" s="28" t="n">
        <v>34586</v>
      </c>
      <c r="B10616" t="n">
        <v>7.44</v>
      </c>
      <c r="C10616" t="n">
        <v>4.58</v>
      </c>
    </row>
    <row r="10617">
      <c r="A10617" s="28" t="n">
        <v>34589</v>
      </c>
      <c r="B10617" t="n">
        <v>7.46</v>
      </c>
      <c r="C10617" t="n">
        <v>4.59</v>
      </c>
    </row>
    <row r="10618">
      <c r="A10618" s="28" t="n">
        <v>34590</v>
      </c>
      <c r="B10618" t="n">
        <v>7.44</v>
      </c>
      <c r="C10618" t="n">
        <v>4.6</v>
      </c>
    </row>
    <row r="10619">
      <c r="A10619" s="28" t="n">
        <v>34591</v>
      </c>
      <c r="B10619" t="n">
        <v>7.41</v>
      </c>
      <c r="C10619" t="n">
        <v>4.58</v>
      </c>
    </row>
    <row r="10620">
      <c r="A10620" s="28" t="n">
        <v>34592</v>
      </c>
      <c r="B10620" t="n">
        <v>7.35</v>
      </c>
      <c r="C10620" t="n">
        <v>4.58</v>
      </c>
    </row>
    <row r="10621">
      <c r="A10621" s="28" t="n">
        <v>34593</v>
      </c>
      <c r="B10621" t="n">
        <v>7.52</v>
      </c>
      <c r="C10621" t="n">
        <v>4.61</v>
      </c>
    </row>
    <row r="10622">
      <c r="A10622" s="28" t="n">
        <v>34596</v>
      </c>
      <c r="B10622" t="n">
        <v>7.49</v>
      </c>
      <c r="C10622" t="n">
        <v>4.58</v>
      </c>
    </row>
    <row r="10623">
      <c r="A10623" s="28" t="n">
        <v>34597</v>
      </c>
      <c r="B10623" t="n">
        <v>7.53</v>
      </c>
      <c r="C10623" t="n">
        <v>4.62</v>
      </c>
    </row>
    <row r="10624">
      <c r="A10624" s="28" t="n">
        <v>34598</v>
      </c>
      <c r="B10624" t="n">
        <v>7.56</v>
      </c>
      <c r="C10624" t="n">
        <v>4.79</v>
      </c>
    </row>
    <row r="10625">
      <c r="A10625" s="28" t="n">
        <v>34599</v>
      </c>
      <c r="B10625" t="n">
        <v>7.56</v>
      </c>
      <c r="C10625" t="n">
        <v>4.79</v>
      </c>
    </row>
    <row r="10626">
      <c r="A10626" s="28" t="n">
        <v>34600</v>
      </c>
      <c r="B10626" t="n">
        <v>7.57</v>
      </c>
      <c r="C10626" t="n">
        <v>4.78</v>
      </c>
    </row>
    <row r="10627">
      <c r="A10627" s="28" t="n">
        <v>34603</v>
      </c>
      <c r="B10627" t="n">
        <v>7.57</v>
      </c>
      <c r="C10627" t="n">
        <v>4.78</v>
      </c>
    </row>
    <row r="10628">
      <c r="A10628" s="28" t="n">
        <v>34604</v>
      </c>
      <c r="B10628" t="n">
        <v>7.61</v>
      </c>
      <c r="C10628" t="n">
        <v>4.71</v>
      </c>
    </row>
    <row r="10629">
      <c r="A10629" s="28" t="n">
        <v>34605</v>
      </c>
      <c r="B10629" t="n">
        <v>7.57</v>
      </c>
      <c r="C10629" t="n">
        <v>4.54</v>
      </c>
    </row>
    <row r="10630">
      <c r="A10630" s="28" t="n">
        <v>34606</v>
      </c>
      <c r="B10630" t="n">
        <v>7.64</v>
      </c>
      <c r="C10630" t="n">
        <v>4.58</v>
      </c>
    </row>
    <row r="10631">
      <c r="A10631" s="28" t="n">
        <v>34607</v>
      </c>
      <c r="B10631" t="n">
        <v>7.62</v>
      </c>
      <c r="C10631" t="n">
        <v>4.67</v>
      </c>
    </row>
    <row r="10632">
      <c r="A10632" s="28" t="n">
        <v>34610</v>
      </c>
      <c r="B10632" t="n">
        <v>7.66</v>
      </c>
      <c r="C10632" t="n">
        <v>4.73</v>
      </c>
    </row>
    <row r="10633">
      <c r="A10633" s="28" t="n">
        <v>34611</v>
      </c>
      <c r="B10633" t="n">
        <v>7.7</v>
      </c>
      <c r="C10633" t="n">
        <v>4.96</v>
      </c>
    </row>
    <row r="10634">
      <c r="A10634" s="28" t="n">
        <v>34612</v>
      </c>
      <c r="B10634" t="n">
        <v>7.77</v>
      </c>
      <c r="C10634" t="n">
        <v>4.96</v>
      </c>
    </row>
    <row r="10635">
      <c r="A10635" s="28" t="n">
        <v>34613</v>
      </c>
      <c r="B10635" t="n">
        <v>7.78</v>
      </c>
      <c r="C10635" t="n">
        <v>4.97</v>
      </c>
    </row>
    <row r="10636">
      <c r="A10636" s="28" t="n">
        <v>34614</v>
      </c>
      <c r="B10636" t="n">
        <v>7.7</v>
      </c>
      <c r="C10636" t="n">
        <v>4.88</v>
      </c>
    </row>
    <row r="10637">
      <c r="A10637" s="28" t="n">
        <v>34617</v>
      </c>
      <c r="B10637" t="n">
        <v>0</v>
      </c>
      <c r="C10637" t="n">
        <v>0</v>
      </c>
    </row>
    <row r="10638">
      <c r="A10638" s="28" t="n">
        <v>34618</v>
      </c>
      <c r="B10638" t="n">
        <v>7.65</v>
      </c>
      <c r="C10638" t="n">
        <v>4.89</v>
      </c>
    </row>
    <row r="10639">
      <c r="A10639" s="28" t="n">
        <v>34619</v>
      </c>
      <c r="B10639" t="n">
        <v>7.69</v>
      </c>
      <c r="C10639" t="n">
        <v>4.99</v>
      </c>
    </row>
    <row r="10640">
      <c r="A10640" s="28" t="n">
        <v>34620</v>
      </c>
      <c r="B10640" t="n">
        <v>7.64</v>
      </c>
      <c r="C10640" t="n">
        <v>4.91</v>
      </c>
    </row>
    <row r="10641">
      <c r="A10641" s="28" t="n">
        <v>34621</v>
      </c>
      <c r="B10641" t="n">
        <v>7.61</v>
      </c>
      <c r="C10641" t="n">
        <v>4.86</v>
      </c>
    </row>
    <row r="10642">
      <c r="A10642" s="28" t="n">
        <v>34624</v>
      </c>
      <c r="B10642" t="n">
        <v>7.62</v>
      </c>
      <c r="C10642" t="n">
        <v>4.85</v>
      </c>
    </row>
    <row r="10643">
      <c r="A10643" s="28" t="n">
        <v>34625</v>
      </c>
      <c r="B10643" t="n">
        <v>7.64</v>
      </c>
      <c r="C10643" t="n">
        <v>4.91</v>
      </c>
    </row>
    <row r="10644">
      <c r="A10644" s="28" t="n">
        <v>34626</v>
      </c>
      <c r="B10644" t="n">
        <v>7.68</v>
      </c>
      <c r="C10644" t="n">
        <v>4.92</v>
      </c>
    </row>
    <row r="10645">
      <c r="A10645" s="28" t="n">
        <v>34627</v>
      </c>
      <c r="B10645" t="n">
        <v>7.8</v>
      </c>
      <c r="C10645" t="n">
        <v>5</v>
      </c>
    </row>
    <row r="10646">
      <c r="A10646" s="28" t="n">
        <v>34628</v>
      </c>
      <c r="B10646" t="n">
        <v>7.81</v>
      </c>
      <c r="C10646" t="n">
        <v>5</v>
      </c>
    </row>
    <row r="10647">
      <c r="A10647" s="28" t="n">
        <v>34631</v>
      </c>
      <c r="B10647" t="n">
        <v>7.86</v>
      </c>
      <c r="C10647" t="n">
        <v>5.02</v>
      </c>
    </row>
    <row r="10648">
      <c r="A10648" s="28" t="n">
        <v>34632</v>
      </c>
      <c r="B10648" t="n">
        <v>7.88</v>
      </c>
      <c r="C10648" t="n">
        <v>5.06</v>
      </c>
    </row>
    <row r="10649">
      <c r="A10649" s="28" t="n">
        <v>34633</v>
      </c>
      <c r="B10649" t="n">
        <v>7.88</v>
      </c>
      <c r="C10649" t="n">
        <v>5</v>
      </c>
    </row>
    <row r="10650">
      <c r="A10650" s="28" t="n">
        <v>34634</v>
      </c>
      <c r="B10650" t="n">
        <v>7.88</v>
      </c>
      <c r="C10650" t="n">
        <v>4.98</v>
      </c>
    </row>
    <row r="10651">
      <c r="A10651" s="28" t="n">
        <v>34635</v>
      </c>
      <c r="B10651" t="n">
        <v>7.82</v>
      </c>
      <c r="C10651" t="n">
        <v>5.01</v>
      </c>
    </row>
    <row r="10652">
      <c r="A10652" s="28" t="n">
        <v>34638</v>
      </c>
      <c r="B10652" t="n">
        <v>7.81</v>
      </c>
      <c r="C10652" t="n">
        <v>5.03</v>
      </c>
    </row>
    <row r="10653">
      <c r="A10653" s="28" t="n">
        <v>34639</v>
      </c>
      <c r="B10653" t="n">
        <v>7.91</v>
      </c>
      <c r="C10653" t="n">
        <v>5.08</v>
      </c>
    </row>
    <row r="10654">
      <c r="A10654" s="28" t="n">
        <v>34640</v>
      </c>
      <c r="B10654" t="n">
        <v>7.96</v>
      </c>
      <c r="C10654" t="n">
        <v>5.09</v>
      </c>
    </row>
    <row r="10655">
      <c r="A10655" s="28" t="n">
        <v>34641</v>
      </c>
      <c r="B10655" t="n">
        <v>7.96</v>
      </c>
      <c r="C10655" t="n">
        <v>5.1</v>
      </c>
    </row>
    <row r="10656">
      <c r="A10656" s="28" t="n">
        <v>34642</v>
      </c>
      <c r="B10656" t="n">
        <v>8.039999999999999</v>
      </c>
      <c r="C10656" t="n">
        <v>5.18</v>
      </c>
    </row>
    <row r="10657">
      <c r="A10657" s="28" t="n">
        <v>34645</v>
      </c>
      <c r="B10657" t="n">
        <v>8.050000000000001</v>
      </c>
      <c r="C10657" t="n">
        <v>5.22</v>
      </c>
    </row>
    <row r="10658">
      <c r="A10658" s="28" t="n">
        <v>34646</v>
      </c>
      <c r="B10658" t="n">
        <v>8.01</v>
      </c>
      <c r="C10658" t="n">
        <v>5.23</v>
      </c>
    </row>
    <row r="10659">
      <c r="A10659" s="28" t="n">
        <v>34647</v>
      </c>
      <c r="B10659" t="n">
        <v>7.94</v>
      </c>
      <c r="C10659" t="n">
        <v>5.2</v>
      </c>
    </row>
    <row r="10660">
      <c r="A10660" s="28" t="n">
        <v>34648</v>
      </c>
      <c r="B10660" t="n">
        <v>7.98</v>
      </c>
      <c r="C10660" t="n">
        <v>5.23</v>
      </c>
    </row>
    <row r="10661">
      <c r="A10661" s="28" t="n">
        <v>34649</v>
      </c>
      <c r="B10661" t="n">
        <v>0</v>
      </c>
      <c r="C10661" t="n">
        <v>0</v>
      </c>
    </row>
    <row r="10662">
      <c r="A10662" s="28" t="n">
        <v>34652</v>
      </c>
      <c r="B10662" t="n">
        <v>7.94</v>
      </c>
      <c r="C10662" t="n">
        <v>5.28</v>
      </c>
    </row>
    <row r="10663">
      <c r="A10663" s="28" t="n">
        <v>34653</v>
      </c>
      <c r="B10663" t="n">
        <v>7.92</v>
      </c>
      <c r="C10663" t="n">
        <v>5.38</v>
      </c>
    </row>
    <row r="10664">
      <c r="A10664" s="28" t="n">
        <v>34654</v>
      </c>
      <c r="B10664" t="n">
        <v>7.97</v>
      </c>
      <c r="C10664" t="n">
        <v>5.37</v>
      </c>
    </row>
    <row r="10665">
      <c r="A10665" s="28" t="n">
        <v>34655</v>
      </c>
      <c r="B10665" t="n">
        <v>8.029999999999999</v>
      </c>
      <c r="C10665" t="n">
        <v>5.35</v>
      </c>
    </row>
    <row r="10666">
      <c r="A10666" s="28" t="n">
        <v>34656</v>
      </c>
      <c r="B10666" t="n">
        <v>8.01</v>
      </c>
      <c r="C10666" t="n">
        <v>5.34</v>
      </c>
    </row>
    <row r="10667">
      <c r="A10667" s="28" t="n">
        <v>34659</v>
      </c>
      <c r="B10667" t="n">
        <v>8.029999999999999</v>
      </c>
      <c r="C10667" t="n">
        <v>5.33</v>
      </c>
    </row>
    <row r="10668">
      <c r="A10668" s="28" t="n">
        <v>34660</v>
      </c>
      <c r="B10668" t="n">
        <v>8</v>
      </c>
      <c r="C10668" t="n">
        <v>5.34</v>
      </c>
    </row>
    <row r="10669">
      <c r="A10669" s="28" t="n">
        <v>34661</v>
      </c>
      <c r="B10669" t="n">
        <v>7.81</v>
      </c>
      <c r="C10669" t="n">
        <v>5.29</v>
      </c>
    </row>
    <row r="10670">
      <c r="A10670" s="28" t="n">
        <v>34662</v>
      </c>
      <c r="B10670" t="n">
        <v>0</v>
      </c>
      <c r="C10670" t="n">
        <v>0</v>
      </c>
    </row>
    <row r="10671">
      <c r="A10671" s="28" t="n">
        <v>34663</v>
      </c>
      <c r="B10671" t="n">
        <v>7.8</v>
      </c>
      <c r="C10671" t="n">
        <v>5.29</v>
      </c>
    </row>
    <row r="10672">
      <c r="A10672" s="28" t="n">
        <v>34666</v>
      </c>
      <c r="B10672" t="n">
        <v>7.88</v>
      </c>
      <c r="C10672" t="n">
        <v>5.39</v>
      </c>
    </row>
    <row r="10673">
      <c r="A10673" s="28" t="n">
        <v>34667</v>
      </c>
      <c r="B10673" t="n">
        <v>7.95</v>
      </c>
      <c r="C10673" t="n">
        <v>5.53</v>
      </c>
    </row>
    <row r="10674">
      <c r="A10674" s="28" t="n">
        <v>34668</v>
      </c>
      <c r="B10674" t="n">
        <v>7.91</v>
      </c>
      <c r="C10674" t="n">
        <v>5.56</v>
      </c>
    </row>
    <row r="10675">
      <c r="A10675" s="28" t="n">
        <v>34669</v>
      </c>
      <c r="B10675" t="n">
        <v>7.92</v>
      </c>
      <c r="C10675" t="n">
        <v>5.55</v>
      </c>
    </row>
    <row r="10676">
      <c r="A10676" s="28" t="n">
        <v>34670</v>
      </c>
      <c r="B10676" t="n">
        <v>7.81</v>
      </c>
      <c r="C10676" t="n">
        <v>5.63</v>
      </c>
    </row>
    <row r="10677">
      <c r="A10677" s="28" t="n">
        <v>34673</v>
      </c>
      <c r="B10677" t="n">
        <v>7.83</v>
      </c>
      <c r="C10677" t="n">
        <v>5.76</v>
      </c>
    </row>
    <row r="10678">
      <c r="A10678" s="28" t="n">
        <v>34674</v>
      </c>
      <c r="B10678" t="n">
        <v>7.73</v>
      </c>
      <c r="C10678" t="n">
        <v>5.77</v>
      </c>
    </row>
    <row r="10679">
      <c r="A10679" s="28" t="n">
        <v>34675</v>
      </c>
      <c r="B10679" t="n">
        <v>7.81</v>
      </c>
      <c r="C10679" t="n">
        <v>5.66</v>
      </c>
    </row>
    <row r="10680">
      <c r="A10680" s="28" t="n">
        <v>34676</v>
      </c>
      <c r="B10680" t="n">
        <v>7.79</v>
      </c>
      <c r="C10680" t="n">
        <v>5.67</v>
      </c>
    </row>
    <row r="10681">
      <c r="A10681" s="28" t="n">
        <v>34677</v>
      </c>
      <c r="B10681" t="n">
        <v>7.79</v>
      </c>
      <c r="C10681" t="n">
        <v>5.66</v>
      </c>
    </row>
    <row r="10682">
      <c r="A10682" s="28" t="n">
        <v>34680</v>
      </c>
      <c r="B10682" t="n">
        <v>7.85</v>
      </c>
      <c r="C10682" t="n">
        <v>5.72</v>
      </c>
    </row>
    <row r="10683">
      <c r="A10683" s="28" t="n">
        <v>34681</v>
      </c>
      <c r="B10683" t="n">
        <v>7.83</v>
      </c>
      <c r="C10683" t="n">
        <v>5.78</v>
      </c>
    </row>
    <row r="10684">
      <c r="A10684" s="28" t="n">
        <v>34682</v>
      </c>
      <c r="B10684" t="n">
        <v>7.8</v>
      </c>
      <c r="C10684" t="n">
        <v>5.68</v>
      </c>
    </row>
    <row r="10685">
      <c r="A10685" s="28" t="n">
        <v>34683</v>
      </c>
      <c r="B10685" t="n">
        <v>7.79</v>
      </c>
      <c r="C10685" t="n">
        <v>5.54</v>
      </c>
    </row>
    <row r="10686">
      <c r="A10686" s="28" t="n">
        <v>34684</v>
      </c>
      <c r="B10686" t="n">
        <v>7.81</v>
      </c>
      <c r="C10686" t="n">
        <v>5.56</v>
      </c>
    </row>
    <row r="10687">
      <c r="A10687" s="28" t="n">
        <v>34687</v>
      </c>
      <c r="B10687" t="n">
        <v>7.81</v>
      </c>
      <c r="C10687" t="n">
        <v>5.56</v>
      </c>
    </row>
    <row r="10688">
      <c r="A10688" s="28" t="n">
        <v>34688</v>
      </c>
      <c r="B10688" t="n">
        <v>7.81</v>
      </c>
      <c r="C10688" t="n">
        <v>5.48</v>
      </c>
    </row>
    <row r="10689">
      <c r="A10689" s="28" t="n">
        <v>34689</v>
      </c>
      <c r="B10689" t="n">
        <v>7.8</v>
      </c>
      <c r="C10689" t="n">
        <v>5.41</v>
      </c>
    </row>
    <row r="10690">
      <c r="A10690" s="28" t="n">
        <v>34690</v>
      </c>
      <c r="B10690" t="n">
        <v>7.84</v>
      </c>
      <c r="C10690" t="n">
        <v>5.46</v>
      </c>
    </row>
    <row r="10691">
      <c r="A10691" s="28" t="n">
        <v>34691</v>
      </c>
      <c r="B10691" t="n">
        <v>7.85</v>
      </c>
      <c r="C10691" t="n">
        <v>5.53</v>
      </c>
    </row>
    <row r="10692">
      <c r="A10692" s="28" t="n">
        <v>34694</v>
      </c>
      <c r="B10692" t="n">
        <v>0</v>
      </c>
      <c r="C10692" t="n">
        <v>0</v>
      </c>
    </row>
    <row r="10693">
      <c r="A10693" s="28" t="n">
        <v>34695</v>
      </c>
      <c r="B10693" t="n">
        <v>7.76</v>
      </c>
      <c r="C10693" t="n">
        <v>5.53</v>
      </c>
    </row>
    <row r="10694">
      <c r="A10694" s="28" t="n">
        <v>34696</v>
      </c>
      <c r="B10694" t="n">
        <v>7.8</v>
      </c>
      <c r="C10694" t="n">
        <v>5.52</v>
      </c>
    </row>
    <row r="10695">
      <c r="A10695" s="28" t="n">
        <v>34697</v>
      </c>
      <c r="B10695" t="n">
        <v>7.82</v>
      </c>
      <c r="C10695" t="n">
        <v>5.51</v>
      </c>
    </row>
    <row r="10696">
      <c r="A10696" s="28" t="n">
        <v>34698</v>
      </c>
      <c r="B10696" t="n">
        <v>7.84</v>
      </c>
      <c r="C10696" t="n">
        <v>5.53</v>
      </c>
    </row>
    <row r="10697">
      <c r="A10697" s="28" t="n">
        <v>34701</v>
      </c>
      <c r="B10697" t="n">
        <v>0</v>
      </c>
      <c r="C10697" t="n">
        <v>0</v>
      </c>
    </row>
    <row r="10698">
      <c r="A10698" s="28" t="n">
        <v>34702</v>
      </c>
      <c r="B10698" t="n">
        <v>7.88</v>
      </c>
      <c r="C10698" t="n">
        <v>5.53</v>
      </c>
    </row>
    <row r="10699">
      <c r="A10699" s="28" t="n">
        <v>34703</v>
      </c>
      <c r="B10699" t="n">
        <v>7.82</v>
      </c>
      <c r="C10699" t="n">
        <v>5.69</v>
      </c>
    </row>
    <row r="10700">
      <c r="A10700" s="28" t="n">
        <v>34704</v>
      </c>
      <c r="B10700" t="n">
        <v>7.88</v>
      </c>
      <c r="C10700" t="n">
        <v>5.72</v>
      </c>
    </row>
    <row r="10701">
      <c r="A10701" s="28" t="n">
        <v>34705</v>
      </c>
      <c r="B10701" t="n">
        <v>7.87</v>
      </c>
      <c r="C10701" t="n">
        <v>5.74</v>
      </c>
    </row>
    <row r="10702">
      <c r="A10702" s="28" t="n">
        <v>34708</v>
      </c>
      <c r="B10702" t="n">
        <v>7.89</v>
      </c>
      <c r="C10702" t="n">
        <v>5.75</v>
      </c>
    </row>
    <row r="10703">
      <c r="A10703" s="28" t="n">
        <v>34709</v>
      </c>
      <c r="B10703" t="n">
        <v>7.84</v>
      </c>
      <c r="C10703" t="n">
        <v>5.74</v>
      </c>
    </row>
    <row r="10704">
      <c r="A10704" s="28" t="n">
        <v>34710</v>
      </c>
      <c r="B10704" t="n">
        <v>7.79</v>
      </c>
      <c r="C10704" t="n">
        <v>5.63</v>
      </c>
    </row>
    <row r="10705">
      <c r="A10705" s="28" t="n">
        <v>34711</v>
      </c>
      <c r="B10705" t="n">
        <v>7.8</v>
      </c>
      <c r="C10705" t="n">
        <v>5.62</v>
      </c>
    </row>
    <row r="10706">
      <c r="A10706" s="28" t="n">
        <v>34712</v>
      </c>
      <c r="B10706" t="n">
        <v>7.69</v>
      </c>
      <c r="C10706" t="n">
        <v>5.57</v>
      </c>
    </row>
    <row r="10707">
      <c r="A10707" s="28" t="n">
        <v>34715</v>
      </c>
      <c r="B10707" t="n">
        <v>0</v>
      </c>
      <c r="C10707" t="n">
        <v>0</v>
      </c>
    </row>
    <row r="10708">
      <c r="A10708" s="28" t="n">
        <v>34716</v>
      </c>
      <c r="B10708" t="n">
        <v>7.7</v>
      </c>
      <c r="C10708" t="n">
        <v>5.62</v>
      </c>
    </row>
    <row r="10709">
      <c r="A10709" s="28" t="n">
        <v>34717</v>
      </c>
      <c r="B10709" t="n">
        <v>7.71</v>
      </c>
      <c r="C10709" t="n">
        <v>5.71</v>
      </c>
    </row>
    <row r="10710">
      <c r="A10710" s="28" t="n">
        <v>34718</v>
      </c>
      <c r="B10710" t="n">
        <v>7.74</v>
      </c>
      <c r="C10710" t="n">
        <v>5.71</v>
      </c>
    </row>
    <row r="10711">
      <c r="A10711" s="28" t="n">
        <v>34719</v>
      </c>
      <c r="B10711" t="n">
        <v>7.82</v>
      </c>
      <c r="C10711" t="n">
        <v>5.75</v>
      </c>
    </row>
    <row r="10712">
      <c r="A10712" s="28" t="n">
        <v>34722</v>
      </c>
      <c r="B10712" t="n">
        <v>7.83</v>
      </c>
      <c r="C10712" t="n">
        <v>5.76</v>
      </c>
    </row>
    <row r="10713">
      <c r="A10713" s="28" t="n">
        <v>34723</v>
      </c>
      <c r="B10713" t="n">
        <v>7.86</v>
      </c>
      <c r="C10713" t="n">
        <v>5.81</v>
      </c>
    </row>
    <row r="10714">
      <c r="A10714" s="28" t="n">
        <v>34724</v>
      </c>
      <c r="B10714" t="n">
        <v>7.8</v>
      </c>
      <c r="C10714" t="n">
        <v>5.77</v>
      </c>
    </row>
    <row r="10715">
      <c r="A10715" s="28" t="n">
        <v>34725</v>
      </c>
      <c r="B10715" t="n">
        <v>7.76</v>
      </c>
      <c r="C10715" t="n">
        <v>5.77</v>
      </c>
    </row>
    <row r="10716">
      <c r="A10716" s="28" t="n">
        <v>34726</v>
      </c>
      <c r="B10716" t="n">
        <v>7.66</v>
      </c>
      <c r="C10716" t="n">
        <v>5.76</v>
      </c>
    </row>
    <row r="10717">
      <c r="A10717" s="28" t="n">
        <v>34729</v>
      </c>
      <c r="B10717" t="n">
        <v>7.65</v>
      </c>
      <c r="C10717" t="n">
        <v>5.73</v>
      </c>
    </row>
    <row r="10718">
      <c r="A10718" s="28" t="n">
        <v>34730</v>
      </c>
      <c r="B10718" t="n">
        <v>7.6</v>
      </c>
      <c r="C10718" t="n">
        <v>5.83</v>
      </c>
    </row>
    <row r="10719">
      <c r="A10719" s="28" t="n">
        <v>34731</v>
      </c>
      <c r="B10719" t="n">
        <v>7.66</v>
      </c>
      <c r="C10719" t="n">
        <v>5.9</v>
      </c>
    </row>
    <row r="10720">
      <c r="A10720" s="28" t="n">
        <v>34732</v>
      </c>
      <c r="B10720" t="n">
        <v>7.68</v>
      </c>
      <c r="C10720" t="n">
        <v>5.85</v>
      </c>
    </row>
    <row r="10721">
      <c r="A10721" s="28" t="n">
        <v>34733</v>
      </c>
      <c r="B10721" t="n">
        <v>7.49</v>
      </c>
      <c r="C10721" t="n">
        <v>5.8</v>
      </c>
    </row>
    <row r="10722">
      <c r="A10722" s="28" t="n">
        <v>34736</v>
      </c>
      <c r="B10722" t="n">
        <v>7.53</v>
      </c>
      <c r="C10722" t="n">
        <v>5.8</v>
      </c>
    </row>
    <row r="10723">
      <c r="A10723" s="28" t="n">
        <v>34737</v>
      </c>
      <c r="B10723" t="n">
        <v>7.52</v>
      </c>
      <c r="C10723" t="n">
        <v>5.81</v>
      </c>
    </row>
    <row r="10724">
      <c r="A10724" s="28" t="n">
        <v>34738</v>
      </c>
      <c r="B10724" t="n">
        <v>7.53</v>
      </c>
      <c r="C10724" t="n">
        <v>5.77</v>
      </c>
    </row>
    <row r="10725">
      <c r="A10725" s="28" t="n">
        <v>34739</v>
      </c>
      <c r="B10725" t="n">
        <v>7.58</v>
      </c>
      <c r="C10725" t="n">
        <v>5.78</v>
      </c>
    </row>
    <row r="10726">
      <c r="A10726" s="28" t="n">
        <v>34740</v>
      </c>
      <c r="B10726" t="n">
        <v>7.62</v>
      </c>
      <c r="C10726" t="n">
        <v>5.81</v>
      </c>
    </row>
    <row r="10727">
      <c r="A10727" s="28" t="n">
        <v>34743</v>
      </c>
      <c r="B10727" t="n">
        <v>7.61</v>
      </c>
      <c r="C10727" t="n">
        <v>5.8</v>
      </c>
    </row>
    <row r="10728">
      <c r="A10728" s="28" t="n">
        <v>34744</v>
      </c>
      <c r="B10728" t="n">
        <v>7.51</v>
      </c>
      <c r="C10728" t="n">
        <v>5.79</v>
      </c>
    </row>
    <row r="10729">
      <c r="A10729" s="28" t="n">
        <v>34745</v>
      </c>
      <c r="B10729" t="n">
        <v>7.45</v>
      </c>
      <c r="C10729" t="n">
        <v>5.77</v>
      </c>
    </row>
    <row r="10730">
      <c r="A10730" s="28" t="n">
        <v>34746</v>
      </c>
      <c r="B10730" t="n">
        <v>7.4</v>
      </c>
      <c r="C10730" t="n">
        <v>5.69</v>
      </c>
    </row>
    <row r="10731">
      <c r="A10731" s="28" t="n">
        <v>34747</v>
      </c>
      <c r="B10731" t="n">
        <v>7.43</v>
      </c>
      <c r="C10731" t="n">
        <v>5.7</v>
      </c>
    </row>
    <row r="10732">
      <c r="A10732" s="28" t="n">
        <v>34750</v>
      </c>
      <c r="B10732" t="n">
        <v>0</v>
      </c>
      <c r="C10732" t="n">
        <v>0</v>
      </c>
    </row>
    <row r="10733">
      <c r="A10733" s="28" t="n">
        <v>34751</v>
      </c>
      <c r="B10733" t="n">
        <v>7.44</v>
      </c>
      <c r="C10733" t="n">
        <v>5.74</v>
      </c>
    </row>
    <row r="10734">
      <c r="A10734" s="28" t="n">
        <v>34752</v>
      </c>
      <c r="B10734" t="n">
        <v>7.34</v>
      </c>
      <c r="C10734" t="n">
        <v>5.69</v>
      </c>
    </row>
    <row r="10735">
      <c r="A10735" s="28" t="n">
        <v>34753</v>
      </c>
      <c r="B10735" t="n">
        <v>7.34</v>
      </c>
      <c r="C10735" t="n">
        <v>5.72</v>
      </c>
    </row>
    <row r="10736">
      <c r="A10736" s="28" t="n">
        <v>34754</v>
      </c>
      <c r="B10736" t="n">
        <v>7.33</v>
      </c>
      <c r="C10736" t="n">
        <v>5.72</v>
      </c>
    </row>
    <row r="10737">
      <c r="A10737" s="28" t="n">
        <v>34757</v>
      </c>
      <c r="B10737" t="n">
        <v>7.24</v>
      </c>
      <c r="C10737" t="n">
        <v>5.72</v>
      </c>
    </row>
    <row r="10738">
      <c r="A10738" s="28" t="n">
        <v>34758</v>
      </c>
      <c r="B10738" t="n">
        <v>7.22</v>
      </c>
      <c r="C10738" t="n">
        <v>5.76</v>
      </c>
    </row>
    <row r="10739">
      <c r="A10739" s="28" t="n">
        <v>34759</v>
      </c>
      <c r="B10739" t="n">
        <v>7.23</v>
      </c>
      <c r="C10739" t="n">
        <v>5.76</v>
      </c>
    </row>
    <row r="10740">
      <c r="A10740" s="28" t="n">
        <v>34760</v>
      </c>
      <c r="B10740" t="n">
        <v>7.3</v>
      </c>
      <c r="C10740" t="n">
        <v>5.75</v>
      </c>
    </row>
    <row r="10741">
      <c r="A10741" s="28" t="n">
        <v>34761</v>
      </c>
      <c r="B10741" t="n">
        <v>7.36</v>
      </c>
      <c r="C10741" t="n">
        <v>5.72</v>
      </c>
    </row>
    <row r="10742">
      <c r="A10742" s="28" t="n">
        <v>34764</v>
      </c>
      <c r="B10742" t="n">
        <v>7.41</v>
      </c>
      <c r="C10742" t="n">
        <v>5.74</v>
      </c>
    </row>
    <row r="10743">
      <c r="A10743" s="28" t="n">
        <v>34765</v>
      </c>
      <c r="B10743" t="n">
        <v>7.44</v>
      </c>
      <c r="C10743" t="n">
        <v>5.78</v>
      </c>
    </row>
    <row r="10744">
      <c r="A10744" s="28" t="n">
        <v>34766</v>
      </c>
      <c r="B10744" t="n">
        <v>7.36</v>
      </c>
      <c r="C10744" t="n">
        <v>5.77</v>
      </c>
    </row>
    <row r="10745">
      <c r="A10745" s="28" t="n">
        <v>34767</v>
      </c>
      <c r="B10745" t="n">
        <v>7.3</v>
      </c>
      <c r="C10745" t="n">
        <v>5.73</v>
      </c>
    </row>
    <row r="10746">
      <c r="A10746" s="28" t="n">
        <v>34768</v>
      </c>
      <c r="B10746" t="n">
        <v>7.23</v>
      </c>
      <c r="C10746" t="n">
        <v>5.77</v>
      </c>
    </row>
    <row r="10747">
      <c r="A10747" s="28" t="n">
        <v>34771</v>
      </c>
      <c r="B10747" t="n">
        <v>7.19</v>
      </c>
      <c r="C10747" t="n">
        <v>5.76</v>
      </c>
    </row>
    <row r="10748">
      <c r="A10748" s="28" t="n">
        <v>34772</v>
      </c>
      <c r="B10748" t="n">
        <v>7.09</v>
      </c>
      <c r="C10748" t="n">
        <v>5.75</v>
      </c>
    </row>
    <row r="10749">
      <c r="A10749" s="28" t="n">
        <v>34773</v>
      </c>
      <c r="B10749" t="n">
        <v>7.09</v>
      </c>
      <c r="C10749" t="n">
        <v>5.74</v>
      </c>
    </row>
    <row r="10750">
      <c r="A10750" s="28" t="n">
        <v>34774</v>
      </c>
      <c r="B10750" t="n">
        <v>7.05</v>
      </c>
      <c r="C10750" t="n">
        <v>5.74</v>
      </c>
    </row>
    <row r="10751">
      <c r="A10751" s="28" t="n">
        <v>34775</v>
      </c>
      <c r="B10751" t="n">
        <v>7.12</v>
      </c>
      <c r="C10751" t="n">
        <v>5.74</v>
      </c>
    </row>
    <row r="10752">
      <c r="A10752" s="28" t="n">
        <v>34778</v>
      </c>
      <c r="B10752" t="n">
        <v>7.12</v>
      </c>
      <c r="C10752" t="n">
        <v>5.73</v>
      </c>
    </row>
    <row r="10753">
      <c r="A10753" s="28" t="n">
        <v>34779</v>
      </c>
      <c r="B10753" t="n">
        <v>7.16</v>
      </c>
      <c r="C10753" t="n">
        <v>5.74</v>
      </c>
    </row>
    <row r="10754">
      <c r="A10754" s="28" t="n">
        <v>34780</v>
      </c>
      <c r="B10754" t="n">
        <v>7.21</v>
      </c>
      <c r="C10754" t="n">
        <v>5.73</v>
      </c>
    </row>
    <row r="10755">
      <c r="A10755" s="28" t="n">
        <v>34781</v>
      </c>
      <c r="B10755" t="n">
        <v>7.21</v>
      </c>
      <c r="C10755" t="n">
        <v>5.71</v>
      </c>
    </row>
    <row r="10756">
      <c r="A10756" s="28" t="n">
        <v>34782</v>
      </c>
      <c r="B10756" t="n">
        <v>7.09</v>
      </c>
      <c r="C10756" t="n">
        <v>5.67</v>
      </c>
    </row>
    <row r="10757">
      <c r="A10757" s="28" t="n">
        <v>34785</v>
      </c>
      <c r="B10757" t="n">
        <v>7.05</v>
      </c>
      <c r="C10757" t="n">
        <v>5.66</v>
      </c>
    </row>
    <row r="10758">
      <c r="A10758" s="28" t="n">
        <v>34786</v>
      </c>
      <c r="B10758" t="n">
        <v>7.16</v>
      </c>
      <c r="C10758" t="n">
        <v>5.71</v>
      </c>
    </row>
    <row r="10759">
      <c r="A10759" s="28" t="n">
        <v>34787</v>
      </c>
      <c r="B10759" t="n">
        <v>7.16</v>
      </c>
      <c r="C10759" t="n">
        <v>5.66</v>
      </c>
    </row>
    <row r="10760">
      <c r="A10760" s="28" t="n">
        <v>34788</v>
      </c>
      <c r="B10760" t="n">
        <v>7.18</v>
      </c>
      <c r="C10760" t="n">
        <v>5.7</v>
      </c>
    </row>
    <row r="10761">
      <c r="A10761" s="28" t="n">
        <v>34789</v>
      </c>
      <c r="B10761" t="n">
        <v>7.2</v>
      </c>
      <c r="C10761" t="n">
        <v>5.7</v>
      </c>
    </row>
    <row r="10762">
      <c r="A10762" s="28" t="n">
        <v>34792</v>
      </c>
      <c r="B10762" t="n">
        <v>7.14</v>
      </c>
      <c r="C10762" t="n">
        <v>5.7</v>
      </c>
    </row>
    <row r="10763">
      <c r="A10763" s="28" t="n">
        <v>34793</v>
      </c>
      <c r="B10763" t="n">
        <v>7.12</v>
      </c>
      <c r="C10763" t="n">
        <v>5.73</v>
      </c>
    </row>
    <row r="10764">
      <c r="A10764" s="28" t="n">
        <v>34794</v>
      </c>
      <c r="B10764" t="n">
        <v>7.12</v>
      </c>
      <c r="C10764" t="n">
        <v>5.7</v>
      </c>
    </row>
    <row r="10765">
      <c r="A10765" s="28" t="n">
        <v>34795</v>
      </c>
      <c r="B10765" t="n">
        <v>7.09</v>
      </c>
      <c r="C10765" t="n">
        <v>5.67</v>
      </c>
    </row>
    <row r="10766">
      <c r="A10766" s="28" t="n">
        <v>34796</v>
      </c>
      <c r="B10766" t="n">
        <v>7.11</v>
      </c>
      <c r="C10766" t="n">
        <v>5.68</v>
      </c>
    </row>
    <row r="10767">
      <c r="A10767" s="28" t="n">
        <v>34799</v>
      </c>
      <c r="B10767" t="n">
        <v>7.12</v>
      </c>
      <c r="C10767" t="n">
        <v>5.65</v>
      </c>
    </row>
    <row r="10768">
      <c r="A10768" s="28" t="n">
        <v>34800</v>
      </c>
      <c r="B10768" t="n">
        <v>7.09</v>
      </c>
      <c r="C10768" t="n">
        <v>5.66</v>
      </c>
    </row>
    <row r="10769">
      <c r="A10769" s="28" t="n">
        <v>34801</v>
      </c>
      <c r="B10769" t="n">
        <v>7.06</v>
      </c>
      <c r="C10769" t="n">
        <v>5.64</v>
      </c>
    </row>
    <row r="10770">
      <c r="A10770" s="28" t="n">
        <v>34802</v>
      </c>
      <c r="B10770" t="n">
        <v>7.03</v>
      </c>
      <c r="C10770" t="n">
        <v>5.58</v>
      </c>
    </row>
    <row r="10771">
      <c r="A10771" s="28" t="n">
        <v>34803</v>
      </c>
      <c r="B10771" t="n">
        <v>0</v>
      </c>
      <c r="C10771" t="n">
        <v>0</v>
      </c>
    </row>
    <row r="10772">
      <c r="A10772" s="28" t="n">
        <v>34806</v>
      </c>
      <c r="B10772" t="n">
        <v>7.04</v>
      </c>
      <c r="C10772" t="n">
        <v>5.62</v>
      </c>
    </row>
    <row r="10773">
      <c r="A10773" s="28" t="n">
        <v>34807</v>
      </c>
      <c r="B10773" t="n">
        <v>7.04</v>
      </c>
      <c r="C10773" t="n">
        <v>5.61</v>
      </c>
    </row>
    <row r="10774">
      <c r="A10774" s="28" t="n">
        <v>34808</v>
      </c>
      <c r="B10774" t="n">
        <v>7.06</v>
      </c>
      <c r="C10774" t="n">
        <v>5.62</v>
      </c>
    </row>
    <row r="10775">
      <c r="A10775" s="28" t="n">
        <v>34809</v>
      </c>
      <c r="B10775" t="n">
        <v>7.02</v>
      </c>
      <c r="C10775" t="n">
        <v>5.6</v>
      </c>
    </row>
    <row r="10776">
      <c r="A10776" s="28" t="n">
        <v>34810</v>
      </c>
      <c r="B10776" t="n">
        <v>7.01</v>
      </c>
      <c r="C10776" t="n">
        <v>5.62</v>
      </c>
    </row>
    <row r="10777">
      <c r="A10777" s="28" t="n">
        <v>34813</v>
      </c>
      <c r="B10777" t="n">
        <v>7.01</v>
      </c>
      <c r="C10777" t="n">
        <v>5.62</v>
      </c>
    </row>
    <row r="10778">
      <c r="A10778" s="28" t="n">
        <v>34814</v>
      </c>
      <c r="B10778" t="n">
        <v>7.01</v>
      </c>
      <c r="C10778" t="n">
        <v>5.67</v>
      </c>
    </row>
    <row r="10779">
      <c r="A10779" s="28" t="n">
        <v>34815</v>
      </c>
      <c r="B10779" t="n">
        <v>7.01</v>
      </c>
      <c r="C10779" t="n">
        <v>5.67</v>
      </c>
    </row>
    <row r="10780">
      <c r="A10780" s="28" t="n">
        <v>34816</v>
      </c>
      <c r="B10780" t="n">
        <v>7.04</v>
      </c>
      <c r="C10780" t="n">
        <v>5.69</v>
      </c>
    </row>
    <row r="10781">
      <c r="A10781" s="28" t="n">
        <v>34817</v>
      </c>
      <c r="B10781" t="n">
        <v>7.07</v>
      </c>
      <c r="C10781" t="n">
        <v>5.69</v>
      </c>
    </row>
    <row r="10782">
      <c r="A10782" s="28" t="n">
        <v>34820</v>
      </c>
      <c r="B10782" t="n">
        <v>7.09</v>
      </c>
      <c r="C10782" t="n">
        <v>5.71</v>
      </c>
    </row>
    <row r="10783">
      <c r="A10783" s="28" t="n">
        <v>34821</v>
      </c>
      <c r="B10783" t="n">
        <v>7.04</v>
      </c>
      <c r="C10783" t="n">
        <v>5.71</v>
      </c>
    </row>
    <row r="10784">
      <c r="A10784" s="28" t="n">
        <v>34822</v>
      </c>
      <c r="B10784" t="n">
        <v>6.96</v>
      </c>
      <c r="C10784" t="n">
        <v>5.66</v>
      </c>
    </row>
    <row r="10785">
      <c r="A10785" s="28" t="n">
        <v>34823</v>
      </c>
      <c r="B10785" t="n">
        <v>6.85</v>
      </c>
      <c r="C10785" t="n">
        <v>5.6</v>
      </c>
    </row>
    <row r="10786">
      <c r="A10786" s="28" t="n">
        <v>34824</v>
      </c>
      <c r="B10786" t="n">
        <v>6.69</v>
      </c>
      <c r="C10786" t="n">
        <v>5.57</v>
      </c>
    </row>
    <row r="10787">
      <c r="A10787" s="28" t="n">
        <v>34827</v>
      </c>
      <c r="B10787" t="n">
        <v>6.7</v>
      </c>
      <c r="C10787" t="n">
        <v>5.58</v>
      </c>
    </row>
    <row r="10788">
      <c r="A10788" s="28" t="n">
        <v>34828</v>
      </c>
      <c r="B10788" t="n">
        <v>6.61</v>
      </c>
      <c r="C10788" t="n">
        <v>5.63</v>
      </c>
    </row>
    <row r="10789">
      <c r="A10789" s="28" t="n">
        <v>34829</v>
      </c>
      <c r="B10789" t="n">
        <v>6.66</v>
      </c>
      <c r="C10789" t="n">
        <v>5.64</v>
      </c>
    </row>
    <row r="10790">
      <c r="A10790" s="28" t="n">
        <v>34830</v>
      </c>
      <c r="B10790" t="n">
        <v>6.68</v>
      </c>
      <c r="C10790" t="n">
        <v>5.66</v>
      </c>
    </row>
    <row r="10791">
      <c r="A10791" s="28" t="n">
        <v>34831</v>
      </c>
      <c r="B10791" t="n">
        <v>6.67</v>
      </c>
      <c r="C10791" t="n">
        <v>5.69</v>
      </c>
    </row>
    <row r="10792">
      <c r="A10792" s="28" t="n">
        <v>34834</v>
      </c>
      <c r="B10792" t="n">
        <v>6.62</v>
      </c>
      <c r="C10792" t="n">
        <v>5.7</v>
      </c>
    </row>
    <row r="10793">
      <c r="A10793" s="28" t="n">
        <v>34835</v>
      </c>
      <c r="B10793" t="n">
        <v>6.57</v>
      </c>
      <c r="C10793" t="n">
        <v>5.69</v>
      </c>
    </row>
    <row r="10794">
      <c r="A10794" s="28" t="n">
        <v>34836</v>
      </c>
      <c r="B10794" t="n">
        <v>6.53</v>
      </c>
      <c r="C10794" t="n">
        <v>5.68</v>
      </c>
    </row>
    <row r="10795">
      <c r="A10795" s="28" t="n">
        <v>34837</v>
      </c>
      <c r="B10795" t="n">
        <v>6.61</v>
      </c>
      <c r="C10795" t="n">
        <v>5.69</v>
      </c>
    </row>
    <row r="10796">
      <c r="A10796" s="28" t="n">
        <v>34838</v>
      </c>
      <c r="B10796" t="n">
        <v>6.61</v>
      </c>
      <c r="C10796" t="n">
        <v>5.69</v>
      </c>
    </row>
    <row r="10797">
      <c r="A10797" s="28" t="n">
        <v>34841</v>
      </c>
      <c r="B10797" t="n">
        <v>6.63</v>
      </c>
      <c r="C10797" t="n">
        <v>5.71</v>
      </c>
    </row>
    <row r="10798">
      <c r="A10798" s="28" t="n">
        <v>34842</v>
      </c>
      <c r="B10798" t="n">
        <v>6.57</v>
      </c>
      <c r="C10798" t="n">
        <v>5.73</v>
      </c>
    </row>
    <row r="10799">
      <c r="A10799" s="28" t="n">
        <v>34843</v>
      </c>
      <c r="B10799" t="n">
        <v>6.44</v>
      </c>
      <c r="C10799" t="n">
        <v>5.69</v>
      </c>
    </row>
    <row r="10800">
      <c r="A10800" s="28" t="n">
        <v>34844</v>
      </c>
      <c r="B10800" t="n">
        <v>6.39</v>
      </c>
      <c r="C10800" t="n">
        <v>5.66</v>
      </c>
    </row>
    <row r="10801">
      <c r="A10801" s="28" t="n">
        <v>34845</v>
      </c>
      <c r="B10801" t="n">
        <v>6.4</v>
      </c>
      <c r="C10801" t="n">
        <v>5.66</v>
      </c>
    </row>
    <row r="10802">
      <c r="A10802" s="28" t="n">
        <v>34848</v>
      </c>
      <c r="B10802" t="n">
        <v>0</v>
      </c>
      <c r="C10802" t="n">
        <v>0</v>
      </c>
    </row>
    <row r="10803">
      <c r="A10803" s="28" t="n">
        <v>34849</v>
      </c>
      <c r="B10803" t="n">
        <v>6.3</v>
      </c>
      <c r="C10803" t="n">
        <v>5.65</v>
      </c>
    </row>
    <row r="10804">
      <c r="A10804" s="28" t="n">
        <v>34850</v>
      </c>
      <c r="B10804" t="n">
        <v>6.3</v>
      </c>
      <c r="C10804" t="n">
        <v>5.63</v>
      </c>
    </row>
    <row r="10805">
      <c r="A10805" s="28" t="n">
        <v>34851</v>
      </c>
      <c r="B10805" t="n">
        <v>6.2</v>
      </c>
      <c r="C10805" t="n">
        <v>5.5</v>
      </c>
    </row>
    <row r="10806">
      <c r="A10806" s="28" t="n">
        <v>34852</v>
      </c>
      <c r="B10806" t="n">
        <v>6.1</v>
      </c>
      <c r="C10806" t="n">
        <v>5.42</v>
      </c>
    </row>
    <row r="10807">
      <c r="A10807" s="28" t="n">
        <v>34855</v>
      </c>
      <c r="B10807" t="n">
        <v>6.08</v>
      </c>
      <c r="C10807" t="n">
        <v>5.51</v>
      </c>
    </row>
    <row r="10808">
      <c r="A10808" s="28" t="n">
        <v>34856</v>
      </c>
      <c r="B10808" t="n">
        <v>6.08</v>
      </c>
      <c r="C10808" t="n">
        <v>5.52</v>
      </c>
    </row>
    <row r="10809">
      <c r="A10809" s="28" t="n">
        <v>34857</v>
      </c>
      <c r="B10809" t="n">
        <v>6.2</v>
      </c>
      <c r="C10809" t="n">
        <v>5.57</v>
      </c>
    </row>
    <row r="10810">
      <c r="A10810" s="28" t="n">
        <v>34858</v>
      </c>
      <c r="B10810" t="n">
        <v>6.22</v>
      </c>
      <c r="C10810" t="n">
        <v>5.59</v>
      </c>
    </row>
    <row r="10811">
      <c r="A10811" s="28" t="n">
        <v>34859</v>
      </c>
      <c r="B10811" t="n">
        <v>6.4</v>
      </c>
      <c r="C10811" t="n">
        <v>5.6</v>
      </c>
    </row>
    <row r="10812">
      <c r="A10812" s="28" t="n">
        <v>34862</v>
      </c>
      <c r="B10812" t="n">
        <v>6.37</v>
      </c>
      <c r="C10812" t="n">
        <v>5.56</v>
      </c>
    </row>
    <row r="10813">
      <c r="A10813" s="28" t="n">
        <v>34863</v>
      </c>
      <c r="B10813" t="n">
        <v>6.14</v>
      </c>
      <c r="C10813" t="n">
        <v>5.44</v>
      </c>
    </row>
    <row r="10814">
      <c r="A10814" s="28" t="n">
        <v>34864</v>
      </c>
      <c r="B10814" t="n">
        <v>6.15</v>
      </c>
      <c r="C10814" t="n">
        <v>5.44</v>
      </c>
    </row>
    <row r="10815">
      <c r="A10815" s="28" t="n">
        <v>34865</v>
      </c>
      <c r="B10815" t="n">
        <v>6.18</v>
      </c>
      <c r="C10815" t="n">
        <v>5.48</v>
      </c>
    </row>
    <row r="10816">
      <c r="A10816" s="28" t="n">
        <v>34866</v>
      </c>
      <c r="B10816" t="n">
        <v>6.21</v>
      </c>
      <c r="C10816" t="n">
        <v>5.49</v>
      </c>
    </row>
    <row r="10817">
      <c r="A10817" s="28" t="n">
        <v>34869</v>
      </c>
      <c r="B10817" t="n">
        <v>6.13</v>
      </c>
      <c r="C10817" t="n">
        <v>5.46</v>
      </c>
    </row>
    <row r="10818">
      <c r="A10818" s="28" t="n">
        <v>34870</v>
      </c>
      <c r="B10818" t="n">
        <v>6.16</v>
      </c>
      <c r="C10818" t="n">
        <v>5.48</v>
      </c>
    </row>
    <row r="10819">
      <c r="A10819" s="28" t="n">
        <v>34871</v>
      </c>
      <c r="B10819" t="n">
        <v>6.13</v>
      </c>
      <c r="C10819" t="n">
        <v>5.43</v>
      </c>
    </row>
    <row r="10820">
      <c r="A10820" s="28" t="n">
        <v>34872</v>
      </c>
      <c r="B10820" t="n">
        <v>6.04</v>
      </c>
      <c r="C10820" t="n">
        <v>5.37</v>
      </c>
    </row>
    <row r="10821">
      <c r="A10821" s="28" t="n">
        <v>34873</v>
      </c>
      <c r="B10821" t="n">
        <v>6.06</v>
      </c>
      <c r="C10821" t="n">
        <v>5.38</v>
      </c>
    </row>
    <row r="10822">
      <c r="A10822" s="28" t="n">
        <v>34876</v>
      </c>
      <c r="B10822" t="n">
        <v>6.11</v>
      </c>
      <c r="C10822" t="n">
        <v>5.39</v>
      </c>
    </row>
    <row r="10823">
      <c r="A10823" s="28" t="n">
        <v>34877</v>
      </c>
      <c r="B10823" t="n">
        <v>6.15</v>
      </c>
      <c r="C10823" t="n">
        <v>5.42</v>
      </c>
    </row>
    <row r="10824">
      <c r="A10824" s="28" t="n">
        <v>34878</v>
      </c>
      <c r="B10824" t="n">
        <v>6.1</v>
      </c>
      <c r="C10824" t="n">
        <v>5.4</v>
      </c>
    </row>
    <row r="10825">
      <c r="A10825" s="28" t="n">
        <v>34879</v>
      </c>
      <c r="B10825" t="n">
        <v>6.28</v>
      </c>
      <c r="C10825" t="n">
        <v>5.5</v>
      </c>
    </row>
    <row r="10826">
      <c r="A10826" s="28" t="n">
        <v>34880</v>
      </c>
      <c r="B10826" t="n">
        <v>6.21</v>
      </c>
      <c r="C10826" t="n">
        <v>5.44</v>
      </c>
    </row>
    <row r="10827">
      <c r="A10827" s="28" t="n">
        <v>34883</v>
      </c>
      <c r="B10827" t="n">
        <v>6.21</v>
      </c>
      <c r="C10827" t="n">
        <v>5.46</v>
      </c>
    </row>
    <row r="10828">
      <c r="A10828" s="28" t="n">
        <v>34884</v>
      </c>
      <c r="B10828" t="n">
        <v>0</v>
      </c>
      <c r="C10828" t="n">
        <v>0</v>
      </c>
    </row>
    <row r="10829">
      <c r="A10829" s="28" t="n">
        <v>34885</v>
      </c>
      <c r="B10829" t="n">
        <v>6.19</v>
      </c>
      <c r="C10829" t="n">
        <v>5.51</v>
      </c>
    </row>
    <row r="10830">
      <c r="A10830" s="28" t="n">
        <v>34886</v>
      </c>
      <c r="B10830" t="n">
        <v>6.05</v>
      </c>
      <c r="C10830" t="n">
        <v>5.37</v>
      </c>
    </row>
    <row r="10831">
      <c r="A10831" s="28" t="n">
        <v>34887</v>
      </c>
      <c r="B10831" t="n">
        <v>6.04</v>
      </c>
      <c r="C10831" t="n">
        <v>5.38</v>
      </c>
    </row>
    <row r="10832">
      <c r="A10832" s="28" t="n">
        <v>34890</v>
      </c>
      <c r="B10832" t="n">
        <v>6.04</v>
      </c>
      <c r="C10832" t="n">
        <v>5.36</v>
      </c>
    </row>
    <row r="10833">
      <c r="A10833" s="28" t="n">
        <v>34891</v>
      </c>
      <c r="B10833" t="n">
        <v>6.09</v>
      </c>
      <c r="C10833" t="n">
        <v>5.39</v>
      </c>
    </row>
    <row r="10834">
      <c r="A10834" s="28" t="n">
        <v>34892</v>
      </c>
      <c r="B10834" t="n">
        <v>6.1</v>
      </c>
      <c r="C10834" t="n">
        <v>5.38</v>
      </c>
    </row>
    <row r="10835">
      <c r="A10835" s="28" t="n">
        <v>34893</v>
      </c>
      <c r="B10835" t="n">
        <v>6.09</v>
      </c>
      <c r="C10835" t="n">
        <v>5.39</v>
      </c>
    </row>
    <row r="10836">
      <c r="A10836" s="28" t="n">
        <v>34894</v>
      </c>
      <c r="B10836" t="n">
        <v>6.15</v>
      </c>
      <c r="C10836" t="n">
        <v>5.43</v>
      </c>
    </row>
    <row r="10837">
      <c r="A10837" s="28" t="n">
        <v>34897</v>
      </c>
      <c r="B10837" t="n">
        <v>6.22</v>
      </c>
      <c r="C10837" t="n">
        <v>5.45</v>
      </c>
    </row>
    <row r="10838">
      <c r="A10838" s="28" t="n">
        <v>34898</v>
      </c>
      <c r="B10838" t="n">
        <v>6.25</v>
      </c>
      <c r="C10838" t="n">
        <v>5.44</v>
      </c>
    </row>
    <row r="10839">
      <c r="A10839" s="28" t="n">
        <v>34899</v>
      </c>
      <c r="B10839" t="n">
        <v>6.43</v>
      </c>
      <c r="C10839" t="n">
        <v>5.41</v>
      </c>
    </row>
    <row r="10840">
      <c r="A10840" s="28" t="n">
        <v>34900</v>
      </c>
      <c r="B10840" t="n">
        <v>6.43</v>
      </c>
      <c r="C10840" t="n">
        <v>5.43</v>
      </c>
    </row>
    <row r="10841">
      <c r="A10841" s="28" t="n">
        <v>34901</v>
      </c>
      <c r="B10841" t="n">
        <v>6.53</v>
      </c>
      <c r="C10841" t="n">
        <v>5.44</v>
      </c>
    </row>
    <row r="10842">
      <c r="A10842" s="28" t="n">
        <v>34904</v>
      </c>
      <c r="B10842" t="n">
        <v>6.46</v>
      </c>
      <c r="C10842" t="n">
        <v>5.44</v>
      </c>
    </row>
    <row r="10843">
      <c r="A10843" s="28" t="n">
        <v>34905</v>
      </c>
      <c r="B10843" t="n">
        <v>6.43</v>
      </c>
      <c r="C10843" t="n">
        <v>5.45</v>
      </c>
    </row>
    <row r="10844">
      <c r="A10844" s="28" t="n">
        <v>34906</v>
      </c>
      <c r="B10844" t="n">
        <v>6.48</v>
      </c>
      <c r="C10844" t="n">
        <v>5.46</v>
      </c>
    </row>
    <row r="10845">
      <c r="A10845" s="28" t="n">
        <v>34907</v>
      </c>
      <c r="B10845" t="n">
        <v>6.43</v>
      </c>
      <c r="C10845" t="n">
        <v>5.41</v>
      </c>
    </row>
    <row r="10846">
      <c r="A10846" s="28" t="n">
        <v>34908</v>
      </c>
      <c r="B10846" t="n">
        <v>6.49</v>
      </c>
      <c r="C10846" t="n">
        <v>5.42</v>
      </c>
    </row>
    <row r="10847">
      <c r="A10847" s="28" t="n">
        <v>34911</v>
      </c>
      <c r="B10847" t="n">
        <v>6.45</v>
      </c>
      <c r="C10847" t="n">
        <v>5.42</v>
      </c>
    </row>
    <row r="10848">
      <c r="A10848" s="28" t="n">
        <v>34912</v>
      </c>
      <c r="B10848" t="n">
        <v>6.5</v>
      </c>
      <c r="C10848" t="n">
        <v>5.44</v>
      </c>
    </row>
    <row r="10849">
      <c r="A10849" s="28" t="n">
        <v>34913</v>
      </c>
      <c r="B10849" t="n">
        <v>6.44</v>
      </c>
      <c r="C10849" t="n">
        <v>5.42</v>
      </c>
    </row>
    <row r="10850">
      <c r="A10850" s="28" t="n">
        <v>34914</v>
      </c>
      <c r="B10850" t="n">
        <v>6.53</v>
      </c>
      <c r="C10850" t="n">
        <v>5.42</v>
      </c>
    </row>
    <row r="10851">
      <c r="A10851" s="28" t="n">
        <v>34915</v>
      </c>
      <c r="B10851" t="n">
        <v>6.5</v>
      </c>
      <c r="C10851" t="n">
        <v>5.41</v>
      </c>
    </row>
    <row r="10852">
      <c r="A10852" s="28" t="n">
        <v>34918</v>
      </c>
      <c r="B10852" t="n">
        <v>6.48</v>
      </c>
      <c r="C10852" t="n">
        <v>5.4</v>
      </c>
    </row>
    <row r="10853">
      <c r="A10853" s="28" t="n">
        <v>34919</v>
      </c>
      <c r="B10853" t="n">
        <v>6.47</v>
      </c>
      <c r="C10853" t="n">
        <v>5.38</v>
      </c>
    </row>
    <row r="10854">
      <c r="A10854" s="28" t="n">
        <v>34920</v>
      </c>
      <c r="B10854" t="n">
        <v>6.47</v>
      </c>
      <c r="C10854" t="n">
        <v>5.39</v>
      </c>
    </row>
    <row r="10855">
      <c r="A10855" s="28" t="n">
        <v>34921</v>
      </c>
      <c r="B10855" t="n">
        <v>6.51</v>
      </c>
      <c r="C10855" t="n">
        <v>5.4</v>
      </c>
    </row>
    <row r="10856">
      <c r="A10856" s="28" t="n">
        <v>34922</v>
      </c>
      <c r="B10856" t="n">
        <v>6.59</v>
      </c>
      <c r="C10856" t="n">
        <v>5.42</v>
      </c>
    </row>
    <row r="10857">
      <c r="A10857" s="28" t="n">
        <v>34925</v>
      </c>
      <c r="B10857" t="n">
        <v>6.59</v>
      </c>
      <c r="C10857" t="n">
        <v>5.43</v>
      </c>
    </row>
    <row r="10858">
      <c r="A10858" s="28" t="n">
        <v>34926</v>
      </c>
      <c r="B10858" t="n">
        <v>6.57</v>
      </c>
      <c r="C10858" t="n">
        <v>5.45</v>
      </c>
    </row>
    <row r="10859">
      <c r="A10859" s="28" t="n">
        <v>34927</v>
      </c>
      <c r="B10859" t="n">
        <v>6.54</v>
      </c>
      <c r="C10859" t="n">
        <v>5.43</v>
      </c>
    </row>
    <row r="10860">
      <c r="A10860" s="28" t="n">
        <v>34928</v>
      </c>
      <c r="B10860" t="n">
        <v>6.57</v>
      </c>
      <c r="C10860" t="n">
        <v>5.44</v>
      </c>
    </row>
    <row r="10861">
      <c r="A10861" s="28" t="n">
        <v>34929</v>
      </c>
      <c r="B10861" t="n">
        <v>6.57</v>
      </c>
      <c r="C10861" t="n">
        <v>5.44</v>
      </c>
    </row>
    <row r="10862">
      <c r="A10862" s="28" t="n">
        <v>34932</v>
      </c>
      <c r="B10862" t="n">
        <v>6.54</v>
      </c>
      <c r="C10862" t="n">
        <v>5.45</v>
      </c>
    </row>
    <row r="10863">
      <c r="A10863" s="28" t="n">
        <v>34933</v>
      </c>
      <c r="B10863" t="n">
        <v>6.57</v>
      </c>
      <c r="C10863" t="n">
        <v>5.46</v>
      </c>
    </row>
    <row r="10864">
      <c r="A10864" s="28" t="n">
        <v>34934</v>
      </c>
      <c r="B10864" t="n">
        <v>6.6</v>
      </c>
      <c r="C10864" t="n">
        <v>5.43</v>
      </c>
    </row>
    <row r="10865">
      <c r="A10865" s="28" t="n">
        <v>34935</v>
      </c>
      <c r="B10865" t="n">
        <v>6.5</v>
      </c>
      <c r="C10865" t="n">
        <v>5.36</v>
      </c>
    </row>
    <row r="10866">
      <c r="A10866" s="28" t="n">
        <v>34936</v>
      </c>
      <c r="B10866" t="n">
        <v>6.38</v>
      </c>
      <c r="C10866" t="n">
        <v>5.34</v>
      </c>
    </row>
    <row r="10867">
      <c r="A10867" s="28" t="n">
        <v>34939</v>
      </c>
      <c r="B10867" t="n">
        <v>6.34</v>
      </c>
      <c r="C10867" t="n">
        <v>5.31</v>
      </c>
    </row>
    <row r="10868">
      <c r="A10868" s="28" t="n">
        <v>34940</v>
      </c>
      <c r="B10868" t="n">
        <v>6.36</v>
      </c>
      <c r="C10868" t="n">
        <v>5.34</v>
      </c>
    </row>
    <row r="10869">
      <c r="A10869" s="28" t="n">
        <v>34941</v>
      </c>
      <c r="B10869" t="n">
        <v>6.33</v>
      </c>
      <c r="C10869" t="n">
        <v>5.3</v>
      </c>
    </row>
    <row r="10870">
      <c r="A10870" s="28" t="n">
        <v>34942</v>
      </c>
      <c r="B10870" t="n">
        <v>6.28</v>
      </c>
      <c r="C10870" t="n">
        <v>5.29</v>
      </c>
    </row>
    <row r="10871">
      <c r="A10871" s="28" t="n">
        <v>34943</v>
      </c>
      <c r="B10871" t="n">
        <v>6.22</v>
      </c>
      <c r="C10871" t="n">
        <v>5.29</v>
      </c>
    </row>
    <row r="10872">
      <c r="A10872" s="28" t="n">
        <v>34946</v>
      </c>
      <c r="B10872" t="n">
        <v>0</v>
      </c>
      <c r="C10872" t="n">
        <v>0</v>
      </c>
    </row>
    <row r="10873">
      <c r="A10873" s="28" t="n">
        <v>34947</v>
      </c>
      <c r="B10873" t="n">
        <v>6.18</v>
      </c>
      <c r="C10873" t="n">
        <v>5.31</v>
      </c>
    </row>
    <row r="10874">
      <c r="A10874" s="28" t="n">
        <v>34948</v>
      </c>
      <c r="B10874" t="n">
        <v>6.17</v>
      </c>
      <c r="C10874" t="n">
        <v>5.32</v>
      </c>
    </row>
    <row r="10875">
      <c r="A10875" s="28" t="n">
        <v>34949</v>
      </c>
      <c r="B10875" t="n">
        <v>6.21</v>
      </c>
      <c r="C10875" t="n">
        <v>5.34</v>
      </c>
    </row>
    <row r="10876">
      <c r="A10876" s="28" t="n">
        <v>34950</v>
      </c>
      <c r="B10876" t="n">
        <v>6.24</v>
      </c>
      <c r="C10876" t="n">
        <v>5.36</v>
      </c>
    </row>
    <row r="10877">
      <c r="A10877" s="28" t="n">
        <v>34953</v>
      </c>
      <c r="B10877" t="n">
        <v>6.24</v>
      </c>
      <c r="C10877" t="n">
        <v>5.35</v>
      </c>
    </row>
    <row r="10878">
      <c r="A10878" s="28" t="n">
        <v>34954</v>
      </c>
      <c r="B10878" t="n">
        <v>6.16</v>
      </c>
      <c r="C10878" t="n">
        <v>5.31</v>
      </c>
    </row>
    <row r="10879">
      <c r="A10879" s="28" t="n">
        <v>34955</v>
      </c>
      <c r="B10879" t="n">
        <v>6.18</v>
      </c>
      <c r="C10879" t="n">
        <v>5.31</v>
      </c>
    </row>
    <row r="10880">
      <c r="A10880" s="28" t="n">
        <v>34956</v>
      </c>
      <c r="B10880" t="n">
        <v>6.08</v>
      </c>
      <c r="C10880" t="n">
        <v>5.28</v>
      </c>
    </row>
    <row r="10881">
      <c r="A10881" s="28" t="n">
        <v>34957</v>
      </c>
      <c r="B10881" t="n">
        <v>6.11</v>
      </c>
      <c r="C10881" t="n">
        <v>5.3</v>
      </c>
    </row>
    <row r="10882">
      <c r="A10882" s="28" t="n">
        <v>34960</v>
      </c>
      <c r="B10882" t="n">
        <v>6.17</v>
      </c>
      <c r="C10882" t="n">
        <v>5.29</v>
      </c>
    </row>
    <row r="10883">
      <c r="A10883" s="28" t="n">
        <v>34961</v>
      </c>
      <c r="B10883" t="n">
        <v>6.14</v>
      </c>
      <c r="C10883" t="n">
        <v>5.2</v>
      </c>
    </row>
    <row r="10884">
      <c r="A10884" s="28" t="n">
        <v>34962</v>
      </c>
      <c r="B10884" t="n">
        <v>6.1</v>
      </c>
      <c r="C10884" t="n">
        <v>5.18</v>
      </c>
    </row>
    <row r="10885">
      <c r="A10885" s="28" t="n">
        <v>34963</v>
      </c>
      <c r="B10885" t="n">
        <v>6.21</v>
      </c>
      <c r="C10885" t="n">
        <v>5.24</v>
      </c>
    </row>
    <row r="10886">
      <c r="A10886" s="28" t="n">
        <v>34964</v>
      </c>
      <c r="B10886" t="n">
        <v>6.25</v>
      </c>
      <c r="C10886" t="n">
        <v>5.19</v>
      </c>
    </row>
    <row r="10887">
      <c r="A10887" s="28" t="n">
        <v>34967</v>
      </c>
      <c r="B10887" t="n">
        <v>6.26</v>
      </c>
      <c r="C10887" t="n">
        <v>5.24</v>
      </c>
    </row>
    <row r="10888">
      <c r="A10888" s="28" t="n">
        <v>34968</v>
      </c>
      <c r="B10888" t="n">
        <v>6.28</v>
      </c>
      <c r="C10888" t="n">
        <v>5.29</v>
      </c>
    </row>
    <row r="10889">
      <c r="A10889" s="28" t="n">
        <v>34969</v>
      </c>
      <c r="B10889" t="n">
        <v>6.3</v>
      </c>
      <c r="C10889" t="n">
        <v>5.26</v>
      </c>
    </row>
    <row r="10890">
      <c r="A10890" s="28" t="n">
        <v>34970</v>
      </c>
      <c r="B10890" t="n">
        <v>6.28</v>
      </c>
      <c r="C10890" t="n">
        <v>5.28</v>
      </c>
    </row>
    <row r="10891">
      <c r="A10891" s="28" t="n">
        <v>34971</v>
      </c>
      <c r="B10891" t="n">
        <v>6.17</v>
      </c>
      <c r="C10891" t="n">
        <v>5.24</v>
      </c>
    </row>
    <row r="10892">
      <c r="A10892" s="28" t="n">
        <v>34974</v>
      </c>
      <c r="B10892" t="n">
        <v>6.15</v>
      </c>
      <c r="C10892" t="n">
        <v>5.26</v>
      </c>
    </row>
    <row r="10893">
      <c r="A10893" s="28" t="n">
        <v>34975</v>
      </c>
      <c r="B10893" t="n">
        <v>6.13</v>
      </c>
      <c r="C10893" t="n">
        <v>5.35</v>
      </c>
    </row>
    <row r="10894">
      <c r="A10894" s="28" t="n">
        <v>34976</v>
      </c>
      <c r="B10894" t="n">
        <v>6.12</v>
      </c>
      <c r="C10894" t="n">
        <v>5.31</v>
      </c>
    </row>
    <row r="10895">
      <c r="A10895" s="28" t="n">
        <v>34977</v>
      </c>
      <c r="B10895" t="n">
        <v>6.06</v>
      </c>
      <c r="C10895" t="n">
        <v>5.28</v>
      </c>
    </row>
    <row r="10896">
      <c r="A10896" s="28" t="n">
        <v>34978</v>
      </c>
      <c r="B10896" t="n">
        <v>6.06</v>
      </c>
      <c r="C10896" t="n">
        <v>5.31</v>
      </c>
    </row>
    <row r="10897">
      <c r="A10897" s="28" t="n">
        <v>34981</v>
      </c>
      <c r="B10897" t="n">
        <v>0</v>
      </c>
      <c r="C10897" t="n">
        <v>0</v>
      </c>
    </row>
    <row r="10898">
      <c r="A10898" s="28" t="n">
        <v>34982</v>
      </c>
      <c r="B10898" t="n">
        <v>6.07</v>
      </c>
      <c r="C10898" t="n">
        <v>5.29</v>
      </c>
    </row>
    <row r="10899">
      <c r="A10899" s="28" t="n">
        <v>34983</v>
      </c>
      <c r="B10899" t="n">
        <v>6.09</v>
      </c>
      <c r="C10899" t="n">
        <v>5.31</v>
      </c>
    </row>
    <row r="10900">
      <c r="A10900" s="28" t="n">
        <v>34984</v>
      </c>
      <c r="B10900" t="n">
        <v>6.07</v>
      </c>
      <c r="C10900" t="n">
        <v>5.3</v>
      </c>
    </row>
    <row r="10901">
      <c r="A10901" s="28" t="n">
        <v>34985</v>
      </c>
      <c r="B10901" t="n">
        <v>5.97</v>
      </c>
      <c r="C10901" t="n">
        <v>5.29</v>
      </c>
    </row>
    <row r="10902">
      <c r="A10902" s="28" t="n">
        <v>34988</v>
      </c>
      <c r="B10902" t="n">
        <v>5.97</v>
      </c>
      <c r="C10902" t="n">
        <v>5.32</v>
      </c>
    </row>
    <row r="10903">
      <c r="A10903" s="28" t="n">
        <v>34989</v>
      </c>
      <c r="B10903" t="n">
        <v>5.97</v>
      </c>
      <c r="C10903" t="n">
        <v>5.27</v>
      </c>
    </row>
    <row r="10904">
      <c r="A10904" s="28" t="n">
        <v>34990</v>
      </c>
      <c r="B10904" t="n">
        <v>5.99</v>
      </c>
      <c r="C10904" t="n">
        <v>5.25</v>
      </c>
    </row>
    <row r="10905">
      <c r="A10905" s="28" t="n">
        <v>34991</v>
      </c>
      <c r="B10905" t="n">
        <v>5.98</v>
      </c>
      <c r="C10905" t="n">
        <v>5.25</v>
      </c>
    </row>
    <row r="10906">
      <c r="A10906" s="28" t="n">
        <v>34992</v>
      </c>
      <c r="B10906" t="n">
        <v>6.04</v>
      </c>
      <c r="C10906" t="n">
        <v>5.27</v>
      </c>
    </row>
    <row r="10907">
      <c r="A10907" s="28" t="n">
        <v>34995</v>
      </c>
      <c r="B10907" t="n">
        <v>6.07</v>
      </c>
      <c r="C10907" t="n">
        <v>5.27</v>
      </c>
    </row>
    <row r="10908">
      <c r="A10908" s="28" t="n">
        <v>34996</v>
      </c>
      <c r="B10908" t="n">
        <v>6.02</v>
      </c>
      <c r="C10908" t="n">
        <v>5.22</v>
      </c>
    </row>
    <row r="10909">
      <c r="A10909" s="28" t="n">
        <v>34997</v>
      </c>
      <c r="B10909" t="n">
        <v>6</v>
      </c>
      <c r="C10909" t="n">
        <v>5.23</v>
      </c>
    </row>
    <row r="10910">
      <c r="A10910" s="28" t="n">
        <v>34998</v>
      </c>
      <c r="B10910" t="n">
        <v>6.06</v>
      </c>
      <c r="C10910" t="n">
        <v>5.22</v>
      </c>
    </row>
    <row r="10911">
      <c r="A10911" s="28" t="n">
        <v>34999</v>
      </c>
      <c r="B10911" t="n">
        <v>6.05</v>
      </c>
      <c r="C10911" t="n">
        <v>5.25</v>
      </c>
    </row>
    <row r="10912">
      <c r="A10912" s="28" t="n">
        <v>35002</v>
      </c>
      <c r="B10912" t="n">
        <v>6.04</v>
      </c>
      <c r="C10912" t="n">
        <v>5.28</v>
      </c>
    </row>
    <row r="10913">
      <c r="A10913" s="28" t="n">
        <v>35003</v>
      </c>
      <c r="B10913" t="n">
        <v>6.03</v>
      </c>
      <c r="C10913" t="n">
        <v>5.32</v>
      </c>
    </row>
    <row r="10914">
      <c r="A10914" s="28" t="n">
        <v>35004</v>
      </c>
      <c r="B10914" t="n">
        <v>5.98</v>
      </c>
      <c r="C10914" t="n">
        <v>5.32</v>
      </c>
    </row>
    <row r="10915">
      <c r="A10915" s="28" t="n">
        <v>35005</v>
      </c>
      <c r="B10915" t="n">
        <v>5.92</v>
      </c>
      <c r="C10915" t="n">
        <v>5.31</v>
      </c>
    </row>
    <row r="10916">
      <c r="A10916" s="28" t="n">
        <v>35006</v>
      </c>
      <c r="B10916" t="n">
        <v>5.94</v>
      </c>
      <c r="C10916" t="n">
        <v>5.31</v>
      </c>
    </row>
    <row r="10917">
      <c r="A10917" s="28" t="n">
        <v>35009</v>
      </c>
      <c r="B10917" t="n">
        <v>5.96</v>
      </c>
      <c r="C10917" t="n">
        <v>5.34</v>
      </c>
    </row>
    <row r="10918">
      <c r="A10918" s="28" t="n">
        <v>35010</v>
      </c>
      <c r="B10918" t="n">
        <v>5.99</v>
      </c>
      <c r="C10918" t="n">
        <v>5.37</v>
      </c>
    </row>
    <row r="10919">
      <c r="A10919" s="28" t="n">
        <v>35011</v>
      </c>
      <c r="B10919" t="n">
        <v>5.92</v>
      </c>
      <c r="C10919" t="n">
        <v>5.36</v>
      </c>
    </row>
    <row r="10920">
      <c r="A10920" s="28" t="n">
        <v>35012</v>
      </c>
      <c r="B10920" t="n">
        <v>5.97</v>
      </c>
      <c r="C10920" t="n">
        <v>5.39</v>
      </c>
    </row>
    <row r="10921">
      <c r="A10921" s="28" t="n">
        <v>35013</v>
      </c>
      <c r="B10921" t="n">
        <v>6</v>
      </c>
      <c r="C10921" t="n">
        <v>5.42</v>
      </c>
    </row>
    <row r="10922">
      <c r="A10922" s="28" t="n">
        <v>35016</v>
      </c>
      <c r="B10922" t="n">
        <v>5.98</v>
      </c>
      <c r="C10922" t="n">
        <v>5.42</v>
      </c>
    </row>
    <row r="10923">
      <c r="A10923" s="28" t="n">
        <v>35017</v>
      </c>
      <c r="B10923" t="n">
        <v>5.97</v>
      </c>
      <c r="C10923" t="n">
        <v>5.38</v>
      </c>
    </row>
    <row r="10924">
      <c r="A10924" s="28" t="n">
        <v>35018</v>
      </c>
      <c r="B10924" t="n">
        <v>6</v>
      </c>
      <c r="C10924" t="n">
        <v>5.39</v>
      </c>
    </row>
    <row r="10925">
      <c r="A10925" s="28" t="n">
        <v>35019</v>
      </c>
      <c r="B10925" t="n">
        <v>5.93</v>
      </c>
      <c r="C10925" t="n">
        <v>5.36</v>
      </c>
    </row>
    <row r="10926">
      <c r="A10926" s="28" t="n">
        <v>35020</v>
      </c>
      <c r="B10926" t="n">
        <v>5.92</v>
      </c>
      <c r="C10926" t="n">
        <v>5.35</v>
      </c>
    </row>
    <row r="10927">
      <c r="A10927" s="28" t="n">
        <v>35023</v>
      </c>
      <c r="B10927" t="n">
        <v>5.93</v>
      </c>
      <c r="C10927" t="n">
        <v>5.35</v>
      </c>
    </row>
    <row r="10928">
      <c r="A10928" s="28" t="n">
        <v>35024</v>
      </c>
      <c r="B10928" t="n">
        <v>5.92</v>
      </c>
      <c r="C10928" t="n">
        <v>5.36</v>
      </c>
    </row>
    <row r="10929">
      <c r="A10929" s="28" t="n">
        <v>35025</v>
      </c>
      <c r="B10929" t="n">
        <v>5.93</v>
      </c>
      <c r="C10929" t="n">
        <v>5.36</v>
      </c>
    </row>
    <row r="10930">
      <c r="A10930" s="28" t="n">
        <v>35026</v>
      </c>
      <c r="B10930" t="n">
        <v>0</v>
      </c>
      <c r="C10930" t="n">
        <v>0</v>
      </c>
    </row>
    <row r="10931">
      <c r="A10931" s="28" t="n">
        <v>35027</v>
      </c>
      <c r="B10931" t="n">
        <v>5.91</v>
      </c>
      <c r="C10931" t="n">
        <v>5.32</v>
      </c>
    </row>
    <row r="10932">
      <c r="A10932" s="28" t="n">
        <v>35030</v>
      </c>
      <c r="B10932" t="n">
        <v>5.88</v>
      </c>
      <c r="C10932" t="n">
        <v>5.34</v>
      </c>
    </row>
    <row r="10933">
      <c r="A10933" s="28" t="n">
        <v>35031</v>
      </c>
      <c r="B10933" t="n">
        <v>5.88</v>
      </c>
      <c r="C10933" t="n">
        <v>5.37</v>
      </c>
    </row>
    <row r="10934">
      <c r="A10934" s="28" t="n">
        <v>35032</v>
      </c>
      <c r="B10934" t="n">
        <v>5.85</v>
      </c>
      <c r="C10934" t="n">
        <v>5.34</v>
      </c>
    </row>
    <row r="10935">
      <c r="A10935" s="28" t="n">
        <v>35033</v>
      </c>
      <c r="B10935" t="n">
        <v>5.76</v>
      </c>
      <c r="C10935" t="n">
        <v>5.32</v>
      </c>
    </row>
    <row r="10936">
      <c r="A10936" s="28" t="n">
        <v>35034</v>
      </c>
      <c r="B10936" t="n">
        <v>5.71</v>
      </c>
      <c r="C10936" t="n">
        <v>5.29</v>
      </c>
    </row>
    <row r="10937">
      <c r="A10937" s="28" t="n">
        <v>35037</v>
      </c>
      <c r="B10937" t="n">
        <v>5.63</v>
      </c>
      <c r="C10937" t="n">
        <v>5.31</v>
      </c>
    </row>
    <row r="10938">
      <c r="A10938" s="28" t="n">
        <v>35038</v>
      </c>
      <c r="B10938" t="n">
        <v>5.65</v>
      </c>
      <c r="C10938" t="n">
        <v>5.31</v>
      </c>
    </row>
    <row r="10939">
      <c r="A10939" s="28" t="n">
        <v>35039</v>
      </c>
      <c r="B10939" t="n">
        <v>5.67</v>
      </c>
      <c r="C10939" t="n">
        <v>5.32</v>
      </c>
    </row>
    <row r="10940">
      <c r="A10940" s="28" t="n">
        <v>35040</v>
      </c>
      <c r="B10940" t="n">
        <v>5.72</v>
      </c>
      <c r="C10940" t="n">
        <v>5.34</v>
      </c>
    </row>
    <row r="10941">
      <c r="A10941" s="28" t="n">
        <v>35041</v>
      </c>
      <c r="B10941" t="n">
        <v>5.73</v>
      </c>
      <c r="C10941" t="n">
        <v>5.34</v>
      </c>
    </row>
    <row r="10942">
      <c r="A10942" s="28" t="n">
        <v>35044</v>
      </c>
      <c r="B10942" t="n">
        <v>5.71</v>
      </c>
      <c r="C10942" t="n">
        <v>5.33</v>
      </c>
    </row>
    <row r="10943">
      <c r="A10943" s="28" t="n">
        <v>35045</v>
      </c>
      <c r="B10943" t="n">
        <v>5.72</v>
      </c>
      <c r="C10943" t="n">
        <v>5.25</v>
      </c>
    </row>
    <row r="10944">
      <c r="A10944" s="28" t="n">
        <v>35046</v>
      </c>
      <c r="B10944" t="n">
        <v>5.74</v>
      </c>
      <c r="C10944" t="n">
        <v>5.26</v>
      </c>
    </row>
    <row r="10945">
      <c r="A10945" s="28" t="n">
        <v>35047</v>
      </c>
      <c r="B10945" t="n">
        <v>5.74</v>
      </c>
      <c r="C10945" t="n">
        <v>5.26</v>
      </c>
    </row>
    <row r="10946">
      <c r="A10946" s="28" t="n">
        <v>35048</v>
      </c>
      <c r="B10946" t="n">
        <v>5.75</v>
      </c>
      <c r="C10946" t="n">
        <v>5.2</v>
      </c>
    </row>
    <row r="10947">
      <c r="A10947" s="28" t="n">
        <v>35051</v>
      </c>
      <c r="B10947" t="n">
        <v>5.85</v>
      </c>
      <c r="C10947" t="n">
        <v>5.2</v>
      </c>
    </row>
    <row r="10948">
      <c r="A10948" s="28" t="n">
        <v>35052</v>
      </c>
      <c r="B10948" t="n">
        <v>5.81</v>
      </c>
      <c r="C10948" t="n">
        <v>5.09</v>
      </c>
    </row>
    <row r="10949">
      <c r="A10949" s="28" t="n">
        <v>35053</v>
      </c>
      <c r="B10949" t="n">
        <v>5.76</v>
      </c>
      <c r="C10949" t="n">
        <v>5</v>
      </c>
    </row>
    <row r="10950">
      <c r="A10950" s="28" t="n">
        <v>35054</v>
      </c>
      <c r="B10950" t="n">
        <v>5.77</v>
      </c>
      <c r="C10950" t="n">
        <v>4.91</v>
      </c>
    </row>
    <row r="10951">
      <c r="A10951" s="28" t="n">
        <v>35055</v>
      </c>
      <c r="B10951" t="n">
        <v>5.71</v>
      </c>
      <c r="C10951" t="n">
        <v>4.9</v>
      </c>
    </row>
    <row r="10952">
      <c r="A10952" s="28" t="n">
        <v>35058</v>
      </c>
      <c r="B10952" t="n">
        <v>0</v>
      </c>
      <c r="C10952" t="n">
        <v>0</v>
      </c>
    </row>
    <row r="10953">
      <c r="A10953" s="28" t="n">
        <v>35059</v>
      </c>
      <c r="B10953" t="n">
        <v>5.69</v>
      </c>
      <c r="C10953" t="n">
        <v>4.86</v>
      </c>
    </row>
    <row r="10954">
      <c r="A10954" s="28" t="n">
        <v>35060</v>
      </c>
      <c r="B10954" t="n">
        <v>5.66</v>
      </c>
      <c r="C10954" t="n">
        <v>4.9</v>
      </c>
    </row>
    <row r="10955">
      <c r="A10955" s="28" t="n">
        <v>35061</v>
      </c>
      <c r="B10955" t="n">
        <v>5.63</v>
      </c>
      <c r="C10955" t="n">
        <v>4.84</v>
      </c>
    </row>
    <row r="10956">
      <c r="A10956" s="28" t="n">
        <v>35062</v>
      </c>
      <c r="B10956" t="n">
        <v>5.58</v>
      </c>
      <c r="C10956" t="n">
        <v>4.96</v>
      </c>
    </row>
    <row r="10957">
      <c r="A10957" s="28" t="n">
        <v>35065</v>
      </c>
      <c r="B10957" t="n">
        <v>0</v>
      </c>
      <c r="C10957" t="n">
        <v>0</v>
      </c>
    </row>
    <row r="10958">
      <c r="A10958" s="28" t="n">
        <v>35066</v>
      </c>
      <c r="B10958" t="n">
        <v>5.6</v>
      </c>
      <c r="C10958" t="n">
        <v>4.97</v>
      </c>
    </row>
    <row r="10959">
      <c r="A10959" s="28" t="n">
        <v>35067</v>
      </c>
      <c r="B10959" t="n">
        <v>5.58</v>
      </c>
      <c r="C10959" t="n">
        <v>5.05</v>
      </c>
    </row>
    <row r="10960">
      <c r="A10960" s="28" t="n">
        <v>35068</v>
      </c>
      <c r="B10960" t="n">
        <v>5.65</v>
      </c>
      <c r="C10960" t="n">
        <v>5.04</v>
      </c>
    </row>
    <row r="10961">
      <c r="A10961" s="28" t="n">
        <v>35069</v>
      </c>
      <c r="B10961" t="n">
        <v>5.69</v>
      </c>
      <c r="C10961" t="n">
        <v>5.03</v>
      </c>
    </row>
    <row r="10962">
      <c r="A10962" s="28" t="n">
        <v>35072</v>
      </c>
      <c r="B10962" t="n">
        <v>5.68</v>
      </c>
      <c r="C10962" t="n">
        <v>5.03</v>
      </c>
    </row>
    <row r="10963">
      <c r="A10963" s="28" t="n">
        <v>35073</v>
      </c>
      <c r="B10963" t="n">
        <v>5.7</v>
      </c>
      <c r="C10963" t="n">
        <v>5.01</v>
      </c>
    </row>
    <row r="10964">
      <c r="A10964" s="28" t="n">
        <v>35074</v>
      </c>
      <c r="B10964" t="n">
        <v>5.8</v>
      </c>
      <c r="C10964" t="n">
        <v>5.04</v>
      </c>
    </row>
    <row r="10965">
      <c r="A10965" s="28" t="n">
        <v>35075</v>
      </c>
      <c r="B10965" t="n">
        <v>5.78</v>
      </c>
      <c r="C10965" t="n">
        <v>5.04</v>
      </c>
    </row>
    <row r="10966">
      <c r="A10966" s="28" t="n">
        <v>35076</v>
      </c>
      <c r="B10966" t="n">
        <v>5.75</v>
      </c>
      <c r="C10966" t="n">
        <v>5.05</v>
      </c>
    </row>
    <row r="10967">
      <c r="A10967" s="28" t="n">
        <v>35079</v>
      </c>
      <c r="B10967" t="n">
        <v>0</v>
      </c>
      <c r="C10967" t="n">
        <v>0</v>
      </c>
    </row>
    <row r="10968">
      <c r="A10968" s="28" t="n">
        <v>35080</v>
      </c>
      <c r="B10968" t="n">
        <v>5.66</v>
      </c>
      <c r="C10968" t="n">
        <v>5</v>
      </c>
    </row>
    <row r="10969">
      <c r="A10969" s="28" t="n">
        <v>35081</v>
      </c>
      <c r="B10969" t="n">
        <v>5.58</v>
      </c>
      <c r="C10969" t="n">
        <v>4.99</v>
      </c>
    </row>
    <row r="10970">
      <c r="A10970" s="28" t="n">
        <v>35082</v>
      </c>
      <c r="B10970" t="n">
        <v>5.53</v>
      </c>
      <c r="C10970" t="n">
        <v>4.96</v>
      </c>
    </row>
    <row r="10971">
      <c r="A10971" s="28" t="n">
        <v>35083</v>
      </c>
      <c r="B10971" t="n">
        <v>5.54</v>
      </c>
      <c r="C10971" t="n">
        <v>4.96</v>
      </c>
    </row>
    <row r="10972">
      <c r="A10972" s="28" t="n">
        <v>35086</v>
      </c>
      <c r="B10972" t="n">
        <v>5.61</v>
      </c>
      <c r="C10972" t="n">
        <v>4.98</v>
      </c>
    </row>
    <row r="10973">
      <c r="A10973" s="28" t="n">
        <v>35087</v>
      </c>
      <c r="B10973" t="n">
        <v>5.66</v>
      </c>
      <c r="C10973" t="n">
        <v>4.97</v>
      </c>
    </row>
    <row r="10974">
      <c r="A10974" s="28" t="n">
        <v>35088</v>
      </c>
      <c r="B10974" t="n">
        <v>5.62</v>
      </c>
      <c r="C10974" t="n">
        <v>4.97</v>
      </c>
    </row>
    <row r="10975">
      <c r="A10975" s="28" t="n">
        <v>35089</v>
      </c>
      <c r="B10975" t="n">
        <v>5.7</v>
      </c>
      <c r="C10975" t="n">
        <v>4.97</v>
      </c>
    </row>
    <row r="10976">
      <c r="A10976" s="28" t="n">
        <v>35090</v>
      </c>
      <c r="B10976" t="n">
        <v>5.65</v>
      </c>
      <c r="C10976" t="n">
        <v>4.97</v>
      </c>
    </row>
    <row r="10977">
      <c r="A10977" s="28" t="n">
        <v>35093</v>
      </c>
      <c r="B10977" t="n">
        <v>5.69</v>
      </c>
      <c r="C10977" t="n">
        <v>5</v>
      </c>
    </row>
    <row r="10978">
      <c r="A10978" s="28" t="n">
        <v>35094</v>
      </c>
      <c r="B10978" t="n">
        <v>5.63</v>
      </c>
      <c r="C10978" t="n">
        <v>4.99</v>
      </c>
    </row>
    <row r="10979">
      <c r="A10979" s="28" t="n">
        <v>35095</v>
      </c>
      <c r="B10979" t="n">
        <v>5.6</v>
      </c>
      <c r="C10979" t="n">
        <v>4.91</v>
      </c>
    </row>
    <row r="10980">
      <c r="A10980" s="28" t="n">
        <v>35096</v>
      </c>
      <c r="B10980" t="n">
        <v>5.63</v>
      </c>
      <c r="C10980" t="n">
        <v>4.89</v>
      </c>
    </row>
    <row r="10981">
      <c r="A10981" s="28" t="n">
        <v>35097</v>
      </c>
      <c r="B10981" t="n">
        <v>5.66</v>
      </c>
      <c r="C10981" t="n">
        <v>4.85</v>
      </c>
    </row>
    <row r="10982">
      <c r="A10982" s="28" t="n">
        <v>35100</v>
      </c>
      <c r="B10982" t="n">
        <v>5.7</v>
      </c>
      <c r="C10982" t="n">
        <v>4.86</v>
      </c>
    </row>
    <row r="10983">
      <c r="A10983" s="28" t="n">
        <v>35101</v>
      </c>
      <c r="B10983" t="n">
        <v>5.68</v>
      </c>
      <c r="C10983" t="n">
        <v>4.84</v>
      </c>
    </row>
    <row r="10984">
      <c r="A10984" s="28" t="n">
        <v>35102</v>
      </c>
      <c r="B10984" t="n">
        <v>5.66</v>
      </c>
      <c r="C10984" t="n">
        <v>4.8</v>
      </c>
    </row>
    <row r="10985">
      <c r="A10985" s="28" t="n">
        <v>35103</v>
      </c>
      <c r="B10985" t="n">
        <v>5.66</v>
      </c>
      <c r="C10985" t="n">
        <v>4.78</v>
      </c>
    </row>
    <row r="10986">
      <c r="A10986" s="28" t="n">
        <v>35104</v>
      </c>
      <c r="B10986" t="n">
        <v>5.66</v>
      </c>
      <c r="C10986" t="n">
        <v>4.79</v>
      </c>
    </row>
    <row r="10987">
      <c r="A10987" s="28" t="n">
        <v>35107</v>
      </c>
      <c r="B10987" t="n">
        <v>5.61</v>
      </c>
      <c r="C10987" t="n">
        <v>4.8</v>
      </c>
    </row>
    <row r="10988">
      <c r="A10988" s="28" t="n">
        <v>35108</v>
      </c>
      <c r="B10988" t="n">
        <v>5.58</v>
      </c>
      <c r="C10988" t="n">
        <v>4.79</v>
      </c>
    </row>
    <row r="10989">
      <c r="A10989" s="28" t="n">
        <v>35109</v>
      </c>
      <c r="B10989" t="n">
        <v>5.62</v>
      </c>
      <c r="C10989" t="n">
        <v>4.8</v>
      </c>
    </row>
    <row r="10990">
      <c r="A10990" s="28" t="n">
        <v>35110</v>
      </c>
      <c r="B10990" t="n">
        <v>5.7</v>
      </c>
      <c r="C10990" t="n">
        <v>4.78</v>
      </c>
    </row>
    <row r="10991">
      <c r="A10991" s="28" t="n">
        <v>35111</v>
      </c>
      <c r="B10991" t="n">
        <v>5.76</v>
      </c>
      <c r="C10991" t="n">
        <v>4.76</v>
      </c>
    </row>
    <row r="10992">
      <c r="A10992" s="28" t="n">
        <v>35114</v>
      </c>
      <c r="B10992" t="n">
        <v>0</v>
      </c>
      <c r="C10992" t="n">
        <v>0</v>
      </c>
    </row>
    <row r="10993">
      <c r="A10993" s="28" t="n">
        <v>35115</v>
      </c>
      <c r="B10993" t="n">
        <v>6.01</v>
      </c>
      <c r="C10993" t="n">
        <v>4.83</v>
      </c>
    </row>
    <row r="10994">
      <c r="A10994" s="28" t="n">
        <v>35116</v>
      </c>
      <c r="B10994" t="n">
        <v>5.98</v>
      </c>
      <c r="C10994" t="n">
        <v>4.82</v>
      </c>
    </row>
    <row r="10995">
      <c r="A10995" s="28" t="n">
        <v>35117</v>
      </c>
      <c r="B10995" t="n">
        <v>5.92</v>
      </c>
      <c r="C10995" t="n">
        <v>4.81</v>
      </c>
    </row>
    <row r="10996">
      <c r="A10996" s="28" t="n">
        <v>35118</v>
      </c>
      <c r="B10996" t="n">
        <v>5.97</v>
      </c>
      <c r="C10996" t="n">
        <v>4.83</v>
      </c>
    </row>
    <row r="10997">
      <c r="A10997" s="28" t="n">
        <v>35121</v>
      </c>
      <c r="B10997" t="n">
        <v>6.01</v>
      </c>
      <c r="C10997" t="n">
        <v>4.85</v>
      </c>
    </row>
    <row r="10998">
      <c r="A10998" s="28" t="n">
        <v>35122</v>
      </c>
      <c r="B10998" t="n">
        <v>6.06</v>
      </c>
      <c r="C10998" t="n">
        <v>4.88</v>
      </c>
    </row>
    <row r="10999">
      <c r="A10999" s="28" t="n">
        <v>35123</v>
      </c>
      <c r="B10999" t="n">
        <v>6.11</v>
      </c>
      <c r="C10999" t="n">
        <v>4.88</v>
      </c>
    </row>
    <row r="11000">
      <c r="A11000" s="28" t="n">
        <v>35124</v>
      </c>
      <c r="B11000" t="n">
        <v>6.13</v>
      </c>
      <c r="C11000" t="n">
        <v>4.89</v>
      </c>
    </row>
    <row r="11001">
      <c r="A11001" s="28" t="n">
        <v>35125</v>
      </c>
      <c r="B11001" t="n">
        <v>5.99</v>
      </c>
      <c r="C11001" t="n">
        <v>4.86</v>
      </c>
    </row>
    <row r="11002">
      <c r="A11002" s="28" t="n">
        <v>35128</v>
      </c>
      <c r="B11002" t="n">
        <v>5.92</v>
      </c>
      <c r="C11002" t="n">
        <v>4.89</v>
      </c>
    </row>
    <row r="11003">
      <c r="A11003" s="28" t="n">
        <v>35129</v>
      </c>
      <c r="B11003" t="n">
        <v>5.96</v>
      </c>
      <c r="C11003" t="n">
        <v>4.89</v>
      </c>
    </row>
    <row r="11004">
      <c r="A11004" s="28" t="n">
        <v>35130</v>
      </c>
      <c r="B11004" t="n">
        <v>6.05</v>
      </c>
      <c r="C11004" t="n">
        <v>4.9</v>
      </c>
    </row>
    <row r="11005">
      <c r="A11005" s="28" t="n">
        <v>35131</v>
      </c>
      <c r="B11005" t="n">
        <v>6.07</v>
      </c>
      <c r="C11005" t="n">
        <v>4.9</v>
      </c>
    </row>
    <row r="11006">
      <c r="A11006" s="28" t="n">
        <v>35132</v>
      </c>
      <c r="B11006" t="n">
        <v>6.41</v>
      </c>
      <c r="C11006" t="n">
        <v>4.88</v>
      </c>
    </row>
    <row r="11007">
      <c r="A11007" s="28" t="n">
        <v>35135</v>
      </c>
      <c r="B11007" t="n">
        <v>6.33</v>
      </c>
      <c r="C11007" t="n">
        <v>4.96</v>
      </c>
    </row>
    <row r="11008">
      <c r="A11008" s="28" t="n">
        <v>35136</v>
      </c>
      <c r="B11008" t="n">
        <v>6.36</v>
      </c>
      <c r="C11008" t="n">
        <v>4.96</v>
      </c>
    </row>
    <row r="11009">
      <c r="A11009" s="28" t="n">
        <v>35137</v>
      </c>
      <c r="B11009" t="n">
        <v>6.35</v>
      </c>
      <c r="C11009" t="n">
        <v>4.96</v>
      </c>
    </row>
    <row r="11010">
      <c r="A11010" s="28" t="n">
        <v>35138</v>
      </c>
      <c r="B11010" t="n">
        <v>6.36</v>
      </c>
      <c r="C11010" t="n">
        <v>4.98</v>
      </c>
    </row>
    <row r="11011">
      <c r="A11011" s="28" t="n">
        <v>35139</v>
      </c>
      <c r="B11011" t="n">
        <v>6.46</v>
      </c>
      <c r="C11011" t="n">
        <v>5.01</v>
      </c>
    </row>
    <row r="11012">
      <c r="A11012" s="28" t="n">
        <v>35142</v>
      </c>
      <c r="B11012" t="n">
        <v>6.43</v>
      </c>
      <c r="C11012" t="n">
        <v>5.03</v>
      </c>
    </row>
    <row r="11013">
      <c r="A11013" s="28" t="n">
        <v>35143</v>
      </c>
      <c r="B11013" t="n">
        <v>6.41</v>
      </c>
      <c r="C11013" t="n">
        <v>5.05</v>
      </c>
    </row>
    <row r="11014">
      <c r="A11014" s="28" t="n">
        <v>35144</v>
      </c>
      <c r="B11014" t="n">
        <v>6.34</v>
      </c>
      <c r="C11014" t="n">
        <v>5.02</v>
      </c>
    </row>
    <row r="11015">
      <c r="A11015" s="28" t="n">
        <v>35145</v>
      </c>
      <c r="B11015" t="n">
        <v>6.28</v>
      </c>
      <c r="C11015" t="n">
        <v>4.94</v>
      </c>
    </row>
    <row r="11016">
      <c r="A11016" s="28" t="n">
        <v>35146</v>
      </c>
      <c r="B11016" t="n">
        <v>6.32</v>
      </c>
      <c r="C11016" t="n">
        <v>4.97</v>
      </c>
    </row>
    <row r="11017">
      <c r="A11017" s="28" t="n">
        <v>35149</v>
      </c>
      <c r="B11017" t="n">
        <v>6.26</v>
      </c>
      <c r="C11017" t="n">
        <v>4.93</v>
      </c>
    </row>
    <row r="11018">
      <c r="A11018" s="28" t="n">
        <v>35150</v>
      </c>
      <c r="B11018" t="n">
        <v>6.25</v>
      </c>
      <c r="C11018" t="n">
        <v>5</v>
      </c>
    </row>
    <row r="11019">
      <c r="A11019" s="28" t="n">
        <v>35151</v>
      </c>
      <c r="B11019" t="n">
        <v>6.34</v>
      </c>
      <c r="C11019" t="n">
        <v>5.03</v>
      </c>
    </row>
    <row r="11020">
      <c r="A11020" s="28" t="n">
        <v>35152</v>
      </c>
      <c r="B11020" t="n">
        <v>6.41</v>
      </c>
      <c r="C11020" t="n">
        <v>5.05</v>
      </c>
    </row>
    <row r="11021">
      <c r="A11021" s="28" t="n">
        <v>35153</v>
      </c>
      <c r="B11021" t="n">
        <v>6.34</v>
      </c>
      <c r="C11021" t="n">
        <v>5</v>
      </c>
    </row>
    <row r="11022">
      <c r="A11022" s="28" t="n">
        <v>35156</v>
      </c>
      <c r="B11022" t="n">
        <v>6.31</v>
      </c>
      <c r="C11022" t="n">
        <v>5.03</v>
      </c>
    </row>
    <row r="11023">
      <c r="A11023" s="28" t="n">
        <v>35157</v>
      </c>
      <c r="B11023" t="n">
        <v>6.25</v>
      </c>
      <c r="C11023" t="n">
        <v>5.02</v>
      </c>
    </row>
    <row r="11024">
      <c r="A11024" s="28" t="n">
        <v>35158</v>
      </c>
      <c r="B11024" t="n">
        <v>6.27</v>
      </c>
      <c r="C11024" t="n">
        <v>5.01</v>
      </c>
    </row>
    <row r="11025">
      <c r="A11025" s="28" t="n">
        <v>35159</v>
      </c>
      <c r="B11025" t="n">
        <v>6.33</v>
      </c>
      <c r="C11025" t="n">
        <v>4.98</v>
      </c>
    </row>
    <row r="11026">
      <c r="A11026" s="28" t="n">
        <v>35160</v>
      </c>
      <c r="B11026" t="n">
        <v>6.57</v>
      </c>
      <c r="C11026" t="n">
        <v>5.02</v>
      </c>
    </row>
    <row r="11027">
      <c r="A11027" s="28" t="n">
        <v>35163</v>
      </c>
      <c r="B11027" t="n">
        <v>6.63</v>
      </c>
      <c r="C11027" t="n">
        <v>5.02</v>
      </c>
    </row>
    <row r="11028">
      <c r="A11028" s="28" t="n">
        <v>35164</v>
      </c>
      <c r="B11028" t="n">
        <v>6.56</v>
      </c>
      <c r="C11028" t="n">
        <v>4.97</v>
      </c>
    </row>
    <row r="11029">
      <c r="A11029" s="28" t="n">
        <v>35165</v>
      </c>
      <c r="B11029" t="n">
        <v>6.63</v>
      </c>
      <c r="C11029" t="n">
        <v>4.95</v>
      </c>
    </row>
    <row r="11030">
      <c r="A11030" s="28" t="n">
        <v>35166</v>
      </c>
      <c r="B11030" t="n">
        <v>6.68</v>
      </c>
      <c r="C11030" t="n">
        <v>4.95</v>
      </c>
    </row>
    <row r="11031">
      <c r="A11031" s="28" t="n">
        <v>35167</v>
      </c>
      <c r="B11031" t="n">
        <v>6.52</v>
      </c>
      <c r="C11031" t="n">
        <v>4.94</v>
      </c>
    </row>
    <row r="11032">
      <c r="A11032" s="28" t="n">
        <v>35170</v>
      </c>
      <c r="B11032" t="n">
        <v>6.47</v>
      </c>
      <c r="C11032" t="n">
        <v>4.87</v>
      </c>
    </row>
    <row r="11033">
      <c r="A11033" s="28" t="n">
        <v>35171</v>
      </c>
      <c r="B11033" t="n">
        <v>6.48</v>
      </c>
      <c r="C11033" t="n">
        <v>4.82</v>
      </c>
    </row>
    <row r="11034">
      <c r="A11034" s="28" t="n">
        <v>35172</v>
      </c>
      <c r="B11034" t="n">
        <v>6.52</v>
      </c>
      <c r="C11034" t="n">
        <v>4.83</v>
      </c>
    </row>
    <row r="11035">
      <c r="A11035" s="28" t="n">
        <v>35173</v>
      </c>
      <c r="B11035" t="n">
        <v>6.58</v>
      </c>
      <c r="C11035" t="n">
        <v>4.85</v>
      </c>
    </row>
    <row r="11036">
      <c r="A11036" s="28" t="n">
        <v>35174</v>
      </c>
      <c r="B11036" t="n">
        <v>6.53</v>
      </c>
      <c r="C11036" t="n">
        <v>4.88</v>
      </c>
    </row>
    <row r="11037">
      <c r="A11037" s="28" t="n">
        <v>35177</v>
      </c>
      <c r="B11037" t="n">
        <v>6.48</v>
      </c>
      <c r="C11037" t="n">
        <v>4.88</v>
      </c>
    </row>
    <row r="11038">
      <c r="A11038" s="28" t="n">
        <v>35178</v>
      </c>
      <c r="B11038" t="n">
        <v>6.52</v>
      </c>
      <c r="C11038" t="n">
        <v>4.97</v>
      </c>
    </row>
    <row r="11039">
      <c r="A11039" s="28" t="n">
        <v>35179</v>
      </c>
      <c r="B11039" t="n">
        <v>6.57</v>
      </c>
      <c r="C11039" t="n">
        <v>5</v>
      </c>
    </row>
    <row r="11040">
      <c r="A11040" s="28" t="n">
        <v>35180</v>
      </c>
      <c r="B11040" t="n">
        <v>6.56</v>
      </c>
      <c r="C11040" t="n">
        <v>4.96</v>
      </c>
    </row>
    <row r="11041">
      <c r="A11041" s="28" t="n">
        <v>35181</v>
      </c>
      <c r="B11041" t="n">
        <v>6.54</v>
      </c>
      <c r="C11041" t="n">
        <v>4.98</v>
      </c>
    </row>
    <row r="11042">
      <c r="A11042" s="28" t="n">
        <v>35184</v>
      </c>
      <c r="B11042" t="n">
        <v>6.59</v>
      </c>
      <c r="C11042" t="n">
        <v>5</v>
      </c>
    </row>
    <row r="11043">
      <c r="A11043" s="28" t="n">
        <v>35185</v>
      </c>
      <c r="B11043" t="n">
        <v>6.66</v>
      </c>
      <c r="C11043" t="n">
        <v>5.01</v>
      </c>
    </row>
    <row r="11044">
      <c r="A11044" s="28" t="n">
        <v>35186</v>
      </c>
      <c r="B11044" t="n">
        <v>6.68</v>
      </c>
      <c r="C11044" t="n">
        <v>4.98</v>
      </c>
    </row>
    <row r="11045">
      <c r="A11045" s="28" t="n">
        <v>35187</v>
      </c>
      <c r="B11045" t="n">
        <v>6.85</v>
      </c>
      <c r="C11045" t="n">
        <v>4.99</v>
      </c>
    </row>
    <row r="11046">
      <c r="A11046" s="28" t="n">
        <v>35188</v>
      </c>
      <c r="B11046" t="n">
        <v>6.9</v>
      </c>
      <c r="C11046" t="n">
        <v>5</v>
      </c>
    </row>
    <row r="11047">
      <c r="A11047" s="28" t="n">
        <v>35191</v>
      </c>
      <c r="B11047" t="n">
        <v>6.86</v>
      </c>
      <c r="C11047" t="n">
        <v>4.99</v>
      </c>
    </row>
    <row r="11048">
      <c r="A11048" s="28" t="n">
        <v>35192</v>
      </c>
      <c r="B11048" t="n">
        <v>6.87</v>
      </c>
      <c r="C11048" t="n">
        <v>5.01</v>
      </c>
    </row>
    <row r="11049">
      <c r="A11049" s="28" t="n">
        <v>35193</v>
      </c>
      <c r="B11049" t="n">
        <v>6.78</v>
      </c>
      <c r="C11049" t="n">
        <v>5</v>
      </c>
    </row>
    <row r="11050">
      <c r="A11050" s="28" t="n">
        <v>35194</v>
      </c>
      <c r="B11050" t="n">
        <v>6.84</v>
      </c>
      <c r="C11050" t="n">
        <v>4.99</v>
      </c>
    </row>
    <row r="11051">
      <c r="A11051" s="28" t="n">
        <v>35195</v>
      </c>
      <c r="B11051" t="n">
        <v>6.75</v>
      </c>
      <c r="C11051" t="n">
        <v>4.99</v>
      </c>
    </row>
    <row r="11052">
      <c r="A11052" s="28" t="n">
        <v>35198</v>
      </c>
      <c r="B11052" t="n">
        <v>6.72</v>
      </c>
      <c r="C11052" t="n">
        <v>5.02</v>
      </c>
    </row>
    <row r="11053">
      <c r="A11053" s="28" t="n">
        <v>35199</v>
      </c>
      <c r="B11053" t="n">
        <v>6.66</v>
      </c>
      <c r="C11053" t="n">
        <v>5.01</v>
      </c>
    </row>
    <row r="11054">
      <c r="A11054" s="28" t="n">
        <v>35200</v>
      </c>
      <c r="B11054" t="n">
        <v>6.65</v>
      </c>
      <c r="C11054" t="n">
        <v>5</v>
      </c>
    </row>
    <row r="11055">
      <c r="A11055" s="28" t="n">
        <v>35201</v>
      </c>
      <c r="B11055" t="n">
        <v>6.7</v>
      </c>
      <c r="C11055" t="n">
        <v>5.01</v>
      </c>
    </row>
    <row r="11056">
      <c r="A11056" s="28" t="n">
        <v>35202</v>
      </c>
      <c r="B11056" t="n">
        <v>6.65</v>
      </c>
      <c r="C11056" t="n">
        <v>5.01</v>
      </c>
    </row>
    <row r="11057">
      <c r="A11057" s="28" t="n">
        <v>35205</v>
      </c>
      <c r="B11057" t="n">
        <v>6.62</v>
      </c>
      <c r="C11057" t="n">
        <v>5.02</v>
      </c>
    </row>
    <row r="11058">
      <c r="A11058" s="28" t="n">
        <v>35206</v>
      </c>
      <c r="B11058" t="n">
        <v>6.65</v>
      </c>
      <c r="C11058" t="n">
        <v>5.04</v>
      </c>
    </row>
    <row r="11059">
      <c r="A11059" s="28" t="n">
        <v>35207</v>
      </c>
      <c r="B11059" t="n">
        <v>6.63</v>
      </c>
      <c r="C11059" t="n">
        <v>5.04</v>
      </c>
    </row>
    <row r="11060">
      <c r="A11060" s="28" t="n">
        <v>35208</v>
      </c>
      <c r="B11060" t="n">
        <v>6.68</v>
      </c>
      <c r="C11060" t="n">
        <v>5.04</v>
      </c>
    </row>
    <row r="11061">
      <c r="A11061" s="28" t="n">
        <v>35209</v>
      </c>
      <c r="B11061" t="n">
        <v>6.65</v>
      </c>
      <c r="C11061" t="n">
        <v>5.04</v>
      </c>
    </row>
    <row r="11062">
      <c r="A11062" s="28" t="n">
        <v>35212</v>
      </c>
      <c r="B11062" t="n">
        <v>0</v>
      </c>
      <c r="C11062" t="n">
        <v>0</v>
      </c>
    </row>
    <row r="11063">
      <c r="A11063" s="28" t="n">
        <v>35213</v>
      </c>
      <c r="B11063" t="n">
        <v>6.67</v>
      </c>
      <c r="C11063" t="n">
        <v>5.04</v>
      </c>
    </row>
    <row r="11064">
      <c r="A11064" s="28" t="n">
        <v>35214</v>
      </c>
      <c r="B11064" t="n">
        <v>6.77</v>
      </c>
      <c r="C11064" t="n">
        <v>5.04</v>
      </c>
    </row>
    <row r="11065">
      <c r="A11065" s="28" t="n">
        <v>35215</v>
      </c>
      <c r="B11065" t="n">
        <v>6.78</v>
      </c>
      <c r="C11065" t="n">
        <v>5.04</v>
      </c>
    </row>
    <row r="11066">
      <c r="A11066" s="28" t="n">
        <v>35216</v>
      </c>
      <c r="B11066" t="n">
        <v>6.85</v>
      </c>
      <c r="C11066" t="n">
        <v>5.04</v>
      </c>
    </row>
    <row r="11067">
      <c r="A11067" s="28" t="n">
        <v>35219</v>
      </c>
      <c r="B11067" t="n">
        <v>6.87</v>
      </c>
      <c r="C11067" t="n">
        <v>5.08</v>
      </c>
    </row>
    <row r="11068">
      <c r="A11068" s="28" t="n">
        <v>35220</v>
      </c>
      <c r="B11068" t="n">
        <v>6.86</v>
      </c>
      <c r="C11068" t="n">
        <v>5.08</v>
      </c>
    </row>
    <row r="11069">
      <c r="A11069" s="28" t="n">
        <v>35221</v>
      </c>
      <c r="B11069" t="n">
        <v>6.82</v>
      </c>
      <c r="C11069" t="n">
        <v>5.08</v>
      </c>
    </row>
    <row r="11070">
      <c r="A11070" s="28" t="n">
        <v>35222</v>
      </c>
      <c r="B11070" t="n">
        <v>6.76</v>
      </c>
      <c r="C11070" t="n">
        <v>5.07</v>
      </c>
    </row>
    <row r="11071">
      <c r="A11071" s="28" t="n">
        <v>35223</v>
      </c>
      <c r="B11071" t="n">
        <v>6.93</v>
      </c>
      <c r="C11071" t="n">
        <v>5.12</v>
      </c>
    </row>
    <row r="11072">
      <c r="A11072" s="28" t="n">
        <v>35226</v>
      </c>
      <c r="B11072" t="n">
        <v>6.97</v>
      </c>
      <c r="C11072" t="n">
        <v>5.15</v>
      </c>
    </row>
    <row r="11073">
      <c r="A11073" s="28" t="n">
        <v>35227</v>
      </c>
      <c r="B11073" t="n">
        <v>6.99</v>
      </c>
      <c r="C11073" t="n">
        <v>5.13</v>
      </c>
    </row>
    <row r="11074">
      <c r="A11074" s="28" t="n">
        <v>35228</v>
      </c>
      <c r="B11074" t="n">
        <v>7.03</v>
      </c>
      <c r="C11074" t="n">
        <v>5.12</v>
      </c>
    </row>
    <row r="11075">
      <c r="A11075" s="28" t="n">
        <v>35229</v>
      </c>
      <c r="B11075" t="n">
        <v>7.01</v>
      </c>
      <c r="C11075" t="n">
        <v>5.1</v>
      </c>
    </row>
    <row r="11076">
      <c r="A11076" s="28" t="n">
        <v>35230</v>
      </c>
      <c r="B11076" t="n">
        <v>6.95</v>
      </c>
      <c r="C11076" t="n">
        <v>5.07</v>
      </c>
    </row>
    <row r="11077">
      <c r="A11077" s="28" t="n">
        <v>35233</v>
      </c>
      <c r="B11077" t="n">
        <v>6.9</v>
      </c>
      <c r="C11077" t="n">
        <v>5.05</v>
      </c>
    </row>
    <row r="11078">
      <c r="A11078" s="28" t="n">
        <v>35234</v>
      </c>
      <c r="B11078" t="n">
        <v>6.93</v>
      </c>
      <c r="C11078" t="n">
        <v>5.07</v>
      </c>
    </row>
    <row r="11079">
      <c r="A11079" s="28" t="n">
        <v>35235</v>
      </c>
      <c r="B11079" t="n">
        <v>6.96</v>
      </c>
      <c r="C11079" t="n">
        <v>5.09</v>
      </c>
    </row>
    <row r="11080">
      <c r="A11080" s="28" t="n">
        <v>35236</v>
      </c>
      <c r="B11080" t="n">
        <v>6.98</v>
      </c>
      <c r="C11080" t="n">
        <v>5.12</v>
      </c>
    </row>
    <row r="11081">
      <c r="A11081" s="28" t="n">
        <v>35237</v>
      </c>
      <c r="B11081" t="n">
        <v>6.96</v>
      </c>
      <c r="C11081" t="n">
        <v>5.12</v>
      </c>
    </row>
    <row r="11082">
      <c r="A11082" s="28" t="n">
        <v>35240</v>
      </c>
      <c r="B11082" t="n">
        <v>6.94</v>
      </c>
      <c r="C11082" t="n">
        <v>5.13</v>
      </c>
    </row>
    <row r="11083">
      <c r="A11083" s="28" t="n">
        <v>35241</v>
      </c>
      <c r="B11083" t="n">
        <v>6.91</v>
      </c>
      <c r="C11083" t="n">
        <v>5.1</v>
      </c>
    </row>
    <row r="11084">
      <c r="A11084" s="28" t="n">
        <v>35242</v>
      </c>
      <c r="B11084" t="n">
        <v>6.91</v>
      </c>
      <c r="C11084" t="n">
        <v>5.1</v>
      </c>
    </row>
    <row r="11085">
      <c r="A11085" s="28" t="n">
        <v>35243</v>
      </c>
      <c r="B11085" t="n">
        <v>6.83</v>
      </c>
      <c r="C11085" t="n">
        <v>5.06</v>
      </c>
    </row>
    <row r="11086">
      <c r="A11086" s="28" t="n">
        <v>35244</v>
      </c>
      <c r="B11086" t="n">
        <v>6.73</v>
      </c>
      <c r="C11086" t="n">
        <v>5.04</v>
      </c>
    </row>
    <row r="11087">
      <c r="A11087" s="28" t="n">
        <v>35247</v>
      </c>
      <c r="B11087" t="n">
        <v>6.74</v>
      </c>
      <c r="C11087" t="n">
        <v>5.08</v>
      </c>
    </row>
    <row r="11088">
      <c r="A11088" s="28" t="n">
        <v>35248</v>
      </c>
      <c r="B11088" t="n">
        <v>6.8</v>
      </c>
      <c r="C11088" t="n">
        <v>5.18</v>
      </c>
    </row>
    <row r="11089">
      <c r="A11089" s="28" t="n">
        <v>35249</v>
      </c>
      <c r="B11089" t="n">
        <v>6.78</v>
      </c>
      <c r="C11089" t="n">
        <v>5.1</v>
      </c>
    </row>
    <row r="11090">
      <c r="A11090" s="28" t="n">
        <v>35250</v>
      </c>
      <c r="B11090" t="n">
        <v>0</v>
      </c>
      <c r="C11090" t="n">
        <v>0</v>
      </c>
    </row>
    <row r="11091">
      <c r="A11091" s="28" t="n">
        <v>35251</v>
      </c>
      <c r="B11091" t="n">
        <v>7.06</v>
      </c>
      <c r="C11091" t="n">
        <v>5.16</v>
      </c>
    </row>
    <row r="11092">
      <c r="A11092" s="28" t="n">
        <v>35254</v>
      </c>
      <c r="B11092" t="n">
        <v>7.05</v>
      </c>
      <c r="C11092" t="n">
        <v>5.16</v>
      </c>
    </row>
    <row r="11093">
      <c r="A11093" s="28" t="n">
        <v>35255</v>
      </c>
      <c r="B11093" t="n">
        <v>7</v>
      </c>
      <c r="C11093" t="n">
        <v>5.2</v>
      </c>
    </row>
    <row r="11094">
      <c r="A11094" s="28" t="n">
        <v>35256</v>
      </c>
      <c r="B11094" t="n">
        <v>6.95</v>
      </c>
      <c r="C11094" t="n">
        <v>5.15</v>
      </c>
    </row>
    <row r="11095">
      <c r="A11095" s="28" t="n">
        <v>35257</v>
      </c>
      <c r="B11095" t="n">
        <v>6.9</v>
      </c>
      <c r="C11095" t="n">
        <v>5.12</v>
      </c>
    </row>
    <row r="11096">
      <c r="A11096" s="28" t="n">
        <v>35258</v>
      </c>
      <c r="B11096" t="n">
        <v>6.85</v>
      </c>
      <c r="C11096" t="n">
        <v>5.14</v>
      </c>
    </row>
    <row r="11097">
      <c r="A11097" s="28" t="n">
        <v>35261</v>
      </c>
      <c r="B11097" t="n">
        <v>6.89</v>
      </c>
      <c r="C11097" t="n">
        <v>5.15</v>
      </c>
    </row>
    <row r="11098">
      <c r="A11098" s="28" t="n">
        <v>35262</v>
      </c>
      <c r="B11098" t="n">
        <v>6.84</v>
      </c>
      <c r="C11098" t="n">
        <v>5.13</v>
      </c>
    </row>
    <row r="11099">
      <c r="A11099" s="28" t="n">
        <v>35263</v>
      </c>
      <c r="B11099" t="n">
        <v>6.83</v>
      </c>
      <c r="C11099" t="n">
        <v>5.12</v>
      </c>
    </row>
    <row r="11100">
      <c r="A11100" s="28" t="n">
        <v>35264</v>
      </c>
      <c r="B11100" t="n">
        <v>6.72</v>
      </c>
      <c r="C11100" t="n">
        <v>5.11</v>
      </c>
    </row>
    <row r="11101">
      <c r="A11101" s="28" t="n">
        <v>35265</v>
      </c>
      <c r="B11101" t="n">
        <v>6.78</v>
      </c>
      <c r="C11101" t="n">
        <v>5.14</v>
      </c>
    </row>
    <row r="11102">
      <c r="A11102" s="28" t="n">
        <v>35268</v>
      </c>
      <c r="B11102" t="n">
        <v>6.84</v>
      </c>
      <c r="C11102" t="n">
        <v>5.15</v>
      </c>
    </row>
    <row r="11103">
      <c r="A11103" s="28" t="n">
        <v>35269</v>
      </c>
      <c r="B11103" t="n">
        <v>6.8</v>
      </c>
      <c r="C11103" t="n">
        <v>5.16</v>
      </c>
    </row>
    <row r="11104">
      <c r="A11104" s="28" t="n">
        <v>35270</v>
      </c>
      <c r="B11104" t="n">
        <v>6.87</v>
      </c>
      <c r="C11104" t="n">
        <v>5.17</v>
      </c>
    </row>
    <row r="11105">
      <c r="A11105" s="28" t="n">
        <v>35271</v>
      </c>
      <c r="B11105" t="n">
        <v>6.87</v>
      </c>
      <c r="C11105" t="n">
        <v>5.15</v>
      </c>
    </row>
    <row r="11106">
      <c r="A11106" s="28" t="n">
        <v>35272</v>
      </c>
      <c r="B11106" t="n">
        <v>6.85</v>
      </c>
      <c r="C11106" t="n">
        <v>5.15</v>
      </c>
    </row>
    <row r="11107">
      <c r="A11107" s="28" t="n">
        <v>35275</v>
      </c>
      <c r="B11107" t="n">
        <v>6.93</v>
      </c>
      <c r="C11107" t="n">
        <v>5.21</v>
      </c>
    </row>
    <row r="11108">
      <c r="A11108" s="28" t="n">
        <v>35276</v>
      </c>
      <c r="B11108" t="n">
        <v>6.89</v>
      </c>
      <c r="C11108" t="n">
        <v>5.2</v>
      </c>
    </row>
    <row r="11109">
      <c r="A11109" s="28" t="n">
        <v>35277</v>
      </c>
      <c r="B11109" t="n">
        <v>6.8</v>
      </c>
      <c r="C11109" t="n">
        <v>5.18</v>
      </c>
    </row>
    <row r="11110">
      <c r="A11110" s="28" t="n">
        <v>35278</v>
      </c>
      <c r="B11110" t="n">
        <v>6.65</v>
      </c>
      <c r="C11110" t="n">
        <v>5.11</v>
      </c>
    </row>
    <row r="11111">
      <c r="A11111" s="28" t="n">
        <v>35279</v>
      </c>
      <c r="B11111" t="n">
        <v>6.51</v>
      </c>
      <c r="C11111" t="n">
        <v>5.07</v>
      </c>
    </row>
    <row r="11112">
      <c r="A11112" s="28" t="n">
        <v>35282</v>
      </c>
      <c r="B11112" t="n">
        <v>6.53</v>
      </c>
      <c r="C11112" t="n">
        <v>5.05</v>
      </c>
    </row>
    <row r="11113">
      <c r="A11113" s="28" t="n">
        <v>35283</v>
      </c>
      <c r="B11113" t="n">
        <v>6.54</v>
      </c>
      <c r="C11113" t="n">
        <v>5.05</v>
      </c>
    </row>
    <row r="11114">
      <c r="A11114" s="28" t="n">
        <v>35284</v>
      </c>
      <c r="B11114" t="n">
        <v>6.55</v>
      </c>
      <c r="C11114" t="n">
        <v>5.04</v>
      </c>
    </row>
    <row r="11115">
      <c r="A11115" s="28" t="n">
        <v>35285</v>
      </c>
      <c r="B11115" t="n">
        <v>6.56</v>
      </c>
      <c r="C11115" t="n">
        <v>5.01</v>
      </c>
    </row>
    <row r="11116">
      <c r="A11116" s="28" t="n">
        <v>35286</v>
      </c>
      <c r="B11116" t="n">
        <v>6.5</v>
      </c>
      <c r="C11116" t="n">
        <v>5.01</v>
      </c>
    </row>
    <row r="11117">
      <c r="A11117" s="28" t="n">
        <v>35289</v>
      </c>
      <c r="B11117" t="n">
        <v>6.49</v>
      </c>
      <c r="C11117" t="n">
        <v>5.01</v>
      </c>
    </row>
    <row r="11118">
      <c r="A11118" s="28" t="n">
        <v>35290</v>
      </c>
      <c r="B11118" t="n">
        <v>6.57</v>
      </c>
      <c r="C11118" t="n">
        <v>5.03</v>
      </c>
    </row>
    <row r="11119">
      <c r="A11119" s="28" t="n">
        <v>35291</v>
      </c>
      <c r="B11119" t="n">
        <v>6.58</v>
      </c>
      <c r="C11119" t="n">
        <v>5.02</v>
      </c>
    </row>
    <row r="11120">
      <c r="A11120" s="28" t="n">
        <v>35292</v>
      </c>
      <c r="B11120" t="n">
        <v>6.62</v>
      </c>
      <c r="C11120" t="n">
        <v>5.05</v>
      </c>
    </row>
    <row r="11121">
      <c r="A11121" s="28" t="n">
        <v>35293</v>
      </c>
      <c r="B11121" t="n">
        <v>6.56</v>
      </c>
      <c r="C11121" t="n">
        <v>5.04</v>
      </c>
    </row>
    <row r="11122">
      <c r="A11122" s="28" t="n">
        <v>35296</v>
      </c>
      <c r="B11122" t="n">
        <v>6.59</v>
      </c>
      <c r="C11122" t="n">
        <v>5.05</v>
      </c>
    </row>
    <row r="11123">
      <c r="A11123" s="28" t="n">
        <v>35297</v>
      </c>
      <c r="B11123" t="n">
        <v>6.59</v>
      </c>
      <c r="C11123" t="n">
        <v>5.04</v>
      </c>
    </row>
    <row r="11124">
      <c r="A11124" s="28" t="n">
        <v>35298</v>
      </c>
      <c r="B11124" t="n">
        <v>6.61</v>
      </c>
      <c r="C11124" t="n">
        <v>5.01</v>
      </c>
    </row>
    <row r="11125">
      <c r="A11125" s="28" t="n">
        <v>35299</v>
      </c>
      <c r="B11125" t="n">
        <v>6.62</v>
      </c>
      <c r="C11125" t="n">
        <v>5</v>
      </c>
    </row>
    <row r="11126">
      <c r="A11126" s="28" t="n">
        <v>35300</v>
      </c>
      <c r="B11126" t="n">
        <v>6.72</v>
      </c>
      <c r="C11126" t="n">
        <v>5.01</v>
      </c>
    </row>
    <row r="11127">
      <c r="A11127" s="28" t="n">
        <v>35303</v>
      </c>
      <c r="B11127" t="n">
        <v>6.8</v>
      </c>
      <c r="C11127" t="n">
        <v>5.06</v>
      </c>
    </row>
    <row r="11128">
      <c r="A11128" s="28" t="n">
        <v>35304</v>
      </c>
      <c r="B11128" t="n">
        <v>6.78</v>
      </c>
      <c r="C11128" t="n">
        <v>5.06</v>
      </c>
    </row>
    <row r="11129">
      <c r="A11129" s="28" t="n">
        <v>35305</v>
      </c>
      <c r="B11129" t="n">
        <v>6.79</v>
      </c>
      <c r="C11129" t="n">
        <v>5.06</v>
      </c>
    </row>
    <row r="11130">
      <c r="A11130" s="28" t="n">
        <v>35306</v>
      </c>
      <c r="B11130" t="n">
        <v>6.86</v>
      </c>
      <c r="C11130" t="n">
        <v>5.1</v>
      </c>
    </row>
    <row r="11131">
      <c r="A11131" s="28" t="n">
        <v>35307</v>
      </c>
      <c r="B11131" t="n">
        <v>6.96</v>
      </c>
      <c r="C11131" t="n">
        <v>5.15</v>
      </c>
    </row>
    <row r="11132">
      <c r="A11132" s="28" t="n">
        <v>35310</v>
      </c>
      <c r="B11132" t="n">
        <v>0</v>
      </c>
      <c r="C11132" t="n">
        <v>0</v>
      </c>
    </row>
    <row r="11133">
      <c r="A11133" s="28" t="n">
        <v>35311</v>
      </c>
      <c r="B11133" t="n">
        <v>6.92</v>
      </c>
      <c r="C11133" t="n">
        <v>5.17</v>
      </c>
    </row>
    <row r="11134">
      <c r="A11134" s="28" t="n">
        <v>35312</v>
      </c>
      <c r="B11134" t="n">
        <v>6.94</v>
      </c>
      <c r="C11134" t="n">
        <v>5.18</v>
      </c>
    </row>
    <row r="11135">
      <c r="A11135" s="28" t="n">
        <v>35313</v>
      </c>
      <c r="B11135" t="n">
        <v>6.98</v>
      </c>
      <c r="C11135" t="n">
        <v>5.2</v>
      </c>
    </row>
    <row r="11136">
      <c r="A11136" s="28" t="n">
        <v>35314</v>
      </c>
      <c r="B11136" t="n">
        <v>6.94</v>
      </c>
      <c r="C11136" t="n">
        <v>5.19</v>
      </c>
    </row>
    <row r="11137">
      <c r="A11137" s="28" t="n">
        <v>35317</v>
      </c>
      <c r="B11137" t="n">
        <v>6.9</v>
      </c>
      <c r="C11137" t="n">
        <v>5.13</v>
      </c>
    </row>
    <row r="11138">
      <c r="A11138" s="28" t="n">
        <v>35318</v>
      </c>
      <c r="B11138" t="n">
        <v>6.94</v>
      </c>
      <c r="C11138" t="n">
        <v>5.15</v>
      </c>
    </row>
    <row r="11139">
      <c r="A11139" s="28" t="n">
        <v>35319</v>
      </c>
      <c r="B11139" t="n">
        <v>6.94</v>
      </c>
      <c r="C11139" t="n">
        <v>5.17</v>
      </c>
    </row>
    <row r="11140">
      <c r="A11140" s="28" t="n">
        <v>35320</v>
      </c>
      <c r="B11140" t="n">
        <v>6.88</v>
      </c>
      <c r="C11140" t="n">
        <v>5.14</v>
      </c>
    </row>
    <row r="11141">
      <c r="A11141" s="28" t="n">
        <v>35321</v>
      </c>
      <c r="B11141" t="n">
        <v>6.74</v>
      </c>
      <c r="C11141" t="n">
        <v>5.07</v>
      </c>
    </row>
    <row r="11142">
      <c r="A11142" s="28" t="n">
        <v>35324</v>
      </c>
      <c r="B11142" t="n">
        <v>6.73</v>
      </c>
      <c r="C11142" t="n">
        <v>5.05</v>
      </c>
    </row>
    <row r="11143">
      <c r="A11143" s="28" t="n">
        <v>35325</v>
      </c>
      <c r="B11143" t="n">
        <v>6.81</v>
      </c>
      <c r="C11143" t="n">
        <v>5.17</v>
      </c>
    </row>
    <row r="11144">
      <c r="A11144" s="28" t="n">
        <v>35326</v>
      </c>
      <c r="B11144" t="n">
        <v>6.83</v>
      </c>
      <c r="C11144" t="n">
        <v>5.14</v>
      </c>
    </row>
    <row r="11145">
      <c r="A11145" s="28" t="n">
        <v>35327</v>
      </c>
      <c r="B11145" t="n">
        <v>6.87</v>
      </c>
      <c r="C11145" t="n">
        <v>5.11</v>
      </c>
    </row>
    <row r="11146">
      <c r="A11146" s="28" t="n">
        <v>35328</v>
      </c>
      <c r="B11146" t="n">
        <v>6.85</v>
      </c>
      <c r="C11146" t="n">
        <v>5.15</v>
      </c>
    </row>
    <row r="11147">
      <c r="A11147" s="28" t="n">
        <v>35331</v>
      </c>
      <c r="B11147" t="n">
        <v>6.83</v>
      </c>
      <c r="C11147" t="n">
        <v>5.15</v>
      </c>
    </row>
    <row r="11148">
      <c r="A11148" s="28" t="n">
        <v>35332</v>
      </c>
      <c r="B11148" t="n">
        <v>6.77</v>
      </c>
      <c r="C11148" t="n">
        <v>5.03</v>
      </c>
    </row>
    <row r="11149">
      <c r="A11149" s="28" t="n">
        <v>35333</v>
      </c>
      <c r="B11149" t="n">
        <v>6.71</v>
      </c>
      <c r="C11149" t="n">
        <v>4.94</v>
      </c>
    </row>
    <row r="11150">
      <c r="A11150" s="28" t="n">
        <v>35334</v>
      </c>
      <c r="B11150" t="n">
        <v>6.66</v>
      </c>
      <c r="C11150" t="n">
        <v>4.87</v>
      </c>
    </row>
    <row r="11151">
      <c r="A11151" s="28" t="n">
        <v>35335</v>
      </c>
      <c r="B11151" t="n">
        <v>6.68</v>
      </c>
      <c r="C11151" t="n">
        <v>4.91</v>
      </c>
    </row>
    <row r="11152">
      <c r="A11152" s="28" t="n">
        <v>35338</v>
      </c>
      <c r="B11152" t="n">
        <v>6.72</v>
      </c>
      <c r="C11152" t="n">
        <v>4.91</v>
      </c>
    </row>
    <row r="11153">
      <c r="A11153" s="28" t="n">
        <v>35339</v>
      </c>
      <c r="B11153" t="n">
        <v>6.65</v>
      </c>
      <c r="C11153" t="n">
        <v>4.97</v>
      </c>
    </row>
    <row r="11154">
      <c r="A11154" s="28" t="n">
        <v>35340</v>
      </c>
      <c r="B11154" t="n">
        <v>6.61</v>
      </c>
      <c r="C11154" t="n">
        <v>4.9</v>
      </c>
    </row>
    <row r="11155">
      <c r="A11155" s="28" t="n">
        <v>35341</v>
      </c>
      <c r="B11155" t="n">
        <v>6.61</v>
      </c>
      <c r="C11155" t="n">
        <v>4.91</v>
      </c>
    </row>
    <row r="11156">
      <c r="A11156" s="28" t="n">
        <v>35342</v>
      </c>
      <c r="B11156" t="n">
        <v>6.48</v>
      </c>
      <c r="C11156" t="n">
        <v>4.88</v>
      </c>
    </row>
    <row r="11157">
      <c r="A11157" s="28" t="n">
        <v>35345</v>
      </c>
      <c r="B11157" t="n">
        <v>6.53</v>
      </c>
      <c r="C11157" t="n">
        <v>4.93</v>
      </c>
    </row>
    <row r="11158">
      <c r="A11158" s="28" t="n">
        <v>35346</v>
      </c>
      <c r="B11158" t="n">
        <v>6.53</v>
      </c>
      <c r="C11158" t="n">
        <v>4.99</v>
      </c>
    </row>
    <row r="11159">
      <c r="A11159" s="28" t="n">
        <v>35347</v>
      </c>
      <c r="B11159" t="n">
        <v>6.55</v>
      </c>
      <c r="C11159" t="n">
        <v>4.99</v>
      </c>
    </row>
    <row r="11160">
      <c r="A11160" s="28" t="n">
        <v>35348</v>
      </c>
      <c r="B11160" t="n">
        <v>6.61</v>
      </c>
      <c r="C11160" t="n">
        <v>5.01</v>
      </c>
    </row>
    <row r="11161">
      <c r="A11161" s="28" t="n">
        <v>35349</v>
      </c>
      <c r="B11161" t="n">
        <v>6.55</v>
      </c>
      <c r="C11161" t="n">
        <v>5</v>
      </c>
    </row>
    <row r="11162">
      <c r="A11162" s="28" t="n">
        <v>35352</v>
      </c>
      <c r="B11162" t="n">
        <v>0</v>
      </c>
      <c r="C11162" t="n">
        <v>0</v>
      </c>
    </row>
    <row r="11163">
      <c r="A11163" s="28" t="n">
        <v>35353</v>
      </c>
      <c r="B11163" t="n">
        <v>6.56</v>
      </c>
      <c r="C11163" t="n">
        <v>5.03</v>
      </c>
    </row>
    <row r="11164">
      <c r="A11164" s="28" t="n">
        <v>35354</v>
      </c>
      <c r="B11164" t="n">
        <v>6.57</v>
      </c>
      <c r="C11164" t="n">
        <v>5.01</v>
      </c>
    </row>
    <row r="11165">
      <c r="A11165" s="28" t="n">
        <v>35355</v>
      </c>
      <c r="B11165" t="n">
        <v>6.51</v>
      </c>
      <c r="C11165" t="n">
        <v>4.98</v>
      </c>
    </row>
    <row r="11166">
      <c r="A11166" s="28" t="n">
        <v>35356</v>
      </c>
      <c r="B11166" t="n">
        <v>6.5</v>
      </c>
      <c r="C11166" t="n">
        <v>4.98</v>
      </c>
    </row>
    <row r="11167">
      <c r="A11167" s="28" t="n">
        <v>35359</v>
      </c>
      <c r="B11167" t="n">
        <v>6.52</v>
      </c>
      <c r="C11167" t="n">
        <v>4.99</v>
      </c>
    </row>
    <row r="11168">
      <c r="A11168" s="28" t="n">
        <v>35360</v>
      </c>
      <c r="B11168" t="n">
        <v>6.56</v>
      </c>
      <c r="C11168" t="n">
        <v>5.02</v>
      </c>
    </row>
    <row r="11169">
      <c r="A11169" s="28" t="n">
        <v>35361</v>
      </c>
      <c r="B11169" t="n">
        <v>6.56</v>
      </c>
      <c r="C11169" t="n">
        <v>5</v>
      </c>
    </row>
    <row r="11170">
      <c r="A11170" s="28" t="n">
        <v>35362</v>
      </c>
      <c r="B11170" t="n">
        <v>6.57</v>
      </c>
      <c r="C11170" t="n">
        <v>5</v>
      </c>
    </row>
    <row r="11171">
      <c r="A11171" s="28" t="n">
        <v>35363</v>
      </c>
      <c r="B11171" t="n">
        <v>6.54</v>
      </c>
      <c r="C11171" t="n">
        <v>5</v>
      </c>
    </row>
    <row r="11172">
      <c r="A11172" s="28" t="n">
        <v>35366</v>
      </c>
      <c r="B11172" t="n">
        <v>6.56</v>
      </c>
      <c r="C11172" t="n">
        <v>5.05</v>
      </c>
    </row>
    <row r="11173">
      <c r="A11173" s="28" t="n">
        <v>35367</v>
      </c>
      <c r="B11173" t="n">
        <v>6.4</v>
      </c>
      <c r="C11173" t="n">
        <v>5.01</v>
      </c>
    </row>
    <row r="11174">
      <c r="A11174" s="28" t="n">
        <v>35368</v>
      </c>
      <c r="B11174" t="n">
        <v>6.4</v>
      </c>
      <c r="C11174" t="n">
        <v>5.01</v>
      </c>
    </row>
    <row r="11175">
      <c r="A11175" s="28" t="n">
        <v>35369</v>
      </c>
      <c r="B11175" t="n">
        <v>6.37</v>
      </c>
      <c r="C11175" t="n">
        <v>5.03</v>
      </c>
    </row>
    <row r="11176">
      <c r="A11176" s="28" t="n">
        <v>35370</v>
      </c>
      <c r="B11176" t="n">
        <v>6.38</v>
      </c>
      <c r="C11176" t="n">
        <v>5.03</v>
      </c>
    </row>
    <row r="11177">
      <c r="A11177" s="28" t="n">
        <v>35373</v>
      </c>
      <c r="B11177" t="n">
        <v>6.36</v>
      </c>
      <c r="C11177" t="n">
        <v>5.02</v>
      </c>
    </row>
    <row r="11178">
      <c r="A11178" s="28" t="n">
        <v>35374</v>
      </c>
      <c r="B11178" t="n">
        <v>6.28</v>
      </c>
      <c r="C11178" t="n">
        <v>5.03</v>
      </c>
    </row>
    <row r="11179">
      <c r="A11179" s="28" t="n">
        <v>35375</v>
      </c>
      <c r="B11179" t="n">
        <v>6.3</v>
      </c>
      <c r="C11179" t="n">
        <v>5.03</v>
      </c>
    </row>
    <row r="11180">
      <c r="A11180" s="28" t="n">
        <v>35376</v>
      </c>
      <c r="B11180" t="n">
        <v>6.26</v>
      </c>
      <c r="C11180" t="n">
        <v>5.02</v>
      </c>
    </row>
    <row r="11181">
      <c r="A11181" s="28" t="n">
        <v>35377</v>
      </c>
      <c r="B11181" t="n">
        <v>6.29</v>
      </c>
      <c r="C11181" t="n">
        <v>5.04</v>
      </c>
    </row>
    <row r="11182">
      <c r="A11182" s="28" t="n">
        <v>35380</v>
      </c>
      <c r="B11182" t="n">
        <v>0</v>
      </c>
      <c r="C11182" t="n">
        <v>0</v>
      </c>
    </row>
    <row r="11183">
      <c r="A11183" s="28" t="n">
        <v>35381</v>
      </c>
      <c r="B11183" t="n">
        <v>6.19</v>
      </c>
      <c r="C11183" t="n">
        <v>5.04</v>
      </c>
    </row>
    <row r="11184">
      <c r="A11184" s="28" t="n">
        <v>35382</v>
      </c>
      <c r="B11184" t="n">
        <v>6.2</v>
      </c>
      <c r="C11184" t="n">
        <v>5.03</v>
      </c>
    </row>
    <row r="11185">
      <c r="A11185" s="28" t="n">
        <v>35383</v>
      </c>
      <c r="B11185" t="n">
        <v>6.15</v>
      </c>
      <c r="C11185" t="n">
        <v>5.03</v>
      </c>
    </row>
    <row r="11186">
      <c r="A11186" s="28" t="n">
        <v>35384</v>
      </c>
      <c r="B11186" t="n">
        <v>6.19</v>
      </c>
      <c r="C11186" t="n">
        <v>5.02</v>
      </c>
    </row>
    <row r="11187">
      <c r="A11187" s="28" t="n">
        <v>35387</v>
      </c>
      <c r="B11187" t="n">
        <v>6.2</v>
      </c>
      <c r="C11187" t="n">
        <v>5.03</v>
      </c>
    </row>
    <row r="11188">
      <c r="A11188" s="28" t="n">
        <v>35388</v>
      </c>
      <c r="B11188" t="n">
        <v>6.17</v>
      </c>
      <c r="C11188" t="n">
        <v>5.03</v>
      </c>
    </row>
    <row r="11189">
      <c r="A11189" s="28" t="n">
        <v>35389</v>
      </c>
      <c r="B11189" t="n">
        <v>6.14</v>
      </c>
      <c r="C11189" t="n">
        <v>5.03</v>
      </c>
    </row>
    <row r="11190">
      <c r="A11190" s="28" t="n">
        <v>35390</v>
      </c>
      <c r="B11190" t="n">
        <v>6.15</v>
      </c>
      <c r="C11190" t="n">
        <v>5.04</v>
      </c>
    </row>
    <row r="11191">
      <c r="A11191" s="28" t="n">
        <v>35391</v>
      </c>
      <c r="B11191" t="n">
        <v>6.15</v>
      </c>
      <c r="C11191" t="n">
        <v>5.04</v>
      </c>
    </row>
    <row r="11192">
      <c r="A11192" s="28" t="n">
        <v>35394</v>
      </c>
      <c r="B11192" t="n">
        <v>6.13</v>
      </c>
      <c r="C11192" t="n">
        <v>5.03</v>
      </c>
    </row>
    <row r="11193">
      <c r="A11193" s="28" t="n">
        <v>35395</v>
      </c>
      <c r="B11193" t="n">
        <v>6.13</v>
      </c>
      <c r="C11193" t="n">
        <v>5.03</v>
      </c>
    </row>
    <row r="11194">
      <c r="A11194" s="28" t="n">
        <v>35396</v>
      </c>
      <c r="B11194" t="n">
        <v>6.14</v>
      </c>
      <c r="C11194" t="n">
        <v>5.02</v>
      </c>
    </row>
    <row r="11195">
      <c r="A11195" s="28" t="n">
        <v>35397</v>
      </c>
      <c r="B11195" t="n">
        <v>0</v>
      </c>
      <c r="C11195" t="n">
        <v>0</v>
      </c>
    </row>
    <row r="11196">
      <c r="A11196" s="28" t="n">
        <v>35398</v>
      </c>
      <c r="B11196" t="n">
        <v>6.06</v>
      </c>
      <c r="C11196" t="n">
        <v>5</v>
      </c>
    </row>
    <row r="11197">
      <c r="A11197" s="28" t="n">
        <v>35401</v>
      </c>
      <c r="B11197" t="n">
        <v>6.08</v>
      </c>
      <c r="C11197" t="n">
        <v>4.95</v>
      </c>
    </row>
    <row r="11198">
      <c r="A11198" s="28" t="n">
        <v>35402</v>
      </c>
      <c r="B11198" t="n">
        <v>6.06</v>
      </c>
      <c r="C11198" t="n">
        <v>4.92</v>
      </c>
    </row>
    <row r="11199">
      <c r="A11199" s="28" t="n">
        <v>35403</v>
      </c>
      <c r="B11199" t="n">
        <v>6.11</v>
      </c>
      <c r="C11199" t="n">
        <v>4.9</v>
      </c>
    </row>
    <row r="11200">
      <c r="A11200" s="28" t="n">
        <v>35404</v>
      </c>
      <c r="B11200" t="n">
        <v>6.22</v>
      </c>
      <c r="C11200" t="n">
        <v>4.91</v>
      </c>
    </row>
    <row r="11201">
      <c r="A11201" s="28" t="n">
        <v>35405</v>
      </c>
      <c r="B11201" t="n">
        <v>6.26</v>
      </c>
      <c r="C11201" t="n">
        <v>4.9</v>
      </c>
    </row>
    <row r="11202">
      <c r="A11202" s="28" t="n">
        <v>35408</v>
      </c>
      <c r="B11202" t="n">
        <v>6.21</v>
      </c>
      <c r="C11202" t="n">
        <v>4.86</v>
      </c>
    </row>
    <row r="11203">
      <c r="A11203" s="28" t="n">
        <v>35409</v>
      </c>
      <c r="B11203" t="n">
        <v>6.23</v>
      </c>
      <c r="C11203" t="n">
        <v>4.83</v>
      </c>
    </row>
    <row r="11204">
      <c r="A11204" s="28" t="n">
        <v>35410</v>
      </c>
      <c r="B11204" t="n">
        <v>6.38</v>
      </c>
      <c r="C11204" t="n">
        <v>4.83</v>
      </c>
    </row>
    <row r="11205">
      <c r="A11205" s="28" t="n">
        <v>35411</v>
      </c>
      <c r="B11205" t="n">
        <v>6.4</v>
      </c>
      <c r="C11205" t="n">
        <v>4.84</v>
      </c>
    </row>
    <row r="11206">
      <c r="A11206" s="28" t="n">
        <v>35412</v>
      </c>
      <c r="B11206" t="n">
        <v>6.33</v>
      </c>
      <c r="C11206" t="n">
        <v>4.8</v>
      </c>
    </row>
    <row r="11207">
      <c r="A11207" s="28" t="n">
        <v>35415</v>
      </c>
      <c r="B11207" t="n">
        <v>6.39</v>
      </c>
      <c r="C11207" t="n">
        <v>4.86</v>
      </c>
    </row>
    <row r="11208">
      <c r="A11208" s="28" t="n">
        <v>35416</v>
      </c>
      <c r="B11208" t="n">
        <v>6.42</v>
      </c>
      <c r="C11208" t="n">
        <v>4.87</v>
      </c>
    </row>
    <row r="11209">
      <c r="A11209" s="28" t="n">
        <v>35417</v>
      </c>
      <c r="B11209" t="n">
        <v>6.46</v>
      </c>
      <c r="C11209" t="n">
        <v>4.9</v>
      </c>
    </row>
    <row r="11210">
      <c r="A11210" s="28" t="n">
        <v>35418</v>
      </c>
      <c r="B11210" t="n">
        <v>6.36</v>
      </c>
      <c r="C11210" t="n">
        <v>4.88</v>
      </c>
    </row>
    <row r="11211">
      <c r="A11211" s="28" t="n">
        <v>35419</v>
      </c>
      <c r="B11211" t="n">
        <v>6.35</v>
      </c>
      <c r="C11211" t="n">
        <v>4.89</v>
      </c>
    </row>
    <row r="11212">
      <c r="A11212" s="28" t="n">
        <v>35422</v>
      </c>
      <c r="B11212" t="n">
        <v>6.34</v>
      </c>
      <c r="C11212" t="n">
        <v>4.97</v>
      </c>
    </row>
    <row r="11213">
      <c r="A11213" s="28" t="n">
        <v>35423</v>
      </c>
      <c r="B11213" t="n">
        <v>6.36</v>
      </c>
      <c r="C11213" t="n">
        <v>4.96</v>
      </c>
    </row>
    <row r="11214">
      <c r="A11214" s="28" t="n">
        <v>35424</v>
      </c>
      <c r="B11214" t="n">
        <v>0</v>
      </c>
      <c r="C11214" t="n">
        <v>0</v>
      </c>
    </row>
    <row r="11215">
      <c r="A11215" s="28" t="n">
        <v>35425</v>
      </c>
      <c r="B11215" t="n">
        <v>6.35</v>
      </c>
      <c r="C11215" t="n">
        <v>4.97</v>
      </c>
    </row>
    <row r="11216">
      <c r="A11216" s="28" t="n">
        <v>35426</v>
      </c>
      <c r="B11216" t="n">
        <v>6.3</v>
      </c>
      <c r="C11216" t="n">
        <v>4.98</v>
      </c>
    </row>
    <row r="11217">
      <c r="A11217" s="28" t="n">
        <v>35429</v>
      </c>
      <c r="B11217" t="n">
        <v>6.31</v>
      </c>
      <c r="C11217" t="n">
        <v>5.04</v>
      </c>
    </row>
    <row r="11218">
      <c r="A11218" s="28" t="n">
        <v>35430</v>
      </c>
      <c r="B11218" t="n">
        <v>6.43</v>
      </c>
      <c r="C11218" t="n">
        <v>5.07</v>
      </c>
    </row>
    <row r="11219">
      <c r="A11219" s="28" t="n">
        <v>35431</v>
      </c>
      <c r="B11219" t="n">
        <v>0</v>
      </c>
      <c r="C11219" t="n">
        <v>0</v>
      </c>
    </row>
    <row r="11220">
      <c r="A11220" s="28" t="n">
        <v>35432</v>
      </c>
      <c r="B11220" t="n">
        <v>6.54</v>
      </c>
      <c r="C11220" t="n">
        <v>5.05</v>
      </c>
    </row>
    <row r="11221">
      <c r="A11221" s="28" t="n">
        <v>35433</v>
      </c>
      <c r="B11221" t="n">
        <v>6.52</v>
      </c>
      <c r="C11221" t="n">
        <v>5.04</v>
      </c>
    </row>
    <row r="11222">
      <c r="A11222" s="28" t="n">
        <v>35436</v>
      </c>
      <c r="B11222" t="n">
        <v>6.54</v>
      </c>
      <c r="C11222" t="n">
        <v>5.05</v>
      </c>
    </row>
    <row r="11223">
      <c r="A11223" s="28" t="n">
        <v>35437</v>
      </c>
      <c r="B11223" t="n">
        <v>6.57</v>
      </c>
      <c r="C11223" t="n">
        <v>5.02</v>
      </c>
    </row>
    <row r="11224">
      <c r="A11224" s="28" t="n">
        <v>35438</v>
      </c>
      <c r="B11224" t="n">
        <v>6.6</v>
      </c>
      <c r="C11224" t="n">
        <v>5.02</v>
      </c>
    </row>
    <row r="11225">
      <c r="A11225" s="28" t="n">
        <v>35439</v>
      </c>
      <c r="B11225" t="n">
        <v>6.52</v>
      </c>
      <c r="C11225" t="n">
        <v>5</v>
      </c>
    </row>
    <row r="11226">
      <c r="A11226" s="28" t="n">
        <v>35440</v>
      </c>
      <c r="B11226" t="n">
        <v>6.63</v>
      </c>
      <c r="C11226" t="n">
        <v>5.04</v>
      </c>
    </row>
    <row r="11227">
      <c r="A11227" s="28" t="n">
        <v>35443</v>
      </c>
      <c r="B11227" t="n">
        <v>6.63</v>
      </c>
      <c r="C11227" t="n">
        <v>5.04</v>
      </c>
    </row>
    <row r="11228">
      <c r="A11228" s="28" t="n">
        <v>35444</v>
      </c>
      <c r="B11228" t="n">
        <v>6.53</v>
      </c>
      <c r="C11228" t="n">
        <v>5.05</v>
      </c>
    </row>
    <row r="11229">
      <c r="A11229" s="28" t="n">
        <v>35445</v>
      </c>
      <c r="B11229" t="n">
        <v>6.53</v>
      </c>
      <c r="C11229" t="n">
        <v>5.02</v>
      </c>
    </row>
    <row r="11230">
      <c r="A11230" s="28" t="n">
        <v>35446</v>
      </c>
      <c r="B11230" t="n">
        <v>6.57</v>
      </c>
      <c r="C11230" t="n">
        <v>5.03</v>
      </c>
    </row>
    <row r="11231">
      <c r="A11231" s="28" t="n">
        <v>35447</v>
      </c>
      <c r="B11231" t="n">
        <v>6.56</v>
      </c>
      <c r="C11231" t="n">
        <v>5.01</v>
      </c>
    </row>
    <row r="11232">
      <c r="A11232" s="28" t="n">
        <v>35450</v>
      </c>
      <c r="B11232" t="n">
        <v>0</v>
      </c>
      <c r="C11232" t="n">
        <v>0</v>
      </c>
    </row>
    <row r="11233">
      <c r="A11233" s="28" t="n">
        <v>35451</v>
      </c>
      <c r="B11233" t="n">
        <v>6.52</v>
      </c>
      <c r="C11233" t="n">
        <v>5.03</v>
      </c>
    </row>
    <row r="11234">
      <c r="A11234" s="28" t="n">
        <v>35452</v>
      </c>
      <c r="B11234" t="n">
        <v>6.56</v>
      </c>
      <c r="C11234" t="n">
        <v>5.04</v>
      </c>
    </row>
    <row r="11235">
      <c r="A11235" s="28" t="n">
        <v>35453</v>
      </c>
      <c r="B11235" t="n">
        <v>6.6</v>
      </c>
      <c r="C11235" t="n">
        <v>5.04</v>
      </c>
    </row>
    <row r="11236">
      <c r="A11236" s="28" t="n">
        <v>35454</v>
      </c>
      <c r="B11236" t="n">
        <v>6.64</v>
      </c>
      <c r="C11236" t="n">
        <v>5.03</v>
      </c>
    </row>
    <row r="11237">
      <c r="A11237" s="28" t="n">
        <v>35457</v>
      </c>
      <c r="B11237" t="n">
        <v>6.69</v>
      </c>
      <c r="C11237" t="n">
        <v>5.06</v>
      </c>
    </row>
    <row r="11238">
      <c r="A11238" s="28" t="n">
        <v>35458</v>
      </c>
      <c r="B11238" t="n">
        <v>6.64</v>
      </c>
      <c r="C11238" t="n">
        <v>5.04</v>
      </c>
    </row>
    <row r="11239">
      <c r="A11239" s="28" t="n">
        <v>35459</v>
      </c>
      <c r="B11239" t="n">
        <v>6.63</v>
      </c>
      <c r="C11239" t="n">
        <v>5.04</v>
      </c>
    </row>
    <row r="11240">
      <c r="A11240" s="28" t="n">
        <v>35460</v>
      </c>
      <c r="B11240" t="n">
        <v>6.61</v>
      </c>
      <c r="C11240" t="n">
        <v>5.04</v>
      </c>
    </row>
    <row r="11241">
      <c r="A11241" s="28" t="n">
        <v>35461</v>
      </c>
      <c r="B11241" t="n">
        <v>6.53</v>
      </c>
      <c r="C11241" t="n">
        <v>5.02</v>
      </c>
    </row>
    <row r="11242">
      <c r="A11242" s="28" t="n">
        <v>35464</v>
      </c>
      <c r="B11242" t="n">
        <v>6.47</v>
      </c>
      <c r="C11242" t="n">
        <v>4.98</v>
      </c>
    </row>
    <row r="11243">
      <c r="A11243" s="28" t="n">
        <v>35465</v>
      </c>
      <c r="B11243" t="n">
        <v>6.45</v>
      </c>
      <c r="C11243" t="n">
        <v>4.97</v>
      </c>
    </row>
    <row r="11244">
      <c r="A11244" s="28" t="n">
        <v>35466</v>
      </c>
      <c r="B11244" t="n">
        <v>6.47</v>
      </c>
      <c r="C11244" t="n">
        <v>5</v>
      </c>
    </row>
    <row r="11245">
      <c r="A11245" s="28" t="n">
        <v>35467</v>
      </c>
      <c r="B11245" t="n">
        <v>6.49</v>
      </c>
      <c r="C11245" t="n">
        <v>5.01</v>
      </c>
    </row>
    <row r="11246">
      <c r="A11246" s="28" t="n">
        <v>35468</v>
      </c>
      <c r="B11246" t="n">
        <v>6.43</v>
      </c>
      <c r="C11246" t="n">
        <v>5.01</v>
      </c>
    </row>
    <row r="11247">
      <c r="A11247" s="28" t="n">
        <v>35471</v>
      </c>
      <c r="B11247" t="n">
        <v>6.43</v>
      </c>
      <c r="C11247" t="n">
        <v>5.01</v>
      </c>
    </row>
    <row r="11248">
      <c r="A11248" s="28" t="n">
        <v>35472</v>
      </c>
      <c r="B11248" t="n">
        <v>6.43</v>
      </c>
      <c r="C11248" t="n">
        <v>5.01</v>
      </c>
    </row>
    <row r="11249">
      <c r="A11249" s="28" t="n">
        <v>35473</v>
      </c>
      <c r="B11249" t="n">
        <v>6.39</v>
      </c>
      <c r="C11249" t="n">
        <v>5.02</v>
      </c>
    </row>
    <row r="11250">
      <c r="A11250" s="28" t="n">
        <v>35474</v>
      </c>
      <c r="B11250" t="n">
        <v>6.32</v>
      </c>
      <c r="C11250" t="n">
        <v>5</v>
      </c>
    </row>
    <row r="11251">
      <c r="A11251" s="28" t="n">
        <v>35475</v>
      </c>
      <c r="B11251" t="n">
        <v>6.28</v>
      </c>
      <c r="C11251" t="n">
        <v>4.97</v>
      </c>
    </row>
    <row r="11252">
      <c r="A11252" s="28" t="n">
        <v>35478</v>
      </c>
      <c r="B11252" t="n">
        <v>0</v>
      </c>
      <c r="C11252" t="n">
        <v>0</v>
      </c>
    </row>
    <row r="11253">
      <c r="A11253" s="28" t="n">
        <v>35479</v>
      </c>
      <c r="B11253" t="n">
        <v>6.28</v>
      </c>
      <c r="C11253" t="n">
        <v>4.98</v>
      </c>
    </row>
    <row r="11254">
      <c r="A11254" s="28" t="n">
        <v>35480</v>
      </c>
      <c r="B11254" t="n">
        <v>6.3</v>
      </c>
      <c r="C11254" t="n">
        <v>4.98</v>
      </c>
    </row>
    <row r="11255">
      <c r="A11255" s="28" t="n">
        <v>35481</v>
      </c>
      <c r="B11255" t="n">
        <v>6.38</v>
      </c>
      <c r="C11255" t="n">
        <v>4.97</v>
      </c>
    </row>
    <row r="11256">
      <c r="A11256" s="28" t="n">
        <v>35482</v>
      </c>
      <c r="B11256" t="n">
        <v>6.36</v>
      </c>
      <c r="C11256" t="n">
        <v>4.96</v>
      </c>
    </row>
    <row r="11257">
      <c r="A11257" s="28" t="n">
        <v>35485</v>
      </c>
      <c r="B11257" t="n">
        <v>6.39</v>
      </c>
      <c r="C11257" t="n">
        <v>4.99</v>
      </c>
    </row>
    <row r="11258">
      <c r="A11258" s="28" t="n">
        <v>35486</v>
      </c>
      <c r="B11258" t="n">
        <v>6.4</v>
      </c>
      <c r="C11258" t="n">
        <v>5</v>
      </c>
    </row>
    <row r="11259">
      <c r="A11259" s="28" t="n">
        <v>35487</v>
      </c>
      <c r="B11259" t="n">
        <v>6.56</v>
      </c>
      <c r="C11259" t="n">
        <v>5.08</v>
      </c>
    </row>
    <row r="11260">
      <c r="A11260" s="28" t="n">
        <v>35488</v>
      </c>
      <c r="B11260" t="n">
        <v>6.58</v>
      </c>
      <c r="C11260" t="n">
        <v>5.08</v>
      </c>
    </row>
    <row r="11261">
      <c r="A11261" s="28" t="n">
        <v>35489</v>
      </c>
      <c r="B11261" t="n">
        <v>6.56</v>
      </c>
      <c r="C11261" t="n">
        <v>5.09</v>
      </c>
    </row>
    <row r="11262">
      <c r="A11262" s="28" t="n">
        <v>35492</v>
      </c>
      <c r="B11262" t="n">
        <v>6.58</v>
      </c>
      <c r="C11262" t="n">
        <v>5.1</v>
      </c>
    </row>
    <row r="11263">
      <c r="A11263" s="28" t="n">
        <v>35493</v>
      </c>
      <c r="B11263" t="n">
        <v>6.6</v>
      </c>
      <c r="C11263" t="n">
        <v>5.11</v>
      </c>
    </row>
    <row r="11264">
      <c r="A11264" s="28" t="n">
        <v>35494</v>
      </c>
      <c r="B11264" t="n">
        <v>6.6</v>
      </c>
      <c r="C11264" t="n">
        <v>5.07</v>
      </c>
    </row>
    <row r="11265">
      <c r="A11265" s="28" t="n">
        <v>35495</v>
      </c>
      <c r="B11265" t="n">
        <v>6.62</v>
      </c>
      <c r="C11265" t="n">
        <v>5.09</v>
      </c>
    </row>
    <row r="11266">
      <c r="A11266" s="28" t="n">
        <v>35496</v>
      </c>
      <c r="B11266" t="n">
        <v>6.57</v>
      </c>
      <c r="C11266" t="n">
        <v>5.08</v>
      </c>
    </row>
    <row r="11267">
      <c r="A11267" s="28" t="n">
        <v>35499</v>
      </c>
      <c r="B11267" t="n">
        <v>6.56</v>
      </c>
      <c r="C11267" t="n">
        <v>5.06</v>
      </c>
    </row>
    <row r="11268">
      <c r="A11268" s="28" t="n">
        <v>35500</v>
      </c>
      <c r="B11268" t="n">
        <v>6.57</v>
      </c>
      <c r="C11268" t="n">
        <v>5.04</v>
      </c>
    </row>
    <row r="11269">
      <c r="A11269" s="28" t="n">
        <v>35501</v>
      </c>
      <c r="B11269" t="n">
        <v>6.6</v>
      </c>
      <c r="C11269" t="n">
        <v>5.07</v>
      </c>
    </row>
    <row r="11270">
      <c r="A11270" s="28" t="n">
        <v>35502</v>
      </c>
      <c r="B11270" t="n">
        <v>6.72</v>
      </c>
      <c r="C11270" t="n">
        <v>5.12</v>
      </c>
    </row>
    <row r="11271">
      <c r="A11271" s="28" t="n">
        <v>35503</v>
      </c>
      <c r="B11271" t="n">
        <v>6.71</v>
      </c>
      <c r="C11271" t="n">
        <v>5.1</v>
      </c>
    </row>
    <row r="11272">
      <c r="A11272" s="28" t="n">
        <v>35506</v>
      </c>
      <c r="B11272" t="n">
        <v>6.72</v>
      </c>
      <c r="C11272" t="n">
        <v>5.13</v>
      </c>
    </row>
    <row r="11273">
      <c r="A11273" s="28" t="n">
        <v>35507</v>
      </c>
      <c r="B11273" t="n">
        <v>6.72</v>
      </c>
      <c r="C11273" t="n">
        <v>5.11</v>
      </c>
    </row>
    <row r="11274">
      <c r="A11274" s="28" t="n">
        <v>35508</v>
      </c>
      <c r="B11274" t="n">
        <v>6.74</v>
      </c>
      <c r="C11274" t="n">
        <v>5.15</v>
      </c>
    </row>
    <row r="11275">
      <c r="A11275" s="28" t="n">
        <v>35509</v>
      </c>
      <c r="B11275" t="n">
        <v>6.75</v>
      </c>
      <c r="C11275" t="n">
        <v>5.2</v>
      </c>
    </row>
    <row r="11276">
      <c r="A11276" s="28" t="n">
        <v>35510</v>
      </c>
      <c r="B11276" t="n">
        <v>6.74</v>
      </c>
      <c r="C11276" t="n">
        <v>5.26</v>
      </c>
    </row>
    <row r="11277">
      <c r="A11277" s="28" t="n">
        <v>35513</v>
      </c>
      <c r="B11277" t="n">
        <v>6.72</v>
      </c>
      <c r="C11277" t="n">
        <v>5.25</v>
      </c>
    </row>
    <row r="11278">
      <c r="A11278" s="28" t="n">
        <v>35514</v>
      </c>
      <c r="B11278" t="n">
        <v>6.75</v>
      </c>
      <c r="C11278" t="n">
        <v>5.29</v>
      </c>
    </row>
    <row r="11279">
      <c r="A11279" s="28" t="n">
        <v>35515</v>
      </c>
      <c r="B11279" t="n">
        <v>6.8</v>
      </c>
      <c r="C11279" t="n">
        <v>5.21</v>
      </c>
    </row>
    <row r="11280">
      <c r="A11280" s="28" t="n">
        <v>35516</v>
      </c>
      <c r="B11280" t="n">
        <v>6.9</v>
      </c>
      <c r="C11280" t="n">
        <v>5.23</v>
      </c>
    </row>
    <row r="11281">
      <c r="A11281" s="28" t="n">
        <v>35517</v>
      </c>
      <c r="B11281" t="n">
        <v>0</v>
      </c>
      <c r="C11281" t="n">
        <v>0</v>
      </c>
    </row>
    <row r="11282">
      <c r="A11282" s="28" t="n">
        <v>35520</v>
      </c>
      <c r="B11282" t="n">
        <v>6.92</v>
      </c>
      <c r="C11282" t="n">
        <v>5.21</v>
      </c>
    </row>
    <row r="11283">
      <c r="A11283" s="28" t="n">
        <v>35521</v>
      </c>
      <c r="B11283" t="n">
        <v>6.9</v>
      </c>
      <c r="C11283" t="n">
        <v>5.18</v>
      </c>
    </row>
    <row r="11284">
      <c r="A11284" s="28" t="n">
        <v>35522</v>
      </c>
      <c r="B11284" t="n">
        <v>6.88</v>
      </c>
      <c r="C11284" t="n">
        <v>5.16</v>
      </c>
    </row>
    <row r="11285">
      <c r="A11285" s="28" t="n">
        <v>35523</v>
      </c>
      <c r="B11285" t="n">
        <v>6.86</v>
      </c>
      <c r="C11285" t="n">
        <v>5.13</v>
      </c>
    </row>
    <row r="11286">
      <c r="A11286" s="28" t="n">
        <v>35524</v>
      </c>
      <c r="B11286" t="n">
        <v>6.92</v>
      </c>
      <c r="C11286" t="n">
        <v>5.15</v>
      </c>
    </row>
    <row r="11287">
      <c r="A11287" s="28" t="n">
        <v>35527</v>
      </c>
      <c r="B11287" t="n">
        <v>6.87</v>
      </c>
      <c r="C11287" t="n">
        <v>5.15</v>
      </c>
    </row>
    <row r="11288">
      <c r="A11288" s="28" t="n">
        <v>35528</v>
      </c>
      <c r="B11288" t="n">
        <v>6.91</v>
      </c>
      <c r="C11288" t="n">
        <v>5.11</v>
      </c>
    </row>
    <row r="11289">
      <c r="A11289" s="28" t="n">
        <v>35529</v>
      </c>
      <c r="B11289" t="n">
        <v>6.91</v>
      </c>
      <c r="C11289" t="n">
        <v>5.1</v>
      </c>
    </row>
    <row r="11290">
      <c r="A11290" s="28" t="n">
        <v>35530</v>
      </c>
      <c r="B11290" t="n">
        <v>6.91</v>
      </c>
      <c r="C11290" t="n">
        <v>5.15</v>
      </c>
    </row>
    <row r="11291">
      <c r="A11291" s="28" t="n">
        <v>35531</v>
      </c>
      <c r="B11291" t="n">
        <v>6.98</v>
      </c>
      <c r="C11291" t="n">
        <v>5.17</v>
      </c>
    </row>
    <row r="11292">
      <c r="A11292" s="28" t="n">
        <v>35534</v>
      </c>
      <c r="B11292" t="n">
        <v>6.98</v>
      </c>
      <c r="C11292" t="n">
        <v>5.17</v>
      </c>
    </row>
    <row r="11293">
      <c r="A11293" s="28" t="n">
        <v>35535</v>
      </c>
      <c r="B11293" t="n">
        <v>6.88</v>
      </c>
      <c r="C11293" t="n">
        <v>5.17</v>
      </c>
    </row>
    <row r="11294">
      <c r="A11294" s="28" t="n">
        <v>35536</v>
      </c>
      <c r="B11294" t="n">
        <v>6.9</v>
      </c>
      <c r="C11294" t="n">
        <v>5.15</v>
      </c>
    </row>
    <row r="11295">
      <c r="A11295" s="28" t="n">
        <v>35537</v>
      </c>
      <c r="B11295" t="n">
        <v>6.86</v>
      </c>
      <c r="C11295" t="n">
        <v>5.15</v>
      </c>
    </row>
    <row r="11296">
      <c r="A11296" s="28" t="n">
        <v>35538</v>
      </c>
      <c r="B11296" t="n">
        <v>6.84</v>
      </c>
      <c r="C11296" t="n">
        <v>5.15</v>
      </c>
    </row>
    <row r="11297">
      <c r="A11297" s="28" t="n">
        <v>35541</v>
      </c>
      <c r="B11297" t="n">
        <v>6.87</v>
      </c>
      <c r="C11297" t="n">
        <v>5.15</v>
      </c>
    </row>
    <row r="11298">
      <c r="A11298" s="28" t="n">
        <v>35542</v>
      </c>
      <c r="B11298" t="n">
        <v>6.84</v>
      </c>
      <c r="C11298" t="n">
        <v>5.22</v>
      </c>
    </row>
    <row r="11299">
      <c r="A11299" s="28" t="n">
        <v>35543</v>
      </c>
      <c r="B11299" t="n">
        <v>6.89</v>
      </c>
      <c r="C11299" t="n">
        <v>5.23</v>
      </c>
    </row>
    <row r="11300">
      <c r="A11300" s="28" t="n">
        <v>35544</v>
      </c>
      <c r="B11300" t="n">
        <v>6.93</v>
      </c>
      <c r="C11300" t="n">
        <v>5.18</v>
      </c>
    </row>
    <row r="11301">
      <c r="A11301" s="28" t="n">
        <v>35545</v>
      </c>
      <c r="B11301" t="n">
        <v>6.94</v>
      </c>
      <c r="C11301" t="n">
        <v>5.17</v>
      </c>
    </row>
    <row r="11302">
      <c r="A11302" s="28" t="n">
        <v>35548</v>
      </c>
      <c r="B11302" t="n">
        <v>6.92</v>
      </c>
      <c r="C11302" t="n">
        <v>5.19</v>
      </c>
    </row>
    <row r="11303">
      <c r="A11303" s="28" t="n">
        <v>35549</v>
      </c>
      <c r="B11303" t="n">
        <v>6.77</v>
      </c>
      <c r="C11303" t="n">
        <v>5.2</v>
      </c>
    </row>
    <row r="11304">
      <c r="A11304" s="28" t="n">
        <v>35550</v>
      </c>
      <c r="B11304" t="n">
        <v>6.72</v>
      </c>
      <c r="C11304" t="n">
        <v>5.14</v>
      </c>
    </row>
    <row r="11305">
      <c r="A11305" s="28" t="n">
        <v>35551</v>
      </c>
      <c r="B11305" t="n">
        <v>6.69</v>
      </c>
      <c r="C11305" t="n">
        <v>5.1</v>
      </c>
    </row>
    <row r="11306">
      <c r="A11306" s="28" t="n">
        <v>35552</v>
      </c>
      <c r="B11306" t="n">
        <v>6.68</v>
      </c>
      <c r="C11306" t="n">
        <v>5.1</v>
      </c>
    </row>
    <row r="11307">
      <c r="A11307" s="28" t="n">
        <v>35555</v>
      </c>
      <c r="B11307" t="n">
        <v>6.67</v>
      </c>
      <c r="C11307" t="n">
        <v>5.05</v>
      </c>
    </row>
    <row r="11308">
      <c r="A11308" s="28" t="n">
        <v>35556</v>
      </c>
      <c r="B11308" t="n">
        <v>6.67</v>
      </c>
      <c r="C11308" t="n">
        <v>5.07</v>
      </c>
    </row>
    <row r="11309">
      <c r="A11309" s="28" t="n">
        <v>35557</v>
      </c>
      <c r="B11309" t="n">
        <v>6.76</v>
      </c>
      <c r="C11309" t="n">
        <v>5.08</v>
      </c>
    </row>
    <row r="11310">
      <c r="A11310" s="28" t="n">
        <v>35558</v>
      </c>
      <c r="B11310" t="n">
        <v>6.72</v>
      </c>
      <c r="C11310" t="n">
        <v>5.07</v>
      </c>
    </row>
    <row r="11311">
      <c r="A11311" s="28" t="n">
        <v>35559</v>
      </c>
      <c r="B11311" t="n">
        <v>6.67</v>
      </c>
      <c r="C11311" t="n">
        <v>5.05</v>
      </c>
    </row>
    <row r="11312">
      <c r="A11312" s="28" t="n">
        <v>35562</v>
      </c>
      <c r="B11312" t="n">
        <v>6.65</v>
      </c>
      <c r="C11312" t="n">
        <v>5.04</v>
      </c>
    </row>
    <row r="11313">
      <c r="A11313" s="28" t="n">
        <v>35563</v>
      </c>
      <c r="B11313" t="n">
        <v>6.71</v>
      </c>
      <c r="C11313" t="n">
        <v>5.1</v>
      </c>
    </row>
    <row r="11314">
      <c r="A11314" s="28" t="n">
        <v>35564</v>
      </c>
      <c r="B11314" t="n">
        <v>6.68</v>
      </c>
      <c r="C11314" t="n">
        <v>5.05</v>
      </c>
    </row>
    <row r="11315">
      <c r="A11315" s="28" t="n">
        <v>35565</v>
      </c>
      <c r="B11315" t="n">
        <v>6.67</v>
      </c>
      <c r="C11315" t="n">
        <v>4.99</v>
      </c>
    </row>
    <row r="11316">
      <c r="A11316" s="28" t="n">
        <v>35566</v>
      </c>
      <c r="B11316" t="n">
        <v>6.7</v>
      </c>
      <c r="C11316" t="n">
        <v>5.06</v>
      </c>
    </row>
    <row r="11317">
      <c r="A11317" s="28" t="n">
        <v>35569</v>
      </c>
      <c r="B11317" t="n">
        <v>6.71</v>
      </c>
      <c r="C11317" t="n">
        <v>5.16</v>
      </c>
    </row>
    <row r="11318">
      <c r="A11318" s="28" t="n">
        <v>35570</v>
      </c>
      <c r="B11318" t="n">
        <v>6.7</v>
      </c>
      <c r="C11318" t="n">
        <v>5.25</v>
      </c>
    </row>
    <row r="11319">
      <c r="A11319" s="28" t="n">
        <v>35571</v>
      </c>
      <c r="B11319" t="n">
        <v>6.74</v>
      </c>
      <c r="C11319" t="n">
        <v>4.99</v>
      </c>
    </row>
    <row r="11320">
      <c r="A11320" s="28" t="n">
        <v>35572</v>
      </c>
      <c r="B11320" t="n">
        <v>6.76</v>
      </c>
      <c r="C11320" t="n">
        <v>5.04</v>
      </c>
    </row>
    <row r="11321">
      <c r="A11321" s="28" t="n">
        <v>35573</v>
      </c>
      <c r="B11321" t="n">
        <v>6.74</v>
      </c>
      <c r="C11321" t="n">
        <v>5.04</v>
      </c>
    </row>
    <row r="11322">
      <c r="A11322" s="28" t="n">
        <v>35576</v>
      </c>
      <c r="B11322" t="n">
        <v>0</v>
      </c>
      <c r="C11322" t="n">
        <v>0</v>
      </c>
    </row>
    <row r="11323">
      <c r="A11323" s="28" t="n">
        <v>35577</v>
      </c>
      <c r="B11323" t="n">
        <v>6.79</v>
      </c>
      <c r="C11323" t="n">
        <v>5.02</v>
      </c>
    </row>
    <row r="11324">
      <c r="A11324" s="28" t="n">
        <v>35578</v>
      </c>
      <c r="B11324" t="n">
        <v>6.8</v>
      </c>
      <c r="C11324" t="n">
        <v>5.04</v>
      </c>
    </row>
    <row r="11325">
      <c r="A11325" s="28" t="n">
        <v>35579</v>
      </c>
      <c r="B11325" t="n">
        <v>6.75</v>
      </c>
      <c r="C11325" t="n">
        <v>4.89</v>
      </c>
    </row>
    <row r="11326">
      <c r="A11326" s="28" t="n">
        <v>35580</v>
      </c>
      <c r="B11326" t="n">
        <v>6.67</v>
      </c>
      <c r="C11326" t="n">
        <v>4.82</v>
      </c>
    </row>
    <row r="11327">
      <c r="A11327" s="28" t="n">
        <v>35583</v>
      </c>
      <c r="B11327" t="n">
        <v>6.66</v>
      </c>
      <c r="C11327" t="n">
        <v>4.79</v>
      </c>
    </row>
    <row r="11328">
      <c r="A11328" s="28" t="n">
        <v>35584</v>
      </c>
      <c r="B11328" t="n">
        <v>6.63</v>
      </c>
      <c r="C11328" t="n">
        <v>4.92</v>
      </c>
    </row>
    <row r="11329">
      <c r="A11329" s="28" t="n">
        <v>35585</v>
      </c>
      <c r="B11329" t="n">
        <v>6.62</v>
      </c>
      <c r="C11329" t="n">
        <v>4.96</v>
      </c>
    </row>
    <row r="11330">
      <c r="A11330" s="28" t="n">
        <v>35586</v>
      </c>
      <c r="B11330" t="n">
        <v>6.62</v>
      </c>
      <c r="C11330" t="n">
        <v>4.97</v>
      </c>
    </row>
    <row r="11331">
      <c r="A11331" s="28" t="n">
        <v>35587</v>
      </c>
      <c r="B11331" t="n">
        <v>6.51</v>
      </c>
      <c r="C11331" t="n">
        <v>4.93</v>
      </c>
    </row>
    <row r="11332">
      <c r="A11332" s="28" t="n">
        <v>35590</v>
      </c>
      <c r="B11332" t="n">
        <v>6.55</v>
      </c>
      <c r="C11332" t="n">
        <v>4.92</v>
      </c>
    </row>
    <row r="11333">
      <c r="A11333" s="28" t="n">
        <v>35591</v>
      </c>
      <c r="B11333" t="n">
        <v>6.57</v>
      </c>
      <c r="C11333" t="n">
        <v>4.92</v>
      </c>
    </row>
    <row r="11334">
      <c r="A11334" s="28" t="n">
        <v>35592</v>
      </c>
      <c r="B11334" t="n">
        <v>6.56</v>
      </c>
      <c r="C11334" t="n">
        <v>4.85</v>
      </c>
    </row>
    <row r="11335">
      <c r="A11335" s="28" t="n">
        <v>35593</v>
      </c>
      <c r="B11335" t="n">
        <v>6.48</v>
      </c>
      <c r="C11335" t="n">
        <v>4.84</v>
      </c>
    </row>
    <row r="11336">
      <c r="A11336" s="28" t="n">
        <v>35594</v>
      </c>
      <c r="B11336" t="n">
        <v>6.43</v>
      </c>
      <c r="C11336" t="n">
        <v>4.86</v>
      </c>
    </row>
    <row r="11337">
      <c r="A11337" s="28" t="n">
        <v>35597</v>
      </c>
      <c r="B11337" t="n">
        <v>6.4</v>
      </c>
      <c r="C11337" t="n">
        <v>4.85</v>
      </c>
    </row>
    <row r="11338">
      <c r="A11338" s="28" t="n">
        <v>35598</v>
      </c>
      <c r="B11338" t="n">
        <v>6.43</v>
      </c>
      <c r="C11338" t="n">
        <v>4.92</v>
      </c>
    </row>
    <row r="11339">
      <c r="A11339" s="28" t="n">
        <v>35599</v>
      </c>
      <c r="B11339" t="n">
        <v>6.4</v>
      </c>
      <c r="C11339" t="n">
        <v>4.9</v>
      </c>
    </row>
    <row r="11340">
      <c r="A11340" s="28" t="n">
        <v>35600</v>
      </c>
      <c r="B11340" t="n">
        <v>6.4</v>
      </c>
      <c r="C11340" t="n">
        <v>4.95</v>
      </c>
    </row>
    <row r="11341">
      <c r="A11341" s="28" t="n">
        <v>35601</v>
      </c>
      <c r="B11341" t="n">
        <v>6.37</v>
      </c>
      <c r="C11341" t="n">
        <v>4.94</v>
      </c>
    </row>
    <row r="11342">
      <c r="A11342" s="28" t="n">
        <v>35604</v>
      </c>
      <c r="B11342" t="n">
        <v>6.4</v>
      </c>
      <c r="C11342" t="n">
        <v>5.04</v>
      </c>
    </row>
    <row r="11343">
      <c r="A11343" s="28" t="n">
        <v>35605</v>
      </c>
      <c r="B11343" t="n">
        <v>6.42</v>
      </c>
      <c r="C11343" t="n">
        <v>4.94</v>
      </c>
    </row>
    <row r="11344">
      <c r="A11344" s="28" t="n">
        <v>35606</v>
      </c>
      <c r="B11344" t="n">
        <v>6.45</v>
      </c>
      <c r="C11344" t="n">
        <v>4.94</v>
      </c>
    </row>
    <row r="11345">
      <c r="A11345" s="28" t="n">
        <v>35607</v>
      </c>
      <c r="B11345" t="n">
        <v>6.5</v>
      </c>
      <c r="C11345" t="n">
        <v>5.03</v>
      </c>
    </row>
    <row r="11346">
      <c r="A11346" s="28" t="n">
        <v>35608</v>
      </c>
      <c r="B11346" t="n">
        <v>6.46</v>
      </c>
      <c r="C11346" t="n">
        <v>5.02</v>
      </c>
    </row>
    <row r="11347">
      <c r="A11347" s="28" t="n">
        <v>35611</v>
      </c>
      <c r="B11347" t="n">
        <v>6.51</v>
      </c>
      <c r="C11347" t="n">
        <v>5.06</v>
      </c>
    </row>
    <row r="11348">
      <c r="A11348" s="28" t="n">
        <v>35612</v>
      </c>
      <c r="B11348" t="n">
        <v>6.45</v>
      </c>
      <c r="C11348" t="n">
        <v>5.04</v>
      </c>
    </row>
    <row r="11349">
      <c r="A11349" s="28" t="n">
        <v>35613</v>
      </c>
      <c r="B11349" t="n">
        <v>6.42</v>
      </c>
      <c r="C11349" t="n">
        <v>5.06</v>
      </c>
    </row>
    <row r="11350">
      <c r="A11350" s="28" t="n">
        <v>35614</v>
      </c>
      <c r="B11350" t="n">
        <v>6.31</v>
      </c>
      <c r="C11350" t="n">
        <v>5.01</v>
      </c>
    </row>
    <row r="11351">
      <c r="A11351" s="28" t="n">
        <v>35615</v>
      </c>
      <c r="B11351" t="n">
        <v>0</v>
      </c>
      <c r="C11351" t="n">
        <v>0</v>
      </c>
    </row>
    <row r="11352">
      <c r="A11352" s="28" t="n">
        <v>35618</v>
      </c>
      <c r="B11352" t="n">
        <v>6.27</v>
      </c>
      <c r="C11352" t="n">
        <v>4.96</v>
      </c>
    </row>
    <row r="11353">
      <c r="A11353" s="28" t="n">
        <v>35619</v>
      </c>
      <c r="B11353" t="n">
        <v>6.27</v>
      </c>
      <c r="C11353" t="n">
        <v>4.99</v>
      </c>
    </row>
    <row r="11354">
      <c r="A11354" s="28" t="n">
        <v>35620</v>
      </c>
      <c r="B11354" t="n">
        <v>6.25</v>
      </c>
      <c r="C11354" t="n">
        <v>4.98</v>
      </c>
    </row>
    <row r="11355">
      <c r="A11355" s="28" t="n">
        <v>35621</v>
      </c>
      <c r="B11355" t="n">
        <v>6.26</v>
      </c>
      <c r="C11355" t="n">
        <v>5.01</v>
      </c>
    </row>
    <row r="11356">
      <c r="A11356" s="28" t="n">
        <v>35622</v>
      </c>
      <c r="B11356" t="n">
        <v>6.23</v>
      </c>
      <c r="C11356" t="n">
        <v>5</v>
      </c>
    </row>
    <row r="11357">
      <c r="A11357" s="28" t="n">
        <v>35625</v>
      </c>
      <c r="B11357" t="n">
        <v>6.26</v>
      </c>
      <c r="C11357" t="n">
        <v>5.02</v>
      </c>
    </row>
    <row r="11358">
      <c r="A11358" s="28" t="n">
        <v>35626</v>
      </c>
      <c r="B11358" t="n">
        <v>6.26</v>
      </c>
      <c r="C11358" t="n">
        <v>5.08</v>
      </c>
    </row>
    <row r="11359">
      <c r="A11359" s="28" t="n">
        <v>35627</v>
      </c>
      <c r="B11359" t="n">
        <v>6.2</v>
      </c>
      <c r="C11359" t="n">
        <v>5.03</v>
      </c>
    </row>
    <row r="11360">
      <c r="A11360" s="28" t="n">
        <v>35628</v>
      </c>
      <c r="B11360" t="n">
        <v>6.19</v>
      </c>
      <c r="C11360" t="n">
        <v>5.04</v>
      </c>
    </row>
    <row r="11361">
      <c r="A11361" s="28" t="n">
        <v>35629</v>
      </c>
      <c r="B11361" t="n">
        <v>6.24</v>
      </c>
      <c r="C11361" t="n">
        <v>5.1</v>
      </c>
    </row>
    <row r="11362">
      <c r="A11362" s="28" t="n">
        <v>35632</v>
      </c>
      <c r="B11362" t="n">
        <v>6.27</v>
      </c>
      <c r="C11362" t="n">
        <v>5.13</v>
      </c>
    </row>
    <row r="11363">
      <c r="A11363" s="28" t="n">
        <v>35633</v>
      </c>
      <c r="B11363" t="n">
        <v>6.15</v>
      </c>
      <c r="C11363" t="n">
        <v>5.04</v>
      </c>
    </row>
    <row r="11364">
      <c r="A11364" s="28" t="n">
        <v>35634</v>
      </c>
      <c r="B11364" t="n">
        <v>6.14</v>
      </c>
      <c r="C11364" t="n">
        <v>5.06</v>
      </c>
    </row>
    <row r="11365">
      <c r="A11365" s="28" t="n">
        <v>35635</v>
      </c>
      <c r="B11365" t="n">
        <v>6.16</v>
      </c>
      <c r="C11365" t="n">
        <v>5.09</v>
      </c>
    </row>
    <row r="11366">
      <c r="A11366" s="28" t="n">
        <v>35636</v>
      </c>
      <c r="B11366" t="n">
        <v>6.18</v>
      </c>
      <c r="C11366" t="n">
        <v>5.1</v>
      </c>
    </row>
    <row r="11367">
      <c r="A11367" s="28" t="n">
        <v>35639</v>
      </c>
      <c r="B11367" t="n">
        <v>6.16</v>
      </c>
      <c r="C11367" t="n">
        <v>5.1</v>
      </c>
    </row>
    <row r="11368">
      <c r="A11368" s="28" t="n">
        <v>35640</v>
      </c>
      <c r="B11368" t="n">
        <v>6.11</v>
      </c>
      <c r="C11368" t="n">
        <v>5.1</v>
      </c>
    </row>
    <row r="11369">
      <c r="A11369" s="28" t="n">
        <v>35641</v>
      </c>
      <c r="B11369" t="n">
        <v>6.05</v>
      </c>
      <c r="C11369" t="n">
        <v>5.1</v>
      </c>
    </row>
    <row r="11370">
      <c r="A11370" s="28" t="n">
        <v>35642</v>
      </c>
      <c r="B11370" t="n">
        <v>6.02</v>
      </c>
      <c r="C11370" t="n">
        <v>5.11</v>
      </c>
    </row>
    <row r="11371">
      <c r="A11371" s="28" t="n">
        <v>35643</v>
      </c>
      <c r="B11371" t="n">
        <v>6.2</v>
      </c>
      <c r="C11371" t="n">
        <v>5.14</v>
      </c>
    </row>
    <row r="11372">
      <c r="A11372" s="28" t="n">
        <v>35646</v>
      </c>
      <c r="B11372" t="n">
        <v>6.23</v>
      </c>
      <c r="C11372" t="n">
        <v>5.14</v>
      </c>
    </row>
    <row r="11373">
      <c r="A11373" s="28" t="n">
        <v>35647</v>
      </c>
      <c r="B11373" t="n">
        <v>6.23</v>
      </c>
      <c r="C11373" t="n">
        <v>5.15</v>
      </c>
    </row>
    <row r="11374">
      <c r="A11374" s="28" t="n">
        <v>35648</v>
      </c>
      <c r="B11374" t="n">
        <v>6.21</v>
      </c>
      <c r="C11374" t="n">
        <v>5.15</v>
      </c>
    </row>
    <row r="11375">
      <c r="A11375" s="28" t="n">
        <v>35649</v>
      </c>
      <c r="B11375" t="n">
        <v>6.24</v>
      </c>
      <c r="C11375" t="n">
        <v>5.16</v>
      </c>
    </row>
    <row r="11376">
      <c r="A11376" s="28" t="n">
        <v>35650</v>
      </c>
      <c r="B11376" t="n">
        <v>6.38</v>
      </c>
      <c r="C11376" t="n">
        <v>5.15</v>
      </c>
    </row>
    <row r="11377">
      <c r="A11377" s="28" t="n">
        <v>35653</v>
      </c>
      <c r="B11377" t="n">
        <v>6.36</v>
      </c>
      <c r="C11377" t="n">
        <v>5.17</v>
      </c>
    </row>
    <row r="11378">
      <c r="A11378" s="28" t="n">
        <v>35654</v>
      </c>
      <c r="B11378" t="n">
        <v>6.39</v>
      </c>
      <c r="C11378" t="n">
        <v>5.17</v>
      </c>
    </row>
    <row r="11379">
      <c r="A11379" s="28" t="n">
        <v>35655</v>
      </c>
      <c r="B11379" t="n">
        <v>6.36</v>
      </c>
      <c r="C11379" t="n">
        <v>5.18</v>
      </c>
    </row>
    <row r="11380">
      <c r="A11380" s="28" t="n">
        <v>35656</v>
      </c>
      <c r="B11380" t="n">
        <v>6.27</v>
      </c>
      <c r="C11380" t="n">
        <v>5.2</v>
      </c>
    </row>
    <row r="11381">
      <c r="A11381" s="28" t="n">
        <v>35657</v>
      </c>
      <c r="B11381" t="n">
        <v>6.27</v>
      </c>
      <c r="C11381" t="n">
        <v>5.15</v>
      </c>
    </row>
    <row r="11382">
      <c r="A11382" s="28" t="n">
        <v>35660</v>
      </c>
      <c r="B11382" t="n">
        <v>6.21</v>
      </c>
      <c r="C11382" t="n">
        <v>5.13</v>
      </c>
    </row>
    <row r="11383">
      <c r="A11383" s="28" t="n">
        <v>35661</v>
      </c>
      <c r="B11383" t="n">
        <v>6.21</v>
      </c>
      <c r="C11383" t="n">
        <v>5.11</v>
      </c>
    </row>
    <row r="11384">
      <c r="A11384" s="28" t="n">
        <v>35662</v>
      </c>
      <c r="B11384" t="n">
        <v>6.24</v>
      </c>
      <c r="C11384" t="n">
        <v>5.1</v>
      </c>
    </row>
    <row r="11385">
      <c r="A11385" s="28" t="n">
        <v>35663</v>
      </c>
      <c r="B11385" t="n">
        <v>6.3</v>
      </c>
      <c r="C11385" t="n">
        <v>5.13</v>
      </c>
    </row>
    <row r="11386">
      <c r="A11386" s="28" t="n">
        <v>35664</v>
      </c>
      <c r="B11386" t="n">
        <v>6.38</v>
      </c>
      <c r="C11386" t="n">
        <v>5.11</v>
      </c>
    </row>
    <row r="11387">
      <c r="A11387" s="28" t="n">
        <v>35667</v>
      </c>
      <c r="B11387" t="n">
        <v>6.39</v>
      </c>
      <c r="C11387" t="n">
        <v>5.16</v>
      </c>
    </row>
    <row r="11388">
      <c r="A11388" s="28" t="n">
        <v>35668</v>
      </c>
      <c r="B11388" t="n">
        <v>6.38</v>
      </c>
      <c r="C11388" t="n">
        <v>5.14</v>
      </c>
    </row>
    <row r="11389">
      <c r="A11389" s="28" t="n">
        <v>35669</v>
      </c>
      <c r="B11389" t="n">
        <v>6.38</v>
      </c>
      <c r="C11389" t="n">
        <v>5.14</v>
      </c>
    </row>
    <row r="11390">
      <c r="A11390" s="28" t="n">
        <v>35670</v>
      </c>
      <c r="B11390" t="n">
        <v>6.3</v>
      </c>
      <c r="C11390" t="n">
        <v>5.1</v>
      </c>
    </row>
    <row r="11391">
      <c r="A11391" s="28" t="n">
        <v>35671</v>
      </c>
      <c r="B11391" t="n">
        <v>6.34</v>
      </c>
      <c r="C11391" t="n">
        <v>5.1</v>
      </c>
    </row>
    <row r="11392">
      <c r="A11392" s="28" t="n">
        <v>35674</v>
      </c>
      <c r="B11392" t="n">
        <v>0</v>
      </c>
      <c r="C11392" t="n">
        <v>0</v>
      </c>
    </row>
    <row r="11393">
      <c r="A11393" s="28" t="n">
        <v>35675</v>
      </c>
      <c r="B11393" t="n">
        <v>6.31</v>
      </c>
      <c r="C11393" t="n">
        <v>5.07</v>
      </c>
    </row>
    <row r="11394">
      <c r="A11394" s="28" t="n">
        <v>35676</v>
      </c>
      <c r="B11394" t="n">
        <v>6.33</v>
      </c>
      <c r="C11394" t="n">
        <v>5.01</v>
      </c>
    </row>
    <row r="11395">
      <c r="A11395" s="28" t="n">
        <v>35677</v>
      </c>
      <c r="B11395" t="n">
        <v>6.33</v>
      </c>
      <c r="C11395" t="n">
        <v>5.01</v>
      </c>
    </row>
    <row r="11396">
      <c r="A11396" s="28" t="n">
        <v>35678</v>
      </c>
      <c r="B11396" t="n">
        <v>6.37</v>
      </c>
      <c r="C11396" t="n">
        <v>5.03</v>
      </c>
    </row>
    <row r="11397">
      <c r="A11397" s="28" t="n">
        <v>35681</v>
      </c>
      <c r="B11397" t="n">
        <v>6.33</v>
      </c>
      <c r="C11397" t="n">
        <v>5.02</v>
      </c>
    </row>
    <row r="11398">
      <c r="A11398" s="28" t="n">
        <v>35682</v>
      </c>
      <c r="B11398" t="n">
        <v>6.34</v>
      </c>
      <c r="C11398" t="n">
        <v>5.02</v>
      </c>
    </row>
    <row r="11399">
      <c r="A11399" s="28" t="n">
        <v>35683</v>
      </c>
      <c r="B11399" t="n">
        <v>6.37</v>
      </c>
      <c r="C11399" t="n">
        <v>4.98</v>
      </c>
    </row>
    <row r="11400">
      <c r="A11400" s="28" t="n">
        <v>35684</v>
      </c>
      <c r="B11400" t="n">
        <v>6.39</v>
      </c>
      <c r="C11400" t="n">
        <v>5</v>
      </c>
    </row>
    <row r="11401">
      <c r="A11401" s="28" t="n">
        <v>35685</v>
      </c>
      <c r="B11401" t="n">
        <v>6.29</v>
      </c>
      <c r="C11401" t="n">
        <v>4.97</v>
      </c>
    </row>
    <row r="11402">
      <c r="A11402" s="28" t="n">
        <v>35688</v>
      </c>
      <c r="B11402" t="n">
        <v>6.28</v>
      </c>
      <c r="C11402" t="n">
        <v>5</v>
      </c>
    </row>
    <row r="11403">
      <c r="A11403" s="28" t="n">
        <v>35689</v>
      </c>
      <c r="B11403" t="n">
        <v>6.11</v>
      </c>
      <c r="C11403" t="n">
        <v>4.96</v>
      </c>
    </row>
    <row r="11404">
      <c r="A11404" s="28" t="n">
        <v>35690</v>
      </c>
      <c r="B11404" t="n">
        <v>6.1</v>
      </c>
      <c r="C11404" t="n">
        <v>4.97</v>
      </c>
    </row>
    <row r="11405">
      <c r="A11405" s="28" t="n">
        <v>35691</v>
      </c>
      <c r="B11405" t="n">
        <v>6.11</v>
      </c>
      <c r="C11405" t="n">
        <v>4.97</v>
      </c>
    </row>
    <row r="11406">
      <c r="A11406" s="28" t="n">
        <v>35692</v>
      </c>
      <c r="B11406" t="n">
        <v>6.09</v>
      </c>
      <c r="C11406" t="n">
        <v>4.93</v>
      </c>
    </row>
    <row r="11407">
      <c r="A11407" s="28" t="n">
        <v>35695</v>
      </c>
      <c r="B11407" t="n">
        <v>6.06</v>
      </c>
      <c r="C11407" t="n">
        <v>4.91</v>
      </c>
    </row>
    <row r="11408">
      <c r="A11408" s="28" t="n">
        <v>35696</v>
      </c>
      <c r="B11408" t="n">
        <v>6.1</v>
      </c>
      <c r="C11408" t="n">
        <v>4.89</v>
      </c>
    </row>
    <row r="11409">
      <c r="A11409" s="28" t="n">
        <v>35697</v>
      </c>
      <c r="B11409" t="n">
        <v>6.04</v>
      </c>
      <c r="C11409" t="n">
        <v>4.81</v>
      </c>
    </row>
    <row r="11410">
      <c r="A11410" s="28" t="n">
        <v>35698</v>
      </c>
      <c r="B11410" t="n">
        <v>6.13</v>
      </c>
      <c r="C11410" t="n">
        <v>4.8</v>
      </c>
    </row>
    <row r="11411">
      <c r="A11411" s="28" t="n">
        <v>35699</v>
      </c>
      <c r="B11411" t="n">
        <v>6.08</v>
      </c>
      <c r="C11411" t="n">
        <v>4.86</v>
      </c>
    </row>
    <row r="11412">
      <c r="A11412" s="28" t="n">
        <v>35702</v>
      </c>
      <c r="B11412" t="n">
        <v>6.1</v>
      </c>
      <c r="C11412" t="n">
        <v>4.87</v>
      </c>
    </row>
    <row r="11413">
      <c r="A11413" s="28" t="n">
        <v>35703</v>
      </c>
      <c r="B11413" t="n">
        <v>6.12</v>
      </c>
      <c r="C11413" t="n">
        <v>4.93</v>
      </c>
    </row>
    <row r="11414">
      <c r="A11414" s="28" t="n">
        <v>35704</v>
      </c>
      <c r="B11414" t="n">
        <v>6.04</v>
      </c>
      <c r="C11414" t="n">
        <v>4.97</v>
      </c>
    </row>
    <row r="11415">
      <c r="A11415" s="28" t="n">
        <v>35705</v>
      </c>
      <c r="B11415" t="n">
        <v>6.01</v>
      </c>
      <c r="C11415" t="n">
        <v>4.94</v>
      </c>
    </row>
    <row r="11416">
      <c r="A11416" s="28" t="n">
        <v>35706</v>
      </c>
      <c r="B11416" t="n">
        <v>6.01</v>
      </c>
      <c r="C11416" t="n">
        <v>4.9</v>
      </c>
    </row>
    <row r="11417">
      <c r="A11417" s="28" t="n">
        <v>35709</v>
      </c>
      <c r="B11417" t="n">
        <v>5.96</v>
      </c>
      <c r="C11417" t="n">
        <v>4.87</v>
      </c>
    </row>
    <row r="11418">
      <c r="A11418" s="28" t="n">
        <v>35710</v>
      </c>
      <c r="B11418" t="n">
        <v>5.94</v>
      </c>
      <c r="C11418" t="n">
        <v>4.93</v>
      </c>
    </row>
    <row r="11419">
      <c r="A11419" s="28" t="n">
        <v>35711</v>
      </c>
      <c r="B11419" t="n">
        <v>6.08</v>
      </c>
      <c r="C11419" t="n">
        <v>4.96</v>
      </c>
    </row>
    <row r="11420">
      <c r="A11420" s="28" t="n">
        <v>35712</v>
      </c>
      <c r="B11420" t="n">
        <v>6.09</v>
      </c>
      <c r="C11420" t="n">
        <v>5</v>
      </c>
    </row>
    <row r="11421">
      <c r="A11421" s="28" t="n">
        <v>35713</v>
      </c>
      <c r="B11421" t="n">
        <v>6.15</v>
      </c>
      <c r="C11421" t="n">
        <v>5</v>
      </c>
    </row>
    <row r="11422">
      <c r="A11422" s="28" t="n">
        <v>35716</v>
      </c>
      <c r="B11422" t="n">
        <v>0</v>
      </c>
      <c r="C11422" t="n">
        <v>0</v>
      </c>
    </row>
    <row r="11423">
      <c r="A11423" s="28" t="n">
        <v>35717</v>
      </c>
      <c r="B11423" t="n">
        <v>6.07</v>
      </c>
      <c r="C11423" t="n">
        <v>4.95</v>
      </c>
    </row>
    <row r="11424">
      <c r="A11424" s="28" t="n">
        <v>35718</v>
      </c>
      <c r="B11424" t="n">
        <v>6.1</v>
      </c>
      <c r="C11424" t="n">
        <v>4.93</v>
      </c>
    </row>
    <row r="11425">
      <c r="A11425" s="28" t="n">
        <v>35719</v>
      </c>
      <c r="B11425" t="n">
        <v>6.09</v>
      </c>
      <c r="C11425" t="n">
        <v>4.94</v>
      </c>
    </row>
    <row r="11426">
      <c r="A11426" s="28" t="n">
        <v>35720</v>
      </c>
      <c r="B11426" t="n">
        <v>6.17</v>
      </c>
      <c r="C11426" t="n">
        <v>4.92</v>
      </c>
    </row>
    <row r="11427">
      <c r="A11427" s="28" t="n">
        <v>35723</v>
      </c>
      <c r="B11427" t="n">
        <v>6.15</v>
      </c>
      <c r="C11427" t="n">
        <v>4.91</v>
      </c>
    </row>
    <row r="11428">
      <c r="A11428" s="28" t="n">
        <v>35724</v>
      </c>
      <c r="B11428" t="n">
        <v>6.14</v>
      </c>
      <c r="C11428" t="n">
        <v>4.94</v>
      </c>
    </row>
    <row r="11429">
      <c r="A11429" s="28" t="n">
        <v>35725</v>
      </c>
      <c r="B11429" t="n">
        <v>6.12</v>
      </c>
      <c r="C11429" t="n">
        <v>5.02</v>
      </c>
    </row>
    <row r="11430">
      <c r="A11430" s="28" t="n">
        <v>35726</v>
      </c>
      <c r="B11430" t="n">
        <v>6.04</v>
      </c>
      <c r="C11430" t="n">
        <v>4.99</v>
      </c>
    </row>
    <row r="11431">
      <c r="A11431" s="28" t="n">
        <v>35727</v>
      </c>
      <c r="B11431" t="n">
        <v>6.01</v>
      </c>
      <c r="C11431" t="n">
        <v>5.01</v>
      </c>
    </row>
    <row r="11432">
      <c r="A11432" s="28" t="n">
        <v>35730</v>
      </c>
      <c r="B11432" t="n">
        <v>5.91</v>
      </c>
      <c r="C11432" t="n">
        <v>4.96</v>
      </c>
    </row>
    <row r="11433">
      <c r="A11433" s="28" t="n">
        <v>35731</v>
      </c>
      <c r="B11433" t="n">
        <v>5.98</v>
      </c>
      <c r="C11433" t="n">
        <v>5.11</v>
      </c>
    </row>
    <row r="11434">
      <c r="A11434" s="28" t="n">
        <v>35732</v>
      </c>
      <c r="B11434" t="n">
        <v>5.91</v>
      </c>
      <c r="C11434" t="n">
        <v>5.05</v>
      </c>
    </row>
    <row r="11435">
      <c r="A11435" s="28" t="n">
        <v>35733</v>
      </c>
      <c r="B11435" t="n">
        <v>5.84</v>
      </c>
      <c r="C11435" t="n">
        <v>5.03</v>
      </c>
    </row>
    <row r="11436">
      <c r="A11436" s="28" t="n">
        <v>35734</v>
      </c>
      <c r="B11436" t="n">
        <v>5.84</v>
      </c>
      <c r="C11436" t="n">
        <v>5.07</v>
      </c>
    </row>
    <row r="11437">
      <c r="A11437" s="28" t="n">
        <v>35737</v>
      </c>
      <c r="B11437" t="n">
        <v>5.91</v>
      </c>
      <c r="C11437" t="n">
        <v>5.11</v>
      </c>
    </row>
    <row r="11438">
      <c r="A11438" s="28" t="n">
        <v>35738</v>
      </c>
      <c r="B11438" t="n">
        <v>5.95</v>
      </c>
      <c r="C11438" t="n">
        <v>5.11</v>
      </c>
    </row>
    <row r="11439">
      <c r="A11439" s="28" t="n">
        <v>35739</v>
      </c>
      <c r="B11439" t="n">
        <v>5.95</v>
      </c>
      <c r="C11439" t="n">
        <v>5.13</v>
      </c>
    </row>
    <row r="11440">
      <c r="A11440" s="28" t="n">
        <v>35740</v>
      </c>
      <c r="B11440" t="n">
        <v>5.9</v>
      </c>
      <c r="C11440" t="n">
        <v>5.17</v>
      </c>
    </row>
    <row r="11441">
      <c r="A11441" s="28" t="n">
        <v>35741</v>
      </c>
      <c r="B11441" t="n">
        <v>5.9</v>
      </c>
      <c r="C11441" t="n">
        <v>5.17</v>
      </c>
    </row>
    <row r="11442">
      <c r="A11442" s="28" t="n">
        <v>35744</v>
      </c>
      <c r="B11442" t="n">
        <v>5.91</v>
      </c>
      <c r="C11442" t="n">
        <v>5.21</v>
      </c>
    </row>
    <row r="11443">
      <c r="A11443" s="28" t="n">
        <v>35745</v>
      </c>
      <c r="B11443" t="n">
        <v>0</v>
      </c>
      <c r="C11443" t="n">
        <v>0</v>
      </c>
    </row>
    <row r="11444">
      <c r="A11444" s="28" t="n">
        <v>35746</v>
      </c>
      <c r="B11444" t="n">
        <v>5.89</v>
      </c>
      <c r="C11444" t="n">
        <v>5.16</v>
      </c>
    </row>
    <row r="11445">
      <c r="A11445" s="28" t="n">
        <v>35747</v>
      </c>
      <c r="B11445" t="n">
        <v>5.87</v>
      </c>
      <c r="C11445" t="n">
        <v>5.13</v>
      </c>
    </row>
    <row r="11446">
      <c r="A11446" s="28" t="n">
        <v>35748</v>
      </c>
      <c r="B11446" t="n">
        <v>5.86</v>
      </c>
      <c r="C11446" t="n">
        <v>5.13</v>
      </c>
    </row>
    <row r="11447">
      <c r="A11447" s="28" t="n">
        <v>35751</v>
      </c>
      <c r="B11447" t="n">
        <v>5.85</v>
      </c>
      <c r="C11447" t="n">
        <v>5.18</v>
      </c>
    </row>
    <row r="11448">
      <c r="A11448" s="28" t="n">
        <v>35752</v>
      </c>
      <c r="B11448" t="n">
        <v>5.85</v>
      </c>
      <c r="C11448" t="n">
        <v>5.17</v>
      </c>
    </row>
    <row r="11449">
      <c r="A11449" s="28" t="n">
        <v>35753</v>
      </c>
      <c r="B11449" t="n">
        <v>5.82</v>
      </c>
      <c r="C11449" t="n">
        <v>5.14</v>
      </c>
    </row>
    <row r="11450">
      <c r="A11450" s="28" t="n">
        <v>35754</v>
      </c>
      <c r="B11450" t="n">
        <v>5.84</v>
      </c>
      <c r="C11450" t="n">
        <v>5.14</v>
      </c>
    </row>
    <row r="11451">
      <c r="A11451" s="28" t="n">
        <v>35755</v>
      </c>
      <c r="B11451" t="n">
        <v>5.82</v>
      </c>
      <c r="C11451" t="n">
        <v>5.11</v>
      </c>
    </row>
    <row r="11452">
      <c r="A11452" s="28" t="n">
        <v>35758</v>
      </c>
      <c r="B11452" t="n">
        <v>5.86</v>
      </c>
      <c r="C11452" t="n">
        <v>5.16</v>
      </c>
    </row>
    <row r="11453">
      <c r="A11453" s="28" t="n">
        <v>35759</v>
      </c>
      <c r="B11453" t="n">
        <v>5.85</v>
      </c>
      <c r="C11453" t="n">
        <v>5.16</v>
      </c>
    </row>
    <row r="11454">
      <c r="A11454" s="28" t="n">
        <v>35760</v>
      </c>
      <c r="B11454" t="n">
        <v>5.86</v>
      </c>
      <c r="C11454" t="n">
        <v>5.12</v>
      </c>
    </row>
    <row r="11455">
      <c r="A11455" s="28" t="n">
        <v>35761</v>
      </c>
      <c r="B11455" t="n">
        <v>0</v>
      </c>
      <c r="C11455" t="n">
        <v>0</v>
      </c>
    </row>
    <row r="11456">
      <c r="A11456" s="28" t="n">
        <v>35762</v>
      </c>
      <c r="B11456" t="n">
        <v>5.86</v>
      </c>
      <c r="C11456" t="n">
        <v>5.08</v>
      </c>
    </row>
    <row r="11457">
      <c r="A11457" s="28" t="n">
        <v>35765</v>
      </c>
      <c r="B11457" t="n">
        <v>5.86</v>
      </c>
      <c r="C11457" t="n">
        <v>5.1</v>
      </c>
    </row>
    <row r="11458">
      <c r="A11458" s="28" t="n">
        <v>35766</v>
      </c>
      <c r="B11458" t="n">
        <v>5.86</v>
      </c>
      <c r="C11458" t="n">
        <v>5.12</v>
      </c>
    </row>
    <row r="11459">
      <c r="A11459" s="28" t="n">
        <v>35767</v>
      </c>
      <c r="B11459" t="n">
        <v>5.83</v>
      </c>
      <c r="C11459" t="n">
        <v>5.12</v>
      </c>
    </row>
    <row r="11460">
      <c r="A11460" s="28" t="n">
        <v>35768</v>
      </c>
      <c r="B11460" t="n">
        <v>5.84</v>
      </c>
      <c r="C11460" t="n">
        <v>5.13</v>
      </c>
    </row>
    <row r="11461">
      <c r="A11461" s="28" t="n">
        <v>35769</v>
      </c>
      <c r="B11461" t="n">
        <v>5.92</v>
      </c>
      <c r="C11461" t="n">
        <v>5.16</v>
      </c>
    </row>
    <row r="11462">
      <c r="A11462" s="28" t="n">
        <v>35772</v>
      </c>
      <c r="B11462" t="n">
        <v>5.96</v>
      </c>
      <c r="C11462" t="n">
        <v>5.2</v>
      </c>
    </row>
    <row r="11463">
      <c r="A11463" s="28" t="n">
        <v>35773</v>
      </c>
      <c r="B11463" t="n">
        <v>5.95</v>
      </c>
      <c r="C11463" t="n">
        <v>5.13</v>
      </c>
    </row>
    <row r="11464">
      <c r="A11464" s="28" t="n">
        <v>35774</v>
      </c>
      <c r="B11464" t="n">
        <v>5.9</v>
      </c>
      <c r="C11464" t="n">
        <v>5.07</v>
      </c>
    </row>
    <row r="11465">
      <c r="A11465" s="28" t="n">
        <v>35775</v>
      </c>
      <c r="B11465" t="n">
        <v>5.82</v>
      </c>
      <c r="C11465" t="n">
        <v>5.06</v>
      </c>
    </row>
    <row r="11466">
      <c r="A11466" s="28" t="n">
        <v>35776</v>
      </c>
      <c r="B11466" t="n">
        <v>5.74</v>
      </c>
      <c r="C11466" t="n">
        <v>5.05</v>
      </c>
    </row>
    <row r="11467">
      <c r="A11467" s="28" t="n">
        <v>35779</v>
      </c>
      <c r="B11467" t="n">
        <v>5.78</v>
      </c>
      <c r="C11467" t="n">
        <v>5.1</v>
      </c>
    </row>
    <row r="11468">
      <c r="A11468" s="28" t="n">
        <v>35780</v>
      </c>
      <c r="B11468" t="n">
        <v>5.77</v>
      </c>
      <c r="C11468" t="n">
        <v>5.09</v>
      </c>
    </row>
    <row r="11469">
      <c r="A11469" s="28" t="n">
        <v>35781</v>
      </c>
      <c r="B11469" t="n">
        <v>5.81</v>
      </c>
      <c r="C11469" t="n">
        <v>5.11</v>
      </c>
    </row>
    <row r="11470">
      <c r="A11470" s="28" t="n">
        <v>35782</v>
      </c>
      <c r="B11470" t="n">
        <v>5.76</v>
      </c>
      <c r="C11470" t="n">
        <v>5.1</v>
      </c>
    </row>
    <row r="11471">
      <c r="A11471" s="28" t="n">
        <v>35783</v>
      </c>
      <c r="B11471" t="n">
        <v>5.72</v>
      </c>
      <c r="C11471" t="n">
        <v>5.19</v>
      </c>
    </row>
    <row r="11472">
      <c r="A11472" s="28" t="n">
        <v>35786</v>
      </c>
      <c r="B11472" t="n">
        <v>5.72</v>
      </c>
      <c r="C11472" t="n">
        <v>5.3</v>
      </c>
    </row>
    <row r="11473">
      <c r="A11473" s="28" t="n">
        <v>35787</v>
      </c>
      <c r="B11473" t="n">
        <v>5.73</v>
      </c>
      <c r="C11473" t="n">
        <v>5.31</v>
      </c>
    </row>
    <row r="11474">
      <c r="A11474" s="28" t="n">
        <v>35788</v>
      </c>
      <c r="B11474" t="n">
        <v>5.76</v>
      </c>
      <c r="C11474" t="n">
        <v>5.24</v>
      </c>
    </row>
    <row r="11475">
      <c r="A11475" s="28" t="n">
        <v>35789</v>
      </c>
      <c r="B11475" t="n">
        <v>0</v>
      </c>
      <c r="C11475" t="n">
        <v>0</v>
      </c>
    </row>
    <row r="11476">
      <c r="A11476" s="28" t="n">
        <v>35790</v>
      </c>
      <c r="B11476" t="n">
        <v>5.75</v>
      </c>
      <c r="C11476" t="n">
        <v>5.21</v>
      </c>
    </row>
    <row r="11477">
      <c r="A11477" s="28" t="n">
        <v>35793</v>
      </c>
      <c r="B11477" t="n">
        <v>5.76</v>
      </c>
      <c r="C11477" t="n">
        <v>5.26</v>
      </c>
    </row>
    <row r="11478">
      <c r="A11478" s="28" t="n">
        <v>35794</v>
      </c>
      <c r="B11478" t="n">
        <v>5.8</v>
      </c>
      <c r="C11478" t="n">
        <v>5.3</v>
      </c>
    </row>
    <row r="11479">
      <c r="A11479" s="28" t="n">
        <v>35795</v>
      </c>
      <c r="B11479" t="n">
        <v>5.75</v>
      </c>
      <c r="C11479" t="n">
        <v>5.22</v>
      </c>
    </row>
    <row r="11480">
      <c r="A11480" s="28" t="n">
        <v>35796</v>
      </c>
      <c r="B11480" t="n">
        <v>0</v>
      </c>
      <c r="C11480" t="n">
        <v>0</v>
      </c>
    </row>
    <row r="11481">
      <c r="A11481" s="28" t="n">
        <v>35797</v>
      </c>
      <c r="B11481" t="n">
        <v>5.67</v>
      </c>
      <c r="C11481" t="n">
        <v>5.18</v>
      </c>
    </row>
    <row r="11482">
      <c r="A11482" s="28" t="n">
        <v>35800</v>
      </c>
      <c r="B11482" t="n">
        <v>5.52</v>
      </c>
      <c r="C11482" t="n">
        <v>5.09</v>
      </c>
    </row>
    <row r="11483">
      <c r="A11483" s="28" t="n">
        <v>35801</v>
      </c>
      <c r="B11483" t="n">
        <v>5.49</v>
      </c>
      <c r="C11483" t="n">
        <v>5.08</v>
      </c>
    </row>
    <row r="11484">
      <c r="A11484" s="28" t="n">
        <v>35802</v>
      </c>
      <c r="B11484" t="n">
        <v>5.55</v>
      </c>
      <c r="C11484" t="n">
        <v>5.09</v>
      </c>
    </row>
    <row r="11485">
      <c r="A11485" s="28" t="n">
        <v>35803</v>
      </c>
      <c r="B11485" t="n">
        <v>5.49</v>
      </c>
      <c r="C11485" t="n">
        <v>5</v>
      </c>
    </row>
    <row r="11486">
      <c r="A11486" s="28" t="n">
        <v>35804</v>
      </c>
      <c r="B11486" t="n">
        <v>5.4</v>
      </c>
      <c r="C11486" t="n">
        <v>4.92</v>
      </c>
    </row>
    <row r="11487">
      <c r="A11487" s="28" t="n">
        <v>35807</v>
      </c>
      <c r="B11487" t="n">
        <v>5.39</v>
      </c>
      <c r="C11487" t="n">
        <v>4.91</v>
      </c>
    </row>
    <row r="11488">
      <c r="A11488" s="28" t="n">
        <v>35808</v>
      </c>
      <c r="B11488" t="n">
        <v>5.41</v>
      </c>
      <c r="C11488" t="n">
        <v>5.03</v>
      </c>
    </row>
    <row r="11489">
      <c r="A11489" s="28" t="n">
        <v>35809</v>
      </c>
      <c r="B11489" t="n">
        <v>5.45</v>
      </c>
      <c r="C11489" t="n">
        <v>5.04</v>
      </c>
    </row>
    <row r="11490">
      <c r="A11490" s="28" t="n">
        <v>35810</v>
      </c>
      <c r="B11490" t="n">
        <v>5.48</v>
      </c>
      <c r="C11490" t="n">
        <v>5</v>
      </c>
    </row>
    <row r="11491">
      <c r="A11491" s="28" t="n">
        <v>35811</v>
      </c>
      <c r="B11491" t="n">
        <v>5.54</v>
      </c>
      <c r="C11491" t="n">
        <v>5.02</v>
      </c>
    </row>
    <row r="11492">
      <c r="A11492" s="28" t="n">
        <v>35814</v>
      </c>
      <c r="B11492" t="n">
        <v>0</v>
      </c>
      <c r="C11492" t="n">
        <v>0</v>
      </c>
    </row>
    <row r="11493">
      <c r="A11493" s="28" t="n">
        <v>35815</v>
      </c>
      <c r="B11493" t="n">
        <v>5.57</v>
      </c>
      <c r="C11493" t="n">
        <v>5.02</v>
      </c>
    </row>
    <row r="11494">
      <c r="A11494" s="28" t="n">
        <v>35816</v>
      </c>
      <c r="B11494" t="n">
        <v>5.54</v>
      </c>
      <c r="C11494" t="n">
        <v>5</v>
      </c>
    </row>
    <row r="11495">
      <c r="A11495" s="28" t="n">
        <v>35817</v>
      </c>
      <c r="B11495" t="n">
        <v>5.56</v>
      </c>
      <c r="C11495" t="n">
        <v>5</v>
      </c>
    </row>
    <row r="11496">
      <c r="A11496" s="28" t="n">
        <v>35818</v>
      </c>
      <c r="B11496" t="n">
        <v>5.7</v>
      </c>
      <c r="C11496" t="n">
        <v>5.04</v>
      </c>
    </row>
    <row r="11497">
      <c r="A11497" s="28" t="n">
        <v>35821</v>
      </c>
      <c r="B11497" t="n">
        <v>5.63</v>
      </c>
      <c r="C11497" t="n">
        <v>5.01</v>
      </c>
    </row>
    <row r="11498">
      <c r="A11498" s="28" t="n">
        <v>35822</v>
      </c>
      <c r="B11498" t="n">
        <v>5.7</v>
      </c>
      <c r="C11498" t="n">
        <v>5.1</v>
      </c>
    </row>
    <row r="11499">
      <c r="A11499" s="28" t="n">
        <v>35823</v>
      </c>
      <c r="B11499" t="n">
        <v>5.69</v>
      </c>
      <c r="C11499" t="n">
        <v>5.09</v>
      </c>
    </row>
    <row r="11500">
      <c r="A11500" s="28" t="n">
        <v>35824</v>
      </c>
      <c r="B11500" t="n">
        <v>5.58</v>
      </c>
      <c r="C11500" t="n">
        <v>5.06</v>
      </c>
    </row>
    <row r="11501">
      <c r="A11501" s="28" t="n">
        <v>35825</v>
      </c>
      <c r="B11501" t="n">
        <v>5.53</v>
      </c>
      <c r="C11501" t="n">
        <v>5.06</v>
      </c>
    </row>
    <row r="11502">
      <c r="A11502" s="28" t="n">
        <v>35828</v>
      </c>
      <c r="B11502" t="n">
        <v>5.57</v>
      </c>
      <c r="C11502" t="n">
        <v>5.1</v>
      </c>
    </row>
    <row r="11503">
      <c r="A11503" s="28" t="n">
        <v>35829</v>
      </c>
      <c r="B11503" t="n">
        <v>5.56</v>
      </c>
      <c r="C11503" t="n">
        <v>5.12</v>
      </c>
    </row>
    <row r="11504">
      <c r="A11504" s="28" t="n">
        <v>35830</v>
      </c>
      <c r="B11504" t="n">
        <v>5.57</v>
      </c>
      <c r="C11504" t="n">
        <v>4.98</v>
      </c>
    </row>
    <row r="11505">
      <c r="A11505" s="28" t="n">
        <v>35831</v>
      </c>
      <c r="B11505" t="n">
        <v>5.62</v>
      </c>
      <c r="C11505" t="n">
        <v>5.01</v>
      </c>
    </row>
    <row r="11506">
      <c r="A11506" s="28" t="n">
        <v>35832</v>
      </c>
      <c r="B11506" t="n">
        <v>5.62</v>
      </c>
      <c r="C11506" t="n">
        <v>5.04</v>
      </c>
    </row>
    <row r="11507">
      <c r="A11507" s="28" t="n">
        <v>35835</v>
      </c>
      <c r="B11507" t="n">
        <v>5.65</v>
      </c>
      <c r="C11507" t="n">
        <v>5.01</v>
      </c>
    </row>
    <row r="11508">
      <c r="A11508" s="28" t="n">
        <v>35836</v>
      </c>
      <c r="B11508" t="n">
        <v>5.64</v>
      </c>
      <c r="C11508" t="n">
        <v>5.07</v>
      </c>
    </row>
    <row r="11509">
      <c r="A11509" s="28" t="n">
        <v>35837</v>
      </c>
      <c r="B11509" t="n">
        <v>5.53</v>
      </c>
      <c r="C11509" t="n">
        <v>5.08</v>
      </c>
    </row>
    <row r="11510">
      <c r="A11510" s="28" t="n">
        <v>35838</v>
      </c>
      <c r="B11510" t="n">
        <v>5.52</v>
      </c>
      <c r="C11510" t="n">
        <v>5.08</v>
      </c>
    </row>
    <row r="11511">
      <c r="A11511" s="28" t="n">
        <v>35839</v>
      </c>
      <c r="B11511" t="n">
        <v>5.49</v>
      </c>
      <c r="C11511" t="n">
        <v>5.09</v>
      </c>
    </row>
    <row r="11512">
      <c r="A11512" s="28" t="n">
        <v>35842</v>
      </c>
      <c r="B11512" t="n">
        <v>0</v>
      </c>
      <c r="C11512" t="n">
        <v>0</v>
      </c>
    </row>
    <row r="11513">
      <c r="A11513" s="28" t="n">
        <v>35843</v>
      </c>
      <c r="B11513" t="n">
        <v>5.44</v>
      </c>
      <c r="C11513" t="n">
        <v>5.04</v>
      </c>
    </row>
    <row r="11514">
      <c r="A11514" s="28" t="n">
        <v>35844</v>
      </c>
      <c r="B11514" t="n">
        <v>5.49</v>
      </c>
      <c r="C11514" t="n">
        <v>5.06</v>
      </c>
    </row>
    <row r="11515">
      <c r="A11515" s="28" t="n">
        <v>35845</v>
      </c>
      <c r="B11515" t="n">
        <v>5.51</v>
      </c>
      <c r="C11515" t="n">
        <v>5.07</v>
      </c>
    </row>
    <row r="11516">
      <c r="A11516" s="28" t="n">
        <v>35846</v>
      </c>
      <c r="B11516" t="n">
        <v>5.54</v>
      </c>
      <c r="C11516" t="n">
        <v>5.08</v>
      </c>
    </row>
    <row r="11517">
      <c r="A11517" s="28" t="n">
        <v>35849</v>
      </c>
      <c r="B11517" t="n">
        <v>5.58</v>
      </c>
      <c r="C11517" t="n">
        <v>5.12</v>
      </c>
    </row>
    <row r="11518">
      <c r="A11518" s="28" t="n">
        <v>35850</v>
      </c>
      <c r="B11518" t="n">
        <v>5.69</v>
      </c>
      <c r="C11518" t="n">
        <v>5.13</v>
      </c>
    </row>
    <row r="11519">
      <c r="A11519" s="28" t="n">
        <v>35851</v>
      </c>
      <c r="B11519" t="n">
        <v>5.63</v>
      </c>
      <c r="C11519" t="n">
        <v>5.17</v>
      </c>
    </row>
    <row r="11520">
      <c r="A11520" s="28" t="n">
        <v>35852</v>
      </c>
      <c r="B11520" t="n">
        <v>5.65</v>
      </c>
      <c r="C11520" t="n">
        <v>5.2</v>
      </c>
    </row>
    <row r="11521">
      <c r="A11521" s="28" t="n">
        <v>35853</v>
      </c>
      <c r="B11521" t="n">
        <v>5.62</v>
      </c>
      <c r="C11521" t="n">
        <v>5.18</v>
      </c>
    </row>
    <row r="11522">
      <c r="A11522" s="28" t="n">
        <v>35856</v>
      </c>
      <c r="B11522" t="n">
        <v>5.72</v>
      </c>
      <c r="C11522" t="n">
        <v>5.18</v>
      </c>
    </row>
    <row r="11523">
      <c r="A11523" s="28" t="n">
        <v>35857</v>
      </c>
      <c r="B11523" t="n">
        <v>5.77</v>
      </c>
      <c r="C11523" t="n">
        <v>5.09</v>
      </c>
    </row>
    <row r="11524">
      <c r="A11524" s="28" t="n">
        <v>35858</v>
      </c>
      <c r="B11524" t="n">
        <v>5.76</v>
      </c>
      <c r="C11524" t="n">
        <v>5.05</v>
      </c>
    </row>
    <row r="11525">
      <c r="A11525" s="28" t="n">
        <v>35859</v>
      </c>
      <c r="B11525" t="n">
        <v>5.78</v>
      </c>
      <c r="C11525" t="n">
        <v>5.04</v>
      </c>
    </row>
    <row r="11526">
      <c r="A11526" s="28" t="n">
        <v>35860</v>
      </c>
      <c r="B11526" t="n">
        <v>5.73</v>
      </c>
      <c r="C11526" t="n">
        <v>5.02</v>
      </c>
    </row>
    <row r="11527">
      <c r="A11527" s="28" t="n">
        <v>35863</v>
      </c>
      <c r="B11527" t="n">
        <v>5.67</v>
      </c>
      <c r="C11527" t="n">
        <v>5.03</v>
      </c>
    </row>
    <row r="11528">
      <c r="A11528" s="28" t="n">
        <v>35864</v>
      </c>
      <c r="B11528" t="n">
        <v>5.67</v>
      </c>
      <c r="C11528" t="n">
        <v>4.96</v>
      </c>
    </row>
    <row r="11529">
      <c r="A11529" s="28" t="n">
        <v>35865</v>
      </c>
      <c r="B11529" t="n">
        <v>5.63</v>
      </c>
      <c r="C11529" t="n">
        <v>4.96</v>
      </c>
    </row>
    <row r="11530">
      <c r="A11530" s="28" t="n">
        <v>35866</v>
      </c>
      <c r="B11530" t="n">
        <v>5.56</v>
      </c>
      <c r="C11530" t="n">
        <v>4.95</v>
      </c>
    </row>
    <row r="11531">
      <c r="A11531" s="28" t="n">
        <v>35867</v>
      </c>
      <c r="B11531" t="n">
        <v>5.58</v>
      </c>
      <c r="C11531" t="n">
        <v>4.96</v>
      </c>
    </row>
    <row r="11532">
      <c r="A11532" s="28" t="n">
        <v>35870</v>
      </c>
      <c r="B11532" t="n">
        <v>5.54</v>
      </c>
      <c r="C11532" t="n">
        <v>4.97</v>
      </c>
    </row>
    <row r="11533">
      <c r="A11533" s="28" t="n">
        <v>35871</v>
      </c>
      <c r="B11533" t="n">
        <v>5.56</v>
      </c>
      <c r="C11533" t="n">
        <v>5.01</v>
      </c>
    </row>
    <row r="11534">
      <c r="A11534" s="28" t="n">
        <v>35872</v>
      </c>
      <c r="B11534" t="n">
        <v>5.58</v>
      </c>
      <c r="C11534" t="n">
        <v>5.03</v>
      </c>
    </row>
    <row r="11535">
      <c r="A11535" s="28" t="n">
        <v>35873</v>
      </c>
      <c r="B11535" t="n">
        <v>5.58</v>
      </c>
      <c r="C11535" t="n">
        <v>5.04</v>
      </c>
    </row>
    <row r="11536">
      <c r="A11536" s="28" t="n">
        <v>35874</v>
      </c>
      <c r="B11536" t="n">
        <v>5.57</v>
      </c>
      <c r="C11536" t="n">
        <v>5.05</v>
      </c>
    </row>
    <row r="11537">
      <c r="A11537" s="28" t="n">
        <v>35877</v>
      </c>
      <c r="B11537" t="n">
        <v>5.57</v>
      </c>
      <c r="C11537" t="n">
        <v>5.02</v>
      </c>
    </row>
    <row r="11538">
      <c r="A11538" s="28" t="n">
        <v>35878</v>
      </c>
      <c r="B11538" t="n">
        <v>5.58</v>
      </c>
      <c r="C11538" t="n">
        <v>5.03</v>
      </c>
    </row>
    <row r="11539">
      <c r="A11539" s="28" t="n">
        <v>35879</v>
      </c>
      <c r="B11539" t="n">
        <v>5.64</v>
      </c>
      <c r="C11539" t="n">
        <v>5.04</v>
      </c>
    </row>
    <row r="11540">
      <c r="A11540" s="28" t="n">
        <v>35880</v>
      </c>
      <c r="B11540" t="n">
        <v>5.68</v>
      </c>
      <c r="C11540" t="n">
        <v>5.08</v>
      </c>
    </row>
    <row r="11541">
      <c r="A11541" s="28" t="n">
        <v>35881</v>
      </c>
      <c r="B11541" t="n">
        <v>5.68</v>
      </c>
      <c r="C11541" t="n">
        <v>5.08</v>
      </c>
    </row>
    <row r="11542">
      <c r="A11542" s="28" t="n">
        <v>35884</v>
      </c>
      <c r="B11542" t="n">
        <v>5.72</v>
      </c>
      <c r="C11542" t="n">
        <v>5.09</v>
      </c>
    </row>
    <row r="11543">
      <c r="A11543" s="28" t="n">
        <v>35885</v>
      </c>
      <c r="B11543" t="n">
        <v>5.67</v>
      </c>
      <c r="C11543" t="n">
        <v>5.02</v>
      </c>
    </row>
    <row r="11544">
      <c r="A11544" s="28" t="n">
        <v>35886</v>
      </c>
      <c r="B11544" t="n">
        <v>5.62</v>
      </c>
      <c r="C11544" t="n">
        <v>4.99</v>
      </c>
    </row>
    <row r="11545">
      <c r="A11545" s="28" t="n">
        <v>35887</v>
      </c>
      <c r="B11545" t="n">
        <v>5.56</v>
      </c>
      <c r="C11545" t="n">
        <v>4.97</v>
      </c>
    </row>
    <row r="11546">
      <c r="A11546" s="28" t="n">
        <v>35888</v>
      </c>
      <c r="B11546" t="n">
        <v>5.47</v>
      </c>
      <c r="C11546" t="n">
        <v>4.95</v>
      </c>
    </row>
    <row r="11547">
      <c r="A11547" s="28" t="n">
        <v>35891</v>
      </c>
      <c r="B11547" t="n">
        <v>5.51</v>
      </c>
      <c r="C11547" t="n">
        <v>4.97</v>
      </c>
    </row>
    <row r="11548">
      <c r="A11548" s="28" t="n">
        <v>35892</v>
      </c>
      <c r="B11548" t="n">
        <v>5.53</v>
      </c>
      <c r="C11548" t="n">
        <v>4.94</v>
      </c>
    </row>
    <row r="11549">
      <c r="A11549" s="28" t="n">
        <v>35893</v>
      </c>
      <c r="B11549" t="n">
        <v>5.58</v>
      </c>
      <c r="C11549" t="n">
        <v>4.93</v>
      </c>
    </row>
    <row r="11550">
      <c r="A11550" s="28" t="n">
        <v>35894</v>
      </c>
      <c r="B11550" t="n">
        <v>5.59</v>
      </c>
      <c r="C11550" t="n">
        <v>4.94</v>
      </c>
    </row>
    <row r="11551">
      <c r="A11551" s="28" t="n">
        <v>35895</v>
      </c>
      <c r="B11551" t="n">
        <v>0</v>
      </c>
      <c r="C11551" t="n">
        <v>0</v>
      </c>
    </row>
    <row r="11552">
      <c r="A11552" s="28" t="n">
        <v>35898</v>
      </c>
      <c r="B11552" t="n">
        <v>5.66</v>
      </c>
      <c r="C11552" t="n">
        <v>5.05</v>
      </c>
    </row>
    <row r="11553">
      <c r="A11553" s="28" t="n">
        <v>35899</v>
      </c>
      <c r="B11553" t="n">
        <v>5.63</v>
      </c>
      <c r="C11553" t="n">
        <v>5.02</v>
      </c>
    </row>
    <row r="11554">
      <c r="A11554" s="28" t="n">
        <v>35900</v>
      </c>
      <c r="B11554" t="n">
        <v>5.6</v>
      </c>
      <c r="C11554" t="n">
        <v>4.95</v>
      </c>
    </row>
    <row r="11555">
      <c r="A11555" s="28" t="n">
        <v>35901</v>
      </c>
      <c r="B11555" t="n">
        <v>5.59</v>
      </c>
      <c r="C11555" t="n">
        <v>4.91</v>
      </c>
    </row>
    <row r="11556">
      <c r="A11556" s="28" t="n">
        <v>35902</v>
      </c>
      <c r="B11556" t="n">
        <v>5.59</v>
      </c>
      <c r="C11556" t="n">
        <v>4.92</v>
      </c>
    </row>
    <row r="11557">
      <c r="A11557" s="28" t="n">
        <v>35905</v>
      </c>
      <c r="B11557" t="n">
        <v>5.65</v>
      </c>
      <c r="C11557" t="n">
        <v>4.91</v>
      </c>
    </row>
    <row r="11558">
      <c r="A11558" s="28" t="n">
        <v>35906</v>
      </c>
      <c r="B11558" t="n">
        <v>5.68</v>
      </c>
      <c r="C11558" t="n">
        <v>4.94</v>
      </c>
    </row>
    <row r="11559">
      <c r="A11559" s="28" t="n">
        <v>35907</v>
      </c>
      <c r="B11559" t="n">
        <v>5.68</v>
      </c>
      <c r="C11559" t="n">
        <v>4.96</v>
      </c>
    </row>
    <row r="11560">
      <c r="A11560" s="28" t="n">
        <v>35908</v>
      </c>
      <c r="B11560" t="n">
        <v>5.69</v>
      </c>
      <c r="C11560" t="n">
        <v>4.96</v>
      </c>
    </row>
    <row r="11561">
      <c r="A11561" s="28" t="n">
        <v>35909</v>
      </c>
      <c r="B11561" t="n">
        <v>5.67</v>
      </c>
      <c r="C11561" t="n">
        <v>4.95</v>
      </c>
    </row>
    <row r="11562">
      <c r="A11562" s="28" t="n">
        <v>35912</v>
      </c>
      <c r="B11562" t="n">
        <v>5.8</v>
      </c>
      <c r="C11562" t="n">
        <v>4.94</v>
      </c>
    </row>
    <row r="11563">
      <c r="A11563" s="28" t="n">
        <v>35913</v>
      </c>
      <c r="B11563" t="n">
        <v>5.8</v>
      </c>
      <c r="C11563" t="n">
        <v>4.93</v>
      </c>
    </row>
    <row r="11564">
      <c r="A11564" s="28" t="n">
        <v>35914</v>
      </c>
      <c r="B11564" t="n">
        <v>5.81</v>
      </c>
      <c r="C11564" t="n">
        <v>4.94</v>
      </c>
    </row>
    <row r="11565">
      <c r="A11565" s="28" t="n">
        <v>35915</v>
      </c>
      <c r="B11565" t="n">
        <v>5.68</v>
      </c>
      <c r="C11565" t="n">
        <v>4.87</v>
      </c>
    </row>
    <row r="11566">
      <c r="A11566" s="28" t="n">
        <v>35916</v>
      </c>
      <c r="B11566" t="n">
        <v>5.67</v>
      </c>
      <c r="C11566" t="n">
        <v>4.89</v>
      </c>
    </row>
    <row r="11567">
      <c r="A11567" s="28" t="n">
        <v>35919</v>
      </c>
      <c r="B11567" t="n">
        <v>5.67</v>
      </c>
      <c r="C11567" t="n">
        <v>4.91</v>
      </c>
    </row>
    <row r="11568">
      <c r="A11568" s="28" t="n">
        <v>35920</v>
      </c>
      <c r="B11568" t="n">
        <v>5.7</v>
      </c>
      <c r="C11568" t="n">
        <v>4.98</v>
      </c>
    </row>
    <row r="11569">
      <c r="A11569" s="28" t="n">
        <v>35921</v>
      </c>
      <c r="B11569" t="n">
        <v>5.67</v>
      </c>
      <c r="C11569" t="n">
        <v>4.98</v>
      </c>
    </row>
    <row r="11570">
      <c r="A11570" s="28" t="n">
        <v>35922</v>
      </c>
      <c r="B11570" t="n">
        <v>5.67</v>
      </c>
      <c r="C11570" t="n">
        <v>4.98</v>
      </c>
    </row>
    <row r="11571">
      <c r="A11571" s="28" t="n">
        <v>35923</v>
      </c>
      <c r="B11571" t="n">
        <v>5.71</v>
      </c>
      <c r="C11571" t="n">
        <v>5</v>
      </c>
    </row>
    <row r="11572">
      <c r="A11572" s="28" t="n">
        <v>35926</v>
      </c>
      <c r="B11572" t="n">
        <v>5.79</v>
      </c>
      <c r="C11572" t="n">
        <v>5</v>
      </c>
    </row>
    <row r="11573">
      <c r="A11573" s="28" t="n">
        <v>35927</v>
      </c>
      <c r="B11573" t="n">
        <v>5.7</v>
      </c>
      <c r="C11573" t="n">
        <v>4.99</v>
      </c>
    </row>
    <row r="11574">
      <c r="A11574" s="28" t="n">
        <v>35928</v>
      </c>
      <c r="B11574" t="n">
        <v>5.64</v>
      </c>
      <c r="C11574" t="n">
        <v>4.99</v>
      </c>
    </row>
    <row r="11575">
      <c r="A11575" s="28" t="n">
        <v>35929</v>
      </c>
      <c r="B11575" t="n">
        <v>5.67</v>
      </c>
      <c r="C11575" t="n">
        <v>5.04</v>
      </c>
    </row>
    <row r="11576">
      <c r="A11576" s="28" t="n">
        <v>35930</v>
      </c>
      <c r="B11576" t="n">
        <v>5.68</v>
      </c>
      <c r="C11576" t="n">
        <v>5.04</v>
      </c>
    </row>
    <row r="11577">
      <c r="A11577" s="28" t="n">
        <v>35933</v>
      </c>
      <c r="B11577" t="n">
        <v>5.64</v>
      </c>
      <c r="C11577" t="n">
        <v>5.05</v>
      </c>
    </row>
    <row r="11578">
      <c r="A11578" s="28" t="n">
        <v>35934</v>
      </c>
      <c r="B11578" t="n">
        <v>5.65</v>
      </c>
      <c r="C11578" t="n">
        <v>5.09</v>
      </c>
    </row>
    <row r="11579">
      <c r="A11579" s="28" t="n">
        <v>35935</v>
      </c>
      <c r="B11579" t="n">
        <v>5.61</v>
      </c>
      <c r="C11579" t="n">
        <v>5.07</v>
      </c>
    </row>
    <row r="11580">
      <c r="A11580" s="28" t="n">
        <v>35936</v>
      </c>
      <c r="B11580" t="n">
        <v>5.65</v>
      </c>
      <c r="C11580" t="n">
        <v>5.1</v>
      </c>
    </row>
    <row r="11581">
      <c r="A11581" s="28" t="n">
        <v>35937</v>
      </c>
      <c r="B11581" t="n">
        <v>5.64</v>
      </c>
      <c r="C11581" t="n">
        <v>5.08</v>
      </c>
    </row>
    <row r="11582">
      <c r="A11582" s="28" t="n">
        <v>35940</v>
      </c>
      <c r="B11582" t="n">
        <v>0</v>
      </c>
      <c r="C11582" t="n">
        <v>0</v>
      </c>
    </row>
    <row r="11583">
      <c r="A11583" s="28" t="n">
        <v>35941</v>
      </c>
      <c r="B11583" t="n">
        <v>5.59</v>
      </c>
      <c r="C11583" t="n">
        <v>5</v>
      </c>
    </row>
    <row r="11584">
      <c r="A11584" s="28" t="n">
        <v>35942</v>
      </c>
      <c r="B11584" t="n">
        <v>5.56</v>
      </c>
      <c r="C11584" t="n">
        <v>4.96</v>
      </c>
    </row>
    <row r="11585">
      <c r="A11585" s="28" t="n">
        <v>35943</v>
      </c>
      <c r="B11585" t="n">
        <v>5.58</v>
      </c>
      <c r="C11585" t="n">
        <v>4.93</v>
      </c>
    </row>
    <row r="11586">
      <c r="A11586" s="28" t="n">
        <v>35944</v>
      </c>
      <c r="B11586" t="n">
        <v>5.56</v>
      </c>
      <c r="C11586" t="n">
        <v>4.89</v>
      </c>
    </row>
    <row r="11587">
      <c r="A11587" s="28" t="n">
        <v>35947</v>
      </c>
      <c r="B11587" t="n">
        <v>5.53</v>
      </c>
      <c r="C11587" t="n">
        <v>4.85</v>
      </c>
    </row>
    <row r="11588">
      <c r="A11588" s="28" t="n">
        <v>35948</v>
      </c>
      <c r="B11588" t="n">
        <v>5.56</v>
      </c>
      <c r="C11588" t="n">
        <v>4.95</v>
      </c>
    </row>
    <row r="11589">
      <c r="A11589" s="28" t="n">
        <v>35949</v>
      </c>
      <c r="B11589" t="n">
        <v>5.57</v>
      </c>
      <c r="C11589" t="n">
        <v>5</v>
      </c>
    </row>
    <row r="11590">
      <c r="A11590" s="28" t="n">
        <v>35950</v>
      </c>
      <c r="B11590" t="n">
        <v>5.59</v>
      </c>
      <c r="C11590" t="n">
        <v>4.98</v>
      </c>
    </row>
    <row r="11591">
      <c r="A11591" s="28" t="n">
        <v>35951</v>
      </c>
      <c r="B11591" t="n">
        <v>5.58</v>
      </c>
      <c r="C11591" t="n">
        <v>4.98</v>
      </c>
    </row>
    <row r="11592">
      <c r="A11592" s="28" t="n">
        <v>35954</v>
      </c>
      <c r="B11592" t="n">
        <v>5.58</v>
      </c>
      <c r="C11592" t="n">
        <v>5</v>
      </c>
    </row>
    <row r="11593">
      <c r="A11593" s="28" t="n">
        <v>35955</v>
      </c>
      <c r="B11593" t="n">
        <v>5.59</v>
      </c>
      <c r="C11593" t="n">
        <v>5.03</v>
      </c>
    </row>
    <row r="11594">
      <c r="A11594" s="28" t="n">
        <v>35956</v>
      </c>
      <c r="B11594" t="n">
        <v>5.51</v>
      </c>
      <c r="C11594" t="n">
        <v>5.01</v>
      </c>
    </row>
    <row r="11595">
      <c r="A11595" s="28" t="n">
        <v>35957</v>
      </c>
      <c r="B11595" t="n">
        <v>5.44</v>
      </c>
      <c r="C11595" t="n">
        <v>4.97</v>
      </c>
    </row>
    <row r="11596">
      <c r="A11596" s="28" t="n">
        <v>35958</v>
      </c>
      <c r="B11596" t="n">
        <v>5.43</v>
      </c>
      <c r="C11596" t="n">
        <v>4.99</v>
      </c>
    </row>
    <row r="11597">
      <c r="A11597" s="28" t="n">
        <v>35961</v>
      </c>
      <c r="B11597" t="n">
        <v>5.38</v>
      </c>
      <c r="C11597" t="n">
        <v>4.98</v>
      </c>
    </row>
    <row r="11598">
      <c r="A11598" s="28" t="n">
        <v>35962</v>
      </c>
      <c r="B11598" t="n">
        <v>5.45</v>
      </c>
      <c r="C11598" t="n">
        <v>5.06</v>
      </c>
    </row>
    <row r="11599">
      <c r="A11599" s="28" t="n">
        <v>35963</v>
      </c>
      <c r="B11599" t="n">
        <v>5.54</v>
      </c>
      <c r="C11599" t="n">
        <v>5.09</v>
      </c>
    </row>
    <row r="11600">
      <c r="A11600" s="28" t="n">
        <v>35964</v>
      </c>
      <c r="B11600" t="n">
        <v>5.5</v>
      </c>
      <c r="C11600" t="n">
        <v>5.05</v>
      </c>
    </row>
    <row r="11601">
      <c r="A11601" s="28" t="n">
        <v>35965</v>
      </c>
      <c r="B11601" t="n">
        <v>5.47</v>
      </c>
      <c r="C11601" t="n">
        <v>5.03</v>
      </c>
    </row>
    <row r="11602">
      <c r="A11602" s="28" t="n">
        <v>35968</v>
      </c>
      <c r="B11602" t="n">
        <v>5.46</v>
      </c>
      <c r="C11602" t="n">
        <v>4.99</v>
      </c>
    </row>
    <row r="11603">
      <c r="A11603" s="28" t="n">
        <v>35969</v>
      </c>
      <c r="B11603" t="n">
        <v>5.45</v>
      </c>
      <c r="C11603" t="n">
        <v>4.97</v>
      </c>
    </row>
    <row r="11604">
      <c r="A11604" s="28" t="n">
        <v>35970</v>
      </c>
      <c r="B11604" t="n">
        <v>5.46</v>
      </c>
      <c r="C11604" t="n">
        <v>4.91</v>
      </c>
    </row>
    <row r="11605">
      <c r="A11605" s="28" t="n">
        <v>35971</v>
      </c>
      <c r="B11605" t="n">
        <v>5.46</v>
      </c>
      <c r="C11605" t="n">
        <v>4.89</v>
      </c>
    </row>
    <row r="11606">
      <c r="A11606" s="28" t="n">
        <v>35972</v>
      </c>
      <c r="B11606" t="n">
        <v>5.46</v>
      </c>
      <c r="C11606" t="n">
        <v>4.87</v>
      </c>
    </row>
    <row r="11607">
      <c r="A11607" s="28" t="n">
        <v>35975</v>
      </c>
      <c r="B11607" t="n">
        <v>5.47</v>
      </c>
      <c r="C11607" t="n">
        <v>4.89</v>
      </c>
    </row>
    <row r="11608">
      <c r="A11608" s="28" t="n">
        <v>35976</v>
      </c>
      <c r="B11608" t="n">
        <v>5.44</v>
      </c>
      <c r="C11608" t="n">
        <v>4.97</v>
      </c>
    </row>
    <row r="11609">
      <c r="A11609" s="28" t="n">
        <v>35977</v>
      </c>
      <c r="B11609" t="n">
        <v>5.44</v>
      </c>
      <c r="C11609" t="n">
        <v>4.96</v>
      </c>
    </row>
    <row r="11610">
      <c r="A11610" s="28" t="n">
        <v>35978</v>
      </c>
      <c r="B11610" t="n">
        <v>5.42</v>
      </c>
      <c r="C11610" t="n">
        <v>4.94</v>
      </c>
    </row>
    <row r="11611">
      <c r="A11611" s="28" t="n">
        <v>35979</v>
      </c>
      <c r="B11611" t="n">
        <v>0</v>
      </c>
      <c r="C11611" t="n">
        <v>0</v>
      </c>
    </row>
    <row r="11612">
      <c r="A11612" s="28" t="n">
        <v>35982</v>
      </c>
      <c r="B11612" t="n">
        <v>5.39</v>
      </c>
      <c r="C11612" t="n">
        <v>4.93</v>
      </c>
    </row>
    <row r="11613">
      <c r="A11613" s="28" t="n">
        <v>35983</v>
      </c>
      <c r="B11613" t="n">
        <v>5.42</v>
      </c>
      <c r="C11613" t="n">
        <v>4.95</v>
      </c>
    </row>
    <row r="11614">
      <c r="A11614" s="28" t="n">
        <v>35984</v>
      </c>
      <c r="B11614" t="n">
        <v>5.43</v>
      </c>
      <c r="C11614" t="n">
        <v>4.96</v>
      </c>
    </row>
    <row r="11615">
      <c r="A11615" s="28" t="n">
        <v>35985</v>
      </c>
      <c r="B11615" t="n">
        <v>5.41</v>
      </c>
      <c r="C11615" t="n">
        <v>4.94</v>
      </c>
    </row>
    <row r="11616">
      <c r="A11616" s="28" t="n">
        <v>35986</v>
      </c>
      <c r="B11616" t="n">
        <v>5.42</v>
      </c>
      <c r="C11616" t="n">
        <v>4.93</v>
      </c>
    </row>
    <row r="11617">
      <c r="A11617" s="28" t="n">
        <v>35989</v>
      </c>
      <c r="B11617" t="n">
        <v>5.46</v>
      </c>
      <c r="C11617" t="n">
        <v>4.96</v>
      </c>
    </row>
    <row r="11618">
      <c r="A11618" s="28" t="n">
        <v>35990</v>
      </c>
      <c r="B11618" t="n">
        <v>5.49</v>
      </c>
      <c r="C11618" t="n">
        <v>5.02</v>
      </c>
    </row>
    <row r="11619">
      <c r="A11619" s="28" t="n">
        <v>35991</v>
      </c>
      <c r="B11619" t="n">
        <v>5.48</v>
      </c>
      <c r="C11619" t="n">
        <v>5.01</v>
      </c>
    </row>
    <row r="11620">
      <c r="A11620" s="28" t="n">
        <v>35992</v>
      </c>
      <c r="B11620" t="n">
        <v>5.5</v>
      </c>
      <c r="C11620" t="n">
        <v>5.03</v>
      </c>
    </row>
    <row r="11621">
      <c r="A11621" s="28" t="n">
        <v>35993</v>
      </c>
      <c r="B11621" t="n">
        <v>5.51</v>
      </c>
      <c r="C11621" t="n">
        <v>5.01</v>
      </c>
    </row>
    <row r="11622">
      <c r="A11622" s="28" t="n">
        <v>35996</v>
      </c>
      <c r="B11622" t="n">
        <v>5.48</v>
      </c>
      <c r="C11622" t="n">
        <v>5</v>
      </c>
    </row>
    <row r="11623">
      <c r="A11623" s="28" t="n">
        <v>35997</v>
      </c>
      <c r="B11623" t="n">
        <v>5.45</v>
      </c>
      <c r="C11623" t="n">
        <v>4.96</v>
      </c>
    </row>
    <row r="11624">
      <c r="A11624" s="28" t="n">
        <v>35998</v>
      </c>
      <c r="B11624" t="n">
        <v>5.46</v>
      </c>
      <c r="C11624" t="n">
        <v>4.94</v>
      </c>
    </row>
    <row r="11625">
      <c r="A11625" s="28" t="n">
        <v>35999</v>
      </c>
      <c r="B11625" t="n">
        <v>5.45</v>
      </c>
      <c r="C11625" t="n">
        <v>4.96</v>
      </c>
    </row>
    <row r="11626">
      <c r="A11626" s="28" t="n">
        <v>36000</v>
      </c>
      <c r="B11626" t="n">
        <v>5.45</v>
      </c>
      <c r="C11626" t="n">
        <v>4.95</v>
      </c>
    </row>
    <row r="11627">
      <c r="A11627" s="28" t="n">
        <v>36003</v>
      </c>
      <c r="B11627" t="n">
        <v>5.47</v>
      </c>
      <c r="C11627" t="n">
        <v>4.96</v>
      </c>
    </row>
    <row r="11628">
      <c r="A11628" s="28" t="n">
        <v>36004</v>
      </c>
      <c r="B11628" t="n">
        <v>5.5</v>
      </c>
      <c r="C11628" t="n">
        <v>4.94</v>
      </c>
    </row>
    <row r="11629">
      <c r="A11629" s="28" t="n">
        <v>36005</v>
      </c>
      <c r="B11629" t="n">
        <v>5.52</v>
      </c>
      <c r="C11629" t="n">
        <v>4.94</v>
      </c>
    </row>
    <row r="11630">
      <c r="A11630" s="28" t="n">
        <v>36006</v>
      </c>
      <c r="B11630" t="n">
        <v>5.5</v>
      </c>
      <c r="C11630" t="n">
        <v>4.94</v>
      </c>
    </row>
    <row r="11631">
      <c r="A11631" s="28" t="n">
        <v>36007</v>
      </c>
      <c r="B11631" t="n">
        <v>5.5</v>
      </c>
      <c r="C11631" t="n">
        <v>4.97</v>
      </c>
    </row>
    <row r="11632">
      <c r="A11632" s="28" t="n">
        <v>36010</v>
      </c>
      <c r="B11632" t="n">
        <v>5.46</v>
      </c>
      <c r="C11632" t="n">
        <v>4.98</v>
      </c>
    </row>
    <row r="11633">
      <c r="A11633" s="28" t="n">
        <v>36011</v>
      </c>
      <c r="B11633" t="n">
        <v>5.43</v>
      </c>
      <c r="C11633" t="n">
        <v>4.97</v>
      </c>
    </row>
    <row r="11634">
      <c r="A11634" s="28" t="n">
        <v>36012</v>
      </c>
      <c r="B11634" t="n">
        <v>5.43</v>
      </c>
      <c r="C11634" t="n">
        <v>4.95</v>
      </c>
    </row>
    <row r="11635">
      <c r="A11635" s="28" t="n">
        <v>36013</v>
      </c>
      <c r="B11635" t="n">
        <v>5.44</v>
      </c>
      <c r="C11635" t="n">
        <v>4.9</v>
      </c>
    </row>
    <row r="11636">
      <c r="A11636" s="28" t="n">
        <v>36014</v>
      </c>
      <c r="B11636" t="n">
        <v>5.4</v>
      </c>
      <c r="C11636" t="n">
        <v>4.86</v>
      </c>
    </row>
    <row r="11637">
      <c r="A11637" s="28" t="n">
        <v>36017</v>
      </c>
      <c r="B11637" t="n">
        <v>5.41</v>
      </c>
      <c r="C11637" t="n">
        <v>4.86</v>
      </c>
    </row>
    <row r="11638">
      <c r="A11638" s="28" t="n">
        <v>36018</v>
      </c>
      <c r="B11638" t="n">
        <v>5.37</v>
      </c>
      <c r="C11638" t="n">
        <v>4.9</v>
      </c>
    </row>
    <row r="11639">
      <c r="A11639" s="28" t="n">
        <v>36019</v>
      </c>
      <c r="B11639" t="n">
        <v>5.4</v>
      </c>
      <c r="C11639" t="n">
        <v>4.89</v>
      </c>
    </row>
    <row r="11640">
      <c r="A11640" s="28" t="n">
        <v>36020</v>
      </c>
      <c r="B11640" t="n">
        <v>5.44</v>
      </c>
      <c r="C11640" t="n">
        <v>4.91</v>
      </c>
    </row>
    <row r="11641">
      <c r="A11641" s="28" t="n">
        <v>36021</v>
      </c>
      <c r="B11641" t="n">
        <v>5.4</v>
      </c>
      <c r="C11641" t="n">
        <v>4.9</v>
      </c>
    </row>
    <row r="11642">
      <c r="A11642" s="28" t="n">
        <v>36024</v>
      </c>
      <c r="B11642" t="n">
        <v>5.4</v>
      </c>
      <c r="C11642" t="n">
        <v>4.93</v>
      </c>
    </row>
    <row r="11643">
      <c r="A11643" s="28" t="n">
        <v>36025</v>
      </c>
      <c r="B11643" t="n">
        <v>5.41</v>
      </c>
      <c r="C11643" t="n">
        <v>4.93</v>
      </c>
    </row>
    <row r="11644">
      <c r="A11644" s="28" t="n">
        <v>36026</v>
      </c>
      <c r="B11644" t="n">
        <v>5.42</v>
      </c>
      <c r="C11644" t="n">
        <v>4.94</v>
      </c>
    </row>
    <row r="11645">
      <c r="A11645" s="28" t="n">
        <v>36027</v>
      </c>
      <c r="B11645" t="n">
        <v>5.38</v>
      </c>
      <c r="C11645" t="n">
        <v>4.91</v>
      </c>
    </row>
    <row r="11646">
      <c r="A11646" s="28" t="n">
        <v>36028</v>
      </c>
      <c r="B11646" t="n">
        <v>5.32</v>
      </c>
      <c r="C11646" t="n">
        <v>4.88</v>
      </c>
    </row>
    <row r="11647">
      <c r="A11647" s="28" t="n">
        <v>36031</v>
      </c>
      <c r="B11647" t="n">
        <v>5.3</v>
      </c>
      <c r="C11647" t="n">
        <v>4.94</v>
      </c>
    </row>
    <row r="11648">
      <c r="A11648" s="28" t="n">
        <v>36032</v>
      </c>
      <c r="B11648" t="n">
        <v>5.25</v>
      </c>
      <c r="C11648" t="n">
        <v>4.96</v>
      </c>
    </row>
    <row r="11649">
      <c r="A11649" s="28" t="n">
        <v>36033</v>
      </c>
      <c r="B11649" t="n">
        <v>5.26</v>
      </c>
      <c r="C11649" t="n">
        <v>4.93</v>
      </c>
    </row>
    <row r="11650">
      <c r="A11650" s="28" t="n">
        <v>36034</v>
      </c>
      <c r="B11650" t="n">
        <v>5.12</v>
      </c>
      <c r="C11650" t="n">
        <v>4.86</v>
      </c>
    </row>
    <row r="11651">
      <c r="A11651" s="28" t="n">
        <v>36035</v>
      </c>
      <c r="B11651" t="n">
        <v>5.09</v>
      </c>
      <c r="C11651" t="n">
        <v>4.78</v>
      </c>
    </row>
    <row r="11652">
      <c r="A11652" s="28" t="n">
        <v>36038</v>
      </c>
      <c r="B11652" t="n">
        <v>5.05</v>
      </c>
      <c r="C11652" t="n">
        <v>4.77</v>
      </c>
    </row>
    <row r="11653">
      <c r="A11653" s="28" t="n">
        <v>36039</v>
      </c>
      <c r="B11653" t="n">
        <v>5.05</v>
      </c>
      <c r="C11653" t="n">
        <v>4.79</v>
      </c>
    </row>
    <row r="11654">
      <c r="A11654" s="28" t="n">
        <v>36040</v>
      </c>
      <c r="B11654" t="n">
        <v>5.1</v>
      </c>
      <c r="C11654" t="n">
        <v>4.78</v>
      </c>
    </row>
    <row r="11655">
      <c r="A11655" s="28" t="n">
        <v>36041</v>
      </c>
      <c r="B11655" t="n">
        <v>5.03</v>
      </c>
      <c r="C11655" t="n">
        <v>4.71</v>
      </c>
    </row>
    <row r="11656">
      <c r="A11656" s="28" t="n">
        <v>36042</v>
      </c>
      <c r="B11656" t="n">
        <v>5.02</v>
      </c>
      <c r="C11656" t="n">
        <v>4.74</v>
      </c>
    </row>
    <row r="11657">
      <c r="A11657" s="28" t="n">
        <v>36045</v>
      </c>
      <c r="B11657" t="n">
        <v>0</v>
      </c>
      <c r="C11657" t="n">
        <v>0</v>
      </c>
    </row>
    <row r="11658">
      <c r="A11658" s="28" t="n">
        <v>36046</v>
      </c>
      <c r="B11658" t="n">
        <v>5.04</v>
      </c>
      <c r="C11658" t="n">
        <v>4.74</v>
      </c>
    </row>
    <row r="11659">
      <c r="A11659" s="28" t="n">
        <v>36047</v>
      </c>
      <c r="B11659" t="n">
        <v>4.95</v>
      </c>
      <c r="C11659" t="n">
        <v>4.76</v>
      </c>
    </row>
    <row r="11660">
      <c r="A11660" s="28" t="n">
        <v>36048</v>
      </c>
      <c r="B11660" t="n">
        <v>4.76</v>
      </c>
      <c r="C11660" t="n">
        <v>4.66</v>
      </c>
    </row>
    <row r="11661">
      <c r="A11661" s="28" t="n">
        <v>36049</v>
      </c>
      <c r="B11661" t="n">
        <v>4.85</v>
      </c>
      <c r="C11661" t="n">
        <v>4.75</v>
      </c>
    </row>
    <row r="11662">
      <c r="A11662" s="28" t="n">
        <v>36052</v>
      </c>
      <c r="B11662" t="n">
        <v>4.87</v>
      </c>
      <c r="C11662" t="n">
        <v>4.72</v>
      </c>
    </row>
    <row r="11663">
      <c r="A11663" s="28" t="n">
        <v>36053</v>
      </c>
      <c r="B11663" t="n">
        <v>4.9</v>
      </c>
      <c r="C11663" t="n">
        <v>4.67</v>
      </c>
    </row>
    <row r="11664">
      <c r="A11664" s="28" t="n">
        <v>36054</v>
      </c>
      <c r="B11664" t="n">
        <v>4.88</v>
      </c>
      <c r="C11664" t="n">
        <v>4.62</v>
      </c>
    </row>
    <row r="11665">
      <c r="A11665" s="28" t="n">
        <v>36055</v>
      </c>
      <c r="B11665" t="n">
        <v>4.8</v>
      </c>
      <c r="C11665" t="n">
        <v>4.58</v>
      </c>
    </row>
    <row r="11666">
      <c r="A11666" s="28" t="n">
        <v>36056</v>
      </c>
      <c r="B11666" t="n">
        <v>4.7</v>
      </c>
      <c r="C11666" t="n">
        <v>4.51</v>
      </c>
    </row>
    <row r="11667">
      <c r="A11667" s="28" t="n">
        <v>36059</v>
      </c>
      <c r="B11667" t="n">
        <v>4.69</v>
      </c>
      <c r="C11667" t="n">
        <v>4.56</v>
      </c>
    </row>
    <row r="11668">
      <c r="A11668" s="28" t="n">
        <v>36060</v>
      </c>
      <c r="B11668" t="n">
        <v>4.73</v>
      </c>
      <c r="C11668" t="n">
        <v>4.69</v>
      </c>
    </row>
    <row r="11669">
      <c r="A11669" s="28" t="n">
        <v>36061</v>
      </c>
      <c r="B11669" t="n">
        <v>4.69</v>
      </c>
      <c r="C11669" t="n">
        <v>4.55</v>
      </c>
    </row>
    <row r="11670">
      <c r="A11670" s="28" t="n">
        <v>36062</v>
      </c>
      <c r="B11670" t="n">
        <v>4.64</v>
      </c>
      <c r="C11670" t="n">
        <v>4.44</v>
      </c>
    </row>
    <row r="11671">
      <c r="A11671" s="28" t="n">
        <v>36063</v>
      </c>
      <c r="B11671" t="n">
        <v>4.6</v>
      </c>
      <c r="C11671" t="n">
        <v>4.41</v>
      </c>
    </row>
    <row r="11672">
      <c r="A11672" s="28" t="n">
        <v>36066</v>
      </c>
      <c r="B11672" t="n">
        <v>4.61</v>
      </c>
      <c r="C11672" t="n">
        <v>4.36</v>
      </c>
    </row>
    <row r="11673">
      <c r="A11673" s="28" t="n">
        <v>36067</v>
      </c>
      <c r="B11673" t="n">
        <v>4.59</v>
      </c>
      <c r="C11673" t="n">
        <v>4.43</v>
      </c>
    </row>
    <row r="11674">
      <c r="A11674" s="28" t="n">
        <v>36068</v>
      </c>
      <c r="B11674" t="n">
        <v>4.44</v>
      </c>
      <c r="C11674" t="n">
        <v>4.26</v>
      </c>
    </row>
    <row r="11675">
      <c r="A11675" s="28" t="n">
        <v>36069</v>
      </c>
      <c r="B11675" t="n">
        <v>4.33</v>
      </c>
      <c r="C11675" t="n">
        <v>4.13</v>
      </c>
    </row>
    <row r="11676">
      <c r="A11676" s="28" t="n">
        <v>36070</v>
      </c>
      <c r="B11676" t="n">
        <v>4.31</v>
      </c>
      <c r="C11676" t="n">
        <v>4.12</v>
      </c>
    </row>
    <row r="11677">
      <c r="A11677" s="28" t="n">
        <v>36073</v>
      </c>
      <c r="B11677" t="n">
        <v>4.16</v>
      </c>
      <c r="C11677" t="n">
        <v>4.06</v>
      </c>
    </row>
    <row r="11678">
      <c r="A11678" s="28" t="n">
        <v>36074</v>
      </c>
      <c r="B11678" t="n">
        <v>4.24</v>
      </c>
      <c r="C11678" t="n">
        <v>4.08</v>
      </c>
    </row>
    <row r="11679">
      <c r="A11679" s="28" t="n">
        <v>36075</v>
      </c>
      <c r="B11679" t="n">
        <v>4.34</v>
      </c>
      <c r="C11679" t="n">
        <v>4.05</v>
      </c>
    </row>
    <row r="11680">
      <c r="A11680" s="28" t="n">
        <v>36076</v>
      </c>
      <c r="B11680" t="n">
        <v>4.56</v>
      </c>
      <c r="C11680" t="n">
        <v>3.8</v>
      </c>
    </row>
    <row r="11681">
      <c r="A11681" s="28" t="n">
        <v>36077</v>
      </c>
      <c r="B11681" t="n">
        <v>4.77</v>
      </c>
      <c r="C11681" t="n">
        <v>3.79</v>
      </c>
    </row>
    <row r="11682">
      <c r="A11682" s="28" t="n">
        <v>36080</v>
      </c>
      <c r="B11682" t="n">
        <v>0</v>
      </c>
      <c r="C11682" t="n">
        <v>0</v>
      </c>
    </row>
    <row r="11683">
      <c r="A11683" s="28" t="n">
        <v>36081</v>
      </c>
      <c r="B11683" t="n">
        <v>4.73</v>
      </c>
      <c r="C11683" t="n">
        <v>3.8</v>
      </c>
    </row>
    <row r="11684">
      <c r="A11684" s="28" t="n">
        <v>36082</v>
      </c>
      <c r="B11684" t="n">
        <v>4.58</v>
      </c>
      <c r="C11684" t="n">
        <v>3.93</v>
      </c>
    </row>
    <row r="11685">
      <c r="A11685" s="28" t="n">
        <v>36083</v>
      </c>
      <c r="B11685" t="n">
        <v>4.58</v>
      </c>
      <c r="C11685" t="n">
        <v>4.05</v>
      </c>
    </row>
    <row r="11686">
      <c r="A11686" s="28" t="n">
        <v>36084</v>
      </c>
      <c r="B11686" t="n">
        <v>4.44</v>
      </c>
      <c r="C11686" t="n">
        <v>3.56</v>
      </c>
    </row>
    <row r="11687">
      <c r="A11687" s="28" t="n">
        <v>36087</v>
      </c>
      <c r="B11687" t="n">
        <v>4.47</v>
      </c>
      <c r="C11687" t="n">
        <v>3.71</v>
      </c>
    </row>
    <row r="11688">
      <c r="A11688" s="28" t="n">
        <v>36088</v>
      </c>
      <c r="B11688" t="n">
        <v>4.57</v>
      </c>
      <c r="C11688" t="n">
        <v>3.86</v>
      </c>
    </row>
    <row r="11689">
      <c r="A11689" s="28" t="n">
        <v>36089</v>
      </c>
      <c r="B11689" t="n">
        <v>4.59</v>
      </c>
      <c r="C11689" t="n">
        <v>3.91</v>
      </c>
    </row>
    <row r="11690">
      <c r="A11690" s="28" t="n">
        <v>36090</v>
      </c>
      <c r="B11690" t="n">
        <v>4.62</v>
      </c>
      <c r="C11690" t="n">
        <v>3.88</v>
      </c>
    </row>
    <row r="11691">
      <c r="A11691" s="28" t="n">
        <v>36091</v>
      </c>
      <c r="B11691" t="n">
        <v>4.7</v>
      </c>
      <c r="C11691" t="n">
        <v>3.87</v>
      </c>
    </row>
    <row r="11692">
      <c r="A11692" s="28" t="n">
        <v>36094</v>
      </c>
      <c r="B11692" t="n">
        <v>4.73</v>
      </c>
      <c r="C11692" t="n">
        <v>4</v>
      </c>
    </row>
    <row r="11693">
      <c r="A11693" s="28" t="n">
        <v>36095</v>
      </c>
      <c r="B11693" t="n">
        <v>4.63</v>
      </c>
      <c r="C11693" t="n">
        <v>3.96</v>
      </c>
    </row>
    <row r="11694">
      <c r="A11694" s="28" t="n">
        <v>36096</v>
      </c>
      <c r="B11694" t="n">
        <v>4.6</v>
      </c>
      <c r="C11694" t="n">
        <v>4.18</v>
      </c>
    </row>
    <row r="11695">
      <c r="A11695" s="28" t="n">
        <v>36097</v>
      </c>
      <c r="B11695" t="n">
        <v>4.54</v>
      </c>
      <c r="C11695" t="n">
        <v>4.22</v>
      </c>
    </row>
    <row r="11696">
      <c r="A11696" s="28" t="n">
        <v>36098</v>
      </c>
      <c r="B11696" t="n">
        <v>4.64</v>
      </c>
      <c r="C11696" t="n">
        <v>4.23</v>
      </c>
    </row>
    <row r="11697">
      <c r="A11697" s="28" t="n">
        <v>36101</v>
      </c>
      <c r="B11697" t="n">
        <v>4.77</v>
      </c>
      <c r="C11697" t="n">
        <v>4.31</v>
      </c>
    </row>
    <row r="11698">
      <c r="A11698" s="28" t="n">
        <v>36102</v>
      </c>
      <c r="B11698" t="n">
        <v>4.78</v>
      </c>
      <c r="C11698" t="n">
        <v>4.39</v>
      </c>
    </row>
    <row r="11699">
      <c r="A11699" s="28" t="n">
        <v>36103</v>
      </c>
      <c r="B11699" t="n">
        <v>4.83</v>
      </c>
      <c r="C11699" t="n">
        <v>4.45</v>
      </c>
    </row>
    <row r="11700">
      <c r="A11700" s="28" t="n">
        <v>36104</v>
      </c>
      <c r="B11700" t="n">
        <v>4.82</v>
      </c>
      <c r="C11700" t="n">
        <v>4.47</v>
      </c>
    </row>
    <row r="11701">
      <c r="A11701" s="28" t="n">
        <v>36105</v>
      </c>
      <c r="B11701" t="n">
        <v>4.93</v>
      </c>
      <c r="C11701" t="n">
        <v>4.52</v>
      </c>
    </row>
    <row r="11702">
      <c r="A11702" s="28" t="n">
        <v>36108</v>
      </c>
      <c r="B11702" t="n">
        <v>4.88</v>
      </c>
      <c r="C11702" t="n">
        <v>4.52</v>
      </c>
    </row>
    <row r="11703">
      <c r="A11703" s="28" t="n">
        <v>36109</v>
      </c>
      <c r="B11703" t="n">
        <v>4.81</v>
      </c>
      <c r="C11703" t="n">
        <v>4.43</v>
      </c>
    </row>
    <row r="11704">
      <c r="A11704" s="28" t="n">
        <v>36110</v>
      </c>
      <c r="B11704" t="n">
        <v>0</v>
      </c>
      <c r="C11704" t="n">
        <v>0</v>
      </c>
    </row>
    <row r="11705">
      <c r="A11705" s="28" t="n">
        <v>36111</v>
      </c>
      <c r="B11705" t="n">
        <v>4.77</v>
      </c>
      <c r="C11705" t="n">
        <v>4.37</v>
      </c>
    </row>
    <row r="11706">
      <c r="A11706" s="28" t="n">
        <v>36112</v>
      </c>
      <c r="B11706" t="n">
        <v>4.82</v>
      </c>
      <c r="C11706" t="n">
        <v>4.36</v>
      </c>
    </row>
    <row r="11707">
      <c r="A11707" s="28" t="n">
        <v>36115</v>
      </c>
      <c r="B11707" t="n">
        <v>4.85</v>
      </c>
      <c r="C11707" t="n">
        <v>4.41</v>
      </c>
    </row>
    <row r="11708">
      <c r="A11708" s="28" t="n">
        <v>36116</v>
      </c>
      <c r="B11708" t="n">
        <v>4.87</v>
      </c>
      <c r="C11708" t="n">
        <v>4.31</v>
      </c>
    </row>
    <row r="11709">
      <c r="A11709" s="28" t="n">
        <v>36117</v>
      </c>
      <c r="B11709" t="n">
        <v>4.85</v>
      </c>
      <c r="C11709" t="n">
        <v>4.33</v>
      </c>
    </row>
    <row r="11710">
      <c r="A11710" s="28" t="n">
        <v>36118</v>
      </c>
      <c r="B11710" t="n">
        <v>4.85</v>
      </c>
      <c r="C11710" t="n">
        <v>4.35</v>
      </c>
    </row>
    <row r="11711">
      <c r="A11711" s="28" t="n">
        <v>36119</v>
      </c>
      <c r="B11711" t="n">
        <v>4.82</v>
      </c>
      <c r="C11711" t="n">
        <v>4.35</v>
      </c>
    </row>
    <row r="11712">
      <c r="A11712" s="28" t="n">
        <v>36122</v>
      </c>
      <c r="B11712" t="n">
        <v>4.84</v>
      </c>
      <c r="C11712" t="n">
        <v>4.48</v>
      </c>
    </row>
    <row r="11713">
      <c r="A11713" s="28" t="n">
        <v>36123</v>
      </c>
      <c r="B11713" t="n">
        <v>4.85</v>
      </c>
      <c r="C11713" t="n">
        <v>4.51</v>
      </c>
    </row>
    <row r="11714">
      <c r="A11714" s="28" t="n">
        <v>36124</v>
      </c>
      <c r="B11714" t="n">
        <v>4.83</v>
      </c>
      <c r="C11714" t="n">
        <v>4.46</v>
      </c>
    </row>
    <row r="11715">
      <c r="A11715" s="28" t="n">
        <v>36125</v>
      </c>
      <c r="B11715" t="n">
        <v>0</v>
      </c>
      <c r="C11715" t="n">
        <v>0</v>
      </c>
    </row>
    <row r="11716">
      <c r="A11716" s="28" t="n">
        <v>36126</v>
      </c>
      <c r="B11716" t="n">
        <v>4.81</v>
      </c>
      <c r="C11716" t="n">
        <v>4.44</v>
      </c>
    </row>
    <row r="11717">
      <c r="A11717" s="28" t="n">
        <v>36129</v>
      </c>
      <c r="B11717" t="n">
        <v>4.74</v>
      </c>
      <c r="C11717" t="n">
        <v>4.42</v>
      </c>
    </row>
    <row r="11718">
      <c r="A11718" s="28" t="n">
        <v>36130</v>
      </c>
      <c r="B11718" t="n">
        <v>4.67</v>
      </c>
      <c r="C11718" t="n">
        <v>4.38</v>
      </c>
    </row>
    <row r="11719">
      <c r="A11719" s="28" t="n">
        <v>36131</v>
      </c>
      <c r="B11719" t="n">
        <v>4.59</v>
      </c>
      <c r="C11719" t="n">
        <v>4.37</v>
      </c>
    </row>
    <row r="11720">
      <c r="A11720" s="28" t="n">
        <v>36132</v>
      </c>
      <c r="B11720" t="n">
        <v>4.58</v>
      </c>
      <c r="C11720" t="n">
        <v>4.34</v>
      </c>
    </row>
    <row r="11721">
      <c r="A11721" s="28" t="n">
        <v>36133</v>
      </c>
      <c r="B11721" t="n">
        <v>4.62</v>
      </c>
      <c r="C11721" t="n">
        <v>4.37</v>
      </c>
    </row>
    <row r="11722">
      <c r="A11722" s="28" t="n">
        <v>36136</v>
      </c>
      <c r="B11722" t="n">
        <v>4.69</v>
      </c>
      <c r="C11722" t="n">
        <v>4.4</v>
      </c>
    </row>
    <row r="11723">
      <c r="A11723" s="28" t="n">
        <v>36137</v>
      </c>
      <c r="B11723" t="n">
        <v>4.6</v>
      </c>
      <c r="C11723" t="n">
        <v>4.32</v>
      </c>
    </row>
    <row r="11724">
      <c r="A11724" s="28" t="n">
        <v>36138</v>
      </c>
      <c r="B11724" t="n">
        <v>4.56</v>
      </c>
      <c r="C11724" t="n">
        <v>4.32</v>
      </c>
    </row>
    <row r="11725">
      <c r="A11725" s="28" t="n">
        <v>36139</v>
      </c>
      <c r="B11725" t="n">
        <v>4.53</v>
      </c>
      <c r="C11725" t="n">
        <v>4.37</v>
      </c>
    </row>
    <row r="11726">
      <c r="A11726" s="28" t="n">
        <v>36140</v>
      </c>
      <c r="B11726" t="n">
        <v>4.61</v>
      </c>
      <c r="C11726" t="n">
        <v>4.39</v>
      </c>
    </row>
    <row r="11727">
      <c r="A11727" s="28" t="n">
        <v>36143</v>
      </c>
      <c r="B11727" t="n">
        <v>4.58</v>
      </c>
      <c r="C11727" t="n">
        <v>4.4</v>
      </c>
    </row>
    <row r="11728">
      <c r="A11728" s="28" t="n">
        <v>36144</v>
      </c>
      <c r="B11728" t="n">
        <v>4.62</v>
      </c>
      <c r="C11728" t="n">
        <v>4.38</v>
      </c>
    </row>
    <row r="11729">
      <c r="A11729" s="28" t="n">
        <v>36145</v>
      </c>
      <c r="B11729" t="n">
        <v>4.58</v>
      </c>
      <c r="C11729" t="n">
        <v>4.35</v>
      </c>
    </row>
    <row r="11730">
      <c r="A11730" s="28" t="n">
        <v>36146</v>
      </c>
      <c r="B11730" t="n">
        <v>4.58</v>
      </c>
      <c r="C11730" t="n">
        <v>4.35</v>
      </c>
    </row>
    <row r="11731">
      <c r="A11731" s="28" t="n">
        <v>36147</v>
      </c>
      <c r="B11731" t="n">
        <v>4.58</v>
      </c>
      <c r="C11731" t="n">
        <v>4.38</v>
      </c>
    </row>
    <row r="11732">
      <c r="A11732" s="28" t="n">
        <v>36150</v>
      </c>
      <c r="B11732" t="n">
        <v>4.64</v>
      </c>
      <c r="C11732" t="n">
        <v>4.42</v>
      </c>
    </row>
    <row r="11733">
      <c r="A11733" s="28" t="n">
        <v>36151</v>
      </c>
      <c r="B11733" t="n">
        <v>4.7</v>
      </c>
      <c r="C11733" t="n">
        <v>4.39</v>
      </c>
    </row>
    <row r="11734">
      <c r="A11734" s="28" t="n">
        <v>36152</v>
      </c>
      <c r="B11734" t="n">
        <v>4.81</v>
      </c>
      <c r="C11734" t="n">
        <v>4.47</v>
      </c>
    </row>
    <row r="11735">
      <c r="A11735" s="28" t="n">
        <v>36153</v>
      </c>
      <c r="B11735" t="n">
        <v>4.86</v>
      </c>
      <c r="C11735" t="n">
        <v>4.46</v>
      </c>
    </row>
    <row r="11736">
      <c r="A11736" s="28" t="n">
        <v>36154</v>
      </c>
      <c r="B11736" t="n">
        <v>0</v>
      </c>
      <c r="C11736" t="n">
        <v>0</v>
      </c>
    </row>
    <row r="11737">
      <c r="A11737" s="28" t="n">
        <v>36157</v>
      </c>
      <c r="B11737" t="n">
        <v>4.78</v>
      </c>
      <c r="C11737" t="n">
        <v>4.45</v>
      </c>
    </row>
    <row r="11738">
      <c r="A11738" s="28" t="n">
        <v>36158</v>
      </c>
      <c r="B11738" t="n">
        <v>4.71</v>
      </c>
      <c r="C11738" t="n">
        <v>4.48</v>
      </c>
    </row>
    <row r="11739">
      <c r="A11739" s="28" t="n">
        <v>36159</v>
      </c>
      <c r="B11739" t="n">
        <v>4.65</v>
      </c>
      <c r="C11739" t="n">
        <v>4.44</v>
      </c>
    </row>
    <row r="11740">
      <c r="A11740" s="28" t="n">
        <v>36160</v>
      </c>
      <c r="B11740" t="n">
        <v>4.65</v>
      </c>
      <c r="C11740" t="n">
        <v>4.37</v>
      </c>
    </row>
    <row r="11741">
      <c r="A11741" s="28" t="n">
        <v>36161</v>
      </c>
      <c r="B11741" t="n">
        <v>0</v>
      </c>
      <c r="C11741" t="n">
        <v>0</v>
      </c>
    </row>
    <row r="11742">
      <c r="A11742" s="28" t="n">
        <v>36164</v>
      </c>
      <c r="B11742" t="n">
        <v>4.69</v>
      </c>
      <c r="C11742" t="n">
        <v>4.38</v>
      </c>
    </row>
    <row r="11743">
      <c r="A11743" s="28" t="n">
        <v>36165</v>
      </c>
      <c r="B11743" t="n">
        <v>4.74</v>
      </c>
      <c r="C11743" t="n">
        <v>4.37</v>
      </c>
    </row>
    <row r="11744">
      <c r="A11744" s="28" t="n">
        <v>36166</v>
      </c>
      <c r="B11744" t="n">
        <v>4.73</v>
      </c>
      <c r="C11744" t="n">
        <v>4.36</v>
      </c>
    </row>
    <row r="11745">
      <c r="A11745" s="28" t="n">
        <v>36167</v>
      </c>
      <c r="B11745" t="n">
        <v>4.77</v>
      </c>
      <c r="C11745" t="n">
        <v>4.33</v>
      </c>
    </row>
    <row r="11746">
      <c r="A11746" s="28" t="n">
        <v>36168</v>
      </c>
      <c r="B11746" t="n">
        <v>4.86</v>
      </c>
      <c r="C11746" t="n">
        <v>4.37</v>
      </c>
    </row>
    <row r="11747">
      <c r="A11747" s="28" t="n">
        <v>36171</v>
      </c>
      <c r="B11747" t="n">
        <v>4.9</v>
      </c>
      <c r="C11747" t="n">
        <v>4.39</v>
      </c>
    </row>
    <row r="11748">
      <c r="A11748" s="28" t="n">
        <v>36172</v>
      </c>
      <c r="B11748" t="n">
        <v>4.82</v>
      </c>
      <c r="C11748" t="n">
        <v>4.37</v>
      </c>
    </row>
    <row r="11749">
      <c r="A11749" s="28" t="n">
        <v>36173</v>
      </c>
      <c r="B11749" t="n">
        <v>4.74</v>
      </c>
      <c r="C11749" t="n">
        <v>4.34</v>
      </c>
    </row>
    <row r="11750">
      <c r="A11750" s="28" t="n">
        <v>36174</v>
      </c>
      <c r="B11750" t="n">
        <v>4.63</v>
      </c>
      <c r="C11750" t="n">
        <v>4.33</v>
      </c>
    </row>
    <row r="11751">
      <c r="A11751" s="28" t="n">
        <v>36175</v>
      </c>
      <c r="B11751" t="n">
        <v>4.66</v>
      </c>
      <c r="C11751" t="n">
        <v>4.33</v>
      </c>
    </row>
    <row r="11752">
      <c r="A11752" s="28" t="n">
        <v>36178</v>
      </c>
      <c r="B11752" t="n">
        <v>0</v>
      </c>
      <c r="C11752" t="n">
        <v>0</v>
      </c>
    </row>
    <row r="11753">
      <c r="A11753" s="28" t="n">
        <v>36179</v>
      </c>
      <c r="B11753" t="n">
        <v>4.71</v>
      </c>
      <c r="C11753" t="n">
        <v>4.29</v>
      </c>
    </row>
    <row r="11754">
      <c r="A11754" s="28" t="n">
        <v>36180</v>
      </c>
      <c r="B11754" t="n">
        <v>4.76</v>
      </c>
      <c r="C11754" t="n">
        <v>4.26</v>
      </c>
    </row>
    <row r="11755">
      <c r="A11755" s="28" t="n">
        <v>36181</v>
      </c>
      <c r="B11755" t="n">
        <v>4.7</v>
      </c>
      <c r="C11755" t="n">
        <v>4.22</v>
      </c>
    </row>
    <row r="11756">
      <c r="A11756" s="28" t="n">
        <v>36182</v>
      </c>
      <c r="B11756" t="n">
        <v>4.64</v>
      </c>
      <c r="C11756" t="n">
        <v>4.26</v>
      </c>
    </row>
    <row r="11757">
      <c r="A11757" s="28" t="n">
        <v>36185</v>
      </c>
      <c r="B11757" t="n">
        <v>4.67</v>
      </c>
      <c r="C11757" t="n">
        <v>4.31</v>
      </c>
    </row>
    <row r="11758">
      <c r="A11758" s="28" t="n">
        <v>36186</v>
      </c>
      <c r="B11758" t="n">
        <v>4.69</v>
      </c>
      <c r="C11758" t="n">
        <v>4.35</v>
      </c>
    </row>
    <row r="11759">
      <c r="A11759" s="28" t="n">
        <v>36187</v>
      </c>
      <c r="B11759" t="n">
        <v>4.68</v>
      </c>
      <c r="C11759" t="n">
        <v>4.36</v>
      </c>
    </row>
    <row r="11760">
      <c r="A11760" s="28" t="n">
        <v>36188</v>
      </c>
      <c r="B11760" t="n">
        <v>4.67</v>
      </c>
      <c r="C11760" t="n">
        <v>4.38</v>
      </c>
    </row>
    <row r="11761">
      <c r="A11761" s="28" t="n">
        <v>36189</v>
      </c>
      <c r="B11761" t="n">
        <v>4.66</v>
      </c>
      <c r="C11761" t="n">
        <v>4.37</v>
      </c>
    </row>
    <row r="11762">
      <c r="A11762" s="28" t="n">
        <v>36192</v>
      </c>
      <c r="B11762" t="n">
        <v>4.75</v>
      </c>
      <c r="C11762" t="n">
        <v>4.42</v>
      </c>
    </row>
    <row r="11763">
      <c r="A11763" s="28" t="n">
        <v>36193</v>
      </c>
      <c r="B11763" t="n">
        <v>4.79</v>
      </c>
      <c r="C11763" t="n">
        <v>4.42</v>
      </c>
    </row>
    <row r="11764">
      <c r="A11764" s="28" t="n">
        <v>36194</v>
      </c>
      <c r="B11764" t="n">
        <v>4.83</v>
      </c>
      <c r="C11764" t="n">
        <v>4.37</v>
      </c>
    </row>
    <row r="11765">
      <c r="A11765" s="28" t="n">
        <v>36195</v>
      </c>
      <c r="B11765" t="n">
        <v>4.89</v>
      </c>
      <c r="C11765" t="n">
        <v>4.38</v>
      </c>
    </row>
    <row r="11766">
      <c r="A11766" s="28" t="n">
        <v>36196</v>
      </c>
      <c r="B11766" t="n">
        <v>4.94</v>
      </c>
      <c r="C11766" t="n">
        <v>4.39</v>
      </c>
    </row>
    <row r="11767">
      <c r="A11767" s="28" t="n">
        <v>36199</v>
      </c>
      <c r="B11767" t="n">
        <v>4.94</v>
      </c>
      <c r="C11767" t="n">
        <v>4.4</v>
      </c>
    </row>
    <row r="11768">
      <c r="A11768" s="28" t="n">
        <v>36200</v>
      </c>
      <c r="B11768" t="n">
        <v>4.91</v>
      </c>
      <c r="C11768" t="n">
        <v>4.42</v>
      </c>
    </row>
    <row r="11769">
      <c r="A11769" s="28" t="n">
        <v>36201</v>
      </c>
      <c r="B11769" t="n">
        <v>4.9</v>
      </c>
      <c r="C11769" t="n">
        <v>4.37</v>
      </c>
    </row>
    <row r="11770">
      <c r="A11770" s="28" t="n">
        <v>36202</v>
      </c>
      <c r="B11770" t="n">
        <v>4.93</v>
      </c>
      <c r="C11770" t="n">
        <v>4.39</v>
      </c>
    </row>
    <row r="11771">
      <c r="A11771" s="28" t="n">
        <v>36203</v>
      </c>
      <c r="B11771" t="n">
        <v>5.06</v>
      </c>
      <c r="C11771" t="n">
        <v>4.43</v>
      </c>
    </row>
    <row r="11772">
      <c r="A11772" s="28" t="n">
        <v>36206</v>
      </c>
      <c r="B11772" t="n">
        <v>0</v>
      </c>
      <c r="C11772" t="n">
        <v>0</v>
      </c>
    </row>
    <row r="11773">
      <c r="A11773" s="28" t="n">
        <v>36207</v>
      </c>
      <c r="B11773" t="n">
        <v>5.03</v>
      </c>
      <c r="C11773" t="n">
        <v>4.41</v>
      </c>
    </row>
    <row r="11774">
      <c r="A11774" s="28" t="n">
        <v>36208</v>
      </c>
      <c r="B11774" t="n">
        <v>4.98</v>
      </c>
      <c r="C11774" t="n">
        <v>4.41</v>
      </c>
    </row>
    <row r="11775">
      <c r="A11775" s="28" t="n">
        <v>36209</v>
      </c>
      <c r="B11775" t="n">
        <v>5.04</v>
      </c>
      <c r="C11775" t="n">
        <v>4.42</v>
      </c>
    </row>
    <row r="11776">
      <c r="A11776" s="28" t="n">
        <v>36210</v>
      </c>
      <c r="B11776" t="n">
        <v>5.07</v>
      </c>
      <c r="C11776" t="n">
        <v>4.45</v>
      </c>
    </row>
    <row r="11777">
      <c r="A11777" s="28" t="n">
        <v>36213</v>
      </c>
      <c r="B11777" t="n">
        <v>5.03</v>
      </c>
      <c r="C11777" t="n">
        <v>4.5</v>
      </c>
    </row>
    <row r="11778">
      <c r="A11778" s="28" t="n">
        <v>36214</v>
      </c>
      <c r="B11778" t="n">
        <v>5.1</v>
      </c>
      <c r="C11778" t="n">
        <v>4.54</v>
      </c>
    </row>
    <row r="11779">
      <c r="A11779" s="28" t="n">
        <v>36215</v>
      </c>
      <c r="B11779" t="n">
        <v>5.18</v>
      </c>
      <c r="C11779" t="n">
        <v>4.55</v>
      </c>
    </row>
    <row r="11780">
      <c r="A11780" s="28" t="n">
        <v>36216</v>
      </c>
      <c r="B11780" t="n">
        <v>5.32</v>
      </c>
      <c r="C11780" t="n">
        <v>4.51</v>
      </c>
    </row>
    <row r="11781">
      <c r="A11781" s="28" t="n">
        <v>36217</v>
      </c>
      <c r="B11781" t="n">
        <v>5.29</v>
      </c>
      <c r="C11781" t="n">
        <v>4.55</v>
      </c>
    </row>
    <row r="11782">
      <c r="A11782" s="28" t="n">
        <v>36220</v>
      </c>
      <c r="B11782" t="n">
        <v>5.4</v>
      </c>
      <c r="C11782" t="n">
        <v>4.58</v>
      </c>
    </row>
    <row r="11783">
      <c r="A11783" s="28" t="n">
        <v>36221</v>
      </c>
      <c r="B11783" t="n">
        <v>5.35</v>
      </c>
      <c r="C11783" t="n">
        <v>4.53</v>
      </c>
    </row>
    <row r="11784">
      <c r="A11784" s="28" t="n">
        <v>36222</v>
      </c>
      <c r="B11784" t="n">
        <v>5.39</v>
      </c>
      <c r="C11784" t="n">
        <v>4.49</v>
      </c>
    </row>
    <row r="11785">
      <c r="A11785" s="28" t="n">
        <v>36223</v>
      </c>
      <c r="B11785" t="n">
        <v>5.41</v>
      </c>
      <c r="C11785" t="n">
        <v>4.49</v>
      </c>
    </row>
    <row r="11786">
      <c r="A11786" s="28" t="n">
        <v>36224</v>
      </c>
      <c r="B11786" t="n">
        <v>5.34</v>
      </c>
      <c r="C11786" t="n">
        <v>4.5</v>
      </c>
    </row>
    <row r="11787">
      <c r="A11787" s="28" t="n">
        <v>36227</v>
      </c>
      <c r="B11787" t="n">
        <v>5.29</v>
      </c>
      <c r="C11787" t="n">
        <v>4.51</v>
      </c>
    </row>
    <row r="11788">
      <c r="A11788" s="28" t="n">
        <v>36228</v>
      </c>
      <c r="B11788" t="n">
        <v>5.18</v>
      </c>
      <c r="C11788" t="n">
        <v>4.47</v>
      </c>
    </row>
    <row r="11789">
      <c r="A11789" s="28" t="n">
        <v>36229</v>
      </c>
      <c r="B11789" t="n">
        <v>5.2</v>
      </c>
      <c r="C11789" t="n">
        <v>4.47</v>
      </c>
    </row>
    <row r="11790">
      <c r="A11790" s="28" t="n">
        <v>36230</v>
      </c>
      <c r="B11790" t="n">
        <v>5.21</v>
      </c>
      <c r="C11790" t="n">
        <v>4.49</v>
      </c>
    </row>
    <row r="11791">
      <c r="A11791" s="28" t="n">
        <v>36231</v>
      </c>
      <c r="B11791" t="n">
        <v>5.16</v>
      </c>
      <c r="C11791" t="n">
        <v>4.47</v>
      </c>
    </row>
    <row r="11792">
      <c r="A11792" s="28" t="n">
        <v>36234</v>
      </c>
      <c r="B11792" t="n">
        <v>5.15</v>
      </c>
      <c r="C11792" t="n">
        <v>4.46</v>
      </c>
    </row>
    <row r="11793">
      <c r="A11793" s="28" t="n">
        <v>36235</v>
      </c>
      <c r="B11793" t="n">
        <v>5.11</v>
      </c>
      <c r="C11793" t="n">
        <v>4.43</v>
      </c>
    </row>
    <row r="11794">
      <c r="A11794" s="28" t="n">
        <v>36236</v>
      </c>
      <c r="B11794" t="n">
        <v>5.14</v>
      </c>
      <c r="C11794" t="n">
        <v>4.41</v>
      </c>
    </row>
    <row r="11795">
      <c r="A11795" s="28" t="n">
        <v>36237</v>
      </c>
      <c r="B11795" t="n">
        <v>5.11</v>
      </c>
      <c r="C11795" t="n">
        <v>4.39</v>
      </c>
    </row>
    <row r="11796">
      <c r="A11796" s="28" t="n">
        <v>36238</v>
      </c>
      <c r="B11796" t="n">
        <v>5.17</v>
      </c>
      <c r="C11796" t="n">
        <v>4.39</v>
      </c>
    </row>
    <row r="11797">
      <c r="A11797" s="28" t="n">
        <v>36241</v>
      </c>
      <c r="B11797" t="n">
        <v>5.21</v>
      </c>
      <c r="C11797" t="n">
        <v>4.4</v>
      </c>
    </row>
    <row r="11798">
      <c r="A11798" s="28" t="n">
        <v>36242</v>
      </c>
      <c r="B11798" t="n">
        <v>5.2</v>
      </c>
      <c r="C11798" t="n">
        <v>4.38</v>
      </c>
    </row>
    <row r="11799">
      <c r="A11799" s="28" t="n">
        <v>36243</v>
      </c>
      <c r="B11799" t="n">
        <v>5.17</v>
      </c>
      <c r="C11799" t="n">
        <v>4.38</v>
      </c>
    </row>
    <row r="11800">
      <c r="A11800" s="28" t="n">
        <v>36244</v>
      </c>
      <c r="B11800" t="n">
        <v>5.21</v>
      </c>
      <c r="C11800" t="n">
        <v>4.39</v>
      </c>
    </row>
    <row r="11801">
      <c r="A11801" s="28" t="n">
        <v>36245</v>
      </c>
      <c r="B11801" t="n">
        <v>5.21</v>
      </c>
      <c r="C11801" t="n">
        <v>4.39</v>
      </c>
    </row>
    <row r="11802">
      <c r="A11802" s="28" t="n">
        <v>36248</v>
      </c>
      <c r="B11802" t="n">
        <v>5.28</v>
      </c>
      <c r="C11802" t="n">
        <v>4.39</v>
      </c>
    </row>
    <row r="11803">
      <c r="A11803" s="28" t="n">
        <v>36249</v>
      </c>
      <c r="B11803" t="n">
        <v>5.21</v>
      </c>
      <c r="C11803" t="n">
        <v>4.36</v>
      </c>
    </row>
    <row r="11804">
      <c r="A11804" s="28" t="n">
        <v>36250</v>
      </c>
      <c r="B11804" t="n">
        <v>5.25</v>
      </c>
      <c r="C11804" t="n">
        <v>4.37</v>
      </c>
    </row>
    <row r="11805">
      <c r="A11805" s="28" t="n">
        <v>36251</v>
      </c>
      <c r="B11805" t="n">
        <v>5.27</v>
      </c>
      <c r="C11805" t="n">
        <v>4.32</v>
      </c>
    </row>
    <row r="11806">
      <c r="A11806" s="28" t="n">
        <v>36252</v>
      </c>
      <c r="B11806" t="n">
        <v>5.2</v>
      </c>
      <c r="C11806" t="n">
        <v>4.31</v>
      </c>
    </row>
    <row r="11807">
      <c r="A11807" s="28" t="n">
        <v>36255</v>
      </c>
      <c r="B11807" t="n">
        <v>5.2</v>
      </c>
      <c r="C11807" t="n">
        <v>4.29</v>
      </c>
    </row>
    <row r="11808">
      <c r="A11808" s="28" t="n">
        <v>36256</v>
      </c>
      <c r="B11808" t="n">
        <v>5.13</v>
      </c>
      <c r="C11808" t="n">
        <v>4.3</v>
      </c>
    </row>
    <row r="11809">
      <c r="A11809" s="28" t="n">
        <v>36257</v>
      </c>
      <c r="B11809" t="n">
        <v>5.14</v>
      </c>
      <c r="C11809" t="n">
        <v>4.3</v>
      </c>
    </row>
    <row r="11810">
      <c r="A11810" s="28" t="n">
        <v>36258</v>
      </c>
      <c r="B11810" t="n">
        <v>5.03</v>
      </c>
      <c r="C11810" t="n">
        <v>4.28</v>
      </c>
    </row>
    <row r="11811">
      <c r="A11811" s="28" t="n">
        <v>36259</v>
      </c>
      <c r="B11811" t="n">
        <v>5.05</v>
      </c>
      <c r="C11811" t="n">
        <v>4.3</v>
      </c>
    </row>
    <row r="11812">
      <c r="A11812" s="28" t="n">
        <v>36262</v>
      </c>
      <c r="B11812" t="n">
        <v>5.06</v>
      </c>
      <c r="C11812" t="n">
        <v>4.22</v>
      </c>
    </row>
    <row r="11813">
      <c r="A11813" s="28" t="n">
        <v>36263</v>
      </c>
      <c r="B11813" t="n">
        <v>5.12</v>
      </c>
      <c r="C11813" t="n">
        <v>4.2</v>
      </c>
    </row>
    <row r="11814">
      <c r="A11814" s="28" t="n">
        <v>36264</v>
      </c>
      <c r="B11814" t="n">
        <v>5.13</v>
      </c>
      <c r="C11814" t="n">
        <v>4.18</v>
      </c>
    </row>
    <row r="11815">
      <c r="A11815" s="28" t="n">
        <v>36265</v>
      </c>
      <c r="B11815" t="n">
        <v>5.18</v>
      </c>
      <c r="C11815" t="n">
        <v>4.2</v>
      </c>
    </row>
    <row r="11816">
      <c r="A11816" s="28" t="n">
        <v>36266</v>
      </c>
      <c r="B11816" t="n">
        <v>5.23</v>
      </c>
      <c r="C11816" t="n">
        <v>4.22</v>
      </c>
    </row>
    <row r="11817">
      <c r="A11817" s="28" t="n">
        <v>36269</v>
      </c>
      <c r="B11817" t="n">
        <v>5.18</v>
      </c>
      <c r="C11817" t="n">
        <v>4.22</v>
      </c>
    </row>
    <row r="11818">
      <c r="A11818" s="28" t="n">
        <v>36270</v>
      </c>
      <c r="B11818" t="n">
        <v>5.16</v>
      </c>
      <c r="C11818" t="n">
        <v>4.26</v>
      </c>
    </row>
    <row r="11819">
      <c r="A11819" s="28" t="n">
        <v>36271</v>
      </c>
      <c r="B11819" t="n">
        <v>5.17</v>
      </c>
      <c r="C11819" t="n">
        <v>4.24</v>
      </c>
    </row>
    <row r="11820">
      <c r="A11820" s="28" t="n">
        <v>36272</v>
      </c>
      <c r="B11820" t="n">
        <v>5.25</v>
      </c>
      <c r="C11820" t="n">
        <v>4.28</v>
      </c>
    </row>
    <row r="11821">
      <c r="A11821" s="28" t="n">
        <v>36273</v>
      </c>
      <c r="B11821" t="n">
        <v>5.26</v>
      </c>
      <c r="C11821" t="n">
        <v>4.31</v>
      </c>
    </row>
    <row r="11822">
      <c r="A11822" s="28" t="n">
        <v>36276</v>
      </c>
      <c r="B11822" t="n">
        <v>5.23</v>
      </c>
      <c r="C11822" t="n">
        <v>4.35</v>
      </c>
    </row>
    <row r="11823">
      <c r="A11823" s="28" t="n">
        <v>36277</v>
      </c>
      <c r="B11823" t="n">
        <v>5.22</v>
      </c>
      <c r="C11823" t="n">
        <v>4.38</v>
      </c>
    </row>
    <row r="11824">
      <c r="A11824" s="28" t="n">
        <v>36278</v>
      </c>
      <c r="B11824" t="n">
        <v>5.27</v>
      </c>
      <c r="C11824" t="n">
        <v>4.39</v>
      </c>
    </row>
    <row r="11825">
      <c r="A11825" s="28" t="n">
        <v>36279</v>
      </c>
      <c r="B11825" t="n">
        <v>5.22</v>
      </c>
      <c r="C11825" t="n">
        <v>4.39</v>
      </c>
    </row>
    <row r="11826">
      <c r="A11826" s="28" t="n">
        <v>36280</v>
      </c>
      <c r="B11826" t="n">
        <v>5.36</v>
      </c>
      <c r="C11826" t="n">
        <v>4.43</v>
      </c>
    </row>
    <row r="11827">
      <c r="A11827" s="28" t="n">
        <v>36283</v>
      </c>
      <c r="B11827" t="n">
        <v>5.38</v>
      </c>
      <c r="C11827" t="n">
        <v>4.47</v>
      </c>
    </row>
    <row r="11828">
      <c r="A11828" s="28" t="n">
        <v>36284</v>
      </c>
      <c r="B11828" t="n">
        <v>5.42</v>
      </c>
      <c r="C11828" t="n">
        <v>4.5</v>
      </c>
    </row>
    <row r="11829">
      <c r="A11829" s="28" t="n">
        <v>36285</v>
      </c>
      <c r="B11829" t="n">
        <v>5.4</v>
      </c>
      <c r="C11829" t="n">
        <v>4.48</v>
      </c>
    </row>
    <row r="11830">
      <c r="A11830" s="28" t="n">
        <v>36286</v>
      </c>
      <c r="B11830" t="n">
        <v>5.52</v>
      </c>
      <c r="C11830" t="n">
        <v>4.49</v>
      </c>
    </row>
    <row r="11831">
      <c r="A11831" s="28" t="n">
        <v>36287</v>
      </c>
      <c r="B11831" t="n">
        <v>5.54</v>
      </c>
      <c r="C11831" t="n">
        <v>4.49</v>
      </c>
    </row>
    <row r="11832">
      <c r="A11832" s="28" t="n">
        <v>36290</v>
      </c>
      <c r="B11832" t="n">
        <v>5.54</v>
      </c>
      <c r="C11832" t="n">
        <v>4.47</v>
      </c>
    </row>
    <row r="11833">
      <c r="A11833" s="28" t="n">
        <v>36291</v>
      </c>
      <c r="B11833" t="n">
        <v>5.59</v>
      </c>
      <c r="C11833" t="n">
        <v>4.49</v>
      </c>
    </row>
    <row r="11834">
      <c r="A11834" s="28" t="n">
        <v>36292</v>
      </c>
      <c r="B11834" t="n">
        <v>5.51</v>
      </c>
      <c r="C11834" t="n">
        <v>4.47</v>
      </c>
    </row>
    <row r="11835">
      <c r="A11835" s="28" t="n">
        <v>36293</v>
      </c>
      <c r="B11835" t="n">
        <v>5.41</v>
      </c>
      <c r="C11835" t="n">
        <v>4.46</v>
      </c>
    </row>
    <row r="11836">
      <c r="A11836" s="28" t="n">
        <v>36294</v>
      </c>
      <c r="B11836" t="n">
        <v>5.62</v>
      </c>
      <c r="C11836" t="n">
        <v>4.51</v>
      </c>
    </row>
    <row r="11837">
      <c r="A11837" s="28" t="n">
        <v>36297</v>
      </c>
      <c r="B11837" t="n">
        <v>5.66</v>
      </c>
      <c r="C11837" t="n">
        <v>4.55</v>
      </c>
    </row>
    <row r="11838">
      <c r="A11838" s="28" t="n">
        <v>36298</v>
      </c>
      <c r="B11838" t="n">
        <v>5.68</v>
      </c>
      <c r="C11838" t="n">
        <v>4.53</v>
      </c>
    </row>
    <row r="11839">
      <c r="A11839" s="28" t="n">
        <v>36299</v>
      </c>
      <c r="B11839" t="n">
        <v>5.6</v>
      </c>
      <c r="C11839" t="n">
        <v>4.5</v>
      </c>
    </row>
    <row r="11840">
      <c r="A11840" s="28" t="n">
        <v>36300</v>
      </c>
      <c r="B11840" t="n">
        <v>5.6</v>
      </c>
      <c r="C11840" t="n">
        <v>4.48</v>
      </c>
    </row>
    <row r="11841">
      <c r="A11841" s="28" t="n">
        <v>36301</v>
      </c>
      <c r="B11841" t="n">
        <v>5.52</v>
      </c>
      <c r="C11841" t="n">
        <v>4.48</v>
      </c>
    </row>
    <row r="11842">
      <c r="A11842" s="28" t="n">
        <v>36304</v>
      </c>
      <c r="B11842" t="n">
        <v>5.5</v>
      </c>
      <c r="C11842" t="n">
        <v>4.51</v>
      </c>
    </row>
    <row r="11843">
      <c r="A11843" s="28" t="n">
        <v>36305</v>
      </c>
      <c r="B11843" t="n">
        <v>5.49</v>
      </c>
      <c r="C11843" t="n">
        <v>4.51</v>
      </c>
    </row>
    <row r="11844">
      <c r="A11844" s="28" t="n">
        <v>36306</v>
      </c>
      <c r="B11844" t="n">
        <v>5.55</v>
      </c>
      <c r="C11844" t="n">
        <v>4.53</v>
      </c>
    </row>
    <row r="11845">
      <c r="A11845" s="28" t="n">
        <v>36307</v>
      </c>
      <c r="B11845" t="n">
        <v>5.62</v>
      </c>
      <c r="C11845" t="n">
        <v>4.52</v>
      </c>
    </row>
    <row r="11846">
      <c r="A11846" s="28" t="n">
        <v>36308</v>
      </c>
      <c r="B11846" t="n">
        <v>5.64</v>
      </c>
      <c r="C11846" t="n">
        <v>4.53</v>
      </c>
    </row>
    <row r="11847">
      <c r="A11847" s="28" t="n">
        <v>36311</v>
      </c>
      <c r="B11847" t="n">
        <v>0</v>
      </c>
      <c r="C11847" t="n">
        <v>0</v>
      </c>
    </row>
    <row r="11848">
      <c r="A11848" s="28" t="n">
        <v>36312</v>
      </c>
      <c r="B11848" t="n">
        <v>5.78</v>
      </c>
      <c r="C11848" t="n">
        <v>4.56</v>
      </c>
    </row>
    <row r="11849">
      <c r="A11849" s="28" t="n">
        <v>36313</v>
      </c>
      <c r="B11849" t="n">
        <v>5.8</v>
      </c>
      <c r="C11849" t="n">
        <v>4.61</v>
      </c>
    </row>
    <row r="11850">
      <c r="A11850" s="28" t="n">
        <v>36314</v>
      </c>
      <c r="B11850" t="n">
        <v>5.8</v>
      </c>
      <c r="C11850" t="n">
        <v>4.52</v>
      </c>
    </row>
    <row r="11851">
      <c r="A11851" s="28" t="n">
        <v>36315</v>
      </c>
      <c r="B11851" t="n">
        <v>5.82</v>
      </c>
      <c r="C11851" t="n">
        <v>4.44</v>
      </c>
    </row>
    <row r="11852">
      <c r="A11852" s="28" t="n">
        <v>36318</v>
      </c>
      <c r="B11852" t="n">
        <v>5.81</v>
      </c>
      <c r="C11852" t="n">
        <v>4.4</v>
      </c>
    </row>
    <row r="11853">
      <c r="A11853" s="28" t="n">
        <v>36319</v>
      </c>
      <c r="B11853" t="n">
        <v>5.83</v>
      </c>
      <c r="C11853" t="n">
        <v>4.49</v>
      </c>
    </row>
    <row r="11854">
      <c r="A11854" s="28" t="n">
        <v>36320</v>
      </c>
      <c r="B11854" t="n">
        <v>5.87</v>
      </c>
      <c r="C11854" t="n">
        <v>4.47</v>
      </c>
    </row>
    <row r="11855">
      <c r="A11855" s="28" t="n">
        <v>36321</v>
      </c>
      <c r="B11855" t="n">
        <v>5.92</v>
      </c>
      <c r="C11855" t="n">
        <v>4.54</v>
      </c>
    </row>
    <row r="11856">
      <c r="A11856" s="28" t="n">
        <v>36322</v>
      </c>
      <c r="B11856" t="n">
        <v>6.02</v>
      </c>
      <c r="C11856" t="n">
        <v>4.6</v>
      </c>
    </row>
    <row r="11857">
      <c r="A11857" s="28" t="n">
        <v>36325</v>
      </c>
      <c r="B11857" t="n">
        <v>5.98</v>
      </c>
      <c r="C11857" t="n">
        <v>4.57</v>
      </c>
    </row>
    <row r="11858">
      <c r="A11858" s="28" t="n">
        <v>36326</v>
      </c>
      <c r="B11858" t="n">
        <v>5.98</v>
      </c>
      <c r="C11858" t="n">
        <v>4.61</v>
      </c>
    </row>
    <row r="11859">
      <c r="A11859" s="28" t="n">
        <v>36327</v>
      </c>
      <c r="B11859" t="n">
        <v>5.94</v>
      </c>
      <c r="C11859" t="n">
        <v>4.54</v>
      </c>
    </row>
    <row r="11860">
      <c r="A11860" s="28" t="n">
        <v>36328</v>
      </c>
      <c r="B11860" t="n">
        <v>5.79</v>
      </c>
      <c r="C11860" t="n">
        <v>4.51</v>
      </c>
    </row>
    <row r="11861">
      <c r="A11861" s="28" t="n">
        <v>36329</v>
      </c>
      <c r="B11861" t="n">
        <v>5.84</v>
      </c>
      <c r="C11861" t="n">
        <v>4.55</v>
      </c>
    </row>
    <row r="11862">
      <c r="A11862" s="28" t="n">
        <v>36332</v>
      </c>
      <c r="B11862" t="n">
        <v>5.9</v>
      </c>
      <c r="C11862" t="n">
        <v>4.57</v>
      </c>
    </row>
    <row r="11863">
      <c r="A11863" s="28" t="n">
        <v>36333</v>
      </c>
      <c r="B11863" t="n">
        <v>5.94</v>
      </c>
      <c r="C11863" t="n">
        <v>4.6</v>
      </c>
    </row>
    <row r="11864">
      <c r="A11864" s="28" t="n">
        <v>36334</v>
      </c>
      <c r="B11864" t="n">
        <v>6</v>
      </c>
      <c r="C11864" t="n">
        <v>4.6</v>
      </c>
    </row>
    <row r="11865">
      <c r="A11865" s="28" t="n">
        <v>36335</v>
      </c>
      <c r="B11865" t="n">
        <v>6.05</v>
      </c>
      <c r="C11865" t="n">
        <v>4.6</v>
      </c>
    </row>
    <row r="11866">
      <c r="A11866" s="28" t="n">
        <v>36336</v>
      </c>
      <c r="B11866" t="n">
        <v>6.02</v>
      </c>
      <c r="C11866" t="n">
        <v>4.66</v>
      </c>
    </row>
    <row r="11867">
      <c r="A11867" s="28" t="n">
        <v>36339</v>
      </c>
      <c r="B11867" t="n">
        <v>5.96</v>
      </c>
      <c r="C11867" t="n">
        <v>4.68</v>
      </c>
    </row>
    <row r="11868">
      <c r="A11868" s="28" t="n">
        <v>36340</v>
      </c>
      <c r="B11868" t="n">
        <v>5.93</v>
      </c>
      <c r="C11868" t="n">
        <v>4.7</v>
      </c>
    </row>
    <row r="11869">
      <c r="A11869" s="28" t="n">
        <v>36341</v>
      </c>
      <c r="B11869" t="n">
        <v>5.81</v>
      </c>
      <c r="C11869" t="n">
        <v>4.65</v>
      </c>
    </row>
    <row r="11870">
      <c r="A11870" s="28" t="n">
        <v>36342</v>
      </c>
      <c r="B11870" t="n">
        <v>5.85</v>
      </c>
      <c r="C11870" t="n">
        <v>4.55</v>
      </c>
    </row>
    <row r="11871">
      <c r="A11871" s="28" t="n">
        <v>36343</v>
      </c>
      <c r="B11871" t="n">
        <v>5.82</v>
      </c>
      <c r="C11871" t="n">
        <v>4.55</v>
      </c>
    </row>
    <row r="11872">
      <c r="A11872" s="28" t="n">
        <v>36346</v>
      </c>
      <c r="B11872" t="n">
        <v>0</v>
      </c>
      <c r="C11872" t="n">
        <v>0</v>
      </c>
    </row>
    <row r="11873">
      <c r="A11873" s="28" t="n">
        <v>36347</v>
      </c>
      <c r="B11873" t="n">
        <v>5.88</v>
      </c>
      <c r="C11873" t="n">
        <v>4.53</v>
      </c>
    </row>
    <row r="11874">
      <c r="A11874" s="28" t="n">
        <v>36348</v>
      </c>
      <c r="B11874" t="n">
        <v>5.92</v>
      </c>
      <c r="C11874" t="n">
        <v>4.54</v>
      </c>
    </row>
    <row r="11875">
      <c r="A11875" s="28" t="n">
        <v>36349</v>
      </c>
      <c r="B11875" t="n">
        <v>5.85</v>
      </c>
      <c r="C11875" t="n">
        <v>4.55</v>
      </c>
    </row>
    <row r="11876">
      <c r="A11876" s="28" t="n">
        <v>36350</v>
      </c>
      <c r="B11876" t="n">
        <v>5.84</v>
      </c>
      <c r="C11876" t="n">
        <v>4.56</v>
      </c>
    </row>
    <row r="11877">
      <c r="A11877" s="28" t="n">
        <v>36353</v>
      </c>
      <c r="B11877" t="n">
        <v>5.74</v>
      </c>
      <c r="C11877" t="n">
        <v>4.57</v>
      </c>
    </row>
    <row r="11878">
      <c r="A11878" s="28" t="n">
        <v>36354</v>
      </c>
      <c r="B11878" t="n">
        <v>5.71</v>
      </c>
      <c r="C11878" t="n">
        <v>4.58</v>
      </c>
    </row>
    <row r="11879">
      <c r="A11879" s="28" t="n">
        <v>36355</v>
      </c>
      <c r="B11879" t="n">
        <v>5.74</v>
      </c>
      <c r="C11879" t="n">
        <v>4.59</v>
      </c>
    </row>
    <row r="11880">
      <c r="A11880" s="28" t="n">
        <v>36356</v>
      </c>
      <c r="B11880" t="n">
        <v>5.72</v>
      </c>
      <c r="C11880" t="n">
        <v>4.57</v>
      </c>
    </row>
    <row r="11881">
      <c r="A11881" s="28" t="n">
        <v>36357</v>
      </c>
      <c r="B11881" t="n">
        <v>5.68</v>
      </c>
      <c r="C11881" t="n">
        <v>4.55</v>
      </c>
    </row>
    <row r="11882">
      <c r="A11882" s="28" t="n">
        <v>36360</v>
      </c>
      <c r="B11882" t="n">
        <v>5.66</v>
      </c>
      <c r="C11882" t="n">
        <v>4.52</v>
      </c>
    </row>
    <row r="11883">
      <c r="A11883" s="28" t="n">
        <v>36361</v>
      </c>
      <c r="B11883" t="n">
        <v>5.65</v>
      </c>
      <c r="C11883" t="n">
        <v>4.51</v>
      </c>
    </row>
    <row r="11884">
      <c r="A11884" s="28" t="n">
        <v>36362</v>
      </c>
      <c r="B11884" t="n">
        <v>5.66</v>
      </c>
      <c r="C11884" t="n">
        <v>4.46</v>
      </c>
    </row>
    <row r="11885">
      <c r="A11885" s="28" t="n">
        <v>36363</v>
      </c>
      <c r="B11885" t="n">
        <v>5.78</v>
      </c>
      <c r="C11885" t="n">
        <v>4.48</v>
      </c>
    </row>
    <row r="11886">
      <c r="A11886" s="28" t="n">
        <v>36364</v>
      </c>
      <c r="B11886" t="n">
        <v>5.84</v>
      </c>
      <c r="C11886" t="n">
        <v>4.52</v>
      </c>
    </row>
    <row r="11887">
      <c r="A11887" s="28" t="n">
        <v>36367</v>
      </c>
      <c r="B11887" t="n">
        <v>5.86</v>
      </c>
      <c r="C11887" t="n">
        <v>4.58</v>
      </c>
    </row>
    <row r="11888">
      <c r="A11888" s="28" t="n">
        <v>36368</v>
      </c>
      <c r="B11888" t="n">
        <v>5.82</v>
      </c>
      <c r="C11888" t="n">
        <v>4.57</v>
      </c>
    </row>
    <row r="11889">
      <c r="A11889" s="28" t="n">
        <v>36369</v>
      </c>
      <c r="B11889" t="n">
        <v>5.81</v>
      </c>
      <c r="C11889" t="n">
        <v>4.58</v>
      </c>
    </row>
    <row r="11890">
      <c r="A11890" s="28" t="n">
        <v>36370</v>
      </c>
      <c r="B11890" t="n">
        <v>5.88</v>
      </c>
      <c r="C11890" t="n">
        <v>4.59</v>
      </c>
    </row>
    <row r="11891">
      <c r="A11891" s="28" t="n">
        <v>36371</v>
      </c>
      <c r="B11891" t="n">
        <v>5.92</v>
      </c>
      <c r="C11891" t="n">
        <v>4.62</v>
      </c>
    </row>
    <row r="11892">
      <c r="A11892" s="28" t="n">
        <v>36374</v>
      </c>
      <c r="B11892" t="n">
        <v>5.92</v>
      </c>
      <c r="C11892" t="n">
        <v>4.65</v>
      </c>
    </row>
    <row r="11893">
      <c r="A11893" s="28" t="n">
        <v>36375</v>
      </c>
      <c r="B11893" t="n">
        <v>5.95</v>
      </c>
      <c r="C11893" t="n">
        <v>4.7</v>
      </c>
    </row>
    <row r="11894">
      <c r="A11894" s="28" t="n">
        <v>36376</v>
      </c>
      <c r="B11894" t="n">
        <v>5.96</v>
      </c>
      <c r="C11894" t="n">
        <v>4.65</v>
      </c>
    </row>
    <row r="11895">
      <c r="A11895" s="28" t="n">
        <v>36377</v>
      </c>
      <c r="B11895" t="n">
        <v>5.88</v>
      </c>
      <c r="C11895" t="n">
        <v>4.61</v>
      </c>
    </row>
    <row r="11896">
      <c r="A11896" s="28" t="n">
        <v>36378</v>
      </c>
      <c r="B11896" t="n">
        <v>6.02</v>
      </c>
      <c r="C11896" t="n">
        <v>4.66</v>
      </c>
    </row>
    <row r="11897">
      <c r="A11897" s="28" t="n">
        <v>36381</v>
      </c>
      <c r="B11897" t="n">
        <v>6.13</v>
      </c>
      <c r="C11897" t="n">
        <v>4.76</v>
      </c>
    </row>
    <row r="11898">
      <c r="A11898" s="28" t="n">
        <v>36382</v>
      </c>
      <c r="B11898" t="n">
        <v>6.16</v>
      </c>
      <c r="C11898" t="n">
        <v>4.81</v>
      </c>
    </row>
    <row r="11899">
      <c r="A11899" s="28" t="n">
        <v>36383</v>
      </c>
      <c r="B11899" t="n">
        <v>6.05</v>
      </c>
      <c r="C11899" t="n">
        <v>4.77</v>
      </c>
    </row>
    <row r="11900">
      <c r="A11900" s="28" t="n">
        <v>36384</v>
      </c>
      <c r="B11900" t="n">
        <v>6.08</v>
      </c>
      <c r="C11900" t="n">
        <v>4.66</v>
      </c>
    </row>
    <row r="11901">
      <c r="A11901" s="28" t="n">
        <v>36385</v>
      </c>
      <c r="B11901" t="n">
        <v>5.98</v>
      </c>
      <c r="C11901" t="n">
        <v>4.6</v>
      </c>
    </row>
    <row r="11902">
      <c r="A11902" s="28" t="n">
        <v>36388</v>
      </c>
      <c r="B11902" t="n">
        <v>5.98</v>
      </c>
      <c r="C11902" t="n">
        <v>4.62</v>
      </c>
    </row>
    <row r="11903">
      <c r="A11903" s="28" t="n">
        <v>36389</v>
      </c>
      <c r="B11903" t="n">
        <v>5.89</v>
      </c>
      <c r="C11903" t="n">
        <v>4.69</v>
      </c>
    </row>
    <row r="11904">
      <c r="A11904" s="28" t="n">
        <v>36390</v>
      </c>
      <c r="B11904" t="n">
        <v>5.88</v>
      </c>
      <c r="C11904" t="n">
        <v>4.63</v>
      </c>
    </row>
    <row r="11905">
      <c r="A11905" s="28" t="n">
        <v>36391</v>
      </c>
      <c r="B11905" t="n">
        <v>5.9</v>
      </c>
      <c r="C11905" t="n">
        <v>4.62</v>
      </c>
    </row>
    <row r="11906">
      <c r="A11906" s="28" t="n">
        <v>36392</v>
      </c>
      <c r="B11906" t="n">
        <v>5.88</v>
      </c>
      <c r="C11906" t="n">
        <v>4.7</v>
      </c>
    </row>
    <row r="11907">
      <c r="A11907" s="28" t="n">
        <v>36395</v>
      </c>
      <c r="B11907" t="n">
        <v>5.89</v>
      </c>
      <c r="C11907" t="n">
        <v>4.78</v>
      </c>
    </row>
    <row r="11908">
      <c r="A11908" s="28" t="n">
        <v>36396</v>
      </c>
      <c r="B11908" t="n">
        <v>5.85</v>
      </c>
      <c r="C11908" t="n">
        <v>4.85</v>
      </c>
    </row>
    <row r="11909">
      <c r="A11909" s="28" t="n">
        <v>36397</v>
      </c>
      <c r="B11909" t="n">
        <v>5.73</v>
      </c>
      <c r="C11909" t="n">
        <v>4.79</v>
      </c>
    </row>
    <row r="11910">
      <c r="A11910" s="28" t="n">
        <v>36398</v>
      </c>
      <c r="B11910" t="n">
        <v>5.75</v>
      </c>
      <c r="C11910" t="n">
        <v>4.79</v>
      </c>
    </row>
    <row r="11911">
      <c r="A11911" s="28" t="n">
        <v>36399</v>
      </c>
      <c r="B11911" t="n">
        <v>5.85</v>
      </c>
      <c r="C11911" t="n">
        <v>4.84</v>
      </c>
    </row>
    <row r="11912">
      <c r="A11912" s="28" t="n">
        <v>36402</v>
      </c>
      <c r="B11912" t="n">
        <v>5.95</v>
      </c>
      <c r="C11912" t="n">
        <v>4.85</v>
      </c>
    </row>
    <row r="11913">
      <c r="A11913" s="28" t="n">
        <v>36403</v>
      </c>
      <c r="B11913" t="n">
        <v>5.98</v>
      </c>
      <c r="C11913" t="n">
        <v>4.84</v>
      </c>
    </row>
    <row r="11914">
      <c r="A11914" s="28" t="n">
        <v>36404</v>
      </c>
      <c r="B11914" t="n">
        <v>5.99</v>
      </c>
      <c r="C11914" t="n">
        <v>4.83</v>
      </c>
    </row>
    <row r="11915">
      <c r="A11915" s="28" t="n">
        <v>36405</v>
      </c>
      <c r="B11915" t="n">
        <v>6.03</v>
      </c>
      <c r="C11915" t="n">
        <v>4.78</v>
      </c>
    </row>
    <row r="11916">
      <c r="A11916" s="28" t="n">
        <v>36406</v>
      </c>
      <c r="B11916" t="n">
        <v>5.89</v>
      </c>
      <c r="C11916" t="n">
        <v>4.78</v>
      </c>
    </row>
    <row r="11917">
      <c r="A11917" s="28" t="n">
        <v>36409</v>
      </c>
      <c r="B11917" t="n">
        <v>0</v>
      </c>
      <c r="C11917" t="n">
        <v>0</v>
      </c>
    </row>
    <row r="11918">
      <c r="A11918" s="28" t="n">
        <v>36410</v>
      </c>
      <c r="B11918" t="n">
        <v>5.95</v>
      </c>
      <c r="C11918" t="n">
        <v>4.69</v>
      </c>
    </row>
    <row r="11919">
      <c r="A11919" s="28" t="n">
        <v>36411</v>
      </c>
      <c r="B11919" t="n">
        <v>5.93</v>
      </c>
      <c r="C11919" t="n">
        <v>4.69</v>
      </c>
    </row>
    <row r="11920">
      <c r="A11920" s="28" t="n">
        <v>36412</v>
      </c>
      <c r="B11920" t="n">
        <v>5.97</v>
      </c>
      <c r="C11920" t="n">
        <v>4.68</v>
      </c>
    </row>
    <row r="11921">
      <c r="A11921" s="28" t="n">
        <v>36413</v>
      </c>
      <c r="B11921" t="n">
        <v>5.89</v>
      </c>
      <c r="C11921" t="n">
        <v>4.62</v>
      </c>
    </row>
    <row r="11922">
      <c r="A11922" s="28" t="n">
        <v>36416</v>
      </c>
      <c r="B11922" t="n">
        <v>5.92</v>
      </c>
      <c r="C11922" t="n">
        <v>4.64</v>
      </c>
    </row>
    <row r="11923">
      <c r="A11923" s="28" t="n">
        <v>36417</v>
      </c>
      <c r="B11923" t="n">
        <v>5.96</v>
      </c>
      <c r="C11923" t="n">
        <v>4.69</v>
      </c>
    </row>
    <row r="11924">
      <c r="A11924" s="28" t="n">
        <v>36418</v>
      </c>
      <c r="B11924" t="n">
        <v>5.94</v>
      </c>
      <c r="C11924" t="n">
        <v>4.62</v>
      </c>
    </row>
    <row r="11925">
      <c r="A11925" s="28" t="n">
        <v>36419</v>
      </c>
      <c r="B11925" t="n">
        <v>5.9</v>
      </c>
      <c r="C11925" t="n">
        <v>4.57</v>
      </c>
    </row>
    <row r="11926">
      <c r="A11926" s="28" t="n">
        <v>36420</v>
      </c>
      <c r="B11926" t="n">
        <v>5.87</v>
      </c>
      <c r="C11926" t="n">
        <v>4.54</v>
      </c>
    </row>
    <row r="11927">
      <c r="A11927" s="28" t="n">
        <v>36423</v>
      </c>
      <c r="B11927" t="n">
        <v>5.91</v>
      </c>
      <c r="C11927" t="n">
        <v>4.56</v>
      </c>
    </row>
    <row r="11928">
      <c r="A11928" s="28" t="n">
        <v>36424</v>
      </c>
      <c r="B11928" t="n">
        <v>5.94</v>
      </c>
      <c r="C11928" t="n">
        <v>4.66</v>
      </c>
    </row>
    <row r="11929">
      <c r="A11929" s="28" t="n">
        <v>36425</v>
      </c>
      <c r="B11929" t="n">
        <v>5.92</v>
      </c>
      <c r="C11929" t="n">
        <v>4.69</v>
      </c>
    </row>
    <row r="11930">
      <c r="A11930" s="28" t="n">
        <v>36426</v>
      </c>
      <c r="B11930" t="n">
        <v>5.87</v>
      </c>
      <c r="C11930" t="n">
        <v>4.69</v>
      </c>
    </row>
    <row r="11931">
      <c r="A11931" s="28" t="n">
        <v>36427</v>
      </c>
      <c r="B11931" t="n">
        <v>5.75</v>
      </c>
      <c r="C11931" t="n">
        <v>4.65</v>
      </c>
    </row>
    <row r="11932">
      <c r="A11932" s="28" t="n">
        <v>36430</v>
      </c>
      <c r="B11932" t="n">
        <v>5.83</v>
      </c>
      <c r="C11932" t="n">
        <v>4.68</v>
      </c>
    </row>
    <row r="11933">
      <c r="A11933" s="28" t="n">
        <v>36431</v>
      </c>
      <c r="B11933" t="n">
        <v>5.89</v>
      </c>
      <c r="C11933" t="n">
        <v>4.71</v>
      </c>
    </row>
    <row r="11934">
      <c r="A11934" s="28" t="n">
        <v>36432</v>
      </c>
      <c r="B11934" t="n">
        <v>5.97</v>
      </c>
      <c r="C11934" t="n">
        <v>4.69</v>
      </c>
    </row>
    <row r="11935">
      <c r="A11935" s="28" t="n">
        <v>36433</v>
      </c>
      <c r="B11935" t="n">
        <v>5.9</v>
      </c>
      <c r="C11935" t="n">
        <v>4.74</v>
      </c>
    </row>
    <row r="11936">
      <c r="A11936" s="28" t="n">
        <v>36434</v>
      </c>
      <c r="B11936" t="n">
        <v>6</v>
      </c>
      <c r="C11936" t="n">
        <v>4.74</v>
      </c>
    </row>
    <row r="11937">
      <c r="A11937" s="28" t="n">
        <v>36437</v>
      </c>
      <c r="B11937" t="n">
        <v>5.95</v>
      </c>
      <c r="C11937" t="n">
        <v>4.69</v>
      </c>
    </row>
    <row r="11938">
      <c r="A11938" s="28" t="n">
        <v>36438</v>
      </c>
      <c r="B11938" t="n">
        <v>6.02</v>
      </c>
      <c r="C11938" t="n">
        <v>4.72</v>
      </c>
    </row>
    <row r="11939">
      <c r="A11939" s="28" t="n">
        <v>36439</v>
      </c>
      <c r="B11939" t="n">
        <v>6.04</v>
      </c>
      <c r="C11939" t="n">
        <v>4.68</v>
      </c>
    </row>
    <row r="11940">
      <c r="A11940" s="28" t="n">
        <v>36440</v>
      </c>
      <c r="B11940" t="n">
        <v>6.05</v>
      </c>
      <c r="C11940" t="n">
        <v>4.7</v>
      </c>
    </row>
    <row r="11941">
      <c r="A11941" s="28" t="n">
        <v>36441</v>
      </c>
      <c r="B11941" t="n">
        <v>6.04</v>
      </c>
      <c r="C11941" t="n">
        <v>4.68</v>
      </c>
    </row>
    <row r="11942">
      <c r="A11942" s="28" t="n">
        <v>36444</v>
      </c>
      <c r="B11942" t="n">
        <v>0</v>
      </c>
      <c r="C11942" t="n">
        <v>0</v>
      </c>
    </row>
    <row r="11943">
      <c r="A11943" s="28" t="n">
        <v>36445</v>
      </c>
      <c r="B11943" t="n">
        <v>6.07</v>
      </c>
      <c r="C11943" t="n">
        <v>4.73</v>
      </c>
    </row>
    <row r="11944">
      <c r="A11944" s="28" t="n">
        <v>36446</v>
      </c>
      <c r="B11944" t="n">
        <v>6.12</v>
      </c>
      <c r="C11944" t="n">
        <v>4.84</v>
      </c>
    </row>
    <row r="11945">
      <c r="A11945" s="28" t="n">
        <v>36447</v>
      </c>
      <c r="B11945" t="n">
        <v>6.17</v>
      </c>
      <c r="C11945" t="n">
        <v>4.88</v>
      </c>
    </row>
    <row r="11946">
      <c r="A11946" s="28" t="n">
        <v>36448</v>
      </c>
      <c r="B11946" t="n">
        <v>6.09</v>
      </c>
      <c r="C11946" t="n">
        <v>4.9</v>
      </c>
    </row>
    <row r="11947">
      <c r="A11947" s="28" t="n">
        <v>36451</v>
      </c>
      <c r="B11947" t="n">
        <v>6.12</v>
      </c>
      <c r="C11947" t="n">
        <v>4.94</v>
      </c>
    </row>
    <row r="11948">
      <c r="A11948" s="28" t="n">
        <v>36452</v>
      </c>
      <c r="B11948" t="n">
        <v>6.18</v>
      </c>
      <c r="C11948" t="n">
        <v>5</v>
      </c>
    </row>
    <row r="11949">
      <c r="A11949" s="28" t="n">
        <v>36453</v>
      </c>
      <c r="B11949" t="n">
        <v>6.19</v>
      </c>
      <c r="C11949" t="n">
        <v>5</v>
      </c>
    </row>
    <row r="11950">
      <c r="A11950" s="28" t="n">
        <v>36454</v>
      </c>
      <c r="B11950" t="n">
        <v>6.2</v>
      </c>
      <c r="C11950" t="n">
        <v>4.99</v>
      </c>
    </row>
    <row r="11951">
      <c r="A11951" s="28" t="n">
        <v>36455</v>
      </c>
      <c r="B11951" t="n">
        <v>6.21</v>
      </c>
      <c r="C11951" t="n">
        <v>4.92</v>
      </c>
    </row>
    <row r="11952">
      <c r="A11952" s="28" t="n">
        <v>36458</v>
      </c>
      <c r="B11952" t="n">
        <v>6.22</v>
      </c>
      <c r="C11952" t="n">
        <v>4.89</v>
      </c>
    </row>
    <row r="11953">
      <c r="A11953" s="28" t="n">
        <v>36459</v>
      </c>
      <c r="B11953" t="n">
        <v>6.24</v>
      </c>
      <c r="C11953" t="n">
        <v>5</v>
      </c>
    </row>
    <row r="11954">
      <c r="A11954" s="28" t="n">
        <v>36460</v>
      </c>
      <c r="B11954" t="n">
        <v>6.19</v>
      </c>
      <c r="C11954" t="n">
        <v>4.99</v>
      </c>
    </row>
    <row r="11955">
      <c r="A11955" s="28" t="n">
        <v>36461</v>
      </c>
      <c r="B11955" t="n">
        <v>6.12</v>
      </c>
      <c r="C11955" t="n">
        <v>4.96</v>
      </c>
    </row>
    <row r="11956">
      <c r="A11956" s="28" t="n">
        <v>36462</v>
      </c>
      <c r="B11956" t="n">
        <v>6.02</v>
      </c>
      <c r="C11956" t="n">
        <v>4.97</v>
      </c>
    </row>
    <row r="11957">
      <c r="A11957" s="28" t="n">
        <v>36465</v>
      </c>
      <c r="B11957" t="n">
        <v>6.06</v>
      </c>
      <c r="C11957" t="n">
        <v>4.98</v>
      </c>
    </row>
    <row r="11958">
      <c r="A11958" s="28" t="n">
        <v>36466</v>
      </c>
      <c r="B11958" t="n">
        <v>6.04</v>
      </c>
      <c r="C11958" t="n">
        <v>4.99</v>
      </c>
    </row>
    <row r="11959">
      <c r="A11959" s="28" t="n">
        <v>36467</v>
      </c>
      <c r="B11959" t="n">
        <v>6.01</v>
      </c>
      <c r="C11959" t="n">
        <v>4.97</v>
      </c>
    </row>
    <row r="11960">
      <c r="A11960" s="28" t="n">
        <v>36468</v>
      </c>
      <c r="B11960" t="n">
        <v>5.95</v>
      </c>
      <c r="C11960" t="n">
        <v>4.95</v>
      </c>
    </row>
    <row r="11961">
      <c r="A11961" s="28" t="n">
        <v>36469</v>
      </c>
      <c r="B11961" t="n">
        <v>5.92</v>
      </c>
      <c r="C11961" t="n">
        <v>4.99</v>
      </c>
    </row>
    <row r="11962">
      <c r="A11962" s="28" t="n">
        <v>36472</v>
      </c>
      <c r="B11962" t="n">
        <v>5.95</v>
      </c>
      <c r="C11962" t="n">
        <v>5.04</v>
      </c>
    </row>
    <row r="11963">
      <c r="A11963" s="28" t="n">
        <v>36473</v>
      </c>
      <c r="B11963" t="n">
        <v>5.97</v>
      </c>
      <c r="C11963" t="n">
        <v>5.04</v>
      </c>
    </row>
    <row r="11964">
      <c r="A11964" s="28" t="n">
        <v>36474</v>
      </c>
      <c r="B11964" t="n">
        <v>6</v>
      </c>
      <c r="C11964" t="n">
        <v>5.05</v>
      </c>
    </row>
    <row r="11965">
      <c r="A11965" s="28" t="n">
        <v>36475</v>
      </c>
      <c r="B11965" t="n">
        <v>0</v>
      </c>
      <c r="C11965" t="n">
        <v>0</v>
      </c>
    </row>
    <row r="11966">
      <c r="A11966" s="28" t="n">
        <v>36476</v>
      </c>
      <c r="B11966" t="n">
        <v>5.93</v>
      </c>
      <c r="C11966" t="n">
        <v>5.08</v>
      </c>
    </row>
    <row r="11967">
      <c r="A11967" s="28" t="n">
        <v>36479</v>
      </c>
      <c r="B11967" t="n">
        <v>5.94</v>
      </c>
      <c r="C11967" t="n">
        <v>5.12</v>
      </c>
    </row>
    <row r="11968">
      <c r="A11968" s="28" t="n">
        <v>36480</v>
      </c>
      <c r="B11968" t="n">
        <v>5.97</v>
      </c>
      <c r="C11968" t="n">
        <v>5.14</v>
      </c>
    </row>
    <row r="11969">
      <c r="A11969" s="28" t="n">
        <v>36481</v>
      </c>
      <c r="B11969" t="n">
        <v>6.04</v>
      </c>
      <c r="C11969" t="n">
        <v>5.09</v>
      </c>
    </row>
    <row r="11970">
      <c r="A11970" s="28" t="n">
        <v>36482</v>
      </c>
      <c r="B11970" t="n">
        <v>6.06</v>
      </c>
      <c r="C11970" t="n">
        <v>5.08</v>
      </c>
    </row>
    <row r="11971">
      <c r="A11971" s="28" t="n">
        <v>36483</v>
      </c>
      <c r="B11971" t="n">
        <v>6.07</v>
      </c>
      <c r="C11971" t="n">
        <v>5.08</v>
      </c>
    </row>
    <row r="11972">
      <c r="A11972" s="28" t="n">
        <v>36486</v>
      </c>
      <c r="B11972" t="n">
        <v>6.09</v>
      </c>
      <c r="C11972" t="n">
        <v>5.08</v>
      </c>
    </row>
    <row r="11973">
      <c r="A11973" s="28" t="n">
        <v>36487</v>
      </c>
      <c r="B11973" t="n">
        <v>6.08</v>
      </c>
      <c r="C11973" t="n">
        <v>5.13</v>
      </c>
    </row>
    <row r="11974">
      <c r="A11974" s="28" t="n">
        <v>36488</v>
      </c>
      <c r="B11974" t="n">
        <v>6.09</v>
      </c>
      <c r="C11974" t="n">
        <v>5.14</v>
      </c>
    </row>
    <row r="11975">
      <c r="A11975" s="28" t="n">
        <v>36489</v>
      </c>
      <c r="B11975" t="n">
        <v>0</v>
      </c>
      <c r="C11975" t="n">
        <v>0</v>
      </c>
    </row>
    <row r="11976">
      <c r="A11976" s="28" t="n">
        <v>36490</v>
      </c>
      <c r="B11976" t="n">
        <v>6.12</v>
      </c>
      <c r="C11976" t="n">
        <v>5.14</v>
      </c>
    </row>
    <row r="11977">
      <c r="A11977" s="28" t="n">
        <v>36493</v>
      </c>
      <c r="B11977" t="n">
        <v>6.21</v>
      </c>
      <c r="C11977" t="n">
        <v>5.17</v>
      </c>
    </row>
    <row r="11978">
      <c r="A11978" s="28" t="n">
        <v>36494</v>
      </c>
      <c r="B11978" t="n">
        <v>6.18</v>
      </c>
      <c r="C11978" t="n">
        <v>5.15</v>
      </c>
    </row>
    <row r="11979">
      <c r="A11979" s="28" t="n">
        <v>36495</v>
      </c>
      <c r="B11979" t="n">
        <v>6.21</v>
      </c>
      <c r="C11979" t="n">
        <v>5.12</v>
      </c>
    </row>
    <row r="11980">
      <c r="A11980" s="28" t="n">
        <v>36496</v>
      </c>
      <c r="B11980" t="n">
        <v>6.24</v>
      </c>
      <c r="C11980" t="n">
        <v>5.1</v>
      </c>
    </row>
    <row r="11981">
      <c r="A11981" s="28" t="n">
        <v>36497</v>
      </c>
      <c r="B11981" t="n">
        <v>6.17</v>
      </c>
      <c r="C11981" t="n">
        <v>5.1</v>
      </c>
    </row>
    <row r="11982">
      <c r="A11982" s="28" t="n">
        <v>36500</v>
      </c>
      <c r="B11982" t="n">
        <v>6.16</v>
      </c>
      <c r="C11982" t="n">
        <v>5.09</v>
      </c>
    </row>
    <row r="11983">
      <c r="A11983" s="28" t="n">
        <v>36501</v>
      </c>
      <c r="B11983" t="n">
        <v>6.11</v>
      </c>
      <c r="C11983" t="n">
        <v>5.07</v>
      </c>
    </row>
    <row r="11984">
      <c r="A11984" s="28" t="n">
        <v>36502</v>
      </c>
      <c r="B11984" t="n">
        <v>6.15</v>
      </c>
      <c r="C11984" t="n">
        <v>5.07</v>
      </c>
    </row>
    <row r="11985">
      <c r="A11985" s="28" t="n">
        <v>36503</v>
      </c>
      <c r="B11985" t="n">
        <v>6.14</v>
      </c>
      <c r="C11985" t="n">
        <v>5.1</v>
      </c>
    </row>
    <row r="11986">
      <c r="A11986" s="28" t="n">
        <v>36504</v>
      </c>
      <c r="B11986" t="n">
        <v>6.08</v>
      </c>
      <c r="C11986" t="n">
        <v>5.14</v>
      </c>
    </row>
    <row r="11987">
      <c r="A11987" s="28" t="n">
        <v>36507</v>
      </c>
      <c r="B11987" t="n">
        <v>6.11</v>
      </c>
      <c r="C11987" t="n">
        <v>5.22</v>
      </c>
    </row>
    <row r="11988">
      <c r="A11988" s="28" t="n">
        <v>36508</v>
      </c>
      <c r="B11988" t="n">
        <v>6.22</v>
      </c>
      <c r="C11988" t="n">
        <v>5.23</v>
      </c>
    </row>
    <row r="11989">
      <c r="A11989" s="28" t="n">
        <v>36509</v>
      </c>
      <c r="B11989" t="n">
        <v>6.25</v>
      </c>
      <c r="C11989" t="n">
        <v>5.19</v>
      </c>
    </row>
    <row r="11990">
      <c r="A11990" s="28" t="n">
        <v>36510</v>
      </c>
      <c r="B11990" t="n">
        <v>6.31</v>
      </c>
      <c r="C11990" t="n">
        <v>5.23</v>
      </c>
    </row>
    <row r="11991">
      <c r="A11991" s="28" t="n">
        <v>36511</v>
      </c>
      <c r="B11991" t="n">
        <v>6.3</v>
      </c>
      <c r="C11991" t="n">
        <v>5.28</v>
      </c>
    </row>
    <row r="11992">
      <c r="A11992" s="28" t="n">
        <v>36514</v>
      </c>
      <c r="B11992" t="n">
        <v>6.36</v>
      </c>
      <c r="C11992" t="n">
        <v>5.39</v>
      </c>
    </row>
    <row r="11993">
      <c r="A11993" s="28" t="n">
        <v>36515</v>
      </c>
      <c r="B11993" t="n">
        <v>6.38</v>
      </c>
      <c r="C11993" t="n">
        <v>5.42</v>
      </c>
    </row>
    <row r="11994">
      <c r="A11994" s="28" t="n">
        <v>36516</v>
      </c>
      <c r="B11994" t="n">
        <v>6.39</v>
      </c>
      <c r="C11994" t="n">
        <v>5.39</v>
      </c>
    </row>
    <row r="11995">
      <c r="A11995" s="28" t="n">
        <v>36517</v>
      </c>
      <c r="B11995" t="n">
        <v>6.41</v>
      </c>
      <c r="C11995" t="n">
        <v>5.31</v>
      </c>
    </row>
    <row r="11996">
      <c r="A11996" s="28" t="n">
        <v>36518</v>
      </c>
      <c r="B11996" t="n">
        <v>0</v>
      </c>
      <c r="C11996" t="n">
        <v>0</v>
      </c>
    </row>
    <row r="11997">
      <c r="A11997" s="28" t="n">
        <v>36521</v>
      </c>
      <c r="B11997" t="n">
        <v>6.4</v>
      </c>
      <c r="C11997" t="n">
        <v>5.3</v>
      </c>
    </row>
    <row r="11998">
      <c r="A11998" s="28" t="n">
        <v>36522</v>
      </c>
      <c r="B11998" t="n">
        <v>6.43</v>
      </c>
      <c r="C11998" t="n">
        <v>5.25</v>
      </c>
    </row>
    <row r="11999">
      <c r="A11999" s="28" t="n">
        <v>36523</v>
      </c>
      <c r="B11999" t="n">
        <v>6.4</v>
      </c>
      <c r="C11999" t="n">
        <v>5.08</v>
      </c>
    </row>
    <row r="12000">
      <c r="A12000" s="28" t="n">
        <v>36524</v>
      </c>
      <c r="B12000" t="n">
        <v>6.39</v>
      </c>
      <c r="C12000" t="n">
        <v>5.07</v>
      </c>
    </row>
    <row r="12001">
      <c r="A12001" s="28" t="n">
        <v>36525</v>
      </c>
      <c r="B12001" t="n">
        <v>6.45</v>
      </c>
      <c r="C12001" t="n">
        <v>5.17</v>
      </c>
    </row>
    <row r="12002">
      <c r="A12002" s="28" t="n">
        <v>36528</v>
      </c>
      <c r="B12002" t="n">
        <v>6.58</v>
      </c>
      <c r="C12002" t="n">
        <v>5.27</v>
      </c>
    </row>
    <row r="12003">
      <c r="A12003" s="28" t="n">
        <v>36529</v>
      </c>
      <c r="B12003" t="n">
        <v>6.49</v>
      </c>
      <c r="C12003" t="n">
        <v>5.27</v>
      </c>
    </row>
    <row r="12004">
      <c r="A12004" s="28" t="n">
        <v>36530</v>
      </c>
      <c r="B12004" t="n">
        <v>6.62</v>
      </c>
      <c r="C12004" t="n">
        <v>5.28</v>
      </c>
    </row>
    <row r="12005">
      <c r="A12005" s="28" t="n">
        <v>36531</v>
      </c>
      <c r="B12005" t="n">
        <v>6.57</v>
      </c>
      <c r="C12005" t="n">
        <v>5.25</v>
      </c>
    </row>
    <row r="12006">
      <c r="A12006" s="28" t="n">
        <v>36532</v>
      </c>
      <c r="B12006" t="n">
        <v>6.52</v>
      </c>
      <c r="C12006" t="n">
        <v>5.22</v>
      </c>
    </row>
    <row r="12007">
      <c r="A12007" s="28" t="n">
        <v>36535</v>
      </c>
      <c r="B12007" t="n">
        <v>6.57</v>
      </c>
      <c r="C12007" t="n">
        <v>5.24</v>
      </c>
    </row>
    <row r="12008">
      <c r="A12008" s="28" t="n">
        <v>36536</v>
      </c>
      <c r="B12008" t="n">
        <v>6.67</v>
      </c>
      <c r="C12008" t="n">
        <v>5.27</v>
      </c>
    </row>
    <row r="12009">
      <c r="A12009" s="28" t="n">
        <v>36537</v>
      </c>
      <c r="B12009" t="n">
        <v>6.72</v>
      </c>
      <c r="C12009" t="n">
        <v>5.29</v>
      </c>
    </row>
    <row r="12010">
      <c r="A12010" s="28" t="n">
        <v>36538</v>
      </c>
      <c r="B12010" t="n">
        <v>6.63</v>
      </c>
      <c r="C12010" t="n">
        <v>5.25</v>
      </c>
    </row>
    <row r="12011">
      <c r="A12011" s="28" t="n">
        <v>36539</v>
      </c>
      <c r="B12011" t="n">
        <v>6.69</v>
      </c>
      <c r="C12011" t="n">
        <v>5.25</v>
      </c>
    </row>
    <row r="12012">
      <c r="A12012" s="28" t="n">
        <v>36542</v>
      </c>
      <c r="B12012" t="n">
        <v>0</v>
      </c>
      <c r="C12012" t="n">
        <v>0</v>
      </c>
    </row>
    <row r="12013">
      <c r="A12013" s="28" t="n">
        <v>36543</v>
      </c>
      <c r="B12013" t="n">
        <v>6.75</v>
      </c>
      <c r="C12013" t="n">
        <v>5.24</v>
      </c>
    </row>
    <row r="12014">
      <c r="A12014" s="28" t="n">
        <v>36544</v>
      </c>
      <c r="B12014" t="n">
        <v>6.73</v>
      </c>
      <c r="C12014" t="n">
        <v>5.35</v>
      </c>
    </row>
    <row r="12015">
      <c r="A12015" s="28" t="n">
        <v>36545</v>
      </c>
      <c r="B12015" t="n">
        <v>6.79</v>
      </c>
      <c r="C12015" t="n">
        <v>5.32</v>
      </c>
    </row>
    <row r="12016">
      <c r="A12016" s="28" t="n">
        <v>36546</v>
      </c>
      <c r="B12016" t="n">
        <v>6.79</v>
      </c>
      <c r="C12016" t="n">
        <v>5.31</v>
      </c>
    </row>
    <row r="12017">
      <c r="A12017" s="28" t="n">
        <v>36549</v>
      </c>
      <c r="B12017" t="n">
        <v>6.69</v>
      </c>
      <c r="C12017" t="n">
        <v>5.32</v>
      </c>
    </row>
    <row r="12018">
      <c r="A12018" s="28" t="n">
        <v>36550</v>
      </c>
      <c r="B12018" t="n">
        <v>6.7</v>
      </c>
      <c r="C12018" t="n">
        <v>5.4</v>
      </c>
    </row>
    <row r="12019">
      <c r="A12019" s="28" t="n">
        <v>36551</v>
      </c>
      <c r="B12019" t="n">
        <v>6.69</v>
      </c>
      <c r="C12019" t="n">
        <v>5.41</v>
      </c>
    </row>
    <row r="12020">
      <c r="A12020" s="28" t="n">
        <v>36552</v>
      </c>
      <c r="B12020" t="n">
        <v>6.68</v>
      </c>
      <c r="C12020" t="n">
        <v>5.42</v>
      </c>
    </row>
    <row r="12021">
      <c r="A12021" s="28" t="n">
        <v>36553</v>
      </c>
      <c r="B12021" t="n">
        <v>6.66</v>
      </c>
      <c r="C12021" t="n">
        <v>5.48</v>
      </c>
    </row>
    <row r="12022">
      <c r="A12022" s="28" t="n">
        <v>36556</v>
      </c>
      <c r="B12022" t="n">
        <v>6.68</v>
      </c>
      <c r="C12022" t="n">
        <v>5.53</v>
      </c>
    </row>
    <row r="12023">
      <c r="A12023" s="28" t="n">
        <v>36557</v>
      </c>
      <c r="B12023" t="n">
        <v>6.62</v>
      </c>
      <c r="C12023" t="n">
        <v>5.54</v>
      </c>
    </row>
    <row r="12024">
      <c r="A12024" s="28" t="n">
        <v>36558</v>
      </c>
      <c r="B12024" t="n">
        <v>6.6</v>
      </c>
      <c r="C12024" t="n">
        <v>5.49</v>
      </c>
    </row>
    <row r="12025">
      <c r="A12025" s="28" t="n">
        <v>36559</v>
      </c>
      <c r="B12025" t="n">
        <v>6.49</v>
      </c>
      <c r="C12025" t="n">
        <v>5.46</v>
      </c>
    </row>
    <row r="12026">
      <c r="A12026" s="28" t="n">
        <v>36560</v>
      </c>
      <c r="B12026" t="n">
        <v>6.53</v>
      </c>
      <c r="C12026" t="n">
        <v>5.5</v>
      </c>
    </row>
    <row r="12027">
      <c r="A12027" s="28" t="n">
        <v>36563</v>
      </c>
      <c r="B12027" t="n">
        <v>6.64</v>
      </c>
      <c r="C12027" t="n">
        <v>5.47</v>
      </c>
    </row>
    <row r="12028">
      <c r="A12028" s="28" t="n">
        <v>36564</v>
      </c>
      <c r="B12028" t="n">
        <v>6.59</v>
      </c>
      <c r="C12028" t="n">
        <v>5.52</v>
      </c>
    </row>
    <row r="12029">
      <c r="A12029" s="28" t="n">
        <v>36565</v>
      </c>
      <c r="B12029" t="n">
        <v>6.56</v>
      </c>
      <c r="C12029" t="n">
        <v>5.49</v>
      </c>
    </row>
    <row r="12030">
      <c r="A12030" s="28" t="n">
        <v>36566</v>
      </c>
      <c r="B12030" t="n">
        <v>6.67</v>
      </c>
      <c r="C12030" t="n">
        <v>5.5</v>
      </c>
    </row>
    <row r="12031">
      <c r="A12031" s="28" t="n">
        <v>36567</v>
      </c>
      <c r="B12031" t="n">
        <v>6.63</v>
      </c>
      <c r="C12031" t="n">
        <v>5.49</v>
      </c>
    </row>
    <row r="12032">
      <c r="A12032" s="28" t="n">
        <v>36570</v>
      </c>
      <c r="B12032" t="n">
        <v>6.56</v>
      </c>
      <c r="C12032" t="n">
        <v>5.47</v>
      </c>
    </row>
    <row r="12033">
      <c r="A12033" s="28" t="n">
        <v>36571</v>
      </c>
      <c r="B12033" t="n">
        <v>6.56</v>
      </c>
      <c r="C12033" t="n">
        <v>5.58</v>
      </c>
    </row>
    <row r="12034">
      <c r="A12034" s="28" t="n">
        <v>36572</v>
      </c>
      <c r="B12034" t="n">
        <v>6.56</v>
      </c>
      <c r="C12034" t="n">
        <v>5.56</v>
      </c>
    </row>
    <row r="12035">
      <c r="A12035" s="28" t="n">
        <v>36573</v>
      </c>
      <c r="B12035" t="n">
        <v>6.58</v>
      </c>
      <c r="C12035" t="n">
        <v>5.57</v>
      </c>
    </row>
    <row r="12036">
      <c r="A12036" s="28" t="n">
        <v>36574</v>
      </c>
      <c r="B12036" t="n">
        <v>6.49</v>
      </c>
      <c r="C12036" t="n">
        <v>5.58</v>
      </c>
    </row>
    <row r="12037">
      <c r="A12037" s="28" t="n">
        <v>36577</v>
      </c>
      <c r="B12037" t="n">
        <v>0</v>
      </c>
      <c r="C12037" t="n">
        <v>0</v>
      </c>
    </row>
    <row r="12038">
      <c r="A12038" s="28" t="n">
        <v>36578</v>
      </c>
      <c r="B12038" t="n">
        <v>6.36</v>
      </c>
      <c r="C12038" t="n">
        <v>5.6</v>
      </c>
    </row>
    <row r="12039">
      <c r="A12039" s="28" t="n">
        <v>36579</v>
      </c>
      <c r="B12039" t="n">
        <v>6.44</v>
      </c>
      <c r="C12039" t="n">
        <v>5.64</v>
      </c>
    </row>
    <row r="12040">
      <c r="A12040" s="28" t="n">
        <v>36580</v>
      </c>
      <c r="B12040" t="n">
        <v>6.36</v>
      </c>
      <c r="C12040" t="n">
        <v>5.63</v>
      </c>
    </row>
    <row r="12041">
      <c r="A12041" s="28" t="n">
        <v>36581</v>
      </c>
      <c r="B12041" t="n">
        <v>6.36</v>
      </c>
      <c r="C12041" t="n">
        <v>5.62</v>
      </c>
    </row>
    <row r="12042">
      <c r="A12042" s="28" t="n">
        <v>36584</v>
      </c>
      <c r="B12042" t="n">
        <v>6.37</v>
      </c>
      <c r="C12042" t="n">
        <v>5.63</v>
      </c>
    </row>
    <row r="12043">
      <c r="A12043" s="28" t="n">
        <v>36585</v>
      </c>
      <c r="B12043" t="n">
        <v>6.42</v>
      </c>
      <c r="C12043" t="n">
        <v>5.62</v>
      </c>
    </row>
    <row r="12044">
      <c r="A12044" s="28" t="n">
        <v>36586</v>
      </c>
      <c r="B12044" t="n">
        <v>6.39</v>
      </c>
      <c r="C12044" t="n">
        <v>5.6</v>
      </c>
    </row>
    <row r="12045">
      <c r="A12045" s="28" t="n">
        <v>36587</v>
      </c>
      <c r="B12045" t="n">
        <v>6.4</v>
      </c>
      <c r="C12045" t="n">
        <v>5.6</v>
      </c>
    </row>
    <row r="12046">
      <c r="A12046" s="28" t="n">
        <v>36588</v>
      </c>
      <c r="B12046" t="n">
        <v>6.39</v>
      </c>
      <c r="C12046" t="n">
        <v>5.63</v>
      </c>
    </row>
    <row r="12047">
      <c r="A12047" s="28" t="n">
        <v>36591</v>
      </c>
      <c r="B12047" t="n">
        <v>6.42</v>
      </c>
      <c r="C12047" t="n">
        <v>5.66</v>
      </c>
    </row>
    <row r="12048">
      <c r="A12048" s="28" t="n">
        <v>36592</v>
      </c>
      <c r="B12048" t="n">
        <v>6.39</v>
      </c>
      <c r="C12048" t="n">
        <v>5.67</v>
      </c>
    </row>
    <row r="12049">
      <c r="A12049" s="28" t="n">
        <v>36593</v>
      </c>
      <c r="B12049" t="n">
        <v>6.38</v>
      </c>
      <c r="C12049" t="n">
        <v>5.67</v>
      </c>
    </row>
    <row r="12050">
      <c r="A12050" s="28" t="n">
        <v>36594</v>
      </c>
      <c r="B12050" t="n">
        <v>6.35</v>
      </c>
      <c r="C12050" t="n">
        <v>5.66</v>
      </c>
    </row>
    <row r="12051">
      <c r="A12051" s="28" t="n">
        <v>36595</v>
      </c>
      <c r="B12051" t="n">
        <v>6.39</v>
      </c>
      <c r="C12051" t="n">
        <v>5.7</v>
      </c>
    </row>
    <row r="12052">
      <c r="A12052" s="28" t="n">
        <v>36598</v>
      </c>
      <c r="B12052" t="n">
        <v>6.36</v>
      </c>
      <c r="C12052" t="n">
        <v>5.71</v>
      </c>
    </row>
    <row r="12053">
      <c r="A12053" s="28" t="n">
        <v>36599</v>
      </c>
      <c r="B12053" t="n">
        <v>6.31</v>
      </c>
      <c r="C12053" t="n">
        <v>5.71</v>
      </c>
    </row>
    <row r="12054">
      <c r="A12054" s="28" t="n">
        <v>36600</v>
      </c>
      <c r="B12054" t="n">
        <v>6.29</v>
      </c>
      <c r="C12054" t="n">
        <v>5.69</v>
      </c>
    </row>
    <row r="12055">
      <c r="A12055" s="28" t="n">
        <v>36601</v>
      </c>
      <c r="B12055" t="n">
        <v>6.26</v>
      </c>
      <c r="C12055" t="n">
        <v>5.7</v>
      </c>
    </row>
    <row r="12056">
      <c r="A12056" s="28" t="n">
        <v>36602</v>
      </c>
      <c r="B12056" t="n">
        <v>6.2</v>
      </c>
      <c r="C12056" t="n">
        <v>5.72</v>
      </c>
    </row>
    <row r="12057">
      <c r="A12057" s="28" t="n">
        <v>36605</v>
      </c>
      <c r="B12057" t="n">
        <v>6.18</v>
      </c>
      <c r="C12057" t="n">
        <v>5.74</v>
      </c>
    </row>
    <row r="12058">
      <c r="A12058" s="28" t="n">
        <v>36606</v>
      </c>
      <c r="B12058" t="n">
        <v>6.13</v>
      </c>
      <c r="C12058" t="n">
        <v>5.74</v>
      </c>
    </row>
    <row r="12059">
      <c r="A12059" s="28" t="n">
        <v>36607</v>
      </c>
      <c r="B12059" t="n">
        <v>6.13</v>
      </c>
      <c r="C12059" t="n">
        <v>5.74</v>
      </c>
    </row>
    <row r="12060">
      <c r="A12060" s="28" t="n">
        <v>36608</v>
      </c>
      <c r="B12060" t="n">
        <v>6.08</v>
      </c>
      <c r="C12060" t="n">
        <v>5.73</v>
      </c>
    </row>
    <row r="12061">
      <c r="A12061" s="28" t="n">
        <v>36609</v>
      </c>
      <c r="B12061" t="n">
        <v>6.2</v>
      </c>
      <c r="C12061" t="n">
        <v>5.74</v>
      </c>
    </row>
    <row r="12062">
      <c r="A12062" s="28" t="n">
        <v>36612</v>
      </c>
      <c r="B12062" t="n">
        <v>6.21</v>
      </c>
      <c r="C12062" t="n">
        <v>5.69</v>
      </c>
    </row>
    <row r="12063">
      <c r="A12063" s="28" t="n">
        <v>36613</v>
      </c>
      <c r="B12063" t="n">
        <v>6.17</v>
      </c>
      <c r="C12063" t="n">
        <v>5.72</v>
      </c>
    </row>
    <row r="12064">
      <c r="A12064" s="28" t="n">
        <v>36614</v>
      </c>
      <c r="B12064" t="n">
        <v>6.18</v>
      </c>
      <c r="C12064" t="n">
        <v>5.73</v>
      </c>
    </row>
    <row r="12065">
      <c r="A12065" s="28" t="n">
        <v>36615</v>
      </c>
      <c r="B12065" t="n">
        <v>6.06</v>
      </c>
      <c r="C12065" t="n">
        <v>5.71</v>
      </c>
    </row>
    <row r="12066">
      <c r="A12066" s="28" t="n">
        <v>36616</v>
      </c>
      <c r="B12066" t="n">
        <v>6.03</v>
      </c>
      <c r="C12066" t="n">
        <v>5.72</v>
      </c>
    </row>
    <row r="12067">
      <c r="A12067" s="28" t="n">
        <v>36619</v>
      </c>
      <c r="B12067" t="n">
        <v>6</v>
      </c>
      <c r="C12067" t="n">
        <v>5.69</v>
      </c>
    </row>
    <row r="12068">
      <c r="A12068" s="28" t="n">
        <v>36620</v>
      </c>
      <c r="B12068" t="n">
        <v>5.9</v>
      </c>
      <c r="C12068" t="n">
        <v>5.67</v>
      </c>
    </row>
    <row r="12069">
      <c r="A12069" s="28" t="n">
        <v>36621</v>
      </c>
      <c r="B12069" t="n">
        <v>5.9</v>
      </c>
      <c r="C12069" t="n">
        <v>5.7</v>
      </c>
    </row>
    <row r="12070">
      <c r="A12070" s="28" t="n">
        <v>36622</v>
      </c>
      <c r="B12070" t="n">
        <v>5.93</v>
      </c>
      <c r="C12070" t="n">
        <v>5.72</v>
      </c>
    </row>
    <row r="12071">
      <c r="A12071" s="28" t="n">
        <v>36623</v>
      </c>
      <c r="B12071" t="n">
        <v>5.86</v>
      </c>
      <c r="C12071" t="n">
        <v>5.73</v>
      </c>
    </row>
    <row r="12072">
      <c r="A12072" s="28" t="n">
        <v>36626</v>
      </c>
      <c r="B12072" t="n">
        <v>5.8</v>
      </c>
      <c r="C12072" t="n">
        <v>5.7</v>
      </c>
    </row>
    <row r="12073">
      <c r="A12073" s="28" t="n">
        <v>36627</v>
      </c>
      <c r="B12073" t="n">
        <v>5.89</v>
      </c>
      <c r="C12073" t="n">
        <v>5.67</v>
      </c>
    </row>
    <row r="12074">
      <c r="A12074" s="28" t="n">
        <v>36628</v>
      </c>
      <c r="B12074" t="n">
        <v>5.97</v>
      </c>
      <c r="C12074" t="n">
        <v>5.67</v>
      </c>
    </row>
    <row r="12075">
      <c r="A12075" s="28" t="n">
        <v>36629</v>
      </c>
      <c r="B12075" t="n">
        <v>5.94</v>
      </c>
      <c r="C12075" t="n">
        <v>5.65</v>
      </c>
    </row>
    <row r="12076">
      <c r="A12076" s="28" t="n">
        <v>36630</v>
      </c>
      <c r="B12076" t="n">
        <v>5.85</v>
      </c>
      <c r="C12076" t="n">
        <v>5.65</v>
      </c>
    </row>
    <row r="12077">
      <c r="A12077" s="28" t="n">
        <v>36633</v>
      </c>
      <c r="B12077" t="n">
        <v>6.01</v>
      </c>
      <c r="C12077" t="n">
        <v>5.65</v>
      </c>
    </row>
    <row r="12078">
      <c r="A12078" s="28" t="n">
        <v>36634</v>
      </c>
      <c r="B12078" t="n">
        <v>6.05</v>
      </c>
      <c r="C12078" t="n">
        <v>5.65</v>
      </c>
    </row>
    <row r="12079">
      <c r="A12079" s="28" t="n">
        <v>36635</v>
      </c>
      <c r="B12079" t="n">
        <v>5.99</v>
      </c>
      <c r="C12079" t="n">
        <v>5.65</v>
      </c>
    </row>
    <row r="12080">
      <c r="A12080" s="28" t="n">
        <v>36636</v>
      </c>
      <c r="B12080" t="n">
        <v>5.99</v>
      </c>
      <c r="C12080" t="n">
        <v>5.63</v>
      </c>
    </row>
    <row r="12081">
      <c r="A12081" s="28" t="n">
        <v>36637</v>
      </c>
      <c r="B12081" t="n">
        <v>0</v>
      </c>
      <c r="C12081" t="n">
        <v>0</v>
      </c>
    </row>
    <row r="12082">
      <c r="A12082" s="28" t="n">
        <v>36640</v>
      </c>
      <c r="B12082" t="n">
        <v>6</v>
      </c>
      <c r="C12082" t="n">
        <v>5.61</v>
      </c>
    </row>
    <row r="12083">
      <c r="A12083" s="28" t="n">
        <v>36641</v>
      </c>
      <c r="B12083" t="n">
        <v>6.14</v>
      </c>
      <c r="C12083" t="n">
        <v>5.63</v>
      </c>
    </row>
    <row r="12084">
      <c r="A12084" s="28" t="n">
        <v>36642</v>
      </c>
      <c r="B12084" t="n">
        <v>6.14</v>
      </c>
      <c r="C12084" t="n">
        <v>5.59</v>
      </c>
    </row>
    <row r="12085">
      <c r="A12085" s="28" t="n">
        <v>36643</v>
      </c>
      <c r="B12085" t="n">
        <v>6.23</v>
      </c>
      <c r="C12085" t="n">
        <v>5.59</v>
      </c>
    </row>
    <row r="12086">
      <c r="A12086" s="28" t="n">
        <v>36644</v>
      </c>
      <c r="B12086" t="n">
        <v>6.23</v>
      </c>
      <c r="C12086" t="n">
        <v>5.66</v>
      </c>
    </row>
    <row r="12087">
      <c r="A12087" s="28" t="n">
        <v>36647</v>
      </c>
      <c r="B12087" t="n">
        <v>6.29</v>
      </c>
      <c r="C12087" t="n">
        <v>5.67</v>
      </c>
    </row>
    <row r="12088">
      <c r="A12088" s="28" t="n">
        <v>36648</v>
      </c>
      <c r="B12088" t="n">
        <v>6.32</v>
      </c>
      <c r="C12088" t="n">
        <v>5.75</v>
      </c>
    </row>
    <row r="12089">
      <c r="A12089" s="28" t="n">
        <v>36649</v>
      </c>
      <c r="B12089" t="n">
        <v>6.4</v>
      </c>
      <c r="C12089" t="n">
        <v>5.74</v>
      </c>
    </row>
    <row r="12090">
      <c r="A12090" s="28" t="n">
        <v>36650</v>
      </c>
      <c r="B12090" t="n">
        <v>6.46</v>
      </c>
      <c r="C12090" t="n">
        <v>5.73</v>
      </c>
    </row>
    <row r="12091">
      <c r="A12091" s="28" t="n">
        <v>36651</v>
      </c>
      <c r="B12091" t="n">
        <v>6.51</v>
      </c>
      <c r="C12091" t="n">
        <v>5.79</v>
      </c>
    </row>
    <row r="12092">
      <c r="A12092" s="28" t="n">
        <v>36654</v>
      </c>
      <c r="B12092" t="n">
        <v>6.57</v>
      </c>
      <c r="C12092" t="n">
        <v>5.87</v>
      </c>
    </row>
    <row r="12093">
      <c r="A12093" s="28" t="n">
        <v>36655</v>
      </c>
      <c r="B12093" t="n">
        <v>6.53</v>
      </c>
      <c r="C12093" t="n">
        <v>5.96</v>
      </c>
    </row>
    <row r="12094">
      <c r="A12094" s="28" t="n">
        <v>36656</v>
      </c>
      <c r="B12094" t="n">
        <v>6.47</v>
      </c>
      <c r="C12094" t="n">
        <v>5.96</v>
      </c>
    </row>
    <row r="12095">
      <c r="A12095" s="28" t="n">
        <v>36657</v>
      </c>
      <c r="B12095" t="n">
        <v>6.43</v>
      </c>
      <c r="C12095" t="n">
        <v>5.96</v>
      </c>
    </row>
    <row r="12096">
      <c r="A12096" s="28" t="n">
        <v>36658</v>
      </c>
      <c r="B12096" t="n">
        <v>6.51</v>
      </c>
      <c r="C12096" t="n">
        <v>5.96</v>
      </c>
    </row>
    <row r="12097">
      <c r="A12097" s="28" t="n">
        <v>36661</v>
      </c>
      <c r="B12097" t="n">
        <v>6.47</v>
      </c>
      <c r="C12097" t="n">
        <v>5.94</v>
      </c>
    </row>
    <row r="12098">
      <c r="A12098" s="28" t="n">
        <v>36662</v>
      </c>
      <c r="B12098" t="n">
        <v>6.43</v>
      </c>
      <c r="C12098" t="n">
        <v>6.02</v>
      </c>
    </row>
    <row r="12099">
      <c r="A12099" s="28" t="n">
        <v>36663</v>
      </c>
      <c r="B12099" t="n">
        <v>6.48</v>
      </c>
      <c r="C12099" t="n">
        <v>5.88</v>
      </c>
    </row>
    <row r="12100">
      <c r="A12100" s="28" t="n">
        <v>36664</v>
      </c>
      <c r="B12100" t="n">
        <v>6.56</v>
      </c>
      <c r="C12100" t="n">
        <v>5.75</v>
      </c>
    </row>
    <row r="12101">
      <c r="A12101" s="28" t="n">
        <v>36665</v>
      </c>
      <c r="B12101" t="n">
        <v>6.51</v>
      </c>
      <c r="C12101" t="n">
        <v>5.71</v>
      </c>
    </row>
    <row r="12102">
      <c r="A12102" s="28" t="n">
        <v>36668</v>
      </c>
      <c r="B12102" t="n">
        <v>6.44</v>
      </c>
      <c r="C12102" t="n">
        <v>5.71</v>
      </c>
    </row>
    <row r="12103">
      <c r="A12103" s="28" t="n">
        <v>36669</v>
      </c>
      <c r="B12103" t="n">
        <v>6.45</v>
      </c>
      <c r="C12103" t="n">
        <v>5.84</v>
      </c>
    </row>
    <row r="12104">
      <c r="A12104" s="28" t="n">
        <v>36670</v>
      </c>
      <c r="B12104" t="n">
        <v>6.47</v>
      </c>
      <c r="C12104" t="n">
        <v>5.75</v>
      </c>
    </row>
    <row r="12105">
      <c r="A12105" s="28" t="n">
        <v>36671</v>
      </c>
      <c r="B12105" t="n">
        <v>6.39</v>
      </c>
      <c r="C12105" t="n">
        <v>5.68</v>
      </c>
    </row>
    <row r="12106">
      <c r="A12106" s="28" t="n">
        <v>36672</v>
      </c>
      <c r="B12106" t="n">
        <v>6.33</v>
      </c>
      <c r="C12106" t="n">
        <v>5.65</v>
      </c>
    </row>
    <row r="12107">
      <c r="A12107" s="28" t="n">
        <v>36675</v>
      </c>
      <c r="B12107" t="n">
        <v>0</v>
      </c>
      <c r="C12107" t="n">
        <v>0</v>
      </c>
    </row>
    <row r="12108">
      <c r="A12108" s="28" t="n">
        <v>36676</v>
      </c>
      <c r="B12108" t="n">
        <v>6.38</v>
      </c>
      <c r="C12108" t="n">
        <v>5.6</v>
      </c>
    </row>
    <row r="12109">
      <c r="A12109" s="28" t="n">
        <v>36677</v>
      </c>
      <c r="B12109" t="n">
        <v>6.29</v>
      </c>
      <c r="C12109" t="n">
        <v>5.48</v>
      </c>
    </row>
    <row r="12110">
      <c r="A12110" s="28" t="n">
        <v>36678</v>
      </c>
      <c r="B12110" t="n">
        <v>6.2</v>
      </c>
      <c r="C12110" t="n">
        <v>5.57</v>
      </c>
    </row>
    <row r="12111">
      <c r="A12111" s="28" t="n">
        <v>36679</v>
      </c>
      <c r="B12111" t="n">
        <v>6.15</v>
      </c>
      <c r="C12111" t="n">
        <v>5.7</v>
      </c>
    </row>
    <row r="12112">
      <c r="A12112" s="28" t="n">
        <v>36682</v>
      </c>
      <c r="B12112" t="n">
        <v>6.12</v>
      </c>
      <c r="C12112" t="n">
        <v>5.72</v>
      </c>
    </row>
    <row r="12113">
      <c r="A12113" s="28" t="n">
        <v>36683</v>
      </c>
      <c r="B12113" t="n">
        <v>6.14</v>
      </c>
      <c r="C12113" t="n">
        <v>5.82</v>
      </c>
    </row>
    <row r="12114">
      <c r="A12114" s="28" t="n">
        <v>36684</v>
      </c>
      <c r="B12114" t="n">
        <v>6.13</v>
      </c>
      <c r="C12114" t="n">
        <v>5.75</v>
      </c>
    </row>
    <row r="12115">
      <c r="A12115" s="28" t="n">
        <v>36685</v>
      </c>
      <c r="B12115" t="n">
        <v>6.13</v>
      </c>
      <c r="C12115" t="n">
        <v>5.74</v>
      </c>
    </row>
    <row r="12116">
      <c r="A12116" s="28" t="n">
        <v>36686</v>
      </c>
      <c r="B12116" t="n">
        <v>6.13</v>
      </c>
      <c r="C12116" t="n">
        <v>5.75</v>
      </c>
    </row>
    <row r="12117">
      <c r="A12117" s="28" t="n">
        <v>36689</v>
      </c>
      <c r="B12117" t="n">
        <v>6.09</v>
      </c>
      <c r="C12117" t="n">
        <v>5.69</v>
      </c>
    </row>
    <row r="12118">
      <c r="A12118" s="28" t="n">
        <v>36690</v>
      </c>
      <c r="B12118" t="n">
        <v>6.11</v>
      </c>
      <c r="C12118" t="n">
        <v>5.72</v>
      </c>
    </row>
    <row r="12119">
      <c r="A12119" s="28" t="n">
        <v>36691</v>
      </c>
      <c r="B12119" t="n">
        <v>6.06</v>
      </c>
      <c r="C12119" t="n">
        <v>5.66</v>
      </c>
    </row>
    <row r="12120">
      <c r="A12120" s="28" t="n">
        <v>36692</v>
      </c>
      <c r="B12120" t="n">
        <v>6.05</v>
      </c>
      <c r="C12120" t="n">
        <v>5.67</v>
      </c>
    </row>
    <row r="12121">
      <c r="A12121" s="28" t="n">
        <v>36693</v>
      </c>
      <c r="B12121" t="n">
        <v>5.99</v>
      </c>
      <c r="C12121" t="n">
        <v>5.66</v>
      </c>
    </row>
    <row r="12122">
      <c r="A12122" s="28" t="n">
        <v>36696</v>
      </c>
      <c r="B12122" t="n">
        <v>6</v>
      </c>
      <c r="C12122" t="n">
        <v>5.64</v>
      </c>
    </row>
    <row r="12123">
      <c r="A12123" s="28" t="n">
        <v>36697</v>
      </c>
      <c r="B12123" t="n">
        <v>6.03</v>
      </c>
      <c r="C12123" t="n">
        <v>5.63</v>
      </c>
    </row>
    <row r="12124">
      <c r="A12124" s="28" t="n">
        <v>36698</v>
      </c>
      <c r="B12124" t="n">
        <v>6.11</v>
      </c>
      <c r="C12124" t="n">
        <v>5.65</v>
      </c>
    </row>
    <row r="12125">
      <c r="A12125" s="28" t="n">
        <v>36699</v>
      </c>
      <c r="B12125" t="n">
        <v>6.12</v>
      </c>
      <c r="C12125" t="n">
        <v>5.67</v>
      </c>
    </row>
    <row r="12126">
      <c r="A12126" s="28" t="n">
        <v>36700</v>
      </c>
      <c r="B12126" t="n">
        <v>6.19</v>
      </c>
      <c r="C12126" t="n">
        <v>5.69</v>
      </c>
    </row>
    <row r="12127">
      <c r="A12127" s="28" t="n">
        <v>36703</v>
      </c>
      <c r="B12127" t="n">
        <v>6.11</v>
      </c>
      <c r="C12127" t="n">
        <v>5.66</v>
      </c>
    </row>
    <row r="12128">
      <c r="A12128" s="28" t="n">
        <v>36704</v>
      </c>
      <c r="B12128" t="n">
        <v>6.1</v>
      </c>
      <c r="C12128" t="n">
        <v>5.67</v>
      </c>
    </row>
    <row r="12129">
      <c r="A12129" s="28" t="n">
        <v>36705</v>
      </c>
      <c r="B12129" t="n">
        <v>6.11</v>
      </c>
      <c r="C12129" t="n">
        <v>5.65</v>
      </c>
    </row>
    <row r="12130">
      <c r="A12130" s="28" t="n">
        <v>36706</v>
      </c>
      <c r="B12130" t="n">
        <v>6.04</v>
      </c>
      <c r="C12130" t="n">
        <v>5.68</v>
      </c>
    </row>
    <row r="12131">
      <c r="A12131" s="28" t="n">
        <v>36707</v>
      </c>
      <c r="B12131" t="n">
        <v>6.03</v>
      </c>
      <c r="C12131" t="n">
        <v>5.71</v>
      </c>
    </row>
    <row r="12132">
      <c r="A12132" s="28" t="n">
        <v>36710</v>
      </c>
      <c r="B12132" t="n">
        <v>6</v>
      </c>
      <c r="C12132" t="n">
        <v>5.75</v>
      </c>
    </row>
    <row r="12133">
      <c r="A12133" s="28" t="n">
        <v>36711</v>
      </c>
      <c r="B12133" t="n">
        <v>0</v>
      </c>
      <c r="C12133" t="n">
        <v>0</v>
      </c>
    </row>
    <row r="12134">
      <c r="A12134" s="28" t="n">
        <v>36712</v>
      </c>
      <c r="B12134" t="n">
        <v>5.99</v>
      </c>
      <c r="C12134" t="n">
        <v>5.82</v>
      </c>
    </row>
    <row r="12135">
      <c r="A12135" s="28" t="n">
        <v>36713</v>
      </c>
      <c r="B12135" t="n">
        <v>6.05</v>
      </c>
      <c r="C12135" t="n">
        <v>5.85</v>
      </c>
    </row>
    <row r="12136">
      <c r="A12136" s="28" t="n">
        <v>36714</v>
      </c>
      <c r="B12136" t="n">
        <v>6.01</v>
      </c>
      <c r="C12136" t="n">
        <v>5.87</v>
      </c>
    </row>
    <row r="12137">
      <c r="A12137" s="28" t="n">
        <v>36717</v>
      </c>
      <c r="B12137" t="n">
        <v>6.04</v>
      </c>
      <c r="C12137" t="n">
        <v>5.9</v>
      </c>
    </row>
    <row r="12138">
      <c r="A12138" s="28" t="n">
        <v>36718</v>
      </c>
      <c r="B12138" t="n">
        <v>6.06</v>
      </c>
      <c r="C12138" t="n">
        <v>5.93</v>
      </c>
    </row>
    <row r="12139">
      <c r="A12139" s="28" t="n">
        <v>36719</v>
      </c>
      <c r="B12139" t="n">
        <v>6.09</v>
      </c>
      <c r="C12139" t="n">
        <v>5.99</v>
      </c>
    </row>
    <row r="12140">
      <c r="A12140" s="28" t="n">
        <v>36720</v>
      </c>
      <c r="B12140" t="n">
        <v>6.01</v>
      </c>
      <c r="C12140" t="n">
        <v>6</v>
      </c>
    </row>
    <row r="12141">
      <c r="A12141" s="28" t="n">
        <v>36721</v>
      </c>
      <c r="B12141" t="n">
        <v>6.1</v>
      </c>
      <c r="C12141" t="n">
        <v>5.99</v>
      </c>
    </row>
    <row r="12142">
      <c r="A12142" s="28" t="n">
        <v>36724</v>
      </c>
      <c r="B12142" t="n">
        <v>6.17</v>
      </c>
      <c r="C12142" t="n">
        <v>5.98</v>
      </c>
    </row>
    <row r="12143">
      <c r="A12143" s="28" t="n">
        <v>36725</v>
      </c>
      <c r="B12143" t="n">
        <v>6.16</v>
      </c>
      <c r="C12143" t="n">
        <v>5.98</v>
      </c>
    </row>
    <row r="12144">
      <c r="A12144" s="28" t="n">
        <v>36726</v>
      </c>
      <c r="B12144" t="n">
        <v>6.16</v>
      </c>
      <c r="C12144" t="n">
        <v>6</v>
      </c>
    </row>
    <row r="12145">
      <c r="A12145" s="28" t="n">
        <v>36727</v>
      </c>
      <c r="B12145" t="n">
        <v>6.01</v>
      </c>
      <c r="C12145" t="n">
        <v>6</v>
      </c>
    </row>
    <row r="12146">
      <c r="A12146" s="28" t="n">
        <v>36728</v>
      </c>
      <c r="B12146" t="n">
        <v>6.01</v>
      </c>
      <c r="C12146" t="n">
        <v>5.95</v>
      </c>
    </row>
    <row r="12147">
      <c r="A12147" s="28" t="n">
        <v>36731</v>
      </c>
      <c r="B12147" t="n">
        <v>6.04</v>
      </c>
      <c r="C12147" t="n">
        <v>5.98</v>
      </c>
    </row>
    <row r="12148">
      <c r="A12148" s="28" t="n">
        <v>36732</v>
      </c>
      <c r="B12148" t="n">
        <v>6.04</v>
      </c>
      <c r="C12148" t="n">
        <v>6.02</v>
      </c>
    </row>
    <row r="12149">
      <c r="A12149" s="28" t="n">
        <v>36733</v>
      </c>
      <c r="B12149" t="n">
        <v>6.04</v>
      </c>
      <c r="C12149" t="n">
        <v>6</v>
      </c>
    </row>
    <row r="12150">
      <c r="A12150" s="28" t="n">
        <v>36734</v>
      </c>
      <c r="B12150" t="n">
        <v>6.02</v>
      </c>
      <c r="C12150" t="n">
        <v>6.04</v>
      </c>
    </row>
    <row r="12151">
      <c r="A12151" s="28" t="n">
        <v>36735</v>
      </c>
      <c r="B12151" t="n">
        <v>6.04</v>
      </c>
      <c r="C12151" t="n">
        <v>6.02</v>
      </c>
    </row>
    <row r="12152">
      <c r="A12152" s="28" t="n">
        <v>36738</v>
      </c>
      <c r="B12152" t="n">
        <v>6.04</v>
      </c>
      <c r="C12152" t="n">
        <v>6.03</v>
      </c>
    </row>
    <row r="12153">
      <c r="A12153" s="28" t="n">
        <v>36739</v>
      </c>
      <c r="B12153" t="n">
        <v>6</v>
      </c>
      <c r="C12153" t="n">
        <v>6.07</v>
      </c>
    </row>
    <row r="12154">
      <c r="A12154" s="28" t="n">
        <v>36740</v>
      </c>
      <c r="B12154" t="n">
        <v>5.98</v>
      </c>
      <c r="C12154" t="n">
        <v>6.07</v>
      </c>
    </row>
    <row r="12155">
      <c r="A12155" s="28" t="n">
        <v>36741</v>
      </c>
      <c r="B12155" t="n">
        <v>5.95</v>
      </c>
      <c r="C12155" t="n">
        <v>6.05</v>
      </c>
    </row>
    <row r="12156">
      <c r="A12156" s="28" t="n">
        <v>36742</v>
      </c>
      <c r="B12156" t="n">
        <v>5.91</v>
      </c>
      <c r="C12156" t="n">
        <v>6.05</v>
      </c>
    </row>
    <row r="12157">
      <c r="A12157" s="28" t="n">
        <v>36745</v>
      </c>
      <c r="B12157" t="n">
        <v>5.97</v>
      </c>
      <c r="C12157" t="n">
        <v>6.06</v>
      </c>
    </row>
    <row r="12158">
      <c r="A12158" s="28" t="n">
        <v>36746</v>
      </c>
      <c r="B12158" t="n">
        <v>5.93</v>
      </c>
      <c r="C12158" t="n">
        <v>6.08</v>
      </c>
    </row>
    <row r="12159">
      <c r="A12159" s="28" t="n">
        <v>36747</v>
      </c>
      <c r="B12159" t="n">
        <v>5.81</v>
      </c>
      <c r="C12159" t="n">
        <v>6.07</v>
      </c>
    </row>
    <row r="12160">
      <c r="A12160" s="28" t="n">
        <v>36748</v>
      </c>
      <c r="B12160" t="n">
        <v>5.76</v>
      </c>
      <c r="C12160" t="n">
        <v>6.07</v>
      </c>
    </row>
    <row r="12161">
      <c r="A12161" s="28" t="n">
        <v>36749</v>
      </c>
      <c r="B12161" t="n">
        <v>5.79</v>
      </c>
      <c r="C12161" t="n">
        <v>6.11</v>
      </c>
    </row>
    <row r="12162">
      <c r="A12162" s="28" t="n">
        <v>36752</v>
      </c>
      <c r="B12162" t="n">
        <v>5.78</v>
      </c>
      <c r="C12162" t="n">
        <v>6.09</v>
      </c>
    </row>
    <row r="12163">
      <c r="A12163" s="28" t="n">
        <v>36753</v>
      </c>
      <c r="B12163" t="n">
        <v>5.81</v>
      </c>
      <c r="C12163" t="n">
        <v>6.1</v>
      </c>
    </row>
    <row r="12164">
      <c r="A12164" s="28" t="n">
        <v>36754</v>
      </c>
      <c r="B12164" t="n">
        <v>5.83</v>
      </c>
      <c r="C12164" t="n">
        <v>6.09</v>
      </c>
    </row>
    <row r="12165">
      <c r="A12165" s="28" t="n">
        <v>36755</v>
      </c>
      <c r="B12165" t="n">
        <v>5.81</v>
      </c>
      <c r="C12165" t="n">
        <v>6.09</v>
      </c>
    </row>
    <row r="12166">
      <c r="A12166" s="28" t="n">
        <v>36756</v>
      </c>
      <c r="B12166" t="n">
        <v>5.78</v>
      </c>
      <c r="C12166" t="n">
        <v>6.09</v>
      </c>
    </row>
    <row r="12167">
      <c r="A12167" s="28" t="n">
        <v>36759</v>
      </c>
      <c r="B12167" t="n">
        <v>5.79</v>
      </c>
      <c r="C12167" t="n">
        <v>6.09</v>
      </c>
    </row>
    <row r="12168">
      <c r="A12168" s="28" t="n">
        <v>36760</v>
      </c>
      <c r="B12168" t="n">
        <v>5.78</v>
      </c>
      <c r="C12168" t="n">
        <v>6.1</v>
      </c>
    </row>
    <row r="12169">
      <c r="A12169" s="28" t="n">
        <v>36761</v>
      </c>
      <c r="B12169" t="n">
        <v>5.73</v>
      </c>
      <c r="C12169" t="n">
        <v>6.11</v>
      </c>
    </row>
    <row r="12170">
      <c r="A12170" s="28" t="n">
        <v>36762</v>
      </c>
      <c r="B12170" t="n">
        <v>5.73</v>
      </c>
      <c r="C12170" t="n">
        <v>6.11</v>
      </c>
    </row>
    <row r="12171">
      <c r="A12171" s="28" t="n">
        <v>36763</v>
      </c>
      <c r="B12171" t="n">
        <v>5.73</v>
      </c>
      <c r="C12171" t="n">
        <v>6.13</v>
      </c>
    </row>
    <row r="12172">
      <c r="A12172" s="28" t="n">
        <v>36766</v>
      </c>
      <c r="B12172" t="n">
        <v>5.78</v>
      </c>
      <c r="C12172" t="n">
        <v>6.14</v>
      </c>
    </row>
    <row r="12173">
      <c r="A12173" s="28" t="n">
        <v>36767</v>
      </c>
      <c r="B12173" t="n">
        <v>5.81</v>
      </c>
      <c r="C12173" t="n">
        <v>6.13</v>
      </c>
    </row>
    <row r="12174">
      <c r="A12174" s="28" t="n">
        <v>36768</v>
      </c>
      <c r="B12174" t="n">
        <v>5.81</v>
      </c>
      <c r="C12174" t="n">
        <v>6.14</v>
      </c>
    </row>
    <row r="12175">
      <c r="A12175" s="28" t="n">
        <v>36769</v>
      </c>
      <c r="B12175" t="n">
        <v>5.73</v>
      </c>
      <c r="C12175" t="n">
        <v>6.13</v>
      </c>
    </row>
    <row r="12176">
      <c r="A12176" s="28" t="n">
        <v>36770</v>
      </c>
      <c r="B12176" t="n">
        <v>5.68</v>
      </c>
      <c r="C12176" t="n">
        <v>6.09</v>
      </c>
    </row>
    <row r="12177">
      <c r="A12177" s="28" t="n">
        <v>36773</v>
      </c>
      <c r="B12177" t="n">
        <v>0</v>
      </c>
      <c r="C12177" t="n">
        <v>0</v>
      </c>
    </row>
    <row r="12178">
      <c r="A12178" s="28" t="n">
        <v>36774</v>
      </c>
      <c r="B12178" t="n">
        <v>5.69</v>
      </c>
      <c r="C12178" t="n">
        <v>6.07</v>
      </c>
    </row>
    <row r="12179">
      <c r="A12179" s="28" t="n">
        <v>36775</v>
      </c>
      <c r="B12179" t="n">
        <v>5.72</v>
      </c>
      <c r="C12179" t="n">
        <v>6.03</v>
      </c>
    </row>
    <row r="12180">
      <c r="A12180" s="28" t="n">
        <v>36776</v>
      </c>
      <c r="B12180" t="n">
        <v>5.76</v>
      </c>
      <c r="C12180" t="n">
        <v>6.02</v>
      </c>
    </row>
    <row r="12181">
      <c r="A12181" s="28" t="n">
        <v>36777</v>
      </c>
      <c r="B12181" t="n">
        <v>5.73</v>
      </c>
      <c r="C12181" t="n">
        <v>5.97</v>
      </c>
    </row>
    <row r="12182">
      <c r="A12182" s="28" t="n">
        <v>36780</v>
      </c>
      <c r="B12182" t="n">
        <v>5.77</v>
      </c>
      <c r="C12182" t="n">
        <v>5.95</v>
      </c>
    </row>
    <row r="12183">
      <c r="A12183" s="28" t="n">
        <v>36781</v>
      </c>
      <c r="B12183" t="n">
        <v>5.78</v>
      </c>
      <c r="C12183" t="n">
        <v>5.92</v>
      </c>
    </row>
    <row r="12184">
      <c r="A12184" s="28" t="n">
        <v>36782</v>
      </c>
      <c r="B12184" t="n">
        <v>5.74</v>
      </c>
      <c r="C12184" t="n">
        <v>5.92</v>
      </c>
    </row>
    <row r="12185">
      <c r="A12185" s="28" t="n">
        <v>36783</v>
      </c>
      <c r="B12185" t="n">
        <v>5.79</v>
      </c>
      <c r="C12185" t="n">
        <v>5.97</v>
      </c>
    </row>
    <row r="12186">
      <c r="A12186" s="28" t="n">
        <v>36784</v>
      </c>
      <c r="B12186" t="n">
        <v>5.84</v>
      </c>
      <c r="C12186" t="n">
        <v>5.97</v>
      </c>
    </row>
    <row r="12187">
      <c r="A12187" s="28" t="n">
        <v>36787</v>
      </c>
      <c r="B12187" t="n">
        <v>5.88</v>
      </c>
      <c r="C12187" t="n">
        <v>5.97</v>
      </c>
    </row>
    <row r="12188">
      <c r="A12188" s="28" t="n">
        <v>36788</v>
      </c>
      <c r="B12188" t="n">
        <v>5.86</v>
      </c>
      <c r="C12188" t="n">
        <v>5.99</v>
      </c>
    </row>
    <row r="12189">
      <c r="A12189" s="28" t="n">
        <v>36789</v>
      </c>
      <c r="B12189" t="n">
        <v>5.91</v>
      </c>
      <c r="C12189" t="n">
        <v>5.98</v>
      </c>
    </row>
    <row r="12190">
      <c r="A12190" s="28" t="n">
        <v>36790</v>
      </c>
      <c r="B12190" t="n">
        <v>5.88</v>
      </c>
      <c r="C12190" t="n">
        <v>5.98</v>
      </c>
    </row>
    <row r="12191">
      <c r="A12191" s="28" t="n">
        <v>36791</v>
      </c>
      <c r="B12191" t="n">
        <v>5.85</v>
      </c>
      <c r="C12191" t="n">
        <v>5.99</v>
      </c>
    </row>
    <row r="12192">
      <c r="A12192" s="28" t="n">
        <v>36794</v>
      </c>
      <c r="B12192" t="n">
        <v>5.84</v>
      </c>
      <c r="C12192" t="n">
        <v>5.99</v>
      </c>
    </row>
    <row r="12193">
      <c r="A12193" s="28" t="n">
        <v>36795</v>
      </c>
      <c r="B12193" t="n">
        <v>5.81</v>
      </c>
      <c r="C12193" t="n">
        <v>6</v>
      </c>
    </row>
    <row r="12194">
      <c r="A12194" s="28" t="n">
        <v>36796</v>
      </c>
      <c r="B12194" t="n">
        <v>5.83</v>
      </c>
      <c r="C12194" t="n">
        <v>6.02</v>
      </c>
    </row>
    <row r="12195">
      <c r="A12195" s="28" t="n">
        <v>36797</v>
      </c>
      <c r="B12195" t="n">
        <v>5.82</v>
      </c>
      <c r="C12195" t="n">
        <v>6.07</v>
      </c>
    </row>
    <row r="12196">
      <c r="A12196" s="28" t="n">
        <v>36798</v>
      </c>
      <c r="B12196" t="n">
        <v>5.8</v>
      </c>
      <c r="C12196" t="n">
        <v>6.05</v>
      </c>
    </row>
    <row r="12197">
      <c r="A12197" s="28" t="n">
        <v>36801</v>
      </c>
      <c r="B12197" t="n">
        <v>5.83</v>
      </c>
      <c r="C12197" t="n">
        <v>6.03</v>
      </c>
    </row>
    <row r="12198">
      <c r="A12198" s="28" t="n">
        <v>36802</v>
      </c>
      <c r="B12198" t="n">
        <v>5.87</v>
      </c>
      <c r="C12198" t="n">
        <v>6.06</v>
      </c>
    </row>
    <row r="12199">
      <c r="A12199" s="28" t="n">
        <v>36803</v>
      </c>
      <c r="B12199" t="n">
        <v>5.9</v>
      </c>
      <c r="C12199" t="n">
        <v>6.06</v>
      </c>
    </row>
    <row r="12200">
      <c r="A12200" s="28" t="n">
        <v>36804</v>
      </c>
      <c r="B12200" t="n">
        <v>5.87</v>
      </c>
      <c r="C12200" t="n">
        <v>6.07</v>
      </c>
    </row>
    <row r="12201">
      <c r="A12201" s="28" t="n">
        <v>36805</v>
      </c>
      <c r="B12201" t="n">
        <v>5.82</v>
      </c>
      <c r="C12201" t="n">
        <v>6.06</v>
      </c>
    </row>
    <row r="12202">
      <c r="A12202" s="28" t="n">
        <v>36808</v>
      </c>
      <c r="B12202" t="n">
        <v>0</v>
      </c>
      <c r="C12202" t="n">
        <v>0</v>
      </c>
    </row>
    <row r="12203">
      <c r="A12203" s="28" t="n">
        <v>36809</v>
      </c>
      <c r="B12203" t="n">
        <v>5.8</v>
      </c>
      <c r="C12203" t="n">
        <v>6.05</v>
      </c>
    </row>
    <row r="12204">
      <c r="A12204" s="28" t="n">
        <v>36810</v>
      </c>
      <c r="B12204" t="n">
        <v>5.77</v>
      </c>
      <c r="C12204" t="n">
        <v>6.05</v>
      </c>
    </row>
    <row r="12205">
      <c r="A12205" s="28" t="n">
        <v>36811</v>
      </c>
      <c r="B12205" t="n">
        <v>5.73</v>
      </c>
      <c r="C12205" t="n">
        <v>6.01</v>
      </c>
    </row>
    <row r="12206">
      <c r="A12206" s="28" t="n">
        <v>36812</v>
      </c>
      <c r="B12206" t="n">
        <v>5.73</v>
      </c>
      <c r="C12206" t="n">
        <v>6.02</v>
      </c>
    </row>
    <row r="12207">
      <c r="A12207" s="28" t="n">
        <v>36815</v>
      </c>
      <c r="B12207" t="n">
        <v>5.74</v>
      </c>
      <c r="C12207" t="n">
        <v>6.06</v>
      </c>
    </row>
    <row r="12208">
      <c r="A12208" s="28" t="n">
        <v>36816</v>
      </c>
      <c r="B12208" t="n">
        <v>5.68</v>
      </c>
      <c r="C12208" t="n">
        <v>6.12</v>
      </c>
    </row>
    <row r="12209">
      <c r="A12209" s="28" t="n">
        <v>36817</v>
      </c>
      <c r="B12209" t="n">
        <v>5.66</v>
      </c>
      <c r="C12209" t="n">
        <v>6.12</v>
      </c>
    </row>
    <row r="12210">
      <c r="A12210" s="28" t="n">
        <v>36818</v>
      </c>
      <c r="B12210" t="n">
        <v>5.66</v>
      </c>
      <c r="C12210" t="n">
        <v>6.14</v>
      </c>
    </row>
    <row r="12211">
      <c r="A12211" s="28" t="n">
        <v>36819</v>
      </c>
      <c r="B12211" t="n">
        <v>5.64</v>
      </c>
      <c r="C12211" t="n">
        <v>6.13</v>
      </c>
    </row>
    <row r="12212">
      <c r="A12212" s="28" t="n">
        <v>36822</v>
      </c>
      <c r="B12212" t="n">
        <v>5.59</v>
      </c>
      <c r="C12212" t="n">
        <v>6.16</v>
      </c>
    </row>
    <row r="12213">
      <c r="A12213" s="28" t="n">
        <v>36823</v>
      </c>
      <c r="B12213" t="n">
        <v>5.63</v>
      </c>
      <c r="C12213" t="n">
        <v>6.17</v>
      </c>
    </row>
    <row r="12214">
      <c r="A12214" s="28" t="n">
        <v>36824</v>
      </c>
      <c r="B12214" t="n">
        <v>5.67</v>
      </c>
      <c r="C12214" t="n">
        <v>6.2</v>
      </c>
    </row>
    <row r="12215">
      <c r="A12215" s="28" t="n">
        <v>36825</v>
      </c>
      <c r="B12215" t="n">
        <v>5.69</v>
      </c>
      <c r="C12215" t="n">
        <v>6.18</v>
      </c>
    </row>
    <row r="12216">
      <c r="A12216" s="28" t="n">
        <v>36826</v>
      </c>
      <c r="B12216" t="n">
        <v>5.72</v>
      </c>
      <c r="C12216" t="n">
        <v>6.17</v>
      </c>
    </row>
    <row r="12217">
      <c r="A12217" s="28" t="n">
        <v>36829</v>
      </c>
      <c r="B12217" t="n">
        <v>5.74</v>
      </c>
      <c r="C12217" t="n">
        <v>6.19</v>
      </c>
    </row>
    <row r="12218">
      <c r="A12218" s="28" t="n">
        <v>36830</v>
      </c>
      <c r="B12218" t="n">
        <v>5.77</v>
      </c>
      <c r="C12218" t="n">
        <v>6.19</v>
      </c>
    </row>
    <row r="12219">
      <c r="A12219" s="28" t="n">
        <v>36831</v>
      </c>
      <c r="B12219" t="n">
        <v>5.74</v>
      </c>
      <c r="C12219" t="n">
        <v>6.18</v>
      </c>
    </row>
    <row r="12220">
      <c r="A12220" s="28" t="n">
        <v>36832</v>
      </c>
      <c r="B12220" t="n">
        <v>5.74</v>
      </c>
      <c r="C12220" t="n">
        <v>6.19</v>
      </c>
    </row>
    <row r="12221">
      <c r="A12221" s="28" t="n">
        <v>36833</v>
      </c>
      <c r="B12221" t="n">
        <v>5.83</v>
      </c>
      <c r="C12221" t="n">
        <v>6.2</v>
      </c>
    </row>
    <row r="12222">
      <c r="A12222" s="28" t="n">
        <v>36836</v>
      </c>
      <c r="B12222" t="n">
        <v>5.87</v>
      </c>
      <c r="C12222" t="n">
        <v>6.24</v>
      </c>
    </row>
    <row r="12223">
      <c r="A12223" s="28" t="n">
        <v>36837</v>
      </c>
      <c r="B12223" t="n">
        <v>5.87</v>
      </c>
      <c r="C12223" t="n">
        <v>6.23</v>
      </c>
    </row>
    <row r="12224">
      <c r="A12224" s="28" t="n">
        <v>36838</v>
      </c>
      <c r="B12224" t="n">
        <v>5.87</v>
      </c>
      <c r="C12224" t="n">
        <v>6.22</v>
      </c>
    </row>
    <row r="12225">
      <c r="A12225" s="28" t="n">
        <v>36839</v>
      </c>
      <c r="B12225" t="n">
        <v>5.82</v>
      </c>
      <c r="C12225" t="n">
        <v>6.21</v>
      </c>
    </row>
    <row r="12226">
      <c r="A12226" s="28" t="n">
        <v>36840</v>
      </c>
      <c r="B12226" t="n">
        <v>5.82</v>
      </c>
      <c r="C12226" t="n">
        <v>6.19</v>
      </c>
    </row>
    <row r="12227">
      <c r="A12227" s="28" t="n">
        <v>36843</v>
      </c>
      <c r="B12227" t="n">
        <v>5.77</v>
      </c>
      <c r="C12227" t="n">
        <v>6.19</v>
      </c>
    </row>
    <row r="12228">
      <c r="A12228" s="28" t="n">
        <v>36844</v>
      </c>
      <c r="B12228" t="n">
        <v>5.76</v>
      </c>
      <c r="C12228" t="n">
        <v>6.18</v>
      </c>
    </row>
    <row r="12229">
      <c r="A12229" s="28" t="n">
        <v>36845</v>
      </c>
      <c r="B12229" t="n">
        <v>5.72</v>
      </c>
      <c r="C12229" t="n">
        <v>6.19</v>
      </c>
    </row>
    <row r="12230">
      <c r="A12230" s="28" t="n">
        <v>36846</v>
      </c>
      <c r="B12230" t="n">
        <v>5.68</v>
      </c>
      <c r="C12230" t="n">
        <v>6.17</v>
      </c>
    </row>
    <row r="12231">
      <c r="A12231" s="28" t="n">
        <v>36847</v>
      </c>
      <c r="B12231" t="n">
        <v>5.71</v>
      </c>
      <c r="C12231" t="n">
        <v>6.17</v>
      </c>
    </row>
    <row r="12232">
      <c r="A12232" s="28" t="n">
        <v>36850</v>
      </c>
      <c r="B12232" t="n">
        <v>5.68</v>
      </c>
      <c r="C12232" t="n">
        <v>6.18</v>
      </c>
    </row>
    <row r="12233">
      <c r="A12233" s="28" t="n">
        <v>36851</v>
      </c>
      <c r="B12233" t="n">
        <v>5.67</v>
      </c>
      <c r="C12233" t="n">
        <v>6.18</v>
      </c>
    </row>
    <row r="12234">
      <c r="A12234" s="28" t="n">
        <v>36852</v>
      </c>
      <c r="B12234" t="n">
        <v>5.62</v>
      </c>
      <c r="C12234" t="n">
        <v>6.18</v>
      </c>
    </row>
    <row r="12235">
      <c r="A12235" s="28" t="n">
        <v>36853</v>
      </c>
      <c r="B12235" t="n">
        <v>0</v>
      </c>
      <c r="C12235" t="n">
        <v>0</v>
      </c>
    </row>
    <row r="12236">
      <c r="A12236" s="28" t="n">
        <v>36854</v>
      </c>
      <c r="B12236" t="n">
        <v>5.63</v>
      </c>
      <c r="C12236" t="n">
        <v>6.18</v>
      </c>
    </row>
    <row r="12237">
      <c r="A12237" s="28" t="n">
        <v>36857</v>
      </c>
      <c r="B12237" t="n">
        <v>5.64</v>
      </c>
      <c r="C12237" t="n">
        <v>6.14</v>
      </c>
    </row>
    <row r="12238">
      <c r="A12238" s="28" t="n">
        <v>36858</v>
      </c>
      <c r="B12238" t="n">
        <v>5.59</v>
      </c>
      <c r="C12238" t="n">
        <v>6.1</v>
      </c>
    </row>
    <row r="12239">
      <c r="A12239" s="28" t="n">
        <v>36859</v>
      </c>
      <c r="B12239" t="n">
        <v>5.55</v>
      </c>
      <c r="C12239" t="n">
        <v>6.06</v>
      </c>
    </row>
    <row r="12240">
      <c r="A12240" s="28" t="n">
        <v>36860</v>
      </c>
      <c r="B12240" t="n">
        <v>5.48</v>
      </c>
      <c r="C12240" t="n">
        <v>6.03</v>
      </c>
    </row>
    <row r="12241">
      <c r="A12241" s="28" t="n">
        <v>36861</v>
      </c>
      <c r="B12241" t="n">
        <v>5.52</v>
      </c>
      <c r="C12241" t="n">
        <v>6.05</v>
      </c>
    </row>
    <row r="12242">
      <c r="A12242" s="28" t="n">
        <v>36864</v>
      </c>
      <c r="B12242" t="n">
        <v>5.53</v>
      </c>
      <c r="C12242" t="n">
        <v>6</v>
      </c>
    </row>
    <row r="12243">
      <c r="A12243" s="28" t="n">
        <v>36865</v>
      </c>
      <c r="B12243" t="n">
        <v>5.43</v>
      </c>
      <c r="C12243" t="n">
        <v>5.91</v>
      </c>
    </row>
    <row r="12244">
      <c r="A12244" s="28" t="n">
        <v>36866</v>
      </c>
      <c r="B12244" t="n">
        <v>5.32</v>
      </c>
      <c r="C12244" t="n">
        <v>5.92</v>
      </c>
    </row>
    <row r="12245">
      <c r="A12245" s="28" t="n">
        <v>36867</v>
      </c>
      <c r="B12245" t="n">
        <v>5.32</v>
      </c>
      <c r="C12245" t="n">
        <v>5.94</v>
      </c>
    </row>
    <row r="12246">
      <c r="A12246" s="28" t="n">
        <v>36868</v>
      </c>
      <c r="B12246" t="n">
        <v>5.35</v>
      </c>
      <c r="C12246" t="n">
        <v>5.92</v>
      </c>
    </row>
    <row r="12247">
      <c r="A12247" s="28" t="n">
        <v>36871</v>
      </c>
      <c r="B12247" t="n">
        <v>5.37</v>
      </c>
      <c r="C12247" t="n">
        <v>5.91</v>
      </c>
    </row>
    <row r="12248">
      <c r="A12248" s="28" t="n">
        <v>36872</v>
      </c>
      <c r="B12248" t="n">
        <v>5.36</v>
      </c>
      <c r="C12248" t="n">
        <v>5.89</v>
      </c>
    </row>
    <row r="12249">
      <c r="A12249" s="28" t="n">
        <v>36873</v>
      </c>
      <c r="B12249" t="n">
        <v>5.29</v>
      </c>
      <c r="C12249" t="n">
        <v>5.89</v>
      </c>
    </row>
    <row r="12250">
      <c r="A12250" s="28" t="n">
        <v>36874</v>
      </c>
      <c r="B12250" t="n">
        <v>5.23</v>
      </c>
      <c r="C12250" t="n">
        <v>5.89</v>
      </c>
    </row>
    <row r="12251">
      <c r="A12251" s="28" t="n">
        <v>36875</v>
      </c>
      <c r="B12251" t="n">
        <v>5.2</v>
      </c>
      <c r="C12251" t="n">
        <v>5.85</v>
      </c>
    </row>
    <row r="12252">
      <c r="A12252" s="28" t="n">
        <v>36878</v>
      </c>
      <c r="B12252" t="n">
        <v>5.17</v>
      </c>
      <c r="C12252" t="n">
        <v>5.78</v>
      </c>
    </row>
    <row r="12253">
      <c r="A12253" s="28" t="n">
        <v>36879</v>
      </c>
      <c r="B12253" t="n">
        <v>5.19</v>
      </c>
      <c r="C12253" t="n">
        <v>5.76</v>
      </c>
    </row>
    <row r="12254">
      <c r="A12254" s="28" t="n">
        <v>36880</v>
      </c>
      <c r="B12254" t="n">
        <v>5.08</v>
      </c>
      <c r="C12254" t="n">
        <v>5.66</v>
      </c>
    </row>
    <row r="12255">
      <c r="A12255" s="28" t="n">
        <v>36881</v>
      </c>
      <c r="B12255" t="n">
        <v>5.03</v>
      </c>
      <c r="C12255" t="n">
        <v>5.24</v>
      </c>
    </row>
    <row r="12256">
      <c r="A12256" s="28" t="n">
        <v>36882</v>
      </c>
      <c r="B12256" t="n">
        <v>5.02</v>
      </c>
      <c r="C12256" t="n">
        <v>5.13</v>
      </c>
    </row>
    <row r="12257">
      <c r="A12257" s="28" t="n">
        <v>36885</v>
      </c>
      <c r="B12257" t="n">
        <v>0</v>
      </c>
      <c r="C12257" t="n">
        <v>0</v>
      </c>
    </row>
    <row r="12258">
      <c r="A12258" s="28" t="n">
        <v>36886</v>
      </c>
      <c r="B12258" t="n">
        <v>5.04</v>
      </c>
      <c r="C12258" t="n">
        <v>5.61</v>
      </c>
    </row>
    <row r="12259">
      <c r="A12259" s="28" t="n">
        <v>36887</v>
      </c>
      <c r="B12259" t="n">
        <v>5.11</v>
      </c>
      <c r="C12259" t="n">
        <v>5.59</v>
      </c>
    </row>
    <row r="12260">
      <c r="A12260" s="28" t="n">
        <v>36888</v>
      </c>
      <c r="B12260" t="n">
        <v>5.13</v>
      </c>
      <c r="C12260" t="n">
        <v>5.71</v>
      </c>
    </row>
    <row r="12261">
      <c r="A12261" s="28" t="n">
        <v>36889</v>
      </c>
      <c r="B12261" t="n">
        <v>5.12</v>
      </c>
      <c r="C12261" t="n">
        <v>5.73</v>
      </c>
    </row>
    <row r="12262">
      <c r="A12262" s="28" t="n">
        <v>36892</v>
      </c>
      <c r="B12262" t="n">
        <v>0</v>
      </c>
      <c r="C12262" t="n">
        <v>0</v>
      </c>
    </row>
    <row r="12263">
      <c r="A12263" s="28" t="n">
        <v>36893</v>
      </c>
      <c r="B12263" t="n">
        <v>4.92</v>
      </c>
      <c r="C12263" t="n">
        <v>5.69</v>
      </c>
    </row>
    <row r="12264">
      <c r="A12264" s="28" t="n">
        <v>36894</v>
      </c>
      <c r="B12264" t="n">
        <v>5.14</v>
      </c>
      <c r="C12264" t="n">
        <v>5.53</v>
      </c>
    </row>
    <row r="12265">
      <c r="A12265" s="28" t="n">
        <v>36895</v>
      </c>
      <c r="B12265" t="n">
        <v>5.03</v>
      </c>
      <c r="C12265" t="n">
        <v>5.23</v>
      </c>
    </row>
    <row r="12266">
      <c r="A12266" s="28" t="n">
        <v>36896</v>
      </c>
      <c r="B12266" t="n">
        <v>4.93</v>
      </c>
      <c r="C12266" t="n">
        <v>4.99</v>
      </c>
    </row>
    <row r="12267">
      <c r="A12267" s="28" t="n">
        <v>36899</v>
      </c>
      <c r="B12267" t="n">
        <v>4.94</v>
      </c>
      <c r="C12267" t="n">
        <v>5.06</v>
      </c>
    </row>
    <row r="12268">
      <c r="A12268" s="28" t="n">
        <v>36900</v>
      </c>
      <c r="B12268" t="n">
        <v>4.98</v>
      </c>
      <c r="C12268" t="n">
        <v>5.1</v>
      </c>
    </row>
    <row r="12269">
      <c r="A12269" s="28" t="n">
        <v>36901</v>
      </c>
      <c r="B12269" t="n">
        <v>5.1</v>
      </c>
      <c r="C12269" t="n">
        <v>5.15</v>
      </c>
    </row>
    <row r="12270">
      <c r="A12270" s="28" t="n">
        <v>36902</v>
      </c>
      <c r="B12270" t="n">
        <v>5.14</v>
      </c>
      <c r="C12270" t="n">
        <v>5.17</v>
      </c>
    </row>
    <row r="12271">
      <c r="A12271" s="28" t="n">
        <v>36903</v>
      </c>
      <c r="B12271" t="n">
        <v>5.25</v>
      </c>
      <c r="C12271" t="n">
        <v>5.19</v>
      </c>
    </row>
    <row r="12272">
      <c r="A12272" s="28" t="n">
        <v>36906</v>
      </c>
      <c r="B12272" t="n">
        <v>0</v>
      </c>
      <c r="C12272" t="n">
        <v>0</v>
      </c>
    </row>
    <row r="12273">
      <c r="A12273" s="28" t="n">
        <v>36907</v>
      </c>
      <c r="B12273" t="n">
        <v>5.24</v>
      </c>
      <c r="C12273" t="n">
        <v>5.22</v>
      </c>
    </row>
    <row r="12274">
      <c r="A12274" s="28" t="n">
        <v>36908</v>
      </c>
      <c r="B12274" t="n">
        <v>5.19</v>
      </c>
      <c r="C12274" t="n">
        <v>5.22</v>
      </c>
    </row>
    <row r="12275">
      <c r="A12275" s="28" t="n">
        <v>36909</v>
      </c>
      <c r="B12275" t="n">
        <v>5.12</v>
      </c>
      <c r="C12275" t="n">
        <v>5.14</v>
      </c>
    </row>
    <row r="12276">
      <c r="A12276" s="28" t="n">
        <v>36910</v>
      </c>
      <c r="B12276" t="n">
        <v>5.19</v>
      </c>
      <c r="C12276" t="n">
        <v>5.1</v>
      </c>
    </row>
    <row r="12277">
      <c r="A12277" s="28" t="n">
        <v>36913</v>
      </c>
      <c r="B12277" t="n">
        <v>5.25</v>
      </c>
      <c r="C12277" t="n">
        <v>5.11</v>
      </c>
    </row>
    <row r="12278">
      <c r="A12278" s="28" t="n">
        <v>36914</v>
      </c>
      <c r="B12278" t="n">
        <v>5.3</v>
      </c>
      <c r="C12278" t="n">
        <v>5.1</v>
      </c>
    </row>
    <row r="12279">
      <c r="A12279" s="28" t="n">
        <v>36915</v>
      </c>
      <c r="B12279" t="n">
        <v>5.33</v>
      </c>
      <c r="C12279" t="n">
        <v>5.14</v>
      </c>
    </row>
    <row r="12280">
      <c r="A12280" s="28" t="n">
        <v>36916</v>
      </c>
      <c r="B12280" t="n">
        <v>5.29</v>
      </c>
      <c r="C12280" t="n">
        <v>5.14</v>
      </c>
    </row>
    <row r="12281">
      <c r="A12281" s="28" t="n">
        <v>36917</v>
      </c>
      <c r="B12281" t="n">
        <v>5.29</v>
      </c>
      <c r="C12281" t="n">
        <v>5.04</v>
      </c>
    </row>
    <row r="12282">
      <c r="A12282" s="28" t="n">
        <v>36920</v>
      </c>
      <c r="B12282" t="n">
        <v>5.32</v>
      </c>
      <c r="C12282" t="n">
        <v>4.99</v>
      </c>
    </row>
    <row r="12283">
      <c r="A12283" s="28" t="n">
        <v>36921</v>
      </c>
      <c r="B12283" t="n">
        <v>5.24</v>
      </c>
      <c r="C12283" t="n">
        <v>4.89</v>
      </c>
    </row>
    <row r="12284">
      <c r="A12284" s="28" t="n">
        <v>36922</v>
      </c>
      <c r="B12284" t="n">
        <v>5.19</v>
      </c>
      <c r="C12284" t="n">
        <v>4.86</v>
      </c>
    </row>
    <row r="12285">
      <c r="A12285" s="28" t="n">
        <v>36923</v>
      </c>
      <c r="B12285" t="n">
        <v>5.1</v>
      </c>
      <c r="C12285" t="n">
        <v>4.87</v>
      </c>
    </row>
    <row r="12286">
      <c r="A12286" s="28" t="n">
        <v>36924</v>
      </c>
      <c r="B12286" t="n">
        <v>5.17</v>
      </c>
      <c r="C12286" t="n">
        <v>4.93</v>
      </c>
    </row>
    <row r="12287">
      <c r="A12287" s="28" t="n">
        <v>36927</v>
      </c>
      <c r="B12287" t="n">
        <v>5.18</v>
      </c>
      <c r="C12287" t="n">
        <v>4.96</v>
      </c>
    </row>
    <row r="12288">
      <c r="A12288" s="28" t="n">
        <v>36928</v>
      </c>
      <c r="B12288" t="n">
        <v>5.22</v>
      </c>
      <c r="C12288" t="n">
        <v>4.94</v>
      </c>
    </row>
    <row r="12289">
      <c r="A12289" s="28" t="n">
        <v>36929</v>
      </c>
      <c r="B12289" t="n">
        <v>5.1</v>
      </c>
      <c r="C12289" t="n">
        <v>4.94</v>
      </c>
    </row>
    <row r="12290">
      <c r="A12290" s="28" t="n">
        <v>36930</v>
      </c>
      <c r="B12290" t="n">
        <v>5.1</v>
      </c>
      <c r="C12290" t="n">
        <v>4.95</v>
      </c>
    </row>
    <row r="12291">
      <c r="A12291" s="28" t="n">
        <v>36931</v>
      </c>
      <c r="B12291" t="n">
        <v>5.03</v>
      </c>
      <c r="C12291" t="n">
        <v>4.93</v>
      </c>
    </row>
    <row r="12292">
      <c r="A12292" s="28" t="n">
        <v>36934</v>
      </c>
      <c r="B12292" t="n">
        <v>5.05</v>
      </c>
      <c r="C12292" t="n">
        <v>4.93</v>
      </c>
    </row>
    <row r="12293">
      <c r="A12293" s="28" t="n">
        <v>36935</v>
      </c>
      <c r="B12293" t="n">
        <v>5.07</v>
      </c>
      <c r="C12293" t="n">
        <v>4.92</v>
      </c>
    </row>
    <row r="12294">
      <c r="A12294" s="28" t="n">
        <v>36936</v>
      </c>
      <c r="B12294" t="n">
        <v>5.13</v>
      </c>
      <c r="C12294" t="n">
        <v>4.94</v>
      </c>
    </row>
    <row r="12295">
      <c r="A12295" s="28" t="n">
        <v>36937</v>
      </c>
      <c r="B12295" t="n">
        <v>5.19</v>
      </c>
      <c r="C12295" t="n">
        <v>4.95</v>
      </c>
    </row>
    <row r="12296">
      <c r="A12296" s="28" t="n">
        <v>36938</v>
      </c>
      <c r="B12296" t="n">
        <v>5.11</v>
      </c>
      <c r="C12296" t="n">
        <v>4.89</v>
      </c>
    </row>
    <row r="12297">
      <c r="A12297" s="28" t="n">
        <v>36941</v>
      </c>
      <c r="B12297" t="n">
        <v>0</v>
      </c>
      <c r="C12297" t="n">
        <v>0</v>
      </c>
    </row>
    <row r="12298">
      <c r="A12298" s="28" t="n">
        <v>36942</v>
      </c>
      <c r="B12298" t="n">
        <v>5.11</v>
      </c>
      <c r="C12298" t="n">
        <v>4.92</v>
      </c>
    </row>
    <row r="12299">
      <c r="A12299" s="28" t="n">
        <v>36943</v>
      </c>
      <c r="B12299" t="n">
        <v>5.14</v>
      </c>
      <c r="C12299" t="n">
        <v>4.89</v>
      </c>
    </row>
    <row r="12300">
      <c r="A12300" s="28" t="n">
        <v>36944</v>
      </c>
      <c r="B12300" t="n">
        <v>5.15</v>
      </c>
      <c r="C12300" t="n">
        <v>4.88</v>
      </c>
    </row>
    <row r="12301">
      <c r="A12301" s="28" t="n">
        <v>36945</v>
      </c>
      <c r="B12301" t="n">
        <v>5.1</v>
      </c>
      <c r="C12301" t="n">
        <v>4.77</v>
      </c>
    </row>
    <row r="12302">
      <c r="A12302" s="28" t="n">
        <v>36948</v>
      </c>
      <c r="B12302" t="n">
        <v>5.05</v>
      </c>
      <c r="C12302" t="n">
        <v>4.71</v>
      </c>
    </row>
    <row r="12303">
      <c r="A12303" s="28" t="n">
        <v>36949</v>
      </c>
      <c r="B12303" t="n">
        <v>4.96</v>
      </c>
      <c r="C12303" t="n">
        <v>4.7</v>
      </c>
    </row>
    <row r="12304">
      <c r="A12304" s="28" t="n">
        <v>36950</v>
      </c>
      <c r="B12304" t="n">
        <v>4.92</v>
      </c>
      <c r="C12304" t="n">
        <v>4.73</v>
      </c>
    </row>
    <row r="12305">
      <c r="A12305" s="28" t="n">
        <v>36951</v>
      </c>
      <c r="B12305" t="n">
        <v>4.87</v>
      </c>
      <c r="C12305" t="n">
        <v>4.72</v>
      </c>
    </row>
    <row r="12306">
      <c r="A12306" s="28" t="n">
        <v>36952</v>
      </c>
      <c r="B12306" t="n">
        <v>4.95</v>
      </c>
      <c r="C12306" t="n">
        <v>4.72</v>
      </c>
    </row>
    <row r="12307">
      <c r="A12307" s="28" t="n">
        <v>36955</v>
      </c>
      <c r="B12307" t="n">
        <v>4.98</v>
      </c>
      <c r="C12307" t="n">
        <v>4.7</v>
      </c>
    </row>
    <row r="12308">
      <c r="A12308" s="28" t="n">
        <v>36956</v>
      </c>
      <c r="B12308" t="n">
        <v>4.99</v>
      </c>
      <c r="C12308" t="n">
        <v>4.67</v>
      </c>
    </row>
    <row r="12309">
      <c r="A12309" s="28" t="n">
        <v>36957</v>
      </c>
      <c r="B12309" t="n">
        <v>4.92</v>
      </c>
      <c r="C12309" t="n">
        <v>4.57</v>
      </c>
    </row>
    <row r="12310">
      <c r="A12310" s="28" t="n">
        <v>36958</v>
      </c>
      <c r="B12310" t="n">
        <v>4.89</v>
      </c>
      <c r="C12310" t="n">
        <v>4.56</v>
      </c>
    </row>
    <row r="12311">
      <c r="A12311" s="28" t="n">
        <v>36959</v>
      </c>
      <c r="B12311" t="n">
        <v>4.95</v>
      </c>
      <c r="C12311" t="n">
        <v>4.61</v>
      </c>
    </row>
    <row r="12312">
      <c r="A12312" s="28" t="n">
        <v>36962</v>
      </c>
      <c r="B12312" t="n">
        <v>4.92</v>
      </c>
      <c r="C12312" t="n">
        <v>4.54</v>
      </c>
    </row>
    <row r="12313">
      <c r="A12313" s="28" t="n">
        <v>36963</v>
      </c>
      <c r="B12313" t="n">
        <v>4.95</v>
      </c>
      <c r="C12313" t="n">
        <v>4.54</v>
      </c>
    </row>
    <row r="12314">
      <c r="A12314" s="28" t="n">
        <v>36964</v>
      </c>
      <c r="B12314" t="n">
        <v>4.84</v>
      </c>
      <c r="C12314" t="n">
        <v>4.43</v>
      </c>
    </row>
    <row r="12315">
      <c r="A12315" s="28" t="n">
        <v>36965</v>
      </c>
      <c r="B12315" t="n">
        <v>4.81</v>
      </c>
      <c r="C12315" t="n">
        <v>4.41</v>
      </c>
    </row>
    <row r="12316">
      <c r="A12316" s="28" t="n">
        <v>36966</v>
      </c>
      <c r="B12316" t="n">
        <v>4.78</v>
      </c>
      <c r="C12316" t="n">
        <v>4.43</v>
      </c>
    </row>
    <row r="12317">
      <c r="A12317" s="28" t="n">
        <v>36969</v>
      </c>
      <c r="B12317" t="n">
        <v>4.82</v>
      </c>
      <c r="C12317" t="n">
        <v>4.42</v>
      </c>
    </row>
    <row r="12318">
      <c r="A12318" s="28" t="n">
        <v>36970</v>
      </c>
      <c r="B12318" t="n">
        <v>4.78</v>
      </c>
      <c r="C12318" t="n">
        <v>4.38</v>
      </c>
    </row>
    <row r="12319">
      <c r="A12319" s="28" t="n">
        <v>36971</v>
      </c>
      <c r="B12319" t="n">
        <v>4.77</v>
      </c>
      <c r="C12319" t="n">
        <v>4.21</v>
      </c>
    </row>
    <row r="12320">
      <c r="A12320" s="28" t="n">
        <v>36972</v>
      </c>
      <c r="B12320" t="n">
        <v>4.73</v>
      </c>
      <c r="C12320" t="n">
        <v>4.16</v>
      </c>
    </row>
    <row r="12321">
      <c r="A12321" s="28" t="n">
        <v>36973</v>
      </c>
      <c r="B12321" t="n">
        <v>4.8</v>
      </c>
      <c r="C12321" t="n">
        <v>4.19</v>
      </c>
    </row>
    <row r="12322">
      <c r="A12322" s="28" t="n">
        <v>36976</v>
      </c>
      <c r="B12322" t="n">
        <v>4.85</v>
      </c>
      <c r="C12322" t="n">
        <v>4.19</v>
      </c>
    </row>
    <row r="12323">
      <c r="A12323" s="28" t="n">
        <v>36977</v>
      </c>
      <c r="B12323" t="n">
        <v>5</v>
      </c>
      <c r="C12323" t="n">
        <v>4.24</v>
      </c>
    </row>
    <row r="12324">
      <c r="A12324" s="28" t="n">
        <v>36978</v>
      </c>
      <c r="B12324" t="n">
        <v>4.97</v>
      </c>
      <c r="C12324" t="n">
        <v>4.23</v>
      </c>
    </row>
    <row r="12325">
      <c r="A12325" s="28" t="n">
        <v>36979</v>
      </c>
      <c r="B12325" t="n">
        <v>4.98</v>
      </c>
      <c r="C12325" t="n">
        <v>4.22</v>
      </c>
    </row>
    <row r="12326">
      <c r="A12326" s="28" t="n">
        <v>36980</v>
      </c>
      <c r="B12326" t="n">
        <v>4.93</v>
      </c>
      <c r="C12326" t="n">
        <v>4.2</v>
      </c>
    </row>
    <row r="12327">
      <c r="A12327" s="28" t="n">
        <v>36983</v>
      </c>
      <c r="B12327" t="n">
        <v>4.98</v>
      </c>
      <c r="C12327" t="n">
        <v>4.12</v>
      </c>
    </row>
    <row r="12328">
      <c r="A12328" s="28" t="n">
        <v>36984</v>
      </c>
      <c r="B12328" t="n">
        <v>4.94</v>
      </c>
      <c r="C12328" t="n">
        <v>4.05</v>
      </c>
    </row>
    <row r="12329">
      <c r="A12329" s="28" t="n">
        <v>36985</v>
      </c>
      <c r="B12329" t="n">
        <v>4.94</v>
      </c>
      <c r="C12329" t="n">
        <v>4</v>
      </c>
    </row>
    <row r="12330">
      <c r="A12330" s="28" t="n">
        <v>36986</v>
      </c>
      <c r="B12330" t="n">
        <v>4.98</v>
      </c>
      <c r="C12330" t="n">
        <v>4.01</v>
      </c>
    </row>
    <row r="12331">
      <c r="A12331" s="28" t="n">
        <v>36987</v>
      </c>
      <c r="B12331" t="n">
        <v>4.89</v>
      </c>
      <c r="C12331" t="n">
        <v>3.85</v>
      </c>
    </row>
    <row r="12332">
      <c r="A12332" s="28" t="n">
        <v>36990</v>
      </c>
      <c r="B12332" t="n">
        <v>4.93</v>
      </c>
      <c r="C12332" t="n">
        <v>3.84</v>
      </c>
    </row>
    <row r="12333">
      <c r="A12333" s="28" t="n">
        <v>36991</v>
      </c>
      <c r="B12333" t="n">
        <v>5.09</v>
      </c>
      <c r="C12333" t="n">
        <v>3.85</v>
      </c>
    </row>
    <row r="12334">
      <c r="A12334" s="28" t="n">
        <v>36992</v>
      </c>
      <c r="B12334" t="n">
        <v>5.12</v>
      </c>
      <c r="C12334" t="n">
        <v>3.98</v>
      </c>
    </row>
    <row r="12335">
      <c r="A12335" s="28" t="n">
        <v>36993</v>
      </c>
      <c r="B12335" t="n">
        <v>5.17</v>
      </c>
      <c r="C12335" t="n">
        <v>3.92</v>
      </c>
    </row>
    <row r="12336">
      <c r="A12336" s="28" t="n">
        <v>36994</v>
      </c>
      <c r="B12336" t="n">
        <v>0</v>
      </c>
      <c r="C12336" t="n">
        <v>0</v>
      </c>
    </row>
    <row r="12337">
      <c r="A12337" s="28" t="n">
        <v>36997</v>
      </c>
      <c r="B12337" t="n">
        <v>5.28</v>
      </c>
      <c r="C12337" t="n">
        <v>4.05</v>
      </c>
    </row>
    <row r="12338">
      <c r="A12338" s="28" t="n">
        <v>36998</v>
      </c>
      <c r="B12338" t="n">
        <v>5.21</v>
      </c>
      <c r="C12338" t="n">
        <v>4.02</v>
      </c>
    </row>
    <row r="12339">
      <c r="A12339" s="28" t="n">
        <v>36999</v>
      </c>
      <c r="B12339" t="n">
        <v>5.14</v>
      </c>
      <c r="C12339" t="n">
        <v>3.82</v>
      </c>
    </row>
    <row r="12340">
      <c r="A12340" s="28" t="n">
        <v>37000</v>
      </c>
      <c r="B12340" t="n">
        <v>5.27</v>
      </c>
      <c r="C12340" t="n">
        <v>3.78</v>
      </c>
    </row>
    <row r="12341">
      <c r="A12341" s="28" t="n">
        <v>37001</v>
      </c>
      <c r="B12341" t="n">
        <v>5.29</v>
      </c>
      <c r="C12341" t="n">
        <v>3.68</v>
      </c>
    </row>
    <row r="12342">
      <c r="A12342" s="28" t="n">
        <v>37004</v>
      </c>
      <c r="B12342" t="n">
        <v>5.2</v>
      </c>
      <c r="C12342" t="n">
        <v>3.66</v>
      </c>
    </row>
    <row r="12343">
      <c r="A12343" s="28" t="n">
        <v>37005</v>
      </c>
      <c r="B12343" t="n">
        <v>5.22</v>
      </c>
      <c r="C12343" t="n">
        <v>3.71</v>
      </c>
    </row>
    <row r="12344">
      <c r="A12344" s="28" t="n">
        <v>37006</v>
      </c>
      <c r="B12344" t="n">
        <v>5.28</v>
      </c>
      <c r="C12344" t="n">
        <v>3.75</v>
      </c>
    </row>
    <row r="12345">
      <c r="A12345" s="28" t="n">
        <v>37007</v>
      </c>
      <c r="B12345" t="n">
        <v>5.2</v>
      </c>
      <c r="C12345" t="n">
        <v>3.74</v>
      </c>
    </row>
    <row r="12346">
      <c r="A12346" s="28" t="n">
        <v>37008</v>
      </c>
      <c r="B12346" t="n">
        <v>5.34</v>
      </c>
      <c r="C12346" t="n">
        <v>3.76</v>
      </c>
    </row>
    <row r="12347">
      <c r="A12347" s="28" t="n">
        <v>37011</v>
      </c>
      <c r="B12347" t="n">
        <v>5.35</v>
      </c>
      <c r="C12347" t="n">
        <v>3.86</v>
      </c>
    </row>
    <row r="12348">
      <c r="A12348" s="28" t="n">
        <v>37012</v>
      </c>
      <c r="B12348" t="n">
        <v>5.3</v>
      </c>
      <c r="C12348" t="n">
        <v>3.83</v>
      </c>
    </row>
    <row r="12349">
      <c r="A12349" s="28" t="n">
        <v>37013</v>
      </c>
      <c r="B12349" t="n">
        <v>5.31</v>
      </c>
      <c r="C12349" t="n">
        <v>3.8</v>
      </c>
    </row>
    <row r="12350">
      <c r="A12350" s="28" t="n">
        <v>37014</v>
      </c>
      <c r="B12350" t="n">
        <v>5.22</v>
      </c>
      <c r="C12350" t="n">
        <v>3.75</v>
      </c>
    </row>
    <row r="12351">
      <c r="A12351" s="28" t="n">
        <v>37015</v>
      </c>
      <c r="B12351" t="n">
        <v>5.21</v>
      </c>
      <c r="C12351" t="n">
        <v>3.65</v>
      </c>
    </row>
    <row r="12352">
      <c r="A12352" s="28" t="n">
        <v>37018</v>
      </c>
      <c r="B12352" t="n">
        <v>5.21</v>
      </c>
      <c r="C12352" t="n">
        <v>3.65</v>
      </c>
    </row>
    <row r="12353">
      <c r="A12353" s="28" t="n">
        <v>37019</v>
      </c>
      <c r="B12353" t="n">
        <v>5.24</v>
      </c>
      <c r="C12353" t="n">
        <v>3.62</v>
      </c>
    </row>
    <row r="12354">
      <c r="A12354" s="28" t="n">
        <v>37020</v>
      </c>
      <c r="B12354" t="n">
        <v>5.2</v>
      </c>
      <c r="C12354" t="n">
        <v>3.64</v>
      </c>
    </row>
    <row r="12355">
      <c r="A12355" s="28" t="n">
        <v>37021</v>
      </c>
      <c r="B12355" t="n">
        <v>5.31</v>
      </c>
      <c r="C12355" t="n">
        <v>3.66</v>
      </c>
    </row>
    <row r="12356">
      <c r="A12356" s="28" t="n">
        <v>37022</v>
      </c>
      <c r="B12356" t="n">
        <v>5.51</v>
      </c>
      <c r="C12356" t="n">
        <v>3.69</v>
      </c>
    </row>
    <row r="12357">
      <c r="A12357" s="28" t="n">
        <v>37025</v>
      </c>
      <c r="B12357" t="n">
        <v>5.46</v>
      </c>
      <c r="C12357" t="n">
        <v>3.63</v>
      </c>
    </row>
    <row r="12358">
      <c r="A12358" s="28" t="n">
        <v>37026</v>
      </c>
      <c r="B12358" t="n">
        <v>5.5</v>
      </c>
      <c r="C12358" t="n">
        <v>3.55</v>
      </c>
    </row>
    <row r="12359">
      <c r="A12359" s="28" t="n">
        <v>37027</v>
      </c>
      <c r="B12359" t="n">
        <v>5.48</v>
      </c>
      <c r="C12359" t="n">
        <v>3.49</v>
      </c>
    </row>
    <row r="12360">
      <c r="A12360" s="28" t="n">
        <v>37028</v>
      </c>
      <c r="B12360" t="n">
        <v>5.46</v>
      </c>
      <c r="C12360" t="n">
        <v>3.49</v>
      </c>
    </row>
    <row r="12361">
      <c r="A12361" s="28" t="n">
        <v>37029</v>
      </c>
      <c r="B12361" t="n">
        <v>5.41</v>
      </c>
      <c r="C12361" t="n">
        <v>3.53</v>
      </c>
    </row>
    <row r="12362">
      <c r="A12362" s="28" t="n">
        <v>37032</v>
      </c>
      <c r="B12362" t="n">
        <v>5.41</v>
      </c>
      <c r="C12362" t="n">
        <v>3.57</v>
      </c>
    </row>
    <row r="12363">
      <c r="A12363" s="28" t="n">
        <v>37033</v>
      </c>
      <c r="B12363" t="n">
        <v>5.42</v>
      </c>
      <c r="C12363" t="n">
        <v>3.56</v>
      </c>
    </row>
    <row r="12364">
      <c r="A12364" s="28" t="n">
        <v>37034</v>
      </c>
      <c r="B12364" t="n">
        <v>5.41</v>
      </c>
      <c r="C12364" t="n">
        <v>3.56</v>
      </c>
    </row>
    <row r="12365">
      <c r="A12365" s="28" t="n">
        <v>37035</v>
      </c>
      <c r="B12365" t="n">
        <v>5.52</v>
      </c>
      <c r="C12365" t="n">
        <v>3.62</v>
      </c>
    </row>
    <row r="12366">
      <c r="A12366" s="28" t="n">
        <v>37036</v>
      </c>
      <c r="B12366" t="n">
        <v>5.52</v>
      </c>
      <c r="C12366" t="n">
        <v>3.58</v>
      </c>
    </row>
    <row r="12367">
      <c r="A12367" s="28" t="n">
        <v>37039</v>
      </c>
      <c r="B12367" t="n">
        <v>0</v>
      </c>
      <c r="C12367" t="n">
        <v>0</v>
      </c>
    </row>
    <row r="12368">
      <c r="A12368" s="28" t="n">
        <v>37040</v>
      </c>
      <c r="B12368" t="n">
        <v>5.54</v>
      </c>
      <c r="C12368" t="n">
        <v>3.63</v>
      </c>
    </row>
    <row r="12369">
      <c r="A12369" s="28" t="n">
        <v>37041</v>
      </c>
      <c r="B12369" t="n">
        <v>5.54</v>
      </c>
      <c r="C12369" t="n">
        <v>3.6</v>
      </c>
    </row>
    <row r="12370">
      <c r="A12370" s="28" t="n">
        <v>37042</v>
      </c>
      <c r="B12370" t="n">
        <v>5.43</v>
      </c>
      <c r="C12370" t="n">
        <v>3.55</v>
      </c>
    </row>
    <row r="12371">
      <c r="A12371" s="28" t="n">
        <v>37043</v>
      </c>
      <c r="B12371" t="n">
        <v>5.39</v>
      </c>
      <c r="C12371" t="n">
        <v>3.59</v>
      </c>
    </row>
    <row r="12372">
      <c r="A12372" s="28" t="n">
        <v>37046</v>
      </c>
      <c r="B12372" t="n">
        <v>5.35</v>
      </c>
      <c r="C12372" t="n">
        <v>3.6</v>
      </c>
    </row>
    <row r="12373">
      <c r="A12373" s="28" t="n">
        <v>37047</v>
      </c>
      <c r="B12373" t="n">
        <v>5.29</v>
      </c>
      <c r="C12373" t="n">
        <v>3.55</v>
      </c>
    </row>
    <row r="12374">
      <c r="A12374" s="28" t="n">
        <v>37048</v>
      </c>
      <c r="B12374" t="n">
        <v>5.27</v>
      </c>
      <c r="C12374" t="n">
        <v>3.54</v>
      </c>
    </row>
    <row r="12375">
      <c r="A12375" s="28" t="n">
        <v>37049</v>
      </c>
      <c r="B12375" t="n">
        <v>5.33</v>
      </c>
      <c r="C12375" t="n">
        <v>3.55</v>
      </c>
    </row>
    <row r="12376">
      <c r="A12376" s="28" t="n">
        <v>37050</v>
      </c>
      <c r="B12376" t="n">
        <v>5.38</v>
      </c>
      <c r="C12376" t="n">
        <v>3.56</v>
      </c>
    </row>
    <row r="12377">
      <c r="A12377" s="28" t="n">
        <v>37053</v>
      </c>
      <c r="B12377" t="n">
        <v>5.32</v>
      </c>
      <c r="C12377" t="n">
        <v>3.52</v>
      </c>
    </row>
    <row r="12378">
      <c r="A12378" s="28" t="n">
        <v>37054</v>
      </c>
      <c r="B12378" t="n">
        <v>5.27</v>
      </c>
      <c r="C12378" t="n">
        <v>3.48</v>
      </c>
    </row>
    <row r="12379">
      <c r="A12379" s="28" t="n">
        <v>37055</v>
      </c>
      <c r="B12379" t="n">
        <v>5.28</v>
      </c>
      <c r="C12379" t="n">
        <v>3.47</v>
      </c>
    </row>
    <row r="12380">
      <c r="A12380" s="28" t="n">
        <v>37056</v>
      </c>
      <c r="B12380" t="n">
        <v>5.26</v>
      </c>
      <c r="C12380" t="n">
        <v>3.48</v>
      </c>
    </row>
    <row r="12381">
      <c r="A12381" s="28" t="n">
        <v>37057</v>
      </c>
      <c r="B12381" t="n">
        <v>5.27</v>
      </c>
      <c r="C12381" t="n">
        <v>3.44</v>
      </c>
    </row>
    <row r="12382">
      <c r="A12382" s="28" t="n">
        <v>37060</v>
      </c>
      <c r="B12382" t="n">
        <v>5.27</v>
      </c>
      <c r="C12382" t="n">
        <v>3.44</v>
      </c>
    </row>
    <row r="12383">
      <c r="A12383" s="28" t="n">
        <v>37061</v>
      </c>
      <c r="B12383" t="n">
        <v>5.26</v>
      </c>
      <c r="C12383" t="n">
        <v>3.43</v>
      </c>
    </row>
    <row r="12384">
      <c r="A12384" s="28" t="n">
        <v>37062</v>
      </c>
      <c r="B12384" t="n">
        <v>5.24</v>
      </c>
      <c r="C12384" t="n">
        <v>3.41</v>
      </c>
    </row>
    <row r="12385">
      <c r="A12385" s="28" t="n">
        <v>37063</v>
      </c>
      <c r="B12385" t="n">
        <v>5.22</v>
      </c>
      <c r="C12385" t="n">
        <v>3.43</v>
      </c>
    </row>
    <row r="12386">
      <c r="A12386" s="28" t="n">
        <v>37064</v>
      </c>
      <c r="B12386" t="n">
        <v>5.14</v>
      </c>
      <c r="C12386" t="n">
        <v>3.37</v>
      </c>
    </row>
    <row r="12387">
      <c r="A12387" s="28" t="n">
        <v>37067</v>
      </c>
      <c r="B12387" t="n">
        <v>5.16</v>
      </c>
      <c r="C12387" t="n">
        <v>3.38</v>
      </c>
    </row>
    <row r="12388">
      <c r="A12388" s="28" t="n">
        <v>37068</v>
      </c>
      <c r="B12388" t="n">
        <v>5.24</v>
      </c>
      <c r="C12388" t="n">
        <v>3.38</v>
      </c>
    </row>
    <row r="12389">
      <c r="A12389" s="28" t="n">
        <v>37069</v>
      </c>
      <c r="B12389" t="n">
        <v>5.26</v>
      </c>
      <c r="C12389" t="n">
        <v>3.44</v>
      </c>
    </row>
    <row r="12390">
      <c r="A12390" s="28" t="n">
        <v>37070</v>
      </c>
      <c r="B12390" t="n">
        <v>5.35</v>
      </c>
      <c r="C12390" t="n">
        <v>3.56</v>
      </c>
    </row>
    <row r="12391">
      <c r="A12391" s="28" t="n">
        <v>37071</v>
      </c>
      <c r="B12391" t="n">
        <v>5.42</v>
      </c>
      <c r="C12391" t="n">
        <v>3.57</v>
      </c>
    </row>
    <row r="12392">
      <c r="A12392" s="28" t="n">
        <v>37074</v>
      </c>
      <c r="B12392" t="n">
        <v>5.37</v>
      </c>
      <c r="C12392" t="n">
        <v>3.59</v>
      </c>
    </row>
    <row r="12393">
      <c r="A12393" s="28" t="n">
        <v>37075</v>
      </c>
      <c r="B12393" t="n">
        <v>5.41</v>
      </c>
      <c r="C12393" t="n">
        <v>3.58</v>
      </c>
    </row>
    <row r="12394">
      <c r="A12394" s="28" t="n">
        <v>37076</v>
      </c>
      <c r="B12394" t="n">
        <v>0</v>
      </c>
      <c r="C12394" t="n">
        <v>0</v>
      </c>
    </row>
    <row r="12395">
      <c r="A12395" s="28" t="n">
        <v>37077</v>
      </c>
      <c r="B12395" t="n">
        <v>5.44</v>
      </c>
      <c r="C12395" t="n">
        <v>3.57</v>
      </c>
    </row>
    <row r="12396">
      <c r="A12396" s="28" t="n">
        <v>37078</v>
      </c>
      <c r="B12396" t="n">
        <v>5.41</v>
      </c>
      <c r="C12396" t="n">
        <v>3.55</v>
      </c>
    </row>
    <row r="12397">
      <c r="A12397" s="28" t="n">
        <v>37081</v>
      </c>
      <c r="B12397" t="n">
        <v>5.37</v>
      </c>
      <c r="C12397" t="n">
        <v>3.57</v>
      </c>
    </row>
    <row r="12398">
      <c r="A12398" s="28" t="n">
        <v>37082</v>
      </c>
      <c r="B12398" t="n">
        <v>5.32</v>
      </c>
      <c r="C12398" t="n">
        <v>3.55</v>
      </c>
    </row>
    <row r="12399">
      <c r="A12399" s="28" t="n">
        <v>37083</v>
      </c>
      <c r="B12399" t="n">
        <v>5.31</v>
      </c>
      <c r="C12399" t="n">
        <v>3.5</v>
      </c>
    </row>
    <row r="12400">
      <c r="A12400" s="28" t="n">
        <v>37084</v>
      </c>
      <c r="B12400" t="n">
        <v>5.27</v>
      </c>
      <c r="C12400" t="n">
        <v>3.52</v>
      </c>
    </row>
    <row r="12401">
      <c r="A12401" s="28" t="n">
        <v>37085</v>
      </c>
      <c r="B12401" t="n">
        <v>5.27</v>
      </c>
      <c r="C12401" t="n">
        <v>3.54</v>
      </c>
    </row>
    <row r="12402">
      <c r="A12402" s="28" t="n">
        <v>37088</v>
      </c>
      <c r="B12402" t="n">
        <v>5.21</v>
      </c>
      <c r="C12402" t="n">
        <v>3.56</v>
      </c>
    </row>
    <row r="12403">
      <c r="A12403" s="28" t="n">
        <v>37089</v>
      </c>
      <c r="B12403" t="n">
        <v>5.22</v>
      </c>
      <c r="C12403" t="n">
        <v>3.53</v>
      </c>
    </row>
    <row r="12404">
      <c r="A12404" s="28" t="n">
        <v>37090</v>
      </c>
      <c r="B12404" t="n">
        <v>5.12</v>
      </c>
      <c r="C12404" t="n">
        <v>3.46</v>
      </c>
    </row>
    <row r="12405">
      <c r="A12405" s="28" t="n">
        <v>37091</v>
      </c>
      <c r="B12405" t="n">
        <v>5.13</v>
      </c>
      <c r="C12405" t="n">
        <v>3.47</v>
      </c>
    </row>
    <row r="12406">
      <c r="A12406" s="28" t="n">
        <v>37092</v>
      </c>
      <c r="B12406" t="n">
        <v>5.15</v>
      </c>
      <c r="C12406" t="n">
        <v>3.45</v>
      </c>
    </row>
    <row r="12407">
      <c r="A12407" s="28" t="n">
        <v>37095</v>
      </c>
      <c r="B12407" t="n">
        <v>5.13</v>
      </c>
      <c r="C12407" t="n">
        <v>3.48</v>
      </c>
    </row>
    <row r="12408">
      <c r="A12408" s="28" t="n">
        <v>37096</v>
      </c>
      <c r="B12408" t="n">
        <v>5.13</v>
      </c>
      <c r="C12408" t="n">
        <v>3.48</v>
      </c>
    </row>
    <row r="12409">
      <c r="A12409" s="28" t="n">
        <v>37097</v>
      </c>
      <c r="B12409" t="n">
        <v>5.2</v>
      </c>
      <c r="C12409" t="n">
        <v>3.48</v>
      </c>
    </row>
    <row r="12410">
      <c r="A12410" s="28" t="n">
        <v>37098</v>
      </c>
      <c r="B12410" t="n">
        <v>5.19</v>
      </c>
      <c r="C12410" t="n">
        <v>3.48</v>
      </c>
    </row>
    <row r="12411">
      <c r="A12411" s="28" t="n">
        <v>37099</v>
      </c>
      <c r="B12411" t="n">
        <v>5.13</v>
      </c>
      <c r="C12411" t="n">
        <v>3.47</v>
      </c>
    </row>
    <row r="12412">
      <c r="A12412" s="28" t="n">
        <v>37102</v>
      </c>
      <c r="B12412" t="n">
        <v>5.11</v>
      </c>
      <c r="C12412" t="n">
        <v>3.49</v>
      </c>
    </row>
    <row r="12413">
      <c r="A12413" s="28" t="n">
        <v>37103</v>
      </c>
      <c r="B12413" t="n">
        <v>5.07</v>
      </c>
      <c r="C12413" t="n">
        <v>3.46</v>
      </c>
    </row>
    <row r="12414">
      <c r="A12414" s="28" t="n">
        <v>37104</v>
      </c>
      <c r="B12414" t="n">
        <v>5.11</v>
      </c>
      <c r="C12414" t="n">
        <v>3.45</v>
      </c>
    </row>
    <row r="12415">
      <c r="A12415" s="28" t="n">
        <v>37105</v>
      </c>
      <c r="B12415" t="n">
        <v>5.17</v>
      </c>
      <c r="C12415" t="n">
        <v>3.45</v>
      </c>
    </row>
    <row r="12416">
      <c r="A12416" s="28" t="n">
        <v>37106</v>
      </c>
      <c r="B12416" t="n">
        <v>5.2</v>
      </c>
      <c r="C12416" t="n">
        <v>3.44</v>
      </c>
    </row>
    <row r="12417">
      <c r="A12417" s="28" t="n">
        <v>37109</v>
      </c>
      <c r="B12417" t="n">
        <v>5.19</v>
      </c>
      <c r="C12417" t="n">
        <v>3.44</v>
      </c>
    </row>
    <row r="12418">
      <c r="A12418" s="28" t="n">
        <v>37110</v>
      </c>
      <c r="B12418" t="n">
        <v>5.2</v>
      </c>
      <c r="C12418" t="n">
        <v>3.44</v>
      </c>
    </row>
    <row r="12419">
      <c r="A12419" s="28" t="n">
        <v>37111</v>
      </c>
      <c r="B12419" t="n">
        <v>4.99</v>
      </c>
      <c r="C12419" t="n">
        <v>3.41</v>
      </c>
    </row>
    <row r="12420">
      <c r="A12420" s="28" t="n">
        <v>37112</v>
      </c>
      <c r="B12420" t="n">
        <v>5.04</v>
      </c>
      <c r="C12420" t="n">
        <v>3.38</v>
      </c>
    </row>
    <row r="12421">
      <c r="A12421" s="28" t="n">
        <v>37113</v>
      </c>
      <c r="B12421" t="n">
        <v>4.99</v>
      </c>
      <c r="C12421" t="n">
        <v>3.36</v>
      </c>
    </row>
    <row r="12422">
      <c r="A12422" s="28" t="n">
        <v>37116</v>
      </c>
      <c r="B12422" t="n">
        <v>4.97</v>
      </c>
      <c r="C12422" t="n">
        <v>3.37</v>
      </c>
    </row>
    <row r="12423">
      <c r="A12423" s="28" t="n">
        <v>37117</v>
      </c>
      <c r="B12423" t="n">
        <v>4.97</v>
      </c>
      <c r="C12423" t="n">
        <v>3.35</v>
      </c>
    </row>
    <row r="12424">
      <c r="A12424" s="28" t="n">
        <v>37118</v>
      </c>
      <c r="B12424" t="n">
        <v>5</v>
      </c>
      <c r="C12424" t="n">
        <v>3.35</v>
      </c>
    </row>
    <row r="12425">
      <c r="A12425" s="28" t="n">
        <v>37119</v>
      </c>
      <c r="B12425" t="n">
        <v>4.95</v>
      </c>
      <c r="C12425" t="n">
        <v>3.32</v>
      </c>
    </row>
    <row r="12426">
      <c r="A12426" s="28" t="n">
        <v>37120</v>
      </c>
      <c r="B12426" t="n">
        <v>4.84</v>
      </c>
      <c r="C12426" t="n">
        <v>3.29</v>
      </c>
    </row>
    <row r="12427">
      <c r="A12427" s="28" t="n">
        <v>37123</v>
      </c>
      <c r="B12427" t="n">
        <v>4.91</v>
      </c>
      <c r="C12427" t="n">
        <v>3.34</v>
      </c>
    </row>
    <row r="12428">
      <c r="A12428" s="28" t="n">
        <v>37124</v>
      </c>
      <c r="B12428" t="n">
        <v>4.87</v>
      </c>
      <c r="C12428" t="n">
        <v>3.31</v>
      </c>
    </row>
    <row r="12429">
      <c r="A12429" s="28" t="n">
        <v>37125</v>
      </c>
      <c r="B12429" t="n">
        <v>4.91</v>
      </c>
      <c r="C12429" t="n">
        <v>3.31</v>
      </c>
    </row>
    <row r="12430">
      <c r="A12430" s="28" t="n">
        <v>37126</v>
      </c>
      <c r="B12430" t="n">
        <v>4.89</v>
      </c>
      <c r="C12430" t="n">
        <v>3.33</v>
      </c>
    </row>
    <row r="12431">
      <c r="A12431" s="28" t="n">
        <v>37127</v>
      </c>
      <c r="B12431" t="n">
        <v>4.93</v>
      </c>
      <c r="C12431" t="n">
        <v>3.35</v>
      </c>
    </row>
    <row r="12432">
      <c r="A12432" s="28" t="n">
        <v>37130</v>
      </c>
      <c r="B12432" t="n">
        <v>4.94</v>
      </c>
      <c r="C12432" t="n">
        <v>3.37</v>
      </c>
    </row>
    <row r="12433">
      <c r="A12433" s="28" t="n">
        <v>37131</v>
      </c>
      <c r="B12433" t="n">
        <v>4.85</v>
      </c>
      <c r="C12433" t="n">
        <v>3.33</v>
      </c>
    </row>
    <row r="12434">
      <c r="A12434" s="28" t="n">
        <v>37132</v>
      </c>
      <c r="B12434" t="n">
        <v>4.78</v>
      </c>
      <c r="C12434" t="n">
        <v>3.34</v>
      </c>
    </row>
    <row r="12435">
      <c r="A12435" s="28" t="n">
        <v>37133</v>
      </c>
      <c r="B12435" t="n">
        <v>4.79</v>
      </c>
      <c r="C12435" t="n">
        <v>3.29</v>
      </c>
    </row>
    <row r="12436">
      <c r="A12436" s="28" t="n">
        <v>37134</v>
      </c>
      <c r="B12436" t="n">
        <v>4.85</v>
      </c>
      <c r="C12436" t="n">
        <v>3.3</v>
      </c>
    </row>
    <row r="12437">
      <c r="A12437" s="28" t="n">
        <v>37137</v>
      </c>
      <c r="B12437" t="n">
        <v>0</v>
      </c>
      <c r="C12437" t="n">
        <v>0</v>
      </c>
    </row>
    <row r="12438">
      <c r="A12438" s="28" t="n">
        <v>37138</v>
      </c>
      <c r="B12438" t="n">
        <v>4.99</v>
      </c>
      <c r="C12438" t="n">
        <v>3.36</v>
      </c>
    </row>
    <row r="12439">
      <c r="A12439" s="28" t="n">
        <v>37139</v>
      </c>
      <c r="B12439" t="n">
        <v>4.97</v>
      </c>
      <c r="C12439" t="n">
        <v>3.33</v>
      </c>
    </row>
    <row r="12440">
      <c r="A12440" s="28" t="n">
        <v>37140</v>
      </c>
      <c r="B12440" t="n">
        <v>4.86</v>
      </c>
      <c r="C12440" t="n">
        <v>3.27</v>
      </c>
    </row>
    <row r="12441">
      <c r="A12441" s="28" t="n">
        <v>37141</v>
      </c>
      <c r="B12441" t="n">
        <v>4.8</v>
      </c>
      <c r="C12441" t="n">
        <v>3.2</v>
      </c>
    </row>
    <row r="12442">
      <c r="A12442" s="28" t="n">
        <v>37144</v>
      </c>
      <c r="B12442" t="n">
        <v>4.84</v>
      </c>
      <c r="C12442" t="n">
        <v>3.19</v>
      </c>
    </row>
    <row r="12443">
      <c r="A12443" s="28" t="n">
        <v>37145</v>
      </c>
      <c r="B12443" t="n">
        <v>0</v>
      </c>
      <c r="C12443" t="n">
        <v>0</v>
      </c>
    </row>
    <row r="12444">
      <c r="A12444" s="28" t="n">
        <v>37146</v>
      </c>
      <c r="B12444" t="n">
        <v>0</v>
      </c>
      <c r="C12444" t="n">
        <v>0</v>
      </c>
    </row>
    <row r="12445">
      <c r="A12445" s="28" t="n">
        <v>37147</v>
      </c>
      <c r="B12445" t="n">
        <v>4.64</v>
      </c>
      <c r="C12445" t="n">
        <v>2.68</v>
      </c>
    </row>
    <row r="12446">
      <c r="A12446" s="28" t="n">
        <v>37148</v>
      </c>
      <c r="B12446" t="n">
        <v>4.57</v>
      </c>
      <c r="C12446" t="n">
        <v>2.59</v>
      </c>
    </row>
    <row r="12447">
      <c r="A12447" s="28" t="n">
        <v>37151</v>
      </c>
      <c r="B12447" t="n">
        <v>4.63</v>
      </c>
      <c r="C12447" t="n">
        <v>2.54</v>
      </c>
    </row>
    <row r="12448">
      <c r="A12448" s="28" t="n">
        <v>37152</v>
      </c>
      <c r="B12448" t="n">
        <v>4.72</v>
      </c>
      <c r="C12448" t="n">
        <v>2.43</v>
      </c>
    </row>
    <row r="12449">
      <c r="A12449" s="28" t="n">
        <v>37153</v>
      </c>
      <c r="B12449" t="n">
        <v>4.69</v>
      </c>
      <c r="C12449" t="n">
        <v>2.15</v>
      </c>
    </row>
    <row r="12450">
      <c r="A12450" s="28" t="n">
        <v>37154</v>
      </c>
      <c r="B12450" t="n">
        <v>4.75</v>
      </c>
      <c r="C12450" t="n">
        <v>2.18</v>
      </c>
    </row>
    <row r="12451">
      <c r="A12451" s="28" t="n">
        <v>37155</v>
      </c>
      <c r="B12451" t="n">
        <v>4.7</v>
      </c>
      <c r="C12451" t="n">
        <v>2.21</v>
      </c>
    </row>
    <row r="12452">
      <c r="A12452" s="28" t="n">
        <v>37158</v>
      </c>
      <c r="B12452" t="n">
        <v>4.73</v>
      </c>
      <c r="C12452" t="n">
        <v>2.33</v>
      </c>
    </row>
    <row r="12453">
      <c r="A12453" s="28" t="n">
        <v>37159</v>
      </c>
      <c r="B12453" t="n">
        <v>4.72</v>
      </c>
      <c r="C12453" t="n">
        <v>2.35</v>
      </c>
    </row>
    <row r="12454">
      <c r="A12454" s="28" t="n">
        <v>37160</v>
      </c>
      <c r="B12454" t="n">
        <v>4.65</v>
      </c>
      <c r="C12454" t="n">
        <v>2.33</v>
      </c>
    </row>
    <row r="12455">
      <c r="A12455" s="28" t="n">
        <v>37161</v>
      </c>
      <c r="B12455" t="n">
        <v>4.58</v>
      </c>
      <c r="C12455" t="n">
        <v>2.33</v>
      </c>
    </row>
    <row r="12456">
      <c r="A12456" s="28" t="n">
        <v>37162</v>
      </c>
      <c r="B12456" t="n">
        <v>4.6</v>
      </c>
      <c r="C12456" t="n">
        <v>2.35</v>
      </c>
    </row>
    <row r="12457">
      <c r="A12457" s="28" t="n">
        <v>37165</v>
      </c>
      <c r="B12457" t="n">
        <v>4.55</v>
      </c>
      <c r="C12457" t="n">
        <v>2.32</v>
      </c>
    </row>
    <row r="12458">
      <c r="A12458" s="28" t="n">
        <v>37166</v>
      </c>
      <c r="B12458" t="n">
        <v>4.53</v>
      </c>
      <c r="C12458" t="n">
        <v>2.22</v>
      </c>
    </row>
    <row r="12459">
      <c r="A12459" s="28" t="n">
        <v>37167</v>
      </c>
      <c r="B12459" t="n">
        <v>4.5</v>
      </c>
      <c r="C12459" t="n">
        <v>2.19</v>
      </c>
    </row>
    <row r="12460">
      <c r="A12460" s="28" t="n">
        <v>37168</v>
      </c>
      <c r="B12460" t="n">
        <v>4.53</v>
      </c>
      <c r="C12460" t="n">
        <v>2.17</v>
      </c>
    </row>
    <row r="12461">
      <c r="A12461" s="28" t="n">
        <v>37169</v>
      </c>
      <c r="B12461" t="n">
        <v>4.52</v>
      </c>
      <c r="C12461" t="n">
        <v>2.15</v>
      </c>
    </row>
    <row r="12462">
      <c r="A12462" s="28" t="n">
        <v>37172</v>
      </c>
      <c r="B12462" t="n">
        <v>0</v>
      </c>
      <c r="C12462" t="n">
        <v>0</v>
      </c>
    </row>
    <row r="12463">
      <c r="A12463" s="28" t="n">
        <v>37173</v>
      </c>
      <c r="B12463" t="n">
        <v>4.62</v>
      </c>
      <c r="C12463" t="n">
        <v>2.18</v>
      </c>
    </row>
    <row r="12464">
      <c r="A12464" s="28" t="n">
        <v>37174</v>
      </c>
      <c r="B12464" t="n">
        <v>4.61</v>
      </c>
      <c r="C12464" t="n">
        <v>2.18</v>
      </c>
    </row>
    <row r="12465">
      <c r="A12465" s="28" t="n">
        <v>37175</v>
      </c>
      <c r="B12465" t="n">
        <v>4.69</v>
      </c>
      <c r="C12465" t="n">
        <v>2.23</v>
      </c>
    </row>
    <row r="12466">
      <c r="A12466" s="28" t="n">
        <v>37176</v>
      </c>
      <c r="B12466" t="n">
        <v>4.68</v>
      </c>
      <c r="C12466" t="n">
        <v>2.21</v>
      </c>
    </row>
    <row r="12467">
      <c r="A12467" s="28" t="n">
        <v>37179</v>
      </c>
      <c r="B12467" t="n">
        <v>4.62</v>
      </c>
      <c r="C12467" t="n">
        <v>2.21</v>
      </c>
    </row>
    <row r="12468">
      <c r="A12468" s="28" t="n">
        <v>37180</v>
      </c>
      <c r="B12468" t="n">
        <v>4.59</v>
      </c>
      <c r="C12468" t="n">
        <v>2.18</v>
      </c>
    </row>
    <row r="12469">
      <c r="A12469" s="28" t="n">
        <v>37181</v>
      </c>
      <c r="B12469" t="n">
        <v>4.59</v>
      </c>
      <c r="C12469" t="n">
        <v>2.18</v>
      </c>
    </row>
    <row r="12470">
      <c r="A12470" s="28" t="n">
        <v>37182</v>
      </c>
      <c r="B12470" t="n">
        <v>4.58</v>
      </c>
      <c r="C12470" t="n">
        <v>2.15</v>
      </c>
    </row>
    <row r="12471">
      <c r="A12471" s="28" t="n">
        <v>37183</v>
      </c>
      <c r="B12471" t="n">
        <v>4.63</v>
      </c>
      <c r="C12471" t="n">
        <v>2.15</v>
      </c>
    </row>
    <row r="12472">
      <c r="A12472" s="28" t="n">
        <v>37186</v>
      </c>
      <c r="B12472" t="n">
        <v>4.63</v>
      </c>
      <c r="C12472" t="n">
        <v>2.18</v>
      </c>
    </row>
    <row r="12473">
      <c r="A12473" s="28" t="n">
        <v>37187</v>
      </c>
      <c r="B12473" t="n">
        <v>4.66</v>
      </c>
      <c r="C12473" t="n">
        <v>2.16</v>
      </c>
    </row>
    <row r="12474">
      <c r="A12474" s="28" t="n">
        <v>37188</v>
      </c>
      <c r="B12474" t="n">
        <v>4.61</v>
      </c>
      <c r="C12474" t="n">
        <v>2.13</v>
      </c>
    </row>
    <row r="12475">
      <c r="A12475" s="28" t="n">
        <v>37189</v>
      </c>
      <c r="B12475" t="n">
        <v>4.56</v>
      </c>
      <c r="C12475" t="n">
        <v>2.1</v>
      </c>
    </row>
    <row r="12476">
      <c r="A12476" s="28" t="n">
        <v>37190</v>
      </c>
      <c r="B12476" t="n">
        <v>4.53</v>
      </c>
      <c r="C12476" t="n">
        <v>2.1</v>
      </c>
    </row>
    <row r="12477">
      <c r="A12477" s="28" t="n">
        <v>37193</v>
      </c>
      <c r="B12477" t="n">
        <v>4.5</v>
      </c>
      <c r="C12477" t="n">
        <v>2.05</v>
      </c>
    </row>
    <row r="12478">
      <c r="A12478" s="28" t="n">
        <v>37194</v>
      </c>
      <c r="B12478" t="n">
        <v>4.44</v>
      </c>
      <c r="C12478" t="n">
        <v>2.01</v>
      </c>
    </row>
    <row r="12479">
      <c r="A12479" s="28" t="n">
        <v>37195</v>
      </c>
      <c r="B12479" t="n">
        <v>4.3</v>
      </c>
      <c r="C12479" t="n">
        <v>2.01</v>
      </c>
    </row>
    <row r="12480">
      <c r="A12480" s="28" t="n">
        <v>37196</v>
      </c>
      <c r="B12480" t="n">
        <v>4.24</v>
      </c>
      <c r="C12480" t="n">
        <v>2.02</v>
      </c>
    </row>
    <row r="12481">
      <c r="A12481" s="28" t="n">
        <v>37197</v>
      </c>
      <c r="B12481" t="n">
        <v>4.37</v>
      </c>
      <c r="C12481" t="n">
        <v>1.97</v>
      </c>
    </row>
    <row r="12482">
      <c r="A12482" s="28" t="n">
        <v>37200</v>
      </c>
      <c r="B12482" t="n">
        <v>4.31</v>
      </c>
      <c r="C12482" t="n">
        <v>1.97</v>
      </c>
    </row>
    <row r="12483">
      <c r="A12483" s="28" t="n">
        <v>37201</v>
      </c>
      <c r="B12483" t="n">
        <v>4.3</v>
      </c>
      <c r="C12483" t="n">
        <v>1.82</v>
      </c>
    </row>
    <row r="12484">
      <c r="A12484" s="28" t="n">
        <v>37202</v>
      </c>
      <c r="B12484" t="n">
        <v>4.22</v>
      </c>
      <c r="C12484" t="n">
        <v>1.77</v>
      </c>
    </row>
    <row r="12485">
      <c r="A12485" s="28" t="n">
        <v>37203</v>
      </c>
      <c r="B12485" t="n">
        <v>4.32</v>
      </c>
      <c r="C12485" t="n">
        <v>1.81</v>
      </c>
    </row>
    <row r="12486">
      <c r="A12486" s="28" t="n">
        <v>37204</v>
      </c>
      <c r="B12486" t="n">
        <v>4.34</v>
      </c>
      <c r="C12486" t="n">
        <v>1.8</v>
      </c>
    </row>
    <row r="12487">
      <c r="A12487" s="28" t="n">
        <v>37207</v>
      </c>
      <c r="B12487" t="n">
        <v>0</v>
      </c>
      <c r="C12487" t="n">
        <v>0</v>
      </c>
    </row>
    <row r="12488">
      <c r="A12488" s="28" t="n">
        <v>37208</v>
      </c>
      <c r="B12488" t="n">
        <v>4.41</v>
      </c>
      <c r="C12488" t="n">
        <v>1.81</v>
      </c>
    </row>
    <row r="12489">
      <c r="A12489" s="28" t="n">
        <v>37209</v>
      </c>
      <c r="B12489" t="n">
        <v>4.54</v>
      </c>
      <c r="C12489" t="n">
        <v>1.84</v>
      </c>
    </row>
    <row r="12490">
      <c r="A12490" s="28" t="n">
        <v>37210</v>
      </c>
      <c r="B12490" t="n">
        <v>4.79</v>
      </c>
      <c r="C12490" t="n">
        <v>1.88</v>
      </c>
    </row>
    <row r="12491">
      <c r="A12491" s="28" t="n">
        <v>37211</v>
      </c>
      <c r="B12491" t="n">
        <v>4.91</v>
      </c>
      <c r="C12491" t="n">
        <v>1.91</v>
      </c>
    </row>
    <row r="12492">
      <c r="A12492" s="28" t="n">
        <v>37214</v>
      </c>
      <c r="B12492" t="n">
        <v>4.8</v>
      </c>
      <c r="C12492" t="n">
        <v>1.9</v>
      </c>
    </row>
    <row r="12493">
      <c r="A12493" s="28" t="n">
        <v>37215</v>
      </c>
      <c r="B12493" t="n">
        <v>4.88</v>
      </c>
      <c r="C12493" t="n">
        <v>1.91</v>
      </c>
    </row>
    <row r="12494">
      <c r="A12494" s="28" t="n">
        <v>37216</v>
      </c>
      <c r="B12494" t="n">
        <v>4.98</v>
      </c>
      <c r="C12494" t="n">
        <v>1.92</v>
      </c>
    </row>
    <row r="12495">
      <c r="A12495" s="28" t="n">
        <v>37217</v>
      </c>
      <c r="B12495" t="n">
        <v>0</v>
      </c>
      <c r="C12495" t="n">
        <v>0</v>
      </c>
    </row>
    <row r="12496">
      <c r="A12496" s="28" t="n">
        <v>37218</v>
      </c>
      <c r="B12496" t="n">
        <v>5.04</v>
      </c>
      <c r="C12496" t="n">
        <v>1.91</v>
      </c>
    </row>
    <row r="12497">
      <c r="A12497" s="28" t="n">
        <v>37221</v>
      </c>
      <c r="B12497" t="n">
        <v>5.05</v>
      </c>
      <c r="C12497" t="n">
        <v>1.94</v>
      </c>
    </row>
    <row r="12498">
      <c r="A12498" s="28" t="n">
        <v>37222</v>
      </c>
      <c r="B12498" t="n">
        <v>4.98</v>
      </c>
      <c r="C12498" t="n">
        <v>1.88</v>
      </c>
    </row>
    <row r="12499">
      <c r="A12499" s="28" t="n">
        <v>37223</v>
      </c>
      <c r="B12499" t="n">
        <v>4.98</v>
      </c>
      <c r="C12499" t="n">
        <v>1.84</v>
      </c>
    </row>
    <row r="12500">
      <c r="A12500" s="28" t="n">
        <v>37224</v>
      </c>
      <c r="B12500" t="n">
        <v>4.79</v>
      </c>
      <c r="C12500" t="n">
        <v>1.77</v>
      </c>
    </row>
    <row r="12501">
      <c r="A12501" s="28" t="n">
        <v>37225</v>
      </c>
      <c r="B12501" t="n">
        <v>4.78</v>
      </c>
      <c r="C12501" t="n">
        <v>1.75</v>
      </c>
    </row>
    <row r="12502">
      <c r="A12502" s="28" t="n">
        <v>37228</v>
      </c>
      <c r="B12502" t="n">
        <v>4.75</v>
      </c>
      <c r="C12502" t="n">
        <v>1.75</v>
      </c>
    </row>
    <row r="12503">
      <c r="A12503" s="28" t="n">
        <v>37229</v>
      </c>
      <c r="B12503" t="n">
        <v>4.7</v>
      </c>
      <c r="C12503" t="n">
        <v>1.71</v>
      </c>
    </row>
    <row r="12504">
      <c r="A12504" s="28" t="n">
        <v>37230</v>
      </c>
      <c r="B12504" t="n">
        <v>4.92</v>
      </c>
      <c r="C12504" t="n">
        <v>1.74</v>
      </c>
    </row>
    <row r="12505">
      <c r="A12505" s="28" t="n">
        <v>37231</v>
      </c>
      <c r="B12505" t="n">
        <v>5.04</v>
      </c>
      <c r="C12505" t="n">
        <v>1.72</v>
      </c>
    </row>
    <row r="12506">
      <c r="A12506" s="28" t="n">
        <v>37232</v>
      </c>
      <c r="B12506" t="n">
        <v>5.2</v>
      </c>
      <c r="C12506" t="n">
        <v>1.66</v>
      </c>
    </row>
    <row r="12507">
      <c r="A12507" s="28" t="n">
        <v>37235</v>
      </c>
      <c r="B12507" t="n">
        <v>5.17</v>
      </c>
      <c r="C12507" t="n">
        <v>1.68</v>
      </c>
    </row>
    <row r="12508">
      <c r="A12508" s="28" t="n">
        <v>37236</v>
      </c>
      <c r="B12508" t="n">
        <v>5.13</v>
      </c>
      <c r="C12508" t="n">
        <v>1.63</v>
      </c>
    </row>
    <row r="12509">
      <c r="A12509" s="28" t="n">
        <v>37237</v>
      </c>
      <c r="B12509" t="n">
        <v>5.02</v>
      </c>
      <c r="C12509" t="n">
        <v>1.64</v>
      </c>
    </row>
    <row r="12510">
      <c r="A12510" s="28" t="n">
        <v>37238</v>
      </c>
      <c r="B12510" t="n">
        <v>5.13</v>
      </c>
      <c r="C12510" t="n">
        <v>1.66</v>
      </c>
    </row>
    <row r="12511">
      <c r="A12511" s="28" t="n">
        <v>37239</v>
      </c>
      <c r="B12511" t="n">
        <v>5.24</v>
      </c>
      <c r="C12511" t="n">
        <v>1.7</v>
      </c>
    </row>
    <row r="12512">
      <c r="A12512" s="28" t="n">
        <v>37242</v>
      </c>
      <c r="B12512" t="n">
        <v>5.26</v>
      </c>
      <c r="C12512" t="n">
        <v>1.71</v>
      </c>
    </row>
    <row r="12513">
      <c r="A12513" s="28" t="n">
        <v>37243</v>
      </c>
      <c r="B12513" t="n">
        <v>5.16</v>
      </c>
      <c r="C12513" t="n">
        <v>1.68</v>
      </c>
    </row>
    <row r="12514">
      <c r="A12514" s="28" t="n">
        <v>37244</v>
      </c>
      <c r="B12514" t="n">
        <v>5.08</v>
      </c>
      <c r="C12514" t="n">
        <v>1.66</v>
      </c>
    </row>
    <row r="12515">
      <c r="A12515" s="28" t="n">
        <v>37245</v>
      </c>
      <c r="B12515" t="n">
        <v>5.08</v>
      </c>
      <c r="C12515" t="n">
        <v>1.66</v>
      </c>
    </row>
    <row r="12516">
      <c r="A12516" s="28" t="n">
        <v>37246</v>
      </c>
      <c r="B12516" t="n">
        <v>5.12</v>
      </c>
      <c r="C12516" t="n">
        <v>1.68</v>
      </c>
    </row>
    <row r="12517">
      <c r="A12517" s="28" t="n">
        <v>37249</v>
      </c>
      <c r="B12517" t="n">
        <v>5.18</v>
      </c>
      <c r="C12517" t="n">
        <v>1.69</v>
      </c>
    </row>
    <row r="12518">
      <c r="A12518" s="28" t="n">
        <v>37250</v>
      </c>
      <c r="B12518" t="n">
        <v>0</v>
      </c>
      <c r="C12518" t="n">
        <v>0</v>
      </c>
    </row>
    <row r="12519">
      <c r="A12519" s="28" t="n">
        <v>37251</v>
      </c>
      <c r="B12519" t="n">
        <v>5.22</v>
      </c>
      <c r="C12519" t="n">
        <v>1.72</v>
      </c>
    </row>
    <row r="12520">
      <c r="A12520" s="28" t="n">
        <v>37252</v>
      </c>
      <c r="B12520" t="n">
        <v>5.13</v>
      </c>
      <c r="C12520" t="n">
        <v>1.71</v>
      </c>
    </row>
    <row r="12521">
      <c r="A12521" s="28" t="n">
        <v>37253</v>
      </c>
      <c r="B12521" t="n">
        <v>5.15</v>
      </c>
      <c r="C12521" t="n">
        <v>1.69</v>
      </c>
    </row>
    <row r="12522">
      <c r="A12522" s="28" t="n">
        <v>37256</v>
      </c>
      <c r="B12522" t="n">
        <v>5.07</v>
      </c>
      <c r="C12522" t="n">
        <v>1.71</v>
      </c>
    </row>
    <row r="12523">
      <c r="A12523" s="28" t="n">
        <v>37257</v>
      </c>
      <c r="B12523" t="n">
        <v>0</v>
      </c>
      <c r="C12523" t="n">
        <v>0</v>
      </c>
    </row>
    <row r="12524">
      <c r="A12524" s="28" t="n">
        <v>37258</v>
      </c>
      <c r="B12524" t="n">
        <v>5.2</v>
      </c>
      <c r="C12524" t="n">
        <v>1.71</v>
      </c>
    </row>
    <row r="12525">
      <c r="A12525" s="28" t="n">
        <v>37259</v>
      </c>
      <c r="B12525" t="n">
        <v>5.16</v>
      </c>
      <c r="C12525" t="n">
        <v>1.7</v>
      </c>
    </row>
    <row r="12526">
      <c r="A12526" s="28" t="n">
        <v>37260</v>
      </c>
      <c r="B12526" t="n">
        <v>5.18</v>
      </c>
      <c r="C12526" t="n">
        <v>1.69</v>
      </c>
    </row>
    <row r="12527">
      <c r="A12527" s="28" t="n">
        <v>37263</v>
      </c>
      <c r="B12527" t="n">
        <v>5.09</v>
      </c>
      <c r="C12527" t="n">
        <v>1.66</v>
      </c>
    </row>
    <row r="12528">
      <c r="A12528" s="28" t="n">
        <v>37264</v>
      </c>
      <c r="B12528" t="n">
        <v>5.1</v>
      </c>
      <c r="C12528" t="n">
        <v>1.65</v>
      </c>
    </row>
    <row r="12529">
      <c r="A12529" s="28" t="n">
        <v>37265</v>
      </c>
      <c r="B12529" t="n">
        <v>5.1</v>
      </c>
      <c r="C12529" t="n">
        <v>1.65</v>
      </c>
    </row>
    <row r="12530">
      <c r="A12530" s="28" t="n">
        <v>37266</v>
      </c>
      <c r="B12530" t="n">
        <v>5</v>
      </c>
      <c r="C12530" t="n">
        <v>1.65</v>
      </c>
    </row>
    <row r="12531">
      <c r="A12531" s="28" t="n">
        <v>37267</v>
      </c>
      <c r="B12531" t="n">
        <v>4.92</v>
      </c>
      <c r="C12531" t="n">
        <v>1.55</v>
      </c>
    </row>
    <row r="12532">
      <c r="A12532" s="28" t="n">
        <v>37270</v>
      </c>
      <c r="B12532" t="n">
        <v>4.91</v>
      </c>
      <c r="C12532" t="n">
        <v>1.55</v>
      </c>
    </row>
    <row r="12533">
      <c r="A12533" s="28" t="n">
        <v>37271</v>
      </c>
      <c r="B12533" t="n">
        <v>4.88</v>
      </c>
      <c r="C12533" t="n">
        <v>1.57</v>
      </c>
    </row>
    <row r="12534">
      <c r="A12534" s="28" t="n">
        <v>37272</v>
      </c>
      <c r="B12534" t="n">
        <v>4.88</v>
      </c>
      <c r="C12534" t="n">
        <v>1.58</v>
      </c>
    </row>
    <row r="12535">
      <c r="A12535" s="28" t="n">
        <v>37273</v>
      </c>
      <c r="B12535" t="n">
        <v>4.98</v>
      </c>
      <c r="C12535" t="n">
        <v>1.61</v>
      </c>
    </row>
    <row r="12536">
      <c r="A12536" s="28" t="n">
        <v>37274</v>
      </c>
      <c r="B12536" t="n">
        <v>4.94</v>
      </c>
      <c r="C12536" t="n">
        <v>1.59</v>
      </c>
    </row>
    <row r="12537">
      <c r="A12537" s="28" t="n">
        <v>37277</v>
      </c>
      <c r="B12537" t="n">
        <v>0</v>
      </c>
      <c r="C12537" t="n">
        <v>0</v>
      </c>
    </row>
    <row r="12538">
      <c r="A12538" s="28" t="n">
        <v>37278</v>
      </c>
      <c r="B12538" t="n">
        <v>4.96</v>
      </c>
      <c r="C12538" t="n">
        <v>1.66</v>
      </c>
    </row>
    <row r="12539">
      <c r="A12539" s="28" t="n">
        <v>37279</v>
      </c>
      <c r="B12539" t="n">
        <v>5.05</v>
      </c>
      <c r="C12539" t="n">
        <v>1.68</v>
      </c>
    </row>
    <row r="12540">
      <c r="A12540" s="28" t="n">
        <v>37280</v>
      </c>
      <c r="B12540" t="n">
        <v>5.07</v>
      </c>
      <c r="C12540" t="n">
        <v>1.69</v>
      </c>
    </row>
    <row r="12541">
      <c r="A12541" s="28" t="n">
        <v>37281</v>
      </c>
      <c r="B12541" t="n">
        <v>5.1</v>
      </c>
      <c r="C12541" t="n">
        <v>1.69</v>
      </c>
    </row>
    <row r="12542">
      <c r="A12542" s="28" t="n">
        <v>37284</v>
      </c>
      <c r="B12542" t="n">
        <v>5.12</v>
      </c>
      <c r="C12542" t="n">
        <v>1.7</v>
      </c>
    </row>
    <row r="12543">
      <c r="A12543" s="28" t="n">
        <v>37285</v>
      </c>
      <c r="B12543" t="n">
        <v>5.02</v>
      </c>
      <c r="C12543" t="n">
        <v>1.69</v>
      </c>
    </row>
    <row r="12544">
      <c r="A12544" s="28" t="n">
        <v>37286</v>
      </c>
      <c r="B12544" t="n">
        <v>5.02</v>
      </c>
      <c r="C12544" t="n">
        <v>1.72</v>
      </c>
    </row>
    <row r="12545">
      <c r="A12545" s="28" t="n">
        <v>37287</v>
      </c>
      <c r="B12545" t="n">
        <v>5.07</v>
      </c>
      <c r="C12545" t="n">
        <v>1.73</v>
      </c>
    </row>
    <row r="12546">
      <c r="A12546" s="28" t="n">
        <v>37288</v>
      </c>
      <c r="B12546" t="n">
        <v>5.02</v>
      </c>
      <c r="C12546" t="n">
        <v>1.73</v>
      </c>
    </row>
    <row r="12547">
      <c r="A12547" s="28" t="n">
        <v>37291</v>
      </c>
      <c r="B12547" t="n">
        <v>4.94</v>
      </c>
      <c r="C12547" t="n">
        <v>1.74</v>
      </c>
    </row>
    <row r="12548">
      <c r="A12548" s="28" t="n">
        <v>37292</v>
      </c>
      <c r="B12548" t="n">
        <v>4.92</v>
      </c>
      <c r="C12548" t="n">
        <v>1.73</v>
      </c>
    </row>
    <row r="12549">
      <c r="A12549" s="28" t="n">
        <v>37293</v>
      </c>
      <c r="B12549" t="n">
        <v>4.92</v>
      </c>
      <c r="C12549" t="n">
        <v>1.71</v>
      </c>
    </row>
    <row r="12550">
      <c r="A12550" s="28" t="n">
        <v>37294</v>
      </c>
      <c r="B12550" t="n">
        <v>4.93</v>
      </c>
      <c r="C12550" t="n">
        <v>1.7</v>
      </c>
    </row>
    <row r="12551">
      <c r="A12551" s="28" t="n">
        <v>37295</v>
      </c>
      <c r="B12551" t="n">
        <v>4.9</v>
      </c>
      <c r="C12551" t="n">
        <v>1.7</v>
      </c>
    </row>
    <row r="12552">
      <c r="A12552" s="28" t="n">
        <v>37298</v>
      </c>
      <c r="B12552" t="n">
        <v>4.91</v>
      </c>
      <c r="C12552" t="n">
        <v>1.7</v>
      </c>
    </row>
    <row r="12553">
      <c r="A12553" s="28" t="n">
        <v>37299</v>
      </c>
      <c r="B12553" t="n">
        <v>4.97</v>
      </c>
      <c r="C12553" t="n">
        <v>1.72</v>
      </c>
    </row>
    <row r="12554">
      <c r="A12554" s="28" t="n">
        <v>37300</v>
      </c>
      <c r="B12554" t="n">
        <v>5.01</v>
      </c>
      <c r="C12554" t="n">
        <v>1.73</v>
      </c>
    </row>
    <row r="12555">
      <c r="A12555" s="28" t="n">
        <v>37301</v>
      </c>
      <c r="B12555" t="n">
        <v>4.95</v>
      </c>
      <c r="C12555" t="n">
        <v>1.72</v>
      </c>
    </row>
    <row r="12556">
      <c r="A12556" s="28" t="n">
        <v>37302</v>
      </c>
      <c r="B12556" t="n">
        <v>4.86</v>
      </c>
      <c r="C12556" t="n">
        <v>1.71</v>
      </c>
    </row>
    <row r="12557">
      <c r="A12557" s="28" t="n">
        <v>37305</v>
      </c>
      <c r="B12557" t="n">
        <v>0</v>
      </c>
      <c r="C12557" t="n">
        <v>0</v>
      </c>
    </row>
    <row r="12558">
      <c r="A12558" s="28" t="n">
        <v>37306</v>
      </c>
      <c r="B12558" t="n">
        <v>4.88</v>
      </c>
      <c r="C12558" t="n">
        <v>1.71</v>
      </c>
    </row>
    <row r="12559">
      <c r="A12559" s="28" t="n">
        <v>37307</v>
      </c>
      <c r="B12559" t="n">
        <v>4.88</v>
      </c>
      <c r="C12559" t="n">
        <v>1.73</v>
      </c>
    </row>
    <row r="12560">
      <c r="A12560" s="28" t="n">
        <v>37308</v>
      </c>
      <c r="B12560" t="n">
        <v>4.88</v>
      </c>
      <c r="C12560" t="n">
        <v>1.73</v>
      </c>
    </row>
    <row r="12561">
      <c r="A12561" s="28" t="n">
        <v>37309</v>
      </c>
      <c r="B12561" t="n">
        <v>4.84</v>
      </c>
      <c r="C12561" t="n">
        <v>1.73</v>
      </c>
    </row>
    <row r="12562">
      <c r="A12562" s="28" t="n">
        <v>37312</v>
      </c>
      <c r="B12562" t="n">
        <v>4.86</v>
      </c>
      <c r="C12562" t="n">
        <v>1.74</v>
      </c>
    </row>
    <row r="12563">
      <c r="A12563" s="28" t="n">
        <v>37313</v>
      </c>
      <c r="B12563" t="n">
        <v>4.93</v>
      </c>
      <c r="C12563" t="n">
        <v>1.74</v>
      </c>
    </row>
    <row r="12564">
      <c r="A12564" s="28" t="n">
        <v>37314</v>
      </c>
      <c r="B12564" t="n">
        <v>4.84</v>
      </c>
      <c r="C12564" t="n">
        <v>1.74</v>
      </c>
    </row>
    <row r="12565">
      <c r="A12565" s="28" t="n">
        <v>37315</v>
      </c>
      <c r="B12565" t="n">
        <v>4.88</v>
      </c>
      <c r="C12565" t="n">
        <v>1.76</v>
      </c>
    </row>
    <row r="12566">
      <c r="A12566" s="28" t="n">
        <v>37316</v>
      </c>
      <c r="B12566" t="n">
        <v>4.98</v>
      </c>
      <c r="C12566" t="n">
        <v>1.74</v>
      </c>
    </row>
    <row r="12567">
      <c r="A12567" s="28" t="n">
        <v>37319</v>
      </c>
      <c r="B12567" t="n">
        <v>5.02</v>
      </c>
      <c r="C12567" t="n">
        <v>1.76</v>
      </c>
    </row>
    <row r="12568">
      <c r="A12568" s="28" t="n">
        <v>37320</v>
      </c>
      <c r="B12568" t="n">
        <v>5.02</v>
      </c>
      <c r="C12568" t="n">
        <v>1.77</v>
      </c>
    </row>
    <row r="12569">
      <c r="A12569" s="28" t="n">
        <v>37321</v>
      </c>
      <c r="B12569" t="n">
        <v>5.06</v>
      </c>
      <c r="C12569" t="n">
        <v>1.75</v>
      </c>
    </row>
    <row r="12570">
      <c r="A12570" s="28" t="n">
        <v>37322</v>
      </c>
      <c r="B12570" t="n">
        <v>5.22</v>
      </c>
      <c r="C12570" t="n">
        <v>1.75</v>
      </c>
    </row>
    <row r="12571">
      <c r="A12571" s="28" t="n">
        <v>37323</v>
      </c>
      <c r="B12571" t="n">
        <v>5.33</v>
      </c>
      <c r="C12571" t="n">
        <v>1.77</v>
      </c>
    </row>
    <row r="12572">
      <c r="A12572" s="28" t="n">
        <v>37326</v>
      </c>
      <c r="B12572" t="n">
        <v>5.33</v>
      </c>
      <c r="C12572" t="n">
        <v>1.8</v>
      </c>
    </row>
    <row r="12573">
      <c r="A12573" s="28" t="n">
        <v>37327</v>
      </c>
      <c r="B12573" t="n">
        <v>5.32</v>
      </c>
      <c r="C12573" t="n">
        <v>1.81</v>
      </c>
    </row>
    <row r="12574">
      <c r="A12574" s="28" t="n">
        <v>37328</v>
      </c>
      <c r="B12574" t="n">
        <v>5.28</v>
      </c>
      <c r="C12574" t="n">
        <v>1.79</v>
      </c>
    </row>
    <row r="12575">
      <c r="A12575" s="28" t="n">
        <v>37329</v>
      </c>
      <c r="B12575" t="n">
        <v>5.4</v>
      </c>
      <c r="C12575" t="n">
        <v>1.82</v>
      </c>
    </row>
    <row r="12576">
      <c r="A12576" s="28" t="n">
        <v>37330</v>
      </c>
      <c r="B12576" t="n">
        <v>5.35</v>
      </c>
      <c r="C12576" t="n">
        <v>1.82</v>
      </c>
    </row>
    <row r="12577">
      <c r="A12577" s="28" t="n">
        <v>37333</v>
      </c>
      <c r="B12577" t="n">
        <v>5.32</v>
      </c>
      <c r="C12577" t="n">
        <v>1.83</v>
      </c>
    </row>
    <row r="12578">
      <c r="A12578" s="28" t="n">
        <v>37334</v>
      </c>
      <c r="B12578" t="n">
        <v>5.33</v>
      </c>
      <c r="C12578" t="n">
        <v>1.82</v>
      </c>
    </row>
    <row r="12579">
      <c r="A12579" s="28" t="n">
        <v>37335</v>
      </c>
      <c r="B12579" t="n">
        <v>5.4</v>
      </c>
      <c r="C12579" t="n">
        <v>1.81</v>
      </c>
    </row>
    <row r="12580">
      <c r="A12580" s="28" t="n">
        <v>37336</v>
      </c>
      <c r="B12580" t="n">
        <v>5.39</v>
      </c>
      <c r="C12580" t="n">
        <v>1.8</v>
      </c>
    </row>
    <row r="12581">
      <c r="A12581" s="28" t="n">
        <v>37337</v>
      </c>
      <c r="B12581" t="n">
        <v>5.4</v>
      </c>
      <c r="C12581" t="n">
        <v>1.8</v>
      </c>
    </row>
    <row r="12582">
      <c r="A12582" s="28" t="n">
        <v>37340</v>
      </c>
      <c r="B12582" t="n">
        <v>5.41</v>
      </c>
      <c r="C12582" t="n">
        <v>1.79</v>
      </c>
    </row>
    <row r="12583">
      <c r="A12583" s="28" t="n">
        <v>37341</v>
      </c>
      <c r="B12583" t="n">
        <v>5.35</v>
      </c>
      <c r="C12583" t="n">
        <v>1.78</v>
      </c>
    </row>
    <row r="12584">
      <c r="A12584" s="28" t="n">
        <v>37342</v>
      </c>
      <c r="B12584" t="n">
        <v>5.35</v>
      </c>
      <c r="C12584" t="n">
        <v>1.78</v>
      </c>
    </row>
    <row r="12585">
      <c r="A12585" s="28" t="n">
        <v>37343</v>
      </c>
      <c r="B12585" t="n">
        <v>5.42</v>
      </c>
      <c r="C12585" t="n">
        <v>1.76</v>
      </c>
    </row>
    <row r="12586">
      <c r="A12586" s="28" t="n">
        <v>37344</v>
      </c>
      <c r="B12586" t="n">
        <v>0</v>
      </c>
      <c r="C12586" t="n">
        <v>0</v>
      </c>
    </row>
    <row r="12587">
      <c r="A12587" s="28" t="n">
        <v>37347</v>
      </c>
      <c r="B12587" t="n">
        <v>5.44</v>
      </c>
      <c r="C12587" t="n">
        <v>1.75</v>
      </c>
    </row>
    <row r="12588">
      <c r="A12588" s="28" t="n">
        <v>37348</v>
      </c>
      <c r="B12588" t="n">
        <v>5.36</v>
      </c>
      <c r="C12588" t="n">
        <v>1.77</v>
      </c>
    </row>
    <row r="12589">
      <c r="A12589" s="28" t="n">
        <v>37349</v>
      </c>
      <c r="B12589" t="n">
        <v>5.3</v>
      </c>
      <c r="C12589" t="n">
        <v>1.76</v>
      </c>
    </row>
    <row r="12590">
      <c r="A12590" s="28" t="n">
        <v>37350</v>
      </c>
      <c r="B12590" t="n">
        <v>5.28</v>
      </c>
      <c r="C12590" t="n">
        <v>1.75</v>
      </c>
    </row>
    <row r="12591">
      <c r="A12591" s="28" t="n">
        <v>37351</v>
      </c>
      <c r="B12591" t="n">
        <v>5.22</v>
      </c>
      <c r="C12591" t="n">
        <v>1.73</v>
      </c>
    </row>
    <row r="12592">
      <c r="A12592" s="28" t="n">
        <v>37354</v>
      </c>
      <c r="B12592" t="n">
        <v>5.25</v>
      </c>
      <c r="C12592" t="n">
        <v>1.72</v>
      </c>
    </row>
    <row r="12593">
      <c r="A12593" s="28" t="n">
        <v>37355</v>
      </c>
      <c r="B12593" t="n">
        <v>5.22</v>
      </c>
      <c r="C12593" t="n">
        <v>1.7</v>
      </c>
    </row>
    <row r="12594">
      <c r="A12594" s="28" t="n">
        <v>37356</v>
      </c>
      <c r="B12594" t="n">
        <v>5.24</v>
      </c>
      <c r="C12594" t="n">
        <v>1.68</v>
      </c>
    </row>
    <row r="12595">
      <c r="A12595" s="28" t="n">
        <v>37357</v>
      </c>
      <c r="B12595" t="n">
        <v>5.22</v>
      </c>
      <c r="C12595" t="n">
        <v>1.69</v>
      </c>
    </row>
    <row r="12596">
      <c r="A12596" s="28" t="n">
        <v>37358</v>
      </c>
      <c r="B12596" t="n">
        <v>5.18</v>
      </c>
      <c r="C12596" t="n">
        <v>1.68</v>
      </c>
    </row>
    <row r="12597">
      <c r="A12597" s="28" t="n">
        <v>37361</v>
      </c>
      <c r="B12597" t="n">
        <v>5.15</v>
      </c>
      <c r="C12597" t="n">
        <v>1.68</v>
      </c>
    </row>
    <row r="12598">
      <c r="A12598" s="28" t="n">
        <v>37362</v>
      </c>
      <c r="B12598" t="n">
        <v>5.2</v>
      </c>
      <c r="C12598" t="n">
        <v>1.71</v>
      </c>
    </row>
    <row r="12599">
      <c r="A12599" s="28" t="n">
        <v>37363</v>
      </c>
      <c r="B12599" t="n">
        <v>5.24</v>
      </c>
      <c r="C12599" t="n">
        <v>1.7</v>
      </c>
    </row>
    <row r="12600">
      <c r="A12600" s="28" t="n">
        <v>37364</v>
      </c>
      <c r="B12600" t="n">
        <v>5.23</v>
      </c>
      <c r="C12600" t="n">
        <v>1.69</v>
      </c>
    </row>
    <row r="12601">
      <c r="A12601" s="28" t="n">
        <v>37365</v>
      </c>
      <c r="B12601" t="n">
        <v>5.21</v>
      </c>
      <c r="C12601" t="n">
        <v>1.7</v>
      </c>
    </row>
    <row r="12602">
      <c r="A12602" s="28" t="n">
        <v>37368</v>
      </c>
      <c r="B12602" t="n">
        <v>5.19</v>
      </c>
      <c r="C12602" t="n">
        <v>1.69</v>
      </c>
    </row>
    <row r="12603">
      <c r="A12603" s="28" t="n">
        <v>37369</v>
      </c>
      <c r="B12603" t="n">
        <v>5.18</v>
      </c>
      <c r="C12603" t="n">
        <v>1.7</v>
      </c>
    </row>
    <row r="12604">
      <c r="A12604" s="28" t="n">
        <v>37370</v>
      </c>
      <c r="B12604" t="n">
        <v>5.11</v>
      </c>
      <c r="C12604" t="n">
        <v>1.69</v>
      </c>
    </row>
    <row r="12605">
      <c r="A12605" s="28" t="n">
        <v>37371</v>
      </c>
      <c r="B12605" t="n">
        <v>5.1</v>
      </c>
      <c r="C12605" t="n">
        <v>1.71</v>
      </c>
    </row>
    <row r="12606">
      <c r="A12606" s="28" t="n">
        <v>37372</v>
      </c>
      <c r="B12606" t="n">
        <v>5.08</v>
      </c>
      <c r="C12606" t="n">
        <v>1.72</v>
      </c>
    </row>
    <row r="12607">
      <c r="A12607" s="28" t="n">
        <v>37375</v>
      </c>
      <c r="B12607" t="n">
        <v>5.13</v>
      </c>
      <c r="C12607" t="n">
        <v>1.74</v>
      </c>
    </row>
    <row r="12608">
      <c r="A12608" s="28" t="n">
        <v>37376</v>
      </c>
      <c r="B12608" t="n">
        <v>5.11</v>
      </c>
      <c r="C12608" t="n">
        <v>1.74</v>
      </c>
    </row>
    <row r="12609">
      <c r="A12609" s="28" t="n">
        <v>37377</v>
      </c>
      <c r="B12609" t="n">
        <v>5.08</v>
      </c>
      <c r="C12609" t="n">
        <v>1.74</v>
      </c>
    </row>
    <row r="12610">
      <c r="A12610" s="28" t="n">
        <v>37378</v>
      </c>
      <c r="B12610" t="n">
        <v>5.13</v>
      </c>
      <c r="C12610" t="n">
        <v>1.74</v>
      </c>
    </row>
    <row r="12611">
      <c r="A12611" s="28" t="n">
        <v>37379</v>
      </c>
      <c r="B12611" t="n">
        <v>5.08</v>
      </c>
      <c r="C12611" t="n">
        <v>1.73</v>
      </c>
    </row>
    <row r="12612">
      <c r="A12612" s="28" t="n">
        <v>37382</v>
      </c>
      <c r="B12612" t="n">
        <v>5.1</v>
      </c>
      <c r="C12612" t="n">
        <v>1.73</v>
      </c>
    </row>
    <row r="12613">
      <c r="A12613" s="28" t="n">
        <v>37383</v>
      </c>
      <c r="B12613" t="n">
        <v>5.09</v>
      </c>
      <c r="C12613" t="n">
        <v>1.73</v>
      </c>
    </row>
    <row r="12614">
      <c r="A12614" s="28" t="n">
        <v>37384</v>
      </c>
      <c r="B12614" t="n">
        <v>5.24</v>
      </c>
      <c r="C12614" t="n">
        <v>1.73</v>
      </c>
    </row>
    <row r="12615">
      <c r="A12615" s="28" t="n">
        <v>37385</v>
      </c>
      <c r="B12615" t="n">
        <v>5.2</v>
      </c>
      <c r="C12615" t="n">
        <v>1.74</v>
      </c>
    </row>
    <row r="12616">
      <c r="A12616" s="28" t="n">
        <v>37386</v>
      </c>
      <c r="B12616" t="n">
        <v>5.15</v>
      </c>
      <c r="C12616" t="n">
        <v>1.74</v>
      </c>
    </row>
    <row r="12617">
      <c r="A12617" s="28" t="n">
        <v>37389</v>
      </c>
      <c r="B12617" t="n">
        <v>5.23</v>
      </c>
      <c r="C12617" t="n">
        <v>1.74</v>
      </c>
    </row>
    <row r="12618">
      <c r="A12618" s="28" t="n">
        <v>37390</v>
      </c>
      <c r="B12618" t="n">
        <v>5.32</v>
      </c>
      <c r="C12618" t="n">
        <v>1.75</v>
      </c>
    </row>
    <row r="12619">
      <c r="A12619" s="28" t="n">
        <v>37391</v>
      </c>
      <c r="B12619" t="n">
        <v>5.28</v>
      </c>
      <c r="C12619" t="n">
        <v>1.73</v>
      </c>
    </row>
    <row r="12620">
      <c r="A12620" s="28" t="n">
        <v>37392</v>
      </c>
      <c r="B12620" t="n">
        <v>5.2</v>
      </c>
      <c r="C12620" t="n">
        <v>1.72</v>
      </c>
    </row>
    <row r="12621">
      <c r="A12621" s="28" t="n">
        <v>37393</v>
      </c>
      <c r="B12621" t="n">
        <v>5.27</v>
      </c>
      <c r="C12621" t="n">
        <v>1.73</v>
      </c>
    </row>
    <row r="12622">
      <c r="A12622" s="28" t="n">
        <v>37396</v>
      </c>
      <c r="B12622" t="n">
        <v>5.21</v>
      </c>
      <c r="C12622" t="n">
        <v>1.72</v>
      </c>
    </row>
    <row r="12623">
      <c r="A12623" s="28" t="n">
        <v>37397</v>
      </c>
      <c r="B12623" t="n">
        <v>5.18</v>
      </c>
      <c r="C12623" t="n">
        <v>1.72</v>
      </c>
    </row>
    <row r="12624">
      <c r="A12624" s="28" t="n">
        <v>37398</v>
      </c>
      <c r="B12624" t="n">
        <v>5.13</v>
      </c>
      <c r="C12624" t="n">
        <v>1.71</v>
      </c>
    </row>
    <row r="12625">
      <c r="A12625" s="28" t="n">
        <v>37399</v>
      </c>
      <c r="B12625" t="n">
        <v>5.16</v>
      </c>
      <c r="C12625" t="n">
        <v>1.71</v>
      </c>
    </row>
    <row r="12626">
      <c r="A12626" s="28" t="n">
        <v>37400</v>
      </c>
      <c r="B12626" t="n">
        <v>5.16</v>
      </c>
      <c r="C12626" t="n">
        <v>1.71</v>
      </c>
    </row>
    <row r="12627">
      <c r="A12627" s="28" t="n">
        <v>37403</v>
      </c>
      <c r="B12627" t="n">
        <v>0</v>
      </c>
      <c r="C12627" t="n">
        <v>0</v>
      </c>
    </row>
    <row r="12628">
      <c r="A12628" s="28" t="n">
        <v>37404</v>
      </c>
      <c r="B12628" t="n">
        <v>5.16</v>
      </c>
      <c r="C12628" t="n">
        <v>1.73</v>
      </c>
    </row>
    <row r="12629">
      <c r="A12629" s="28" t="n">
        <v>37405</v>
      </c>
      <c r="B12629" t="n">
        <v>5.11</v>
      </c>
      <c r="C12629" t="n">
        <v>1.72</v>
      </c>
    </row>
    <row r="12630">
      <c r="A12630" s="28" t="n">
        <v>37406</v>
      </c>
      <c r="B12630" t="n">
        <v>5.06</v>
      </c>
      <c r="C12630" t="n">
        <v>1.72</v>
      </c>
    </row>
    <row r="12631">
      <c r="A12631" s="28" t="n">
        <v>37407</v>
      </c>
      <c r="B12631" t="n">
        <v>5.08</v>
      </c>
      <c r="C12631" t="n">
        <v>1.71</v>
      </c>
    </row>
    <row r="12632">
      <c r="A12632" s="28" t="n">
        <v>37410</v>
      </c>
      <c r="B12632" t="n">
        <v>5.06</v>
      </c>
      <c r="C12632" t="n">
        <v>1.72</v>
      </c>
    </row>
    <row r="12633">
      <c r="A12633" s="28" t="n">
        <v>37411</v>
      </c>
      <c r="B12633" t="n">
        <v>5.04</v>
      </c>
      <c r="C12633" t="n">
        <v>1.73</v>
      </c>
    </row>
    <row r="12634">
      <c r="A12634" s="28" t="n">
        <v>37412</v>
      </c>
      <c r="B12634" t="n">
        <v>5.08</v>
      </c>
      <c r="C12634" t="n">
        <v>1.72</v>
      </c>
    </row>
    <row r="12635">
      <c r="A12635" s="28" t="n">
        <v>37413</v>
      </c>
      <c r="B12635" t="n">
        <v>5.04</v>
      </c>
      <c r="C12635" t="n">
        <v>1.71</v>
      </c>
    </row>
    <row r="12636">
      <c r="A12636" s="28" t="n">
        <v>37414</v>
      </c>
      <c r="B12636" t="n">
        <v>5.1</v>
      </c>
      <c r="C12636" t="n">
        <v>1.71</v>
      </c>
    </row>
    <row r="12637">
      <c r="A12637" s="28" t="n">
        <v>37417</v>
      </c>
      <c r="B12637" t="n">
        <v>5.07</v>
      </c>
      <c r="C12637" t="n">
        <v>1.72</v>
      </c>
    </row>
    <row r="12638">
      <c r="A12638" s="28" t="n">
        <v>37418</v>
      </c>
      <c r="B12638" t="n">
        <v>5.02</v>
      </c>
      <c r="C12638" t="n">
        <v>1.72</v>
      </c>
    </row>
    <row r="12639">
      <c r="A12639" s="28" t="n">
        <v>37419</v>
      </c>
      <c r="B12639" t="n">
        <v>4.98</v>
      </c>
      <c r="C12639" t="n">
        <v>1.71</v>
      </c>
    </row>
    <row r="12640">
      <c r="A12640" s="28" t="n">
        <v>37420</v>
      </c>
      <c r="B12640" t="n">
        <v>4.94</v>
      </c>
      <c r="C12640" t="n">
        <v>1.69</v>
      </c>
    </row>
    <row r="12641">
      <c r="A12641" s="28" t="n">
        <v>37421</v>
      </c>
      <c r="B12641" t="n">
        <v>4.83</v>
      </c>
      <c r="C12641" t="n">
        <v>1.68</v>
      </c>
    </row>
    <row r="12642">
      <c r="A12642" s="28" t="n">
        <v>37424</v>
      </c>
      <c r="B12642" t="n">
        <v>4.89</v>
      </c>
      <c r="C12642" t="n">
        <v>1.7</v>
      </c>
    </row>
    <row r="12643">
      <c r="A12643" s="28" t="n">
        <v>37425</v>
      </c>
      <c r="B12643" t="n">
        <v>4.88</v>
      </c>
      <c r="C12643" t="n">
        <v>1.7</v>
      </c>
    </row>
    <row r="12644">
      <c r="A12644" s="28" t="n">
        <v>37426</v>
      </c>
      <c r="B12644" t="n">
        <v>4.76</v>
      </c>
      <c r="C12644" t="n">
        <v>1.68</v>
      </c>
    </row>
    <row r="12645">
      <c r="A12645" s="28" t="n">
        <v>37427</v>
      </c>
      <c r="B12645" t="n">
        <v>4.85</v>
      </c>
      <c r="C12645" t="n">
        <v>1.7</v>
      </c>
    </row>
    <row r="12646">
      <c r="A12646" s="28" t="n">
        <v>37428</v>
      </c>
      <c r="B12646" t="n">
        <v>4.79</v>
      </c>
      <c r="C12646" t="n">
        <v>1.69</v>
      </c>
    </row>
    <row r="12647">
      <c r="A12647" s="28" t="n">
        <v>37431</v>
      </c>
      <c r="B12647" t="n">
        <v>4.87</v>
      </c>
      <c r="C12647" t="n">
        <v>1.7</v>
      </c>
    </row>
    <row r="12648">
      <c r="A12648" s="28" t="n">
        <v>37432</v>
      </c>
      <c r="B12648" t="n">
        <v>4.88</v>
      </c>
      <c r="C12648" t="n">
        <v>1.7</v>
      </c>
    </row>
    <row r="12649">
      <c r="A12649" s="28" t="n">
        <v>37433</v>
      </c>
      <c r="B12649" t="n">
        <v>4.75</v>
      </c>
      <c r="C12649" t="n">
        <v>1.67</v>
      </c>
    </row>
    <row r="12650">
      <c r="A12650" s="28" t="n">
        <v>37434</v>
      </c>
      <c r="B12650" t="n">
        <v>4.84</v>
      </c>
      <c r="C12650" t="n">
        <v>1.67</v>
      </c>
    </row>
    <row r="12651">
      <c r="A12651" s="28" t="n">
        <v>37435</v>
      </c>
      <c r="B12651" t="n">
        <v>4.86</v>
      </c>
      <c r="C12651" t="n">
        <v>1.67</v>
      </c>
    </row>
    <row r="12652">
      <c r="A12652" s="28" t="n">
        <v>37438</v>
      </c>
      <c r="B12652" t="n">
        <v>4.85</v>
      </c>
      <c r="C12652" t="n">
        <v>1.68</v>
      </c>
    </row>
    <row r="12653">
      <c r="A12653" s="28" t="n">
        <v>37439</v>
      </c>
      <c r="B12653" t="n">
        <v>4.77</v>
      </c>
      <c r="C12653" t="n">
        <v>1.69</v>
      </c>
    </row>
    <row r="12654">
      <c r="A12654" s="28" t="n">
        <v>37440</v>
      </c>
      <c r="B12654" t="n">
        <v>4.78</v>
      </c>
      <c r="C12654" t="n">
        <v>1.69</v>
      </c>
    </row>
    <row r="12655">
      <c r="A12655" s="28" t="n">
        <v>37441</v>
      </c>
      <c r="B12655" t="n">
        <v>0</v>
      </c>
      <c r="C12655" t="n">
        <v>0</v>
      </c>
    </row>
    <row r="12656">
      <c r="A12656" s="28" t="n">
        <v>37442</v>
      </c>
      <c r="B12656" t="n">
        <v>4.9</v>
      </c>
      <c r="C12656" t="n">
        <v>1.69</v>
      </c>
    </row>
    <row r="12657">
      <c r="A12657" s="28" t="n">
        <v>37445</v>
      </c>
      <c r="B12657" t="n">
        <v>4.84</v>
      </c>
      <c r="C12657" t="n">
        <v>1.7</v>
      </c>
    </row>
    <row r="12658">
      <c r="A12658" s="28" t="n">
        <v>37446</v>
      </c>
      <c r="B12658" t="n">
        <v>4.78</v>
      </c>
      <c r="C12658" t="n">
        <v>1.69</v>
      </c>
    </row>
    <row r="12659">
      <c r="A12659" s="28" t="n">
        <v>37447</v>
      </c>
      <c r="B12659" t="n">
        <v>4.66</v>
      </c>
      <c r="C12659" t="n">
        <v>1.69</v>
      </c>
    </row>
    <row r="12660">
      <c r="A12660" s="28" t="n">
        <v>37448</v>
      </c>
      <c r="B12660" t="n">
        <v>4.66</v>
      </c>
      <c r="C12660" t="n">
        <v>1.69</v>
      </c>
    </row>
    <row r="12661">
      <c r="A12661" s="28" t="n">
        <v>37449</v>
      </c>
      <c r="B12661" t="n">
        <v>4.63</v>
      </c>
      <c r="C12661" t="n">
        <v>1.68</v>
      </c>
    </row>
    <row r="12662">
      <c r="A12662" s="28" t="n">
        <v>37452</v>
      </c>
      <c r="B12662" t="n">
        <v>4.66</v>
      </c>
      <c r="C12662" t="n">
        <v>1.68</v>
      </c>
    </row>
    <row r="12663">
      <c r="A12663" s="28" t="n">
        <v>37453</v>
      </c>
      <c r="B12663" t="n">
        <v>4.75</v>
      </c>
      <c r="C12663" t="n">
        <v>1.69</v>
      </c>
    </row>
    <row r="12664">
      <c r="A12664" s="28" t="n">
        <v>37454</v>
      </c>
      <c r="B12664" t="n">
        <v>4.71</v>
      </c>
      <c r="C12664" t="n">
        <v>1.69</v>
      </c>
    </row>
    <row r="12665">
      <c r="A12665" s="28" t="n">
        <v>37455</v>
      </c>
      <c r="B12665" t="n">
        <v>4.66</v>
      </c>
      <c r="C12665" t="n">
        <v>1.69</v>
      </c>
    </row>
    <row r="12666">
      <c r="A12666" s="28" t="n">
        <v>37456</v>
      </c>
      <c r="B12666" t="n">
        <v>4.61</v>
      </c>
      <c r="C12666" t="n">
        <v>1.68</v>
      </c>
    </row>
    <row r="12667">
      <c r="A12667" s="28" t="n">
        <v>37459</v>
      </c>
      <c r="B12667" t="n">
        <v>4.51</v>
      </c>
      <c r="C12667" t="n">
        <v>1.68</v>
      </c>
    </row>
    <row r="12668">
      <c r="A12668" s="28" t="n">
        <v>37460</v>
      </c>
      <c r="B12668" t="n">
        <v>4.47</v>
      </c>
      <c r="C12668" t="n">
        <v>1.67</v>
      </c>
    </row>
    <row r="12669">
      <c r="A12669" s="28" t="n">
        <v>37461</v>
      </c>
      <c r="B12669" t="n">
        <v>4.49</v>
      </c>
      <c r="C12669" t="n">
        <v>1.66</v>
      </c>
    </row>
    <row r="12670">
      <c r="A12670" s="28" t="n">
        <v>37462</v>
      </c>
      <c r="B12670" t="n">
        <v>4.43</v>
      </c>
      <c r="C12670" t="n">
        <v>1.67</v>
      </c>
    </row>
    <row r="12671">
      <c r="A12671" s="28" t="n">
        <v>37463</v>
      </c>
      <c r="B12671" t="n">
        <v>4.43</v>
      </c>
      <c r="C12671" t="n">
        <v>1.66</v>
      </c>
    </row>
    <row r="12672">
      <c r="A12672" s="28" t="n">
        <v>37466</v>
      </c>
      <c r="B12672" t="n">
        <v>4.62</v>
      </c>
      <c r="C12672" t="n">
        <v>1.69</v>
      </c>
    </row>
    <row r="12673">
      <c r="A12673" s="28" t="n">
        <v>37467</v>
      </c>
      <c r="B12673" t="n">
        <v>4.65</v>
      </c>
      <c r="C12673" t="n">
        <v>1.69</v>
      </c>
    </row>
    <row r="12674">
      <c r="A12674" s="28" t="n">
        <v>37468</v>
      </c>
      <c r="B12674" t="n">
        <v>4.51</v>
      </c>
      <c r="C12674" t="n">
        <v>1.68</v>
      </c>
    </row>
    <row r="12675">
      <c r="A12675" s="28" t="n">
        <v>37469</v>
      </c>
      <c r="B12675" t="n">
        <v>4.47</v>
      </c>
      <c r="C12675" t="n">
        <v>1.65</v>
      </c>
    </row>
    <row r="12676">
      <c r="A12676" s="28" t="n">
        <v>37470</v>
      </c>
      <c r="B12676" t="n">
        <v>4.33</v>
      </c>
      <c r="C12676" t="n">
        <v>1.6</v>
      </c>
    </row>
    <row r="12677">
      <c r="A12677" s="28" t="n">
        <v>37473</v>
      </c>
      <c r="B12677" t="n">
        <v>4.29</v>
      </c>
      <c r="C12677" t="n">
        <v>1.61</v>
      </c>
    </row>
    <row r="12678">
      <c r="A12678" s="28" t="n">
        <v>37474</v>
      </c>
      <c r="B12678" t="n">
        <v>4.42</v>
      </c>
      <c r="C12678" t="n">
        <v>1.62</v>
      </c>
    </row>
    <row r="12679">
      <c r="A12679" s="28" t="n">
        <v>37475</v>
      </c>
      <c r="B12679" t="n">
        <v>4.35</v>
      </c>
      <c r="C12679" t="n">
        <v>1.56</v>
      </c>
    </row>
    <row r="12680">
      <c r="A12680" s="28" t="n">
        <v>37476</v>
      </c>
      <c r="B12680" t="n">
        <v>4.4</v>
      </c>
      <c r="C12680" t="n">
        <v>1.59</v>
      </c>
    </row>
    <row r="12681">
      <c r="A12681" s="28" t="n">
        <v>37477</v>
      </c>
      <c r="B12681" t="n">
        <v>4.27</v>
      </c>
      <c r="C12681" t="n">
        <v>1.59</v>
      </c>
    </row>
    <row r="12682">
      <c r="A12682" s="28" t="n">
        <v>37480</v>
      </c>
      <c r="B12682" t="n">
        <v>4.22</v>
      </c>
      <c r="C12682" t="n">
        <v>1.64</v>
      </c>
    </row>
    <row r="12683">
      <c r="A12683" s="28" t="n">
        <v>37481</v>
      </c>
      <c r="B12683" t="n">
        <v>4.12</v>
      </c>
      <c r="C12683" t="n">
        <v>1.6</v>
      </c>
    </row>
    <row r="12684">
      <c r="A12684" s="28" t="n">
        <v>37482</v>
      </c>
      <c r="B12684" t="n">
        <v>4.06</v>
      </c>
      <c r="C12684" t="n">
        <v>1.61</v>
      </c>
    </row>
    <row r="12685">
      <c r="A12685" s="28" t="n">
        <v>37483</v>
      </c>
      <c r="B12685" t="n">
        <v>4.17</v>
      </c>
      <c r="C12685" t="n">
        <v>1.59</v>
      </c>
    </row>
    <row r="12686">
      <c r="A12686" s="28" t="n">
        <v>37484</v>
      </c>
      <c r="B12686" t="n">
        <v>4.32</v>
      </c>
      <c r="C12686" t="n">
        <v>1.59</v>
      </c>
    </row>
    <row r="12687">
      <c r="A12687" s="28" t="n">
        <v>37487</v>
      </c>
      <c r="B12687" t="n">
        <v>4.29</v>
      </c>
      <c r="C12687" t="n">
        <v>1.63</v>
      </c>
    </row>
    <row r="12688">
      <c r="A12688" s="28" t="n">
        <v>37488</v>
      </c>
      <c r="B12688" t="n">
        <v>4.17</v>
      </c>
      <c r="C12688" t="n">
        <v>1.59</v>
      </c>
    </row>
    <row r="12689">
      <c r="A12689" s="28" t="n">
        <v>37489</v>
      </c>
      <c r="B12689" t="n">
        <v>4.2</v>
      </c>
      <c r="C12689" t="n">
        <v>1.6</v>
      </c>
    </row>
    <row r="12690">
      <c r="A12690" s="28" t="n">
        <v>37490</v>
      </c>
      <c r="B12690" t="n">
        <v>4.3</v>
      </c>
      <c r="C12690" t="n">
        <v>1.62</v>
      </c>
    </row>
    <row r="12691">
      <c r="A12691" s="28" t="n">
        <v>37491</v>
      </c>
      <c r="B12691" t="n">
        <v>4.25</v>
      </c>
      <c r="C12691" t="n">
        <v>1.62</v>
      </c>
    </row>
    <row r="12692">
      <c r="A12692" s="28" t="n">
        <v>37494</v>
      </c>
      <c r="B12692" t="n">
        <v>4.22</v>
      </c>
      <c r="C12692" t="n">
        <v>1.64</v>
      </c>
    </row>
    <row r="12693">
      <c r="A12693" s="28" t="n">
        <v>37495</v>
      </c>
      <c r="B12693" t="n">
        <v>4.29</v>
      </c>
      <c r="C12693" t="n">
        <v>1.65</v>
      </c>
    </row>
    <row r="12694">
      <c r="A12694" s="28" t="n">
        <v>37496</v>
      </c>
      <c r="B12694" t="n">
        <v>4.22</v>
      </c>
      <c r="C12694" t="n">
        <v>1.64</v>
      </c>
    </row>
    <row r="12695">
      <c r="A12695" s="28" t="n">
        <v>37497</v>
      </c>
      <c r="B12695" t="n">
        <v>4.16</v>
      </c>
      <c r="C12695" t="n">
        <v>1.65</v>
      </c>
    </row>
    <row r="12696">
      <c r="A12696" s="28" t="n">
        <v>37498</v>
      </c>
      <c r="B12696" t="n">
        <v>4.14</v>
      </c>
      <c r="C12696" t="n">
        <v>1.66</v>
      </c>
    </row>
    <row r="12697">
      <c r="A12697" s="28" t="n">
        <v>37501</v>
      </c>
      <c r="B12697" t="n">
        <v>0</v>
      </c>
      <c r="C12697" t="n">
        <v>0</v>
      </c>
    </row>
    <row r="12698">
      <c r="A12698" s="28" t="n">
        <v>37502</v>
      </c>
      <c r="B12698" t="n">
        <v>3.98</v>
      </c>
      <c r="C12698" t="n">
        <v>1.61</v>
      </c>
    </row>
    <row r="12699">
      <c r="A12699" s="28" t="n">
        <v>37503</v>
      </c>
      <c r="B12699" t="n">
        <v>3.96</v>
      </c>
      <c r="C12699" t="n">
        <v>1.6</v>
      </c>
    </row>
    <row r="12700">
      <c r="A12700" s="28" t="n">
        <v>37504</v>
      </c>
      <c r="B12700" t="n">
        <v>3.91</v>
      </c>
      <c r="C12700" t="n">
        <v>1.58</v>
      </c>
    </row>
    <row r="12701">
      <c r="A12701" s="28" t="n">
        <v>37505</v>
      </c>
      <c r="B12701" t="n">
        <v>4.05</v>
      </c>
      <c r="C12701" t="n">
        <v>1.63</v>
      </c>
    </row>
    <row r="12702">
      <c r="A12702" s="28" t="n">
        <v>37508</v>
      </c>
      <c r="B12702" t="n">
        <v>4.05</v>
      </c>
      <c r="C12702" t="n">
        <v>1.66</v>
      </c>
    </row>
    <row r="12703">
      <c r="A12703" s="28" t="n">
        <v>37509</v>
      </c>
      <c r="B12703" t="n">
        <v>4</v>
      </c>
      <c r="C12703" t="n">
        <v>1.65</v>
      </c>
    </row>
    <row r="12704">
      <c r="A12704" s="28" t="n">
        <v>37510</v>
      </c>
      <c r="B12704" t="n">
        <v>4.07</v>
      </c>
      <c r="C12704" t="n">
        <v>1.66</v>
      </c>
    </row>
    <row r="12705">
      <c r="A12705" s="28" t="n">
        <v>37511</v>
      </c>
      <c r="B12705" t="n">
        <v>3.98</v>
      </c>
      <c r="C12705" t="n">
        <v>1.66</v>
      </c>
    </row>
    <row r="12706">
      <c r="A12706" s="28" t="n">
        <v>37512</v>
      </c>
      <c r="B12706" t="n">
        <v>3.92</v>
      </c>
      <c r="C12706" t="n">
        <v>1.66</v>
      </c>
    </row>
    <row r="12707">
      <c r="A12707" s="28" t="n">
        <v>37515</v>
      </c>
      <c r="B12707" t="n">
        <v>3.9</v>
      </c>
      <c r="C12707" t="n">
        <v>1.68</v>
      </c>
    </row>
    <row r="12708">
      <c r="A12708" s="28" t="n">
        <v>37516</v>
      </c>
      <c r="B12708" t="n">
        <v>3.87</v>
      </c>
      <c r="C12708" t="n">
        <v>1.67</v>
      </c>
    </row>
    <row r="12709">
      <c r="A12709" s="28" t="n">
        <v>37517</v>
      </c>
      <c r="B12709" t="n">
        <v>3.86</v>
      </c>
      <c r="C12709" t="n">
        <v>1.65</v>
      </c>
    </row>
    <row r="12710">
      <c r="A12710" s="28" t="n">
        <v>37518</v>
      </c>
      <c r="B12710" t="n">
        <v>3.79</v>
      </c>
      <c r="C12710" t="n">
        <v>1.62</v>
      </c>
    </row>
    <row r="12711">
      <c r="A12711" s="28" t="n">
        <v>37519</v>
      </c>
      <c r="B12711" t="n">
        <v>3.79</v>
      </c>
      <c r="C12711" t="n">
        <v>1.62</v>
      </c>
    </row>
    <row r="12712">
      <c r="A12712" s="28" t="n">
        <v>37522</v>
      </c>
      <c r="B12712" t="n">
        <v>3.7</v>
      </c>
      <c r="C12712" t="n">
        <v>1.62</v>
      </c>
    </row>
    <row r="12713">
      <c r="A12713" s="28" t="n">
        <v>37523</v>
      </c>
      <c r="B12713" t="n">
        <v>3.69</v>
      </c>
      <c r="C12713" t="n">
        <v>1.62</v>
      </c>
    </row>
    <row r="12714">
      <c r="A12714" s="28" t="n">
        <v>37524</v>
      </c>
      <c r="B12714" t="n">
        <v>3.77</v>
      </c>
      <c r="C12714" t="n">
        <v>1.63</v>
      </c>
    </row>
    <row r="12715">
      <c r="A12715" s="28" t="n">
        <v>37525</v>
      </c>
      <c r="B12715" t="n">
        <v>3.79</v>
      </c>
      <c r="C12715" t="n">
        <v>1.62</v>
      </c>
    </row>
    <row r="12716">
      <c r="A12716" s="28" t="n">
        <v>37526</v>
      </c>
      <c r="B12716" t="n">
        <v>3.69</v>
      </c>
      <c r="C12716" t="n">
        <v>1.6</v>
      </c>
    </row>
    <row r="12717">
      <c r="A12717" s="28" t="n">
        <v>37529</v>
      </c>
      <c r="B12717" t="n">
        <v>3.63</v>
      </c>
      <c r="C12717" t="n">
        <v>1.54</v>
      </c>
    </row>
    <row r="12718">
      <c r="A12718" s="28" t="n">
        <v>37530</v>
      </c>
      <c r="B12718" t="n">
        <v>3.72</v>
      </c>
      <c r="C12718" t="n">
        <v>1.56</v>
      </c>
    </row>
    <row r="12719">
      <c r="A12719" s="28" t="n">
        <v>37531</v>
      </c>
      <c r="B12719" t="n">
        <v>3.71</v>
      </c>
      <c r="C12719" t="n">
        <v>1.55</v>
      </c>
    </row>
    <row r="12720">
      <c r="A12720" s="28" t="n">
        <v>37532</v>
      </c>
      <c r="B12720" t="n">
        <v>3.7</v>
      </c>
      <c r="C12720" t="n">
        <v>1.54</v>
      </c>
    </row>
    <row r="12721">
      <c r="A12721" s="28" t="n">
        <v>37533</v>
      </c>
      <c r="B12721" t="n">
        <v>3.69</v>
      </c>
      <c r="C12721" t="n">
        <v>1.58</v>
      </c>
    </row>
    <row r="12722">
      <c r="A12722" s="28" t="n">
        <v>37536</v>
      </c>
      <c r="B12722" t="n">
        <v>3.64</v>
      </c>
      <c r="C12722" t="n">
        <v>1.6</v>
      </c>
    </row>
    <row r="12723">
      <c r="A12723" s="28" t="n">
        <v>37537</v>
      </c>
      <c r="B12723" t="n">
        <v>3.65</v>
      </c>
      <c r="C12723" t="n">
        <v>1.58</v>
      </c>
    </row>
    <row r="12724">
      <c r="A12724" s="28" t="n">
        <v>37538</v>
      </c>
      <c r="B12724" t="n">
        <v>3.61</v>
      </c>
      <c r="C12724" t="n">
        <v>1.54</v>
      </c>
    </row>
    <row r="12725">
      <c r="A12725" s="28" t="n">
        <v>37539</v>
      </c>
      <c r="B12725" t="n">
        <v>3.68</v>
      </c>
      <c r="C12725" t="n">
        <v>1.55</v>
      </c>
    </row>
    <row r="12726">
      <c r="A12726" s="28" t="n">
        <v>37540</v>
      </c>
      <c r="B12726" t="n">
        <v>3.83</v>
      </c>
      <c r="C12726" t="n">
        <v>1.55</v>
      </c>
    </row>
    <row r="12727">
      <c r="A12727" s="28" t="n">
        <v>37543</v>
      </c>
      <c r="B12727" t="n">
        <v>0</v>
      </c>
      <c r="C12727" t="n">
        <v>0</v>
      </c>
    </row>
    <row r="12728">
      <c r="A12728" s="28" t="n">
        <v>37544</v>
      </c>
      <c r="B12728" t="n">
        <v>4.07</v>
      </c>
      <c r="C12728" t="n">
        <v>1.65</v>
      </c>
    </row>
    <row r="12729">
      <c r="A12729" s="28" t="n">
        <v>37545</v>
      </c>
      <c r="B12729" t="n">
        <v>4.06</v>
      </c>
      <c r="C12729" t="n">
        <v>1.63</v>
      </c>
    </row>
    <row r="12730">
      <c r="A12730" s="28" t="n">
        <v>37546</v>
      </c>
      <c r="B12730" t="n">
        <v>4.16</v>
      </c>
      <c r="C12730" t="n">
        <v>1.64</v>
      </c>
    </row>
    <row r="12731">
      <c r="A12731" s="28" t="n">
        <v>37547</v>
      </c>
      <c r="B12731" t="n">
        <v>4.14</v>
      </c>
      <c r="C12731" t="n">
        <v>1.64</v>
      </c>
    </row>
    <row r="12732">
      <c r="A12732" s="28" t="n">
        <v>37550</v>
      </c>
      <c r="B12732" t="n">
        <v>4.24</v>
      </c>
      <c r="C12732" t="n">
        <v>1.68</v>
      </c>
    </row>
    <row r="12733">
      <c r="A12733" s="28" t="n">
        <v>37551</v>
      </c>
      <c r="B12733" t="n">
        <v>4.27</v>
      </c>
      <c r="C12733" t="n">
        <v>1.66</v>
      </c>
    </row>
    <row r="12734">
      <c r="A12734" s="28" t="n">
        <v>37552</v>
      </c>
      <c r="B12734" t="n">
        <v>4.26</v>
      </c>
      <c r="C12734" t="n">
        <v>1.65</v>
      </c>
    </row>
    <row r="12735">
      <c r="A12735" s="28" t="n">
        <v>37553</v>
      </c>
      <c r="B12735" t="n">
        <v>4.16</v>
      </c>
      <c r="C12735" t="n">
        <v>1.62</v>
      </c>
    </row>
    <row r="12736">
      <c r="A12736" s="28" t="n">
        <v>37554</v>
      </c>
      <c r="B12736" t="n">
        <v>4.12</v>
      </c>
      <c r="C12736" t="n">
        <v>1.61</v>
      </c>
    </row>
    <row r="12737">
      <c r="A12737" s="28" t="n">
        <v>37557</v>
      </c>
      <c r="B12737" t="n">
        <v>4.1</v>
      </c>
      <c r="C12737" t="n">
        <v>1.56</v>
      </c>
    </row>
    <row r="12738">
      <c r="A12738" s="28" t="n">
        <v>37558</v>
      </c>
      <c r="B12738" t="n">
        <v>3.97</v>
      </c>
      <c r="C12738" t="n">
        <v>1.48</v>
      </c>
    </row>
    <row r="12739">
      <c r="A12739" s="28" t="n">
        <v>37559</v>
      </c>
      <c r="B12739" t="n">
        <v>3.99</v>
      </c>
      <c r="C12739" t="n">
        <v>1.48</v>
      </c>
    </row>
    <row r="12740">
      <c r="A12740" s="28" t="n">
        <v>37560</v>
      </c>
      <c r="B12740" t="n">
        <v>3.93</v>
      </c>
      <c r="C12740" t="n">
        <v>1.42</v>
      </c>
    </row>
    <row r="12741">
      <c r="A12741" s="28" t="n">
        <v>37561</v>
      </c>
      <c r="B12741" t="n">
        <v>4.01</v>
      </c>
      <c r="C12741" t="n">
        <v>1.41</v>
      </c>
    </row>
    <row r="12742">
      <c r="A12742" s="28" t="n">
        <v>37564</v>
      </c>
      <c r="B12742" t="n">
        <v>4.07</v>
      </c>
      <c r="C12742" t="n">
        <v>1.41</v>
      </c>
    </row>
    <row r="12743">
      <c r="A12743" s="28" t="n">
        <v>37565</v>
      </c>
      <c r="B12743" t="n">
        <v>4.1</v>
      </c>
      <c r="C12743" t="n">
        <v>1.4</v>
      </c>
    </row>
    <row r="12744">
      <c r="A12744" s="28" t="n">
        <v>37566</v>
      </c>
      <c r="B12744" t="n">
        <v>4.09</v>
      </c>
      <c r="C12744" t="n">
        <v>1.21</v>
      </c>
    </row>
    <row r="12745">
      <c r="A12745" s="28" t="n">
        <v>37567</v>
      </c>
      <c r="B12745" t="n">
        <v>3.88</v>
      </c>
      <c r="C12745" t="n">
        <v>1.2</v>
      </c>
    </row>
    <row r="12746">
      <c r="A12746" s="28" t="n">
        <v>37568</v>
      </c>
      <c r="B12746" t="n">
        <v>3.85</v>
      </c>
      <c r="C12746" t="n">
        <v>1.2</v>
      </c>
    </row>
    <row r="12747">
      <c r="A12747" s="28" t="n">
        <v>37571</v>
      </c>
      <c r="B12747" t="n">
        <v>0</v>
      </c>
      <c r="C12747" t="n">
        <v>0</v>
      </c>
    </row>
    <row r="12748">
      <c r="A12748" s="28" t="n">
        <v>37572</v>
      </c>
      <c r="B12748" t="n">
        <v>3.84</v>
      </c>
      <c r="C12748" t="n">
        <v>1.2</v>
      </c>
    </row>
    <row r="12749">
      <c r="A12749" s="28" t="n">
        <v>37573</v>
      </c>
      <c r="B12749" t="n">
        <v>3.84</v>
      </c>
      <c r="C12749" t="n">
        <v>1.19</v>
      </c>
    </row>
    <row r="12750">
      <c r="A12750" s="28" t="n">
        <v>37574</v>
      </c>
      <c r="B12750" t="n">
        <v>4.03</v>
      </c>
      <c r="C12750" t="n">
        <v>1.2</v>
      </c>
    </row>
    <row r="12751">
      <c r="A12751" s="28" t="n">
        <v>37575</v>
      </c>
      <c r="B12751" t="n">
        <v>4.05</v>
      </c>
      <c r="C12751" t="n">
        <v>1.2</v>
      </c>
    </row>
    <row r="12752">
      <c r="A12752" s="28" t="n">
        <v>37578</v>
      </c>
      <c r="B12752" t="n">
        <v>4.02</v>
      </c>
      <c r="C12752" t="n">
        <v>1.21</v>
      </c>
    </row>
    <row r="12753">
      <c r="A12753" s="28" t="n">
        <v>37579</v>
      </c>
      <c r="B12753" t="n">
        <v>3.99</v>
      </c>
      <c r="C12753" t="n">
        <v>1.19</v>
      </c>
    </row>
    <row r="12754">
      <c r="A12754" s="28" t="n">
        <v>37580</v>
      </c>
      <c r="B12754" t="n">
        <v>4.08</v>
      </c>
      <c r="C12754" t="n">
        <v>1.2</v>
      </c>
    </row>
    <row r="12755">
      <c r="A12755" s="28" t="n">
        <v>37581</v>
      </c>
      <c r="B12755" t="n">
        <v>4.14</v>
      </c>
      <c r="C12755" t="n">
        <v>1.2</v>
      </c>
    </row>
    <row r="12756">
      <c r="A12756" s="28" t="n">
        <v>37582</v>
      </c>
      <c r="B12756" t="n">
        <v>4.18</v>
      </c>
      <c r="C12756" t="n">
        <v>1.21</v>
      </c>
    </row>
    <row r="12757">
      <c r="A12757" s="28" t="n">
        <v>37585</v>
      </c>
      <c r="B12757" t="n">
        <v>4.19</v>
      </c>
      <c r="C12757" t="n">
        <v>1.22</v>
      </c>
    </row>
    <row r="12758">
      <c r="A12758" s="28" t="n">
        <v>37586</v>
      </c>
      <c r="B12758" t="n">
        <v>4.08</v>
      </c>
      <c r="C12758" t="n">
        <v>1.2</v>
      </c>
    </row>
    <row r="12759">
      <c r="A12759" s="28" t="n">
        <v>37587</v>
      </c>
      <c r="B12759" t="n">
        <v>4.26</v>
      </c>
      <c r="C12759" t="n">
        <v>1.21</v>
      </c>
    </row>
    <row r="12760">
      <c r="A12760" s="28" t="n">
        <v>37588</v>
      </c>
      <c r="B12760" t="n">
        <v>0</v>
      </c>
      <c r="C12760" t="n">
        <v>0</v>
      </c>
    </row>
    <row r="12761">
      <c r="A12761" s="28" t="n">
        <v>37589</v>
      </c>
      <c r="B12761" t="n">
        <v>4.22</v>
      </c>
      <c r="C12761" t="n">
        <v>1.2</v>
      </c>
    </row>
    <row r="12762">
      <c r="A12762" s="28" t="n">
        <v>37592</v>
      </c>
      <c r="B12762" t="n">
        <v>4.22</v>
      </c>
      <c r="C12762" t="n">
        <v>1.22</v>
      </c>
    </row>
    <row r="12763">
      <c r="A12763" s="28" t="n">
        <v>37593</v>
      </c>
      <c r="B12763" t="n">
        <v>4.24</v>
      </c>
      <c r="C12763" t="n">
        <v>1.21</v>
      </c>
    </row>
    <row r="12764">
      <c r="A12764" s="28" t="n">
        <v>37594</v>
      </c>
      <c r="B12764" t="n">
        <v>4.18</v>
      </c>
      <c r="C12764" t="n">
        <v>1.2</v>
      </c>
    </row>
    <row r="12765">
      <c r="A12765" s="28" t="n">
        <v>37595</v>
      </c>
      <c r="B12765" t="n">
        <v>4.13</v>
      </c>
      <c r="C12765" t="n">
        <v>1.2</v>
      </c>
    </row>
    <row r="12766">
      <c r="A12766" s="28" t="n">
        <v>37596</v>
      </c>
      <c r="B12766" t="n">
        <v>4.09</v>
      </c>
      <c r="C12766" t="n">
        <v>1.19</v>
      </c>
    </row>
    <row r="12767">
      <c r="A12767" s="28" t="n">
        <v>37599</v>
      </c>
      <c r="B12767" t="n">
        <v>4.06</v>
      </c>
      <c r="C12767" t="n">
        <v>1.21</v>
      </c>
    </row>
    <row r="12768">
      <c r="A12768" s="28" t="n">
        <v>37600</v>
      </c>
      <c r="B12768" t="n">
        <v>4.06</v>
      </c>
      <c r="C12768" t="n">
        <v>1.19</v>
      </c>
    </row>
    <row r="12769">
      <c r="A12769" s="28" t="n">
        <v>37601</v>
      </c>
      <c r="B12769" t="n">
        <v>4.01</v>
      </c>
      <c r="C12769" t="n">
        <v>1.19</v>
      </c>
    </row>
    <row r="12770">
      <c r="A12770" s="28" t="n">
        <v>37602</v>
      </c>
      <c r="B12770" t="n">
        <v>4.01</v>
      </c>
      <c r="C12770" t="n">
        <v>1.19</v>
      </c>
    </row>
    <row r="12771">
      <c r="A12771" s="28" t="n">
        <v>37603</v>
      </c>
      <c r="B12771" t="n">
        <v>4.07</v>
      </c>
      <c r="C12771" t="n">
        <v>1.19</v>
      </c>
    </row>
    <row r="12772">
      <c r="A12772" s="28" t="n">
        <v>37606</v>
      </c>
      <c r="B12772" t="n">
        <v>4.15</v>
      </c>
      <c r="C12772" t="n">
        <v>1.21</v>
      </c>
    </row>
    <row r="12773">
      <c r="A12773" s="28" t="n">
        <v>37607</v>
      </c>
      <c r="B12773" t="n">
        <v>4.13</v>
      </c>
      <c r="C12773" t="n">
        <v>1.2</v>
      </c>
    </row>
    <row r="12774">
      <c r="A12774" s="28" t="n">
        <v>37608</v>
      </c>
      <c r="B12774" t="n">
        <v>4.06</v>
      </c>
      <c r="C12774" t="n">
        <v>1.19</v>
      </c>
    </row>
    <row r="12775">
      <c r="A12775" s="28" t="n">
        <v>37609</v>
      </c>
      <c r="B12775" t="n">
        <v>3.96</v>
      </c>
      <c r="C12775" t="n">
        <v>1.19</v>
      </c>
    </row>
    <row r="12776">
      <c r="A12776" s="28" t="n">
        <v>37610</v>
      </c>
      <c r="B12776" t="n">
        <v>3.97</v>
      </c>
      <c r="C12776" t="n">
        <v>1.19</v>
      </c>
    </row>
    <row r="12777">
      <c r="A12777" s="28" t="n">
        <v>37613</v>
      </c>
      <c r="B12777" t="n">
        <v>3.98</v>
      </c>
      <c r="C12777" t="n">
        <v>1.17</v>
      </c>
    </row>
    <row r="12778">
      <c r="A12778" s="28" t="n">
        <v>37614</v>
      </c>
      <c r="B12778" t="n">
        <v>3.95</v>
      </c>
      <c r="C12778" t="n">
        <v>1.17</v>
      </c>
    </row>
    <row r="12779">
      <c r="A12779" s="28" t="n">
        <v>37615</v>
      </c>
      <c r="B12779" t="n">
        <v>0</v>
      </c>
      <c r="C12779" t="n">
        <v>0</v>
      </c>
    </row>
    <row r="12780">
      <c r="A12780" s="28" t="n">
        <v>37616</v>
      </c>
      <c r="B12780" t="n">
        <v>3.93</v>
      </c>
      <c r="C12780" t="n">
        <v>1.16</v>
      </c>
    </row>
    <row r="12781">
      <c r="A12781" s="28" t="n">
        <v>37617</v>
      </c>
      <c r="B12781" t="n">
        <v>3.83</v>
      </c>
      <c r="C12781" t="n">
        <v>1.14</v>
      </c>
    </row>
    <row r="12782">
      <c r="A12782" s="28" t="n">
        <v>37620</v>
      </c>
      <c r="B12782" t="n">
        <v>3.82</v>
      </c>
      <c r="C12782" t="n">
        <v>1.2</v>
      </c>
    </row>
    <row r="12783">
      <c r="A12783" s="28" t="n">
        <v>37621</v>
      </c>
      <c r="B12783" t="n">
        <v>3.83</v>
      </c>
      <c r="C12783" t="n">
        <v>1.2</v>
      </c>
    </row>
    <row r="12784">
      <c r="A12784" s="28" t="n">
        <v>37622</v>
      </c>
      <c r="B12784" t="n">
        <v>0</v>
      </c>
      <c r="C12784" t="n">
        <v>0</v>
      </c>
    </row>
    <row r="12785">
      <c r="A12785" s="28" t="n">
        <v>37623</v>
      </c>
      <c r="B12785" t="n">
        <v>4.07</v>
      </c>
      <c r="C12785" t="n">
        <v>1.2</v>
      </c>
    </row>
    <row r="12786">
      <c r="A12786" s="28" t="n">
        <v>37624</v>
      </c>
      <c r="B12786" t="n">
        <v>4.05</v>
      </c>
      <c r="C12786" t="n">
        <v>1.2</v>
      </c>
    </row>
    <row r="12787">
      <c r="A12787" s="28" t="n">
        <v>37627</v>
      </c>
      <c r="B12787" t="n">
        <v>4.09</v>
      </c>
      <c r="C12787" t="n">
        <v>1.19</v>
      </c>
    </row>
    <row r="12788">
      <c r="A12788" s="28" t="n">
        <v>37628</v>
      </c>
      <c r="B12788" t="n">
        <v>4.04</v>
      </c>
      <c r="C12788" t="n">
        <v>1.17</v>
      </c>
    </row>
    <row r="12789">
      <c r="A12789" s="28" t="n">
        <v>37629</v>
      </c>
      <c r="B12789" t="n">
        <v>4</v>
      </c>
      <c r="C12789" t="n">
        <v>1.17</v>
      </c>
    </row>
    <row r="12790">
      <c r="A12790" s="28" t="n">
        <v>37630</v>
      </c>
      <c r="B12790" t="n">
        <v>4.19</v>
      </c>
      <c r="C12790" t="n">
        <v>1.18</v>
      </c>
    </row>
    <row r="12791">
      <c r="A12791" s="28" t="n">
        <v>37631</v>
      </c>
      <c r="B12791" t="n">
        <v>4.16</v>
      </c>
      <c r="C12791" t="n">
        <v>1.18</v>
      </c>
    </row>
    <row r="12792">
      <c r="A12792" s="28" t="n">
        <v>37634</v>
      </c>
      <c r="B12792" t="n">
        <v>4.15</v>
      </c>
      <c r="C12792" t="n">
        <v>1.19</v>
      </c>
    </row>
    <row r="12793">
      <c r="A12793" s="28" t="n">
        <v>37635</v>
      </c>
      <c r="B12793" t="n">
        <v>4.1</v>
      </c>
      <c r="C12793" t="n">
        <v>1.17</v>
      </c>
    </row>
    <row r="12794">
      <c r="A12794" s="28" t="n">
        <v>37636</v>
      </c>
      <c r="B12794" t="n">
        <v>4.1</v>
      </c>
      <c r="C12794" t="n">
        <v>1.18</v>
      </c>
    </row>
    <row r="12795">
      <c r="A12795" s="28" t="n">
        <v>37637</v>
      </c>
      <c r="B12795" t="n">
        <v>4.1</v>
      </c>
      <c r="C12795" t="n">
        <v>1.16</v>
      </c>
    </row>
    <row r="12796">
      <c r="A12796" s="28" t="n">
        <v>37638</v>
      </c>
      <c r="B12796" t="n">
        <v>4.05</v>
      </c>
      <c r="C12796" t="n">
        <v>1.16</v>
      </c>
    </row>
    <row r="12797">
      <c r="A12797" s="28" t="n">
        <v>37641</v>
      </c>
      <c r="B12797" t="n">
        <v>0</v>
      </c>
      <c r="C12797" t="n">
        <v>0</v>
      </c>
    </row>
    <row r="12798">
      <c r="A12798" s="28" t="n">
        <v>37642</v>
      </c>
      <c r="B12798" t="n">
        <v>4.01</v>
      </c>
      <c r="C12798" t="n">
        <v>1.17</v>
      </c>
    </row>
    <row r="12799">
      <c r="A12799" s="28" t="n">
        <v>37643</v>
      </c>
      <c r="B12799" t="n">
        <v>3.95</v>
      </c>
      <c r="C12799" t="n">
        <v>1.15</v>
      </c>
    </row>
    <row r="12800">
      <c r="A12800" s="28" t="n">
        <v>37644</v>
      </c>
      <c r="B12800" t="n">
        <v>3.98</v>
      </c>
      <c r="C12800" t="n">
        <v>1.15</v>
      </c>
    </row>
    <row r="12801">
      <c r="A12801" s="28" t="n">
        <v>37645</v>
      </c>
      <c r="B12801" t="n">
        <v>3.94</v>
      </c>
      <c r="C12801" t="n">
        <v>1.14</v>
      </c>
    </row>
    <row r="12802">
      <c r="A12802" s="28" t="n">
        <v>37648</v>
      </c>
      <c r="B12802" t="n">
        <v>3.98</v>
      </c>
      <c r="C12802" t="n">
        <v>1.15</v>
      </c>
    </row>
    <row r="12803">
      <c r="A12803" s="28" t="n">
        <v>37649</v>
      </c>
      <c r="B12803" t="n">
        <v>4</v>
      </c>
      <c r="C12803" t="n">
        <v>1.16</v>
      </c>
    </row>
    <row r="12804">
      <c r="A12804" s="28" t="n">
        <v>37650</v>
      </c>
      <c r="B12804" t="n">
        <v>4.06</v>
      </c>
      <c r="C12804" t="n">
        <v>1.16</v>
      </c>
    </row>
    <row r="12805">
      <c r="A12805" s="28" t="n">
        <v>37651</v>
      </c>
      <c r="B12805" t="n">
        <v>4</v>
      </c>
      <c r="C12805" t="n">
        <v>1.16</v>
      </c>
    </row>
    <row r="12806">
      <c r="A12806" s="28" t="n">
        <v>37652</v>
      </c>
      <c r="B12806" t="n">
        <v>4</v>
      </c>
      <c r="C12806" t="n">
        <v>1.16</v>
      </c>
    </row>
    <row r="12807">
      <c r="A12807" s="28" t="n">
        <v>37655</v>
      </c>
      <c r="B12807" t="n">
        <v>4.01</v>
      </c>
      <c r="C12807" t="n">
        <v>1.16</v>
      </c>
    </row>
    <row r="12808">
      <c r="A12808" s="28" t="n">
        <v>37656</v>
      </c>
      <c r="B12808" t="n">
        <v>3.96</v>
      </c>
      <c r="C12808" t="n">
        <v>1.14</v>
      </c>
    </row>
    <row r="12809">
      <c r="A12809" s="28" t="n">
        <v>37657</v>
      </c>
      <c r="B12809" t="n">
        <v>4.02</v>
      </c>
      <c r="C12809" t="n">
        <v>1.16</v>
      </c>
    </row>
    <row r="12810">
      <c r="A12810" s="28" t="n">
        <v>37658</v>
      </c>
      <c r="B12810" t="n">
        <v>3.97</v>
      </c>
      <c r="C12810" t="n">
        <v>1.15</v>
      </c>
    </row>
    <row r="12811">
      <c r="A12811" s="28" t="n">
        <v>37659</v>
      </c>
      <c r="B12811" t="n">
        <v>3.96</v>
      </c>
      <c r="C12811" t="n">
        <v>1.15</v>
      </c>
    </row>
    <row r="12812">
      <c r="A12812" s="28" t="n">
        <v>37662</v>
      </c>
      <c r="B12812" t="n">
        <v>3.99</v>
      </c>
      <c r="C12812" t="n">
        <v>1.15</v>
      </c>
    </row>
    <row r="12813">
      <c r="A12813" s="28" t="n">
        <v>37663</v>
      </c>
      <c r="B12813" t="n">
        <v>3.98</v>
      </c>
      <c r="C12813" t="n">
        <v>1.16</v>
      </c>
    </row>
    <row r="12814">
      <c r="A12814" s="28" t="n">
        <v>37664</v>
      </c>
      <c r="B12814" t="n">
        <v>3.93</v>
      </c>
      <c r="C12814" t="n">
        <v>1.16</v>
      </c>
    </row>
    <row r="12815">
      <c r="A12815" s="28" t="n">
        <v>37665</v>
      </c>
      <c r="B12815" t="n">
        <v>3.89</v>
      </c>
      <c r="C12815" t="n">
        <v>1.15</v>
      </c>
    </row>
    <row r="12816">
      <c r="A12816" s="28" t="n">
        <v>37666</v>
      </c>
      <c r="B12816" t="n">
        <v>3.95</v>
      </c>
      <c r="C12816" t="n">
        <v>1.16</v>
      </c>
    </row>
    <row r="12817">
      <c r="A12817" s="28" t="n">
        <v>37669</v>
      </c>
      <c r="B12817" t="n">
        <v>0</v>
      </c>
      <c r="C12817" t="n">
        <v>0</v>
      </c>
    </row>
    <row r="12818">
      <c r="A12818" s="28" t="n">
        <v>37670</v>
      </c>
      <c r="B12818" t="n">
        <v>3.94</v>
      </c>
      <c r="C12818" t="n">
        <v>1.17</v>
      </c>
    </row>
    <row r="12819">
      <c r="A12819" s="28" t="n">
        <v>37671</v>
      </c>
      <c r="B12819" t="n">
        <v>3.88</v>
      </c>
      <c r="C12819" t="n">
        <v>1.16</v>
      </c>
    </row>
    <row r="12820">
      <c r="A12820" s="28" t="n">
        <v>37672</v>
      </c>
      <c r="B12820" t="n">
        <v>3.85</v>
      </c>
      <c r="C12820" t="n">
        <v>1.17</v>
      </c>
    </row>
    <row r="12821">
      <c r="A12821" s="28" t="n">
        <v>37673</v>
      </c>
      <c r="B12821" t="n">
        <v>3.9</v>
      </c>
      <c r="C12821" t="n">
        <v>1.17</v>
      </c>
    </row>
    <row r="12822">
      <c r="A12822" s="28" t="n">
        <v>37676</v>
      </c>
      <c r="B12822" t="n">
        <v>3.86</v>
      </c>
      <c r="C12822" t="n">
        <v>1.19</v>
      </c>
    </row>
    <row r="12823">
      <c r="A12823" s="28" t="n">
        <v>37677</v>
      </c>
      <c r="B12823" t="n">
        <v>3.81</v>
      </c>
      <c r="C12823" t="n">
        <v>1.18</v>
      </c>
    </row>
    <row r="12824">
      <c r="A12824" s="28" t="n">
        <v>37678</v>
      </c>
      <c r="B12824" t="n">
        <v>3.78</v>
      </c>
      <c r="C12824" t="n">
        <v>1.19</v>
      </c>
    </row>
    <row r="12825">
      <c r="A12825" s="28" t="n">
        <v>37679</v>
      </c>
      <c r="B12825" t="n">
        <v>3.76</v>
      </c>
      <c r="C12825" t="n">
        <v>1.19</v>
      </c>
    </row>
    <row r="12826">
      <c r="A12826" s="28" t="n">
        <v>37680</v>
      </c>
      <c r="B12826" t="n">
        <v>3.71</v>
      </c>
      <c r="C12826" t="n">
        <v>1.18</v>
      </c>
    </row>
    <row r="12827">
      <c r="A12827" s="28" t="n">
        <v>37683</v>
      </c>
      <c r="B12827" t="n">
        <v>3.68</v>
      </c>
      <c r="C12827" t="n">
        <v>1.18</v>
      </c>
    </row>
    <row r="12828">
      <c r="A12828" s="28" t="n">
        <v>37684</v>
      </c>
      <c r="B12828" t="n">
        <v>3.65</v>
      </c>
      <c r="C12828" t="n">
        <v>1.17</v>
      </c>
    </row>
    <row r="12829">
      <c r="A12829" s="28" t="n">
        <v>37685</v>
      </c>
      <c r="B12829" t="n">
        <v>3.63</v>
      </c>
      <c r="C12829" t="n">
        <v>1.16</v>
      </c>
    </row>
    <row r="12830">
      <c r="A12830" s="28" t="n">
        <v>37686</v>
      </c>
      <c r="B12830" t="n">
        <v>3.67</v>
      </c>
      <c r="C12830" t="n">
        <v>1.16</v>
      </c>
    </row>
    <row r="12831">
      <c r="A12831" s="28" t="n">
        <v>37687</v>
      </c>
      <c r="B12831" t="n">
        <v>3.63</v>
      </c>
      <c r="C12831" t="n">
        <v>1.1</v>
      </c>
    </row>
    <row r="12832">
      <c r="A12832" s="28" t="n">
        <v>37690</v>
      </c>
      <c r="B12832" t="n">
        <v>3.59</v>
      </c>
      <c r="C12832" t="n">
        <v>1.06</v>
      </c>
    </row>
    <row r="12833">
      <c r="A12833" s="28" t="n">
        <v>37691</v>
      </c>
      <c r="B12833" t="n">
        <v>3.6</v>
      </c>
      <c r="C12833" t="n">
        <v>1.08</v>
      </c>
    </row>
    <row r="12834">
      <c r="A12834" s="28" t="n">
        <v>37692</v>
      </c>
      <c r="B12834" t="n">
        <v>3.6</v>
      </c>
      <c r="C12834" t="n">
        <v>1.08</v>
      </c>
    </row>
    <row r="12835">
      <c r="A12835" s="28" t="n">
        <v>37693</v>
      </c>
      <c r="B12835" t="n">
        <v>3.74</v>
      </c>
      <c r="C12835" t="n">
        <v>1.1</v>
      </c>
    </row>
    <row r="12836">
      <c r="A12836" s="28" t="n">
        <v>37694</v>
      </c>
      <c r="B12836" t="n">
        <v>3.72</v>
      </c>
      <c r="C12836" t="n">
        <v>1.11</v>
      </c>
    </row>
    <row r="12837">
      <c r="A12837" s="28" t="n">
        <v>37697</v>
      </c>
      <c r="B12837" t="n">
        <v>3.82</v>
      </c>
      <c r="C12837" t="n">
        <v>1.13</v>
      </c>
    </row>
    <row r="12838">
      <c r="A12838" s="28" t="n">
        <v>37698</v>
      </c>
      <c r="B12838" t="n">
        <v>3.91</v>
      </c>
      <c r="C12838" t="n">
        <v>1.12</v>
      </c>
    </row>
    <row r="12839">
      <c r="A12839" s="28" t="n">
        <v>37699</v>
      </c>
      <c r="B12839" t="n">
        <v>3.98</v>
      </c>
      <c r="C12839" t="n">
        <v>1.14</v>
      </c>
    </row>
    <row r="12840">
      <c r="A12840" s="28" t="n">
        <v>37700</v>
      </c>
      <c r="B12840" t="n">
        <v>4.01</v>
      </c>
      <c r="C12840" t="n">
        <v>1.15</v>
      </c>
    </row>
    <row r="12841">
      <c r="A12841" s="28" t="n">
        <v>37701</v>
      </c>
      <c r="B12841" t="n">
        <v>4.11</v>
      </c>
      <c r="C12841" t="n">
        <v>1.16</v>
      </c>
    </row>
    <row r="12842">
      <c r="A12842" s="28" t="n">
        <v>37704</v>
      </c>
      <c r="B12842" t="n">
        <v>3.98</v>
      </c>
      <c r="C12842" t="n">
        <v>1.15</v>
      </c>
    </row>
    <row r="12843">
      <c r="A12843" s="28" t="n">
        <v>37705</v>
      </c>
      <c r="B12843" t="n">
        <v>3.97</v>
      </c>
      <c r="C12843" t="n">
        <v>1.16</v>
      </c>
    </row>
    <row r="12844">
      <c r="A12844" s="28" t="n">
        <v>37706</v>
      </c>
      <c r="B12844" t="n">
        <v>3.96</v>
      </c>
      <c r="C12844" t="n">
        <v>1.16</v>
      </c>
    </row>
    <row r="12845">
      <c r="A12845" s="28" t="n">
        <v>37707</v>
      </c>
      <c r="B12845" t="n">
        <v>3.95</v>
      </c>
      <c r="C12845" t="n">
        <v>1.14</v>
      </c>
    </row>
    <row r="12846">
      <c r="A12846" s="28" t="n">
        <v>37708</v>
      </c>
      <c r="B12846" t="n">
        <v>3.92</v>
      </c>
      <c r="C12846" t="n">
        <v>1.12</v>
      </c>
    </row>
    <row r="12847">
      <c r="A12847" s="28" t="n">
        <v>37711</v>
      </c>
      <c r="B12847" t="n">
        <v>3.83</v>
      </c>
      <c r="C12847" t="n">
        <v>1.12</v>
      </c>
    </row>
    <row r="12848">
      <c r="A12848" s="28" t="n">
        <v>37712</v>
      </c>
      <c r="B12848" t="n">
        <v>3.84</v>
      </c>
      <c r="C12848" t="n">
        <v>1.1</v>
      </c>
    </row>
    <row r="12849">
      <c r="A12849" s="28" t="n">
        <v>37713</v>
      </c>
      <c r="B12849" t="n">
        <v>3.94</v>
      </c>
      <c r="C12849" t="n">
        <v>1.11</v>
      </c>
    </row>
    <row r="12850">
      <c r="A12850" s="28" t="n">
        <v>37714</v>
      </c>
      <c r="B12850" t="n">
        <v>3.93</v>
      </c>
      <c r="C12850" t="n">
        <v>1.09</v>
      </c>
    </row>
    <row r="12851">
      <c r="A12851" s="28" t="n">
        <v>37715</v>
      </c>
      <c r="B12851" t="n">
        <v>3.96</v>
      </c>
      <c r="C12851" t="n">
        <v>1.09</v>
      </c>
    </row>
    <row r="12852">
      <c r="A12852" s="28" t="n">
        <v>37718</v>
      </c>
      <c r="B12852" t="n">
        <v>4.03</v>
      </c>
      <c r="C12852" t="n">
        <v>1.15</v>
      </c>
    </row>
    <row r="12853">
      <c r="A12853" s="28" t="n">
        <v>37719</v>
      </c>
      <c r="B12853" t="n">
        <v>3.95</v>
      </c>
      <c r="C12853" t="n">
        <v>1.13</v>
      </c>
    </row>
    <row r="12854">
      <c r="A12854" s="28" t="n">
        <v>37720</v>
      </c>
      <c r="B12854" t="n">
        <v>3.93</v>
      </c>
      <c r="C12854" t="n">
        <v>1.11</v>
      </c>
    </row>
    <row r="12855">
      <c r="A12855" s="28" t="n">
        <v>37721</v>
      </c>
      <c r="B12855" t="n">
        <v>3.95</v>
      </c>
      <c r="C12855" t="n">
        <v>1.12</v>
      </c>
    </row>
    <row r="12856">
      <c r="A12856" s="28" t="n">
        <v>37722</v>
      </c>
      <c r="B12856" t="n">
        <v>4</v>
      </c>
      <c r="C12856" t="n">
        <v>1.15</v>
      </c>
    </row>
    <row r="12857">
      <c r="A12857" s="28" t="n">
        <v>37725</v>
      </c>
      <c r="B12857" t="n">
        <v>4.04</v>
      </c>
      <c r="C12857" t="n">
        <v>1.18</v>
      </c>
    </row>
    <row r="12858">
      <c r="A12858" s="28" t="n">
        <v>37726</v>
      </c>
      <c r="B12858" t="n">
        <v>3.98</v>
      </c>
      <c r="C12858" t="n">
        <v>1.16</v>
      </c>
    </row>
    <row r="12859">
      <c r="A12859" s="28" t="n">
        <v>37727</v>
      </c>
      <c r="B12859" t="n">
        <v>3.96</v>
      </c>
      <c r="C12859" t="n">
        <v>1.15</v>
      </c>
    </row>
    <row r="12860">
      <c r="A12860" s="28" t="n">
        <v>37728</v>
      </c>
      <c r="B12860" t="n">
        <v>3.98</v>
      </c>
      <c r="C12860" t="n">
        <v>1.16</v>
      </c>
    </row>
    <row r="12861">
      <c r="A12861" s="28" t="n">
        <v>37729</v>
      </c>
      <c r="B12861" t="n">
        <v>0</v>
      </c>
      <c r="C12861" t="n">
        <v>0</v>
      </c>
    </row>
    <row r="12862">
      <c r="A12862" s="28" t="n">
        <v>37732</v>
      </c>
      <c r="B12862" t="n">
        <v>4</v>
      </c>
      <c r="C12862" t="n">
        <v>1.16</v>
      </c>
    </row>
    <row r="12863">
      <c r="A12863" s="28" t="n">
        <v>37733</v>
      </c>
      <c r="B12863" t="n">
        <v>4.01</v>
      </c>
      <c r="C12863" t="n">
        <v>1.16</v>
      </c>
    </row>
    <row r="12864">
      <c r="A12864" s="28" t="n">
        <v>37734</v>
      </c>
      <c r="B12864" t="n">
        <v>4.02</v>
      </c>
      <c r="C12864" t="n">
        <v>1.15</v>
      </c>
    </row>
    <row r="12865">
      <c r="A12865" s="28" t="n">
        <v>37735</v>
      </c>
      <c r="B12865" t="n">
        <v>3.93</v>
      </c>
      <c r="C12865" t="n">
        <v>1.13</v>
      </c>
    </row>
    <row r="12866">
      <c r="A12866" s="28" t="n">
        <v>37736</v>
      </c>
      <c r="B12866" t="n">
        <v>3.91</v>
      </c>
      <c r="C12866" t="n">
        <v>1.12</v>
      </c>
    </row>
    <row r="12867">
      <c r="A12867" s="28" t="n">
        <v>37739</v>
      </c>
      <c r="B12867" t="n">
        <v>3.92</v>
      </c>
      <c r="C12867" t="n">
        <v>1.12</v>
      </c>
    </row>
    <row r="12868">
      <c r="A12868" s="28" t="n">
        <v>37740</v>
      </c>
      <c r="B12868" t="n">
        <v>3.96</v>
      </c>
      <c r="C12868" t="n">
        <v>1.13</v>
      </c>
    </row>
    <row r="12869">
      <c r="A12869" s="28" t="n">
        <v>37741</v>
      </c>
      <c r="B12869" t="n">
        <v>3.89</v>
      </c>
      <c r="C12869" t="n">
        <v>1.11</v>
      </c>
    </row>
    <row r="12870">
      <c r="A12870" s="28" t="n">
        <v>37742</v>
      </c>
      <c r="B12870" t="n">
        <v>3.88</v>
      </c>
      <c r="C12870" t="n">
        <v>1.08</v>
      </c>
    </row>
    <row r="12871">
      <c r="A12871" s="28" t="n">
        <v>37743</v>
      </c>
      <c r="B12871" t="n">
        <v>3.94</v>
      </c>
      <c r="C12871" t="n">
        <v>1.1</v>
      </c>
    </row>
    <row r="12872">
      <c r="A12872" s="28" t="n">
        <v>37746</v>
      </c>
      <c r="B12872" t="n">
        <v>3.92</v>
      </c>
      <c r="C12872" t="n">
        <v>1.11</v>
      </c>
    </row>
    <row r="12873">
      <c r="A12873" s="28" t="n">
        <v>37747</v>
      </c>
      <c r="B12873" t="n">
        <v>3.84</v>
      </c>
      <c r="C12873" t="n">
        <v>1.08</v>
      </c>
    </row>
    <row r="12874">
      <c r="A12874" s="28" t="n">
        <v>37748</v>
      </c>
      <c r="B12874" t="n">
        <v>3.72</v>
      </c>
      <c r="C12874" t="n">
        <v>1.09</v>
      </c>
    </row>
    <row r="12875">
      <c r="A12875" s="28" t="n">
        <v>37749</v>
      </c>
      <c r="B12875" t="n">
        <v>3.7</v>
      </c>
      <c r="C12875" t="n">
        <v>1.07</v>
      </c>
    </row>
    <row r="12876">
      <c r="A12876" s="28" t="n">
        <v>37750</v>
      </c>
      <c r="B12876" t="n">
        <v>3.69</v>
      </c>
      <c r="C12876" t="n">
        <v>1.09</v>
      </c>
    </row>
    <row r="12877">
      <c r="A12877" s="28" t="n">
        <v>37753</v>
      </c>
      <c r="B12877" t="n">
        <v>3.64</v>
      </c>
      <c r="C12877" t="n">
        <v>1.08</v>
      </c>
    </row>
    <row r="12878">
      <c r="A12878" s="28" t="n">
        <v>37754</v>
      </c>
      <c r="B12878" t="n">
        <v>3.63</v>
      </c>
      <c r="C12878" t="n">
        <v>1.07</v>
      </c>
    </row>
    <row r="12879">
      <c r="A12879" s="28" t="n">
        <v>37755</v>
      </c>
      <c r="B12879" t="n">
        <v>3.53</v>
      </c>
      <c r="C12879" t="n">
        <v>1.04</v>
      </c>
    </row>
    <row r="12880">
      <c r="A12880" s="28" t="n">
        <v>37756</v>
      </c>
      <c r="B12880" t="n">
        <v>3.53</v>
      </c>
      <c r="C12880" t="n">
        <v>1.04</v>
      </c>
    </row>
    <row r="12881">
      <c r="A12881" s="28" t="n">
        <v>37757</v>
      </c>
      <c r="B12881" t="n">
        <v>3.46</v>
      </c>
      <c r="C12881" t="n">
        <v>1.03</v>
      </c>
    </row>
    <row r="12882">
      <c r="A12882" s="28" t="n">
        <v>37760</v>
      </c>
      <c r="B12882" t="n">
        <v>3.46</v>
      </c>
      <c r="C12882" t="n">
        <v>1.03</v>
      </c>
    </row>
    <row r="12883">
      <c r="A12883" s="28" t="n">
        <v>37761</v>
      </c>
      <c r="B12883" t="n">
        <v>3.38</v>
      </c>
      <c r="C12883" t="n">
        <v>1.02</v>
      </c>
    </row>
    <row r="12884">
      <c r="A12884" s="28" t="n">
        <v>37762</v>
      </c>
      <c r="B12884" t="n">
        <v>3.39</v>
      </c>
      <c r="C12884" t="n">
        <v>1.04</v>
      </c>
    </row>
    <row r="12885">
      <c r="A12885" s="28" t="n">
        <v>37763</v>
      </c>
      <c r="B12885" t="n">
        <v>3.34</v>
      </c>
      <c r="C12885" t="n">
        <v>1.06</v>
      </c>
    </row>
    <row r="12886">
      <c r="A12886" s="28" t="n">
        <v>37764</v>
      </c>
      <c r="B12886" t="n">
        <v>3.34</v>
      </c>
      <c r="C12886" t="n">
        <v>1.06</v>
      </c>
    </row>
    <row r="12887">
      <c r="A12887" s="28" t="n">
        <v>37767</v>
      </c>
      <c r="B12887" t="n">
        <v>0</v>
      </c>
      <c r="C12887" t="n">
        <v>0</v>
      </c>
    </row>
    <row r="12888">
      <c r="A12888" s="28" t="n">
        <v>37768</v>
      </c>
      <c r="B12888" t="n">
        <v>3.41</v>
      </c>
      <c r="C12888" t="n">
        <v>1.07</v>
      </c>
    </row>
    <row r="12889">
      <c r="A12889" s="28" t="n">
        <v>37769</v>
      </c>
      <c r="B12889" t="n">
        <v>3.44</v>
      </c>
      <c r="C12889" t="n">
        <v>1.1</v>
      </c>
    </row>
    <row r="12890">
      <c r="A12890" s="28" t="n">
        <v>37770</v>
      </c>
      <c r="B12890" t="n">
        <v>3.34</v>
      </c>
      <c r="C12890" t="n">
        <v>1.08</v>
      </c>
    </row>
    <row r="12891">
      <c r="A12891" s="28" t="n">
        <v>37771</v>
      </c>
      <c r="B12891" t="n">
        <v>3.37</v>
      </c>
      <c r="C12891" t="n">
        <v>1.09</v>
      </c>
    </row>
    <row r="12892">
      <c r="A12892" s="28" t="n">
        <v>37774</v>
      </c>
      <c r="B12892" t="n">
        <v>3.43</v>
      </c>
      <c r="C12892" t="n">
        <v>1.12</v>
      </c>
    </row>
    <row r="12893">
      <c r="A12893" s="28" t="n">
        <v>37775</v>
      </c>
      <c r="B12893" t="n">
        <v>3.34</v>
      </c>
      <c r="C12893" t="n">
        <v>1.06</v>
      </c>
    </row>
    <row r="12894">
      <c r="A12894" s="28" t="n">
        <v>37776</v>
      </c>
      <c r="B12894" t="n">
        <v>3.3</v>
      </c>
      <c r="C12894" t="n">
        <v>1.03</v>
      </c>
    </row>
    <row r="12895">
      <c r="A12895" s="28" t="n">
        <v>37777</v>
      </c>
      <c r="B12895" t="n">
        <v>3.34</v>
      </c>
      <c r="C12895" t="n">
        <v>1.02</v>
      </c>
    </row>
    <row r="12896">
      <c r="A12896" s="28" t="n">
        <v>37778</v>
      </c>
      <c r="B12896" t="n">
        <v>3.37</v>
      </c>
      <c r="C12896" t="n">
        <v>1.03</v>
      </c>
    </row>
    <row r="12897">
      <c r="A12897" s="28" t="n">
        <v>37781</v>
      </c>
      <c r="B12897" t="n">
        <v>3.29</v>
      </c>
      <c r="C12897" t="n">
        <v>1.01</v>
      </c>
    </row>
    <row r="12898">
      <c r="A12898" s="28" t="n">
        <v>37782</v>
      </c>
      <c r="B12898" t="n">
        <v>3.2</v>
      </c>
      <c r="C12898" t="n">
        <v>0.95</v>
      </c>
    </row>
    <row r="12899">
      <c r="A12899" s="28" t="n">
        <v>37783</v>
      </c>
      <c r="B12899" t="n">
        <v>3.21</v>
      </c>
      <c r="C12899" t="n">
        <v>0.92</v>
      </c>
    </row>
    <row r="12900">
      <c r="A12900" s="28" t="n">
        <v>37784</v>
      </c>
      <c r="B12900" t="n">
        <v>3.18</v>
      </c>
      <c r="C12900" t="n">
        <v>0.9</v>
      </c>
    </row>
    <row r="12901">
      <c r="A12901" s="28" t="n">
        <v>37785</v>
      </c>
      <c r="B12901" t="n">
        <v>3.13</v>
      </c>
      <c r="C12901" t="n">
        <v>0.84</v>
      </c>
    </row>
    <row r="12902">
      <c r="A12902" s="28" t="n">
        <v>37788</v>
      </c>
      <c r="B12902" t="n">
        <v>3.18</v>
      </c>
      <c r="C12902" t="n">
        <v>0.85</v>
      </c>
    </row>
    <row r="12903">
      <c r="A12903" s="28" t="n">
        <v>37789</v>
      </c>
      <c r="B12903" t="n">
        <v>3.27</v>
      </c>
      <c r="C12903" t="n">
        <v>0.88</v>
      </c>
    </row>
    <row r="12904">
      <c r="A12904" s="28" t="n">
        <v>37790</v>
      </c>
      <c r="B12904" t="n">
        <v>3.37</v>
      </c>
      <c r="C12904" t="n">
        <v>0.87</v>
      </c>
    </row>
    <row r="12905">
      <c r="A12905" s="28" t="n">
        <v>37791</v>
      </c>
      <c r="B12905" t="n">
        <v>3.35</v>
      </c>
      <c r="C12905" t="n">
        <v>0.8</v>
      </c>
    </row>
    <row r="12906">
      <c r="A12906" s="28" t="n">
        <v>37792</v>
      </c>
      <c r="B12906" t="n">
        <v>3.4</v>
      </c>
      <c r="C12906" t="n">
        <v>0.8100000000000001</v>
      </c>
    </row>
    <row r="12907">
      <c r="A12907" s="28" t="n">
        <v>37795</v>
      </c>
      <c r="B12907" t="n">
        <v>3.32</v>
      </c>
      <c r="C12907" t="n">
        <v>0.83</v>
      </c>
    </row>
    <row r="12908">
      <c r="A12908" s="28" t="n">
        <v>37796</v>
      </c>
      <c r="B12908" t="n">
        <v>3.29</v>
      </c>
      <c r="C12908" t="n">
        <v>0.8100000000000001</v>
      </c>
    </row>
    <row r="12909">
      <c r="A12909" s="28" t="n">
        <v>37797</v>
      </c>
      <c r="B12909" t="n">
        <v>3.38</v>
      </c>
      <c r="C12909" t="n">
        <v>0.9</v>
      </c>
    </row>
    <row r="12910">
      <c r="A12910" s="28" t="n">
        <v>37798</v>
      </c>
      <c r="B12910" t="n">
        <v>3.55</v>
      </c>
      <c r="C12910" t="n">
        <v>0.89</v>
      </c>
    </row>
    <row r="12911">
      <c r="A12911" s="28" t="n">
        <v>37799</v>
      </c>
      <c r="B12911" t="n">
        <v>3.58</v>
      </c>
      <c r="C12911" t="n">
        <v>0.85</v>
      </c>
    </row>
    <row r="12912">
      <c r="A12912" s="28" t="n">
        <v>37802</v>
      </c>
      <c r="B12912" t="n">
        <v>3.54</v>
      </c>
      <c r="C12912" t="n">
        <v>0.89</v>
      </c>
    </row>
    <row r="12913">
      <c r="A12913" s="28" t="n">
        <v>37803</v>
      </c>
      <c r="B12913" t="n">
        <v>3.56</v>
      </c>
      <c r="C12913" t="n">
        <v>0.87</v>
      </c>
    </row>
    <row r="12914">
      <c r="A12914" s="28" t="n">
        <v>37804</v>
      </c>
      <c r="B12914" t="n">
        <v>3.56</v>
      </c>
      <c r="C12914" t="n">
        <v>0.85</v>
      </c>
    </row>
    <row r="12915">
      <c r="A12915" s="28" t="n">
        <v>37805</v>
      </c>
      <c r="B12915" t="n">
        <v>3.67</v>
      </c>
      <c r="C12915" t="n">
        <v>0.85</v>
      </c>
    </row>
    <row r="12916">
      <c r="A12916" s="28" t="n">
        <v>37806</v>
      </c>
      <c r="B12916" t="n">
        <v>0</v>
      </c>
      <c r="C12916" t="n">
        <v>0</v>
      </c>
    </row>
    <row r="12917">
      <c r="A12917" s="28" t="n">
        <v>37809</v>
      </c>
      <c r="B12917" t="n">
        <v>3.74</v>
      </c>
      <c r="C12917" t="n">
        <v>0.9</v>
      </c>
    </row>
    <row r="12918">
      <c r="A12918" s="28" t="n">
        <v>37810</v>
      </c>
      <c r="B12918" t="n">
        <v>3.75</v>
      </c>
      <c r="C12918" t="n">
        <v>0.9</v>
      </c>
    </row>
    <row r="12919">
      <c r="A12919" s="28" t="n">
        <v>37811</v>
      </c>
      <c r="B12919" t="n">
        <v>3.73</v>
      </c>
      <c r="C12919" t="n">
        <v>0.88</v>
      </c>
    </row>
    <row r="12920">
      <c r="A12920" s="28" t="n">
        <v>37812</v>
      </c>
      <c r="B12920" t="n">
        <v>3.7</v>
      </c>
      <c r="C12920" t="n">
        <v>0.87</v>
      </c>
    </row>
    <row r="12921">
      <c r="A12921" s="28" t="n">
        <v>37813</v>
      </c>
      <c r="B12921" t="n">
        <v>3.66</v>
      </c>
      <c r="C12921" t="n">
        <v>0.87</v>
      </c>
    </row>
    <row r="12922">
      <c r="A12922" s="28" t="n">
        <v>37816</v>
      </c>
      <c r="B12922" t="n">
        <v>3.74</v>
      </c>
      <c r="C12922" t="n">
        <v>0.89</v>
      </c>
    </row>
    <row r="12923">
      <c r="A12923" s="28" t="n">
        <v>37817</v>
      </c>
      <c r="B12923" t="n">
        <v>3.94</v>
      </c>
      <c r="C12923" t="n">
        <v>0.9</v>
      </c>
    </row>
    <row r="12924">
      <c r="A12924" s="28" t="n">
        <v>37818</v>
      </c>
      <c r="B12924" t="n">
        <v>3.97</v>
      </c>
      <c r="C12924" t="n">
        <v>0.89</v>
      </c>
    </row>
    <row r="12925">
      <c r="A12925" s="28" t="n">
        <v>37819</v>
      </c>
      <c r="B12925" t="n">
        <v>3.98</v>
      </c>
      <c r="C12925" t="n">
        <v>0.88</v>
      </c>
    </row>
    <row r="12926">
      <c r="A12926" s="28" t="n">
        <v>37820</v>
      </c>
      <c r="B12926" t="n">
        <v>4</v>
      </c>
      <c r="C12926" t="n">
        <v>0.89</v>
      </c>
    </row>
    <row r="12927">
      <c r="A12927" s="28" t="n">
        <v>37823</v>
      </c>
      <c r="B12927" t="n">
        <v>4.19</v>
      </c>
      <c r="C12927" t="n">
        <v>0.91</v>
      </c>
    </row>
    <row r="12928">
      <c r="A12928" s="28" t="n">
        <v>37824</v>
      </c>
      <c r="B12928" t="n">
        <v>4.17</v>
      </c>
      <c r="C12928" t="n">
        <v>0.91</v>
      </c>
    </row>
    <row r="12929">
      <c r="A12929" s="28" t="n">
        <v>37825</v>
      </c>
      <c r="B12929" t="n">
        <v>4.12</v>
      </c>
      <c r="C12929" t="n">
        <v>0.91</v>
      </c>
    </row>
    <row r="12930">
      <c r="A12930" s="28" t="n">
        <v>37826</v>
      </c>
      <c r="B12930" t="n">
        <v>4.2</v>
      </c>
      <c r="C12930" t="n">
        <v>0.91</v>
      </c>
    </row>
    <row r="12931">
      <c r="A12931" s="28" t="n">
        <v>37827</v>
      </c>
      <c r="B12931" t="n">
        <v>4.22</v>
      </c>
      <c r="C12931" t="n">
        <v>0.91</v>
      </c>
    </row>
    <row r="12932">
      <c r="A12932" s="28" t="n">
        <v>37830</v>
      </c>
      <c r="B12932" t="n">
        <v>4.31</v>
      </c>
      <c r="C12932" t="n">
        <v>0.95</v>
      </c>
    </row>
    <row r="12933">
      <c r="A12933" s="28" t="n">
        <v>37831</v>
      </c>
      <c r="B12933" t="n">
        <v>4.42</v>
      </c>
      <c r="C12933" t="n">
        <v>0.97</v>
      </c>
    </row>
    <row r="12934">
      <c r="A12934" s="28" t="n">
        <v>37832</v>
      </c>
      <c r="B12934" t="n">
        <v>4.34</v>
      </c>
      <c r="C12934" t="n">
        <v>0.96</v>
      </c>
    </row>
    <row r="12935">
      <c r="A12935" s="28" t="n">
        <v>37833</v>
      </c>
      <c r="B12935" t="n">
        <v>4.49</v>
      </c>
      <c r="C12935" t="n">
        <v>0.9399999999999999</v>
      </c>
    </row>
    <row r="12936">
      <c r="A12936" s="28" t="n">
        <v>37834</v>
      </c>
      <c r="B12936" t="n">
        <v>4.44</v>
      </c>
      <c r="C12936" t="n">
        <v>0.93</v>
      </c>
    </row>
    <row r="12937">
      <c r="A12937" s="28" t="n">
        <v>37837</v>
      </c>
      <c r="B12937" t="n">
        <v>4.35</v>
      </c>
      <c r="C12937" t="n">
        <v>0.95</v>
      </c>
    </row>
    <row r="12938">
      <c r="A12938" s="28" t="n">
        <v>37838</v>
      </c>
      <c r="B12938" t="n">
        <v>4.47</v>
      </c>
      <c r="C12938" t="n">
        <v>0.9399999999999999</v>
      </c>
    </row>
    <row r="12939">
      <c r="A12939" s="28" t="n">
        <v>37839</v>
      </c>
      <c r="B12939" t="n">
        <v>4.32</v>
      </c>
      <c r="C12939" t="n">
        <v>0.93</v>
      </c>
    </row>
    <row r="12940">
      <c r="A12940" s="28" t="n">
        <v>37840</v>
      </c>
      <c r="B12940" t="n">
        <v>4.3</v>
      </c>
      <c r="C12940" t="n">
        <v>0.93</v>
      </c>
    </row>
    <row r="12941">
      <c r="A12941" s="28" t="n">
        <v>37841</v>
      </c>
      <c r="B12941" t="n">
        <v>4.27</v>
      </c>
      <c r="C12941" t="n">
        <v>0.9399999999999999</v>
      </c>
    </row>
    <row r="12942">
      <c r="A12942" s="28" t="n">
        <v>37844</v>
      </c>
      <c r="B12942" t="n">
        <v>4.38</v>
      </c>
      <c r="C12942" t="n">
        <v>0.9399999999999999</v>
      </c>
    </row>
    <row r="12943">
      <c r="A12943" s="28" t="n">
        <v>37845</v>
      </c>
      <c r="B12943" t="n">
        <v>4.37</v>
      </c>
      <c r="C12943" t="n">
        <v>0.93</v>
      </c>
    </row>
    <row r="12944">
      <c r="A12944" s="28" t="n">
        <v>37846</v>
      </c>
      <c r="B12944" t="n">
        <v>4.58</v>
      </c>
      <c r="C12944" t="n">
        <v>0.9399999999999999</v>
      </c>
    </row>
    <row r="12945">
      <c r="A12945" s="28" t="n">
        <v>37847</v>
      </c>
      <c r="B12945" t="n">
        <v>4.55</v>
      </c>
      <c r="C12945" t="n">
        <v>0.9399999999999999</v>
      </c>
    </row>
    <row r="12946">
      <c r="A12946" s="28" t="n">
        <v>37848</v>
      </c>
      <c r="B12946" t="n">
        <v>4.55</v>
      </c>
      <c r="C12946" t="n">
        <v>0.93</v>
      </c>
    </row>
    <row r="12947">
      <c r="A12947" s="28" t="n">
        <v>37851</v>
      </c>
      <c r="B12947" t="n">
        <v>4.49</v>
      </c>
      <c r="C12947" t="n">
        <v>0.9399999999999999</v>
      </c>
    </row>
    <row r="12948">
      <c r="A12948" s="28" t="n">
        <v>37852</v>
      </c>
      <c r="B12948" t="n">
        <v>4.38</v>
      </c>
      <c r="C12948" t="n">
        <v>0.9399999999999999</v>
      </c>
    </row>
    <row r="12949">
      <c r="A12949" s="28" t="n">
        <v>37853</v>
      </c>
      <c r="B12949" t="n">
        <v>4.45</v>
      </c>
      <c r="C12949" t="n">
        <v>0.9399999999999999</v>
      </c>
    </row>
    <row r="12950">
      <c r="A12950" s="28" t="n">
        <v>37854</v>
      </c>
      <c r="B12950" t="n">
        <v>4.53</v>
      </c>
      <c r="C12950" t="n">
        <v>0.95</v>
      </c>
    </row>
    <row r="12951">
      <c r="A12951" s="28" t="n">
        <v>37855</v>
      </c>
      <c r="B12951" t="n">
        <v>4.48</v>
      </c>
      <c r="C12951" t="n">
        <v>0.96</v>
      </c>
    </row>
    <row r="12952">
      <c r="A12952" s="28" t="n">
        <v>37858</v>
      </c>
      <c r="B12952" t="n">
        <v>4.53</v>
      </c>
      <c r="C12952" t="n">
        <v>1</v>
      </c>
    </row>
    <row r="12953">
      <c r="A12953" s="28" t="n">
        <v>37859</v>
      </c>
      <c r="B12953" t="n">
        <v>4.5</v>
      </c>
      <c r="C12953" t="n">
        <v>0.99</v>
      </c>
    </row>
    <row r="12954">
      <c r="A12954" s="28" t="n">
        <v>37860</v>
      </c>
      <c r="B12954" t="n">
        <v>4.54</v>
      </c>
      <c r="C12954" t="n">
        <v>0.98</v>
      </c>
    </row>
    <row r="12955">
      <c r="A12955" s="28" t="n">
        <v>37861</v>
      </c>
      <c r="B12955" t="n">
        <v>4.42</v>
      </c>
      <c r="C12955" t="n">
        <v>0.97</v>
      </c>
    </row>
    <row r="12956">
      <c r="A12956" s="28" t="n">
        <v>37862</v>
      </c>
      <c r="B12956" t="n">
        <v>4.45</v>
      </c>
      <c r="C12956" t="n">
        <v>0.96</v>
      </c>
    </row>
    <row r="12957">
      <c r="A12957" s="28" t="n">
        <v>37865</v>
      </c>
      <c r="B12957" t="n">
        <v>0</v>
      </c>
      <c r="C12957" t="n">
        <v>0</v>
      </c>
    </row>
    <row r="12958">
      <c r="A12958" s="28" t="n">
        <v>37866</v>
      </c>
      <c r="B12958" t="n">
        <v>4.61</v>
      </c>
      <c r="C12958" t="n">
        <v>0.96</v>
      </c>
    </row>
    <row r="12959">
      <c r="A12959" s="28" t="n">
        <v>37867</v>
      </c>
      <c r="B12959" t="n">
        <v>4.6</v>
      </c>
      <c r="C12959" t="n">
        <v>0.95</v>
      </c>
    </row>
    <row r="12960">
      <c r="A12960" s="28" t="n">
        <v>37868</v>
      </c>
      <c r="B12960" t="n">
        <v>4.52</v>
      </c>
      <c r="C12960" t="n">
        <v>0.95</v>
      </c>
    </row>
    <row r="12961">
      <c r="A12961" s="28" t="n">
        <v>37869</v>
      </c>
      <c r="B12961" t="n">
        <v>4.35</v>
      </c>
      <c r="C12961" t="n">
        <v>0.9399999999999999</v>
      </c>
    </row>
    <row r="12962">
      <c r="A12962" s="28" t="n">
        <v>37872</v>
      </c>
      <c r="B12962" t="n">
        <v>4.41</v>
      </c>
      <c r="C12962" t="n">
        <v>0.95</v>
      </c>
    </row>
    <row r="12963">
      <c r="A12963" s="28" t="n">
        <v>37873</v>
      </c>
      <c r="B12963" t="n">
        <v>4.37</v>
      </c>
      <c r="C12963" t="n">
        <v>0.9399999999999999</v>
      </c>
    </row>
    <row r="12964">
      <c r="A12964" s="28" t="n">
        <v>37874</v>
      </c>
      <c r="B12964" t="n">
        <v>4.28</v>
      </c>
      <c r="C12964" t="n">
        <v>0.9399999999999999</v>
      </c>
    </row>
    <row r="12965">
      <c r="A12965" s="28" t="n">
        <v>37875</v>
      </c>
      <c r="B12965" t="n">
        <v>4.35</v>
      </c>
      <c r="C12965" t="n">
        <v>0.9399999999999999</v>
      </c>
    </row>
    <row r="12966">
      <c r="A12966" s="28" t="n">
        <v>37876</v>
      </c>
      <c r="B12966" t="n">
        <v>4.27</v>
      </c>
      <c r="C12966" t="n">
        <v>0.9399999999999999</v>
      </c>
    </row>
    <row r="12967">
      <c r="A12967" s="28" t="n">
        <v>37879</v>
      </c>
      <c r="B12967" t="n">
        <v>4.28</v>
      </c>
      <c r="C12967" t="n">
        <v>0.9399999999999999</v>
      </c>
    </row>
    <row r="12968">
      <c r="A12968" s="28" t="n">
        <v>37880</v>
      </c>
      <c r="B12968" t="n">
        <v>4.29</v>
      </c>
      <c r="C12968" t="n">
        <v>0.91</v>
      </c>
    </row>
    <row r="12969">
      <c r="A12969" s="28" t="n">
        <v>37881</v>
      </c>
      <c r="B12969" t="n">
        <v>4.2</v>
      </c>
      <c r="C12969" t="n">
        <v>0.93</v>
      </c>
    </row>
    <row r="12970">
      <c r="A12970" s="28" t="n">
        <v>37882</v>
      </c>
      <c r="B12970" t="n">
        <v>4.19</v>
      </c>
      <c r="C12970" t="n">
        <v>0.9399999999999999</v>
      </c>
    </row>
    <row r="12971">
      <c r="A12971" s="28" t="n">
        <v>37883</v>
      </c>
      <c r="B12971" t="n">
        <v>4.17</v>
      </c>
      <c r="C12971" t="n">
        <v>0.93</v>
      </c>
    </row>
    <row r="12972">
      <c r="A12972" s="28" t="n">
        <v>37886</v>
      </c>
      <c r="B12972" t="n">
        <v>4.26</v>
      </c>
      <c r="C12972" t="n">
        <v>0.9399999999999999</v>
      </c>
    </row>
    <row r="12973">
      <c r="A12973" s="28" t="n">
        <v>37887</v>
      </c>
      <c r="B12973" t="n">
        <v>4.24</v>
      </c>
      <c r="C12973" t="n">
        <v>0.92</v>
      </c>
    </row>
    <row r="12974">
      <c r="A12974" s="28" t="n">
        <v>37888</v>
      </c>
      <c r="B12974" t="n">
        <v>4.16</v>
      </c>
      <c r="C12974" t="n">
        <v>0.93</v>
      </c>
    </row>
    <row r="12975">
      <c r="A12975" s="28" t="n">
        <v>37889</v>
      </c>
      <c r="B12975" t="n">
        <v>4.12</v>
      </c>
      <c r="C12975" t="n">
        <v>0.92</v>
      </c>
    </row>
    <row r="12976">
      <c r="A12976" s="28" t="n">
        <v>37890</v>
      </c>
      <c r="B12976" t="n">
        <v>4.04</v>
      </c>
      <c r="C12976" t="n">
        <v>0.92</v>
      </c>
    </row>
    <row r="12977">
      <c r="A12977" s="28" t="n">
        <v>37893</v>
      </c>
      <c r="B12977" t="n">
        <v>4.09</v>
      </c>
      <c r="C12977" t="n">
        <v>0.95</v>
      </c>
    </row>
    <row r="12978">
      <c r="A12978" s="28" t="n">
        <v>37894</v>
      </c>
      <c r="B12978" t="n">
        <v>3.96</v>
      </c>
      <c r="C12978" t="n">
        <v>0.93</v>
      </c>
    </row>
    <row r="12979">
      <c r="A12979" s="28" t="n">
        <v>37895</v>
      </c>
      <c r="B12979" t="n">
        <v>3.96</v>
      </c>
      <c r="C12979" t="n">
        <v>0.93</v>
      </c>
    </row>
    <row r="12980">
      <c r="A12980" s="28" t="n">
        <v>37896</v>
      </c>
      <c r="B12980" t="n">
        <v>4.03</v>
      </c>
      <c r="C12980" t="n">
        <v>0.92</v>
      </c>
    </row>
    <row r="12981">
      <c r="A12981" s="28" t="n">
        <v>37897</v>
      </c>
      <c r="B12981" t="n">
        <v>4.21</v>
      </c>
      <c r="C12981" t="n">
        <v>0.92</v>
      </c>
    </row>
    <row r="12982">
      <c r="A12982" s="28" t="n">
        <v>37900</v>
      </c>
      <c r="B12982" t="n">
        <v>4.17</v>
      </c>
      <c r="C12982" t="n">
        <v>0.92</v>
      </c>
    </row>
    <row r="12983">
      <c r="A12983" s="28" t="n">
        <v>37901</v>
      </c>
      <c r="B12983" t="n">
        <v>4.27</v>
      </c>
      <c r="C12983" t="n">
        <v>0.9</v>
      </c>
    </row>
    <row r="12984">
      <c r="A12984" s="28" t="n">
        <v>37902</v>
      </c>
      <c r="B12984" t="n">
        <v>4.27</v>
      </c>
      <c r="C12984" t="n">
        <v>0.89</v>
      </c>
    </row>
    <row r="12985">
      <c r="A12985" s="28" t="n">
        <v>37903</v>
      </c>
      <c r="B12985" t="n">
        <v>4.32</v>
      </c>
      <c r="C12985" t="n">
        <v>0.89</v>
      </c>
    </row>
    <row r="12986">
      <c r="A12986" s="28" t="n">
        <v>37904</v>
      </c>
      <c r="B12986" t="n">
        <v>4.29</v>
      </c>
      <c r="C12986" t="n">
        <v>0.9</v>
      </c>
    </row>
    <row r="12987">
      <c r="A12987" s="28" t="n">
        <v>37907</v>
      </c>
      <c r="B12987" t="n">
        <v>0</v>
      </c>
      <c r="C12987" t="n">
        <v>0</v>
      </c>
    </row>
    <row r="12988">
      <c r="A12988" s="28" t="n">
        <v>37908</v>
      </c>
      <c r="B12988" t="n">
        <v>4.37</v>
      </c>
      <c r="C12988" t="n">
        <v>0.91</v>
      </c>
    </row>
    <row r="12989">
      <c r="A12989" s="28" t="n">
        <v>37909</v>
      </c>
      <c r="B12989" t="n">
        <v>4.43</v>
      </c>
      <c r="C12989" t="n">
        <v>0.91</v>
      </c>
    </row>
    <row r="12990">
      <c r="A12990" s="28" t="n">
        <v>37910</v>
      </c>
      <c r="B12990" t="n">
        <v>4.47</v>
      </c>
      <c r="C12990" t="n">
        <v>0.91</v>
      </c>
    </row>
    <row r="12991">
      <c r="A12991" s="28" t="n">
        <v>37911</v>
      </c>
      <c r="B12991" t="n">
        <v>4.41</v>
      </c>
      <c r="C12991" t="n">
        <v>0.91</v>
      </c>
    </row>
    <row r="12992">
      <c r="A12992" s="28" t="n">
        <v>37914</v>
      </c>
      <c r="B12992" t="n">
        <v>4.41</v>
      </c>
      <c r="C12992" t="n">
        <v>0.93</v>
      </c>
    </row>
    <row r="12993">
      <c r="A12993" s="28" t="n">
        <v>37915</v>
      </c>
      <c r="B12993" t="n">
        <v>4.38</v>
      </c>
      <c r="C12993" t="n">
        <v>0.91</v>
      </c>
    </row>
    <row r="12994">
      <c r="A12994" s="28" t="n">
        <v>37916</v>
      </c>
      <c r="B12994" t="n">
        <v>4.29</v>
      </c>
      <c r="C12994" t="n">
        <v>0.9399999999999999</v>
      </c>
    </row>
    <row r="12995">
      <c r="A12995" s="28" t="n">
        <v>37917</v>
      </c>
      <c r="B12995" t="n">
        <v>4.34</v>
      </c>
      <c r="C12995" t="n">
        <v>0.9399999999999999</v>
      </c>
    </row>
    <row r="12996">
      <c r="A12996" s="28" t="n">
        <v>37918</v>
      </c>
      <c r="B12996" t="n">
        <v>4.24</v>
      </c>
      <c r="C12996" t="n">
        <v>0.93</v>
      </c>
    </row>
    <row r="12997">
      <c r="A12997" s="28" t="n">
        <v>37921</v>
      </c>
      <c r="B12997" t="n">
        <v>4.3</v>
      </c>
      <c r="C12997" t="n">
        <v>0.96</v>
      </c>
    </row>
    <row r="12998">
      <c r="A12998" s="28" t="n">
        <v>37922</v>
      </c>
      <c r="B12998" t="n">
        <v>4.23</v>
      </c>
      <c r="C12998" t="n">
        <v>0.9399999999999999</v>
      </c>
    </row>
    <row r="12999">
      <c r="A12999" s="28" t="n">
        <v>37923</v>
      </c>
      <c r="B12999" t="n">
        <v>4.31</v>
      </c>
      <c r="C12999" t="n">
        <v>0.9399999999999999</v>
      </c>
    </row>
    <row r="13000">
      <c r="A13000" s="28" t="n">
        <v>37924</v>
      </c>
      <c r="B13000" t="n">
        <v>4.36</v>
      </c>
      <c r="C13000" t="n">
        <v>0.9399999999999999</v>
      </c>
    </row>
    <row r="13001">
      <c r="A13001" s="28" t="n">
        <v>37925</v>
      </c>
      <c r="B13001" t="n">
        <v>4.33</v>
      </c>
      <c r="C13001" t="n">
        <v>0.9399999999999999</v>
      </c>
    </row>
    <row r="13002">
      <c r="A13002" s="28" t="n">
        <v>37928</v>
      </c>
      <c r="B13002" t="n">
        <v>4.4</v>
      </c>
      <c r="C13002" t="n">
        <v>0.9399999999999999</v>
      </c>
    </row>
    <row r="13003">
      <c r="A13003" s="28" t="n">
        <v>37929</v>
      </c>
      <c r="B13003" t="n">
        <v>4.33</v>
      </c>
      <c r="C13003" t="n">
        <v>0.93</v>
      </c>
    </row>
    <row r="13004">
      <c r="A13004" s="28" t="n">
        <v>37930</v>
      </c>
      <c r="B13004" t="n">
        <v>4.38</v>
      </c>
      <c r="C13004" t="n">
        <v>0.9399999999999999</v>
      </c>
    </row>
    <row r="13005">
      <c r="A13005" s="28" t="n">
        <v>37931</v>
      </c>
      <c r="B13005" t="n">
        <v>4.45</v>
      </c>
      <c r="C13005" t="n">
        <v>0.9399999999999999</v>
      </c>
    </row>
    <row r="13006">
      <c r="A13006" s="28" t="n">
        <v>37932</v>
      </c>
      <c r="B13006" t="n">
        <v>4.48</v>
      </c>
      <c r="C13006" t="n">
        <v>0.9399999999999999</v>
      </c>
    </row>
    <row r="13007">
      <c r="A13007" s="28" t="n">
        <v>37935</v>
      </c>
      <c r="B13007" t="n">
        <v>4.49</v>
      </c>
      <c r="C13007" t="n">
        <v>0.95</v>
      </c>
    </row>
    <row r="13008">
      <c r="A13008" s="28" t="n">
        <v>37936</v>
      </c>
      <c r="B13008" t="n">
        <v>0</v>
      </c>
      <c r="C13008" t="n">
        <v>0</v>
      </c>
    </row>
    <row r="13009">
      <c r="A13009" s="28" t="n">
        <v>37937</v>
      </c>
      <c r="B13009" t="n">
        <v>4.44</v>
      </c>
      <c r="C13009" t="n">
        <v>0.93</v>
      </c>
    </row>
    <row r="13010">
      <c r="A13010" s="28" t="n">
        <v>37938</v>
      </c>
      <c r="B13010" t="n">
        <v>4.3</v>
      </c>
      <c r="C13010" t="n">
        <v>0.92</v>
      </c>
    </row>
    <row r="13011">
      <c r="A13011" s="28" t="n">
        <v>37939</v>
      </c>
      <c r="B13011" t="n">
        <v>4.22</v>
      </c>
      <c r="C13011" t="n">
        <v>0.93</v>
      </c>
    </row>
    <row r="13012">
      <c r="A13012" s="28" t="n">
        <v>37942</v>
      </c>
      <c r="B13012" t="n">
        <v>4.18</v>
      </c>
      <c r="C13012" t="n">
        <v>0.9399999999999999</v>
      </c>
    </row>
    <row r="13013">
      <c r="A13013" s="28" t="n">
        <v>37943</v>
      </c>
      <c r="B13013" t="n">
        <v>4.17</v>
      </c>
      <c r="C13013" t="n">
        <v>0.9399999999999999</v>
      </c>
    </row>
    <row r="13014">
      <c r="A13014" s="28" t="n">
        <v>37944</v>
      </c>
      <c r="B13014" t="n">
        <v>4.24</v>
      </c>
      <c r="C13014" t="n">
        <v>0.93</v>
      </c>
    </row>
    <row r="13015">
      <c r="A13015" s="28" t="n">
        <v>37945</v>
      </c>
      <c r="B13015" t="n">
        <v>4.16</v>
      </c>
      <c r="C13015" t="n">
        <v>0.93</v>
      </c>
    </row>
    <row r="13016">
      <c r="A13016" s="28" t="n">
        <v>37946</v>
      </c>
      <c r="B13016" t="n">
        <v>4.15</v>
      </c>
      <c r="C13016" t="n">
        <v>0.92</v>
      </c>
    </row>
    <row r="13017">
      <c r="A13017" s="28" t="n">
        <v>37949</v>
      </c>
      <c r="B13017" t="n">
        <v>4.23</v>
      </c>
      <c r="C13017" t="n">
        <v>0.9399999999999999</v>
      </c>
    </row>
    <row r="13018">
      <c r="A13018" s="28" t="n">
        <v>37950</v>
      </c>
      <c r="B13018" t="n">
        <v>4.19</v>
      </c>
      <c r="C13018" t="n">
        <v>0.93</v>
      </c>
    </row>
    <row r="13019">
      <c r="A13019" s="28" t="n">
        <v>37951</v>
      </c>
      <c r="B13019" t="n">
        <v>4.25</v>
      </c>
      <c r="C13019" t="n">
        <v>0.92</v>
      </c>
    </row>
    <row r="13020">
      <c r="A13020" s="28" t="n">
        <v>37952</v>
      </c>
      <c r="B13020" t="n">
        <v>0</v>
      </c>
      <c r="C13020" t="n">
        <v>0</v>
      </c>
    </row>
    <row r="13021">
      <c r="A13021" s="28" t="n">
        <v>37953</v>
      </c>
      <c r="B13021" t="n">
        <v>4.34</v>
      </c>
      <c r="C13021" t="n">
        <v>0.91</v>
      </c>
    </row>
    <row r="13022">
      <c r="A13022" s="28" t="n">
        <v>37956</v>
      </c>
      <c r="B13022" t="n">
        <v>4.4</v>
      </c>
      <c r="C13022" t="n">
        <v>0.93</v>
      </c>
    </row>
    <row r="13023">
      <c r="A13023" s="28" t="n">
        <v>37957</v>
      </c>
      <c r="B13023" t="n">
        <v>4.38</v>
      </c>
      <c r="C13023" t="n">
        <v>0.92</v>
      </c>
    </row>
    <row r="13024">
      <c r="A13024" s="28" t="n">
        <v>37958</v>
      </c>
      <c r="B13024" t="n">
        <v>4.41</v>
      </c>
      <c r="C13024" t="n">
        <v>0.92</v>
      </c>
    </row>
    <row r="13025">
      <c r="A13025" s="28" t="n">
        <v>37959</v>
      </c>
      <c r="B13025" t="n">
        <v>4.38</v>
      </c>
      <c r="C13025" t="n">
        <v>0.91</v>
      </c>
    </row>
    <row r="13026">
      <c r="A13026" s="28" t="n">
        <v>37960</v>
      </c>
      <c r="B13026" t="n">
        <v>4.23</v>
      </c>
      <c r="C13026" t="n">
        <v>0.9</v>
      </c>
    </row>
    <row r="13027">
      <c r="A13027" s="28" t="n">
        <v>37963</v>
      </c>
      <c r="B13027" t="n">
        <v>4.29</v>
      </c>
      <c r="C13027" t="n">
        <v>0.91</v>
      </c>
    </row>
    <row r="13028">
      <c r="A13028" s="28" t="n">
        <v>37964</v>
      </c>
      <c r="B13028" t="n">
        <v>4.32</v>
      </c>
      <c r="C13028" t="n">
        <v>0.91</v>
      </c>
    </row>
    <row r="13029">
      <c r="A13029" s="28" t="n">
        <v>37965</v>
      </c>
      <c r="B13029" t="n">
        <v>4.3</v>
      </c>
      <c r="C13029" t="n">
        <v>0.91</v>
      </c>
    </row>
    <row r="13030">
      <c r="A13030" s="28" t="n">
        <v>37966</v>
      </c>
      <c r="B13030" t="n">
        <v>4.27</v>
      </c>
      <c r="C13030" t="n">
        <v>0.88</v>
      </c>
    </row>
    <row r="13031">
      <c r="A13031" s="28" t="n">
        <v>37967</v>
      </c>
      <c r="B13031" t="n">
        <v>4.26</v>
      </c>
      <c r="C13031" t="n">
        <v>0.89</v>
      </c>
    </row>
    <row r="13032">
      <c r="A13032" s="28" t="n">
        <v>37970</v>
      </c>
      <c r="B13032" t="n">
        <v>4.28</v>
      </c>
      <c r="C13032" t="n">
        <v>0.89</v>
      </c>
    </row>
    <row r="13033">
      <c r="A13033" s="28" t="n">
        <v>37971</v>
      </c>
      <c r="B13033" t="n">
        <v>4.24</v>
      </c>
      <c r="C13033" t="n">
        <v>0.89</v>
      </c>
    </row>
    <row r="13034">
      <c r="A13034" s="28" t="n">
        <v>37972</v>
      </c>
      <c r="B13034" t="n">
        <v>4.19</v>
      </c>
      <c r="C13034" t="n">
        <v>0.88</v>
      </c>
    </row>
    <row r="13035">
      <c r="A13035" s="28" t="n">
        <v>37973</v>
      </c>
      <c r="B13035" t="n">
        <v>4.16</v>
      </c>
      <c r="C13035" t="n">
        <v>0.87</v>
      </c>
    </row>
    <row r="13036">
      <c r="A13036" s="28" t="n">
        <v>37974</v>
      </c>
      <c r="B13036" t="n">
        <v>4.15</v>
      </c>
      <c r="C13036" t="n">
        <v>0.86</v>
      </c>
    </row>
    <row r="13037">
      <c r="A13037" s="28" t="n">
        <v>37977</v>
      </c>
      <c r="B13037" t="n">
        <v>4.18</v>
      </c>
      <c r="C13037" t="n">
        <v>0.89</v>
      </c>
    </row>
    <row r="13038">
      <c r="A13038" s="28" t="n">
        <v>37978</v>
      </c>
      <c r="B13038" t="n">
        <v>4.28</v>
      </c>
      <c r="C13038" t="n">
        <v>0.88</v>
      </c>
    </row>
    <row r="13039">
      <c r="A13039" s="28" t="n">
        <v>37979</v>
      </c>
      <c r="B13039" t="n">
        <v>4.2</v>
      </c>
      <c r="C13039" t="n">
        <v>0.88</v>
      </c>
    </row>
    <row r="13040">
      <c r="A13040" s="28" t="n">
        <v>37980</v>
      </c>
      <c r="B13040" t="n">
        <v>0</v>
      </c>
      <c r="C13040" t="n">
        <v>0</v>
      </c>
    </row>
    <row r="13041">
      <c r="A13041" s="28" t="n">
        <v>37981</v>
      </c>
      <c r="B13041" t="n">
        <v>4.17</v>
      </c>
      <c r="C13041" t="n">
        <v>0.85</v>
      </c>
    </row>
    <row r="13042">
      <c r="A13042" s="28" t="n">
        <v>37984</v>
      </c>
      <c r="B13042" t="n">
        <v>4.24</v>
      </c>
      <c r="C13042" t="n">
        <v>0.89</v>
      </c>
    </row>
    <row r="13043">
      <c r="A13043" s="28" t="n">
        <v>37985</v>
      </c>
      <c r="B13043" t="n">
        <v>4.29</v>
      </c>
      <c r="C13043" t="n">
        <v>0.92</v>
      </c>
    </row>
    <row r="13044">
      <c r="A13044" s="28" t="n">
        <v>37986</v>
      </c>
      <c r="B13044" t="n">
        <v>4.27</v>
      </c>
      <c r="C13044" t="n">
        <v>0.93</v>
      </c>
    </row>
    <row r="13045">
      <c r="A13045" s="28" t="n">
        <v>37987</v>
      </c>
      <c r="B13045" t="n">
        <v>0</v>
      </c>
      <c r="C13045" t="n">
        <v>0</v>
      </c>
    </row>
    <row r="13046">
      <c r="A13046" s="28" t="n">
        <v>37988</v>
      </c>
      <c r="B13046" t="n">
        <v>4.38</v>
      </c>
      <c r="C13046" t="n">
        <v>0.91</v>
      </c>
    </row>
    <row r="13047">
      <c r="A13047" s="28" t="n">
        <v>37991</v>
      </c>
      <c r="B13047" t="n">
        <v>4.41</v>
      </c>
      <c r="C13047" t="n">
        <v>0.9</v>
      </c>
    </row>
    <row r="13048">
      <c r="A13048" s="28" t="n">
        <v>37992</v>
      </c>
      <c r="B13048" t="n">
        <v>4.29</v>
      </c>
      <c r="C13048" t="n">
        <v>0.9</v>
      </c>
    </row>
    <row r="13049">
      <c r="A13049" s="28" t="n">
        <v>37993</v>
      </c>
      <c r="B13049" t="n">
        <v>4.27</v>
      </c>
      <c r="C13049" t="n">
        <v>0.89</v>
      </c>
    </row>
    <row r="13050">
      <c r="A13050" s="28" t="n">
        <v>37994</v>
      </c>
      <c r="B13050" t="n">
        <v>4.27</v>
      </c>
      <c r="C13050" t="n">
        <v>0.86</v>
      </c>
    </row>
    <row r="13051">
      <c r="A13051" s="28" t="n">
        <v>37995</v>
      </c>
      <c r="B13051" t="n">
        <v>4.11</v>
      </c>
      <c r="C13051" t="n">
        <v>0.85</v>
      </c>
    </row>
    <row r="13052">
      <c r="A13052" s="28" t="n">
        <v>37998</v>
      </c>
      <c r="B13052" t="n">
        <v>4.11</v>
      </c>
      <c r="C13052" t="n">
        <v>0.88</v>
      </c>
    </row>
    <row r="13053">
      <c r="A13053" s="28" t="n">
        <v>37999</v>
      </c>
      <c r="B13053" t="n">
        <v>4.05</v>
      </c>
      <c r="C13053" t="n">
        <v>0.87</v>
      </c>
    </row>
    <row r="13054">
      <c r="A13054" s="28" t="n">
        <v>38000</v>
      </c>
      <c r="B13054" t="n">
        <v>4.01</v>
      </c>
      <c r="C13054" t="n">
        <v>0.86</v>
      </c>
    </row>
    <row r="13055">
      <c r="A13055" s="28" t="n">
        <v>38001</v>
      </c>
      <c r="B13055" t="n">
        <v>3.99</v>
      </c>
      <c r="C13055" t="n">
        <v>0.86</v>
      </c>
    </row>
    <row r="13056">
      <c r="A13056" s="28" t="n">
        <v>38002</v>
      </c>
      <c r="B13056" t="n">
        <v>4.04</v>
      </c>
      <c r="C13056" t="n">
        <v>0.87</v>
      </c>
    </row>
    <row r="13057">
      <c r="A13057" s="28" t="n">
        <v>38005</v>
      </c>
      <c r="B13057" t="n">
        <v>0</v>
      </c>
      <c r="C13057" t="n">
        <v>0</v>
      </c>
    </row>
    <row r="13058">
      <c r="A13058" s="28" t="n">
        <v>38006</v>
      </c>
      <c r="B13058" t="n">
        <v>4.08</v>
      </c>
      <c r="C13058" t="n">
        <v>0.88</v>
      </c>
    </row>
    <row r="13059">
      <c r="A13059" s="28" t="n">
        <v>38007</v>
      </c>
      <c r="B13059" t="n">
        <v>4.05</v>
      </c>
      <c r="C13059" t="n">
        <v>0.87</v>
      </c>
    </row>
    <row r="13060">
      <c r="A13060" s="28" t="n">
        <v>38008</v>
      </c>
      <c r="B13060" t="n">
        <v>3.99</v>
      </c>
      <c r="C13060" t="n">
        <v>0.86</v>
      </c>
    </row>
    <row r="13061">
      <c r="A13061" s="28" t="n">
        <v>38009</v>
      </c>
      <c r="B13061" t="n">
        <v>4.09</v>
      </c>
      <c r="C13061" t="n">
        <v>0.88</v>
      </c>
    </row>
    <row r="13062">
      <c r="A13062" s="28" t="n">
        <v>38012</v>
      </c>
      <c r="B13062" t="n">
        <v>4.16</v>
      </c>
      <c r="C13062" t="n">
        <v>0.89</v>
      </c>
    </row>
    <row r="13063">
      <c r="A13063" s="28" t="n">
        <v>38013</v>
      </c>
      <c r="B13063" t="n">
        <v>4.11</v>
      </c>
      <c r="C13063" t="n">
        <v>0.89</v>
      </c>
    </row>
    <row r="13064">
      <c r="A13064" s="28" t="n">
        <v>38014</v>
      </c>
      <c r="B13064" t="n">
        <v>4.22</v>
      </c>
      <c r="C13064" t="n">
        <v>0.92</v>
      </c>
    </row>
    <row r="13065">
      <c r="A13065" s="28" t="n">
        <v>38015</v>
      </c>
      <c r="B13065" t="n">
        <v>4.22</v>
      </c>
      <c r="C13065" t="n">
        <v>0.92</v>
      </c>
    </row>
    <row r="13066">
      <c r="A13066" s="28" t="n">
        <v>38016</v>
      </c>
      <c r="B13066" t="n">
        <v>4.16</v>
      </c>
      <c r="C13066" t="n">
        <v>0.9</v>
      </c>
    </row>
    <row r="13067">
      <c r="A13067" s="28" t="n">
        <v>38019</v>
      </c>
      <c r="B13067" t="n">
        <v>4.18</v>
      </c>
      <c r="C13067" t="n">
        <v>0.93</v>
      </c>
    </row>
    <row r="13068">
      <c r="A13068" s="28" t="n">
        <v>38020</v>
      </c>
      <c r="B13068" t="n">
        <v>4.13</v>
      </c>
      <c r="C13068" t="n">
        <v>0.92</v>
      </c>
    </row>
    <row r="13069">
      <c r="A13069" s="28" t="n">
        <v>38021</v>
      </c>
      <c r="B13069" t="n">
        <v>4.15</v>
      </c>
      <c r="C13069" t="n">
        <v>0.92</v>
      </c>
    </row>
    <row r="13070">
      <c r="A13070" s="28" t="n">
        <v>38022</v>
      </c>
      <c r="B13070" t="n">
        <v>4.2</v>
      </c>
      <c r="C13070" t="n">
        <v>0.92</v>
      </c>
    </row>
    <row r="13071">
      <c r="A13071" s="28" t="n">
        <v>38023</v>
      </c>
      <c r="B13071" t="n">
        <v>4.12</v>
      </c>
      <c r="C13071" t="n">
        <v>0.91</v>
      </c>
    </row>
    <row r="13072">
      <c r="A13072" s="28" t="n">
        <v>38026</v>
      </c>
      <c r="B13072" t="n">
        <v>4.09</v>
      </c>
      <c r="C13072" t="n">
        <v>0.93</v>
      </c>
    </row>
    <row r="13073">
      <c r="A13073" s="28" t="n">
        <v>38027</v>
      </c>
      <c r="B13073" t="n">
        <v>4.13</v>
      </c>
      <c r="C13073" t="n">
        <v>0.93</v>
      </c>
    </row>
    <row r="13074">
      <c r="A13074" s="28" t="n">
        <v>38028</v>
      </c>
      <c r="B13074" t="n">
        <v>4.05</v>
      </c>
      <c r="C13074" t="n">
        <v>0.91</v>
      </c>
    </row>
    <row r="13075">
      <c r="A13075" s="28" t="n">
        <v>38029</v>
      </c>
      <c r="B13075" t="n">
        <v>4.1</v>
      </c>
      <c r="C13075" t="n">
        <v>0.91</v>
      </c>
    </row>
    <row r="13076">
      <c r="A13076" s="28" t="n">
        <v>38030</v>
      </c>
      <c r="B13076" t="n">
        <v>4.05</v>
      </c>
      <c r="C13076" t="n">
        <v>0.9</v>
      </c>
    </row>
    <row r="13077">
      <c r="A13077" s="28" t="n">
        <v>38033</v>
      </c>
      <c r="B13077" t="n">
        <v>0</v>
      </c>
      <c r="C13077" t="n">
        <v>0</v>
      </c>
    </row>
    <row r="13078">
      <c r="A13078" s="28" t="n">
        <v>38034</v>
      </c>
      <c r="B13078" t="n">
        <v>4.05</v>
      </c>
      <c r="C13078" t="n">
        <v>0.93</v>
      </c>
    </row>
    <row r="13079">
      <c r="A13079" s="28" t="n">
        <v>38035</v>
      </c>
      <c r="B13079" t="n">
        <v>4.05</v>
      </c>
      <c r="C13079" t="n">
        <v>0.92</v>
      </c>
    </row>
    <row r="13080">
      <c r="A13080" s="28" t="n">
        <v>38036</v>
      </c>
      <c r="B13080" t="n">
        <v>4.05</v>
      </c>
      <c r="C13080" t="n">
        <v>0.92</v>
      </c>
    </row>
    <row r="13081">
      <c r="A13081" s="28" t="n">
        <v>38037</v>
      </c>
      <c r="B13081" t="n">
        <v>4.1</v>
      </c>
      <c r="C13081" t="n">
        <v>0.92</v>
      </c>
    </row>
    <row r="13082">
      <c r="A13082" s="28" t="n">
        <v>38040</v>
      </c>
      <c r="B13082" t="n">
        <v>4.05</v>
      </c>
      <c r="C13082" t="n">
        <v>0.95</v>
      </c>
    </row>
    <row r="13083">
      <c r="A13083" s="28" t="n">
        <v>38041</v>
      </c>
      <c r="B13083" t="n">
        <v>4.04</v>
      </c>
      <c r="C13083" t="n">
        <v>0.95</v>
      </c>
    </row>
    <row r="13084">
      <c r="A13084" s="28" t="n">
        <v>38042</v>
      </c>
      <c r="B13084" t="n">
        <v>4.02</v>
      </c>
      <c r="C13084" t="n">
        <v>0.9399999999999999</v>
      </c>
    </row>
    <row r="13085">
      <c r="A13085" s="28" t="n">
        <v>38043</v>
      </c>
      <c r="B13085" t="n">
        <v>4.05</v>
      </c>
      <c r="C13085" t="n">
        <v>0.9399999999999999</v>
      </c>
    </row>
    <row r="13086">
      <c r="A13086" s="28" t="n">
        <v>38044</v>
      </c>
      <c r="B13086" t="n">
        <v>3.99</v>
      </c>
      <c r="C13086" t="n">
        <v>0.9399999999999999</v>
      </c>
    </row>
    <row r="13087">
      <c r="A13087" s="28" t="n">
        <v>38047</v>
      </c>
      <c r="B13087" t="n">
        <v>4</v>
      </c>
      <c r="C13087" t="n">
        <v>0.95</v>
      </c>
    </row>
    <row r="13088">
      <c r="A13088" s="28" t="n">
        <v>38048</v>
      </c>
      <c r="B13088" t="n">
        <v>4.05</v>
      </c>
      <c r="C13088" t="n">
        <v>0.95</v>
      </c>
    </row>
    <row r="13089">
      <c r="A13089" s="28" t="n">
        <v>38049</v>
      </c>
      <c r="B13089" t="n">
        <v>4.07</v>
      </c>
      <c r="C13089" t="n">
        <v>0.95</v>
      </c>
    </row>
    <row r="13090">
      <c r="A13090" s="28" t="n">
        <v>38050</v>
      </c>
      <c r="B13090" t="n">
        <v>4.04</v>
      </c>
      <c r="C13090" t="n">
        <v>0.9399999999999999</v>
      </c>
    </row>
    <row r="13091">
      <c r="A13091" s="28" t="n">
        <v>38051</v>
      </c>
      <c r="B13091" t="n">
        <v>3.85</v>
      </c>
      <c r="C13091" t="n">
        <v>0.93</v>
      </c>
    </row>
    <row r="13092">
      <c r="A13092" s="28" t="n">
        <v>38054</v>
      </c>
      <c r="B13092" t="n">
        <v>3.78</v>
      </c>
      <c r="C13092" t="n">
        <v>0.95</v>
      </c>
    </row>
    <row r="13093">
      <c r="A13093" s="28" t="n">
        <v>38055</v>
      </c>
      <c r="B13093" t="n">
        <v>3.73</v>
      </c>
      <c r="C13093" t="n">
        <v>0.9399999999999999</v>
      </c>
    </row>
    <row r="13094">
      <c r="A13094" s="28" t="n">
        <v>38056</v>
      </c>
      <c r="B13094" t="n">
        <v>3.74</v>
      </c>
      <c r="C13094" t="n">
        <v>0.9399999999999999</v>
      </c>
    </row>
    <row r="13095">
      <c r="A13095" s="28" t="n">
        <v>38057</v>
      </c>
      <c r="B13095" t="n">
        <v>3.74</v>
      </c>
      <c r="C13095" t="n">
        <v>0.95</v>
      </c>
    </row>
    <row r="13096">
      <c r="A13096" s="28" t="n">
        <v>38058</v>
      </c>
      <c r="B13096" t="n">
        <v>3.78</v>
      </c>
      <c r="C13096" t="n">
        <v>0.9399999999999999</v>
      </c>
    </row>
    <row r="13097">
      <c r="A13097" s="28" t="n">
        <v>38061</v>
      </c>
      <c r="B13097" t="n">
        <v>3.78</v>
      </c>
      <c r="C13097" t="n">
        <v>0.95</v>
      </c>
    </row>
    <row r="13098">
      <c r="A13098" s="28" t="n">
        <v>38062</v>
      </c>
      <c r="B13098" t="n">
        <v>3.7</v>
      </c>
      <c r="C13098" t="n">
        <v>0.9399999999999999</v>
      </c>
    </row>
    <row r="13099">
      <c r="A13099" s="28" t="n">
        <v>38063</v>
      </c>
      <c r="B13099" t="n">
        <v>3.71</v>
      </c>
      <c r="C13099" t="n">
        <v>0.92</v>
      </c>
    </row>
    <row r="13100">
      <c r="A13100" s="28" t="n">
        <v>38064</v>
      </c>
      <c r="B13100" t="n">
        <v>3.76</v>
      </c>
      <c r="C13100" t="n">
        <v>0.92</v>
      </c>
    </row>
    <row r="13101">
      <c r="A13101" s="28" t="n">
        <v>38065</v>
      </c>
      <c r="B13101" t="n">
        <v>3.8</v>
      </c>
      <c r="C13101" t="n">
        <v>0.92</v>
      </c>
    </row>
    <row r="13102">
      <c r="A13102" s="28" t="n">
        <v>38068</v>
      </c>
      <c r="B13102" t="n">
        <v>3.74</v>
      </c>
      <c r="C13102" t="n">
        <v>0.9399999999999999</v>
      </c>
    </row>
    <row r="13103">
      <c r="A13103" s="28" t="n">
        <v>38069</v>
      </c>
      <c r="B13103" t="n">
        <v>3.73</v>
      </c>
      <c r="C13103" t="n">
        <v>0.93</v>
      </c>
    </row>
    <row r="13104">
      <c r="A13104" s="28" t="n">
        <v>38070</v>
      </c>
      <c r="B13104" t="n">
        <v>3.73</v>
      </c>
      <c r="C13104" t="n">
        <v>0.92</v>
      </c>
    </row>
    <row r="13105">
      <c r="A13105" s="28" t="n">
        <v>38071</v>
      </c>
      <c r="B13105" t="n">
        <v>3.75</v>
      </c>
      <c r="C13105" t="n">
        <v>0.92</v>
      </c>
    </row>
    <row r="13106">
      <c r="A13106" s="28" t="n">
        <v>38072</v>
      </c>
      <c r="B13106" t="n">
        <v>3.85</v>
      </c>
      <c r="C13106" t="n">
        <v>0.93</v>
      </c>
    </row>
    <row r="13107">
      <c r="A13107" s="28" t="n">
        <v>38075</v>
      </c>
      <c r="B13107" t="n">
        <v>3.91</v>
      </c>
      <c r="C13107" t="n">
        <v>0.95</v>
      </c>
    </row>
    <row r="13108">
      <c r="A13108" s="28" t="n">
        <v>38076</v>
      </c>
      <c r="B13108" t="n">
        <v>3.91</v>
      </c>
      <c r="C13108" t="n">
        <v>0.9399999999999999</v>
      </c>
    </row>
    <row r="13109">
      <c r="A13109" s="28" t="n">
        <v>38077</v>
      </c>
      <c r="B13109" t="n">
        <v>3.86</v>
      </c>
      <c r="C13109" t="n">
        <v>0.93</v>
      </c>
    </row>
    <row r="13110">
      <c r="A13110" s="28" t="n">
        <v>38078</v>
      </c>
      <c r="B13110" t="n">
        <v>3.91</v>
      </c>
      <c r="C13110" t="n">
        <v>0.92</v>
      </c>
    </row>
    <row r="13111">
      <c r="A13111" s="28" t="n">
        <v>38079</v>
      </c>
      <c r="B13111" t="n">
        <v>4.15</v>
      </c>
      <c r="C13111" t="n">
        <v>0.93</v>
      </c>
    </row>
    <row r="13112">
      <c r="A13112" s="28" t="n">
        <v>38082</v>
      </c>
      <c r="B13112" t="n">
        <v>4.24</v>
      </c>
      <c r="C13112" t="n">
        <v>0.93</v>
      </c>
    </row>
    <row r="13113">
      <c r="A13113" s="28" t="n">
        <v>38083</v>
      </c>
      <c r="B13113" t="n">
        <v>4.19</v>
      </c>
      <c r="C13113" t="n">
        <v>0.92</v>
      </c>
    </row>
    <row r="13114">
      <c r="A13114" s="28" t="n">
        <v>38084</v>
      </c>
      <c r="B13114" t="n">
        <v>4.19</v>
      </c>
      <c r="C13114" t="n">
        <v>0.93</v>
      </c>
    </row>
    <row r="13115">
      <c r="A13115" s="28" t="n">
        <v>38085</v>
      </c>
      <c r="B13115" t="n">
        <v>4.21</v>
      </c>
      <c r="C13115" t="n">
        <v>0.92</v>
      </c>
    </row>
    <row r="13116">
      <c r="A13116" s="28" t="n">
        <v>38086</v>
      </c>
      <c r="B13116" t="n">
        <v>0</v>
      </c>
      <c r="C13116" t="n">
        <v>0</v>
      </c>
    </row>
    <row r="13117">
      <c r="A13117" s="28" t="n">
        <v>38089</v>
      </c>
      <c r="B13117" t="n">
        <v>4.25</v>
      </c>
      <c r="C13117" t="n">
        <v>0.93</v>
      </c>
    </row>
    <row r="13118">
      <c r="A13118" s="28" t="n">
        <v>38090</v>
      </c>
      <c r="B13118" t="n">
        <v>4.35</v>
      </c>
      <c r="C13118" t="n">
        <v>0.93</v>
      </c>
    </row>
    <row r="13119">
      <c r="A13119" s="28" t="n">
        <v>38091</v>
      </c>
      <c r="B13119" t="n">
        <v>4.4</v>
      </c>
      <c r="C13119" t="n">
        <v>0.9399999999999999</v>
      </c>
    </row>
    <row r="13120">
      <c r="A13120" s="28" t="n">
        <v>38092</v>
      </c>
      <c r="B13120" t="n">
        <v>4.42</v>
      </c>
      <c r="C13120" t="n">
        <v>0.93</v>
      </c>
    </row>
    <row r="13121">
      <c r="A13121" s="28" t="n">
        <v>38093</v>
      </c>
      <c r="B13121" t="n">
        <v>4.37</v>
      </c>
      <c r="C13121" t="n">
        <v>0.92</v>
      </c>
    </row>
    <row r="13122">
      <c r="A13122" s="28" t="n">
        <v>38096</v>
      </c>
      <c r="B13122" t="n">
        <v>4.39</v>
      </c>
      <c r="C13122" t="n">
        <v>0.95</v>
      </c>
    </row>
    <row r="13123">
      <c r="A13123" s="28" t="n">
        <v>38097</v>
      </c>
      <c r="B13123" t="n">
        <v>4.43</v>
      </c>
      <c r="C13123" t="n">
        <v>0.96</v>
      </c>
    </row>
    <row r="13124">
      <c r="A13124" s="28" t="n">
        <v>38098</v>
      </c>
      <c r="B13124" t="n">
        <v>4.45</v>
      </c>
      <c r="C13124" t="n">
        <v>0.98</v>
      </c>
    </row>
    <row r="13125">
      <c r="A13125" s="28" t="n">
        <v>38099</v>
      </c>
      <c r="B13125" t="n">
        <v>4.4</v>
      </c>
      <c r="C13125" t="n">
        <v>0.95</v>
      </c>
    </row>
    <row r="13126">
      <c r="A13126" s="28" t="n">
        <v>38100</v>
      </c>
      <c r="B13126" t="n">
        <v>4.48</v>
      </c>
      <c r="C13126" t="n">
        <v>0.96</v>
      </c>
    </row>
    <row r="13127">
      <c r="A13127" s="28" t="n">
        <v>38103</v>
      </c>
      <c r="B13127" t="n">
        <v>4.46</v>
      </c>
      <c r="C13127" t="n">
        <v>0.98</v>
      </c>
    </row>
    <row r="13128">
      <c r="A13128" s="28" t="n">
        <v>38104</v>
      </c>
      <c r="B13128" t="n">
        <v>4.43</v>
      </c>
      <c r="C13128" t="n">
        <v>0.97</v>
      </c>
    </row>
    <row r="13129">
      <c r="A13129" s="28" t="n">
        <v>38105</v>
      </c>
      <c r="B13129" t="n">
        <v>4.5</v>
      </c>
      <c r="C13129" t="n">
        <v>0.96</v>
      </c>
    </row>
    <row r="13130">
      <c r="A13130" s="28" t="n">
        <v>38106</v>
      </c>
      <c r="B13130" t="n">
        <v>4.55</v>
      </c>
      <c r="C13130" t="n">
        <v>0.95</v>
      </c>
    </row>
    <row r="13131">
      <c r="A13131" s="28" t="n">
        <v>38107</v>
      </c>
      <c r="B13131" t="n">
        <v>4.53</v>
      </c>
      <c r="C13131" t="n">
        <v>0.96</v>
      </c>
    </row>
    <row r="13132">
      <c r="A13132" s="28" t="n">
        <v>38110</v>
      </c>
      <c r="B13132" t="n">
        <v>4.53</v>
      </c>
      <c r="C13132" t="n">
        <v>0.99</v>
      </c>
    </row>
    <row r="13133">
      <c r="A13133" s="28" t="n">
        <v>38111</v>
      </c>
      <c r="B13133" t="n">
        <v>4.56</v>
      </c>
      <c r="C13133" t="n">
        <v>0.99</v>
      </c>
    </row>
    <row r="13134">
      <c r="A13134" s="28" t="n">
        <v>38112</v>
      </c>
      <c r="B13134" t="n">
        <v>4.61</v>
      </c>
      <c r="C13134" t="n">
        <v>0.97</v>
      </c>
    </row>
    <row r="13135">
      <c r="A13135" s="28" t="n">
        <v>38113</v>
      </c>
      <c r="B13135" t="n">
        <v>4.63</v>
      </c>
      <c r="C13135" t="n">
        <v>0.98</v>
      </c>
    </row>
    <row r="13136">
      <c r="A13136" s="28" t="n">
        <v>38114</v>
      </c>
      <c r="B13136" t="n">
        <v>4.79</v>
      </c>
      <c r="C13136" t="n">
        <v>1.05</v>
      </c>
    </row>
    <row r="13137">
      <c r="A13137" s="28" t="n">
        <v>38117</v>
      </c>
      <c r="B13137" t="n">
        <v>4.81</v>
      </c>
      <c r="C13137" t="n">
        <v>1.07</v>
      </c>
    </row>
    <row r="13138">
      <c r="A13138" s="28" t="n">
        <v>38118</v>
      </c>
      <c r="B13138" t="n">
        <v>4.79</v>
      </c>
      <c r="C13138" t="n">
        <v>1.04</v>
      </c>
    </row>
    <row r="13139">
      <c r="A13139" s="28" t="n">
        <v>38119</v>
      </c>
      <c r="B13139" t="n">
        <v>4.83</v>
      </c>
      <c r="C13139" t="n">
        <v>1.02</v>
      </c>
    </row>
    <row r="13140">
      <c r="A13140" s="28" t="n">
        <v>38120</v>
      </c>
      <c r="B13140" t="n">
        <v>4.85</v>
      </c>
      <c r="C13140" t="n">
        <v>0.98</v>
      </c>
    </row>
    <row r="13141">
      <c r="A13141" s="28" t="n">
        <v>38121</v>
      </c>
      <c r="B13141" t="n">
        <v>4.79</v>
      </c>
      <c r="C13141" t="n">
        <v>0.97</v>
      </c>
    </row>
    <row r="13142">
      <c r="A13142" s="28" t="n">
        <v>38124</v>
      </c>
      <c r="B13142" t="n">
        <v>4.7</v>
      </c>
      <c r="C13142" t="n">
        <v>1.05</v>
      </c>
    </row>
    <row r="13143">
      <c r="A13143" s="28" t="n">
        <v>38125</v>
      </c>
      <c r="B13143" t="n">
        <v>4.74</v>
      </c>
      <c r="C13143" t="n">
        <v>1.04</v>
      </c>
    </row>
    <row r="13144">
      <c r="A13144" s="28" t="n">
        <v>38126</v>
      </c>
      <c r="B13144" t="n">
        <v>4.79</v>
      </c>
      <c r="C13144" t="n">
        <v>1.02</v>
      </c>
    </row>
    <row r="13145">
      <c r="A13145" s="28" t="n">
        <v>38127</v>
      </c>
      <c r="B13145" t="n">
        <v>4.72</v>
      </c>
      <c r="C13145" t="n">
        <v>1.01</v>
      </c>
    </row>
    <row r="13146">
      <c r="A13146" s="28" t="n">
        <v>38128</v>
      </c>
      <c r="B13146" t="n">
        <v>4.76</v>
      </c>
      <c r="C13146" t="n">
        <v>1.01</v>
      </c>
    </row>
    <row r="13147">
      <c r="A13147" s="28" t="n">
        <v>38131</v>
      </c>
      <c r="B13147" t="n">
        <v>4.75</v>
      </c>
      <c r="C13147" t="n">
        <v>1.06</v>
      </c>
    </row>
    <row r="13148">
      <c r="A13148" s="28" t="n">
        <v>38132</v>
      </c>
      <c r="B13148" t="n">
        <v>4.73</v>
      </c>
      <c r="C13148" t="n">
        <v>1.06</v>
      </c>
    </row>
    <row r="13149">
      <c r="A13149" s="28" t="n">
        <v>38133</v>
      </c>
      <c r="B13149" t="n">
        <v>4.67</v>
      </c>
      <c r="C13149" t="n">
        <v>1.06</v>
      </c>
    </row>
    <row r="13150">
      <c r="A13150" s="28" t="n">
        <v>38134</v>
      </c>
      <c r="B13150" t="n">
        <v>4.6</v>
      </c>
      <c r="C13150" t="n">
        <v>1.04</v>
      </c>
    </row>
    <row r="13151">
      <c r="A13151" s="28" t="n">
        <v>38135</v>
      </c>
      <c r="B13151" t="n">
        <v>4.66</v>
      </c>
      <c r="C13151" t="n">
        <v>1.06</v>
      </c>
    </row>
    <row r="13152">
      <c r="A13152" s="28" t="n">
        <v>38138</v>
      </c>
      <c r="B13152" t="n">
        <v>0</v>
      </c>
      <c r="C13152" t="n">
        <v>0</v>
      </c>
    </row>
    <row r="13153">
      <c r="A13153" s="28" t="n">
        <v>38139</v>
      </c>
      <c r="B13153" t="n">
        <v>4.71</v>
      </c>
      <c r="C13153" t="n">
        <v>1.15</v>
      </c>
    </row>
    <row r="13154">
      <c r="A13154" s="28" t="n">
        <v>38140</v>
      </c>
      <c r="B13154" t="n">
        <v>4.74</v>
      </c>
      <c r="C13154" t="n">
        <v>1.15</v>
      </c>
    </row>
    <row r="13155">
      <c r="A13155" s="28" t="n">
        <v>38141</v>
      </c>
      <c r="B13155" t="n">
        <v>4.71</v>
      </c>
      <c r="C13155" t="n">
        <v>1.15</v>
      </c>
    </row>
    <row r="13156">
      <c r="A13156" s="28" t="n">
        <v>38142</v>
      </c>
      <c r="B13156" t="n">
        <v>4.78</v>
      </c>
      <c r="C13156" t="n">
        <v>1.18</v>
      </c>
    </row>
    <row r="13157">
      <c r="A13157" s="28" t="n">
        <v>38145</v>
      </c>
      <c r="B13157" t="n">
        <v>4.78</v>
      </c>
      <c r="C13157" t="n">
        <v>1.23</v>
      </c>
    </row>
    <row r="13158">
      <c r="A13158" s="28" t="n">
        <v>38146</v>
      </c>
      <c r="B13158" t="n">
        <v>4.78</v>
      </c>
      <c r="C13158" t="n">
        <v>1.25</v>
      </c>
    </row>
    <row r="13159">
      <c r="A13159" s="28" t="n">
        <v>38147</v>
      </c>
      <c r="B13159" t="n">
        <v>4.82</v>
      </c>
      <c r="C13159" t="n">
        <v>1.25</v>
      </c>
    </row>
    <row r="13160">
      <c r="A13160" s="28" t="n">
        <v>38148</v>
      </c>
      <c r="B13160" t="n">
        <v>4.81</v>
      </c>
      <c r="C13160" t="n">
        <v>1.27</v>
      </c>
    </row>
    <row r="13161">
      <c r="A13161" s="28" t="n">
        <v>38149</v>
      </c>
      <c r="B13161" t="n">
        <v>0</v>
      </c>
      <c r="C13161" t="n">
        <v>0</v>
      </c>
    </row>
    <row r="13162">
      <c r="A13162" s="28" t="n">
        <v>38152</v>
      </c>
      <c r="B13162" t="n">
        <v>4.89</v>
      </c>
      <c r="C13162" t="n">
        <v>1.4</v>
      </c>
    </row>
    <row r="13163">
      <c r="A13163" s="28" t="n">
        <v>38153</v>
      </c>
      <c r="B13163" t="n">
        <v>4.69</v>
      </c>
      <c r="C13163" t="n">
        <v>1.32</v>
      </c>
    </row>
    <row r="13164">
      <c r="A13164" s="28" t="n">
        <v>38154</v>
      </c>
      <c r="B13164" t="n">
        <v>4.74</v>
      </c>
      <c r="C13164" t="n">
        <v>1.28</v>
      </c>
    </row>
    <row r="13165">
      <c r="A13165" s="28" t="n">
        <v>38155</v>
      </c>
      <c r="B13165" t="n">
        <v>4.71</v>
      </c>
      <c r="C13165" t="n">
        <v>1.25</v>
      </c>
    </row>
    <row r="13166">
      <c r="A13166" s="28" t="n">
        <v>38156</v>
      </c>
      <c r="B13166" t="n">
        <v>4.72</v>
      </c>
      <c r="C13166" t="n">
        <v>1.26</v>
      </c>
    </row>
    <row r="13167">
      <c r="A13167" s="28" t="n">
        <v>38159</v>
      </c>
      <c r="B13167" t="n">
        <v>4.7</v>
      </c>
      <c r="C13167" t="n">
        <v>1.32</v>
      </c>
    </row>
    <row r="13168">
      <c r="A13168" s="28" t="n">
        <v>38160</v>
      </c>
      <c r="B13168" t="n">
        <v>4.72</v>
      </c>
      <c r="C13168" t="n">
        <v>1.3</v>
      </c>
    </row>
    <row r="13169">
      <c r="A13169" s="28" t="n">
        <v>38161</v>
      </c>
      <c r="B13169" t="n">
        <v>4.71</v>
      </c>
      <c r="C13169" t="n">
        <v>1.27</v>
      </c>
    </row>
    <row r="13170">
      <c r="A13170" s="28" t="n">
        <v>38162</v>
      </c>
      <c r="B13170" t="n">
        <v>4.66</v>
      </c>
      <c r="C13170" t="n">
        <v>1.26</v>
      </c>
    </row>
    <row r="13171">
      <c r="A13171" s="28" t="n">
        <v>38163</v>
      </c>
      <c r="B13171" t="n">
        <v>4.66</v>
      </c>
      <c r="C13171" t="n">
        <v>1.28</v>
      </c>
    </row>
    <row r="13172">
      <c r="A13172" s="28" t="n">
        <v>38166</v>
      </c>
      <c r="B13172" t="n">
        <v>4.76</v>
      </c>
      <c r="C13172" t="n">
        <v>1.36</v>
      </c>
    </row>
    <row r="13173">
      <c r="A13173" s="28" t="n">
        <v>38167</v>
      </c>
      <c r="B13173" t="n">
        <v>4.7</v>
      </c>
      <c r="C13173" t="n">
        <v>1.36</v>
      </c>
    </row>
    <row r="13174">
      <c r="A13174" s="28" t="n">
        <v>38168</v>
      </c>
      <c r="B13174" t="n">
        <v>4.62</v>
      </c>
      <c r="C13174" t="n">
        <v>1.31</v>
      </c>
    </row>
    <row r="13175">
      <c r="A13175" s="28" t="n">
        <v>38169</v>
      </c>
      <c r="B13175" t="n">
        <v>4.57</v>
      </c>
      <c r="C13175" t="n">
        <v>1.2</v>
      </c>
    </row>
    <row r="13176">
      <c r="A13176" s="28" t="n">
        <v>38170</v>
      </c>
      <c r="B13176" t="n">
        <v>4.48</v>
      </c>
      <c r="C13176" t="n">
        <v>1.27</v>
      </c>
    </row>
    <row r="13177">
      <c r="A13177" s="28" t="n">
        <v>38173</v>
      </c>
      <c r="B13177" t="n">
        <v>0</v>
      </c>
      <c r="C13177" t="n">
        <v>0</v>
      </c>
    </row>
    <row r="13178">
      <c r="A13178" s="28" t="n">
        <v>38174</v>
      </c>
      <c r="B13178" t="n">
        <v>4.49</v>
      </c>
      <c r="C13178" t="n">
        <v>1.32</v>
      </c>
    </row>
    <row r="13179">
      <c r="A13179" s="28" t="n">
        <v>38175</v>
      </c>
      <c r="B13179" t="n">
        <v>4.5</v>
      </c>
      <c r="C13179" t="n">
        <v>1.28</v>
      </c>
    </row>
    <row r="13180">
      <c r="A13180" s="28" t="n">
        <v>38176</v>
      </c>
      <c r="B13180" t="n">
        <v>4.49</v>
      </c>
      <c r="C13180" t="n">
        <v>1.25</v>
      </c>
    </row>
    <row r="13181">
      <c r="A13181" s="28" t="n">
        <v>38177</v>
      </c>
      <c r="B13181" t="n">
        <v>4.49</v>
      </c>
      <c r="C13181" t="n">
        <v>1.25</v>
      </c>
    </row>
    <row r="13182">
      <c r="A13182" s="28" t="n">
        <v>38180</v>
      </c>
      <c r="B13182" t="n">
        <v>4.46</v>
      </c>
      <c r="C13182" t="n">
        <v>1.32</v>
      </c>
    </row>
    <row r="13183">
      <c r="A13183" s="28" t="n">
        <v>38181</v>
      </c>
      <c r="B13183" t="n">
        <v>4.5</v>
      </c>
      <c r="C13183" t="n">
        <v>1.32</v>
      </c>
    </row>
    <row r="13184">
      <c r="A13184" s="28" t="n">
        <v>38182</v>
      </c>
      <c r="B13184" t="n">
        <v>4.5</v>
      </c>
      <c r="C13184" t="n">
        <v>1.32</v>
      </c>
    </row>
    <row r="13185">
      <c r="A13185" s="28" t="n">
        <v>38183</v>
      </c>
      <c r="B13185" t="n">
        <v>4.5</v>
      </c>
      <c r="C13185" t="n">
        <v>1.32</v>
      </c>
    </row>
    <row r="13186">
      <c r="A13186" s="28" t="n">
        <v>38184</v>
      </c>
      <c r="B13186" t="n">
        <v>4.38</v>
      </c>
      <c r="C13186" t="n">
        <v>1.32</v>
      </c>
    </row>
    <row r="13187">
      <c r="A13187" s="28" t="n">
        <v>38187</v>
      </c>
      <c r="B13187" t="n">
        <v>4.38</v>
      </c>
      <c r="C13187" t="n">
        <v>1.33</v>
      </c>
    </row>
    <row r="13188">
      <c r="A13188" s="28" t="n">
        <v>38188</v>
      </c>
      <c r="B13188" t="n">
        <v>4.47</v>
      </c>
      <c r="C13188" t="n">
        <v>1.34</v>
      </c>
    </row>
    <row r="13189">
      <c r="A13189" s="28" t="n">
        <v>38189</v>
      </c>
      <c r="B13189" t="n">
        <v>4.5</v>
      </c>
      <c r="C13189" t="n">
        <v>1.33</v>
      </c>
    </row>
    <row r="13190">
      <c r="A13190" s="28" t="n">
        <v>38190</v>
      </c>
      <c r="B13190" t="n">
        <v>4.48</v>
      </c>
      <c r="C13190" t="n">
        <v>1.34</v>
      </c>
    </row>
    <row r="13191">
      <c r="A13191" s="28" t="n">
        <v>38191</v>
      </c>
      <c r="B13191" t="n">
        <v>4.45</v>
      </c>
      <c r="C13191" t="n">
        <v>1.35</v>
      </c>
    </row>
    <row r="13192">
      <c r="A13192" s="28" t="n">
        <v>38194</v>
      </c>
      <c r="B13192" t="n">
        <v>4.49</v>
      </c>
      <c r="C13192" t="n">
        <v>1.43</v>
      </c>
    </row>
    <row r="13193">
      <c r="A13193" s="28" t="n">
        <v>38195</v>
      </c>
      <c r="B13193" t="n">
        <v>4.62</v>
      </c>
      <c r="C13193" t="n">
        <v>1.44</v>
      </c>
    </row>
    <row r="13194">
      <c r="A13194" s="28" t="n">
        <v>38196</v>
      </c>
      <c r="B13194" t="n">
        <v>4.61</v>
      </c>
      <c r="C13194" t="n">
        <v>1.43</v>
      </c>
    </row>
    <row r="13195">
      <c r="A13195" s="28" t="n">
        <v>38197</v>
      </c>
      <c r="B13195" t="n">
        <v>4.6</v>
      </c>
      <c r="C13195" t="n">
        <v>1.42</v>
      </c>
    </row>
    <row r="13196">
      <c r="A13196" s="28" t="n">
        <v>38198</v>
      </c>
      <c r="B13196" t="n">
        <v>4.5</v>
      </c>
      <c r="C13196" t="n">
        <v>1.42</v>
      </c>
    </row>
    <row r="13197">
      <c r="A13197" s="28" t="n">
        <v>38201</v>
      </c>
      <c r="B13197" t="n">
        <v>4.48</v>
      </c>
      <c r="C13197" t="n">
        <v>1.48</v>
      </c>
    </row>
    <row r="13198">
      <c r="A13198" s="28" t="n">
        <v>38202</v>
      </c>
      <c r="B13198" t="n">
        <v>4.45</v>
      </c>
      <c r="C13198" t="n">
        <v>1.46</v>
      </c>
    </row>
    <row r="13199">
      <c r="A13199" s="28" t="n">
        <v>38203</v>
      </c>
      <c r="B13199" t="n">
        <v>4.45</v>
      </c>
      <c r="C13199" t="n">
        <v>1.46</v>
      </c>
    </row>
    <row r="13200">
      <c r="A13200" s="28" t="n">
        <v>38204</v>
      </c>
      <c r="B13200" t="n">
        <v>4.43</v>
      </c>
      <c r="C13200" t="n">
        <v>1.45</v>
      </c>
    </row>
    <row r="13201">
      <c r="A13201" s="28" t="n">
        <v>38205</v>
      </c>
      <c r="B13201" t="n">
        <v>4.24</v>
      </c>
      <c r="C13201" t="n">
        <v>1.41</v>
      </c>
    </row>
    <row r="13202">
      <c r="A13202" s="28" t="n">
        <v>38208</v>
      </c>
      <c r="B13202" t="n">
        <v>4.28</v>
      </c>
      <c r="C13202" t="n">
        <v>1.49</v>
      </c>
    </row>
    <row r="13203">
      <c r="A13203" s="28" t="n">
        <v>38209</v>
      </c>
      <c r="B13203" t="n">
        <v>4.32</v>
      </c>
      <c r="C13203" t="n">
        <v>1.48</v>
      </c>
    </row>
    <row r="13204">
      <c r="A13204" s="28" t="n">
        <v>38210</v>
      </c>
      <c r="B13204" t="n">
        <v>4.3</v>
      </c>
      <c r="C13204" t="n">
        <v>1.42</v>
      </c>
    </row>
    <row r="13205">
      <c r="A13205" s="28" t="n">
        <v>38211</v>
      </c>
      <c r="B13205" t="n">
        <v>4.27</v>
      </c>
      <c r="C13205" t="n">
        <v>1.41</v>
      </c>
    </row>
    <row r="13206">
      <c r="A13206" s="28" t="n">
        <v>38212</v>
      </c>
      <c r="B13206" t="n">
        <v>4.22</v>
      </c>
      <c r="C13206" t="n">
        <v>1.41</v>
      </c>
    </row>
    <row r="13207">
      <c r="A13207" s="28" t="n">
        <v>38215</v>
      </c>
      <c r="B13207" t="n">
        <v>4.26</v>
      </c>
      <c r="C13207" t="n">
        <v>1.47</v>
      </c>
    </row>
    <row r="13208">
      <c r="A13208" s="28" t="n">
        <v>38216</v>
      </c>
      <c r="B13208" t="n">
        <v>4.21</v>
      </c>
      <c r="C13208" t="n">
        <v>1.46</v>
      </c>
    </row>
    <row r="13209">
      <c r="A13209" s="28" t="n">
        <v>38217</v>
      </c>
      <c r="B13209" t="n">
        <v>4.23</v>
      </c>
      <c r="C13209" t="n">
        <v>1.46</v>
      </c>
    </row>
    <row r="13210">
      <c r="A13210" s="28" t="n">
        <v>38218</v>
      </c>
      <c r="B13210" t="n">
        <v>4.22</v>
      </c>
      <c r="C13210" t="n">
        <v>1.45</v>
      </c>
    </row>
    <row r="13211">
      <c r="A13211" s="28" t="n">
        <v>38219</v>
      </c>
      <c r="B13211" t="n">
        <v>4.24</v>
      </c>
      <c r="C13211" t="n">
        <v>1.46</v>
      </c>
    </row>
    <row r="13212">
      <c r="A13212" s="28" t="n">
        <v>38222</v>
      </c>
      <c r="B13212" t="n">
        <v>4.28</v>
      </c>
      <c r="C13212" t="n">
        <v>1.52</v>
      </c>
    </row>
    <row r="13213">
      <c r="A13213" s="28" t="n">
        <v>38223</v>
      </c>
      <c r="B13213" t="n">
        <v>4.28</v>
      </c>
      <c r="C13213" t="n">
        <v>1.52</v>
      </c>
    </row>
    <row r="13214">
      <c r="A13214" s="28" t="n">
        <v>38224</v>
      </c>
      <c r="B13214" t="n">
        <v>4.26</v>
      </c>
      <c r="C13214" t="n">
        <v>1.52</v>
      </c>
    </row>
    <row r="13215">
      <c r="A13215" s="28" t="n">
        <v>38225</v>
      </c>
      <c r="B13215" t="n">
        <v>4.22</v>
      </c>
      <c r="C13215" t="n">
        <v>1.52</v>
      </c>
    </row>
    <row r="13216">
      <c r="A13216" s="28" t="n">
        <v>38226</v>
      </c>
      <c r="B13216" t="n">
        <v>4.23</v>
      </c>
      <c r="C13216" t="n">
        <v>1.53</v>
      </c>
    </row>
    <row r="13217">
      <c r="A13217" s="28" t="n">
        <v>38229</v>
      </c>
      <c r="B13217" t="n">
        <v>4.19</v>
      </c>
      <c r="C13217" t="n">
        <v>1.59</v>
      </c>
    </row>
    <row r="13218">
      <c r="A13218" s="28" t="n">
        <v>38230</v>
      </c>
      <c r="B13218" t="n">
        <v>4.13</v>
      </c>
      <c r="C13218" t="n">
        <v>1.57</v>
      </c>
    </row>
    <row r="13219">
      <c r="A13219" s="28" t="n">
        <v>38231</v>
      </c>
      <c r="B13219" t="n">
        <v>4.13</v>
      </c>
      <c r="C13219" t="n">
        <v>1.55</v>
      </c>
    </row>
    <row r="13220">
      <c r="A13220" s="28" t="n">
        <v>38232</v>
      </c>
      <c r="B13220" t="n">
        <v>4.2</v>
      </c>
      <c r="C13220" t="n">
        <v>1.57</v>
      </c>
    </row>
    <row r="13221">
      <c r="A13221" s="28" t="n">
        <v>38233</v>
      </c>
      <c r="B13221" t="n">
        <v>4.3</v>
      </c>
      <c r="C13221" t="n">
        <v>1.62</v>
      </c>
    </row>
    <row r="13222">
      <c r="A13222" s="28" t="n">
        <v>38236</v>
      </c>
      <c r="B13222" t="n">
        <v>0</v>
      </c>
      <c r="C13222" t="n">
        <v>0</v>
      </c>
    </row>
    <row r="13223">
      <c r="A13223" s="28" t="n">
        <v>38237</v>
      </c>
      <c r="B13223" t="n">
        <v>4.26</v>
      </c>
      <c r="C13223" t="n">
        <v>1.64</v>
      </c>
    </row>
    <row r="13224">
      <c r="A13224" s="28" t="n">
        <v>38238</v>
      </c>
      <c r="B13224" t="n">
        <v>4.18</v>
      </c>
      <c r="C13224" t="n">
        <v>1.62</v>
      </c>
    </row>
    <row r="13225">
      <c r="A13225" s="28" t="n">
        <v>38239</v>
      </c>
      <c r="B13225" t="n">
        <v>4.22</v>
      </c>
      <c r="C13225" t="n">
        <v>1.61</v>
      </c>
    </row>
    <row r="13226">
      <c r="A13226" s="28" t="n">
        <v>38240</v>
      </c>
      <c r="B13226" t="n">
        <v>4.19</v>
      </c>
      <c r="C13226" t="n">
        <v>1.63</v>
      </c>
    </row>
    <row r="13227">
      <c r="A13227" s="28" t="n">
        <v>38243</v>
      </c>
      <c r="B13227" t="n">
        <v>4.16</v>
      </c>
      <c r="C13227" t="n">
        <v>1.64</v>
      </c>
    </row>
    <row r="13228">
      <c r="A13228" s="28" t="n">
        <v>38244</v>
      </c>
      <c r="B13228" t="n">
        <v>4.15</v>
      </c>
      <c r="C13228" t="n">
        <v>1.63</v>
      </c>
    </row>
    <row r="13229">
      <c r="A13229" s="28" t="n">
        <v>38245</v>
      </c>
      <c r="B13229" t="n">
        <v>4.18</v>
      </c>
      <c r="C13229" t="n">
        <v>1.64</v>
      </c>
    </row>
    <row r="13230">
      <c r="A13230" s="28" t="n">
        <v>38246</v>
      </c>
      <c r="B13230" t="n">
        <v>4.08</v>
      </c>
      <c r="C13230" t="n">
        <v>1.64</v>
      </c>
    </row>
    <row r="13231">
      <c r="A13231" s="28" t="n">
        <v>38247</v>
      </c>
      <c r="B13231" t="n">
        <v>4.14</v>
      </c>
      <c r="C13231" t="n">
        <v>1.68</v>
      </c>
    </row>
    <row r="13232">
      <c r="A13232" s="28" t="n">
        <v>38250</v>
      </c>
      <c r="B13232" t="n">
        <v>4.07</v>
      </c>
      <c r="C13232" t="n">
        <v>1.7</v>
      </c>
    </row>
    <row r="13233">
      <c r="A13233" s="28" t="n">
        <v>38251</v>
      </c>
      <c r="B13233" t="n">
        <v>4.05</v>
      </c>
      <c r="C13233" t="n">
        <v>1.69</v>
      </c>
    </row>
    <row r="13234">
      <c r="A13234" s="28" t="n">
        <v>38252</v>
      </c>
      <c r="B13234" t="n">
        <v>4</v>
      </c>
      <c r="C13234" t="n">
        <v>1.68</v>
      </c>
    </row>
    <row r="13235">
      <c r="A13235" s="28" t="n">
        <v>38253</v>
      </c>
      <c r="B13235" t="n">
        <v>4.02</v>
      </c>
      <c r="C13235" t="n">
        <v>1.69</v>
      </c>
    </row>
    <row r="13236">
      <c r="A13236" s="28" t="n">
        <v>38254</v>
      </c>
      <c r="B13236" t="n">
        <v>4.04</v>
      </c>
      <c r="C13236" t="n">
        <v>1.7</v>
      </c>
    </row>
    <row r="13237">
      <c r="A13237" s="28" t="n">
        <v>38257</v>
      </c>
      <c r="B13237" t="n">
        <v>4.01</v>
      </c>
      <c r="C13237" t="n">
        <v>1.72</v>
      </c>
    </row>
    <row r="13238">
      <c r="A13238" s="28" t="n">
        <v>38258</v>
      </c>
      <c r="B13238" t="n">
        <v>4.02</v>
      </c>
      <c r="C13238" t="n">
        <v>1.69</v>
      </c>
    </row>
    <row r="13239">
      <c r="A13239" s="28" t="n">
        <v>38259</v>
      </c>
      <c r="B13239" t="n">
        <v>4.1</v>
      </c>
      <c r="C13239" t="n">
        <v>1.69</v>
      </c>
    </row>
    <row r="13240">
      <c r="A13240" s="28" t="n">
        <v>38260</v>
      </c>
      <c r="B13240" t="n">
        <v>4.14</v>
      </c>
      <c r="C13240" t="n">
        <v>1.68</v>
      </c>
    </row>
    <row r="13241">
      <c r="A13241" s="28" t="n">
        <v>38261</v>
      </c>
      <c r="B13241" t="n">
        <v>4.21</v>
      </c>
      <c r="C13241" t="n">
        <v>1.67</v>
      </c>
    </row>
    <row r="13242">
      <c r="A13242" s="28" t="n">
        <v>38264</v>
      </c>
      <c r="B13242" t="n">
        <v>4.19</v>
      </c>
      <c r="C13242" t="n">
        <v>1.69</v>
      </c>
    </row>
    <row r="13243">
      <c r="A13243" s="28" t="n">
        <v>38265</v>
      </c>
      <c r="B13243" t="n">
        <v>4.18</v>
      </c>
      <c r="C13243" t="n">
        <v>1.68</v>
      </c>
    </row>
    <row r="13244">
      <c r="A13244" s="28" t="n">
        <v>38266</v>
      </c>
      <c r="B13244" t="n">
        <v>4.23</v>
      </c>
      <c r="C13244" t="n">
        <v>1.68</v>
      </c>
    </row>
    <row r="13245">
      <c r="A13245" s="28" t="n">
        <v>38267</v>
      </c>
      <c r="B13245" t="n">
        <v>4.26</v>
      </c>
      <c r="C13245" t="n">
        <v>1.67</v>
      </c>
    </row>
    <row r="13246">
      <c r="A13246" s="28" t="n">
        <v>38268</v>
      </c>
      <c r="B13246" t="n">
        <v>4.15</v>
      </c>
      <c r="C13246" t="n">
        <v>1.67</v>
      </c>
    </row>
    <row r="13247">
      <c r="A13247" s="28" t="n">
        <v>38271</v>
      </c>
      <c r="B13247" t="n">
        <v>0</v>
      </c>
      <c r="C13247" t="n">
        <v>0</v>
      </c>
    </row>
    <row r="13248">
      <c r="A13248" s="28" t="n">
        <v>38272</v>
      </c>
      <c r="B13248" t="n">
        <v>4.12</v>
      </c>
      <c r="C13248" t="n">
        <v>1.69</v>
      </c>
    </row>
    <row r="13249">
      <c r="A13249" s="28" t="n">
        <v>38273</v>
      </c>
      <c r="B13249" t="n">
        <v>4.09</v>
      </c>
      <c r="C13249" t="n">
        <v>1.69</v>
      </c>
    </row>
    <row r="13250">
      <c r="A13250" s="28" t="n">
        <v>38274</v>
      </c>
      <c r="B13250" t="n">
        <v>4.03</v>
      </c>
      <c r="C13250" t="n">
        <v>1.71</v>
      </c>
    </row>
    <row r="13251">
      <c r="A13251" s="28" t="n">
        <v>38275</v>
      </c>
      <c r="B13251" t="n">
        <v>4.07</v>
      </c>
      <c r="C13251" t="n">
        <v>1.72</v>
      </c>
    </row>
    <row r="13252">
      <c r="A13252" s="28" t="n">
        <v>38278</v>
      </c>
      <c r="B13252" t="n">
        <v>4.07</v>
      </c>
      <c r="C13252" t="n">
        <v>1.78</v>
      </c>
    </row>
    <row r="13253">
      <c r="A13253" s="28" t="n">
        <v>38279</v>
      </c>
      <c r="B13253" t="n">
        <v>4.07</v>
      </c>
      <c r="C13253" t="n">
        <v>1.79</v>
      </c>
    </row>
    <row r="13254">
      <c r="A13254" s="28" t="n">
        <v>38280</v>
      </c>
      <c r="B13254" t="n">
        <v>4.01</v>
      </c>
      <c r="C13254" t="n">
        <v>1.79</v>
      </c>
    </row>
    <row r="13255">
      <c r="A13255" s="28" t="n">
        <v>38281</v>
      </c>
      <c r="B13255" t="n">
        <v>4.01</v>
      </c>
      <c r="C13255" t="n">
        <v>1.81</v>
      </c>
    </row>
    <row r="13256">
      <c r="A13256" s="28" t="n">
        <v>38282</v>
      </c>
      <c r="B13256" t="n">
        <v>4</v>
      </c>
      <c r="C13256" t="n">
        <v>1.81</v>
      </c>
    </row>
    <row r="13257">
      <c r="A13257" s="28" t="n">
        <v>38285</v>
      </c>
      <c r="B13257" t="n">
        <v>3.99</v>
      </c>
      <c r="C13257" t="n">
        <v>1.87</v>
      </c>
    </row>
    <row r="13258">
      <c r="A13258" s="28" t="n">
        <v>38286</v>
      </c>
      <c r="B13258" t="n">
        <v>4.01</v>
      </c>
      <c r="C13258" t="n">
        <v>1.88</v>
      </c>
    </row>
    <row r="13259">
      <c r="A13259" s="28" t="n">
        <v>38287</v>
      </c>
      <c r="B13259" t="n">
        <v>4.11</v>
      </c>
      <c r="C13259" t="n">
        <v>1.88</v>
      </c>
    </row>
    <row r="13260">
      <c r="A13260" s="28" t="n">
        <v>38288</v>
      </c>
      <c r="B13260" t="n">
        <v>4.09</v>
      </c>
      <c r="C13260" t="n">
        <v>1.87</v>
      </c>
    </row>
    <row r="13261">
      <c r="A13261" s="28" t="n">
        <v>38289</v>
      </c>
      <c r="B13261" t="n">
        <v>4.05</v>
      </c>
      <c r="C13261" t="n">
        <v>1.87</v>
      </c>
    </row>
    <row r="13262">
      <c r="A13262" s="28" t="n">
        <v>38292</v>
      </c>
      <c r="B13262" t="n">
        <v>4.11</v>
      </c>
      <c r="C13262" t="n">
        <v>1.96</v>
      </c>
    </row>
    <row r="13263">
      <c r="A13263" s="28" t="n">
        <v>38293</v>
      </c>
      <c r="B13263" t="n">
        <v>4.1</v>
      </c>
      <c r="C13263" t="n">
        <v>1.94</v>
      </c>
    </row>
    <row r="13264">
      <c r="A13264" s="28" t="n">
        <v>38294</v>
      </c>
      <c r="B13264" t="n">
        <v>4.09</v>
      </c>
      <c r="C13264" t="n">
        <v>1.92</v>
      </c>
    </row>
    <row r="13265">
      <c r="A13265" s="28" t="n">
        <v>38295</v>
      </c>
      <c r="B13265" t="n">
        <v>4.1</v>
      </c>
      <c r="C13265" t="n">
        <v>1.94</v>
      </c>
    </row>
    <row r="13266">
      <c r="A13266" s="28" t="n">
        <v>38296</v>
      </c>
      <c r="B13266" t="n">
        <v>4.21</v>
      </c>
      <c r="C13266" t="n">
        <v>1.99</v>
      </c>
    </row>
    <row r="13267">
      <c r="A13267" s="28" t="n">
        <v>38299</v>
      </c>
      <c r="B13267" t="n">
        <v>4.22</v>
      </c>
      <c r="C13267" t="n">
        <v>2.04</v>
      </c>
    </row>
    <row r="13268">
      <c r="A13268" s="28" t="n">
        <v>38300</v>
      </c>
      <c r="B13268" t="n">
        <v>4.22</v>
      </c>
      <c r="C13268" t="n">
        <v>2.04</v>
      </c>
    </row>
    <row r="13269">
      <c r="A13269" s="28" t="n">
        <v>38301</v>
      </c>
      <c r="B13269" t="n">
        <v>4.25</v>
      </c>
      <c r="C13269" t="n">
        <v>2.04</v>
      </c>
    </row>
    <row r="13270">
      <c r="A13270" s="28" t="n">
        <v>38302</v>
      </c>
      <c r="B13270" t="n">
        <v>0</v>
      </c>
      <c r="C13270" t="n">
        <v>0</v>
      </c>
    </row>
    <row r="13271">
      <c r="A13271" s="28" t="n">
        <v>38303</v>
      </c>
      <c r="B13271" t="n">
        <v>4.2</v>
      </c>
      <c r="C13271" t="n">
        <v>2.04</v>
      </c>
    </row>
    <row r="13272">
      <c r="A13272" s="28" t="n">
        <v>38306</v>
      </c>
      <c r="B13272" t="n">
        <v>4.2</v>
      </c>
      <c r="C13272" t="n">
        <v>2.09</v>
      </c>
    </row>
    <row r="13273">
      <c r="A13273" s="28" t="n">
        <v>38307</v>
      </c>
      <c r="B13273" t="n">
        <v>4.21</v>
      </c>
      <c r="C13273" t="n">
        <v>2.1</v>
      </c>
    </row>
    <row r="13274">
      <c r="A13274" s="28" t="n">
        <v>38308</v>
      </c>
      <c r="B13274" t="n">
        <v>4.14</v>
      </c>
      <c r="C13274" t="n">
        <v>2.09</v>
      </c>
    </row>
    <row r="13275">
      <c r="A13275" s="28" t="n">
        <v>38309</v>
      </c>
      <c r="B13275" t="n">
        <v>4.12</v>
      </c>
      <c r="C13275" t="n">
        <v>2.09</v>
      </c>
    </row>
    <row r="13276">
      <c r="A13276" s="28" t="n">
        <v>38310</v>
      </c>
      <c r="B13276" t="n">
        <v>4.2</v>
      </c>
      <c r="C13276" t="n">
        <v>2.1</v>
      </c>
    </row>
    <row r="13277">
      <c r="A13277" s="28" t="n">
        <v>38313</v>
      </c>
      <c r="B13277" t="n">
        <v>4.18</v>
      </c>
      <c r="C13277" t="n">
        <v>2.16</v>
      </c>
    </row>
    <row r="13278">
      <c r="A13278" s="28" t="n">
        <v>38314</v>
      </c>
      <c r="B13278" t="n">
        <v>4.19</v>
      </c>
      <c r="C13278" t="n">
        <v>2.15</v>
      </c>
    </row>
    <row r="13279">
      <c r="A13279" s="28" t="n">
        <v>38315</v>
      </c>
      <c r="B13279" t="n">
        <v>4.2</v>
      </c>
      <c r="C13279" t="n">
        <v>2.14</v>
      </c>
    </row>
    <row r="13280">
      <c r="A13280" s="28" t="n">
        <v>38316</v>
      </c>
      <c r="B13280" t="n">
        <v>0</v>
      </c>
      <c r="C13280" t="n">
        <v>0</v>
      </c>
    </row>
    <row r="13281">
      <c r="A13281" s="28" t="n">
        <v>38317</v>
      </c>
      <c r="B13281" t="n">
        <v>4.24</v>
      </c>
      <c r="C13281" t="n">
        <v>2.16</v>
      </c>
    </row>
    <row r="13282">
      <c r="A13282" s="28" t="n">
        <v>38320</v>
      </c>
      <c r="B13282" t="n">
        <v>4.34</v>
      </c>
      <c r="C13282" t="n">
        <v>2.2</v>
      </c>
    </row>
    <row r="13283">
      <c r="A13283" s="28" t="n">
        <v>38321</v>
      </c>
      <c r="B13283" t="n">
        <v>4.36</v>
      </c>
      <c r="C13283" t="n">
        <v>2.19</v>
      </c>
    </row>
    <row r="13284">
      <c r="A13284" s="28" t="n">
        <v>38322</v>
      </c>
      <c r="B13284" t="n">
        <v>4.38</v>
      </c>
      <c r="C13284" t="n">
        <v>2.18</v>
      </c>
    </row>
    <row r="13285">
      <c r="A13285" s="28" t="n">
        <v>38323</v>
      </c>
      <c r="B13285" t="n">
        <v>4.4</v>
      </c>
      <c r="C13285" t="n">
        <v>2.18</v>
      </c>
    </row>
    <row r="13286">
      <c r="A13286" s="28" t="n">
        <v>38324</v>
      </c>
      <c r="B13286" t="n">
        <v>4.27</v>
      </c>
      <c r="C13286" t="n">
        <v>2.17</v>
      </c>
    </row>
    <row r="13287">
      <c r="A13287" s="28" t="n">
        <v>38327</v>
      </c>
      <c r="B13287" t="n">
        <v>4.24</v>
      </c>
      <c r="C13287" t="n">
        <v>2.22</v>
      </c>
    </row>
    <row r="13288">
      <c r="A13288" s="28" t="n">
        <v>38328</v>
      </c>
      <c r="B13288" t="n">
        <v>4.23</v>
      </c>
      <c r="C13288" t="n">
        <v>2.21</v>
      </c>
    </row>
    <row r="13289">
      <c r="A13289" s="28" t="n">
        <v>38329</v>
      </c>
      <c r="B13289" t="n">
        <v>4.14</v>
      </c>
      <c r="C13289" t="n">
        <v>2.2</v>
      </c>
    </row>
    <row r="13290">
      <c r="A13290" s="28" t="n">
        <v>38330</v>
      </c>
      <c r="B13290" t="n">
        <v>4.19</v>
      </c>
      <c r="C13290" t="n">
        <v>2.2</v>
      </c>
    </row>
    <row r="13291">
      <c r="A13291" s="28" t="n">
        <v>38331</v>
      </c>
      <c r="B13291" t="n">
        <v>4.16</v>
      </c>
      <c r="C13291" t="n">
        <v>2.21</v>
      </c>
    </row>
    <row r="13292">
      <c r="A13292" s="28" t="n">
        <v>38334</v>
      </c>
      <c r="B13292" t="n">
        <v>4.16</v>
      </c>
      <c r="C13292" t="n">
        <v>2.21</v>
      </c>
    </row>
    <row r="13293">
      <c r="A13293" s="28" t="n">
        <v>38335</v>
      </c>
      <c r="B13293" t="n">
        <v>4.14</v>
      </c>
      <c r="C13293" t="n">
        <v>2.18</v>
      </c>
    </row>
    <row r="13294">
      <c r="A13294" s="28" t="n">
        <v>38336</v>
      </c>
      <c r="B13294" t="n">
        <v>4.09</v>
      </c>
      <c r="C13294" t="n">
        <v>2.17</v>
      </c>
    </row>
    <row r="13295">
      <c r="A13295" s="28" t="n">
        <v>38337</v>
      </c>
      <c r="B13295" t="n">
        <v>4.19</v>
      </c>
      <c r="C13295" t="n">
        <v>2.16</v>
      </c>
    </row>
    <row r="13296">
      <c r="A13296" s="28" t="n">
        <v>38338</v>
      </c>
      <c r="B13296" t="n">
        <v>4.21</v>
      </c>
      <c r="C13296" t="n">
        <v>2.16</v>
      </c>
    </row>
    <row r="13297">
      <c r="A13297" s="28" t="n">
        <v>38341</v>
      </c>
      <c r="B13297" t="n">
        <v>4.21</v>
      </c>
      <c r="C13297" t="n">
        <v>2.19</v>
      </c>
    </row>
    <row r="13298">
      <c r="A13298" s="28" t="n">
        <v>38342</v>
      </c>
      <c r="B13298" t="n">
        <v>4.18</v>
      </c>
      <c r="C13298" t="n">
        <v>2.17</v>
      </c>
    </row>
    <row r="13299">
      <c r="A13299" s="28" t="n">
        <v>38343</v>
      </c>
      <c r="B13299" t="n">
        <v>4.21</v>
      </c>
      <c r="C13299" t="n">
        <v>2.15</v>
      </c>
    </row>
    <row r="13300">
      <c r="A13300" s="28" t="n">
        <v>38344</v>
      </c>
      <c r="B13300" t="n">
        <v>4.23</v>
      </c>
      <c r="C13300" t="n">
        <v>2.15</v>
      </c>
    </row>
    <row r="13301">
      <c r="A13301" s="28" t="n">
        <v>38345</v>
      </c>
      <c r="B13301" t="n">
        <v>0</v>
      </c>
      <c r="C13301" t="n">
        <v>0</v>
      </c>
    </row>
    <row r="13302">
      <c r="A13302" s="28" t="n">
        <v>38348</v>
      </c>
      <c r="B13302" t="n">
        <v>4.3</v>
      </c>
      <c r="C13302" t="n">
        <v>2.24</v>
      </c>
    </row>
    <row r="13303">
      <c r="A13303" s="28" t="n">
        <v>38349</v>
      </c>
      <c r="B13303" t="n">
        <v>4.31</v>
      </c>
      <c r="C13303" t="n">
        <v>2.22</v>
      </c>
    </row>
    <row r="13304">
      <c r="A13304" s="28" t="n">
        <v>38350</v>
      </c>
      <c r="B13304" t="n">
        <v>4.33</v>
      </c>
      <c r="C13304" t="n">
        <v>2.19</v>
      </c>
    </row>
    <row r="13305">
      <c r="A13305" s="28" t="n">
        <v>38351</v>
      </c>
      <c r="B13305" t="n">
        <v>4.27</v>
      </c>
      <c r="C13305" t="n">
        <v>2.18</v>
      </c>
    </row>
    <row r="13306">
      <c r="A13306" s="28" t="n">
        <v>38352</v>
      </c>
      <c r="B13306" t="n">
        <v>4.24</v>
      </c>
      <c r="C13306" t="n">
        <v>2.18</v>
      </c>
    </row>
    <row r="13307">
      <c r="A13307" s="28" t="n">
        <v>38355</v>
      </c>
      <c r="B13307" t="n">
        <v>4.23</v>
      </c>
      <c r="C13307" t="n">
        <v>2.29</v>
      </c>
    </row>
    <row r="13308">
      <c r="A13308" s="28" t="n">
        <v>38356</v>
      </c>
      <c r="B13308" t="n">
        <v>4.29</v>
      </c>
      <c r="C13308" t="n">
        <v>2.3</v>
      </c>
    </row>
    <row r="13309">
      <c r="A13309" s="28" t="n">
        <v>38357</v>
      </c>
      <c r="B13309" t="n">
        <v>4.29</v>
      </c>
      <c r="C13309" t="n">
        <v>2.29</v>
      </c>
    </row>
    <row r="13310">
      <c r="A13310" s="28" t="n">
        <v>38358</v>
      </c>
      <c r="B13310" t="n">
        <v>4.29</v>
      </c>
      <c r="C13310" t="n">
        <v>2.27</v>
      </c>
    </row>
    <row r="13311">
      <c r="A13311" s="28" t="n">
        <v>38359</v>
      </c>
      <c r="B13311" t="n">
        <v>4.29</v>
      </c>
      <c r="C13311" t="n">
        <v>2.28</v>
      </c>
    </row>
    <row r="13312">
      <c r="A13312" s="28" t="n">
        <v>38362</v>
      </c>
      <c r="B13312" t="n">
        <v>4.29</v>
      </c>
      <c r="C13312" t="n">
        <v>2.33</v>
      </c>
    </row>
    <row r="13313">
      <c r="A13313" s="28" t="n">
        <v>38363</v>
      </c>
      <c r="B13313" t="n">
        <v>4.26</v>
      </c>
      <c r="C13313" t="n">
        <v>2.31</v>
      </c>
    </row>
    <row r="13314">
      <c r="A13314" s="28" t="n">
        <v>38364</v>
      </c>
      <c r="B13314" t="n">
        <v>4.25</v>
      </c>
      <c r="C13314" t="n">
        <v>2.3</v>
      </c>
    </row>
    <row r="13315">
      <c r="A13315" s="28" t="n">
        <v>38365</v>
      </c>
      <c r="B13315" t="n">
        <v>4.2</v>
      </c>
      <c r="C13315" t="n">
        <v>2.31</v>
      </c>
    </row>
    <row r="13316">
      <c r="A13316" s="28" t="n">
        <v>38366</v>
      </c>
      <c r="B13316" t="n">
        <v>4.23</v>
      </c>
      <c r="C13316" t="n">
        <v>2.32</v>
      </c>
    </row>
    <row r="13317">
      <c r="A13317" s="28" t="n">
        <v>38369</v>
      </c>
      <c r="B13317" t="n">
        <v>0</v>
      </c>
      <c r="C13317" t="n">
        <v>0</v>
      </c>
    </row>
    <row r="13318">
      <c r="A13318" s="28" t="n">
        <v>38370</v>
      </c>
      <c r="B13318" t="n">
        <v>4.21</v>
      </c>
      <c r="C13318" t="n">
        <v>2.36</v>
      </c>
    </row>
    <row r="13319">
      <c r="A13319" s="28" t="n">
        <v>38371</v>
      </c>
      <c r="B13319" t="n">
        <v>4.2</v>
      </c>
      <c r="C13319" t="n">
        <v>2.33</v>
      </c>
    </row>
    <row r="13320">
      <c r="A13320" s="28" t="n">
        <v>38372</v>
      </c>
      <c r="B13320" t="n">
        <v>4.17</v>
      </c>
      <c r="C13320" t="n">
        <v>2.31</v>
      </c>
    </row>
    <row r="13321">
      <c r="A13321" s="28" t="n">
        <v>38373</v>
      </c>
      <c r="B13321" t="n">
        <v>4.16</v>
      </c>
      <c r="C13321" t="n">
        <v>2.31</v>
      </c>
    </row>
    <row r="13322">
      <c r="A13322" s="28" t="n">
        <v>38376</v>
      </c>
      <c r="B13322" t="n">
        <v>4.14</v>
      </c>
      <c r="C13322" t="n">
        <v>2.34</v>
      </c>
    </row>
    <row r="13323">
      <c r="A13323" s="28" t="n">
        <v>38377</v>
      </c>
      <c r="B13323" t="n">
        <v>4.2</v>
      </c>
      <c r="C13323" t="n">
        <v>2.36</v>
      </c>
    </row>
    <row r="13324">
      <c r="A13324" s="28" t="n">
        <v>38378</v>
      </c>
      <c r="B13324" t="n">
        <v>4.21</v>
      </c>
      <c r="C13324" t="n">
        <v>2.37</v>
      </c>
    </row>
    <row r="13325">
      <c r="A13325" s="28" t="n">
        <v>38379</v>
      </c>
      <c r="B13325" t="n">
        <v>4.22</v>
      </c>
      <c r="C13325" t="n">
        <v>2.4</v>
      </c>
    </row>
    <row r="13326">
      <c r="A13326" s="28" t="n">
        <v>38380</v>
      </c>
      <c r="B13326" t="n">
        <v>4.16</v>
      </c>
      <c r="C13326" t="n">
        <v>2.41</v>
      </c>
    </row>
    <row r="13327">
      <c r="A13327" s="28" t="n">
        <v>38383</v>
      </c>
      <c r="B13327" t="n">
        <v>4.14</v>
      </c>
      <c r="C13327" t="n">
        <v>2.48</v>
      </c>
    </row>
    <row r="13328">
      <c r="A13328" s="28" t="n">
        <v>38384</v>
      </c>
      <c r="B13328" t="n">
        <v>4.15</v>
      </c>
      <c r="C13328" t="n">
        <v>2.47</v>
      </c>
    </row>
    <row r="13329">
      <c r="A13329" s="28" t="n">
        <v>38385</v>
      </c>
      <c r="B13329" t="n">
        <v>4.15</v>
      </c>
      <c r="C13329" t="n">
        <v>2.47</v>
      </c>
    </row>
    <row r="13330">
      <c r="A13330" s="28" t="n">
        <v>38386</v>
      </c>
      <c r="B13330" t="n">
        <v>4.18</v>
      </c>
      <c r="C13330" t="n">
        <v>2.44</v>
      </c>
    </row>
    <row r="13331">
      <c r="A13331" s="28" t="n">
        <v>38387</v>
      </c>
      <c r="B13331" t="n">
        <v>4.09</v>
      </c>
      <c r="C13331" t="n">
        <v>2.43</v>
      </c>
    </row>
    <row r="13332">
      <c r="A13332" s="28" t="n">
        <v>38390</v>
      </c>
      <c r="B13332" t="n">
        <v>4.07</v>
      </c>
      <c r="C13332" t="n">
        <v>2.48</v>
      </c>
    </row>
    <row r="13333">
      <c r="A13333" s="28" t="n">
        <v>38391</v>
      </c>
      <c r="B13333" t="n">
        <v>4.05</v>
      </c>
      <c r="C13333" t="n">
        <v>2.48</v>
      </c>
    </row>
    <row r="13334">
      <c r="A13334" s="28" t="n">
        <v>38392</v>
      </c>
      <c r="B13334" t="n">
        <v>4</v>
      </c>
      <c r="C13334" t="n">
        <v>2.47</v>
      </c>
    </row>
    <row r="13335">
      <c r="A13335" s="28" t="n">
        <v>38393</v>
      </c>
      <c r="B13335" t="n">
        <v>4.07</v>
      </c>
      <c r="C13335" t="n">
        <v>2.47</v>
      </c>
    </row>
    <row r="13336">
      <c r="A13336" s="28" t="n">
        <v>38394</v>
      </c>
      <c r="B13336" t="n">
        <v>4.1</v>
      </c>
      <c r="C13336" t="n">
        <v>2.5</v>
      </c>
    </row>
    <row r="13337">
      <c r="A13337" s="28" t="n">
        <v>38397</v>
      </c>
      <c r="B13337" t="n">
        <v>4.08</v>
      </c>
      <c r="C13337" t="n">
        <v>2.55</v>
      </c>
    </row>
    <row r="13338">
      <c r="A13338" s="28" t="n">
        <v>38398</v>
      </c>
      <c r="B13338" t="n">
        <v>4.1</v>
      </c>
      <c r="C13338" t="n">
        <v>2.55</v>
      </c>
    </row>
    <row r="13339">
      <c r="A13339" s="28" t="n">
        <v>38399</v>
      </c>
      <c r="B13339" t="n">
        <v>4.16</v>
      </c>
      <c r="C13339" t="n">
        <v>2.53</v>
      </c>
    </row>
    <row r="13340">
      <c r="A13340" s="28" t="n">
        <v>38400</v>
      </c>
      <c r="B13340" t="n">
        <v>4.19</v>
      </c>
      <c r="C13340" t="n">
        <v>2.53</v>
      </c>
    </row>
    <row r="13341">
      <c r="A13341" s="28" t="n">
        <v>38401</v>
      </c>
      <c r="B13341" t="n">
        <v>4.27</v>
      </c>
      <c r="C13341" t="n">
        <v>2.56</v>
      </c>
    </row>
    <row r="13342">
      <c r="A13342" s="28" t="n">
        <v>38404</v>
      </c>
      <c r="B13342" t="n">
        <v>0</v>
      </c>
      <c r="C13342" t="n">
        <v>0</v>
      </c>
    </row>
    <row r="13343">
      <c r="A13343" s="28" t="n">
        <v>38405</v>
      </c>
      <c r="B13343" t="n">
        <v>4.29</v>
      </c>
      <c r="C13343" t="n">
        <v>2.63</v>
      </c>
    </row>
    <row r="13344">
      <c r="A13344" s="28" t="n">
        <v>38406</v>
      </c>
      <c r="B13344" t="n">
        <v>4.27</v>
      </c>
      <c r="C13344" t="n">
        <v>2.63</v>
      </c>
    </row>
    <row r="13345">
      <c r="A13345" s="28" t="n">
        <v>38407</v>
      </c>
      <c r="B13345" t="n">
        <v>4.29</v>
      </c>
      <c r="C13345" t="n">
        <v>2.64</v>
      </c>
    </row>
    <row r="13346">
      <c r="A13346" s="28" t="n">
        <v>38408</v>
      </c>
      <c r="B13346" t="n">
        <v>4.27</v>
      </c>
      <c r="C13346" t="n">
        <v>2.69</v>
      </c>
    </row>
    <row r="13347">
      <c r="A13347" s="28" t="n">
        <v>38411</v>
      </c>
      <c r="B13347" t="n">
        <v>4.36</v>
      </c>
      <c r="C13347" t="n">
        <v>2.72</v>
      </c>
    </row>
    <row r="13348">
      <c r="A13348" s="28" t="n">
        <v>38412</v>
      </c>
      <c r="B13348" t="n">
        <v>4.38</v>
      </c>
      <c r="C13348" t="n">
        <v>2.7</v>
      </c>
    </row>
    <row r="13349">
      <c r="A13349" s="28" t="n">
        <v>38413</v>
      </c>
      <c r="B13349" t="n">
        <v>4.38</v>
      </c>
      <c r="C13349" t="n">
        <v>2.68</v>
      </c>
    </row>
    <row r="13350">
      <c r="A13350" s="28" t="n">
        <v>38414</v>
      </c>
      <c r="B13350" t="n">
        <v>4.39</v>
      </c>
      <c r="C13350" t="n">
        <v>2.7</v>
      </c>
    </row>
    <row r="13351">
      <c r="A13351" s="28" t="n">
        <v>38415</v>
      </c>
      <c r="B13351" t="n">
        <v>4.32</v>
      </c>
      <c r="C13351" t="n">
        <v>2.7</v>
      </c>
    </row>
    <row r="13352">
      <c r="A13352" s="28" t="n">
        <v>38418</v>
      </c>
      <c r="B13352" t="n">
        <v>4.31</v>
      </c>
      <c r="C13352" t="n">
        <v>2.71</v>
      </c>
    </row>
    <row r="13353">
      <c r="A13353" s="28" t="n">
        <v>38419</v>
      </c>
      <c r="B13353" t="n">
        <v>4.38</v>
      </c>
      <c r="C13353" t="n">
        <v>2.7</v>
      </c>
    </row>
    <row r="13354">
      <c r="A13354" s="28" t="n">
        <v>38420</v>
      </c>
      <c r="B13354" t="n">
        <v>4.52</v>
      </c>
      <c r="C13354" t="n">
        <v>2.7</v>
      </c>
    </row>
    <row r="13355">
      <c r="A13355" s="28" t="n">
        <v>38421</v>
      </c>
      <c r="B13355" t="n">
        <v>4.48</v>
      </c>
      <c r="C13355" t="n">
        <v>2.69</v>
      </c>
    </row>
    <row r="13356">
      <c r="A13356" s="28" t="n">
        <v>38422</v>
      </c>
      <c r="B13356" t="n">
        <v>4.56</v>
      </c>
      <c r="C13356" t="n">
        <v>2.7</v>
      </c>
    </row>
    <row r="13357">
      <c r="A13357" s="28" t="n">
        <v>38425</v>
      </c>
      <c r="B13357" t="n">
        <v>4.52</v>
      </c>
      <c r="C13357" t="n">
        <v>2.75</v>
      </c>
    </row>
    <row r="13358">
      <c r="A13358" s="28" t="n">
        <v>38426</v>
      </c>
      <c r="B13358" t="n">
        <v>4.54</v>
      </c>
      <c r="C13358" t="n">
        <v>2.75</v>
      </c>
    </row>
    <row r="13359">
      <c r="A13359" s="28" t="n">
        <v>38427</v>
      </c>
      <c r="B13359" t="n">
        <v>4.52</v>
      </c>
      <c r="C13359" t="n">
        <v>2.74</v>
      </c>
    </row>
    <row r="13360">
      <c r="A13360" s="28" t="n">
        <v>38428</v>
      </c>
      <c r="B13360" t="n">
        <v>4.47</v>
      </c>
      <c r="C13360" t="n">
        <v>2.73</v>
      </c>
    </row>
    <row r="13361">
      <c r="A13361" s="28" t="n">
        <v>38429</v>
      </c>
      <c r="B13361" t="n">
        <v>4.51</v>
      </c>
      <c r="C13361" t="n">
        <v>2.75</v>
      </c>
    </row>
    <row r="13362">
      <c r="A13362" s="28" t="n">
        <v>38432</v>
      </c>
      <c r="B13362" t="n">
        <v>4.53</v>
      </c>
      <c r="C13362" t="n">
        <v>2.8</v>
      </c>
    </row>
    <row r="13363">
      <c r="A13363" s="28" t="n">
        <v>38433</v>
      </c>
      <c r="B13363" t="n">
        <v>4.63</v>
      </c>
      <c r="C13363" t="n">
        <v>2.83</v>
      </c>
    </row>
    <row r="13364">
      <c r="A13364" s="28" t="n">
        <v>38434</v>
      </c>
      <c r="B13364" t="n">
        <v>4.61</v>
      </c>
      <c r="C13364" t="n">
        <v>2.77</v>
      </c>
    </row>
    <row r="13365">
      <c r="A13365" s="28" t="n">
        <v>38435</v>
      </c>
      <c r="B13365" t="n">
        <v>4.6</v>
      </c>
      <c r="C13365" t="n">
        <v>2.78</v>
      </c>
    </row>
    <row r="13366">
      <c r="A13366" s="28" t="n">
        <v>38436</v>
      </c>
      <c r="B13366" t="n">
        <v>0</v>
      </c>
      <c r="C13366" t="n">
        <v>0</v>
      </c>
    </row>
    <row r="13367">
      <c r="A13367" s="28" t="n">
        <v>38439</v>
      </c>
      <c r="B13367" t="n">
        <v>4.64</v>
      </c>
      <c r="C13367" t="n">
        <v>2.79</v>
      </c>
    </row>
    <row r="13368">
      <c r="A13368" s="28" t="n">
        <v>38440</v>
      </c>
      <c r="B13368" t="n">
        <v>4.6</v>
      </c>
      <c r="C13368" t="n">
        <v>2.78</v>
      </c>
    </row>
    <row r="13369">
      <c r="A13369" s="28" t="n">
        <v>38441</v>
      </c>
      <c r="B13369" t="n">
        <v>4.56</v>
      </c>
      <c r="C13369" t="n">
        <v>2.77</v>
      </c>
    </row>
    <row r="13370">
      <c r="A13370" s="28" t="n">
        <v>38442</v>
      </c>
      <c r="B13370" t="n">
        <v>4.5</v>
      </c>
      <c r="C13370" t="n">
        <v>2.73</v>
      </c>
    </row>
    <row r="13371">
      <c r="A13371" s="28" t="n">
        <v>38443</v>
      </c>
      <c r="B13371" t="n">
        <v>4.46</v>
      </c>
      <c r="C13371" t="n">
        <v>2.74</v>
      </c>
    </row>
    <row r="13372">
      <c r="A13372" s="28" t="n">
        <v>38446</v>
      </c>
      <c r="B13372" t="n">
        <v>4.47</v>
      </c>
      <c r="C13372" t="n">
        <v>2.75</v>
      </c>
    </row>
    <row r="13373">
      <c r="A13373" s="28" t="n">
        <v>38447</v>
      </c>
      <c r="B13373" t="n">
        <v>4.48</v>
      </c>
      <c r="C13373" t="n">
        <v>2.74</v>
      </c>
    </row>
    <row r="13374">
      <c r="A13374" s="28" t="n">
        <v>38448</v>
      </c>
      <c r="B13374" t="n">
        <v>4.44</v>
      </c>
      <c r="C13374" t="n">
        <v>2.71</v>
      </c>
    </row>
    <row r="13375">
      <c r="A13375" s="28" t="n">
        <v>38449</v>
      </c>
      <c r="B13375" t="n">
        <v>4.49</v>
      </c>
      <c r="C13375" t="n">
        <v>2.71</v>
      </c>
    </row>
    <row r="13376">
      <c r="A13376" s="28" t="n">
        <v>38450</v>
      </c>
      <c r="B13376" t="n">
        <v>4.5</v>
      </c>
      <c r="C13376" t="n">
        <v>2.73</v>
      </c>
    </row>
    <row r="13377">
      <c r="A13377" s="28" t="n">
        <v>38453</v>
      </c>
      <c r="B13377" t="n">
        <v>4.45</v>
      </c>
      <c r="C13377" t="n">
        <v>2.71</v>
      </c>
    </row>
    <row r="13378">
      <c r="A13378" s="28" t="n">
        <v>38454</v>
      </c>
      <c r="B13378" t="n">
        <v>4.38</v>
      </c>
      <c r="C13378" t="n">
        <v>2.71</v>
      </c>
    </row>
    <row r="13379">
      <c r="A13379" s="28" t="n">
        <v>38455</v>
      </c>
      <c r="B13379" t="n">
        <v>4.38</v>
      </c>
      <c r="C13379" t="n">
        <v>2.72</v>
      </c>
    </row>
    <row r="13380">
      <c r="A13380" s="28" t="n">
        <v>38456</v>
      </c>
      <c r="B13380" t="n">
        <v>4.37</v>
      </c>
      <c r="C13380" t="n">
        <v>2.72</v>
      </c>
    </row>
    <row r="13381">
      <c r="A13381" s="28" t="n">
        <v>38457</v>
      </c>
      <c r="B13381" t="n">
        <v>4.27</v>
      </c>
      <c r="C13381" t="n">
        <v>2.73</v>
      </c>
    </row>
    <row r="13382">
      <c r="A13382" s="28" t="n">
        <v>38460</v>
      </c>
      <c r="B13382" t="n">
        <v>4.27</v>
      </c>
      <c r="C13382" t="n">
        <v>2.85</v>
      </c>
    </row>
    <row r="13383">
      <c r="A13383" s="28" t="n">
        <v>38461</v>
      </c>
      <c r="B13383" t="n">
        <v>4.21</v>
      </c>
      <c r="C13383" t="n">
        <v>2.85</v>
      </c>
    </row>
    <row r="13384">
      <c r="A13384" s="28" t="n">
        <v>38462</v>
      </c>
      <c r="B13384" t="n">
        <v>4.22</v>
      </c>
      <c r="C13384" t="n">
        <v>2.81</v>
      </c>
    </row>
    <row r="13385">
      <c r="A13385" s="28" t="n">
        <v>38463</v>
      </c>
      <c r="B13385" t="n">
        <v>4.32</v>
      </c>
      <c r="C13385" t="n">
        <v>2.82</v>
      </c>
    </row>
    <row r="13386">
      <c r="A13386" s="28" t="n">
        <v>38464</v>
      </c>
      <c r="B13386" t="n">
        <v>4.26</v>
      </c>
      <c r="C13386" t="n">
        <v>2.87</v>
      </c>
    </row>
    <row r="13387">
      <c r="A13387" s="28" t="n">
        <v>38467</v>
      </c>
      <c r="B13387" t="n">
        <v>4.26</v>
      </c>
      <c r="C13387" t="n">
        <v>2.88</v>
      </c>
    </row>
    <row r="13388">
      <c r="A13388" s="28" t="n">
        <v>38468</v>
      </c>
      <c r="B13388" t="n">
        <v>4.28</v>
      </c>
      <c r="C13388" t="n">
        <v>2.86</v>
      </c>
    </row>
    <row r="13389">
      <c r="A13389" s="28" t="n">
        <v>38469</v>
      </c>
      <c r="B13389" t="n">
        <v>4.25</v>
      </c>
      <c r="C13389" t="n">
        <v>2.83</v>
      </c>
    </row>
    <row r="13390">
      <c r="A13390" s="28" t="n">
        <v>38470</v>
      </c>
      <c r="B13390" t="n">
        <v>4.19</v>
      </c>
      <c r="C13390" t="n">
        <v>2.82</v>
      </c>
    </row>
    <row r="13391">
      <c r="A13391" s="28" t="n">
        <v>38471</v>
      </c>
      <c r="B13391" t="n">
        <v>4.21</v>
      </c>
      <c r="C13391" t="n">
        <v>2.84</v>
      </c>
    </row>
    <row r="13392">
      <c r="A13392" s="28" t="n">
        <v>38474</v>
      </c>
      <c r="B13392" t="n">
        <v>4.21</v>
      </c>
      <c r="C13392" t="n">
        <v>2.88</v>
      </c>
    </row>
    <row r="13393">
      <c r="A13393" s="28" t="n">
        <v>38475</v>
      </c>
      <c r="B13393" t="n">
        <v>4.21</v>
      </c>
      <c r="C13393" t="n">
        <v>2.85</v>
      </c>
    </row>
    <row r="13394">
      <c r="A13394" s="28" t="n">
        <v>38476</v>
      </c>
      <c r="B13394" t="n">
        <v>4.2</v>
      </c>
      <c r="C13394" t="n">
        <v>2.81</v>
      </c>
    </row>
    <row r="13395">
      <c r="A13395" s="28" t="n">
        <v>38477</v>
      </c>
      <c r="B13395" t="n">
        <v>4.19</v>
      </c>
      <c r="C13395" t="n">
        <v>2.75</v>
      </c>
    </row>
    <row r="13396">
      <c r="A13396" s="28" t="n">
        <v>38478</v>
      </c>
      <c r="B13396" t="n">
        <v>4.28</v>
      </c>
      <c r="C13396" t="n">
        <v>2.8</v>
      </c>
    </row>
    <row r="13397">
      <c r="A13397" s="28" t="n">
        <v>38481</v>
      </c>
      <c r="B13397" t="n">
        <v>4.29</v>
      </c>
      <c r="C13397" t="n">
        <v>2.86</v>
      </c>
    </row>
    <row r="13398">
      <c r="A13398" s="28" t="n">
        <v>38482</v>
      </c>
      <c r="B13398" t="n">
        <v>4.23</v>
      </c>
      <c r="C13398" t="n">
        <v>2.84</v>
      </c>
    </row>
    <row r="13399">
      <c r="A13399" s="28" t="n">
        <v>38483</v>
      </c>
      <c r="B13399" t="n">
        <v>4.21</v>
      </c>
      <c r="C13399" t="n">
        <v>2.81</v>
      </c>
    </row>
    <row r="13400">
      <c r="A13400" s="28" t="n">
        <v>38484</v>
      </c>
      <c r="B13400" t="n">
        <v>4.18</v>
      </c>
      <c r="C13400" t="n">
        <v>2.82</v>
      </c>
    </row>
    <row r="13401">
      <c r="A13401" s="28" t="n">
        <v>38485</v>
      </c>
      <c r="B13401" t="n">
        <v>4.12</v>
      </c>
      <c r="C13401" t="n">
        <v>2.76</v>
      </c>
    </row>
    <row r="13402">
      <c r="A13402" s="28" t="n">
        <v>38488</v>
      </c>
      <c r="B13402" t="n">
        <v>4.13</v>
      </c>
      <c r="C13402" t="n">
        <v>2.84</v>
      </c>
    </row>
    <row r="13403">
      <c r="A13403" s="28" t="n">
        <v>38489</v>
      </c>
      <c r="B13403" t="n">
        <v>4.12</v>
      </c>
      <c r="C13403" t="n">
        <v>2.82</v>
      </c>
    </row>
    <row r="13404">
      <c r="A13404" s="28" t="n">
        <v>38490</v>
      </c>
      <c r="B13404" t="n">
        <v>4.07</v>
      </c>
      <c r="C13404" t="n">
        <v>2.8</v>
      </c>
    </row>
    <row r="13405">
      <c r="A13405" s="28" t="n">
        <v>38491</v>
      </c>
      <c r="B13405" t="n">
        <v>4.11</v>
      </c>
      <c r="C13405" t="n">
        <v>2.81</v>
      </c>
    </row>
    <row r="13406">
      <c r="A13406" s="28" t="n">
        <v>38492</v>
      </c>
      <c r="B13406" t="n">
        <v>4.13</v>
      </c>
      <c r="C13406" t="n">
        <v>2.83</v>
      </c>
    </row>
    <row r="13407">
      <c r="A13407" s="28" t="n">
        <v>38495</v>
      </c>
      <c r="B13407" t="n">
        <v>4.07</v>
      </c>
      <c r="C13407" t="n">
        <v>2.91</v>
      </c>
    </row>
    <row r="13408">
      <c r="A13408" s="28" t="n">
        <v>38496</v>
      </c>
      <c r="B13408" t="n">
        <v>4.04</v>
      </c>
      <c r="C13408" t="n">
        <v>2.88</v>
      </c>
    </row>
    <row r="13409">
      <c r="A13409" s="28" t="n">
        <v>38497</v>
      </c>
      <c r="B13409" t="n">
        <v>4.08</v>
      </c>
      <c r="C13409" t="n">
        <v>2.89</v>
      </c>
    </row>
    <row r="13410">
      <c r="A13410" s="28" t="n">
        <v>38498</v>
      </c>
      <c r="B13410" t="n">
        <v>4.08</v>
      </c>
      <c r="C13410" t="n">
        <v>2.88</v>
      </c>
    </row>
    <row r="13411">
      <c r="A13411" s="28" t="n">
        <v>38499</v>
      </c>
      <c r="B13411" t="n">
        <v>4.08</v>
      </c>
      <c r="C13411" t="n">
        <v>2.9</v>
      </c>
    </row>
    <row r="13412">
      <c r="A13412" s="28" t="n">
        <v>38502</v>
      </c>
      <c r="B13412" t="n">
        <v>0</v>
      </c>
      <c r="C13412" t="n">
        <v>0</v>
      </c>
    </row>
    <row r="13413">
      <c r="A13413" s="28" t="n">
        <v>38503</v>
      </c>
      <c r="B13413" t="n">
        <v>4</v>
      </c>
      <c r="C13413" t="n">
        <v>2.93</v>
      </c>
    </row>
    <row r="13414">
      <c r="A13414" s="28" t="n">
        <v>38504</v>
      </c>
      <c r="B13414" t="n">
        <v>3.91</v>
      </c>
      <c r="C13414" t="n">
        <v>2.91</v>
      </c>
    </row>
    <row r="13415">
      <c r="A13415" s="28" t="n">
        <v>38505</v>
      </c>
      <c r="B13415" t="n">
        <v>3.89</v>
      </c>
      <c r="C13415" t="n">
        <v>2.91</v>
      </c>
    </row>
    <row r="13416">
      <c r="A13416" s="28" t="n">
        <v>38506</v>
      </c>
      <c r="B13416" t="n">
        <v>3.98</v>
      </c>
      <c r="C13416" t="n">
        <v>2.94</v>
      </c>
    </row>
    <row r="13417">
      <c r="A13417" s="28" t="n">
        <v>38509</v>
      </c>
      <c r="B13417" t="n">
        <v>3.96</v>
      </c>
      <c r="C13417" t="n">
        <v>2.96</v>
      </c>
    </row>
    <row r="13418">
      <c r="A13418" s="28" t="n">
        <v>38510</v>
      </c>
      <c r="B13418" t="n">
        <v>3.92</v>
      </c>
      <c r="C13418" t="n">
        <v>2.96</v>
      </c>
    </row>
    <row r="13419">
      <c r="A13419" s="28" t="n">
        <v>38511</v>
      </c>
      <c r="B13419" t="n">
        <v>3.95</v>
      </c>
      <c r="C13419" t="n">
        <v>2.96</v>
      </c>
    </row>
    <row r="13420">
      <c r="A13420" s="28" t="n">
        <v>38512</v>
      </c>
      <c r="B13420" t="n">
        <v>3.98</v>
      </c>
      <c r="C13420" t="n">
        <v>2.93</v>
      </c>
    </row>
    <row r="13421">
      <c r="A13421" s="28" t="n">
        <v>38513</v>
      </c>
      <c r="B13421" t="n">
        <v>4.05</v>
      </c>
      <c r="C13421" t="n">
        <v>2.94</v>
      </c>
    </row>
    <row r="13422">
      <c r="A13422" s="28" t="n">
        <v>38516</v>
      </c>
      <c r="B13422" t="n">
        <v>4.09</v>
      </c>
      <c r="C13422" t="n">
        <v>2.97</v>
      </c>
    </row>
    <row r="13423">
      <c r="A13423" s="28" t="n">
        <v>38517</v>
      </c>
      <c r="B13423" t="n">
        <v>4.13</v>
      </c>
      <c r="C13423" t="n">
        <v>2.95</v>
      </c>
    </row>
    <row r="13424">
      <c r="A13424" s="28" t="n">
        <v>38518</v>
      </c>
      <c r="B13424" t="n">
        <v>4.12</v>
      </c>
      <c r="C13424" t="n">
        <v>2.94</v>
      </c>
    </row>
    <row r="13425">
      <c r="A13425" s="28" t="n">
        <v>38519</v>
      </c>
      <c r="B13425" t="n">
        <v>4.09</v>
      </c>
      <c r="C13425" t="n">
        <v>2.91</v>
      </c>
    </row>
    <row r="13426">
      <c r="A13426" s="28" t="n">
        <v>38520</v>
      </c>
      <c r="B13426" t="n">
        <v>4.09</v>
      </c>
      <c r="C13426" t="n">
        <v>2.92</v>
      </c>
    </row>
    <row r="13427">
      <c r="A13427" s="28" t="n">
        <v>38523</v>
      </c>
      <c r="B13427" t="n">
        <v>4.11</v>
      </c>
      <c r="C13427" t="n">
        <v>2.96</v>
      </c>
    </row>
    <row r="13428">
      <c r="A13428" s="28" t="n">
        <v>38524</v>
      </c>
      <c r="B13428" t="n">
        <v>4.06</v>
      </c>
      <c r="C13428" t="n">
        <v>2.96</v>
      </c>
    </row>
    <row r="13429">
      <c r="A13429" s="28" t="n">
        <v>38525</v>
      </c>
      <c r="B13429" t="n">
        <v>3.95</v>
      </c>
      <c r="C13429" t="n">
        <v>2.97</v>
      </c>
    </row>
    <row r="13430">
      <c r="A13430" s="28" t="n">
        <v>38526</v>
      </c>
      <c r="B13430" t="n">
        <v>3.96</v>
      </c>
      <c r="C13430" t="n">
        <v>3</v>
      </c>
    </row>
    <row r="13431">
      <c r="A13431" s="28" t="n">
        <v>38527</v>
      </c>
      <c r="B13431" t="n">
        <v>3.92</v>
      </c>
      <c r="C13431" t="n">
        <v>3.02</v>
      </c>
    </row>
    <row r="13432">
      <c r="A13432" s="28" t="n">
        <v>38530</v>
      </c>
      <c r="B13432" t="n">
        <v>3.9</v>
      </c>
      <c r="C13432" t="n">
        <v>3.09</v>
      </c>
    </row>
    <row r="13433">
      <c r="A13433" s="28" t="n">
        <v>38531</v>
      </c>
      <c r="B13433" t="n">
        <v>3.97</v>
      </c>
      <c r="C13433" t="n">
        <v>3.08</v>
      </c>
    </row>
    <row r="13434">
      <c r="A13434" s="28" t="n">
        <v>38532</v>
      </c>
      <c r="B13434" t="n">
        <v>3.99</v>
      </c>
      <c r="C13434" t="n">
        <v>3.06</v>
      </c>
    </row>
    <row r="13435">
      <c r="A13435" s="28" t="n">
        <v>38533</v>
      </c>
      <c r="B13435" t="n">
        <v>3.94</v>
      </c>
      <c r="C13435" t="n">
        <v>3.06</v>
      </c>
    </row>
    <row r="13436">
      <c r="A13436" s="28" t="n">
        <v>38534</v>
      </c>
      <c r="B13436" t="n">
        <v>4.06</v>
      </c>
      <c r="C13436" t="n">
        <v>3.1</v>
      </c>
    </row>
    <row r="13437">
      <c r="A13437" s="28" t="n">
        <v>38537</v>
      </c>
      <c r="B13437" t="n">
        <v>0</v>
      </c>
      <c r="C13437" t="n">
        <v>0</v>
      </c>
    </row>
    <row r="13438">
      <c r="A13438" s="28" t="n">
        <v>38538</v>
      </c>
      <c r="B13438" t="n">
        <v>4.11</v>
      </c>
      <c r="C13438" t="n">
        <v>3.15</v>
      </c>
    </row>
    <row r="13439">
      <c r="A13439" s="28" t="n">
        <v>38539</v>
      </c>
      <c r="B13439" t="n">
        <v>4.08</v>
      </c>
      <c r="C13439" t="n">
        <v>3.12</v>
      </c>
    </row>
    <row r="13440">
      <c r="A13440" s="28" t="n">
        <v>38540</v>
      </c>
      <c r="B13440" t="n">
        <v>4.05</v>
      </c>
      <c r="C13440" t="n">
        <v>3.08</v>
      </c>
    </row>
    <row r="13441">
      <c r="A13441" s="28" t="n">
        <v>38541</v>
      </c>
      <c r="B13441" t="n">
        <v>4.11</v>
      </c>
      <c r="C13441" t="n">
        <v>3.1</v>
      </c>
    </row>
    <row r="13442">
      <c r="A13442" s="28" t="n">
        <v>38544</v>
      </c>
      <c r="B13442" t="n">
        <v>4.11</v>
      </c>
      <c r="C13442" t="n">
        <v>3.13</v>
      </c>
    </row>
    <row r="13443">
      <c r="A13443" s="28" t="n">
        <v>38545</v>
      </c>
      <c r="B13443" t="n">
        <v>4.15</v>
      </c>
      <c r="C13443" t="n">
        <v>3.14</v>
      </c>
    </row>
    <row r="13444">
      <c r="A13444" s="28" t="n">
        <v>38546</v>
      </c>
      <c r="B13444" t="n">
        <v>4.17</v>
      </c>
      <c r="C13444" t="n">
        <v>3.15</v>
      </c>
    </row>
    <row r="13445">
      <c r="A13445" s="28" t="n">
        <v>38547</v>
      </c>
      <c r="B13445" t="n">
        <v>4.19</v>
      </c>
      <c r="C13445" t="n">
        <v>3.16</v>
      </c>
    </row>
    <row r="13446">
      <c r="A13446" s="28" t="n">
        <v>38548</v>
      </c>
      <c r="B13446" t="n">
        <v>4.18</v>
      </c>
      <c r="C13446" t="n">
        <v>3.18</v>
      </c>
    </row>
    <row r="13447">
      <c r="A13447" s="28" t="n">
        <v>38551</v>
      </c>
      <c r="B13447" t="n">
        <v>4.22</v>
      </c>
      <c r="C13447" t="n">
        <v>3.23</v>
      </c>
    </row>
    <row r="13448">
      <c r="A13448" s="28" t="n">
        <v>38552</v>
      </c>
      <c r="B13448" t="n">
        <v>4.2</v>
      </c>
      <c r="C13448" t="n">
        <v>3.24</v>
      </c>
    </row>
    <row r="13449">
      <c r="A13449" s="28" t="n">
        <v>38553</v>
      </c>
      <c r="B13449" t="n">
        <v>4.17</v>
      </c>
      <c r="C13449" t="n">
        <v>3.23</v>
      </c>
    </row>
    <row r="13450">
      <c r="A13450" s="28" t="n">
        <v>38554</v>
      </c>
      <c r="B13450" t="n">
        <v>4.28</v>
      </c>
      <c r="C13450" t="n">
        <v>3.27</v>
      </c>
    </row>
    <row r="13451">
      <c r="A13451" s="28" t="n">
        <v>38555</v>
      </c>
      <c r="B13451" t="n">
        <v>4.23</v>
      </c>
      <c r="C13451" t="n">
        <v>3.3</v>
      </c>
    </row>
    <row r="13452">
      <c r="A13452" s="28" t="n">
        <v>38558</v>
      </c>
      <c r="B13452" t="n">
        <v>4.25</v>
      </c>
      <c r="C13452" t="n">
        <v>3.37</v>
      </c>
    </row>
    <row r="13453">
      <c r="A13453" s="28" t="n">
        <v>38559</v>
      </c>
      <c r="B13453" t="n">
        <v>4.24</v>
      </c>
      <c r="C13453" t="n">
        <v>3.36</v>
      </c>
    </row>
    <row r="13454">
      <c r="A13454" s="28" t="n">
        <v>38560</v>
      </c>
      <c r="B13454" t="n">
        <v>4.27</v>
      </c>
      <c r="C13454" t="n">
        <v>3.33</v>
      </c>
    </row>
    <row r="13455">
      <c r="A13455" s="28" t="n">
        <v>38561</v>
      </c>
      <c r="B13455" t="n">
        <v>4.2</v>
      </c>
      <c r="C13455" t="n">
        <v>3.33</v>
      </c>
    </row>
    <row r="13456">
      <c r="A13456" s="28" t="n">
        <v>38562</v>
      </c>
      <c r="B13456" t="n">
        <v>4.28</v>
      </c>
      <c r="C13456" t="n">
        <v>3.34</v>
      </c>
    </row>
    <row r="13457">
      <c r="A13457" s="28" t="n">
        <v>38565</v>
      </c>
      <c r="B13457" t="n">
        <v>4.32</v>
      </c>
      <c r="C13457" t="n">
        <v>3.41</v>
      </c>
    </row>
    <row r="13458">
      <c r="A13458" s="28" t="n">
        <v>38566</v>
      </c>
      <c r="B13458" t="n">
        <v>4.34</v>
      </c>
      <c r="C13458" t="n">
        <v>3.41</v>
      </c>
    </row>
    <row r="13459">
      <c r="A13459" s="28" t="n">
        <v>38567</v>
      </c>
      <c r="B13459" t="n">
        <v>4.3</v>
      </c>
      <c r="C13459" t="n">
        <v>3.38</v>
      </c>
    </row>
    <row r="13460">
      <c r="A13460" s="28" t="n">
        <v>38568</v>
      </c>
      <c r="B13460" t="n">
        <v>4.32</v>
      </c>
      <c r="C13460" t="n">
        <v>3.39</v>
      </c>
    </row>
    <row r="13461">
      <c r="A13461" s="28" t="n">
        <v>38569</v>
      </c>
      <c r="B13461" t="n">
        <v>4.4</v>
      </c>
      <c r="C13461" t="n">
        <v>3.44</v>
      </c>
    </row>
    <row r="13462">
      <c r="A13462" s="28" t="n">
        <v>38572</v>
      </c>
      <c r="B13462" t="n">
        <v>4.42</v>
      </c>
      <c r="C13462" t="n">
        <v>3.47</v>
      </c>
    </row>
    <row r="13463">
      <c r="A13463" s="28" t="n">
        <v>38573</v>
      </c>
      <c r="B13463" t="n">
        <v>4.41</v>
      </c>
      <c r="C13463" t="n">
        <v>3.44</v>
      </c>
    </row>
    <row r="13464">
      <c r="A13464" s="28" t="n">
        <v>38574</v>
      </c>
      <c r="B13464" t="n">
        <v>4.4</v>
      </c>
      <c r="C13464" t="n">
        <v>3.43</v>
      </c>
    </row>
    <row r="13465">
      <c r="A13465" s="28" t="n">
        <v>38575</v>
      </c>
      <c r="B13465" t="n">
        <v>4.32</v>
      </c>
      <c r="C13465" t="n">
        <v>3.43</v>
      </c>
    </row>
    <row r="13466">
      <c r="A13466" s="28" t="n">
        <v>38576</v>
      </c>
      <c r="B13466" t="n">
        <v>4.24</v>
      </c>
      <c r="C13466" t="n">
        <v>3.44</v>
      </c>
    </row>
    <row r="13467">
      <c r="A13467" s="28" t="n">
        <v>38579</v>
      </c>
      <c r="B13467" t="n">
        <v>4.27</v>
      </c>
      <c r="C13467" t="n">
        <v>3.47</v>
      </c>
    </row>
    <row r="13468">
      <c r="A13468" s="28" t="n">
        <v>38580</v>
      </c>
      <c r="B13468" t="n">
        <v>4.23</v>
      </c>
      <c r="C13468" t="n">
        <v>3.46</v>
      </c>
    </row>
    <row r="13469">
      <c r="A13469" s="28" t="n">
        <v>38581</v>
      </c>
      <c r="B13469" t="n">
        <v>4.28</v>
      </c>
      <c r="C13469" t="n">
        <v>3.44</v>
      </c>
    </row>
    <row r="13470">
      <c r="A13470" s="28" t="n">
        <v>38582</v>
      </c>
      <c r="B13470" t="n">
        <v>4.21</v>
      </c>
      <c r="C13470" t="n">
        <v>3.42</v>
      </c>
    </row>
    <row r="13471">
      <c r="A13471" s="28" t="n">
        <v>38583</v>
      </c>
      <c r="B13471" t="n">
        <v>4.21</v>
      </c>
      <c r="C13471" t="n">
        <v>3.44</v>
      </c>
    </row>
    <row r="13472">
      <c r="A13472" s="28" t="n">
        <v>38586</v>
      </c>
      <c r="B13472" t="n">
        <v>4.22</v>
      </c>
      <c r="C13472" t="n">
        <v>3.46</v>
      </c>
    </row>
    <row r="13473">
      <c r="A13473" s="28" t="n">
        <v>38587</v>
      </c>
      <c r="B13473" t="n">
        <v>4.2</v>
      </c>
      <c r="C13473" t="n">
        <v>3.46</v>
      </c>
    </row>
    <row r="13474">
      <c r="A13474" s="28" t="n">
        <v>38588</v>
      </c>
      <c r="B13474" t="n">
        <v>4.19</v>
      </c>
      <c r="C13474" t="n">
        <v>3.45</v>
      </c>
    </row>
    <row r="13475">
      <c r="A13475" s="28" t="n">
        <v>38589</v>
      </c>
      <c r="B13475" t="n">
        <v>4.18</v>
      </c>
      <c r="C13475" t="n">
        <v>3.46</v>
      </c>
    </row>
    <row r="13476">
      <c r="A13476" s="28" t="n">
        <v>38590</v>
      </c>
      <c r="B13476" t="n">
        <v>4.2</v>
      </c>
      <c r="C13476" t="n">
        <v>3.47</v>
      </c>
    </row>
    <row r="13477">
      <c r="A13477" s="28" t="n">
        <v>38593</v>
      </c>
      <c r="B13477" t="n">
        <v>4.2</v>
      </c>
      <c r="C13477" t="n">
        <v>3.47</v>
      </c>
    </row>
    <row r="13478">
      <c r="A13478" s="28" t="n">
        <v>38594</v>
      </c>
      <c r="B13478" t="n">
        <v>4.16</v>
      </c>
      <c r="C13478" t="n">
        <v>3.46</v>
      </c>
    </row>
    <row r="13479">
      <c r="A13479" s="28" t="n">
        <v>38595</v>
      </c>
      <c r="B13479" t="n">
        <v>4.02</v>
      </c>
      <c r="C13479" t="n">
        <v>3.44</v>
      </c>
    </row>
    <row r="13480">
      <c r="A13480" s="28" t="n">
        <v>38596</v>
      </c>
      <c r="B13480" t="n">
        <v>4.02</v>
      </c>
      <c r="C13480" t="n">
        <v>3.4</v>
      </c>
    </row>
    <row r="13481">
      <c r="A13481" s="28" t="n">
        <v>38597</v>
      </c>
      <c r="B13481" t="n">
        <v>4.03</v>
      </c>
      <c r="C13481" t="n">
        <v>3.38</v>
      </c>
    </row>
    <row r="13482">
      <c r="A13482" s="28" t="n">
        <v>38600</v>
      </c>
      <c r="B13482" t="n">
        <v>0</v>
      </c>
      <c r="C13482" t="n">
        <v>0</v>
      </c>
    </row>
    <row r="13483">
      <c r="A13483" s="28" t="n">
        <v>38601</v>
      </c>
      <c r="B13483" t="n">
        <v>4.09</v>
      </c>
      <c r="C13483" t="n">
        <v>3.45</v>
      </c>
    </row>
    <row r="13484">
      <c r="A13484" s="28" t="n">
        <v>38602</v>
      </c>
      <c r="B13484" t="n">
        <v>4.15</v>
      </c>
      <c r="C13484" t="n">
        <v>3.41</v>
      </c>
    </row>
    <row r="13485">
      <c r="A13485" s="28" t="n">
        <v>38603</v>
      </c>
      <c r="B13485" t="n">
        <v>4.15</v>
      </c>
      <c r="C13485" t="n">
        <v>3.4</v>
      </c>
    </row>
    <row r="13486">
      <c r="A13486" s="28" t="n">
        <v>38604</v>
      </c>
      <c r="B13486" t="n">
        <v>4.14</v>
      </c>
      <c r="C13486" t="n">
        <v>3.41</v>
      </c>
    </row>
    <row r="13487">
      <c r="A13487" s="28" t="n">
        <v>38607</v>
      </c>
      <c r="B13487" t="n">
        <v>4.18</v>
      </c>
      <c r="C13487" t="n">
        <v>3.44</v>
      </c>
    </row>
    <row r="13488">
      <c r="A13488" s="28" t="n">
        <v>38608</v>
      </c>
      <c r="B13488" t="n">
        <v>4.14</v>
      </c>
      <c r="C13488" t="n">
        <v>3.4</v>
      </c>
    </row>
    <row r="13489">
      <c r="A13489" s="28" t="n">
        <v>38609</v>
      </c>
      <c r="B13489" t="n">
        <v>4.17</v>
      </c>
      <c r="C13489" t="n">
        <v>3.35</v>
      </c>
    </row>
    <row r="13490">
      <c r="A13490" s="28" t="n">
        <v>38610</v>
      </c>
      <c r="B13490" t="n">
        <v>4.22</v>
      </c>
      <c r="C13490" t="n">
        <v>3.37</v>
      </c>
    </row>
    <row r="13491">
      <c r="A13491" s="28" t="n">
        <v>38611</v>
      </c>
      <c r="B13491" t="n">
        <v>4.26</v>
      </c>
      <c r="C13491" t="n">
        <v>3.42</v>
      </c>
    </row>
    <row r="13492">
      <c r="A13492" s="28" t="n">
        <v>38614</v>
      </c>
      <c r="B13492" t="n">
        <v>4.25</v>
      </c>
      <c r="C13492" t="n">
        <v>3.51</v>
      </c>
    </row>
    <row r="13493">
      <c r="A13493" s="28" t="n">
        <v>38615</v>
      </c>
      <c r="B13493" t="n">
        <v>4.26</v>
      </c>
      <c r="C13493" t="n">
        <v>3.54</v>
      </c>
    </row>
    <row r="13494">
      <c r="A13494" s="28" t="n">
        <v>38616</v>
      </c>
      <c r="B13494" t="n">
        <v>4.19</v>
      </c>
      <c r="C13494" t="n">
        <v>3.34</v>
      </c>
    </row>
    <row r="13495">
      <c r="A13495" s="28" t="n">
        <v>38617</v>
      </c>
      <c r="B13495" t="n">
        <v>4.19</v>
      </c>
      <c r="C13495" t="n">
        <v>3.39</v>
      </c>
    </row>
    <row r="13496">
      <c r="A13496" s="28" t="n">
        <v>38618</v>
      </c>
      <c r="B13496" t="n">
        <v>4.25</v>
      </c>
      <c r="C13496" t="n">
        <v>3.4</v>
      </c>
    </row>
    <row r="13497">
      <c r="A13497" s="28" t="n">
        <v>38621</v>
      </c>
      <c r="B13497" t="n">
        <v>4.3</v>
      </c>
      <c r="C13497" t="n">
        <v>3.46</v>
      </c>
    </row>
    <row r="13498">
      <c r="A13498" s="28" t="n">
        <v>38622</v>
      </c>
      <c r="B13498" t="n">
        <v>4.3</v>
      </c>
      <c r="C13498" t="n">
        <v>3.42</v>
      </c>
    </row>
    <row r="13499">
      <c r="A13499" s="28" t="n">
        <v>38623</v>
      </c>
      <c r="B13499" t="n">
        <v>4.26</v>
      </c>
      <c r="C13499" t="n">
        <v>3.39</v>
      </c>
    </row>
    <row r="13500">
      <c r="A13500" s="28" t="n">
        <v>38624</v>
      </c>
      <c r="B13500" t="n">
        <v>4.29</v>
      </c>
      <c r="C13500" t="n">
        <v>3.46</v>
      </c>
    </row>
    <row r="13501">
      <c r="A13501" s="28" t="n">
        <v>38625</v>
      </c>
      <c r="B13501" t="n">
        <v>4.34</v>
      </c>
      <c r="C13501" t="n">
        <v>3.47</v>
      </c>
    </row>
    <row r="13502">
      <c r="A13502" s="28" t="n">
        <v>38628</v>
      </c>
      <c r="B13502" t="n">
        <v>4.39</v>
      </c>
      <c r="C13502" t="n">
        <v>3.54</v>
      </c>
    </row>
    <row r="13503">
      <c r="A13503" s="28" t="n">
        <v>38629</v>
      </c>
      <c r="B13503" t="n">
        <v>4.38</v>
      </c>
      <c r="C13503" t="n">
        <v>3.55</v>
      </c>
    </row>
    <row r="13504">
      <c r="A13504" s="28" t="n">
        <v>38630</v>
      </c>
      <c r="B13504" t="n">
        <v>4.36</v>
      </c>
      <c r="C13504" t="n">
        <v>3.5</v>
      </c>
    </row>
    <row r="13505">
      <c r="A13505" s="28" t="n">
        <v>38631</v>
      </c>
      <c r="B13505" t="n">
        <v>4.37</v>
      </c>
      <c r="C13505" t="n">
        <v>3.52</v>
      </c>
    </row>
    <row r="13506">
      <c r="A13506" s="28" t="n">
        <v>38632</v>
      </c>
      <c r="B13506" t="n">
        <v>4.35</v>
      </c>
      <c r="C13506" t="n">
        <v>3.54</v>
      </c>
    </row>
    <row r="13507">
      <c r="A13507" s="28" t="n">
        <v>38635</v>
      </c>
      <c r="B13507" t="n">
        <v>0</v>
      </c>
      <c r="C13507" t="n">
        <v>0</v>
      </c>
    </row>
    <row r="13508">
      <c r="A13508" s="28" t="n">
        <v>38636</v>
      </c>
      <c r="B13508" t="n">
        <v>4.39</v>
      </c>
      <c r="C13508" t="n">
        <v>3.65</v>
      </c>
    </row>
    <row r="13509">
      <c r="A13509" s="28" t="n">
        <v>38637</v>
      </c>
      <c r="B13509" t="n">
        <v>4.45</v>
      </c>
      <c r="C13509" t="n">
        <v>3.62</v>
      </c>
    </row>
    <row r="13510">
      <c r="A13510" s="28" t="n">
        <v>38638</v>
      </c>
      <c r="B13510" t="n">
        <v>4.48</v>
      </c>
      <c r="C13510" t="n">
        <v>3.66</v>
      </c>
    </row>
    <row r="13511">
      <c r="A13511" s="28" t="n">
        <v>38639</v>
      </c>
      <c r="B13511" t="n">
        <v>4.48</v>
      </c>
      <c r="C13511" t="n">
        <v>3.69</v>
      </c>
    </row>
    <row r="13512">
      <c r="A13512" s="28" t="n">
        <v>38642</v>
      </c>
      <c r="B13512" t="n">
        <v>4.5</v>
      </c>
      <c r="C13512" t="n">
        <v>3.78</v>
      </c>
    </row>
    <row r="13513">
      <c r="A13513" s="28" t="n">
        <v>38643</v>
      </c>
      <c r="B13513" t="n">
        <v>4.49</v>
      </c>
      <c r="C13513" t="n">
        <v>3.77</v>
      </c>
    </row>
    <row r="13514">
      <c r="A13514" s="28" t="n">
        <v>38644</v>
      </c>
      <c r="B13514" t="n">
        <v>4.47</v>
      </c>
      <c r="C13514" t="n">
        <v>3.77</v>
      </c>
    </row>
    <row r="13515">
      <c r="A13515" s="28" t="n">
        <v>38645</v>
      </c>
      <c r="B13515" t="n">
        <v>4.46</v>
      </c>
      <c r="C13515" t="n">
        <v>3.76</v>
      </c>
    </row>
    <row r="13516">
      <c r="A13516" s="28" t="n">
        <v>38646</v>
      </c>
      <c r="B13516" t="n">
        <v>4.39</v>
      </c>
      <c r="C13516" t="n">
        <v>3.77</v>
      </c>
    </row>
    <row r="13517">
      <c r="A13517" s="28" t="n">
        <v>38649</v>
      </c>
      <c r="B13517" t="n">
        <v>4.45</v>
      </c>
      <c r="C13517" t="n">
        <v>3.84</v>
      </c>
    </row>
    <row r="13518">
      <c r="A13518" s="28" t="n">
        <v>38650</v>
      </c>
      <c r="B13518" t="n">
        <v>4.54</v>
      </c>
      <c r="C13518" t="n">
        <v>3.84</v>
      </c>
    </row>
    <row r="13519">
      <c r="A13519" s="28" t="n">
        <v>38651</v>
      </c>
      <c r="B13519" t="n">
        <v>4.6</v>
      </c>
      <c r="C13519" t="n">
        <v>3.81</v>
      </c>
    </row>
    <row r="13520">
      <c r="A13520" s="28" t="n">
        <v>38652</v>
      </c>
      <c r="B13520" t="n">
        <v>4.57</v>
      </c>
      <c r="C13520" t="n">
        <v>3.79</v>
      </c>
    </row>
    <row r="13521">
      <c r="A13521" s="28" t="n">
        <v>38653</v>
      </c>
      <c r="B13521" t="n">
        <v>4.58</v>
      </c>
      <c r="C13521" t="n">
        <v>3.83</v>
      </c>
    </row>
    <row r="13522">
      <c r="A13522" s="28" t="n">
        <v>38656</v>
      </c>
      <c r="B13522" t="n">
        <v>4.57</v>
      </c>
      <c r="C13522" t="n">
        <v>3.89</v>
      </c>
    </row>
    <row r="13523">
      <c r="A13523" s="28" t="n">
        <v>38657</v>
      </c>
      <c r="B13523" t="n">
        <v>4.58</v>
      </c>
      <c r="C13523" t="n">
        <v>3.87</v>
      </c>
    </row>
    <row r="13524">
      <c r="A13524" s="28" t="n">
        <v>38658</v>
      </c>
      <c r="B13524" t="n">
        <v>4.61</v>
      </c>
      <c r="C13524" t="n">
        <v>3.85</v>
      </c>
    </row>
    <row r="13525">
      <c r="A13525" s="28" t="n">
        <v>38659</v>
      </c>
      <c r="B13525" t="n">
        <v>4.65</v>
      </c>
      <c r="C13525" t="n">
        <v>3.85</v>
      </c>
    </row>
    <row r="13526">
      <c r="A13526" s="28" t="n">
        <v>38660</v>
      </c>
      <c r="B13526" t="n">
        <v>4.66</v>
      </c>
      <c r="C13526" t="n">
        <v>3.88</v>
      </c>
    </row>
    <row r="13527">
      <c r="A13527" s="28" t="n">
        <v>38663</v>
      </c>
      <c r="B13527" t="n">
        <v>4.65</v>
      </c>
      <c r="C13527" t="n">
        <v>3.87</v>
      </c>
    </row>
    <row r="13528">
      <c r="A13528" s="28" t="n">
        <v>38664</v>
      </c>
      <c r="B13528" t="n">
        <v>4.57</v>
      </c>
      <c r="C13528" t="n">
        <v>3.87</v>
      </c>
    </row>
    <row r="13529">
      <c r="A13529" s="28" t="n">
        <v>38665</v>
      </c>
      <c r="B13529" t="n">
        <v>4.64</v>
      </c>
      <c r="C13529" t="n">
        <v>3.9</v>
      </c>
    </row>
    <row r="13530">
      <c r="A13530" s="28" t="n">
        <v>38666</v>
      </c>
      <c r="B13530" t="n">
        <v>4.55</v>
      </c>
      <c r="C13530" t="n">
        <v>3.88</v>
      </c>
    </row>
    <row r="13531">
      <c r="A13531" s="28" t="n">
        <v>38667</v>
      </c>
      <c r="B13531" t="n">
        <v>0</v>
      </c>
      <c r="C13531" t="n">
        <v>0</v>
      </c>
    </row>
    <row r="13532">
      <c r="A13532" s="28" t="n">
        <v>38670</v>
      </c>
      <c r="B13532" t="n">
        <v>4.61</v>
      </c>
      <c r="C13532" t="n">
        <v>3.93</v>
      </c>
    </row>
    <row r="13533">
      <c r="A13533" s="28" t="n">
        <v>38671</v>
      </c>
      <c r="B13533" t="n">
        <v>4.56</v>
      </c>
      <c r="C13533" t="n">
        <v>3.92</v>
      </c>
    </row>
    <row r="13534">
      <c r="A13534" s="28" t="n">
        <v>38672</v>
      </c>
      <c r="B13534" t="n">
        <v>4.49</v>
      </c>
      <c r="C13534" t="n">
        <v>3.91</v>
      </c>
    </row>
    <row r="13535">
      <c r="A13535" s="28" t="n">
        <v>38673</v>
      </c>
      <c r="B13535" t="n">
        <v>4.46</v>
      </c>
      <c r="C13535" t="n">
        <v>3.92</v>
      </c>
    </row>
    <row r="13536">
      <c r="A13536" s="28" t="n">
        <v>38674</v>
      </c>
      <c r="B13536" t="n">
        <v>4.5</v>
      </c>
      <c r="C13536" t="n">
        <v>3.91</v>
      </c>
    </row>
    <row r="13537">
      <c r="A13537" s="28" t="n">
        <v>38677</v>
      </c>
      <c r="B13537" t="n">
        <v>4.46</v>
      </c>
      <c r="C13537" t="n">
        <v>3.91</v>
      </c>
    </row>
    <row r="13538">
      <c r="A13538" s="28" t="n">
        <v>38678</v>
      </c>
      <c r="B13538" t="n">
        <v>4.43</v>
      </c>
      <c r="C13538" t="n">
        <v>3.84</v>
      </c>
    </row>
    <row r="13539">
      <c r="A13539" s="28" t="n">
        <v>38679</v>
      </c>
      <c r="B13539" t="n">
        <v>4.47</v>
      </c>
      <c r="C13539" t="n">
        <v>3.86</v>
      </c>
    </row>
    <row r="13540">
      <c r="A13540" s="28" t="n">
        <v>38680</v>
      </c>
      <c r="B13540" t="n">
        <v>0</v>
      </c>
      <c r="C13540" t="n">
        <v>0</v>
      </c>
    </row>
    <row r="13541">
      <c r="A13541" s="28" t="n">
        <v>38681</v>
      </c>
      <c r="B13541" t="n">
        <v>4.43</v>
      </c>
      <c r="C13541" t="n">
        <v>3.86</v>
      </c>
    </row>
    <row r="13542">
      <c r="A13542" s="28" t="n">
        <v>38684</v>
      </c>
      <c r="B13542" t="n">
        <v>4.41</v>
      </c>
      <c r="C13542" t="n">
        <v>3.89</v>
      </c>
    </row>
    <row r="13543">
      <c r="A13543" s="28" t="n">
        <v>38685</v>
      </c>
      <c r="B13543" t="n">
        <v>4.48</v>
      </c>
      <c r="C13543" t="n">
        <v>3.89</v>
      </c>
    </row>
    <row r="13544">
      <c r="A13544" s="28" t="n">
        <v>38686</v>
      </c>
      <c r="B13544" t="n">
        <v>4.49</v>
      </c>
      <c r="C13544" t="n">
        <v>3.86</v>
      </c>
    </row>
    <row r="13545">
      <c r="A13545" s="28" t="n">
        <v>38687</v>
      </c>
      <c r="B13545" t="n">
        <v>4.52</v>
      </c>
      <c r="C13545" t="n">
        <v>3.88</v>
      </c>
    </row>
    <row r="13546">
      <c r="A13546" s="28" t="n">
        <v>38688</v>
      </c>
      <c r="B13546" t="n">
        <v>4.52</v>
      </c>
      <c r="C13546" t="n">
        <v>3.9</v>
      </c>
    </row>
    <row r="13547">
      <c r="A13547" s="28" t="n">
        <v>38691</v>
      </c>
      <c r="B13547" t="n">
        <v>4.57</v>
      </c>
      <c r="C13547" t="n">
        <v>3.95</v>
      </c>
    </row>
    <row r="13548">
      <c r="A13548" s="28" t="n">
        <v>38692</v>
      </c>
      <c r="B13548" t="n">
        <v>4.49</v>
      </c>
      <c r="C13548" t="n">
        <v>3.95</v>
      </c>
    </row>
    <row r="13549">
      <c r="A13549" s="28" t="n">
        <v>38693</v>
      </c>
      <c r="B13549" t="n">
        <v>4.52</v>
      </c>
      <c r="C13549" t="n">
        <v>3.94</v>
      </c>
    </row>
    <row r="13550">
      <c r="A13550" s="28" t="n">
        <v>38694</v>
      </c>
      <c r="B13550" t="n">
        <v>4.47</v>
      </c>
      <c r="C13550" t="n">
        <v>3.85</v>
      </c>
    </row>
    <row r="13551">
      <c r="A13551" s="28" t="n">
        <v>38695</v>
      </c>
      <c r="B13551" t="n">
        <v>4.54</v>
      </c>
      <c r="C13551" t="n">
        <v>3.85</v>
      </c>
    </row>
    <row r="13552">
      <c r="A13552" s="28" t="n">
        <v>38698</v>
      </c>
      <c r="B13552" t="n">
        <v>4.56</v>
      </c>
      <c r="C13552" t="n">
        <v>3.83</v>
      </c>
    </row>
    <row r="13553">
      <c r="A13553" s="28" t="n">
        <v>38699</v>
      </c>
      <c r="B13553" t="n">
        <v>4.54</v>
      </c>
      <c r="C13553" t="n">
        <v>3.83</v>
      </c>
    </row>
    <row r="13554">
      <c r="A13554" s="28" t="n">
        <v>38700</v>
      </c>
      <c r="B13554" t="n">
        <v>4.45</v>
      </c>
      <c r="C13554" t="n">
        <v>3.81</v>
      </c>
    </row>
    <row r="13555">
      <c r="A13555" s="28" t="n">
        <v>38701</v>
      </c>
      <c r="B13555" t="n">
        <v>4.47</v>
      </c>
      <c r="C13555" t="n">
        <v>3.84</v>
      </c>
    </row>
    <row r="13556">
      <c r="A13556" s="28" t="n">
        <v>38702</v>
      </c>
      <c r="B13556" t="n">
        <v>4.45</v>
      </c>
      <c r="C13556" t="n">
        <v>3.84</v>
      </c>
    </row>
    <row r="13557">
      <c r="A13557" s="28" t="n">
        <v>38705</v>
      </c>
      <c r="B13557" t="n">
        <v>4.45</v>
      </c>
      <c r="C13557" t="n">
        <v>3.89</v>
      </c>
    </row>
    <row r="13558">
      <c r="A13558" s="28" t="n">
        <v>38706</v>
      </c>
      <c r="B13558" t="n">
        <v>4.47</v>
      </c>
      <c r="C13558" t="n">
        <v>3.88</v>
      </c>
    </row>
    <row r="13559">
      <c r="A13559" s="28" t="n">
        <v>38707</v>
      </c>
      <c r="B13559" t="n">
        <v>4.49</v>
      </c>
      <c r="C13559" t="n">
        <v>3.9</v>
      </c>
    </row>
    <row r="13560">
      <c r="A13560" s="28" t="n">
        <v>38708</v>
      </c>
      <c r="B13560" t="n">
        <v>4.44</v>
      </c>
      <c r="C13560" t="n">
        <v>3.89</v>
      </c>
    </row>
    <row r="13561">
      <c r="A13561" s="28" t="n">
        <v>38709</v>
      </c>
      <c r="B13561" t="n">
        <v>4.38</v>
      </c>
      <c r="C13561" t="n">
        <v>3.9</v>
      </c>
    </row>
    <row r="13562">
      <c r="A13562" s="28" t="n">
        <v>38712</v>
      </c>
      <c r="B13562" t="n">
        <v>0</v>
      </c>
      <c r="C13562" t="n">
        <v>0</v>
      </c>
    </row>
    <row r="13563">
      <c r="A13563" s="28" t="n">
        <v>38713</v>
      </c>
      <c r="B13563" t="n">
        <v>4.34</v>
      </c>
      <c r="C13563" t="n">
        <v>3.9</v>
      </c>
    </row>
    <row r="13564">
      <c r="A13564" s="28" t="n">
        <v>38714</v>
      </c>
      <c r="B13564" t="n">
        <v>4.38</v>
      </c>
      <c r="C13564" t="n">
        <v>3.87</v>
      </c>
    </row>
    <row r="13565">
      <c r="A13565" s="28" t="n">
        <v>38715</v>
      </c>
      <c r="B13565" t="n">
        <v>4.37</v>
      </c>
      <c r="C13565" t="n">
        <v>3.92</v>
      </c>
    </row>
    <row r="13566">
      <c r="A13566" s="28" t="n">
        <v>38716</v>
      </c>
      <c r="B13566" t="n">
        <v>4.39</v>
      </c>
      <c r="C13566" t="n">
        <v>3.99</v>
      </c>
    </row>
    <row r="13567">
      <c r="A13567" s="28" t="n">
        <v>38719</v>
      </c>
      <c r="B13567" t="n">
        <v>0</v>
      </c>
      <c r="C13567" t="n">
        <v>0</v>
      </c>
    </row>
    <row r="13568">
      <c r="A13568" s="28" t="n">
        <v>38720</v>
      </c>
      <c r="B13568" t="n">
        <v>4.37</v>
      </c>
      <c r="C13568" t="n">
        <v>4.07</v>
      </c>
    </row>
    <row r="13569">
      <c r="A13569" s="28" t="n">
        <v>38721</v>
      </c>
      <c r="B13569" t="n">
        <v>4.36</v>
      </c>
      <c r="C13569" t="n">
        <v>4.09</v>
      </c>
    </row>
    <row r="13570">
      <c r="A13570" s="28" t="n">
        <v>38722</v>
      </c>
      <c r="B13570" t="n">
        <v>4.36</v>
      </c>
      <c r="C13570" t="n">
        <v>4.1</v>
      </c>
    </row>
    <row r="13571">
      <c r="A13571" s="28" t="n">
        <v>38723</v>
      </c>
      <c r="B13571" t="n">
        <v>4.38</v>
      </c>
      <c r="C13571" t="n">
        <v>4.12</v>
      </c>
    </row>
    <row r="13572">
      <c r="A13572" s="28" t="n">
        <v>38726</v>
      </c>
      <c r="B13572" t="n">
        <v>4.38</v>
      </c>
      <c r="C13572" t="n">
        <v>4.14</v>
      </c>
    </row>
    <row r="13573">
      <c r="A13573" s="28" t="n">
        <v>38727</v>
      </c>
      <c r="B13573" t="n">
        <v>4.43</v>
      </c>
      <c r="C13573" t="n">
        <v>4.19</v>
      </c>
    </row>
    <row r="13574">
      <c r="A13574" s="28" t="n">
        <v>38728</v>
      </c>
      <c r="B13574" t="n">
        <v>4.46</v>
      </c>
      <c r="C13574" t="n">
        <v>4.2</v>
      </c>
    </row>
    <row r="13575">
      <c r="A13575" s="28" t="n">
        <v>38729</v>
      </c>
      <c r="B13575" t="n">
        <v>4.42</v>
      </c>
      <c r="C13575" t="n">
        <v>4.22</v>
      </c>
    </row>
    <row r="13576">
      <c r="A13576" s="28" t="n">
        <v>38730</v>
      </c>
      <c r="B13576" t="n">
        <v>4.36</v>
      </c>
      <c r="C13576" t="n">
        <v>4.23</v>
      </c>
    </row>
    <row r="13577">
      <c r="A13577" s="28" t="n">
        <v>38733</v>
      </c>
      <c r="B13577" t="n">
        <v>0</v>
      </c>
      <c r="C13577" t="n">
        <v>0</v>
      </c>
    </row>
    <row r="13578">
      <c r="A13578" s="28" t="n">
        <v>38734</v>
      </c>
      <c r="B13578" t="n">
        <v>4.34</v>
      </c>
      <c r="C13578" t="n">
        <v>4.28</v>
      </c>
    </row>
    <row r="13579">
      <c r="A13579" s="28" t="n">
        <v>38735</v>
      </c>
      <c r="B13579" t="n">
        <v>4.34</v>
      </c>
      <c r="C13579" t="n">
        <v>4.25</v>
      </c>
    </row>
    <row r="13580">
      <c r="A13580" s="28" t="n">
        <v>38736</v>
      </c>
      <c r="B13580" t="n">
        <v>4.38</v>
      </c>
      <c r="C13580" t="n">
        <v>4.25</v>
      </c>
    </row>
    <row r="13581">
      <c r="A13581" s="28" t="n">
        <v>38737</v>
      </c>
      <c r="B13581" t="n">
        <v>4.37</v>
      </c>
      <c r="C13581" t="n">
        <v>4.25</v>
      </c>
    </row>
    <row r="13582">
      <c r="A13582" s="28" t="n">
        <v>38740</v>
      </c>
      <c r="B13582" t="n">
        <v>4.36</v>
      </c>
      <c r="C13582" t="n">
        <v>4.28</v>
      </c>
    </row>
    <row r="13583">
      <c r="A13583" s="28" t="n">
        <v>38741</v>
      </c>
      <c r="B13583" t="n">
        <v>4.4</v>
      </c>
      <c r="C13583" t="n">
        <v>4.3</v>
      </c>
    </row>
    <row r="13584">
      <c r="A13584" s="28" t="n">
        <v>38742</v>
      </c>
      <c r="B13584" t="n">
        <v>4.49</v>
      </c>
      <c r="C13584" t="n">
        <v>4.32</v>
      </c>
    </row>
    <row r="13585">
      <c r="A13585" s="28" t="n">
        <v>38743</v>
      </c>
      <c r="B13585" t="n">
        <v>4.53</v>
      </c>
      <c r="C13585" t="n">
        <v>4.34</v>
      </c>
    </row>
    <row r="13586">
      <c r="A13586" s="28" t="n">
        <v>38744</v>
      </c>
      <c r="B13586" t="n">
        <v>4.52</v>
      </c>
      <c r="C13586" t="n">
        <v>4.34</v>
      </c>
    </row>
    <row r="13587">
      <c r="A13587" s="28" t="n">
        <v>38747</v>
      </c>
      <c r="B13587" t="n">
        <v>4.54</v>
      </c>
      <c r="C13587" t="n">
        <v>4.38</v>
      </c>
    </row>
    <row r="13588">
      <c r="A13588" s="28" t="n">
        <v>38748</v>
      </c>
      <c r="B13588" t="n">
        <v>4.53</v>
      </c>
      <c r="C13588" t="n">
        <v>4.37</v>
      </c>
    </row>
    <row r="13589">
      <c r="A13589" s="28" t="n">
        <v>38749</v>
      </c>
      <c r="B13589" t="n">
        <v>4.57</v>
      </c>
      <c r="C13589" t="n">
        <v>4.37</v>
      </c>
    </row>
    <row r="13590">
      <c r="A13590" s="28" t="n">
        <v>38750</v>
      </c>
      <c r="B13590" t="n">
        <v>4.57</v>
      </c>
      <c r="C13590" t="n">
        <v>4.37</v>
      </c>
    </row>
    <row r="13591">
      <c r="A13591" s="28" t="n">
        <v>38751</v>
      </c>
      <c r="B13591" t="n">
        <v>4.54</v>
      </c>
      <c r="C13591" t="n">
        <v>4.37</v>
      </c>
    </row>
    <row r="13592">
      <c r="A13592" s="28" t="n">
        <v>38754</v>
      </c>
      <c r="B13592" t="n">
        <v>4.55</v>
      </c>
      <c r="C13592" t="n">
        <v>4.38</v>
      </c>
    </row>
    <row r="13593">
      <c r="A13593" s="28" t="n">
        <v>38755</v>
      </c>
      <c r="B13593" t="n">
        <v>4.57</v>
      </c>
      <c r="C13593" t="n">
        <v>4.39</v>
      </c>
    </row>
    <row r="13594">
      <c r="A13594" s="28" t="n">
        <v>38756</v>
      </c>
      <c r="B13594" t="n">
        <v>4.56</v>
      </c>
      <c r="C13594" t="n">
        <v>4.4</v>
      </c>
    </row>
    <row r="13595">
      <c r="A13595" s="28" t="n">
        <v>38757</v>
      </c>
      <c r="B13595" t="n">
        <v>4.54</v>
      </c>
      <c r="C13595" t="n">
        <v>4.41</v>
      </c>
    </row>
    <row r="13596">
      <c r="A13596" s="28" t="n">
        <v>38758</v>
      </c>
      <c r="B13596" t="n">
        <v>4.59</v>
      </c>
      <c r="C13596" t="n">
        <v>4.42</v>
      </c>
    </row>
    <row r="13597">
      <c r="A13597" s="28" t="n">
        <v>38761</v>
      </c>
      <c r="B13597" t="n">
        <v>4.58</v>
      </c>
      <c r="C13597" t="n">
        <v>4.45</v>
      </c>
    </row>
    <row r="13598">
      <c r="A13598" s="28" t="n">
        <v>38762</v>
      </c>
      <c r="B13598" t="n">
        <v>4.62</v>
      </c>
      <c r="C13598" t="n">
        <v>4.45</v>
      </c>
    </row>
    <row r="13599">
      <c r="A13599" s="28" t="n">
        <v>38763</v>
      </c>
      <c r="B13599" t="n">
        <v>4.61</v>
      </c>
      <c r="C13599" t="n">
        <v>4.44</v>
      </c>
    </row>
    <row r="13600">
      <c r="A13600" s="28" t="n">
        <v>38764</v>
      </c>
      <c r="B13600" t="n">
        <v>4.59</v>
      </c>
      <c r="C13600" t="n">
        <v>4.44</v>
      </c>
    </row>
    <row r="13601">
      <c r="A13601" s="28" t="n">
        <v>38765</v>
      </c>
      <c r="B13601" t="n">
        <v>4.54</v>
      </c>
      <c r="C13601" t="n">
        <v>4.43</v>
      </c>
    </row>
    <row r="13602">
      <c r="A13602" s="28" t="n">
        <v>38768</v>
      </c>
      <c r="B13602" t="n">
        <v>0</v>
      </c>
      <c r="C13602" t="n">
        <v>0</v>
      </c>
    </row>
    <row r="13603">
      <c r="A13603" s="28" t="n">
        <v>38769</v>
      </c>
      <c r="B13603" t="n">
        <v>4.57</v>
      </c>
      <c r="C13603" t="n">
        <v>4.46</v>
      </c>
    </row>
    <row r="13604">
      <c r="A13604" s="28" t="n">
        <v>38770</v>
      </c>
      <c r="B13604" t="n">
        <v>4.53</v>
      </c>
      <c r="C13604" t="n">
        <v>4.46</v>
      </c>
    </row>
    <row r="13605">
      <c r="A13605" s="28" t="n">
        <v>38771</v>
      </c>
      <c r="B13605" t="n">
        <v>4.56</v>
      </c>
      <c r="C13605" t="n">
        <v>4.48</v>
      </c>
    </row>
    <row r="13606">
      <c r="A13606" s="28" t="n">
        <v>38772</v>
      </c>
      <c r="B13606" t="n">
        <v>4.58</v>
      </c>
      <c r="C13606" t="n">
        <v>4.49</v>
      </c>
    </row>
    <row r="13607">
      <c r="A13607" s="28" t="n">
        <v>38775</v>
      </c>
      <c r="B13607" t="n">
        <v>4.59</v>
      </c>
      <c r="C13607" t="n">
        <v>4.51</v>
      </c>
    </row>
    <row r="13608">
      <c r="A13608" s="28" t="n">
        <v>38776</v>
      </c>
      <c r="B13608" t="n">
        <v>4.55</v>
      </c>
      <c r="C13608" t="n">
        <v>4.51</v>
      </c>
    </row>
    <row r="13609">
      <c r="A13609" s="28" t="n">
        <v>38777</v>
      </c>
      <c r="B13609" t="n">
        <v>4.59</v>
      </c>
      <c r="C13609" t="n">
        <v>4.49</v>
      </c>
    </row>
    <row r="13610">
      <c r="A13610" s="28" t="n">
        <v>38778</v>
      </c>
      <c r="B13610" t="n">
        <v>4.64</v>
      </c>
      <c r="C13610" t="n">
        <v>4.5</v>
      </c>
    </row>
    <row r="13611">
      <c r="A13611" s="28" t="n">
        <v>38779</v>
      </c>
      <c r="B13611" t="n">
        <v>4.68</v>
      </c>
      <c r="C13611" t="n">
        <v>4.5</v>
      </c>
    </row>
    <row r="13612">
      <c r="A13612" s="28" t="n">
        <v>38782</v>
      </c>
      <c r="B13612" t="n">
        <v>4.74</v>
      </c>
      <c r="C13612" t="n">
        <v>4.49</v>
      </c>
    </row>
    <row r="13613">
      <c r="A13613" s="28" t="n">
        <v>38783</v>
      </c>
      <c r="B13613" t="n">
        <v>4.74</v>
      </c>
      <c r="C13613" t="n">
        <v>4.49</v>
      </c>
    </row>
    <row r="13614">
      <c r="A13614" s="28" t="n">
        <v>38784</v>
      </c>
      <c r="B13614" t="n">
        <v>4.73</v>
      </c>
      <c r="C13614" t="n">
        <v>4.47</v>
      </c>
    </row>
    <row r="13615">
      <c r="A13615" s="28" t="n">
        <v>38785</v>
      </c>
      <c r="B13615" t="n">
        <v>4.74</v>
      </c>
      <c r="C13615" t="n">
        <v>4.48</v>
      </c>
    </row>
    <row r="13616">
      <c r="A13616" s="28" t="n">
        <v>38786</v>
      </c>
      <c r="B13616" t="n">
        <v>4.76</v>
      </c>
      <c r="C13616" t="n">
        <v>4.5</v>
      </c>
    </row>
    <row r="13617">
      <c r="A13617" s="28" t="n">
        <v>38789</v>
      </c>
      <c r="B13617" t="n">
        <v>4.77</v>
      </c>
      <c r="C13617" t="n">
        <v>4.5</v>
      </c>
    </row>
    <row r="13618">
      <c r="A13618" s="28" t="n">
        <v>38790</v>
      </c>
      <c r="B13618" t="n">
        <v>4.71</v>
      </c>
      <c r="C13618" t="n">
        <v>4.48</v>
      </c>
    </row>
    <row r="13619">
      <c r="A13619" s="28" t="n">
        <v>38791</v>
      </c>
      <c r="B13619" t="n">
        <v>4.73</v>
      </c>
      <c r="C13619" t="n">
        <v>4.51</v>
      </c>
    </row>
    <row r="13620">
      <c r="A13620" s="28" t="n">
        <v>38792</v>
      </c>
      <c r="B13620" t="n">
        <v>4.65</v>
      </c>
      <c r="C13620" t="n">
        <v>4.5</v>
      </c>
    </row>
    <row r="13621">
      <c r="A13621" s="28" t="n">
        <v>38793</v>
      </c>
      <c r="B13621" t="n">
        <v>4.68</v>
      </c>
      <c r="C13621" t="n">
        <v>4.52</v>
      </c>
    </row>
    <row r="13622">
      <c r="A13622" s="28" t="n">
        <v>38796</v>
      </c>
      <c r="B13622" t="n">
        <v>4.66</v>
      </c>
      <c r="C13622" t="n">
        <v>4.55</v>
      </c>
    </row>
    <row r="13623">
      <c r="A13623" s="28" t="n">
        <v>38797</v>
      </c>
      <c r="B13623" t="n">
        <v>4.71</v>
      </c>
      <c r="C13623" t="n">
        <v>4.57</v>
      </c>
    </row>
    <row r="13624">
      <c r="A13624" s="28" t="n">
        <v>38798</v>
      </c>
      <c r="B13624" t="n">
        <v>4.7</v>
      </c>
      <c r="C13624" t="n">
        <v>4.57</v>
      </c>
    </row>
    <row r="13625">
      <c r="A13625" s="28" t="n">
        <v>38799</v>
      </c>
      <c r="B13625" t="n">
        <v>4.73</v>
      </c>
      <c r="C13625" t="n">
        <v>4.55</v>
      </c>
    </row>
    <row r="13626">
      <c r="A13626" s="28" t="n">
        <v>38800</v>
      </c>
      <c r="B13626" t="n">
        <v>4.67</v>
      </c>
      <c r="C13626" t="n">
        <v>4.54</v>
      </c>
    </row>
    <row r="13627">
      <c r="A13627" s="28" t="n">
        <v>38803</v>
      </c>
      <c r="B13627" t="n">
        <v>4.7</v>
      </c>
      <c r="C13627" t="n">
        <v>4.51</v>
      </c>
    </row>
    <row r="13628">
      <c r="A13628" s="28" t="n">
        <v>38804</v>
      </c>
      <c r="B13628" t="n">
        <v>4.79</v>
      </c>
      <c r="C13628" t="n">
        <v>4.53</v>
      </c>
    </row>
    <row r="13629">
      <c r="A13629" s="28" t="n">
        <v>38805</v>
      </c>
      <c r="B13629" t="n">
        <v>4.81</v>
      </c>
      <c r="C13629" t="n">
        <v>4.51</v>
      </c>
    </row>
    <row r="13630">
      <c r="A13630" s="28" t="n">
        <v>38806</v>
      </c>
      <c r="B13630" t="n">
        <v>4.86</v>
      </c>
      <c r="C13630" t="n">
        <v>4.5</v>
      </c>
    </row>
    <row r="13631">
      <c r="A13631" s="28" t="n">
        <v>38807</v>
      </c>
      <c r="B13631" t="n">
        <v>4.86</v>
      </c>
      <c r="C13631" t="n">
        <v>4.52</v>
      </c>
    </row>
    <row r="13632">
      <c r="A13632" s="28" t="n">
        <v>38810</v>
      </c>
      <c r="B13632" t="n">
        <v>4.88</v>
      </c>
      <c r="C13632" t="n">
        <v>4.55</v>
      </c>
    </row>
    <row r="13633">
      <c r="A13633" s="28" t="n">
        <v>38811</v>
      </c>
      <c r="B13633" t="n">
        <v>4.87</v>
      </c>
      <c r="C13633" t="n">
        <v>4.56</v>
      </c>
    </row>
    <row r="13634">
      <c r="A13634" s="28" t="n">
        <v>38812</v>
      </c>
      <c r="B13634" t="n">
        <v>4.84</v>
      </c>
      <c r="C13634" t="n">
        <v>4.55</v>
      </c>
    </row>
    <row r="13635">
      <c r="A13635" s="28" t="n">
        <v>38813</v>
      </c>
      <c r="B13635" t="n">
        <v>4.9</v>
      </c>
      <c r="C13635" t="n">
        <v>4.56</v>
      </c>
    </row>
    <row r="13636">
      <c r="A13636" s="28" t="n">
        <v>38814</v>
      </c>
      <c r="B13636" t="n">
        <v>4.97</v>
      </c>
      <c r="C13636" t="n">
        <v>4.57</v>
      </c>
    </row>
    <row r="13637">
      <c r="A13637" s="28" t="n">
        <v>38817</v>
      </c>
      <c r="B13637" t="n">
        <v>4.97</v>
      </c>
      <c r="C13637" t="n">
        <v>4.58</v>
      </c>
    </row>
    <row r="13638">
      <c r="A13638" s="28" t="n">
        <v>38818</v>
      </c>
      <c r="B13638" t="n">
        <v>4.93</v>
      </c>
      <c r="C13638" t="n">
        <v>4.58</v>
      </c>
    </row>
    <row r="13639">
      <c r="A13639" s="28" t="n">
        <v>38819</v>
      </c>
      <c r="B13639" t="n">
        <v>4.98</v>
      </c>
      <c r="C13639" t="n">
        <v>4.58</v>
      </c>
    </row>
    <row r="13640">
      <c r="A13640" s="28" t="n">
        <v>38820</v>
      </c>
      <c r="B13640" t="n">
        <v>5.05</v>
      </c>
      <c r="C13640" t="n">
        <v>4.58</v>
      </c>
    </row>
    <row r="13641">
      <c r="A13641" s="28" t="n">
        <v>38821</v>
      </c>
      <c r="B13641" t="n">
        <v>0</v>
      </c>
      <c r="C13641" t="n">
        <v>0</v>
      </c>
    </row>
    <row r="13642">
      <c r="A13642" s="28" t="n">
        <v>38824</v>
      </c>
      <c r="B13642" t="n">
        <v>5.01</v>
      </c>
      <c r="C13642" t="n">
        <v>4.61</v>
      </c>
    </row>
    <row r="13643">
      <c r="A13643" s="28" t="n">
        <v>38825</v>
      </c>
      <c r="B13643" t="n">
        <v>4.99</v>
      </c>
      <c r="C13643" t="n">
        <v>4.61</v>
      </c>
    </row>
    <row r="13644">
      <c r="A13644" s="28" t="n">
        <v>38826</v>
      </c>
      <c r="B13644" t="n">
        <v>5.04</v>
      </c>
      <c r="C13644" t="n">
        <v>4.61</v>
      </c>
    </row>
    <row r="13645">
      <c r="A13645" s="28" t="n">
        <v>38827</v>
      </c>
      <c r="B13645" t="n">
        <v>5.04</v>
      </c>
      <c r="C13645" t="n">
        <v>4.61</v>
      </c>
    </row>
    <row r="13646">
      <c r="A13646" s="28" t="n">
        <v>38828</v>
      </c>
      <c r="B13646" t="n">
        <v>5.01</v>
      </c>
      <c r="C13646" t="n">
        <v>4.63</v>
      </c>
    </row>
    <row r="13647">
      <c r="A13647" s="28" t="n">
        <v>38831</v>
      </c>
      <c r="B13647" t="n">
        <v>4.99</v>
      </c>
      <c r="C13647" t="n">
        <v>4.64</v>
      </c>
    </row>
    <row r="13648">
      <c r="A13648" s="28" t="n">
        <v>38832</v>
      </c>
      <c r="B13648" t="n">
        <v>5.07</v>
      </c>
      <c r="C13648" t="n">
        <v>4.67</v>
      </c>
    </row>
    <row r="13649">
      <c r="A13649" s="28" t="n">
        <v>38833</v>
      </c>
      <c r="B13649" t="n">
        <v>5.12</v>
      </c>
      <c r="C13649" t="n">
        <v>4.67</v>
      </c>
    </row>
    <row r="13650">
      <c r="A13650" s="28" t="n">
        <v>38834</v>
      </c>
      <c r="B13650" t="n">
        <v>5.09</v>
      </c>
      <c r="C13650" t="n">
        <v>4.66</v>
      </c>
    </row>
    <row r="13651">
      <c r="A13651" s="28" t="n">
        <v>38835</v>
      </c>
      <c r="B13651" t="n">
        <v>5.07</v>
      </c>
      <c r="C13651" t="n">
        <v>4.65</v>
      </c>
    </row>
    <row r="13652">
      <c r="A13652" s="28" t="n">
        <v>38838</v>
      </c>
      <c r="B13652" t="n">
        <v>5.14</v>
      </c>
      <c r="C13652" t="n">
        <v>4.7</v>
      </c>
    </row>
    <row r="13653">
      <c r="A13653" s="28" t="n">
        <v>38839</v>
      </c>
      <c r="B13653" t="n">
        <v>5.12</v>
      </c>
      <c r="C13653" t="n">
        <v>4.69</v>
      </c>
    </row>
    <row r="13654">
      <c r="A13654" s="28" t="n">
        <v>38840</v>
      </c>
      <c r="B13654" t="n">
        <v>5.15</v>
      </c>
      <c r="C13654" t="n">
        <v>4.7</v>
      </c>
    </row>
    <row r="13655">
      <c r="A13655" s="28" t="n">
        <v>38841</v>
      </c>
      <c r="B13655" t="n">
        <v>5.16</v>
      </c>
      <c r="C13655" t="n">
        <v>4.68</v>
      </c>
    </row>
    <row r="13656">
      <c r="A13656" s="28" t="n">
        <v>38842</v>
      </c>
      <c r="B13656" t="n">
        <v>5.12</v>
      </c>
      <c r="C13656" t="n">
        <v>4.7</v>
      </c>
    </row>
    <row r="13657">
      <c r="A13657" s="28" t="n">
        <v>38845</v>
      </c>
      <c r="B13657" t="n">
        <v>5.12</v>
      </c>
      <c r="C13657" t="n">
        <v>4.75</v>
      </c>
    </row>
    <row r="13658">
      <c r="A13658" s="28" t="n">
        <v>38846</v>
      </c>
      <c r="B13658" t="n">
        <v>5.13</v>
      </c>
      <c r="C13658" t="n">
        <v>4.76</v>
      </c>
    </row>
    <row r="13659">
      <c r="A13659" s="28" t="n">
        <v>38847</v>
      </c>
      <c r="B13659" t="n">
        <v>5.13</v>
      </c>
      <c r="C13659" t="n">
        <v>4.76</v>
      </c>
    </row>
    <row r="13660">
      <c r="A13660" s="28" t="n">
        <v>38848</v>
      </c>
      <c r="B13660" t="n">
        <v>5.14</v>
      </c>
      <c r="C13660" t="n">
        <v>4.7</v>
      </c>
    </row>
    <row r="13661">
      <c r="A13661" s="28" t="n">
        <v>38849</v>
      </c>
      <c r="B13661" t="n">
        <v>5.19</v>
      </c>
      <c r="C13661" t="n">
        <v>4.72</v>
      </c>
    </row>
    <row r="13662">
      <c r="A13662" s="28" t="n">
        <v>38852</v>
      </c>
      <c r="B13662" t="n">
        <v>5.15</v>
      </c>
      <c r="C13662" t="n">
        <v>4.74</v>
      </c>
    </row>
    <row r="13663">
      <c r="A13663" s="28" t="n">
        <v>38853</v>
      </c>
      <c r="B13663" t="n">
        <v>5.1</v>
      </c>
      <c r="C13663" t="n">
        <v>4.71</v>
      </c>
    </row>
    <row r="13664">
      <c r="A13664" s="28" t="n">
        <v>38854</v>
      </c>
      <c r="B13664" t="n">
        <v>5.16</v>
      </c>
      <c r="C13664" t="n">
        <v>4.71</v>
      </c>
    </row>
    <row r="13665">
      <c r="A13665" s="28" t="n">
        <v>38855</v>
      </c>
      <c r="B13665" t="n">
        <v>5.08</v>
      </c>
      <c r="C13665" t="n">
        <v>4.71</v>
      </c>
    </row>
    <row r="13666">
      <c r="A13666" s="28" t="n">
        <v>38856</v>
      </c>
      <c r="B13666" t="n">
        <v>5.05</v>
      </c>
      <c r="C13666" t="n">
        <v>4.7</v>
      </c>
    </row>
    <row r="13667">
      <c r="A13667" s="28" t="n">
        <v>38859</v>
      </c>
      <c r="B13667" t="n">
        <v>5.04</v>
      </c>
      <c r="C13667" t="n">
        <v>4.71</v>
      </c>
    </row>
    <row r="13668">
      <c r="A13668" s="28" t="n">
        <v>38860</v>
      </c>
      <c r="B13668" t="n">
        <v>5.07</v>
      </c>
      <c r="C13668" t="n">
        <v>4.72</v>
      </c>
    </row>
    <row r="13669">
      <c r="A13669" s="28" t="n">
        <v>38861</v>
      </c>
      <c r="B13669" t="n">
        <v>5.03</v>
      </c>
      <c r="C13669" t="n">
        <v>4.7</v>
      </c>
    </row>
    <row r="13670">
      <c r="A13670" s="28" t="n">
        <v>38862</v>
      </c>
      <c r="B13670" t="n">
        <v>5.07</v>
      </c>
      <c r="C13670" t="n">
        <v>4.7</v>
      </c>
    </row>
    <row r="13671">
      <c r="A13671" s="28" t="n">
        <v>38863</v>
      </c>
      <c r="B13671" t="n">
        <v>5.06</v>
      </c>
      <c r="C13671" t="n">
        <v>4.72</v>
      </c>
    </row>
    <row r="13672">
      <c r="A13672" s="28" t="n">
        <v>38866</v>
      </c>
      <c r="B13672" t="n">
        <v>0</v>
      </c>
      <c r="C13672" t="n">
        <v>0</v>
      </c>
    </row>
    <row r="13673">
      <c r="A13673" s="28" t="n">
        <v>38867</v>
      </c>
      <c r="B13673" t="n">
        <v>5.09</v>
      </c>
      <c r="C13673" t="n">
        <v>4.72</v>
      </c>
    </row>
    <row r="13674">
      <c r="A13674" s="28" t="n">
        <v>38868</v>
      </c>
      <c r="B13674" t="n">
        <v>5.12</v>
      </c>
      <c r="C13674" t="n">
        <v>4.74</v>
      </c>
    </row>
    <row r="13675">
      <c r="A13675" s="28" t="n">
        <v>38869</v>
      </c>
      <c r="B13675" t="n">
        <v>5.11</v>
      </c>
      <c r="C13675" t="n">
        <v>4.71</v>
      </c>
    </row>
    <row r="13676">
      <c r="A13676" s="28" t="n">
        <v>38870</v>
      </c>
      <c r="B13676" t="n">
        <v>5</v>
      </c>
      <c r="C13676" t="n">
        <v>4.69</v>
      </c>
    </row>
    <row r="13677">
      <c r="A13677" s="28" t="n">
        <v>38873</v>
      </c>
      <c r="B13677" t="n">
        <v>5.02</v>
      </c>
      <c r="C13677" t="n">
        <v>4.73</v>
      </c>
    </row>
    <row r="13678">
      <c r="A13678" s="28" t="n">
        <v>38874</v>
      </c>
      <c r="B13678" t="n">
        <v>5.01</v>
      </c>
      <c r="C13678" t="n">
        <v>4.74</v>
      </c>
    </row>
    <row r="13679">
      <c r="A13679" s="28" t="n">
        <v>38875</v>
      </c>
      <c r="B13679" t="n">
        <v>5.02</v>
      </c>
      <c r="C13679" t="n">
        <v>4.74</v>
      </c>
    </row>
    <row r="13680">
      <c r="A13680" s="28" t="n">
        <v>38876</v>
      </c>
      <c r="B13680" t="n">
        <v>5</v>
      </c>
      <c r="C13680" t="n">
        <v>4.74</v>
      </c>
    </row>
    <row r="13681">
      <c r="A13681" s="28" t="n">
        <v>38877</v>
      </c>
      <c r="B13681" t="n">
        <v>4.98</v>
      </c>
      <c r="C13681" t="n">
        <v>4.75</v>
      </c>
    </row>
    <row r="13682">
      <c r="A13682" s="28" t="n">
        <v>38880</v>
      </c>
      <c r="B13682" t="n">
        <v>4.99</v>
      </c>
      <c r="C13682" t="n">
        <v>4.81</v>
      </c>
    </row>
    <row r="13683">
      <c r="A13683" s="28" t="n">
        <v>38881</v>
      </c>
      <c r="B13683" t="n">
        <v>4.97</v>
      </c>
      <c r="C13683" t="n">
        <v>4.77</v>
      </c>
    </row>
    <row r="13684">
      <c r="A13684" s="28" t="n">
        <v>38882</v>
      </c>
      <c r="B13684" t="n">
        <v>5.05</v>
      </c>
      <c r="C13684" t="n">
        <v>4.77</v>
      </c>
    </row>
    <row r="13685">
      <c r="A13685" s="28" t="n">
        <v>38883</v>
      </c>
      <c r="B13685" t="n">
        <v>5.1</v>
      </c>
      <c r="C13685" t="n">
        <v>4.72</v>
      </c>
    </row>
    <row r="13686">
      <c r="A13686" s="28" t="n">
        <v>38884</v>
      </c>
      <c r="B13686" t="n">
        <v>5.13</v>
      </c>
      <c r="C13686" t="n">
        <v>4.75</v>
      </c>
    </row>
    <row r="13687">
      <c r="A13687" s="28" t="n">
        <v>38887</v>
      </c>
      <c r="B13687" t="n">
        <v>5.14</v>
      </c>
      <c r="C13687" t="n">
        <v>4.81</v>
      </c>
    </row>
    <row r="13688">
      <c r="A13688" s="28" t="n">
        <v>38888</v>
      </c>
      <c r="B13688" t="n">
        <v>5.15</v>
      </c>
      <c r="C13688" t="n">
        <v>4.8</v>
      </c>
    </row>
    <row r="13689">
      <c r="A13689" s="28" t="n">
        <v>38889</v>
      </c>
      <c r="B13689" t="n">
        <v>5.16</v>
      </c>
      <c r="C13689" t="n">
        <v>4.79</v>
      </c>
    </row>
    <row r="13690">
      <c r="A13690" s="28" t="n">
        <v>38890</v>
      </c>
      <c r="B13690" t="n">
        <v>5.2</v>
      </c>
      <c r="C13690" t="n">
        <v>4.79</v>
      </c>
    </row>
    <row r="13691">
      <c r="A13691" s="28" t="n">
        <v>38891</v>
      </c>
      <c r="B13691" t="n">
        <v>5.23</v>
      </c>
      <c r="C13691" t="n">
        <v>4.84</v>
      </c>
    </row>
    <row r="13692">
      <c r="A13692" s="28" t="n">
        <v>38894</v>
      </c>
      <c r="B13692" t="n">
        <v>5.25</v>
      </c>
      <c r="C13692" t="n">
        <v>4.91</v>
      </c>
    </row>
    <row r="13693">
      <c r="A13693" s="28" t="n">
        <v>38895</v>
      </c>
      <c r="B13693" t="n">
        <v>5.21</v>
      </c>
      <c r="C13693" t="n">
        <v>4.92</v>
      </c>
    </row>
    <row r="13694">
      <c r="A13694" s="28" t="n">
        <v>38896</v>
      </c>
      <c r="B13694" t="n">
        <v>5.25</v>
      </c>
      <c r="C13694" t="n">
        <v>4.88</v>
      </c>
    </row>
    <row r="13695">
      <c r="A13695" s="28" t="n">
        <v>38897</v>
      </c>
      <c r="B13695" t="n">
        <v>5.22</v>
      </c>
      <c r="C13695" t="n">
        <v>4.88</v>
      </c>
    </row>
    <row r="13696">
      <c r="A13696" s="28" t="n">
        <v>38898</v>
      </c>
      <c r="B13696" t="n">
        <v>5.15</v>
      </c>
      <c r="C13696" t="n">
        <v>4.87</v>
      </c>
    </row>
    <row r="13697">
      <c r="A13697" s="28" t="n">
        <v>38901</v>
      </c>
      <c r="B13697" t="n">
        <v>5.15</v>
      </c>
      <c r="C13697" t="n">
        <v>4.96</v>
      </c>
    </row>
    <row r="13698">
      <c r="A13698" s="28" t="n">
        <v>38902</v>
      </c>
      <c r="B13698" t="n">
        <v>0</v>
      </c>
      <c r="C13698" t="n">
        <v>0</v>
      </c>
    </row>
    <row r="13699">
      <c r="A13699" s="28" t="n">
        <v>38903</v>
      </c>
      <c r="B13699" t="n">
        <v>5.23</v>
      </c>
      <c r="C13699" t="n">
        <v>4.88</v>
      </c>
    </row>
    <row r="13700">
      <c r="A13700" s="28" t="n">
        <v>38904</v>
      </c>
      <c r="B13700" t="n">
        <v>5.19</v>
      </c>
      <c r="C13700" t="n">
        <v>4.87</v>
      </c>
    </row>
    <row r="13701">
      <c r="A13701" s="28" t="n">
        <v>38905</v>
      </c>
      <c r="B13701" t="n">
        <v>5.14</v>
      </c>
      <c r="C13701" t="n">
        <v>4.89</v>
      </c>
    </row>
    <row r="13702">
      <c r="A13702" s="28" t="n">
        <v>38908</v>
      </c>
      <c r="B13702" t="n">
        <v>5.13</v>
      </c>
      <c r="C13702" t="n">
        <v>4.93</v>
      </c>
    </row>
    <row r="13703">
      <c r="A13703" s="28" t="n">
        <v>38909</v>
      </c>
      <c r="B13703" t="n">
        <v>5.1</v>
      </c>
      <c r="C13703" t="n">
        <v>4.92</v>
      </c>
    </row>
    <row r="13704">
      <c r="A13704" s="28" t="n">
        <v>38910</v>
      </c>
      <c r="B13704" t="n">
        <v>5.1</v>
      </c>
      <c r="C13704" t="n">
        <v>4.93</v>
      </c>
    </row>
    <row r="13705">
      <c r="A13705" s="28" t="n">
        <v>38911</v>
      </c>
      <c r="B13705" t="n">
        <v>5.08</v>
      </c>
      <c r="C13705" t="n">
        <v>4.92</v>
      </c>
    </row>
    <row r="13706">
      <c r="A13706" s="28" t="n">
        <v>38912</v>
      </c>
      <c r="B13706" t="n">
        <v>5.07</v>
      </c>
      <c r="C13706" t="n">
        <v>4.93</v>
      </c>
    </row>
    <row r="13707">
      <c r="A13707" s="28" t="n">
        <v>38915</v>
      </c>
      <c r="B13707" t="n">
        <v>5.07</v>
      </c>
      <c r="C13707" t="n">
        <v>4.98</v>
      </c>
    </row>
    <row r="13708">
      <c r="A13708" s="28" t="n">
        <v>38916</v>
      </c>
      <c r="B13708" t="n">
        <v>5.13</v>
      </c>
      <c r="C13708" t="n">
        <v>5</v>
      </c>
    </row>
    <row r="13709">
      <c r="A13709" s="28" t="n">
        <v>38917</v>
      </c>
      <c r="B13709" t="n">
        <v>5.06</v>
      </c>
      <c r="C13709" t="n">
        <v>4.98</v>
      </c>
    </row>
    <row r="13710">
      <c r="A13710" s="28" t="n">
        <v>38918</v>
      </c>
      <c r="B13710" t="n">
        <v>5.03</v>
      </c>
      <c r="C13710" t="n">
        <v>4.95</v>
      </c>
    </row>
    <row r="13711">
      <c r="A13711" s="28" t="n">
        <v>38919</v>
      </c>
      <c r="B13711" t="n">
        <v>5.05</v>
      </c>
      <c r="C13711" t="n">
        <v>4.96</v>
      </c>
    </row>
    <row r="13712">
      <c r="A13712" s="28" t="n">
        <v>38922</v>
      </c>
      <c r="B13712" t="n">
        <v>5.05</v>
      </c>
      <c r="C13712" t="n">
        <v>4.97</v>
      </c>
    </row>
    <row r="13713">
      <c r="A13713" s="28" t="n">
        <v>38923</v>
      </c>
      <c r="B13713" t="n">
        <v>5.07</v>
      </c>
      <c r="C13713" t="n">
        <v>5</v>
      </c>
    </row>
    <row r="13714">
      <c r="A13714" s="28" t="n">
        <v>38924</v>
      </c>
      <c r="B13714" t="n">
        <v>5.04</v>
      </c>
      <c r="C13714" t="n">
        <v>4.98</v>
      </c>
    </row>
    <row r="13715">
      <c r="A13715" s="28" t="n">
        <v>38925</v>
      </c>
      <c r="B13715" t="n">
        <v>5.07</v>
      </c>
      <c r="C13715" t="n">
        <v>4.97</v>
      </c>
    </row>
    <row r="13716">
      <c r="A13716" s="28" t="n">
        <v>38926</v>
      </c>
      <c r="B13716" t="n">
        <v>5</v>
      </c>
      <c r="C13716" t="n">
        <v>4.94</v>
      </c>
    </row>
    <row r="13717">
      <c r="A13717" s="28" t="n">
        <v>38929</v>
      </c>
      <c r="B13717" t="n">
        <v>4.99</v>
      </c>
      <c r="C13717" t="n">
        <v>4.97</v>
      </c>
    </row>
    <row r="13718">
      <c r="A13718" s="28" t="n">
        <v>38930</v>
      </c>
      <c r="B13718" t="n">
        <v>4.99</v>
      </c>
      <c r="C13718" t="n">
        <v>4.99</v>
      </c>
    </row>
    <row r="13719">
      <c r="A13719" s="28" t="n">
        <v>38931</v>
      </c>
      <c r="B13719" t="n">
        <v>4.96</v>
      </c>
      <c r="C13719" t="n">
        <v>4.97</v>
      </c>
    </row>
    <row r="13720">
      <c r="A13720" s="28" t="n">
        <v>38932</v>
      </c>
      <c r="B13720" t="n">
        <v>4.96</v>
      </c>
      <c r="C13720" t="n">
        <v>4.98</v>
      </c>
    </row>
    <row r="13721">
      <c r="A13721" s="28" t="n">
        <v>38933</v>
      </c>
      <c r="B13721" t="n">
        <v>4.91</v>
      </c>
      <c r="C13721" t="n">
        <v>4.96</v>
      </c>
    </row>
    <row r="13722">
      <c r="A13722" s="28" t="n">
        <v>38936</v>
      </c>
      <c r="B13722" t="n">
        <v>4.93</v>
      </c>
      <c r="C13722" t="n">
        <v>4.99</v>
      </c>
    </row>
    <row r="13723">
      <c r="A13723" s="28" t="n">
        <v>38937</v>
      </c>
      <c r="B13723" t="n">
        <v>4.93</v>
      </c>
      <c r="C13723" t="n">
        <v>4.97</v>
      </c>
    </row>
    <row r="13724">
      <c r="A13724" s="28" t="n">
        <v>38938</v>
      </c>
      <c r="B13724" t="n">
        <v>4.92</v>
      </c>
      <c r="C13724" t="n">
        <v>4.94</v>
      </c>
    </row>
    <row r="13725">
      <c r="A13725" s="28" t="n">
        <v>38939</v>
      </c>
      <c r="B13725" t="n">
        <v>4.93</v>
      </c>
      <c r="C13725" t="n">
        <v>4.92</v>
      </c>
    </row>
    <row r="13726">
      <c r="A13726" s="28" t="n">
        <v>38940</v>
      </c>
      <c r="B13726" t="n">
        <v>4.97</v>
      </c>
      <c r="C13726" t="n">
        <v>4.94</v>
      </c>
    </row>
    <row r="13727">
      <c r="A13727" s="28" t="n">
        <v>38943</v>
      </c>
      <c r="B13727" t="n">
        <v>5</v>
      </c>
      <c r="C13727" t="n">
        <v>4.99</v>
      </c>
    </row>
    <row r="13728">
      <c r="A13728" s="28" t="n">
        <v>38944</v>
      </c>
      <c r="B13728" t="n">
        <v>4.93</v>
      </c>
      <c r="C13728" t="n">
        <v>4.97</v>
      </c>
    </row>
    <row r="13729">
      <c r="A13729" s="28" t="n">
        <v>38945</v>
      </c>
      <c r="B13729" t="n">
        <v>4.87</v>
      </c>
      <c r="C13729" t="n">
        <v>4.94</v>
      </c>
    </row>
    <row r="13730">
      <c r="A13730" s="28" t="n">
        <v>38946</v>
      </c>
      <c r="B13730" t="n">
        <v>4.87</v>
      </c>
      <c r="C13730" t="n">
        <v>4.96</v>
      </c>
    </row>
    <row r="13731">
      <c r="A13731" s="28" t="n">
        <v>38947</v>
      </c>
      <c r="B13731" t="n">
        <v>4.84</v>
      </c>
      <c r="C13731" t="n">
        <v>4.97</v>
      </c>
    </row>
    <row r="13732">
      <c r="A13732" s="28" t="n">
        <v>38950</v>
      </c>
      <c r="B13732" t="n">
        <v>4.82</v>
      </c>
      <c r="C13732" t="n">
        <v>4.98</v>
      </c>
    </row>
    <row r="13733">
      <c r="A13733" s="28" t="n">
        <v>38951</v>
      </c>
      <c r="B13733" t="n">
        <v>4.82</v>
      </c>
      <c r="C13733" t="n">
        <v>4.97</v>
      </c>
    </row>
    <row r="13734">
      <c r="A13734" s="28" t="n">
        <v>38952</v>
      </c>
      <c r="B13734" t="n">
        <v>4.82</v>
      </c>
      <c r="C13734" t="n">
        <v>4.96</v>
      </c>
    </row>
    <row r="13735">
      <c r="A13735" s="28" t="n">
        <v>38953</v>
      </c>
      <c r="B13735" t="n">
        <v>4.81</v>
      </c>
      <c r="C13735" t="n">
        <v>4.96</v>
      </c>
    </row>
    <row r="13736">
      <c r="A13736" s="28" t="n">
        <v>38954</v>
      </c>
      <c r="B13736" t="n">
        <v>4.79</v>
      </c>
      <c r="C13736" t="n">
        <v>4.98</v>
      </c>
    </row>
    <row r="13737">
      <c r="A13737" s="28" t="n">
        <v>38957</v>
      </c>
      <c r="B13737" t="n">
        <v>4.8</v>
      </c>
      <c r="C13737" t="n">
        <v>4.97</v>
      </c>
    </row>
    <row r="13738">
      <c r="A13738" s="28" t="n">
        <v>38958</v>
      </c>
      <c r="B13738" t="n">
        <v>4.79</v>
      </c>
      <c r="C13738" t="n">
        <v>4.94</v>
      </c>
    </row>
    <row r="13739">
      <c r="A13739" s="28" t="n">
        <v>38959</v>
      </c>
      <c r="B13739" t="n">
        <v>4.76</v>
      </c>
      <c r="C13739" t="n">
        <v>4.92</v>
      </c>
    </row>
    <row r="13740">
      <c r="A13740" s="28" t="n">
        <v>38960</v>
      </c>
      <c r="B13740" t="n">
        <v>4.74</v>
      </c>
      <c r="C13740" t="n">
        <v>4.92</v>
      </c>
    </row>
    <row r="13741">
      <c r="A13741" s="28" t="n">
        <v>38961</v>
      </c>
      <c r="B13741" t="n">
        <v>4.73</v>
      </c>
      <c r="C13741" t="n">
        <v>4.89</v>
      </c>
    </row>
    <row r="13742">
      <c r="A13742" s="28" t="n">
        <v>38964</v>
      </c>
      <c r="B13742" t="n">
        <v>0</v>
      </c>
      <c r="C13742" t="n">
        <v>0</v>
      </c>
    </row>
    <row r="13743">
      <c r="A13743" s="28" t="n">
        <v>38965</v>
      </c>
      <c r="B13743" t="n">
        <v>4.78</v>
      </c>
      <c r="C13743" t="n">
        <v>4.87</v>
      </c>
    </row>
    <row r="13744">
      <c r="A13744" s="28" t="n">
        <v>38966</v>
      </c>
      <c r="B13744" t="n">
        <v>4.8</v>
      </c>
      <c r="C13744" t="n">
        <v>4.84</v>
      </c>
    </row>
    <row r="13745">
      <c r="A13745" s="28" t="n">
        <v>38967</v>
      </c>
      <c r="B13745" t="n">
        <v>4.8</v>
      </c>
      <c r="C13745" t="n">
        <v>4.84</v>
      </c>
    </row>
    <row r="13746">
      <c r="A13746" s="28" t="n">
        <v>38968</v>
      </c>
      <c r="B13746" t="n">
        <v>4.78</v>
      </c>
      <c r="C13746" t="n">
        <v>4.8</v>
      </c>
    </row>
    <row r="13747">
      <c r="A13747" s="28" t="n">
        <v>38971</v>
      </c>
      <c r="B13747" t="n">
        <v>4.8</v>
      </c>
      <c r="C13747" t="n">
        <v>4.81</v>
      </c>
    </row>
    <row r="13748">
      <c r="A13748" s="28" t="n">
        <v>38972</v>
      </c>
      <c r="B13748" t="n">
        <v>4.78</v>
      </c>
      <c r="C13748" t="n">
        <v>4.78</v>
      </c>
    </row>
    <row r="13749">
      <c r="A13749" s="28" t="n">
        <v>38973</v>
      </c>
      <c r="B13749" t="n">
        <v>4.77</v>
      </c>
      <c r="C13749" t="n">
        <v>4.79</v>
      </c>
    </row>
    <row r="13750">
      <c r="A13750" s="28" t="n">
        <v>38974</v>
      </c>
      <c r="B13750" t="n">
        <v>4.79</v>
      </c>
      <c r="C13750" t="n">
        <v>4.82</v>
      </c>
    </row>
    <row r="13751">
      <c r="A13751" s="28" t="n">
        <v>38975</v>
      </c>
      <c r="B13751" t="n">
        <v>4.8</v>
      </c>
      <c r="C13751" t="n">
        <v>4.83</v>
      </c>
    </row>
    <row r="13752">
      <c r="A13752" s="28" t="n">
        <v>38978</v>
      </c>
      <c r="B13752" t="n">
        <v>4.81</v>
      </c>
      <c r="C13752" t="n">
        <v>4.82</v>
      </c>
    </row>
    <row r="13753">
      <c r="A13753" s="28" t="n">
        <v>38979</v>
      </c>
      <c r="B13753" t="n">
        <v>4.74</v>
      </c>
      <c r="C13753" t="n">
        <v>4.82</v>
      </c>
    </row>
    <row r="13754">
      <c r="A13754" s="28" t="n">
        <v>38980</v>
      </c>
      <c r="B13754" t="n">
        <v>4.73</v>
      </c>
      <c r="C13754" t="n">
        <v>4.81</v>
      </c>
    </row>
    <row r="13755">
      <c r="A13755" s="28" t="n">
        <v>38981</v>
      </c>
      <c r="B13755" t="n">
        <v>4.65</v>
      </c>
      <c r="C13755" t="n">
        <v>4.79</v>
      </c>
    </row>
    <row r="13756">
      <c r="A13756" s="28" t="n">
        <v>38982</v>
      </c>
      <c r="B13756" t="n">
        <v>4.6</v>
      </c>
      <c r="C13756" t="n">
        <v>4.8</v>
      </c>
    </row>
    <row r="13757">
      <c r="A13757" s="28" t="n">
        <v>38985</v>
      </c>
      <c r="B13757" t="n">
        <v>4.56</v>
      </c>
      <c r="C13757" t="n">
        <v>4.76</v>
      </c>
    </row>
    <row r="13758">
      <c r="A13758" s="28" t="n">
        <v>38986</v>
      </c>
      <c r="B13758" t="n">
        <v>4.59</v>
      </c>
      <c r="C13758" t="n">
        <v>4.76</v>
      </c>
    </row>
    <row r="13759">
      <c r="A13759" s="28" t="n">
        <v>38987</v>
      </c>
      <c r="B13759" t="n">
        <v>4.6</v>
      </c>
      <c r="C13759" t="n">
        <v>4.76</v>
      </c>
    </row>
    <row r="13760">
      <c r="A13760" s="28" t="n">
        <v>38988</v>
      </c>
      <c r="B13760" t="n">
        <v>4.63</v>
      </c>
      <c r="C13760" t="n">
        <v>4.75</v>
      </c>
    </row>
    <row r="13761">
      <c r="A13761" s="28" t="n">
        <v>38989</v>
      </c>
      <c r="B13761" t="n">
        <v>4.64</v>
      </c>
      <c r="C13761" t="n">
        <v>4.77</v>
      </c>
    </row>
    <row r="13762">
      <c r="A13762" s="28" t="n">
        <v>38992</v>
      </c>
      <c r="B13762" t="n">
        <v>4.62</v>
      </c>
      <c r="C13762" t="n">
        <v>4.76</v>
      </c>
    </row>
    <row r="13763">
      <c r="A13763" s="28" t="n">
        <v>38993</v>
      </c>
      <c r="B13763" t="n">
        <v>4.62</v>
      </c>
      <c r="C13763" t="n">
        <v>4.78</v>
      </c>
    </row>
    <row r="13764">
      <c r="A13764" s="28" t="n">
        <v>38994</v>
      </c>
      <c r="B13764" t="n">
        <v>4.57</v>
      </c>
      <c r="C13764" t="n">
        <v>4.8</v>
      </c>
    </row>
    <row r="13765">
      <c r="A13765" s="28" t="n">
        <v>38995</v>
      </c>
      <c r="B13765" t="n">
        <v>4.61</v>
      </c>
      <c r="C13765" t="n">
        <v>4.81</v>
      </c>
    </row>
    <row r="13766">
      <c r="A13766" s="28" t="n">
        <v>38996</v>
      </c>
      <c r="B13766" t="n">
        <v>4.7</v>
      </c>
      <c r="C13766" t="n">
        <v>4.82</v>
      </c>
    </row>
    <row r="13767">
      <c r="A13767" s="28" t="n">
        <v>38999</v>
      </c>
      <c r="B13767" t="n">
        <v>0</v>
      </c>
      <c r="C13767" t="n">
        <v>0</v>
      </c>
    </row>
    <row r="13768">
      <c r="A13768" s="28" t="n">
        <v>39000</v>
      </c>
      <c r="B13768" t="n">
        <v>4.75</v>
      </c>
      <c r="C13768" t="n">
        <v>4.87</v>
      </c>
    </row>
    <row r="13769">
      <c r="A13769" s="28" t="n">
        <v>39001</v>
      </c>
      <c r="B13769" t="n">
        <v>4.78</v>
      </c>
      <c r="C13769" t="n">
        <v>4.89</v>
      </c>
    </row>
    <row r="13770">
      <c r="A13770" s="28" t="n">
        <v>39002</v>
      </c>
      <c r="B13770" t="n">
        <v>4.79</v>
      </c>
      <c r="C13770" t="n">
        <v>4.93</v>
      </c>
    </row>
    <row r="13771">
      <c r="A13771" s="28" t="n">
        <v>39003</v>
      </c>
      <c r="B13771" t="n">
        <v>4.81</v>
      </c>
      <c r="C13771" t="n">
        <v>4.92</v>
      </c>
    </row>
    <row r="13772">
      <c r="A13772" s="28" t="n">
        <v>39006</v>
      </c>
      <c r="B13772" t="n">
        <v>4.79</v>
      </c>
      <c r="C13772" t="n">
        <v>4.96</v>
      </c>
    </row>
    <row r="13773">
      <c r="A13773" s="28" t="n">
        <v>39007</v>
      </c>
      <c r="B13773" t="n">
        <v>4.78</v>
      </c>
      <c r="C13773" t="n">
        <v>4.96</v>
      </c>
    </row>
    <row r="13774">
      <c r="A13774" s="28" t="n">
        <v>39008</v>
      </c>
      <c r="B13774" t="n">
        <v>4.77</v>
      </c>
      <c r="C13774" t="n">
        <v>4.96</v>
      </c>
    </row>
    <row r="13775">
      <c r="A13775" s="28" t="n">
        <v>39009</v>
      </c>
      <c r="B13775" t="n">
        <v>4.79</v>
      </c>
      <c r="C13775" t="n">
        <v>4.97</v>
      </c>
    </row>
    <row r="13776">
      <c r="A13776" s="28" t="n">
        <v>39010</v>
      </c>
      <c r="B13776" t="n">
        <v>4.79</v>
      </c>
      <c r="C13776" t="n">
        <v>4.96</v>
      </c>
    </row>
    <row r="13777">
      <c r="A13777" s="28" t="n">
        <v>39013</v>
      </c>
      <c r="B13777" t="n">
        <v>4.83</v>
      </c>
      <c r="C13777" t="n">
        <v>4.99</v>
      </c>
    </row>
    <row r="13778">
      <c r="A13778" s="28" t="n">
        <v>39014</v>
      </c>
      <c r="B13778" t="n">
        <v>4.83</v>
      </c>
      <c r="C13778" t="n">
        <v>5</v>
      </c>
    </row>
    <row r="13779">
      <c r="A13779" s="28" t="n">
        <v>39015</v>
      </c>
      <c r="B13779" t="n">
        <v>4.78</v>
      </c>
      <c r="C13779" t="n">
        <v>4.99</v>
      </c>
    </row>
    <row r="13780">
      <c r="A13780" s="28" t="n">
        <v>39016</v>
      </c>
      <c r="B13780" t="n">
        <v>4.73</v>
      </c>
      <c r="C13780" t="n">
        <v>4.99</v>
      </c>
    </row>
    <row r="13781">
      <c r="A13781" s="28" t="n">
        <v>39017</v>
      </c>
      <c r="B13781" t="n">
        <v>4.68</v>
      </c>
      <c r="C13781" t="n">
        <v>4.98</v>
      </c>
    </row>
    <row r="13782">
      <c r="A13782" s="28" t="n">
        <v>39020</v>
      </c>
      <c r="B13782" t="n">
        <v>4.68</v>
      </c>
      <c r="C13782" t="n">
        <v>4.97</v>
      </c>
    </row>
    <row r="13783">
      <c r="A13783" s="28" t="n">
        <v>39021</v>
      </c>
      <c r="B13783" t="n">
        <v>4.61</v>
      </c>
      <c r="C13783" t="n">
        <v>4.95</v>
      </c>
    </row>
    <row r="13784">
      <c r="A13784" s="28" t="n">
        <v>39022</v>
      </c>
      <c r="B13784" t="n">
        <v>4.57</v>
      </c>
      <c r="C13784" t="n">
        <v>4.94</v>
      </c>
    </row>
    <row r="13785">
      <c r="A13785" s="28" t="n">
        <v>39023</v>
      </c>
      <c r="B13785" t="n">
        <v>4.6</v>
      </c>
      <c r="C13785" t="n">
        <v>4.94</v>
      </c>
    </row>
    <row r="13786">
      <c r="A13786" s="28" t="n">
        <v>39024</v>
      </c>
      <c r="B13786" t="n">
        <v>4.72</v>
      </c>
      <c r="C13786" t="n">
        <v>4.96</v>
      </c>
    </row>
    <row r="13787">
      <c r="A13787" s="28" t="n">
        <v>39027</v>
      </c>
      <c r="B13787" t="n">
        <v>4.71</v>
      </c>
      <c r="C13787" t="n">
        <v>4.96</v>
      </c>
    </row>
    <row r="13788">
      <c r="A13788" s="28" t="n">
        <v>39028</v>
      </c>
      <c r="B13788" t="n">
        <v>4.66</v>
      </c>
      <c r="C13788" t="n">
        <v>4.95</v>
      </c>
    </row>
    <row r="13789">
      <c r="A13789" s="28" t="n">
        <v>39029</v>
      </c>
      <c r="B13789" t="n">
        <v>4.64</v>
      </c>
      <c r="C13789" t="n">
        <v>4.97</v>
      </c>
    </row>
    <row r="13790">
      <c r="A13790" s="28" t="n">
        <v>39030</v>
      </c>
      <c r="B13790" t="n">
        <v>4.62</v>
      </c>
      <c r="C13790" t="n">
        <v>4.96</v>
      </c>
    </row>
    <row r="13791">
      <c r="A13791" s="28" t="n">
        <v>39031</v>
      </c>
      <c r="B13791" t="n">
        <v>4.59</v>
      </c>
      <c r="C13791" t="n">
        <v>4.97</v>
      </c>
    </row>
    <row r="13792">
      <c r="A13792" s="28" t="n">
        <v>39034</v>
      </c>
      <c r="B13792" t="n">
        <v>4.61</v>
      </c>
      <c r="C13792" t="n">
        <v>4.96</v>
      </c>
    </row>
    <row r="13793">
      <c r="A13793" s="28" t="n">
        <v>39035</v>
      </c>
      <c r="B13793" t="n">
        <v>4.57</v>
      </c>
      <c r="C13793" t="n">
        <v>4.96</v>
      </c>
    </row>
    <row r="13794">
      <c r="A13794" s="28" t="n">
        <v>39036</v>
      </c>
      <c r="B13794" t="n">
        <v>4.61</v>
      </c>
      <c r="C13794" t="n">
        <v>4.96</v>
      </c>
    </row>
    <row r="13795">
      <c r="A13795" s="28" t="n">
        <v>39037</v>
      </c>
      <c r="B13795" t="n">
        <v>4.66</v>
      </c>
      <c r="C13795" t="n">
        <v>4.96</v>
      </c>
    </row>
    <row r="13796">
      <c r="A13796" s="28" t="n">
        <v>39038</v>
      </c>
      <c r="B13796" t="n">
        <v>4.61</v>
      </c>
      <c r="C13796" t="n">
        <v>4.96</v>
      </c>
    </row>
    <row r="13797">
      <c r="A13797" s="28" t="n">
        <v>39041</v>
      </c>
      <c r="B13797" t="n">
        <v>4.6</v>
      </c>
      <c r="C13797" t="n">
        <v>4.95</v>
      </c>
    </row>
    <row r="13798">
      <c r="A13798" s="28" t="n">
        <v>39042</v>
      </c>
      <c r="B13798" t="n">
        <v>4.58</v>
      </c>
      <c r="C13798" t="n">
        <v>4.94</v>
      </c>
    </row>
    <row r="13799">
      <c r="A13799" s="28" t="n">
        <v>39043</v>
      </c>
      <c r="B13799" t="n">
        <v>4.57</v>
      </c>
      <c r="C13799" t="n">
        <v>4.92</v>
      </c>
    </row>
    <row r="13800">
      <c r="A13800" s="28" t="n">
        <v>39044</v>
      </c>
      <c r="B13800" t="n">
        <v>0</v>
      </c>
      <c r="C13800" t="n">
        <v>0</v>
      </c>
    </row>
    <row r="13801">
      <c r="A13801" s="28" t="n">
        <v>39045</v>
      </c>
      <c r="B13801" t="n">
        <v>4.55</v>
      </c>
      <c r="C13801" t="n">
        <v>4.91</v>
      </c>
    </row>
    <row r="13802">
      <c r="A13802" s="28" t="n">
        <v>39048</v>
      </c>
      <c r="B13802" t="n">
        <v>4.54</v>
      </c>
      <c r="C13802" t="n">
        <v>4.92</v>
      </c>
    </row>
    <row r="13803">
      <c r="A13803" s="28" t="n">
        <v>39049</v>
      </c>
      <c r="B13803" t="n">
        <v>4.51</v>
      </c>
      <c r="C13803" t="n">
        <v>4.91</v>
      </c>
    </row>
    <row r="13804">
      <c r="A13804" s="28" t="n">
        <v>39050</v>
      </c>
      <c r="B13804" t="n">
        <v>4.52</v>
      </c>
      <c r="C13804" t="n">
        <v>4.91</v>
      </c>
    </row>
    <row r="13805">
      <c r="A13805" s="28" t="n">
        <v>39051</v>
      </c>
      <c r="B13805" t="n">
        <v>4.46</v>
      </c>
      <c r="C13805" t="n">
        <v>4.9</v>
      </c>
    </row>
    <row r="13806">
      <c r="A13806" s="28" t="n">
        <v>39052</v>
      </c>
      <c r="B13806" t="n">
        <v>4.43</v>
      </c>
      <c r="C13806" t="n">
        <v>4.9</v>
      </c>
    </row>
    <row r="13807">
      <c r="A13807" s="28" t="n">
        <v>39055</v>
      </c>
      <c r="B13807" t="n">
        <v>4.43</v>
      </c>
      <c r="C13807" t="n">
        <v>4.88</v>
      </c>
    </row>
    <row r="13808">
      <c r="A13808" s="28" t="n">
        <v>39056</v>
      </c>
      <c r="B13808" t="n">
        <v>4.45</v>
      </c>
      <c r="C13808" t="n">
        <v>4.86</v>
      </c>
    </row>
    <row r="13809">
      <c r="A13809" s="28" t="n">
        <v>39057</v>
      </c>
      <c r="B13809" t="n">
        <v>4.48</v>
      </c>
      <c r="C13809" t="n">
        <v>4.86</v>
      </c>
    </row>
    <row r="13810">
      <c r="A13810" s="28" t="n">
        <v>39058</v>
      </c>
      <c r="B13810" t="n">
        <v>4.49</v>
      </c>
      <c r="C13810" t="n">
        <v>4.85</v>
      </c>
    </row>
    <row r="13811">
      <c r="A13811" s="28" t="n">
        <v>39059</v>
      </c>
      <c r="B13811" t="n">
        <v>4.56</v>
      </c>
      <c r="C13811" t="n">
        <v>4.84</v>
      </c>
    </row>
    <row r="13812">
      <c r="A13812" s="28" t="n">
        <v>39062</v>
      </c>
      <c r="B13812" t="n">
        <v>4.52</v>
      </c>
      <c r="C13812" t="n">
        <v>4.81</v>
      </c>
    </row>
    <row r="13813">
      <c r="A13813" s="28" t="n">
        <v>39063</v>
      </c>
      <c r="B13813" t="n">
        <v>4.49</v>
      </c>
      <c r="C13813" t="n">
        <v>4.81</v>
      </c>
    </row>
    <row r="13814">
      <c r="A13814" s="28" t="n">
        <v>39064</v>
      </c>
      <c r="B13814" t="n">
        <v>4.58</v>
      </c>
      <c r="C13814" t="n">
        <v>4.82</v>
      </c>
    </row>
    <row r="13815">
      <c r="A13815" s="28" t="n">
        <v>39065</v>
      </c>
      <c r="B13815" t="n">
        <v>4.6</v>
      </c>
      <c r="C13815" t="n">
        <v>4.83</v>
      </c>
    </row>
    <row r="13816">
      <c r="A13816" s="28" t="n">
        <v>39066</v>
      </c>
      <c r="B13816" t="n">
        <v>4.6</v>
      </c>
      <c r="C13816" t="n">
        <v>4.79</v>
      </c>
    </row>
    <row r="13817">
      <c r="A13817" s="28" t="n">
        <v>39069</v>
      </c>
      <c r="B13817" t="n">
        <v>4.6</v>
      </c>
      <c r="C13817" t="n">
        <v>4.84</v>
      </c>
    </row>
    <row r="13818">
      <c r="A13818" s="28" t="n">
        <v>39070</v>
      </c>
      <c r="B13818" t="n">
        <v>4.6</v>
      </c>
      <c r="C13818" t="n">
        <v>4.84</v>
      </c>
    </row>
    <row r="13819">
      <c r="A13819" s="28" t="n">
        <v>39071</v>
      </c>
      <c r="B13819" t="n">
        <v>4.6</v>
      </c>
      <c r="C13819" t="n">
        <v>4.84</v>
      </c>
    </row>
    <row r="13820">
      <c r="A13820" s="28" t="n">
        <v>39072</v>
      </c>
      <c r="B13820" t="n">
        <v>4.55</v>
      </c>
      <c r="C13820" t="n">
        <v>4.84</v>
      </c>
    </row>
    <row r="13821">
      <c r="A13821" s="28" t="n">
        <v>39073</v>
      </c>
      <c r="B13821" t="n">
        <v>4.63</v>
      </c>
      <c r="C13821" t="n">
        <v>4.86</v>
      </c>
    </row>
    <row r="13822">
      <c r="A13822" s="28" t="n">
        <v>39076</v>
      </c>
      <c r="B13822" t="n">
        <v>0</v>
      </c>
      <c r="C13822" t="n">
        <v>0</v>
      </c>
    </row>
    <row r="13823">
      <c r="A13823" s="28" t="n">
        <v>39077</v>
      </c>
      <c r="B13823" t="n">
        <v>4.61</v>
      </c>
      <c r="C13823" t="n">
        <v>4.87</v>
      </c>
    </row>
    <row r="13824">
      <c r="A13824" s="28" t="n">
        <v>39078</v>
      </c>
      <c r="B13824" t="n">
        <v>4.66</v>
      </c>
      <c r="C13824" t="n">
        <v>4.85</v>
      </c>
    </row>
    <row r="13825">
      <c r="A13825" s="28" t="n">
        <v>39079</v>
      </c>
      <c r="B13825" t="n">
        <v>4.7</v>
      </c>
      <c r="C13825" t="n">
        <v>4.87</v>
      </c>
    </row>
    <row r="13826">
      <c r="A13826" s="28" t="n">
        <v>39080</v>
      </c>
      <c r="B13826" t="n">
        <v>4.71</v>
      </c>
      <c r="C13826" t="n">
        <v>4.89</v>
      </c>
    </row>
    <row r="13827">
      <c r="A13827" s="28" t="n">
        <v>39083</v>
      </c>
      <c r="B13827" t="n">
        <v>0</v>
      </c>
      <c r="C13827" t="n">
        <v>0</v>
      </c>
    </row>
    <row r="13828">
      <c r="A13828" s="28" t="n">
        <v>39084</v>
      </c>
      <c r="B13828" t="n">
        <v>4.68</v>
      </c>
      <c r="C13828" t="n">
        <v>4.94</v>
      </c>
    </row>
    <row r="13829">
      <c r="A13829" s="28" t="n">
        <v>39085</v>
      </c>
      <c r="B13829" t="n">
        <v>4.67</v>
      </c>
      <c r="C13829" t="n">
        <v>4.92</v>
      </c>
    </row>
    <row r="13830">
      <c r="A13830" s="28" t="n">
        <v>39086</v>
      </c>
      <c r="B13830" t="n">
        <v>4.62</v>
      </c>
      <c r="C13830" t="n">
        <v>4.91</v>
      </c>
    </row>
    <row r="13831">
      <c r="A13831" s="28" t="n">
        <v>39087</v>
      </c>
      <c r="B13831" t="n">
        <v>4.65</v>
      </c>
      <c r="C13831" t="n">
        <v>4.92</v>
      </c>
    </row>
    <row r="13832">
      <c r="A13832" s="28" t="n">
        <v>39090</v>
      </c>
      <c r="B13832" t="n">
        <v>4.66</v>
      </c>
      <c r="C13832" t="n">
        <v>4.95</v>
      </c>
    </row>
    <row r="13833">
      <c r="A13833" s="28" t="n">
        <v>39091</v>
      </c>
      <c r="B13833" t="n">
        <v>4.66</v>
      </c>
      <c r="C13833" t="n">
        <v>4.95</v>
      </c>
    </row>
    <row r="13834">
      <c r="A13834" s="28" t="n">
        <v>39092</v>
      </c>
      <c r="B13834" t="n">
        <v>4.69</v>
      </c>
      <c r="C13834" t="n">
        <v>4.96</v>
      </c>
    </row>
    <row r="13835">
      <c r="A13835" s="28" t="n">
        <v>39093</v>
      </c>
      <c r="B13835" t="n">
        <v>4.74</v>
      </c>
      <c r="C13835" t="n">
        <v>4.98</v>
      </c>
    </row>
    <row r="13836">
      <c r="A13836" s="28" t="n">
        <v>39094</v>
      </c>
      <c r="B13836" t="n">
        <v>4.77</v>
      </c>
      <c r="C13836" t="n">
        <v>4.96</v>
      </c>
    </row>
    <row r="13837">
      <c r="A13837" s="28" t="n">
        <v>39097</v>
      </c>
      <c r="B13837" t="n">
        <v>0</v>
      </c>
      <c r="C13837" t="n">
        <v>0</v>
      </c>
    </row>
    <row r="13838">
      <c r="A13838" s="28" t="n">
        <v>39098</v>
      </c>
      <c r="B13838" t="n">
        <v>4.75</v>
      </c>
      <c r="C13838" t="n">
        <v>4.98</v>
      </c>
    </row>
    <row r="13839">
      <c r="A13839" s="28" t="n">
        <v>39099</v>
      </c>
      <c r="B13839" t="n">
        <v>4.79</v>
      </c>
      <c r="C13839" t="n">
        <v>4.99</v>
      </c>
    </row>
    <row r="13840">
      <c r="A13840" s="28" t="n">
        <v>39100</v>
      </c>
      <c r="B13840" t="n">
        <v>4.75</v>
      </c>
      <c r="C13840" t="n">
        <v>4.99</v>
      </c>
    </row>
    <row r="13841">
      <c r="A13841" s="28" t="n">
        <v>39101</v>
      </c>
      <c r="B13841" t="n">
        <v>4.78</v>
      </c>
      <c r="C13841" t="n">
        <v>5.01</v>
      </c>
    </row>
    <row r="13842">
      <c r="A13842" s="28" t="n">
        <v>39104</v>
      </c>
      <c r="B13842" t="n">
        <v>4.76</v>
      </c>
      <c r="C13842" t="n">
        <v>5</v>
      </c>
    </row>
    <row r="13843">
      <c r="A13843" s="28" t="n">
        <v>39105</v>
      </c>
      <c r="B13843" t="n">
        <v>4.81</v>
      </c>
      <c r="C13843" t="n">
        <v>5.01</v>
      </c>
    </row>
    <row r="13844">
      <c r="A13844" s="28" t="n">
        <v>39106</v>
      </c>
      <c r="B13844" t="n">
        <v>4.81</v>
      </c>
      <c r="C13844" t="n">
        <v>5</v>
      </c>
    </row>
    <row r="13845">
      <c r="A13845" s="28" t="n">
        <v>39107</v>
      </c>
      <c r="B13845" t="n">
        <v>4.87</v>
      </c>
      <c r="C13845" t="n">
        <v>5.01</v>
      </c>
    </row>
    <row r="13846">
      <c r="A13846" s="28" t="n">
        <v>39108</v>
      </c>
      <c r="B13846" t="n">
        <v>4.88</v>
      </c>
      <c r="C13846" t="n">
        <v>5</v>
      </c>
    </row>
    <row r="13847">
      <c r="A13847" s="28" t="n">
        <v>39111</v>
      </c>
      <c r="B13847" t="n">
        <v>4.9</v>
      </c>
      <c r="C13847" t="n">
        <v>5.01</v>
      </c>
    </row>
    <row r="13848">
      <c r="A13848" s="28" t="n">
        <v>39112</v>
      </c>
      <c r="B13848" t="n">
        <v>4.88</v>
      </c>
      <c r="C13848" t="n">
        <v>5</v>
      </c>
    </row>
    <row r="13849">
      <c r="A13849" s="28" t="n">
        <v>39113</v>
      </c>
      <c r="B13849" t="n">
        <v>4.83</v>
      </c>
      <c r="C13849" t="n">
        <v>4.99</v>
      </c>
    </row>
    <row r="13850">
      <c r="A13850" s="28" t="n">
        <v>39114</v>
      </c>
      <c r="B13850" t="n">
        <v>4.84</v>
      </c>
      <c r="C13850" t="n">
        <v>5</v>
      </c>
    </row>
    <row r="13851">
      <c r="A13851" s="28" t="n">
        <v>39115</v>
      </c>
      <c r="B13851" t="n">
        <v>4.83</v>
      </c>
      <c r="C13851" t="n">
        <v>5.01</v>
      </c>
    </row>
    <row r="13852">
      <c r="A13852" s="28" t="n">
        <v>39118</v>
      </c>
      <c r="B13852" t="n">
        <v>4.81</v>
      </c>
      <c r="C13852" t="n">
        <v>5.02</v>
      </c>
    </row>
    <row r="13853">
      <c r="A13853" s="28" t="n">
        <v>39119</v>
      </c>
      <c r="B13853" t="n">
        <v>4.77</v>
      </c>
      <c r="C13853" t="n">
        <v>5.01</v>
      </c>
    </row>
    <row r="13854">
      <c r="A13854" s="28" t="n">
        <v>39120</v>
      </c>
      <c r="B13854" t="n">
        <v>4.74</v>
      </c>
      <c r="C13854" t="n">
        <v>5.02</v>
      </c>
    </row>
    <row r="13855">
      <c r="A13855" s="28" t="n">
        <v>39121</v>
      </c>
      <c r="B13855" t="n">
        <v>4.73</v>
      </c>
      <c r="C13855" t="n">
        <v>5.03</v>
      </c>
    </row>
    <row r="13856">
      <c r="A13856" s="28" t="n">
        <v>39122</v>
      </c>
      <c r="B13856" t="n">
        <v>4.79</v>
      </c>
      <c r="C13856" t="n">
        <v>5.02</v>
      </c>
    </row>
    <row r="13857">
      <c r="A13857" s="28" t="n">
        <v>39125</v>
      </c>
      <c r="B13857" t="n">
        <v>4.8</v>
      </c>
      <c r="C13857" t="n">
        <v>5.04</v>
      </c>
    </row>
    <row r="13858">
      <c r="A13858" s="28" t="n">
        <v>39126</v>
      </c>
      <c r="B13858" t="n">
        <v>4.82</v>
      </c>
      <c r="C13858" t="n">
        <v>5.03</v>
      </c>
    </row>
    <row r="13859">
      <c r="A13859" s="28" t="n">
        <v>39127</v>
      </c>
      <c r="B13859" t="n">
        <v>4.74</v>
      </c>
      <c r="C13859" t="n">
        <v>5.02</v>
      </c>
    </row>
    <row r="13860">
      <c r="A13860" s="28" t="n">
        <v>39128</v>
      </c>
      <c r="B13860" t="n">
        <v>4.7</v>
      </c>
      <c r="C13860" t="n">
        <v>5.03</v>
      </c>
    </row>
    <row r="13861">
      <c r="A13861" s="28" t="n">
        <v>39129</v>
      </c>
      <c r="B13861" t="n">
        <v>4.69</v>
      </c>
      <c r="C13861" t="n">
        <v>5.04</v>
      </c>
    </row>
    <row r="13862">
      <c r="A13862" s="28" t="n">
        <v>39132</v>
      </c>
      <c r="B13862" t="n">
        <v>0</v>
      </c>
      <c r="C13862" t="n">
        <v>0</v>
      </c>
    </row>
    <row r="13863">
      <c r="A13863" s="28" t="n">
        <v>39133</v>
      </c>
      <c r="B13863" t="n">
        <v>4.68</v>
      </c>
      <c r="C13863" t="n">
        <v>5.05</v>
      </c>
    </row>
    <row r="13864">
      <c r="A13864" s="28" t="n">
        <v>39134</v>
      </c>
      <c r="B13864" t="n">
        <v>4.69</v>
      </c>
      <c r="C13864" t="n">
        <v>5.04</v>
      </c>
    </row>
    <row r="13865">
      <c r="A13865" s="28" t="n">
        <v>39135</v>
      </c>
      <c r="B13865" t="n">
        <v>4.73</v>
      </c>
      <c r="C13865" t="n">
        <v>5.05</v>
      </c>
    </row>
    <row r="13866">
      <c r="A13866" s="28" t="n">
        <v>39136</v>
      </c>
      <c r="B13866" t="n">
        <v>4.68</v>
      </c>
      <c r="C13866" t="n">
        <v>5.05</v>
      </c>
    </row>
    <row r="13867">
      <c r="A13867" s="28" t="n">
        <v>39139</v>
      </c>
      <c r="B13867" t="n">
        <v>4.63</v>
      </c>
      <c r="C13867" t="n">
        <v>5.05</v>
      </c>
    </row>
    <row r="13868">
      <c r="A13868" s="28" t="n">
        <v>39140</v>
      </c>
      <c r="B13868" t="n">
        <v>4.5</v>
      </c>
      <c r="C13868" t="n">
        <v>4.99</v>
      </c>
    </row>
    <row r="13869">
      <c r="A13869" s="28" t="n">
        <v>39141</v>
      </c>
      <c r="B13869" t="n">
        <v>4.56</v>
      </c>
      <c r="C13869" t="n">
        <v>5.01</v>
      </c>
    </row>
    <row r="13870">
      <c r="A13870" s="28" t="n">
        <v>39142</v>
      </c>
      <c r="B13870" t="n">
        <v>4.56</v>
      </c>
      <c r="C13870" t="n">
        <v>5</v>
      </c>
    </row>
    <row r="13871">
      <c r="A13871" s="28" t="n">
        <v>39143</v>
      </c>
      <c r="B13871" t="n">
        <v>4.52</v>
      </c>
      <c r="C13871" t="n">
        <v>4.98</v>
      </c>
    </row>
    <row r="13872">
      <c r="A13872" s="28" t="n">
        <v>39146</v>
      </c>
      <c r="B13872" t="n">
        <v>4.51</v>
      </c>
      <c r="C13872" t="n">
        <v>4.97</v>
      </c>
    </row>
    <row r="13873">
      <c r="A13873" s="28" t="n">
        <v>39147</v>
      </c>
      <c r="B13873" t="n">
        <v>4.53</v>
      </c>
      <c r="C13873" t="n">
        <v>4.99</v>
      </c>
    </row>
    <row r="13874">
      <c r="A13874" s="28" t="n">
        <v>39148</v>
      </c>
      <c r="B13874" t="n">
        <v>4.5</v>
      </c>
      <c r="C13874" t="n">
        <v>4.97</v>
      </c>
    </row>
    <row r="13875">
      <c r="A13875" s="28" t="n">
        <v>39149</v>
      </c>
      <c r="B13875" t="n">
        <v>4.51</v>
      </c>
      <c r="C13875" t="n">
        <v>4.95</v>
      </c>
    </row>
    <row r="13876">
      <c r="A13876" s="28" t="n">
        <v>39150</v>
      </c>
      <c r="B13876" t="n">
        <v>4.59</v>
      </c>
      <c r="C13876" t="n">
        <v>4.96</v>
      </c>
    </row>
    <row r="13877">
      <c r="A13877" s="28" t="n">
        <v>39153</v>
      </c>
      <c r="B13877" t="n">
        <v>4.56</v>
      </c>
      <c r="C13877" t="n">
        <v>4.96</v>
      </c>
    </row>
    <row r="13878">
      <c r="A13878" s="28" t="n">
        <v>39154</v>
      </c>
      <c r="B13878" t="n">
        <v>4.5</v>
      </c>
      <c r="C13878" t="n">
        <v>4.94</v>
      </c>
    </row>
    <row r="13879">
      <c r="A13879" s="28" t="n">
        <v>39155</v>
      </c>
      <c r="B13879" t="n">
        <v>4.53</v>
      </c>
      <c r="C13879" t="n">
        <v>4.92</v>
      </c>
    </row>
    <row r="13880">
      <c r="A13880" s="28" t="n">
        <v>39156</v>
      </c>
      <c r="B13880" t="n">
        <v>4.54</v>
      </c>
      <c r="C13880" t="n">
        <v>4.91</v>
      </c>
    </row>
    <row r="13881">
      <c r="A13881" s="28" t="n">
        <v>39157</v>
      </c>
      <c r="B13881" t="n">
        <v>4.55</v>
      </c>
      <c r="C13881" t="n">
        <v>4.9</v>
      </c>
    </row>
    <row r="13882">
      <c r="A13882" s="28" t="n">
        <v>39160</v>
      </c>
      <c r="B13882" t="n">
        <v>4.58</v>
      </c>
      <c r="C13882" t="n">
        <v>4.93</v>
      </c>
    </row>
    <row r="13883">
      <c r="A13883" s="28" t="n">
        <v>39161</v>
      </c>
      <c r="B13883" t="n">
        <v>4.56</v>
      </c>
      <c r="C13883" t="n">
        <v>4.92</v>
      </c>
    </row>
    <row r="13884">
      <c r="A13884" s="28" t="n">
        <v>39162</v>
      </c>
      <c r="B13884" t="n">
        <v>4.53</v>
      </c>
      <c r="C13884" t="n">
        <v>4.91</v>
      </c>
    </row>
    <row r="13885">
      <c r="A13885" s="28" t="n">
        <v>39163</v>
      </c>
      <c r="B13885" t="n">
        <v>4.6</v>
      </c>
      <c r="C13885" t="n">
        <v>4.92</v>
      </c>
    </row>
    <row r="13886">
      <c r="A13886" s="28" t="n">
        <v>39164</v>
      </c>
      <c r="B13886" t="n">
        <v>4.62</v>
      </c>
      <c r="C13886" t="n">
        <v>4.94</v>
      </c>
    </row>
    <row r="13887">
      <c r="A13887" s="28" t="n">
        <v>39167</v>
      </c>
      <c r="B13887" t="n">
        <v>4.6</v>
      </c>
      <c r="C13887" t="n">
        <v>4.93</v>
      </c>
    </row>
    <row r="13888">
      <c r="A13888" s="28" t="n">
        <v>39168</v>
      </c>
      <c r="B13888" t="n">
        <v>4.62</v>
      </c>
      <c r="C13888" t="n">
        <v>4.93</v>
      </c>
    </row>
    <row r="13889">
      <c r="A13889" s="28" t="n">
        <v>39169</v>
      </c>
      <c r="B13889" t="n">
        <v>4.62</v>
      </c>
      <c r="C13889" t="n">
        <v>4.92</v>
      </c>
    </row>
    <row r="13890">
      <c r="A13890" s="28" t="n">
        <v>39170</v>
      </c>
      <c r="B13890" t="n">
        <v>4.64</v>
      </c>
      <c r="C13890" t="n">
        <v>4.91</v>
      </c>
    </row>
    <row r="13891">
      <c r="A13891" s="28" t="n">
        <v>39171</v>
      </c>
      <c r="B13891" t="n">
        <v>4.65</v>
      </c>
      <c r="C13891" t="n">
        <v>4.9</v>
      </c>
    </row>
    <row r="13892">
      <c r="A13892" s="28" t="n">
        <v>39174</v>
      </c>
      <c r="B13892" t="n">
        <v>4.65</v>
      </c>
      <c r="C13892" t="n">
        <v>4.91</v>
      </c>
    </row>
    <row r="13893">
      <c r="A13893" s="28" t="n">
        <v>39175</v>
      </c>
      <c r="B13893" t="n">
        <v>4.67</v>
      </c>
      <c r="C13893" t="n">
        <v>4.91</v>
      </c>
    </row>
    <row r="13894">
      <c r="A13894" s="28" t="n">
        <v>39176</v>
      </c>
      <c r="B13894" t="n">
        <v>4.66</v>
      </c>
      <c r="C13894" t="n">
        <v>4.92</v>
      </c>
    </row>
    <row r="13895">
      <c r="A13895" s="28" t="n">
        <v>39177</v>
      </c>
      <c r="B13895" t="n">
        <v>4.68</v>
      </c>
      <c r="C13895" t="n">
        <v>4.9</v>
      </c>
    </row>
    <row r="13896">
      <c r="A13896" s="28" t="n">
        <v>39178</v>
      </c>
      <c r="B13896" t="n">
        <v>4.76</v>
      </c>
      <c r="C13896" t="n">
        <v>4.91</v>
      </c>
    </row>
    <row r="13897">
      <c r="A13897" s="28" t="n">
        <v>39181</v>
      </c>
      <c r="B13897" t="n">
        <v>4.75</v>
      </c>
      <c r="C13897" t="n">
        <v>4.89</v>
      </c>
    </row>
    <row r="13898">
      <c r="A13898" s="28" t="n">
        <v>39182</v>
      </c>
      <c r="B13898" t="n">
        <v>4.73</v>
      </c>
      <c r="C13898" t="n">
        <v>4.89</v>
      </c>
    </row>
    <row r="13899">
      <c r="A13899" s="28" t="n">
        <v>39183</v>
      </c>
      <c r="B13899" t="n">
        <v>4.74</v>
      </c>
      <c r="C13899" t="n">
        <v>4.9</v>
      </c>
    </row>
    <row r="13900">
      <c r="A13900" s="28" t="n">
        <v>39184</v>
      </c>
      <c r="B13900" t="n">
        <v>4.74</v>
      </c>
      <c r="C13900" t="n">
        <v>4.89</v>
      </c>
    </row>
    <row r="13901">
      <c r="A13901" s="28" t="n">
        <v>39185</v>
      </c>
      <c r="B13901" t="n">
        <v>4.76</v>
      </c>
      <c r="C13901" t="n">
        <v>4.88</v>
      </c>
    </row>
    <row r="13902">
      <c r="A13902" s="28" t="n">
        <v>39188</v>
      </c>
      <c r="B13902" t="n">
        <v>4.74</v>
      </c>
      <c r="C13902" t="n">
        <v>4.88</v>
      </c>
    </row>
    <row r="13903">
      <c r="A13903" s="28" t="n">
        <v>39189</v>
      </c>
      <c r="B13903" t="n">
        <v>4.69</v>
      </c>
      <c r="C13903" t="n">
        <v>4.87</v>
      </c>
    </row>
    <row r="13904">
      <c r="A13904" s="28" t="n">
        <v>39190</v>
      </c>
      <c r="B13904" t="n">
        <v>4.66</v>
      </c>
      <c r="C13904" t="n">
        <v>4.86</v>
      </c>
    </row>
    <row r="13905">
      <c r="A13905" s="28" t="n">
        <v>39191</v>
      </c>
      <c r="B13905" t="n">
        <v>4.68</v>
      </c>
      <c r="C13905" t="n">
        <v>4.85</v>
      </c>
    </row>
    <row r="13906">
      <c r="A13906" s="28" t="n">
        <v>39192</v>
      </c>
      <c r="B13906" t="n">
        <v>4.68</v>
      </c>
      <c r="C13906" t="n">
        <v>4.85</v>
      </c>
    </row>
    <row r="13907">
      <c r="A13907" s="28" t="n">
        <v>39195</v>
      </c>
      <c r="B13907" t="n">
        <v>4.66</v>
      </c>
      <c r="C13907" t="n">
        <v>4.85</v>
      </c>
    </row>
    <row r="13908">
      <c r="A13908" s="28" t="n">
        <v>39196</v>
      </c>
      <c r="B13908" t="n">
        <v>4.63</v>
      </c>
      <c r="C13908" t="n">
        <v>4.84</v>
      </c>
    </row>
    <row r="13909">
      <c r="A13909" s="28" t="n">
        <v>39197</v>
      </c>
      <c r="B13909" t="n">
        <v>4.66</v>
      </c>
      <c r="C13909" t="n">
        <v>4.83</v>
      </c>
    </row>
    <row r="13910">
      <c r="A13910" s="28" t="n">
        <v>39198</v>
      </c>
      <c r="B13910" t="n">
        <v>4.69</v>
      </c>
      <c r="C13910" t="n">
        <v>4.82</v>
      </c>
    </row>
    <row r="13911">
      <c r="A13911" s="28" t="n">
        <v>39199</v>
      </c>
      <c r="B13911" t="n">
        <v>4.71</v>
      </c>
      <c r="C13911" t="n">
        <v>4.81</v>
      </c>
    </row>
    <row r="13912">
      <c r="A13912" s="28" t="n">
        <v>39202</v>
      </c>
      <c r="B13912" t="n">
        <v>4.63</v>
      </c>
      <c r="C13912" t="n">
        <v>4.79</v>
      </c>
    </row>
    <row r="13913">
      <c r="A13913" s="28" t="n">
        <v>39203</v>
      </c>
      <c r="B13913" t="n">
        <v>4.64</v>
      </c>
      <c r="C13913" t="n">
        <v>4.76</v>
      </c>
    </row>
    <row r="13914">
      <c r="A13914" s="28" t="n">
        <v>39204</v>
      </c>
      <c r="B13914" t="n">
        <v>4.65</v>
      </c>
      <c r="C13914" t="n">
        <v>4.77</v>
      </c>
    </row>
    <row r="13915">
      <c r="A13915" s="28" t="n">
        <v>39205</v>
      </c>
      <c r="B13915" t="n">
        <v>4.68</v>
      </c>
      <c r="C13915" t="n">
        <v>4.76</v>
      </c>
    </row>
    <row r="13916">
      <c r="A13916" s="28" t="n">
        <v>39206</v>
      </c>
      <c r="B13916" t="n">
        <v>4.65</v>
      </c>
      <c r="C13916" t="n">
        <v>4.76</v>
      </c>
    </row>
    <row r="13917">
      <c r="A13917" s="28" t="n">
        <v>39209</v>
      </c>
      <c r="B13917" t="n">
        <v>4.64</v>
      </c>
      <c r="C13917" t="n">
        <v>4.77</v>
      </c>
    </row>
    <row r="13918">
      <c r="A13918" s="28" t="n">
        <v>39210</v>
      </c>
      <c r="B13918" t="n">
        <v>4.63</v>
      </c>
      <c r="C13918" t="n">
        <v>4.76</v>
      </c>
    </row>
    <row r="13919">
      <c r="A13919" s="28" t="n">
        <v>39211</v>
      </c>
      <c r="B13919" t="n">
        <v>4.67</v>
      </c>
      <c r="C13919" t="n">
        <v>4.74</v>
      </c>
    </row>
    <row r="13920">
      <c r="A13920" s="28" t="n">
        <v>39212</v>
      </c>
      <c r="B13920" t="n">
        <v>4.65</v>
      </c>
      <c r="C13920" t="n">
        <v>4.73</v>
      </c>
    </row>
    <row r="13921">
      <c r="A13921" s="28" t="n">
        <v>39213</v>
      </c>
      <c r="B13921" t="n">
        <v>4.67</v>
      </c>
      <c r="C13921" t="n">
        <v>4.73</v>
      </c>
    </row>
    <row r="13922">
      <c r="A13922" s="28" t="n">
        <v>39216</v>
      </c>
      <c r="B13922" t="n">
        <v>4.69</v>
      </c>
      <c r="C13922" t="n">
        <v>4.73</v>
      </c>
    </row>
    <row r="13923">
      <c r="A13923" s="28" t="n">
        <v>39217</v>
      </c>
      <c r="B13923" t="n">
        <v>4.71</v>
      </c>
      <c r="C13923" t="n">
        <v>4.7</v>
      </c>
    </row>
    <row r="13924">
      <c r="A13924" s="28" t="n">
        <v>39218</v>
      </c>
      <c r="B13924" t="n">
        <v>4.71</v>
      </c>
      <c r="C13924" t="n">
        <v>4.62</v>
      </c>
    </row>
    <row r="13925">
      <c r="A13925" s="28" t="n">
        <v>39219</v>
      </c>
      <c r="B13925" t="n">
        <v>4.76</v>
      </c>
      <c r="C13925" t="n">
        <v>4.68</v>
      </c>
    </row>
    <row r="13926">
      <c r="A13926" s="28" t="n">
        <v>39220</v>
      </c>
      <c r="B13926" t="n">
        <v>4.81</v>
      </c>
      <c r="C13926" t="n">
        <v>4.7</v>
      </c>
    </row>
    <row r="13927">
      <c r="A13927" s="28" t="n">
        <v>39223</v>
      </c>
      <c r="B13927" t="n">
        <v>4.79</v>
      </c>
      <c r="C13927" t="n">
        <v>4.76</v>
      </c>
    </row>
    <row r="13928">
      <c r="A13928" s="28" t="n">
        <v>39224</v>
      </c>
      <c r="B13928" t="n">
        <v>4.83</v>
      </c>
      <c r="C13928" t="n">
        <v>4.79</v>
      </c>
    </row>
    <row r="13929">
      <c r="A13929" s="28" t="n">
        <v>39225</v>
      </c>
      <c r="B13929" t="n">
        <v>4.86</v>
      </c>
      <c r="C13929" t="n">
        <v>4.77</v>
      </c>
    </row>
    <row r="13930">
      <c r="A13930" s="28" t="n">
        <v>39226</v>
      </c>
      <c r="B13930" t="n">
        <v>4.86</v>
      </c>
      <c r="C13930" t="n">
        <v>4.77</v>
      </c>
    </row>
    <row r="13931">
      <c r="A13931" s="28" t="n">
        <v>39227</v>
      </c>
      <c r="B13931" t="n">
        <v>4.86</v>
      </c>
      <c r="C13931" t="n">
        <v>4.75</v>
      </c>
    </row>
    <row r="13932">
      <c r="A13932" s="28" t="n">
        <v>39230</v>
      </c>
      <c r="B13932" t="n">
        <v>0</v>
      </c>
      <c r="C13932" t="n">
        <v>0</v>
      </c>
    </row>
    <row r="13933">
      <c r="A13933" s="28" t="n">
        <v>39231</v>
      </c>
      <c r="B13933" t="n">
        <v>4.88</v>
      </c>
      <c r="C13933" t="n">
        <v>4.76</v>
      </c>
    </row>
    <row r="13934">
      <c r="A13934" s="28" t="n">
        <v>39232</v>
      </c>
      <c r="B13934" t="n">
        <v>4.88</v>
      </c>
      <c r="C13934" t="n">
        <v>4.71</v>
      </c>
    </row>
    <row r="13935">
      <c r="A13935" s="28" t="n">
        <v>39233</v>
      </c>
      <c r="B13935" t="n">
        <v>4.9</v>
      </c>
      <c r="C13935" t="n">
        <v>4.6</v>
      </c>
    </row>
    <row r="13936">
      <c r="A13936" s="28" t="n">
        <v>39234</v>
      </c>
      <c r="B13936" t="n">
        <v>4.95</v>
      </c>
      <c r="C13936" t="n">
        <v>4.66</v>
      </c>
    </row>
    <row r="13937">
      <c r="A13937" s="28" t="n">
        <v>39237</v>
      </c>
      <c r="B13937" t="n">
        <v>4.93</v>
      </c>
      <c r="C13937" t="n">
        <v>4.68</v>
      </c>
    </row>
    <row r="13938">
      <c r="A13938" s="28" t="n">
        <v>39238</v>
      </c>
      <c r="B13938" t="n">
        <v>4.98</v>
      </c>
      <c r="C13938" t="n">
        <v>4.7</v>
      </c>
    </row>
    <row r="13939">
      <c r="A13939" s="28" t="n">
        <v>39239</v>
      </c>
      <c r="B13939" t="n">
        <v>4.97</v>
      </c>
      <c r="C13939" t="n">
        <v>4.67</v>
      </c>
    </row>
    <row r="13940">
      <c r="A13940" s="28" t="n">
        <v>39240</v>
      </c>
      <c r="B13940" t="n">
        <v>5.11</v>
      </c>
      <c r="C13940" t="n">
        <v>4.67</v>
      </c>
    </row>
    <row r="13941">
      <c r="A13941" s="28" t="n">
        <v>39241</v>
      </c>
      <c r="B13941" t="n">
        <v>5.12</v>
      </c>
      <c r="C13941" t="n">
        <v>4.64</v>
      </c>
    </row>
    <row r="13942">
      <c r="A13942" s="28" t="n">
        <v>39244</v>
      </c>
      <c r="B13942" t="n">
        <v>5.14</v>
      </c>
      <c r="C13942" t="n">
        <v>4.6</v>
      </c>
    </row>
    <row r="13943">
      <c r="A13943" s="28" t="n">
        <v>39245</v>
      </c>
      <c r="B13943" t="n">
        <v>5.26</v>
      </c>
      <c r="C13943" t="n">
        <v>4.59</v>
      </c>
    </row>
    <row r="13944">
      <c r="A13944" s="28" t="n">
        <v>39246</v>
      </c>
      <c r="B13944" t="n">
        <v>5.2</v>
      </c>
      <c r="C13944" t="n">
        <v>4.53</v>
      </c>
    </row>
    <row r="13945">
      <c r="A13945" s="28" t="n">
        <v>39247</v>
      </c>
      <c r="B13945" t="n">
        <v>5.23</v>
      </c>
      <c r="C13945" t="n">
        <v>4.52</v>
      </c>
    </row>
    <row r="13946">
      <c r="A13946" s="28" t="n">
        <v>39248</v>
      </c>
      <c r="B13946" t="n">
        <v>5.16</v>
      </c>
      <c r="C13946" t="n">
        <v>4.43</v>
      </c>
    </row>
    <row r="13947">
      <c r="A13947" s="28" t="n">
        <v>39251</v>
      </c>
      <c r="B13947" t="n">
        <v>5.15</v>
      </c>
      <c r="C13947" t="n">
        <v>4.51</v>
      </c>
    </row>
    <row r="13948">
      <c r="A13948" s="28" t="n">
        <v>39252</v>
      </c>
      <c r="B13948" t="n">
        <v>5.09</v>
      </c>
      <c r="C13948" t="n">
        <v>4.52</v>
      </c>
    </row>
    <row r="13949">
      <c r="A13949" s="28" t="n">
        <v>39253</v>
      </c>
      <c r="B13949" t="n">
        <v>5.14</v>
      </c>
      <c r="C13949" t="n">
        <v>4.61</v>
      </c>
    </row>
    <row r="13950">
      <c r="A13950" s="28" t="n">
        <v>39254</v>
      </c>
      <c r="B13950" t="n">
        <v>5.16</v>
      </c>
      <c r="C13950" t="n">
        <v>4.57</v>
      </c>
    </row>
    <row r="13951">
      <c r="A13951" s="28" t="n">
        <v>39255</v>
      </c>
      <c r="B13951" t="n">
        <v>5.14</v>
      </c>
      <c r="C13951" t="n">
        <v>4.59</v>
      </c>
    </row>
    <row r="13952">
      <c r="A13952" s="28" t="n">
        <v>39258</v>
      </c>
      <c r="B13952" t="n">
        <v>5.09</v>
      </c>
      <c r="C13952" t="n">
        <v>4.69</v>
      </c>
    </row>
    <row r="13953">
      <c r="A13953" s="28" t="n">
        <v>39259</v>
      </c>
      <c r="B13953" t="n">
        <v>5.1</v>
      </c>
      <c r="C13953" t="n">
        <v>4.69</v>
      </c>
    </row>
    <row r="13954">
      <c r="A13954" s="28" t="n">
        <v>39260</v>
      </c>
      <c r="B13954" t="n">
        <v>5.09</v>
      </c>
      <c r="C13954" t="n">
        <v>4.64</v>
      </c>
    </row>
    <row r="13955">
      <c r="A13955" s="28" t="n">
        <v>39261</v>
      </c>
      <c r="B13955" t="n">
        <v>5.12</v>
      </c>
      <c r="C13955" t="n">
        <v>4.64</v>
      </c>
    </row>
    <row r="13956">
      <c r="A13956" s="28" t="n">
        <v>39262</v>
      </c>
      <c r="B13956" t="n">
        <v>5.03</v>
      </c>
      <c r="C13956" t="n">
        <v>4.68</v>
      </c>
    </row>
    <row r="13957">
      <c r="A13957" s="28" t="n">
        <v>39265</v>
      </c>
      <c r="B13957" t="n">
        <v>5</v>
      </c>
      <c r="C13957" t="n">
        <v>4.81</v>
      </c>
    </row>
    <row r="13958">
      <c r="A13958" s="28" t="n">
        <v>39266</v>
      </c>
      <c r="B13958" t="n">
        <v>5.05</v>
      </c>
      <c r="C13958" t="n">
        <v>4.81</v>
      </c>
    </row>
    <row r="13959">
      <c r="A13959" s="28" t="n">
        <v>39267</v>
      </c>
      <c r="B13959" t="n">
        <v>0</v>
      </c>
      <c r="C13959" t="n">
        <v>0</v>
      </c>
    </row>
    <row r="13960">
      <c r="A13960" s="28" t="n">
        <v>39268</v>
      </c>
      <c r="B13960" t="n">
        <v>5.16</v>
      </c>
      <c r="C13960" t="n">
        <v>4.81</v>
      </c>
    </row>
    <row r="13961">
      <c r="A13961" s="28" t="n">
        <v>39269</v>
      </c>
      <c r="B13961" t="n">
        <v>5.19</v>
      </c>
      <c r="C13961" t="n">
        <v>4.81</v>
      </c>
    </row>
    <row r="13962">
      <c r="A13962" s="28" t="n">
        <v>39272</v>
      </c>
      <c r="B13962" t="n">
        <v>5.16</v>
      </c>
      <c r="C13962" t="n">
        <v>4.83</v>
      </c>
    </row>
    <row r="13963">
      <c r="A13963" s="28" t="n">
        <v>39273</v>
      </c>
      <c r="B13963" t="n">
        <v>5.03</v>
      </c>
      <c r="C13963" t="n">
        <v>4.81</v>
      </c>
    </row>
    <row r="13964">
      <c r="A13964" s="28" t="n">
        <v>39274</v>
      </c>
      <c r="B13964" t="n">
        <v>5.09</v>
      </c>
      <c r="C13964" t="n">
        <v>4.81</v>
      </c>
    </row>
    <row r="13965">
      <c r="A13965" s="28" t="n">
        <v>39275</v>
      </c>
      <c r="B13965" t="n">
        <v>5.13</v>
      </c>
      <c r="C13965" t="n">
        <v>4.83</v>
      </c>
    </row>
    <row r="13966">
      <c r="A13966" s="28" t="n">
        <v>39276</v>
      </c>
      <c r="B13966" t="n">
        <v>5.11</v>
      </c>
      <c r="C13966" t="n">
        <v>4.83</v>
      </c>
    </row>
    <row r="13967">
      <c r="A13967" s="28" t="n">
        <v>39279</v>
      </c>
      <c r="B13967" t="n">
        <v>5.05</v>
      </c>
      <c r="C13967" t="n">
        <v>4.84</v>
      </c>
    </row>
    <row r="13968">
      <c r="A13968" s="28" t="n">
        <v>39280</v>
      </c>
      <c r="B13968" t="n">
        <v>5.08</v>
      </c>
      <c r="C13968" t="n">
        <v>4.82</v>
      </c>
    </row>
    <row r="13969">
      <c r="A13969" s="28" t="n">
        <v>39281</v>
      </c>
      <c r="B13969" t="n">
        <v>5.02</v>
      </c>
      <c r="C13969" t="n">
        <v>4.82</v>
      </c>
    </row>
    <row r="13970">
      <c r="A13970" s="28" t="n">
        <v>39282</v>
      </c>
      <c r="B13970" t="n">
        <v>5.04</v>
      </c>
      <c r="C13970" t="n">
        <v>4.84</v>
      </c>
    </row>
    <row r="13971">
      <c r="A13971" s="28" t="n">
        <v>39283</v>
      </c>
      <c r="B13971" t="n">
        <v>4.96</v>
      </c>
      <c r="C13971" t="n">
        <v>4.83</v>
      </c>
    </row>
    <row r="13972">
      <c r="A13972" s="28" t="n">
        <v>39286</v>
      </c>
      <c r="B13972" t="n">
        <v>4.97</v>
      </c>
      <c r="C13972" t="n">
        <v>4.88</v>
      </c>
    </row>
    <row r="13973">
      <c r="A13973" s="28" t="n">
        <v>39287</v>
      </c>
      <c r="B13973" t="n">
        <v>4.94</v>
      </c>
      <c r="C13973" t="n">
        <v>4.88</v>
      </c>
    </row>
    <row r="13974">
      <c r="A13974" s="28" t="n">
        <v>39288</v>
      </c>
      <c r="B13974" t="n">
        <v>4.92</v>
      </c>
      <c r="C13974" t="n">
        <v>4.85</v>
      </c>
    </row>
    <row r="13975">
      <c r="A13975" s="28" t="n">
        <v>39289</v>
      </c>
      <c r="B13975" t="n">
        <v>4.79</v>
      </c>
      <c r="C13975" t="n">
        <v>4.78</v>
      </c>
    </row>
    <row r="13976">
      <c r="A13976" s="28" t="n">
        <v>39290</v>
      </c>
      <c r="B13976" t="n">
        <v>4.8</v>
      </c>
      <c r="C13976" t="n">
        <v>4.72</v>
      </c>
    </row>
    <row r="13977">
      <c r="A13977" s="28" t="n">
        <v>39293</v>
      </c>
      <c r="B13977" t="n">
        <v>4.82</v>
      </c>
      <c r="C13977" t="n">
        <v>4.82</v>
      </c>
    </row>
    <row r="13978">
      <c r="A13978" s="28" t="n">
        <v>39294</v>
      </c>
      <c r="B13978" t="n">
        <v>4.78</v>
      </c>
      <c r="C13978" t="n">
        <v>4.82</v>
      </c>
    </row>
    <row r="13979">
      <c r="A13979" s="28" t="n">
        <v>39295</v>
      </c>
      <c r="B13979" t="n">
        <v>4.76</v>
      </c>
      <c r="C13979" t="n">
        <v>4.75</v>
      </c>
    </row>
    <row r="13980">
      <c r="A13980" s="28" t="n">
        <v>39296</v>
      </c>
      <c r="B13980" t="n">
        <v>4.77</v>
      </c>
      <c r="C13980" t="n">
        <v>4.75</v>
      </c>
    </row>
    <row r="13981">
      <c r="A13981" s="28" t="n">
        <v>39297</v>
      </c>
      <c r="B13981" t="n">
        <v>4.71</v>
      </c>
      <c r="C13981" t="n">
        <v>4.72</v>
      </c>
    </row>
    <row r="13982">
      <c r="A13982" s="28" t="n">
        <v>39300</v>
      </c>
      <c r="B13982" t="n">
        <v>4.72</v>
      </c>
      <c r="C13982" t="n">
        <v>4.74</v>
      </c>
    </row>
    <row r="13983">
      <c r="A13983" s="28" t="n">
        <v>39301</v>
      </c>
      <c r="B13983" t="n">
        <v>4.77</v>
      </c>
      <c r="C13983" t="n">
        <v>4.8</v>
      </c>
    </row>
    <row r="13984">
      <c r="A13984" s="28" t="n">
        <v>39302</v>
      </c>
      <c r="B13984" t="n">
        <v>4.84</v>
      </c>
      <c r="C13984" t="n">
        <v>4.81</v>
      </c>
    </row>
    <row r="13985">
      <c r="A13985" s="28" t="n">
        <v>39303</v>
      </c>
      <c r="B13985" t="n">
        <v>4.79</v>
      </c>
      <c r="C13985" t="n">
        <v>4.67</v>
      </c>
    </row>
    <row r="13986">
      <c r="A13986" s="28" t="n">
        <v>39304</v>
      </c>
      <c r="B13986" t="n">
        <v>4.81</v>
      </c>
      <c r="C13986" t="n">
        <v>4.44</v>
      </c>
    </row>
    <row r="13987">
      <c r="A13987" s="28" t="n">
        <v>39307</v>
      </c>
      <c r="B13987" t="n">
        <v>4.78</v>
      </c>
      <c r="C13987" t="n">
        <v>4.61</v>
      </c>
    </row>
    <row r="13988">
      <c r="A13988" s="28" t="n">
        <v>39308</v>
      </c>
      <c r="B13988" t="n">
        <v>4.73</v>
      </c>
      <c r="C13988" t="n">
        <v>4.51</v>
      </c>
    </row>
    <row r="13989">
      <c r="A13989" s="28" t="n">
        <v>39309</v>
      </c>
      <c r="B13989" t="n">
        <v>4.69</v>
      </c>
      <c r="C13989" t="n">
        <v>4.1</v>
      </c>
    </row>
    <row r="13990">
      <c r="A13990" s="28" t="n">
        <v>39310</v>
      </c>
      <c r="B13990" t="n">
        <v>4.6</v>
      </c>
      <c r="C13990" t="n">
        <v>3.69</v>
      </c>
    </row>
    <row r="13991">
      <c r="A13991" s="28" t="n">
        <v>39311</v>
      </c>
      <c r="B13991" t="n">
        <v>4.68</v>
      </c>
      <c r="C13991" t="n">
        <v>3.65</v>
      </c>
    </row>
    <row r="13992">
      <c r="A13992" s="28" t="n">
        <v>39314</v>
      </c>
      <c r="B13992" t="n">
        <v>4.64</v>
      </c>
      <c r="C13992" t="n">
        <v>3.08</v>
      </c>
    </row>
    <row r="13993">
      <c r="A13993" s="28" t="n">
        <v>39315</v>
      </c>
      <c r="B13993" t="n">
        <v>4.6</v>
      </c>
      <c r="C13993" t="n">
        <v>3.51</v>
      </c>
    </row>
    <row r="13994">
      <c r="A13994" s="28" t="n">
        <v>39316</v>
      </c>
      <c r="B13994" t="n">
        <v>4.63</v>
      </c>
      <c r="C13994" t="n">
        <v>3.58</v>
      </c>
    </row>
    <row r="13995">
      <c r="A13995" s="28" t="n">
        <v>39317</v>
      </c>
      <c r="B13995" t="n">
        <v>4.62</v>
      </c>
      <c r="C13995" t="n">
        <v>3.79</v>
      </c>
    </row>
    <row r="13996">
      <c r="A13996" s="28" t="n">
        <v>39318</v>
      </c>
      <c r="B13996" t="n">
        <v>4.63</v>
      </c>
      <c r="C13996" t="n">
        <v>4.13</v>
      </c>
    </row>
    <row r="13997">
      <c r="A13997" s="28" t="n">
        <v>39321</v>
      </c>
      <c r="B13997" t="n">
        <v>4.6</v>
      </c>
      <c r="C13997" t="n">
        <v>4.5</v>
      </c>
    </row>
    <row r="13998">
      <c r="A13998" s="28" t="n">
        <v>39322</v>
      </c>
      <c r="B13998" t="n">
        <v>4.53</v>
      </c>
      <c r="C13998" t="n">
        <v>4.28</v>
      </c>
    </row>
    <row r="13999">
      <c r="A13999" s="28" t="n">
        <v>39323</v>
      </c>
      <c r="B13999" t="n">
        <v>4.57</v>
      </c>
      <c r="C13999" t="n">
        <v>3.88</v>
      </c>
    </row>
    <row r="14000">
      <c r="A14000" s="28" t="n">
        <v>39324</v>
      </c>
      <c r="B14000" t="n">
        <v>4.51</v>
      </c>
      <c r="C14000" t="n">
        <v>3.74</v>
      </c>
    </row>
    <row r="14001">
      <c r="A14001" s="28" t="n">
        <v>39325</v>
      </c>
      <c r="B14001" t="n">
        <v>4.54</v>
      </c>
      <c r="C14001" t="n">
        <v>3.91</v>
      </c>
    </row>
    <row r="14002">
      <c r="A14002" s="28" t="n">
        <v>39328</v>
      </c>
      <c r="B14002" t="n">
        <v>0</v>
      </c>
      <c r="C14002" t="n">
        <v>0</v>
      </c>
    </row>
    <row r="14003">
      <c r="A14003" s="28" t="n">
        <v>39329</v>
      </c>
      <c r="B14003" t="n">
        <v>4.56</v>
      </c>
      <c r="C14003" t="n">
        <v>4.35</v>
      </c>
    </row>
    <row r="14004">
      <c r="A14004" s="28" t="n">
        <v>39330</v>
      </c>
      <c r="B14004" t="n">
        <v>4.48</v>
      </c>
      <c r="C14004" t="n">
        <v>4.24</v>
      </c>
    </row>
    <row r="14005">
      <c r="A14005" s="28" t="n">
        <v>39331</v>
      </c>
      <c r="B14005" t="n">
        <v>4.51</v>
      </c>
      <c r="C14005" t="n">
        <v>4.18</v>
      </c>
    </row>
    <row r="14006">
      <c r="A14006" s="28" t="n">
        <v>39332</v>
      </c>
      <c r="B14006" t="n">
        <v>4.38</v>
      </c>
      <c r="C14006" t="n">
        <v>3.96</v>
      </c>
    </row>
    <row r="14007">
      <c r="A14007" s="28" t="n">
        <v>39335</v>
      </c>
      <c r="B14007" t="n">
        <v>4.34</v>
      </c>
      <c r="C14007" t="n">
        <v>3.86</v>
      </c>
    </row>
    <row r="14008">
      <c r="A14008" s="28" t="n">
        <v>39336</v>
      </c>
      <c r="B14008" t="n">
        <v>4.37</v>
      </c>
      <c r="C14008" t="n">
        <v>4</v>
      </c>
    </row>
    <row r="14009">
      <c r="A14009" s="28" t="n">
        <v>39337</v>
      </c>
      <c r="B14009" t="n">
        <v>4.41</v>
      </c>
      <c r="C14009" t="n">
        <v>3.93</v>
      </c>
    </row>
    <row r="14010">
      <c r="A14010" s="28" t="n">
        <v>39338</v>
      </c>
      <c r="B14010" t="n">
        <v>4.49</v>
      </c>
      <c r="C14010" t="n">
        <v>3.97</v>
      </c>
    </row>
    <row r="14011">
      <c r="A14011" s="28" t="n">
        <v>39339</v>
      </c>
      <c r="B14011" t="n">
        <v>4.47</v>
      </c>
      <c r="C14011" t="n">
        <v>3.9</v>
      </c>
    </row>
    <row r="14012">
      <c r="A14012" s="28" t="n">
        <v>39342</v>
      </c>
      <c r="B14012" t="n">
        <v>4.48</v>
      </c>
      <c r="C14012" t="n">
        <v>4.05</v>
      </c>
    </row>
    <row r="14013">
      <c r="A14013" s="28" t="n">
        <v>39343</v>
      </c>
      <c r="B14013" t="n">
        <v>4.5</v>
      </c>
      <c r="C14013" t="n">
        <v>3.91</v>
      </c>
    </row>
    <row r="14014">
      <c r="A14014" s="28" t="n">
        <v>39344</v>
      </c>
      <c r="B14014" t="n">
        <v>4.53</v>
      </c>
      <c r="C14014" t="n">
        <v>3.83</v>
      </c>
    </row>
    <row r="14015">
      <c r="A14015" s="28" t="n">
        <v>39345</v>
      </c>
      <c r="B14015" t="n">
        <v>4.69</v>
      </c>
      <c r="C14015" t="n">
        <v>3.69</v>
      </c>
    </row>
    <row r="14016">
      <c r="A14016" s="28" t="n">
        <v>39346</v>
      </c>
      <c r="B14016" t="n">
        <v>4.64</v>
      </c>
      <c r="C14016" t="n">
        <v>3.64</v>
      </c>
    </row>
    <row r="14017">
      <c r="A14017" s="28" t="n">
        <v>39349</v>
      </c>
      <c r="B14017" t="n">
        <v>4.63</v>
      </c>
      <c r="C14017" t="n">
        <v>3.76</v>
      </c>
    </row>
    <row r="14018">
      <c r="A14018" s="28" t="n">
        <v>39350</v>
      </c>
      <c r="B14018" t="n">
        <v>4.63</v>
      </c>
      <c r="C14018" t="n">
        <v>3.7</v>
      </c>
    </row>
    <row r="14019">
      <c r="A14019" s="28" t="n">
        <v>39351</v>
      </c>
      <c r="B14019" t="n">
        <v>4.63</v>
      </c>
      <c r="C14019" t="n">
        <v>3.64</v>
      </c>
    </row>
    <row r="14020">
      <c r="A14020" s="28" t="n">
        <v>39352</v>
      </c>
      <c r="B14020" t="n">
        <v>4.58</v>
      </c>
      <c r="C14020" t="n">
        <v>3.62</v>
      </c>
    </row>
    <row r="14021">
      <c r="A14021" s="28" t="n">
        <v>39353</v>
      </c>
      <c r="B14021" t="n">
        <v>4.59</v>
      </c>
      <c r="C14021" t="n">
        <v>3.72</v>
      </c>
    </row>
    <row r="14022">
      <c r="A14022" s="28" t="n">
        <v>39356</v>
      </c>
      <c r="B14022" t="n">
        <v>4.56</v>
      </c>
      <c r="C14022" t="n">
        <v>3.83</v>
      </c>
    </row>
    <row r="14023">
      <c r="A14023" s="28" t="n">
        <v>39357</v>
      </c>
      <c r="B14023" t="n">
        <v>4.54</v>
      </c>
      <c r="C14023" t="n">
        <v>3.86</v>
      </c>
    </row>
    <row r="14024">
      <c r="A14024" s="28" t="n">
        <v>39358</v>
      </c>
      <c r="B14024" t="n">
        <v>4.55</v>
      </c>
      <c r="C14024" t="n">
        <v>3.86</v>
      </c>
    </row>
    <row r="14025">
      <c r="A14025" s="28" t="n">
        <v>39359</v>
      </c>
      <c r="B14025" t="n">
        <v>4.54</v>
      </c>
      <c r="C14025" t="n">
        <v>3.85</v>
      </c>
    </row>
    <row r="14026">
      <c r="A14026" s="28" t="n">
        <v>39360</v>
      </c>
      <c r="B14026" t="n">
        <v>4.65</v>
      </c>
      <c r="C14026" t="n">
        <v>3.89</v>
      </c>
    </row>
    <row r="14027">
      <c r="A14027" s="28" t="n">
        <v>39363</v>
      </c>
      <c r="B14027" t="n">
        <v>0</v>
      </c>
      <c r="C14027" t="n">
        <v>0</v>
      </c>
    </row>
    <row r="14028">
      <c r="A14028" s="28" t="n">
        <v>39364</v>
      </c>
      <c r="B14028" t="n">
        <v>4.67</v>
      </c>
      <c r="C14028" t="n">
        <v>3.96</v>
      </c>
    </row>
    <row r="14029">
      <c r="A14029" s="28" t="n">
        <v>39365</v>
      </c>
      <c r="B14029" t="n">
        <v>4.65</v>
      </c>
      <c r="C14029" t="n">
        <v>3.95</v>
      </c>
    </row>
    <row r="14030">
      <c r="A14030" s="28" t="n">
        <v>39366</v>
      </c>
      <c r="B14030" t="n">
        <v>4.66</v>
      </c>
      <c r="C14030" t="n">
        <v>4.01</v>
      </c>
    </row>
    <row r="14031">
      <c r="A14031" s="28" t="n">
        <v>39367</v>
      </c>
      <c r="B14031" t="n">
        <v>4.7</v>
      </c>
      <c r="C14031" t="n">
        <v>4.09</v>
      </c>
    </row>
    <row r="14032">
      <c r="A14032" s="28" t="n">
        <v>39370</v>
      </c>
      <c r="B14032" t="n">
        <v>4.69</v>
      </c>
      <c r="C14032" t="n">
        <v>4.19</v>
      </c>
    </row>
    <row r="14033">
      <c r="A14033" s="28" t="n">
        <v>39371</v>
      </c>
      <c r="B14033" t="n">
        <v>4.66</v>
      </c>
      <c r="C14033" t="n">
        <v>4.14</v>
      </c>
    </row>
    <row r="14034">
      <c r="A14034" s="28" t="n">
        <v>39372</v>
      </c>
      <c r="B14034" t="n">
        <v>4.57</v>
      </c>
      <c r="C14034" t="n">
        <v>3.91</v>
      </c>
    </row>
    <row r="14035">
      <c r="A14035" s="28" t="n">
        <v>39373</v>
      </c>
      <c r="B14035" t="n">
        <v>4.52</v>
      </c>
      <c r="C14035" t="n">
        <v>3.66</v>
      </c>
    </row>
    <row r="14036">
      <c r="A14036" s="28" t="n">
        <v>39374</v>
      </c>
      <c r="B14036" t="n">
        <v>4.41</v>
      </c>
      <c r="C14036" t="n">
        <v>3.75</v>
      </c>
    </row>
    <row r="14037">
      <c r="A14037" s="28" t="n">
        <v>39377</v>
      </c>
      <c r="B14037" t="n">
        <v>4.42</v>
      </c>
      <c r="C14037" t="n">
        <v>3.9</v>
      </c>
    </row>
    <row r="14038">
      <c r="A14038" s="28" t="n">
        <v>39378</v>
      </c>
      <c r="B14038" t="n">
        <v>4.41</v>
      </c>
      <c r="C14038" t="n">
        <v>3.88</v>
      </c>
    </row>
    <row r="14039">
      <c r="A14039" s="28" t="n">
        <v>39379</v>
      </c>
      <c r="B14039" t="n">
        <v>4.36</v>
      </c>
      <c r="C14039" t="n">
        <v>3.75</v>
      </c>
    </row>
    <row r="14040">
      <c r="A14040" s="28" t="n">
        <v>39380</v>
      </c>
      <c r="B14040" t="n">
        <v>4.37</v>
      </c>
      <c r="C14040" t="n">
        <v>3.84</v>
      </c>
    </row>
    <row r="14041">
      <c r="A14041" s="28" t="n">
        <v>39381</v>
      </c>
      <c r="B14041" t="n">
        <v>4.41</v>
      </c>
      <c r="C14041" t="n">
        <v>3.86</v>
      </c>
    </row>
    <row r="14042">
      <c r="A14042" s="28" t="n">
        <v>39384</v>
      </c>
      <c r="B14042" t="n">
        <v>4.39</v>
      </c>
      <c r="C14042" t="n">
        <v>3.91</v>
      </c>
    </row>
    <row r="14043">
      <c r="A14043" s="28" t="n">
        <v>39385</v>
      </c>
      <c r="B14043" t="n">
        <v>4.4</v>
      </c>
      <c r="C14043" t="n">
        <v>3.86</v>
      </c>
    </row>
    <row r="14044">
      <c r="A14044" s="28" t="n">
        <v>39386</v>
      </c>
      <c r="B14044" t="n">
        <v>4.48</v>
      </c>
      <c r="C14044" t="n">
        <v>3.84</v>
      </c>
    </row>
    <row r="14045">
      <c r="A14045" s="28" t="n">
        <v>39387</v>
      </c>
      <c r="B14045" t="n">
        <v>4.36</v>
      </c>
      <c r="C14045" t="n">
        <v>3.71</v>
      </c>
    </row>
    <row r="14046">
      <c r="A14046" s="28" t="n">
        <v>39388</v>
      </c>
      <c r="B14046" t="n">
        <v>4.31</v>
      </c>
      <c r="C14046" t="n">
        <v>3.52</v>
      </c>
    </row>
    <row r="14047">
      <c r="A14047" s="28" t="n">
        <v>39391</v>
      </c>
      <c r="B14047" t="n">
        <v>4.35</v>
      </c>
      <c r="C14047" t="n">
        <v>3.62</v>
      </c>
    </row>
    <row r="14048">
      <c r="A14048" s="28" t="n">
        <v>39392</v>
      </c>
      <c r="B14048" t="n">
        <v>4.38</v>
      </c>
      <c r="C14048" t="n">
        <v>3.66</v>
      </c>
    </row>
    <row r="14049">
      <c r="A14049" s="28" t="n">
        <v>39393</v>
      </c>
      <c r="B14049" t="n">
        <v>4.34</v>
      </c>
      <c r="C14049" t="n">
        <v>3.4</v>
      </c>
    </row>
    <row r="14050">
      <c r="A14050" s="28" t="n">
        <v>39394</v>
      </c>
      <c r="B14050" t="n">
        <v>4.28</v>
      </c>
      <c r="C14050" t="n">
        <v>3.3</v>
      </c>
    </row>
    <row r="14051">
      <c r="A14051" s="28" t="n">
        <v>39395</v>
      </c>
      <c r="B14051" t="n">
        <v>4.23</v>
      </c>
      <c r="C14051" t="n">
        <v>3.19</v>
      </c>
    </row>
    <row r="14052">
      <c r="A14052" s="28" t="n">
        <v>39398</v>
      </c>
      <c r="B14052" t="n">
        <v>0</v>
      </c>
      <c r="C14052" t="n">
        <v>0</v>
      </c>
    </row>
    <row r="14053">
      <c r="A14053" s="28" t="n">
        <v>39399</v>
      </c>
      <c r="B14053" t="n">
        <v>4.26</v>
      </c>
      <c r="C14053" t="n">
        <v>3.41</v>
      </c>
    </row>
    <row r="14054">
      <c r="A14054" s="28" t="n">
        <v>39400</v>
      </c>
      <c r="B14054" t="n">
        <v>4.28</v>
      </c>
      <c r="C14054" t="n">
        <v>3.33</v>
      </c>
    </row>
    <row r="14055">
      <c r="A14055" s="28" t="n">
        <v>39401</v>
      </c>
      <c r="B14055" t="n">
        <v>4.17</v>
      </c>
      <c r="C14055" t="n">
        <v>3.22</v>
      </c>
    </row>
    <row r="14056">
      <c r="A14056" s="28" t="n">
        <v>39402</v>
      </c>
      <c r="B14056" t="n">
        <v>4.15</v>
      </c>
      <c r="C14056" t="n">
        <v>3.32</v>
      </c>
    </row>
    <row r="14057">
      <c r="A14057" s="28" t="n">
        <v>39405</v>
      </c>
      <c r="B14057" t="n">
        <v>4.07</v>
      </c>
      <c r="C14057" t="n">
        <v>3.32</v>
      </c>
    </row>
    <row r="14058">
      <c r="A14058" s="28" t="n">
        <v>39406</v>
      </c>
      <c r="B14058" t="n">
        <v>4.06</v>
      </c>
      <c r="C14058" t="n">
        <v>3.17</v>
      </c>
    </row>
    <row r="14059">
      <c r="A14059" s="28" t="n">
        <v>39407</v>
      </c>
      <c r="B14059" t="n">
        <v>4</v>
      </c>
      <c r="C14059" t="n">
        <v>3.02</v>
      </c>
    </row>
    <row r="14060">
      <c r="A14060" s="28" t="n">
        <v>39408</v>
      </c>
      <c r="B14060" t="n">
        <v>0</v>
      </c>
      <c r="C14060" t="n">
        <v>0</v>
      </c>
    </row>
    <row r="14061">
      <c r="A14061" s="28" t="n">
        <v>39409</v>
      </c>
      <c r="B14061" t="n">
        <v>4.01</v>
      </c>
      <c r="C14061" t="n">
        <v>3.15</v>
      </c>
    </row>
    <row r="14062">
      <c r="A14062" s="28" t="n">
        <v>39412</v>
      </c>
      <c r="B14062" t="n">
        <v>3.83</v>
      </c>
      <c r="C14062" t="n">
        <v>3.06</v>
      </c>
    </row>
    <row r="14063">
      <c r="A14063" s="28" t="n">
        <v>39413</v>
      </c>
      <c r="B14063" t="n">
        <v>3.95</v>
      </c>
      <c r="C14063" t="n">
        <v>3.08</v>
      </c>
    </row>
    <row r="14064">
      <c r="A14064" s="28" t="n">
        <v>39414</v>
      </c>
      <c r="B14064" t="n">
        <v>4.03</v>
      </c>
      <c r="C14064" t="n">
        <v>2.98</v>
      </c>
    </row>
    <row r="14065">
      <c r="A14065" s="28" t="n">
        <v>39415</v>
      </c>
      <c r="B14065" t="n">
        <v>3.94</v>
      </c>
      <c r="C14065" t="n">
        <v>2.92</v>
      </c>
    </row>
    <row r="14066">
      <c r="A14066" s="28" t="n">
        <v>39416</v>
      </c>
      <c r="B14066" t="n">
        <v>3.97</v>
      </c>
      <c r="C14066" t="n">
        <v>3.08</v>
      </c>
    </row>
    <row r="14067">
      <c r="A14067" s="28" t="n">
        <v>39419</v>
      </c>
      <c r="B14067" t="n">
        <v>3.89</v>
      </c>
      <c r="C14067" t="n">
        <v>2.99</v>
      </c>
    </row>
    <row r="14068">
      <c r="A14068" s="28" t="n">
        <v>39420</v>
      </c>
      <c r="B14068" t="n">
        <v>3.89</v>
      </c>
      <c r="C14068" t="n">
        <v>3</v>
      </c>
    </row>
    <row r="14069">
      <c r="A14069" s="28" t="n">
        <v>39421</v>
      </c>
      <c r="B14069" t="n">
        <v>3.92</v>
      </c>
      <c r="C14069" t="n">
        <v>3</v>
      </c>
    </row>
    <row r="14070">
      <c r="A14070" s="28" t="n">
        <v>39422</v>
      </c>
      <c r="B14070" t="n">
        <v>4.02</v>
      </c>
      <c r="C14070" t="n">
        <v>3.02</v>
      </c>
    </row>
    <row r="14071">
      <c r="A14071" s="28" t="n">
        <v>39423</v>
      </c>
      <c r="B14071" t="n">
        <v>4.12</v>
      </c>
      <c r="C14071" t="n">
        <v>3.04</v>
      </c>
    </row>
    <row r="14072">
      <c r="A14072" s="28" t="n">
        <v>39426</v>
      </c>
      <c r="B14072" t="n">
        <v>4.15</v>
      </c>
      <c r="C14072" t="n">
        <v>2.98</v>
      </c>
    </row>
    <row r="14073">
      <c r="A14073" s="28" t="n">
        <v>39427</v>
      </c>
      <c r="B14073" t="n">
        <v>3.98</v>
      </c>
      <c r="C14073" t="n">
        <v>2.87</v>
      </c>
    </row>
    <row r="14074">
      <c r="A14074" s="28" t="n">
        <v>39428</v>
      </c>
      <c r="B14074" t="n">
        <v>4.05</v>
      </c>
      <c r="C14074" t="n">
        <v>2.81</v>
      </c>
    </row>
    <row r="14075">
      <c r="A14075" s="28" t="n">
        <v>39429</v>
      </c>
      <c r="B14075" t="n">
        <v>4.18</v>
      </c>
      <c r="C14075" t="n">
        <v>2.8</v>
      </c>
    </row>
    <row r="14076">
      <c r="A14076" s="28" t="n">
        <v>39430</v>
      </c>
      <c r="B14076" t="n">
        <v>4.24</v>
      </c>
      <c r="C14076" t="n">
        <v>2.81</v>
      </c>
    </row>
    <row r="14077">
      <c r="A14077" s="28" t="n">
        <v>39433</v>
      </c>
      <c r="B14077" t="n">
        <v>4.2</v>
      </c>
      <c r="C14077" t="n">
        <v>3.01</v>
      </c>
    </row>
    <row r="14078">
      <c r="A14078" s="28" t="n">
        <v>39434</v>
      </c>
      <c r="B14078" t="n">
        <v>4.14</v>
      </c>
      <c r="C14078" t="n">
        <v>2.98</v>
      </c>
    </row>
    <row r="14079">
      <c r="A14079" s="28" t="n">
        <v>39435</v>
      </c>
      <c r="B14079" t="n">
        <v>4.06</v>
      </c>
      <c r="C14079" t="n">
        <v>2.85</v>
      </c>
    </row>
    <row r="14080">
      <c r="A14080" s="28" t="n">
        <v>39436</v>
      </c>
      <c r="B14080" t="n">
        <v>4.04</v>
      </c>
      <c r="C14080" t="n">
        <v>2.85</v>
      </c>
    </row>
    <row r="14081">
      <c r="A14081" s="28" t="n">
        <v>39437</v>
      </c>
      <c r="B14081" t="n">
        <v>4.18</v>
      </c>
      <c r="C14081" t="n">
        <v>2.92</v>
      </c>
    </row>
    <row r="14082">
      <c r="A14082" s="28" t="n">
        <v>39440</v>
      </c>
      <c r="B14082" t="n">
        <v>4.23</v>
      </c>
      <c r="C14082" t="n">
        <v>3.26</v>
      </c>
    </row>
    <row r="14083">
      <c r="A14083" s="28" t="n">
        <v>39441</v>
      </c>
      <c r="B14083" t="n">
        <v>0</v>
      </c>
      <c r="C14083" t="n">
        <v>0</v>
      </c>
    </row>
    <row r="14084">
      <c r="A14084" s="28" t="n">
        <v>39442</v>
      </c>
      <c r="B14084" t="n">
        <v>4.3</v>
      </c>
      <c r="C14084" t="n">
        <v>3.24</v>
      </c>
    </row>
    <row r="14085">
      <c r="A14085" s="28" t="n">
        <v>39443</v>
      </c>
      <c r="B14085" t="n">
        <v>4.21</v>
      </c>
      <c r="C14085" t="n">
        <v>3.09</v>
      </c>
    </row>
    <row r="14086">
      <c r="A14086" s="28" t="n">
        <v>39444</v>
      </c>
      <c r="B14086" t="n">
        <v>4.11</v>
      </c>
      <c r="C14086" t="n">
        <v>3.1</v>
      </c>
    </row>
    <row r="14087">
      <c r="A14087" s="28" t="n">
        <v>39447</v>
      </c>
      <c r="B14087" t="n">
        <v>4.04</v>
      </c>
      <c r="C14087" t="n">
        <v>3.29</v>
      </c>
    </row>
    <row r="14088">
      <c r="A14088" s="28" t="n">
        <v>39448</v>
      </c>
      <c r="B14088" t="n">
        <v>0</v>
      </c>
      <c r="C14088" t="n">
        <v>0</v>
      </c>
    </row>
    <row r="14089">
      <c r="A14089" s="28" t="n">
        <v>39449</v>
      </c>
      <c r="B14089" t="n">
        <v>3.91</v>
      </c>
      <c r="C14089" t="n">
        <v>3.18</v>
      </c>
    </row>
    <row r="14090">
      <c r="A14090" s="28" t="n">
        <v>39450</v>
      </c>
      <c r="B14090" t="n">
        <v>3.91</v>
      </c>
      <c r="C14090" t="n">
        <v>3.16</v>
      </c>
    </row>
    <row r="14091">
      <c r="A14091" s="28" t="n">
        <v>39451</v>
      </c>
      <c r="B14091" t="n">
        <v>3.88</v>
      </c>
      <c r="C14091" t="n">
        <v>3.12</v>
      </c>
    </row>
    <row r="14092">
      <c r="A14092" s="28" t="n">
        <v>39454</v>
      </c>
      <c r="B14092" t="n">
        <v>3.86</v>
      </c>
      <c r="C14092" t="n">
        <v>3.19</v>
      </c>
    </row>
    <row r="14093">
      <c r="A14093" s="28" t="n">
        <v>39455</v>
      </c>
      <c r="B14093" t="n">
        <v>3.86</v>
      </c>
      <c r="C14093" t="n">
        <v>3.17</v>
      </c>
    </row>
    <row r="14094">
      <c r="A14094" s="28" t="n">
        <v>39456</v>
      </c>
      <c r="B14094" t="n">
        <v>3.82</v>
      </c>
      <c r="C14094" t="n">
        <v>3.14</v>
      </c>
    </row>
    <row r="14095">
      <c r="A14095" s="28" t="n">
        <v>39457</v>
      </c>
      <c r="B14095" t="n">
        <v>3.91</v>
      </c>
      <c r="C14095" t="n">
        <v>3.16</v>
      </c>
    </row>
    <row r="14096">
      <c r="A14096" s="28" t="n">
        <v>39458</v>
      </c>
      <c r="B14096" t="n">
        <v>3.82</v>
      </c>
      <c r="C14096" t="n">
        <v>3.02</v>
      </c>
    </row>
    <row r="14097">
      <c r="A14097" s="28" t="n">
        <v>39461</v>
      </c>
      <c r="B14097" t="n">
        <v>3.81</v>
      </c>
      <c r="C14097" t="n">
        <v>3.11</v>
      </c>
    </row>
    <row r="14098">
      <c r="A14098" s="28" t="n">
        <v>39462</v>
      </c>
      <c r="B14098" t="n">
        <v>3.72</v>
      </c>
      <c r="C14098" t="n">
        <v>3.09</v>
      </c>
    </row>
    <row r="14099">
      <c r="A14099" s="28" t="n">
        <v>39463</v>
      </c>
      <c r="B14099" t="n">
        <v>3.74</v>
      </c>
      <c r="C14099" t="n">
        <v>3.06</v>
      </c>
    </row>
    <row r="14100">
      <c r="A14100" s="28" t="n">
        <v>39464</v>
      </c>
      <c r="B14100" t="n">
        <v>3.66</v>
      </c>
      <c r="C14100" t="n">
        <v>3</v>
      </c>
    </row>
    <row r="14101">
      <c r="A14101" s="28" t="n">
        <v>39465</v>
      </c>
      <c r="B14101" t="n">
        <v>3.66</v>
      </c>
      <c r="C14101" t="n">
        <v>2.79</v>
      </c>
    </row>
    <row r="14102">
      <c r="A14102" s="28" t="n">
        <v>39468</v>
      </c>
      <c r="B14102" t="n">
        <v>0</v>
      </c>
      <c r="C14102" t="n">
        <v>0</v>
      </c>
    </row>
    <row r="14103">
      <c r="A14103" s="28" t="n">
        <v>39469</v>
      </c>
      <c r="B14103" t="n">
        <v>3.52</v>
      </c>
      <c r="C14103" t="n">
        <v>2.3</v>
      </c>
    </row>
    <row r="14104">
      <c r="A14104" s="28" t="n">
        <v>39470</v>
      </c>
      <c r="B14104" t="n">
        <v>3.51</v>
      </c>
      <c r="C14104" t="n">
        <v>2.16</v>
      </c>
    </row>
    <row r="14105">
      <c r="A14105" s="28" t="n">
        <v>39471</v>
      </c>
      <c r="B14105" t="n">
        <v>3.68</v>
      </c>
      <c r="C14105" t="n">
        <v>2.32</v>
      </c>
    </row>
    <row r="14106">
      <c r="A14106" s="28" t="n">
        <v>39472</v>
      </c>
      <c r="B14106" t="n">
        <v>3.61</v>
      </c>
      <c r="C14106" t="n">
        <v>2.25</v>
      </c>
    </row>
    <row r="14107">
      <c r="A14107" s="28" t="n">
        <v>39475</v>
      </c>
      <c r="B14107" t="n">
        <v>3.61</v>
      </c>
      <c r="C14107" t="n">
        <v>2.29</v>
      </c>
    </row>
    <row r="14108">
      <c r="A14108" s="28" t="n">
        <v>39476</v>
      </c>
      <c r="B14108" t="n">
        <v>3.69</v>
      </c>
      <c r="C14108" t="n">
        <v>2.23</v>
      </c>
    </row>
    <row r="14109">
      <c r="A14109" s="28" t="n">
        <v>39477</v>
      </c>
      <c r="B14109" t="n">
        <v>3.78</v>
      </c>
      <c r="C14109" t="n">
        <v>2.16</v>
      </c>
    </row>
    <row r="14110">
      <c r="A14110" s="28" t="n">
        <v>39478</v>
      </c>
      <c r="B14110" t="n">
        <v>3.67</v>
      </c>
      <c r="C14110" t="n">
        <v>1.92</v>
      </c>
    </row>
    <row r="14111">
      <c r="A14111" s="28" t="n">
        <v>39479</v>
      </c>
      <c r="B14111" t="n">
        <v>3.62</v>
      </c>
      <c r="C14111" t="n">
        <v>2.06</v>
      </c>
    </row>
    <row r="14112">
      <c r="A14112" s="28" t="n">
        <v>39482</v>
      </c>
      <c r="B14112" t="n">
        <v>3.68</v>
      </c>
      <c r="C14112" t="n">
        <v>2.22</v>
      </c>
    </row>
    <row r="14113">
      <c r="A14113" s="28" t="n">
        <v>39483</v>
      </c>
      <c r="B14113" t="n">
        <v>3.61</v>
      </c>
      <c r="C14113" t="n">
        <v>2.14</v>
      </c>
    </row>
    <row r="14114">
      <c r="A14114" s="28" t="n">
        <v>39484</v>
      </c>
      <c r="B14114" t="n">
        <v>3.61</v>
      </c>
      <c r="C14114" t="n">
        <v>2.05</v>
      </c>
    </row>
    <row r="14115">
      <c r="A14115" s="28" t="n">
        <v>39485</v>
      </c>
      <c r="B14115" t="n">
        <v>3.74</v>
      </c>
      <c r="C14115" t="n">
        <v>2.12</v>
      </c>
    </row>
    <row r="14116">
      <c r="A14116" s="28" t="n">
        <v>39486</v>
      </c>
      <c r="B14116" t="n">
        <v>3.64</v>
      </c>
      <c r="C14116" t="n">
        <v>2.18</v>
      </c>
    </row>
    <row r="14117">
      <c r="A14117" s="28" t="n">
        <v>39489</v>
      </c>
      <c r="B14117" t="n">
        <v>3.62</v>
      </c>
      <c r="C14117" t="n">
        <v>2.25</v>
      </c>
    </row>
    <row r="14118">
      <c r="A14118" s="28" t="n">
        <v>39490</v>
      </c>
      <c r="B14118" t="n">
        <v>3.66</v>
      </c>
      <c r="C14118" t="n">
        <v>2.25</v>
      </c>
    </row>
    <row r="14119">
      <c r="A14119" s="28" t="n">
        <v>39491</v>
      </c>
      <c r="B14119" t="n">
        <v>3.7</v>
      </c>
      <c r="C14119" t="n">
        <v>2.22</v>
      </c>
    </row>
    <row r="14120">
      <c r="A14120" s="28" t="n">
        <v>39492</v>
      </c>
      <c r="B14120" t="n">
        <v>3.85</v>
      </c>
      <c r="C14120" t="n">
        <v>2.26</v>
      </c>
    </row>
    <row r="14121">
      <c r="A14121" s="28" t="n">
        <v>39493</v>
      </c>
      <c r="B14121" t="n">
        <v>3.76</v>
      </c>
      <c r="C14121" t="n">
        <v>2.16</v>
      </c>
    </row>
    <row r="14122">
      <c r="A14122" s="28" t="n">
        <v>39496</v>
      </c>
      <c r="B14122" t="n">
        <v>0</v>
      </c>
      <c r="C14122" t="n">
        <v>0</v>
      </c>
    </row>
    <row r="14123">
      <c r="A14123" s="28" t="n">
        <v>39497</v>
      </c>
      <c r="B14123" t="n">
        <v>3.89</v>
      </c>
      <c r="C14123" t="n">
        <v>2.23</v>
      </c>
    </row>
    <row r="14124">
      <c r="A14124" s="28" t="n">
        <v>39498</v>
      </c>
      <c r="B14124" t="n">
        <v>3.93</v>
      </c>
      <c r="C14124" t="n">
        <v>2.2</v>
      </c>
    </row>
    <row r="14125">
      <c r="A14125" s="28" t="n">
        <v>39499</v>
      </c>
      <c r="B14125" t="n">
        <v>3.77</v>
      </c>
      <c r="C14125" t="n">
        <v>2.15</v>
      </c>
    </row>
    <row r="14126">
      <c r="A14126" s="28" t="n">
        <v>39500</v>
      </c>
      <c r="B14126" t="n">
        <v>3.79</v>
      </c>
      <c r="C14126" t="n">
        <v>2.15</v>
      </c>
    </row>
    <row r="14127">
      <c r="A14127" s="28" t="n">
        <v>39503</v>
      </c>
      <c r="B14127" t="n">
        <v>3.91</v>
      </c>
      <c r="C14127" t="n">
        <v>2.15</v>
      </c>
    </row>
    <row r="14128">
      <c r="A14128" s="28" t="n">
        <v>39504</v>
      </c>
      <c r="B14128" t="n">
        <v>3.88</v>
      </c>
      <c r="C14128" t="n">
        <v>2.09</v>
      </c>
    </row>
    <row r="14129">
      <c r="A14129" s="28" t="n">
        <v>39505</v>
      </c>
      <c r="B14129" t="n">
        <v>3.85</v>
      </c>
      <c r="C14129" t="n">
        <v>1.94</v>
      </c>
    </row>
    <row r="14130">
      <c r="A14130" s="28" t="n">
        <v>39506</v>
      </c>
      <c r="B14130" t="n">
        <v>3.71</v>
      </c>
      <c r="C14130" t="n">
        <v>1.86</v>
      </c>
    </row>
    <row r="14131">
      <c r="A14131" s="28" t="n">
        <v>39507</v>
      </c>
      <c r="B14131" t="n">
        <v>3.53</v>
      </c>
      <c r="C14131" t="n">
        <v>1.81</v>
      </c>
    </row>
    <row r="14132">
      <c r="A14132" s="28" t="n">
        <v>39510</v>
      </c>
      <c r="B14132" t="n">
        <v>3.54</v>
      </c>
      <c r="C14132" t="n">
        <v>1.67</v>
      </c>
    </row>
    <row r="14133">
      <c r="A14133" s="28" t="n">
        <v>39511</v>
      </c>
      <c r="B14133" t="n">
        <v>3.63</v>
      </c>
      <c r="C14133" t="n">
        <v>1.63</v>
      </c>
    </row>
    <row r="14134">
      <c r="A14134" s="28" t="n">
        <v>39512</v>
      </c>
      <c r="B14134" t="n">
        <v>3.7</v>
      </c>
      <c r="C14134" t="n">
        <v>1.5</v>
      </c>
    </row>
    <row r="14135">
      <c r="A14135" s="28" t="n">
        <v>39513</v>
      </c>
      <c r="B14135" t="n">
        <v>3.62</v>
      </c>
      <c r="C14135" t="n">
        <v>1.37</v>
      </c>
    </row>
    <row r="14136">
      <c r="A14136" s="28" t="n">
        <v>39514</v>
      </c>
      <c r="B14136" t="n">
        <v>3.56</v>
      </c>
      <c r="C14136" t="n">
        <v>1.42</v>
      </c>
    </row>
    <row r="14137">
      <c r="A14137" s="28" t="n">
        <v>39517</v>
      </c>
      <c r="B14137" t="n">
        <v>3.46</v>
      </c>
      <c r="C14137" t="n">
        <v>1.33</v>
      </c>
    </row>
    <row r="14138">
      <c r="A14138" s="28" t="n">
        <v>39518</v>
      </c>
      <c r="B14138" t="n">
        <v>3.6</v>
      </c>
      <c r="C14138" t="n">
        <v>1.45</v>
      </c>
    </row>
    <row r="14139">
      <c r="A14139" s="28" t="n">
        <v>39519</v>
      </c>
      <c r="B14139" t="n">
        <v>3.49</v>
      </c>
      <c r="C14139" t="n">
        <v>1.45</v>
      </c>
    </row>
    <row r="14140">
      <c r="A14140" s="28" t="n">
        <v>39520</v>
      </c>
      <c r="B14140" t="n">
        <v>3.56</v>
      </c>
      <c r="C14140" t="n">
        <v>1.33</v>
      </c>
    </row>
    <row r="14141">
      <c r="A14141" s="28" t="n">
        <v>39521</v>
      </c>
      <c r="B14141" t="n">
        <v>3.44</v>
      </c>
      <c r="C14141" t="n">
        <v>1.16</v>
      </c>
    </row>
    <row r="14142">
      <c r="A14142" s="28" t="n">
        <v>39524</v>
      </c>
      <c r="B14142" t="n">
        <v>3.34</v>
      </c>
      <c r="C14142" t="n">
        <v>1.09</v>
      </c>
    </row>
    <row r="14143">
      <c r="A14143" s="28" t="n">
        <v>39525</v>
      </c>
      <c r="B14143" t="n">
        <v>3.48</v>
      </c>
      <c r="C14143" t="n">
        <v>0.91</v>
      </c>
    </row>
    <row r="14144">
      <c r="A14144" s="28" t="n">
        <v>39526</v>
      </c>
      <c r="B14144" t="n">
        <v>3.38</v>
      </c>
      <c r="C14144" t="n">
        <v>0.6</v>
      </c>
    </row>
    <row r="14145">
      <c r="A14145" s="28" t="n">
        <v>39527</v>
      </c>
      <c r="B14145" t="n">
        <v>3.34</v>
      </c>
      <c r="C14145" t="n">
        <v>0.62</v>
      </c>
    </row>
    <row r="14146">
      <c r="A14146" s="28" t="n">
        <v>39528</v>
      </c>
      <c r="B14146" t="n">
        <v>0</v>
      </c>
      <c r="C14146" t="n">
        <v>0</v>
      </c>
    </row>
    <row r="14147">
      <c r="A14147" s="28" t="n">
        <v>39531</v>
      </c>
      <c r="B14147" t="n">
        <v>3.56</v>
      </c>
      <c r="C14147" t="n">
        <v>1.23</v>
      </c>
    </row>
    <row r="14148">
      <c r="A14148" s="28" t="n">
        <v>39532</v>
      </c>
      <c r="B14148" t="n">
        <v>3.51</v>
      </c>
      <c r="C14148" t="n">
        <v>1.27</v>
      </c>
    </row>
    <row r="14149">
      <c r="A14149" s="28" t="n">
        <v>39533</v>
      </c>
      <c r="B14149" t="n">
        <v>3.51</v>
      </c>
      <c r="C14149" t="n">
        <v>1.27</v>
      </c>
    </row>
    <row r="14150">
      <c r="A14150" s="28" t="n">
        <v>39534</v>
      </c>
      <c r="B14150" t="n">
        <v>3.56</v>
      </c>
      <c r="C14150" t="n">
        <v>1.28</v>
      </c>
    </row>
    <row r="14151">
      <c r="A14151" s="28" t="n">
        <v>39535</v>
      </c>
      <c r="B14151" t="n">
        <v>3.47</v>
      </c>
      <c r="C14151" t="n">
        <v>1.31</v>
      </c>
    </row>
    <row r="14152">
      <c r="A14152" s="28" t="n">
        <v>39538</v>
      </c>
      <c r="B14152" t="n">
        <v>3.45</v>
      </c>
      <c r="C14152" t="n">
        <v>1.36</v>
      </c>
    </row>
    <row r="14153">
      <c r="A14153" s="28" t="n">
        <v>39539</v>
      </c>
      <c r="B14153" t="n">
        <v>3.57</v>
      </c>
      <c r="C14153" t="n">
        <v>1.38</v>
      </c>
    </row>
    <row r="14154">
      <c r="A14154" s="28" t="n">
        <v>39540</v>
      </c>
      <c r="B14154" t="n">
        <v>3.6</v>
      </c>
      <c r="C14154" t="n">
        <v>1.39</v>
      </c>
    </row>
    <row r="14155">
      <c r="A14155" s="28" t="n">
        <v>39541</v>
      </c>
      <c r="B14155" t="n">
        <v>3.61</v>
      </c>
      <c r="C14155" t="n">
        <v>1.38</v>
      </c>
    </row>
    <row r="14156">
      <c r="A14156" s="28" t="n">
        <v>39542</v>
      </c>
      <c r="B14156" t="n">
        <v>3.5</v>
      </c>
      <c r="C14156" t="n">
        <v>1.33</v>
      </c>
    </row>
    <row r="14157">
      <c r="A14157" s="28" t="n">
        <v>39545</v>
      </c>
      <c r="B14157" t="n">
        <v>3.57</v>
      </c>
      <c r="C14157" t="n">
        <v>1.43</v>
      </c>
    </row>
    <row r="14158">
      <c r="A14158" s="28" t="n">
        <v>39546</v>
      </c>
      <c r="B14158" t="n">
        <v>3.58</v>
      </c>
      <c r="C14158" t="n">
        <v>1.39</v>
      </c>
    </row>
    <row r="14159">
      <c r="A14159" s="28" t="n">
        <v>39547</v>
      </c>
      <c r="B14159" t="n">
        <v>3.49</v>
      </c>
      <c r="C14159" t="n">
        <v>1.29</v>
      </c>
    </row>
    <row r="14160">
      <c r="A14160" s="28" t="n">
        <v>39548</v>
      </c>
      <c r="B14160" t="n">
        <v>3.55</v>
      </c>
      <c r="C14160" t="n">
        <v>1.25</v>
      </c>
    </row>
    <row r="14161">
      <c r="A14161" s="28" t="n">
        <v>39549</v>
      </c>
      <c r="B14161" t="n">
        <v>3.49</v>
      </c>
      <c r="C14161" t="n">
        <v>1.17</v>
      </c>
    </row>
    <row r="14162">
      <c r="A14162" s="28" t="n">
        <v>39552</v>
      </c>
      <c r="B14162" t="n">
        <v>3.53</v>
      </c>
      <c r="C14162" t="n">
        <v>1.07</v>
      </c>
    </row>
    <row r="14163">
      <c r="A14163" s="28" t="n">
        <v>39553</v>
      </c>
      <c r="B14163" t="n">
        <v>3.6</v>
      </c>
      <c r="C14163" t="n">
        <v>1.09</v>
      </c>
    </row>
    <row r="14164">
      <c r="A14164" s="28" t="n">
        <v>39554</v>
      </c>
      <c r="B14164" t="n">
        <v>3.72</v>
      </c>
      <c r="C14164" t="n">
        <v>1.11</v>
      </c>
    </row>
    <row r="14165">
      <c r="A14165" s="28" t="n">
        <v>39555</v>
      </c>
      <c r="B14165" t="n">
        <v>3.75</v>
      </c>
      <c r="C14165" t="n">
        <v>1.21</v>
      </c>
    </row>
    <row r="14166">
      <c r="A14166" s="28" t="n">
        <v>39556</v>
      </c>
      <c r="B14166" t="n">
        <v>3.77</v>
      </c>
      <c r="C14166" t="n">
        <v>1.32</v>
      </c>
    </row>
    <row r="14167">
      <c r="A14167" s="28" t="n">
        <v>39559</v>
      </c>
      <c r="B14167" t="n">
        <v>3.75</v>
      </c>
      <c r="C14167" t="n">
        <v>1.33</v>
      </c>
    </row>
    <row r="14168">
      <c r="A14168" s="28" t="n">
        <v>39560</v>
      </c>
      <c r="B14168" t="n">
        <v>3.74</v>
      </c>
      <c r="C14168" t="n">
        <v>1.26</v>
      </c>
    </row>
    <row r="14169">
      <c r="A14169" s="28" t="n">
        <v>39561</v>
      </c>
      <c r="B14169" t="n">
        <v>3.77</v>
      </c>
      <c r="C14169" t="n">
        <v>1.24</v>
      </c>
    </row>
    <row r="14170">
      <c r="A14170" s="28" t="n">
        <v>39562</v>
      </c>
      <c r="B14170" t="n">
        <v>3.87</v>
      </c>
      <c r="C14170" t="n">
        <v>1.24</v>
      </c>
    </row>
    <row r="14171">
      <c r="A14171" s="28" t="n">
        <v>39563</v>
      </c>
      <c r="B14171" t="n">
        <v>3.91</v>
      </c>
      <c r="C14171" t="n">
        <v>1.31</v>
      </c>
    </row>
    <row r="14172">
      <c r="A14172" s="28" t="n">
        <v>39566</v>
      </c>
      <c r="B14172" t="n">
        <v>3.86</v>
      </c>
      <c r="C14172" t="n">
        <v>1.42</v>
      </c>
    </row>
    <row r="14173">
      <c r="A14173" s="28" t="n">
        <v>39567</v>
      </c>
      <c r="B14173" t="n">
        <v>3.85</v>
      </c>
      <c r="C14173" t="n">
        <v>1.44</v>
      </c>
    </row>
    <row r="14174">
      <c r="A14174" s="28" t="n">
        <v>39568</v>
      </c>
      <c r="B14174" t="n">
        <v>3.77</v>
      </c>
      <c r="C14174" t="n">
        <v>1.41</v>
      </c>
    </row>
    <row r="14175">
      <c r="A14175" s="28" t="n">
        <v>39569</v>
      </c>
      <c r="B14175" t="n">
        <v>3.78</v>
      </c>
      <c r="C14175" t="n">
        <v>1.42</v>
      </c>
    </row>
    <row r="14176">
      <c r="A14176" s="28" t="n">
        <v>39570</v>
      </c>
      <c r="B14176" t="n">
        <v>3.89</v>
      </c>
      <c r="C14176" t="n">
        <v>1.47</v>
      </c>
    </row>
    <row r="14177">
      <c r="A14177" s="28" t="n">
        <v>39573</v>
      </c>
      <c r="B14177" t="n">
        <v>3.88</v>
      </c>
      <c r="C14177" t="n">
        <v>1.51</v>
      </c>
    </row>
    <row r="14178">
      <c r="A14178" s="28" t="n">
        <v>39574</v>
      </c>
      <c r="B14178" t="n">
        <v>3.93</v>
      </c>
      <c r="C14178" t="n">
        <v>1.6</v>
      </c>
    </row>
    <row r="14179">
      <c r="A14179" s="28" t="n">
        <v>39575</v>
      </c>
      <c r="B14179" t="n">
        <v>3.87</v>
      </c>
      <c r="C14179" t="n">
        <v>1.64</v>
      </c>
    </row>
    <row r="14180">
      <c r="A14180" s="28" t="n">
        <v>39576</v>
      </c>
      <c r="B14180" t="n">
        <v>3.79</v>
      </c>
      <c r="C14180" t="n">
        <v>1.63</v>
      </c>
    </row>
    <row r="14181">
      <c r="A14181" s="28" t="n">
        <v>39577</v>
      </c>
      <c r="B14181" t="n">
        <v>3.77</v>
      </c>
      <c r="C14181" t="n">
        <v>1.66</v>
      </c>
    </row>
    <row r="14182">
      <c r="A14182" s="28" t="n">
        <v>39580</v>
      </c>
      <c r="B14182" t="n">
        <v>3.78</v>
      </c>
      <c r="C14182" t="n">
        <v>1.74</v>
      </c>
    </row>
    <row r="14183">
      <c r="A14183" s="28" t="n">
        <v>39581</v>
      </c>
      <c r="B14183" t="n">
        <v>3.9</v>
      </c>
      <c r="C14183" t="n">
        <v>1.8</v>
      </c>
    </row>
    <row r="14184">
      <c r="A14184" s="28" t="n">
        <v>39582</v>
      </c>
      <c r="B14184" t="n">
        <v>3.92</v>
      </c>
      <c r="C14184" t="n">
        <v>1.79</v>
      </c>
    </row>
    <row r="14185">
      <c r="A14185" s="28" t="n">
        <v>39583</v>
      </c>
      <c r="B14185" t="n">
        <v>3.83</v>
      </c>
      <c r="C14185" t="n">
        <v>1.8</v>
      </c>
    </row>
    <row r="14186">
      <c r="A14186" s="28" t="n">
        <v>39584</v>
      </c>
      <c r="B14186" t="n">
        <v>3.85</v>
      </c>
      <c r="C14186" t="n">
        <v>1.81</v>
      </c>
    </row>
    <row r="14187">
      <c r="A14187" s="28" t="n">
        <v>39587</v>
      </c>
      <c r="B14187" t="n">
        <v>3.83</v>
      </c>
      <c r="C14187" t="n">
        <v>1.79</v>
      </c>
    </row>
    <row r="14188">
      <c r="A14188" s="28" t="n">
        <v>39588</v>
      </c>
      <c r="B14188" t="n">
        <v>3.78</v>
      </c>
      <c r="C14188" t="n">
        <v>1.83</v>
      </c>
    </row>
    <row r="14189">
      <c r="A14189" s="28" t="n">
        <v>39589</v>
      </c>
      <c r="B14189" t="n">
        <v>3.81</v>
      </c>
      <c r="C14189" t="n">
        <v>1.83</v>
      </c>
    </row>
    <row r="14190">
      <c r="A14190" s="28" t="n">
        <v>39590</v>
      </c>
      <c r="B14190" t="n">
        <v>3.92</v>
      </c>
      <c r="C14190" t="n">
        <v>1.83</v>
      </c>
    </row>
    <row r="14191">
      <c r="A14191" s="28" t="n">
        <v>39591</v>
      </c>
      <c r="B14191" t="n">
        <v>3.85</v>
      </c>
      <c r="C14191" t="n">
        <v>1.82</v>
      </c>
    </row>
    <row r="14192">
      <c r="A14192" s="28" t="n">
        <v>39594</v>
      </c>
      <c r="B14192" t="n">
        <v>0</v>
      </c>
      <c r="C14192" t="n">
        <v>0</v>
      </c>
    </row>
    <row r="14193">
      <c r="A14193" s="28" t="n">
        <v>39595</v>
      </c>
      <c r="B14193" t="n">
        <v>3.93</v>
      </c>
      <c r="C14193" t="n">
        <v>1.86</v>
      </c>
    </row>
    <row r="14194">
      <c r="A14194" s="28" t="n">
        <v>39596</v>
      </c>
      <c r="B14194" t="n">
        <v>4.03</v>
      </c>
      <c r="C14194" t="n">
        <v>1.86</v>
      </c>
    </row>
    <row r="14195">
      <c r="A14195" s="28" t="n">
        <v>39597</v>
      </c>
      <c r="B14195" t="n">
        <v>4.08</v>
      </c>
      <c r="C14195" t="n">
        <v>1.87</v>
      </c>
    </row>
    <row r="14196">
      <c r="A14196" s="28" t="n">
        <v>39598</v>
      </c>
      <c r="B14196" t="n">
        <v>4.06</v>
      </c>
      <c r="C14196" t="n">
        <v>1.85</v>
      </c>
    </row>
    <row r="14197">
      <c r="A14197" s="28" t="n">
        <v>39601</v>
      </c>
      <c r="B14197" t="n">
        <v>3.98</v>
      </c>
      <c r="C14197" t="n">
        <v>1.82</v>
      </c>
    </row>
    <row r="14198">
      <c r="A14198" s="28" t="n">
        <v>39602</v>
      </c>
      <c r="B14198" t="n">
        <v>3.92</v>
      </c>
      <c r="C14198" t="n">
        <v>1.82</v>
      </c>
    </row>
    <row r="14199">
      <c r="A14199" s="28" t="n">
        <v>39603</v>
      </c>
      <c r="B14199" t="n">
        <v>3.98</v>
      </c>
      <c r="C14199" t="n">
        <v>1.81</v>
      </c>
    </row>
    <row r="14200">
      <c r="A14200" s="28" t="n">
        <v>39604</v>
      </c>
      <c r="B14200" t="n">
        <v>4.06</v>
      </c>
      <c r="C14200" t="n">
        <v>1.82</v>
      </c>
    </row>
    <row r="14201">
      <c r="A14201" s="28" t="n">
        <v>39605</v>
      </c>
      <c r="B14201" t="n">
        <v>3.94</v>
      </c>
      <c r="C14201" t="n">
        <v>1.81</v>
      </c>
    </row>
    <row r="14202">
      <c r="A14202" s="28" t="n">
        <v>39608</v>
      </c>
      <c r="B14202" t="n">
        <v>4.02</v>
      </c>
      <c r="C14202" t="n">
        <v>1.86</v>
      </c>
    </row>
    <row r="14203">
      <c r="A14203" s="28" t="n">
        <v>39609</v>
      </c>
      <c r="B14203" t="n">
        <v>4.11</v>
      </c>
      <c r="C14203" t="n">
        <v>1.98</v>
      </c>
    </row>
    <row r="14204">
      <c r="A14204" s="28" t="n">
        <v>39610</v>
      </c>
      <c r="B14204" t="n">
        <v>4.1</v>
      </c>
      <c r="C14204" t="n">
        <v>1.92</v>
      </c>
    </row>
    <row r="14205">
      <c r="A14205" s="28" t="n">
        <v>39611</v>
      </c>
      <c r="B14205" t="n">
        <v>4.23</v>
      </c>
      <c r="C14205" t="n">
        <v>1.96</v>
      </c>
    </row>
    <row r="14206">
      <c r="A14206" s="28" t="n">
        <v>39612</v>
      </c>
      <c r="B14206" t="n">
        <v>4.27</v>
      </c>
      <c r="C14206" t="n">
        <v>1.95</v>
      </c>
    </row>
    <row r="14207">
      <c r="A14207" s="28" t="n">
        <v>39615</v>
      </c>
      <c r="B14207" t="n">
        <v>4.25</v>
      </c>
      <c r="C14207" t="n">
        <v>2.04</v>
      </c>
    </row>
    <row r="14208">
      <c r="A14208" s="28" t="n">
        <v>39616</v>
      </c>
      <c r="B14208" t="n">
        <v>4.23</v>
      </c>
      <c r="C14208" t="n">
        <v>1.96</v>
      </c>
    </row>
    <row r="14209">
      <c r="A14209" s="28" t="n">
        <v>39617</v>
      </c>
      <c r="B14209" t="n">
        <v>4.16</v>
      </c>
      <c r="C14209" t="n">
        <v>1.89</v>
      </c>
    </row>
    <row r="14210">
      <c r="A14210" s="28" t="n">
        <v>39618</v>
      </c>
      <c r="B14210" t="n">
        <v>4.22</v>
      </c>
      <c r="C14210" t="n">
        <v>1.87</v>
      </c>
    </row>
    <row r="14211">
      <c r="A14211" s="28" t="n">
        <v>39619</v>
      </c>
      <c r="B14211" t="n">
        <v>4.16</v>
      </c>
      <c r="C14211" t="n">
        <v>1.83</v>
      </c>
    </row>
    <row r="14212">
      <c r="A14212" s="28" t="n">
        <v>39622</v>
      </c>
      <c r="B14212" t="n">
        <v>4.19</v>
      </c>
      <c r="C14212" t="n">
        <v>1.85</v>
      </c>
    </row>
    <row r="14213">
      <c r="A14213" s="28" t="n">
        <v>39623</v>
      </c>
      <c r="B14213" t="n">
        <v>4.1</v>
      </c>
      <c r="C14213" t="n">
        <v>1.8</v>
      </c>
    </row>
    <row r="14214">
      <c r="A14214" s="28" t="n">
        <v>39624</v>
      </c>
      <c r="B14214" t="n">
        <v>4.12</v>
      </c>
      <c r="C14214" t="n">
        <v>1.78</v>
      </c>
    </row>
    <row r="14215">
      <c r="A14215" s="28" t="n">
        <v>39625</v>
      </c>
      <c r="B14215" t="n">
        <v>4.07</v>
      </c>
      <c r="C14215" t="n">
        <v>1.7</v>
      </c>
    </row>
    <row r="14216">
      <c r="A14216" s="28" t="n">
        <v>39626</v>
      </c>
      <c r="B14216" t="n">
        <v>3.99</v>
      </c>
      <c r="C14216" t="n">
        <v>1.64</v>
      </c>
    </row>
    <row r="14217">
      <c r="A14217" s="28" t="n">
        <v>39629</v>
      </c>
      <c r="B14217" t="n">
        <v>3.99</v>
      </c>
      <c r="C14217" t="n">
        <v>1.87</v>
      </c>
    </row>
    <row r="14218">
      <c r="A14218" s="28" t="n">
        <v>39630</v>
      </c>
      <c r="B14218" t="n">
        <v>4.01</v>
      </c>
      <c r="C14218" t="n">
        <v>1.84</v>
      </c>
    </row>
    <row r="14219">
      <c r="A14219" s="28" t="n">
        <v>39631</v>
      </c>
      <c r="B14219" t="n">
        <v>3.99</v>
      </c>
      <c r="C14219" t="n">
        <v>1.79</v>
      </c>
    </row>
    <row r="14220">
      <c r="A14220" s="28" t="n">
        <v>39632</v>
      </c>
      <c r="B14220" t="n">
        <v>3.99</v>
      </c>
      <c r="C14220" t="n">
        <v>1.81</v>
      </c>
    </row>
    <row r="14221">
      <c r="A14221" s="28" t="n">
        <v>39633</v>
      </c>
      <c r="B14221" t="n">
        <v>0</v>
      </c>
      <c r="C14221" t="n">
        <v>0</v>
      </c>
    </row>
    <row r="14222">
      <c r="A14222" s="28" t="n">
        <v>39636</v>
      </c>
      <c r="B14222" t="n">
        <v>3.95</v>
      </c>
      <c r="C14222" t="n">
        <v>1.84</v>
      </c>
    </row>
    <row r="14223">
      <c r="A14223" s="28" t="n">
        <v>39637</v>
      </c>
      <c r="B14223" t="n">
        <v>3.91</v>
      </c>
      <c r="C14223" t="n">
        <v>1.83</v>
      </c>
    </row>
    <row r="14224">
      <c r="A14224" s="28" t="n">
        <v>39638</v>
      </c>
      <c r="B14224" t="n">
        <v>3.85</v>
      </c>
      <c r="C14224" t="n">
        <v>1.79</v>
      </c>
    </row>
    <row r="14225">
      <c r="A14225" s="28" t="n">
        <v>39639</v>
      </c>
      <c r="B14225" t="n">
        <v>3.83</v>
      </c>
      <c r="C14225" t="n">
        <v>1.64</v>
      </c>
    </row>
    <row r="14226">
      <c r="A14226" s="28" t="n">
        <v>39640</v>
      </c>
      <c r="B14226" t="n">
        <v>3.96</v>
      </c>
      <c r="C14226" t="n">
        <v>1.58</v>
      </c>
    </row>
    <row r="14227">
      <c r="A14227" s="28" t="n">
        <v>39643</v>
      </c>
      <c r="B14227" t="n">
        <v>3.9</v>
      </c>
      <c r="C14227" t="n">
        <v>1.5</v>
      </c>
    </row>
    <row r="14228">
      <c r="A14228" s="28" t="n">
        <v>39644</v>
      </c>
      <c r="B14228" t="n">
        <v>3.87</v>
      </c>
      <c r="C14228" t="n">
        <v>1.37</v>
      </c>
    </row>
    <row r="14229">
      <c r="A14229" s="28" t="n">
        <v>39645</v>
      </c>
      <c r="B14229" t="n">
        <v>3.97</v>
      </c>
      <c r="C14229" t="n">
        <v>1.35</v>
      </c>
    </row>
    <row r="14230">
      <c r="A14230" s="28" t="n">
        <v>39646</v>
      </c>
      <c r="B14230" t="n">
        <v>4.07</v>
      </c>
      <c r="C14230" t="n">
        <v>1.4</v>
      </c>
    </row>
    <row r="14231">
      <c r="A14231" s="28" t="n">
        <v>39647</v>
      </c>
      <c r="B14231" t="n">
        <v>4.11</v>
      </c>
      <c r="C14231" t="n">
        <v>1.45</v>
      </c>
    </row>
    <row r="14232">
      <c r="A14232" s="28" t="n">
        <v>39650</v>
      </c>
      <c r="B14232" t="n">
        <v>4.09</v>
      </c>
      <c r="C14232" t="n">
        <v>1.46</v>
      </c>
    </row>
    <row r="14233">
      <c r="A14233" s="28" t="n">
        <v>39651</v>
      </c>
      <c r="B14233" t="n">
        <v>4.14</v>
      </c>
      <c r="C14233" t="n">
        <v>1.52</v>
      </c>
    </row>
    <row r="14234">
      <c r="A14234" s="28" t="n">
        <v>39652</v>
      </c>
      <c r="B14234" t="n">
        <v>4.16</v>
      </c>
      <c r="C14234" t="n">
        <v>1.56</v>
      </c>
    </row>
    <row r="14235">
      <c r="A14235" s="28" t="n">
        <v>39653</v>
      </c>
      <c r="B14235" t="n">
        <v>4.03</v>
      </c>
      <c r="C14235" t="n">
        <v>1.62</v>
      </c>
    </row>
    <row r="14236">
      <c r="A14236" s="28" t="n">
        <v>39654</v>
      </c>
      <c r="B14236" t="n">
        <v>4.13</v>
      </c>
      <c r="C14236" t="n">
        <v>1.71</v>
      </c>
    </row>
    <row r="14237">
      <c r="A14237" s="28" t="n">
        <v>39657</v>
      </c>
      <c r="B14237" t="n">
        <v>4.06</v>
      </c>
      <c r="C14237" t="n">
        <v>1.7</v>
      </c>
    </row>
    <row r="14238">
      <c r="A14238" s="28" t="n">
        <v>39658</v>
      </c>
      <c r="B14238" t="n">
        <v>4.09</v>
      </c>
      <c r="C14238" t="n">
        <v>1.69</v>
      </c>
    </row>
    <row r="14239">
      <c r="A14239" s="28" t="n">
        <v>39659</v>
      </c>
      <c r="B14239" t="n">
        <v>4.07</v>
      </c>
      <c r="C14239" t="n">
        <v>1.67</v>
      </c>
    </row>
    <row r="14240">
      <c r="A14240" s="28" t="n">
        <v>39660</v>
      </c>
      <c r="B14240" t="n">
        <v>3.99</v>
      </c>
      <c r="C14240" t="n">
        <v>1.65</v>
      </c>
    </row>
    <row r="14241">
      <c r="A14241" s="28" t="n">
        <v>39661</v>
      </c>
      <c r="B14241" t="n">
        <v>3.97</v>
      </c>
      <c r="C14241" t="n">
        <v>1.63</v>
      </c>
    </row>
    <row r="14242">
      <c r="A14242" s="28" t="n">
        <v>39664</v>
      </c>
      <c r="B14242" t="n">
        <v>3.98</v>
      </c>
      <c r="C14242" t="n">
        <v>1.72</v>
      </c>
    </row>
    <row r="14243">
      <c r="A14243" s="28" t="n">
        <v>39665</v>
      </c>
      <c r="B14243" t="n">
        <v>4.04</v>
      </c>
      <c r="C14243" t="n">
        <v>1.72</v>
      </c>
    </row>
    <row r="14244">
      <c r="A14244" s="28" t="n">
        <v>39666</v>
      </c>
      <c r="B14244" t="n">
        <v>4.06</v>
      </c>
      <c r="C14244" t="n">
        <v>1.61</v>
      </c>
    </row>
    <row r="14245">
      <c r="A14245" s="28" t="n">
        <v>39667</v>
      </c>
      <c r="B14245" t="n">
        <v>3.92</v>
      </c>
      <c r="C14245" t="n">
        <v>1.63</v>
      </c>
    </row>
    <row r="14246">
      <c r="A14246" s="28" t="n">
        <v>39668</v>
      </c>
      <c r="B14246" t="n">
        <v>3.94</v>
      </c>
      <c r="C14246" t="n">
        <v>1.67</v>
      </c>
    </row>
    <row r="14247">
      <c r="A14247" s="28" t="n">
        <v>39671</v>
      </c>
      <c r="B14247" t="n">
        <v>3.99</v>
      </c>
      <c r="C14247" t="n">
        <v>1.84</v>
      </c>
    </row>
    <row r="14248">
      <c r="A14248" s="28" t="n">
        <v>39672</v>
      </c>
      <c r="B14248" t="n">
        <v>3.91</v>
      </c>
      <c r="C14248" t="n">
        <v>1.83</v>
      </c>
    </row>
    <row r="14249">
      <c r="A14249" s="28" t="n">
        <v>39673</v>
      </c>
      <c r="B14249" t="n">
        <v>3.94</v>
      </c>
      <c r="C14249" t="n">
        <v>1.82</v>
      </c>
    </row>
    <row r="14250">
      <c r="A14250" s="28" t="n">
        <v>39674</v>
      </c>
      <c r="B14250" t="n">
        <v>3.89</v>
      </c>
      <c r="C14250" t="n">
        <v>1.85</v>
      </c>
    </row>
    <row r="14251">
      <c r="A14251" s="28" t="n">
        <v>39675</v>
      </c>
      <c r="B14251" t="n">
        <v>3.84</v>
      </c>
      <c r="C14251" t="n">
        <v>1.81</v>
      </c>
    </row>
    <row r="14252">
      <c r="A14252" s="28" t="n">
        <v>39678</v>
      </c>
      <c r="B14252" t="n">
        <v>3.82</v>
      </c>
      <c r="C14252" t="n">
        <v>1.79</v>
      </c>
    </row>
    <row r="14253">
      <c r="A14253" s="28" t="n">
        <v>39679</v>
      </c>
      <c r="B14253" t="n">
        <v>3.83</v>
      </c>
      <c r="C14253" t="n">
        <v>1.77</v>
      </c>
    </row>
    <row r="14254">
      <c r="A14254" s="28" t="n">
        <v>39680</v>
      </c>
      <c r="B14254" t="n">
        <v>3.79</v>
      </c>
      <c r="C14254" t="n">
        <v>1.68</v>
      </c>
    </row>
    <row r="14255">
      <c r="A14255" s="28" t="n">
        <v>39681</v>
      </c>
      <c r="B14255" t="n">
        <v>3.84</v>
      </c>
      <c r="C14255" t="n">
        <v>1.69</v>
      </c>
    </row>
    <row r="14256">
      <c r="A14256" s="28" t="n">
        <v>39682</v>
      </c>
      <c r="B14256" t="n">
        <v>3.87</v>
      </c>
      <c r="C14256" t="n">
        <v>1.67</v>
      </c>
    </row>
    <row r="14257">
      <c r="A14257" s="28" t="n">
        <v>39685</v>
      </c>
      <c r="B14257" t="n">
        <v>3.79</v>
      </c>
      <c r="C14257" t="n">
        <v>1.71</v>
      </c>
    </row>
    <row r="14258">
      <c r="A14258" s="28" t="n">
        <v>39686</v>
      </c>
      <c r="B14258" t="n">
        <v>3.79</v>
      </c>
      <c r="C14258" t="n">
        <v>1.68</v>
      </c>
    </row>
    <row r="14259">
      <c r="A14259" s="28" t="n">
        <v>39687</v>
      </c>
      <c r="B14259" t="n">
        <v>3.77</v>
      </c>
      <c r="C14259" t="n">
        <v>1.64</v>
      </c>
    </row>
    <row r="14260">
      <c r="A14260" s="28" t="n">
        <v>39688</v>
      </c>
      <c r="B14260" t="n">
        <v>3.79</v>
      </c>
      <c r="C14260" t="n">
        <v>1.71</v>
      </c>
    </row>
    <row r="14261">
      <c r="A14261" s="28" t="n">
        <v>39689</v>
      </c>
      <c r="B14261" t="n">
        <v>3.83</v>
      </c>
      <c r="C14261" t="n">
        <v>1.69</v>
      </c>
    </row>
    <row r="14262">
      <c r="A14262" s="28" t="n">
        <v>39692</v>
      </c>
      <c r="B14262" t="n">
        <v>0</v>
      </c>
      <c r="C14262" t="n">
        <v>0</v>
      </c>
    </row>
    <row r="14263">
      <c r="A14263" s="28" t="n">
        <v>39693</v>
      </c>
      <c r="B14263" t="n">
        <v>3.74</v>
      </c>
      <c r="C14263" t="n">
        <v>1.69</v>
      </c>
    </row>
    <row r="14264">
      <c r="A14264" s="28" t="n">
        <v>39694</v>
      </c>
      <c r="B14264" t="n">
        <v>3.71</v>
      </c>
      <c r="C14264" t="n">
        <v>1.67</v>
      </c>
    </row>
    <row r="14265">
      <c r="A14265" s="28" t="n">
        <v>39695</v>
      </c>
      <c r="B14265" t="n">
        <v>3.64</v>
      </c>
      <c r="C14265" t="n">
        <v>1.66</v>
      </c>
    </row>
    <row r="14266">
      <c r="A14266" s="28" t="n">
        <v>39696</v>
      </c>
      <c r="B14266" t="n">
        <v>3.66</v>
      </c>
      <c r="C14266" t="n">
        <v>1.65</v>
      </c>
    </row>
    <row r="14267">
      <c r="A14267" s="28" t="n">
        <v>39699</v>
      </c>
      <c r="B14267" t="n">
        <v>3.66</v>
      </c>
      <c r="C14267" t="n">
        <v>1.69</v>
      </c>
    </row>
    <row r="14268">
      <c r="A14268" s="28" t="n">
        <v>39700</v>
      </c>
      <c r="B14268" t="n">
        <v>3.62</v>
      </c>
      <c r="C14268" t="n">
        <v>1.63</v>
      </c>
    </row>
    <row r="14269">
      <c r="A14269" s="28" t="n">
        <v>39701</v>
      </c>
      <c r="B14269" t="n">
        <v>3.65</v>
      </c>
      <c r="C14269" t="n">
        <v>1.62</v>
      </c>
    </row>
    <row r="14270">
      <c r="A14270" s="28" t="n">
        <v>39702</v>
      </c>
      <c r="B14270" t="n">
        <v>3.64</v>
      </c>
      <c r="C14270" t="n">
        <v>1.58</v>
      </c>
    </row>
    <row r="14271">
      <c r="A14271" s="28" t="n">
        <v>39703</v>
      </c>
      <c r="B14271" t="n">
        <v>3.74</v>
      </c>
      <c r="C14271" t="n">
        <v>1.46</v>
      </c>
    </row>
    <row r="14272">
      <c r="A14272" s="28" t="n">
        <v>39706</v>
      </c>
      <c r="B14272" t="n">
        <v>3.47</v>
      </c>
      <c r="C14272" t="n">
        <v>1.03</v>
      </c>
    </row>
    <row r="14273">
      <c r="A14273" s="28" t="n">
        <v>39707</v>
      </c>
      <c r="B14273" t="n">
        <v>3.48</v>
      </c>
      <c r="C14273" t="n">
        <v>0.84</v>
      </c>
    </row>
    <row r="14274">
      <c r="A14274" s="28" t="n">
        <v>39708</v>
      </c>
      <c r="B14274" t="n">
        <v>3.41</v>
      </c>
      <c r="C14274" t="n">
        <v>0.03</v>
      </c>
    </row>
    <row r="14275">
      <c r="A14275" s="28" t="n">
        <v>39709</v>
      </c>
      <c r="B14275" t="n">
        <v>3.54</v>
      </c>
      <c r="C14275" t="n">
        <v>0.23</v>
      </c>
    </row>
    <row r="14276">
      <c r="A14276" s="28" t="n">
        <v>39710</v>
      </c>
      <c r="B14276" t="n">
        <v>3.78</v>
      </c>
      <c r="C14276" t="n">
        <v>0.97</v>
      </c>
    </row>
    <row r="14277">
      <c r="A14277" s="28" t="n">
        <v>39713</v>
      </c>
      <c r="B14277" t="n">
        <v>3.83</v>
      </c>
      <c r="C14277" t="n">
        <v>1.29</v>
      </c>
    </row>
    <row r="14278">
      <c r="A14278" s="28" t="n">
        <v>39714</v>
      </c>
      <c r="B14278" t="n">
        <v>3.85</v>
      </c>
      <c r="C14278" t="n">
        <v>0.8100000000000001</v>
      </c>
    </row>
    <row r="14279">
      <c r="A14279" s="28" t="n">
        <v>39715</v>
      </c>
      <c r="B14279" t="n">
        <v>3.8</v>
      </c>
      <c r="C14279" t="n">
        <v>0.5</v>
      </c>
    </row>
    <row r="14280">
      <c r="A14280" s="28" t="n">
        <v>39716</v>
      </c>
      <c r="B14280" t="n">
        <v>3.88</v>
      </c>
      <c r="C14280" t="n">
        <v>0.75</v>
      </c>
    </row>
    <row r="14281">
      <c r="A14281" s="28" t="n">
        <v>39717</v>
      </c>
      <c r="B14281" t="n">
        <v>3.85</v>
      </c>
      <c r="C14281" t="n">
        <v>0.86</v>
      </c>
    </row>
    <row r="14282">
      <c r="A14282" s="28" t="n">
        <v>39720</v>
      </c>
      <c r="B14282" t="n">
        <v>3.61</v>
      </c>
      <c r="C14282" t="n">
        <v>0.96</v>
      </c>
    </row>
    <row r="14283">
      <c r="A14283" s="28" t="n">
        <v>39721</v>
      </c>
      <c r="B14283" t="n">
        <v>3.85</v>
      </c>
      <c r="C14283" t="n">
        <v>0.9</v>
      </c>
    </row>
    <row r="14284">
      <c r="A14284" s="28" t="n">
        <v>39722</v>
      </c>
      <c r="B14284" t="n">
        <v>3.77</v>
      </c>
      <c r="C14284" t="n">
        <v>0.84</v>
      </c>
    </row>
    <row r="14285">
      <c r="A14285" s="28" t="n">
        <v>39723</v>
      </c>
      <c r="B14285" t="n">
        <v>3.66</v>
      </c>
      <c r="C14285" t="n">
        <v>0.62</v>
      </c>
    </row>
    <row r="14286">
      <c r="A14286" s="28" t="n">
        <v>39724</v>
      </c>
      <c r="B14286" t="n">
        <v>3.63</v>
      </c>
      <c r="C14286" t="n">
        <v>0.5</v>
      </c>
    </row>
    <row r="14287">
      <c r="A14287" s="28" t="n">
        <v>39727</v>
      </c>
      <c r="B14287" t="n">
        <v>3.48</v>
      </c>
      <c r="C14287" t="n">
        <v>0.54</v>
      </c>
    </row>
    <row r="14288">
      <c r="A14288" s="28" t="n">
        <v>39728</v>
      </c>
      <c r="B14288" t="n">
        <v>3.5</v>
      </c>
      <c r="C14288" t="n">
        <v>0.8100000000000001</v>
      </c>
    </row>
    <row r="14289">
      <c r="A14289" s="28" t="n">
        <v>39729</v>
      </c>
      <c r="B14289" t="n">
        <v>3.72</v>
      </c>
      <c r="C14289" t="n">
        <v>0.67</v>
      </c>
    </row>
    <row r="14290">
      <c r="A14290" s="28" t="n">
        <v>39730</v>
      </c>
      <c r="B14290" t="n">
        <v>3.84</v>
      </c>
      <c r="C14290" t="n">
        <v>0.58</v>
      </c>
    </row>
    <row r="14291">
      <c r="A14291" s="28" t="n">
        <v>39731</v>
      </c>
      <c r="B14291" t="n">
        <v>3.89</v>
      </c>
      <c r="C14291" t="n">
        <v>0.24</v>
      </c>
    </row>
    <row r="14292">
      <c r="A14292" s="28" t="n">
        <v>39734</v>
      </c>
      <c r="B14292" t="n">
        <v>0</v>
      </c>
      <c r="C14292" t="n">
        <v>0</v>
      </c>
    </row>
    <row r="14293">
      <c r="A14293" s="28" t="n">
        <v>39735</v>
      </c>
      <c r="B14293" t="n">
        <v>4.08</v>
      </c>
      <c r="C14293" t="n">
        <v>0.34</v>
      </c>
    </row>
    <row r="14294">
      <c r="A14294" s="28" t="n">
        <v>39736</v>
      </c>
      <c r="B14294" t="n">
        <v>4.04</v>
      </c>
      <c r="C14294" t="n">
        <v>0.22</v>
      </c>
    </row>
    <row r="14295">
      <c r="A14295" s="28" t="n">
        <v>39737</v>
      </c>
      <c r="B14295" t="n">
        <v>3.99</v>
      </c>
      <c r="C14295" t="n">
        <v>0.45</v>
      </c>
    </row>
    <row r="14296">
      <c r="A14296" s="28" t="n">
        <v>39738</v>
      </c>
      <c r="B14296" t="n">
        <v>3.98</v>
      </c>
      <c r="C14296" t="n">
        <v>0.8</v>
      </c>
    </row>
    <row r="14297">
      <c r="A14297" s="28" t="n">
        <v>39741</v>
      </c>
      <c r="B14297" t="n">
        <v>3.91</v>
      </c>
      <c r="C14297" t="n">
        <v>1.24</v>
      </c>
    </row>
    <row r="14298">
      <c r="A14298" s="28" t="n">
        <v>39742</v>
      </c>
      <c r="B14298" t="n">
        <v>3.76</v>
      </c>
      <c r="C14298" t="n">
        <v>1.09</v>
      </c>
    </row>
    <row r="14299">
      <c r="A14299" s="28" t="n">
        <v>39743</v>
      </c>
      <c r="B14299" t="n">
        <v>3.65</v>
      </c>
      <c r="C14299" t="n">
        <v>1.03</v>
      </c>
    </row>
    <row r="14300">
      <c r="A14300" s="28" t="n">
        <v>39744</v>
      </c>
      <c r="B14300" t="n">
        <v>3.63</v>
      </c>
      <c r="C14300" t="n">
        <v>0.96</v>
      </c>
    </row>
    <row r="14301">
      <c r="A14301" s="28" t="n">
        <v>39745</v>
      </c>
      <c r="B14301" t="n">
        <v>3.76</v>
      </c>
      <c r="C14301" t="n">
        <v>0.86</v>
      </c>
    </row>
    <row r="14302">
      <c r="A14302" s="28" t="n">
        <v>39748</v>
      </c>
      <c r="B14302" t="n">
        <v>3.79</v>
      </c>
      <c r="C14302" t="n">
        <v>0.84</v>
      </c>
    </row>
    <row r="14303">
      <c r="A14303" s="28" t="n">
        <v>39749</v>
      </c>
      <c r="B14303" t="n">
        <v>3.89</v>
      </c>
      <c r="C14303" t="n">
        <v>0.76</v>
      </c>
    </row>
    <row r="14304">
      <c r="A14304" s="28" t="n">
        <v>39750</v>
      </c>
      <c r="B14304" t="n">
        <v>3.93</v>
      </c>
      <c r="C14304" t="n">
        <v>0.61</v>
      </c>
    </row>
    <row r="14305">
      <c r="A14305" s="28" t="n">
        <v>39751</v>
      </c>
      <c r="B14305" t="n">
        <v>4</v>
      </c>
      <c r="C14305" t="n">
        <v>0.4</v>
      </c>
    </row>
    <row r="14306">
      <c r="A14306" s="28" t="n">
        <v>39752</v>
      </c>
      <c r="B14306" t="n">
        <v>4.01</v>
      </c>
      <c r="C14306" t="n">
        <v>0.44</v>
      </c>
    </row>
    <row r="14307">
      <c r="A14307" s="28" t="n">
        <v>39755</v>
      </c>
      <c r="B14307" t="n">
        <v>3.96</v>
      </c>
      <c r="C14307" t="n">
        <v>0.49</v>
      </c>
    </row>
    <row r="14308">
      <c r="A14308" s="28" t="n">
        <v>39756</v>
      </c>
      <c r="B14308" t="n">
        <v>3.81</v>
      </c>
      <c r="C14308" t="n">
        <v>0.48</v>
      </c>
    </row>
    <row r="14309">
      <c r="A14309" s="28" t="n">
        <v>39757</v>
      </c>
      <c r="B14309" t="n">
        <v>3.73</v>
      </c>
      <c r="C14309" t="n">
        <v>0.39</v>
      </c>
    </row>
    <row r="14310">
      <c r="A14310" s="28" t="n">
        <v>39758</v>
      </c>
      <c r="B14310" t="n">
        <v>3.75</v>
      </c>
      <c r="C14310" t="n">
        <v>0.31</v>
      </c>
    </row>
    <row r="14311">
      <c r="A14311" s="28" t="n">
        <v>39759</v>
      </c>
      <c r="B14311" t="n">
        <v>3.83</v>
      </c>
      <c r="C14311" t="n">
        <v>0.3</v>
      </c>
    </row>
    <row r="14312">
      <c r="A14312" s="28" t="n">
        <v>39762</v>
      </c>
      <c r="B14312" t="n">
        <v>3.82</v>
      </c>
      <c r="C14312" t="n">
        <v>0.29</v>
      </c>
    </row>
    <row r="14313">
      <c r="A14313" s="28" t="n">
        <v>39763</v>
      </c>
      <c r="B14313" t="n">
        <v>0</v>
      </c>
      <c r="C14313" t="n">
        <v>0</v>
      </c>
    </row>
    <row r="14314">
      <c r="A14314" s="28" t="n">
        <v>39764</v>
      </c>
      <c r="B14314" t="n">
        <v>3.75</v>
      </c>
      <c r="C14314" t="n">
        <v>0.18</v>
      </c>
    </row>
    <row r="14315">
      <c r="A14315" s="28" t="n">
        <v>39765</v>
      </c>
      <c r="B14315" t="n">
        <v>3.84</v>
      </c>
      <c r="C14315" t="n">
        <v>0.21</v>
      </c>
    </row>
    <row r="14316">
      <c r="A14316" s="28" t="n">
        <v>39766</v>
      </c>
      <c r="B14316" t="n">
        <v>3.72</v>
      </c>
      <c r="C14316" t="n">
        <v>0.14</v>
      </c>
    </row>
    <row r="14317">
      <c r="A14317" s="28" t="n">
        <v>39769</v>
      </c>
      <c r="B14317" t="n">
        <v>3.68</v>
      </c>
      <c r="C14317" t="n">
        <v>0.12</v>
      </c>
    </row>
    <row r="14318">
      <c r="A14318" s="28" t="n">
        <v>39770</v>
      </c>
      <c r="B14318" t="n">
        <v>3.53</v>
      </c>
      <c r="C14318" t="n">
        <v>0.12</v>
      </c>
    </row>
    <row r="14319">
      <c r="A14319" s="28" t="n">
        <v>39771</v>
      </c>
      <c r="B14319" t="n">
        <v>3.38</v>
      </c>
      <c r="C14319" t="n">
        <v>0.07000000000000001</v>
      </c>
    </row>
    <row r="14320">
      <c r="A14320" s="28" t="n">
        <v>39772</v>
      </c>
      <c r="B14320" t="n">
        <v>3.1</v>
      </c>
      <c r="C14320" t="n">
        <v>0.03</v>
      </c>
    </row>
    <row r="14321">
      <c r="A14321" s="28" t="n">
        <v>39773</v>
      </c>
      <c r="B14321" t="n">
        <v>3.2</v>
      </c>
      <c r="C14321" t="n">
        <v>0.02</v>
      </c>
    </row>
    <row r="14322">
      <c r="A14322" s="28" t="n">
        <v>39776</v>
      </c>
      <c r="B14322" t="n">
        <v>3.35</v>
      </c>
      <c r="C14322" t="n">
        <v>0.13</v>
      </c>
    </row>
    <row r="14323">
      <c r="A14323" s="28" t="n">
        <v>39777</v>
      </c>
      <c r="B14323" t="n">
        <v>3.11</v>
      </c>
      <c r="C14323" t="n">
        <v>0.1</v>
      </c>
    </row>
    <row r="14324">
      <c r="A14324" s="28" t="n">
        <v>39778</v>
      </c>
      <c r="B14324" t="n">
        <v>2.99</v>
      </c>
      <c r="C14324" t="n">
        <v>0.05</v>
      </c>
    </row>
    <row r="14325">
      <c r="A14325" s="28" t="n">
        <v>39779</v>
      </c>
      <c r="B14325" t="n">
        <v>0</v>
      </c>
      <c r="C14325" t="n">
        <v>0</v>
      </c>
    </row>
    <row r="14326">
      <c r="A14326" s="28" t="n">
        <v>39780</v>
      </c>
      <c r="B14326" t="n">
        <v>2.93</v>
      </c>
      <c r="C14326" t="n">
        <v>0.01</v>
      </c>
    </row>
    <row r="14327">
      <c r="A14327" s="28" t="n">
        <v>39783</v>
      </c>
      <c r="B14327" t="n">
        <v>2.72</v>
      </c>
      <c r="C14327" t="n">
        <v>0.07000000000000001</v>
      </c>
    </row>
    <row r="14328">
      <c r="A14328" s="28" t="n">
        <v>39784</v>
      </c>
      <c r="B14328" t="n">
        <v>2.68</v>
      </c>
      <c r="C14328" t="n">
        <v>0.06</v>
      </c>
    </row>
    <row r="14329">
      <c r="A14329" s="28" t="n">
        <v>39785</v>
      </c>
      <c r="B14329" t="n">
        <v>2.67</v>
      </c>
      <c r="C14329" t="n">
        <v>0.02</v>
      </c>
    </row>
    <row r="14330">
      <c r="A14330" s="28" t="n">
        <v>39786</v>
      </c>
      <c r="B14330" t="n">
        <v>2.55</v>
      </c>
      <c r="C14330" t="n">
        <v>0.02</v>
      </c>
    </row>
    <row r="14331">
      <c r="A14331" s="28" t="n">
        <v>39787</v>
      </c>
      <c r="B14331" t="n">
        <v>2.67</v>
      </c>
      <c r="C14331" t="n">
        <v>0.02</v>
      </c>
    </row>
    <row r="14332">
      <c r="A14332" s="28" t="n">
        <v>39790</v>
      </c>
      <c r="B14332" t="n">
        <v>2.77</v>
      </c>
      <c r="C14332" t="n">
        <v>0.03</v>
      </c>
    </row>
    <row r="14333">
      <c r="A14333" s="28" t="n">
        <v>39791</v>
      </c>
      <c r="B14333" t="n">
        <v>2.67</v>
      </c>
      <c r="C14333" t="n">
        <v>0.03</v>
      </c>
    </row>
    <row r="14334">
      <c r="A14334" s="28" t="n">
        <v>39792</v>
      </c>
      <c r="B14334" t="n">
        <v>2.69</v>
      </c>
      <c r="C14334" t="n">
        <v>0</v>
      </c>
    </row>
    <row r="14335">
      <c r="A14335" s="28" t="n">
        <v>39793</v>
      </c>
      <c r="B14335" t="n">
        <v>2.64</v>
      </c>
      <c r="C14335" t="n">
        <v>0.01</v>
      </c>
    </row>
    <row r="14336">
      <c r="A14336" s="28" t="n">
        <v>39794</v>
      </c>
      <c r="B14336" t="n">
        <v>2.6</v>
      </c>
      <c r="C14336" t="n">
        <v>0.02</v>
      </c>
    </row>
    <row r="14337">
      <c r="A14337" s="28" t="n">
        <v>39797</v>
      </c>
      <c r="B14337" t="n">
        <v>2.53</v>
      </c>
      <c r="C14337" t="n">
        <v>0.04</v>
      </c>
    </row>
    <row r="14338">
      <c r="A14338" s="28" t="n">
        <v>39798</v>
      </c>
      <c r="B14338" t="n">
        <v>2.37</v>
      </c>
      <c r="C14338" t="n">
        <v>0.04</v>
      </c>
    </row>
    <row r="14339">
      <c r="A14339" s="28" t="n">
        <v>39799</v>
      </c>
      <c r="B14339" t="n">
        <v>2.2</v>
      </c>
      <c r="C14339" t="n">
        <v>0.05</v>
      </c>
    </row>
    <row r="14340">
      <c r="A14340" s="28" t="n">
        <v>39800</v>
      </c>
      <c r="B14340" t="n">
        <v>2.08</v>
      </c>
      <c r="C14340" t="n">
        <v>0</v>
      </c>
    </row>
    <row r="14341">
      <c r="A14341" s="28" t="n">
        <v>39801</v>
      </c>
      <c r="B14341" t="n">
        <v>2.13</v>
      </c>
      <c r="C14341" t="n">
        <v>0.02</v>
      </c>
    </row>
    <row r="14342">
      <c r="A14342" s="28" t="n">
        <v>39804</v>
      </c>
      <c r="B14342" t="n">
        <v>2.16</v>
      </c>
      <c r="C14342" t="n">
        <v>0.01</v>
      </c>
    </row>
    <row r="14343">
      <c r="A14343" s="28" t="n">
        <v>39805</v>
      </c>
      <c r="B14343" t="n">
        <v>2.18</v>
      </c>
      <c r="C14343" t="n">
        <v>0.02</v>
      </c>
    </row>
    <row r="14344">
      <c r="A14344" s="28" t="n">
        <v>39806</v>
      </c>
      <c r="B14344" t="n">
        <v>2.2</v>
      </c>
      <c r="C14344" t="n">
        <v>0</v>
      </c>
    </row>
    <row r="14345">
      <c r="A14345" s="28" t="n">
        <v>39807</v>
      </c>
      <c r="B14345" t="n">
        <v>0</v>
      </c>
      <c r="C14345" t="n">
        <v>0</v>
      </c>
    </row>
    <row r="14346">
      <c r="A14346" s="28" t="n">
        <v>39808</v>
      </c>
      <c r="B14346" t="n">
        <v>2.16</v>
      </c>
      <c r="C14346" t="n">
        <v>0.03</v>
      </c>
    </row>
    <row r="14347">
      <c r="A14347" s="28" t="n">
        <v>39811</v>
      </c>
      <c r="B14347" t="n">
        <v>2.13</v>
      </c>
      <c r="C14347" t="n">
        <v>0.06</v>
      </c>
    </row>
    <row r="14348">
      <c r="A14348" s="28" t="n">
        <v>39812</v>
      </c>
      <c r="B14348" t="n">
        <v>2.11</v>
      </c>
      <c r="C14348" t="n">
        <v>0.1</v>
      </c>
    </row>
    <row r="14349">
      <c r="A14349" s="28" t="n">
        <v>39813</v>
      </c>
      <c r="B14349" t="n">
        <v>2.25</v>
      </c>
      <c r="C14349" t="n">
        <v>0.11</v>
      </c>
    </row>
    <row r="14350">
      <c r="A14350" s="28" t="n">
        <v>39814</v>
      </c>
      <c r="B14350" t="n">
        <v>0</v>
      </c>
      <c r="C14350" t="n">
        <v>0</v>
      </c>
    </row>
    <row r="14351">
      <c r="A14351" s="28" t="n">
        <v>39815</v>
      </c>
      <c r="B14351" t="n">
        <v>2.46</v>
      </c>
      <c r="C14351" t="n">
        <v>0.08</v>
      </c>
    </row>
    <row r="14352">
      <c r="A14352" s="28" t="n">
        <v>39818</v>
      </c>
      <c r="B14352" t="n">
        <v>2.49</v>
      </c>
      <c r="C14352" t="n">
        <v>0.14</v>
      </c>
    </row>
    <row r="14353">
      <c r="A14353" s="28" t="n">
        <v>39819</v>
      </c>
      <c r="B14353" t="n">
        <v>2.51</v>
      </c>
      <c r="C14353" t="n">
        <v>0.14</v>
      </c>
    </row>
    <row r="14354">
      <c r="A14354" s="28" t="n">
        <v>39820</v>
      </c>
      <c r="B14354" t="n">
        <v>2.52</v>
      </c>
      <c r="C14354" t="n">
        <v>0.11</v>
      </c>
    </row>
    <row r="14355">
      <c r="A14355" s="28" t="n">
        <v>39821</v>
      </c>
      <c r="B14355" t="n">
        <v>2.47</v>
      </c>
      <c r="C14355" t="n">
        <v>0.09</v>
      </c>
    </row>
    <row r="14356">
      <c r="A14356" s="28" t="n">
        <v>39822</v>
      </c>
      <c r="B14356" t="n">
        <v>2.43</v>
      </c>
      <c r="C14356" t="n">
        <v>0.07000000000000001</v>
      </c>
    </row>
    <row r="14357">
      <c r="A14357" s="28" t="n">
        <v>39825</v>
      </c>
      <c r="B14357" t="n">
        <v>2.34</v>
      </c>
      <c r="C14357" t="n">
        <v>0.12</v>
      </c>
    </row>
    <row r="14358">
      <c r="A14358" s="28" t="n">
        <v>39826</v>
      </c>
      <c r="B14358" t="n">
        <v>2.33</v>
      </c>
      <c r="C14358" t="n">
        <v>0.11</v>
      </c>
    </row>
    <row r="14359">
      <c r="A14359" s="28" t="n">
        <v>39827</v>
      </c>
      <c r="B14359" t="n">
        <v>2.24</v>
      </c>
      <c r="C14359" t="n">
        <v>0.12</v>
      </c>
    </row>
    <row r="14360">
      <c r="A14360" s="28" t="n">
        <v>39828</v>
      </c>
      <c r="B14360" t="n">
        <v>2.23</v>
      </c>
      <c r="C14360" t="n">
        <v>0.11</v>
      </c>
    </row>
    <row r="14361">
      <c r="A14361" s="28" t="n">
        <v>39829</v>
      </c>
      <c r="B14361" t="n">
        <v>2.36</v>
      </c>
      <c r="C14361" t="n">
        <v>0.12</v>
      </c>
    </row>
    <row r="14362">
      <c r="A14362" s="28" t="n">
        <v>39832</v>
      </c>
      <c r="B14362" t="n">
        <v>0</v>
      </c>
      <c r="C14362" t="n">
        <v>0</v>
      </c>
    </row>
    <row r="14363">
      <c r="A14363" s="28" t="n">
        <v>39833</v>
      </c>
      <c r="B14363" t="n">
        <v>2.4</v>
      </c>
      <c r="C14363" t="n">
        <v>0.13</v>
      </c>
    </row>
    <row r="14364">
      <c r="A14364" s="28" t="n">
        <v>39834</v>
      </c>
      <c r="B14364" t="n">
        <v>2.56</v>
      </c>
      <c r="C14364" t="n">
        <v>0.11</v>
      </c>
    </row>
    <row r="14365">
      <c r="A14365" s="28" t="n">
        <v>39835</v>
      </c>
      <c r="B14365" t="n">
        <v>2.62</v>
      </c>
      <c r="C14365" t="n">
        <v>0.1</v>
      </c>
    </row>
    <row r="14366">
      <c r="A14366" s="28" t="n">
        <v>39836</v>
      </c>
      <c r="B14366" t="n">
        <v>2.65</v>
      </c>
      <c r="C14366" t="n">
        <v>0.11</v>
      </c>
    </row>
    <row r="14367">
      <c r="A14367" s="28" t="n">
        <v>39839</v>
      </c>
      <c r="B14367" t="n">
        <v>2.7</v>
      </c>
      <c r="C14367" t="n">
        <v>0.15</v>
      </c>
    </row>
    <row r="14368">
      <c r="A14368" s="28" t="n">
        <v>39840</v>
      </c>
      <c r="B14368" t="n">
        <v>2.59</v>
      </c>
      <c r="C14368" t="n">
        <v>0.13</v>
      </c>
    </row>
    <row r="14369">
      <c r="A14369" s="28" t="n">
        <v>39841</v>
      </c>
      <c r="B14369" t="n">
        <v>2.71</v>
      </c>
      <c r="C14369" t="n">
        <v>0.19</v>
      </c>
    </row>
    <row r="14370">
      <c r="A14370" s="28" t="n">
        <v>39842</v>
      </c>
      <c r="B14370" t="n">
        <v>2.87</v>
      </c>
      <c r="C14370" t="n">
        <v>0.23</v>
      </c>
    </row>
    <row r="14371">
      <c r="A14371" s="28" t="n">
        <v>39843</v>
      </c>
      <c r="B14371" t="n">
        <v>2.87</v>
      </c>
      <c r="C14371" t="n">
        <v>0.24</v>
      </c>
    </row>
    <row r="14372">
      <c r="A14372" s="28" t="n">
        <v>39846</v>
      </c>
      <c r="B14372" t="n">
        <v>2.76</v>
      </c>
      <c r="C14372" t="n">
        <v>0.27</v>
      </c>
    </row>
    <row r="14373">
      <c r="A14373" s="28" t="n">
        <v>39847</v>
      </c>
      <c r="B14373" t="n">
        <v>2.89</v>
      </c>
      <c r="C14373" t="n">
        <v>0.32</v>
      </c>
    </row>
    <row r="14374">
      <c r="A14374" s="28" t="n">
        <v>39848</v>
      </c>
      <c r="B14374" t="n">
        <v>2.95</v>
      </c>
      <c r="C14374" t="n">
        <v>0.3</v>
      </c>
    </row>
    <row r="14375">
      <c r="A14375" s="28" t="n">
        <v>39849</v>
      </c>
      <c r="B14375" t="n">
        <v>2.95</v>
      </c>
      <c r="C14375" t="n">
        <v>0.29</v>
      </c>
    </row>
    <row r="14376">
      <c r="A14376" s="28" t="n">
        <v>39850</v>
      </c>
      <c r="B14376" t="n">
        <v>3.05</v>
      </c>
      <c r="C14376" t="n">
        <v>0.28</v>
      </c>
    </row>
    <row r="14377">
      <c r="A14377" s="28" t="n">
        <v>39853</v>
      </c>
      <c r="B14377" t="n">
        <v>3.07</v>
      </c>
      <c r="C14377" t="n">
        <v>0.32</v>
      </c>
    </row>
    <row r="14378">
      <c r="A14378" s="28" t="n">
        <v>39854</v>
      </c>
      <c r="B14378" t="n">
        <v>2.9</v>
      </c>
      <c r="C14378" t="n">
        <v>0.31</v>
      </c>
    </row>
    <row r="14379">
      <c r="A14379" s="28" t="n">
        <v>39855</v>
      </c>
      <c r="B14379" t="n">
        <v>2.78</v>
      </c>
      <c r="C14379" t="n">
        <v>0.3</v>
      </c>
    </row>
    <row r="14380">
      <c r="A14380" s="28" t="n">
        <v>39856</v>
      </c>
      <c r="B14380" t="n">
        <v>2.75</v>
      </c>
      <c r="C14380" t="n">
        <v>0.29</v>
      </c>
    </row>
    <row r="14381">
      <c r="A14381" s="28" t="n">
        <v>39857</v>
      </c>
      <c r="B14381" t="n">
        <v>2.89</v>
      </c>
      <c r="C14381" t="n">
        <v>0.29</v>
      </c>
    </row>
    <row r="14382">
      <c r="A14382" s="28" t="n">
        <v>39860</v>
      </c>
      <c r="B14382" t="n">
        <v>0</v>
      </c>
      <c r="C14382" t="n">
        <v>0</v>
      </c>
    </row>
    <row r="14383">
      <c r="A14383" s="28" t="n">
        <v>39861</v>
      </c>
      <c r="B14383" t="n">
        <v>2.64</v>
      </c>
      <c r="C14383" t="n">
        <v>0.32</v>
      </c>
    </row>
    <row r="14384">
      <c r="A14384" s="28" t="n">
        <v>39862</v>
      </c>
      <c r="B14384" t="n">
        <v>2.74</v>
      </c>
      <c r="C14384" t="n">
        <v>0.31</v>
      </c>
    </row>
    <row r="14385">
      <c r="A14385" s="28" t="n">
        <v>39863</v>
      </c>
      <c r="B14385" t="n">
        <v>2.85</v>
      </c>
      <c r="C14385" t="n">
        <v>0.3</v>
      </c>
    </row>
    <row r="14386">
      <c r="A14386" s="28" t="n">
        <v>39864</v>
      </c>
      <c r="B14386" t="n">
        <v>2.78</v>
      </c>
      <c r="C14386" t="n">
        <v>0.27</v>
      </c>
    </row>
    <row r="14387">
      <c r="A14387" s="28" t="n">
        <v>39867</v>
      </c>
      <c r="B14387" t="n">
        <v>2.78</v>
      </c>
      <c r="C14387" t="n">
        <v>0.3</v>
      </c>
    </row>
    <row r="14388">
      <c r="A14388" s="28" t="n">
        <v>39868</v>
      </c>
      <c r="B14388" t="n">
        <v>2.8</v>
      </c>
      <c r="C14388" t="n">
        <v>0.32</v>
      </c>
    </row>
    <row r="14389">
      <c r="A14389" s="28" t="n">
        <v>39869</v>
      </c>
      <c r="B14389" t="n">
        <v>2.95</v>
      </c>
      <c r="C14389" t="n">
        <v>0.3</v>
      </c>
    </row>
    <row r="14390">
      <c r="A14390" s="28" t="n">
        <v>39870</v>
      </c>
      <c r="B14390" t="n">
        <v>2.98</v>
      </c>
      <c r="C14390" t="n">
        <v>0.27</v>
      </c>
    </row>
    <row r="14391">
      <c r="A14391" s="28" t="n">
        <v>39871</v>
      </c>
      <c r="B14391" t="n">
        <v>3.02</v>
      </c>
      <c r="C14391" t="n">
        <v>0.26</v>
      </c>
    </row>
    <row r="14392">
      <c r="A14392" s="28" t="n">
        <v>39874</v>
      </c>
      <c r="B14392" t="n">
        <v>2.91</v>
      </c>
      <c r="C14392" t="n">
        <v>0.28</v>
      </c>
    </row>
    <row r="14393">
      <c r="A14393" s="28" t="n">
        <v>39875</v>
      </c>
      <c r="B14393" t="n">
        <v>2.93</v>
      </c>
      <c r="C14393" t="n">
        <v>0.27</v>
      </c>
    </row>
    <row r="14394">
      <c r="A14394" s="28" t="n">
        <v>39876</v>
      </c>
      <c r="B14394" t="n">
        <v>3.01</v>
      </c>
      <c r="C14394" t="n">
        <v>0.26</v>
      </c>
    </row>
    <row r="14395">
      <c r="A14395" s="28" t="n">
        <v>39877</v>
      </c>
      <c r="B14395" t="n">
        <v>2.83</v>
      </c>
      <c r="C14395" t="n">
        <v>0.2</v>
      </c>
    </row>
    <row r="14396">
      <c r="A14396" s="28" t="n">
        <v>39878</v>
      </c>
      <c r="B14396" t="n">
        <v>2.83</v>
      </c>
      <c r="C14396" t="n">
        <v>0.2</v>
      </c>
    </row>
    <row r="14397">
      <c r="A14397" s="28" t="n">
        <v>39881</v>
      </c>
      <c r="B14397" t="n">
        <v>2.89</v>
      </c>
      <c r="C14397" t="n">
        <v>0.23</v>
      </c>
    </row>
    <row r="14398">
      <c r="A14398" s="28" t="n">
        <v>39882</v>
      </c>
      <c r="B14398" t="n">
        <v>2.99</v>
      </c>
      <c r="C14398" t="n">
        <v>0.24</v>
      </c>
    </row>
    <row r="14399">
      <c r="A14399" s="28" t="n">
        <v>39883</v>
      </c>
      <c r="B14399" t="n">
        <v>2.95</v>
      </c>
      <c r="C14399" t="n">
        <v>0.23</v>
      </c>
    </row>
    <row r="14400">
      <c r="A14400" s="28" t="n">
        <v>39884</v>
      </c>
      <c r="B14400" t="n">
        <v>2.89</v>
      </c>
      <c r="C14400" t="n">
        <v>0.21</v>
      </c>
    </row>
    <row r="14401">
      <c r="A14401" s="28" t="n">
        <v>39885</v>
      </c>
      <c r="B14401" t="n">
        <v>2.89</v>
      </c>
      <c r="C14401" t="n">
        <v>0.19</v>
      </c>
    </row>
    <row r="14402">
      <c r="A14402" s="28" t="n">
        <v>39888</v>
      </c>
      <c r="B14402" t="n">
        <v>2.97</v>
      </c>
      <c r="C14402" t="n">
        <v>0.24</v>
      </c>
    </row>
    <row r="14403">
      <c r="A14403" s="28" t="n">
        <v>39889</v>
      </c>
      <c r="B14403" t="n">
        <v>3.02</v>
      </c>
      <c r="C14403" t="n">
        <v>0.24</v>
      </c>
    </row>
    <row r="14404">
      <c r="A14404" s="28" t="n">
        <v>39890</v>
      </c>
      <c r="B14404" t="n">
        <v>2.51</v>
      </c>
      <c r="C14404" t="n">
        <v>0.21</v>
      </c>
    </row>
    <row r="14405">
      <c r="A14405" s="28" t="n">
        <v>39891</v>
      </c>
      <c r="B14405" t="n">
        <v>2.61</v>
      </c>
      <c r="C14405" t="n">
        <v>0.2</v>
      </c>
    </row>
    <row r="14406">
      <c r="A14406" s="28" t="n">
        <v>39892</v>
      </c>
      <c r="B14406" t="n">
        <v>2.65</v>
      </c>
      <c r="C14406" t="n">
        <v>0.21</v>
      </c>
    </row>
    <row r="14407">
      <c r="A14407" s="28" t="n">
        <v>39895</v>
      </c>
      <c r="B14407" t="n">
        <v>2.68</v>
      </c>
      <c r="C14407" t="n">
        <v>0.22</v>
      </c>
    </row>
    <row r="14408">
      <c r="A14408" s="28" t="n">
        <v>39896</v>
      </c>
      <c r="B14408" t="n">
        <v>2.68</v>
      </c>
      <c r="C14408" t="n">
        <v>0.21</v>
      </c>
    </row>
    <row r="14409">
      <c r="A14409" s="28" t="n">
        <v>39897</v>
      </c>
      <c r="B14409" t="n">
        <v>2.81</v>
      </c>
      <c r="C14409" t="n">
        <v>0.19</v>
      </c>
    </row>
    <row r="14410">
      <c r="A14410" s="28" t="n">
        <v>39898</v>
      </c>
      <c r="B14410" t="n">
        <v>2.76</v>
      </c>
      <c r="C14410" t="n">
        <v>0.15</v>
      </c>
    </row>
    <row r="14411">
      <c r="A14411" s="28" t="n">
        <v>39899</v>
      </c>
      <c r="B14411" t="n">
        <v>2.78</v>
      </c>
      <c r="C14411" t="n">
        <v>0.13</v>
      </c>
    </row>
    <row r="14412">
      <c r="A14412" s="28" t="n">
        <v>39902</v>
      </c>
      <c r="B14412" t="n">
        <v>2.73</v>
      </c>
      <c r="C14412" t="n">
        <v>0.18</v>
      </c>
    </row>
    <row r="14413">
      <c r="A14413" s="28" t="n">
        <v>39903</v>
      </c>
      <c r="B14413" t="n">
        <v>2.71</v>
      </c>
      <c r="C14413" t="n">
        <v>0.21</v>
      </c>
    </row>
    <row r="14414">
      <c r="A14414" s="28" t="n">
        <v>39904</v>
      </c>
      <c r="B14414" t="n">
        <v>2.68</v>
      </c>
      <c r="C14414" t="n">
        <v>0.22</v>
      </c>
    </row>
    <row r="14415">
      <c r="A14415" s="28" t="n">
        <v>39905</v>
      </c>
      <c r="B14415" t="n">
        <v>2.77</v>
      </c>
      <c r="C14415" t="n">
        <v>0.22</v>
      </c>
    </row>
    <row r="14416">
      <c r="A14416" s="28" t="n">
        <v>39906</v>
      </c>
      <c r="B14416" t="n">
        <v>2.91</v>
      </c>
      <c r="C14416" t="n">
        <v>0.21</v>
      </c>
    </row>
    <row r="14417">
      <c r="A14417" s="28" t="n">
        <v>39909</v>
      </c>
      <c r="B14417" t="n">
        <v>2.95</v>
      </c>
      <c r="C14417" t="n">
        <v>0.2</v>
      </c>
    </row>
    <row r="14418">
      <c r="A14418" s="28" t="n">
        <v>39910</v>
      </c>
      <c r="B14418" t="n">
        <v>2.93</v>
      </c>
      <c r="C14418" t="n">
        <v>0.2</v>
      </c>
    </row>
    <row r="14419">
      <c r="A14419" s="28" t="n">
        <v>39911</v>
      </c>
      <c r="B14419" t="n">
        <v>2.86</v>
      </c>
      <c r="C14419" t="n">
        <v>0.18</v>
      </c>
    </row>
    <row r="14420">
      <c r="A14420" s="28" t="n">
        <v>39912</v>
      </c>
      <c r="B14420" t="n">
        <v>2.96</v>
      </c>
      <c r="C14420" t="n">
        <v>0.18</v>
      </c>
    </row>
    <row r="14421">
      <c r="A14421" s="28" t="n">
        <v>39913</v>
      </c>
      <c r="B14421" t="n">
        <v>0</v>
      </c>
      <c r="C14421" t="n">
        <v>0</v>
      </c>
    </row>
    <row r="14422">
      <c r="A14422" s="28" t="n">
        <v>39916</v>
      </c>
      <c r="B14422" t="n">
        <v>2.88</v>
      </c>
      <c r="C14422" t="n">
        <v>0.18</v>
      </c>
    </row>
    <row r="14423">
      <c r="A14423" s="28" t="n">
        <v>39917</v>
      </c>
      <c r="B14423" t="n">
        <v>2.8</v>
      </c>
      <c r="C14423" t="n">
        <v>0.17</v>
      </c>
    </row>
    <row r="14424">
      <c r="A14424" s="28" t="n">
        <v>39918</v>
      </c>
      <c r="B14424" t="n">
        <v>2.82</v>
      </c>
      <c r="C14424" t="n">
        <v>0.15</v>
      </c>
    </row>
    <row r="14425">
      <c r="A14425" s="28" t="n">
        <v>39919</v>
      </c>
      <c r="B14425" t="n">
        <v>2.86</v>
      </c>
      <c r="C14425" t="n">
        <v>0.13</v>
      </c>
    </row>
    <row r="14426">
      <c r="A14426" s="28" t="n">
        <v>39920</v>
      </c>
      <c r="B14426" t="n">
        <v>2.98</v>
      </c>
      <c r="C14426" t="n">
        <v>0.14</v>
      </c>
    </row>
    <row r="14427">
      <c r="A14427" s="28" t="n">
        <v>39923</v>
      </c>
      <c r="B14427" t="n">
        <v>2.88</v>
      </c>
      <c r="C14427" t="n">
        <v>0.14</v>
      </c>
    </row>
    <row r="14428">
      <c r="A14428" s="28" t="n">
        <v>39924</v>
      </c>
      <c r="B14428" t="n">
        <v>2.94</v>
      </c>
      <c r="C14428" t="n">
        <v>0.15</v>
      </c>
    </row>
    <row r="14429">
      <c r="A14429" s="28" t="n">
        <v>39925</v>
      </c>
      <c r="B14429" t="n">
        <v>2.98</v>
      </c>
      <c r="C14429" t="n">
        <v>0.14</v>
      </c>
    </row>
    <row r="14430">
      <c r="A14430" s="28" t="n">
        <v>39926</v>
      </c>
      <c r="B14430" t="n">
        <v>2.96</v>
      </c>
      <c r="C14430" t="n">
        <v>0.1</v>
      </c>
    </row>
    <row r="14431">
      <c r="A14431" s="28" t="n">
        <v>39927</v>
      </c>
      <c r="B14431" t="n">
        <v>3.03</v>
      </c>
      <c r="C14431" t="n">
        <v>0.1</v>
      </c>
    </row>
    <row r="14432">
      <c r="A14432" s="28" t="n">
        <v>39930</v>
      </c>
      <c r="B14432" t="n">
        <v>2.95</v>
      </c>
      <c r="C14432" t="n">
        <v>0.13</v>
      </c>
    </row>
    <row r="14433">
      <c r="A14433" s="28" t="n">
        <v>39931</v>
      </c>
      <c r="B14433" t="n">
        <v>3.05</v>
      </c>
      <c r="C14433" t="n">
        <v>0.13</v>
      </c>
    </row>
    <row r="14434">
      <c r="A14434" s="28" t="n">
        <v>39932</v>
      </c>
      <c r="B14434" t="n">
        <v>3.12</v>
      </c>
      <c r="C14434" t="n">
        <v>0.11</v>
      </c>
    </row>
    <row r="14435">
      <c r="A14435" s="28" t="n">
        <v>39933</v>
      </c>
      <c r="B14435" t="n">
        <v>3.16</v>
      </c>
      <c r="C14435" t="n">
        <v>0.14</v>
      </c>
    </row>
    <row r="14436">
      <c r="A14436" s="28" t="n">
        <v>39934</v>
      </c>
      <c r="B14436" t="n">
        <v>3.21</v>
      </c>
      <c r="C14436" t="n">
        <v>0.15</v>
      </c>
    </row>
    <row r="14437">
      <c r="A14437" s="28" t="n">
        <v>39937</v>
      </c>
      <c r="B14437" t="n">
        <v>3.19</v>
      </c>
      <c r="C14437" t="n">
        <v>0.19</v>
      </c>
    </row>
    <row r="14438">
      <c r="A14438" s="28" t="n">
        <v>39938</v>
      </c>
      <c r="B14438" t="n">
        <v>3.2</v>
      </c>
      <c r="C14438" t="n">
        <v>0.19</v>
      </c>
    </row>
    <row r="14439">
      <c r="A14439" s="28" t="n">
        <v>39939</v>
      </c>
      <c r="B14439" t="n">
        <v>3.18</v>
      </c>
      <c r="C14439" t="n">
        <v>0.19</v>
      </c>
    </row>
    <row r="14440">
      <c r="A14440" s="28" t="n">
        <v>39940</v>
      </c>
      <c r="B14440" t="n">
        <v>3.29</v>
      </c>
      <c r="C14440" t="n">
        <v>0.18</v>
      </c>
    </row>
    <row r="14441">
      <c r="A14441" s="28" t="n">
        <v>39941</v>
      </c>
      <c r="B14441" t="n">
        <v>3.29</v>
      </c>
      <c r="C14441" t="n">
        <v>0.18</v>
      </c>
    </row>
    <row r="14442">
      <c r="A14442" s="28" t="n">
        <v>39944</v>
      </c>
      <c r="B14442" t="n">
        <v>3.17</v>
      </c>
      <c r="C14442" t="n">
        <v>0.19</v>
      </c>
    </row>
    <row r="14443">
      <c r="A14443" s="28" t="n">
        <v>39945</v>
      </c>
      <c r="B14443" t="n">
        <v>3.17</v>
      </c>
      <c r="C14443" t="n">
        <v>0.19</v>
      </c>
    </row>
    <row r="14444">
      <c r="A14444" s="28" t="n">
        <v>39946</v>
      </c>
      <c r="B14444" t="n">
        <v>3.11</v>
      </c>
      <c r="C14444" t="n">
        <v>0.17</v>
      </c>
    </row>
    <row r="14445">
      <c r="A14445" s="28" t="n">
        <v>39947</v>
      </c>
      <c r="B14445" t="n">
        <v>3.1</v>
      </c>
      <c r="C14445" t="n">
        <v>0.16</v>
      </c>
    </row>
    <row r="14446">
      <c r="A14446" s="28" t="n">
        <v>39948</v>
      </c>
      <c r="B14446" t="n">
        <v>3.14</v>
      </c>
      <c r="C14446" t="n">
        <v>0.17</v>
      </c>
    </row>
    <row r="14447">
      <c r="A14447" s="28" t="n">
        <v>39951</v>
      </c>
      <c r="B14447" t="n">
        <v>3.22</v>
      </c>
      <c r="C14447" t="n">
        <v>0.19</v>
      </c>
    </row>
    <row r="14448">
      <c r="A14448" s="28" t="n">
        <v>39952</v>
      </c>
      <c r="B14448" t="n">
        <v>3.25</v>
      </c>
      <c r="C14448" t="n">
        <v>0.18</v>
      </c>
    </row>
    <row r="14449">
      <c r="A14449" s="28" t="n">
        <v>39953</v>
      </c>
      <c r="B14449" t="n">
        <v>3.19</v>
      </c>
      <c r="C14449" t="n">
        <v>0.18</v>
      </c>
    </row>
    <row r="14450">
      <c r="A14450" s="28" t="n">
        <v>39954</v>
      </c>
      <c r="B14450" t="n">
        <v>3.35</v>
      </c>
      <c r="C14450" t="n">
        <v>0.19</v>
      </c>
    </row>
    <row r="14451">
      <c r="A14451" s="28" t="n">
        <v>39955</v>
      </c>
      <c r="B14451" t="n">
        <v>3.45</v>
      </c>
      <c r="C14451" t="n">
        <v>0.18</v>
      </c>
    </row>
    <row r="14452">
      <c r="A14452" s="28" t="n">
        <v>39958</v>
      </c>
      <c r="B14452" t="n">
        <v>0</v>
      </c>
      <c r="C14452" t="n">
        <v>0</v>
      </c>
    </row>
    <row r="14453">
      <c r="A14453" s="28" t="n">
        <v>39959</v>
      </c>
      <c r="B14453" t="n">
        <v>3.5</v>
      </c>
      <c r="C14453" t="n">
        <v>0.18</v>
      </c>
    </row>
    <row r="14454">
      <c r="A14454" s="28" t="n">
        <v>39960</v>
      </c>
      <c r="B14454" t="n">
        <v>3.71</v>
      </c>
      <c r="C14454" t="n">
        <v>0.17</v>
      </c>
    </row>
    <row r="14455">
      <c r="A14455" s="28" t="n">
        <v>39961</v>
      </c>
      <c r="B14455" t="n">
        <v>3.67</v>
      </c>
      <c r="C14455" t="n">
        <v>0.15</v>
      </c>
    </row>
    <row r="14456">
      <c r="A14456" s="28" t="n">
        <v>39962</v>
      </c>
      <c r="B14456" t="n">
        <v>3.47</v>
      </c>
      <c r="C14456" t="n">
        <v>0.14</v>
      </c>
    </row>
    <row r="14457">
      <c r="A14457" s="28" t="n">
        <v>39965</v>
      </c>
      <c r="B14457" t="n">
        <v>3.71</v>
      </c>
      <c r="C14457" t="n">
        <v>0.13</v>
      </c>
    </row>
    <row r="14458">
      <c r="A14458" s="28" t="n">
        <v>39966</v>
      </c>
      <c r="B14458" t="n">
        <v>3.65</v>
      </c>
      <c r="C14458" t="n">
        <v>0.14</v>
      </c>
    </row>
    <row r="14459">
      <c r="A14459" s="28" t="n">
        <v>39967</v>
      </c>
      <c r="B14459" t="n">
        <v>3.56</v>
      </c>
      <c r="C14459" t="n">
        <v>0.14</v>
      </c>
    </row>
    <row r="14460">
      <c r="A14460" s="28" t="n">
        <v>39968</v>
      </c>
      <c r="B14460" t="n">
        <v>3.72</v>
      </c>
      <c r="C14460" t="n">
        <v>0.14</v>
      </c>
    </row>
    <row r="14461">
      <c r="A14461" s="28" t="n">
        <v>39969</v>
      </c>
      <c r="B14461" t="n">
        <v>3.84</v>
      </c>
      <c r="C14461" t="n">
        <v>0.19</v>
      </c>
    </row>
    <row r="14462">
      <c r="A14462" s="28" t="n">
        <v>39972</v>
      </c>
      <c r="B14462" t="n">
        <v>3.91</v>
      </c>
      <c r="C14462" t="n">
        <v>0.19</v>
      </c>
    </row>
    <row r="14463">
      <c r="A14463" s="28" t="n">
        <v>39973</v>
      </c>
      <c r="B14463" t="n">
        <v>3.86</v>
      </c>
      <c r="C14463" t="n">
        <v>0.19</v>
      </c>
    </row>
    <row r="14464">
      <c r="A14464" s="28" t="n">
        <v>39974</v>
      </c>
      <c r="B14464" t="n">
        <v>3.98</v>
      </c>
      <c r="C14464" t="n">
        <v>0.18</v>
      </c>
    </row>
    <row r="14465">
      <c r="A14465" s="28" t="n">
        <v>39975</v>
      </c>
      <c r="B14465" t="n">
        <v>3.88</v>
      </c>
      <c r="C14465" t="n">
        <v>0.19</v>
      </c>
    </row>
    <row r="14466">
      <c r="A14466" s="28" t="n">
        <v>39976</v>
      </c>
      <c r="B14466" t="n">
        <v>3.81</v>
      </c>
      <c r="C14466" t="n">
        <v>0.18</v>
      </c>
    </row>
    <row r="14467">
      <c r="A14467" s="28" t="n">
        <v>39979</v>
      </c>
      <c r="B14467" t="n">
        <v>3.76</v>
      </c>
      <c r="C14467" t="n">
        <v>0.17</v>
      </c>
    </row>
    <row r="14468">
      <c r="A14468" s="28" t="n">
        <v>39980</v>
      </c>
      <c r="B14468" t="n">
        <v>3.67</v>
      </c>
      <c r="C14468" t="n">
        <v>0.17</v>
      </c>
    </row>
    <row r="14469">
      <c r="A14469" s="28" t="n">
        <v>39981</v>
      </c>
      <c r="B14469" t="n">
        <v>3.68</v>
      </c>
      <c r="C14469" t="n">
        <v>0.17</v>
      </c>
    </row>
    <row r="14470">
      <c r="A14470" s="28" t="n">
        <v>39982</v>
      </c>
      <c r="B14470" t="n">
        <v>3.86</v>
      </c>
      <c r="C14470" t="n">
        <v>0.18</v>
      </c>
    </row>
    <row r="14471">
      <c r="A14471" s="28" t="n">
        <v>39983</v>
      </c>
      <c r="B14471" t="n">
        <v>3.79</v>
      </c>
      <c r="C14471" t="n">
        <v>0.18</v>
      </c>
    </row>
    <row r="14472">
      <c r="A14472" s="28" t="n">
        <v>39986</v>
      </c>
      <c r="B14472" t="n">
        <v>3.72</v>
      </c>
      <c r="C14472" t="n">
        <v>0.2</v>
      </c>
    </row>
    <row r="14473">
      <c r="A14473" s="28" t="n">
        <v>39987</v>
      </c>
      <c r="B14473" t="n">
        <v>3.65</v>
      </c>
      <c r="C14473" t="n">
        <v>0.2</v>
      </c>
    </row>
    <row r="14474">
      <c r="A14474" s="28" t="n">
        <v>39988</v>
      </c>
      <c r="B14474" t="n">
        <v>3.72</v>
      </c>
      <c r="C14474" t="n">
        <v>0.19</v>
      </c>
    </row>
    <row r="14475">
      <c r="A14475" s="28" t="n">
        <v>39989</v>
      </c>
      <c r="B14475" t="n">
        <v>3.55</v>
      </c>
      <c r="C14475" t="n">
        <v>0.18</v>
      </c>
    </row>
    <row r="14476">
      <c r="A14476" s="28" t="n">
        <v>39990</v>
      </c>
      <c r="B14476" t="n">
        <v>3.52</v>
      </c>
      <c r="C14476" t="n">
        <v>0.19</v>
      </c>
    </row>
    <row r="14477">
      <c r="A14477" s="28" t="n">
        <v>39993</v>
      </c>
      <c r="B14477" t="n">
        <v>3.51</v>
      </c>
      <c r="C14477" t="n">
        <v>0.2</v>
      </c>
    </row>
    <row r="14478">
      <c r="A14478" s="28" t="n">
        <v>39994</v>
      </c>
      <c r="B14478" t="n">
        <v>3.53</v>
      </c>
      <c r="C14478" t="n">
        <v>0.19</v>
      </c>
    </row>
    <row r="14479">
      <c r="A14479" s="28" t="n">
        <v>39995</v>
      </c>
      <c r="B14479" t="n">
        <v>3.55</v>
      </c>
      <c r="C14479" t="n">
        <v>0.17</v>
      </c>
    </row>
    <row r="14480">
      <c r="A14480" s="28" t="n">
        <v>39996</v>
      </c>
      <c r="B14480" t="n">
        <v>3.51</v>
      </c>
      <c r="C14480" t="n">
        <v>0.17</v>
      </c>
    </row>
    <row r="14481">
      <c r="A14481" s="28" t="n">
        <v>39997</v>
      </c>
      <c r="B14481" t="n">
        <v>0</v>
      </c>
      <c r="C14481" t="n">
        <v>0</v>
      </c>
    </row>
    <row r="14482">
      <c r="A14482" s="28" t="n">
        <v>40000</v>
      </c>
      <c r="B14482" t="n">
        <v>3.52</v>
      </c>
      <c r="C14482" t="n">
        <v>0.19</v>
      </c>
    </row>
    <row r="14483">
      <c r="A14483" s="28" t="n">
        <v>40001</v>
      </c>
      <c r="B14483" t="n">
        <v>3.47</v>
      </c>
      <c r="C14483" t="n">
        <v>0.19</v>
      </c>
    </row>
    <row r="14484">
      <c r="A14484" s="28" t="n">
        <v>40002</v>
      </c>
      <c r="B14484" t="n">
        <v>3.33</v>
      </c>
      <c r="C14484" t="n">
        <v>0.18</v>
      </c>
    </row>
    <row r="14485">
      <c r="A14485" s="28" t="n">
        <v>40003</v>
      </c>
      <c r="B14485" t="n">
        <v>3.44</v>
      </c>
      <c r="C14485" t="n">
        <v>0.19</v>
      </c>
    </row>
    <row r="14486">
      <c r="A14486" s="28" t="n">
        <v>40004</v>
      </c>
      <c r="B14486" t="n">
        <v>3.32</v>
      </c>
      <c r="C14486" t="n">
        <v>0.18</v>
      </c>
    </row>
    <row r="14487">
      <c r="A14487" s="28" t="n">
        <v>40007</v>
      </c>
      <c r="B14487" t="n">
        <v>3.38</v>
      </c>
      <c r="C14487" t="n">
        <v>0.18</v>
      </c>
    </row>
    <row r="14488">
      <c r="A14488" s="28" t="n">
        <v>40008</v>
      </c>
      <c r="B14488" t="n">
        <v>3.5</v>
      </c>
      <c r="C14488" t="n">
        <v>0.18</v>
      </c>
    </row>
    <row r="14489">
      <c r="A14489" s="28" t="n">
        <v>40009</v>
      </c>
      <c r="B14489" t="n">
        <v>3.63</v>
      </c>
      <c r="C14489" t="n">
        <v>0.18</v>
      </c>
    </row>
    <row r="14490">
      <c r="A14490" s="28" t="n">
        <v>40010</v>
      </c>
      <c r="B14490" t="n">
        <v>3.59</v>
      </c>
      <c r="C14490" t="n">
        <v>0.19</v>
      </c>
    </row>
    <row r="14491">
      <c r="A14491" s="28" t="n">
        <v>40011</v>
      </c>
      <c r="B14491" t="n">
        <v>3.67</v>
      </c>
      <c r="C14491" t="n">
        <v>0.17</v>
      </c>
    </row>
    <row r="14492">
      <c r="A14492" s="28" t="n">
        <v>40014</v>
      </c>
      <c r="B14492" t="n">
        <v>3.61</v>
      </c>
      <c r="C14492" t="n">
        <v>0.19</v>
      </c>
    </row>
    <row r="14493">
      <c r="A14493" s="28" t="n">
        <v>40015</v>
      </c>
      <c r="B14493" t="n">
        <v>3.5</v>
      </c>
      <c r="C14493" t="n">
        <v>0.19</v>
      </c>
    </row>
    <row r="14494">
      <c r="A14494" s="28" t="n">
        <v>40016</v>
      </c>
      <c r="B14494" t="n">
        <v>3.58</v>
      </c>
      <c r="C14494" t="n">
        <v>0.19</v>
      </c>
    </row>
    <row r="14495">
      <c r="A14495" s="28" t="n">
        <v>40017</v>
      </c>
      <c r="B14495" t="n">
        <v>3.72</v>
      </c>
      <c r="C14495" t="n">
        <v>0.19</v>
      </c>
    </row>
    <row r="14496">
      <c r="A14496" s="28" t="n">
        <v>40018</v>
      </c>
      <c r="B14496" t="n">
        <v>3.7</v>
      </c>
      <c r="C14496" t="n">
        <v>0.18</v>
      </c>
    </row>
    <row r="14497">
      <c r="A14497" s="28" t="n">
        <v>40021</v>
      </c>
      <c r="B14497" t="n">
        <v>3.75</v>
      </c>
      <c r="C14497" t="n">
        <v>0.19</v>
      </c>
    </row>
    <row r="14498">
      <c r="A14498" s="28" t="n">
        <v>40022</v>
      </c>
      <c r="B14498" t="n">
        <v>3.72</v>
      </c>
      <c r="C14498" t="n">
        <v>0.19</v>
      </c>
    </row>
    <row r="14499">
      <c r="A14499" s="28" t="n">
        <v>40023</v>
      </c>
      <c r="B14499" t="n">
        <v>3.69</v>
      </c>
      <c r="C14499" t="n">
        <v>0.19</v>
      </c>
    </row>
    <row r="14500">
      <c r="A14500" s="28" t="n">
        <v>40024</v>
      </c>
      <c r="B14500" t="n">
        <v>3.67</v>
      </c>
      <c r="C14500" t="n">
        <v>0.18</v>
      </c>
    </row>
    <row r="14501">
      <c r="A14501" s="28" t="n">
        <v>40025</v>
      </c>
      <c r="B14501" t="n">
        <v>3.52</v>
      </c>
      <c r="C14501" t="n">
        <v>0.18</v>
      </c>
    </row>
    <row r="14502">
      <c r="A14502" s="28" t="n">
        <v>40028</v>
      </c>
      <c r="B14502" t="n">
        <v>3.66</v>
      </c>
      <c r="C14502" t="n">
        <v>0.19</v>
      </c>
    </row>
    <row r="14503">
      <c r="A14503" s="28" t="n">
        <v>40029</v>
      </c>
      <c r="B14503" t="n">
        <v>3.7</v>
      </c>
      <c r="C14503" t="n">
        <v>0.18</v>
      </c>
    </row>
    <row r="14504">
      <c r="A14504" s="28" t="n">
        <v>40030</v>
      </c>
      <c r="B14504" t="n">
        <v>3.8</v>
      </c>
      <c r="C14504" t="n">
        <v>0.18</v>
      </c>
    </row>
    <row r="14505">
      <c r="A14505" s="28" t="n">
        <v>40031</v>
      </c>
      <c r="B14505" t="n">
        <v>3.79</v>
      </c>
      <c r="C14505" t="n">
        <v>0.17</v>
      </c>
    </row>
    <row r="14506">
      <c r="A14506" s="28" t="n">
        <v>40032</v>
      </c>
      <c r="B14506" t="n">
        <v>3.89</v>
      </c>
      <c r="C14506" t="n">
        <v>0.18</v>
      </c>
    </row>
    <row r="14507">
      <c r="A14507" s="28" t="n">
        <v>40035</v>
      </c>
      <c r="B14507" t="n">
        <v>3.8</v>
      </c>
      <c r="C14507" t="n">
        <v>0.19</v>
      </c>
    </row>
    <row r="14508">
      <c r="A14508" s="28" t="n">
        <v>40036</v>
      </c>
      <c r="B14508" t="n">
        <v>3.71</v>
      </c>
      <c r="C14508" t="n">
        <v>0.18</v>
      </c>
    </row>
    <row r="14509">
      <c r="A14509" s="28" t="n">
        <v>40037</v>
      </c>
      <c r="B14509" t="n">
        <v>3.72</v>
      </c>
      <c r="C14509" t="n">
        <v>0.17</v>
      </c>
    </row>
    <row r="14510">
      <c r="A14510" s="28" t="n">
        <v>40038</v>
      </c>
      <c r="B14510" t="n">
        <v>3.59</v>
      </c>
      <c r="C14510" t="n">
        <v>0.17</v>
      </c>
    </row>
    <row r="14511">
      <c r="A14511" s="28" t="n">
        <v>40039</v>
      </c>
      <c r="B14511" t="n">
        <v>3.55</v>
      </c>
      <c r="C14511" t="n">
        <v>0.18</v>
      </c>
    </row>
    <row r="14512">
      <c r="A14512" s="28" t="n">
        <v>40042</v>
      </c>
      <c r="B14512" t="n">
        <v>3.48</v>
      </c>
      <c r="C14512" t="n">
        <v>0.18</v>
      </c>
    </row>
    <row r="14513">
      <c r="A14513" s="28" t="n">
        <v>40043</v>
      </c>
      <c r="B14513" t="n">
        <v>3.51</v>
      </c>
      <c r="C14513" t="n">
        <v>0.18</v>
      </c>
    </row>
    <row r="14514">
      <c r="A14514" s="28" t="n">
        <v>40044</v>
      </c>
      <c r="B14514" t="n">
        <v>3.45</v>
      </c>
      <c r="C14514" t="n">
        <v>0.17</v>
      </c>
    </row>
    <row r="14515">
      <c r="A14515" s="28" t="n">
        <v>40045</v>
      </c>
      <c r="B14515" t="n">
        <v>3.42</v>
      </c>
      <c r="C14515" t="n">
        <v>0.17</v>
      </c>
    </row>
    <row r="14516">
      <c r="A14516" s="28" t="n">
        <v>40046</v>
      </c>
      <c r="B14516" t="n">
        <v>3.56</v>
      </c>
      <c r="C14516" t="n">
        <v>0.17</v>
      </c>
    </row>
    <row r="14517">
      <c r="A14517" s="28" t="n">
        <v>40049</v>
      </c>
      <c r="B14517" t="n">
        <v>3.48</v>
      </c>
      <c r="C14517" t="n">
        <v>0.17</v>
      </c>
    </row>
    <row r="14518">
      <c r="A14518" s="28" t="n">
        <v>40050</v>
      </c>
      <c r="B14518" t="n">
        <v>3.45</v>
      </c>
      <c r="C14518" t="n">
        <v>0.17</v>
      </c>
    </row>
    <row r="14519">
      <c r="A14519" s="28" t="n">
        <v>40051</v>
      </c>
      <c r="B14519" t="n">
        <v>3.44</v>
      </c>
      <c r="C14519" t="n">
        <v>0.15</v>
      </c>
    </row>
    <row r="14520">
      <c r="A14520" s="28" t="n">
        <v>40052</v>
      </c>
      <c r="B14520" t="n">
        <v>3.47</v>
      </c>
      <c r="C14520" t="n">
        <v>0.15</v>
      </c>
    </row>
    <row r="14521">
      <c r="A14521" s="28" t="n">
        <v>40053</v>
      </c>
      <c r="B14521" t="n">
        <v>3.46</v>
      </c>
      <c r="C14521" t="n">
        <v>0.15</v>
      </c>
    </row>
    <row r="14522">
      <c r="A14522" s="28" t="n">
        <v>40056</v>
      </c>
      <c r="B14522" t="n">
        <v>3.4</v>
      </c>
      <c r="C14522" t="n">
        <v>0.15</v>
      </c>
    </row>
    <row r="14523">
      <c r="A14523" s="28" t="n">
        <v>40057</v>
      </c>
      <c r="B14523" t="n">
        <v>3.38</v>
      </c>
      <c r="C14523" t="n">
        <v>0.14</v>
      </c>
    </row>
    <row r="14524">
      <c r="A14524" s="28" t="n">
        <v>40058</v>
      </c>
      <c r="B14524" t="n">
        <v>3.29</v>
      </c>
      <c r="C14524" t="n">
        <v>0.14</v>
      </c>
    </row>
    <row r="14525">
      <c r="A14525" s="28" t="n">
        <v>40059</v>
      </c>
      <c r="B14525" t="n">
        <v>3.33</v>
      </c>
      <c r="C14525" t="n">
        <v>0.15</v>
      </c>
    </row>
    <row r="14526">
      <c r="A14526" s="28" t="n">
        <v>40060</v>
      </c>
      <c r="B14526" t="n">
        <v>3.45</v>
      </c>
      <c r="C14526" t="n">
        <v>0.14</v>
      </c>
    </row>
    <row r="14527">
      <c r="A14527" s="28" t="n">
        <v>40063</v>
      </c>
      <c r="B14527" t="n">
        <v>0</v>
      </c>
      <c r="C14527" t="n">
        <v>0</v>
      </c>
    </row>
    <row r="14528">
      <c r="A14528" s="28" t="n">
        <v>40064</v>
      </c>
      <c r="B14528" t="n">
        <v>3.47</v>
      </c>
      <c r="C14528" t="n">
        <v>0.14</v>
      </c>
    </row>
    <row r="14529">
      <c r="A14529" s="28" t="n">
        <v>40065</v>
      </c>
      <c r="B14529" t="n">
        <v>3.48</v>
      </c>
      <c r="C14529" t="n">
        <v>0.14</v>
      </c>
    </row>
    <row r="14530">
      <c r="A14530" s="28" t="n">
        <v>40066</v>
      </c>
      <c r="B14530" t="n">
        <v>3.36</v>
      </c>
      <c r="C14530" t="n">
        <v>0.14</v>
      </c>
    </row>
    <row r="14531">
      <c r="A14531" s="28" t="n">
        <v>40067</v>
      </c>
      <c r="B14531" t="n">
        <v>3.34</v>
      </c>
      <c r="C14531" t="n">
        <v>0.14</v>
      </c>
    </row>
    <row r="14532">
      <c r="A14532" s="28" t="n">
        <v>40070</v>
      </c>
      <c r="B14532" t="n">
        <v>3.42</v>
      </c>
      <c r="C14532" t="n">
        <v>0.14</v>
      </c>
    </row>
    <row r="14533">
      <c r="A14533" s="28" t="n">
        <v>40071</v>
      </c>
      <c r="B14533" t="n">
        <v>3.47</v>
      </c>
      <c r="C14533" t="n">
        <v>0.13</v>
      </c>
    </row>
    <row r="14534">
      <c r="A14534" s="28" t="n">
        <v>40072</v>
      </c>
      <c r="B14534" t="n">
        <v>3.48</v>
      </c>
      <c r="C14534" t="n">
        <v>0.1</v>
      </c>
    </row>
    <row r="14535">
      <c r="A14535" s="28" t="n">
        <v>40073</v>
      </c>
      <c r="B14535" t="n">
        <v>3.42</v>
      </c>
      <c r="C14535" t="n">
        <v>0.1</v>
      </c>
    </row>
    <row r="14536">
      <c r="A14536" s="28" t="n">
        <v>40074</v>
      </c>
      <c r="B14536" t="n">
        <v>3.49</v>
      </c>
      <c r="C14536" t="n">
        <v>0.08</v>
      </c>
    </row>
    <row r="14537">
      <c r="A14537" s="28" t="n">
        <v>40077</v>
      </c>
      <c r="B14537" t="n">
        <v>3.49</v>
      </c>
      <c r="C14537" t="n">
        <v>0.11</v>
      </c>
    </row>
    <row r="14538">
      <c r="A14538" s="28" t="n">
        <v>40078</v>
      </c>
      <c r="B14538" t="n">
        <v>3.46</v>
      </c>
      <c r="C14538" t="n">
        <v>0.11</v>
      </c>
    </row>
    <row r="14539">
      <c r="A14539" s="28" t="n">
        <v>40079</v>
      </c>
      <c r="B14539" t="n">
        <v>3.44</v>
      </c>
      <c r="C14539" t="n">
        <v>0.11</v>
      </c>
    </row>
    <row r="14540">
      <c r="A14540" s="28" t="n">
        <v>40080</v>
      </c>
      <c r="B14540" t="n">
        <v>3.4</v>
      </c>
      <c r="C14540" t="n">
        <v>0.1</v>
      </c>
    </row>
    <row r="14541">
      <c r="A14541" s="28" t="n">
        <v>40081</v>
      </c>
      <c r="B14541" t="n">
        <v>3.34</v>
      </c>
      <c r="C14541" t="n">
        <v>0.1</v>
      </c>
    </row>
    <row r="14542">
      <c r="A14542" s="28" t="n">
        <v>40084</v>
      </c>
      <c r="B14542" t="n">
        <v>3.31</v>
      </c>
      <c r="C14542" t="n">
        <v>0.11</v>
      </c>
    </row>
    <row r="14543">
      <c r="A14543" s="28" t="n">
        <v>40085</v>
      </c>
      <c r="B14543" t="n">
        <v>3.31</v>
      </c>
      <c r="C14543" t="n">
        <v>0.13</v>
      </c>
    </row>
    <row r="14544">
      <c r="A14544" s="28" t="n">
        <v>40086</v>
      </c>
      <c r="B14544" t="n">
        <v>3.31</v>
      </c>
      <c r="C14544" t="n">
        <v>0.14</v>
      </c>
    </row>
    <row r="14545">
      <c r="A14545" s="28" t="n">
        <v>40087</v>
      </c>
      <c r="B14545" t="n">
        <v>3.21</v>
      </c>
      <c r="C14545" t="n">
        <v>0.1</v>
      </c>
    </row>
    <row r="14546">
      <c r="A14546" s="28" t="n">
        <v>40088</v>
      </c>
      <c r="B14546" t="n">
        <v>3.24</v>
      </c>
      <c r="C14546" t="n">
        <v>0.1</v>
      </c>
    </row>
    <row r="14547">
      <c r="A14547" s="28" t="n">
        <v>40091</v>
      </c>
      <c r="B14547" t="n">
        <v>3.24</v>
      </c>
      <c r="C14547" t="n">
        <v>0.08</v>
      </c>
    </row>
    <row r="14548">
      <c r="A14548" s="28" t="n">
        <v>40092</v>
      </c>
      <c r="B14548" t="n">
        <v>3.27</v>
      </c>
      <c r="C14548" t="n">
        <v>0.08</v>
      </c>
    </row>
    <row r="14549">
      <c r="A14549" s="28" t="n">
        <v>40093</v>
      </c>
      <c r="B14549" t="n">
        <v>3.21</v>
      </c>
      <c r="C14549" t="n">
        <v>0.09</v>
      </c>
    </row>
    <row r="14550">
      <c r="A14550" s="28" t="n">
        <v>40094</v>
      </c>
      <c r="B14550" t="n">
        <v>3.27</v>
      </c>
      <c r="C14550" t="n">
        <v>0.06</v>
      </c>
    </row>
    <row r="14551">
      <c r="A14551" s="28" t="n">
        <v>40095</v>
      </c>
      <c r="B14551" t="n">
        <v>3.4</v>
      </c>
      <c r="C14551" t="n">
        <v>0.07000000000000001</v>
      </c>
    </row>
    <row r="14552">
      <c r="A14552" s="28" t="n">
        <v>40098</v>
      </c>
      <c r="B14552" t="n">
        <v>0</v>
      </c>
      <c r="C14552" t="n">
        <v>0</v>
      </c>
    </row>
    <row r="14553">
      <c r="A14553" s="28" t="n">
        <v>40099</v>
      </c>
      <c r="B14553" t="n">
        <v>3.34</v>
      </c>
      <c r="C14553" t="n">
        <v>0.07000000000000001</v>
      </c>
    </row>
    <row r="14554">
      <c r="A14554" s="28" t="n">
        <v>40100</v>
      </c>
      <c r="B14554" t="n">
        <v>3.45</v>
      </c>
      <c r="C14554" t="n">
        <v>0.07000000000000001</v>
      </c>
    </row>
    <row r="14555">
      <c r="A14555" s="28" t="n">
        <v>40101</v>
      </c>
      <c r="B14555" t="n">
        <v>3.49</v>
      </c>
      <c r="C14555" t="n">
        <v>0.07000000000000001</v>
      </c>
    </row>
    <row r="14556">
      <c r="A14556" s="28" t="n">
        <v>40102</v>
      </c>
      <c r="B14556" t="n">
        <v>3.43</v>
      </c>
      <c r="C14556" t="n">
        <v>0.07000000000000001</v>
      </c>
    </row>
    <row r="14557">
      <c r="A14557" s="28" t="n">
        <v>40105</v>
      </c>
      <c r="B14557" t="n">
        <v>3.41</v>
      </c>
      <c r="C14557" t="n">
        <v>0.08</v>
      </c>
    </row>
    <row r="14558">
      <c r="A14558" s="28" t="n">
        <v>40106</v>
      </c>
      <c r="B14558" t="n">
        <v>3.35</v>
      </c>
      <c r="C14558" t="n">
        <v>0.08</v>
      </c>
    </row>
    <row r="14559">
      <c r="A14559" s="28" t="n">
        <v>40107</v>
      </c>
      <c r="B14559" t="n">
        <v>3.42</v>
      </c>
      <c r="C14559" t="n">
        <v>0.07000000000000001</v>
      </c>
    </row>
    <row r="14560">
      <c r="A14560" s="28" t="n">
        <v>40108</v>
      </c>
      <c r="B14560" t="n">
        <v>3.44</v>
      </c>
      <c r="C14560" t="n">
        <v>0.06</v>
      </c>
    </row>
    <row r="14561">
      <c r="A14561" s="28" t="n">
        <v>40109</v>
      </c>
      <c r="B14561" t="n">
        <v>3.51</v>
      </c>
      <c r="C14561" t="n">
        <v>0.07000000000000001</v>
      </c>
    </row>
    <row r="14562">
      <c r="A14562" s="28" t="n">
        <v>40112</v>
      </c>
      <c r="B14562" t="n">
        <v>3.59</v>
      </c>
      <c r="C14562" t="n">
        <v>0.08</v>
      </c>
    </row>
    <row r="14563">
      <c r="A14563" s="28" t="n">
        <v>40113</v>
      </c>
      <c r="B14563" t="n">
        <v>3.49</v>
      </c>
      <c r="C14563" t="n">
        <v>0.08</v>
      </c>
    </row>
    <row r="14564">
      <c r="A14564" s="28" t="n">
        <v>40114</v>
      </c>
      <c r="B14564" t="n">
        <v>3.44</v>
      </c>
      <c r="C14564" t="n">
        <v>0.07000000000000001</v>
      </c>
    </row>
    <row r="14565">
      <c r="A14565" s="28" t="n">
        <v>40115</v>
      </c>
      <c r="B14565" t="n">
        <v>3.53</v>
      </c>
      <c r="C14565" t="n">
        <v>0.06</v>
      </c>
    </row>
    <row r="14566">
      <c r="A14566" s="28" t="n">
        <v>40116</v>
      </c>
      <c r="B14566" t="n">
        <v>3.41</v>
      </c>
      <c r="C14566" t="n">
        <v>0.05</v>
      </c>
    </row>
    <row r="14567">
      <c r="A14567" s="28" t="n">
        <v>40119</v>
      </c>
      <c r="B14567" t="n">
        <v>3.45</v>
      </c>
      <c r="C14567" t="n">
        <v>0.06</v>
      </c>
    </row>
    <row r="14568">
      <c r="A14568" s="28" t="n">
        <v>40120</v>
      </c>
      <c r="B14568" t="n">
        <v>3.5</v>
      </c>
      <c r="C14568" t="n">
        <v>0.06</v>
      </c>
    </row>
    <row r="14569">
      <c r="A14569" s="28" t="n">
        <v>40121</v>
      </c>
      <c r="B14569" t="n">
        <v>3.57</v>
      </c>
      <c r="C14569" t="n">
        <v>0.05</v>
      </c>
    </row>
    <row r="14570">
      <c r="A14570" s="28" t="n">
        <v>40122</v>
      </c>
      <c r="B14570" t="n">
        <v>3.57</v>
      </c>
      <c r="C14570" t="n">
        <v>0.04</v>
      </c>
    </row>
    <row r="14571">
      <c r="A14571" s="28" t="n">
        <v>40123</v>
      </c>
      <c r="B14571" t="n">
        <v>3.54</v>
      </c>
      <c r="C14571" t="n">
        <v>0.06</v>
      </c>
    </row>
    <row r="14572">
      <c r="A14572" s="28" t="n">
        <v>40126</v>
      </c>
      <c r="B14572" t="n">
        <v>3.52</v>
      </c>
      <c r="C14572" t="n">
        <v>0.07000000000000001</v>
      </c>
    </row>
    <row r="14573">
      <c r="A14573" s="28" t="n">
        <v>40127</v>
      </c>
      <c r="B14573" t="n">
        <v>3.5</v>
      </c>
      <c r="C14573" t="n">
        <v>0.07000000000000001</v>
      </c>
    </row>
    <row r="14574">
      <c r="A14574" s="28" t="n">
        <v>40128</v>
      </c>
      <c r="B14574" t="n">
        <v>0</v>
      </c>
      <c r="C14574" t="n">
        <v>0</v>
      </c>
    </row>
    <row r="14575">
      <c r="A14575" s="28" t="n">
        <v>40129</v>
      </c>
      <c r="B14575" t="n">
        <v>3.45</v>
      </c>
      <c r="C14575" t="n">
        <v>0.07000000000000001</v>
      </c>
    </row>
    <row r="14576">
      <c r="A14576" s="28" t="n">
        <v>40130</v>
      </c>
      <c r="B14576" t="n">
        <v>3.43</v>
      </c>
      <c r="C14576" t="n">
        <v>0.06</v>
      </c>
    </row>
    <row r="14577">
      <c r="A14577" s="28" t="n">
        <v>40133</v>
      </c>
      <c r="B14577" t="n">
        <v>3.33</v>
      </c>
      <c r="C14577" t="n">
        <v>0.07000000000000001</v>
      </c>
    </row>
    <row r="14578">
      <c r="A14578" s="28" t="n">
        <v>40134</v>
      </c>
      <c r="B14578" t="n">
        <v>3.33</v>
      </c>
      <c r="C14578" t="n">
        <v>0.06</v>
      </c>
    </row>
    <row r="14579">
      <c r="A14579" s="28" t="n">
        <v>40135</v>
      </c>
      <c r="B14579" t="n">
        <v>3.36</v>
      </c>
      <c r="C14579" t="n">
        <v>0.04</v>
      </c>
    </row>
    <row r="14580">
      <c r="A14580" s="28" t="n">
        <v>40136</v>
      </c>
      <c r="B14580" t="n">
        <v>3.35</v>
      </c>
      <c r="C14580" t="n">
        <v>0.02</v>
      </c>
    </row>
    <row r="14581">
      <c r="A14581" s="28" t="n">
        <v>40137</v>
      </c>
      <c r="B14581" t="n">
        <v>3.36</v>
      </c>
      <c r="C14581" t="n">
        <v>0.02</v>
      </c>
    </row>
    <row r="14582">
      <c r="A14582" s="28" t="n">
        <v>40140</v>
      </c>
      <c r="B14582" t="n">
        <v>3.37</v>
      </c>
      <c r="C14582" t="n">
        <v>0.05</v>
      </c>
    </row>
    <row r="14583">
      <c r="A14583" s="28" t="n">
        <v>40141</v>
      </c>
      <c r="B14583" t="n">
        <v>3.32</v>
      </c>
      <c r="C14583" t="n">
        <v>0.05</v>
      </c>
    </row>
    <row r="14584">
      <c r="A14584" s="28" t="n">
        <v>40142</v>
      </c>
      <c r="B14584" t="n">
        <v>3.28</v>
      </c>
      <c r="C14584" t="n">
        <v>0.05</v>
      </c>
    </row>
    <row r="14585">
      <c r="A14585" s="28" t="n">
        <v>40143</v>
      </c>
      <c r="B14585" t="n">
        <v>0</v>
      </c>
      <c r="C14585" t="n">
        <v>0</v>
      </c>
    </row>
    <row r="14586">
      <c r="A14586" s="28" t="n">
        <v>40144</v>
      </c>
      <c r="B14586" t="n">
        <v>3.21</v>
      </c>
      <c r="C14586" t="n">
        <v>0.03</v>
      </c>
    </row>
    <row r="14587">
      <c r="A14587" s="28" t="n">
        <v>40147</v>
      </c>
      <c r="B14587" t="n">
        <v>3.21</v>
      </c>
      <c r="C14587" t="n">
        <v>0.06</v>
      </c>
    </row>
    <row r="14588">
      <c r="A14588" s="28" t="n">
        <v>40148</v>
      </c>
      <c r="B14588" t="n">
        <v>3.28</v>
      </c>
      <c r="C14588" t="n">
        <v>0.06</v>
      </c>
    </row>
    <row r="14589">
      <c r="A14589" s="28" t="n">
        <v>40149</v>
      </c>
      <c r="B14589" t="n">
        <v>3.32</v>
      </c>
      <c r="C14589" t="n">
        <v>0.05</v>
      </c>
    </row>
    <row r="14590">
      <c r="A14590" s="28" t="n">
        <v>40150</v>
      </c>
      <c r="B14590" t="n">
        <v>3.39</v>
      </c>
      <c r="C14590" t="n">
        <v>0.06</v>
      </c>
    </row>
    <row r="14591">
      <c r="A14591" s="28" t="n">
        <v>40151</v>
      </c>
      <c r="B14591" t="n">
        <v>3.48</v>
      </c>
      <c r="C14591" t="n">
        <v>0.06</v>
      </c>
    </row>
    <row r="14592">
      <c r="A14592" s="28" t="n">
        <v>40154</v>
      </c>
      <c r="B14592" t="n">
        <v>3.44</v>
      </c>
      <c r="C14592" t="n">
        <v>0.04</v>
      </c>
    </row>
    <row r="14593">
      <c r="A14593" s="28" t="n">
        <v>40155</v>
      </c>
      <c r="B14593" t="n">
        <v>3.4</v>
      </c>
      <c r="C14593" t="n">
        <v>0.03</v>
      </c>
    </row>
    <row r="14594">
      <c r="A14594" s="28" t="n">
        <v>40156</v>
      </c>
      <c r="B14594" t="n">
        <v>3.45</v>
      </c>
      <c r="C14594" t="n">
        <v>0.03</v>
      </c>
    </row>
    <row r="14595">
      <c r="A14595" s="28" t="n">
        <v>40157</v>
      </c>
      <c r="B14595" t="n">
        <v>3.49</v>
      </c>
      <c r="C14595" t="n">
        <v>0.02</v>
      </c>
    </row>
    <row r="14596">
      <c r="A14596" s="28" t="n">
        <v>40158</v>
      </c>
      <c r="B14596" t="n">
        <v>3.55</v>
      </c>
      <c r="C14596" t="n">
        <v>0.03</v>
      </c>
    </row>
    <row r="14597">
      <c r="A14597" s="28" t="n">
        <v>40161</v>
      </c>
      <c r="B14597" t="n">
        <v>3.56</v>
      </c>
      <c r="C14597" t="n">
        <v>0.04</v>
      </c>
    </row>
    <row r="14598">
      <c r="A14598" s="28" t="n">
        <v>40162</v>
      </c>
      <c r="B14598" t="n">
        <v>3.6</v>
      </c>
      <c r="C14598" t="n">
        <v>0.05</v>
      </c>
    </row>
    <row r="14599">
      <c r="A14599" s="28" t="n">
        <v>40163</v>
      </c>
      <c r="B14599" t="n">
        <v>3.61</v>
      </c>
      <c r="C14599" t="n">
        <v>0.04</v>
      </c>
    </row>
    <row r="14600">
      <c r="A14600" s="28" t="n">
        <v>40164</v>
      </c>
      <c r="B14600" t="n">
        <v>3.5</v>
      </c>
      <c r="C14600" t="n">
        <v>0.04</v>
      </c>
    </row>
    <row r="14601">
      <c r="A14601" s="28" t="n">
        <v>40165</v>
      </c>
      <c r="B14601" t="n">
        <v>3.55</v>
      </c>
      <c r="C14601" t="n">
        <v>0.05</v>
      </c>
    </row>
    <row r="14602">
      <c r="A14602" s="28" t="n">
        <v>40168</v>
      </c>
      <c r="B14602" t="n">
        <v>3.69</v>
      </c>
      <c r="C14602" t="n">
        <v>0.08</v>
      </c>
    </row>
    <row r="14603">
      <c r="A14603" s="28" t="n">
        <v>40169</v>
      </c>
      <c r="B14603" t="n">
        <v>3.76</v>
      </c>
      <c r="C14603" t="n">
        <v>0.08</v>
      </c>
    </row>
    <row r="14604">
      <c r="A14604" s="28" t="n">
        <v>40170</v>
      </c>
      <c r="B14604" t="n">
        <v>3.77</v>
      </c>
      <c r="C14604" t="n">
        <v>0.07000000000000001</v>
      </c>
    </row>
    <row r="14605">
      <c r="A14605" s="28" t="n">
        <v>40171</v>
      </c>
      <c r="B14605" t="n">
        <v>3.82</v>
      </c>
      <c r="C14605" t="n">
        <v>0.05</v>
      </c>
    </row>
    <row r="14606">
      <c r="A14606" s="28" t="n">
        <v>40172</v>
      </c>
      <c r="B14606" t="n">
        <v>0</v>
      </c>
      <c r="C14606" t="n">
        <v>0</v>
      </c>
    </row>
    <row r="14607">
      <c r="A14607" s="28" t="n">
        <v>40175</v>
      </c>
      <c r="B14607" t="n">
        <v>3.85</v>
      </c>
      <c r="C14607" t="n">
        <v>0.11</v>
      </c>
    </row>
    <row r="14608">
      <c r="A14608" s="28" t="n">
        <v>40176</v>
      </c>
      <c r="B14608" t="n">
        <v>3.82</v>
      </c>
      <c r="C14608" t="n">
        <v>0.1</v>
      </c>
    </row>
    <row r="14609">
      <c r="A14609" s="28" t="n">
        <v>40177</v>
      </c>
      <c r="B14609" t="n">
        <v>3.8</v>
      </c>
      <c r="C14609" t="n">
        <v>0.05</v>
      </c>
    </row>
    <row r="14610">
      <c r="A14610" s="28" t="n">
        <v>40178</v>
      </c>
      <c r="B14610" t="n">
        <v>3.85</v>
      </c>
      <c r="C14610" t="n">
        <v>0.06</v>
      </c>
    </row>
    <row r="14611">
      <c r="A14611" s="28" t="n">
        <v>40179</v>
      </c>
      <c r="B14611" t="n">
        <v>0</v>
      </c>
      <c r="C14611" t="n">
        <v>0</v>
      </c>
    </row>
    <row r="14612">
      <c r="A14612" s="28" t="n">
        <v>40182</v>
      </c>
      <c r="B14612" t="n">
        <v>3.85</v>
      </c>
      <c r="C14612" t="n">
        <v>0.08</v>
      </c>
    </row>
    <row r="14613">
      <c r="A14613" s="28" t="n">
        <v>40183</v>
      </c>
      <c r="B14613" t="n">
        <v>3.77</v>
      </c>
      <c r="C14613" t="n">
        <v>0.07000000000000001</v>
      </c>
    </row>
    <row r="14614">
      <c r="A14614" s="28" t="n">
        <v>40184</v>
      </c>
      <c r="B14614" t="n">
        <v>3.85</v>
      </c>
      <c r="C14614" t="n">
        <v>0.06</v>
      </c>
    </row>
    <row r="14615">
      <c r="A14615" s="28" t="n">
        <v>40185</v>
      </c>
      <c r="B14615" t="n">
        <v>3.85</v>
      </c>
      <c r="C14615" t="n">
        <v>0.05</v>
      </c>
    </row>
    <row r="14616">
      <c r="A14616" s="28" t="n">
        <v>40186</v>
      </c>
      <c r="B14616" t="n">
        <v>3.83</v>
      </c>
      <c r="C14616" t="n">
        <v>0.05</v>
      </c>
    </row>
    <row r="14617">
      <c r="A14617" s="28" t="n">
        <v>40189</v>
      </c>
      <c r="B14617" t="n">
        <v>3.85</v>
      </c>
      <c r="C14617" t="n">
        <v>0.04</v>
      </c>
    </row>
    <row r="14618">
      <c r="A14618" s="28" t="n">
        <v>40190</v>
      </c>
      <c r="B14618" t="n">
        <v>3.74</v>
      </c>
      <c r="C14618" t="n">
        <v>0.05</v>
      </c>
    </row>
    <row r="14619">
      <c r="A14619" s="28" t="n">
        <v>40191</v>
      </c>
      <c r="B14619" t="n">
        <v>3.8</v>
      </c>
      <c r="C14619" t="n">
        <v>0.06</v>
      </c>
    </row>
    <row r="14620">
      <c r="A14620" s="28" t="n">
        <v>40192</v>
      </c>
      <c r="B14620" t="n">
        <v>3.76</v>
      </c>
      <c r="C14620" t="n">
        <v>0.05</v>
      </c>
    </row>
    <row r="14621">
      <c r="A14621" s="28" t="n">
        <v>40193</v>
      </c>
      <c r="B14621" t="n">
        <v>3.7</v>
      </c>
      <c r="C14621" t="n">
        <v>0.06</v>
      </c>
    </row>
    <row r="14622">
      <c r="A14622" s="28" t="n">
        <v>40196</v>
      </c>
      <c r="B14622" t="n">
        <v>0</v>
      </c>
      <c r="C14622" t="n">
        <v>0</v>
      </c>
    </row>
    <row r="14623">
      <c r="A14623" s="28" t="n">
        <v>40197</v>
      </c>
      <c r="B14623" t="n">
        <v>3.73</v>
      </c>
      <c r="C14623" t="n">
        <v>0.06</v>
      </c>
    </row>
    <row r="14624">
      <c r="A14624" s="28" t="n">
        <v>40198</v>
      </c>
      <c r="B14624" t="n">
        <v>3.68</v>
      </c>
      <c r="C14624" t="n">
        <v>0.05</v>
      </c>
    </row>
    <row r="14625">
      <c r="A14625" s="28" t="n">
        <v>40199</v>
      </c>
      <c r="B14625" t="n">
        <v>3.62</v>
      </c>
      <c r="C14625" t="n">
        <v>0.06</v>
      </c>
    </row>
    <row r="14626">
      <c r="A14626" s="28" t="n">
        <v>40200</v>
      </c>
      <c r="B14626" t="n">
        <v>3.62</v>
      </c>
      <c r="C14626" t="n">
        <v>0.06</v>
      </c>
    </row>
    <row r="14627">
      <c r="A14627" s="28" t="n">
        <v>40203</v>
      </c>
      <c r="B14627" t="n">
        <v>3.66</v>
      </c>
      <c r="C14627" t="n">
        <v>0.06</v>
      </c>
    </row>
    <row r="14628">
      <c r="A14628" s="28" t="n">
        <v>40204</v>
      </c>
      <c r="B14628" t="n">
        <v>3.65</v>
      </c>
      <c r="C14628" t="n">
        <v>0.07000000000000001</v>
      </c>
    </row>
    <row r="14629">
      <c r="A14629" s="28" t="n">
        <v>40205</v>
      </c>
      <c r="B14629" t="n">
        <v>3.66</v>
      </c>
      <c r="C14629" t="n">
        <v>0.08</v>
      </c>
    </row>
    <row r="14630">
      <c r="A14630" s="28" t="n">
        <v>40206</v>
      </c>
      <c r="B14630" t="n">
        <v>3.68</v>
      </c>
      <c r="C14630" t="n">
        <v>0.08</v>
      </c>
    </row>
    <row r="14631">
      <c r="A14631" s="28" t="n">
        <v>40207</v>
      </c>
      <c r="B14631" t="n">
        <v>3.63</v>
      </c>
      <c r="C14631" t="n">
        <v>0.08</v>
      </c>
    </row>
    <row r="14632">
      <c r="A14632" s="28" t="n">
        <v>40210</v>
      </c>
      <c r="B14632" t="n">
        <v>3.68</v>
      </c>
      <c r="C14632" t="n">
        <v>0.1</v>
      </c>
    </row>
    <row r="14633">
      <c r="A14633" s="28" t="n">
        <v>40211</v>
      </c>
      <c r="B14633" t="n">
        <v>3.67</v>
      </c>
      <c r="C14633" t="n">
        <v>0.1</v>
      </c>
    </row>
    <row r="14634">
      <c r="A14634" s="28" t="n">
        <v>40212</v>
      </c>
      <c r="B14634" t="n">
        <v>3.73</v>
      </c>
      <c r="C14634" t="n">
        <v>0.1</v>
      </c>
    </row>
    <row r="14635">
      <c r="A14635" s="28" t="n">
        <v>40213</v>
      </c>
      <c r="B14635" t="n">
        <v>3.62</v>
      </c>
      <c r="C14635" t="n">
        <v>0.09</v>
      </c>
    </row>
    <row r="14636">
      <c r="A14636" s="28" t="n">
        <v>40214</v>
      </c>
      <c r="B14636" t="n">
        <v>3.59</v>
      </c>
      <c r="C14636" t="n">
        <v>0.1</v>
      </c>
    </row>
    <row r="14637">
      <c r="A14637" s="28" t="n">
        <v>40217</v>
      </c>
      <c r="B14637" t="n">
        <v>3.62</v>
      </c>
      <c r="C14637" t="n">
        <v>0.12</v>
      </c>
    </row>
    <row r="14638">
      <c r="A14638" s="28" t="n">
        <v>40218</v>
      </c>
      <c r="B14638" t="n">
        <v>3.67</v>
      </c>
      <c r="C14638" t="n">
        <v>0.12</v>
      </c>
    </row>
    <row r="14639">
      <c r="A14639" s="28" t="n">
        <v>40219</v>
      </c>
      <c r="B14639" t="n">
        <v>3.72</v>
      </c>
      <c r="C14639" t="n">
        <v>0.11</v>
      </c>
    </row>
    <row r="14640">
      <c r="A14640" s="28" t="n">
        <v>40220</v>
      </c>
      <c r="B14640" t="n">
        <v>3.73</v>
      </c>
      <c r="C14640" t="n">
        <v>0.11</v>
      </c>
    </row>
    <row r="14641">
      <c r="A14641" s="28" t="n">
        <v>40221</v>
      </c>
      <c r="B14641" t="n">
        <v>3.69</v>
      </c>
      <c r="C14641" t="n">
        <v>0.1</v>
      </c>
    </row>
    <row r="14642">
      <c r="A14642" s="28" t="n">
        <v>40224</v>
      </c>
      <c r="B14642" t="n">
        <v>0</v>
      </c>
      <c r="C14642" t="n">
        <v>0</v>
      </c>
    </row>
    <row r="14643">
      <c r="A14643" s="28" t="n">
        <v>40225</v>
      </c>
      <c r="B14643" t="n">
        <v>3.66</v>
      </c>
      <c r="C14643" t="n">
        <v>0.1</v>
      </c>
    </row>
    <row r="14644">
      <c r="A14644" s="28" t="n">
        <v>40226</v>
      </c>
      <c r="B14644" t="n">
        <v>3.74</v>
      </c>
      <c r="C14644" t="n">
        <v>0.1</v>
      </c>
    </row>
    <row r="14645">
      <c r="A14645" s="28" t="n">
        <v>40227</v>
      </c>
      <c r="B14645" t="n">
        <v>3.79</v>
      </c>
      <c r="C14645" t="n">
        <v>0.1</v>
      </c>
    </row>
    <row r="14646">
      <c r="A14646" s="28" t="n">
        <v>40228</v>
      </c>
      <c r="B14646" t="n">
        <v>3.78</v>
      </c>
      <c r="C14646" t="n">
        <v>0.11</v>
      </c>
    </row>
    <row r="14647">
      <c r="A14647" s="28" t="n">
        <v>40231</v>
      </c>
      <c r="B14647" t="n">
        <v>3.8</v>
      </c>
      <c r="C14647" t="n">
        <v>0.11</v>
      </c>
    </row>
    <row r="14648">
      <c r="A14648" s="28" t="n">
        <v>40232</v>
      </c>
      <c r="B14648" t="n">
        <v>3.69</v>
      </c>
      <c r="C14648" t="n">
        <v>0.12</v>
      </c>
    </row>
    <row r="14649">
      <c r="A14649" s="28" t="n">
        <v>40233</v>
      </c>
      <c r="B14649" t="n">
        <v>3.7</v>
      </c>
      <c r="C14649" t="n">
        <v>0.12</v>
      </c>
    </row>
    <row r="14650">
      <c r="A14650" s="28" t="n">
        <v>40234</v>
      </c>
      <c r="B14650" t="n">
        <v>3.64</v>
      </c>
      <c r="C14650" t="n">
        <v>0.13</v>
      </c>
    </row>
    <row r="14651">
      <c r="A14651" s="28" t="n">
        <v>40235</v>
      </c>
      <c r="B14651" t="n">
        <v>3.61</v>
      </c>
      <c r="C14651" t="n">
        <v>0.13</v>
      </c>
    </row>
    <row r="14652">
      <c r="A14652" s="28" t="n">
        <v>40238</v>
      </c>
      <c r="B14652" t="n">
        <v>3.61</v>
      </c>
      <c r="C14652" t="n">
        <v>0.13</v>
      </c>
    </row>
    <row r="14653">
      <c r="A14653" s="28" t="n">
        <v>40239</v>
      </c>
      <c r="B14653" t="n">
        <v>3.62</v>
      </c>
      <c r="C14653" t="n">
        <v>0.14</v>
      </c>
    </row>
    <row r="14654">
      <c r="A14654" s="28" t="n">
        <v>40240</v>
      </c>
      <c r="B14654" t="n">
        <v>3.63</v>
      </c>
      <c r="C14654" t="n">
        <v>0.14</v>
      </c>
    </row>
    <row r="14655">
      <c r="A14655" s="28" t="n">
        <v>40241</v>
      </c>
      <c r="B14655" t="n">
        <v>3.61</v>
      </c>
      <c r="C14655" t="n">
        <v>0.14</v>
      </c>
    </row>
    <row r="14656">
      <c r="A14656" s="28" t="n">
        <v>40242</v>
      </c>
      <c r="B14656" t="n">
        <v>3.69</v>
      </c>
      <c r="C14656" t="n">
        <v>0.15</v>
      </c>
    </row>
    <row r="14657">
      <c r="A14657" s="28" t="n">
        <v>40245</v>
      </c>
      <c r="B14657" t="n">
        <v>3.72</v>
      </c>
      <c r="C14657" t="n">
        <v>0.16</v>
      </c>
    </row>
    <row r="14658">
      <c r="A14658" s="28" t="n">
        <v>40246</v>
      </c>
      <c r="B14658" t="n">
        <v>3.71</v>
      </c>
      <c r="C14658" t="n">
        <v>0.16</v>
      </c>
    </row>
    <row r="14659">
      <c r="A14659" s="28" t="n">
        <v>40247</v>
      </c>
      <c r="B14659" t="n">
        <v>3.73</v>
      </c>
      <c r="C14659" t="n">
        <v>0.15</v>
      </c>
    </row>
    <row r="14660">
      <c r="A14660" s="28" t="n">
        <v>40248</v>
      </c>
      <c r="B14660" t="n">
        <v>3.73</v>
      </c>
      <c r="C14660" t="n">
        <v>0.16</v>
      </c>
    </row>
    <row r="14661">
      <c r="A14661" s="28" t="n">
        <v>40249</v>
      </c>
      <c r="B14661" t="n">
        <v>3.71</v>
      </c>
      <c r="C14661" t="n">
        <v>0.15</v>
      </c>
    </row>
    <row r="14662">
      <c r="A14662" s="28" t="n">
        <v>40252</v>
      </c>
      <c r="B14662" t="n">
        <v>3.71</v>
      </c>
      <c r="C14662" t="n">
        <v>0.17</v>
      </c>
    </row>
    <row r="14663">
      <c r="A14663" s="28" t="n">
        <v>40253</v>
      </c>
      <c r="B14663" t="n">
        <v>3.66</v>
      </c>
      <c r="C14663" t="n">
        <v>0.16</v>
      </c>
    </row>
    <row r="14664">
      <c r="A14664" s="28" t="n">
        <v>40254</v>
      </c>
      <c r="B14664" t="n">
        <v>3.65</v>
      </c>
      <c r="C14664" t="n">
        <v>0.15</v>
      </c>
    </row>
    <row r="14665">
      <c r="A14665" s="28" t="n">
        <v>40255</v>
      </c>
      <c r="B14665" t="n">
        <v>3.68</v>
      </c>
      <c r="C14665" t="n">
        <v>0.16</v>
      </c>
    </row>
    <row r="14666">
      <c r="A14666" s="28" t="n">
        <v>40256</v>
      </c>
      <c r="B14666" t="n">
        <v>3.7</v>
      </c>
      <c r="C14666" t="n">
        <v>0.16</v>
      </c>
    </row>
    <row r="14667">
      <c r="A14667" s="28" t="n">
        <v>40259</v>
      </c>
      <c r="B14667" t="n">
        <v>3.67</v>
      </c>
      <c r="C14667" t="n">
        <v>0.15</v>
      </c>
    </row>
    <row r="14668">
      <c r="A14668" s="28" t="n">
        <v>40260</v>
      </c>
      <c r="B14668" t="n">
        <v>3.69</v>
      </c>
      <c r="C14668" t="n">
        <v>0.14</v>
      </c>
    </row>
    <row r="14669">
      <c r="A14669" s="28" t="n">
        <v>40261</v>
      </c>
      <c r="B14669" t="n">
        <v>3.84</v>
      </c>
      <c r="C14669" t="n">
        <v>0.14</v>
      </c>
    </row>
    <row r="14670">
      <c r="A14670" s="28" t="n">
        <v>40262</v>
      </c>
      <c r="B14670" t="n">
        <v>3.91</v>
      </c>
      <c r="C14670" t="n">
        <v>0.14</v>
      </c>
    </row>
    <row r="14671">
      <c r="A14671" s="28" t="n">
        <v>40263</v>
      </c>
      <c r="B14671" t="n">
        <v>3.86</v>
      </c>
      <c r="C14671" t="n">
        <v>0.14</v>
      </c>
    </row>
    <row r="14672">
      <c r="A14672" s="28" t="n">
        <v>40266</v>
      </c>
      <c r="B14672" t="n">
        <v>3.88</v>
      </c>
      <c r="C14672" t="n">
        <v>0.15</v>
      </c>
    </row>
    <row r="14673">
      <c r="A14673" s="28" t="n">
        <v>40267</v>
      </c>
      <c r="B14673" t="n">
        <v>3.88</v>
      </c>
      <c r="C14673" t="n">
        <v>0.16</v>
      </c>
    </row>
    <row r="14674">
      <c r="A14674" s="28" t="n">
        <v>40268</v>
      </c>
      <c r="B14674" t="n">
        <v>3.84</v>
      </c>
      <c r="C14674" t="n">
        <v>0.16</v>
      </c>
    </row>
    <row r="14675">
      <c r="A14675" s="28" t="n">
        <v>40269</v>
      </c>
      <c r="B14675" t="n">
        <v>3.89</v>
      </c>
      <c r="C14675" t="n">
        <v>0.16</v>
      </c>
    </row>
    <row r="14676">
      <c r="A14676" s="28" t="n">
        <v>40270</v>
      </c>
      <c r="B14676" t="n">
        <v>3.96</v>
      </c>
      <c r="C14676" t="n">
        <v>0.16</v>
      </c>
    </row>
    <row r="14677">
      <c r="A14677" s="28" t="n">
        <v>40273</v>
      </c>
      <c r="B14677" t="n">
        <v>4.01</v>
      </c>
      <c r="C14677" t="n">
        <v>0.18</v>
      </c>
    </row>
    <row r="14678">
      <c r="A14678" s="28" t="n">
        <v>40274</v>
      </c>
      <c r="B14678" t="n">
        <v>3.98</v>
      </c>
      <c r="C14678" t="n">
        <v>0.17</v>
      </c>
    </row>
    <row r="14679">
      <c r="A14679" s="28" t="n">
        <v>40275</v>
      </c>
      <c r="B14679" t="n">
        <v>3.89</v>
      </c>
      <c r="C14679" t="n">
        <v>0.17</v>
      </c>
    </row>
    <row r="14680">
      <c r="A14680" s="28" t="n">
        <v>40276</v>
      </c>
      <c r="B14680" t="n">
        <v>3.91</v>
      </c>
      <c r="C14680" t="n">
        <v>0.17</v>
      </c>
    </row>
    <row r="14681">
      <c r="A14681" s="28" t="n">
        <v>40277</v>
      </c>
      <c r="B14681" t="n">
        <v>3.9</v>
      </c>
      <c r="C14681" t="n">
        <v>0.16</v>
      </c>
    </row>
    <row r="14682">
      <c r="A14682" s="28" t="n">
        <v>40280</v>
      </c>
      <c r="B14682" t="n">
        <v>3.87</v>
      </c>
      <c r="C14682" t="n">
        <v>0.16</v>
      </c>
    </row>
    <row r="14683">
      <c r="A14683" s="28" t="n">
        <v>40281</v>
      </c>
      <c r="B14683" t="n">
        <v>3.84</v>
      </c>
      <c r="C14683" t="n">
        <v>0.16</v>
      </c>
    </row>
    <row r="14684">
      <c r="A14684" s="28" t="n">
        <v>40282</v>
      </c>
      <c r="B14684" t="n">
        <v>3.88</v>
      </c>
      <c r="C14684" t="n">
        <v>0.16</v>
      </c>
    </row>
    <row r="14685">
      <c r="A14685" s="28" t="n">
        <v>40283</v>
      </c>
      <c r="B14685" t="n">
        <v>3.86</v>
      </c>
      <c r="C14685" t="n">
        <v>0.16</v>
      </c>
    </row>
    <row r="14686">
      <c r="A14686" s="28" t="n">
        <v>40284</v>
      </c>
      <c r="B14686" t="n">
        <v>3.79</v>
      </c>
      <c r="C14686" t="n">
        <v>0.16</v>
      </c>
    </row>
    <row r="14687">
      <c r="A14687" s="28" t="n">
        <v>40287</v>
      </c>
      <c r="B14687" t="n">
        <v>3.83</v>
      </c>
      <c r="C14687" t="n">
        <v>0.16</v>
      </c>
    </row>
    <row r="14688">
      <c r="A14688" s="28" t="n">
        <v>40288</v>
      </c>
      <c r="B14688" t="n">
        <v>3.82</v>
      </c>
      <c r="C14688" t="n">
        <v>0.16</v>
      </c>
    </row>
    <row r="14689">
      <c r="A14689" s="28" t="n">
        <v>40289</v>
      </c>
      <c r="B14689" t="n">
        <v>3.77</v>
      </c>
      <c r="C14689" t="n">
        <v>0.15</v>
      </c>
    </row>
    <row r="14690">
      <c r="A14690" s="28" t="n">
        <v>40290</v>
      </c>
      <c r="B14690" t="n">
        <v>3.8</v>
      </c>
      <c r="C14690" t="n">
        <v>0.16</v>
      </c>
    </row>
    <row r="14691">
      <c r="A14691" s="28" t="n">
        <v>40291</v>
      </c>
      <c r="B14691" t="n">
        <v>3.84</v>
      </c>
      <c r="C14691" t="n">
        <v>0.16</v>
      </c>
    </row>
    <row r="14692">
      <c r="A14692" s="28" t="n">
        <v>40294</v>
      </c>
      <c r="B14692" t="n">
        <v>3.83</v>
      </c>
      <c r="C14692" t="n">
        <v>0.16</v>
      </c>
    </row>
    <row r="14693">
      <c r="A14693" s="28" t="n">
        <v>40295</v>
      </c>
      <c r="B14693" t="n">
        <v>3.71</v>
      </c>
      <c r="C14693" t="n">
        <v>0.16</v>
      </c>
    </row>
    <row r="14694">
      <c r="A14694" s="28" t="n">
        <v>40296</v>
      </c>
      <c r="B14694" t="n">
        <v>3.8</v>
      </c>
      <c r="C14694" t="n">
        <v>0.16</v>
      </c>
    </row>
    <row r="14695">
      <c r="A14695" s="28" t="n">
        <v>40297</v>
      </c>
      <c r="B14695" t="n">
        <v>3.76</v>
      </c>
      <c r="C14695" t="n">
        <v>0.17</v>
      </c>
    </row>
    <row r="14696">
      <c r="A14696" s="28" t="n">
        <v>40298</v>
      </c>
      <c r="B14696" t="n">
        <v>3.69</v>
      </c>
      <c r="C14696" t="n">
        <v>0.16</v>
      </c>
    </row>
    <row r="14697">
      <c r="A14697" s="28" t="n">
        <v>40301</v>
      </c>
      <c r="B14697" t="n">
        <v>3.72</v>
      </c>
      <c r="C14697" t="n">
        <v>0.17</v>
      </c>
    </row>
    <row r="14698">
      <c r="A14698" s="28" t="n">
        <v>40302</v>
      </c>
      <c r="B14698" t="n">
        <v>3.63</v>
      </c>
      <c r="C14698" t="n">
        <v>0.16</v>
      </c>
    </row>
    <row r="14699">
      <c r="A14699" s="28" t="n">
        <v>40303</v>
      </c>
      <c r="B14699" t="n">
        <v>3.58</v>
      </c>
      <c r="C14699" t="n">
        <v>0.15</v>
      </c>
    </row>
    <row r="14700">
      <c r="A14700" s="28" t="n">
        <v>40304</v>
      </c>
      <c r="B14700" t="n">
        <v>3.41</v>
      </c>
      <c r="C14700" t="n">
        <v>0.11</v>
      </c>
    </row>
    <row r="14701">
      <c r="A14701" s="28" t="n">
        <v>40305</v>
      </c>
      <c r="B14701" t="n">
        <v>3.45</v>
      </c>
      <c r="C14701" t="n">
        <v>0.13</v>
      </c>
    </row>
    <row r="14702">
      <c r="A14702" s="28" t="n">
        <v>40308</v>
      </c>
      <c r="B14702" t="n">
        <v>3.57</v>
      </c>
      <c r="C14702" t="n">
        <v>0.16</v>
      </c>
    </row>
    <row r="14703">
      <c r="A14703" s="28" t="n">
        <v>40309</v>
      </c>
      <c r="B14703" t="n">
        <v>3.56</v>
      </c>
      <c r="C14703" t="n">
        <v>0.16</v>
      </c>
    </row>
    <row r="14704">
      <c r="A14704" s="28" t="n">
        <v>40310</v>
      </c>
      <c r="B14704" t="n">
        <v>3.56</v>
      </c>
      <c r="C14704" t="n">
        <v>0.16</v>
      </c>
    </row>
    <row r="14705">
      <c r="A14705" s="28" t="n">
        <v>40311</v>
      </c>
      <c r="B14705" t="n">
        <v>3.55</v>
      </c>
      <c r="C14705" t="n">
        <v>0.16</v>
      </c>
    </row>
    <row r="14706">
      <c r="A14706" s="28" t="n">
        <v>40312</v>
      </c>
      <c r="B14706" t="n">
        <v>3.44</v>
      </c>
      <c r="C14706" t="n">
        <v>0.16</v>
      </c>
    </row>
    <row r="14707">
      <c r="A14707" s="28" t="n">
        <v>40315</v>
      </c>
      <c r="B14707" t="n">
        <v>3.47</v>
      </c>
      <c r="C14707" t="n">
        <v>0.16</v>
      </c>
    </row>
    <row r="14708">
      <c r="A14708" s="28" t="n">
        <v>40316</v>
      </c>
      <c r="B14708" t="n">
        <v>3.38</v>
      </c>
      <c r="C14708" t="n">
        <v>0.17</v>
      </c>
    </row>
    <row r="14709">
      <c r="A14709" s="28" t="n">
        <v>40317</v>
      </c>
      <c r="B14709" t="n">
        <v>3.36</v>
      </c>
      <c r="C14709" t="n">
        <v>0.17</v>
      </c>
    </row>
    <row r="14710">
      <c r="A14710" s="28" t="n">
        <v>40318</v>
      </c>
      <c r="B14710" t="n">
        <v>3.25</v>
      </c>
      <c r="C14710" t="n">
        <v>0.17</v>
      </c>
    </row>
    <row r="14711">
      <c r="A14711" s="28" t="n">
        <v>40319</v>
      </c>
      <c r="B14711" t="n">
        <v>3.2</v>
      </c>
      <c r="C14711" t="n">
        <v>0.17</v>
      </c>
    </row>
    <row r="14712">
      <c r="A14712" s="28" t="n">
        <v>40322</v>
      </c>
      <c r="B14712" t="n">
        <v>3.23</v>
      </c>
      <c r="C14712" t="n">
        <v>0.17</v>
      </c>
    </row>
    <row r="14713">
      <c r="A14713" s="28" t="n">
        <v>40323</v>
      </c>
      <c r="B14713" t="n">
        <v>3.18</v>
      </c>
      <c r="C14713" t="n">
        <v>0.17</v>
      </c>
    </row>
    <row r="14714">
      <c r="A14714" s="28" t="n">
        <v>40324</v>
      </c>
      <c r="B14714" t="n">
        <v>3.21</v>
      </c>
      <c r="C14714" t="n">
        <v>0.17</v>
      </c>
    </row>
    <row r="14715">
      <c r="A14715" s="28" t="n">
        <v>40325</v>
      </c>
      <c r="B14715" t="n">
        <v>3.34</v>
      </c>
      <c r="C14715" t="n">
        <v>0.17</v>
      </c>
    </row>
    <row r="14716">
      <c r="A14716" s="28" t="n">
        <v>40326</v>
      </c>
      <c r="B14716" t="n">
        <v>3.31</v>
      </c>
      <c r="C14716" t="n">
        <v>0.16</v>
      </c>
    </row>
    <row r="14717">
      <c r="A14717" s="28" t="n">
        <v>40329</v>
      </c>
      <c r="B14717" t="n">
        <v>0</v>
      </c>
      <c r="C14717" t="n">
        <v>0</v>
      </c>
    </row>
    <row r="14718">
      <c r="A14718" s="28" t="n">
        <v>40330</v>
      </c>
      <c r="B14718" t="n">
        <v>3.29</v>
      </c>
      <c r="C14718" t="n">
        <v>0.16</v>
      </c>
    </row>
    <row r="14719">
      <c r="A14719" s="28" t="n">
        <v>40331</v>
      </c>
      <c r="B14719" t="n">
        <v>3.35</v>
      </c>
      <c r="C14719" t="n">
        <v>0.16</v>
      </c>
    </row>
    <row r="14720">
      <c r="A14720" s="28" t="n">
        <v>40332</v>
      </c>
      <c r="B14720" t="n">
        <v>3.39</v>
      </c>
      <c r="C14720" t="n">
        <v>0.14</v>
      </c>
    </row>
    <row r="14721">
      <c r="A14721" s="28" t="n">
        <v>40333</v>
      </c>
      <c r="B14721" t="n">
        <v>3.2</v>
      </c>
      <c r="C14721" t="n">
        <v>0.14</v>
      </c>
    </row>
    <row r="14722">
      <c r="A14722" s="28" t="n">
        <v>40336</v>
      </c>
      <c r="B14722" t="n">
        <v>3.17</v>
      </c>
      <c r="C14722" t="n">
        <v>0.12</v>
      </c>
    </row>
    <row r="14723">
      <c r="A14723" s="28" t="n">
        <v>40337</v>
      </c>
      <c r="B14723" t="n">
        <v>3.18</v>
      </c>
      <c r="C14723" t="n">
        <v>0.12</v>
      </c>
    </row>
    <row r="14724">
      <c r="A14724" s="28" t="n">
        <v>40338</v>
      </c>
      <c r="B14724" t="n">
        <v>3.2</v>
      </c>
      <c r="C14724" t="n">
        <v>0.1</v>
      </c>
    </row>
    <row r="14725">
      <c r="A14725" s="28" t="n">
        <v>40339</v>
      </c>
      <c r="B14725" t="n">
        <v>3.33</v>
      </c>
      <c r="C14725" t="n">
        <v>0.1</v>
      </c>
    </row>
    <row r="14726">
      <c r="A14726" s="28" t="n">
        <v>40340</v>
      </c>
      <c r="B14726" t="n">
        <v>3.24</v>
      </c>
      <c r="C14726" t="n">
        <v>0.08</v>
      </c>
    </row>
    <row r="14727">
      <c r="A14727" s="28" t="n">
        <v>40343</v>
      </c>
      <c r="B14727" t="n">
        <v>3.28</v>
      </c>
      <c r="C14727" t="n">
        <v>0.07000000000000001</v>
      </c>
    </row>
    <row r="14728">
      <c r="A14728" s="28" t="n">
        <v>40344</v>
      </c>
      <c r="B14728" t="n">
        <v>3.32</v>
      </c>
      <c r="C14728" t="n">
        <v>0.09</v>
      </c>
    </row>
    <row r="14729">
      <c r="A14729" s="28" t="n">
        <v>40345</v>
      </c>
      <c r="B14729" t="n">
        <v>3.27</v>
      </c>
      <c r="C14729" t="n">
        <v>0.1</v>
      </c>
    </row>
    <row r="14730">
      <c r="A14730" s="28" t="n">
        <v>40346</v>
      </c>
      <c r="B14730" t="n">
        <v>3.21</v>
      </c>
      <c r="C14730" t="n">
        <v>0.09</v>
      </c>
    </row>
    <row r="14731">
      <c r="A14731" s="28" t="n">
        <v>40347</v>
      </c>
      <c r="B14731" t="n">
        <v>3.24</v>
      </c>
      <c r="C14731" t="n">
        <v>0.11</v>
      </c>
    </row>
    <row r="14732">
      <c r="A14732" s="28" t="n">
        <v>40350</v>
      </c>
      <c r="B14732" t="n">
        <v>3.26</v>
      </c>
      <c r="C14732" t="n">
        <v>0.12</v>
      </c>
    </row>
    <row r="14733">
      <c r="A14733" s="28" t="n">
        <v>40351</v>
      </c>
      <c r="B14733" t="n">
        <v>3.18</v>
      </c>
      <c r="C14733" t="n">
        <v>0.13</v>
      </c>
    </row>
    <row r="14734">
      <c r="A14734" s="28" t="n">
        <v>40352</v>
      </c>
      <c r="B14734" t="n">
        <v>3.13</v>
      </c>
      <c r="C14734" t="n">
        <v>0.13</v>
      </c>
    </row>
    <row r="14735">
      <c r="A14735" s="28" t="n">
        <v>40353</v>
      </c>
      <c r="B14735" t="n">
        <v>3.14</v>
      </c>
      <c r="C14735" t="n">
        <v>0.13</v>
      </c>
    </row>
    <row r="14736">
      <c r="A14736" s="28" t="n">
        <v>40354</v>
      </c>
      <c r="B14736" t="n">
        <v>3.12</v>
      </c>
      <c r="C14736" t="n">
        <v>0.13</v>
      </c>
    </row>
    <row r="14737">
      <c r="A14737" s="28" t="n">
        <v>40357</v>
      </c>
      <c r="B14737" t="n">
        <v>3.05</v>
      </c>
      <c r="C14737" t="n">
        <v>0.17</v>
      </c>
    </row>
    <row r="14738">
      <c r="A14738" s="28" t="n">
        <v>40358</v>
      </c>
      <c r="B14738" t="n">
        <v>2.97</v>
      </c>
      <c r="C14738" t="n">
        <v>0.15</v>
      </c>
    </row>
    <row r="14739">
      <c r="A14739" s="28" t="n">
        <v>40359</v>
      </c>
      <c r="B14739" t="n">
        <v>2.97</v>
      </c>
      <c r="C14739" t="n">
        <v>0.18</v>
      </c>
    </row>
    <row r="14740">
      <c r="A14740" s="28" t="n">
        <v>40360</v>
      </c>
      <c r="B14740" t="n">
        <v>2.96</v>
      </c>
      <c r="C14740" t="n">
        <v>0.17</v>
      </c>
    </row>
    <row r="14741">
      <c r="A14741" s="28" t="n">
        <v>40361</v>
      </c>
      <c r="B14741" t="n">
        <v>3</v>
      </c>
      <c r="C14741" t="n">
        <v>0.17</v>
      </c>
    </row>
    <row r="14742">
      <c r="A14742" s="28" t="n">
        <v>40364</v>
      </c>
      <c r="B14742" t="n">
        <v>0</v>
      </c>
      <c r="C14742" t="n">
        <v>0</v>
      </c>
    </row>
    <row r="14743">
      <c r="A14743" s="28" t="n">
        <v>40365</v>
      </c>
      <c r="B14743" t="n">
        <v>2.95</v>
      </c>
      <c r="C14743" t="n">
        <v>0.17</v>
      </c>
    </row>
    <row r="14744">
      <c r="A14744" s="28" t="n">
        <v>40366</v>
      </c>
      <c r="B14744" t="n">
        <v>3</v>
      </c>
      <c r="C14744" t="n">
        <v>0.16</v>
      </c>
    </row>
    <row r="14745">
      <c r="A14745" s="28" t="n">
        <v>40367</v>
      </c>
      <c r="B14745" t="n">
        <v>3.04</v>
      </c>
      <c r="C14745" t="n">
        <v>0.15</v>
      </c>
    </row>
    <row r="14746">
      <c r="A14746" s="28" t="n">
        <v>40368</v>
      </c>
      <c r="B14746" t="n">
        <v>3.07</v>
      </c>
      <c r="C14746" t="n">
        <v>0.16</v>
      </c>
    </row>
    <row r="14747">
      <c r="A14747" s="28" t="n">
        <v>40371</v>
      </c>
      <c r="B14747" t="n">
        <v>3.08</v>
      </c>
      <c r="C14747" t="n">
        <v>0.16</v>
      </c>
    </row>
    <row r="14748">
      <c r="A14748" s="28" t="n">
        <v>40372</v>
      </c>
      <c r="B14748" t="n">
        <v>3.15</v>
      </c>
      <c r="C14748" t="n">
        <v>0.15</v>
      </c>
    </row>
    <row r="14749">
      <c r="A14749" s="28" t="n">
        <v>40373</v>
      </c>
      <c r="B14749" t="n">
        <v>3.07</v>
      </c>
      <c r="C14749" t="n">
        <v>0.15</v>
      </c>
    </row>
    <row r="14750">
      <c r="A14750" s="28" t="n">
        <v>40374</v>
      </c>
      <c r="B14750" t="n">
        <v>3</v>
      </c>
      <c r="C14750" t="n">
        <v>0.15</v>
      </c>
    </row>
    <row r="14751">
      <c r="A14751" s="28" t="n">
        <v>40375</v>
      </c>
      <c r="B14751" t="n">
        <v>2.96</v>
      </c>
      <c r="C14751" t="n">
        <v>0.15</v>
      </c>
    </row>
    <row r="14752">
      <c r="A14752" s="28" t="n">
        <v>40378</v>
      </c>
      <c r="B14752" t="n">
        <v>2.99</v>
      </c>
      <c r="C14752" t="n">
        <v>0.17</v>
      </c>
    </row>
    <row r="14753">
      <c r="A14753" s="28" t="n">
        <v>40379</v>
      </c>
      <c r="B14753" t="n">
        <v>2.98</v>
      </c>
      <c r="C14753" t="n">
        <v>0.16</v>
      </c>
    </row>
    <row r="14754">
      <c r="A14754" s="28" t="n">
        <v>40380</v>
      </c>
      <c r="B14754" t="n">
        <v>2.9</v>
      </c>
      <c r="C14754" t="n">
        <v>0.16</v>
      </c>
    </row>
    <row r="14755">
      <c r="A14755" s="28" t="n">
        <v>40381</v>
      </c>
      <c r="B14755" t="n">
        <v>2.96</v>
      </c>
      <c r="C14755" t="n">
        <v>0.16</v>
      </c>
    </row>
    <row r="14756">
      <c r="A14756" s="28" t="n">
        <v>40382</v>
      </c>
      <c r="B14756" t="n">
        <v>3.02</v>
      </c>
      <c r="C14756" t="n">
        <v>0.16</v>
      </c>
    </row>
    <row r="14757">
      <c r="A14757" s="28" t="n">
        <v>40385</v>
      </c>
      <c r="B14757" t="n">
        <v>3.03</v>
      </c>
      <c r="C14757" t="n">
        <v>0.16</v>
      </c>
    </row>
    <row r="14758">
      <c r="A14758" s="28" t="n">
        <v>40386</v>
      </c>
      <c r="B14758" t="n">
        <v>3.08</v>
      </c>
      <c r="C14758" t="n">
        <v>0.15</v>
      </c>
    </row>
    <row r="14759">
      <c r="A14759" s="28" t="n">
        <v>40387</v>
      </c>
      <c r="B14759" t="n">
        <v>3.03</v>
      </c>
      <c r="C14759" t="n">
        <v>0.15</v>
      </c>
    </row>
    <row r="14760">
      <c r="A14760" s="28" t="n">
        <v>40388</v>
      </c>
      <c r="B14760" t="n">
        <v>3.03</v>
      </c>
      <c r="C14760" t="n">
        <v>0.15</v>
      </c>
    </row>
    <row r="14761">
      <c r="A14761" s="28" t="n">
        <v>40389</v>
      </c>
      <c r="B14761" t="n">
        <v>2.94</v>
      </c>
      <c r="C14761" t="n">
        <v>0.15</v>
      </c>
    </row>
    <row r="14762">
      <c r="A14762" s="28" t="n">
        <v>40392</v>
      </c>
      <c r="B14762" t="n">
        <v>2.99</v>
      </c>
      <c r="C14762" t="n">
        <v>0.16</v>
      </c>
    </row>
    <row r="14763">
      <c r="A14763" s="28" t="n">
        <v>40393</v>
      </c>
      <c r="B14763" t="n">
        <v>2.94</v>
      </c>
      <c r="C14763" t="n">
        <v>0.16</v>
      </c>
    </row>
    <row r="14764">
      <c r="A14764" s="28" t="n">
        <v>40394</v>
      </c>
      <c r="B14764" t="n">
        <v>2.98</v>
      </c>
      <c r="C14764" t="n">
        <v>0.16</v>
      </c>
    </row>
    <row r="14765">
      <c r="A14765" s="28" t="n">
        <v>40395</v>
      </c>
      <c r="B14765" t="n">
        <v>2.94</v>
      </c>
      <c r="C14765" t="n">
        <v>0.15</v>
      </c>
    </row>
    <row r="14766">
      <c r="A14766" s="28" t="n">
        <v>40396</v>
      </c>
      <c r="B14766" t="n">
        <v>2.86</v>
      </c>
      <c r="C14766" t="n">
        <v>0.15</v>
      </c>
    </row>
    <row r="14767">
      <c r="A14767" s="28" t="n">
        <v>40399</v>
      </c>
      <c r="B14767" t="n">
        <v>2.86</v>
      </c>
      <c r="C14767" t="n">
        <v>0.15</v>
      </c>
    </row>
    <row r="14768">
      <c r="A14768" s="28" t="n">
        <v>40400</v>
      </c>
      <c r="B14768" t="n">
        <v>2.79</v>
      </c>
      <c r="C14768" t="n">
        <v>0.15</v>
      </c>
    </row>
    <row r="14769">
      <c r="A14769" s="28" t="n">
        <v>40401</v>
      </c>
      <c r="B14769" t="n">
        <v>2.72</v>
      </c>
      <c r="C14769" t="n">
        <v>0.15</v>
      </c>
    </row>
    <row r="14770">
      <c r="A14770" s="28" t="n">
        <v>40402</v>
      </c>
      <c r="B14770" t="n">
        <v>2.74</v>
      </c>
      <c r="C14770" t="n">
        <v>0.16</v>
      </c>
    </row>
    <row r="14771">
      <c r="A14771" s="28" t="n">
        <v>40403</v>
      </c>
      <c r="B14771" t="n">
        <v>2.68</v>
      </c>
      <c r="C14771" t="n">
        <v>0.15</v>
      </c>
    </row>
    <row r="14772">
      <c r="A14772" s="28" t="n">
        <v>40406</v>
      </c>
      <c r="B14772" t="n">
        <v>2.58</v>
      </c>
      <c r="C14772" t="n">
        <v>0.16</v>
      </c>
    </row>
    <row r="14773">
      <c r="A14773" s="28" t="n">
        <v>40407</v>
      </c>
      <c r="B14773" t="n">
        <v>2.64</v>
      </c>
      <c r="C14773" t="n">
        <v>0.17</v>
      </c>
    </row>
    <row r="14774">
      <c r="A14774" s="28" t="n">
        <v>40408</v>
      </c>
      <c r="B14774" t="n">
        <v>2.64</v>
      </c>
      <c r="C14774" t="n">
        <v>0.16</v>
      </c>
    </row>
    <row r="14775">
      <c r="A14775" s="28" t="n">
        <v>40409</v>
      </c>
      <c r="B14775" t="n">
        <v>2.58</v>
      </c>
      <c r="C14775" t="n">
        <v>0.16</v>
      </c>
    </row>
    <row r="14776">
      <c r="A14776" s="28" t="n">
        <v>40410</v>
      </c>
      <c r="B14776" t="n">
        <v>2.62</v>
      </c>
      <c r="C14776" t="n">
        <v>0.15</v>
      </c>
    </row>
    <row r="14777">
      <c r="A14777" s="28" t="n">
        <v>40413</v>
      </c>
      <c r="B14777" t="n">
        <v>2.6</v>
      </c>
      <c r="C14777" t="n">
        <v>0.16</v>
      </c>
    </row>
    <row r="14778">
      <c r="A14778" s="28" t="n">
        <v>40414</v>
      </c>
      <c r="B14778" t="n">
        <v>2.5</v>
      </c>
      <c r="C14778" t="n">
        <v>0.16</v>
      </c>
    </row>
    <row r="14779">
      <c r="A14779" s="28" t="n">
        <v>40415</v>
      </c>
      <c r="B14779" t="n">
        <v>2.54</v>
      </c>
      <c r="C14779" t="n">
        <v>0.16</v>
      </c>
    </row>
    <row r="14780">
      <c r="A14780" s="28" t="n">
        <v>40416</v>
      </c>
      <c r="B14780" t="n">
        <v>2.5</v>
      </c>
      <c r="C14780" t="n">
        <v>0.16</v>
      </c>
    </row>
    <row r="14781">
      <c r="A14781" s="28" t="n">
        <v>40417</v>
      </c>
      <c r="B14781" t="n">
        <v>2.66</v>
      </c>
      <c r="C14781" t="n">
        <v>0.15</v>
      </c>
    </row>
    <row r="14782">
      <c r="A14782" s="28" t="n">
        <v>40420</v>
      </c>
      <c r="B14782" t="n">
        <v>2.54</v>
      </c>
      <c r="C14782" t="n">
        <v>0.14</v>
      </c>
    </row>
    <row r="14783">
      <c r="A14783" s="28" t="n">
        <v>40421</v>
      </c>
      <c r="B14783" t="n">
        <v>2.47</v>
      </c>
      <c r="C14783" t="n">
        <v>0.14</v>
      </c>
    </row>
    <row r="14784">
      <c r="A14784" s="28" t="n">
        <v>40422</v>
      </c>
      <c r="B14784" t="n">
        <v>2.58</v>
      </c>
      <c r="C14784" t="n">
        <v>0.13</v>
      </c>
    </row>
    <row r="14785">
      <c r="A14785" s="28" t="n">
        <v>40423</v>
      </c>
      <c r="B14785" t="n">
        <v>2.63</v>
      </c>
      <c r="C14785" t="n">
        <v>0.14</v>
      </c>
    </row>
    <row r="14786">
      <c r="A14786" s="28" t="n">
        <v>40424</v>
      </c>
      <c r="B14786" t="n">
        <v>2.72</v>
      </c>
      <c r="C14786" t="n">
        <v>0.14</v>
      </c>
    </row>
    <row r="14787">
      <c r="A14787" s="28" t="n">
        <v>40427</v>
      </c>
      <c r="B14787" t="n">
        <v>0</v>
      </c>
      <c r="C14787" t="n">
        <v>0</v>
      </c>
    </row>
    <row r="14788">
      <c r="A14788" s="28" t="n">
        <v>40428</v>
      </c>
      <c r="B14788" t="n">
        <v>2.61</v>
      </c>
      <c r="C14788" t="n">
        <v>0.14</v>
      </c>
    </row>
    <row r="14789">
      <c r="A14789" s="28" t="n">
        <v>40429</v>
      </c>
      <c r="B14789" t="n">
        <v>2.66</v>
      </c>
      <c r="C14789" t="n">
        <v>0.14</v>
      </c>
    </row>
    <row r="14790">
      <c r="A14790" s="28" t="n">
        <v>40430</v>
      </c>
      <c r="B14790" t="n">
        <v>2.77</v>
      </c>
      <c r="C14790" t="n">
        <v>0.14</v>
      </c>
    </row>
    <row r="14791">
      <c r="A14791" s="28" t="n">
        <v>40431</v>
      </c>
      <c r="B14791" t="n">
        <v>2.81</v>
      </c>
      <c r="C14791" t="n">
        <v>0.14</v>
      </c>
    </row>
    <row r="14792">
      <c r="A14792" s="28" t="n">
        <v>40434</v>
      </c>
      <c r="B14792" t="n">
        <v>2.74</v>
      </c>
      <c r="C14792" t="n">
        <v>0.15</v>
      </c>
    </row>
    <row r="14793">
      <c r="A14793" s="28" t="n">
        <v>40435</v>
      </c>
      <c r="B14793" t="n">
        <v>2.68</v>
      </c>
      <c r="C14793" t="n">
        <v>0.15</v>
      </c>
    </row>
    <row r="14794">
      <c r="A14794" s="28" t="n">
        <v>40436</v>
      </c>
      <c r="B14794" t="n">
        <v>2.74</v>
      </c>
      <c r="C14794" t="n">
        <v>0.15</v>
      </c>
    </row>
    <row r="14795">
      <c r="A14795" s="28" t="n">
        <v>40437</v>
      </c>
      <c r="B14795" t="n">
        <v>2.77</v>
      </c>
      <c r="C14795" t="n">
        <v>0.16</v>
      </c>
    </row>
    <row r="14796">
      <c r="A14796" s="28" t="n">
        <v>40438</v>
      </c>
      <c r="B14796" t="n">
        <v>2.75</v>
      </c>
      <c r="C14796" t="n">
        <v>0.16</v>
      </c>
    </row>
    <row r="14797">
      <c r="A14797" s="28" t="n">
        <v>40441</v>
      </c>
      <c r="B14797" t="n">
        <v>2.72</v>
      </c>
      <c r="C14797" t="n">
        <v>0.17</v>
      </c>
    </row>
    <row r="14798">
      <c r="A14798" s="28" t="n">
        <v>40442</v>
      </c>
      <c r="B14798" t="n">
        <v>2.61</v>
      </c>
      <c r="C14798" t="n">
        <v>0.17</v>
      </c>
    </row>
    <row r="14799">
      <c r="A14799" s="28" t="n">
        <v>40443</v>
      </c>
      <c r="B14799" t="n">
        <v>2.56</v>
      </c>
      <c r="C14799" t="n">
        <v>0.16</v>
      </c>
    </row>
    <row r="14800">
      <c r="A14800" s="28" t="n">
        <v>40444</v>
      </c>
      <c r="B14800" t="n">
        <v>2.56</v>
      </c>
      <c r="C14800" t="n">
        <v>0.16</v>
      </c>
    </row>
    <row r="14801">
      <c r="A14801" s="28" t="n">
        <v>40445</v>
      </c>
      <c r="B14801" t="n">
        <v>2.62</v>
      </c>
      <c r="C14801" t="n">
        <v>0.15</v>
      </c>
    </row>
    <row r="14802">
      <c r="A14802" s="28" t="n">
        <v>40448</v>
      </c>
      <c r="B14802" t="n">
        <v>2.54</v>
      </c>
      <c r="C14802" t="n">
        <v>0.16</v>
      </c>
    </row>
    <row r="14803">
      <c r="A14803" s="28" t="n">
        <v>40449</v>
      </c>
      <c r="B14803" t="n">
        <v>2.48</v>
      </c>
      <c r="C14803" t="n">
        <v>0.16</v>
      </c>
    </row>
    <row r="14804">
      <c r="A14804" s="28" t="n">
        <v>40450</v>
      </c>
      <c r="B14804" t="n">
        <v>2.52</v>
      </c>
      <c r="C14804" t="n">
        <v>0.16</v>
      </c>
    </row>
    <row r="14805">
      <c r="A14805" s="28" t="n">
        <v>40451</v>
      </c>
      <c r="B14805" t="n">
        <v>2.53</v>
      </c>
      <c r="C14805" t="n">
        <v>0.16</v>
      </c>
    </row>
    <row r="14806">
      <c r="A14806" s="28" t="n">
        <v>40452</v>
      </c>
      <c r="B14806" t="n">
        <v>2.54</v>
      </c>
      <c r="C14806" t="n">
        <v>0.16</v>
      </c>
    </row>
    <row r="14807">
      <c r="A14807" s="28" t="n">
        <v>40455</v>
      </c>
      <c r="B14807" t="n">
        <v>2.5</v>
      </c>
      <c r="C14807" t="n">
        <v>0.13</v>
      </c>
    </row>
    <row r="14808">
      <c r="A14808" s="28" t="n">
        <v>40456</v>
      </c>
      <c r="B14808" t="n">
        <v>2.5</v>
      </c>
      <c r="C14808" t="n">
        <v>0.12</v>
      </c>
    </row>
    <row r="14809">
      <c r="A14809" s="28" t="n">
        <v>40457</v>
      </c>
      <c r="B14809" t="n">
        <v>2.41</v>
      </c>
      <c r="C14809" t="n">
        <v>0.13</v>
      </c>
    </row>
    <row r="14810">
      <c r="A14810" s="28" t="n">
        <v>40458</v>
      </c>
      <c r="B14810" t="n">
        <v>2.41</v>
      </c>
      <c r="C14810" t="n">
        <v>0.13</v>
      </c>
    </row>
    <row r="14811">
      <c r="A14811" s="28" t="n">
        <v>40459</v>
      </c>
      <c r="B14811" t="n">
        <v>2.41</v>
      </c>
      <c r="C14811" t="n">
        <v>0.12</v>
      </c>
    </row>
    <row r="14812">
      <c r="A14812" s="28" t="n">
        <v>40462</v>
      </c>
      <c r="B14812" t="n">
        <v>0</v>
      </c>
      <c r="C14812" t="n">
        <v>0</v>
      </c>
    </row>
    <row r="14813">
      <c r="A14813" s="28" t="n">
        <v>40463</v>
      </c>
      <c r="B14813" t="n">
        <v>2.44</v>
      </c>
      <c r="C14813" t="n">
        <v>0.13</v>
      </c>
    </row>
    <row r="14814">
      <c r="A14814" s="28" t="n">
        <v>40464</v>
      </c>
      <c r="B14814" t="n">
        <v>2.46</v>
      </c>
      <c r="C14814" t="n">
        <v>0.13</v>
      </c>
    </row>
    <row r="14815">
      <c r="A14815" s="28" t="n">
        <v>40465</v>
      </c>
      <c r="B14815" t="n">
        <v>2.52</v>
      </c>
      <c r="C14815" t="n">
        <v>0.14</v>
      </c>
    </row>
    <row r="14816">
      <c r="A14816" s="28" t="n">
        <v>40466</v>
      </c>
      <c r="B14816" t="n">
        <v>2.59</v>
      </c>
      <c r="C14816" t="n">
        <v>0.14</v>
      </c>
    </row>
    <row r="14817">
      <c r="A14817" s="28" t="n">
        <v>40469</v>
      </c>
      <c r="B14817" t="n">
        <v>2.52</v>
      </c>
      <c r="C14817" t="n">
        <v>0.15</v>
      </c>
    </row>
    <row r="14818">
      <c r="A14818" s="28" t="n">
        <v>40470</v>
      </c>
      <c r="B14818" t="n">
        <v>2.5</v>
      </c>
      <c r="C14818" t="n">
        <v>0.14</v>
      </c>
    </row>
    <row r="14819">
      <c r="A14819" s="28" t="n">
        <v>40471</v>
      </c>
      <c r="B14819" t="n">
        <v>2.51</v>
      </c>
      <c r="C14819" t="n">
        <v>0.14</v>
      </c>
    </row>
    <row r="14820">
      <c r="A14820" s="28" t="n">
        <v>40472</v>
      </c>
      <c r="B14820" t="n">
        <v>2.57</v>
      </c>
      <c r="C14820" t="n">
        <v>0.13</v>
      </c>
    </row>
    <row r="14821">
      <c r="A14821" s="28" t="n">
        <v>40473</v>
      </c>
      <c r="B14821" t="n">
        <v>2.59</v>
      </c>
      <c r="C14821" t="n">
        <v>0.13</v>
      </c>
    </row>
    <row r="14822">
      <c r="A14822" s="28" t="n">
        <v>40476</v>
      </c>
      <c r="B14822" t="n">
        <v>2.59</v>
      </c>
      <c r="C14822" t="n">
        <v>0.14</v>
      </c>
    </row>
    <row r="14823">
      <c r="A14823" s="28" t="n">
        <v>40477</v>
      </c>
      <c r="B14823" t="n">
        <v>2.67</v>
      </c>
      <c r="C14823" t="n">
        <v>0.14</v>
      </c>
    </row>
    <row r="14824">
      <c r="A14824" s="28" t="n">
        <v>40478</v>
      </c>
      <c r="B14824" t="n">
        <v>2.75</v>
      </c>
      <c r="C14824" t="n">
        <v>0.14</v>
      </c>
    </row>
    <row r="14825">
      <c r="A14825" s="28" t="n">
        <v>40479</v>
      </c>
      <c r="B14825" t="n">
        <v>2.69</v>
      </c>
      <c r="C14825" t="n">
        <v>0.13</v>
      </c>
    </row>
    <row r="14826">
      <c r="A14826" s="28" t="n">
        <v>40480</v>
      </c>
      <c r="B14826" t="n">
        <v>2.63</v>
      </c>
      <c r="C14826" t="n">
        <v>0.12</v>
      </c>
    </row>
    <row r="14827">
      <c r="A14827" s="28" t="n">
        <v>40483</v>
      </c>
      <c r="B14827" t="n">
        <v>2.66</v>
      </c>
      <c r="C14827" t="n">
        <v>0.13</v>
      </c>
    </row>
    <row r="14828">
      <c r="A14828" s="28" t="n">
        <v>40484</v>
      </c>
      <c r="B14828" t="n">
        <v>2.63</v>
      </c>
      <c r="C14828" t="n">
        <v>0.13</v>
      </c>
    </row>
    <row r="14829">
      <c r="A14829" s="28" t="n">
        <v>40485</v>
      </c>
      <c r="B14829" t="n">
        <v>2.67</v>
      </c>
      <c r="C14829" t="n">
        <v>0.13</v>
      </c>
    </row>
    <row r="14830">
      <c r="A14830" s="28" t="n">
        <v>40486</v>
      </c>
      <c r="B14830" t="n">
        <v>2.53</v>
      </c>
      <c r="C14830" t="n">
        <v>0.13</v>
      </c>
    </row>
    <row r="14831">
      <c r="A14831" s="28" t="n">
        <v>40487</v>
      </c>
      <c r="B14831" t="n">
        <v>2.58</v>
      </c>
      <c r="C14831" t="n">
        <v>0.13</v>
      </c>
    </row>
    <row r="14832">
      <c r="A14832" s="28" t="n">
        <v>40490</v>
      </c>
      <c r="B14832" t="n">
        <v>2.6</v>
      </c>
      <c r="C14832" t="n">
        <v>0.13</v>
      </c>
    </row>
    <row r="14833">
      <c r="A14833" s="28" t="n">
        <v>40491</v>
      </c>
      <c r="B14833" t="n">
        <v>2.72</v>
      </c>
      <c r="C14833" t="n">
        <v>0.13</v>
      </c>
    </row>
    <row r="14834">
      <c r="A14834" s="28" t="n">
        <v>40492</v>
      </c>
      <c r="B14834" t="n">
        <v>2.65</v>
      </c>
      <c r="C14834" t="n">
        <v>0.13</v>
      </c>
    </row>
    <row r="14835">
      <c r="A14835" s="28" t="n">
        <v>40493</v>
      </c>
      <c r="B14835" t="n">
        <v>0</v>
      </c>
      <c r="C14835" t="n">
        <v>0</v>
      </c>
    </row>
    <row r="14836">
      <c r="A14836" s="28" t="n">
        <v>40494</v>
      </c>
      <c r="B14836" t="n">
        <v>2.76</v>
      </c>
      <c r="C14836" t="n">
        <v>0.13</v>
      </c>
    </row>
    <row r="14837">
      <c r="A14837" s="28" t="n">
        <v>40497</v>
      </c>
      <c r="B14837" t="n">
        <v>2.92</v>
      </c>
      <c r="C14837" t="n">
        <v>0.14</v>
      </c>
    </row>
    <row r="14838">
      <c r="A14838" s="28" t="n">
        <v>40498</v>
      </c>
      <c r="B14838" t="n">
        <v>2.85</v>
      </c>
      <c r="C14838" t="n">
        <v>0.15</v>
      </c>
    </row>
    <row r="14839">
      <c r="A14839" s="28" t="n">
        <v>40499</v>
      </c>
      <c r="B14839" t="n">
        <v>2.89</v>
      </c>
      <c r="C14839" t="n">
        <v>0.14</v>
      </c>
    </row>
    <row r="14840">
      <c r="A14840" s="28" t="n">
        <v>40500</v>
      </c>
      <c r="B14840" t="n">
        <v>2.9</v>
      </c>
      <c r="C14840" t="n">
        <v>0.15</v>
      </c>
    </row>
    <row r="14841">
      <c r="A14841" s="28" t="n">
        <v>40501</v>
      </c>
      <c r="B14841" t="n">
        <v>2.88</v>
      </c>
      <c r="C14841" t="n">
        <v>0.14</v>
      </c>
    </row>
    <row r="14842">
      <c r="A14842" s="28" t="n">
        <v>40504</v>
      </c>
      <c r="B14842" t="n">
        <v>2.8</v>
      </c>
      <c r="C14842" t="n">
        <v>0.15</v>
      </c>
    </row>
    <row r="14843">
      <c r="A14843" s="28" t="n">
        <v>40505</v>
      </c>
      <c r="B14843" t="n">
        <v>2.77</v>
      </c>
      <c r="C14843" t="n">
        <v>0.15</v>
      </c>
    </row>
    <row r="14844">
      <c r="A14844" s="28" t="n">
        <v>40506</v>
      </c>
      <c r="B14844" t="n">
        <v>2.93</v>
      </c>
      <c r="C14844" t="n">
        <v>0.16</v>
      </c>
    </row>
    <row r="14845">
      <c r="A14845" s="28" t="n">
        <v>40507</v>
      </c>
      <c r="B14845" t="n">
        <v>0</v>
      </c>
      <c r="C14845" t="n">
        <v>0</v>
      </c>
    </row>
    <row r="14846">
      <c r="A14846" s="28" t="n">
        <v>40508</v>
      </c>
      <c r="B14846" t="n">
        <v>2.87</v>
      </c>
      <c r="C14846" t="n">
        <v>0.16</v>
      </c>
    </row>
    <row r="14847">
      <c r="A14847" s="28" t="n">
        <v>40511</v>
      </c>
      <c r="B14847" t="n">
        <v>2.84</v>
      </c>
      <c r="C14847" t="n">
        <v>0.18</v>
      </c>
    </row>
    <row r="14848">
      <c r="A14848" s="28" t="n">
        <v>40512</v>
      </c>
      <c r="B14848" t="n">
        <v>2.81</v>
      </c>
      <c r="C14848" t="n">
        <v>0.17</v>
      </c>
    </row>
    <row r="14849">
      <c r="A14849" s="28" t="n">
        <v>40513</v>
      </c>
      <c r="B14849" t="n">
        <v>2.97</v>
      </c>
      <c r="C14849" t="n">
        <v>0.16</v>
      </c>
    </row>
    <row r="14850">
      <c r="A14850" s="28" t="n">
        <v>40514</v>
      </c>
      <c r="B14850" t="n">
        <v>3.01</v>
      </c>
      <c r="C14850" t="n">
        <v>0.16</v>
      </c>
    </row>
    <row r="14851">
      <c r="A14851" s="28" t="n">
        <v>40515</v>
      </c>
      <c r="B14851" t="n">
        <v>3.03</v>
      </c>
      <c r="C14851" t="n">
        <v>0.14</v>
      </c>
    </row>
    <row r="14852">
      <c r="A14852" s="28" t="n">
        <v>40518</v>
      </c>
      <c r="B14852" t="n">
        <v>2.95</v>
      </c>
      <c r="C14852" t="n">
        <v>0.15</v>
      </c>
    </row>
    <row r="14853">
      <c r="A14853" s="28" t="n">
        <v>40519</v>
      </c>
      <c r="B14853" t="n">
        <v>3.15</v>
      </c>
      <c r="C14853" t="n">
        <v>0.14</v>
      </c>
    </row>
    <row r="14854">
      <c r="A14854" s="28" t="n">
        <v>40520</v>
      </c>
      <c r="B14854" t="n">
        <v>3.26</v>
      </c>
      <c r="C14854" t="n">
        <v>0.15</v>
      </c>
    </row>
    <row r="14855">
      <c r="A14855" s="28" t="n">
        <v>40521</v>
      </c>
      <c r="B14855" t="n">
        <v>3.23</v>
      </c>
      <c r="C14855" t="n">
        <v>0.14</v>
      </c>
    </row>
    <row r="14856">
      <c r="A14856" s="28" t="n">
        <v>40522</v>
      </c>
      <c r="B14856" t="n">
        <v>3.32</v>
      </c>
      <c r="C14856" t="n">
        <v>0.13</v>
      </c>
    </row>
    <row r="14857">
      <c r="A14857" s="28" t="n">
        <v>40525</v>
      </c>
      <c r="B14857" t="n">
        <v>3.29</v>
      </c>
      <c r="C14857" t="n">
        <v>0.15</v>
      </c>
    </row>
    <row r="14858">
      <c r="A14858" s="28" t="n">
        <v>40526</v>
      </c>
      <c r="B14858" t="n">
        <v>3.49</v>
      </c>
      <c r="C14858" t="n">
        <v>0.15</v>
      </c>
    </row>
    <row r="14859">
      <c r="A14859" s="28" t="n">
        <v>40527</v>
      </c>
      <c r="B14859" t="n">
        <v>3.53</v>
      </c>
      <c r="C14859" t="n">
        <v>0.14</v>
      </c>
    </row>
    <row r="14860">
      <c r="A14860" s="28" t="n">
        <v>40528</v>
      </c>
      <c r="B14860" t="n">
        <v>3.47</v>
      </c>
      <c r="C14860" t="n">
        <v>0.13</v>
      </c>
    </row>
    <row r="14861">
      <c r="A14861" s="28" t="n">
        <v>40529</v>
      </c>
      <c r="B14861" t="n">
        <v>3.33</v>
      </c>
      <c r="C14861" t="n">
        <v>0.11</v>
      </c>
    </row>
    <row r="14862">
      <c r="A14862" s="28" t="n">
        <v>40532</v>
      </c>
      <c r="B14862" t="n">
        <v>3.36</v>
      </c>
      <c r="C14862" t="n">
        <v>0.14</v>
      </c>
    </row>
    <row r="14863">
      <c r="A14863" s="28" t="n">
        <v>40533</v>
      </c>
      <c r="B14863" t="n">
        <v>3.35</v>
      </c>
      <c r="C14863" t="n">
        <v>0.14</v>
      </c>
    </row>
    <row r="14864">
      <c r="A14864" s="28" t="n">
        <v>40534</v>
      </c>
      <c r="B14864" t="n">
        <v>3.36</v>
      </c>
      <c r="C14864" t="n">
        <v>0.14</v>
      </c>
    </row>
    <row r="14865">
      <c r="A14865" s="28" t="n">
        <v>40535</v>
      </c>
      <c r="B14865" t="n">
        <v>3.41</v>
      </c>
      <c r="C14865" t="n">
        <v>0.14</v>
      </c>
    </row>
    <row r="14866">
      <c r="A14866" s="28" t="n">
        <v>40536</v>
      </c>
      <c r="B14866" t="n">
        <v>0</v>
      </c>
      <c r="C14866" t="n">
        <v>0</v>
      </c>
    </row>
    <row r="14867">
      <c r="A14867" s="28" t="n">
        <v>40539</v>
      </c>
      <c r="B14867" t="n">
        <v>3.36</v>
      </c>
      <c r="C14867" t="n">
        <v>0.17</v>
      </c>
    </row>
    <row r="14868">
      <c r="A14868" s="28" t="n">
        <v>40540</v>
      </c>
      <c r="B14868" t="n">
        <v>3.5</v>
      </c>
      <c r="C14868" t="n">
        <v>0.15</v>
      </c>
    </row>
    <row r="14869">
      <c r="A14869" s="28" t="n">
        <v>40541</v>
      </c>
      <c r="B14869" t="n">
        <v>3.35</v>
      </c>
      <c r="C14869" t="n">
        <v>0.13</v>
      </c>
    </row>
    <row r="14870">
      <c r="A14870" s="28" t="n">
        <v>40542</v>
      </c>
      <c r="B14870" t="n">
        <v>3.38</v>
      </c>
      <c r="C14870" t="n">
        <v>0.12</v>
      </c>
    </row>
    <row r="14871">
      <c r="A14871" s="28" t="n">
        <v>40543</v>
      </c>
      <c r="B14871" t="n">
        <v>3.3</v>
      </c>
      <c r="C14871" t="n">
        <v>0.12</v>
      </c>
    </row>
    <row r="14872">
      <c r="A14872" s="28" t="n">
        <v>40546</v>
      </c>
      <c r="B14872" t="n">
        <v>3.36</v>
      </c>
      <c r="C14872" t="n">
        <v>0.15</v>
      </c>
    </row>
    <row r="14873">
      <c r="A14873" s="28" t="n">
        <v>40547</v>
      </c>
      <c r="B14873" t="n">
        <v>3.36</v>
      </c>
      <c r="C14873" t="n">
        <v>0.14</v>
      </c>
    </row>
    <row r="14874">
      <c r="A14874" s="28" t="n">
        <v>40548</v>
      </c>
      <c r="B14874" t="n">
        <v>3.5</v>
      </c>
      <c r="C14874" t="n">
        <v>0.14</v>
      </c>
    </row>
    <row r="14875">
      <c r="A14875" s="28" t="n">
        <v>40549</v>
      </c>
      <c r="B14875" t="n">
        <v>3.44</v>
      </c>
      <c r="C14875" t="n">
        <v>0.15</v>
      </c>
    </row>
    <row r="14876">
      <c r="A14876" s="28" t="n">
        <v>40550</v>
      </c>
      <c r="B14876" t="n">
        <v>3.34</v>
      </c>
      <c r="C14876" t="n">
        <v>0.14</v>
      </c>
    </row>
    <row r="14877">
      <c r="A14877" s="28" t="n">
        <v>40553</v>
      </c>
      <c r="B14877" t="n">
        <v>3.32</v>
      </c>
      <c r="C14877" t="n">
        <v>0.15</v>
      </c>
    </row>
    <row r="14878">
      <c r="A14878" s="28" t="n">
        <v>40554</v>
      </c>
      <c r="B14878" t="n">
        <v>3.37</v>
      </c>
      <c r="C14878" t="n">
        <v>0.15</v>
      </c>
    </row>
    <row r="14879">
      <c r="A14879" s="28" t="n">
        <v>40555</v>
      </c>
      <c r="B14879" t="n">
        <v>3.4</v>
      </c>
      <c r="C14879" t="n">
        <v>0.15</v>
      </c>
    </row>
    <row r="14880">
      <c r="A14880" s="28" t="n">
        <v>40556</v>
      </c>
      <c r="B14880" t="n">
        <v>3.34</v>
      </c>
      <c r="C14880" t="n">
        <v>0.15</v>
      </c>
    </row>
    <row r="14881">
      <c r="A14881" s="28" t="n">
        <v>40557</v>
      </c>
      <c r="B14881" t="n">
        <v>3.35</v>
      </c>
      <c r="C14881" t="n">
        <v>0.15</v>
      </c>
    </row>
    <row r="14882">
      <c r="A14882" s="28" t="n">
        <v>40560</v>
      </c>
      <c r="B14882" t="n">
        <v>0</v>
      </c>
      <c r="C14882" t="n">
        <v>0</v>
      </c>
    </row>
    <row r="14883">
      <c r="A14883" s="28" t="n">
        <v>40561</v>
      </c>
      <c r="B14883" t="n">
        <v>3.39</v>
      </c>
      <c r="C14883" t="n">
        <v>0.16</v>
      </c>
    </row>
    <row r="14884">
      <c r="A14884" s="28" t="n">
        <v>40562</v>
      </c>
      <c r="B14884" t="n">
        <v>3.37</v>
      </c>
      <c r="C14884" t="n">
        <v>0.16</v>
      </c>
    </row>
    <row r="14885">
      <c r="A14885" s="28" t="n">
        <v>40563</v>
      </c>
      <c r="B14885" t="n">
        <v>3.47</v>
      </c>
      <c r="C14885" t="n">
        <v>0.16</v>
      </c>
    </row>
    <row r="14886">
      <c r="A14886" s="28" t="n">
        <v>40564</v>
      </c>
      <c r="B14886" t="n">
        <v>3.44</v>
      </c>
      <c r="C14886" t="n">
        <v>0.16</v>
      </c>
    </row>
    <row r="14887">
      <c r="A14887" s="28" t="n">
        <v>40567</v>
      </c>
      <c r="B14887" t="n">
        <v>3.43</v>
      </c>
      <c r="C14887" t="n">
        <v>0.16</v>
      </c>
    </row>
    <row r="14888">
      <c r="A14888" s="28" t="n">
        <v>40568</v>
      </c>
      <c r="B14888" t="n">
        <v>3.35</v>
      </c>
      <c r="C14888" t="n">
        <v>0.16</v>
      </c>
    </row>
    <row r="14889">
      <c r="A14889" s="28" t="n">
        <v>40569</v>
      </c>
      <c r="B14889" t="n">
        <v>3.45</v>
      </c>
      <c r="C14889" t="n">
        <v>0.16</v>
      </c>
    </row>
    <row r="14890">
      <c r="A14890" s="28" t="n">
        <v>40570</v>
      </c>
      <c r="B14890" t="n">
        <v>3.42</v>
      </c>
      <c r="C14890" t="n">
        <v>0.15</v>
      </c>
    </row>
    <row r="14891">
      <c r="A14891" s="28" t="n">
        <v>40571</v>
      </c>
      <c r="B14891" t="n">
        <v>3.36</v>
      </c>
      <c r="C14891" t="n">
        <v>0.15</v>
      </c>
    </row>
    <row r="14892">
      <c r="A14892" s="28" t="n">
        <v>40574</v>
      </c>
      <c r="B14892" t="n">
        <v>3.42</v>
      </c>
      <c r="C14892" t="n">
        <v>0.15</v>
      </c>
    </row>
    <row r="14893">
      <c r="A14893" s="28" t="n">
        <v>40575</v>
      </c>
      <c r="B14893" t="n">
        <v>3.48</v>
      </c>
      <c r="C14893" t="n">
        <v>0.15</v>
      </c>
    </row>
    <row r="14894">
      <c r="A14894" s="28" t="n">
        <v>40576</v>
      </c>
      <c r="B14894" t="n">
        <v>3.52</v>
      </c>
      <c r="C14894" t="n">
        <v>0.16</v>
      </c>
    </row>
    <row r="14895">
      <c r="A14895" s="28" t="n">
        <v>40577</v>
      </c>
      <c r="B14895" t="n">
        <v>3.58</v>
      </c>
      <c r="C14895" t="n">
        <v>0.14</v>
      </c>
    </row>
    <row r="14896">
      <c r="A14896" s="28" t="n">
        <v>40578</v>
      </c>
      <c r="B14896" t="n">
        <v>3.68</v>
      </c>
      <c r="C14896" t="n">
        <v>0.15</v>
      </c>
    </row>
    <row r="14897">
      <c r="A14897" s="28" t="n">
        <v>40581</v>
      </c>
      <c r="B14897" t="n">
        <v>3.68</v>
      </c>
      <c r="C14897" t="n">
        <v>0.16</v>
      </c>
    </row>
    <row r="14898">
      <c r="A14898" s="28" t="n">
        <v>40582</v>
      </c>
      <c r="B14898" t="n">
        <v>3.75</v>
      </c>
      <c r="C14898" t="n">
        <v>0.15</v>
      </c>
    </row>
    <row r="14899">
      <c r="A14899" s="28" t="n">
        <v>40583</v>
      </c>
      <c r="B14899" t="n">
        <v>3.65</v>
      </c>
      <c r="C14899" t="n">
        <v>0.14</v>
      </c>
    </row>
    <row r="14900">
      <c r="A14900" s="28" t="n">
        <v>40584</v>
      </c>
      <c r="B14900" t="n">
        <v>3.7</v>
      </c>
      <c r="C14900" t="n">
        <v>0.12</v>
      </c>
    </row>
    <row r="14901">
      <c r="A14901" s="28" t="n">
        <v>40585</v>
      </c>
      <c r="B14901" t="n">
        <v>3.64</v>
      </c>
      <c r="C14901" t="n">
        <v>0.12</v>
      </c>
    </row>
    <row r="14902">
      <c r="A14902" s="28" t="n">
        <v>40588</v>
      </c>
      <c r="B14902" t="n">
        <v>3.62</v>
      </c>
      <c r="C14902" t="n">
        <v>0.13</v>
      </c>
    </row>
    <row r="14903">
      <c r="A14903" s="28" t="n">
        <v>40589</v>
      </c>
      <c r="B14903" t="n">
        <v>3.61</v>
      </c>
      <c r="C14903" t="n">
        <v>0.13</v>
      </c>
    </row>
    <row r="14904">
      <c r="A14904" s="28" t="n">
        <v>40590</v>
      </c>
      <c r="B14904" t="n">
        <v>3.62</v>
      </c>
      <c r="C14904" t="n">
        <v>0.12</v>
      </c>
    </row>
    <row r="14905">
      <c r="A14905" s="28" t="n">
        <v>40591</v>
      </c>
      <c r="B14905" t="n">
        <v>3.58</v>
      </c>
      <c r="C14905" t="n">
        <v>0.09</v>
      </c>
    </row>
    <row r="14906">
      <c r="A14906" s="28" t="n">
        <v>40592</v>
      </c>
      <c r="B14906" t="n">
        <v>3.59</v>
      </c>
      <c r="C14906" t="n">
        <v>0.1</v>
      </c>
    </row>
    <row r="14907">
      <c r="A14907" s="28" t="n">
        <v>40595</v>
      </c>
      <c r="B14907" t="n">
        <v>0</v>
      </c>
      <c r="C14907" t="n">
        <v>0</v>
      </c>
    </row>
    <row r="14908">
      <c r="A14908" s="28" t="n">
        <v>40596</v>
      </c>
      <c r="B14908" t="n">
        <v>3.46</v>
      </c>
      <c r="C14908" t="n">
        <v>0.12</v>
      </c>
    </row>
    <row r="14909">
      <c r="A14909" s="28" t="n">
        <v>40597</v>
      </c>
      <c r="B14909" t="n">
        <v>3.49</v>
      </c>
      <c r="C14909" t="n">
        <v>0.12</v>
      </c>
    </row>
    <row r="14910">
      <c r="A14910" s="28" t="n">
        <v>40598</v>
      </c>
      <c r="B14910" t="n">
        <v>3.46</v>
      </c>
      <c r="C14910" t="n">
        <v>0.13</v>
      </c>
    </row>
    <row r="14911">
      <c r="A14911" s="28" t="n">
        <v>40599</v>
      </c>
      <c r="B14911" t="n">
        <v>3.42</v>
      </c>
      <c r="C14911" t="n">
        <v>0.13</v>
      </c>
    </row>
    <row r="14912">
      <c r="A14912" s="28" t="n">
        <v>40602</v>
      </c>
      <c r="B14912" t="n">
        <v>3.42</v>
      </c>
      <c r="C14912" t="n">
        <v>0.15</v>
      </c>
    </row>
    <row r="14913">
      <c r="A14913" s="28" t="n">
        <v>40603</v>
      </c>
      <c r="B14913" t="n">
        <v>3.41</v>
      </c>
      <c r="C14913" t="n">
        <v>0.14</v>
      </c>
    </row>
    <row r="14914">
      <c r="A14914" s="28" t="n">
        <v>40604</v>
      </c>
      <c r="B14914" t="n">
        <v>3.46</v>
      </c>
      <c r="C14914" t="n">
        <v>0.13</v>
      </c>
    </row>
    <row r="14915">
      <c r="A14915" s="28" t="n">
        <v>40605</v>
      </c>
      <c r="B14915" t="n">
        <v>3.58</v>
      </c>
      <c r="C14915" t="n">
        <v>0.13</v>
      </c>
    </row>
    <row r="14916">
      <c r="A14916" s="28" t="n">
        <v>40606</v>
      </c>
      <c r="B14916" t="n">
        <v>3.49</v>
      </c>
      <c r="C14916" t="n">
        <v>0.12</v>
      </c>
    </row>
    <row r="14917">
      <c r="A14917" s="28" t="n">
        <v>40609</v>
      </c>
      <c r="B14917" t="n">
        <v>3.51</v>
      </c>
      <c r="C14917" t="n">
        <v>0.11</v>
      </c>
    </row>
    <row r="14918">
      <c r="A14918" s="28" t="n">
        <v>40610</v>
      </c>
      <c r="B14918" t="n">
        <v>3.56</v>
      </c>
      <c r="C14918" t="n">
        <v>0.11</v>
      </c>
    </row>
    <row r="14919">
      <c r="A14919" s="28" t="n">
        <v>40611</v>
      </c>
      <c r="B14919" t="n">
        <v>3.48</v>
      </c>
      <c r="C14919" t="n">
        <v>0.1</v>
      </c>
    </row>
    <row r="14920">
      <c r="A14920" s="28" t="n">
        <v>40612</v>
      </c>
      <c r="B14920" t="n">
        <v>3.37</v>
      </c>
      <c r="C14920" t="n">
        <v>0.08</v>
      </c>
    </row>
    <row r="14921">
      <c r="A14921" s="28" t="n">
        <v>40613</v>
      </c>
      <c r="B14921" t="n">
        <v>3.4</v>
      </c>
      <c r="C14921" t="n">
        <v>0.08</v>
      </c>
    </row>
    <row r="14922">
      <c r="A14922" s="28" t="n">
        <v>40616</v>
      </c>
      <c r="B14922" t="n">
        <v>3.36</v>
      </c>
      <c r="C14922" t="n">
        <v>0.09</v>
      </c>
    </row>
    <row r="14923">
      <c r="A14923" s="28" t="n">
        <v>40617</v>
      </c>
      <c r="B14923" t="n">
        <v>3.33</v>
      </c>
      <c r="C14923" t="n">
        <v>0.1</v>
      </c>
    </row>
    <row r="14924">
      <c r="A14924" s="28" t="n">
        <v>40618</v>
      </c>
      <c r="B14924" t="n">
        <v>3.22</v>
      </c>
      <c r="C14924" t="n">
        <v>0.1</v>
      </c>
    </row>
    <row r="14925">
      <c r="A14925" s="28" t="n">
        <v>40619</v>
      </c>
      <c r="B14925" t="n">
        <v>3.25</v>
      </c>
      <c r="C14925" t="n">
        <v>0.08</v>
      </c>
    </row>
    <row r="14926">
      <c r="A14926" s="28" t="n">
        <v>40620</v>
      </c>
      <c r="B14926" t="n">
        <v>3.28</v>
      </c>
      <c r="C14926" t="n">
        <v>0.07000000000000001</v>
      </c>
    </row>
    <row r="14927">
      <c r="A14927" s="28" t="n">
        <v>40623</v>
      </c>
      <c r="B14927" t="n">
        <v>3.34</v>
      </c>
      <c r="C14927" t="n">
        <v>0.1</v>
      </c>
    </row>
    <row r="14928">
      <c r="A14928" s="28" t="n">
        <v>40624</v>
      </c>
      <c r="B14928" t="n">
        <v>3.34</v>
      </c>
      <c r="C14928" t="n">
        <v>0.1</v>
      </c>
    </row>
    <row r="14929">
      <c r="A14929" s="28" t="n">
        <v>40625</v>
      </c>
      <c r="B14929" t="n">
        <v>3.36</v>
      </c>
      <c r="C14929" t="n">
        <v>0.09</v>
      </c>
    </row>
    <row r="14930">
      <c r="A14930" s="28" t="n">
        <v>40626</v>
      </c>
      <c r="B14930" t="n">
        <v>3.42</v>
      </c>
      <c r="C14930" t="n">
        <v>0.09</v>
      </c>
    </row>
    <row r="14931">
      <c r="A14931" s="28" t="n">
        <v>40627</v>
      </c>
      <c r="B14931" t="n">
        <v>3.46</v>
      </c>
      <c r="C14931" t="n">
        <v>0.09</v>
      </c>
    </row>
    <row r="14932">
      <c r="A14932" s="28" t="n">
        <v>40630</v>
      </c>
      <c r="B14932" t="n">
        <v>3.47</v>
      </c>
      <c r="C14932" t="n">
        <v>0.11</v>
      </c>
    </row>
    <row r="14933">
      <c r="A14933" s="28" t="n">
        <v>40631</v>
      </c>
      <c r="B14933" t="n">
        <v>3.5</v>
      </c>
      <c r="C14933" t="n">
        <v>0.1</v>
      </c>
    </row>
    <row r="14934">
      <c r="A14934" s="28" t="n">
        <v>40632</v>
      </c>
      <c r="B14934" t="n">
        <v>3.47</v>
      </c>
      <c r="C14934" t="n">
        <v>0.1</v>
      </c>
    </row>
    <row r="14935">
      <c r="A14935" s="28" t="n">
        <v>40633</v>
      </c>
      <c r="B14935" t="n">
        <v>3.47</v>
      </c>
      <c r="C14935" t="n">
        <v>0.09</v>
      </c>
    </row>
    <row r="14936">
      <c r="A14936" s="28" t="n">
        <v>40634</v>
      </c>
      <c r="B14936" t="n">
        <v>3.46</v>
      </c>
      <c r="C14936" t="n">
        <v>0.07000000000000001</v>
      </c>
    </row>
    <row r="14937">
      <c r="A14937" s="28" t="n">
        <v>40637</v>
      </c>
      <c r="B14937" t="n">
        <v>3.45</v>
      </c>
      <c r="C14937" t="n">
        <v>0.06</v>
      </c>
    </row>
    <row r="14938">
      <c r="A14938" s="28" t="n">
        <v>40638</v>
      </c>
      <c r="B14938" t="n">
        <v>3.5</v>
      </c>
      <c r="C14938" t="n">
        <v>0.07000000000000001</v>
      </c>
    </row>
    <row r="14939">
      <c r="A14939" s="28" t="n">
        <v>40639</v>
      </c>
      <c r="B14939" t="n">
        <v>3.56</v>
      </c>
      <c r="C14939" t="n">
        <v>0.06</v>
      </c>
    </row>
    <row r="14940">
      <c r="A14940" s="28" t="n">
        <v>40640</v>
      </c>
      <c r="B14940" t="n">
        <v>3.58</v>
      </c>
      <c r="C14940" t="n">
        <v>0.04</v>
      </c>
    </row>
    <row r="14941">
      <c r="A14941" s="28" t="n">
        <v>40641</v>
      </c>
      <c r="B14941" t="n">
        <v>3.59</v>
      </c>
      <c r="C14941" t="n">
        <v>0.04</v>
      </c>
    </row>
    <row r="14942">
      <c r="A14942" s="28" t="n">
        <v>40644</v>
      </c>
      <c r="B14942" t="n">
        <v>3.59</v>
      </c>
      <c r="C14942" t="n">
        <v>0.05</v>
      </c>
    </row>
    <row r="14943">
      <c r="A14943" s="28" t="n">
        <v>40645</v>
      </c>
      <c r="B14943" t="n">
        <v>3.52</v>
      </c>
      <c r="C14943" t="n">
        <v>0.05</v>
      </c>
    </row>
    <row r="14944">
      <c r="A14944" s="28" t="n">
        <v>40646</v>
      </c>
      <c r="B14944" t="n">
        <v>3.49</v>
      </c>
      <c r="C14944" t="n">
        <v>0.06</v>
      </c>
    </row>
    <row r="14945">
      <c r="A14945" s="28" t="n">
        <v>40647</v>
      </c>
      <c r="B14945" t="n">
        <v>3.51</v>
      </c>
      <c r="C14945" t="n">
        <v>0.07000000000000001</v>
      </c>
    </row>
    <row r="14946">
      <c r="A14946" s="28" t="n">
        <v>40648</v>
      </c>
      <c r="B14946" t="n">
        <v>3.43</v>
      </c>
      <c r="C14946" t="n">
        <v>0.07000000000000001</v>
      </c>
    </row>
    <row r="14947">
      <c r="A14947" s="28" t="n">
        <v>40651</v>
      </c>
      <c r="B14947" t="n">
        <v>3.4</v>
      </c>
      <c r="C14947" t="n">
        <v>0.07000000000000001</v>
      </c>
    </row>
    <row r="14948">
      <c r="A14948" s="28" t="n">
        <v>40652</v>
      </c>
      <c r="B14948" t="n">
        <v>3.39</v>
      </c>
      <c r="C14948" t="n">
        <v>0.06</v>
      </c>
    </row>
    <row r="14949">
      <c r="A14949" s="28" t="n">
        <v>40653</v>
      </c>
      <c r="B14949" t="n">
        <v>3.43</v>
      </c>
      <c r="C14949" t="n">
        <v>0.06</v>
      </c>
    </row>
    <row r="14950">
      <c r="A14950" s="28" t="n">
        <v>40654</v>
      </c>
      <c r="B14950" t="n">
        <v>3.42</v>
      </c>
      <c r="C14950" t="n">
        <v>0.06</v>
      </c>
    </row>
    <row r="14951">
      <c r="A14951" s="28" t="n">
        <v>40655</v>
      </c>
      <c r="B14951" t="n">
        <v>0</v>
      </c>
      <c r="C14951" t="n">
        <v>0</v>
      </c>
    </row>
    <row r="14952">
      <c r="A14952" s="28" t="n">
        <v>40658</v>
      </c>
      <c r="B14952" t="n">
        <v>3.39</v>
      </c>
      <c r="C14952" t="n">
        <v>0.07000000000000001</v>
      </c>
    </row>
    <row r="14953">
      <c r="A14953" s="28" t="n">
        <v>40659</v>
      </c>
      <c r="B14953" t="n">
        <v>3.34</v>
      </c>
      <c r="C14953" t="n">
        <v>0.07000000000000001</v>
      </c>
    </row>
    <row r="14954">
      <c r="A14954" s="28" t="n">
        <v>40660</v>
      </c>
      <c r="B14954" t="n">
        <v>3.39</v>
      </c>
      <c r="C14954" t="n">
        <v>0.06</v>
      </c>
    </row>
    <row r="14955">
      <c r="A14955" s="28" t="n">
        <v>40661</v>
      </c>
      <c r="B14955" t="n">
        <v>3.34</v>
      </c>
      <c r="C14955" t="n">
        <v>0.04</v>
      </c>
    </row>
    <row r="14956">
      <c r="A14956" s="28" t="n">
        <v>40662</v>
      </c>
      <c r="B14956" t="n">
        <v>3.32</v>
      </c>
      <c r="C14956" t="n">
        <v>0.04</v>
      </c>
    </row>
    <row r="14957">
      <c r="A14957" s="28" t="n">
        <v>40665</v>
      </c>
      <c r="B14957" t="n">
        <v>3.31</v>
      </c>
      <c r="C14957" t="n">
        <v>0.05</v>
      </c>
    </row>
    <row r="14958">
      <c r="A14958" s="28" t="n">
        <v>40666</v>
      </c>
      <c r="B14958" t="n">
        <v>3.28</v>
      </c>
      <c r="C14958" t="n">
        <v>0.03</v>
      </c>
    </row>
    <row r="14959">
      <c r="A14959" s="28" t="n">
        <v>40667</v>
      </c>
      <c r="B14959" t="n">
        <v>3.25</v>
      </c>
      <c r="C14959" t="n">
        <v>0.03</v>
      </c>
    </row>
    <row r="14960">
      <c r="A14960" s="28" t="n">
        <v>40668</v>
      </c>
      <c r="B14960" t="n">
        <v>3.18</v>
      </c>
      <c r="C14960" t="n">
        <v>0.02</v>
      </c>
    </row>
    <row r="14961">
      <c r="A14961" s="28" t="n">
        <v>40669</v>
      </c>
      <c r="B14961" t="n">
        <v>3.19</v>
      </c>
      <c r="C14961" t="n">
        <v>0.02</v>
      </c>
    </row>
    <row r="14962">
      <c r="A14962" s="28" t="n">
        <v>40672</v>
      </c>
      <c r="B14962" t="n">
        <v>3.17</v>
      </c>
      <c r="C14962" t="n">
        <v>0.03</v>
      </c>
    </row>
    <row r="14963">
      <c r="A14963" s="28" t="n">
        <v>40673</v>
      </c>
      <c r="B14963" t="n">
        <v>3.23</v>
      </c>
      <c r="C14963" t="n">
        <v>0.03</v>
      </c>
    </row>
    <row r="14964">
      <c r="A14964" s="28" t="n">
        <v>40674</v>
      </c>
      <c r="B14964" t="n">
        <v>3.19</v>
      </c>
      <c r="C14964" t="n">
        <v>0.03</v>
      </c>
    </row>
    <row r="14965">
      <c r="A14965" s="28" t="n">
        <v>40675</v>
      </c>
      <c r="B14965" t="n">
        <v>3.22</v>
      </c>
      <c r="C14965" t="n">
        <v>0.02</v>
      </c>
    </row>
    <row r="14966">
      <c r="A14966" s="28" t="n">
        <v>40676</v>
      </c>
      <c r="B14966" t="n">
        <v>3.18</v>
      </c>
      <c r="C14966" t="n">
        <v>0.03</v>
      </c>
    </row>
    <row r="14967">
      <c r="A14967" s="28" t="n">
        <v>40679</v>
      </c>
      <c r="B14967" t="n">
        <v>3.15</v>
      </c>
      <c r="C14967" t="n">
        <v>0.04</v>
      </c>
    </row>
    <row r="14968">
      <c r="A14968" s="28" t="n">
        <v>40680</v>
      </c>
      <c r="B14968" t="n">
        <v>3.12</v>
      </c>
      <c r="C14968" t="n">
        <v>0.04</v>
      </c>
    </row>
    <row r="14969">
      <c r="A14969" s="28" t="n">
        <v>40681</v>
      </c>
      <c r="B14969" t="n">
        <v>3.18</v>
      </c>
      <c r="C14969" t="n">
        <v>0.05</v>
      </c>
    </row>
    <row r="14970">
      <c r="A14970" s="28" t="n">
        <v>40682</v>
      </c>
      <c r="B14970" t="n">
        <v>3.17</v>
      </c>
      <c r="C14970" t="n">
        <v>0.05</v>
      </c>
    </row>
    <row r="14971">
      <c r="A14971" s="28" t="n">
        <v>40683</v>
      </c>
      <c r="B14971" t="n">
        <v>3.15</v>
      </c>
      <c r="C14971" t="n">
        <v>0.05</v>
      </c>
    </row>
    <row r="14972">
      <c r="A14972" s="28" t="n">
        <v>40686</v>
      </c>
      <c r="B14972" t="n">
        <v>3.13</v>
      </c>
      <c r="C14972" t="n">
        <v>0.06</v>
      </c>
    </row>
    <row r="14973">
      <c r="A14973" s="28" t="n">
        <v>40687</v>
      </c>
      <c r="B14973" t="n">
        <v>3.12</v>
      </c>
      <c r="C14973" t="n">
        <v>0.06</v>
      </c>
    </row>
    <row r="14974">
      <c r="A14974" s="28" t="n">
        <v>40688</v>
      </c>
      <c r="B14974" t="n">
        <v>3.13</v>
      </c>
      <c r="C14974" t="n">
        <v>0.06</v>
      </c>
    </row>
    <row r="14975">
      <c r="A14975" s="28" t="n">
        <v>40689</v>
      </c>
      <c r="B14975" t="n">
        <v>3.07</v>
      </c>
      <c r="C14975" t="n">
        <v>0.05</v>
      </c>
    </row>
    <row r="14976">
      <c r="A14976" s="28" t="n">
        <v>40690</v>
      </c>
      <c r="B14976" t="n">
        <v>3.07</v>
      </c>
      <c r="C14976" t="n">
        <v>0.05</v>
      </c>
    </row>
    <row r="14977">
      <c r="A14977" s="28" t="n">
        <v>40693</v>
      </c>
      <c r="B14977" t="n">
        <v>0</v>
      </c>
      <c r="C14977" t="n">
        <v>0</v>
      </c>
    </row>
    <row r="14978">
      <c r="A14978" s="28" t="n">
        <v>40694</v>
      </c>
      <c r="B14978" t="n">
        <v>3.05</v>
      </c>
      <c r="C14978" t="n">
        <v>0.06</v>
      </c>
    </row>
    <row r="14979">
      <c r="A14979" s="28" t="n">
        <v>40695</v>
      </c>
      <c r="B14979" t="n">
        <v>2.96</v>
      </c>
      <c r="C14979" t="n">
        <v>0.05</v>
      </c>
    </row>
    <row r="14980">
      <c r="A14980" s="28" t="n">
        <v>40696</v>
      </c>
      <c r="B14980" t="n">
        <v>3.04</v>
      </c>
      <c r="C14980" t="n">
        <v>0.04</v>
      </c>
    </row>
    <row r="14981">
      <c r="A14981" s="28" t="n">
        <v>40697</v>
      </c>
      <c r="B14981" t="n">
        <v>2.99</v>
      </c>
      <c r="C14981" t="n">
        <v>0.04</v>
      </c>
    </row>
    <row r="14982">
      <c r="A14982" s="28" t="n">
        <v>40700</v>
      </c>
      <c r="B14982" t="n">
        <v>3.01</v>
      </c>
      <c r="C14982" t="n">
        <v>0.05</v>
      </c>
    </row>
    <row r="14983">
      <c r="A14983" s="28" t="n">
        <v>40701</v>
      </c>
      <c r="B14983" t="n">
        <v>3.01</v>
      </c>
      <c r="C14983" t="n">
        <v>0.05</v>
      </c>
    </row>
    <row r="14984">
      <c r="A14984" s="28" t="n">
        <v>40702</v>
      </c>
      <c r="B14984" t="n">
        <v>2.98</v>
      </c>
      <c r="C14984" t="n">
        <v>0.04</v>
      </c>
    </row>
    <row r="14985">
      <c r="A14985" s="28" t="n">
        <v>40703</v>
      </c>
      <c r="B14985" t="n">
        <v>3.01</v>
      </c>
      <c r="C14985" t="n">
        <v>0.05</v>
      </c>
    </row>
    <row r="14986">
      <c r="A14986" s="28" t="n">
        <v>40704</v>
      </c>
      <c r="B14986" t="n">
        <v>2.99</v>
      </c>
      <c r="C14986" t="n">
        <v>0.05</v>
      </c>
    </row>
    <row r="14987">
      <c r="A14987" s="28" t="n">
        <v>40707</v>
      </c>
      <c r="B14987" t="n">
        <v>3</v>
      </c>
      <c r="C14987" t="n">
        <v>0.05</v>
      </c>
    </row>
    <row r="14988">
      <c r="A14988" s="28" t="n">
        <v>40708</v>
      </c>
      <c r="B14988" t="n">
        <v>3.11</v>
      </c>
      <c r="C14988" t="n">
        <v>0.05</v>
      </c>
    </row>
    <row r="14989">
      <c r="A14989" s="28" t="n">
        <v>40709</v>
      </c>
      <c r="B14989" t="n">
        <v>2.98</v>
      </c>
      <c r="C14989" t="n">
        <v>0.05</v>
      </c>
    </row>
    <row r="14990">
      <c r="A14990" s="28" t="n">
        <v>40710</v>
      </c>
      <c r="B14990" t="n">
        <v>2.93</v>
      </c>
      <c r="C14990" t="n">
        <v>0.05</v>
      </c>
    </row>
    <row r="14991">
      <c r="A14991" s="28" t="n">
        <v>40711</v>
      </c>
      <c r="B14991" t="n">
        <v>2.94</v>
      </c>
      <c r="C14991" t="n">
        <v>0.04</v>
      </c>
    </row>
    <row r="14992">
      <c r="A14992" s="28" t="n">
        <v>40714</v>
      </c>
      <c r="B14992" t="n">
        <v>2.97</v>
      </c>
      <c r="C14992" t="n">
        <v>0.03</v>
      </c>
    </row>
    <row r="14993">
      <c r="A14993" s="28" t="n">
        <v>40715</v>
      </c>
      <c r="B14993" t="n">
        <v>2.99</v>
      </c>
      <c r="C14993" t="n">
        <v>0.03</v>
      </c>
    </row>
    <row r="14994">
      <c r="A14994" s="28" t="n">
        <v>40716</v>
      </c>
      <c r="B14994" t="n">
        <v>3.01</v>
      </c>
      <c r="C14994" t="n">
        <v>0.02</v>
      </c>
    </row>
    <row r="14995">
      <c r="A14995" s="28" t="n">
        <v>40717</v>
      </c>
      <c r="B14995" t="n">
        <v>2.93</v>
      </c>
      <c r="C14995" t="n">
        <v>0.01</v>
      </c>
    </row>
    <row r="14996">
      <c r="A14996" s="28" t="n">
        <v>40718</v>
      </c>
      <c r="B14996" t="n">
        <v>2.88</v>
      </c>
      <c r="C14996" t="n">
        <v>0.02</v>
      </c>
    </row>
    <row r="14997">
      <c r="A14997" s="28" t="n">
        <v>40721</v>
      </c>
      <c r="B14997" t="n">
        <v>2.95</v>
      </c>
      <c r="C14997" t="n">
        <v>0.02</v>
      </c>
    </row>
    <row r="14998">
      <c r="A14998" s="28" t="n">
        <v>40722</v>
      </c>
      <c r="B14998" t="n">
        <v>3.05</v>
      </c>
      <c r="C14998" t="n">
        <v>0.03</v>
      </c>
    </row>
    <row r="14999">
      <c r="A14999" s="28" t="n">
        <v>40723</v>
      </c>
      <c r="B14999" t="n">
        <v>3.14</v>
      </c>
      <c r="C14999" t="n">
        <v>0.02</v>
      </c>
    </row>
    <row r="15000">
      <c r="A15000" s="28" t="n">
        <v>40724</v>
      </c>
      <c r="B15000" t="n">
        <v>3.18</v>
      </c>
      <c r="C15000" t="n">
        <v>0.03</v>
      </c>
    </row>
    <row r="15001">
      <c r="A15001" s="28" t="n">
        <v>40725</v>
      </c>
      <c r="B15001" t="n">
        <v>3.22</v>
      </c>
      <c r="C15001" t="n">
        <v>0.02</v>
      </c>
    </row>
    <row r="15002">
      <c r="A15002" s="28" t="n">
        <v>40728</v>
      </c>
      <c r="B15002" t="n">
        <v>0</v>
      </c>
      <c r="C15002" t="n">
        <v>0</v>
      </c>
    </row>
    <row r="15003">
      <c r="A15003" s="28" t="n">
        <v>40729</v>
      </c>
      <c r="B15003" t="n">
        <v>3.16</v>
      </c>
      <c r="C15003" t="n">
        <v>0.02</v>
      </c>
    </row>
    <row r="15004">
      <c r="A15004" s="28" t="n">
        <v>40730</v>
      </c>
      <c r="B15004" t="n">
        <v>3.12</v>
      </c>
      <c r="C15004" t="n">
        <v>0.01</v>
      </c>
    </row>
    <row r="15005">
      <c r="A15005" s="28" t="n">
        <v>40731</v>
      </c>
      <c r="B15005" t="n">
        <v>3.17</v>
      </c>
      <c r="C15005" t="n">
        <v>0.03</v>
      </c>
    </row>
    <row r="15006">
      <c r="A15006" s="28" t="n">
        <v>40732</v>
      </c>
      <c r="B15006" t="n">
        <v>3.03</v>
      </c>
      <c r="C15006" t="n">
        <v>0.03</v>
      </c>
    </row>
    <row r="15007">
      <c r="A15007" s="28" t="n">
        <v>40735</v>
      </c>
      <c r="B15007" t="n">
        <v>2.94</v>
      </c>
      <c r="C15007" t="n">
        <v>0.03</v>
      </c>
    </row>
    <row r="15008">
      <c r="A15008" s="28" t="n">
        <v>40736</v>
      </c>
      <c r="B15008" t="n">
        <v>2.92</v>
      </c>
      <c r="C15008" t="n">
        <v>0.03</v>
      </c>
    </row>
    <row r="15009">
      <c r="A15009" s="28" t="n">
        <v>40737</v>
      </c>
      <c r="B15009" t="n">
        <v>2.92</v>
      </c>
      <c r="C15009" t="n">
        <v>0.01</v>
      </c>
    </row>
    <row r="15010">
      <c r="A15010" s="28" t="n">
        <v>40738</v>
      </c>
      <c r="B15010" t="n">
        <v>2.98</v>
      </c>
      <c r="C15010" t="n">
        <v>0.01</v>
      </c>
    </row>
    <row r="15011">
      <c r="A15011" s="28" t="n">
        <v>40739</v>
      </c>
      <c r="B15011" t="n">
        <v>2.94</v>
      </c>
      <c r="C15011" t="n">
        <v>0.02</v>
      </c>
    </row>
    <row r="15012">
      <c r="A15012" s="28" t="n">
        <v>40742</v>
      </c>
      <c r="B15012" t="n">
        <v>2.94</v>
      </c>
      <c r="C15012" t="n">
        <v>0.02</v>
      </c>
    </row>
    <row r="15013">
      <c r="A15013" s="28" t="n">
        <v>40743</v>
      </c>
      <c r="B15013" t="n">
        <v>2.91</v>
      </c>
      <c r="C15013" t="n">
        <v>0.03</v>
      </c>
    </row>
    <row r="15014">
      <c r="A15014" s="28" t="n">
        <v>40744</v>
      </c>
      <c r="B15014" t="n">
        <v>2.96</v>
      </c>
      <c r="C15014" t="n">
        <v>0.02</v>
      </c>
    </row>
    <row r="15015">
      <c r="A15015" s="28" t="n">
        <v>40745</v>
      </c>
      <c r="B15015" t="n">
        <v>3.03</v>
      </c>
      <c r="C15015" t="n">
        <v>0.05</v>
      </c>
    </row>
    <row r="15016">
      <c r="A15016" s="28" t="n">
        <v>40746</v>
      </c>
      <c r="B15016" t="n">
        <v>2.99</v>
      </c>
      <c r="C15016" t="n">
        <v>0.05</v>
      </c>
    </row>
    <row r="15017">
      <c r="A15017" s="28" t="n">
        <v>40749</v>
      </c>
      <c r="B15017" t="n">
        <v>3.03</v>
      </c>
      <c r="C15017" t="n">
        <v>0.05</v>
      </c>
    </row>
    <row r="15018">
      <c r="A15018" s="28" t="n">
        <v>40750</v>
      </c>
      <c r="B15018" t="n">
        <v>2.99</v>
      </c>
      <c r="C15018" t="n">
        <v>0.07000000000000001</v>
      </c>
    </row>
    <row r="15019">
      <c r="A15019" s="28" t="n">
        <v>40751</v>
      </c>
      <c r="B15019" t="n">
        <v>3.01</v>
      </c>
      <c r="C15019" t="n">
        <v>0.08</v>
      </c>
    </row>
    <row r="15020">
      <c r="A15020" s="28" t="n">
        <v>40752</v>
      </c>
      <c r="B15020" t="n">
        <v>2.98</v>
      </c>
      <c r="C15020" t="n">
        <v>0.07000000000000001</v>
      </c>
    </row>
    <row r="15021">
      <c r="A15021" s="28" t="n">
        <v>40753</v>
      </c>
      <c r="B15021" t="n">
        <v>2.82</v>
      </c>
      <c r="C15021" t="n">
        <v>0.1</v>
      </c>
    </row>
    <row r="15022">
      <c r="A15022" s="28" t="n">
        <v>40756</v>
      </c>
      <c r="B15022" t="n">
        <v>2.77</v>
      </c>
      <c r="C15022" t="n">
        <v>0.1</v>
      </c>
    </row>
    <row r="15023">
      <c r="A15023" s="28" t="n">
        <v>40757</v>
      </c>
      <c r="B15023" t="n">
        <v>2.66</v>
      </c>
      <c r="C15023" t="n">
        <v>0.06</v>
      </c>
    </row>
    <row r="15024">
      <c r="A15024" s="28" t="n">
        <v>40758</v>
      </c>
      <c r="B15024" t="n">
        <v>2.64</v>
      </c>
      <c r="C15024" t="n">
        <v>0.02</v>
      </c>
    </row>
    <row r="15025">
      <c r="A15025" s="28" t="n">
        <v>40759</v>
      </c>
      <c r="B15025" t="n">
        <v>2.47</v>
      </c>
      <c r="C15025" t="n">
        <v>0.02</v>
      </c>
    </row>
    <row r="15026">
      <c r="A15026" s="28" t="n">
        <v>40760</v>
      </c>
      <c r="B15026" t="n">
        <v>2.58</v>
      </c>
      <c r="C15026" t="n">
        <v>0.01</v>
      </c>
    </row>
    <row r="15027">
      <c r="A15027" s="28" t="n">
        <v>40763</v>
      </c>
      <c r="B15027" t="n">
        <v>2.4</v>
      </c>
      <c r="C15027" t="n">
        <v>0.05</v>
      </c>
    </row>
    <row r="15028">
      <c r="A15028" s="28" t="n">
        <v>40764</v>
      </c>
      <c r="B15028" t="n">
        <v>2.2</v>
      </c>
      <c r="C15028" t="n">
        <v>0.03</v>
      </c>
    </row>
    <row r="15029">
      <c r="A15029" s="28" t="n">
        <v>40765</v>
      </c>
      <c r="B15029" t="n">
        <v>2.17</v>
      </c>
      <c r="C15029" t="n">
        <v>0.02</v>
      </c>
    </row>
    <row r="15030">
      <c r="A15030" s="28" t="n">
        <v>40766</v>
      </c>
      <c r="B15030" t="n">
        <v>2.34</v>
      </c>
      <c r="C15030" t="n">
        <v>0.03</v>
      </c>
    </row>
    <row r="15031">
      <c r="A15031" s="28" t="n">
        <v>40767</v>
      </c>
      <c r="B15031" t="n">
        <v>2.24</v>
      </c>
      <c r="C15031" t="n">
        <v>0.02</v>
      </c>
    </row>
    <row r="15032">
      <c r="A15032" s="28" t="n">
        <v>40770</v>
      </c>
      <c r="B15032" t="n">
        <v>2.29</v>
      </c>
      <c r="C15032" t="n">
        <v>0.02</v>
      </c>
    </row>
    <row r="15033">
      <c r="A15033" s="28" t="n">
        <v>40771</v>
      </c>
      <c r="B15033" t="n">
        <v>2.23</v>
      </c>
      <c r="C15033" t="n">
        <v>0.03</v>
      </c>
    </row>
    <row r="15034">
      <c r="A15034" s="28" t="n">
        <v>40772</v>
      </c>
      <c r="B15034" t="n">
        <v>2.17</v>
      </c>
      <c r="C15034" t="n">
        <v>0.01</v>
      </c>
    </row>
    <row r="15035">
      <c r="A15035" s="28" t="n">
        <v>40773</v>
      </c>
      <c r="B15035" t="n">
        <v>2.08</v>
      </c>
      <c r="C15035" t="n">
        <v>0.01</v>
      </c>
    </row>
    <row r="15036">
      <c r="A15036" s="28" t="n">
        <v>40774</v>
      </c>
      <c r="B15036" t="n">
        <v>2.07</v>
      </c>
      <c r="C15036" t="n">
        <v>0.02</v>
      </c>
    </row>
    <row r="15037">
      <c r="A15037" s="28" t="n">
        <v>40777</v>
      </c>
      <c r="B15037" t="n">
        <v>2.1</v>
      </c>
      <c r="C15037" t="n">
        <v>0.01</v>
      </c>
    </row>
    <row r="15038">
      <c r="A15038" s="28" t="n">
        <v>40778</v>
      </c>
      <c r="B15038" t="n">
        <v>2.15</v>
      </c>
      <c r="C15038" t="n">
        <v>0.01</v>
      </c>
    </row>
    <row r="15039">
      <c r="A15039" s="28" t="n">
        <v>40779</v>
      </c>
      <c r="B15039" t="n">
        <v>2.29</v>
      </c>
      <c r="C15039" t="n">
        <v>0.02</v>
      </c>
    </row>
    <row r="15040">
      <c r="A15040" s="28" t="n">
        <v>40780</v>
      </c>
      <c r="B15040" t="n">
        <v>2.23</v>
      </c>
      <c r="C15040" t="n">
        <v>0.01</v>
      </c>
    </row>
    <row r="15041">
      <c r="A15041" s="28" t="n">
        <v>40781</v>
      </c>
      <c r="B15041" t="n">
        <v>2.19</v>
      </c>
      <c r="C15041" t="n">
        <v>0.01</v>
      </c>
    </row>
    <row r="15042">
      <c r="A15042" s="28" t="n">
        <v>40784</v>
      </c>
      <c r="B15042" t="n">
        <v>2.28</v>
      </c>
      <c r="C15042" t="n">
        <v>0.02</v>
      </c>
    </row>
    <row r="15043">
      <c r="A15043" s="28" t="n">
        <v>40785</v>
      </c>
      <c r="B15043" t="n">
        <v>2.19</v>
      </c>
      <c r="C15043" t="n">
        <v>0.01</v>
      </c>
    </row>
    <row r="15044">
      <c r="A15044" s="28" t="n">
        <v>40786</v>
      </c>
      <c r="B15044" t="n">
        <v>2.23</v>
      </c>
      <c r="C15044" t="n">
        <v>0.02</v>
      </c>
    </row>
    <row r="15045">
      <c r="A15045" s="28" t="n">
        <v>40787</v>
      </c>
      <c r="B15045" t="n">
        <v>2.15</v>
      </c>
      <c r="C15045" t="n">
        <v>0.02</v>
      </c>
    </row>
    <row r="15046">
      <c r="A15046" s="28" t="n">
        <v>40788</v>
      </c>
      <c r="B15046" t="n">
        <v>2.02</v>
      </c>
      <c r="C15046" t="n">
        <v>0.02</v>
      </c>
    </row>
    <row r="15047">
      <c r="A15047" s="28" t="n">
        <v>40791</v>
      </c>
      <c r="B15047" t="n">
        <v>0</v>
      </c>
      <c r="C15047" t="n">
        <v>0</v>
      </c>
    </row>
    <row r="15048">
      <c r="A15048" s="28" t="n">
        <v>40792</v>
      </c>
      <c r="B15048" t="n">
        <v>1.98</v>
      </c>
      <c r="C15048" t="n">
        <v>0.02</v>
      </c>
    </row>
    <row r="15049">
      <c r="A15049" s="28" t="n">
        <v>40793</v>
      </c>
      <c r="B15049" t="n">
        <v>2.05</v>
      </c>
      <c r="C15049" t="n">
        <v>0.02</v>
      </c>
    </row>
    <row r="15050">
      <c r="A15050" s="28" t="n">
        <v>40794</v>
      </c>
      <c r="B15050" t="n">
        <v>2</v>
      </c>
      <c r="C15050" t="n">
        <v>0.02</v>
      </c>
    </row>
    <row r="15051">
      <c r="A15051" s="28" t="n">
        <v>40795</v>
      </c>
      <c r="B15051" t="n">
        <v>1.93</v>
      </c>
      <c r="C15051" t="n">
        <v>0.01</v>
      </c>
    </row>
    <row r="15052">
      <c r="A15052" s="28" t="n">
        <v>40798</v>
      </c>
      <c r="B15052" t="n">
        <v>1.94</v>
      </c>
      <c r="C15052" t="n">
        <v>0.01</v>
      </c>
    </row>
    <row r="15053">
      <c r="A15053" s="28" t="n">
        <v>40799</v>
      </c>
      <c r="B15053" t="n">
        <v>2</v>
      </c>
      <c r="C15053" t="n">
        <v>0.01</v>
      </c>
    </row>
    <row r="15054">
      <c r="A15054" s="28" t="n">
        <v>40800</v>
      </c>
      <c r="B15054" t="n">
        <v>2.03</v>
      </c>
      <c r="C15054" t="n">
        <v>0.01</v>
      </c>
    </row>
    <row r="15055">
      <c r="A15055" s="28" t="n">
        <v>40801</v>
      </c>
      <c r="B15055" t="n">
        <v>2.09</v>
      </c>
      <c r="C15055" t="n">
        <v>0.01</v>
      </c>
    </row>
    <row r="15056">
      <c r="A15056" s="28" t="n">
        <v>40802</v>
      </c>
      <c r="B15056" t="n">
        <v>2.08</v>
      </c>
      <c r="C15056" t="n">
        <v>0.01</v>
      </c>
    </row>
    <row r="15057">
      <c r="A15057" s="28" t="n">
        <v>40805</v>
      </c>
      <c r="B15057" t="n">
        <v>1.97</v>
      </c>
      <c r="C15057" t="n">
        <v>0.01</v>
      </c>
    </row>
    <row r="15058">
      <c r="A15058" s="28" t="n">
        <v>40806</v>
      </c>
      <c r="B15058" t="n">
        <v>1.95</v>
      </c>
      <c r="C15058" t="n">
        <v>0.01</v>
      </c>
    </row>
    <row r="15059">
      <c r="A15059" s="28" t="n">
        <v>40807</v>
      </c>
      <c r="B15059" t="n">
        <v>1.88</v>
      </c>
      <c r="C15059" t="n">
        <v>0.01</v>
      </c>
    </row>
    <row r="15060">
      <c r="A15060" s="28" t="n">
        <v>40808</v>
      </c>
      <c r="B15060" t="n">
        <v>1.72</v>
      </c>
      <c r="C15060" t="n">
        <v>0</v>
      </c>
    </row>
    <row r="15061">
      <c r="A15061" s="28" t="n">
        <v>40809</v>
      </c>
      <c r="B15061" t="n">
        <v>1.84</v>
      </c>
      <c r="C15061" t="n">
        <v>0.01</v>
      </c>
    </row>
    <row r="15062">
      <c r="A15062" s="28" t="n">
        <v>40812</v>
      </c>
      <c r="B15062" t="n">
        <v>1.91</v>
      </c>
      <c r="C15062" t="n">
        <v>0.02</v>
      </c>
    </row>
    <row r="15063">
      <c r="A15063" s="28" t="n">
        <v>40813</v>
      </c>
      <c r="B15063" t="n">
        <v>2</v>
      </c>
      <c r="C15063" t="n">
        <v>0.01</v>
      </c>
    </row>
    <row r="15064">
      <c r="A15064" s="28" t="n">
        <v>40814</v>
      </c>
      <c r="B15064" t="n">
        <v>2.03</v>
      </c>
      <c r="C15064" t="n">
        <v>0.02</v>
      </c>
    </row>
    <row r="15065">
      <c r="A15065" s="28" t="n">
        <v>40815</v>
      </c>
      <c r="B15065" t="n">
        <v>1.99</v>
      </c>
      <c r="C15065" t="n">
        <v>0.02</v>
      </c>
    </row>
    <row r="15066">
      <c r="A15066" s="28" t="n">
        <v>40816</v>
      </c>
      <c r="B15066" t="n">
        <v>1.92</v>
      </c>
      <c r="C15066" t="n">
        <v>0.02</v>
      </c>
    </row>
    <row r="15067">
      <c r="A15067" s="28" t="n">
        <v>40819</v>
      </c>
      <c r="B15067" t="n">
        <v>1.8</v>
      </c>
      <c r="C15067" t="n">
        <v>0.02</v>
      </c>
    </row>
    <row r="15068">
      <c r="A15068" s="28" t="n">
        <v>40820</v>
      </c>
      <c r="B15068" t="n">
        <v>1.81</v>
      </c>
      <c r="C15068" t="n">
        <v>0.01</v>
      </c>
    </row>
    <row r="15069">
      <c r="A15069" s="28" t="n">
        <v>40821</v>
      </c>
      <c r="B15069" t="n">
        <v>1.92</v>
      </c>
      <c r="C15069" t="n">
        <v>0</v>
      </c>
    </row>
    <row r="15070">
      <c r="A15070" s="28" t="n">
        <v>40822</v>
      </c>
      <c r="B15070" t="n">
        <v>2.01</v>
      </c>
      <c r="C15070" t="n">
        <v>0.01</v>
      </c>
    </row>
    <row r="15071">
      <c r="A15071" s="28" t="n">
        <v>40823</v>
      </c>
      <c r="B15071" t="n">
        <v>2.1</v>
      </c>
      <c r="C15071" t="n">
        <v>0.01</v>
      </c>
    </row>
    <row r="15072">
      <c r="A15072" s="28" t="n">
        <v>40826</v>
      </c>
      <c r="B15072" t="n">
        <v>0</v>
      </c>
      <c r="C15072" t="n">
        <v>0</v>
      </c>
    </row>
    <row r="15073">
      <c r="A15073" s="28" t="n">
        <v>40827</v>
      </c>
      <c r="B15073" t="n">
        <v>2.18</v>
      </c>
      <c r="C15073" t="n">
        <v>0.02</v>
      </c>
    </row>
    <row r="15074">
      <c r="A15074" s="28" t="n">
        <v>40828</v>
      </c>
      <c r="B15074" t="n">
        <v>2.24</v>
      </c>
      <c r="C15074" t="n">
        <v>0.02</v>
      </c>
    </row>
    <row r="15075">
      <c r="A15075" s="28" t="n">
        <v>40829</v>
      </c>
      <c r="B15075" t="n">
        <v>2.19</v>
      </c>
      <c r="C15075" t="n">
        <v>0.02</v>
      </c>
    </row>
    <row r="15076">
      <c r="A15076" s="28" t="n">
        <v>40830</v>
      </c>
      <c r="B15076" t="n">
        <v>2.26</v>
      </c>
      <c r="C15076" t="n">
        <v>0.02</v>
      </c>
    </row>
    <row r="15077">
      <c r="A15077" s="28" t="n">
        <v>40833</v>
      </c>
      <c r="B15077" t="n">
        <v>2.18</v>
      </c>
      <c r="C15077" t="n">
        <v>0.04</v>
      </c>
    </row>
    <row r="15078">
      <c r="A15078" s="28" t="n">
        <v>40834</v>
      </c>
      <c r="B15078" t="n">
        <v>2.19</v>
      </c>
      <c r="C15078" t="n">
        <v>0.04</v>
      </c>
    </row>
    <row r="15079">
      <c r="A15079" s="28" t="n">
        <v>40835</v>
      </c>
      <c r="B15079" t="n">
        <v>2.18</v>
      </c>
      <c r="C15079" t="n">
        <v>0.03</v>
      </c>
    </row>
    <row r="15080">
      <c r="A15080" s="28" t="n">
        <v>40836</v>
      </c>
      <c r="B15080" t="n">
        <v>2.2</v>
      </c>
      <c r="C15080" t="n">
        <v>0.03</v>
      </c>
    </row>
    <row r="15081">
      <c r="A15081" s="28" t="n">
        <v>40837</v>
      </c>
      <c r="B15081" t="n">
        <v>2.23</v>
      </c>
      <c r="C15081" t="n">
        <v>0.02</v>
      </c>
    </row>
    <row r="15082">
      <c r="A15082" s="28" t="n">
        <v>40840</v>
      </c>
      <c r="B15082" t="n">
        <v>2.25</v>
      </c>
      <c r="C15082" t="n">
        <v>0.02</v>
      </c>
    </row>
    <row r="15083">
      <c r="A15083" s="28" t="n">
        <v>40841</v>
      </c>
      <c r="B15083" t="n">
        <v>2.14</v>
      </c>
      <c r="C15083" t="n">
        <v>0.01</v>
      </c>
    </row>
    <row r="15084">
      <c r="A15084" s="28" t="n">
        <v>40842</v>
      </c>
      <c r="B15084" t="n">
        <v>2.23</v>
      </c>
      <c r="C15084" t="n">
        <v>0.02</v>
      </c>
    </row>
    <row r="15085">
      <c r="A15085" s="28" t="n">
        <v>40843</v>
      </c>
      <c r="B15085" t="n">
        <v>2.42</v>
      </c>
      <c r="C15085" t="n">
        <v>0.02</v>
      </c>
    </row>
    <row r="15086">
      <c r="A15086" s="28" t="n">
        <v>40844</v>
      </c>
      <c r="B15086" t="n">
        <v>2.34</v>
      </c>
      <c r="C15086" t="n">
        <v>0.01</v>
      </c>
    </row>
    <row r="15087">
      <c r="A15087" s="28" t="n">
        <v>40847</v>
      </c>
      <c r="B15087" t="n">
        <v>2.17</v>
      </c>
      <c r="C15087" t="n">
        <v>0.01</v>
      </c>
    </row>
    <row r="15088">
      <c r="A15088" s="28" t="n">
        <v>40848</v>
      </c>
      <c r="B15088" t="n">
        <v>2.01</v>
      </c>
      <c r="C15088" t="n">
        <v>0.01</v>
      </c>
    </row>
    <row r="15089">
      <c r="A15089" s="28" t="n">
        <v>40849</v>
      </c>
      <c r="B15089" t="n">
        <v>2.03</v>
      </c>
      <c r="C15089" t="n">
        <v>0.01</v>
      </c>
    </row>
    <row r="15090">
      <c r="A15090" s="28" t="n">
        <v>40850</v>
      </c>
      <c r="B15090" t="n">
        <v>2.09</v>
      </c>
      <c r="C15090" t="n">
        <v>0.01</v>
      </c>
    </row>
    <row r="15091">
      <c r="A15091" s="28" t="n">
        <v>40851</v>
      </c>
      <c r="B15091" t="n">
        <v>2.06</v>
      </c>
      <c r="C15091" t="n">
        <v>0.01</v>
      </c>
    </row>
    <row r="15092">
      <c r="A15092" s="28" t="n">
        <v>40854</v>
      </c>
      <c r="B15092" t="n">
        <v>2.04</v>
      </c>
      <c r="C15092" t="n">
        <v>0.01</v>
      </c>
    </row>
    <row r="15093">
      <c r="A15093" s="28" t="n">
        <v>40855</v>
      </c>
      <c r="B15093" t="n">
        <v>2.1</v>
      </c>
      <c r="C15093" t="n">
        <v>0.01</v>
      </c>
    </row>
    <row r="15094">
      <c r="A15094" s="28" t="n">
        <v>40856</v>
      </c>
      <c r="B15094" t="n">
        <v>2</v>
      </c>
      <c r="C15094" t="n">
        <v>0.01</v>
      </c>
    </row>
    <row r="15095">
      <c r="A15095" s="28" t="n">
        <v>40857</v>
      </c>
      <c r="B15095" t="n">
        <v>2.04</v>
      </c>
      <c r="C15095" t="n">
        <v>0.01</v>
      </c>
    </row>
    <row r="15096">
      <c r="A15096" s="28" t="n">
        <v>40858</v>
      </c>
      <c r="B15096" t="n">
        <v>0</v>
      </c>
      <c r="C15096" t="n">
        <v>0</v>
      </c>
    </row>
    <row r="15097">
      <c r="A15097" s="28" t="n">
        <v>40861</v>
      </c>
      <c r="B15097" t="n">
        <v>2.04</v>
      </c>
      <c r="C15097" t="n">
        <v>0.01</v>
      </c>
    </row>
    <row r="15098">
      <c r="A15098" s="28" t="n">
        <v>40862</v>
      </c>
      <c r="B15098" t="n">
        <v>2.06</v>
      </c>
      <c r="C15098" t="n">
        <v>0.01</v>
      </c>
    </row>
    <row r="15099">
      <c r="A15099" s="28" t="n">
        <v>40863</v>
      </c>
      <c r="B15099" t="n">
        <v>2.01</v>
      </c>
      <c r="C15099" t="n">
        <v>0.01</v>
      </c>
    </row>
    <row r="15100">
      <c r="A15100" s="28" t="n">
        <v>40864</v>
      </c>
      <c r="B15100" t="n">
        <v>1.96</v>
      </c>
      <c r="C15100" t="n">
        <v>0.02</v>
      </c>
    </row>
    <row r="15101">
      <c r="A15101" s="28" t="n">
        <v>40865</v>
      </c>
      <c r="B15101" t="n">
        <v>2.01</v>
      </c>
      <c r="C15101" t="n">
        <v>0.01</v>
      </c>
    </row>
    <row r="15102">
      <c r="A15102" s="28" t="n">
        <v>40868</v>
      </c>
      <c r="B15102" t="n">
        <v>1.97</v>
      </c>
      <c r="C15102" t="n">
        <v>0.02</v>
      </c>
    </row>
    <row r="15103">
      <c r="A15103" s="28" t="n">
        <v>40869</v>
      </c>
      <c r="B15103" t="n">
        <v>1.94</v>
      </c>
      <c r="C15103" t="n">
        <v>0.02</v>
      </c>
    </row>
    <row r="15104">
      <c r="A15104" s="28" t="n">
        <v>40870</v>
      </c>
      <c r="B15104" t="n">
        <v>1.89</v>
      </c>
      <c r="C15104" t="n">
        <v>0.02</v>
      </c>
    </row>
    <row r="15105">
      <c r="A15105" s="28" t="n">
        <v>40871</v>
      </c>
      <c r="B15105" t="n">
        <v>0</v>
      </c>
      <c r="C15105" t="n">
        <v>0</v>
      </c>
    </row>
    <row r="15106">
      <c r="A15106" s="28" t="n">
        <v>40872</v>
      </c>
      <c r="B15106" t="n">
        <v>1.97</v>
      </c>
      <c r="C15106" t="n">
        <v>0.02</v>
      </c>
    </row>
    <row r="15107">
      <c r="A15107" s="28" t="n">
        <v>40875</v>
      </c>
      <c r="B15107" t="n">
        <v>1.97</v>
      </c>
      <c r="C15107" t="n">
        <v>0.03</v>
      </c>
    </row>
    <row r="15108">
      <c r="A15108" s="28" t="n">
        <v>40876</v>
      </c>
      <c r="B15108" t="n">
        <v>2</v>
      </c>
      <c r="C15108" t="n">
        <v>0.02</v>
      </c>
    </row>
    <row r="15109">
      <c r="A15109" s="28" t="n">
        <v>40877</v>
      </c>
      <c r="B15109" t="n">
        <v>2.08</v>
      </c>
      <c r="C15109" t="n">
        <v>0.01</v>
      </c>
    </row>
    <row r="15110">
      <c r="A15110" s="28" t="n">
        <v>40878</v>
      </c>
      <c r="B15110" t="n">
        <v>2.11</v>
      </c>
      <c r="C15110" t="n">
        <v>0.01</v>
      </c>
    </row>
    <row r="15111">
      <c r="A15111" s="28" t="n">
        <v>40879</v>
      </c>
      <c r="B15111" t="n">
        <v>2.05</v>
      </c>
      <c r="C15111" t="n">
        <v>0.02</v>
      </c>
    </row>
    <row r="15112">
      <c r="A15112" s="28" t="n">
        <v>40882</v>
      </c>
      <c r="B15112" t="n">
        <v>2.04</v>
      </c>
      <c r="C15112" t="n">
        <v>0.01</v>
      </c>
    </row>
    <row r="15113">
      <c r="A15113" s="28" t="n">
        <v>40883</v>
      </c>
      <c r="B15113" t="n">
        <v>2.08</v>
      </c>
      <c r="C15113" t="n">
        <v>0.01</v>
      </c>
    </row>
    <row r="15114">
      <c r="A15114" s="28" t="n">
        <v>40884</v>
      </c>
      <c r="B15114" t="n">
        <v>2.02</v>
      </c>
      <c r="C15114" t="n">
        <v>0.02</v>
      </c>
    </row>
    <row r="15115">
      <c r="A15115" s="28" t="n">
        <v>40885</v>
      </c>
      <c r="B15115" t="n">
        <v>1.99</v>
      </c>
      <c r="C15115" t="n">
        <v>0.01</v>
      </c>
    </row>
    <row r="15116">
      <c r="A15116" s="28" t="n">
        <v>40886</v>
      </c>
      <c r="B15116" t="n">
        <v>2.07</v>
      </c>
      <c r="C15116" t="n">
        <v>0.01</v>
      </c>
    </row>
    <row r="15117">
      <c r="A15117" s="28" t="n">
        <v>40889</v>
      </c>
      <c r="B15117" t="n">
        <v>2.03</v>
      </c>
      <c r="C15117" t="n">
        <v>0.01</v>
      </c>
    </row>
    <row r="15118">
      <c r="A15118" s="28" t="n">
        <v>40890</v>
      </c>
      <c r="B15118" t="n">
        <v>1.96</v>
      </c>
      <c r="C15118" t="n">
        <v>0.01</v>
      </c>
    </row>
    <row r="15119">
      <c r="A15119" s="28" t="n">
        <v>40891</v>
      </c>
      <c r="B15119" t="n">
        <v>1.92</v>
      </c>
      <c r="C15119" t="n">
        <v>0.01</v>
      </c>
    </row>
    <row r="15120">
      <c r="A15120" s="28" t="n">
        <v>40892</v>
      </c>
      <c r="B15120" t="n">
        <v>1.92</v>
      </c>
      <c r="C15120" t="n">
        <v>0</v>
      </c>
    </row>
    <row r="15121">
      <c r="A15121" s="28" t="n">
        <v>40893</v>
      </c>
      <c r="B15121" t="n">
        <v>1.86</v>
      </c>
      <c r="C15121" t="n">
        <v>0</v>
      </c>
    </row>
    <row r="15122">
      <c r="A15122" s="28" t="n">
        <v>40896</v>
      </c>
      <c r="B15122" t="n">
        <v>1.82</v>
      </c>
      <c r="C15122" t="n">
        <v>0.01</v>
      </c>
    </row>
    <row r="15123">
      <c r="A15123" s="28" t="n">
        <v>40897</v>
      </c>
      <c r="B15123" t="n">
        <v>1.94</v>
      </c>
      <c r="C15123" t="n">
        <v>0.01</v>
      </c>
    </row>
    <row r="15124">
      <c r="A15124" s="28" t="n">
        <v>40898</v>
      </c>
      <c r="B15124" t="n">
        <v>1.98</v>
      </c>
      <c r="C15124" t="n">
        <v>0.01</v>
      </c>
    </row>
    <row r="15125">
      <c r="A15125" s="28" t="n">
        <v>40899</v>
      </c>
      <c r="B15125" t="n">
        <v>1.97</v>
      </c>
      <c r="C15125" t="n">
        <v>0.01</v>
      </c>
    </row>
    <row r="15126">
      <c r="A15126" s="28" t="n">
        <v>40900</v>
      </c>
      <c r="B15126" t="n">
        <v>2.03</v>
      </c>
      <c r="C15126" t="n">
        <v>0.01</v>
      </c>
    </row>
    <row r="15127">
      <c r="A15127" s="28" t="n">
        <v>40903</v>
      </c>
      <c r="B15127" t="n">
        <v>0</v>
      </c>
      <c r="C15127" t="n">
        <v>0</v>
      </c>
    </row>
    <row r="15128">
      <c r="A15128" s="28" t="n">
        <v>40904</v>
      </c>
      <c r="B15128" t="n">
        <v>2.02</v>
      </c>
      <c r="C15128" t="n">
        <v>0.02</v>
      </c>
    </row>
    <row r="15129">
      <c r="A15129" s="28" t="n">
        <v>40905</v>
      </c>
      <c r="B15129" t="n">
        <v>1.93</v>
      </c>
      <c r="C15129" t="n">
        <v>0.01</v>
      </c>
    </row>
    <row r="15130">
      <c r="A15130" s="28" t="n">
        <v>40906</v>
      </c>
      <c r="B15130" t="n">
        <v>1.91</v>
      </c>
      <c r="C15130" t="n">
        <v>0.02</v>
      </c>
    </row>
    <row r="15131">
      <c r="A15131" s="28" t="n">
        <v>40907</v>
      </c>
      <c r="B15131" t="n">
        <v>1.89</v>
      </c>
      <c r="C15131" t="n">
        <v>0.02</v>
      </c>
    </row>
    <row r="15132">
      <c r="A15132" s="28" t="n">
        <v>40910</v>
      </c>
      <c r="B15132" t="n">
        <v>0</v>
      </c>
      <c r="C15132" t="n">
        <v>0</v>
      </c>
    </row>
    <row r="15133">
      <c r="A15133" s="28" t="n">
        <v>40911</v>
      </c>
      <c r="B15133" t="n">
        <v>1.97</v>
      </c>
      <c r="C15133" t="n">
        <v>0.02</v>
      </c>
    </row>
    <row r="15134">
      <c r="A15134" s="28" t="n">
        <v>40912</v>
      </c>
      <c r="B15134" t="n">
        <v>2</v>
      </c>
      <c r="C15134" t="n">
        <v>0.02</v>
      </c>
    </row>
    <row r="15135">
      <c r="A15135" s="28" t="n">
        <v>40913</v>
      </c>
      <c r="B15135" t="n">
        <v>2.02</v>
      </c>
      <c r="C15135" t="n">
        <v>0.02</v>
      </c>
    </row>
    <row r="15136">
      <c r="A15136" s="28" t="n">
        <v>40914</v>
      </c>
      <c r="B15136" t="n">
        <v>1.98</v>
      </c>
      <c r="C15136" t="n">
        <v>0.02</v>
      </c>
    </row>
    <row r="15137">
      <c r="A15137" s="28" t="n">
        <v>40917</v>
      </c>
      <c r="B15137" t="n">
        <v>1.98</v>
      </c>
      <c r="C15137" t="n">
        <v>0.01</v>
      </c>
    </row>
    <row r="15138">
      <c r="A15138" s="28" t="n">
        <v>40918</v>
      </c>
      <c r="B15138" t="n">
        <v>2</v>
      </c>
      <c r="C15138" t="n">
        <v>0.02</v>
      </c>
    </row>
    <row r="15139">
      <c r="A15139" s="28" t="n">
        <v>40919</v>
      </c>
      <c r="B15139" t="n">
        <v>1.93</v>
      </c>
      <c r="C15139" t="n">
        <v>0.02</v>
      </c>
    </row>
    <row r="15140">
      <c r="A15140" s="28" t="n">
        <v>40920</v>
      </c>
      <c r="B15140" t="n">
        <v>1.94</v>
      </c>
      <c r="C15140" t="n">
        <v>0.03</v>
      </c>
    </row>
    <row r="15141">
      <c r="A15141" s="28" t="n">
        <v>40921</v>
      </c>
      <c r="B15141" t="n">
        <v>1.89</v>
      </c>
      <c r="C15141" t="n">
        <v>0.03</v>
      </c>
    </row>
    <row r="15142">
      <c r="A15142" s="28" t="n">
        <v>40924</v>
      </c>
      <c r="B15142" t="n">
        <v>0</v>
      </c>
      <c r="C15142" t="n">
        <v>0</v>
      </c>
    </row>
    <row r="15143">
      <c r="A15143" s="28" t="n">
        <v>40925</v>
      </c>
      <c r="B15143" t="n">
        <v>1.87</v>
      </c>
      <c r="C15143" t="n">
        <v>0.03</v>
      </c>
    </row>
    <row r="15144">
      <c r="A15144" s="28" t="n">
        <v>40926</v>
      </c>
      <c r="B15144" t="n">
        <v>1.92</v>
      </c>
      <c r="C15144" t="n">
        <v>0.03</v>
      </c>
    </row>
    <row r="15145">
      <c r="A15145" s="28" t="n">
        <v>40927</v>
      </c>
      <c r="B15145" t="n">
        <v>2.01</v>
      </c>
      <c r="C15145" t="n">
        <v>0.05</v>
      </c>
    </row>
    <row r="15146">
      <c r="A15146" s="28" t="n">
        <v>40928</v>
      </c>
      <c r="B15146" t="n">
        <v>2.05</v>
      </c>
      <c r="C15146" t="n">
        <v>0.05</v>
      </c>
    </row>
    <row r="15147">
      <c r="A15147" s="28" t="n">
        <v>40931</v>
      </c>
      <c r="B15147" t="n">
        <v>2.09</v>
      </c>
      <c r="C15147" t="n">
        <v>0.04</v>
      </c>
    </row>
    <row r="15148">
      <c r="A15148" s="28" t="n">
        <v>40932</v>
      </c>
      <c r="B15148" t="n">
        <v>2.08</v>
      </c>
      <c r="C15148" t="n">
        <v>0.04</v>
      </c>
    </row>
    <row r="15149">
      <c r="A15149" s="28" t="n">
        <v>40933</v>
      </c>
      <c r="B15149" t="n">
        <v>2.01</v>
      </c>
      <c r="C15149" t="n">
        <v>0.04</v>
      </c>
    </row>
    <row r="15150">
      <c r="A15150" s="28" t="n">
        <v>40934</v>
      </c>
      <c r="B15150" t="n">
        <v>1.96</v>
      </c>
      <c r="C15150" t="n">
        <v>0.05</v>
      </c>
    </row>
    <row r="15151">
      <c r="A15151" s="28" t="n">
        <v>40935</v>
      </c>
      <c r="B15151" t="n">
        <v>1.93</v>
      </c>
      <c r="C15151" t="n">
        <v>0.06</v>
      </c>
    </row>
    <row r="15152">
      <c r="A15152" s="28" t="n">
        <v>40938</v>
      </c>
      <c r="B15152" t="n">
        <v>1.87</v>
      </c>
      <c r="C15152" t="n">
        <v>0.05</v>
      </c>
    </row>
    <row r="15153">
      <c r="A15153" s="28" t="n">
        <v>40939</v>
      </c>
      <c r="B15153" t="n">
        <v>1.83</v>
      </c>
      <c r="C15153" t="n">
        <v>0.06</v>
      </c>
    </row>
    <row r="15154">
      <c r="A15154" s="28" t="n">
        <v>40940</v>
      </c>
      <c r="B15154" t="n">
        <v>1.87</v>
      </c>
      <c r="C15154" t="n">
        <v>0.06</v>
      </c>
    </row>
    <row r="15155">
      <c r="A15155" s="28" t="n">
        <v>40941</v>
      </c>
      <c r="B15155" t="n">
        <v>1.86</v>
      </c>
      <c r="C15155" t="n">
        <v>0.08</v>
      </c>
    </row>
    <row r="15156">
      <c r="A15156" s="28" t="n">
        <v>40942</v>
      </c>
      <c r="B15156" t="n">
        <v>1.97</v>
      </c>
      <c r="C15156" t="n">
        <v>0.08</v>
      </c>
    </row>
    <row r="15157">
      <c r="A15157" s="28" t="n">
        <v>40945</v>
      </c>
      <c r="B15157" t="n">
        <v>1.93</v>
      </c>
      <c r="C15157" t="n">
        <v>0.08</v>
      </c>
    </row>
    <row r="15158">
      <c r="A15158" s="28" t="n">
        <v>40946</v>
      </c>
      <c r="B15158" t="n">
        <v>2</v>
      </c>
      <c r="C15158" t="n">
        <v>0.08</v>
      </c>
    </row>
    <row r="15159">
      <c r="A15159" s="28" t="n">
        <v>40947</v>
      </c>
      <c r="B15159" t="n">
        <v>2.01</v>
      </c>
      <c r="C15159" t="n">
        <v>0.09</v>
      </c>
    </row>
    <row r="15160">
      <c r="A15160" s="28" t="n">
        <v>40948</v>
      </c>
      <c r="B15160" t="n">
        <v>2.04</v>
      </c>
      <c r="C15160" t="n">
        <v>0.09</v>
      </c>
    </row>
    <row r="15161">
      <c r="A15161" s="28" t="n">
        <v>40949</v>
      </c>
      <c r="B15161" t="n">
        <v>1.96</v>
      </c>
      <c r="C15161" t="n">
        <v>0.09</v>
      </c>
    </row>
    <row r="15162">
      <c r="A15162" s="28" t="n">
        <v>40952</v>
      </c>
      <c r="B15162" t="n">
        <v>1.99</v>
      </c>
      <c r="C15162" t="n">
        <v>0.11</v>
      </c>
    </row>
    <row r="15163">
      <c r="A15163" s="28" t="n">
        <v>40953</v>
      </c>
      <c r="B15163" t="n">
        <v>1.92</v>
      </c>
      <c r="C15163" t="n">
        <v>0.12</v>
      </c>
    </row>
    <row r="15164">
      <c r="A15164" s="28" t="n">
        <v>40954</v>
      </c>
      <c r="B15164" t="n">
        <v>1.93</v>
      </c>
      <c r="C15164" t="n">
        <v>0.11</v>
      </c>
    </row>
    <row r="15165">
      <c r="A15165" s="28" t="n">
        <v>40955</v>
      </c>
      <c r="B15165" t="n">
        <v>1.99</v>
      </c>
      <c r="C15165" t="n">
        <v>0.1</v>
      </c>
    </row>
    <row r="15166">
      <c r="A15166" s="28" t="n">
        <v>40956</v>
      </c>
      <c r="B15166" t="n">
        <v>2.01</v>
      </c>
      <c r="C15166" t="n">
        <v>0.09</v>
      </c>
    </row>
    <row r="15167">
      <c r="A15167" s="28" t="n">
        <v>40959</v>
      </c>
      <c r="B15167" t="n">
        <v>0</v>
      </c>
      <c r="C15167" t="n">
        <v>0</v>
      </c>
    </row>
    <row r="15168">
      <c r="A15168" s="28" t="n">
        <v>40960</v>
      </c>
      <c r="B15168" t="n">
        <v>2.05</v>
      </c>
      <c r="C15168" t="n">
        <v>0.08</v>
      </c>
    </row>
    <row r="15169">
      <c r="A15169" s="28" t="n">
        <v>40961</v>
      </c>
      <c r="B15169" t="n">
        <v>2.01</v>
      </c>
      <c r="C15169" t="n">
        <v>0.09</v>
      </c>
    </row>
    <row r="15170">
      <c r="A15170" s="28" t="n">
        <v>40962</v>
      </c>
      <c r="B15170" t="n">
        <v>1.99</v>
      </c>
      <c r="C15170" t="n">
        <v>0.09</v>
      </c>
    </row>
    <row r="15171">
      <c r="A15171" s="28" t="n">
        <v>40963</v>
      </c>
      <c r="B15171" t="n">
        <v>1.98</v>
      </c>
      <c r="C15171" t="n">
        <v>0.1</v>
      </c>
    </row>
    <row r="15172">
      <c r="A15172" s="28" t="n">
        <v>40966</v>
      </c>
      <c r="B15172" t="n">
        <v>1.92</v>
      </c>
      <c r="C15172" t="n">
        <v>0.12</v>
      </c>
    </row>
    <row r="15173">
      <c r="A15173" s="28" t="n">
        <v>40967</v>
      </c>
      <c r="B15173" t="n">
        <v>1.94</v>
      </c>
      <c r="C15173" t="n">
        <v>0.1</v>
      </c>
    </row>
    <row r="15174">
      <c r="A15174" s="28" t="n">
        <v>40968</v>
      </c>
      <c r="B15174" t="n">
        <v>1.98</v>
      </c>
      <c r="C15174" t="n">
        <v>0.08</v>
      </c>
    </row>
    <row r="15175">
      <c r="A15175" s="28" t="n">
        <v>40969</v>
      </c>
      <c r="B15175" t="n">
        <v>2.03</v>
      </c>
      <c r="C15175" t="n">
        <v>0.08</v>
      </c>
    </row>
    <row r="15176">
      <c r="A15176" s="28" t="n">
        <v>40970</v>
      </c>
      <c r="B15176" t="n">
        <v>1.99</v>
      </c>
      <c r="C15176" t="n">
        <v>0.07000000000000001</v>
      </c>
    </row>
    <row r="15177">
      <c r="A15177" s="28" t="n">
        <v>40973</v>
      </c>
      <c r="B15177" t="n">
        <v>2</v>
      </c>
      <c r="C15177" t="n">
        <v>0.08</v>
      </c>
    </row>
    <row r="15178">
      <c r="A15178" s="28" t="n">
        <v>40974</v>
      </c>
      <c r="B15178" t="n">
        <v>1.96</v>
      </c>
      <c r="C15178" t="n">
        <v>0.08</v>
      </c>
    </row>
    <row r="15179">
      <c r="A15179" s="28" t="n">
        <v>40975</v>
      </c>
      <c r="B15179" t="n">
        <v>1.98</v>
      </c>
      <c r="C15179" t="n">
        <v>0.08</v>
      </c>
    </row>
    <row r="15180">
      <c r="A15180" s="28" t="n">
        <v>40976</v>
      </c>
      <c r="B15180" t="n">
        <v>2.03</v>
      </c>
      <c r="C15180" t="n">
        <v>0.08</v>
      </c>
    </row>
    <row r="15181">
      <c r="A15181" s="28" t="n">
        <v>40977</v>
      </c>
      <c r="B15181" t="n">
        <v>2.04</v>
      </c>
      <c r="C15181" t="n">
        <v>0.09</v>
      </c>
    </row>
    <row r="15182">
      <c r="A15182" s="28" t="n">
        <v>40980</v>
      </c>
      <c r="B15182" t="n">
        <v>2.04</v>
      </c>
      <c r="C15182" t="n">
        <v>0.09</v>
      </c>
    </row>
    <row r="15183">
      <c r="A15183" s="28" t="n">
        <v>40981</v>
      </c>
      <c r="B15183" t="n">
        <v>2.14</v>
      </c>
      <c r="C15183" t="n">
        <v>0.08</v>
      </c>
    </row>
    <row r="15184">
      <c r="A15184" s="28" t="n">
        <v>40982</v>
      </c>
      <c r="B15184" t="n">
        <v>2.29</v>
      </c>
      <c r="C15184" t="n">
        <v>0.09</v>
      </c>
    </row>
    <row r="15185">
      <c r="A15185" s="28" t="n">
        <v>40983</v>
      </c>
      <c r="B15185" t="n">
        <v>2.29</v>
      </c>
      <c r="C15185" t="n">
        <v>0.08</v>
      </c>
    </row>
    <row r="15186">
      <c r="A15186" s="28" t="n">
        <v>40984</v>
      </c>
      <c r="B15186" t="n">
        <v>2.31</v>
      </c>
      <c r="C15186" t="n">
        <v>0.09</v>
      </c>
    </row>
    <row r="15187">
      <c r="A15187" s="28" t="n">
        <v>40987</v>
      </c>
      <c r="B15187" t="n">
        <v>2.39</v>
      </c>
      <c r="C15187" t="n">
        <v>0.1</v>
      </c>
    </row>
    <row r="15188">
      <c r="A15188" s="28" t="n">
        <v>40988</v>
      </c>
      <c r="B15188" t="n">
        <v>2.38</v>
      </c>
      <c r="C15188" t="n">
        <v>0.1</v>
      </c>
    </row>
    <row r="15189">
      <c r="A15189" s="28" t="n">
        <v>40989</v>
      </c>
      <c r="B15189" t="n">
        <v>2.31</v>
      </c>
      <c r="C15189" t="n">
        <v>0.09</v>
      </c>
    </row>
    <row r="15190">
      <c r="A15190" s="28" t="n">
        <v>40990</v>
      </c>
      <c r="B15190" t="n">
        <v>2.29</v>
      </c>
      <c r="C15190" t="n">
        <v>0.08</v>
      </c>
    </row>
    <row r="15191">
      <c r="A15191" s="28" t="n">
        <v>40991</v>
      </c>
      <c r="B15191" t="n">
        <v>2.25</v>
      </c>
      <c r="C15191" t="n">
        <v>0.08</v>
      </c>
    </row>
    <row r="15192">
      <c r="A15192" s="28" t="n">
        <v>40994</v>
      </c>
      <c r="B15192" t="n">
        <v>2.26</v>
      </c>
      <c r="C15192" t="n">
        <v>0.09</v>
      </c>
    </row>
    <row r="15193">
      <c r="A15193" s="28" t="n">
        <v>40995</v>
      </c>
      <c r="B15193" t="n">
        <v>2.2</v>
      </c>
      <c r="C15193" t="n">
        <v>0.09</v>
      </c>
    </row>
    <row r="15194">
      <c r="A15194" s="28" t="n">
        <v>40996</v>
      </c>
      <c r="B15194" t="n">
        <v>2.21</v>
      </c>
      <c r="C15194" t="n">
        <v>0.09</v>
      </c>
    </row>
    <row r="15195">
      <c r="A15195" s="28" t="n">
        <v>40997</v>
      </c>
      <c r="B15195" t="n">
        <v>2.18</v>
      </c>
      <c r="C15195" t="n">
        <v>0.07000000000000001</v>
      </c>
    </row>
    <row r="15196">
      <c r="A15196" s="28" t="n">
        <v>40998</v>
      </c>
      <c r="B15196" t="n">
        <v>2.23</v>
      </c>
      <c r="C15196" t="n">
        <v>0.07000000000000001</v>
      </c>
    </row>
    <row r="15197">
      <c r="A15197" s="28" t="n">
        <v>41001</v>
      </c>
      <c r="B15197" t="n">
        <v>2.22</v>
      </c>
      <c r="C15197" t="n">
        <v>0.08</v>
      </c>
    </row>
    <row r="15198">
      <c r="A15198" s="28" t="n">
        <v>41002</v>
      </c>
      <c r="B15198" t="n">
        <v>2.3</v>
      </c>
      <c r="C15198" t="n">
        <v>0.08</v>
      </c>
    </row>
    <row r="15199">
      <c r="A15199" s="28" t="n">
        <v>41003</v>
      </c>
      <c r="B15199" t="n">
        <v>2.25</v>
      </c>
      <c r="C15199" t="n">
        <v>0.08</v>
      </c>
    </row>
    <row r="15200">
      <c r="A15200" s="28" t="n">
        <v>41004</v>
      </c>
      <c r="B15200" t="n">
        <v>2.19</v>
      </c>
      <c r="C15200" t="n">
        <v>0.08</v>
      </c>
    </row>
    <row r="15201">
      <c r="A15201" s="28" t="n">
        <v>41005</v>
      </c>
      <c r="B15201" t="n">
        <v>2.07</v>
      </c>
      <c r="C15201" t="n">
        <v>0.07000000000000001</v>
      </c>
    </row>
    <row r="15202">
      <c r="A15202" s="28" t="n">
        <v>41008</v>
      </c>
      <c r="B15202" t="n">
        <v>2.06</v>
      </c>
      <c r="C15202" t="n">
        <v>0.09</v>
      </c>
    </row>
    <row r="15203">
      <c r="A15203" s="28" t="n">
        <v>41009</v>
      </c>
      <c r="B15203" t="n">
        <v>2.01</v>
      </c>
      <c r="C15203" t="n">
        <v>0.09</v>
      </c>
    </row>
    <row r="15204">
      <c r="A15204" s="28" t="n">
        <v>41010</v>
      </c>
      <c r="B15204" t="n">
        <v>2.05</v>
      </c>
      <c r="C15204" t="n">
        <v>0.09</v>
      </c>
    </row>
    <row r="15205">
      <c r="A15205" s="28" t="n">
        <v>41011</v>
      </c>
      <c r="B15205" t="n">
        <v>2.08</v>
      </c>
      <c r="C15205" t="n">
        <v>0.09</v>
      </c>
    </row>
    <row r="15206">
      <c r="A15206" s="28" t="n">
        <v>41012</v>
      </c>
      <c r="B15206" t="n">
        <v>2.02</v>
      </c>
      <c r="C15206" t="n">
        <v>0.09</v>
      </c>
    </row>
    <row r="15207">
      <c r="A15207" s="28" t="n">
        <v>41015</v>
      </c>
      <c r="B15207" t="n">
        <v>2</v>
      </c>
      <c r="C15207" t="n">
        <v>0.08</v>
      </c>
    </row>
    <row r="15208">
      <c r="A15208" s="28" t="n">
        <v>41016</v>
      </c>
      <c r="B15208" t="n">
        <v>2.03</v>
      </c>
      <c r="C15208" t="n">
        <v>0.08</v>
      </c>
    </row>
    <row r="15209">
      <c r="A15209" s="28" t="n">
        <v>41017</v>
      </c>
      <c r="B15209" t="n">
        <v>2</v>
      </c>
      <c r="C15209" t="n">
        <v>0.07000000000000001</v>
      </c>
    </row>
    <row r="15210">
      <c r="A15210" s="28" t="n">
        <v>41018</v>
      </c>
      <c r="B15210" t="n">
        <v>1.98</v>
      </c>
      <c r="C15210" t="n">
        <v>0.07000000000000001</v>
      </c>
    </row>
    <row r="15211">
      <c r="A15211" s="28" t="n">
        <v>41019</v>
      </c>
      <c r="B15211" t="n">
        <v>1.99</v>
      </c>
      <c r="C15211" t="n">
        <v>0.08</v>
      </c>
    </row>
    <row r="15212">
      <c r="A15212" s="28" t="n">
        <v>41022</v>
      </c>
      <c r="B15212" t="n">
        <v>1.96</v>
      </c>
      <c r="C15212" t="n">
        <v>0.08</v>
      </c>
    </row>
    <row r="15213">
      <c r="A15213" s="28" t="n">
        <v>41023</v>
      </c>
      <c r="B15213" t="n">
        <v>2</v>
      </c>
      <c r="C15213" t="n">
        <v>0.09</v>
      </c>
    </row>
    <row r="15214">
      <c r="A15214" s="28" t="n">
        <v>41024</v>
      </c>
      <c r="B15214" t="n">
        <v>2.01</v>
      </c>
      <c r="C15214" t="n">
        <v>0.09</v>
      </c>
    </row>
    <row r="15215">
      <c r="A15215" s="28" t="n">
        <v>41025</v>
      </c>
      <c r="B15215" t="n">
        <v>1.98</v>
      </c>
      <c r="C15215" t="n">
        <v>0.09</v>
      </c>
    </row>
    <row r="15216">
      <c r="A15216" s="28" t="n">
        <v>41026</v>
      </c>
      <c r="B15216" t="n">
        <v>1.96</v>
      </c>
      <c r="C15216" t="n">
        <v>0.09</v>
      </c>
    </row>
    <row r="15217">
      <c r="A15217" s="28" t="n">
        <v>41029</v>
      </c>
      <c r="B15217" t="n">
        <v>1.95</v>
      </c>
      <c r="C15217" t="n">
        <v>0.1</v>
      </c>
    </row>
    <row r="15218">
      <c r="A15218" s="28" t="n">
        <v>41030</v>
      </c>
      <c r="B15218" t="n">
        <v>1.98</v>
      </c>
      <c r="C15218" t="n">
        <v>0.09</v>
      </c>
    </row>
    <row r="15219">
      <c r="A15219" s="28" t="n">
        <v>41031</v>
      </c>
      <c r="B15219" t="n">
        <v>1.96</v>
      </c>
      <c r="C15219" t="n">
        <v>0.08</v>
      </c>
    </row>
    <row r="15220">
      <c r="A15220" s="28" t="n">
        <v>41032</v>
      </c>
      <c r="B15220" t="n">
        <v>1.96</v>
      </c>
      <c r="C15220" t="n">
        <v>0.09</v>
      </c>
    </row>
    <row r="15221">
      <c r="A15221" s="28" t="n">
        <v>41033</v>
      </c>
      <c r="B15221" t="n">
        <v>1.91</v>
      </c>
      <c r="C15221" t="n">
        <v>0.07000000000000001</v>
      </c>
    </row>
    <row r="15222">
      <c r="A15222" s="28" t="n">
        <v>41036</v>
      </c>
      <c r="B15222" t="n">
        <v>1.92</v>
      </c>
      <c r="C15222" t="n">
        <v>0.1</v>
      </c>
    </row>
    <row r="15223">
      <c r="A15223" s="28" t="n">
        <v>41037</v>
      </c>
      <c r="B15223" t="n">
        <v>1.88</v>
      </c>
      <c r="C15223" t="n">
        <v>0.09</v>
      </c>
    </row>
    <row r="15224">
      <c r="A15224" s="28" t="n">
        <v>41038</v>
      </c>
      <c r="B15224" t="n">
        <v>1.87</v>
      </c>
      <c r="C15224" t="n">
        <v>0.09</v>
      </c>
    </row>
    <row r="15225">
      <c r="A15225" s="28" t="n">
        <v>41039</v>
      </c>
      <c r="B15225" t="n">
        <v>1.89</v>
      </c>
      <c r="C15225" t="n">
        <v>0.1</v>
      </c>
    </row>
    <row r="15226">
      <c r="A15226" s="28" t="n">
        <v>41040</v>
      </c>
      <c r="B15226" t="n">
        <v>1.84</v>
      </c>
      <c r="C15226" t="n">
        <v>0.1</v>
      </c>
    </row>
    <row r="15227">
      <c r="A15227" s="28" t="n">
        <v>41043</v>
      </c>
      <c r="B15227" t="n">
        <v>1.78</v>
      </c>
      <c r="C15227" t="n">
        <v>0.1</v>
      </c>
    </row>
    <row r="15228">
      <c r="A15228" s="28" t="n">
        <v>41044</v>
      </c>
      <c r="B15228" t="n">
        <v>1.76</v>
      </c>
      <c r="C15228" t="n">
        <v>0.09</v>
      </c>
    </row>
    <row r="15229">
      <c r="A15229" s="28" t="n">
        <v>41045</v>
      </c>
      <c r="B15229" t="n">
        <v>1.76</v>
      </c>
      <c r="C15229" t="n">
        <v>0.1</v>
      </c>
    </row>
    <row r="15230">
      <c r="A15230" s="28" t="n">
        <v>41046</v>
      </c>
      <c r="B15230" t="n">
        <v>1.7</v>
      </c>
      <c r="C15230" t="n">
        <v>0.1</v>
      </c>
    </row>
    <row r="15231">
      <c r="A15231" s="28" t="n">
        <v>41047</v>
      </c>
      <c r="B15231" t="n">
        <v>1.71</v>
      </c>
      <c r="C15231" t="n">
        <v>0.08</v>
      </c>
    </row>
    <row r="15232">
      <c r="A15232" s="28" t="n">
        <v>41050</v>
      </c>
      <c r="B15232" t="n">
        <v>1.75</v>
      </c>
      <c r="C15232" t="n">
        <v>0.09</v>
      </c>
    </row>
    <row r="15233">
      <c r="A15233" s="28" t="n">
        <v>41051</v>
      </c>
      <c r="B15233" t="n">
        <v>1.79</v>
      </c>
      <c r="C15233" t="n">
        <v>0.09</v>
      </c>
    </row>
    <row r="15234">
      <c r="A15234" s="28" t="n">
        <v>41052</v>
      </c>
      <c r="B15234" t="n">
        <v>1.73</v>
      </c>
      <c r="C15234" t="n">
        <v>0.09</v>
      </c>
    </row>
    <row r="15235">
      <c r="A15235" s="28" t="n">
        <v>41053</v>
      </c>
      <c r="B15235" t="n">
        <v>1.77</v>
      </c>
      <c r="C15235" t="n">
        <v>0.1</v>
      </c>
    </row>
    <row r="15236">
      <c r="A15236" s="28" t="n">
        <v>41054</v>
      </c>
      <c r="B15236" t="n">
        <v>1.75</v>
      </c>
      <c r="C15236" t="n">
        <v>0.09</v>
      </c>
    </row>
    <row r="15237">
      <c r="A15237" s="28" t="n">
        <v>41057</v>
      </c>
      <c r="B15237" t="n">
        <v>0</v>
      </c>
      <c r="C15237" t="n">
        <v>0</v>
      </c>
    </row>
    <row r="15238">
      <c r="A15238" s="28" t="n">
        <v>41058</v>
      </c>
      <c r="B15238" t="n">
        <v>1.74</v>
      </c>
      <c r="C15238" t="n">
        <v>0.09</v>
      </c>
    </row>
    <row r="15239">
      <c r="A15239" s="28" t="n">
        <v>41059</v>
      </c>
      <c r="B15239" t="n">
        <v>1.63</v>
      </c>
      <c r="C15239" t="n">
        <v>0.07000000000000001</v>
      </c>
    </row>
    <row r="15240">
      <c r="A15240" s="28" t="n">
        <v>41060</v>
      </c>
      <c r="B15240" t="n">
        <v>1.59</v>
      </c>
      <c r="C15240" t="n">
        <v>0.07000000000000001</v>
      </c>
    </row>
    <row r="15241">
      <c r="A15241" s="28" t="n">
        <v>41061</v>
      </c>
      <c r="B15241" t="n">
        <v>1.47</v>
      </c>
      <c r="C15241" t="n">
        <v>0.07000000000000001</v>
      </c>
    </row>
    <row r="15242">
      <c r="A15242" s="28" t="n">
        <v>41064</v>
      </c>
      <c r="B15242" t="n">
        <v>1.53</v>
      </c>
      <c r="C15242" t="n">
        <v>0.08</v>
      </c>
    </row>
    <row r="15243">
      <c r="A15243" s="28" t="n">
        <v>41065</v>
      </c>
      <c r="B15243" t="n">
        <v>1.57</v>
      </c>
      <c r="C15243" t="n">
        <v>0.08</v>
      </c>
    </row>
    <row r="15244">
      <c r="A15244" s="28" t="n">
        <v>41066</v>
      </c>
      <c r="B15244" t="n">
        <v>1.66</v>
      </c>
      <c r="C15244" t="n">
        <v>0.09</v>
      </c>
    </row>
    <row r="15245">
      <c r="A15245" s="28" t="n">
        <v>41067</v>
      </c>
      <c r="B15245" t="n">
        <v>1.66</v>
      </c>
      <c r="C15245" t="n">
        <v>0.09</v>
      </c>
    </row>
    <row r="15246">
      <c r="A15246" s="28" t="n">
        <v>41068</v>
      </c>
      <c r="B15246" t="n">
        <v>1.65</v>
      </c>
      <c r="C15246" t="n">
        <v>0.09</v>
      </c>
    </row>
    <row r="15247">
      <c r="A15247" s="28" t="n">
        <v>41071</v>
      </c>
      <c r="B15247" t="n">
        <v>1.6</v>
      </c>
      <c r="C15247" t="n">
        <v>0.09</v>
      </c>
    </row>
    <row r="15248">
      <c r="A15248" s="28" t="n">
        <v>41072</v>
      </c>
      <c r="B15248" t="n">
        <v>1.67</v>
      </c>
      <c r="C15248" t="n">
        <v>0.1</v>
      </c>
    </row>
    <row r="15249">
      <c r="A15249" s="28" t="n">
        <v>41073</v>
      </c>
      <c r="B15249" t="n">
        <v>1.61</v>
      </c>
      <c r="C15249" t="n">
        <v>0.1</v>
      </c>
    </row>
    <row r="15250">
      <c r="A15250" s="28" t="n">
        <v>41074</v>
      </c>
      <c r="B15250" t="n">
        <v>1.64</v>
      </c>
      <c r="C15250" t="n">
        <v>0.11</v>
      </c>
    </row>
    <row r="15251">
      <c r="A15251" s="28" t="n">
        <v>41075</v>
      </c>
      <c r="B15251" t="n">
        <v>1.6</v>
      </c>
      <c r="C15251" t="n">
        <v>0.09</v>
      </c>
    </row>
    <row r="15252">
      <c r="A15252" s="28" t="n">
        <v>41078</v>
      </c>
      <c r="B15252" t="n">
        <v>1.59</v>
      </c>
      <c r="C15252" t="n">
        <v>0.1</v>
      </c>
    </row>
    <row r="15253">
      <c r="A15253" s="28" t="n">
        <v>41079</v>
      </c>
      <c r="B15253" t="n">
        <v>1.64</v>
      </c>
      <c r="C15253" t="n">
        <v>0.09</v>
      </c>
    </row>
    <row r="15254">
      <c r="A15254" s="28" t="n">
        <v>41080</v>
      </c>
      <c r="B15254" t="n">
        <v>1.65</v>
      </c>
      <c r="C15254" t="n">
        <v>0.09</v>
      </c>
    </row>
    <row r="15255">
      <c r="A15255" s="28" t="n">
        <v>41081</v>
      </c>
      <c r="B15255" t="n">
        <v>1.63</v>
      </c>
      <c r="C15255" t="n">
        <v>0.09</v>
      </c>
    </row>
    <row r="15256">
      <c r="A15256" s="28" t="n">
        <v>41082</v>
      </c>
      <c r="B15256" t="n">
        <v>1.69</v>
      </c>
      <c r="C15256" t="n">
        <v>0.09</v>
      </c>
    </row>
    <row r="15257">
      <c r="A15257" s="28" t="n">
        <v>41085</v>
      </c>
      <c r="B15257" t="n">
        <v>1.63</v>
      </c>
      <c r="C15257" t="n">
        <v>0.1</v>
      </c>
    </row>
    <row r="15258">
      <c r="A15258" s="28" t="n">
        <v>41086</v>
      </c>
      <c r="B15258" t="n">
        <v>1.66</v>
      </c>
      <c r="C15258" t="n">
        <v>0.1</v>
      </c>
    </row>
    <row r="15259">
      <c r="A15259" s="28" t="n">
        <v>41087</v>
      </c>
      <c r="B15259" t="n">
        <v>1.65</v>
      </c>
      <c r="C15259" t="n">
        <v>0.09</v>
      </c>
    </row>
    <row r="15260">
      <c r="A15260" s="28" t="n">
        <v>41088</v>
      </c>
      <c r="B15260" t="n">
        <v>1.6</v>
      </c>
      <c r="C15260" t="n">
        <v>0.09</v>
      </c>
    </row>
    <row r="15261">
      <c r="A15261" s="28" t="n">
        <v>41089</v>
      </c>
      <c r="B15261" t="n">
        <v>1.67</v>
      </c>
      <c r="C15261" t="n">
        <v>0.09</v>
      </c>
    </row>
    <row r="15262">
      <c r="A15262" s="28" t="n">
        <v>41092</v>
      </c>
      <c r="B15262" t="n">
        <v>1.61</v>
      </c>
      <c r="C15262" t="n">
        <v>0.1</v>
      </c>
    </row>
    <row r="15263">
      <c r="A15263" s="28" t="n">
        <v>41093</v>
      </c>
      <c r="B15263" t="n">
        <v>1.65</v>
      </c>
      <c r="C15263" t="n">
        <v>0.09</v>
      </c>
    </row>
    <row r="15264">
      <c r="A15264" s="28" t="n">
        <v>41094</v>
      </c>
      <c r="B15264" t="n">
        <v>0</v>
      </c>
      <c r="C15264" t="n">
        <v>0</v>
      </c>
    </row>
    <row r="15265">
      <c r="A15265" s="28" t="n">
        <v>41095</v>
      </c>
      <c r="B15265" t="n">
        <v>1.62</v>
      </c>
      <c r="C15265" t="n">
        <v>0.08</v>
      </c>
    </row>
    <row r="15266">
      <c r="A15266" s="28" t="n">
        <v>41096</v>
      </c>
      <c r="B15266" t="n">
        <v>1.57</v>
      </c>
      <c r="C15266" t="n">
        <v>0.08</v>
      </c>
    </row>
    <row r="15267">
      <c r="A15267" s="28" t="n">
        <v>41099</v>
      </c>
      <c r="B15267" t="n">
        <v>1.53</v>
      </c>
      <c r="C15267" t="n">
        <v>0.09</v>
      </c>
    </row>
    <row r="15268">
      <c r="A15268" s="28" t="n">
        <v>41100</v>
      </c>
      <c r="B15268" t="n">
        <v>1.53</v>
      </c>
      <c r="C15268" t="n">
        <v>0.09</v>
      </c>
    </row>
    <row r="15269">
      <c r="A15269" s="28" t="n">
        <v>41101</v>
      </c>
      <c r="B15269" t="n">
        <v>1.54</v>
      </c>
      <c r="C15269" t="n">
        <v>0.1</v>
      </c>
    </row>
    <row r="15270">
      <c r="A15270" s="28" t="n">
        <v>41102</v>
      </c>
      <c r="B15270" t="n">
        <v>1.5</v>
      </c>
      <c r="C15270" t="n">
        <v>0.1</v>
      </c>
    </row>
    <row r="15271">
      <c r="A15271" s="28" t="n">
        <v>41103</v>
      </c>
      <c r="B15271" t="n">
        <v>1.52</v>
      </c>
      <c r="C15271" t="n">
        <v>0.1</v>
      </c>
    </row>
    <row r="15272">
      <c r="A15272" s="28" t="n">
        <v>41106</v>
      </c>
      <c r="B15272" t="n">
        <v>1.5</v>
      </c>
      <c r="C15272" t="n">
        <v>0.1</v>
      </c>
    </row>
    <row r="15273">
      <c r="A15273" s="28" t="n">
        <v>41107</v>
      </c>
      <c r="B15273" t="n">
        <v>1.53</v>
      </c>
      <c r="C15273" t="n">
        <v>0.1</v>
      </c>
    </row>
    <row r="15274">
      <c r="A15274" s="28" t="n">
        <v>41108</v>
      </c>
      <c r="B15274" t="n">
        <v>1.52</v>
      </c>
      <c r="C15274" t="n">
        <v>0.09</v>
      </c>
    </row>
    <row r="15275">
      <c r="A15275" s="28" t="n">
        <v>41109</v>
      </c>
      <c r="B15275" t="n">
        <v>1.54</v>
      </c>
      <c r="C15275" t="n">
        <v>0.09</v>
      </c>
    </row>
    <row r="15276">
      <c r="A15276" s="28" t="n">
        <v>41110</v>
      </c>
      <c r="B15276" t="n">
        <v>1.49</v>
      </c>
      <c r="C15276" t="n">
        <v>0.09</v>
      </c>
    </row>
    <row r="15277">
      <c r="A15277" s="28" t="n">
        <v>41113</v>
      </c>
      <c r="B15277" t="n">
        <v>1.47</v>
      </c>
      <c r="C15277" t="n">
        <v>0.1</v>
      </c>
    </row>
    <row r="15278">
      <c r="A15278" s="28" t="n">
        <v>41114</v>
      </c>
      <c r="B15278" t="n">
        <v>1.44</v>
      </c>
      <c r="C15278" t="n">
        <v>0.1</v>
      </c>
    </row>
    <row r="15279">
      <c r="A15279" s="28" t="n">
        <v>41115</v>
      </c>
      <c r="B15279" t="n">
        <v>1.43</v>
      </c>
      <c r="C15279" t="n">
        <v>0.1</v>
      </c>
    </row>
    <row r="15280">
      <c r="A15280" s="28" t="n">
        <v>41116</v>
      </c>
      <c r="B15280" t="n">
        <v>1.45</v>
      </c>
      <c r="C15280" t="n">
        <v>0.11</v>
      </c>
    </row>
    <row r="15281">
      <c r="A15281" s="28" t="n">
        <v>41117</v>
      </c>
      <c r="B15281" t="n">
        <v>1.58</v>
      </c>
      <c r="C15281" t="n">
        <v>0.11</v>
      </c>
    </row>
    <row r="15282">
      <c r="A15282" s="28" t="n">
        <v>41120</v>
      </c>
      <c r="B15282" t="n">
        <v>1.53</v>
      </c>
      <c r="C15282" t="n">
        <v>0.11</v>
      </c>
    </row>
    <row r="15283">
      <c r="A15283" s="28" t="n">
        <v>41121</v>
      </c>
      <c r="B15283" t="n">
        <v>1.51</v>
      </c>
      <c r="C15283" t="n">
        <v>0.11</v>
      </c>
    </row>
    <row r="15284">
      <c r="A15284" s="28" t="n">
        <v>41122</v>
      </c>
      <c r="B15284" t="n">
        <v>1.56</v>
      </c>
      <c r="C15284" t="n">
        <v>0.1</v>
      </c>
    </row>
    <row r="15285">
      <c r="A15285" s="28" t="n">
        <v>41123</v>
      </c>
      <c r="B15285" t="n">
        <v>1.51</v>
      </c>
      <c r="C15285" t="n">
        <v>0.09</v>
      </c>
    </row>
    <row r="15286">
      <c r="A15286" s="28" t="n">
        <v>41124</v>
      </c>
      <c r="B15286" t="n">
        <v>1.6</v>
      </c>
      <c r="C15286" t="n">
        <v>0.09</v>
      </c>
    </row>
    <row r="15287">
      <c r="A15287" s="28" t="n">
        <v>41127</v>
      </c>
      <c r="B15287" t="n">
        <v>1.59</v>
      </c>
      <c r="C15287" t="n">
        <v>0.1</v>
      </c>
    </row>
    <row r="15288">
      <c r="A15288" s="28" t="n">
        <v>41128</v>
      </c>
      <c r="B15288" t="n">
        <v>1.66</v>
      </c>
      <c r="C15288" t="n">
        <v>0.11</v>
      </c>
    </row>
    <row r="15289">
      <c r="A15289" s="28" t="n">
        <v>41129</v>
      </c>
      <c r="B15289" t="n">
        <v>1.68</v>
      </c>
      <c r="C15289" t="n">
        <v>0.11</v>
      </c>
    </row>
    <row r="15290">
      <c r="A15290" s="28" t="n">
        <v>41130</v>
      </c>
      <c r="B15290" t="n">
        <v>1.69</v>
      </c>
      <c r="C15290" t="n">
        <v>0.11</v>
      </c>
    </row>
    <row r="15291">
      <c r="A15291" s="28" t="n">
        <v>41131</v>
      </c>
      <c r="B15291" t="n">
        <v>1.65</v>
      </c>
      <c r="C15291" t="n">
        <v>0.1</v>
      </c>
    </row>
    <row r="15292">
      <c r="A15292" s="28" t="n">
        <v>41134</v>
      </c>
      <c r="B15292" t="n">
        <v>1.65</v>
      </c>
      <c r="C15292" t="n">
        <v>0.11</v>
      </c>
    </row>
    <row r="15293">
      <c r="A15293" s="28" t="n">
        <v>41135</v>
      </c>
      <c r="B15293" t="n">
        <v>1.73</v>
      </c>
      <c r="C15293" t="n">
        <v>0.11</v>
      </c>
    </row>
    <row r="15294">
      <c r="A15294" s="28" t="n">
        <v>41136</v>
      </c>
      <c r="B15294" t="n">
        <v>1.8</v>
      </c>
      <c r="C15294" t="n">
        <v>0.09</v>
      </c>
    </row>
    <row r="15295">
      <c r="A15295" s="28" t="n">
        <v>41137</v>
      </c>
      <c r="B15295" t="n">
        <v>1.83</v>
      </c>
      <c r="C15295" t="n">
        <v>0.09</v>
      </c>
    </row>
    <row r="15296">
      <c r="A15296" s="28" t="n">
        <v>41138</v>
      </c>
      <c r="B15296" t="n">
        <v>1.81</v>
      </c>
      <c r="C15296" t="n">
        <v>0.09</v>
      </c>
    </row>
    <row r="15297">
      <c r="A15297" s="28" t="n">
        <v>41141</v>
      </c>
      <c r="B15297" t="n">
        <v>1.82</v>
      </c>
      <c r="C15297" t="n">
        <v>0.11</v>
      </c>
    </row>
    <row r="15298">
      <c r="A15298" s="28" t="n">
        <v>41142</v>
      </c>
      <c r="B15298" t="n">
        <v>1.8</v>
      </c>
      <c r="C15298" t="n">
        <v>0.11</v>
      </c>
    </row>
    <row r="15299">
      <c r="A15299" s="28" t="n">
        <v>41143</v>
      </c>
      <c r="B15299" t="n">
        <v>1.71</v>
      </c>
      <c r="C15299" t="n">
        <v>0.11</v>
      </c>
    </row>
    <row r="15300">
      <c r="A15300" s="28" t="n">
        <v>41144</v>
      </c>
      <c r="B15300" t="n">
        <v>1.68</v>
      </c>
      <c r="C15300" t="n">
        <v>0.11</v>
      </c>
    </row>
    <row r="15301">
      <c r="A15301" s="28" t="n">
        <v>41145</v>
      </c>
      <c r="B15301" t="n">
        <v>1.68</v>
      </c>
      <c r="C15301" t="n">
        <v>0.1</v>
      </c>
    </row>
    <row r="15302">
      <c r="A15302" s="28" t="n">
        <v>41148</v>
      </c>
      <c r="B15302" t="n">
        <v>1.65</v>
      </c>
      <c r="C15302" t="n">
        <v>0.11</v>
      </c>
    </row>
    <row r="15303">
      <c r="A15303" s="28" t="n">
        <v>41149</v>
      </c>
      <c r="B15303" t="n">
        <v>1.64</v>
      </c>
      <c r="C15303" t="n">
        <v>0.1</v>
      </c>
    </row>
    <row r="15304">
      <c r="A15304" s="28" t="n">
        <v>41150</v>
      </c>
      <c r="B15304" t="n">
        <v>1.66</v>
      </c>
      <c r="C15304" t="n">
        <v>0.12</v>
      </c>
    </row>
    <row r="15305">
      <c r="A15305" s="28" t="n">
        <v>41151</v>
      </c>
      <c r="B15305" t="n">
        <v>1.63</v>
      </c>
      <c r="C15305" t="n">
        <v>0.1</v>
      </c>
    </row>
    <row r="15306">
      <c r="A15306" s="28" t="n">
        <v>41152</v>
      </c>
      <c r="B15306" t="n">
        <v>1.57</v>
      </c>
      <c r="C15306" t="n">
        <v>0.09</v>
      </c>
    </row>
    <row r="15307">
      <c r="A15307" s="28" t="n">
        <v>41155</v>
      </c>
      <c r="B15307" t="n">
        <v>0</v>
      </c>
      <c r="C15307" t="n">
        <v>0</v>
      </c>
    </row>
    <row r="15308">
      <c r="A15308" s="28" t="n">
        <v>41156</v>
      </c>
      <c r="B15308" t="n">
        <v>1.59</v>
      </c>
      <c r="C15308" t="n">
        <v>0.1</v>
      </c>
    </row>
    <row r="15309">
      <c r="A15309" s="28" t="n">
        <v>41157</v>
      </c>
      <c r="B15309" t="n">
        <v>1.6</v>
      </c>
      <c r="C15309" t="n">
        <v>0.11</v>
      </c>
    </row>
    <row r="15310">
      <c r="A15310" s="28" t="n">
        <v>41158</v>
      </c>
      <c r="B15310" t="n">
        <v>1.68</v>
      </c>
      <c r="C15310" t="n">
        <v>0.11</v>
      </c>
    </row>
    <row r="15311">
      <c r="A15311" s="28" t="n">
        <v>41159</v>
      </c>
      <c r="B15311" t="n">
        <v>1.67</v>
      </c>
      <c r="C15311" t="n">
        <v>0.11</v>
      </c>
    </row>
    <row r="15312">
      <c r="A15312" s="28" t="n">
        <v>41162</v>
      </c>
      <c r="B15312" t="n">
        <v>1.68</v>
      </c>
      <c r="C15312" t="n">
        <v>0.1</v>
      </c>
    </row>
    <row r="15313">
      <c r="A15313" s="28" t="n">
        <v>41163</v>
      </c>
      <c r="B15313" t="n">
        <v>1.7</v>
      </c>
      <c r="C15313" t="n">
        <v>0.1</v>
      </c>
    </row>
    <row r="15314">
      <c r="A15314" s="28" t="n">
        <v>41164</v>
      </c>
      <c r="B15314" t="n">
        <v>1.77</v>
      </c>
      <c r="C15314" t="n">
        <v>0.1</v>
      </c>
    </row>
    <row r="15315">
      <c r="A15315" s="28" t="n">
        <v>41165</v>
      </c>
      <c r="B15315" t="n">
        <v>1.75</v>
      </c>
      <c r="C15315" t="n">
        <v>0.1</v>
      </c>
    </row>
    <row r="15316">
      <c r="A15316" s="28" t="n">
        <v>41166</v>
      </c>
      <c r="B15316" t="n">
        <v>1.88</v>
      </c>
      <c r="C15316" t="n">
        <v>0.11</v>
      </c>
    </row>
    <row r="15317">
      <c r="A15317" s="28" t="n">
        <v>41169</v>
      </c>
      <c r="B15317" t="n">
        <v>1.85</v>
      </c>
      <c r="C15317" t="n">
        <v>0.11</v>
      </c>
    </row>
    <row r="15318">
      <c r="A15318" s="28" t="n">
        <v>41170</v>
      </c>
      <c r="B15318" t="n">
        <v>1.82</v>
      </c>
      <c r="C15318" t="n">
        <v>0.1</v>
      </c>
    </row>
    <row r="15319">
      <c r="A15319" s="28" t="n">
        <v>41171</v>
      </c>
      <c r="B15319" t="n">
        <v>1.79</v>
      </c>
      <c r="C15319" t="n">
        <v>0.11</v>
      </c>
    </row>
    <row r="15320">
      <c r="A15320" s="28" t="n">
        <v>41172</v>
      </c>
      <c r="B15320" t="n">
        <v>1.8</v>
      </c>
      <c r="C15320" t="n">
        <v>0.11</v>
      </c>
    </row>
    <row r="15321">
      <c r="A15321" s="28" t="n">
        <v>41173</v>
      </c>
      <c r="B15321" t="n">
        <v>1.77</v>
      </c>
      <c r="C15321" t="n">
        <v>0.11</v>
      </c>
    </row>
    <row r="15322">
      <c r="A15322" s="28" t="n">
        <v>41176</v>
      </c>
      <c r="B15322" t="n">
        <v>1.74</v>
      </c>
      <c r="C15322" t="n">
        <v>0.11</v>
      </c>
    </row>
    <row r="15323">
      <c r="A15323" s="28" t="n">
        <v>41177</v>
      </c>
      <c r="B15323" t="n">
        <v>1.7</v>
      </c>
      <c r="C15323" t="n">
        <v>0.11</v>
      </c>
    </row>
    <row r="15324">
      <c r="A15324" s="28" t="n">
        <v>41178</v>
      </c>
      <c r="B15324" t="n">
        <v>1.64</v>
      </c>
      <c r="C15324" t="n">
        <v>0.11</v>
      </c>
    </row>
    <row r="15325">
      <c r="A15325" s="28" t="n">
        <v>41179</v>
      </c>
      <c r="B15325" t="n">
        <v>1.66</v>
      </c>
      <c r="C15325" t="n">
        <v>0.09</v>
      </c>
    </row>
    <row r="15326">
      <c r="A15326" s="28" t="n">
        <v>41180</v>
      </c>
      <c r="B15326" t="n">
        <v>1.65</v>
      </c>
      <c r="C15326" t="n">
        <v>0.1</v>
      </c>
    </row>
    <row r="15327">
      <c r="A15327" s="28" t="n">
        <v>41183</v>
      </c>
      <c r="B15327" t="n">
        <v>1.64</v>
      </c>
      <c r="C15327" t="n">
        <v>0.09</v>
      </c>
    </row>
    <row r="15328">
      <c r="A15328" s="28" t="n">
        <v>41184</v>
      </c>
      <c r="B15328" t="n">
        <v>1.64</v>
      </c>
      <c r="C15328" t="n">
        <v>0.09</v>
      </c>
    </row>
    <row r="15329">
      <c r="A15329" s="28" t="n">
        <v>41185</v>
      </c>
      <c r="B15329" t="n">
        <v>1.64</v>
      </c>
      <c r="C15329" t="n">
        <v>0.09</v>
      </c>
    </row>
    <row r="15330">
      <c r="A15330" s="28" t="n">
        <v>41186</v>
      </c>
      <c r="B15330" t="n">
        <v>1.7</v>
      </c>
      <c r="C15330" t="n">
        <v>0.1</v>
      </c>
    </row>
    <row r="15331">
      <c r="A15331" s="28" t="n">
        <v>41187</v>
      </c>
      <c r="B15331" t="n">
        <v>1.75</v>
      </c>
      <c r="C15331" t="n">
        <v>0.11</v>
      </c>
    </row>
    <row r="15332">
      <c r="A15332" s="28" t="n">
        <v>41190</v>
      </c>
      <c r="B15332" t="n">
        <v>0</v>
      </c>
      <c r="C15332" t="n">
        <v>0</v>
      </c>
    </row>
    <row r="15333">
      <c r="A15333" s="28" t="n">
        <v>41191</v>
      </c>
      <c r="B15333" t="n">
        <v>1.74</v>
      </c>
      <c r="C15333" t="n">
        <v>0.1</v>
      </c>
    </row>
    <row r="15334">
      <c r="A15334" s="28" t="n">
        <v>41192</v>
      </c>
      <c r="B15334" t="n">
        <v>1.72</v>
      </c>
      <c r="C15334" t="n">
        <v>0.1</v>
      </c>
    </row>
    <row r="15335">
      <c r="A15335" s="28" t="n">
        <v>41193</v>
      </c>
      <c r="B15335" t="n">
        <v>1.7</v>
      </c>
      <c r="C15335" t="n">
        <v>0.1</v>
      </c>
    </row>
    <row r="15336">
      <c r="A15336" s="28" t="n">
        <v>41194</v>
      </c>
      <c r="B15336" t="n">
        <v>1.69</v>
      </c>
      <c r="C15336" t="n">
        <v>0.11</v>
      </c>
    </row>
    <row r="15337">
      <c r="A15337" s="28" t="n">
        <v>41197</v>
      </c>
      <c r="B15337" t="n">
        <v>1.7</v>
      </c>
      <c r="C15337" t="n">
        <v>0.11</v>
      </c>
    </row>
    <row r="15338">
      <c r="A15338" s="28" t="n">
        <v>41198</v>
      </c>
      <c r="B15338" t="n">
        <v>1.75</v>
      </c>
      <c r="C15338" t="n">
        <v>0.09</v>
      </c>
    </row>
    <row r="15339">
      <c r="A15339" s="28" t="n">
        <v>41199</v>
      </c>
      <c r="B15339" t="n">
        <v>1.83</v>
      </c>
      <c r="C15339" t="n">
        <v>0.11</v>
      </c>
    </row>
    <row r="15340">
      <c r="A15340" s="28" t="n">
        <v>41200</v>
      </c>
      <c r="B15340" t="n">
        <v>1.86</v>
      </c>
      <c r="C15340" t="n">
        <v>0.1</v>
      </c>
    </row>
    <row r="15341">
      <c r="A15341" s="28" t="n">
        <v>41201</v>
      </c>
      <c r="B15341" t="n">
        <v>1.79</v>
      </c>
      <c r="C15341" t="n">
        <v>0.1</v>
      </c>
    </row>
    <row r="15342">
      <c r="A15342" s="28" t="n">
        <v>41204</v>
      </c>
      <c r="B15342" t="n">
        <v>1.83</v>
      </c>
      <c r="C15342" t="n">
        <v>0.1</v>
      </c>
    </row>
    <row r="15343">
      <c r="A15343" s="28" t="n">
        <v>41205</v>
      </c>
      <c r="B15343" t="n">
        <v>1.79</v>
      </c>
      <c r="C15343" t="n">
        <v>0.11</v>
      </c>
    </row>
    <row r="15344">
      <c r="A15344" s="28" t="n">
        <v>41206</v>
      </c>
      <c r="B15344" t="n">
        <v>1.8</v>
      </c>
      <c r="C15344" t="n">
        <v>0.11</v>
      </c>
    </row>
    <row r="15345">
      <c r="A15345" s="28" t="n">
        <v>41207</v>
      </c>
      <c r="B15345" t="n">
        <v>1.86</v>
      </c>
      <c r="C15345" t="n">
        <v>0.11</v>
      </c>
    </row>
    <row r="15346">
      <c r="A15346" s="28" t="n">
        <v>41208</v>
      </c>
      <c r="B15346" t="n">
        <v>1.78</v>
      </c>
      <c r="C15346" t="n">
        <v>0.12</v>
      </c>
    </row>
    <row r="15347">
      <c r="A15347" s="28" t="n">
        <v>41211</v>
      </c>
      <c r="B15347" t="n">
        <v>1.74</v>
      </c>
      <c r="C15347" t="n">
        <v>0.14</v>
      </c>
    </row>
    <row r="15348">
      <c r="A15348" s="28" t="n">
        <v>41212</v>
      </c>
      <c r="B15348" t="n">
        <v>0</v>
      </c>
      <c r="C15348" t="n">
        <v>0</v>
      </c>
    </row>
    <row r="15349">
      <c r="A15349" s="28" t="n">
        <v>41213</v>
      </c>
      <c r="B15349" t="n">
        <v>1.72</v>
      </c>
      <c r="C15349" t="n">
        <v>0.11</v>
      </c>
    </row>
    <row r="15350">
      <c r="A15350" s="28" t="n">
        <v>41214</v>
      </c>
      <c r="B15350" t="n">
        <v>1.75</v>
      </c>
      <c r="C15350" t="n">
        <v>0.09</v>
      </c>
    </row>
    <row r="15351">
      <c r="A15351" s="28" t="n">
        <v>41215</v>
      </c>
      <c r="B15351" t="n">
        <v>1.75</v>
      </c>
      <c r="C15351" t="n">
        <v>0.09</v>
      </c>
    </row>
    <row r="15352">
      <c r="A15352" s="28" t="n">
        <v>41218</v>
      </c>
      <c r="B15352" t="n">
        <v>1.72</v>
      </c>
      <c r="C15352" t="n">
        <v>0.11</v>
      </c>
    </row>
    <row r="15353">
      <c r="A15353" s="28" t="n">
        <v>41219</v>
      </c>
      <c r="B15353" t="n">
        <v>1.78</v>
      </c>
      <c r="C15353" t="n">
        <v>0.1</v>
      </c>
    </row>
    <row r="15354">
      <c r="A15354" s="28" t="n">
        <v>41220</v>
      </c>
      <c r="B15354" t="n">
        <v>1.68</v>
      </c>
      <c r="C15354" t="n">
        <v>0.1</v>
      </c>
    </row>
    <row r="15355">
      <c r="A15355" s="28" t="n">
        <v>41221</v>
      </c>
      <c r="B15355" t="n">
        <v>1.62</v>
      </c>
      <c r="C15355" t="n">
        <v>0.1</v>
      </c>
    </row>
    <row r="15356">
      <c r="A15356" s="28" t="n">
        <v>41222</v>
      </c>
      <c r="B15356" t="n">
        <v>1.61</v>
      </c>
      <c r="C15356" t="n">
        <v>0.09</v>
      </c>
    </row>
    <row r="15357">
      <c r="A15357" s="28" t="n">
        <v>41225</v>
      </c>
      <c r="B15357" t="n">
        <v>0</v>
      </c>
      <c r="C15357" t="n">
        <v>0</v>
      </c>
    </row>
    <row r="15358">
      <c r="A15358" s="28" t="n">
        <v>41226</v>
      </c>
      <c r="B15358" t="n">
        <v>1.59</v>
      </c>
      <c r="C15358" t="n">
        <v>0.11</v>
      </c>
    </row>
    <row r="15359">
      <c r="A15359" s="28" t="n">
        <v>41227</v>
      </c>
      <c r="B15359" t="n">
        <v>1.59</v>
      </c>
      <c r="C15359" t="n">
        <v>0.1</v>
      </c>
    </row>
    <row r="15360">
      <c r="A15360" s="28" t="n">
        <v>41228</v>
      </c>
      <c r="B15360" t="n">
        <v>1.58</v>
      </c>
      <c r="C15360" t="n">
        <v>0.08</v>
      </c>
    </row>
    <row r="15361">
      <c r="A15361" s="28" t="n">
        <v>41229</v>
      </c>
      <c r="B15361" t="n">
        <v>1.58</v>
      </c>
      <c r="C15361" t="n">
        <v>0.06</v>
      </c>
    </row>
    <row r="15362">
      <c r="A15362" s="28" t="n">
        <v>41232</v>
      </c>
      <c r="B15362" t="n">
        <v>1.61</v>
      </c>
      <c r="C15362" t="n">
        <v>0.09</v>
      </c>
    </row>
    <row r="15363">
      <c r="A15363" s="28" t="n">
        <v>41233</v>
      </c>
      <c r="B15363" t="n">
        <v>1.66</v>
      </c>
      <c r="C15363" t="n">
        <v>0.08</v>
      </c>
    </row>
    <row r="15364">
      <c r="A15364" s="28" t="n">
        <v>41234</v>
      </c>
      <c r="B15364" t="n">
        <v>1.69</v>
      </c>
      <c r="C15364" t="n">
        <v>0.1</v>
      </c>
    </row>
    <row r="15365">
      <c r="A15365" s="28" t="n">
        <v>41235</v>
      </c>
      <c r="B15365" t="n">
        <v>0</v>
      </c>
      <c r="C15365" t="n">
        <v>0</v>
      </c>
    </row>
    <row r="15366">
      <c r="A15366" s="28" t="n">
        <v>41236</v>
      </c>
      <c r="B15366" t="n">
        <v>1.7</v>
      </c>
      <c r="C15366" t="n">
        <v>0.1</v>
      </c>
    </row>
    <row r="15367">
      <c r="A15367" s="28" t="n">
        <v>41239</v>
      </c>
      <c r="B15367" t="n">
        <v>1.66</v>
      </c>
      <c r="C15367" t="n">
        <v>0.1</v>
      </c>
    </row>
    <row r="15368">
      <c r="A15368" s="28" t="n">
        <v>41240</v>
      </c>
      <c r="B15368" t="n">
        <v>1.64</v>
      </c>
      <c r="C15368" t="n">
        <v>0.1</v>
      </c>
    </row>
    <row r="15369">
      <c r="A15369" s="28" t="n">
        <v>41241</v>
      </c>
      <c r="B15369" t="n">
        <v>1.63</v>
      </c>
      <c r="C15369" t="n">
        <v>0.1</v>
      </c>
    </row>
    <row r="15370">
      <c r="A15370" s="28" t="n">
        <v>41242</v>
      </c>
      <c r="B15370" t="n">
        <v>1.62</v>
      </c>
      <c r="C15370" t="n">
        <v>0.09</v>
      </c>
    </row>
    <row r="15371">
      <c r="A15371" s="28" t="n">
        <v>41243</v>
      </c>
      <c r="B15371" t="n">
        <v>1.62</v>
      </c>
      <c r="C15371" t="n">
        <v>0.08</v>
      </c>
    </row>
    <row r="15372">
      <c r="A15372" s="28" t="n">
        <v>41246</v>
      </c>
      <c r="B15372" t="n">
        <v>1.63</v>
      </c>
      <c r="C15372" t="n">
        <v>0.1</v>
      </c>
    </row>
    <row r="15373">
      <c r="A15373" s="28" t="n">
        <v>41247</v>
      </c>
      <c r="B15373" t="n">
        <v>1.62</v>
      </c>
      <c r="C15373" t="n">
        <v>0.1</v>
      </c>
    </row>
    <row r="15374">
      <c r="A15374" s="28" t="n">
        <v>41248</v>
      </c>
      <c r="B15374" t="n">
        <v>1.6</v>
      </c>
      <c r="C15374" t="n">
        <v>0.1</v>
      </c>
    </row>
    <row r="15375">
      <c r="A15375" s="28" t="n">
        <v>41249</v>
      </c>
      <c r="B15375" t="n">
        <v>1.59</v>
      </c>
      <c r="C15375" t="n">
        <v>0.1</v>
      </c>
    </row>
    <row r="15376">
      <c r="A15376" s="28" t="n">
        <v>41250</v>
      </c>
      <c r="B15376" t="n">
        <v>1.64</v>
      </c>
      <c r="C15376" t="n">
        <v>0.09</v>
      </c>
    </row>
    <row r="15377">
      <c r="A15377" s="28" t="n">
        <v>41253</v>
      </c>
      <c r="B15377" t="n">
        <v>1.63</v>
      </c>
      <c r="C15377" t="n">
        <v>0.09</v>
      </c>
    </row>
    <row r="15378">
      <c r="A15378" s="28" t="n">
        <v>41254</v>
      </c>
      <c r="B15378" t="n">
        <v>1.66</v>
      </c>
      <c r="C15378" t="n">
        <v>0.08</v>
      </c>
    </row>
    <row r="15379">
      <c r="A15379" s="28" t="n">
        <v>41255</v>
      </c>
      <c r="B15379" t="n">
        <v>1.72</v>
      </c>
      <c r="C15379" t="n">
        <v>0.07000000000000001</v>
      </c>
    </row>
    <row r="15380">
      <c r="A15380" s="28" t="n">
        <v>41256</v>
      </c>
      <c r="B15380" t="n">
        <v>1.74</v>
      </c>
      <c r="C15380" t="n">
        <v>0.06</v>
      </c>
    </row>
    <row r="15381">
      <c r="A15381" s="28" t="n">
        <v>41257</v>
      </c>
      <c r="B15381" t="n">
        <v>1.72</v>
      </c>
      <c r="C15381" t="n">
        <v>0.04</v>
      </c>
    </row>
    <row r="15382">
      <c r="A15382" s="28" t="n">
        <v>41260</v>
      </c>
      <c r="B15382" t="n">
        <v>1.78</v>
      </c>
      <c r="C15382" t="n">
        <v>0.05</v>
      </c>
    </row>
    <row r="15383">
      <c r="A15383" s="28" t="n">
        <v>41261</v>
      </c>
      <c r="B15383" t="n">
        <v>1.84</v>
      </c>
      <c r="C15383" t="n">
        <v>0.06</v>
      </c>
    </row>
    <row r="15384">
      <c r="A15384" s="28" t="n">
        <v>41262</v>
      </c>
      <c r="B15384" t="n">
        <v>1.82</v>
      </c>
      <c r="C15384" t="n">
        <v>0.05</v>
      </c>
    </row>
    <row r="15385">
      <c r="A15385" s="28" t="n">
        <v>41263</v>
      </c>
      <c r="B15385" t="n">
        <v>1.81</v>
      </c>
      <c r="C15385" t="n">
        <v>0.06</v>
      </c>
    </row>
    <row r="15386">
      <c r="A15386" s="28" t="n">
        <v>41264</v>
      </c>
      <c r="B15386" t="n">
        <v>1.77</v>
      </c>
      <c r="C15386" t="n">
        <v>0.06</v>
      </c>
    </row>
    <row r="15387">
      <c r="A15387" s="28" t="n">
        <v>41267</v>
      </c>
      <c r="B15387" t="n">
        <v>1.79</v>
      </c>
      <c r="C15387" t="n">
        <v>0.06</v>
      </c>
    </row>
    <row r="15388">
      <c r="A15388" s="28" t="n">
        <v>41268</v>
      </c>
      <c r="B15388" t="n">
        <v>0</v>
      </c>
      <c r="C15388" t="n">
        <v>0</v>
      </c>
    </row>
    <row r="15389">
      <c r="A15389" s="28" t="n">
        <v>41269</v>
      </c>
      <c r="B15389" t="n">
        <v>1.77</v>
      </c>
      <c r="C15389" t="n">
        <v>0.09</v>
      </c>
    </row>
    <row r="15390">
      <c r="A15390" s="28" t="n">
        <v>41270</v>
      </c>
      <c r="B15390" t="n">
        <v>1.74</v>
      </c>
      <c r="C15390" t="n">
        <v>0.08</v>
      </c>
    </row>
    <row r="15391">
      <c r="A15391" s="28" t="n">
        <v>41271</v>
      </c>
      <c r="B15391" t="n">
        <v>1.73</v>
      </c>
      <c r="C15391" t="n">
        <v>0.01</v>
      </c>
    </row>
    <row r="15392">
      <c r="A15392" s="28" t="n">
        <v>41274</v>
      </c>
      <c r="B15392" t="n">
        <v>1.78</v>
      </c>
      <c r="C15392" t="n">
        <v>0.05</v>
      </c>
    </row>
    <row r="15393">
      <c r="A15393" s="28" t="n">
        <v>41275</v>
      </c>
      <c r="B15393" t="n">
        <v>0</v>
      </c>
      <c r="C15393" t="n">
        <v>0</v>
      </c>
    </row>
    <row r="15394">
      <c r="A15394" s="28" t="n">
        <v>41276</v>
      </c>
      <c r="B15394" t="n">
        <v>1.86</v>
      </c>
      <c r="C15394" t="n">
        <v>0.08</v>
      </c>
    </row>
    <row r="15395">
      <c r="A15395" s="28" t="n">
        <v>41277</v>
      </c>
      <c r="B15395" t="n">
        <v>1.92</v>
      </c>
      <c r="C15395" t="n">
        <v>0.08</v>
      </c>
    </row>
    <row r="15396">
      <c r="A15396" s="28" t="n">
        <v>41278</v>
      </c>
      <c r="B15396" t="n">
        <v>1.93</v>
      </c>
      <c r="C15396" t="n">
        <v>0.07000000000000001</v>
      </c>
    </row>
    <row r="15397">
      <c r="A15397" s="28" t="n">
        <v>41281</v>
      </c>
      <c r="B15397" t="n">
        <v>1.92</v>
      </c>
      <c r="C15397" t="n">
        <v>0.07000000000000001</v>
      </c>
    </row>
    <row r="15398">
      <c r="A15398" s="28" t="n">
        <v>41282</v>
      </c>
      <c r="B15398" t="n">
        <v>1.89</v>
      </c>
      <c r="C15398" t="n">
        <v>0.07000000000000001</v>
      </c>
    </row>
    <row r="15399">
      <c r="A15399" s="28" t="n">
        <v>41283</v>
      </c>
      <c r="B15399" t="n">
        <v>1.88</v>
      </c>
      <c r="C15399" t="n">
        <v>0.06</v>
      </c>
    </row>
    <row r="15400">
      <c r="A15400" s="28" t="n">
        <v>41284</v>
      </c>
      <c r="B15400" t="n">
        <v>1.91</v>
      </c>
      <c r="C15400" t="n">
        <v>0.06</v>
      </c>
    </row>
    <row r="15401">
      <c r="A15401" s="28" t="n">
        <v>41285</v>
      </c>
      <c r="B15401" t="n">
        <v>1.89</v>
      </c>
      <c r="C15401" t="n">
        <v>0.07000000000000001</v>
      </c>
    </row>
    <row r="15402">
      <c r="A15402" s="28" t="n">
        <v>41288</v>
      </c>
      <c r="B15402" t="n">
        <v>1.89</v>
      </c>
      <c r="C15402" t="n">
        <v>0.08</v>
      </c>
    </row>
    <row r="15403">
      <c r="A15403" s="28" t="n">
        <v>41289</v>
      </c>
      <c r="B15403" t="n">
        <v>1.86</v>
      </c>
      <c r="C15403" t="n">
        <v>0.09</v>
      </c>
    </row>
    <row r="15404">
      <c r="A15404" s="28" t="n">
        <v>41290</v>
      </c>
      <c r="B15404" t="n">
        <v>1.84</v>
      </c>
      <c r="C15404" t="n">
        <v>0.08</v>
      </c>
    </row>
    <row r="15405">
      <c r="A15405" s="28" t="n">
        <v>41291</v>
      </c>
      <c r="B15405" t="n">
        <v>1.89</v>
      </c>
      <c r="C15405" t="n">
        <v>0.07000000000000001</v>
      </c>
    </row>
    <row r="15406">
      <c r="A15406" s="28" t="n">
        <v>41292</v>
      </c>
      <c r="B15406" t="n">
        <v>1.87</v>
      </c>
      <c r="C15406" t="n">
        <v>0.08</v>
      </c>
    </row>
    <row r="15407">
      <c r="A15407" s="28" t="n">
        <v>41295</v>
      </c>
      <c r="B15407" t="n">
        <v>0</v>
      </c>
      <c r="C15407" t="n">
        <v>0</v>
      </c>
    </row>
    <row r="15408">
      <c r="A15408" s="28" t="n">
        <v>41296</v>
      </c>
      <c r="B15408" t="n">
        <v>1.86</v>
      </c>
      <c r="C15408" t="n">
        <v>0.08</v>
      </c>
    </row>
    <row r="15409">
      <c r="A15409" s="28" t="n">
        <v>41297</v>
      </c>
      <c r="B15409" t="n">
        <v>1.86</v>
      </c>
      <c r="C15409" t="n">
        <v>0.08</v>
      </c>
    </row>
    <row r="15410">
      <c r="A15410" s="28" t="n">
        <v>41298</v>
      </c>
      <c r="B15410" t="n">
        <v>1.88</v>
      </c>
      <c r="C15410" t="n">
        <v>0.08</v>
      </c>
    </row>
    <row r="15411">
      <c r="A15411" s="28" t="n">
        <v>41299</v>
      </c>
      <c r="B15411" t="n">
        <v>1.98</v>
      </c>
      <c r="C15411" t="n">
        <v>0.08</v>
      </c>
    </row>
    <row r="15412">
      <c r="A15412" s="28" t="n">
        <v>41302</v>
      </c>
      <c r="B15412" t="n">
        <v>2</v>
      </c>
      <c r="C15412" t="n">
        <v>0.07000000000000001</v>
      </c>
    </row>
    <row r="15413">
      <c r="A15413" s="28" t="n">
        <v>41303</v>
      </c>
      <c r="B15413" t="n">
        <v>2.03</v>
      </c>
      <c r="C15413" t="n">
        <v>0.07000000000000001</v>
      </c>
    </row>
    <row r="15414">
      <c r="A15414" s="28" t="n">
        <v>41304</v>
      </c>
      <c r="B15414" t="n">
        <v>2.03</v>
      </c>
      <c r="C15414" t="n">
        <v>0.07000000000000001</v>
      </c>
    </row>
    <row r="15415">
      <c r="A15415" s="28" t="n">
        <v>41305</v>
      </c>
      <c r="B15415" t="n">
        <v>2.02</v>
      </c>
      <c r="C15415" t="n">
        <v>0.07000000000000001</v>
      </c>
    </row>
    <row r="15416">
      <c r="A15416" s="28" t="n">
        <v>41306</v>
      </c>
      <c r="B15416" t="n">
        <v>2.04</v>
      </c>
      <c r="C15416" t="n">
        <v>0.06</v>
      </c>
    </row>
    <row r="15417">
      <c r="A15417" s="28" t="n">
        <v>41309</v>
      </c>
      <c r="B15417" t="n">
        <v>2</v>
      </c>
      <c r="C15417" t="n">
        <v>0.07000000000000001</v>
      </c>
    </row>
    <row r="15418">
      <c r="A15418" s="28" t="n">
        <v>41310</v>
      </c>
      <c r="B15418" t="n">
        <v>2.04</v>
      </c>
      <c r="C15418" t="n">
        <v>0.07000000000000001</v>
      </c>
    </row>
    <row r="15419">
      <c r="A15419" s="28" t="n">
        <v>41311</v>
      </c>
      <c r="B15419" t="n">
        <v>2</v>
      </c>
      <c r="C15419" t="n">
        <v>0.07000000000000001</v>
      </c>
    </row>
    <row r="15420">
      <c r="A15420" s="28" t="n">
        <v>41312</v>
      </c>
      <c r="B15420" t="n">
        <v>1.99</v>
      </c>
      <c r="C15420" t="n">
        <v>0.07000000000000001</v>
      </c>
    </row>
    <row r="15421">
      <c r="A15421" s="28" t="n">
        <v>41313</v>
      </c>
      <c r="B15421" t="n">
        <v>1.99</v>
      </c>
      <c r="C15421" t="n">
        <v>0.07000000000000001</v>
      </c>
    </row>
    <row r="15422">
      <c r="A15422" s="28" t="n">
        <v>41316</v>
      </c>
      <c r="B15422" t="n">
        <v>1.99</v>
      </c>
      <c r="C15422" t="n">
        <v>0.09</v>
      </c>
    </row>
    <row r="15423">
      <c r="A15423" s="28" t="n">
        <v>41317</v>
      </c>
      <c r="B15423" t="n">
        <v>2.02</v>
      </c>
      <c r="C15423" t="n">
        <v>0.09</v>
      </c>
    </row>
    <row r="15424">
      <c r="A15424" s="28" t="n">
        <v>41318</v>
      </c>
      <c r="B15424" t="n">
        <v>2.05</v>
      </c>
      <c r="C15424" t="n">
        <v>0.1</v>
      </c>
    </row>
    <row r="15425">
      <c r="A15425" s="28" t="n">
        <v>41319</v>
      </c>
      <c r="B15425" t="n">
        <v>2</v>
      </c>
      <c r="C15425" t="n">
        <v>0.11</v>
      </c>
    </row>
    <row r="15426">
      <c r="A15426" s="28" t="n">
        <v>41320</v>
      </c>
      <c r="B15426" t="n">
        <v>2.01</v>
      </c>
      <c r="C15426" t="n">
        <v>0.1</v>
      </c>
    </row>
    <row r="15427">
      <c r="A15427" s="28" t="n">
        <v>41323</v>
      </c>
      <c r="B15427" t="n">
        <v>0</v>
      </c>
      <c r="C15427" t="n">
        <v>0</v>
      </c>
    </row>
    <row r="15428">
      <c r="A15428" s="28" t="n">
        <v>41324</v>
      </c>
      <c r="B15428" t="n">
        <v>2.03</v>
      </c>
      <c r="C15428" t="n">
        <v>0.12</v>
      </c>
    </row>
    <row r="15429">
      <c r="A15429" s="28" t="n">
        <v>41325</v>
      </c>
      <c r="B15429" t="n">
        <v>2.02</v>
      </c>
      <c r="C15429" t="n">
        <v>0.12</v>
      </c>
    </row>
    <row r="15430">
      <c r="A15430" s="28" t="n">
        <v>41326</v>
      </c>
      <c r="B15430" t="n">
        <v>1.99</v>
      </c>
      <c r="C15430" t="n">
        <v>0.13</v>
      </c>
    </row>
    <row r="15431">
      <c r="A15431" s="28" t="n">
        <v>41327</v>
      </c>
      <c r="B15431" t="n">
        <v>1.97</v>
      </c>
      <c r="C15431" t="n">
        <v>0.13</v>
      </c>
    </row>
    <row r="15432">
      <c r="A15432" s="28" t="n">
        <v>41330</v>
      </c>
      <c r="B15432" t="n">
        <v>1.88</v>
      </c>
      <c r="C15432" t="n">
        <v>0.12</v>
      </c>
    </row>
    <row r="15433">
      <c r="A15433" s="28" t="n">
        <v>41331</v>
      </c>
      <c r="B15433" t="n">
        <v>1.88</v>
      </c>
      <c r="C15433" t="n">
        <v>0.14</v>
      </c>
    </row>
    <row r="15434">
      <c r="A15434" s="28" t="n">
        <v>41332</v>
      </c>
      <c r="B15434" t="n">
        <v>1.91</v>
      </c>
      <c r="C15434" t="n">
        <v>0.11</v>
      </c>
    </row>
    <row r="15435">
      <c r="A15435" s="28" t="n">
        <v>41333</v>
      </c>
      <c r="B15435" t="n">
        <v>1.89</v>
      </c>
      <c r="C15435" t="n">
        <v>0.11</v>
      </c>
    </row>
    <row r="15436">
      <c r="A15436" s="28" t="n">
        <v>41334</v>
      </c>
      <c r="B15436" t="n">
        <v>1.86</v>
      </c>
      <c r="C15436" t="n">
        <v>0.11</v>
      </c>
    </row>
    <row r="15437">
      <c r="A15437" s="28" t="n">
        <v>41337</v>
      </c>
      <c r="B15437" t="n">
        <v>1.88</v>
      </c>
      <c r="C15437" t="n">
        <v>0.11</v>
      </c>
    </row>
    <row r="15438">
      <c r="A15438" s="28" t="n">
        <v>41338</v>
      </c>
      <c r="B15438" t="n">
        <v>1.9</v>
      </c>
      <c r="C15438" t="n">
        <v>0.08</v>
      </c>
    </row>
    <row r="15439">
      <c r="A15439" s="28" t="n">
        <v>41339</v>
      </c>
      <c r="B15439" t="n">
        <v>1.95</v>
      </c>
      <c r="C15439" t="n">
        <v>0.1</v>
      </c>
    </row>
    <row r="15440">
      <c r="A15440" s="28" t="n">
        <v>41340</v>
      </c>
      <c r="B15440" t="n">
        <v>2</v>
      </c>
      <c r="C15440" t="n">
        <v>0.1</v>
      </c>
    </row>
    <row r="15441">
      <c r="A15441" s="28" t="n">
        <v>41341</v>
      </c>
      <c r="B15441" t="n">
        <v>2.06</v>
      </c>
      <c r="C15441" t="n">
        <v>0.1</v>
      </c>
    </row>
    <row r="15442">
      <c r="A15442" s="28" t="n">
        <v>41344</v>
      </c>
      <c r="B15442" t="n">
        <v>2.07</v>
      </c>
      <c r="C15442" t="n">
        <v>0.1</v>
      </c>
    </row>
    <row r="15443">
      <c r="A15443" s="28" t="n">
        <v>41345</v>
      </c>
      <c r="B15443" t="n">
        <v>2.03</v>
      </c>
      <c r="C15443" t="n">
        <v>0.1</v>
      </c>
    </row>
    <row r="15444">
      <c r="A15444" s="28" t="n">
        <v>41346</v>
      </c>
      <c r="B15444" t="n">
        <v>2.04</v>
      </c>
      <c r="C15444" t="n">
        <v>0.09</v>
      </c>
    </row>
    <row r="15445">
      <c r="A15445" s="28" t="n">
        <v>41347</v>
      </c>
      <c r="B15445" t="n">
        <v>2.04</v>
      </c>
      <c r="C15445" t="n">
        <v>0.1</v>
      </c>
    </row>
    <row r="15446">
      <c r="A15446" s="28" t="n">
        <v>41348</v>
      </c>
      <c r="B15446" t="n">
        <v>2.01</v>
      </c>
      <c r="C15446" t="n">
        <v>0.09</v>
      </c>
    </row>
    <row r="15447">
      <c r="A15447" s="28" t="n">
        <v>41351</v>
      </c>
      <c r="B15447" t="n">
        <v>1.96</v>
      </c>
      <c r="C15447" t="n">
        <v>0.07000000000000001</v>
      </c>
    </row>
    <row r="15448">
      <c r="A15448" s="28" t="n">
        <v>41352</v>
      </c>
      <c r="B15448" t="n">
        <v>1.92</v>
      </c>
      <c r="C15448" t="n">
        <v>0.07000000000000001</v>
      </c>
    </row>
    <row r="15449">
      <c r="A15449" s="28" t="n">
        <v>41353</v>
      </c>
      <c r="B15449" t="n">
        <v>1.96</v>
      </c>
      <c r="C15449" t="n">
        <v>0.07000000000000001</v>
      </c>
    </row>
    <row r="15450">
      <c r="A15450" s="28" t="n">
        <v>41354</v>
      </c>
      <c r="B15450" t="n">
        <v>1.95</v>
      </c>
      <c r="C15450" t="n">
        <v>0.07000000000000001</v>
      </c>
    </row>
    <row r="15451">
      <c r="A15451" s="28" t="n">
        <v>41355</v>
      </c>
      <c r="B15451" t="n">
        <v>1.93</v>
      </c>
      <c r="C15451" t="n">
        <v>0.07000000000000001</v>
      </c>
    </row>
    <row r="15452">
      <c r="A15452" s="28" t="n">
        <v>41358</v>
      </c>
      <c r="B15452" t="n">
        <v>1.93</v>
      </c>
      <c r="C15452" t="n">
        <v>0.08</v>
      </c>
    </row>
    <row r="15453">
      <c r="A15453" s="28" t="n">
        <v>41359</v>
      </c>
      <c r="B15453" t="n">
        <v>1.92</v>
      </c>
      <c r="C15453" t="n">
        <v>0.07000000000000001</v>
      </c>
    </row>
    <row r="15454">
      <c r="A15454" s="28" t="n">
        <v>41360</v>
      </c>
      <c r="B15454" t="n">
        <v>1.87</v>
      </c>
      <c r="C15454" t="n">
        <v>0.09</v>
      </c>
    </row>
    <row r="15455">
      <c r="A15455" s="28" t="n">
        <v>41361</v>
      </c>
      <c r="B15455" t="n">
        <v>1.87</v>
      </c>
      <c r="C15455" t="n">
        <v>0.07000000000000001</v>
      </c>
    </row>
    <row r="15456">
      <c r="A15456" s="28" t="n">
        <v>41362</v>
      </c>
      <c r="B15456" t="n">
        <v>0</v>
      </c>
      <c r="C15456" t="n">
        <v>0</v>
      </c>
    </row>
    <row r="15457">
      <c r="A15457" s="28" t="n">
        <v>41365</v>
      </c>
      <c r="B15457" t="n">
        <v>1.86</v>
      </c>
      <c r="C15457" t="n">
        <v>0.08</v>
      </c>
    </row>
    <row r="15458">
      <c r="A15458" s="28" t="n">
        <v>41366</v>
      </c>
      <c r="B15458" t="n">
        <v>1.88</v>
      </c>
      <c r="C15458" t="n">
        <v>0.07000000000000001</v>
      </c>
    </row>
    <row r="15459">
      <c r="A15459" s="28" t="n">
        <v>41367</v>
      </c>
      <c r="B15459" t="n">
        <v>1.83</v>
      </c>
      <c r="C15459" t="n">
        <v>0.06</v>
      </c>
    </row>
    <row r="15460">
      <c r="A15460" s="28" t="n">
        <v>41368</v>
      </c>
      <c r="B15460" t="n">
        <v>1.78</v>
      </c>
      <c r="C15460" t="n">
        <v>0.07000000000000001</v>
      </c>
    </row>
    <row r="15461">
      <c r="A15461" s="28" t="n">
        <v>41369</v>
      </c>
      <c r="B15461" t="n">
        <v>1.72</v>
      </c>
      <c r="C15461" t="n">
        <v>0.07000000000000001</v>
      </c>
    </row>
    <row r="15462">
      <c r="A15462" s="28" t="n">
        <v>41372</v>
      </c>
      <c r="B15462" t="n">
        <v>1.76</v>
      </c>
      <c r="C15462" t="n">
        <v>0.07000000000000001</v>
      </c>
    </row>
    <row r="15463">
      <c r="A15463" s="28" t="n">
        <v>41373</v>
      </c>
      <c r="B15463" t="n">
        <v>1.78</v>
      </c>
      <c r="C15463" t="n">
        <v>0.06</v>
      </c>
    </row>
    <row r="15464">
      <c r="A15464" s="28" t="n">
        <v>41374</v>
      </c>
      <c r="B15464" t="n">
        <v>1.84</v>
      </c>
      <c r="C15464" t="n">
        <v>0.07000000000000001</v>
      </c>
    </row>
    <row r="15465">
      <c r="A15465" s="28" t="n">
        <v>41375</v>
      </c>
      <c r="B15465" t="n">
        <v>1.82</v>
      </c>
      <c r="C15465" t="n">
        <v>0.07000000000000001</v>
      </c>
    </row>
    <row r="15466">
      <c r="A15466" s="28" t="n">
        <v>41376</v>
      </c>
      <c r="B15466" t="n">
        <v>1.75</v>
      </c>
      <c r="C15466" t="n">
        <v>0.06</v>
      </c>
    </row>
    <row r="15467">
      <c r="A15467" s="28" t="n">
        <v>41379</v>
      </c>
      <c r="B15467" t="n">
        <v>1.72</v>
      </c>
      <c r="C15467" t="n">
        <v>0.06</v>
      </c>
    </row>
    <row r="15468">
      <c r="A15468" s="28" t="n">
        <v>41380</v>
      </c>
      <c r="B15468" t="n">
        <v>1.75</v>
      </c>
      <c r="C15468" t="n">
        <v>0.06</v>
      </c>
    </row>
    <row r="15469">
      <c r="A15469" s="28" t="n">
        <v>41381</v>
      </c>
      <c r="B15469" t="n">
        <v>1.73</v>
      </c>
      <c r="C15469" t="n">
        <v>0.06</v>
      </c>
    </row>
    <row r="15470">
      <c r="A15470" s="28" t="n">
        <v>41382</v>
      </c>
      <c r="B15470" t="n">
        <v>1.72</v>
      </c>
      <c r="C15470" t="n">
        <v>0.05</v>
      </c>
    </row>
    <row r="15471">
      <c r="A15471" s="28" t="n">
        <v>41383</v>
      </c>
      <c r="B15471" t="n">
        <v>1.73</v>
      </c>
      <c r="C15471" t="n">
        <v>0.05</v>
      </c>
    </row>
    <row r="15472">
      <c r="A15472" s="28" t="n">
        <v>41386</v>
      </c>
      <c r="B15472" t="n">
        <v>1.72</v>
      </c>
      <c r="C15472" t="n">
        <v>0.05</v>
      </c>
    </row>
    <row r="15473">
      <c r="A15473" s="28" t="n">
        <v>41387</v>
      </c>
      <c r="B15473" t="n">
        <v>1.74</v>
      </c>
      <c r="C15473" t="n">
        <v>0.05</v>
      </c>
    </row>
    <row r="15474">
      <c r="A15474" s="28" t="n">
        <v>41388</v>
      </c>
      <c r="B15474" t="n">
        <v>1.73</v>
      </c>
      <c r="C15474" t="n">
        <v>0.06</v>
      </c>
    </row>
    <row r="15475">
      <c r="A15475" s="28" t="n">
        <v>41389</v>
      </c>
      <c r="B15475" t="n">
        <v>1.74</v>
      </c>
      <c r="C15475" t="n">
        <v>0.05</v>
      </c>
    </row>
    <row r="15476">
      <c r="A15476" s="28" t="n">
        <v>41390</v>
      </c>
      <c r="B15476" t="n">
        <v>1.7</v>
      </c>
      <c r="C15476" t="n">
        <v>0.05</v>
      </c>
    </row>
    <row r="15477">
      <c r="A15477" s="28" t="n">
        <v>41393</v>
      </c>
      <c r="B15477" t="n">
        <v>1.7</v>
      </c>
      <c r="C15477" t="n">
        <v>0.05</v>
      </c>
    </row>
    <row r="15478">
      <c r="A15478" s="28" t="n">
        <v>41394</v>
      </c>
      <c r="B15478" t="n">
        <v>1.7</v>
      </c>
      <c r="C15478" t="n">
        <v>0.05</v>
      </c>
    </row>
    <row r="15479">
      <c r="A15479" s="28" t="n">
        <v>41395</v>
      </c>
      <c r="B15479" t="n">
        <v>1.66</v>
      </c>
      <c r="C15479" t="n">
        <v>0.06</v>
      </c>
    </row>
    <row r="15480">
      <c r="A15480" s="28" t="n">
        <v>41396</v>
      </c>
      <c r="B15480" t="n">
        <v>1.66</v>
      </c>
      <c r="C15480" t="n">
        <v>0.05</v>
      </c>
    </row>
    <row r="15481">
      <c r="A15481" s="28" t="n">
        <v>41397</v>
      </c>
      <c r="B15481" t="n">
        <v>1.78</v>
      </c>
      <c r="C15481" t="n">
        <v>0.05</v>
      </c>
    </row>
    <row r="15482">
      <c r="A15482" s="28" t="n">
        <v>41400</v>
      </c>
      <c r="B15482" t="n">
        <v>1.8</v>
      </c>
      <c r="C15482" t="n">
        <v>0.04</v>
      </c>
    </row>
    <row r="15483">
      <c r="A15483" s="28" t="n">
        <v>41401</v>
      </c>
      <c r="B15483" t="n">
        <v>1.82</v>
      </c>
      <c r="C15483" t="n">
        <v>0.04</v>
      </c>
    </row>
    <row r="15484">
      <c r="A15484" s="28" t="n">
        <v>41402</v>
      </c>
      <c r="B15484" t="n">
        <v>1.81</v>
      </c>
      <c r="C15484" t="n">
        <v>0.04</v>
      </c>
    </row>
    <row r="15485">
      <c r="A15485" s="28" t="n">
        <v>41403</v>
      </c>
      <c r="B15485" t="n">
        <v>1.81</v>
      </c>
      <c r="C15485" t="n">
        <v>0.04</v>
      </c>
    </row>
    <row r="15486">
      <c r="A15486" s="28" t="n">
        <v>41404</v>
      </c>
      <c r="B15486" t="n">
        <v>1.9</v>
      </c>
      <c r="C15486" t="n">
        <v>0.04</v>
      </c>
    </row>
    <row r="15487">
      <c r="A15487" s="28" t="n">
        <v>41407</v>
      </c>
      <c r="B15487" t="n">
        <v>1.92</v>
      </c>
      <c r="C15487" t="n">
        <v>0.05</v>
      </c>
    </row>
    <row r="15488">
      <c r="A15488" s="28" t="n">
        <v>41408</v>
      </c>
      <c r="B15488" t="n">
        <v>1.96</v>
      </c>
      <c r="C15488" t="n">
        <v>0.05</v>
      </c>
    </row>
    <row r="15489">
      <c r="A15489" s="28" t="n">
        <v>41409</v>
      </c>
      <c r="B15489" t="n">
        <v>1.94</v>
      </c>
      <c r="C15489" t="n">
        <v>0.04</v>
      </c>
    </row>
    <row r="15490">
      <c r="A15490" s="28" t="n">
        <v>41410</v>
      </c>
      <c r="B15490" t="n">
        <v>1.87</v>
      </c>
      <c r="C15490" t="n">
        <v>0.03</v>
      </c>
    </row>
    <row r="15491">
      <c r="A15491" s="28" t="n">
        <v>41411</v>
      </c>
      <c r="B15491" t="n">
        <v>1.95</v>
      </c>
      <c r="C15491" t="n">
        <v>0.04</v>
      </c>
    </row>
    <row r="15492">
      <c r="A15492" s="28" t="n">
        <v>41414</v>
      </c>
      <c r="B15492" t="n">
        <v>1.97</v>
      </c>
      <c r="C15492" t="n">
        <v>0.05</v>
      </c>
    </row>
    <row r="15493">
      <c r="A15493" s="28" t="n">
        <v>41415</v>
      </c>
      <c r="B15493" t="n">
        <v>1.94</v>
      </c>
      <c r="C15493" t="n">
        <v>0.04</v>
      </c>
    </row>
    <row r="15494">
      <c r="A15494" s="28" t="n">
        <v>41416</v>
      </c>
      <c r="B15494" t="n">
        <v>2.03</v>
      </c>
      <c r="C15494" t="n">
        <v>0.04</v>
      </c>
    </row>
    <row r="15495">
      <c r="A15495" s="28" t="n">
        <v>41417</v>
      </c>
      <c r="B15495" t="n">
        <v>2.02</v>
      </c>
      <c r="C15495" t="n">
        <v>0.05</v>
      </c>
    </row>
    <row r="15496">
      <c r="A15496" s="28" t="n">
        <v>41418</v>
      </c>
      <c r="B15496" t="n">
        <v>2.01</v>
      </c>
      <c r="C15496" t="n">
        <v>0.04</v>
      </c>
    </row>
    <row r="15497">
      <c r="A15497" s="28" t="n">
        <v>41421</v>
      </c>
      <c r="B15497" t="n">
        <v>0</v>
      </c>
      <c r="C15497" t="n">
        <v>0</v>
      </c>
    </row>
    <row r="15498">
      <c r="A15498" s="28" t="n">
        <v>41422</v>
      </c>
      <c r="B15498" t="n">
        <v>2.15</v>
      </c>
      <c r="C15498" t="n">
        <v>0.05</v>
      </c>
    </row>
    <row r="15499">
      <c r="A15499" s="28" t="n">
        <v>41423</v>
      </c>
      <c r="B15499" t="n">
        <v>2.13</v>
      </c>
      <c r="C15499" t="n">
        <v>0.05</v>
      </c>
    </row>
    <row r="15500">
      <c r="A15500" s="28" t="n">
        <v>41424</v>
      </c>
      <c r="B15500" t="n">
        <v>2.13</v>
      </c>
      <c r="C15500" t="n">
        <v>0.04</v>
      </c>
    </row>
    <row r="15501">
      <c r="A15501" s="28" t="n">
        <v>41425</v>
      </c>
      <c r="B15501" t="n">
        <v>2.16</v>
      </c>
      <c r="C15501" t="n">
        <v>0.04</v>
      </c>
    </row>
    <row r="15502">
      <c r="A15502" s="28" t="n">
        <v>41428</v>
      </c>
      <c r="B15502" t="n">
        <v>2.13</v>
      </c>
      <c r="C15502" t="n">
        <v>0.05</v>
      </c>
    </row>
    <row r="15503">
      <c r="A15503" s="28" t="n">
        <v>41429</v>
      </c>
      <c r="B15503" t="n">
        <v>2.14</v>
      </c>
      <c r="C15503" t="n">
        <v>0.04</v>
      </c>
    </row>
    <row r="15504">
      <c r="A15504" s="28" t="n">
        <v>41430</v>
      </c>
      <c r="B15504" t="n">
        <v>2.1</v>
      </c>
      <c r="C15504" t="n">
        <v>0.05</v>
      </c>
    </row>
    <row r="15505">
      <c r="A15505" s="28" t="n">
        <v>41431</v>
      </c>
      <c r="B15505" t="n">
        <v>2.08</v>
      </c>
      <c r="C15505" t="n">
        <v>0.05</v>
      </c>
    </row>
    <row r="15506">
      <c r="A15506" s="28" t="n">
        <v>41432</v>
      </c>
      <c r="B15506" t="n">
        <v>2.17</v>
      </c>
      <c r="C15506" t="n">
        <v>0.04</v>
      </c>
    </row>
    <row r="15507">
      <c r="A15507" s="28" t="n">
        <v>41435</v>
      </c>
      <c r="B15507" t="n">
        <v>2.22</v>
      </c>
      <c r="C15507" t="n">
        <v>0.05</v>
      </c>
    </row>
    <row r="15508">
      <c r="A15508" s="28" t="n">
        <v>41436</v>
      </c>
      <c r="B15508" t="n">
        <v>2.2</v>
      </c>
      <c r="C15508" t="n">
        <v>0.05</v>
      </c>
    </row>
    <row r="15509">
      <c r="A15509" s="28" t="n">
        <v>41437</v>
      </c>
      <c r="B15509" t="n">
        <v>2.25</v>
      </c>
      <c r="C15509" t="n">
        <v>0.05</v>
      </c>
    </row>
    <row r="15510">
      <c r="A15510" s="28" t="n">
        <v>41438</v>
      </c>
      <c r="B15510" t="n">
        <v>2.19</v>
      </c>
      <c r="C15510" t="n">
        <v>0.05</v>
      </c>
    </row>
    <row r="15511">
      <c r="A15511" s="28" t="n">
        <v>41439</v>
      </c>
      <c r="B15511" t="n">
        <v>2.14</v>
      </c>
      <c r="C15511" t="n">
        <v>0.05</v>
      </c>
    </row>
    <row r="15512">
      <c r="A15512" s="28" t="n">
        <v>41442</v>
      </c>
      <c r="B15512" t="n">
        <v>2.19</v>
      </c>
      <c r="C15512" t="n">
        <v>0.05</v>
      </c>
    </row>
    <row r="15513">
      <c r="A15513" s="28" t="n">
        <v>41443</v>
      </c>
      <c r="B15513" t="n">
        <v>2.2</v>
      </c>
      <c r="C15513" t="n">
        <v>0.05</v>
      </c>
    </row>
    <row r="15514">
      <c r="A15514" s="28" t="n">
        <v>41444</v>
      </c>
      <c r="B15514" t="n">
        <v>2.33</v>
      </c>
      <c r="C15514" t="n">
        <v>0.05</v>
      </c>
    </row>
    <row r="15515">
      <c r="A15515" s="28" t="n">
        <v>41445</v>
      </c>
      <c r="B15515" t="n">
        <v>2.41</v>
      </c>
      <c r="C15515" t="n">
        <v>0.05</v>
      </c>
    </row>
    <row r="15516">
      <c r="A15516" s="28" t="n">
        <v>41446</v>
      </c>
      <c r="B15516" t="n">
        <v>2.52</v>
      </c>
      <c r="C15516" t="n">
        <v>0.05</v>
      </c>
    </row>
    <row r="15517">
      <c r="A15517" s="28" t="n">
        <v>41449</v>
      </c>
      <c r="B15517" t="n">
        <v>2.57</v>
      </c>
      <c r="C15517" t="n">
        <v>0.06</v>
      </c>
    </row>
    <row r="15518">
      <c r="A15518" s="28" t="n">
        <v>41450</v>
      </c>
      <c r="B15518" t="n">
        <v>2.6</v>
      </c>
      <c r="C15518" t="n">
        <v>0.06</v>
      </c>
    </row>
    <row r="15519">
      <c r="A15519" s="28" t="n">
        <v>41451</v>
      </c>
      <c r="B15519" t="n">
        <v>2.55</v>
      </c>
      <c r="C15519" t="n">
        <v>0.06</v>
      </c>
    </row>
    <row r="15520">
      <c r="A15520" s="28" t="n">
        <v>41452</v>
      </c>
      <c r="B15520" t="n">
        <v>2.49</v>
      </c>
      <c r="C15520" t="n">
        <v>0.06</v>
      </c>
    </row>
    <row r="15521">
      <c r="A15521" s="28" t="n">
        <v>41453</v>
      </c>
      <c r="B15521" t="n">
        <v>2.52</v>
      </c>
      <c r="C15521" t="n">
        <v>0.04</v>
      </c>
    </row>
    <row r="15522">
      <c r="A15522" s="28" t="n">
        <v>41456</v>
      </c>
      <c r="B15522" t="n">
        <v>2.5</v>
      </c>
      <c r="C15522" t="n">
        <v>0.04</v>
      </c>
    </row>
    <row r="15523">
      <c r="A15523" s="28" t="n">
        <v>41457</v>
      </c>
      <c r="B15523" t="n">
        <v>2.48</v>
      </c>
      <c r="C15523" t="n">
        <v>0.03</v>
      </c>
    </row>
    <row r="15524">
      <c r="A15524" s="28" t="n">
        <v>41458</v>
      </c>
      <c r="B15524" t="n">
        <v>2.52</v>
      </c>
      <c r="C15524" t="n">
        <v>0.05</v>
      </c>
    </row>
    <row r="15525">
      <c r="A15525" s="28" t="n">
        <v>41459</v>
      </c>
      <c r="B15525" t="n">
        <v>0</v>
      </c>
      <c r="C15525" t="n">
        <v>0</v>
      </c>
    </row>
    <row r="15526">
      <c r="A15526" s="28" t="n">
        <v>41460</v>
      </c>
      <c r="B15526" t="n">
        <v>2.73</v>
      </c>
      <c r="C15526" t="n">
        <v>0.04</v>
      </c>
    </row>
    <row r="15527">
      <c r="A15527" s="28" t="n">
        <v>41463</v>
      </c>
      <c r="B15527" t="n">
        <v>2.65</v>
      </c>
      <c r="C15527" t="n">
        <v>0.05</v>
      </c>
    </row>
    <row r="15528">
      <c r="A15528" s="28" t="n">
        <v>41464</v>
      </c>
      <c r="B15528" t="n">
        <v>2.65</v>
      </c>
      <c r="C15528" t="n">
        <v>0.04</v>
      </c>
    </row>
    <row r="15529">
      <c r="A15529" s="28" t="n">
        <v>41465</v>
      </c>
      <c r="B15529" t="n">
        <v>2.7</v>
      </c>
      <c r="C15529" t="n">
        <v>0.04</v>
      </c>
    </row>
    <row r="15530">
      <c r="A15530" s="28" t="n">
        <v>41466</v>
      </c>
      <c r="B15530" t="n">
        <v>2.6</v>
      </c>
      <c r="C15530" t="n">
        <v>0.04</v>
      </c>
    </row>
    <row r="15531">
      <c r="A15531" s="28" t="n">
        <v>41467</v>
      </c>
      <c r="B15531" t="n">
        <v>2.61</v>
      </c>
      <c r="C15531" t="n">
        <v>0.04</v>
      </c>
    </row>
    <row r="15532">
      <c r="A15532" s="28" t="n">
        <v>41470</v>
      </c>
      <c r="B15532" t="n">
        <v>2.57</v>
      </c>
      <c r="C15532" t="n">
        <v>0.04</v>
      </c>
    </row>
    <row r="15533">
      <c r="A15533" s="28" t="n">
        <v>41471</v>
      </c>
      <c r="B15533" t="n">
        <v>2.55</v>
      </c>
      <c r="C15533" t="n">
        <v>0.03</v>
      </c>
    </row>
    <row r="15534">
      <c r="A15534" s="28" t="n">
        <v>41472</v>
      </c>
      <c r="B15534" t="n">
        <v>2.52</v>
      </c>
      <c r="C15534" t="n">
        <v>0.03</v>
      </c>
    </row>
    <row r="15535">
      <c r="A15535" s="28" t="n">
        <v>41473</v>
      </c>
      <c r="B15535" t="n">
        <v>2.56</v>
      </c>
      <c r="C15535" t="n">
        <v>0.03</v>
      </c>
    </row>
    <row r="15536">
      <c r="A15536" s="28" t="n">
        <v>41474</v>
      </c>
      <c r="B15536" t="n">
        <v>2.5</v>
      </c>
      <c r="C15536" t="n">
        <v>0.03</v>
      </c>
    </row>
    <row r="15537">
      <c r="A15537" s="28" t="n">
        <v>41477</v>
      </c>
      <c r="B15537" t="n">
        <v>2.5</v>
      </c>
      <c r="C15537" t="n">
        <v>0.04</v>
      </c>
    </row>
    <row r="15538">
      <c r="A15538" s="28" t="n">
        <v>41478</v>
      </c>
      <c r="B15538" t="n">
        <v>2.53</v>
      </c>
      <c r="C15538" t="n">
        <v>0.02</v>
      </c>
    </row>
    <row r="15539">
      <c r="A15539" s="28" t="n">
        <v>41479</v>
      </c>
      <c r="B15539" t="n">
        <v>2.61</v>
      </c>
      <c r="C15539" t="n">
        <v>0.03</v>
      </c>
    </row>
    <row r="15540">
      <c r="A15540" s="28" t="n">
        <v>41480</v>
      </c>
      <c r="B15540" t="n">
        <v>2.61</v>
      </c>
      <c r="C15540" t="n">
        <v>0.02</v>
      </c>
    </row>
    <row r="15541">
      <c r="A15541" s="28" t="n">
        <v>41481</v>
      </c>
      <c r="B15541" t="n">
        <v>2.58</v>
      </c>
      <c r="C15541" t="n">
        <v>0.03</v>
      </c>
    </row>
    <row r="15542">
      <c r="A15542" s="28" t="n">
        <v>41484</v>
      </c>
      <c r="B15542" t="n">
        <v>2.61</v>
      </c>
      <c r="C15542" t="n">
        <v>0.03</v>
      </c>
    </row>
    <row r="15543">
      <c r="A15543" s="28" t="n">
        <v>41485</v>
      </c>
      <c r="B15543" t="n">
        <v>2.63</v>
      </c>
      <c r="C15543" t="n">
        <v>0.04</v>
      </c>
    </row>
    <row r="15544">
      <c r="A15544" s="28" t="n">
        <v>41486</v>
      </c>
      <c r="B15544" t="n">
        <v>2.6</v>
      </c>
      <c r="C15544" t="n">
        <v>0.04</v>
      </c>
    </row>
    <row r="15545">
      <c r="A15545" s="28" t="n">
        <v>41487</v>
      </c>
      <c r="B15545" t="n">
        <v>2.74</v>
      </c>
      <c r="C15545" t="n">
        <v>0.04</v>
      </c>
    </row>
    <row r="15546">
      <c r="A15546" s="28" t="n">
        <v>41488</v>
      </c>
      <c r="B15546" t="n">
        <v>2.63</v>
      </c>
      <c r="C15546" t="n">
        <v>0.04</v>
      </c>
    </row>
    <row r="15547">
      <c r="A15547" s="28" t="n">
        <v>41491</v>
      </c>
      <c r="B15547" t="n">
        <v>2.67</v>
      </c>
      <c r="C15547" t="n">
        <v>0.05</v>
      </c>
    </row>
    <row r="15548">
      <c r="A15548" s="28" t="n">
        <v>41492</v>
      </c>
      <c r="B15548" t="n">
        <v>2.67</v>
      </c>
      <c r="C15548" t="n">
        <v>0.04</v>
      </c>
    </row>
    <row r="15549">
      <c r="A15549" s="28" t="n">
        <v>41493</v>
      </c>
      <c r="B15549" t="n">
        <v>2.61</v>
      </c>
      <c r="C15549" t="n">
        <v>0.05</v>
      </c>
    </row>
    <row r="15550">
      <c r="A15550" s="28" t="n">
        <v>41494</v>
      </c>
      <c r="B15550" t="n">
        <v>2.58</v>
      </c>
      <c r="C15550" t="n">
        <v>0.05</v>
      </c>
    </row>
    <row r="15551">
      <c r="A15551" s="28" t="n">
        <v>41495</v>
      </c>
      <c r="B15551" t="n">
        <v>2.57</v>
      </c>
      <c r="C15551" t="n">
        <v>0.05</v>
      </c>
    </row>
    <row r="15552">
      <c r="A15552" s="28" t="n">
        <v>41498</v>
      </c>
      <c r="B15552" t="n">
        <v>2.61</v>
      </c>
      <c r="C15552" t="n">
        <v>0.06</v>
      </c>
    </row>
    <row r="15553">
      <c r="A15553" s="28" t="n">
        <v>41499</v>
      </c>
      <c r="B15553" t="n">
        <v>2.71</v>
      </c>
      <c r="C15553" t="n">
        <v>0.06</v>
      </c>
    </row>
    <row r="15554">
      <c r="A15554" s="28" t="n">
        <v>41500</v>
      </c>
      <c r="B15554" t="n">
        <v>2.71</v>
      </c>
      <c r="C15554" t="n">
        <v>0.05</v>
      </c>
    </row>
    <row r="15555">
      <c r="A15555" s="28" t="n">
        <v>41501</v>
      </c>
      <c r="B15555" t="n">
        <v>2.77</v>
      </c>
      <c r="C15555" t="n">
        <v>0.05</v>
      </c>
    </row>
    <row r="15556">
      <c r="A15556" s="28" t="n">
        <v>41502</v>
      </c>
      <c r="B15556" t="n">
        <v>2.84</v>
      </c>
      <c r="C15556" t="n">
        <v>0.05</v>
      </c>
    </row>
    <row r="15557">
      <c r="A15557" s="28" t="n">
        <v>41505</v>
      </c>
      <c r="B15557" t="n">
        <v>2.88</v>
      </c>
      <c r="C15557" t="n">
        <v>0.06</v>
      </c>
    </row>
    <row r="15558">
      <c r="A15558" s="28" t="n">
        <v>41506</v>
      </c>
      <c r="B15558" t="n">
        <v>2.82</v>
      </c>
      <c r="C15558" t="n">
        <v>0.04</v>
      </c>
    </row>
    <row r="15559">
      <c r="A15559" s="28" t="n">
        <v>41507</v>
      </c>
      <c r="B15559" t="n">
        <v>2.87</v>
      </c>
      <c r="C15559" t="n">
        <v>0.04</v>
      </c>
    </row>
    <row r="15560">
      <c r="A15560" s="28" t="n">
        <v>41508</v>
      </c>
      <c r="B15560" t="n">
        <v>2.9</v>
      </c>
      <c r="C15560" t="n">
        <v>0.03</v>
      </c>
    </row>
    <row r="15561">
      <c r="A15561" s="28" t="n">
        <v>41509</v>
      </c>
      <c r="B15561" t="n">
        <v>2.82</v>
      </c>
      <c r="C15561" t="n">
        <v>0.03</v>
      </c>
    </row>
    <row r="15562">
      <c r="A15562" s="28" t="n">
        <v>41512</v>
      </c>
      <c r="B15562" t="n">
        <v>2.79</v>
      </c>
      <c r="C15562" t="n">
        <v>0.04</v>
      </c>
    </row>
    <row r="15563">
      <c r="A15563" s="28" t="n">
        <v>41513</v>
      </c>
      <c r="B15563" t="n">
        <v>2.72</v>
      </c>
      <c r="C15563" t="n">
        <v>0.05</v>
      </c>
    </row>
    <row r="15564">
      <c r="A15564" s="28" t="n">
        <v>41514</v>
      </c>
      <c r="B15564" t="n">
        <v>2.78</v>
      </c>
      <c r="C15564" t="n">
        <v>0.03</v>
      </c>
    </row>
    <row r="15565">
      <c r="A15565" s="28" t="n">
        <v>41515</v>
      </c>
      <c r="B15565" t="n">
        <v>2.75</v>
      </c>
      <c r="C15565" t="n">
        <v>0.02</v>
      </c>
    </row>
    <row r="15566">
      <c r="A15566" s="28" t="n">
        <v>41516</v>
      </c>
      <c r="B15566" t="n">
        <v>2.78</v>
      </c>
      <c r="C15566" t="n">
        <v>0.03</v>
      </c>
    </row>
    <row r="15567">
      <c r="A15567" s="28" t="n">
        <v>41519</v>
      </c>
      <c r="B15567" t="n">
        <v>0</v>
      </c>
      <c r="C15567" t="n">
        <v>0</v>
      </c>
    </row>
    <row r="15568">
      <c r="A15568" s="28" t="n">
        <v>41520</v>
      </c>
      <c r="B15568" t="n">
        <v>2.86</v>
      </c>
      <c r="C15568" t="n">
        <v>0.02</v>
      </c>
    </row>
    <row r="15569">
      <c r="A15569" s="28" t="n">
        <v>41521</v>
      </c>
      <c r="B15569" t="n">
        <v>2.9</v>
      </c>
      <c r="C15569" t="n">
        <v>0.02</v>
      </c>
    </row>
    <row r="15570">
      <c r="A15570" s="28" t="n">
        <v>41522</v>
      </c>
      <c r="B15570" t="n">
        <v>2.98</v>
      </c>
      <c r="C15570" t="n">
        <v>0.02</v>
      </c>
    </row>
    <row r="15571">
      <c r="A15571" s="28" t="n">
        <v>41523</v>
      </c>
      <c r="B15571" t="n">
        <v>2.94</v>
      </c>
      <c r="C15571" t="n">
        <v>0.02</v>
      </c>
    </row>
    <row r="15572">
      <c r="A15572" s="28" t="n">
        <v>41526</v>
      </c>
      <c r="B15572" t="n">
        <v>2.9</v>
      </c>
      <c r="C15572" t="n">
        <v>0.02</v>
      </c>
    </row>
    <row r="15573">
      <c r="A15573" s="28" t="n">
        <v>41527</v>
      </c>
      <c r="B15573" t="n">
        <v>2.96</v>
      </c>
      <c r="C15573" t="n">
        <v>0.02</v>
      </c>
    </row>
    <row r="15574">
      <c r="A15574" s="28" t="n">
        <v>41528</v>
      </c>
      <c r="B15574" t="n">
        <v>2.93</v>
      </c>
      <c r="C15574" t="n">
        <v>0.02</v>
      </c>
    </row>
    <row r="15575">
      <c r="A15575" s="28" t="n">
        <v>41529</v>
      </c>
      <c r="B15575" t="n">
        <v>2.92</v>
      </c>
      <c r="C15575" t="n">
        <v>0.01</v>
      </c>
    </row>
    <row r="15576">
      <c r="A15576" s="28" t="n">
        <v>41530</v>
      </c>
      <c r="B15576" t="n">
        <v>2.9</v>
      </c>
      <c r="C15576" t="n">
        <v>0.01</v>
      </c>
    </row>
    <row r="15577">
      <c r="A15577" s="28" t="n">
        <v>41533</v>
      </c>
      <c r="B15577" t="n">
        <v>2.88</v>
      </c>
      <c r="C15577" t="n">
        <v>0.02</v>
      </c>
    </row>
    <row r="15578">
      <c r="A15578" s="28" t="n">
        <v>41534</v>
      </c>
      <c r="B15578" t="n">
        <v>2.86</v>
      </c>
      <c r="C15578" t="n">
        <v>0.01</v>
      </c>
    </row>
    <row r="15579">
      <c r="A15579" s="28" t="n">
        <v>41535</v>
      </c>
      <c r="B15579" t="n">
        <v>2.69</v>
      </c>
      <c r="C15579" t="n">
        <v>0.01</v>
      </c>
    </row>
    <row r="15580">
      <c r="A15580" s="28" t="n">
        <v>41536</v>
      </c>
      <c r="B15580" t="n">
        <v>2.76</v>
      </c>
      <c r="C15580" t="n">
        <v>0.01</v>
      </c>
    </row>
    <row r="15581">
      <c r="A15581" s="28" t="n">
        <v>41537</v>
      </c>
      <c r="B15581" t="n">
        <v>2.75</v>
      </c>
      <c r="C15581" t="n">
        <v>0.01</v>
      </c>
    </row>
    <row r="15582">
      <c r="A15582" s="28" t="n">
        <v>41540</v>
      </c>
      <c r="B15582" t="n">
        <v>2.72</v>
      </c>
      <c r="C15582" t="n">
        <v>0.02</v>
      </c>
    </row>
    <row r="15583">
      <c r="A15583" s="28" t="n">
        <v>41541</v>
      </c>
      <c r="B15583" t="n">
        <v>2.67</v>
      </c>
      <c r="C15583" t="n">
        <v>0.02</v>
      </c>
    </row>
    <row r="15584">
      <c r="A15584" s="28" t="n">
        <v>41542</v>
      </c>
      <c r="B15584" t="n">
        <v>2.63</v>
      </c>
      <c r="C15584" t="n">
        <v>0.02</v>
      </c>
    </row>
    <row r="15585">
      <c r="A15585" s="28" t="n">
        <v>41543</v>
      </c>
      <c r="B15585" t="n">
        <v>2.66</v>
      </c>
      <c r="C15585" t="n">
        <v>0</v>
      </c>
    </row>
    <row r="15586">
      <c r="A15586" s="28" t="n">
        <v>41544</v>
      </c>
      <c r="B15586" t="n">
        <v>2.64</v>
      </c>
      <c r="C15586" t="n">
        <v>0.02</v>
      </c>
    </row>
    <row r="15587">
      <c r="A15587" s="28" t="n">
        <v>41547</v>
      </c>
      <c r="B15587" t="n">
        <v>2.64</v>
      </c>
      <c r="C15587" t="n">
        <v>0.02</v>
      </c>
    </row>
    <row r="15588">
      <c r="A15588" s="28" t="n">
        <v>41548</v>
      </c>
      <c r="B15588" t="n">
        <v>2.66</v>
      </c>
      <c r="C15588" t="n">
        <v>0.02</v>
      </c>
    </row>
    <row r="15589">
      <c r="A15589" s="28" t="n">
        <v>41549</v>
      </c>
      <c r="B15589" t="n">
        <v>2.63</v>
      </c>
      <c r="C15589" t="n">
        <v>0.02</v>
      </c>
    </row>
    <row r="15590">
      <c r="A15590" s="28" t="n">
        <v>41550</v>
      </c>
      <c r="B15590" t="n">
        <v>2.62</v>
      </c>
      <c r="C15590" t="n">
        <v>0.03</v>
      </c>
    </row>
    <row r="15591">
      <c r="A15591" s="28" t="n">
        <v>41551</v>
      </c>
      <c r="B15591" t="n">
        <v>2.66</v>
      </c>
      <c r="C15591" t="n">
        <v>0.03</v>
      </c>
    </row>
    <row r="15592">
      <c r="A15592" s="28" t="n">
        <v>41554</v>
      </c>
      <c r="B15592" t="n">
        <v>2.65</v>
      </c>
      <c r="C15592" t="n">
        <v>0.03</v>
      </c>
    </row>
    <row r="15593">
      <c r="A15593" s="28" t="n">
        <v>41555</v>
      </c>
      <c r="B15593" t="n">
        <v>2.66</v>
      </c>
      <c r="C15593" t="n">
        <v>0.05</v>
      </c>
    </row>
    <row r="15594">
      <c r="A15594" s="28" t="n">
        <v>41556</v>
      </c>
      <c r="B15594" t="n">
        <v>2.68</v>
      </c>
      <c r="C15594" t="n">
        <v>0.05</v>
      </c>
    </row>
    <row r="15595">
      <c r="A15595" s="28" t="n">
        <v>41557</v>
      </c>
      <c r="B15595" t="n">
        <v>2.71</v>
      </c>
      <c r="C15595" t="n">
        <v>0.05</v>
      </c>
    </row>
    <row r="15596">
      <c r="A15596" s="28" t="n">
        <v>41558</v>
      </c>
      <c r="B15596" t="n">
        <v>2.7</v>
      </c>
      <c r="C15596" t="n">
        <v>0.08</v>
      </c>
    </row>
    <row r="15597">
      <c r="A15597" s="28" t="n">
        <v>41561</v>
      </c>
      <c r="B15597" t="n">
        <v>0</v>
      </c>
      <c r="C15597" t="n">
        <v>0</v>
      </c>
    </row>
    <row r="15598">
      <c r="A15598" s="28" t="n">
        <v>41562</v>
      </c>
      <c r="B15598" t="n">
        <v>2.75</v>
      </c>
      <c r="C15598" t="n">
        <v>0.14</v>
      </c>
    </row>
    <row r="15599">
      <c r="A15599" s="28" t="n">
        <v>41563</v>
      </c>
      <c r="B15599" t="n">
        <v>2.69</v>
      </c>
      <c r="C15599" t="n">
        <v>0.1</v>
      </c>
    </row>
    <row r="15600">
      <c r="A15600" s="28" t="n">
        <v>41564</v>
      </c>
      <c r="B15600" t="n">
        <v>2.61</v>
      </c>
      <c r="C15600" t="n">
        <v>0.05</v>
      </c>
    </row>
    <row r="15601">
      <c r="A15601" s="28" t="n">
        <v>41565</v>
      </c>
      <c r="B15601" t="n">
        <v>2.6</v>
      </c>
      <c r="C15601" t="n">
        <v>0.04</v>
      </c>
    </row>
    <row r="15602">
      <c r="A15602" s="28" t="n">
        <v>41568</v>
      </c>
      <c r="B15602" t="n">
        <v>2.63</v>
      </c>
      <c r="C15602" t="n">
        <v>0.04</v>
      </c>
    </row>
    <row r="15603">
      <c r="A15603" s="28" t="n">
        <v>41569</v>
      </c>
      <c r="B15603" t="n">
        <v>2.54</v>
      </c>
      <c r="C15603" t="n">
        <v>0.04</v>
      </c>
    </row>
    <row r="15604">
      <c r="A15604" s="28" t="n">
        <v>41570</v>
      </c>
      <c r="B15604" t="n">
        <v>2.51</v>
      </c>
      <c r="C15604" t="n">
        <v>0.04</v>
      </c>
    </row>
    <row r="15605">
      <c r="A15605" s="28" t="n">
        <v>41571</v>
      </c>
      <c r="B15605" t="n">
        <v>2.53</v>
      </c>
      <c r="C15605" t="n">
        <v>0.03</v>
      </c>
    </row>
    <row r="15606">
      <c r="A15606" s="28" t="n">
        <v>41572</v>
      </c>
      <c r="B15606" t="n">
        <v>2.53</v>
      </c>
      <c r="C15606" t="n">
        <v>0.04</v>
      </c>
    </row>
    <row r="15607">
      <c r="A15607" s="28" t="n">
        <v>41575</v>
      </c>
      <c r="B15607" t="n">
        <v>2.54</v>
      </c>
      <c r="C15607" t="n">
        <v>0.04</v>
      </c>
    </row>
    <row r="15608">
      <c r="A15608" s="28" t="n">
        <v>41576</v>
      </c>
      <c r="B15608" t="n">
        <v>2.53</v>
      </c>
      <c r="C15608" t="n">
        <v>0.04</v>
      </c>
    </row>
    <row r="15609">
      <c r="A15609" s="28" t="n">
        <v>41577</v>
      </c>
      <c r="B15609" t="n">
        <v>2.55</v>
      </c>
      <c r="C15609" t="n">
        <v>0.04</v>
      </c>
    </row>
    <row r="15610">
      <c r="A15610" s="28" t="n">
        <v>41578</v>
      </c>
      <c r="B15610" t="n">
        <v>2.57</v>
      </c>
      <c r="C15610" t="n">
        <v>0.04</v>
      </c>
    </row>
    <row r="15611">
      <c r="A15611" s="28" t="n">
        <v>41579</v>
      </c>
      <c r="B15611" t="n">
        <v>2.65</v>
      </c>
      <c r="C15611" t="n">
        <v>0.04</v>
      </c>
    </row>
    <row r="15612">
      <c r="A15612" s="28" t="n">
        <v>41582</v>
      </c>
      <c r="B15612" t="n">
        <v>2.63</v>
      </c>
      <c r="C15612" t="n">
        <v>0.05</v>
      </c>
    </row>
    <row r="15613">
      <c r="A15613" s="28" t="n">
        <v>41583</v>
      </c>
      <c r="B15613" t="n">
        <v>2.69</v>
      </c>
      <c r="C15613" t="n">
        <v>0.05</v>
      </c>
    </row>
    <row r="15614">
      <c r="A15614" s="28" t="n">
        <v>41584</v>
      </c>
      <c r="B15614" t="n">
        <v>2.67</v>
      </c>
      <c r="C15614" t="n">
        <v>0.05</v>
      </c>
    </row>
    <row r="15615">
      <c r="A15615" s="28" t="n">
        <v>41585</v>
      </c>
      <c r="B15615" t="n">
        <v>2.63</v>
      </c>
      <c r="C15615" t="n">
        <v>0.05</v>
      </c>
    </row>
    <row r="15616">
      <c r="A15616" s="28" t="n">
        <v>41586</v>
      </c>
      <c r="B15616" t="n">
        <v>2.77</v>
      </c>
      <c r="C15616" t="n">
        <v>0.06</v>
      </c>
    </row>
    <row r="15617">
      <c r="A15617" s="28" t="n">
        <v>41589</v>
      </c>
      <c r="B15617" t="n">
        <v>0</v>
      </c>
      <c r="C15617" t="n">
        <v>0</v>
      </c>
    </row>
    <row r="15618">
      <c r="A15618" s="28" t="n">
        <v>41590</v>
      </c>
      <c r="B15618" t="n">
        <v>2.8</v>
      </c>
      <c r="C15618" t="n">
        <v>0.08</v>
      </c>
    </row>
    <row r="15619">
      <c r="A15619" s="28" t="n">
        <v>41591</v>
      </c>
      <c r="B15619" t="n">
        <v>2.75</v>
      </c>
      <c r="C15619" t="n">
        <v>0.08</v>
      </c>
    </row>
    <row r="15620">
      <c r="A15620" s="28" t="n">
        <v>41592</v>
      </c>
      <c r="B15620" t="n">
        <v>2.69</v>
      </c>
      <c r="C15620" t="n">
        <v>0.08</v>
      </c>
    </row>
    <row r="15621">
      <c r="A15621" s="28" t="n">
        <v>41593</v>
      </c>
      <c r="B15621" t="n">
        <v>2.71</v>
      </c>
      <c r="C15621" t="n">
        <v>0.08</v>
      </c>
    </row>
    <row r="15622">
      <c r="A15622" s="28" t="n">
        <v>41596</v>
      </c>
      <c r="B15622" t="n">
        <v>2.67</v>
      </c>
      <c r="C15622" t="n">
        <v>0.09</v>
      </c>
    </row>
    <row r="15623">
      <c r="A15623" s="28" t="n">
        <v>41597</v>
      </c>
      <c r="B15623" t="n">
        <v>2.71</v>
      </c>
      <c r="C15623" t="n">
        <v>0.08</v>
      </c>
    </row>
    <row r="15624">
      <c r="A15624" s="28" t="n">
        <v>41598</v>
      </c>
      <c r="B15624" t="n">
        <v>2.8</v>
      </c>
      <c r="C15624" t="n">
        <v>0.08</v>
      </c>
    </row>
    <row r="15625">
      <c r="A15625" s="28" t="n">
        <v>41599</v>
      </c>
      <c r="B15625" t="n">
        <v>2.79</v>
      </c>
      <c r="C15625" t="n">
        <v>0.07000000000000001</v>
      </c>
    </row>
    <row r="15626">
      <c r="A15626" s="28" t="n">
        <v>41600</v>
      </c>
      <c r="B15626" t="n">
        <v>2.75</v>
      </c>
      <c r="C15626" t="n">
        <v>0.07000000000000001</v>
      </c>
    </row>
    <row r="15627">
      <c r="A15627" s="28" t="n">
        <v>41603</v>
      </c>
      <c r="B15627" t="n">
        <v>2.74</v>
      </c>
      <c r="C15627" t="n">
        <v>0.08</v>
      </c>
    </row>
    <row r="15628">
      <c r="A15628" s="28" t="n">
        <v>41604</v>
      </c>
      <c r="B15628" t="n">
        <v>2.71</v>
      </c>
      <c r="C15628" t="n">
        <v>0.07000000000000001</v>
      </c>
    </row>
    <row r="15629">
      <c r="A15629" s="28" t="n">
        <v>41605</v>
      </c>
      <c r="B15629" t="n">
        <v>2.74</v>
      </c>
      <c r="C15629" t="n">
        <v>0.07000000000000001</v>
      </c>
    </row>
    <row r="15630">
      <c r="A15630" s="28" t="n">
        <v>41606</v>
      </c>
      <c r="B15630" t="n">
        <v>0</v>
      </c>
      <c r="C15630" t="n">
        <v>0</v>
      </c>
    </row>
    <row r="15631">
      <c r="A15631" s="28" t="n">
        <v>41607</v>
      </c>
      <c r="B15631" t="n">
        <v>2.75</v>
      </c>
      <c r="C15631" t="n">
        <v>0.06</v>
      </c>
    </row>
    <row r="15632">
      <c r="A15632" s="28" t="n">
        <v>41610</v>
      </c>
      <c r="B15632" t="n">
        <v>2.81</v>
      </c>
      <c r="C15632" t="n">
        <v>0.05</v>
      </c>
    </row>
    <row r="15633">
      <c r="A15633" s="28" t="n">
        <v>41611</v>
      </c>
      <c r="B15633" t="n">
        <v>2.79</v>
      </c>
      <c r="C15633" t="n">
        <v>0.06</v>
      </c>
    </row>
    <row r="15634">
      <c r="A15634" s="28" t="n">
        <v>41612</v>
      </c>
      <c r="B15634" t="n">
        <v>2.84</v>
      </c>
      <c r="C15634" t="n">
        <v>0.06</v>
      </c>
    </row>
    <row r="15635">
      <c r="A15635" s="28" t="n">
        <v>41613</v>
      </c>
      <c r="B15635" t="n">
        <v>2.88</v>
      </c>
      <c r="C15635" t="n">
        <v>0.06</v>
      </c>
    </row>
    <row r="15636">
      <c r="A15636" s="28" t="n">
        <v>41614</v>
      </c>
      <c r="B15636" t="n">
        <v>2.88</v>
      </c>
      <c r="C15636" t="n">
        <v>0.06</v>
      </c>
    </row>
    <row r="15637">
      <c r="A15637" s="28" t="n">
        <v>41617</v>
      </c>
      <c r="B15637" t="n">
        <v>2.86</v>
      </c>
      <c r="C15637" t="n">
        <v>0.07000000000000001</v>
      </c>
    </row>
    <row r="15638">
      <c r="A15638" s="28" t="n">
        <v>41618</v>
      </c>
      <c r="B15638" t="n">
        <v>2.81</v>
      </c>
      <c r="C15638" t="n">
        <v>0.07000000000000001</v>
      </c>
    </row>
    <row r="15639">
      <c r="A15639" s="28" t="n">
        <v>41619</v>
      </c>
      <c r="B15639" t="n">
        <v>2.86</v>
      </c>
      <c r="C15639" t="n">
        <v>0.07000000000000001</v>
      </c>
    </row>
    <row r="15640">
      <c r="A15640" s="28" t="n">
        <v>41620</v>
      </c>
      <c r="B15640" t="n">
        <v>2.89</v>
      </c>
      <c r="C15640" t="n">
        <v>0.07000000000000001</v>
      </c>
    </row>
    <row r="15641">
      <c r="A15641" s="28" t="n">
        <v>41621</v>
      </c>
      <c r="B15641" t="n">
        <v>2.88</v>
      </c>
      <c r="C15641" t="n">
        <v>0.07000000000000001</v>
      </c>
    </row>
    <row r="15642">
      <c r="A15642" s="28" t="n">
        <v>41624</v>
      </c>
      <c r="B15642" t="n">
        <v>2.89</v>
      </c>
      <c r="C15642" t="n">
        <v>0.07000000000000001</v>
      </c>
    </row>
    <row r="15643">
      <c r="A15643" s="28" t="n">
        <v>41625</v>
      </c>
      <c r="B15643" t="n">
        <v>2.85</v>
      </c>
      <c r="C15643" t="n">
        <v>0.07000000000000001</v>
      </c>
    </row>
    <row r="15644">
      <c r="A15644" s="28" t="n">
        <v>41626</v>
      </c>
      <c r="B15644" t="n">
        <v>2.89</v>
      </c>
      <c r="C15644" t="n">
        <v>0.07000000000000001</v>
      </c>
    </row>
    <row r="15645">
      <c r="A15645" s="28" t="n">
        <v>41627</v>
      </c>
      <c r="B15645" t="n">
        <v>2.94</v>
      </c>
      <c r="C15645" t="n">
        <v>0.06</v>
      </c>
    </row>
    <row r="15646">
      <c r="A15646" s="28" t="n">
        <v>41628</v>
      </c>
      <c r="B15646" t="n">
        <v>2.89</v>
      </c>
      <c r="C15646" t="n">
        <v>0.07000000000000001</v>
      </c>
    </row>
    <row r="15647">
      <c r="A15647" s="28" t="n">
        <v>41631</v>
      </c>
      <c r="B15647" t="n">
        <v>2.94</v>
      </c>
      <c r="C15647" t="n">
        <v>0.07000000000000001</v>
      </c>
    </row>
    <row r="15648">
      <c r="A15648" s="28" t="n">
        <v>41632</v>
      </c>
      <c r="B15648" t="n">
        <v>2.99</v>
      </c>
      <c r="C15648" t="n">
        <v>0.07000000000000001</v>
      </c>
    </row>
    <row r="15649">
      <c r="A15649" s="28" t="n">
        <v>41633</v>
      </c>
      <c r="B15649" t="n">
        <v>0</v>
      </c>
      <c r="C15649" t="n">
        <v>0</v>
      </c>
    </row>
    <row r="15650">
      <c r="A15650" s="28" t="n">
        <v>41634</v>
      </c>
      <c r="B15650" t="n">
        <v>3</v>
      </c>
      <c r="C15650" t="n">
        <v>0.07000000000000001</v>
      </c>
    </row>
    <row r="15651">
      <c r="A15651" s="28" t="n">
        <v>41635</v>
      </c>
      <c r="B15651" t="n">
        <v>3.02</v>
      </c>
      <c r="C15651" t="n">
        <v>0.07000000000000001</v>
      </c>
    </row>
    <row r="15652">
      <c r="A15652" s="28" t="n">
        <v>41638</v>
      </c>
      <c r="B15652" t="n">
        <v>2.99</v>
      </c>
      <c r="C15652" t="n">
        <v>0.07000000000000001</v>
      </c>
    </row>
    <row r="15653">
      <c r="A15653" s="28" t="n">
        <v>41639</v>
      </c>
      <c r="B15653" t="n">
        <v>3.04</v>
      </c>
      <c r="C15653" t="n">
        <v>0.07000000000000001</v>
      </c>
    </row>
    <row r="15654">
      <c r="A15654" s="28" t="n">
        <v>41640</v>
      </c>
      <c r="B15654" t="n">
        <v>0</v>
      </c>
      <c r="C15654" t="n">
        <v>0</v>
      </c>
    </row>
    <row r="15655">
      <c r="A15655" s="28" t="n">
        <v>41641</v>
      </c>
      <c r="B15655" t="n">
        <v>3</v>
      </c>
      <c r="C15655" t="n">
        <v>0.07000000000000001</v>
      </c>
    </row>
    <row r="15656">
      <c r="A15656" s="28" t="n">
        <v>41642</v>
      </c>
      <c r="B15656" t="n">
        <v>3.01</v>
      </c>
      <c r="C15656" t="n">
        <v>0.07000000000000001</v>
      </c>
    </row>
    <row r="15657">
      <c r="A15657" s="28" t="n">
        <v>41645</v>
      </c>
      <c r="B15657" t="n">
        <v>2.98</v>
      </c>
      <c r="C15657" t="n">
        <v>0.05</v>
      </c>
    </row>
    <row r="15658">
      <c r="A15658" s="28" t="n">
        <v>41646</v>
      </c>
      <c r="B15658" t="n">
        <v>2.96</v>
      </c>
      <c r="C15658" t="n">
        <v>0.04</v>
      </c>
    </row>
    <row r="15659">
      <c r="A15659" s="28" t="n">
        <v>41647</v>
      </c>
      <c r="B15659" t="n">
        <v>3.01</v>
      </c>
      <c r="C15659" t="n">
        <v>0.05</v>
      </c>
    </row>
    <row r="15660">
      <c r="A15660" s="28" t="n">
        <v>41648</v>
      </c>
      <c r="B15660" t="n">
        <v>2.97</v>
      </c>
      <c r="C15660" t="n">
        <v>0.04</v>
      </c>
    </row>
    <row r="15661">
      <c r="A15661" s="28" t="n">
        <v>41649</v>
      </c>
      <c r="B15661" t="n">
        <v>2.88</v>
      </c>
      <c r="C15661" t="n">
        <v>0.05</v>
      </c>
    </row>
    <row r="15662">
      <c r="A15662" s="28" t="n">
        <v>41652</v>
      </c>
      <c r="B15662" t="n">
        <v>2.84</v>
      </c>
      <c r="C15662" t="n">
        <v>0.03</v>
      </c>
    </row>
    <row r="15663">
      <c r="A15663" s="28" t="n">
        <v>41653</v>
      </c>
      <c r="B15663" t="n">
        <v>2.88</v>
      </c>
      <c r="C15663" t="n">
        <v>0.04</v>
      </c>
    </row>
    <row r="15664">
      <c r="A15664" s="28" t="n">
        <v>41654</v>
      </c>
      <c r="B15664" t="n">
        <v>2.9</v>
      </c>
      <c r="C15664" t="n">
        <v>0.04</v>
      </c>
    </row>
    <row r="15665">
      <c r="A15665" s="28" t="n">
        <v>41655</v>
      </c>
      <c r="B15665" t="n">
        <v>2.86</v>
      </c>
      <c r="C15665" t="n">
        <v>0.04</v>
      </c>
    </row>
    <row r="15666">
      <c r="A15666" s="28" t="n">
        <v>41656</v>
      </c>
      <c r="B15666" t="n">
        <v>2.84</v>
      </c>
      <c r="C15666" t="n">
        <v>0.05</v>
      </c>
    </row>
    <row r="15667">
      <c r="A15667" s="28" t="n">
        <v>41659</v>
      </c>
      <c r="B15667" t="n">
        <v>0</v>
      </c>
      <c r="C15667" t="n">
        <v>0</v>
      </c>
    </row>
    <row r="15668">
      <c r="A15668" s="28" t="n">
        <v>41660</v>
      </c>
      <c r="B15668" t="n">
        <v>2.85</v>
      </c>
      <c r="C15668" t="n">
        <v>0.04</v>
      </c>
    </row>
    <row r="15669">
      <c r="A15669" s="28" t="n">
        <v>41661</v>
      </c>
      <c r="B15669" t="n">
        <v>2.87</v>
      </c>
      <c r="C15669" t="n">
        <v>0.04</v>
      </c>
    </row>
    <row r="15670">
      <c r="A15670" s="28" t="n">
        <v>41662</v>
      </c>
      <c r="B15670" t="n">
        <v>2.79</v>
      </c>
      <c r="C15670" t="n">
        <v>0.04</v>
      </c>
    </row>
    <row r="15671">
      <c r="A15671" s="28" t="n">
        <v>41663</v>
      </c>
      <c r="B15671" t="n">
        <v>2.75</v>
      </c>
      <c r="C15671" t="n">
        <v>0.04</v>
      </c>
    </row>
    <row r="15672">
      <c r="A15672" s="28" t="n">
        <v>41666</v>
      </c>
      <c r="B15672" t="n">
        <v>2.78</v>
      </c>
      <c r="C15672" t="n">
        <v>0.05</v>
      </c>
    </row>
    <row r="15673">
      <c r="A15673" s="28" t="n">
        <v>41667</v>
      </c>
      <c r="B15673" t="n">
        <v>2.77</v>
      </c>
      <c r="C15673" t="n">
        <v>0.05</v>
      </c>
    </row>
    <row r="15674">
      <c r="A15674" s="28" t="n">
        <v>41668</v>
      </c>
      <c r="B15674" t="n">
        <v>2.69</v>
      </c>
      <c r="C15674" t="n">
        <v>0.04</v>
      </c>
    </row>
    <row r="15675">
      <c r="A15675" s="28" t="n">
        <v>41669</v>
      </c>
      <c r="B15675" t="n">
        <v>2.72</v>
      </c>
      <c r="C15675" t="n">
        <v>0.02</v>
      </c>
    </row>
    <row r="15676">
      <c r="A15676" s="28" t="n">
        <v>41670</v>
      </c>
      <c r="B15676" t="n">
        <v>2.67</v>
      </c>
      <c r="C15676" t="n">
        <v>0.02</v>
      </c>
    </row>
    <row r="15677">
      <c r="A15677" s="28" t="n">
        <v>41673</v>
      </c>
      <c r="B15677" t="n">
        <v>2.61</v>
      </c>
      <c r="C15677" t="n">
        <v>0.05</v>
      </c>
    </row>
    <row r="15678">
      <c r="A15678" s="28" t="n">
        <v>41674</v>
      </c>
      <c r="B15678" t="n">
        <v>2.64</v>
      </c>
      <c r="C15678" t="n">
        <v>0.06</v>
      </c>
    </row>
    <row r="15679">
      <c r="A15679" s="28" t="n">
        <v>41675</v>
      </c>
      <c r="B15679" t="n">
        <v>2.7</v>
      </c>
      <c r="C15679" t="n">
        <v>0.07000000000000001</v>
      </c>
    </row>
    <row r="15680">
      <c r="A15680" s="28" t="n">
        <v>41676</v>
      </c>
      <c r="B15680" t="n">
        <v>2.73</v>
      </c>
      <c r="C15680" t="n">
        <v>0.07000000000000001</v>
      </c>
    </row>
    <row r="15681">
      <c r="A15681" s="28" t="n">
        <v>41677</v>
      </c>
      <c r="B15681" t="n">
        <v>2.71</v>
      </c>
      <c r="C15681" t="n">
        <v>0.08</v>
      </c>
    </row>
    <row r="15682">
      <c r="A15682" s="28" t="n">
        <v>41680</v>
      </c>
      <c r="B15682" t="n">
        <v>2.7</v>
      </c>
      <c r="C15682" t="n">
        <v>0.07000000000000001</v>
      </c>
    </row>
    <row r="15683">
      <c r="A15683" s="28" t="n">
        <v>41681</v>
      </c>
      <c r="B15683" t="n">
        <v>2.75</v>
      </c>
      <c r="C15683" t="n">
        <v>0.05</v>
      </c>
    </row>
    <row r="15684">
      <c r="A15684" s="28" t="n">
        <v>41682</v>
      </c>
      <c r="B15684" t="n">
        <v>2.8</v>
      </c>
      <c r="C15684" t="n">
        <v>0.05</v>
      </c>
    </row>
    <row r="15685">
      <c r="A15685" s="28" t="n">
        <v>41683</v>
      </c>
      <c r="B15685" t="n">
        <v>2.73</v>
      </c>
      <c r="C15685" t="n">
        <v>0.03</v>
      </c>
    </row>
    <row r="15686">
      <c r="A15686" s="28" t="n">
        <v>41684</v>
      </c>
      <c r="B15686" t="n">
        <v>2.75</v>
      </c>
      <c r="C15686" t="n">
        <v>0.02</v>
      </c>
    </row>
    <row r="15687">
      <c r="A15687" s="28" t="n">
        <v>41687</v>
      </c>
      <c r="B15687" t="n">
        <v>0</v>
      </c>
      <c r="C15687" t="n">
        <v>0</v>
      </c>
    </row>
    <row r="15688">
      <c r="A15688" s="28" t="n">
        <v>41688</v>
      </c>
      <c r="B15688" t="n">
        <v>2.71</v>
      </c>
      <c r="C15688" t="n">
        <v>0.05</v>
      </c>
    </row>
    <row r="15689">
      <c r="A15689" s="28" t="n">
        <v>41689</v>
      </c>
      <c r="B15689" t="n">
        <v>2.73</v>
      </c>
      <c r="C15689" t="n">
        <v>0.06</v>
      </c>
    </row>
    <row r="15690">
      <c r="A15690" s="28" t="n">
        <v>41690</v>
      </c>
      <c r="B15690" t="n">
        <v>2.76</v>
      </c>
      <c r="C15690" t="n">
        <v>0.05</v>
      </c>
    </row>
    <row r="15691">
      <c r="A15691" s="28" t="n">
        <v>41691</v>
      </c>
      <c r="B15691" t="n">
        <v>2.73</v>
      </c>
      <c r="C15691" t="n">
        <v>0.05</v>
      </c>
    </row>
    <row r="15692">
      <c r="A15692" s="28" t="n">
        <v>41694</v>
      </c>
      <c r="B15692" t="n">
        <v>2.75</v>
      </c>
      <c r="C15692" t="n">
        <v>0.05</v>
      </c>
    </row>
    <row r="15693">
      <c r="A15693" s="28" t="n">
        <v>41695</v>
      </c>
      <c r="B15693" t="n">
        <v>2.7</v>
      </c>
      <c r="C15693" t="n">
        <v>0.05</v>
      </c>
    </row>
    <row r="15694">
      <c r="A15694" s="28" t="n">
        <v>41696</v>
      </c>
      <c r="B15694" t="n">
        <v>2.67</v>
      </c>
      <c r="C15694" t="n">
        <v>0.05</v>
      </c>
    </row>
    <row r="15695">
      <c r="A15695" s="28" t="n">
        <v>41697</v>
      </c>
      <c r="B15695" t="n">
        <v>2.65</v>
      </c>
      <c r="C15695" t="n">
        <v>0.04</v>
      </c>
    </row>
    <row r="15696">
      <c r="A15696" s="28" t="n">
        <v>41698</v>
      </c>
      <c r="B15696" t="n">
        <v>2.66</v>
      </c>
      <c r="C15696" t="n">
        <v>0.05</v>
      </c>
    </row>
    <row r="15697">
      <c r="A15697" s="28" t="n">
        <v>41701</v>
      </c>
      <c r="B15697" t="n">
        <v>2.6</v>
      </c>
      <c r="C15697" t="n">
        <v>0.05</v>
      </c>
    </row>
    <row r="15698">
      <c r="A15698" s="28" t="n">
        <v>41702</v>
      </c>
      <c r="B15698" t="n">
        <v>2.7</v>
      </c>
      <c r="C15698" t="n">
        <v>0.05</v>
      </c>
    </row>
    <row r="15699">
      <c r="A15699" s="28" t="n">
        <v>41703</v>
      </c>
      <c r="B15699" t="n">
        <v>2.7</v>
      </c>
      <c r="C15699" t="n">
        <v>0.06</v>
      </c>
    </row>
    <row r="15700">
      <c r="A15700" s="28" t="n">
        <v>41704</v>
      </c>
      <c r="B15700" t="n">
        <v>2.74</v>
      </c>
      <c r="C15700" t="n">
        <v>0.05</v>
      </c>
    </row>
    <row r="15701">
      <c r="A15701" s="28" t="n">
        <v>41705</v>
      </c>
      <c r="B15701" t="n">
        <v>2.8</v>
      </c>
      <c r="C15701" t="n">
        <v>0.06</v>
      </c>
    </row>
    <row r="15702">
      <c r="A15702" s="28" t="n">
        <v>41708</v>
      </c>
      <c r="B15702" t="n">
        <v>2.79</v>
      </c>
      <c r="C15702" t="n">
        <v>0.05</v>
      </c>
    </row>
    <row r="15703">
      <c r="A15703" s="28" t="n">
        <v>41709</v>
      </c>
      <c r="B15703" t="n">
        <v>2.77</v>
      </c>
      <c r="C15703" t="n">
        <v>0.05</v>
      </c>
    </row>
    <row r="15704">
      <c r="A15704" s="28" t="n">
        <v>41710</v>
      </c>
      <c r="B15704" t="n">
        <v>2.73</v>
      </c>
      <c r="C15704" t="n">
        <v>0.05</v>
      </c>
    </row>
    <row r="15705">
      <c r="A15705" s="28" t="n">
        <v>41711</v>
      </c>
      <c r="B15705" t="n">
        <v>2.66</v>
      </c>
      <c r="C15705" t="n">
        <v>0.05</v>
      </c>
    </row>
    <row r="15706">
      <c r="A15706" s="28" t="n">
        <v>41712</v>
      </c>
      <c r="B15706" t="n">
        <v>2.65</v>
      </c>
      <c r="C15706" t="n">
        <v>0.05</v>
      </c>
    </row>
    <row r="15707">
      <c r="A15707" s="28" t="n">
        <v>41715</v>
      </c>
      <c r="B15707" t="n">
        <v>2.7</v>
      </c>
      <c r="C15707" t="n">
        <v>0.06</v>
      </c>
    </row>
    <row r="15708">
      <c r="A15708" s="28" t="n">
        <v>41716</v>
      </c>
      <c r="B15708" t="n">
        <v>2.68</v>
      </c>
      <c r="C15708" t="n">
        <v>0.05</v>
      </c>
    </row>
    <row r="15709">
      <c r="A15709" s="28" t="n">
        <v>41717</v>
      </c>
      <c r="B15709" t="n">
        <v>2.78</v>
      </c>
      <c r="C15709" t="n">
        <v>0.06</v>
      </c>
    </row>
    <row r="15710">
      <c r="A15710" s="28" t="n">
        <v>41718</v>
      </c>
      <c r="B15710" t="n">
        <v>2.79</v>
      </c>
      <c r="C15710" t="n">
        <v>0.06</v>
      </c>
    </row>
    <row r="15711">
      <c r="A15711" s="28" t="n">
        <v>41719</v>
      </c>
      <c r="B15711" t="n">
        <v>2.75</v>
      </c>
      <c r="C15711" t="n">
        <v>0.06</v>
      </c>
    </row>
    <row r="15712">
      <c r="A15712" s="28" t="n">
        <v>41722</v>
      </c>
      <c r="B15712" t="n">
        <v>2.74</v>
      </c>
      <c r="C15712" t="n">
        <v>0.06</v>
      </c>
    </row>
    <row r="15713">
      <c r="A15713" s="28" t="n">
        <v>41723</v>
      </c>
      <c r="B15713" t="n">
        <v>2.75</v>
      </c>
      <c r="C15713" t="n">
        <v>0.05</v>
      </c>
    </row>
    <row r="15714">
      <c r="A15714" s="28" t="n">
        <v>41724</v>
      </c>
      <c r="B15714" t="n">
        <v>2.71</v>
      </c>
      <c r="C15714" t="n">
        <v>0.05</v>
      </c>
    </row>
    <row r="15715">
      <c r="A15715" s="28" t="n">
        <v>41725</v>
      </c>
      <c r="B15715" t="n">
        <v>2.69</v>
      </c>
      <c r="C15715" t="n">
        <v>0.04</v>
      </c>
    </row>
    <row r="15716">
      <c r="A15716" s="28" t="n">
        <v>41726</v>
      </c>
      <c r="B15716" t="n">
        <v>2.73</v>
      </c>
      <c r="C15716" t="n">
        <v>0.04</v>
      </c>
    </row>
    <row r="15717">
      <c r="A15717" s="28" t="n">
        <v>41729</v>
      </c>
      <c r="B15717" t="n">
        <v>2.73</v>
      </c>
      <c r="C15717" t="n">
        <v>0.05</v>
      </c>
    </row>
    <row r="15718">
      <c r="A15718" s="28" t="n">
        <v>41730</v>
      </c>
      <c r="B15718" t="n">
        <v>2.77</v>
      </c>
      <c r="C15718" t="n">
        <v>0.04</v>
      </c>
    </row>
    <row r="15719">
      <c r="A15719" s="28" t="n">
        <v>41731</v>
      </c>
      <c r="B15719" t="n">
        <v>2.82</v>
      </c>
      <c r="C15719" t="n">
        <v>0.02</v>
      </c>
    </row>
    <row r="15720">
      <c r="A15720" s="28" t="n">
        <v>41732</v>
      </c>
      <c r="B15720" t="n">
        <v>2.8</v>
      </c>
      <c r="C15720" t="n">
        <v>0.02</v>
      </c>
    </row>
    <row r="15721">
      <c r="A15721" s="28" t="n">
        <v>41733</v>
      </c>
      <c r="B15721" t="n">
        <v>2.74</v>
      </c>
      <c r="C15721" t="n">
        <v>0.03</v>
      </c>
    </row>
    <row r="15722">
      <c r="A15722" s="28" t="n">
        <v>41736</v>
      </c>
      <c r="B15722" t="n">
        <v>2.71</v>
      </c>
      <c r="C15722" t="n">
        <v>0.03</v>
      </c>
    </row>
    <row r="15723">
      <c r="A15723" s="28" t="n">
        <v>41737</v>
      </c>
      <c r="B15723" t="n">
        <v>2.69</v>
      </c>
      <c r="C15723" t="n">
        <v>0.03</v>
      </c>
    </row>
    <row r="15724">
      <c r="A15724" s="28" t="n">
        <v>41738</v>
      </c>
      <c r="B15724" t="n">
        <v>2.71</v>
      </c>
      <c r="C15724" t="n">
        <v>0.04</v>
      </c>
    </row>
    <row r="15725">
      <c r="A15725" s="28" t="n">
        <v>41739</v>
      </c>
      <c r="B15725" t="n">
        <v>2.65</v>
      </c>
      <c r="C15725" t="n">
        <v>0.04</v>
      </c>
    </row>
    <row r="15726">
      <c r="A15726" s="28" t="n">
        <v>41740</v>
      </c>
      <c r="B15726" t="n">
        <v>2.63</v>
      </c>
      <c r="C15726" t="n">
        <v>0.04</v>
      </c>
    </row>
    <row r="15727">
      <c r="A15727" s="28" t="n">
        <v>41743</v>
      </c>
      <c r="B15727" t="n">
        <v>2.65</v>
      </c>
      <c r="C15727" t="n">
        <v>0.04</v>
      </c>
    </row>
    <row r="15728">
      <c r="A15728" s="28" t="n">
        <v>41744</v>
      </c>
      <c r="B15728" t="n">
        <v>2.64</v>
      </c>
      <c r="C15728" t="n">
        <v>0.04</v>
      </c>
    </row>
    <row r="15729">
      <c r="A15729" s="28" t="n">
        <v>41745</v>
      </c>
      <c r="B15729" t="n">
        <v>2.65</v>
      </c>
      <c r="C15729" t="n">
        <v>0.04</v>
      </c>
    </row>
    <row r="15730">
      <c r="A15730" s="28" t="n">
        <v>41746</v>
      </c>
      <c r="B15730" t="n">
        <v>2.73</v>
      </c>
      <c r="C15730" t="n">
        <v>0.03</v>
      </c>
    </row>
    <row r="15731">
      <c r="A15731" s="28" t="n">
        <v>41747</v>
      </c>
      <c r="B15731" t="n">
        <v>0</v>
      </c>
      <c r="C15731" t="n">
        <v>0</v>
      </c>
    </row>
    <row r="15732">
      <c r="A15732" s="28" t="n">
        <v>41750</v>
      </c>
      <c r="B15732" t="n">
        <v>2.73</v>
      </c>
      <c r="C15732" t="n">
        <v>0.04</v>
      </c>
    </row>
    <row r="15733">
      <c r="A15733" s="28" t="n">
        <v>41751</v>
      </c>
      <c r="B15733" t="n">
        <v>2.73</v>
      </c>
      <c r="C15733" t="n">
        <v>0.03</v>
      </c>
    </row>
    <row r="15734">
      <c r="A15734" s="28" t="n">
        <v>41752</v>
      </c>
      <c r="B15734" t="n">
        <v>2.7</v>
      </c>
      <c r="C15734" t="n">
        <v>0.02</v>
      </c>
    </row>
    <row r="15735">
      <c r="A15735" s="28" t="n">
        <v>41753</v>
      </c>
      <c r="B15735" t="n">
        <v>2.7</v>
      </c>
      <c r="C15735" t="n">
        <v>0.01</v>
      </c>
    </row>
    <row r="15736">
      <c r="A15736" s="28" t="n">
        <v>41754</v>
      </c>
      <c r="B15736" t="n">
        <v>2.68</v>
      </c>
      <c r="C15736" t="n">
        <v>0.03</v>
      </c>
    </row>
    <row r="15737">
      <c r="A15737" s="28" t="n">
        <v>41757</v>
      </c>
      <c r="B15737" t="n">
        <v>2.7</v>
      </c>
      <c r="C15737" t="n">
        <v>0.03</v>
      </c>
    </row>
    <row r="15738">
      <c r="A15738" s="28" t="n">
        <v>41758</v>
      </c>
      <c r="B15738" t="n">
        <v>2.71</v>
      </c>
      <c r="C15738" t="n">
        <v>0.02</v>
      </c>
    </row>
    <row r="15739">
      <c r="A15739" s="28" t="n">
        <v>41759</v>
      </c>
      <c r="B15739" t="n">
        <v>2.67</v>
      </c>
      <c r="C15739" t="n">
        <v>0.03</v>
      </c>
    </row>
    <row r="15740">
      <c r="A15740" s="28" t="n">
        <v>41760</v>
      </c>
      <c r="B15740" t="n">
        <v>2.63</v>
      </c>
      <c r="C15740" t="n">
        <v>0.03</v>
      </c>
    </row>
    <row r="15741">
      <c r="A15741" s="28" t="n">
        <v>41761</v>
      </c>
      <c r="B15741" t="n">
        <v>2.6</v>
      </c>
      <c r="C15741" t="n">
        <v>0.02</v>
      </c>
    </row>
    <row r="15742">
      <c r="A15742" s="28" t="n">
        <v>41764</v>
      </c>
      <c r="B15742" t="n">
        <v>2.63</v>
      </c>
      <c r="C15742" t="n">
        <v>0.03</v>
      </c>
    </row>
    <row r="15743">
      <c r="A15743" s="28" t="n">
        <v>41765</v>
      </c>
      <c r="B15743" t="n">
        <v>2.61</v>
      </c>
      <c r="C15743" t="n">
        <v>0.03</v>
      </c>
    </row>
    <row r="15744">
      <c r="A15744" s="28" t="n">
        <v>41766</v>
      </c>
      <c r="B15744" t="n">
        <v>2.62</v>
      </c>
      <c r="C15744" t="n">
        <v>0.03</v>
      </c>
    </row>
    <row r="15745">
      <c r="A15745" s="28" t="n">
        <v>41767</v>
      </c>
      <c r="B15745" t="n">
        <v>2.61</v>
      </c>
      <c r="C15745" t="n">
        <v>0.03</v>
      </c>
    </row>
    <row r="15746">
      <c r="A15746" s="28" t="n">
        <v>41768</v>
      </c>
      <c r="B15746" t="n">
        <v>2.62</v>
      </c>
      <c r="C15746" t="n">
        <v>0.03</v>
      </c>
    </row>
    <row r="15747">
      <c r="A15747" s="28" t="n">
        <v>41771</v>
      </c>
      <c r="B15747" t="n">
        <v>2.66</v>
      </c>
      <c r="C15747" t="n">
        <v>0.03</v>
      </c>
    </row>
    <row r="15748">
      <c r="A15748" s="28" t="n">
        <v>41772</v>
      </c>
      <c r="B15748" t="n">
        <v>2.61</v>
      </c>
      <c r="C15748" t="n">
        <v>0.03</v>
      </c>
    </row>
    <row r="15749">
      <c r="A15749" s="28" t="n">
        <v>41773</v>
      </c>
      <c r="B15749" t="n">
        <v>2.54</v>
      </c>
      <c r="C15749" t="n">
        <v>0.03</v>
      </c>
    </row>
    <row r="15750">
      <c r="A15750" s="28" t="n">
        <v>41774</v>
      </c>
      <c r="B15750" t="n">
        <v>2.5</v>
      </c>
      <c r="C15750" t="n">
        <v>0.03</v>
      </c>
    </row>
    <row r="15751">
      <c r="A15751" s="28" t="n">
        <v>41775</v>
      </c>
      <c r="B15751" t="n">
        <v>2.52</v>
      </c>
      <c r="C15751" t="n">
        <v>0.03</v>
      </c>
    </row>
    <row r="15752">
      <c r="A15752" s="28" t="n">
        <v>41778</v>
      </c>
      <c r="B15752" t="n">
        <v>2.54</v>
      </c>
      <c r="C15752" t="n">
        <v>0.03</v>
      </c>
    </row>
    <row r="15753">
      <c r="A15753" s="28" t="n">
        <v>41779</v>
      </c>
      <c r="B15753" t="n">
        <v>2.52</v>
      </c>
      <c r="C15753" t="n">
        <v>0.03</v>
      </c>
    </row>
    <row r="15754">
      <c r="A15754" s="28" t="n">
        <v>41780</v>
      </c>
      <c r="B15754" t="n">
        <v>2.54</v>
      </c>
      <c r="C15754" t="n">
        <v>0.04</v>
      </c>
    </row>
    <row r="15755">
      <c r="A15755" s="28" t="n">
        <v>41781</v>
      </c>
      <c r="B15755" t="n">
        <v>2.56</v>
      </c>
      <c r="C15755" t="n">
        <v>0.03</v>
      </c>
    </row>
    <row r="15756">
      <c r="A15756" s="28" t="n">
        <v>41782</v>
      </c>
      <c r="B15756" t="n">
        <v>2.54</v>
      </c>
      <c r="C15756" t="n">
        <v>0.04</v>
      </c>
    </row>
    <row r="15757">
      <c r="A15757" s="28" t="n">
        <v>41785</v>
      </c>
      <c r="B15757" t="n">
        <v>0</v>
      </c>
      <c r="C15757" t="n">
        <v>0</v>
      </c>
    </row>
    <row r="15758">
      <c r="A15758" s="28" t="n">
        <v>41786</v>
      </c>
      <c r="B15758" t="n">
        <v>2.52</v>
      </c>
      <c r="C15758" t="n">
        <v>0.04</v>
      </c>
    </row>
    <row r="15759">
      <c r="A15759" s="28" t="n">
        <v>41787</v>
      </c>
      <c r="B15759" t="n">
        <v>2.44</v>
      </c>
      <c r="C15759" t="n">
        <v>0.04</v>
      </c>
    </row>
    <row r="15760">
      <c r="A15760" s="28" t="n">
        <v>41788</v>
      </c>
      <c r="B15760" t="n">
        <v>2.45</v>
      </c>
      <c r="C15760" t="n">
        <v>0.04</v>
      </c>
    </row>
    <row r="15761">
      <c r="A15761" s="28" t="n">
        <v>41789</v>
      </c>
      <c r="B15761" t="n">
        <v>2.48</v>
      </c>
      <c r="C15761" t="n">
        <v>0.04</v>
      </c>
    </row>
    <row r="15762">
      <c r="A15762" s="28" t="n">
        <v>41792</v>
      </c>
      <c r="B15762" t="n">
        <v>2.54</v>
      </c>
      <c r="C15762" t="n">
        <v>0.04</v>
      </c>
    </row>
    <row r="15763">
      <c r="A15763" s="28" t="n">
        <v>41793</v>
      </c>
      <c r="B15763" t="n">
        <v>2.6</v>
      </c>
      <c r="C15763" t="n">
        <v>0.04</v>
      </c>
    </row>
    <row r="15764">
      <c r="A15764" s="28" t="n">
        <v>41794</v>
      </c>
      <c r="B15764" t="n">
        <v>2.61</v>
      </c>
      <c r="C15764" t="n">
        <v>0.04</v>
      </c>
    </row>
    <row r="15765">
      <c r="A15765" s="28" t="n">
        <v>41795</v>
      </c>
      <c r="B15765" t="n">
        <v>2.59</v>
      </c>
      <c r="C15765" t="n">
        <v>0.04</v>
      </c>
    </row>
    <row r="15766">
      <c r="A15766" s="28" t="n">
        <v>41796</v>
      </c>
      <c r="B15766" t="n">
        <v>2.6</v>
      </c>
      <c r="C15766" t="n">
        <v>0.04</v>
      </c>
    </row>
    <row r="15767">
      <c r="A15767" s="28" t="n">
        <v>41799</v>
      </c>
      <c r="B15767" t="n">
        <v>2.62</v>
      </c>
      <c r="C15767" t="n">
        <v>0.04</v>
      </c>
    </row>
    <row r="15768">
      <c r="A15768" s="28" t="n">
        <v>41800</v>
      </c>
      <c r="B15768" t="n">
        <v>2.64</v>
      </c>
      <c r="C15768" t="n">
        <v>0.04</v>
      </c>
    </row>
    <row r="15769">
      <c r="A15769" s="28" t="n">
        <v>41801</v>
      </c>
      <c r="B15769" t="n">
        <v>2.65</v>
      </c>
      <c r="C15769" t="n">
        <v>0.04</v>
      </c>
    </row>
    <row r="15770">
      <c r="A15770" s="28" t="n">
        <v>41802</v>
      </c>
      <c r="B15770" t="n">
        <v>2.58</v>
      </c>
      <c r="C15770" t="n">
        <v>0.04</v>
      </c>
    </row>
    <row r="15771">
      <c r="A15771" s="28" t="n">
        <v>41803</v>
      </c>
      <c r="B15771" t="n">
        <v>2.6</v>
      </c>
      <c r="C15771" t="n">
        <v>0.04</v>
      </c>
    </row>
    <row r="15772">
      <c r="A15772" s="28" t="n">
        <v>41806</v>
      </c>
      <c r="B15772" t="n">
        <v>2.61</v>
      </c>
      <c r="C15772" t="n">
        <v>0.04</v>
      </c>
    </row>
    <row r="15773">
      <c r="A15773" s="28" t="n">
        <v>41807</v>
      </c>
      <c r="B15773" t="n">
        <v>2.66</v>
      </c>
      <c r="C15773" t="n">
        <v>0.04</v>
      </c>
    </row>
    <row r="15774">
      <c r="A15774" s="28" t="n">
        <v>41808</v>
      </c>
      <c r="B15774" t="n">
        <v>2.61</v>
      </c>
      <c r="C15774" t="n">
        <v>0.03</v>
      </c>
    </row>
    <row r="15775">
      <c r="A15775" s="28" t="n">
        <v>41809</v>
      </c>
      <c r="B15775" t="n">
        <v>2.64</v>
      </c>
      <c r="C15775" t="n">
        <v>0.02</v>
      </c>
    </row>
    <row r="15776">
      <c r="A15776" s="28" t="n">
        <v>41810</v>
      </c>
      <c r="B15776" t="n">
        <v>2.63</v>
      </c>
      <c r="C15776" t="n">
        <v>0.02</v>
      </c>
    </row>
    <row r="15777">
      <c r="A15777" s="28" t="n">
        <v>41813</v>
      </c>
      <c r="B15777" t="n">
        <v>2.63</v>
      </c>
      <c r="C15777" t="n">
        <v>0.03</v>
      </c>
    </row>
    <row r="15778">
      <c r="A15778" s="28" t="n">
        <v>41814</v>
      </c>
      <c r="B15778" t="n">
        <v>2.59</v>
      </c>
      <c r="C15778" t="n">
        <v>0.03</v>
      </c>
    </row>
    <row r="15779">
      <c r="A15779" s="28" t="n">
        <v>41815</v>
      </c>
      <c r="B15779" t="n">
        <v>2.57</v>
      </c>
      <c r="C15779" t="n">
        <v>0.03</v>
      </c>
    </row>
    <row r="15780">
      <c r="A15780" s="28" t="n">
        <v>41816</v>
      </c>
      <c r="B15780" t="n">
        <v>2.53</v>
      </c>
      <c r="C15780" t="n">
        <v>0.04</v>
      </c>
    </row>
    <row r="15781">
      <c r="A15781" s="28" t="n">
        <v>41817</v>
      </c>
      <c r="B15781" t="n">
        <v>2.54</v>
      </c>
      <c r="C15781" t="n">
        <v>0.03</v>
      </c>
    </row>
    <row r="15782">
      <c r="A15782" s="28" t="n">
        <v>41820</v>
      </c>
      <c r="B15782" t="n">
        <v>2.53</v>
      </c>
      <c r="C15782" t="n">
        <v>0.04</v>
      </c>
    </row>
    <row r="15783">
      <c r="A15783" s="28" t="n">
        <v>41821</v>
      </c>
      <c r="B15783" t="n">
        <v>2.58</v>
      </c>
      <c r="C15783" t="n">
        <v>0.02</v>
      </c>
    </row>
    <row r="15784">
      <c r="A15784" s="28" t="n">
        <v>41822</v>
      </c>
      <c r="B15784" t="n">
        <v>2.64</v>
      </c>
      <c r="C15784" t="n">
        <v>0.02</v>
      </c>
    </row>
    <row r="15785">
      <c r="A15785" s="28" t="n">
        <v>41823</v>
      </c>
      <c r="B15785" t="n">
        <v>2.65</v>
      </c>
      <c r="C15785" t="n">
        <v>0.01</v>
      </c>
    </row>
    <row r="15786">
      <c r="A15786" s="28" t="n">
        <v>41824</v>
      </c>
      <c r="B15786" t="n">
        <v>0</v>
      </c>
      <c r="C15786" t="n">
        <v>0</v>
      </c>
    </row>
    <row r="15787">
      <c r="A15787" s="28" t="n">
        <v>41827</v>
      </c>
      <c r="B15787" t="n">
        <v>2.63</v>
      </c>
      <c r="C15787" t="n">
        <v>0.04</v>
      </c>
    </row>
    <row r="15788">
      <c r="A15788" s="28" t="n">
        <v>41828</v>
      </c>
      <c r="B15788" t="n">
        <v>2.58</v>
      </c>
      <c r="C15788" t="n">
        <v>0.03</v>
      </c>
    </row>
    <row r="15789">
      <c r="A15789" s="28" t="n">
        <v>41829</v>
      </c>
      <c r="B15789" t="n">
        <v>2.57</v>
      </c>
      <c r="C15789" t="n">
        <v>0.03</v>
      </c>
    </row>
    <row r="15790">
      <c r="A15790" s="28" t="n">
        <v>41830</v>
      </c>
      <c r="B15790" t="n">
        <v>2.55</v>
      </c>
      <c r="C15790" t="n">
        <v>0.02</v>
      </c>
    </row>
    <row r="15791">
      <c r="A15791" s="28" t="n">
        <v>41831</v>
      </c>
      <c r="B15791" t="n">
        <v>2.53</v>
      </c>
      <c r="C15791" t="n">
        <v>0.02</v>
      </c>
    </row>
    <row r="15792">
      <c r="A15792" s="28" t="n">
        <v>41834</v>
      </c>
      <c r="B15792" t="n">
        <v>2.55</v>
      </c>
      <c r="C15792" t="n">
        <v>0.03</v>
      </c>
    </row>
    <row r="15793">
      <c r="A15793" s="28" t="n">
        <v>41835</v>
      </c>
      <c r="B15793" t="n">
        <v>2.56</v>
      </c>
      <c r="C15793" t="n">
        <v>0.02</v>
      </c>
    </row>
    <row r="15794">
      <c r="A15794" s="28" t="n">
        <v>41836</v>
      </c>
      <c r="B15794" t="n">
        <v>2.55</v>
      </c>
      <c r="C15794" t="n">
        <v>0.02</v>
      </c>
    </row>
    <row r="15795">
      <c r="A15795" s="28" t="n">
        <v>41837</v>
      </c>
      <c r="B15795" t="n">
        <v>2.47</v>
      </c>
      <c r="C15795" t="n">
        <v>0.02</v>
      </c>
    </row>
    <row r="15796">
      <c r="A15796" s="28" t="n">
        <v>41838</v>
      </c>
      <c r="B15796" t="n">
        <v>2.5</v>
      </c>
      <c r="C15796" t="n">
        <v>0.02</v>
      </c>
    </row>
    <row r="15797">
      <c r="A15797" s="28" t="n">
        <v>41841</v>
      </c>
      <c r="B15797" t="n">
        <v>2.49</v>
      </c>
      <c r="C15797" t="n">
        <v>0.03</v>
      </c>
    </row>
    <row r="15798">
      <c r="A15798" s="28" t="n">
        <v>41842</v>
      </c>
      <c r="B15798" t="n">
        <v>2.48</v>
      </c>
      <c r="C15798" t="n">
        <v>0.03</v>
      </c>
    </row>
    <row r="15799">
      <c r="A15799" s="28" t="n">
        <v>41843</v>
      </c>
      <c r="B15799" t="n">
        <v>2.48</v>
      </c>
      <c r="C15799" t="n">
        <v>0.03</v>
      </c>
    </row>
    <row r="15800">
      <c r="A15800" s="28" t="n">
        <v>41844</v>
      </c>
      <c r="B15800" t="n">
        <v>2.52</v>
      </c>
      <c r="C15800" t="n">
        <v>0.03</v>
      </c>
    </row>
    <row r="15801">
      <c r="A15801" s="28" t="n">
        <v>41845</v>
      </c>
      <c r="B15801" t="n">
        <v>2.48</v>
      </c>
      <c r="C15801" t="n">
        <v>0.03</v>
      </c>
    </row>
    <row r="15802">
      <c r="A15802" s="28" t="n">
        <v>41848</v>
      </c>
      <c r="B15802" t="n">
        <v>2.5</v>
      </c>
      <c r="C15802" t="n">
        <v>0.04</v>
      </c>
    </row>
    <row r="15803">
      <c r="A15803" s="28" t="n">
        <v>41849</v>
      </c>
      <c r="B15803" t="n">
        <v>2.47</v>
      </c>
      <c r="C15803" t="n">
        <v>0.02</v>
      </c>
    </row>
    <row r="15804">
      <c r="A15804" s="28" t="n">
        <v>41850</v>
      </c>
      <c r="B15804" t="n">
        <v>2.57</v>
      </c>
      <c r="C15804" t="n">
        <v>0.04</v>
      </c>
    </row>
    <row r="15805">
      <c r="A15805" s="28" t="n">
        <v>41851</v>
      </c>
      <c r="B15805" t="n">
        <v>2.58</v>
      </c>
      <c r="C15805" t="n">
        <v>0.03</v>
      </c>
    </row>
    <row r="15806">
      <c r="A15806" s="28" t="n">
        <v>41852</v>
      </c>
      <c r="B15806" t="n">
        <v>2.52</v>
      </c>
      <c r="C15806" t="n">
        <v>0.03</v>
      </c>
    </row>
    <row r="15807">
      <c r="A15807" s="28" t="n">
        <v>41855</v>
      </c>
      <c r="B15807" t="n">
        <v>2.51</v>
      </c>
      <c r="C15807" t="n">
        <v>0.04</v>
      </c>
    </row>
    <row r="15808">
      <c r="A15808" s="28" t="n">
        <v>41856</v>
      </c>
      <c r="B15808" t="n">
        <v>2.49</v>
      </c>
      <c r="C15808" t="n">
        <v>0.03</v>
      </c>
    </row>
    <row r="15809">
      <c r="A15809" s="28" t="n">
        <v>41857</v>
      </c>
      <c r="B15809" t="n">
        <v>2.49</v>
      </c>
      <c r="C15809" t="n">
        <v>0.03</v>
      </c>
    </row>
    <row r="15810">
      <c r="A15810" s="28" t="n">
        <v>41858</v>
      </c>
      <c r="B15810" t="n">
        <v>2.43</v>
      </c>
      <c r="C15810" t="n">
        <v>0.03</v>
      </c>
    </row>
    <row r="15811">
      <c r="A15811" s="28" t="n">
        <v>41859</v>
      </c>
      <c r="B15811" t="n">
        <v>2.44</v>
      </c>
      <c r="C15811" t="n">
        <v>0.03</v>
      </c>
    </row>
    <row r="15812">
      <c r="A15812" s="28" t="n">
        <v>41862</v>
      </c>
      <c r="B15812" t="n">
        <v>2.44</v>
      </c>
      <c r="C15812" t="n">
        <v>0.04</v>
      </c>
    </row>
    <row r="15813">
      <c r="A15813" s="28" t="n">
        <v>41863</v>
      </c>
      <c r="B15813" t="n">
        <v>2.46</v>
      </c>
      <c r="C15813" t="n">
        <v>0.03</v>
      </c>
    </row>
    <row r="15814">
      <c r="A15814" s="28" t="n">
        <v>41864</v>
      </c>
      <c r="B15814" t="n">
        <v>2.43</v>
      </c>
      <c r="C15814" t="n">
        <v>0.04</v>
      </c>
    </row>
    <row r="15815">
      <c r="A15815" s="28" t="n">
        <v>41865</v>
      </c>
      <c r="B15815" t="n">
        <v>2.4</v>
      </c>
      <c r="C15815" t="n">
        <v>0.04</v>
      </c>
    </row>
    <row r="15816">
      <c r="A15816" s="28" t="n">
        <v>41866</v>
      </c>
      <c r="B15816" t="n">
        <v>2.34</v>
      </c>
      <c r="C15816" t="n">
        <v>0.03</v>
      </c>
    </row>
    <row r="15817">
      <c r="A15817" s="28" t="n">
        <v>41869</v>
      </c>
      <c r="B15817" t="n">
        <v>2.39</v>
      </c>
      <c r="C15817" t="n">
        <v>0.03</v>
      </c>
    </row>
    <row r="15818">
      <c r="A15818" s="28" t="n">
        <v>41870</v>
      </c>
      <c r="B15818" t="n">
        <v>2.4</v>
      </c>
      <c r="C15818" t="n">
        <v>0.03</v>
      </c>
    </row>
    <row r="15819">
      <c r="A15819" s="28" t="n">
        <v>41871</v>
      </c>
      <c r="B15819" t="n">
        <v>2.43</v>
      </c>
      <c r="C15819" t="n">
        <v>0.04</v>
      </c>
    </row>
    <row r="15820">
      <c r="A15820" s="28" t="n">
        <v>41872</v>
      </c>
      <c r="B15820" t="n">
        <v>2.41</v>
      </c>
      <c r="C15820" t="n">
        <v>0.02</v>
      </c>
    </row>
    <row r="15821">
      <c r="A15821" s="28" t="n">
        <v>41873</v>
      </c>
      <c r="B15821" t="n">
        <v>2.4</v>
      </c>
      <c r="C15821" t="n">
        <v>0.03</v>
      </c>
    </row>
    <row r="15822">
      <c r="A15822" s="28" t="n">
        <v>41876</v>
      </c>
      <c r="B15822" t="n">
        <v>2.39</v>
      </c>
      <c r="C15822" t="n">
        <v>0.04</v>
      </c>
    </row>
    <row r="15823">
      <c r="A15823" s="28" t="n">
        <v>41877</v>
      </c>
      <c r="B15823" t="n">
        <v>2.39</v>
      </c>
      <c r="C15823" t="n">
        <v>0.03</v>
      </c>
    </row>
    <row r="15824">
      <c r="A15824" s="28" t="n">
        <v>41878</v>
      </c>
      <c r="B15824" t="n">
        <v>2.37</v>
      </c>
      <c r="C15824" t="n">
        <v>0.04</v>
      </c>
    </row>
    <row r="15825">
      <c r="A15825" s="28" t="n">
        <v>41879</v>
      </c>
      <c r="B15825" t="n">
        <v>2.34</v>
      </c>
      <c r="C15825" t="n">
        <v>0.03</v>
      </c>
    </row>
    <row r="15826">
      <c r="A15826" s="28" t="n">
        <v>41880</v>
      </c>
      <c r="B15826" t="n">
        <v>2.35</v>
      </c>
      <c r="C15826" t="n">
        <v>0.03</v>
      </c>
    </row>
    <row r="15827">
      <c r="A15827" s="28" t="n">
        <v>41883</v>
      </c>
      <c r="B15827" t="n">
        <v>0</v>
      </c>
      <c r="C15827" t="n">
        <v>0</v>
      </c>
    </row>
    <row r="15828">
      <c r="A15828" s="28" t="n">
        <v>41884</v>
      </c>
      <c r="B15828" t="n">
        <v>2.42</v>
      </c>
      <c r="C15828" t="n">
        <v>0.03</v>
      </c>
    </row>
    <row r="15829">
      <c r="A15829" s="28" t="n">
        <v>41885</v>
      </c>
      <c r="B15829" t="n">
        <v>2.41</v>
      </c>
      <c r="C15829" t="n">
        <v>0.03</v>
      </c>
    </row>
    <row r="15830">
      <c r="A15830" s="28" t="n">
        <v>41886</v>
      </c>
      <c r="B15830" t="n">
        <v>2.45</v>
      </c>
      <c r="C15830" t="n">
        <v>0.03</v>
      </c>
    </row>
    <row r="15831">
      <c r="A15831" s="28" t="n">
        <v>41887</v>
      </c>
      <c r="B15831" t="n">
        <v>2.46</v>
      </c>
      <c r="C15831" t="n">
        <v>0.03</v>
      </c>
    </row>
    <row r="15832">
      <c r="A15832" s="28" t="n">
        <v>41890</v>
      </c>
      <c r="B15832" t="n">
        <v>2.48</v>
      </c>
      <c r="C15832" t="n">
        <v>0.02</v>
      </c>
    </row>
    <row r="15833">
      <c r="A15833" s="28" t="n">
        <v>41891</v>
      </c>
      <c r="B15833" t="n">
        <v>2.5</v>
      </c>
      <c r="C15833" t="n">
        <v>0.02</v>
      </c>
    </row>
    <row r="15834">
      <c r="A15834" s="28" t="n">
        <v>41892</v>
      </c>
      <c r="B15834" t="n">
        <v>2.54</v>
      </c>
      <c r="C15834" t="n">
        <v>0.02</v>
      </c>
    </row>
    <row r="15835">
      <c r="A15835" s="28" t="n">
        <v>41893</v>
      </c>
      <c r="B15835" t="n">
        <v>2.54</v>
      </c>
      <c r="C15835" t="n">
        <v>0.02</v>
      </c>
    </row>
    <row r="15836">
      <c r="A15836" s="28" t="n">
        <v>41894</v>
      </c>
      <c r="B15836" t="n">
        <v>2.62</v>
      </c>
      <c r="C15836" t="n">
        <v>0.02</v>
      </c>
    </row>
    <row r="15837">
      <c r="A15837" s="28" t="n">
        <v>41897</v>
      </c>
      <c r="B15837" t="n">
        <v>2.6</v>
      </c>
      <c r="C15837" t="n">
        <v>0.02</v>
      </c>
    </row>
    <row r="15838">
      <c r="A15838" s="28" t="n">
        <v>41898</v>
      </c>
      <c r="B15838" t="n">
        <v>2.6</v>
      </c>
      <c r="C15838" t="n">
        <v>0.02</v>
      </c>
    </row>
    <row r="15839">
      <c r="A15839" s="28" t="n">
        <v>41899</v>
      </c>
      <c r="B15839" t="n">
        <v>2.62</v>
      </c>
      <c r="C15839" t="n">
        <v>0.02</v>
      </c>
    </row>
    <row r="15840">
      <c r="A15840" s="28" t="n">
        <v>41900</v>
      </c>
      <c r="B15840" t="n">
        <v>2.63</v>
      </c>
      <c r="C15840" t="n">
        <v>0.02</v>
      </c>
    </row>
    <row r="15841">
      <c r="A15841" s="28" t="n">
        <v>41901</v>
      </c>
      <c r="B15841" t="n">
        <v>2.59</v>
      </c>
      <c r="C15841" t="n">
        <v>0.02</v>
      </c>
    </row>
    <row r="15842">
      <c r="A15842" s="28" t="n">
        <v>41904</v>
      </c>
      <c r="B15842" t="n">
        <v>2.57</v>
      </c>
      <c r="C15842" t="n">
        <v>0.01</v>
      </c>
    </row>
    <row r="15843">
      <c r="A15843" s="28" t="n">
        <v>41905</v>
      </c>
      <c r="B15843" t="n">
        <v>2.54</v>
      </c>
      <c r="C15843" t="n">
        <v>0.01</v>
      </c>
    </row>
    <row r="15844">
      <c r="A15844" s="28" t="n">
        <v>41906</v>
      </c>
      <c r="B15844" t="n">
        <v>2.57</v>
      </c>
      <c r="C15844" t="n">
        <v>0.02</v>
      </c>
    </row>
    <row r="15845">
      <c r="A15845" s="28" t="n">
        <v>41907</v>
      </c>
      <c r="B15845" t="n">
        <v>2.52</v>
      </c>
      <c r="C15845" t="n">
        <v>0.01</v>
      </c>
    </row>
    <row r="15846">
      <c r="A15846" s="28" t="n">
        <v>41908</v>
      </c>
      <c r="B15846" t="n">
        <v>2.54</v>
      </c>
      <c r="C15846" t="n">
        <v>0.01</v>
      </c>
    </row>
    <row r="15847">
      <c r="A15847" s="28" t="n">
        <v>41911</v>
      </c>
      <c r="B15847" t="n">
        <v>2.5</v>
      </c>
      <c r="C15847" t="n">
        <v>0.02</v>
      </c>
    </row>
    <row r="15848">
      <c r="A15848" s="28" t="n">
        <v>41912</v>
      </c>
      <c r="B15848" t="n">
        <v>2.52</v>
      </c>
      <c r="C15848" t="n">
        <v>0.02</v>
      </c>
    </row>
    <row r="15849">
      <c r="A15849" s="28" t="n">
        <v>41913</v>
      </c>
      <c r="B15849" t="n">
        <v>2.42</v>
      </c>
      <c r="C15849" t="n">
        <v>0.02</v>
      </c>
    </row>
    <row r="15850">
      <c r="A15850" s="28" t="n">
        <v>41914</v>
      </c>
      <c r="B15850" t="n">
        <v>2.44</v>
      </c>
      <c r="C15850" t="n">
        <v>0.01</v>
      </c>
    </row>
    <row r="15851">
      <c r="A15851" s="28" t="n">
        <v>41915</v>
      </c>
      <c r="B15851" t="n">
        <v>2.45</v>
      </c>
      <c r="C15851" t="n">
        <v>0.01</v>
      </c>
    </row>
    <row r="15852">
      <c r="A15852" s="28" t="n">
        <v>41918</v>
      </c>
      <c r="B15852" t="n">
        <v>2.43</v>
      </c>
      <c r="C15852" t="n">
        <v>0.02</v>
      </c>
    </row>
    <row r="15853">
      <c r="A15853" s="28" t="n">
        <v>41919</v>
      </c>
      <c r="B15853" t="n">
        <v>2.36</v>
      </c>
      <c r="C15853" t="n">
        <v>0.02</v>
      </c>
    </row>
    <row r="15854">
      <c r="A15854" s="28" t="n">
        <v>41920</v>
      </c>
      <c r="B15854" t="n">
        <v>2.35</v>
      </c>
      <c r="C15854" t="n">
        <v>0.01</v>
      </c>
    </row>
    <row r="15855">
      <c r="A15855" s="28" t="n">
        <v>41921</v>
      </c>
      <c r="B15855" t="n">
        <v>2.34</v>
      </c>
      <c r="C15855" t="n">
        <v>0.01</v>
      </c>
    </row>
    <row r="15856">
      <c r="A15856" s="28" t="n">
        <v>41922</v>
      </c>
      <c r="B15856" t="n">
        <v>2.31</v>
      </c>
      <c r="C15856" t="n">
        <v>0.01</v>
      </c>
    </row>
    <row r="15857">
      <c r="A15857" s="28" t="n">
        <v>41925</v>
      </c>
      <c r="B15857" t="n">
        <v>0</v>
      </c>
      <c r="C15857" t="n">
        <v>0</v>
      </c>
    </row>
    <row r="15858">
      <c r="A15858" s="28" t="n">
        <v>41926</v>
      </c>
      <c r="B15858" t="n">
        <v>2.21</v>
      </c>
      <c r="C15858" t="n">
        <v>0.02</v>
      </c>
    </row>
    <row r="15859">
      <c r="A15859" s="28" t="n">
        <v>41927</v>
      </c>
      <c r="B15859" t="n">
        <v>2.15</v>
      </c>
      <c r="C15859" t="n">
        <v>0.02</v>
      </c>
    </row>
    <row r="15860">
      <c r="A15860" s="28" t="n">
        <v>41928</v>
      </c>
      <c r="B15860" t="n">
        <v>2.17</v>
      </c>
      <c r="C15860" t="n">
        <v>0.03</v>
      </c>
    </row>
    <row r="15861">
      <c r="A15861" s="28" t="n">
        <v>41929</v>
      </c>
      <c r="B15861" t="n">
        <v>2.22</v>
      </c>
      <c r="C15861" t="n">
        <v>0.02</v>
      </c>
    </row>
    <row r="15862">
      <c r="A15862" s="28" t="n">
        <v>41932</v>
      </c>
      <c r="B15862" t="n">
        <v>2.2</v>
      </c>
      <c r="C15862" t="n">
        <v>0.02</v>
      </c>
    </row>
    <row r="15863">
      <c r="A15863" s="28" t="n">
        <v>41933</v>
      </c>
      <c r="B15863" t="n">
        <v>2.23</v>
      </c>
      <c r="C15863" t="n">
        <v>0.02</v>
      </c>
    </row>
    <row r="15864">
      <c r="A15864" s="28" t="n">
        <v>41934</v>
      </c>
      <c r="B15864" t="n">
        <v>2.25</v>
      </c>
      <c r="C15864" t="n">
        <v>0.02</v>
      </c>
    </row>
    <row r="15865">
      <c r="A15865" s="28" t="n">
        <v>41935</v>
      </c>
      <c r="B15865" t="n">
        <v>2.29</v>
      </c>
      <c r="C15865" t="n">
        <v>0.01</v>
      </c>
    </row>
    <row r="15866">
      <c r="A15866" s="28" t="n">
        <v>41936</v>
      </c>
      <c r="B15866" t="n">
        <v>2.29</v>
      </c>
      <c r="C15866" t="n">
        <v>0.01</v>
      </c>
    </row>
    <row r="15867">
      <c r="A15867" s="28" t="n">
        <v>41939</v>
      </c>
      <c r="B15867" t="n">
        <v>2.27</v>
      </c>
      <c r="C15867" t="n">
        <v>0.02</v>
      </c>
    </row>
    <row r="15868">
      <c r="A15868" s="28" t="n">
        <v>41940</v>
      </c>
      <c r="B15868" t="n">
        <v>2.3</v>
      </c>
      <c r="C15868" t="n">
        <v>0.02</v>
      </c>
    </row>
    <row r="15869">
      <c r="A15869" s="28" t="n">
        <v>41941</v>
      </c>
      <c r="B15869" t="n">
        <v>2.34</v>
      </c>
      <c r="C15869" t="n">
        <v>0.03</v>
      </c>
    </row>
    <row r="15870">
      <c r="A15870" s="28" t="n">
        <v>41942</v>
      </c>
      <c r="B15870" t="n">
        <v>2.32</v>
      </c>
      <c r="C15870" t="n">
        <v>0.01</v>
      </c>
    </row>
    <row r="15871">
      <c r="A15871" s="28" t="n">
        <v>41943</v>
      </c>
      <c r="B15871" t="n">
        <v>2.35</v>
      </c>
      <c r="C15871" t="n">
        <v>0.01</v>
      </c>
    </row>
    <row r="15872">
      <c r="A15872" s="28" t="n">
        <v>41946</v>
      </c>
      <c r="B15872" t="n">
        <v>2.36</v>
      </c>
      <c r="C15872" t="n">
        <v>0.02</v>
      </c>
    </row>
    <row r="15873">
      <c r="A15873" s="28" t="n">
        <v>41947</v>
      </c>
      <c r="B15873" t="n">
        <v>2.35</v>
      </c>
      <c r="C15873" t="n">
        <v>0.03</v>
      </c>
    </row>
    <row r="15874">
      <c r="A15874" s="28" t="n">
        <v>41948</v>
      </c>
      <c r="B15874" t="n">
        <v>2.36</v>
      </c>
      <c r="C15874" t="n">
        <v>0.03</v>
      </c>
    </row>
    <row r="15875">
      <c r="A15875" s="28" t="n">
        <v>41949</v>
      </c>
      <c r="B15875" t="n">
        <v>2.39</v>
      </c>
      <c r="C15875" t="n">
        <v>0.03</v>
      </c>
    </row>
    <row r="15876">
      <c r="A15876" s="28" t="n">
        <v>41950</v>
      </c>
      <c r="B15876" t="n">
        <v>2.32</v>
      </c>
      <c r="C15876" t="n">
        <v>0.03</v>
      </c>
    </row>
    <row r="15877">
      <c r="A15877" s="28" t="n">
        <v>41953</v>
      </c>
      <c r="B15877" t="n">
        <v>2.38</v>
      </c>
      <c r="C15877" t="n">
        <v>0.02</v>
      </c>
    </row>
    <row r="15878">
      <c r="A15878" s="28" t="n">
        <v>41954</v>
      </c>
      <c r="B15878" t="n">
        <v>0</v>
      </c>
      <c r="C15878" t="n">
        <v>0</v>
      </c>
    </row>
    <row r="15879">
      <c r="A15879" s="28" t="n">
        <v>41955</v>
      </c>
      <c r="B15879" t="n">
        <v>2.37</v>
      </c>
      <c r="C15879" t="n">
        <v>0.02</v>
      </c>
    </row>
    <row r="15880">
      <c r="A15880" s="28" t="n">
        <v>41956</v>
      </c>
      <c r="B15880" t="n">
        <v>2.35</v>
      </c>
      <c r="C15880" t="n">
        <v>0.02</v>
      </c>
    </row>
    <row r="15881">
      <c r="A15881" s="28" t="n">
        <v>41957</v>
      </c>
      <c r="B15881" t="n">
        <v>2.32</v>
      </c>
      <c r="C15881" t="n">
        <v>0.02</v>
      </c>
    </row>
    <row r="15882">
      <c r="A15882" s="28" t="n">
        <v>41960</v>
      </c>
      <c r="B15882" t="n">
        <v>2.34</v>
      </c>
      <c r="C15882" t="n">
        <v>0.03</v>
      </c>
    </row>
    <row r="15883">
      <c r="A15883" s="28" t="n">
        <v>41961</v>
      </c>
      <c r="B15883" t="n">
        <v>2.32</v>
      </c>
      <c r="C15883" t="n">
        <v>0.02</v>
      </c>
    </row>
    <row r="15884">
      <c r="A15884" s="28" t="n">
        <v>41962</v>
      </c>
      <c r="B15884" t="n">
        <v>2.36</v>
      </c>
      <c r="C15884" t="n">
        <v>0.01</v>
      </c>
    </row>
    <row r="15885">
      <c r="A15885" s="28" t="n">
        <v>41963</v>
      </c>
      <c r="B15885" t="n">
        <v>2.34</v>
      </c>
      <c r="C15885" t="n">
        <v>0.02</v>
      </c>
    </row>
    <row r="15886">
      <c r="A15886" s="28" t="n">
        <v>41964</v>
      </c>
      <c r="B15886" t="n">
        <v>2.31</v>
      </c>
      <c r="C15886" t="n">
        <v>0.01</v>
      </c>
    </row>
    <row r="15887">
      <c r="A15887" s="28" t="n">
        <v>41967</v>
      </c>
      <c r="B15887" t="n">
        <v>2.3</v>
      </c>
      <c r="C15887" t="n">
        <v>0.02</v>
      </c>
    </row>
    <row r="15888">
      <c r="A15888" s="28" t="n">
        <v>41968</v>
      </c>
      <c r="B15888" t="n">
        <v>2.27</v>
      </c>
      <c r="C15888" t="n">
        <v>0.02</v>
      </c>
    </row>
    <row r="15889">
      <c r="A15889" s="28" t="n">
        <v>41969</v>
      </c>
      <c r="B15889" t="n">
        <v>2.24</v>
      </c>
      <c r="C15889" t="n">
        <v>0.02</v>
      </c>
    </row>
    <row r="15890">
      <c r="A15890" s="28" t="n">
        <v>41970</v>
      </c>
      <c r="B15890" t="n">
        <v>0</v>
      </c>
      <c r="C15890" t="n">
        <v>0</v>
      </c>
    </row>
    <row r="15891">
      <c r="A15891" s="28" t="n">
        <v>41971</v>
      </c>
      <c r="B15891" t="n">
        <v>2.18</v>
      </c>
      <c r="C15891" t="n">
        <v>0.02</v>
      </c>
    </row>
    <row r="15892">
      <c r="A15892" s="28" t="n">
        <v>41974</v>
      </c>
      <c r="B15892" t="n">
        <v>2.22</v>
      </c>
      <c r="C15892" t="n">
        <v>0.03</v>
      </c>
    </row>
    <row r="15893">
      <c r="A15893" s="28" t="n">
        <v>41975</v>
      </c>
      <c r="B15893" t="n">
        <v>2.28</v>
      </c>
      <c r="C15893" t="n">
        <v>0.03</v>
      </c>
    </row>
    <row r="15894">
      <c r="A15894" s="28" t="n">
        <v>41976</v>
      </c>
      <c r="B15894" t="n">
        <v>2.29</v>
      </c>
      <c r="C15894" t="n">
        <v>0.01</v>
      </c>
    </row>
    <row r="15895">
      <c r="A15895" s="28" t="n">
        <v>41977</v>
      </c>
      <c r="B15895" t="n">
        <v>2.25</v>
      </c>
      <c r="C15895" t="n">
        <v>0.02</v>
      </c>
    </row>
    <row r="15896">
      <c r="A15896" s="28" t="n">
        <v>41978</v>
      </c>
      <c r="B15896" t="n">
        <v>2.31</v>
      </c>
      <c r="C15896" t="n">
        <v>0.02</v>
      </c>
    </row>
    <row r="15897">
      <c r="A15897" s="28" t="n">
        <v>41981</v>
      </c>
      <c r="B15897" t="n">
        <v>2.26</v>
      </c>
      <c r="C15897" t="n">
        <v>0.03</v>
      </c>
    </row>
    <row r="15898">
      <c r="A15898" s="28" t="n">
        <v>41982</v>
      </c>
      <c r="B15898" t="n">
        <v>2.22</v>
      </c>
      <c r="C15898" t="n">
        <v>0.04</v>
      </c>
    </row>
    <row r="15899">
      <c r="A15899" s="28" t="n">
        <v>41983</v>
      </c>
      <c r="B15899" t="n">
        <v>2.18</v>
      </c>
      <c r="C15899" t="n">
        <v>0.03</v>
      </c>
    </row>
    <row r="15900">
      <c r="A15900" s="28" t="n">
        <v>41984</v>
      </c>
      <c r="B15900" t="n">
        <v>2.19</v>
      </c>
      <c r="C15900" t="n">
        <v>0.03</v>
      </c>
    </row>
    <row r="15901">
      <c r="A15901" s="28" t="n">
        <v>41985</v>
      </c>
      <c r="B15901" t="n">
        <v>2.1</v>
      </c>
      <c r="C15901" t="n">
        <v>0.02</v>
      </c>
    </row>
    <row r="15902">
      <c r="A15902" s="28" t="n">
        <v>41988</v>
      </c>
      <c r="B15902" t="n">
        <v>2.12</v>
      </c>
      <c r="C15902" t="n">
        <v>0.04</v>
      </c>
    </row>
    <row r="15903">
      <c r="A15903" s="28" t="n">
        <v>41989</v>
      </c>
      <c r="B15903" t="n">
        <v>2.07</v>
      </c>
      <c r="C15903" t="n">
        <v>0.03</v>
      </c>
    </row>
    <row r="15904">
      <c r="A15904" s="28" t="n">
        <v>41990</v>
      </c>
      <c r="B15904" t="n">
        <v>2.14</v>
      </c>
      <c r="C15904" t="n">
        <v>0.03</v>
      </c>
    </row>
    <row r="15905">
      <c r="A15905" s="28" t="n">
        <v>41991</v>
      </c>
      <c r="B15905" t="n">
        <v>2.22</v>
      </c>
      <c r="C15905" t="n">
        <v>0.04</v>
      </c>
    </row>
    <row r="15906">
      <c r="A15906" s="28" t="n">
        <v>41992</v>
      </c>
      <c r="B15906" t="n">
        <v>2.17</v>
      </c>
      <c r="C15906" t="n">
        <v>0.04</v>
      </c>
    </row>
    <row r="15907">
      <c r="A15907" s="28" t="n">
        <v>41995</v>
      </c>
      <c r="B15907" t="n">
        <v>2.17</v>
      </c>
      <c r="C15907" t="n">
        <v>0.05</v>
      </c>
    </row>
    <row r="15908">
      <c r="A15908" s="28" t="n">
        <v>41996</v>
      </c>
      <c r="B15908" t="n">
        <v>2.26</v>
      </c>
      <c r="C15908" t="n">
        <v>0.03</v>
      </c>
    </row>
    <row r="15909">
      <c r="A15909" s="28" t="n">
        <v>41997</v>
      </c>
      <c r="B15909" t="n">
        <v>2.27</v>
      </c>
      <c r="C15909" t="n">
        <v>0.01</v>
      </c>
    </row>
    <row r="15910">
      <c r="A15910" s="28" t="n">
        <v>41998</v>
      </c>
      <c r="B15910" t="n">
        <v>0</v>
      </c>
      <c r="C15910" t="n">
        <v>0</v>
      </c>
    </row>
    <row r="15911">
      <c r="A15911" s="28" t="n">
        <v>41999</v>
      </c>
      <c r="B15911" t="n">
        <v>2.25</v>
      </c>
      <c r="C15911" t="n">
        <v>0.01</v>
      </c>
    </row>
    <row r="15912">
      <c r="A15912" s="28" t="n">
        <v>42002</v>
      </c>
      <c r="B15912" t="n">
        <v>2.22</v>
      </c>
      <c r="C15912" t="n">
        <v>0.03</v>
      </c>
    </row>
    <row r="15913">
      <c r="A15913" s="28" t="n">
        <v>42003</v>
      </c>
      <c r="B15913" t="n">
        <v>2.2</v>
      </c>
      <c r="C15913" t="n">
        <v>0.03</v>
      </c>
    </row>
    <row r="15914">
      <c r="A15914" s="28" t="n">
        <v>42004</v>
      </c>
      <c r="B15914" t="n">
        <v>2.17</v>
      </c>
      <c r="C15914" t="n">
        <v>0.04</v>
      </c>
    </row>
    <row r="15915">
      <c r="A15915" s="28" t="n">
        <v>42005</v>
      </c>
      <c r="B15915" t="n">
        <v>0</v>
      </c>
      <c r="C15915" t="n">
        <v>0</v>
      </c>
    </row>
    <row r="15916">
      <c r="A15916" s="28" t="n">
        <v>42006</v>
      </c>
      <c r="B15916" t="n">
        <v>2.12</v>
      </c>
      <c r="C15916" t="n">
        <v>0.02</v>
      </c>
    </row>
    <row r="15917">
      <c r="A15917" s="28" t="n">
        <v>42009</v>
      </c>
      <c r="B15917" t="n">
        <v>2.04</v>
      </c>
      <c r="C15917" t="n">
        <v>0.03</v>
      </c>
    </row>
    <row r="15918">
      <c r="A15918" s="28" t="n">
        <v>42010</v>
      </c>
      <c r="B15918" t="n">
        <v>1.97</v>
      </c>
      <c r="C15918" t="n">
        <v>0.03</v>
      </c>
    </row>
    <row r="15919">
      <c r="A15919" s="28" t="n">
        <v>42011</v>
      </c>
      <c r="B15919" t="n">
        <v>1.96</v>
      </c>
      <c r="C15919" t="n">
        <v>0.03</v>
      </c>
    </row>
    <row r="15920">
      <c r="A15920" s="28" t="n">
        <v>42012</v>
      </c>
      <c r="B15920" t="n">
        <v>2.03</v>
      </c>
      <c r="C15920" t="n">
        <v>0.03</v>
      </c>
    </row>
    <row r="15921">
      <c r="A15921" s="28" t="n">
        <v>42013</v>
      </c>
      <c r="B15921" t="n">
        <v>1.98</v>
      </c>
      <c r="C15921" t="n">
        <v>0.02</v>
      </c>
    </row>
    <row r="15922">
      <c r="A15922" s="28" t="n">
        <v>42016</v>
      </c>
      <c r="B15922" t="n">
        <v>1.92</v>
      </c>
      <c r="C15922" t="n">
        <v>0.03</v>
      </c>
    </row>
    <row r="15923">
      <c r="A15923" s="28" t="n">
        <v>42017</v>
      </c>
      <c r="B15923" t="n">
        <v>1.91</v>
      </c>
      <c r="C15923" t="n">
        <v>0.03</v>
      </c>
    </row>
    <row r="15924">
      <c r="A15924" s="28" t="n">
        <v>42018</v>
      </c>
      <c r="B15924" t="n">
        <v>1.86</v>
      </c>
      <c r="C15924" t="n">
        <v>0.04</v>
      </c>
    </row>
    <row r="15925">
      <c r="A15925" s="28" t="n">
        <v>42019</v>
      </c>
      <c r="B15925" t="n">
        <v>1.77</v>
      </c>
      <c r="C15925" t="n">
        <v>0.03</v>
      </c>
    </row>
    <row r="15926">
      <c r="A15926" s="28" t="n">
        <v>42020</v>
      </c>
      <c r="B15926" t="n">
        <v>1.83</v>
      </c>
      <c r="C15926" t="n">
        <v>0.03</v>
      </c>
    </row>
    <row r="15927">
      <c r="A15927" s="28" t="n">
        <v>42023</v>
      </c>
      <c r="B15927" t="n">
        <v>0</v>
      </c>
      <c r="C15927" t="n">
        <v>0</v>
      </c>
    </row>
    <row r="15928">
      <c r="A15928" s="28" t="n">
        <v>42024</v>
      </c>
      <c r="B15928" t="n">
        <v>1.82</v>
      </c>
      <c r="C15928" t="n">
        <v>0.03</v>
      </c>
    </row>
    <row r="15929">
      <c r="A15929" s="28" t="n">
        <v>42025</v>
      </c>
      <c r="B15929" t="n">
        <v>1.87</v>
      </c>
      <c r="C15929" t="n">
        <v>0.03</v>
      </c>
    </row>
    <row r="15930">
      <c r="A15930" s="28" t="n">
        <v>42026</v>
      </c>
      <c r="B15930" t="n">
        <v>1.9</v>
      </c>
      <c r="C15930" t="n">
        <v>0.03</v>
      </c>
    </row>
    <row r="15931">
      <c r="A15931" s="28" t="n">
        <v>42027</v>
      </c>
      <c r="B15931" t="n">
        <v>1.81</v>
      </c>
      <c r="C15931" t="n">
        <v>0.02</v>
      </c>
    </row>
    <row r="15932">
      <c r="A15932" s="28" t="n">
        <v>42030</v>
      </c>
      <c r="B15932" t="n">
        <v>1.83</v>
      </c>
      <c r="C15932" t="n">
        <v>0.03</v>
      </c>
    </row>
    <row r="15933">
      <c r="A15933" s="28" t="n">
        <v>42031</v>
      </c>
      <c r="B15933" t="n">
        <v>1.83</v>
      </c>
      <c r="C15933" t="n">
        <v>0.02</v>
      </c>
    </row>
    <row r="15934">
      <c r="A15934" s="28" t="n">
        <v>42032</v>
      </c>
      <c r="B15934" t="n">
        <v>1.73</v>
      </c>
      <c r="C15934" t="n">
        <v>0.02</v>
      </c>
    </row>
    <row r="15935">
      <c r="A15935" s="28" t="n">
        <v>42033</v>
      </c>
      <c r="B15935" t="n">
        <v>1.77</v>
      </c>
      <c r="C15935" t="n">
        <v>0.03</v>
      </c>
    </row>
    <row r="15936">
      <c r="A15936" s="28" t="n">
        <v>42034</v>
      </c>
      <c r="B15936" t="n">
        <v>1.68</v>
      </c>
      <c r="C15936" t="n">
        <v>0.02</v>
      </c>
    </row>
    <row r="15937">
      <c r="A15937" s="28" t="n">
        <v>42037</v>
      </c>
      <c r="B15937" t="n">
        <v>1.68</v>
      </c>
      <c r="C15937" t="n">
        <v>0.02</v>
      </c>
    </row>
    <row r="15938">
      <c r="A15938" s="28" t="n">
        <v>42038</v>
      </c>
      <c r="B15938" t="n">
        <v>1.79</v>
      </c>
      <c r="C15938" t="n">
        <v>0.02</v>
      </c>
    </row>
    <row r="15939">
      <c r="A15939" s="28" t="n">
        <v>42039</v>
      </c>
      <c r="B15939" t="n">
        <v>1.81</v>
      </c>
      <c r="C15939" t="n">
        <v>0.01</v>
      </c>
    </row>
    <row r="15940">
      <c r="A15940" s="28" t="n">
        <v>42040</v>
      </c>
      <c r="B15940" t="n">
        <v>1.83</v>
      </c>
      <c r="C15940" t="n">
        <v>0.02</v>
      </c>
    </row>
    <row r="15941">
      <c r="A15941" s="28" t="n">
        <v>42041</v>
      </c>
      <c r="B15941" t="n">
        <v>1.95</v>
      </c>
      <c r="C15941" t="n">
        <v>0.02</v>
      </c>
    </row>
    <row r="15942">
      <c r="A15942" s="28" t="n">
        <v>42044</v>
      </c>
      <c r="B15942" t="n">
        <v>1.96</v>
      </c>
      <c r="C15942" t="n">
        <v>0.01</v>
      </c>
    </row>
    <row r="15943">
      <c r="A15943" s="28" t="n">
        <v>42045</v>
      </c>
      <c r="B15943" t="n">
        <v>2.01</v>
      </c>
      <c r="C15943" t="n">
        <v>0.01</v>
      </c>
    </row>
    <row r="15944">
      <c r="A15944" s="28" t="n">
        <v>42046</v>
      </c>
      <c r="B15944" t="n">
        <v>2</v>
      </c>
      <c r="C15944" t="n">
        <v>0.01</v>
      </c>
    </row>
    <row r="15945">
      <c r="A15945" s="28" t="n">
        <v>42047</v>
      </c>
      <c r="B15945" t="n">
        <v>1.99</v>
      </c>
      <c r="C15945" t="n">
        <v>0.02</v>
      </c>
    </row>
    <row r="15946">
      <c r="A15946" s="28" t="n">
        <v>42048</v>
      </c>
      <c r="B15946" t="n">
        <v>2.02</v>
      </c>
      <c r="C15946" t="n">
        <v>0.01</v>
      </c>
    </row>
    <row r="15947">
      <c r="A15947" s="28" t="n">
        <v>42051</v>
      </c>
      <c r="B15947" t="n">
        <v>0</v>
      </c>
      <c r="C15947" t="n">
        <v>0</v>
      </c>
    </row>
    <row r="15948">
      <c r="A15948" s="28" t="n">
        <v>42052</v>
      </c>
      <c r="B15948" t="n">
        <v>2.14</v>
      </c>
      <c r="C15948" t="n">
        <v>0.02</v>
      </c>
    </row>
    <row r="15949">
      <c r="A15949" s="28" t="n">
        <v>42053</v>
      </c>
      <c r="B15949" t="n">
        <v>2.07</v>
      </c>
      <c r="C15949" t="n">
        <v>0.02</v>
      </c>
    </row>
    <row r="15950">
      <c r="A15950" s="28" t="n">
        <v>42054</v>
      </c>
      <c r="B15950" t="n">
        <v>2.11</v>
      </c>
      <c r="C15950" t="n">
        <v>0.02</v>
      </c>
    </row>
    <row r="15951">
      <c r="A15951" s="28" t="n">
        <v>42055</v>
      </c>
      <c r="B15951" t="n">
        <v>2.13</v>
      </c>
      <c r="C15951" t="n">
        <v>0.02</v>
      </c>
    </row>
    <row r="15952">
      <c r="A15952" s="28" t="n">
        <v>42058</v>
      </c>
      <c r="B15952" t="n">
        <v>2.06</v>
      </c>
      <c r="C15952" t="n">
        <v>0.02</v>
      </c>
    </row>
    <row r="15953">
      <c r="A15953" s="28" t="n">
        <v>42059</v>
      </c>
      <c r="B15953" t="n">
        <v>1.99</v>
      </c>
      <c r="C15953" t="n">
        <v>0.02</v>
      </c>
    </row>
    <row r="15954">
      <c r="A15954" s="28" t="n">
        <v>42060</v>
      </c>
      <c r="B15954" t="n">
        <v>1.96</v>
      </c>
      <c r="C15954" t="n">
        <v>0.02</v>
      </c>
    </row>
    <row r="15955">
      <c r="A15955" s="28" t="n">
        <v>42061</v>
      </c>
      <c r="B15955" t="n">
        <v>2.03</v>
      </c>
      <c r="C15955" t="n">
        <v>0.03</v>
      </c>
    </row>
    <row r="15956">
      <c r="A15956" s="28" t="n">
        <v>42062</v>
      </c>
      <c r="B15956" t="n">
        <v>2</v>
      </c>
      <c r="C15956" t="n">
        <v>0.02</v>
      </c>
    </row>
    <row r="15957">
      <c r="A15957" s="28" t="n">
        <v>42065</v>
      </c>
      <c r="B15957" t="n">
        <v>2.08</v>
      </c>
      <c r="C15957" t="n">
        <v>0.02</v>
      </c>
    </row>
    <row r="15958">
      <c r="A15958" s="28" t="n">
        <v>42066</v>
      </c>
      <c r="B15958" t="n">
        <v>2.12</v>
      </c>
      <c r="C15958" t="n">
        <v>0.02</v>
      </c>
    </row>
    <row r="15959">
      <c r="A15959" s="28" t="n">
        <v>42067</v>
      </c>
      <c r="B15959" t="n">
        <v>2.12</v>
      </c>
      <c r="C15959" t="n">
        <v>0.01</v>
      </c>
    </row>
    <row r="15960">
      <c r="A15960" s="28" t="n">
        <v>42068</v>
      </c>
      <c r="B15960" t="n">
        <v>2.11</v>
      </c>
      <c r="C15960" t="n">
        <v>0.02</v>
      </c>
    </row>
    <row r="15961">
      <c r="A15961" s="28" t="n">
        <v>42069</v>
      </c>
      <c r="B15961" t="n">
        <v>2.24</v>
      </c>
      <c r="C15961" t="n">
        <v>0.01</v>
      </c>
    </row>
    <row r="15962">
      <c r="A15962" s="28" t="n">
        <v>42072</v>
      </c>
      <c r="B15962" t="n">
        <v>2.2</v>
      </c>
      <c r="C15962" t="n">
        <v>0.02</v>
      </c>
    </row>
    <row r="15963">
      <c r="A15963" s="28" t="n">
        <v>42073</v>
      </c>
      <c r="B15963" t="n">
        <v>2.14</v>
      </c>
      <c r="C15963" t="n">
        <v>0.02</v>
      </c>
    </row>
    <row r="15964">
      <c r="A15964" s="28" t="n">
        <v>42074</v>
      </c>
      <c r="B15964" t="n">
        <v>2.11</v>
      </c>
      <c r="C15964" t="n">
        <v>0.03</v>
      </c>
    </row>
    <row r="15965">
      <c r="A15965" s="28" t="n">
        <v>42075</v>
      </c>
      <c r="B15965" t="n">
        <v>2.1</v>
      </c>
      <c r="C15965" t="n">
        <v>0.03</v>
      </c>
    </row>
    <row r="15966">
      <c r="A15966" s="28" t="n">
        <v>42076</v>
      </c>
      <c r="B15966" t="n">
        <v>2.13</v>
      </c>
      <c r="C15966" t="n">
        <v>0.03</v>
      </c>
    </row>
    <row r="15967">
      <c r="A15967" s="28" t="n">
        <v>42079</v>
      </c>
      <c r="B15967" t="n">
        <v>2.1</v>
      </c>
      <c r="C15967" t="n">
        <v>0.05</v>
      </c>
    </row>
    <row r="15968">
      <c r="A15968" s="28" t="n">
        <v>42080</v>
      </c>
      <c r="B15968" t="n">
        <v>2.06</v>
      </c>
      <c r="C15968" t="n">
        <v>0.05</v>
      </c>
    </row>
    <row r="15969">
      <c r="A15969" s="28" t="n">
        <v>42081</v>
      </c>
      <c r="B15969" t="n">
        <v>1.93</v>
      </c>
      <c r="C15969" t="n">
        <v>0.03</v>
      </c>
    </row>
    <row r="15970">
      <c r="A15970" s="28" t="n">
        <v>42082</v>
      </c>
      <c r="B15970" t="n">
        <v>1.98</v>
      </c>
      <c r="C15970" t="n">
        <v>0.03</v>
      </c>
    </row>
    <row r="15971">
      <c r="A15971" s="28" t="n">
        <v>42083</v>
      </c>
      <c r="B15971" t="n">
        <v>1.93</v>
      </c>
      <c r="C15971" t="n">
        <v>0.01</v>
      </c>
    </row>
    <row r="15972">
      <c r="A15972" s="28" t="n">
        <v>42086</v>
      </c>
      <c r="B15972" t="n">
        <v>1.92</v>
      </c>
      <c r="C15972" t="n">
        <v>0.03</v>
      </c>
    </row>
    <row r="15973">
      <c r="A15973" s="28" t="n">
        <v>42087</v>
      </c>
      <c r="B15973" t="n">
        <v>1.88</v>
      </c>
      <c r="C15973" t="n">
        <v>0.02</v>
      </c>
    </row>
    <row r="15974">
      <c r="A15974" s="28" t="n">
        <v>42088</v>
      </c>
      <c r="B15974" t="n">
        <v>1.93</v>
      </c>
      <c r="C15974" t="n">
        <v>0.04</v>
      </c>
    </row>
    <row r="15975">
      <c r="A15975" s="28" t="n">
        <v>42089</v>
      </c>
      <c r="B15975" t="n">
        <v>2.01</v>
      </c>
      <c r="C15975" t="n">
        <v>0.03</v>
      </c>
    </row>
    <row r="15976">
      <c r="A15976" s="28" t="n">
        <v>42090</v>
      </c>
      <c r="B15976" t="n">
        <v>1.95</v>
      </c>
      <c r="C15976" t="n">
        <v>0.04</v>
      </c>
    </row>
    <row r="15977">
      <c r="A15977" s="28" t="n">
        <v>42093</v>
      </c>
      <c r="B15977" t="n">
        <v>1.96</v>
      </c>
      <c r="C15977" t="n">
        <v>0.04</v>
      </c>
    </row>
    <row r="15978">
      <c r="A15978" s="28" t="n">
        <v>42094</v>
      </c>
      <c r="B15978" t="n">
        <v>1.94</v>
      </c>
      <c r="C15978" t="n">
        <v>0.03</v>
      </c>
    </row>
    <row r="15979">
      <c r="A15979" s="28" t="n">
        <v>42095</v>
      </c>
      <c r="B15979" t="n">
        <v>1.87</v>
      </c>
      <c r="C15979" t="n">
        <v>0.03</v>
      </c>
    </row>
    <row r="15980">
      <c r="A15980" s="28" t="n">
        <v>42096</v>
      </c>
      <c r="B15980" t="n">
        <v>1.92</v>
      </c>
      <c r="C15980" t="n">
        <v>0.02</v>
      </c>
    </row>
    <row r="15981">
      <c r="A15981" s="28" t="n">
        <v>42097</v>
      </c>
      <c r="B15981" t="n">
        <v>1.85</v>
      </c>
      <c r="C15981" t="n">
        <v>0.02</v>
      </c>
    </row>
    <row r="15982">
      <c r="A15982" s="28" t="n">
        <v>42100</v>
      </c>
      <c r="B15982" t="n">
        <v>1.92</v>
      </c>
      <c r="C15982" t="n">
        <v>0.03</v>
      </c>
    </row>
    <row r="15983">
      <c r="A15983" s="28" t="n">
        <v>42101</v>
      </c>
      <c r="B15983" t="n">
        <v>1.89</v>
      </c>
      <c r="C15983" t="n">
        <v>0.02</v>
      </c>
    </row>
    <row r="15984">
      <c r="A15984" s="28" t="n">
        <v>42102</v>
      </c>
      <c r="B15984" t="n">
        <v>1.92</v>
      </c>
      <c r="C15984" t="n">
        <v>0.03</v>
      </c>
    </row>
    <row r="15985">
      <c r="A15985" s="28" t="n">
        <v>42103</v>
      </c>
      <c r="B15985" t="n">
        <v>1.97</v>
      </c>
      <c r="C15985" t="n">
        <v>0.03</v>
      </c>
    </row>
    <row r="15986">
      <c r="A15986" s="28" t="n">
        <v>42104</v>
      </c>
      <c r="B15986" t="n">
        <v>1.96</v>
      </c>
      <c r="C15986" t="n">
        <v>0.02</v>
      </c>
    </row>
    <row r="15987">
      <c r="A15987" s="28" t="n">
        <v>42107</v>
      </c>
      <c r="B15987" t="n">
        <v>1.94</v>
      </c>
      <c r="C15987" t="n">
        <v>0.03</v>
      </c>
    </row>
    <row r="15988">
      <c r="A15988" s="28" t="n">
        <v>42108</v>
      </c>
      <c r="B15988" t="n">
        <v>1.9</v>
      </c>
      <c r="C15988" t="n">
        <v>0.02</v>
      </c>
    </row>
    <row r="15989">
      <c r="A15989" s="28" t="n">
        <v>42109</v>
      </c>
      <c r="B15989" t="n">
        <v>1.91</v>
      </c>
      <c r="C15989" t="n">
        <v>0.02</v>
      </c>
    </row>
    <row r="15990">
      <c r="A15990" s="28" t="n">
        <v>42110</v>
      </c>
      <c r="B15990" t="n">
        <v>1.9</v>
      </c>
      <c r="C15990" t="n">
        <v>0.02</v>
      </c>
    </row>
    <row r="15991">
      <c r="A15991" s="28" t="n">
        <v>42111</v>
      </c>
      <c r="B15991" t="n">
        <v>1.87</v>
      </c>
      <c r="C15991" t="n">
        <v>0.01</v>
      </c>
    </row>
    <row r="15992">
      <c r="A15992" s="28" t="n">
        <v>42114</v>
      </c>
      <c r="B15992" t="n">
        <v>1.9</v>
      </c>
      <c r="C15992" t="n">
        <v>0.03</v>
      </c>
    </row>
    <row r="15993">
      <c r="A15993" s="28" t="n">
        <v>42115</v>
      </c>
      <c r="B15993" t="n">
        <v>1.92</v>
      </c>
      <c r="C15993" t="n">
        <v>0.03</v>
      </c>
    </row>
    <row r="15994">
      <c r="A15994" s="28" t="n">
        <v>42116</v>
      </c>
      <c r="B15994" t="n">
        <v>1.99</v>
      </c>
      <c r="C15994" t="n">
        <v>0.03</v>
      </c>
    </row>
    <row r="15995">
      <c r="A15995" s="28" t="n">
        <v>42117</v>
      </c>
      <c r="B15995" t="n">
        <v>1.96</v>
      </c>
      <c r="C15995" t="n">
        <v>0.03</v>
      </c>
    </row>
    <row r="15996">
      <c r="A15996" s="28" t="n">
        <v>42118</v>
      </c>
      <c r="B15996" t="n">
        <v>1.93</v>
      </c>
      <c r="C15996" t="n">
        <v>0.03</v>
      </c>
    </row>
    <row r="15997">
      <c r="A15997" s="28" t="n">
        <v>42121</v>
      </c>
      <c r="B15997" t="n">
        <v>1.94</v>
      </c>
      <c r="C15997" t="n">
        <v>0.02</v>
      </c>
    </row>
    <row r="15998">
      <c r="A15998" s="28" t="n">
        <v>42122</v>
      </c>
      <c r="B15998" t="n">
        <v>2</v>
      </c>
      <c r="C15998" t="n">
        <v>0.02</v>
      </c>
    </row>
    <row r="15999">
      <c r="A15999" s="28" t="n">
        <v>42123</v>
      </c>
      <c r="B15999" t="n">
        <v>2.06</v>
      </c>
      <c r="C15999" t="n">
        <v>0.01</v>
      </c>
    </row>
    <row r="16000">
      <c r="A16000" s="28" t="n">
        <v>42124</v>
      </c>
      <c r="B16000" t="n">
        <v>2.05</v>
      </c>
      <c r="C16000" t="n">
        <v>0.01</v>
      </c>
    </row>
    <row r="16001">
      <c r="A16001" s="28" t="n">
        <v>42125</v>
      </c>
      <c r="B16001" t="n">
        <v>2.12</v>
      </c>
      <c r="C16001" t="n">
        <v>0.01</v>
      </c>
    </row>
    <row r="16002">
      <c r="A16002" s="28" t="n">
        <v>42128</v>
      </c>
      <c r="B16002" t="n">
        <v>2.16</v>
      </c>
      <c r="C16002" t="n">
        <v>0.02</v>
      </c>
    </row>
    <row r="16003">
      <c r="A16003" s="28" t="n">
        <v>42129</v>
      </c>
      <c r="B16003" t="n">
        <v>2.19</v>
      </c>
      <c r="C16003" t="n">
        <v>0.01</v>
      </c>
    </row>
    <row r="16004">
      <c r="A16004" s="28" t="n">
        <v>42130</v>
      </c>
      <c r="B16004" t="n">
        <v>2.25</v>
      </c>
      <c r="C16004" t="n">
        <v>0.02</v>
      </c>
    </row>
    <row r="16005">
      <c r="A16005" s="28" t="n">
        <v>42131</v>
      </c>
      <c r="B16005" t="n">
        <v>2.18</v>
      </c>
      <c r="C16005" t="n">
        <v>0.01</v>
      </c>
    </row>
    <row r="16006">
      <c r="A16006" s="28" t="n">
        <v>42132</v>
      </c>
      <c r="B16006" t="n">
        <v>2.16</v>
      </c>
      <c r="C16006" t="n">
        <v>0.01</v>
      </c>
    </row>
    <row r="16007">
      <c r="A16007" s="28" t="n">
        <v>42135</v>
      </c>
      <c r="B16007" t="n">
        <v>2.28</v>
      </c>
      <c r="C16007" t="n">
        <v>0.02</v>
      </c>
    </row>
    <row r="16008">
      <c r="A16008" s="28" t="n">
        <v>42136</v>
      </c>
      <c r="B16008" t="n">
        <v>2.28</v>
      </c>
      <c r="C16008" t="n">
        <v>0.03</v>
      </c>
    </row>
    <row r="16009">
      <c r="A16009" s="28" t="n">
        <v>42137</v>
      </c>
      <c r="B16009" t="n">
        <v>2.27</v>
      </c>
      <c r="C16009" t="n">
        <v>0.02</v>
      </c>
    </row>
    <row r="16010">
      <c r="A16010" s="28" t="n">
        <v>42138</v>
      </c>
      <c r="B16010" t="n">
        <v>2.23</v>
      </c>
      <c r="C16010" t="n">
        <v>0.01</v>
      </c>
    </row>
    <row r="16011">
      <c r="A16011" s="28" t="n">
        <v>42139</v>
      </c>
      <c r="B16011" t="n">
        <v>2.14</v>
      </c>
      <c r="C16011" t="n">
        <v>0.02</v>
      </c>
    </row>
    <row r="16012">
      <c r="A16012" s="28" t="n">
        <v>42142</v>
      </c>
      <c r="B16012" t="n">
        <v>2.23</v>
      </c>
      <c r="C16012" t="n">
        <v>0.02</v>
      </c>
    </row>
    <row r="16013">
      <c r="A16013" s="28" t="n">
        <v>42143</v>
      </c>
      <c r="B16013" t="n">
        <v>2.27</v>
      </c>
      <c r="C16013" t="n">
        <v>0.02</v>
      </c>
    </row>
    <row r="16014">
      <c r="A16014" s="28" t="n">
        <v>42144</v>
      </c>
      <c r="B16014" t="n">
        <v>2.26</v>
      </c>
      <c r="C16014" t="n">
        <v>0.02</v>
      </c>
    </row>
    <row r="16015">
      <c r="A16015" s="28" t="n">
        <v>42145</v>
      </c>
      <c r="B16015" t="n">
        <v>2.19</v>
      </c>
      <c r="C16015" t="n">
        <v>0.02</v>
      </c>
    </row>
    <row r="16016">
      <c r="A16016" s="28" t="n">
        <v>42146</v>
      </c>
      <c r="B16016" t="n">
        <v>2.21</v>
      </c>
      <c r="C16016" t="n">
        <v>0.02</v>
      </c>
    </row>
    <row r="16017">
      <c r="A16017" s="28" t="n">
        <v>42149</v>
      </c>
      <c r="B16017" t="n">
        <v>0</v>
      </c>
      <c r="C16017" t="n">
        <v>0</v>
      </c>
    </row>
    <row r="16018">
      <c r="A16018" s="28" t="n">
        <v>42150</v>
      </c>
      <c r="B16018" t="n">
        <v>2.14</v>
      </c>
      <c r="C16018" t="n">
        <v>0.02</v>
      </c>
    </row>
    <row r="16019">
      <c r="A16019" s="28" t="n">
        <v>42151</v>
      </c>
      <c r="B16019" t="n">
        <v>2.14</v>
      </c>
      <c r="C16019" t="n">
        <v>0.01</v>
      </c>
    </row>
    <row r="16020">
      <c r="A16020" s="28" t="n">
        <v>42152</v>
      </c>
      <c r="B16020" t="n">
        <v>2.13</v>
      </c>
      <c r="C16020" t="n">
        <v>0.01</v>
      </c>
    </row>
    <row r="16021">
      <c r="A16021" s="28" t="n">
        <v>42153</v>
      </c>
      <c r="B16021" t="n">
        <v>2.12</v>
      </c>
      <c r="C16021" t="n">
        <v>0.01</v>
      </c>
    </row>
    <row r="16022">
      <c r="A16022" s="28" t="n">
        <v>42156</v>
      </c>
      <c r="B16022" t="n">
        <v>2.19</v>
      </c>
      <c r="C16022" t="n">
        <v>0.02</v>
      </c>
    </row>
    <row r="16023">
      <c r="A16023" s="28" t="n">
        <v>42157</v>
      </c>
      <c r="B16023" t="n">
        <v>2.27</v>
      </c>
      <c r="C16023" t="n">
        <v>0.01</v>
      </c>
    </row>
    <row r="16024">
      <c r="A16024" s="28" t="n">
        <v>42158</v>
      </c>
      <c r="B16024" t="n">
        <v>2.38</v>
      </c>
      <c r="C16024" t="n">
        <v>0.02</v>
      </c>
    </row>
    <row r="16025">
      <c r="A16025" s="28" t="n">
        <v>42159</v>
      </c>
      <c r="B16025" t="n">
        <v>2.31</v>
      </c>
      <c r="C16025" t="n">
        <v>0.02</v>
      </c>
    </row>
    <row r="16026">
      <c r="A16026" s="28" t="n">
        <v>42160</v>
      </c>
      <c r="B16026" t="n">
        <v>2.41</v>
      </c>
      <c r="C16026" t="n">
        <v>0.03</v>
      </c>
    </row>
    <row r="16027">
      <c r="A16027" s="28" t="n">
        <v>42163</v>
      </c>
      <c r="B16027" t="n">
        <v>2.39</v>
      </c>
      <c r="C16027" t="n">
        <v>0.02</v>
      </c>
    </row>
    <row r="16028">
      <c r="A16028" s="28" t="n">
        <v>42164</v>
      </c>
      <c r="B16028" t="n">
        <v>2.42</v>
      </c>
      <c r="C16028" t="n">
        <v>0.02</v>
      </c>
    </row>
    <row r="16029">
      <c r="A16029" s="28" t="n">
        <v>42165</v>
      </c>
      <c r="B16029" t="n">
        <v>2.5</v>
      </c>
      <c r="C16029" t="n">
        <v>0.02</v>
      </c>
    </row>
    <row r="16030">
      <c r="A16030" s="28" t="n">
        <v>42166</v>
      </c>
      <c r="B16030" t="n">
        <v>2.39</v>
      </c>
      <c r="C16030" t="n">
        <v>0.01</v>
      </c>
    </row>
    <row r="16031">
      <c r="A16031" s="28" t="n">
        <v>42167</v>
      </c>
      <c r="B16031" t="n">
        <v>2.39</v>
      </c>
      <c r="C16031" t="n">
        <v>0.02</v>
      </c>
    </row>
    <row r="16032">
      <c r="A16032" s="28" t="n">
        <v>42170</v>
      </c>
      <c r="B16032" t="n">
        <v>2.36</v>
      </c>
      <c r="C16032" t="n">
        <v>0.02</v>
      </c>
    </row>
    <row r="16033">
      <c r="A16033" s="28" t="n">
        <v>42171</v>
      </c>
      <c r="B16033" t="n">
        <v>2.32</v>
      </c>
      <c r="C16033" t="n">
        <v>0.01</v>
      </c>
    </row>
    <row r="16034">
      <c r="A16034" s="28" t="n">
        <v>42172</v>
      </c>
      <c r="B16034" t="n">
        <v>2.32</v>
      </c>
      <c r="C16034" t="n">
        <v>0.01</v>
      </c>
    </row>
    <row r="16035">
      <c r="A16035" s="28" t="n">
        <v>42173</v>
      </c>
      <c r="B16035" t="n">
        <v>2.35</v>
      </c>
      <c r="C16035" t="n">
        <v>0.01</v>
      </c>
    </row>
    <row r="16036">
      <c r="A16036" s="28" t="n">
        <v>42174</v>
      </c>
      <c r="B16036" t="n">
        <v>2.26</v>
      </c>
      <c r="C16036" t="n">
        <v>0.01</v>
      </c>
    </row>
    <row r="16037">
      <c r="A16037" s="28" t="n">
        <v>42177</v>
      </c>
      <c r="B16037" t="n">
        <v>2.37</v>
      </c>
      <c r="C16037" t="n">
        <v>0.01</v>
      </c>
    </row>
    <row r="16038">
      <c r="A16038" s="28" t="n">
        <v>42178</v>
      </c>
      <c r="B16038" t="n">
        <v>2.42</v>
      </c>
      <c r="C16038" t="n">
        <v>0.01</v>
      </c>
    </row>
    <row r="16039">
      <c r="A16039" s="28" t="n">
        <v>42179</v>
      </c>
      <c r="B16039" t="n">
        <v>2.38</v>
      </c>
      <c r="C16039" t="n">
        <v>0.01</v>
      </c>
    </row>
    <row r="16040">
      <c r="A16040" s="28" t="n">
        <v>42180</v>
      </c>
      <c r="B16040" t="n">
        <v>2.4</v>
      </c>
      <c r="C16040" t="n">
        <v>0.01</v>
      </c>
    </row>
    <row r="16041">
      <c r="A16041" s="28" t="n">
        <v>42181</v>
      </c>
      <c r="B16041" t="n">
        <v>2.49</v>
      </c>
      <c r="C16041" t="n">
        <v>0.01</v>
      </c>
    </row>
    <row r="16042">
      <c r="A16042" s="28" t="n">
        <v>42184</v>
      </c>
      <c r="B16042" t="n">
        <v>2.33</v>
      </c>
      <c r="C16042" t="n">
        <v>0.02</v>
      </c>
    </row>
    <row r="16043">
      <c r="A16043" s="28" t="n">
        <v>42185</v>
      </c>
      <c r="B16043" t="n">
        <v>2.35</v>
      </c>
      <c r="C16043" t="n">
        <v>0.01</v>
      </c>
    </row>
    <row r="16044">
      <c r="A16044" s="28" t="n">
        <v>42186</v>
      </c>
      <c r="B16044" t="n">
        <v>2.43</v>
      </c>
      <c r="C16044" t="n">
        <v>0.01</v>
      </c>
    </row>
    <row r="16045">
      <c r="A16045" s="28" t="n">
        <v>42187</v>
      </c>
      <c r="B16045" t="n">
        <v>2.4</v>
      </c>
      <c r="C16045" t="n">
        <v>0.01</v>
      </c>
    </row>
    <row r="16046">
      <c r="A16046" s="28" t="n">
        <v>42188</v>
      </c>
      <c r="B16046" t="n">
        <v>0</v>
      </c>
      <c r="C16046" t="n">
        <v>0</v>
      </c>
    </row>
    <row r="16047">
      <c r="A16047" s="28" t="n">
        <v>42191</v>
      </c>
      <c r="B16047" t="n">
        <v>2.3</v>
      </c>
      <c r="C16047" t="n">
        <v>0.02</v>
      </c>
    </row>
    <row r="16048">
      <c r="A16048" s="28" t="n">
        <v>42192</v>
      </c>
      <c r="B16048" t="n">
        <v>2.27</v>
      </c>
      <c r="C16048" t="n">
        <v>0.02</v>
      </c>
    </row>
    <row r="16049">
      <c r="A16049" s="28" t="n">
        <v>42193</v>
      </c>
      <c r="B16049" t="n">
        <v>2.22</v>
      </c>
      <c r="C16049" t="n">
        <v>0.02</v>
      </c>
    </row>
    <row r="16050">
      <c r="A16050" s="28" t="n">
        <v>42194</v>
      </c>
      <c r="B16050" t="n">
        <v>2.32</v>
      </c>
      <c r="C16050" t="n">
        <v>0.03</v>
      </c>
    </row>
    <row r="16051">
      <c r="A16051" s="28" t="n">
        <v>42195</v>
      </c>
      <c r="B16051" t="n">
        <v>2.42</v>
      </c>
      <c r="C16051" t="n">
        <v>0.01</v>
      </c>
    </row>
    <row r="16052">
      <c r="A16052" s="28" t="n">
        <v>42198</v>
      </c>
      <c r="B16052" t="n">
        <v>2.44</v>
      </c>
      <c r="C16052" t="n">
        <v>0.02</v>
      </c>
    </row>
    <row r="16053">
      <c r="A16053" s="28" t="n">
        <v>42199</v>
      </c>
      <c r="B16053" t="n">
        <v>2.41</v>
      </c>
      <c r="C16053" t="n">
        <v>0.01</v>
      </c>
    </row>
    <row r="16054">
      <c r="A16054" s="28" t="n">
        <v>42200</v>
      </c>
      <c r="B16054" t="n">
        <v>2.36</v>
      </c>
      <c r="C16054" t="n">
        <v>0.02</v>
      </c>
    </row>
    <row r="16055">
      <c r="A16055" s="28" t="n">
        <v>42201</v>
      </c>
      <c r="B16055" t="n">
        <v>2.36</v>
      </c>
      <c r="C16055" t="n">
        <v>0.02</v>
      </c>
    </row>
    <row r="16056">
      <c r="A16056" s="28" t="n">
        <v>42202</v>
      </c>
      <c r="B16056" t="n">
        <v>2.34</v>
      </c>
      <c r="C16056" t="n">
        <v>0.03</v>
      </c>
    </row>
    <row r="16057">
      <c r="A16057" s="28" t="n">
        <v>42205</v>
      </c>
      <c r="B16057" t="n">
        <v>2.38</v>
      </c>
      <c r="C16057" t="n">
        <v>0.04</v>
      </c>
    </row>
    <row r="16058">
      <c r="A16058" s="28" t="n">
        <v>42206</v>
      </c>
      <c r="B16058" t="n">
        <v>2.35</v>
      </c>
      <c r="C16058" t="n">
        <v>0.03</v>
      </c>
    </row>
    <row r="16059">
      <c r="A16059" s="28" t="n">
        <v>42207</v>
      </c>
      <c r="B16059" t="n">
        <v>2.33</v>
      </c>
      <c r="C16059" t="n">
        <v>0.04</v>
      </c>
    </row>
    <row r="16060">
      <c r="A16060" s="28" t="n">
        <v>42208</v>
      </c>
      <c r="B16060" t="n">
        <v>2.28</v>
      </c>
      <c r="C16060" t="n">
        <v>0.03</v>
      </c>
    </row>
    <row r="16061">
      <c r="A16061" s="28" t="n">
        <v>42209</v>
      </c>
      <c r="B16061" t="n">
        <v>2.27</v>
      </c>
      <c r="C16061" t="n">
        <v>0.04</v>
      </c>
    </row>
    <row r="16062">
      <c r="A16062" s="28" t="n">
        <v>42212</v>
      </c>
      <c r="B16062" t="n">
        <v>2.23</v>
      </c>
      <c r="C16062" t="n">
        <v>0.05</v>
      </c>
    </row>
    <row r="16063">
      <c r="A16063" s="28" t="n">
        <v>42213</v>
      </c>
      <c r="B16063" t="n">
        <v>2.26</v>
      </c>
      <c r="C16063" t="n">
        <v>0.05</v>
      </c>
    </row>
    <row r="16064">
      <c r="A16064" s="28" t="n">
        <v>42214</v>
      </c>
      <c r="B16064" t="n">
        <v>2.29</v>
      </c>
      <c r="C16064" t="n">
        <v>0.06</v>
      </c>
    </row>
    <row r="16065">
      <c r="A16065" s="28" t="n">
        <v>42215</v>
      </c>
      <c r="B16065" t="n">
        <v>2.28</v>
      </c>
      <c r="C16065" t="n">
        <v>0.07000000000000001</v>
      </c>
    </row>
    <row r="16066">
      <c r="A16066" s="28" t="n">
        <v>42216</v>
      </c>
      <c r="B16066" t="n">
        <v>2.2</v>
      </c>
      <c r="C16066" t="n">
        <v>0.08</v>
      </c>
    </row>
    <row r="16067">
      <c r="A16067" s="28" t="n">
        <v>42219</v>
      </c>
      <c r="B16067" t="n">
        <v>2.16</v>
      </c>
      <c r="C16067" t="n">
        <v>0.08</v>
      </c>
    </row>
    <row r="16068">
      <c r="A16068" s="28" t="n">
        <v>42220</v>
      </c>
      <c r="B16068" t="n">
        <v>2.23</v>
      </c>
      <c r="C16068" t="n">
        <v>0.08</v>
      </c>
    </row>
    <row r="16069">
      <c r="A16069" s="28" t="n">
        <v>42221</v>
      </c>
      <c r="B16069" t="n">
        <v>2.28</v>
      </c>
      <c r="C16069" t="n">
        <v>0.08</v>
      </c>
    </row>
    <row r="16070">
      <c r="A16070" s="28" t="n">
        <v>42222</v>
      </c>
      <c r="B16070" t="n">
        <v>2.23</v>
      </c>
      <c r="C16070" t="n">
        <v>0.04</v>
      </c>
    </row>
    <row r="16071">
      <c r="A16071" s="28" t="n">
        <v>42223</v>
      </c>
      <c r="B16071" t="n">
        <v>2.18</v>
      </c>
      <c r="C16071" t="n">
        <v>0.06</v>
      </c>
    </row>
    <row r="16072">
      <c r="A16072" s="28" t="n">
        <v>42226</v>
      </c>
      <c r="B16072" t="n">
        <v>2.24</v>
      </c>
      <c r="C16072" t="n">
        <v>0.12</v>
      </c>
    </row>
    <row r="16073">
      <c r="A16073" s="28" t="n">
        <v>42227</v>
      </c>
      <c r="B16073" t="n">
        <v>2.15</v>
      </c>
      <c r="C16073" t="n">
        <v>0.1</v>
      </c>
    </row>
    <row r="16074">
      <c r="A16074" s="28" t="n">
        <v>42228</v>
      </c>
      <c r="B16074" t="n">
        <v>2.14</v>
      </c>
      <c r="C16074" t="n">
        <v>0.1</v>
      </c>
    </row>
    <row r="16075">
      <c r="A16075" s="28" t="n">
        <v>42229</v>
      </c>
      <c r="B16075" t="n">
        <v>2.19</v>
      </c>
      <c r="C16075" t="n">
        <v>0.1</v>
      </c>
    </row>
    <row r="16076">
      <c r="A16076" s="28" t="n">
        <v>42230</v>
      </c>
      <c r="B16076" t="n">
        <v>2.2</v>
      </c>
      <c r="C16076" t="n">
        <v>0.09</v>
      </c>
    </row>
    <row r="16077">
      <c r="A16077" s="28" t="n">
        <v>42233</v>
      </c>
      <c r="B16077" t="n">
        <v>2.16</v>
      </c>
      <c r="C16077" t="n">
        <v>0.1</v>
      </c>
    </row>
    <row r="16078">
      <c r="A16078" s="28" t="n">
        <v>42234</v>
      </c>
      <c r="B16078" t="n">
        <v>2.2</v>
      </c>
      <c r="C16078" t="n">
        <v>0.07000000000000001</v>
      </c>
    </row>
    <row r="16079">
      <c r="A16079" s="28" t="n">
        <v>42235</v>
      </c>
      <c r="B16079" t="n">
        <v>2.12</v>
      </c>
      <c r="C16079" t="n">
        <v>0.05</v>
      </c>
    </row>
    <row r="16080">
      <c r="A16080" s="28" t="n">
        <v>42236</v>
      </c>
      <c r="B16080" t="n">
        <v>2.09</v>
      </c>
      <c r="C16080" t="n">
        <v>0.02</v>
      </c>
    </row>
    <row r="16081">
      <c r="A16081" s="28" t="n">
        <v>42237</v>
      </c>
      <c r="B16081" t="n">
        <v>2.05</v>
      </c>
      <c r="C16081" t="n">
        <v>0.03</v>
      </c>
    </row>
    <row r="16082">
      <c r="A16082" s="28" t="n">
        <v>42240</v>
      </c>
      <c r="B16082" t="n">
        <v>2.01</v>
      </c>
      <c r="C16082" t="n">
        <v>0.06</v>
      </c>
    </row>
    <row r="16083">
      <c r="A16083" s="28" t="n">
        <v>42241</v>
      </c>
      <c r="B16083" t="n">
        <v>2.12</v>
      </c>
      <c r="C16083" t="n">
        <v>0.07000000000000001</v>
      </c>
    </row>
    <row r="16084">
      <c r="A16084" s="28" t="n">
        <v>42242</v>
      </c>
      <c r="B16084" t="n">
        <v>2.18</v>
      </c>
      <c r="C16084" t="n">
        <v>0.06</v>
      </c>
    </row>
    <row r="16085">
      <c r="A16085" s="28" t="n">
        <v>42243</v>
      </c>
      <c r="B16085" t="n">
        <v>2.18</v>
      </c>
      <c r="C16085" t="n">
        <v>0.06</v>
      </c>
    </row>
    <row r="16086">
      <c r="A16086" s="28" t="n">
        <v>42244</v>
      </c>
      <c r="B16086" t="n">
        <v>2.19</v>
      </c>
      <c r="C16086" t="n">
        <v>0.06</v>
      </c>
    </row>
    <row r="16087">
      <c r="A16087" s="28" t="n">
        <v>42247</v>
      </c>
      <c r="B16087" t="n">
        <v>2.21</v>
      </c>
      <c r="C16087" t="n">
        <v>0.08</v>
      </c>
    </row>
    <row r="16088">
      <c r="A16088" s="28" t="n">
        <v>42248</v>
      </c>
      <c r="B16088" t="n">
        <v>2.17</v>
      </c>
      <c r="C16088" t="n">
        <v>0.03</v>
      </c>
    </row>
    <row r="16089">
      <c r="A16089" s="28" t="n">
        <v>42249</v>
      </c>
      <c r="B16089" t="n">
        <v>2.2</v>
      </c>
      <c r="C16089" t="n">
        <v>0.03</v>
      </c>
    </row>
    <row r="16090">
      <c r="A16090" s="28" t="n">
        <v>42250</v>
      </c>
      <c r="B16090" t="n">
        <v>2.18</v>
      </c>
      <c r="C16090" t="n">
        <v>0.02</v>
      </c>
    </row>
    <row r="16091">
      <c r="A16091" s="28" t="n">
        <v>42251</v>
      </c>
      <c r="B16091" t="n">
        <v>2.13</v>
      </c>
      <c r="C16091" t="n">
        <v>0.02</v>
      </c>
    </row>
    <row r="16092">
      <c r="A16092" s="28" t="n">
        <v>42254</v>
      </c>
      <c r="B16092" t="n">
        <v>0</v>
      </c>
      <c r="C16092" t="n">
        <v>0</v>
      </c>
    </row>
    <row r="16093">
      <c r="A16093" s="28" t="n">
        <v>42255</v>
      </c>
      <c r="B16093" t="n">
        <v>2.2</v>
      </c>
      <c r="C16093" t="n">
        <v>0.06</v>
      </c>
    </row>
    <row r="16094">
      <c r="A16094" s="28" t="n">
        <v>42256</v>
      </c>
      <c r="B16094" t="n">
        <v>2.21</v>
      </c>
      <c r="C16094" t="n">
        <v>0.03</v>
      </c>
    </row>
    <row r="16095">
      <c r="A16095" s="28" t="n">
        <v>42257</v>
      </c>
      <c r="B16095" t="n">
        <v>2.23</v>
      </c>
      <c r="C16095" t="n">
        <v>0.02</v>
      </c>
    </row>
    <row r="16096">
      <c r="A16096" s="28" t="n">
        <v>42258</v>
      </c>
      <c r="B16096" t="n">
        <v>2.2</v>
      </c>
      <c r="C16096" t="n">
        <v>0.04</v>
      </c>
    </row>
    <row r="16097">
      <c r="A16097" s="28" t="n">
        <v>42261</v>
      </c>
      <c r="B16097" t="n">
        <v>2.18</v>
      </c>
      <c r="C16097" t="n">
        <v>0.07000000000000001</v>
      </c>
    </row>
    <row r="16098">
      <c r="A16098" s="28" t="n">
        <v>42262</v>
      </c>
      <c r="B16098" t="n">
        <v>2.28</v>
      </c>
      <c r="C16098" t="n">
        <v>0.07000000000000001</v>
      </c>
    </row>
    <row r="16099">
      <c r="A16099" s="28" t="n">
        <v>42263</v>
      </c>
      <c r="B16099" t="n">
        <v>2.3</v>
      </c>
      <c r="C16099" t="n">
        <v>0.06</v>
      </c>
    </row>
    <row r="16100">
      <c r="A16100" s="28" t="n">
        <v>42264</v>
      </c>
      <c r="B16100" t="n">
        <v>2.21</v>
      </c>
      <c r="C16100" t="n">
        <v>0.01</v>
      </c>
    </row>
    <row r="16101">
      <c r="A16101" s="28" t="n">
        <v>42265</v>
      </c>
      <c r="B16101" t="n">
        <v>2.13</v>
      </c>
      <c r="C16101" t="n">
        <v>-0.01</v>
      </c>
    </row>
    <row r="16102">
      <c r="A16102" s="28" t="n">
        <v>42268</v>
      </c>
      <c r="B16102" t="n">
        <v>2.2</v>
      </c>
      <c r="C16102" t="n">
        <v>0.01</v>
      </c>
    </row>
    <row r="16103">
      <c r="A16103" s="28" t="n">
        <v>42269</v>
      </c>
      <c r="B16103" t="n">
        <v>2.14</v>
      </c>
      <c r="C16103" t="n">
        <v>-0.01</v>
      </c>
    </row>
    <row r="16104">
      <c r="A16104" s="28" t="n">
        <v>42270</v>
      </c>
      <c r="B16104" t="n">
        <v>2.16</v>
      </c>
      <c r="C16104" t="n">
        <v>0.01</v>
      </c>
    </row>
    <row r="16105">
      <c r="A16105" s="28" t="n">
        <v>42271</v>
      </c>
      <c r="B16105" t="n">
        <v>2.13</v>
      </c>
      <c r="C16105" t="n">
        <v>0.01</v>
      </c>
    </row>
    <row r="16106">
      <c r="A16106" s="28" t="n">
        <v>42272</v>
      </c>
      <c r="B16106" t="n">
        <v>2.17</v>
      </c>
      <c r="C16106" t="n">
        <v>-0.01</v>
      </c>
    </row>
    <row r="16107">
      <c r="A16107" s="28" t="n">
        <v>42275</v>
      </c>
      <c r="B16107" t="n">
        <v>2.1</v>
      </c>
      <c r="C16107" t="n">
        <v>0.01</v>
      </c>
    </row>
    <row r="16108">
      <c r="A16108" s="28" t="n">
        <v>42276</v>
      </c>
      <c r="B16108" t="n">
        <v>2.05</v>
      </c>
      <c r="C16108" t="n">
        <v>0.01</v>
      </c>
    </row>
    <row r="16109">
      <c r="A16109" s="28" t="n">
        <v>42277</v>
      </c>
      <c r="B16109" t="n">
        <v>2.06</v>
      </c>
      <c r="C16109" t="n">
        <v>-0.01</v>
      </c>
    </row>
    <row r="16110">
      <c r="A16110" s="28" t="n">
        <v>42278</v>
      </c>
      <c r="B16110" t="n">
        <v>2.05</v>
      </c>
      <c r="C16110" t="n">
        <v>-0.02</v>
      </c>
    </row>
    <row r="16111">
      <c r="A16111" s="28" t="n">
        <v>42279</v>
      </c>
      <c r="B16111" t="n">
        <v>1.99</v>
      </c>
      <c r="C16111" t="n">
        <v>0</v>
      </c>
    </row>
    <row r="16112">
      <c r="A16112" s="28" t="n">
        <v>42282</v>
      </c>
      <c r="B16112" t="n">
        <v>2.07</v>
      </c>
      <c r="C16112" t="n">
        <v>0.01</v>
      </c>
    </row>
    <row r="16113">
      <c r="A16113" s="28" t="n">
        <v>42283</v>
      </c>
      <c r="B16113" t="n">
        <v>2.05</v>
      </c>
      <c r="C16113" t="n">
        <v>0</v>
      </c>
    </row>
    <row r="16114">
      <c r="A16114" s="28" t="n">
        <v>42284</v>
      </c>
      <c r="B16114" t="n">
        <v>2.08</v>
      </c>
      <c r="C16114" t="n">
        <v>0</v>
      </c>
    </row>
    <row r="16115">
      <c r="A16115" s="28" t="n">
        <v>42285</v>
      </c>
      <c r="B16115" t="n">
        <v>2.12</v>
      </c>
      <c r="C16115" t="n">
        <v>-0.01</v>
      </c>
    </row>
    <row r="16116">
      <c r="A16116" s="28" t="n">
        <v>42286</v>
      </c>
      <c r="B16116" t="n">
        <v>2.12</v>
      </c>
      <c r="C16116" t="n">
        <v>0.01</v>
      </c>
    </row>
    <row r="16117">
      <c r="A16117" s="28" t="n">
        <v>42289</v>
      </c>
      <c r="B16117" t="n">
        <v>0</v>
      </c>
      <c r="C16117" t="n">
        <v>0</v>
      </c>
    </row>
    <row r="16118">
      <c r="A16118" s="28" t="n">
        <v>42290</v>
      </c>
      <c r="B16118" t="n">
        <v>2.06</v>
      </c>
      <c r="C16118" t="n">
        <v>0.01</v>
      </c>
    </row>
    <row r="16119">
      <c r="A16119" s="28" t="n">
        <v>42291</v>
      </c>
      <c r="B16119" t="n">
        <v>1.99</v>
      </c>
      <c r="C16119" t="n">
        <v>0</v>
      </c>
    </row>
    <row r="16120">
      <c r="A16120" s="28" t="n">
        <v>42292</v>
      </c>
      <c r="B16120" t="n">
        <v>2.04</v>
      </c>
      <c r="C16120" t="n">
        <v>0.01</v>
      </c>
    </row>
    <row r="16121">
      <c r="A16121" s="28" t="n">
        <v>42293</v>
      </c>
      <c r="B16121" t="n">
        <v>2.04</v>
      </c>
      <c r="C16121" t="n">
        <v>0.01</v>
      </c>
    </row>
    <row r="16122">
      <c r="A16122" s="28" t="n">
        <v>42296</v>
      </c>
      <c r="B16122" t="n">
        <v>2.04</v>
      </c>
      <c r="C16122" t="n">
        <v>0.02</v>
      </c>
    </row>
    <row r="16123">
      <c r="A16123" s="28" t="n">
        <v>42297</v>
      </c>
      <c r="B16123" t="n">
        <v>2.08</v>
      </c>
      <c r="C16123" t="n">
        <v>0.02</v>
      </c>
    </row>
    <row r="16124">
      <c r="A16124" s="28" t="n">
        <v>42298</v>
      </c>
      <c r="B16124" t="n">
        <v>2.04</v>
      </c>
      <c r="C16124" t="n">
        <v>0.01</v>
      </c>
    </row>
    <row r="16125">
      <c r="A16125" s="28" t="n">
        <v>42299</v>
      </c>
      <c r="B16125" t="n">
        <v>2.04</v>
      </c>
      <c r="C16125" t="n">
        <v>0</v>
      </c>
    </row>
    <row r="16126">
      <c r="A16126" s="28" t="n">
        <v>42300</v>
      </c>
      <c r="B16126" t="n">
        <v>2.09</v>
      </c>
      <c r="C16126" t="n">
        <v>0.01</v>
      </c>
    </row>
    <row r="16127">
      <c r="A16127" s="28" t="n">
        <v>42303</v>
      </c>
      <c r="B16127" t="n">
        <v>2.07</v>
      </c>
      <c r="C16127" t="n">
        <v>0.02</v>
      </c>
    </row>
    <row r="16128">
      <c r="A16128" s="28" t="n">
        <v>42304</v>
      </c>
      <c r="B16128" t="n">
        <v>2.05</v>
      </c>
      <c r="C16128" t="n">
        <v>0.03</v>
      </c>
    </row>
    <row r="16129">
      <c r="A16129" s="28" t="n">
        <v>42305</v>
      </c>
      <c r="B16129" t="n">
        <v>2.1</v>
      </c>
      <c r="C16129" t="n">
        <v>0.04</v>
      </c>
    </row>
    <row r="16130">
      <c r="A16130" s="28" t="n">
        <v>42306</v>
      </c>
      <c r="B16130" t="n">
        <v>2.19</v>
      </c>
      <c r="C16130" t="n">
        <v>0.07000000000000001</v>
      </c>
    </row>
    <row r="16131">
      <c r="A16131" s="28" t="n">
        <v>42307</v>
      </c>
      <c r="B16131" t="n">
        <v>2.16</v>
      </c>
      <c r="C16131" t="n">
        <v>0.08</v>
      </c>
    </row>
    <row r="16132">
      <c r="A16132" s="28" t="n">
        <v>42310</v>
      </c>
      <c r="B16132" t="n">
        <v>2.2</v>
      </c>
      <c r="C16132" t="n">
        <v>0.08</v>
      </c>
    </row>
    <row r="16133">
      <c r="A16133" s="28" t="n">
        <v>42311</v>
      </c>
      <c r="B16133" t="n">
        <v>2.23</v>
      </c>
      <c r="C16133" t="n">
        <v>0.06</v>
      </c>
    </row>
    <row r="16134">
      <c r="A16134" s="28" t="n">
        <v>42312</v>
      </c>
      <c r="B16134" t="n">
        <v>2.25</v>
      </c>
      <c r="C16134" t="n">
        <v>0.05</v>
      </c>
    </row>
    <row r="16135">
      <c r="A16135" s="28" t="n">
        <v>42313</v>
      </c>
      <c r="B16135" t="n">
        <v>2.26</v>
      </c>
      <c r="C16135" t="n">
        <v>0.05</v>
      </c>
    </row>
    <row r="16136">
      <c r="A16136" s="28" t="n">
        <v>42314</v>
      </c>
      <c r="B16136" t="n">
        <v>2.34</v>
      </c>
      <c r="C16136" t="n">
        <v>0.08</v>
      </c>
    </row>
    <row r="16137">
      <c r="A16137" s="28" t="n">
        <v>42317</v>
      </c>
      <c r="B16137" t="n">
        <v>2.36</v>
      </c>
      <c r="C16137" t="n">
        <v>0.14</v>
      </c>
    </row>
    <row r="16138">
      <c r="A16138" s="28" t="n">
        <v>42318</v>
      </c>
      <c r="B16138" t="n">
        <v>2.32</v>
      </c>
      <c r="C16138" t="n">
        <v>0.13</v>
      </c>
    </row>
    <row r="16139">
      <c r="A16139" s="28" t="n">
        <v>42319</v>
      </c>
      <c r="B16139" t="n">
        <v>0</v>
      </c>
      <c r="C16139" t="n">
        <v>0</v>
      </c>
    </row>
    <row r="16140">
      <c r="A16140" s="28" t="n">
        <v>42320</v>
      </c>
      <c r="B16140" t="n">
        <v>2.32</v>
      </c>
      <c r="C16140" t="n">
        <v>0.14</v>
      </c>
    </row>
    <row r="16141">
      <c r="A16141" s="28" t="n">
        <v>42321</v>
      </c>
      <c r="B16141" t="n">
        <v>2.28</v>
      </c>
      <c r="C16141" t="n">
        <v>0.13</v>
      </c>
    </row>
    <row r="16142">
      <c r="A16142" s="28" t="n">
        <v>42324</v>
      </c>
      <c r="B16142" t="n">
        <v>2.27</v>
      </c>
      <c r="C16142" t="n">
        <v>0.15</v>
      </c>
    </row>
    <row r="16143">
      <c r="A16143" s="28" t="n">
        <v>42325</v>
      </c>
      <c r="B16143" t="n">
        <v>2.25</v>
      </c>
      <c r="C16143" t="n">
        <v>0.14</v>
      </c>
    </row>
    <row r="16144">
      <c r="A16144" s="28" t="n">
        <v>42326</v>
      </c>
      <c r="B16144" t="n">
        <v>2.27</v>
      </c>
      <c r="C16144" t="n">
        <v>0.12</v>
      </c>
    </row>
    <row r="16145">
      <c r="A16145" s="28" t="n">
        <v>42327</v>
      </c>
      <c r="B16145" t="n">
        <v>2.24</v>
      </c>
      <c r="C16145" t="n">
        <v>0.11</v>
      </c>
    </row>
    <row r="16146">
      <c r="A16146" s="28" t="n">
        <v>42328</v>
      </c>
      <c r="B16146" t="n">
        <v>2.26</v>
      </c>
      <c r="C16146" t="n">
        <v>0.11</v>
      </c>
    </row>
    <row r="16147">
      <c r="A16147" s="28" t="n">
        <v>42331</v>
      </c>
      <c r="B16147" t="n">
        <v>2.25</v>
      </c>
      <c r="C16147" t="n">
        <v>0.14</v>
      </c>
    </row>
    <row r="16148">
      <c r="A16148" s="28" t="n">
        <v>42332</v>
      </c>
      <c r="B16148" t="n">
        <v>2.24</v>
      </c>
      <c r="C16148" t="n">
        <v>0.16</v>
      </c>
    </row>
    <row r="16149">
      <c r="A16149" s="28" t="n">
        <v>42333</v>
      </c>
      <c r="B16149" t="n">
        <v>2.23</v>
      </c>
      <c r="C16149" t="n">
        <v>0.19</v>
      </c>
    </row>
    <row r="16150">
      <c r="A16150" s="28" t="n">
        <v>42334</v>
      </c>
      <c r="B16150" t="n">
        <v>0</v>
      </c>
      <c r="C16150" t="n">
        <v>0</v>
      </c>
    </row>
    <row r="16151">
      <c r="A16151" s="28" t="n">
        <v>42335</v>
      </c>
      <c r="B16151" t="n">
        <v>2.22</v>
      </c>
      <c r="C16151" t="n">
        <v>0.17</v>
      </c>
    </row>
    <row r="16152">
      <c r="A16152" s="28" t="n">
        <v>42338</v>
      </c>
      <c r="B16152" t="n">
        <v>2.21</v>
      </c>
      <c r="C16152" t="n">
        <v>0.22</v>
      </c>
    </row>
    <row r="16153">
      <c r="A16153" s="28" t="n">
        <v>42339</v>
      </c>
      <c r="B16153" t="n">
        <v>2.15</v>
      </c>
      <c r="C16153" t="n">
        <v>0.21</v>
      </c>
    </row>
    <row r="16154">
      <c r="A16154" s="28" t="n">
        <v>42340</v>
      </c>
      <c r="B16154" t="n">
        <v>2.18</v>
      </c>
      <c r="C16154" t="n">
        <v>0.21</v>
      </c>
    </row>
    <row r="16155">
      <c r="A16155" s="28" t="n">
        <v>42341</v>
      </c>
      <c r="B16155" t="n">
        <v>2.33</v>
      </c>
      <c r="C16155" t="n">
        <v>0.21</v>
      </c>
    </row>
    <row r="16156">
      <c r="A16156" s="28" t="n">
        <v>42342</v>
      </c>
      <c r="B16156" t="n">
        <v>2.28</v>
      </c>
      <c r="C16156" t="n">
        <v>0.22</v>
      </c>
    </row>
    <row r="16157">
      <c r="A16157" s="28" t="n">
        <v>42345</v>
      </c>
      <c r="B16157" t="n">
        <v>2.23</v>
      </c>
      <c r="C16157" t="n">
        <v>0.29</v>
      </c>
    </row>
    <row r="16158">
      <c r="A16158" s="28" t="n">
        <v>42346</v>
      </c>
      <c r="B16158" t="n">
        <v>2.24</v>
      </c>
      <c r="C16158" t="n">
        <v>0.27</v>
      </c>
    </row>
    <row r="16159">
      <c r="A16159" s="28" t="n">
        <v>42347</v>
      </c>
      <c r="B16159" t="n">
        <v>2.22</v>
      </c>
      <c r="C16159" t="n">
        <v>0.26</v>
      </c>
    </row>
    <row r="16160">
      <c r="A16160" s="28" t="n">
        <v>42348</v>
      </c>
      <c r="B16160" t="n">
        <v>2.24</v>
      </c>
      <c r="C16160" t="n">
        <v>0.24</v>
      </c>
    </row>
    <row r="16161">
      <c r="A16161" s="28" t="n">
        <v>42349</v>
      </c>
      <c r="B16161" t="n">
        <v>2.13</v>
      </c>
      <c r="C16161" t="n">
        <v>0.22</v>
      </c>
    </row>
    <row r="16162">
      <c r="A16162" s="28" t="n">
        <v>42352</v>
      </c>
      <c r="B16162" t="n">
        <v>2.23</v>
      </c>
      <c r="C16162" t="n">
        <v>0.26</v>
      </c>
    </row>
    <row r="16163">
      <c r="A16163" s="28" t="n">
        <v>42353</v>
      </c>
      <c r="B16163" t="n">
        <v>2.28</v>
      </c>
      <c r="C16163" t="n">
        <v>0.25</v>
      </c>
    </row>
    <row r="16164">
      <c r="A16164" s="28" t="n">
        <v>42354</v>
      </c>
      <c r="B16164" t="n">
        <v>2.3</v>
      </c>
      <c r="C16164" t="n">
        <v>0.27</v>
      </c>
    </row>
    <row r="16165">
      <c r="A16165" s="28" t="n">
        <v>42355</v>
      </c>
      <c r="B16165" t="n">
        <v>2.24</v>
      </c>
      <c r="C16165" t="n">
        <v>0.23</v>
      </c>
    </row>
    <row r="16166">
      <c r="A16166" s="28" t="n">
        <v>42356</v>
      </c>
      <c r="B16166" t="n">
        <v>2.19</v>
      </c>
      <c r="C16166" t="n">
        <v>0.19</v>
      </c>
    </row>
    <row r="16167">
      <c r="A16167" s="28" t="n">
        <v>42359</v>
      </c>
      <c r="B16167" t="n">
        <v>2.2</v>
      </c>
      <c r="C16167" t="n">
        <v>0.24</v>
      </c>
    </row>
    <row r="16168">
      <c r="A16168" s="28" t="n">
        <v>42360</v>
      </c>
      <c r="B16168" t="n">
        <v>2.24</v>
      </c>
      <c r="C16168" t="n">
        <v>0.21</v>
      </c>
    </row>
    <row r="16169">
      <c r="A16169" s="28" t="n">
        <v>42361</v>
      </c>
      <c r="B16169" t="n">
        <v>2.27</v>
      </c>
      <c r="C16169" t="n">
        <v>0.2</v>
      </c>
    </row>
    <row r="16170">
      <c r="A16170" s="28" t="n">
        <v>42362</v>
      </c>
      <c r="B16170" t="n">
        <v>2.25</v>
      </c>
      <c r="C16170" t="n">
        <v>0.2</v>
      </c>
    </row>
    <row r="16171">
      <c r="A16171" s="28" t="n">
        <v>42363</v>
      </c>
      <c r="B16171" t="n">
        <v>0</v>
      </c>
      <c r="C16171" t="n">
        <v>0</v>
      </c>
    </row>
    <row r="16172">
      <c r="A16172" s="28" t="n">
        <v>42366</v>
      </c>
      <c r="B16172" t="n">
        <v>2.24</v>
      </c>
      <c r="C16172" t="n">
        <v>0.23</v>
      </c>
    </row>
    <row r="16173">
      <c r="A16173" s="28" t="n">
        <v>42367</v>
      </c>
      <c r="B16173" t="n">
        <v>2.32</v>
      </c>
      <c r="C16173" t="n">
        <v>0.23</v>
      </c>
    </row>
    <row r="16174">
      <c r="A16174" s="28" t="n">
        <v>42368</v>
      </c>
      <c r="B16174" t="n">
        <v>2.31</v>
      </c>
      <c r="C16174" t="n">
        <v>0.21</v>
      </c>
    </row>
    <row r="16175">
      <c r="A16175" s="28" t="n">
        <v>42369</v>
      </c>
      <c r="B16175" t="n">
        <v>2.27</v>
      </c>
      <c r="C16175" t="n">
        <v>0.16</v>
      </c>
    </row>
    <row r="16176">
      <c r="A16176" s="28" t="n">
        <v>42370</v>
      </c>
      <c r="B16176" t="n">
        <v>0</v>
      </c>
      <c r="C16176" t="n">
        <v>0</v>
      </c>
    </row>
    <row r="16177">
      <c r="A16177" s="28" t="n">
        <v>42373</v>
      </c>
      <c r="B16177" t="n">
        <v>2.24</v>
      </c>
      <c r="C16177" t="n">
        <v>0.22</v>
      </c>
    </row>
    <row r="16178">
      <c r="A16178" s="28" t="n">
        <v>42374</v>
      </c>
      <c r="B16178" t="n">
        <v>2.25</v>
      </c>
      <c r="C16178" t="n">
        <v>0.2</v>
      </c>
    </row>
    <row r="16179">
      <c r="A16179" s="28" t="n">
        <v>42375</v>
      </c>
      <c r="B16179" t="n">
        <v>2.18</v>
      </c>
      <c r="C16179" t="n">
        <v>0.21</v>
      </c>
    </row>
    <row r="16180">
      <c r="A16180" s="28" t="n">
        <v>42376</v>
      </c>
      <c r="B16180" t="n">
        <v>2.16</v>
      </c>
      <c r="C16180" t="n">
        <v>0.2</v>
      </c>
    </row>
    <row r="16181">
      <c r="A16181" s="28" t="n">
        <v>42377</v>
      </c>
      <c r="B16181" t="n">
        <v>2.13</v>
      </c>
      <c r="C16181" t="n">
        <v>0.2</v>
      </c>
    </row>
    <row r="16182">
      <c r="A16182" s="28" t="n">
        <v>42380</v>
      </c>
      <c r="B16182" t="n">
        <v>2.17</v>
      </c>
      <c r="C16182" t="n">
        <v>0.21</v>
      </c>
    </row>
    <row r="16183">
      <c r="A16183" s="28" t="n">
        <v>42381</v>
      </c>
      <c r="B16183" t="n">
        <v>2.12</v>
      </c>
      <c r="C16183" t="n">
        <v>0.21</v>
      </c>
    </row>
    <row r="16184">
      <c r="A16184" s="28" t="n">
        <v>42382</v>
      </c>
      <c r="B16184" t="n">
        <v>2.08</v>
      </c>
      <c r="C16184" t="n">
        <v>0.22</v>
      </c>
    </row>
    <row r="16185">
      <c r="A16185" s="28" t="n">
        <v>42383</v>
      </c>
      <c r="B16185" t="n">
        <v>2.1</v>
      </c>
      <c r="C16185" t="n">
        <v>0.25</v>
      </c>
    </row>
    <row r="16186">
      <c r="A16186" s="28" t="n">
        <v>42384</v>
      </c>
      <c r="B16186" t="n">
        <v>2.03</v>
      </c>
      <c r="C16186" t="n">
        <v>0.23</v>
      </c>
    </row>
    <row r="16187">
      <c r="A16187" s="28" t="n">
        <v>42387</v>
      </c>
      <c r="B16187" t="n">
        <v>0</v>
      </c>
      <c r="C16187" t="n">
        <v>0</v>
      </c>
    </row>
    <row r="16188">
      <c r="A16188" s="28" t="n">
        <v>42388</v>
      </c>
      <c r="B16188" t="n">
        <v>2.06</v>
      </c>
      <c r="C16188" t="n">
        <v>0.26</v>
      </c>
    </row>
    <row r="16189">
      <c r="A16189" s="28" t="n">
        <v>42389</v>
      </c>
      <c r="B16189" t="n">
        <v>2.01</v>
      </c>
      <c r="C16189" t="n">
        <v>0.26</v>
      </c>
    </row>
    <row r="16190">
      <c r="A16190" s="28" t="n">
        <v>42390</v>
      </c>
      <c r="B16190" t="n">
        <v>2.02</v>
      </c>
      <c r="C16190" t="n">
        <v>0.28</v>
      </c>
    </row>
    <row r="16191">
      <c r="A16191" s="28" t="n">
        <v>42391</v>
      </c>
      <c r="B16191" t="n">
        <v>2.07</v>
      </c>
      <c r="C16191" t="n">
        <v>0.3</v>
      </c>
    </row>
    <row r="16192">
      <c r="A16192" s="28" t="n">
        <v>42394</v>
      </c>
      <c r="B16192" t="n">
        <v>2.03</v>
      </c>
      <c r="C16192" t="n">
        <v>0.31</v>
      </c>
    </row>
    <row r="16193">
      <c r="A16193" s="28" t="n">
        <v>42395</v>
      </c>
      <c r="B16193" t="n">
        <v>2.01</v>
      </c>
      <c r="C16193" t="n">
        <v>0.31</v>
      </c>
    </row>
    <row r="16194">
      <c r="A16194" s="28" t="n">
        <v>42396</v>
      </c>
      <c r="B16194" t="n">
        <v>2.02</v>
      </c>
      <c r="C16194" t="n">
        <v>0.32</v>
      </c>
    </row>
    <row r="16195">
      <c r="A16195" s="28" t="n">
        <v>42397</v>
      </c>
      <c r="B16195" t="n">
        <v>2</v>
      </c>
      <c r="C16195" t="n">
        <v>0.34</v>
      </c>
    </row>
    <row r="16196">
      <c r="A16196" s="28" t="n">
        <v>42398</v>
      </c>
      <c r="B16196" t="n">
        <v>1.94</v>
      </c>
      <c r="C16196" t="n">
        <v>0.32</v>
      </c>
    </row>
    <row r="16197">
      <c r="A16197" s="28" t="n">
        <v>42401</v>
      </c>
      <c r="B16197" t="n">
        <v>1.97</v>
      </c>
      <c r="C16197" t="n">
        <v>0.35</v>
      </c>
    </row>
    <row r="16198">
      <c r="A16198" s="28" t="n">
        <v>42402</v>
      </c>
      <c r="B16198" t="n">
        <v>1.87</v>
      </c>
      <c r="C16198" t="n">
        <v>0.34</v>
      </c>
    </row>
    <row r="16199">
      <c r="A16199" s="28" t="n">
        <v>42403</v>
      </c>
      <c r="B16199" t="n">
        <v>1.88</v>
      </c>
      <c r="C16199" t="n">
        <v>0.33</v>
      </c>
    </row>
    <row r="16200">
      <c r="A16200" s="28" t="n">
        <v>42404</v>
      </c>
      <c r="B16200" t="n">
        <v>1.87</v>
      </c>
      <c r="C16200" t="n">
        <v>0.29</v>
      </c>
    </row>
    <row r="16201">
      <c r="A16201" s="28" t="n">
        <v>42405</v>
      </c>
      <c r="B16201" t="n">
        <v>1.86</v>
      </c>
      <c r="C16201" t="n">
        <v>0.29</v>
      </c>
    </row>
    <row r="16202">
      <c r="A16202" s="28" t="n">
        <v>42408</v>
      </c>
      <c r="B16202" t="n">
        <v>1.75</v>
      </c>
      <c r="C16202" t="n">
        <v>0.32</v>
      </c>
    </row>
    <row r="16203">
      <c r="A16203" s="28" t="n">
        <v>42409</v>
      </c>
      <c r="B16203" t="n">
        <v>1.74</v>
      </c>
      <c r="C16203" t="n">
        <v>0.3</v>
      </c>
    </row>
    <row r="16204">
      <c r="A16204" s="28" t="n">
        <v>42410</v>
      </c>
      <c r="B16204" t="n">
        <v>1.71</v>
      </c>
      <c r="C16204" t="n">
        <v>0.31</v>
      </c>
    </row>
    <row r="16205">
      <c r="A16205" s="28" t="n">
        <v>42411</v>
      </c>
      <c r="B16205" t="n">
        <v>1.63</v>
      </c>
      <c r="C16205" t="n">
        <v>0.28</v>
      </c>
    </row>
    <row r="16206">
      <c r="A16206" s="28" t="n">
        <v>42412</v>
      </c>
      <c r="B16206" t="n">
        <v>1.74</v>
      </c>
      <c r="C16206" t="n">
        <v>0.29</v>
      </c>
    </row>
    <row r="16207">
      <c r="A16207" s="28" t="n">
        <v>42415</v>
      </c>
      <c r="B16207" t="n">
        <v>0</v>
      </c>
      <c r="C16207" t="n">
        <v>0</v>
      </c>
    </row>
    <row r="16208">
      <c r="A16208" s="28" t="n">
        <v>42416</v>
      </c>
      <c r="B16208" t="n">
        <v>1.78</v>
      </c>
      <c r="C16208" t="n">
        <v>0.3</v>
      </c>
    </row>
    <row r="16209">
      <c r="A16209" s="28" t="n">
        <v>42417</v>
      </c>
      <c r="B16209" t="n">
        <v>1.81</v>
      </c>
      <c r="C16209" t="n">
        <v>0.3</v>
      </c>
    </row>
    <row r="16210">
      <c r="A16210" s="28" t="n">
        <v>42418</v>
      </c>
      <c r="B16210" t="n">
        <v>1.75</v>
      </c>
      <c r="C16210" t="n">
        <v>0.3</v>
      </c>
    </row>
    <row r="16211">
      <c r="A16211" s="28" t="n">
        <v>42419</v>
      </c>
      <c r="B16211" t="n">
        <v>1.76</v>
      </c>
      <c r="C16211" t="n">
        <v>0.3</v>
      </c>
    </row>
    <row r="16212">
      <c r="A16212" s="28" t="n">
        <v>42422</v>
      </c>
      <c r="B16212" t="n">
        <v>1.77</v>
      </c>
      <c r="C16212" t="n">
        <v>0.33</v>
      </c>
    </row>
    <row r="16213">
      <c r="A16213" s="28" t="n">
        <v>42423</v>
      </c>
      <c r="B16213" t="n">
        <v>1.74</v>
      </c>
      <c r="C16213" t="n">
        <v>0.32</v>
      </c>
    </row>
    <row r="16214">
      <c r="A16214" s="28" t="n">
        <v>42424</v>
      </c>
      <c r="B16214" t="n">
        <v>1.75</v>
      </c>
      <c r="C16214" t="n">
        <v>0.33</v>
      </c>
    </row>
    <row r="16215">
      <c r="A16215" s="28" t="n">
        <v>42425</v>
      </c>
      <c r="B16215" t="n">
        <v>1.71</v>
      </c>
      <c r="C16215" t="n">
        <v>0.32</v>
      </c>
    </row>
    <row r="16216">
      <c r="A16216" s="28" t="n">
        <v>42426</v>
      </c>
      <c r="B16216" t="n">
        <v>1.76</v>
      </c>
      <c r="C16216" t="n">
        <v>0.32</v>
      </c>
    </row>
    <row r="16217">
      <c r="A16217" s="28" t="n">
        <v>42429</v>
      </c>
      <c r="B16217" t="n">
        <v>1.74</v>
      </c>
      <c r="C16217" t="n">
        <v>0.33</v>
      </c>
    </row>
    <row r="16218">
      <c r="A16218" s="28" t="n">
        <v>42430</v>
      </c>
      <c r="B16218" t="n">
        <v>1.83</v>
      </c>
      <c r="C16218" t="n">
        <v>0.33</v>
      </c>
    </row>
    <row r="16219">
      <c r="A16219" s="28" t="n">
        <v>42431</v>
      </c>
      <c r="B16219" t="n">
        <v>1.84</v>
      </c>
      <c r="C16219" t="n">
        <v>0.35</v>
      </c>
    </row>
    <row r="16220">
      <c r="A16220" s="28" t="n">
        <v>42432</v>
      </c>
      <c r="B16220" t="n">
        <v>1.83</v>
      </c>
      <c r="C16220" t="n">
        <v>0.27</v>
      </c>
    </row>
    <row r="16221">
      <c r="A16221" s="28" t="n">
        <v>42433</v>
      </c>
      <c r="B16221" t="n">
        <v>1.88</v>
      </c>
      <c r="C16221" t="n">
        <v>0.28</v>
      </c>
    </row>
    <row r="16222">
      <c r="A16222" s="28" t="n">
        <v>42436</v>
      </c>
      <c r="B16222" t="n">
        <v>1.91</v>
      </c>
      <c r="C16222" t="n">
        <v>0.32</v>
      </c>
    </row>
    <row r="16223">
      <c r="A16223" s="28" t="n">
        <v>42437</v>
      </c>
      <c r="B16223" t="n">
        <v>1.83</v>
      </c>
      <c r="C16223" t="n">
        <v>0.29</v>
      </c>
    </row>
    <row r="16224">
      <c r="A16224" s="28" t="n">
        <v>42438</v>
      </c>
      <c r="B16224" t="n">
        <v>1.9</v>
      </c>
      <c r="C16224" t="n">
        <v>0.3</v>
      </c>
    </row>
    <row r="16225">
      <c r="A16225" s="28" t="n">
        <v>42439</v>
      </c>
      <c r="B16225" t="n">
        <v>1.93</v>
      </c>
      <c r="C16225" t="n">
        <v>0.31</v>
      </c>
    </row>
    <row r="16226">
      <c r="A16226" s="28" t="n">
        <v>42440</v>
      </c>
      <c r="B16226" t="n">
        <v>1.98</v>
      </c>
      <c r="C16226" t="n">
        <v>0.32</v>
      </c>
    </row>
    <row r="16227">
      <c r="A16227" s="28" t="n">
        <v>42443</v>
      </c>
      <c r="B16227" t="n">
        <v>1.97</v>
      </c>
      <c r="C16227" t="n">
        <v>0.34</v>
      </c>
    </row>
    <row r="16228">
      <c r="A16228" s="28" t="n">
        <v>42444</v>
      </c>
      <c r="B16228" t="n">
        <v>1.97</v>
      </c>
      <c r="C16228" t="n">
        <v>0.34</v>
      </c>
    </row>
    <row r="16229">
      <c r="A16229" s="28" t="n">
        <v>42445</v>
      </c>
      <c r="B16229" t="n">
        <v>1.94</v>
      </c>
      <c r="C16229" t="n">
        <v>0.31</v>
      </c>
    </row>
    <row r="16230">
      <c r="A16230" s="28" t="n">
        <v>42446</v>
      </c>
      <c r="B16230" t="n">
        <v>1.91</v>
      </c>
      <c r="C16230" t="n">
        <v>0.29</v>
      </c>
    </row>
    <row r="16231">
      <c r="A16231" s="28" t="n">
        <v>42447</v>
      </c>
      <c r="B16231" t="n">
        <v>1.88</v>
      </c>
      <c r="C16231" t="n">
        <v>0.29</v>
      </c>
    </row>
    <row r="16232">
      <c r="A16232" s="28" t="n">
        <v>42450</v>
      </c>
      <c r="B16232" t="n">
        <v>1.92</v>
      </c>
      <c r="C16232" t="n">
        <v>0.31</v>
      </c>
    </row>
    <row r="16233">
      <c r="A16233" s="28" t="n">
        <v>42451</v>
      </c>
      <c r="B16233" t="n">
        <v>1.94</v>
      </c>
      <c r="C16233" t="n">
        <v>0.3</v>
      </c>
    </row>
    <row r="16234">
      <c r="A16234" s="28" t="n">
        <v>42452</v>
      </c>
      <c r="B16234" t="n">
        <v>1.88</v>
      </c>
      <c r="C16234" t="n">
        <v>0.3</v>
      </c>
    </row>
    <row r="16235">
      <c r="A16235" s="28" t="n">
        <v>42453</v>
      </c>
      <c r="B16235" t="n">
        <v>1.91</v>
      </c>
      <c r="C16235" t="n">
        <v>0.29</v>
      </c>
    </row>
    <row r="16236">
      <c r="A16236" s="28" t="n">
        <v>42454</v>
      </c>
      <c r="B16236" t="n">
        <v>0</v>
      </c>
      <c r="C16236" t="n">
        <v>0</v>
      </c>
    </row>
    <row r="16237">
      <c r="A16237" s="28" t="n">
        <v>42457</v>
      </c>
      <c r="B16237" t="n">
        <v>1.89</v>
      </c>
      <c r="C16237" t="n">
        <v>0.29</v>
      </c>
    </row>
    <row r="16238">
      <c r="A16238" s="28" t="n">
        <v>42458</v>
      </c>
      <c r="B16238" t="n">
        <v>1.81</v>
      </c>
      <c r="C16238" t="n">
        <v>0.23</v>
      </c>
    </row>
    <row r="16239">
      <c r="A16239" s="28" t="n">
        <v>42459</v>
      </c>
      <c r="B16239" t="n">
        <v>1.83</v>
      </c>
      <c r="C16239" t="n">
        <v>0.2</v>
      </c>
    </row>
    <row r="16240">
      <c r="A16240" s="28" t="n">
        <v>42460</v>
      </c>
      <c r="B16240" t="n">
        <v>1.78</v>
      </c>
      <c r="C16240" t="n">
        <v>0.21</v>
      </c>
    </row>
    <row r="16241">
      <c r="A16241" s="28" t="n">
        <v>42461</v>
      </c>
      <c r="B16241" t="n">
        <v>1.79</v>
      </c>
      <c r="C16241" t="n">
        <v>0.23</v>
      </c>
    </row>
    <row r="16242">
      <c r="A16242" s="28" t="n">
        <v>42464</v>
      </c>
      <c r="B16242" t="n">
        <v>1.78</v>
      </c>
      <c r="C16242" t="n">
        <v>0.23</v>
      </c>
    </row>
    <row r="16243">
      <c r="A16243" s="28" t="n">
        <v>42465</v>
      </c>
      <c r="B16243" t="n">
        <v>1.73</v>
      </c>
      <c r="C16243" t="n">
        <v>0.23</v>
      </c>
    </row>
    <row r="16244">
      <c r="A16244" s="28" t="n">
        <v>42466</v>
      </c>
      <c r="B16244" t="n">
        <v>1.76</v>
      </c>
      <c r="C16244" t="n">
        <v>0.23</v>
      </c>
    </row>
    <row r="16245">
      <c r="A16245" s="28" t="n">
        <v>42467</v>
      </c>
      <c r="B16245" t="n">
        <v>1.7</v>
      </c>
      <c r="C16245" t="n">
        <v>0.23</v>
      </c>
    </row>
    <row r="16246">
      <c r="A16246" s="28" t="n">
        <v>42468</v>
      </c>
      <c r="B16246" t="n">
        <v>1.72</v>
      </c>
      <c r="C16246" t="n">
        <v>0.23</v>
      </c>
    </row>
    <row r="16247">
      <c r="A16247" s="28" t="n">
        <v>42471</v>
      </c>
      <c r="B16247" t="n">
        <v>1.73</v>
      </c>
      <c r="C16247" t="n">
        <v>0.23</v>
      </c>
    </row>
    <row r="16248">
      <c r="A16248" s="28" t="n">
        <v>42472</v>
      </c>
      <c r="B16248" t="n">
        <v>1.79</v>
      </c>
      <c r="C16248" t="n">
        <v>0.22</v>
      </c>
    </row>
    <row r="16249">
      <c r="A16249" s="28" t="n">
        <v>42473</v>
      </c>
      <c r="B16249" t="n">
        <v>1.77</v>
      </c>
      <c r="C16249" t="n">
        <v>0.23</v>
      </c>
    </row>
    <row r="16250">
      <c r="A16250" s="28" t="n">
        <v>42474</v>
      </c>
      <c r="B16250" t="n">
        <v>1.8</v>
      </c>
      <c r="C16250" t="n">
        <v>0.22</v>
      </c>
    </row>
    <row r="16251">
      <c r="A16251" s="28" t="n">
        <v>42475</v>
      </c>
      <c r="B16251" t="n">
        <v>1.76</v>
      </c>
      <c r="C16251" t="n">
        <v>0.22</v>
      </c>
    </row>
    <row r="16252">
      <c r="A16252" s="28" t="n">
        <v>42478</v>
      </c>
      <c r="B16252" t="n">
        <v>1.78</v>
      </c>
      <c r="C16252" t="n">
        <v>0.22</v>
      </c>
    </row>
    <row r="16253">
      <c r="A16253" s="28" t="n">
        <v>42479</v>
      </c>
      <c r="B16253" t="n">
        <v>1.79</v>
      </c>
      <c r="C16253" t="n">
        <v>0.21</v>
      </c>
    </row>
    <row r="16254">
      <c r="A16254" s="28" t="n">
        <v>42480</v>
      </c>
      <c r="B16254" t="n">
        <v>1.85</v>
      </c>
      <c r="C16254" t="n">
        <v>0.23</v>
      </c>
    </row>
    <row r="16255">
      <c r="A16255" s="28" t="n">
        <v>42481</v>
      </c>
      <c r="B16255" t="n">
        <v>1.88</v>
      </c>
      <c r="C16255" t="n">
        <v>0.23</v>
      </c>
    </row>
    <row r="16256">
      <c r="A16256" s="28" t="n">
        <v>42482</v>
      </c>
      <c r="B16256" t="n">
        <v>1.89</v>
      </c>
      <c r="C16256" t="n">
        <v>0.23</v>
      </c>
    </row>
    <row r="16257">
      <c r="A16257" s="28" t="n">
        <v>42485</v>
      </c>
      <c r="B16257" t="n">
        <v>1.91</v>
      </c>
      <c r="C16257" t="n">
        <v>0.25</v>
      </c>
    </row>
    <row r="16258">
      <c r="A16258" s="28" t="n">
        <v>42486</v>
      </c>
      <c r="B16258" t="n">
        <v>1.94</v>
      </c>
      <c r="C16258" t="n">
        <v>0.24</v>
      </c>
    </row>
    <row r="16259">
      <c r="A16259" s="28" t="n">
        <v>42487</v>
      </c>
      <c r="B16259" t="n">
        <v>1.87</v>
      </c>
      <c r="C16259" t="n">
        <v>0.24</v>
      </c>
    </row>
    <row r="16260">
      <c r="A16260" s="28" t="n">
        <v>42488</v>
      </c>
      <c r="B16260" t="n">
        <v>1.84</v>
      </c>
      <c r="C16260" t="n">
        <v>0.22</v>
      </c>
    </row>
    <row r="16261">
      <c r="A16261" s="28" t="n">
        <v>42489</v>
      </c>
      <c r="B16261" t="n">
        <v>1.83</v>
      </c>
      <c r="C16261" t="n">
        <v>0.22</v>
      </c>
    </row>
    <row r="16262">
      <c r="A16262" s="28" t="n">
        <v>42492</v>
      </c>
      <c r="B16262" t="n">
        <v>1.88</v>
      </c>
      <c r="C16262" t="n">
        <v>0.22</v>
      </c>
    </row>
    <row r="16263">
      <c r="A16263" s="28" t="n">
        <v>42493</v>
      </c>
      <c r="B16263" t="n">
        <v>1.81</v>
      </c>
      <c r="C16263" t="n">
        <v>0.21</v>
      </c>
    </row>
    <row r="16264">
      <c r="A16264" s="28" t="n">
        <v>42494</v>
      </c>
      <c r="B16264" t="n">
        <v>1.79</v>
      </c>
      <c r="C16264" t="n">
        <v>0.19</v>
      </c>
    </row>
    <row r="16265">
      <c r="A16265" s="28" t="n">
        <v>42495</v>
      </c>
      <c r="B16265" t="n">
        <v>1.76</v>
      </c>
      <c r="C16265" t="n">
        <v>0.2</v>
      </c>
    </row>
    <row r="16266">
      <c r="A16266" s="28" t="n">
        <v>42496</v>
      </c>
      <c r="B16266" t="n">
        <v>1.79</v>
      </c>
      <c r="C16266" t="n">
        <v>0.19</v>
      </c>
    </row>
    <row r="16267">
      <c r="A16267" s="28" t="n">
        <v>42499</v>
      </c>
      <c r="B16267" t="n">
        <v>1.77</v>
      </c>
      <c r="C16267" t="n">
        <v>0.24</v>
      </c>
    </row>
    <row r="16268">
      <c r="A16268" s="28" t="n">
        <v>42500</v>
      </c>
      <c r="B16268" t="n">
        <v>1.77</v>
      </c>
      <c r="C16268" t="n">
        <v>0.24</v>
      </c>
    </row>
    <row r="16269">
      <c r="A16269" s="28" t="n">
        <v>42501</v>
      </c>
      <c r="B16269" t="n">
        <v>1.73</v>
      </c>
      <c r="C16269" t="n">
        <v>0.26</v>
      </c>
    </row>
    <row r="16270">
      <c r="A16270" s="28" t="n">
        <v>42502</v>
      </c>
      <c r="B16270" t="n">
        <v>1.75</v>
      </c>
      <c r="C16270" t="n">
        <v>0.27</v>
      </c>
    </row>
    <row r="16271">
      <c r="A16271" s="28" t="n">
        <v>42503</v>
      </c>
      <c r="B16271" t="n">
        <v>1.71</v>
      </c>
      <c r="C16271" t="n">
        <v>0.28</v>
      </c>
    </row>
    <row r="16272">
      <c r="A16272" s="28" t="n">
        <v>42506</v>
      </c>
      <c r="B16272" t="n">
        <v>1.75</v>
      </c>
      <c r="C16272" t="n">
        <v>0.28</v>
      </c>
    </row>
    <row r="16273">
      <c r="A16273" s="28" t="n">
        <v>42507</v>
      </c>
      <c r="B16273" t="n">
        <v>1.76</v>
      </c>
      <c r="C16273" t="n">
        <v>0.28</v>
      </c>
    </row>
    <row r="16274">
      <c r="A16274" s="28" t="n">
        <v>42508</v>
      </c>
      <c r="B16274" t="n">
        <v>1.87</v>
      </c>
      <c r="C16274" t="n">
        <v>0.3</v>
      </c>
    </row>
    <row r="16275">
      <c r="A16275" s="28" t="n">
        <v>42509</v>
      </c>
      <c r="B16275" t="n">
        <v>1.85</v>
      </c>
      <c r="C16275" t="n">
        <v>0.3</v>
      </c>
    </row>
    <row r="16276">
      <c r="A16276" s="28" t="n">
        <v>42510</v>
      </c>
      <c r="B16276" t="n">
        <v>1.85</v>
      </c>
      <c r="C16276" t="n">
        <v>0.32</v>
      </c>
    </row>
    <row r="16277">
      <c r="A16277" s="28" t="n">
        <v>42513</v>
      </c>
      <c r="B16277" t="n">
        <v>1.84</v>
      </c>
      <c r="C16277" t="n">
        <v>0.35</v>
      </c>
    </row>
    <row r="16278">
      <c r="A16278" s="28" t="n">
        <v>42514</v>
      </c>
      <c r="B16278" t="n">
        <v>1.86</v>
      </c>
      <c r="C16278" t="n">
        <v>0.35</v>
      </c>
    </row>
    <row r="16279">
      <c r="A16279" s="28" t="n">
        <v>42515</v>
      </c>
      <c r="B16279" t="n">
        <v>1.87</v>
      </c>
      <c r="C16279" t="n">
        <v>0.33</v>
      </c>
    </row>
    <row r="16280">
      <c r="A16280" s="28" t="n">
        <v>42516</v>
      </c>
      <c r="B16280" t="n">
        <v>1.83</v>
      </c>
      <c r="C16280" t="n">
        <v>0.3</v>
      </c>
    </row>
    <row r="16281">
      <c r="A16281" s="28" t="n">
        <v>42517</v>
      </c>
      <c r="B16281" t="n">
        <v>1.85</v>
      </c>
      <c r="C16281" t="n">
        <v>0.31</v>
      </c>
    </row>
    <row r="16282">
      <c r="A16282" s="28" t="n">
        <v>42520</v>
      </c>
      <c r="B16282" t="n">
        <v>0</v>
      </c>
      <c r="C16282" t="n">
        <v>0</v>
      </c>
    </row>
    <row r="16283">
      <c r="A16283" s="28" t="n">
        <v>42521</v>
      </c>
      <c r="B16283" t="n">
        <v>1.84</v>
      </c>
      <c r="C16283" t="n">
        <v>0.34</v>
      </c>
    </row>
    <row r="16284">
      <c r="A16284" s="28" t="n">
        <v>42522</v>
      </c>
      <c r="B16284" t="n">
        <v>1.85</v>
      </c>
      <c r="C16284" t="n">
        <v>0.3</v>
      </c>
    </row>
    <row r="16285">
      <c r="A16285" s="28" t="n">
        <v>42523</v>
      </c>
      <c r="B16285" t="n">
        <v>1.81</v>
      </c>
      <c r="C16285" t="n">
        <v>0.28</v>
      </c>
    </row>
    <row r="16286">
      <c r="A16286" s="28" t="n">
        <v>42524</v>
      </c>
      <c r="B16286" t="n">
        <v>1.71</v>
      </c>
      <c r="C16286" t="n">
        <v>0.29</v>
      </c>
    </row>
    <row r="16287">
      <c r="A16287" s="28" t="n">
        <v>42527</v>
      </c>
      <c r="B16287" t="n">
        <v>1.73</v>
      </c>
      <c r="C16287" t="n">
        <v>0.28</v>
      </c>
    </row>
    <row r="16288">
      <c r="A16288" s="28" t="n">
        <v>42528</v>
      </c>
      <c r="B16288" t="n">
        <v>1.72</v>
      </c>
      <c r="C16288" t="n">
        <v>0.28</v>
      </c>
    </row>
    <row r="16289">
      <c r="A16289" s="28" t="n">
        <v>42529</v>
      </c>
      <c r="B16289" t="n">
        <v>1.71</v>
      </c>
      <c r="C16289" t="n">
        <v>0.24</v>
      </c>
    </row>
    <row r="16290">
      <c r="A16290" s="28" t="n">
        <v>42530</v>
      </c>
      <c r="B16290" t="n">
        <v>1.68</v>
      </c>
      <c r="C16290" t="n">
        <v>0.25</v>
      </c>
    </row>
    <row r="16291">
      <c r="A16291" s="28" t="n">
        <v>42531</v>
      </c>
      <c r="B16291" t="n">
        <v>1.64</v>
      </c>
      <c r="C16291" t="n">
        <v>0.25</v>
      </c>
    </row>
    <row r="16292">
      <c r="A16292" s="28" t="n">
        <v>42534</v>
      </c>
      <c r="B16292" t="n">
        <v>1.62</v>
      </c>
      <c r="C16292" t="n">
        <v>0.27</v>
      </c>
    </row>
    <row r="16293">
      <c r="A16293" s="28" t="n">
        <v>42535</v>
      </c>
      <c r="B16293" t="n">
        <v>1.62</v>
      </c>
      <c r="C16293" t="n">
        <v>0.27</v>
      </c>
    </row>
    <row r="16294">
      <c r="A16294" s="28" t="n">
        <v>42536</v>
      </c>
      <c r="B16294" t="n">
        <v>1.6</v>
      </c>
      <c r="C16294" t="n">
        <v>0.26</v>
      </c>
    </row>
    <row r="16295">
      <c r="A16295" s="28" t="n">
        <v>42537</v>
      </c>
      <c r="B16295" t="n">
        <v>1.57</v>
      </c>
      <c r="C16295" t="n">
        <v>0.27</v>
      </c>
    </row>
    <row r="16296">
      <c r="A16296" s="28" t="n">
        <v>42538</v>
      </c>
      <c r="B16296" t="n">
        <v>1.62</v>
      </c>
      <c r="C16296" t="n">
        <v>0.26</v>
      </c>
    </row>
    <row r="16297">
      <c r="A16297" s="28" t="n">
        <v>42541</v>
      </c>
      <c r="B16297" t="n">
        <v>1.67</v>
      </c>
      <c r="C16297" t="n">
        <v>0.28</v>
      </c>
    </row>
    <row r="16298">
      <c r="A16298" s="28" t="n">
        <v>42542</v>
      </c>
      <c r="B16298" t="n">
        <v>1.71</v>
      </c>
      <c r="C16298" t="n">
        <v>0.27</v>
      </c>
    </row>
    <row r="16299">
      <c r="A16299" s="28" t="n">
        <v>42543</v>
      </c>
      <c r="B16299" t="n">
        <v>1.69</v>
      </c>
      <c r="C16299" t="n">
        <v>0.27</v>
      </c>
    </row>
    <row r="16300">
      <c r="A16300" s="28" t="n">
        <v>42544</v>
      </c>
      <c r="B16300" t="n">
        <v>1.74</v>
      </c>
      <c r="C16300" t="n">
        <v>0.3</v>
      </c>
    </row>
    <row r="16301">
      <c r="A16301" s="28" t="n">
        <v>42545</v>
      </c>
      <c r="B16301" t="n">
        <v>1.57</v>
      </c>
      <c r="C16301" t="n">
        <v>0.26</v>
      </c>
    </row>
    <row r="16302">
      <c r="A16302" s="28" t="n">
        <v>42548</v>
      </c>
      <c r="B16302" t="n">
        <v>1.46</v>
      </c>
      <c r="C16302" t="n">
        <v>0.27</v>
      </c>
    </row>
    <row r="16303">
      <c r="A16303" s="28" t="n">
        <v>42549</v>
      </c>
      <c r="B16303" t="n">
        <v>1.46</v>
      </c>
      <c r="C16303" t="n">
        <v>0.26</v>
      </c>
    </row>
    <row r="16304">
      <c r="A16304" s="28" t="n">
        <v>42550</v>
      </c>
      <c r="B16304" t="n">
        <v>1.5</v>
      </c>
      <c r="C16304" t="n">
        <v>0.26</v>
      </c>
    </row>
    <row r="16305">
      <c r="A16305" s="28" t="n">
        <v>42551</v>
      </c>
      <c r="B16305" t="n">
        <v>1.49</v>
      </c>
      <c r="C16305" t="n">
        <v>0.26</v>
      </c>
    </row>
    <row r="16306">
      <c r="A16306" s="28" t="n">
        <v>42552</v>
      </c>
      <c r="B16306" t="n">
        <v>1.46</v>
      </c>
      <c r="C16306" t="n">
        <v>0.27</v>
      </c>
    </row>
    <row r="16307">
      <c r="A16307" s="28" t="n">
        <v>42555</v>
      </c>
      <c r="B16307" t="n">
        <v>0</v>
      </c>
      <c r="C16307" t="n">
        <v>0</v>
      </c>
    </row>
    <row r="16308">
      <c r="A16308" s="28" t="n">
        <v>42556</v>
      </c>
      <c r="B16308" t="n">
        <v>1.37</v>
      </c>
      <c r="C16308" t="n">
        <v>0.28</v>
      </c>
    </row>
    <row r="16309">
      <c r="A16309" s="28" t="n">
        <v>42557</v>
      </c>
      <c r="B16309" t="n">
        <v>1.38</v>
      </c>
      <c r="C16309" t="n">
        <v>0.27</v>
      </c>
    </row>
    <row r="16310">
      <c r="A16310" s="28" t="n">
        <v>42558</v>
      </c>
      <c r="B16310" t="n">
        <v>1.4</v>
      </c>
      <c r="C16310" t="n">
        <v>0.29</v>
      </c>
    </row>
    <row r="16311">
      <c r="A16311" s="28" t="n">
        <v>42559</v>
      </c>
      <c r="B16311" t="n">
        <v>1.37</v>
      </c>
      <c r="C16311" t="n">
        <v>0.27</v>
      </c>
    </row>
    <row r="16312">
      <c r="A16312" s="28" t="n">
        <v>42562</v>
      </c>
      <c r="B16312" t="n">
        <v>1.43</v>
      </c>
      <c r="C16312" t="n">
        <v>0.31</v>
      </c>
    </row>
    <row r="16313">
      <c r="A16313" s="28" t="n">
        <v>42563</v>
      </c>
      <c r="B16313" t="n">
        <v>1.53</v>
      </c>
      <c r="C16313" t="n">
        <v>0.29</v>
      </c>
    </row>
    <row r="16314">
      <c r="A16314" s="28" t="n">
        <v>42564</v>
      </c>
      <c r="B16314" t="n">
        <v>1.48</v>
      </c>
      <c r="C16314" t="n">
        <v>0.31</v>
      </c>
    </row>
    <row r="16315">
      <c r="A16315" s="28" t="n">
        <v>42565</v>
      </c>
      <c r="B16315" t="n">
        <v>1.53</v>
      </c>
      <c r="C16315" t="n">
        <v>0.31</v>
      </c>
    </row>
    <row r="16316">
      <c r="A16316" s="28" t="n">
        <v>42566</v>
      </c>
      <c r="B16316" t="n">
        <v>1.6</v>
      </c>
      <c r="C16316" t="n">
        <v>0.31</v>
      </c>
    </row>
    <row r="16317">
      <c r="A16317" s="28" t="n">
        <v>42569</v>
      </c>
      <c r="B16317" t="n">
        <v>1.59</v>
      </c>
      <c r="C16317" t="n">
        <v>0.32</v>
      </c>
    </row>
    <row r="16318">
      <c r="A16318" s="28" t="n">
        <v>42570</v>
      </c>
      <c r="B16318" t="n">
        <v>1.56</v>
      </c>
      <c r="C16318" t="n">
        <v>0.31</v>
      </c>
    </row>
    <row r="16319">
      <c r="A16319" s="28" t="n">
        <v>42571</v>
      </c>
      <c r="B16319" t="n">
        <v>1.59</v>
      </c>
      <c r="C16319" t="n">
        <v>0.32</v>
      </c>
    </row>
    <row r="16320">
      <c r="A16320" s="28" t="n">
        <v>42572</v>
      </c>
      <c r="B16320" t="n">
        <v>1.57</v>
      </c>
      <c r="C16320" t="n">
        <v>0.31</v>
      </c>
    </row>
    <row r="16321">
      <c r="A16321" s="28" t="n">
        <v>42573</v>
      </c>
      <c r="B16321" t="n">
        <v>1.57</v>
      </c>
      <c r="C16321" t="n">
        <v>0.32</v>
      </c>
    </row>
    <row r="16322">
      <c r="A16322" s="28" t="n">
        <v>42576</v>
      </c>
      <c r="B16322" t="n">
        <v>1.58</v>
      </c>
      <c r="C16322" t="n">
        <v>0.32</v>
      </c>
    </row>
    <row r="16323">
      <c r="A16323" s="28" t="n">
        <v>42577</v>
      </c>
      <c r="B16323" t="n">
        <v>1.57</v>
      </c>
      <c r="C16323" t="n">
        <v>0.31</v>
      </c>
    </row>
    <row r="16324">
      <c r="A16324" s="28" t="n">
        <v>42578</v>
      </c>
      <c r="B16324" t="n">
        <v>1.52</v>
      </c>
      <c r="C16324" t="n">
        <v>0.31</v>
      </c>
    </row>
    <row r="16325">
      <c r="A16325" s="28" t="n">
        <v>42579</v>
      </c>
      <c r="B16325" t="n">
        <v>1.52</v>
      </c>
      <c r="C16325" t="n">
        <v>0.25</v>
      </c>
    </row>
    <row r="16326">
      <c r="A16326" s="28" t="n">
        <v>42580</v>
      </c>
      <c r="B16326" t="n">
        <v>1.46</v>
      </c>
      <c r="C16326" t="n">
        <v>0.27</v>
      </c>
    </row>
    <row r="16327">
      <c r="A16327" s="28" t="n">
        <v>42583</v>
      </c>
      <c r="B16327" t="n">
        <v>1.51</v>
      </c>
      <c r="C16327" t="n">
        <v>0.29</v>
      </c>
    </row>
    <row r="16328">
      <c r="A16328" s="28" t="n">
        <v>42584</v>
      </c>
      <c r="B16328" t="n">
        <v>1.55</v>
      </c>
      <c r="C16328" t="n">
        <v>0.29</v>
      </c>
    </row>
    <row r="16329">
      <c r="A16329" s="28" t="n">
        <v>42585</v>
      </c>
      <c r="B16329" t="n">
        <v>1.55</v>
      </c>
      <c r="C16329" t="n">
        <v>0.28</v>
      </c>
    </row>
    <row r="16330">
      <c r="A16330" s="28" t="n">
        <v>42586</v>
      </c>
      <c r="B16330" t="n">
        <v>1.51</v>
      </c>
      <c r="C16330" t="n">
        <v>0.26</v>
      </c>
    </row>
    <row r="16331">
      <c r="A16331" s="28" t="n">
        <v>42587</v>
      </c>
      <c r="B16331" t="n">
        <v>1.59</v>
      </c>
      <c r="C16331" t="n">
        <v>0.27</v>
      </c>
    </row>
    <row r="16332">
      <c r="A16332" s="28" t="n">
        <v>42590</v>
      </c>
      <c r="B16332" t="n">
        <v>1.59</v>
      </c>
      <c r="C16332" t="n">
        <v>0.31</v>
      </c>
    </row>
    <row r="16333">
      <c r="A16333" s="28" t="n">
        <v>42591</v>
      </c>
      <c r="B16333" t="n">
        <v>1.55</v>
      </c>
      <c r="C16333" t="n">
        <v>0.29</v>
      </c>
    </row>
    <row r="16334">
      <c r="A16334" s="28" t="n">
        <v>42592</v>
      </c>
      <c r="B16334" t="n">
        <v>1.5</v>
      </c>
      <c r="C16334" t="n">
        <v>0.28</v>
      </c>
    </row>
    <row r="16335">
      <c r="A16335" s="28" t="n">
        <v>42593</v>
      </c>
      <c r="B16335" t="n">
        <v>1.57</v>
      </c>
      <c r="C16335" t="n">
        <v>0.28</v>
      </c>
    </row>
    <row r="16336">
      <c r="A16336" s="28" t="n">
        <v>42594</v>
      </c>
      <c r="B16336" t="n">
        <v>1.51</v>
      </c>
      <c r="C16336" t="n">
        <v>0.28</v>
      </c>
    </row>
    <row r="16337">
      <c r="A16337" s="28" t="n">
        <v>42597</v>
      </c>
      <c r="B16337" t="n">
        <v>1.55</v>
      </c>
      <c r="C16337" t="n">
        <v>0.31</v>
      </c>
    </row>
    <row r="16338">
      <c r="A16338" s="28" t="n">
        <v>42598</v>
      </c>
      <c r="B16338" t="n">
        <v>1.57</v>
      </c>
      <c r="C16338" t="n">
        <v>0.27</v>
      </c>
    </row>
    <row r="16339">
      <c r="A16339" s="28" t="n">
        <v>42599</v>
      </c>
      <c r="B16339" t="n">
        <v>1.56</v>
      </c>
      <c r="C16339" t="n">
        <v>0.3</v>
      </c>
    </row>
    <row r="16340">
      <c r="A16340" s="28" t="n">
        <v>42600</v>
      </c>
      <c r="B16340" t="n">
        <v>1.53</v>
      </c>
      <c r="C16340" t="n">
        <v>0.29</v>
      </c>
    </row>
    <row r="16341">
      <c r="A16341" s="28" t="n">
        <v>42601</v>
      </c>
      <c r="B16341" t="n">
        <v>1.58</v>
      </c>
      <c r="C16341" t="n">
        <v>0.29</v>
      </c>
    </row>
    <row r="16342">
      <c r="A16342" s="28" t="n">
        <v>42604</v>
      </c>
      <c r="B16342" t="n">
        <v>1.55</v>
      </c>
      <c r="C16342" t="n">
        <v>0.29</v>
      </c>
    </row>
    <row r="16343">
      <c r="A16343" s="28" t="n">
        <v>42605</v>
      </c>
      <c r="B16343" t="n">
        <v>1.55</v>
      </c>
      <c r="C16343" t="n">
        <v>0.3</v>
      </c>
    </row>
    <row r="16344">
      <c r="A16344" s="28" t="n">
        <v>42606</v>
      </c>
      <c r="B16344" t="n">
        <v>1.56</v>
      </c>
      <c r="C16344" t="n">
        <v>0.31</v>
      </c>
    </row>
    <row r="16345">
      <c r="A16345" s="28" t="n">
        <v>42607</v>
      </c>
      <c r="B16345" t="n">
        <v>1.58</v>
      </c>
      <c r="C16345" t="n">
        <v>0.33</v>
      </c>
    </row>
    <row r="16346">
      <c r="A16346" s="28" t="n">
        <v>42608</v>
      </c>
      <c r="B16346" t="n">
        <v>1.62</v>
      </c>
      <c r="C16346" t="n">
        <v>0.33</v>
      </c>
    </row>
    <row r="16347">
      <c r="A16347" s="28" t="n">
        <v>42611</v>
      </c>
      <c r="B16347" t="n">
        <v>1.57</v>
      </c>
      <c r="C16347" t="n">
        <v>0.33</v>
      </c>
    </row>
    <row r="16348">
      <c r="A16348" s="28" t="n">
        <v>42612</v>
      </c>
      <c r="B16348" t="n">
        <v>1.57</v>
      </c>
      <c r="C16348" t="n">
        <v>0.33</v>
      </c>
    </row>
    <row r="16349">
      <c r="A16349" s="28" t="n">
        <v>42613</v>
      </c>
      <c r="B16349" t="n">
        <v>1.58</v>
      </c>
      <c r="C16349" t="n">
        <v>0.33</v>
      </c>
    </row>
    <row r="16350">
      <c r="A16350" s="28" t="n">
        <v>42614</v>
      </c>
      <c r="B16350" t="n">
        <v>1.57</v>
      </c>
      <c r="C16350" t="n">
        <v>0.33</v>
      </c>
    </row>
    <row r="16351">
      <c r="A16351" s="28" t="n">
        <v>42615</v>
      </c>
      <c r="B16351" t="n">
        <v>1.6</v>
      </c>
      <c r="C16351" t="n">
        <v>0.32</v>
      </c>
    </row>
    <row r="16352">
      <c r="A16352" s="28" t="n">
        <v>42618</v>
      </c>
      <c r="B16352" t="n">
        <v>0</v>
      </c>
      <c r="C16352" t="n">
        <v>0</v>
      </c>
    </row>
    <row r="16353">
      <c r="A16353" s="28" t="n">
        <v>42619</v>
      </c>
      <c r="B16353" t="n">
        <v>1.55</v>
      </c>
      <c r="C16353" t="n">
        <v>0.32</v>
      </c>
    </row>
    <row r="16354">
      <c r="A16354" s="28" t="n">
        <v>42620</v>
      </c>
      <c r="B16354" t="n">
        <v>1.54</v>
      </c>
      <c r="C16354" t="n">
        <v>0.34</v>
      </c>
    </row>
    <row r="16355">
      <c r="A16355" s="28" t="n">
        <v>42621</v>
      </c>
      <c r="B16355" t="n">
        <v>1.61</v>
      </c>
      <c r="C16355" t="n">
        <v>0.34</v>
      </c>
    </row>
    <row r="16356">
      <c r="A16356" s="28" t="n">
        <v>42622</v>
      </c>
      <c r="B16356" t="n">
        <v>1.67</v>
      </c>
      <c r="C16356" t="n">
        <v>0.34</v>
      </c>
    </row>
    <row r="16357">
      <c r="A16357" s="28" t="n">
        <v>42625</v>
      </c>
      <c r="B16357" t="n">
        <v>1.68</v>
      </c>
      <c r="C16357" t="n">
        <v>0.37</v>
      </c>
    </row>
    <row r="16358">
      <c r="A16358" s="28" t="n">
        <v>42626</v>
      </c>
      <c r="B16358" t="n">
        <v>1.73</v>
      </c>
      <c r="C16358" t="n">
        <v>0.36</v>
      </c>
    </row>
    <row r="16359">
      <c r="A16359" s="28" t="n">
        <v>42627</v>
      </c>
      <c r="B16359" t="n">
        <v>1.7</v>
      </c>
      <c r="C16359" t="n">
        <v>0.33</v>
      </c>
    </row>
    <row r="16360">
      <c r="A16360" s="28" t="n">
        <v>42628</v>
      </c>
      <c r="B16360" t="n">
        <v>1.71</v>
      </c>
      <c r="C16360" t="n">
        <v>0.29</v>
      </c>
    </row>
    <row r="16361">
      <c r="A16361" s="28" t="n">
        <v>42629</v>
      </c>
      <c r="B16361" t="n">
        <v>1.7</v>
      </c>
      <c r="C16361" t="n">
        <v>0.29</v>
      </c>
    </row>
    <row r="16362">
      <c r="A16362" s="28" t="n">
        <v>42632</v>
      </c>
      <c r="B16362" t="n">
        <v>1.7</v>
      </c>
      <c r="C16362" t="n">
        <v>0.3</v>
      </c>
    </row>
    <row r="16363">
      <c r="A16363" s="28" t="n">
        <v>42633</v>
      </c>
      <c r="B16363" t="n">
        <v>1.69</v>
      </c>
      <c r="C16363" t="n">
        <v>0.3</v>
      </c>
    </row>
    <row r="16364">
      <c r="A16364" s="28" t="n">
        <v>42634</v>
      </c>
      <c r="B16364" t="n">
        <v>1.66</v>
      </c>
      <c r="C16364" t="n">
        <v>0.22</v>
      </c>
    </row>
    <row r="16365">
      <c r="A16365" s="28" t="n">
        <v>42635</v>
      </c>
      <c r="B16365" t="n">
        <v>1.63</v>
      </c>
      <c r="C16365" t="n">
        <v>0.18</v>
      </c>
    </row>
    <row r="16366">
      <c r="A16366" s="28" t="n">
        <v>42636</v>
      </c>
      <c r="B16366" t="n">
        <v>1.62</v>
      </c>
      <c r="C16366" t="n">
        <v>0.18</v>
      </c>
    </row>
    <row r="16367">
      <c r="A16367" s="28" t="n">
        <v>42639</v>
      </c>
      <c r="B16367" t="n">
        <v>1.59</v>
      </c>
      <c r="C16367" t="n">
        <v>0.25</v>
      </c>
    </row>
    <row r="16368">
      <c r="A16368" s="28" t="n">
        <v>42640</v>
      </c>
      <c r="B16368" t="n">
        <v>1.56</v>
      </c>
      <c r="C16368" t="n">
        <v>0.26</v>
      </c>
    </row>
    <row r="16369">
      <c r="A16369" s="28" t="n">
        <v>42641</v>
      </c>
      <c r="B16369" t="n">
        <v>1.57</v>
      </c>
      <c r="C16369" t="n">
        <v>0.27</v>
      </c>
    </row>
    <row r="16370">
      <c r="A16370" s="28" t="n">
        <v>42642</v>
      </c>
      <c r="B16370" t="n">
        <v>1.56</v>
      </c>
      <c r="C16370" t="n">
        <v>0.26</v>
      </c>
    </row>
    <row r="16371">
      <c r="A16371" s="28" t="n">
        <v>42643</v>
      </c>
      <c r="B16371" t="n">
        <v>1.6</v>
      </c>
      <c r="C16371" t="n">
        <v>0.28</v>
      </c>
    </row>
    <row r="16372">
      <c r="A16372" s="28" t="n">
        <v>42646</v>
      </c>
      <c r="B16372" t="n">
        <v>1.63</v>
      </c>
      <c r="C16372" t="n">
        <v>0.32</v>
      </c>
    </row>
    <row r="16373">
      <c r="A16373" s="28" t="n">
        <v>42647</v>
      </c>
      <c r="B16373" t="n">
        <v>1.69</v>
      </c>
      <c r="C16373" t="n">
        <v>0.33</v>
      </c>
    </row>
    <row r="16374">
      <c r="A16374" s="28" t="n">
        <v>42648</v>
      </c>
      <c r="B16374" t="n">
        <v>1.72</v>
      </c>
      <c r="C16374" t="n">
        <v>0.32</v>
      </c>
    </row>
    <row r="16375">
      <c r="A16375" s="28" t="n">
        <v>42649</v>
      </c>
      <c r="B16375" t="n">
        <v>1.75</v>
      </c>
      <c r="C16375" t="n">
        <v>0.32</v>
      </c>
    </row>
    <row r="16376">
      <c r="A16376" s="28" t="n">
        <v>42650</v>
      </c>
      <c r="B16376" t="n">
        <v>1.73</v>
      </c>
      <c r="C16376" t="n">
        <v>0.32</v>
      </c>
    </row>
    <row r="16377">
      <c r="A16377" s="28" t="n">
        <v>42653</v>
      </c>
      <c r="B16377" t="n">
        <v>0</v>
      </c>
      <c r="C16377" t="n">
        <v>0</v>
      </c>
    </row>
    <row r="16378">
      <c r="A16378" s="28" t="n">
        <v>42654</v>
      </c>
      <c r="B16378" t="n">
        <v>1.77</v>
      </c>
      <c r="C16378" t="n">
        <v>0.35</v>
      </c>
    </row>
    <row r="16379">
      <c r="A16379" s="28" t="n">
        <v>42655</v>
      </c>
      <c r="B16379" t="n">
        <v>1.79</v>
      </c>
      <c r="C16379" t="n">
        <v>0.36</v>
      </c>
    </row>
    <row r="16380">
      <c r="A16380" s="28" t="n">
        <v>42656</v>
      </c>
      <c r="B16380" t="n">
        <v>1.75</v>
      </c>
      <c r="C16380" t="n">
        <v>0.29</v>
      </c>
    </row>
    <row r="16381">
      <c r="A16381" s="28" t="n">
        <v>42657</v>
      </c>
      <c r="B16381" t="n">
        <v>1.8</v>
      </c>
      <c r="C16381" t="n">
        <v>0.31</v>
      </c>
    </row>
    <row r="16382">
      <c r="A16382" s="28" t="n">
        <v>42660</v>
      </c>
      <c r="B16382" t="n">
        <v>1.77</v>
      </c>
      <c r="C16382" t="n">
        <v>0.34</v>
      </c>
    </row>
    <row r="16383">
      <c r="A16383" s="28" t="n">
        <v>42661</v>
      </c>
      <c r="B16383" t="n">
        <v>1.75</v>
      </c>
      <c r="C16383" t="n">
        <v>0.34</v>
      </c>
    </row>
    <row r="16384">
      <c r="A16384" s="28" t="n">
        <v>42662</v>
      </c>
      <c r="B16384" t="n">
        <v>1.76</v>
      </c>
      <c r="C16384" t="n">
        <v>0.34</v>
      </c>
    </row>
    <row r="16385">
      <c r="A16385" s="28" t="n">
        <v>42663</v>
      </c>
      <c r="B16385" t="n">
        <v>1.76</v>
      </c>
      <c r="C16385" t="n">
        <v>0.34</v>
      </c>
    </row>
    <row r="16386">
      <c r="A16386" s="28" t="n">
        <v>42664</v>
      </c>
      <c r="B16386" t="n">
        <v>1.74</v>
      </c>
      <c r="C16386" t="n">
        <v>0.33</v>
      </c>
    </row>
    <row r="16387">
      <c r="A16387" s="28" t="n">
        <v>42667</v>
      </c>
      <c r="B16387" t="n">
        <v>1.77</v>
      </c>
      <c r="C16387" t="n">
        <v>0.33</v>
      </c>
    </row>
    <row r="16388">
      <c r="A16388" s="28" t="n">
        <v>42668</v>
      </c>
      <c r="B16388" t="n">
        <v>1.77</v>
      </c>
      <c r="C16388" t="n">
        <v>0.34</v>
      </c>
    </row>
    <row r="16389">
      <c r="A16389" s="28" t="n">
        <v>42669</v>
      </c>
      <c r="B16389" t="n">
        <v>1.79</v>
      </c>
      <c r="C16389" t="n">
        <v>0.33</v>
      </c>
    </row>
    <row r="16390">
      <c r="A16390" s="28" t="n">
        <v>42670</v>
      </c>
      <c r="B16390" t="n">
        <v>1.85</v>
      </c>
      <c r="C16390" t="n">
        <v>0.29</v>
      </c>
    </row>
    <row r="16391">
      <c r="A16391" s="28" t="n">
        <v>42671</v>
      </c>
      <c r="B16391" t="n">
        <v>1.86</v>
      </c>
      <c r="C16391" t="n">
        <v>0.29</v>
      </c>
    </row>
    <row r="16392">
      <c r="A16392" s="28" t="n">
        <v>42674</v>
      </c>
      <c r="B16392" t="n">
        <v>1.84</v>
      </c>
      <c r="C16392" t="n">
        <v>0.34</v>
      </c>
    </row>
    <row r="16393">
      <c r="A16393" s="28" t="n">
        <v>42675</v>
      </c>
      <c r="B16393" t="n">
        <v>1.83</v>
      </c>
      <c r="C16393" t="n">
        <v>0.35</v>
      </c>
    </row>
    <row r="16394">
      <c r="A16394" s="28" t="n">
        <v>42676</v>
      </c>
      <c r="B16394" t="n">
        <v>1.81</v>
      </c>
      <c r="C16394" t="n">
        <v>0.36</v>
      </c>
    </row>
    <row r="16395">
      <c r="A16395" s="28" t="n">
        <v>42677</v>
      </c>
      <c r="B16395" t="n">
        <v>1.82</v>
      </c>
      <c r="C16395" t="n">
        <v>0.37</v>
      </c>
    </row>
    <row r="16396">
      <c r="A16396" s="28" t="n">
        <v>42678</v>
      </c>
      <c r="B16396" t="n">
        <v>1.79</v>
      </c>
      <c r="C16396" t="n">
        <v>0.37</v>
      </c>
    </row>
    <row r="16397">
      <c r="A16397" s="28" t="n">
        <v>42681</v>
      </c>
      <c r="B16397" t="n">
        <v>1.83</v>
      </c>
      <c r="C16397" t="n">
        <v>0.41</v>
      </c>
    </row>
    <row r="16398">
      <c r="A16398" s="28" t="n">
        <v>42682</v>
      </c>
      <c r="B16398" t="n">
        <v>1.88</v>
      </c>
      <c r="C16398" t="n">
        <v>0.43</v>
      </c>
    </row>
    <row r="16399">
      <c r="A16399" s="28" t="n">
        <v>42683</v>
      </c>
      <c r="B16399" t="n">
        <v>2.07</v>
      </c>
      <c r="C16399" t="n">
        <v>0.44</v>
      </c>
    </row>
    <row r="16400">
      <c r="A16400" s="28" t="n">
        <v>42684</v>
      </c>
      <c r="B16400" t="n">
        <v>2.15</v>
      </c>
      <c r="C16400" t="n">
        <v>0.47</v>
      </c>
    </row>
    <row r="16401">
      <c r="A16401" s="28" t="n">
        <v>42685</v>
      </c>
      <c r="B16401" t="n">
        <v>0</v>
      </c>
      <c r="C16401" t="n">
        <v>0</v>
      </c>
    </row>
    <row r="16402">
      <c r="A16402" s="28" t="n">
        <v>42688</v>
      </c>
      <c r="B16402" t="n">
        <v>2.23</v>
      </c>
      <c r="C16402" t="n">
        <v>0.54</v>
      </c>
    </row>
    <row r="16403">
      <c r="A16403" s="28" t="n">
        <v>42689</v>
      </c>
      <c r="B16403" t="n">
        <v>2.23</v>
      </c>
      <c r="C16403" t="n">
        <v>0.5</v>
      </c>
    </row>
    <row r="16404">
      <c r="A16404" s="28" t="n">
        <v>42690</v>
      </c>
      <c r="B16404" t="n">
        <v>2.22</v>
      </c>
      <c r="C16404" t="n">
        <v>0.46</v>
      </c>
    </row>
    <row r="16405">
      <c r="A16405" s="28" t="n">
        <v>42691</v>
      </c>
      <c r="B16405" t="n">
        <v>2.29</v>
      </c>
      <c r="C16405" t="n">
        <v>0.43</v>
      </c>
    </row>
    <row r="16406">
      <c r="A16406" s="28" t="n">
        <v>42692</v>
      </c>
      <c r="B16406" t="n">
        <v>2.34</v>
      </c>
      <c r="C16406" t="n">
        <v>0.43</v>
      </c>
    </row>
    <row r="16407">
      <c r="A16407" s="28" t="n">
        <v>42695</v>
      </c>
      <c r="B16407" t="n">
        <v>2.33</v>
      </c>
      <c r="C16407" t="n">
        <v>0.46</v>
      </c>
    </row>
    <row r="16408">
      <c r="A16408" s="28" t="n">
        <v>42696</v>
      </c>
      <c r="B16408" t="n">
        <v>2.31</v>
      </c>
      <c r="C16408" t="n">
        <v>0.48</v>
      </c>
    </row>
    <row r="16409">
      <c r="A16409" s="28" t="n">
        <v>42697</v>
      </c>
      <c r="B16409" t="n">
        <v>2.36</v>
      </c>
      <c r="C16409" t="n">
        <v>0.5</v>
      </c>
    </row>
    <row r="16410">
      <c r="A16410" s="28" t="n">
        <v>42698</v>
      </c>
      <c r="B16410" t="n">
        <v>0</v>
      </c>
      <c r="C16410" t="n">
        <v>0</v>
      </c>
    </row>
    <row r="16411">
      <c r="A16411" s="28" t="n">
        <v>42699</v>
      </c>
      <c r="B16411" t="n">
        <v>2.36</v>
      </c>
      <c r="C16411" t="n">
        <v>0.48</v>
      </c>
    </row>
    <row r="16412">
      <c r="A16412" s="28" t="n">
        <v>42702</v>
      </c>
      <c r="B16412" t="n">
        <v>2.32</v>
      </c>
      <c r="C16412" t="n">
        <v>0.48</v>
      </c>
    </row>
    <row r="16413">
      <c r="A16413" s="28" t="n">
        <v>42703</v>
      </c>
      <c r="B16413" t="n">
        <v>2.3</v>
      </c>
      <c r="C16413" t="n">
        <v>0.48</v>
      </c>
    </row>
    <row r="16414">
      <c r="A16414" s="28" t="n">
        <v>42704</v>
      </c>
      <c r="B16414" t="n">
        <v>2.37</v>
      </c>
      <c r="C16414" t="n">
        <v>0.48</v>
      </c>
    </row>
    <row r="16415">
      <c r="A16415" s="28" t="n">
        <v>42705</v>
      </c>
      <c r="B16415" t="n">
        <v>2.45</v>
      </c>
      <c r="C16415" t="n">
        <v>0.47</v>
      </c>
    </row>
    <row r="16416">
      <c r="A16416" s="28" t="n">
        <v>42706</v>
      </c>
      <c r="B16416" t="n">
        <v>2.4</v>
      </c>
      <c r="C16416" t="n">
        <v>0.48</v>
      </c>
    </row>
    <row r="16417">
      <c r="A16417" s="28" t="n">
        <v>42709</v>
      </c>
      <c r="B16417" t="n">
        <v>2.39</v>
      </c>
      <c r="C16417" t="n">
        <v>0.49</v>
      </c>
    </row>
    <row r="16418">
      <c r="A16418" s="28" t="n">
        <v>42710</v>
      </c>
      <c r="B16418" t="n">
        <v>2.39</v>
      </c>
      <c r="C16418" t="n">
        <v>0.49</v>
      </c>
    </row>
    <row r="16419">
      <c r="A16419" s="28" t="n">
        <v>42711</v>
      </c>
      <c r="B16419" t="n">
        <v>2.34</v>
      </c>
      <c r="C16419" t="n">
        <v>0.51</v>
      </c>
    </row>
    <row r="16420">
      <c r="A16420" s="28" t="n">
        <v>42712</v>
      </c>
      <c r="B16420" t="n">
        <v>2.4</v>
      </c>
      <c r="C16420" t="n">
        <v>0.5</v>
      </c>
    </row>
    <row r="16421">
      <c r="A16421" s="28" t="n">
        <v>42713</v>
      </c>
      <c r="B16421" t="n">
        <v>2.47</v>
      </c>
      <c r="C16421" t="n">
        <v>0.53</v>
      </c>
    </row>
    <row r="16422">
      <c r="A16422" s="28" t="n">
        <v>42716</v>
      </c>
      <c r="B16422" t="n">
        <v>2.49</v>
      </c>
      <c r="C16422" t="n">
        <v>0.51</v>
      </c>
    </row>
    <row r="16423">
      <c r="A16423" s="28" t="n">
        <v>42717</v>
      </c>
      <c r="B16423" t="n">
        <v>2.48</v>
      </c>
      <c r="C16423" t="n">
        <v>0.54</v>
      </c>
    </row>
    <row r="16424">
      <c r="A16424" s="28" t="n">
        <v>42718</v>
      </c>
      <c r="B16424" t="n">
        <v>2.54</v>
      </c>
      <c r="C16424" t="n">
        <v>0.54</v>
      </c>
    </row>
    <row r="16425">
      <c r="A16425" s="28" t="n">
        <v>42719</v>
      </c>
      <c r="B16425" t="n">
        <v>2.6</v>
      </c>
      <c r="C16425" t="n">
        <v>0.5</v>
      </c>
    </row>
    <row r="16426">
      <c r="A16426" s="28" t="n">
        <v>42720</v>
      </c>
      <c r="B16426" t="n">
        <v>2.6</v>
      </c>
      <c r="C16426" t="n">
        <v>0.5</v>
      </c>
    </row>
    <row r="16427">
      <c r="A16427" s="28" t="n">
        <v>42723</v>
      </c>
      <c r="B16427" t="n">
        <v>2.54</v>
      </c>
      <c r="C16427" t="n">
        <v>0.52</v>
      </c>
    </row>
    <row r="16428">
      <c r="A16428" s="28" t="n">
        <v>42724</v>
      </c>
      <c r="B16428" t="n">
        <v>2.57</v>
      </c>
      <c r="C16428" t="n">
        <v>0.52</v>
      </c>
    </row>
    <row r="16429">
      <c r="A16429" s="28" t="n">
        <v>42725</v>
      </c>
      <c r="B16429" t="n">
        <v>2.55</v>
      </c>
      <c r="C16429" t="n">
        <v>0.51</v>
      </c>
    </row>
    <row r="16430">
      <c r="A16430" s="28" t="n">
        <v>42726</v>
      </c>
      <c r="B16430" t="n">
        <v>2.55</v>
      </c>
      <c r="C16430" t="n">
        <v>0.5</v>
      </c>
    </row>
    <row r="16431">
      <c r="A16431" s="28" t="n">
        <v>42727</v>
      </c>
      <c r="B16431" t="n">
        <v>2.55</v>
      </c>
      <c r="C16431" t="n">
        <v>0.51</v>
      </c>
    </row>
    <row r="16432">
      <c r="A16432" s="28" t="n">
        <v>42730</v>
      </c>
      <c r="B16432" t="n">
        <v>0</v>
      </c>
      <c r="C16432" t="n">
        <v>0</v>
      </c>
    </row>
    <row r="16433">
      <c r="A16433" s="28" t="n">
        <v>42731</v>
      </c>
      <c r="B16433" t="n">
        <v>2.57</v>
      </c>
      <c r="C16433" t="n">
        <v>0.51</v>
      </c>
    </row>
    <row r="16434">
      <c r="A16434" s="28" t="n">
        <v>42732</v>
      </c>
      <c r="B16434" t="n">
        <v>2.51</v>
      </c>
      <c r="C16434" t="n">
        <v>0.52</v>
      </c>
    </row>
    <row r="16435">
      <c r="A16435" s="28" t="n">
        <v>42733</v>
      </c>
      <c r="B16435" t="n">
        <v>2.49</v>
      </c>
      <c r="C16435" t="n">
        <v>0.46</v>
      </c>
    </row>
    <row r="16436">
      <c r="A16436" s="28" t="n">
        <v>42734</v>
      </c>
      <c r="B16436" t="n">
        <v>2.45</v>
      </c>
      <c r="C16436" t="n">
        <v>0.5</v>
      </c>
    </row>
    <row r="16437">
      <c r="A16437" s="28" t="n">
        <v>42737</v>
      </c>
      <c r="B16437" t="n">
        <v>0</v>
      </c>
      <c r="C16437" t="n">
        <v>0</v>
      </c>
    </row>
    <row r="16438">
      <c r="A16438" s="28" t="n">
        <v>42738</v>
      </c>
      <c r="B16438" t="n">
        <v>2.45</v>
      </c>
      <c r="C16438" t="n">
        <v>0.53</v>
      </c>
    </row>
    <row r="16439">
      <c r="A16439" s="28" t="n">
        <v>42739</v>
      </c>
      <c r="B16439" t="n">
        <v>2.46</v>
      </c>
      <c r="C16439" t="n">
        <v>0.52</v>
      </c>
    </row>
    <row r="16440">
      <c r="A16440" s="28" t="n">
        <v>42740</v>
      </c>
      <c r="B16440" t="n">
        <v>2.37</v>
      </c>
      <c r="C16440" t="n">
        <v>0.51</v>
      </c>
    </row>
    <row r="16441">
      <c r="A16441" s="28" t="n">
        <v>42741</v>
      </c>
      <c r="B16441" t="n">
        <v>2.42</v>
      </c>
      <c r="C16441" t="n">
        <v>0.52</v>
      </c>
    </row>
    <row r="16442">
      <c r="A16442" s="28" t="n">
        <v>42744</v>
      </c>
      <c r="B16442" t="n">
        <v>2.38</v>
      </c>
      <c r="C16442" t="n">
        <v>0.5</v>
      </c>
    </row>
    <row r="16443">
      <c r="A16443" s="28" t="n">
        <v>42745</v>
      </c>
      <c r="B16443" t="n">
        <v>2.38</v>
      </c>
      <c r="C16443" t="n">
        <v>0.51</v>
      </c>
    </row>
    <row r="16444">
      <c r="A16444" s="28" t="n">
        <v>42746</v>
      </c>
      <c r="B16444" t="n">
        <v>2.38</v>
      </c>
      <c r="C16444" t="n">
        <v>0.51</v>
      </c>
    </row>
    <row r="16445">
      <c r="A16445" s="28" t="n">
        <v>42747</v>
      </c>
      <c r="B16445" t="n">
        <v>2.36</v>
      </c>
      <c r="C16445" t="n">
        <v>0.51</v>
      </c>
    </row>
    <row r="16446">
      <c r="A16446" s="28" t="n">
        <v>42748</v>
      </c>
      <c r="B16446" t="n">
        <v>2.4</v>
      </c>
      <c r="C16446" t="n">
        <v>0.52</v>
      </c>
    </row>
    <row r="16447">
      <c r="A16447" s="28" t="n">
        <v>42751</v>
      </c>
      <c r="B16447" t="n">
        <v>0</v>
      </c>
      <c r="C16447" t="n">
        <v>0</v>
      </c>
    </row>
    <row r="16448">
      <c r="A16448" s="28" t="n">
        <v>42752</v>
      </c>
      <c r="B16448" t="n">
        <v>2.33</v>
      </c>
      <c r="C16448" t="n">
        <v>0.54</v>
      </c>
    </row>
    <row r="16449">
      <c r="A16449" s="28" t="n">
        <v>42753</v>
      </c>
      <c r="B16449" t="n">
        <v>2.42</v>
      </c>
      <c r="C16449" t="n">
        <v>0.52</v>
      </c>
    </row>
    <row r="16450">
      <c r="A16450" s="28" t="n">
        <v>42754</v>
      </c>
      <c r="B16450" t="n">
        <v>2.47</v>
      </c>
      <c r="C16450" t="n">
        <v>0.51</v>
      </c>
    </row>
    <row r="16451">
      <c r="A16451" s="28" t="n">
        <v>42755</v>
      </c>
      <c r="B16451" t="n">
        <v>2.48</v>
      </c>
      <c r="C16451" t="n">
        <v>0.49</v>
      </c>
    </row>
    <row r="16452">
      <c r="A16452" s="28" t="n">
        <v>42758</v>
      </c>
      <c r="B16452" t="n">
        <v>2.41</v>
      </c>
      <c r="C16452" t="n">
        <v>0.51</v>
      </c>
    </row>
    <row r="16453">
      <c r="A16453" s="28" t="n">
        <v>42759</v>
      </c>
      <c r="B16453" t="n">
        <v>2.47</v>
      </c>
      <c r="C16453" t="n">
        <v>0.5</v>
      </c>
    </row>
    <row r="16454">
      <c r="A16454" s="28" t="n">
        <v>42760</v>
      </c>
      <c r="B16454" t="n">
        <v>2.53</v>
      </c>
      <c r="C16454" t="n">
        <v>0.49</v>
      </c>
    </row>
    <row r="16455">
      <c r="A16455" s="28" t="n">
        <v>42761</v>
      </c>
      <c r="B16455" t="n">
        <v>2.51</v>
      </c>
      <c r="C16455" t="n">
        <v>0.5</v>
      </c>
    </row>
    <row r="16456">
      <c r="A16456" s="28" t="n">
        <v>42762</v>
      </c>
      <c r="B16456" t="n">
        <v>2.49</v>
      </c>
      <c r="C16456" t="n">
        <v>0.51</v>
      </c>
    </row>
    <row r="16457">
      <c r="A16457" s="28" t="n">
        <v>42765</v>
      </c>
      <c r="B16457" t="n">
        <v>2.49</v>
      </c>
      <c r="C16457" t="n">
        <v>0.51</v>
      </c>
    </row>
    <row r="16458">
      <c r="A16458" s="28" t="n">
        <v>42766</v>
      </c>
      <c r="B16458" t="n">
        <v>2.45</v>
      </c>
      <c r="C16458" t="n">
        <v>0.52</v>
      </c>
    </row>
    <row r="16459">
      <c r="A16459" s="28" t="n">
        <v>42767</v>
      </c>
      <c r="B16459" t="n">
        <v>2.48</v>
      </c>
      <c r="C16459" t="n">
        <v>0.5</v>
      </c>
    </row>
    <row r="16460">
      <c r="A16460" s="28" t="n">
        <v>42768</v>
      </c>
      <c r="B16460" t="n">
        <v>2.48</v>
      </c>
      <c r="C16460" t="n">
        <v>0.51</v>
      </c>
    </row>
    <row r="16461">
      <c r="A16461" s="28" t="n">
        <v>42769</v>
      </c>
      <c r="B16461" t="n">
        <v>2.49</v>
      </c>
      <c r="C16461" t="n">
        <v>0.5</v>
      </c>
    </row>
    <row r="16462">
      <c r="A16462" s="28" t="n">
        <v>42772</v>
      </c>
      <c r="B16462" t="n">
        <v>2.42</v>
      </c>
      <c r="C16462" t="n">
        <v>0.53</v>
      </c>
    </row>
    <row r="16463">
      <c r="A16463" s="28" t="n">
        <v>42773</v>
      </c>
      <c r="B16463" t="n">
        <v>2.4</v>
      </c>
      <c r="C16463" t="n">
        <v>0.53</v>
      </c>
    </row>
    <row r="16464">
      <c r="A16464" s="28" t="n">
        <v>42774</v>
      </c>
      <c r="B16464" t="n">
        <v>2.34</v>
      </c>
      <c r="C16464" t="n">
        <v>0.53</v>
      </c>
    </row>
    <row r="16465">
      <c r="A16465" s="28" t="n">
        <v>42775</v>
      </c>
      <c r="B16465" t="n">
        <v>2.4</v>
      </c>
      <c r="C16465" t="n">
        <v>0.53</v>
      </c>
    </row>
    <row r="16466">
      <c r="A16466" s="28" t="n">
        <v>42776</v>
      </c>
      <c r="B16466" t="n">
        <v>2.41</v>
      </c>
      <c r="C16466" t="n">
        <v>0.54</v>
      </c>
    </row>
    <row r="16467">
      <c r="A16467" s="28" t="n">
        <v>42779</v>
      </c>
      <c r="B16467" t="n">
        <v>2.43</v>
      </c>
      <c r="C16467" t="n">
        <v>0.52</v>
      </c>
    </row>
    <row r="16468">
      <c r="A16468" s="28" t="n">
        <v>42780</v>
      </c>
      <c r="B16468" t="n">
        <v>2.47</v>
      </c>
      <c r="C16468" t="n">
        <v>0.54</v>
      </c>
    </row>
    <row r="16469">
      <c r="A16469" s="28" t="n">
        <v>42781</v>
      </c>
      <c r="B16469" t="n">
        <v>2.51</v>
      </c>
      <c r="C16469" t="n">
        <v>0.53</v>
      </c>
    </row>
    <row r="16470">
      <c r="A16470" s="28" t="n">
        <v>42782</v>
      </c>
      <c r="B16470" t="n">
        <v>2.45</v>
      </c>
      <c r="C16470" t="n">
        <v>0.52</v>
      </c>
    </row>
    <row r="16471">
      <c r="A16471" s="28" t="n">
        <v>42783</v>
      </c>
      <c r="B16471" t="n">
        <v>2.42</v>
      </c>
      <c r="C16471" t="n">
        <v>0.52</v>
      </c>
    </row>
    <row r="16472">
      <c r="A16472" s="28" t="n">
        <v>42786</v>
      </c>
      <c r="B16472" t="n">
        <v>0</v>
      </c>
      <c r="C16472" t="n">
        <v>0</v>
      </c>
    </row>
    <row r="16473">
      <c r="A16473" s="28" t="n">
        <v>42787</v>
      </c>
      <c r="B16473" t="n">
        <v>2.43</v>
      </c>
      <c r="C16473" t="n">
        <v>0.53</v>
      </c>
    </row>
    <row r="16474">
      <c r="A16474" s="28" t="n">
        <v>42788</v>
      </c>
      <c r="B16474" t="n">
        <v>2.42</v>
      </c>
      <c r="C16474" t="n">
        <v>0.52</v>
      </c>
    </row>
    <row r="16475">
      <c r="A16475" s="28" t="n">
        <v>42789</v>
      </c>
      <c r="B16475" t="n">
        <v>2.38</v>
      </c>
      <c r="C16475" t="n">
        <v>0.51</v>
      </c>
    </row>
    <row r="16476">
      <c r="A16476" s="28" t="n">
        <v>42790</v>
      </c>
      <c r="B16476" t="n">
        <v>2.31</v>
      </c>
      <c r="C16476" t="n">
        <v>0.51</v>
      </c>
    </row>
    <row r="16477">
      <c r="A16477" s="28" t="n">
        <v>42793</v>
      </c>
      <c r="B16477" t="n">
        <v>2.36</v>
      </c>
      <c r="C16477" t="n">
        <v>0.5</v>
      </c>
    </row>
    <row r="16478">
      <c r="A16478" s="28" t="n">
        <v>42794</v>
      </c>
      <c r="B16478" t="n">
        <v>2.36</v>
      </c>
      <c r="C16478" t="n">
        <v>0.53</v>
      </c>
    </row>
    <row r="16479">
      <c r="A16479" s="28" t="n">
        <v>42795</v>
      </c>
      <c r="B16479" t="n">
        <v>2.46</v>
      </c>
      <c r="C16479" t="n">
        <v>0.62</v>
      </c>
    </row>
    <row r="16480">
      <c r="A16480" s="28" t="n">
        <v>42796</v>
      </c>
      <c r="B16480" t="n">
        <v>2.49</v>
      </c>
      <c r="C16480" t="n">
        <v>0.66</v>
      </c>
    </row>
    <row r="16481">
      <c r="A16481" s="28" t="n">
        <v>42797</v>
      </c>
      <c r="B16481" t="n">
        <v>2.49</v>
      </c>
      <c r="C16481" t="n">
        <v>0.7</v>
      </c>
    </row>
    <row r="16482">
      <c r="A16482" s="28" t="n">
        <v>42800</v>
      </c>
      <c r="B16482" t="n">
        <v>2.49</v>
      </c>
      <c r="C16482" t="n">
        <v>0.73</v>
      </c>
    </row>
    <row r="16483">
      <c r="A16483" s="28" t="n">
        <v>42801</v>
      </c>
      <c r="B16483" t="n">
        <v>2.52</v>
      </c>
      <c r="C16483" t="n">
        <v>0.75</v>
      </c>
    </row>
    <row r="16484">
      <c r="A16484" s="28" t="n">
        <v>42802</v>
      </c>
      <c r="B16484" t="n">
        <v>2.57</v>
      </c>
      <c r="C16484" t="n">
        <v>0.72</v>
      </c>
    </row>
    <row r="16485">
      <c r="A16485" s="28" t="n">
        <v>42803</v>
      </c>
      <c r="B16485" t="n">
        <v>2.6</v>
      </c>
      <c r="C16485" t="n">
        <v>0.72</v>
      </c>
    </row>
    <row r="16486">
      <c r="A16486" s="28" t="n">
        <v>42804</v>
      </c>
      <c r="B16486" t="n">
        <v>2.58</v>
      </c>
      <c r="C16486" t="n">
        <v>0.73</v>
      </c>
    </row>
    <row r="16487">
      <c r="A16487" s="28" t="n">
        <v>42807</v>
      </c>
      <c r="B16487" t="n">
        <v>2.62</v>
      </c>
      <c r="C16487" t="n">
        <v>0.78</v>
      </c>
    </row>
    <row r="16488">
      <c r="A16488" s="28" t="n">
        <v>42808</v>
      </c>
      <c r="B16488" t="n">
        <v>2.6</v>
      </c>
      <c r="C16488" t="n">
        <v>0.77</v>
      </c>
    </row>
    <row r="16489">
      <c r="A16489" s="28" t="n">
        <v>42809</v>
      </c>
      <c r="B16489" t="n">
        <v>2.51</v>
      </c>
      <c r="C16489" t="n">
        <v>0.72</v>
      </c>
    </row>
    <row r="16490">
      <c r="A16490" s="28" t="n">
        <v>42810</v>
      </c>
      <c r="B16490" t="n">
        <v>2.53</v>
      </c>
      <c r="C16490" t="n">
        <v>0.72</v>
      </c>
    </row>
    <row r="16491">
      <c r="A16491" s="28" t="n">
        <v>42811</v>
      </c>
      <c r="B16491" t="n">
        <v>2.5</v>
      </c>
      <c r="C16491" t="n">
        <v>0.72</v>
      </c>
    </row>
    <row r="16492">
      <c r="A16492" s="28" t="n">
        <v>42814</v>
      </c>
      <c r="B16492" t="n">
        <v>2.47</v>
      </c>
      <c r="C16492" t="n">
        <v>0.75</v>
      </c>
    </row>
    <row r="16493">
      <c r="A16493" s="28" t="n">
        <v>42815</v>
      </c>
      <c r="B16493" t="n">
        <v>2.43</v>
      </c>
      <c r="C16493" t="n">
        <v>0.76</v>
      </c>
    </row>
    <row r="16494">
      <c r="A16494" s="28" t="n">
        <v>42816</v>
      </c>
      <c r="B16494" t="n">
        <v>2.4</v>
      </c>
      <c r="C16494" t="n">
        <v>0.76</v>
      </c>
    </row>
    <row r="16495">
      <c r="A16495" s="28" t="n">
        <v>42817</v>
      </c>
      <c r="B16495" t="n">
        <v>2.41</v>
      </c>
      <c r="C16495" t="n">
        <v>0.75</v>
      </c>
    </row>
    <row r="16496">
      <c r="A16496" s="28" t="n">
        <v>42818</v>
      </c>
      <c r="B16496" t="n">
        <v>2.4</v>
      </c>
      <c r="C16496" t="n">
        <v>0.77</v>
      </c>
    </row>
    <row r="16497">
      <c r="A16497" s="28" t="n">
        <v>42821</v>
      </c>
      <c r="B16497" t="n">
        <v>2.38</v>
      </c>
      <c r="C16497" t="n">
        <v>0.77</v>
      </c>
    </row>
    <row r="16498">
      <c r="A16498" s="28" t="n">
        <v>42822</v>
      </c>
      <c r="B16498" t="n">
        <v>2.42</v>
      </c>
      <c r="C16498" t="n">
        <v>0.77</v>
      </c>
    </row>
    <row r="16499">
      <c r="A16499" s="28" t="n">
        <v>42823</v>
      </c>
      <c r="B16499" t="n">
        <v>2.39</v>
      </c>
      <c r="C16499" t="n">
        <v>0.77</v>
      </c>
    </row>
    <row r="16500">
      <c r="A16500" s="28" t="n">
        <v>42824</v>
      </c>
      <c r="B16500" t="n">
        <v>2.42</v>
      </c>
      <c r="C16500" t="n">
        <v>0.77</v>
      </c>
    </row>
    <row r="16501">
      <c r="A16501" s="28" t="n">
        <v>42825</v>
      </c>
      <c r="B16501" t="n">
        <v>2.4</v>
      </c>
      <c r="C16501" t="n">
        <v>0.75</v>
      </c>
    </row>
    <row r="16502">
      <c r="A16502" s="28" t="n">
        <v>42828</v>
      </c>
      <c r="B16502" t="n">
        <v>2.35</v>
      </c>
      <c r="C16502" t="n">
        <v>0.78</v>
      </c>
    </row>
    <row r="16503">
      <c r="A16503" s="28" t="n">
        <v>42829</v>
      </c>
      <c r="B16503" t="n">
        <v>2.36</v>
      </c>
      <c r="C16503" t="n">
        <v>0.78</v>
      </c>
    </row>
    <row r="16504">
      <c r="A16504" s="28" t="n">
        <v>42830</v>
      </c>
      <c r="B16504" t="n">
        <v>2.34</v>
      </c>
      <c r="C16504" t="n">
        <v>0.79</v>
      </c>
    </row>
    <row r="16505">
      <c r="A16505" s="28" t="n">
        <v>42831</v>
      </c>
      <c r="B16505" t="n">
        <v>2.34</v>
      </c>
      <c r="C16505" t="n">
        <v>0.78</v>
      </c>
    </row>
    <row r="16506">
      <c r="A16506" s="28" t="n">
        <v>42832</v>
      </c>
      <c r="B16506" t="n">
        <v>2.38</v>
      </c>
      <c r="C16506" t="n">
        <v>0.8100000000000001</v>
      </c>
    </row>
    <row r="16507">
      <c r="A16507" s="28" t="n">
        <v>42835</v>
      </c>
      <c r="B16507" t="n">
        <v>2.37</v>
      </c>
      <c r="C16507" t="n">
        <v>0.8100000000000001</v>
      </c>
    </row>
    <row r="16508">
      <c r="A16508" s="28" t="n">
        <v>42836</v>
      </c>
      <c r="B16508" t="n">
        <v>2.32</v>
      </c>
      <c r="C16508" t="n">
        <v>0.8100000000000001</v>
      </c>
    </row>
    <row r="16509">
      <c r="A16509" s="28" t="n">
        <v>42837</v>
      </c>
      <c r="B16509" t="n">
        <v>2.28</v>
      </c>
      <c r="C16509" t="n">
        <v>0.8</v>
      </c>
    </row>
    <row r="16510">
      <c r="A16510" s="28" t="n">
        <v>42838</v>
      </c>
      <c r="B16510" t="n">
        <v>2.24</v>
      </c>
      <c r="C16510" t="n">
        <v>0.8</v>
      </c>
    </row>
    <row r="16511">
      <c r="A16511" s="28" t="n">
        <v>42839</v>
      </c>
      <c r="B16511" t="n">
        <v>0</v>
      </c>
      <c r="C16511" t="n">
        <v>0</v>
      </c>
    </row>
    <row r="16512">
      <c r="A16512" s="28" t="n">
        <v>42842</v>
      </c>
      <c r="B16512" t="n">
        <v>2.26</v>
      </c>
      <c r="C16512" t="n">
        <v>0.82</v>
      </c>
    </row>
    <row r="16513">
      <c r="A16513" s="28" t="n">
        <v>42843</v>
      </c>
      <c r="B16513" t="n">
        <v>2.18</v>
      </c>
      <c r="C16513" t="n">
        <v>0.8100000000000001</v>
      </c>
    </row>
    <row r="16514">
      <c r="A16514" s="28" t="n">
        <v>42844</v>
      </c>
      <c r="B16514" t="n">
        <v>2.21</v>
      </c>
      <c r="C16514" t="n">
        <v>0.8</v>
      </c>
    </row>
    <row r="16515">
      <c r="A16515" s="28" t="n">
        <v>42845</v>
      </c>
      <c r="B16515" t="n">
        <v>2.24</v>
      </c>
      <c r="C16515" t="n">
        <v>0.78</v>
      </c>
    </row>
    <row r="16516">
      <c r="A16516" s="28" t="n">
        <v>42846</v>
      </c>
      <c r="B16516" t="n">
        <v>2.24</v>
      </c>
      <c r="C16516" t="n">
        <v>0.78</v>
      </c>
    </row>
    <row r="16517">
      <c r="A16517" s="28" t="n">
        <v>42849</v>
      </c>
      <c r="B16517" t="n">
        <v>2.28</v>
      </c>
      <c r="C16517" t="n">
        <v>0.8</v>
      </c>
    </row>
    <row r="16518">
      <c r="A16518" s="28" t="n">
        <v>42850</v>
      </c>
      <c r="B16518" t="n">
        <v>2.35</v>
      </c>
      <c r="C16518" t="n">
        <v>0.8100000000000001</v>
      </c>
    </row>
    <row r="16519">
      <c r="A16519" s="28" t="n">
        <v>42851</v>
      </c>
      <c r="B16519" t="n">
        <v>2.32</v>
      </c>
      <c r="C16519" t="n">
        <v>0.82</v>
      </c>
    </row>
    <row r="16520">
      <c r="A16520" s="28" t="n">
        <v>42852</v>
      </c>
      <c r="B16520" t="n">
        <v>2.3</v>
      </c>
      <c r="C16520" t="n">
        <v>0.8</v>
      </c>
    </row>
    <row r="16521">
      <c r="A16521" s="28" t="n">
        <v>42853</v>
      </c>
      <c r="B16521" t="n">
        <v>2.29</v>
      </c>
      <c r="C16521" t="n">
        <v>0.79</v>
      </c>
    </row>
    <row r="16522">
      <c r="A16522" s="28" t="n">
        <v>42856</v>
      </c>
      <c r="B16522" t="n">
        <v>2.33</v>
      </c>
      <c r="C16522" t="n">
        <v>0.82</v>
      </c>
    </row>
    <row r="16523">
      <c r="A16523" s="28" t="n">
        <v>42857</v>
      </c>
      <c r="B16523" t="n">
        <v>2.29</v>
      </c>
      <c r="C16523" t="n">
        <v>0.8100000000000001</v>
      </c>
    </row>
    <row r="16524">
      <c r="A16524" s="28" t="n">
        <v>42858</v>
      </c>
      <c r="B16524" t="n">
        <v>2.33</v>
      </c>
      <c r="C16524" t="n">
        <v>0.84</v>
      </c>
    </row>
    <row r="16525">
      <c r="A16525" s="28" t="n">
        <v>42859</v>
      </c>
      <c r="B16525" t="n">
        <v>2.36</v>
      </c>
      <c r="C16525" t="n">
        <v>0.84</v>
      </c>
    </row>
    <row r="16526">
      <c r="A16526" s="28" t="n">
        <v>42860</v>
      </c>
      <c r="B16526" t="n">
        <v>2.36</v>
      </c>
      <c r="C16526" t="n">
        <v>0.88</v>
      </c>
    </row>
    <row r="16527">
      <c r="A16527" s="28" t="n">
        <v>42863</v>
      </c>
      <c r="B16527" t="n">
        <v>2.39</v>
      </c>
      <c r="C16527" t="n">
        <v>0.9</v>
      </c>
    </row>
    <row r="16528">
      <c r="A16528" s="28" t="n">
        <v>42864</v>
      </c>
      <c r="B16528" t="n">
        <v>2.42</v>
      </c>
      <c r="C16528" t="n">
        <v>0.9</v>
      </c>
    </row>
    <row r="16529">
      <c r="A16529" s="28" t="n">
        <v>42865</v>
      </c>
      <c r="B16529" t="n">
        <v>2.41</v>
      </c>
      <c r="C16529" t="n">
        <v>0.89</v>
      </c>
    </row>
    <row r="16530">
      <c r="A16530" s="28" t="n">
        <v>42866</v>
      </c>
      <c r="B16530" t="n">
        <v>2.39</v>
      </c>
      <c r="C16530" t="n">
        <v>0.87</v>
      </c>
    </row>
    <row r="16531">
      <c r="A16531" s="28" t="n">
        <v>42867</v>
      </c>
      <c r="B16531" t="n">
        <v>2.33</v>
      </c>
      <c r="C16531" t="n">
        <v>0.86</v>
      </c>
    </row>
    <row r="16532">
      <c r="A16532" s="28" t="n">
        <v>42870</v>
      </c>
      <c r="B16532" t="n">
        <v>2.34</v>
      </c>
      <c r="C16532" t="n">
        <v>0.89</v>
      </c>
    </row>
    <row r="16533">
      <c r="A16533" s="28" t="n">
        <v>42871</v>
      </c>
      <c r="B16533" t="n">
        <v>2.33</v>
      </c>
      <c r="C16533" t="n">
        <v>0.89</v>
      </c>
    </row>
    <row r="16534">
      <c r="A16534" s="28" t="n">
        <v>42872</v>
      </c>
      <c r="B16534" t="n">
        <v>2.22</v>
      </c>
      <c r="C16534" t="n">
        <v>0.89</v>
      </c>
    </row>
    <row r="16535">
      <c r="A16535" s="28" t="n">
        <v>42873</v>
      </c>
      <c r="B16535" t="n">
        <v>2.23</v>
      </c>
      <c r="C16535" t="n">
        <v>0.91</v>
      </c>
    </row>
    <row r="16536">
      <c r="A16536" s="28" t="n">
        <v>42874</v>
      </c>
      <c r="B16536" t="n">
        <v>2.23</v>
      </c>
      <c r="C16536" t="n">
        <v>0.9</v>
      </c>
    </row>
    <row r="16537">
      <c r="A16537" s="28" t="n">
        <v>42877</v>
      </c>
      <c r="B16537" t="n">
        <v>2.25</v>
      </c>
      <c r="C16537" t="n">
        <v>0.92</v>
      </c>
    </row>
    <row r="16538">
      <c r="A16538" s="28" t="n">
        <v>42878</v>
      </c>
      <c r="B16538" t="n">
        <v>2.29</v>
      </c>
      <c r="C16538" t="n">
        <v>0.91</v>
      </c>
    </row>
    <row r="16539">
      <c r="A16539" s="28" t="n">
        <v>42879</v>
      </c>
      <c r="B16539" t="n">
        <v>2.26</v>
      </c>
      <c r="C16539" t="n">
        <v>0.92</v>
      </c>
    </row>
    <row r="16540">
      <c r="A16540" s="28" t="n">
        <v>42880</v>
      </c>
      <c r="B16540" t="n">
        <v>2.25</v>
      </c>
      <c r="C16540" t="n">
        <v>0.92</v>
      </c>
    </row>
    <row r="16541">
      <c r="A16541" s="28" t="n">
        <v>42881</v>
      </c>
      <c r="B16541" t="n">
        <v>2.25</v>
      </c>
      <c r="C16541" t="n">
        <v>0.92</v>
      </c>
    </row>
    <row r="16542">
      <c r="A16542" s="28" t="n">
        <v>42884</v>
      </c>
      <c r="B16542" t="n">
        <v>0</v>
      </c>
      <c r="C16542" t="n">
        <v>0</v>
      </c>
    </row>
    <row r="16543">
      <c r="A16543" s="28" t="n">
        <v>42885</v>
      </c>
      <c r="B16543" t="n">
        <v>2.21</v>
      </c>
      <c r="C16543" t="n">
        <v>0.92</v>
      </c>
    </row>
    <row r="16544">
      <c r="A16544" s="28" t="n">
        <v>42886</v>
      </c>
      <c r="B16544" t="n">
        <v>2.21</v>
      </c>
      <c r="C16544" t="n">
        <v>0.96</v>
      </c>
    </row>
    <row r="16545">
      <c r="A16545" s="28" t="n">
        <v>42887</v>
      </c>
      <c r="B16545" t="n">
        <v>2.21</v>
      </c>
      <c r="C16545" t="n">
        <v>0.96</v>
      </c>
    </row>
    <row r="16546">
      <c r="A16546" s="28" t="n">
        <v>42888</v>
      </c>
      <c r="B16546" t="n">
        <v>2.15</v>
      </c>
      <c r="C16546" t="n">
        <v>0.96</v>
      </c>
    </row>
    <row r="16547">
      <c r="A16547" s="28" t="n">
        <v>42891</v>
      </c>
      <c r="B16547" t="n">
        <v>2.18</v>
      </c>
      <c r="C16547" t="n">
        <v>0.95</v>
      </c>
    </row>
    <row r="16548">
      <c r="A16548" s="28" t="n">
        <v>42892</v>
      </c>
      <c r="B16548" t="n">
        <v>2.14</v>
      </c>
      <c r="C16548" t="n">
        <v>0.96</v>
      </c>
    </row>
    <row r="16549">
      <c r="A16549" s="28" t="n">
        <v>42893</v>
      </c>
      <c r="B16549" t="n">
        <v>2.18</v>
      </c>
      <c r="C16549" t="n">
        <v>0.98</v>
      </c>
    </row>
    <row r="16550">
      <c r="A16550" s="28" t="n">
        <v>42894</v>
      </c>
      <c r="B16550" t="n">
        <v>2.19</v>
      </c>
      <c r="C16550" t="n">
        <v>0.99</v>
      </c>
    </row>
    <row r="16551">
      <c r="A16551" s="28" t="n">
        <v>42895</v>
      </c>
      <c r="B16551" t="n">
        <v>2.21</v>
      </c>
      <c r="C16551" t="n">
        <v>0.99</v>
      </c>
    </row>
    <row r="16552">
      <c r="A16552" s="28" t="n">
        <v>42898</v>
      </c>
      <c r="B16552" t="n">
        <v>2.21</v>
      </c>
      <c r="C16552" t="n">
        <v>0.97</v>
      </c>
    </row>
    <row r="16553">
      <c r="A16553" s="28" t="n">
        <v>42899</v>
      </c>
      <c r="B16553" t="n">
        <v>2.21</v>
      </c>
      <c r="C16553" t="n">
        <v>0.99</v>
      </c>
    </row>
    <row r="16554">
      <c r="A16554" s="28" t="n">
        <v>42900</v>
      </c>
      <c r="B16554" t="n">
        <v>2.15</v>
      </c>
      <c r="C16554" t="n">
        <v>0.99</v>
      </c>
    </row>
    <row r="16555">
      <c r="A16555" s="28" t="n">
        <v>42901</v>
      </c>
      <c r="B16555" t="n">
        <v>2.16</v>
      </c>
      <c r="C16555" t="n">
        <v>1</v>
      </c>
    </row>
    <row r="16556">
      <c r="A16556" s="28" t="n">
        <v>42902</v>
      </c>
      <c r="B16556" t="n">
        <v>2.16</v>
      </c>
      <c r="C16556" t="n">
        <v>1.01</v>
      </c>
    </row>
    <row r="16557">
      <c r="A16557" s="28" t="n">
        <v>42905</v>
      </c>
      <c r="B16557" t="n">
        <v>2.19</v>
      </c>
      <c r="C16557" t="n">
        <v>1.01</v>
      </c>
    </row>
    <row r="16558">
      <c r="A16558" s="28" t="n">
        <v>42906</v>
      </c>
      <c r="B16558" t="n">
        <v>2.16</v>
      </c>
      <c r="C16558" t="n">
        <v>1</v>
      </c>
    </row>
    <row r="16559">
      <c r="A16559" s="28" t="n">
        <v>42907</v>
      </c>
      <c r="B16559" t="n">
        <v>2.16</v>
      </c>
      <c r="C16559" t="n">
        <v>0.97</v>
      </c>
    </row>
    <row r="16560">
      <c r="A16560" s="28" t="n">
        <v>42908</v>
      </c>
      <c r="B16560" t="n">
        <v>2.15</v>
      </c>
      <c r="C16560" t="n">
        <v>0.9399999999999999</v>
      </c>
    </row>
    <row r="16561">
      <c r="A16561" s="28" t="n">
        <v>42909</v>
      </c>
      <c r="B16561" t="n">
        <v>2.15</v>
      </c>
      <c r="C16561" t="n">
        <v>0.95</v>
      </c>
    </row>
    <row r="16562">
      <c r="A16562" s="28" t="n">
        <v>42912</v>
      </c>
      <c r="B16562" t="n">
        <v>2.14</v>
      </c>
      <c r="C16562" t="n">
        <v>0.98</v>
      </c>
    </row>
    <row r="16563">
      <c r="A16563" s="28" t="n">
        <v>42913</v>
      </c>
      <c r="B16563" t="n">
        <v>2.21</v>
      </c>
      <c r="C16563" t="n">
        <v>0.99</v>
      </c>
    </row>
    <row r="16564">
      <c r="A16564" s="28" t="n">
        <v>42914</v>
      </c>
      <c r="B16564" t="n">
        <v>2.22</v>
      </c>
      <c r="C16564" t="n">
        <v>1</v>
      </c>
    </row>
    <row r="16565">
      <c r="A16565" s="28" t="n">
        <v>42915</v>
      </c>
      <c r="B16565" t="n">
        <v>2.27</v>
      </c>
      <c r="C16565" t="n">
        <v>1.02</v>
      </c>
    </row>
    <row r="16566">
      <c r="A16566" s="28" t="n">
        <v>42916</v>
      </c>
      <c r="B16566" t="n">
        <v>2.31</v>
      </c>
      <c r="C16566" t="n">
        <v>1.01</v>
      </c>
    </row>
    <row r="16567">
      <c r="A16567" s="28" t="n">
        <v>42919</v>
      </c>
      <c r="B16567" t="n">
        <v>2.35</v>
      </c>
      <c r="C16567" t="n">
        <v>1.04</v>
      </c>
    </row>
    <row r="16568">
      <c r="A16568" s="28" t="n">
        <v>42920</v>
      </c>
      <c r="B16568" t="n">
        <v>0</v>
      </c>
      <c r="C16568" t="n">
        <v>0</v>
      </c>
    </row>
    <row r="16569">
      <c r="A16569" s="28" t="n">
        <v>42921</v>
      </c>
      <c r="B16569" t="n">
        <v>2.33</v>
      </c>
      <c r="C16569" t="n">
        <v>1.03</v>
      </c>
    </row>
    <row r="16570">
      <c r="A16570" s="28" t="n">
        <v>42922</v>
      </c>
      <c r="B16570" t="n">
        <v>2.37</v>
      </c>
      <c r="C16570" t="n">
        <v>1.02</v>
      </c>
    </row>
    <row r="16571">
      <c r="A16571" s="28" t="n">
        <v>42923</v>
      </c>
      <c r="B16571" t="n">
        <v>2.39</v>
      </c>
      <c r="C16571" t="n">
        <v>1.03</v>
      </c>
    </row>
    <row r="16572">
      <c r="A16572" s="28" t="n">
        <v>42926</v>
      </c>
      <c r="B16572" t="n">
        <v>2.38</v>
      </c>
      <c r="C16572" t="n">
        <v>1.03</v>
      </c>
    </row>
    <row r="16573">
      <c r="A16573" s="28" t="n">
        <v>42927</v>
      </c>
      <c r="B16573" t="n">
        <v>2.37</v>
      </c>
      <c r="C16573" t="n">
        <v>1.03</v>
      </c>
    </row>
    <row r="16574">
      <c r="A16574" s="28" t="n">
        <v>42928</v>
      </c>
      <c r="B16574" t="n">
        <v>2.33</v>
      </c>
      <c r="C16574" t="n">
        <v>1.03</v>
      </c>
    </row>
    <row r="16575">
      <c r="A16575" s="28" t="n">
        <v>42929</v>
      </c>
      <c r="B16575" t="n">
        <v>2.35</v>
      </c>
      <c r="C16575" t="n">
        <v>1.03</v>
      </c>
    </row>
    <row r="16576">
      <c r="A16576" s="28" t="n">
        <v>42930</v>
      </c>
      <c r="B16576" t="n">
        <v>2.33</v>
      </c>
      <c r="C16576" t="n">
        <v>1.02</v>
      </c>
    </row>
    <row r="16577">
      <c r="A16577" s="28" t="n">
        <v>42933</v>
      </c>
      <c r="B16577" t="n">
        <v>2.31</v>
      </c>
      <c r="C16577" t="n">
        <v>1.05</v>
      </c>
    </row>
    <row r="16578">
      <c r="A16578" s="28" t="n">
        <v>42934</v>
      </c>
      <c r="B16578" t="n">
        <v>2.27</v>
      </c>
      <c r="C16578" t="n">
        <v>1.05</v>
      </c>
    </row>
    <row r="16579">
      <c r="A16579" s="28" t="n">
        <v>42935</v>
      </c>
      <c r="B16579" t="n">
        <v>2.27</v>
      </c>
      <c r="C16579" t="n">
        <v>1.09</v>
      </c>
    </row>
    <row r="16580">
      <c r="A16580" s="28" t="n">
        <v>42936</v>
      </c>
      <c r="B16580" t="n">
        <v>2.27</v>
      </c>
      <c r="C16580" t="n">
        <v>1.13</v>
      </c>
    </row>
    <row r="16581">
      <c r="A16581" s="28" t="n">
        <v>42937</v>
      </c>
      <c r="B16581" t="n">
        <v>2.24</v>
      </c>
      <c r="C16581" t="n">
        <v>1.14</v>
      </c>
    </row>
    <row r="16582">
      <c r="A16582" s="28" t="n">
        <v>42940</v>
      </c>
      <c r="B16582" t="n">
        <v>2.26</v>
      </c>
      <c r="C16582" t="n">
        <v>1.15</v>
      </c>
    </row>
    <row r="16583">
      <c r="A16583" s="28" t="n">
        <v>42941</v>
      </c>
      <c r="B16583" t="n">
        <v>2.33</v>
      </c>
      <c r="C16583" t="n">
        <v>1.16</v>
      </c>
    </row>
    <row r="16584">
      <c r="A16584" s="28" t="n">
        <v>42942</v>
      </c>
      <c r="B16584" t="n">
        <v>2.29</v>
      </c>
      <c r="C16584" t="n">
        <v>1.11</v>
      </c>
    </row>
    <row r="16585">
      <c r="A16585" s="28" t="n">
        <v>42943</v>
      </c>
      <c r="B16585" t="n">
        <v>2.32</v>
      </c>
      <c r="C16585" t="n">
        <v>1.09</v>
      </c>
    </row>
    <row r="16586">
      <c r="A16586" s="28" t="n">
        <v>42944</v>
      </c>
      <c r="B16586" t="n">
        <v>2.3</v>
      </c>
      <c r="C16586" t="n">
        <v>1.06</v>
      </c>
    </row>
    <row r="16587">
      <c r="A16587" s="28" t="n">
        <v>42947</v>
      </c>
      <c r="B16587" t="n">
        <v>2.3</v>
      </c>
      <c r="C16587" t="n">
        <v>1.05</v>
      </c>
    </row>
    <row r="16588">
      <c r="A16588" s="28" t="n">
        <v>42948</v>
      </c>
      <c r="B16588" t="n">
        <v>2.26</v>
      </c>
      <c r="C16588" t="n">
        <v>1.06</v>
      </c>
    </row>
    <row r="16589">
      <c r="A16589" s="28" t="n">
        <v>42949</v>
      </c>
      <c r="B16589" t="n">
        <v>2.27</v>
      </c>
      <c r="C16589" t="n">
        <v>1.06</v>
      </c>
    </row>
    <row r="16590">
      <c r="A16590" s="28" t="n">
        <v>42950</v>
      </c>
      <c r="B16590" t="n">
        <v>2.24</v>
      </c>
      <c r="C16590" t="n">
        <v>1.06</v>
      </c>
    </row>
    <row r="16591">
      <c r="A16591" s="28" t="n">
        <v>42951</v>
      </c>
      <c r="B16591" t="n">
        <v>2.27</v>
      </c>
      <c r="C16591" t="n">
        <v>1.06</v>
      </c>
    </row>
    <row r="16592">
      <c r="A16592" s="28" t="n">
        <v>42954</v>
      </c>
      <c r="B16592" t="n">
        <v>2.26</v>
      </c>
      <c r="C16592" t="n">
        <v>1.01</v>
      </c>
    </row>
    <row r="16593">
      <c r="A16593" s="28" t="n">
        <v>42955</v>
      </c>
      <c r="B16593" t="n">
        <v>2.29</v>
      </c>
      <c r="C16593" t="n">
        <v>1.04</v>
      </c>
    </row>
    <row r="16594">
      <c r="A16594" s="28" t="n">
        <v>42956</v>
      </c>
      <c r="B16594" t="n">
        <v>2.24</v>
      </c>
      <c r="C16594" t="n">
        <v>1.04</v>
      </c>
    </row>
    <row r="16595">
      <c r="A16595" s="28" t="n">
        <v>42957</v>
      </c>
      <c r="B16595" t="n">
        <v>2.2</v>
      </c>
      <c r="C16595" t="n">
        <v>1.03</v>
      </c>
    </row>
    <row r="16596">
      <c r="A16596" s="28" t="n">
        <v>42958</v>
      </c>
      <c r="B16596" t="n">
        <v>2.19</v>
      </c>
      <c r="C16596" t="n">
        <v>1.01</v>
      </c>
    </row>
    <row r="16597">
      <c r="A16597" s="28" t="n">
        <v>42961</v>
      </c>
      <c r="B16597" t="n">
        <v>2.22</v>
      </c>
      <c r="C16597" t="n">
        <v>1.01</v>
      </c>
    </row>
    <row r="16598">
      <c r="A16598" s="28" t="n">
        <v>42962</v>
      </c>
      <c r="B16598" t="n">
        <v>2.27</v>
      </c>
      <c r="C16598" t="n">
        <v>1.02</v>
      </c>
    </row>
    <row r="16599">
      <c r="A16599" s="28" t="n">
        <v>42963</v>
      </c>
      <c r="B16599" t="n">
        <v>2.23</v>
      </c>
      <c r="C16599" t="n">
        <v>1</v>
      </c>
    </row>
    <row r="16600">
      <c r="A16600" s="28" t="n">
        <v>42964</v>
      </c>
      <c r="B16600" t="n">
        <v>2.19</v>
      </c>
      <c r="C16600" t="n">
        <v>0.98</v>
      </c>
    </row>
    <row r="16601">
      <c r="A16601" s="28" t="n">
        <v>42965</v>
      </c>
      <c r="B16601" t="n">
        <v>2.19</v>
      </c>
      <c r="C16601" t="n">
        <v>1</v>
      </c>
    </row>
    <row r="16602">
      <c r="A16602" s="28" t="n">
        <v>42968</v>
      </c>
      <c r="B16602" t="n">
        <v>2.18</v>
      </c>
      <c r="C16602" t="n">
        <v>0.99</v>
      </c>
    </row>
    <row r="16603">
      <c r="A16603" s="28" t="n">
        <v>42969</v>
      </c>
      <c r="B16603" t="n">
        <v>2.22</v>
      </c>
      <c r="C16603" t="n">
        <v>0.99</v>
      </c>
    </row>
    <row r="16604">
      <c r="A16604" s="28" t="n">
        <v>42970</v>
      </c>
      <c r="B16604" t="n">
        <v>2.17</v>
      </c>
      <c r="C16604" t="n">
        <v>0.98</v>
      </c>
    </row>
    <row r="16605">
      <c r="A16605" s="28" t="n">
        <v>42971</v>
      </c>
      <c r="B16605" t="n">
        <v>2.19</v>
      </c>
      <c r="C16605" t="n">
        <v>1</v>
      </c>
    </row>
    <row r="16606">
      <c r="A16606" s="28" t="n">
        <v>42972</v>
      </c>
      <c r="B16606" t="n">
        <v>2.17</v>
      </c>
      <c r="C16606" t="n">
        <v>1.01</v>
      </c>
    </row>
    <row r="16607">
      <c r="A16607" s="28" t="n">
        <v>42975</v>
      </c>
      <c r="B16607" t="n">
        <v>2.16</v>
      </c>
      <c r="C16607" t="n">
        <v>0.97</v>
      </c>
    </row>
    <row r="16608">
      <c r="A16608" s="28" t="n">
        <v>42976</v>
      </c>
      <c r="B16608" t="n">
        <v>2.13</v>
      </c>
      <c r="C16608" t="n">
        <v>1.01</v>
      </c>
    </row>
    <row r="16609">
      <c r="A16609" s="28" t="n">
        <v>42977</v>
      </c>
      <c r="B16609" t="n">
        <v>2.15</v>
      </c>
      <c r="C16609" t="n">
        <v>1.01</v>
      </c>
    </row>
    <row r="16610">
      <c r="A16610" s="28" t="n">
        <v>42978</v>
      </c>
      <c r="B16610" t="n">
        <v>2.12</v>
      </c>
      <c r="C16610" t="n">
        <v>0.99</v>
      </c>
    </row>
    <row r="16611">
      <c r="A16611" s="28" t="n">
        <v>42979</v>
      </c>
      <c r="B16611" t="n">
        <v>2.16</v>
      </c>
      <c r="C16611" t="n">
        <v>1</v>
      </c>
    </row>
    <row r="16612">
      <c r="A16612" s="28" t="n">
        <v>42982</v>
      </c>
      <c r="B16612" t="n">
        <v>0</v>
      </c>
      <c r="C16612" t="n">
        <v>0</v>
      </c>
    </row>
    <row r="16613">
      <c r="A16613" s="28" t="n">
        <v>42983</v>
      </c>
      <c r="B16613" t="n">
        <v>2.07</v>
      </c>
      <c r="C16613" t="n">
        <v>1.01</v>
      </c>
    </row>
    <row r="16614">
      <c r="A16614" s="28" t="n">
        <v>42984</v>
      </c>
      <c r="B16614" t="n">
        <v>2.1</v>
      </c>
      <c r="C16614" t="n">
        <v>1.05</v>
      </c>
    </row>
    <row r="16615">
      <c r="A16615" s="28" t="n">
        <v>42985</v>
      </c>
      <c r="B16615" t="n">
        <v>2.05</v>
      </c>
      <c r="C16615" t="n">
        <v>1.03</v>
      </c>
    </row>
    <row r="16616">
      <c r="A16616" s="28" t="n">
        <v>42986</v>
      </c>
      <c r="B16616" t="n">
        <v>2.06</v>
      </c>
      <c r="C16616" t="n">
        <v>1.02</v>
      </c>
    </row>
    <row r="16617">
      <c r="A16617" s="28" t="n">
        <v>42989</v>
      </c>
      <c r="B16617" t="n">
        <v>2.14</v>
      </c>
      <c r="C16617" t="n">
        <v>1.04</v>
      </c>
    </row>
    <row r="16618">
      <c r="A16618" s="28" t="n">
        <v>42990</v>
      </c>
      <c r="B16618" t="n">
        <v>2.17</v>
      </c>
      <c r="C16618" t="n">
        <v>1.02</v>
      </c>
    </row>
    <row r="16619">
      <c r="A16619" s="28" t="n">
        <v>42991</v>
      </c>
      <c r="B16619" t="n">
        <v>2.2</v>
      </c>
      <c r="C16619" t="n">
        <v>1.02</v>
      </c>
    </row>
    <row r="16620">
      <c r="A16620" s="28" t="n">
        <v>42992</v>
      </c>
      <c r="B16620" t="n">
        <v>2.2</v>
      </c>
      <c r="C16620" t="n">
        <v>1.03</v>
      </c>
    </row>
    <row r="16621">
      <c r="A16621" s="28" t="n">
        <v>42993</v>
      </c>
      <c r="B16621" t="n">
        <v>2.2</v>
      </c>
      <c r="C16621" t="n">
        <v>1.03</v>
      </c>
    </row>
    <row r="16622">
      <c r="A16622" s="28" t="n">
        <v>42996</v>
      </c>
      <c r="B16622" t="n">
        <v>2.23</v>
      </c>
      <c r="C16622" t="n">
        <v>1.04</v>
      </c>
    </row>
    <row r="16623">
      <c r="A16623" s="28" t="n">
        <v>42997</v>
      </c>
      <c r="B16623" t="n">
        <v>2.24</v>
      </c>
      <c r="C16623" t="n">
        <v>1.03</v>
      </c>
    </row>
    <row r="16624">
      <c r="A16624" s="28" t="n">
        <v>42998</v>
      </c>
      <c r="B16624" t="n">
        <v>2.28</v>
      </c>
      <c r="C16624" t="n">
        <v>1.02</v>
      </c>
    </row>
    <row r="16625">
      <c r="A16625" s="28" t="n">
        <v>42999</v>
      </c>
      <c r="B16625" t="n">
        <v>2.27</v>
      </c>
      <c r="C16625" t="n">
        <v>1.02</v>
      </c>
    </row>
    <row r="16626">
      <c r="A16626" s="28" t="n">
        <v>43000</v>
      </c>
      <c r="B16626" t="n">
        <v>2.26</v>
      </c>
      <c r="C16626" t="n">
        <v>1.01</v>
      </c>
    </row>
    <row r="16627">
      <c r="A16627" s="28" t="n">
        <v>43003</v>
      </c>
      <c r="B16627" t="n">
        <v>2.22</v>
      </c>
      <c r="C16627" t="n">
        <v>1.04</v>
      </c>
    </row>
    <row r="16628">
      <c r="A16628" s="28" t="n">
        <v>43004</v>
      </c>
      <c r="B16628" t="n">
        <v>2.24</v>
      </c>
      <c r="C16628" t="n">
        <v>1.05</v>
      </c>
    </row>
    <row r="16629">
      <c r="A16629" s="28" t="n">
        <v>43005</v>
      </c>
      <c r="B16629" t="n">
        <v>2.31</v>
      </c>
      <c r="C16629" t="n">
        <v>1.05</v>
      </c>
    </row>
    <row r="16630">
      <c r="A16630" s="28" t="n">
        <v>43006</v>
      </c>
      <c r="B16630" t="n">
        <v>2.31</v>
      </c>
      <c r="C16630" t="n">
        <v>1.04</v>
      </c>
    </row>
    <row r="16631">
      <c r="A16631" s="28" t="n">
        <v>43007</v>
      </c>
      <c r="B16631" t="n">
        <v>2.33</v>
      </c>
      <c r="C16631" t="n">
        <v>1.04</v>
      </c>
    </row>
    <row r="16632">
      <c r="A16632" s="28" t="n">
        <v>43010</v>
      </c>
      <c r="B16632" t="n">
        <v>2.34</v>
      </c>
      <c r="C16632" t="n">
        <v>1</v>
      </c>
    </row>
    <row r="16633">
      <c r="A16633" s="28" t="n">
        <v>43011</v>
      </c>
      <c r="B16633" t="n">
        <v>2.33</v>
      </c>
      <c r="C16633" t="n">
        <v>1.05</v>
      </c>
    </row>
    <row r="16634">
      <c r="A16634" s="28" t="n">
        <v>43012</v>
      </c>
      <c r="B16634" t="n">
        <v>2.33</v>
      </c>
      <c r="C16634" t="n">
        <v>1.06</v>
      </c>
    </row>
    <row r="16635">
      <c r="A16635" s="28" t="n">
        <v>43013</v>
      </c>
      <c r="B16635" t="n">
        <v>2.35</v>
      </c>
      <c r="C16635" t="n">
        <v>1.05</v>
      </c>
    </row>
    <row r="16636">
      <c r="A16636" s="28" t="n">
        <v>43014</v>
      </c>
      <c r="B16636" t="n">
        <v>2.37</v>
      </c>
      <c r="C16636" t="n">
        <v>1.05</v>
      </c>
    </row>
    <row r="16637">
      <c r="A16637" s="28" t="n">
        <v>43017</v>
      </c>
      <c r="B16637" t="n">
        <v>0</v>
      </c>
      <c r="C16637" t="n">
        <v>0</v>
      </c>
    </row>
    <row r="16638">
      <c r="A16638" s="28" t="n">
        <v>43018</v>
      </c>
      <c r="B16638" t="n">
        <v>2.35</v>
      </c>
      <c r="C16638" t="n">
        <v>1.06</v>
      </c>
    </row>
    <row r="16639">
      <c r="A16639" s="28" t="n">
        <v>43019</v>
      </c>
      <c r="B16639" t="n">
        <v>2.35</v>
      </c>
      <c r="C16639" t="n">
        <v>1.08</v>
      </c>
    </row>
    <row r="16640">
      <c r="A16640" s="28" t="n">
        <v>43020</v>
      </c>
      <c r="B16640" t="n">
        <v>2.33</v>
      </c>
      <c r="C16640" t="n">
        <v>1.07</v>
      </c>
    </row>
    <row r="16641">
      <c r="A16641" s="28" t="n">
        <v>43021</v>
      </c>
      <c r="B16641" t="n">
        <v>2.28</v>
      </c>
      <c r="C16641" t="n">
        <v>1.07</v>
      </c>
    </row>
    <row r="16642">
      <c r="A16642" s="28" t="n">
        <v>43024</v>
      </c>
      <c r="B16642" t="n">
        <v>2.3</v>
      </c>
      <c r="C16642" t="n">
        <v>1.09</v>
      </c>
    </row>
    <row r="16643">
      <c r="A16643" s="28" t="n">
        <v>43025</v>
      </c>
      <c r="B16643" t="n">
        <v>2.3</v>
      </c>
      <c r="C16643" t="n">
        <v>1.07</v>
      </c>
    </row>
    <row r="16644">
      <c r="A16644" s="28" t="n">
        <v>43026</v>
      </c>
      <c r="B16644" t="n">
        <v>2.34</v>
      </c>
      <c r="C16644" t="n">
        <v>1.07</v>
      </c>
    </row>
    <row r="16645">
      <c r="A16645" s="28" t="n">
        <v>43027</v>
      </c>
      <c r="B16645" t="n">
        <v>2.33</v>
      </c>
      <c r="C16645" t="n">
        <v>1.08</v>
      </c>
    </row>
    <row r="16646">
      <c r="A16646" s="28" t="n">
        <v>43028</v>
      </c>
      <c r="B16646" t="n">
        <v>2.39</v>
      </c>
      <c r="C16646" t="n">
        <v>1.09</v>
      </c>
    </row>
    <row r="16647">
      <c r="A16647" s="28" t="n">
        <v>43031</v>
      </c>
      <c r="B16647" t="n">
        <v>2.38</v>
      </c>
      <c r="C16647" t="n">
        <v>1.08</v>
      </c>
    </row>
    <row r="16648">
      <c r="A16648" s="28" t="n">
        <v>43032</v>
      </c>
      <c r="B16648" t="n">
        <v>2.42</v>
      </c>
      <c r="C16648" t="n">
        <v>1.1</v>
      </c>
    </row>
    <row r="16649">
      <c r="A16649" s="28" t="n">
        <v>43033</v>
      </c>
      <c r="B16649" t="n">
        <v>2.44</v>
      </c>
      <c r="C16649" t="n">
        <v>1.1</v>
      </c>
    </row>
    <row r="16650">
      <c r="A16650" s="28" t="n">
        <v>43034</v>
      </c>
      <c r="B16650" t="n">
        <v>2.46</v>
      </c>
      <c r="C16650" t="n">
        <v>1.09</v>
      </c>
    </row>
    <row r="16651">
      <c r="A16651" s="28" t="n">
        <v>43035</v>
      </c>
      <c r="B16651" t="n">
        <v>2.42</v>
      </c>
      <c r="C16651" t="n">
        <v>1.08</v>
      </c>
    </row>
    <row r="16652">
      <c r="A16652" s="28" t="n">
        <v>43038</v>
      </c>
      <c r="B16652" t="n">
        <v>2.37</v>
      </c>
      <c r="C16652" t="n">
        <v>1.1</v>
      </c>
    </row>
    <row r="16653">
      <c r="A16653" s="28" t="n">
        <v>43039</v>
      </c>
      <c r="B16653" t="n">
        <v>2.38</v>
      </c>
      <c r="C16653" t="n">
        <v>1.13</v>
      </c>
    </row>
    <row r="16654">
      <c r="A16654" s="28" t="n">
        <v>43040</v>
      </c>
      <c r="B16654" t="n">
        <v>2.37</v>
      </c>
      <c r="C16654" t="n">
        <v>1.16</v>
      </c>
    </row>
    <row r="16655">
      <c r="A16655" s="28" t="n">
        <v>43041</v>
      </c>
      <c r="B16655" t="n">
        <v>2.35</v>
      </c>
      <c r="C16655" t="n">
        <v>1.15</v>
      </c>
    </row>
    <row r="16656">
      <c r="A16656" s="28" t="n">
        <v>43042</v>
      </c>
      <c r="B16656" t="n">
        <v>2.34</v>
      </c>
      <c r="C16656" t="n">
        <v>1.16</v>
      </c>
    </row>
    <row r="16657">
      <c r="A16657" s="28" t="n">
        <v>43045</v>
      </c>
      <c r="B16657" t="n">
        <v>2.32</v>
      </c>
      <c r="C16657" t="n">
        <v>1.17</v>
      </c>
    </row>
    <row r="16658">
      <c r="A16658" s="28" t="n">
        <v>43046</v>
      </c>
      <c r="B16658" t="n">
        <v>2.32</v>
      </c>
      <c r="C16658" t="n">
        <v>1.2</v>
      </c>
    </row>
    <row r="16659">
      <c r="A16659" s="28" t="n">
        <v>43047</v>
      </c>
      <c r="B16659" t="n">
        <v>2.32</v>
      </c>
      <c r="C16659" t="n">
        <v>1.21</v>
      </c>
    </row>
    <row r="16660">
      <c r="A16660" s="28" t="n">
        <v>43048</v>
      </c>
      <c r="B16660" t="n">
        <v>2.33</v>
      </c>
      <c r="C16660" t="n">
        <v>1.22</v>
      </c>
    </row>
    <row r="16661">
      <c r="A16661" s="28" t="n">
        <v>43049</v>
      </c>
      <c r="B16661" t="n">
        <v>2.4</v>
      </c>
      <c r="C16661" t="n">
        <v>1.21</v>
      </c>
    </row>
    <row r="16662">
      <c r="A16662" s="28" t="n">
        <v>43052</v>
      </c>
      <c r="B16662" t="n">
        <v>2.4</v>
      </c>
      <c r="C16662" t="n">
        <v>1.22</v>
      </c>
    </row>
    <row r="16663">
      <c r="A16663" s="28" t="n">
        <v>43053</v>
      </c>
      <c r="B16663" t="n">
        <v>2.38</v>
      </c>
      <c r="C16663" t="n">
        <v>1.24</v>
      </c>
    </row>
    <row r="16664">
      <c r="A16664" s="28" t="n">
        <v>43054</v>
      </c>
      <c r="B16664" t="n">
        <v>2.33</v>
      </c>
      <c r="C16664" t="n">
        <v>1.23</v>
      </c>
    </row>
    <row r="16665">
      <c r="A16665" s="28" t="n">
        <v>43055</v>
      </c>
      <c r="B16665" t="n">
        <v>2.37</v>
      </c>
      <c r="C16665" t="n">
        <v>1.25</v>
      </c>
    </row>
    <row r="16666">
      <c r="A16666" s="28" t="n">
        <v>43056</v>
      </c>
      <c r="B16666" t="n">
        <v>2.35</v>
      </c>
      <c r="C16666" t="n">
        <v>1.26</v>
      </c>
    </row>
    <row r="16667">
      <c r="A16667" s="28" t="n">
        <v>43059</v>
      </c>
      <c r="B16667" t="n">
        <v>2.37</v>
      </c>
      <c r="C16667" t="n">
        <v>1.28</v>
      </c>
    </row>
    <row r="16668">
      <c r="A16668" s="28" t="n">
        <v>43060</v>
      </c>
      <c r="B16668" t="n">
        <v>2.36</v>
      </c>
      <c r="C16668" t="n">
        <v>1.28</v>
      </c>
    </row>
    <row r="16669">
      <c r="A16669" s="28" t="n">
        <v>43061</v>
      </c>
      <c r="B16669" t="n">
        <v>2.32</v>
      </c>
      <c r="C16669" t="n">
        <v>1.27</v>
      </c>
    </row>
    <row r="16670">
      <c r="A16670" s="28" t="n">
        <v>43062</v>
      </c>
      <c r="B16670" t="n">
        <v>0</v>
      </c>
      <c r="C16670" t="n">
        <v>0</v>
      </c>
    </row>
    <row r="16671">
      <c r="A16671" s="28" t="n">
        <v>43063</v>
      </c>
      <c r="B16671" t="n">
        <v>2.34</v>
      </c>
      <c r="C16671" t="n">
        <v>1.26</v>
      </c>
    </row>
    <row r="16672">
      <c r="A16672" s="28" t="n">
        <v>43066</v>
      </c>
      <c r="B16672" t="n">
        <v>2.32</v>
      </c>
      <c r="C16672" t="n">
        <v>1.25</v>
      </c>
    </row>
    <row r="16673">
      <c r="A16673" s="28" t="n">
        <v>43067</v>
      </c>
      <c r="B16673" t="n">
        <v>2.34</v>
      </c>
      <c r="C16673" t="n">
        <v>1.28</v>
      </c>
    </row>
    <row r="16674">
      <c r="A16674" s="28" t="n">
        <v>43068</v>
      </c>
      <c r="B16674" t="n">
        <v>2.37</v>
      </c>
      <c r="C16674" t="n">
        <v>1.27</v>
      </c>
    </row>
    <row r="16675">
      <c r="A16675" s="28" t="n">
        <v>43069</v>
      </c>
      <c r="B16675" t="n">
        <v>2.42</v>
      </c>
      <c r="C16675" t="n">
        <v>1.25</v>
      </c>
    </row>
    <row r="16676">
      <c r="A16676" s="28" t="n">
        <v>43070</v>
      </c>
      <c r="B16676" t="n">
        <v>2.37</v>
      </c>
      <c r="C16676" t="n">
        <v>1.25</v>
      </c>
    </row>
    <row r="16677">
      <c r="A16677" s="28" t="n">
        <v>43073</v>
      </c>
      <c r="B16677" t="n">
        <v>2.37</v>
      </c>
      <c r="C16677" t="n">
        <v>1.28</v>
      </c>
    </row>
    <row r="16678">
      <c r="A16678" s="28" t="n">
        <v>43074</v>
      </c>
      <c r="B16678" t="n">
        <v>2.36</v>
      </c>
      <c r="C16678" t="n">
        <v>1.28</v>
      </c>
    </row>
    <row r="16679">
      <c r="A16679" s="28" t="n">
        <v>43075</v>
      </c>
      <c r="B16679" t="n">
        <v>2.33</v>
      </c>
      <c r="C16679" t="n">
        <v>1.28</v>
      </c>
    </row>
    <row r="16680">
      <c r="A16680" s="28" t="n">
        <v>43076</v>
      </c>
      <c r="B16680" t="n">
        <v>2.37</v>
      </c>
      <c r="C16680" t="n">
        <v>1.27</v>
      </c>
    </row>
    <row r="16681">
      <c r="A16681" s="28" t="n">
        <v>43077</v>
      </c>
      <c r="B16681" t="n">
        <v>2.38</v>
      </c>
      <c r="C16681" t="n">
        <v>1.26</v>
      </c>
    </row>
    <row r="16682">
      <c r="A16682" s="28" t="n">
        <v>43080</v>
      </c>
      <c r="B16682" t="n">
        <v>2.39</v>
      </c>
      <c r="C16682" t="n">
        <v>1.31</v>
      </c>
    </row>
    <row r="16683">
      <c r="A16683" s="28" t="n">
        <v>43081</v>
      </c>
      <c r="B16683" t="n">
        <v>2.4</v>
      </c>
      <c r="C16683" t="n">
        <v>1.32</v>
      </c>
    </row>
    <row r="16684">
      <c r="A16684" s="28" t="n">
        <v>43082</v>
      </c>
      <c r="B16684" t="n">
        <v>2.36</v>
      </c>
      <c r="C16684" t="n">
        <v>1.28</v>
      </c>
    </row>
    <row r="16685">
      <c r="A16685" s="28" t="n">
        <v>43083</v>
      </c>
      <c r="B16685" t="n">
        <v>2.35</v>
      </c>
      <c r="C16685" t="n">
        <v>1.3</v>
      </c>
    </row>
    <row r="16686">
      <c r="A16686" s="28" t="n">
        <v>43084</v>
      </c>
      <c r="B16686" t="n">
        <v>2.35</v>
      </c>
      <c r="C16686" t="n">
        <v>1.29</v>
      </c>
    </row>
    <row r="16687">
      <c r="A16687" s="28" t="n">
        <v>43087</v>
      </c>
      <c r="B16687" t="n">
        <v>2.39</v>
      </c>
      <c r="C16687" t="n">
        <v>1.36</v>
      </c>
    </row>
    <row r="16688">
      <c r="A16688" s="28" t="n">
        <v>43088</v>
      </c>
      <c r="B16688" t="n">
        <v>2.46</v>
      </c>
      <c r="C16688" t="n">
        <v>1.35</v>
      </c>
    </row>
    <row r="16689">
      <c r="A16689" s="28" t="n">
        <v>43089</v>
      </c>
      <c r="B16689" t="n">
        <v>2.49</v>
      </c>
      <c r="C16689" t="n">
        <v>1.36</v>
      </c>
    </row>
    <row r="16690">
      <c r="A16690" s="28" t="n">
        <v>43090</v>
      </c>
      <c r="B16690" t="n">
        <v>2.48</v>
      </c>
      <c r="C16690" t="n">
        <v>1.33</v>
      </c>
    </row>
    <row r="16691">
      <c r="A16691" s="28" t="n">
        <v>43091</v>
      </c>
      <c r="B16691" t="n">
        <v>2.48</v>
      </c>
      <c r="C16691" t="n">
        <v>1.31</v>
      </c>
    </row>
    <row r="16692">
      <c r="A16692" s="28" t="n">
        <v>43094</v>
      </c>
      <c r="B16692" t="n">
        <v>0</v>
      </c>
      <c r="C16692" t="n">
        <v>0</v>
      </c>
    </row>
    <row r="16693">
      <c r="A16693" s="28" t="n">
        <v>43095</v>
      </c>
      <c r="B16693" t="n">
        <v>2.47</v>
      </c>
      <c r="C16693" t="n">
        <v>1.45</v>
      </c>
    </row>
    <row r="16694">
      <c r="A16694" s="28" t="n">
        <v>43096</v>
      </c>
      <c r="B16694" t="n">
        <v>2.42</v>
      </c>
      <c r="C16694" t="n">
        <v>1.42</v>
      </c>
    </row>
    <row r="16695">
      <c r="A16695" s="28" t="n">
        <v>43097</v>
      </c>
      <c r="B16695" t="n">
        <v>2.43</v>
      </c>
      <c r="C16695" t="n">
        <v>1.37</v>
      </c>
    </row>
    <row r="16696">
      <c r="A16696" s="28" t="n">
        <v>43098</v>
      </c>
      <c r="B16696" t="n">
        <v>2.4</v>
      </c>
      <c r="C16696" t="n">
        <v>1.37</v>
      </c>
    </row>
    <row r="16697">
      <c r="A16697" s="28" t="n">
        <v>43101</v>
      </c>
      <c r="B16697" t="n">
        <v>0</v>
      </c>
      <c r="C16697" t="n">
        <v>0</v>
      </c>
    </row>
    <row r="16698">
      <c r="A16698" s="28" t="n">
        <v>43102</v>
      </c>
      <c r="B16698" t="n">
        <v>2.46</v>
      </c>
      <c r="C16698" t="n">
        <v>1.42</v>
      </c>
    </row>
    <row r="16699">
      <c r="A16699" s="28" t="n">
        <v>43103</v>
      </c>
      <c r="B16699" t="n">
        <v>2.44</v>
      </c>
      <c r="C16699" t="n">
        <v>1.39</v>
      </c>
    </row>
    <row r="16700">
      <c r="A16700" s="28" t="n">
        <v>43104</v>
      </c>
      <c r="B16700" t="n">
        <v>2.46</v>
      </c>
      <c r="C16700" t="n">
        <v>1.39</v>
      </c>
    </row>
    <row r="16701">
      <c r="A16701" s="28" t="n">
        <v>43105</v>
      </c>
      <c r="B16701" t="n">
        <v>2.47</v>
      </c>
      <c r="C16701" t="n">
        <v>1.37</v>
      </c>
    </row>
    <row r="16702">
      <c r="A16702" s="28" t="n">
        <v>43108</v>
      </c>
      <c r="B16702" t="n">
        <v>2.49</v>
      </c>
      <c r="C16702" t="n">
        <v>1.43</v>
      </c>
    </row>
    <row r="16703">
      <c r="A16703" s="28" t="n">
        <v>43109</v>
      </c>
      <c r="B16703" t="n">
        <v>2.55</v>
      </c>
      <c r="C16703" t="n">
        <v>1.42</v>
      </c>
    </row>
    <row r="16704">
      <c r="A16704" s="28" t="n">
        <v>43110</v>
      </c>
      <c r="B16704" t="n">
        <v>2.55</v>
      </c>
      <c r="C16704" t="n">
        <v>1.4</v>
      </c>
    </row>
    <row r="16705">
      <c r="A16705" s="28" t="n">
        <v>43111</v>
      </c>
      <c r="B16705" t="n">
        <v>2.54</v>
      </c>
      <c r="C16705" t="n">
        <v>1.41</v>
      </c>
    </row>
    <row r="16706">
      <c r="A16706" s="28" t="n">
        <v>43112</v>
      </c>
      <c r="B16706" t="n">
        <v>2.55</v>
      </c>
      <c r="C16706" t="n">
        <v>1.41</v>
      </c>
    </row>
    <row r="16707">
      <c r="A16707" s="28" t="n">
        <v>43115</v>
      </c>
      <c r="B16707" t="n">
        <v>0</v>
      </c>
      <c r="C16707" t="n">
        <v>0</v>
      </c>
    </row>
    <row r="16708">
      <c r="A16708" s="28" t="n">
        <v>43116</v>
      </c>
      <c r="B16708" t="n">
        <v>2.54</v>
      </c>
      <c r="C16708" t="n">
        <v>1.43</v>
      </c>
    </row>
    <row r="16709">
      <c r="A16709" s="28" t="n">
        <v>43117</v>
      </c>
      <c r="B16709" t="n">
        <v>2.57</v>
      </c>
      <c r="C16709" t="n">
        <v>1.42</v>
      </c>
    </row>
    <row r="16710">
      <c r="A16710" s="28" t="n">
        <v>43118</v>
      </c>
      <c r="B16710" t="n">
        <v>2.62</v>
      </c>
      <c r="C16710" t="n">
        <v>1.43</v>
      </c>
    </row>
    <row r="16711">
      <c r="A16711" s="28" t="n">
        <v>43119</v>
      </c>
      <c r="B16711" t="n">
        <v>2.64</v>
      </c>
      <c r="C16711" t="n">
        <v>1.42</v>
      </c>
    </row>
    <row r="16712">
      <c r="A16712" s="28" t="n">
        <v>43122</v>
      </c>
      <c r="B16712" t="n">
        <v>2.66</v>
      </c>
      <c r="C16712" t="n">
        <v>1.43</v>
      </c>
    </row>
    <row r="16713">
      <c r="A16713" s="28" t="n">
        <v>43123</v>
      </c>
      <c r="B16713" t="n">
        <v>2.63</v>
      </c>
      <c r="C16713" t="n">
        <v>1.42</v>
      </c>
    </row>
    <row r="16714">
      <c r="A16714" s="28" t="n">
        <v>43124</v>
      </c>
      <c r="B16714" t="n">
        <v>2.65</v>
      </c>
      <c r="C16714" t="n">
        <v>1.41</v>
      </c>
    </row>
    <row r="16715">
      <c r="A16715" s="28" t="n">
        <v>43125</v>
      </c>
      <c r="B16715" t="n">
        <v>2.63</v>
      </c>
      <c r="C16715" t="n">
        <v>1.4</v>
      </c>
    </row>
    <row r="16716">
      <c r="A16716" s="28" t="n">
        <v>43126</v>
      </c>
      <c r="B16716" t="n">
        <v>2.66</v>
      </c>
      <c r="C16716" t="n">
        <v>1.39</v>
      </c>
    </row>
    <row r="16717">
      <c r="A16717" s="28" t="n">
        <v>43129</v>
      </c>
      <c r="B16717" t="n">
        <v>2.7</v>
      </c>
      <c r="C16717" t="n">
        <v>1.43</v>
      </c>
    </row>
    <row r="16718">
      <c r="A16718" s="28" t="n">
        <v>43130</v>
      </c>
      <c r="B16718" t="n">
        <v>2.73</v>
      </c>
      <c r="C16718" t="n">
        <v>1.42</v>
      </c>
    </row>
    <row r="16719">
      <c r="A16719" s="28" t="n">
        <v>43131</v>
      </c>
      <c r="B16719" t="n">
        <v>2.72</v>
      </c>
      <c r="C16719" t="n">
        <v>1.44</v>
      </c>
    </row>
    <row r="16720">
      <c r="A16720" s="28" t="n">
        <v>43132</v>
      </c>
      <c r="B16720" t="n">
        <v>2.78</v>
      </c>
      <c r="C16720" t="n">
        <v>1.46</v>
      </c>
    </row>
    <row r="16721">
      <c r="A16721" s="28" t="n">
        <v>43133</v>
      </c>
      <c r="B16721" t="n">
        <v>2.84</v>
      </c>
      <c r="C16721" t="n">
        <v>1.46</v>
      </c>
    </row>
    <row r="16722">
      <c r="A16722" s="28" t="n">
        <v>43136</v>
      </c>
      <c r="B16722" t="n">
        <v>2.77</v>
      </c>
      <c r="C16722" t="n">
        <v>1.49</v>
      </c>
    </row>
    <row r="16723">
      <c r="A16723" s="28" t="n">
        <v>43137</v>
      </c>
      <c r="B16723" t="n">
        <v>2.79</v>
      </c>
      <c r="C16723" t="n">
        <v>1.5</v>
      </c>
    </row>
    <row r="16724">
      <c r="A16724" s="28" t="n">
        <v>43138</v>
      </c>
      <c r="B16724" t="n">
        <v>2.84</v>
      </c>
      <c r="C16724" t="n">
        <v>1.53</v>
      </c>
    </row>
    <row r="16725">
      <c r="A16725" s="28" t="n">
        <v>43139</v>
      </c>
      <c r="B16725" t="n">
        <v>2.85</v>
      </c>
      <c r="C16725" t="n">
        <v>1.53</v>
      </c>
    </row>
    <row r="16726">
      <c r="A16726" s="28" t="n">
        <v>43140</v>
      </c>
      <c r="B16726" t="n">
        <v>2.83</v>
      </c>
      <c r="C16726" t="n">
        <v>1.53</v>
      </c>
    </row>
    <row r="16727">
      <c r="A16727" s="28" t="n">
        <v>43143</v>
      </c>
      <c r="B16727" t="n">
        <v>2.86</v>
      </c>
      <c r="C16727" t="n">
        <v>1.61</v>
      </c>
    </row>
    <row r="16728">
      <c r="A16728" s="28" t="n">
        <v>43144</v>
      </c>
      <c r="B16728" t="n">
        <v>2.83</v>
      </c>
      <c r="C16728" t="n">
        <v>1.57</v>
      </c>
    </row>
    <row r="16729">
      <c r="A16729" s="28" t="n">
        <v>43145</v>
      </c>
      <c r="B16729" t="n">
        <v>2.91</v>
      </c>
      <c r="C16729" t="n">
        <v>1.56</v>
      </c>
    </row>
    <row r="16730">
      <c r="A16730" s="28" t="n">
        <v>43146</v>
      </c>
      <c r="B16730" t="n">
        <v>2.9</v>
      </c>
      <c r="C16730" t="n">
        <v>1.56</v>
      </c>
    </row>
    <row r="16731">
      <c r="A16731" s="28" t="n">
        <v>43147</v>
      </c>
      <c r="B16731" t="n">
        <v>2.87</v>
      </c>
      <c r="C16731" t="n">
        <v>1.59</v>
      </c>
    </row>
    <row r="16732">
      <c r="A16732" s="28" t="n">
        <v>43150</v>
      </c>
      <c r="B16732" t="n">
        <v>0</v>
      </c>
      <c r="C16732" t="n">
        <v>0</v>
      </c>
    </row>
    <row r="16733">
      <c r="A16733" s="28" t="n">
        <v>43151</v>
      </c>
      <c r="B16733" t="n">
        <v>2.88</v>
      </c>
      <c r="C16733" t="n">
        <v>1.64</v>
      </c>
    </row>
    <row r="16734">
      <c r="A16734" s="28" t="n">
        <v>43152</v>
      </c>
      <c r="B16734" t="n">
        <v>2.94</v>
      </c>
      <c r="C16734" t="n">
        <v>1.62</v>
      </c>
    </row>
    <row r="16735">
      <c r="A16735" s="28" t="n">
        <v>43153</v>
      </c>
      <c r="B16735" t="n">
        <v>2.92</v>
      </c>
      <c r="C16735" t="n">
        <v>1.61</v>
      </c>
    </row>
    <row r="16736">
      <c r="A16736" s="28" t="n">
        <v>43154</v>
      </c>
      <c r="B16736" t="n">
        <v>2.88</v>
      </c>
      <c r="C16736" t="n">
        <v>1.61</v>
      </c>
    </row>
    <row r="16737">
      <c r="A16737" s="28" t="n">
        <v>43157</v>
      </c>
      <c r="B16737" t="n">
        <v>2.86</v>
      </c>
      <c r="C16737" t="n">
        <v>1.65</v>
      </c>
    </row>
    <row r="16738">
      <c r="A16738" s="28" t="n">
        <v>43158</v>
      </c>
      <c r="B16738" t="n">
        <v>2.9</v>
      </c>
      <c r="C16738" t="n">
        <v>1.64</v>
      </c>
    </row>
    <row r="16739">
      <c r="A16739" s="28" t="n">
        <v>43159</v>
      </c>
      <c r="B16739" t="n">
        <v>2.87</v>
      </c>
      <c r="C16739" t="n">
        <v>1.63</v>
      </c>
    </row>
    <row r="16740">
      <c r="A16740" s="28" t="n">
        <v>43160</v>
      </c>
      <c r="B16740" t="n">
        <v>2.81</v>
      </c>
      <c r="C16740" t="n">
        <v>1.6</v>
      </c>
    </row>
    <row r="16741">
      <c r="A16741" s="28" t="n">
        <v>43161</v>
      </c>
      <c r="B16741" t="n">
        <v>2.86</v>
      </c>
      <c r="C16741" t="n">
        <v>1.62</v>
      </c>
    </row>
    <row r="16742">
      <c r="A16742" s="28" t="n">
        <v>43164</v>
      </c>
      <c r="B16742" t="n">
        <v>2.88</v>
      </c>
      <c r="C16742" t="n">
        <v>1.67</v>
      </c>
    </row>
    <row r="16743">
      <c r="A16743" s="28" t="n">
        <v>43165</v>
      </c>
      <c r="B16743" t="n">
        <v>2.88</v>
      </c>
      <c r="C16743" t="n">
        <v>1.65</v>
      </c>
    </row>
    <row r="16744">
      <c r="A16744" s="28" t="n">
        <v>43166</v>
      </c>
      <c r="B16744" t="n">
        <v>2.89</v>
      </c>
      <c r="C16744" t="n">
        <v>1.65</v>
      </c>
    </row>
    <row r="16745">
      <c r="A16745" s="28" t="n">
        <v>43167</v>
      </c>
      <c r="B16745" t="n">
        <v>2.86</v>
      </c>
      <c r="C16745" t="n">
        <v>1.64</v>
      </c>
    </row>
    <row r="16746">
      <c r="A16746" s="28" t="n">
        <v>43168</v>
      </c>
      <c r="B16746" t="n">
        <v>2.9</v>
      </c>
      <c r="C16746" t="n">
        <v>1.64</v>
      </c>
    </row>
    <row r="16747">
      <c r="A16747" s="28" t="n">
        <v>43171</v>
      </c>
      <c r="B16747" t="n">
        <v>2.87</v>
      </c>
      <c r="C16747" t="n">
        <v>1.68</v>
      </c>
    </row>
    <row r="16748">
      <c r="A16748" s="28" t="n">
        <v>43172</v>
      </c>
      <c r="B16748" t="n">
        <v>2.84</v>
      </c>
      <c r="C16748" t="n">
        <v>1.7</v>
      </c>
    </row>
    <row r="16749">
      <c r="A16749" s="28" t="n">
        <v>43173</v>
      </c>
      <c r="B16749" t="n">
        <v>2.81</v>
      </c>
      <c r="C16749" t="n">
        <v>1.73</v>
      </c>
    </row>
    <row r="16750">
      <c r="A16750" s="28" t="n">
        <v>43174</v>
      </c>
      <c r="B16750" t="n">
        <v>2.82</v>
      </c>
      <c r="C16750" t="n">
        <v>1.74</v>
      </c>
    </row>
    <row r="16751">
      <c r="A16751" s="28" t="n">
        <v>43175</v>
      </c>
      <c r="B16751" t="n">
        <v>2.85</v>
      </c>
      <c r="C16751" t="n">
        <v>1.75</v>
      </c>
    </row>
    <row r="16752">
      <c r="A16752" s="28" t="n">
        <v>43178</v>
      </c>
      <c r="B16752" t="n">
        <v>2.85</v>
      </c>
      <c r="C16752" t="n">
        <v>1.77</v>
      </c>
    </row>
    <row r="16753">
      <c r="A16753" s="28" t="n">
        <v>43179</v>
      </c>
      <c r="B16753" t="n">
        <v>2.89</v>
      </c>
      <c r="C16753" t="n">
        <v>1.78</v>
      </c>
    </row>
    <row r="16754">
      <c r="A16754" s="28" t="n">
        <v>43180</v>
      </c>
      <c r="B16754" t="n">
        <v>2.89</v>
      </c>
      <c r="C16754" t="n">
        <v>1.71</v>
      </c>
    </row>
    <row r="16755">
      <c r="A16755" s="28" t="n">
        <v>43181</v>
      </c>
      <c r="B16755" t="n">
        <v>2.83</v>
      </c>
      <c r="C16755" t="n">
        <v>1.69</v>
      </c>
    </row>
    <row r="16756">
      <c r="A16756" s="28" t="n">
        <v>43182</v>
      </c>
      <c r="B16756" t="n">
        <v>2.82</v>
      </c>
      <c r="C16756" t="n">
        <v>1.71</v>
      </c>
    </row>
    <row r="16757">
      <c r="A16757" s="28" t="n">
        <v>43185</v>
      </c>
      <c r="B16757" t="n">
        <v>2.85</v>
      </c>
      <c r="C16757" t="n">
        <v>1.76</v>
      </c>
    </row>
    <row r="16758">
      <c r="A16758" s="28" t="n">
        <v>43186</v>
      </c>
      <c r="B16758" t="n">
        <v>2.78</v>
      </c>
      <c r="C16758" t="n">
        <v>1.74</v>
      </c>
    </row>
    <row r="16759">
      <c r="A16759" s="28" t="n">
        <v>43187</v>
      </c>
      <c r="B16759" t="n">
        <v>2.77</v>
      </c>
      <c r="C16759" t="n">
        <v>1.7</v>
      </c>
    </row>
    <row r="16760">
      <c r="A16760" s="28" t="n">
        <v>43188</v>
      </c>
      <c r="B16760" t="n">
        <v>2.74</v>
      </c>
      <c r="C16760" t="n">
        <v>1.7</v>
      </c>
    </row>
    <row r="16761">
      <c r="A16761" s="28" t="n">
        <v>43189</v>
      </c>
      <c r="B16761" t="n">
        <v>0</v>
      </c>
      <c r="C16761" t="n">
        <v>0</v>
      </c>
    </row>
    <row r="16762">
      <c r="A16762" s="28" t="n">
        <v>43192</v>
      </c>
      <c r="B16762" t="n">
        <v>2.73</v>
      </c>
      <c r="C16762" t="n">
        <v>1.74</v>
      </c>
    </row>
    <row r="16763">
      <c r="A16763" s="28" t="n">
        <v>43193</v>
      </c>
      <c r="B16763" t="n">
        <v>2.79</v>
      </c>
      <c r="C16763" t="n">
        <v>1.72</v>
      </c>
    </row>
    <row r="16764">
      <c r="A16764" s="28" t="n">
        <v>43194</v>
      </c>
      <c r="B16764" t="n">
        <v>2.79</v>
      </c>
      <c r="C16764" t="n">
        <v>1.68</v>
      </c>
    </row>
    <row r="16765">
      <c r="A16765" s="28" t="n">
        <v>43195</v>
      </c>
      <c r="B16765" t="n">
        <v>2.83</v>
      </c>
      <c r="C16765" t="n">
        <v>1.69</v>
      </c>
    </row>
    <row r="16766">
      <c r="A16766" s="28" t="n">
        <v>43196</v>
      </c>
      <c r="B16766" t="n">
        <v>2.77</v>
      </c>
      <c r="C16766" t="n">
        <v>1.7</v>
      </c>
    </row>
    <row r="16767">
      <c r="A16767" s="28" t="n">
        <v>43199</v>
      </c>
      <c r="B16767" t="n">
        <v>2.78</v>
      </c>
      <c r="C16767" t="n">
        <v>1.73</v>
      </c>
    </row>
    <row r="16768">
      <c r="A16768" s="28" t="n">
        <v>43200</v>
      </c>
      <c r="B16768" t="n">
        <v>2.8</v>
      </c>
      <c r="C16768" t="n">
        <v>1.71</v>
      </c>
    </row>
    <row r="16769">
      <c r="A16769" s="28" t="n">
        <v>43201</v>
      </c>
      <c r="B16769" t="n">
        <v>2.79</v>
      </c>
      <c r="C16769" t="n">
        <v>1.7</v>
      </c>
    </row>
    <row r="16770">
      <c r="A16770" s="28" t="n">
        <v>43202</v>
      </c>
      <c r="B16770" t="n">
        <v>2.83</v>
      </c>
      <c r="C16770" t="n">
        <v>1.72</v>
      </c>
    </row>
    <row r="16771">
      <c r="A16771" s="28" t="n">
        <v>43203</v>
      </c>
      <c r="B16771" t="n">
        <v>2.82</v>
      </c>
      <c r="C16771" t="n">
        <v>1.73</v>
      </c>
    </row>
    <row r="16772">
      <c r="A16772" s="28" t="n">
        <v>43206</v>
      </c>
      <c r="B16772" t="n">
        <v>2.83</v>
      </c>
      <c r="C16772" t="n">
        <v>1.76</v>
      </c>
    </row>
    <row r="16773">
      <c r="A16773" s="28" t="n">
        <v>43207</v>
      </c>
      <c r="B16773" t="n">
        <v>2.82</v>
      </c>
      <c r="C16773" t="n">
        <v>1.77</v>
      </c>
    </row>
    <row r="16774">
      <c r="A16774" s="28" t="n">
        <v>43208</v>
      </c>
      <c r="B16774" t="n">
        <v>2.87</v>
      </c>
      <c r="C16774" t="n">
        <v>1.78</v>
      </c>
    </row>
    <row r="16775">
      <c r="A16775" s="28" t="n">
        <v>43209</v>
      </c>
      <c r="B16775" t="n">
        <v>2.92</v>
      </c>
      <c r="C16775" t="n">
        <v>1.79</v>
      </c>
    </row>
    <row r="16776">
      <c r="A16776" s="28" t="n">
        <v>43210</v>
      </c>
      <c r="B16776" t="n">
        <v>2.96</v>
      </c>
      <c r="C16776" t="n">
        <v>1.78</v>
      </c>
    </row>
    <row r="16777">
      <c r="A16777" s="28" t="n">
        <v>43213</v>
      </c>
      <c r="B16777" t="n">
        <v>2.98</v>
      </c>
      <c r="C16777" t="n">
        <v>1.84</v>
      </c>
    </row>
    <row r="16778">
      <c r="A16778" s="28" t="n">
        <v>43214</v>
      </c>
      <c r="B16778" t="n">
        <v>3</v>
      </c>
      <c r="C16778" t="n">
        <v>1.84</v>
      </c>
    </row>
    <row r="16779">
      <c r="A16779" s="28" t="n">
        <v>43215</v>
      </c>
      <c r="B16779" t="n">
        <v>3.03</v>
      </c>
      <c r="C16779" t="n">
        <v>1.82</v>
      </c>
    </row>
    <row r="16780">
      <c r="A16780" s="28" t="n">
        <v>43216</v>
      </c>
      <c r="B16780" t="n">
        <v>3</v>
      </c>
      <c r="C16780" t="n">
        <v>1.79</v>
      </c>
    </row>
    <row r="16781">
      <c r="A16781" s="28" t="n">
        <v>43217</v>
      </c>
      <c r="B16781" t="n">
        <v>2.96</v>
      </c>
      <c r="C16781" t="n">
        <v>1.78</v>
      </c>
    </row>
    <row r="16782">
      <c r="A16782" s="28" t="n">
        <v>43220</v>
      </c>
      <c r="B16782" t="n">
        <v>2.95</v>
      </c>
      <c r="C16782" t="n">
        <v>1.84</v>
      </c>
    </row>
    <row r="16783">
      <c r="A16783" s="28" t="n">
        <v>43221</v>
      </c>
      <c r="B16783" t="n">
        <v>2.97</v>
      </c>
      <c r="C16783" t="n">
        <v>1.82</v>
      </c>
    </row>
    <row r="16784">
      <c r="A16784" s="28" t="n">
        <v>43222</v>
      </c>
      <c r="B16784" t="n">
        <v>2.97</v>
      </c>
      <c r="C16784" t="n">
        <v>1.81</v>
      </c>
    </row>
    <row r="16785">
      <c r="A16785" s="28" t="n">
        <v>43223</v>
      </c>
      <c r="B16785" t="n">
        <v>2.94</v>
      </c>
      <c r="C16785" t="n">
        <v>1.8</v>
      </c>
    </row>
    <row r="16786">
      <c r="A16786" s="28" t="n">
        <v>43224</v>
      </c>
      <c r="B16786" t="n">
        <v>2.95</v>
      </c>
      <c r="C16786" t="n">
        <v>1.8</v>
      </c>
    </row>
    <row r="16787">
      <c r="A16787" s="28" t="n">
        <v>43227</v>
      </c>
      <c r="B16787" t="n">
        <v>2.95</v>
      </c>
      <c r="C16787" t="n">
        <v>1.83</v>
      </c>
    </row>
    <row r="16788">
      <c r="A16788" s="28" t="n">
        <v>43228</v>
      </c>
      <c r="B16788" t="n">
        <v>2.97</v>
      </c>
      <c r="C16788" t="n">
        <v>1.84</v>
      </c>
    </row>
    <row r="16789">
      <c r="A16789" s="28" t="n">
        <v>43229</v>
      </c>
      <c r="B16789" t="n">
        <v>3</v>
      </c>
      <c r="C16789" t="n">
        <v>1.85</v>
      </c>
    </row>
    <row r="16790">
      <c r="A16790" s="28" t="n">
        <v>43230</v>
      </c>
      <c r="B16790" t="n">
        <v>2.97</v>
      </c>
      <c r="C16790" t="n">
        <v>1.86</v>
      </c>
    </row>
    <row r="16791">
      <c r="A16791" s="28" t="n">
        <v>43231</v>
      </c>
      <c r="B16791" t="n">
        <v>2.97</v>
      </c>
      <c r="C16791" t="n">
        <v>1.88</v>
      </c>
    </row>
    <row r="16792">
      <c r="A16792" s="28" t="n">
        <v>43234</v>
      </c>
      <c r="B16792" t="n">
        <v>3</v>
      </c>
      <c r="C16792" t="n">
        <v>1.9</v>
      </c>
    </row>
    <row r="16793">
      <c r="A16793" s="28" t="n">
        <v>43235</v>
      </c>
      <c r="B16793" t="n">
        <v>3.08</v>
      </c>
      <c r="C16793" t="n">
        <v>1.89</v>
      </c>
    </row>
    <row r="16794">
      <c r="A16794" s="28" t="n">
        <v>43236</v>
      </c>
      <c r="B16794" t="n">
        <v>3.09</v>
      </c>
      <c r="C16794" t="n">
        <v>1.88</v>
      </c>
    </row>
    <row r="16795">
      <c r="A16795" s="28" t="n">
        <v>43237</v>
      </c>
      <c r="B16795" t="n">
        <v>3.11</v>
      </c>
      <c r="C16795" t="n">
        <v>1.88</v>
      </c>
    </row>
    <row r="16796">
      <c r="A16796" s="28" t="n">
        <v>43238</v>
      </c>
      <c r="B16796" t="n">
        <v>3.06</v>
      </c>
      <c r="C16796" t="n">
        <v>1.87</v>
      </c>
    </row>
    <row r="16797">
      <c r="A16797" s="28" t="n">
        <v>43241</v>
      </c>
      <c r="B16797" t="n">
        <v>3.06</v>
      </c>
      <c r="C16797" t="n">
        <v>1.9</v>
      </c>
    </row>
    <row r="16798">
      <c r="A16798" s="28" t="n">
        <v>43242</v>
      </c>
      <c r="B16798" t="n">
        <v>3.06</v>
      </c>
      <c r="C16798" t="n">
        <v>1.9</v>
      </c>
    </row>
    <row r="16799">
      <c r="A16799" s="28" t="n">
        <v>43243</v>
      </c>
      <c r="B16799" t="n">
        <v>3.01</v>
      </c>
      <c r="C16799" t="n">
        <v>1.88</v>
      </c>
    </row>
    <row r="16800">
      <c r="A16800" s="28" t="n">
        <v>43244</v>
      </c>
      <c r="B16800" t="n">
        <v>2.98</v>
      </c>
      <c r="C16800" t="n">
        <v>1.87</v>
      </c>
    </row>
    <row r="16801">
      <c r="A16801" s="28" t="n">
        <v>43245</v>
      </c>
      <c r="B16801" t="n">
        <v>2.93</v>
      </c>
      <c r="C16801" t="n">
        <v>1.86</v>
      </c>
    </row>
    <row r="16802">
      <c r="A16802" s="28" t="n">
        <v>43248</v>
      </c>
      <c r="B16802" t="n">
        <v>0</v>
      </c>
      <c r="C16802" t="n">
        <v>0</v>
      </c>
    </row>
    <row r="16803">
      <c r="A16803" s="28" t="n">
        <v>43249</v>
      </c>
      <c r="B16803" t="n">
        <v>2.77</v>
      </c>
      <c r="C16803" t="n">
        <v>1.9</v>
      </c>
    </row>
    <row r="16804">
      <c r="A16804" s="28" t="n">
        <v>43250</v>
      </c>
      <c r="B16804" t="n">
        <v>2.84</v>
      </c>
      <c r="C16804" t="n">
        <v>1.9</v>
      </c>
    </row>
    <row r="16805">
      <c r="A16805" s="28" t="n">
        <v>43251</v>
      </c>
      <c r="B16805" t="n">
        <v>2.83</v>
      </c>
      <c r="C16805" t="n">
        <v>1.89</v>
      </c>
    </row>
    <row r="16806">
      <c r="A16806" s="28" t="n">
        <v>43252</v>
      </c>
      <c r="B16806" t="n">
        <v>2.89</v>
      </c>
      <c r="C16806" t="n">
        <v>1.88</v>
      </c>
    </row>
    <row r="16807">
      <c r="A16807" s="28" t="n">
        <v>43255</v>
      </c>
      <c r="B16807" t="n">
        <v>2.94</v>
      </c>
      <c r="C16807" t="n">
        <v>1.91</v>
      </c>
    </row>
    <row r="16808">
      <c r="A16808" s="28" t="n">
        <v>43256</v>
      </c>
      <c r="B16808" t="n">
        <v>2.92</v>
      </c>
      <c r="C16808" t="n">
        <v>1.91</v>
      </c>
    </row>
    <row r="16809">
      <c r="A16809" s="28" t="n">
        <v>43257</v>
      </c>
      <c r="B16809" t="n">
        <v>2.97</v>
      </c>
      <c r="C16809" t="n">
        <v>1.91</v>
      </c>
    </row>
    <row r="16810">
      <c r="A16810" s="28" t="n">
        <v>43258</v>
      </c>
      <c r="B16810" t="n">
        <v>2.93</v>
      </c>
      <c r="C16810" t="n">
        <v>1.9</v>
      </c>
    </row>
    <row r="16811">
      <c r="A16811" s="28" t="n">
        <v>43259</v>
      </c>
      <c r="B16811" t="n">
        <v>2.93</v>
      </c>
      <c r="C16811" t="n">
        <v>1.89</v>
      </c>
    </row>
    <row r="16812">
      <c r="A16812" s="28" t="n">
        <v>43262</v>
      </c>
      <c r="B16812" t="n">
        <v>2.96</v>
      </c>
      <c r="C16812" t="n">
        <v>1.91</v>
      </c>
    </row>
    <row r="16813">
      <c r="A16813" s="28" t="n">
        <v>43263</v>
      </c>
      <c r="B16813" t="n">
        <v>2.96</v>
      </c>
      <c r="C16813" t="n">
        <v>1.89</v>
      </c>
    </row>
    <row r="16814">
      <c r="A16814" s="28" t="n">
        <v>43264</v>
      </c>
      <c r="B16814" t="n">
        <v>2.98</v>
      </c>
      <c r="C16814" t="n">
        <v>1.9</v>
      </c>
    </row>
    <row r="16815">
      <c r="A16815" s="28" t="n">
        <v>43265</v>
      </c>
      <c r="B16815" t="n">
        <v>2.94</v>
      </c>
      <c r="C16815" t="n">
        <v>1.9</v>
      </c>
    </row>
    <row r="16816">
      <c r="A16816" s="28" t="n">
        <v>43266</v>
      </c>
      <c r="B16816" t="n">
        <v>2.93</v>
      </c>
      <c r="C16816" t="n">
        <v>1.9</v>
      </c>
    </row>
    <row r="16817">
      <c r="A16817" s="28" t="n">
        <v>43269</v>
      </c>
      <c r="B16817" t="n">
        <v>2.92</v>
      </c>
      <c r="C16817" t="n">
        <v>1.91</v>
      </c>
    </row>
    <row r="16818">
      <c r="A16818" s="28" t="n">
        <v>43270</v>
      </c>
      <c r="B16818" t="n">
        <v>2.89</v>
      </c>
      <c r="C16818" t="n">
        <v>1.91</v>
      </c>
    </row>
    <row r="16819">
      <c r="A16819" s="28" t="n">
        <v>43271</v>
      </c>
      <c r="B16819" t="n">
        <v>2.93</v>
      </c>
      <c r="C16819" t="n">
        <v>1.9</v>
      </c>
    </row>
    <row r="16820">
      <c r="A16820" s="28" t="n">
        <v>43272</v>
      </c>
      <c r="B16820" t="n">
        <v>2.9</v>
      </c>
      <c r="C16820" t="n">
        <v>1.9</v>
      </c>
    </row>
    <row r="16821">
      <c r="A16821" s="28" t="n">
        <v>43273</v>
      </c>
      <c r="B16821" t="n">
        <v>2.9</v>
      </c>
      <c r="C16821" t="n">
        <v>1.89</v>
      </c>
    </row>
    <row r="16822">
      <c r="A16822" s="28" t="n">
        <v>43276</v>
      </c>
      <c r="B16822" t="n">
        <v>2.87</v>
      </c>
      <c r="C16822" t="n">
        <v>1.9</v>
      </c>
    </row>
    <row r="16823">
      <c r="A16823" s="28" t="n">
        <v>43277</v>
      </c>
      <c r="B16823" t="n">
        <v>2.88</v>
      </c>
      <c r="C16823" t="n">
        <v>1.9</v>
      </c>
    </row>
    <row r="16824">
      <c r="A16824" s="28" t="n">
        <v>43278</v>
      </c>
      <c r="B16824" t="n">
        <v>2.83</v>
      </c>
      <c r="C16824" t="n">
        <v>1.89</v>
      </c>
    </row>
    <row r="16825">
      <c r="A16825" s="28" t="n">
        <v>43279</v>
      </c>
      <c r="B16825" t="n">
        <v>2.84</v>
      </c>
      <c r="C16825" t="n">
        <v>1.89</v>
      </c>
    </row>
    <row r="16826">
      <c r="A16826" s="28" t="n">
        <v>43280</v>
      </c>
      <c r="B16826" t="n">
        <v>2.85</v>
      </c>
      <c r="C16826" t="n">
        <v>1.89</v>
      </c>
    </row>
    <row r="16827">
      <c r="A16827" s="28" t="n">
        <v>43283</v>
      </c>
      <c r="B16827" t="n">
        <v>2.87</v>
      </c>
      <c r="C16827" t="n">
        <v>1.95</v>
      </c>
    </row>
    <row r="16828">
      <c r="A16828" s="28" t="n">
        <v>43284</v>
      </c>
      <c r="B16828" t="n">
        <v>2.83</v>
      </c>
      <c r="C16828" t="n">
        <v>1.94</v>
      </c>
    </row>
    <row r="16829">
      <c r="A16829" s="28" t="n">
        <v>43285</v>
      </c>
      <c r="B16829" t="n">
        <v>0</v>
      </c>
      <c r="C16829" t="n">
        <v>0</v>
      </c>
    </row>
    <row r="16830">
      <c r="A16830" s="28" t="n">
        <v>43286</v>
      </c>
      <c r="B16830" t="n">
        <v>2.84</v>
      </c>
      <c r="C16830" t="n">
        <v>1.92</v>
      </c>
    </row>
    <row r="16831">
      <c r="A16831" s="28" t="n">
        <v>43287</v>
      </c>
      <c r="B16831" t="n">
        <v>2.82</v>
      </c>
      <c r="C16831" t="n">
        <v>1.93</v>
      </c>
    </row>
    <row r="16832">
      <c r="A16832" s="28" t="n">
        <v>43290</v>
      </c>
      <c r="B16832" t="n">
        <v>2.86</v>
      </c>
      <c r="C16832" t="n">
        <v>1.95</v>
      </c>
    </row>
    <row r="16833">
      <c r="A16833" s="28" t="n">
        <v>43291</v>
      </c>
      <c r="B16833" t="n">
        <v>2.87</v>
      </c>
      <c r="C16833" t="n">
        <v>1.95</v>
      </c>
    </row>
    <row r="16834">
      <c r="A16834" s="28" t="n">
        <v>43292</v>
      </c>
      <c r="B16834" t="n">
        <v>2.85</v>
      </c>
      <c r="C16834" t="n">
        <v>1.93</v>
      </c>
    </row>
    <row r="16835">
      <c r="A16835" s="28" t="n">
        <v>43293</v>
      </c>
      <c r="B16835" t="n">
        <v>2.85</v>
      </c>
      <c r="C16835" t="n">
        <v>1.94</v>
      </c>
    </row>
    <row r="16836">
      <c r="A16836" s="28" t="n">
        <v>43294</v>
      </c>
      <c r="B16836" t="n">
        <v>2.83</v>
      </c>
      <c r="C16836" t="n">
        <v>1.94</v>
      </c>
    </row>
    <row r="16837">
      <c r="A16837" s="28" t="n">
        <v>43297</v>
      </c>
      <c r="B16837" t="n">
        <v>2.85</v>
      </c>
      <c r="C16837" t="n">
        <v>1.98</v>
      </c>
    </row>
    <row r="16838">
      <c r="A16838" s="28" t="n">
        <v>43298</v>
      </c>
      <c r="B16838" t="n">
        <v>2.86</v>
      </c>
      <c r="C16838" t="n">
        <v>1.98</v>
      </c>
    </row>
    <row r="16839">
      <c r="A16839" s="28" t="n">
        <v>43299</v>
      </c>
      <c r="B16839" t="n">
        <v>2.88</v>
      </c>
      <c r="C16839" t="n">
        <v>1.96</v>
      </c>
    </row>
    <row r="16840">
      <c r="A16840" s="28" t="n">
        <v>43300</v>
      </c>
      <c r="B16840" t="n">
        <v>2.84</v>
      </c>
      <c r="C16840" t="n">
        <v>1.96</v>
      </c>
    </row>
    <row r="16841">
      <c r="A16841" s="28" t="n">
        <v>43301</v>
      </c>
      <c r="B16841" t="n">
        <v>2.89</v>
      </c>
      <c r="C16841" t="n">
        <v>1.95</v>
      </c>
    </row>
    <row r="16842">
      <c r="A16842" s="28" t="n">
        <v>43304</v>
      </c>
      <c r="B16842" t="n">
        <v>2.96</v>
      </c>
      <c r="C16842" t="n">
        <v>1.96</v>
      </c>
    </row>
    <row r="16843">
      <c r="A16843" s="28" t="n">
        <v>43305</v>
      </c>
      <c r="B16843" t="n">
        <v>2.95</v>
      </c>
      <c r="C16843" t="n">
        <v>1.98</v>
      </c>
    </row>
    <row r="16844">
      <c r="A16844" s="28" t="n">
        <v>43306</v>
      </c>
      <c r="B16844" t="n">
        <v>2.94</v>
      </c>
      <c r="C16844" t="n">
        <v>1.97</v>
      </c>
    </row>
    <row r="16845">
      <c r="A16845" s="28" t="n">
        <v>43307</v>
      </c>
      <c r="B16845" t="n">
        <v>2.98</v>
      </c>
      <c r="C16845" t="n">
        <v>1.95</v>
      </c>
    </row>
    <row r="16846">
      <c r="A16846" s="28" t="n">
        <v>43308</v>
      </c>
      <c r="B16846" t="n">
        <v>2.96</v>
      </c>
      <c r="C16846" t="n">
        <v>1.96</v>
      </c>
    </row>
    <row r="16847">
      <c r="A16847" s="28" t="n">
        <v>43311</v>
      </c>
      <c r="B16847" t="n">
        <v>2.98</v>
      </c>
      <c r="C16847" t="n">
        <v>2.01</v>
      </c>
    </row>
    <row r="16848">
      <c r="A16848" s="28" t="n">
        <v>43312</v>
      </c>
      <c r="B16848" t="n">
        <v>2.96</v>
      </c>
      <c r="C16848" t="n">
        <v>1.99</v>
      </c>
    </row>
    <row r="16849">
      <c r="A16849" s="28" t="n">
        <v>43313</v>
      </c>
      <c r="B16849" t="n">
        <v>3</v>
      </c>
      <c r="C16849" t="n">
        <v>1.99</v>
      </c>
    </row>
    <row r="16850">
      <c r="A16850" s="28" t="n">
        <v>43314</v>
      </c>
      <c r="B16850" t="n">
        <v>2.98</v>
      </c>
      <c r="C16850" t="n">
        <v>1.98</v>
      </c>
    </row>
    <row r="16851">
      <c r="A16851" s="28" t="n">
        <v>43315</v>
      </c>
      <c r="B16851" t="n">
        <v>2.95</v>
      </c>
      <c r="C16851" t="n">
        <v>1.97</v>
      </c>
    </row>
    <row r="16852">
      <c r="A16852" s="28" t="n">
        <v>43318</v>
      </c>
      <c r="B16852" t="n">
        <v>2.94</v>
      </c>
      <c r="C16852" t="n">
        <v>2.02</v>
      </c>
    </row>
    <row r="16853">
      <c r="A16853" s="28" t="n">
        <v>43319</v>
      </c>
      <c r="B16853" t="n">
        <v>2.98</v>
      </c>
      <c r="C16853" t="n">
        <v>2.02</v>
      </c>
    </row>
    <row r="16854">
      <c r="A16854" s="28" t="n">
        <v>43320</v>
      </c>
      <c r="B16854" t="n">
        <v>2.96</v>
      </c>
      <c r="C16854" t="n">
        <v>2.02</v>
      </c>
    </row>
    <row r="16855">
      <c r="A16855" s="28" t="n">
        <v>43321</v>
      </c>
      <c r="B16855" t="n">
        <v>2.93</v>
      </c>
      <c r="C16855" t="n">
        <v>2.02</v>
      </c>
    </row>
    <row r="16856">
      <c r="A16856" s="28" t="n">
        <v>43322</v>
      </c>
      <c r="B16856" t="n">
        <v>2.87</v>
      </c>
      <c r="C16856" t="n">
        <v>2.01</v>
      </c>
    </row>
    <row r="16857">
      <c r="A16857" s="28" t="n">
        <v>43325</v>
      </c>
      <c r="B16857" t="n">
        <v>2.88</v>
      </c>
      <c r="C16857" t="n">
        <v>2.03</v>
      </c>
    </row>
    <row r="16858">
      <c r="A16858" s="28" t="n">
        <v>43326</v>
      </c>
      <c r="B16858" t="n">
        <v>2.89</v>
      </c>
      <c r="C16858" t="n">
        <v>2.04</v>
      </c>
    </row>
    <row r="16859">
      <c r="A16859" s="28" t="n">
        <v>43327</v>
      </c>
      <c r="B16859" t="n">
        <v>2.86</v>
      </c>
      <c r="C16859" t="n">
        <v>2.03</v>
      </c>
    </row>
    <row r="16860">
      <c r="A16860" s="28" t="n">
        <v>43328</v>
      </c>
      <c r="B16860" t="n">
        <v>2.87</v>
      </c>
      <c r="C16860" t="n">
        <v>2.03</v>
      </c>
    </row>
    <row r="16861">
      <c r="A16861" s="28" t="n">
        <v>43329</v>
      </c>
      <c r="B16861" t="n">
        <v>2.87</v>
      </c>
      <c r="C16861" t="n">
        <v>2.01</v>
      </c>
    </row>
    <row r="16862">
      <c r="A16862" s="28" t="n">
        <v>43332</v>
      </c>
      <c r="B16862" t="n">
        <v>2.82</v>
      </c>
      <c r="C16862" t="n">
        <v>2.03</v>
      </c>
    </row>
    <row r="16863">
      <c r="A16863" s="28" t="n">
        <v>43333</v>
      </c>
      <c r="B16863" t="n">
        <v>2.85</v>
      </c>
      <c r="C16863" t="n">
        <v>2.04</v>
      </c>
    </row>
    <row r="16864">
      <c r="A16864" s="28" t="n">
        <v>43334</v>
      </c>
      <c r="B16864" t="n">
        <v>2.82</v>
      </c>
      <c r="C16864" t="n">
        <v>2.05</v>
      </c>
    </row>
    <row r="16865">
      <c r="A16865" s="28" t="n">
        <v>43335</v>
      </c>
      <c r="B16865" t="n">
        <v>2.82</v>
      </c>
      <c r="C16865" t="n">
        <v>2.04</v>
      </c>
    </row>
    <row r="16866">
      <c r="A16866" s="28" t="n">
        <v>43336</v>
      </c>
      <c r="B16866" t="n">
        <v>2.82</v>
      </c>
      <c r="C16866" t="n">
        <v>2.05</v>
      </c>
    </row>
    <row r="16867">
      <c r="A16867" s="28" t="n">
        <v>43339</v>
      </c>
      <c r="B16867" t="n">
        <v>2.85</v>
      </c>
      <c r="C16867" t="n">
        <v>2.08</v>
      </c>
    </row>
    <row r="16868">
      <c r="A16868" s="28" t="n">
        <v>43340</v>
      </c>
      <c r="B16868" t="n">
        <v>2.88</v>
      </c>
      <c r="C16868" t="n">
        <v>2.09</v>
      </c>
    </row>
    <row r="16869">
      <c r="A16869" s="28" t="n">
        <v>43341</v>
      </c>
      <c r="B16869" t="n">
        <v>2.89</v>
      </c>
      <c r="C16869" t="n">
        <v>2.09</v>
      </c>
    </row>
    <row r="16870">
      <c r="A16870" s="28" t="n">
        <v>43342</v>
      </c>
      <c r="B16870" t="n">
        <v>2.86</v>
      </c>
      <c r="C16870" t="n">
        <v>2.07</v>
      </c>
    </row>
    <row r="16871">
      <c r="A16871" s="28" t="n">
        <v>43343</v>
      </c>
      <c r="B16871" t="n">
        <v>2.86</v>
      </c>
      <c r="C16871" t="n">
        <v>2.07</v>
      </c>
    </row>
    <row r="16872">
      <c r="A16872" s="28" t="n">
        <v>43346</v>
      </c>
      <c r="B16872" t="n">
        <v>0</v>
      </c>
      <c r="C16872" t="n">
        <v>0</v>
      </c>
    </row>
    <row r="16873">
      <c r="A16873" s="28" t="n">
        <v>43347</v>
      </c>
      <c r="B16873" t="n">
        <v>2.9</v>
      </c>
      <c r="C16873" t="n">
        <v>2.09</v>
      </c>
    </row>
    <row r="16874">
      <c r="A16874" s="28" t="n">
        <v>43348</v>
      </c>
      <c r="B16874" t="n">
        <v>2.9</v>
      </c>
      <c r="C16874" t="n">
        <v>2.1</v>
      </c>
    </row>
    <row r="16875">
      <c r="A16875" s="28" t="n">
        <v>43349</v>
      </c>
      <c r="B16875" t="n">
        <v>2.88</v>
      </c>
      <c r="C16875" t="n">
        <v>2.09</v>
      </c>
    </row>
    <row r="16876">
      <c r="A16876" s="28" t="n">
        <v>43350</v>
      </c>
      <c r="B16876" t="n">
        <v>2.94</v>
      </c>
      <c r="C16876" t="n">
        <v>2.1</v>
      </c>
    </row>
    <row r="16877">
      <c r="A16877" s="28" t="n">
        <v>43353</v>
      </c>
      <c r="B16877" t="n">
        <v>2.94</v>
      </c>
      <c r="C16877" t="n">
        <v>2.11</v>
      </c>
    </row>
    <row r="16878">
      <c r="A16878" s="28" t="n">
        <v>43354</v>
      </c>
      <c r="B16878" t="n">
        <v>2.98</v>
      </c>
      <c r="C16878" t="n">
        <v>2.11</v>
      </c>
    </row>
    <row r="16879">
      <c r="A16879" s="28" t="n">
        <v>43355</v>
      </c>
      <c r="B16879" t="n">
        <v>2.97</v>
      </c>
      <c r="C16879" t="n">
        <v>2.12</v>
      </c>
    </row>
    <row r="16880">
      <c r="A16880" s="28" t="n">
        <v>43356</v>
      </c>
      <c r="B16880" t="n">
        <v>2.97</v>
      </c>
      <c r="C16880" t="n">
        <v>2.11</v>
      </c>
    </row>
    <row r="16881">
      <c r="A16881" s="28" t="n">
        <v>43357</v>
      </c>
      <c r="B16881" t="n">
        <v>2.99</v>
      </c>
      <c r="C16881" t="n">
        <v>2.12</v>
      </c>
    </row>
    <row r="16882">
      <c r="A16882" s="28" t="n">
        <v>43360</v>
      </c>
      <c r="B16882" t="n">
        <v>2.99</v>
      </c>
      <c r="C16882" t="n">
        <v>2.13</v>
      </c>
    </row>
    <row r="16883">
      <c r="A16883" s="28" t="n">
        <v>43361</v>
      </c>
      <c r="B16883" t="n">
        <v>3.05</v>
      </c>
      <c r="C16883" t="n">
        <v>2.13</v>
      </c>
    </row>
    <row r="16884">
      <c r="A16884" s="28" t="n">
        <v>43362</v>
      </c>
      <c r="B16884" t="n">
        <v>3.08</v>
      </c>
      <c r="C16884" t="n">
        <v>2.12</v>
      </c>
    </row>
    <row r="16885">
      <c r="A16885" s="28" t="n">
        <v>43363</v>
      </c>
      <c r="B16885" t="n">
        <v>3.07</v>
      </c>
      <c r="C16885" t="n">
        <v>2.13</v>
      </c>
    </row>
    <row r="16886">
      <c r="A16886" s="28" t="n">
        <v>43364</v>
      </c>
      <c r="B16886" t="n">
        <v>3.07</v>
      </c>
      <c r="C16886" t="n">
        <v>2.14</v>
      </c>
    </row>
    <row r="16887">
      <c r="A16887" s="28" t="n">
        <v>43367</v>
      </c>
      <c r="B16887" t="n">
        <v>3.08</v>
      </c>
      <c r="C16887" t="n">
        <v>2.18</v>
      </c>
    </row>
    <row r="16888">
      <c r="A16888" s="28" t="n">
        <v>43368</v>
      </c>
      <c r="B16888" t="n">
        <v>3.1</v>
      </c>
      <c r="C16888" t="n">
        <v>2.17</v>
      </c>
    </row>
    <row r="16889">
      <c r="A16889" s="28" t="n">
        <v>43369</v>
      </c>
      <c r="B16889" t="n">
        <v>3.06</v>
      </c>
      <c r="C16889" t="n">
        <v>2.16</v>
      </c>
    </row>
    <row r="16890">
      <c r="A16890" s="28" t="n">
        <v>43370</v>
      </c>
      <c r="B16890" t="n">
        <v>3.06</v>
      </c>
      <c r="C16890" t="n">
        <v>2.14</v>
      </c>
    </row>
    <row r="16891">
      <c r="A16891" s="28" t="n">
        <v>43371</v>
      </c>
      <c r="B16891" t="n">
        <v>3.05</v>
      </c>
      <c r="C16891" t="n">
        <v>2.15</v>
      </c>
    </row>
    <row r="16892">
      <c r="A16892" s="28" t="n">
        <v>43374</v>
      </c>
      <c r="B16892" t="n">
        <v>3.09</v>
      </c>
      <c r="C16892" t="n">
        <v>2.19</v>
      </c>
    </row>
    <row r="16893">
      <c r="A16893" s="28" t="n">
        <v>43375</v>
      </c>
      <c r="B16893" t="n">
        <v>3.05</v>
      </c>
      <c r="C16893" t="n">
        <v>2.19</v>
      </c>
    </row>
    <row r="16894">
      <c r="A16894" s="28" t="n">
        <v>43376</v>
      </c>
      <c r="B16894" t="n">
        <v>3.15</v>
      </c>
      <c r="C16894" t="n">
        <v>2.19</v>
      </c>
    </row>
    <row r="16895">
      <c r="A16895" s="28" t="n">
        <v>43377</v>
      </c>
      <c r="B16895" t="n">
        <v>3.19</v>
      </c>
      <c r="C16895" t="n">
        <v>2.18</v>
      </c>
    </row>
    <row r="16896">
      <c r="A16896" s="28" t="n">
        <v>43378</v>
      </c>
      <c r="B16896" t="n">
        <v>3.23</v>
      </c>
      <c r="C16896" t="n">
        <v>2.18</v>
      </c>
    </row>
    <row r="16897">
      <c r="A16897" s="28" t="n">
        <v>43381</v>
      </c>
      <c r="B16897" t="n">
        <v>0</v>
      </c>
      <c r="C16897" t="n">
        <v>0</v>
      </c>
    </row>
    <row r="16898">
      <c r="A16898" s="28" t="n">
        <v>43382</v>
      </c>
      <c r="B16898" t="n">
        <v>3.21</v>
      </c>
      <c r="C16898" t="n">
        <v>2.21</v>
      </c>
    </row>
    <row r="16899">
      <c r="A16899" s="28" t="n">
        <v>43383</v>
      </c>
      <c r="B16899" t="n">
        <v>3.22</v>
      </c>
      <c r="C16899" t="n">
        <v>2.23</v>
      </c>
    </row>
    <row r="16900">
      <c r="A16900" s="28" t="n">
        <v>43384</v>
      </c>
      <c r="B16900" t="n">
        <v>3.14</v>
      </c>
      <c r="C16900" t="n">
        <v>2.22</v>
      </c>
    </row>
    <row r="16901">
      <c r="A16901" s="28" t="n">
        <v>43385</v>
      </c>
      <c r="B16901" t="n">
        <v>3.15</v>
      </c>
      <c r="C16901" t="n">
        <v>2.23</v>
      </c>
    </row>
    <row r="16902">
      <c r="A16902" s="28" t="n">
        <v>43388</v>
      </c>
      <c r="B16902" t="n">
        <v>3.16</v>
      </c>
      <c r="C16902" t="n">
        <v>2.27</v>
      </c>
    </row>
    <row r="16903">
      <c r="A16903" s="28" t="n">
        <v>43389</v>
      </c>
      <c r="B16903" t="n">
        <v>3.16</v>
      </c>
      <c r="C16903" t="n">
        <v>2.26</v>
      </c>
    </row>
    <row r="16904">
      <c r="A16904" s="28" t="n">
        <v>43390</v>
      </c>
      <c r="B16904" t="n">
        <v>3.19</v>
      </c>
      <c r="C16904" t="n">
        <v>2.27</v>
      </c>
    </row>
    <row r="16905">
      <c r="A16905" s="28" t="n">
        <v>43391</v>
      </c>
      <c r="B16905" t="n">
        <v>3.17</v>
      </c>
      <c r="C16905" t="n">
        <v>2.27</v>
      </c>
    </row>
    <row r="16906">
      <c r="A16906" s="28" t="n">
        <v>43392</v>
      </c>
      <c r="B16906" t="n">
        <v>3.2</v>
      </c>
      <c r="C16906" t="n">
        <v>2.26</v>
      </c>
    </row>
    <row r="16907">
      <c r="A16907" s="28" t="n">
        <v>43395</v>
      </c>
      <c r="B16907" t="n">
        <v>3.2</v>
      </c>
      <c r="C16907" t="n">
        <v>2.3</v>
      </c>
    </row>
    <row r="16908">
      <c r="A16908" s="28" t="n">
        <v>43396</v>
      </c>
      <c r="B16908" t="n">
        <v>3.17</v>
      </c>
      <c r="C16908" t="n">
        <v>2.29</v>
      </c>
    </row>
    <row r="16909">
      <c r="A16909" s="28" t="n">
        <v>43397</v>
      </c>
      <c r="B16909" t="n">
        <v>3.1</v>
      </c>
      <c r="C16909" t="n">
        <v>2.29</v>
      </c>
    </row>
    <row r="16910">
      <c r="A16910" s="28" t="n">
        <v>43398</v>
      </c>
      <c r="B16910" t="n">
        <v>3.14</v>
      </c>
      <c r="C16910" t="n">
        <v>2.29</v>
      </c>
    </row>
    <row r="16911">
      <c r="A16911" s="28" t="n">
        <v>43399</v>
      </c>
      <c r="B16911" t="n">
        <v>3.08</v>
      </c>
      <c r="C16911" t="n">
        <v>2.28</v>
      </c>
    </row>
    <row r="16912">
      <c r="A16912" s="28" t="n">
        <v>43402</v>
      </c>
      <c r="B16912" t="n">
        <v>3.08</v>
      </c>
      <c r="C16912" t="n">
        <v>2.3</v>
      </c>
    </row>
    <row r="16913">
      <c r="A16913" s="28" t="n">
        <v>43403</v>
      </c>
      <c r="B16913" t="n">
        <v>3.12</v>
      </c>
      <c r="C16913" t="n">
        <v>2.29</v>
      </c>
    </row>
    <row r="16914">
      <c r="A16914" s="28" t="n">
        <v>43404</v>
      </c>
      <c r="B16914" t="n">
        <v>3.15</v>
      </c>
      <c r="C16914" t="n">
        <v>2.29</v>
      </c>
    </row>
    <row r="16915">
      <c r="A16915" s="28" t="n">
        <v>43405</v>
      </c>
      <c r="B16915" t="n">
        <v>3.14</v>
      </c>
      <c r="C16915" t="n">
        <v>2.27</v>
      </c>
    </row>
    <row r="16916">
      <c r="A16916" s="28" t="n">
        <v>43406</v>
      </c>
      <c r="B16916" t="n">
        <v>3.22</v>
      </c>
      <c r="C16916" t="n">
        <v>2.28</v>
      </c>
    </row>
    <row r="16917">
      <c r="A16917" s="28" t="n">
        <v>43409</v>
      </c>
      <c r="B16917" t="n">
        <v>3.2</v>
      </c>
      <c r="C16917" t="n">
        <v>2.32</v>
      </c>
    </row>
    <row r="16918">
      <c r="A16918" s="28" t="n">
        <v>43410</v>
      </c>
      <c r="B16918" t="n">
        <v>3.22</v>
      </c>
      <c r="C16918" t="n">
        <v>2.31</v>
      </c>
    </row>
    <row r="16919">
      <c r="A16919" s="28" t="n">
        <v>43411</v>
      </c>
      <c r="B16919" t="n">
        <v>3.22</v>
      </c>
      <c r="C16919" t="n">
        <v>2.32</v>
      </c>
    </row>
    <row r="16920">
      <c r="A16920" s="28" t="n">
        <v>43412</v>
      </c>
      <c r="B16920" t="n">
        <v>3.24</v>
      </c>
      <c r="C16920" t="n">
        <v>2.3</v>
      </c>
    </row>
    <row r="16921">
      <c r="A16921" s="28" t="n">
        <v>43413</v>
      </c>
      <c r="B16921" t="n">
        <v>3.19</v>
      </c>
      <c r="C16921" t="n">
        <v>2.31</v>
      </c>
    </row>
    <row r="16922">
      <c r="A16922" s="28" t="n">
        <v>43416</v>
      </c>
      <c r="B16922" t="n">
        <v>0</v>
      </c>
      <c r="C16922" t="n">
        <v>0</v>
      </c>
    </row>
    <row r="16923">
      <c r="A16923" s="28" t="n">
        <v>43417</v>
      </c>
      <c r="B16923" t="n">
        <v>3.14</v>
      </c>
      <c r="C16923" t="n">
        <v>2.34</v>
      </c>
    </row>
    <row r="16924">
      <c r="A16924" s="28" t="n">
        <v>43418</v>
      </c>
      <c r="B16924" t="n">
        <v>3.12</v>
      </c>
      <c r="C16924" t="n">
        <v>2.33</v>
      </c>
    </row>
    <row r="16925">
      <c r="A16925" s="28" t="n">
        <v>43419</v>
      </c>
      <c r="B16925" t="n">
        <v>3.11</v>
      </c>
      <c r="C16925" t="n">
        <v>2.32</v>
      </c>
    </row>
    <row r="16926">
      <c r="A16926" s="28" t="n">
        <v>43420</v>
      </c>
      <c r="B16926" t="n">
        <v>3.08</v>
      </c>
      <c r="C16926" t="n">
        <v>2.31</v>
      </c>
    </row>
    <row r="16927">
      <c r="A16927" s="28" t="n">
        <v>43423</v>
      </c>
      <c r="B16927" t="n">
        <v>3.06</v>
      </c>
      <c r="C16927" t="n">
        <v>2.34</v>
      </c>
    </row>
    <row r="16928">
      <c r="A16928" s="28" t="n">
        <v>43424</v>
      </c>
      <c r="B16928" t="n">
        <v>3.06</v>
      </c>
      <c r="C16928" t="n">
        <v>2.34</v>
      </c>
    </row>
    <row r="16929">
      <c r="A16929" s="28" t="n">
        <v>43425</v>
      </c>
      <c r="B16929" t="n">
        <v>3.06</v>
      </c>
      <c r="C16929" t="n">
        <v>2.36</v>
      </c>
    </row>
    <row r="16930">
      <c r="A16930" s="28" t="n">
        <v>43426</v>
      </c>
      <c r="B16930" t="n">
        <v>0</v>
      </c>
      <c r="C16930" t="n">
        <v>0</v>
      </c>
    </row>
    <row r="16931">
      <c r="A16931" s="28" t="n">
        <v>43427</v>
      </c>
      <c r="B16931" t="n">
        <v>3.05</v>
      </c>
      <c r="C16931" t="n">
        <v>2.36</v>
      </c>
    </row>
    <row r="16932">
      <c r="A16932" s="28" t="n">
        <v>43430</v>
      </c>
      <c r="B16932" t="n">
        <v>3.07</v>
      </c>
      <c r="C16932" t="n">
        <v>2.37</v>
      </c>
    </row>
    <row r="16933">
      <c r="A16933" s="28" t="n">
        <v>43431</v>
      </c>
      <c r="B16933" t="n">
        <v>3.06</v>
      </c>
      <c r="C16933" t="n">
        <v>2.36</v>
      </c>
    </row>
    <row r="16934">
      <c r="A16934" s="28" t="n">
        <v>43432</v>
      </c>
      <c r="B16934" t="n">
        <v>3.06</v>
      </c>
      <c r="C16934" t="n">
        <v>2.35</v>
      </c>
    </row>
    <row r="16935">
      <c r="A16935" s="28" t="n">
        <v>43433</v>
      </c>
      <c r="B16935" t="n">
        <v>3.03</v>
      </c>
      <c r="C16935" t="n">
        <v>2.32</v>
      </c>
    </row>
    <row r="16936">
      <c r="A16936" s="28" t="n">
        <v>43434</v>
      </c>
      <c r="B16936" t="n">
        <v>3.01</v>
      </c>
      <c r="C16936" t="n">
        <v>2.32</v>
      </c>
    </row>
    <row r="16937">
      <c r="A16937" s="28" t="n">
        <v>43437</v>
      </c>
      <c r="B16937" t="n">
        <v>2.98</v>
      </c>
      <c r="C16937" t="n">
        <v>2.34</v>
      </c>
    </row>
    <row r="16938">
      <c r="A16938" s="28" t="n">
        <v>43438</v>
      </c>
      <c r="B16938" t="n">
        <v>2.91</v>
      </c>
      <c r="C16938" t="n">
        <v>2.38</v>
      </c>
    </row>
    <row r="16939">
      <c r="A16939" s="28" t="n">
        <v>43439</v>
      </c>
      <c r="B16939" t="n">
        <v>0</v>
      </c>
      <c r="C16939" t="n">
        <v>0</v>
      </c>
    </row>
    <row r="16940">
      <c r="A16940" s="28" t="n">
        <v>43440</v>
      </c>
      <c r="B16940" t="n">
        <v>2.87</v>
      </c>
      <c r="C16940" t="n">
        <v>2.36</v>
      </c>
    </row>
    <row r="16941">
      <c r="A16941" s="28" t="n">
        <v>43441</v>
      </c>
      <c r="B16941" t="n">
        <v>2.85</v>
      </c>
      <c r="C16941" t="n">
        <v>2.35</v>
      </c>
    </row>
    <row r="16942">
      <c r="A16942" s="28" t="n">
        <v>43444</v>
      </c>
      <c r="B16942" t="n">
        <v>2.85</v>
      </c>
      <c r="C16942" t="n">
        <v>2.37</v>
      </c>
    </row>
    <row r="16943">
      <c r="A16943" s="28" t="n">
        <v>43445</v>
      </c>
      <c r="B16943" t="n">
        <v>2.89</v>
      </c>
      <c r="C16943" t="n">
        <v>2.37</v>
      </c>
    </row>
    <row r="16944">
      <c r="A16944" s="28" t="n">
        <v>43446</v>
      </c>
      <c r="B16944" t="n">
        <v>2.91</v>
      </c>
      <c r="C16944" t="n">
        <v>2.39</v>
      </c>
    </row>
    <row r="16945">
      <c r="A16945" s="28" t="n">
        <v>43447</v>
      </c>
      <c r="B16945" t="n">
        <v>2.91</v>
      </c>
      <c r="C16945" t="n">
        <v>2.38</v>
      </c>
    </row>
    <row r="16946">
      <c r="A16946" s="28" t="n">
        <v>43448</v>
      </c>
      <c r="B16946" t="n">
        <v>2.89</v>
      </c>
      <c r="C16946" t="n">
        <v>2.37</v>
      </c>
    </row>
    <row r="16947">
      <c r="A16947" s="28" t="n">
        <v>43451</v>
      </c>
      <c r="B16947" t="n">
        <v>2.86</v>
      </c>
      <c r="C16947" t="n">
        <v>2.36</v>
      </c>
    </row>
    <row r="16948">
      <c r="A16948" s="28" t="n">
        <v>43452</v>
      </c>
      <c r="B16948" t="n">
        <v>2.82</v>
      </c>
      <c r="C16948" t="n">
        <v>2.34</v>
      </c>
    </row>
    <row r="16949">
      <c r="A16949" s="28" t="n">
        <v>43453</v>
      </c>
      <c r="B16949" t="n">
        <v>2.77</v>
      </c>
      <c r="C16949" t="n">
        <v>2.35</v>
      </c>
    </row>
    <row r="16950">
      <c r="A16950" s="28" t="n">
        <v>43454</v>
      </c>
      <c r="B16950" t="n">
        <v>2.79</v>
      </c>
      <c r="C16950" t="n">
        <v>2.34</v>
      </c>
    </row>
    <row r="16951">
      <c r="A16951" s="28" t="n">
        <v>43455</v>
      </c>
      <c r="B16951" t="n">
        <v>2.79</v>
      </c>
      <c r="C16951" t="n">
        <v>2.34</v>
      </c>
    </row>
    <row r="16952">
      <c r="A16952" s="28" t="n">
        <v>43458</v>
      </c>
      <c r="B16952" t="n">
        <v>2.74</v>
      </c>
      <c r="C16952" t="n">
        <v>2.41</v>
      </c>
    </row>
    <row r="16953">
      <c r="A16953" s="28" t="n">
        <v>43459</v>
      </c>
      <c r="B16953" t="n">
        <v>0</v>
      </c>
      <c r="C16953" t="n">
        <v>0</v>
      </c>
    </row>
    <row r="16954">
      <c r="A16954" s="28" t="n">
        <v>43460</v>
      </c>
      <c r="B16954" t="n">
        <v>2.81</v>
      </c>
      <c r="C16954" t="n">
        <v>2.39</v>
      </c>
    </row>
    <row r="16955">
      <c r="A16955" s="28" t="n">
        <v>43461</v>
      </c>
      <c r="B16955" t="n">
        <v>2.77</v>
      </c>
      <c r="C16955" t="n">
        <v>2.36</v>
      </c>
    </row>
    <row r="16956">
      <c r="A16956" s="28" t="n">
        <v>43462</v>
      </c>
      <c r="B16956" t="n">
        <v>2.72</v>
      </c>
      <c r="C16956" t="n">
        <v>2.35</v>
      </c>
    </row>
    <row r="16957">
      <c r="A16957" s="28" t="n">
        <v>43465</v>
      </c>
      <c r="B16957" t="n">
        <v>2.69</v>
      </c>
      <c r="C16957" t="n">
        <v>2.4</v>
      </c>
    </row>
    <row r="16958">
      <c r="A16958" s="28" t="n">
        <v>43466</v>
      </c>
      <c r="B16958" t="n">
        <v>0</v>
      </c>
      <c r="C16958" t="n">
        <v>0</v>
      </c>
    </row>
    <row r="16959">
      <c r="A16959" s="28" t="n">
        <v>43467</v>
      </c>
      <c r="B16959" t="n">
        <v>2.66</v>
      </c>
      <c r="C16959" t="n">
        <v>2.37</v>
      </c>
    </row>
    <row r="16960">
      <c r="A16960" s="28" t="n">
        <v>43468</v>
      </c>
      <c r="B16960" t="n">
        <v>2.56</v>
      </c>
      <c r="C16960" t="n">
        <v>2.36</v>
      </c>
    </row>
    <row r="16961">
      <c r="A16961" s="28" t="n">
        <v>43469</v>
      </c>
      <c r="B16961" t="n">
        <v>2.67</v>
      </c>
      <c r="C16961" t="n">
        <v>2.37</v>
      </c>
    </row>
    <row r="16962">
      <c r="A16962" s="28" t="n">
        <v>43472</v>
      </c>
      <c r="B16962" t="n">
        <v>2.7</v>
      </c>
      <c r="C16962" t="n">
        <v>2.41</v>
      </c>
    </row>
    <row r="16963">
      <c r="A16963" s="28" t="n">
        <v>43473</v>
      </c>
      <c r="B16963" t="n">
        <v>2.73</v>
      </c>
      <c r="C16963" t="n">
        <v>2.41</v>
      </c>
    </row>
    <row r="16964">
      <c r="A16964" s="28" t="n">
        <v>43474</v>
      </c>
      <c r="B16964" t="n">
        <v>2.74</v>
      </c>
      <c r="C16964" t="n">
        <v>2.4</v>
      </c>
    </row>
    <row r="16965">
      <c r="A16965" s="28" t="n">
        <v>43475</v>
      </c>
      <c r="B16965" t="n">
        <v>2.74</v>
      </c>
      <c r="C16965" t="n">
        <v>2.38</v>
      </c>
    </row>
    <row r="16966">
      <c r="A16966" s="28" t="n">
        <v>43476</v>
      </c>
      <c r="B16966" t="n">
        <v>2.71</v>
      </c>
      <c r="C16966" t="n">
        <v>2.38</v>
      </c>
    </row>
    <row r="16967">
      <c r="A16967" s="28" t="n">
        <v>43479</v>
      </c>
      <c r="B16967" t="n">
        <v>2.71</v>
      </c>
      <c r="C16967" t="n">
        <v>2.4</v>
      </c>
    </row>
    <row r="16968">
      <c r="A16968" s="28" t="n">
        <v>43480</v>
      </c>
      <c r="B16968" t="n">
        <v>2.72</v>
      </c>
      <c r="C16968" t="n">
        <v>2.4</v>
      </c>
    </row>
    <row r="16969">
      <c r="A16969" s="28" t="n">
        <v>43481</v>
      </c>
      <c r="B16969" t="n">
        <v>2.73</v>
      </c>
      <c r="C16969" t="n">
        <v>2.38</v>
      </c>
    </row>
    <row r="16970">
      <c r="A16970" s="28" t="n">
        <v>43482</v>
      </c>
      <c r="B16970" t="n">
        <v>2.75</v>
      </c>
      <c r="C16970" t="n">
        <v>2.37</v>
      </c>
    </row>
    <row r="16971">
      <c r="A16971" s="28" t="n">
        <v>43483</v>
      </c>
      <c r="B16971" t="n">
        <v>2.79</v>
      </c>
      <c r="C16971" t="n">
        <v>2.36</v>
      </c>
    </row>
    <row r="16972">
      <c r="A16972" s="28" t="n">
        <v>43486</v>
      </c>
      <c r="B16972" t="n">
        <v>0</v>
      </c>
      <c r="C16972" t="n">
        <v>0</v>
      </c>
    </row>
    <row r="16973">
      <c r="A16973" s="28" t="n">
        <v>43487</v>
      </c>
      <c r="B16973" t="n">
        <v>2.74</v>
      </c>
      <c r="C16973" t="n">
        <v>2.38</v>
      </c>
    </row>
    <row r="16974">
      <c r="A16974" s="28" t="n">
        <v>43488</v>
      </c>
      <c r="B16974" t="n">
        <v>2.76</v>
      </c>
      <c r="C16974" t="n">
        <v>2.36</v>
      </c>
    </row>
    <row r="16975">
      <c r="A16975" s="28" t="n">
        <v>43489</v>
      </c>
      <c r="B16975" t="n">
        <v>2.72</v>
      </c>
      <c r="C16975" t="n">
        <v>2.32</v>
      </c>
    </row>
    <row r="16976">
      <c r="A16976" s="28" t="n">
        <v>43490</v>
      </c>
      <c r="B16976" t="n">
        <v>2.76</v>
      </c>
      <c r="C16976" t="n">
        <v>2.34</v>
      </c>
    </row>
    <row r="16977">
      <c r="A16977" s="28" t="n">
        <v>43493</v>
      </c>
      <c r="B16977" t="n">
        <v>2.75</v>
      </c>
      <c r="C16977" t="n">
        <v>2.37</v>
      </c>
    </row>
    <row r="16978">
      <c r="A16978" s="28" t="n">
        <v>43494</v>
      </c>
      <c r="B16978" t="n">
        <v>2.72</v>
      </c>
      <c r="C16978" t="n">
        <v>2.37</v>
      </c>
    </row>
    <row r="16979">
      <c r="A16979" s="28" t="n">
        <v>43495</v>
      </c>
      <c r="B16979" t="n">
        <v>2.7</v>
      </c>
      <c r="C16979" t="n">
        <v>2.37</v>
      </c>
    </row>
    <row r="16980">
      <c r="A16980" s="28" t="n">
        <v>43496</v>
      </c>
      <c r="B16980" t="n">
        <v>2.63</v>
      </c>
      <c r="C16980" t="n">
        <v>2.36</v>
      </c>
    </row>
    <row r="16981">
      <c r="A16981" s="28" t="n">
        <v>43497</v>
      </c>
      <c r="B16981" t="n">
        <v>2.7</v>
      </c>
      <c r="C16981" t="n">
        <v>2.35</v>
      </c>
    </row>
    <row r="16982">
      <c r="A16982" s="28" t="n">
        <v>43500</v>
      </c>
      <c r="B16982" t="n">
        <v>2.73</v>
      </c>
      <c r="C16982" t="n">
        <v>2.37</v>
      </c>
    </row>
    <row r="16983">
      <c r="A16983" s="28" t="n">
        <v>43501</v>
      </c>
      <c r="B16983" t="n">
        <v>2.71</v>
      </c>
      <c r="C16983" t="n">
        <v>2.37</v>
      </c>
    </row>
    <row r="16984">
      <c r="A16984" s="28" t="n">
        <v>43502</v>
      </c>
      <c r="B16984" t="n">
        <v>2.7</v>
      </c>
      <c r="C16984" t="n">
        <v>2.37</v>
      </c>
    </row>
    <row r="16985">
      <c r="A16985" s="28" t="n">
        <v>43503</v>
      </c>
      <c r="B16985" t="n">
        <v>2.65</v>
      </c>
      <c r="C16985" t="n">
        <v>2.37</v>
      </c>
    </row>
    <row r="16986">
      <c r="A16986" s="28" t="n">
        <v>43504</v>
      </c>
      <c r="B16986" t="n">
        <v>2.63</v>
      </c>
      <c r="C16986" t="n">
        <v>2.38</v>
      </c>
    </row>
    <row r="16987">
      <c r="A16987" s="28" t="n">
        <v>43507</v>
      </c>
      <c r="B16987" t="n">
        <v>2.65</v>
      </c>
      <c r="C16987" t="n">
        <v>2.4</v>
      </c>
    </row>
    <row r="16988">
      <c r="A16988" s="28" t="n">
        <v>43508</v>
      </c>
      <c r="B16988" t="n">
        <v>2.68</v>
      </c>
      <c r="C16988" t="n">
        <v>2.38</v>
      </c>
    </row>
    <row r="16989">
      <c r="A16989" s="28" t="n">
        <v>43509</v>
      </c>
      <c r="B16989" t="n">
        <v>2.71</v>
      </c>
      <c r="C16989" t="n">
        <v>2.39</v>
      </c>
    </row>
    <row r="16990">
      <c r="A16990" s="28" t="n">
        <v>43510</v>
      </c>
      <c r="B16990" t="n">
        <v>2.66</v>
      </c>
      <c r="C16990" t="n">
        <v>2.38</v>
      </c>
    </row>
    <row r="16991">
      <c r="A16991" s="28" t="n">
        <v>43511</v>
      </c>
      <c r="B16991" t="n">
        <v>2.66</v>
      </c>
      <c r="C16991" t="n">
        <v>2.38</v>
      </c>
    </row>
    <row r="16992">
      <c r="A16992" s="28" t="n">
        <v>43514</v>
      </c>
      <c r="B16992" t="n">
        <v>0</v>
      </c>
      <c r="C16992" t="n">
        <v>0</v>
      </c>
    </row>
    <row r="16993">
      <c r="A16993" s="28" t="n">
        <v>43515</v>
      </c>
      <c r="B16993" t="n">
        <v>2.65</v>
      </c>
      <c r="C16993" t="n">
        <v>2.41</v>
      </c>
    </row>
    <row r="16994">
      <c r="A16994" s="28" t="n">
        <v>43516</v>
      </c>
      <c r="B16994" t="n">
        <v>2.65</v>
      </c>
      <c r="C16994" t="n">
        <v>2.4</v>
      </c>
    </row>
    <row r="16995">
      <c r="A16995" s="28" t="n">
        <v>43517</v>
      </c>
      <c r="B16995" t="n">
        <v>2.69</v>
      </c>
      <c r="C16995" t="n">
        <v>2.4</v>
      </c>
    </row>
    <row r="16996">
      <c r="A16996" s="28" t="n">
        <v>43518</v>
      </c>
      <c r="B16996" t="n">
        <v>2.65</v>
      </c>
      <c r="C16996" t="n">
        <v>2.41</v>
      </c>
    </row>
    <row r="16997">
      <c r="A16997" s="28" t="n">
        <v>43521</v>
      </c>
      <c r="B16997" t="n">
        <v>2.67</v>
      </c>
      <c r="C16997" t="n">
        <v>2.42</v>
      </c>
    </row>
    <row r="16998">
      <c r="A16998" s="28" t="n">
        <v>43522</v>
      </c>
      <c r="B16998" t="n">
        <v>2.64</v>
      </c>
      <c r="C16998" t="n">
        <v>2.4</v>
      </c>
    </row>
    <row r="16999">
      <c r="A16999" s="28" t="n">
        <v>43523</v>
      </c>
      <c r="B16999" t="n">
        <v>2.69</v>
      </c>
      <c r="C16999" t="n">
        <v>2.4</v>
      </c>
    </row>
    <row r="17000">
      <c r="A17000" s="28" t="n">
        <v>43524</v>
      </c>
      <c r="B17000" t="n">
        <v>2.73</v>
      </c>
      <c r="C17000" t="n">
        <v>2.4</v>
      </c>
    </row>
    <row r="17001">
      <c r="A17001" s="28" t="n">
        <v>43525</v>
      </c>
      <c r="B17001" t="n">
        <v>2.76</v>
      </c>
      <c r="C17001" t="n">
        <v>2.39</v>
      </c>
    </row>
    <row r="17002">
      <c r="A17002" s="28" t="n">
        <v>43528</v>
      </c>
      <c r="B17002" t="n">
        <v>2.72</v>
      </c>
      <c r="C17002" t="n">
        <v>2.41</v>
      </c>
    </row>
    <row r="17003">
      <c r="A17003" s="28" t="n">
        <v>43529</v>
      </c>
      <c r="B17003" t="n">
        <v>2.72</v>
      </c>
      <c r="C17003" t="n">
        <v>2.41</v>
      </c>
    </row>
    <row r="17004">
      <c r="A17004" s="28" t="n">
        <v>43530</v>
      </c>
      <c r="B17004" t="n">
        <v>2.69</v>
      </c>
      <c r="C17004" t="n">
        <v>2.41</v>
      </c>
    </row>
    <row r="17005">
      <c r="A17005" s="28" t="n">
        <v>43531</v>
      </c>
      <c r="B17005" t="n">
        <v>2.64</v>
      </c>
      <c r="C17005" t="n">
        <v>2.4</v>
      </c>
    </row>
    <row r="17006">
      <c r="A17006" s="28" t="n">
        <v>43532</v>
      </c>
      <c r="B17006" t="n">
        <v>2.62</v>
      </c>
      <c r="C17006" t="n">
        <v>2.41</v>
      </c>
    </row>
    <row r="17007">
      <c r="A17007" s="28" t="n">
        <v>43535</v>
      </c>
      <c r="B17007" t="n">
        <v>2.64</v>
      </c>
      <c r="C17007" t="n">
        <v>2.41</v>
      </c>
    </row>
    <row r="17008">
      <c r="A17008" s="28" t="n">
        <v>43536</v>
      </c>
      <c r="B17008" t="n">
        <v>2.61</v>
      </c>
      <c r="C17008" t="n">
        <v>2.41</v>
      </c>
    </row>
    <row r="17009">
      <c r="A17009" s="28" t="n">
        <v>43537</v>
      </c>
      <c r="B17009" t="n">
        <v>2.61</v>
      </c>
      <c r="C17009" t="n">
        <v>2.4</v>
      </c>
    </row>
    <row r="17010">
      <c r="A17010" s="28" t="n">
        <v>43538</v>
      </c>
      <c r="B17010" t="n">
        <v>2.63</v>
      </c>
      <c r="C17010" t="n">
        <v>2.4</v>
      </c>
    </row>
    <row r="17011">
      <c r="A17011" s="28" t="n">
        <v>43539</v>
      </c>
      <c r="B17011" t="n">
        <v>2.59</v>
      </c>
      <c r="C17011" t="n">
        <v>2.4</v>
      </c>
    </row>
    <row r="17012">
      <c r="A17012" s="28" t="n">
        <v>43542</v>
      </c>
      <c r="B17012" t="n">
        <v>2.6</v>
      </c>
      <c r="C17012" t="n">
        <v>2.39</v>
      </c>
    </row>
    <row r="17013">
      <c r="A17013" s="28" t="n">
        <v>43543</v>
      </c>
      <c r="B17013" t="n">
        <v>2.61</v>
      </c>
      <c r="C17013" t="n">
        <v>2.41</v>
      </c>
    </row>
    <row r="17014">
      <c r="A17014" s="28" t="n">
        <v>43544</v>
      </c>
      <c r="B17014" t="n">
        <v>2.54</v>
      </c>
      <c r="C17014" t="n">
        <v>2.42</v>
      </c>
    </row>
    <row r="17015">
      <c r="A17015" s="28" t="n">
        <v>43545</v>
      </c>
      <c r="B17015" t="n">
        <v>2.54</v>
      </c>
      <c r="C17015" t="n">
        <v>2.43</v>
      </c>
    </row>
    <row r="17016">
      <c r="A17016" s="28" t="n">
        <v>43546</v>
      </c>
      <c r="B17016" t="n">
        <v>2.44</v>
      </c>
      <c r="C17016" t="n">
        <v>2.41</v>
      </c>
    </row>
    <row r="17017">
      <c r="A17017" s="28" t="n">
        <v>43549</v>
      </c>
      <c r="B17017" t="n">
        <v>2.43</v>
      </c>
      <c r="C17017" t="n">
        <v>2.41</v>
      </c>
    </row>
    <row r="17018">
      <c r="A17018" s="28" t="n">
        <v>43550</v>
      </c>
      <c r="B17018" t="n">
        <v>2.41</v>
      </c>
      <c r="C17018" t="n">
        <v>2.41</v>
      </c>
    </row>
    <row r="17019">
      <c r="A17019" s="28" t="n">
        <v>43551</v>
      </c>
      <c r="B17019" t="n">
        <v>2.39</v>
      </c>
      <c r="C17019" t="n">
        <v>2.39</v>
      </c>
    </row>
    <row r="17020">
      <c r="A17020" s="28" t="n">
        <v>43552</v>
      </c>
      <c r="B17020" t="n">
        <v>2.39</v>
      </c>
      <c r="C17020" t="n">
        <v>2.38</v>
      </c>
    </row>
    <row r="17021">
      <c r="A17021" s="28" t="n">
        <v>43553</v>
      </c>
      <c r="B17021" t="n">
        <v>2.41</v>
      </c>
      <c r="C17021" t="n">
        <v>2.35</v>
      </c>
    </row>
    <row r="17022">
      <c r="A17022" s="28" t="n">
        <v>43556</v>
      </c>
      <c r="B17022" t="n">
        <v>2.49</v>
      </c>
      <c r="C17022" t="n">
        <v>2.38</v>
      </c>
    </row>
    <row r="17023">
      <c r="A17023" s="28" t="n">
        <v>43557</v>
      </c>
      <c r="B17023" t="n">
        <v>2.48</v>
      </c>
      <c r="C17023" t="n">
        <v>2.37</v>
      </c>
    </row>
    <row r="17024">
      <c r="A17024" s="28" t="n">
        <v>43558</v>
      </c>
      <c r="B17024" t="n">
        <v>2.52</v>
      </c>
      <c r="C17024" t="n">
        <v>2.39</v>
      </c>
    </row>
    <row r="17025">
      <c r="A17025" s="28" t="n">
        <v>43559</v>
      </c>
      <c r="B17025" t="n">
        <v>2.51</v>
      </c>
      <c r="C17025" t="n">
        <v>2.39</v>
      </c>
    </row>
    <row r="17026">
      <c r="A17026" s="28" t="n">
        <v>43560</v>
      </c>
      <c r="B17026" t="n">
        <v>2.5</v>
      </c>
      <c r="C17026" t="n">
        <v>2.39</v>
      </c>
    </row>
    <row r="17027">
      <c r="A17027" s="28" t="n">
        <v>43563</v>
      </c>
      <c r="B17027" t="n">
        <v>2.52</v>
      </c>
      <c r="C17027" t="n">
        <v>2.38</v>
      </c>
    </row>
    <row r="17028">
      <c r="A17028" s="28" t="n">
        <v>43564</v>
      </c>
      <c r="B17028" t="n">
        <v>2.51</v>
      </c>
      <c r="C17028" t="n">
        <v>2.37</v>
      </c>
    </row>
    <row r="17029">
      <c r="A17029" s="28" t="n">
        <v>43565</v>
      </c>
      <c r="B17029" t="n">
        <v>2.48</v>
      </c>
      <c r="C17029" t="n">
        <v>2.38</v>
      </c>
    </row>
    <row r="17030">
      <c r="A17030" s="28" t="n">
        <v>43566</v>
      </c>
      <c r="B17030" t="n">
        <v>2.51</v>
      </c>
      <c r="C17030" t="n">
        <v>2.38</v>
      </c>
    </row>
    <row r="17031">
      <c r="A17031" s="28" t="n">
        <v>43567</v>
      </c>
      <c r="B17031" t="n">
        <v>2.56</v>
      </c>
      <c r="C17031" t="n">
        <v>2.39</v>
      </c>
    </row>
    <row r="17032">
      <c r="A17032" s="28" t="n">
        <v>43570</v>
      </c>
      <c r="B17032" t="n">
        <v>2.55</v>
      </c>
      <c r="C17032" t="n">
        <v>2.38</v>
      </c>
    </row>
    <row r="17033">
      <c r="A17033" s="28" t="n">
        <v>43571</v>
      </c>
      <c r="B17033" t="n">
        <v>2.6</v>
      </c>
      <c r="C17033" t="n">
        <v>2.38</v>
      </c>
    </row>
    <row r="17034">
      <c r="A17034" s="28" t="n">
        <v>43572</v>
      </c>
      <c r="B17034" t="n">
        <v>2.59</v>
      </c>
      <c r="C17034" t="n">
        <v>2.39</v>
      </c>
    </row>
    <row r="17035">
      <c r="A17035" s="28" t="n">
        <v>43573</v>
      </c>
      <c r="B17035" t="n">
        <v>2.57</v>
      </c>
      <c r="C17035" t="n">
        <v>2.37</v>
      </c>
    </row>
    <row r="17036">
      <c r="A17036" s="28" t="n">
        <v>43574</v>
      </c>
      <c r="B17036" t="n">
        <v>0</v>
      </c>
      <c r="C17036" t="n">
        <v>0</v>
      </c>
    </row>
    <row r="17037">
      <c r="A17037" s="28" t="n">
        <v>43577</v>
      </c>
      <c r="B17037" t="n">
        <v>2.59</v>
      </c>
      <c r="C17037" t="n">
        <v>2.39</v>
      </c>
    </row>
    <row r="17038">
      <c r="A17038" s="28" t="n">
        <v>43578</v>
      </c>
      <c r="B17038" t="n">
        <v>2.57</v>
      </c>
      <c r="C17038" t="n">
        <v>2.4</v>
      </c>
    </row>
    <row r="17039">
      <c r="A17039" s="28" t="n">
        <v>43579</v>
      </c>
      <c r="B17039" t="n">
        <v>2.53</v>
      </c>
      <c r="C17039" t="n">
        <v>2.39</v>
      </c>
    </row>
    <row r="17040">
      <c r="A17040" s="28" t="n">
        <v>43580</v>
      </c>
      <c r="B17040" t="n">
        <v>2.54</v>
      </c>
      <c r="C17040" t="n">
        <v>2.38</v>
      </c>
    </row>
    <row r="17041">
      <c r="A17041" s="28" t="n">
        <v>43581</v>
      </c>
      <c r="B17041" t="n">
        <v>2.51</v>
      </c>
      <c r="C17041" t="n">
        <v>2.37</v>
      </c>
    </row>
    <row r="17042">
      <c r="A17042" s="28" t="n">
        <v>43584</v>
      </c>
      <c r="B17042" t="n">
        <v>2.54</v>
      </c>
      <c r="C17042" t="n">
        <v>2.39</v>
      </c>
    </row>
    <row r="17043">
      <c r="A17043" s="28" t="n">
        <v>43585</v>
      </c>
      <c r="B17043" t="n">
        <v>2.51</v>
      </c>
      <c r="C17043" t="n">
        <v>2.38</v>
      </c>
    </row>
    <row r="17044">
      <c r="A17044" s="28" t="n">
        <v>43586</v>
      </c>
      <c r="B17044" t="n">
        <v>2.52</v>
      </c>
      <c r="C17044" t="n">
        <v>2.38</v>
      </c>
    </row>
    <row r="17045">
      <c r="A17045" s="28" t="n">
        <v>43587</v>
      </c>
      <c r="B17045" t="n">
        <v>2.55</v>
      </c>
      <c r="C17045" t="n">
        <v>2.41</v>
      </c>
    </row>
    <row r="17046">
      <c r="A17046" s="28" t="n">
        <v>43588</v>
      </c>
      <c r="B17046" t="n">
        <v>2.54</v>
      </c>
      <c r="C17046" t="n">
        <v>2.38</v>
      </c>
    </row>
    <row r="17047">
      <c r="A17047" s="28" t="n">
        <v>43591</v>
      </c>
      <c r="B17047" t="n">
        <v>2.51</v>
      </c>
      <c r="C17047" t="n">
        <v>2.39</v>
      </c>
    </row>
    <row r="17048">
      <c r="A17048" s="28" t="n">
        <v>43592</v>
      </c>
      <c r="B17048" t="n">
        <v>2.45</v>
      </c>
      <c r="C17048" t="n">
        <v>2.38</v>
      </c>
    </row>
    <row r="17049">
      <c r="A17049" s="28" t="n">
        <v>43593</v>
      </c>
      <c r="B17049" t="n">
        <v>2.49</v>
      </c>
      <c r="C17049" t="n">
        <v>2.38</v>
      </c>
    </row>
    <row r="17050">
      <c r="A17050" s="28" t="n">
        <v>43594</v>
      </c>
      <c r="B17050" t="n">
        <v>2.45</v>
      </c>
      <c r="C17050" t="n">
        <v>2.38</v>
      </c>
    </row>
    <row r="17051">
      <c r="A17051" s="28" t="n">
        <v>43595</v>
      </c>
      <c r="B17051" t="n">
        <v>2.47</v>
      </c>
      <c r="C17051" t="n">
        <v>2.38</v>
      </c>
    </row>
    <row r="17052">
      <c r="A17052" s="28" t="n">
        <v>43598</v>
      </c>
      <c r="B17052" t="n">
        <v>2.4</v>
      </c>
      <c r="C17052" t="n">
        <v>2.36</v>
      </c>
    </row>
    <row r="17053">
      <c r="A17053" s="28" t="n">
        <v>43599</v>
      </c>
      <c r="B17053" t="n">
        <v>2.42</v>
      </c>
      <c r="C17053" t="n">
        <v>2.36</v>
      </c>
    </row>
    <row r="17054">
      <c r="A17054" s="28" t="n">
        <v>43600</v>
      </c>
      <c r="B17054" t="n">
        <v>2.37</v>
      </c>
      <c r="C17054" t="n">
        <v>2.37</v>
      </c>
    </row>
    <row r="17055">
      <c r="A17055" s="28" t="n">
        <v>43601</v>
      </c>
      <c r="B17055" t="n">
        <v>2.4</v>
      </c>
      <c r="C17055" t="n">
        <v>2.35</v>
      </c>
    </row>
    <row r="17056">
      <c r="A17056" s="28" t="n">
        <v>43602</v>
      </c>
      <c r="B17056" t="n">
        <v>2.39</v>
      </c>
      <c r="C17056" t="n">
        <v>2.34</v>
      </c>
    </row>
    <row r="17057">
      <c r="A17057" s="28" t="n">
        <v>43605</v>
      </c>
      <c r="B17057" t="n">
        <v>2.41</v>
      </c>
      <c r="C17057" t="n">
        <v>2.34</v>
      </c>
    </row>
    <row r="17058">
      <c r="A17058" s="28" t="n">
        <v>43606</v>
      </c>
      <c r="B17058" t="n">
        <v>2.43</v>
      </c>
      <c r="C17058" t="n">
        <v>2.34</v>
      </c>
    </row>
    <row r="17059">
      <c r="A17059" s="28" t="n">
        <v>43607</v>
      </c>
      <c r="B17059" t="n">
        <v>2.39</v>
      </c>
      <c r="C17059" t="n">
        <v>2.33</v>
      </c>
    </row>
    <row r="17060">
      <c r="A17060" s="28" t="n">
        <v>43608</v>
      </c>
      <c r="B17060" t="n">
        <v>2.31</v>
      </c>
      <c r="C17060" t="n">
        <v>2.32</v>
      </c>
    </row>
    <row r="17061">
      <c r="A17061" s="28" t="n">
        <v>43609</v>
      </c>
      <c r="B17061" t="n">
        <v>2.32</v>
      </c>
      <c r="C17061" t="n">
        <v>2.3</v>
      </c>
    </row>
    <row r="17062">
      <c r="A17062" s="28" t="n">
        <v>43612</v>
      </c>
      <c r="B17062" t="n">
        <v>0</v>
      </c>
      <c r="C17062" t="n">
        <v>0</v>
      </c>
    </row>
    <row r="17063">
      <c r="A17063" s="28" t="n">
        <v>43613</v>
      </c>
      <c r="B17063" t="n">
        <v>2.26</v>
      </c>
      <c r="C17063" t="n">
        <v>2.32</v>
      </c>
    </row>
    <row r="17064">
      <c r="A17064" s="28" t="n">
        <v>43614</v>
      </c>
      <c r="B17064" t="n">
        <v>2.25</v>
      </c>
      <c r="C17064" t="n">
        <v>2.32</v>
      </c>
    </row>
    <row r="17065">
      <c r="A17065" s="28" t="n">
        <v>43615</v>
      </c>
      <c r="B17065" t="n">
        <v>2.22</v>
      </c>
      <c r="C17065" t="n">
        <v>2.33</v>
      </c>
    </row>
    <row r="17066">
      <c r="A17066" s="28" t="n">
        <v>43616</v>
      </c>
      <c r="B17066" t="n">
        <v>2.14</v>
      </c>
      <c r="C17066" t="n">
        <v>2.3</v>
      </c>
    </row>
    <row r="17067">
      <c r="A17067" s="28" t="n">
        <v>43619</v>
      </c>
      <c r="B17067" t="n">
        <v>2.07</v>
      </c>
      <c r="C17067" t="n">
        <v>2.3</v>
      </c>
    </row>
    <row r="17068">
      <c r="A17068" s="28" t="n">
        <v>43620</v>
      </c>
      <c r="B17068" t="n">
        <v>2.12</v>
      </c>
      <c r="C17068" t="n">
        <v>2.3</v>
      </c>
    </row>
    <row r="17069">
      <c r="A17069" s="28" t="n">
        <v>43621</v>
      </c>
      <c r="B17069" t="n">
        <v>2.12</v>
      </c>
      <c r="C17069" t="n">
        <v>2.3</v>
      </c>
    </row>
    <row r="17070">
      <c r="A17070" s="28" t="n">
        <v>43622</v>
      </c>
      <c r="B17070" t="n">
        <v>2.12</v>
      </c>
      <c r="C17070" t="n">
        <v>2.28</v>
      </c>
    </row>
    <row r="17071">
      <c r="A17071" s="28" t="n">
        <v>43623</v>
      </c>
      <c r="B17071" t="n">
        <v>2.09</v>
      </c>
      <c r="C17071" t="n">
        <v>2.23</v>
      </c>
    </row>
    <row r="17072">
      <c r="A17072" s="28" t="n">
        <v>43626</v>
      </c>
      <c r="B17072" t="n">
        <v>2.15</v>
      </c>
      <c r="C17072" t="n">
        <v>2.24</v>
      </c>
    </row>
    <row r="17073">
      <c r="A17073" s="28" t="n">
        <v>43627</v>
      </c>
      <c r="B17073" t="n">
        <v>2.15</v>
      </c>
      <c r="C17073" t="n">
        <v>2.22</v>
      </c>
    </row>
    <row r="17074">
      <c r="A17074" s="28" t="n">
        <v>43628</v>
      </c>
      <c r="B17074" t="n">
        <v>2.13</v>
      </c>
      <c r="C17074" t="n">
        <v>2.19</v>
      </c>
    </row>
    <row r="17075">
      <c r="A17075" s="28" t="n">
        <v>43629</v>
      </c>
      <c r="B17075" t="n">
        <v>2.1</v>
      </c>
      <c r="C17075" t="n">
        <v>2.14</v>
      </c>
    </row>
    <row r="17076">
      <c r="A17076" s="28" t="n">
        <v>43630</v>
      </c>
      <c r="B17076" t="n">
        <v>2.09</v>
      </c>
      <c r="C17076" t="n">
        <v>2.15</v>
      </c>
    </row>
    <row r="17077">
      <c r="A17077" s="28" t="n">
        <v>43633</v>
      </c>
      <c r="B17077" t="n">
        <v>2.09</v>
      </c>
      <c r="C17077" t="n">
        <v>2.18</v>
      </c>
    </row>
    <row r="17078">
      <c r="A17078" s="28" t="n">
        <v>43634</v>
      </c>
      <c r="B17078" t="n">
        <v>2.06</v>
      </c>
      <c r="C17078" t="n">
        <v>2.17</v>
      </c>
    </row>
    <row r="17079">
      <c r="A17079" s="28" t="n">
        <v>43635</v>
      </c>
      <c r="B17079" t="n">
        <v>2.03</v>
      </c>
      <c r="C17079" t="n">
        <v>2.13</v>
      </c>
    </row>
    <row r="17080">
      <c r="A17080" s="28" t="n">
        <v>43636</v>
      </c>
      <c r="B17080" t="n">
        <v>2.01</v>
      </c>
      <c r="C17080" t="n">
        <v>2.09</v>
      </c>
    </row>
    <row r="17081">
      <c r="A17081" s="28" t="n">
        <v>43637</v>
      </c>
      <c r="B17081" t="n">
        <v>2.07</v>
      </c>
      <c r="C17081" t="n">
        <v>2.07</v>
      </c>
    </row>
    <row r="17082">
      <c r="A17082" s="28" t="n">
        <v>43640</v>
      </c>
      <c r="B17082" t="n">
        <v>2.02</v>
      </c>
      <c r="C17082" t="n">
        <v>2.08</v>
      </c>
    </row>
    <row r="17083">
      <c r="A17083" s="28" t="n">
        <v>43641</v>
      </c>
      <c r="B17083" t="n">
        <v>2</v>
      </c>
      <c r="C17083" t="n">
        <v>2.07</v>
      </c>
    </row>
    <row r="17084">
      <c r="A17084" s="28" t="n">
        <v>43642</v>
      </c>
      <c r="B17084" t="n">
        <v>2.05</v>
      </c>
      <c r="C17084" t="n">
        <v>2.1</v>
      </c>
    </row>
    <row r="17085">
      <c r="A17085" s="28" t="n">
        <v>43643</v>
      </c>
      <c r="B17085" t="n">
        <v>2.01</v>
      </c>
      <c r="C17085" t="n">
        <v>2.09</v>
      </c>
    </row>
    <row r="17086">
      <c r="A17086" s="28" t="n">
        <v>43644</v>
      </c>
      <c r="B17086" t="n">
        <v>2</v>
      </c>
      <c r="C17086" t="n">
        <v>2.08</v>
      </c>
    </row>
    <row r="17087">
      <c r="A17087" s="28" t="n">
        <v>43647</v>
      </c>
      <c r="B17087" t="n">
        <v>2.03</v>
      </c>
      <c r="C17087" t="n">
        <v>2.16</v>
      </c>
    </row>
    <row r="17088">
      <c r="A17088" s="28" t="n">
        <v>43648</v>
      </c>
      <c r="B17088" t="n">
        <v>1.98</v>
      </c>
      <c r="C17088" t="n">
        <v>2.15</v>
      </c>
    </row>
    <row r="17089">
      <c r="A17089" s="28" t="n">
        <v>43649</v>
      </c>
      <c r="B17089" t="n">
        <v>1.96</v>
      </c>
      <c r="C17089" t="n">
        <v>2.16</v>
      </c>
    </row>
    <row r="17090">
      <c r="A17090" s="28" t="n">
        <v>43650</v>
      </c>
      <c r="B17090" t="n">
        <v>0</v>
      </c>
      <c r="C17090" t="n">
        <v>0</v>
      </c>
    </row>
    <row r="17091">
      <c r="A17091" s="28" t="n">
        <v>43651</v>
      </c>
      <c r="B17091" t="n">
        <v>2.04</v>
      </c>
      <c r="C17091" t="n">
        <v>2.18</v>
      </c>
    </row>
    <row r="17092">
      <c r="A17092" s="28" t="n">
        <v>43654</v>
      </c>
      <c r="B17092" t="n">
        <v>2.05</v>
      </c>
      <c r="C17092" t="n">
        <v>2.21</v>
      </c>
    </row>
    <row r="17093">
      <c r="A17093" s="28" t="n">
        <v>43655</v>
      </c>
      <c r="B17093" t="n">
        <v>2.07</v>
      </c>
      <c r="C17093" t="n">
        <v>2.21</v>
      </c>
    </row>
    <row r="17094">
      <c r="A17094" s="28" t="n">
        <v>43656</v>
      </c>
      <c r="B17094" t="n">
        <v>2.07</v>
      </c>
      <c r="C17094" t="n">
        <v>2.15</v>
      </c>
    </row>
    <row r="17095">
      <c r="A17095" s="28" t="n">
        <v>43657</v>
      </c>
      <c r="B17095" t="n">
        <v>2.13</v>
      </c>
      <c r="C17095" t="n">
        <v>2.12</v>
      </c>
    </row>
    <row r="17096">
      <c r="A17096" s="28" t="n">
        <v>43658</v>
      </c>
      <c r="B17096" t="n">
        <v>2.12</v>
      </c>
      <c r="C17096" t="n">
        <v>2.1</v>
      </c>
    </row>
    <row r="17097">
      <c r="A17097" s="28" t="n">
        <v>43661</v>
      </c>
      <c r="B17097" t="n">
        <v>2.09</v>
      </c>
      <c r="C17097" t="n">
        <v>2.11</v>
      </c>
    </row>
    <row r="17098">
      <c r="A17098" s="28" t="n">
        <v>43662</v>
      </c>
      <c r="B17098" t="n">
        <v>2.13</v>
      </c>
      <c r="C17098" t="n">
        <v>2.1</v>
      </c>
    </row>
    <row r="17099">
      <c r="A17099" s="28" t="n">
        <v>43663</v>
      </c>
      <c r="B17099" t="n">
        <v>2.06</v>
      </c>
      <c r="C17099" t="n">
        <v>2.09</v>
      </c>
    </row>
    <row r="17100">
      <c r="A17100" s="28" t="n">
        <v>43664</v>
      </c>
      <c r="B17100" t="n">
        <v>2.04</v>
      </c>
      <c r="C17100" t="n">
        <v>2.01</v>
      </c>
    </row>
    <row r="17101">
      <c r="A17101" s="28" t="n">
        <v>43665</v>
      </c>
      <c r="B17101" t="n">
        <v>2.05</v>
      </c>
      <c r="C17101" t="n">
        <v>2.02</v>
      </c>
    </row>
    <row r="17102">
      <c r="A17102" s="28" t="n">
        <v>43668</v>
      </c>
      <c r="B17102" t="n">
        <v>2.05</v>
      </c>
      <c r="C17102" t="n">
        <v>2.04</v>
      </c>
    </row>
    <row r="17103">
      <c r="A17103" s="28" t="n">
        <v>43669</v>
      </c>
      <c r="B17103" t="n">
        <v>2.08</v>
      </c>
      <c r="C17103" t="n">
        <v>2.02</v>
      </c>
    </row>
    <row r="17104">
      <c r="A17104" s="28" t="n">
        <v>43670</v>
      </c>
      <c r="B17104" t="n">
        <v>2.05</v>
      </c>
      <c r="C17104" t="n">
        <v>2.05</v>
      </c>
    </row>
    <row r="17105">
      <c r="A17105" s="28" t="n">
        <v>43671</v>
      </c>
      <c r="B17105" t="n">
        <v>2.08</v>
      </c>
      <c r="C17105" t="n">
        <v>2.06</v>
      </c>
    </row>
    <row r="17106">
      <c r="A17106" s="28" t="n">
        <v>43672</v>
      </c>
      <c r="B17106" t="n">
        <v>2.08</v>
      </c>
      <c r="C17106" t="n">
        <v>2.08</v>
      </c>
    </row>
    <row r="17107">
      <c r="A17107" s="28" t="n">
        <v>43675</v>
      </c>
      <c r="B17107" t="n">
        <v>2.06</v>
      </c>
      <c r="C17107" t="n">
        <v>2.07</v>
      </c>
    </row>
    <row r="17108">
      <c r="A17108" s="28" t="n">
        <v>43676</v>
      </c>
      <c r="B17108" t="n">
        <v>2.06</v>
      </c>
      <c r="C17108" t="n">
        <v>2.04</v>
      </c>
    </row>
    <row r="17109">
      <c r="A17109" s="28" t="n">
        <v>43677</v>
      </c>
      <c r="B17109" t="n">
        <v>2.02</v>
      </c>
      <c r="C17109" t="n">
        <v>2.04</v>
      </c>
    </row>
    <row r="17110">
      <c r="A17110" s="28" t="n">
        <v>43678</v>
      </c>
      <c r="B17110" t="n">
        <v>1.9</v>
      </c>
      <c r="C17110" t="n">
        <v>2.03</v>
      </c>
    </row>
    <row r="17111">
      <c r="A17111" s="28" t="n">
        <v>43679</v>
      </c>
      <c r="B17111" t="n">
        <v>1.86</v>
      </c>
      <c r="C17111" t="n">
        <v>2.02</v>
      </c>
    </row>
    <row r="17112">
      <c r="A17112" s="28" t="n">
        <v>43682</v>
      </c>
      <c r="B17112" t="n">
        <v>1.75</v>
      </c>
      <c r="C17112" t="n">
        <v>2</v>
      </c>
    </row>
    <row r="17113">
      <c r="A17113" s="28" t="n">
        <v>43683</v>
      </c>
      <c r="B17113" t="n">
        <v>1.73</v>
      </c>
      <c r="C17113" t="n">
        <v>2.01</v>
      </c>
    </row>
    <row r="17114">
      <c r="A17114" s="28" t="n">
        <v>43684</v>
      </c>
      <c r="B17114" t="n">
        <v>1.71</v>
      </c>
      <c r="C17114" t="n">
        <v>1.98</v>
      </c>
    </row>
    <row r="17115">
      <c r="A17115" s="28" t="n">
        <v>43685</v>
      </c>
      <c r="B17115" t="n">
        <v>1.72</v>
      </c>
      <c r="C17115" t="n">
        <v>1.98</v>
      </c>
    </row>
    <row r="17116">
      <c r="A17116" s="28" t="n">
        <v>43686</v>
      </c>
      <c r="B17116" t="n">
        <v>1.74</v>
      </c>
      <c r="C17116" t="n">
        <v>1.96</v>
      </c>
    </row>
    <row r="17117">
      <c r="A17117" s="28" t="n">
        <v>43689</v>
      </c>
      <c r="B17117" t="n">
        <v>1.65</v>
      </c>
      <c r="C17117" t="n">
        <v>1.96</v>
      </c>
    </row>
    <row r="17118">
      <c r="A17118" s="28" t="n">
        <v>43690</v>
      </c>
      <c r="B17118" t="n">
        <v>1.68</v>
      </c>
      <c r="C17118" t="n">
        <v>1.96</v>
      </c>
    </row>
    <row r="17119">
      <c r="A17119" s="28" t="n">
        <v>43691</v>
      </c>
      <c r="B17119" t="n">
        <v>1.59</v>
      </c>
      <c r="C17119" t="n">
        <v>1.92</v>
      </c>
    </row>
    <row r="17120">
      <c r="A17120" s="28" t="n">
        <v>43692</v>
      </c>
      <c r="B17120" t="n">
        <v>1.52</v>
      </c>
      <c r="C17120" t="n">
        <v>1.87</v>
      </c>
    </row>
    <row r="17121">
      <c r="A17121" s="28" t="n">
        <v>43693</v>
      </c>
      <c r="B17121" t="n">
        <v>1.55</v>
      </c>
      <c r="C17121" t="n">
        <v>1.83</v>
      </c>
    </row>
    <row r="17122">
      <c r="A17122" s="28" t="n">
        <v>43696</v>
      </c>
      <c r="B17122" t="n">
        <v>1.6</v>
      </c>
      <c r="C17122" t="n">
        <v>1.9</v>
      </c>
    </row>
    <row r="17123">
      <c r="A17123" s="28" t="n">
        <v>43697</v>
      </c>
      <c r="B17123" t="n">
        <v>1.55</v>
      </c>
      <c r="C17123" t="n">
        <v>1.9</v>
      </c>
    </row>
    <row r="17124">
      <c r="A17124" s="28" t="n">
        <v>43698</v>
      </c>
      <c r="B17124" t="n">
        <v>1.59</v>
      </c>
      <c r="C17124" t="n">
        <v>1.93</v>
      </c>
    </row>
    <row r="17125">
      <c r="A17125" s="28" t="n">
        <v>43699</v>
      </c>
      <c r="B17125" t="n">
        <v>1.62</v>
      </c>
      <c r="C17125" t="n">
        <v>1.96</v>
      </c>
    </row>
    <row r="17126">
      <c r="A17126" s="28" t="n">
        <v>43700</v>
      </c>
      <c r="B17126" t="n">
        <v>1.52</v>
      </c>
      <c r="C17126" t="n">
        <v>1.93</v>
      </c>
    </row>
    <row r="17127">
      <c r="A17127" s="28" t="n">
        <v>43703</v>
      </c>
      <c r="B17127" t="n">
        <v>1.54</v>
      </c>
      <c r="C17127" t="n">
        <v>1.96</v>
      </c>
    </row>
    <row r="17128">
      <c r="A17128" s="28" t="n">
        <v>43704</v>
      </c>
      <c r="B17128" t="n">
        <v>1.49</v>
      </c>
      <c r="C17128" t="n">
        <v>1.94</v>
      </c>
    </row>
    <row r="17129">
      <c r="A17129" s="28" t="n">
        <v>43705</v>
      </c>
      <c r="B17129" t="n">
        <v>1.47</v>
      </c>
      <c r="C17129" t="n">
        <v>1.95</v>
      </c>
    </row>
    <row r="17130">
      <c r="A17130" s="28" t="n">
        <v>43706</v>
      </c>
      <c r="B17130" t="n">
        <v>1.5</v>
      </c>
      <c r="C17130" t="n">
        <v>1.95</v>
      </c>
    </row>
    <row r="17131">
      <c r="A17131" s="28" t="n">
        <v>43707</v>
      </c>
      <c r="B17131" t="n">
        <v>1.5</v>
      </c>
      <c r="C17131" t="n">
        <v>1.95</v>
      </c>
    </row>
    <row r="17132">
      <c r="A17132" s="28" t="n">
        <v>43710</v>
      </c>
      <c r="B17132" t="n">
        <v>0</v>
      </c>
      <c r="C17132" t="n">
        <v>0</v>
      </c>
    </row>
    <row r="17133">
      <c r="A17133" s="28" t="n">
        <v>43711</v>
      </c>
      <c r="B17133" t="n">
        <v>1.47</v>
      </c>
      <c r="C17133" t="n">
        <v>1.94</v>
      </c>
    </row>
    <row r="17134">
      <c r="A17134" s="28" t="n">
        <v>43712</v>
      </c>
      <c r="B17134" t="n">
        <v>1.47</v>
      </c>
      <c r="C17134" t="n">
        <v>1.93</v>
      </c>
    </row>
    <row r="17135">
      <c r="A17135" s="28" t="n">
        <v>43713</v>
      </c>
      <c r="B17135" t="n">
        <v>1.57</v>
      </c>
      <c r="C17135" t="n">
        <v>1.93</v>
      </c>
    </row>
    <row r="17136">
      <c r="A17136" s="28" t="n">
        <v>43714</v>
      </c>
      <c r="B17136" t="n">
        <v>1.55</v>
      </c>
      <c r="C17136" t="n">
        <v>1.92</v>
      </c>
    </row>
    <row r="17137">
      <c r="A17137" s="28" t="n">
        <v>43717</v>
      </c>
      <c r="B17137" t="n">
        <v>1.63</v>
      </c>
      <c r="C17137" t="n">
        <v>1.92</v>
      </c>
    </row>
    <row r="17138">
      <c r="A17138" s="28" t="n">
        <v>43718</v>
      </c>
      <c r="B17138" t="n">
        <v>1.72</v>
      </c>
      <c r="C17138" t="n">
        <v>1.91</v>
      </c>
    </row>
    <row r="17139">
      <c r="A17139" s="28" t="n">
        <v>43719</v>
      </c>
      <c r="B17139" t="n">
        <v>1.75</v>
      </c>
      <c r="C17139" t="n">
        <v>1.92</v>
      </c>
    </row>
    <row r="17140">
      <c r="A17140" s="28" t="n">
        <v>43720</v>
      </c>
      <c r="B17140" t="n">
        <v>1.79</v>
      </c>
      <c r="C17140" t="n">
        <v>1.91</v>
      </c>
    </row>
    <row r="17141">
      <c r="A17141" s="28" t="n">
        <v>43721</v>
      </c>
      <c r="B17141" t="n">
        <v>1.9</v>
      </c>
      <c r="C17141" t="n">
        <v>1.92</v>
      </c>
    </row>
    <row r="17142">
      <c r="A17142" s="28" t="n">
        <v>43724</v>
      </c>
      <c r="B17142" t="n">
        <v>1.84</v>
      </c>
      <c r="C17142" t="n">
        <v>1.95</v>
      </c>
    </row>
    <row r="17143">
      <c r="A17143" s="28" t="n">
        <v>43725</v>
      </c>
      <c r="B17143" t="n">
        <v>1.81</v>
      </c>
      <c r="C17143" t="n">
        <v>1.95</v>
      </c>
    </row>
    <row r="17144">
      <c r="A17144" s="28" t="n">
        <v>43726</v>
      </c>
      <c r="B17144" t="n">
        <v>1.8</v>
      </c>
      <c r="C17144" t="n">
        <v>1.91</v>
      </c>
    </row>
    <row r="17145">
      <c r="A17145" s="28" t="n">
        <v>43727</v>
      </c>
      <c r="B17145" t="n">
        <v>1.79</v>
      </c>
      <c r="C17145" t="n">
        <v>1.89</v>
      </c>
    </row>
    <row r="17146">
      <c r="A17146" s="28" t="n">
        <v>43728</v>
      </c>
      <c r="B17146" t="n">
        <v>1.74</v>
      </c>
      <c r="C17146" t="n">
        <v>1.87</v>
      </c>
    </row>
    <row r="17147">
      <c r="A17147" s="28" t="n">
        <v>43731</v>
      </c>
      <c r="B17147" t="n">
        <v>1.72</v>
      </c>
      <c r="C17147" t="n">
        <v>1.9</v>
      </c>
    </row>
    <row r="17148">
      <c r="A17148" s="28" t="n">
        <v>43732</v>
      </c>
      <c r="B17148" t="n">
        <v>1.64</v>
      </c>
      <c r="C17148" t="n">
        <v>1.88</v>
      </c>
    </row>
    <row r="17149">
      <c r="A17149" s="28" t="n">
        <v>43733</v>
      </c>
      <c r="B17149" t="n">
        <v>1.73</v>
      </c>
      <c r="C17149" t="n">
        <v>1.85</v>
      </c>
    </row>
    <row r="17150">
      <c r="A17150" s="28" t="n">
        <v>43734</v>
      </c>
      <c r="B17150" t="n">
        <v>1.7</v>
      </c>
      <c r="C17150" t="n">
        <v>1.79</v>
      </c>
    </row>
    <row r="17151">
      <c r="A17151" s="28" t="n">
        <v>43735</v>
      </c>
      <c r="B17151" t="n">
        <v>1.69</v>
      </c>
      <c r="C17151" t="n">
        <v>1.76</v>
      </c>
    </row>
    <row r="17152">
      <c r="A17152" s="28" t="n">
        <v>43738</v>
      </c>
      <c r="B17152" t="n">
        <v>1.68</v>
      </c>
      <c r="C17152" t="n">
        <v>1.84</v>
      </c>
    </row>
    <row r="17153">
      <c r="A17153" s="28" t="n">
        <v>43739</v>
      </c>
      <c r="B17153" t="n">
        <v>1.65</v>
      </c>
      <c r="C17153" t="n">
        <v>1.78</v>
      </c>
    </row>
    <row r="17154">
      <c r="A17154" s="28" t="n">
        <v>43740</v>
      </c>
      <c r="B17154" t="n">
        <v>1.6</v>
      </c>
      <c r="C17154" t="n">
        <v>1.75</v>
      </c>
    </row>
    <row r="17155">
      <c r="A17155" s="28" t="n">
        <v>43741</v>
      </c>
      <c r="B17155" t="n">
        <v>1.54</v>
      </c>
      <c r="C17155" t="n">
        <v>1.67</v>
      </c>
    </row>
    <row r="17156">
      <c r="A17156" s="28" t="n">
        <v>43742</v>
      </c>
      <c r="B17156" t="n">
        <v>1.52</v>
      </c>
      <c r="C17156" t="n">
        <v>1.68</v>
      </c>
    </row>
    <row r="17157">
      <c r="A17157" s="28" t="n">
        <v>43745</v>
      </c>
      <c r="B17157" t="n">
        <v>1.56</v>
      </c>
      <c r="C17157" t="n">
        <v>1.71</v>
      </c>
    </row>
    <row r="17158">
      <c r="A17158" s="28" t="n">
        <v>43746</v>
      </c>
      <c r="B17158" t="n">
        <v>1.54</v>
      </c>
      <c r="C17158" t="n">
        <v>1.68</v>
      </c>
    </row>
    <row r="17159">
      <c r="A17159" s="28" t="n">
        <v>43747</v>
      </c>
      <c r="B17159" t="n">
        <v>1.59</v>
      </c>
      <c r="C17159" t="n">
        <v>1.66</v>
      </c>
    </row>
    <row r="17160">
      <c r="A17160" s="28" t="n">
        <v>43748</v>
      </c>
      <c r="B17160" t="n">
        <v>1.67</v>
      </c>
      <c r="C17160" t="n">
        <v>1.65</v>
      </c>
    </row>
    <row r="17161">
      <c r="A17161" s="28" t="n">
        <v>43749</v>
      </c>
      <c r="B17161" t="n">
        <v>1.76</v>
      </c>
      <c r="C17161" t="n">
        <v>1.65</v>
      </c>
    </row>
    <row r="17162">
      <c r="A17162" s="28" t="n">
        <v>43752</v>
      </c>
      <c r="B17162" t="n">
        <v>0</v>
      </c>
      <c r="C17162" t="n">
        <v>0</v>
      </c>
    </row>
    <row r="17163">
      <c r="A17163" s="28" t="n">
        <v>43753</v>
      </c>
      <c r="B17163" t="n">
        <v>1.77</v>
      </c>
      <c r="C17163" t="n">
        <v>1.64</v>
      </c>
    </row>
    <row r="17164">
      <c r="A17164" s="28" t="n">
        <v>43754</v>
      </c>
      <c r="B17164" t="n">
        <v>1.75</v>
      </c>
      <c r="C17164" t="n">
        <v>1.63</v>
      </c>
    </row>
    <row r="17165">
      <c r="A17165" s="28" t="n">
        <v>43755</v>
      </c>
      <c r="B17165" t="n">
        <v>1.76</v>
      </c>
      <c r="C17165" t="n">
        <v>1.63</v>
      </c>
    </row>
    <row r="17166">
      <c r="A17166" s="28" t="n">
        <v>43756</v>
      </c>
      <c r="B17166" t="n">
        <v>1.76</v>
      </c>
      <c r="C17166" t="n">
        <v>1.63</v>
      </c>
    </row>
    <row r="17167">
      <c r="A17167" s="28" t="n">
        <v>43759</v>
      </c>
      <c r="B17167" t="n">
        <v>1.8</v>
      </c>
      <c r="C17167" t="n">
        <v>1.64</v>
      </c>
    </row>
    <row r="17168">
      <c r="A17168" s="28" t="n">
        <v>43760</v>
      </c>
      <c r="B17168" t="n">
        <v>1.78</v>
      </c>
      <c r="C17168" t="n">
        <v>1.62</v>
      </c>
    </row>
    <row r="17169">
      <c r="A17169" s="28" t="n">
        <v>43761</v>
      </c>
      <c r="B17169" t="n">
        <v>1.77</v>
      </c>
      <c r="C17169" t="n">
        <v>1.62</v>
      </c>
    </row>
    <row r="17170">
      <c r="A17170" s="28" t="n">
        <v>43762</v>
      </c>
      <c r="B17170" t="n">
        <v>1.77</v>
      </c>
      <c r="C17170" t="n">
        <v>1.64</v>
      </c>
    </row>
    <row r="17171">
      <c r="A17171" s="28" t="n">
        <v>43763</v>
      </c>
      <c r="B17171" t="n">
        <v>1.8</v>
      </c>
      <c r="C17171" t="n">
        <v>1.63</v>
      </c>
    </row>
    <row r="17172">
      <c r="A17172" s="28" t="n">
        <v>43766</v>
      </c>
      <c r="B17172" t="n">
        <v>1.85</v>
      </c>
      <c r="C17172" t="n">
        <v>1.62</v>
      </c>
    </row>
    <row r="17173">
      <c r="A17173" s="28" t="n">
        <v>43767</v>
      </c>
      <c r="B17173" t="n">
        <v>1.84</v>
      </c>
      <c r="C17173" t="n">
        <v>1.6</v>
      </c>
    </row>
    <row r="17174">
      <c r="A17174" s="28" t="n">
        <v>43768</v>
      </c>
      <c r="B17174" t="n">
        <v>1.78</v>
      </c>
      <c r="C17174" t="n">
        <v>1.59</v>
      </c>
    </row>
    <row r="17175">
      <c r="A17175" s="28" t="n">
        <v>43769</v>
      </c>
      <c r="B17175" t="n">
        <v>1.69</v>
      </c>
      <c r="C17175" t="n">
        <v>1.51</v>
      </c>
    </row>
    <row r="17176">
      <c r="A17176" s="28" t="n">
        <v>43770</v>
      </c>
      <c r="B17176" t="n">
        <v>1.73</v>
      </c>
      <c r="C17176" t="n">
        <v>1.49</v>
      </c>
    </row>
    <row r="17177">
      <c r="A17177" s="28" t="n">
        <v>43773</v>
      </c>
      <c r="B17177" t="n">
        <v>1.79</v>
      </c>
      <c r="C17177" t="n">
        <v>1.5</v>
      </c>
    </row>
    <row r="17178">
      <c r="A17178" s="28" t="n">
        <v>43774</v>
      </c>
      <c r="B17178" t="n">
        <v>1.86</v>
      </c>
      <c r="C17178" t="n">
        <v>1.53</v>
      </c>
    </row>
    <row r="17179">
      <c r="A17179" s="28" t="n">
        <v>43775</v>
      </c>
      <c r="B17179" t="n">
        <v>1.81</v>
      </c>
      <c r="C17179" t="n">
        <v>1.53</v>
      </c>
    </row>
    <row r="17180">
      <c r="A17180" s="28" t="n">
        <v>43776</v>
      </c>
      <c r="B17180" t="n">
        <v>1.92</v>
      </c>
      <c r="C17180" t="n">
        <v>1.53</v>
      </c>
    </row>
    <row r="17181">
      <c r="A17181" s="28" t="n">
        <v>43777</v>
      </c>
      <c r="B17181" t="n">
        <v>1.94</v>
      </c>
      <c r="C17181" t="n">
        <v>1.52</v>
      </c>
    </row>
    <row r="17182">
      <c r="A17182" s="28" t="n">
        <v>43780</v>
      </c>
      <c r="B17182" t="n">
        <v>0</v>
      </c>
      <c r="C17182" t="n">
        <v>0</v>
      </c>
    </row>
    <row r="17183">
      <c r="A17183" s="28" t="n">
        <v>43781</v>
      </c>
      <c r="B17183" t="n">
        <v>1.92</v>
      </c>
      <c r="C17183" t="n">
        <v>1.56</v>
      </c>
    </row>
    <row r="17184">
      <c r="A17184" s="28" t="n">
        <v>43782</v>
      </c>
      <c r="B17184" t="n">
        <v>1.88</v>
      </c>
      <c r="C17184" t="n">
        <v>1.54</v>
      </c>
    </row>
    <row r="17185">
      <c r="A17185" s="28" t="n">
        <v>43783</v>
      </c>
      <c r="B17185" t="n">
        <v>1.82</v>
      </c>
      <c r="C17185" t="n">
        <v>1.54</v>
      </c>
    </row>
    <row r="17186">
      <c r="A17186" s="28" t="n">
        <v>43784</v>
      </c>
      <c r="B17186" t="n">
        <v>1.84</v>
      </c>
      <c r="C17186" t="n">
        <v>1.54</v>
      </c>
    </row>
    <row r="17187">
      <c r="A17187" s="28" t="n">
        <v>43787</v>
      </c>
      <c r="B17187" t="n">
        <v>1.81</v>
      </c>
      <c r="C17187" t="n">
        <v>1.54</v>
      </c>
    </row>
    <row r="17188">
      <c r="A17188" s="28" t="n">
        <v>43788</v>
      </c>
      <c r="B17188" t="n">
        <v>1.79</v>
      </c>
      <c r="C17188" t="n">
        <v>1.54</v>
      </c>
    </row>
    <row r="17189">
      <c r="A17189" s="28" t="n">
        <v>43789</v>
      </c>
      <c r="B17189" t="n">
        <v>1.73</v>
      </c>
      <c r="C17189" t="n">
        <v>1.54</v>
      </c>
    </row>
    <row r="17190">
      <c r="A17190" s="28" t="n">
        <v>43790</v>
      </c>
      <c r="B17190" t="n">
        <v>1.77</v>
      </c>
      <c r="C17190" t="n">
        <v>1.55</v>
      </c>
    </row>
    <row r="17191">
      <c r="A17191" s="28" t="n">
        <v>43791</v>
      </c>
      <c r="B17191" t="n">
        <v>1.77</v>
      </c>
      <c r="C17191" t="n">
        <v>1.55</v>
      </c>
    </row>
    <row r="17192">
      <c r="A17192" s="28" t="n">
        <v>43794</v>
      </c>
      <c r="B17192" t="n">
        <v>1.76</v>
      </c>
      <c r="C17192" t="n">
        <v>1.58</v>
      </c>
    </row>
    <row r="17193">
      <c r="A17193" s="28" t="n">
        <v>43795</v>
      </c>
      <c r="B17193" t="n">
        <v>1.74</v>
      </c>
      <c r="C17193" t="n">
        <v>1.57</v>
      </c>
    </row>
    <row r="17194">
      <c r="A17194" s="28" t="n">
        <v>43796</v>
      </c>
      <c r="B17194" t="n">
        <v>1.77</v>
      </c>
      <c r="C17194" t="n">
        <v>1.59</v>
      </c>
    </row>
    <row r="17195">
      <c r="A17195" s="28" t="n">
        <v>43797</v>
      </c>
      <c r="B17195" t="n">
        <v>0</v>
      </c>
      <c r="C17195" t="n">
        <v>0</v>
      </c>
    </row>
    <row r="17196">
      <c r="A17196" s="28" t="n">
        <v>43798</v>
      </c>
      <c r="B17196" t="n">
        <v>1.78</v>
      </c>
      <c r="C17196" t="n">
        <v>1.56</v>
      </c>
    </row>
    <row r="17197">
      <c r="A17197" s="28" t="n">
        <v>43801</v>
      </c>
      <c r="B17197" t="n">
        <v>1.83</v>
      </c>
      <c r="C17197" t="n">
        <v>1.57</v>
      </c>
    </row>
    <row r="17198">
      <c r="A17198" s="28" t="n">
        <v>43802</v>
      </c>
      <c r="B17198" t="n">
        <v>1.72</v>
      </c>
      <c r="C17198" t="n">
        <v>1.54</v>
      </c>
    </row>
    <row r="17199">
      <c r="A17199" s="28" t="n">
        <v>43803</v>
      </c>
      <c r="B17199" t="n">
        <v>1.77</v>
      </c>
      <c r="C17199" t="n">
        <v>1.52</v>
      </c>
    </row>
    <row r="17200">
      <c r="A17200" s="28" t="n">
        <v>43804</v>
      </c>
      <c r="B17200" t="n">
        <v>1.8</v>
      </c>
      <c r="C17200" t="n">
        <v>1.51</v>
      </c>
    </row>
    <row r="17201">
      <c r="A17201" s="28" t="n">
        <v>43805</v>
      </c>
      <c r="B17201" t="n">
        <v>1.84</v>
      </c>
      <c r="C17201" t="n">
        <v>1.5</v>
      </c>
    </row>
    <row r="17202">
      <c r="A17202" s="28" t="n">
        <v>43808</v>
      </c>
      <c r="B17202" t="n">
        <v>1.83</v>
      </c>
      <c r="C17202" t="n">
        <v>1.51</v>
      </c>
    </row>
    <row r="17203">
      <c r="A17203" s="28" t="n">
        <v>43809</v>
      </c>
      <c r="B17203" t="n">
        <v>1.85</v>
      </c>
      <c r="C17203" t="n">
        <v>1.53</v>
      </c>
    </row>
    <row r="17204">
      <c r="A17204" s="28" t="n">
        <v>43810</v>
      </c>
      <c r="B17204" t="n">
        <v>1.79</v>
      </c>
      <c r="C17204" t="n">
        <v>1.54</v>
      </c>
    </row>
    <row r="17205">
      <c r="A17205" s="28" t="n">
        <v>43811</v>
      </c>
      <c r="B17205" t="n">
        <v>1.9</v>
      </c>
      <c r="C17205" t="n">
        <v>1.53</v>
      </c>
    </row>
    <row r="17206">
      <c r="A17206" s="28" t="n">
        <v>43812</v>
      </c>
      <c r="B17206" t="n">
        <v>1.82</v>
      </c>
      <c r="C17206" t="n">
        <v>1.54</v>
      </c>
    </row>
    <row r="17207">
      <c r="A17207" s="28" t="n">
        <v>43815</v>
      </c>
      <c r="B17207" t="n">
        <v>1.89</v>
      </c>
      <c r="C17207" t="n">
        <v>1.54</v>
      </c>
    </row>
    <row r="17208">
      <c r="A17208" s="28" t="n">
        <v>43816</v>
      </c>
      <c r="B17208" t="n">
        <v>1.89</v>
      </c>
      <c r="C17208" t="n">
        <v>1.53</v>
      </c>
    </row>
    <row r="17209">
      <c r="A17209" s="28" t="n">
        <v>43817</v>
      </c>
      <c r="B17209" t="n">
        <v>1.92</v>
      </c>
      <c r="C17209" t="n">
        <v>1.53</v>
      </c>
    </row>
    <row r="17210">
      <c r="A17210" s="28" t="n">
        <v>43818</v>
      </c>
      <c r="B17210" t="n">
        <v>1.92</v>
      </c>
      <c r="C17210" t="n">
        <v>1.54</v>
      </c>
    </row>
    <row r="17211">
      <c r="A17211" s="28" t="n">
        <v>43819</v>
      </c>
      <c r="B17211" t="n">
        <v>1.92</v>
      </c>
      <c r="C17211" t="n">
        <v>1.55</v>
      </c>
    </row>
    <row r="17212">
      <c r="A17212" s="28" t="n">
        <v>43822</v>
      </c>
      <c r="B17212" t="n">
        <v>1.93</v>
      </c>
      <c r="C17212" t="n">
        <v>1.56</v>
      </c>
    </row>
    <row r="17213">
      <c r="A17213" s="28" t="n">
        <v>43823</v>
      </c>
      <c r="B17213" t="n">
        <v>1.9</v>
      </c>
      <c r="C17213" t="n">
        <v>1.55</v>
      </c>
    </row>
    <row r="17214">
      <c r="A17214" s="28" t="n">
        <v>43824</v>
      </c>
      <c r="B17214" t="n">
        <v>0</v>
      </c>
      <c r="C17214" t="n">
        <v>0</v>
      </c>
    </row>
    <row r="17215">
      <c r="A17215" s="28" t="n">
        <v>43825</v>
      </c>
      <c r="B17215" t="n">
        <v>1.9</v>
      </c>
      <c r="C17215" t="n">
        <v>1.55</v>
      </c>
    </row>
    <row r="17216">
      <c r="A17216" s="28" t="n">
        <v>43826</v>
      </c>
      <c r="B17216" t="n">
        <v>1.88</v>
      </c>
      <c r="C17216" t="n">
        <v>1.54</v>
      </c>
    </row>
    <row r="17217">
      <c r="A17217" s="28" t="n">
        <v>43829</v>
      </c>
      <c r="B17217" t="n">
        <v>1.9</v>
      </c>
      <c r="C17217" t="n">
        <v>1.54</v>
      </c>
    </row>
    <row r="17218">
      <c r="A17218" s="28" t="n">
        <v>43830</v>
      </c>
      <c r="B17218" t="n">
        <v>1.92</v>
      </c>
      <c r="C17218" t="n">
        <v>1.52</v>
      </c>
    </row>
    <row r="17219">
      <c r="A17219" s="28" t="n">
        <v>43831</v>
      </c>
      <c r="B17219" t="n">
        <v>0</v>
      </c>
      <c r="C17219" t="n">
        <v>0</v>
      </c>
    </row>
    <row r="17220">
      <c r="A17220" s="28" t="n">
        <v>43832</v>
      </c>
      <c r="B17220" t="n">
        <v>1.88</v>
      </c>
      <c r="C17220" t="n">
        <v>1.51</v>
      </c>
    </row>
    <row r="17221">
      <c r="A17221" s="28" t="n">
        <v>43833</v>
      </c>
      <c r="B17221" t="n">
        <v>1.8</v>
      </c>
      <c r="C17221" t="n">
        <v>1.49</v>
      </c>
    </row>
    <row r="17222">
      <c r="A17222" s="28" t="n">
        <v>43836</v>
      </c>
      <c r="B17222" t="n">
        <v>1.81</v>
      </c>
      <c r="C17222" t="n">
        <v>1.53</v>
      </c>
    </row>
    <row r="17223">
      <c r="A17223" s="28" t="n">
        <v>43837</v>
      </c>
      <c r="B17223" t="n">
        <v>1.83</v>
      </c>
      <c r="C17223" t="n">
        <v>1.51</v>
      </c>
    </row>
    <row r="17224">
      <c r="A17224" s="28" t="n">
        <v>43838</v>
      </c>
      <c r="B17224" t="n">
        <v>1.87</v>
      </c>
      <c r="C17224" t="n">
        <v>1.51</v>
      </c>
    </row>
    <row r="17225">
      <c r="A17225" s="28" t="n">
        <v>43839</v>
      </c>
      <c r="B17225" t="n">
        <v>1.85</v>
      </c>
      <c r="C17225" t="n">
        <v>1.51</v>
      </c>
    </row>
    <row r="17226">
      <c r="A17226" s="28" t="n">
        <v>43840</v>
      </c>
      <c r="B17226" t="n">
        <v>1.83</v>
      </c>
      <c r="C17226" t="n">
        <v>1.51</v>
      </c>
    </row>
    <row r="17227">
      <c r="A17227" s="28" t="n">
        <v>43843</v>
      </c>
      <c r="B17227" t="n">
        <v>1.85</v>
      </c>
      <c r="C17227" t="n">
        <v>1.54</v>
      </c>
    </row>
    <row r="17228">
      <c r="A17228" s="28" t="n">
        <v>43844</v>
      </c>
      <c r="B17228" t="n">
        <v>1.82</v>
      </c>
      <c r="C17228" t="n">
        <v>1.54</v>
      </c>
    </row>
    <row r="17229">
      <c r="A17229" s="28" t="n">
        <v>43845</v>
      </c>
      <c r="B17229" t="n">
        <v>1.79</v>
      </c>
      <c r="C17229" t="n">
        <v>1.54</v>
      </c>
    </row>
    <row r="17230">
      <c r="A17230" s="28" t="n">
        <v>43846</v>
      </c>
      <c r="B17230" t="n">
        <v>1.81</v>
      </c>
      <c r="C17230" t="n">
        <v>1.52</v>
      </c>
    </row>
    <row r="17231">
      <c r="A17231" s="28" t="n">
        <v>43847</v>
      </c>
      <c r="B17231" t="n">
        <v>1.84</v>
      </c>
      <c r="C17231" t="n">
        <v>1.53</v>
      </c>
    </row>
    <row r="17232">
      <c r="A17232" s="28" t="n">
        <v>43850</v>
      </c>
      <c r="B17232" t="n">
        <v>0</v>
      </c>
      <c r="C17232" t="n">
        <v>0</v>
      </c>
    </row>
    <row r="17233">
      <c r="A17233" s="28" t="n">
        <v>43851</v>
      </c>
      <c r="B17233" t="n">
        <v>1.78</v>
      </c>
      <c r="C17233" t="n">
        <v>1.53</v>
      </c>
    </row>
    <row r="17234">
      <c r="A17234" s="28" t="n">
        <v>43852</v>
      </c>
      <c r="B17234" t="n">
        <v>1.77</v>
      </c>
      <c r="C17234" t="n">
        <v>1.52</v>
      </c>
    </row>
    <row r="17235">
      <c r="A17235" s="28" t="n">
        <v>43853</v>
      </c>
      <c r="B17235" t="n">
        <v>1.74</v>
      </c>
      <c r="C17235" t="n">
        <v>1.52</v>
      </c>
    </row>
    <row r="17236">
      <c r="A17236" s="28" t="n">
        <v>43854</v>
      </c>
      <c r="B17236" t="n">
        <v>1.7</v>
      </c>
      <c r="C17236" t="n">
        <v>1.51</v>
      </c>
    </row>
    <row r="17237">
      <c r="A17237" s="28" t="n">
        <v>43857</v>
      </c>
      <c r="B17237" t="n">
        <v>1.61</v>
      </c>
      <c r="C17237" t="n">
        <v>1.52</v>
      </c>
    </row>
    <row r="17238">
      <c r="A17238" s="28" t="n">
        <v>43858</v>
      </c>
      <c r="B17238" t="n">
        <v>1.65</v>
      </c>
      <c r="C17238" t="n">
        <v>1.54</v>
      </c>
    </row>
    <row r="17239">
      <c r="A17239" s="28" t="n">
        <v>43859</v>
      </c>
      <c r="B17239" t="n">
        <v>1.6</v>
      </c>
      <c r="C17239" t="n">
        <v>1.53</v>
      </c>
    </row>
    <row r="17240">
      <c r="A17240" s="28" t="n">
        <v>43860</v>
      </c>
      <c r="B17240" t="n">
        <v>1.57</v>
      </c>
      <c r="C17240" t="n">
        <v>1.54</v>
      </c>
    </row>
    <row r="17241">
      <c r="A17241" s="28" t="n">
        <v>43861</v>
      </c>
      <c r="B17241" t="n">
        <v>1.51</v>
      </c>
      <c r="C17241" t="n">
        <v>1.52</v>
      </c>
    </row>
    <row r="17242">
      <c r="A17242" s="28" t="n">
        <v>43864</v>
      </c>
      <c r="B17242" t="n">
        <v>1.54</v>
      </c>
      <c r="C17242" t="n">
        <v>1.54</v>
      </c>
    </row>
    <row r="17243">
      <c r="A17243" s="28" t="n">
        <v>43865</v>
      </c>
      <c r="B17243" t="n">
        <v>1.61</v>
      </c>
      <c r="C17243" t="n">
        <v>1.54</v>
      </c>
    </row>
    <row r="17244">
      <c r="A17244" s="28" t="n">
        <v>43866</v>
      </c>
      <c r="B17244" t="n">
        <v>1.66</v>
      </c>
      <c r="C17244" t="n">
        <v>1.54</v>
      </c>
    </row>
    <row r="17245">
      <c r="A17245" s="28" t="n">
        <v>43867</v>
      </c>
      <c r="B17245" t="n">
        <v>1.65</v>
      </c>
      <c r="C17245" t="n">
        <v>1.54</v>
      </c>
    </row>
    <row r="17246">
      <c r="A17246" s="28" t="n">
        <v>43868</v>
      </c>
      <c r="B17246" t="n">
        <v>1.59</v>
      </c>
      <c r="C17246" t="n">
        <v>1.53</v>
      </c>
    </row>
    <row r="17247">
      <c r="A17247" s="28" t="n">
        <v>43871</v>
      </c>
      <c r="B17247" t="n">
        <v>1.56</v>
      </c>
      <c r="C17247" t="n">
        <v>1.55</v>
      </c>
    </row>
    <row r="17248">
      <c r="A17248" s="28" t="n">
        <v>43872</v>
      </c>
      <c r="B17248" t="n">
        <v>1.59</v>
      </c>
      <c r="C17248" t="n">
        <v>1.54</v>
      </c>
    </row>
    <row r="17249">
      <c r="A17249" s="28" t="n">
        <v>43873</v>
      </c>
      <c r="B17249" t="n">
        <v>1.62</v>
      </c>
      <c r="C17249" t="n">
        <v>1.55</v>
      </c>
    </row>
    <row r="17250">
      <c r="A17250" s="28" t="n">
        <v>43874</v>
      </c>
      <c r="B17250" t="n">
        <v>1.61</v>
      </c>
      <c r="C17250" t="n">
        <v>1.56</v>
      </c>
    </row>
    <row r="17251">
      <c r="A17251" s="28" t="n">
        <v>43875</v>
      </c>
      <c r="B17251" t="n">
        <v>1.59</v>
      </c>
      <c r="C17251" t="n">
        <v>1.55</v>
      </c>
    </row>
    <row r="17252">
      <c r="A17252" s="28" t="n">
        <v>43878</v>
      </c>
      <c r="B17252" t="n">
        <v>0</v>
      </c>
      <c r="C17252" t="n">
        <v>0</v>
      </c>
    </row>
    <row r="17253">
      <c r="A17253" s="28" t="n">
        <v>43879</v>
      </c>
      <c r="B17253" t="n">
        <v>1.55</v>
      </c>
      <c r="C17253" t="n">
        <v>1.55</v>
      </c>
    </row>
    <row r="17254">
      <c r="A17254" s="28" t="n">
        <v>43880</v>
      </c>
      <c r="B17254" t="n">
        <v>1.56</v>
      </c>
      <c r="C17254" t="n">
        <v>1.55</v>
      </c>
    </row>
    <row r="17255">
      <c r="A17255" s="28" t="n">
        <v>43881</v>
      </c>
      <c r="B17255" t="n">
        <v>1.52</v>
      </c>
      <c r="C17255" t="n">
        <v>1.55</v>
      </c>
    </row>
    <row r="17256">
      <c r="A17256" s="28" t="n">
        <v>43882</v>
      </c>
      <c r="B17256" t="n">
        <v>1.46</v>
      </c>
      <c r="C17256" t="n">
        <v>1.53</v>
      </c>
    </row>
    <row r="17257">
      <c r="A17257" s="28" t="n">
        <v>43885</v>
      </c>
      <c r="B17257" t="n">
        <v>1.38</v>
      </c>
      <c r="C17257" t="n">
        <v>1.5</v>
      </c>
    </row>
    <row r="17258">
      <c r="A17258" s="28" t="n">
        <v>43886</v>
      </c>
      <c r="B17258" t="n">
        <v>1.33</v>
      </c>
      <c r="C17258" t="n">
        <v>1.5</v>
      </c>
    </row>
    <row r="17259">
      <c r="A17259" s="28" t="n">
        <v>43887</v>
      </c>
      <c r="B17259" t="n">
        <v>1.33</v>
      </c>
      <c r="C17259" t="n">
        <v>1.5</v>
      </c>
    </row>
    <row r="17260">
      <c r="A17260" s="28" t="n">
        <v>43888</v>
      </c>
      <c r="B17260" t="n">
        <v>1.3</v>
      </c>
      <c r="C17260" t="n">
        <v>1.42</v>
      </c>
    </row>
    <row r="17261">
      <c r="A17261" s="28" t="n">
        <v>43889</v>
      </c>
      <c r="B17261" t="n">
        <v>1.13</v>
      </c>
      <c r="C17261" t="n">
        <v>1.25</v>
      </c>
    </row>
    <row r="17262">
      <c r="A17262" s="28" t="n">
        <v>43892</v>
      </c>
      <c r="B17262" t="n">
        <v>1.1</v>
      </c>
      <c r="C17262" t="n">
        <v>1.1</v>
      </c>
    </row>
    <row r="17263">
      <c r="A17263" s="28" t="n">
        <v>43893</v>
      </c>
      <c r="B17263" t="n">
        <v>1.02</v>
      </c>
      <c r="C17263" t="n">
        <v>0.93</v>
      </c>
    </row>
    <row r="17264">
      <c r="A17264" s="28" t="n">
        <v>43894</v>
      </c>
      <c r="B17264" t="n">
        <v>1.02</v>
      </c>
      <c r="C17264" t="n">
        <v>0.71</v>
      </c>
    </row>
    <row r="17265">
      <c r="A17265" s="28" t="n">
        <v>43895</v>
      </c>
      <c r="B17265" t="n">
        <v>0.92</v>
      </c>
      <c r="C17265" t="n">
        <v>0.61</v>
      </c>
    </row>
    <row r="17266">
      <c r="A17266" s="28" t="n">
        <v>43896</v>
      </c>
      <c r="B17266" t="n">
        <v>0.74</v>
      </c>
      <c r="C17266" t="n">
        <v>0.45</v>
      </c>
    </row>
    <row r="17267">
      <c r="A17267" s="28" t="n">
        <v>43899</v>
      </c>
      <c r="B17267" t="n">
        <v>0.54</v>
      </c>
      <c r="C17267" t="n">
        <v>0.32</v>
      </c>
    </row>
    <row r="17268">
      <c r="A17268" s="28" t="n">
        <v>43900</v>
      </c>
      <c r="B17268" t="n">
        <v>0.76</v>
      </c>
      <c r="C17268" t="n">
        <v>0.43</v>
      </c>
    </row>
    <row r="17269">
      <c r="A17269" s="28" t="n">
        <v>43901</v>
      </c>
      <c r="B17269" t="n">
        <v>0.82</v>
      </c>
      <c r="C17269" t="n">
        <v>0.41</v>
      </c>
    </row>
    <row r="17270">
      <c r="A17270" s="28" t="n">
        <v>43902</v>
      </c>
      <c r="B17270" t="n">
        <v>0.88</v>
      </c>
      <c r="C17270" t="n">
        <v>0.33</v>
      </c>
    </row>
    <row r="17271">
      <c r="A17271" s="28" t="n">
        <v>43903</v>
      </c>
      <c r="B17271" t="n">
        <v>0.9399999999999999</v>
      </c>
      <c r="C17271" t="n">
        <v>0.27</v>
      </c>
    </row>
    <row r="17272">
      <c r="A17272" s="28" t="n">
        <v>43906</v>
      </c>
      <c r="B17272" t="n">
        <v>0.73</v>
      </c>
      <c r="C17272" t="n">
        <v>0.24</v>
      </c>
    </row>
    <row r="17273">
      <c r="A17273" s="28" t="n">
        <v>43907</v>
      </c>
      <c r="B17273" t="n">
        <v>1.02</v>
      </c>
      <c r="C17273" t="n">
        <v>0.19</v>
      </c>
    </row>
    <row r="17274">
      <c r="A17274" s="28" t="n">
        <v>43908</v>
      </c>
      <c r="B17274" t="n">
        <v>1.18</v>
      </c>
      <c r="C17274" t="n">
        <v>0.02</v>
      </c>
    </row>
    <row r="17275">
      <c r="A17275" s="28" t="n">
        <v>43909</v>
      </c>
      <c r="B17275" t="n">
        <v>1.12</v>
      </c>
      <c r="C17275" t="n">
        <v>0.04</v>
      </c>
    </row>
    <row r="17276">
      <c r="A17276" s="28" t="n">
        <v>43910</v>
      </c>
      <c r="B17276" t="n">
        <v>0.92</v>
      </c>
      <c r="C17276" t="n">
        <v>0.05</v>
      </c>
    </row>
    <row r="17277">
      <c r="A17277" s="28" t="n">
        <v>43913</v>
      </c>
      <c r="B17277" t="n">
        <v>0.76</v>
      </c>
      <c r="C17277" t="n">
        <v>0.02</v>
      </c>
    </row>
    <row r="17278">
      <c r="A17278" s="28" t="n">
        <v>43914</v>
      </c>
      <c r="B17278" t="n">
        <v>0.84</v>
      </c>
      <c r="C17278" t="n">
        <v>0.01</v>
      </c>
    </row>
    <row r="17279">
      <c r="A17279" s="28" t="n">
        <v>43915</v>
      </c>
      <c r="B17279" t="n">
        <v>0.88</v>
      </c>
      <c r="C17279" t="n">
        <v>-0.04</v>
      </c>
    </row>
    <row r="17280">
      <c r="A17280" s="28" t="n">
        <v>43916</v>
      </c>
      <c r="B17280" t="n">
        <v>0.83</v>
      </c>
      <c r="C17280" t="n">
        <v>-0.05</v>
      </c>
    </row>
    <row r="17281">
      <c r="A17281" s="28" t="n">
        <v>43917</v>
      </c>
      <c r="B17281" t="n">
        <v>0.72</v>
      </c>
      <c r="C17281" t="n">
        <v>0.03</v>
      </c>
    </row>
    <row r="17282">
      <c r="A17282" s="28" t="n">
        <v>43920</v>
      </c>
      <c r="B17282" t="n">
        <v>0.7</v>
      </c>
      <c r="C17282" t="n">
        <v>0.12</v>
      </c>
    </row>
    <row r="17283">
      <c r="A17283" s="28" t="n">
        <v>43921</v>
      </c>
      <c r="B17283" t="n">
        <v>0.7</v>
      </c>
      <c r="C17283" t="n">
        <v>0.11</v>
      </c>
    </row>
    <row r="17284">
      <c r="A17284" s="28" t="n">
        <v>43922</v>
      </c>
      <c r="B17284" t="n">
        <v>0.62</v>
      </c>
      <c r="C17284" t="n">
        <v>0.09</v>
      </c>
    </row>
    <row r="17285">
      <c r="A17285" s="28" t="n">
        <v>43923</v>
      </c>
      <c r="B17285" t="n">
        <v>0.63</v>
      </c>
      <c r="C17285" t="n">
        <v>0.09</v>
      </c>
    </row>
    <row r="17286">
      <c r="A17286" s="28" t="n">
        <v>43924</v>
      </c>
      <c r="B17286" t="n">
        <v>0.62</v>
      </c>
      <c r="C17286" t="n">
        <v>0.1</v>
      </c>
    </row>
    <row r="17287">
      <c r="A17287" s="28" t="n">
        <v>43927</v>
      </c>
      <c r="B17287" t="n">
        <v>0.67</v>
      </c>
      <c r="C17287" t="n">
        <v>0.15</v>
      </c>
    </row>
    <row r="17288">
      <c r="A17288" s="28" t="n">
        <v>43928</v>
      </c>
      <c r="B17288" t="n">
        <v>0.75</v>
      </c>
      <c r="C17288" t="n">
        <v>0.14</v>
      </c>
    </row>
    <row r="17289">
      <c r="A17289" s="28" t="n">
        <v>43929</v>
      </c>
      <c r="B17289" t="n">
        <v>0.77</v>
      </c>
      <c r="C17289" t="n">
        <v>0.22</v>
      </c>
    </row>
    <row r="17290">
      <c r="A17290" s="28" t="n">
        <v>43930</v>
      </c>
      <c r="B17290" t="n">
        <v>0.73</v>
      </c>
      <c r="C17290" t="n">
        <v>0.25</v>
      </c>
    </row>
    <row r="17291">
      <c r="A17291" s="28" t="n">
        <v>43931</v>
      </c>
      <c r="B17291" t="n">
        <v>0</v>
      </c>
      <c r="C17291" t="n">
        <v>0</v>
      </c>
    </row>
    <row r="17292">
      <c r="A17292" s="28" t="n">
        <v>43934</v>
      </c>
      <c r="B17292" t="n">
        <v>0.76</v>
      </c>
      <c r="C17292" t="n">
        <v>0.26</v>
      </c>
    </row>
    <row r="17293">
      <c r="A17293" s="28" t="n">
        <v>43935</v>
      </c>
      <c r="B17293" t="n">
        <v>0.76</v>
      </c>
      <c r="C17293" t="n">
        <v>0.2</v>
      </c>
    </row>
    <row r="17294">
      <c r="A17294" s="28" t="n">
        <v>43936</v>
      </c>
      <c r="B17294" t="n">
        <v>0.63</v>
      </c>
      <c r="C17294" t="n">
        <v>0.14</v>
      </c>
    </row>
    <row r="17295">
      <c r="A17295" s="28" t="n">
        <v>43937</v>
      </c>
      <c r="B17295" t="n">
        <v>0.61</v>
      </c>
      <c r="C17295" t="n">
        <v>0.14</v>
      </c>
    </row>
    <row r="17296">
      <c r="A17296" s="28" t="n">
        <v>43938</v>
      </c>
      <c r="B17296" t="n">
        <v>0.65</v>
      </c>
      <c r="C17296" t="n">
        <v>0.12</v>
      </c>
    </row>
    <row r="17297">
      <c r="A17297" s="28" t="n">
        <v>43941</v>
      </c>
      <c r="B17297" t="n">
        <v>0.63</v>
      </c>
      <c r="C17297" t="n">
        <v>0.12</v>
      </c>
    </row>
    <row r="17298">
      <c r="A17298" s="28" t="n">
        <v>43942</v>
      </c>
      <c r="B17298" t="n">
        <v>0.58</v>
      </c>
      <c r="C17298" t="n">
        <v>0.11</v>
      </c>
    </row>
    <row r="17299">
      <c r="A17299" s="28" t="n">
        <v>43943</v>
      </c>
      <c r="B17299" t="n">
        <v>0.63</v>
      </c>
      <c r="C17299" t="n">
        <v>0.12</v>
      </c>
    </row>
    <row r="17300">
      <c r="A17300" s="28" t="n">
        <v>43944</v>
      </c>
      <c r="B17300" t="n">
        <v>0.61</v>
      </c>
      <c r="C17300" t="n">
        <v>0.11</v>
      </c>
    </row>
    <row r="17301">
      <c r="A17301" s="28" t="n">
        <v>43945</v>
      </c>
      <c r="B17301" t="n">
        <v>0.6</v>
      </c>
      <c r="C17301" t="n">
        <v>0.12</v>
      </c>
    </row>
    <row r="17302">
      <c r="A17302" s="28" t="n">
        <v>43948</v>
      </c>
      <c r="B17302" t="n">
        <v>0.67</v>
      </c>
      <c r="C17302" t="n">
        <v>0.12</v>
      </c>
    </row>
    <row r="17303">
      <c r="A17303" s="28" t="n">
        <v>43949</v>
      </c>
      <c r="B17303" t="n">
        <v>0.62</v>
      </c>
      <c r="C17303" t="n">
        <v>0.11</v>
      </c>
    </row>
    <row r="17304">
      <c r="A17304" s="28" t="n">
        <v>43950</v>
      </c>
      <c r="B17304" t="n">
        <v>0.63</v>
      </c>
      <c r="C17304" t="n">
        <v>0.1</v>
      </c>
    </row>
    <row r="17305">
      <c r="A17305" s="28" t="n">
        <v>43951</v>
      </c>
      <c r="B17305" t="n">
        <v>0.64</v>
      </c>
      <c r="C17305" t="n">
        <v>0.09</v>
      </c>
    </row>
    <row r="17306">
      <c r="A17306" s="28" t="n">
        <v>43952</v>
      </c>
      <c r="B17306" t="n">
        <v>0.64</v>
      </c>
      <c r="C17306" t="n">
        <v>0.12</v>
      </c>
    </row>
    <row r="17307">
      <c r="A17307" s="28" t="n">
        <v>43955</v>
      </c>
      <c r="B17307" t="n">
        <v>0.64</v>
      </c>
      <c r="C17307" t="n">
        <v>0.13</v>
      </c>
    </row>
    <row r="17308">
      <c r="A17308" s="28" t="n">
        <v>43956</v>
      </c>
      <c r="B17308" t="n">
        <v>0.66</v>
      </c>
      <c r="C17308" t="n">
        <v>0.13</v>
      </c>
    </row>
    <row r="17309">
      <c r="A17309" s="28" t="n">
        <v>43957</v>
      </c>
      <c r="B17309" t="n">
        <v>0.72</v>
      </c>
      <c r="C17309" t="n">
        <v>0.12</v>
      </c>
    </row>
    <row r="17310">
      <c r="A17310" s="28" t="n">
        <v>43958</v>
      </c>
      <c r="B17310" t="n">
        <v>0.63</v>
      </c>
      <c r="C17310" t="n">
        <v>0.11</v>
      </c>
    </row>
    <row r="17311">
      <c r="A17311" s="28" t="n">
        <v>43959</v>
      </c>
      <c r="B17311" t="n">
        <v>0.6899999999999999</v>
      </c>
      <c r="C17311" t="n">
        <v>0.12</v>
      </c>
    </row>
    <row r="17312">
      <c r="A17312" s="28" t="n">
        <v>43962</v>
      </c>
      <c r="B17312" t="n">
        <v>0.73</v>
      </c>
      <c r="C17312" t="n">
        <v>0.12</v>
      </c>
    </row>
    <row r="17313">
      <c r="A17313" s="28" t="n">
        <v>43963</v>
      </c>
      <c r="B17313" t="n">
        <v>0.6899999999999999</v>
      </c>
      <c r="C17313" t="n">
        <v>0.13</v>
      </c>
    </row>
    <row r="17314">
      <c r="A17314" s="28" t="n">
        <v>43964</v>
      </c>
      <c r="B17314" t="n">
        <v>0.64</v>
      </c>
      <c r="C17314" t="n">
        <v>0.13</v>
      </c>
    </row>
    <row r="17315">
      <c r="A17315" s="28" t="n">
        <v>43965</v>
      </c>
      <c r="B17315" t="n">
        <v>0.63</v>
      </c>
      <c r="C17315" t="n">
        <v>0.12</v>
      </c>
    </row>
    <row r="17316">
      <c r="A17316" s="28" t="n">
        <v>43966</v>
      </c>
      <c r="B17316" t="n">
        <v>0.64</v>
      </c>
      <c r="C17316" t="n">
        <v>0.12</v>
      </c>
    </row>
    <row r="17317">
      <c r="A17317" s="28" t="n">
        <v>43969</v>
      </c>
      <c r="B17317" t="n">
        <v>0.73</v>
      </c>
      <c r="C17317" t="n">
        <v>0.13</v>
      </c>
    </row>
    <row r="17318">
      <c r="A17318" s="28" t="n">
        <v>43970</v>
      </c>
      <c r="B17318" t="n">
        <v>0.7</v>
      </c>
      <c r="C17318" t="n">
        <v>0.13</v>
      </c>
    </row>
    <row r="17319">
      <c r="A17319" s="28" t="n">
        <v>43971</v>
      </c>
      <c r="B17319" t="n">
        <v>0.68</v>
      </c>
      <c r="C17319" t="n">
        <v>0.12</v>
      </c>
    </row>
    <row r="17320">
      <c r="A17320" s="28" t="n">
        <v>43972</v>
      </c>
      <c r="B17320" t="n">
        <v>0.68</v>
      </c>
      <c r="C17320" t="n">
        <v>0.12</v>
      </c>
    </row>
    <row r="17321">
      <c r="A17321" s="28" t="n">
        <v>43973</v>
      </c>
      <c r="B17321" t="n">
        <v>0.66</v>
      </c>
      <c r="C17321" t="n">
        <v>0.12</v>
      </c>
    </row>
    <row r="17322">
      <c r="A17322" s="28" t="n">
        <v>43976</v>
      </c>
      <c r="B17322" t="n">
        <v>0</v>
      </c>
      <c r="C17322" t="n">
        <v>0</v>
      </c>
    </row>
    <row r="17323">
      <c r="A17323" s="28" t="n">
        <v>43977</v>
      </c>
      <c r="B17323" t="n">
        <v>0.6899999999999999</v>
      </c>
      <c r="C17323" t="n">
        <v>0.14</v>
      </c>
    </row>
    <row r="17324">
      <c r="A17324" s="28" t="n">
        <v>43978</v>
      </c>
      <c r="B17324" t="n">
        <v>0.68</v>
      </c>
      <c r="C17324" t="n">
        <v>0.15</v>
      </c>
    </row>
    <row r="17325">
      <c r="A17325" s="28" t="n">
        <v>43979</v>
      </c>
      <c r="B17325" t="n">
        <v>0.7</v>
      </c>
      <c r="C17325" t="n">
        <v>0.15</v>
      </c>
    </row>
    <row r="17326">
      <c r="A17326" s="28" t="n">
        <v>43980</v>
      </c>
      <c r="B17326" t="n">
        <v>0.65</v>
      </c>
      <c r="C17326" t="n">
        <v>0.14</v>
      </c>
    </row>
    <row r="17327">
      <c r="A17327" s="28" t="n">
        <v>43983</v>
      </c>
      <c r="B17327" t="n">
        <v>0.66</v>
      </c>
      <c r="C17327" t="n">
        <v>0.14</v>
      </c>
    </row>
    <row r="17328">
      <c r="A17328" s="28" t="n">
        <v>43984</v>
      </c>
      <c r="B17328" t="n">
        <v>0.68</v>
      </c>
      <c r="C17328" t="n">
        <v>0.15</v>
      </c>
    </row>
    <row r="17329">
      <c r="A17329" s="28" t="n">
        <v>43985</v>
      </c>
      <c r="B17329" t="n">
        <v>0.77</v>
      </c>
      <c r="C17329" t="n">
        <v>0.16</v>
      </c>
    </row>
    <row r="17330">
      <c r="A17330" s="28" t="n">
        <v>43986</v>
      </c>
      <c r="B17330" t="n">
        <v>0.82</v>
      </c>
      <c r="C17330" t="n">
        <v>0.15</v>
      </c>
    </row>
    <row r="17331">
      <c r="A17331" s="28" t="n">
        <v>43987</v>
      </c>
      <c r="B17331" t="n">
        <v>0.91</v>
      </c>
      <c r="C17331" t="n">
        <v>0.15</v>
      </c>
    </row>
    <row r="17332">
      <c r="A17332" s="28" t="n">
        <v>43990</v>
      </c>
      <c r="B17332" t="n">
        <v>0.88</v>
      </c>
      <c r="C17332" t="n">
        <v>0.17</v>
      </c>
    </row>
    <row r="17333">
      <c r="A17333" s="28" t="n">
        <v>43991</v>
      </c>
      <c r="B17333" t="n">
        <v>0.84</v>
      </c>
      <c r="C17333" t="n">
        <v>0.19</v>
      </c>
    </row>
    <row r="17334">
      <c r="A17334" s="28" t="n">
        <v>43992</v>
      </c>
      <c r="B17334" t="n">
        <v>0.75</v>
      </c>
      <c r="C17334" t="n">
        <v>0.17</v>
      </c>
    </row>
    <row r="17335">
      <c r="A17335" s="28" t="n">
        <v>43993</v>
      </c>
      <c r="B17335" t="n">
        <v>0.66</v>
      </c>
      <c r="C17335" t="n">
        <v>0.17</v>
      </c>
    </row>
    <row r="17336">
      <c r="A17336" s="28" t="n">
        <v>43994</v>
      </c>
      <c r="B17336" t="n">
        <v>0.71</v>
      </c>
      <c r="C17336" t="n">
        <v>0.16</v>
      </c>
    </row>
    <row r="17337">
      <c r="A17337" s="28" t="n">
        <v>43997</v>
      </c>
      <c r="B17337" t="n">
        <v>0.71</v>
      </c>
      <c r="C17337" t="n">
        <v>0.18</v>
      </c>
    </row>
    <row r="17338">
      <c r="A17338" s="28" t="n">
        <v>43998</v>
      </c>
      <c r="B17338" t="n">
        <v>0.75</v>
      </c>
      <c r="C17338" t="n">
        <v>0.17</v>
      </c>
    </row>
    <row r="17339">
      <c r="A17339" s="28" t="n">
        <v>43999</v>
      </c>
      <c r="B17339" t="n">
        <v>0.74</v>
      </c>
      <c r="C17339" t="n">
        <v>0.17</v>
      </c>
    </row>
    <row r="17340">
      <c r="A17340" s="28" t="n">
        <v>44000</v>
      </c>
      <c r="B17340" t="n">
        <v>0.71</v>
      </c>
      <c r="C17340" t="n">
        <v>0.16</v>
      </c>
    </row>
    <row r="17341">
      <c r="A17341" s="28" t="n">
        <v>44001</v>
      </c>
      <c r="B17341" t="n">
        <v>0.7</v>
      </c>
      <c r="C17341" t="n">
        <v>0.15</v>
      </c>
    </row>
    <row r="17342">
      <c r="A17342" s="28" t="n">
        <v>44004</v>
      </c>
      <c r="B17342" t="n">
        <v>0.71</v>
      </c>
      <c r="C17342" t="n">
        <v>0.16</v>
      </c>
    </row>
    <row r="17343">
      <c r="A17343" s="28" t="n">
        <v>44005</v>
      </c>
      <c r="B17343" t="n">
        <v>0.72</v>
      </c>
      <c r="C17343" t="n">
        <v>0.16</v>
      </c>
    </row>
    <row r="17344">
      <c r="A17344" s="28" t="n">
        <v>44006</v>
      </c>
      <c r="B17344" t="n">
        <v>0.6899999999999999</v>
      </c>
      <c r="C17344" t="n">
        <v>0.15</v>
      </c>
    </row>
    <row r="17345">
      <c r="A17345" s="28" t="n">
        <v>44007</v>
      </c>
      <c r="B17345" t="n">
        <v>0.68</v>
      </c>
      <c r="C17345" t="n">
        <v>0.16</v>
      </c>
    </row>
    <row r="17346">
      <c r="A17346" s="28" t="n">
        <v>44008</v>
      </c>
      <c r="B17346" t="n">
        <v>0.64</v>
      </c>
      <c r="C17346" t="n">
        <v>0.14</v>
      </c>
    </row>
    <row r="17347">
      <c r="A17347" s="28" t="n">
        <v>44011</v>
      </c>
      <c r="B17347" t="n">
        <v>0.64</v>
      </c>
      <c r="C17347" t="n">
        <v>0.14</v>
      </c>
    </row>
    <row r="17348">
      <c r="A17348" s="28" t="n">
        <v>44012</v>
      </c>
      <c r="B17348" t="n">
        <v>0.66</v>
      </c>
      <c r="C17348" t="n">
        <v>0.16</v>
      </c>
    </row>
    <row r="17349">
      <c r="A17349" s="28" t="n">
        <v>44013</v>
      </c>
      <c r="B17349" t="n">
        <v>0.6899999999999999</v>
      </c>
      <c r="C17349" t="n">
        <v>0.14</v>
      </c>
    </row>
    <row r="17350">
      <c r="A17350" s="28" t="n">
        <v>44014</v>
      </c>
      <c r="B17350" t="n">
        <v>0.68</v>
      </c>
      <c r="C17350" t="n">
        <v>0.14</v>
      </c>
    </row>
    <row r="17351">
      <c r="A17351" s="28" t="n">
        <v>44015</v>
      </c>
      <c r="B17351" t="n">
        <v>0</v>
      </c>
      <c r="C17351" t="n">
        <v>0</v>
      </c>
    </row>
    <row r="17352">
      <c r="A17352" s="28" t="n">
        <v>44018</v>
      </c>
      <c r="B17352" t="n">
        <v>0.6899999999999999</v>
      </c>
      <c r="C17352" t="n">
        <v>0.15</v>
      </c>
    </row>
    <row r="17353">
      <c r="A17353" s="28" t="n">
        <v>44019</v>
      </c>
      <c r="B17353" t="n">
        <v>0.65</v>
      </c>
      <c r="C17353" t="n">
        <v>0.15</v>
      </c>
    </row>
    <row r="17354">
      <c r="A17354" s="28" t="n">
        <v>44020</v>
      </c>
      <c r="B17354" t="n">
        <v>0.67</v>
      </c>
      <c r="C17354" t="n">
        <v>0.15</v>
      </c>
    </row>
    <row r="17355">
      <c r="A17355" s="28" t="n">
        <v>44021</v>
      </c>
      <c r="B17355" t="n">
        <v>0.62</v>
      </c>
      <c r="C17355" t="n">
        <v>0.13</v>
      </c>
    </row>
    <row r="17356">
      <c r="A17356" s="28" t="n">
        <v>44022</v>
      </c>
      <c r="B17356" t="n">
        <v>0.65</v>
      </c>
      <c r="C17356" t="n">
        <v>0.13</v>
      </c>
    </row>
    <row r="17357">
      <c r="A17357" s="28" t="n">
        <v>44025</v>
      </c>
      <c r="B17357" t="n">
        <v>0.64</v>
      </c>
      <c r="C17357" t="n">
        <v>0.14</v>
      </c>
    </row>
    <row r="17358">
      <c r="A17358" s="28" t="n">
        <v>44026</v>
      </c>
      <c r="B17358" t="n">
        <v>0.63</v>
      </c>
      <c r="C17358" t="n">
        <v>0.15</v>
      </c>
    </row>
    <row r="17359">
      <c r="A17359" s="28" t="n">
        <v>44027</v>
      </c>
      <c r="B17359" t="n">
        <v>0.64</v>
      </c>
      <c r="C17359" t="n">
        <v>0.16</v>
      </c>
    </row>
    <row r="17360">
      <c r="A17360" s="28" t="n">
        <v>44028</v>
      </c>
      <c r="B17360" t="n">
        <v>0.62</v>
      </c>
      <c r="C17360" t="n">
        <v>0.11</v>
      </c>
    </row>
    <row r="17361">
      <c r="A17361" s="28" t="n">
        <v>44029</v>
      </c>
      <c r="B17361" t="n">
        <v>0.64</v>
      </c>
      <c r="C17361" t="n">
        <v>0.11</v>
      </c>
    </row>
    <row r="17362">
      <c r="A17362" s="28" t="n">
        <v>44032</v>
      </c>
      <c r="B17362" t="n">
        <v>0.62</v>
      </c>
      <c r="C17362" t="n">
        <v>0.13</v>
      </c>
    </row>
    <row r="17363">
      <c r="A17363" s="28" t="n">
        <v>44033</v>
      </c>
      <c r="B17363" t="n">
        <v>0.61</v>
      </c>
      <c r="C17363" t="n">
        <v>0.13</v>
      </c>
    </row>
    <row r="17364">
      <c r="A17364" s="28" t="n">
        <v>44034</v>
      </c>
      <c r="B17364" t="n">
        <v>0.6</v>
      </c>
      <c r="C17364" t="n">
        <v>0.13</v>
      </c>
    </row>
    <row r="17365">
      <c r="A17365" s="28" t="n">
        <v>44035</v>
      </c>
      <c r="B17365" t="n">
        <v>0.59</v>
      </c>
      <c r="C17365" t="n">
        <v>0.12</v>
      </c>
    </row>
    <row r="17366">
      <c r="A17366" s="28" t="n">
        <v>44036</v>
      </c>
      <c r="B17366" t="n">
        <v>0.59</v>
      </c>
      <c r="C17366" t="n">
        <v>0.11</v>
      </c>
    </row>
    <row r="17367">
      <c r="A17367" s="28" t="n">
        <v>44039</v>
      </c>
      <c r="B17367" t="n">
        <v>0.62</v>
      </c>
      <c r="C17367" t="n">
        <v>0.11</v>
      </c>
    </row>
    <row r="17368">
      <c r="A17368" s="28" t="n">
        <v>44040</v>
      </c>
      <c r="B17368" t="n">
        <v>0.59</v>
      </c>
      <c r="C17368" t="n">
        <v>0.11</v>
      </c>
    </row>
    <row r="17369">
      <c r="A17369" s="28" t="n">
        <v>44041</v>
      </c>
      <c r="B17369" t="n">
        <v>0.58</v>
      </c>
      <c r="C17369" t="n">
        <v>0.11</v>
      </c>
    </row>
    <row r="17370">
      <c r="A17370" s="28" t="n">
        <v>44042</v>
      </c>
      <c r="B17370" t="n">
        <v>0.55</v>
      </c>
      <c r="C17370" t="n">
        <v>0.09</v>
      </c>
    </row>
    <row r="17371">
      <c r="A17371" s="28" t="n">
        <v>44043</v>
      </c>
      <c r="B17371" t="n">
        <v>0.55</v>
      </c>
      <c r="C17371" t="n">
        <v>0.09</v>
      </c>
    </row>
    <row r="17372">
      <c r="A17372" s="28" t="n">
        <v>44046</v>
      </c>
      <c r="B17372" t="n">
        <v>0.5600000000000001</v>
      </c>
      <c r="C17372" t="n">
        <v>0.1</v>
      </c>
    </row>
    <row r="17373">
      <c r="A17373" s="28" t="n">
        <v>44047</v>
      </c>
      <c r="B17373" t="n">
        <v>0.52</v>
      </c>
      <c r="C17373" t="n">
        <v>0.09</v>
      </c>
    </row>
    <row r="17374">
      <c r="A17374" s="28" t="n">
        <v>44048</v>
      </c>
      <c r="B17374" t="n">
        <v>0.55</v>
      </c>
      <c r="C17374" t="n">
        <v>0.1</v>
      </c>
    </row>
    <row r="17375">
      <c r="A17375" s="28" t="n">
        <v>44049</v>
      </c>
      <c r="B17375" t="n">
        <v>0.55</v>
      </c>
      <c r="C17375" t="n">
        <v>0.1</v>
      </c>
    </row>
    <row r="17376">
      <c r="A17376" s="28" t="n">
        <v>44050</v>
      </c>
      <c r="B17376" t="n">
        <v>0.57</v>
      </c>
      <c r="C17376" t="n">
        <v>0.1</v>
      </c>
    </row>
    <row r="17377">
      <c r="A17377" s="28" t="n">
        <v>44053</v>
      </c>
      <c r="B17377" t="n">
        <v>0.59</v>
      </c>
      <c r="C17377" t="n">
        <v>0.11</v>
      </c>
    </row>
    <row r="17378">
      <c r="A17378" s="28" t="n">
        <v>44054</v>
      </c>
      <c r="B17378" t="n">
        <v>0.64</v>
      </c>
      <c r="C17378" t="n">
        <v>0.11</v>
      </c>
    </row>
    <row r="17379">
      <c r="A17379" s="28" t="n">
        <v>44055</v>
      </c>
      <c r="B17379" t="n">
        <v>0.6899999999999999</v>
      </c>
      <c r="C17379" t="n">
        <v>0.11</v>
      </c>
    </row>
    <row r="17380">
      <c r="A17380" s="28" t="n">
        <v>44056</v>
      </c>
      <c r="B17380" t="n">
        <v>0.71</v>
      </c>
      <c r="C17380" t="n">
        <v>0.1</v>
      </c>
    </row>
    <row r="17381">
      <c r="A17381" s="28" t="n">
        <v>44057</v>
      </c>
      <c r="B17381" t="n">
        <v>0.71</v>
      </c>
      <c r="C17381" t="n">
        <v>0.1</v>
      </c>
    </row>
    <row r="17382">
      <c r="A17382" s="28" t="n">
        <v>44060</v>
      </c>
      <c r="B17382" t="n">
        <v>0.6899999999999999</v>
      </c>
      <c r="C17382" t="n">
        <v>0.1</v>
      </c>
    </row>
    <row r="17383">
      <c r="A17383" s="28" t="n">
        <v>44061</v>
      </c>
      <c r="B17383" t="n">
        <v>0.67</v>
      </c>
      <c r="C17383" t="n">
        <v>0.09</v>
      </c>
    </row>
    <row r="17384">
      <c r="A17384" s="28" t="n">
        <v>44062</v>
      </c>
      <c r="B17384" t="n">
        <v>0.68</v>
      </c>
      <c r="C17384" t="n">
        <v>0.11</v>
      </c>
    </row>
    <row r="17385">
      <c r="A17385" s="28" t="n">
        <v>44063</v>
      </c>
      <c r="B17385" t="n">
        <v>0.65</v>
      </c>
      <c r="C17385" t="n">
        <v>0.11</v>
      </c>
    </row>
    <row r="17386">
      <c r="A17386" s="28" t="n">
        <v>44064</v>
      </c>
      <c r="B17386" t="n">
        <v>0.64</v>
      </c>
      <c r="C17386" t="n">
        <v>0.1</v>
      </c>
    </row>
    <row r="17387">
      <c r="A17387" s="28" t="n">
        <v>44067</v>
      </c>
      <c r="B17387" t="n">
        <v>0.65</v>
      </c>
      <c r="C17387" t="n">
        <v>0.12</v>
      </c>
    </row>
    <row r="17388">
      <c r="A17388" s="28" t="n">
        <v>44068</v>
      </c>
      <c r="B17388" t="n">
        <v>0.6899999999999999</v>
      </c>
      <c r="C17388" t="n">
        <v>0.11</v>
      </c>
    </row>
    <row r="17389">
      <c r="A17389" s="28" t="n">
        <v>44069</v>
      </c>
      <c r="B17389" t="n">
        <v>0.6899999999999999</v>
      </c>
      <c r="C17389" t="n">
        <v>0.11</v>
      </c>
    </row>
    <row r="17390">
      <c r="A17390" s="28" t="n">
        <v>44070</v>
      </c>
      <c r="B17390" t="n">
        <v>0.74</v>
      </c>
      <c r="C17390" t="n">
        <v>0.11</v>
      </c>
    </row>
    <row r="17391">
      <c r="A17391" s="28" t="n">
        <v>44071</v>
      </c>
      <c r="B17391" t="n">
        <v>0.74</v>
      </c>
      <c r="C17391" t="n">
        <v>0.1</v>
      </c>
    </row>
    <row r="17392">
      <c r="A17392" s="28" t="n">
        <v>44074</v>
      </c>
      <c r="B17392" t="n">
        <v>0.72</v>
      </c>
      <c r="C17392" t="n">
        <v>0.11</v>
      </c>
    </row>
    <row r="17393">
      <c r="A17393" s="28" t="n">
        <v>44075</v>
      </c>
      <c r="B17393" t="n">
        <v>0.68</v>
      </c>
      <c r="C17393" t="n">
        <v>0.12</v>
      </c>
    </row>
    <row r="17394">
      <c r="A17394" s="28" t="n">
        <v>44076</v>
      </c>
      <c r="B17394" t="n">
        <v>0.66</v>
      </c>
      <c r="C17394" t="n">
        <v>0.12</v>
      </c>
    </row>
    <row r="17395">
      <c r="A17395" s="28" t="n">
        <v>44077</v>
      </c>
      <c r="B17395" t="n">
        <v>0.63</v>
      </c>
      <c r="C17395" t="n">
        <v>0.11</v>
      </c>
    </row>
    <row r="17396">
      <c r="A17396" s="28" t="n">
        <v>44078</v>
      </c>
      <c r="B17396" t="n">
        <v>0.72</v>
      </c>
      <c r="C17396" t="n">
        <v>0.11</v>
      </c>
    </row>
    <row r="17397">
      <c r="A17397" s="28" t="n">
        <v>44081</v>
      </c>
      <c r="B17397" t="n">
        <v>0</v>
      </c>
      <c r="C17397" t="n">
        <v>0</v>
      </c>
    </row>
    <row r="17398">
      <c r="A17398" s="28" t="n">
        <v>44082</v>
      </c>
      <c r="B17398" t="n">
        <v>0.6899999999999999</v>
      </c>
      <c r="C17398" t="n">
        <v>0.13</v>
      </c>
    </row>
    <row r="17399">
      <c r="A17399" s="28" t="n">
        <v>44083</v>
      </c>
      <c r="B17399" t="n">
        <v>0.71</v>
      </c>
      <c r="C17399" t="n">
        <v>0.12</v>
      </c>
    </row>
    <row r="17400">
      <c r="A17400" s="28" t="n">
        <v>44084</v>
      </c>
      <c r="B17400" t="n">
        <v>0.68</v>
      </c>
      <c r="C17400" t="n">
        <v>0.12</v>
      </c>
    </row>
    <row r="17401">
      <c r="A17401" s="28" t="n">
        <v>44085</v>
      </c>
      <c r="B17401" t="n">
        <v>0.67</v>
      </c>
      <c r="C17401" t="n">
        <v>0.11</v>
      </c>
    </row>
    <row r="17402">
      <c r="A17402" s="28" t="n">
        <v>44088</v>
      </c>
      <c r="B17402" t="n">
        <v>0.68</v>
      </c>
      <c r="C17402" t="n">
        <v>0.11</v>
      </c>
    </row>
    <row r="17403">
      <c r="A17403" s="28" t="n">
        <v>44089</v>
      </c>
      <c r="B17403" t="n">
        <v>0.68</v>
      </c>
      <c r="C17403" t="n">
        <v>0.11</v>
      </c>
    </row>
    <row r="17404">
      <c r="A17404" s="28" t="n">
        <v>44090</v>
      </c>
      <c r="B17404" t="n">
        <v>0.6899999999999999</v>
      </c>
      <c r="C17404" t="n">
        <v>0.12</v>
      </c>
    </row>
    <row r="17405">
      <c r="A17405" s="28" t="n">
        <v>44091</v>
      </c>
      <c r="B17405" t="n">
        <v>0.6899999999999999</v>
      </c>
      <c r="C17405" t="n">
        <v>0.09</v>
      </c>
    </row>
    <row r="17406">
      <c r="A17406" s="28" t="n">
        <v>44092</v>
      </c>
      <c r="B17406" t="n">
        <v>0.7</v>
      </c>
      <c r="C17406" t="n">
        <v>0.1</v>
      </c>
    </row>
    <row r="17407">
      <c r="A17407" s="28" t="n">
        <v>44095</v>
      </c>
      <c r="B17407" t="n">
        <v>0.68</v>
      </c>
      <c r="C17407" t="n">
        <v>0.1</v>
      </c>
    </row>
    <row r="17408">
      <c r="A17408" s="28" t="n">
        <v>44096</v>
      </c>
      <c r="B17408" t="n">
        <v>0.68</v>
      </c>
      <c r="C17408" t="n">
        <v>0.1</v>
      </c>
    </row>
    <row r="17409">
      <c r="A17409" s="28" t="n">
        <v>44097</v>
      </c>
      <c r="B17409" t="n">
        <v>0.68</v>
      </c>
      <c r="C17409" t="n">
        <v>0.11</v>
      </c>
    </row>
    <row r="17410">
      <c r="A17410" s="28" t="n">
        <v>44098</v>
      </c>
      <c r="B17410" t="n">
        <v>0.67</v>
      </c>
      <c r="C17410" t="n">
        <v>0.1</v>
      </c>
    </row>
    <row r="17411">
      <c r="A17411" s="28" t="n">
        <v>44099</v>
      </c>
      <c r="B17411" t="n">
        <v>0.66</v>
      </c>
      <c r="C17411" t="n">
        <v>0.1</v>
      </c>
    </row>
    <row r="17412">
      <c r="A17412" s="28" t="n">
        <v>44102</v>
      </c>
      <c r="B17412" t="n">
        <v>0.67</v>
      </c>
      <c r="C17412" t="n">
        <v>0.11</v>
      </c>
    </row>
    <row r="17413">
      <c r="A17413" s="28" t="n">
        <v>44103</v>
      </c>
      <c r="B17413" t="n">
        <v>0.66</v>
      </c>
      <c r="C17413" t="n">
        <v>0.09</v>
      </c>
    </row>
    <row r="17414">
      <c r="A17414" s="28" t="n">
        <v>44104</v>
      </c>
      <c r="B17414" t="n">
        <v>0.6899999999999999</v>
      </c>
      <c r="C17414" t="n">
        <v>0.1</v>
      </c>
    </row>
    <row r="17415">
      <c r="A17415" s="28" t="n">
        <v>44105</v>
      </c>
      <c r="B17415" t="n">
        <v>0.68</v>
      </c>
      <c r="C17415" t="n">
        <v>0.09</v>
      </c>
    </row>
    <row r="17416">
      <c r="A17416" s="28" t="n">
        <v>44106</v>
      </c>
      <c r="B17416" t="n">
        <v>0.7</v>
      </c>
      <c r="C17416" t="n">
        <v>0.09</v>
      </c>
    </row>
    <row r="17417">
      <c r="A17417" s="28" t="n">
        <v>44109</v>
      </c>
      <c r="B17417" t="n">
        <v>0.78</v>
      </c>
      <c r="C17417" t="n">
        <v>0.1</v>
      </c>
    </row>
    <row r="17418">
      <c r="A17418" s="28" t="n">
        <v>44110</v>
      </c>
      <c r="B17418" t="n">
        <v>0.76</v>
      </c>
      <c r="C17418" t="n">
        <v>0.1</v>
      </c>
    </row>
    <row r="17419">
      <c r="A17419" s="28" t="n">
        <v>44111</v>
      </c>
      <c r="B17419" t="n">
        <v>0.8100000000000001</v>
      </c>
      <c r="C17419" t="n">
        <v>0.1</v>
      </c>
    </row>
    <row r="17420">
      <c r="A17420" s="28" t="n">
        <v>44112</v>
      </c>
      <c r="B17420" t="n">
        <v>0.78</v>
      </c>
      <c r="C17420" t="n">
        <v>0.09</v>
      </c>
    </row>
    <row r="17421">
      <c r="A17421" s="28" t="n">
        <v>44113</v>
      </c>
      <c r="B17421" t="n">
        <v>0.79</v>
      </c>
      <c r="C17421" t="n">
        <v>0.1</v>
      </c>
    </row>
    <row r="17422">
      <c r="A17422" s="28" t="n">
        <v>44116</v>
      </c>
      <c r="B17422" t="n">
        <v>0</v>
      </c>
      <c r="C17422" t="n">
        <v>0</v>
      </c>
    </row>
    <row r="17423">
      <c r="A17423" s="28" t="n">
        <v>44117</v>
      </c>
      <c r="B17423" t="n">
        <v>0.74</v>
      </c>
      <c r="C17423" t="n">
        <v>0.11</v>
      </c>
    </row>
    <row r="17424">
      <c r="A17424" s="28" t="n">
        <v>44118</v>
      </c>
      <c r="B17424" t="n">
        <v>0.73</v>
      </c>
      <c r="C17424" t="n">
        <v>0.12</v>
      </c>
    </row>
    <row r="17425">
      <c r="A17425" s="28" t="n">
        <v>44119</v>
      </c>
      <c r="B17425" t="n">
        <v>0.74</v>
      </c>
      <c r="C17425" t="n">
        <v>0.11</v>
      </c>
    </row>
    <row r="17426">
      <c r="A17426" s="28" t="n">
        <v>44120</v>
      </c>
      <c r="B17426" t="n">
        <v>0.76</v>
      </c>
      <c r="C17426" t="n">
        <v>0.11</v>
      </c>
    </row>
    <row r="17427">
      <c r="A17427" s="28" t="n">
        <v>44123</v>
      </c>
      <c r="B17427" t="n">
        <v>0.78</v>
      </c>
      <c r="C17427" t="n">
        <v>0.11</v>
      </c>
    </row>
    <row r="17428">
      <c r="A17428" s="28" t="n">
        <v>44124</v>
      </c>
      <c r="B17428" t="n">
        <v>0.8100000000000001</v>
      </c>
      <c r="C17428" t="n">
        <v>0.1</v>
      </c>
    </row>
    <row r="17429">
      <c r="A17429" s="28" t="n">
        <v>44125</v>
      </c>
      <c r="B17429" t="n">
        <v>0.83</v>
      </c>
      <c r="C17429" t="n">
        <v>0.1</v>
      </c>
    </row>
    <row r="17430">
      <c r="A17430" s="28" t="n">
        <v>44126</v>
      </c>
      <c r="B17430" t="n">
        <v>0.87</v>
      </c>
      <c r="C17430" t="n">
        <v>0.09</v>
      </c>
    </row>
    <row r="17431">
      <c r="A17431" s="28" t="n">
        <v>44127</v>
      </c>
      <c r="B17431" t="n">
        <v>0.85</v>
      </c>
      <c r="C17431" t="n">
        <v>0.1</v>
      </c>
    </row>
    <row r="17432">
      <c r="A17432" s="28" t="n">
        <v>44130</v>
      </c>
      <c r="B17432" t="n">
        <v>0.8100000000000001</v>
      </c>
      <c r="C17432" t="n">
        <v>0.11</v>
      </c>
    </row>
    <row r="17433">
      <c r="A17433" s="28" t="n">
        <v>44131</v>
      </c>
      <c r="B17433" t="n">
        <v>0.79</v>
      </c>
      <c r="C17433" t="n">
        <v>0.1</v>
      </c>
    </row>
    <row r="17434">
      <c r="A17434" s="28" t="n">
        <v>44132</v>
      </c>
      <c r="B17434" t="n">
        <v>0.79</v>
      </c>
      <c r="C17434" t="n">
        <v>0.1</v>
      </c>
    </row>
    <row r="17435">
      <c r="A17435" s="28" t="n">
        <v>44133</v>
      </c>
      <c r="B17435" t="n">
        <v>0.85</v>
      </c>
      <c r="C17435" t="n">
        <v>0.09</v>
      </c>
    </row>
    <row r="17436">
      <c r="A17436" s="28" t="n">
        <v>44134</v>
      </c>
      <c r="B17436" t="n">
        <v>0.88</v>
      </c>
      <c r="C17436" t="n">
        <v>0.09</v>
      </c>
    </row>
    <row r="17437">
      <c r="A17437" s="28" t="n">
        <v>44137</v>
      </c>
      <c r="B17437" t="n">
        <v>0.87</v>
      </c>
      <c r="C17437" t="n">
        <v>0.09</v>
      </c>
    </row>
    <row r="17438">
      <c r="A17438" s="28" t="n">
        <v>44138</v>
      </c>
      <c r="B17438" t="n">
        <v>0.9</v>
      </c>
      <c r="C17438" t="n">
        <v>0.1</v>
      </c>
    </row>
    <row r="17439">
      <c r="A17439" s="28" t="n">
        <v>44139</v>
      </c>
      <c r="B17439" t="n">
        <v>0.78</v>
      </c>
      <c r="C17439" t="n">
        <v>0.1</v>
      </c>
    </row>
    <row r="17440">
      <c r="A17440" s="28" t="n">
        <v>44140</v>
      </c>
      <c r="B17440" t="n">
        <v>0.79</v>
      </c>
      <c r="C17440" t="n">
        <v>0.1</v>
      </c>
    </row>
    <row r="17441">
      <c r="A17441" s="28" t="n">
        <v>44141</v>
      </c>
      <c r="B17441" t="n">
        <v>0.83</v>
      </c>
      <c r="C17441" t="n">
        <v>0.1</v>
      </c>
    </row>
    <row r="17442">
      <c r="A17442" s="28" t="n">
        <v>44144</v>
      </c>
      <c r="B17442" t="n">
        <v>0.96</v>
      </c>
      <c r="C17442" t="n">
        <v>0.11</v>
      </c>
    </row>
    <row r="17443">
      <c r="A17443" s="28" t="n">
        <v>44145</v>
      </c>
      <c r="B17443" t="n">
        <v>0.98</v>
      </c>
      <c r="C17443" t="n">
        <v>0.1</v>
      </c>
    </row>
    <row r="17444">
      <c r="A17444" s="28" t="n">
        <v>44146</v>
      </c>
      <c r="B17444" t="n">
        <v>0</v>
      </c>
      <c r="C17444" t="n">
        <v>0</v>
      </c>
    </row>
    <row r="17445">
      <c r="A17445" s="28" t="n">
        <v>44147</v>
      </c>
      <c r="B17445" t="n">
        <v>0.88</v>
      </c>
      <c r="C17445" t="n">
        <v>0.1</v>
      </c>
    </row>
    <row r="17446">
      <c r="A17446" s="28" t="n">
        <v>44148</v>
      </c>
      <c r="B17446" t="n">
        <v>0.89</v>
      </c>
      <c r="C17446" t="n">
        <v>0.09</v>
      </c>
    </row>
    <row r="17447">
      <c r="A17447" s="28" t="n">
        <v>44151</v>
      </c>
      <c r="B17447" t="n">
        <v>0.91</v>
      </c>
      <c r="C17447" t="n">
        <v>0.09</v>
      </c>
    </row>
    <row r="17448">
      <c r="A17448" s="28" t="n">
        <v>44152</v>
      </c>
      <c r="B17448" t="n">
        <v>0.87</v>
      </c>
      <c r="C17448" t="n">
        <v>0.09</v>
      </c>
    </row>
    <row r="17449">
      <c r="A17449" s="28" t="n">
        <v>44153</v>
      </c>
      <c r="B17449" t="n">
        <v>0.88</v>
      </c>
      <c r="C17449" t="n">
        <v>0.09</v>
      </c>
    </row>
    <row r="17450">
      <c r="A17450" s="28" t="n">
        <v>44154</v>
      </c>
      <c r="B17450" t="n">
        <v>0.86</v>
      </c>
      <c r="C17450" t="n">
        <v>0.07000000000000001</v>
      </c>
    </row>
    <row r="17451">
      <c r="A17451" s="28" t="n">
        <v>44155</v>
      </c>
      <c r="B17451" t="n">
        <v>0.83</v>
      </c>
      <c r="C17451" t="n">
        <v>0.07000000000000001</v>
      </c>
    </row>
    <row r="17452">
      <c r="A17452" s="28" t="n">
        <v>44158</v>
      </c>
      <c r="B17452" t="n">
        <v>0.86</v>
      </c>
      <c r="C17452" t="n">
        <v>0.08</v>
      </c>
    </row>
    <row r="17453">
      <c r="A17453" s="28" t="n">
        <v>44159</v>
      </c>
      <c r="B17453" t="n">
        <v>0.88</v>
      </c>
      <c r="C17453" t="n">
        <v>0.09</v>
      </c>
    </row>
    <row r="17454">
      <c r="A17454" s="28" t="n">
        <v>44160</v>
      </c>
      <c r="B17454" t="n">
        <v>0.88</v>
      </c>
      <c r="C17454" t="n">
        <v>0.09</v>
      </c>
    </row>
    <row r="17455">
      <c r="A17455" s="28" t="n">
        <v>44161</v>
      </c>
      <c r="B17455" t="n">
        <v>0</v>
      </c>
      <c r="C17455" t="n">
        <v>0</v>
      </c>
    </row>
    <row r="17456">
      <c r="A17456" s="28" t="n">
        <v>44162</v>
      </c>
      <c r="B17456" t="n">
        <v>0.84</v>
      </c>
      <c r="C17456" t="n">
        <v>0.09</v>
      </c>
    </row>
    <row r="17457">
      <c r="A17457" s="28" t="n">
        <v>44165</v>
      </c>
      <c r="B17457" t="n">
        <v>0.84</v>
      </c>
      <c r="C17457" t="n">
        <v>0.08</v>
      </c>
    </row>
    <row r="17458">
      <c r="A17458" s="28" t="n">
        <v>44166</v>
      </c>
      <c r="B17458" t="n">
        <v>0.92</v>
      </c>
      <c r="C17458" t="n">
        <v>0.09</v>
      </c>
    </row>
    <row r="17459">
      <c r="A17459" s="28" t="n">
        <v>44167</v>
      </c>
      <c r="B17459" t="n">
        <v>0.95</v>
      </c>
      <c r="C17459" t="n">
        <v>0.09</v>
      </c>
    </row>
    <row r="17460">
      <c r="A17460" s="28" t="n">
        <v>44168</v>
      </c>
      <c r="B17460" t="n">
        <v>0.92</v>
      </c>
      <c r="C17460" t="n">
        <v>0.08</v>
      </c>
    </row>
    <row r="17461">
      <c r="A17461" s="28" t="n">
        <v>44169</v>
      </c>
      <c r="B17461" t="n">
        <v>0.97</v>
      </c>
      <c r="C17461" t="n">
        <v>0.09</v>
      </c>
    </row>
    <row r="17462">
      <c r="A17462" s="28" t="n">
        <v>44172</v>
      </c>
      <c r="B17462" t="n">
        <v>0.9399999999999999</v>
      </c>
      <c r="C17462" t="n">
        <v>0.08</v>
      </c>
    </row>
    <row r="17463">
      <c r="A17463" s="28" t="n">
        <v>44173</v>
      </c>
      <c r="B17463" t="n">
        <v>0.92</v>
      </c>
      <c r="C17463" t="n">
        <v>0.09</v>
      </c>
    </row>
    <row r="17464">
      <c r="A17464" s="28" t="n">
        <v>44174</v>
      </c>
      <c r="B17464" t="n">
        <v>0.95</v>
      </c>
      <c r="C17464" t="n">
        <v>0.08</v>
      </c>
    </row>
    <row r="17465">
      <c r="A17465" s="28" t="n">
        <v>44175</v>
      </c>
      <c r="B17465" t="n">
        <v>0.92</v>
      </c>
      <c r="C17465" t="n">
        <v>0.08</v>
      </c>
    </row>
    <row r="17466">
      <c r="A17466" s="28" t="n">
        <v>44176</v>
      </c>
      <c r="B17466" t="n">
        <v>0.9</v>
      </c>
      <c r="C17466" t="n">
        <v>0.08</v>
      </c>
    </row>
    <row r="17467">
      <c r="A17467" s="28" t="n">
        <v>44179</v>
      </c>
      <c r="B17467" t="n">
        <v>0.9</v>
      </c>
      <c r="C17467" t="n">
        <v>0.09</v>
      </c>
    </row>
    <row r="17468">
      <c r="A17468" s="28" t="n">
        <v>44180</v>
      </c>
      <c r="B17468" t="n">
        <v>0.92</v>
      </c>
      <c r="C17468" t="n">
        <v>0.08</v>
      </c>
    </row>
    <row r="17469">
      <c r="A17469" s="28" t="n">
        <v>44181</v>
      </c>
      <c r="B17469" t="n">
        <v>0.92</v>
      </c>
      <c r="C17469" t="n">
        <v>0.09</v>
      </c>
    </row>
    <row r="17470">
      <c r="A17470" s="28" t="n">
        <v>44182</v>
      </c>
      <c r="B17470" t="n">
        <v>0.9399999999999999</v>
      </c>
      <c r="C17470" t="n">
        <v>0.08</v>
      </c>
    </row>
    <row r="17471">
      <c r="A17471" s="28" t="n">
        <v>44183</v>
      </c>
      <c r="B17471" t="n">
        <v>0.95</v>
      </c>
      <c r="C17471" t="n">
        <v>0.08</v>
      </c>
    </row>
    <row r="17472">
      <c r="A17472" s="28" t="n">
        <v>44186</v>
      </c>
      <c r="B17472" t="n">
        <v>0.95</v>
      </c>
      <c r="C17472" t="n">
        <v>0.09</v>
      </c>
    </row>
    <row r="17473">
      <c r="A17473" s="28" t="n">
        <v>44187</v>
      </c>
      <c r="B17473" t="n">
        <v>0.93</v>
      </c>
      <c r="C17473" t="n">
        <v>0.09</v>
      </c>
    </row>
    <row r="17474">
      <c r="A17474" s="28" t="n">
        <v>44188</v>
      </c>
      <c r="B17474" t="n">
        <v>0.96</v>
      </c>
      <c r="C17474" t="n">
        <v>0.09</v>
      </c>
    </row>
    <row r="17475">
      <c r="A17475" s="28" t="n">
        <v>44189</v>
      </c>
      <c r="B17475" t="n">
        <v>0.9399999999999999</v>
      </c>
      <c r="C17475" t="n">
        <v>0.09</v>
      </c>
    </row>
    <row r="17476">
      <c r="A17476" s="28" t="n">
        <v>44190</v>
      </c>
      <c r="B17476" t="n">
        <v>0</v>
      </c>
      <c r="C17476" t="n">
        <v>0</v>
      </c>
    </row>
    <row r="17477">
      <c r="A17477" s="28" t="n">
        <v>44193</v>
      </c>
      <c r="B17477" t="n">
        <v>0.9399999999999999</v>
      </c>
      <c r="C17477" t="n">
        <v>0.11</v>
      </c>
    </row>
    <row r="17478">
      <c r="A17478" s="28" t="n">
        <v>44194</v>
      </c>
      <c r="B17478" t="n">
        <v>0.9399999999999999</v>
      </c>
      <c r="C17478" t="n">
        <v>0.1</v>
      </c>
    </row>
    <row r="17479">
      <c r="A17479" s="28" t="n">
        <v>44195</v>
      </c>
      <c r="B17479" t="n">
        <v>0.93</v>
      </c>
      <c r="C17479" t="n">
        <v>0.08</v>
      </c>
    </row>
    <row r="17480">
      <c r="A17480" s="28" t="n">
        <v>44196</v>
      </c>
      <c r="B17480" t="n">
        <v>0.93</v>
      </c>
      <c r="C17480" t="n">
        <v>0.09</v>
      </c>
    </row>
    <row r="17481">
      <c r="A17481" s="28" t="n">
        <v>44197</v>
      </c>
      <c r="B17481" t="n">
        <v>0</v>
      </c>
      <c r="C17481" t="n">
        <v>0</v>
      </c>
    </row>
    <row r="17482">
      <c r="A17482" s="28" t="n">
        <v>44200</v>
      </c>
      <c r="B17482" t="n">
        <v>0.93</v>
      </c>
      <c r="C17482" t="n">
        <v>0.09</v>
      </c>
    </row>
    <row r="17483">
      <c r="A17483" s="28" t="n">
        <v>44201</v>
      </c>
      <c r="B17483" t="n">
        <v>0.96</v>
      </c>
      <c r="C17483" t="n">
        <v>0.09</v>
      </c>
    </row>
    <row r="17484">
      <c r="A17484" s="28" t="n">
        <v>44202</v>
      </c>
      <c r="B17484" t="n">
        <v>1.04</v>
      </c>
      <c r="C17484" t="n">
        <v>0.09</v>
      </c>
    </row>
    <row r="17485">
      <c r="A17485" s="28" t="n">
        <v>44203</v>
      </c>
      <c r="B17485" t="n">
        <v>1.08</v>
      </c>
      <c r="C17485" t="n">
        <v>0.09</v>
      </c>
    </row>
    <row r="17486">
      <c r="A17486" s="28" t="n">
        <v>44204</v>
      </c>
      <c r="B17486" t="n">
        <v>1.13</v>
      </c>
      <c r="C17486" t="n">
        <v>0.08</v>
      </c>
    </row>
    <row r="17487">
      <c r="A17487" s="28" t="n">
        <v>44207</v>
      </c>
      <c r="B17487" t="n">
        <v>1.15</v>
      </c>
      <c r="C17487" t="n">
        <v>0.08</v>
      </c>
    </row>
    <row r="17488">
      <c r="A17488" s="28" t="n">
        <v>44208</v>
      </c>
      <c r="B17488" t="n">
        <v>1.15</v>
      </c>
      <c r="C17488" t="n">
        <v>0.09</v>
      </c>
    </row>
    <row r="17489">
      <c r="A17489" s="28" t="n">
        <v>44209</v>
      </c>
      <c r="B17489" t="n">
        <v>1.1</v>
      </c>
      <c r="C17489" t="n">
        <v>0.09</v>
      </c>
    </row>
    <row r="17490">
      <c r="A17490" s="28" t="n">
        <v>44210</v>
      </c>
      <c r="B17490" t="n">
        <v>1.15</v>
      </c>
      <c r="C17490" t="n">
        <v>0.09</v>
      </c>
    </row>
    <row r="17491">
      <c r="A17491" s="28" t="n">
        <v>44211</v>
      </c>
      <c r="B17491" t="n">
        <v>1.11</v>
      </c>
      <c r="C17491" t="n">
        <v>0.09</v>
      </c>
    </row>
    <row r="17492">
      <c r="A17492" s="28" t="n">
        <v>44214</v>
      </c>
      <c r="B17492" t="n">
        <v>0</v>
      </c>
      <c r="C17492" t="n">
        <v>0</v>
      </c>
    </row>
    <row r="17493">
      <c r="A17493" s="28" t="n">
        <v>44215</v>
      </c>
      <c r="B17493" t="n">
        <v>1.1</v>
      </c>
      <c r="C17493" t="n">
        <v>0.09</v>
      </c>
    </row>
    <row r="17494">
      <c r="A17494" s="28" t="n">
        <v>44216</v>
      </c>
      <c r="B17494" t="n">
        <v>1.1</v>
      </c>
      <c r="C17494" t="n">
        <v>0.08</v>
      </c>
    </row>
    <row r="17495">
      <c r="A17495" s="28" t="n">
        <v>44217</v>
      </c>
      <c r="B17495" t="n">
        <v>1.12</v>
      </c>
      <c r="C17495" t="n">
        <v>0.09</v>
      </c>
    </row>
    <row r="17496">
      <c r="A17496" s="28" t="n">
        <v>44218</v>
      </c>
      <c r="B17496" t="n">
        <v>1.1</v>
      </c>
      <c r="C17496" t="n">
        <v>0.08</v>
      </c>
    </row>
    <row r="17497">
      <c r="A17497" s="28" t="n">
        <v>44221</v>
      </c>
      <c r="B17497" t="n">
        <v>1.05</v>
      </c>
      <c r="C17497" t="n">
        <v>0.09</v>
      </c>
    </row>
    <row r="17498">
      <c r="A17498" s="28" t="n">
        <v>44222</v>
      </c>
      <c r="B17498" t="n">
        <v>1.05</v>
      </c>
      <c r="C17498" t="n">
        <v>0.07000000000000001</v>
      </c>
    </row>
    <row r="17499">
      <c r="A17499" s="28" t="n">
        <v>44223</v>
      </c>
      <c r="B17499" t="n">
        <v>1.04</v>
      </c>
      <c r="C17499" t="n">
        <v>0.08</v>
      </c>
    </row>
    <row r="17500">
      <c r="A17500" s="28" t="n">
        <v>44224</v>
      </c>
      <c r="B17500" t="n">
        <v>1.07</v>
      </c>
      <c r="C17500" t="n">
        <v>0.07000000000000001</v>
      </c>
    </row>
    <row r="17501">
      <c r="A17501" s="28" t="n">
        <v>44225</v>
      </c>
      <c r="B17501" t="n">
        <v>1.11</v>
      </c>
      <c r="C17501" t="n">
        <v>0.06</v>
      </c>
    </row>
    <row r="17502">
      <c r="A17502" s="28" t="n">
        <v>44228</v>
      </c>
      <c r="B17502" t="n">
        <v>1.09</v>
      </c>
      <c r="C17502" t="n">
        <v>0.07000000000000001</v>
      </c>
    </row>
    <row r="17503">
      <c r="A17503" s="28" t="n">
        <v>44229</v>
      </c>
      <c r="B17503" t="n">
        <v>1.12</v>
      </c>
      <c r="C17503" t="n">
        <v>0.07000000000000001</v>
      </c>
    </row>
    <row r="17504">
      <c r="A17504" s="28" t="n">
        <v>44230</v>
      </c>
      <c r="B17504" t="n">
        <v>1.15</v>
      </c>
      <c r="C17504" t="n">
        <v>0.04</v>
      </c>
    </row>
    <row r="17505">
      <c r="A17505" s="28" t="n">
        <v>44231</v>
      </c>
      <c r="B17505" t="n">
        <v>1.15</v>
      </c>
      <c r="C17505" t="n">
        <v>0.04</v>
      </c>
    </row>
    <row r="17506">
      <c r="A17506" s="28" t="n">
        <v>44232</v>
      </c>
      <c r="B17506" t="n">
        <v>1.19</v>
      </c>
      <c r="C17506" t="n">
        <v>0.03</v>
      </c>
    </row>
    <row r="17507">
      <c r="A17507" s="28" t="n">
        <v>44235</v>
      </c>
      <c r="B17507" t="n">
        <v>1.19</v>
      </c>
      <c r="C17507" t="n">
        <v>0.05</v>
      </c>
    </row>
    <row r="17508">
      <c r="A17508" s="28" t="n">
        <v>44236</v>
      </c>
      <c r="B17508" t="n">
        <v>1.18</v>
      </c>
      <c r="C17508" t="n">
        <v>0.04</v>
      </c>
    </row>
    <row r="17509">
      <c r="A17509" s="28" t="n">
        <v>44237</v>
      </c>
      <c r="B17509" t="n">
        <v>1.15</v>
      </c>
      <c r="C17509" t="n">
        <v>0.05</v>
      </c>
    </row>
    <row r="17510">
      <c r="A17510" s="28" t="n">
        <v>44238</v>
      </c>
      <c r="B17510" t="n">
        <v>1.16</v>
      </c>
      <c r="C17510" t="n">
        <v>0.05</v>
      </c>
    </row>
    <row r="17511">
      <c r="A17511" s="28" t="n">
        <v>44239</v>
      </c>
      <c r="B17511" t="n">
        <v>1.2</v>
      </c>
      <c r="C17511" t="n">
        <v>0.04</v>
      </c>
    </row>
    <row r="17512">
      <c r="A17512" s="28" t="n">
        <v>44242</v>
      </c>
      <c r="B17512" t="n">
        <v>0</v>
      </c>
      <c r="C17512" t="n">
        <v>0</v>
      </c>
    </row>
    <row r="17513">
      <c r="A17513" s="28" t="n">
        <v>44243</v>
      </c>
      <c r="B17513" t="n">
        <v>1.3</v>
      </c>
      <c r="C17513" t="n">
        <v>0.04</v>
      </c>
    </row>
    <row r="17514">
      <c r="A17514" s="28" t="n">
        <v>44244</v>
      </c>
      <c r="B17514" t="n">
        <v>1.29</v>
      </c>
      <c r="C17514" t="n">
        <v>0.04</v>
      </c>
    </row>
    <row r="17515">
      <c r="A17515" s="28" t="n">
        <v>44245</v>
      </c>
      <c r="B17515" t="n">
        <v>1.29</v>
      </c>
      <c r="C17515" t="n">
        <v>0.03</v>
      </c>
    </row>
    <row r="17516">
      <c r="A17516" s="28" t="n">
        <v>44246</v>
      </c>
      <c r="B17516" t="n">
        <v>1.34</v>
      </c>
      <c r="C17516" t="n">
        <v>0.04</v>
      </c>
    </row>
    <row r="17517">
      <c r="A17517" s="28" t="n">
        <v>44249</v>
      </c>
      <c r="B17517" t="n">
        <v>1.37</v>
      </c>
      <c r="C17517" t="n">
        <v>0.03</v>
      </c>
    </row>
    <row r="17518">
      <c r="A17518" s="28" t="n">
        <v>44250</v>
      </c>
      <c r="B17518" t="n">
        <v>1.37</v>
      </c>
      <c r="C17518" t="n">
        <v>0.04</v>
      </c>
    </row>
    <row r="17519">
      <c r="A17519" s="28" t="n">
        <v>44251</v>
      </c>
      <c r="B17519" t="n">
        <v>1.38</v>
      </c>
      <c r="C17519" t="n">
        <v>0.03</v>
      </c>
    </row>
    <row r="17520">
      <c r="A17520" s="28" t="n">
        <v>44252</v>
      </c>
      <c r="B17520" t="n">
        <v>1.54</v>
      </c>
      <c r="C17520" t="n">
        <v>0.04</v>
      </c>
    </row>
    <row r="17521">
      <c r="A17521" s="28" t="n">
        <v>44253</v>
      </c>
      <c r="B17521" t="n">
        <v>1.44</v>
      </c>
      <c r="C17521" t="n">
        <v>0.04</v>
      </c>
    </row>
    <row r="17522">
      <c r="A17522" s="28" t="n">
        <v>44256</v>
      </c>
      <c r="B17522" t="n">
        <v>1.45</v>
      </c>
      <c r="C17522" t="n">
        <v>0.05</v>
      </c>
    </row>
    <row r="17523">
      <c r="A17523" s="28" t="n">
        <v>44257</v>
      </c>
      <c r="B17523" t="n">
        <v>1.42</v>
      </c>
      <c r="C17523" t="n">
        <v>0.04</v>
      </c>
    </row>
    <row r="17524">
      <c r="A17524" s="28" t="n">
        <v>44258</v>
      </c>
      <c r="B17524" t="n">
        <v>1.47</v>
      </c>
      <c r="C17524" t="n">
        <v>0.05</v>
      </c>
    </row>
    <row r="17525">
      <c r="A17525" s="28" t="n">
        <v>44259</v>
      </c>
      <c r="B17525" t="n">
        <v>1.54</v>
      </c>
      <c r="C17525" t="n">
        <v>0.04</v>
      </c>
    </row>
    <row r="17526">
      <c r="A17526" s="28" t="n">
        <v>44260</v>
      </c>
      <c r="B17526" t="n">
        <v>1.56</v>
      </c>
      <c r="C17526" t="n">
        <v>0.04</v>
      </c>
    </row>
    <row r="17527">
      <c r="A17527" s="28" t="n">
        <v>44263</v>
      </c>
      <c r="B17527" t="n">
        <v>1.59</v>
      </c>
      <c r="C17527" t="n">
        <v>0.05</v>
      </c>
    </row>
    <row r="17528">
      <c r="A17528" s="28" t="n">
        <v>44264</v>
      </c>
      <c r="B17528" t="n">
        <v>1.55</v>
      </c>
      <c r="C17528" t="n">
        <v>0.05</v>
      </c>
    </row>
    <row r="17529">
      <c r="A17529" s="28" t="n">
        <v>44265</v>
      </c>
      <c r="B17529" t="n">
        <v>1.53</v>
      </c>
      <c r="C17529" t="n">
        <v>0.04</v>
      </c>
    </row>
    <row r="17530">
      <c r="A17530" s="28" t="n">
        <v>44266</v>
      </c>
      <c r="B17530" t="n">
        <v>1.54</v>
      </c>
      <c r="C17530" t="n">
        <v>0.04</v>
      </c>
    </row>
    <row r="17531">
      <c r="A17531" s="28" t="n">
        <v>44267</v>
      </c>
      <c r="B17531" t="n">
        <v>1.64</v>
      </c>
      <c r="C17531" t="n">
        <v>0.04</v>
      </c>
    </row>
    <row r="17532">
      <c r="A17532" s="28" t="n">
        <v>44270</v>
      </c>
      <c r="B17532" t="n">
        <v>1.62</v>
      </c>
      <c r="C17532" t="n">
        <v>0.04</v>
      </c>
    </row>
    <row r="17533">
      <c r="A17533" s="28" t="n">
        <v>44271</v>
      </c>
      <c r="B17533" t="n">
        <v>1.62</v>
      </c>
      <c r="C17533" t="n">
        <v>0.02</v>
      </c>
    </row>
    <row r="17534">
      <c r="A17534" s="28" t="n">
        <v>44272</v>
      </c>
      <c r="B17534" t="n">
        <v>1.63</v>
      </c>
      <c r="C17534" t="n">
        <v>0.02</v>
      </c>
    </row>
    <row r="17535">
      <c r="A17535" s="28" t="n">
        <v>44273</v>
      </c>
      <c r="B17535" t="n">
        <v>1.71</v>
      </c>
      <c r="C17535" t="n">
        <v>0.01</v>
      </c>
    </row>
    <row r="17536">
      <c r="A17536" s="28" t="n">
        <v>44274</v>
      </c>
      <c r="B17536" t="n">
        <v>1.74</v>
      </c>
      <c r="C17536" t="n">
        <v>0.01</v>
      </c>
    </row>
    <row r="17537">
      <c r="A17537" s="28" t="n">
        <v>44277</v>
      </c>
      <c r="B17537" t="n">
        <v>1.69</v>
      </c>
      <c r="C17537" t="n">
        <v>0.03</v>
      </c>
    </row>
    <row r="17538">
      <c r="A17538" s="28" t="n">
        <v>44278</v>
      </c>
      <c r="B17538" t="n">
        <v>1.63</v>
      </c>
      <c r="C17538" t="n">
        <v>0.01</v>
      </c>
    </row>
    <row r="17539">
      <c r="A17539" s="28" t="n">
        <v>44279</v>
      </c>
      <c r="B17539" t="n">
        <v>1.62</v>
      </c>
      <c r="C17539" t="n">
        <v>0.02</v>
      </c>
    </row>
    <row r="17540">
      <c r="A17540" s="28" t="n">
        <v>44280</v>
      </c>
      <c r="B17540" t="n">
        <v>1.63</v>
      </c>
      <c r="C17540" t="n">
        <v>0.02</v>
      </c>
    </row>
    <row r="17541">
      <c r="A17541" s="28" t="n">
        <v>44281</v>
      </c>
      <c r="B17541" t="n">
        <v>1.67</v>
      </c>
      <c r="C17541" t="n">
        <v>0.02</v>
      </c>
    </row>
    <row r="17542">
      <c r="A17542" s="28" t="n">
        <v>44284</v>
      </c>
      <c r="B17542" t="n">
        <v>1.73</v>
      </c>
      <c r="C17542" t="n">
        <v>0.03</v>
      </c>
    </row>
    <row r="17543">
      <c r="A17543" s="28" t="n">
        <v>44285</v>
      </c>
      <c r="B17543" t="n">
        <v>1.73</v>
      </c>
      <c r="C17543" t="n">
        <v>0.02</v>
      </c>
    </row>
    <row r="17544">
      <c r="A17544" s="28" t="n">
        <v>44286</v>
      </c>
      <c r="B17544" t="n">
        <v>1.74</v>
      </c>
      <c r="C17544" t="n">
        <v>0.03</v>
      </c>
    </row>
    <row r="17545">
      <c r="A17545" s="28" t="n">
        <v>44287</v>
      </c>
      <c r="B17545" t="n">
        <v>1.69</v>
      </c>
      <c r="C17545" t="n">
        <v>0.02</v>
      </c>
    </row>
    <row r="17546">
      <c r="A17546" s="28" t="n">
        <v>44288</v>
      </c>
      <c r="B17546" t="n">
        <v>1.72</v>
      </c>
      <c r="C17546" t="n">
        <v>0.02</v>
      </c>
    </row>
    <row r="17547">
      <c r="A17547" s="28" t="n">
        <v>44291</v>
      </c>
      <c r="B17547" t="n">
        <v>1.73</v>
      </c>
      <c r="C17547" t="n">
        <v>0.03</v>
      </c>
    </row>
    <row r="17548">
      <c r="A17548" s="28" t="n">
        <v>44292</v>
      </c>
      <c r="B17548" t="n">
        <v>1.67</v>
      </c>
      <c r="C17548" t="n">
        <v>0.02</v>
      </c>
    </row>
    <row r="17549">
      <c r="A17549" s="28" t="n">
        <v>44293</v>
      </c>
      <c r="B17549" t="n">
        <v>1.68</v>
      </c>
      <c r="C17549" t="n">
        <v>0.02</v>
      </c>
    </row>
    <row r="17550">
      <c r="A17550" s="28" t="n">
        <v>44294</v>
      </c>
      <c r="B17550" t="n">
        <v>1.64</v>
      </c>
      <c r="C17550" t="n">
        <v>0.01</v>
      </c>
    </row>
    <row r="17551">
      <c r="A17551" s="28" t="n">
        <v>44295</v>
      </c>
      <c r="B17551" t="n">
        <v>1.67</v>
      </c>
      <c r="C17551" t="n">
        <v>0.02</v>
      </c>
    </row>
    <row r="17552">
      <c r="A17552" s="28" t="n">
        <v>44298</v>
      </c>
      <c r="B17552" t="n">
        <v>1.69</v>
      </c>
      <c r="C17552" t="n">
        <v>0.02</v>
      </c>
    </row>
    <row r="17553">
      <c r="A17553" s="28" t="n">
        <v>44299</v>
      </c>
      <c r="B17553" t="n">
        <v>1.64</v>
      </c>
      <c r="C17553" t="n">
        <v>0.03</v>
      </c>
    </row>
    <row r="17554">
      <c r="A17554" s="28" t="n">
        <v>44300</v>
      </c>
      <c r="B17554" t="n">
        <v>1.64</v>
      </c>
      <c r="C17554" t="n">
        <v>0.02</v>
      </c>
    </row>
    <row r="17555">
      <c r="A17555" s="28" t="n">
        <v>44301</v>
      </c>
      <c r="B17555" t="n">
        <v>1.56</v>
      </c>
      <c r="C17555" t="n">
        <v>0.02</v>
      </c>
    </row>
    <row r="17556">
      <c r="A17556" s="28" t="n">
        <v>44302</v>
      </c>
      <c r="B17556" t="n">
        <v>1.59</v>
      </c>
      <c r="C17556" t="n">
        <v>0.02</v>
      </c>
    </row>
    <row r="17557">
      <c r="A17557" s="28" t="n">
        <v>44305</v>
      </c>
      <c r="B17557" t="n">
        <v>1.61</v>
      </c>
      <c r="C17557" t="n">
        <v>0.02</v>
      </c>
    </row>
    <row r="17558">
      <c r="A17558" s="28" t="n">
        <v>44306</v>
      </c>
      <c r="B17558" t="n">
        <v>1.58</v>
      </c>
      <c r="C17558" t="n">
        <v>0.03</v>
      </c>
    </row>
    <row r="17559">
      <c r="A17559" s="28" t="n">
        <v>44307</v>
      </c>
      <c r="B17559" t="n">
        <v>1.57</v>
      </c>
      <c r="C17559" t="n">
        <v>0.03</v>
      </c>
    </row>
    <row r="17560">
      <c r="A17560" s="28" t="n">
        <v>44308</v>
      </c>
      <c r="B17560" t="n">
        <v>1.57</v>
      </c>
      <c r="C17560" t="n">
        <v>0.03</v>
      </c>
    </row>
    <row r="17561">
      <c r="A17561" s="28" t="n">
        <v>44309</v>
      </c>
      <c r="B17561" t="n">
        <v>1.58</v>
      </c>
      <c r="C17561" t="n">
        <v>0.03</v>
      </c>
    </row>
    <row r="17562">
      <c r="A17562" s="28" t="n">
        <v>44312</v>
      </c>
      <c r="B17562" t="n">
        <v>1.58</v>
      </c>
      <c r="C17562" t="n">
        <v>0.03</v>
      </c>
    </row>
    <row r="17563">
      <c r="A17563" s="28" t="n">
        <v>44313</v>
      </c>
      <c r="B17563" t="n">
        <v>1.63</v>
      </c>
      <c r="C17563" t="n">
        <v>0.01</v>
      </c>
    </row>
    <row r="17564">
      <c r="A17564" s="28" t="n">
        <v>44314</v>
      </c>
      <c r="B17564" t="n">
        <v>1.63</v>
      </c>
      <c r="C17564" t="n">
        <v>0.01</v>
      </c>
    </row>
    <row r="17565">
      <c r="A17565" s="28" t="n">
        <v>44315</v>
      </c>
      <c r="B17565" t="n">
        <v>1.65</v>
      </c>
      <c r="C17565" t="n">
        <v>0.01</v>
      </c>
    </row>
    <row r="17566">
      <c r="A17566" s="28" t="n">
        <v>44316</v>
      </c>
      <c r="B17566" t="n">
        <v>1.65</v>
      </c>
      <c r="C17566" t="n">
        <v>0.01</v>
      </c>
    </row>
    <row r="17567">
      <c r="A17567" s="28" t="n">
        <v>44319</v>
      </c>
      <c r="B17567" t="n">
        <v>1.63</v>
      </c>
      <c r="C17567" t="n">
        <v>0.04</v>
      </c>
    </row>
    <row r="17568">
      <c r="A17568" s="28" t="n">
        <v>44320</v>
      </c>
      <c r="B17568" t="n">
        <v>1.61</v>
      </c>
      <c r="C17568" t="n">
        <v>0.02</v>
      </c>
    </row>
    <row r="17569">
      <c r="A17569" s="28" t="n">
        <v>44321</v>
      </c>
      <c r="B17569" t="n">
        <v>1.59</v>
      </c>
      <c r="C17569" t="n">
        <v>0.02</v>
      </c>
    </row>
    <row r="17570">
      <c r="A17570" s="28" t="n">
        <v>44322</v>
      </c>
      <c r="B17570" t="n">
        <v>1.58</v>
      </c>
      <c r="C17570" t="n">
        <v>0.02</v>
      </c>
    </row>
    <row r="17571">
      <c r="A17571" s="28" t="n">
        <v>44323</v>
      </c>
      <c r="B17571" t="n">
        <v>1.6</v>
      </c>
      <c r="C17571" t="n">
        <v>0.02</v>
      </c>
    </row>
    <row r="17572">
      <c r="A17572" s="28" t="n">
        <v>44326</v>
      </c>
      <c r="B17572" t="n">
        <v>1.63</v>
      </c>
      <c r="C17572" t="n">
        <v>0.02</v>
      </c>
    </row>
    <row r="17573">
      <c r="A17573" s="28" t="n">
        <v>44327</v>
      </c>
      <c r="B17573" t="n">
        <v>1.64</v>
      </c>
      <c r="C17573" t="n">
        <v>0.01</v>
      </c>
    </row>
    <row r="17574">
      <c r="A17574" s="28" t="n">
        <v>44328</v>
      </c>
      <c r="B17574" t="n">
        <v>1.69</v>
      </c>
      <c r="C17574" t="n">
        <v>0.02</v>
      </c>
    </row>
    <row r="17575">
      <c r="A17575" s="28" t="n">
        <v>44329</v>
      </c>
      <c r="B17575" t="n">
        <v>1.66</v>
      </c>
      <c r="C17575" t="n">
        <v>0.02</v>
      </c>
    </row>
    <row r="17576">
      <c r="A17576" s="28" t="n">
        <v>44330</v>
      </c>
      <c r="B17576" t="n">
        <v>1.63</v>
      </c>
      <c r="C17576" t="n">
        <v>0.01</v>
      </c>
    </row>
    <row r="17577">
      <c r="A17577" s="28" t="n">
        <v>44333</v>
      </c>
      <c r="B17577" t="n">
        <v>1.64</v>
      </c>
      <c r="C17577" t="n">
        <v>0.02</v>
      </c>
    </row>
    <row r="17578">
      <c r="A17578" s="28" t="n">
        <v>44334</v>
      </c>
      <c r="B17578" t="n">
        <v>1.64</v>
      </c>
      <c r="C17578" t="n">
        <v>0.02</v>
      </c>
    </row>
    <row r="17579">
      <c r="A17579" s="28" t="n">
        <v>44335</v>
      </c>
      <c r="B17579" t="n">
        <v>1.68</v>
      </c>
      <c r="C17579" t="n">
        <v>0.01</v>
      </c>
    </row>
    <row r="17580">
      <c r="A17580" s="28" t="n">
        <v>44336</v>
      </c>
      <c r="B17580" t="n">
        <v>1.63</v>
      </c>
      <c r="C17580" t="n">
        <v>0.01</v>
      </c>
    </row>
    <row r="17581">
      <c r="A17581" s="28" t="n">
        <v>44337</v>
      </c>
      <c r="B17581" t="n">
        <v>1.63</v>
      </c>
      <c r="C17581" t="n">
        <v>0.01</v>
      </c>
    </row>
    <row r="17582">
      <c r="A17582" s="28" t="n">
        <v>44340</v>
      </c>
      <c r="B17582" t="n">
        <v>1.61</v>
      </c>
      <c r="C17582" t="n">
        <v>0.02</v>
      </c>
    </row>
    <row r="17583">
      <c r="A17583" s="28" t="n">
        <v>44341</v>
      </c>
      <c r="B17583" t="n">
        <v>1.56</v>
      </c>
      <c r="C17583" t="n">
        <v>0.02</v>
      </c>
    </row>
    <row r="17584">
      <c r="A17584" s="28" t="n">
        <v>44342</v>
      </c>
      <c r="B17584" t="n">
        <v>1.58</v>
      </c>
      <c r="C17584" t="n">
        <v>0.02</v>
      </c>
    </row>
    <row r="17585">
      <c r="A17585" s="28" t="n">
        <v>44343</v>
      </c>
      <c r="B17585" t="n">
        <v>1.61</v>
      </c>
      <c r="C17585" t="n">
        <v>0.02</v>
      </c>
    </row>
    <row r="17586">
      <c r="A17586" s="28" t="n">
        <v>44344</v>
      </c>
      <c r="B17586" t="n">
        <v>1.58</v>
      </c>
      <c r="C17586" t="n">
        <v>0.01</v>
      </c>
    </row>
    <row r="17587">
      <c r="A17587" s="28" t="n">
        <v>44347</v>
      </c>
      <c r="B17587" t="n">
        <v>0</v>
      </c>
      <c r="C17587" t="n">
        <v>0</v>
      </c>
    </row>
    <row r="17588">
      <c r="A17588" s="28" t="n">
        <v>44348</v>
      </c>
      <c r="B17588" t="n">
        <v>1.62</v>
      </c>
      <c r="C17588" t="n">
        <v>0.02</v>
      </c>
    </row>
    <row r="17589">
      <c r="A17589" s="28" t="n">
        <v>44349</v>
      </c>
      <c r="B17589" t="n">
        <v>1.59</v>
      </c>
      <c r="C17589" t="n">
        <v>0.02</v>
      </c>
    </row>
    <row r="17590">
      <c r="A17590" s="28" t="n">
        <v>44350</v>
      </c>
      <c r="B17590" t="n">
        <v>1.63</v>
      </c>
      <c r="C17590" t="n">
        <v>0.02</v>
      </c>
    </row>
    <row r="17591">
      <c r="A17591" s="28" t="n">
        <v>44351</v>
      </c>
      <c r="B17591" t="n">
        <v>1.56</v>
      </c>
      <c r="C17591" t="n">
        <v>0.02</v>
      </c>
    </row>
    <row r="17592">
      <c r="A17592" s="28" t="n">
        <v>44354</v>
      </c>
      <c r="B17592" t="n">
        <v>1.57</v>
      </c>
      <c r="C17592" t="n">
        <v>0.02</v>
      </c>
    </row>
    <row r="17593">
      <c r="A17593" s="28" t="n">
        <v>44355</v>
      </c>
      <c r="B17593" t="n">
        <v>1.53</v>
      </c>
      <c r="C17593" t="n">
        <v>0.02</v>
      </c>
    </row>
    <row r="17594">
      <c r="A17594" s="28" t="n">
        <v>44356</v>
      </c>
      <c r="B17594" t="n">
        <v>1.5</v>
      </c>
      <c r="C17594" t="n">
        <v>0.03</v>
      </c>
    </row>
    <row r="17595">
      <c r="A17595" s="28" t="n">
        <v>44357</v>
      </c>
      <c r="B17595" t="n">
        <v>1.45</v>
      </c>
      <c r="C17595" t="n">
        <v>0.03</v>
      </c>
    </row>
    <row r="17596">
      <c r="A17596" s="28" t="n">
        <v>44358</v>
      </c>
      <c r="B17596" t="n">
        <v>1.47</v>
      </c>
      <c r="C17596" t="n">
        <v>0.03</v>
      </c>
    </row>
    <row r="17597">
      <c r="A17597" s="28" t="n">
        <v>44361</v>
      </c>
      <c r="B17597" t="n">
        <v>1.51</v>
      </c>
      <c r="C17597" t="n">
        <v>0.03</v>
      </c>
    </row>
    <row r="17598">
      <c r="A17598" s="28" t="n">
        <v>44362</v>
      </c>
      <c r="B17598" t="n">
        <v>1.51</v>
      </c>
      <c r="C17598" t="n">
        <v>0.03</v>
      </c>
    </row>
    <row r="17599">
      <c r="A17599" s="28" t="n">
        <v>44363</v>
      </c>
      <c r="B17599" t="n">
        <v>1.57</v>
      </c>
      <c r="C17599" t="n">
        <v>0.04</v>
      </c>
    </row>
    <row r="17600">
      <c r="A17600" s="28" t="n">
        <v>44364</v>
      </c>
      <c r="B17600" t="n">
        <v>1.52</v>
      </c>
      <c r="C17600" t="n">
        <v>0.04</v>
      </c>
    </row>
    <row r="17601">
      <c r="A17601" s="28" t="n">
        <v>44365</v>
      </c>
      <c r="B17601" t="n">
        <v>1.45</v>
      </c>
      <c r="C17601" t="n">
        <v>0.05</v>
      </c>
    </row>
    <row r="17602">
      <c r="A17602" s="28" t="n">
        <v>44368</v>
      </c>
      <c r="B17602" t="n">
        <v>1.5</v>
      </c>
      <c r="C17602" t="n">
        <v>0.05</v>
      </c>
    </row>
    <row r="17603">
      <c r="A17603" s="28" t="n">
        <v>44369</v>
      </c>
      <c r="B17603" t="n">
        <v>1.48</v>
      </c>
      <c r="C17603" t="n">
        <v>0.04</v>
      </c>
    </row>
    <row r="17604">
      <c r="A17604" s="28" t="n">
        <v>44370</v>
      </c>
      <c r="B17604" t="n">
        <v>1.5</v>
      </c>
      <c r="C17604" t="n">
        <v>0.05</v>
      </c>
    </row>
    <row r="17605">
      <c r="A17605" s="28" t="n">
        <v>44371</v>
      </c>
      <c r="B17605" t="n">
        <v>1.49</v>
      </c>
      <c r="C17605" t="n">
        <v>0.05</v>
      </c>
    </row>
    <row r="17606">
      <c r="A17606" s="28" t="n">
        <v>44372</v>
      </c>
      <c r="B17606" t="n">
        <v>1.54</v>
      </c>
      <c r="C17606" t="n">
        <v>0.06</v>
      </c>
    </row>
    <row r="17607">
      <c r="A17607" s="28" t="n">
        <v>44375</v>
      </c>
      <c r="B17607" t="n">
        <v>1.49</v>
      </c>
      <c r="C17607" t="n">
        <v>0.05</v>
      </c>
    </row>
    <row r="17608">
      <c r="A17608" s="28" t="n">
        <v>44376</v>
      </c>
      <c r="B17608" t="n">
        <v>1.49</v>
      </c>
      <c r="C17608" t="n">
        <v>0.04</v>
      </c>
    </row>
    <row r="17609">
      <c r="A17609" s="28" t="n">
        <v>44377</v>
      </c>
      <c r="B17609" t="n">
        <v>1.45</v>
      </c>
      <c r="C17609" t="n">
        <v>0.05</v>
      </c>
    </row>
    <row r="17610">
      <c r="A17610" s="28" t="n">
        <v>44378</v>
      </c>
      <c r="B17610" t="n">
        <v>1.48</v>
      </c>
      <c r="C17610" t="n">
        <v>0.05</v>
      </c>
    </row>
    <row r="17611">
      <c r="A17611" s="28" t="n">
        <v>44379</v>
      </c>
      <c r="B17611" t="n">
        <v>1.44</v>
      </c>
      <c r="C17611" t="n">
        <v>0.05</v>
      </c>
    </row>
    <row r="17612">
      <c r="A17612" s="28" t="n">
        <v>44382</v>
      </c>
      <c r="B17612" t="n">
        <v>0</v>
      </c>
      <c r="C17612" t="n">
        <v>0</v>
      </c>
    </row>
    <row r="17613">
      <c r="A17613" s="28" t="n">
        <v>44383</v>
      </c>
      <c r="B17613" t="n">
        <v>1.37</v>
      </c>
      <c r="C17613" t="n">
        <v>0.05</v>
      </c>
    </row>
    <row r="17614">
      <c r="A17614" s="28" t="n">
        <v>44384</v>
      </c>
      <c r="B17614" t="n">
        <v>1.33</v>
      </c>
      <c r="C17614" t="n">
        <v>0.05</v>
      </c>
    </row>
    <row r="17615">
      <c r="A17615" s="28" t="n">
        <v>44385</v>
      </c>
      <c r="B17615" t="n">
        <v>1.3</v>
      </c>
      <c r="C17615" t="n">
        <v>0.06</v>
      </c>
    </row>
    <row r="17616">
      <c r="A17616" s="28" t="n">
        <v>44386</v>
      </c>
      <c r="B17616" t="n">
        <v>1.37</v>
      </c>
      <c r="C17616" t="n">
        <v>0.06</v>
      </c>
    </row>
    <row r="17617">
      <c r="A17617" s="28" t="n">
        <v>44389</v>
      </c>
      <c r="B17617" t="n">
        <v>1.38</v>
      </c>
      <c r="C17617" t="n">
        <v>0.05</v>
      </c>
    </row>
    <row r="17618">
      <c r="A17618" s="28" t="n">
        <v>44390</v>
      </c>
      <c r="B17618" t="n">
        <v>1.42</v>
      </c>
      <c r="C17618" t="n">
        <v>0.05</v>
      </c>
    </row>
    <row r="17619">
      <c r="A17619" s="28" t="n">
        <v>44391</v>
      </c>
      <c r="B17619" t="n">
        <v>1.37</v>
      </c>
      <c r="C17619" t="n">
        <v>0.06</v>
      </c>
    </row>
    <row r="17620">
      <c r="A17620" s="28" t="n">
        <v>44392</v>
      </c>
      <c r="B17620" t="n">
        <v>1.31</v>
      </c>
      <c r="C17620" t="n">
        <v>0.05</v>
      </c>
    </row>
    <row r="17621">
      <c r="A17621" s="28" t="n">
        <v>44393</v>
      </c>
      <c r="B17621" t="n">
        <v>1.31</v>
      </c>
      <c r="C17621" t="n">
        <v>0.05</v>
      </c>
    </row>
    <row r="17622">
      <c r="A17622" s="28" t="n">
        <v>44396</v>
      </c>
      <c r="B17622" t="n">
        <v>1.19</v>
      </c>
      <c r="C17622" t="n">
        <v>0.05</v>
      </c>
    </row>
    <row r="17623">
      <c r="A17623" s="28" t="n">
        <v>44397</v>
      </c>
      <c r="B17623" t="n">
        <v>1.23</v>
      </c>
      <c r="C17623" t="n">
        <v>0.05</v>
      </c>
    </row>
    <row r="17624">
      <c r="A17624" s="28" t="n">
        <v>44398</v>
      </c>
      <c r="B17624" t="n">
        <v>1.3</v>
      </c>
      <c r="C17624" t="n">
        <v>0.05</v>
      </c>
    </row>
    <row r="17625">
      <c r="A17625" s="28" t="n">
        <v>44399</v>
      </c>
      <c r="B17625" t="n">
        <v>1.27</v>
      </c>
      <c r="C17625" t="n">
        <v>0.05</v>
      </c>
    </row>
    <row r="17626">
      <c r="A17626" s="28" t="n">
        <v>44400</v>
      </c>
      <c r="B17626" t="n">
        <v>1.3</v>
      </c>
      <c r="C17626" t="n">
        <v>0.05</v>
      </c>
    </row>
    <row r="17627">
      <c r="A17627" s="28" t="n">
        <v>44403</v>
      </c>
      <c r="B17627" t="n">
        <v>1.29</v>
      </c>
      <c r="C17627" t="n">
        <v>0.05</v>
      </c>
    </row>
    <row r="17628">
      <c r="A17628" s="28" t="n">
        <v>44404</v>
      </c>
      <c r="B17628" t="n">
        <v>1.25</v>
      </c>
      <c r="C17628" t="n">
        <v>0.05</v>
      </c>
    </row>
    <row r="17629">
      <c r="A17629" s="28" t="n">
        <v>44405</v>
      </c>
      <c r="B17629" t="n">
        <v>1.26</v>
      </c>
      <c r="C17629" t="n">
        <v>0.05</v>
      </c>
    </row>
    <row r="17630">
      <c r="A17630" s="28" t="n">
        <v>44406</v>
      </c>
      <c r="B17630" t="n">
        <v>1.28</v>
      </c>
      <c r="C17630" t="n">
        <v>0.06</v>
      </c>
    </row>
    <row r="17631">
      <c r="A17631" s="28" t="n">
        <v>44407</v>
      </c>
      <c r="B17631" t="n">
        <v>1.24</v>
      </c>
      <c r="C17631" t="n">
        <v>0.06</v>
      </c>
    </row>
    <row r="17632">
      <c r="A17632" s="28" t="n">
        <v>44410</v>
      </c>
      <c r="B17632" t="n">
        <v>1.2</v>
      </c>
      <c r="C17632" t="n">
        <v>0.05</v>
      </c>
    </row>
    <row r="17633">
      <c r="A17633" s="28" t="n">
        <v>44411</v>
      </c>
      <c r="B17633" t="n">
        <v>1.19</v>
      </c>
      <c r="C17633" t="n">
        <v>0.05</v>
      </c>
    </row>
    <row r="17634">
      <c r="A17634" s="28" t="n">
        <v>44412</v>
      </c>
      <c r="B17634" t="n">
        <v>1.19</v>
      </c>
      <c r="C17634" t="n">
        <v>0.05</v>
      </c>
    </row>
    <row r="17635">
      <c r="A17635" s="28" t="n">
        <v>44413</v>
      </c>
      <c r="B17635" t="n">
        <v>1.23</v>
      </c>
      <c r="C17635" t="n">
        <v>0.05</v>
      </c>
    </row>
    <row r="17636">
      <c r="A17636" s="28" t="n">
        <v>44414</v>
      </c>
      <c r="B17636" t="n">
        <v>1.31</v>
      </c>
      <c r="C17636" t="n">
        <v>0.06</v>
      </c>
    </row>
    <row r="17637">
      <c r="A17637" s="28" t="n">
        <v>44417</v>
      </c>
      <c r="B17637" t="n">
        <v>1.33</v>
      </c>
      <c r="C17637" t="n">
        <v>0.06</v>
      </c>
    </row>
    <row r="17638">
      <c r="A17638" s="28" t="n">
        <v>44418</v>
      </c>
      <c r="B17638" t="n">
        <v>1.36</v>
      </c>
      <c r="C17638" t="n">
        <v>0.05</v>
      </c>
    </row>
    <row r="17639">
      <c r="A17639" s="28" t="n">
        <v>44419</v>
      </c>
      <c r="B17639" t="n">
        <v>1.35</v>
      </c>
      <c r="C17639" t="n">
        <v>0.05</v>
      </c>
    </row>
    <row r="17640">
      <c r="A17640" s="28" t="n">
        <v>44420</v>
      </c>
      <c r="B17640" t="n">
        <v>1.36</v>
      </c>
      <c r="C17640" t="n">
        <v>0.06</v>
      </c>
    </row>
    <row r="17641">
      <c r="A17641" s="28" t="n">
        <v>44421</v>
      </c>
      <c r="B17641" t="n">
        <v>1.29</v>
      </c>
      <c r="C17641" t="n">
        <v>0.06</v>
      </c>
    </row>
    <row r="17642">
      <c r="A17642" s="28" t="n">
        <v>44424</v>
      </c>
      <c r="B17642" t="n">
        <v>1.26</v>
      </c>
      <c r="C17642" t="n">
        <v>0.06</v>
      </c>
    </row>
    <row r="17643">
      <c r="A17643" s="28" t="n">
        <v>44425</v>
      </c>
      <c r="B17643" t="n">
        <v>1.26</v>
      </c>
      <c r="C17643" t="n">
        <v>0.07000000000000001</v>
      </c>
    </row>
    <row r="17644">
      <c r="A17644" s="28" t="n">
        <v>44426</v>
      </c>
      <c r="B17644" t="n">
        <v>1.27</v>
      </c>
      <c r="C17644" t="n">
        <v>0.07000000000000001</v>
      </c>
    </row>
    <row r="17645">
      <c r="A17645" s="28" t="n">
        <v>44427</v>
      </c>
      <c r="B17645" t="n">
        <v>1.24</v>
      </c>
      <c r="C17645" t="n">
        <v>0.06</v>
      </c>
    </row>
    <row r="17646">
      <c r="A17646" s="28" t="n">
        <v>44428</v>
      </c>
      <c r="B17646" t="n">
        <v>1.26</v>
      </c>
      <c r="C17646" t="n">
        <v>0.05</v>
      </c>
    </row>
    <row r="17647">
      <c r="A17647" s="28" t="n">
        <v>44431</v>
      </c>
      <c r="B17647" t="n">
        <v>1.25</v>
      </c>
      <c r="C17647" t="n">
        <v>0.05</v>
      </c>
    </row>
    <row r="17648">
      <c r="A17648" s="28" t="n">
        <v>44432</v>
      </c>
      <c r="B17648" t="n">
        <v>1.29</v>
      </c>
      <c r="C17648" t="n">
        <v>0.05</v>
      </c>
    </row>
    <row r="17649">
      <c r="A17649" s="28" t="n">
        <v>44433</v>
      </c>
      <c r="B17649" t="n">
        <v>1.35</v>
      </c>
      <c r="C17649" t="n">
        <v>0.06</v>
      </c>
    </row>
    <row r="17650">
      <c r="A17650" s="28" t="n">
        <v>44434</v>
      </c>
      <c r="B17650" t="n">
        <v>1.34</v>
      </c>
      <c r="C17650" t="n">
        <v>0.05</v>
      </c>
    </row>
    <row r="17651">
      <c r="A17651" s="28" t="n">
        <v>44435</v>
      </c>
      <c r="B17651" t="n">
        <v>1.31</v>
      </c>
      <c r="C17651" t="n">
        <v>0.05</v>
      </c>
    </row>
    <row r="17652">
      <c r="A17652" s="28" t="n">
        <v>44438</v>
      </c>
      <c r="B17652" t="n">
        <v>1.29</v>
      </c>
      <c r="C17652" t="n">
        <v>0.05</v>
      </c>
    </row>
    <row r="17653">
      <c r="A17653" s="28" t="n">
        <v>44439</v>
      </c>
      <c r="B17653" t="n">
        <v>1.3</v>
      </c>
      <c r="C17653" t="n">
        <v>0.04</v>
      </c>
    </row>
    <row r="17654">
      <c r="A17654" s="28" t="n">
        <v>44440</v>
      </c>
      <c r="B17654" t="n">
        <v>1.31</v>
      </c>
      <c r="C17654" t="n">
        <v>0.05</v>
      </c>
    </row>
    <row r="17655">
      <c r="A17655" s="28" t="n">
        <v>44441</v>
      </c>
      <c r="B17655" t="n">
        <v>1.29</v>
      </c>
      <c r="C17655" t="n">
        <v>0.05</v>
      </c>
    </row>
    <row r="17656">
      <c r="A17656" s="28" t="n">
        <v>44442</v>
      </c>
      <c r="B17656" t="n">
        <v>1.33</v>
      </c>
      <c r="C17656" t="n">
        <v>0.05</v>
      </c>
    </row>
    <row r="17657">
      <c r="A17657" s="28" t="n">
        <v>44445</v>
      </c>
      <c r="B17657" t="n">
        <v>0</v>
      </c>
      <c r="C17657" t="n">
        <v>0</v>
      </c>
    </row>
    <row r="17658">
      <c r="A17658" s="28" t="n">
        <v>44446</v>
      </c>
      <c r="B17658" t="n">
        <v>1.38</v>
      </c>
      <c r="C17658" t="n">
        <v>0.05</v>
      </c>
    </row>
    <row r="17659">
      <c r="A17659" s="28" t="n">
        <v>44447</v>
      </c>
      <c r="B17659" t="n">
        <v>1.35</v>
      </c>
      <c r="C17659" t="n">
        <v>0.05</v>
      </c>
    </row>
    <row r="17660">
      <c r="A17660" s="28" t="n">
        <v>44448</v>
      </c>
      <c r="B17660" t="n">
        <v>1.3</v>
      </c>
      <c r="C17660" t="n">
        <v>0.04</v>
      </c>
    </row>
    <row r="17661">
      <c r="A17661" s="28" t="n">
        <v>44449</v>
      </c>
      <c r="B17661" t="n">
        <v>1.35</v>
      </c>
      <c r="C17661" t="n">
        <v>0.05</v>
      </c>
    </row>
    <row r="17662">
      <c r="A17662" s="28" t="n">
        <v>44452</v>
      </c>
      <c r="B17662" t="n">
        <v>1.33</v>
      </c>
      <c r="C17662" t="n">
        <v>0.06</v>
      </c>
    </row>
    <row r="17663">
      <c r="A17663" s="28" t="n">
        <v>44453</v>
      </c>
      <c r="B17663" t="n">
        <v>1.28</v>
      </c>
      <c r="C17663" t="n">
        <v>0.04</v>
      </c>
    </row>
    <row r="17664">
      <c r="A17664" s="28" t="n">
        <v>44454</v>
      </c>
      <c r="B17664" t="n">
        <v>1.31</v>
      </c>
      <c r="C17664" t="n">
        <v>0.04</v>
      </c>
    </row>
    <row r="17665">
      <c r="A17665" s="28" t="n">
        <v>44455</v>
      </c>
      <c r="B17665" t="n">
        <v>1.34</v>
      </c>
      <c r="C17665" t="n">
        <v>0.04</v>
      </c>
    </row>
    <row r="17666">
      <c r="A17666" s="28" t="n">
        <v>44456</v>
      </c>
      <c r="B17666" t="n">
        <v>1.37</v>
      </c>
      <c r="C17666" t="n">
        <v>0.04</v>
      </c>
    </row>
    <row r="17667">
      <c r="A17667" s="28" t="n">
        <v>44459</v>
      </c>
      <c r="B17667" t="n">
        <v>1.31</v>
      </c>
      <c r="C17667" t="n">
        <v>0.04</v>
      </c>
    </row>
    <row r="17668">
      <c r="A17668" s="28" t="n">
        <v>44460</v>
      </c>
      <c r="B17668" t="n">
        <v>1.33</v>
      </c>
      <c r="C17668" t="n">
        <v>0.03</v>
      </c>
    </row>
    <row r="17669">
      <c r="A17669" s="28" t="n">
        <v>44461</v>
      </c>
      <c r="B17669" t="n">
        <v>1.32</v>
      </c>
      <c r="C17669" t="n">
        <v>0.03</v>
      </c>
    </row>
    <row r="17670">
      <c r="A17670" s="28" t="n">
        <v>44462</v>
      </c>
      <c r="B17670" t="n">
        <v>1.41</v>
      </c>
      <c r="C17670" t="n">
        <v>0.03</v>
      </c>
    </row>
    <row r="17671">
      <c r="A17671" s="28" t="n">
        <v>44463</v>
      </c>
      <c r="B17671" t="n">
        <v>1.47</v>
      </c>
      <c r="C17671" t="n">
        <v>0.03</v>
      </c>
    </row>
    <row r="17672">
      <c r="A17672" s="28" t="n">
        <v>44466</v>
      </c>
      <c r="B17672" t="n">
        <v>1.48</v>
      </c>
      <c r="C17672" t="n">
        <v>0.04</v>
      </c>
    </row>
    <row r="17673">
      <c r="A17673" s="28" t="n">
        <v>44467</v>
      </c>
      <c r="B17673" t="n">
        <v>1.54</v>
      </c>
      <c r="C17673" t="n">
        <v>0.04</v>
      </c>
    </row>
    <row r="17674">
      <c r="A17674" s="28" t="n">
        <v>44468</v>
      </c>
      <c r="B17674" t="n">
        <v>1.55</v>
      </c>
      <c r="C17674" t="n">
        <v>0.04</v>
      </c>
    </row>
    <row r="17675">
      <c r="A17675" s="28" t="n">
        <v>44469</v>
      </c>
      <c r="B17675" t="n">
        <v>1.52</v>
      </c>
      <c r="C17675" t="n">
        <v>0.04</v>
      </c>
    </row>
    <row r="17676">
      <c r="A17676" s="28" t="n">
        <v>44470</v>
      </c>
      <c r="B17676" t="n">
        <v>1.48</v>
      </c>
      <c r="C17676" t="n">
        <v>0.04</v>
      </c>
    </row>
    <row r="17677">
      <c r="A17677" s="28" t="n">
        <v>44473</v>
      </c>
      <c r="B17677" t="n">
        <v>1.49</v>
      </c>
      <c r="C17677" t="n">
        <v>0.04</v>
      </c>
    </row>
    <row r="17678">
      <c r="A17678" s="28" t="n">
        <v>44474</v>
      </c>
      <c r="B17678" t="n">
        <v>1.54</v>
      </c>
      <c r="C17678" t="n">
        <v>0.04</v>
      </c>
    </row>
    <row r="17679">
      <c r="A17679" s="28" t="n">
        <v>44475</v>
      </c>
      <c r="B17679" t="n">
        <v>1.53</v>
      </c>
      <c r="C17679" t="n">
        <v>0.04</v>
      </c>
    </row>
    <row r="17680">
      <c r="A17680" s="28" t="n">
        <v>44476</v>
      </c>
      <c r="B17680" t="n">
        <v>1.58</v>
      </c>
      <c r="C17680" t="n">
        <v>0.05</v>
      </c>
    </row>
    <row r="17681">
      <c r="A17681" s="28" t="n">
        <v>44477</v>
      </c>
      <c r="B17681" t="n">
        <v>1.61</v>
      </c>
      <c r="C17681" t="n">
        <v>0.05</v>
      </c>
    </row>
    <row r="17682">
      <c r="A17682" s="28" t="n">
        <v>44480</v>
      </c>
      <c r="B17682" t="n">
        <v>0</v>
      </c>
      <c r="C17682" t="n">
        <v>0</v>
      </c>
    </row>
    <row r="17683">
      <c r="A17683" s="28" t="n">
        <v>44481</v>
      </c>
      <c r="B17683" t="n">
        <v>1.59</v>
      </c>
      <c r="C17683" t="n">
        <v>0.06</v>
      </c>
    </row>
    <row r="17684">
      <c r="A17684" s="28" t="n">
        <v>44482</v>
      </c>
      <c r="B17684" t="n">
        <v>1.56</v>
      </c>
      <c r="C17684" t="n">
        <v>0.05</v>
      </c>
    </row>
    <row r="17685">
      <c r="A17685" s="28" t="n">
        <v>44483</v>
      </c>
      <c r="B17685" t="n">
        <v>1.52</v>
      </c>
      <c r="C17685" t="n">
        <v>0.05</v>
      </c>
    </row>
    <row r="17686">
      <c r="A17686" s="28" t="n">
        <v>44484</v>
      </c>
      <c r="B17686" t="n">
        <v>1.59</v>
      </c>
      <c r="C17686" t="n">
        <v>0.05</v>
      </c>
    </row>
    <row r="17687">
      <c r="A17687" s="28" t="n">
        <v>44487</v>
      </c>
      <c r="B17687" t="n">
        <v>1.59</v>
      </c>
      <c r="C17687" t="n">
        <v>0.06</v>
      </c>
    </row>
    <row r="17688">
      <c r="A17688" s="28" t="n">
        <v>44488</v>
      </c>
      <c r="B17688" t="n">
        <v>1.65</v>
      </c>
      <c r="C17688" t="n">
        <v>0.05</v>
      </c>
    </row>
    <row r="17689">
      <c r="A17689" s="28" t="n">
        <v>44489</v>
      </c>
      <c r="B17689" t="n">
        <v>1.65</v>
      </c>
      <c r="C17689" t="n">
        <v>0.05</v>
      </c>
    </row>
    <row r="17690">
      <c r="A17690" s="28" t="n">
        <v>44490</v>
      </c>
      <c r="B17690" t="n">
        <v>1.68</v>
      </c>
      <c r="C17690" t="n">
        <v>0.06</v>
      </c>
    </row>
    <row r="17691">
      <c r="A17691" s="28" t="n">
        <v>44491</v>
      </c>
      <c r="B17691" t="n">
        <v>1.66</v>
      </c>
      <c r="C17691" t="n">
        <v>0.06</v>
      </c>
    </row>
    <row r="17692">
      <c r="A17692" s="28" t="n">
        <v>44494</v>
      </c>
      <c r="B17692" t="n">
        <v>1.64</v>
      </c>
      <c r="C17692" t="n">
        <v>0.06</v>
      </c>
    </row>
    <row r="17693">
      <c r="A17693" s="28" t="n">
        <v>44495</v>
      </c>
      <c r="B17693" t="n">
        <v>1.63</v>
      </c>
      <c r="C17693" t="n">
        <v>0.06</v>
      </c>
    </row>
    <row r="17694">
      <c r="A17694" s="28" t="n">
        <v>44496</v>
      </c>
      <c r="B17694" t="n">
        <v>1.54</v>
      </c>
      <c r="C17694" t="n">
        <v>0.06</v>
      </c>
    </row>
    <row r="17695">
      <c r="A17695" s="28" t="n">
        <v>44497</v>
      </c>
      <c r="B17695" t="n">
        <v>1.57</v>
      </c>
      <c r="C17695" t="n">
        <v>0.06</v>
      </c>
    </row>
    <row r="17696">
      <c r="A17696" s="28" t="n">
        <v>44498</v>
      </c>
      <c r="B17696" t="n">
        <v>1.55</v>
      </c>
      <c r="C17696" t="n">
        <v>0.05</v>
      </c>
    </row>
    <row r="17697">
      <c r="A17697" s="28" t="n">
        <v>44501</v>
      </c>
      <c r="B17697" t="n">
        <v>1.58</v>
      </c>
      <c r="C17697" t="n">
        <v>0.05</v>
      </c>
    </row>
    <row r="17698">
      <c r="A17698" s="28" t="n">
        <v>44502</v>
      </c>
      <c r="B17698" t="n">
        <v>1.56</v>
      </c>
      <c r="C17698" t="n">
        <v>0.05</v>
      </c>
    </row>
    <row r="17699">
      <c r="A17699" s="28" t="n">
        <v>44503</v>
      </c>
      <c r="B17699" t="n">
        <v>1.6</v>
      </c>
      <c r="C17699" t="n">
        <v>0.05</v>
      </c>
    </row>
    <row r="17700">
      <c r="A17700" s="28" t="n">
        <v>44504</v>
      </c>
      <c r="B17700" t="n">
        <v>1.53</v>
      </c>
      <c r="C17700" t="n">
        <v>0.04</v>
      </c>
    </row>
    <row r="17701">
      <c r="A17701" s="28" t="n">
        <v>44505</v>
      </c>
      <c r="B17701" t="n">
        <v>1.45</v>
      </c>
      <c r="C17701" t="n">
        <v>0.05</v>
      </c>
    </row>
    <row r="17702">
      <c r="A17702" s="28" t="n">
        <v>44508</v>
      </c>
      <c r="B17702" t="n">
        <v>1.51</v>
      </c>
      <c r="C17702" t="n">
        <v>0.06</v>
      </c>
    </row>
    <row r="17703">
      <c r="A17703" s="28" t="n">
        <v>44509</v>
      </c>
      <c r="B17703" t="n">
        <v>1.46</v>
      </c>
      <c r="C17703" t="n">
        <v>0.04</v>
      </c>
    </row>
    <row r="17704">
      <c r="A17704" s="28" t="n">
        <v>44510</v>
      </c>
      <c r="B17704" t="n">
        <v>1.56</v>
      </c>
      <c r="C17704" t="n">
        <v>0.05</v>
      </c>
    </row>
    <row r="17705">
      <c r="A17705" s="28" t="n">
        <v>44511</v>
      </c>
      <c r="B17705" t="n">
        <v>0</v>
      </c>
      <c r="C17705" t="n">
        <v>0</v>
      </c>
    </row>
    <row r="17706">
      <c r="A17706" s="28" t="n">
        <v>44512</v>
      </c>
      <c r="B17706" t="n">
        <v>1.58</v>
      </c>
      <c r="C17706" t="n">
        <v>0.05</v>
      </c>
    </row>
    <row r="17707">
      <c r="A17707" s="28" t="n">
        <v>44515</v>
      </c>
      <c r="B17707" t="n">
        <v>1.63</v>
      </c>
      <c r="C17707" t="n">
        <v>0.05</v>
      </c>
    </row>
    <row r="17708">
      <c r="A17708" s="28" t="n">
        <v>44516</v>
      </c>
      <c r="B17708" t="n">
        <v>1.63</v>
      </c>
      <c r="C17708" t="n">
        <v>0.05</v>
      </c>
    </row>
    <row r="17709">
      <c r="A17709" s="28" t="n">
        <v>44517</v>
      </c>
      <c r="B17709" t="n">
        <v>1.6</v>
      </c>
      <c r="C17709" t="n">
        <v>0.05</v>
      </c>
    </row>
    <row r="17710">
      <c r="A17710" s="28" t="n">
        <v>44518</v>
      </c>
      <c r="B17710" t="n">
        <v>1.59</v>
      </c>
      <c r="C17710" t="n">
        <v>0.05</v>
      </c>
    </row>
    <row r="17711">
      <c r="A17711" s="28" t="n">
        <v>44519</v>
      </c>
      <c r="B17711" t="n">
        <v>1.54</v>
      </c>
      <c r="C17711" t="n">
        <v>0.05</v>
      </c>
    </row>
    <row r="17712">
      <c r="A17712" s="28" t="n">
        <v>44522</v>
      </c>
      <c r="B17712" t="n">
        <v>1.63</v>
      </c>
      <c r="C17712" t="n">
        <v>0.05</v>
      </c>
    </row>
    <row r="17713">
      <c r="A17713" s="28" t="n">
        <v>44523</v>
      </c>
      <c r="B17713" t="n">
        <v>1.67</v>
      </c>
      <c r="C17713" t="n">
        <v>0.06</v>
      </c>
    </row>
    <row r="17714">
      <c r="A17714" s="28" t="n">
        <v>44524</v>
      </c>
      <c r="B17714" t="n">
        <v>1.64</v>
      </c>
      <c r="C17714" t="n">
        <v>0.06</v>
      </c>
    </row>
    <row r="17715">
      <c r="A17715" s="28" t="n">
        <v>44525</v>
      </c>
      <c r="B17715" t="n">
        <v>0</v>
      </c>
      <c r="C17715" t="n">
        <v>0</v>
      </c>
    </row>
    <row r="17716">
      <c r="A17716" s="28" t="n">
        <v>44526</v>
      </c>
      <c r="B17716" t="n">
        <v>1.48</v>
      </c>
      <c r="C17716" t="n">
        <v>0.06</v>
      </c>
    </row>
    <row r="17717">
      <c r="A17717" s="28" t="n">
        <v>44529</v>
      </c>
      <c r="B17717" t="n">
        <v>1.52</v>
      </c>
      <c r="C17717" t="n">
        <v>0.06</v>
      </c>
    </row>
    <row r="17718">
      <c r="A17718" s="28" t="n">
        <v>44530</v>
      </c>
      <c r="B17718" t="n">
        <v>1.43</v>
      </c>
      <c r="C17718" t="n">
        <v>0.05</v>
      </c>
    </row>
    <row r="17719">
      <c r="A17719" s="28" t="n">
        <v>44531</v>
      </c>
      <c r="B17719" t="n">
        <v>1.43</v>
      </c>
      <c r="C17719" t="n">
        <v>0.06</v>
      </c>
    </row>
    <row r="17720">
      <c r="A17720" s="28" t="n">
        <v>44532</v>
      </c>
      <c r="B17720" t="n">
        <v>1.44</v>
      </c>
      <c r="C17720" t="n">
        <v>0.05</v>
      </c>
    </row>
    <row r="17721">
      <c r="A17721" s="28" t="n">
        <v>44533</v>
      </c>
      <c r="B17721" t="n">
        <v>1.35</v>
      </c>
      <c r="C17721" t="n">
        <v>0.06</v>
      </c>
    </row>
    <row r="17722">
      <c r="A17722" s="28" t="n">
        <v>44536</v>
      </c>
      <c r="B17722" t="n">
        <v>1.43</v>
      </c>
      <c r="C17722" t="n">
        <v>0.06</v>
      </c>
    </row>
    <row r="17723">
      <c r="A17723" s="28" t="n">
        <v>44537</v>
      </c>
      <c r="B17723" t="n">
        <v>1.48</v>
      </c>
      <c r="C17723" t="n">
        <v>0.06</v>
      </c>
    </row>
    <row r="17724">
      <c r="A17724" s="28" t="n">
        <v>44538</v>
      </c>
      <c r="B17724" t="n">
        <v>1.52</v>
      </c>
      <c r="C17724" t="n">
        <v>0.07000000000000001</v>
      </c>
    </row>
    <row r="17725">
      <c r="A17725" s="28" t="n">
        <v>44539</v>
      </c>
      <c r="B17725" t="n">
        <v>1.49</v>
      </c>
      <c r="C17725" t="n">
        <v>0.06</v>
      </c>
    </row>
    <row r="17726">
      <c r="A17726" s="28" t="n">
        <v>44540</v>
      </c>
      <c r="B17726" t="n">
        <v>1.48</v>
      </c>
      <c r="C17726" t="n">
        <v>0.06</v>
      </c>
    </row>
    <row r="17727">
      <c r="A17727" s="28" t="n">
        <v>44543</v>
      </c>
      <c r="B17727" t="n">
        <v>1.42</v>
      </c>
      <c r="C17727" t="n">
        <v>0.05</v>
      </c>
    </row>
    <row r="17728">
      <c r="A17728" s="28" t="n">
        <v>44544</v>
      </c>
      <c r="B17728" t="n">
        <v>1.44</v>
      </c>
      <c r="C17728" t="n">
        <v>0.05</v>
      </c>
    </row>
    <row r="17729">
      <c r="A17729" s="28" t="n">
        <v>44545</v>
      </c>
      <c r="B17729" t="n">
        <v>1.47</v>
      </c>
      <c r="C17729" t="n">
        <v>0.06</v>
      </c>
    </row>
    <row r="17730">
      <c r="A17730" s="28" t="n">
        <v>44546</v>
      </c>
      <c r="B17730" t="n">
        <v>1.44</v>
      </c>
      <c r="C17730" t="n">
        <v>0.05</v>
      </c>
    </row>
    <row r="17731">
      <c r="A17731" s="28" t="n">
        <v>44547</v>
      </c>
      <c r="B17731" t="n">
        <v>1.41</v>
      </c>
      <c r="C17731" t="n">
        <v>0.05</v>
      </c>
    </row>
    <row r="17732">
      <c r="A17732" s="28" t="n">
        <v>44550</v>
      </c>
      <c r="B17732" t="n">
        <v>1.43</v>
      </c>
      <c r="C17732" t="n">
        <v>0.07000000000000001</v>
      </c>
    </row>
    <row r="17733">
      <c r="A17733" s="28" t="n">
        <v>44551</v>
      </c>
      <c r="B17733" t="n">
        <v>1.48</v>
      </c>
      <c r="C17733" t="n">
        <v>0.07000000000000001</v>
      </c>
    </row>
    <row r="17734">
      <c r="A17734" s="28" t="n">
        <v>44552</v>
      </c>
      <c r="B17734" t="n">
        <v>1.46</v>
      </c>
      <c r="C17734" t="n">
        <v>0.08</v>
      </c>
    </row>
    <row r="17735">
      <c r="A17735" s="28" t="n">
        <v>44553</v>
      </c>
      <c r="B17735" t="n">
        <v>1.5</v>
      </c>
      <c r="C17735" t="n">
        <v>0.08</v>
      </c>
    </row>
    <row r="17736">
      <c r="A17736" s="28" t="n">
        <v>44554</v>
      </c>
      <c r="B17736" t="n">
        <v>0</v>
      </c>
      <c r="C17736" t="n">
        <v>0</v>
      </c>
    </row>
    <row r="17737">
      <c r="A17737" s="28" t="n">
        <v>44557</v>
      </c>
      <c r="B17737" t="n">
        <v>1.48</v>
      </c>
      <c r="C17737" t="n">
        <v>0.06</v>
      </c>
    </row>
    <row r="17738">
      <c r="A17738" s="28" t="n">
        <v>44558</v>
      </c>
      <c r="B17738" t="n">
        <v>1.49</v>
      </c>
      <c r="C17738" t="n">
        <v>0.06</v>
      </c>
    </row>
    <row r="17739">
      <c r="A17739" s="28" t="n">
        <v>44559</v>
      </c>
      <c r="B17739" t="n">
        <v>1.55</v>
      </c>
      <c r="C17739" t="n">
        <v>0.05</v>
      </c>
    </row>
    <row r="17740">
      <c r="A17740" s="28" t="n">
        <v>44560</v>
      </c>
      <c r="B17740" t="n">
        <v>1.52</v>
      </c>
      <c r="C17740" t="n">
        <v>0.05</v>
      </c>
    </row>
    <row r="17741">
      <c r="A17741" s="28" t="n">
        <v>44561</v>
      </c>
      <c r="B17741" t="n">
        <v>1.52</v>
      </c>
      <c r="C17741" t="n">
        <v>0.06</v>
      </c>
    </row>
    <row r="17742">
      <c r="A17742" s="28" t="n">
        <v>44564</v>
      </c>
      <c r="B17742" t="n">
        <v>1.63</v>
      </c>
      <c r="C17742" t="n">
        <v>0.09</v>
      </c>
    </row>
    <row r="17743">
      <c r="A17743" s="28" t="n">
        <v>44565</v>
      </c>
      <c r="B17743" t="n">
        <v>1.66</v>
      </c>
      <c r="C17743" t="n">
        <v>0.08</v>
      </c>
    </row>
    <row r="17744">
      <c r="A17744" s="28" t="n">
        <v>44566</v>
      </c>
      <c r="B17744" t="n">
        <v>1.71</v>
      </c>
      <c r="C17744" t="n">
        <v>0.09</v>
      </c>
    </row>
    <row r="17745">
      <c r="A17745" s="28" t="n">
        <v>44567</v>
      </c>
      <c r="B17745" t="n">
        <v>1.73</v>
      </c>
      <c r="C17745" t="n">
        <v>0.1</v>
      </c>
    </row>
    <row r="17746">
      <c r="A17746" s="28" t="n">
        <v>44568</v>
      </c>
      <c r="B17746" t="n">
        <v>1.76</v>
      </c>
      <c r="C17746" t="n">
        <v>0.1</v>
      </c>
    </row>
    <row r="17747">
      <c r="A17747" s="28" t="n">
        <v>44571</v>
      </c>
      <c r="B17747" t="n">
        <v>1.78</v>
      </c>
      <c r="C17747" t="n">
        <v>0.13</v>
      </c>
    </row>
    <row r="17748">
      <c r="A17748" s="28" t="n">
        <v>44572</v>
      </c>
      <c r="B17748" t="n">
        <v>1.75</v>
      </c>
      <c r="C17748" t="n">
        <v>0.12</v>
      </c>
    </row>
    <row r="17749">
      <c r="A17749" s="28" t="n">
        <v>44573</v>
      </c>
      <c r="B17749" t="n">
        <v>1.74</v>
      </c>
      <c r="C17749" t="n">
        <v>0.12</v>
      </c>
    </row>
    <row r="17750">
      <c r="A17750" s="28" t="n">
        <v>44574</v>
      </c>
      <c r="B17750" t="n">
        <v>1.7</v>
      </c>
      <c r="C17750" t="n">
        <v>0.12</v>
      </c>
    </row>
    <row r="17751">
      <c r="A17751" s="28" t="n">
        <v>44575</v>
      </c>
      <c r="B17751" t="n">
        <v>1.78</v>
      </c>
      <c r="C17751" t="n">
        <v>0.13</v>
      </c>
    </row>
    <row r="17752">
      <c r="A17752" s="28" t="n">
        <v>44578</v>
      </c>
      <c r="B17752" t="n">
        <v>0</v>
      </c>
      <c r="C17752" t="n">
        <v>0</v>
      </c>
    </row>
    <row r="17753">
      <c r="A17753" s="28" t="n">
        <v>44579</v>
      </c>
      <c r="B17753" t="n">
        <v>1.87</v>
      </c>
      <c r="C17753" t="n">
        <v>0.17</v>
      </c>
    </row>
    <row r="17754">
      <c r="A17754" s="28" t="n">
        <v>44580</v>
      </c>
      <c r="B17754" t="n">
        <v>1.83</v>
      </c>
      <c r="C17754" t="n">
        <v>0.17</v>
      </c>
    </row>
    <row r="17755">
      <c r="A17755" s="28" t="n">
        <v>44581</v>
      </c>
      <c r="B17755" t="n">
        <v>1.83</v>
      </c>
      <c r="C17755" t="n">
        <v>0.18</v>
      </c>
    </row>
    <row r="17756">
      <c r="A17756" s="28" t="n">
        <v>44582</v>
      </c>
      <c r="B17756" t="n">
        <v>1.75</v>
      </c>
      <c r="C17756" t="n">
        <v>0.17</v>
      </c>
    </row>
    <row r="17757">
      <c r="A17757" s="28" t="n">
        <v>44585</v>
      </c>
      <c r="B17757" t="n">
        <v>1.75</v>
      </c>
      <c r="C17757" t="n">
        <v>0.2</v>
      </c>
    </row>
    <row r="17758">
      <c r="A17758" s="28" t="n">
        <v>44586</v>
      </c>
      <c r="B17758" t="n">
        <v>1.78</v>
      </c>
      <c r="C17758" t="n">
        <v>0.2</v>
      </c>
    </row>
    <row r="17759">
      <c r="A17759" s="28" t="n">
        <v>44587</v>
      </c>
      <c r="B17759" t="n">
        <v>1.85</v>
      </c>
      <c r="C17759" t="n">
        <v>0.19</v>
      </c>
    </row>
    <row r="17760">
      <c r="A17760" s="28" t="n">
        <v>44588</v>
      </c>
      <c r="B17760" t="n">
        <v>1.81</v>
      </c>
      <c r="C17760" t="n">
        <v>0.2</v>
      </c>
    </row>
    <row r="17761">
      <c r="A17761" s="28" t="n">
        <v>44589</v>
      </c>
      <c r="B17761" t="n">
        <v>1.78</v>
      </c>
      <c r="C17761" t="n">
        <v>0.19</v>
      </c>
    </row>
    <row r="17762">
      <c r="A17762" s="28" t="n">
        <v>44592</v>
      </c>
      <c r="B17762" t="n">
        <v>1.79</v>
      </c>
      <c r="C17762" t="n">
        <v>0.24</v>
      </c>
    </row>
    <row r="17763">
      <c r="A17763" s="28" t="n">
        <v>44593</v>
      </c>
      <c r="B17763" t="n">
        <v>1.81</v>
      </c>
      <c r="C17763" t="n">
        <v>0.2</v>
      </c>
    </row>
    <row r="17764">
      <c r="A17764" s="28" t="n">
        <v>44594</v>
      </c>
      <c r="B17764" t="n">
        <v>1.78</v>
      </c>
      <c r="C17764" t="n">
        <v>0.2</v>
      </c>
    </row>
    <row r="17765">
      <c r="A17765" s="28" t="n">
        <v>44595</v>
      </c>
      <c r="B17765" t="n">
        <v>1.82</v>
      </c>
      <c r="C17765" t="n">
        <v>0.21</v>
      </c>
    </row>
  </sheetData>
  <pageMargins left="0.7" right="0.7" top="0.75" bottom="0.75" header="0.3" footer="0.3"/>
</worksheet>
</file>

<file path=xl/worksheets/sheet3.xml><?xml version="1.0" encoding="utf-8"?>
<worksheet xmlns="http://schemas.openxmlformats.org/spreadsheetml/2006/main">
  <sheetPr>
    <tabColor rgb="FF92D050"/>
    <outlinePr summaryBelow="1" summaryRight="1"/>
    <pageSetUpPr/>
  </sheetPr>
  <dimension ref="A1:D15679"/>
  <sheetViews>
    <sheetView tabSelected="1" zoomScale="170" zoomScaleNormal="170" workbookViewId="0">
      <pane ySplit="2" topLeftCell="A15643" activePane="bottomLeft" state="frozen"/>
      <selection activeCell="K15648" sqref="K15648"/>
      <selection pane="bottomLeft" activeCell="W15652" sqref="W15652"/>
    </sheetView>
  </sheetViews>
  <sheetFormatPr baseColWidth="10" defaultRowHeight="15"/>
  <cols>
    <col width="10.83203125" customWidth="1" style="6" min="1" max="1"/>
    <col width="16.6640625" customWidth="1" style="7" min="2" max="2"/>
    <col width="15.6640625" customWidth="1" style="7" min="3" max="3"/>
    <col width="15" customWidth="1" style="7" min="4" max="4"/>
  </cols>
  <sheetData>
    <row r="1">
      <c r="B1" t="inlineStr">
        <is>
          <t>DGS10</t>
        </is>
      </c>
      <c r="C1" t="inlineStr">
        <is>
          <t>DTB3</t>
        </is>
      </c>
    </row>
    <row r="2">
      <c r="A2" s="6" t="inlineStr">
        <is>
          <t>Date</t>
        </is>
      </c>
      <c r="B2" t="inlineStr">
        <is>
          <t>United States 10y</t>
        </is>
      </c>
      <c r="C2" t="inlineStr">
        <is>
          <t>United States 3y</t>
        </is>
      </c>
      <c r="D2" t="inlineStr">
        <is>
          <t>U.S 10y - U.S 3y</t>
        </is>
      </c>
    </row>
    <row r="3">
      <c r="A3" s="6">
        <f>Database!$A2088</f>
        <v/>
      </c>
      <c r="B3">
        <f>IF(VLOOKUP(Table7[[#This Row],[Date]],Database!$A:$C,MATCH($B$1,Database!$A$1:$C$1,),)=0,#N/A,VLOOKUP(Table7[[#This Row],[Date]],Database!$A:$C,MATCH($B$1,Database!$A$1:$C$1,),))</f>
        <v/>
      </c>
      <c r="C3">
        <f>IF(VLOOKUP(Table7[[#This Row],[Date]],Database!$A:$C,MATCH($C$1,Database!$A$1:$C$1,),)=0,#N/A,VLOOKUP(Table7[[#This Row],[Date]],Database!$A:$C,MATCH($C$1,Database!$A$1:$C$1,),))</f>
        <v/>
      </c>
      <c r="D3">
        <f>IFERROR(Table7[[#This Row],[United States 10y]]-Table7[[#This Row],[United States 3y]],#N/A)</f>
        <v/>
      </c>
    </row>
    <row r="4">
      <c r="A4" s="6">
        <f>Database!$A2089</f>
        <v/>
      </c>
      <c r="B4">
        <f>IF(VLOOKUP(Table7[[#This Row],[Date]],Database!$A:$C,MATCH($B$1,Database!$A$1:$C$1,),)=0,#N/A,VLOOKUP(Table7[[#This Row],[Date]],Database!$A:$C,MATCH($B$1,Database!$A$1:$C$1,),))</f>
        <v/>
      </c>
      <c r="C4">
        <f>IF(VLOOKUP(Table7[[#This Row],[Date]],Database!$A:$C,MATCH($C$1,Database!$A$1:$C$1,),)=0,#N/A,VLOOKUP(Table7[[#This Row],[Date]],Database!$A:$C,MATCH($C$1,Database!$A$1:$C$1,),))</f>
        <v/>
      </c>
      <c r="D4">
        <f>IFERROR(Table7[[#This Row],[United States 10y]]-Table7[[#This Row],[United States 3y]],#N/A)</f>
        <v/>
      </c>
    </row>
    <row r="5">
      <c r="A5" s="6">
        <f>Database!$A2090</f>
        <v/>
      </c>
      <c r="B5">
        <f>IF(VLOOKUP(Table7[[#This Row],[Date]],Database!$A:$C,MATCH($B$1,Database!$A$1:$C$1,),)=0,#N/A,VLOOKUP(Table7[[#This Row],[Date]],Database!$A:$C,MATCH($B$1,Database!$A$1:$C$1,),))</f>
        <v/>
      </c>
      <c r="C5">
        <f>IF(VLOOKUP(Table7[[#This Row],[Date]],Database!$A:$C,MATCH($C$1,Database!$A$1:$C$1,),)=0,#N/A,VLOOKUP(Table7[[#This Row],[Date]],Database!$A:$C,MATCH($C$1,Database!$A$1:$C$1,),))</f>
        <v/>
      </c>
      <c r="D5">
        <f>IFERROR(Table7[[#This Row],[United States 10y]]-Table7[[#This Row],[United States 3y]],#N/A)</f>
        <v/>
      </c>
    </row>
    <row r="6">
      <c r="A6" s="6">
        <f>Database!$A2091</f>
        <v/>
      </c>
      <c r="B6">
        <f>IF(VLOOKUP(Table7[[#This Row],[Date]],Database!$A:$C,MATCH($B$1,Database!$A$1:$C$1,),)=0,#N/A,VLOOKUP(Table7[[#This Row],[Date]],Database!$A:$C,MATCH($B$1,Database!$A$1:$C$1,),))</f>
        <v/>
      </c>
      <c r="C6">
        <f>IF(VLOOKUP(Table7[[#This Row],[Date]],Database!$A:$C,MATCH($C$1,Database!$A$1:$C$1,),)=0,#N/A,VLOOKUP(Table7[[#This Row],[Date]],Database!$A:$C,MATCH($C$1,Database!$A$1:$C$1,),))</f>
        <v/>
      </c>
      <c r="D6">
        <f>IFERROR(Table7[[#This Row],[United States 10y]]-Table7[[#This Row],[United States 3y]],#N/A)</f>
        <v/>
      </c>
    </row>
    <row r="7">
      <c r="A7" s="6">
        <f>Database!$A2092</f>
        <v/>
      </c>
      <c r="B7">
        <f>IF(VLOOKUP(Table7[[#This Row],[Date]],Database!$A:$C,MATCH($B$1,Database!$A$1:$C$1,),)=0,#N/A,VLOOKUP(Table7[[#This Row],[Date]],Database!$A:$C,MATCH($B$1,Database!$A$1:$C$1,),))</f>
        <v/>
      </c>
      <c r="C7">
        <f>IF(VLOOKUP(Table7[[#This Row],[Date]],Database!$A:$C,MATCH($C$1,Database!$A$1:$C$1,),)=0,#N/A,VLOOKUP(Table7[[#This Row],[Date]],Database!$A:$C,MATCH($C$1,Database!$A$1:$C$1,),))</f>
        <v/>
      </c>
      <c r="D7">
        <f>IFERROR(Table7[[#This Row],[United States 10y]]-Table7[[#This Row],[United States 3y]],#N/A)</f>
        <v/>
      </c>
    </row>
    <row r="8">
      <c r="A8" s="6">
        <f>Database!$A2093</f>
        <v/>
      </c>
      <c r="B8">
        <f>IF(VLOOKUP(Table7[[#This Row],[Date]],Database!$A:$C,MATCH($B$1,Database!$A$1:$C$1,),)=0,#N/A,VLOOKUP(Table7[[#This Row],[Date]],Database!$A:$C,MATCH($B$1,Database!$A$1:$C$1,),))</f>
        <v/>
      </c>
      <c r="C8">
        <f>IF(VLOOKUP(Table7[[#This Row],[Date]],Database!$A:$C,MATCH($C$1,Database!$A$1:$C$1,),)=0,#N/A,VLOOKUP(Table7[[#This Row],[Date]],Database!$A:$C,MATCH($C$1,Database!$A$1:$C$1,),))</f>
        <v/>
      </c>
      <c r="D8">
        <f>IFERROR(Table7[[#This Row],[United States 10y]]-Table7[[#This Row],[United States 3y]],#N/A)</f>
        <v/>
      </c>
    </row>
    <row r="9">
      <c r="A9" s="6">
        <f>Database!$A2094</f>
        <v/>
      </c>
      <c r="B9">
        <f>IF(VLOOKUP(Table7[[#This Row],[Date]],Database!$A:$C,MATCH($B$1,Database!$A$1:$C$1,),)=0,#N/A,VLOOKUP(Table7[[#This Row],[Date]],Database!$A:$C,MATCH($B$1,Database!$A$1:$C$1,),))</f>
        <v/>
      </c>
      <c r="C9">
        <f>IF(VLOOKUP(Table7[[#This Row],[Date]],Database!$A:$C,MATCH($C$1,Database!$A$1:$C$1,),)=0,#N/A,VLOOKUP(Table7[[#This Row],[Date]],Database!$A:$C,MATCH($C$1,Database!$A$1:$C$1,),))</f>
        <v/>
      </c>
      <c r="D9">
        <f>IFERROR(Table7[[#This Row],[United States 10y]]-Table7[[#This Row],[United States 3y]],#N/A)</f>
        <v/>
      </c>
    </row>
    <row r="10">
      <c r="A10" s="6">
        <f>Database!$A2095</f>
        <v/>
      </c>
      <c r="B10">
        <f>IF(VLOOKUP(Table7[[#This Row],[Date]],Database!$A:$C,MATCH($B$1,Database!$A$1:$C$1,),)=0,#N/A,VLOOKUP(Table7[[#This Row],[Date]],Database!$A:$C,MATCH($B$1,Database!$A$1:$C$1,),))</f>
        <v/>
      </c>
      <c r="C10">
        <f>IF(VLOOKUP(Table7[[#This Row],[Date]],Database!$A:$C,MATCH($C$1,Database!$A$1:$C$1,),)=0,#N/A,VLOOKUP(Table7[[#This Row],[Date]],Database!$A:$C,MATCH($C$1,Database!$A$1:$C$1,),))</f>
        <v/>
      </c>
      <c r="D10">
        <f>IFERROR(Table7[[#This Row],[United States 10y]]-Table7[[#This Row],[United States 3y]],#N/A)</f>
        <v/>
      </c>
    </row>
    <row r="11">
      <c r="A11" s="6">
        <f>Database!$A2096</f>
        <v/>
      </c>
      <c r="B11">
        <f>IF(VLOOKUP(Table7[[#This Row],[Date]],Database!$A:$C,MATCH($B$1,Database!$A$1:$C$1,),)=0,#N/A,VLOOKUP(Table7[[#This Row],[Date]],Database!$A:$C,MATCH($B$1,Database!$A$1:$C$1,),))</f>
        <v/>
      </c>
      <c r="C11">
        <f>IF(VLOOKUP(Table7[[#This Row],[Date]],Database!$A:$C,MATCH($C$1,Database!$A$1:$C$1,),)=0,#N/A,VLOOKUP(Table7[[#This Row],[Date]],Database!$A:$C,MATCH($C$1,Database!$A$1:$C$1,),))</f>
        <v/>
      </c>
      <c r="D11">
        <f>IFERROR(Table7[[#This Row],[United States 10y]]-Table7[[#This Row],[United States 3y]],#N/A)</f>
        <v/>
      </c>
    </row>
    <row r="12">
      <c r="A12" s="6">
        <f>Database!$A2097</f>
        <v/>
      </c>
      <c r="B12">
        <f>IF(VLOOKUP(Table7[[#This Row],[Date]],Database!$A:$C,MATCH($B$1,Database!$A$1:$C$1,),)=0,#N/A,VLOOKUP(Table7[[#This Row],[Date]],Database!$A:$C,MATCH($B$1,Database!$A$1:$C$1,),))</f>
        <v/>
      </c>
      <c r="C12">
        <f>IF(VLOOKUP(Table7[[#This Row],[Date]],Database!$A:$C,MATCH($C$1,Database!$A$1:$C$1,),)=0,#N/A,VLOOKUP(Table7[[#This Row],[Date]],Database!$A:$C,MATCH($C$1,Database!$A$1:$C$1,),))</f>
        <v/>
      </c>
      <c r="D12">
        <f>IFERROR(Table7[[#This Row],[United States 10y]]-Table7[[#This Row],[United States 3y]],#N/A)</f>
        <v/>
      </c>
    </row>
    <row r="13">
      <c r="A13" s="6">
        <f>Database!$A2098</f>
        <v/>
      </c>
      <c r="B13">
        <f>IF(VLOOKUP(Table7[[#This Row],[Date]],Database!$A:$C,MATCH($B$1,Database!$A$1:$C$1,),)=0,#N/A,VLOOKUP(Table7[[#This Row],[Date]],Database!$A:$C,MATCH($B$1,Database!$A$1:$C$1,),))</f>
        <v/>
      </c>
      <c r="C13">
        <f>IF(VLOOKUP(Table7[[#This Row],[Date]],Database!$A:$C,MATCH($C$1,Database!$A$1:$C$1,),)=0,#N/A,VLOOKUP(Table7[[#This Row],[Date]],Database!$A:$C,MATCH($C$1,Database!$A$1:$C$1,),))</f>
        <v/>
      </c>
      <c r="D13">
        <f>IFERROR(Table7[[#This Row],[United States 10y]]-Table7[[#This Row],[United States 3y]],#N/A)</f>
        <v/>
      </c>
    </row>
    <row r="14">
      <c r="A14" s="6">
        <f>Database!$A2099</f>
        <v/>
      </c>
      <c r="B14">
        <f>IF(VLOOKUP(Table7[[#This Row],[Date]],Database!$A:$C,MATCH($B$1,Database!$A$1:$C$1,),)=0,#N/A,VLOOKUP(Table7[[#This Row],[Date]],Database!$A:$C,MATCH($B$1,Database!$A$1:$C$1,),))</f>
        <v/>
      </c>
      <c r="C14">
        <f>IF(VLOOKUP(Table7[[#This Row],[Date]],Database!$A:$C,MATCH($C$1,Database!$A$1:$C$1,),)=0,#N/A,VLOOKUP(Table7[[#This Row],[Date]],Database!$A:$C,MATCH($C$1,Database!$A$1:$C$1,),))</f>
        <v/>
      </c>
      <c r="D14">
        <f>IFERROR(Table7[[#This Row],[United States 10y]]-Table7[[#This Row],[United States 3y]],#N/A)</f>
        <v/>
      </c>
    </row>
    <row r="15">
      <c r="A15" s="6">
        <f>Database!$A2100</f>
        <v/>
      </c>
      <c r="B15">
        <f>IF(VLOOKUP(Table7[[#This Row],[Date]],Database!$A:$C,MATCH($B$1,Database!$A$1:$C$1,),)=0,#N/A,VLOOKUP(Table7[[#This Row],[Date]],Database!$A:$C,MATCH($B$1,Database!$A$1:$C$1,),))</f>
        <v/>
      </c>
      <c r="C15">
        <f>IF(VLOOKUP(Table7[[#This Row],[Date]],Database!$A:$C,MATCH($C$1,Database!$A$1:$C$1,),)=0,#N/A,VLOOKUP(Table7[[#This Row],[Date]],Database!$A:$C,MATCH($C$1,Database!$A$1:$C$1,),))</f>
        <v/>
      </c>
      <c r="D15">
        <f>IFERROR(Table7[[#This Row],[United States 10y]]-Table7[[#This Row],[United States 3y]],#N/A)</f>
        <v/>
      </c>
    </row>
    <row r="16">
      <c r="A16" s="6">
        <f>Database!$A2101</f>
        <v/>
      </c>
      <c r="B16">
        <f>IF(VLOOKUP(Table7[[#This Row],[Date]],Database!$A:$C,MATCH($B$1,Database!$A$1:$C$1,),)=0,#N/A,VLOOKUP(Table7[[#This Row],[Date]],Database!$A:$C,MATCH($B$1,Database!$A$1:$C$1,),))</f>
        <v/>
      </c>
      <c r="C16">
        <f>IF(VLOOKUP(Table7[[#This Row],[Date]],Database!$A:$C,MATCH($C$1,Database!$A$1:$C$1,),)=0,#N/A,VLOOKUP(Table7[[#This Row],[Date]],Database!$A:$C,MATCH($C$1,Database!$A$1:$C$1,),))</f>
        <v/>
      </c>
      <c r="D16">
        <f>IFERROR(Table7[[#This Row],[United States 10y]]-Table7[[#This Row],[United States 3y]],#N/A)</f>
        <v/>
      </c>
    </row>
    <row r="17">
      <c r="A17" s="6">
        <f>Database!$A2102</f>
        <v/>
      </c>
      <c r="B17">
        <f>IF(VLOOKUP(Table7[[#This Row],[Date]],Database!$A:$C,MATCH($B$1,Database!$A$1:$C$1,),)=0,#N/A,VLOOKUP(Table7[[#This Row],[Date]],Database!$A:$C,MATCH($B$1,Database!$A$1:$C$1,),))</f>
        <v/>
      </c>
      <c r="C17">
        <f>IF(VLOOKUP(Table7[[#This Row],[Date]],Database!$A:$C,MATCH($C$1,Database!$A$1:$C$1,),)=0,#N/A,VLOOKUP(Table7[[#This Row],[Date]],Database!$A:$C,MATCH($C$1,Database!$A$1:$C$1,),))</f>
        <v/>
      </c>
      <c r="D17">
        <f>IFERROR(Table7[[#This Row],[United States 10y]]-Table7[[#This Row],[United States 3y]],#N/A)</f>
        <v/>
      </c>
    </row>
    <row r="18">
      <c r="A18" s="6">
        <f>Database!$A2103</f>
        <v/>
      </c>
      <c r="B18">
        <f>IF(VLOOKUP(Table7[[#This Row],[Date]],Database!$A:$C,MATCH($B$1,Database!$A$1:$C$1,),)=0,#N/A,VLOOKUP(Table7[[#This Row],[Date]],Database!$A:$C,MATCH($B$1,Database!$A$1:$C$1,),))</f>
        <v/>
      </c>
      <c r="C18">
        <f>IF(VLOOKUP(Table7[[#This Row],[Date]],Database!$A:$C,MATCH($C$1,Database!$A$1:$C$1,),)=0,#N/A,VLOOKUP(Table7[[#This Row],[Date]],Database!$A:$C,MATCH($C$1,Database!$A$1:$C$1,),))</f>
        <v/>
      </c>
      <c r="D18">
        <f>IFERROR(Table7[[#This Row],[United States 10y]]-Table7[[#This Row],[United States 3y]],#N/A)</f>
        <v/>
      </c>
    </row>
    <row r="19">
      <c r="A19" s="6">
        <f>Database!$A2104</f>
        <v/>
      </c>
      <c r="B19">
        <f>IF(VLOOKUP(Table7[[#This Row],[Date]],Database!$A:$C,MATCH($B$1,Database!$A$1:$C$1,),)=0,#N/A,VLOOKUP(Table7[[#This Row],[Date]],Database!$A:$C,MATCH($B$1,Database!$A$1:$C$1,),))</f>
        <v/>
      </c>
      <c r="C19">
        <f>IF(VLOOKUP(Table7[[#This Row],[Date]],Database!$A:$C,MATCH($C$1,Database!$A$1:$C$1,),)=0,#N/A,VLOOKUP(Table7[[#This Row],[Date]],Database!$A:$C,MATCH($C$1,Database!$A$1:$C$1,),))</f>
        <v/>
      </c>
      <c r="D19">
        <f>IFERROR(Table7[[#This Row],[United States 10y]]-Table7[[#This Row],[United States 3y]],#N/A)</f>
        <v/>
      </c>
    </row>
    <row r="20">
      <c r="A20" s="6">
        <f>Database!$A2105</f>
        <v/>
      </c>
      <c r="B20">
        <f>IF(VLOOKUP(Table7[[#This Row],[Date]],Database!$A:$C,MATCH($B$1,Database!$A$1:$C$1,),)=0,#N/A,VLOOKUP(Table7[[#This Row],[Date]],Database!$A:$C,MATCH($B$1,Database!$A$1:$C$1,),))</f>
        <v/>
      </c>
      <c r="C20">
        <f>IF(VLOOKUP(Table7[[#This Row],[Date]],Database!$A:$C,MATCH($C$1,Database!$A$1:$C$1,),)=0,#N/A,VLOOKUP(Table7[[#This Row],[Date]],Database!$A:$C,MATCH($C$1,Database!$A$1:$C$1,),))</f>
        <v/>
      </c>
      <c r="D20">
        <f>IFERROR(Table7[[#This Row],[United States 10y]]-Table7[[#This Row],[United States 3y]],#N/A)</f>
        <v/>
      </c>
    </row>
    <row r="21">
      <c r="A21" s="6">
        <f>Database!$A2106</f>
        <v/>
      </c>
      <c r="B21">
        <f>IF(VLOOKUP(Table7[[#This Row],[Date]],Database!$A:$C,MATCH($B$1,Database!$A$1:$C$1,),)=0,#N/A,VLOOKUP(Table7[[#This Row],[Date]],Database!$A:$C,MATCH($B$1,Database!$A$1:$C$1,),))</f>
        <v/>
      </c>
      <c r="C21">
        <f>IF(VLOOKUP(Table7[[#This Row],[Date]],Database!$A:$C,MATCH($C$1,Database!$A$1:$C$1,),)=0,#N/A,VLOOKUP(Table7[[#This Row],[Date]],Database!$A:$C,MATCH($C$1,Database!$A$1:$C$1,),))</f>
        <v/>
      </c>
      <c r="D21">
        <f>IFERROR(Table7[[#This Row],[United States 10y]]-Table7[[#This Row],[United States 3y]],#N/A)</f>
        <v/>
      </c>
    </row>
    <row r="22">
      <c r="A22" s="6">
        <f>Database!$A2107</f>
        <v/>
      </c>
      <c r="B22">
        <f>IF(VLOOKUP(Table7[[#This Row],[Date]],Database!$A:$C,MATCH($B$1,Database!$A$1:$C$1,),)=0,#N/A,VLOOKUP(Table7[[#This Row],[Date]],Database!$A:$C,MATCH($B$1,Database!$A$1:$C$1,),))</f>
        <v/>
      </c>
      <c r="C22">
        <f>IF(VLOOKUP(Table7[[#This Row],[Date]],Database!$A:$C,MATCH($C$1,Database!$A$1:$C$1,),)=0,#N/A,VLOOKUP(Table7[[#This Row],[Date]],Database!$A:$C,MATCH($C$1,Database!$A$1:$C$1,),))</f>
        <v/>
      </c>
      <c r="D22">
        <f>IFERROR(Table7[[#This Row],[United States 10y]]-Table7[[#This Row],[United States 3y]],#N/A)</f>
        <v/>
      </c>
    </row>
    <row r="23">
      <c r="A23" s="6">
        <f>Database!$A2108</f>
        <v/>
      </c>
      <c r="B23">
        <f>IF(VLOOKUP(Table7[[#This Row],[Date]],Database!$A:$C,MATCH($B$1,Database!$A$1:$C$1,),)=0,#N/A,VLOOKUP(Table7[[#This Row],[Date]],Database!$A:$C,MATCH($B$1,Database!$A$1:$C$1,),))</f>
        <v/>
      </c>
      <c r="C23">
        <f>IF(VLOOKUP(Table7[[#This Row],[Date]],Database!$A:$C,MATCH($C$1,Database!$A$1:$C$1,),)=0,#N/A,VLOOKUP(Table7[[#This Row],[Date]],Database!$A:$C,MATCH($C$1,Database!$A$1:$C$1,),))</f>
        <v/>
      </c>
      <c r="D23">
        <f>IFERROR(Table7[[#This Row],[United States 10y]]-Table7[[#This Row],[United States 3y]],#N/A)</f>
        <v/>
      </c>
    </row>
    <row r="24">
      <c r="A24" s="6">
        <f>Database!$A2109</f>
        <v/>
      </c>
      <c r="B24">
        <f>IF(VLOOKUP(Table7[[#This Row],[Date]],Database!$A:$C,MATCH($B$1,Database!$A$1:$C$1,),)=0,#N/A,VLOOKUP(Table7[[#This Row],[Date]],Database!$A:$C,MATCH($B$1,Database!$A$1:$C$1,),))</f>
        <v/>
      </c>
      <c r="C24">
        <f>IF(VLOOKUP(Table7[[#This Row],[Date]],Database!$A:$C,MATCH($C$1,Database!$A$1:$C$1,),)=0,#N/A,VLOOKUP(Table7[[#This Row],[Date]],Database!$A:$C,MATCH($C$1,Database!$A$1:$C$1,),))</f>
        <v/>
      </c>
      <c r="D24">
        <f>IFERROR(Table7[[#This Row],[United States 10y]]-Table7[[#This Row],[United States 3y]],#N/A)</f>
        <v/>
      </c>
    </row>
    <row r="25">
      <c r="A25" s="6">
        <f>Database!$A2110</f>
        <v/>
      </c>
      <c r="B25">
        <f>IF(VLOOKUP(Table7[[#This Row],[Date]],Database!$A:$C,MATCH($B$1,Database!$A$1:$C$1,),)=0,#N/A,VLOOKUP(Table7[[#This Row],[Date]],Database!$A:$C,MATCH($B$1,Database!$A$1:$C$1,),))</f>
        <v/>
      </c>
      <c r="C25">
        <f>IF(VLOOKUP(Table7[[#This Row],[Date]],Database!$A:$C,MATCH($C$1,Database!$A$1:$C$1,),)=0,#N/A,VLOOKUP(Table7[[#This Row],[Date]],Database!$A:$C,MATCH($C$1,Database!$A$1:$C$1,),))</f>
        <v/>
      </c>
      <c r="D25">
        <f>IFERROR(Table7[[#This Row],[United States 10y]]-Table7[[#This Row],[United States 3y]],#N/A)</f>
        <v/>
      </c>
    </row>
    <row r="26">
      <c r="A26" s="6">
        <f>Database!$A2111</f>
        <v/>
      </c>
      <c r="B26">
        <f>IF(VLOOKUP(Table7[[#This Row],[Date]],Database!$A:$C,MATCH($B$1,Database!$A$1:$C$1,),)=0,#N/A,VLOOKUP(Table7[[#This Row],[Date]],Database!$A:$C,MATCH($B$1,Database!$A$1:$C$1,),))</f>
        <v/>
      </c>
      <c r="C26">
        <f>IF(VLOOKUP(Table7[[#This Row],[Date]],Database!$A:$C,MATCH($C$1,Database!$A$1:$C$1,),)=0,#N/A,VLOOKUP(Table7[[#This Row],[Date]],Database!$A:$C,MATCH($C$1,Database!$A$1:$C$1,),))</f>
        <v/>
      </c>
      <c r="D26">
        <f>IFERROR(Table7[[#This Row],[United States 10y]]-Table7[[#This Row],[United States 3y]],#N/A)</f>
        <v/>
      </c>
    </row>
    <row r="27">
      <c r="A27" s="6">
        <f>Database!$A2112</f>
        <v/>
      </c>
      <c r="B27">
        <f>IF(VLOOKUP(Table7[[#This Row],[Date]],Database!$A:$C,MATCH($B$1,Database!$A$1:$C$1,),)=0,#N/A,VLOOKUP(Table7[[#This Row],[Date]],Database!$A:$C,MATCH($B$1,Database!$A$1:$C$1,),))</f>
        <v/>
      </c>
      <c r="C27">
        <f>IF(VLOOKUP(Table7[[#This Row],[Date]],Database!$A:$C,MATCH($C$1,Database!$A$1:$C$1,),)=0,#N/A,VLOOKUP(Table7[[#This Row],[Date]],Database!$A:$C,MATCH($C$1,Database!$A$1:$C$1,),))</f>
        <v/>
      </c>
      <c r="D27">
        <f>IFERROR(Table7[[#This Row],[United States 10y]]-Table7[[#This Row],[United States 3y]],#N/A)</f>
        <v/>
      </c>
    </row>
    <row r="28">
      <c r="A28" s="6">
        <f>Database!$A2113</f>
        <v/>
      </c>
      <c r="B28">
        <f>IF(VLOOKUP(Table7[[#This Row],[Date]],Database!$A:$C,MATCH($B$1,Database!$A$1:$C$1,),)=0,#N/A,VLOOKUP(Table7[[#This Row],[Date]],Database!$A:$C,MATCH($B$1,Database!$A$1:$C$1,),))</f>
        <v/>
      </c>
      <c r="C28">
        <f>IF(VLOOKUP(Table7[[#This Row],[Date]],Database!$A:$C,MATCH($C$1,Database!$A$1:$C$1,),)=0,#N/A,VLOOKUP(Table7[[#This Row],[Date]],Database!$A:$C,MATCH($C$1,Database!$A$1:$C$1,),))</f>
        <v/>
      </c>
      <c r="D28">
        <f>IFERROR(Table7[[#This Row],[United States 10y]]-Table7[[#This Row],[United States 3y]],#N/A)</f>
        <v/>
      </c>
    </row>
    <row r="29">
      <c r="A29" s="6">
        <f>Database!$A2114</f>
        <v/>
      </c>
      <c r="B29">
        <f>IF(VLOOKUP(Table7[[#This Row],[Date]],Database!$A:$C,MATCH($B$1,Database!$A$1:$C$1,),)=0,#N/A,VLOOKUP(Table7[[#This Row],[Date]],Database!$A:$C,MATCH($B$1,Database!$A$1:$C$1,),))</f>
        <v/>
      </c>
      <c r="C29">
        <f>IF(VLOOKUP(Table7[[#This Row],[Date]],Database!$A:$C,MATCH($C$1,Database!$A$1:$C$1,),)=0,#N/A,VLOOKUP(Table7[[#This Row],[Date]],Database!$A:$C,MATCH($C$1,Database!$A$1:$C$1,),))</f>
        <v/>
      </c>
      <c r="D29">
        <f>IFERROR(Table7[[#This Row],[United States 10y]]-Table7[[#This Row],[United States 3y]],#N/A)</f>
        <v/>
      </c>
    </row>
    <row r="30">
      <c r="A30" s="6">
        <f>Database!$A2115</f>
        <v/>
      </c>
      <c r="B30">
        <f>IF(VLOOKUP(Table7[[#This Row],[Date]],Database!$A:$C,MATCH($B$1,Database!$A$1:$C$1,),)=0,#N/A,VLOOKUP(Table7[[#This Row],[Date]],Database!$A:$C,MATCH($B$1,Database!$A$1:$C$1,),))</f>
        <v/>
      </c>
      <c r="C30">
        <f>IF(VLOOKUP(Table7[[#This Row],[Date]],Database!$A:$C,MATCH($C$1,Database!$A$1:$C$1,),)=0,#N/A,VLOOKUP(Table7[[#This Row],[Date]],Database!$A:$C,MATCH($C$1,Database!$A$1:$C$1,),))</f>
        <v/>
      </c>
      <c r="D30">
        <f>IFERROR(Table7[[#This Row],[United States 10y]]-Table7[[#This Row],[United States 3y]],#N/A)</f>
        <v/>
      </c>
    </row>
    <row r="31">
      <c r="A31" s="6">
        <f>Database!$A2116</f>
        <v/>
      </c>
      <c r="B31">
        <f>IF(VLOOKUP(Table7[[#This Row],[Date]],Database!$A:$C,MATCH($B$1,Database!$A$1:$C$1,),)=0,#N/A,VLOOKUP(Table7[[#This Row],[Date]],Database!$A:$C,MATCH($B$1,Database!$A$1:$C$1,),))</f>
        <v/>
      </c>
      <c r="C31">
        <f>IF(VLOOKUP(Table7[[#This Row],[Date]],Database!$A:$C,MATCH($C$1,Database!$A$1:$C$1,),)=0,#N/A,VLOOKUP(Table7[[#This Row],[Date]],Database!$A:$C,MATCH($C$1,Database!$A$1:$C$1,),))</f>
        <v/>
      </c>
      <c r="D31">
        <f>IFERROR(Table7[[#This Row],[United States 10y]]-Table7[[#This Row],[United States 3y]],#N/A)</f>
        <v/>
      </c>
    </row>
    <row r="32">
      <c r="A32" s="6">
        <f>Database!$A2117</f>
        <v/>
      </c>
      <c r="B32">
        <f>IF(VLOOKUP(Table7[[#This Row],[Date]],Database!$A:$C,MATCH($B$1,Database!$A$1:$C$1,),)=0,#N/A,VLOOKUP(Table7[[#This Row],[Date]],Database!$A:$C,MATCH($B$1,Database!$A$1:$C$1,),))</f>
        <v/>
      </c>
      <c r="C32">
        <f>IF(VLOOKUP(Table7[[#This Row],[Date]],Database!$A:$C,MATCH($C$1,Database!$A$1:$C$1,),)=0,#N/A,VLOOKUP(Table7[[#This Row],[Date]],Database!$A:$C,MATCH($C$1,Database!$A$1:$C$1,),))</f>
        <v/>
      </c>
      <c r="D32">
        <f>IFERROR(Table7[[#This Row],[United States 10y]]-Table7[[#This Row],[United States 3y]],#N/A)</f>
        <v/>
      </c>
    </row>
    <row r="33">
      <c r="A33" s="6">
        <f>Database!$A2118</f>
        <v/>
      </c>
      <c r="B33">
        <f>IF(VLOOKUP(Table7[[#This Row],[Date]],Database!$A:$C,MATCH($B$1,Database!$A$1:$C$1,),)=0,#N/A,VLOOKUP(Table7[[#This Row],[Date]],Database!$A:$C,MATCH($B$1,Database!$A$1:$C$1,),))</f>
        <v/>
      </c>
      <c r="C33">
        <f>IF(VLOOKUP(Table7[[#This Row],[Date]],Database!$A:$C,MATCH($C$1,Database!$A$1:$C$1,),)=0,#N/A,VLOOKUP(Table7[[#This Row],[Date]],Database!$A:$C,MATCH($C$1,Database!$A$1:$C$1,),))</f>
        <v/>
      </c>
      <c r="D33">
        <f>IFERROR(Table7[[#This Row],[United States 10y]]-Table7[[#This Row],[United States 3y]],#N/A)</f>
        <v/>
      </c>
    </row>
    <row r="34">
      <c r="A34" s="6">
        <f>Database!$A2119</f>
        <v/>
      </c>
      <c r="B34">
        <f>IF(VLOOKUP(Table7[[#This Row],[Date]],Database!$A:$C,MATCH($B$1,Database!$A$1:$C$1,),)=0,#N/A,VLOOKUP(Table7[[#This Row],[Date]],Database!$A:$C,MATCH($B$1,Database!$A$1:$C$1,),))</f>
        <v/>
      </c>
      <c r="C34">
        <f>IF(VLOOKUP(Table7[[#This Row],[Date]],Database!$A:$C,MATCH($C$1,Database!$A$1:$C$1,),)=0,#N/A,VLOOKUP(Table7[[#This Row],[Date]],Database!$A:$C,MATCH($C$1,Database!$A$1:$C$1,),))</f>
        <v/>
      </c>
      <c r="D34">
        <f>IFERROR(Table7[[#This Row],[United States 10y]]-Table7[[#This Row],[United States 3y]],#N/A)</f>
        <v/>
      </c>
    </row>
    <row r="35">
      <c r="A35" s="6">
        <f>Database!$A2120</f>
        <v/>
      </c>
      <c r="B35">
        <f>IF(VLOOKUP(Table7[[#This Row],[Date]],Database!$A:$C,MATCH($B$1,Database!$A$1:$C$1,),)=0,#N/A,VLOOKUP(Table7[[#This Row],[Date]],Database!$A:$C,MATCH($B$1,Database!$A$1:$C$1,),))</f>
        <v/>
      </c>
      <c r="C35">
        <f>IF(VLOOKUP(Table7[[#This Row],[Date]],Database!$A:$C,MATCH($C$1,Database!$A$1:$C$1,),)=0,#N/A,VLOOKUP(Table7[[#This Row],[Date]],Database!$A:$C,MATCH($C$1,Database!$A$1:$C$1,),))</f>
        <v/>
      </c>
      <c r="D35">
        <f>IFERROR(Table7[[#This Row],[United States 10y]]-Table7[[#This Row],[United States 3y]],#N/A)</f>
        <v/>
      </c>
    </row>
    <row r="36">
      <c r="A36" s="6">
        <f>Database!$A2121</f>
        <v/>
      </c>
      <c r="B36">
        <f>IF(VLOOKUP(Table7[[#This Row],[Date]],Database!$A:$C,MATCH($B$1,Database!$A$1:$C$1,),)=0,#N/A,VLOOKUP(Table7[[#This Row],[Date]],Database!$A:$C,MATCH($B$1,Database!$A$1:$C$1,),))</f>
        <v/>
      </c>
      <c r="C36">
        <f>IF(VLOOKUP(Table7[[#This Row],[Date]],Database!$A:$C,MATCH($C$1,Database!$A$1:$C$1,),)=0,#N/A,VLOOKUP(Table7[[#This Row],[Date]],Database!$A:$C,MATCH($C$1,Database!$A$1:$C$1,),))</f>
        <v/>
      </c>
      <c r="D36">
        <f>IFERROR(Table7[[#This Row],[United States 10y]]-Table7[[#This Row],[United States 3y]],#N/A)</f>
        <v/>
      </c>
    </row>
    <row r="37">
      <c r="A37" s="6">
        <f>Database!$A2122</f>
        <v/>
      </c>
      <c r="B37">
        <f>IF(VLOOKUP(Table7[[#This Row],[Date]],Database!$A:$C,MATCH($B$1,Database!$A$1:$C$1,),)=0,#N/A,VLOOKUP(Table7[[#This Row],[Date]],Database!$A:$C,MATCH($B$1,Database!$A$1:$C$1,),))</f>
        <v/>
      </c>
      <c r="C37">
        <f>IF(VLOOKUP(Table7[[#This Row],[Date]],Database!$A:$C,MATCH($C$1,Database!$A$1:$C$1,),)=0,#N/A,VLOOKUP(Table7[[#This Row],[Date]],Database!$A:$C,MATCH($C$1,Database!$A$1:$C$1,),))</f>
        <v/>
      </c>
      <c r="D37">
        <f>IFERROR(Table7[[#This Row],[United States 10y]]-Table7[[#This Row],[United States 3y]],#N/A)</f>
        <v/>
      </c>
    </row>
    <row r="38">
      <c r="A38" s="6">
        <f>Database!$A2123</f>
        <v/>
      </c>
      <c r="B38">
        <f>IF(VLOOKUP(Table7[[#This Row],[Date]],Database!$A:$C,MATCH($B$1,Database!$A$1:$C$1,),)=0,#N/A,VLOOKUP(Table7[[#This Row],[Date]],Database!$A:$C,MATCH($B$1,Database!$A$1:$C$1,),))</f>
        <v/>
      </c>
      <c r="C38">
        <f>IF(VLOOKUP(Table7[[#This Row],[Date]],Database!$A:$C,MATCH($C$1,Database!$A$1:$C$1,),)=0,#N/A,VLOOKUP(Table7[[#This Row],[Date]],Database!$A:$C,MATCH($C$1,Database!$A$1:$C$1,),))</f>
        <v/>
      </c>
      <c r="D38">
        <f>IFERROR(Table7[[#This Row],[United States 10y]]-Table7[[#This Row],[United States 3y]],#N/A)</f>
        <v/>
      </c>
    </row>
    <row r="39">
      <c r="A39" s="6">
        <f>Database!$A2124</f>
        <v/>
      </c>
      <c r="B39">
        <f>IF(VLOOKUP(Table7[[#This Row],[Date]],Database!$A:$C,MATCH($B$1,Database!$A$1:$C$1,),)=0,#N/A,VLOOKUP(Table7[[#This Row],[Date]],Database!$A:$C,MATCH($B$1,Database!$A$1:$C$1,),))</f>
        <v/>
      </c>
      <c r="C39">
        <f>IF(VLOOKUP(Table7[[#This Row],[Date]],Database!$A:$C,MATCH($C$1,Database!$A$1:$C$1,),)=0,#N/A,VLOOKUP(Table7[[#This Row],[Date]],Database!$A:$C,MATCH($C$1,Database!$A$1:$C$1,),))</f>
        <v/>
      </c>
      <c r="D39">
        <f>IFERROR(Table7[[#This Row],[United States 10y]]-Table7[[#This Row],[United States 3y]],#N/A)</f>
        <v/>
      </c>
    </row>
    <row r="40">
      <c r="A40" s="6">
        <f>Database!$A2125</f>
        <v/>
      </c>
      <c r="B40">
        <f>IF(VLOOKUP(Table7[[#This Row],[Date]],Database!$A:$C,MATCH($B$1,Database!$A$1:$C$1,),)=0,#N/A,VLOOKUP(Table7[[#This Row],[Date]],Database!$A:$C,MATCH($B$1,Database!$A$1:$C$1,),))</f>
        <v/>
      </c>
      <c r="C40">
        <f>IF(VLOOKUP(Table7[[#This Row],[Date]],Database!$A:$C,MATCH($C$1,Database!$A$1:$C$1,),)=0,#N/A,VLOOKUP(Table7[[#This Row],[Date]],Database!$A:$C,MATCH($C$1,Database!$A$1:$C$1,),))</f>
        <v/>
      </c>
      <c r="D40">
        <f>IFERROR(Table7[[#This Row],[United States 10y]]-Table7[[#This Row],[United States 3y]],#N/A)</f>
        <v/>
      </c>
    </row>
    <row r="41">
      <c r="A41" s="6">
        <f>Database!$A2126</f>
        <v/>
      </c>
      <c r="B41">
        <f>IF(VLOOKUP(Table7[[#This Row],[Date]],Database!$A:$C,MATCH($B$1,Database!$A$1:$C$1,),)=0,#N/A,VLOOKUP(Table7[[#This Row],[Date]],Database!$A:$C,MATCH($B$1,Database!$A$1:$C$1,),))</f>
        <v/>
      </c>
      <c r="C41">
        <f>IF(VLOOKUP(Table7[[#This Row],[Date]],Database!$A:$C,MATCH($C$1,Database!$A$1:$C$1,),)=0,#N/A,VLOOKUP(Table7[[#This Row],[Date]],Database!$A:$C,MATCH($C$1,Database!$A$1:$C$1,),))</f>
        <v/>
      </c>
      <c r="D41">
        <f>IFERROR(Table7[[#This Row],[United States 10y]]-Table7[[#This Row],[United States 3y]],#N/A)</f>
        <v/>
      </c>
    </row>
    <row r="42">
      <c r="A42" s="6">
        <f>Database!$A2127</f>
        <v/>
      </c>
      <c r="B42">
        <f>IF(VLOOKUP(Table7[[#This Row],[Date]],Database!$A:$C,MATCH($B$1,Database!$A$1:$C$1,),)=0,#N/A,VLOOKUP(Table7[[#This Row],[Date]],Database!$A:$C,MATCH($B$1,Database!$A$1:$C$1,),))</f>
        <v/>
      </c>
      <c r="C42">
        <f>IF(VLOOKUP(Table7[[#This Row],[Date]],Database!$A:$C,MATCH($C$1,Database!$A$1:$C$1,),)=0,#N/A,VLOOKUP(Table7[[#This Row],[Date]],Database!$A:$C,MATCH($C$1,Database!$A$1:$C$1,),))</f>
        <v/>
      </c>
      <c r="D42">
        <f>IFERROR(Table7[[#This Row],[United States 10y]]-Table7[[#This Row],[United States 3y]],#N/A)</f>
        <v/>
      </c>
    </row>
    <row r="43">
      <c r="A43" s="6">
        <f>Database!$A2128</f>
        <v/>
      </c>
      <c r="B43">
        <f>IF(VLOOKUP(Table7[[#This Row],[Date]],Database!$A:$C,MATCH($B$1,Database!$A$1:$C$1,),)=0,#N/A,VLOOKUP(Table7[[#This Row],[Date]],Database!$A:$C,MATCH($B$1,Database!$A$1:$C$1,),))</f>
        <v/>
      </c>
      <c r="C43">
        <f>IF(VLOOKUP(Table7[[#This Row],[Date]],Database!$A:$C,MATCH($C$1,Database!$A$1:$C$1,),)=0,#N/A,VLOOKUP(Table7[[#This Row],[Date]],Database!$A:$C,MATCH($C$1,Database!$A$1:$C$1,),))</f>
        <v/>
      </c>
      <c r="D43">
        <f>IFERROR(Table7[[#This Row],[United States 10y]]-Table7[[#This Row],[United States 3y]],#N/A)</f>
        <v/>
      </c>
    </row>
    <row r="44">
      <c r="A44" s="6">
        <f>Database!$A2129</f>
        <v/>
      </c>
      <c r="B44">
        <f>IF(VLOOKUP(Table7[[#This Row],[Date]],Database!$A:$C,MATCH($B$1,Database!$A$1:$C$1,),)=0,#N/A,VLOOKUP(Table7[[#This Row],[Date]],Database!$A:$C,MATCH($B$1,Database!$A$1:$C$1,),))</f>
        <v/>
      </c>
      <c r="C44">
        <f>IF(VLOOKUP(Table7[[#This Row],[Date]],Database!$A:$C,MATCH($C$1,Database!$A$1:$C$1,),)=0,#N/A,VLOOKUP(Table7[[#This Row],[Date]],Database!$A:$C,MATCH($C$1,Database!$A$1:$C$1,),))</f>
        <v/>
      </c>
      <c r="D44">
        <f>IFERROR(Table7[[#This Row],[United States 10y]]-Table7[[#This Row],[United States 3y]],#N/A)</f>
        <v/>
      </c>
    </row>
    <row r="45">
      <c r="A45" s="6">
        <f>Database!$A2130</f>
        <v/>
      </c>
      <c r="B45">
        <f>IF(VLOOKUP(Table7[[#This Row],[Date]],Database!$A:$C,MATCH($B$1,Database!$A$1:$C$1,),)=0,#N/A,VLOOKUP(Table7[[#This Row],[Date]],Database!$A:$C,MATCH($B$1,Database!$A$1:$C$1,),))</f>
        <v/>
      </c>
      <c r="C45">
        <f>IF(VLOOKUP(Table7[[#This Row],[Date]],Database!$A:$C,MATCH($C$1,Database!$A$1:$C$1,),)=0,#N/A,VLOOKUP(Table7[[#This Row],[Date]],Database!$A:$C,MATCH($C$1,Database!$A$1:$C$1,),))</f>
        <v/>
      </c>
      <c r="D45">
        <f>IFERROR(Table7[[#This Row],[United States 10y]]-Table7[[#This Row],[United States 3y]],#N/A)</f>
        <v/>
      </c>
    </row>
    <row r="46">
      <c r="A46" s="6">
        <f>Database!$A2131</f>
        <v/>
      </c>
      <c r="B46">
        <f>IF(VLOOKUP(Table7[[#This Row],[Date]],Database!$A:$C,MATCH($B$1,Database!$A$1:$C$1,),)=0,#N/A,VLOOKUP(Table7[[#This Row],[Date]],Database!$A:$C,MATCH($B$1,Database!$A$1:$C$1,),))</f>
        <v/>
      </c>
      <c r="C46">
        <f>IF(VLOOKUP(Table7[[#This Row],[Date]],Database!$A:$C,MATCH($C$1,Database!$A$1:$C$1,),)=0,#N/A,VLOOKUP(Table7[[#This Row],[Date]],Database!$A:$C,MATCH($C$1,Database!$A$1:$C$1,),))</f>
        <v/>
      </c>
      <c r="D46">
        <f>IFERROR(Table7[[#This Row],[United States 10y]]-Table7[[#This Row],[United States 3y]],#N/A)</f>
        <v/>
      </c>
    </row>
    <row r="47">
      <c r="A47" s="6">
        <f>Database!$A2132</f>
        <v/>
      </c>
      <c r="B47">
        <f>IF(VLOOKUP(Table7[[#This Row],[Date]],Database!$A:$C,MATCH($B$1,Database!$A$1:$C$1,),)=0,#N/A,VLOOKUP(Table7[[#This Row],[Date]],Database!$A:$C,MATCH($B$1,Database!$A$1:$C$1,),))</f>
        <v/>
      </c>
      <c r="C47">
        <f>IF(VLOOKUP(Table7[[#This Row],[Date]],Database!$A:$C,MATCH($C$1,Database!$A$1:$C$1,),)=0,#N/A,VLOOKUP(Table7[[#This Row],[Date]],Database!$A:$C,MATCH($C$1,Database!$A$1:$C$1,),))</f>
        <v/>
      </c>
      <c r="D47">
        <f>IFERROR(Table7[[#This Row],[United States 10y]]-Table7[[#This Row],[United States 3y]],#N/A)</f>
        <v/>
      </c>
    </row>
    <row r="48">
      <c r="A48" s="6">
        <f>Database!$A2133</f>
        <v/>
      </c>
      <c r="B48">
        <f>IF(VLOOKUP(Table7[[#This Row],[Date]],Database!$A:$C,MATCH($B$1,Database!$A$1:$C$1,),)=0,#N/A,VLOOKUP(Table7[[#This Row],[Date]],Database!$A:$C,MATCH($B$1,Database!$A$1:$C$1,),))</f>
        <v/>
      </c>
      <c r="C48">
        <f>IF(VLOOKUP(Table7[[#This Row],[Date]],Database!$A:$C,MATCH($C$1,Database!$A$1:$C$1,),)=0,#N/A,VLOOKUP(Table7[[#This Row],[Date]],Database!$A:$C,MATCH($C$1,Database!$A$1:$C$1,),))</f>
        <v/>
      </c>
      <c r="D48">
        <f>IFERROR(Table7[[#This Row],[United States 10y]]-Table7[[#This Row],[United States 3y]],#N/A)</f>
        <v/>
      </c>
    </row>
    <row r="49">
      <c r="A49" s="6">
        <f>Database!$A2134</f>
        <v/>
      </c>
      <c r="B49">
        <f>IF(VLOOKUP(Table7[[#This Row],[Date]],Database!$A:$C,MATCH($B$1,Database!$A$1:$C$1,),)=0,#N/A,VLOOKUP(Table7[[#This Row],[Date]],Database!$A:$C,MATCH($B$1,Database!$A$1:$C$1,),))</f>
        <v/>
      </c>
      <c r="C49">
        <f>IF(VLOOKUP(Table7[[#This Row],[Date]],Database!$A:$C,MATCH($C$1,Database!$A$1:$C$1,),)=0,#N/A,VLOOKUP(Table7[[#This Row],[Date]],Database!$A:$C,MATCH($C$1,Database!$A$1:$C$1,),))</f>
        <v/>
      </c>
      <c r="D49">
        <f>IFERROR(Table7[[#This Row],[United States 10y]]-Table7[[#This Row],[United States 3y]],#N/A)</f>
        <v/>
      </c>
    </row>
    <row r="50">
      <c r="A50" s="6">
        <f>Database!$A2135</f>
        <v/>
      </c>
      <c r="B50">
        <f>IF(VLOOKUP(Table7[[#This Row],[Date]],Database!$A:$C,MATCH($B$1,Database!$A$1:$C$1,),)=0,#N/A,VLOOKUP(Table7[[#This Row],[Date]],Database!$A:$C,MATCH($B$1,Database!$A$1:$C$1,),))</f>
        <v/>
      </c>
      <c r="C50">
        <f>IF(VLOOKUP(Table7[[#This Row],[Date]],Database!$A:$C,MATCH($C$1,Database!$A$1:$C$1,),)=0,#N/A,VLOOKUP(Table7[[#This Row],[Date]],Database!$A:$C,MATCH($C$1,Database!$A$1:$C$1,),))</f>
        <v/>
      </c>
      <c r="D50">
        <f>IFERROR(Table7[[#This Row],[United States 10y]]-Table7[[#This Row],[United States 3y]],#N/A)</f>
        <v/>
      </c>
    </row>
    <row r="51">
      <c r="A51" s="6">
        <f>Database!$A2136</f>
        <v/>
      </c>
      <c r="B51">
        <f>IF(VLOOKUP(Table7[[#This Row],[Date]],Database!$A:$C,MATCH($B$1,Database!$A$1:$C$1,),)=0,#N/A,VLOOKUP(Table7[[#This Row],[Date]],Database!$A:$C,MATCH($B$1,Database!$A$1:$C$1,),))</f>
        <v/>
      </c>
      <c r="C51">
        <f>IF(VLOOKUP(Table7[[#This Row],[Date]],Database!$A:$C,MATCH($C$1,Database!$A$1:$C$1,),)=0,#N/A,VLOOKUP(Table7[[#This Row],[Date]],Database!$A:$C,MATCH($C$1,Database!$A$1:$C$1,),))</f>
        <v/>
      </c>
      <c r="D51">
        <f>IFERROR(Table7[[#This Row],[United States 10y]]-Table7[[#This Row],[United States 3y]],#N/A)</f>
        <v/>
      </c>
    </row>
    <row r="52">
      <c r="A52" s="6">
        <f>Database!$A2137</f>
        <v/>
      </c>
      <c r="B52">
        <f>IF(VLOOKUP(Table7[[#This Row],[Date]],Database!$A:$C,MATCH($B$1,Database!$A$1:$C$1,),)=0,#N/A,VLOOKUP(Table7[[#This Row],[Date]],Database!$A:$C,MATCH($B$1,Database!$A$1:$C$1,),))</f>
        <v/>
      </c>
      <c r="C52">
        <f>IF(VLOOKUP(Table7[[#This Row],[Date]],Database!$A:$C,MATCH($C$1,Database!$A$1:$C$1,),)=0,#N/A,VLOOKUP(Table7[[#This Row],[Date]],Database!$A:$C,MATCH($C$1,Database!$A$1:$C$1,),))</f>
        <v/>
      </c>
      <c r="D52">
        <f>IFERROR(Table7[[#This Row],[United States 10y]]-Table7[[#This Row],[United States 3y]],#N/A)</f>
        <v/>
      </c>
    </row>
    <row r="53">
      <c r="A53" s="6">
        <f>Database!$A2138</f>
        <v/>
      </c>
      <c r="B53">
        <f>IF(VLOOKUP(Table7[[#This Row],[Date]],Database!$A:$C,MATCH($B$1,Database!$A$1:$C$1,),)=0,#N/A,VLOOKUP(Table7[[#This Row],[Date]],Database!$A:$C,MATCH($B$1,Database!$A$1:$C$1,),))</f>
        <v/>
      </c>
      <c r="C53">
        <f>IF(VLOOKUP(Table7[[#This Row],[Date]],Database!$A:$C,MATCH($C$1,Database!$A$1:$C$1,),)=0,#N/A,VLOOKUP(Table7[[#This Row],[Date]],Database!$A:$C,MATCH($C$1,Database!$A$1:$C$1,),))</f>
        <v/>
      </c>
      <c r="D53">
        <f>IFERROR(Table7[[#This Row],[United States 10y]]-Table7[[#This Row],[United States 3y]],#N/A)</f>
        <v/>
      </c>
    </row>
    <row r="54">
      <c r="A54" s="6">
        <f>Database!$A2139</f>
        <v/>
      </c>
      <c r="B54">
        <f>IF(VLOOKUP(Table7[[#This Row],[Date]],Database!$A:$C,MATCH($B$1,Database!$A$1:$C$1,),)=0,#N/A,VLOOKUP(Table7[[#This Row],[Date]],Database!$A:$C,MATCH($B$1,Database!$A$1:$C$1,),))</f>
        <v/>
      </c>
      <c r="C54">
        <f>IF(VLOOKUP(Table7[[#This Row],[Date]],Database!$A:$C,MATCH($C$1,Database!$A$1:$C$1,),)=0,#N/A,VLOOKUP(Table7[[#This Row],[Date]],Database!$A:$C,MATCH($C$1,Database!$A$1:$C$1,),))</f>
        <v/>
      </c>
      <c r="D54">
        <f>IFERROR(Table7[[#This Row],[United States 10y]]-Table7[[#This Row],[United States 3y]],#N/A)</f>
        <v/>
      </c>
    </row>
    <row r="55">
      <c r="A55" s="6">
        <f>Database!$A2140</f>
        <v/>
      </c>
      <c r="B55">
        <f>IF(VLOOKUP(Table7[[#This Row],[Date]],Database!$A:$C,MATCH($B$1,Database!$A$1:$C$1,),)=0,#N/A,VLOOKUP(Table7[[#This Row],[Date]],Database!$A:$C,MATCH($B$1,Database!$A$1:$C$1,),))</f>
        <v/>
      </c>
      <c r="C55">
        <f>IF(VLOOKUP(Table7[[#This Row],[Date]],Database!$A:$C,MATCH($C$1,Database!$A$1:$C$1,),)=0,#N/A,VLOOKUP(Table7[[#This Row],[Date]],Database!$A:$C,MATCH($C$1,Database!$A$1:$C$1,),))</f>
        <v/>
      </c>
      <c r="D55">
        <f>IFERROR(Table7[[#This Row],[United States 10y]]-Table7[[#This Row],[United States 3y]],#N/A)</f>
        <v/>
      </c>
    </row>
    <row r="56">
      <c r="A56" s="6">
        <f>Database!$A2141</f>
        <v/>
      </c>
      <c r="B56">
        <f>IF(VLOOKUP(Table7[[#This Row],[Date]],Database!$A:$C,MATCH($B$1,Database!$A$1:$C$1,),)=0,#N/A,VLOOKUP(Table7[[#This Row],[Date]],Database!$A:$C,MATCH($B$1,Database!$A$1:$C$1,),))</f>
        <v/>
      </c>
      <c r="C56">
        <f>IF(VLOOKUP(Table7[[#This Row],[Date]],Database!$A:$C,MATCH($C$1,Database!$A$1:$C$1,),)=0,#N/A,VLOOKUP(Table7[[#This Row],[Date]],Database!$A:$C,MATCH($C$1,Database!$A$1:$C$1,),))</f>
        <v/>
      </c>
      <c r="D56">
        <f>IFERROR(Table7[[#This Row],[United States 10y]]-Table7[[#This Row],[United States 3y]],#N/A)</f>
        <v/>
      </c>
    </row>
    <row r="57">
      <c r="A57" s="6">
        <f>Database!$A2142</f>
        <v/>
      </c>
      <c r="B57">
        <f>IF(VLOOKUP(Table7[[#This Row],[Date]],Database!$A:$C,MATCH($B$1,Database!$A$1:$C$1,),)=0,#N/A,VLOOKUP(Table7[[#This Row],[Date]],Database!$A:$C,MATCH($B$1,Database!$A$1:$C$1,),))</f>
        <v/>
      </c>
      <c r="C57">
        <f>IF(VLOOKUP(Table7[[#This Row],[Date]],Database!$A:$C,MATCH($C$1,Database!$A$1:$C$1,),)=0,#N/A,VLOOKUP(Table7[[#This Row],[Date]],Database!$A:$C,MATCH($C$1,Database!$A$1:$C$1,),))</f>
        <v/>
      </c>
      <c r="D57">
        <f>IFERROR(Table7[[#This Row],[United States 10y]]-Table7[[#This Row],[United States 3y]],#N/A)</f>
        <v/>
      </c>
    </row>
    <row r="58">
      <c r="A58" s="6">
        <f>Database!$A2143</f>
        <v/>
      </c>
      <c r="B58">
        <f>IF(VLOOKUP(Table7[[#This Row],[Date]],Database!$A:$C,MATCH($B$1,Database!$A$1:$C$1,),)=0,#N/A,VLOOKUP(Table7[[#This Row],[Date]],Database!$A:$C,MATCH($B$1,Database!$A$1:$C$1,),))</f>
        <v/>
      </c>
      <c r="C58">
        <f>IF(VLOOKUP(Table7[[#This Row],[Date]],Database!$A:$C,MATCH($C$1,Database!$A$1:$C$1,),)=0,#N/A,VLOOKUP(Table7[[#This Row],[Date]],Database!$A:$C,MATCH($C$1,Database!$A$1:$C$1,),))</f>
        <v/>
      </c>
      <c r="D58">
        <f>IFERROR(Table7[[#This Row],[United States 10y]]-Table7[[#This Row],[United States 3y]],#N/A)</f>
        <v/>
      </c>
    </row>
    <row r="59">
      <c r="A59" s="6">
        <f>Database!$A2144</f>
        <v/>
      </c>
      <c r="B59">
        <f>IF(VLOOKUP(Table7[[#This Row],[Date]],Database!$A:$C,MATCH($B$1,Database!$A$1:$C$1,),)=0,#N/A,VLOOKUP(Table7[[#This Row],[Date]],Database!$A:$C,MATCH($B$1,Database!$A$1:$C$1,),))</f>
        <v/>
      </c>
      <c r="C59">
        <f>IF(VLOOKUP(Table7[[#This Row],[Date]],Database!$A:$C,MATCH($C$1,Database!$A$1:$C$1,),)=0,#N/A,VLOOKUP(Table7[[#This Row],[Date]],Database!$A:$C,MATCH($C$1,Database!$A$1:$C$1,),))</f>
        <v/>
      </c>
      <c r="D59">
        <f>IFERROR(Table7[[#This Row],[United States 10y]]-Table7[[#This Row],[United States 3y]],#N/A)</f>
        <v/>
      </c>
    </row>
    <row r="60">
      <c r="A60" s="6">
        <f>Database!$A2145</f>
        <v/>
      </c>
      <c r="B60">
        <f>IF(VLOOKUP(Table7[[#This Row],[Date]],Database!$A:$C,MATCH($B$1,Database!$A$1:$C$1,),)=0,#N/A,VLOOKUP(Table7[[#This Row],[Date]],Database!$A:$C,MATCH($B$1,Database!$A$1:$C$1,),))</f>
        <v/>
      </c>
      <c r="C60">
        <f>IF(VLOOKUP(Table7[[#This Row],[Date]],Database!$A:$C,MATCH($C$1,Database!$A$1:$C$1,),)=0,#N/A,VLOOKUP(Table7[[#This Row],[Date]],Database!$A:$C,MATCH($C$1,Database!$A$1:$C$1,),))</f>
        <v/>
      </c>
      <c r="D60">
        <f>IFERROR(Table7[[#This Row],[United States 10y]]-Table7[[#This Row],[United States 3y]],#N/A)</f>
        <v/>
      </c>
    </row>
    <row r="61">
      <c r="A61" s="6">
        <f>Database!$A2146</f>
        <v/>
      </c>
      <c r="B61">
        <f>IF(VLOOKUP(Table7[[#This Row],[Date]],Database!$A:$C,MATCH($B$1,Database!$A$1:$C$1,),)=0,#N/A,VLOOKUP(Table7[[#This Row],[Date]],Database!$A:$C,MATCH($B$1,Database!$A$1:$C$1,),))</f>
        <v/>
      </c>
      <c r="C61">
        <f>IF(VLOOKUP(Table7[[#This Row],[Date]],Database!$A:$C,MATCH($C$1,Database!$A$1:$C$1,),)=0,#N/A,VLOOKUP(Table7[[#This Row],[Date]],Database!$A:$C,MATCH($C$1,Database!$A$1:$C$1,),))</f>
        <v/>
      </c>
      <c r="D61">
        <f>IFERROR(Table7[[#This Row],[United States 10y]]-Table7[[#This Row],[United States 3y]],#N/A)</f>
        <v/>
      </c>
    </row>
    <row r="62">
      <c r="A62" s="6">
        <f>Database!$A2147</f>
        <v/>
      </c>
      <c r="B62">
        <f>IF(VLOOKUP(Table7[[#This Row],[Date]],Database!$A:$C,MATCH($B$1,Database!$A$1:$C$1,),)=0,#N/A,VLOOKUP(Table7[[#This Row],[Date]],Database!$A:$C,MATCH($B$1,Database!$A$1:$C$1,),))</f>
        <v/>
      </c>
      <c r="C62">
        <f>IF(VLOOKUP(Table7[[#This Row],[Date]],Database!$A:$C,MATCH($C$1,Database!$A$1:$C$1,),)=0,#N/A,VLOOKUP(Table7[[#This Row],[Date]],Database!$A:$C,MATCH($C$1,Database!$A$1:$C$1,),))</f>
        <v/>
      </c>
      <c r="D62">
        <f>IFERROR(Table7[[#This Row],[United States 10y]]-Table7[[#This Row],[United States 3y]],#N/A)</f>
        <v/>
      </c>
    </row>
    <row r="63">
      <c r="A63" s="6">
        <f>Database!$A2148</f>
        <v/>
      </c>
      <c r="B63">
        <f>IF(VLOOKUP(Table7[[#This Row],[Date]],Database!$A:$C,MATCH($B$1,Database!$A$1:$C$1,),)=0,#N/A,VLOOKUP(Table7[[#This Row],[Date]],Database!$A:$C,MATCH($B$1,Database!$A$1:$C$1,),))</f>
        <v/>
      </c>
      <c r="C63">
        <f>IF(VLOOKUP(Table7[[#This Row],[Date]],Database!$A:$C,MATCH($C$1,Database!$A$1:$C$1,),)=0,#N/A,VLOOKUP(Table7[[#This Row],[Date]],Database!$A:$C,MATCH($C$1,Database!$A$1:$C$1,),))</f>
        <v/>
      </c>
      <c r="D63">
        <f>IFERROR(Table7[[#This Row],[United States 10y]]-Table7[[#This Row],[United States 3y]],#N/A)</f>
        <v/>
      </c>
    </row>
    <row r="64">
      <c r="A64" s="6">
        <f>Database!$A2149</f>
        <v/>
      </c>
      <c r="B64">
        <f>IF(VLOOKUP(Table7[[#This Row],[Date]],Database!$A:$C,MATCH($B$1,Database!$A$1:$C$1,),)=0,#N/A,VLOOKUP(Table7[[#This Row],[Date]],Database!$A:$C,MATCH($B$1,Database!$A$1:$C$1,),))</f>
        <v/>
      </c>
      <c r="C64">
        <f>IF(VLOOKUP(Table7[[#This Row],[Date]],Database!$A:$C,MATCH($C$1,Database!$A$1:$C$1,),)=0,#N/A,VLOOKUP(Table7[[#This Row],[Date]],Database!$A:$C,MATCH($C$1,Database!$A$1:$C$1,),))</f>
        <v/>
      </c>
      <c r="D64">
        <f>IFERROR(Table7[[#This Row],[United States 10y]]-Table7[[#This Row],[United States 3y]],#N/A)</f>
        <v/>
      </c>
    </row>
    <row r="65">
      <c r="A65" s="6">
        <f>Database!$A2150</f>
        <v/>
      </c>
      <c r="B65">
        <f>IF(VLOOKUP(Table7[[#This Row],[Date]],Database!$A:$C,MATCH($B$1,Database!$A$1:$C$1,),)=0,#N/A,VLOOKUP(Table7[[#This Row],[Date]],Database!$A:$C,MATCH($B$1,Database!$A$1:$C$1,),))</f>
        <v/>
      </c>
      <c r="C65">
        <f>IF(VLOOKUP(Table7[[#This Row],[Date]],Database!$A:$C,MATCH($C$1,Database!$A$1:$C$1,),)=0,#N/A,VLOOKUP(Table7[[#This Row],[Date]],Database!$A:$C,MATCH($C$1,Database!$A$1:$C$1,),))</f>
        <v/>
      </c>
      <c r="D65">
        <f>IFERROR(Table7[[#This Row],[United States 10y]]-Table7[[#This Row],[United States 3y]],#N/A)</f>
        <v/>
      </c>
    </row>
    <row r="66">
      <c r="A66" s="6">
        <f>Database!$A2151</f>
        <v/>
      </c>
      <c r="B66">
        <f>IF(VLOOKUP(Table7[[#This Row],[Date]],Database!$A:$C,MATCH($B$1,Database!$A$1:$C$1,),)=0,#N/A,VLOOKUP(Table7[[#This Row],[Date]],Database!$A:$C,MATCH($B$1,Database!$A$1:$C$1,),))</f>
        <v/>
      </c>
      <c r="C66">
        <f>IF(VLOOKUP(Table7[[#This Row],[Date]],Database!$A:$C,MATCH($C$1,Database!$A$1:$C$1,),)=0,#N/A,VLOOKUP(Table7[[#This Row],[Date]],Database!$A:$C,MATCH($C$1,Database!$A$1:$C$1,),))</f>
        <v/>
      </c>
      <c r="D66">
        <f>IFERROR(Table7[[#This Row],[United States 10y]]-Table7[[#This Row],[United States 3y]],#N/A)</f>
        <v/>
      </c>
    </row>
    <row r="67">
      <c r="A67" s="6">
        <f>Database!$A2152</f>
        <v/>
      </c>
      <c r="B67">
        <f>IF(VLOOKUP(Table7[[#This Row],[Date]],Database!$A:$C,MATCH($B$1,Database!$A$1:$C$1,),)=0,#N/A,VLOOKUP(Table7[[#This Row],[Date]],Database!$A:$C,MATCH($B$1,Database!$A$1:$C$1,),))</f>
        <v/>
      </c>
      <c r="C67">
        <f>IF(VLOOKUP(Table7[[#This Row],[Date]],Database!$A:$C,MATCH($C$1,Database!$A$1:$C$1,),)=0,#N/A,VLOOKUP(Table7[[#This Row],[Date]],Database!$A:$C,MATCH($C$1,Database!$A$1:$C$1,),))</f>
        <v/>
      </c>
      <c r="D67">
        <f>IFERROR(Table7[[#This Row],[United States 10y]]-Table7[[#This Row],[United States 3y]],#N/A)</f>
        <v/>
      </c>
    </row>
    <row r="68">
      <c r="A68" s="6">
        <f>Database!$A2153</f>
        <v/>
      </c>
      <c r="B68">
        <f>IF(VLOOKUP(Table7[[#This Row],[Date]],Database!$A:$C,MATCH($B$1,Database!$A$1:$C$1,),)=0,#N/A,VLOOKUP(Table7[[#This Row],[Date]],Database!$A:$C,MATCH($B$1,Database!$A$1:$C$1,),))</f>
        <v/>
      </c>
      <c r="C68">
        <f>IF(VLOOKUP(Table7[[#This Row],[Date]],Database!$A:$C,MATCH($C$1,Database!$A$1:$C$1,),)=0,#N/A,VLOOKUP(Table7[[#This Row],[Date]],Database!$A:$C,MATCH($C$1,Database!$A$1:$C$1,),))</f>
        <v/>
      </c>
      <c r="D68">
        <f>IFERROR(Table7[[#This Row],[United States 10y]]-Table7[[#This Row],[United States 3y]],#N/A)</f>
        <v/>
      </c>
    </row>
    <row r="69">
      <c r="A69" s="6">
        <f>Database!$A2154</f>
        <v/>
      </c>
      <c r="B69">
        <f>IF(VLOOKUP(Table7[[#This Row],[Date]],Database!$A:$C,MATCH($B$1,Database!$A$1:$C$1,),)=0,#N/A,VLOOKUP(Table7[[#This Row],[Date]],Database!$A:$C,MATCH($B$1,Database!$A$1:$C$1,),))</f>
        <v/>
      </c>
      <c r="C69">
        <f>IF(VLOOKUP(Table7[[#This Row],[Date]],Database!$A:$C,MATCH($C$1,Database!$A$1:$C$1,),)=0,#N/A,VLOOKUP(Table7[[#This Row],[Date]],Database!$A:$C,MATCH($C$1,Database!$A$1:$C$1,),))</f>
        <v/>
      </c>
      <c r="D69">
        <f>IFERROR(Table7[[#This Row],[United States 10y]]-Table7[[#This Row],[United States 3y]],#N/A)</f>
        <v/>
      </c>
    </row>
    <row r="70">
      <c r="A70" s="6">
        <f>Database!$A2155</f>
        <v/>
      </c>
      <c r="B70">
        <f>IF(VLOOKUP(Table7[[#This Row],[Date]],Database!$A:$C,MATCH($B$1,Database!$A$1:$C$1,),)=0,#N/A,VLOOKUP(Table7[[#This Row],[Date]],Database!$A:$C,MATCH($B$1,Database!$A$1:$C$1,),))</f>
        <v/>
      </c>
      <c r="C70">
        <f>IF(VLOOKUP(Table7[[#This Row],[Date]],Database!$A:$C,MATCH($C$1,Database!$A$1:$C$1,),)=0,#N/A,VLOOKUP(Table7[[#This Row],[Date]],Database!$A:$C,MATCH($C$1,Database!$A$1:$C$1,),))</f>
        <v/>
      </c>
      <c r="D70">
        <f>IFERROR(Table7[[#This Row],[United States 10y]]-Table7[[#This Row],[United States 3y]],#N/A)</f>
        <v/>
      </c>
    </row>
    <row r="71">
      <c r="A71" s="6">
        <f>Database!$A2156</f>
        <v/>
      </c>
      <c r="B71">
        <f>IF(VLOOKUP(Table7[[#This Row],[Date]],Database!$A:$C,MATCH($B$1,Database!$A$1:$C$1,),)=0,#N/A,VLOOKUP(Table7[[#This Row],[Date]],Database!$A:$C,MATCH($B$1,Database!$A$1:$C$1,),))</f>
        <v/>
      </c>
      <c r="C71">
        <f>IF(VLOOKUP(Table7[[#This Row],[Date]],Database!$A:$C,MATCH($C$1,Database!$A$1:$C$1,),)=0,#N/A,VLOOKUP(Table7[[#This Row],[Date]],Database!$A:$C,MATCH($C$1,Database!$A$1:$C$1,),))</f>
        <v/>
      </c>
      <c r="D71">
        <f>IFERROR(Table7[[#This Row],[United States 10y]]-Table7[[#This Row],[United States 3y]],#N/A)</f>
        <v/>
      </c>
    </row>
    <row r="72">
      <c r="A72" s="6">
        <f>Database!$A2157</f>
        <v/>
      </c>
      <c r="B72">
        <f>IF(VLOOKUP(Table7[[#This Row],[Date]],Database!$A:$C,MATCH($B$1,Database!$A$1:$C$1,),)=0,#N/A,VLOOKUP(Table7[[#This Row],[Date]],Database!$A:$C,MATCH($B$1,Database!$A$1:$C$1,),))</f>
        <v/>
      </c>
      <c r="C72">
        <f>IF(VLOOKUP(Table7[[#This Row],[Date]],Database!$A:$C,MATCH($C$1,Database!$A$1:$C$1,),)=0,#N/A,VLOOKUP(Table7[[#This Row],[Date]],Database!$A:$C,MATCH($C$1,Database!$A$1:$C$1,),))</f>
        <v/>
      </c>
      <c r="D72">
        <f>IFERROR(Table7[[#This Row],[United States 10y]]-Table7[[#This Row],[United States 3y]],#N/A)</f>
        <v/>
      </c>
    </row>
    <row r="73">
      <c r="A73" s="6">
        <f>Database!$A2158</f>
        <v/>
      </c>
      <c r="B73">
        <f>IF(VLOOKUP(Table7[[#This Row],[Date]],Database!$A:$C,MATCH($B$1,Database!$A$1:$C$1,),)=0,#N/A,VLOOKUP(Table7[[#This Row],[Date]],Database!$A:$C,MATCH($B$1,Database!$A$1:$C$1,),))</f>
        <v/>
      </c>
      <c r="C73">
        <f>IF(VLOOKUP(Table7[[#This Row],[Date]],Database!$A:$C,MATCH($C$1,Database!$A$1:$C$1,),)=0,#N/A,VLOOKUP(Table7[[#This Row],[Date]],Database!$A:$C,MATCH($C$1,Database!$A$1:$C$1,),))</f>
        <v/>
      </c>
      <c r="D73">
        <f>IFERROR(Table7[[#This Row],[United States 10y]]-Table7[[#This Row],[United States 3y]],#N/A)</f>
        <v/>
      </c>
    </row>
    <row r="74">
      <c r="A74" s="6">
        <f>Database!$A2159</f>
        <v/>
      </c>
      <c r="B74">
        <f>IF(VLOOKUP(Table7[[#This Row],[Date]],Database!$A:$C,MATCH($B$1,Database!$A$1:$C$1,),)=0,#N/A,VLOOKUP(Table7[[#This Row],[Date]],Database!$A:$C,MATCH($B$1,Database!$A$1:$C$1,),))</f>
        <v/>
      </c>
      <c r="C74">
        <f>IF(VLOOKUP(Table7[[#This Row],[Date]],Database!$A:$C,MATCH($C$1,Database!$A$1:$C$1,),)=0,#N/A,VLOOKUP(Table7[[#This Row],[Date]],Database!$A:$C,MATCH($C$1,Database!$A$1:$C$1,),))</f>
        <v/>
      </c>
      <c r="D74">
        <f>IFERROR(Table7[[#This Row],[United States 10y]]-Table7[[#This Row],[United States 3y]],#N/A)</f>
        <v/>
      </c>
    </row>
    <row r="75">
      <c r="A75" s="6">
        <f>Database!$A2160</f>
        <v/>
      </c>
      <c r="B75">
        <f>IF(VLOOKUP(Table7[[#This Row],[Date]],Database!$A:$C,MATCH($B$1,Database!$A$1:$C$1,),)=0,#N/A,VLOOKUP(Table7[[#This Row],[Date]],Database!$A:$C,MATCH($B$1,Database!$A$1:$C$1,),))</f>
        <v/>
      </c>
      <c r="C75">
        <f>IF(VLOOKUP(Table7[[#This Row],[Date]],Database!$A:$C,MATCH($C$1,Database!$A$1:$C$1,),)=0,#N/A,VLOOKUP(Table7[[#This Row],[Date]],Database!$A:$C,MATCH($C$1,Database!$A$1:$C$1,),))</f>
        <v/>
      </c>
      <c r="D75">
        <f>IFERROR(Table7[[#This Row],[United States 10y]]-Table7[[#This Row],[United States 3y]],#N/A)</f>
        <v/>
      </c>
    </row>
    <row r="76">
      <c r="A76" s="6">
        <f>Database!$A2161</f>
        <v/>
      </c>
      <c r="B76">
        <f>IF(VLOOKUP(Table7[[#This Row],[Date]],Database!$A:$C,MATCH($B$1,Database!$A$1:$C$1,),)=0,#N/A,VLOOKUP(Table7[[#This Row],[Date]],Database!$A:$C,MATCH($B$1,Database!$A$1:$C$1,),))</f>
        <v/>
      </c>
      <c r="C76">
        <f>IF(VLOOKUP(Table7[[#This Row],[Date]],Database!$A:$C,MATCH($C$1,Database!$A$1:$C$1,),)=0,#N/A,VLOOKUP(Table7[[#This Row],[Date]],Database!$A:$C,MATCH($C$1,Database!$A$1:$C$1,),))</f>
        <v/>
      </c>
      <c r="D76">
        <f>IFERROR(Table7[[#This Row],[United States 10y]]-Table7[[#This Row],[United States 3y]],#N/A)</f>
        <v/>
      </c>
    </row>
    <row r="77">
      <c r="A77" s="6">
        <f>Database!$A2162</f>
        <v/>
      </c>
      <c r="B77">
        <f>IF(VLOOKUP(Table7[[#This Row],[Date]],Database!$A:$C,MATCH($B$1,Database!$A$1:$C$1,),)=0,#N/A,VLOOKUP(Table7[[#This Row],[Date]],Database!$A:$C,MATCH($B$1,Database!$A$1:$C$1,),))</f>
        <v/>
      </c>
      <c r="C77">
        <f>IF(VLOOKUP(Table7[[#This Row],[Date]],Database!$A:$C,MATCH($C$1,Database!$A$1:$C$1,),)=0,#N/A,VLOOKUP(Table7[[#This Row],[Date]],Database!$A:$C,MATCH($C$1,Database!$A$1:$C$1,),))</f>
        <v/>
      </c>
      <c r="D77">
        <f>IFERROR(Table7[[#This Row],[United States 10y]]-Table7[[#This Row],[United States 3y]],#N/A)</f>
        <v/>
      </c>
    </row>
    <row r="78">
      <c r="A78" s="6">
        <f>Database!$A2163</f>
        <v/>
      </c>
      <c r="B78">
        <f>IF(VLOOKUP(Table7[[#This Row],[Date]],Database!$A:$C,MATCH($B$1,Database!$A$1:$C$1,),)=0,#N/A,VLOOKUP(Table7[[#This Row],[Date]],Database!$A:$C,MATCH($B$1,Database!$A$1:$C$1,),))</f>
        <v/>
      </c>
      <c r="C78">
        <f>IF(VLOOKUP(Table7[[#This Row],[Date]],Database!$A:$C,MATCH($C$1,Database!$A$1:$C$1,),)=0,#N/A,VLOOKUP(Table7[[#This Row],[Date]],Database!$A:$C,MATCH($C$1,Database!$A$1:$C$1,),))</f>
        <v/>
      </c>
      <c r="D78">
        <f>IFERROR(Table7[[#This Row],[United States 10y]]-Table7[[#This Row],[United States 3y]],#N/A)</f>
        <v/>
      </c>
    </row>
    <row r="79">
      <c r="A79" s="6">
        <f>Database!$A2164</f>
        <v/>
      </c>
      <c r="B79">
        <f>IF(VLOOKUP(Table7[[#This Row],[Date]],Database!$A:$C,MATCH($B$1,Database!$A$1:$C$1,),)=0,#N/A,VLOOKUP(Table7[[#This Row],[Date]],Database!$A:$C,MATCH($B$1,Database!$A$1:$C$1,),))</f>
        <v/>
      </c>
      <c r="C79">
        <f>IF(VLOOKUP(Table7[[#This Row],[Date]],Database!$A:$C,MATCH($C$1,Database!$A$1:$C$1,),)=0,#N/A,VLOOKUP(Table7[[#This Row],[Date]],Database!$A:$C,MATCH($C$1,Database!$A$1:$C$1,),))</f>
        <v/>
      </c>
      <c r="D79">
        <f>IFERROR(Table7[[#This Row],[United States 10y]]-Table7[[#This Row],[United States 3y]],#N/A)</f>
        <v/>
      </c>
    </row>
    <row r="80">
      <c r="A80" s="6">
        <f>Database!$A2165</f>
        <v/>
      </c>
      <c r="B80">
        <f>IF(VLOOKUP(Table7[[#This Row],[Date]],Database!$A:$C,MATCH($B$1,Database!$A$1:$C$1,),)=0,#N/A,VLOOKUP(Table7[[#This Row],[Date]],Database!$A:$C,MATCH($B$1,Database!$A$1:$C$1,),))</f>
        <v/>
      </c>
      <c r="C80">
        <f>IF(VLOOKUP(Table7[[#This Row],[Date]],Database!$A:$C,MATCH($C$1,Database!$A$1:$C$1,),)=0,#N/A,VLOOKUP(Table7[[#This Row],[Date]],Database!$A:$C,MATCH($C$1,Database!$A$1:$C$1,),))</f>
        <v/>
      </c>
      <c r="D80">
        <f>IFERROR(Table7[[#This Row],[United States 10y]]-Table7[[#This Row],[United States 3y]],#N/A)</f>
        <v/>
      </c>
    </row>
    <row r="81">
      <c r="A81" s="6">
        <f>Database!$A2166</f>
        <v/>
      </c>
      <c r="B81">
        <f>IF(VLOOKUP(Table7[[#This Row],[Date]],Database!$A:$C,MATCH($B$1,Database!$A$1:$C$1,),)=0,#N/A,VLOOKUP(Table7[[#This Row],[Date]],Database!$A:$C,MATCH($B$1,Database!$A$1:$C$1,),))</f>
        <v/>
      </c>
      <c r="C81">
        <f>IF(VLOOKUP(Table7[[#This Row],[Date]],Database!$A:$C,MATCH($C$1,Database!$A$1:$C$1,),)=0,#N/A,VLOOKUP(Table7[[#This Row],[Date]],Database!$A:$C,MATCH($C$1,Database!$A$1:$C$1,),))</f>
        <v/>
      </c>
      <c r="D81">
        <f>IFERROR(Table7[[#This Row],[United States 10y]]-Table7[[#This Row],[United States 3y]],#N/A)</f>
        <v/>
      </c>
    </row>
    <row r="82">
      <c r="A82" s="6">
        <f>Database!$A2167</f>
        <v/>
      </c>
      <c r="B82">
        <f>IF(VLOOKUP(Table7[[#This Row],[Date]],Database!$A:$C,MATCH($B$1,Database!$A$1:$C$1,),)=0,#N/A,VLOOKUP(Table7[[#This Row],[Date]],Database!$A:$C,MATCH($B$1,Database!$A$1:$C$1,),))</f>
        <v/>
      </c>
      <c r="C82">
        <f>IF(VLOOKUP(Table7[[#This Row],[Date]],Database!$A:$C,MATCH($C$1,Database!$A$1:$C$1,),)=0,#N/A,VLOOKUP(Table7[[#This Row],[Date]],Database!$A:$C,MATCH($C$1,Database!$A$1:$C$1,),))</f>
        <v/>
      </c>
      <c r="D82">
        <f>IFERROR(Table7[[#This Row],[United States 10y]]-Table7[[#This Row],[United States 3y]],#N/A)</f>
        <v/>
      </c>
    </row>
    <row r="83">
      <c r="A83" s="6">
        <f>Database!$A2168</f>
        <v/>
      </c>
      <c r="B83">
        <f>IF(VLOOKUP(Table7[[#This Row],[Date]],Database!$A:$C,MATCH($B$1,Database!$A$1:$C$1,),)=0,#N/A,VLOOKUP(Table7[[#This Row],[Date]],Database!$A:$C,MATCH($B$1,Database!$A$1:$C$1,),))</f>
        <v/>
      </c>
      <c r="C83">
        <f>IF(VLOOKUP(Table7[[#This Row],[Date]],Database!$A:$C,MATCH($C$1,Database!$A$1:$C$1,),)=0,#N/A,VLOOKUP(Table7[[#This Row],[Date]],Database!$A:$C,MATCH($C$1,Database!$A$1:$C$1,),))</f>
        <v/>
      </c>
      <c r="D83">
        <f>IFERROR(Table7[[#This Row],[United States 10y]]-Table7[[#This Row],[United States 3y]],#N/A)</f>
        <v/>
      </c>
    </row>
    <row r="84">
      <c r="A84" s="6">
        <f>Database!$A2169</f>
        <v/>
      </c>
      <c r="B84">
        <f>IF(VLOOKUP(Table7[[#This Row],[Date]],Database!$A:$C,MATCH($B$1,Database!$A$1:$C$1,),)=0,#N/A,VLOOKUP(Table7[[#This Row],[Date]],Database!$A:$C,MATCH($B$1,Database!$A$1:$C$1,),))</f>
        <v/>
      </c>
      <c r="C84">
        <f>IF(VLOOKUP(Table7[[#This Row],[Date]],Database!$A:$C,MATCH($C$1,Database!$A$1:$C$1,),)=0,#N/A,VLOOKUP(Table7[[#This Row],[Date]],Database!$A:$C,MATCH($C$1,Database!$A$1:$C$1,),))</f>
        <v/>
      </c>
      <c r="D84">
        <f>IFERROR(Table7[[#This Row],[United States 10y]]-Table7[[#This Row],[United States 3y]],#N/A)</f>
        <v/>
      </c>
    </row>
    <row r="85">
      <c r="A85" s="6">
        <f>Database!$A2170</f>
        <v/>
      </c>
      <c r="B85">
        <f>IF(VLOOKUP(Table7[[#This Row],[Date]],Database!$A:$C,MATCH($B$1,Database!$A$1:$C$1,),)=0,#N/A,VLOOKUP(Table7[[#This Row],[Date]],Database!$A:$C,MATCH($B$1,Database!$A$1:$C$1,),))</f>
        <v/>
      </c>
      <c r="C85">
        <f>IF(VLOOKUP(Table7[[#This Row],[Date]],Database!$A:$C,MATCH($C$1,Database!$A$1:$C$1,),)=0,#N/A,VLOOKUP(Table7[[#This Row],[Date]],Database!$A:$C,MATCH($C$1,Database!$A$1:$C$1,),))</f>
        <v/>
      </c>
      <c r="D85">
        <f>IFERROR(Table7[[#This Row],[United States 10y]]-Table7[[#This Row],[United States 3y]],#N/A)</f>
        <v/>
      </c>
    </row>
    <row r="86">
      <c r="A86" s="6">
        <f>Database!$A2171</f>
        <v/>
      </c>
      <c r="B86">
        <f>IF(VLOOKUP(Table7[[#This Row],[Date]],Database!$A:$C,MATCH($B$1,Database!$A$1:$C$1,),)=0,#N/A,VLOOKUP(Table7[[#This Row],[Date]],Database!$A:$C,MATCH($B$1,Database!$A$1:$C$1,),))</f>
        <v/>
      </c>
      <c r="C86">
        <f>IF(VLOOKUP(Table7[[#This Row],[Date]],Database!$A:$C,MATCH($C$1,Database!$A$1:$C$1,),)=0,#N/A,VLOOKUP(Table7[[#This Row],[Date]],Database!$A:$C,MATCH($C$1,Database!$A$1:$C$1,),))</f>
        <v/>
      </c>
      <c r="D86">
        <f>IFERROR(Table7[[#This Row],[United States 10y]]-Table7[[#This Row],[United States 3y]],#N/A)</f>
        <v/>
      </c>
    </row>
    <row r="87">
      <c r="A87" s="6">
        <f>Database!$A2172</f>
        <v/>
      </c>
      <c r="B87">
        <f>IF(VLOOKUP(Table7[[#This Row],[Date]],Database!$A:$C,MATCH($B$1,Database!$A$1:$C$1,),)=0,#N/A,VLOOKUP(Table7[[#This Row],[Date]],Database!$A:$C,MATCH($B$1,Database!$A$1:$C$1,),))</f>
        <v/>
      </c>
      <c r="C87">
        <f>IF(VLOOKUP(Table7[[#This Row],[Date]],Database!$A:$C,MATCH($C$1,Database!$A$1:$C$1,),)=0,#N/A,VLOOKUP(Table7[[#This Row],[Date]],Database!$A:$C,MATCH($C$1,Database!$A$1:$C$1,),))</f>
        <v/>
      </c>
      <c r="D87">
        <f>IFERROR(Table7[[#This Row],[United States 10y]]-Table7[[#This Row],[United States 3y]],#N/A)</f>
        <v/>
      </c>
    </row>
    <row r="88">
      <c r="A88" s="6">
        <f>Database!$A2173</f>
        <v/>
      </c>
      <c r="B88">
        <f>IF(VLOOKUP(Table7[[#This Row],[Date]],Database!$A:$C,MATCH($B$1,Database!$A$1:$C$1,),)=0,#N/A,VLOOKUP(Table7[[#This Row],[Date]],Database!$A:$C,MATCH($B$1,Database!$A$1:$C$1,),))</f>
        <v/>
      </c>
      <c r="C88">
        <f>IF(VLOOKUP(Table7[[#This Row],[Date]],Database!$A:$C,MATCH($C$1,Database!$A$1:$C$1,),)=0,#N/A,VLOOKUP(Table7[[#This Row],[Date]],Database!$A:$C,MATCH($C$1,Database!$A$1:$C$1,),))</f>
        <v/>
      </c>
      <c r="D88">
        <f>IFERROR(Table7[[#This Row],[United States 10y]]-Table7[[#This Row],[United States 3y]],#N/A)</f>
        <v/>
      </c>
    </row>
    <row r="89">
      <c r="A89" s="6">
        <f>Database!$A2174</f>
        <v/>
      </c>
      <c r="B89">
        <f>IF(VLOOKUP(Table7[[#This Row],[Date]],Database!$A:$C,MATCH($B$1,Database!$A$1:$C$1,),)=0,#N/A,VLOOKUP(Table7[[#This Row],[Date]],Database!$A:$C,MATCH($B$1,Database!$A$1:$C$1,),))</f>
        <v/>
      </c>
      <c r="C89">
        <f>IF(VLOOKUP(Table7[[#This Row],[Date]],Database!$A:$C,MATCH($C$1,Database!$A$1:$C$1,),)=0,#N/A,VLOOKUP(Table7[[#This Row],[Date]],Database!$A:$C,MATCH($C$1,Database!$A$1:$C$1,),))</f>
        <v/>
      </c>
      <c r="D89">
        <f>IFERROR(Table7[[#This Row],[United States 10y]]-Table7[[#This Row],[United States 3y]],#N/A)</f>
        <v/>
      </c>
    </row>
    <row r="90">
      <c r="A90" s="6">
        <f>Database!$A2175</f>
        <v/>
      </c>
      <c r="B90">
        <f>IF(VLOOKUP(Table7[[#This Row],[Date]],Database!$A:$C,MATCH($B$1,Database!$A$1:$C$1,),)=0,#N/A,VLOOKUP(Table7[[#This Row],[Date]],Database!$A:$C,MATCH($B$1,Database!$A$1:$C$1,),))</f>
        <v/>
      </c>
      <c r="C90">
        <f>IF(VLOOKUP(Table7[[#This Row],[Date]],Database!$A:$C,MATCH($C$1,Database!$A$1:$C$1,),)=0,#N/A,VLOOKUP(Table7[[#This Row],[Date]],Database!$A:$C,MATCH($C$1,Database!$A$1:$C$1,),))</f>
        <v/>
      </c>
      <c r="D90">
        <f>IFERROR(Table7[[#This Row],[United States 10y]]-Table7[[#This Row],[United States 3y]],#N/A)</f>
        <v/>
      </c>
    </row>
    <row r="91">
      <c r="A91" s="6">
        <f>Database!$A2176</f>
        <v/>
      </c>
      <c r="B91">
        <f>IF(VLOOKUP(Table7[[#This Row],[Date]],Database!$A:$C,MATCH($B$1,Database!$A$1:$C$1,),)=0,#N/A,VLOOKUP(Table7[[#This Row],[Date]],Database!$A:$C,MATCH($B$1,Database!$A$1:$C$1,),))</f>
        <v/>
      </c>
      <c r="C91">
        <f>IF(VLOOKUP(Table7[[#This Row],[Date]],Database!$A:$C,MATCH($C$1,Database!$A$1:$C$1,),)=0,#N/A,VLOOKUP(Table7[[#This Row],[Date]],Database!$A:$C,MATCH($C$1,Database!$A$1:$C$1,),))</f>
        <v/>
      </c>
      <c r="D91">
        <f>IFERROR(Table7[[#This Row],[United States 10y]]-Table7[[#This Row],[United States 3y]],#N/A)</f>
        <v/>
      </c>
    </row>
    <row r="92">
      <c r="A92" s="6">
        <f>Database!$A2177</f>
        <v/>
      </c>
      <c r="B92">
        <f>IF(VLOOKUP(Table7[[#This Row],[Date]],Database!$A:$C,MATCH($B$1,Database!$A$1:$C$1,),)=0,#N/A,VLOOKUP(Table7[[#This Row],[Date]],Database!$A:$C,MATCH($B$1,Database!$A$1:$C$1,),))</f>
        <v/>
      </c>
      <c r="C92">
        <f>IF(VLOOKUP(Table7[[#This Row],[Date]],Database!$A:$C,MATCH($C$1,Database!$A$1:$C$1,),)=0,#N/A,VLOOKUP(Table7[[#This Row],[Date]],Database!$A:$C,MATCH($C$1,Database!$A$1:$C$1,),))</f>
        <v/>
      </c>
      <c r="D92">
        <f>IFERROR(Table7[[#This Row],[United States 10y]]-Table7[[#This Row],[United States 3y]],#N/A)</f>
        <v/>
      </c>
    </row>
    <row r="93">
      <c r="A93" s="6">
        <f>Database!$A2178</f>
        <v/>
      </c>
      <c r="B93">
        <f>IF(VLOOKUP(Table7[[#This Row],[Date]],Database!$A:$C,MATCH($B$1,Database!$A$1:$C$1,),)=0,#N/A,VLOOKUP(Table7[[#This Row],[Date]],Database!$A:$C,MATCH($B$1,Database!$A$1:$C$1,),))</f>
        <v/>
      </c>
      <c r="C93">
        <f>IF(VLOOKUP(Table7[[#This Row],[Date]],Database!$A:$C,MATCH($C$1,Database!$A$1:$C$1,),)=0,#N/A,VLOOKUP(Table7[[#This Row],[Date]],Database!$A:$C,MATCH($C$1,Database!$A$1:$C$1,),))</f>
        <v/>
      </c>
      <c r="D93">
        <f>IFERROR(Table7[[#This Row],[United States 10y]]-Table7[[#This Row],[United States 3y]],#N/A)</f>
        <v/>
      </c>
    </row>
    <row r="94">
      <c r="A94" s="6">
        <f>Database!$A2179</f>
        <v/>
      </c>
      <c r="B94">
        <f>IF(VLOOKUP(Table7[[#This Row],[Date]],Database!$A:$C,MATCH($B$1,Database!$A$1:$C$1,),)=0,#N/A,VLOOKUP(Table7[[#This Row],[Date]],Database!$A:$C,MATCH($B$1,Database!$A$1:$C$1,),))</f>
        <v/>
      </c>
      <c r="C94">
        <f>IF(VLOOKUP(Table7[[#This Row],[Date]],Database!$A:$C,MATCH($C$1,Database!$A$1:$C$1,),)=0,#N/A,VLOOKUP(Table7[[#This Row],[Date]],Database!$A:$C,MATCH($C$1,Database!$A$1:$C$1,),))</f>
        <v/>
      </c>
      <c r="D94">
        <f>IFERROR(Table7[[#This Row],[United States 10y]]-Table7[[#This Row],[United States 3y]],#N/A)</f>
        <v/>
      </c>
    </row>
    <row r="95">
      <c r="A95" s="6">
        <f>Database!$A2180</f>
        <v/>
      </c>
      <c r="B95">
        <f>IF(VLOOKUP(Table7[[#This Row],[Date]],Database!$A:$C,MATCH($B$1,Database!$A$1:$C$1,),)=0,#N/A,VLOOKUP(Table7[[#This Row],[Date]],Database!$A:$C,MATCH($B$1,Database!$A$1:$C$1,),))</f>
        <v/>
      </c>
      <c r="C95">
        <f>IF(VLOOKUP(Table7[[#This Row],[Date]],Database!$A:$C,MATCH($C$1,Database!$A$1:$C$1,),)=0,#N/A,VLOOKUP(Table7[[#This Row],[Date]],Database!$A:$C,MATCH($C$1,Database!$A$1:$C$1,),))</f>
        <v/>
      </c>
      <c r="D95">
        <f>IFERROR(Table7[[#This Row],[United States 10y]]-Table7[[#This Row],[United States 3y]],#N/A)</f>
        <v/>
      </c>
    </row>
    <row r="96">
      <c r="A96" s="6">
        <f>Database!$A2181</f>
        <v/>
      </c>
      <c r="B96">
        <f>IF(VLOOKUP(Table7[[#This Row],[Date]],Database!$A:$C,MATCH($B$1,Database!$A$1:$C$1,),)=0,#N/A,VLOOKUP(Table7[[#This Row],[Date]],Database!$A:$C,MATCH($B$1,Database!$A$1:$C$1,),))</f>
        <v/>
      </c>
      <c r="C96">
        <f>IF(VLOOKUP(Table7[[#This Row],[Date]],Database!$A:$C,MATCH($C$1,Database!$A$1:$C$1,),)=0,#N/A,VLOOKUP(Table7[[#This Row],[Date]],Database!$A:$C,MATCH($C$1,Database!$A$1:$C$1,),))</f>
        <v/>
      </c>
      <c r="D96">
        <f>IFERROR(Table7[[#This Row],[United States 10y]]-Table7[[#This Row],[United States 3y]],#N/A)</f>
        <v/>
      </c>
    </row>
    <row r="97">
      <c r="A97" s="6">
        <f>Database!$A2182</f>
        <v/>
      </c>
      <c r="B97">
        <f>IF(VLOOKUP(Table7[[#This Row],[Date]],Database!$A:$C,MATCH($B$1,Database!$A$1:$C$1,),)=0,#N/A,VLOOKUP(Table7[[#This Row],[Date]],Database!$A:$C,MATCH($B$1,Database!$A$1:$C$1,),))</f>
        <v/>
      </c>
      <c r="C97">
        <f>IF(VLOOKUP(Table7[[#This Row],[Date]],Database!$A:$C,MATCH($C$1,Database!$A$1:$C$1,),)=0,#N/A,VLOOKUP(Table7[[#This Row],[Date]],Database!$A:$C,MATCH($C$1,Database!$A$1:$C$1,),))</f>
        <v/>
      </c>
      <c r="D97">
        <f>IFERROR(Table7[[#This Row],[United States 10y]]-Table7[[#This Row],[United States 3y]],#N/A)</f>
        <v/>
      </c>
    </row>
    <row r="98">
      <c r="A98" s="6">
        <f>Database!$A2183</f>
        <v/>
      </c>
      <c r="B98">
        <f>IF(VLOOKUP(Table7[[#This Row],[Date]],Database!$A:$C,MATCH($B$1,Database!$A$1:$C$1,),)=0,#N/A,VLOOKUP(Table7[[#This Row],[Date]],Database!$A:$C,MATCH($B$1,Database!$A$1:$C$1,),))</f>
        <v/>
      </c>
      <c r="C98">
        <f>IF(VLOOKUP(Table7[[#This Row],[Date]],Database!$A:$C,MATCH($C$1,Database!$A$1:$C$1,),)=0,#N/A,VLOOKUP(Table7[[#This Row],[Date]],Database!$A:$C,MATCH($C$1,Database!$A$1:$C$1,),))</f>
        <v/>
      </c>
      <c r="D98">
        <f>IFERROR(Table7[[#This Row],[United States 10y]]-Table7[[#This Row],[United States 3y]],#N/A)</f>
        <v/>
      </c>
    </row>
    <row r="99">
      <c r="A99" s="6">
        <f>Database!$A2184</f>
        <v/>
      </c>
      <c r="B99">
        <f>IF(VLOOKUP(Table7[[#This Row],[Date]],Database!$A:$C,MATCH($B$1,Database!$A$1:$C$1,),)=0,#N/A,VLOOKUP(Table7[[#This Row],[Date]],Database!$A:$C,MATCH($B$1,Database!$A$1:$C$1,),))</f>
        <v/>
      </c>
      <c r="C99">
        <f>IF(VLOOKUP(Table7[[#This Row],[Date]],Database!$A:$C,MATCH($C$1,Database!$A$1:$C$1,),)=0,#N/A,VLOOKUP(Table7[[#This Row],[Date]],Database!$A:$C,MATCH($C$1,Database!$A$1:$C$1,),))</f>
        <v/>
      </c>
      <c r="D99">
        <f>IFERROR(Table7[[#This Row],[United States 10y]]-Table7[[#This Row],[United States 3y]],#N/A)</f>
        <v/>
      </c>
    </row>
    <row r="100">
      <c r="A100" s="6">
        <f>Database!$A2185</f>
        <v/>
      </c>
      <c r="B100">
        <f>IF(VLOOKUP(Table7[[#This Row],[Date]],Database!$A:$C,MATCH($B$1,Database!$A$1:$C$1,),)=0,#N/A,VLOOKUP(Table7[[#This Row],[Date]],Database!$A:$C,MATCH($B$1,Database!$A$1:$C$1,),))</f>
        <v/>
      </c>
      <c r="C100">
        <f>IF(VLOOKUP(Table7[[#This Row],[Date]],Database!$A:$C,MATCH($C$1,Database!$A$1:$C$1,),)=0,#N/A,VLOOKUP(Table7[[#This Row],[Date]],Database!$A:$C,MATCH($C$1,Database!$A$1:$C$1,),))</f>
        <v/>
      </c>
      <c r="D100">
        <f>IFERROR(Table7[[#This Row],[United States 10y]]-Table7[[#This Row],[United States 3y]],#N/A)</f>
        <v/>
      </c>
    </row>
    <row r="101">
      <c r="A101" s="6">
        <f>Database!$A2186</f>
        <v/>
      </c>
      <c r="B101">
        <f>IF(VLOOKUP(Table7[[#This Row],[Date]],Database!$A:$C,MATCH($B$1,Database!$A$1:$C$1,),)=0,#N/A,VLOOKUP(Table7[[#This Row],[Date]],Database!$A:$C,MATCH($B$1,Database!$A$1:$C$1,),))</f>
        <v/>
      </c>
      <c r="C101">
        <f>IF(VLOOKUP(Table7[[#This Row],[Date]],Database!$A:$C,MATCH($C$1,Database!$A$1:$C$1,),)=0,#N/A,VLOOKUP(Table7[[#This Row],[Date]],Database!$A:$C,MATCH($C$1,Database!$A$1:$C$1,),))</f>
        <v/>
      </c>
      <c r="D101">
        <f>IFERROR(Table7[[#This Row],[United States 10y]]-Table7[[#This Row],[United States 3y]],#N/A)</f>
        <v/>
      </c>
    </row>
    <row r="102">
      <c r="A102" s="6">
        <f>Database!$A2187</f>
        <v/>
      </c>
      <c r="B102">
        <f>IF(VLOOKUP(Table7[[#This Row],[Date]],Database!$A:$C,MATCH($B$1,Database!$A$1:$C$1,),)=0,#N/A,VLOOKUP(Table7[[#This Row],[Date]],Database!$A:$C,MATCH($B$1,Database!$A$1:$C$1,),))</f>
        <v/>
      </c>
      <c r="C102">
        <f>IF(VLOOKUP(Table7[[#This Row],[Date]],Database!$A:$C,MATCH($C$1,Database!$A$1:$C$1,),)=0,#N/A,VLOOKUP(Table7[[#This Row],[Date]],Database!$A:$C,MATCH($C$1,Database!$A$1:$C$1,),))</f>
        <v/>
      </c>
      <c r="D102">
        <f>IFERROR(Table7[[#This Row],[United States 10y]]-Table7[[#This Row],[United States 3y]],#N/A)</f>
        <v/>
      </c>
    </row>
    <row r="103">
      <c r="A103" s="6">
        <f>Database!$A2188</f>
        <v/>
      </c>
      <c r="B103">
        <f>IF(VLOOKUP(Table7[[#This Row],[Date]],Database!$A:$C,MATCH($B$1,Database!$A$1:$C$1,),)=0,#N/A,VLOOKUP(Table7[[#This Row],[Date]],Database!$A:$C,MATCH($B$1,Database!$A$1:$C$1,),))</f>
        <v/>
      </c>
      <c r="C103">
        <f>IF(VLOOKUP(Table7[[#This Row],[Date]],Database!$A:$C,MATCH($C$1,Database!$A$1:$C$1,),)=0,#N/A,VLOOKUP(Table7[[#This Row],[Date]],Database!$A:$C,MATCH($C$1,Database!$A$1:$C$1,),))</f>
        <v/>
      </c>
      <c r="D103">
        <f>IFERROR(Table7[[#This Row],[United States 10y]]-Table7[[#This Row],[United States 3y]],#N/A)</f>
        <v/>
      </c>
    </row>
    <row r="104">
      <c r="A104" s="6">
        <f>Database!$A2189</f>
        <v/>
      </c>
      <c r="B104">
        <f>IF(VLOOKUP(Table7[[#This Row],[Date]],Database!$A:$C,MATCH($B$1,Database!$A$1:$C$1,),)=0,#N/A,VLOOKUP(Table7[[#This Row],[Date]],Database!$A:$C,MATCH($B$1,Database!$A$1:$C$1,),))</f>
        <v/>
      </c>
      <c r="C104">
        <f>IF(VLOOKUP(Table7[[#This Row],[Date]],Database!$A:$C,MATCH($C$1,Database!$A$1:$C$1,),)=0,#N/A,VLOOKUP(Table7[[#This Row],[Date]],Database!$A:$C,MATCH($C$1,Database!$A$1:$C$1,),))</f>
        <v/>
      </c>
      <c r="D104">
        <f>IFERROR(Table7[[#This Row],[United States 10y]]-Table7[[#This Row],[United States 3y]],#N/A)</f>
        <v/>
      </c>
    </row>
    <row r="105">
      <c r="A105" s="6">
        <f>Database!$A2190</f>
        <v/>
      </c>
      <c r="B105">
        <f>IF(VLOOKUP(Table7[[#This Row],[Date]],Database!$A:$C,MATCH($B$1,Database!$A$1:$C$1,),)=0,#N/A,VLOOKUP(Table7[[#This Row],[Date]],Database!$A:$C,MATCH($B$1,Database!$A$1:$C$1,),))</f>
        <v/>
      </c>
      <c r="C105">
        <f>IF(VLOOKUP(Table7[[#This Row],[Date]],Database!$A:$C,MATCH($C$1,Database!$A$1:$C$1,),)=0,#N/A,VLOOKUP(Table7[[#This Row],[Date]],Database!$A:$C,MATCH($C$1,Database!$A$1:$C$1,),))</f>
        <v/>
      </c>
      <c r="D105">
        <f>IFERROR(Table7[[#This Row],[United States 10y]]-Table7[[#This Row],[United States 3y]],#N/A)</f>
        <v/>
      </c>
    </row>
    <row r="106">
      <c r="A106" s="6">
        <f>Database!$A2191</f>
        <v/>
      </c>
      <c r="B106">
        <f>IF(VLOOKUP(Table7[[#This Row],[Date]],Database!$A:$C,MATCH($B$1,Database!$A$1:$C$1,),)=0,#N/A,VLOOKUP(Table7[[#This Row],[Date]],Database!$A:$C,MATCH($B$1,Database!$A$1:$C$1,),))</f>
        <v/>
      </c>
      <c r="C106">
        <f>IF(VLOOKUP(Table7[[#This Row],[Date]],Database!$A:$C,MATCH($C$1,Database!$A$1:$C$1,),)=0,#N/A,VLOOKUP(Table7[[#This Row],[Date]],Database!$A:$C,MATCH($C$1,Database!$A$1:$C$1,),))</f>
        <v/>
      </c>
      <c r="D106">
        <f>IFERROR(Table7[[#This Row],[United States 10y]]-Table7[[#This Row],[United States 3y]],#N/A)</f>
        <v/>
      </c>
    </row>
    <row r="107">
      <c r="A107" s="6">
        <f>Database!$A2192</f>
        <v/>
      </c>
      <c r="B107">
        <f>IF(VLOOKUP(Table7[[#This Row],[Date]],Database!$A:$C,MATCH($B$1,Database!$A$1:$C$1,),)=0,#N/A,VLOOKUP(Table7[[#This Row],[Date]],Database!$A:$C,MATCH($B$1,Database!$A$1:$C$1,),))</f>
        <v/>
      </c>
      <c r="C107">
        <f>IF(VLOOKUP(Table7[[#This Row],[Date]],Database!$A:$C,MATCH($C$1,Database!$A$1:$C$1,),)=0,#N/A,VLOOKUP(Table7[[#This Row],[Date]],Database!$A:$C,MATCH($C$1,Database!$A$1:$C$1,),))</f>
        <v/>
      </c>
      <c r="D107">
        <f>IFERROR(Table7[[#This Row],[United States 10y]]-Table7[[#This Row],[United States 3y]],#N/A)</f>
        <v/>
      </c>
    </row>
    <row r="108">
      <c r="A108" s="6">
        <f>Database!$A2193</f>
        <v/>
      </c>
      <c r="B108">
        <f>IF(VLOOKUP(Table7[[#This Row],[Date]],Database!$A:$C,MATCH($B$1,Database!$A$1:$C$1,),)=0,#N/A,VLOOKUP(Table7[[#This Row],[Date]],Database!$A:$C,MATCH($B$1,Database!$A$1:$C$1,),))</f>
        <v/>
      </c>
      <c r="C108">
        <f>IF(VLOOKUP(Table7[[#This Row],[Date]],Database!$A:$C,MATCH($C$1,Database!$A$1:$C$1,),)=0,#N/A,VLOOKUP(Table7[[#This Row],[Date]],Database!$A:$C,MATCH($C$1,Database!$A$1:$C$1,),))</f>
        <v/>
      </c>
      <c r="D108">
        <f>IFERROR(Table7[[#This Row],[United States 10y]]-Table7[[#This Row],[United States 3y]],#N/A)</f>
        <v/>
      </c>
    </row>
    <row r="109">
      <c r="A109" s="6">
        <f>Database!$A2194</f>
        <v/>
      </c>
      <c r="B109">
        <f>IF(VLOOKUP(Table7[[#This Row],[Date]],Database!$A:$C,MATCH($B$1,Database!$A$1:$C$1,),)=0,#N/A,VLOOKUP(Table7[[#This Row],[Date]],Database!$A:$C,MATCH($B$1,Database!$A$1:$C$1,),))</f>
        <v/>
      </c>
      <c r="C109">
        <f>IF(VLOOKUP(Table7[[#This Row],[Date]],Database!$A:$C,MATCH($C$1,Database!$A$1:$C$1,),)=0,#N/A,VLOOKUP(Table7[[#This Row],[Date]],Database!$A:$C,MATCH($C$1,Database!$A$1:$C$1,),))</f>
        <v/>
      </c>
      <c r="D109">
        <f>IFERROR(Table7[[#This Row],[United States 10y]]-Table7[[#This Row],[United States 3y]],#N/A)</f>
        <v/>
      </c>
    </row>
    <row r="110">
      <c r="A110" s="6">
        <f>Database!$A2195</f>
        <v/>
      </c>
      <c r="B110">
        <f>IF(VLOOKUP(Table7[[#This Row],[Date]],Database!$A:$C,MATCH($B$1,Database!$A$1:$C$1,),)=0,#N/A,VLOOKUP(Table7[[#This Row],[Date]],Database!$A:$C,MATCH($B$1,Database!$A$1:$C$1,),))</f>
        <v/>
      </c>
      <c r="C110">
        <f>IF(VLOOKUP(Table7[[#This Row],[Date]],Database!$A:$C,MATCH($C$1,Database!$A$1:$C$1,),)=0,#N/A,VLOOKUP(Table7[[#This Row],[Date]],Database!$A:$C,MATCH($C$1,Database!$A$1:$C$1,),))</f>
        <v/>
      </c>
      <c r="D110">
        <f>IFERROR(Table7[[#This Row],[United States 10y]]-Table7[[#This Row],[United States 3y]],#N/A)</f>
        <v/>
      </c>
    </row>
    <row r="111">
      <c r="A111" s="6">
        <f>Database!$A2196</f>
        <v/>
      </c>
      <c r="B111">
        <f>IF(VLOOKUP(Table7[[#This Row],[Date]],Database!$A:$C,MATCH($B$1,Database!$A$1:$C$1,),)=0,#N/A,VLOOKUP(Table7[[#This Row],[Date]],Database!$A:$C,MATCH($B$1,Database!$A$1:$C$1,),))</f>
        <v/>
      </c>
      <c r="C111">
        <f>IF(VLOOKUP(Table7[[#This Row],[Date]],Database!$A:$C,MATCH($C$1,Database!$A$1:$C$1,),)=0,#N/A,VLOOKUP(Table7[[#This Row],[Date]],Database!$A:$C,MATCH($C$1,Database!$A$1:$C$1,),))</f>
        <v/>
      </c>
      <c r="D111">
        <f>IFERROR(Table7[[#This Row],[United States 10y]]-Table7[[#This Row],[United States 3y]],#N/A)</f>
        <v/>
      </c>
    </row>
    <row r="112">
      <c r="A112" s="6">
        <f>Database!$A2197</f>
        <v/>
      </c>
      <c r="B112">
        <f>IF(VLOOKUP(Table7[[#This Row],[Date]],Database!$A:$C,MATCH($B$1,Database!$A$1:$C$1,),)=0,#N/A,VLOOKUP(Table7[[#This Row],[Date]],Database!$A:$C,MATCH($B$1,Database!$A$1:$C$1,),))</f>
        <v/>
      </c>
      <c r="C112">
        <f>IF(VLOOKUP(Table7[[#This Row],[Date]],Database!$A:$C,MATCH($C$1,Database!$A$1:$C$1,),)=0,#N/A,VLOOKUP(Table7[[#This Row],[Date]],Database!$A:$C,MATCH($C$1,Database!$A$1:$C$1,),))</f>
        <v/>
      </c>
      <c r="D112">
        <f>IFERROR(Table7[[#This Row],[United States 10y]]-Table7[[#This Row],[United States 3y]],#N/A)</f>
        <v/>
      </c>
    </row>
    <row r="113">
      <c r="A113" s="6">
        <f>Database!$A2198</f>
        <v/>
      </c>
      <c r="B113">
        <f>IF(VLOOKUP(Table7[[#This Row],[Date]],Database!$A:$C,MATCH($B$1,Database!$A$1:$C$1,),)=0,#N/A,VLOOKUP(Table7[[#This Row],[Date]],Database!$A:$C,MATCH($B$1,Database!$A$1:$C$1,),))</f>
        <v/>
      </c>
      <c r="C113">
        <f>IF(VLOOKUP(Table7[[#This Row],[Date]],Database!$A:$C,MATCH($C$1,Database!$A$1:$C$1,),)=0,#N/A,VLOOKUP(Table7[[#This Row],[Date]],Database!$A:$C,MATCH($C$1,Database!$A$1:$C$1,),))</f>
        <v/>
      </c>
      <c r="D113">
        <f>IFERROR(Table7[[#This Row],[United States 10y]]-Table7[[#This Row],[United States 3y]],#N/A)</f>
        <v/>
      </c>
    </row>
    <row r="114">
      <c r="A114" s="6">
        <f>Database!$A2199</f>
        <v/>
      </c>
      <c r="B114">
        <f>IF(VLOOKUP(Table7[[#This Row],[Date]],Database!$A:$C,MATCH($B$1,Database!$A$1:$C$1,),)=0,#N/A,VLOOKUP(Table7[[#This Row],[Date]],Database!$A:$C,MATCH($B$1,Database!$A$1:$C$1,),))</f>
        <v/>
      </c>
      <c r="C114">
        <f>IF(VLOOKUP(Table7[[#This Row],[Date]],Database!$A:$C,MATCH($C$1,Database!$A$1:$C$1,),)=0,#N/A,VLOOKUP(Table7[[#This Row],[Date]],Database!$A:$C,MATCH($C$1,Database!$A$1:$C$1,),))</f>
        <v/>
      </c>
      <c r="D114">
        <f>IFERROR(Table7[[#This Row],[United States 10y]]-Table7[[#This Row],[United States 3y]],#N/A)</f>
        <v/>
      </c>
    </row>
    <row r="115">
      <c r="A115" s="6">
        <f>Database!$A2200</f>
        <v/>
      </c>
      <c r="B115">
        <f>IF(VLOOKUP(Table7[[#This Row],[Date]],Database!$A:$C,MATCH($B$1,Database!$A$1:$C$1,),)=0,#N/A,VLOOKUP(Table7[[#This Row],[Date]],Database!$A:$C,MATCH($B$1,Database!$A$1:$C$1,),))</f>
        <v/>
      </c>
      <c r="C115">
        <f>IF(VLOOKUP(Table7[[#This Row],[Date]],Database!$A:$C,MATCH($C$1,Database!$A$1:$C$1,),)=0,#N/A,VLOOKUP(Table7[[#This Row],[Date]],Database!$A:$C,MATCH($C$1,Database!$A$1:$C$1,),))</f>
        <v/>
      </c>
      <c r="D115">
        <f>IFERROR(Table7[[#This Row],[United States 10y]]-Table7[[#This Row],[United States 3y]],#N/A)</f>
        <v/>
      </c>
    </row>
    <row r="116">
      <c r="A116" s="6">
        <f>Database!$A2201</f>
        <v/>
      </c>
      <c r="B116">
        <f>IF(VLOOKUP(Table7[[#This Row],[Date]],Database!$A:$C,MATCH($B$1,Database!$A$1:$C$1,),)=0,#N/A,VLOOKUP(Table7[[#This Row],[Date]],Database!$A:$C,MATCH($B$1,Database!$A$1:$C$1,),))</f>
        <v/>
      </c>
      <c r="C116">
        <f>IF(VLOOKUP(Table7[[#This Row],[Date]],Database!$A:$C,MATCH($C$1,Database!$A$1:$C$1,),)=0,#N/A,VLOOKUP(Table7[[#This Row],[Date]],Database!$A:$C,MATCH($C$1,Database!$A$1:$C$1,),))</f>
        <v/>
      </c>
      <c r="D116">
        <f>IFERROR(Table7[[#This Row],[United States 10y]]-Table7[[#This Row],[United States 3y]],#N/A)</f>
        <v/>
      </c>
    </row>
    <row r="117">
      <c r="A117" s="6">
        <f>Database!$A2202</f>
        <v/>
      </c>
      <c r="B117">
        <f>IF(VLOOKUP(Table7[[#This Row],[Date]],Database!$A:$C,MATCH($B$1,Database!$A$1:$C$1,),)=0,#N/A,VLOOKUP(Table7[[#This Row],[Date]],Database!$A:$C,MATCH($B$1,Database!$A$1:$C$1,),))</f>
        <v/>
      </c>
      <c r="C117">
        <f>IF(VLOOKUP(Table7[[#This Row],[Date]],Database!$A:$C,MATCH($C$1,Database!$A$1:$C$1,),)=0,#N/A,VLOOKUP(Table7[[#This Row],[Date]],Database!$A:$C,MATCH($C$1,Database!$A$1:$C$1,),))</f>
        <v/>
      </c>
      <c r="D117">
        <f>IFERROR(Table7[[#This Row],[United States 10y]]-Table7[[#This Row],[United States 3y]],#N/A)</f>
        <v/>
      </c>
    </row>
    <row r="118">
      <c r="A118" s="6">
        <f>Database!$A2203</f>
        <v/>
      </c>
      <c r="B118">
        <f>IF(VLOOKUP(Table7[[#This Row],[Date]],Database!$A:$C,MATCH($B$1,Database!$A$1:$C$1,),)=0,#N/A,VLOOKUP(Table7[[#This Row],[Date]],Database!$A:$C,MATCH($B$1,Database!$A$1:$C$1,),))</f>
        <v/>
      </c>
      <c r="C118">
        <f>IF(VLOOKUP(Table7[[#This Row],[Date]],Database!$A:$C,MATCH($C$1,Database!$A$1:$C$1,),)=0,#N/A,VLOOKUP(Table7[[#This Row],[Date]],Database!$A:$C,MATCH($C$1,Database!$A$1:$C$1,),))</f>
        <v/>
      </c>
      <c r="D118">
        <f>IFERROR(Table7[[#This Row],[United States 10y]]-Table7[[#This Row],[United States 3y]],#N/A)</f>
        <v/>
      </c>
    </row>
    <row r="119">
      <c r="A119" s="6">
        <f>Database!$A2204</f>
        <v/>
      </c>
      <c r="B119">
        <f>IF(VLOOKUP(Table7[[#This Row],[Date]],Database!$A:$C,MATCH($B$1,Database!$A$1:$C$1,),)=0,#N/A,VLOOKUP(Table7[[#This Row],[Date]],Database!$A:$C,MATCH($B$1,Database!$A$1:$C$1,),))</f>
        <v/>
      </c>
      <c r="C119">
        <f>IF(VLOOKUP(Table7[[#This Row],[Date]],Database!$A:$C,MATCH($C$1,Database!$A$1:$C$1,),)=0,#N/A,VLOOKUP(Table7[[#This Row],[Date]],Database!$A:$C,MATCH($C$1,Database!$A$1:$C$1,),))</f>
        <v/>
      </c>
      <c r="D119">
        <f>IFERROR(Table7[[#This Row],[United States 10y]]-Table7[[#This Row],[United States 3y]],#N/A)</f>
        <v/>
      </c>
    </row>
    <row r="120">
      <c r="A120" s="6">
        <f>Database!$A2205</f>
        <v/>
      </c>
      <c r="B120">
        <f>IF(VLOOKUP(Table7[[#This Row],[Date]],Database!$A:$C,MATCH($B$1,Database!$A$1:$C$1,),)=0,#N/A,VLOOKUP(Table7[[#This Row],[Date]],Database!$A:$C,MATCH($B$1,Database!$A$1:$C$1,),))</f>
        <v/>
      </c>
      <c r="C120">
        <f>IF(VLOOKUP(Table7[[#This Row],[Date]],Database!$A:$C,MATCH($C$1,Database!$A$1:$C$1,),)=0,#N/A,VLOOKUP(Table7[[#This Row],[Date]],Database!$A:$C,MATCH($C$1,Database!$A$1:$C$1,),))</f>
        <v/>
      </c>
      <c r="D120">
        <f>IFERROR(Table7[[#This Row],[United States 10y]]-Table7[[#This Row],[United States 3y]],#N/A)</f>
        <v/>
      </c>
    </row>
    <row r="121">
      <c r="A121" s="6">
        <f>Database!$A2206</f>
        <v/>
      </c>
      <c r="B121">
        <f>IF(VLOOKUP(Table7[[#This Row],[Date]],Database!$A:$C,MATCH($B$1,Database!$A$1:$C$1,),)=0,#N/A,VLOOKUP(Table7[[#This Row],[Date]],Database!$A:$C,MATCH($B$1,Database!$A$1:$C$1,),))</f>
        <v/>
      </c>
      <c r="C121">
        <f>IF(VLOOKUP(Table7[[#This Row],[Date]],Database!$A:$C,MATCH($C$1,Database!$A$1:$C$1,),)=0,#N/A,VLOOKUP(Table7[[#This Row],[Date]],Database!$A:$C,MATCH($C$1,Database!$A$1:$C$1,),))</f>
        <v/>
      </c>
      <c r="D121">
        <f>IFERROR(Table7[[#This Row],[United States 10y]]-Table7[[#This Row],[United States 3y]],#N/A)</f>
        <v/>
      </c>
    </row>
    <row r="122">
      <c r="A122" s="6">
        <f>Database!$A2207</f>
        <v/>
      </c>
      <c r="B122">
        <f>IF(VLOOKUP(Table7[[#This Row],[Date]],Database!$A:$C,MATCH($B$1,Database!$A$1:$C$1,),)=0,#N/A,VLOOKUP(Table7[[#This Row],[Date]],Database!$A:$C,MATCH($B$1,Database!$A$1:$C$1,),))</f>
        <v/>
      </c>
      <c r="C122">
        <f>IF(VLOOKUP(Table7[[#This Row],[Date]],Database!$A:$C,MATCH($C$1,Database!$A$1:$C$1,),)=0,#N/A,VLOOKUP(Table7[[#This Row],[Date]],Database!$A:$C,MATCH($C$1,Database!$A$1:$C$1,),))</f>
        <v/>
      </c>
      <c r="D122">
        <f>IFERROR(Table7[[#This Row],[United States 10y]]-Table7[[#This Row],[United States 3y]],#N/A)</f>
        <v/>
      </c>
    </row>
    <row r="123">
      <c r="A123" s="6">
        <f>Database!$A2208</f>
        <v/>
      </c>
      <c r="B123">
        <f>IF(VLOOKUP(Table7[[#This Row],[Date]],Database!$A:$C,MATCH($B$1,Database!$A$1:$C$1,),)=0,#N/A,VLOOKUP(Table7[[#This Row],[Date]],Database!$A:$C,MATCH($B$1,Database!$A$1:$C$1,),))</f>
        <v/>
      </c>
      <c r="C123">
        <f>IF(VLOOKUP(Table7[[#This Row],[Date]],Database!$A:$C,MATCH($C$1,Database!$A$1:$C$1,),)=0,#N/A,VLOOKUP(Table7[[#This Row],[Date]],Database!$A:$C,MATCH($C$1,Database!$A$1:$C$1,),))</f>
        <v/>
      </c>
      <c r="D123">
        <f>IFERROR(Table7[[#This Row],[United States 10y]]-Table7[[#This Row],[United States 3y]],#N/A)</f>
        <v/>
      </c>
    </row>
    <row r="124">
      <c r="A124" s="6">
        <f>Database!$A2209</f>
        <v/>
      </c>
      <c r="B124">
        <f>IF(VLOOKUP(Table7[[#This Row],[Date]],Database!$A:$C,MATCH($B$1,Database!$A$1:$C$1,),)=0,#N/A,VLOOKUP(Table7[[#This Row],[Date]],Database!$A:$C,MATCH($B$1,Database!$A$1:$C$1,),))</f>
        <v/>
      </c>
      <c r="C124">
        <f>IF(VLOOKUP(Table7[[#This Row],[Date]],Database!$A:$C,MATCH($C$1,Database!$A$1:$C$1,),)=0,#N/A,VLOOKUP(Table7[[#This Row],[Date]],Database!$A:$C,MATCH($C$1,Database!$A$1:$C$1,),))</f>
        <v/>
      </c>
      <c r="D124">
        <f>IFERROR(Table7[[#This Row],[United States 10y]]-Table7[[#This Row],[United States 3y]],#N/A)</f>
        <v/>
      </c>
    </row>
    <row r="125">
      <c r="A125" s="6">
        <f>Database!$A2210</f>
        <v/>
      </c>
      <c r="B125">
        <f>IF(VLOOKUP(Table7[[#This Row],[Date]],Database!$A:$C,MATCH($B$1,Database!$A$1:$C$1,),)=0,#N/A,VLOOKUP(Table7[[#This Row],[Date]],Database!$A:$C,MATCH($B$1,Database!$A$1:$C$1,),))</f>
        <v/>
      </c>
      <c r="C125">
        <f>IF(VLOOKUP(Table7[[#This Row],[Date]],Database!$A:$C,MATCH($C$1,Database!$A$1:$C$1,),)=0,#N/A,VLOOKUP(Table7[[#This Row],[Date]],Database!$A:$C,MATCH($C$1,Database!$A$1:$C$1,),))</f>
        <v/>
      </c>
      <c r="D125">
        <f>IFERROR(Table7[[#This Row],[United States 10y]]-Table7[[#This Row],[United States 3y]],#N/A)</f>
        <v/>
      </c>
    </row>
    <row r="126">
      <c r="A126" s="6">
        <f>Database!$A2211</f>
        <v/>
      </c>
      <c r="B126">
        <f>IF(VLOOKUP(Table7[[#This Row],[Date]],Database!$A:$C,MATCH($B$1,Database!$A$1:$C$1,),)=0,#N/A,VLOOKUP(Table7[[#This Row],[Date]],Database!$A:$C,MATCH($B$1,Database!$A$1:$C$1,),))</f>
        <v/>
      </c>
      <c r="C126">
        <f>IF(VLOOKUP(Table7[[#This Row],[Date]],Database!$A:$C,MATCH($C$1,Database!$A$1:$C$1,),)=0,#N/A,VLOOKUP(Table7[[#This Row],[Date]],Database!$A:$C,MATCH($C$1,Database!$A$1:$C$1,),))</f>
        <v/>
      </c>
      <c r="D126">
        <f>IFERROR(Table7[[#This Row],[United States 10y]]-Table7[[#This Row],[United States 3y]],#N/A)</f>
        <v/>
      </c>
    </row>
    <row r="127">
      <c r="A127" s="6">
        <f>Database!$A2212</f>
        <v/>
      </c>
      <c r="B127">
        <f>IF(VLOOKUP(Table7[[#This Row],[Date]],Database!$A:$C,MATCH($B$1,Database!$A$1:$C$1,),)=0,#N/A,VLOOKUP(Table7[[#This Row],[Date]],Database!$A:$C,MATCH($B$1,Database!$A$1:$C$1,),))</f>
        <v/>
      </c>
      <c r="C127">
        <f>IF(VLOOKUP(Table7[[#This Row],[Date]],Database!$A:$C,MATCH($C$1,Database!$A$1:$C$1,),)=0,#N/A,VLOOKUP(Table7[[#This Row],[Date]],Database!$A:$C,MATCH($C$1,Database!$A$1:$C$1,),))</f>
        <v/>
      </c>
      <c r="D127">
        <f>IFERROR(Table7[[#This Row],[United States 10y]]-Table7[[#This Row],[United States 3y]],#N/A)</f>
        <v/>
      </c>
    </row>
    <row r="128">
      <c r="A128" s="6">
        <f>Database!$A2213</f>
        <v/>
      </c>
      <c r="B128">
        <f>IF(VLOOKUP(Table7[[#This Row],[Date]],Database!$A:$C,MATCH($B$1,Database!$A$1:$C$1,),)=0,#N/A,VLOOKUP(Table7[[#This Row],[Date]],Database!$A:$C,MATCH($B$1,Database!$A$1:$C$1,),))</f>
        <v/>
      </c>
      <c r="C128">
        <f>IF(VLOOKUP(Table7[[#This Row],[Date]],Database!$A:$C,MATCH($C$1,Database!$A$1:$C$1,),)=0,#N/A,VLOOKUP(Table7[[#This Row],[Date]],Database!$A:$C,MATCH($C$1,Database!$A$1:$C$1,),))</f>
        <v/>
      </c>
      <c r="D128">
        <f>IFERROR(Table7[[#This Row],[United States 10y]]-Table7[[#This Row],[United States 3y]],#N/A)</f>
        <v/>
      </c>
    </row>
    <row r="129">
      <c r="A129" s="6">
        <f>Database!$A2214</f>
        <v/>
      </c>
      <c r="B129">
        <f>IF(VLOOKUP(Table7[[#This Row],[Date]],Database!$A:$C,MATCH($B$1,Database!$A$1:$C$1,),)=0,#N/A,VLOOKUP(Table7[[#This Row],[Date]],Database!$A:$C,MATCH($B$1,Database!$A$1:$C$1,),))</f>
        <v/>
      </c>
      <c r="C129">
        <f>IF(VLOOKUP(Table7[[#This Row],[Date]],Database!$A:$C,MATCH($C$1,Database!$A$1:$C$1,),)=0,#N/A,VLOOKUP(Table7[[#This Row],[Date]],Database!$A:$C,MATCH($C$1,Database!$A$1:$C$1,),))</f>
        <v/>
      </c>
      <c r="D129">
        <f>IFERROR(Table7[[#This Row],[United States 10y]]-Table7[[#This Row],[United States 3y]],#N/A)</f>
        <v/>
      </c>
    </row>
    <row r="130">
      <c r="A130" s="6">
        <f>Database!$A2215</f>
        <v/>
      </c>
      <c r="B130">
        <f>IF(VLOOKUP(Table7[[#This Row],[Date]],Database!$A:$C,MATCH($B$1,Database!$A$1:$C$1,),)=0,#N/A,VLOOKUP(Table7[[#This Row],[Date]],Database!$A:$C,MATCH($B$1,Database!$A$1:$C$1,),))</f>
        <v/>
      </c>
      <c r="C130">
        <f>IF(VLOOKUP(Table7[[#This Row],[Date]],Database!$A:$C,MATCH($C$1,Database!$A$1:$C$1,),)=0,#N/A,VLOOKUP(Table7[[#This Row],[Date]],Database!$A:$C,MATCH($C$1,Database!$A$1:$C$1,),))</f>
        <v/>
      </c>
      <c r="D130">
        <f>IFERROR(Table7[[#This Row],[United States 10y]]-Table7[[#This Row],[United States 3y]],#N/A)</f>
        <v/>
      </c>
    </row>
    <row r="131">
      <c r="A131" s="6">
        <f>Database!$A2216</f>
        <v/>
      </c>
      <c r="B131">
        <f>IF(VLOOKUP(Table7[[#This Row],[Date]],Database!$A:$C,MATCH($B$1,Database!$A$1:$C$1,),)=0,#N/A,VLOOKUP(Table7[[#This Row],[Date]],Database!$A:$C,MATCH($B$1,Database!$A$1:$C$1,),))</f>
        <v/>
      </c>
      <c r="C131">
        <f>IF(VLOOKUP(Table7[[#This Row],[Date]],Database!$A:$C,MATCH($C$1,Database!$A$1:$C$1,),)=0,#N/A,VLOOKUP(Table7[[#This Row],[Date]],Database!$A:$C,MATCH($C$1,Database!$A$1:$C$1,),))</f>
        <v/>
      </c>
      <c r="D131">
        <f>IFERROR(Table7[[#This Row],[United States 10y]]-Table7[[#This Row],[United States 3y]],#N/A)</f>
        <v/>
      </c>
    </row>
    <row r="132">
      <c r="A132" s="6">
        <f>Database!$A2217</f>
        <v/>
      </c>
      <c r="B132">
        <f>IF(VLOOKUP(Table7[[#This Row],[Date]],Database!$A:$C,MATCH($B$1,Database!$A$1:$C$1,),)=0,#N/A,VLOOKUP(Table7[[#This Row],[Date]],Database!$A:$C,MATCH($B$1,Database!$A$1:$C$1,),))</f>
        <v/>
      </c>
      <c r="C132">
        <f>IF(VLOOKUP(Table7[[#This Row],[Date]],Database!$A:$C,MATCH($C$1,Database!$A$1:$C$1,),)=0,#N/A,VLOOKUP(Table7[[#This Row],[Date]],Database!$A:$C,MATCH($C$1,Database!$A$1:$C$1,),))</f>
        <v/>
      </c>
      <c r="D132">
        <f>IFERROR(Table7[[#This Row],[United States 10y]]-Table7[[#This Row],[United States 3y]],#N/A)</f>
        <v/>
      </c>
    </row>
    <row r="133">
      <c r="A133" s="6">
        <f>Database!$A2218</f>
        <v/>
      </c>
      <c r="B133">
        <f>IF(VLOOKUP(Table7[[#This Row],[Date]],Database!$A:$C,MATCH($B$1,Database!$A$1:$C$1,),)=0,#N/A,VLOOKUP(Table7[[#This Row],[Date]],Database!$A:$C,MATCH($B$1,Database!$A$1:$C$1,),))</f>
        <v/>
      </c>
      <c r="C133">
        <f>IF(VLOOKUP(Table7[[#This Row],[Date]],Database!$A:$C,MATCH($C$1,Database!$A$1:$C$1,),)=0,#N/A,VLOOKUP(Table7[[#This Row],[Date]],Database!$A:$C,MATCH($C$1,Database!$A$1:$C$1,),))</f>
        <v/>
      </c>
      <c r="D133">
        <f>IFERROR(Table7[[#This Row],[United States 10y]]-Table7[[#This Row],[United States 3y]],#N/A)</f>
        <v/>
      </c>
    </row>
    <row r="134">
      <c r="A134" s="6">
        <f>Database!$A2219</f>
        <v/>
      </c>
      <c r="B134">
        <f>IF(VLOOKUP(Table7[[#This Row],[Date]],Database!$A:$C,MATCH($B$1,Database!$A$1:$C$1,),)=0,#N/A,VLOOKUP(Table7[[#This Row],[Date]],Database!$A:$C,MATCH($B$1,Database!$A$1:$C$1,),))</f>
        <v/>
      </c>
      <c r="C134">
        <f>IF(VLOOKUP(Table7[[#This Row],[Date]],Database!$A:$C,MATCH($C$1,Database!$A$1:$C$1,),)=0,#N/A,VLOOKUP(Table7[[#This Row],[Date]],Database!$A:$C,MATCH($C$1,Database!$A$1:$C$1,),))</f>
        <v/>
      </c>
      <c r="D134">
        <f>IFERROR(Table7[[#This Row],[United States 10y]]-Table7[[#This Row],[United States 3y]],#N/A)</f>
        <v/>
      </c>
    </row>
    <row r="135">
      <c r="A135" s="6">
        <f>Database!$A2220</f>
        <v/>
      </c>
      <c r="B135">
        <f>IF(VLOOKUP(Table7[[#This Row],[Date]],Database!$A:$C,MATCH($B$1,Database!$A$1:$C$1,),)=0,#N/A,VLOOKUP(Table7[[#This Row],[Date]],Database!$A:$C,MATCH($B$1,Database!$A$1:$C$1,),))</f>
        <v/>
      </c>
      <c r="C135">
        <f>IF(VLOOKUP(Table7[[#This Row],[Date]],Database!$A:$C,MATCH($C$1,Database!$A$1:$C$1,),)=0,#N/A,VLOOKUP(Table7[[#This Row],[Date]],Database!$A:$C,MATCH($C$1,Database!$A$1:$C$1,),))</f>
        <v/>
      </c>
      <c r="D135">
        <f>IFERROR(Table7[[#This Row],[United States 10y]]-Table7[[#This Row],[United States 3y]],#N/A)</f>
        <v/>
      </c>
    </row>
    <row r="136">
      <c r="A136" s="6">
        <f>Database!$A2221</f>
        <v/>
      </c>
      <c r="B136">
        <f>IF(VLOOKUP(Table7[[#This Row],[Date]],Database!$A:$C,MATCH($B$1,Database!$A$1:$C$1,),)=0,#N/A,VLOOKUP(Table7[[#This Row],[Date]],Database!$A:$C,MATCH($B$1,Database!$A$1:$C$1,),))</f>
        <v/>
      </c>
      <c r="C136">
        <f>IF(VLOOKUP(Table7[[#This Row],[Date]],Database!$A:$C,MATCH($C$1,Database!$A$1:$C$1,),)=0,#N/A,VLOOKUP(Table7[[#This Row],[Date]],Database!$A:$C,MATCH($C$1,Database!$A$1:$C$1,),))</f>
        <v/>
      </c>
      <c r="D136">
        <f>IFERROR(Table7[[#This Row],[United States 10y]]-Table7[[#This Row],[United States 3y]],#N/A)</f>
        <v/>
      </c>
    </row>
    <row r="137">
      <c r="A137" s="6">
        <f>Database!$A2222</f>
        <v/>
      </c>
      <c r="B137">
        <f>IF(VLOOKUP(Table7[[#This Row],[Date]],Database!$A:$C,MATCH($B$1,Database!$A$1:$C$1,),)=0,#N/A,VLOOKUP(Table7[[#This Row],[Date]],Database!$A:$C,MATCH($B$1,Database!$A$1:$C$1,),))</f>
        <v/>
      </c>
      <c r="C137">
        <f>IF(VLOOKUP(Table7[[#This Row],[Date]],Database!$A:$C,MATCH($C$1,Database!$A$1:$C$1,),)=0,#N/A,VLOOKUP(Table7[[#This Row],[Date]],Database!$A:$C,MATCH($C$1,Database!$A$1:$C$1,),))</f>
        <v/>
      </c>
      <c r="D137">
        <f>IFERROR(Table7[[#This Row],[United States 10y]]-Table7[[#This Row],[United States 3y]],#N/A)</f>
        <v/>
      </c>
    </row>
    <row r="138">
      <c r="A138" s="6">
        <f>Database!$A2223</f>
        <v/>
      </c>
      <c r="B138">
        <f>IF(VLOOKUP(Table7[[#This Row],[Date]],Database!$A:$C,MATCH($B$1,Database!$A$1:$C$1,),)=0,#N/A,VLOOKUP(Table7[[#This Row],[Date]],Database!$A:$C,MATCH($B$1,Database!$A$1:$C$1,),))</f>
        <v/>
      </c>
      <c r="C138">
        <f>IF(VLOOKUP(Table7[[#This Row],[Date]],Database!$A:$C,MATCH($C$1,Database!$A$1:$C$1,),)=0,#N/A,VLOOKUP(Table7[[#This Row],[Date]],Database!$A:$C,MATCH($C$1,Database!$A$1:$C$1,),))</f>
        <v/>
      </c>
      <c r="D138">
        <f>IFERROR(Table7[[#This Row],[United States 10y]]-Table7[[#This Row],[United States 3y]],#N/A)</f>
        <v/>
      </c>
    </row>
    <row r="139">
      <c r="A139" s="6">
        <f>Database!$A2224</f>
        <v/>
      </c>
      <c r="B139">
        <f>IF(VLOOKUP(Table7[[#This Row],[Date]],Database!$A:$C,MATCH($B$1,Database!$A$1:$C$1,),)=0,#N/A,VLOOKUP(Table7[[#This Row],[Date]],Database!$A:$C,MATCH($B$1,Database!$A$1:$C$1,),))</f>
        <v/>
      </c>
      <c r="C139">
        <f>IF(VLOOKUP(Table7[[#This Row],[Date]],Database!$A:$C,MATCH($C$1,Database!$A$1:$C$1,),)=0,#N/A,VLOOKUP(Table7[[#This Row],[Date]],Database!$A:$C,MATCH($C$1,Database!$A$1:$C$1,),))</f>
        <v/>
      </c>
      <c r="D139">
        <f>IFERROR(Table7[[#This Row],[United States 10y]]-Table7[[#This Row],[United States 3y]],#N/A)</f>
        <v/>
      </c>
    </row>
    <row r="140">
      <c r="A140" s="6">
        <f>Database!$A2225</f>
        <v/>
      </c>
      <c r="B140">
        <f>IF(VLOOKUP(Table7[[#This Row],[Date]],Database!$A:$C,MATCH($B$1,Database!$A$1:$C$1,),)=0,#N/A,VLOOKUP(Table7[[#This Row],[Date]],Database!$A:$C,MATCH($B$1,Database!$A$1:$C$1,),))</f>
        <v/>
      </c>
      <c r="C140">
        <f>IF(VLOOKUP(Table7[[#This Row],[Date]],Database!$A:$C,MATCH($C$1,Database!$A$1:$C$1,),)=0,#N/A,VLOOKUP(Table7[[#This Row],[Date]],Database!$A:$C,MATCH($C$1,Database!$A$1:$C$1,),))</f>
        <v/>
      </c>
      <c r="D140">
        <f>IFERROR(Table7[[#This Row],[United States 10y]]-Table7[[#This Row],[United States 3y]],#N/A)</f>
        <v/>
      </c>
    </row>
    <row r="141">
      <c r="A141" s="6">
        <f>Database!$A2226</f>
        <v/>
      </c>
      <c r="B141">
        <f>IF(VLOOKUP(Table7[[#This Row],[Date]],Database!$A:$C,MATCH($B$1,Database!$A$1:$C$1,),)=0,#N/A,VLOOKUP(Table7[[#This Row],[Date]],Database!$A:$C,MATCH($B$1,Database!$A$1:$C$1,),))</f>
        <v/>
      </c>
      <c r="C141">
        <f>IF(VLOOKUP(Table7[[#This Row],[Date]],Database!$A:$C,MATCH($C$1,Database!$A$1:$C$1,),)=0,#N/A,VLOOKUP(Table7[[#This Row],[Date]],Database!$A:$C,MATCH($C$1,Database!$A$1:$C$1,),))</f>
        <v/>
      </c>
      <c r="D141">
        <f>IFERROR(Table7[[#This Row],[United States 10y]]-Table7[[#This Row],[United States 3y]],#N/A)</f>
        <v/>
      </c>
    </row>
    <row r="142">
      <c r="A142" s="6">
        <f>Database!$A2227</f>
        <v/>
      </c>
      <c r="B142">
        <f>IF(VLOOKUP(Table7[[#This Row],[Date]],Database!$A:$C,MATCH($B$1,Database!$A$1:$C$1,),)=0,#N/A,VLOOKUP(Table7[[#This Row],[Date]],Database!$A:$C,MATCH($B$1,Database!$A$1:$C$1,),))</f>
        <v/>
      </c>
      <c r="C142">
        <f>IF(VLOOKUP(Table7[[#This Row],[Date]],Database!$A:$C,MATCH($C$1,Database!$A$1:$C$1,),)=0,#N/A,VLOOKUP(Table7[[#This Row],[Date]],Database!$A:$C,MATCH($C$1,Database!$A$1:$C$1,),))</f>
        <v/>
      </c>
      <c r="D142">
        <f>IFERROR(Table7[[#This Row],[United States 10y]]-Table7[[#This Row],[United States 3y]],#N/A)</f>
        <v/>
      </c>
    </row>
    <row r="143">
      <c r="A143" s="6">
        <f>Database!$A2228</f>
        <v/>
      </c>
      <c r="B143">
        <f>IF(VLOOKUP(Table7[[#This Row],[Date]],Database!$A:$C,MATCH($B$1,Database!$A$1:$C$1,),)=0,#N/A,VLOOKUP(Table7[[#This Row],[Date]],Database!$A:$C,MATCH($B$1,Database!$A$1:$C$1,),))</f>
        <v/>
      </c>
      <c r="C143">
        <f>IF(VLOOKUP(Table7[[#This Row],[Date]],Database!$A:$C,MATCH($C$1,Database!$A$1:$C$1,),)=0,#N/A,VLOOKUP(Table7[[#This Row],[Date]],Database!$A:$C,MATCH($C$1,Database!$A$1:$C$1,),))</f>
        <v/>
      </c>
      <c r="D143">
        <f>IFERROR(Table7[[#This Row],[United States 10y]]-Table7[[#This Row],[United States 3y]],#N/A)</f>
        <v/>
      </c>
    </row>
    <row r="144">
      <c r="A144" s="6">
        <f>Database!$A2229</f>
        <v/>
      </c>
      <c r="B144">
        <f>IF(VLOOKUP(Table7[[#This Row],[Date]],Database!$A:$C,MATCH($B$1,Database!$A$1:$C$1,),)=0,#N/A,VLOOKUP(Table7[[#This Row],[Date]],Database!$A:$C,MATCH($B$1,Database!$A$1:$C$1,),))</f>
        <v/>
      </c>
      <c r="C144">
        <f>IF(VLOOKUP(Table7[[#This Row],[Date]],Database!$A:$C,MATCH($C$1,Database!$A$1:$C$1,),)=0,#N/A,VLOOKUP(Table7[[#This Row],[Date]],Database!$A:$C,MATCH($C$1,Database!$A$1:$C$1,),))</f>
        <v/>
      </c>
      <c r="D144">
        <f>IFERROR(Table7[[#This Row],[United States 10y]]-Table7[[#This Row],[United States 3y]],#N/A)</f>
        <v/>
      </c>
    </row>
    <row r="145">
      <c r="A145" s="6">
        <f>Database!$A2230</f>
        <v/>
      </c>
      <c r="B145">
        <f>IF(VLOOKUP(Table7[[#This Row],[Date]],Database!$A:$C,MATCH($B$1,Database!$A$1:$C$1,),)=0,#N/A,VLOOKUP(Table7[[#This Row],[Date]],Database!$A:$C,MATCH($B$1,Database!$A$1:$C$1,),))</f>
        <v/>
      </c>
      <c r="C145">
        <f>IF(VLOOKUP(Table7[[#This Row],[Date]],Database!$A:$C,MATCH($C$1,Database!$A$1:$C$1,),)=0,#N/A,VLOOKUP(Table7[[#This Row],[Date]],Database!$A:$C,MATCH($C$1,Database!$A$1:$C$1,),))</f>
        <v/>
      </c>
      <c r="D145">
        <f>IFERROR(Table7[[#This Row],[United States 10y]]-Table7[[#This Row],[United States 3y]],#N/A)</f>
        <v/>
      </c>
    </row>
    <row r="146">
      <c r="A146" s="6">
        <f>Database!$A2231</f>
        <v/>
      </c>
      <c r="B146">
        <f>IF(VLOOKUP(Table7[[#This Row],[Date]],Database!$A:$C,MATCH($B$1,Database!$A$1:$C$1,),)=0,#N/A,VLOOKUP(Table7[[#This Row],[Date]],Database!$A:$C,MATCH($B$1,Database!$A$1:$C$1,),))</f>
        <v/>
      </c>
      <c r="C146">
        <f>IF(VLOOKUP(Table7[[#This Row],[Date]],Database!$A:$C,MATCH($C$1,Database!$A$1:$C$1,),)=0,#N/A,VLOOKUP(Table7[[#This Row],[Date]],Database!$A:$C,MATCH($C$1,Database!$A$1:$C$1,),))</f>
        <v/>
      </c>
      <c r="D146">
        <f>IFERROR(Table7[[#This Row],[United States 10y]]-Table7[[#This Row],[United States 3y]],#N/A)</f>
        <v/>
      </c>
    </row>
    <row r="147">
      <c r="A147" s="6">
        <f>Database!$A2232</f>
        <v/>
      </c>
      <c r="B147">
        <f>IF(VLOOKUP(Table7[[#This Row],[Date]],Database!$A:$C,MATCH($B$1,Database!$A$1:$C$1,),)=0,#N/A,VLOOKUP(Table7[[#This Row],[Date]],Database!$A:$C,MATCH($B$1,Database!$A$1:$C$1,),))</f>
        <v/>
      </c>
      <c r="C147">
        <f>IF(VLOOKUP(Table7[[#This Row],[Date]],Database!$A:$C,MATCH($C$1,Database!$A$1:$C$1,),)=0,#N/A,VLOOKUP(Table7[[#This Row],[Date]],Database!$A:$C,MATCH($C$1,Database!$A$1:$C$1,),))</f>
        <v/>
      </c>
      <c r="D147">
        <f>IFERROR(Table7[[#This Row],[United States 10y]]-Table7[[#This Row],[United States 3y]],#N/A)</f>
        <v/>
      </c>
    </row>
    <row r="148">
      <c r="A148" s="6">
        <f>Database!$A2233</f>
        <v/>
      </c>
      <c r="B148">
        <f>IF(VLOOKUP(Table7[[#This Row],[Date]],Database!$A:$C,MATCH($B$1,Database!$A$1:$C$1,),)=0,#N/A,VLOOKUP(Table7[[#This Row],[Date]],Database!$A:$C,MATCH($B$1,Database!$A$1:$C$1,),))</f>
        <v/>
      </c>
      <c r="C148">
        <f>IF(VLOOKUP(Table7[[#This Row],[Date]],Database!$A:$C,MATCH($C$1,Database!$A$1:$C$1,),)=0,#N/A,VLOOKUP(Table7[[#This Row],[Date]],Database!$A:$C,MATCH($C$1,Database!$A$1:$C$1,),))</f>
        <v/>
      </c>
      <c r="D148">
        <f>IFERROR(Table7[[#This Row],[United States 10y]]-Table7[[#This Row],[United States 3y]],#N/A)</f>
        <v/>
      </c>
    </row>
    <row r="149">
      <c r="A149" s="6">
        <f>Database!$A2234</f>
        <v/>
      </c>
      <c r="B149">
        <f>IF(VLOOKUP(Table7[[#This Row],[Date]],Database!$A:$C,MATCH($B$1,Database!$A$1:$C$1,),)=0,#N/A,VLOOKUP(Table7[[#This Row],[Date]],Database!$A:$C,MATCH($B$1,Database!$A$1:$C$1,),))</f>
        <v/>
      </c>
      <c r="C149">
        <f>IF(VLOOKUP(Table7[[#This Row],[Date]],Database!$A:$C,MATCH($C$1,Database!$A$1:$C$1,),)=0,#N/A,VLOOKUP(Table7[[#This Row],[Date]],Database!$A:$C,MATCH($C$1,Database!$A$1:$C$1,),))</f>
        <v/>
      </c>
      <c r="D149">
        <f>IFERROR(Table7[[#This Row],[United States 10y]]-Table7[[#This Row],[United States 3y]],#N/A)</f>
        <v/>
      </c>
    </row>
    <row r="150">
      <c r="A150" s="6">
        <f>Database!$A2235</f>
        <v/>
      </c>
      <c r="B150">
        <f>IF(VLOOKUP(Table7[[#This Row],[Date]],Database!$A:$C,MATCH($B$1,Database!$A$1:$C$1,),)=0,#N/A,VLOOKUP(Table7[[#This Row],[Date]],Database!$A:$C,MATCH($B$1,Database!$A$1:$C$1,),))</f>
        <v/>
      </c>
      <c r="C150">
        <f>IF(VLOOKUP(Table7[[#This Row],[Date]],Database!$A:$C,MATCH($C$1,Database!$A$1:$C$1,),)=0,#N/A,VLOOKUP(Table7[[#This Row],[Date]],Database!$A:$C,MATCH($C$1,Database!$A$1:$C$1,),))</f>
        <v/>
      </c>
      <c r="D150">
        <f>IFERROR(Table7[[#This Row],[United States 10y]]-Table7[[#This Row],[United States 3y]],#N/A)</f>
        <v/>
      </c>
    </row>
    <row r="151">
      <c r="A151" s="6">
        <f>Database!$A2236</f>
        <v/>
      </c>
      <c r="B151">
        <f>IF(VLOOKUP(Table7[[#This Row],[Date]],Database!$A:$C,MATCH($B$1,Database!$A$1:$C$1,),)=0,#N/A,VLOOKUP(Table7[[#This Row],[Date]],Database!$A:$C,MATCH($B$1,Database!$A$1:$C$1,),))</f>
        <v/>
      </c>
      <c r="C151">
        <f>IF(VLOOKUP(Table7[[#This Row],[Date]],Database!$A:$C,MATCH($C$1,Database!$A$1:$C$1,),)=0,#N/A,VLOOKUP(Table7[[#This Row],[Date]],Database!$A:$C,MATCH($C$1,Database!$A$1:$C$1,),))</f>
        <v/>
      </c>
      <c r="D151">
        <f>IFERROR(Table7[[#This Row],[United States 10y]]-Table7[[#This Row],[United States 3y]],#N/A)</f>
        <v/>
      </c>
    </row>
    <row r="152">
      <c r="A152" s="6">
        <f>Database!$A2237</f>
        <v/>
      </c>
      <c r="B152">
        <f>IF(VLOOKUP(Table7[[#This Row],[Date]],Database!$A:$C,MATCH($B$1,Database!$A$1:$C$1,),)=0,#N/A,VLOOKUP(Table7[[#This Row],[Date]],Database!$A:$C,MATCH($B$1,Database!$A$1:$C$1,),))</f>
        <v/>
      </c>
      <c r="C152">
        <f>IF(VLOOKUP(Table7[[#This Row],[Date]],Database!$A:$C,MATCH($C$1,Database!$A$1:$C$1,),)=0,#N/A,VLOOKUP(Table7[[#This Row],[Date]],Database!$A:$C,MATCH($C$1,Database!$A$1:$C$1,),))</f>
        <v/>
      </c>
      <c r="D152">
        <f>IFERROR(Table7[[#This Row],[United States 10y]]-Table7[[#This Row],[United States 3y]],#N/A)</f>
        <v/>
      </c>
    </row>
    <row r="153">
      <c r="A153" s="6">
        <f>Database!$A2238</f>
        <v/>
      </c>
      <c r="B153">
        <f>IF(VLOOKUP(Table7[[#This Row],[Date]],Database!$A:$C,MATCH($B$1,Database!$A$1:$C$1,),)=0,#N/A,VLOOKUP(Table7[[#This Row],[Date]],Database!$A:$C,MATCH($B$1,Database!$A$1:$C$1,),))</f>
        <v/>
      </c>
      <c r="C153">
        <f>IF(VLOOKUP(Table7[[#This Row],[Date]],Database!$A:$C,MATCH($C$1,Database!$A$1:$C$1,),)=0,#N/A,VLOOKUP(Table7[[#This Row],[Date]],Database!$A:$C,MATCH($C$1,Database!$A$1:$C$1,),))</f>
        <v/>
      </c>
      <c r="D153">
        <f>IFERROR(Table7[[#This Row],[United States 10y]]-Table7[[#This Row],[United States 3y]],#N/A)</f>
        <v/>
      </c>
    </row>
    <row r="154">
      <c r="A154" s="6">
        <f>Database!$A2239</f>
        <v/>
      </c>
      <c r="B154">
        <f>IF(VLOOKUP(Table7[[#This Row],[Date]],Database!$A:$C,MATCH($B$1,Database!$A$1:$C$1,),)=0,#N/A,VLOOKUP(Table7[[#This Row],[Date]],Database!$A:$C,MATCH($B$1,Database!$A$1:$C$1,),))</f>
        <v/>
      </c>
      <c r="C154">
        <f>IF(VLOOKUP(Table7[[#This Row],[Date]],Database!$A:$C,MATCH($C$1,Database!$A$1:$C$1,),)=0,#N/A,VLOOKUP(Table7[[#This Row],[Date]],Database!$A:$C,MATCH($C$1,Database!$A$1:$C$1,),))</f>
        <v/>
      </c>
      <c r="D154">
        <f>IFERROR(Table7[[#This Row],[United States 10y]]-Table7[[#This Row],[United States 3y]],#N/A)</f>
        <v/>
      </c>
    </row>
    <row r="155">
      <c r="A155" s="6">
        <f>Database!$A2240</f>
        <v/>
      </c>
      <c r="B155">
        <f>IF(VLOOKUP(Table7[[#This Row],[Date]],Database!$A:$C,MATCH($B$1,Database!$A$1:$C$1,),)=0,#N/A,VLOOKUP(Table7[[#This Row],[Date]],Database!$A:$C,MATCH($B$1,Database!$A$1:$C$1,),))</f>
        <v/>
      </c>
      <c r="C155">
        <f>IF(VLOOKUP(Table7[[#This Row],[Date]],Database!$A:$C,MATCH($C$1,Database!$A$1:$C$1,),)=0,#N/A,VLOOKUP(Table7[[#This Row],[Date]],Database!$A:$C,MATCH($C$1,Database!$A$1:$C$1,),))</f>
        <v/>
      </c>
      <c r="D155">
        <f>IFERROR(Table7[[#This Row],[United States 10y]]-Table7[[#This Row],[United States 3y]],#N/A)</f>
        <v/>
      </c>
    </row>
    <row r="156">
      <c r="A156" s="6">
        <f>Database!$A2241</f>
        <v/>
      </c>
      <c r="B156">
        <f>IF(VLOOKUP(Table7[[#This Row],[Date]],Database!$A:$C,MATCH($B$1,Database!$A$1:$C$1,),)=0,#N/A,VLOOKUP(Table7[[#This Row],[Date]],Database!$A:$C,MATCH($B$1,Database!$A$1:$C$1,),))</f>
        <v/>
      </c>
      <c r="C156">
        <f>IF(VLOOKUP(Table7[[#This Row],[Date]],Database!$A:$C,MATCH($C$1,Database!$A$1:$C$1,),)=0,#N/A,VLOOKUP(Table7[[#This Row],[Date]],Database!$A:$C,MATCH($C$1,Database!$A$1:$C$1,),))</f>
        <v/>
      </c>
      <c r="D156">
        <f>IFERROR(Table7[[#This Row],[United States 10y]]-Table7[[#This Row],[United States 3y]],#N/A)</f>
        <v/>
      </c>
    </row>
    <row r="157">
      <c r="A157" s="6">
        <f>Database!$A2242</f>
        <v/>
      </c>
      <c r="B157">
        <f>IF(VLOOKUP(Table7[[#This Row],[Date]],Database!$A:$C,MATCH($B$1,Database!$A$1:$C$1,),)=0,#N/A,VLOOKUP(Table7[[#This Row],[Date]],Database!$A:$C,MATCH($B$1,Database!$A$1:$C$1,),))</f>
        <v/>
      </c>
      <c r="C157">
        <f>IF(VLOOKUP(Table7[[#This Row],[Date]],Database!$A:$C,MATCH($C$1,Database!$A$1:$C$1,),)=0,#N/A,VLOOKUP(Table7[[#This Row],[Date]],Database!$A:$C,MATCH($C$1,Database!$A$1:$C$1,),))</f>
        <v/>
      </c>
      <c r="D157">
        <f>IFERROR(Table7[[#This Row],[United States 10y]]-Table7[[#This Row],[United States 3y]],#N/A)</f>
        <v/>
      </c>
    </row>
    <row r="158">
      <c r="A158" s="6">
        <f>Database!$A2243</f>
        <v/>
      </c>
      <c r="B158">
        <f>IF(VLOOKUP(Table7[[#This Row],[Date]],Database!$A:$C,MATCH($B$1,Database!$A$1:$C$1,),)=0,#N/A,VLOOKUP(Table7[[#This Row],[Date]],Database!$A:$C,MATCH($B$1,Database!$A$1:$C$1,),))</f>
        <v/>
      </c>
      <c r="C158">
        <f>IF(VLOOKUP(Table7[[#This Row],[Date]],Database!$A:$C,MATCH($C$1,Database!$A$1:$C$1,),)=0,#N/A,VLOOKUP(Table7[[#This Row],[Date]],Database!$A:$C,MATCH($C$1,Database!$A$1:$C$1,),))</f>
        <v/>
      </c>
      <c r="D158">
        <f>IFERROR(Table7[[#This Row],[United States 10y]]-Table7[[#This Row],[United States 3y]],#N/A)</f>
        <v/>
      </c>
    </row>
    <row r="159">
      <c r="A159" s="6">
        <f>Database!$A2244</f>
        <v/>
      </c>
      <c r="B159">
        <f>IF(VLOOKUP(Table7[[#This Row],[Date]],Database!$A:$C,MATCH($B$1,Database!$A$1:$C$1,),)=0,#N/A,VLOOKUP(Table7[[#This Row],[Date]],Database!$A:$C,MATCH($B$1,Database!$A$1:$C$1,),))</f>
        <v/>
      </c>
      <c r="C159">
        <f>IF(VLOOKUP(Table7[[#This Row],[Date]],Database!$A:$C,MATCH($C$1,Database!$A$1:$C$1,),)=0,#N/A,VLOOKUP(Table7[[#This Row],[Date]],Database!$A:$C,MATCH($C$1,Database!$A$1:$C$1,),))</f>
        <v/>
      </c>
      <c r="D159">
        <f>IFERROR(Table7[[#This Row],[United States 10y]]-Table7[[#This Row],[United States 3y]],#N/A)</f>
        <v/>
      </c>
    </row>
    <row r="160">
      <c r="A160" s="6">
        <f>Database!$A2245</f>
        <v/>
      </c>
      <c r="B160">
        <f>IF(VLOOKUP(Table7[[#This Row],[Date]],Database!$A:$C,MATCH($B$1,Database!$A$1:$C$1,),)=0,#N/A,VLOOKUP(Table7[[#This Row],[Date]],Database!$A:$C,MATCH($B$1,Database!$A$1:$C$1,),))</f>
        <v/>
      </c>
      <c r="C160">
        <f>IF(VLOOKUP(Table7[[#This Row],[Date]],Database!$A:$C,MATCH($C$1,Database!$A$1:$C$1,),)=0,#N/A,VLOOKUP(Table7[[#This Row],[Date]],Database!$A:$C,MATCH($C$1,Database!$A$1:$C$1,),))</f>
        <v/>
      </c>
      <c r="D160">
        <f>IFERROR(Table7[[#This Row],[United States 10y]]-Table7[[#This Row],[United States 3y]],#N/A)</f>
        <v/>
      </c>
    </row>
    <row r="161">
      <c r="A161" s="6">
        <f>Database!$A2246</f>
        <v/>
      </c>
      <c r="B161">
        <f>IF(VLOOKUP(Table7[[#This Row],[Date]],Database!$A:$C,MATCH($B$1,Database!$A$1:$C$1,),)=0,#N/A,VLOOKUP(Table7[[#This Row],[Date]],Database!$A:$C,MATCH($B$1,Database!$A$1:$C$1,),))</f>
        <v/>
      </c>
      <c r="C161">
        <f>IF(VLOOKUP(Table7[[#This Row],[Date]],Database!$A:$C,MATCH($C$1,Database!$A$1:$C$1,),)=0,#N/A,VLOOKUP(Table7[[#This Row],[Date]],Database!$A:$C,MATCH($C$1,Database!$A$1:$C$1,),))</f>
        <v/>
      </c>
      <c r="D161">
        <f>IFERROR(Table7[[#This Row],[United States 10y]]-Table7[[#This Row],[United States 3y]],#N/A)</f>
        <v/>
      </c>
    </row>
    <row r="162">
      <c r="A162" s="6">
        <f>Database!$A2247</f>
        <v/>
      </c>
      <c r="B162">
        <f>IF(VLOOKUP(Table7[[#This Row],[Date]],Database!$A:$C,MATCH($B$1,Database!$A$1:$C$1,),)=0,#N/A,VLOOKUP(Table7[[#This Row],[Date]],Database!$A:$C,MATCH($B$1,Database!$A$1:$C$1,),))</f>
        <v/>
      </c>
      <c r="C162">
        <f>IF(VLOOKUP(Table7[[#This Row],[Date]],Database!$A:$C,MATCH($C$1,Database!$A$1:$C$1,),)=0,#N/A,VLOOKUP(Table7[[#This Row],[Date]],Database!$A:$C,MATCH($C$1,Database!$A$1:$C$1,),))</f>
        <v/>
      </c>
      <c r="D162">
        <f>IFERROR(Table7[[#This Row],[United States 10y]]-Table7[[#This Row],[United States 3y]],#N/A)</f>
        <v/>
      </c>
    </row>
    <row r="163">
      <c r="A163" s="6">
        <f>Database!$A2248</f>
        <v/>
      </c>
      <c r="B163">
        <f>IF(VLOOKUP(Table7[[#This Row],[Date]],Database!$A:$C,MATCH($B$1,Database!$A$1:$C$1,),)=0,#N/A,VLOOKUP(Table7[[#This Row],[Date]],Database!$A:$C,MATCH($B$1,Database!$A$1:$C$1,),))</f>
        <v/>
      </c>
      <c r="C163">
        <f>IF(VLOOKUP(Table7[[#This Row],[Date]],Database!$A:$C,MATCH($C$1,Database!$A$1:$C$1,),)=0,#N/A,VLOOKUP(Table7[[#This Row],[Date]],Database!$A:$C,MATCH($C$1,Database!$A$1:$C$1,),))</f>
        <v/>
      </c>
      <c r="D163">
        <f>IFERROR(Table7[[#This Row],[United States 10y]]-Table7[[#This Row],[United States 3y]],#N/A)</f>
        <v/>
      </c>
    </row>
    <row r="164">
      <c r="A164" s="6">
        <f>Database!$A2249</f>
        <v/>
      </c>
      <c r="B164">
        <f>IF(VLOOKUP(Table7[[#This Row],[Date]],Database!$A:$C,MATCH($B$1,Database!$A$1:$C$1,),)=0,#N/A,VLOOKUP(Table7[[#This Row],[Date]],Database!$A:$C,MATCH($B$1,Database!$A$1:$C$1,),))</f>
        <v/>
      </c>
      <c r="C164">
        <f>IF(VLOOKUP(Table7[[#This Row],[Date]],Database!$A:$C,MATCH($C$1,Database!$A$1:$C$1,),)=0,#N/A,VLOOKUP(Table7[[#This Row],[Date]],Database!$A:$C,MATCH($C$1,Database!$A$1:$C$1,),))</f>
        <v/>
      </c>
      <c r="D164">
        <f>IFERROR(Table7[[#This Row],[United States 10y]]-Table7[[#This Row],[United States 3y]],#N/A)</f>
        <v/>
      </c>
    </row>
    <row r="165">
      <c r="A165" s="6">
        <f>Database!$A2250</f>
        <v/>
      </c>
      <c r="B165">
        <f>IF(VLOOKUP(Table7[[#This Row],[Date]],Database!$A:$C,MATCH($B$1,Database!$A$1:$C$1,),)=0,#N/A,VLOOKUP(Table7[[#This Row],[Date]],Database!$A:$C,MATCH($B$1,Database!$A$1:$C$1,),))</f>
        <v/>
      </c>
      <c r="C165">
        <f>IF(VLOOKUP(Table7[[#This Row],[Date]],Database!$A:$C,MATCH($C$1,Database!$A$1:$C$1,),)=0,#N/A,VLOOKUP(Table7[[#This Row],[Date]],Database!$A:$C,MATCH($C$1,Database!$A$1:$C$1,),))</f>
        <v/>
      </c>
      <c r="D165">
        <f>IFERROR(Table7[[#This Row],[United States 10y]]-Table7[[#This Row],[United States 3y]],#N/A)</f>
        <v/>
      </c>
    </row>
    <row r="166">
      <c r="A166" s="6">
        <f>Database!$A2251</f>
        <v/>
      </c>
      <c r="B166">
        <f>IF(VLOOKUP(Table7[[#This Row],[Date]],Database!$A:$C,MATCH($B$1,Database!$A$1:$C$1,),)=0,#N/A,VLOOKUP(Table7[[#This Row],[Date]],Database!$A:$C,MATCH($B$1,Database!$A$1:$C$1,),))</f>
        <v/>
      </c>
      <c r="C166">
        <f>IF(VLOOKUP(Table7[[#This Row],[Date]],Database!$A:$C,MATCH($C$1,Database!$A$1:$C$1,),)=0,#N/A,VLOOKUP(Table7[[#This Row],[Date]],Database!$A:$C,MATCH($C$1,Database!$A$1:$C$1,),))</f>
        <v/>
      </c>
      <c r="D166">
        <f>IFERROR(Table7[[#This Row],[United States 10y]]-Table7[[#This Row],[United States 3y]],#N/A)</f>
        <v/>
      </c>
    </row>
    <row r="167">
      <c r="A167" s="6">
        <f>Database!$A2252</f>
        <v/>
      </c>
      <c r="B167">
        <f>IF(VLOOKUP(Table7[[#This Row],[Date]],Database!$A:$C,MATCH($B$1,Database!$A$1:$C$1,),)=0,#N/A,VLOOKUP(Table7[[#This Row],[Date]],Database!$A:$C,MATCH($B$1,Database!$A$1:$C$1,),))</f>
        <v/>
      </c>
      <c r="C167">
        <f>IF(VLOOKUP(Table7[[#This Row],[Date]],Database!$A:$C,MATCH($C$1,Database!$A$1:$C$1,),)=0,#N/A,VLOOKUP(Table7[[#This Row],[Date]],Database!$A:$C,MATCH($C$1,Database!$A$1:$C$1,),))</f>
        <v/>
      </c>
      <c r="D167">
        <f>IFERROR(Table7[[#This Row],[United States 10y]]-Table7[[#This Row],[United States 3y]],#N/A)</f>
        <v/>
      </c>
    </row>
    <row r="168">
      <c r="A168" s="6">
        <f>Database!$A2253</f>
        <v/>
      </c>
      <c r="B168">
        <f>IF(VLOOKUP(Table7[[#This Row],[Date]],Database!$A:$C,MATCH($B$1,Database!$A$1:$C$1,),)=0,#N/A,VLOOKUP(Table7[[#This Row],[Date]],Database!$A:$C,MATCH($B$1,Database!$A$1:$C$1,),))</f>
        <v/>
      </c>
      <c r="C168">
        <f>IF(VLOOKUP(Table7[[#This Row],[Date]],Database!$A:$C,MATCH($C$1,Database!$A$1:$C$1,),)=0,#N/A,VLOOKUP(Table7[[#This Row],[Date]],Database!$A:$C,MATCH($C$1,Database!$A$1:$C$1,),))</f>
        <v/>
      </c>
      <c r="D168">
        <f>IFERROR(Table7[[#This Row],[United States 10y]]-Table7[[#This Row],[United States 3y]],#N/A)</f>
        <v/>
      </c>
    </row>
    <row r="169">
      <c r="A169" s="6">
        <f>Database!$A2254</f>
        <v/>
      </c>
      <c r="B169">
        <f>IF(VLOOKUP(Table7[[#This Row],[Date]],Database!$A:$C,MATCH($B$1,Database!$A$1:$C$1,),)=0,#N/A,VLOOKUP(Table7[[#This Row],[Date]],Database!$A:$C,MATCH($B$1,Database!$A$1:$C$1,),))</f>
        <v/>
      </c>
      <c r="C169">
        <f>IF(VLOOKUP(Table7[[#This Row],[Date]],Database!$A:$C,MATCH($C$1,Database!$A$1:$C$1,),)=0,#N/A,VLOOKUP(Table7[[#This Row],[Date]],Database!$A:$C,MATCH($C$1,Database!$A$1:$C$1,),))</f>
        <v/>
      </c>
      <c r="D169">
        <f>IFERROR(Table7[[#This Row],[United States 10y]]-Table7[[#This Row],[United States 3y]],#N/A)</f>
        <v/>
      </c>
    </row>
    <row r="170">
      <c r="A170" s="6">
        <f>Database!$A2255</f>
        <v/>
      </c>
      <c r="B170">
        <f>IF(VLOOKUP(Table7[[#This Row],[Date]],Database!$A:$C,MATCH($B$1,Database!$A$1:$C$1,),)=0,#N/A,VLOOKUP(Table7[[#This Row],[Date]],Database!$A:$C,MATCH($B$1,Database!$A$1:$C$1,),))</f>
        <v/>
      </c>
      <c r="C170">
        <f>IF(VLOOKUP(Table7[[#This Row],[Date]],Database!$A:$C,MATCH($C$1,Database!$A$1:$C$1,),)=0,#N/A,VLOOKUP(Table7[[#This Row],[Date]],Database!$A:$C,MATCH($C$1,Database!$A$1:$C$1,),))</f>
        <v/>
      </c>
      <c r="D170">
        <f>IFERROR(Table7[[#This Row],[United States 10y]]-Table7[[#This Row],[United States 3y]],#N/A)</f>
        <v/>
      </c>
    </row>
    <row r="171">
      <c r="A171" s="6">
        <f>Database!$A2256</f>
        <v/>
      </c>
      <c r="B171">
        <f>IF(VLOOKUP(Table7[[#This Row],[Date]],Database!$A:$C,MATCH($B$1,Database!$A$1:$C$1,),)=0,#N/A,VLOOKUP(Table7[[#This Row],[Date]],Database!$A:$C,MATCH($B$1,Database!$A$1:$C$1,),))</f>
        <v/>
      </c>
      <c r="C171">
        <f>IF(VLOOKUP(Table7[[#This Row],[Date]],Database!$A:$C,MATCH($C$1,Database!$A$1:$C$1,),)=0,#N/A,VLOOKUP(Table7[[#This Row],[Date]],Database!$A:$C,MATCH($C$1,Database!$A$1:$C$1,),))</f>
        <v/>
      </c>
      <c r="D171">
        <f>IFERROR(Table7[[#This Row],[United States 10y]]-Table7[[#This Row],[United States 3y]],#N/A)</f>
        <v/>
      </c>
    </row>
    <row r="172">
      <c r="A172" s="6">
        <f>Database!$A2257</f>
        <v/>
      </c>
      <c r="B172">
        <f>IF(VLOOKUP(Table7[[#This Row],[Date]],Database!$A:$C,MATCH($B$1,Database!$A$1:$C$1,),)=0,#N/A,VLOOKUP(Table7[[#This Row],[Date]],Database!$A:$C,MATCH($B$1,Database!$A$1:$C$1,),))</f>
        <v/>
      </c>
      <c r="C172">
        <f>IF(VLOOKUP(Table7[[#This Row],[Date]],Database!$A:$C,MATCH($C$1,Database!$A$1:$C$1,),)=0,#N/A,VLOOKUP(Table7[[#This Row],[Date]],Database!$A:$C,MATCH($C$1,Database!$A$1:$C$1,),))</f>
        <v/>
      </c>
      <c r="D172">
        <f>IFERROR(Table7[[#This Row],[United States 10y]]-Table7[[#This Row],[United States 3y]],#N/A)</f>
        <v/>
      </c>
    </row>
    <row r="173">
      <c r="A173" s="6">
        <f>Database!$A2258</f>
        <v/>
      </c>
      <c r="B173">
        <f>IF(VLOOKUP(Table7[[#This Row],[Date]],Database!$A:$C,MATCH($B$1,Database!$A$1:$C$1,),)=0,#N/A,VLOOKUP(Table7[[#This Row],[Date]],Database!$A:$C,MATCH($B$1,Database!$A$1:$C$1,),))</f>
        <v/>
      </c>
      <c r="C173">
        <f>IF(VLOOKUP(Table7[[#This Row],[Date]],Database!$A:$C,MATCH($C$1,Database!$A$1:$C$1,),)=0,#N/A,VLOOKUP(Table7[[#This Row],[Date]],Database!$A:$C,MATCH($C$1,Database!$A$1:$C$1,),))</f>
        <v/>
      </c>
      <c r="D173">
        <f>IFERROR(Table7[[#This Row],[United States 10y]]-Table7[[#This Row],[United States 3y]],#N/A)</f>
        <v/>
      </c>
    </row>
    <row r="174">
      <c r="A174" s="6">
        <f>Database!$A2259</f>
        <v/>
      </c>
      <c r="B174">
        <f>IF(VLOOKUP(Table7[[#This Row],[Date]],Database!$A:$C,MATCH($B$1,Database!$A$1:$C$1,),)=0,#N/A,VLOOKUP(Table7[[#This Row],[Date]],Database!$A:$C,MATCH($B$1,Database!$A$1:$C$1,),))</f>
        <v/>
      </c>
      <c r="C174">
        <f>IF(VLOOKUP(Table7[[#This Row],[Date]],Database!$A:$C,MATCH($C$1,Database!$A$1:$C$1,),)=0,#N/A,VLOOKUP(Table7[[#This Row],[Date]],Database!$A:$C,MATCH($C$1,Database!$A$1:$C$1,),))</f>
        <v/>
      </c>
      <c r="D174">
        <f>IFERROR(Table7[[#This Row],[United States 10y]]-Table7[[#This Row],[United States 3y]],#N/A)</f>
        <v/>
      </c>
    </row>
    <row r="175">
      <c r="A175" s="6">
        <f>Database!$A2260</f>
        <v/>
      </c>
      <c r="B175">
        <f>IF(VLOOKUP(Table7[[#This Row],[Date]],Database!$A:$C,MATCH($B$1,Database!$A$1:$C$1,),)=0,#N/A,VLOOKUP(Table7[[#This Row],[Date]],Database!$A:$C,MATCH($B$1,Database!$A$1:$C$1,),))</f>
        <v/>
      </c>
      <c r="C175">
        <f>IF(VLOOKUP(Table7[[#This Row],[Date]],Database!$A:$C,MATCH($C$1,Database!$A$1:$C$1,),)=0,#N/A,VLOOKUP(Table7[[#This Row],[Date]],Database!$A:$C,MATCH($C$1,Database!$A$1:$C$1,),))</f>
        <v/>
      </c>
      <c r="D175">
        <f>IFERROR(Table7[[#This Row],[United States 10y]]-Table7[[#This Row],[United States 3y]],#N/A)</f>
        <v/>
      </c>
    </row>
    <row r="176">
      <c r="A176" s="6">
        <f>Database!$A2261</f>
        <v/>
      </c>
      <c r="B176">
        <f>IF(VLOOKUP(Table7[[#This Row],[Date]],Database!$A:$C,MATCH($B$1,Database!$A$1:$C$1,),)=0,#N/A,VLOOKUP(Table7[[#This Row],[Date]],Database!$A:$C,MATCH($B$1,Database!$A$1:$C$1,),))</f>
        <v/>
      </c>
      <c r="C176">
        <f>IF(VLOOKUP(Table7[[#This Row],[Date]],Database!$A:$C,MATCH($C$1,Database!$A$1:$C$1,),)=0,#N/A,VLOOKUP(Table7[[#This Row],[Date]],Database!$A:$C,MATCH($C$1,Database!$A$1:$C$1,),))</f>
        <v/>
      </c>
      <c r="D176">
        <f>IFERROR(Table7[[#This Row],[United States 10y]]-Table7[[#This Row],[United States 3y]],#N/A)</f>
        <v/>
      </c>
    </row>
    <row r="177">
      <c r="A177" s="6">
        <f>Database!$A2262</f>
        <v/>
      </c>
      <c r="B177">
        <f>IF(VLOOKUP(Table7[[#This Row],[Date]],Database!$A:$C,MATCH($B$1,Database!$A$1:$C$1,),)=0,#N/A,VLOOKUP(Table7[[#This Row],[Date]],Database!$A:$C,MATCH($B$1,Database!$A$1:$C$1,),))</f>
        <v/>
      </c>
      <c r="C177">
        <f>IF(VLOOKUP(Table7[[#This Row],[Date]],Database!$A:$C,MATCH($C$1,Database!$A$1:$C$1,),)=0,#N/A,VLOOKUP(Table7[[#This Row],[Date]],Database!$A:$C,MATCH($C$1,Database!$A$1:$C$1,),))</f>
        <v/>
      </c>
      <c r="D177">
        <f>IFERROR(Table7[[#This Row],[United States 10y]]-Table7[[#This Row],[United States 3y]],#N/A)</f>
        <v/>
      </c>
    </row>
    <row r="178">
      <c r="A178" s="6">
        <f>Database!$A2263</f>
        <v/>
      </c>
      <c r="B178">
        <f>IF(VLOOKUP(Table7[[#This Row],[Date]],Database!$A:$C,MATCH($B$1,Database!$A$1:$C$1,),)=0,#N/A,VLOOKUP(Table7[[#This Row],[Date]],Database!$A:$C,MATCH($B$1,Database!$A$1:$C$1,),))</f>
        <v/>
      </c>
      <c r="C178">
        <f>IF(VLOOKUP(Table7[[#This Row],[Date]],Database!$A:$C,MATCH($C$1,Database!$A$1:$C$1,),)=0,#N/A,VLOOKUP(Table7[[#This Row],[Date]],Database!$A:$C,MATCH($C$1,Database!$A$1:$C$1,),))</f>
        <v/>
      </c>
      <c r="D178">
        <f>IFERROR(Table7[[#This Row],[United States 10y]]-Table7[[#This Row],[United States 3y]],#N/A)</f>
        <v/>
      </c>
    </row>
    <row r="179">
      <c r="A179" s="6">
        <f>Database!$A2264</f>
        <v/>
      </c>
      <c r="B179">
        <f>IF(VLOOKUP(Table7[[#This Row],[Date]],Database!$A:$C,MATCH($B$1,Database!$A$1:$C$1,),)=0,#N/A,VLOOKUP(Table7[[#This Row],[Date]],Database!$A:$C,MATCH($B$1,Database!$A$1:$C$1,),))</f>
        <v/>
      </c>
      <c r="C179">
        <f>IF(VLOOKUP(Table7[[#This Row],[Date]],Database!$A:$C,MATCH($C$1,Database!$A$1:$C$1,),)=0,#N/A,VLOOKUP(Table7[[#This Row],[Date]],Database!$A:$C,MATCH($C$1,Database!$A$1:$C$1,),))</f>
        <v/>
      </c>
      <c r="D179">
        <f>IFERROR(Table7[[#This Row],[United States 10y]]-Table7[[#This Row],[United States 3y]],#N/A)</f>
        <v/>
      </c>
    </row>
    <row r="180">
      <c r="A180" s="6">
        <f>Database!$A2265</f>
        <v/>
      </c>
      <c r="B180">
        <f>IF(VLOOKUP(Table7[[#This Row],[Date]],Database!$A:$C,MATCH($B$1,Database!$A$1:$C$1,),)=0,#N/A,VLOOKUP(Table7[[#This Row],[Date]],Database!$A:$C,MATCH($B$1,Database!$A$1:$C$1,),))</f>
        <v/>
      </c>
      <c r="C180">
        <f>IF(VLOOKUP(Table7[[#This Row],[Date]],Database!$A:$C,MATCH($C$1,Database!$A$1:$C$1,),)=0,#N/A,VLOOKUP(Table7[[#This Row],[Date]],Database!$A:$C,MATCH($C$1,Database!$A$1:$C$1,),))</f>
        <v/>
      </c>
      <c r="D180">
        <f>IFERROR(Table7[[#This Row],[United States 10y]]-Table7[[#This Row],[United States 3y]],#N/A)</f>
        <v/>
      </c>
    </row>
    <row r="181">
      <c r="A181" s="6">
        <f>Database!$A2266</f>
        <v/>
      </c>
      <c r="B181">
        <f>IF(VLOOKUP(Table7[[#This Row],[Date]],Database!$A:$C,MATCH($B$1,Database!$A$1:$C$1,),)=0,#N/A,VLOOKUP(Table7[[#This Row],[Date]],Database!$A:$C,MATCH($B$1,Database!$A$1:$C$1,),))</f>
        <v/>
      </c>
      <c r="C181">
        <f>IF(VLOOKUP(Table7[[#This Row],[Date]],Database!$A:$C,MATCH($C$1,Database!$A$1:$C$1,),)=0,#N/A,VLOOKUP(Table7[[#This Row],[Date]],Database!$A:$C,MATCH($C$1,Database!$A$1:$C$1,),))</f>
        <v/>
      </c>
      <c r="D181">
        <f>IFERROR(Table7[[#This Row],[United States 10y]]-Table7[[#This Row],[United States 3y]],#N/A)</f>
        <v/>
      </c>
    </row>
    <row r="182">
      <c r="A182" s="6">
        <f>Database!$A2267</f>
        <v/>
      </c>
      <c r="B182">
        <f>IF(VLOOKUP(Table7[[#This Row],[Date]],Database!$A:$C,MATCH($B$1,Database!$A$1:$C$1,),)=0,#N/A,VLOOKUP(Table7[[#This Row],[Date]],Database!$A:$C,MATCH($B$1,Database!$A$1:$C$1,),))</f>
        <v/>
      </c>
      <c r="C182">
        <f>IF(VLOOKUP(Table7[[#This Row],[Date]],Database!$A:$C,MATCH($C$1,Database!$A$1:$C$1,),)=0,#N/A,VLOOKUP(Table7[[#This Row],[Date]],Database!$A:$C,MATCH($C$1,Database!$A$1:$C$1,),))</f>
        <v/>
      </c>
      <c r="D182">
        <f>IFERROR(Table7[[#This Row],[United States 10y]]-Table7[[#This Row],[United States 3y]],#N/A)</f>
        <v/>
      </c>
    </row>
    <row r="183">
      <c r="A183" s="6">
        <f>Database!$A2268</f>
        <v/>
      </c>
      <c r="B183">
        <f>IF(VLOOKUP(Table7[[#This Row],[Date]],Database!$A:$C,MATCH($B$1,Database!$A$1:$C$1,),)=0,#N/A,VLOOKUP(Table7[[#This Row],[Date]],Database!$A:$C,MATCH($B$1,Database!$A$1:$C$1,),))</f>
        <v/>
      </c>
      <c r="C183">
        <f>IF(VLOOKUP(Table7[[#This Row],[Date]],Database!$A:$C,MATCH($C$1,Database!$A$1:$C$1,),)=0,#N/A,VLOOKUP(Table7[[#This Row],[Date]],Database!$A:$C,MATCH($C$1,Database!$A$1:$C$1,),))</f>
        <v/>
      </c>
      <c r="D183">
        <f>IFERROR(Table7[[#This Row],[United States 10y]]-Table7[[#This Row],[United States 3y]],#N/A)</f>
        <v/>
      </c>
    </row>
    <row r="184">
      <c r="A184" s="6">
        <f>Database!$A2269</f>
        <v/>
      </c>
      <c r="B184">
        <f>IF(VLOOKUP(Table7[[#This Row],[Date]],Database!$A:$C,MATCH($B$1,Database!$A$1:$C$1,),)=0,#N/A,VLOOKUP(Table7[[#This Row],[Date]],Database!$A:$C,MATCH($B$1,Database!$A$1:$C$1,),))</f>
        <v/>
      </c>
      <c r="C184">
        <f>IF(VLOOKUP(Table7[[#This Row],[Date]],Database!$A:$C,MATCH($C$1,Database!$A$1:$C$1,),)=0,#N/A,VLOOKUP(Table7[[#This Row],[Date]],Database!$A:$C,MATCH($C$1,Database!$A$1:$C$1,),))</f>
        <v/>
      </c>
      <c r="D184">
        <f>IFERROR(Table7[[#This Row],[United States 10y]]-Table7[[#This Row],[United States 3y]],#N/A)</f>
        <v/>
      </c>
    </row>
    <row r="185">
      <c r="A185" s="6">
        <f>Database!$A2270</f>
        <v/>
      </c>
      <c r="B185">
        <f>IF(VLOOKUP(Table7[[#This Row],[Date]],Database!$A:$C,MATCH($B$1,Database!$A$1:$C$1,),)=0,#N/A,VLOOKUP(Table7[[#This Row],[Date]],Database!$A:$C,MATCH($B$1,Database!$A$1:$C$1,),))</f>
        <v/>
      </c>
      <c r="C185">
        <f>IF(VLOOKUP(Table7[[#This Row],[Date]],Database!$A:$C,MATCH($C$1,Database!$A$1:$C$1,),)=0,#N/A,VLOOKUP(Table7[[#This Row],[Date]],Database!$A:$C,MATCH($C$1,Database!$A$1:$C$1,),))</f>
        <v/>
      </c>
      <c r="D185">
        <f>IFERROR(Table7[[#This Row],[United States 10y]]-Table7[[#This Row],[United States 3y]],#N/A)</f>
        <v/>
      </c>
    </row>
    <row r="186">
      <c r="A186" s="6">
        <f>Database!$A2271</f>
        <v/>
      </c>
      <c r="B186">
        <f>IF(VLOOKUP(Table7[[#This Row],[Date]],Database!$A:$C,MATCH($B$1,Database!$A$1:$C$1,),)=0,#N/A,VLOOKUP(Table7[[#This Row],[Date]],Database!$A:$C,MATCH($B$1,Database!$A$1:$C$1,),))</f>
        <v/>
      </c>
      <c r="C186">
        <f>IF(VLOOKUP(Table7[[#This Row],[Date]],Database!$A:$C,MATCH($C$1,Database!$A$1:$C$1,),)=0,#N/A,VLOOKUP(Table7[[#This Row],[Date]],Database!$A:$C,MATCH($C$1,Database!$A$1:$C$1,),))</f>
        <v/>
      </c>
      <c r="D186">
        <f>IFERROR(Table7[[#This Row],[United States 10y]]-Table7[[#This Row],[United States 3y]],#N/A)</f>
        <v/>
      </c>
    </row>
    <row r="187">
      <c r="A187" s="6">
        <f>Database!$A2272</f>
        <v/>
      </c>
      <c r="B187">
        <f>IF(VLOOKUP(Table7[[#This Row],[Date]],Database!$A:$C,MATCH($B$1,Database!$A$1:$C$1,),)=0,#N/A,VLOOKUP(Table7[[#This Row],[Date]],Database!$A:$C,MATCH($B$1,Database!$A$1:$C$1,),))</f>
        <v/>
      </c>
      <c r="C187">
        <f>IF(VLOOKUP(Table7[[#This Row],[Date]],Database!$A:$C,MATCH($C$1,Database!$A$1:$C$1,),)=0,#N/A,VLOOKUP(Table7[[#This Row],[Date]],Database!$A:$C,MATCH($C$1,Database!$A$1:$C$1,),))</f>
        <v/>
      </c>
      <c r="D187">
        <f>IFERROR(Table7[[#This Row],[United States 10y]]-Table7[[#This Row],[United States 3y]],#N/A)</f>
        <v/>
      </c>
    </row>
    <row r="188">
      <c r="A188" s="6">
        <f>Database!$A2273</f>
        <v/>
      </c>
      <c r="B188">
        <f>IF(VLOOKUP(Table7[[#This Row],[Date]],Database!$A:$C,MATCH($B$1,Database!$A$1:$C$1,),)=0,#N/A,VLOOKUP(Table7[[#This Row],[Date]],Database!$A:$C,MATCH($B$1,Database!$A$1:$C$1,),))</f>
        <v/>
      </c>
      <c r="C188">
        <f>IF(VLOOKUP(Table7[[#This Row],[Date]],Database!$A:$C,MATCH($C$1,Database!$A$1:$C$1,),)=0,#N/A,VLOOKUP(Table7[[#This Row],[Date]],Database!$A:$C,MATCH($C$1,Database!$A$1:$C$1,),))</f>
        <v/>
      </c>
      <c r="D188">
        <f>IFERROR(Table7[[#This Row],[United States 10y]]-Table7[[#This Row],[United States 3y]],#N/A)</f>
        <v/>
      </c>
    </row>
    <row r="189">
      <c r="A189" s="6">
        <f>Database!$A2274</f>
        <v/>
      </c>
      <c r="B189">
        <f>IF(VLOOKUP(Table7[[#This Row],[Date]],Database!$A:$C,MATCH($B$1,Database!$A$1:$C$1,),)=0,#N/A,VLOOKUP(Table7[[#This Row],[Date]],Database!$A:$C,MATCH($B$1,Database!$A$1:$C$1,),))</f>
        <v/>
      </c>
      <c r="C189">
        <f>IF(VLOOKUP(Table7[[#This Row],[Date]],Database!$A:$C,MATCH($C$1,Database!$A$1:$C$1,),)=0,#N/A,VLOOKUP(Table7[[#This Row],[Date]],Database!$A:$C,MATCH($C$1,Database!$A$1:$C$1,),))</f>
        <v/>
      </c>
      <c r="D189">
        <f>IFERROR(Table7[[#This Row],[United States 10y]]-Table7[[#This Row],[United States 3y]],#N/A)</f>
        <v/>
      </c>
    </row>
    <row r="190">
      <c r="A190" s="6">
        <f>Database!$A2275</f>
        <v/>
      </c>
      <c r="B190">
        <f>IF(VLOOKUP(Table7[[#This Row],[Date]],Database!$A:$C,MATCH($B$1,Database!$A$1:$C$1,),)=0,#N/A,VLOOKUP(Table7[[#This Row],[Date]],Database!$A:$C,MATCH($B$1,Database!$A$1:$C$1,),))</f>
        <v/>
      </c>
      <c r="C190">
        <f>IF(VLOOKUP(Table7[[#This Row],[Date]],Database!$A:$C,MATCH($C$1,Database!$A$1:$C$1,),)=0,#N/A,VLOOKUP(Table7[[#This Row],[Date]],Database!$A:$C,MATCH($C$1,Database!$A$1:$C$1,),))</f>
        <v/>
      </c>
      <c r="D190">
        <f>IFERROR(Table7[[#This Row],[United States 10y]]-Table7[[#This Row],[United States 3y]],#N/A)</f>
        <v/>
      </c>
    </row>
    <row r="191">
      <c r="A191" s="6">
        <f>Database!$A2276</f>
        <v/>
      </c>
      <c r="B191">
        <f>IF(VLOOKUP(Table7[[#This Row],[Date]],Database!$A:$C,MATCH($B$1,Database!$A$1:$C$1,),)=0,#N/A,VLOOKUP(Table7[[#This Row],[Date]],Database!$A:$C,MATCH($B$1,Database!$A$1:$C$1,),))</f>
        <v/>
      </c>
      <c r="C191">
        <f>IF(VLOOKUP(Table7[[#This Row],[Date]],Database!$A:$C,MATCH($C$1,Database!$A$1:$C$1,),)=0,#N/A,VLOOKUP(Table7[[#This Row],[Date]],Database!$A:$C,MATCH($C$1,Database!$A$1:$C$1,),))</f>
        <v/>
      </c>
      <c r="D191">
        <f>IFERROR(Table7[[#This Row],[United States 10y]]-Table7[[#This Row],[United States 3y]],#N/A)</f>
        <v/>
      </c>
    </row>
    <row r="192">
      <c r="A192" s="6">
        <f>Database!$A2277</f>
        <v/>
      </c>
      <c r="B192">
        <f>IF(VLOOKUP(Table7[[#This Row],[Date]],Database!$A:$C,MATCH($B$1,Database!$A$1:$C$1,),)=0,#N/A,VLOOKUP(Table7[[#This Row],[Date]],Database!$A:$C,MATCH($B$1,Database!$A$1:$C$1,),))</f>
        <v/>
      </c>
      <c r="C192">
        <f>IF(VLOOKUP(Table7[[#This Row],[Date]],Database!$A:$C,MATCH($C$1,Database!$A$1:$C$1,),)=0,#N/A,VLOOKUP(Table7[[#This Row],[Date]],Database!$A:$C,MATCH($C$1,Database!$A$1:$C$1,),))</f>
        <v/>
      </c>
      <c r="D192">
        <f>IFERROR(Table7[[#This Row],[United States 10y]]-Table7[[#This Row],[United States 3y]],#N/A)</f>
        <v/>
      </c>
    </row>
    <row r="193">
      <c r="A193" s="6">
        <f>Database!$A2278</f>
        <v/>
      </c>
      <c r="B193">
        <f>IF(VLOOKUP(Table7[[#This Row],[Date]],Database!$A:$C,MATCH($B$1,Database!$A$1:$C$1,),)=0,#N/A,VLOOKUP(Table7[[#This Row],[Date]],Database!$A:$C,MATCH($B$1,Database!$A$1:$C$1,),))</f>
        <v/>
      </c>
      <c r="C193">
        <f>IF(VLOOKUP(Table7[[#This Row],[Date]],Database!$A:$C,MATCH($C$1,Database!$A$1:$C$1,),)=0,#N/A,VLOOKUP(Table7[[#This Row],[Date]],Database!$A:$C,MATCH($C$1,Database!$A$1:$C$1,),))</f>
        <v/>
      </c>
      <c r="D193">
        <f>IFERROR(Table7[[#This Row],[United States 10y]]-Table7[[#This Row],[United States 3y]],#N/A)</f>
        <v/>
      </c>
    </row>
    <row r="194">
      <c r="A194" s="6">
        <f>Database!$A2279</f>
        <v/>
      </c>
      <c r="B194">
        <f>IF(VLOOKUP(Table7[[#This Row],[Date]],Database!$A:$C,MATCH($B$1,Database!$A$1:$C$1,),)=0,#N/A,VLOOKUP(Table7[[#This Row],[Date]],Database!$A:$C,MATCH($B$1,Database!$A$1:$C$1,),))</f>
        <v/>
      </c>
      <c r="C194">
        <f>IF(VLOOKUP(Table7[[#This Row],[Date]],Database!$A:$C,MATCH($C$1,Database!$A$1:$C$1,),)=0,#N/A,VLOOKUP(Table7[[#This Row],[Date]],Database!$A:$C,MATCH($C$1,Database!$A$1:$C$1,),))</f>
        <v/>
      </c>
      <c r="D194">
        <f>IFERROR(Table7[[#This Row],[United States 10y]]-Table7[[#This Row],[United States 3y]],#N/A)</f>
        <v/>
      </c>
    </row>
    <row r="195">
      <c r="A195" s="6">
        <f>Database!$A2280</f>
        <v/>
      </c>
      <c r="B195">
        <f>IF(VLOOKUP(Table7[[#This Row],[Date]],Database!$A:$C,MATCH($B$1,Database!$A$1:$C$1,),)=0,#N/A,VLOOKUP(Table7[[#This Row],[Date]],Database!$A:$C,MATCH($B$1,Database!$A$1:$C$1,),))</f>
        <v/>
      </c>
      <c r="C195">
        <f>IF(VLOOKUP(Table7[[#This Row],[Date]],Database!$A:$C,MATCH($C$1,Database!$A$1:$C$1,),)=0,#N/A,VLOOKUP(Table7[[#This Row],[Date]],Database!$A:$C,MATCH($C$1,Database!$A$1:$C$1,),))</f>
        <v/>
      </c>
      <c r="D195">
        <f>IFERROR(Table7[[#This Row],[United States 10y]]-Table7[[#This Row],[United States 3y]],#N/A)</f>
        <v/>
      </c>
    </row>
    <row r="196">
      <c r="A196" s="6">
        <f>Database!$A2281</f>
        <v/>
      </c>
      <c r="B196">
        <f>IF(VLOOKUP(Table7[[#This Row],[Date]],Database!$A:$C,MATCH($B$1,Database!$A$1:$C$1,),)=0,#N/A,VLOOKUP(Table7[[#This Row],[Date]],Database!$A:$C,MATCH($B$1,Database!$A$1:$C$1,),))</f>
        <v/>
      </c>
      <c r="C196">
        <f>IF(VLOOKUP(Table7[[#This Row],[Date]],Database!$A:$C,MATCH($C$1,Database!$A$1:$C$1,),)=0,#N/A,VLOOKUP(Table7[[#This Row],[Date]],Database!$A:$C,MATCH($C$1,Database!$A$1:$C$1,),))</f>
        <v/>
      </c>
      <c r="D196">
        <f>IFERROR(Table7[[#This Row],[United States 10y]]-Table7[[#This Row],[United States 3y]],#N/A)</f>
        <v/>
      </c>
    </row>
    <row r="197">
      <c r="A197" s="6">
        <f>Database!$A2282</f>
        <v/>
      </c>
      <c r="B197">
        <f>IF(VLOOKUP(Table7[[#This Row],[Date]],Database!$A:$C,MATCH($B$1,Database!$A$1:$C$1,),)=0,#N/A,VLOOKUP(Table7[[#This Row],[Date]],Database!$A:$C,MATCH($B$1,Database!$A$1:$C$1,),))</f>
        <v/>
      </c>
      <c r="C197">
        <f>IF(VLOOKUP(Table7[[#This Row],[Date]],Database!$A:$C,MATCH($C$1,Database!$A$1:$C$1,),)=0,#N/A,VLOOKUP(Table7[[#This Row],[Date]],Database!$A:$C,MATCH($C$1,Database!$A$1:$C$1,),))</f>
        <v/>
      </c>
      <c r="D197">
        <f>IFERROR(Table7[[#This Row],[United States 10y]]-Table7[[#This Row],[United States 3y]],#N/A)</f>
        <v/>
      </c>
    </row>
    <row r="198">
      <c r="A198" s="6">
        <f>Database!$A2283</f>
        <v/>
      </c>
      <c r="B198">
        <f>IF(VLOOKUP(Table7[[#This Row],[Date]],Database!$A:$C,MATCH($B$1,Database!$A$1:$C$1,),)=0,#N/A,VLOOKUP(Table7[[#This Row],[Date]],Database!$A:$C,MATCH($B$1,Database!$A$1:$C$1,),))</f>
        <v/>
      </c>
      <c r="C198">
        <f>IF(VLOOKUP(Table7[[#This Row],[Date]],Database!$A:$C,MATCH($C$1,Database!$A$1:$C$1,),)=0,#N/A,VLOOKUP(Table7[[#This Row],[Date]],Database!$A:$C,MATCH($C$1,Database!$A$1:$C$1,),))</f>
        <v/>
      </c>
      <c r="D198">
        <f>IFERROR(Table7[[#This Row],[United States 10y]]-Table7[[#This Row],[United States 3y]],#N/A)</f>
        <v/>
      </c>
    </row>
    <row r="199">
      <c r="A199" s="6">
        <f>Database!$A2284</f>
        <v/>
      </c>
      <c r="B199">
        <f>IF(VLOOKUP(Table7[[#This Row],[Date]],Database!$A:$C,MATCH($B$1,Database!$A$1:$C$1,),)=0,#N/A,VLOOKUP(Table7[[#This Row],[Date]],Database!$A:$C,MATCH($B$1,Database!$A$1:$C$1,),))</f>
        <v/>
      </c>
      <c r="C199">
        <f>IF(VLOOKUP(Table7[[#This Row],[Date]],Database!$A:$C,MATCH($C$1,Database!$A$1:$C$1,),)=0,#N/A,VLOOKUP(Table7[[#This Row],[Date]],Database!$A:$C,MATCH($C$1,Database!$A$1:$C$1,),))</f>
        <v/>
      </c>
      <c r="D199">
        <f>IFERROR(Table7[[#This Row],[United States 10y]]-Table7[[#This Row],[United States 3y]],#N/A)</f>
        <v/>
      </c>
    </row>
    <row r="200">
      <c r="A200" s="6">
        <f>Database!$A2285</f>
        <v/>
      </c>
      <c r="B200">
        <f>IF(VLOOKUP(Table7[[#This Row],[Date]],Database!$A:$C,MATCH($B$1,Database!$A$1:$C$1,),)=0,#N/A,VLOOKUP(Table7[[#This Row],[Date]],Database!$A:$C,MATCH($B$1,Database!$A$1:$C$1,),))</f>
        <v/>
      </c>
      <c r="C200">
        <f>IF(VLOOKUP(Table7[[#This Row],[Date]],Database!$A:$C,MATCH($C$1,Database!$A$1:$C$1,),)=0,#N/A,VLOOKUP(Table7[[#This Row],[Date]],Database!$A:$C,MATCH($C$1,Database!$A$1:$C$1,),))</f>
        <v/>
      </c>
      <c r="D200">
        <f>IFERROR(Table7[[#This Row],[United States 10y]]-Table7[[#This Row],[United States 3y]],#N/A)</f>
        <v/>
      </c>
    </row>
    <row r="201">
      <c r="A201" s="6">
        <f>Database!$A2286</f>
        <v/>
      </c>
      <c r="B201">
        <f>IF(VLOOKUP(Table7[[#This Row],[Date]],Database!$A:$C,MATCH($B$1,Database!$A$1:$C$1,),)=0,#N/A,VLOOKUP(Table7[[#This Row],[Date]],Database!$A:$C,MATCH($B$1,Database!$A$1:$C$1,),))</f>
        <v/>
      </c>
      <c r="C201">
        <f>IF(VLOOKUP(Table7[[#This Row],[Date]],Database!$A:$C,MATCH($C$1,Database!$A$1:$C$1,),)=0,#N/A,VLOOKUP(Table7[[#This Row],[Date]],Database!$A:$C,MATCH($C$1,Database!$A$1:$C$1,),))</f>
        <v/>
      </c>
      <c r="D201">
        <f>IFERROR(Table7[[#This Row],[United States 10y]]-Table7[[#This Row],[United States 3y]],#N/A)</f>
        <v/>
      </c>
    </row>
    <row r="202">
      <c r="A202" s="6">
        <f>Database!$A2287</f>
        <v/>
      </c>
      <c r="B202">
        <f>IF(VLOOKUP(Table7[[#This Row],[Date]],Database!$A:$C,MATCH($B$1,Database!$A$1:$C$1,),)=0,#N/A,VLOOKUP(Table7[[#This Row],[Date]],Database!$A:$C,MATCH($B$1,Database!$A$1:$C$1,),))</f>
        <v/>
      </c>
      <c r="C202">
        <f>IF(VLOOKUP(Table7[[#This Row],[Date]],Database!$A:$C,MATCH($C$1,Database!$A$1:$C$1,),)=0,#N/A,VLOOKUP(Table7[[#This Row],[Date]],Database!$A:$C,MATCH($C$1,Database!$A$1:$C$1,),))</f>
        <v/>
      </c>
      <c r="D202">
        <f>IFERROR(Table7[[#This Row],[United States 10y]]-Table7[[#This Row],[United States 3y]],#N/A)</f>
        <v/>
      </c>
    </row>
    <row r="203">
      <c r="A203" s="6">
        <f>Database!$A2288</f>
        <v/>
      </c>
      <c r="B203">
        <f>IF(VLOOKUP(Table7[[#This Row],[Date]],Database!$A:$C,MATCH($B$1,Database!$A$1:$C$1,),)=0,#N/A,VLOOKUP(Table7[[#This Row],[Date]],Database!$A:$C,MATCH($B$1,Database!$A$1:$C$1,),))</f>
        <v/>
      </c>
      <c r="C203">
        <f>IF(VLOOKUP(Table7[[#This Row],[Date]],Database!$A:$C,MATCH($C$1,Database!$A$1:$C$1,),)=0,#N/A,VLOOKUP(Table7[[#This Row],[Date]],Database!$A:$C,MATCH($C$1,Database!$A$1:$C$1,),))</f>
        <v/>
      </c>
      <c r="D203">
        <f>IFERROR(Table7[[#This Row],[United States 10y]]-Table7[[#This Row],[United States 3y]],#N/A)</f>
        <v/>
      </c>
    </row>
    <row r="204">
      <c r="A204" s="6">
        <f>Database!$A2289</f>
        <v/>
      </c>
      <c r="B204">
        <f>IF(VLOOKUP(Table7[[#This Row],[Date]],Database!$A:$C,MATCH($B$1,Database!$A$1:$C$1,),)=0,#N/A,VLOOKUP(Table7[[#This Row],[Date]],Database!$A:$C,MATCH($B$1,Database!$A$1:$C$1,),))</f>
        <v/>
      </c>
      <c r="C204">
        <f>IF(VLOOKUP(Table7[[#This Row],[Date]],Database!$A:$C,MATCH($C$1,Database!$A$1:$C$1,),)=0,#N/A,VLOOKUP(Table7[[#This Row],[Date]],Database!$A:$C,MATCH($C$1,Database!$A$1:$C$1,),))</f>
        <v/>
      </c>
      <c r="D204">
        <f>IFERROR(Table7[[#This Row],[United States 10y]]-Table7[[#This Row],[United States 3y]],#N/A)</f>
        <v/>
      </c>
    </row>
    <row r="205">
      <c r="A205" s="6">
        <f>Database!$A2290</f>
        <v/>
      </c>
      <c r="B205">
        <f>IF(VLOOKUP(Table7[[#This Row],[Date]],Database!$A:$C,MATCH($B$1,Database!$A$1:$C$1,),)=0,#N/A,VLOOKUP(Table7[[#This Row],[Date]],Database!$A:$C,MATCH($B$1,Database!$A$1:$C$1,),))</f>
        <v/>
      </c>
      <c r="C205">
        <f>IF(VLOOKUP(Table7[[#This Row],[Date]],Database!$A:$C,MATCH($C$1,Database!$A$1:$C$1,),)=0,#N/A,VLOOKUP(Table7[[#This Row],[Date]],Database!$A:$C,MATCH($C$1,Database!$A$1:$C$1,),))</f>
        <v/>
      </c>
      <c r="D205">
        <f>IFERROR(Table7[[#This Row],[United States 10y]]-Table7[[#This Row],[United States 3y]],#N/A)</f>
        <v/>
      </c>
    </row>
    <row r="206">
      <c r="A206" s="6">
        <f>Database!$A2291</f>
        <v/>
      </c>
      <c r="B206">
        <f>IF(VLOOKUP(Table7[[#This Row],[Date]],Database!$A:$C,MATCH($B$1,Database!$A$1:$C$1,),)=0,#N/A,VLOOKUP(Table7[[#This Row],[Date]],Database!$A:$C,MATCH($B$1,Database!$A$1:$C$1,),))</f>
        <v/>
      </c>
      <c r="C206">
        <f>IF(VLOOKUP(Table7[[#This Row],[Date]],Database!$A:$C,MATCH($C$1,Database!$A$1:$C$1,),)=0,#N/A,VLOOKUP(Table7[[#This Row],[Date]],Database!$A:$C,MATCH($C$1,Database!$A$1:$C$1,),))</f>
        <v/>
      </c>
      <c r="D206">
        <f>IFERROR(Table7[[#This Row],[United States 10y]]-Table7[[#This Row],[United States 3y]],#N/A)</f>
        <v/>
      </c>
    </row>
    <row r="207">
      <c r="A207" s="6">
        <f>Database!$A2292</f>
        <v/>
      </c>
      <c r="B207">
        <f>IF(VLOOKUP(Table7[[#This Row],[Date]],Database!$A:$C,MATCH($B$1,Database!$A$1:$C$1,),)=0,#N/A,VLOOKUP(Table7[[#This Row],[Date]],Database!$A:$C,MATCH($B$1,Database!$A$1:$C$1,),))</f>
        <v/>
      </c>
      <c r="C207">
        <f>IF(VLOOKUP(Table7[[#This Row],[Date]],Database!$A:$C,MATCH($C$1,Database!$A$1:$C$1,),)=0,#N/A,VLOOKUP(Table7[[#This Row],[Date]],Database!$A:$C,MATCH($C$1,Database!$A$1:$C$1,),))</f>
        <v/>
      </c>
      <c r="D207">
        <f>IFERROR(Table7[[#This Row],[United States 10y]]-Table7[[#This Row],[United States 3y]],#N/A)</f>
        <v/>
      </c>
    </row>
    <row r="208">
      <c r="A208" s="6">
        <f>Database!$A2293</f>
        <v/>
      </c>
      <c r="B208">
        <f>IF(VLOOKUP(Table7[[#This Row],[Date]],Database!$A:$C,MATCH($B$1,Database!$A$1:$C$1,),)=0,#N/A,VLOOKUP(Table7[[#This Row],[Date]],Database!$A:$C,MATCH($B$1,Database!$A$1:$C$1,),))</f>
        <v/>
      </c>
      <c r="C208">
        <f>IF(VLOOKUP(Table7[[#This Row],[Date]],Database!$A:$C,MATCH($C$1,Database!$A$1:$C$1,),)=0,#N/A,VLOOKUP(Table7[[#This Row],[Date]],Database!$A:$C,MATCH($C$1,Database!$A$1:$C$1,),))</f>
        <v/>
      </c>
      <c r="D208">
        <f>IFERROR(Table7[[#This Row],[United States 10y]]-Table7[[#This Row],[United States 3y]],#N/A)</f>
        <v/>
      </c>
    </row>
    <row r="209">
      <c r="A209" s="6">
        <f>Database!$A2294</f>
        <v/>
      </c>
      <c r="B209">
        <f>IF(VLOOKUP(Table7[[#This Row],[Date]],Database!$A:$C,MATCH($B$1,Database!$A$1:$C$1,),)=0,#N/A,VLOOKUP(Table7[[#This Row],[Date]],Database!$A:$C,MATCH($B$1,Database!$A$1:$C$1,),))</f>
        <v/>
      </c>
      <c r="C209">
        <f>IF(VLOOKUP(Table7[[#This Row],[Date]],Database!$A:$C,MATCH($C$1,Database!$A$1:$C$1,),)=0,#N/A,VLOOKUP(Table7[[#This Row],[Date]],Database!$A:$C,MATCH($C$1,Database!$A$1:$C$1,),))</f>
        <v/>
      </c>
      <c r="D209">
        <f>IFERROR(Table7[[#This Row],[United States 10y]]-Table7[[#This Row],[United States 3y]],#N/A)</f>
        <v/>
      </c>
    </row>
    <row r="210">
      <c r="A210" s="6">
        <f>Database!$A2295</f>
        <v/>
      </c>
      <c r="B210">
        <f>IF(VLOOKUP(Table7[[#This Row],[Date]],Database!$A:$C,MATCH($B$1,Database!$A$1:$C$1,),)=0,#N/A,VLOOKUP(Table7[[#This Row],[Date]],Database!$A:$C,MATCH($B$1,Database!$A$1:$C$1,),))</f>
        <v/>
      </c>
      <c r="C210">
        <f>IF(VLOOKUP(Table7[[#This Row],[Date]],Database!$A:$C,MATCH($C$1,Database!$A$1:$C$1,),)=0,#N/A,VLOOKUP(Table7[[#This Row],[Date]],Database!$A:$C,MATCH($C$1,Database!$A$1:$C$1,),))</f>
        <v/>
      </c>
      <c r="D210">
        <f>IFERROR(Table7[[#This Row],[United States 10y]]-Table7[[#This Row],[United States 3y]],#N/A)</f>
        <v/>
      </c>
    </row>
    <row r="211">
      <c r="A211" s="6">
        <f>Database!$A2296</f>
        <v/>
      </c>
      <c r="B211">
        <f>IF(VLOOKUP(Table7[[#This Row],[Date]],Database!$A:$C,MATCH($B$1,Database!$A$1:$C$1,),)=0,#N/A,VLOOKUP(Table7[[#This Row],[Date]],Database!$A:$C,MATCH($B$1,Database!$A$1:$C$1,),))</f>
        <v/>
      </c>
      <c r="C211">
        <f>IF(VLOOKUP(Table7[[#This Row],[Date]],Database!$A:$C,MATCH($C$1,Database!$A$1:$C$1,),)=0,#N/A,VLOOKUP(Table7[[#This Row],[Date]],Database!$A:$C,MATCH($C$1,Database!$A$1:$C$1,),))</f>
        <v/>
      </c>
      <c r="D211">
        <f>IFERROR(Table7[[#This Row],[United States 10y]]-Table7[[#This Row],[United States 3y]],#N/A)</f>
        <v/>
      </c>
    </row>
    <row r="212">
      <c r="A212" s="6">
        <f>Database!$A2297</f>
        <v/>
      </c>
      <c r="B212">
        <f>IF(VLOOKUP(Table7[[#This Row],[Date]],Database!$A:$C,MATCH($B$1,Database!$A$1:$C$1,),)=0,#N/A,VLOOKUP(Table7[[#This Row],[Date]],Database!$A:$C,MATCH($B$1,Database!$A$1:$C$1,),))</f>
        <v/>
      </c>
      <c r="C212">
        <f>IF(VLOOKUP(Table7[[#This Row],[Date]],Database!$A:$C,MATCH($C$1,Database!$A$1:$C$1,),)=0,#N/A,VLOOKUP(Table7[[#This Row],[Date]],Database!$A:$C,MATCH($C$1,Database!$A$1:$C$1,),))</f>
        <v/>
      </c>
      <c r="D212">
        <f>IFERROR(Table7[[#This Row],[United States 10y]]-Table7[[#This Row],[United States 3y]],#N/A)</f>
        <v/>
      </c>
    </row>
    <row r="213">
      <c r="A213" s="6">
        <f>Database!$A2298</f>
        <v/>
      </c>
      <c r="B213">
        <f>IF(VLOOKUP(Table7[[#This Row],[Date]],Database!$A:$C,MATCH($B$1,Database!$A$1:$C$1,),)=0,#N/A,VLOOKUP(Table7[[#This Row],[Date]],Database!$A:$C,MATCH($B$1,Database!$A$1:$C$1,),))</f>
        <v/>
      </c>
      <c r="C213">
        <f>IF(VLOOKUP(Table7[[#This Row],[Date]],Database!$A:$C,MATCH($C$1,Database!$A$1:$C$1,),)=0,#N/A,VLOOKUP(Table7[[#This Row],[Date]],Database!$A:$C,MATCH($C$1,Database!$A$1:$C$1,),))</f>
        <v/>
      </c>
      <c r="D213">
        <f>IFERROR(Table7[[#This Row],[United States 10y]]-Table7[[#This Row],[United States 3y]],#N/A)</f>
        <v/>
      </c>
    </row>
    <row r="214">
      <c r="A214" s="6">
        <f>Database!$A2299</f>
        <v/>
      </c>
      <c r="B214">
        <f>IF(VLOOKUP(Table7[[#This Row],[Date]],Database!$A:$C,MATCH($B$1,Database!$A$1:$C$1,),)=0,#N/A,VLOOKUP(Table7[[#This Row],[Date]],Database!$A:$C,MATCH($B$1,Database!$A$1:$C$1,),))</f>
        <v/>
      </c>
      <c r="C214">
        <f>IF(VLOOKUP(Table7[[#This Row],[Date]],Database!$A:$C,MATCH($C$1,Database!$A$1:$C$1,),)=0,#N/A,VLOOKUP(Table7[[#This Row],[Date]],Database!$A:$C,MATCH($C$1,Database!$A$1:$C$1,),))</f>
        <v/>
      </c>
      <c r="D214">
        <f>IFERROR(Table7[[#This Row],[United States 10y]]-Table7[[#This Row],[United States 3y]],#N/A)</f>
        <v/>
      </c>
    </row>
    <row r="215">
      <c r="A215" s="6">
        <f>Database!$A2300</f>
        <v/>
      </c>
      <c r="B215">
        <f>IF(VLOOKUP(Table7[[#This Row],[Date]],Database!$A:$C,MATCH($B$1,Database!$A$1:$C$1,),)=0,#N/A,VLOOKUP(Table7[[#This Row],[Date]],Database!$A:$C,MATCH($B$1,Database!$A$1:$C$1,),))</f>
        <v/>
      </c>
      <c r="C215">
        <f>IF(VLOOKUP(Table7[[#This Row],[Date]],Database!$A:$C,MATCH($C$1,Database!$A$1:$C$1,),)=0,#N/A,VLOOKUP(Table7[[#This Row],[Date]],Database!$A:$C,MATCH($C$1,Database!$A$1:$C$1,),))</f>
        <v/>
      </c>
      <c r="D215">
        <f>IFERROR(Table7[[#This Row],[United States 10y]]-Table7[[#This Row],[United States 3y]],#N/A)</f>
        <v/>
      </c>
    </row>
    <row r="216">
      <c r="A216" s="6">
        <f>Database!$A2301</f>
        <v/>
      </c>
      <c r="B216">
        <f>IF(VLOOKUP(Table7[[#This Row],[Date]],Database!$A:$C,MATCH($B$1,Database!$A$1:$C$1,),)=0,#N/A,VLOOKUP(Table7[[#This Row],[Date]],Database!$A:$C,MATCH($B$1,Database!$A$1:$C$1,),))</f>
        <v/>
      </c>
      <c r="C216">
        <f>IF(VLOOKUP(Table7[[#This Row],[Date]],Database!$A:$C,MATCH($C$1,Database!$A$1:$C$1,),)=0,#N/A,VLOOKUP(Table7[[#This Row],[Date]],Database!$A:$C,MATCH($C$1,Database!$A$1:$C$1,),))</f>
        <v/>
      </c>
      <c r="D216">
        <f>IFERROR(Table7[[#This Row],[United States 10y]]-Table7[[#This Row],[United States 3y]],#N/A)</f>
        <v/>
      </c>
    </row>
    <row r="217">
      <c r="A217" s="6">
        <f>Database!$A2302</f>
        <v/>
      </c>
      <c r="B217">
        <f>IF(VLOOKUP(Table7[[#This Row],[Date]],Database!$A:$C,MATCH($B$1,Database!$A$1:$C$1,),)=0,#N/A,VLOOKUP(Table7[[#This Row],[Date]],Database!$A:$C,MATCH($B$1,Database!$A$1:$C$1,),))</f>
        <v/>
      </c>
      <c r="C217">
        <f>IF(VLOOKUP(Table7[[#This Row],[Date]],Database!$A:$C,MATCH($C$1,Database!$A$1:$C$1,),)=0,#N/A,VLOOKUP(Table7[[#This Row],[Date]],Database!$A:$C,MATCH($C$1,Database!$A$1:$C$1,),))</f>
        <v/>
      </c>
      <c r="D217">
        <f>IFERROR(Table7[[#This Row],[United States 10y]]-Table7[[#This Row],[United States 3y]],#N/A)</f>
        <v/>
      </c>
    </row>
    <row r="218">
      <c r="A218" s="6">
        <f>Database!$A2303</f>
        <v/>
      </c>
      <c r="B218">
        <f>IF(VLOOKUP(Table7[[#This Row],[Date]],Database!$A:$C,MATCH($B$1,Database!$A$1:$C$1,),)=0,#N/A,VLOOKUP(Table7[[#This Row],[Date]],Database!$A:$C,MATCH($B$1,Database!$A$1:$C$1,),))</f>
        <v/>
      </c>
      <c r="C218">
        <f>IF(VLOOKUP(Table7[[#This Row],[Date]],Database!$A:$C,MATCH($C$1,Database!$A$1:$C$1,),)=0,#N/A,VLOOKUP(Table7[[#This Row],[Date]],Database!$A:$C,MATCH($C$1,Database!$A$1:$C$1,),))</f>
        <v/>
      </c>
      <c r="D218">
        <f>IFERROR(Table7[[#This Row],[United States 10y]]-Table7[[#This Row],[United States 3y]],#N/A)</f>
        <v/>
      </c>
    </row>
    <row r="219">
      <c r="A219" s="6">
        <f>Database!$A2304</f>
        <v/>
      </c>
      <c r="B219">
        <f>IF(VLOOKUP(Table7[[#This Row],[Date]],Database!$A:$C,MATCH($B$1,Database!$A$1:$C$1,),)=0,#N/A,VLOOKUP(Table7[[#This Row],[Date]],Database!$A:$C,MATCH($B$1,Database!$A$1:$C$1,),))</f>
        <v/>
      </c>
      <c r="C219">
        <f>IF(VLOOKUP(Table7[[#This Row],[Date]],Database!$A:$C,MATCH($C$1,Database!$A$1:$C$1,),)=0,#N/A,VLOOKUP(Table7[[#This Row],[Date]],Database!$A:$C,MATCH($C$1,Database!$A$1:$C$1,),))</f>
        <v/>
      </c>
      <c r="D219">
        <f>IFERROR(Table7[[#This Row],[United States 10y]]-Table7[[#This Row],[United States 3y]],#N/A)</f>
        <v/>
      </c>
    </row>
    <row r="220">
      <c r="A220" s="6">
        <f>Database!$A2305</f>
        <v/>
      </c>
      <c r="B220">
        <f>IF(VLOOKUP(Table7[[#This Row],[Date]],Database!$A:$C,MATCH($B$1,Database!$A$1:$C$1,),)=0,#N/A,VLOOKUP(Table7[[#This Row],[Date]],Database!$A:$C,MATCH($B$1,Database!$A$1:$C$1,),))</f>
        <v/>
      </c>
      <c r="C220">
        <f>IF(VLOOKUP(Table7[[#This Row],[Date]],Database!$A:$C,MATCH($C$1,Database!$A$1:$C$1,),)=0,#N/A,VLOOKUP(Table7[[#This Row],[Date]],Database!$A:$C,MATCH($C$1,Database!$A$1:$C$1,),))</f>
        <v/>
      </c>
      <c r="D220">
        <f>IFERROR(Table7[[#This Row],[United States 10y]]-Table7[[#This Row],[United States 3y]],#N/A)</f>
        <v/>
      </c>
    </row>
    <row r="221">
      <c r="A221" s="6">
        <f>Database!$A2306</f>
        <v/>
      </c>
      <c r="B221">
        <f>IF(VLOOKUP(Table7[[#This Row],[Date]],Database!$A:$C,MATCH($B$1,Database!$A$1:$C$1,),)=0,#N/A,VLOOKUP(Table7[[#This Row],[Date]],Database!$A:$C,MATCH($B$1,Database!$A$1:$C$1,),))</f>
        <v/>
      </c>
      <c r="C221">
        <f>IF(VLOOKUP(Table7[[#This Row],[Date]],Database!$A:$C,MATCH($C$1,Database!$A$1:$C$1,),)=0,#N/A,VLOOKUP(Table7[[#This Row],[Date]],Database!$A:$C,MATCH($C$1,Database!$A$1:$C$1,),))</f>
        <v/>
      </c>
      <c r="D221">
        <f>IFERROR(Table7[[#This Row],[United States 10y]]-Table7[[#This Row],[United States 3y]],#N/A)</f>
        <v/>
      </c>
    </row>
    <row r="222">
      <c r="A222" s="6">
        <f>Database!$A2307</f>
        <v/>
      </c>
      <c r="B222">
        <f>IF(VLOOKUP(Table7[[#This Row],[Date]],Database!$A:$C,MATCH($B$1,Database!$A$1:$C$1,),)=0,#N/A,VLOOKUP(Table7[[#This Row],[Date]],Database!$A:$C,MATCH($B$1,Database!$A$1:$C$1,),))</f>
        <v/>
      </c>
      <c r="C222">
        <f>IF(VLOOKUP(Table7[[#This Row],[Date]],Database!$A:$C,MATCH($C$1,Database!$A$1:$C$1,),)=0,#N/A,VLOOKUP(Table7[[#This Row],[Date]],Database!$A:$C,MATCH($C$1,Database!$A$1:$C$1,),))</f>
        <v/>
      </c>
      <c r="D222">
        <f>IFERROR(Table7[[#This Row],[United States 10y]]-Table7[[#This Row],[United States 3y]],#N/A)</f>
        <v/>
      </c>
    </row>
    <row r="223">
      <c r="A223" s="6">
        <f>Database!$A2308</f>
        <v/>
      </c>
      <c r="B223">
        <f>IF(VLOOKUP(Table7[[#This Row],[Date]],Database!$A:$C,MATCH($B$1,Database!$A$1:$C$1,),)=0,#N/A,VLOOKUP(Table7[[#This Row],[Date]],Database!$A:$C,MATCH($B$1,Database!$A$1:$C$1,),))</f>
        <v/>
      </c>
      <c r="C223">
        <f>IF(VLOOKUP(Table7[[#This Row],[Date]],Database!$A:$C,MATCH($C$1,Database!$A$1:$C$1,),)=0,#N/A,VLOOKUP(Table7[[#This Row],[Date]],Database!$A:$C,MATCH($C$1,Database!$A$1:$C$1,),))</f>
        <v/>
      </c>
      <c r="D223">
        <f>IFERROR(Table7[[#This Row],[United States 10y]]-Table7[[#This Row],[United States 3y]],#N/A)</f>
        <v/>
      </c>
    </row>
    <row r="224">
      <c r="A224" s="6">
        <f>Database!$A2309</f>
        <v/>
      </c>
      <c r="B224">
        <f>IF(VLOOKUP(Table7[[#This Row],[Date]],Database!$A:$C,MATCH($B$1,Database!$A$1:$C$1,),)=0,#N/A,VLOOKUP(Table7[[#This Row],[Date]],Database!$A:$C,MATCH($B$1,Database!$A$1:$C$1,),))</f>
        <v/>
      </c>
      <c r="C224">
        <f>IF(VLOOKUP(Table7[[#This Row],[Date]],Database!$A:$C,MATCH($C$1,Database!$A$1:$C$1,),)=0,#N/A,VLOOKUP(Table7[[#This Row],[Date]],Database!$A:$C,MATCH($C$1,Database!$A$1:$C$1,),))</f>
        <v/>
      </c>
      <c r="D224">
        <f>IFERROR(Table7[[#This Row],[United States 10y]]-Table7[[#This Row],[United States 3y]],#N/A)</f>
        <v/>
      </c>
    </row>
    <row r="225">
      <c r="A225" s="6">
        <f>Database!$A2310</f>
        <v/>
      </c>
      <c r="B225">
        <f>IF(VLOOKUP(Table7[[#This Row],[Date]],Database!$A:$C,MATCH($B$1,Database!$A$1:$C$1,),)=0,#N/A,VLOOKUP(Table7[[#This Row],[Date]],Database!$A:$C,MATCH($B$1,Database!$A$1:$C$1,),))</f>
        <v/>
      </c>
      <c r="C225">
        <f>IF(VLOOKUP(Table7[[#This Row],[Date]],Database!$A:$C,MATCH($C$1,Database!$A$1:$C$1,),)=0,#N/A,VLOOKUP(Table7[[#This Row],[Date]],Database!$A:$C,MATCH($C$1,Database!$A$1:$C$1,),))</f>
        <v/>
      </c>
      <c r="D225">
        <f>IFERROR(Table7[[#This Row],[United States 10y]]-Table7[[#This Row],[United States 3y]],#N/A)</f>
        <v/>
      </c>
    </row>
    <row r="226">
      <c r="A226" s="6">
        <f>Database!$A2311</f>
        <v/>
      </c>
      <c r="B226">
        <f>IF(VLOOKUP(Table7[[#This Row],[Date]],Database!$A:$C,MATCH($B$1,Database!$A$1:$C$1,),)=0,#N/A,VLOOKUP(Table7[[#This Row],[Date]],Database!$A:$C,MATCH($B$1,Database!$A$1:$C$1,),))</f>
        <v/>
      </c>
      <c r="C226">
        <f>IF(VLOOKUP(Table7[[#This Row],[Date]],Database!$A:$C,MATCH($C$1,Database!$A$1:$C$1,),)=0,#N/A,VLOOKUP(Table7[[#This Row],[Date]],Database!$A:$C,MATCH($C$1,Database!$A$1:$C$1,),))</f>
        <v/>
      </c>
      <c r="D226">
        <f>IFERROR(Table7[[#This Row],[United States 10y]]-Table7[[#This Row],[United States 3y]],#N/A)</f>
        <v/>
      </c>
    </row>
    <row r="227">
      <c r="A227" s="6">
        <f>Database!$A2312</f>
        <v/>
      </c>
      <c r="B227">
        <f>IF(VLOOKUP(Table7[[#This Row],[Date]],Database!$A:$C,MATCH($B$1,Database!$A$1:$C$1,),)=0,#N/A,VLOOKUP(Table7[[#This Row],[Date]],Database!$A:$C,MATCH($B$1,Database!$A$1:$C$1,),))</f>
        <v/>
      </c>
      <c r="C227">
        <f>IF(VLOOKUP(Table7[[#This Row],[Date]],Database!$A:$C,MATCH($C$1,Database!$A$1:$C$1,),)=0,#N/A,VLOOKUP(Table7[[#This Row],[Date]],Database!$A:$C,MATCH($C$1,Database!$A$1:$C$1,),))</f>
        <v/>
      </c>
      <c r="D227">
        <f>IFERROR(Table7[[#This Row],[United States 10y]]-Table7[[#This Row],[United States 3y]],#N/A)</f>
        <v/>
      </c>
    </row>
    <row r="228">
      <c r="A228" s="6">
        <f>Database!$A2313</f>
        <v/>
      </c>
      <c r="B228">
        <f>IF(VLOOKUP(Table7[[#This Row],[Date]],Database!$A:$C,MATCH($B$1,Database!$A$1:$C$1,),)=0,#N/A,VLOOKUP(Table7[[#This Row],[Date]],Database!$A:$C,MATCH($B$1,Database!$A$1:$C$1,),))</f>
        <v/>
      </c>
      <c r="C228">
        <f>IF(VLOOKUP(Table7[[#This Row],[Date]],Database!$A:$C,MATCH($C$1,Database!$A$1:$C$1,),)=0,#N/A,VLOOKUP(Table7[[#This Row],[Date]],Database!$A:$C,MATCH($C$1,Database!$A$1:$C$1,),))</f>
        <v/>
      </c>
      <c r="D228">
        <f>IFERROR(Table7[[#This Row],[United States 10y]]-Table7[[#This Row],[United States 3y]],#N/A)</f>
        <v/>
      </c>
    </row>
    <row r="229">
      <c r="A229" s="6">
        <f>Database!$A2314</f>
        <v/>
      </c>
      <c r="B229">
        <f>IF(VLOOKUP(Table7[[#This Row],[Date]],Database!$A:$C,MATCH($B$1,Database!$A$1:$C$1,),)=0,#N/A,VLOOKUP(Table7[[#This Row],[Date]],Database!$A:$C,MATCH($B$1,Database!$A$1:$C$1,),))</f>
        <v/>
      </c>
      <c r="C229">
        <f>IF(VLOOKUP(Table7[[#This Row],[Date]],Database!$A:$C,MATCH($C$1,Database!$A$1:$C$1,),)=0,#N/A,VLOOKUP(Table7[[#This Row],[Date]],Database!$A:$C,MATCH($C$1,Database!$A$1:$C$1,),))</f>
        <v/>
      </c>
      <c r="D229">
        <f>IFERROR(Table7[[#This Row],[United States 10y]]-Table7[[#This Row],[United States 3y]],#N/A)</f>
        <v/>
      </c>
    </row>
    <row r="230">
      <c r="A230" s="6">
        <f>Database!$A2315</f>
        <v/>
      </c>
      <c r="B230">
        <f>IF(VLOOKUP(Table7[[#This Row],[Date]],Database!$A:$C,MATCH($B$1,Database!$A$1:$C$1,),)=0,#N/A,VLOOKUP(Table7[[#This Row],[Date]],Database!$A:$C,MATCH($B$1,Database!$A$1:$C$1,),))</f>
        <v/>
      </c>
      <c r="C230">
        <f>IF(VLOOKUP(Table7[[#This Row],[Date]],Database!$A:$C,MATCH($C$1,Database!$A$1:$C$1,),)=0,#N/A,VLOOKUP(Table7[[#This Row],[Date]],Database!$A:$C,MATCH($C$1,Database!$A$1:$C$1,),))</f>
        <v/>
      </c>
      <c r="D230">
        <f>IFERROR(Table7[[#This Row],[United States 10y]]-Table7[[#This Row],[United States 3y]],#N/A)</f>
        <v/>
      </c>
    </row>
    <row r="231">
      <c r="A231" s="6">
        <f>Database!$A2316</f>
        <v/>
      </c>
      <c r="B231">
        <f>IF(VLOOKUP(Table7[[#This Row],[Date]],Database!$A:$C,MATCH($B$1,Database!$A$1:$C$1,),)=0,#N/A,VLOOKUP(Table7[[#This Row],[Date]],Database!$A:$C,MATCH($B$1,Database!$A$1:$C$1,),))</f>
        <v/>
      </c>
      <c r="C231">
        <f>IF(VLOOKUP(Table7[[#This Row],[Date]],Database!$A:$C,MATCH($C$1,Database!$A$1:$C$1,),)=0,#N/A,VLOOKUP(Table7[[#This Row],[Date]],Database!$A:$C,MATCH($C$1,Database!$A$1:$C$1,),))</f>
        <v/>
      </c>
      <c r="D231">
        <f>IFERROR(Table7[[#This Row],[United States 10y]]-Table7[[#This Row],[United States 3y]],#N/A)</f>
        <v/>
      </c>
    </row>
    <row r="232">
      <c r="A232" s="6">
        <f>Database!$A2317</f>
        <v/>
      </c>
      <c r="B232">
        <f>IF(VLOOKUP(Table7[[#This Row],[Date]],Database!$A:$C,MATCH($B$1,Database!$A$1:$C$1,),)=0,#N/A,VLOOKUP(Table7[[#This Row],[Date]],Database!$A:$C,MATCH($B$1,Database!$A$1:$C$1,),))</f>
        <v/>
      </c>
      <c r="C232">
        <f>IF(VLOOKUP(Table7[[#This Row],[Date]],Database!$A:$C,MATCH($C$1,Database!$A$1:$C$1,),)=0,#N/A,VLOOKUP(Table7[[#This Row],[Date]],Database!$A:$C,MATCH($C$1,Database!$A$1:$C$1,),))</f>
        <v/>
      </c>
      <c r="D232">
        <f>IFERROR(Table7[[#This Row],[United States 10y]]-Table7[[#This Row],[United States 3y]],#N/A)</f>
        <v/>
      </c>
    </row>
    <row r="233">
      <c r="A233" s="6">
        <f>Database!$A2318</f>
        <v/>
      </c>
      <c r="B233">
        <f>IF(VLOOKUP(Table7[[#This Row],[Date]],Database!$A:$C,MATCH($B$1,Database!$A$1:$C$1,),)=0,#N/A,VLOOKUP(Table7[[#This Row],[Date]],Database!$A:$C,MATCH($B$1,Database!$A$1:$C$1,),))</f>
        <v/>
      </c>
      <c r="C233">
        <f>IF(VLOOKUP(Table7[[#This Row],[Date]],Database!$A:$C,MATCH($C$1,Database!$A$1:$C$1,),)=0,#N/A,VLOOKUP(Table7[[#This Row],[Date]],Database!$A:$C,MATCH($C$1,Database!$A$1:$C$1,),))</f>
        <v/>
      </c>
      <c r="D233">
        <f>IFERROR(Table7[[#This Row],[United States 10y]]-Table7[[#This Row],[United States 3y]],#N/A)</f>
        <v/>
      </c>
    </row>
    <row r="234">
      <c r="A234" s="6">
        <f>Database!$A2319</f>
        <v/>
      </c>
      <c r="B234">
        <f>IF(VLOOKUP(Table7[[#This Row],[Date]],Database!$A:$C,MATCH($B$1,Database!$A$1:$C$1,),)=0,#N/A,VLOOKUP(Table7[[#This Row],[Date]],Database!$A:$C,MATCH($B$1,Database!$A$1:$C$1,),))</f>
        <v/>
      </c>
      <c r="C234">
        <f>IF(VLOOKUP(Table7[[#This Row],[Date]],Database!$A:$C,MATCH($C$1,Database!$A$1:$C$1,),)=0,#N/A,VLOOKUP(Table7[[#This Row],[Date]],Database!$A:$C,MATCH($C$1,Database!$A$1:$C$1,),))</f>
        <v/>
      </c>
      <c r="D234">
        <f>IFERROR(Table7[[#This Row],[United States 10y]]-Table7[[#This Row],[United States 3y]],#N/A)</f>
        <v/>
      </c>
    </row>
    <row r="235">
      <c r="A235" s="6">
        <f>Database!$A2320</f>
        <v/>
      </c>
      <c r="B235">
        <f>IF(VLOOKUP(Table7[[#This Row],[Date]],Database!$A:$C,MATCH($B$1,Database!$A$1:$C$1,),)=0,#N/A,VLOOKUP(Table7[[#This Row],[Date]],Database!$A:$C,MATCH($B$1,Database!$A$1:$C$1,),))</f>
        <v/>
      </c>
      <c r="C235">
        <f>IF(VLOOKUP(Table7[[#This Row],[Date]],Database!$A:$C,MATCH($C$1,Database!$A$1:$C$1,),)=0,#N/A,VLOOKUP(Table7[[#This Row],[Date]],Database!$A:$C,MATCH($C$1,Database!$A$1:$C$1,),))</f>
        <v/>
      </c>
      <c r="D235">
        <f>IFERROR(Table7[[#This Row],[United States 10y]]-Table7[[#This Row],[United States 3y]],#N/A)</f>
        <v/>
      </c>
    </row>
    <row r="236">
      <c r="A236" s="6">
        <f>Database!$A2321</f>
        <v/>
      </c>
      <c r="B236">
        <f>IF(VLOOKUP(Table7[[#This Row],[Date]],Database!$A:$C,MATCH($B$1,Database!$A$1:$C$1,),)=0,#N/A,VLOOKUP(Table7[[#This Row],[Date]],Database!$A:$C,MATCH($B$1,Database!$A$1:$C$1,),))</f>
        <v/>
      </c>
      <c r="C236">
        <f>IF(VLOOKUP(Table7[[#This Row],[Date]],Database!$A:$C,MATCH($C$1,Database!$A$1:$C$1,),)=0,#N/A,VLOOKUP(Table7[[#This Row],[Date]],Database!$A:$C,MATCH($C$1,Database!$A$1:$C$1,),))</f>
        <v/>
      </c>
      <c r="D236">
        <f>IFERROR(Table7[[#This Row],[United States 10y]]-Table7[[#This Row],[United States 3y]],#N/A)</f>
        <v/>
      </c>
    </row>
    <row r="237">
      <c r="A237" s="6">
        <f>Database!$A2322</f>
        <v/>
      </c>
      <c r="B237">
        <f>IF(VLOOKUP(Table7[[#This Row],[Date]],Database!$A:$C,MATCH($B$1,Database!$A$1:$C$1,),)=0,#N/A,VLOOKUP(Table7[[#This Row],[Date]],Database!$A:$C,MATCH($B$1,Database!$A$1:$C$1,),))</f>
        <v/>
      </c>
      <c r="C237">
        <f>IF(VLOOKUP(Table7[[#This Row],[Date]],Database!$A:$C,MATCH($C$1,Database!$A$1:$C$1,),)=0,#N/A,VLOOKUP(Table7[[#This Row],[Date]],Database!$A:$C,MATCH($C$1,Database!$A$1:$C$1,),))</f>
        <v/>
      </c>
      <c r="D237">
        <f>IFERROR(Table7[[#This Row],[United States 10y]]-Table7[[#This Row],[United States 3y]],#N/A)</f>
        <v/>
      </c>
    </row>
    <row r="238">
      <c r="A238" s="6">
        <f>Database!$A2323</f>
        <v/>
      </c>
      <c r="B238">
        <f>IF(VLOOKUP(Table7[[#This Row],[Date]],Database!$A:$C,MATCH($B$1,Database!$A$1:$C$1,),)=0,#N/A,VLOOKUP(Table7[[#This Row],[Date]],Database!$A:$C,MATCH($B$1,Database!$A$1:$C$1,),))</f>
        <v/>
      </c>
      <c r="C238">
        <f>IF(VLOOKUP(Table7[[#This Row],[Date]],Database!$A:$C,MATCH($C$1,Database!$A$1:$C$1,),)=0,#N/A,VLOOKUP(Table7[[#This Row],[Date]],Database!$A:$C,MATCH($C$1,Database!$A$1:$C$1,),))</f>
        <v/>
      </c>
      <c r="D238">
        <f>IFERROR(Table7[[#This Row],[United States 10y]]-Table7[[#This Row],[United States 3y]],#N/A)</f>
        <v/>
      </c>
    </row>
    <row r="239">
      <c r="A239" s="6">
        <f>Database!$A2324</f>
        <v/>
      </c>
      <c r="B239">
        <f>IF(VLOOKUP(Table7[[#This Row],[Date]],Database!$A:$C,MATCH($B$1,Database!$A$1:$C$1,),)=0,#N/A,VLOOKUP(Table7[[#This Row],[Date]],Database!$A:$C,MATCH($B$1,Database!$A$1:$C$1,),))</f>
        <v/>
      </c>
      <c r="C239">
        <f>IF(VLOOKUP(Table7[[#This Row],[Date]],Database!$A:$C,MATCH($C$1,Database!$A$1:$C$1,),)=0,#N/A,VLOOKUP(Table7[[#This Row],[Date]],Database!$A:$C,MATCH($C$1,Database!$A$1:$C$1,),))</f>
        <v/>
      </c>
      <c r="D239">
        <f>IFERROR(Table7[[#This Row],[United States 10y]]-Table7[[#This Row],[United States 3y]],#N/A)</f>
        <v/>
      </c>
    </row>
    <row r="240">
      <c r="A240" s="6">
        <f>Database!$A2325</f>
        <v/>
      </c>
      <c r="B240">
        <f>IF(VLOOKUP(Table7[[#This Row],[Date]],Database!$A:$C,MATCH($B$1,Database!$A$1:$C$1,),)=0,#N/A,VLOOKUP(Table7[[#This Row],[Date]],Database!$A:$C,MATCH($B$1,Database!$A$1:$C$1,),))</f>
        <v/>
      </c>
      <c r="C240">
        <f>IF(VLOOKUP(Table7[[#This Row],[Date]],Database!$A:$C,MATCH($C$1,Database!$A$1:$C$1,),)=0,#N/A,VLOOKUP(Table7[[#This Row],[Date]],Database!$A:$C,MATCH($C$1,Database!$A$1:$C$1,),))</f>
        <v/>
      </c>
      <c r="D240">
        <f>IFERROR(Table7[[#This Row],[United States 10y]]-Table7[[#This Row],[United States 3y]],#N/A)</f>
        <v/>
      </c>
    </row>
    <row r="241">
      <c r="A241" s="6">
        <f>Database!$A2326</f>
        <v/>
      </c>
      <c r="B241">
        <f>IF(VLOOKUP(Table7[[#This Row],[Date]],Database!$A:$C,MATCH($B$1,Database!$A$1:$C$1,),)=0,#N/A,VLOOKUP(Table7[[#This Row],[Date]],Database!$A:$C,MATCH($B$1,Database!$A$1:$C$1,),))</f>
        <v/>
      </c>
      <c r="C241">
        <f>IF(VLOOKUP(Table7[[#This Row],[Date]],Database!$A:$C,MATCH($C$1,Database!$A$1:$C$1,),)=0,#N/A,VLOOKUP(Table7[[#This Row],[Date]],Database!$A:$C,MATCH($C$1,Database!$A$1:$C$1,),))</f>
        <v/>
      </c>
      <c r="D241">
        <f>IFERROR(Table7[[#This Row],[United States 10y]]-Table7[[#This Row],[United States 3y]],#N/A)</f>
        <v/>
      </c>
    </row>
    <row r="242">
      <c r="A242" s="6">
        <f>Database!$A2327</f>
        <v/>
      </c>
      <c r="B242">
        <f>IF(VLOOKUP(Table7[[#This Row],[Date]],Database!$A:$C,MATCH($B$1,Database!$A$1:$C$1,),)=0,#N/A,VLOOKUP(Table7[[#This Row],[Date]],Database!$A:$C,MATCH($B$1,Database!$A$1:$C$1,),))</f>
        <v/>
      </c>
      <c r="C242">
        <f>IF(VLOOKUP(Table7[[#This Row],[Date]],Database!$A:$C,MATCH($C$1,Database!$A$1:$C$1,),)=0,#N/A,VLOOKUP(Table7[[#This Row],[Date]],Database!$A:$C,MATCH($C$1,Database!$A$1:$C$1,),))</f>
        <v/>
      </c>
      <c r="D242">
        <f>IFERROR(Table7[[#This Row],[United States 10y]]-Table7[[#This Row],[United States 3y]],#N/A)</f>
        <v/>
      </c>
    </row>
    <row r="243">
      <c r="A243" s="6">
        <f>Database!$A2328</f>
        <v/>
      </c>
      <c r="B243">
        <f>IF(VLOOKUP(Table7[[#This Row],[Date]],Database!$A:$C,MATCH($B$1,Database!$A$1:$C$1,),)=0,#N/A,VLOOKUP(Table7[[#This Row],[Date]],Database!$A:$C,MATCH($B$1,Database!$A$1:$C$1,),))</f>
        <v/>
      </c>
      <c r="C243">
        <f>IF(VLOOKUP(Table7[[#This Row],[Date]],Database!$A:$C,MATCH($C$1,Database!$A$1:$C$1,),)=0,#N/A,VLOOKUP(Table7[[#This Row],[Date]],Database!$A:$C,MATCH($C$1,Database!$A$1:$C$1,),))</f>
        <v/>
      </c>
      <c r="D243">
        <f>IFERROR(Table7[[#This Row],[United States 10y]]-Table7[[#This Row],[United States 3y]],#N/A)</f>
        <v/>
      </c>
    </row>
    <row r="244">
      <c r="A244" s="6">
        <f>Database!$A2329</f>
        <v/>
      </c>
      <c r="B244">
        <f>IF(VLOOKUP(Table7[[#This Row],[Date]],Database!$A:$C,MATCH($B$1,Database!$A$1:$C$1,),)=0,#N/A,VLOOKUP(Table7[[#This Row],[Date]],Database!$A:$C,MATCH($B$1,Database!$A$1:$C$1,),))</f>
        <v/>
      </c>
      <c r="C244">
        <f>IF(VLOOKUP(Table7[[#This Row],[Date]],Database!$A:$C,MATCH($C$1,Database!$A$1:$C$1,),)=0,#N/A,VLOOKUP(Table7[[#This Row],[Date]],Database!$A:$C,MATCH($C$1,Database!$A$1:$C$1,),))</f>
        <v/>
      </c>
      <c r="D244">
        <f>IFERROR(Table7[[#This Row],[United States 10y]]-Table7[[#This Row],[United States 3y]],#N/A)</f>
        <v/>
      </c>
    </row>
    <row r="245">
      <c r="A245" s="6">
        <f>Database!$A2330</f>
        <v/>
      </c>
      <c r="B245">
        <f>IF(VLOOKUP(Table7[[#This Row],[Date]],Database!$A:$C,MATCH($B$1,Database!$A$1:$C$1,),)=0,#N/A,VLOOKUP(Table7[[#This Row],[Date]],Database!$A:$C,MATCH($B$1,Database!$A$1:$C$1,),))</f>
        <v/>
      </c>
      <c r="C245">
        <f>IF(VLOOKUP(Table7[[#This Row],[Date]],Database!$A:$C,MATCH($C$1,Database!$A$1:$C$1,),)=0,#N/A,VLOOKUP(Table7[[#This Row],[Date]],Database!$A:$C,MATCH($C$1,Database!$A$1:$C$1,),))</f>
        <v/>
      </c>
      <c r="D245">
        <f>IFERROR(Table7[[#This Row],[United States 10y]]-Table7[[#This Row],[United States 3y]],#N/A)</f>
        <v/>
      </c>
    </row>
    <row r="246">
      <c r="A246" s="6">
        <f>Database!$A2331</f>
        <v/>
      </c>
      <c r="B246">
        <f>IF(VLOOKUP(Table7[[#This Row],[Date]],Database!$A:$C,MATCH($B$1,Database!$A$1:$C$1,),)=0,#N/A,VLOOKUP(Table7[[#This Row],[Date]],Database!$A:$C,MATCH($B$1,Database!$A$1:$C$1,),))</f>
        <v/>
      </c>
      <c r="C246">
        <f>IF(VLOOKUP(Table7[[#This Row],[Date]],Database!$A:$C,MATCH($C$1,Database!$A$1:$C$1,),)=0,#N/A,VLOOKUP(Table7[[#This Row],[Date]],Database!$A:$C,MATCH($C$1,Database!$A$1:$C$1,),))</f>
        <v/>
      </c>
      <c r="D246">
        <f>IFERROR(Table7[[#This Row],[United States 10y]]-Table7[[#This Row],[United States 3y]],#N/A)</f>
        <v/>
      </c>
    </row>
    <row r="247">
      <c r="A247" s="6">
        <f>Database!$A2332</f>
        <v/>
      </c>
      <c r="B247">
        <f>IF(VLOOKUP(Table7[[#This Row],[Date]],Database!$A:$C,MATCH($B$1,Database!$A$1:$C$1,),)=0,#N/A,VLOOKUP(Table7[[#This Row],[Date]],Database!$A:$C,MATCH($B$1,Database!$A$1:$C$1,),))</f>
        <v/>
      </c>
      <c r="C247">
        <f>IF(VLOOKUP(Table7[[#This Row],[Date]],Database!$A:$C,MATCH($C$1,Database!$A$1:$C$1,),)=0,#N/A,VLOOKUP(Table7[[#This Row],[Date]],Database!$A:$C,MATCH($C$1,Database!$A$1:$C$1,),))</f>
        <v/>
      </c>
      <c r="D247">
        <f>IFERROR(Table7[[#This Row],[United States 10y]]-Table7[[#This Row],[United States 3y]],#N/A)</f>
        <v/>
      </c>
    </row>
    <row r="248">
      <c r="A248" s="6">
        <f>Database!$A2333</f>
        <v/>
      </c>
      <c r="B248">
        <f>IF(VLOOKUP(Table7[[#This Row],[Date]],Database!$A:$C,MATCH($B$1,Database!$A$1:$C$1,),)=0,#N/A,VLOOKUP(Table7[[#This Row],[Date]],Database!$A:$C,MATCH($B$1,Database!$A$1:$C$1,),))</f>
        <v/>
      </c>
      <c r="C248">
        <f>IF(VLOOKUP(Table7[[#This Row],[Date]],Database!$A:$C,MATCH($C$1,Database!$A$1:$C$1,),)=0,#N/A,VLOOKUP(Table7[[#This Row],[Date]],Database!$A:$C,MATCH($C$1,Database!$A$1:$C$1,),))</f>
        <v/>
      </c>
      <c r="D248">
        <f>IFERROR(Table7[[#This Row],[United States 10y]]-Table7[[#This Row],[United States 3y]],#N/A)</f>
        <v/>
      </c>
    </row>
    <row r="249">
      <c r="A249" s="6">
        <f>Database!$A2334</f>
        <v/>
      </c>
      <c r="B249">
        <f>IF(VLOOKUP(Table7[[#This Row],[Date]],Database!$A:$C,MATCH($B$1,Database!$A$1:$C$1,),)=0,#N/A,VLOOKUP(Table7[[#This Row],[Date]],Database!$A:$C,MATCH($B$1,Database!$A$1:$C$1,),))</f>
        <v/>
      </c>
      <c r="C249">
        <f>IF(VLOOKUP(Table7[[#This Row],[Date]],Database!$A:$C,MATCH($C$1,Database!$A$1:$C$1,),)=0,#N/A,VLOOKUP(Table7[[#This Row],[Date]],Database!$A:$C,MATCH($C$1,Database!$A$1:$C$1,),))</f>
        <v/>
      </c>
      <c r="D249">
        <f>IFERROR(Table7[[#This Row],[United States 10y]]-Table7[[#This Row],[United States 3y]],#N/A)</f>
        <v/>
      </c>
    </row>
    <row r="250">
      <c r="A250" s="6">
        <f>Database!$A2335</f>
        <v/>
      </c>
      <c r="B250">
        <f>IF(VLOOKUP(Table7[[#This Row],[Date]],Database!$A:$C,MATCH($B$1,Database!$A$1:$C$1,),)=0,#N/A,VLOOKUP(Table7[[#This Row],[Date]],Database!$A:$C,MATCH($B$1,Database!$A$1:$C$1,),))</f>
        <v/>
      </c>
      <c r="C250">
        <f>IF(VLOOKUP(Table7[[#This Row],[Date]],Database!$A:$C,MATCH($C$1,Database!$A$1:$C$1,),)=0,#N/A,VLOOKUP(Table7[[#This Row],[Date]],Database!$A:$C,MATCH($C$1,Database!$A$1:$C$1,),))</f>
        <v/>
      </c>
      <c r="D250">
        <f>IFERROR(Table7[[#This Row],[United States 10y]]-Table7[[#This Row],[United States 3y]],#N/A)</f>
        <v/>
      </c>
    </row>
    <row r="251">
      <c r="A251" s="6">
        <f>Database!$A2336</f>
        <v/>
      </c>
      <c r="B251">
        <f>IF(VLOOKUP(Table7[[#This Row],[Date]],Database!$A:$C,MATCH($B$1,Database!$A$1:$C$1,),)=0,#N/A,VLOOKUP(Table7[[#This Row],[Date]],Database!$A:$C,MATCH($B$1,Database!$A$1:$C$1,),))</f>
        <v/>
      </c>
      <c r="C251">
        <f>IF(VLOOKUP(Table7[[#This Row],[Date]],Database!$A:$C,MATCH($C$1,Database!$A$1:$C$1,),)=0,#N/A,VLOOKUP(Table7[[#This Row],[Date]],Database!$A:$C,MATCH($C$1,Database!$A$1:$C$1,),))</f>
        <v/>
      </c>
      <c r="D251">
        <f>IFERROR(Table7[[#This Row],[United States 10y]]-Table7[[#This Row],[United States 3y]],#N/A)</f>
        <v/>
      </c>
    </row>
    <row r="252">
      <c r="A252" s="6">
        <f>Database!$A2337</f>
        <v/>
      </c>
      <c r="B252">
        <f>IF(VLOOKUP(Table7[[#This Row],[Date]],Database!$A:$C,MATCH($B$1,Database!$A$1:$C$1,),)=0,#N/A,VLOOKUP(Table7[[#This Row],[Date]],Database!$A:$C,MATCH($B$1,Database!$A$1:$C$1,),))</f>
        <v/>
      </c>
      <c r="C252">
        <f>IF(VLOOKUP(Table7[[#This Row],[Date]],Database!$A:$C,MATCH($C$1,Database!$A$1:$C$1,),)=0,#N/A,VLOOKUP(Table7[[#This Row],[Date]],Database!$A:$C,MATCH($C$1,Database!$A$1:$C$1,),))</f>
        <v/>
      </c>
      <c r="D252">
        <f>IFERROR(Table7[[#This Row],[United States 10y]]-Table7[[#This Row],[United States 3y]],#N/A)</f>
        <v/>
      </c>
    </row>
    <row r="253">
      <c r="A253" s="6">
        <f>Database!$A2338</f>
        <v/>
      </c>
      <c r="B253">
        <f>IF(VLOOKUP(Table7[[#This Row],[Date]],Database!$A:$C,MATCH($B$1,Database!$A$1:$C$1,),)=0,#N/A,VLOOKUP(Table7[[#This Row],[Date]],Database!$A:$C,MATCH($B$1,Database!$A$1:$C$1,),))</f>
        <v/>
      </c>
      <c r="C253">
        <f>IF(VLOOKUP(Table7[[#This Row],[Date]],Database!$A:$C,MATCH($C$1,Database!$A$1:$C$1,),)=0,#N/A,VLOOKUP(Table7[[#This Row],[Date]],Database!$A:$C,MATCH($C$1,Database!$A$1:$C$1,),))</f>
        <v/>
      </c>
      <c r="D253">
        <f>IFERROR(Table7[[#This Row],[United States 10y]]-Table7[[#This Row],[United States 3y]],#N/A)</f>
        <v/>
      </c>
    </row>
    <row r="254">
      <c r="A254" s="6">
        <f>Database!$A2339</f>
        <v/>
      </c>
      <c r="B254">
        <f>IF(VLOOKUP(Table7[[#This Row],[Date]],Database!$A:$C,MATCH($B$1,Database!$A$1:$C$1,),)=0,#N/A,VLOOKUP(Table7[[#This Row],[Date]],Database!$A:$C,MATCH($B$1,Database!$A$1:$C$1,),))</f>
        <v/>
      </c>
      <c r="C254">
        <f>IF(VLOOKUP(Table7[[#This Row],[Date]],Database!$A:$C,MATCH($C$1,Database!$A$1:$C$1,),)=0,#N/A,VLOOKUP(Table7[[#This Row],[Date]],Database!$A:$C,MATCH($C$1,Database!$A$1:$C$1,),))</f>
        <v/>
      </c>
      <c r="D254">
        <f>IFERROR(Table7[[#This Row],[United States 10y]]-Table7[[#This Row],[United States 3y]],#N/A)</f>
        <v/>
      </c>
    </row>
    <row r="255">
      <c r="A255" s="6">
        <f>Database!$A2340</f>
        <v/>
      </c>
      <c r="B255">
        <f>IF(VLOOKUP(Table7[[#This Row],[Date]],Database!$A:$C,MATCH($B$1,Database!$A$1:$C$1,),)=0,#N/A,VLOOKUP(Table7[[#This Row],[Date]],Database!$A:$C,MATCH($B$1,Database!$A$1:$C$1,),))</f>
        <v/>
      </c>
      <c r="C255">
        <f>IF(VLOOKUP(Table7[[#This Row],[Date]],Database!$A:$C,MATCH($C$1,Database!$A$1:$C$1,),)=0,#N/A,VLOOKUP(Table7[[#This Row],[Date]],Database!$A:$C,MATCH($C$1,Database!$A$1:$C$1,),))</f>
        <v/>
      </c>
      <c r="D255">
        <f>IFERROR(Table7[[#This Row],[United States 10y]]-Table7[[#This Row],[United States 3y]],#N/A)</f>
        <v/>
      </c>
    </row>
    <row r="256">
      <c r="A256" s="6">
        <f>Database!$A2341</f>
        <v/>
      </c>
      <c r="B256">
        <f>IF(VLOOKUP(Table7[[#This Row],[Date]],Database!$A:$C,MATCH($B$1,Database!$A$1:$C$1,),)=0,#N/A,VLOOKUP(Table7[[#This Row],[Date]],Database!$A:$C,MATCH($B$1,Database!$A$1:$C$1,),))</f>
        <v/>
      </c>
      <c r="C256">
        <f>IF(VLOOKUP(Table7[[#This Row],[Date]],Database!$A:$C,MATCH($C$1,Database!$A$1:$C$1,),)=0,#N/A,VLOOKUP(Table7[[#This Row],[Date]],Database!$A:$C,MATCH($C$1,Database!$A$1:$C$1,),))</f>
        <v/>
      </c>
      <c r="D256">
        <f>IFERROR(Table7[[#This Row],[United States 10y]]-Table7[[#This Row],[United States 3y]],#N/A)</f>
        <v/>
      </c>
    </row>
    <row r="257">
      <c r="A257" s="6">
        <f>Database!$A2342</f>
        <v/>
      </c>
      <c r="B257">
        <f>IF(VLOOKUP(Table7[[#This Row],[Date]],Database!$A:$C,MATCH($B$1,Database!$A$1:$C$1,),)=0,#N/A,VLOOKUP(Table7[[#This Row],[Date]],Database!$A:$C,MATCH($B$1,Database!$A$1:$C$1,),))</f>
        <v/>
      </c>
      <c r="C257">
        <f>IF(VLOOKUP(Table7[[#This Row],[Date]],Database!$A:$C,MATCH($C$1,Database!$A$1:$C$1,),)=0,#N/A,VLOOKUP(Table7[[#This Row],[Date]],Database!$A:$C,MATCH($C$1,Database!$A$1:$C$1,),))</f>
        <v/>
      </c>
      <c r="D257">
        <f>IFERROR(Table7[[#This Row],[United States 10y]]-Table7[[#This Row],[United States 3y]],#N/A)</f>
        <v/>
      </c>
    </row>
    <row r="258">
      <c r="A258" s="6">
        <f>Database!$A2343</f>
        <v/>
      </c>
      <c r="B258">
        <f>IF(VLOOKUP(Table7[[#This Row],[Date]],Database!$A:$C,MATCH($B$1,Database!$A$1:$C$1,),)=0,#N/A,VLOOKUP(Table7[[#This Row],[Date]],Database!$A:$C,MATCH($B$1,Database!$A$1:$C$1,),))</f>
        <v/>
      </c>
      <c r="C258">
        <f>IF(VLOOKUP(Table7[[#This Row],[Date]],Database!$A:$C,MATCH($C$1,Database!$A$1:$C$1,),)=0,#N/A,VLOOKUP(Table7[[#This Row],[Date]],Database!$A:$C,MATCH($C$1,Database!$A$1:$C$1,),))</f>
        <v/>
      </c>
      <c r="D258">
        <f>IFERROR(Table7[[#This Row],[United States 10y]]-Table7[[#This Row],[United States 3y]],#N/A)</f>
        <v/>
      </c>
    </row>
    <row r="259">
      <c r="A259" s="6">
        <f>Database!$A2344</f>
        <v/>
      </c>
      <c r="B259">
        <f>IF(VLOOKUP(Table7[[#This Row],[Date]],Database!$A:$C,MATCH($B$1,Database!$A$1:$C$1,),)=0,#N/A,VLOOKUP(Table7[[#This Row],[Date]],Database!$A:$C,MATCH($B$1,Database!$A$1:$C$1,),))</f>
        <v/>
      </c>
      <c r="C259">
        <f>IF(VLOOKUP(Table7[[#This Row],[Date]],Database!$A:$C,MATCH($C$1,Database!$A$1:$C$1,),)=0,#N/A,VLOOKUP(Table7[[#This Row],[Date]],Database!$A:$C,MATCH($C$1,Database!$A$1:$C$1,),))</f>
        <v/>
      </c>
      <c r="D259">
        <f>IFERROR(Table7[[#This Row],[United States 10y]]-Table7[[#This Row],[United States 3y]],#N/A)</f>
        <v/>
      </c>
    </row>
    <row r="260">
      <c r="A260" s="6">
        <f>Database!$A2345</f>
        <v/>
      </c>
      <c r="B260">
        <f>IF(VLOOKUP(Table7[[#This Row],[Date]],Database!$A:$C,MATCH($B$1,Database!$A$1:$C$1,),)=0,#N/A,VLOOKUP(Table7[[#This Row],[Date]],Database!$A:$C,MATCH($B$1,Database!$A$1:$C$1,),))</f>
        <v/>
      </c>
      <c r="C260">
        <f>IF(VLOOKUP(Table7[[#This Row],[Date]],Database!$A:$C,MATCH($C$1,Database!$A$1:$C$1,),)=0,#N/A,VLOOKUP(Table7[[#This Row],[Date]],Database!$A:$C,MATCH($C$1,Database!$A$1:$C$1,),))</f>
        <v/>
      </c>
      <c r="D260">
        <f>IFERROR(Table7[[#This Row],[United States 10y]]-Table7[[#This Row],[United States 3y]],#N/A)</f>
        <v/>
      </c>
    </row>
    <row r="261">
      <c r="A261" s="6">
        <f>Database!$A2346</f>
        <v/>
      </c>
      <c r="B261">
        <f>IF(VLOOKUP(Table7[[#This Row],[Date]],Database!$A:$C,MATCH($B$1,Database!$A$1:$C$1,),)=0,#N/A,VLOOKUP(Table7[[#This Row],[Date]],Database!$A:$C,MATCH($B$1,Database!$A$1:$C$1,),))</f>
        <v/>
      </c>
      <c r="C261">
        <f>IF(VLOOKUP(Table7[[#This Row],[Date]],Database!$A:$C,MATCH($C$1,Database!$A$1:$C$1,),)=0,#N/A,VLOOKUP(Table7[[#This Row],[Date]],Database!$A:$C,MATCH($C$1,Database!$A$1:$C$1,),))</f>
        <v/>
      </c>
      <c r="D261">
        <f>IFERROR(Table7[[#This Row],[United States 10y]]-Table7[[#This Row],[United States 3y]],#N/A)</f>
        <v/>
      </c>
    </row>
    <row r="262">
      <c r="A262" s="6">
        <f>Database!$A2347</f>
        <v/>
      </c>
      <c r="B262">
        <f>IF(VLOOKUP(Table7[[#This Row],[Date]],Database!$A:$C,MATCH($B$1,Database!$A$1:$C$1,),)=0,#N/A,VLOOKUP(Table7[[#This Row],[Date]],Database!$A:$C,MATCH($B$1,Database!$A$1:$C$1,),))</f>
        <v/>
      </c>
      <c r="C262">
        <f>IF(VLOOKUP(Table7[[#This Row],[Date]],Database!$A:$C,MATCH($C$1,Database!$A$1:$C$1,),)=0,#N/A,VLOOKUP(Table7[[#This Row],[Date]],Database!$A:$C,MATCH($C$1,Database!$A$1:$C$1,),))</f>
        <v/>
      </c>
      <c r="D262">
        <f>IFERROR(Table7[[#This Row],[United States 10y]]-Table7[[#This Row],[United States 3y]],#N/A)</f>
        <v/>
      </c>
    </row>
    <row r="263">
      <c r="A263" s="6">
        <f>Database!$A2348</f>
        <v/>
      </c>
      <c r="B263">
        <f>IF(VLOOKUP(Table7[[#This Row],[Date]],Database!$A:$C,MATCH($B$1,Database!$A$1:$C$1,),)=0,#N/A,VLOOKUP(Table7[[#This Row],[Date]],Database!$A:$C,MATCH($B$1,Database!$A$1:$C$1,),))</f>
        <v/>
      </c>
      <c r="C263">
        <f>IF(VLOOKUP(Table7[[#This Row],[Date]],Database!$A:$C,MATCH($C$1,Database!$A$1:$C$1,),)=0,#N/A,VLOOKUP(Table7[[#This Row],[Date]],Database!$A:$C,MATCH($C$1,Database!$A$1:$C$1,),))</f>
        <v/>
      </c>
      <c r="D263">
        <f>IFERROR(Table7[[#This Row],[United States 10y]]-Table7[[#This Row],[United States 3y]],#N/A)</f>
        <v/>
      </c>
    </row>
    <row r="264">
      <c r="A264" s="6">
        <f>Database!$A2349</f>
        <v/>
      </c>
      <c r="B264">
        <f>IF(VLOOKUP(Table7[[#This Row],[Date]],Database!$A:$C,MATCH($B$1,Database!$A$1:$C$1,),)=0,#N/A,VLOOKUP(Table7[[#This Row],[Date]],Database!$A:$C,MATCH($B$1,Database!$A$1:$C$1,),))</f>
        <v/>
      </c>
      <c r="C264">
        <f>IF(VLOOKUP(Table7[[#This Row],[Date]],Database!$A:$C,MATCH($C$1,Database!$A$1:$C$1,),)=0,#N/A,VLOOKUP(Table7[[#This Row],[Date]],Database!$A:$C,MATCH($C$1,Database!$A$1:$C$1,),))</f>
        <v/>
      </c>
      <c r="D264">
        <f>IFERROR(Table7[[#This Row],[United States 10y]]-Table7[[#This Row],[United States 3y]],#N/A)</f>
        <v/>
      </c>
    </row>
    <row r="265">
      <c r="A265" s="6">
        <f>Database!$A2350</f>
        <v/>
      </c>
      <c r="B265">
        <f>IF(VLOOKUP(Table7[[#This Row],[Date]],Database!$A:$C,MATCH($B$1,Database!$A$1:$C$1,),)=0,#N/A,VLOOKUP(Table7[[#This Row],[Date]],Database!$A:$C,MATCH($B$1,Database!$A$1:$C$1,),))</f>
        <v/>
      </c>
      <c r="C265">
        <f>IF(VLOOKUP(Table7[[#This Row],[Date]],Database!$A:$C,MATCH($C$1,Database!$A$1:$C$1,),)=0,#N/A,VLOOKUP(Table7[[#This Row],[Date]],Database!$A:$C,MATCH($C$1,Database!$A$1:$C$1,),))</f>
        <v/>
      </c>
      <c r="D265">
        <f>IFERROR(Table7[[#This Row],[United States 10y]]-Table7[[#This Row],[United States 3y]],#N/A)</f>
        <v/>
      </c>
    </row>
    <row r="266">
      <c r="A266" s="6">
        <f>Database!$A2351</f>
        <v/>
      </c>
      <c r="B266">
        <f>IF(VLOOKUP(Table7[[#This Row],[Date]],Database!$A:$C,MATCH($B$1,Database!$A$1:$C$1,),)=0,#N/A,VLOOKUP(Table7[[#This Row],[Date]],Database!$A:$C,MATCH($B$1,Database!$A$1:$C$1,),))</f>
        <v/>
      </c>
      <c r="C266">
        <f>IF(VLOOKUP(Table7[[#This Row],[Date]],Database!$A:$C,MATCH($C$1,Database!$A$1:$C$1,),)=0,#N/A,VLOOKUP(Table7[[#This Row],[Date]],Database!$A:$C,MATCH($C$1,Database!$A$1:$C$1,),))</f>
        <v/>
      </c>
      <c r="D266">
        <f>IFERROR(Table7[[#This Row],[United States 10y]]-Table7[[#This Row],[United States 3y]],#N/A)</f>
        <v/>
      </c>
    </row>
    <row r="267">
      <c r="A267" s="6">
        <f>Database!$A2352</f>
        <v/>
      </c>
      <c r="B267">
        <f>IF(VLOOKUP(Table7[[#This Row],[Date]],Database!$A:$C,MATCH($B$1,Database!$A$1:$C$1,),)=0,#N/A,VLOOKUP(Table7[[#This Row],[Date]],Database!$A:$C,MATCH($B$1,Database!$A$1:$C$1,),))</f>
        <v/>
      </c>
      <c r="C267">
        <f>IF(VLOOKUP(Table7[[#This Row],[Date]],Database!$A:$C,MATCH($C$1,Database!$A$1:$C$1,),)=0,#N/A,VLOOKUP(Table7[[#This Row],[Date]],Database!$A:$C,MATCH($C$1,Database!$A$1:$C$1,),))</f>
        <v/>
      </c>
      <c r="D267">
        <f>IFERROR(Table7[[#This Row],[United States 10y]]-Table7[[#This Row],[United States 3y]],#N/A)</f>
        <v/>
      </c>
    </row>
    <row r="268">
      <c r="A268" s="6">
        <f>Database!$A2353</f>
        <v/>
      </c>
      <c r="B268">
        <f>IF(VLOOKUP(Table7[[#This Row],[Date]],Database!$A:$C,MATCH($B$1,Database!$A$1:$C$1,),)=0,#N/A,VLOOKUP(Table7[[#This Row],[Date]],Database!$A:$C,MATCH($B$1,Database!$A$1:$C$1,),))</f>
        <v/>
      </c>
      <c r="C268">
        <f>IF(VLOOKUP(Table7[[#This Row],[Date]],Database!$A:$C,MATCH($C$1,Database!$A$1:$C$1,),)=0,#N/A,VLOOKUP(Table7[[#This Row],[Date]],Database!$A:$C,MATCH($C$1,Database!$A$1:$C$1,),))</f>
        <v/>
      </c>
      <c r="D268">
        <f>IFERROR(Table7[[#This Row],[United States 10y]]-Table7[[#This Row],[United States 3y]],#N/A)</f>
        <v/>
      </c>
    </row>
    <row r="269">
      <c r="A269" s="6">
        <f>Database!$A2354</f>
        <v/>
      </c>
      <c r="B269">
        <f>IF(VLOOKUP(Table7[[#This Row],[Date]],Database!$A:$C,MATCH($B$1,Database!$A$1:$C$1,),)=0,#N/A,VLOOKUP(Table7[[#This Row],[Date]],Database!$A:$C,MATCH($B$1,Database!$A$1:$C$1,),))</f>
        <v/>
      </c>
      <c r="C269">
        <f>IF(VLOOKUP(Table7[[#This Row],[Date]],Database!$A:$C,MATCH($C$1,Database!$A$1:$C$1,),)=0,#N/A,VLOOKUP(Table7[[#This Row],[Date]],Database!$A:$C,MATCH($C$1,Database!$A$1:$C$1,),))</f>
        <v/>
      </c>
      <c r="D269">
        <f>IFERROR(Table7[[#This Row],[United States 10y]]-Table7[[#This Row],[United States 3y]],#N/A)</f>
        <v/>
      </c>
    </row>
    <row r="270">
      <c r="A270" s="6">
        <f>Database!$A2355</f>
        <v/>
      </c>
      <c r="B270">
        <f>IF(VLOOKUP(Table7[[#This Row],[Date]],Database!$A:$C,MATCH($B$1,Database!$A$1:$C$1,),)=0,#N/A,VLOOKUP(Table7[[#This Row],[Date]],Database!$A:$C,MATCH($B$1,Database!$A$1:$C$1,),))</f>
        <v/>
      </c>
      <c r="C270">
        <f>IF(VLOOKUP(Table7[[#This Row],[Date]],Database!$A:$C,MATCH($C$1,Database!$A$1:$C$1,),)=0,#N/A,VLOOKUP(Table7[[#This Row],[Date]],Database!$A:$C,MATCH($C$1,Database!$A$1:$C$1,),))</f>
        <v/>
      </c>
      <c r="D270">
        <f>IFERROR(Table7[[#This Row],[United States 10y]]-Table7[[#This Row],[United States 3y]],#N/A)</f>
        <v/>
      </c>
    </row>
    <row r="271">
      <c r="A271" s="6">
        <f>Database!$A2356</f>
        <v/>
      </c>
      <c r="B271">
        <f>IF(VLOOKUP(Table7[[#This Row],[Date]],Database!$A:$C,MATCH($B$1,Database!$A$1:$C$1,),)=0,#N/A,VLOOKUP(Table7[[#This Row],[Date]],Database!$A:$C,MATCH($B$1,Database!$A$1:$C$1,),))</f>
        <v/>
      </c>
      <c r="C271">
        <f>IF(VLOOKUP(Table7[[#This Row],[Date]],Database!$A:$C,MATCH($C$1,Database!$A$1:$C$1,),)=0,#N/A,VLOOKUP(Table7[[#This Row],[Date]],Database!$A:$C,MATCH($C$1,Database!$A$1:$C$1,),))</f>
        <v/>
      </c>
      <c r="D271">
        <f>IFERROR(Table7[[#This Row],[United States 10y]]-Table7[[#This Row],[United States 3y]],#N/A)</f>
        <v/>
      </c>
    </row>
    <row r="272">
      <c r="A272" s="6">
        <f>Database!$A2357</f>
        <v/>
      </c>
      <c r="B272">
        <f>IF(VLOOKUP(Table7[[#This Row],[Date]],Database!$A:$C,MATCH($B$1,Database!$A$1:$C$1,),)=0,#N/A,VLOOKUP(Table7[[#This Row],[Date]],Database!$A:$C,MATCH($B$1,Database!$A$1:$C$1,),))</f>
        <v/>
      </c>
      <c r="C272">
        <f>IF(VLOOKUP(Table7[[#This Row],[Date]],Database!$A:$C,MATCH($C$1,Database!$A$1:$C$1,),)=0,#N/A,VLOOKUP(Table7[[#This Row],[Date]],Database!$A:$C,MATCH($C$1,Database!$A$1:$C$1,),))</f>
        <v/>
      </c>
      <c r="D272">
        <f>IFERROR(Table7[[#This Row],[United States 10y]]-Table7[[#This Row],[United States 3y]],#N/A)</f>
        <v/>
      </c>
    </row>
    <row r="273">
      <c r="A273" s="6">
        <f>Database!$A2358</f>
        <v/>
      </c>
      <c r="B273">
        <f>IF(VLOOKUP(Table7[[#This Row],[Date]],Database!$A:$C,MATCH($B$1,Database!$A$1:$C$1,),)=0,#N/A,VLOOKUP(Table7[[#This Row],[Date]],Database!$A:$C,MATCH($B$1,Database!$A$1:$C$1,),))</f>
        <v/>
      </c>
      <c r="C273">
        <f>IF(VLOOKUP(Table7[[#This Row],[Date]],Database!$A:$C,MATCH($C$1,Database!$A$1:$C$1,),)=0,#N/A,VLOOKUP(Table7[[#This Row],[Date]],Database!$A:$C,MATCH($C$1,Database!$A$1:$C$1,),))</f>
        <v/>
      </c>
      <c r="D273">
        <f>IFERROR(Table7[[#This Row],[United States 10y]]-Table7[[#This Row],[United States 3y]],#N/A)</f>
        <v/>
      </c>
    </row>
    <row r="274">
      <c r="A274" s="6">
        <f>Database!$A2359</f>
        <v/>
      </c>
      <c r="B274">
        <f>IF(VLOOKUP(Table7[[#This Row],[Date]],Database!$A:$C,MATCH($B$1,Database!$A$1:$C$1,),)=0,#N/A,VLOOKUP(Table7[[#This Row],[Date]],Database!$A:$C,MATCH($B$1,Database!$A$1:$C$1,),))</f>
        <v/>
      </c>
      <c r="C274">
        <f>IF(VLOOKUP(Table7[[#This Row],[Date]],Database!$A:$C,MATCH($C$1,Database!$A$1:$C$1,),)=0,#N/A,VLOOKUP(Table7[[#This Row],[Date]],Database!$A:$C,MATCH($C$1,Database!$A$1:$C$1,),))</f>
        <v/>
      </c>
      <c r="D274">
        <f>IFERROR(Table7[[#This Row],[United States 10y]]-Table7[[#This Row],[United States 3y]],#N/A)</f>
        <v/>
      </c>
    </row>
    <row r="275">
      <c r="A275" s="6">
        <f>Database!$A2360</f>
        <v/>
      </c>
      <c r="B275">
        <f>IF(VLOOKUP(Table7[[#This Row],[Date]],Database!$A:$C,MATCH($B$1,Database!$A$1:$C$1,),)=0,#N/A,VLOOKUP(Table7[[#This Row],[Date]],Database!$A:$C,MATCH($B$1,Database!$A$1:$C$1,),))</f>
        <v/>
      </c>
      <c r="C275">
        <f>IF(VLOOKUP(Table7[[#This Row],[Date]],Database!$A:$C,MATCH($C$1,Database!$A$1:$C$1,),)=0,#N/A,VLOOKUP(Table7[[#This Row],[Date]],Database!$A:$C,MATCH($C$1,Database!$A$1:$C$1,),))</f>
        <v/>
      </c>
      <c r="D275">
        <f>IFERROR(Table7[[#This Row],[United States 10y]]-Table7[[#This Row],[United States 3y]],#N/A)</f>
        <v/>
      </c>
    </row>
    <row r="276">
      <c r="A276" s="6">
        <f>Database!$A2361</f>
        <v/>
      </c>
      <c r="B276">
        <f>IF(VLOOKUP(Table7[[#This Row],[Date]],Database!$A:$C,MATCH($B$1,Database!$A$1:$C$1,),)=0,#N/A,VLOOKUP(Table7[[#This Row],[Date]],Database!$A:$C,MATCH($B$1,Database!$A$1:$C$1,),))</f>
        <v/>
      </c>
      <c r="C276">
        <f>IF(VLOOKUP(Table7[[#This Row],[Date]],Database!$A:$C,MATCH($C$1,Database!$A$1:$C$1,),)=0,#N/A,VLOOKUP(Table7[[#This Row],[Date]],Database!$A:$C,MATCH($C$1,Database!$A$1:$C$1,),))</f>
        <v/>
      </c>
      <c r="D276">
        <f>IFERROR(Table7[[#This Row],[United States 10y]]-Table7[[#This Row],[United States 3y]],#N/A)</f>
        <v/>
      </c>
    </row>
    <row r="277">
      <c r="A277" s="6">
        <f>Database!$A2362</f>
        <v/>
      </c>
      <c r="B277">
        <f>IF(VLOOKUP(Table7[[#This Row],[Date]],Database!$A:$C,MATCH($B$1,Database!$A$1:$C$1,),)=0,#N/A,VLOOKUP(Table7[[#This Row],[Date]],Database!$A:$C,MATCH($B$1,Database!$A$1:$C$1,),))</f>
        <v/>
      </c>
      <c r="C277">
        <f>IF(VLOOKUP(Table7[[#This Row],[Date]],Database!$A:$C,MATCH($C$1,Database!$A$1:$C$1,),)=0,#N/A,VLOOKUP(Table7[[#This Row],[Date]],Database!$A:$C,MATCH($C$1,Database!$A$1:$C$1,),))</f>
        <v/>
      </c>
      <c r="D277">
        <f>IFERROR(Table7[[#This Row],[United States 10y]]-Table7[[#This Row],[United States 3y]],#N/A)</f>
        <v/>
      </c>
    </row>
    <row r="278">
      <c r="A278" s="6">
        <f>Database!$A2363</f>
        <v/>
      </c>
      <c r="B278">
        <f>IF(VLOOKUP(Table7[[#This Row],[Date]],Database!$A:$C,MATCH($B$1,Database!$A$1:$C$1,),)=0,#N/A,VLOOKUP(Table7[[#This Row],[Date]],Database!$A:$C,MATCH($B$1,Database!$A$1:$C$1,),))</f>
        <v/>
      </c>
      <c r="C278">
        <f>IF(VLOOKUP(Table7[[#This Row],[Date]],Database!$A:$C,MATCH($C$1,Database!$A$1:$C$1,),)=0,#N/A,VLOOKUP(Table7[[#This Row],[Date]],Database!$A:$C,MATCH($C$1,Database!$A$1:$C$1,),))</f>
        <v/>
      </c>
      <c r="D278">
        <f>IFERROR(Table7[[#This Row],[United States 10y]]-Table7[[#This Row],[United States 3y]],#N/A)</f>
        <v/>
      </c>
    </row>
    <row r="279">
      <c r="A279" s="6">
        <f>Database!$A2364</f>
        <v/>
      </c>
      <c r="B279">
        <f>IF(VLOOKUP(Table7[[#This Row],[Date]],Database!$A:$C,MATCH($B$1,Database!$A$1:$C$1,),)=0,#N/A,VLOOKUP(Table7[[#This Row],[Date]],Database!$A:$C,MATCH($B$1,Database!$A$1:$C$1,),))</f>
        <v/>
      </c>
      <c r="C279">
        <f>IF(VLOOKUP(Table7[[#This Row],[Date]],Database!$A:$C,MATCH($C$1,Database!$A$1:$C$1,),)=0,#N/A,VLOOKUP(Table7[[#This Row],[Date]],Database!$A:$C,MATCH($C$1,Database!$A$1:$C$1,),))</f>
        <v/>
      </c>
      <c r="D279">
        <f>IFERROR(Table7[[#This Row],[United States 10y]]-Table7[[#This Row],[United States 3y]],#N/A)</f>
        <v/>
      </c>
    </row>
    <row r="280">
      <c r="A280" s="6">
        <f>Database!$A2365</f>
        <v/>
      </c>
      <c r="B280">
        <f>IF(VLOOKUP(Table7[[#This Row],[Date]],Database!$A:$C,MATCH($B$1,Database!$A$1:$C$1,),)=0,#N/A,VLOOKUP(Table7[[#This Row],[Date]],Database!$A:$C,MATCH($B$1,Database!$A$1:$C$1,),))</f>
        <v/>
      </c>
      <c r="C280">
        <f>IF(VLOOKUP(Table7[[#This Row],[Date]],Database!$A:$C,MATCH($C$1,Database!$A$1:$C$1,),)=0,#N/A,VLOOKUP(Table7[[#This Row],[Date]],Database!$A:$C,MATCH($C$1,Database!$A$1:$C$1,),))</f>
        <v/>
      </c>
      <c r="D280">
        <f>IFERROR(Table7[[#This Row],[United States 10y]]-Table7[[#This Row],[United States 3y]],#N/A)</f>
        <v/>
      </c>
    </row>
    <row r="281">
      <c r="A281" s="6">
        <f>Database!$A2366</f>
        <v/>
      </c>
      <c r="B281">
        <f>IF(VLOOKUP(Table7[[#This Row],[Date]],Database!$A:$C,MATCH($B$1,Database!$A$1:$C$1,),)=0,#N/A,VLOOKUP(Table7[[#This Row],[Date]],Database!$A:$C,MATCH($B$1,Database!$A$1:$C$1,),))</f>
        <v/>
      </c>
      <c r="C281">
        <f>IF(VLOOKUP(Table7[[#This Row],[Date]],Database!$A:$C,MATCH($C$1,Database!$A$1:$C$1,),)=0,#N/A,VLOOKUP(Table7[[#This Row],[Date]],Database!$A:$C,MATCH($C$1,Database!$A$1:$C$1,),))</f>
        <v/>
      </c>
      <c r="D281">
        <f>IFERROR(Table7[[#This Row],[United States 10y]]-Table7[[#This Row],[United States 3y]],#N/A)</f>
        <v/>
      </c>
    </row>
    <row r="282">
      <c r="A282" s="6">
        <f>Database!$A2367</f>
        <v/>
      </c>
      <c r="B282">
        <f>IF(VLOOKUP(Table7[[#This Row],[Date]],Database!$A:$C,MATCH($B$1,Database!$A$1:$C$1,),)=0,#N/A,VLOOKUP(Table7[[#This Row],[Date]],Database!$A:$C,MATCH($B$1,Database!$A$1:$C$1,),))</f>
        <v/>
      </c>
      <c r="C282">
        <f>IF(VLOOKUP(Table7[[#This Row],[Date]],Database!$A:$C,MATCH($C$1,Database!$A$1:$C$1,),)=0,#N/A,VLOOKUP(Table7[[#This Row],[Date]],Database!$A:$C,MATCH($C$1,Database!$A$1:$C$1,),))</f>
        <v/>
      </c>
      <c r="D282">
        <f>IFERROR(Table7[[#This Row],[United States 10y]]-Table7[[#This Row],[United States 3y]],#N/A)</f>
        <v/>
      </c>
    </row>
    <row r="283">
      <c r="A283" s="6">
        <f>Database!$A2368</f>
        <v/>
      </c>
      <c r="B283">
        <f>IF(VLOOKUP(Table7[[#This Row],[Date]],Database!$A:$C,MATCH($B$1,Database!$A$1:$C$1,),)=0,#N/A,VLOOKUP(Table7[[#This Row],[Date]],Database!$A:$C,MATCH($B$1,Database!$A$1:$C$1,),))</f>
        <v/>
      </c>
      <c r="C283">
        <f>IF(VLOOKUP(Table7[[#This Row],[Date]],Database!$A:$C,MATCH($C$1,Database!$A$1:$C$1,),)=0,#N/A,VLOOKUP(Table7[[#This Row],[Date]],Database!$A:$C,MATCH($C$1,Database!$A$1:$C$1,),))</f>
        <v/>
      </c>
      <c r="D283">
        <f>IFERROR(Table7[[#This Row],[United States 10y]]-Table7[[#This Row],[United States 3y]],#N/A)</f>
        <v/>
      </c>
    </row>
    <row r="284">
      <c r="A284" s="6">
        <f>Database!$A2369</f>
        <v/>
      </c>
      <c r="B284">
        <f>IF(VLOOKUP(Table7[[#This Row],[Date]],Database!$A:$C,MATCH($B$1,Database!$A$1:$C$1,),)=0,#N/A,VLOOKUP(Table7[[#This Row],[Date]],Database!$A:$C,MATCH($B$1,Database!$A$1:$C$1,),))</f>
        <v/>
      </c>
      <c r="C284">
        <f>IF(VLOOKUP(Table7[[#This Row],[Date]],Database!$A:$C,MATCH($C$1,Database!$A$1:$C$1,),)=0,#N/A,VLOOKUP(Table7[[#This Row],[Date]],Database!$A:$C,MATCH($C$1,Database!$A$1:$C$1,),))</f>
        <v/>
      </c>
      <c r="D284">
        <f>IFERROR(Table7[[#This Row],[United States 10y]]-Table7[[#This Row],[United States 3y]],#N/A)</f>
        <v/>
      </c>
    </row>
    <row r="285">
      <c r="A285" s="6">
        <f>Database!$A2370</f>
        <v/>
      </c>
      <c r="B285">
        <f>IF(VLOOKUP(Table7[[#This Row],[Date]],Database!$A:$C,MATCH($B$1,Database!$A$1:$C$1,),)=0,#N/A,VLOOKUP(Table7[[#This Row],[Date]],Database!$A:$C,MATCH($B$1,Database!$A$1:$C$1,),))</f>
        <v/>
      </c>
      <c r="C285">
        <f>IF(VLOOKUP(Table7[[#This Row],[Date]],Database!$A:$C,MATCH($C$1,Database!$A$1:$C$1,),)=0,#N/A,VLOOKUP(Table7[[#This Row],[Date]],Database!$A:$C,MATCH($C$1,Database!$A$1:$C$1,),))</f>
        <v/>
      </c>
      <c r="D285">
        <f>IFERROR(Table7[[#This Row],[United States 10y]]-Table7[[#This Row],[United States 3y]],#N/A)</f>
        <v/>
      </c>
    </row>
    <row r="286">
      <c r="A286" s="6">
        <f>Database!$A2371</f>
        <v/>
      </c>
      <c r="B286">
        <f>IF(VLOOKUP(Table7[[#This Row],[Date]],Database!$A:$C,MATCH($B$1,Database!$A$1:$C$1,),)=0,#N/A,VLOOKUP(Table7[[#This Row],[Date]],Database!$A:$C,MATCH($B$1,Database!$A$1:$C$1,),))</f>
        <v/>
      </c>
      <c r="C286">
        <f>IF(VLOOKUP(Table7[[#This Row],[Date]],Database!$A:$C,MATCH($C$1,Database!$A$1:$C$1,),)=0,#N/A,VLOOKUP(Table7[[#This Row],[Date]],Database!$A:$C,MATCH($C$1,Database!$A$1:$C$1,),))</f>
        <v/>
      </c>
      <c r="D286">
        <f>IFERROR(Table7[[#This Row],[United States 10y]]-Table7[[#This Row],[United States 3y]],#N/A)</f>
        <v/>
      </c>
    </row>
    <row r="287">
      <c r="A287" s="6">
        <f>Database!$A2372</f>
        <v/>
      </c>
      <c r="B287">
        <f>IF(VLOOKUP(Table7[[#This Row],[Date]],Database!$A:$C,MATCH($B$1,Database!$A$1:$C$1,),)=0,#N/A,VLOOKUP(Table7[[#This Row],[Date]],Database!$A:$C,MATCH($B$1,Database!$A$1:$C$1,),))</f>
        <v/>
      </c>
      <c r="C287">
        <f>IF(VLOOKUP(Table7[[#This Row],[Date]],Database!$A:$C,MATCH($C$1,Database!$A$1:$C$1,),)=0,#N/A,VLOOKUP(Table7[[#This Row],[Date]],Database!$A:$C,MATCH($C$1,Database!$A$1:$C$1,),))</f>
        <v/>
      </c>
      <c r="D287">
        <f>IFERROR(Table7[[#This Row],[United States 10y]]-Table7[[#This Row],[United States 3y]],#N/A)</f>
        <v/>
      </c>
    </row>
    <row r="288">
      <c r="A288" s="6">
        <f>Database!$A2373</f>
        <v/>
      </c>
      <c r="B288">
        <f>IF(VLOOKUP(Table7[[#This Row],[Date]],Database!$A:$C,MATCH($B$1,Database!$A$1:$C$1,),)=0,#N/A,VLOOKUP(Table7[[#This Row],[Date]],Database!$A:$C,MATCH($B$1,Database!$A$1:$C$1,),))</f>
        <v/>
      </c>
      <c r="C288">
        <f>IF(VLOOKUP(Table7[[#This Row],[Date]],Database!$A:$C,MATCH($C$1,Database!$A$1:$C$1,),)=0,#N/A,VLOOKUP(Table7[[#This Row],[Date]],Database!$A:$C,MATCH($C$1,Database!$A$1:$C$1,),))</f>
        <v/>
      </c>
      <c r="D288">
        <f>IFERROR(Table7[[#This Row],[United States 10y]]-Table7[[#This Row],[United States 3y]],#N/A)</f>
        <v/>
      </c>
    </row>
    <row r="289">
      <c r="A289" s="6">
        <f>Database!$A2374</f>
        <v/>
      </c>
      <c r="B289">
        <f>IF(VLOOKUP(Table7[[#This Row],[Date]],Database!$A:$C,MATCH($B$1,Database!$A$1:$C$1,),)=0,#N/A,VLOOKUP(Table7[[#This Row],[Date]],Database!$A:$C,MATCH($B$1,Database!$A$1:$C$1,),))</f>
        <v/>
      </c>
      <c r="C289">
        <f>IF(VLOOKUP(Table7[[#This Row],[Date]],Database!$A:$C,MATCH($C$1,Database!$A$1:$C$1,),)=0,#N/A,VLOOKUP(Table7[[#This Row],[Date]],Database!$A:$C,MATCH($C$1,Database!$A$1:$C$1,),))</f>
        <v/>
      </c>
      <c r="D289">
        <f>IFERROR(Table7[[#This Row],[United States 10y]]-Table7[[#This Row],[United States 3y]],#N/A)</f>
        <v/>
      </c>
    </row>
    <row r="290">
      <c r="A290" s="6">
        <f>Database!$A2375</f>
        <v/>
      </c>
      <c r="B290">
        <f>IF(VLOOKUP(Table7[[#This Row],[Date]],Database!$A:$C,MATCH($B$1,Database!$A$1:$C$1,),)=0,#N/A,VLOOKUP(Table7[[#This Row],[Date]],Database!$A:$C,MATCH($B$1,Database!$A$1:$C$1,),))</f>
        <v/>
      </c>
      <c r="C290">
        <f>IF(VLOOKUP(Table7[[#This Row],[Date]],Database!$A:$C,MATCH($C$1,Database!$A$1:$C$1,),)=0,#N/A,VLOOKUP(Table7[[#This Row],[Date]],Database!$A:$C,MATCH($C$1,Database!$A$1:$C$1,),))</f>
        <v/>
      </c>
      <c r="D290">
        <f>IFERROR(Table7[[#This Row],[United States 10y]]-Table7[[#This Row],[United States 3y]],#N/A)</f>
        <v/>
      </c>
    </row>
    <row r="291">
      <c r="A291" s="6">
        <f>Database!$A2376</f>
        <v/>
      </c>
      <c r="B291">
        <f>IF(VLOOKUP(Table7[[#This Row],[Date]],Database!$A:$C,MATCH($B$1,Database!$A$1:$C$1,),)=0,#N/A,VLOOKUP(Table7[[#This Row],[Date]],Database!$A:$C,MATCH($B$1,Database!$A$1:$C$1,),))</f>
        <v/>
      </c>
      <c r="C291">
        <f>IF(VLOOKUP(Table7[[#This Row],[Date]],Database!$A:$C,MATCH($C$1,Database!$A$1:$C$1,),)=0,#N/A,VLOOKUP(Table7[[#This Row],[Date]],Database!$A:$C,MATCH($C$1,Database!$A$1:$C$1,),))</f>
        <v/>
      </c>
      <c r="D291">
        <f>IFERROR(Table7[[#This Row],[United States 10y]]-Table7[[#This Row],[United States 3y]],#N/A)</f>
        <v/>
      </c>
    </row>
    <row r="292">
      <c r="A292" s="6">
        <f>Database!$A2377</f>
        <v/>
      </c>
      <c r="B292">
        <f>IF(VLOOKUP(Table7[[#This Row],[Date]],Database!$A:$C,MATCH($B$1,Database!$A$1:$C$1,),)=0,#N/A,VLOOKUP(Table7[[#This Row],[Date]],Database!$A:$C,MATCH($B$1,Database!$A$1:$C$1,),))</f>
        <v/>
      </c>
      <c r="C292">
        <f>IF(VLOOKUP(Table7[[#This Row],[Date]],Database!$A:$C,MATCH($C$1,Database!$A$1:$C$1,),)=0,#N/A,VLOOKUP(Table7[[#This Row],[Date]],Database!$A:$C,MATCH($C$1,Database!$A$1:$C$1,),))</f>
        <v/>
      </c>
      <c r="D292">
        <f>IFERROR(Table7[[#This Row],[United States 10y]]-Table7[[#This Row],[United States 3y]],#N/A)</f>
        <v/>
      </c>
    </row>
    <row r="293">
      <c r="A293" s="6">
        <f>Database!$A2378</f>
        <v/>
      </c>
      <c r="B293">
        <f>IF(VLOOKUP(Table7[[#This Row],[Date]],Database!$A:$C,MATCH($B$1,Database!$A$1:$C$1,),)=0,#N/A,VLOOKUP(Table7[[#This Row],[Date]],Database!$A:$C,MATCH($B$1,Database!$A$1:$C$1,),))</f>
        <v/>
      </c>
      <c r="C293">
        <f>IF(VLOOKUP(Table7[[#This Row],[Date]],Database!$A:$C,MATCH($C$1,Database!$A$1:$C$1,),)=0,#N/A,VLOOKUP(Table7[[#This Row],[Date]],Database!$A:$C,MATCH($C$1,Database!$A$1:$C$1,),))</f>
        <v/>
      </c>
      <c r="D293">
        <f>IFERROR(Table7[[#This Row],[United States 10y]]-Table7[[#This Row],[United States 3y]],#N/A)</f>
        <v/>
      </c>
    </row>
    <row r="294">
      <c r="A294" s="6">
        <f>Database!$A2379</f>
        <v/>
      </c>
      <c r="B294">
        <f>IF(VLOOKUP(Table7[[#This Row],[Date]],Database!$A:$C,MATCH($B$1,Database!$A$1:$C$1,),)=0,#N/A,VLOOKUP(Table7[[#This Row],[Date]],Database!$A:$C,MATCH($B$1,Database!$A$1:$C$1,),))</f>
        <v/>
      </c>
      <c r="C294">
        <f>IF(VLOOKUP(Table7[[#This Row],[Date]],Database!$A:$C,MATCH($C$1,Database!$A$1:$C$1,),)=0,#N/A,VLOOKUP(Table7[[#This Row],[Date]],Database!$A:$C,MATCH($C$1,Database!$A$1:$C$1,),))</f>
        <v/>
      </c>
      <c r="D294">
        <f>IFERROR(Table7[[#This Row],[United States 10y]]-Table7[[#This Row],[United States 3y]],#N/A)</f>
        <v/>
      </c>
    </row>
    <row r="295">
      <c r="A295" s="6">
        <f>Database!$A2380</f>
        <v/>
      </c>
      <c r="B295">
        <f>IF(VLOOKUP(Table7[[#This Row],[Date]],Database!$A:$C,MATCH($B$1,Database!$A$1:$C$1,),)=0,#N/A,VLOOKUP(Table7[[#This Row],[Date]],Database!$A:$C,MATCH($B$1,Database!$A$1:$C$1,),))</f>
        <v/>
      </c>
      <c r="C295">
        <f>IF(VLOOKUP(Table7[[#This Row],[Date]],Database!$A:$C,MATCH($C$1,Database!$A$1:$C$1,),)=0,#N/A,VLOOKUP(Table7[[#This Row],[Date]],Database!$A:$C,MATCH($C$1,Database!$A$1:$C$1,),))</f>
        <v/>
      </c>
      <c r="D295">
        <f>IFERROR(Table7[[#This Row],[United States 10y]]-Table7[[#This Row],[United States 3y]],#N/A)</f>
        <v/>
      </c>
    </row>
    <row r="296">
      <c r="A296" s="6">
        <f>Database!$A2381</f>
        <v/>
      </c>
      <c r="B296">
        <f>IF(VLOOKUP(Table7[[#This Row],[Date]],Database!$A:$C,MATCH($B$1,Database!$A$1:$C$1,),)=0,#N/A,VLOOKUP(Table7[[#This Row],[Date]],Database!$A:$C,MATCH($B$1,Database!$A$1:$C$1,),))</f>
        <v/>
      </c>
      <c r="C296">
        <f>IF(VLOOKUP(Table7[[#This Row],[Date]],Database!$A:$C,MATCH($C$1,Database!$A$1:$C$1,),)=0,#N/A,VLOOKUP(Table7[[#This Row],[Date]],Database!$A:$C,MATCH($C$1,Database!$A$1:$C$1,),))</f>
        <v/>
      </c>
      <c r="D296">
        <f>IFERROR(Table7[[#This Row],[United States 10y]]-Table7[[#This Row],[United States 3y]],#N/A)</f>
        <v/>
      </c>
    </row>
    <row r="297">
      <c r="A297" s="6">
        <f>Database!$A2382</f>
        <v/>
      </c>
      <c r="B297">
        <f>IF(VLOOKUP(Table7[[#This Row],[Date]],Database!$A:$C,MATCH($B$1,Database!$A$1:$C$1,),)=0,#N/A,VLOOKUP(Table7[[#This Row],[Date]],Database!$A:$C,MATCH($B$1,Database!$A$1:$C$1,),))</f>
        <v/>
      </c>
      <c r="C297">
        <f>IF(VLOOKUP(Table7[[#This Row],[Date]],Database!$A:$C,MATCH($C$1,Database!$A$1:$C$1,),)=0,#N/A,VLOOKUP(Table7[[#This Row],[Date]],Database!$A:$C,MATCH($C$1,Database!$A$1:$C$1,),))</f>
        <v/>
      </c>
      <c r="D297">
        <f>IFERROR(Table7[[#This Row],[United States 10y]]-Table7[[#This Row],[United States 3y]],#N/A)</f>
        <v/>
      </c>
    </row>
    <row r="298">
      <c r="A298" s="6">
        <f>Database!$A2383</f>
        <v/>
      </c>
      <c r="B298">
        <f>IF(VLOOKUP(Table7[[#This Row],[Date]],Database!$A:$C,MATCH($B$1,Database!$A$1:$C$1,),)=0,#N/A,VLOOKUP(Table7[[#This Row],[Date]],Database!$A:$C,MATCH($B$1,Database!$A$1:$C$1,),))</f>
        <v/>
      </c>
      <c r="C298">
        <f>IF(VLOOKUP(Table7[[#This Row],[Date]],Database!$A:$C,MATCH($C$1,Database!$A$1:$C$1,),)=0,#N/A,VLOOKUP(Table7[[#This Row],[Date]],Database!$A:$C,MATCH($C$1,Database!$A$1:$C$1,),))</f>
        <v/>
      </c>
      <c r="D298">
        <f>IFERROR(Table7[[#This Row],[United States 10y]]-Table7[[#This Row],[United States 3y]],#N/A)</f>
        <v/>
      </c>
    </row>
    <row r="299">
      <c r="A299" s="6">
        <f>Database!$A2384</f>
        <v/>
      </c>
      <c r="B299">
        <f>IF(VLOOKUP(Table7[[#This Row],[Date]],Database!$A:$C,MATCH($B$1,Database!$A$1:$C$1,),)=0,#N/A,VLOOKUP(Table7[[#This Row],[Date]],Database!$A:$C,MATCH($B$1,Database!$A$1:$C$1,),))</f>
        <v/>
      </c>
      <c r="C299">
        <f>IF(VLOOKUP(Table7[[#This Row],[Date]],Database!$A:$C,MATCH($C$1,Database!$A$1:$C$1,),)=0,#N/A,VLOOKUP(Table7[[#This Row],[Date]],Database!$A:$C,MATCH($C$1,Database!$A$1:$C$1,),))</f>
        <v/>
      </c>
      <c r="D299">
        <f>IFERROR(Table7[[#This Row],[United States 10y]]-Table7[[#This Row],[United States 3y]],#N/A)</f>
        <v/>
      </c>
    </row>
    <row r="300">
      <c r="A300" s="6">
        <f>Database!$A2385</f>
        <v/>
      </c>
      <c r="B300">
        <f>IF(VLOOKUP(Table7[[#This Row],[Date]],Database!$A:$C,MATCH($B$1,Database!$A$1:$C$1,),)=0,#N/A,VLOOKUP(Table7[[#This Row],[Date]],Database!$A:$C,MATCH($B$1,Database!$A$1:$C$1,),))</f>
        <v/>
      </c>
      <c r="C300">
        <f>IF(VLOOKUP(Table7[[#This Row],[Date]],Database!$A:$C,MATCH($C$1,Database!$A$1:$C$1,),)=0,#N/A,VLOOKUP(Table7[[#This Row],[Date]],Database!$A:$C,MATCH($C$1,Database!$A$1:$C$1,),))</f>
        <v/>
      </c>
      <c r="D300">
        <f>IFERROR(Table7[[#This Row],[United States 10y]]-Table7[[#This Row],[United States 3y]],#N/A)</f>
        <v/>
      </c>
    </row>
    <row r="301">
      <c r="A301" s="6">
        <f>Database!$A2386</f>
        <v/>
      </c>
      <c r="B301">
        <f>IF(VLOOKUP(Table7[[#This Row],[Date]],Database!$A:$C,MATCH($B$1,Database!$A$1:$C$1,),)=0,#N/A,VLOOKUP(Table7[[#This Row],[Date]],Database!$A:$C,MATCH($B$1,Database!$A$1:$C$1,),))</f>
        <v/>
      </c>
      <c r="C301">
        <f>IF(VLOOKUP(Table7[[#This Row],[Date]],Database!$A:$C,MATCH($C$1,Database!$A$1:$C$1,),)=0,#N/A,VLOOKUP(Table7[[#This Row],[Date]],Database!$A:$C,MATCH($C$1,Database!$A$1:$C$1,),))</f>
        <v/>
      </c>
      <c r="D301">
        <f>IFERROR(Table7[[#This Row],[United States 10y]]-Table7[[#This Row],[United States 3y]],#N/A)</f>
        <v/>
      </c>
    </row>
    <row r="302">
      <c r="A302" s="6">
        <f>Database!$A2387</f>
        <v/>
      </c>
      <c r="B302">
        <f>IF(VLOOKUP(Table7[[#This Row],[Date]],Database!$A:$C,MATCH($B$1,Database!$A$1:$C$1,),)=0,#N/A,VLOOKUP(Table7[[#This Row],[Date]],Database!$A:$C,MATCH($B$1,Database!$A$1:$C$1,),))</f>
        <v/>
      </c>
      <c r="C302">
        <f>IF(VLOOKUP(Table7[[#This Row],[Date]],Database!$A:$C,MATCH($C$1,Database!$A$1:$C$1,),)=0,#N/A,VLOOKUP(Table7[[#This Row],[Date]],Database!$A:$C,MATCH($C$1,Database!$A$1:$C$1,),))</f>
        <v/>
      </c>
      <c r="D302">
        <f>IFERROR(Table7[[#This Row],[United States 10y]]-Table7[[#This Row],[United States 3y]],#N/A)</f>
        <v/>
      </c>
    </row>
    <row r="303">
      <c r="A303" s="6">
        <f>Database!$A2388</f>
        <v/>
      </c>
      <c r="B303">
        <f>IF(VLOOKUP(Table7[[#This Row],[Date]],Database!$A:$C,MATCH($B$1,Database!$A$1:$C$1,),)=0,#N/A,VLOOKUP(Table7[[#This Row],[Date]],Database!$A:$C,MATCH($B$1,Database!$A$1:$C$1,),))</f>
        <v/>
      </c>
      <c r="C303">
        <f>IF(VLOOKUP(Table7[[#This Row],[Date]],Database!$A:$C,MATCH($C$1,Database!$A$1:$C$1,),)=0,#N/A,VLOOKUP(Table7[[#This Row],[Date]],Database!$A:$C,MATCH($C$1,Database!$A$1:$C$1,),))</f>
        <v/>
      </c>
      <c r="D303">
        <f>IFERROR(Table7[[#This Row],[United States 10y]]-Table7[[#This Row],[United States 3y]],#N/A)</f>
        <v/>
      </c>
    </row>
    <row r="304">
      <c r="A304" s="6">
        <f>Database!$A2389</f>
        <v/>
      </c>
      <c r="B304">
        <f>IF(VLOOKUP(Table7[[#This Row],[Date]],Database!$A:$C,MATCH($B$1,Database!$A$1:$C$1,),)=0,#N/A,VLOOKUP(Table7[[#This Row],[Date]],Database!$A:$C,MATCH($B$1,Database!$A$1:$C$1,),))</f>
        <v/>
      </c>
      <c r="C304">
        <f>IF(VLOOKUP(Table7[[#This Row],[Date]],Database!$A:$C,MATCH($C$1,Database!$A$1:$C$1,),)=0,#N/A,VLOOKUP(Table7[[#This Row],[Date]],Database!$A:$C,MATCH($C$1,Database!$A$1:$C$1,),))</f>
        <v/>
      </c>
      <c r="D304">
        <f>IFERROR(Table7[[#This Row],[United States 10y]]-Table7[[#This Row],[United States 3y]],#N/A)</f>
        <v/>
      </c>
    </row>
    <row r="305">
      <c r="A305" s="6">
        <f>Database!$A2390</f>
        <v/>
      </c>
      <c r="B305">
        <f>IF(VLOOKUP(Table7[[#This Row],[Date]],Database!$A:$C,MATCH($B$1,Database!$A$1:$C$1,),)=0,#N/A,VLOOKUP(Table7[[#This Row],[Date]],Database!$A:$C,MATCH($B$1,Database!$A$1:$C$1,),))</f>
        <v/>
      </c>
      <c r="C305">
        <f>IF(VLOOKUP(Table7[[#This Row],[Date]],Database!$A:$C,MATCH($C$1,Database!$A$1:$C$1,),)=0,#N/A,VLOOKUP(Table7[[#This Row],[Date]],Database!$A:$C,MATCH($C$1,Database!$A$1:$C$1,),))</f>
        <v/>
      </c>
      <c r="D305">
        <f>IFERROR(Table7[[#This Row],[United States 10y]]-Table7[[#This Row],[United States 3y]],#N/A)</f>
        <v/>
      </c>
    </row>
    <row r="306">
      <c r="A306" s="6">
        <f>Database!$A2391</f>
        <v/>
      </c>
      <c r="B306">
        <f>IF(VLOOKUP(Table7[[#This Row],[Date]],Database!$A:$C,MATCH($B$1,Database!$A$1:$C$1,),)=0,#N/A,VLOOKUP(Table7[[#This Row],[Date]],Database!$A:$C,MATCH($B$1,Database!$A$1:$C$1,),))</f>
        <v/>
      </c>
      <c r="C306">
        <f>IF(VLOOKUP(Table7[[#This Row],[Date]],Database!$A:$C,MATCH($C$1,Database!$A$1:$C$1,),)=0,#N/A,VLOOKUP(Table7[[#This Row],[Date]],Database!$A:$C,MATCH($C$1,Database!$A$1:$C$1,),))</f>
        <v/>
      </c>
      <c r="D306">
        <f>IFERROR(Table7[[#This Row],[United States 10y]]-Table7[[#This Row],[United States 3y]],#N/A)</f>
        <v/>
      </c>
    </row>
    <row r="307">
      <c r="A307" s="6">
        <f>Database!$A2392</f>
        <v/>
      </c>
      <c r="B307">
        <f>IF(VLOOKUP(Table7[[#This Row],[Date]],Database!$A:$C,MATCH($B$1,Database!$A$1:$C$1,),)=0,#N/A,VLOOKUP(Table7[[#This Row],[Date]],Database!$A:$C,MATCH($B$1,Database!$A$1:$C$1,),))</f>
        <v/>
      </c>
      <c r="C307">
        <f>IF(VLOOKUP(Table7[[#This Row],[Date]],Database!$A:$C,MATCH($C$1,Database!$A$1:$C$1,),)=0,#N/A,VLOOKUP(Table7[[#This Row],[Date]],Database!$A:$C,MATCH($C$1,Database!$A$1:$C$1,),))</f>
        <v/>
      </c>
      <c r="D307">
        <f>IFERROR(Table7[[#This Row],[United States 10y]]-Table7[[#This Row],[United States 3y]],#N/A)</f>
        <v/>
      </c>
    </row>
    <row r="308">
      <c r="A308" s="6">
        <f>Database!$A2393</f>
        <v/>
      </c>
      <c r="B308">
        <f>IF(VLOOKUP(Table7[[#This Row],[Date]],Database!$A:$C,MATCH($B$1,Database!$A$1:$C$1,),)=0,#N/A,VLOOKUP(Table7[[#This Row],[Date]],Database!$A:$C,MATCH($B$1,Database!$A$1:$C$1,),))</f>
        <v/>
      </c>
      <c r="C308">
        <f>IF(VLOOKUP(Table7[[#This Row],[Date]],Database!$A:$C,MATCH($C$1,Database!$A$1:$C$1,),)=0,#N/A,VLOOKUP(Table7[[#This Row],[Date]],Database!$A:$C,MATCH($C$1,Database!$A$1:$C$1,),))</f>
        <v/>
      </c>
      <c r="D308">
        <f>IFERROR(Table7[[#This Row],[United States 10y]]-Table7[[#This Row],[United States 3y]],#N/A)</f>
        <v/>
      </c>
    </row>
    <row r="309">
      <c r="A309" s="6">
        <f>Database!$A2394</f>
        <v/>
      </c>
      <c r="B309">
        <f>IF(VLOOKUP(Table7[[#This Row],[Date]],Database!$A:$C,MATCH($B$1,Database!$A$1:$C$1,),)=0,#N/A,VLOOKUP(Table7[[#This Row],[Date]],Database!$A:$C,MATCH($B$1,Database!$A$1:$C$1,),))</f>
        <v/>
      </c>
      <c r="C309">
        <f>IF(VLOOKUP(Table7[[#This Row],[Date]],Database!$A:$C,MATCH($C$1,Database!$A$1:$C$1,),)=0,#N/A,VLOOKUP(Table7[[#This Row],[Date]],Database!$A:$C,MATCH($C$1,Database!$A$1:$C$1,),))</f>
        <v/>
      </c>
      <c r="D309">
        <f>IFERROR(Table7[[#This Row],[United States 10y]]-Table7[[#This Row],[United States 3y]],#N/A)</f>
        <v/>
      </c>
    </row>
    <row r="310">
      <c r="A310" s="6">
        <f>Database!$A2395</f>
        <v/>
      </c>
      <c r="B310">
        <f>IF(VLOOKUP(Table7[[#This Row],[Date]],Database!$A:$C,MATCH($B$1,Database!$A$1:$C$1,),)=0,#N/A,VLOOKUP(Table7[[#This Row],[Date]],Database!$A:$C,MATCH($B$1,Database!$A$1:$C$1,),))</f>
        <v/>
      </c>
      <c r="C310">
        <f>IF(VLOOKUP(Table7[[#This Row],[Date]],Database!$A:$C,MATCH($C$1,Database!$A$1:$C$1,),)=0,#N/A,VLOOKUP(Table7[[#This Row],[Date]],Database!$A:$C,MATCH($C$1,Database!$A$1:$C$1,),))</f>
        <v/>
      </c>
      <c r="D310">
        <f>IFERROR(Table7[[#This Row],[United States 10y]]-Table7[[#This Row],[United States 3y]],#N/A)</f>
        <v/>
      </c>
    </row>
    <row r="311">
      <c r="A311" s="6">
        <f>Database!$A2396</f>
        <v/>
      </c>
      <c r="B311">
        <f>IF(VLOOKUP(Table7[[#This Row],[Date]],Database!$A:$C,MATCH($B$1,Database!$A$1:$C$1,),)=0,#N/A,VLOOKUP(Table7[[#This Row],[Date]],Database!$A:$C,MATCH($B$1,Database!$A$1:$C$1,),))</f>
        <v/>
      </c>
      <c r="C311">
        <f>IF(VLOOKUP(Table7[[#This Row],[Date]],Database!$A:$C,MATCH($C$1,Database!$A$1:$C$1,),)=0,#N/A,VLOOKUP(Table7[[#This Row],[Date]],Database!$A:$C,MATCH($C$1,Database!$A$1:$C$1,),))</f>
        <v/>
      </c>
      <c r="D311">
        <f>IFERROR(Table7[[#This Row],[United States 10y]]-Table7[[#This Row],[United States 3y]],#N/A)</f>
        <v/>
      </c>
    </row>
    <row r="312">
      <c r="A312" s="6">
        <f>Database!$A2397</f>
        <v/>
      </c>
      <c r="B312">
        <f>IF(VLOOKUP(Table7[[#This Row],[Date]],Database!$A:$C,MATCH($B$1,Database!$A$1:$C$1,),)=0,#N/A,VLOOKUP(Table7[[#This Row],[Date]],Database!$A:$C,MATCH($B$1,Database!$A$1:$C$1,),))</f>
        <v/>
      </c>
      <c r="C312">
        <f>IF(VLOOKUP(Table7[[#This Row],[Date]],Database!$A:$C,MATCH($C$1,Database!$A$1:$C$1,),)=0,#N/A,VLOOKUP(Table7[[#This Row],[Date]],Database!$A:$C,MATCH($C$1,Database!$A$1:$C$1,),))</f>
        <v/>
      </c>
      <c r="D312">
        <f>IFERROR(Table7[[#This Row],[United States 10y]]-Table7[[#This Row],[United States 3y]],#N/A)</f>
        <v/>
      </c>
    </row>
    <row r="313">
      <c r="A313" s="6">
        <f>Database!$A2398</f>
        <v/>
      </c>
      <c r="B313">
        <f>IF(VLOOKUP(Table7[[#This Row],[Date]],Database!$A:$C,MATCH($B$1,Database!$A$1:$C$1,),)=0,#N/A,VLOOKUP(Table7[[#This Row],[Date]],Database!$A:$C,MATCH($B$1,Database!$A$1:$C$1,),))</f>
        <v/>
      </c>
      <c r="C313">
        <f>IF(VLOOKUP(Table7[[#This Row],[Date]],Database!$A:$C,MATCH($C$1,Database!$A$1:$C$1,),)=0,#N/A,VLOOKUP(Table7[[#This Row],[Date]],Database!$A:$C,MATCH($C$1,Database!$A$1:$C$1,),))</f>
        <v/>
      </c>
      <c r="D313">
        <f>IFERROR(Table7[[#This Row],[United States 10y]]-Table7[[#This Row],[United States 3y]],#N/A)</f>
        <v/>
      </c>
    </row>
    <row r="314">
      <c r="A314" s="6">
        <f>Database!$A2399</f>
        <v/>
      </c>
      <c r="B314">
        <f>IF(VLOOKUP(Table7[[#This Row],[Date]],Database!$A:$C,MATCH($B$1,Database!$A$1:$C$1,),)=0,#N/A,VLOOKUP(Table7[[#This Row],[Date]],Database!$A:$C,MATCH($B$1,Database!$A$1:$C$1,),))</f>
        <v/>
      </c>
      <c r="C314">
        <f>IF(VLOOKUP(Table7[[#This Row],[Date]],Database!$A:$C,MATCH($C$1,Database!$A$1:$C$1,),)=0,#N/A,VLOOKUP(Table7[[#This Row],[Date]],Database!$A:$C,MATCH($C$1,Database!$A$1:$C$1,),))</f>
        <v/>
      </c>
      <c r="D314">
        <f>IFERROR(Table7[[#This Row],[United States 10y]]-Table7[[#This Row],[United States 3y]],#N/A)</f>
        <v/>
      </c>
    </row>
    <row r="315">
      <c r="A315" s="6">
        <f>Database!$A2400</f>
        <v/>
      </c>
      <c r="B315">
        <f>IF(VLOOKUP(Table7[[#This Row],[Date]],Database!$A:$C,MATCH($B$1,Database!$A$1:$C$1,),)=0,#N/A,VLOOKUP(Table7[[#This Row],[Date]],Database!$A:$C,MATCH($B$1,Database!$A$1:$C$1,),))</f>
        <v/>
      </c>
      <c r="C315">
        <f>IF(VLOOKUP(Table7[[#This Row],[Date]],Database!$A:$C,MATCH($C$1,Database!$A$1:$C$1,),)=0,#N/A,VLOOKUP(Table7[[#This Row],[Date]],Database!$A:$C,MATCH($C$1,Database!$A$1:$C$1,),))</f>
        <v/>
      </c>
      <c r="D315">
        <f>IFERROR(Table7[[#This Row],[United States 10y]]-Table7[[#This Row],[United States 3y]],#N/A)</f>
        <v/>
      </c>
    </row>
    <row r="316">
      <c r="A316" s="6">
        <f>Database!$A2401</f>
        <v/>
      </c>
      <c r="B316">
        <f>IF(VLOOKUP(Table7[[#This Row],[Date]],Database!$A:$C,MATCH($B$1,Database!$A$1:$C$1,),)=0,#N/A,VLOOKUP(Table7[[#This Row],[Date]],Database!$A:$C,MATCH($B$1,Database!$A$1:$C$1,),))</f>
        <v/>
      </c>
      <c r="C316">
        <f>IF(VLOOKUP(Table7[[#This Row],[Date]],Database!$A:$C,MATCH($C$1,Database!$A$1:$C$1,),)=0,#N/A,VLOOKUP(Table7[[#This Row],[Date]],Database!$A:$C,MATCH($C$1,Database!$A$1:$C$1,),))</f>
        <v/>
      </c>
      <c r="D316">
        <f>IFERROR(Table7[[#This Row],[United States 10y]]-Table7[[#This Row],[United States 3y]],#N/A)</f>
        <v/>
      </c>
    </row>
    <row r="317">
      <c r="A317" s="6">
        <f>Database!$A2402</f>
        <v/>
      </c>
      <c r="B317">
        <f>IF(VLOOKUP(Table7[[#This Row],[Date]],Database!$A:$C,MATCH($B$1,Database!$A$1:$C$1,),)=0,#N/A,VLOOKUP(Table7[[#This Row],[Date]],Database!$A:$C,MATCH($B$1,Database!$A$1:$C$1,),))</f>
        <v/>
      </c>
      <c r="C317">
        <f>IF(VLOOKUP(Table7[[#This Row],[Date]],Database!$A:$C,MATCH($C$1,Database!$A$1:$C$1,),)=0,#N/A,VLOOKUP(Table7[[#This Row],[Date]],Database!$A:$C,MATCH($C$1,Database!$A$1:$C$1,),))</f>
        <v/>
      </c>
      <c r="D317">
        <f>IFERROR(Table7[[#This Row],[United States 10y]]-Table7[[#This Row],[United States 3y]],#N/A)</f>
        <v/>
      </c>
    </row>
    <row r="318">
      <c r="A318" s="6">
        <f>Database!$A2403</f>
        <v/>
      </c>
      <c r="B318">
        <f>IF(VLOOKUP(Table7[[#This Row],[Date]],Database!$A:$C,MATCH($B$1,Database!$A$1:$C$1,),)=0,#N/A,VLOOKUP(Table7[[#This Row],[Date]],Database!$A:$C,MATCH($B$1,Database!$A$1:$C$1,),))</f>
        <v/>
      </c>
      <c r="C318">
        <f>IF(VLOOKUP(Table7[[#This Row],[Date]],Database!$A:$C,MATCH($C$1,Database!$A$1:$C$1,),)=0,#N/A,VLOOKUP(Table7[[#This Row],[Date]],Database!$A:$C,MATCH($C$1,Database!$A$1:$C$1,),))</f>
        <v/>
      </c>
      <c r="D318">
        <f>IFERROR(Table7[[#This Row],[United States 10y]]-Table7[[#This Row],[United States 3y]],#N/A)</f>
        <v/>
      </c>
    </row>
    <row r="319">
      <c r="A319" s="6">
        <f>Database!$A2404</f>
        <v/>
      </c>
      <c r="B319">
        <f>IF(VLOOKUP(Table7[[#This Row],[Date]],Database!$A:$C,MATCH($B$1,Database!$A$1:$C$1,),)=0,#N/A,VLOOKUP(Table7[[#This Row],[Date]],Database!$A:$C,MATCH($B$1,Database!$A$1:$C$1,),))</f>
        <v/>
      </c>
      <c r="C319">
        <f>IF(VLOOKUP(Table7[[#This Row],[Date]],Database!$A:$C,MATCH($C$1,Database!$A$1:$C$1,),)=0,#N/A,VLOOKUP(Table7[[#This Row],[Date]],Database!$A:$C,MATCH($C$1,Database!$A$1:$C$1,),))</f>
        <v/>
      </c>
      <c r="D319">
        <f>IFERROR(Table7[[#This Row],[United States 10y]]-Table7[[#This Row],[United States 3y]],#N/A)</f>
        <v/>
      </c>
    </row>
    <row r="320">
      <c r="A320" s="6">
        <f>Database!$A2405</f>
        <v/>
      </c>
      <c r="B320">
        <f>IF(VLOOKUP(Table7[[#This Row],[Date]],Database!$A:$C,MATCH($B$1,Database!$A$1:$C$1,),)=0,#N/A,VLOOKUP(Table7[[#This Row],[Date]],Database!$A:$C,MATCH($B$1,Database!$A$1:$C$1,),))</f>
        <v/>
      </c>
      <c r="C320">
        <f>IF(VLOOKUP(Table7[[#This Row],[Date]],Database!$A:$C,MATCH($C$1,Database!$A$1:$C$1,),)=0,#N/A,VLOOKUP(Table7[[#This Row],[Date]],Database!$A:$C,MATCH($C$1,Database!$A$1:$C$1,),))</f>
        <v/>
      </c>
      <c r="D320">
        <f>IFERROR(Table7[[#This Row],[United States 10y]]-Table7[[#This Row],[United States 3y]],#N/A)</f>
        <v/>
      </c>
    </row>
    <row r="321">
      <c r="A321" s="6">
        <f>Database!$A2406</f>
        <v/>
      </c>
      <c r="B321">
        <f>IF(VLOOKUP(Table7[[#This Row],[Date]],Database!$A:$C,MATCH($B$1,Database!$A$1:$C$1,),)=0,#N/A,VLOOKUP(Table7[[#This Row],[Date]],Database!$A:$C,MATCH($B$1,Database!$A$1:$C$1,),))</f>
        <v/>
      </c>
      <c r="C321">
        <f>IF(VLOOKUP(Table7[[#This Row],[Date]],Database!$A:$C,MATCH($C$1,Database!$A$1:$C$1,),)=0,#N/A,VLOOKUP(Table7[[#This Row],[Date]],Database!$A:$C,MATCH($C$1,Database!$A$1:$C$1,),))</f>
        <v/>
      </c>
      <c r="D321">
        <f>IFERROR(Table7[[#This Row],[United States 10y]]-Table7[[#This Row],[United States 3y]],#N/A)</f>
        <v/>
      </c>
    </row>
    <row r="322">
      <c r="A322" s="6">
        <f>Database!$A2407</f>
        <v/>
      </c>
      <c r="B322">
        <f>IF(VLOOKUP(Table7[[#This Row],[Date]],Database!$A:$C,MATCH($B$1,Database!$A$1:$C$1,),)=0,#N/A,VLOOKUP(Table7[[#This Row],[Date]],Database!$A:$C,MATCH($B$1,Database!$A$1:$C$1,),))</f>
        <v/>
      </c>
      <c r="C322">
        <f>IF(VLOOKUP(Table7[[#This Row],[Date]],Database!$A:$C,MATCH($C$1,Database!$A$1:$C$1,),)=0,#N/A,VLOOKUP(Table7[[#This Row],[Date]],Database!$A:$C,MATCH($C$1,Database!$A$1:$C$1,),))</f>
        <v/>
      </c>
      <c r="D322">
        <f>IFERROR(Table7[[#This Row],[United States 10y]]-Table7[[#This Row],[United States 3y]],#N/A)</f>
        <v/>
      </c>
    </row>
    <row r="323">
      <c r="A323" s="6">
        <f>Database!$A2408</f>
        <v/>
      </c>
      <c r="B323">
        <f>IF(VLOOKUP(Table7[[#This Row],[Date]],Database!$A:$C,MATCH($B$1,Database!$A$1:$C$1,),)=0,#N/A,VLOOKUP(Table7[[#This Row],[Date]],Database!$A:$C,MATCH($B$1,Database!$A$1:$C$1,),))</f>
        <v/>
      </c>
      <c r="C323">
        <f>IF(VLOOKUP(Table7[[#This Row],[Date]],Database!$A:$C,MATCH($C$1,Database!$A$1:$C$1,),)=0,#N/A,VLOOKUP(Table7[[#This Row],[Date]],Database!$A:$C,MATCH($C$1,Database!$A$1:$C$1,),))</f>
        <v/>
      </c>
      <c r="D323">
        <f>IFERROR(Table7[[#This Row],[United States 10y]]-Table7[[#This Row],[United States 3y]],#N/A)</f>
        <v/>
      </c>
    </row>
    <row r="324">
      <c r="A324" s="6">
        <f>Database!$A2409</f>
        <v/>
      </c>
      <c r="B324">
        <f>IF(VLOOKUP(Table7[[#This Row],[Date]],Database!$A:$C,MATCH($B$1,Database!$A$1:$C$1,),)=0,#N/A,VLOOKUP(Table7[[#This Row],[Date]],Database!$A:$C,MATCH($B$1,Database!$A$1:$C$1,),))</f>
        <v/>
      </c>
      <c r="C324">
        <f>IF(VLOOKUP(Table7[[#This Row],[Date]],Database!$A:$C,MATCH($C$1,Database!$A$1:$C$1,),)=0,#N/A,VLOOKUP(Table7[[#This Row],[Date]],Database!$A:$C,MATCH($C$1,Database!$A$1:$C$1,),))</f>
        <v/>
      </c>
      <c r="D324">
        <f>IFERROR(Table7[[#This Row],[United States 10y]]-Table7[[#This Row],[United States 3y]],#N/A)</f>
        <v/>
      </c>
    </row>
    <row r="325">
      <c r="A325" s="6">
        <f>Database!$A2410</f>
        <v/>
      </c>
      <c r="B325">
        <f>IF(VLOOKUP(Table7[[#This Row],[Date]],Database!$A:$C,MATCH($B$1,Database!$A$1:$C$1,),)=0,#N/A,VLOOKUP(Table7[[#This Row],[Date]],Database!$A:$C,MATCH($B$1,Database!$A$1:$C$1,),))</f>
        <v/>
      </c>
      <c r="C325">
        <f>IF(VLOOKUP(Table7[[#This Row],[Date]],Database!$A:$C,MATCH($C$1,Database!$A$1:$C$1,),)=0,#N/A,VLOOKUP(Table7[[#This Row],[Date]],Database!$A:$C,MATCH($C$1,Database!$A$1:$C$1,),))</f>
        <v/>
      </c>
      <c r="D325">
        <f>IFERROR(Table7[[#This Row],[United States 10y]]-Table7[[#This Row],[United States 3y]],#N/A)</f>
        <v/>
      </c>
    </row>
    <row r="326">
      <c r="A326" s="6">
        <f>Database!$A2411</f>
        <v/>
      </c>
      <c r="B326">
        <f>IF(VLOOKUP(Table7[[#This Row],[Date]],Database!$A:$C,MATCH($B$1,Database!$A$1:$C$1,),)=0,#N/A,VLOOKUP(Table7[[#This Row],[Date]],Database!$A:$C,MATCH($B$1,Database!$A$1:$C$1,),))</f>
        <v/>
      </c>
      <c r="C326">
        <f>IF(VLOOKUP(Table7[[#This Row],[Date]],Database!$A:$C,MATCH($C$1,Database!$A$1:$C$1,),)=0,#N/A,VLOOKUP(Table7[[#This Row],[Date]],Database!$A:$C,MATCH($C$1,Database!$A$1:$C$1,),))</f>
        <v/>
      </c>
      <c r="D326">
        <f>IFERROR(Table7[[#This Row],[United States 10y]]-Table7[[#This Row],[United States 3y]],#N/A)</f>
        <v/>
      </c>
    </row>
    <row r="327">
      <c r="A327" s="6">
        <f>Database!$A2412</f>
        <v/>
      </c>
      <c r="B327">
        <f>IF(VLOOKUP(Table7[[#This Row],[Date]],Database!$A:$C,MATCH($B$1,Database!$A$1:$C$1,),)=0,#N/A,VLOOKUP(Table7[[#This Row],[Date]],Database!$A:$C,MATCH($B$1,Database!$A$1:$C$1,),))</f>
        <v/>
      </c>
      <c r="C327">
        <f>IF(VLOOKUP(Table7[[#This Row],[Date]],Database!$A:$C,MATCH($C$1,Database!$A$1:$C$1,),)=0,#N/A,VLOOKUP(Table7[[#This Row],[Date]],Database!$A:$C,MATCH($C$1,Database!$A$1:$C$1,),))</f>
        <v/>
      </c>
      <c r="D327">
        <f>IFERROR(Table7[[#This Row],[United States 10y]]-Table7[[#This Row],[United States 3y]],#N/A)</f>
        <v/>
      </c>
    </row>
    <row r="328">
      <c r="A328" s="6">
        <f>Database!$A2413</f>
        <v/>
      </c>
      <c r="B328">
        <f>IF(VLOOKUP(Table7[[#This Row],[Date]],Database!$A:$C,MATCH($B$1,Database!$A$1:$C$1,),)=0,#N/A,VLOOKUP(Table7[[#This Row],[Date]],Database!$A:$C,MATCH($B$1,Database!$A$1:$C$1,),))</f>
        <v/>
      </c>
      <c r="C328">
        <f>IF(VLOOKUP(Table7[[#This Row],[Date]],Database!$A:$C,MATCH($C$1,Database!$A$1:$C$1,),)=0,#N/A,VLOOKUP(Table7[[#This Row],[Date]],Database!$A:$C,MATCH($C$1,Database!$A$1:$C$1,),))</f>
        <v/>
      </c>
      <c r="D328">
        <f>IFERROR(Table7[[#This Row],[United States 10y]]-Table7[[#This Row],[United States 3y]],#N/A)</f>
        <v/>
      </c>
    </row>
    <row r="329">
      <c r="A329" s="6">
        <f>Database!$A2414</f>
        <v/>
      </c>
      <c r="B329">
        <f>IF(VLOOKUP(Table7[[#This Row],[Date]],Database!$A:$C,MATCH($B$1,Database!$A$1:$C$1,),)=0,#N/A,VLOOKUP(Table7[[#This Row],[Date]],Database!$A:$C,MATCH($B$1,Database!$A$1:$C$1,),))</f>
        <v/>
      </c>
      <c r="C329">
        <f>IF(VLOOKUP(Table7[[#This Row],[Date]],Database!$A:$C,MATCH($C$1,Database!$A$1:$C$1,),)=0,#N/A,VLOOKUP(Table7[[#This Row],[Date]],Database!$A:$C,MATCH($C$1,Database!$A$1:$C$1,),))</f>
        <v/>
      </c>
      <c r="D329">
        <f>IFERROR(Table7[[#This Row],[United States 10y]]-Table7[[#This Row],[United States 3y]],#N/A)</f>
        <v/>
      </c>
    </row>
    <row r="330">
      <c r="A330" s="6">
        <f>Database!$A2415</f>
        <v/>
      </c>
      <c r="B330">
        <f>IF(VLOOKUP(Table7[[#This Row],[Date]],Database!$A:$C,MATCH($B$1,Database!$A$1:$C$1,),)=0,#N/A,VLOOKUP(Table7[[#This Row],[Date]],Database!$A:$C,MATCH($B$1,Database!$A$1:$C$1,),))</f>
        <v/>
      </c>
      <c r="C330">
        <f>IF(VLOOKUP(Table7[[#This Row],[Date]],Database!$A:$C,MATCH($C$1,Database!$A$1:$C$1,),)=0,#N/A,VLOOKUP(Table7[[#This Row],[Date]],Database!$A:$C,MATCH($C$1,Database!$A$1:$C$1,),))</f>
        <v/>
      </c>
      <c r="D330">
        <f>IFERROR(Table7[[#This Row],[United States 10y]]-Table7[[#This Row],[United States 3y]],#N/A)</f>
        <v/>
      </c>
    </row>
    <row r="331">
      <c r="A331" s="6">
        <f>Database!$A2416</f>
        <v/>
      </c>
      <c r="B331">
        <f>IF(VLOOKUP(Table7[[#This Row],[Date]],Database!$A:$C,MATCH($B$1,Database!$A$1:$C$1,),)=0,#N/A,VLOOKUP(Table7[[#This Row],[Date]],Database!$A:$C,MATCH($B$1,Database!$A$1:$C$1,),))</f>
        <v/>
      </c>
      <c r="C331">
        <f>IF(VLOOKUP(Table7[[#This Row],[Date]],Database!$A:$C,MATCH($C$1,Database!$A$1:$C$1,),)=0,#N/A,VLOOKUP(Table7[[#This Row],[Date]],Database!$A:$C,MATCH($C$1,Database!$A$1:$C$1,),))</f>
        <v/>
      </c>
      <c r="D331">
        <f>IFERROR(Table7[[#This Row],[United States 10y]]-Table7[[#This Row],[United States 3y]],#N/A)</f>
        <v/>
      </c>
    </row>
    <row r="332">
      <c r="A332" s="6">
        <f>Database!$A2417</f>
        <v/>
      </c>
      <c r="B332">
        <f>IF(VLOOKUP(Table7[[#This Row],[Date]],Database!$A:$C,MATCH($B$1,Database!$A$1:$C$1,),)=0,#N/A,VLOOKUP(Table7[[#This Row],[Date]],Database!$A:$C,MATCH($B$1,Database!$A$1:$C$1,),))</f>
        <v/>
      </c>
      <c r="C332">
        <f>IF(VLOOKUP(Table7[[#This Row],[Date]],Database!$A:$C,MATCH($C$1,Database!$A$1:$C$1,),)=0,#N/A,VLOOKUP(Table7[[#This Row],[Date]],Database!$A:$C,MATCH($C$1,Database!$A$1:$C$1,),))</f>
        <v/>
      </c>
      <c r="D332">
        <f>IFERROR(Table7[[#This Row],[United States 10y]]-Table7[[#This Row],[United States 3y]],#N/A)</f>
        <v/>
      </c>
    </row>
    <row r="333">
      <c r="A333" s="6">
        <f>Database!$A2418</f>
        <v/>
      </c>
      <c r="B333">
        <f>IF(VLOOKUP(Table7[[#This Row],[Date]],Database!$A:$C,MATCH($B$1,Database!$A$1:$C$1,),)=0,#N/A,VLOOKUP(Table7[[#This Row],[Date]],Database!$A:$C,MATCH($B$1,Database!$A$1:$C$1,),))</f>
        <v/>
      </c>
      <c r="C333">
        <f>IF(VLOOKUP(Table7[[#This Row],[Date]],Database!$A:$C,MATCH($C$1,Database!$A$1:$C$1,),)=0,#N/A,VLOOKUP(Table7[[#This Row],[Date]],Database!$A:$C,MATCH($C$1,Database!$A$1:$C$1,),))</f>
        <v/>
      </c>
      <c r="D333">
        <f>IFERROR(Table7[[#This Row],[United States 10y]]-Table7[[#This Row],[United States 3y]],#N/A)</f>
        <v/>
      </c>
    </row>
    <row r="334">
      <c r="A334" s="6">
        <f>Database!$A2419</f>
        <v/>
      </c>
      <c r="B334">
        <f>IF(VLOOKUP(Table7[[#This Row],[Date]],Database!$A:$C,MATCH($B$1,Database!$A$1:$C$1,),)=0,#N/A,VLOOKUP(Table7[[#This Row],[Date]],Database!$A:$C,MATCH($B$1,Database!$A$1:$C$1,),))</f>
        <v/>
      </c>
      <c r="C334">
        <f>IF(VLOOKUP(Table7[[#This Row],[Date]],Database!$A:$C,MATCH($C$1,Database!$A$1:$C$1,),)=0,#N/A,VLOOKUP(Table7[[#This Row],[Date]],Database!$A:$C,MATCH($C$1,Database!$A$1:$C$1,),))</f>
        <v/>
      </c>
      <c r="D334">
        <f>IFERROR(Table7[[#This Row],[United States 10y]]-Table7[[#This Row],[United States 3y]],#N/A)</f>
        <v/>
      </c>
    </row>
    <row r="335">
      <c r="A335" s="6">
        <f>Database!$A2420</f>
        <v/>
      </c>
      <c r="B335">
        <f>IF(VLOOKUP(Table7[[#This Row],[Date]],Database!$A:$C,MATCH($B$1,Database!$A$1:$C$1,),)=0,#N/A,VLOOKUP(Table7[[#This Row],[Date]],Database!$A:$C,MATCH($B$1,Database!$A$1:$C$1,),))</f>
        <v/>
      </c>
      <c r="C335">
        <f>IF(VLOOKUP(Table7[[#This Row],[Date]],Database!$A:$C,MATCH($C$1,Database!$A$1:$C$1,),)=0,#N/A,VLOOKUP(Table7[[#This Row],[Date]],Database!$A:$C,MATCH($C$1,Database!$A$1:$C$1,),))</f>
        <v/>
      </c>
      <c r="D335">
        <f>IFERROR(Table7[[#This Row],[United States 10y]]-Table7[[#This Row],[United States 3y]],#N/A)</f>
        <v/>
      </c>
    </row>
    <row r="336">
      <c r="A336" s="6">
        <f>Database!$A2421</f>
        <v/>
      </c>
      <c r="B336">
        <f>IF(VLOOKUP(Table7[[#This Row],[Date]],Database!$A:$C,MATCH($B$1,Database!$A$1:$C$1,),)=0,#N/A,VLOOKUP(Table7[[#This Row],[Date]],Database!$A:$C,MATCH($B$1,Database!$A$1:$C$1,),))</f>
        <v/>
      </c>
      <c r="C336">
        <f>IF(VLOOKUP(Table7[[#This Row],[Date]],Database!$A:$C,MATCH($C$1,Database!$A$1:$C$1,),)=0,#N/A,VLOOKUP(Table7[[#This Row],[Date]],Database!$A:$C,MATCH($C$1,Database!$A$1:$C$1,),))</f>
        <v/>
      </c>
      <c r="D336">
        <f>IFERROR(Table7[[#This Row],[United States 10y]]-Table7[[#This Row],[United States 3y]],#N/A)</f>
        <v/>
      </c>
    </row>
    <row r="337">
      <c r="A337" s="6">
        <f>Database!$A2422</f>
        <v/>
      </c>
      <c r="B337">
        <f>IF(VLOOKUP(Table7[[#This Row],[Date]],Database!$A:$C,MATCH($B$1,Database!$A$1:$C$1,),)=0,#N/A,VLOOKUP(Table7[[#This Row],[Date]],Database!$A:$C,MATCH($B$1,Database!$A$1:$C$1,),))</f>
        <v/>
      </c>
      <c r="C337">
        <f>IF(VLOOKUP(Table7[[#This Row],[Date]],Database!$A:$C,MATCH($C$1,Database!$A$1:$C$1,),)=0,#N/A,VLOOKUP(Table7[[#This Row],[Date]],Database!$A:$C,MATCH($C$1,Database!$A$1:$C$1,),))</f>
        <v/>
      </c>
      <c r="D337">
        <f>IFERROR(Table7[[#This Row],[United States 10y]]-Table7[[#This Row],[United States 3y]],#N/A)</f>
        <v/>
      </c>
    </row>
    <row r="338">
      <c r="A338" s="6">
        <f>Database!$A2423</f>
        <v/>
      </c>
      <c r="B338">
        <f>IF(VLOOKUP(Table7[[#This Row],[Date]],Database!$A:$C,MATCH($B$1,Database!$A$1:$C$1,),)=0,#N/A,VLOOKUP(Table7[[#This Row],[Date]],Database!$A:$C,MATCH($B$1,Database!$A$1:$C$1,),))</f>
        <v/>
      </c>
      <c r="C338">
        <f>IF(VLOOKUP(Table7[[#This Row],[Date]],Database!$A:$C,MATCH($C$1,Database!$A$1:$C$1,),)=0,#N/A,VLOOKUP(Table7[[#This Row],[Date]],Database!$A:$C,MATCH($C$1,Database!$A$1:$C$1,),))</f>
        <v/>
      </c>
      <c r="D338">
        <f>IFERROR(Table7[[#This Row],[United States 10y]]-Table7[[#This Row],[United States 3y]],#N/A)</f>
        <v/>
      </c>
    </row>
    <row r="339">
      <c r="A339" s="6">
        <f>Database!$A2424</f>
        <v/>
      </c>
      <c r="B339">
        <f>IF(VLOOKUP(Table7[[#This Row],[Date]],Database!$A:$C,MATCH($B$1,Database!$A$1:$C$1,),)=0,#N/A,VLOOKUP(Table7[[#This Row],[Date]],Database!$A:$C,MATCH($B$1,Database!$A$1:$C$1,),))</f>
        <v/>
      </c>
      <c r="C339">
        <f>IF(VLOOKUP(Table7[[#This Row],[Date]],Database!$A:$C,MATCH($C$1,Database!$A$1:$C$1,),)=0,#N/A,VLOOKUP(Table7[[#This Row],[Date]],Database!$A:$C,MATCH($C$1,Database!$A$1:$C$1,),))</f>
        <v/>
      </c>
      <c r="D339">
        <f>IFERROR(Table7[[#This Row],[United States 10y]]-Table7[[#This Row],[United States 3y]],#N/A)</f>
        <v/>
      </c>
    </row>
    <row r="340">
      <c r="A340" s="6">
        <f>Database!$A2425</f>
        <v/>
      </c>
      <c r="B340">
        <f>IF(VLOOKUP(Table7[[#This Row],[Date]],Database!$A:$C,MATCH($B$1,Database!$A$1:$C$1,),)=0,#N/A,VLOOKUP(Table7[[#This Row],[Date]],Database!$A:$C,MATCH($B$1,Database!$A$1:$C$1,),))</f>
        <v/>
      </c>
      <c r="C340">
        <f>IF(VLOOKUP(Table7[[#This Row],[Date]],Database!$A:$C,MATCH($C$1,Database!$A$1:$C$1,),)=0,#N/A,VLOOKUP(Table7[[#This Row],[Date]],Database!$A:$C,MATCH($C$1,Database!$A$1:$C$1,),))</f>
        <v/>
      </c>
      <c r="D340">
        <f>IFERROR(Table7[[#This Row],[United States 10y]]-Table7[[#This Row],[United States 3y]],#N/A)</f>
        <v/>
      </c>
    </row>
    <row r="341">
      <c r="A341" s="6">
        <f>Database!$A2426</f>
        <v/>
      </c>
      <c r="B341">
        <f>IF(VLOOKUP(Table7[[#This Row],[Date]],Database!$A:$C,MATCH($B$1,Database!$A$1:$C$1,),)=0,#N/A,VLOOKUP(Table7[[#This Row],[Date]],Database!$A:$C,MATCH($B$1,Database!$A$1:$C$1,),))</f>
        <v/>
      </c>
      <c r="C341">
        <f>IF(VLOOKUP(Table7[[#This Row],[Date]],Database!$A:$C,MATCH($C$1,Database!$A$1:$C$1,),)=0,#N/A,VLOOKUP(Table7[[#This Row],[Date]],Database!$A:$C,MATCH($C$1,Database!$A$1:$C$1,),))</f>
        <v/>
      </c>
      <c r="D341">
        <f>IFERROR(Table7[[#This Row],[United States 10y]]-Table7[[#This Row],[United States 3y]],#N/A)</f>
        <v/>
      </c>
    </row>
    <row r="342">
      <c r="A342" s="6">
        <f>Database!$A2427</f>
        <v/>
      </c>
      <c r="B342">
        <f>IF(VLOOKUP(Table7[[#This Row],[Date]],Database!$A:$C,MATCH($B$1,Database!$A$1:$C$1,),)=0,#N/A,VLOOKUP(Table7[[#This Row],[Date]],Database!$A:$C,MATCH($B$1,Database!$A$1:$C$1,),))</f>
        <v/>
      </c>
      <c r="C342">
        <f>IF(VLOOKUP(Table7[[#This Row],[Date]],Database!$A:$C,MATCH($C$1,Database!$A$1:$C$1,),)=0,#N/A,VLOOKUP(Table7[[#This Row],[Date]],Database!$A:$C,MATCH($C$1,Database!$A$1:$C$1,),))</f>
        <v/>
      </c>
      <c r="D342">
        <f>IFERROR(Table7[[#This Row],[United States 10y]]-Table7[[#This Row],[United States 3y]],#N/A)</f>
        <v/>
      </c>
    </row>
    <row r="343">
      <c r="A343" s="6">
        <f>Database!$A2428</f>
        <v/>
      </c>
      <c r="B343">
        <f>IF(VLOOKUP(Table7[[#This Row],[Date]],Database!$A:$C,MATCH($B$1,Database!$A$1:$C$1,),)=0,#N/A,VLOOKUP(Table7[[#This Row],[Date]],Database!$A:$C,MATCH($B$1,Database!$A$1:$C$1,),))</f>
        <v/>
      </c>
      <c r="C343">
        <f>IF(VLOOKUP(Table7[[#This Row],[Date]],Database!$A:$C,MATCH($C$1,Database!$A$1:$C$1,),)=0,#N/A,VLOOKUP(Table7[[#This Row],[Date]],Database!$A:$C,MATCH($C$1,Database!$A$1:$C$1,),))</f>
        <v/>
      </c>
      <c r="D343">
        <f>IFERROR(Table7[[#This Row],[United States 10y]]-Table7[[#This Row],[United States 3y]],#N/A)</f>
        <v/>
      </c>
    </row>
    <row r="344">
      <c r="A344" s="6">
        <f>Database!$A2429</f>
        <v/>
      </c>
      <c r="B344">
        <f>IF(VLOOKUP(Table7[[#This Row],[Date]],Database!$A:$C,MATCH($B$1,Database!$A$1:$C$1,),)=0,#N/A,VLOOKUP(Table7[[#This Row],[Date]],Database!$A:$C,MATCH($B$1,Database!$A$1:$C$1,),))</f>
        <v/>
      </c>
      <c r="C344">
        <f>IF(VLOOKUP(Table7[[#This Row],[Date]],Database!$A:$C,MATCH($C$1,Database!$A$1:$C$1,),)=0,#N/A,VLOOKUP(Table7[[#This Row],[Date]],Database!$A:$C,MATCH($C$1,Database!$A$1:$C$1,),))</f>
        <v/>
      </c>
      <c r="D344">
        <f>IFERROR(Table7[[#This Row],[United States 10y]]-Table7[[#This Row],[United States 3y]],#N/A)</f>
        <v/>
      </c>
    </row>
    <row r="345">
      <c r="A345" s="6">
        <f>Database!$A2430</f>
        <v/>
      </c>
      <c r="B345">
        <f>IF(VLOOKUP(Table7[[#This Row],[Date]],Database!$A:$C,MATCH($B$1,Database!$A$1:$C$1,),)=0,#N/A,VLOOKUP(Table7[[#This Row],[Date]],Database!$A:$C,MATCH($B$1,Database!$A$1:$C$1,),))</f>
        <v/>
      </c>
      <c r="C345">
        <f>IF(VLOOKUP(Table7[[#This Row],[Date]],Database!$A:$C,MATCH($C$1,Database!$A$1:$C$1,),)=0,#N/A,VLOOKUP(Table7[[#This Row],[Date]],Database!$A:$C,MATCH($C$1,Database!$A$1:$C$1,),))</f>
        <v/>
      </c>
      <c r="D345">
        <f>IFERROR(Table7[[#This Row],[United States 10y]]-Table7[[#This Row],[United States 3y]],#N/A)</f>
        <v/>
      </c>
    </row>
    <row r="346">
      <c r="A346" s="6">
        <f>Database!$A2431</f>
        <v/>
      </c>
      <c r="B346">
        <f>IF(VLOOKUP(Table7[[#This Row],[Date]],Database!$A:$C,MATCH($B$1,Database!$A$1:$C$1,),)=0,#N/A,VLOOKUP(Table7[[#This Row],[Date]],Database!$A:$C,MATCH($B$1,Database!$A$1:$C$1,),))</f>
        <v/>
      </c>
      <c r="C346">
        <f>IF(VLOOKUP(Table7[[#This Row],[Date]],Database!$A:$C,MATCH($C$1,Database!$A$1:$C$1,),)=0,#N/A,VLOOKUP(Table7[[#This Row],[Date]],Database!$A:$C,MATCH($C$1,Database!$A$1:$C$1,),))</f>
        <v/>
      </c>
      <c r="D346">
        <f>IFERROR(Table7[[#This Row],[United States 10y]]-Table7[[#This Row],[United States 3y]],#N/A)</f>
        <v/>
      </c>
    </row>
    <row r="347">
      <c r="A347" s="6">
        <f>Database!$A2432</f>
        <v/>
      </c>
      <c r="B347">
        <f>IF(VLOOKUP(Table7[[#This Row],[Date]],Database!$A:$C,MATCH($B$1,Database!$A$1:$C$1,),)=0,#N/A,VLOOKUP(Table7[[#This Row],[Date]],Database!$A:$C,MATCH($B$1,Database!$A$1:$C$1,),))</f>
        <v/>
      </c>
      <c r="C347">
        <f>IF(VLOOKUP(Table7[[#This Row],[Date]],Database!$A:$C,MATCH($C$1,Database!$A$1:$C$1,),)=0,#N/A,VLOOKUP(Table7[[#This Row],[Date]],Database!$A:$C,MATCH($C$1,Database!$A$1:$C$1,),))</f>
        <v/>
      </c>
      <c r="D347">
        <f>IFERROR(Table7[[#This Row],[United States 10y]]-Table7[[#This Row],[United States 3y]],#N/A)</f>
        <v/>
      </c>
    </row>
    <row r="348">
      <c r="A348" s="6">
        <f>Database!$A2433</f>
        <v/>
      </c>
      <c r="B348">
        <f>IF(VLOOKUP(Table7[[#This Row],[Date]],Database!$A:$C,MATCH($B$1,Database!$A$1:$C$1,),)=0,#N/A,VLOOKUP(Table7[[#This Row],[Date]],Database!$A:$C,MATCH($B$1,Database!$A$1:$C$1,),))</f>
        <v/>
      </c>
      <c r="C348">
        <f>IF(VLOOKUP(Table7[[#This Row],[Date]],Database!$A:$C,MATCH($C$1,Database!$A$1:$C$1,),)=0,#N/A,VLOOKUP(Table7[[#This Row],[Date]],Database!$A:$C,MATCH($C$1,Database!$A$1:$C$1,),))</f>
        <v/>
      </c>
      <c r="D348">
        <f>IFERROR(Table7[[#This Row],[United States 10y]]-Table7[[#This Row],[United States 3y]],#N/A)</f>
        <v/>
      </c>
    </row>
    <row r="349">
      <c r="A349" s="6">
        <f>Database!$A2434</f>
        <v/>
      </c>
      <c r="B349">
        <f>IF(VLOOKUP(Table7[[#This Row],[Date]],Database!$A:$C,MATCH($B$1,Database!$A$1:$C$1,),)=0,#N/A,VLOOKUP(Table7[[#This Row],[Date]],Database!$A:$C,MATCH($B$1,Database!$A$1:$C$1,),))</f>
        <v/>
      </c>
      <c r="C349">
        <f>IF(VLOOKUP(Table7[[#This Row],[Date]],Database!$A:$C,MATCH($C$1,Database!$A$1:$C$1,),)=0,#N/A,VLOOKUP(Table7[[#This Row],[Date]],Database!$A:$C,MATCH($C$1,Database!$A$1:$C$1,),))</f>
        <v/>
      </c>
      <c r="D349">
        <f>IFERROR(Table7[[#This Row],[United States 10y]]-Table7[[#This Row],[United States 3y]],#N/A)</f>
        <v/>
      </c>
    </row>
    <row r="350">
      <c r="A350" s="6">
        <f>Database!$A2435</f>
        <v/>
      </c>
      <c r="B350">
        <f>IF(VLOOKUP(Table7[[#This Row],[Date]],Database!$A:$C,MATCH($B$1,Database!$A$1:$C$1,),)=0,#N/A,VLOOKUP(Table7[[#This Row],[Date]],Database!$A:$C,MATCH($B$1,Database!$A$1:$C$1,),))</f>
        <v/>
      </c>
      <c r="C350">
        <f>IF(VLOOKUP(Table7[[#This Row],[Date]],Database!$A:$C,MATCH($C$1,Database!$A$1:$C$1,),)=0,#N/A,VLOOKUP(Table7[[#This Row],[Date]],Database!$A:$C,MATCH($C$1,Database!$A$1:$C$1,),))</f>
        <v/>
      </c>
      <c r="D350">
        <f>IFERROR(Table7[[#This Row],[United States 10y]]-Table7[[#This Row],[United States 3y]],#N/A)</f>
        <v/>
      </c>
    </row>
    <row r="351">
      <c r="A351" s="6">
        <f>Database!$A2436</f>
        <v/>
      </c>
      <c r="B351">
        <f>IF(VLOOKUP(Table7[[#This Row],[Date]],Database!$A:$C,MATCH($B$1,Database!$A$1:$C$1,),)=0,#N/A,VLOOKUP(Table7[[#This Row],[Date]],Database!$A:$C,MATCH($B$1,Database!$A$1:$C$1,),))</f>
        <v/>
      </c>
      <c r="C351">
        <f>IF(VLOOKUP(Table7[[#This Row],[Date]],Database!$A:$C,MATCH($C$1,Database!$A$1:$C$1,),)=0,#N/A,VLOOKUP(Table7[[#This Row],[Date]],Database!$A:$C,MATCH($C$1,Database!$A$1:$C$1,),))</f>
        <v/>
      </c>
      <c r="D351">
        <f>IFERROR(Table7[[#This Row],[United States 10y]]-Table7[[#This Row],[United States 3y]],#N/A)</f>
        <v/>
      </c>
    </row>
    <row r="352">
      <c r="A352" s="6">
        <f>Database!$A2437</f>
        <v/>
      </c>
      <c r="B352">
        <f>IF(VLOOKUP(Table7[[#This Row],[Date]],Database!$A:$C,MATCH($B$1,Database!$A$1:$C$1,),)=0,#N/A,VLOOKUP(Table7[[#This Row],[Date]],Database!$A:$C,MATCH($B$1,Database!$A$1:$C$1,),))</f>
        <v/>
      </c>
      <c r="C352">
        <f>IF(VLOOKUP(Table7[[#This Row],[Date]],Database!$A:$C,MATCH($C$1,Database!$A$1:$C$1,),)=0,#N/A,VLOOKUP(Table7[[#This Row],[Date]],Database!$A:$C,MATCH($C$1,Database!$A$1:$C$1,),))</f>
        <v/>
      </c>
      <c r="D352">
        <f>IFERROR(Table7[[#This Row],[United States 10y]]-Table7[[#This Row],[United States 3y]],#N/A)</f>
        <v/>
      </c>
    </row>
    <row r="353">
      <c r="A353" s="6">
        <f>Database!$A2438</f>
        <v/>
      </c>
      <c r="B353">
        <f>IF(VLOOKUP(Table7[[#This Row],[Date]],Database!$A:$C,MATCH($B$1,Database!$A$1:$C$1,),)=0,#N/A,VLOOKUP(Table7[[#This Row],[Date]],Database!$A:$C,MATCH($B$1,Database!$A$1:$C$1,),))</f>
        <v/>
      </c>
      <c r="C353">
        <f>IF(VLOOKUP(Table7[[#This Row],[Date]],Database!$A:$C,MATCH($C$1,Database!$A$1:$C$1,),)=0,#N/A,VLOOKUP(Table7[[#This Row],[Date]],Database!$A:$C,MATCH($C$1,Database!$A$1:$C$1,),))</f>
        <v/>
      </c>
      <c r="D353">
        <f>IFERROR(Table7[[#This Row],[United States 10y]]-Table7[[#This Row],[United States 3y]],#N/A)</f>
        <v/>
      </c>
    </row>
    <row r="354">
      <c r="A354" s="6">
        <f>Database!$A2439</f>
        <v/>
      </c>
      <c r="B354">
        <f>IF(VLOOKUP(Table7[[#This Row],[Date]],Database!$A:$C,MATCH($B$1,Database!$A$1:$C$1,),)=0,#N/A,VLOOKUP(Table7[[#This Row],[Date]],Database!$A:$C,MATCH($B$1,Database!$A$1:$C$1,),))</f>
        <v/>
      </c>
      <c r="C354">
        <f>IF(VLOOKUP(Table7[[#This Row],[Date]],Database!$A:$C,MATCH($C$1,Database!$A$1:$C$1,),)=0,#N/A,VLOOKUP(Table7[[#This Row],[Date]],Database!$A:$C,MATCH($C$1,Database!$A$1:$C$1,),))</f>
        <v/>
      </c>
      <c r="D354">
        <f>IFERROR(Table7[[#This Row],[United States 10y]]-Table7[[#This Row],[United States 3y]],#N/A)</f>
        <v/>
      </c>
    </row>
    <row r="355">
      <c r="A355" s="6">
        <f>Database!$A2440</f>
        <v/>
      </c>
      <c r="B355">
        <f>IF(VLOOKUP(Table7[[#This Row],[Date]],Database!$A:$C,MATCH($B$1,Database!$A$1:$C$1,),)=0,#N/A,VLOOKUP(Table7[[#This Row],[Date]],Database!$A:$C,MATCH($B$1,Database!$A$1:$C$1,),))</f>
        <v/>
      </c>
      <c r="C355">
        <f>IF(VLOOKUP(Table7[[#This Row],[Date]],Database!$A:$C,MATCH($C$1,Database!$A$1:$C$1,),)=0,#N/A,VLOOKUP(Table7[[#This Row],[Date]],Database!$A:$C,MATCH($C$1,Database!$A$1:$C$1,),))</f>
        <v/>
      </c>
      <c r="D355">
        <f>IFERROR(Table7[[#This Row],[United States 10y]]-Table7[[#This Row],[United States 3y]],#N/A)</f>
        <v/>
      </c>
    </row>
    <row r="356">
      <c r="A356" s="6">
        <f>Database!$A2441</f>
        <v/>
      </c>
      <c r="B356">
        <f>IF(VLOOKUP(Table7[[#This Row],[Date]],Database!$A:$C,MATCH($B$1,Database!$A$1:$C$1,),)=0,#N/A,VLOOKUP(Table7[[#This Row],[Date]],Database!$A:$C,MATCH($B$1,Database!$A$1:$C$1,),))</f>
        <v/>
      </c>
      <c r="C356">
        <f>IF(VLOOKUP(Table7[[#This Row],[Date]],Database!$A:$C,MATCH($C$1,Database!$A$1:$C$1,),)=0,#N/A,VLOOKUP(Table7[[#This Row],[Date]],Database!$A:$C,MATCH($C$1,Database!$A$1:$C$1,),))</f>
        <v/>
      </c>
      <c r="D356">
        <f>IFERROR(Table7[[#This Row],[United States 10y]]-Table7[[#This Row],[United States 3y]],#N/A)</f>
        <v/>
      </c>
    </row>
    <row r="357">
      <c r="A357" s="6">
        <f>Database!$A2442</f>
        <v/>
      </c>
      <c r="B357">
        <f>IF(VLOOKUP(Table7[[#This Row],[Date]],Database!$A:$C,MATCH($B$1,Database!$A$1:$C$1,),)=0,#N/A,VLOOKUP(Table7[[#This Row],[Date]],Database!$A:$C,MATCH($B$1,Database!$A$1:$C$1,),))</f>
        <v/>
      </c>
      <c r="C357">
        <f>IF(VLOOKUP(Table7[[#This Row],[Date]],Database!$A:$C,MATCH($C$1,Database!$A$1:$C$1,),)=0,#N/A,VLOOKUP(Table7[[#This Row],[Date]],Database!$A:$C,MATCH($C$1,Database!$A$1:$C$1,),))</f>
        <v/>
      </c>
      <c r="D357">
        <f>IFERROR(Table7[[#This Row],[United States 10y]]-Table7[[#This Row],[United States 3y]],#N/A)</f>
        <v/>
      </c>
    </row>
    <row r="358">
      <c r="A358" s="6">
        <f>Database!$A2443</f>
        <v/>
      </c>
      <c r="B358">
        <f>IF(VLOOKUP(Table7[[#This Row],[Date]],Database!$A:$C,MATCH($B$1,Database!$A$1:$C$1,),)=0,#N/A,VLOOKUP(Table7[[#This Row],[Date]],Database!$A:$C,MATCH($B$1,Database!$A$1:$C$1,),))</f>
        <v/>
      </c>
      <c r="C358">
        <f>IF(VLOOKUP(Table7[[#This Row],[Date]],Database!$A:$C,MATCH($C$1,Database!$A$1:$C$1,),)=0,#N/A,VLOOKUP(Table7[[#This Row],[Date]],Database!$A:$C,MATCH($C$1,Database!$A$1:$C$1,),))</f>
        <v/>
      </c>
      <c r="D358">
        <f>IFERROR(Table7[[#This Row],[United States 10y]]-Table7[[#This Row],[United States 3y]],#N/A)</f>
        <v/>
      </c>
    </row>
    <row r="359">
      <c r="A359" s="6">
        <f>Database!$A2444</f>
        <v/>
      </c>
      <c r="B359">
        <f>IF(VLOOKUP(Table7[[#This Row],[Date]],Database!$A:$C,MATCH($B$1,Database!$A$1:$C$1,),)=0,#N/A,VLOOKUP(Table7[[#This Row],[Date]],Database!$A:$C,MATCH($B$1,Database!$A$1:$C$1,),))</f>
        <v/>
      </c>
      <c r="C359">
        <f>IF(VLOOKUP(Table7[[#This Row],[Date]],Database!$A:$C,MATCH($C$1,Database!$A$1:$C$1,),)=0,#N/A,VLOOKUP(Table7[[#This Row],[Date]],Database!$A:$C,MATCH($C$1,Database!$A$1:$C$1,),))</f>
        <v/>
      </c>
      <c r="D359">
        <f>IFERROR(Table7[[#This Row],[United States 10y]]-Table7[[#This Row],[United States 3y]],#N/A)</f>
        <v/>
      </c>
    </row>
    <row r="360">
      <c r="A360" s="6">
        <f>Database!$A2445</f>
        <v/>
      </c>
      <c r="B360">
        <f>IF(VLOOKUP(Table7[[#This Row],[Date]],Database!$A:$C,MATCH($B$1,Database!$A$1:$C$1,),)=0,#N/A,VLOOKUP(Table7[[#This Row],[Date]],Database!$A:$C,MATCH($B$1,Database!$A$1:$C$1,),))</f>
        <v/>
      </c>
      <c r="C360">
        <f>IF(VLOOKUP(Table7[[#This Row],[Date]],Database!$A:$C,MATCH($C$1,Database!$A$1:$C$1,),)=0,#N/A,VLOOKUP(Table7[[#This Row],[Date]],Database!$A:$C,MATCH($C$1,Database!$A$1:$C$1,),))</f>
        <v/>
      </c>
      <c r="D360">
        <f>IFERROR(Table7[[#This Row],[United States 10y]]-Table7[[#This Row],[United States 3y]],#N/A)</f>
        <v/>
      </c>
    </row>
    <row r="361">
      <c r="A361" s="6">
        <f>Database!$A2446</f>
        <v/>
      </c>
      <c r="B361">
        <f>IF(VLOOKUP(Table7[[#This Row],[Date]],Database!$A:$C,MATCH($B$1,Database!$A$1:$C$1,),)=0,#N/A,VLOOKUP(Table7[[#This Row],[Date]],Database!$A:$C,MATCH($B$1,Database!$A$1:$C$1,),))</f>
        <v/>
      </c>
      <c r="C361">
        <f>IF(VLOOKUP(Table7[[#This Row],[Date]],Database!$A:$C,MATCH($C$1,Database!$A$1:$C$1,),)=0,#N/A,VLOOKUP(Table7[[#This Row],[Date]],Database!$A:$C,MATCH($C$1,Database!$A$1:$C$1,),))</f>
        <v/>
      </c>
      <c r="D361">
        <f>IFERROR(Table7[[#This Row],[United States 10y]]-Table7[[#This Row],[United States 3y]],#N/A)</f>
        <v/>
      </c>
    </row>
    <row r="362">
      <c r="A362" s="6">
        <f>Database!$A2447</f>
        <v/>
      </c>
      <c r="B362">
        <f>IF(VLOOKUP(Table7[[#This Row],[Date]],Database!$A:$C,MATCH($B$1,Database!$A$1:$C$1,),)=0,#N/A,VLOOKUP(Table7[[#This Row],[Date]],Database!$A:$C,MATCH($B$1,Database!$A$1:$C$1,),))</f>
        <v/>
      </c>
      <c r="C362">
        <f>IF(VLOOKUP(Table7[[#This Row],[Date]],Database!$A:$C,MATCH($C$1,Database!$A$1:$C$1,),)=0,#N/A,VLOOKUP(Table7[[#This Row],[Date]],Database!$A:$C,MATCH($C$1,Database!$A$1:$C$1,),))</f>
        <v/>
      </c>
      <c r="D362">
        <f>IFERROR(Table7[[#This Row],[United States 10y]]-Table7[[#This Row],[United States 3y]],#N/A)</f>
        <v/>
      </c>
    </row>
    <row r="363">
      <c r="A363" s="6">
        <f>Database!$A2448</f>
        <v/>
      </c>
      <c r="B363">
        <f>IF(VLOOKUP(Table7[[#This Row],[Date]],Database!$A:$C,MATCH($B$1,Database!$A$1:$C$1,),)=0,#N/A,VLOOKUP(Table7[[#This Row],[Date]],Database!$A:$C,MATCH($B$1,Database!$A$1:$C$1,),))</f>
        <v/>
      </c>
      <c r="C363">
        <f>IF(VLOOKUP(Table7[[#This Row],[Date]],Database!$A:$C,MATCH($C$1,Database!$A$1:$C$1,),)=0,#N/A,VLOOKUP(Table7[[#This Row],[Date]],Database!$A:$C,MATCH($C$1,Database!$A$1:$C$1,),))</f>
        <v/>
      </c>
      <c r="D363">
        <f>IFERROR(Table7[[#This Row],[United States 10y]]-Table7[[#This Row],[United States 3y]],#N/A)</f>
        <v/>
      </c>
    </row>
    <row r="364">
      <c r="A364" s="6">
        <f>Database!$A2449</f>
        <v/>
      </c>
      <c r="B364">
        <f>IF(VLOOKUP(Table7[[#This Row],[Date]],Database!$A:$C,MATCH($B$1,Database!$A$1:$C$1,),)=0,#N/A,VLOOKUP(Table7[[#This Row],[Date]],Database!$A:$C,MATCH($B$1,Database!$A$1:$C$1,),))</f>
        <v/>
      </c>
      <c r="C364">
        <f>IF(VLOOKUP(Table7[[#This Row],[Date]],Database!$A:$C,MATCH($C$1,Database!$A$1:$C$1,),)=0,#N/A,VLOOKUP(Table7[[#This Row],[Date]],Database!$A:$C,MATCH($C$1,Database!$A$1:$C$1,),))</f>
        <v/>
      </c>
      <c r="D364">
        <f>IFERROR(Table7[[#This Row],[United States 10y]]-Table7[[#This Row],[United States 3y]],#N/A)</f>
        <v/>
      </c>
    </row>
    <row r="365">
      <c r="A365" s="6">
        <f>Database!$A2450</f>
        <v/>
      </c>
      <c r="B365">
        <f>IF(VLOOKUP(Table7[[#This Row],[Date]],Database!$A:$C,MATCH($B$1,Database!$A$1:$C$1,),)=0,#N/A,VLOOKUP(Table7[[#This Row],[Date]],Database!$A:$C,MATCH($B$1,Database!$A$1:$C$1,),))</f>
        <v/>
      </c>
      <c r="C365">
        <f>IF(VLOOKUP(Table7[[#This Row],[Date]],Database!$A:$C,MATCH($C$1,Database!$A$1:$C$1,),)=0,#N/A,VLOOKUP(Table7[[#This Row],[Date]],Database!$A:$C,MATCH($C$1,Database!$A$1:$C$1,),))</f>
        <v/>
      </c>
      <c r="D365">
        <f>IFERROR(Table7[[#This Row],[United States 10y]]-Table7[[#This Row],[United States 3y]],#N/A)</f>
        <v/>
      </c>
    </row>
    <row r="366">
      <c r="A366" s="6">
        <f>Database!$A2451</f>
        <v/>
      </c>
      <c r="B366">
        <f>IF(VLOOKUP(Table7[[#This Row],[Date]],Database!$A:$C,MATCH($B$1,Database!$A$1:$C$1,),)=0,#N/A,VLOOKUP(Table7[[#This Row],[Date]],Database!$A:$C,MATCH($B$1,Database!$A$1:$C$1,),))</f>
        <v/>
      </c>
      <c r="C366">
        <f>IF(VLOOKUP(Table7[[#This Row],[Date]],Database!$A:$C,MATCH($C$1,Database!$A$1:$C$1,),)=0,#N/A,VLOOKUP(Table7[[#This Row],[Date]],Database!$A:$C,MATCH($C$1,Database!$A$1:$C$1,),))</f>
        <v/>
      </c>
      <c r="D366">
        <f>IFERROR(Table7[[#This Row],[United States 10y]]-Table7[[#This Row],[United States 3y]],#N/A)</f>
        <v/>
      </c>
    </row>
    <row r="367">
      <c r="A367" s="6">
        <f>Database!$A2452</f>
        <v/>
      </c>
      <c r="B367">
        <f>IF(VLOOKUP(Table7[[#This Row],[Date]],Database!$A:$C,MATCH($B$1,Database!$A$1:$C$1,),)=0,#N/A,VLOOKUP(Table7[[#This Row],[Date]],Database!$A:$C,MATCH($B$1,Database!$A$1:$C$1,),))</f>
        <v/>
      </c>
      <c r="C367">
        <f>IF(VLOOKUP(Table7[[#This Row],[Date]],Database!$A:$C,MATCH($C$1,Database!$A$1:$C$1,),)=0,#N/A,VLOOKUP(Table7[[#This Row],[Date]],Database!$A:$C,MATCH($C$1,Database!$A$1:$C$1,),))</f>
        <v/>
      </c>
      <c r="D367">
        <f>IFERROR(Table7[[#This Row],[United States 10y]]-Table7[[#This Row],[United States 3y]],#N/A)</f>
        <v/>
      </c>
    </row>
    <row r="368">
      <c r="A368" s="6">
        <f>Database!$A2453</f>
        <v/>
      </c>
      <c r="B368">
        <f>IF(VLOOKUP(Table7[[#This Row],[Date]],Database!$A:$C,MATCH($B$1,Database!$A$1:$C$1,),)=0,#N/A,VLOOKUP(Table7[[#This Row],[Date]],Database!$A:$C,MATCH($B$1,Database!$A$1:$C$1,),))</f>
        <v/>
      </c>
      <c r="C368">
        <f>IF(VLOOKUP(Table7[[#This Row],[Date]],Database!$A:$C,MATCH($C$1,Database!$A$1:$C$1,),)=0,#N/A,VLOOKUP(Table7[[#This Row],[Date]],Database!$A:$C,MATCH($C$1,Database!$A$1:$C$1,),))</f>
        <v/>
      </c>
      <c r="D368">
        <f>IFERROR(Table7[[#This Row],[United States 10y]]-Table7[[#This Row],[United States 3y]],#N/A)</f>
        <v/>
      </c>
    </row>
    <row r="369">
      <c r="A369" s="6">
        <f>Database!$A2454</f>
        <v/>
      </c>
      <c r="B369">
        <f>IF(VLOOKUP(Table7[[#This Row],[Date]],Database!$A:$C,MATCH($B$1,Database!$A$1:$C$1,),)=0,#N/A,VLOOKUP(Table7[[#This Row],[Date]],Database!$A:$C,MATCH($B$1,Database!$A$1:$C$1,),))</f>
        <v/>
      </c>
      <c r="C369">
        <f>IF(VLOOKUP(Table7[[#This Row],[Date]],Database!$A:$C,MATCH($C$1,Database!$A$1:$C$1,),)=0,#N/A,VLOOKUP(Table7[[#This Row],[Date]],Database!$A:$C,MATCH($C$1,Database!$A$1:$C$1,),))</f>
        <v/>
      </c>
      <c r="D369">
        <f>IFERROR(Table7[[#This Row],[United States 10y]]-Table7[[#This Row],[United States 3y]],#N/A)</f>
        <v/>
      </c>
    </row>
    <row r="370">
      <c r="A370" s="6">
        <f>Database!$A2455</f>
        <v/>
      </c>
      <c r="B370">
        <f>IF(VLOOKUP(Table7[[#This Row],[Date]],Database!$A:$C,MATCH($B$1,Database!$A$1:$C$1,),)=0,#N/A,VLOOKUP(Table7[[#This Row],[Date]],Database!$A:$C,MATCH($B$1,Database!$A$1:$C$1,),))</f>
        <v/>
      </c>
      <c r="C370">
        <f>IF(VLOOKUP(Table7[[#This Row],[Date]],Database!$A:$C,MATCH($C$1,Database!$A$1:$C$1,),)=0,#N/A,VLOOKUP(Table7[[#This Row],[Date]],Database!$A:$C,MATCH($C$1,Database!$A$1:$C$1,),))</f>
        <v/>
      </c>
      <c r="D370">
        <f>IFERROR(Table7[[#This Row],[United States 10y]]-Table7[[#This Row],[United States 3y]],#N/A)</f>
        <v/>
      </c>
    </row>
    <row r="371">
      <c r="A371" s="6">
        <f>Database!$A2456</f>
        <v/>
      </c>
      <c r="B371">
        <f>IF(VLOOKUP(Table7[[#This Row],[Date]],Database!$A:$C,MATCH($B$1,Database!$A$1:$C$1,),)=0,#N/A,VLOOKUP(Table7[[#This Row],[Date]],Database!$A:$C,MATCH($B$1,Database!$A$1:$C$1,),))</f>
        <v/>
      </c>
      <c r="C371">
        <f>IF(VLOOKUP(Table7[[#This Row],[Date]],Database!$A:$C,MATCH($C$1,Database!$A$1:$C$1,),)=0,#N/A,VLOOKUP(Table7[[#This Row],[Date]],Database!$A:$C,MATCH($C$1,Database!$A$1:$C$1,),))</f>
        <v/>
      </c>
      <c r="D371">
        <f>IFERROR(Table7[[#This Row],[United States 10y]]-Table7[[#This Row],[United States 3y]],#N/A)</f>
        <v/>
      </c>
    </row>
    <row r="372">
      <c r="A372" s="6">
        <f>Database!$A2457</f>
        <v/>
      </c>
      <c r="B372">
        <f>IF(VLOOKUP(Table7[[#This Row],[Date]],Database!$A:$C,MATCH($B$1,Database!$A$1:$C$1,),)=0,#N/A,VLOOKUP(Table7[[#This Row],[Date]],Database!$A:$C,MATCH($B$1,Database!$A$1:$C$1,),))</f>
        <v/>
      </c>
      <c r="C372">
        <f>IF(VLOOKUP(Table7[[#This Row],[Date]],Database!$A:$C,MATCH($C$1,Database!$A$1:$C$1,),)=0,#N/A,VLOOKUP(Table7[[#This Row],[Date]],Database!$A:$C,MATCH($C$1,Database!$A$1:$C$1,),))</f>
        <v/>
      </c>
      <c r="D372">
        <f>IFERROR(Table7[[#This Row],[United States 10y]]-Table7[[#This Row],[United States 3y]],#N/A)</f>
        <v/>
      </c>
    </row>
    <row r="373">
      <c r="A373" s="6">
        <f>Database!$A2458</f>
        <v/>
      </c>
      <c r="B373">
        <f>IF(VLOOKUP(Table7[[#This Row],[Date]],Database!$A:$C,MATCH($B$1,Database!$A$1:$C$1,),)=0,#N/A,VLOOKUP(Table7[[#This Row],[Date]],Database!$A:$C,MATCH($B$1,Database!$A$1:$C$1,),))</f>
        <v/>
      </c>
      <c r="C373">
        <f>IF(VLOOKUP(Table7[[#This Row],[Date]],Database!$A:$C,MATCH($C$1,Database!$A$1:$C$1,),)=0,#N/A,VLOOKUP(Table7[[#This Row],[Date]],Database!$A:$C,MATCH($C$1,Database!$A$1:$C$1,),))</f>
        <v/>
      </c>
      <c r="D373">
        <f>IFERROR(Table7[[#This Row],[United States 10y]]-Table7[[#This Row],[United States 3y]],#N/A)</f>
        <v/>
      </c>
    </row>
    <row r="374">
      <c r="A374" s="6">
        <f>Database!$A2459</f>
        <v/>
      </c>
      <c r="B374">
        <f>IF(VLOOKUP(Table7[[#This Row],[Date]],Database!$A:$C,MATCH($B$1,Database!$A$1:$C$1,),)=0,#N/A,VLOOKUP(Table7[[#This Row],[Date]],Database!$A:$C,MATCH($B$1,Database!$A$1:$C$1,),))</f>
        <v/>
      </c>
      <c r="C374">
        <f>IF(VLOOKUP(Table7[[#This Row],[Date]],Database!$A:$C,MATCH($C$1,Database!$A$1:$C$1,),)=0,#N/A,VLOOKUP(Table7[[#This Row],[Date]],Database!$A:$C,MATCH($C$1,Database!$A$1:$C$1,),))</f>
        <v/>
      </c>
      <c r="D374">
        <f>IFERROR(Table7[[#This Row],[United States 10y]]-Table7[[#This Row],[United States 3y]],#N/A)</f>
        <v/>
      </c>
    </row>
    <row r="375">
      <c r="A375" s="6">
        <f>Database!$A2460</f>
        <v/>
      </c>
      <c r="B375">
        <f>IF(VLOOKUP(Table7[[#This Row],[Date]],Database!$A:$C,MATCH($B$1,Database!$A$1:$C$1,),)=0,#N/A,VLOOKUP(Table7[[#This Row],[Date]],Database!$A:$C,MATCH($B$1,Database!$A$1:$C$1,),))</f>
        <v/>
      </c>
      <c r="C375">
        <f>IF(VLOOKUP(Table7[[#This Row],[Date]],Database!$A:$C,MATCH($C$1,Database!$A$1:$C$1,),)=0,#N/A,VLOOKUP(Table7[[#This Row],[Date]],Database!$A:$C,MATCH($C$1,Database!$A$1:$C$1,),))</f>
        <v/>
      </c>
      <c r="D375">
        <f>IFERROR(Table7[[#This Row],[United States 10y]]-Table7[[#This Row],[United States 3y]],#N/A)</f>
        <v/>
      </c>
    </row>
    <row r="376">
      <c r="A376" s="6">
        <f>Database!$A2461</f>
        <v/>
      </c>
      <c r="B376">
        <f>IF(VLOOKUP(Table7[[#This Row],[Date]],Database!$A:$C,MATCH($B$1,Database!$A$1:$C$1,),)=0,#N/A,VLOOKUP(Table7[[#This Row],[Date]],Database!$A:$C,MATCH($B$1,Database!$A$1:$C$1,),))</f>
        <v/>
      </c>
      <c r="C376">
        <f>IF(VLOOKUP(Table7[[#This Row],[Date]],Database!$A:$C,MATCH($C$1,Database!$A$1:$C$1,),)=0,#N/A,VLOOKUP(Table7[[#This Row],[Date]],Database!$A:$C,MATCH($C$1,Database!$A$1:$C$1,),))</f>
        <v/>
      </c>
      <c r="D376">
        <f>IFERROR(Table7[[#This Row],[United States 10y]]-Table7[[#This Row],[United States 3y]],#N/A)</f>
        <v/>
      </c>
    </row>
    <row r="377">
      <c r="A377" s="6">
        <f>Database!$A2462</f>
        <v/>
      </c>
      <c r="B377">
        <f>IF(VLOOKUP(Table7[[#This Row],[Date]],Database!$A:$C,MATCH($B$1,Database!$A$1:$C$1,),)=0,#N/A,VLOOKUP(Table7[[#This Row],[Date]],Database!$A:$C,MATCH($B$1,Database!$A$1:$C$1,),))</f>
        <v/>
      </c>
      <c r="C377">
        <f>IF(VLOOKUP(Table7[[#This Row],[Date]],Database!$A:$C,MATCH($C$1,Database!$A$1:$C$1,),)=0,#N/A,VLOOKUP(Table7[[#This Row],[Date]],Database!$A:$C,MATCH($C$1,Database!$A$1:$C$1,),))</f>
        <v/>
      </c>
      <c r="D377">
        <f>IFERROR(Table7[[#This Row],[United States 10y]]-Table7[[#This Row],[United States 3y]],#N/A)</f>
        <v/>
      </c>
    </row>
    <row r="378">
      <c r="A378" s="6">
        <f>Database!$A2463</f>
        <v/>
      </c>
      <c r="B378">
        <f>IF(VLOOKUP(Table7[[#This Row],[Date]],Database!$A:$C,MATCH($B$1,Database!$A$1:$C$1,),)=0,#N/A,VLOOKUP(Table7[[#This Row],[Date]],Database!$A:$C,MATCH($B$1,Database!$A$1:$C$1,),))</f>
        <v/>
      </c>
      <c r="C378">
        <f>IF(VLOOKUP(Table7[[#This Row],[Date]],Database!$A:$C,MATCH($C$1,Database!$A$1:$C$1,),)=0,#N/A,VLOOKUP(Table7[[#This Row],[Date]],Database!$A:$C,MATCH($C$1,Database!$A$1:$C$1,),))</f>
        <v/>
      </c>
      <c r="D378">
        <f>IFERROR(Table7[[#This Row],[United States 10y]]-Table7[[#This Row],[United States 3y]],#N/A)</f>
        <v/>
      </c>
    </row>
    <row r="379">
      <c r="A379" s="6">
        <f>Database!$A2464</f>
        <v/>
      </c>
      <c r="B379">
        <f>IF(VLOOKUP(Table7[[#This Row],[Date]],Database!$A:$C,MATCH($B$1,Database!$A$1:$C$1,),)=0,#N/A,VLOOKUP(Table7[[#This Row],[Date]],Database!$A:$C,MATCH($B$1,Database!$A$1:$C$1,),))</f>
        <v/>
      </c>
      <c r="C379">
        <f>IF(VLOOKUP(Table7[[#This Row],[Date]],Database!$A:$C,MATCH($C$1,Database!$A$1:$C$1,),)=0,#N/A,VLOOKUP(Table7[[#This Row],[Date]],Database!$A:$C,MATCH($C$1,Database!$A$1:$C$1,),))</f>
        <v/>
      </c>
      <c r="D379">
        <f>IFERROR(Table7[[#This Row],[United States 10y]]-Table7[[#This Row],[United States 3y]],#N/A)</f>
        <v/>
      </c>
    </row>
    <row r="380">
      <c r="A380" s="6">
        <f>Database!$A2465</f>
        <v/>
      </c>
      <c r="B380">
        <f>IF(VLOOKUP(Table7[[#This Row],[Date]],Database!$A:$C,MATCH($B$1,Database!$A$1:$C$1,),)=0,#N/A,VLOOKUP(Table7[[#This Row],[Date]],Database!$A:$C,MATCH($B$1,Database!$A$1:$C$1,),))</f>
        <v/>
      </c>
      <c r="C380">
        <f>IF(VLOOKUP(Table7[[#This Row],[Date]],Database!$A:$C,MATCH($C$1,Database!$A$1:$C$1,),)=0,#N/A,VLOOKUP(Table7[[#This Row],[Date]],Database!$A:$C,MATCH($C$1,Database!$A$1:$C$1,),))</f>
        <v/>
      </c>
      <c r="D380">
        <f>IFERROR(Table7[[#This Row],[United States 10y]]-Table7[[#This Row],[United States 3y]],#N/A)</f>
        <v/>
      </c>
    </row>
    <row r="381">
      <c r="A381" s="6">
        <f>Database!$A2466</f>
        <v/>
      </c>
      <c r="B381">
        <f>IF(VLOOKUP(Table7[[#This Row],[Date]],Database!$A:$C,MATCH($B$1,Database!$A$1:$C$1,),)=0,#N/A,VLOOKUP(Table7[[#This Row],[Date]],Database!$A:$C,MATCH($B$1,Database!$A$1:$C$1,),))</f>
        <v/>
      </c>
      <c r="C381">
        <f>IF(VLOOKUP(Table7[[#This Row],[Date]],Database!$A:$C,MATCH($C$1,Database!$A$1:$C$1,),)=0,#N/A,VLOOKUP(Table7[[#This Row],[Date]],Database!$A:$C,MATCH($C$1,Database!$A$1:$C$1,),))</f>
        <v/>
      </c>
      <c r="D381">
        <f>IFERROR(Table7[[#This Row],[United States 10y]]-Table7[[#This Row],[United States 3y]],#N/A)</f>
        <v/>
      </c>
    </row>
    <row r="382">
      <c r="A382" s="6">
        <f>Database!$A2467</f>
        <v/>
      </c>
      <c r="B382">
        <f>IF(VLOOKUP(Table7[[#This Row],[Date]],Database!$A:$C,MATCH($B$1,Database!$A$1:$C$1,),)=0,#N/A,VLOOKUP(Table7[[#This Row],[Date]],Database!$A:$C,MATCH($B$1,Database!$A$1:$C$1,),))</f>
        <v/>
      </c>
      <c r="C382">
        <f>IF(VLOOKUP(Table7[[#This Row],[Date]],Database!$A:$C,MATCH($C$1,Database!$A$1:$C$1,),)=0,#N/A,VLOOKUP(Table7[[#This Row],[Date]],Database!$A:$C,MATCH($C$1,Database!$A$1:$C$1,),))</f>
        <v/>
      </c>
      <c r="D382">
        <f>IFERROR(Table7[[#This Row],[United States 10y]]-Table7[[#This Row],[United States 3y]],#N/A)</f>
        <v/>
      </c>
    </row>
    <row r="383">
      <c r="A383" s="6">
        <f>Database!$A2468</f>
        <v/>
      </c>
      <c r="B383">
        <f>IF(VLOOKUP(Table7[[#This Row],[Date]],Database!$A:$C,MATCH($B$1,Database!$A$1:$C$1,),)=0,#N/A,VLOOKUP(Table7[[#This Row],[Date]],Database!$A:$C,MATCH($B$1,Database!$A$1:$C$1,),))</f>
        <v/>
      </c>
      <c r="C383">
        <f>IF(VLOOKUP(Table7[[#This Row],[Date]],Database!$A:$C,MATCH($C$1,Database!$A$1:$C$1,),)=0,#N/A,VLOOKUP(Table7[[#This Row],[Date]],Database!$A:$C,MATCH($C$1,Database!$A$1:$C$1,),))</f>
        <v/>
      </c>
      <c r="D383">
        <f>IFERROR(Table7[[#This Row],[United States 10y]]-Table7[[#This Row],[United States 3y]],#N/A)</f>
        <v/>
      </c>
    </row>
    <row r="384">
      <c r="A384" s="6">
        <f>Database!$A2469</f>
        <v/>
      </c>
      <c r="B384">
        <f>IF(VLOOKUP(Table7[[#This Row],[Date]],Database!$A:$C,MATCH($B$1,Database!$A$1:$C$1,),)=0,#N/A,VLOOKUP(Table7[[#This Row],[Date]],Database!$A:$C,MATCH($B$1,Database!$A$1:$C$1,),))</f>
        <v/>
      </c>
      <c r="C384">
        <f>IF(VLOOKUP(Table7[[#This Row],[Date]],Database!$A:$C,MATCH($C$1,Database!$A$1:$C$1,),)=0,#N/A,VLOOKUP(Table7[[#This Row],[Date]],Database!$A:$C,MATCH($C$1,Database!$A$1:$C$1,),))</f>
        <v/>
      </c>
      <c r="D384">
        <f>IFERROR(Table7[[#This Row],[United States 10y]]-Table7[[#This Row],[United States 3y]],#N/A)</f>
        <v/>
      </c>
    </row>
    <row r="385">
      <c r="A385" s="6">
        <f>Database!$A2470</f>
        <v/>
      </c>
      <c r="B385">
        <f>IF(VLOOKUP(Table7[[#This Row],[Date]],Database!$A:$C,MATCH($B$1,Database!$A$1:$C$1,),)=0,#N/A,VLOOKUP(Table7[[#This Row],[Date]],Database!$A:$C,MATCH($B$1,Database!$A$1:$C$1,),))</f>
        <v/>
      </c>
      <c r="C385">
        <f>IF(VLOOKUP(Table7[[#This Row],[Date]],Database!$A:$C,MATCH($C$1,Database!$A$1:$C$1,),)=0,#N/A,VLOOKUP(Table7[[#This Row],[Date]],Database!$A:$C,MATCH($C$1,Database!$A$1:$C$1,),))</f>
        <v/>
      </c>
      <c r="D385">
        <f>IFERROR(Table7[[#This Row],[United States 10y]]-Table7[[#This Row],[United States 3y]],#N/A)</f>
        <v/>
      </c>
    </row>
    <row r="386">
      <c r="A386" s="6">
        <f>Database!$A2471</f>
        <v/>
      </c>
      <c r="B386">
        <f>IF(VLOOKUP(Table7[[#This Row],[Date]],Database!$A:$C,MATCH($B$1,Database!$A$1:$C$1,),)=0,#N/A,VLOOKUP(Table7[[#This Row],[Date]],Database!$A:$C,MATCH($B$1,Database!$A$1:$C$1,),))</f>
        <v/>
      </c>
      <c r="C386">
        <f>IF(VLOOKUP(Table7[[#This Row],[Date]],Database!$A:$C,MATCH($C$1,Database!$A$1:$C$1,),)=0,#N/A,VLOOKUP(Table7[[#This Row],[Date]],Database!$A:$C,MATCH($C$1,Database!$A$1:$C$1,),))</f>
        <v/>
      </c>
      <c r="D386">
        <f>IFERROR(Table7[[#This Row],[United States 10y]]-Table7[[#This Row],[United States 3y]],#N/A)</f>
        <v/>
      </c>
    </row>
    <row r="387">
      <c r="A387" s="6">
        <f>Database!$A2472</f>
        <v/>
      </c>
      <c r="B387">
        <f>IF(VLOOKUP(Table7[[#This Row],[Date]],Database!$A:$C,MATCH($B$1,Database!$A$1:$C$1,),)=0,#N/A,VLOOKUP(Table7[[#This Row],[Date]],Database!$A:$C,MATCH($B$1,Database!$A$1:$C$1,),))</f>
        <v/>
      </c>
      <c r="C387">
        <f>IF(VLOOKUP(Table7[[#This Row],[Date]],Database!$A:$C,MATCH($C$1,Database!$A$1:$C$1,),)=0,#N/A,VLOOKUP(Table7[[#This Row],[Date]],Database!$A:$C,MATCH($C$1,Database!$A$1:$C$1,),))</f>
        <v/>
      </c>
      <c r="D387">
        <f>IFERROR(Table7[[#This Row],[United States 10y]]-Table7[[#This Row],[United States 3y]],#N/A)</f>
        <v/>
      </c>
    </row>
    <row r="388">
      <c r="A388" s="6">
        <f>Database!$A2473</f>
        <v/>
      </c>
      <c r="B388">
        <f>IF(VLOOKUP(Table7[[#This Row],[Date]],Database!$A:$C,MATCH($B$1,Database!$A$1:$C$1,),)=0,#N/A,VLOOKUP(Table7[[#This Row],[Date]],Database!$A:$C,MATCH($B$1,Database!$A$1:$C$1,),))</f>
        <v/>
      </c>
      <c r="C388">
        <f>IF(VLOOKUP(Table7[[#This Row],[Date]],Database!$A:$C,MATCH($C$1,Database!$A$1:$C$1,),)=0,#N/A,VLOOKUP(Table7[[#This Row],[Date]],Database!$A:$C,MATCH($C$1,Database!$A$1:$C$1,),))</f>
        <v/>
      </c>
      <c r="D388">
        <f>IFERROR(Table7[[#This Row],[United States 10y]]-Table7[[#This Row],[United States 3y]],#N/A)</f>
        <v/>
      </c>
    </row>
    <row r="389">
      <c r="A389" s="6">
        <f>Database!$A2474</f>
        <v/>
      </c>
      <c r="B389">
        <f>IF(VLOOKUP(Table7[[#This Row],[Date]],Database!$A:$C,MATCH($B$1,Database!$A$1:$C$1,),)=0,#N/A,VLOOKUP(Table7[[#This Row],[Date]],Database!$A:$C,MATCH($B$1,Database!$A$1:$C$1,),))</f>
        <v/>
      </c>
      <c r="C389">
        <f>IF(VLOOKUP(Table7[[#This Row],[Date]],Database!$A:$C,MATCH($C$1,Database!$A$1:$C$1,),)=0,#N/A,VLOOKUP(Table7[[#This Row],[Date]],Database!$A:$C,MATCH($C$1,Database!$A$1:$C$1,),))</f>
        <v/>
      </c>
      <c r="D389">
        <f>IFERROR(Table7[[#This Row],[United States 10y]]-Table7[[#This Row],[United States 3y]],#N/A)</f>
        <v/>
      </c>
    </row>
    <row r="390">
      <c r="A390" s="6">
        <f>Database!$A2475</f>
        <v/>
      </c>
      <c r="B390">
        <f>IF(VLOOKUP(Table7[[#This Row],[Date]],Database!$A:$C,MATCH($B$1,Database!$A$1:$C$1,),)=0,#N/A,VLOOKUP(Table7[[#This Row],[Date]],Database!$A:$C,MATCH($B$1,Database!$A$1:$C$1,),))</f>
        <v/>
      </c>
      <c r="C390">
        <f>IF(VLOOKUP(Table7[[#This Row],[Date]],Database!$A:$C,MATCH($C$1,Database!$A$1:$C$1,),)=0,#N/A,VLOOKUP(Table7[[#This Row],[Date]],Database!$A:$C,MATCH($C$1,Database!$A$1:$C$1,),))</f>
        <v/>
      </c>
      <c r="D390">
        <f>IFERROR(Table7[[#This Row],[United States 10y]]-Table7[[#This Row],[United States 3y]],#N/A)</f>
        <v/>
      </c>
    </row>
    <row r="391">
      <c r="A391" s="6">
        <f>Database!$A2476</f>
        <v/>
      </c>
      <c r="B391">
        <f>IF(VLOOKUP(Table7[[#This Row],[Date]],Database!$A:$C,MATCH($B$1,Database!$A$1:$C$1,),)=0,#N/A,VLOOKUP(Table7[[#This Row],[Date]],Database!$A:$C,MATCH($B$1,Database!$A$1:$C$1,),))</f>
        <v/>
      </c>
      <c r="C391">
        <f>IF(VLOOKUP(Table7[[#This Row],[Date]],Database!$A:$C,MATCH($C$1,Database!$A$1:$C$1,),)=0,#N/A,VLOOKUP(Table7[[#This Row],[Date]],Database!$A:$C,MATCH($C$1,Database!$A$1:$C$1,),))</f>
        <v/>
      </c>
      <c r="D391">
        <f>IFERROR(Table7[[#This Row],[United States 10y]]-Table7[[#This Row],[United States 3y]],#N/A)</f>
        <v/>
      </c>
    </row>
    <row r="392">
      <c r="A392" s="6">
        <f>Database!$A2477</f>
        <v/>
      </c>
      <c r="B392">
        <f>IF(VLOOKUP(Table7[[#This Row],[Date]],Database!$A:$C,MATCH($B$1,Database!$A$1:$C$1,),)=0,#N/A,VLOOKUP(Table7[[#This Row],[Date]],Database!$A:$C,MATCH($B$1,Database!$A$1:$C$1,),))</f>
        <v/>
      </c>
      <c r="C392">
        <f>IF(VLOOKUP(Table7[[#This Row],[Date]],Database!$A:$C,MATCH($C$1,Database!$A$1:$C$1,),)=0,#N/A,VLOOKUP(Table7[[#This Row],[Date]],Database!$A:$C,MATCH($C$1,Database!$A$1:$C$1,),))</f>
        <v/>
      </c>
      <c r="D392">
        <f>IFERROR(Table7[[#This Row],[United States 10y]]-Table7[[#This Row],[United States 3y]],#N/A)</f>
        <v/>
      </c>
    </row>
    <row r="393">
      <c r="A393" s="6">
        <f>Database!$A2478</f>
        <v/>
      </c>
      <c r="B393">
        <f>IF(VLOOKUP(Table7[[#This Row],[Date]],Database!$A:$C,MATCH($B$1,Database!$A$1:$C$1,),)=0,#N/A,VLOOKUP(Table7[[#This Row],[Date]],Database!$A:$C,MATCH($B$1,Database!$A$1:$C$1,),))</f>
        <v/>
      </c>
      <c r="C393">
        <f>IF(VLOOKUP(Table7[[#This Row],[Date]],Database!$A:$C,MATCH($C$1,Database!$A$1:$C$1,),)=0,#N/A,VLOOKUP(Table7[[#This Row],[Date]],Database!$A:$C,MATCH($C$1,Database!$A$1:$C$1,),))</f>
        <v/>
      </c>
      <c r="D393">
        <f>IFERROR(Table7[[#This Row],[United States 10y]]-Table7[[#This Row],[United States 3y]],#N/A)</f>
        <v/>
      </c>
    </row>
    <row r="394">
      <c r="A394" s="6">
        <f>Database!$A2479</f>
        <v/>
      </c>
      <c r="B394">
        <f>IF(VLOOKUP(Table7[[#This Row],[Date]],Database!$A:$C,MATCH($B$1,Database!$A$1:$C$1,),)=0,#N/A,VLOOKUP(Table7[[#This Row],[Date]],Database!$A:$C,MATCH($B$1,Database!$A$1:$C$1,),))</f>
        <v/>
      </c>
      <c r="C394">
        <f>IF(VLOOKUP(Table7[[#This Row],[Date]],Database!$A:$C,MATCH($C$1,Database!$A$1:$C$1,),)=0,#N/A,VLOOKUP(Table7[[#This Row],[Date]],Database!$A:$C,MATCH($C$1,Database!$A$1:$C$1,),))</f>
        <v/>
      </c>
      <c r="D394">
        <f>IFERROR(Table7[[#This Row],[United States 10y]]-Table7[[#This Row],[United States 3y]],#N/A)</f>
        <v/>
      </c>
    </row>
    <row r="395">
      <c r="A395" s="6">
        <f>Database!$A2480</f>
        <v/>
      </c>
      <c r="B395">
        <f>IF(VLOOKUP(Table7[[#This Row],[Date]],Database!$A:$C,MATCH($B$1,Database!$A$1:$C$1,),)=0,#N/A,VLOOKUP(Table7[[#This Row],[Date]],Database!$A:$C,MATCH($B$1,Database!$A$1:$C$1,),))</f>
        <v/>
      </c>
      <c r="C395">
        <f>IF(VLOOKUP(Table7[[#This Row],[Date]],Database!$A:$C,MATCH($C$1,Database!$A$1:$C$1,),)=0,#N/A,VLOOKUP(Table7[[#This Row],[Date]],Database!$A:$C,MATCH($C$1,Database!$A$1:$C$1,),))</f>
        <v/>
      </c>
      <c r="D395">
        <f>IFERROR(Table7[[#This Row],[United States 10y]]-Table7[[#This Row],[United States 3y]],#N/A)</f>
        <v/>
      </c>
    </row>
    <row r="396">
      <c r="A396" s="6">
        <f>Database!$A2481</f>
        <v/>
      </c>
      <c r="B396">
        <f>IF(VLOOKUP(Table7[[#This Row],[Date]],Database!$A:$C,MATCH($B$1,Database!$A$1:$C$1,),)=0,#N/A,VLOOKUP(Table7[[#This Row],[Date]],Database!$A:$C,MATCH($B$1,Database!$A$1:$C$1,),))</f>
        <v/>
      </c>
      <c r="C396">
        <f>IF(VLOOKUP(Table7[[#This Row],[Date]],Database!$A:$C,MATCH($C$1,Database!$A$1:$C$1,),)=0,#N/A,VLOOKUP(Table7[[#This Row],[Date]],Database!$A:$C,MATCH($C$1,Database!$A$1:$C$1,),))</f>
        <v/>
      </c>
      <c r="D396">
        <f>IFERROR(Table7[[#This Row],[United States 10y]]-Table7[[#This Row],[United States 3y]],#N/A)</f>
        <v/>
      </c>
    </row>
    <row r="397">
      <c r="A397" s="6">
        <f>Database!$A2482</f>
        <v/>
      </c>
      <c r="B397">
        <f>IF(VLOOKUP(Table7[[#This Row],[Date]],Database!$A:$C,MATCH($B$1,Database!$A$1:$C$1,),)=0,#N/A,VLOOKUP(Table7[[#This Row],[Date]],Database!$A:$C,MATCH($B$1,Database!$A$1:$C$1,),))</f>
        <v/>
      </c>
      <c r="C397">
        <f>IF(VLOOKUP(Table7[[#This Row],[Date]],Database!$A:$C,MATCH($C$1,Database!$A$1:$C$1,),)=0,#N/A,VLOOKUP(Table7[[#This Row],[Date]],Database!$A:$C,MATCH($C$1,Database!$A$1:$C$1,),))</f>
        <v/>
      </c>
      <c r="D397">
        <f>IFERROR(Table7[[#This Row],[United States 10y]]-Table7[[#This Row],[United States 3y]],#N/A)</f>
        <v/>
      </c>
    </row>
    <row r="398">
      <c r="A398" s="6">
        <f>Database!$A2483</f>
        <v/>
      </c>
      <c r="B398">
        <f>IF(VLOOKUP(Table7[[#This Row],[Date]],Database!$A:$C,MATCH($B$1,Database!$A$1:$C$1,),)=0,#N/A,VLOOKUP(Table7[[#This Row],[Date]],Database!$A:$C,MATCH($B$1,Database!$A$1:$C$1,),))</f>
        <v/>
      </c>
      <c r="C398">
        <f>IF(VLOOKUP(Table7[[#This Row],[Date]],Database!$A:$C,MATCH($C$1,Database!$A$1:$C$1,),)=0,#N/A,VLOOKUP(Table7[[#This Row],[Date]],Database!$A:$C,MATCH($C$1,Database!$A$1:$C$1,),))</f>
        <v/>
      </c>
      <c r="D398">
        <f>IFERROR(Table7[[#This Row],[United States 10y]]-Table7[[#This Row],[United States 3y]],#N/A)</f>
        <v/>
      </c>
    </row>
    <row r="399">
      <c r="A399" s="6">
        <f>Database!$A2484</f>
        <v/>
      </c>
      <c r="B399">
        <f>IF(VLOOKUP(Table7[[#This Row],[Date]],Database!$A:$C,MATCH($B$1,Database!$A$1:$C$1,),)=0,#N/A,VLOOKUP(Table7[[#This Row],[Date]],Database!$A:$C,MATCH($B$1,Database!$A$1:$C$1,),))</f>
        <v/>
      </c>
      <c r="C399">
        <f>IF(VLOOKUP(Table7[[#This Row],[Date]],Database!$A:$C,MATCH($C$1,Database!$A$1:$C$1,),)=0,#N/A,VLOOKUP(Table7[[#This Row],[Date]],Database!$A:$C,MATCH($C$1,Database!$A$1:$C$1,),))</f>
        <v/>
      </c>
      <c r="D399">
        <f>IFERROR(Table7[[#This Row],[United States 10y]]-Table7[[#This Row],[United States 3y]],#N/A)</f>
        <v/>
      </c>
    </row>
    <row r="400">
      <c r="A400" s="6">
        <f>Database!$A2485</f>
        <v/>
      </c>
      <c r="B400">
        <f>IF(VLOOKUP(Table7[[#This Row],[Date]],Database!$A:$C,MATCH($B$1,Database!$A$1:$C$1,),)=0,#N/A,VLOOKUP(Table7[[#This Row],[Date]],Database!$A:$C,MATCH($B$1,Database!$A$1:$C$1,),))</f>
        <v/>
      </c>
      <c r="C400">
        <f>IF(VLOOKUP(Table7[[#This Row],[Date]],Database!$A:$C,MATCH($C$1,Database!$A$1:$C$1,),)=0,#N/A,VLOOKUP(Table7[[#This Row],[Date]],Database!$A:$C,MATCH($C$1,Database!$A$1:$C$1,),))</f>
        <v/>
      </c>
      <c r="D400">
        <f>IFERROR(Table7[[#This Row],[United States 10y]]-Table7[[#This Row],[United States 3y]],#N/A)</f>
        <v/>
      </c>
    </row>
    <row r="401">
      <c r="A401" s="6">
        <f>Database!$A2486</f>
        <v/>
      </c>
      <c r="B401">
        <f>IF(VLOOKUP(Table7[[#This Row],[Date]],Database!$A:$C,MATCH($B$1,Database!$A$1:$C$1,),)=0,#N/A,VLOOKUP(Table7[[#This Row],[Date]],Database!$A:$C,MATCH($B$1,Database!$A$1:$C$1,),))</f>
        <v/>
      </c>
      <c r="C401">
        <f>IF(VLOOKUP(Table7[[#This Row],[Date]],Database!$A:$C,MATCH($C$1,Database!$A$1:$C$1,),)=0,#N/A,VLOOKUP(Table7[[#This Row],[Date]],Database!$A:$C,MATCH($C$1,Database!$A$1:$C$1,),))</f>
        <v/>
      </c>
      <c r="D401">
        <f>IFERROR(Table7[[#This Row],[United States 10y]]-Table7[[#This Row],[United States 3y]],#N/A)</f>
        <v/>
      </c>
    </row>
    <row r="402">
      <c r="A402" s="6">
        <f>Database!$A2487</f>
        <v/>
      </c>
      <c r="B402">
        <f>IF(VLOOKUP(Table7[[#This Row],[Date]],Database!$A:$C,MATCH($B$1,Database!$A$1:$C$1,),)=0,#N/A,VLOOKUP(Table7[[#This Row],[Date]],Database!$A:$C,MATCH($B$1,Database!$A$1:$C$1,),))</f>
        <v/>
      </c>
      <c r="C402">
        <f>IF(VLOOKUP(Table7[[#This Row],[Date]],Database!$A:$C,MATCH($C$1,Database!$A$1:$C$1,),)=0,#N/A,VLOOKUP(Table7[[#This Row],[Date]],Database!$A:$C,MATCH($C$1,Database!$A$1:$C$1,),))</f>
        <v/>
      </c>
      <c r="D402">
        <f>IFERROR(Table7[[#This Row],[United States 10y]]-Table7[[#This Row],[United States 3y]],#N/A)</f>
        <v/>
      </c>
    </row>
    <row r="403">
      <c r="A403" s="6">
        <f>Database!$A2488</f>
        <v/>
      </c>
      <c r="B403">
        <f>IF(VLOOKUP(Table7[[#This Row],[Date]],Database!$A:$C,MATCH($B$1,Database!$A$1:$C$1,),)=0,#N/A,VLOOKUP(Table7[[#This Row],[Date]],Database!$A:$C,MATCH($B$1,Database!$A$1:$C$1,),))</f>
        <v/>
      </c>
      <c r="C403">
        <f>IF(VLOOKUP(Table7[[#This Row],[Date]],Database!$A:$C,MATCH($C$1,Database!$A$1:$C$1,),)=0,#N/A,VLOOKUP(Table7[[#This Row],[Date]],Database!$A:$C,MATCH($C$1,Database!$A$1:$C$1,),))</f>
        <v/>
      </c>
      <c r="D403">
        <f>IFERROR(Table7[[#This Row],[United States 10y]]-Table7[[#This Row],[United States 3y]],#N/A)</f>
        <v/>
      </c>
    </row>
    <row r="404">
      <c r="A404" s="6">
        <f>Database!$A2489</f>
        <v/>
      </c>
      <c r="B404">
        <f>IF(VLOOKUP(Table7[[#This Row],[Date]],Database!$A:$C,MATCH($B$1,Database!$A$1:$C$1,),)=0,#N/A,VLOOKUP(Table7[[#This Row],[Date]],Database!$A:$C,MATCH($B$1,Database!$A$1:$C$1,),))</f>
        <v/>
      </c>
      <c r="C404">
        <f>IF(VLOOKUP(Table7[[#This Row],[Date]],Database!$A:$C,MATCH($C$1,Database!$A$1:$C$1,),)=0,#N/A,VLOOKUP(Table7[[#This Row],[Date]],Database!$A:$C,MATCH($C$1,Database!$A$1:$C$1,),))</f>
        <v/>
      </c>
      <c r="D404">
        <f>IFERROR(Table7[[#This Row],[United States 10y]]-Table7[[#This Row],[United States 3y]],#N/A)</f>
        <v/>
      </c>
    </row>
    <row r="405">
      <c r="A405" s="6">
        <f>Database!$A2490</f>
        <v/>
      </c>
      <c r="B405">
        <f>IF(VLOOKUP(Table7[[#This Row],[Date]],Database!$A:$C,MATCH($B$1,Database!$A$1:$C$1,),)=0,#N/A,VLOOKUP(Table7[[#This Row],[Date]],Database!$A:$C,MATCH($B$1,Database!$A$1:$C$1,),))</f>
        <v/>
      </c>
      <c r="C405">
        <f>IF(VLOOKUP(Table7[[#This Row],[Date]],Database!$A:$C,MATCH($C$1,Database!$A$1:$C$1,),)=0,#N/A,VLOOKUP(Table7[[#This Row],[Date]],Database!$A:$C,MATCH($C$1,Database!$A$1:$C$1,),))</f>
        <v/>
      </c>
      <c r="D405">
        <f>IFERROR(Table7[[#This Row],[United States 10y]]-Table7[[#This Row],[United States 3y]],#N/A)</f>
        <v/>
      </c>
    </row>
    <row r="406">
      <c r="A406" s="6">
        <f>Database!$A2491</f>
        <v/>
      </c>
      <c r="B406">
        <f>IF(VLOOKUP(Table7[[#This Row],[Date]],Database!$A:$C,MATCH($B$1,Database!$A$1:$C$1,),)=0,#N/A,VLOOKUP(Table7[[#This Row],[Date]],Database!$A:$C,MATCH($B$1,Database!$A$1:$C$1,),))</f>
        <v/>
      </c>
      <c r="C406">
        <f>IF(VLOOKUP(Table7[[#This Row],[Date]],Database!$A:$C,MATCH($C$1,Database!$A$1:$C$1,),)=0,#N/A,VLOOKUP(Table7[[#This Row],[Date]],Database!$A:$C,MATCH($C$1,Database!$A$1:$C$1,),))</f>
        <v/>
      </c>
      <c r="D406">
        <f>IFERROR(Table7[[#This Row],[United States 10y]]-Table7[[#This Row],[United States 3y]],#N/A)</f>
        <v/>
      </c>
    </row>
    <row r="407">
      <c r="A407" s="6">
        <f>Database!$A2492</f>
        <v/>
      </c>
      <c r="B407">
        <f>IF(VLOOKUP(Table7[[#This Row],[Date]],Database!$A:$C,MATCH($B$1,Database!$A$1:$C$1,),)=0,#N/A,VLOOKUP(Table7[[#This Row],[Date]],Database!$A:$C,MATCH($B$1,Database!$A$1:$C$1,),))</f>
        <v/>
      </c>
      <c r="C407">
        <f>IF(VLOOKUP(Table7[[#This Row],[Date]],Database!$A:$C,MATCH($C$1,Database!$A$1:$C$1,),)=0,#N/A,VLOOKUP(Table7[[#This Row],[Date]],Database!$A:$C,MATCH($C$1,Database!$A$1:$C$1,),))</f>
        <v/>
      </c>
      <c r="D407">
        <f>IFERROR(Table7[[#This Row],[United States 10y]]-Table7[[#This Row],[United States 3y]],#N/A)</f>
        <v/>
      </c>
    </row>
    <row r="408">
      <c r="A408" s="6">
        <f>Database!$A2493</f>
        <v/>
      </c>
      <c r="B408">
        <f>IF(VLOOKUP(Table7[[#This Row],[Date]],Database!$A:$C,MATCH($B$1,Database!$A$1:$C$1,),)=0,#N/A,VLOOKUP(Table7[[#This Row],[Date]],Database!$A:$C,MATCH($B$1,Database!$A$1:$C$1,),))</f>
        <v/>
      </c>
      <c r="C408">
        <f>IF(VLOOKUP(Table7[[#This Row],[Date]],Database!$A:$C,MATCH($C$1,Database!$A$1:$C$1,),)=0,#N/A,VLOOKUP(Table7[[#This Row],[Date]],Database!$A:$C,MATCH($C$1,Database!$A$1:$C$1,),))</f>
        <v/>
      </c>
      <c r="D408">
        <f>IFERROR(Table7[[#This Row],[United States 10y]]-Table7[[#This Row],[United States 3y]],#N/A)</f>
        <v/>
      </c>
    </row>
    <row r="409">
      <c r="A409" s="6">
        <f>Database!$A2494</f>
        <v/>
      </c>
      <c r="B409">
        <f>IF(VLOOKUP(Table7[[#This Row],[Date]],Database!$A:$C,MATCH($B$1,Database!$A$1:$C$1,),)=0,#N/A,VLOOKUP(Table7[[#This Row],[Date]],Database!$A:$C,MATCH($B$1,Database!$A$1:$C$1,),))</f>
        <v/>
      </c>
      <c r="C409">
        <f>IF(VLOOKUP(Table7[[#This Row],[Date]],Database!$A:$C,MATCH($C$1,Database!$A$1:$C$1,),)=0,#N/A,VLOOKUP(Table7[[#This Row],[Date]],Database!$A:$C,MATCH($C$1,Database!$A$1:$C$1,),))</f>
        <v/>
      </c>
      <c r="D409">
        <f>IFERROR(Table7[[#This Row],[United States 10y]]-Table7[[#This Row],[United States 3y]],#N/A)</f>
        <v/>
      </c>
    </row>
    <row r="410">
      <c r="A410" s="6">
        <f>Database!$A2495</f>
        <v/>
      </c>
      <c r="B410">
        <f>IF(VLOOKUP(Table7[[#This Row],[Date]],Database!$A:$C,MATCH($B$1,Database!$A$1:$C$1,),)=0,#N/A,VLOOKUP(Table7[[#This Row],[Date]],Database!$A:$C,MATCH($B$1,Database!$A$1:$C$1,),))</f>
        <v/>
      </c>
      <c r="C410">
        <f>IF(VLOOKUP(Table7[[#This Row],[Date]],Database!$A:$C,MATCH($C$1,Database!$A$1:$C$1,),)=0,#N/A,VLOOKUP(Table7[[#This Row],[Date]],Database!$A:$C,MATCH($C$1,Database!$A$1:$C$1,),))</f>
        <v/>
      </c>
      <c r="D410">
        <f>IFERROR(Table7[[#This Row],[United States 10y]]-Table7[[#This Row],[United States 3y]],#N/A)</f>
        <v/>
      </c>
    </row>
    <row r="411">
      <c r="A411" s="6">
        <f>Database!$A2496</f>
        <v/>
      </c>
      <c r="B411">
        <f>IF(VLOOKUP(Table7[[#This Row],[Date]],Database!$A:$C,MATCH($B$1,Database!$A$1:$C$1,),)=0,#N/A,VLOOKUP(Table7[[#This Row],[Date]],Database!$A:$C,MATCH($B$1,Database!$A$1:$C$1,),))</f>
        <v/>
      </c>
      <c r="C411">
        <f>IF(VLOOKUP(Table7[[#This Row],[Date]],Database!$A:$C,MATCH($C$1,Database!$A$1:$C$1,),)=0,#N/A,VLOOKUP(Table7[[#This Row],[Date]],Database!$A:$C,MATCH($C$1,Database!$A$1:$C$1,),))</f>
        <v/>
      </c>
      <c r="D411">
        <f>IFERROR(Table7[[#This Row],[United States 10y]]-Table7[[#This Row],[United States 3y]],#N/A)</f>
        <v/>
      </c>
    </row>
    <row r="412">
      <c r="A412" s="6">
        <f>Database!$A2497</f>
        <v/>
      </c>
      <c r="B412">
        <f>IF(VLOOKUP(Table7[[#This Row],[Date]],Database!$A:$C,MATCH($B$1,Database!$A$1:$C$1,),)=0,#N/A,VLOOKUP(Table7[[#This Row],[Date]],Database!$A:$C,MATCH($B$1,Database!$A$1:$C$1,),))</f>
        <v/>
      </c>
      <c r="C412">
        <f>IF(VLOOKUP(Table7[[#This Row],[Date]],Database!$A:$C,MATCH($C$1,Database!$A$1:$C$1,),)=0,#N/A,VLOOKUP(Table7[[#This Row],[Date]],Database!$A:$C,MATCH($C$1,Database!$A$1:$C$1,),))</f>
        <v/>
      </c>
      <c r="D412">
        <f>IFERROR(Table7[[#This Row],[United States 10y]]-Table7[[#This Row],[United States 3y]],#N/A)</f>
        <v/>
      </c>
    </row>
    <row r="413">
      <c r="A413" s="6">
        <f>Database!$A2498</f>
        <v/>
      </c>
      <c r="B413">
        <f>IF(VLOOKUP(Table7[[#This Row],[Date]],Database!$A:$C,MATCH($B$1,Database!$A$1:$C$1,),)=0,#N/A,VLOOKUP(Table7[[#This Row],[Date]],Database!$A:$C,MATCH($B$1,Database!$A$1:$C$1,),))</f>
        <v/>
      </c>
      <c r="C413">
        <f>IF(VLOOKUP(Table7[[#This Row],[Date]],Database!$A:$C,MATCH($C$1,Database!$A$1:$C$1,),)=0,#N/A,VLOOKUP(Table7[[#This Row],[Date]],Database!$A:$C,MATCH($C$1,Database!$A$1:$C$1,),))</f>
        <v/>
      </c>
      <c r="D413">
        <f>IFERROR(Table7[[#This Row],[United States 10y]]-Table7[[#This Row],[United States 3y]],#N/A)</f>
        <v/>
      </c>
    </row>
    <row r="414">
      <c r="A414" s="6">
        <f>Database!$A2499</f>
        <v/>
      </c>
      <c r="B414">
        <f>IF(VLOOKUP(Table7[[#This Row],[Date]],Database!$A:$C,MATCH($B$1,Database!$A$1:$C$1,),)=0,#N/A,VLOOKUP(Table7[[#This Row],[Date]],Database!$A:$C,MATCH($B$1,Database!$A$1:$C$1,),))</f>
        <v/>
      </c>
      <c r="C414">
        <f>IF(VLOOKUP(Table7[[#This Row],[Date]],Database!$A:$C,MATCH($C$1,Database!$A$1:$C$1,),)=0,#N/A,VLOOKUP(Table7[[#This Row],[Date]],Database!$A:$C,MATCH($C$1,Database!$A$1:$C$1,),))</f>
        <v/>
      </c>
      <c r="D414">
        <f>IFERROR(Table7[[#This Row],[United States 10y]]-Table7[[#This Row],[United States 3y]],#N/A)</f>
        <v/>
      </c>
    </row>
    <row r="415">
      <c r="A415" s="6">
        <f>Database!$A2500</f>
        <v/>
      </c>
      <c r="B415">
        <f>IF(VLOOKUP(Table7[[#This Row],[Date]],Database!$A:$C,MATCH($B$1,Database!$A$1:$C$1,),)=0,#N/A,VLOOKUP(Table7[[#This Row],[Date]],Database!$A:$C,MATCH($B$1,Database!$A$1:$C$1,),))</f>
        <v/>
      </c>
      <c r="C415">
        <f>IF(VLOOKUP(Table7[[#This Row],[Date]],Database!$A:$C,MATCH($C$1,Database!$A$1:$C$1,),)=0,#N/A,VLOOKUP(Table7[[#This Row],[Date]],Database!$A:$C,MATCH($C$1,Database!$A$1:$C$1,),))</f>
        <v/>
      </c>
      <c r="D415">
        <f>IFERROR(Table7[[#This Row],[United States 10y]]-Table7[[#This Row],[United States 3y]],#N/A)</f>
        <v/>
      </c>
    </row>
    <row r="416">
      <c r="A416" s="6">
        <f>Database!$A2501</f>
        <v/>
      </c>
      <c r="B416">
        <f>IF(VLOOKUP(Table7[[#This Row],[Date]],Database!$A:$C,MATCH($B$1,Database!$A$1:$C$1,),)=0,#N/A,VLOOKUP(Table7[[#This Row],[Date]],Database!$A:$C,MATCH($B$1,Database!$A$1:$C$1,),))</f>
        <v/>
      </c>
      <c r="C416">
        <f>IF(VLOOKUP(Table7[[#This Row],[Date]],Database!$A:$C,MATCH($C$1,Database!$A$1:$C$1,),)=0,#N/A,VLOOKUP(Table7[[#This Row],[Date]],Database!$A:$C,MATCH($C$1,Database!$A$1:$C$1,),))</f>
        <v/>
      </c>
      <c r="D416">
        <f>IFERROR(Table7[[#This Row],[United States 10y]]-Table7[[#This Row],[United States 3y]],#N/A)</f>
        <v/>
      </c>
    </row>
    <row r="417">
      <c r="A417" s="6">
        <f>Database!$A2502</f>
        <v/>
      </c>
      <c r="B417">
        <f>IF(VLOOKUP(Table7[[#This Row],[Date]],Database!$A:$C,MATCH($B$1,Database!$A$1:$C$1,),)=0,#N/A,VLOOKUP(Table7[[#This Row],[Date]],Database!$A:$C,MATCH($B$1,Database!$A$1:$C$1,),))</f>
        <v/>
      </c>
      <c r="C417">
        <f>IF(VLOOKUP(Table7[[#This Row],[Date]],Database!$A:$C,MATCH($C$1,Database!$A$1:$C$1,),)=0,#N/A,VLOOKUP(Table7[[#This Row],[Date]],Database!$A:$C,MATCH($C$1,Database!$A$1:$C$1,),))</f>
        <v/>
      </c>
      <c r="D417">
        <f>IFERROR(Table7[[#This Row],[United States 10y]]-Table7[[#This Row],[United States 3y]],#N/A)</f>
        <v/>
      </c>
    </row>
    <row r="418">
      <c r="A418" s="6">
        <f>Database!$A2503</f>
        <v/>
      </c>
      <c r="B418">
        <f>IF(VLOOKUP(Table7[[#This Row],[Date]],Database!$A:$C,MATCH($B$1,Database!$A$1:$C$1,),)=0,#N/A,VLOOKUP(Table7[[#This Row],[Date]],Database!$A:$C,MATCH($B$1,Database!$A$1:$C$1,),))</f>
        <v/>
      </c>
      <c r="C418">
        <f>IF(VLOOKUP(Table7[[#This Row],[Date]],Database!$A:$C,MATCH($C$1,Database!$A$1:$C$1,),)=0,#N/A,VLOOKUP(Table7[[#This Row],[Date]],Database!$A:$C,MATCH($C$1,Database!$A$1:$C$1,),))</f>
        <v/>
      </c>
      <c r="D418">
        <f>IFERROR(Table7[[#This Row],[United States 10y]]-Table7[[#This Row],[United States 3y]],#N/A)</f>
        <v/>
      </c>
    </row>
    <row r="419">
      <c r="A419" s="6">
        <f>Database!$A2504</f>
        <v/>
      </c>
      <c r="B419">
        <f>IF(VLOOKUP(Table7[[#This Row],[Date]],Database!$A:$C,MATCH($B$1,Database!$A$1:$C$1,),)=0,#N/A,VLOOKUP(Table7[[#This Row],[Date]],Database!$A:$C,MATCH($B$1,Database!$A$1:$C$1,),))</f>
        <v/>
      </c>
      <c r="C419">
        <f>IF(VLOOKUP(Table7[[#This Row],[Date]],Database!$A:$C,MATCH($C$1,Database!$A$1:$C$1,),)=0,#N/A,VLOOKUP(Table7[[#This Row],[Date]],Database!$A:$C,MATCH($C$1,Database!$A$1:$C$1,),))</f>
        <v/>
      </c>
      <c r="D419">
        <f>IFERROR(Table7[[#This Row],[United States 10y]]-Table7[[#This Row],[United States 3y]],#N/A)</f>
        <v/>
      </c>
    </row>
    <row r="420">
      <c r="A420" s="6">
        <f>Database!$A2505</f>
        <v/>
      </c>
      <c r="B420">
        <f>IF(VLOOKUP(Table7[[#This Row],[Date]],Database!$A:$C,MATCH($B$1,Database!$A$1:$C$1,),)=0,#N/A,VLOOKUP(Table7[[#This Row],[Date]],Database!$A:$C,MATCH($B$1,Database!$A$1:$C$1,),))</f>
        <v/>
      </c>
      <c r="C420">
        <f>IF(VLOOKUP(Table7[[#This Row],[Date]],Database!$A:$C,MATCH($C$1,Database!$A$1:$C$1,),)=0,#N/A,VLOOKUP(Table7[[#This Row],[Date]],Database!$A:$C,MATCH($C$1,Database!$A$1:$C$1,),))</f>
        <v/>
      </c>
      <c r="D420">
        <f>IFERROR(Table7[[#This Row],[United States 10y]]-Table7[[#This Row],[United States 3y]],#N/A)</f>
        <v/>
      </c>
    </row>
    <row r="421">
      <c r="A421" s="6">
        <f>Database!$A2506</f>
        <v/>
      </c>
      <c r="B421">
        <f>IF(VLOOKUP(Table7[[#This Row],[Date]],Database!$A:$C,MATCH($B$1,Database!$A$1:$C$1,),)=0,#N/A,VLOOKUP(Table7[[#This Row],[Date]],Database!$A:$C,MATCH($B$1,Database!$A$1:$C$1,),))</f>
        <v/>
      </c>
      <c r="C421">
        <f>IF(VLOOKUP(Table7[[#This Row],[Date]],Database!$A:$C,MATCH($C$1,Database!$A$1:$C$1,),)=0,#N/A,VLOOKUP(Table7[[#This Row],[Date]],Database!$A:$C,MATCH($C$1,Database!$A$1:$C$1,),))</f>
        <v/>
      </c>
      <c r="D421">
        <f>IFERROR(Table7[[#This Row],[United States 10y]]-Table7[[#This Row],[United States 3y]],#N/A)</f>
        <v/>
      </c>
    </row>
    <row r="422">
      <c r="A422" s="6">
        <f>Database!$A2507</f>
        <v/>
      </c>
      <c r="B422">
        <f>IF(VLOOKUP(Table7[[#This Row],[Date]],Database!$A:$C,MATCH($B$1,Database!$A$1:$C$1,),)=0,#N/A,VLOOKUP(Table7[[#This Row],[Date]],Database!$A:$C,MATCH($B$1,Database!$A$1:$C$1,),))</f>
        <v/>
      </c>
      <c r="C422">
        <f>IF(VLOOKUP(Table7[[#This Row],[Date]],Database!$A:$C,MATCH($C$1,Database!$A$1:$C$1,),)=0,#N/A,VLOOKUP(Table7[[#This Row],[Date]],Database!$A:$C,MATCH($C$1,Database!$A$1:$C$1,),))</f>
        <v/>
      </c>
      <c r="D422">
        <f>IFERROR(Table7[[#This Row],[United States 10y]]-Table7[[#This Row],[United States 3y]],#N/A)</f>
        <v/>
      </c>
    </row>
    <row r="423">
      <c r="A423" s="6">
        <f>Database!$A2508</f>
        <v/>
      </c>
      <c r="B423">
        <f>IF(VLOOKUP(Table7[[#This Row],[Date]],Database!$A:$C,MATCH($B$1,Database!$A$1:$C$1,),)=0,#N/A,VLOOKUP(Table7[[#This Row],[Date]],Database!$A:$C,MATCH($B$1,Database!$A$1:$C$1,),))</f>
        <v/>
      </c>
      <c r="C423">
        <f>IF(VLOOKUP(Table7[[#This Row],[Date]],Database!$A:$C,MATCH($C$1,Database!$A$1:$C$1,),)=0,#N/A,VLOOKUP(Table7[[#This Row],[Date]],Database!$A:$C,MATCH($C$1,Database!$A$1:$C$1,),))</f>
        <v/>
      </c>
      <c r="D423">
        <f>IFERROR(Table7[[#This Row],[United States 10y]]-Table7[[#This Row],[United States 3y]],#N/A)</f>
        <v/>
      </c>
    </row>
    <row r="424">
      <c r="A424" s="6">
        <f>Database!$A2509</f>
        <v/>
      </c>
      <c r="B424">
        <f>IF(VLOOKUP(Table7[[#This Row],[Date]],Database!$A:$C,MATCH($B$1,Database!$A$1:$C$1,),)=0,#N/A,VLOOKUP(Table7[[#This Row],[Date]],Database!$A:$C,MATCH($B$1,Database!$A$1:$C$1,),))</f>
        <v/>
      </c>
      <c r="C424">
        <f>IF(VLOOKUP(Table7[[#This Row],[Date]],Database!$A:$C,MATCH($C$1,Database!$A$1:$C$1,),)=0,#N/A,VLOOKUP(Table7[[#This Row],[Date]],Database!$A:$C,MATCH($C$1,Database!$A$1:$C$1,),))</f>
        <v/>
      </c>
      <c r="D424">
        <f>IFERROR(Table7[[#This Row],[United States 10y]]-Table7[[#This Row],[United States 3y]],#N/A)</f>
        <v/>
      </c>
    </row>
    <row r="425">
      <c r="A425" s="6">
        <f>Database!$A2510</f>
        <v/>
      </c>
      <c r="B425">
        <f>IF(VLOOKUP(Table7[[#This Row],[Date]],Database!$A:$C,MATCH($B$1,Database!$A$1:$C$1,),)=0,#N/A,VLOOKUP(Table7[[#This Row],[Date]],Database!$A:$C,MATCH($B$1,Database!$A$1:$C$1,),))</f>
        <v/>
      </c>
      <c r="C425">
        <f>IF(VLOOKUP(Table7[[#This Row],[Date]],Database!$A:$C,MATCH($C$1,Database!$A$1:$C$1,),)=0,#N/A,VLOOKUP(Table7[[#This Row],[Date]],Database!$A:$C,MATCH($C$1,Database!$A$1:$C$1,),))</f>
        <v/>
      </c>
      <c r="D425">
        <f>IFERROR(Table7[[#This Row],[United States 10y]]-Table7[[#This Row],[United States 3y]],#N/A)</f>
        <v/>
      </c>
    </row>
    <row r="426">
      <c r="A426" s="6">
        <f>Database!$A2511</f>
        <v/>
      </c>
      <c r="B426">
        <f>IF(VLOOKUP(Table7[[#This Row],[Date]],Database!$A:$C,MATCH($B$1,Database!$A$1:$C$1,),)=0,#N/A,VLOOKUP(Table7[[#This Row],[Date]],Database!$A:$C,MATCH($B$1,Database!$A$1:$C$1,),))</f>
        <v/>
      </c>
      <c r="C426">
        <f>IF(VLOOKUP(Table7[[#This Row],[Date]],Database!$A:$C,MATCH($C$1,Database!$A$1:$C$1,),)=0,#N/A,VLOOKUP(Table7[[#This Row],[Date]],Database!$A:$C,MATCH($C$1,Database!$A$1:$C$1,),))</f>
        <v/>
      </c>
      <c r="D426">
        <f>IFERROR(Table7[[#This Row],[United States 10y]]-Table7[[#This Row],[United States 3y]],#N/A)</f>
        <v/>
      </c>
    </row>
    <row r="427">
      <c r="A427" s="6">
        <f>Database!$A2512</f>
        <v/>
      </c>
      <c r="B427">
        <f>IF(VLOOKUP(Table7[[#This Row],[Date]],Database!$A:$C,MATCH($B$1,Database!$A$1:$C$1,),)=0,#N/A,VLOOKUP(Table7[[#This Row],[Date]],Database!$A:$C,MATCH($B$1,Database!$A$1:$C$1,),))</f>
        <v/>
      </c>
      <c r="C427">
        <f>IF(VLOOKUP(Table7[[#This Row],[Date]],Database!$A:$C,MATCH($C$1,Database!$A$1:$C$1,),)=0,#N/A,VLOOKUP(Table7[[#This Row],[Date]],Database!$A:$C,MATCH($C$1,Database!$A$1:$C$1,),))</f>
        <v/>
      </c>
      <c r="D427">
        <f>IFERROR(Table7[[#This Row],[United States 10y]]-Table7[[#This Row],[United States 3y]],#N/A)</f>
        <v/>
      </c>
    </row>
    <row r="428">
      <c r="A428" s="6">
        <f>Database!$A2513</f>
        <v/>
      </c>
      <c r="B428">
        <f>IF(VLOOKUP(Table7[[#This Row],[Date]],Database!$A:$C,MATCH($B$1,Database!$A$1:$C$1,),)=0,#N/A,VLOOKUP(Table7[[#This Row],[Date]],Database!$A:$C,MATCH($B$1,Database!$A$1:$C$1,),))</f>
        <v/>
      </c>
      <c r="C428">
        <f>IF(VLOOKUP(Table7[[#This Row],[Date]],Database!$A:$C,MATCH($C$1,Database!$A$1:$C$1,),)=0,#N/A,VLOOKUP(Table7[[#This Row],[Date]],Database!$A:$C,MATCH($C$1,Database!$A$1:$C$1,),))</f>
        <v/>
      </c>
      <c r="D428">
        <f>IFERROR(Table7[[#This Row],[United States 10y]]-Table7[[#This Row],[United States 3y]],#N/A)</f>
        <v/>
      </c>
    </row>
    <row r="429">
      <c r="A429" s="6">
        <f>Database!$A2514</f>
        <v/>
      </c>
      <c r="B429">
        <f>IF(VLOOKUP(Table7[[#This Row],[Date]],Database!$A:$C,MATCH($B$1,Database!$A$1:$C$1,),)=0,#N/A,VLOOKUP(Table7[[#This Row],[Date]],Database!$A:$C,MATCH($B$1,Database!$A$1:$C$1,),))</f>
        <v/>
      </c>
      <c r="C429">
        <f>IF(VLOOKUP(Table7[[#This Row],[Date]],Database!$A:$C,MATCH($C$1,Database!$A$1:$C$1,),)=0,#N/A,VLOOKUP(Table7[[#This Row],[Date]],Database!$A:$C,MATCH($C$1,Database!$A$1:$C$1,),))</f>
        <v/>
      </c>
      <c r="D429">
        <f>IFERROR(Table7[[#This Row],[United States 10y]]-Table7[[#This Row],[United States 3y]],#N/A)</f>
        <v/>
      </c>
    </row>
    <row r="430">
      <c r="A430" s="6">
        <f>Database!$A2515</f>
        <v/>
      </c>
      <c r="B430">
        <f>IF(VLOOKUP(Table7[[#This Row],[Date]],Database!$A:$C,MATCH($B$1,Database!$A$1:$C$1,),)=0,#N/A,VLOOKUP(Table7[[#This Row],[Date]],Database!$A:$C,MATCH($B$1,Database!$A$1:$C$1,),))</f>
        <v/>
      </c>
      <c r="C430">
        <f>IF(VLOOKUP(Table7[[#This Row],[Date]],Database!$A:$C,MATCH($C$1,Database!$A$1:$C$1,),)=0,#N/A,VLOOKUP(Table7[[#This Row],[Date]],Database!$A:$C,MATCH($C$1,Database!$A$1:$C$1,),))</f>
        <v/>
      </c>
      <c r="D430">
        <f>IFERROR(Table7[[#This Row],[United States 10y]]-Table7[[#This Row],[United States 3y]],#N/A)</f>
        <v/>
      </c>
    </row>
    <row r="431">
      <c r="A431" s="6">
        <f>Database!$A2516</f>
        <v/>
      </c>
      <c r="B431">
        <f>IF(VLOOKUP(Table7[[#This Row],[Date]],Database!$A:$C,MATCH($B$1,Database!$A$1:$C$1,),)=0,#N/A,VLOOKUP(Table7[[#This Row],[Date]],Database!$A:$C,MATCH($B$1,Database!$A$1:$C$1,),))</f>
        <v/>
      </c>
      <c r="C431">
        <f>IF(VLOOKUP(Table7[[#This Row],[Date]],Database!$A:$C,MATCH($C$1,Database!$A$1:$C$1,),)=0,#N/A,VLOOKUP(Table7[[#This Row],[Date]],Database!$A:$C,MATCH($C$1,Database!$A$1:$C$1,),))</f>
        <v/>
      </c>
      <c r="D431">
        <f>IFERROR(Table7[[#This Row],[United States 10y]]-Table7[[#This Row],[United States 3y]],#N/A)</f>
        <v/>
      </c>
    </row>
    <row r="432">
      <c r="A432" s="6">
        <f>Database!$A2517</f>
        <v/>
      </c>
      <c r="B432">
        <f>IF(VLOOKUP(Table7[[#This Row],[Date]],Database!$A:$C,MATCH($B$1,Database!$A$1:$C$1,),)=0,#N/A,VLOOKUP(Table7[[#This Row],[Date]],Database!$A:$C,MATCH($B$1,Database!$A$1:$C$1,),))</f>
        <v/>
      </c>
      <c r="C432">
        <f>IF(VLOOKUP(Table7[[#This Row],[Date]],Database!$A:$C,MATCH($C$1,Database!$A$1:$C$1,),)=0,#N/A,VLOOKUP(Table7[[#This Row],[Date]],Database!$A:$C,MATCH($C$1,Database!$A$1:$C$1,),))</f>
        <v/>
      </c>
      <c r="D432">
        <f>IFERROR(Table7[[#This Row],[United States 10y]]-Table7[[#This Row],[United States 3y]],#N/A)</f>
        <v/>
      </c>
    </row>
    <row r="433">
      <c r="A433" s="6">
        <f>Database!$A2518</f>
        <v/>
      </c>
      <c r="B433">
        <f>IF(VLOOKUP(Table7[[#This Row],[Date]],Database!$A:$C,MATCH($B$1,Database!$A$1:$C$1,),)=0,#N/A,VLOOKUP(Table7[[#This Row],[Date]],Database!$A:$C,MATCH($B$1,Database!$A$1:$C$1,),))</f>
        <v/>
      </c>
      <c r="C433">
        <f>IF(VLOOKUP(Table7[[#This Row],[Date]],Database!$A:$C,MATCH($C$1,Database!$A$1:$C$1,),)=0,#N/A,VLOOKUP(Table7[[#This Row],[Date]],Database!$A:$C,MATCH($C$1,Database!$A$1:$C$1,),))</f>
        <v/>
      </c>
      <c r="D433">
        <f>IFERROR(Table7[[#This Row],[United States 10y]]-Table7[[#This Row],[United States 3y]],#N/A)</f>
        <v/>
      </c>
    </row>
    <row r="434">
      <c r="A434" s="6">
        <f>Database!$A2519</f>
        <v/>
      </c>
      <c r="B434">
        <f>IF(VLOOKUP(Table7[[#This Row],[Date]],Database!$A:$C,MATCH($B$1,Database!$A$1:$C$1,),)=0,#N/A,VLOOKUP(Table7[[#This Row],[Date]],Database!$A:$C,MATCH($B$1,Database!$A$1:$C$1,),))</f>
        <v/>
      </c>
      <c r="C434">
        <f>IF(VLOOKUP(Table7[[#This Row],[Date]],Database!$A:$C,MATCH($C$1,Database!$A$1:$C$1,),)=0,#N/A,VLOOKUP(Table7[[#This Row],[Date]],Database!$A:$C,MATCH($C$1,Database!$A$1:$C$1,),))</f>
        <v/>
      </c>
      <c r="D434">
        <f>IFERROR(Table7[[#This Row],[United States 10y]]-Table7[[#This Row],[United States 3y]],#N/A)</f>
        <v/>
      </c>
    </row>
    <row r="435">
      <c r="A435" s="6">
        <f>Database!$A2520</f>
        <v/>
      </c>
      <c r="B435">
        <f>IF(VLOOKUP(Table7[[#This Row],[Date]],Database!$A:$C,MATCH($B$1,Database!$A$1:$C$1,),)=0,#N/A,VLOOKUP(Table7[[#This Row],[Date]],Database!$A:$C,MATCH($B$1,Database!$A$1:$C$1,),))</f>
        <v/>
      </c>
      <c r="C435">
        <f>IF(VLOOKUP(Table7[[#This Row],[Date]],Database!$A:$C,MATCH($C$1,Database!$A$1:$C$1,),)=0,#N/A,VLOOKUP(Table7[[#This Row],[Date]],Database!$A:$C,MATCH($C$1,Database!$A$1:$C$1,),))</f>
        <v/>
      </c>
      <c r="D435">
        <f>IFERROR(Table7[[#This Row],[United States 10y]]-Table7[[#This Row],[United States 3y]],#N/A)</f>
        <v/>
      </c>
    </row>
    <row r="436">
      <c r="A436" s="6">
        <f>Database!$A2521</f>
        <v/>
      </c>
      <c r="B436">
        <f>IF(VLOOKUP(Table7[[#This Row],[Date]],Database!$A:$C,MATCH($B$1,Database!$A$1:$C$1,),)=0,#N/A,VLOOKUP(Table7[[#This Row],[Date]],Database!$A:$C,MATCH($B$1,Database!$A$1:$C$1,),))</f>
        <v/>
      </c>
      <c r="C436">
        <f>IF(VLOOKUP(Table7[[#This Row],[Date]],Database!$A:$C,MATCH($C$1,Database!$A$1:$C$1,),)=0,#N/A,VLOOKUP(Table7[[#This Row],[Date]],Database!$A:$C,MATCH($C$1,Database!$A$1:$C$1,),))</f>
        <v/>
      </c>
      <c r="D436">
        <f>IFERROR(Table7[[#This Row],[United States 10y]]-Table7[[#This Row],[United States 3y]],#N/A)</f>
        <v/>
      </c>
    </row>
    <row r="437">
      <c r="A437" s="6">
        <f>Database!$A2522</f>
        <v/>
      </c>
      <c r="B437">
        <f>IF(VLOOKUP(Table7[[#This Row],[Date]],Database!$A:$C,MATCH($B$1,Database!$A$1:$C$1,),)=0,#N/A,VLOOKUP(Table7[[#This Row],[Date]],Database!$A:$C,MATCH($B$1,Database!$A$1:$C$1,),))</f>
        <v/>
      </c>
      <c r="C437">
        <f>IF(VLOOKUP(Table7[[#This Row],[Date]],Database!$A:$C,MATCH($C$1,Database!$A$1:$C$1,),)=0,#N/A,VLOOKUP(Table7[[#This Row],[Date]],Database!$A:$C,MATCH($C$1,Database!$A$1:$C$1,),))</f>
        <v/>
      </c>
      <c r="D437">
        <f>IFERROR(Table7[[#This Row],[United States 10y]]-Table7[[#This Row],[United States 3y]],#N/A)</f>
        <v/>
      </c>
    </row>
    <row r="438">
      <c r="A438" s="6">
        <f>Database!$A2523</f>
        <v/>
      </c>
      <c r="B438">
        <f>IF(VLOOKUP(Table7[[#This Row],[Date]],Database!$A:$C,MATCH($B$1,Database!$A$1:$C$1,),)=0,#N/A,VLOOKUP(Table7[[#This Row],[Date]],Database!$A:$C,MATCH($B$1,Database!$A$1:$C$1,),))</f>
        <v/>
      </c>
      <c r="C438">
        <f>IF(VLOOKUP(Table7[[#This Row],[Date]],Database!$A:$C,MATCH($C$1,Database!$A$1:$C$1,),)=0,#N/A,VLOOKUP(Table7[[#This Row],[Date]],Database!$A:$C,MATCH($C$1,Database!$A$1:$C$1,),))</f>
        <v/>
      </c>
      <c r="D438">
        <f>IFERROR(Table7[[#This Row],[United States 10y]]-Table7[[#This Row],[United States 3y]],#N/A)</f>
        <v/>
      </c>
    </row>
    <row r="439">
      <c r="A439" s="6">
        <f>Database!$A2524</f>
        <v/>
      </c>
      <c r="B439">
        <f>IF(VLOOKUP(Table7[[#This Row],[Date]],Database!$A:$C,MATCH($B$1,Database!$A$1:$C$1,),)=0,#N/A,VLOOKUP(Table7[[#This Row],[Date]],Database!$A:$C,MATCH($B$1,Database!$A$1:$C$1,),))</f>
        <v/>
      </c>
      <c r="C439">
        <f>IF(VLOOKUP(Table7[[#This Row],[Date]],Database!$A:$C,MATCH($C$1,Database!$A$1:$C$1,),)=0,#N/A,VLOOKUP(Table7[[#This Row],[Date]],Database!$A:$C,MATCH($C$1,Database!$A$1:$C$1,),))</f>
        <v/>
      </c>
      <c r="D439">
        <f>IFERROR(Table7[[#This Row],[United States 10y]]-Table7[[#This Row],[United States 3y]],#N/A)</f>
        <v/>
      </c>
    </row>
    <row r="440">
      <c r="A440" s="6">
        <f>Database!$A2525</f>
        <v/>
      </c>
      <c r="B440">
        <f>IF(VLOOKUP(Table7[[#This Row],[Date]],Database!$A:$C,MATCH($B$1,Database!$A$1:$C$1,),)=0,#N/A,VLOOKUP(Table7[[#This Row],[Date]],Database!$A:$C,MATCH($B$1,Database!$A$1:$C$1,),))</f>
        <v/>
      </c>
      <c r="C440">
        <f>IF(VLOOKUP(Table7[[#This Row],[Date]],Database!$A:$C,MATCH($C$1,Database!$A$1:$C$1,),)=0,#N/A,VLOOKUP(Table7[[#This Row],[Date]],Database!$A:$C,MATCH($C$1,Database!$A$1:$C$1,),))</f>
        <v/>
      </c>
      <c r="D440">
        <f>IFERROR(Table7[[#This Row],[United States 10y]]-Table7[[#This Row],[United States 3y]],#N/A)</f>
        <v/>
      </c>
    </row>
    <row r="441">
      <c r="A441" s="6">
        <f>Database!$A2526</f>
        <v/>
      </c>
      <c r="B441">
        <f>IF(VLOOKUP(Table7[[#This Row],[Date]],Database!$A:$C,MATCH($B$1,Database!$A$1:$C$1,),)=0,#N/A,VLOOKUP(Table7[[#This Row],[Date]],Database!$A:$C,MATCH($B$1,Database!$A$1:$C$1,),))</f>
        <v/>
      </c>
      <c r="C441">
        <f>IF(VLOOKUP(Table7[[#This Row],[Date]],Database!$A:$C,MATCH($C$1,Database!$A$1:$C$1,),)=0,#N/A,VLOOKUP(Table7[[#This Row],[Date]],Database!$A:$C,MATCH($C$1,Database!$A$1:$C$1,),))</f>
        <v/>
      </c>
      <c r="D441">
        <f>IFERROR(Table7[[#This Row],[United States 10y]]-Table7[[#This Row],[United States 3y]],#N/A)</f>
        <v/>
      </c>
    </row>
    <row r="442">
      <c r="A442" s="6">
        <f>Database!$A2527</f>
        <v/>
      </c>
      <c r="B442">
        <f>IF(VLOOKUP(Table7[[#This Row],[Date]],Database!$A:$C,MATCH($B$1,Database!$A$1:$C$1,),)=0,#N/A,VLOOKUP(Table7[[#This Row],[Date]],Database!$A:$C,MATCH($B$1,Database!$A$1:$C$1,),))</f>
        <v/>
      </c>
      <c r="C442">
        <f>IF(VLOOKUP(Table7[[#This Row],[Date]],Database!$A:$C,MATCH($C$1,Database!$A$1:$C$1,),)=0,#N/A,VLOOKUP(Table7[[#This Row],[Date]],Database!$A:$C,MATCH($C$1,Database!$A$1:$C$1,),))</f>
        <v/>
      </c>
      <c r="D442">
        <f>IFERROR(Table7[[#This Row],[United States 10y]]-Table7[[#This Row],[United States 3y]],#N/A)</f>
        <v/>
      </c>
    </row>
    <row r="443">
      <c r="A443" s="6">
        <f>Database!$A2528</f>
        <v/>
      </c>
      <c r="B443">
        <f>IF(VLOOKUP(Table7[[#This Row],[Date]],Database!$A:$C,MATCH($B$1,Database!$A$1:$C$1,),)=0,#N/A,VLOOKUP(Table7[[#This Row],[Date]],Database!$A:$C,MATCH($B$1,Database!$A$1:$C$1,),))</f>
        <v/>
      </c>
      <c r="C443">
        <f>IF(VLOOKUP(Table7[[#This Row],[Date]],Database!$A:$C,MATCH($C$1,Database!$A$1:$C$1,),)=0,#N/A,VLOOKUP(Table7[[#This Row],[Date]],Database!$A:$C,MATCH($C$1,Database!$A$1:$C$1,),))</f>
        <v/>
      </c>
      <c r="D443">
        <f>IFERROR(Table7[[#This Row],[United States 10y]]-Table7[[#This Row],[United States 3y]],#N/A)</f>
        <v/>
      </c>
    </row>
    <row r="444">
      <c r="A444" s="6">
        <f>Database!$A2529</f>
        <v/>
      </c>
      <c r="B444">
        <f>IF(VLOOKUP(Table7[[#This Row],[Date]],Database!$A:$C,MATCH($B$1,Database!$A$1:$C$1,),)=0,#N/A,VLOOKUP(Table7[[#This Row],[Date]],Database!$A:$C,MATCH($B$1,Database!$A$1:$C$1,),))</f>
        <v/>
      </c>
      <c r="C444">
        <f>IF(VLOOKUP(Table7[[#This Row],[Date]],Database!$A:$C,MATCH($C$1,Database!$A$1:$C$1,),)=0,#N/A,VLOOKUP(Table7[[#This Row],[Date]],Database!$A:$C,MATCH($C$1,Database!$A$1:$C$1,),))</f>
        <v/>
      </c>
      <c r="D444">
        <f>IFERROR(Table7[[#This Row],[United States 10y]]-Table7[[#This Row],[United States 3y]],#N/A)</f>
        <v/>
      </c>
    </row>
    <row r="445">
      <c r="A445" s="6">
        <f>Database!$A2530</f>
        <v/>
      </c>
      <c r="B445">
        <f>IF(VLOOKUP(Table7[[#This Row],[Date]],Database!$A:$C,MATCH($B$1,Database!$A$1:$C$1,),)=0,#N/A,VLOOKUP(Table7[[#This Row],[Date]],Database!$A:$C,MATCH($B$1,Database!$A$1:$C$1,),))</f>
        <v/>
      </c>
      <c r="C445">
        <f>IF(VLOOKUP(Table7[[#This Row],[Date]],Database!$A:$C,MATCH($C$1,Database!$A$1:$C$1,),)=0,#N/A,VLOOKUP(Table7[[#This Row],[Date]],Database!$A:$C,MATCH($C$1,Database!$A$1:$C$1,),))</f>
        <v/>
      </c>
      <c r="D445">
        <f>IFERROR(Table7[[#This Row],[United States 10y]]-Table7[[#This Row],[United States 3y]],#N/A)</f>
        <v/>
      </c>
    </row>
    <row r="446">
      <c r="A446" s="6">
        <f>Database!$A2531</f>
        <v/>
      </c>
      <c r="B446">
        <f>IF(VLOOKUP(Table7[[#This Row],[Date]],Database!$A:$C,MATCH($B$1,Database!$A$1:$C$1,),)=0,#N/A,VLOOKUP(Table7[[#This Row],[Date]],Database!$A:$C,MATCH($B$1,Database!$A$1:$C$1,),))</f>
        <v/>
      </c>
      <c r="C446">
        <f>IF(VLOOKUP(Table7[[#This Row],[Date]],Database!$A:$C,MATCH($C$1,Database!$A$1:$C$1,),)=0,#N/A,VLOOKUP(Table7[[#This Row],[Date]],Database!$A:$C,MATCH($C$1,Database!$A$1:$C$1,),))</f>
        <v/>
      </c>
      <c r="D446">
        <f>IFERROR(Table7[[#This Row],[United States 10y]]-Table7[[#This Row],[United States 3y]],#N/A)</f>
        <v/>
      </c>
    </row>
    <row r="447">
      <c r="A447" s="6">
        <f>Database!$A2532</f>
        <v/>
      </c>
      <c r="B447">
        <f>IF(VLOOKUP(Table7[[#This Row],[Date]],Database!$A:$C,MATCH($B$1,Database!$A$1:$C$1,),)=0,#N/A,VLOOKUP(Table7[[#This Row],[Date]],Database!$A:$C,MATCH($B$1,Database!$A$1:$C$1,),))</f>
        <v/>
      </c>
      <c r="C447">
        <f>IF(VLOOKUP(Table7[[#This Row],[Date]],Database!$A:$C,MATCH($C$1,Database!$A$1:$C$1,),)=0,#N/A,VLOOKUP(Table7[[#This Row],[Date]],Database!$A:$C,MATCH($C$1,Database!$A$1:$C$1,),))</f>
        <v/>
      </c>
      <c r="D447">
        <f>IFERROR(Table7[[#This Row],[United States 10y]]-Table7[[#This Row],[United States 3y]],#N/A)</f>
        <v/>
      </c>
    </row>
    <row r="448">
      <c r="A448" s="6">
        <f>Database!$A2533</f>
        <v/>
      </c>
      <c r="B448">
        <f>IF(VLOOKUP(Table7[[#This Row],[Date]],Database!$A:$C,MATCH($B$1,Database!$A$1:$C$1,),)=0,#N/A,VLOOKUP(Table7[[#This Row],[Date]],Database!$A:$C,MATCH($B$1,Database!$A$1:$C$1,),))</f>
        <v/>
      </c>
      <c r="C448">
        <f>IF(VLOOKUP(Table7[[#This Row],[Date]],Database!$A:$C,MATCH($C$1,Database!$A$1:$C$1,),)=0,#N/A,VLOOKUP(Table7[[#This Row],[Date]],Database!$A:$C,MATCH($C$1,Database!$A$1:$C$1,),))</f>
        <v/>
      </c>
      <c r="D448">
        <f>IFERROR(Table7[[#This Row],[United States 10y]]-Table7[[#This Row],[United States 3y]],#N/A)</f>
        <v/>
      </c>
    </row>
    <row r="449">
      <c r="A449" s="6">
        <f>Database!$A2534</f>
        <v/>
      </c>
      <c r="B449">
        <f>IF(VLOOKUP(Table7[[#This Row],[Date]],Database!$A:$C,MATCH($B$1,Database!$A$1:$C$1,),)=0,#N/A,VLOOKUP(Table7[[#This Row],[Date]],Database!$A:$C,MATCH($B$1,Database!$A$1:$C$1,),))</f>
        <v/>
      </c>
      <c r="C449">
        <f>IF(VLOOKUP(Table7[[#This Row],[Date]],Database!$A:$C,MATCH($C$1,Database!$A$1:$C$1,),)=0,#N/A,VLOOKUP(Table7[[#This Row],[Date]],Database!$A:$C,MATCH($C$1,Database!$A$1:$C$1,),))</f>
        <v/>
      </c>
      <c r="D449">
        <f>IFERROR(Table7[[#This Row],[United States 10y]]-Table7[[#This Row],[United States 3y]],#N/A)</f>
        <v/>
      </c>
    </row>
    <row r="450">
      <c r="A450" s="6">
        <f>Database!$A2535</f>
        <v/>
      </c>
      <c r="B450">
        <f>IF(VLOOKUP(Table7[[#This Row],[Date]],Database!$A:$C,MATCH($B$1,Database!$A$1:$C$1,),)=0,#N/A,VLOOKUP(Table7[[#This Row],[Date]],Database!$A:$C,MATCH($B$1,Database!$A$1:$C$1,),))</f>
        <v/>
      </c>
      <c r="C450">
        <f>IF(VLOOKUP(Table7[[#This Row],[Date]],Database!$A:$C,MATCH($C$1,Database!$A$1:$C$1,),)=0,#N/A,VLOOKUP(Table7[[#This Row],[Date]],Database!$A:$C,MATCH($C$1,Database!$A$1:$C$1,),))</f>
        <v/>
      </c>
      <c r="D450">
        <f>IFERROR(Table7[[#This Row],[United States 10y]]-Table7[[#This Row],[United States 3y]],#N/A)</f>
        <v/>
      </c>
    </row>
    <row r="451">
      <c r="A451" s="6">
        <f>Database!$A2536</f>
        <v/>
      </c>
      <c r="B451">
        <f>IF(VLOOKUP(Table7[[#This Row],[Date]],Database!$A:$C,MATCH($B$1,Database!$A$1:$C$1,),)=0,#N/A,VLOOKUP(Table7[[#This Row],[Date]],Database!$A:$C,MATCH($B$1,Database!$A$1:$C$1,),))</f>
        <v/>
      </c>
      <c r="C451">
        <f>IF(VLOOKUP(Table7[[#This Row],[Date]],Database!$A:$C,MATCH($C$1,Database!$A$1:$C$1,),)=0,#N/A,VLOOKUP(Table7[[#This Row],[Date]],Database!$A:$C,MATCH($C$1,Database!$A$1:$C$1,),))</f>
        <v/>
      </c>
      <c r="D451">
        <f>IFERROR(Table7[[#This Row],[United States 10y]]-Table7[[#This Row],[United States 3y]],#N/A)</f>
        <v/>
      </c>
    </row>
    <row r="452">
      <c r="A452" s="6">
        <f>Database!$A2537</f>
        <v/>
      </c>
      <c r="B452">
        <f>IF(VLOOKUP(Table7[[#This Row],[Date]],Database!$A:$C,MATCH($B$1,Database!$A$1:$C$1,),)=0,#N/A,VLOOKUP(Table7[[#This Row],[Date]],Database!$A:$C,MATCH($B$1,Database!$A$1:$C$1,),))</f>
        <v/>
      </c>
      <c r="C452">
        <f>IF(VLOOKUP(Table7[[#This Row],[Date]],Database!$A:$C,MATCH($C$1,Database!$A$1:$C$1,),)=0,#N/A,VLOOKUP(Table7[[#This Row],[Date]],Database!$A:$C,MATCH($C$1,Database!$A$1:$C$1,),))</f>
        <v/>
      </c>
      <c r="D452">
        <f>IFERROR(Table7[[#This Row],[United States 10y]]-Table7[[#This Row],[United States 3y]],#N/A)</f>
        <v/>
      </c>
    </row>
    <row r="453">
      <c r="A453" s="6">
        <f>Database!$A2538</f>
        <v/>
      </c>
      <c r="B453">
        <f>IF(VLOOKUP(Table7[[#This Row],[Date]],Database!$A:$C,MATCH($B$1,Database!$A$1:$C$1,),)=0,#N/A,VLOOKUP(Table7[[#This Row],[Date]],Database!$A:$C,MATCH($B$1,Database!$A$1:$C$1,),))</f>
        <v/>
      </c>
      <c r="C453">
        <f>IF(VLOOKUP(Table7[[#This Row],[Date]],Database!$A:$C,MATCH($C$1,Database!$A$1:$C$1,),)=0,#N/A,VLOOKUP(Table7[[#This Row],[Date]],Database!$A:$C,MATCH($C$1,Database!$A$1:$C$1,),))</f>
        <v/>
      </c>
      <c r="D453">
        <f>IFERROR(Table7[[#This Row],[United States 10y]]-Table7[[#This Row],[United States 3y]],#N/A)</f>
        <v/>
      </c>
    </row>
    <row r="454">
      <c r="A454" s="6">
        <f>Database!$A2539</f>
        <v/>
      </c>
      <c r="B454">
        <f>IF(VLOOKUP(Table7[[#This Row],[Date]],Database!$A:$C,MATCH($B$1,Database!$A$1:$C$1,),)=0,#N/A,VLOOKUP(Table7[[#This Row],[Date]],Database!$A:$C,MATCH($B$1,Database!$A$1:$C$1,),))</f>
        <v/>
      </c>
      <c r="C454">
        <f>IF(VLOOKUP(Table7[[#This Row],[Date]],Database!$A:$C,MATCH($C$1,Database!$A$1:$C$1,),)=0,#N/A,VLOOKUP(Table7[[#This Row],[Date]],Database!$A:$C,MATCH($C$1,Database!$A$1:$C$1,),))</f>
        <v/>
      </c>
      <c r="D454">
        <f>IFERROR(Table7[[#This Row],[United States 10y]]-Table7[[#This Row],[United States 3y]],#N/A)</f>
        <v/>
      </c>
    </row>
    <row r="455">
      <c r="A455" s="6">
        <f>Database!$A2540</f>
        <v/>
      </c>
      <c r="B455">
        <f>IF(VLOOKUP(Table7[[#This Row],[Date]],Database!$A:$C,MATCH($B$1,Database!$A$1:$C$1,),)=0,#N/A,VLOOKUP(Table7[[#This Row],[Date]],Database!$A:$C,MATCH($B$1,Database!$A$1:$C$1,),))</f>
        <v/>
      </c>
      <c r="C455">
        <f>IF(VLOOKUP(Table7[[#This Row],[Date]],Database!$A:$C,MATCH($C$1,Database!$A$1:$C$1,),)=0,#N/A,VLOOKUP(Table7[[#This Row],[Date]],Database!$A:$C,MATCH($C$1,Database!$A$1:$C$1,),))</f>
        <v/>
      </c>
      <c r="D455">
        <f>IFERROR(Table7[[#This Row],[United States 10y]]-Table7[[#This Row],[United States 3y]],#N/A)</f>
        <v/>
      </c>
    </row>
    <row r="456">
      <c r="A456" s="6">
        <f>Database!$A2541</f>
        <v/>
      </c>
      <c r="B456">
        <f>IF(VLOOKUP(Table7[[#This Row],[Date]],Database!$A:$C,MATCH($B$1,Database!$A$1:$C$1,),)=0,#N/A,VLOOKUP(Table7[[#This Row],[Date]],Database!$A:$C,MATCH($B$1,Database!$A$1:$C$1,),))</f>
        <v/>
      </c>
      <c r="C456">
        <f>IF(VLOOKUP(Table7[[#This Row],[Date]],Database!$A:$C,MATCH($C$1,Database!$A$1:$C$1,),)=0,#N/A,VLOOKUP(Table7[[#This Row],[Date]],Database!$A:$C,MATCH($C$1,Database!$A$1:$C$1,),))</f>
        <v/>
      </c>
      <c r="D456">
        <f>IFERROR(Table7[[#This Row],[United States 10y]]-Table7[[#This Row],[United States 3y]],#N/A)</f>
        <v/>
      </c>
    </row>
    <row r="457">
      <c r="A457" s="6">
        <f>Database!$A2542</f>
        <v/>
      </c>
      <c r="B457">
        <f>IF(VLOOKUP(Table7[[#This Row],[Date]],Database!$A:$C,MATCH($B$1,Database!$A$1:$C$1,),)=0,#N/A,VLOOKUP(Table7[[#This Row],[Date]],Database!$A:$C,MATCH($B$1,Database!$A$1:$C$1,),))</f>
        <v/>
      </c>
      <c r="C457">
        <f>IF(VLOOKUP(Table7[[#This Row],[Date]],Database!$A:$C,MATCH($C$1,Database!$A$1:$C$1,),)=0,#N/A,VLOOKUP(Table7[[#This Row],[Date]],Database!$A:$C,MATCH($C$1,Database!$A$1:$C$1,),))</f>
        <v/>
      </c>
      <c r="D457">
        <f>IFERROR(Table7[[#This Row],[United States 10y]]-Table7[[#This Row],[United States 3y]],#N/A)</f>
        <v/>
      </c>
    </row>
    <row r="458">
      <c r="A458" s="6">
        <f>Database!$A2543</f>
        <v/>
      </c>
      <c r="B458">
        <f>IF(VLOOKUP(Table7[[#This Row],[Date]],Database!$A:$C,MATCH($B$1,Database!$A$1:$C$1,),)=0,#N/A,VLOOKUP(Table7[[#This Row],[Date]],Database!$A:$C,MATCH($B$1,Database!$A$1:$C$1,),))</f>
        <v/>
      </c>
      <c r="C458">
        <f>IF(VLOOKUP(Table7[[#This Row],[Date]],Database!$A:$C,MATCH($C$1,Database!$A$1:$C$1,),)=0,#N/A,VLOOKUP(Table7[[#This Row],[Date]],Database!$A:$C,MATCH($C$1,Database!$A$1:$C$1,),))</f>
        <v/>
      </c>
      <c r="D458">
        <f>IFERROR(Table7[[#This Row],[United States 10y]]-Table7[[#This Row],[United States 3y]],#N/A)</f>
        <v/>
      </c>
    </row>
    <row r="459">
      <c r="A459" s="6">
        <f>Database!$A2544</f>
        <v/>
      </c>
      <c r="B459">
        <f>IF(VLOOKUP(Table7[[#This Row],[Date]],Database!$A:$C,MATCH($B$1,Database!$A$1:$C$1,),)=0,#N/A,VLOOKUP(Table7[[#This Row],[Date]],Database!$A:$C,MATCH($B$1,Database!$A$1:$C$1,),))</f>
        <v/>
      </c>
      <c r="C459">
        <f>IF(VLOOKUP(Table7[[#This Row],[Date]],Database!$A:$C,MATCH($C$1,Database!$A$1:$C$1,),)=0,#N/A,VLOOKUP(Table7[[#This Row],[Date]],Database!$A:$C,MATCH($C$1,Database!$A$1:$C$1,),))</f>
        <v/>
      </c>
      <c r="D459">
        <f>IFERROR(Table7[[#This Row],[United States 10y]]-Table7[[#This Row],[United States 3y]],#N/A)</f>
        <v/>
      </c>
    </row>
    <row r="460">
      <c r="A460" s="6">
        <f>Database!$A2545</f>
        <v/>
      </c>
      <c r="B460">
        <f>IF(VLOOKUP(Table7[[#This Row],[Date]],Database!$A:$C,MATCH($B$1,Database!$A$1:$C$1,),)=0,#N/A,VLOOKUP(Table7[[#This Row],[Date]],Database!$A:$C,MATCH($B$1,Database!$A$1:$C$1,),))</f>
        <v/>
      </c>
      <c r="C460">
        <f>IF(VLOOKUP(Table7[[#This Row],[Date]],Database!$A:$C,MATCH($C$1,Database!$A$1:$C$1,),)=0,#N/A,VLOOKUP(Table7[[#This Row],[Date]],Database!$A:$C,MATCH($C$1,Database!$A$1:$C$1,),))</f>
        <v/>
      </c>
      <c r="D460">
        <f>IFERROR(Table7[[#This Row],[United States 10y]]-Table7[[#This Row],[United States 3y]],#N/A)</f>
        <v/>
      </c>
    </row>
    <row r="461">
      <c r="A461" s="6">
        <f>Database!$A2546</f>
        <v/>
      </c>
      <c r="B461">
        <f>IF(VLOOKUP(Table7[[#This Row],[Date]],Database!$A:$C,MATCH($B$1,Database!$A$1:$C$1,),)=0,#N/A,VLOOKUP(Table7[[#This Row],[Date]],Database!$A:$C,MATCH($B$1,Database!$A$1:$C$1,),))</f>
        <v/>
      </c>
      <c r="C461">
        <f>IF(VLOOKUP(Table7[[#This Row],[Date]],Database!$A:$C,MATCH($C$1,Database!$A$1:$C$1,),)=0,#N/A,VLOOKUP(Table7[[#This Row],[Date]],Database!$A:$C,MATCH($C$1,Database!$A$1:$C$1,),))</f>
        <v/>
      </c>
      <c r="D461">
        <f>IFERROR(Table7[[#This Row],[United States 10y]]-Table7[[#This Row],[United States 3y]],#N/A)</f>
        <v/>
      </c>
    </row>
    <row r="462">
      <c r="A462" s="6">
        <f>Database!$A2547</f>
        <v/>
      </c>
      <c r="B462">
        <f>IF(VLOOKUP(Table7[[#This Row],[Date]],Database!$A:$C,MATCH($B$1,Database!$A$1:$C$1,),)=0,#N/A,VLOOKUP(Table7[[#This Row],[Date]],Database!$A:$C,MATCH($B$1,Database!$A$1:$C$1,),))</f>
        <v/>
      </c>
      <c r="C462">
        <f>IF(VLOOKUP(Table7[[#This Row],[Date]],Database!$A:$C,MATCH($C$1,Database!$A$1:$C$1,),)=0,#N/A,VLOOKUP(Table7[[#This Row],[Date]],Database!$A:$C,MATCH($C$1,Database!$A$1:$C$1,),))</f>
        <v/>
      </c>
      <c r="D462">
        <f>IFERROR(Table7[[#This Row],[United States 10y]]-Table7[[#This Row],[United States 3y]],#N/A)</f>
        <v/>
      </c>
    </row>
    <row r="463">
      <c r="A463" s="6">
        <f>Database!$A2548</f>
        <v/>
      </c>
      <c r="B463">
        <f>IF(VLOOKUP(Table7[[#This Row],[Date]],Database!$A:$C,MATCH($B$1,Database!$A$1:$C$1,),)=0,#N/A,VLOOKUP(Table7[[#This Row],[Date]],Database!$A:$C,MATCH($B$1,Database!$A$1:$C$1,),))</f>
        <v/>
      </c>
      <c r="C463">
        <f>IF(VLOOKUP(Table7[[#This Row],[Date]],Database!$A:$C,MATCH($C$1,Database!$A$1:$C$1,),)=0,#N/A,VLOOKUP(Table7[[#This Row],[Date]],Database!$A:$C,MATCH($C$1,Database!$A$1:$C$1,),))</f>
        <v/>
      </c>
      <c r="D463">
        <f>IFERROR(Table7[[#This Row],[United States 10y]]-Table7[[#This Row],[United States 3y]],#N/A)</f>
        <v/>
      </c>
    </row>
    <row r="464">
      <c r="A464" s="6">
        <f>Database!$A2549</f>
        <v/>
      </c>
      <c r="B464">
        <f>IF(VLOOKUP(Table7[[#This Row],[Date]],Database!$A:$C,MATCH($B$1,Database!$A$1:$C$1,),)=0,#N/A,VLOOKUP(Table7[[#This Row],[Date]],Database!$A:$C,MATCH($B$1,Database!$A$1:$C$1,),))</f>
        <v/>
      </c>
      <c r="C464">
        <f>IF(VLOOKUP(Table7[[#This Row],[Date]],Database!$A:$C,MATCH($C$1,Database!$A$1:$C$1,),)=0,#N/A,VLOOKUP(Table7[[#This Row],[Date]],Database!$A:$C,MATCH($C$1,Database!$A$1:$C$1,),))</f>
        <v/>
      </c>
      <c r="D464">
        <f>IFERROR(Table7[[#This Row],[United States 10y]]-Table7[[#This Row],[United States 3y]],#N/A)</f>
        <v/>
      </c>
    </row>
    <row r="465">
      <c r="A465" s="6">
        <f>Database!$A2550</f>
        <v/>
      </c>
      <c r="B465">
        <f>IF(VLOOKUP(Table7[[#This Row],[Date]],Database!$A:$C,MATCH($B$1,Database!$A$1:$C$1,),)=0,#N/A,VLOOKUP(Table7[[#This Row],[Date]],Database!$A:$C,MATCH($B$1,Database!$A$1:$C$1,),))</f>
        <v/>
      </c>
      <c r="C465">
        <f>IF(VLOOKUP(Table7[[#This Row],[Date]],Database!$A:$C,MATCH($C$1,Database!$A$1:$C$1,),)=0,#N/A,VLOOKUP(Table7[[#This Row],[Date]],Database!$A:$C,MATCH($C$1,Database!$A$1:$C$1,),))</f>
        <v/>
      </c>
      <c r="D465">
        <f>IFERROR(Table7[[#This Row],[United States 10y]]-Table7[[#This Row],[United States 3y]],#N/A)</f>
        <v/>
      </c>
    </row>
    <row r="466">
      <c r="A466" s="6">
        <f>Database!$A2551</f>
        <v/>
      </c>
      <c r="B466">
        <f>IF(VLOOKUP(Table7[[#This Row],[Date]],Database!$A:$C,MATCH($B$1,Database!$A$1:$C$1,),)=0,#N/A,VLOOKUP(Table7[[#This Row],[Date]],Database!$A:$C,MATCH($B$1,Database!$A$1:$C$1,),))</f>
        <v/>
      </c>
      <c r="C466">
        <f>IF(VLOOKUP(Table7[[#This Row],[Date]],Database!$A:$C,MATCH($C$1,Database!$A$1:$C$1,),)=0,#N/A,VLOOKUP(Table7[[#This Row],[Date]],Database!$A:$C,MATCH($C$1,Database!$A$1:$C$1,),))</f>
        <v/>
      </c>
      <c r="D466">
        <f>IFERROR(Table7[[#This Row],[United States 10y]]-Table7[[#This Row],[United States 3y]],#N/A)</f>
        <v/>
      </c>
    </row>
    <row r="467">
      <c r="A467" s="6">
        <f>Database!$A2552</f>
        <v/>
      </c>
      <c r="B467">
        <f>IF(VLOOKUP(Table7[[#This Row],[Date]],Database!$A:$C,MATCH($B$1,Database!$A$1:$C$1,),)=0,#N/A,VLOOKUP(Table7[[#This Row],[Date]],Database!$A:$C,MATCH($B$1,Database!$A$1:$C$1,),))</f>
        <v/>
      </c>
      <c r="C467">
        <f>IF(VLOOKUP(Table7[[#This Row],[Date]],Database!$A:$C,MATCH($C$1,Database!$A$1:$C$1,),)=0,#N/A,VLOOKUP(Table7[[#This Row],[Date]],Database!$A:$C,MATCH($C$1,Database!$A$1:$C$1,),))</f>
        <v/>
      </c>
      <c r="D467">
        <f>IFERROR(Table7[[#This Row],[United States 10y]]-Table7[[#This Row],[United States 3y]],#N/A)</f>
        <v/>
      </c>
    </row>
    <row r="468">
      <c r="A468" s="6">
        <f>Database!$A2553</f>
        <v/>
      </c>
      <c r="B468">
        <f>IF(VLOOKUP(Table7[[#This Row],[Date]],Database!$A:$C,MATCH($B$1,Database!$A$1:$C$1,),)=0,#N/A,VLOOKUP(Table7[[#This Row],[Date]],Database!$A:$C,MATCH($B$1,Database!$A$1:$C$1,),))</f>
        <v/>
      </c>
      <c r="C468">
        <f>IF(VLOOKUP(Table7[[#This Row],[Date]],Database!$A:$C,MATCH($C$1,Database!$A$1:$C$1,),)=0,#N/A,VLOOKUP(Table7[[#This Row],[Date]],Database!$A:$C,MATCH($C$1,Database!$A$1:$C$1,),))</f>
        <v/>
      </c>
      <c r="D468">
        <f>IFERROR(Table7[[#This Row],[United States 10y]]-Table7[[#This Row],[United States 3y]],#N/A)</f>
        <v/>
      </c>
    </row>
    <row r="469">
      <c r="A469" s="6">
        <f>Database!$A2554</f>
        <v/>
      </c>
      <c r="B469">
        <f>IF(VLOOKUP(Table7[[#This Row],[Date]],Database!$A:$C,MATCH($B$1,Database!$A$1:$C$1,),)=0,#N/A,VLOOKUP(Table7[[#This Row],[Date]],Database!$A:$C,MATCH($B$1,Database!$A$1:$C$1,),))</f>
        <v/>
      </c>
      <c r="C469">
        <f>IF(VLOOKUP(Table7[[#This Row],[Date]],Database!$A:$C,MATCH($C$1,Database!$A$1:$C$1,),)=0,#N/A,VLOOKUP(Table7[[#This Row],[Date]],Database!$A:$C,MATCH($C$1,Database!$A$1:$C$1,),))</f>
        <v/>
      </c>
      <c r="D469">
        <f>IFERROR(Table7[[#This Row],[United States 10y]]-Table7[[#This Row],[United States 3y]],#N/A)</f>
        <v/>
      </c>
    </row>
    <row r="470">
      <c r="A470" s="6">
        <f>Database!$A2555</f>
        <v/>
      </c>
      <c r="B470">
        <f>IF(VLOOKUP(Table7[[#This Row],[Date]],Database!$A:$C,MATCH($B$1,Database!$A$1:$C$1,),)=0,#N/A,VLOOKUP(Table7[[#This Row],[Date]],Database!$A:$C,MATCH($B$1,Database!$A$1:$C$1,),))</f>
        <v/>
      </c>
      <c r="C470">
        <f>IF(VLOOKUP(Table7[[#This Row],[Date]],Database!$A:$C,MATCH($C$1,Database!$A$1:$C$1,),)=0,#N/A,VLOOKUP(Table7[[#This Row],[Date]],Database!$A:$C,MATCH($C$1,Database!$A$1:$C$1,),))</f>
        <v/>
      </c>
      <c r="D470">
        <f>IFERROR(Table7[[#This Row],[United States 10y]]-Table7[[#This Row],[United States 3y]],#N/A)</f>
        <v/>
      </c>
    </row>
    <row r="471">
      <c r="A471" s="6">
        <f>Database!$A2556</f>
        <v/>
      </c>
      <c r="B471">
        <f>IF(VLOOKUP(Table7[[#This Row],[Date]],Database!$A:$C,MATCH($B$1,Database!$A$1:$C$1,),)=0,#N/A,VLOOKUP(Table7[[#This Row],[Date]],Database!$A:$C,MATCH($B$1,Database!$A$1:$C$1,),))</f>
        <v/>
      </c>
      <c r="C471">
        <f>IF(VLOOKUP(Table7[[#This Row],[Date]],Database!$A:$C,MATCH($C$1,Database!$A$1:$C$1,),)=0,#N/A,VLOOKUP(Table7[[#This Row],[Date]],Database!$A:$C,MATCH($C$1,Database!$A$1:$C$1,),))</f>
        <v/>
      </c>
      <c r="D471">
        <f>IFERROR(Table7[[#This Row],[United States 10y]]-Table7[[#This Row],[United States 3y]],#N/A)</f>
        <v/>
      </c>
    </row>
    <row r="472">
      <c r="A472" s="6">
        <f>Database!$A2557</f>
        <v/>
      </c>
      <c r="B472">
        <f>IF(VLOOKUP(Table7[[#This Row],[Date]],Database!$A:$C,MATCH($B$1,Database!$A$1:$C$1,),)=0,#N/A,VLOOKUP(Table7[[#This Row],[Date]],Database!$A:$C,MATCH($B$1,Database!$A$1:$C$1,),))</f>
        <v/>
      </c>
      <c r="C472">
        <f>IF(VLOOKUP(Table7[[#This Row],[Date]],Database!$A:$C,MATCH($C$1,Database!$A$1:$C$1,),)=0,#N/A,VLOOKUP(Table7[[#This Row],[Date]],Database!$A:$C,MATCH($C$1,Database!$A$1:$C$1,),))</f>
        <v/>
      </c>
      <c r="D472">
        <f>IFERROR(Table7[[#This Row],[United States 10y]]-Table7[[#This Row],[United States 3y]],#N/A)</f>
        <v/>
      </c>
    </row>
    <row r="473">
      <c r="A473" s="6">
        <f>Database!$A2558</f>
        <v/>
      </c>
      <c r="B473">
        <f>IF(VLOOKUP(Table7[[#This Row],[Date]],Database!$A:$C,MATCH($B$1,Database!$A$1:$C$1,),)=0,#N/A,VLOOKUP(Table7[[#This Row],[Date]],Database!$A:$C,MATCH($B$1,Database!$A$1:$C$1,),))</f>
        <v/>
      </c>
      <c r="C473">
        <f>IF(VLOOKUP(Table7[[#This Row],[Date]],Database!$A:$C,MATCH($C$1,Database!$A$1:$C$1,),)=0,#N/A,VLOOKUP(Table7[[#This Row],[Date]],Database!$A:$C,MATCH($C$1,Database!$A$1:$C$1,),))</f>
        <v/>
      </c>
      <c r="D473">
        <f>IFERROR(Table7[[#This Row],[United States 10y]]-Table7[[#This Row],[United States 3y]],#N/A)</f>
        <v/>
      </c>
    </row>
    <row r="474">
      <c r="A474" s="6">
        <f>Database!$A2559</f>
        <v/>
      </c>
      <c r="B474">
        <f>IF(VLOOKUP(Table7[[#This Row],[Date]],Database!$A:$C,MATCH($B$1,Database!$A$1:$C$1,),)=0,#N/A,VLOOKUP(Table7[[#This Row],[Date]],Database!$A:$C,MATCH($B$1,Database!$A$1:$C$1,),))</f>
        <v/>
      </c>
      <c r="C474">
        <f>IF(VLOOKUP(Table7[[#This Row],[Date]],Database!$A:$C,MATCH($C$1,Database!$A$1:$C$1,),)=0,#N/A,VLOOKUP(Table7[[#This Row],[Date]],Database!$A:$C,MATCH($C$1,Database!$A$1:$C$1,),))</f>
        <v/>
      </c>
      <c r="D474">
        <f>IFERROR(Table7[[#This Row],[United States 10y]]-Table7[[#This Row],[United States 3y]],#N/A)</f>
        <v/>
      </c>
    </row>
    <row r="475">
      <c r="A475" s="6">
        <f>Database!$A2560</f>
        <v/>
      </c>
      <c r="B475">
        <f>IF(VLOOKUP(Table7[[#This Row],[Date]],Database!$A:$C,MATCH($B$1,Database!$A$1:$C$1,),)=0,#N/A,VLOOKUP(Table7[[#This Row],[Date]],Database!$A:$C,MATCH($B$1,Database!$A$1:$C$1,),))</f>
        <v/>
      </c>
      <c r="C475">
        <f>IF(VLOOKUP(Table7[[#This Row],[Date]],Database!$A:$C,MATCH($C$1,Database!$A$1:$C$1,),)=0,#N/A,VLOOKUP(Table7[[#This Row],[Date]],Database!$A:$C,MATCH($C$1,Database!$A$1:$C$1,),))</f>
        <v/>
      </c>
      <c r="D475">
        <f>IFERROR(Table7[[#This Row],[United States 10y]]-Table7[[#This Row],[United States 3y]],#N/A)</f>
        <v/>
      </c>
    </row>
    <row r="476">
      <c r="A476" s="6">
        <f>Database!$A2561</f>
        <v/>
      </c>
      <c r="B476">
        <f>IF(VLOOKUP(Table7[[#This Row],[Date]],Database!$A:$C,MATCH($B$1,Database!$A$1:$C$1,),)=0,#N/A,VLOOKUP(Table7[[#This Row],[Date]],Database!$A:$C,MATCH($B$1,Database!$A$1:$C$1,),))</f>
        <v/>
      </c>
      <c r="C476">
        <f>IF(VLOOKUP(Table7[[#This Row],[Date]],Database!$A:$C,MATCH($C$1,Database!$A$1:$C$1,),)=0,#N/A,VLOOKUP(Table7[[#This Row],[Date]],Database!$A:$C,MATCH($C$1,Database!$A$1:$C$1,),))</f>
        <v/>
      </c>
      <c r="D476">
        <f>IFERROR(Table7[[#This Row],[United States 10y]]-Table7[[#This Row],[United States 3y]],#N/A)</f>
        <v/>
      </c>
    </row>
    <row r="477">
      <c r="A477" s="6">
        <f>Database!$A2562</f>
        <v/>
      </c>
      <c r="B477">
        <f>IF(VLOOKUP(Table7[[#This Row],[Date]],Database!$A:$C,MATCH($B$1,Database!$A$1:$C$1,),)=0,#N/A,VLOOKUP(Table7[[#This Row],[Date]],Database!$A:$C,MATCH($B$1,Database!$A$1:$C$1,),))</f>
        <v/>
      </c>
      <c r="C477">
        <f>IF(VLOOKUP(Table7[[#This Row],[Date]],Database!$A:$C,MATCH($C$1,Database!$A$1:$C$1,),)=0,#N/A,VLOOKUP(Table7[[#This Row],[Date]],Database!$A:$C,MATCH($C$1,Database!$A$1:$C$1,),))</f>
        <v/>
      </c>
      <c r="D477">
        <f>IFERROR(Table7[[#This Row],[United States 10y]]-Table7[[#This Row],[United States 3y]],#N/A)</f>
        <v/>
      </c>
    </row>
    <row r="478">
      <c r="A478" s="6">
        <f>Database!$A2563</f>
        <v/>
      </c>
      <c r="B478">
        <f>IF(VLOOKUP(Table7[[#This Row],[Date]],Database!$A:$C,MATCH($B$1,Database!$A$1:$C$1,),)=0,#N/A,VLOOKUP(Table7[[#This Row],[Date]],Database!$A:$C,MATCH($B$1,Database!$A$1:$C$1,),))</f>
        <v/>
      </c>
      <c r="C478">
        <f>IF(VLOOKUP(Table7[[#This Row],[Date]],Database!$A:$C,MATCH($C$1,Database!$A$1:$C$1,),)=0,#N/A,VLOOKUP(Table7[[#This Row],[Date]],Database!$A:$C,MATCH($C$1,Database!$A$1:$C$1,),))</f>
        <v/>
      </c>
      <c r="D478">
        <f>IFERROR(Table7[[#This Row],[United States 10y]]-Table7[[#This Row],[United States 3y]],#N/A)</f>
        <v/>
      </c>
    </row>
    <row r="479">
      <c r="A479" s="6">
        <f>Database!$A2564</f>
        <v/>
      </c>
      <c r="B479">
        <f>IF(VLOOKUP(Table7[[#This Row],[Date]],Database!$A:$C,MATCH($B$1,Database!$A$1:$C$1,),)=0,#N/A,VLOOKUP(Table7[[#This Row],[Date]],Database!$A:$C,MATCH($B$1,Database!$A$1:$C$1,),))</f>
        <v/>
      </c>
      <c r="C479">
        <f>IF(VLOOKUP(Table7[[#This Row],[Date]],Database!$A:$C,MATCH($C$1,Database!$A$1:$C$1,),)=0,#N/A,VLOOKUP(Table7[[#This Row],[Date]],Database!$A:$C,MATCH($C$1,Database!$A$1:$C$1,),))</f>
        <v/>
      </c>
      <c r="D479">
        <f>IFERROR(Table7[[#This Row],[United States 10y]]-Table7[[#This Row],[United States 3y]],#N/A)</f>
        <v/>
      </c>
    </row>
    <row r="480">
      <c r="A480" s="6">
        <f>Database!$A2565</f>
        <v/>
      </c>
      <c r="B480">
        <f>IF(VLOOKUP(Table7[[#This Row],[Date]],Database!$A:$C,MATCH($B$1,Database!$A$1:$C$1,),)=0,#N/A,VLOOKUP(Table7[[#This Row],[Date]],Database!$A:$C,MATCH($B$1,Database!$A$1:$C$1,),))</f>
        <v/>
      </c>
      <c r="C480">
        <f>IF(VLOOKUP(Table7[[#This Row],[Date]],Database!$A:$C,MATCH($C$1,Database!$A$1:$C$1,),)=0,#N/A,VLOOKUP(Table7[[#This Row],[Date]],Database!$A:$C,MATCH($C$1,Database!$A$1:$C$1,),))</f>
        <v/>
      </c>
      <c r="D480">
        <f>IFERROR(Table7[[#This Row],[United States 10y]]-Table7[[#This Row],[United States 3y]],#N/A)</f>
        <v/>
      </c>
    </row>
    <row r="481">
      <c r="A481" s="6">
        <f>Database!$A2566</f>
        <v/>
      </c>
      <c r="B481">
        <f>IF(VLOOKUP(Table7[[#This Row],[Date]],Database!$A:$C,MATCH($B$1,Database!$A$1:$C$1,),)=0,#N/A,VLOOKUP(Table7[[#This Row],[Date]],Database!$A:$C,MATCH($B$1,Database!$A$1:$C$1,),))</f>
        <v/>
      </c>
      <c r="C481">
        <f>IF(VLOOKUP(Table7[[#This Row],[Date]],Database!$A:$C,MATCH($C$1,Database!$A$1:$C$1,),)=0,#N/A,VLOOKUP(Table7[[#This Row],[Date]],Database!$A:$C,MATCH($C$1,Database!$A$1:$C$1,),))</f>
        <v/>
      </c>
      <c r="D481">
        <f>IFERROR(Table7[[#This Row],[United States 10y]]-Table7[[#This Row],[United States 3y]],#N/A)</f>
        <v/>
      </c>
    </row>
    <row r="482">
      <c r="A482" s="6">
        <f>Database!$A2567</f>
        <v/>
      </c>
      <c r="B482">
        <f>IF(VLOOKUP(Table7[[#This Row],[Date]],Database!$A:$C,MATCH($B$1,Database!$A$1:$C$1,),)=0,#N/A,VLOOKUP(Table7[[#This Row],[Date]],Database!$A:$C,MATCH($B$1,Database!$A$1:$C$1,),))</f>
        <v/>
      </c>
      <c r="C482">
        <f>IF(VLOOKUP(Table7[[#This Row],[Date]],Database!$A:$C,MATCH($C$1,Database!$A$1:$C$1,),)=0,#N/A,VLOOKUP(Table7[[#This Row],[Date]],Database!$A:$C,MATCH($C$1,Database!$A$1:$C$1,),))</f>
        <v/>
      </c>
      <c r="D482">
        <f>IFERROR(Table7[[#This Row],[United States 10y]]-Table7[[#This Row],[United States 3y]],#N/A)</f>
        <v/>
      </c>
    </row>
    <row r="483">
      <c r="A483" s="6">
        <f>Database!$A2568</f>
        <v/>
      </c>
      <c r="B483">
        <f>IF(VLOOKUP(Table7[[#This Row],[Date]],Database!$A:$C,MATCH($B$1,Database!$A$1:$C$1,),)=0,#N/A,VLOOKUP(Table7[[#This Row],[Date]],Database!$A:$C,MATCH($B$1,Database!$A$1:$C$1,),))</f>
        <v/>
      </c>
      <c r="C483">
        <f>IF(VLOOKUP(Table7[[#This Row],[Date]],Database!$A:$C,MATCH($C$1,Database!$A$1:$C$1,),)=0,#N/A,VLOOKUP(Table7[[#This Row],[Date]],Database!$A:$C,MATCH($C$1,Database!$A$1:$C$1,),))</f>
        <v/>
      </c>
      <c r="D483">
        <f>IFERROR(Table7[[#This Row],[United States 10y]]-Table7[[#This Row],[United States 3y]],#N/A)</f>
        <v/>
      </c>
    </row>
    <row r="484">
      <c r="A484" s="6">
        <f>Database!$A2569</f>
        <v/>
      </c>
      <c r="B484">
        <f>IF(VLOOKUP(Table7[[#This Row],[Date]],Database!$A:$C,MATCH($B$1,Database!$A$1:$C$1,),)=0,#N/A,VLOOKUP(Table7[[#This Row],[Date]],Database!$A:$C,MATCH($B$1,Database!$A$1:$C$1,),))</f>
        <v/>
      </c>
      <c r="C484">
        <f>IF(VLOOKUP(Table7[[#This Row],[Date]],Database!$A:$C,MATCH($C$1,Database!$A$1:$C$1,),)=0,#N/A,VLOOKUP(Table7[[#This Row],[Date]],Database!$A:$C,MATCH($C$1,Database!$A$1:$C$1,),))</f>
        <v/>
      </c>
      <c r="D484">
        <f>IFERROR(Table7[[#This Row],[United States 10y]]-Table7[[#This Row],[United States 3y]],#N/A)</f>
        <v/>
      </c>
    </row>
    <row r="485">
      <c r="A485" s="6">
        <f>Database!$A2570</f>
        <v/>
      </c>
      <c r="B485">
        <f>IF(VLOOKUP(Table7[[#This Row],[Date]],Database!$A:$C,MATCH($B$1,Database!$A$1:$C$1,),)=0,#N/A,VLOOKUP(Table7[[#This Row],[Date]],Database!$A:$C,MATCH($B$1,Database!$A$1:$C$1,),))</f>
        <v/>
      </c>
      <c r="C485">
        <f>IF(VLOOKUP(Table7[[#This Row],[Date]],Database!$A:$C,MATCH($C$1,Database!$A$1:$C$1,),)=0,#N/A,VLOOKUP(Table7[[#This Row],[Date]],Database!$A:$C,MATCH($C$1,Database!$A$1:$C$1,),))</f>
        <v/>
      </c>
      <c r="D485">
        <f>IFERROR(Table7[[#This Row],[United States 10y]]-Table7[[#This Row],[United States 3y]],#N/A)</f>
        <v/>
      </c>
    </row>
    <row r="486">
      <c r="A486" s="6">
        <f>Database!$A2571</f>
        <v/>
      </c>
      <c r="B486">
        <f>IF(VLOOKUP(Table7[[#This Row],[Date]],Database!$A:$C,MATCH($B$1,Database!$A$1:$C$1,),)=0,#N/A,VLOOKUP(Table7[[#This Row],[Date]],Database!$A:$C,MATCH($B$1,Database!$A$1:$C$1,),))</f>
        <v/>
      </c>
      <c r="C486">
        <f>IF(VLOOKUP(Table7[[#This Row],[Date]],Database!$A:$C,MATCH($C$1,Database!$A$1:$C$1,),)=0,#N/A,VLOOKUP(Table7[[#This Row],[Date]],Database!$A:$C,MATCH($C$1,Database!$A$1:$C$1,),))</f>
        <v/>
      </c>
      <c r="D486">
        <f>IFERROR(Table7[[#This Row],[United States 10y]]-Table7[[#This Row],[United States 3y]],#N/A)</f>
        <v/>
      </c>
    </row>
    <row r="487">
      <c r="A487" s="6">
        <f>Database!$A2572</f>
        <v/>
      </c>
      <c r="B487">
        <f>IF(VLOOKUP(Table7[[#This Row],[Date]],Database!$A:$C,MATCH($B$1,Database!$A$1:$C$1,),)=0,#N/A,VLOOKUP(Table7[[#This Row],[Date]],Database!$A:$C,MATCH($B$1,Database!$A$1:$C$1,),))</f>
        <v/>
      </c>
      <c r="C487">
        <f>IF(VLOOKUP(Table7[[#This Row],[Date]],Database!$A:$C,MATCH($C$1,Database!$A$1:$C$1,),)=0,#N/A,VLOOKUP(Table7[[#This Row],[Date]],Database!$A:$C,MATCH($C$1,Database!$A$1:$C$1,),))</f>
        <v/>
      </c>
      <c r="D487">
        <f>IFERROR(Table7[[#This Row],[United States 10y]]-Table7[[#This Row],[United States 3y]],#N/A)</f>
        <v/>
      </c>
    </row>
    <row r="488">
      <c r="A488" s="6">
        <f>Database!$A2573</f>
        <v/>
      </c>
      <c r="B488">
        <f>IF(VLOOKUP(Table7[[#This Row],[Date]],Database!$A:$C,MATCH($B$1,Database!$A$1:$C$1,),)=0,#N/A,VLOOKUP(Table7[[#This Row],[Date]],Database!$A:$C,MATCH($B$1,Database!$A$1:$C$1,),))</f>
        <v/>
      </c>
      <c r="C488">
        <f>IF(VLOOKUP(Table7[[#This Row],[Date]],Database!$A:$C,MATCH($C$1,Database!$A$1:$C$1,),)=0,#N/A,VLOOKUP(Table7[[#This Row],[Date]],Database!$A:$C,MATCH($C$1,Database!$A$1:$C$1,),))</f>
        <v/>
      </c>
      <c r="D488">
        <f>IFERROR(Table7[[#This Row],[United States 10y]]-Table7[[#This Row],[United States 3y]],#N/A)</f>
        <v/>
      </c>
    </row>
    <row r="489">
      <c r="A489" s="6">
        <f>Database!$A2574</f>
        <v/>
      </c>
      <c r="B489">
        <f>IF(VLOOKUP(Table7[[#This Row],[Date]],Database!$A:$C,MATCH($B$1,Database!$A$1:$C$1,),)=0,#N/A,VLOOKUP(Table7[[#This Row],[Date]],Database!$A:$C,MATCH($B$1,Database!$A$1:$C$1,),))</f>
        <v/>
      </c>
      <c r="C489">
        <f>IF(VLOOKUP(Table7[[#This Row],[Date]],Database!$A:$C,MATCH($C$1,Database!$A$1:$C$1,),)=0,#N/A,VLOOKUP(Table7[[#This Row],[Date]],Database!$A:$C,MATCH($C$1,Database!$A$1:$C$1,),))</f>
        <v/>
      </c>
      <c r="D489">
        <f>IFERROR(Table7[[#This Row],[United States 10y]]-Table7[[#This Row],[United States 3y]],#N/A)</f>
        <v/>
      </c>
    </row>
    <row r="490">
      <c r="A490" s="6">
        <f>Database!$A2575</f>
        <v/>
      </c>
      <c r="B490">
        <f>IF(VLOOKUP(Table7[[#This Row],[Date]],Database!$A:$C,MATCH($B$1,Database!$A$1:$C$1,),)=0,#N/A,VLOOKUP(Table7[[#This Row],[Date]],Database!$A:$C,MATCH($B$1,Database!$A$1:$C$1,),))</f>
        <v/>
      </c>
      <c r="C490">
        <f>IF(VLOOKUP(Table7[[#This Row],[Date]],Database!$A:$C,MATCH($C$1,Database!$A$1:$C$1,),)=0,#N/A,VLOOKUP(Table7[[#This Row],[Date]],Database!$A:$C,MATCH($C$1,Database!$A$1:$C$1,),))</f>
        <v/>
      </c>
      <c r="D490">
        <f>IFERROR(Table7[[#This Row],[United States 10y]]-Table7[[#This Row],[United States 3y]],#N/A)</f>
        <v/>
      </c>
    </row>
    <row r="491">
      <c r="A491" s="6">
        <f>Database!$A2576</f>
        <v/>
      </c>
      <c r="B491">
        <f>IF(VLOOKUP(Table7[[#This Row],[Date]],Database!$A:$C,MATCH($B$1,Database!$A$1:$C$1,),)=0,#N/A,VLOOKUP(Table7[[#This Row],[Date]],Database!$A:$C,MATCH($B$1,Database!$A$1:$C$1,),))</f>
        <v/>
      </c>
      <c r="C491">
        <f>IF(VLOOKUP(Table7[[#This Row],[Date]],Database!$A:$C,MATCH($C$1,Database!$A$1:$C$1,),)=0,#N/A,VLOOKUP(Table7[[#This Row],[Date]],Database!$A:$C,MATCH($C$1,Database!$A$1:$C$1,),))</f>
        <v/>
      </c>
      <c r="D491">
        <f>IFERROR(Table7[[#This Row],[United States 10y]]-Table7[[#This Row],[United States 3y]],#N/A)</f>
        <v/>
      </c>
    </row>
    <row r="492">
      <c r="A492" s="6">
        <f>Database!$A2577</f>
        <v/>
      </c>
      <c r="B492">
        <f>IF(VLOOKUP(Table7[[#This Row],[Date]],Database!$A:$C,MATCH($B$1,Database!$A$1:$C$1,),)=0,#N/A,VLOOKUP(Table7[[#This Row],[Date]],Database!$A:$C,MATCH($B$1,Database!$A$1:$C$1,),))</f>
        <v/>
      </c>
      <c r="C492">
        <f>IF(VLOOKUP(Table7[[#This Row],[Date]],Database!$A:$C,MATCH($C$1,Database!$A$1:$C$1,),)=0,#N/A,VLOOKUP(Table7[[#This Row],[Date]],Database!$A:$C,MATCH($C$1,Database!$A$1:$C$1,),))</f>
        <v/>
      </c>
      <c r="D492">
        <f>IFERROR(Table7[[#This Row],[United States 10y]]-Table7[[#This Row],[United States 3y]],#N/A)</f>
        <v/>
      </c>
    </row>
    <row r="493">
      <c r="A493" s="6">
        <f>Database!$A2578</f>
        <v/>
      </c>
      <c r="B493">
        <f>IF(VLOOKUP(Table7[[#This Row],[Date]],Database!$A:$C,MATCH($B$1,Database!$A$1:$C$1,),)=0,#N/A,VLOOKUP(Table7[[#This Row],[Date]],Database!$A:$C,MATCH($B$1,Database!$A$1:$C$1,),))</f>
        <v/>
      </c>
      <c r="C493">
        <f>IF(VLOOKUP(Table7[[#This Row],[Date]],Database!$A:$C,MATCH($C$1,Database!$A$1:$C$1,),)=0,#N/A,VLOOKUP(Table7[[#This Row],[Date]],Database!$A:$C,MATCH($C$1,Database!$A$1:$C$1,),))</f>
        <v/>
      </c>
      <c r="D493">
        <f>IFERROR(Table7[[#This Row],[United States 10y]]-Table7[[#This Row],[United States 3y]],#N/A)</f>
        <v/>
      </c>
    </row>
    <row r="494">
      <c r="A494" s="6">
        <f>Database!$A2579</f>
        <v/>
      </c>
      <c r="B494">
        <f>IF(VLOOKUP(Table7[[#This Row],[Date]],Database!$A:$C,MATCH($B$1,Database!$A$1:$C$1,),)=0,#N/A,VLOOKUP(Table7[[#This Row],[Date]],Database!$A:$C,MATCH($B$1,Database!$A$1:$C$1,),))</f>
        <v/>
      </c>
      <c r="C494">
        <f>IF(VLOOKUP(Table7[[#This Row],[Date]],Database!$A:$C,MATCH($C$1,Database!$A$1:$C$1,),)=0,#N/A,VLOOKUP(Table7[[#This Row],[Date]],Database!$A:$C,MATCH($C$1,Database!$A$1:$C$1,),))</f>
        <v/>
      </c>
      <c r="D494">
        <f>IFERROR(Table7[[#This Row],[United States 10y]]-Table7[[#This Row],[United States 3y]],#N/A)</f>
        <v/>
      </c>
    </row>
    <row r="495">
      <c r="A495" s="6">
        <f>Database!$A2580</f>
        <v/>
      </c>
      <c r="B495">
        <f>IF(VLOOKUP(Table7[[#This Row],[Date]],Database!$A:$C,MATCH($B$1,Database!$A$1:$C$1,),)=0,#N/A,VLOOKUP(Table7[[#This Row],[Date]],Database!$A:$C,MATCH($B$1,Database!$A$1:$C$1,),))</f>
        <v/>
      </c>
      <c r="C495">
        <f>IF(VLOOKUP(Table7[[#This Row],[Date]],Database!$A:$C,MATCH($C$1,Database!$A$1:$C$1,),)=0,#N/A,VLOOKUP(Table7[[#This Row],[Date]],Database!$A:$C,MATCH($C$1,Database!$A$1:$C$1,),))</f>
        <v/>
      </c>
      <c r="D495">
        <f>IFERROR(Table7[[#This Row],[United States 10y]]-Table7[[#This Row],[United States 3y]],#N/A)</f>
        <v/>
      </c>
    </row>
    <row r="496">
      <c r="A496" s="6">
        <f>Database!$A2581</f>
        <v/>
      </c>
      <c r="B496">
        <f>IF(VLOOKUP(Table7[[#This Row],[Date]],Database!$A:$C,MATCH($B$1,Database!$A$1:$C$1,),)=0,#N/A,VLOOKUP(Table7[[#This Row],[Date]],Database!$A:$C,MATCH($B$1,Database!$A$1:$C$1,),))</f>
        <v/>
      </c>
      <c r="C496">
        <f>IF(VLOOKUP(Table7[[#This Row],[Date]],Database!$A:$C,MATCH($C$1,Database!$A$1:$C$1,),)=0,#N/A,VLOOKUP(Table7[[#This Row],[Date]],Database!$A:$C,MATCH($C$1,Database!$A$1:$C$1,),))</f>
        <v/>
      </c>
      <c r="D496">
        <f>IFERROR(Table7[[#This Row],[United States 10y]]-Table7[[#This Row],[United States 3y]],#N/A)</f>
        <v/>
      </c>
    </row>
    <row r="497">
      <c r="A497" s="6">
        <f>Database!$A2582</f>
        <v/>
      </c>
      <c r="B497">
        <f>IF(VLOOKUP(Table7[[#This Row],[Date]],Database!$A:$C,MATCH($B$1,Database!$A$1:$C$1,),)=0,#N/A,VLOOKUP(Table7[[#This Row],[Date]],Database!$A:$C,MATCH($B$1,Database!$A$1:$C$1,),))</f>
        <v/>
      </c>
      <c r="C497">
        <f>IF(VLOOKUP(Table7[[#This Row],[Date]],Database!$A:$C,MATCH($C$1,Database!$A$1:$C$1,),)=0,#N/A,VLOOKUP(Table7[[#This Row],[Date]],Database!$A:$C,MATCH($C$1,Database!$A$1:$C$1,),))</f>
        <v/>
      </c>
      <c r="D497">
        <f>IFERROR(Table7[[#This Row],[United States 10y]]-Table7[[#This Row],[United States 3y]],#N/A)</f>
        <v/>
      </c>
    </row>
    <row r="498">
      <c r="A498" s="6">
        <f>Database!$A2583</f>
        <v/>
      </c>
      <c r="B498">
        <f>IF(VLOOKUP(Table7[[#This Row],[Date]],Database!$A:$C,MATCH($B$1,Database!$A$1:$C$1,),)=0,#N/A,VLOOKUP(Table7[[#This Row],[Date]],Database!$A:$C,MATCH($B$1,Database!$A$1:$C$1,),))</f>
        <v/>
      </c>
      <c r="C498">
        <f>IF(VLOOKUP(Table7[[#This Row],[Date]],Database!$A:$C,MATCH($C$1,Database!$A$1:$C$1,),)=0,#N/A,VLOOKUP(Table7[[#This Row],[Date]],Database!$A:$C,MATCH($C$1,Database!$A$1:$C$1,),))</f>
        <v/>
      </c>
      <c r="D498">
        <f>IFERROR(Table7[[#This Row],[United States 10y]]-Table7[[#This Row],[United States 3y]],#N/A)</f>
        <v/>
      </c>
    </row>
    <row r="499">
      <c r="A499" s="6">
        <f>Database!$A2584</f>
        <v/>
      </c>
      <c r="B499">
        <f>IF(VLOOKUP(Table7[[#This Row],[Date]],Database!$A:$C,MATCH($B$1,Database!$A$1:$C$1,),)=0,#N/A,VLOOKUP(Table7[[#This Row],[Date]],Database!$A:$C,MATCH($B$1,Database!$A$1:$C$1,),))</f>
        <v/>
      </c>
      <c r="C499">
        <f>IF(VLOOKUP(Table7[[#This Row],[Date]],Database!$A:$C,MATCH($C$1,Database!$A$1:$C$1,),)=0,#N/A,VLOOKUP(Table7[[#This Row],[Date]],Database!$A:$C,MATCH($C$1,Database!$A$1:$C$1,),))</f>
        <v/>
      </c>
      <c r="D499">
        <f>IFERROR(Table7[[#This Row],[United States 10y]]-Table7[[#This Row],[United States 3y]],#N/A)</f>
        <v/>
      </c>
    </row>
    <row r="500">
      <c r="A500" s="6">
        <f>Database!$A2585</f>
        <v/>
      </c>
      <c r="B500">
        <f>IF(VLOOKUP(Table7[[#This Row],[Date]],Database!$A:$C,MATCH($B$1,Database!$A$1:$C$1,),)=0,#N/A,VLOOKUP(Table7[[#This Row],[Date]],Database!$A:$C,MATCH($B$1,Database!$A$1:$C$1,),))</f>
        <v/>
      </c>
      <c r="C500">
        <f>IF(VLOOKUP(Table7[[#This Row],[Date]],Database!$A:$C,MATCH($C$1,Database!$A$1:$C$1,),)=0,#N/A,VLOOKUP(Table7[[#This Row],[Date]],Database!$A:$C,MATCH($C$1,Database!$A$1:$C$1,),))</f>
        <v/>
      </c>
      <c r="D500">
        <f>IFERROR(Table7[[#This Row],[United States 10y]]-Table7[[#This Row],[United States 3y]],#N/A)</f>
        <v/>
      </c>
    </row>
    <row r="501">
      <c r="A501" s="6">
        <f>Database!$A2586</f>
        <v/>
      </c>
      <c r="B501">
        <f>IF(VLOOKUP(Table7[[#This Row],[Date]],Database!$A:$C,MATCH($B$1,Database!$A$1:$C$1,),)=0,#N/A,VLOOKUP(Table7[[#This Row],[Date]],Database!$A:$C,MATCH($B$1,Database!$A$1:$C$1,),))</f>
        <v/>
      </c>
      <c r="C501">
        <f>IF(VLOOKUP(Table7[[#This Row],[Date]],Database!$A:$C,MATCH($C$1,Database!$A$1:$C$1,),)=0,#N/A,VLOOKUP(Table7[[#This Row],[Date]],Database!$A:$C,MATCH($C$1,Database!$A$1:$C$1,),))</f>
        <v/>
      </c>
      <c r="D501">
        <f>IFERROR(Table7[[#This Row],[United States 10y]]-Table7[[#This Row],[United States 3y]],#N/A)</f>
        <v/>
      </c>
    </row>
    <row r="502">
      <c r="A502" s="6">
        <f>Database!$A2587</f>
        <v/>
      </c>
      <c r="B502">
        <f>IF(VLOOKUP(Table7[[#This Row],[Date]],Database!$A:$C,MATCH($B$1,Database!$A$1:$C$1,),)=0,#N/A,VLOOKUP(Table7[[#This Row],[Date]],Database!$A:$C,MATCH($B$1,Database!$A$1:$C$1,),))</f>
        <v/>
      </c>
      <c r="C502">
        <f>IF(VLOOKUP(Table7[[#This Row],[Date]],Database!$A:$C,MATCH($C$1,Database!$A$1:$C$1,),)=0,#N/A,VLOOKUP(Table7[[#This Row],[Date]],Database!$A:$C,MATCH($C$1,Database!$A$1:$C$1,),))</f>
        <v/>
      </c>
      <c r="D502">
        <f>IFERROR(Table7[[#This Row],[United States 10y]]-Table7[[#This Row],[United States 3y]],#N/A)</f>
        <v/>
      </c>
    </row>
    <row r="503">
      <c r="A503" s="6">
        <f>Database!$A2588</f>
        <v/>
      </c>
      <c r="B503">
        <f>IF(VLOOKUP(Table7[[#This Row],[Date]],Database!$A:$C,MATCH($B$1,Database!$A$1:$C$1,),)=0,#N/A,VLOOKUP(Table7[[#This Row],[Date]],Database!$A:$C,MATCH($B$1,Database!$A$1:$C$1,),))</f>
        <v/>
      </c>
      <c r="C503">
        <f>IF(VLOOKUP(Table7[[#This Row],[Date]],Database!$A:$C,MATCH($C$1,Database!$A$1:$C$1,),)=0,#N/A,VLOOKUP(Table7[[#This Row],[Date]],Database!$A:$C,MATCH($C$1,Database!$A$1:$C$1,),))</f>
        <v/>
      </c>
      <c r="D503">
        <f>IFERROR(Table7[[#This Row],[United States 10y]]-Table7[[#This Row],[United States 3y]],#N/A)</f>
        <v/>
      </c>
    </row>
    <row r="504">
      <c r="A504" s="6">
        <f>Database!$A2589</f>
        <v/>
      </c>
      <c r="B504">
        <f>IF(VLOOKUP(Table7[[#This Row],[Date]],Database!$A:$C,MATCH($B$1,Database!$A$1:$C$1,),)=0,#N/A,VLOOKUP(Table7[[#This Row],[Date]],Database!$A:$C,MATCH($B$1,Database!$A$1:$C$1,),))</f>
        <v/>
      </c>
      <c r="C504">
        <f>IF(VLOOKUP(Table7[[#This Row],[Date]],Database!$A:$C,MATCH($C$1,Database!$A$1:$C$1,),)=0,#N/A,VLOOKUP(Table7[[#This Row],[Date]],Database!$A:$C,MATCH($C$1,Database!$A$1:$C$1,),))</f>
        <v/>
      </c>
      <c r="D504">
        <f>IFERROR(Table7[[#This Row],[United States 10y]]-Table7[[#This Row],[United States 3y]],#N/A)</f>
        <v/>
      </c>
    </row>
    <row r="505">
      <c r="A505" s="6">
        <f>Database!$A2590</f>
        <v/>
      </c>
      <c r="B505">
        <f>IF(VLOOKUP(Table7[[#This Row],[Date]],Database!$A:$C,MATCH($B$1,Database!$A$1:$C$1,),)=0,#N/A,VLOOKUP(Table7[[#This Row],[Date]],Database!$A:$C,MATCH($B$1,Database!$A$1:$C$1,),))</f>
        <v/>
      </c>
      <c r="C505">
        <f>IF(VLOOKUP(Table7[[#This Row],[Date]],Database!$A:$C,MATCH($C$1,Database!$A$1:$C$1,),)=0,#N/A,VLOOKUP(Table7[[#This Row],[Date]],Database!$A:$C,MATCH($C$1,Database!$A$1:$C$1,),))</f>
        <v/>
      </c>
      <c r="D505">
        <f>IFERROR(Table7[[#This Row],[United States 10y]]-Table7[[#This Row],[United States 3y]],#N/A)</f>
        <v/>
      </c>
    </row>
    <row r="506">
      <c r="A506" s="6">
        <f>Database!$A2591</f>
        <v/>
      </c>
      <c r="B506">
        <f>IF(VLOOKUP(Table7[[#This Row],[Date]],Database!$A:$C,MATCH($B$1,Database!$A$1:$C$1,),)=0,#N/A,VLOOKUP(Table7[[#This Row],[Date]],Database!$A:$C,MATCH($B$1,Database!$A$1:$C$1,),))</f>
        <v/>
      </c>
      <c r="C506">
        <f>IF(VLOOKUP(Table7[[#This Row],[Date]],Database!$A:$C,MATCH($C$1,Database!$A$1:$C$1,),)=0,#N/A,VLOOKUP(Table7[[#This Row],[Date]],Database!$A:$C,MATCH($C$1,Database!$A$1:$C$1,),))</f>
        <v/>
      </c>
      <c r="D506">
        <f>IFERROR(Table7[[#This Row],[United States 10y]]-Table7[[#This Row],[United States 3y]],#N/A)</f>
        <v/>
      </c>
    </row>
    <row r="507">
      <c r="A507" s="6">
        <f>Database!$A2592</f>
        <v/>
      </c>
      <c r="B507">
        <f>IF(VLOOKUP(Table7[[#This Row],[Date]],Database!$A:$C,MATCH($B$1,Database!$A$1:$C$1,),)=0,#N/A,VLOOKUP(Table7[[#This Row],[Date]],Database!$A:$C,MATCH($B$1,Database!$A$1:$C$1,),))</f>
        <v/>
      </c>
      <c r="C507">
        <f>IF(VLOOKUP(Table7[[#This Row],[Date]],Database!$A:$C,MATCH($C$1,Database!$A$1:$C$1,),)=0,#N/A,VLOOKUP(Table7[[#This Row],[Date]],Database!$A:$C,MATCH($C$1,Database!$A$1:$C$1,),))</f>
        <v/>
      </c>
      <c r="D507">
        <f>IFERROR(Table7[[#This Row],[United States 10y]]-Table7[[#This Row],[United States 3y]],#N/A)</f>
        <v/>
      </c>
    </row>
    <row r="508">
      <c r="A508" s="6">
        <f>Database!$A2593</f>
        <v/>
      </c>
      <c r="B508">
        <f>IF(VLOOKUP(Table7[[#This Row],[Date]],Database!$A:$C,MATCH($B$1,Database!$A$1:$C$1,),)=0,#N/A,VLOOKUP(Table7[[#This Row],[Date]],Database!$A:$C,MATCH($B$1,Database!$A$1:$C$1,),))</f>
        <v/>
      </c>
      <c r="C508">
        <f>IF(VLOOKUP(Table7[[#This Row],[Date]],Database!$A:$C,MATCH($C$1,Database!$A$1:$C$1,),)=0,#N/A,VLOOKUP(Table7[[#This Row],[Date]],Database!$A:$C,MATCH($C$1,Database!$A$1:$C$1,),))</f>
        <v/>
      </c>
      <c r="D508">
        <f>IFERROR(Table7[[#This Row],[United States 10y]]-Table7[[#This Row],[United States 3y]],#N/A)</f>
        <v/>
      </c>
    </row>
    <row r="509">
      <c r="A509" s="6">
        <f>Database!$A2594</f>
        <v/>
      </c>
      <c r="B509">
        <f>IF(VLOOKUP(Table7[[#This Row],[Date]],Database!$A:$C,MATCH($B$1,Database!$A$1:$C$1,),)=0,#N/A,VLOOKUP(Table7[[#This Row],[Date]],Database!$A:$C,MATCH($B$1,Database!$A$1:$C$1,),))</f>
        <v/>
      </c>
      <c r="C509">
        <f>IF(VLOOKUP(Table7[[#This Row],[Date]],Database!$A:$C,MATCH($C$1,Database!$A$1:$C$1,),)=0,#N/A,VLOOKUP(Table7[[#This Row],[Date]],Database!$A:$C,MATCH($C$1,Database!$A$1:$C$1,),))</f>
        <v/>
      </c>
      <c r="D509">
        <f>IFERROR(Table7[[#This Row],[United States 10y]]-Table7[[#This Row],[United States 3y]],#N/A)</f>
        <v/>
      </c>
    </row>
    <row r="510">
      <c r="A510" s="6">
        <f>Database!$A2595</f>
        <v/>
      </c>
      <c r="B510">
        <f>IF(VLOOKUP(Table7[[#This Row],[Date]],Database!$A:$C,MATCH($B$1,Database!$A$1:$C$1,),)=0,#N/A,VLOOKUP(Table7[[#This Row],[Date]],Database!$A:$C,MATCH($B$1,Database!$A$1:$C$1,),))</f>
        <v/>
      </c>
      <c r="C510">
        <f>IF(VLOOKUP(Table7[[#This Row],[Date]],Database!$A:$C,MATCH($C$1,Database!$A$1:$C$1,),)=0,#N/A,VLOOKUP(Table7[[#This Row],[Date]],Database!$A:$C,MATCH($C$1,Database!$A$1:$C$1,),))</f>
        <v/>
      </c>
      <c r="D510">
        <f>IFERROR(Table7[[#This Row],[United States 10y]]-Table7[[#This Row],[United States 3y]],#N/A)</f>
        <v/>
      </c>
    </row>
    <row r="511">
      <c r="A511" s="6">
        <f>Database!$A2596</f>
        <v/>
      </c>
      <c r="B511">
        <f>IF(VLOOKUP(Table7[[#This Row],[Date]],Database!$A:$C,MATCH($B$1,Database!$A$1:$C$1,),)=0,#N/A,VLOOKUP(Table7[[#This Row],[Date]],Database!$A:$C,MATCH($B$1,Database!$A$1:$C$1,),))</f>
        <v/>
      </c>
      <c r="C511">
        <f>IF(VLOOKUP(Table7[[#This Row],[Date]],Database!$A:$C,MATCH($C$1,Database!$A$1:$C$1,),)=0,#N/A,VLOOKUP(Table7[[#This Row],[Date]],Database!$A:$C,MATCH($C$1,Database!$A$1:$C$1,),))</f>
        <v/>
      </c>
      <c r="D511">
        <f>IFERROR(Table7[[#This Row],[United States 10y]]-Table7[[#This Row],[United States 3y]],#N/A)</f>
        <v/>
      </c>
    </row>
    <row r="512">
      <c r="A512" s="6">
        <f>Database!$A2597</f>
        <v/>
      </c>
      <c r="B512">
        <f>IF(VLOOKUP(Table7[[#This Row],[Date]],Database!$A:$C,MATCH($B$1,Database!$A$1:$C$1,),)=0,#N/A,VLOOKUP(Table7[[#This Row],[Date]],Database!$A:$C,MATCH($B$1,Database!$A$1:$C$1,),))</f>
        <v/>
      </c>
      <c r="C512">
        <f>IF(VLOOKUP(Table7[[#This Row],[Date]],Database!$A:$C,MATCH($C$1,Database!$A$1:$C$1,),)=0,#N/A,VLOOKUP(Table7[[#This Row],[Date]],Database!$A:$C,MATCH($C$1,Database!$A$1:$C$1,),))</f>
        <v/>
      </c>
      <c r="D512">
        <f>IFERROR(Table7[[#This Row],[United States 10y]]-Table7[[#This Row],[United States 3y]],#N/A)</f>
        <v/>
      </c>
    </row>
    <row r="513">
      <c r="A513" s="6">
        <f>Database!$A2598</f>
        <v/>
      </c>
      <c r="B513">
        <f>IF(VLOOKUP(Table7[[#This Row],[Date]],Database!$A:$C,MATCH($B$1,Database!$A$1:$C$1,),)=0,#N/A,VLOOKUP(Table7[[#This Row],[Date]],Database!$A:$C,MATCH($B$1,Database!$A$1:$C$1,),))</f>
        <v/>
      </c>
      <c r="C513">
        <f>IF(VLOOKUP(Table7[[#This Row],[Date]],Database!$A:$C,MATCH($C$1,Database!$A$1:$C$1,),)=0,#N/A,VLOOKUP(Table7[[#This Row],[Date]],Database!$A:$C,MATCH($C$1,Database!$A$1:$C$1,),))</f>
        <v/>
      </c>
      <c r="D513">
        <f>IFERROR(Table7[[#This Row],[United States 10y]]-Table7[[#This Row],[United States 3y]],#N/A)</f>
        <v/>
      </c>
    </row>
    <row r="514">
      <c r="A514" s="6">
        <f>Database!$A2599</f>
        <v/>
      </c>
      <c r="B514">
        <f>IF(VLOOKUP(Table7[[#This Row],[Date]],Database!$A:$C,MATCH($B$1,Database!$A$1:$C$1,),)=0,#N/A,VLOOKUP(Table7[[#This Row],[Date]],Database!$A:$C,MATCH($B$1,Database!$A$1:$C$1,),))</f>
        <v/>
      </c>
      <c r="C514">
        <f>IF(VLOOKUP(Table7[[#This Row],[Date]],Database!$A:$C,MATCH($C$1,Database!$A$1:$C$1,),)=0,#N/A,VLOOKUP(Table7[[#This Row],[Date]],Database!$A:$C,MATCH($C$1,Database!$A$1:$C$1,),))</f>
        <v/>
      </c>
      <c r="D514">
        <f>IFERROR(Table7[[#This Row],[United States 10y]]-Table7[[#This Row],[United States 3y]],#N/A)</f>
        <v/>
      </c>
    </row>
    <row r="515">
      <c r="A515" s="6">
        <f>Database!$A2600</f>
        <v/>
      </c>
      <c r="B515">
        <f>IF(VLOOKUP(Table7[[#This Row],[Date]],Database!$A:$C,MATCH($B$1,Database!$A$1:$C$1,),)=0,#N/A,VLOOKUP(Table7[[#This Row],[Date]],Database!$A:$C,MATCH($B$1,Database!$A$1:$C$1,),))</f>
        <v/>
      </c>
      <c r="C515">
        <f>IF(VLOOKUP(Table7[[#This Row],[Date]],Database!$A:$C,MATCH($C$1,Database!$A$1:$C$1,),)=0,#N/A,VLOOKUP(Table7[[#This Row],[Date]],Database!$A:$C,MATCH($C$1,Database!$A$1:$C$1,),))</f>
        <v/>
      </c>
      <c r="D515">
        <f>IFERROR(Table7[[#This Row],[United States 10y]]-Table7[[#This Row],[United States 3y]],#N/A)</f>
        <v/>
      </c>
    </row>
    <row r="516">
      <c r="A516" s="6">
        <f>Database!$A2601</f>
        <v/>
      </c>
      <c r="B516">
        <f>IF(VLOOKUP(Table7[[#This Row],[Date]],Database!$A:$C,MATCH($B$1,Database!$A$1:$C$1,),)=0,#N/A,VLOOKUP(Table7[[#This Row],[Date]],Database!$A:$C,MATCH($B$1,Database!$A$1:$C$1,),))</f>
        <v/>
      </c>
      <c r="C516">
        <f>IF(VLOOKUP(Table7[[#This Row],[Date]],Database!$A:$C,MATCH($C$1,Database!$A$1:$C$1,),)=0,#N/A,VLOOKUP(Table7[[#This Row],[Date]],Database!$A:$C,MATCH($C$1,Database!$A$1:$C$1,),))</f>
        <v/>
      </c>
      <c r="D516">
        <f>IFERROR(Table7[[#This Row],[United States 10y]]-Table7[[#This Row],[United States 3y]],#N/A)</f>
        <v/>
      </c>
    </row>
    <row r="517">
      <c r="A517" s="6">
        <f>Database!$A2602</f>
        <v/>
      </c>
      <c r="B517">
        <f>IF(VLOOKUP(Table7[[#This Row],[Date]],Database!$A:$C,MATCH($B$1,Database!$A$1:$C$1,),)=0,#N/A,VLOOKUP(Table7[[#This Row],[Date]],Database!$A:$C,MATCH($B$1,Database!$A$1:$C$1,),))</f>
        <v/>
      </c>
      <c r="C517">
        <f>IF(VLOOKUP(Table7[[#This Row],[Date]],Database!$A:$C,MATCH($C$1,Database!$A$1:$C$1,),)=0,#N/A,VLOOKUP(Table7[[#This Row],[Date]],Database!$A:$C,MATCH($C$1,Database!$A$1:$C$1,),))</f>
        <v/>
      </c>
      <c r="D517">
        <f>IFERROR(Table7[[#This Row],[United States 10y]]-Table7[[#This Row],[United States 3y]],#N/A)</f>
        <v/>
      </c>
    </row>
    <row r="518">
      <c r="A518" s="6">
        <f>Database!$A2603</f>
        <v/>
      </c>
      <c r="B518">
        <f>IF(VLOOKUP(Table7[[#This Row],[Date]],Database!$A:$C,MATCH($B$1,Database!$A$1:$C$1,),)=0,#N/A,VLOOKUP(Table7[[#This Row],[Date]],Database!$A:$C,MATCH($B$1,Database!$A$1:$C$1,),))</f>
        <v/>
      </c>
      <c r="C518">
        <f>IF(VLOOKUP(Table7[[#This Row],[Date]],Database!$A:$C,MATCH($C$1,Database!$A$1:$C$1,),)=0,#N/A,VLOOKUP(Table7[[#This Row],[Date]],Database!$A:$C,MATCH($C$1,Database!$A$1:$C$1,),))</f>
        <v/>
      </c>
      <c r="D518">
        <f>IFERROR(Table7[[#This Row],[United States 10y]]-Table7[[#This Row],[United States 3y]],#N/A)</f>
        <v/>
      </c>
    </row>
    <row r="519">
      <c r="A519" s="6">
        <f>Database!$A2604</f>
        <v/>
      </c>
      <c r="B519">
        <f>IF(VLOOKUP(Table7[[#This Row],[Date]],Database!$A:$C,MATCH($B$1,Database!$A$1:$C$1,),)=0,#N/A,VLOOKUP(Table7[[#This Row],[Date]],Database!$A:$C,MATCH($B$1,Database!$A$1:$C$1,),))</f>
        <v/>
      </c>
      <c r="C519">
        <f>IF(VLOOKUP(Table7[[#This Row],[Date]],Database!$A:$C,MATCH($C$1,Database!$A$1:$C$1,),)=0,#N/A,VLOOKUP(Table7[[#This Row],[Date]],Database!$A:$C,MATCH($C$1,Database!$A$1:$C$1,),))</f>
        <v/>
      </c>
      <c r="D519">
        <f>IFERROR(Table7[[#This Row],[United States 10y]]-Table7[[#This Row],[United States 3y]],#N/A)</f>
        <v/>
      </c>
    </row>
    <row r="520">
      <c r="A520" s="6">
        <f>Database!$A2605</f>
        <v/>
      </c>
      <c r="B520">
        <f>IF(VLOOKUP(Table7[[#This Row],[Date]],Database!$A:$C,MATCH($B$1,Database!$A$1:$C$1,),)=0,#N/A,VLOOKUP(Table7[[#This Row],[Date]],Database!$A:$C,MATCH($B$1,Database!$A$1:$C$1,),))</f>
        <v/>
      </c>
      <c r="C520">
        <f>IF(VLOOKUP(Table7[[#This Row],[Date]],Database!$A:$C,MATCH($C$1,Database!$A$1:$C$1,),)=0,#N/A,VLOOKUP(Table7[[#This Row],[Date]],Database!$A:$C,MATCH($C$1,Database!$A$1:$C$1,),))</f>
        <v/>
      </c>
      <c r="D520">
        <f>IFERROR(Table7[[#This Row],[United States 10y]]-Table7[[#This Row],[United States 3y]],#N/A)</f>
        <v/>
      </c>
    </row>
    <row r="521">
      <c r="A521" s="6">
        <f>Database!$A2606</f>
        <v/>
      </c>
      <c r="B521">
        <f>IF(VLOOKUP(Table7[[#This Row],[Date]],Database!$A:$C,MATCH($B$1,Database!$A$1:$C$1,),)=0,#N/A,VLOOKUP(Table7[[#This Row],[Date]],Database!$A:$C,MATCH($B$1,Database!$A$1:$C$1,),))</f>
        <v/>
      </c>
      <c r="C521">
        <f>IF(VLOOKUP(Table7[[#This Row],[Date]],Database!$A:$C,MATCH($C$1,Database!$A$1:$C$1,),)=0,#N/A,VLOOKUP(Table7[[#This Row],[Date]],Database!$A:$C,MATCH($C$1,Database!$A$1:$C$1,),))</f>
        <v/>
      </c>
      <c r="D521">
        <f>IFERROR(Table7[[#This Row],[United States 10y]]-Table7[[#This Row],[United States 3y]],#N/A)</f>
        <v/>
      </c>
    </row>
    <row r="522">
      <c r="A522" s="6">
        <f>Database!$A2607</f>
        <v/>
      </c>
      <c r="B522">
        <f>IF(VLOOKUP(Table7[[#This Row],[Date]],Database!$A:$C,MATCH($B$1,Database!$A$1:$C$1,),)=0,#N/A,VLOOKUP(Table7[[#This Row],[Date]],Database!$A:$C,MATCH($B$1,Database!$A$1:$C$1,),))</f>
        <v/>
      </c>
      <c r="C522">
        <f>IF(VLOOKUP(Table7[[#This Row],[Date]],Database!$A:$C,MATCH($C$1,Database!$A$1:$C$1,),)=0,#N/A,VLOOKUP(Table7[[#This Row],[Date]],Database!$A:$C,MATCH($C$1,Database!$A$1:$C$1,),))</f>
        <v/>
      </c>
      <c r="D522">
        <f>IFERROR(Table7[[#This Row],[United States 10y]]-Table7[[#This Row],[United States 3y]],#N/A)</f>
        <v/>
      </c>
    </row>
    <row r="523">
      <c r="A523" s="6">
        <f>Database!$A2608</f>
        <v/>
      </c>
      <c r="B523">
        <f>IF(VLOOKUP(Table7[[#This Row],[Date]],Database!$A:$C,MATCH($B$1,Database!$A$1:$C$1,),)=0,#N/A,VLOOKUP(Table7[[#This Row],[Date]],Database!$A:$C,MATCH($B$1,Database!$A$1:$C$1,),))</f>
        <v/>
      </c>
      <c r="C523">
        <f>IF(VLOOKUP(Table7[[#This Row],[Date]],Database!$A:$C,MATCH($C$1,Database!$A$1:$C$1,),)=0,#N/A,VLOOKUP(Table7[[#This Row],[Date]],Database!$A:$C,MATCH($C$1,Database!$A$1:$C$1,),))</f>
        <v/>
      </c>
      <c r="D523">
        <f>IFERROR(Table7[[#This Row],[United States 10y]]-Table7[[#This Row],[United States 3y]],#N/A)</f>
        <v/>
      </c>
    </row>
    <row r="524">
      <c r="A524" s="6">
        <f>Database!$A2609</f>
        <v/>
      </c>
      <c r="B524">
        <f>IF(VLOOKUP(Table7[[#This Row],[Date]],Database!$A:$C,MATCH($B$1,Database!$A$1:$C$1,),)=0,#N/A,VLOOKUP(Table7[[#This Row],[Date]],Database!$A:$C,MATCH($B$1,Database!$A$1:$C$1,),))</f>
        <v/>
      </c>
      <c r="C524">
        <f>IF(VLOOKUP(Table7[[#This Row],[Date]],Database!$A:$C,MATCH($C$1,Database!$A$1:$C$1,),)=0,#N/A,VLOOKUP(Table7[[#This Row],[Date]],Database!$A:$C,MATCH($C$1,Database!$A$1:$C$1,),))</f>
        <v/>
      </c>
      <c r="D524">
        <f>IFERROR(Table7[[#This Row],[United States 10y]]-Table7[[#This Row],[United States 3y]],#N/A)</f>
        <v/>
      </c>
    </row>
    <row r="525">
      <c r="A525" s="6">
        <f>Database!$A2610</f>
        <v/>
      </c>
      <c r="B525">
        <f>IF(VLOOKUP(Table7[[#This Row],[Date]],Database!$A:$C,MATCH($B$1,Database!$A$1:$C$1,),)=0,#N/A,VLOOKUP(Table7[[#This Row],[Date]],Database!$A:$C,MATCH($B$1,Database!$A$1:$C$1,),))</f>
        <v/>
      </c>
      <c r="C525">
        <f>IF(VLOOKUP(Table7[[#This Row],[Date]],Database!$A:$C,MATCH($C$1,Database!$A$1:$C$1,),)=0,#N/A,VLOOKUP(Table7[[#This Row],[Date]],Database!$A:$C,MATCH($C$1,Database!$A$1:$C$1,),))</f>
        <v/>
      </c>
      <c r="D525">
        <f>IFERROR(Table7[[#This Row],[United States 10y]]-Table7[[#This Row],[United States 3y]],#N/A)</f>
        <v/>
      </c>
    </row>
    <row r="526">
      <c r="A526" s="6">
        <f>Database!$A2611</f>
        <v/>
      </c>
      <c r="B526">
        <f>IF(VLOOKUP(Table7[[#This Row],[Date]],Database!$A:$C,MATCH($B$1,Database!$A$1:$C$1,),)=0,#N/A,VLOOKUP(Table7[[#This Row],[Date]],Database!$A:$C,MATCH($B$1,Database!$A$1:$C$1,),))</f>
        <v/>
      </c>
      <c r="C526">
        <f>IF(VLOOKUP(Table7[[#This Row],[Date]],Database!$A:$C,MATCH($C$1,Database!$A$1:$C$1,),)=0,#N/A,VLOOKUP(Table7[[#This Row],[Date]],Database!$A:$C,MATCH($C$1,Database!$A$1:$C$1,),))</f>
        <v/>
      </c>
      <c r="D526">
        <f>IFERROR(Table7[[#This Row],[United States 10y]]-Table7[[#This Row],[United States 3y]],#N/A)</f>
        <v/>
      </c>
    </row>
    <row r="527">
      <c r="A527" s="6">
        <f>Database!$A2612</f>
        <v/>
      </c>
      <c r="B527">
        <f>IF(VLOOKUP(Table7[[#This Row],[Date]],Database!$A:$C,MATCH($B$1,Database!$A$1:$C$1,),)=0,#N/A,VLOOKUP(Table7[[#This Row],[Date]],Database!$A:$C,MATCH($B$1,Database!$A$1:$C$1,),))</f>
        <v/>
      </c>
      <c r="C527">
        <f>IF(VLOOKUP(Table7[[#This Row],[Date]],Database!$A:$C,MATCH($C$1,Database!$A$1:$C$1,),)=0,#N/A,VLOOKUP(Table7[[#This Row],[Date]],Database!$A:$C,MATCH($C$1,Database!$A$1:$C$1,),))</f>
        <v/>
      </c>
      <c r="D527">
        <f>IFERROR(Table7[[#This Row],[United States 10y]]-Table7[[#This Row],[United States 3y]],#N/A)</f>
        <v/>
      </c>
    </row>
    <row r="528">
      <c r="A528" s="6">
        <f>Database!$A2613</f>
        <v/>
      </c>
      <c r="B528">
        <f>IF(VLOOKUP(Table7[[#This Row],[Date]],Database!$A:$C,MATCH($B$1,Database!$A$1:$C$1,),)=0,#N/A,VLOOKUP(Table7[[#This Row],[Date]],Database!$A:$C,MATCH($B$1,Database!$A$1:$C$1,),))</f>
        <v/>
      </c>
      <c r="C528">
        <f>IF(VLOOKUP(Table7[[#This Row],[Date]],Database!$A:$C,MATCH($C$1,Database!$A$1:$C$1,),)=0,#N/A,VLOOKUP(Table7[[#This Row],[Date]],Database!$A:$C,MATCH($C$1,Database!$A$1:$C$1,),))</f>
        <v/>
      </c>
      <c r="D528">
        <f>IFERROR(Table7[[#This Row],[United States 10y]]-Table7[[#This Row],[United States 3y]],#N/A)</f>
        <v/>
      </c>
    </row>
    <row r="529">
      <c r="A529" s="6">
        <f>Database!$A2614</f>
        <v/>
      </c>
      <c r="B529">
        <f>IF(VLOOKUP(Table7[[#This Row],[Date]],Database!$A:$C,MATCH($B$1,Database!$A$1:$C$1,),)=0,#N/A,VLOOKUP(Table7[[#This Row],[Date]],Database!$A:$C,MATCH($B$1,Database!$A$1:$C$1,),))</f>
        <v/>
      </c>
      <c r="C529">
        <f>IF(VLOOKUP(Table7[[#This Row],[Date]],Database!$A:$C,MATCH($C$1,Database!$A$1:$C$1,),)=0,#N/A,VLOOKUP(Table7[[#This Row],[Date]],Database!$A:$C,MATCH($C$1,Database!$A$1:$C$1,),))</f>
        <v/>
      </c>
      <c r="D529">
        <f>IFERROR(Table7[[#This Row],[United States 10y]]-Table7[[#This Row],[United States 3y]],#N/A)</f>
        <v/>
      </c>
    </row>
    <row r="530">
      <c r="A530" s="6">
        <f>Database!$A2615</f>
        <v/>
      </c>
      <c r="B530">
        <f>IF(VLOOKUP(Table7[[#This Row],[Date]],Database!$A:$C,MATCH($B$1,Database!$A$1:$C$1,),)=0,#N/A,VLOOKUP(Table7[[#This Row],[Date]],Database!$A:$C,MATCH($B$1,Database!$A$1:$C$1,),))</f>
        <v/>
      </c>
      <c r="C530">
        <f>IF(VLOOKUP(Table7[[#This Row],[Date]],Database!$A:$C,MATCH($C$1,Database!$A$1:$C$1,),)=0,#N/A,VLOOKUP(Table7[[#This Row],[Date]],Database!$A:$C,MATCH($C$1,Database!$A$1:$C$1,),))</f>
        <v/>
      </c>
      <c r="D530">
        <f>IFERROR(Table7[[#This Row],[United States 10y]]-Table7[[#This Row],[United States 3y]],#N/A)</f>
        <v/>
      </c>
    </row>
    <row r="531">
      <c r="A531" s="6">
        <f>Database!$A2616</f>
        <v/>
      </c>
      <c r="B531">
        <f>IF(VLOOKUP(Table7[[#This Row],[Date]],Database!$A:$C,MATCH($B$1,Database!$A$1:$C$1,),)=0,#N/A,VLOOKUP(Table7[[#This Row],[Date]],Database!$A:$C,MATCH($B$1,Database!$A$1:$C$1,),))</f>
        <v/>
      </c>
      <c r="C531">
        <f>IF(VLOOKUP(Table7[[#This Row],[Date]],Database!$A:$C,MATCH($C$1,Database!$A$1:$C$1,),)=0,#N/A,VLOOKUP(Table7[[#This Row],[Date]],Database!$A:$C,MATCH($C$1,Database!$A$1:$C$1,),))</f>
        <v/>
      </c>
      <c r="D531">
        <f>IFERROR(Table7[[#This Row],[United States 10y]]-Table7[[#This Row],[United States 3y]],#N/A)</f>
        <v/>
      </c>
    </row>
    <row r="532">
      <c r="A532" s="6">
        <f>Database!$A2617</f>
        <v/>
      </c>
      <c r="B532">
        <f>IF(VLOOKUP(Table7[[#This Row],[Date]],Database!$A:$C,MATCH($B$1,Database!$A$1:$C$1,),)=0,#N/A,VLOOKUP(Table7[[#This Row],[Date]],Database!$A:$C,MATCH($B$1,Database!$A$1:$C$1,),))</f>
        <v/>
      </c>
      <c r="C532">
        <f>IF(VLOOKUP(Table7[[#This Row],[Date]],Database!$A:$C,MATCH($C$1,Database!$A$1:$C$1,),)=0,#N/A,VLOOKUP(Table7[[#This Row],[Date]],Database!$A:$C,MATCH($C$1,Database!$A$1:$C$1,),))</f>
        <v/>
      </c>
      <c r="D532">
        <f>IFERROR(Table7[[#This Row],[United States 10y]]-Table7[[#This Row],[United States 3y]],#N/A)</f>
        <v/>
      </c>
    </row>
    <row r="533">
      <c r="A533" s="6">
        <f>Database!$A2618</f>
        <v/>
      </c>
      <c r="B533">
        <f>IF(VLOOKUP(Table7[[#This Row],[Date]],Database!$A:$C,MATCH($B$1,Database!$A$1:$C$1,),)=0,#N/A,VLOOKUP(Table7[[#This Row],[Date]],Database!$A:$C,MATCH($B$1,Database!$A$1:$C$1,),))</f>
        <v/>
      </c>
      <c r="C533">
        <f>IF(VLOOKUP(Table7[[#This Row],[Date]],Database!$A:$C,MATCH($C$1,Database!$A$1:$C$1,),)=0,#N/A,VLOOKUP(Table7[[#This Row],[Date]],Database!$A:$C,MATCH($C$1,Database!$A$1:$C$1,),))</f>
        <v/>
      </c>
      <c r="D533">
        <f>IFERROR(Table7[[#This Row],[United States 10y]]-Table7[[#This Row],[United States 3y]],#N/A)</f>
        <v/>
      </c>
    </row>
    <row r="534">
      <c r="A534" s="6">
        <f>Database!$A2619</f>
        <v/>
      </c>
      <c r="B534">
        <f>IF(VLOOKUP(Table7[[#This Row],[Date]],Database!$A:$C,MATCH($B$1,Database!$A$1:$C$1,),)=0,#N/A,VLOOKUP(Table7[[#This Row],[Date]],Database!$A:$C,MATCH($B$1,Database!$A$1:$C$1,),))</f>
        <v/>
      </c>
      <c r="C534">
        <f>IF(VLOOKUP(Table7[[#This Row],[Date]],Database!$A:$C,MATCH($C$1,Database!$A$1:$C$1,),)=0,#N/A,VLOOKUP(Table7[[#This Row],[Date]],Database!$A:$C,MATCH($C$1,Database!$A$1:$C$1,),))</f>
        <v/>
      </c>
      <c r="D534">
        <f>IFERROR(Table7[[#This Row],[United States 10y]]-Table7[[#This Row],[United States 3y]],#N/A)</f>
        <v/>
      </c>
    </row>
    <row r="535">
      <c r="A535" s="6">
        <f>Database!$A2620</f>
        <v/>
      </c>
      <c r="B535">
        <f>IF(VLOOKUP(Table7[[#This Row],[Date]],Database!$A:$C,MATCH($B$1,Database!$A$1:$C$1,),)=0,#N/A,VLOOKUP(Table7[[#This Row],[Date]],Database!$A:$C,MATCH($B$1,Database!$A$1:$C$1,),))</f>
        <v/>
      </c>
      <c r="C535">
        <f>IF(VLOOKUP(Table7[[#This Row],[Date]],Database!$A:$C,MATCH($C$1,Database!$A$1:$C$1,),)=0,#N/A,VLOOKUP(Table7[[#This Row],[Date]],Database!$A:$C,MATCH($C$1,Database!$A$1:$C$1,),))</f>
        <v/>
      </c>
      <c r="D535">
        <f>IFERROR(Table7[[#This Row],[United States 10y]]-Table7[[#This Row],[United States 3y]],#N/A)</f>
        <v/>
      </c>
    </row>
    <row r="536">
      <c r="A536" s="6">
        <f>Database!$A2621</f>
        <v/>
      </c>
      <c r="B536">
        <f>IF(VLOOKUP(Table7[[#This Row],[Date]],Database!$A:$C,MATCH($B$1,Database!$A$1:$C$1,),)=0,#N/A,VLOOKUP(Table7[[#This Row],[Date]],Database!$A:$C,MATCH($B$1,Database!$A$1:$C$1,),))</f>
        <v/>
      </c>
      <c r="C536">
        <f>IF(VLOOKUP(Table7[[#This Row],[Date]],Database!$A:$C,MATCH($C$1,Database!$A$1:$C$1,),)=0,#N/A,VLOOKUP(Table7[[#This Row],[Date]],Database!$A:$C,MATCH($C$1,Database!$A$1:$C$1,),))</f>
        <v/>
      </c>
      <c r="D536">
        <f>IFERROR(Table7[[#This Row],[United States 10y]]-Table7[[#This Row],[United States 3y]],#N/A)</f>
        <v/>
      </c>
    </row>
    <row r="537">
      <c r="A537" s="6">
        <f>Database!$A2622</f>
        <v/>
      </c>
      <c r="B537">
        <f>IF(VLOOKUP(Table7[[#This Row],[Date]],Database!$A:$C,MATCH($B$1,Database!$A$1:$C$1,),)=0,#N/A,VLOOKUP(Table7[[#This Row],[Date]],Database!$A:$C,MATCH($B$1,Database!$A$1:$C$1,),))</f>
        <v/>
      </c>
      <c r="C537">
        <f>IF(VLOOKUP(Table7[[#This Row],[Date]],Database!$A:$C,MATCH($C$1,Database!$A$1:$C$1,),)=0,#N/A,VLOOKUP(Table7[[#This Row],[Date]],Database!$A:$C,MATCH($C$1,Database!$A$1:$C$1,),))</f>
        <v/>
      </c>
      <c r="D537">
        <f>IFERROR(Table7[[#This Row],[United States 10y]]-Table7[[#This Row],[United States 3y]],#N/A)</f>
        <v/>
      </c>
    </row>
    <row r="538">
      <c r="A538" s="6">
        <f>Database!$A2623</f>
        <v/>
      </c>
      <c r="B538">
        <f>IF(VLOOKUP(Table7[[#This Row],[Date]],Database!$A:$C,MATCH($B$1,Database!$A$1:$C$1,),)=0,#N/A,VLOOKUP(Table7[[#This Row],[Date]],Database!$A:$C,MATCH($B$1,Database!$A$1:$C$1,),))</f>
        <v/>
      </c>
      <c r="C538">
        <f>IF(VLOOKUP(Table7[[#This Row],[Date]],Database!$A:$C,MATCH($C$1,Database!$A$1:$C$1,),)=0,#N/A,VLOOKUP(Table7[[#This Row],[Date]],Database!$A:$C,MATCH($C$1,Database!$A$1:$C$1,),))</f>
        <v/>
      </c>
      <c r="D538">
        <f>IFERROR(Table7[[#This Row],[United States 10y]]-Table7[[#This Row],[United States 3y]],#N/A)</f>
        <v/>
      </c>
    </row>
    <row r="539">
      <c r="A539" s="6">
        <f>Database!$A2624</f>
        <v/>
      </c>
      <c r="B539">
        <f>IF(VLOOKUP(Table7[[#This Row],[Date]],Database!$A:$C,MATCH($B$1,Database!$A$1:$C$1,),)=0,#N/A,VLOOKUP(Table7[[#This Row],[Date]],Database!$A:$C,MATCH($B$1,Database!$A$1:$C$1,),))</f>
        <v/>
      </c>
      <c r="C539">
        <f>IF(VLOOKUP(Table7[[#This Row],[Date]],Database!$A:$C,MATCH($C$1,Database!$A$1:$C$1,),)=0,#N/A,VLOOKUP(Table7[[#This Row],[Date]],Database!$A:$C,MATCH($C$1,Database!$A$1:$C$1,),))</f>
        <v/>
      </c>
      <c r="D539">
        <f>IFERROR(Table7[[#This Row],[United States 10y]]-Table7[[#This Row],[United States 3y]],#N/A)</f>
        <v/>
      </c>
    </row>
    <row r="540">
      <c r="A540" s="6">
        <f>Database!$A2625</f>
        <v/>
      </c>
      <c r="B540">
        <f>IF(VLOOKUP(Table7[[#This Row],[Date]],Database!$A:$C,MATCH($B$1,Database!$A$1:$C$1,),)=0,#N/A,VLOOKUP(Table7[[#This Row],[Date]],Database!$A:$C,MATCH($B$1,Database!$A$1:$C$1,),))</f>
        <v/>
      </c>
      <c r="C540">
        <f>IF(VLOOKUP(Table7[[#This Row],[Date]],Database!$A:$C,MATCH($C$1,Database!$A$1:$C$1,),)=0,#N/A,VLOOKUP(Table7[[#This Row],[Date]],Database!$A:$C,MATCH($C$1,Database!$A$1:$C$1,),))</f>
        <v/>
      </c>
      <c r="D540">
        <f>IFERROR(Table7[[#This Row],[United States 10y]]-Table7[[#This Row],[United States 3y]],#N/A)</f>
        <v/>
      </c>
    </row>
    <row r="541">
      <c r="A541" s="6">
        <f>Database!$A2626</f>
        <v/>
      </c>
      <c r="B541">
        <f>IF(VLOOKUP(Table7[[#This Row],[Date]],Database!$A:$C,MATCH($B$1,Database!$A$1:$C$1,),)=0,#N/A,VLOOKUP(Table7[[#This Row],[Date]],Database!$A:$C,MATCH($B$1,Database!$A$1:$C$1,),))</f>
        <v/>
      </c>
      <c r="C541">
        <f>IF(VLOOKUP(Table7[[#This Row],[Date]],Database!$A:$C,MATCH($C$1,Database!$A$1:$C$1,),)=0,#N/A,VLOOKUP(Table7[[#This Row],[Date]],Database!$A:$C,MATCH($C$1,Database!$A$1:$C$1,),))</f>
        <v/>
      </c>
      <c r="D541">
        <f>IFERROR(Table7[[#This Row],[United States 10y]]-Table7[[#This Row],[United States 3y]],#N/A)</f>
        <v/>
      </c>
    </row>
    <row r="542">
      <c r="A542" s="6">
        <f>Database!$A2627</f>
        <v/>
      </c>
      <c r="B542">
        <f>IF(VLOOKUP(Table7[[#This Row],[Date]],Database!$A:$C,MATCH($B$1,Database!$A$1:$C$1,),)=0,#N/A,VLOOKUP(Table7[[#This Row],[Date]],Database!$A:$C,MATCH($B$1,Database!$A$1:$C$1,),))</f>
        <v/>
      </c>
      <c r="C542">
        <f>IF(VLOOKUP(Table7[[#This Row],[Date]],Database!$A:$C,MATCH($C$1,Database!$A$1:$C$1,),)=0,#N/A,VLOOKUP(Table7[[#This Row],[Date]],Database!$A:$C,MATCH($C$1,Database!$A$1:$C$1,),))</f>
        <v/>
      </c>
      <c r="D542">
        <f>IFERROR(Table7[[#This Row],[United States 10y]]-Table7[[#This Row],[United States 3y]],#N/A)</f>
        <v/>
      </c>
    </row>
    <row r="543">
      <c r="A543" s="6">
        <f>Database!$A2628</f>
        <v/>
      </c>
      <c r="B543">
        <f>IF(VLOOKUP(Table7[[#This Row],[Date]],Database!$A:$C,MATCH($B$1,Database!$A$1:$C$1,),)=0,#N/A,VLOOKUP(Table7[[#This Row],[Date]],Database!$A:$C,MATCH($B$1,Database!$A$1:$C$1,),))</f>
        <v/>
      </c>
      <c r="C543">
        <f>IF(VLOOKUP(Table7[[#This Row],[Date]],Database!$A:$C,MATCH($C$1,Database!$A$1:$C$1,),)=0,#N/A,VLOOKUP(Table7[[#This Row],[Date]],Database!$A:$C,MATCH($C$1,Database!$A$1:$C$1,),))</f>
        <v/>
      </c>
      <c r="D543">
        <f>IFERROR(Table7[[#This Row],[United States 10y]]-Table7[[#This Row],[United States 3y]],#N/A)</f>
        <v/>
      </c>
    </row>
    <row r="544">
      <c r="A544" s="6">
        <f>Database!$A2629</f>
        <v/>
      </c>
      <c r="B544">
        <f>IF(VLOOKUP(Table7[[#This Row],[Date]],Database!$A:$C,MATCH($B$1,Database!$A$1:$C$1,),)=0,#N/A,VLOOKUP(Table7[[#This Row],[Date]],Database!$A:$C,MATCH($B$1,Database!$A$1:$C$1,),))</f>
        <v/>
      </c>
      <c r="C544">
        <f>IF(VLOOKUP(Table7[[#This Row],[Date]],Database!$A:$C,MATCH($C$1,Database!$A$1:$C$1,),)=0,#N/A,VLOOKUP(Table7[[#This Row],[Date]],Database!$A:$C,MATCH($C$1,Database!$A$1:$C$1,),))</f>
        <v/>
      </c>
      <c r="D544">
        <f>IFERROR(Table7[[#This Row],[United States 10y]]-Table7[[#This Row],[United States 3y]],#N/A)</f>
        <v/>
      </c>
    </row>
    <row r="545">
      <c r="A545" s="6">
        <f>Database!$A2630</f>
        <v/>
      </c>
      <c r="B545">
        <f>IF(VLOOKUP(Table7[[#This Row],[Date]],Database!$A:$C,MATCH($B$1,Database!$A$1:$C$1,),)=0,#N/A,VLOOKUP(Table7[[#This Row],[Date]],Database!$A:$C,MATCH($B$1,Database!$A$1:$C$1,),))</f>
        <v/>
      </c>
      <c r="C545">
        <f>IF(VLOOKUP(Table7[[#This Row],[Date]],Database!$A:$C,MATCH($C$1,Database!$A$1:$C$1,),)=0,#N/A,VLOOKUP(Table7[[#This Row],[Date]],Database!$A:$C,MATCH($C$1,Database!$A$1:$C$1,),))</f>
        <v/>
      </c>
      <c r="D545">
        <f>IFERROR(Table7[[#This Row],[United States 10y]]-Table7[[#This Row],[United States 3y]],#N/A)</f>
        <v/>
      </c>
    </row>
    <row r="546">
      <c r="A546" s="6">
        <f>Database!$A2631</f>
        <v/>
      </c>
      <c r="B546">
        <f>IF(VLOOKUP(Table7[[#This Row],[Date]],Database!$A:$C,MATCH($B$1,Database!$A$1:$C$1,),)=0,#N/A,VLOOKUP(Table7[[#This Row],[Date]],Database!$A:$C,MATCH($B$1,Database!$A$1:$C$1,),))</f>
        <v/>
      </c>
      <c r="C546">
        <f>IF(VLOOKUP(Table7[[#This Row],[Date]],Database!$A:$C,MATCH($C$1,Database!$A$1:$C$1,),)=0,#N/A,VLOOKUP(Table7[[#This Row],[Date]],Database!$A:$C,MATCH($C$1,Database!$A$1:$C$1,),))</f>
        <v/>
      </c>
      <c r="D546">
        <f>IFERROR(Table7[[#This Row],[United States 10y]]-Table7[[#This Row],[United States 3y]],#N/A)</f>
        <v/>
      </c>
    </row>
    <row r="547">
      <c r="A547" s="6">
        <f>Database!$A2632</f>
        <v/>
      </c>
      <c r="B547">
        <f>IF(VLOOKUP(Table7[[#This Row],[Date]],Database!$A:$C,MATCH($B$1,Database!$A$1:$C$1,),)=0,#N/A,VLOOKUP(Table7[[#This Row],[Date]],Database!$A:$C,MATCH($B$1,Database!$A$1:$C$1,),))</f>
        <v/>
      </c>
      <c r="C547">
        <f>IF(VLOOKUP(Table7[[#This Row],[Date]],Database!$A:$C,MATCH($C$1,Database!$A$1:$C$1,),)=0,#N/A,VLOOKUP(Table7[[#This Row],[Date]],Database!$A:$C,MATCH($C$1,Database!$A$1:$C$1,),))</f>
        <v/>
      </c>
      <c r="D547">
        <f>IFERROR(Table7[[#This Row],[United States 10y]]-Table7[[#This Row],[United States 3y]],#N/A)</f>
        <v/>
      </c>
    </row>
    <row r="548">
      <c r="A548" s="6">
        <f>Database!$A2633</f>
        <v/>
      </c>
      <c r="B548">
        <f>IF(VLOOKUP(Table7[[#This Row],[Date]],Database!$A:$C,MATCH($B$1,Database!$A$1:$C$1,),)=0,#N/A,VLOOKUP(Table7[[#This Row],[Date]],Database!$A:$C,MATCH($B$1,Database!$A$1:$C$1,),))</f>
        <v/>
      </c>
      <c r="C548">
        <f>IF(VLOOKUP(Table7[[#This Row],[Date]],Database!$A:$C,MATCH($C$1,Database!$A$1:$C$1,),)=0,#N/A,VLOOKUP(Table7[[#This Row],[Date]],Database!$A:$C,MATCH($C$1,Database!$A$1:$C$1,),))</f>
        <v/>
      </c>
      <c r="D548">
        <f>IFERROR(Table7[[#This Row],[United States 10y]]-Table7[[#This Row],[United States 3y]],#N/A)</f>
        <v/>
      </c>
    </row>
    <row r="549">
      <c r="A549" s="6">
        <f>Database!$A2634</f>
        <v/>
      </c>
      <c r="B549">
        <f>IF(VLOOKUP(Table7[[#This Row],[Date]],Database!$A:$C,MATCH($B$1,Database!$A$1:$C$1,),)=0,#N/A,VLOOKUP(Table7[[#This Row],[Date]],Database!$A:$C,MATCH($B$1,Database!$A$1:$C$1,),))</f>
        <v/>
      </c>
      <c r="C549">
        <f>IF(VLOOKUP(Table7[[#This Row],[Date]],Database!$A:$C,MATCH($C$1,Database!$A$1:$C$1,),)=0,#N/A,VLOOKUP(Table7[[#This Row],[Date]],Database!$A:$C,MATCH($C$1,Database!$A$1:$C$1,),))</f>
        <v/>
      </c>
      <c r="D549">
        <f>IFERROR(Table7[[#This Row],[United States 10y]]-Table7[[#This Row],[United States 3y]],#N/A)</f>
        <v/>
      </c>
    </row>
    <row r="550">
      <c r="A550" s="6">
        <f>Database!$A2635</f>
        <v/>
      </c>
      <c r="B550">
        <f>IF(VLOOKUP(Table7[[#This Row],[Date]],Database!$A:$C,MATCH($B$1,Database!$A$1:$C$1,),)=0,#N/A,VLOOKUP(Table7[[#This Row],[Date]],Database!$A:$C,MATCH($B$1,Database!$A$1:$C$1,),))</f>
        <v/>
      </c>
      <c r="C550">
        <f>IF(VLOOKUP(Table7[[#This Row],[Date]],Database!$A:$C,MATCH($C$1,Database!$A$1:$C$1,),)=0,#N/A,VLOOKUP(Table7[[#This Row],[Date]],Database!$A:$C,MATCH($C$1,Database!$A$1:$C$1,),))</f>
        <v/>
      </c>
      <c r="D550">
        <f>IFERROR(Table7[[#This Row],[United States 10y]]-Table7[[#This Row],[United States 3y]],#N/A)</f>
        <v/>
      </c>
    </row>
    <row r="551">
      <c r="A551" s="6">
        <f>Database!$A2636</f>
        <v/>
      </c>
      <c r="B551">
        <f>IF(VLOOKUP(Table7[[#This Row],[Date]],Database!$A:$C,MATCH($B$1,Database!$A$1:$C$1,),)=0,#N/A,VLOOKUP(Table7[[#This Row],[Date]],Database!$A:$C,MATCH($B$1,Database!$A$1:$C$1,),))</f>
        <v/>
      </c>
      <c r="C551">
        <f>IF(VLOOKUP(Table7[[#This Row],[Date]],Database!$A:$C,MATCH($C$1,Database!$A$1:$C$1,),)=0,#N/A,VLOOKUP(Table7[[#This Row],[Date]],Database!$A:$C,MATCH($C$1,Database!$A$1:$C$1,),))</f>
        <v/>
      </c>
      <c r="D551">
        <f>IFERROR(Table7[[#This Row],[United States 10y]]-Table7[[#This Row],[United States 3y]],#N/A)</f>
        <v/>
      </c>
    </row>
    <row r="552">
      <c r="A552" s="6">
        <f>Database!$A2637</f>
        <v/>
      </c>
      <c r="B552">
        <f>IF(VLOOKUP(Table7[[#This Row],[Date]],Database!$A:$C,MATCH($B$1,Database!$A$1:$C$1,),)=0,#N/A,VLOOKUP(Table7[[#This Row],[Date]],Database!$A:$C,MATCH($B$1,Database!$A$1:$C$1,),))</f>
        <v/>
      </c>
      <c r="C552">
        <f>IF(VLOOKUP(Table7[[#This Row],[Date]],Database!$A:$C,MATCH($C$1,Database!$A$1:$C$1,),)=0,#N/A,VLOOKUP(Table7[[#This Row],[Date]],Database!$A:$C,MATCH($C$1,Database!$A$1:$C$1,),))</f>
        <v/>
      </c>
      <c r="D552">
        <f>IFERROR(Table7[[#This Row],[United States 10y]]-Table7[[#This Row],[United States 3y]],#N/A)</f>
        <v/>
      </c>
    </row>
    <row r="553">
      <c r="A553" s="6">
        <f>Database!$A2638</f>
        <v/>
      </c>
      <c r="B553">
        <f>IF(VLOOKUP(Table7[[#This Row],[Date]],Database!$A:$C,MATCH($B$1,Database!$A$1:$C$1,),)=0,#N/A,VLOOKUP(Table7[[#This Row],[Date]],Database!$A:$C,MATCH($B$1,Database!$A$1:$C$1,),))</f>
        <v/>
      </c>
      <c r="C553">
        <f>IF(VLOOKUP(Table7[[#This Row],[Date]],Database!$A:$C,MATCH($C$1,Database!$A$1:$C$1,),)=0,#N/A,VLOOKUP(Table7[[#This Row],[Date]],Database!$A:$C,MATCH($C$1,Database!$A$1:$C$1,),))</f>
        <v/>
      </c>
      <c r="D553">
        <f>IFERROR(Table7[[#This Row],[United States 10y]]-Table7[[#This Row],[United States 3y]],#N/A)</f>
        <v/>
      </c>
    </row>
    <row r="554">
      <c r="A554" s="6">
        <f>Database!$A2639</f>
        <v/>
      </c>
      <c r="B554">
        <f>IF(VLOOKUP(Table7[[#This Row],[Date]],Database!$A:$C,MATCH($B$1,Database!$A$1:$C$1,),)=0,#N/A,VLOOKUP(Table7[[#This Row],[Date]],Database!$A:$C,MATCH($B$1,Database!$A$1:$C$1,),))</f>
        <v/>
      </c>
      <c r="C554">
        <f>IF(VLOOKUP(Table7[[#This Row],[Date]],Database!$A:$C,MATCH($C$1,Database!$A$1:$C$1,),)=0,#N/A,VLOOKUP(Table7[[#This Row],[Date]],Database!$A:$C,MATCH($C$1,Database!$A$1:$C$1,),))</f>
        <v/>
      </c>
      <c r="D554">
        <f>IFERROR(Table7[[#This Row],[United States 10y]]-Table7[[#This Row],[United States 3y]],#N/A)</f>
        <v/>
      </c>
    </row>
    <row r="555">
      <c r="A555" s="6">
        <f>Database!$A2640</f>
        <v/>
      </c>
      <c r="B555">
        <f>IF(VLOOKUP(Table7[[#This Row],[Date]],Database!$A:$C,MATCH($B$1,Database!$A$1:$C$1,),)=0,#N/A,VLOOKUP(Table7[[#This Row],[Date]],Database!$A:$C,MATCH($B$1,Database!$A$1:$C$1,),))</f>
        <v/>
      </c>
      <c r="C555">
        <f>IF(VLOOKUP(Table7[[#This Row],[Date]],Database!$A:$C,MATCH($C$1,Database!$A$1:$C$1,),)=0,#N/A,VLOOKUP(Table7[[#This Row],[Date]],Database!$A:$C,MATCH($C$1,Database!$A$1:$C$1,),))</f>
        <v/>
      </c>
      <c r="D555">
        <f>IFERROR(Table7[[#This Row],[United States 10y]]-Table7[[#This Row],[United States 3y]],#N/A)</f>
        <v/>
      </c>
    </row>
    <row r="556">
      <c r="A556" s="6">
        <f>Database!$A2641</f>
        <v/>
      </c>
      <c r="B556">
        <f>IF(VLOOKUP(Table7[[#This Row],[Date]],Database!$A:$C,MATCH($B$1,Database!$A$1:$C$1,),)=0,#N/A,VLOOKUP(Table7[[#This Row],[Date]],Database!$A:$C,MATCH($B$1,Database!$A$1:$C$1,),))</f>
        <v/>
      </c>
      <c r="C556">
        <f>IF(VLOOKUP(Table7[[#This Row],[Date]],Database!$A:$C,MATCH($C$1,Database!$A$1:$C$1,),)=0,#N/A,VLOOKUP(Table7[[#This Row],[Date]],Database!$A:$C,MATCH($C$1,Database!$A$1:$C$1,),))</f>
        <v/>
      </c>
      <c r="D556">
        <f>IFERROR(Table7[[#This Row],[United States 10y]]-Table7[[#This Row],[United States 3y]],#N/A)</f>
        <v/>
      </c>
    </row>
    <row r="557">
      <c r="A557" s="6">
        <f>Database!$A2642</f>
        <v/>
      </c>
      <c r="B557">
        <f>IF(VLOOKUP(Table7[[#This Row],[Date]],Database!$A:$C,MATCH($B$1,Database!$A$1:$C$1,),)=0,#N/A,VLOOKUP(Table7[[#This Row],[Date]],Database!$A:$C,MATCH($B$1,Database!$A$1:$C$1,),))</f>
        <v/>
      </c>
      <c r="C557">
        <f>IF(VLOOKUP(Table7[[#This Row],[Date]],Database!$A:$C,MATCH($C$1,Database!$A$1:$C$1,),)=0,#N/A,VLOOKUP(Table7[[#This Row],[Date]],Database!$A:$C,MATCH($C$1,Database!$A$1:$C$1,),))</f>
        <v/>
      </c>
      <c r="D557">
        <f>IFERROR(Table7[[#This Row],[United States 10y]]-Table7[[#This Row],[United States 3y]],#N/A)</f>
        <v/>
      </c>
    </row>
    <row r="558">
      <c r="A558" s="6">
        <f>Database!$A2643</f>
        <v/>
      </c>
      <c r="B558">
        <f>IF(VLOOKUP(Table7[[#This Row],[Date]],Database!$A:$C,MATCH($B$1,Database!$A$1:$C$1,),)=0,#N/A,VLOOKUP(Table7[[#This Row],[Date]],Database!$A:$C,MATCH($B$1,Database!$A$1:$C$1,),))</f>
        <v/>
      </c>
      <c r="C558">
        <f>IF(VLOOKUP(Table7[[#This Row],[Date]],Database!$A:$C,MATCH($C$1,Database!$A$1:$C$1,),)=0,#N/A,VLOOKUP(Table7[[#This Row],[Date]],Database!$A:$C,MATCH($C$1,Database!$A$1:$C$1,),))</f>
        <v/>
      </c>
      <c r="D558">
        <f>IFERROR(Table7[[#This Row],[United States 10y]]-Table7[[#This Row],[United States 3y]],#N/A)</f>
        <v/>
      </c>
    </row>
    <row r="559">
      <c r="A559" s="6">
        <f>Database!$A2644</f>
        <v/>
      </c>
      <c r="B559">
        <f>IF(VLOOKUP(Table7[[#This Row],[Date]],Database!$A:$C,MATCH($B$1,Database!$A$1:$C$1,),)=0,#N/A,VLOOKUP(Table7[[#This Row],[Date]],Database!$A:$C,MATCH($B$1,Database!$A$1:$C$1,),))</f>
        <v/>
      </c>
      <c r="C559">
        <f>IF(VLOOKUP(Table7[[#This Row],[Date]],Database!$A:$C,MATCH($C$1,Database!$A$1:$C$1,),)=0,#N/A,VLOOKUP(Table7[[#This Row],[Date]],Database!$A:$C,MATCH($C$1,Database!$A$1:$C$1,),))</f>
        <v/>
      </c>
      <c r="D559">
        <f>IFERROR(Table7[[#This Row],[United States 10y]]-Table7[[#This Row],[United States 3y]],#N/A)</f>
        <v/>
      </c>
    </row>
    <row r="560">
      <c r="A560" s="6">
        <f>Database!$A2645</f>
        <v/>
      </c>
      <c r="B560">
        <f>IF(VLOOKUP(Table7[[#This Row],[Date]],Database!$A:$C,MATCH($B$1,Database!$A$1:$C$1,),)=0,#N/A,VLOOKUP(Table7[[#This Row],[Date]],Database!$A:$C,MATCH($B$1,Database!$A$1:$C$1,),))</f>
        <v/>
      </c>
      <c r="C560">
        <f>IF(VLOOKUP(Table7[[#This Row],[Date]],Database!$A:$C,MATCH($C$1,Database!$A$1:$C$1,),)=0,#N/A,VLOOKUP(Table7[[#This Row],[Date]],Database!$A:$C,MATCH($C$1,Database!$A$1:$C$1,),))</f>
        <v/>
      </c>
      <c r="D560">
        <f>IFERROR(Table7[[#This Row],[United States 10y]]-Table7[[#This Row],[United States 3y]],#N/A)</f>
        <v/>
      </c>
    </row>
    <row r="561">
      <c r="A561" s="6">
        <f>Database!$A2646</f>
        <v/>
      </c>
      <c r="B561">
        <f>IF(VLOOKUP(Table7[[#This Row],[Date]],Database!$A:$C,MATCH($B$1,Database!$A$1:$C$1,),)=0,#N/A,VLOOKUP(Table7[[#This Row],[Date]],Database!$A:$C,MATCH($B$1,Database!$A$1:$C$1,),))</f>
        <v/>
      </c>
      <c r="C561">
        <f>IF(VLOOKUP(Table7[[#This Row],[Date]],Database!$A:$C,MATCH($C$1,Database!$A$1:$C$1,),)=0,#N/A,VLOOKUP(Table7[[#This Row],[Date]],Database!$A:$C,MATCH($C$1,Database!$A$1:$C$1,),))</f>
        <v/>
      </c>
      <c r="D561">
        <f>IFERROR(Table7[[#This Row],[United States 10y]]-Table7[[#This Row],[United States 3y]],#N/A)</f>
        <v/>
      </c>
    </row>
    <row r="562">
      <c r="A562" s="6">
        <f>Database!$A2647</f>
        <v/>
      </c>
      <c r="B562">
        <f>IF(VLOOKUP(Table7[[#This Row],[Date]],Database!$A:$C,MATCH($B$1,Database!$A$1:$C$1,),)=0,#N/A,VLOOKUP(Table7[[#This Row],[Date]],Database!$A:$C,MATCH($B$1,Database!$A$1:$C$1,),))</f>
        <v/>
      </c>
      <c r="C562">
        <f>IF(VLOOKUP(Table7[[#This Row],[Date]],Database!$A:$C,MATCH($C$1,Database!$A$1:$C$1,),)=0,#N/A,VLOOKUP(Table7[[#This Row],[Date]],Database!$A:$C,MATCH($C$1,Database!$A$1:$C$1,),))</f>
        <v/>
      </c>
      <c r="D562">
        <f>IFERROR(Table7[[#This Row],[United States 10y]]-Table7[[#This Row],[United States 3y]],#N/A)</f>
        <v/>
      </c>
    </row>
    <row r="563">
      <c r="A563" s="6">
        <f>Database!$A2648</f>
        <v/>
      </c>
      <c r="B563">
        <f>IF(VLOOKUP(Table7[[#This Row],[Date]],Database!$A:$C,MATCH($B$1,Database!$A$1:$C$1,),)=0,#N/A,VLOOKUP(Table7[[#This Row],[Date]],Database!$A:$C,MATCH($B$1,Database!$A$1:$C$1,),))</f>
        <v/>
      </c>
      <c r="C563">
        <f>IF(VLOOKUP(Table7[[#This Row],[Date]],Database!$A:$C,MATCH($C$1,Database!$A$1:$C$1,),)=0,#N/A,VLOOKUP(Table7[[#This Row],[Date]],Database!$A:$C,MATCH($C$1,Database!$A$1:$C$1,),))</f>
        <v/>
      </c>
      <c r="D563">
        <f>IFERROR(Table7[[#This Row],[United States 10y]]-Table7[[#This Row],[United States 3y]],#N/A)</f>
        <v/>
      </c>
    </row>
    <row r="564">
      <c r="A564" s="6">
        <f>Database!$A2649</f>
        <v/>
      </c>
      <c r="B564">
        <f>IF(VLOOKUP(Table7[[#This Row],[Date]],Database!$A:$C,MATCH($B$1,Database!$A$1:$C$1,),)=0,#N/A,VLOOKUP(Table7[[#This Row],[Date]],Database!$A:$C,MATCH($B$1,Database!$A$1:$C$1,),))</f>
        <v/>
      </c>
      <c r="C564">
        <f>IF(VLOOKUP(Table7[[#This Row],[Date]],Database!$A:$C,MATCH($C$1,Database!$A$1:$C$1,),)=0,#N/A,VLOOKUP(Table7[[#This Row],[Date]],Database!$A:$C,MATCH($C$1,Database!$A$1:$C$1,),))</f>
        <v/>
      </c>
      <c r="D564">
        <f>IFERROR(Table7[[#This Row],[United States 10y]]-Table7[[#This Row],[United States 3y]],#N/A)</f>
        <v/>
      </c>
    </row>
    <row r="565">
      <c r="A565" s="6">
        <f>Database!$A2650</f>
        <v/>
      </c>
      <c r="B565">
        <f>IF(VLOOKUP(Table7[[#This Row],[Date]],Database!$A:$C,MATCH($B$1,Database!$A$1:$C$1,),)=0,#N/A,VLOOKUP(Table7[[#This Row],[Date]],Database!$A:$C,MATCH($B$1,Database!$A$1:$C$1,),))</f>
        <v/>
      </c>
      <c r="C565">
        <f>IF(VLOOKUP(Table7[[#This Row],[Date]],Database!$A:$C,MATCH($C$1,Database!$A$1:$C$1,),)=0,#N/A,VLOOKUP(Table7[[#This Row],[Date]],Database!$A:$C,MATCH($C$1,Database!$A$1:$C$1,),))</f>
        <v/>
      </c>
      <c r="D565">
        <f>IFERROR(Table7[[#This Row],[United States 10y]]-Table7[[#This Row],[United States 3y]],#N/A)</f>
        <v/>
      </c>
    </row>
    <row r="566">
      <c r="A566" s="6">
        <f>Database!$A2651</f>
        <v/>
      </c>
      <c r="B566">
        <f>IF(VLOOKUP(Table7[[#This Row],[Date]],Database!$A:$C,MATCH($B$1,Database!$A$1:$C$1,),)=0,#N/A,VLOOKUP(Table7[[#This Row],[Date]],Database!$A:$C,MATCH($B$1,Database!$A$1:$C$1,),))</f>
        <v/>
      </c>
      <c r="C566">
        <f>IF(VLOOKUP(Table7[[#This Row],[Date]],Database!$A:$C,MATCH($C$1,Database!$A$1:$C$1,),)=0,#N/A,VLOOKUP(Table7[[#This Row],[Date]],Database!$A:$C,MATCH($C$1,Database!$A$1:$C$1,),))</f>
        <v/>
      </c>
      <c r="D566">
        <f>IFERROR(Table7[[#This Row],[United States 10y]]-Table7[[#This Row],[United States 3y]],#N/A)</f>
        <v/>
      </c>
    </row>
    <row r="567">
      <c r="A567" s="6">
        <f>Database!$A2652</f>
        <v/>
      </c>
      <c r="B567">
        <f>IF(VLOOKUP(Table7[[#This Row],[Date]],Database!$A:$C,MATCH($B$1,Database!$A$1:$C$1,),)=0,#N/A,VLOOKUP(Table7[[#This Row],[Date]],Database!$A:$C,MATCH($B$1,Database!$A$1:$C$1,),))</f>
        <v/>
      </c>
      <c r="C567">
        <f>IF(VLOOKUP(Table7[[#This Row],[Date]],Database!$A:$C,MATCH($C$1,Database!$A$1:$C$1,),)=0,#N/A,VLOOKUP(Table7[[#This Row],[Date]],Database!$A:$C,MATCH($C$1,Database!$A$1:$C$1,),))</f>
        <v/>
      </c>
      <c r="D567">
        <f>IFERROR(Table7[[#This Row],[United States 10y]]-Table7[[#This Row],[United States 3y]],#N/A)</f>
        <v/>
      </c>
    </row>
    <row r="568">
      <c r="A568" s="6">
        <f>Database!$A2653</f>
        <v/>
      </c>
      <c r="B568">
        <f>IF(VLOOKUP(Table7[[#This Row],[Date]],Database!$A:$C,MATCH($B$1,Database!$A$1:$C$1,),)=0,#N/A,VLOOKUP(Table7[[#This Row],[Date]],Database!$A:$C,MATCH($B$1,Database!$A$1:$C$1,),))</f>
        <v/>
      </c>
      <c r="C568">
        <f>IF(VLOOKUP(Table7[[#This Row],[Date]],Database!$A:$C,MATCH($C$1,Database!$A$1:$C$1,),)=0,#N/A,VLOOKUP(Table7[[#This Row],[Date]],Database!$A:$C,MATCH($C$1,Database!$A$1:$C$1,),))</f>
        <v/>
      </c>
      <c r="D568">
        <f>IFERROR(Table7[[#This Row],[United States 10y]]-Table7[[#This Row],[United States 3y]],#N/A)</f>
        <v/>
      </c>
    </row>
    <row r="569">
      <c r="A569" s="6">
        <f>Database!$A2654</f>
        <v/>
      </c>
      <c r="B569">
        <f>IF(VLOOKUP(Table7[[#This Row],[Date]],Database!$A:$C,MATCH($B$1,Database!$A$1:$C$1,),)=0,#N/A,VLOOKUP(Table7[[#This Row],[Date]],Database!$A:$C,MATCH($B$1,Database!$A$1:$C$1,),))</f>
        <v/>
      </c>
      <c r="C569">
        <f>IF(VLOOKUP(Table7[[#This Row],[Date]],Database!$A:$C,MATCH($C$1,Database!$A$1:$C$1,),)=0,#N/A,VLOOKUP(Table7[[#This Row],[Date]],Database!$A:$C,MATCH($C$1,Database!$A$1:$C$1,),))</f>
        <v/>
      </c>
      <c r="D569">
        <f>IFERROR(Table7[[#This Row],[United States 10y]]-Table7[[#This Row],[United States 3y]],#N/A)</f>
        <v/>
      </c>
    </row>
    <row r="570">
      <c r="A570" s="6">
        <f>Database!$A2655</f>
        <v/>
      </c>
      <c r="B570">
        <f>IF(VLOOKUP(Table7[[#This Row],[Date]],Database!$A:$C,MATCH($B$1,Database!$A$1:$C$1,),)=0,#N/A,VLOOKUP(Table7[[#This Row],[Date]],Database!$A:$C,MATCH($B$1,Database!$A$1:$C$1,),))</f>
        <v/>
      </c>
      <c r="C570">
        <f>IF(VLOOKUP(Table7[[#This Row],[Date]],Database!$A:$C,MATCH($C$1,Database!$A$1:$C$1,),)=0,#N/A,VLOOKUP(Table7[[#This Row],[Date]],Database!$A:$C,MATCH($C$1,Database!$A$1:$C$1,),))</f>
        <v/>
      </c>
      <c r="D570">
        <f>IFERROR(Table7[[#This Row],[United States 10y]]-Table7[[#This Row],[United States 3y]],#N/A)</f>
        <v/>
      </c>
    </row>
    <row r="571">
      <c r="A571" s="6">
        <f>Database!$A2656</f>
        <v/>
      </c>
      <c r="B571">
        <f>IF(VLOOKUP(Table7[[#This Row],[Date]],Database!$A:$C,MATCH($B$1,Database!$A$1:$C$1,),)=0,#N/A,VLOOKUP(Table7[[#This Row],[Date]],Database!$A:$C,MATCH($B$1,Database!$A$1:$C$1,),))</f>
        <v/>
      </c>
      <c r="C571">
        <f>IF(VLOOKUP(Table7[[#This Row],[Date]],Database!$A:$C,MATCH($C$1,Database!$A$1:$C$1,),)=0,#N/A,VLOOKUP(Table7[[#This Row],[Date]],Database!$A:$C,MATCH($C$1,Database!$A$1:$C$1,),))</f>
        <v/>
      </c>
      <c r="D571">
        <f>IFERROR(Table7[[#This Row],[United States 10y]]-Table7[[#This Row],[United States 3y]],#N/A)</f>
        <v/>
      </c>
    </row>
    <row r="572">
      <c r="A572" s="6">
        <f>Database!$A2657</f>
        <v/>
      </c>
      <c r="B572">
        <f>IF(VLOOKUP(Table7[[#This Row],[Date]],Database!$A:$C,MATCH($B$1,Database!$A$1:$C$1,),)=0,#N/A,VLOOKUP(Table7[[#This Row],[Date]],Database!$A:$C,MATCH($B$1,Database!$A$1:$C$1,),))</f>
        <v/>
      </c>
      <c r="C572">
        <f>IF(VLOOKUP(Table7[[#This Row],[Date]],Database!$A:$C,MATCH($C$1,Database!$A$1:$C$1,),)=0,#N/A,VLOOKUP(Table7[[#This Row],[Date]],Database!$A:$C,MATCH($C$1,Database!$A$1:$C$1,),))</f>
        <v/>
      </c>
      <c r="D572">
        <f>IFERROR(Table7[[#This Row],[United States 10y]]-Table7[[#This Row],[United States 3y]],#N/A)</f>
        <v/>
      </c>
    </row>
    <row r="573">
      <c r="A573" s="6">
        <f>Database!$A2658</f>
        <v/>
      </c>
      <c r="B573">
        <f>IF(VLOOKUP(Table7[[#This Row],[Date]],Database!$A:$C,MATCH($B$1,Database!$A$1:$C$1,),)=0,#N/A,VLOOKUP(Table7[[#This Row],[Date]],Database!$A:$C,MATCH($B$1,Database!$A$1:$C$1,),))</f>
        <v/>
      </c>
      <c r="C573">
        <f>IF(VLOOKUP(Table7[[#This Row],[Date]],Database!$A:$C,MATCH($C$1,Database!$A$1:$C$1,),)=0,#N/A,VLOOKUP(Table7[[#This Row],[Date]],Database!$A:$C,MATCH($C$1,Database!$A$1:$C$1,),))</f>
        <v/>
      </c>
      <c r="D573">
        <f>IFERROR(Table7[[#This Row],[United States 10y]]-Table7[[#This Row],[United States 3y]],#N/A)</f>
        <v/>
      </c>
    </row>
    <row r="574">
      <c r="A574" s="6">
        <f>Database!$A2659</f>
        <v/>
      </c>
      <c r="B574">
        <f>IF(VLOOKUP(Table7[[#This Row],[Date]],Database!$A:$C,MATCH($B$1,Database!$A$1:$C$1,),)=0,#N/A,VLOOKUP(Table7[[#This Row],[Date]],Database!$A:$C,MATCH($B$1,Database!$A$1:$C$1,),))</f>
        <v/>
      </c>
      <c r="C574">
        <f>IF(VLOOKUP(Table7[[#This Row],[Date]],Database!$A:$C,MATCH($C$1,Database!$A$1:$C$1,),)=0,#N/A,VLOOKUP(Table7[[#This Row],[Date]],Database!$A:$C,MATCH($C$1,Database!$A$1:$C$1,),))</f>
        <v/>
      </c>
      <c r="D574">
        <f>IFERROR(Table7[[#This Row],[United States 10y]]-Table7[[#This Row],[United States 3y]],#N/A)</f>
        <v/>
      </c>
    </row>
    <row r="575">
      <c r="A575" s="6">
        <f>Database!$A2660</f>
        <v/>
      </c>
      <c r="B575">
        <f>IF(VLOOKUP(Table7[[#This Row],[Date]],Database!$A:$C,MATCH($B$1,Database!$A$1:$C$1,),)=0,#N/A,VLOOKUP(Table7[[#This Row],[Date]],Database!$A:$C,MATCH($B$1,Database!$A$1:$C$1,),))</f>
        <v/>
      </c>
      <c r="C575">
        <f>IF(VLOOKUP(Table7[[#This Row],[Date]],Database!$A:$C,MATCH($C$1,Database!$A$1:$C$1,),)=0,#N/A,VLOOKUP(Table7[[#This Row],[Date]],Database!$A:$C,MATCH($C$1,Database!$A$1:$C$1,),))</f>
        <v/>
      </c>
      <c r="D575">
        <f>IFERROR(Table7[[#This Row],[United States 10y]]-Table7[[#This Row],[United States 3y]],#N/A)</f>
        <v/>
      </c>
    </row>
    <row r="576">
      <c r="A576" s="6">
        <f>Database!$A2661</f>
        <v/>
      </c>
      <c r="B576">
        <f>IF(VLOOKUP(Table7[[#This Row],[Date]],Database!$A:$C,MATCH($B$1,Database!$A$1:$C$1,),)=0,#N/A,VLOOKUP(Table7[[#This Row],[Date]],Database!$A:$C,MATCH($B$1,Database!$A$1:$C$1,),))</f>
        <v/>
      </c>
      <c r="C576">
        <f>IF(VLOOKUP(Table7[[#This Row],[Date]],Database!$A:$C,MATCH($C$1,Database!$A$1:$C$1,),)=0,#N/A,VLOOKUP(Table7[[#This Row],[Date]],Database!$A:$C,MATCH($C$1,Database!$A$1:$C$1,),))</f>
        <v/>
      </c>
      <c r="D576">
        <f>IFERROR(Table7[[#This Row],[United States 10y]]-Table7[[#This Row],[United States 3y]],#N/A)</f>
        <v/>
      </c>
    </row>
    <row r="577">
      <c r="A577" s="6">
        <f>Database!$A2662</f>
        <v/>
      </c>
      <c r="B577">
        <f>IF(VLOOKUP(Table7[[#This Row],[Date]],Database!$A:$C,MATCH($B$1,Database!$A$1:$C$1,),)=0,#N/A,VLOOKUP(Table7[[#This Row],[Date]],Database!$A:$C,MATCH($B$1,Database!$A$1:$C$1,),))</f>
        <v/>
      </c>
      <c r="C577">
        <f>IF(VLOOKUP(Table7[[#This Row],[Date]],Database!$A:$C,MATCH($C$1,Database!$A$1:$C$1,),)=0,#N/A,VLOOKUP(Table7[[#This Row],[Date]],Database!$A:$C,MATCH($C$1,Database!$A$1:$C$1,),))</f>
        <v/>
      </c>
      <c r="D577">
        <f>IFERROR(Table7[[#This Row],[United States 10y]]-Table7[[#This Row],[United States 3y]],#N/A)</f>
        <v/>
      </c>
    </row>
    <row r="578">
      <c r="A578" s="6">
        <f>Database!$A2663</f>
        <v/>
      </c>
      <c r="B578">
        <f>IF(VLOOKUP(Table7[[#This Row],[Date]],Database!$A:$C,MATCH($B$1,Database!$A$1:$C$1,),)=0,#N/A,VLOOKUP(Table7[[#This Row],[Date]],Database!$A:$C,MATCH($B$1,Database!$A$1:$C$1,),))</f>
        <v/>
      </c>
      <c r="C578">
        <f>IF(VLOOKUP(Table7[[#This Row],[Date]],Database!$A:$C,MATCH($C$1,Database!$A$1:$C$1,),)=0,#N/A,VLOOKUP(Table7[[#This Row],[Date]],Database!$A:$C,MATCH($C$1,Database!$A$1:$C$1,),))</f>
        <v/>
      </c>
      <c r="D578">
        <f>IFERROR(Table7[[#This Row],[United States 10y]]-Table7[[#This Row],[United States 3y]],#N/A)</f>
        <v/>
      </c>
    </row>
    <row r="579">
      <c r="A579" s="6">
        <f>Database!$A2664</f>
        <v/>
      </c>
      <c r="B579">
        <f>IF(VLOOKUP(Table7[[#This Row],[Date]],Database!$A:$C,MATCH($B$1,Database!$A$1:$C$1,),)=0,#N/A,VLOOKUP(Table7[[#This Row],[Date]],Database!$A:$C,MATCH($B$1,Database!$A$1:$C$1,),))</f>
        <v/>
      </c>
      <c r="C579">
        <f>IF(VLOOKUP(Table7[[#This Row],[Date]],Database!$A:$C,MATCH($C$1,Database!$A$1:$C$1,),)=0,#N/A,VLOOKUP(Table7[[#This Row],[Date]],Database!$A:$C,MATCH($C$1,Database!$A$1:$C$1,),))</f>
        <v/>
      </c>
      <c r="D579">
        <f>IFERROR(Table7[[#This Row],[United States 10y]]-Table7[[#This Row],[United States 3y]],#N/A)</f>
        <v/>
      </c>
    </row>
    <row r="580">
      <c r="A580" s="6">
        <f>Database!$A2665</f>
        <v/>
      </c>
      <c r="B580">
        <f>IF(VLOOKUP(Table7[[#This Row],[Date]],Database!$A:$C,MATCH($B$1,Database!$A$1:$C$1,),)=0,#N/A,VLOOKUP(Table7[[#This Row],[Date]],Database!$A:$C,MATCH($B$1,Database!$A$1:$C$1,),))</f>
        <v/>
      </c>
      <c r="C580">
        <f>IF(VLOOKUP(Table7[[#This Row],[Date]],Database!$A:$C,MATCH($C$1,Database!$A$1:$C$1,),)=0,#N/A,VLOOKUP(Table7[[#This Row],[Date]],Database!$A:$C,MATCH($C$1,Database!$A$1:$C$1,),))</f>
        <v/>
      </c>
      <c r="D580">
        <f>IFERROR(Table7[[#This Row],[United States 10y]]-Table7[[#This Row],[United States 3y]],#N/A)</f>
        <v/>
      </c>
    </row>
    <row r="581">
      <c r="A581" s="6">
        <f>Database!$A2666</f>
        <v/>
      </c>
      <c r="B581">
        <f>IF(VLOOKUP(Table7[[#This Row],[Date]],Database!$A:$C,MATCH($B$1,Database!$A$1:$C$1,),)=0,#N/A,VLOOKUP(Table7[[#This Row],[Date]],Database!$A:$C,MATCH($B$1,Database!$A$1:$C$1,),))</f>
        <v/>
      </c>
      <c r="C581">
        <f>IF(VLOOKUP(Table7[[#This Row],[Date]],Database!$A:$C,MATCH($C$1,Database!$A$1:$C$1,),)=0,#N/A,VLOOKUP(Table7[[#This Row],[Date]],Database!$A:$C,MATCH($C$1,Database!$A$1:$C$1,),))</f>
        <v/>
      </c>
      <c r="D581">
        <f>IFERROR(Table7[[#This Row],[United States 10y]]-Table7[[#This Row],[United States 3y]],#N/A)</f>
        <v/>
      </c>
    </row>
    <row r="582">
      <c r="A582" s="6">
        <f>Database!$A2667</f>
        <v/>
      </c>
      <c r="B582">
        <f>IF(VLOOKUP(Table7[[#This Row],[Date]],Database!$A:$C,MATCH($B$1,Database!$A$1:$C$1,),)=0,#N/A,VLOOKUP(Table7[[#This Row],[Date]],Database!$A:$C,MATCH($B$1,Database!$A$1:$C$1,),))</f>
        <v/>
      </c>
      <c r="C582">
        <f>IF(VLOOKUP(Table7[[#This Row],[Date]],Database!$A:$C,MATCH($C$1,Database!$A$1:$C$1,),)=0,#N/A,VLOOKUP(Table7[[#This Row],[Date]],Database!$A:$C,MATCH($C$1,Database!$A$1:$C$1,),))</f>
        <v/>
      </c>
      <c r="D582">
        <f>IFERROR(Table7[[#This Row],[United States 10y]]-Table7[[#This Row],[United States 3y]],#N/A)</f>
        <v/>
      </c>
    </row>
    <row r="583">
      <c r="A583" s="6">
        <f>Database!$A2668</f>
        <v/>
      </c>
      <c r="B583">
        <f>IF(VLOOKUP(Table7[[#This Row],[Date]],Database!$A:$C,MATCH($B$1,Database!$A$1:$C$1,),)=0,#N/A,VLOOKUP(Table7[[#This Row],[Date]],Database!$A:$C,MATCH($B$1,Database!$A$1:$C$1,),))</f>
        <v/>
      </c>
      <c r="C583">
        <f>IF(VLOOKUP(Table7[[#This Row],[Date]],Database!$A:$C,MATCH($C$1,Database!$A$1:$C$1,),)=0,#N/A,VLOOKUP(Table7[[#This Row],[Date]],Database!$A:$C,MATCH($C$1,Database!$A$1:$C$1,),))</f>
        <v/>
      </c>
      <c r="D583">
        <f>IFERROR(Table7[[#This Row],[United States 10y]]-Table7[[#This Row],[United States 3y]],#N/A)</f>
        <v/>
      </c>
    </row>
    <row r="584">
      <c r="A584" s="6">
        <f>Database!$A2669</f>
        <v/>
      </c>
      <c r="B584">
        <f>IF(VLOOKUP(Table7[[#This Row],[Date]],Database!$A:$C,MATCH($B$1,Database!$A$1:$C$1,),)=0,#N/A,VLOOKUP(Table7[[#This Row],[Date]],Database!$A:$C,MATCH($B$1,Database!$A$1:$C$1,),))</f>
        <v/>
      </c>
      <c r="C584">
        <f>IF(VLOOKUP(Table7[[#This Row],[Date]],Database!$A:$C,MATCH($C$1,Database!$A$1:$C$1,),)=0,#N/A,VLOOKUP(Table7[[#This Row],[Date]],Database!$A:$C,MATCH($C$1,Database!$A$1:$C$1,),))</f>
        <v/>
      </c>
      <c r="D584">
        <f>IFERROR(Table7[[#This Row],[United States 10y]]-Table7[[#This Row],[United States 3y]],#N/A)</f>
        <v/>
      </c>
    </row>
    <row r="585">
      <c r="A585" s="6">
        <f>Database!$A2670</f>
        <v/>
      </c>
      <c r="B585">
        <f>IF(VLOOKUP(Table7[[#This Row],[Date]],Database!$A:$C,MATCH($B$1,Database!$A$1:$C$1,),)=0,#N/A,VLOOKUP(Table7[[#This Row],[Date]],Database!$A:$C,MATCH($B$1,Database!$A$1:$C$1,),))</f>
        <v/>
      </c>
      <c r="C585">
        <f>IF(VLOOKUP(Table7[[#This Row],[Date]],Database!$A:$C,MATCH($C$1,Database!$A$1:$C$1,),)=0,#N/A,VLOOKUP(Table7[[#This Row],[Date]],Database!$A:$C,MATCH($C$1,Database!$A$1:$C$1,),))</f>
        <v/>
      </c>
      <c r="D585">
        <f>IFERROR(Table7[[#This Row],[United States 10y]]-Table7[[#This Row],[United States 3y]],#N/A)</f>
        <v/>
      </c>
    </row>
    <row r="586">
      <c r="A586" s="6">
        <f>Database!$A2671</f>
        <v/>
      </c>
      <c r="B586">
        <f>IF(VLOOKUP(Table7[[#This Row],[Date]],Database!$A:$C,MATCH($B$1,Database!$A$1:$C$1,),)=0,#N/A,VLOOKUP(Table7[[#This Row],[Date]],Database!$A:$C,MATCH($B$1,Database!$A$1:$C$1,),))</f>
        <v/>
      </c>
      <c r="C586">
        <f>IF(VLOOKUP(Table7[[#This Row],[Date]],Database!$A:$C,MATCH($C$1,Database!$A$1:$C$1,),)=0,#N/A,VLOOKUP(Table7[[#This Row],[Date]],Database!$A:$C,MATCH($C$1,Database!$A$1:$C$1,),))</f>
        <v/>
      </c>
      <c r="D586">
        <f>IFERROR(Table7[[#This Row],[United States 10y]]-Table7[[#This Row],[United States 3y]],#N/A)</f>
        <v/>
      </c>
    </row>
    <row r="587">
      <c r="A587" s="6">
        <f>Database!$A2672</f>
        <v/>
      </c>
      <c r="B587">
        <f>IF(VLOOKUP(Table7[[#This Row],[Date]],Database!$A:$C,MATCH($B$1,Database!$A$1:$C$1,),)=0,#N/A,VLOOKUP(Table7[[#This Row],[Date]],Database!$A:$C,MATCH($B$1,Database!$A$1:$C$1,),))</f>
        <v/>
      </c>
      <c r="C587">
        <f>IF(VLOOKUP(Table7[[#This Row],[Date]],Database!$A:$C,MATCH($C$1,Database!$A$1:$C$1,),)=0,#N/A,VLOOKUP(Table7[[#This Row],[Date]],Database!$A:$C,MATCH($C$1,Database!$A$1:$C$1,),))</f>
        <v/>
      </c>
      <c r="D587">
        <f>IFERROR(Table7[[#This Row],[United States 10y]]-Table7[[#This Row],[United States 3y]],#N/A)</f>
        <v/>
      </c>
    </row>
    <row r="588">
      <c r="A588" s="6">
        <f>Database!$A2673</f>
        <v/>
      </c>
      <c r="B588">
        <f>IF(VLOOKUP(Table7[[#This Row],[Date]],Database!$A:$C,MATCH($B$1,Database!$A$1:$C$1,),)=0,#N/A,VLOOKUP(Table7[[#This Row],[Date]],Database!$A:$C,MATCH($B$1,Database!$A$1:$C$1,),))</f>
        <v/>
      </c>
      <c r="C588">
        <f>IF(VLOOKUP(Table7[[#This Row],[Date]],Database!$A:$C,MATCH($C$1,Database!$A$1:$C$1,),)=0,#N/A,VLOOKUP(Table7[[#This Row],[Date]],Database!$A:$C,MATCH($C$1,Database!$A$1:$C$1,),))</f>
        <v/>
      </c>
      <c r="D588">
        <f>IFERROR(Table7[[#This Row],[United States 10y]]-Table7[[#This Row],[United States 3y]],#N/A)</f>
        <v/>
      </c>
    </row>
    <row r="589">
      <c r="A589" s="6">
        <f>Database!$A2674</f>
        <v/>
      </c>
      <c r="B589">
        <f>IF(VLOOKUP(Table7[[#This Row],[Date]],Database!$A:$C,MATCH($B$1,Database!$A$1:$C$1,),)=0,#N/A,VLOOKUP(Table7[[#This Row],[Date]],Database!$A:$C,MATCH($B$1,Database!$A$1:$C$1,),))</f>
        <v/>
      </c>
      <c r="C589">
        <f>IF(VLOOKUP(Table7[[#This Row],[Date]],Database!$A:$C,MATCH($C$1,Database!$A$1:$C$1,),)=0,#N/A,VLOOKUP(Table7[[#This Row],[Date]],Database!$A:$C,MATCH($C$1,Database!$A$1:$C$1,),))</f>
        <v/>
      </c>
      <c r="D589">
        <f>IFERROR(Table7[[#This Row],[United States 10y]]-Table7[[#This Row],[United States 3y]],#N/A)</f>
        <v/>
      </c>
    </row>
    <row r="590">
      <c r="A590" s="6">
        <f>Database!$A2675</f>
        <v/>
      </c>
      <c r="B590">
        <f>IF(VLOOKUP(Table7[[#This Row],[Date]],Database!$A:$C,MATCH($B$1,Database!$A$1:$C$1,),)=0,#N/A,VLOOKUP(Table7[[#This Row],[Date]],Database!$A:$C,MATCH($B$1,Database!$A$1:$C$1,),))</f>
        <v/>
      </c>
      <c r="C590">
        <f>IF(VLOOKUP(Table7[[#This Row],[Date]],Database!$A:$C,MATCH($C$1,Database!$A$1:$C$1,),)=0,#N/A,VLOOKUP(Table7[[#This Row],[Date]],Database!$A:$C,MATCH($C$1,Database!$A$1:$C$1,),))</f>
        <v/>
      </c>
      <c r="D590">
        <f>IFERROR(Table7[[#This Row],[United States 10y]]-Table7[[#This Row],[United States 3y]],#N/A)</f>
        <v/>
      </c>
    </row>
    <row r="591">
      <c r="A591" s="6">
        <f>Database!$A2676</f>
        <v/>
      </c>
      <c r="B591">
        <f>IF(VLOOKUP(Table7[[#This Row],[Date]],Database!$A:$C,MATCH($B$1,Database!$A$1:$C$1,),)=0,#N/A,VLOOKUP(Table7[[#This Row],[Date]],Database!$A:$C,MATCH($B$1,Database!$A$1:$C$1,),))</f>
        <v/>
      </c>
      <c r="C591">
        <f>IF(VLOOKUP(Table7[[#This Row],[Date]],Database!$A:$C,MATCH($C$1,Database!$A$1:$C$1,),)=0,#N/A,VLOOKUP(Table7[[#This Row],[Date]],Database!$A:$C,MATCH($C$1,Database!$A$1:$C$1,),))</f>
        <v/>
      </c>
      <c r="D591">
        <f>IFERROR(Table7[[#This Row],[United States 10y]]-Table7[[#This Row],[United States 3y]],#N/A)</f>
        <v/>
      </c>
    </row>
    <row r="592">
      <c r="A592" s="6">
        <f>Database!$A2677</f>
        <v/>
      </c>
      <c r="B592">
        <f>IF(VLOOKUP(Table7[[#This Row],[Date]],Database!$A:$C,MATCH($B$1,Database!$A$1:$C$1,),)=0,#N/A,VLOOKUP(Table7[[#This Row],[Date]],Database!$A:$C,MATCH($B$1,Database!$A$1:$C$1,),))</f>
        <v/>
      </c>
      <c r="C592">
        <f>IF(VLOOKUP(Table7[[#This Row],[Date]],Database!$A:$C,MATCH($C$1,Database!$A$1:$C$1,),)=0,#N/A,VLOOKUP(Table7[[#This Row],[Date]],Database!$A:$C,MATCH($C$1,Database!$A$1:$C$1,),))</f>
        <v/>
      </c>
      <c r="D592">
        <f>IFERROR(Table7[[#This Row],[United States 10y]]-Table7[[#This Row],[United States 3y]],#N/A)</f>
        <v/>
      </c>
    </row>
    <row r="593">
      <c r="A593" s="6">
        <f>Database!$A2678</f>
        <v/>
      </c>
      <c r="B593">
        <f>IF(VLOOKUP(Table7[[#This Row],[Date]],Database!$A:$C,MATCH($B$1,Database!$A$1:$C$1,),)=0,#N/A,VLOOKUP(Table7[[#This Row],[Date]],Database!$A:$C,MATCH($B$1,Database!$A$1:$C$1,),))</f>
        <v/>
      </c>
      <c r="C593">
        <f>IF(VLOOKUP(Table7[[#This Row],[Date]],Database!$A:$C,MATCH($C$1,Database!$A$1:$C$1,),)=0,#N/A,VLOOKUP(Table7[[#This Row],[Date]],Database!$A:$C,MATCH($C$1,Database!$A$1:$C$1,),))</f>
        <v/>
      </c>
      <c r="D593">
        <f>IFERROR(Table7[[#This Row],[United States 10y]]-Table7[[#This Row],[United States 3y]],#N/A)</f>
        <v/>
      </c>
    </row>
    <row r="594">
      <c r="A594" s="6">
        <f>Database!$A2679</f>
        <v/>
      </c>
      <c r="B594">
        <f>IF(VLOOKUP(Table7[[#This Row],[Date]],Database!$A:$C,MATCH($B$1,Database!$A$1:$C$1,),)=0,#N/A,VLOOKUP(Table7[[#This Row],[Date]],Database!$A:$C,MATCH($B$1,Database!$A$1:$C$1,),))</f>
        <v/>
      </c>
      <c r="C594">
        <f>IF(VLOOKUP(Table7[[#This Row],[Date]],Database!$A:$C,MATCH($C$1,Database!$A$1:$C$1,),)=0,#N/A,VLOOKUP(Table7[[#This Row],[Date]],Database!$A:$C,MATCH($C$1,Database!$A$1:$C$1,),))</f>
        <v/>
      </c>
      <c r="D594">
        <f>IFERROR(Table7[[#This Row],[United States 10y]]-Table7[[#This Row],[United States 3y]],#N/A)</f>
        <v/>
      </c>
    </row>
    <row r="595">
      <c r="A595" s="6">
        <f>Database!$A2680</f>
        <v/>
      </c>
      <c r="B595">
        <f>IF(VLOOKUP(Table7[[#This Row],[Date]],Database!$A:$C,MATCH($B$1,Database!$A$1:$C$1,),)=0,#N/A,VLOOKUP(Table7[[#This Row],[Date]],Database!$A:$C,MATCH($B$1,Database!$A$1:$C$1,),))</f>
        <v/>
      </c>
      <c r="C595">
        <f>IF(VLOOKUP(Table7[[#This Row],[Date]],Database!$A:$C,MATCH($C$1,Database!$A$1:$C$1,),)=0,#N/A,VLOOKUP(Table7[[#This Row],[Date]],Database!$A:$C,MATCH($C$1,Database!$A$1:$C$1,),))</f>
        <v/>
      </c>
      <c r="D595">
        <f>IFERROR(Table7[[#This Row],[United States 10y]]-Table7[[#This Row],[United States 3y]],#N/A)</f>
        <v/>
      </c>
    </row>
    <row r="596">
      <c r="A596" s="6">
        <f>Database!$A2681</f>
        <v/>
      </c>
      <c r="B596">
        <f>IF(VLOOKUP(Table7[[#This Row],[Date]],Database!$A:$C,MATCH($B$1,Database!$A$1:$C$1,),)=0,#N/A,VLOOKUP(Table7[[#This Row],[Date]],Database!$A:$C,MATCH($B$1,Database!$A$1:$C$1,),))</f>
        <v/>
      </c>
      <c r="C596">
        <f>IF(VLOOKUP(Table7[[#This Row],[Date]],Database!$A:$C,MATCH($C$1,Database!$A$1:$C$1,),)=0,#N/A,VLOOKUP(Table7[[#This Row],[Date]],Database!$A:$C,MATCH($C$1,Database!$A$1:$C$1,),))</f>
        <v/>
      </c>
      <c r="D596">
        <f>IFERROR(Table7[[#This Row],[United States 10y]]-Table7[[#This Row],[United States 3y]],#N/A)</f>
        <v/>
      </c>
    </row>
    <row r="597">
      <c r="A597" s="6">
        <f>Database!$A2682</f>
        <v/>
      </c>
      <c r="B597">
        <f>IF(VLOOKUP(Table7[[#This Row],[Date]],Database!$A:$C,MATCH($B$1,Database!$A$1:$C$1,),)=0,#N/A,VLOOKUP(Table7[[#This Row],[Date]],Database!$A:$C,MATCH($B$1,Database!$A$1:$C$1,),))</f>
        <v/>
      </c>
      <c r="C597">
        <f>IF(VLOOKUP(Table7[[#This Row],[Date]],Database!$A:$C,MATCH($C$1,Database!$A$1:$C$1,),)=0,#N/A,VLOOKUP(Table7[[#This Row],[Date]],Database!$A:$C,MATCH($C$1,Database!$A$1:$C$1,),))</f>
        <v/>
      </c>
      <c r="D597">
        <f>IFERROR(Table7[[#This Row],[United States 10y]]-Table7[[#This Row],[United States 3y]],#N/A)</f>
        <v/>
      </c>
    </row>
    <row r="598">
      <c r="A598" s="6">
        <f>Database!$A2683</f>
        <v/>
      </c>
      <c r="B598">
        <f>IF(VLOOKUP(Table7[[#This Row],[Date]],Database!$A:$C,MATCH($B$1,Database!$A$1:$C$1,),)=0,#N/A,VLOOKUP(Table7[[#This Row],[Date]],Database!$A:$C,MATCH($B$1,Database!$A$1:$C$1,),))</f>
        <v/>
      </c>
      <c r="C598">
        <f>IF(VLOOKUP(Table7[[#This Row],[Date]],Database!$A:$C,MATCH($C$1,Database!$A$1:$C$1,),)=0,#N/A,VLOOKUP(Table7[[#This Row],[Date]],Database!$A:$C,MATCH($C$1,Database!$A$1:$C$1,),))</f>
        <v/>
      </c>
      <c r="D598">
        <f>IFERROR(Table7[[#This Row],[United States 10y]]-Table7[[#This Row],[United States 3y]],#N/A)</f>
        <v/>
      </c>
    </row>
    <row r="599">
      <c r="A599" s="6">
        <f>Database!$A2684</f>
        <v/>
      </c>
      <c r="B599">
        <f>IF(VLOOKUP(Table7[[#This Row],[Date]],Database!$A:$C,MATCH($B$1,Database!$A$1:$C$1,),)=0,#N/A,VLOOKUP(Table7[[#This Row],[Date]],Database!$A:$C,MATCH($B$1,Database!$A$1:$C$1,),))</f>
        <v/>
      </c>
      <c r="C599">
        <f>IF(VLOOKUP(Table7[[#This Row],[Date]],Database!$A:$C,MATCH($C$1,Database!$A$1:$C$1,),)=0,#N/A,VLOOKUP(Table7[[#This Row],[Date]],Database!$A:$C,MATCH($C$1,Database!$A$1:$C$1,),))</f>
        <v/>
      </c>
      <c r="D599">
        <f>IFERROR(Table7[[#This Row],[United States 10y]]-Table7[[#This Row],[United States 3y]],#N/A)</f>
        <v/>
      </c>
    </row>
    <row r="600">
      <c r="A600" s="6">
        <f>Database!$A2685</f>
        <v/>
      </c>
      <c r="B600">
        <f>IF(VLOOKUP(Table7[[#This Row],[Date]],Database!$A:$C,MATCH($B$1,Database!$A$1:$C$1,),)=0,#N/A,VLOOKUP(Table7[[#This Row],[Date]],Database!$A:$C,MATCH($B$1,Database!$A$1:$C$1,),))</f>
        <v/>
      </c>
      <c r="C600">
        <f>IF(VLOOKUP(Table7[[#This Row],[Date]],Database!$A:$C,MATCH($C$1,Database!$A$1:$C$1,),)=0,#N/A,VLOOKUP(Table7[[#This Row],[Date]],Database!$A:$C,MATCH($C$1,Database!$A$1:$C$1,),))</f>
        <v/>
      </c>
      <c r="D600">
        <f>IFERROR(Table7[[#This Row],[United States 10y]]-Table7[[#This Row],[United States 3y]],#N/A)</f>
        <v/>
      </c>
    </row>
    <row r="601">
      <c r="A601" s="6">
        <f>Database!$A2686</f>
        <v/>
      </c>
      <c r="B601">
        <f>IF(VLOOKUP(Table7[[#This Row],[Date]],Database!$A:$C,MATCH($B$1,Database!$A$1:$C$1,),)=0,#N/A,VLOOKUP(Table7[[#This Row],[Date]],Database!$A:$C,MATCH($B$1,Database!$A$1:$C$1,),))</f>
        <v/>
      </c>
      <c r="C601">
        <f>IF(VLOOKUP(Table7[[#This Row],[Date]],Database!$A:$C,MATCH($C$1,Database!$A$1:$C$1,),)=0,#N/A,VLOOKUP(Table7[[#This Row],[Date]],Database!$A:$C,MATCH($C$1,Database!$A$1:$C$1,),))</f>
        <v/>
      </c>
      <c r="D601">
        <f>IFERROR(Table7[[#This Row],[United States 10y]]-Table7[[#This Row],[United States 3y]],#N/A)</f>
        <v/>
      </c>
    </row>
    <row r="602">
      <c r="A602" s="6">
        <f>Database!$A2687</f>
        <v/>
      </c>
      <c r="B602">
        <f>IF(VLOOKUP(Table7[[#This Row],[Date]],Database!$A:$C,MATCH($B$1,Database!$A$1:$C$1,),)=0,#N/A,VLOOKUP(Table7[[#This Row],[Date]],Database!$A:$C,MATCH($B$1,Database!$A$1:$C$1,),))</f>
        <v/>
      </c>
      <c r="C602">
        <f>IF(VLOOKUP(Table7[[#This Row],[Date]],Database!$A:$C,MATCH($C$1,Database!$A$1:$C$1,),)=0,#N/A,VLOOKUP(Table7[[#This Row],[Date]],Database!$A:$C,MATCH($C$1,Database!$A$1:$C$1,),))</f>
        <v/>
      </c>
      <c r="D602">
        <f>IFERROR(Table7[[#This Row],[United States 10y]]-Table7[[#This Row],[United States 3y]],#N/A)</f>
        <v/>
      </c>
    </row>
    <row r="603">
      <c r="A603" s="6">
        <f>Database!$A2688</f>
        <v/>
      </c>
      <c r="B603">
        <f>IF(VLOOKUP(Table7[[#This Row],[Date]],Database!$A:$C,MATCH($B$1,Database!$A$1:$C$1,),)=0,#N/A,VLOOKUP(Table7[[#This Row],[Date]],Database!$A:$C,MATCH($B$1,Database!$A$1:$C$1,),))</f>
        <v/>
      </c>
      <c r="C603">
        <f>IF(VLOOKUP(Table7[[#This Row],[Date]],Database!$A:$C,MATCH($C$1,Database!$A$1:$C$1,),)=0,#N/A,VLOOKUP(Table7[[#This Row],[Date]],Database!$A:$C,MATCH($C$1,Database!$A$1:$C$1,),))</f>
        <v/>
      </c>
      <c r="D603">
        <f>IFERROR(Table7[[#This Row],[United States 10y]]-Table7[[#This Row],[United States 3y]],#N/A)</f>
        <v/>
      </c>
    </row>
    <row r="604">
      <c r="A604" s="6">
        <f>Database!$A2689</f>
        <v/>
      </c>
      <c r="B604">
        <f>IF(VLOOKUP(Table7[[#This Row],[Date]],Database!$A:$C,MATCH($B$1,Database!$A$1:$C$1,),)=0,#N/A,VLOOKUP(Table7[[#This Row],[Date]],Database!$A:$C,MATCH($B$1,Database!$A$1:$C$1,),))</f>
        <v/>
      </c>
      <c r="C604">
        <f>IF(VLOOKUP(Table7[[#This Row],[Date]],Database!$A:$C,MATCH($C$1,Database!$A$1:$C$1,),)=0,#N/A,VLOOKUP(Table7[[#This Row],[Date]],Database!$A:$C,MATCH($C$1,Database!$A$1:$C$1,),))</f>
        <v/>
      </c>
      <c r="D604">
        <f>IFERROR(Table7[[#This Row],[United States 10y]]-Table7[[#This Row],[United States 3y]],#N/A)</f>
        <v/>
      </c>
    </row>
    <row r="605">
      <c r="A605" s="6">
        <f>Database!$A2690</f>
        <v/>
      </c>
      <c r="B605">
        <f>IF(VLOOKUP(Table7[[#This Row],[Date]],Database!$A:$C,MATCH($B$1,Database!$A$1:$C$1,),)=0,#N/A,VLOOKUP(Table7[[#This Row],[Date]],Database!$A:$C,MATCH($B$1,Database!$A$1:$C$1,),))</f>
        <v/>
      </c>
      <c r="C605">
        <f>IF(VLOOKUP(Table7[[#This Row],[Date]],Database!$A:$C,MATCH($C$1,Database!$A$1:$C$1,),)=0,#N/A,VLOOKUP(Table7[[#This Row],[Date]],Database!$A:$C,MATCH($C$1,Database!$A$1:$C$1,),))</f>
        <v/>
      </c>
      <c r="D605">
        <f>IFERROR(Table7[[#This Row],[United States 10y]]-Table7[[#This Row],[United States 3y]],#N/A)</f>
        <v/>
      </c>
    </row>
    <row r="606">
      <c r="A606" s="6">
        <f>Database!$A2691</f>
        <v/>
      </c>
      <c r="B606">
        <f>IF(VLOOKUP(Table7[[#This Row],[Date]],Database!$A:$C,MATCH($B$1,Database!$A$1:$C$1,),)=0,#N/A,VLOOKUP(Table7[[#This Row],[Date]],Database!$A:$C,MATCH($B$1,Database!$A$1:$C$1,),))</f>
        <v/>
      </c>
      <c r="C606">
        <f>IF(VLOOKUP(Table7[[#This Row],[Date]],Database!$A:$C,MATCH($C$1,Database!$A$1:$C$1,),)=0,#N/A,VLOOKUP(Table7[[#This Row],[Date]],Database!$A:$C,MATCH($C$1,Database!$A$1:$C$1,),))</f>
        <v/>
      </c>
      <c r="D606">
        <f>IFERROR(Table7[[#This Row],[United States 10y]]-Table7[[#This Row],[United States 3y]],#N/A)</f>
        <v/>
      </c>
    </row>
    <row r="607">
      <c r="A607" s="6">
        <f>Database!$A2692</f>
        <v/>
      </c>
      <c r="B607">
        <f>IF(VLOOKUP(Table7[[#This Row],[Date]],Database!$A:$C,MATCH($B$1,Database!$A$1:$C$1,),)=0,#N/A,VLOOKUP(Table7[[#This Row],[Date]],Database!$A:$C,MATCH($B$1,Database!$A$1:$C$1,),))</f>
        <v/>
      </c>
      <c r="C607">
        <f>IF(VLOOKUP(Table7[[#This Row],[Date]],Database!$A:$C,MATCH($C$1,Database!$A$1:$C$1,),)=0,#N/A,VLOOKUP(Table7[[#This Row],[Date]],Database!$A:$C,MATCH($C$1,Database!$A$1:$C$1,),))</f>
        <v/>
      </c>
      <c r="D607">
        <f>IFERROR(Table7[[#This Row],[United States 10y]]-Table7[[#This Row],[United States 3y]],#N/A)</f>
        <v/>
      </c>
    </row>
    <row r="608">
      <c r="A608" s="6">
        <f>Database!$A2693</f>
        <v/>
      </c>
      <c r="B608">
        <f>IF(VLOOKUP(Table7[[#This Row],[Date]],Database!$A:$C,MATCH($B$1,Database!$A$1:$C$1,),)=0,#N/A,VLOOKUP(Table7[[#This Row],[Date]],Database!$A:$C,MATCH($B$1,Database!$A$1:$C$1,),))</f>
        <v/>
      </c>
      <c r="C608">
        <f>IF(VLOOKUP(Table7[[#This Row],[Date]],Database!$A:$C,MATCH($C$1,Database!$A$1:$C$1,),)=0,#N/A,VLOOKUP(Table7[[#This Row],[Date]],Database!$A:$C,MATCH($C$1,Database!$A$1:$C$1,),))</f>
        <v/>
      </c>
      <c r="D608">
        <f>IFERROR(Table7[[#This Row],[United States 10y]]-Table7[[#This Row],[United States 3y]],#N/A)</f>
        <v/>
      </c>
    </row>
    <row r="609">
      <c r="A609" s="6">
        <f>Database!$A2694</f>
        <v/>
      </c>
      <c r="B609">
        <f>IF(VLOOKUP(Table7[[#This Row],[Date]],Database!$A:$C,MATCH($B$1,Database!$A$1:$C$1,),)=0,#N/A,VLOOKUP(Table7[[#This Row],[Date]],Database!$A:$C,MATCH($B$1,Database!$A$1:$C$1,),))</f>
        <v/>
      </c>
      <c r="C609">
        <f>IF(VLOOKUP(Table7[[#This Row],[Date]],Database!$A:$C,MATCH($C$1,Database!$A$1:$C$1,),)=0,#N/A,VLOOKUP(Table7[[#This Row],[Date]],Database!$A:$C,MATCH($C$1,Database!$A$1:$C$1,),))</f>
        <v/>
      </c>
      <c r="D609">
        <f>IFERROR(Table7[[#This Row],[United States 10y]]-Table7[[#This Row],[United States 3y]],#N/A)</f>
        <v/>
      </c>
    </row>
    <row r="610">
      <c r="A610" s="6">
        <f>Database!$A2695</f>
        <v/>
      </c>
      <c r="B610">
        <f>IF(VLOOKUP(Table7[[#This Row],[Date]],Database!$A:$C,MATCH($B$1,Database!$A$1:$C$1,),)=0,#N/A,VLOOKUP(Table7[[#This Row],[Date]],Database!$A:$C,MATCH($B$1,Database!$A$1:$C$1,),))</f>
        <v/>
      </c>
      <c r="C610">
        <f>IF(VLOOKUP(Table7[[#This Row],[Date]],Database!$A:$C,MATCH($C$1,Database!$A$1:$C$1,),)=0,#N/A,VLOOKUP(Table7[[#This Row],[Date]],Database!$A:$C,MATCH($C$1,Database!$A$1:$C$1,),))</f>
        <v/>
      </c>
      <c r="D610">
        <f>IFERROR(Table7[[#This Row],[United States 10y]]-Table7[[#This Row],[United States 3y]],#N/A)</f>
        <v/>
      </c>
    </row>
    <row r="611">
      <c r="A611" s="6">
        <f>Database!$A2696</f>
        <v/>
      </c>
      <c r="B611">
        <f>IF(VLOOKUP(Table7[[#This Row],[Date]],Database!$A:$C,MATCH($B$1,Database!$A$1:$C$1,),)=0,#N/A,VLOOKUP(Table7[[#This Row],[Date]],Database!$A:$C,MATCH($B$1,Database!$A$1:$C$1,),))</f>
        <v/>
      </c>
      <c r="C611">
        <f>IF(VLOOKUP(Table7[[#This Row],[Date]],Database!$A:$C,MATCH($C$1,Database!$A$1:$C$1,),)=0,#N/A,VLOOKUP(Table7[[#This Row],[Date]],Database!$A:$C,MATCH($C$1,Database!$A$1:$C$1,),))</f>
        <v/>
      </c>
      <c r="D611">
        <f>IFERROR(Table7[[#This Row],[United States 10y]]-Table7[[#This Row],[United States 3y]],#N/A)</f>
        <v/>
      </c>
    </row>
    <row r="612">
      <c r="A612" s="6">
        <f>Database!$A2697</f>
        <v/>
      </c>
      <c r="B612">
        <f>IF(VLOOKUP(Table7[[#This Row],[Date]],Database!$A:$C,MATCH($B$1,Database!$A$1:$C$1,),)=0,#N/A,VLOOKUP(Table7[[#This Row],[Date]],Database!$A:$C,MATCH($B$1,Database!$A$1:$C$1,),))</f>
        <v/>
      </c>
      <c r="C612">
        <f>IF(VLOOKUP(Table7[[#This Row],[Date]],Database!$A:$C,MATCH($C$1,Database!$A$1:$C$1,),)=0,#N/A,VLOOKUP(Table7[[#This Row],[Date]],Database!$A:$C,MATCH($C$1,Database!$A$1:$C$1,),))</f>
        <v/>
      </c>
      <c r="D612">
        <f>IFERROR(Table7[[#This Row],[United States 10y]]-Table7[[#This Row],[United States 3y]],#N/A)</f>
        <v/>
      </c>
    </row>
    <row r="613">
      <c r="A613" s="6">
        <f>Database!$A2698</f>
        <v/>
      </c>
      <c r="B613">
        <f>IF(VLOOKUP(Table7[[#This Row],[Date]],Database!$A:$C,MATCH($B$1,Database!$A$1:$C$1,),)=0,#N/A,VLOOKUP(Table7[[#This Row],[Date]],Database!$A:$C,MATCH($B$1,Database!$A$1:$C$1,),))</f>
        <v/>
      </c>
      <c r="C613">
        <f>IF(VLOOKUP(Table7[[#This Row],[Date]],Database!$A:$C,MATCH($C$1,Database!$A$1:$C$1,),)=0,#N/A,VLOOKUP(Table7[[#This Row],[Date]],Database!$A:$C,MATCH($C$1,Database!$A$1:$C$1,),))</f>
        <v/>
      </c>
      <c r="D613">
        <f>IFERROR(Table7[[#This Row],[United States 10y]]-Table7[[#This Row],[United States 3y]],#N/A)</f>
        <v/>
      </c>
    </row>
    <row r="614">
      <c r="A614" s="6">
        <f>Database!$A2699</f>
        <v/>
      </c>
      <c r="B614">
        <f>IF(VLOOKUP(Table7[[#This Row],[Date]],Database!$A:$C,MATCH($B$1,Database!$A$1:$C$1,),)=0,#N/A,VLOOKUP(Table7[[#This Row],[Date]],Database!$A:$C,MATCH($B$1,Database!$A$1:$C$1,),))</f>
        <v/>
      </c>
      <c r="C614">
        <f>IF(VLOOKUP(Table7[[#This Row],[Date]],Database!$A:$C,MATCH($C$1,Database!$A$1:$C$1,),)=0,#N/A,VLOOKUP(Table7[[#This Row],[Date]],Database!$A:$C,MATCH($C$1,Database!$A$1:$C$1,),))</f>
        <v/>
      </c>
      <c r="D614">
        <f>IFERROR(Table7[[#This Row],[United States 10y]]-Table7[[#This Row],[United States 3y]],#N/A)</f>
        <v/>
      </c>
    </row>
    <row r="615">
      <c r="A615" s="6">
        <f>Database!$A2700</f>
        <v/>
      </c>
      <c r="B615">
        <f>IF(VLOOKUP(Table7[[#This Row],[Date]],Database!$A:$C,MATCH($B$1,Database!$A$1:$C$1,),)=0,#N/A,VLOOKUP(Table7[[#This Row],[Date]],Database!$A:$C,MATCH($B$1,Database!$A$1:$C$1,),))</f>
        <v/>
      </c>
      <c r="C615">
        <f>IF(VLOOKUP(Table7[[#This Row],[Date]],Database!$A:$C,MATCH($C$1,Database!$A$1:$C$1,),)=0,#N/A,VLOOKUP(Table7[[#This Row],[Date]],Database!$A:$C,MATCH($C$1,Database!$A$1:$C$1,),))</f>
        <v/>
      </c>
      <c r="D615">
        <f>IFERROR(Table7[[#This Row],[United States 10y]]-Table7[[#This Row],[United States 3y]],#N/A)</f>
        <v/>
      </c>
    </row>
    <row r="616">
      <c r="A616" s="6">
        <f>Database!$A2701</f>
        <v/>
      </c>
      <c r="B616">
        <f>IF(VLOOKUP(Table7[[#This Row],[Date]],Database!$A:$C,MATCH($B$1,Database!$A$1:$C$1,),)=0,#N/A,VLOOKUP(Table7[[#This Row],[Date]],Database!$A:$C,MATCH($B$1,Database!$A$1:$C$1,),))</f>
        <v/>
      </c>
      <c r="C616">
        <f>IF(VLOOKUP(Table7[[#This Row],[Date]],Database!$A:$C,MATCH($C$1,Database!$A$1:$C$1,),)=0,#N/A,VLOOKUP(Table7[[#This Row],[Date]],Database!$A:$C,MATCH($C$1,Database!$A$1:$C$1,),))</f>
        <v/>
      </c>
      <c r="D616">
        <f>IFERROR(Table7[[#This Row],[United States 10y]]-Table7[[#This Row],[United States 3y]],#N/A)</f>
        <v/>
      </c>
    </row>
    <row r="617">
      <c r="A617" s="6">
        <f>Database!$A2702</f>
        <v/>
      </c>
      <c r="B617">
        <f>IF(VLOOKUP(Table7[[#This Row],[Date]],Database!$A:$C,MATCH($B$1,Database!$A$1:$C$1,),)=0,#N/A,VLOOKUP(Table7[[#This Row],[Date]],Database!$A:$C,MATCH($B$1,Database!$A$1:$C$1,),))</f>
        <v/>
      </c>
      <c r="C617">
        <f>IF(VLOOKUP(Table7[[#This Row],[Date]],Database!$A:$C,MATCH($C$1,Database!$A$1:$C$1,),)=0,#N/A,VLOOKUP(Table7[[#This Row],[Date]],Database!$A:$C,MATCH($C$1,Database!$A$1:$C$1,),))</f>
        <v/>
      </c>
      <c r="D617">
        <f>IFERROR(Table7[[#This Row],[United States 10y]]-Table7[[#This Row],[United States 3y]],#N/A)</f>
        <v/>
      </c>
    </row>
    <row r="618">
      <c r="A618" s="6">
        <f>Database!$A2703</f>
        <v/>
      </c>
      <c r="B618">
        <f>IF(VLOOKUP(Table7[[#This Row],[Date]],Database!$A:$C,MATCH($B$1,Database!$A$1:$C$1,),)=0,#N/A,VLOOKUP(Table7[[#This Row],[Date]],Database!$A:$C,MATCH($B$1,Database!$A$1:$C$1,),))</f>
        <v/>
      </c>
      <c r="C618">
        <f>IF(VLOOKUP(Table7[[#This Row],[Date]],Database!$A:$C,MATCH($C$1,Database!$A$1:$C$1,),)=0,#N/A,VLOOKUP(Table7[[#This Row],[Date]],Database!$A:$C,MATCH($C$1,Database!$A$1:$C$1,),))</f>
        <v/>
      </c>
      <c r="D618">
        <f>IFERROR(Table7[[#This Row],[United States 10y]]-Table7[[#This Row],[United States 3y]],#N/A)</f>
        <v/>
      </c>
    </row>
    <row r="619">
      <c r="A619" s="6">
        <f>Database!$A2704</f>
        <v/>
      </c>
      <c r="B619">
        <f>IF(VLOOKUP(Table7[[#This Row],[Date]],Database!$A:$C,MATCH($B$1,Database!$A$1:$C$1,),)=0,#N/A,VLOOKUP(Table7[[#This Row],[Date]],Database!$A:$C,MATCH($B$1,Database!$A$1:$C$1,),))</f>
        <v/>
      </c>
      <c r="C619">
        <f>IF(VLOOKUP(Table7[[#This Row],[Date]],Database!$A:$C,MATCH($C$1,Database!$A$1:$C$1,),)=0,#N/A,VLOOKUP(Table7[[#This Row],[Date]],Database!$A:$C,MATCH($C$1,Database!$A$1:$C$1,),))</f>
        <v/>
      </c>
      <c r="D619">
        <f>IFERROR(Table7[[#This Row],[United States 10y]]-Table7[[#This Row],[United States 3y]],#N/A)</f>
        <v/>
      </c>
    </row>
    <row r="620">
      <c r="A620" s="6">
        <f>Database!$A2705</f>
        <v/>
      </c>
      <c r="B620">
        <f>IF(VLOOKUP(Table7[[#This Row],[Date]],Database!$A:$C,MATCH($B$1,Database!$A$1:$C$1,),)=0,#N/A,VLOOKUP(Table7[[#This Row],[Date]],Database!$A:$C,MATCH($B$1,Database!$A$1:$C$1,),))</f>
        <v/>
      </c>
      <c r="C620">
        <f>IF(VLOOKUP(Table7[[#This Row],[Date]],Database!$A:$C,MATCH($C$1,Database!$A$1:$C$1,),)=0,#N/A,VLOOKUP(Table7[[#This Row],[Date]],Database!$A:$C,MATCH($C$1,Database!$A$1:$C$1,),))</f>
        <v/>
      </c>
      <c r="D620">
        <f>IFERROR(Table7[[#This Row],[United States 10y]]-Table7[[#This Row],[United States 3y]],#N/A)</f>
        <v/>
      </c>
    </row>
    <row r="621">
      <c r="A621" s="6">
        <f>Database!$A2706</f>
        <v/>
      </c>
      <c r="B621">
        <f>IF(VLOOKUP(Table7[[#This Row],[Date]],Database!$A:$C,MATCH($B$1,Database!$A$1:$C$1,),)=0,#N/A,VLOOKUP(Table7[[#This Row],[Date]],Database!$A:$C,MATCH($B$1,Database!$A$1:$C$1,),))</f>
        <v/>
      </c>
      <c r="C621">
        <f>IF(VLOOKUP(Table7[[#This Row],[Date]],Database!$A:$C,MATCH($C$1,Database!$A$1:$C$1,),)=0,#N/A,VLOOKUP(Table7[[#This Row],[Date]],Database!$A:$C,MATCH($C$1,Database!$A$1:$C$1,),))</f>
        <v/>
      </c>
      <c r="D621">
        <f>IFERROR(Table7[[#This Row],[United States 10y]]-Table7[[#This Row],[United States 3y]],#N/A)</f>
        <v/>
      </c>
    </row>
    <row r="622">
      <c r="A622" s="6">
        <f>Database!$A2707</f>
        <v/>
      </c>
      <c r="B622">
        <f>IF(VLOOKUP(Table7[[#This Row],[Date]],Database!$A:$C,MATCH($B$1,Database!$A$1:$C$1,),)=0,#N/A,VLOOKUP(Table7[[#This Row],[Date]],Database!$A:$C,MATCH($B$1,Database!$A$1:$C$1,),))</f>
        <v/>
      </c>
      <c r="C622">
        <f>IF(VLOOKUP(Table7[[#This Row],[Date]],Database!$A:$C,MATCH($C$1,Database!$A$1:$C$1,),)=0,#N/A,VLOOKUP(Table7[[#This Row],[Date]],Database!$A:$C,MATCH($C$1,Database!$A$1:$C$1,),))</f>
        <v/>
      </c>
      <c r="D622">
        <f>IFERROR(Table7[[#This Row],[United States 10y]]-Table7[[#This Row],[United States 3y]],#N/A)</f>
        <v/>
      </c>
    </row>
    <row r="623">
      <c r="A623" s="6">
        <f>Database!$A2708</f>
        <v/>
      </c>
      <c r="B623">
        <f>IF(VLOOKUP(Table7[[#This Row],[Date]],Database!$A:$C,MATCH($B$1,Database!$A$1:$C$1,),)=0,#N/A,VLOOKUP(Table7[[#This Row],[Date]],Database!$A:$C,MATCH($B$1,Database!$A$1:$C$1,),))</f>
        <v/>
      </c>
      <c r="C623">
        <f>IF(VLOOKUP(Table7[[#This Row],[Date]],Database!$A:$C,MATCH($C$1,Database!$A$1:$C$1,),)=0,#N/A,VLOOKUP(Table7[[#This Row],[Date]],Database!$A:$C,MATCH($C$1,Database!$A$1:$C$1,),))</f>
        <v/>
      </c>
      <c r="D623">
        <f>IFERROR(Table7[[#This Row],[United States 10y]]-Table7[[#This Row],[United States 3y]],#N/A)</f>
        <v/>
      </c>
    </row>
    <row r="624">
      <c r="A624" s="6">
        <f>Database!$A2709</f>
        <v/>
      </c>
      <c r="B624">
        <f>IF(VLOOKUP(Table7[[#This Row],[Date]],Database!$A:$C,MATCH($B$1,Database!$A$1:$C$1,),)=0,#N/A,VLOOKUP(Table7[[#This Row],[Date]],Database!$A:$C,MATCH($B$1,Database!$A$1:$C$1,),))</f>
        <v/>
      </c>
      <c r="C624">
        <f>IF(VLOOKUP(Table7[[#This Row],[Date]],Database!$A:$C,MATCH($C$1,Database!$A$1:$C$1,),)=0,#N/A,VLOOKUP(Table7[[#This Row],[Date]],Database!$A:$C,MATCH($C$1,Database!$A$1:$C$1,),))</f>
        <v/>
      </c>
      <c r="D624">
        <f>IFERROR(Table7[[#This Row],[United States 10y]]-Table7[[#This Row],[United States 3y]],#N/A)</f>
        <v/>
      </c>
    </row>
    <row r="625">
      <c r="A625" s="6">
        <f>Database!$A2710</f>
        <v/>
      </c>
      <c r="B625">
        <f>IF(VLOOKUP(Table7[[#This Row],[Date]],Database!$A:$C,MATCH($B$1,Database!$A$1:$C$1,),)=0,#N/A,VLOOKUP(Table7[[#This Row],[Date]],Database!$A:$C,MATCH($B$1,Database!$A$1:$C$1,),))</f>
        <v/>
      </c>
      <c r="C625">
        <f>IF(VLOOKUP(Table7[[#This Row],[Date]],Database!$A:$C,MATCH($C$1,Database!$A$1:$C$1,),)=0,#N/A,VLOOKUP(Table7[[#This Row],[Date]],Database!$A:$C,MATCH($C$1,Database!$A$1:$C$1,),))</f>
        <v/>
      </c>
      <c r="D625">
        <f>IFERROR(Table7[[#This Row],[United States 10y]]-Table7[[#This Row],[United States 3y]],#N/A)</f>
        <v/>
      </c>
    </row>
    <row r="626">
      <c r="A626" s="6">
        <f>Database!$A2711</f>
        <v/>
      </c>
      <c r="B626">
        <f>IF(VLOOKUP(Table7[[#This Row],[Date]],Database!$A:$C,MATCH($B$1,Database!$A$1:$C$1,),)=0,#N/A,VLOOKUP(Table7[[#This Row],[Date]],Database!$A:$C,MATCH($B$1,Database!$A$1:$C$1,),))</f>
        <v/>
      </c>
      <c r="C626">
        <f>IF(VLOOKUP(Table7[[#This Row],[Date]],Database!$A:$C,MATCH($C$1,Database!$A$1:$C$1,),)=0,#N/A,VLOOKUP(Table7[[#This Row],[Date]],Database!$A:$C,MATCH($C$1,Database!$A$1:$C$1,),))</f>
        <v/>
      </c>
      <c r="D626">
        <f>IFERROR(Table7[[#This Row],[United States 10y]]-Table7[[#This Row],[United States 3y]],#N/A)</f>
        <v/>
      </c>
    </row>
    <row r="627">
      <c r="A627" s="6">
        <f>Database!$A2712</f>
        <v/>
      </c>
      <c r="B627">
        <f>IF(VLOOKUP(Table7[[#This Row],[Date]],Database!$A:$C,MATCH($B$1,Database!$A$1:$C$1,),)=0,#N/A,VLOOKUP(Table7[[#This Row],[Date]],Database!$A:$C,MATCH($B$1,Database!$A$1:$C$1,),))</f>
        <v/>
      </c>
      <c r="C627">
        <f>IF(VLOOKUP(Table7[[#This Row],[Date]],Database!$A:$C,MATCH($C$1,Database!$A$1:$C$1,),)=0,#N/A,VLOOKUP(Table7[[#This Row],[Date]],Database!$A:$C,MATCH($C$1,Database!$A$1:$C$1,),))</f>
        <v/>
      </c>
      <c r="D627">
        <f>IFERROR(Table7[[#This Row],[United States 10y]]-Table7[[#This Row],[United States 3y]],#N/A)</f>
        <v/>
      </c>
    </row>
    <row r="628">
      <c r="A628" s="6">
        <f>Database!$A2713</f>
        <v/>
      </c>
      <c r="B628">
        <f>IF(VLOOKUP(Table7[[#This Row],[Date]],Database!$A:$C,MATCH($B$1,Database!$A$1:$C$1,),)=0,#N/A,VLOOKUP(Table7[[#This Row],[Date]],Database!$A:$C,MATCH($B$1,Database!$A$1:$C$1,),))</f>
        <v/>
      </c>
      <c r="C628">
        <f>IF(VLOOKUP(Table7[[#This Row],[Date]],Database!$A:$C,MATCH($C$1,Database!$A$1:$C$1,),)=0,#N/A,VLOOKUP(Table7[[#This Row],[Date]],Database!$A:$C,MATCH($C$1,Database!$A$1:$C$1,),))</f>
        <v/>
      </c>
      <c r="D628">
        <f>IFERROR(Table7[[#This Row],[United States 10y]]-Table7[[#This Row],[United States 3y]],#N/A)</f>
        <v/>
      </c>
    </row>
    <row r="629">
      <c r="A629" s="6">
        <f>Database!$A2714</f>
        <v/>
      </c>
      <c r="B629">
        <f>IF(VLOOKUP(Table7[[#This Row],[Date]],Database!$A:$C,MATCH($B$1,Database!$A$1:$C$1,),)=0,#N/A,VLOOKUP(Table7[[#This Row],[Date]],Database!$A:$C,MATCH($B$1,Database!$A$1:$C$1,),))</f>
        <v/>
      </c>
      <c r="C629">
        <f>IF(VLOOKUP(Table7[[#This Row],[Date]],Database!$A:$C,MATCH($C$1,Database!$A$1:$C$1,),)=0,#N/A,VLOOKUP(Table7[[#This Row],[Date]],Database!$A:$C,MATCH($C$1,Database!$A$1:$C$1,),))</f>
        <v/>
      </c>
      <c r="D629">
        <f>IFERROR(Table7[[#This Row],[United States 10y]]-Table7[[#This Row],[United States 3y]],#N/A)</f>
        <v/>
      </c>
    </row>
    <row r="630">
      <c r="A630" s="6">
        <f>Database!$A2715</f>
        <v/>
      </c>
      <c r="B630">
        <f>IF(VLOOKUP(Table7[[#This Row],[Date]],Database!$A:$C,MATCH($B$1,Database!$A$1:$C$1,),)=0,#N/A,VLOOKUP(Table7[[#This Row],[Date]],Database!$A:$C,MATCH($B$1,Database!$A$1:$C$1,),))</f>
        <v/>
      </c>
      <c r="C630">
        <f>IF(VLOOKUP(Table7[[#This Row],[Date]],Database!$A:$C,MATCH($C$1,Database!$A$1:$C$1,),)=0,#N/A,VLOOKUP(Table7[[#This Row],[Date]],Database!$A:$C,MATCH($C$1,Database!$A$1:$C$1,),))</f>
        <v/>
      </c>
      <c r="D630">
        <f>IFERROR(Table7[[#This Row],[United States 10y]]-Table7[[#This Row],[United States 3y]],#N/A)</f>
        <v/>
      </c>
    </row>
    <row r="631">
      <c r="A631" s="6">
        <f>Database!$A2716</f>
        <v/>
      </c>
      <c r="B631">
        <f>IF(VLOOKUP(Table7[[#This Row],[Date]],Database!$A:$C,MATCH($B$1,Database!$A$1:$C$1,),)=0,#N/A,VLOOKUP(Table7[[#This Row],[Date]],Database!$A:$C,MATCH($B$1,Database!$A$1:$C$1,),))</f>
        <v/>
      </c>
      <c r="C631">
        <f>IF(VLOOKUP(Table7[[#This Row],[Date]],Database!$A:$C,MATCH($C$1,Database!$A$1:$C$1,),)=0,#N/A,VLOOKUP(Table7[[#This Row],[Date]],Database!$A:$C,MATCH($C$1,Database!$A$1:$C$1,),))</f>
        <v/>
      </c>
      <c r="D631">
        <f>IFERROR(Table7[[#This Row],[United States 10y]]-Table7[[#This Row],[United States 3y]],#N/A)</f>
        <v/>
      </c>
    </row>
    <row r="632">
      <c r="A632" s="6">
        <f>Database!$A2717</f>
        <v/>
      </c>
      <c r="B632">
        <f>IF(VLOOKUP(Table7[[#This Row],[Date]],Database!$A:$C,MATCH($B$1,Database!$A$1:$C$1,),)=0,#N/A,VLOOKUP(Table7[[#This Row],[Date]],Database!$A:$C,MATCH($B$1,Database!$A$1:$C$1,),))</f>
        <v/>
      </c>
      <c r="C632">
        <f>IF(VLOOKUP(Table7[[#This Row],[Date]],Database!$A:$C,MATCH($C$1,Database!$A$1:$C$1,),)=0,#N/A,VLOOKUP(Table7[[#This Row],[Date]],Database!$A:$C,MATCH($C$1,Database!$A$1:$C$1,),))</f>
        <v/>
      </c>
      <c r="D632">
        <f>IFERROR(Table7[[#This Row],[United States 10y]]-Table7[[#This Row],[United States 3y]],#N/A)</f>
        <v/>
      </c>
    </row>
    <row r="633">
      <c r="A633" s="6">
        <f>Database!$A2718</f>
        <v/>
      </c>
      <c r="B633">
        <f>IF(VLOOKUP(Table7[[#This Row],[Date]],Database!$A:$C,MATCH($B$1,Database!$A$1:$C$1,),)=0,#N/A,VLOOKUP(Table7[[#This Row],[Date]],Database!$A:$C,MATCH($B$1,Database!$A$1:$C$1,),))</f>
        <v/>
      </c>
      <c r="C633">
        <f>IF(VLOOKUP(Table7[[#This Row],[Date]],Database!$A:$C,MATCH($C$1,Database!$A$1:$C$1,),)=0,#N/A,VLOOKUP(Table7[[#This Row],[Date]],Database!$A:$C,MATCH($C$1,Database!$A$1:$C$1,),))</f>
        <v/>
      </c>
      <c r="D633">
        <f>IFERROR(Table7[[#This Row],[United States 10y]]-Table7[[#This Row],[United States 3y]],#N/A)</f>
        <v/>
      </c>
    </row>
    <row r="634">
      <c r="A634" s="6">
        <f>Database!$A2719</f>
        <v/>
      </c>
      <c r="B634">
        <f>IF(VLOOKUP(Table7[[#This Row],[Date]],Database!$A:$C,MATCH($B$1,Database!$A$1:$C$1,),)=0,#N/A,VLOOKUP(Table7[[#This Row],[Date]],Database!$A:$C,MATCH($B$1,Database!$A$1:$C$1,),))</f>
        <v/>
      </c>
      <c r="C634">
        <f>IF(VLOOKUP(Table7[[#This Row],[Date]],Database!$A:$C,MATCH($C$1,Database!$A$1:$C$1,),)=0,#N/A,VLOOKUP(Table7[[#This Row],[Date]],Database!$A:$C,MATCH($C$1,Database!$A$1:$C$1,),))</f>
        <v/>
      </c>
      <c r="D634">
        <f>IFERROR(Table7[[#This Row],[United States 10y]]-Table7[[#This Row],[United States 3y]],#N/A)</f>
        <v/>
      </c>
    </row>
    <row r="635">
      <c r="A635" s="6">
        <f>Database!$A2720</f>
        <v/>
      </c>
      <c r="B635">
        <f>IF(VLOOKUP(Table7[[#This Row],[Date]],Database!$A:$C,MATCH($B$1,Database!$A$1:$C$1,),)=0,#N/A,VLOOKUP(Table7[[#This Row],[Date]],Database!$A:$C,MATCH($B$1,Database!$A$1:$C$1,),))</f>
        <v/>
      </c>
      <c r="C635">
        <f>IF(VLOOKUP(Table7[[#This Row],[Date]],Database!$A:$C,MATCH($C$1,Database!$A$1:$C$1,),)=0,#N/A,VLOOKUP(Table7[[#This Row],[Date]],Database!$A:$C,MATCH($C$1,Database!$A$1:$C$1,),))</f>
        <v/>
      </c>
      <c r="D635">
        <f>IFERROR(Table7[[#This Row],[United States 10y]]-Table7[[#This Row],[United States 3y]],#N/A)</f>
        <v/>
      </c>
    </row>
    <row r="636">
      <c r="A636" s="6">
        <f>Database!$A2721</f>
        <v/>
      </c>
      <c r="B636">
        <f>IF(VLOOKUP(Table7[[#This Row],[Date]],Database!$A:$C,MATCH($B$1,Database!$A$1:$C$1,),)=0,#N/A,VLOOKUP(Table7[[#This Row],[Date]],Database!$A:$C,MATCH($B$1,Database!$A$1:$C$1,),))</f>
        <v/>
      </c>
      <c r="C636">
        <f>IF(VLOOKUP(Table7[[#This Row],[Date]],Database!$A:$C,MATCH($C$1,Database!$A$1:$C$1,),)=0,#N/A,VLOOKUP(Table7[[#This Row],[Date]],Database!$A:$C,MATCH($C$1,Database!$A$1:$C$1,),))</f>
        <v/>
      </c>
      <c r="D636">
        <f>IFERROR(Table7[[#This Row],[United States 10y]]-Table7[[#This Row],[United States 3y]],#N/A)</f>
        <v/>
      </c>
    </row>
    <row r="637">
      <c r="A637" s="6">
        <f>Database!$A2722</f>
        <v/>
      </c>
      <c r="B637">
        <f>IF(VLOOKUP(Table7[[#This Row],[Date]],Database!$A:$C,MATCH($B$1,Database!$A$1:$C$1,),)=0,#N/A,VLOOKUP(Table7[[#This Row],[Date]],Database!$A:$C,MATCH($B$1,Database!$A$1:$C$1,),))</f>
        <v/>
      </c>
      <c r="C637">
        <f>IF(VLOOKUP(Table7[[#This Row],[Date]],Database!$A:$C,MATCH($C$1,Database!$A$1:$C$1,),)=0,#N/A,VLOOKUP(Table7[[#This Row],[Date]],Database!$A:$C,MATCH($C$1,Database!$A$1:$C$1,),))</f>
        <v/>
      </c>
      <c r="D637">
        <f>IFERROR(Table7[[#This Row],[United States 10y]]-Table7[[#This Row],[United States 3y]],#N/A)</f>
        <v/>
      </c>
    </row>
    <row r="638">
      <c r="A638" s="6">
        <f>Database!$A2723</f>
        <v/>
      </c>
      <c r="B638">
        <f>IF(VLOOKUP(Table7[[#This Row],[Date]],Database!$A:$C,MATCH($B$1,Database!$A$1:$C$1,),)=0,#N/A,VLOOKUP(Table7[[#This Row],[Date]],Database!$A:$C,MATCH($B$1,Database!$A$1:$C$1,),))</f>
        <v/>
      </c>
      <c r="C638">
        <f>IF(VLOOKUP(Table7[[#This Row],[Date]],Database!$A:$C,MATCH($C$1,Database!$A$1:$C$1,),)=0,#N/A,VLOOKUP(Table7[[#This Row],[Date]],Database!$A:$C,MATCH($C$1,Database!$A$1:$C$1,),))</f>
        <v/>
      </c>
      <c r="D638">
        <f>IFERROR(Table7[[#This Row],[United States 10y]]-Table7[[#This Row],[United States 3y]],#N/A)</f>
        <v/>
      </c>
    </row>
    <row r="639">
      <c r="A639" s="6">
        <f>Database!$A2724</f>
        <v/>
      </c>
      <c r="B639">
        <f>IF(VLOOKUP(Table7[[#This Row],[Date]],Database!$A:$C,MATCH($B$1,Database!$A$1:$C$1,),)=0,#N/A,VLOOKUP(Table7[[#This Row],[Date]],Database!$A:$C,MATCH($B$1,Database!$A$1:$C$1,),))</f>
        <v/>
      </c>
      <c r="C639">
        <f>IF(VLOOKUP(Table7[[#This Row],[Date]],Database!$A:$C,MATCH($C$1,Database!$A$1:$C$1,),)=0,#N/A,VLOOKUP(Table7[[#This Row],[Date]],Database!$A:$C,MATCH($C$1,Database!$A$1:$C$1,),))</f>
        <v/>
      </c>
      <c r="D639">
        <f>IFERROR(Table7[[#This Row],[United States 10y]]-Table7[[#This Row],[United States 3y]],#N/A)</f>
        <v/>
      </c>
    </row>
    <row r="640">
      <c r="A640" s="6">
        <f>Database!$A2725</f>
        <v/>
      </c>
      <c r="B640">
        <f>IF(VLOOKUP(Table7[[#This Row],[Date]],Database!$A:$C,MATCH($B$1,Database!$A$1:$C$1,),)=0,#N/A,VLOOKUP(Table7[[#This Row],[Date]],Database!$A:$C,MATCH($B$1,Database!$A$1:$C$1,),))</f>
        <v/>
      </c>
      <c r="C640">
        <f>IF(VLOOKUP(Table7[[#This Row],[Date]],Database!$A:$C,MATCH($C$1,Database!$A$1:$C$1,),)=0,#N/A,VLOOKUP(Table7[[#This Row],[Date]],Database!$A:$C,MATCH($C$1,Database!$A$1:$C$1,),))</f>
        <v/>
      </c>
      <c r="D640">
        <f>IFERROR(Table7[[#This Row],[United States 10y]]-Table7[[#This Row],[United States 3y]],#N/A)</f>
        <v/>
      </c>
    </row>
    <row r="641">
      <c r="A641" s="6">
        <f>Database!$A2726</f>
        <v/>
      </c>
      <c r="B641">
        <f>IF(VLOOKUP(Table7[[#This Row],[Date]],Database!$A:$C,MATCH($B$1,Database!$A$1:$C$1,),)=0,#N/A,VLOOKUP(Table7[[#This Row],[Date]],Database!$A:$C,MATCH($B$1,Database!$A$1:$C$1,),))</f>
        <v/>
      </c>
      <c r="C641">
        <f>IF(VLOOKUP(Table7[[#This Row],[Date]],Database!$A:$C,MATCH($C$1,Database!$A$1:$C$1,),)=0,#N/A,VLOOKUP(Table7[[#This Row],[Date]],Database!$A:$C,MATCH($C$1,Database!$A$1:$C$1,),))</f>
        <v/>
      </c>
      <c r="D641">
        <f>IFERROR(Table7[[#This Row],[United States 10y]]-Table7[[#This Row],[United States 3y]],#N/A)</f>
        <v/>
      </c>
    </row>
    <row r="642">
      <c r="A642" s="6">
        <f>Database!$A2727</f>
        <v/>
      </c>
      <c r="B642">
        <f>IF(VLOOKUP(Table7[[#This Row],[Date]],Database!$A:$C,MATCH($B$1,Database!$A$1:$C$1,),)=0,#N/A,VLOOKUP(Table7[[#This Row],[Date]],Database!$A:$C,MATCH($B$1,Database!$A$1:$C$1,),))</f>
        <v/>
      </c>
      <c r="C642">
        <f>IF(VLOOKUP(Table7[[#This Row],[Date]],Database!$A:$C,MATCH($C$1,Database!$A$1:$C$1,),)=0,#N/A,VLOOKUP(Table7[[#This Row],[Date]],Database!$A:$C,MATCH($C$1,Database!$A$1:$C$1,),))</f>
        <v/>
      </c>
      <c r="D642">
        <f>IFERROR(Table7[[#This Row],[United States 10y]]-Table7[[#This Row],[United States 3y]],#N/A)</f>
        <v/>
      </c>
    </row>
    <row r="643">
      <c r="A643" s="6">
        <f>Database!$A2728</f>
        <v/>
      </c>
      <c r="B643">
        <f>IF(VLOOKUP(Table7[[#This Row],[Date]],Database!$A:$C,MATCH($B$1,Database!$A$1:$C$1,),)=0,#N/A,VLOOKUP(Table7[[#This Row],[Date]],Database!$A:$C,MATCH($B$1,Database!$A$1:$C$1,),))</f>
        <v/>
      </c>
      <c r="C643">
        <f>IF(VLOOKUP(Table7[[#This Row],[Date]],Database!$A:$C,MATCH($C$1,Database!$A$1:$C$1,),)=0,#N/A,VLOOKUP(Table7[[#This Row],[Date]],Database!$A:$C,MATCH($C$1,Database!$A$1:$C$1,),))</f>
        <v/>
      </c>
      <c r="D643">
        <f>IFERROR(Table7[[#This Row],[United States 10y]]-Table7[[#This Row],[United States 3y]],#N/A)</f>
        <v/>
      </c>
    </row>
    <row r="644">
      <c r="A644" s="6">
        <f>Database!$A2729</f>
        <v/>
      </c>
      <c r="B644">
        <f>IF(VLOOKUP(Table7[[#This Row],[Date]],Database!$A:$C,MATCH($B$1,Database!$A$1:$C$1,),)=0,#N/A,VLOOKUP(Table7[[#This Row],[Date]],Database!$A:$C,MATCH($B$1,Database!$A$1:$C$1,),))</f>
        <v/>
      </c>
      <c r="C644">
        <f>IF(VLOOKUP(Table7[[#This Row],[Date]],Database!$A:$C,MATCH($C$1,Database!$A$1:$C$1,),)=0,#N/A,VLOOKUP(Table7[[#This Row],[Date]],Database!$A:$C,MATCH($C$1,Database!$A$1:$C$1,),))</f>
        <v/>
      </c>
      <c r="D644">
        <f>IFERROR(Table7[[#This Row],[United States 10y]]-Table7[[#This Row],[United States 3y]],#N/A)</f>
        <v/>
      </c>
    </row>
    <row r="645">
      <c r="A645" s="6">
        <f>Database!$A2730</f>
        <v/>
      </c>
      <c r="B645">
        <f>IF(VLOOKUP(Table7[[#This Row],[Date]],Database!$A:$C,MATCH($B$1,Database!$A$1:$C$1,),)=0,#N/A,VLOOKUP(Table7[[#This Row],[Date]],Database!$A:$C,MATCH($B$1,Database!$A$1:$C$1,),))</f>
        <v/>
      </c>
      <c r="C645">
        <f>IF(VLOOKUP(Table7[[#This Row],[Date]],Database!$A:$C,MATCH($C$1,Database!$A$1:$C$1,),)=0,#N/A,VLOOKUP(Table7[[#This Row],[Date]],Database!$A:$C,MATCH($C$1,Database!$A$1:$C$1,),))</f>
        <v/>
      </c>
      <c r="D645">
        <f>IFERROR(Table7[[#This Row],[United States 10y]]-Table7[[#This Row],[United States 3y]],#N/A)</f>
        <v/>
      </c>
    </row>
    <row r="646">
      <c r="A646" s="6">
        <f>Database!$A2731</f>
        <v/>
      </c>
      <c r="B646">
        <f>IF(VLOOKUP(Table7[[#This Row],[Date]],Database!$A:$C,MATCH($B$1,Database!$A$1:$C$1,),)=0,#N/A,VLOOKUP(Table7[[#This Row],[Date]],Database!$A:$C,MATCH($B$1,Database!$A$1:$C$1,),))</f>
        <v/>
      </c>
      <c r="C646">
        <f>IF(VLOOKUP(Table7[[#This Row],[Date]],Database!$A:$C,MATCH($C$1,Database!$A$1:$C$1,),)=0,#N/A,VLOOKUP(Table7[[#This Row],[Date]],Database!$A:$C,MATCH($C$1,Database!$A$1:$C$1,),))</f>
        <v/>
      </c>
      <c r="D646">
        <f>IFERROR(Table7[[#This Row],[United States 10y]]-Table7[[#This Row],[United States 3y]],#N/A)</f>
        <v/>
      </c>
    </row>
    <row r="647">
      <c r="A647" s="6">
        <f>Database!$A2732</f>
        <v/>
      </c>
      <c r="B647">
        <f>IF(VLOOKUP(Table7[[#This Row],[Date]],Database!$A:$C,MATCH($B$1,Database!$A$1:$C$1,),)=0,#N/A,VLOOKUP(Table7[[#This Row],[Date]],Database!$A:$C,MATCH($B$1,Database!$A$1:$C$1,),))</f>
        <v/>
      </c>
      <c r="C647">
        <f>IF(VLOOKUP(Table7[[#This Row],[Date]],Database!$A:$C,MATCH($C$1,Database!$A$1:$C$1,),)=0,#N/A,VLOOKUP(Table7[[#This Row],[Date]],Database!$A:$C,MATCH($C$1,Database!$A$1:$C$1,),))</f>
        <v/>
      </c>
      <c r="D647">
        <f>IFERROR(Table7[[#This Row],[United States 10y]]-Table7[[#This Row],[United States 3y]],#N/A)</f>
        <v/>
      </c>
    </row>
    <row r="648">
      <c r="A648" s="6">
        <f>Database!$A2733</f>
        <v/>
      </c>
      <c r="B648">
        <f>IF(VLOOKUP(Table7[[#This Row],[Date]],Database!$A:$C,MATCH($B$1,Database!$A$1:$C$1,),)=0,#N/A,VLOOKUP(Table7[[#This Row],[Date]],Database!$A:$C,MATCH($B$1,Database!$A$1:$C$1,),))</f>
        <v/>
      </c>
      <c r="C648">
        <f>IF(VLOOKUP(Table7[[#This Row],[Date]],Database!$A:$C,MATCH($C$1,Database!$A$1:$C$1,),)=0,#N/A,VLOOKUP(Table7[[#This Row],[Date]],Database!$A:$C,MATCH($C$1,Database!$A$1:$C$1,),))</f>
        <v/>
      </c>
      <c r="D648">
        <f>IFERROR(Table7[[#This Row],[United States 10y]]-Table7[[#This Row],[United States 3y]],#N/A)</f>
        <v/>
      </c>
    </row>
    <row r="649">
      <c r="A649" s="6">
        <f>Database!$A2734</f>
        <v/>
      </c>
      <c r="B649">
        <f>IF(VLOOKUP(Table7[[#This Row],[Date]],Database!$A:$C,MATCH($B$1,Database!$A$1:$C$1,),)=0,#N/A,VLOOKUP(Table7[[#This Row],[Date]],Database!$A:$C,MATCH($B$1,Database!$A$1:$C$1,),))</f>
        <v/>
      </c>
      <c r="C649">
        <f>IF(VLOOKUP(Table7[[#This Row],[Date]],Database!$A:$C,MATCH($C$1,Database!$A$1:$C$1,),)=0,#N/A,VLOOKUP(Table7[[#This Row],[Date]],Database!$A:$C,MATCH($C$1,Database!$A$1:$C$1,),))</f>
        <v/>
      </c>
      <c r="D649">
        <f>IFERROR(Table7[[#This Row],[United States 10y]]-Table7[[#This Row],[United States 3y]],#N/A)</f>
        <v/>
      </c>
    </row>
    <row r="650">
      <c r="A650" s="6">
        <f>Database!$A2735</f>
        <v/>
      </c>
      <c r="B650">
        <f>IF(VLOOKUP(Table7[[#This Row],[Date]],Database!$A:$C,MATCH($B$1,Database!$A$1:$C$1,),)=0,#N/A,VLOOKUP(Table7[[#This Row],[Date]],Database!$A:$C,MATCH($B$1,Database!$A$1:$C$1,),))</f>
        <v/>
      </c>
      <c r="C650">
        <f>IF(VLOOKUP(Table7[[#This Row],[Date]],Database!$A:$C,MATCH($C$1,Database!$A$1:$C$1,),)=0,#N/A,VLOOKUP(Table7[[#This Row],[Date]],Database!$A:$C,MATCH($C$1,Database!$A$1:$C$1,),))</f>
        <v/>
      </c>
      <c r="D650">
        <f>IFERROR(Table7[[#This Row],[United States 10y]]-Table7[[#This Row],[United States 3y]],#N/A)</f>
        <v/>
      </c>
    </row>
    <row r="651">
      <c r="A651" s="6">
        <f>Database!$A2736</f>
        <v/>
      </c>
      <c r="B651">
        <f>IF(VLOOKUP(Table7[[#This Row],[Date]],Database!$A:$C,MATCH($B$1,Database!$A$1:$C$1,),)=0,#N/A,VLOOKUP(Table7[[#This Row],[Date]],Database!$A:$C,MATCH($B$1,Database!$A$1:$C$1,),))</f>
        <v/>
      </c>
      <c r="C651">
        <f>IF(VLOOKUP(Table7[[#This Row],[Date]],Database!$A:$C,MATCH($C$1,Database!$A$1:$C$1,),)=0,#N/A,VLOOKUP(Table7[[#This Row],[Date]],Database!$A:$C,MATCH($C$1,Database!$A$1:$C$1,),))</f>
        <v/>
      </c>
      <c r="D651">
        <f>IFERROR(Table7[[#This Row],[United States 10y]]-Table7[[#This Row],[United States 3y]],#N/A)</f>
        <v/>
      </c>
    </row>
    <row r="652">
      <c r="A652" s="6">
        <f>Database!$A2737</f>
        <v/>
      </c>
      <c r="B652">
        <f>IF(VLOOKUP(Table7[[#This Row],[Date]],Database!$A:$C,MATCH($B$1,Database!$A$1:$C$1,),)=0,#N/A,VLOOKUP(Table7[[#This Row],[Date]],Database!$A:$C,MATCH($B$1,Database!$A$1:$C$1,),))</f>
        <v/>
      </c>
      <c r="C652">
        <f>IF(VLOOKUP(Table7[[#This Row],[Date]],Database!$A:$C,MATCH($C$1,Database!$A$1:$C$1,),)=0,#N/A,VLOOKUP(Table7[[#This Row],[Date]],Database!$A:$C,MATCH($C$1,Database!$A$1:$C$1,),))</f>
        <v/>
      </c>
      <c r="D652">
        <f>IFERROR(Table7[[#This Row],[United States 10y]]-Table7[[#This Row],[United States 3y]],#N/A)</f>
        <v/>
      </c>
    </row>
    <row r="653">
      <c r="A653" s="6">
        <f>Database!$A2738</f>
        <v/>
      </c>
      <c r="B653">
        <f>IF(VLOOKUP(Table7[[#This Row],[Date]],Database!$A:$C,MATCH($B$1,Database!$A$1:$C$1,),)=0,#N/A,VLOOKUP(Table7[[#This Row],[Date]],Database!$A:$C,MATCH($B$1,Database!$A$1:$C$1,),))</f>
        <v/>
      </c>
      <c r="C653">
        <f>IF(VLOOKUP(Table7[[#This Row],[Date]],Database!$A:$C,MATCH($C$1,Database!$A$1:$C$1,),)=0,#N/A,VLOOKUP(Table7[[#This Row],[Date]],Database!$A:$C,MATCH($C$1,Database!$A$1:$C$1,),))</f>
        <v/>
      </c>
      <c r="D653">
        <f>IFERROR(Table7[[#This Row],[United States 10y]]-Table7[[#This Row],[United States 3y]],#N/A)</f>
        <v/>
      </c>
    </row>
    <row r="654">
      <c r="A654" s="6">
        <f>Database!$A2739</f>
        <v/>
      </c>
      <c r="B654">
        <f>IF(VLOOKUP(Table7[[#This Row],[Date]],Database!$A:$C,MATCH($B$1,Database!$A$1:$C$1,),)=0,#N/A,VLOOKUP(Table7[[#This Row],[Date]],Database!$A:$C,MATCH($B$1,Database!$A$1:$C$1,),))</f>
        <v/>
      </c>
      <c r="C654">
        <f>IF(VLOOKUP(Table7[[#This Row],[Date]],Database!$A:$C,MATCH($C$1,Database!$A$1:$C$1,),)=0,#N/A,VLOOKUP(Table7[[#This Row],[Date]],Database!$A:$C,MATCH($C$1,Database!$A$1:$C$1,),))</f>
        <v/>
      </c>
      <c r="D654">
        <f>IFERROR(Table7[[#This Row],[United States 10y]]-Table7[[#This Row],[United States 3y]],#N/A)</f>
        <v/>
      </c>
    </row>
    <row r="655">
      <c r="A655" s="6">
        <f>Database!$A2740</f>
        <v/>
      </c>
      <c r="B655">
        <f>IF(VLOOKUP(Table7[[#This Row],[Date]],Database!$A:$C,MATCH($B$1,Database!$A$1:$C$1,),)=0,#N/A,VLOOKUP(Table7[[#This Row],[Date]],Database!$A:$C,MATCH($B$1,Database!$A$1:$C$1,),))</f>
        <v/>
      </c>
      <c r="C655">
        <f>IF(VLOOKUP(Table7[[#This Row],[Date]],Database!$A:$C,MATCH($C$1,Database!$A$1:$C$1,),)=0,#N/A,VLOOKUP(Table7[[#This Row],[Date]],Database!$A:$C,MATCH($C$1,Database!$A$1:$C$1,),))</f>
        <v/>
      </c>
      <c r="D655">
        <f>IFERROR(Table7[[#This Row],[United States 10y]]-Table7[[#This Row],[United States 3y]],#N/A)</f>
        <v/>
      </c>
    </row>
    <row r="656">
      <c r="A656" s="6">
        <f>Database!$A2741</f>
        <v/>
      </c>
      <c r="B656">
        <f>IF(VLOOKUP(Table7[[#This Row],[Date]],Database!$A:$C,MATCH($B$1,Database!$A$1:$C$1,),)=0,#N/A,VLOOKUP(Table7[[#This Row],[Date]],Database!$A:$C,MATCH($B$1,Database!$A$1:$C$1,),))</f>
        <v/>
      </c>
      <c r="C656">
        <f>IF(VLOOKUP(Table7[[#This Row],[Date]],Database!$A:$C,MATCH($C$1,Database!$A$1:$C$1,),)=0,#N/A,VLOOKUP(Table7[[#This Row],[Date]],Database!$A:$C,MATCH($C$1,Database!$A$1:$C$1,),))</f>
        <v/>
      </c>
      <c r="D656">
        <f>IFERROR(Table7[[#This Row],[United States 10y]]-Table7[[#This Row],[United States 3y]],#N/A)</f>
        <v/>
      </c>
    </row>
    <row r="657">
      <c r="A657" s="6">
        <f>Database!$A2742</f>
        <v/>
      </c>
      <c r="B657">
        <f>IF(VLOOKUP(Table7[[#This Row],[Date]],Database!$A:$C,MATCH($B$1,Database!$A$1:$C$1,),)=0,#N/A,VLOOKUP(Table7[[#This Row],[Date]],Database!$A:$C,MATCH($B$1,Database!$A$1:$C$1,),))</f>
        <v/>
      </c>
      <c r="C657">
        <f>IF(VLOOKUP(Table7[[#This Row],[Date]],Database!$A:$C,MATCH($C$1,Database!$A$1:$C$1,),)=0,#N/A,VLOOKUP(Table7[[#This Row],[Date]],Database!$A:$C,MATCH($C$1,Database!$A$1:$C$1,),))</f>
        <v/>
      </c>
      <c r="D657">
        <f>IFERROR(Table7[[#This Row],[United States 10y]]-Table7[[#This Row],[United States 3y]],#N/A)</f>
        <v/>
      </c>
    </row>
    <row r="658">
      <c r="A658" s="6">
        <f>Database!$A2743</f>
        <v/>
      </c>
      <c r="B658">
        <f>IF(VLOOKUP(Table7[[#This Row],[Date]],Database!$A:$C,MATCH($B$1,Database!$A$1:$C$1,),)=0,#N/A,VLOOKUP(Table7[[#This Row],[Date]],Database!$A:$C,MATCH($B$1,Database!$A$1:$C$1,),))</f>
        <v/>
      </c>
      <c r="C658">
        <f>IF(VLOOKUP(Table7[[#This Row],[Date]],Database!$A:$C,MATCH($C$1,Database!$A$1:$C$1,),)=0,#N/A,VLOOKUP(Table7[[#This Row],[Date]],Database!$A:$C,MATCH($C$1,Database!$A$1:$C$1,),))</f>
        <v/>
      </c>
      <c r="D658">
        <f>IFERROR(Table7[[#This Row],[United States 10y]]-Table7[[#This Row],[United States 3y]],#N/A)</f>
        <v/>
      </c>
    </row>
    <row r="659">
      <c r="A659" s="6">
        <f>Database!$A2744</f>
        <v/>
      </c>
      <c r="B659">
        <f>IF(VLOOKUP(Table7[[#This Row],[Date]],Database!$A:$C,MATCH($B$1,Database!$A$1:$C$1,),)=0,#N/A,VLOOKUP(Table7[[#This Row],[Date]],Database!$A:$C,MATCH($B$1,Database!$A$1:$C$1,),))</f>
        <v/>
      </c>
      <c r="C659">
        <f>IF(VLOOKUP(Table7[[#This Row],[Date]],Database!$A:$C,MATCH($C$1,Database!$A$1:$C$1,),)=0,#N/A,VLOOKUP(Table7[[#This Row],[Date]],Database!$A:$C,MATCH($C$1,Database!$A$1:$C$1,),))</f>
        <v/>
      </c>
      <c r="D659">
        <f>IFERROR(Table7[[#This Row],[United States 10y]]-Table7[[#This Row],[United States 3y]],#N/A)</f>
        <v/>
      </c>
    </row>
    <row r="660">
      <c r="A660" s="6">
        <f>Database!$A2745</f>
        <v/>
      </c>
      <c r="B660">
        <f>IF(VLOOKUP(Table7[[#This Row],[Date]],Database!$A:$C,MATCH($B$1,Database!$A$1:$C$1,),)=0,#N/A,VLOOKUP(Table7[[#This Row],[Date]],Database!$A:$C,MATCH($B$1,Database!$A$1:$C$1,),))</f>
        <v/>
      </c>
      <c r="C660">
        <f>IF(VLOOKUP(Table7[[#This Row],[Date]],Database!$A:$C,MATCH($C$1,Database!$A$1:$C$1,),)=0,#N/A,VLOOKUP(Table7[[#This Row],[Date]],Database!$A:$C,MATCH($C$1,Database!$A$1:$C$1,),))</f>
        <v/>
      </c>
      <c r="D660">
        <f>IFERROR(Table7[[#This Row],[United States 10y]]-Table7[[#This Row],[United States 3y]],#N/A)</f>
        <v/>
      </c>
    </row>
    <row r="661">
      <c r="A661" s="6">
        <f>Database!$A2746</f>
        <v/>
      </c>
      <c r="B661">
        <f>IF(VLOOKUP(Table7[[#This Row],[Date]],Database!$A:$C,MATCH($B$1,Database!$A$1:$C$1,),)=0,#N/A,VLOOKUP(Table7[[#This Row],[Date]],Database!$A:$C,MATCH($B$1,Database!$A$1:$C$1,),))</f>
        <v/>
      </c>
      <c r="C661">
        <f>IF(VLOOKUP(Table7[[#This Row],[Date]],Database!$A:$C,MATCH($C$1,Database!$A$1:$C$1,),)=0,#N/A,VLOOKUP(Table7[[#This Row],[Date]],Database!$A:$C,MATCH($C$1,Database!$A$1:$C$1,),))</f>
        <v/>
      </c>
      <c r="D661">
        <f>IFERROR(Table7[[#This Row],[United States 10y]]-Table7[[#This Row],[United States 3y]],#N/A)</f>
        <v/>
      </c>
    </row>
    <row r="662">
      <c r="A662" s="6">
        <f>Database!$A2747</f>
        <v/>
      </c>
      <c r="B662">
        <f>IF(VLOOKUP(Table7[[#This Row],[Date]],Database!$A:$C,MATCH($B$1,Database!$A$1:$C$1,),)=0,#N/A,VLOOKUP(Table7[[#This Row],[Date]],Database!$A:$C,MATCH($B$1,Database!$A$1:$C$1,),))</f>
        <v/>
      </c>
      <c r="C662">
        <f>IF(VLOOKUP(Table7[[#This Row],[Date]],Database!$A:$C,MATCH($C$1,Database!$A$1:$C$1,),)=0,#N/A,VLOOKUP(Table7[[#This Row],[Date]],Database!$A:$C,MATCH($C$1,Database!$A$1:$C$1,),))</f>
        <v/>
      </c>
      <c r="D662">
        <f>IFERROR(Table7[[#This Row],[United States 10y]]-Table7[[#This Row],[United States 3y]],#N/A)</f>
        <v/>
      </c>
    </row>
    <row r="663">
      <c r="A663" s="6">
        <f>Database!$A2748</f>
        <v/>
      </c>
      <c r="B663">
        <f>IF(VLOOKUP(Table7[[#This Row],[Date]],Database!$A:$C,MATCH($B$1,Database!$A$1:$C$1,),)=0,#N/A,VLOOKUP(Table7[[#This Row],[Date]],Database!$A:$C,MATCH($B$1,Database!$A$1:$C$1,),))</f>
        <v/>
      </c>
      <c r="C663">
        <f>IF(VLOOKUP(Table7[[#This Row],[Date]],Database!$A:$C,MATCH($C$1,Database!$A$1:$C$1,),)=0,#N/A,VLOOKUP(Table7[[#This Row],[Date]],Database!$A:$C,MATCH($C$1,Database!$A$1:$C$1,),))</f>
        <v/>
      </c>
      <c r="D663">
        <f>IFERROR(Table7[[#This Row],[United States 10y]]-Table7[[#This Row],[United States 3y]],#N/A)</f>
        <v/>
      </c>
    </row>
    <row r="664">
      <c r="A664" s="6">
        <f>Database!$A2749</f>
        <v/>
      </c>
      <c r="B664">
        <f>IF(VLOOKUP(Table7[[#This Row],[Date]],Database!$A:$C,MATCH($B$1,Database!$A$1:$C$1,),)=0,#N/A,VLOOKUP(Table7[[#This Row],[Date]],Database!$A:$C,MATCH($B$1,Database!$A$1:$C$1,),))</f>
        <v/>
      </c>
      <c r="C664">
        <f>IF(VLOOKUP(Table7[[#This Row],[Date]],Database!$A:$C,MATCH($C$1,Database!$A$1:$C$1,),)=0,#N/A,VLOOKUP(Table7[[#This Row],[Date]],Database!$A:$C,MATCH($C$1,Database!$A$1:$C$1,),))</f>
        <v/>
      </c>
      <c r="D664">
        <f>IFERROR(Table7[[#This Row],[United States 10y]]-Table7[[#This Row],[United States 3y]],#N/A)</f>
        <v/>
      </c>
    </row>
    <row r="665">
      <c r="A665" s="6">
        <f>Database!$A2750</f>
        <v/>
      </c>
      <c r="B665">
        <f>IF(VLOOKUP(Table7[[#This Row],[Date]],Database!$A:$C,MATCH($B$1,Database!$A$1:$C$1,),)=0,#N/A,VLOOKUP(Table7[[#This Row],[Date]],Database!$A:$C,MATCH($B$1,Database!$A$1:$C$1,),))</f>
        <v/>
      </c>
      <c r="C665">
        <f>IF(VLOOKUP(Table7[[#This Row],[Date]],Database!$A:$C,MATCH($C$1,Database!$A$1:$C$1,),)=0,#N/A,VLOOKUP(Table7[[#This Row],[Date]],Database!$A:$C,MATCH($C$1,Database!$A$1:$C$1,),))</f>
        <v/>
      </c>
      <c r="D665">
        <f>IFERROR(Table7[[#This Row],[United States 10y]]-Table7[[#This Row],[United States 3y]],#N/A)</f>
        <v/>
      </c>
    </row>
    <row r="666">
      <c r="A666" s="6">
        <f>Database!$A2751</f>
        <v/>
      </c>
      <c r="B666">
        <f>IF(VLOOKUP(Table7[[#This Row],[Date]],Database!$A:$C,MATCH($B$1,Database!$A$1:$C$1,),)=0,#N/A,VLOOKUP(Table7[[#This Row],[Date]],Database!$A:$C,MATCH($B$1,Database!$A$1:$C$1,),))</f>
        <v/>
      </c>
      <c r="C666">
        <f>IF(VLOOKUP(Table7[[#This Row],[Date]],Database!$A:$C,MATCH($C$1,Database!$A$1:$C$1,),)=0,#N/A,VLOOKUP(Table7[[#This Row],[Date]],Database!$A:$C,MATCH($C$1,Database!$A$1:$C$1,),))</f>
        <v/>
      </c>
      <c r="D666">
        <f>IFERROR(Table7[[#This Row],[United States 10y]]-Table7[[#This Row],[United States 3y]],#N/A)</f>
        <v/>
      </c>
    </row>
    <row r="667">
      <c r="A667" s="6">
        <f>Database!$A2752</f>
        <v/>
      </c>
      <c r="B667">
        <f>IF(VLOOKUP(Table7[[#This Row],[Date]],Database!$A:$C,MATCH($B$1,Database!$A$1:$C$1,),)=0,#N/A,VLOOKUP(Table7[[#This Row],[Date]],Database!$A:$C,MATCH($B$1,Database!$A$1:$C$1,),))</f>
        <v/>
      </c>
      <c r="C667">
        <f>IF(VLOOKUP(Table7[[#This Row],[Date]],Database!$A:$C,MATCH($C$1,Database!$A$1:$C$1,),)=0,#N/A,VLOOKUP(Table7[[#This Row],[Date]],Database!$A:$C,MATCH($C$1,Database!$A$1:$C$1,),))</f>
        <v/>
      </c>
      <c r="D667">
        <f>IFERROR(Table7[[#This Row],[United States 10y]]-Table7[[#This Row],[United States 3y]],#N/A)</f>
        <v/>
      </c>
    </row>
    <row r="668">
      <c r="A668" s="6">
        <f>Database!$A2753</f>
        <v/>
      </c>
      <c r="B668">
        <f>IF(VLOOKUP(Table7[[#This Row],[Date]],Database!$A:$C,MATCH($B$1,Database!$A$1:$C$1,),)=0,#N/A,VLOOKUP(Table7[[#This Row],[Date]],Database!$A:$C,MATCH($B$1,Database!$A$1:$C$1,),))</f>
        <v/>
      </c>
      <c r="C668">
        <f>IF(VLOOKUP(Table7[[#This Row],[Date]],Database!$A:$C,MATCH($C$1,Database!$A$1:$C$1,),)=0,#N/A,VLOOKUP(Table7[[#This Row],[Date]],Database!$A:$C,MATCH($C$1,Database!$A$1:$C$1,),))</f>
        <v/>
      </c>
      <c r="D668">
        <f>IFERROR(Table7[[#This Row],[United States 10y]]-Table7[[#This Row],[United States 3y]],#N/A)</f>
        <v/>
      </c>
    </row>
    <row r="669">
      <c r="A669" s="6">
        <f>Database!$A2754</f>
        <v/>
      </c>
      <c r="B669">
        <f>IF(VLOOKUP(Table7[[#This Row],[Date]],Database!$A:$C,MATCH($B$1,Database!$A$1:$C$1,),)=0,#N/A,VLOOKUP(Table7[[#This Row],[Date]],Database!$A:$C,MATCH($B$1,Database!$A$1:$C$1,),))</f>
        <v/>
      </c>
      <c r="C669">
        <f>IF(VLOOKUP(Table7[[#This Row],[Date]],Database!$A:$C,MATCH($C$1,Database!$A$1:$C$1,),)=0,#N/A,VLOOKUP(Table7[[#This Row],[Date]],Database!$A:$C,MATCH($C$1,Database!$A$1:$C$1,),))</f>
        <v/>
      </c>
      <c r="D669">
        <f>IFERROR(Table7[[#This Row],[United States 10y]]-Table7[[#This Row],[United States 3y]],#N/A)</f>
        <v/>
      </c>
    </row>
    <row r="670">
      <c r="A670" s="6">
        <f>Database!$A2755</f>
        <v/>
      </c>
      <c r="B670">
        <f>IF(VLOOKUP(Table7[[#This Row],[Date]],Database!$A:$C,MATCH($B$1,Database!$A$1:$C$1,),)=0,#N/A,VLOOKUP(Table7[[#This Row],[Date]],Database!$A:$C,MATCH($B$1,Database!$A$1:$C$1,),))</f>
        <v/>
      </c>
      <c r="C670">
        <f>IF(VLOOKUP(Table7[[#This Row],[Date]],Database!$A:$C,MATCH($C$1,Database!$A$1:$C$1,),)=0,#N/A,VLOOKUP(Table7[[#This Row],[Date]],Database!$A:$C,MATCH($C$1,Database!$A$1:$C$1,),))</f>
        <v/>
      </c>
      <c r="D670">
        <f>IFERROR(Table7[[#This Row],[United States 10y]]-Table7[[#This Row],[United States 3y]],#N/A)</f>
        <v/>
      </c>
    </row>
    <row r="671">
      <c r="A671" s="6">
        <f>Database!$A2756</f>
        <v/>
      </c>
      <c r="B671">
        <f>IF(VLOOKUP(Table7[[#This Row],[Date]],Database!$A:$C,MATCH($B$1,Database!$A$1:$C$1,),)=0,#N/A,VLOOKUP(Table7[[#This Row],[Date]],Database!$A:$C,MATCH($B$1,Database!$A$1:$C$1,),))</f>
        <v/>
      </c>
      <c r="C671">
        <f>IF(VLOOKUP(Table7[[#This Row],[Date]],Database!$A:$C,MATCH($C$1,Database!$A$1:$C$1,),)=0,#N/A,VLOOKUP(Table7[[#This Row],[Date]],Database!$A:$C,MATCH($C$1,Database!$A$1:$C$1,),))</f>
        <v/>
      </c>
      <c r="D671">
        <f>IFERROR(Table7[[#This Row],[United States 10y]]-Table7[[#This Row],[United States 3y]],#N/A)</f>
        <v/>
      </c>
    </row>
    <row r="672">
      <c r="A672" s="6">
        <f>Database!$A2757</f>
        <v/>
      </c>
      <c r="B672">
        <f>IF(VLOOKUP(Table7[[#This Row],[Date]],Database!$A:$C,MATCH($B$1,Database!$A$1:$C$1,),)=0,#N/A,VLOOKUP(Table7[[#This Row],[Date]],Database!$A:$C,MATCH($B$1,Database!$A$1:$C$1,),))</f>
        <v/>
      </c>
      <c r="C672">
        <f>IF(VLOOKUP(Table7[[#This Row],[Date]],Database!$A:$C,MATCH($C$1,Database!$A$1:$C$1,),)=0,#N/A,VLOOKUP(Table7[[#This Row],[Date]],Database!$A:$C,MATCH($C$1,Database!$A$1:$C$1,),))</f>
        <v/>
      </c>
      <c r="D672">
        <f>IFERROR(Table7[[#This Row],[United States 10y]]-Table7[[#This Row],[United States 3y]],#N/A)</f>
        <v/>
      </c>
    </row>
    <row r="673">
      <c r="A673" s="6">
        <f>Database!$A2758</f>
        <v/>
      </c>
      <c r="B673">
        <f>IF(VLOOKUP(Table7[[#This Row],[Date]],Database!$A:$C,MATCH($B$1,Database!$A$1:$C$1,),)=0,#N/A,VLOOKUP(Table7[[#This Row],[Date]],Database!$A:$C,MATCH($B$1,Database!$A$1:$C$1,),))</f>
        <v/>
      </c>
      <c r="C673">
        <f>IF(VLOOKUP(Table7[[#This Row],[Date]],Database!$A:$C,MATCH($C$1,Database!$A$1:$C$1,),)=0,#N/A,VLOOKUP(Table7[[#This Row],[Date]],Database!$A:$C,MATCH($C$1,Database!$A$1:$C$1,),))</f>
        <v/>
      </c>
      <c r="D673">
        <f>IFERROR(Table7[[#This Row],[United States 10y]]-Table7[[#This Row],[United States 3y]],#N/A)</f>
        <v/>
      </c>
    </row>
    <row r="674">
      <c r="A674" s="6">
        <f>Database!$A2759</f>
        <v/>
      </c>
      <c r="B674">
        <f>IF(VLOOKUP(Table7[[#This Row],[Date]],Database!$A:$C,MATCH($B$1,Database!$A$1:$C$1,),)=0,#N/A,VLOOKUP(Table7[[#This Row],[Date]],Database!$A:$C,MATCH($B$1,Database!$A$1:$C$1,),))</f>
        <v/>
      </c>
      <c r="C674">
        <f>IF(VLOOKUP(Table7[[#This Row],[Date]],Database!$A:$C,MATCH($C$1,Database!$A$1:$C$1,),)=0,#N/A,VLOOKUP(Table7[[#This Row],[Date]],Database!$A:$C,MATCH($C$1,Database!$A$1:$C$1,),))</f>
        <v/>
      </c>
      <c r="D674">
        <f>IFERROR(Table7[[#This Row],[United States 10y]]-Table7[[#This Row],[United States 3y]],#N/A)</f>
        <v/>
      </c>
    </row>
    <row r="675">
      <c r="A675" s="6">
        <f>Database!$A2760</f>
        <v/>
      </c>
      <c r="B675">
        <f>IF(VLOOKUP(Table7[[#This Row],[Date]],Database!$A:$C,MATCH($B$1,Database!$A$1:$C$1,),)=0,#N/A,VLOOKUP(Table7[[#This Row],[Date]],Database!$A:$C,MATCH($B$1,Database!$A$1:$C$1,),))</f>
        <v/>
      </c>
      <c r="C675">
        <f>IF(VLOOKUP(Table7[[#This Row],[Date]],Database!$A:$C,MATCH($C$1,Database!$A$1:$C$1,),)=0,#N/A,VLOOKUP(Table7[[#This Row],[Date]],Database!$A:$C,MATCH($C$1,Database!$A$1:$C$1,),))</f>
        <v/>
      </c>
      <c r="D675">
        <f>IFERROR(Table7[[#This Row],[United States 10y]]-Table7[[#This Row],[United States 3y]],#N/A)</f>
        <v/>
      </c>
    </row>
    <row r="676">
      <c r="A676" s="6">
        <f>Database!$A2761</f>
        <v/>
      </c>
      <c r="B676">
        <f>IF(VLOOKUP(Table7[[#This Row],[Date]],Database!$A:$C,MATCH($B$1,Database!$A$1:$C$1,),)=0,#N/A,VLOOKUP(Table7[[#This Row],[Date]],Database!$A:$C,MATCH($B$1,Database!$A$1:$C$1,),))</f>
        <v/>
      </c>
      <c r="C676">
        <f>IF(VLOOKUP(Table7[[#This Row],[Date]],Database!$A:$C,MATCH($C$1,Database!$A$1:$C$1,),)=0,#N/A,VLOOKUP(Table7[[#This Row],[Date]],Database!$A:$C,MATCH($C$1,Database!$A$1:$C$1,),))</f>
        <v/>
      </c>
      <c r="D676">
        <f>IFERROR(Table7[[#This Row],[United States 10y]]-Table7[[#This Row],[United States 3y]],#N/A)</f>
        <v/>
      </c>
    </row>
    <row r="677">
      <c r="A677" s="6">
        <f>Database!$A2762</f>
        <v/>
      </c>
      <c r="B677">
        <f>IF(VLOOKUP(Table7[[#This Row],[Date]],Database!$A:$C,MATCH($B$1,Database!$A$1:$C$1,),)=0,#N/A,VLOOKUP(Table7[[#This Row],[Date]],Database!$A:$C,MATCH($B$1,Database!$A$1:$C$1,),))</f>
        <v/>
      </c>
      <c r="C677">
        <f>IF(VLOOKUP(Table7[[#This Row],[Date]],Database!$A:$C,MATCH($C$1,Database!$A$1:$C$1,),)=0,#N/A,VLOOKUP(Table7[[#This Row],[Date]],Database!$A:$C,MATCH($C$1,Database!$A$1:$C$1,),))</f>
        <v/>
      </c>
      <c r="D677">
        <f>IFERROR(Table7[[#This Row],[United States 10y]]-Table7[[#This Row],[United States 3y]],#N/A)</f>
        <v/>
      </c>
    </row>
    <row r="678">
      <c r="A678" s="6">
        <f>Database!$A2763</f>
        <v/>
      </c>
      <c r="B678">
        <f>IF(VLOOKUP(Table7[[#This Row],[Date]],Database!$A:$C,MATCH($B$1,Database!$A$1:$C$1,),)=0,#N/A,VLOOKUP(Table7[[#This Row],[Date]],Database!$A:$C,MATCH($B$1,Database!$A$1:$C$1,),))</f>
        <v/>
      </c>
      <c r="C678">
        <f>IF(VLOOKUP(Table7[[#This Row],[Date]],Database!$A:$C,MATCH($C$1,Database!$A$1:$C$1,),)=0,#N/A,VLOOKUP(Table7[[#This Row],[Date]],Database!$A:$C,MATCH($C$1,Database!$A$1:$C$1,),))</f>
        <v/>
      </c>
      <c r="D678">
        <f>IFERROR(Table7[[#This Row],[United States 10y]]-Table7[[#This Row],[United States 3y]],#N/A)</f>
        <v/>
      </c>
    </row>
    <row r="679">
      <c r="A679" s="6">
        <f>Database!$A2764</f>
        <v/>
      </c>
      <c r="B679">
        <f>IF(VLOOKUP(Table7[[#This Row],[Date]],Database!$A:$C,MATCH($B$1,Database!$A$1:$C$1,),)=0,#N/A,VLOOKUP(Table7[[#This Row],[Date]],Database!$A:$C,MATCH($B$1,Database!$A$1:$C$1,),))</f>
        <v/>
      </c>
      <c r="C679">
        <f>IF(VLOOKUP(Table7[[#This Row],[Date]],Database!$A:$C,MATCH($C$1,Database!$A$1:$C$1,),)=0,#N/A,VLOOKUP(Table7[[#This Row],[Date]],Database!$A:$C,MATCH($C$1,Database!$A$1:$C$1,),))</f>
        <v/>
      </c>
      <c r="D679">
        <f>IFERROR(Table7[[#This Row],[United States 10y]]-Table7[[#This Row],[United States 3y]],#N/A)</f>
        <v/>
      </c>
    </row>
    <row r="680">
      <c r="A680" s="6">
        <f>Database!$A2765</f>
        <v/>
      </c>
      <c r="B680">
        <f>IF(VLOOKUP(Table7[[#This Row],[Date]],Database!$A:$C,MATCH($B$1,Database!$A$1:$C$1,),)=0,#N/A,VLOOKUP(Table7[[#This Row],[Date]],Database!$A:$C,MATCH($B$1,Database!$A$1:$C$1,),))</f>
        <v/>
      </c>
      <c r="C680">
        <f>IF(VLOOKUP(Table7[[#This Row],[Date]],Database!$A:$C,MATCH($C$1,Database!$A$1:$C$1,),)=0,#N/A,VLOOKUP(Table7[[#This Row],[Date]],Database!$A:$C,MATCH($C$1,Database!$A$1:$C$1,),))</f>
        <v/>
      </c>
      <c r="D680">
        <f>IFERROR(Table7[[#This Row],[United States 10y]]-Table7[[#This Row],[United States 3y]],#N/A)</f>
        <v/>
      </c>
    </row>
    <row r="681">
      <c r="A681" s="6">
        <f>Database!$A2766</f>
        <v/>
      </c>
      <c r="B681">
        <f>IF(VLOOKUP(Table7[[#This Row],[Date]],Database!$A:$C,MATCH($B$1,Database!$A$1:$C$1,),)=0,#N/A,VLOOKUP(Table7[[#This Row],[Date]],Database!$A:$C,MATCH($B$1,Database!$A$1:$C$1,),))</f>
        <v/>
      </c>
      <c r="C681">
        <f>IF(VLOOKUP(Table7[[#This Row],[Date]],Database!$A:$C,MATCH($C$1,Database!$A$1:$C$1,),)=0,#N/A,VLOOKUP(Table7[[#This Row],[Date]],Database!$A:$C,MATCH($C$1,Database!$A$1:$C$1,),))</f>
        <v/>
      </c>
      <c r="D681">
        <f>IFERROR(Table7[[#This Row],[United States 10y]]-Table7[[#This Row],[United States 3y]],#N/A)</f>
        <v/>
      </c>
    </row>
    <row r="682">
      <c r="A682" s="6">
        <f>Database!$A2767</f>
        <v/>
      </c>
      <c r="B682">
        <f>IF(VLOOKUP(Table7[[#This Row],[Date]],Database!$A:$C,MATCH($B$1,Database!$A$1:$C$1,),)=0,#N/A,VLOOKUP(Table7[[#This Row],[Date]],Database!$A:$C,MATCH($B$1,Database!$A$1:$C$1,),))</f>
        <v/>
      </c>
      <c r="C682">
        <f>IF(VLOOKUP(Table7[[#This Row],[Date]],Database!$A:$C,MATCH($C$1,Database!$A$1:$C$1,),)=0,#N/A,VLOOKUP(Table7[[#This Row],[Date]],Database!$A:$C,MATCH($C$1,Database!$A$1:$C$1,),))</f>
        <v/>
      </c>
      <c r="D682">
        <f>IFERROR(Table7[[#This Row],[United States 10y]]-Table7[[#This Row],[United States 3y]],#N/A)</f>
        <v/>
      </c>
    </row>
    <row r="683">
      <c r="A683" s="6">
        <f>Database!$A2768</f>
        <v/>
      </c>
      <c r="B683">
        <f>IF(VLOOKUP(Table7[[#This Row],[Date]],Database!$A:$C,MATCH($B$1,Database!$A$1:$C$1,),)=0,#N/A,VLOOKUP(Table7[[#This Row],[Date]],Database!$A:$C,MATCH($B$1,Database!$A$1:$C$1,),))</f>
        <v/>
      </c>
      <c r="C683">
        <f>IF(VLOOKUP(Table7[[#This Row],[Date]],Database!$A:$C,MATCH($C$1,Database!$A$1:$C$1,),)=0,#N/A,VLOOKUP(Table7[[#This Row],[Date]],Database!$A:$C,MATCH($C$1,Database!$A$1:$C$1,),))</f>
        <v/>
      </c>
      <c r="D683">
        <f>IFERROR(Table7[[#This Row],[United States 10y]]-Table7[[#This Row],[United States 3y]],#N/A)</f>
        <v/>
      </c>
    </row>
    <row r="684">
      <c r="A684" s="6">
        <f>Database!$A2769</f>
        <v/>
      </c>
      <c r="B684">
        <f>IF(VLOOKUP(Table7[[#This Row],[Date]],Database!$A:$C,MATCH($B$1,Database!$A$1:$C$1,),)=0,#N/A,VLOOKUP(Table7[[#This Row],[Date]],Database!$A:$C,MATCH($B$1,Database!$A$1:$C$1,),))</f>
        <v/>
      </c>
      <c r="C684">
        <f>IF(VLOOKUP(Table7[[#This Row],[Date]],Database!$A:$C,MATCH($C$1,Database!$A$1:$C$1,),)=0,#N/A,VLOOKUP(Table7[[#This Row],[Date]],Database!$A:$C,MATCH($C$1,Database!$A$1:$C$1,),))</f>
        <v/>
      </c>
      <c r="D684">
        <f>IFERROR(Table7[[#This Row],[United States 10y]]-Table7[[#This Row],[United States 3y]],#N/A)</f>
        <v/>
      </c>
    </row>
    <row r="685">
      <c r="A685" s="6">
        <f>Database!$A2770</f>
        <v/>
      </c>
      <c r="B685">
        <f>IF(VLOOKUP(Table7[[#This Row],[Date]],Database!$A:$C,MATCH($B$1,Database!$A$1:$C$1,),)=0,#N/A,VLOOKUP(Table7[[#This Row],[Date]],Database!$A:$C,MATCH($B$1,Database!$A$1:$C$1,),))</f>
        <v/>
      </c>
      <c r="C685">
        <f>IF(VLOOKUP(Table7[[#This Row],[Date]],Database!$A:$C,MATCH($C$1,Database!$A$1:$C$1,),)=0,#N/A,VLOOKUP(Table7[[#This Row],[Date]],Database!$A:$C,MATCH($C$1,Database!$A$1:$C$1,),))</f>
        <v/>
      </c>
      <c r="D685">
        <f>IFERROR(Table7[[#This Row],[United States 10y]]-Table7[[#This Row],[United States 3y]],#N/A)</f>
        <v/>
      </c>
    </row>
    <row r="686">
      <c r="A686" s="6">
        <f>Database!$A2771</f>
        <v/>
      </c>
      <c r="B686">
        <f>IF(VLOOKUP(Table7[[#This Row],[Date]],Database!$A:$C,MATCH($B$1,Database!$A$1:$C$1,),)=0,#N/A,VLOOKUP(Table7[[#This Row],[Date]],Database!$A:$C,MATCH($B$1,Database!$A$1:$C$1,),))</f>
        <v/>
      </c>
      <c r="C686">
        <f>IF(VLOOKUP(Table7[[#This Row],[Date]],Database!$A:$C,MATCH($C$1,Database!$A$1:$C$1,),)=0,#N/A,VLOOKUP(Table7[[#This Row],[Date]],Database!$A:$C,MATCH($C$1,Database!$A$1:$C$1,),))</f>
        <v/>
      </c>
      <c r="D686">
        <f>IFERROR(Table7[[#This Row],[United States 10y]]-Table7[[#This Row],[United States 3y]],#N/A)</f>
        <v/>
      </c>
    </row>
    <row r="687">
      <c r="A687" s="6">
        <f>Database!$A2772</f>
        <v/>
      </c>
      <c r="B687">
        <f>IF(VLOOKUP(Table7[[#This Row],[Date]],Database!$A:$C,MATCH($B$1,Database!$A$1:$C$1,),)=0,#N/A,VLOOKUP(Table7[[#This Row],[Date]],Database!$A:$C,MATCH($B$1,Database!$A$1:$C$1,),))</f>
        <v/>
      </c>
      <c r="C687">
        <f>IF(VLOOKUP(Table7[[#This Row],[Date]],Database!$A:$C,MATCH($C$1,Database!$A$1:$C$1,),)=0,#N/A,VLOOKUP(Table7[[#This Row],[Date]],Database!$A:$C,MATCH($C$1,Database!$A$1:$C$1,),))</f>
        <v/>
      </c>
      <c r="D687">
        <f>IFERROR(Table7[[#This Row],[United States 10y]]-Table7[[#This Row],[United States 3y]],#N/A)</f>
        <v/>
      </c>
    </row>
    <row r="688">
      <c r="A688" s="6">
        <f>Database!$A2773</f>
        <v/>
      </c>
      <c r="B688">
        <f>IF(VLOOKUP(Table7[[#This Row],[Date]],Database!$A:$C,MATCH($B$1,Database!$A$1:$C$1,),)=0,#N/A,VLOOKUP(Table7[[#This Row],[Date]],Database!$A:$C,MATCH($B$1,Database!$A$1:$C$1,),))</f>
        <v/>
      </c>
      <c r="C688">
        <f>IF(VLOOKUP(Table7[[#This Row],[Date]],Database!$A:$C,MATCH($C$1,Database!$A$1:$C$1,),)=0,#N/A,VLOOKUP(Table7[[#This Row],[Date]],Database!$A:$C,MATCH($C$1,Database!$A$1:$C$1,),))</f>
        <v/>
      </c>
      <c r="D688">
        <f>IFERROR(Table7[[#This Row],[United States 10y]]-Table7[[#This Row],[United States 3y]],#N/A)</f>
        <v/>
      </c>
    </row>
    <row r="689">
      <c r="A689" s="6">
        <f>Database!$A2774</f>
        <v/>
      </c>
      <c r="B689">
        <f>IF(VLOOKUP(Table7[[#This Row],[Date]],Database!$A:$C,MATCH($B$1,Database!$A$1:$C$1,),)=0,#N/A,VLOOKUP(Table7[[#This Row],[Date]],Database!$A:$C,MATCH($B$1,Database!$A$1:$C$1,),))</f>
        <v/>
      </c>
      <c r="C689">
        <f>IF(VLOOKUP(Table7[[#This Row],[Date]],Database!$A:$C,MATCH($C$1,Database!$A$1:$C$1,),)=0,#N/A,VLOOKUP(Table7[[#This Row],[Date]],Database!$A:$C,MATCH($C$1,Database!$A$1:$C$1,),))</f>
        <v/>
      </c>
      <c r="D689">
        <f>IFERROR(Table7[[#This Row],[United States 10y]]-Table7[[#This Row],[United States 3y]],#N/A)</f>
        <v/>
      </c>
    </row>
    <row r="690">
      <c r="A690" s="6">
        <f>Database!$A2775</f>
        <v/>
      </c>
      <c r="B690">
        <f>IF(VLOOKUP(Table7[[#This Row],[Date]],Database!$A:$C,MATCH($B$1,Database!$A$1:$C$1,),)=0,#N/A,VLOOKUP(Table7[[#This Row],[Date]],Database!$A:$C,MATCH($B$1,Database!$A$1:$C$1,),))</f>
        <v/>
      </c>
      <c r="C690">
        <f>IF(VLOOKUP(Table7[[#This Row],[Date]],Database!$A:$C,MATCH($C$1,Database!$A$1:$C$1,),)=0,#N/A,VLOOKUP(Table7[[#This Row],[Date]],Database!$A:$C,MATCH($C$1,Database!$A$1:$C$1,),))</f>
        <v/>
      </c>
      <c r="D690">
        <f>IFERROR(Table7[[#This Row],[United States 10y]]-Table7[[#This Row],[United States 3y]],#N/A)</f>
        <v/>
      </c>
    </row>
    <row r="691">
      <c r="A691" s="6">
        <f>Database!$A2776</f>
        <v/>
      </c>
      <c r="B691">
        <f>IF(VLOOKUP(Table7[[#This Row],[Date]],Database!$A:$C,MATCH($B$1,Database!$A$1:$C$1,),)=0,#N/A,VLOOKUP(Table7[[#This Row],[Date]],Database!$A:$C,MATCH($B$1,Database!$A$1:$C$1,),))</f>
        <v/>
      </c>
      <c r="C691">
        <f>IF(VLOOKUP(Table7[[#This Row],[Date]],Database!$A:$C,MATCH($C$1,Database!$A$1:$C$1,),)=0,#N/A,VLOOKUP(Table7[[#This Row],[Date]],Database!$A:$C,MATCH($C$1,Database!$A$1:$C$1,),))</f>
        <v/>
      </c>
      <c r="D691">
        <f>IFERROR(Table7[[#This Row],[United States 10y]]-Table7[[#This Row],[United States 3y]],#N/A)</f>
        <v/>
      </c>
    </row>
    <row r="692">
      <c r="A692" s="6">
        <f>Database!$A2777</f>
        <v/>
      </c>
      <c r="B692">
        <f>IF(VLOOKUP(Table7[[#This Row],[Date]],Database!$A:$C,MATCH($B$1,Database!$A$1:$C$1,),)=0,#N/A,VLOOKUP(Table7[[#This Row],[Date]],Database!$A:$C,MATCH($B$1,Database!$A$1:$C$1,),))</f>
        <v/>
      </c>
      <c r="C692">
        <f>IF(VLOOKUP(Table7[[#This Row],[Date]],Database!$A:$C,MATCH($C$1,Database!$A$1:$C$1,),)=0,#N/A,VLOOKUP(Table7[[#This Row],[Date]],Database!$A:$C,MATCH($C$1,Database!$A$1:$C$1,),))</f>
        <v/>
      </c>
      <c r="D692">
        <f>IFERROR(Table7[[#This Row],[United States 10y]]-Table7[[#This Row],[United States 3y]],#N/A)</f>
        <v/>
      </c>
    </row>
    <row r="693">
      <c r="A693" s="6">
        <f>Database!$A2778</f>
        <v/>
      </c>
      <c r="B693">
        <f>IF(VLOOKUP(Table7[[#This Row],[Date]],Database!$A:$C,MATCH($B$1,Database!$A$1:$C$1,),)=0,#N/A,VLOOKUP(Table7[[#This Row],[Date]],Database!$A:$C,MATCH($B$1,Database!$A$1:$C$1,),))</f>
        <v/>
      </c>
      <c r="C693">
        <f>IF(VLOOKUP(Table7[[#This Row],[Date]],Database!$A:$C,MATCH($C$1,Database!$A$1:$C$1,),)=0,#N/A,VLOOKUP(Table7[[#This Row],[Date]],Database!$A:$C,MATCH($C$1,Database!$A$1:$C$1,),))</f>
        <v/>
      </c>
      <c r="D693">
        <f>IFERROR(Table7[[#This Row],[United States 10y]]-Table7[[#This Row],[United States 3y]],#N/A)</f>
        <v/>
      </c>
    </row>
    <row r="694">
      <c r="A694" s="6">
        <f>Database!$A2779</f>
        <v/>
      </c>
      <c r="B694">
        <f>IF(VLOOKUP(Table7[[#This Row],[Date]],Database!$A:$C,MATCH($B$1,Database!$A$1:$C$1,),)=0,#N/A,VLOOKUP(Table7[[#This Row],[Date]],Database!$A:$C,MATCH($B$1,Database!$A$1:$C$1,),))</f>
        <v/>
      </c>
      <c r="C694">
        <f>IF(VLOOKUP(Table7[[#This Row],[Date]],Database!$A:$C,MATCH($C$1,Database!$A$1:$C$1,),)=0,#N/A,VLOOKUP(Table7[[#This Row],[Date]],Database!$A:$C,MATCH($C$1,Database!$A$1:$C$1,),))</f>
        <v/>
      </c>
      <c r="D694">
        <f>IFERROR(Table7[[#This Row],[United States 10y]]-Table7[[#This Row],[United States 3y]],#N/A)</f>
        <v/>
      </c>
    </row>
    <row r="695">
      <c r="A695" s="6">
        <f>Database!$A2780</f>
        <v/>
      </c>
      <c r="B695">
        <f>IF(VLOOKUP(Table7[[#This Row],[Date]],Database!$A:$C,MATCH($B$1,Database!$A$1:$C$1,),)=0,#N/A,VLOOKUP(Table7[[#This Row],[Date]],Database!$A:$C,MATCH($B$1,Database!$A$1:$C$1,),))</f>
        <v/>
      </c>
      <c r="C695">
        <f>IF(VLOOKUP(Table7[[#This Row],[Date]],Database!$A:$C,MATCH($C$1,Database!$A$1:$C$1,),)=0,#N/A,VLOOKUP(Table7[[#This Row],[Date]],Database!$A:$C,MATCH($C$1,Database!$A$1:$C$1,),))</f>
        <v/>
      </c>
      <c r="D695">
        <f>IFERROR(Table7[[#This Row],[United States 10y]]-Table7[[#This Row],[United States 3y]],#N/A)</f>
        <v/>
      </c>
    </row>
    <row r="696">
      <c r="A696" s="6">
        <f>Database!$A2781</f>
        <v/>
      </c>
      <c r="B696">
        <f>IF(VLOOKUP(Table7[[#This Row],[Date]],Database!$A:$C,MATCH($B$1,Database!$A$1:$C$1,),)=0,#N/A,VLOOKUP(Table7[[#This Row],[Date]],Database!$A:$C,MATCH($B$1,Database!$A$1:$C$1,),))</f>
        <v/>
      </c>
      <c r="C696">
        <f>IF(VLOOKUP(Table7[[#This Row],[Date]],Database!$A:$C,MATCH($C$1,Database!$A$1:$C$1,),)=0,#N/A,VLOOKUP(Table7[[#This Row],[Date]],Database!$A:$C,MATCH($C$1,Database!$A$1:$C$1,),))</f>
        <v/>
      </c>
      <c r="D696">
        <f>IFERROR(Table7[[#This Row],[United States 10y]]-Table7[[#This Row],[United States 3y]],#N/A)</f>
        <v/>
      </c>
    </row>
    <row r="697">
      <c r="A697" s="6">
        <f>Database!$A2782</f>
        <v/>
      </c>
      <c r="B697">
        <f>IF(VLOOKUP(Table7[[#This Row],[Date]],Database!$A:$C,MATCH($B$1,Database!$A$1:$C$1,),)=0,#N/A,VLOOKUP(Table7[[#This Row],[Date]],Database!$A:$C,MATCH($B$1,Database!$A$1:$C$1,),))</f>
        <v/>
      </c>
      <c r="C697">
        <f>IF(VLOOKUP(Table7[[#This Row],[Date]],Database!$A:$C,MATCH($C$1,Database!$A$1:$C$1,),)=0,#N/A,VLOOKUP(Table7[[#This Row],[Date]],Database!$A:$C,MATCH($C$1,Database!$A$1:$C$1,),))</f>
        <v/>
      </c>
      <c r="D697">
        <f>IFERROR(Table7[[#This Row],[United States 10y]]-Table7[[#This Row],[United States 3y]],#N/A)</f>
        <v/>
      </c>
    </row>
    <row r="698">
      <c r="A698" s="6">
        <f>Database!$A2783</f>
        <v/>
      </c>
      <c r="B698">
        <f>IF(VLOOKUP(Table7[[#This Row],[Date]],Database!$A:$C,MATCH($B$1,Database!$A$1:$C$1,),)=0,#N/A,VLOOKUP(Table7[[#This Row],[Date]],Database!$A:$C,MATCH($B$1,Database!$A$1:$C$1,),))</f>
        <v/>
      </c>
      <c r="C698">
        <f>IF(VLOOKUP(Table7[[#This Row],[Date]],Database!$A:$C,MATCH($C$1,Database!$A$1:$C$1,),)=0,#N/A,VLOOKUP(Table7[[#This Row],[Date]],Database!$A:$C,MATCH($C$1,Database!$A$1:$C$1,),))</f>
        <v/>
      </c>
      <c r="D698">
        <f>IFERROR(Table7[[#This Row],[United States 10y]]-Table7[[#This Row],[United States 3y]],#N/A)</f>
        <v/>
      </c>
    </row>
    <row r="699">
      <c r="A699" s="6">
        <f>Database!$A2784</f>
        <v/>
      </c>
      <c r="B699">
        <f>IF(VLOOKUP(Table7[[#This Row],[Date]],Database!$A:$C,MATCH($B$1,Database!$A$1:$C$1,),)=0,#N/A,VLOOKUP(Table7[[#This Row],[Date]],Database!$A:$C,MATCH($B$1,Database!$A$1:$C$1,),))</f>
        <v/>
      </c>
      <c r="C699">
        <f>IF(VLOOKUP(Table7[[#This Row],[Date]],Database!$A:$C,MATCH($C$1,Database!$A$1:$C$1,),)=0,#N/A,VLOOKUP(Table7[[#This Row],[Date]],Database!$A:$C,MATCH($C$1,Database!$A$1:$C$1,),))</f>
        <v/>
      </c>
      <c r="D699">
        <f>IFERROR(Table7[[#This Row],[United States 10y]]-Table7[[#This Row],[United States 3y]],#N/A)</f>
        <v/>
      </c>
    </row>
    <row r="700">
      <c r="A700" s="6">
        <f>Database!$A2785</f>
        <v/>
      </c>
      <c r="B700">
        <f>IF(VLOOKUP(Table7[[#This Row],[Date]],Database!$A:$C,MATCH($B$1,Database!$A$1:$C$1,),)=0,#N/A,VLOOKUP(Table7[[#This Row],[Date]],Database!$A:$C,MATCH($B$1,Database!$A$1:$C$1,),))</f>
        <v/>
      </c>
      <c r="C700">
        <f>IF(VLOOKUP(Table7[[#This Row],[Date]],Database!$A:$C,MATCH($C$1,Database!$A$1:$C$1,),)=0,#N/A,VLOOKUP(Table7[[#This Row],[Date]],Database!$A:$C,MATCH($C$1,Database!$A$1:$C$1,),))</f>
        <v/>
      </c>
      <c r="D700">
        <f>IFERROR(Table7[[#This Row],[United States 10y]]-Table7[[#This Row],[United States 3y]],#N/A)</f>
        <v/>
      </c>
    </row>
    <row r="701">
      <c r="A701" s="6">
        <f>Database!$A2786</f>
        <v/>
      </c>
      <c r="B701">
        <f>IF(VLOOKUP(Table7[[#This Row],[Date]],Database!$A:$C,MATCH($B$1,Database!$A$1:$C$1,),)=0,#N/A,VLOOKUP(Table7[[#This Row],[Date]],Database!$A:$C,MATCH($B$1,Database!$A$1:$C$1,),))</f>
        <v/>
      </c>
      <c r="C701">
        <f>IF(VLOOKUP(Table7[[#This Row],[Date]],Database!$A:$C,MATCH($C$1,Database!$A$1:$C$1,),)=0,#N/A,VLOOKUP(Table7[[#This Row],[Date]],Database!$A:$C,MATCH($C$1,Database!$A$1:$C$1,),))</f>
        <v/>
      </c>
      <c r="D701">
        <f>IFERROR(Table7[[#This Row],[United States 10y]]-Table7[[#This Row],[United States 3y]],#N/A)</f>
        <v/>
      </c>
    </row>
    <row r="702">
      <c r="A702" s="6">
        <f>Database!$A2787</f>
        <v/>
      </c>
      <c r="B702">
        <f>IF(VLOOKUP(Table7[[#This Row],[Date]],Database!$A:$C,MATCH($B$1,Database!$A$1:$C$1,),)=0,#N/A,VLOOKUP(Table7[[#This Row],[Date]],Database!$A:$C,MATCH($B$1,Database!$A$1:$C$1,),))</f>
        <v/>
      </c>
      <c r="C702">
        <f>IF(VLOOKUP(Table7[[#This Row],[Date]],Database!$A:$C,MATCH($C$1,Database!$A$1:$C$1,),)=0,#N/A,VLOOKUP(Table7[[#This Row],[Date]],Database!$A:$C,MATCH($C$1,Database!$A$1:$C$1,),))</f>
        <v/>
      </c>
      <c r="D702">
        <f>IFERROR(Table7[[#This Row],[United States 10y]]-Table7[[#This Row],[United States 3y]],#N/A)</f>
        <v/>
      </c>
    </row>
    <row r="703">
      <c r="A703" s="6">
        <f>Database!$A2788</f>
        <v/>
      </c>
      <c r="B703">
        <f>IF(VLOOKUP(Table7[[#This Row],[Date]],Database!$A:$C,MATCH($B$1,Database!$A$1:$C$1,),)=0,#N/A,VLOOKUP(Table7[[#This Row],[Date]],Database!$A:$C,MATCH($B$1,Database!$A$1:$C$1,),))</f>
        <v/>
      </c>
      <c r="C703">
        <f>IF(VLOOKUP(Table7[[#This Row],[Date]],Database!$A:$C,MATCH($C$1,Database!$A$1:$C$1,),)=0,#N/A,VLOOKUP(Table7[[#This Row],[Date]],Database!$A:$C,MATCH($C$1,Database!$A$1:$C$1,),))</f>
        <v/>
      </c>
      <c r="D703">
        <f>IFERROR(Table7[[#This Row],[United States 10y]]-Table7[[#This Row],[United States 3y]],#N/A)</f>
        <v/>
      </c>
    </row>
    <row r="704">
      <c r="A704" s="6">
        <f>Database!$A2789</f>
        <v/>
      </c>
      <c r="B704">
        <f>IF(VLOOKUP(Table7[[#This Row],[Date]],Database!$A:$C,MATCH($B$1,Database!$A$1:$C$1,),)=0,#N/A,VLOOKUP(Table7[[#This Row],[Date]],Database!$A:$C,MATCH($B$1,Database!$A$1:$C$1,),))</f>
        <v/>
      </c>
      <c r="C704">
        <f>IF(VLOOKUP(Table7[[#This Row],[Date]],Database!$A:$C,MATCH($C$1,Database!$A$1:$C$1,),)=0,#N/A,VLOOKUP(Table7[[#This Row],[Date]],Database!$A:$C,MATCH($C$1,Database!$A$1:$C$1,),))</f>
        <v/>
      </c>
      <c r="D704">
        <f>IFERROR(Table7[[#This Row],[United States 10y]]-Table7[[#This Row],[United States 3y]],#N/A)</f>
        <v/>
      </c>
    </row>
    <row r="705">
      <c r="A705" s="6">
        <f>Database!$A2790</f>
        <v/>
      </c>
      <c r="B705">
        <f>IF(VLOOKUP(Table7[[#This Row],[Date]],Database!$A:$C,MATCH($B$1,Database!$A$1:$C$1,),)=0,#N/A,VLOOKUP(Table7[[#This Row],[Date]],Database!$A:$C,MATCH($B$1,Database!$A$1:$C$1,),))</f>
        <v/>
      </c>
      <c r="C705">
        <f>IF(VLOOKUP(Table7[[#This Row],[Date]],Database!$A:$C,MATCH($C$1,Database!$A$1:$C$1,),)=0,#N/A,VLOOKUP(Table7[[#This Row],[Date]],Database!$A:$C,MATCH($C$1,Database!$A$1:$C$1,),))</f>
        <v/>
      </c>
      <c r="D705">
        <f>IFERROR(Table7[[#This Row],[United States 10y]]-Table7[[#This Row],[United States 3y]],#N/A)</f>
        <v/>
      </c>
    </row>
    <row r="706">
      <c r="A706" s="6">
        <f>Database!$A2791</f>
        <v/>
      </c>
      <c r="B706">
        <f>IF(VLOOKUP(Table7[[#This Row],[Date]],Database!$A:$C,MATCH($B$1,Database!$A$1:$C$1,),)=0,#N/A,VLOOKUP(Table7[[#This Row],[Date]],Database!$A:$C,MATCH($B$1,Database!$A$1:$C$1,),))</f>
        <v/>
      </c>
      <c r="C706">
        <f>IF(VLOOKUP(Table7[[#This Row],[Date]],Database!$A:$C,MATCH($C$1,Database!$A$1:$C$1,),)=0,#N/A,VLOOKUP(Table7[[#This Row],[Date]],Database!$A:$C,MATCH($C$1,Database!$A$1:$C$1,),))</f>
        <v/>
      </c>
      <c r="D706">
        <f>IFERROR(Table7[[#This Row],[United States 10y]]-Table7[[#This Row],[United States 3y]],#N/A)</f>
        <v/>
      </c>
    </row>
    <row r="707">
      <c r="A707" s="6">
        <f>Database!$A2792</f>
        <v/>
      </c>
      <c r="B707">
        <f>IF(VLOOKUP(Table7[[#This Row],[Date]],Database!$A:$C,MATCH($B$1,Database!$A$1:$C$1,),)=0,#N/A,VLOOKUP(Table7[[#This Row],[Date]],Database!$A:$C,MATCH($B$1,Database!$A$1:$C$1,),))</f>
        <v/>
      </c>
      <c r="C707">
        <f>IF(VLOOKUP(Table7[[#This Row],[Date]],Database!$A:$C,MATCH($C$1,Database!$A$1:$C$1,),)=0,#N/A,VLOOKUP(Table7[[#This Row],[Date]],Database!$A:$C,MATCH($C$1,Database!$A$1:$C$1,),))</f>
        <v/>
      </c>
      <c r="D707">
        <f>IFERROR(Table7[[#This Row],[United States 10y]]-Table7[[#This Row],[United States 3y]],#N/A)</f>
        <v/>
      </c>
    </row>
    <row r="708">
      <c r="A708" s="6">
        <f>Database!$A2793</f>
        <v/>
      </c>
      <c r="B708">
        <f>IF(VLOOKUP(Table7[[#This Row],[Date]],Database!$A:$C,MATCH($B$1,Database!$A$1:$C$1,),)=0,#N/A,VLOOKUP(Table7[[#This Row],[Date]],Database!$A:$C,MATCH($B$1,Database!$A$1:$C$1,),))</f>
        <v/>
      </c>
      <c r="C708">
        <f>IF(VLOOKUP(Table7[[#This Row],[Date]],Database!$A:$C,MATCH($C$1,Database!$A$1:$C$1,),)=0,#N/A,VLOOKUP(Table7[[#This Row],[Date]],Database!$A:$C,MATCH($C$1,Database!$A$1:$C$1,),))</f>
        <v/>
      </c>
      <c r="D708">
        <f>IFERROR(Table7[[#This Row],[United States 10y]]-Table7[[#This Row],[United States 3y]],#N/A)</f>
        <v/>
      </c>
    </row>
    <row r="709">
      <c r="A709" s="6">
        <f>Database!$A2794</f>
        <v/>
      </c>
      <c r="B709">
        <f>IF(VLOOKUP(Table7[[#This Row],[Date]],Database!$A:$C,MATCH($B$1,Database!$A$1:$C$1,),)=0,#N/A,VLOOKUP(Table7[[#This Row],[Date]],Database!$A:$C,MATCH($B$1,Database!$A$1:$C$1,),))</f>
        <v/>
      </c>
      <c r="C709">
        <f>IF(VLOOKUP(Table7[[#This Row],[Date]],Database!$A:$C,MATCH($C$1,Database!$A$1:$C$1,),)=0,#N/A,VLOOKUP(Table7[[#This Row],[Date]],Database!$A:$C,MATCH($C$1,Database!$A$1:$C$1,),))</f>
        <v/>
      </c>
      <c r="D709">
        <f>IFERROR(Table7[[#This Row],[United States 10y]]-Table7[[#This Row],[United States 3y]],#N/A)</f>
        <v/>
      </c>
    </row>
    <row r="710">
      <c r="A710" s="6">
        <f>Database!$A2795</f>
        <v/>
      </c>
      <c r="B710">
        <f>IF(VLOOKUP(Table7[[#This Row],[Date]],Database!$A:$C,MATCH($B$1,Database!$A$1:$C$1,),)=0,#N/A,VLOOKUP(Table7[[#This Row],[Date]],Database!$A:$C,MATCH($B$1,Database!$A$1:$C$1,),))</f>
        <v/>
      </c>
      <c r="C710">
        <f>IF(VLOOKUP(Table7[[#This Row],[Date]],Database!$A:$C,MATCH($C$1,Database!$A$1:$C$1,),)=0,#N/A,VLOOKUP(Table7[[#This Row],[Date]],Database!$A:$C,MATCH($C$1,Database!$A$1:$C$1,),))</f>
        <v/>
      </c>
      <c r="D710">
        <f>IFERROR(Table7[[#This Row],[United States 10y]]-Table7[[#This Row],[United States 3y]],#N/A)</f>
        <v/>
      </c>
    </row>
    <row r="711">
      <c r="A711" s="6">
        <f>Database!$A2796</f>
        <v/>
      </c>
      <c r="B711">
        <f>IF(VLOOKUP(Table7[[#This Row],[Date]],Database!$A:$C,MATCH($B$1,Database!$A$1:$C$1,),)=0,#N/A,VLOOKUP(Table7[[#This Row],[Date]],Database!$A:$C,MATCH($B$1,Database!$A$1:$C$1,),))</f>
        <v/>
      </c>
      <c r="C711">
        <f>IF(VLOOKUP(Table7[[#This Row],[Date]],Database!$A:$C,MATCH($C$1,Database!$A$1:$C$1,),)=0,#N/A,VLOOKUP(Table7[[#This Row],[Date]],Database!$A:$C,MATCH($C$1,Database!$A$1:$C$1,),))</f>
        <v/>
      </c>
      <c r="D711">
        <f>IFERROR(Table7[[#This Row],[United States 10y]]-Table7[[#This Row],[United States 3y]],#N/A)</f>
        <v/>
      </c>
    </row>
    <row r="712">
      <c r="A712" s="6">
        <f>Database!$A2797</f>
        <v/>
      </c>
      <c r="B712">
        <f>IF(VLOOKUP(Table7[[#This Row],[Date]],Database!$A:$C,MATCH($B$1,Database!$A$1:$C$1,),)=0,#N/A,VLOOKUP(Table7[[#This Row],[Date]],Database!$A:$C,MATCH($B$1,Database!$A$1:$C$1,),))</f>
        <v/>
      </c>
      <c r="C712">
        <f>IF(VLOOKUP(Table7[[#This Row],[Date]],Database!$A:$C,MATCH($C$1,Database!$A$1:$C$1,),)=0,#N/A,VLOOKUP(Table7[[#This Row],[Date]],Database!$A:$C,MATCH($C$1,Database!$A$1:$C$1,),))</f>
        <v/>
      </c>
      <c r="D712">
        <f>IFERROR(Table7[[#This Row],[United States 10y]]-Table7[[#This Row],[United States 3y]],#N/A)</f>
        <v/>
      </c>
    </row>
    <row r="713">
      <c r="A713" s="6">
        <f>Database!$A2798</f>
        <v/>
      </c>
      <c r="B713">
        <f>IF(VLOOKUP(Table7[[#This Row],[Date]],Database!$A:$C,MATCH($B$1,Database!$A$1:$C$1,),)=0,#N/A,VLOOKUP(Table7[[#This Row],[Date]],Database!$A:$C,MATCH($B$1,Database!$A$1:$C$1,),))</f>
        <v/>
      </c>
      <c r="C713">
        <f>IF(VLOOKUP(Table7[[#This Row],[Date]],Database!$A:$C,MATCH($C$1,Database!$A$1:$C$1,),)=0,#N/A,VLOOKUP(Table7[[#This Row],[Date]],Database!$A:$C,MATCH($C$1,Database!$A$1:$C$1,),))</f>
        <v/>
      </c>
      <c r="D713">
        <f>IFERROR(Table7[[#This Row],[United States 10y]]-Table7[[#This Row],[United States 3y]],#N/A)</f>
        <v/>
      </c>
    </row>
    <row r="714">
      <c r="A714" s="6">
        <f>Database!$A2799</f>
        <v/>
      </c>
      <c r="B714">
        <f>IF(VLOOKUP(Table7[[#This Row],[Date]],Database!$A:$C,MATCH($B$1,Database!$A$1:$C$1,),)=0,#N/A,VLOOKUP(Table7[[#This Row],[Date]],Database!$A:$C,MATCH($B$1,Database!$A$1:$C$1,),))</f>
        <v/>
      </c>
      <c r="C714">
        <f>IF(VLOOKUP(Table7[[#This Row],[Date]],Database!$A:$C,MATCH($C$1,Database!$A$1:$C$1,),)=0,#N/A,VLOOKUP(Table7[[#This Row],[Date]],Database!$A:$C,MATCH($C$1,Database!$A$1:$C$1,),))</f>
        <v/>
      </c>
      <c r="D714">
        <f>IFERROR(Table7[[#This Row],[United States 10y]]-Table7[[#This Row],[United States 3y]],#N/A)</f>
        <v/>
      </c>
    </row>
    <row r="715">
      <c r="A715" s="6">
        <f>Database!$A2800</f>
        <v/>
      </c>
      <c r="B715">
        <f>IF(VLOOKUP(Table7[[#This Row],[Date]],Database!$A:$C,MATCH($B$1,Database!$A$1:$C$1,),)=0,#N/A,VLOOKUP(Table7[[#This Row],[Date]],Database!$A:$C,MATCH($B$1,Database!$A$1:$C$1,),))</f>
        <v/>
      </c>
      <c r="C715">
        <f>IF(VLOOKUP(Table7[[#This Row],[Date]],Database!$A:$C,MATCH($C$1,Database!$A$1:$C$1,),)=0,#N/A,VLOOKUP(Table7[[#This Row],[Date]],Database!$A:$C,MATCH($C$1,Database!$A$1:$C$1,),))</f>
        <v/>
      </c>
      <c r="D715">
        <f>IFERROR(Table7[[#This Row],[United States 10y]]-Table7[[#This Row],[United States 3y]],#N/A)</f>
        <v/>
      </c>
    </row>
    <row r="716">
      <c r="A716" s="6">
        <f>Database!$A2801</f>
        <v/>
      </c>
      <c r="B716">
        <f>IF(VLOOKUP(Table7[[#This Row],[Date]],Database!$A:$C,MATCH($B$1,Database!$A$1:$C$1,),)=0,#N/A,VLOOKUP(Table7[[#This Row],[Date]],Database!$A:$C,MATCH($B$1,Database!$A$1:$C$1,),))</f>
        <v/>
      </c>
      <c r="C716">
        <f>IF(VLOOKUP(Table7[[#This Row],[Date]],Database!$A:$C,MATCH($C$1,Database!$A$1:$C$1,),)=0,#N/A,VLOOKUP(Table7[[#This Row],[Date]],Database!$A:$C,MATCH($C$1,Database!$A$1:$C$1,),))</f>
        <v/>
      </c>
      <c r="D716">
        <f>IFERROR(Table7[[#This Row],[United States 10y]]-Table7[[#This Row],[United States 3y]],#N/A)</f>
        <v/>
      </c>
    </row>
    <row r="717">
      <c r="A717" s="6">
        <f>Database!$A2802</f>
        <v/>
      </c>
      <c r="B717">
        <f>IF(VLOOKUP(Table7[[#This Row],[Date]],Database!$A:$C,MATCH($B$1,Database!$A$1:$C$1,),)=0,#N/A,VLOOKUP(Table7[[#This Row],[Date]],Database!$A:$C,MATCH($B$1,Database!$A$1:$C$1,),))</f>
        <v/>
      </c>
      <c r="C717">
        <f>IF(VLOOKUP(Table7[[#This Row],[Date]],Database!$A:$C,MATCH($C$1,Database!$A$1:$C$1,),)=0,#N/A,VLOOKUP(Table7[[#This Row],[Date]],Database!$A:$C,MATCH($C$1,Database!$A$1:$C$1,),))</f>
        <v/>
      </c>
      <c r="D717">
        <f>IFERROR(Table7[[#This Row],[United States 10y]]-Table7[[#This Row],[United States 3y]],#N/A)</f>
        <v/>
      </c>
    </row>
    <row r="718">
      <c r="A718" s="6">
        <f>Database!$A2803</f>
        <v/>
      </c>
      <c r="B718">
        <f>IF(VLOOKUP(Table7[[#This Row],[Date]],Database!$A:$C,MATCH($B$1,Database!$A$1:$C$1,),)=0,#N/A,VLOOKUP(Table7[[#This Row],[Date]],Database!$A:$C,MATCH($B$1,Database!$A$1:$C$1,),))</f>
        <v/>
      </c>
      <c r="C718">
        <f>IF(VLOOKUP(Table7[[#This Row],[Date]],Database!$A:$C,MATCH($C$1,Database!$A$1:$C$1,),)=0,#N/A,VLOOKUP(Table7[[#This Row],[Date]],Database!$A:$C,MATCH($C$1,Database!$A$1:$C$1,),))</f>
        <v/>
      </c>
      <c r="D718">
        <f>IFERROR(Table7[[#This Row],[United States 10y]]-Table7[[#This Row],[United States 3y]],#N/A)</f>
        <v/>
      </c>
    </row>
    <row r="719">
      <c r="A719" s="6">
        <f>Database!$A2804</f>
        <v/>
      </c>
      <c r="B719">
        <f>IF(VLOOKUP(Table7[[#This Row],[Date]],Database!$A:$C,MATCH($B$1,Database!$A$1:$C$1,),)=0,#N/A,VLOOKUP(Table7[[#This Row],[Date]],Database!$A:$C,MATCH($B$1,Database!$A$1:$C$1,),))</f>
        <v/>
      </c>
      <c r="C719">
        <f>IF(VLOOKUP(Table7[[#This Row],[Date]],Database!$A:$C,MATCH($C$1,Database!$A$1:$C$1,),)=0,#N/A,VLOOKUP(Table7[[#This Row],[Date]],Database!$A:$C,MATCH($C$1,Database!$A$1:$C$1,),))</f>
        <v/>
      </c>
      <c r="D719">
        <f>IFERROR(Table7[[#This Row],[United States 10y]]-Table7[[#This Row],[United States 3y]],#N/A)</f>
        <v/>
      </c>
    </row>
    <row r="720">
      <c r="A720" s="6">
        <f>Database!$A2805</f>
        <v/>
      </c>
      <c r="B720">
        <f>IF(VLOOKUP(Table7[[#This Row],[Date]],Database!$A:$C,MATCH($B$1,Database!$A$1:$C$1,),)=0,#N/A,VLOOKUP(Table7[[#This Row],[Date]],Database!$A:$C,MATCH($B$1,Database!$A$1:$C$1,),))</f>
        <v/>
      </c>
      <c r="C720">
        <f>IF(VLOOKUP(Table7[[#This Row],[Date]],Database!$A:$C,MATCH($C$1,Database!$A$1:$C$1,),)=0,#N/A,VLOOKUP(Table7[[#This Row],[Date]],Database!$A:$C,MATCH($C$1,Database!$A$1:$C$1,),))</f>
        <v/>
      </c>
      <c r="D720">
        <f>IFERROR(Table7[[#This Row],[United States 10y]]-Table7[[#This Row],[United States 3y]],#N/A)</f>
        <v/>
      </c>
    </row>
    <row r="721">
      <c r="A721" s="6">
        <f>Database!$A2806</f>
        <v/>
      </c>
      <c r="B721">
        <f>IF(VLOOKUP(Table7[[#This Row],[Date]],Database!$A:$C,MATCH($B$1,Database!$A$1:$C$1,),)=0,#N/A,VLOOKUP(Table7[[#This Row],[Date]],Database!$A:$C,MATCH($B$1,Database!$A$1:$C$1,),))</f>
        <v/>
      </c>
      <c r="C721">
        <f>IF(VLOOKUP(Table7[[#This Row],[Date]],Database!$A:$C,MATCH($C$1,Database!$A$1:$C$1,),)=0,#N/A,VLOOKUP(Table7[[#This Row],[Date]],Database!$A:$C,MATCH($C$1,Database!$A$1:$C$1,),))</f>
        <v/>
      </c>
      <c r="D721">
        <f>IFERROR(Table7[[#This Row],[United States 10y]]-Table7[[#This Row],[United States 3y]],#N/A)</f>
        <v/>
      </c>
    </row>
    <row r="722">
      <c r="A722" s="6">
        <f>Database!$A2807</f>
        <v/>
      </c>
      <c r="B722">
        <f>IF(VLOOKUP(Table7[[#This Row],[Date]],Database!$A:$C,MATCH($B$1,Database!$A$1:$C$1,),)=0,#N/A,VLOOKUP(Table7[[#This Row],[Date]],Database!$A:$C,MATCH($B$1,Database!$A$1:$C$1,),))</f>
        <v/>
      </c>
      <c r="C722">
        <f>IF(VLOOKUP(Table7[[#This Row],[Date]],Database!$A:$C,MATCH($C$1,Database!$A$1:$C$1,),)=0,#N/A,VLOOKUP(Table7[[#This Row],[Date]],Database!$A:$C,MATCH($C$1,Database!$A$1:$C$1,),))</f>
        <v/>
      </c>
      <c r="D722">
        <f>IFERROR(Table7[[#This Row],[United States 10y]]-Table7[[#This Row],[United States 3y]],#N/A)</f>
        <v/>
      </c>
    </row>
    <row r="723">
      <c r="A723" s="6">
        <f>Database!$A2808</f>
        <v/>
      </c>
      <c r="B723">
        <f>IF(VLOOKUP(Table7[[#This Row],[Date]],Database!$A:$C,MATCH($B$1,Database!$A$1:$C$1,),)=0,#N/A,VLOOKUP(Table7[[#This Row],[Date]],Database!$A:$C,MATCH($B$1,Database!$A$1:$C$1,),))</f>
        <v/>
      </c>
      <c r="C723">
        <f>IF(VLOOKUP(Table7[[#This Row],[Date]],Database!$A:$C,MATCH($C$1,Database!$A$1:$C$1,),)=0,#N/A,VLOOKUP(Table7[[#This Row],[Date]],Database!$A:$C,MATCH($C$1,Database!$A$1:$C$1,),))</f>
        <v/>
      </c>
      <c r="D723">
        <f>IFERROR(Table7[[#This Row],[United States 10y]]-Table7[[#This Row],[United States 3y]],#N/A)</f>
        <v/>
      </c>
    </row>
    <row r="724">
      <c r="A724" s="6">
        <f>Database!$A2809</f>
        <v/>
      </c>
      <c r="B724">
        <f>IF(VLOOKUP(Table7[[#This Row],[Date]],Database!$A:$C,MATCH($B$1,Database!$A$1:$C$1,),)=0,#N/A,VLOOKUP(Table7[[#This Row],[Date]],Database!$A:$C,MATCH($B$1,Database!$A$1:$C$1,),))</f>
        <v/>
      </c>
      <c r="C724">
        <f>IF(VLOOKUP(Table7[[#This Row],[Date]],Database!$A:$C,MATCH($C$1,Database!$A$1:$C$1,),)=0,#N/A,VLOOKUP(Table7[[#This Row],[Date]],Database!$A:$C,MATCH($C$1,Database!$A$1:$C$1,),))</f>
        <v/>
      </c>
      <c r="D724">
        <f>IFERROR(Table7[[#This Row],[United States 10y]]-Table7[[#This Row],[United States 3y]],#N/A)</f>
        <v/>
      </c>
    </row>
    <row r="725">
      <c r="A725" s="6">
        <f>Database!$A2810</f>
        <v/>
      </c>
      <c r="B725">
        <f>IF(VLOOKUP(Table7[[#This Row],[Date]],Database!$A:$C,MATCH($B$1,Database!$A$1:$C$1,),)=0,#N/A,VLOOKUP(Table7[[#This Row],[Date]],Database!$A:$C,MATCH($B$1,Database!$A$1:$C$1,),))</f>
        <v/>
      </c>
      <c r="C725">
        <f>IF(VLOOKUP(Table7[[#This Row],[Date]],Database!$A:$C,MATCH($C$1,Database!$A$1:$C$1,),)=0,#N/A,VLOOKUP(Table7[[#This Row],[Date]],Database!$A:$C,MATCH($C$1,Database!$A$1:$C$1,),))</f>
        <v/>
      </c>
      <c r="D725">
        <f>IFERROR(Table7[[#This Row],[United States 10y]]-Table7[[#This Row],[United States 3y]],#N/A)</f>
        <v/>
      </c>
    </row>
    <row r="726">
      <c r="A726" s="6">
        <f>Database!$A2811</f>
        <v/>
      </c>
      <c r="B726">
        <f>IF(VLOOKUP(Table7[[#This Row],[Date]],Database!$A:$C,MATCH($B$1,Database!$A$1:$C$1,),)=0,#N/A,VLOOKUP(Table7[[#This Row],[Date]],Database!$A:$C,MATCH($B$1,Database!$A$1:$C$1,),))</f>
        <v/>
      </c>
      <c r="C726">
        <f>IF(VLOOKUP(Table7[[#This Row],[Date]],Database!$A:$C,MATCH($C$1,Database!$A$1:$C$1,),)=0,#N/A,VLOOKUP(Table7[[#This Row],[Date]],Database!$A:$C,MATCH($C$1,Database!$A$1:$C$1,),))</f>
        <v/>
      </c>
      <c r="D726">
        <f>IFERROR(Table7[[#This Row],[United States 10y]]-Table7[[#This Row],[United States 3y]],#N/A)</f>
        <v/>
      </c>
    </row>
    <row r="727">
      <c r="A727" s="6">
        <f>Database!$A2812</f>
        <v/>
      </c>
      <c r="B727">
        <f>IF(VLOOKUP(Table7[[#This Row],[Date]],Database!$A:$C,MATCH($B$1,Database!$A$1:$C$1,),)=0,#N/A,VLOOKUP(Table7[[#This Row],[Date]],Database!$A:$C,MATCH($B$1,Database!$A$1:$C$1,),))</f>
        <v/>
      </c>
      <c r="C727">
        <f>IF(VLOOKUP(Table7[[#This Row],[Date]],Database!$A:$C,MATCH($C$1,Database!$A$1:$C$1,),)=0,#N/A,VLOOKUP(Table7[[#This Row],[Date]],Database!$A:$C,MATCH($C$1,Database!$A$1:$C$1,),))</f>
        <v/>
      </c>
      <c r="D727">
        <f>IFERROR(Table7[[#This Row],[United States 10y]]-Table7[[#This Row],[United States 3y]],#N/A)</f>
        <v/>
      </c>
    </row>
    <row r="728">
      <c r="A728" s="6">
        <f>Database!$A2813</f>
        <v/>
      </c>
      <c r="B728">
        <f>IF(VLOOKUP(Table7[[#This Row],[Date]],Database!$A:$C,MATCH($B$1,Database!$A$1:$C$1,),)=0,#N/A,VLOOKUP(Table7[[#This Row],[Date]],Database!$A:$C,MATCH($B$1,Database!$A$1:$C$1,),))</f>
        <v/>
      </c>
      <c r="C728">
        <f>IF(VLOOKUP(Table7[[#This Row],[Date]],Database!$A:$C,MATCH($C$1,Database!$A$1:$C$1,),)=0,#N/A,VLOOKUP(Table7[[#This Row],[Date]],Database!$A:$C,MATCH($C$1,Database!$A$1:$C$1,),))</f>
        <v/>
      </c>
      <c r="D728">
        <f>IFERROR(Table7[[#This Row],[United States 10y]]-Table7[[#This Row],[United States 3y]],#N/A)</f>
        <v/>
      </c>
    </row>
    <row r="729">
      <c r="A729" s="6">
        <f>Database!$A2814</f>
        <v/>
      </c>
      <c r="B729">
        <f>IF(VLOOKUP(Table7[[#This Row],[Date]],Database!$A:$C,MATCH($B$1,Database!$A$1:$C$1,),)=0,#N/A,VLOOKUP(Table7[[#This Row],[Date]],Database!$A:$C,MATCH($B$1,Database!$A$1:$C$1,),))</f>
        <v/>
      </c>
      <c r="C729">
        <f>IF(VLOOKUP(Table7[[#This Row],[Date]],Database!$A:$C,MATCH($C$1,Database!$A$1:$C$1,),)=0,#N/A,VLOOKUP(Table7[[#This Row],[Date]],Database!$A:$C,MATCH($C$1,Database!$A$1:$C$1,),))</f>
        <v/>
      </c>
      <c r="D729">
        <f>IFERROR(Table7[[#This Row],[United States 10y]]-Table7[[#This Row],[United States 3y]],#N/A)</f>
        <v/>
      </c>
    </row>
    <row r="730">
      <c r="A730" s="6">
        <f>Database!$A2815</f>
        <v/>
      </c>
      <c r="B730">
        <f>IF(VLOOKUP(Table7[[#This Row],[Date]],Database!$A:$C,MATCH($B$1,Database!$A$1:$C$1,),)=0,#N/A,VLOOKUP(Table7[[#This Row],[Date]],Database!$A:$C,MATCH($B$1,Database!$A$1:$C$1,),))</f>
        <v/>
      </c>
      <c r="C730">
        <f>IF(VLOOKUP(Table7[[#This Row],[Date]],Database!$A:$C,MATCH($C$1,Database!$A$1:$C$1,),)=0,#N/A,VLOOKUP(Table7[[#This Row],[Date]],Database!$A:$C,MATCH($C$1,Database!$A$1:$C$1,),))</f>
        <v/>
      </c>
      <c r="D730">
        <f>IFERROR(Table7[[#This Row],[United States 10y]]-Table7[[#This Row],[United States 3y]],#N/A)</f>
        <v/>
      </c>
    </row>
    <row r="731">
      <c r="A731" s="6">
        <f>Database!$A2816</f>
        <v/>
      </c>
      <c r="B731">
        <f>IF(VLOOKUP(Table7[[#This Row],[Date]],Database!$A:$C,MATCH($B$1,Database!$A$1:$C$1,),)=0,#N/A,VLOOKUP(Table7[[#This Row],[Date]],Database!$A:$C,MATCH($B$1,Database!$A$1:$C$1,),))</f>
        <v/>
      </c>
      <c r="C731">
        <f>IF(VLOOKUP(Table7[[#This Row],[Date]],Database!$A:$C,MATCH($C$1,Database!$A$1:$C$1,),)=0,#N/A,VLOOKUP(Table7[[#This Row],[Date]],Database!$A:$C,MATCH($C$1,Database!$A$1:$C$1,),))</f>
        <v/>
      </c>
      <c r="D731">
        <f>IFERROR(Table7[[#This Row],[United States 10y]]-Table7[[#This Row],[United States 3y]],#N/A)</f>
        <v/>
      </c>
    </row>
    <row r="732">
      <c r="A732" s="6">
        <f>Database!$A2817</f>
        <v/>
      </c>
      <c r="B732">
        <f>IF(VLOOKUP(Table7[[#This Row],[Date]],Database!$A:$C,MATCH($B$1,Database!$A$1:$C$1,),)=0,#N/A,VLOOKUP(Table7[[#This Row],[Date]],Database!$A:$C,MATCH($B$1,Database!$A$1:$C$1,),))</f>
        <v/>
      </c>
      <c r="C732">
        <f>IF(VLOOKUP(Table7[[#This Row],[Date]],Database!$A:$C,MATCH($C$1,Database!$A$1:$C$1,),)=0,#N/A,VLOOKUP(Table7[[#This Row],[Date]],Database!$A:$C,MATCH($C$1,Database!$A$1:$C$1,),))</f>
        <v/>
      </c>
      <c r="D732">
        <f>IFERROR(Table7[[#This Row],[United States 10y]]-Table7[[#This Row],[United States 3y]],#N/A)</f>
        <v/>
      </c>
    </row>
    <row r="733">
      <c r="A733" s="6">
        <f>Database!$A2818</f>
        <v/>
      </c>
      <c r="B733">
        <f>IF(VLOOKUP(Table7[[#This Row],[Date]],Database!$A:$C,MATCH($B$1,Database!$A$1:$C$1,),)=0,#N/A,VLOOKUP(Table7[[#This Row],[Date]],Database!$A:$C,MATCH($B$1,Database!$A$1:$C$1,),))</f>
        <v/>
      </c>
      <c r="C733">
        <f>IF(VLOOKUP(Table7[[#This Row],[Date]],Database!$A:$C,MATCH($C$1,Database!$A$1:$C$1,),)=0,#N/A,VLOOKUP(Table7[[#This Row],[Date]],Database!$A:$C,MATCH($C$1,Database!$A$1:$C$1,),))</f>
        <v/>
      </c>
      <c r="D733">
        <f>IFERROR(Table7[[#This Row],[United States 10y]]-Table7[[#This Row],[United States 3y]],#N/A)</f>
        <v/>
      </c>
    </row>
    <row r="734">
      <c r="A734" s="6">
        <f>Database!$A2819</f>
        <v/>
      </c>
      <c r="B734">
        <f>IF(VLOOKUP(Table7[[#This Row],[Date]],Database!$A:$C,MATCH($B$1,Database!$A$1:$C$1,),)=0,#N/A,VLOOKUP(Table7[[#This Row],[Date]],Database!$A:$C,MATCH($B$1,Database!$A$1:$C$1,),))</f>
        <v/>
      </c>
      <c r="C734">
        <f>IF(VLOOKUP(Table7[[#This Row],[Date]],Database!$A:$C,MATCH($C$1,Database!$A$1:$C$1,),)=0,#N/A,VLOOKUP(Table7[[#This Row],[Date]],Database!$A:$C,MATCH($C$1,Database!$A$1:$C$1,),))</f>
        <v/>
      </c>
      <c r="D734">
        <f>IFERROR(Table7[[#This Row],[United States 10y]]-Table7[[#This Row],[United States 3y]],#N/A)</f>
        <v/>
      </c>
    </row>
    <row r="735">
      <c r="A735" s="6">
        <f>Database!$A2820</f>
        <v/>
      </c>
      <c r="B735">
        <f>IF(VLOOKUP(Table7[[#This Row],[Date]],Database!$A:$C,MATCH($B$1,Database!$A$1:$C$1,),)=0,#N/A,VLOOKUP(Table7[[#This Row],[Date]],Database!$A:$C,MATCH($B$1,Database!$A$1:$C$1,),))</f>
        <v/>
      </c>
      <c r="C735">
        <f>IF(VLOOKUP(Table7[[#This Row],[Date]],Database!$A:$C,MATCH($C$1,Database!$A$1:$C$1,),)=0,#N/A,VLOOKUP(Table7[[#This Row],[Date]],Database!$A:$C,MATCH($C$1,Database!$A$1:$C$1,),))</f>
        <v/>
      </c>
      <c r="D735">
        <f>IFERROR(Table7[[#This Row],[United States 10y]]-Table7[[#This Row],[United States 3y]],#N/A)</f>
        <v/>
      </c>
    </row>
    <row r="736">
      <c r="A736" s="6">
        <f>Database!$A2821</f>
        <v/>
      </c>
      <c r="B736">
        <f>IF(VLOOKUP(Table7[[#This Row],[Date]],Database!$A:$C,MATCH($B$1,Database!$A$1:$C$1,),)=0,#N/A,VLOOKUP(Table7[[#This Row],[Date]],Database!$A:$C,MATCH($B$1,Database!$A$1:$C$1,),))</f>
        <v/>
      </c>
      <c r="C736">
        <f>IF(VLOOKUP(Table7[[#This Row],[Date]],Database!$A:$C,MATCH($C$1,Database!$A$1:$C$1,),)=0,#N/A,VLOOKUP(Table7[[#This Row],[Date]],Database!$A:$C,MATCH($C$1,Database!$A$1:$C$1,),))</f>
        <v/>
      </c>
      <c r="D736">
        <f>IFERROR(Table7[[#This Row],[United States 10y]]-Table7[[#This Row],[United States 3y]],#N/A)</f>
        <v/>
      </c>
    </row>
    <row r="737">
      <c r="A737" s="6">
        <f>Database!$A2822</f>
        <v/>
      </c>
      <c r="B737">
        <f>IF(VLOOKUP(Table7[[#This Row],[Date]],Database!$A:$C,MATCH($B$1,Database!$A$1:$C$1,),)=0,#N/A,VLOOKUP(Table7[[#This Row],[Date]],Database!$A:$C,MATCH($B$1,Database!$A$1:$C$1,),))</f>
        <v/>
      </c>
      <c r="C737">
        <f>IF(VLOOKUP(Table7[[#This Row],[Date]],Database!$A:$C,MATCH($C$1,Database!$A$1:$C$1,),)=0,#N/A,VLOOKUP(Table7[[#This Row],[Date]],Database!$A:$C,MATCH($C$1,Database!$A$1:$C$1,),))</f>
        <v/>
      </c>
      <c r="D737">
        <f>IFERROR(Table7[[#This Row],[United States 10y]]-Table7[[#This Row],[United States 3y]],#N/A)</f>
        <v/>
      </c>
    </row>
    <row r="738">
      <c r="A738" s="6">
        <f>Database!$A2823</f>
        <v/>
      </c>
      <c r="B738">
        <f>IF(VLOOKUP(Table7[[#This Row],[Date]],Database!$A:$C,MATCH($B$1,Database!$A$1:$C$1,),)=0,#N/A,VLOOKUP(Table7[[#This Row],[Date]],Database!$A:$C,MATCH($B$1,Database!$A$1:$C$1,),))</f>
        <v/>
      </c>
      <c r="C738">
        <f>IF(VLOOKUP(Table7[[#This Row],[Date]],Database!$A:$C,MATCH($C$1,Database!$A$1:$C$1,),)=0,#N/A,VLOOKUP(Table7[[#This Row],[Date]],Database!$A:$C,MATCH($C$1,Database!$A$1:$C$1,),))</f>
        <v/>
      </c>
      <c r="D738">
        <f>IFERROR(Table7[[#This Row],[United States 10y]]-Table7[[#This Row],[United States 3y]],#N/A)</f>
        <v/>
      </c>
    </row>
    <row r="739">
      <c r="A739" s="6">
        <f>Database!$A2824</f>
        <v/>
      </c>
      <c r="B739">
        <f>IF(VLOOKUP(Table7[[#This Row],[Date]],Database!$A:$C,MATCH($B$1,Database!$A$1:$C$1,),)=0,#N/A,VLOOKUP(Table7[[#This Row],[Date]],Database!$A:$C,MATCH($B$1,Database!$A$1:$C$1,),))</f>
        <v/>
      </c>
      <c r="C739">
        <f>IF(VLOOKUP(Table7[[#This Row],[Date]],Database!$A:$C,MATCH($C$1,Database!$A$1:$C$1,),)=0,#N/A,VLOOKUP(Table7[[#This Row],[Date]],Database!$A:$C,MATCH($C$1,Database!$A$1:$C$1,),))</f>
        <v/>
      </c>
      <c r="D739">
        <f>IFERROR(Table7[[#This Row],[United States 10y]]-Table7[[#This Row],[United States 3y]],#N/A)</f>
        <v/>
      </c>
    </row>
    <row r="740">
      <c r="A740" s="6">
        <f>Database!$A2825</f>
        <v/>
      </c>
      <c r="B740">
        <f>IF(VLOOKUP(Table7[[#This Row],[Date]],Database!$A:$C,MATCH($B$1,Database!$A$1:$C$1,),)=0,#N/A,VLOOKUP(Table7[[#This Row],[Date]],Database!$A:$C,MATCH($B$1,Database!$A$1:$C$1,),))</f>
        <v/>
      </c>
      <c r="C740">
        <f>IF(VLOOKUP(Table7[[#This Row],[Date]],Database!$A:$C,MATCH($C$1,Database!$A$1:$C$1,),)=0,#N/A,VLOOKUP(Table7[[#This Row],[Date]],Database!$A:$C,MATCH($C$1,Database!$A$1:$C$1,),))</f>
        <v/>
      </c>
      <c r="D740">
        <f>IFERROR(Table7[[#This Row],[United States 10y]]-Table7[[#This Row],[United States 3y]],#N/A)</f>
        <v/>
      </c>
    </row>
    <row r="741">
      <c r="A741" s="6">
        <f>Database!$A2826</f>
        <v/>
      </c>
      <c r="B741">
        <f>IF(VLOOKUP(Table7[[#This Row],[Date]],Database!$A:$C,MATCH($B$1,Database!$A$1:$C$1,),)=0,#N/A,VLOOKUP(Table7[[#This Row],[Date]],Database!$A:$C,MATCH($B$1,Database!$A$1:$C$1,),))</f>
        <v/>
      </c>
      <c r="C741">
        <f>IF(VLOOKUP(Table7[[#This Row],[Date]],Database!$A:$C,MATCH($C$1,Database!$A$1:$C$1,),)=0,#N/A,VLOOKUP(Table7[[#This Row],[Date]],Database!$A:$C,MATCH($C$1,Database!$A$1:$C$1,),))</f>
        <v/>
      </c>
      <c r="D741">
        <f>IFERROR(Table7[[#This Row],[United States 10y]]-Table7[[#This Row],[United States 3y]],#N/A)</f>
        <v/>
      </c>
    </row>
    <row r="742">
      <c r="A742" s="6">
        <f>Database!$A2827</f>
        <v/>
      </c>
      <c r="B742">
        <f>IF(VLOOKUP(Table7[[#This Row],[Date]],Database!$A:$C,MATCH($B$1,Database!$A$1:$C$1,),)=0,#N/A,VLOOKUP(Table7[[#This Row],[Date]],Database!$A:$C,MATCH($B$1,Database!$A$1:$C$1,),))</f>
        <v/>
      </c>
      <c r="C742">
        <f>IF(VLOOKUP(Table7[[#This Row],[Date]],Database!$A:$C,MATCH($C$1,Database!$A$1:$C$1,),)=0,#N/A,VLOOKUP(Table7[[#This Row],[Date]],Database!$A:$C,MATCH($C$1,Database!$A$1:$C$1,),))</f>
        <v/>
      </c>
      <c r="D742">
        <f>IFERROR(Table7[[#This Row],[United States 10y]]-Table7[[#This Row],[United States 3y]],#N/A)</f>
        <v/>
      </c>
    </row>
    <row r="743">
      <c r="A743" s="6">
        <f>Database!$A2828</f>
        <v/>
      </c>
      <c r="B743">
        <f>IF(VLOOKUP(Table7[[#This Row],[Date]],Database!$A:$C,MATCH($B$1,Database!$A$1:$C$1,),)=0,#N/A,VLOOKUP(Table7[[#This Row],[Date]],Database!$A:$C,MATCH($B$1,Database!$A$1:$C$1,),))</f>
        <v/>
      </c>
      <c r="C743">
        <f>IF(VLOOKUP(Table7[[#This Row],[Date]],Database!$A:$C,MATCH($C$1,Database!$A$1:$C$1,),)=0,#N/A,VLOOKUP(Table7[[#This Row],[Date]],Database!$A:$C,MATCH($C$1,Database!$A$1:$C$1,),))</f>
        <v/>
      </c>
      <c r="D743">
        <f>IFERROR(Table7[[#This Row],[United States 10y]]-Table7[[#This Row],[United States 3y]],#N/A)</f>
        <v/>
      </c>
    </row>
    <row r="744">
      <c r="A744" s="6">
        <f>Database!$A2829</f>
        <v/>
      </c>
      <c r="B744">
        <f>IF(VLOOKUP(Table7[[#This Row],[Date]],Database!$A:$C,MATCH($B$1,Database!$A$1:$C$1,),)=0,#N/A,VLOOKUP(Table7[[#This Row],[Date]],Database!$A:$C,MATCH($B$1,Database!$A$1:$C$1,),))</f>
        <v/>
      </c>
      <c r="C744">
        <f>IF(VLOOKUP(Table7[[#This Row],[Date]],Database!$A:$C,MATCH($C$1,Database!$A$1:$C$1,),)=0,#N/A,VLOOKUP(Table7[[#This Row],[Date]],Database!$A:$C,MATCH($C$1,Database!$A$1:$C$1,),))</f>
        <v/>
      </c>
      <c r="D744">
        <f>IFERROR(Table7[[#This Row],[United States 10y]]-Table7[[#This Row],[United States 3y]],#N/A)</f>
        <v/>
      </c>
    </row>
    <row r="745">
      <c r="A745" s="6">
        <f>Database!$A2830</f>
        <v/>
      </c>
      <c r="B745">
        <f>IF(VLOOKUP(Table7[[#This Row],[Date]],Database!$A:$C,MATCH($B$1,Database!$A$1:$C$1,),)=0,#N/A,VLOOKUP(Table7[[#This Row],[Date]],Database!$A:$C,MATCH($B$1,Database!$A$1:$C$1,),))</f>
        <v/>
      </c>
      <c r="C745">
        <f>IF(VLOOKUP(Table7[[#This Row],[Date]],Database!$A:$C,MATCH($C$1,Database!$A$1:$C$1,),)=0,#N/A,VLOOKUP(Table7[[#This Row],[Date]],Database!$A:$C,MATCH($C$1,Database!$A$1:$C$1,),))</f>
        <v/>
      </c>
      <c r="D745">
        <f>IFERROR(Table7[[#This Row],[United States 10y]]-Table7[[#This Row],[United States 3y]],#N/A)</f>
        <v/>
      </c>
    </row>
    <row r="746">
      <c r="A746" s="6">
        <f>Database!$A2831</f>
        <v/>
      </c>
      <c r="B746">
        <f>IF(VLOOKUP(Table7[[#This Row],[Date]],Database!$A:$C,MATCH($B$1,Database!$A$1:$C$1,),)=0,#N/A,VLOOKUP(Table7[[#This Row],[Date]],Database!$A:$C,MATCH($B$1,Database!$A$1:$C$1,),))</f>
        <v/>
      </c>
      <c r="C746">
        <f>IF(VLOOKUP(Table7[[#This Row],[Date]],Database!$A:$C,MATCH($C$1,Database!$A$1:$C$1,),)=0,#N/A,VLOOKUP(Table7[[#This Row],[Date]],Database!$A:$C,MATCH($C$1,Database!$A$1:$C$1,),))</f>
        <v/>
      </c>
      <c r="D746">
        <f>IFERROR(Table7[[#This Row],[United States 10y]]-Table7[[#This Row],[United States 3y]],#N/A)</f>
        <v/>
      </c>
    </row>
    <row r="747">
      <c r="A747" s="6">
        <f>Database!$A2832</f>
        <v/>
      </c>
      <c r="B747">
        <f>IF(VLOOKUP(Table7[[#This Row],[Date]],Database!$A:$C,MATCH($B$1,Database!$A$1:$C$1,),)=0,#N/A,VLOOKUP(Table7[[#This Row],[Date]],Database!$A:$C,MATCH($B$1,Database!$A$1:$C$1,),))</f>
        <v/>
      </c>
      <c r="C747">
        <f>IF(VLOOKUP(Table7[[#This Row],[Date]],Database!$A:$C,MATCH($C$1,Database!$A$1:$C$1,),)=0,#N/A,VLOOKUP(Table7[[#This Row],[Date]],Database!$A:$C,MATCH($C$1,Database!$A$1:$C$1,),))</f>
        <v/>
      </c>
      <c r="D747">
        <f>IFERROR(Table7[[#This Row],[United States 10y]]-Table7[[#This Row],[United States 3y]],#N/A)</f>
        <v/>
      </c>
    </row>
    <row r="748">
      <c r="A748" s="6">
        <f>Database!$A2833</f>
        <v/>
      </c>
      <c r="B748">
        <f>IF(VLOOKUP(Table7[[#This Row],[Date]],Database!$A:$C,MATCH($B$1,Database!$A$1:$C$1,),)=0,#N/A,VLOOKUP(Table7[[#This Row],[Date]],Database!$A:$C,MATCH($B$1,Database!$A$1:$C$1,),))</f>
        <v/>
      </c>
      <c r="C748">
        <f>IF(VLOOKUP(Table7[[#This Row],[Date]],Database!$A:$C,MATCH($C$1,Database!$A$1:$C$1,),)=0,#N/A,VLOOKUP(Table7[[#This Row],[Date]],Database!$A:$C,MATCH($C$1,Database!$A$1:$C$1,),))</f>
        <v/>
      </c>
      <c r="D748">
        <f>IFERROR(Table7[[#This Row],[United States 10y]]-Table7[[#This Row],[United States 3y]],#N/A)</f>
        <v/>
      </c>
    </row>
    <row r="749">
      <c r="A749" s="6">
        <f>Database!$A2834</f>
        <v/>
      </c>
      <c r="B749">
        <f>IF(VLOOKUP(Table7[[#This Row],[Date]],Database!$A:$C,MATCH($B$1,Database!$A$1:$C$1,),)=0,#N/A,VLOOKUP(Table7[[#This Row],[Date]],Database!$A:$C,MATCH($B$1,Database!$A$1:$C$1,),))</f>
        <v/>
      </c>
      <c r="C749">
        <f>IF(VLOOKUP(Table7[[#This Row],[Date]],Database!$A:$C,MATCH($C$1,Database!$A$1:$C$1,),)=0,#N/A,VLOOKUP(Table7[[#This Row],[Date]],Database!$A:$C,MATCH($C$1,Database!$A$1:$C$1,),))</f>
        <v/>
      </c>
      <c r="D749">
        <f>IFERROR(Table7[[#This Row],[United States 10y]]-Table7[[#This Row],[United States 3y]],#N/A)</f>
        <v/>
      </c>
    </row>
    <row r="750">
      <c r="A750" s="6">
        <f>Database!$A2835</f>
        <v/>
      </c>
      <c r="B750">
        <f>IF(VLOOKUP(Table7[[#This Row],[Date]],Database!$A:$C,MATCH($B$1,Database!$A$1:$C$1,),)=0,#N/A,VLOOKUP(Table7[[#This Row],[Date]],Database!$A:$C,MATCH($B$1,Database!$A$1:$C$1,),))</f>
        <v/>
      </c>
      <c r="C750">
        <f>IF(VLOOKUP(Table7[[#This Row],[Date]],Database!$A:$C,MATCH($C$1,Database!$A$1:$C$1,),)=0,#N/A,VLOOKUP(Table7[[#This Row],[Date]],Database!$A:$C,MATCH($C$1,Database!$A$1:$C$1,),))</f>
        <v/>
      </c>
      <c r="D750">
        <f>IFERROR(Table7[[#This Row],[United States 10y]]-Table7[[#This Row],[United States 3y]],#N/A)</f>
        <v/>
      </c>
    </row>
    <row r="751">
      <c r="A751" s="6">
        <f>Database!$A2836</f>
        <v/>
      </c>
      <c r="B751">
        <f>IF(VLOOKUP(Table7[[#This Row],[Date]],Database!$A:$C,MATCH($B$1,Database!$A$1:$C$1,),)=0,#N/A,VLOOKUP(Table7[[#This Row],[Date]],Database!$A:$C,MATCH($B$1,Database!$A$1:$C$1,),))</f>
        <v/>
      </c>
      <c r="C751">
        <f>IF(VLOOKUP(Table7[[#This Row],[Date]],Database!$A:$C,MATCH($C$1,Database!$A$1:$C$1,),)=0,#N/A,VLOOKUP(Table7[[#This Row],[Date]],Database!$A:$C,MATCH($C$1,Database!$A$1:$C$1,),))</f>
        <v/>
      </c>
      <c r="D751">
        <f>IFERROR(Table7[[#This Row],[United States 10y]]-Table7[[#This Row],[United States 3y]],#N/A)</f>
        <v/>
      </c>
    </row>
    <row r="752">
      <c r="A752" s="6">
        <f>Database!$A2837</f>
        <v/>
      </c>
      <c r="B752">
        <f>IF(VLOOKUP(Table7[[#This Row],[Date]],Database!$A:$C,MATCH($B$1,Database!$A$1:$C$1,),)=0,#N/A,VLOOKUP(Table7[[#This Row],[Date]],Database!$A:$C,MATCH($B$1,Database!$A$1:$C$1,),))</f>
        <v/>
      </c>
      <c r="C752">
        <f>IF(VLOOKUP(Table7[[#This Row],[Date]],Database!$A:$C,MATCH($C$1,Database!$A$1:$C$1,),)=0,#N/A,VLOOKUP(Table7[[#This Row],[Date]],Database!$A:$C,MATCH($C$1,Database!$A$1:$C$1,),))</f>
        <v/>
      </c>
      <c r="D752">
        <f>IFERROR(Table7[[#This Row],[United States 10y]]-Table7[[#This Row],[United States 3y]],#N/A)</f>
        <v/>
      </c>
    </row>
    <row r="753">
      <c r="A753" s="6">
        <f>Database!$A2838</f>
        <v/>
      </c>
      <c r="B753">
        <f>IF(VLOOKUP(Table7[[#This Row],[Date]],Database!$A:$C,MATCH($B$1,Database!$A$1:$C$1,),)=0,#N/A,VLOOKUP(Table7[[#This Row],[Date]],Database!$A:$C,MATCH($B$1,Database!$A$1:$C$1,),))</f>
        <v/>
      </c>
      <c r="C753">
        <f>IF(VLOOKUP(Table7[[#This Row],[Date]],Database!$A:$C,MATCH($C$1,Database!$A$1:$C$1,),)=0,#N/A,VLOOKUP(Table7[[#This Row],[Date]],Database!$A:$C,MATCH($C$1,Database!$A$1:$C$1,),))</f>
        <v/>
      </c>
      <c r="D753">
        <f>IFERROR(Table7[[#This Row],[United States 10y]]-Table7[[#This Row],[United States 3y]],#N/A)</f>
        <v/>
      </c>
    </row>
    <row r="754">
      <c r="A754" s="6">
        <f>Database!$A2839</f>
        <v/>
      </c>
      <c r="B754">
        <f>IF(VLOOKUP(Table7[[#This Row],[Date]],Database!$A:$C,MATCH($B$1,Database!$A$1:$C$1,),)=0,#N/A,VLOOKUP(Table7[[#This Row],[Date]],Database!$A:$C,MATCH($B$1,Database!$A$1:$C$1,),))</f>
        <v/>
      </c>
      <c r="C754">
        <f>IF(VLOOKUP(Table7[[#This Row],[Date]],Database!$A:$C,MATCH($C$1,Database!$A$1:$C$1,),)=0,#N/A,VLOOKUP(Table7[[#This Row],[Date]],Database!$A:$C,MATCH($C$1,Database!$A$1:$C$1,),))</f>
        <v/>
      </c>
      <c r="D754">
        <f>IFERROR(Table7[[#This Row],[United States 10y]]-Table7[[#This Row],[United States 3y]],#N/A)</f>
        <v/>
      </c>
    </row>
    <row r="755">
      <c r="A755" s="6">
        <f>Database!$A2840</f>
        <v/>
      </c>
      <c r="B755">
        <f>IF(VLOOKUP(Table7[[#This Row],[Date]],Database!$A:$C,MATCH($B$1,Database!$A$1:$C$1,),)=0,#N/A,VLOOKUP(Table7[[#This Row],[Date]],Database!$A:$C,MATCH($B$1,Database!$A$1:$C$1,),))</f>
        <v/>
      </c>
      <c r="C755">
        <f>IF(VLOOKUP(Table7[[#This Row],[Date]],Database!$A:$C,MATCH($C$1,Database!$A$1:$C$1,),)=0,#N/A,VLOOKUP(Table7[[#This Row],[Date]],Database!$A:$C,MATCH($C$1,Database!$A$1:$C$1,),))</f>
        <v/>
      </c>
      <c r="D755">
        <f>IFERROR(Table7[[#This Row],[United States 10y]]-Table7[[#This Row],[United States 3y]],#N/A)</f>
        <v/>
      </c>
    </row>
    <row r="756">
      <c r="A756" s="6">
        <f>Database!$A2841</f>
        <v/>
      </c>
      <c r="B756">
        <f>IF(VLOOKUP(Table7[[#This Row],[Date]],Database!$A:$C,MATCH($B$1,Database!$A$1:$C$1,),)=0,#N/A,VLOOKUP(Table7[[#This Row],[Date]],Database!$A:$C,MATCH($B$1,Database!$A$1:$C$1,),))</f>
        <v/>
      </c>
      <c r="C756">
        <f>IF(VLOOKUP(Table7[[#This Row],[Date]],Database!$A:$C,MATCH($C$1,Database!$A$1:$C$1,),)=0,#N/A,VLOOKUP(Table7[[#This Row],[Date]],Database!$A:$C,MATCH($C$1,Database!$A$1:$C$1,),))</f>
        <v/>
      </c>
      <c r="D756">
        <f>IFERROR(Table7[[#This Row],[United States 10y]]-Table7[[#This Row],[United States 3y]],#N/A)</f>
        <v/>
      </c>
    </row>
    <row r="757">
      <c r="A757" s="6">
        <f>Database!$A2842</f>
        <v/>
      </c>
      <c r="B757">
        <f>IF(VLOOKUP(Table7[[#This Row],[Date]],Database!$A:$C,MATCH($B$1,Database!$A$1:$C$1,),)=0,#N/A,VLOOKUP(Table7[[#This Row],[Date]],Database!$A:$C,MATCH($B$1,Database!$A$1:$C$1,),))</f>
        <v/>
      </c>
      <c r="C757">
        <f>IF(VLOOKUP(Table7[[#This Row],[Date]],Database!$A:$C,MATCH($C$1,Database!$A$1:$C$1,),)=0,#N/A,VLOOKUP(Table7[[#This Row],[Date]],Database!$A:$C,MATCH($C$1,Database!$A$1:$C$1,),))</f>
        <v/>
      </c>
      <c r="D757">
        <f>IFERROR(Table7[[#This Row],[United States 10y]]-Table7[[#This Row],[United States 3y]],#N/A)</f>
        <v/>
      </c>
    </row>
    <row r="758">
      <c r="A758" s="6">
        <f>Database!$A2843</f>
        <v/>
      </c>
      <c r="B758">
        <f>IF(VLOOKUP(Table7[[#This Row],[Date]],Database!$A:$C,MATCH($B$1,Database!$A$1:$C$1,),)=0,#N/A,VLOOKUP(Table7[[#This Row],[Date]],Database!$A:$C,MATCH($B$1,Database!$A$1:$C$1,),))</f>
        <v/>
      </c>
      <c r="C758">
        <f>IF(VLOOKUP(Table7[[#This Row],[Date]],Database!$A:$C,MATCH($C$1,Database!$A$1:$C$1,),)=0,#N/A,VLOOKUP(Table7[[#This Row],[Date]],Database!$A:$C,MATCH($C$1,Database!$A$1:$C$1,),))</f>
        <v/>
      </c>
      <c r="D758">
        <f>IFERROR(Table7[[#This Row],[United States 10y]]-Table7[[#This Row],[United States 3y]],#N/A)</f>
        <v/>
      </c>
    </row>
    <row r="759">
      <c r="A759" s="6">
        <f>Database!$A2844</f>
        <v/>
      </c>
      <c r="B759">
        <f>IF(VLOOKUP(Table7[[#This Row],[Date]],Database!$A:$C,MATCH($B$1,Database!$A$1:$C$1,),)=0,#N/A,VLOOKUP(Table7[[#This Row],[Date]],Database!$A:$C,MATCH($B$1,Database!$A$1:$C$1,),))</f>
        <v/>
      </c>
      <c r="C759">
        <f>IF(VLOOKUP(Table7[[#This Row],[Date]],Database!$A:$C,MATCH($C$1,Database!$A$1:$C$1,),)=0,#N/A,VLOOKUP(Table7[[#This Row],[Date]],Database!$A:$C,MATCH($C$1,Database!$A$1:$C$1,),))</f>
        <v/>
      </c>
      <c r="D759">
        <f>IFERROR(Table7[[#This Row],[United States 10y]]-Table7[[#This Row],[United States 3y]],#N/A)</f>
        <v/>
      </c>
    </row>
    <row r="760">
      <c r="A760" s="6">
        <f>Database!$A2845</f>
        <v/>
      </c>
      <c r="B760">
        <f>IF(VLOOKUP(Table7[[#This Row],[Date]],Database!$A:$C,MATCH($B$1,Database!$A$1:$C$1,),)=0,#N/A,VLOOKUP(Table7[[#This Row],[Date]],Database!$A:$C,MATCH($B$1,Database!$A$1:$C$1,),))</f>
        <v/>
      </c>
      <c r="C760">
        <f>IF(VLOOKUP(Table7[[#This Row],[Date]],Database!$A:$C,MATCH($C$1,Database!$A$1:$C$1,),)=0,#N/A,VLOOKUP(Table7[[#This Row],[Date]],Database!$A:$C,MATCH($C$1,Database!$A$1:$C$1,),))</f>
        <v/>
      </c>
      <c r="D760">
        <f>IFERROR(Table7[[#This Row],[United States 10y]]-Table7[[#This Row],[United States 3y]],#N/A)</f>
        <v/>
      </c>
    </row>
    <row r="761">
      <c r="A761" s="6">
        <f>Database!$A2846</f>
        <v/>
      </c>
      <c r="B761">
        <f>IF(VLOOKUP(Table7[[#This Row],[Date]],Database!$A:$C,MATCH($B$1,Database!$A$1:$C$1,),)=0,#N/A,VLOOKUP(Table7[[#This Row],[Date]],Database!$A:$C,MATCH($B$1,Database!$A$1:$C$1,),))</f>
        <v/>
      </c>
      <c r="C761">
        <f>IF(VLOOKUP(Table7[[#This Row],[Date]],Database!$A:$C,MATCH($C$1,Database!$A$1:$C$1,),)=0,#N/A,VLOOKUP(Table7[[#This Row],[Date]],Database!$A:$C,MATCH($C$1,Database!$A$1:$C$1,),))</f>
        <v/>
      </c>
      <c r="D761">
        <f>IFERROR(Table7[[#This Row],[United States 10y]]-Table7[[#This Row],[United States 3y]],#N/A)</f>
        <v/>
      </c>
    </row>
    <row r="762">
      <c r="A762" s="6">
        <f>Database!$A2847</f>
        <v/>
      </c>
      <c r="B762">
        <f>IF(VLOOKUP(Table7[[#This Row],[Date]],Database!$A:$C,MATCH($B$1,Database!$A$1:$C$1,),)=0,#N/A,VLOOKUP(Table7[[#This Row],[Date]],Database!$A:$C,MATCH($B$1,Database!$A$1:$C$1,),))</f>
        <v/>
      </c>
      <c r="C762">
        <f>IF(VLOOKUP(Table7[[#This Row],[Date]],Database!$A:$C,MATCH($C$1,Database!$A$1:$C$1,),)=0,#N/A,VLOOKUP(Table7[[#This Row],[Date]],Database!$A:$C,MATCH($C$1,Database!$A$1:$C$1,),))</f>
        <v/>
      </c>
      <c r="D762">
        <f>IFERROR(Table7[[#This Row],[United States 10y]]-Table7[[#This Row],[United States 3y]],#N/A)</f>
        <v/>
      </c>
    </row>
    <row r="763">
      <c r="A763" s="6">
        <f>Database!$A2848</f>
        <v/>
      </c>
      <c r="B763">
        <f>IF(VLOOKUP(Table7[[#This Row],[Date]],Database!$A:$C,MATCH($B$1,Database!$A$1:$C$1,),)=0,#N/A,VLOOKUP(Table7[[#This Row],[Date]],Database!$A:$C,MATCH($B$1,Database!$A$1:$C$1,),))</f>
        <v/>
      </c>
      <c r="C763">
        <f>IF(VLOOKUP(Table7[[#This Row],[Date]],Database!$A:$C,MATCH($C$1,Database!$A$1:$C$1,),)=0,#N/A,VLOOKUP(Table7[[#This Row],[Date]],Database!$A:$C,MATCH($C$1,Database!$A$1:$C$1,),))</f>
        <v/>
      </c>
      <c r="D763">
        <f>IFERROR(Table7[[#This Row],[United States 10y]]-Table7[[#This Row],[United States 3y]],#N/A)</f>
        <v/>
      </c>
    </row>
    <row r="764">
      <c r="A764" s="6">
        <f>Database!$A2849</f>
        <v/>
      </c>
      <c r="B764">
        <f>IF(VLOOKUP(Table7[[#This Row],[Date]],Database!$A:$C,MATCH($B$1,Database!$A$1:$C$1,),)=0,#N/A,VLOOKUP(Table7[[#This Row],[Date]],Database!$A:$C,MATCH($B$1,Database!$A$1:$C$1,),))</f>
        <v/>
      </c>
      <c r="C764">
        <f>IF(VLOOKUP(Table7[[#This Row],[Date]],Database!$A:$C,MATCH($C$1,Database!$A$1:$C$1,),)=0,#N/A,VLOOKUP(Table7[[#This Row],[Date]],Database!$A:$C,MATCH($C$1,Database!$A$1:$C$1,),))</f>
        <v/>
      </c>
      <c r="D764">
        <f>IFERROR(Table7[[#This Row],[United States 10y]]-Table7[[#This Row],[United States 3y]],#N/A)</f>
        <v/>
      </c>
    </row>
    <row r="765">
      <c r="A765" s="6">
        <f>Database!$A2850</f>
        <v/>
      </c>
      <c r="B765">
        <f>IF(VLOOKUP(Table7[[#This Row],[Date]],Database!$A:$C,MATCH($B$1,Database!$A$1:$C$1,),)=0,#N/A,VLOOKUP(Table7[[#This Row],[Date]],Database!$A:$C,MATCH($B$1,Database!$A$1:$C$1,),))</f>
        <v/>
      </c>
      <c r="C765">
        <f>IF(VLOOKUP(Table7[[#This Row],[Date]],Database!$A:$C,MATCH($C$1,Database!$A$1:$C$1,),)=0,#N/A,VLOOKUP(Table7[[#This Row],[Date]],Database!$A:$C,MATCH($C$1,Database!$A$1:$C$1,),))</f>
        <v/>
      </c>
      <c r="D765">
        <f>IFERROR(Table7[[#This Row],[United States 10y]]-Table7[[#This Row],[United States 3y]],#N/A)</f>
        <v/>
      </c>
    </row>
    <row r="766">
      <c r="A766" s="6">
        <f>Database!$A2851</f>
        <v/>
      </c>
      <c r="B766">
        <f>IF(VLOOKUP(Table7[[#This Row],[Date]],Database!$A:$C,MATCH($B$1,Database!$A$1:$C$1,),)=0,#N/A,VLOOKUP(Table7[[#This Row],[Date]],Database!$A:$C,MATCH($B$1,Database!$A$1:$C$1,),))</f>
        <v/>
      </c>
      <c r="C766">
        <f>IF(VLOOKUP(Table7[[#This Row],[Date]],Database!$A:$C,MATCH($C$1,Database!$A$1:$C$1,),)=0,#N/A,VLOOKUP(Table7[[#This Row],[Date]],Database!$A:$C,MATCH($C$1,Database!$A$1:$C$1,),))</f>
        <v/>
      </c>
      <c r="D766">
        <f>IFERROR(Table7[[#This Row],[United States 10y]]-Table7[[#This Row],[United States 3y]],#N/A)</f>
        <v/>
      </c>
    </row>
    <row r="767">
      <c r="A767" s="6">
        <f>Database!$A2852</f>
        <v/>
      </c>
      <c r="B767">
        <f>IF(VLOOKUP(Table7[[#This Row],[Date]],Database!$A:$C,MATCH($B$1,Database!$A$1:$C$1,),)=0,#N/A,VLOOKUP(Table7[[#This Row],[Date]],Database!$A:$C,MATCH($B$1,Database!$A$1:$C$1,),))</f>
        <v/>
      </c>
      <c r="C767">
        <f>IF(VLOOKUP(Table7[[#This Row],[Date]],Database!$A:$C,MATCH($C$1,Database!$A$1:$C$1,),)=0,#N/A,VLOOKUP(Table7[[#This Row],[Date]],Database!$A:$C,MATCH($C$1,Database!$A$1:$C$1,),))</f>
        <v/>
      </c>
      <c r="D767">
        <f>IFERROR(Table7[[#This Row],[United States 10y]]-Table7[[#This Row],[United States 3y]],#N/A)</f>
        <v/>
      </c>
    </row>
    <row r="768">
      <c r="A768" s="6">
        <f>Database!$A2853</f>
        <v/>
      </c>
      <c r="B768">
        <f>IF(VLOOKUP(Table7[[#This Row],[Date]],Database!$A:$C,MATCH($B$1,Database!$A$1:$C$1,),)=0,#N/A,VLOOKUP(Table7[[#This Row],[Date]],Database!$A:$C,MATCH($B$1,Database!$A$1:$C$1,),))</f>
        <v/>
      </c>
      <c r="C768">
        <f>IF(VLOOKUP(Table7[[#This Row],[Date]],Database!$A:$C,MATCH($C$1,Database!$A$1:$C$1,),)=0,#N/A,VLOOKUP(Table7[[#This Row],[Date]],Database!$A:$C,MATCH($C$1,Database!$A$1:$C$1,),))</f>
        <v/>
      </c>
      <c r="D768">
        <f>IFERROR(Table7[[#This Row],[United States 10y]]-Table7[[#This Row],[United States 3y]],#N/A)</f>
        <v/>
      </c>
    </row>
    <row r="769">
      <c r="A769" s="6">
        <f>Database!$A2854</f>
        <v/>
      </c>
      <c r="B769">
        <f>IF(VLOOKUP(Table7[[#This Row],[Date]],Database!$A:$C,MATCH($B$1,Database!$A$1:$C$1,),)=0,#N/A,VLOOKUP(Table7[[#This Row],[Date]],Database!$A:$C,MATCH($B$1,Database!$A$1:$C$1,),))</f>
        <v/>
      </c>
      <c r="C769">
        <f>IF(VLOOKUP(Table7[[#This Row],[Date]],Database!$A:$C,MATCH($C$1,Database!$A$1:$C$1,),)=0,#N/A,VLOOKUP(Table7[[#This Row],[Date]],Database!$A:$C,MATCH($C$1,Database!$A$1:$C$1,),))</f>
        <v/>
      </c>
      <c r="D769">
        <f>IFERROR(Table7[[#This Row],[United States 10y]]-Table7[[#This Row],[United States 3y]],#N/A)</f>
        <v/>
      </c>
    </row>
    <row r="770">
      <c r="A770" s="6">
        <f>Database!$A2855</f>
        <v/>
      </c>
      <c r="B770">
        <f>IF(VLOOKUP(Table7[[#This Row],[Date]],Database!$A:$C,MATCH($B$1,Database!$A$1:$C$1,),)=0,#N/A,VLOOKUP(Table7[[#This Row],[Date]],Database!$A:$C,MATCH($B$1,Database!$A$1:$C$1,),))</f>
        <v/>
      </c>
      <c r="C770">
        <f>IF(VLOOKUP(Table7[[#This Row],[Date]],Database!$A:$C,MATCH($C$1,Database!$A$1:$C$1,),)=0,#N/A,VLOOKUP(Table7[[#This Row],[Date]],Database!$A:$C,MATCH($C$1,Database!$A$1:$C$1,),))</f>
        <v/>
      </c>
      <c r="D770">
        <f>IFERROR(Table7[[#This Row],[United States 10y]]-Table7[[#This Row],[United States 3y]],#N/A)</f>
        <v/>
      </c>
    </row>
    <row r="771">
      <c r="A771" s="6">
        <f>Database!$A2856</f>
        <v/>
      </c>
      <c r="B771">
        <f>IF(VLOOKUP(Table7[[#This Row],[Date]],Database!$A:$C,MATCH($B$1,Database!$A$1:$C$1,),)=0,#N/A,VLOOKUP(Table7[[#This Row],[Date]],Database!$A:$C,MATCH($B$1,Database!$A$1:$C$1,),))</f>
        <v/>
      </c>
      <c r="C771">
        <f>IF(VLOOKUP(Table7[[#This Row],[Date]],Database!$A:$C,MATCH($C$1,Database!$A$1:$C$1,),)=0,#N/A,VLOOKUP(Table7[[#This Row],[Date]],Database!$A:$C,MATCH($C$1,Database!$A$1:$C$1,),))</f>
        <v/>
      </c>
      <c r="D771">
        <f>IFERROR(Table7[[#This Row],[United States 10y]]-Table7[[#This Row],[United States 3y]],#N/A)</f>
        <v/>
      </c>
    </row>
    <row r="772">
      <c r="A772" s="6">
        <f>Database!$A2857</f>
        <v/>
      </c>
      <c r="B772">
        <f>IF(VLOOKUP(Table7[[#This Row],[Date]],Database!$A:$C,MATCH($B$1,Database!$A$1:$C$1,),)=0,#N/A,VLOOKUP(Table7[[#This Row],[Date]],Database!$A:$C,MATCH($B$1,Database!$A$1:$C$1,),))</f>
        <v/>
      </c>
      <c r="C772">
        <f>IF(VLOOKUP(Table7[[#This Row],[Date]],Database!$A:$C,MATCH($C$1,Database!$A$1:$C$1,),)=0,#N/A,VLOOKUP(Table7[[#This Row],[Date]],Database!$A:$C,MATCH($C$1,Database!$A$1:$C$1,),))</f>
        <v/>
      </c>
      <c r="D772">
        <f>IFERROR(Table7[[#This Row],[United States 10y]]-Table7[[#This Row],[United States 3y]],#N/A)</f>
        <v/>
      </c>
    </row>
    <row r="773">
      <c r="A773" s="6">
        <f>Database!$A2858</f>
        <v/>
      </c>
      <c r="B773">
        <f>IF(VLOOKUP(Table7[[#This Row],[Date]],Database!$A:$C,MATCH($B$1,Database!$A$1:$C$1,),)=0,#N/A,VLOOKUP(Table7[[#This Row],[Date]],Database!$A:$C,MATCH($B$1,Database!$A$1:$C$1,),))</f>
        <v/>
      </c>
      <c r="C773">
        <f>IF(VLOOKUP(Table7[[#This Row],[Date]],Database!$A:$C,MATCH($C$1,Database!$A$1:$C$1,),)=0,#N/A,VLOOKUP(Table7[[#This Row],[Date]],Database!$A:$C,MATCH($C$1,Database!$A$1:$C$1,),))</f>
        <v/>
      </c>
      <c r="D773">
        <f>IFERROR(Table7[[#This Row],[United States 10y]]-Table7[[#This Row],[United States 3y]],#N/A)</f>
        <v/>
      </c>
    </row>
    <row r="774">
      <c r="A774" s="6">
        <f>Database!$A2859</f>
        <v/>
      </c>
      <c r="B774">
        <f>IF(VLOOKUP(Table7[[#This Row],[Date]],Database!$A:$C,MATCH($B$1,Database!$A$1:$C$1,),)=0,#N/A,VLOOKUP(Table7[[#This Row],[Date]],Database!$A:$C,MATCH($B$1,Database!$A$1:$C$1,),))</f>
        <v/>
      </c>
      <c r="C774">
        <f>IF(VLOOKUP(Table7[[#This Row],[Date]],Database!$A:$C,MATCH($C$1,Database!$A$1:$C$1,),)=0,#N/A,VLOOKUP(Table7[[#This Row],[Date]],Database!$A:$C,MATCH($C$1,Database!$A$1:$C$1,),))</f>
        <v/>
      </c>
      <c r="D774">
        <f>IFERROR(Table7[[#This Row],[United States 10y]]-Table7[[#This Row],[United States 3y]],#N/A)</f>
        <v/>
      </c>
    </row>
    <row r="775">
      <c r="A775" s="6">
        <f>Database!$A2860</f>
        <v/>
      </c>
      <c r="B775">
        <f>IF(VLOOKUP(Table7[[#This Row],[Date]],Database!$A:$C,MATCH($B$1,Database!$A$1:$C$1,),)=0,#N/A,VLOOKUP(Table7[[#This Row],[Date]],Database!$A:$C,MATCH($B$1,Database!$A$1:$C$1,),))</f>
        <v/>
      </c>
      <c r="C775">
        <f>IF(VLOOKUP(Table7[[#This Row],[Date]],Database!$A:$C,MATCH($C$1,Database!$A$1:$C$1,),)=0,#N/A,VLOOKUP(Table7[[#This Row],[Date]],Database!$A:$C,MATCH($C$1,Database!$A$1:$C$1,),))</f>
        <v/>
      </c>
      <c r="D775">
        <f>IFERROR(Table7[[#This Row],[United States 10y]]-Table7[[#This Row],[United States 3y]],#N/A)</f>
        <v/>
      </c>
    </row>
    <row r="776">
      <c r="A776" s="6">
        <f>Database!$A2861</f>
        <v/>
      </c>
      <c r="B776">
        <f>IF(VLOOKUP(Table7[[#This Row],[Date]],Database!$A:$C,MATCH($B$1,Database!$A$1:$C$1,),)=0,#N/A,VLOOKUP(Table7[[#This Row],[Date]],Database!$A:$C,MATCH($B$1,Database!$A$1:$C$1,),))</f>
        <v/>
      </c>
      <c r="C776">
        <f>IF(VLOOKUP(Table7[[#This Row],[Date]],Database!$A:$C,MATCH($C$1,Database!$A$1:$C$1,),)=0,#N/A,VLOOKUP(Table7[[#This Row],[Date]],Database!$A:$C,MATCH($C$1,Database!$A$1:$C$1,),))</f>
        <v/>
      </c>
      <c r="D776">
        <f>IFERROR(Table7[[#This Row],[United States 10y]]-Table7[[#This Row],[United States 3y]],#N/A)</f>
        <v/>
      </c>
    </row>
    <row r="777">
      <c r="A777" s="6">
        <f>Database!$A2862</f>
        <v/>
      </c>
      <c r="B777">
        <f>IF(VLOOKUP(Table7[[#This Row],[Date]],Database!$A:$C,MATCH($B$1,Database!$A$1:$C$1,),)=0,#N/A,VLOOKUP(Table7[[#This Row],[Date]],Database!$A:$C,MATCH($B$1,Database!$A$1:$C$1,),))</f>
        <v/>
      </c>
      <c r="C777">
        <f>IF(VLOOKUP(Table7[[#This Row],[Date]],Database!$A:$C,MATCH($C$1,Database!$A$1:$C$1,),)=0,#N/A,VLOOKUP(Table7[[#This Row],[Date]],Database!$A:$C,MATCH($C$1,Database!$A$1:$C$1,),))</f>
        <v/>
      </c>
      <c r="D777">
        <f>IFERROR(Table7[[#This Row],[United States 10y]]-Table7[[#This Row],[United States 3y]],#N/A)</f>
        <v/>
      </c>
    </row>
    <row r="778">
      <c r="A778" s="6">
        <f>Database!$A2863</f>
        <v/>
      </c>
      <c r="B778">
        <f>IF(VLOOKUP(Table7[[#This Row],[Date]],Database!$A:$C,MATCH($B$1,Database!$A$1:$C$1,),)=0,#N/A,VLOOKUP(Table7[[#This Row],[Date]],Database!$A:$C,MATCH($B$1,Database!$A$1:$C$1,),))</f>
        <v/>
      </c>
      <c r="C778">
        <f>IF(VLOOKUP(Table7[[#This Row],[Date]],Database!$A:$C,MATCH($C$1,Database!$A$1:$C$1,),)=0,#N/A,VLOOKUP(Table7[[#This Row],[Date]],Database!$A:$C,MATCH($C$1,Database!$A$1:$C$1,),))</f>
        <v/>
      </c>
      <c r="D778">
        <f>IFERROR(Table7[[#This Row],[United States 10y]]-Table7[[#This Row],[United States 3y]],#N/A)</f>
        <v/>
      </c>
    </row>
    <row r="779">
      <c r="A779" s="6">
        <f>Database!$A2864</f>
        <v/>
      </c>
      <c r="B779">
        <f>IF(VLOOKUP(Table7[[#This Row],[Date]],Database!$A:$C,MATCH($B$1,Database!$A$1:$C$1,),)=0,#N/A,VLOOKUP(Table7[[#This Row],[Date]],Database!$A:$C,MATCH($B$1,Database!$A$1:$C$1,),))</f>
        <v/>
      </c>
      <c r="C779">
        <f>IF(VLOOKUP(Table7[[#This Row],[Date]],Database!$A:$C,MATCH($C$1,Database!$A$1:$C$1,),)=0,#N/A,VLOOKUP(Table7[[#This Row],[Date]],Database!$A:$C,MATCH($C$1,Database!$A$1:$C$1,),))</f>
        <v/>
      </c>
      <c r="D779">
        <f>IFERROR(Table7[[#This Row],[United States 10y]]-Table7[[#This Row],[United States 3y]],#N/A)</f>
        <v/>
      </c>
    </row>
    <row r="780">
      <c r="A780" s="6">
        <f>Database!$A2865</f>
        <v/>
      </c>
      <c r="B780">
        <f>IF(VLOOKUP(Table7[[#This Row],[Date]],Database!$A:$C,MATCH($B$1,Database!$A$1:$C$1,),)=0,#N/A,VLOOKUP(Table7[[#This Row],[Date]],Database!$A:$C,MATCH($B$1,Database!$A$1:$C$1,),))</f>
        <v/>
      </c>
      <c r="C780">
        <f>IF(VLOOKUP(Table7[[#This Row],[Date]],Database!$A:$C,MATCH($C$1,Database!$A$1:$C$1,),)=0,#N/A,VLOOKUP(Table7[[#This Row],[Date]],Database!$A:$C,MATCH($C$1,Database!$A$1:$C$1,),))</f>
        <v/>
      </c>
      <c r="D780">
        <f>IFERROR(Table7[[#This Row],[United States 10y]]-Table7[[#This Row],[United States 3y]],#N/A)</f>
        <v/>
      </c>
    </row>
    <row r="781">
      <c r="A781" s="6">
        <f>Database!$A2866</f>
        <v/>
      </c>
      <c r="B781">
        <f>IF(VLOOKUP(Table7[[#This Row],[Date]],Database!$A:$C,MATCH($B$1,Database!$A$1:$C$1,),)=0,#N/A,VLOOKUP(Table7[[#This Row],[Date]],Database!$A:$C,MATCH($B$1,Database!$A$1:$C$1,),))</f>
        <v/>
      </c>
      <c r="C781">
        <f>IF(VLOOKUP(Table7[[#This Row],[Date]],Database!$A:$C,MATCH($C$1,Database!$A$1:$C$1,),)=0,#N/A,VLOOKUP(Table7[[#This Row],[Date]],Database!$A:$C,MATCH($C$1,Database!$A$1:$C$1,),))</f>
        <v/>
      </c>
      <c r="D781">
        <f>IFERROR(Table7[[#This Row],[United States 10y]]-Table7[[#This Row],[United States 3y]],#N/A)</f>
        <v/>
      </c>
    </row>
    <row r="782">
      <c r="A782" s="6">
        <f>Database!$A2867</f>
        <v/>
      </c>
      <c r="B782">
        <f>IF(VLOOKUP(Table7[[#This Row],[Date]],Database!$A:$C,MATCH($B$1,Database!$A$1:$C$1,),)=0,#N/A,VLOOKUP(Table7[[#This Row],[Date]],Database!$A:$C,MATCH($B$1,Database!$A$1:$C$1,),))</f>
        <v/>
      </c>
      <c r="C782">
        <f>IF(VLOOKUP(Table7[[#This Row],[Date]],Database!$A:$C,MATCH($C$1,Database!$A$1:$C$1,),)=0,#N/A,VLOOKUP(Table7[[#This Row],[Date]],Database!$A:$C,MATCH($C$1,Database!$A$1:$C$1,),))</f>
        <v/>
      </c>
      <c r="D782">
        <f>IFERROR(Table7[[#This Row],[United States 10y]]-Table7[[#This Row],[United States 3y]],#N/A)</f>
        <v/>
      </c>
    </row>
    <row r="783">
      <c r="A783" s="6">
        <f>Database!$A2868</f>
        <v/>
      </c>
      <c r="B783">
        <f>IF(VLOOKUP(Table7[[#This Row],[Date]],Database!$A:$C,MATCH($B$1,Database!$A$1:$C$1,),)=0,#N/A,VLOOKUP(Table7[[#This Row],[Date]],Database!$A:$C,MATCH($B$1,Database!$A$1:$C$1,),))</f>
        <v/>
      </c>
      <c r="C783">
        <f>IF(VLOOKUP(Table7[[#This Row],[Date]],Database!$A:$C,MATCH($C$1,Database!$A$1:$C$1,),)=0,#N/A,VLOOKUP(Table7[[#This Row],[Date]],Database!$A:$C,MATCH($C$1,Database!$A$1:$C$1,),))</f>
        <v/>
      </c>
      <c r="D783">
        <f>IFERROR(Table7[[#This Row],[United States 10y]]-Table7[[#This Row],[United States 3y]],#N/A)</f>
        <v/>
      </c>
    </row>
    <row r="784">
      <c r="A784" s="6">
        <f>Database!$A2869</f>
        <v/>
      </c>
      <c r="B784">
        <f>IF(VLOOKUP(Table7[[#This Row],[Date]],Database!$A:$C,MATCH($B$1,Database!$A$1:$C$1,),)=0,#N/A,VLOOKUP(Table7[[#This Row],[Date]],Database!$A:$C,MATCH($B$1,Database!$A$1:$C$1,),))</f>
        <v/>
      </c>
      <c r="C784">
        <f>IF(VLOOKUP(Table7[[#This Row],[Date]],Database!$A:$C,MATCH($C$1,Database!$A$1:$C$1,),)=0,#N/A,VLOOKUP(Table7[[#This Row],[Date]],Database!$A:$C,MATCH($C$1,Database!$A$1:$C$1,),))</f>
        <v/>
      </c>
      <c r="D784">
        <f>IFERROR(Table7[[#This Row],[United States 10y]]-Table7[[#This Row],[United States 3y]],#N/A)</f>
        <v/>
      </c>
    </row>
    <row r="785">
      <c r="A785" s="6">
        <f>Database!$A2870</f>
        <v/>
      </c>
      <c r="B785">
        <f>IF(VLOOKUP(Table7[[#This Row],[Date]],Database!$A:$C,MATCH($B$1,Database!$A$1:$C$1,),)=0,#N/A,VLOOKUP(Table7[[#This Row],[Date]],Database!$A:$C,MATCH($B$1,Database!$A$1:$C$1,),))</f>
        <v/>
      </c>
      <c r="C785">
        <f>IF(VLOOKUP(Table7[[#This Row],[Date]],Database!$A:$C,MATCH($C$1,Database!$A$1:$C$1,),)=0,#N/A,VLOOKUP(Table7[[#This Row],[Date]],Database!$A:$C,MATCH($C$1,Database!$A$1:$C$1,),))</f>
        <v/>
      </c>
      <c r="D785">
        <f>IFERROR(Table7[[#This Row],[United States 10y]]-Table7[[#This Row],[United States 3y]],#N/A)</f>
        <v/>
      </c>
    </row>
    <row r="786">
      <c r="A786" s="6">
        <f>Database!$A2871</f>
        <v/>
      </c>
      <c r="B786">
        <f>IF(VLOOKUP(Table7[[#This Row],[Date]],Database!$A:$C,MATCH($B$1,Database!$A$1:$C$1,),)=0,#N/A,VLOOKUP(Table7[[#This Row],[Date]],Database!$A:$C,MATCH($B$1,Database!$A$1:$C$1,),))</f>
        <v/>
      </c>
      <c r="C786">
        <f>IF(VLOOKUP(Table7[[#This Row],[Date]],Database!$A:$C,MATCH($C$1,Database!$A$1:$C$1,),)=0,#N/A,VLOOKUP(Table7[[#This Row],[Date]],Database!$A:$C,MATCH($C$1,Database!$A$1:$C$1,),))</f>
        <v/>
      </c>
      <c r="D786">
        <f>IFERROR(Table7[[#This Row],[United States 10y]]-Table7[[#This Row],[United States 3y]],#N/A)</f>
        <v/>
      </c>
    </row>
    <row r="787">
      <c r="A787" s="6">
        <f>Database!$A2872</f>
        <v/>
      </c>
      <c r="B787">
        <f>IF(VLOOKUP(Table7[[#This Row],[Date]],Database!$A:$C,MATCH($B$1,Database!$A$1:$C$1,),)=0,#N/A,VLOOKUP(Table7[[#This Row],[Date]],Database!$A:$C,MATCH($B$1,Database!$A$1:$C$1,),))</f>
        <v/>
      </c>
      <c r="C787">
        <f>IF(VLOOKUP(Table7[[#This Row],[Date]],Database!$A:$C,MATCH($C$1,Database!$A$1:$C$1,),)=0,#N/A,VLOOKUP(Table7[[#This Row],[Date]],Database!$A:$C,MATCH($C$1,Database!$A$1:$C$1,),))</f>
        <v/>
      </c>
      <c r="D787">
        <f>IFERROR(Table7[[#This Row],[United States 10y]]-Table7[[#This Row],[United States 3y]],#N/A)</f>
        <v/>
      </c>
    </row>
    <row r="788">
      <c r="A788" s="6">
        <f>Database!$A2873</f>
        <v/>
      </c>
      <c r="B788">
        <f>IF(VLOOKUP(Table7[[#This Row],[Date]],Database!$A:$C,MATCH($B$1,Database!$A$1:$C$1,),)=0,#N/A,VLOOKUP(Table7[[#This Row],[Date]],Database!$A:$C,MATCH($B$1,Database!$A$1:$C$1,),))</f>
        <v/>
      </c>
      <c r="C788">
        <f>IF(VLOOKUP(Table7[[#This Row],[Date]],Database!$A:$C,MATCH($C$1,Database!$A$1:$C$1,),)=0,#N/A,VLOOKUP(Table7[[#This Row],[Date]],Database!$A:$C,MATCH($C$1,Database!$A$1:$C$1,),))</f>
        <v/>
      </c>
      <c r="D788">
        <f>IFERROR(Table7[[#This Row],[United States 10y]]-Table7[[#This Row],[United States 3y]],#N/A)</f>
        <v/>
      </c>
    </row>
    <row r="789">
      <c r="A789" s="6">
        <f>Database!$A2874</f>
        <v/>
      </c>
      <c r="B789">
        <f>IF(VLOOKUP(Table7[[#This Row],[Date]],Database!$A:$C,MATCH($B$1,Database!$A$1:$C$1,),)=0,#N/A,VLOOKUP(Table7[[#This Row],[Date]],Database!$A:$C,MATCH($B$1,Database!$A$1:$C$1,),))</f>
        <v/>
      </c>
      <c r="C789">
        <f>IF(VLOOKUP(Table7[[#This Row],[Date]],Database!$A:$C,MATCH($C$1,Database!$A$1:$C$1,),)=0,#N/A,VLOOKUP(Table7[[#This Row],[Date]],Database!$A:$C,MATCH($C$1,Database!$A$1:$C$1,),))</f>
        <v/>
      </c>
      <c r="D789">
        <f>IFERROR(Table7[[#This Row],[United States 10y]]-Table7[[#This Row],[United States 3y]],#N/A)</f>
        <v/>
      </c>
    </row>
    <row r="790">
      <c r="A790" s="6">
        <f>Database!$A2875</f>
        <v/>
      </c>
      <c r="B790">
        <f>IF(VLOOKUP(Table7[[#This Row],[Date]],Database!$A:$C,MATCH($B$1,Database!$A$1:$C$1,),)=0,#N/A,VLOOKUP(Table7[[#This Row],[Date]],Database!$A:$C,MATCH($B$1,Database!$A$1:$C$1,),))</f>
        <v/>
      </c>
      <c r="C790">
        <f>IF(VLOOKUP(Table7[[#This Row],[Date]],Database!$A:$C,MATCH($C$1,Database!$A$1:$C$1,),)=0,#N/A,VLOOKUP(Table7[[#This Row],[Date]],Database!$A:$C,MATCH($C$1,Database!$A$1:$C$1,),))</f>
        <v/>
      </c>
      <c r="D790">
        <f>IFERROR(Table7[[#This Row],[United States 10y]]-Table7[[#This Row],[United States 3y]],#N/A)</f>
        <v/>
      </c>
    </row>
    <row r="791">
      <c r="A791" s="6">
        <f>Database!$A2876</f>
        <v/>
      </c>
      <c r="B791">
        <f>IF(VLOOKUP(Table7[[#This Row],[Date]],Database!$A:$C,MATCH($B$1,Database!$A$1:$C$1,),)=0,#N/A,VLOOKUP(Table7[[#This Row],[Date]],Database!$A:$C,MATCH($B$1,Database!$A$1:$C$1,),))</f>
        <v/>
      </c>
      <c r="C791">
        <f>IF(VLOOKUP(Table7[[#This Row],[Date]],Database!$A:$C,MATCH($C$1,Database!$A$1:$C$1,),)=0,#N/A,VLOOKUP(Table7[[#This Row],[Date]],Database!$A:$C,MATCH($C$1,Database!$A$1:$C$1,),))</f>
        <v/>
      </c>
      <c r="D791">
        <f>IFERROR(Table7[[#This Row],[United States 10y]]-Table7[[#This Row],[United States 3y]],#N/A)</f>
        <v/>
      </c>
    </row>
    <row r="792">
      <c r="A792" s="6">
        <f>Database!$A2877</f>
        <v/>
      </c>
      <c r="B792">
        <f>IF(VLOOKUP(Table7[[#This Row],[Date]],Database!$A:$C,MATCH($B$1,Database!$A$1:$C$1,),)=0,#N/A,VLOOKUP(Table7[[#This Row],[Date]],Database!$A:$C,MATCH($B$1,Database!$A$1:$C$1,),))</f>
        <v/>
      </c>
      <c r="C792">
        <f>IF(VLOOKUP(Table7[[#This Row],[Date]],Database!$A:$C,MATCH($C$1,Database!$A$1:$C$1,),)=0,#N/A,VLOOKUP(Table7[[#This Row],[Date]],Database!$A:$C,MATCH($C$1,Database!$A$1:$C$1,),))</f>
        <v/>
      </c>
      <c r="D792">
        <f>IFERROR(Table7[[#This Row],[United States 10y]]-Table7[[#This Row],[United States 3y]],#N/A)</f>
        <v/>
      </c>
    </row>
    <row r="793">
      <c r="A793" s="6">
        <f>Database!$A2878</f>
        <v/>
      </c>
      <c r="B793">
        <f>IF(VLOOKUP(Table7[[#This Row],[Date]],Database!$A:$C,MATCH($B$1,Database!$A$1:$C$1,),)=0,#N/A,VLOOKUP(Table7[[#This Row],[Date]],Database!$A:$C,MATCH($B$1,Database!$A$1:$C$1,),))</f>
        <v/>
      </c>
      <c r="C793">
        <f>IF(VLOOKUP(Table7[[#This Row],[Date]],Database!$A:$C,MATCH($C$1,Database!$A$1:$C$1,),)=0,#N/A,VLOOKUP(Table7[[#This Row],[Date]],Database!$A:$C,MATCH($C$1,Database!$A$1:$C$1,),))</f>
        <v/>
      </c>
      <c r="D793">
        <f>IFERROR(Table7[[#This Row],[United States 10y]]-Table7[[#This Row],[United States 3y]],#N/A)</f>
        <v/>
      </c>
    </row>
    <row r="794">
      <c r="A794" s="6">
        <f>Database!$A2879</f>
        <v/>
      </c>
      <c r="B794">
        <f>IF(VLOOKUP(Table7[[#This Row],[Date]],Database!$A:$C,MATCH($B$1,Database!$A$1:$C$1,),)=0,#N/A,VLOOKUP(Table7[[#This Row],[Date]],Database!$A:$C,MATCH($B$1,Database!$A$1:$C$1,),))</f>
        <v/>
      </c>
      <c r="C794">
        <f>IF(VLOOKUP(Table7[[#This Row],[Date]],Database!$A:$C,MATCH($C$1,Database!$A$1:$C$1,),)=0,#N/A,VLOOKUP(Table7[[#This Row],[Date]],Database!$A:$C,MATCH($C$1,Database!$A$1:$C$1,),))</f>
        <v/>
      </c>
      <c r="D794">
        <f>IFERROR(Table7[[#This Row],[United States 10y]]-Table7[[#This Row],[United States 3y]],#N/A)</f>
        <v/>
      </c>
    </row>
    <row r="795">
      <c r="A795" s="6">
        <f>Database!$A2880</f>
        <v/>
      </c>
      <c r="B795">
        <f>IF(VLOOKUP(Table7[[#This Row],[Date]],Database!$A:$C,MATCH($B$1,Database!$A$1:$C$1,),)=0,#N/A,VLOOKUP(Table7[[#This Row],[Date]],Database!$A:$C,MATCH($B$1,Database!$A$1:$C$1,),))</f>
        <v/>
      </c>
      <c r="C795">
        <f>IF(VLOOKUP(Table7[[#This Row],[Date]],Database!$A:$C,MATCH($C$1,Database!$A$1:$C$1,),)=0,#N/A,VLOOKUP(Table7[[#This Row],[Date]],Database!$A:$C,MATCH($C$1,Database!$A$1:$C$1,),))</f>
        <v/>
      </c>
      <c r="D795">
        <f>IFERROR(Table7[[#This Row],[United States 10y]]-Table7[[#This Row],[United States 3y]],#N/A)</f>
        <v/>
      </c>
    </row>
    <row r="796">
      <c r="A796" s="6">
        <f>Database!$A2881</f>
        <v/>
      </c>
      <c r="B796">
        <f>IF(VLOOKUP(Table7[[#This Row],[Date]],Database!$A:$C,MATCH($B$1,Database!$A$1:$C$1,),)=0,#N/A,VLOOKUP(Table7[[#This Row],[Date]],Database!$A:$C,MATCH($B$1,Database!$A$1:$C$1,),))</f>
        <v/>
      </c>
      <c r="C796">
        <f>IF(VLOOKUP(Table7[[#This Row],[Date]],Database!$A:$C,MATCH($C$1,Database!$A$1:$C$1,),)=0,#N/A,VLOOKUP(Table7[[#This Row],[Date]],Database!$A:$C,MATCH($C$1,Database!$A$1:$C$1,),))</f>
        <v/>
      </c>
      <c r="D796">
        <f>IFERROR(Table7[[#This Row],[United States 10y]]-Table7[[#This Row],[United States 3y]],#N/A)</f>
        <v/>
      </c>
    </row>
    <row r="797">
      <c r="A797" s="6">
        <f>Database!$A2882</f>
        <v/>
      </c>
      <c r="B797">
        <f>IF(VLOOKUP(Table7[[#This Row],[Date]],Database!$A:$C,MATCH($B$1,Database!$A$1:$C$1,),)=0,#N/A,VLOOKUP(Table7[[#This Row],[Date]],Database!$A:$C,MATCH($B$1,Database!$A$1:$C$1,),))</f>
        <v/>
      </c>
      <c r="C797">
        <f>IF(VLOOKUP(Table7[[#This Row],[Date]],Database!$A:$C,MATCH($C$1,Database!$A$1:$C$1,),)=0,#N/A,VLOOKUP(Table7[[#This Row],[Date]],Database!$A:$C,MATCH($C$1,Database!$A$1:$C$1,),))</f>
        <v/>
      </c>
      <c r="D797">
        <f>IFERROR(Table7[[#This Row],[United States 10y]]-Table7[[#This Row],[United States 3y]],#N/A)</f>
        <v/>
      </c>
    </row>
    <row r="798">
      <c r="A798" s="6">
        <f>Database!$A2883</f>
        <v/>
      </c>
      <c r="B798">
        <f>IF(VLOOKUP(Table7[[#This Row],[Date]],Database!$A:$C,MATCH($B$1,Database!$A$1:$C$1,),)=0,#N/A,VLOOKUP(Table7[[#This Row],[Date]],Database!$A:$C,MATCH($B$1,Database!$A$1:$C$1,),))</f>
        <v/>
      </c>
      <c r="C798">
        <f>IF(VLOOKUP(Table7[[#This Row],[Date]],Database!$A:$C,MATCH($C$1,Database!$A$1:$C$1,),)=0,#N/A,VLOOKUP(Table7[[#This Row],[Date]],Database!$A:$C,MATCH($C$1,Database!$A$1:$C$1,),))</f>
        <v/>
      </c>
      <c r="D798">
        <f>IFERROR(Table7[[#This Row],[United States 10y]]-Table7[[#This Row],[United States 3y]],#N/A)</f>
        <v/>
      </c>
    </row>
    <row r="799">
      <c r="A799" s="6">
        <f>Database!$A2884</f>
        <v/>
      </c>
      <c r="B799">
        <f>IF(VLOOKUP(Table7[[#This Row],[Date]],Database!$A:$C,MATCH($B$1,Database!$A$1:$C$1,),)=0,#N/A,VLOOKUP(Table7[[#This Row],[Date]],Database!$A:$C,MATCH($B$1,Database!$A$1:$C$1,),))</f>
        <v/>
      </c>
      <c r="C799">
        <f>IF(VLOOKUP(Table7[[#This Row],[Date]],Database!$A:$C,MATCH($C$1,Database!$A$1:$C$1,),)=0,#N/A,VLOOKUP(Table7[[#This Row],[Date]],Database!$A:$C,MATCH($C$1,Database!$A$1:$C$1,),))</f>
        <v/>
      </c>
      <c r="D799">
        <f>IFERROR(Table7[[#This Row],[United States 10y]]-Table7[[#This Row],[United States 3y]],#N/A)</f>
        <v/>
      </c>
    </row>
    <row r="800">
      <c r="A800" s="6">
        <f>Database!$A2885</f>
        <v/>
      </c>
      <c r="B800">
        <f>IF(VLOOKUP(Table7[[#This Row],[Date]],Database!$A:$C,MATCH($B$1,Database!$A$1:$C$1,),)=0,#N/A,VLOOKUP(Table7[[#This Row],[Date]],Database!$A:$C,MATCH($B$1,Database!$A$1:$C$1,),))</f>
        <v/>
      </c>
      <c r="C800">
        <f>IF(VLOOKUP(Table7[[#This Row],[Date]],Database!$A:$C,MATCH($C$1,Database!$A$1:$C$1,),)=0,#N/A,VLOOKUP(Table7[[#This Row],[Date]],Database!$A:$C,MATCH($C$1,Database!$A$1:$C$1,),))</f>
        <v/>
      </c>
      <c r="D800">
        <f>IFERROR(Table7[[#This Row],[United States 10y]]-Table7[[#This Row],[United States 3y]],#N/A)</f>
        <v/>
      </c>
    </row>
    <row r="801">
      <c r="A801" s="6">
        <f>Database!$A2886</f>
        <v/>
      </c>
      <c r="B801">
        <f>IF(VLOOKUP(Table7[[#This Row],[Date]],Database!$A:$C,MATCH($B$1,Database!$A$1:$C$1,),)=0,#N/A,VLOOKUP(Table7[[#This Row],[Date]],Database!$A:$C,MATCH($B$1,Database!$A$1:$C$1,),))</f>
        <v/>
      </c>
      <c r="C801">
        <f>IF(VLOOKUP(Table7[[#This Row],[Date]],Database!$A:$C,MATCH($C$1,Database!$A$1:$C$1,),)=0,#N/A,VLOOKUP(Table7[[#This Row],[Date]],Database!$A:$C,MATCH($C$1,Database!$A$1:$C$1,),))</f>
        <v/>
      </c>
      <c r="D801">
        <f>IFERROR(Table7[[#This Row],[United States 10y]]-Table7[[#This Row],[United States 3y]],#N/A)</f>
        <v/>
      </c>
    </row>
    <row r="802">
      <c r="A802" s="6">
        <f>Database!$A2887</f>
        <v/>
      </c>
      <c r="B802">
        <f>IF(VLOOKUP(Table7[[#This Row],[Date]],Database!$A:$C,MATCH($B$1,Database!$A$1:$C$1,),)=0,#N/A,VLOOKUP(Table7[[#This Row],[Date]],Database!$A:$C,MATCH($B$1,Database!$A$1:$C$1,),))</f>
        <v/>
      </c>
      <c r="C802">
        <f>IF(VLOOKUP(Table7[[#This Row],[Date]],Database!$A:$C,MATCH($C$1,Database!$A$1:$C$1,),)=0,#N/A,VLOOKUP(Table7[[#This Row],[Date]],Database!$A:$C,MATCH($C$1,Database!$A$1:$C$1,),))</f>
        <v/>
      </c>
      <c r="D802">
        <f>IFERROR(Table7[[#This Row],[United States 10y]]-Table7[[#This Row],[United States 3y]],#N/A)</f>
        <v/>
      </c>
    </row>
    <row r="803">
      <c r="A803" s="6">
        <f>Database!$A2888</f>
        <v/>
      </c>
      <c r="B803">
        <f>IF(VLOOKUP(Table7[[#This Row],[Date]],Database!$A:$C,MATCH($B$1,Database!$A$1:$C$1,),)=0,#N/A,VLOOKUP(Table7[[#This Row],[Date]],Database!$A:$C,MATCH($B$1,Database!$A$1:$C$1,),))</f>
        <v/>
      </c>
      <c r="C803">
        <f>IF(VLOOKUP(Table7[[#This Row],[Date]],Database!$A:$C,MATCH($C$1,Database!$A$1:$C$1,),)=0,#N/A,VLOOKUP(Table7[[#This Row],[Date]],Database!$A:$C,MATCH($C$1,Database!$A$1:$C$1,),))</f>
        <v/>
      </c>
      <c r="D803">
        <f>IFERROR(Table7[[#This Row],[United States 10y]]-Table7[[#This Row],[United States 3y]],#N/A)</f>
        <v/>
      </c>
    </row>
    <row r="804">
      <c r="A804" s="6">
        <f>Database!$A2889</f>
        <v/>
      </c>
      <c r="B804">
        <f>IF(VLOOKUP(Table7[[#This Row],[Date]],Database!$A:$C,MATCH($B$1,Database!$A$1:$C$1,),)=0,#N/A,VLOOKUP(Table7[[#This Row],[Date]],Database!$A:$C,MATCH($B$1,Database!$A$1:$C$1,),))</f>
        <v/>
      </c>
      <c r="C804">
        <f>IF(VLOOKUP(Table7[[#This Row],[Date]],Database!$A:$C,MATCH($C$1,Database!$A$1:$C$1,),)=0,#N/A,VLOOKUP(Table7[[#This Row],[Date]],Database!$A:$C,MATCH($C$1,Database!$A$1:$C$1,),))</f>
        <v/>
      </c>
      <c r="D804">
        <f>IFERROR(Table7[[#This Row],[United States 10y]]-Table7[[#This Row],[United States 3y]],#N/A)</f>
        <v/>
      </c>
    </row>
    <row r="805">
      <c r="A805" s="6">
        <f>Database!$A2890</f>
        <v/>
      </c>
      <c r="B805">
        <f>IF(VLOOKUP(Table7[[#This Row],[Date]],Database!$A:$C,MATCH($B$1,Database!$A$1:$C$1,),)=0,#N/A,VLOOKUP(Table7[[#This Row],[Date]],Database!$A:$C,MATCH($B$1,Database!$A$1:$C$1,),))</f>
        <v/>
      </c>
      <c r="C805">
        <f>IF(VLOOKUP(Table7[[#This Row],[Date]],Database!$A:$C,MATCH($C$1,Database!$A$1:$C$1,),)=0,#N/A,VLOOKUP(Table7[[#This Row],[Date]],Database!$A:$C,MATCH($C$1,Database!$A$1:$C$1,),))</f>
        <v/>
      </c>
      <c r="D805">
        <f>IFERROR(Table7[[#This Row],[United States 10y]]-Table7[[#This Row],[United States 3y]],#N/A)</f>
        <v/>
      </c>
    </row>
    <row r="806">
      <c r="A806" s="6">
        <f>Database!$A2891</f>
        <v/>
      </c>
      <c r="B806">
        <f>IF(VLOOKUP(Table7[[#This Row],[Date]],Database!$A:$C,MATCH($B$1,Database!$A$1:$C$1,),)=0,#N/A,VLOOKUP(Table7[[#This Row],[Date]],Database!$A:$C,MATCH($B$1,Database!$A$1:$C$1,),))</f>
        <v/>
      </c>
      <c r="C806">
        <f>IF(VLOOKUP(Table7[[#This Row],[Date]],Database!$A:$C,MATCH($C$1,Database!$A$1:$C$1,),)=0,#N/A,VLOOKUP(Table7[[#This Row],[Date]],Database!$A:$C,MATCH($C$1,Database!$A$1:$C$1,),))</f>
        <v/>
      </c>
      <c r="D806">
        <f>IFERROR(Table7[[#This Row],[United States 10y]]-Table7[[#This Row],[United States 3y]],#N/A)</f>
        <v/>
      </c>
    </row>
    <row r="807">
      <c r="A807" s="6">
        <f>Database!$A2892</f>
        <v/>
      </c>
      <c r="B807">
        <f>IF(VLOOKUP(Table7[[#This Row],[Date]],Database!$A:$C,MATCH($B$1,Database!$A$1:$C$1,),)=0,#N/A,VLOOKUP(Table7[[#This Row],[Date]],Database!$A:$C,MATCH($B$1,Database!$A$1:$C$1,),))</f>
        <v/>
      </c>
      <c r="C807">
        <f>IF(VLOOKUP(Table7[[#This Row],[Date]],Database!$A:$C,MATCH($C$1,Database!$A$1:$C$1,),)=0,#N/A,VLOOKUP(Table7[[#This Row],[Date]],Database!$A:$C,MATCH($C$1,Database!$A$1:$C$1,),))</f>
        <v/>
      </c>
      <c r="D807">
        <f>IFERROR(Table7[[#This Row],[United States 10y]]-Table7[[#This Row],[United States 3y]],#N/A)</f>
        <v/>
      </c>
    </row>
    <row r="808">
      <c r="A808" s="6">
        <f>Database!$A2893</f>
        <v/>
      </c>
      <c r="B808">
        <f>IF(VLOOKUP(Table7[[#This Row],[Date]],Database!$A:$C,MATCH($B$1,Database!$A$1:$C$1,),)=0,#N/A,VLOOKUP(Table7[[#This Row],[Date]],Database!$A:$C,MATCH($B$1,Database!$A$1:$C$1,),))</f>
        <v/>
      </c>
      <c r="C808">
        <f>IF(VLOOKUP(Table7[[#This Row],[Date]],Database!$A:$C,MATCH($C$1,Database!$A$1:$C$1,),)=0,#N/A,VLOOKUP(Table7[[#This Row],[Date]],Database!$A:$C,MATCH($C$1,Database!$A$1:$C$1,),))</f>
        <v/>
      </c>
      <c r="D808">
        <f>IFERROR(Table7[[#This Row],[United States 10y]]-Table7[[#This Row],[United States 3y]],#N/A)</f>
        <v/>
      </c>
    </row>
    <row r="809">
      <c r="A809" s="6">
        <f>Database!$A2894</f>
        <v/>
      </c>
      <c r="B809">
        <f>IF(VLOOKUP(Table7[[#This Row],[Date]],Database!$A:$C,MATCH($B$1,Database!$A$1:$C$1,),)=0,#N/A,VLOOKUP(Table7[[#This Row],[Date]],Database!$A:$C,MATCH($B$1,Database!$A$1:$C$1,),))</f>
        <v/>
      </c>
      <c r="C809">
        <f>IF(VLOOKUP(Table7[[#This Row],[Date]],Database!$A:$C,MATCH($C$1,Database!$A$1:$C$1,),)=0,#N/A,VLOOKUP(Table7[[#This Row],[Date]],Database!$A:$C,MATCH($C$1,Database!$A$1:$C$1,),))</f>
        <v/>
      </c>
      <c r="D809">
        <f>IFERROR(Table7[[#This Row],[United States 10y]]-Table7[[#This Row],[United States 3y]],#N/A)</f>
        <v/>
      </c>
    </row>
    <row r="810">
      <c r="A810" s="6">
        <f>Database!$A2895</f>
        <v/>
      </c>
      <c r="B810">
        <f>IF(VLOOKUP(Table7[[#This Row],[Date]],Database!$A:$C,MATCH($B$1,Database!$A$1:$C$1,),)=0,#N/A,VLOOKUP(Table7[[#This Row],[Date]],Database!$A:$C,MATCH($B$1,Database!$A$1:$C$1,),))</f>
        <v/>
      </c>
      <c r="C810">
        <f>IF(VLOOKUP(Table7[[#This Row],[Date]],Database!$A:$C,MATCH($C$1,Database!$A$1:$C$1,),)=0,#N/A,VLOOKUP(Table7[[#This Row],[Date]],Database!$A:$C,MATCH($C$1,Database!$A$1:$C$1,),))</f>
        <v/>
      </c>
      <c r="D810">
        <f>IFERROR(Table7[[#This Row],[United States 10y]]-Table7[[#This Row],[United States 3y]],#N/A)</f>
        <v/>
      </c>
    </row>
    <row r="811">
      <c r="A811" s="6">
        <f>Database!$A2896</f>
        <v/>
      </c>
      <c r="B811">
        <f>IF(VLOOKUP(Table7[[#This Row],[Date]],Database!$A:$C,MATCH($B$1,Database!$A$1:$C$1,),)=0,#N/A,VLOOKUP(Table7[[#This Row],[Date]],Database!$A:$C,MATCH($B$1,Database!$A$1:$C$1,),))</f>
        <v/>
      </c>
      <c r="C811">
        <f>IF(VLOOKUP(Table7[[#This Row],[Date]],Database!$A:$C,MATCH($C$1,Database!$A$1:$C$1,),)=0,#N/A,VLOOKUP(Table7[[#This Row],[Date]],Database!$A:$C,MATCH($C$1,Database!$A$1:$C$1,),))</f>
        <v/>
      </c>
      <c r="D811">
        <f>IFERROR(Table7[[#This Row],[United States 10y]]-Table7[[#This Row],[United States 3y]],#N/A)</f>
        <v/>
      </c>
    </row>
    <row r="812">
      <c r="A812" s="6">
        <f>Database!$A2897</f>
        <v/>
      </c>
      <c r="B812">
        <f>IF(VLOOKUP(Table7[[#This Row],[Date]],Database!$A:$C,MATCH($B$1,Database!$A$1:$C$1,),)=0,#N/A,VLOOKUP(Table7[[#This Row],[Date]],Database!$A:$C,MATCH($B$1,Database!$A$1:$C$1,),))</f>
        <v/>
      </c>
      <c r="C812">
        <f>IF(VLOOKUP(Table7[[#This Row],[Date]],Database!$A:$C,MATCH($C$1,Database!$A$1:$C$1,),)=0,#N/A,VLOOKUP(Table7[[#This Row],[Date]],Database!$A:$C,MATCH($C$1,Database!$A$1:$C$1,),))</f>
        <v/>
      </c>
      <c r="D812">
        <f>IFERROR(Table7[[#This Row],[United States 10y]]-Table7[[#This Row],[United States 3y]],#N/A)</f>
        <v/>
      </c>
    </row>
    <row r="813">
      <c r="A813" s="6">
        <f>Database!$A2898</f>
        <v/>
      </c>
      <c r="B813">
        <f>IF(VLOOKUP(Table7[[#This Row],[Date]],Database!$A:$C,MATCH($B$1,Database!$A$1:$C$1,),)=0,#N/A,VLOOKUP(Table7[[#This Row],[Date]],Database!$A:$C,MATCH($B$1,Database!$A$1:$C$1,),))</f>
        <v/>
      </c>
      <c r="C813">
        <f>IF(VLOOKUP(Table7[[#This Row],[Date]],Database!$A:$C,MATCH($C$1,Database!$A$1:$C$1,),)=0,#N/A,VLOOKUP(Table7[[#This Row],[Date]],Database!$A:$C,MATCH($C$1,Database!$A$1:$C$1,),))</f>
        <v/>
      </c>
      <c r="D813">
        <f>IFERROR(Table7[[#This Row],[United States 10y]]-Table7[[#This Row],[United States 3y]],#N/A)</f>
        <v/>
      </c>
    </row>
    <row r="814">
      <c r="A814" s="6">
        <f>Database!$A2899</f>
        <v/>
      </c>
      <c r="B814">
        <f>IF(VLOOKUP(Table7[[#This Row],[Date]],Database!$A:$C,MATCH($B$1,Database!$A$1:$C$1,),)=0,#N/A,VLOOKUP(Table7[[#This Row],[Date]],Database!$A:$C,MATCH($B$1,Database!$A$1:$C$1,),))</f>
        <v/>
      </c>
      <c r="C814">
        <f>IF(VLOOKUP(Table7[[#This Row],[Date]],Database!$A:$C,MATCH($C$1,Database!$A$1:$C$1,),)=0,#N/A,VLOOKUP(Table7[[#This Row],[Date]],Database!$A:$C,MATCH($C$1,Database!$A$1:$C$1,),))</f>
        <v/>
      </c>
      <c r="D814">
        <f>IFERROR(Table7[[#This Row],[United States 10y]]-Table7[[#This Row],[United States 3y]],#N/A)</f>
        <v/>
      </c>
    </row>
    <row r="815">
      <c r="A815" s="6">
        <f>Database!$A2900</f>
        <v/>
      </c>
      <c r="B815">
        <f>IF(VLOOKUP(Table7[[#This Row],[Date]],Database!$A:$C,MATCH($B$1,Database!$A$1:$C$1,),)=0,#N/A,VLOOKUP(Table7[[#This Row],[Date]],Database!$A:$C,MATCH($B$1,Database!$A$1:$C$1,),))</f>
        <v/>
      </c>
      <c r="C815">
        <f>IF(VLOOKUP(Table7[[#This Row],[Date]],Database!$A:$C,MATCH($C$1,Database!$A$1:$C$1,),)=0,#N/A,VLOOKUP(Table7[[#This Row],[Date]],Database!$A:$C,MATCH($C$1,Database!$A$1:$C$1,),))</f>
        <v/>
      </c>
      <c r="D815">
        <f>IFERROR(Table7[[#This Row],[United States 10y]]-Table7[[#This Row],[United States 3y]],#N/A)</f>
        <v/>
      </c>
    </row>
    <row r="816">
      <c r="A816" s="6">
        <f>Database!$A2901</f>
        <v/>
      </c>
      <c r="B816">
        <f>IF(VLOOKUP(Table7[[#This Row],[Date]],Database!$A:$C,MATCH($B$1,Database!$A$1:$C$1,),)=0,#N/A,VLOOKUP(Table7[[#This Row],[Date]],Database!$A:$C,MATCH($B$1,Database!$A$1:$C$1,),))</f>
        <v/>
      </c>
      <c r="C816">
        <f>IF(VLOOKUP(Table7[[#This Row],[Date]],Database!$A:$C,MATCH($C$1,Database!$A$1:$C$1,),)=0,#N/A,VLOOKUP(Table7[[#This Row],[Date]],Database!$A:$C,MATCH($C$1,Database!$A$1:$C$1,),))</f>
        <v/>
      </c>
      <c r="D816">
        <f>IFERROR(Table7[[#This Row],[United States 10y]]-Table7[[#This Row],[United States 3y]],#N/A)</f>
        <v/>
      </c>
    </row>
    <row r="817">
      <c r="A817" s="6">
        <f>Database!$A2902</f>
        <v/>
      </c>
      <c r="B817">
        <f>IF(VLOOKUP(Table7[[#This Row],[Date]],Database!$A:$C,MATCH($B$1,Database!$A$1:$C$1,),)=0,#N/A,VLOOKUP(Table7[[#This Row],[Date]],Database!$A:$C,MATCH($B$1,Database!$A$1:$C$1,),))</f>
        <v/>
      </c>
      <c r="C817">
        <f>IF(VLOOKUP(Table7[[#This Row],[Date]],Database!$A:$C,MATCH($C$1,Database!$A$1:$C$1,),)=0,#N/A,VLOOKUP(Table7[[#This Row],[Date]],Database!$A:$C,MATCH($C$1,Database!$A$1:$C$1,),))</f>
        <v/>
      </c>
      <c r="D817">
        <f>IFERROR(Table7[[#This Row],[United States 10y]]-Table7[[#This Row],[United States 3y]],#N/A)</f>
        <v/>
      </c>
    </row>
    <row r="818">
      <c r="A818" s="6">
        <f>Database!$A2903</f>
        <v/>
      </c>
      <c r="B818">
        <f>IF(VLOOKUP(Table7[[#This Row],[Date]],Database!$A:$C,MATCH($B$1,Database!$A$1:$C$1,),)=0,#N/A,VLOOKUP(Table7[[#This Row],[Date]],Database!$A:$C,MATCH($B$1,Database!$A$1:$C$1,),))</f>
        <v/>
      </c>
      <c r="C818">
        <f>IF(VLOOKUP(Table7[[#This Row],[Date]],Database!$A:$C,MATCH($C$1,Database!$A$1:$C$1,),)=0,#N/A,VLOOKUP(Table7[[#This Row],[Date]],Database!$A:$C,MATCH($C$1,Database!$A$1:$C$1,),))</f>
        <v/>
      </c>
      <c r="D818">
        <f>IFERROR(Table7[[#This Row],[United States 10y]]-Table7[[#This Row],[United States 3y]],#N/A)</f>
        <v/>
      </c>
    </row>
    <row r="819">
      <c r="A819" s="6">
        <f>Database!$A2904</f>
        <v/>
      </c>
      <c r="B819">
        <f>IF(VLOOKUP(Table7[[#This Row],[Date]],Database!$A:$C,MATCH($B$1,Database!$A$1:$C$1,),)=0,#N/A,VLOOKUP(Table7[[#This Row],[Date]],Database!$A:$C,MATCH($B$1,Database!$A$1:$C$1,),))</f>
        <v/>
      </c>
      <c r="C819">
        <f>IF(VLOOKUP(Table7[[#This Row],[Date]],Database!$A:$C,MATCH($C$1,Database!$A$1:$C$1,),)=0,#N/A,VLOOKUP(Table7[[#This Row],[Date]],Database!$A:$C,MATCH($C$1,Database!$A$1:$C$1,),))</f>
        <v/>
      </c>
      <c r="D819">
        <f>IFERROR(Table7[[#This Row],[United States 10y]]-Table7[[#This Row],[United States 3y]],#N/A)</f>
        <v/>
      </c>
    </row>
    <row r="820">
      <c r="A820" s="6">
        <f>Database!$A2905</f>
        <v/>
      </c>
      <c r="B820">
        <f>IF(VLOOKUP(Table7[[#This Row],[Date]],Database!$A:$C,MATCH($B$1,Database!$A$1:$C$1,),)=0,#N/A,VLOOKUP(Table7[[#This Row],[Date]],Database!$A:$C,MATCH($B$1,Database!$A$1:$C$1,),))</f>
        <v/>
      </c>
      <c r="C820">
        <f>IF(VLOOKUP(Table7[[#This Row],[Date]],Database!$A:$C,MATCH($C$1,Database!$A$1:$C$1,),)=0,#N/A,VLOOKUP(Table7[[#This Row],[Date]],Database!$A:$C,MATCH($C$1,Database!$A$1:$C$1,),))</f>
        <v/>
      </c>
      <c r="D820">
        <f>IFERROR(Table7[[#This Row],[United States 10y]]-Table7[[#This Row],[United States 3y]],#N/A)</f>
        <v/>
      </c>
    </row>
    <row r="821">
      <c r="A821" s="6">
        <f>Database!$A2906</f>
        <v/>
      </c>
      <c r="B821">
        <f>IF(VLOOKUP(Table7[[#This Row],[Date]],Database!$A:$C,MATCH($B$1,Database!$A$1:$C$1,),)=0,#N/A,VLOOKUP(Table7[[#This Row],[Date]],Database!$A:$C,MATCH($B$1,Database!$A$1:$C$1,),))</f>
        <v/>
      </c>
      <c r="C821">
        <f>IF(VLOOKUP(Table7[[#This Row],[Date]],Database!$A:$C,MATCH($C$1,Database!$A$1:$C$1,),)=0,#N/A,VLOOKUP(Table7[[#This Row],[Date]],Database!$A:$C,MATCH($C$1,Database!$A$1:$C$1,),))</f>
        <v/>
      </c>
      <c r="D821">
        <f>IFERROR(Table7[[#This Row],[United States 10y]]-Table7[[#This Row],[United States 3y]],#N/A)</f>
        <v/>
      </c>
    </row>
    <row r="822">
      <c r="A822" s="6">
        <f>Database!$A2907</f>
        <v/>
      </c>
      <c r="B822">
        <f>IF(VLOOKUP(Table7[[#This Row],[Date]],Database!$A:$C,MATCH($B$1,Database!$A$1:$C$1,),)=0,#N/A,VLOOKUP(Table7[[#This Row],[Date]],Database!$A:$C,MATCH($B$1,Database!$A$1:$C$1,),))</f>
        <v/>
      </c>
      <c r="C822">
        <f>IF(VLOOKUP(Table7[[#This Row],[Date]],Database!$A:$C,MATCH($C$1,Database!$A$1:$C$1,),)=0,#N/A,VLOOKUP(Table7[[#This Row],[Date]],Database!$A:$C,MATCH($C$1,Database!$A$1:$C$1,),))</f>
        <v/>
      </c>
      <c r="D822">
        <f>IFERROR(Table7[[#This Row],[United States 10y]]-Table7[[#This Row],[United States 3y]],#N/A)</f>
        <v/>
      </c>
    </row>
    <row r="823">
      <c r="A823" s="6">
        <f>Database!$A2908</f>
        <v/>
      </c>
      <c r="B823">
        <f>IF(VLOOKUP(Table7[[#This Row],[Date]],Database!$A:$C,MATCH($B$1,Database!$A$1:$C$1,),)=0,#N/A,VLOOKUP(Table7[[#This Row],[Date]],Database!$A:$C,MATCH($B$1,Database!$A$1:$C$1,),))</f>
        <v/>
      </c>
      <c r="C823">
        <f>IF(VLOOKUP(Table7[[#This Row],[Date]],Database!$A:$C,MATCH($C$1,Database!$A$1:$C$1,),)=0,#N/A,VLOOKUP(Table7[[#This Row],[Date]],Database!$A:$C,MATCH($C$1,Database!$A$1:$C$1,),))</f>
        <v/>
      </c>
      <c r="D823">
        <f>IFERROR(Table7[[#This Row],[United States 10y]]-Table7[[#This Row],[United States 3y]],#N/A)</f>
        <v/>
      </c>
    </row>
    <row r="824">
      <c r="A824" s="6">
        <f>Database!$A2909</f>
        <v/>
      </c>
      <c r="B824">
        <f>IF(VLOOKUP(Table7[[#This Row],[Date]],Database!$A:$C,MATCH($B$1,Database!$A$1:$C$1,),)=0,#N/A,VLOOKUP(Table7[[#This Row],[Date]],Database!$A:$C,MATCH($B$1,Database!$A$1:$C$1,),))</f>
        <v/>
      </c>
      <c r="C824">
        <f>IF(VLOOKUP(Table7[[#This Row],[Date]],Database!$A:$C,MATCH($C$1,Database!$A$1:$C$1,),)=0,#N/A,VLOOKUP(Table7[[#This Row],[Date]],Database!$A:$C,MATCH($C$1,Database!$A$1:$C$1,),))</f>
        <v/>
      </c>
      <c r="D824">
        <f>IFERROR(Table7[[#This Row],[United States 10y]]-Table7[[#This Row],[United States 3y]],#N/A)</f>
        <v/>
      </c>
    </row>
    <row r="825">
      <c r="A825" s="6">
        <f>Database!$A2910</f>
        <v/>
      </c>
      <c r="B825">
        <f>IF(VLOOKUP(Table7[[#This Row],[Date]],Database!$A:$C,MATCH($B$1,Database!$A$1:$C$1,),)=0,#N/A,VLOOKUP(Table7[[#This Row],[Date]],Database!$A:$C,MATCH($B$1,Database!$A$1:$C$1,),))</f>
        <v/>
      </c>
      <c r="C825">
        <f>IF(VLOOKUP(Table7[[#This Row],[Date]],Database!$A:$C,MATCH($C$1,Database!$A$1:$C$1,),)=0,#N/A,VLOOKUP(Table7[[#This Row],[Date]],Database!$A:$C,MATCH($C$1,Database!$A$1:$C$1,),))</f>
        <v/>
      </c>
      <c r="D825">
        <f>IFERROR(Table7[[#This Row],[United States 10y]]-Table7[[#This Row],[United States 3y]],#N/A)</f>
        <v/>
      </c>
    </row>
    <row r="826">
      <c r="A826" s="6">
        <f>Database!$A2911</f>
        <v/>
      </c>
      <c r="B826">
        <f>IF(VLOOKUP(Table7[[#This Row],[Date]],Database!$A:$C,MATCH($B$1,Database!$A$1:$C$1,),)=0,#N/A,VLOOKUP(Table7[[#This Row],[Date]],Database!$A:$C,MATCH($B$1,Database!$A$1:$C$1,),))</f>
        <v/>
      </c>
      <c r="C826">
        <f>IF(VLOOKUP(Table7[[#This Row],[Date]],Database!$A:$C,MATCH($C$1,Database!$A$1:$C$1,),)=0,#N/A,VLOOKUP(Table7[[#This Row],[Date]],Database!$A:$C,MATCH($C$1,Database!$A$1:$C$1,),))</f>
        <v/>
      </c>
      <c r="D826">
        <f>IFERROR(Table7[[#This Row],[United States 10y]]-Table7[[#This Row],[United States 3y]],#N/A)</f>
        <v/>
      </c>
    </row>
    <row r="827">
      <c r="A827" s="6">
        <f>Database!$A2912</f>
        <v/>
      </c>
      <c r="B827">
        <f>IF(VLOOKUP(Table7[[#This Row],[Date]],Database!$A:$C,MATCH($B$1,Database!$A$1:$C$1,),)=0,#N/A,VLOOKUP(Table7[[#This Row],[Date]],Database!$A:$C,MATCH($B$1,Database!$A$1:$C$1,),))</f>
        <v/>
      </c>
      <c r="C827">
        <f>IF(VLOOKUP(Table7[[#This Row],[Date]],Database!$A:$C,MATCH($C$1,Database!$A$1:$C$1,),)=0,#N/A,VLOOKUP(Table7[[#This Row],[Date]],Database!$A:$C,MATCH($C$1,Database!$A$1:$C$1,),))</f>
        <v/>
      </c>
      <c r="D827">
        <f>IFERROR(Table7[[#This Row],[United States 10y]]-Table7[[#This Row],[United States 3y]],#N/A)</f>
        <v/>
      </c>
    </row>
    <row r="828">
      <c r="A828" s="6">
        <f>Database!$A2913</f>
        <v/>
      </c>
      <c r="B828">
        <f>IF(VLOOKUP(Table7[[#This Row],[Date]],Database!$A:$C,MATCH($B$1,Database!$A$1:$C$1,),)=0,#N/A,VLOOKUP(Table7[[#This Row],[Date]],Database!$A:$C,MATCH($B$1,Database!$A$1:$C$1,),))</f>
        <v/>
      </c>
      <c r="C828">
        <f>IF(VLOOKUP(Table7[[#This Row],[Date]],Database!$A:$C,MATCH($C$1,Database!$A$1:$C$1,),)=0,#N/A,VLOOKUP(Table7[[#This Row],[Date]],Database!$A:$C,MATCH($C$1,Database!$A$1:$C$1,),))</f>
        <v/>
      </c>
      <c r="D828">
        <f>IFERROR(Table7[[#This Row],[United States 10y]]-Table7[[#This Row],[United States 3y]],#N/A)</f>
        <v/>
      </c>
    </row>
    <row r="829">
      <c r="A829" s="6">
        <f>Database!$A2914</f>
        <v/>
      </c>
      <c r="B829">
        <f>IF(VLOOKUP(Table7[[#This Row],[Date]],Database!$A:$C,MATCH($B$1,Database!$A$1:$C$1,),)=0,#N/A,VLOOKUP(Table7[[#This Row],[Date]],Database!$A:$C,MATCH($B$1,Database!$A$1:$C$1,),))</f>
        <v/>
      </c>
      <c r="C829">
        <f>IF(VLOOKUP(Table7[[#This Row],[Date]],Database!$A:$C,MATCH($C$1,Database!$A$1:$C$1,),)=0,#N/A,VLOOKUP(Table7[[#This Row],[Date]],Database!$A:$C,MATCH($C$1,Database!$A$1:$C$1,),))</f>
        <v/>
      </c>
      <c r="D829">
        <f>IFERROR(Table7[[#This Row],[United States 10y]]-Table7[[#This Row],[United States 3y]],#N/A)</f>
        <v/>
      </c>
    </row>
    <row r="830">
      <c r="A830" s="6">
        <f>Database!$A2915</f>
        <v/>
      </c>
      <c r="B830">
        <f>IF(VLOOKUP(Table7[[#This Row],[Date]],Database!$A:$C,MATCH($B$1,Database!$A$1:$C$1,),)=0,#N/A,VLOOKUP(Table7[[#This Row],[Date]],Database!$A:$C,MATCH($B$1,Database!$A$1:$C$1,),))</f>
        <v/>
      </c>
      <c r="C830">
        <f>IF(VLOOKUP(Table7[[#This Row],[Date]],Database!$A:$C,MATCH($C$1,Database!$A$1:$C$1,),)=0,#N/A,VLOOKUP(Table7[[#This Row],[Date]],Database!$A:$C,MATCH($C$1,Database!$A$1:$C$1,),))</f>
        <v/>
      </c>
      <c r="D830">
        <f>IFERROR(Table7[[#This Row],[United States 10y]]-Table7[[#This Row],[United States 3y]],#N/A)</f>
        <v/>
      </c>
    </row>
    <row r="831">
      <c r="A831" s="6">
        <f>Database!$A2916</f>
        <v/>
      </c>
      <c r="B831">
        <f>IF(VLOOKUP(Table7[[#This Row],[Date]],Database!$A:$C,MATCH($B$1,Database!$A$1:$C$1,),)=0,#N/A,VLOOKUP(Table7[[#This Row],[Date]],Database!$A:$C,MATCH($B$1,Database!$A$1:$C$1,),))</f>
        <v/>
      </c>
      <c r="C831">
        <f>IF(VLOOKUP(Table7[[#This Row],[Date]],Database!$A:$C,MATCH($C$1,Database!$A$1:$C$1,),)=0,#N/A,VLOOKUP(Table7[[#This Row],[Date]],Database!$A:$C,MATCH($C$1,Database!$A$1:$C$1,),))</f>
        <v/>
      </c>
      <c r="D831">
        <f>IFERROR(Table7[[#This Row],[United States 10y]]-Table7[[#This Row],[United States 3y]],#N/A)</f>
        <v/>
      </c>
    </row>
    <row r="832">
      <c r="A832" s="6">
        <f>Database!$A2917</f>
        <v/>
      </c>
      <c r="B832">
        <f>IF(VLOOKUP(Table7[[#This Row],[Date]],Database!$A:$C,MATCH($B$1,Database!$A$1:$C$1,),)=0,#N/A,VLOOKUP(Table7[[#This Row],[Date]],Database!$A:$C,MATCH($B$1,Database!$A$1:$C$1,),))</f>
        <v/>
      </c>
      <c r="C832">
        <f>IF(VLOOKUP(Table7[[#This Row],[Date]],Database!$A:$C,MATCH($C$1,Database!$A$1:$C$1,),)=0,#N/A,VLOOKUP(Table7[[#This Row],[Date]],Database!$A:$C,MATCH($C$1,Database!$A$1:$C$1,),))</f>
        <v/>
      </c>
      <c r="D832">
        <f>IFERROR(Table7[[#This Row],[United States 10y]]-Table7[[#This Row],[United States 3y]],#N/A)</f>
        <v/>
      </c>
    </row>
    <row r="833">
      <c r="A833" s="6">
        <f>Database!$A2918</f>
        <v/>
      </c>
      <c r="B833">
        <f>IF(VLOOKUP(Table7[[#This Row],[Date]],Database!$A:$C,MATCH($B$1,Database!$A$1:$C$1,),)=0,#N/A,VLOOKUP(Table7[[#This Row],[Date]],Database!$A:$C,MATCH($B$1,Database!$A$1:$C$1,),))</f>
        <v/>
      </c>
      <c r="C833">
        <f>IF(VLOOKUP(Table7[[#This Row],[Date]],Database!$A:$C,MATCH($C$1,Database!$A$1:$C$1,),)=0,#N/A,VLOOKUP(Table7[[#This Row],[Date]],Database!$A:$C,MATCH($C$1,Database!$A$1:$C$1,),))</f>
        <v/>
      </c>
      <c r="D833">
        <f>IFERROR(Table7[[#This Row],[United States 10y]]-Table7[[#This Row],[United States 3y]],#N/A)</f>
        <v/>
      </c>
    </row>
    <row r="834">
      <c r="A834" s="6">
        <f>Database!$A2919</f>
        <v/>
      </c>
      <c r="B834">
        <f>IF(VLOOKUP(Table7[[#This Row],[Date]],Database!$A:$C,MATCH($B$1,Database!$A$1:$C$1,),)=0,#N/A,VLOOKUP(Table7[[#This Row],[Date]],Database!$A:$C,MATCH($B$1,Database!$A$1:$C$1,),))</f>
        <v/>
      </c>
      <c r="C834">
        <f>IF(VLOOKUP(Table7[[#This Row],[Date]],Database!$A:$C,MATCH($C$1,Database!$A$1:$C$1,),)=0,#N/A,VLOOKUP(Table7[[#This Row],[Date]],Database!$A:$C,MATCH($C$1,Database!$A$1:$C$1,),))</f>
        <v/>
      </c>
      <c r="D834">
        <f>IFERROR(Table7[[#This Row],[United States 10y]]-Table7[[#This Row],[United States 3y]],#N/A)</f>
        <v/>
      </c>
    </row>
    <row r="835">
      <c r="A835" s="6">
        <f>Database!$A2920</f>
        <v/>
      </c>
      <c r="B835">
        <f>IF(VLOOKUP(Table7[[#This Row],[Date]],Database!$A:$C,MATCH($B$1,Database!$A$1:$C$1,),)=0,#N/A,VLOOKUP(Table7[[#This Row],[Date]],Database!$A:$C,MATCH($B$1,Database!$A$1:$C$1,),))</f>
        <v/>
      </c>
      <c r="C835">
        <f>IF(VLOOKUP(Table7[[#This Row],[Date]],Database!$A:$C,MATCH($C$1,Database!$A$1:$C$1,),)=0,#N/A,VLOOKUP(Table7[[#This Row],[Date]],Database!$A:$C,MATCH($C$1,Database!$A$1:$C$1,),))</f>
        <v/>
      </c>
      <c r="D835">
        <f>IFERROR(Table7[[#This Row],[United States 10y]]-Table7[[#This Row],[United States 3y]],#N/A)</f>
        <v/>
      </c>
    </row>
    <row r="836">
      <c r="A836" s="6">
        <f>Database!$A2921</f>
        <v/>
      </c>
      <c r="B836">
        <f>IF(VLOOKUP(Table7[[#This Row],[Date]],Database!$A:$C,MATCH($B$1,Database!$A$1:$C$1,),)=0,#N/A,VLOOKUP(Table7[[#This Row],[Date]],Database!$A:$C,MATCH($B$1,Database!$A$1:$C$1,),))</f>
        <v/>
      </c>
      <c r="C836">
        <f>IF(VLOOKUP(Table7[[#This Row],[Date]],Database!$A:$C,MATCH($C$1,Database!$A$1:$C$1,),)=0,#N/A,VLOOKUP(Table7[[#This Row],[Date]],Database!$A:$C,MATCH($C$1,Database!$A$1:$C$1,),))</f>
        <v/>
      </c>
      <c r="D836">
        <f>IFERROR(Table7[[#This Row],[United States 10y]]-Table7[[#This Row],[United States 3y]],#N/A)</f>
        <v/>
      </c>
    </row>
    <row r="837">
      <c r="A837" s="6">
        <f>Database!$A2922</f>
        <v/>
      </c>
      <c r="B837">
        <f>IF(VLOOKUP(Table7[[#This Row],[Date]],Database!$A:$C,MATCH($B$1,Database!$A$1:$C$1,),)=0,#N/A,VLOOKUP(Table7[[#This Row],[Date]],Database!$A:$C,MATCH($B$1,Database!$A$1:$C$1,),))</f>
        <v/>
      </c>
      <c r="C837">
        <f>IF(VLOOKUP(Table7[[#This Row],[Date]],Database!$A:$C,MATCH($C$1,Database!$A$1:$C$1,),)=0,#N/A,VLOOKUP(Table7[[#This Row],[Date]],Database!$A:$C,MATCH($C$1,Database!$A$1:$C$1,),))</f>
        <v/>
      </c>
      <c r="D837">
        <f>IFERROR(Table7[[#This Row],[United States 10y]]-Table7[[#This Row],[United States 3y]],#N/A)</f>
        <v/>
      </c>
    </row>
    <row r="838">
      <c r="A838" s="6">
        <f>Database!$A2923</f>
        <v/>
      </c>
      <c r="B838">
        <f>IF(VLOOKUP(Table7[[#This Row],[Date]],Database!$A:$C,MATCH($B$1,Database!$A$1:$C$1,),)=0,#N/A,VLOOKUP(Table7[[#This Row],[Date]],Database!$A:$C,MATCH($B$1,Database!$A$1:$C$1,),))</f>
        <v/>
      </c>
      <c r="C838">
        <f>IF(VLOOKUP(Table7[[#This Row],[Date]],Database!$A:$C,MATCH($C$1,Database!$A$1:$C$1,),)=0,#N/A,VLOOKUP(Table7[[#This Row],[Date]],Database!$A:$C,MATCH($C$1,Database!$A$1:$C$1,),))</f>
        <v/>
      </c>
      <c r="D838">
        <f>IFERROR(Table7[[#This Row],[United States 10y]]-Table7[[#This Row],[United States 3y]],#N/A)</f>
        <v/>
      </c>
    </row>
    <row r="839">
      <c r="A839" s="6">
        <f>Database!$A2924</f>
        <v/>
      </c>
      <c r="B839">
        <f>IF(VLOOKUP(Table7[[#This Row],[Date]],Database!$A:$C,MATCH($B$1,Database!$A$1:$C$1,),)=0,#N/A,VLOOKUP(Table7[[#This Row],[Date]],Database!$A:$C,MATCH($B$1,Database!$A$1:$C$1,),))</f>
        <v/>
      </c>
      <c r="C839">
        <f>IF(VLOOKUP(Table7[[#This Row],[Date]],Database!$A:$C,MATCH($C$1,Database!$A$1:$C$1,),)=0,#N/A,VLOOKUP(Table7[[#This Row],[Date]],Database!$A:$C,MATCH($C$1,Database!$A$1:$C$1,),))</f>
        <v/>
      </c>
      <c r="D839">
        <f>IFERROR(Table7[[#This Row],[United States 10y]]-Table7[[#This Row],[United States 3y]],#N/A)</f>
        <v/>
      </c>
    </row>
    <row r="840">
      <c r="A840" s="6">
        <f>Database!$A2925</f>
        <v/>
      </c>
      <c r="B840">
        <f>IF(VLOOKUP(Table7[[#This Row],[Date]],Database!$A:$C,MATCH($B$1,Database!$A$1:$C$1,),)=0,#N/A,VLOOKUP(Table7[[#This Row],[Date]],Database!$A:$C,MATCH($B$1,Database!$A$1:$C$1,),))</f>
        <v/>
      </c>
      <c r="C840">
        <f>IF(VLOOKUP(Table7[[#This Row],[Date]],Database!$A:$C,MATCH($C$1,Database!$A$1:$C$1,),)=0,#N/A,VLOOKUP(Table7[[#This Row],[Date]],Database!$A:$C,MATCH($C$1,Database!$A$1:$C$1,),))</f>
        <v/>
      </c>
      <c r="D840">
        <f>IFERROR(Table7[[#This Row],[United States 10y]]-Table7[[#This Row],[United States 3y]],#N/A)</f>
        <v/>
      </c>
    </row>
    <row r="841">
      <c r="A841" s="6">
        <f>Database!$A2926</f>
        <v/>
      </c>
      <c r="B841">
        <f>IF(VLOOKUP(Table7[[#This Row],[Date]],Database!$A:$C,MATCH($B$1,Database!$A$1:$C$1,),)=0,#N/A,VLOOKUP(Table7[[#This Row],[Date]],Database!$A:$C,MATCH($B$1,Database!$A$1:$C$1,),))</f>
        <v/>
      </c>
      <c r="C841">
        <f>IF(VLOOKUP(Table7[[#This Row],[Date]],Database!$A:$C,MATCH($C$1,Database!$A$1:$C$1,),)=0,#N/A,VLOOKUP(Table7[[#This Row],[Date]],Database!$A:$C,MATCH($C$1,Database!$A$1:$C$1,),))</f>
        <v/>
      </c>
      <c r="D841">
        <f>IFERROR(Table7[[#This Row],[United States 10y]]-Table7[[#This Row],[United States 3y]],#N/A)</f>
        <v/>
      </c>
    </row>
    <row r="842">
      <c r="A842" s="6">
        <f>Database!$A2927</f>
        <v/>
      </c>
      <c r="B842">
        <f>IF(VLOOKUP(Table7[[#This Row],[Date]],Database!$A:$C,MATCH($B$1,Database!$A$1:$C$1,),)=0,#N/A,VLOOKUP(Table7[[#This Row],[Date]],Database!$A:$C,MATCH($B$1,Database!$A$1:$C$1,),))</f>
        <v/>
      </c>
      <c r="C842">
        <f>IF(VLOOKUP(Table7[[#This Row],[Date]],Database!$A:$C,MATCH($C$1,Database!$A$1:$C$1,),)=0,#N/A,VLOOKUP(Table7[[#This Row],[Date]],Database!$A:$C,MATCH($C$1,Database!$A$1:$C$1,),))</f>
        <v/>
      </c>
      <c r="D842">
        <f>IFERROR(Table7[[#This Row],[United States 10y]]-Table7[[#This Row],[United States 3y]],#N/A)</f>
        <v/>
      </c>
    </row>
    <row r="843">
      <c r="A843" s="6">
        <f>Database!$A2928</f>
        <v/>
      </c>
      <c r="B843">
        <f>IF(VLOOKUP(Table7[[#This Row],[Date]],Database!$A:$C,MATCH($B$1,Database!$A$1:$C$1,),)=0,#N/A,VLOOKUP(Table7[[#This Row],[Date]],Database!$A:$C,MATCH($B$1,Database!$A$1:$C$1,),))</f>
        <v/>
      </c>
      <c r="C843">
        <f>IF(VLOOKUP(Table7[[#This Row],[Date]],Database!$A:$C,MATCH($C$1,Database!$A$1:$C$1,),)=0,#N/A,VLOOKUP(Table7[[#This Row],[Date]],Database!$A:$C,MATCH($C$1,Database!$A$1:$C$1,),))</f>
        <v/>
      </c>
      <c r="D843">
        <f>IFERROR(Table7[[#This Row],[United States 10y]]-Table7[[#This Row],[United States 3y]],#N/A)</f>
        <v/>
      </c>
    </row>
    <row r="844">
      <c r="A844" s="6">
        <f>Database!$A2929</f>
        <v/>
      </c>
      <c r="B844">
        <f>IF(VLOOKUP(Table7[[#This Row],[Date]],Database!$A:$C,MATCH($B$1,Database!$A$1:$C$1,),)=0,#N/A,VLOOKUP(Table7[[#This Row],[Date]],Database!$A:$C,MATCH($B$1,Database!$A$1:$C$1,),))</f>
        <v/>
      </c>
      <c r="C844">
        <f>IF(VLOOKUP(Table7[[#This Row],[Date]],Database!$A:$C,MATCH($C$1,Database!$A$1:$C$1,),)=0,#N/A,VLOOKUP(Table7[[#This Row],[Date]],Database!$A:$C,MATCH($C$1,Database!$A$1:$C$1,),))</f>
        <v/>
      </c>
      <c r="D844">
        <f>IFERROR(Table7[[#This Row],[United States 10y]]-Table7[[#This Row],[United States 3y]],#N/A)</f>
        <v/>
      </c>
    </row>
    <row r="845">
      <c r="A845" s="6">
        <f>Database!$A2930</f>
        <v/>
      </c>
      <c r="B845">
        <f>IF(VLOOKUP(Table7[[#This Row],[Date]],Database!$A:$C,MATCH($B$1,Database!$A$1:$C$1,),)=0,#N/A,VLOOKUP(Table7[[#This Row],[Date]],Database!$A:$C,MATCH($B$1,Database!$A$1:$C$1,),))</f>
        <v/>
      </c>
      <c r="C845">
        <f>IF(VLOOKUP(Table7[[#This Row],[Date]],Database!$A:$C,MATCH($C$1,Database!$A$1:$C$1,),)=0,#N/A,VLOOKUP(Table7[[#This Row],[Date]],Database!$A:$C,MATCH($C$1,Database!$A$1:$C$1,),))</f>
        <v/>
      </c>
      <c r="D845">
        <f>IFERROR(Table7[[#This Row],[United States 10y]]-Table7[[#This Row],[United States 3y]],#N/A)</f>
        <v/>
      </c>
    </row>
    <row r="846">
      <c r="A846" s="6">
        <f>Database!$A2931</f>
        <v/>
      </c>
      <c r="B846">
        <f>IF(VLOOKUP(Table7[[#This Row],[Date]],Database!$A:$C,MATCH($B$1,Database!$A$1:$C$1,),)=0,#N/A,VLOOKUP(Table7[[#This Row],[Date]],Database!$A:$C,MATCH($B$1,Database!$A$1:$C$1,),))</f>
        <v/>
      </c>
      <c r="C846">
        <f>IF(VLOOKUP(Table7[[#This Row],[Date]],Database!$A:$C,MATCH($C$1,Database!$A$1:$C$1,),)=0,#N/A,VLOOKUP(Table7[[#This Row],[Date]],Database!$A:$C,MATCH($C$1,Database!$A$1:$C$1,),))</f>
        <v/>
      </c>
      <c r="D846">
        <f>IFERROR(Table7[[#This Row],[United States 10y]]-Table7[[#This Row],[United States 3y]],#N/A)</f>
        <v/>
      </c>
    </row>
    <row r="847">
      <c r="A847" s="6">
        <f>Database!$A2932</f>
        <v/>
      </c>
      <c r="B847">
        <f>IF(VLOOKUP(Table7[[#This Row],[Date]],Database!$A:$C,MATCH($B$1,Database!$A$1:$C$1,),)=0,#N/A,VLOOKUP(Table7[[#This Row],[Date]],Database!$A:$C,MATCH($B$1,Database!$A$1:$C$1,),))</f>
        <v/>
      </c>
      <c r="C847">
        <f>IF(VLOOKUP(Table7[[#This Row],[Date]],Database!$A:$C,MATCH($C$1,Database!$A$1:$C$1,),)=0,#N/A,VLOOKUP(Table7[[#This Row],[Date]],Database!$A:$C,MATCH($C$1,Database!$A$1:$C$1,),))</f>
        <v/>
      </c>
      <c r="D847">
        <f>IFERROR(Table7[[#This Row],[United States 10y]]-Table7[[#This Row],[United States 3y]],#N/A)</f>
        <v/>
      </c>
    </row>
    <row r="848">
      <c r="A848" s="6">
        <f>Database!$A2933</f>
        <v/>
      </c>
      <c r="B848">
        <f>IF(VLOOKUP(Table7[[#This Row],[Date]],Database!$A:$C,MATCH($B$1,Database!$A$1:$C$1,),)=0,#N/A,VLOOKUP(Table7[[#This Row],[Date]],Database!$A:$C,MATCH($B$1,Database!$A$1:$C$1,),))</f>
        <v/>
      </c>
      <c r="C848">
        <f>IF(VLOOKUP(Table7[[#This Row],[Date]],Database!$A:$C,MATCH($C$1,Database!$A$1:$C$1,),)=0,#N/A,VLOOKUP(Table7[[#This Row],[Date]],Database!$A:$C,MATCH($C$1,Database!$A$1:$C$1,),))</f>
        <v/>
      </c>
      <c r="D848">
        <f>IFERROR(Table7[[#This Row],[United States 10y]]-Table7[[#This Row],[United States 3y]],#N/A)</f>
        <v/>
      </c>
    </row>
    <row r="849">
      <c r="A849" s="6">
        <f>Database!$A2934</f>
        <v/>
      </c>
      <c r="B849">
        <f>IF(VLOOKUP(Table7[[#This Row],[Date]],Database!$A:$C,MATCH($B$1,Database!$A$1:$C$1,),)=0,#N/A,VLOOKUP(Table7[[#This Row],[Date]],Database!$A:$C,MATCH($B$1,Database!$A$1:$C$1,),))</f>
        <v/>
      </c>
      <c r="C849">
        <f>IF(VLOOKUP(Table7[[#This Row],[Date]],Database!$A:$C,MATCH($C$1,Database!$A$1:$C$1,),)=0,#N/A,VLOOKUP(Table7[[#This Row],[Date]],Database!$A:$C,MATCH($C$1,Database!$A$1:$C$1,),))</f>
        <v/>
      </c>
      <c r="D849">
        <f>IFERROR(Table7[[#This Row],[United States 10y]]-Table7[[#This Row],[United States 3y]],#N/A)</f>
        <v/>
      </c>
    </row>
    <row r="850">
      <c r="A850" s="6">
        <f>Database!$A2935</f>
        <v/>
      </c>
      <c r="B850">
        <f>IF(VLOOKUP(Table7[[#This Row],[Date]],Database!$A:$C,MATCH($B$1,Database!$A$1:$C$1,),)=0,#N/A,VLOOKUP(Table7[[#This Row],[Date]],Database!$A:$C,MATCH($B$1,Database!$A$1:$C$1,),))</f>
        <v/>
      </c>
      <c r="C850">
        <f>IF(VLOOKUP(Table7[[#This Row],[Date]],Database!$A:$C,MATCH($C$1,Database!$A$1:$C$1,),)=0,#N/A,VLOOKUP(Table7[[#This Row],[Date]],Database!$A:$C,MATCH($C$1,Database!$A$1:$C$1,),))</f>
        <v/>
      </c>
      <c r="D850">
        <f>IFERROR(Table7[[#This Row],[United States 10y]]-Table7[[#This Row],[United States 3y]],#N/A)</f>
        <v/>
      </c>
    </row>
    <row r="851">
      <c r="A851" s="6">
        <f>Database!$A2936</f>
        <v/>
      </c>
      <c r="B851">
        <f>IF(VLOOKUP(Table7[[#This Row],[Date]],Database!$A:$C,MATCH($B$1,Database!$A$1:$C$1,),)=0,#N/A,VLOOKUP(Table7[[#This Row],[Date]],Database!$A:$C,MATCH($B$1,Database!$A$1:$C$1,),))</f>
        <v/>
      </c>
      <c r="C851">
        <f>IF(VLOOKUP(Table7[[#This Row],[Date]],Database!$A:$C,MATCH($C$1,Database!$A$1:$C$1,),)=0,#N/A,VLOOKUP(Table7[[#This Row],[Date]],Database!$A:$C,MATCH($C$1,Database!$A$1:$C$1,),))</f>
        <v/>
      </c>
      <c r="D851">
        <f>IFERROR(Table7[[#This Row],[United States 10y]]-Table7[[#This Row],[United States 3y]],#N/A)</f>
        <v/>
      </c>
    </row>
    <row r="852">
      <c r="A852" s="6">
        <f>Database!$A2937</f>
        <v/>
      </c>
      <c r="B852">
        <f>IF(VLOOKUP(Table7[[#This Row],[Date]],Database!$A:$C,MATCH($B$1,Database!$A$1:$C$1,),)=0,#N/A,VLOOKUP(Table7[[#This Row],[Date]],Database!$A:$C,MATCH($B$1,Database!$A$1:$C$1,),))</f>
        <v/>
      </c>
      <c r="C852">
        <f>IF(VLOOKUP(Table7[[#This Row],[Date]],Database!$A:$C,MATCH($C$1,Database!$A$1:$C$1,),)=0,#N/A,VLOOKUP(Table7[[#This Row],[Date]],Database!$A:$C,MATCH($C$1,Database!$A$1:$C$1,),))</f>
        <v/>
      </c>
      <c r="D852">
        <f>IFERROR(Table7[[#This Row],[United States 10y]]-Table7[[#This Row],[United States 3y]],#N/A)</f>
        <v/>
      </c>
    </row>
    <row r="853">
      <c r="A853" s="6">
        <f>Database!$A2938</f>
        <v/>
      </c>
      <c r="B853">
        <f>IF(VLOOKUP(Table7[[#This Row],[Date]],Database!$A:$C,MATCH($B$1,Database!$A$1:$C$1,),)=0,#N/A,VLOOKUP(Table7[[#This Row],[Date]],Database!$A:$C,MATCH($B$1,Database!$A$1:$C$1,),))</f>
        <v/>
      </c>
      <c r="C853">
        <f>IF(VLOOKUP(Table7[[#This Row],[Date]],Database!$A:$C,MATCH($C$1,Database!$A$1:$C$1,),)=0,#N/A,VLOOKUP(Table7[[#This Row],[Date]],Database!$A:$C,MATCH($C$1,Database!$A$1:$C$1,),))</f>
        <v/>
      </c>
      <c r="D853">
        <f>IFERROR(Table7[[#This Row],[United States 10y]]-Table7[[#This Row],[United States 3y]],#N/A)</f>
        <v/>
      </c>
    </row>
    <row r="854">
      <c r="A854" s="6">
        <f>Database!$A2939</f>
        <v/>
      </c>
      <c r="B854">
        <f>IF(VLOOKUP(Table7[[#This Row],[Date]],Database!$A:$C,MATCH($B$1,Database!$A$1:$C$1,),)=0,#N/A,VLOOKUP(Table7[[#This Row],[Date]],Database!$A:$C,MATCH($B$1,Database!$A$1:$C$1,),))</f>
        <v/>
      </c>
      <c r="C854">
        <f>IF(VLOOKUP(Table7[[#This Row],[Date]],Database!$A:$C,MATCH($C$1,Database!$A$1:$C$1,),)=0,#N/A,VLOOKUP(Table7[[#This Row],[Date]],Database!$A:$C,MATCH($C$1,Database!$A$1:$C$1,),))</f>
        <v/>
      </c>
      <c r="D854">
        <f>IFERROR(Table7[[#This Row],[United States 10y]]-Table7[[#This Row],[United States 3y]],#N/A)</f>
        <v/>
      </c>
    </row>
    <row r="855">
      <c r="A855" s="6">
        <f>Database!$A2940</f>
        <v/>
      </c>
      <c r="B855">
        <f>IF(VLOOKUP(Table7[[#This Row],[Date]],Database!$A:$C,MATCH($B$1,Database!$A$1:$C$1,),)=0,#N/A,VLOOKUP(Table7[[#This Row],[Date]],Database!$A:$C,MATCH($B$1,Database!$A$1:$C$1,),))</f>
        <v/>
      </c>
      <c r="C855">
        <f>IF(VLOOKUP(Table7[[#This Row],[Date]],Database!$A:$C,MATCH($C$1,Database!$A$1:$C$1,),)=0,#N/A,VLOOKUP(Table7[[#This Row],[Date]],Database!$A:$C,MATCH($C$1,Database!$A$1:$C$1,),))</f>
        <v/>
      </c>
      <c r="D855">
        <f>IFERROR(Table7[[#This Row],[United States 10y]]-Table7[[#This Row],[United States 3y]],#N/A)</f>
        <v/>
      </c>
    </row>
    <row r="856">
      <c r="A856" s="6">
        <f>Database!$A2941</f>
        <v/>
      </c>
      <c r="B856">
        <f>IF(VLOOKUP(Table7[[#This Row],[Date]],Database!$A:$C,MATCH($B$1,Database!$A$1:$C$1,),)=0,#N/A,VLOOKUP(Table7[[#This Row],[Date]],Database!$A:$C,MATCH($B$1,Database!$A$1:$C$1,),))</f>
        <v/>
      </c>
      <c r="C856">
        <f>IF(VLOOKUP(Table7[[#This Row],[Date]],Database!$A:$C,MATCH($C$1,Database!$A$1:$C$1,),)=0,#N/A,VLOOKUP(Table7[[#This Row],[Date]],Database!$A:$C,MATCH($C$1,Database!$A$1:$C$1,),))</f>
        <v/>
      </c>
      <c r="D856">
        <f>IFERROR(Table7[[#This Row],[United States 10y]]-Table7[[#This Row],[United States 3y]],#N/A)</f>
        <v/>
      </c>
    </row>
    <row r="857">
      <c r="A857" s="6">
        <f>Database!$A2942</f>
        <v/>
      </c>
      <c r="B857">
        <f>IF(VLOOKUP(Table7[[#This Row],[Date]],Database!$A:$C,MATCH($B$1,Database!$A$1:$C$1,),)=0,#N/A,VLOOKUP(Table7[[#This Row],[Date]],Database!$A:$C,MATCH($B$1,Database!$A$1:$C$1,),))</f>
        <v/>
      </c>
      <c r="C857">
        <f>IF(VLOOKUP(Table7[[#This Row],[Date]],Database!$A:$C,MATCH($C$1,Database!$A$1:$C$1,),)=0,#N/A,VLOOKUP(Table7[[#This Row],[Date]],Database!$A:$C,MATCH($C$1,Database!$A$1:$C$1,),))</f>
        <v/>
      </c>
      <c r="D857">
        <f>IFERROR(Table7[[#This Row],[United States 10y]]-Table7[[#This Row],[United States 3y]],#N/A)</f>
        <v/>
      </c>
    </row>
    <row r="858">
      <c r="A858" s="6">
        <f>Database!$A2943</f>
        <v/>
      </c>
      <c r="B858">
        <f>IF(VLOOKUP(Table7[[#This Row],[Date]],Database!$A:$C,MATCH($B$1,Database!$A$1:$C$1,),)=0,#N/A,VLOOKUP(Table7[[#This Row],[Date]],Database!$A:$C,MATCH($B$1,Database!$A$1:$C$1,),))</f>
        <v/>
      </c>
      <c r="C858">
        <f>IF(VLOOKUP(Table7[[#This Row],[Date]],Database!$A:$C,MATCH($C$1,Database!$A$1:$C$1,),)=0,#N/A,VLOOKUP(Table7[[#This Row],[Date]],Database!$A:$C,MATCH($C$1,Database!$A$1:$C$1,),))</f>
        <v/>
      </c>
      <c r="D858">
        <f>IFERROR(Table7[[#This Row],[United States 10y]]-Table7[[#This Row],[United States 3y]],#N/A)</f>
        <v/>
      </c>
    </row>
    <row r="859">
      <c r="A859" s="6">
        <f>Database!$A2944</f>
        <v/>
      </c>
      <c r="B859">
        <f>IF(VLOOKUP(Table7[[#This Row],[Date]],Database!$A:$C,MATCH($B$1,Database!$A$1:$C$1,),)=0,#N/A,VLOOKUP(Table7[[#This Row],[Date]],Database!$A:$C,MATCH($B$1,Database!$A$1:$C$1,),))</f>
        <v/>
      </c>
      <c r="C859">
        <f>IF(VLOOKUP(Table7[[#This Row],[Date]],Database!$A:$C,MATCH($C$1,Database!$A$1:$C$1,),)=0,#N/A,VLOOKUP(Table7[[#This Row],[Date]],Database!$A:$C,MATCH($C$1,Database!$A$1:$C$1,),))</f>
        <v/>
      </c>
      <c r="D859">
        <f>IFERROR(Table7[[#This Row],[United States 10y]]-Table7[[#This Row],[United States 3y]],#N/A)</f>
        <v/>
      </c>
    </row>
    <row r="860">
      <c r="A860" s="6">
        <f>Database!$A2945</f>
        <v/>
      </c>
      <c r="B860">
        <f>IF(VLOOKUP(Table7[[#This Row],[Date]],Database!$A:$C,MATCH($B$1,Database!$A$1:$C$1,),)=0,#N/A,VLOOKUP(Table7[[#This Row],[Date]],Database!$A:$C,MATCH($B$1,Database!$A$1:$C$1,),))</f>
        <v/>
      </c>
      <c r="C860">
        <f>IF(VLOOKUP(Table7[[#This Row],[Date]],Database!$A:$C,MATCH($C$1,Database!$A$1:$C$1,),)=0,#N/A,VLOOKUP(Table7[[#This Row],[Date]],Database!$A:$C,MATCH($C$1,Database!$A$1:$C$1,),))</f>
        <v/>
      </c>
      <c r="D860">
        <f>IFERROR(Table7[[#This Row],[United States 10y]]-Table7[[#This Row],[United States 3y]],#N/A)</f>
        <v/>
      </c>
    </row>
    <row r="861">
      <c r="A861" s="6">
        <f>Database!$A2946</f>
        <v/>
      </c>
      <c r="B861">
        <f>IF(VLOOKUP(Table7[[#This Row],[Date]],Database!$A:$C,MATCH($B$1,Database!$A$1:$C$1,),)=0,#N/A,VLOOKUP(Table7[[#This Row],[Date]],Database!$A:$C,MATCH($B$1,Database!$A$1:$C$1,),))</f>
        <v/>
      </c>
      <c r="C861">
        <f>IF(VLOOKUP(Table7[[#This Row],[Date]],Database!$A:$C,MATCH($C$1,Database!$A$1:$C$1,),)=0,#N/A,VLOOKUP(Table7[[#This Row],[Date]],Database!$A:$C,MATCH($C$1,Database!$A$1:$C$1,),))</f>
        <v/>
      </c>
      <c r="D861">
        <f>IFERROR(Table7[[#This Row],[United States 10y]]-Table7[[#This Row],[United States 3y]],#N/A)</f>
        <v/>
      </c>
    </row>
    <row r="862">
      <c r="A862" s="6">
        <f>Database!$A2947</f>
        <v/>
      </c>
      <c r="B862">
        <f>IF(VLOOKUP(Table7[[#This Row],[Date]],Database!$A:$C,MATCH($B$1,Database!$A$1:$C$1,),)=0,#N/A,VLOOKUP(Table7[[#This Row],[Date]],Database!$A:$C,MATCH($B$1,Database!$A$1:$C$1,),))</f>
        <v/>
      </c>
      <c r="C862">
        <f>IF(VLOOKUP(Table7[[#This Row],[Date]],Database!$A:$C,MATCH($C$1,Database!$A$1:$C$1,),)=0,#N/A,VLOOKUP(Table7[[#This Row],[Date]],Database!$A:$C,MATCH($C$1,Database!$A$1:$C$1,),))</f>
        <v/>
      </c>
      <c r="D862">
        <f>IFERROR(Table7[[#This Row],[United States 10y]]-Table7[[#This Row],[United States 3y]],#N/A)</f>
        <v/>
      </c>
    </row>
    <row r="863">
      <c r="A863" s="6">
        <f>Database!$A2948</f>
        <v/>
      </c>
      <c r="B863">
        <f>IF(VLOOKUP(Table7[[#This Row],[Date]],Database!$A:$C,MATCH($B$1,Database!$A$1:$C$1,),)=0,#N/A,VLOOKUP(Table7[[#This Row],[Date]],Database!$A:$C,MATCH($B$1,Database!$A$1:$C$1,),))</f>
        <v/>
      </c>
      <c r="C863">
        <f>IF(VLOOKUP(Table7[[#This Row],[Date]],Database!$A:$C,MATCH($C$1,Database!$A$1:$C$1,),)=0,#N/A,VLOOKUP(Table7[[#This Row],[Date]],Database!$A:$C,MATCH($C$1,Database!$A$1:$C$1,),))</f>
        <v/>
      </c>
      <c r="D863">
        <f>IFERROR(Table7[[#This Row],[United States 10y]]-Table7[[#This Row],[United States 3y]],#N/A)</f>
        <v/>
      </c>
    </row>
    <row r="864">
      <c r="A864" s="6">
        <f>Database!$A2949</f>
        <v/>
      </c>
      <c r="B864">
        <f>IF(VLOOKUP(Table7[[#This Row],[Date]],Database!$A:$C,MATCH($B$1,Database!$A$1:$C$1,),)=0,#N/A,VLOOKUP(Table7[[#This Row],[Date]],Database!$A:$C,MATCH($B$1,Database!$A$1:$C$1,),))</f>
        <v/>
      </c>
      <c r="C864">
        <f>IF(VLOOKUP(Table7[[#This Row],[Date]],Database!$A:$C,MATCH($C$1,Database!$A$1:$C$1,),)=0,#N/A,VLOOKUP(Table7[[#This Row],[Date]],Database!$A:$C,MATCH($C$1,Database!$A$1:$C$1,),))</f>
        <v/>
      </c>
      <c r="D864">
        <f>IFERROR(Table7[[#This Row],[United States 10y]]-Table7[[#This Row],[United States 3y]],#N/A)</f>
        <v/>
      </c>
    </row>
    <row r="865">
      <c r="A865" s="6">
        <f>Database!$A2950</f>
        <v/>
      </c>
      <c r="B865">
        <f>IF(VLOOKUP(Table7[[#This Row],[Date]],Database!$A:$C,MATCH($B$1,Database!$A$1:$C$1,),)=0,#N/A,VLOOKUP(Table7[[#This Row],[Date]],Database!$A:$C,MATCH($B$1,Database!$A$1:$C$1,),))</f>
        <v/>
      </c>
      <c r="C865">
        <f>IF(VLOOKUP(Table7[[#This Row],[Date]],Database!$A:$C,MATCH($C$1,Database!$A$1:$C$1,),)=0,#N/A,VLOOKUP(Table7[[#This Row],[Date]],Database!$A:$C,MATCH($C$1,Database!$A$1:$C$1,),))</f>
        <v/>
      </c>
      <c r="D865">
        <f>IFERROR(Table7[[#This Row],[United States 10y]]-Table7[[#This Row],[United States 3y]],#N/A)</f>
        <v/>
      </c>
    </row>
    <row r="866">
      <c r="A866" s="6">
        <f>Database!$A2951</f>
        <v/>
      </c>
      <c r="B866">
        <f>IF(VLOOKUP(Table7[[#This Row],[Date]],Database!$A:$C,MATCH($B$1,Database!$A$1:$C$1,),)=0,#N/A,VLOOKUP(Table7[[#This Row],[Date]],Database!$A:$C,MATCH($B$1,Database!$A$1:$C$1,),))</f>
        <v/>
      </c>
      <c r="C866">
        <f>IF(VLOOKUP(Table7[[#This Row],[Date]],Database!$A:$C,MATCH($C$1,Database!$A$1:$C$1,),)=0,#N/A,VLOOKUP(Table7[[#This Row],[Date]],Database!$A:$C,MATCH($C$1,Database!$A$1:$C$1,),))</f>
        <v/>
      </c>
      <c r="D866">
        <f>IFERROR(Table7[[#This Row],[United States 10y]]-Table7[[#This Row],[United States 3y]],#N/A)</f>
        <v/>
      </c>
    </row>
    <row r="867">
      <c r="A867" s="6">
        <f>Database!$A2952</f>
        <v/>
      </c>
      <c r="B867">
        <f>IF(VLOOKUP(Table7[[#This Row],[Date]],Database!$A:$C,MATCH($B$1,Database!$A$1:$C$1,),)=0,#N/A,VLOOKUP(Table7[[#This Row],[Date]],Database!$A:$C,MATCH($B$1,Database!$A$1:$C$1,),))</f>
        <v/>
      </c>
      <c r="C867">
        <f>IF(VLOOKUP(Table7[[#This Row],[Date]],Database!$A:$C,MATCH($C$1,Database!$A$1:$C$1,),)=0,#N/A,VLOOKUP(Table7[[#This Row],[Date]],Database!$A:$C,MATCH($C$1,Database!$A$1:$C$1,),))</f>
        <v/>
      </c>
      <c r="D867">
        <f>IFERROR(Table7[[#This Row],[United States 10y]]-Table7[[#This Row],[United States 3y]],#N/A)</f>
        <v/>
      </c>
    </row>
    <row r="868">
      <c r="A868" s="6">
        <f>Database!$A2953</f>
        <v/>
      </c>
      <c r="B868">
        <f>IF(VLOOKUP(Table7[[#This Row],[Date]],Database!$A:$C,MATCH($B$1,Database!$A$1:$C$1,),)=0,#N/A,VLOOKUP(Table7[[#This Row],[Date]],Database!$A:$C,MATCH($B$1,Database!$A$1:$C$1,),))</f>
        <v/>
      </c>
      <c r="C868">
        <f>IF(VLOOKUP(Table7[[#This Row],[Date]],Database!$A:$C,MATCH($C$1,Database!$A$1:$C$1,),)=0,#N/A,VLOOKUP(Table7[[#This Row],[Date]],Database!$A:$C,MATCH($C$1,Database!$A$1:$C$1,),))</f>
        <v/>
      </c>
      <c r="D868">
        <f>IFERROR(Table7[[#This Row],[United States 10y]]-Table7[[#This Row],[United States 3y]],#N/A)</f>
        <v/>
      </c>
    </row>
    <row r="869">
      <c r="A869" s="6">
        <f>Database!$A2954</f>
        <v/>
      </c>
      <c r="B869">
        <f>IF(VLOOKUP(Table7[[#This Row],[Date]],Database!$A:$C,MATCH($B$1,Database!$A$1:$C$1,),)=0,#N/A,VLOOKUP(Table7[[#This Row],[Date]],Database!$A:$C,MATCH($B$1,Database!$A$1:$C$1,),))</f>
        <v/>
      </c>
      <c r="C869">
        <f>IF(VLOOKUP(Table7[[#This Row],[Date]],Database!$A:$C,MATCH($C$1,Database!$A$1:$C$1,),)=0,#N/A,VLOOKUP(Table7[[#This Row],[Date]],Database!$A:$C,MATCH($C$1,Database!$A$1:$C$1,),))</f>
        <v/>
      </c>
      <c r="D869">
        <f>IFERROR(Table7[[#This Row],[United States 10y]]-Table7[[#This Row],[United States 3y]],#N/A)</f>
        <v/>
      </c>
    </row>
    <row r="870">
      <c r="A870" s="6">
        <f>Database!$A2955</f>
        <v/>
      </c>
      <c r="B870">
        <f>IF(VLOOKUP(Table7[[#This Row],[Date]],Database!$A:$C,MATCH($B$1,Database!$A$1:$C$1,),)=0,#N/A,VLOOKUP(Table7[[#This Row],[Date]],Database!$A:$C,MATCH($B$1,Database!$A$1:$C$1,),))</f>
        <v/>
      </c>
      <c r="C870">
        <f>IF(VLOOKUP(Table7[[#This Row],[Date]],Database!$A:$C,MATCH($C$1,Database!$A$1:$C$1,),)=0,#N/A,VLOOKUP(Table7[[#This Row],[Date]],Database!$A:$C,MATCH($C$1,Database!$A$1:$C$1,),))</f>
        <v/>
      </c>
      <c r="D870">
        <f>IFERROR(Table7[[#This Row],[United States 10y]]-Table7[[#This Row],[United States 3y]],#N/A)</f>
        <v/>
      </c>
    </row>
    <row r="871">
      <c r="A871" s="6">
        <f>Database!$A2956</f>
        <v/>
      </c>
      <c r="B871">
        <f>IF(VLOOKUP(Table7[[#This Row],[Date]],Database!$A:$C,MATCH($B$1,Database!$A$1:$C$1,),)=0,#N/A,VLOOKUP(Table7[[#This Row],[Date]],Database!$A:$C,MATCH($B$1,Database!$A$1:$C$1,),))</f>
        <v/>
      </c>
      <c r="C871">
        <f>IF(VLOOKUP(Table7[[#This Row],[Date]],Database!$A:$C,MATCH($C$1,Database!$A$1:$C$1,),)=0,#N/A,VLOOKUP(Table7[[#This Row],[Date]],Database!$A:$C,MATCH($C$1,Database!$A$1:$C$1,),))</f>
        <v/>
      </c>
      <c r="D871">
        <f>IFERROR(Table7[[#This Row],[United States 10y]]-Table7[[#This Row],[United States 3y]],#N/A)</f>
        <v/>
      </c>
    </row>
    <row r="872">
      <c r="A872" s="6">
        <f>Database!$A2957</f>
        <v/>
      </c>
      <c r="B872">
        <f>IF(VLOOKUP(Table7[[#This Row],[Date]],Database!$A:$C,MATCH($B$1,Database!$A$1:$C$1,),)=0,#N/A,VLOOKUP(Table7[[#This Row],[Date]],Database!$A:$C,MATCH($B$1,Database!$A$1:$C$1,),))</f>
        <v/>
      </c>
      <c r="C872">
        <f>IF(VLOOKUP(Table7[[#This Row],[Date]],Database!$A:$C,MATCH($C$1,Database!$A$1:$C$1,),)=0,#N/A,VLOOKUP(Table7[[#This Row],[Date]],Database!$A:$C,MATCH($C$1,Database!$A$1:$C$1,),))</f>
        <v/>
      </c>
      <c r="D872">
        <f>IFERROR(Table7[[#This Row],[United States 10y]]-Table7[[#This Row],[United States 3y]],#N/A)</f>
        <v/>
      </c>
    </row>
    <row r="873">
      <c r="A873" s="6">
        <f>Database!$A2958</f>
        <v/>
      </c>
      <c r="B873">
        <f>IF(VLOOKUP(Table7[[#This Row],[Date]],Database!$A:$C,MATCH($B$1,Database!$A$1:$C$1,),)=0,#N/A,VLOOKUP(Table7[[#This Row],[Date]],Database!$A:$C,MATCH($B$1,Database!$A$1:$C$1,),))</f>
        <v/>
      </c>
      <c r="C873">
        <f>IF(VLOOKUP(Table7[[#This Row],[Date]],Database!$A:$C,MATCH($C$1,Database!$A$1:$C$1,),)=0,#N/A,VLOOKUP(Table7[[#This Row],[Date]],Database!$A:$C,MATCH($C$1,Database!$A$1:$C$1,),))</f>
        <v/>
      </c>
      <c r="D873">
        <f>IFERROR(Table7[[#This Row],[United States 10y]]-Table7[[#This Row],[United States 3y]],#N/A)</f>
        <v/>
      </c>
    </row>
    <row r="874">
      <c r="A874" s="6">
        <f>Database!$A2959</f>
        <v/>
      </c>
      <c r="B874">
        <f>IF(VLOOKUP(Table7[[#This Row],[Date]],Database!$A:$C,MATCH($B$1,Database!$A$1:$C$1,),)=0,#N/A,VLOOKUP(Table7[[#This Row],[Date]],Database!$A:$C,MATCH($B$1,Database!$A$1:$C$1,),))</f>
        <v/>
      </c>
      <c r="C874">
        <f>IF(VLOOKUP(Table7[[#This Row],[Date]],Database!$A:$C,MATCH($C$1,Database!$A$1:$C$1,),)=0,#N/A,VLOOKUP(Table7[[#This Row],[Date]],Database!$A:$C,MATCH($C$1,Database!$A$1:$C$1,),))</f>
        <v/>
      </c>
      <c r="D874">
        <f>IFERROR(Table7[[#This Row],[United States 10y]]-Table7[[#This Row],[United States 3y]],#N/A)</f>
        <v/>
      </c>
    </row>
    <row r="875">
      <c r="A875" s="6">
        <f>Database!$A2960</f>
        <v/>
      </c>
      <c r="B875">
        <f>IF(VLOOKUP(Table7[[#This Row],[Date]],Database!$A:$C,MATCH($B$1,Database!$A$1:$C$1,),)=0,#N/A,VLOOKUP(Table7[[#This Row],[Date]],Database!$A:$C,MATCH($B$1,Database!$A$1:$C$1,),))</f>
        <v/>
      </c>
      <c r="C875">
        <f>IF(VLOOKUP(Table7[[#This Row],[Date]],Database!$A:$C,MATCH($C$1,Database!$A$1:$C$1,),)=0,#N/A,VLOOKUP(Table7[[#This Row],[Date]],Database!$A:$C,MATCH($C$1,Database!$A$1:$C$1,),))</f>
        <v/>
      </c>
      <c r="D875">
        <f>IFERROR(Table7[[#This Row],[United States 10y]]-Table7[[#This Row],[United States 3y]],#N/A)</f>
        <v/>
      </c>
    </row>
    <row r="876">
      <c r="A876" s="6">
        <f>Database!$A2961</f>
        <v/>
      </c>
      <c r="B876">
        <f>IF(VLOOKUP(Table7[[#This Row],[Date]],Database!$A:$C,MATCH($B$1,Database!$A$1:$C$1,),)=0,#N/A,VLOOKUP(Table7[[#This Row],[Date]],Database!$A:$C,MATCH($B$1,Database!$A$1:$C$1,),))</f>
        <v/>
      </c>
      <c r="C876">
        <f>IF(VLOOKUP(Table7[[#This Row],[Date]],Database!$A:$C,MATCH($C$1,Database!$A$1:$C$1,),)=0,#N/A,VLOOKUP(Table7[[#This Row],[Date]],Database!$A:$C,MATCH($C$1,Database!$A$1:$C$1,),))</f>
        <v/>
      </c>
      <c r="D876">
        <f>IFERROR(Table7[[#This Row],[United States 10y]]-Table7[[#This Row],[United States 3y]],#N/A)</f>
        <v/>
      </c>
    </row>
    <row r="877">
      <c r="A877" s="6">
        <f>Database!$A2962</f>
        <v/>
      </c>
      <c r="B877">
        <f>IF(VLOOKUP(Table7[[#This Row],[Date]],Database!$A:$C,MATCH($B$1,Database!$A$1:$C$1,),)=0,#N/A,VLOOKUP(Table7[[#This Row],[Date]],Database!$A:$C,MATCH($B$1,Database!$A$1:$C$1,),))</f>
        <v/>
      </c>
      <c r="C877">
        <f>IF(VLOOKUP(Table7[[#This Row],[Date]],Database!$A:$C,MATCH($C$1,Database!$A$1:$C$1,),)=0,#N/A,VLOOKUP(Table7[[#This Row],[Date]],Database!$A:$C,MATCH($C$1,Database!$A$1:$C$1,),))</f>
        <v/>
      </c>
      <c r="D877">
        <f>IFERROR(Table7[[#This Row],[United States 10y]]-Table7[[#This Row],[United States 3y]],#N/A)</f>
        <v/>
      </c>
    </row>
    <row r="878">
      <c r="A878" s="6">
        <f>Database!$A2963</f>
        <v/>
      </c>
      <c r="B878">
        <f>IF(VLOOKUP(Table7[[#This Row],[Date]],Database!$A:$C,MATCH($B$1,Database!$A$1:$C$1,),)=0,#N/A,VLOOKUP(Table7[[#This Row],[Date]],Database!$A:$C,MATCH($B$1,Database!$A$1:$C$1,),))</f>
        <v/>
      </c>
      <c r="C878">
        <f>IF(VLOOKUP(Table7[[#This Row],[Date]],Database!$A:$C,MATCH($C$1,Database!$A$1:$C$1,),)=0,#N/A,VLOOKUP(Table7[[#This Row],[Date]],Database!$A:$C,MATCH($C$1,Database!$A$1:$C$1,),))</f>
        <v/>
      </c>
      <c r="D878">
        <f>IFERROR(Table7[[#This Row],[United States 10y]]-Table7[[#This Row],[United States 3y]],#N/A)</f>
        <v/>
      </c>
    </row>
    <row r="879">
      <c r="A879" s="6">
        <f>Database!$A2964</f>
        <v/>
      </c>
      <c r="B879">
        <f>IF(VLOOKUP(Table7[[#This Row],[Date]],Database!$A:$C,MATCH($B$1,Database!$A$1:$C$1,),)=0,#N/A,VLOOKUP(Table7[[#This Row],[Date]],Database!$A:$C,MATCH($B$1,Database!$A$1:$C$1,),))</f>
        <v/>
      </c>
      <c r="C879">
        <f>IF(VLOOKUP(Table7[[#This Row],[Date]],Database!$A:$C,MATCH($C$1,Database!$A$1:$C$1,),)=0,#N/A,VLOOKUP(Table7[[#This Row],[Date]],Database!$A:$C,MATCH($C$1,Database!$A$1:$C$1,),))</f>
        <v/>
      </c>
      <c r="D879">
        <f>IFERROR(Table7[[#This Row],[United States 10y]]-Table7[[#This Row],[United States 3y]],#N/A)</f>
        <v/>
      </c>
    </row>
    <row r="880">
      <c r="A880" s="6">
        <f>Database!$A2965</f>
        <v/>
      </c>
      <c r="B880">
        <f>IF(VLOOKUP(Table7[[#This Row],[Date]],Database!$A:$C,MATCH($B$1,Database!$A$1:$C$1,),)=0,#N/A,VLOOKUP(Table7[[#This Row],[Date]],Database!$A:$C,MATCH($B$1,Database!$A$1:$C$1,),))</f>
        <v/>
      </c>
      <c r="C880">
        <f>IF(VLOOKUP(Table7[[#This Row],[Date]],Database!$A:$C,MATCH($C$1,Database!$A$1:$C$1,),)=0,#N/A,VLOOKUP(Table7[[#This Row],[Date]],Database!$A:$C,MATCH($C$1,Database!$A$1:$C$1,),))</f>
        <v/>
      </c>
      <c r="D880">
        <f>IFERROR(Table7[[#This Row],[United States 10y]]-Table7[[#This Row],[United States 3y]],#N/A)</f>
        <v/>
      </c>
    </row>
    <row r="881">
      <c r="A881" s="6">
        <f>Database!$A2966</f>
        <v/>
      </c>
      <c r="B881">
        <f>IF(VLOOKUP(Table7[[#This Row],[Date]],Database!$A:$C,MATCH($B$1,Database!$A$1:$C$1,),)=0,#N/A,VLOOKUP(Table7[[#This Row],[Date]],Database!$A:$C,MATCH($B$1,Database!$A$1:$C$1,),))</f>
        <v/>
      </c>
      <c r="C881">
        <f>IF(VLOOKUP(Table7[[#This Row],[Date]],Database!$A:$C,MATCH($C$1,Database!$A$1:$C$1,),)=0,#N/A,VLOOKUP(Table7[[#This Row],[Date]],Database!$A:$C,MATCH($C$1,Database!$A$1:$C$1,),))</f>
        <v/>
      </c>
      <c r="D881">
        <f>IFERROR(Table7[[#This Row],[United States 10y]]-Table7[[#This Row],[United States 3y]],#N/A)</f>
        <v/>
      </c>
    </row>
    <row r="882">
      <c r="A882" s="6">
        <f>Database!$A2967</f>
        <v/>
      </c>
      <c r="B882">
        <f>IF(VLOOKUP(Table7[[#This Row],[Date]],Database!$A:$C,MATCH($B$1,Database!$A$1:$C$1,),)=0,#N/A,VLOOKUP(Table7[[#This Row],[Date]],Database!$A:$C,MATCH($B$1,Database!$A$1:$C$1,),))</f>
        <v/>
      </c>
      <c r="C882">
        <f>IF(VLOOKUP(Table7[[#This Row],[Date]],Database!$A:$C,MATCH($C$1,Database!$A$1:$C$1,),)=0,#N/A,VLOOKUP(Table7[[#This Row],[Date]],Database!$A:$C,MATCH($C$1,Database!$A$1:$C$1,),))</f>
        <v/>
      </c>
      <c r="D882">
        <f>IFERROR(Table7[[#This Row],[United States 10y]]-Table7[[#This Row],[United States 3y]],#N/A)</f>
        <v/>
      </c>
    </row>
    <row r="883">
      <c r="A883" s="6">
        <f>Database!$A2968</f>
        <v/>
      </c>
      <c r="B883">
        <f>IF(VLOOKUP(Table7[[#This Row],[Date]],Database!$A:$C,MATCH($B$1,Database!$A$1:$C$1,),)=0,#N/A,VLOOKUP(Table7[[#This Row],[Date]],Database!$A:$C,MATCH($B$1,Database!$A$1:$C$1,),))</f>
        <v/>
      </c>
      <c r="C883">
        <f>IF(VLOOKUP(Table7[[#This Row],[Date]],Database!$A:$C,MATCH($C$1,Database!$A$1:$C$1,),)=0,#N/A,VLOOKUP(Table7[[#This Row],[Date]],Database!$A:$C,MATCH($C$1,Database!$A$1:$C$1,),))</f>
        <v/>
      </c>
      <c r="D883">
        <f>IFERROR(Table7[[#This Row],[United States 10y]]-Table7[[#This Row],[United States 3y]],#N/A)</f>
        <v/>
      </c>
    </row>
    <row r="884">
      <c r="A884" s="6">
        <f>Database!$A2969</f>
        <v/>
      </c>
      <c r="B884">
        <f>IF(VLOOKUP(Table7[[#This Row],[Date]],Database!$A:$C,MATCH($B$1,Database!$A$1:$C$1,),)=0,#N/A,VLOOKUP(Table7[[#This Row],[Date]],Database!$A:$C,MATCH($B$1,Database!$A$1:$C$1,),))</f>
        <v/>
      </c>
      <c r="C884">
        <f>IF(VLOOKUP(Table7[[#This Row],[Date]],Database!$A:$C,MATCH($C$1,Database!$A$1:$C$1,),)=0,#N/A,VLOOKUP(Table7[[#This Row],[Date]],Database!$A:$C,MATCH($C$1,Database!$A$1:$C$1,),))</f>
        <v/>
      </c>
      <c r="D884">
        <f>IFERROR(Table7[[#This Row],[United States 10y]]-Table7[[#This Row],[United States 3y]],#N/A)</f>
        <v/>
      </c>
    </row>
    <row r="885">
      <c r="A885" s="6">
        <f>Database!$A2970</f>
        <v/>
      </c>
      <c r="B885">
        <f>IF(VLOOKUP(Table7[[#This Row],[Date]],Database!$A:$C,MATCH($B$1,Database!$A$1:$C$1,),)=0,#N/A,VLOOKUP(Table7[[#This Row],[Date]],Database!$A:$C,MATCH($B$1,Database!$A$1:$C$1,),))</f>
        <v/>
      </c>
      <c r="C885">
        <f>IF(VLOOKUP(Table7[[#This Row],[Date]],Database!$A:$C,MATCH($C$1,Database!$A$1:$C$1,),)=0,#N/A,VLOOKUP(Table7[[#This Row],[Date]],Database!$A:$C,MATCH($C$1,Database!$A$1:$C$1,),))</f>
        <v/>
      </c>
      <c r="D885">
        <f>IFERROR(Table7[[#This Row],[United States 10y]]-Table7[[#This Row],[United States 3y]],#N/A)</f>
        <v/>
      </c>
    </row>
    <row r="886">
      <c r="A886" s="6">
        <f>Database!$A2971</f>
        <v/>
      </c>
      <c r="B886">
        <f>IF(VLOOKUP(Table7[[#This Row],[Date]],Database!$A:$C,MATCH($B$1,Database!$A$1:$C$1,),)=0,#N/A,VLOOKUP(Table7[[#This Row],[Date]],Database!$A:$C,MATCH($B$1,Database!$A$1:$C$1,),))</f>
        <v/>
      </c>
      <c r="C886">
        <f>IF(VLOOKUP(Table7[[#This Row],[Date]],Database!$A:$C,MATCH($C$1,Database!$A$1:$C$1,),)=0,#N/A,VLOOKUP(Table7[[#This Row],[Date]],Database!$A:$C,MATCH($C$1,Database!$A$1:$C$1,),))</f>
        <v/>
      </c>
      <c r="D886">
        <f>IFERROR(Table7[[#This Row],[United States 10y]]-Table7[[#This Row],[United States 3y]],#N/A)</f>
        <v/>
      </c>
    </row>
    <row r="887">
      <c r="A887" s="6">
        <f>Database!$A2972</f>
        <v/>
      </c>
      <c r="B887">
        <f>IF(VLOOKUP(Table7[[#This Row],[Date]],Database!$A:$C,MATCH($B$1,Database!$A$1:$C$1,),)=0,#N/A,VLOOKUP(Table7[[#This Row],[Date]],Database!$A:$C,MATCH($B$1,Database!$A$1:$C$1,),))</f>
        <v/>
      </c>
      <c r="C887">
        <f>IF(VLOOKUP(Table7[[#This Row],[Date]],Database!$A:$C,MATCH($C$1,Database!$A$1:$C$1,),)=0,#N/A,VLOOKUP(Table7[[#This Row],[Date]],Database!$A:$C,MATCH($C$1,Database!$A$1:$C$1,),))</f>
        <v/>
      </c>
      <c r="D887">
        <f>IFERROR(Table7[[#This Row],[United States 10y]]-Table7[[#This Row],[United States 3y]],#N/A)</f>
        <v/>
      </c>
    </row>
    <row r="888">
      <c r="A888" s="6">
        <f>Database!$A2973</f>
        <v/>
      </c>
      <c r="B888">
        <f>IF(VLOOKUP(Table7[[#This Row],[Date]],Database!$A:$C,MATCH($B$1,Database!$A$1:$C$1,),)=0,#N/A,VLOOKUP(Table7[[#This Row],[Date]],Database!$A:$C,MATCH($B$1,Database!$A$1:$C$1,),))</f>
        <v/>
      </c>
      <c r="C888">
        <f>IF(VLOOKUP(Table7[[#This Row],[Date]],Database!$A:$C,MATCH($C$1,Database!$A$1:$C$1,),)=0,#N/A,VLOOKUP(Table7[[#This Row],[Date]],Database!$A:$C,MATCH($C$1,Database!$A$1:$C$1,),))</f>
        <v/>
      </c>
      <c r="D888">
        <f>IFERROR(Table7[[#This Row],[United States 10y]]-Table7[[#This Row],[United States 3y]],#N/A)</f>
        <v/>
      </c>
    </row>
    <row r="889">
      <c r="A889" s="6">
        <f>Database!$A2974</f>
        <v/>
      </c>
      <c r="B889">
        <f>IF(VLOOKUP(Table7[[#This Row],[Date]],Database!$A:$C,MATCH($B$1,Database!$A$1:$C$1,),)=0,#N/A,VLOOKUP(Table7[[#This Row],[Date]],Database!$A:$C,MATCH($B$1,Database!$A$1:$C$1,),))</f>
        <v/>
      </c>
      <c r="C889">
        <f>IF(VLOOKUP(Table7[[#This Row],[Date]],Database!$A:$C,MATCH($C$1,Database!$A$1:$C$1,),)=0,#N/A,VLOOKUP(Table7[[#This Row],[Date]],Database!$A:$C,MATCH($C$1,Database!$A$1:$C$1,),))</f>
        <v/>
      </c>
      <c r="D889">
        <f>IFERROR(Table7[[#This Row],[United States 10y]]-Table7[[#This Row],[United States 3y]],#N/A)</f>
        <v/>
      </c>
    </row>
    <row r="890">
      <c r="A890" s="6">
        <f>Database!$A2975</f>
        <v/>
      </c>
      <c r="B890">
        <f>IF(VLOOKUP(Table7[[#This Row],[Date]],Database!$A:$C,MATCH($B$1,Database!$A$1:$C$1,),)=0,#N/A,VLOOKUP(Table7[[#This Row],[Date]],Database!$A:$C,MATCH($B$1,Database!$A$1:$C$1,),))</f>
        <v/>
      </c>
      <c r="C890">
        <f>IF(VLOOKUP(Table7[[#This Row],[Date]],Database!$A:$C,MATCH($C$1,Database!$A$1:$C$1,),)=0,#N/A,VLOOKUP(Table7[[#This Row],[Date]],Database!$A:$C,MATCH($C$1,Database!$A$1:$C$1,),))</f>
        <v/>
      </c>
      <c r="D890">
        <f>IFERROR(Table7[[#This Row],[United States 10y]]-Table7[[#This Row],[United States 3y]],#N/A)</f>
        <v/>
      </c>
    </row>
    <row r="891">
      <c r="A891" s="6">
        <f>Database!$A2976</f>
        <v/>
      </c>
      <c r="B891">
        <f>IF(VLOOKUP(Table7[[#This Row],[Date]],Database!$A:$C,MATCH($B$1,Database!$A$1:$C$1,),)=0,#N/A,VLOOKUP(Table7[[#This Row],[Date]],Database!$A:$C,MATCH($B$1,Database!$A$1:$C$1,),))</f>
        <v/>
      </c>
      <c r="C891">
        <f>IF(VLOOKUP(Table7[[#This Row],[Date]],Database!$A:$C,MATCH($C$1,Database!$A$1:$C$1,),)=0,#N/A,VLOOKUP(Table7[[#This Row],[Date]],Database!$A:$C,MATCH($C$1,Database!$A$1:$C$1,),))</f>
        <v/>
      </c>
      <c r="D891">
        <f>IFERROR(Table7[[#This Row],[United States 10y]]-Table7[[#This Row],[United States 3y]],#N/A)</f>
        <v/>
      </c>
    </row>
    <row r="892">
      <c r="A892" s="6">
        <f>Database!$A2977</f>
        <v/>
      </c>
      <c r="B892">
        <f>IF(VLOOKUP(Table7[[#This Row],[Date]],Database!$A:$C,MATCH($B$1,Database!$A$1:$C$1,),)=0,#N/A,VLOOKUP(Table7[[#This Row],[Date]],Database!$A:$C,MATCH($B$1,Database!$A$1:$C$1,),))</f>
        <v/>
      </c>
      <c r="C892">
        <f>IF(VLOOKUP(Table7[[#This Row],[Date]],Database!$A:$C,MATCH($C$1,Database!$A$1:$C$1,),)=0,#N/A,VLOOKUP(Table7[[#This Row],[Date]],Database!$A:$C,MATCH($C$1,Database!$A$1:$C$1,),))</f>
        <v/>
      </c>
      <c r="D892">
        <f>IFERROR(Table7[[#This Row],[United States 10y]]-Table7[[#This Row],[United States 3y]],#N/A)</f>
        <v/>
      </c>
    </row>
    <row r="893">
      <c r="A893" s="6">
        <f>Database!$A2978</f>
        <v/>
      </c>
      <c r="B893">
        <f>IF(VLOOKUP(Table7[[#This Row],[Date]],Database!$A:$C,MATCH($B$1,Database!$A$1:$C$1,),)=0,#N/A,VLOOKUP(Table7[[#This Row],[Date]],Database!$A:$C,MATCH($B$1,Database!$A$1:$C$1,),))</f>
        <v/>
      </c>
      <c r="C893">
        <f>IF(VLOOKUP(Table7[[#This Row],[Date]],Database!$A:$C,MATCH($C$1,Database!$A$1:$C$1,),)=0,#N/A,VLOOKUP(Table7[[#This Row],[Date]],Database!$A:$C,MATCH($C$1,Database!$A$1:$C$1,),))</f>
        <v/>
      </c>
      <c r="D893">
        <f>IFERROR(Table7[[#This Row],[United States 10y]]-Table7[[#This Row],[United States 3y]],#N/A)</f>
        <v/>
      </c>
    </row>
    <row r="894">
      <c r="A894" s="6">
        <f>Database!$A2979</f>
        <v/>
      </c>
      <c r="B894">
        <f>IF(VLOOKUP(Table7[[#This Row],[Date]],Database!$A:$C,MATCH($B$1,Database!$A$1:$C$1,),)=0,#N/A,VLOOKUP(Table7[[#This Row],[Date]],Database!$A:$C,MATCH($B$1,Database!$A$1:$C$1,),))</f>
        <v/>
      </c>
      <c r="C894">
        <f>IF(VLOOKUP(Table7[[#This Row],[Date]],Database!$A:$C,MATCH($C$1,Database!$A$1:$C$1,),)=0,#N/A,VLOOKUP(Table7[[#This Row],[Date]],Database!$A:$C,MATCH($C$1,Database!$A$1:$C$1,),))</f>
        <v/>
      </c>
      <c r="D894">
        <f>IFERROR(Table7[[#This Row],[United States 10y]]-Table7[[#This Row],[United States 3y]],#N/A)</f>
        <v/>
      </c>
    </row>
    <row r="895">
      <c r="A895" s="6">
        <f>Database!$A2980</f>
        <v/>
      </c>
      <c r="B895">
        <f>IF(VLOOKUP(Table7[[#This Row],[Date]],Database!$A:$C,MATCH($B$1,Database!$A$1:$C$1,),)=0,#N/A,VLOOKUP(Table7[[#This Row],[Date]],Database!$A:$C,MATCH($B$1,Database!$A$1:$C$1,),))</f>
        <v/>
      </c>
      <c r="C895">
        <f>IF(VLOOKUP(Table7[[#This Row],[Date]],Database!$A:$C,MATCH($C$1,Database!$A$1:$C$1,),)=0,#N/A,VLOOKUP(Table7[[#This Row],[Date]],Database!$A:$C,MATCH($C$1,Database!$A$1:$C$1,),))</f>
        <v/>
      </c>
      <c r="D895">
        <f>IFERROR(Table7[[#This Row],[United States 10y]]-Table7[[#This Row],[United States 3y]],#N/A)</f>
        <v/>
      </c>
    </row>
    <row r="896">
      <c r="A896" s="6">
        <f>Database!$A2981</f>
        <v/>
      </c>
      <c r="B896">
        <f>IF(VLOOKUP(Table7[[#This Row],[Date]],Database!$A:$C,MATCH($B$1,Database!$A$1:$C$1,),)=0,#N/A,VLOOKUP(Table7[[#This Row],[Date]],Database!$A:$C,MATCH($B$1,Database!$A$1:$C$1,),))</f>
        <v/>
      </c>
      <c r="C896">
        <f>IF(VLOOKUP(Table7[[#This Row],[Date]],Database!$A:$C,MATCH($C$1,Database!$A$1:$C$1,),)=0,#N/A,VLOOKUP(Table7[[#This Row],[Date]],Database!$A:$C,MATCH($C$1,Database!$A$1:$C$1,),))</f>
        <v/>
      </c>
      <c r="D896">
        <f>IFERROR(Table7[[#This Row],[United States 10y]]-Table7[[#This Row],[United States 3y]],#N/A)</f>
        <v/>
      </c>
    </row>
    <row r="897">
      <c r="A897" s="6">
        <f>Database!$A2982</f>
        <v/>
      </c>
      <c r="B897">
        <f>IF(VLOOKUP(Table7[[#This Row],[Date]],Database!$A:$C,MATCH($B$1,Database!$A$1:$C$1,),)=0,#N/A,VLOOKUP(Table7[[#This Row],[Date]],Database!$A:$C,MATCH($B$1,Database!$A$1:$C$1,),))</f>
        <v/>
      </c>
      <c r="C897">
        <f>IF(VLOOKUP(Table7[[#This Row],[Date]],Database!$A:$C,MATCH($C$1,Database!$A$1:$C$1,),)=0,#N/A,VLOOKUP(Table7[[#This Row],[Date]],Database!$A:$C,MATCH($C$1,Database!$A$1:$C$1,),))</f>
        <v/>
      </c>
      <c r="D897">
        <f>IFERROR(Table7[[#This Row],[United States 10y]]-Table7[[#This Row],[United States 3y]],#N/A)</f>
        <v/>
      </c>
    </row>
    <row r="898">
      <c r="A898" s="6">
        <f>Database!$A2983</f>
        <v/>
      </c>
      <c r="B898">
        <f>IF(VLOOKUP(Table7[[#This Row],[Date]],Database!$A:$C,MATCH($B$1,Database!$A$1:$C$1,),)=0,#N/A,VLOOKUP(Table7[[#This Row],[Date]],Database!$A:$C,MATCH($B$1,Database!$A$1:$C$1,),))</f>
        <v/>
      </c>
      <c r="C898">
        <f>IF(VLOOKUP(Table7[[#This Row],[Date]],Database!$A:$C,MATCH($C$1,Database!$A$1:$C$1,),)=0,#N/A,VLOOKUP(Table7[[#This Row],[Date]],Database!$A:$C,MATCH($C$1,Database!$A$1:$C$1,),))</f>
        <v/>
      </c>
      <c r="D898">
        <f>IFERROR(Table7[[#This Row],[United States 10y]]-Table7[[#This Row],[United States 3y]],#N/A)</f>
        <v/>
      </c>
    </row>
    <row r="899">
      <c r="A899" s="6">
        <f>Database!$A2984</f>
        <v/>
      </c>
      <c r="B899">
        <f>IF(VLOOKUP(Table7[[#This Row],[Date]],Database!$A:$C,MATCH($B$1,Database!$A$1:$C$1,),)=0,#N/A,VLOOKUP(Table7[[#This Row],[Date]],Database!$A:$C,MATCH($B$1,Database!$A$1:$C$1,),))</f>
        <v/>
      </c>
      <c r="C899">
        <f>IF(VLOOKUP(Table7[[#This Row],[Date]],Database!$A:$C,MATCH($C$1,Database!$A$1:$C$1,),)=0,#N/A,VLOOKUP(Table7[[#This Row],[Date]],Database!$A:$C,MATCH($C$1,Database!$A$1:$C$1,),))</f>
        <v/>
      </c>
      <c r="D899">
        <f>IFERROR(Table7[[#This Row],[United States 10y]]-Table7[[#This Row],[United States 3y]],#N/A)</f>
        <v/>
      </c>
    </row>
    <row r="900">
      <c r="A900" s="6">
        <f>Database!$A2985</f>
        <v/>
      </c>
      <c r="B900">
        <f>IF(VLOOKUP(Table7[[#This Row],[Date]],Database!$A:$C,MATCH($B$1,Database!$A$1:$C$1,),)=0,#N/A,VLOOKUP(Table7[[#This Row],[Date]],Database!$A:$C,MATCH($B$1,Database!$A$1:$C$1,),))</f>
        <v/>
      </c>
      <c r="C900">
        <f>IF(VLOOKUP(Table7[[#This Row],[Date]],Database!$A:$C,MATCH($C$1,Database!$A$1:$C$1,),)=0,#N/A,VLOOKUP(Table7[[#This Row],[Date]],Database!$A:$C,MATCH($C$1,Database!$A$1:$C$1,),))</f>
        <v/>
      </c>
      <c r="D900">
        <f>IFERROR(Table7[[#This Row],[United States 10y]]-Table7[[#This Row],[United States 3y]],#N/A)</f>
        <v/>
      </c>
    </row>
    <row r="901">
      <c r="A901" s="6">
        <f>Database!$A2986</f>
        <v/>
      </c>
      <c r="B901">
        <f>IF(VLOOKUP(Table7[[#This Row],[Date]],Database!$A:$C,MATCH($B$1,Database!$A$1:$C$1,),)=0,#N/A,VLOOKUP(Table7[[#This Row],[Date]],Database!$A:$C,MATCH($B$1,Database!$A$1:$C$1,),))</f>
        <v/>
      </c>
      <c r="C901">
        <f>IF(VLOOKUP(Table7[[#This Row],[Date]],Database!$A:$C,MATCH($C$1,Database!$A$1:$C$1,),)=0,#N/A,VLOOKUP(Table7[[#This Row],[Date]],Database!$A:$C,MATCH($C$1,Database!$A$1:$C$1,),))</f>
        <v/>
      </c>
      <c r="D901">
        <f>IFERROR(Table7[[#This Row],[United States 10y]]-Table7[[#This Row],[United States 3y]],#N/A)</f>
        <v/>
      </c>
    </row>
    <row r="902">
      <c r="A902" s="6">
        <f>Database!$A2987</f>
        <v/>
      </c>
      <c r="B902">
        <f>IF(VLOOKUP(Table7[[#This Row],[Date]],Database!$A:$C,MATCH($B$1,Database!$A$1:$C$1,),)=0,#N/A,VLOOKUP(Table7[[#This Row],[Date]],Database!$A:$C,MATCH($B$1,Database!$A$1:$C$1,),))</f>
        <v/>
      </c>
      <c r="C902">
        <f>IF(VLOOKUP(Table7[[#This Row],[Date]],Database!$A:$C,MATCH($C$1,Database!$A$1:$C$1,),)=0,#N/A,VLOOKUP(Table7[[#This Row],[Date]],Database!$A:$C,MATCH($C$1,Database!$A$1:$C$1,),))</f>
        <v/>
      </c>
      <c r="D902">
        <f>IFERROR(Table7[[#This Row],[United States 10y]]-Table7[[#This Row],[United States 3y]],#N/A)</f>
        <v/>
      </c>
    </row>
    <row r="903">
      <c r="A903" s="6">
        <f>Database!$A2988</f>
        <v/>
      </c>
      <c r="B903">
        <f>IF(VLOOKUP(Table7[[#This Row],[Date]],Database!$A:$C,MATCH($B$1,Database!$A$1:$C$1,),)=0,#N/A,VLOOKUP(Table7[[#This Row],[Date]],Database!$A:$C,MATCH($B$1,Database!$A$1:$C$1,),))</f>
        <v/>
      </c>
      <c r="C903">
        <f>IF(VLOOKUP(Table7[[#This Row],[Date]],Database!$A:$C,MATCH($C$1,Database!$A$1:$C$1,),)=0,#N/A,VLOOKUP(Table7[[#This Row],[Date]],Database!$A:$C,MATCH($C$1,Database!$A$1:$C$1,),))</f>
        <v/>
      </c>
      <c r="D903">
        <f>IFERROR(Table7[[#This Row],[United States 10y]]-Table7[[#This Row],[United States 3y]],#N/A)</f>
        <v/>
      </c>
    </row>
    <row r="904">
      <c r="A904" s="6">
        <f>Database!$A2989</f>
        <v/>
      </c>
      <c r="B904">
        <f>IF(VLOOKUP(Table7[[#This Row],[Date]],Database!$A:$C,MATCH($B$1,Database!$A$1:$C$1,),)=0,#N/A,VLOOKUP(Table7[[#This Row],[Date]],Database!$A:$C,MATCH($B$1,Database!$A$1:$C$1,),))</f>
        <v/>
      </c>
      <c r="C904">
        <f>IF(VLOOKUP(Table7[[#This Row],[Date]],Database!$A:$C,MATCH($C$1,Database!$A$1:$C$1,),)=0,#N/A,VLOOKUP(Table7[[#This Row],[Date]],Database!$A:$C,MATCH($C$1,Database!$A$1:$C$1,),))</f>
        <v/>
      </c>
      <c r="D904">
        <f>IFERROR(Table7[[#This Row],[United States 10y]]-Table7[[#This Row],[United States 3y]],#N/A)</f>
        <v/>
      </c>
    </row>
    <row r="905">
      <c r="A905" s="6">
        <f>Database!$A2990</f>
        <v/>
      </c>
      <c r="B905">
        <f>IF(VLOOKUP(Table7[[#This Row],[Date]],Database!$A:$C,MATCH($B$1,Database!$A$1:$C$1,),)=0,#N/A,VLOOKUP(Table7[[#This Row],[Date]],Database!$A:$C,MATCH($B$1,Database!$A$1:$C$1,),))</f>
        <v/>
      </c>
      <c r="C905">
        <f>IF(VLOOKUP(Table7[[#This Row],[Date]],Database!$A:$C,MATCH($C$1,Database!$A$1:$C$1,),)=0,#N/A,VLOOKUP(Table7[[#This Row],[Date]],Database!$A:$C,MATCH($C$1,Database!$A$1:$C$1,),))</f>
        <v/>
      </c>
      <c r="D905">
        <f>IFERROR(Table7[[#This Row],[United States 10y]]-Table7[[#This Row],[United States 3y]],#N/A)</f>
        <v/>
      </c>
    </row>
    <row r="906">
      <c r="A906" s="6">
        <f>Database!$A2991</f>
        <v/>
      </c>
      <c r="B906">
        <f>IF(VLOOKUP(Table7[[#This Row],[Date]],Database!$A:$C,MATCH($B$1,Database!$A$1:$C$1,),)=0,#N/A,VLOOKUP(Table7[[#This Row],[Date]],Database!$A:$C,MATCH($B$1,Database!$A$1:$C$1,),))</f>
        <v/>
      </c>
      <c r="C906">
        <f>IF(VLOOKUP(Table7[[#This Row],[Date]],Database!$A:$C,MATCH($C$1,Database!$A$1:$C$1,),)=0,#N/A,VLOOKUP(Table7[[#This Row],[Date]],Database!$A:$C,MATCH($C$1,Database!$A$1:$C$1,),))</f>
        <v/>
      </c>
      <c r="D906">
        <f>IFERROR(Table7[[#This Row],[United States 10y]]-Table7[[#This Row],[United States 3y]],#N/A)</f>
        <v/>
      </c>
    </row>
    <row r="907">
      <c r="A907" s="6">
        <f>Database!$A2992</f>
        <v/>
      </c>
      <c r="B907">
        <f>IF(VLOOKUP(Table7[[#This Row],[Date]],Database!$A:$C,MATCH($B$1,Database!$A$1:$C$1,),)=0,#N/A,VLOOKUP(Table7[[#This Row],[Date]],Database!$A:$C,MATCH($B$1,Database!$A$1:$C$1,),))</f>
        <v/>
      </c>
      <c r="C907">
        <f>IF(VLOOKUP(Table7[[#This Row],[Date]],Database!$A:$C,MATCH($C$1,Database!$A$1:$C$1,),)=0,#N/A,VLOOKUP(Table7[[#This Row],[Date]],Database!$A:$C,MATCH($C$1,Database!$A$1:$C$1,),))</f>
        <v/>
      </c>
      <c r="D907">
        <f>IFERROR(Table7[[#This Row],[United States 10y]]-Table7[[#This Row],[United States 3y]],#N/A)</f>
        <v/>
      </c>
    </row>
    <row r="908">
      <c r="A908" s="6">
        <f>Database!$A2993</f>
        <v/>
      </c>
      <c r="B908">
        <f>IF(VLOOKUP(Table7[[#This Row],[Date]],Database!$A:$C,MATCH($B$1,Database!$A$1:$C$1,),)=0,#N/A,VLOOKUP(Table7[[#This Row],[Date]],Database!$A:$C,MATCH($B$1,Database!$A$1:$C$1,),))</f>
        <v/>
      </c>
      <c r="C908">
        <f>IF(VLOOKUP(Table7[[#This Row],[Date]],Database!$A:$C,MATCH($C$1,Database!$A$1:$C$1,),)=0,#N/A,VLOOKUP(Table7[[#This Row],[Date]],Database!$A:$C,MATCH($C$1,Database!$A$1:$C$1,),))</f>
        <v/>
      </c>
      <c r="D908">
        <f>IFERROR(Table7[[#This Row],[United States 10y]]-Table7[[#This Row],[United States 3y]],#N/A)</f>
        <v/>
      </c>
    </row>
    <row r="909">
      <c r="A909" s="6">
        <f>Database!$A2994</f>
        <v/>
      </c>
      <c r="B909">
        <f>IF(VLOOKUP(Table7[[#This Row],[Date]],Database!$A:$C,MATCH($B$1,Database!$A$1:$C$1,),)=0,#N/A,VLOOKUP(Table7[[#This Row],[Date]],Database!$A:$C,MATCH($B$1,Database!$A$1:$C$1,),))</f>
        <v/>
      </c>
      <c r="C909">
        <f>IF(VLOOKUP(Table7[[#This Row],[Date]],Database!$A:$C,MATCH($C$1,Database!$A$1:$C$1,),)=0,#N/A,VLOOKUP(Table7[[#This Row],[Date]],Database!$A:$C,MATCH($C$1,Database!$A$1:$C$1,),))</f>
        <v/>
      </c>
      <c r="D909">
        <f>IFERROR(Table7[[#This Row],[United States 10y]]-Table7[[#This Row],[United States 3y]],#N/A)</f>
        <v/>
      </c>
    </row>
    <row r="910">
      <c r="A910" s="6">
        <f>Database!$A2995</f>
        <v/>
      </c>
      <c r="B910">
        <f>IF(VLOOKUP(Table7[[#This Row],[Date]],Database!$A:$C,MATCH($B$1,Database!$A$1:$C$1,),)=0,#N/A,VLOOKUP(Table7[[#This Row],[Date]],Database!$A:$C,MATCH($B$1,Database!$A$1:$C$1,),))</f>
        <v/>
      </c>
      <c r="C910">
        <f>IF(VLOOKUP(Table7[[#This Row],[Date]],Database!$A:$C,MATCH($C$1,Database!$A$1:$C$1,),)=0,#N/A,VLOOKUP(Table7[[#This Row],[Date]],Database!$A:$C,MATCH($C$1,Database!$A$1:$C$1,),))</f>
        <v/>
      </c>
      <c r="D910">
        <f>IFERROR(Table7[[#This Row],[United States 10y]]-Table7[[#This Row],[United States 3y]],#N/A)</f>
        <v/>
      </c>
    </row>
    <row r="911">
      <c r="A911" s="6">
        <f>Database!$A2996</f>
        <v/>
      </c>
      <c r="B911">
        <f>IF(VLOOKUP(Table7[[#This Row],[Date]],Database!$A:$C,MATCH($B$1,Database!$A$1:$C$1,),)=0,#N/A,VLOOKUP(Table7[[#This Row],[Date]],Database!$A:$C,MATCH($B$1,Database!$A$1:$C$1,),))</f>
        <v/>
      </c>
      <c r="C911">
        <f>IF(VLOOKUP(Table7[[#This Row],[Date]],Database!$A:$C,MATCH($C$1,Database!$A$1:$C$1,),)=0,#N/A,VLOOKUP(Table7[[#This Row],[Date]],Database!$A:$C,MATCH($C$1,Database!$A$1:$C$1,),))</f>
        <v/>
      </c>
      <c r="D911">
        <f>IFERROR(Table7[[#This Row],[United States 10y]]-Table7[[#This Row],[United States 3y]],#N/A)</f>
        <v/>
      </c>
    </row>
    <row r="912">
      <c r="A912" s="6">
        <f>Database!$A2997</f>
        <v/>
      </c>
      <c r="B912">
        <f>IF(VLOOKUP(Table7[[#This Row],[Date]],Database!$A:$C,MATCH($B$1,Database!$A$1:$C$1,),)=0,#N/A,VLOOKUP(Table7[[#This Row],[Date]],Database!$A:$C,MATCH($B$1,Database!$A$1:$C$1,),))</f>
        <v/>
      </c>
      <c r="C912">
        <f>IF(VLOOKUP(Table7[[#This Row],[Date]],Database!$A:$C,MATCH($C$1,Database!$A$1:$C$1,),)=0,#N/A,VLOOKUP(Table7[[#This Row],[Date]],Database!$A:$C,MATCH($C$1,Database!$A$1:$C$1,),))</f>
        <v/>
      </c>
      <c r="D912">
        <f>IFERROR(Table7[[#This Row],[United States 10y]]-Table7[[#This Row],[United States 3y]],#N/A)</f>
        <v/>
      </c>
    </row>
    <row r="913">
      <c r="A913" s="6">
        <f>Database!$A2998</f>
        <v/>
      </c>
      <c r="B913">
        <f>IF(VLOOKUP(Table7[[#This Row],[Date]],Database!$A:$C,MATCH($B$1,Database!$A$1:$C$1,),)=0,#N/A,VLOOKUP(Table7[[#This Row],[Date]],Database!$A:$C,MATCH($B$1,Database!$A$1:$C$1,),))</f>
        <v/>
      </c>
      <c r="C913">
        <f>IF(VLOOKUP(Table7[[#This Row],[Date]],Database!$A:$C,MATCH($C$1,Database!$A$1:$C$1,),)=0,#N/A,VLOOKUP(Table7[[#This Row],[Date]],Database!$A:$C,MATCH($C$1,Database!$A$1:$C$1,),))</f>
        <v/>
      </c>
      <c r="D913">
        <f>IFERROR(Table7[[#This Row],[United States 10y]]-Table7[[#This Row],[United States 3y]],#N/A)</f>
        <v/>
      </c>
    </row>
    <row r="914">
      <c r="A914" s="6">
        <f>Database!$A2999</f>
        <v/>
      </c>
      <c r="B914">
        <f>IF(VLOOKUP(Table7[[#This Row],[Date]],Database!$A:$C,MATCH($B$1,Database!$A$1:$C$1,),)=0,#N/A,VLOOKUP(Table7[[#This Row],[Date]],Database!$A:$C,MATCH($B$1,Database!$A$1:$C$1,),))</f>
        <v/>
      </c>
      <c r="C914">
        <f>IF(VLOOKUP(Table7[[#This Row],[Date]],Database!$A:$C,MATCH($C$1,Database!$A$1:$C$1,),)=0,#N/A,VLOOKUP(Table7[[#This Row],[Date]],Database!$A:$C,MATCH($C$1,Database!$A$1:$C$1,),))</f>
        <v/>
      </c>
      <c r="D914">
        <f>IFERROR(Table7[[#This Row],[United States 10y]]-Table7[[#This Row],[United States 3y]],#N/A)</f>
        <v/>
      </c>
    </row>
    <row r="915">
      <c r="A915" s="6">
        <f>Database!$A3000</f>
        <v/>
      </c>
      <c r="B915">
        <f>IF(VLOOKUP(Table7[[#This Row],[Date]],Database!$A:$C,MATCH($B$1,Database!$A$1:$C$1,),)=0,#N/A,VLOOKUP(Table7[[#This Row],[Date]],Database!$A:$C,MATCH($B$1,Database!$A$1:$C$1,),))</f>
        <v/>
      </c>
      <c r="C915">
        <f>IF(VLOOKUP(Table7[[#This Row],[Date]],Database!$A:$C,MATCH($C$1,Database!$A$1:$C$1,),)=0,#N/A,VLOOKUP(Table7[[#This Row],[Date]],Database!$A:$C,MATCH($C$1,Database!$A$1:$C$1,),))</f>
        <v/>
      </c>
      <c r="D915">
        <f>IFERROR(Table7[[#This Row],[United States 10y]]-Table7[[#This Row],[United States 3y]],#N/A)</f>
        <v/>
      </c>
    </row>
    <row r="916">
      <c r="A916" s="6">
        <f>Database!$A3001</f>
        <v/>
      </c>
      <c r="B916">
        <f>IF(VLOOKUP(Table7[[#This Row],[Date]],Database!$A:$C,MATCH($B$1,Database!$A$1:$C$1,),)=0,#N/A,VLOOKUP(Table7[[#This Row],[Date]],Database!$A:$C,MATCH($B$1,Database!$A$1:$C$1,),))</f>
        <v/>
      </c>
      <c r="C916">
        <f>IF(VLOOKUP(Table7[[#This Row],[Date]],Database!$A:$C,MATCH($C$1,Database!$A$1:$C$1,),)=0,#N/A,VLOOKUP(Table7[[#This Row],[Date]],Database!$A:$C,MATCH($C$1,Database!$A$1:$C$1,),))</f>
        <v/>
      </c>
      <c r="D916">
        <f>IFERROR(Table7[[#This Row],[United States 10y]]-Table7[[#This Row],[United States 3y]],#N/A)</f>
        <v/>
      </c>
    </row>
    <row r="917">
      <c r="A917" s="6">
        <f>Database!$A3002</f>
        <v/>
      </c>
      <c r="B917">
        <f>IF(VLOOKUP(Table7[[#This Row],[Date]],Database!$A:$C,MATCH($B$1,Database!$A$1:$C$1,),)=0,#N/A,VLOOKUP(Table7[[#This Row],[Date]],Database!$A:$C,MATCH($B$1,Database!$A$1:$C$1,),))</f>
        <v/>
      </c>
      <c r="C917">
        <f>IF(VLOOKUP(Table7[[#This Row],[Date]],Database!$A:$C,MATCH($C$1,Database!$A$1:$C$1,),)=0,#N/A,VLOOKUP(Table7[[#This Row],[Date]],Database!$A:$C,MATCH($C$1,Database!$A$1:$C$1,),))</f>
        <v/>
      </c>
      <c r="D917">
        <f>IFERROR(Table7[[#This Row],[United States 10y]]-Table7[[#This Row],[United States 3y]],#N/A)</f>
        <v/>
      </c>
    </row>
    <row r="918">
      <c r="A918" s="6">
        <f>Database!$A3003</f>
        <v/>
      </c>
      <c r="B918">
        <f>IF(VLOOKUP(Table7[[#This Row],[Date]],Database!$A:$C,MATCH($B$1,Database!$A$1:$C$1,),)=0,#N/A,VLOOKUP(Table7[[#This Row],[Date]],Database!$A:$C,MATCH($B$1,Database!$A$1:$C$1,),))</f>
        <v/>
      </c>
      <c r="C918">
        <f>IF(VLOOKUP(Table7[[#This Row],[Date]],Database!$A:$C,MATCH($C$1,Database!$A$1:$C$1,),)=0,#N/A,VLOOKUP(Table7[[#This Row],[Date]],Database!$A:$C,MATCH($C$1,Database!$A$1:$C$1,),))</f>
        <v/>
      </c>
      <c r="D918">
        <f>IFERROR(Table7[[#This Row],[United States 10y]]-Table7[[#This Row],[United States 3y]],#N/A)</f>
        <v/>
      </c>
    </row>
    <row r="919">
      <c r="A919" s="6">
        <f>Database!$A3004</f>
        <v/>
      </c>
      <c r="B919">
        <f>IF(VLOOKUP(Table7[[#This Row],[Date]],Database!$A:$C,MATCH($B$1,Database!$A$1:$C$1,),)=0,#N/A,VLOOKUP(Table7[[#This Row],[Date]],Database!$A:$C,MATCH($B$1,Database!$A$1:$C$1,),))</f>
        <v/>
      </c>
      <c r="C919">
        <f>IF(VLOOKUP(Table7[[#This Row],[Date]],Database!$A:$C,MATCH($C$1,Database!$A$1:$C$1,),)=0,#N/A,VLOOKUP(Table7[[#This Row],[Date]],Database!$A:$C,MATCH($C$1,Database!$A$1:$C$1,),))</f>
        <v/>
      </c>
      <c r="D919">
        <f>IFERROR(Table7[[#This Row],[United States 10y]]-Table7[[#This Row],[United States 3y]],#N/A)</f>
        <v/>
      </c>
    </row>
    <row r="920">
      <c r="A920" s="6">
        <f>Database!$A3005</f>
        <v/>
      </c>
      <c r="B920">
        <f>IF(VLOOKUP(Table7[[#This Row],[Date]],Database!$A:$C,MATCH($B$1,Database!$A$1:$C$1,),)=0,#N/A,VLOOKUP(Table7[[#This Row],[Date]],Database!$A:$C,MATCH($B$1,Database!$A$1:$C$1,),))</f>
        <v/>
      </c>
      <c r="C920">
        <f>IF(VLOOKUP(Table7[[#This Row],[Date]],Database!$A:$C,MATCH($C$1,Database!$A$1:$C$1,),)=0,#N/A,VLOOKUP(Table7[[#This Row],[Date]],Database!$A:$C,MATCH($C$1,Database!$A$1:$C$1,),))</f>
        <v/>
      </c>
      <c r="D920">
        <f>IFERROR(Table7[[#This Row],[United States 10y]]-Table7[[#This Row],[United States 3y]],#N/A)</f>
        <v/>
      </c>
    </row>
    <row r="921">
      <c r="A921" s="6">
        <f>Database!$A3006</f>
        <v/>
      </c>
      <c r="B921">
        <f>IF(VLOOKUP(Table7[[#This Row],[Date]],Database!$A:$C,MATCH($B$1,Database!$A$1:$C$1,),)=0,#N/A,VLOOKUP(Table7[[#This Row],[Date]],Database!$A:$C,MATCH($B$1,Database!$A$1:$C$1,),))</f>
        <v/>
      </c>
      <c r="C921">
        <f>IF(VLOOKUP(Table7[[#This Row],[Date]],Database!$A:$C,MATCH($C$1,Database!$A$1:$C$1,),)=0,#N/A,VLOOKUP(Table7[[#This Row],[Date]],Database!$A:$C,MATCH($C$1,Database!$A$1:$C$1,),))</f>
        <v/>
      </c>
      <c r="D921">
        <f>IFERROR(Table7[[#This Row],[United States 10y]]-Table7[[#This Row],[United States 3y]],#N/A)</f>
        <v/>
      </c>
    </row>
    <row r="922">
      <c r="A922" s="6">
        <f>Database!$A3007</f>
        <v/>
      </c>
      <c r="B922">
        <f>IF(VLOOKUP(Table7[[#This Row],[Date]],Database!$A:$C,MATCH($B$1,Database!$A$1:$C$1,),)=0,#N/A,VLOOKUP(Table7[[#This Row],[Date]],Database!$A:$C,MATCH($B$1,Database!$A$1:$C$1,),))</f>
        <v/>
      </c>
      <c r="C922">
        <f>IF(VLOOKUP(Table7[[#This Row],[Date]],Database!$A:$C,MATCH($C$1,Database!$A$1:$C$1,),)=0,#N/A,VLOOKUP(Table7[[#This Row],[Date]],Database!$A:$C,MATCH($C$1,Database!$A$1:$C$1,),))</f>
        <v/>
      </c>
      <c r="D922">
        <f>IFERROR(Table7[[#This Row],[United States 10y]]-Table7[[#This Row],[United States 3y]],#N/A)</f>
        <v/>
      </c>
    </row>
    <row r="923">
      <c r="A923" s="6">
        <f>Database!$A3008</f>
        <v/>
      </c>
      <c r="B923">
        <f>IF(VLOOKUP(Table7[[#This Row],[Date]],Database!$A:$C,MATCH($B$1,Database!$A$1:$C$1,),)=0,#N/A,VLOOKUP(Table7[[#This Row],[Date]],Database!$A:$C,MATCH($B$1,Database!$A$1:$C$1,),))</f>
        <v/>
      </c>
      <c r="C923">
        <f>IF(VLOOKUP(Table7[[#This Row],[Date]],Database!$A:$C,MATCH($C$1,Database!$A$1:$C$1,),)=0,#N/A,VLOOKUP(Table7[[#This Row],[Date]],Database!$A:$C,MATCH($C$1,Database!$A$1:$C$1,),))</f>
        <v/>
      </c>
      <c r="D923">
        <f>IFERROR(Table7[[#This Row],[United States 10y]]-Table7[[#This Row],[United States 3y]],#N/A)</f>
        <v/>
      </c>
    </row>
    <row r="924">
      <c r="A924" s="6">
        <f>Database!$A3009</f>
        <v/>
      </c>
      <c r="B924">
        <f>IF(VLOOKUP(Table7[[#This Row],[Date]],Database!$A:$C,MATCH($B$1,Database!$A$1:$C$1,),)=0,#N/A,VLOOKUP(Table7[[#This Row],[Date]],Database!$A:$C,MATCH($B$1,Database!$A$1:$C$1,),))</f>
        <v/>
      </c>
      <c r="C924">
        <f>IF(VLOOKUP(Table7[[#This Row],[Date]],Database!$A:$C,MATCH($C$1,Database!$A$1:$C$1,),)=0,#N/A,VLOOKUP(Table7[[#This Row],[Date]],Database!$A:$C,MATCH($C$1,Database!$A$1:$C$1,),))</f>
        <v/>
      </c>
      <c r="D924">
        <f>IFERROR(Table7[[#This Row],[United States 10y]]-Table7[[#This Row],[United States 3y]],#N/A)</f>
        <v/>
      </c>
    </row>
    <row r="925">
      <c r="A925" s="6">
        <f>Database!$A3010</f>
        <v/>
      </c>
      <c r="B925">
        <f>IF(VLOOKUP(Table7[[#This Row],[Date]],Database!$A:$C,MATCH($B$1,Database!$A$1:$C$1,),)=0,#N/A,VLOOKUP(Table7[[#This Row],[Date]],Database!$A:$C,MATCH($B$1,Database!$A$1:$C$1,),))</f>
        <v/>
      </c>
      <c r="C925">
        <f>IF(VLOOKUP(Table7[[#This Row],[Date]],Database!$A:$C,MATCH($C$1,Database!$A$1:$C$1,),)=0,#N/A,VLOOKUP(Table7[[#This Row],[Date]],Database!$A:$C,MATCH($C$1,Database!$A$1:$C$1,),))</f>
        <v/>
      </c>
      <c r="D925">
        <f>IFERROR(Table7[[#This Row],[United States 10y]]-Table7[[#This Row],[United States 3y]],#N/A)</f>
        <v/>
      </c>
    </row>
    <row r="926">
      <c r="A926" s="6">
        <f>Database!$A3011</f>
        <v/>
      </c>
      <c r="B926">
        <f>IF(VLOOKUP(Table7[[#This Row],[Date]],Database!$A:$C,MATCH($B$1,Database!$A$1:$C$1,),)=0,#N/A,VLOOKUP(Table7[[#This Row],[Date]],Database!$A:$C,MATCH($B$1,Database!$A$1:$C$1,),))</f>
        <v/>
      </c>
      <c r="C926">
        <f>IF(VLOOKUP(Table7[[#This Row],[Date]],Database!$A:$C,MATCH($C$1,Database!$A$1:$C$1,),)=0,#N/A,VLOOKUP(Table7[[#This Row],[Date]],Database!$A:$C,MATCH($C$1,Database!$A$1:$C$1,),))</f>
        <v/>
      </c>
      <c r="D926">
        <f>IFERROR(Table7[[#This Row],[United States 10y]]-Table7[[#This Row],[United States 3y]],#N/A)</f>
        <v/>
      </c>
    </row>
    <row r="927">
      <c r="A927" s="6">
        <f>Database!$A3012</f>
        <v/>
      </c>
      <c r="B927">
        <f>IF(VLOOKUP(Table7[[#This Row],[Date]],Database!$A:$C,MATCH($B$1,Database!$A$1:$C$1,),)=0,#N/A,VLOOKUP(Table7[[#This Row],[Date]],Database!$A:$C,MATCH($B$1,Database!$A$1:$C$1,),))</f>
        <v/>
      </c>
      <c r="C927">
        <f>IF(VLOOKUP(Table7[[#This Row],[Date]],Database!$A:$C,MATCH($C$1,Database!$A$1:$C$1,),)=0,#N/A,VLOOKUP(Table7[[#This Row],[Date]],Database!$A:$C,MATCH($C$1,Database!$A$1:$C$1,),))</f>
        <v/>
      </c>
      <c r="D927">
        <f>IFERROR(Table7[[#This Row],[United States 10y]]-Table7[[#This Row],[United States 3y]],#N/A)</f>
        <v/>
      </c>
    </row>
    <row r="928">
      <c r="A928" s="6">
        <f>Database!$A3013</f>
        <v/>
      </c>
      <c r="B928">
        <f>IF(VLOOKUP(Table7[[#This Row],[Date]],Database!$A:$C,MATCH($B$1,Database!$A$1:$C$1,),)=0,#N/A,VLOOKUP(Table7[[#This Row],[Date]],Database!$A:$C,MATCH($B$1,Database!$A$1:$C$1,),))</f>
        <v/>
      </c>
      <c r="C928">
        <f>IF(VLOOKUP(Table7[[#This Row],[Date]],Database!$A:$C,MATCH($C$1,Database!$A$1:$C$1,),)=0,#N/A,VLOOKUP(Table7[[#This Row],[Date]],Database!$A:$C,MATCH($C$1,Database!$A$1:$C$1,),))</f>
        <v/>
      </c>
      <c r="D928">
        <f>IFERROR(Table7[[#This Row],[United States 10y]]-Table7[[#This Row],[United States 3y]],#N/A)</f>
        <v/>
      </c>
    </row>
    <row r="929">
      <c r="A929" s="6">
        <f>Database!$A3014</f>
        <v/>
      </c>
      <c r="B929">
        <f>IF(VLOOKUP(Table7[[#This Row],[Date]],Database!$A:$C,MATCH($B$1,Database!$A$1:$C$1,),)=0,#N/A,VLOOKUP(Table7[[#This Row],[Date]],Database!$A:$C,MATCH($B$1,Database!$A$1:$C$1,),))</f>
        <v/>
      </c>
      <c r="C929">
        <f>IF(VLOOKUP(Table7[[#This Row],[Date]],Database!$A:$C,MATCH($C$1,Database!$A$1:$C$1,),)=0,#N/A,VLOOKUP(Table7[[#This Row],[Date]],Database!$A:$C,MATCH($C$1,Database!$A$1:$C$1,),))</f>
        <v/>
      </c>
      <c r="D929">
        <f>IFERROR(Table7[[#This Row],[United States 10y]]-Table7[[#This Row],[United States 3y]],#N/A)</f>
        <v/>
      </c>
    </row>
    <row r="930">
      <c r="A930" s="6">
        <f>Database!$A3015</f>
        <v/>
      </c>
      <c r="B930">
        <f>IF(VLOOKUP(Table7[[#This Row],[Date]],Database!$A:$C,MATCH($B$1,Database!$A$1:$C$1,),)=0,#N/A,VLOOKUP(Table7[[#This Row],[Date]],Database!$A:$C,MATCH($B$1,Database!$A$1:$C$1,),))</f>
        <v/>
      </c>
      <c r="C930">
        <f>IF(VLOOKUP(Table7[[#This Row],[Date]],Database!$A:$C,MATCH($C$1,Database!$A$1:$C$1,),)=0,#N/A,VLOOKUP(Table7[[#This Row],[Date]],Database!$A:$C,MATCH($C$1,Database!$A$1:$C$1,),))</f>
        <v/>
      </c>
      <c r="D930">
        <f>IFERROR(Table7[[#This Row],[United States 10y]]-Table7[[#This Row],[United States 3y]],#N/A)</f>
        <v/>
      </c>
    </row>
    <row r="931">
      <c r="A931" s="6">
        <f>Database!$A3016</f>
        <v/>
      </c>
      <c r="B931">
        <f>IF(VLOOKUP(Table7[[#This Row],[Date]],Database!$A:$C,MATCH($B$1,Database!$A$1:$C$1,),)=0,#N/A,VLOOKUP(Table7[[#This Row],[Date]],Database!$A:$C,MATCH($B$1,Database!$A$1:$C$1,),))</f>
        <v/>
      </c>
      <c r="C931">
        <f>IF(VLOOKUP(Table7[[#This Row],[Date]],Database!$A:$C,MATCH($C$1,Database!$A$1:$C$1,),)=0,#N/A,VLOOKUP(Table7[[#This Row],[Date]],Database!$A:$C,MATCH($C$1,Database!$A$1:$C$1,),))</f>
        <v/>
      </c>
      <c r="D931">
        <f>IFERROR(Table7[[#This Row],[United States 10y]]-Table7[[#This Row],[United States 3y]],#N/A)</f>
        <v/>
      </c>
    </row>
    <row r="932">
      <c r="A932" s="6">
        <f>Database!$A3017</f>
        <v/>
      </c>
      <c r="B932">
        <f>IF(VLOOKUP(Table7[[#This Row],[Date]],Database!$A:$C,MATCH($B$1,Database!$A$1:$C$1,),)=0,#N/A,VLOOKUP(Table7[[#This Row],[Date]],Database!$A:$C,MATCH($B$1,Database!$A$1:$C$1,),))</f>
        <v/>
      </c>
      <c r="C932">
        <f>IF(VLOOKUP(Table7[[#This Row],[Date]],Database!$A:$C,MATCH($C$1,Database!$A$1:$C$1,),)=0,#N/A,VLOOKUP(Table7[[#This Row],[Date]],Database!$A:$C,MATCH($C$1,Database!$A$1:$C$1,),))</f>
        <v/>
      </c>
      <c r="D932">
        <f>IFERROR(Table7[[#This Row],[United States 10y]]-Table7[[#This Row],[United States 3y]],#N/A)</f>
        <v/>
      </c>
    </row>
    <row r="933">
      <c r="A933" s="6">
        <f>Database!$A3018</f>
        <v/>
      </c>
      <c r="B933">
        <f>IF(VLOOKUP(Table7[[#This Row],[Date]],Database!$A:$C,MATCH($B$1,Database!$A$1:$C$1,),)=0,#N/A,VLOOKUP(Table7[[#This Row],[Date]],Database!$A:$C,MATCH($B$1,Database!$A$1:$C$1,),))</f>
        <v/>
      </c>
      <c r="C933">
        <f>IF(VLOOKUP(Table7[[#This Row],[Date]],Database!$A:$C,MATCH($C$1,Database!$A$1:$C$1,),)=0,#N/A,VLOOKUP(Table7[[#This Row],[Date]],Database!$A:$C,MATCH($C$1,Database!$A$1:$C$1,),))</f>
        <v/>
      </c>
      <c r="D933">
        <f>IFERROR(Table7[[#This Row],[United States 10y]]-Table7[[#This Row],[United States 3y]],#N/A)</f>
        <v/>
      </c>
    </row>
    <row r="934">
      <c r="A934" s="6">
        <f>Database!$A3019</f>
        <v/>
      </c>
      <c r="B934">
        <f>IF(VLOOKUP(Table7[[#This Row],[Date]],Database!$A:$C,MATCH($B$1,Database!$A$1:$C$1,),)=0,#N/A,VLOOKUP(Table7[[#This Row],[Date]],Database!$A:$C,MATCH($B$1,Database!$A$1:$C$1,),))</f>
        <v/>
      </c>
      <c r="C934">
        <f>IF(VLOOKUP(Table7[[#This Row],[Date]],Database!$A:$C,MATCH($C$1,Database!$A$1:$C$1,),)=0,#N/A,VLOOKUP(Table7[[#This Row],[Date]],Database!$A:$C,MATCH($C$1,Database!$A$1:$C$1,),))</f>
        <v/>
      </c>
      <c r="D934">
        <f>IFERROR(Table7[[#This Row],[United States 10y]]-Table7[[#This Row],[United States 3y]],#N/A)</f>
        <v/>
      </c>
    </row>
    <row r="935">
      <c r="A935" s="6">
        <f>Database!$A3020</f>
        <v/>
      </c>
      <c r="B935">
        <f>IF(VLOOKUP(Table7[[#This Row],[Date]],Database!$A:$C,MATCH($B$1,Database!$A$1:$C$1,),)=0,#N/A,VLOOKUP(Table7[[#This Row],[Date]],Database!$A:$C,MATCH($B$1,Database!$A$1:$C$1,),))</f>
        <v/>
      </c>
      <c r="C935">
        <f>IF(VLOOKUP(Table7[[#This Row],[Date]],Database!$A:$C,MATCH($C$1,Database!$A$1:$C$1,),)=0,#N/A,VLOOKUP(Table7[[#This Row],[Date]],Database!$A:$C,MATCH($C$1,Database!$A$1:$C$1,),))</f>
        <v/>
      </c>
      <c r="D935">
        <f>IFERROR(Table7[[#This Row],[United States 10y]]-Table7[[#This Row],[United States 3y]],#N/A)</f>
        <v/>
      </c>
    </row>
    <row r="936">
      <c r="A936" s="6">
        <f>Database!$A3021</f>
        <v/>
      </c>
      <c r="B936">
        <f>IF(VLOOKUP(Table7[[#This Row],[Date]],Database!$A:$C,MATCH($B$1,Database!$A$1:$C$1,),)=0,#N/A,VLOOKUP(Table7[[#This Row],[Date]],Database!$A:$C,MATCH($B$1,Database!$A$1:$C$1,),))</f>
        <v/>
      </c>
      <c r="C936">
        <f>IF(VLOOKUP(Table7[[#This Row],[Date]],Database!$A:$C,MATCH($C$1,Database!$A$1:$C$1,),)=0,#N/A,VLOOKUP(Table7[[#This Row],[Date]],Database!$A:$C,MATCH($C$1,Database!$A$1:$C$1,),))</f>
        <v/>
      </c>
      <c r="D936">
        <f>IFERROR(Table7[[#This Row],[United States 10y]]-Table7[[#This Row],[United States 3y]],#N/A)</f>
        <v/>
      </c>
    </row>
    <row r="937">
      <c r="A937" s="6">
        <f>Database!$A3022</f>
        <v/>
      </c>
      <c r="B937">
        <f>IF(VLOOKUP(Table7[[#This Row],[Date]],Database!$A:$C,MATCH($B$1,Database!$A$1:$C$1,),)=0,#N/A,VLOOKUP(Table7[[#This Row],[Date]],Database!$A:$C,MATCH($B$1,Database!$A$1:$C$1,),))</f>
        <v/>
      </c>
      <c r="C937">
        <f>IF(VLOOKUP(Table7[[#This Row],[Date]],Database!$A:$C,MATCH($C$1,Database!$A$1:$C$1,),)=0,#N/A,VLOOKUP(Table7[[#This Row],[Date]],Database!$A:$C,MATCH($C$1,Database!$A$1:$C$1,),))</f>
        <v/>
      </c>
      <c r="D937">
        <f>IFERROR(Table7[[#This Row],[United States 10y]]-Table7[[#This Row],[United States 3y]],#N/A)</f>
        <v/>
      </c>
    </row>
    <row r="938">
      <c r="A938" s="6">
        <f>Database!$A3023</f>
        <v/>
      </c>
      <c r="B938">
        <f>IF(VLOOKUP(Table7[[#This Row],[Date]],Database!$A:$C,MATCH($B$1,Database!$A$1:$C$1,),)=0,#N/A,VLOOKUP(Table7[[#This Row],[Date]],Database!$A:$C,MATCH($B$1,Database!$A$1:$C$1,),))</f>
        <v/>
      </c>
      <c r="C938">
        <f>IF(VLOOKUP(Table7[[#This Row],[Date]],Database!$A:$C,MATCH($C$1,Database!$A$1:$C$1,),)=0,#N/A,VLOOKUP(Table7[[#This Row],[Date]],Database!$A:$C,MATCH($C$1,Database!$A$1:$C$1,),))</f>
        <v/>
      </c>
      <c r="D938">
        <f>IFERROR(Table7[[#This Row],[United States 10y]]-Table7[[#This Row],[United States 3y]],#N/A)</f>
        <v/>
      </c>
    </row>
    <row r="939">
      <c r="A939" s="6">
        <f>Database!$A3024</f>
        <v/>
      </c>
      <c r="B939">
        <f>IF(VLOOKUP(Table7[[#This Row],[Date]],Database!$A:$C,MATCH($B$1,Database!$A$1:$C$1,),)=0,#N/A,VLOOKUP(Table7[[#This Row],[Date]],Database!$A:$C,MATCH($B$1,Database!$A$1:$C$1,),))</f>
        <v/>
      </c>
      <c r="C939">
        <f>IF(VLOOKUP(Table7[[#This Row],[Date]],Database!$A:$C,MATCH($C$1,Database!$A$1:$C$1,),)=0,#N/A,VLOOKUP(Table7[[#This Row],[Date]],Database!$A:$C,MATCH($C$1,Database!$A$1:$C$1,),))</f>
        <v/>
      </c>
      <c r="D939">
        <f>IFERROR(Table7[[#This Row],[United States 10y]]-Table7[[#This Row],[United States 3y]],#N/A)</f>
        <v/>
      </c>
    </row>
    <row r="940">
      <c r="A940" s="6">
        <f>Database!$A3025</f>
        <v/>
      </c>
      <c r="B940">
        <f>IF(VLOOKUP(Table7[[#This Row],[Date]],Database!$A:$C,MATCH($B$1,Database!$A$1:$C$1,),)=0,#N/A,VLOOKUP(Table7[[#This Row],[Date]],Database!$A:$C,MATCH($B$1,Database!$A$1:$C$1,),))</f>
        <v/>
      </c>
      <c r="C940">
        <f>IF(VLOOKUP(Table7[[#This Row],[Date]],Database!$A:$C,MATCH($C$1,Database!$A$1:$C$1,),)=0,#N/A,VLOOKUP(Table7[[#This Row],[Date]],Database!$A:$C,MATCH($C$1,Database!$A$1:$C$1,),))</f>
        <v/>
      </c>
      <c r="D940">
        <f>IFERROR(Table7[[#This Row],[United States 10y]]-Table7[[#This Row],[United States 3y]],#N/A)</f>
        <v/>
      </c>
    </row>
    <row r="941">
      <c r="A941" s="6">
        <f>Database!$A3026</f>
        <v/>
      </c>
      <c r="B941">
        <f>IF(VLOOKUP(Table7[[#This Row],[Date]],Database!$A:$C,MATCH($B$1,Database!$A$1:$C$1,),)=0,#N/A,VLOOKUP(Table7[[#This Row],[Date]],Database!$A:$C,MATCH($B$1,Database!$A$1:$C$1,),))</f>
        <v/>
      </c>
      <c r="C941">
        <f>IF(VLOOKUP(Table7[[#This Row],[Date]],Database!$A:$C,MATCH($C$1,Database!$A$1:$C$1,),)=0,#N/A,VLOOKUP(Table7[[#This Row],[Date]],Database!$A:$C,MATCH($C$1,Database!$A$1:$C$1,),))</f>
        <v/>
      </c>
      <c r="D941">
        <f>IFERROR(Table7[[#This Row],[United States 10y]]-Table7[[#This Row],[United States 3y]],#N/A)</f>
        <v/>
      </c>
    </row>
    <row r="942">
      <c r="A942" s="6">
        <f>Database!$A3027</f>
        <v/>
      </c>
      <c r="B942">
        <f>IF(VLOOKUP(Table7[[#This Row],[Date]],Database!$A:$C,MATCH($B$1,Database!$A$1:$C$1,),)=0,#N/A,VLOOKUP(Table7[[#This Row],[Date]],Database!$A:$C,MATCH($B$1,Database!$A$1:$C$1,),))</f>
        <v/>
      </c>
      <c r="C942">
        <f>IF(VLOOKUP(Table7[[#This Row],[Date]],Database!$A:$C,MATCH($C$1,Database!$A$1:$C$1,),)=0,#N/A,VLOOKUP(Table7[[#This Row],[Date]],Database!$A:$C,MATCH($C$1,Database!$A$1:$C$1,),))</f>
        <v/>
      </c>
      <c r="D942">
        <f>IFERROR(Table7[[#This Row],[United States 10y]]-Table7[[#This Row],[United States 3y]],#N/A)</f>
        <v/>
      </c>
    </row>
    <row r="943">
      <c r="A943" s="6">
        <f>Database!$A3028</f>
        <v/>
      </c>
      <c r="B943">
        <f>IF(VLOOKUP(Table7[[#This Row],[Date]],Database!$A:$C,MATCH($B$1,Database!$A$1:$C$1,),)=0,#N/A,VLOOKUP(Table7[[#This Row],[Date]],Database!$A:$C,MATCH($B$1,Database!$A$1:$C$1,),))</f>
        <v/>
      </c>
      <c r="C943">
        <f>IF(VLOOKUP(Table7[[#This Row],[Date]],Database!$A:$C,MATCH($C$1,Database!$A$1:$C$1,),)=0,#N/A,VLOOKUP(Table7[[#This Row],[Date]],Database!$A:$C,MATCH($C$1,Database!$A$1:$C$1,),))</f>
        <v/>
      </c>
      <c r="D943">
        <f>IFERROR(Table7[[#This Row],[United States 10y]]-Table7[[#This Row],[United States 3y]],#N/A)</f>
        <v/>
      </c>
    </row>
    <row r="944">
      <c r="A944" s="6">
        <f>Database!$A3029</f>
        <v/>
      </c>
      <c r="B944">
        <f>IF(VLOOKUP(Table7[[#This Row],[Date]],Database!$A:$C,MATCH($B$1,Database!$A$1:$C$1,),)=0,#N/A,VLOOKUP(Table7[[#This Row],[Date]],Database!$A:$C,MATCH($B$1,Database!$A$1:$C$1,),))</f>
        <v/>
      </c>
      <c r="C944">
        <f>IF(VLOOKUP(Table7[[#This Row],[Date]],Database!$A:$C,MATCH($C$1,Database!$A$1:$C$1,),)=0,#N/A,VLOOKUP(Table7[[#This Row],[Date]],Database!$A:$C,MATCH($C$1,Database!$A$1:$C$1,),))</f>
        <v/>
      </c>
      <c r="D944">
        <f>IFERROR(Table7[[#This Row],[United States 10y]]-Table7[[#This Row],[United States 3y]],#N/A)</f>
        <v/>
      </c>
    </row>
    <row r="945">
      <c r="A945" s="6">
        <f>Database!$A3030</f>
        <v/>
      </c>
      <c r="B945">
        <f>IF(VLOOKUP(Table7[[#This Row],[Date]],Database!$A:$C,MATCH($B$1,Database!$A$1:$C$1,),)=0,#N/A,VLOOKUP(Table7[[#This Row],[Date]],Database!$A:$C,MATCH($B$1,Database!$A$1:$C$1,),))</f>
        <v/>
      </c>
      <c r="C945">
        <f>IF(VLOOKUP(Table7[[#This Row],[Date]],Database!$A:$C,MATCH($C$1,Database!$A$1:$C$1,),)=0,#N/A,VLOOKUP(Table7[[#This Row],[Date]],Database!$A:$C,MATCH($C$1,Database!$A$1:$C$1,),))</f>
        <v/>
      </c>
      <c r="D945">
        <f>IFERROR(Table7[[#This Row],[United States 10y]]-Table7[[#This Row],[United States 3y]],#N/A)</f>
        <v/>
      </c>
    </row>
    <row r="946">
      <c r="A946" s="6">
        <f>Database!$A3031</f>
        <v/>
      </c>
      <c r="B946">
        <f>IF(VLOOKUP(Table7[[#This Row],[Date]],Database!$A:$C,MATCH($B$1,Database!$A$1:$C$1,),)=0,#N/A,VLOOKUP(Table7[[#This Row],[Date]],Database!$A:$C,MATCH($B$1,Database!$A$1:$C$1,),))</f>
        <v/>
      </c>
      <c r="C946">
        <f>IF(VLOOKUP(Table7[[#This Row],[Date]],Database!$A:$C,MATCH($C$1,Database!$A$1:$C$1,),)=0,#N/A,VLOOKUP(Table7[[#This Row],[Date]],Database!$A:$C,MATCH($C$1,Database!$A$1:$C$1,),))</f>
        <v/>
      </c>
      <c r="D946">
        <f>IFERROR(Table7[[#This Row],[United States 10y]]-Table7[[#This Row],[United States 3y]],#N/A)</f>
        <v/>
      </c>
    </row>
    <row r="947">
      <c r="A947" s="6">
        <f>Database!$A3032</f>
        <v/>
      </c>
      <c r="B947">
        <f>IF(VLOOKUP(Table7[[#This Row],[Date]],Database!$A:$C,MATCH($B$1,Database!$A$1:$C$1,),)=0,#N/A,VLOOKUP(Table7[[#This Row],[Date]],Database!$A:$C,MATCH($B$1,Database!$A$1:$C$1,),))</f>
        <v/>
      </c>
      <c r="C947">
        <f>IF(VLOOKUP(Table7[[#This Row],[Date]],Database!$A:$C,MATCH($C$1,Database!$A$1:$C$1,),)=0,#N/A,VLOOKUP(Table7[[#This Row],[Date]],Database!$A:$C,MATCH($C$1,Database!$A$1:$C$1,),))</f>
        <v/>
      </c>
      <c r="D947">
        <f>IFERROR(Table7[[#This Row],[United States 10y]]-Table7[[#This Row],[United States 3y]],#N/A)</f>
        <v/>
      </c>
    </row>
    <row r="948">
      <c r="A948" s="6">
        <f>Database!$A3033</f>
        <v/>
      </c>
      <c r="B948">
        <f>IF(VLOOKUP(Table7[[#This Row],[Date]],Database!$A:$C,MATCH($B$1,Database!$A$1:$C$1,),)=0,#N/A,VLOOKUP(Table7[[#This Row],[Date]],Database!$A:$C,MATCH($B$1,Database!$A$1:$C$1,),))</f>
        <v/>
      </c>
      <c r="C948">
        <f>IF(VLOOKUP(Table7[[#This Row],[Date]],Database!$A:$C,MATCH($C$1,Database!$A$1:$C$1,),)=0,#N/A,VLOOKUP(Table7[[#This Row],[Date]],Database!$A:$C,MATCH($C$1,Database!$A$1:$C$1,),))</f>
        <v/>
      </c>
      <c r="D948">
        <f>IFERROR(Table7[[#This Row],[United States 10y]]-Table7[[#This Row],[United States 3y]],#N/A)</f>
        <v/>
      </c>
    </row>
    <row r="949">
      <c r="A949" s="6">
        <f>Database!$A3034</f>
        <v/>
      </c>
      <c r="B949">
        <f>IF(VLOOKUP(Table7[[#This Row],[Date]],Database!$A:$C,MATCH($B$1,Database!$A$1:$C$1,),)=0,#N/A,VLOOKUP(Table7[[#This Row],[Date]],Database!$A:$C,MATCH($B$1,Database!$A$1:$C$1,),))</f>
        <v/>
      </c>
      <c r="C949">
        <f>IF(VLOOKUP(Table7[[#This Row],[Date]],Database!$A:$C,MATCH($C$1,Database!$A$1:$C$1,),)=0,#N/A,VLOOKUP(Table7[[#This Row],[Date]],Database!$A:$C,MATCH($C$1,Database!$A$1:$C$1,),))</f>
        <v/>
      </c>
      <c r="D949">
        <f>IFERROR(Table7[[#This Row],[United States 10y]]-Table7[[#This Row],[United States 3y]],#N/A)</f>
        <v/>
      </c>
    </row>
    <row r="950">
      <c r="A950" s="6">
        <f>Database!$A3035</f>
        <v/>
      </c>
      <c r="B950">
        <f>IF(VLOOKUP(Table7[[#This Row],[Date]],Database!$A:$C,MATCH($B$1,Database!$A$1:$C$1,),)=0,#N/A,VLOOKUP(Table7[[#This Row],[Date]],Database!$A:$C,MATCH($B$1,Database!$A$1:$C$1,),))</f>
        <v/>
      </c>
      <c r="C950">
        <f>IF(VLOOKUP(Table7[[#This Row],[Date]],Database!$A:$C,MATCH($C$1,Database!$A$1:$C$1,),)=0,#N/A,VLOOKUP(Table7[[#This Row],[Date]],Database!$A:$C,MATCH($C$1,Database!$A$1:$C$1,),))</f>
        <v/>
      </c>
      <c r="D950">
        <f>IFERROR(Table7[[#This Row],[United States 10y]]-Table7[[#This Row],[United States 3y]],#N/A)</f>
        <v/>
      </c>
    </row>
    <row r="951">
      <c r="A951" s="6">
        <f>Database!$A3036</f>
        <v/>
      </c>
      <c r="B951">
        <f>IF(VLOOKUP(Table7[[#This Row],[Date]],Database!$A:$C,MATCH($B$1,Database!$A$1:$C$1,),)=0,#N/A,VLOOKUP(Table7[[#This Row],[Date]],Database!$A:$C,MATCH($B$1,Database!$A$1:$C$1,),))</f>
        <v/>
      </c>
      <c r="C951">
        <f>IF(VLOOKUP(Table7[[#This Row],[Date]],Database!$A:$C,MATCH($C$1,Database!$A$1:$C$1,),)=0,#N/A,VLOOKUP(Table7[[#This Row],[Date]],Database!$A:$C,MATCH($C$1,Database!$A$1:$C$1,),))</f>
        <v/>
      </c>
      <c r="D951">
        <f>IFERROR(Table7[[#This Row],[United States 10y]]-Table7[[#This Row],[United States 3y]],#N/A)</f>
        <v/>
      </c>
    </row>
    <row r="952">
      <c r="A952" s="6">
        <f>Database!$A3037</f>
        <v/>
      </c>
      <c r="B952">
        <f>IF(VLOOKUP(Table7[[#This Row],[Date]],Database!$A:$C,MATCH($B$1,Database!$A$1:$C$1,),)=0,#N/A,VLOOKUP(Table7[[#This Row],[Date]],Database!$A:$C,MATCH($B$1,Database!$A$1:$C$1,),))</f>
        <v/>
      </c>
      <c r="C952">
        <f>IF(VLOOKUP(Table7[[#This Row],[Date]],Database!$A:$C,MATCH($C$1,Database!$A$1:$C$1,),)=0,#N/A,VLOOKUP(Table7[[#This Row],[Date]],Database!$A:$C,MATCH($C$1,Database!$A$1:$C$1,),))</f>
        <v/>
      </c>
      <c r="D952">
        <f>IFERROR(Table7[[#This Row],[United States 10y]]-Table7[[#This Row],[United States 3y]],#N/A)</f>
        <v/>
      </c>
    </row>
    <row r="953">
      <c r="A953" s="6">
        <f>Database!$A3038</f>
        <v/>
      </c>
      <c r="B953">
        <f>IF(VLOOKUP(Table7[[#This Row],[Date]],Database!$A:$C,MATCH($B$1,Database!$A$1:$C$1,),)=0,#N/A,VLOOKUP(Table7[[#This Row],[Date]],Database!$A:$C,MATCH($B$1,Database!$A$1:$C$1,),))</f>
        <v/>
      </c>
      <c r="C953">
        <f>IF(VLOOKUP(Table7[[#This Row],[Date]],Database!$A:$C,MATCH($C$1,Database!$A$1:$C$1,),)=0,#N/A,VLOOKUP(Table7[[#This Row],[Date]],Database!$A:$C,MATCH($C$1,Database!$A$1:$C$1,),))</f>
        <v/>
      </c>
      <c r="D953">
        <f>IFERROR(Table7[[#This Row],[United States 10y]]-Table7[[#This Row],[United States 3y]],#N/A)</f>
        <v/>
      </c>
    </row>
    <row r="954">
      <c r="A954" s="6">
        <f>Database!$A3039</f>
        <v/>
      </c>
      <c r="B954">
        <f>IF(VLOOKUP(Table7[[#This Row],[Date]],Database!$A:$C,MATCH($B$1,Database!$A$1:$C$1,),)=0,#N/A,VLOOKUP(Table7[[#This Row],[Date]],Database!$A:$C,MATCH($B$1,Database!$A$1:$C$1,),))</f>
        <v/>
      </c>
      <c r="C954">
        <f>IF(VLOOKUP(Table7[[#This Row],[Date]],Database!$A:$C,MATCH($C$1,Database!$A$1:$C$1,),)=0,#N/A,VLOOKUP(Table7[[#This Row],[Date]],Database!$A:$C,MATCH($C$1,Database!$A$1:$C$1,),))</f>
        <v/>
      </c>
      <c r="D954">
        <f>IFERROR(Table7[[#This Row],[United States 10y]]-Table7[[#This Row],[United States 3y]],#N/A)</f>
        <v/>
      </c>
    </row>
    <row r="955">
      <c r="A955" s="6">
        <f>Database!$A3040</f>
        <v/>
      </c>
      <c r="B955">
        <f>IF(VLOOKUP(Table7[[#This Row],[Date]],Database!$A:$C,MATCH($B$1,Database!$A$1:$C$1,),)=0,#N/A,VLOOKUP(Table7[[#This Row],[Date]],Database!$A:$C,MATCH($B$1,Database!$A$1:$C$1,),))</f>
        <v/>
      </c>
      <c r="C955">
        <f>IF(VLOOKUP(Table7[[#This Row],[Date]],Database!$A:$C,MATCH($C$1,Database!$A$1:$C$1,),)=0,#N/A,VLOOKUP(Table7[[#This Row],[Date]],Database!$A:$C,MATCH($C$1,Database!$A$1:$C$1,),))</f>
        <v/>
      </c>
      <c r="D955">
        <f>IFERROR(Table7[[#This Row],[United States 10y]]-Table7[[#This Row],[United States 3y]],#N/A)</f>
        <v/>
      </c>
    </row>
    <row r="956">
      <c r="A956" s="6">
        <f>Database!$A3041</f>
        <v/>
      </c>
      <c r="B956">
        <f>IF(VLOOKUP(Table7[[#This Row],[Date]],Database!$A:$C,MATCH($B$1,Database!$A$1:$C$1,),)=0,#N/A,VLOOKUP(Table7[[#This Row],[Date]],Database!$A:$C,MATCH($B$1,Database!$A$1:$C$1,),))</f>
        <v/>
      </c>
      <c r="C956">
        <f>IF(VLOOKUP(Table7[[#This Row],[Date]],Database!$A:$C,MATCH($C$1,Database!$A$1:$C$1,),)=0,#N/A,VLOOKUP(Table7[[#This Row],[Date]],Database!$A:$C,MATCH($C$1,Database!$A$1:$C$1,),))</f>
        <v/>
      </c>
      <c r="D956">
        <f>IFERROR(Table7[[#This Row],[United States 10y]]-Table7[[#This Row],[United States 3y]],#N/A)</f>
        <v/>
      </c>
    </row>
    <row r="957">
      <c r="A957" s="6">
        <f>Database!$A3042</f>
        <v/>
      </c>
      <c r="B957">
        <f>IF(VLOOKUP(Table7[[#This Row],[Date]],Database!$A:$C,MATCH($B$1,Database!$A$1:$C$1,),)=0,#N/A,VLOOKUP(Table7[[#This Row],[Date]],Database!$A:$C,MATCH($B$1,Database!$A$1:$C$1,),))</f>
        <v/>
      </c>
      <c r="C957">
        <f>IF(VLOOKUP(Table7[[#This Row],[Date]],Database!$A:$C,MATCH($C$1,Database!$A$1:$C$1,),)=0,#N/A,VLOOKUP(Table7[[#This Row],[Date]],Database!$A:$C,MATCH($C$1,Database!$A$1:$C$1,),))</f>
        <v/>
      </c>
      <c r="D957">
        <f>IFERROR(Table7[[#This Row],[United States 10y]]-Table7[[#This Row],[United States 3y]],#N/A)</f>
        <v/>
      </c>
    </row>
    <row r="958">
      <c r="A958" s="6">
        <f>Database!$A3043</f>
        <v/>
      </c>
      <c r="B958">
        <f>IF(VLOOKUP(Table7[[#This Row],[Date]],Database!$A:$C,MATCH($B$1,Database!$A$1:$C$1,),)=0,#N/A,VLOOKUP(Table7[[#This Row],[Date]],Database!$A:$C,MATCH($B$1,Database!$A$1:$C$1,),))</f>
        <v/>
      </c>
      <c r="C958">
        <f>IF(VLOOKUP(Table7[[#This Row],[Date]],Database!$A:$C,MATCH($C$1,Database!$A$1:$C$1,),)=0,#N/A,VLOOKUP(Table7[[#This Row],[Date]],Database!$A:$C,MATCH($C$1,Database!$A$1:$C$1,),))</f>
        <v/>
      </c>
      <c r="D958">
        <f>IFERROR(Table7[[#This Row],[United States 10y]]-Table7[[#This Row],[United States 3y]],#N/A)</f>
        <v/>
      </c>
    </row>
    <row r="959">
      <c r="A959" s="6">
        <f>Database!$A3044</f>
        <v/>
      </c>
      <c r="B959">
        <f>IF(VLOOKUP(Table7[[#This Row],[Date]],Database!$A:$C,MATCH($B$1,Database!$A$1:$C$1,),)=0,#N/A,VLOOKUP(Table7[[#This Row],[Date]],Database!$A:$C,MATCH($B$1,Database!$A$1:$C$1,),))</f>
        <v/>
      </c>
      <c r="C959">
        <f>IF(VLOOKUP(Table7[[#This Row],[Date]],Database!$A:$C,MATCH($C$1,Database!$A$1:$C$1,),)=0,#N/A,VLOOKUP(Table7[[#This Row],[Date]],Database!$A:$C,MATCH($C$1,Database!$A$1:$C$1,),))</f>
        <v/>
      </c>
      <c r="D959">
        <f>IFERROR(Table7[[#This Row],[United States 10y]]-Table7[[#This Row],[United States 3y]],#N/A)</f>
        <v/>
      </c>
    </row>
    <row r="960">
      <c r="A960" s="6">
        <f>Database!$A3045</f>
        <v/>
      </c>
      <c r="B960">
        <f>IF(VLOOKUP(Table7[[#This Row],[Date]],Database!$A:$C,MATCH($B$1,Database!$A$1:$C$1,),)=0,#N/A,VLOOKUP(Table7[[#This Row],[Date]],Database!$A:$C,MATCH($B$1,Database!$A$1:$C$1,),))</f>
        <v/>
      </c>
      <c r="C960">
        <f>IF(VLOOKUP(Table7[[#This Row],[Date]],Database!$A:$C,MATCH($C$1,Database!$A$1:$C$1,),)=0,#N/A,VLOOKUP(Table7[[#This Row],[Date]],Database!$A:$C,MATCH($C$1,Database!$A$1:$C$1,),))</f>
        <v/>
      </c>
      <c r="D960">
        <f>IFERROR(Table7[[#This Row],[United States 10y]]-Table7[[#This Row],[United States 3y]],#N/A)</f>
        <v/>
      </c>
    </row>
    <row r="961">
      <c r="A961" s="6">
        <f>Database!$A3046</f>
        <v/>
      </c>
      <c r="B961">
        <f>IF(VLOOKUP(Table7[[#This Row],[Date]],Database!$A:$C,MATCH($B$1,Database!$A$1:$C$1,),)=0,#N/A,VLOOKUP(Table7[[#This Row],[Date]],Database!$A:$C,MATCH($B$1,Database!$A$1:$C$1,),))</f>
        <v/>
      </c>
      <c r="C961">
        <f>IF(VLOOKUP(Table7[[#This Row],[Date]],Database!$A:$C,MATCH($C$1,Database!$A$1:$C$1,),)=0,#N/A,VLOOKUP(Table7[[#This Row],[Date]],Database!$A:$C,MATCH($C$1,Database!$A$1:$C$1,),))</f>
        <v/>
      </c>
      <c r="D961">
        <f>IFERROR(Table7[[#This Row],[United States 10y]]-Table7[[#This Row],[United States 3y]],#N/A)</f>
        <v/>
      </c>
    </row>
    <row r="962">
      <c r="A962" s="6">
        <f>Database!$A3047</f>
        <v/>
      </c>
      <c r="B962">
        <f>IF(VLOOKUP(Table7[[#This Row],[Date]],Database!$A:$C,MATCH($B$1,Database!$A$1:$C$1,),)=0,#N/A,VLOOKUP(Table7[[#This Row],[Date]],Database!$A:$C,MATCH($B$1,Database!$A$1:$C$1,),))</f>
        <v/>
      </c>
      <c r="C962">
        <f>IF(VLOOKUP(Table7[[#This Row],[Date]],Database!$A:$C,MATCH($C$1,Database!$A$1:$C$1,),)=0,#N/A,VLOOKUP(Table7[[#This Row],[Date]],Database!$A:$C,MATCH($C$1,Database!$A$1:$C$1,),))</f>
        <v/>
      </c>
      <c r="D962">
        <f>IFERROR(Table7[[#This Row],[United States 10y]]-Table7[[#This Row],[United States 3y]],#N/A)</f>
        <v/>
      </c>
    </row>
    <row r="963">
      <c r="A963" s="6">
        <f>Database!$A3048</f>
        <v/>
      </c>
      <c r="B963">
        <f>IF(VLOOKUP(Table7[[#This Row],[Date]],Database!$A:$C,MATCH($B$1,Database!$A$1:$C$1,),)=0,#N/A,VLOOKUP(Table7[[#This Row],[Date]],Database!$A:$C,MATCH($B$1,Database!$A$1:$C$1,),))</f>
        <v/>
      </c>
      <c r="C963">
        <f>IF(VLOOKUP(Table7[[#This Row],[Date]],Database!$A:$C,MATCH($C$1,Database!$A$1:$C$1,),)=0,#N/A,VLOOKUP(Table7[[#This Row],[Date]],Database!$A:$C,MATCH($C$1,Database!$A$1:$C$1,),))</f>
        <v/>
      </c>
      <c r="D963">
        <f>IFERROR(Table7[[#This Row],[United States 10y]]-Table7[[#This Row],[United States 3y]],#N/A)</f>
        <v/>
      </c>
    </row>
    <row r="964">
      <c r="A964" s="6">
        <f>Database!$A3049</f>
        <v/>
      </c>
      <c r="B964">
        <f>IF(VLOOKUP(Table7[[#This Row],[Date]],Database!$A:$C,MATCH($B$1,Database!$A$1:$C$1,),)=0,#N/A,VLOOKUP(Table7[[#This Row],[Date]],Database!$A:$C,MATCH($B$1,Database!$A$1:$C$1,),))</f>
        <v/>
      </c>
      <c r="C964">
        <f>IF(VLOOKUP(Table7[[#This Row],[Date]],Database!$A:$C,MATCH($C$1,Database!$A$1:$C$1,),)=0,#N/A,VLOOKUP(Table7[[#This Row],[Date]],Database!$A:$C,MATCH($C$1,Database!$A$1:$C$1,),))</f>
        <v/>
      </c>
      <c r="D964">
        <f>IFERROR(Table7[[#This Row],[United States 10y]]-Table7[[#This Row],[United States 3y]],#N/A)</f>
        <v/>
      </c>
    </row>
    <row r="965">
      <c r="A965" s="6">
        <f>Database!$A3050</f>
        <v/>
      </c>
      <c r="B965">
        <f>IF(VLOOKUP(Table7[[#This Row],[Date]],Database!$A:$C,MATCH($B$1,Database!$A$1:$C$1,),)=0,#N/A,VLOOKUP(Table7[[#This Row],[Date]],Database!$A:$C,MATCH($B$1,Database!$A$1:$C$1,),))</f>
        <v/>
      </c>
      <c r="C965">
        <f>IF(VLOOKUP(Table7[[#This Row],[Date]],Database!$A:$C,MATCH($C$1,Database!$A$1:$C$1,),)=0,#N/A,VLOOKUP(Table7[[#This Row],[Date]],Database!$A:$C,MATCH($C$1,Database!$A$1:$C$1,),))</f>
        <v/>
      </c>
      <c r="D965">
        <f>IFERROR(Table7[[#This Row],[United States 10y]]-Table7[[#This Row],[United States 3y]],#N/A)</f>
        <v/>
      </c>
    </row>
    <row r="966">
      <c r="A966" s="6">
        <f>Database!$A3051</f>
        <v/>
      </c>
      <c r="B966">
        <f>IF(VLOOKUP(Table7[[#This Row],[Date]],Database!$A:$C,MATCH($B$1,Database!$A$1:$C$1,),)=0,#N/A,VLOOKUP(Table7[[#This Row],[Date]],Database!$A:$C,MATCH($B$1,Database!$A$1:$C$1,),))</f>
        <v/>
      </c>
      <c r="C966">
        <f>IF(VLOOKUP(Table7[[#This Row],[Date]],Database!$A:$C,MATCH($C$1,Database!$A$1:$C$1,),)=0,#N/A,VLOOKUP(Table7[[#This Row],[Date]],Database!$A:$C,MATCH($C$1,Database!$A$1:$C$1,),))</f>
        <v/>
      </c>
      <c r="D966">
        <f>IFERROR(Table7[[#This Row],[United States 10y]]-Table7[[#This Row],[United States 3y]],#N/A)</f>
        <v/>
      </c>
    </row>
    <row r="967">
      <c r="A967" s="6">
        <f>Database!$A3052</f>
        <v/>
      </c>
      <c r="B967">
        <f>IF(VLOOKUP(Table7[[#This Row],[Date]],Database!$A:$C,MATCH($B$1,Database!$A$1:$C$1,),)=0,#N/A,VLOOKUP(Table7[[#This Row],[Date]],Database!$A:$C,MATCH($B$1,Database!$A$1:$C$1,),))</f>
        <v/>
      </c>
      <c r="C967">
        <f>IF(VLOOKUP(Table7[[#This Row],[Date]],Database!$A:$C,MATCH($C$1,Database!$A$1:$C$1,),)=0,#N/A,VLOOKUP(Table7[[#This Row],[Date]],Database!$A:$C,MATCH($C$1,Database!$A$1:$C$1,),))</f>
        <v/>
      </c>
      <c r="D967">
        <f>IFERROR(Table7[[#This Row],[United States 10y]]-Table7[[#This Row],[United States 3y]],#N/A)</f>
        <v/>
      </c>
    </row>
    <row r="968">
      <c r="A968" s="6">
        <f>Database!$A3053</f>
        <v/>
      </c>
      <c r="B968">
        <f>IF(VLOOKUP(Table7[[#This Row],[Date]],Database!$A:$C,MATCH($B$1,Database!$A$1:$C$1,),)=0,#N/A,VLOOKUP(Table7[[#This Row],[Date]],Database!$A:$C,MATCH($B$1,Database!$A$1:$C$1,),))</f>
        <v/>
      </c>
      <c r="C968">
        <f>IF(VLOOKUP(Table7[[#This Row],[Date]],Database!$A:$C,MATCH($C$1,Database!$A$1:$C$1,),)=0,#N/A,VLOOKUP(Table7[[#This Row],[Date]],Database!$A:$C,MATCH($C$1,Database!$A$1:$C$1,),))</f>
        <v/>
      </c>
      <c r="D968">
        <f>IFERROR(Table7[[#This Row],[United States 10y]]-Table7[[#This Row],[United States 3y]],#N/A)</f>
        <v/>
      </c>
    </row>
    <row r="969">
      <c r="A969" s="6">
        <f>Database!$A3054</f>
        <v/>
      </c>
      <c r="B969">
        <f>IF(VLOOKUP(Table7[[#This Row],[Date]],Database!$A:$C,MATCH($B$1,Database!$A$1:$C$1,),)=0,#N/A,VLOOKUP(Table7[[#This Row],[Date]],Database!$A:$C,MATCH($B$1,Database!$A$1:$C$1,),))</f>
        <v/>
      </c>
      <c r="C969">
        <f>IF(VLOOKUP(Table7[[#This Row],[Date]],Database!$A:$C,MATCH($C$1,Database!$A$1:$C$1,),)=0,#N/A,VLOOKUP(Table7[[#This Row],[Date]],Database!$A:$C,MATCH($C$1,Database!$A$1:$C$1,),))</f>
        <v/>
      </c>
      <c r="D969">
        <f>IFERROR(Table7[[#This Row],[United States 10y]]-Table7[[#This Row],[United States 3y]],#N/A)</f>
        <v/>
      </c>
    </row>
    <row r="970">
      <c r="A970" s="6">
        <f>Database!$A3055</f>
        <v/>
      </c>
      <c r="B970">
        <f>IF(VLOOKUP(Table7[[#This Row],[Date]],Database!$A:$C,MATCH($B$1,Database!$A$1:$C$1,),)=0,#N/A,VLOOKUP(Table7[[#This Row],[Date]],Database!$A:$C,MATCH($B$1,Database!$A$1:$C$1,),))</f>
        <v/>
      </c>
      <c r="C970">
        <f>IF(VLOOKUP(Table7[[#This Row],[Date]],Database!$A:$C,MATCH($C$1,Database!$A$1:$C$1,),)=0,#N/A,VLOOKUP(Table7[[#This Row],[Date]],Database!$A:$C,MATCH($C$1,Database!$A$1:$C$1,),))</f>
        <v/>
      </c>
      <c r="D970">
        <f>IFERROR(Table7[[#This Row],[United States 10y]]-Table7[[#This Row],[United States 3y]],#N/A)</f>
        <v/>
      </c>
    </row>
    <row r="971">
      <c r="A971" s="6">
        <f>Database!$A3056</f>
        <v/>
      </c>
      <c r="B971">
        <f>IF(VLOOKUP(Table7[[#This Row],[Date]],Database!$A:$C,MATCH($B$1,Database!$A$1:$C$1,),)=0,#N/A,VLOOKUP(Table7[[#This Row],[Date]],Database!$A:$C,MATCH($B$1,Database!$A$1:$C$1,),))</f>
        <v/>
      </c>
      <c r="C971">
        <f>IF(VLOOKUP(Table7[[#This Row],[Date]],Database!$A:$C,MATCH($C$1,Database!$A$1:$C$1,),)=0,#N/A,VLOOKUP(Table7[[#This Row],[Date]],Database!$A:$C,MATCH($C$1,Database!$A$1:$C$1,),))</f>
        <v/>
      </c>
      <c r="D971">
        <f>IFERROR(Table7[[#This Row],[United States 10y]]-Table7[[#This Row],[United States 3y]],#N/A)</f>
        <v/>
      </c>
    </row>
    <row r="972">
      <c r="A972" s="6">
        <f>Database!$A3057</f>
        <v/>
      </c>
      <c r="B972">
        <f>IF(VLOOKUP(Table7[[#This Row],[Date]],Database!$A:$C,MATCH($B$1,Database!$A$1:$C$1,),)=0,#N/A,VLOOKUP(Table7[[#This Row],[Date]],Database!$A:$C,MATCH($B$1,Database!$A$1:$C$1,),))</f>
        <v/>
      </c>
      <c r="C972">
        <f>IF(VLOOKUP(Table7[[#This Row],[Date]],Database!$A:$C,MATCH($C$1,Database!$A$1:$C$1,),)=0,#N/A,VLOOKUP(Table7[[#This Row],[Date]],Database!$A:$C,MATCH($C$1,Database!$A$1:$C$1,),))</f>
        <v/>
      </c>
      <c r="D972">
        <f>IFERROR(Table7[[#This Row],[United States 10y]]-Table7[[#This Row],[United States 3y]],#N/A)</f>
        <v/>
      </c>
    </row>
    <row r="973">
      <c r="A973" s="6">
        <f>Database!$A3058</f>
        <v/>
      </c>
      <c r="B973">
        <f>IF(VLOOKUP(Table7[[#This Row],[Date]],Database!$A:$C,MATCH($B$1,Database!$A$1:$C$1,),)=0,#N/A,VLOOKUP(Table7[[#This Row],[Date]],Database!$A:$C,MATCH($B$1,Database!$A$1:$C$1,),))</f>
        <v/>
      </c>
      <c r="C973">
        <f>IF(VLOOKUP(Table7[[#This Row],[Date]],Database!$A:$C,MATCH($C$1,Database!$A$1:$C$1,),)=0,#N/A,VLOOKUP(Table7[[#This Row],[Date]],Database!$A:$C,MATCH($C$1,Database!$A$1:$C$1,),))</f>
        <v/>
      </c>
      <c r="D973">
        <f>IFERROR(Table7[[#This Row],[United States 10y]]-Table7[[#This Row],[United States 3y]],#N/A)</f>
        <v/>
      </c>
    </row>
    <row r="974">
      <c r="A974" s="6">
        <f>Database!$A3059</f>
        <v/>
      </c>
      <c r="B974">
        <f>IF(VLOOKUP(Table7[[#This Row],[Date]],Database!$A:$C,MATCH($B$1,Database!$A$1:$C$1,),)=0,#N/A,VLOOKUP(Table7[[#This Row],[Date]],Database!$A:$C,MATCH($B$1,Database!$A$1:$C$1,),))</f>
        <v/>
      </c>
      <c r="C974">
        <f>IF(VLOOKUP(Table7[[#This Row],[Date]],Database!$A:$C,MATCH($C$1,Database!$A$1:$C$1,),)=0,#N/A,VLOOKUP(Table7[[#This Row],[Date]],Database!$A:$C,MATCH($C$1,Database!$A$1:$C$1,),))</f>
        <v/>
      </c>
      <c r="D974">
        <f>IFERROR(Table7[[#This Row],[United States 10y]]-Table7[[#This Row],[United States 3y]],#N/A)</f>
        <v/>
      </c>
    </row>
    <row r="975">
      <c r="A975" s="6">
        <f>Database!$A3060</f>
        <v/>
      </c>
      <c r="B975">
        <f>IF(VLOOKUP(Table7[[#This Row],[Date]],Database!$A:$C,MATCH($B$1,Database!$A$1:$C$1,),)=0,#N/A,VLOOKUP(Table7[[#This Row],[Date]],Database!$A:$C,MATCH($B$1,Database!$A$1:$C$1,),))</f>
        <v/>
      </c>
      <c r="C975">
        <f>IF(VLOOKUP(Table7[[#This Row],[Date]],Database!$A:$C,MATCH($C$1,Database!$A$1:$C$1,),)=0,#N/A,VLOOKUP(Table7[[#This Row],[Date]],Database!$A:$C,MATCH($C$1,Database!$A$1:$C$1,),))</f>
        <v/>
      </c>
      <c r="D975">
        <f>IFERROR(Table7[[#This Row],[United States 10y]]-Table7[[#This Row],[United States 3y]],#N/A)</f>
        <v/>
      </c>
    </row>
    <row r="976">
      <c r="A976" s="6">
        <f>Database!$A3061</f>
        <v/>
      </c>
      <c r="B976">
        <f>IF(VLOOKUP(Table7[[#This Row],[Date]],Database!$A:$C,MATCH($B$1,Database!$A$1:$C$1,),)=0,#N/A,VLOOKUP(Table7[[#This Row],[Date]],Database!$A:$C,MATCH($B$1,Database!$A$1:$C$1,),))</f>
        <v/>
      </c>
      <c r="C976">
        <f>IF(VLOOKUP(Table7[[#This Row],[Date]],Database!$A:$C,MATCH($C$1,Database!$A$1:$C$1,),)=0,#N/A,VLOOKUP(Table7[[#This Row],[Date]],Database!$A:$C,MATCH($C$1,Database!$A$1:$C$1,),))</f>
        <v/>
      </c>
      <c r="D976">
        <f>IFERROR(Table7[[#This Row],[United States 10y]]-Table7[[#This Row],[United States 3y]],#N/A)</f>
        <v/>
      </c>
    </row>
    <row r="977">
      <c r="A977" s="6">
        <f>Database!$A3062</f>
        <v/>
      </c>
      <c r="B977">
        <f>IF(VLOOKUP(Table7[[#This Row],[Date]],Database!$A:$C,MATCH($B$1,Database!$A$1:$C$1,),)=0,#N/A,VLOOKUP(Table7[[#This Row],[Date]],Database!$A:$C,MATCH($B$1,Database!$A$1:$C$1,),))</f>
        <v/>
      </c>
      <c r="C977">
        <f>IF(VLOOKUP(Table7[[#This Row],[Date]],Database!$A:$C,MATCH($C$1,Database!$A$1:$C$1,),)=0,#N/A,VLOOKUP(Table7[[#This Row],[Date]],Database!$A:$C,MATCH($C$1,Database!$A$1:$C$1,),))</f>
        <v/>
      </c>
      <c r="D977">
        <f>IFERROR(Table7[[#This Row],[United States 10y]]-Table7[[#This Row],[United States 3y]],#N/A)</f>
        <v/>
      </c>
    </row>
    <row r="978">
      <c r="A978" s="6">
        <f>Database!$A3063</f>
        <v/>
      </c>
      <c r="B978">
        <f>IF(VLOOKUP(Table7[[#This Row],[Date]],Database!$A:$C,MATCH($B$1,Database!$A$1:$C$1,),)=0,#N/A,VLOOKUP(Table7[[#This Row],[Date]],Database!$A:$C,MATCH($B$1,Database!$A$1:$C$1,),))</f>
        <v/>
      </c>
      <c r="C978">
        <f>IF(VLOOKUP(Table7[[#This Row],[Date]],Database!$A:$C,MATCH($C$1,Database!$A$1:$C$1,),)=0,#N/A,VLOOKUP(Table7[[#This Row],[Date]],Database!$A:$C,MATCH($C$1,Database!$A$1:$C$1,),))</f>
        <v/>
      </c>
      <c r="D978">
        <f>IFERROR(Table7[[#This Row],[United States 10y]]-Table7[[#This Row],[United States 3y]],#N/A)</f>
        <v/>
      </c>
    </row>
    <row r="979">
      <c r="A979" s="6">
        <f>Database!$A3064</f>
        <v/>
      </c>
      <c r="B979">
        <f>IF(VLOOKUP(Table7[[#This Row],[Date]],Database!$A:$C,MATCH($B$1,Database!$A$1:$C$1,),)=0,#N/A,VLOOKUP(Table7[[#This Row],[Date]],Database!$A:$C,MATCH($B$1,Database!$A$1:$C$1,),))</f>
        <v/>
      </c>
      <c r="C979">
        <f>IF(VLOOKUP(Table7[[#This Row],[Date]],Database!$A:$C,MATCH($C$1,Database!$A$1:$C$1,),)=0,#N/A,VLOOKUP(Table7[[#This Row],[Date]],Database!$A:$C,MATCH($C$1,Database!$A$1:$C$1,),))</f>
        <v/>
      </c>
      <c r="D979">
        <f>IFERROR(Table7[[#This Row],[United States 10y]]-Table7[[#This Row],[United States 3y]],#N/A)</f>
        <v/>
      </c>
    </row>
    <row r="980">
      <c r="A980" s="6">
        <f>Database!$A3065</f>
        <v/>
      </c>
      <c r="B980">
        <f>IF(VLOOKUP(Table7[[#This Row],[Date]],Database!$A:$C,MATCH($B$1,Database!$A$1:$C$1,),)=0,#N/A,VLOOKUP(Table7[[#This Row],[Date]],Database!$A:$C,MATCH($B$1,Database!$A$1:$C$1,),))</f>
        <v/>
      </c>
      <c r="C980">
        <f>IF(VLOOKUP(Table7[[#This Row],[Date]],Database!$A:$C,MATCH($C$1,Database!$A$1:$C$1,),)=0,#N/A,VLOOKUP(Table7[[#This Row],[Date]],Database!$A:$C,MATCH($C$1,Database!$A$1:$C$1,),))</f>
        <v/>
      </c>
      <c r="D980">
        <f>IFERROR(Table7[[#This Row],[United States 10y]]-Table7[[#This Row],[United States 3y]],#N/A)</f>
        <v/>
      </c>
    </row>
    <row r="981">
      <c r="A981" s="6">
        <f>Database!$A3066</f>
        <v/>
      </c>
      <c r="B981">
        <f>IF(VLOOKUP(Table7[[#This Row],[Date]],Database!$A:$C,MATCH($B$1,Database!$A$1:$C$1,),)=0,#N/A,VLOOKUP(Table7[[#This Row],[Date]],Database!$A:$C,MATCH($B$1,Database!$A$1:$C$1,),))</f>
        <v/>
      </c>
      <c r="C981">
        <f>IF(VLOOKUP(Table7[[#This Row],[Date]],Database!$A:$C,MATCH($C$1,Database!$A$1:$C$1,),)=0,#N/A,VLOOKUP(Table7[[#This Row],[Date]],Database!$A:$C,MATCH($C$1,Database!$A$1:$C$1,),))</f>
        <v/>
      </c>
      <c r="D981">
        <f>IFERROR(Table7[[#This Row],[United States 10y]]-Table7[[#This Row],[United States 3y]],#N/A)</f>
        <v/>
      </c>
    </row>
    <row r="982">
      <c r="A982" s="6">
        <f>Database!$A3067</f>
        <v/>
      </c>
      <c r="B982">
        <f>IF(VLOOKUP(Table7[[#This Row],[Date]],Database!$A:$C,MATCH($B$1,Database!$A$1:$C$1,),)=0,#N/A,VLOOKUP(Table7[[#This Row],[Date]],Database!$A:$C,MATCH($B$1,Database!$A$1:$C$1,),))</f>
        <v/>
      </c>
      <c r="C982">
        <f>IF(VLOOKUP(Table7[[#This Row],[Date]],Database!$A:$C,MATCH($C$1,Database!$A$1:$C$1,),)=0,#N/A,VLOOKUP(Table7[[#This Row],[Date]],Database!$A:$C,MATCH($C$1,Database!$A$1:$C$1,),))</f>
        <v/>
      </c>
      <c r="D982">
        <f>IFERROR(Table7[[#This Row],[United States 10y]]-Table7[[#This Row],[United States 3y]],#N/A)</f>
        <v/>
      </c>
    </row>
    <row r="983">
      <c r="A983" s="6">
        <f>Database!$A3068</f>
        <v/>
      </c>
      <c r="B983">
        <f>IF(VLOOKUP(Table7[[#This Row],[Date]],Database!$A:$C,MATCH($B$1,Database!$A$1:$C$1,),)=0,#N/A,VLOOKUP(Table7[[#This Row],[Date]],Database!$A:$C,MATCH($B$1,Database!$A$1:$C$1,),))</f>
        <v/>
      </c>
      <c r="C983">
        <f>IF(VLOOKUP(Table7[[#This Row],[Date]],Database!$A:$C,MATCH($C$1,Database!$A$1:$C$1,),)=0,#N/A,VLOOKUP(Table7[[#This Row],[Date]],Database!$A:$C,MATCH($C$1,Database!$A$1:$C$1,),))</f>
        <v/>
      </c>
      <c r="D983">
        <f>IFERROR(Table7[[#This Row],[United States 10y]]-Table7[[#This Row],[United States 3y]],#N/A)</f>
        <v/>
      </c>
    </row>
    <row r="984">
      <c r="A984" s="6">
        <f>Database!$A3069</f>
        <v/>
      </c>
      <c r="B984">
        <f>IF(VLOOKUP(Table7[[#This Row],[Date]],Database!$A:$C,MATCH($B$1,Database!$A$1:$C$1,),)=0,#N/A,VLOOKUP(Table7[[#This Row],[Date]],Database!$A:$C,MATCH($B$1,Database!$A$1:$C$1,),))</f>
        <v/>
      </c>
      <c r="C984">
        <f>IF(VLOOKUP(Table7[[#This Row],[Date]],Database!$A:$C,MATCH($C$1,Database!$A$1:$C$1,),)=0,#N/A,VLOOKUP(Table7[[#This Row],[Date]],Database!$A:$C,MATCH($C$1,Database!$A$1:$C$1,),))</f>
        <v/>
      </c>
      <c r="D984">
        <f>IFERROR(Table7[[#This Row],[United States 10y]]-Table7[[#This Row],[United States 3y]],#N/A)</f>
        <v/>
      </c>
    </row>
    <row r="985">
      <c r="A985" s="6">
        <f>Database!$A3070</f>
        <v/>
      </c>
      <c r="B985">
        <f>IF(VLOOKUP(Table7[[#This Row],[Date]],Database!$A:$C,MATCH($B$1,Database!$A$1:$C$1,),)=0,#N/A,VLOOKUP(Table7[[#This Row],[Date]],Database!$A:$C,MATCH($B$1,Database!$A$1:$C$1,),))</f>
        <v/>
      </c>
      <c r="C985">
        <f>IF(VLOOKUP(Table7[[#This Row],[Date]],Database!$A:$C,MATCH($C$1,Database!$A$1:$C$1,),)=0,#N/A,VLOOKUP(Table7[[#This Row],[Date]],Database!$A:$C,MATCH($C$1,Database!$A$1:$C$1,),))</f>
        <v/>
      </c>
      <c r="D985">
        <f>IFERROR(Table7[[#This Row],[United States 10y]]-Table7[[#This Row],[United States 3y]],#N/A)</f>
        <v/>
      </c>
    </row>
    <row r="986">
      <c r="A986" s="6">
        <f>Database!$A3071</f>
        <v/>
      </c>
      <c r="B986">
        <f>IF(VLOOKUP(Table7[[#This Row],[Date]],Database!$A:$C,MATCH($B$1,Database!$A$1:$C$1,),)=0,#N/A,VLOOKUP(Table7[[#This Row],[Date]],Database!$A:$C,MATCH($B$1,Database!$A$1:$C$1,),))</f>
        <v/>
      </c>
      <c r="C986">
        <f>IF(VLOOKUP(Table7[[#This Row],[Date]],Database!$A:$C,MATCH($C$1,Database!$A$1:$C$1,),)=0,#N/A,VLOOKUP(Table7[[#This Row],[Date]],Database!$A:$C,MATCH($C$1,Database!$A$1:$C$1,),))</f>
        <v/>
      </c>
      <c r="D986">
        <f>IFERROR(Table7[[#This Row],[United States 10y]]-Table7[[#This Row],[United States 3y]],#N/A)</f>
        <v/>
      </c>
    </row>
    <row r="987">
      <c r="A987" s="6">
        <f>Database!$A3072</f>
        <v/>
      </c>
      <c r="B987">
        <f>IF(VLOOKUP(Table7[[#This Row],[Date]],Database!$A:$C,MATCH($B$1,Database!$A$1:$C$1,),)=0,#N/A,VLOOKUP(Table7[[#This Row],[Date]],Database!$A:$C,MATCH($B$1,Database!$A$1:$C$1,),))</f>
        <v/>
      </c>
      <c r="C987">
        <f>IF(VLOOKUP(Table7[[#This Row],[Date]],Database!$A:$C,MATCH($C$1,Database!$A$1:$C$1,),)=0,#N/A,VLOOKUP(Table7[[#This Row],[Date]],Database!$A:$C,MATCH($C$1,Database!$A$1:$C$1,),))</f>
        <v/>
      </c>
      <c r="D987">
        <f>IFERROR(Table7[[#This Row],[United States 10y]]-Table7[[#This Row],[United States 3y]],#N/A)</f>
        <v/>
      </c>
    </row>
    <row r="988">
      <c r="A988" s="6">
        <f>Database!$A3073</f>
        <v/>
      </c>
      <c r="B988">
        <f>IF(VLOOKUP(Table7[[#This Row],[Date]],Database!$A:$C,MATCH($B$1,Database!$A$1:$C$1,),)=0,#N/A,VLOOKUP(Table7[[#This Row],[Date]],Database!$A:$C,MATCH($B$1,Database!$A$1:$C$1,),))</f>
        <v/>
      </c>
      <c r="C988">
        <f>IF(VLOOKUP(Table7[[#This Row],[Date]],Database!$A:$C,MATCH($C$1,Database!$A$1:$C$1,),)=0,#N/A,VLOOKUP(Table7[[#This Row],[Date]],Database!$A:$C,MATCH($C$1,Database!$A$1:$C$1,),))</f>
        <v/>
      </c>
      <c r="D988">
        <f>IFERROR(Table7[[#This Row],[United States 10y]]-Table7[[#This Row],[United States 3y]],#N/A)</f>
        <v/>
      </c>
    </row>
    <row r="989">
      <c r="A989" s="6">
        <f>Database!$A3074</f>
        <v/>
      </c>
      <c r="B989">
        <f>IF(VLOOKUP(Table7[[#This Row],[Date]],Database!$A:$C,MATCH($B$1,Database!$A$1:$C$1,),)=0,#N/A,VLOOKUP(Table7[[#This Row],[Date]],Database!$A:$C,MATCH($B$1,Database!$A$1:$C$1,),))</f>
        <v/>
      </c>
      <c r="C989">
        <f>IF(VLOOKUP(Table7[[#This Row],[Date]],Database!$A:$C,MATCH($C$1,Database!$A$1:$C$1,),)=0,#N/A,VLOOKUP(Table7[[#This Row],[Date]],Database!$A:$C,MATCH($C$1,Database!$A$1:$C$1,),))</f>
        <v/>
      </c>
      <c r="D989">
        <f>IFERROR(Table7[[#This Row],[United States 10y]]-Table7[[#This Row],[United States 3y]],#N/A)</f>
        <v/>
      </c>
    </row>
    <row r="990">
      <c r="A990" s="6">
        <f>Database!$A3075</f>
        <v/>
      </c>
      <c r="B990">
        <f>IF(VLOOKUP(Table7[[#This Row],[Date]],Database!$A:$C,MATCH($B$1,Database!$A$1:$C$1,),)=0,#N/A,VLOOKUP(Table7[[#This Row],[Date]],Database!$A:$C,MATCH($B$1,Database!$A$1:$C$1,),))</f>
        <v/>
      </c>
      <c r="C990">
        <f>IF(VLOOKUP(Table7[[#This Row],[Date]],Database!$A:$C,MATCH($C$1,Database!$A$1:$C$1,),)=0,#N/A,VLOOKUP(Table7[[#This Row],[Date]],Database!$A:$C,MATCH($C$1,Database!$A$1:$C$1,),))</f>
        <v/>
      </c>
      <c r="D990">
        <f>IFERROR(Table7[[#This Row],[United States 10y]]-Table7[[#This Row],[United States 3y]],#N/A)</f>
        <v/>
      </c>
    </row>
    <row r="991">
      <c r="A991" s="6">
        <f>Database!$A3076</f>
        <v/>
      </c>
      <c r="B991">
        <f>IF(VLOOKUP(Table7[[#This Row],[Date]],Database!$A:$C,MATCH($B$1,Database!$A$1:$C$1,),)=0,#N/A,VLOOKUP(Table7[[#This Row],[Date]],Database!$A:$C,MATCH($B$1,Database!$A$1:$C$1,),))</f>
        <v/>
      </c>
      <c r="C991">
        <f>IF(VLOOKUP(Table7[[#This Row],[Date]],Database!$A:$C,MATCH($C$1,Database!$A$1:$C$1,),)=0,#N/A,VLOOKUP(Table7[[#This Row],[Date]],Database!$A:$C,MATCH($C$1,Database!$A$1:$C$1,),))</f>
        <v/>
      </c>
      <c r="D991">
        <f>IFERROR(Table7[[#This Row],[United States 10y]]-Table7[[#This Row],[United States 3y]],#N/A)</f>
        <v/>
      </c>
    </row>
    <row r="992">
      <c r="A992" s="6">
        <f>Database!$A3077</f>
        <v/>
      </c>
      <c r="B992">
        <f>IF(VLOOKUP(Table7[[#This Row],[Date]],Database!$A:$C,MATCH($B$1,Database!$A$1:$C$1,),)=0,#N/A,VLOOKUP(Table7[[#This Row],[Date]],Database!$A:$C,MATCH($B$1,Database!$A$1:$C$1,),))</f>
        <v/>
      </c>
      <c r="C992">
        <f>IF(VLOOKUP(Table7[[#This Row],[Date]],Database!$A:$C,MATCH($C$1,Database!$A$1:$C$1,),)=0,#N/A,VLOOKUP(Table7[[#This Row],[Date]],Database!$A:$C,MATCH($C$1,Database!$A$1:$C$1,),))</f>
        <v/>
      </c>
      <c r="D992">
        <f>IFERROR(Table7[[#This Row],[United States 10y]]-Table7[[#This Row],[United States 3y]],#N/A)</f>
        <v/>
      </c>
    </row>
    <row r="993">
      <c r="A993" s="6">
        <f>Database!$A3078</f>
        <v/>
      </c>
      <c r="B993">
        <f>IF(VLOOKUP(Table7[[#This Row],[Date]],Database!$A:$C,MATCH($B$1,Database!$A$1:$C$1,),)=0,#N/A,VLOOKUP(Table7[[#This Row],[Date]],Database!$A:$C,MATCH($B$1,Database!$A$1:$C$1,),))</f>
        <v/>
      </c>
      <c r="C993">
        <f>IF(VLOOKUP(Table7[[#This Row],[Date]],Database!$A:$C,MATCH($C$1,Database!$A$1:$C$1,),)=0,#N/A,VLOOKUP(Table7[[#This Row],[Date]],Database!$A:$C,MATCH($C$1,Database!$A$1:$C$1,),))</f>
        <v/>
      </c>
      <c r="D993">
        <f>IFERROR(Table7[[#This Row],[United States 10y]]-Table7[[#This Row],[United States 3y]],#N/A)</f>
        <v/>
      </c>
    </row>
    <row r="994">
      <c r="A994" s="6">
        <f>Database!$A3079</f>
        <v/>
      </c>
      <c r="B994">
        <f>IF(VLOOKUP(Table7[[#This Row],[Date]],Database!$A:$C,MATCH($B$1,Database!$A$1:$C$1,),)=0,#N/A,VLOOKUP(Table7[[#This Row],[Date]],Database!$A:$C,MATCH($B$1,Database!$A$1:$C$1,),))</f>
        <v/>
      </c>
      <c r="C994">
        <f>IF(VLOOKUP(Table7[[#This Row],[Date]],Database!$A:$C,MATCH($C$1,Database!$A$1:$C$1,),)=0,#N/A,VLOOKUP(Table7[[#This Row],[Date]],Database!$A:$C,MATCH($C$1,Database!$A$1:$C$1,),))</f>
        <v/>
      </c>
      <c r="D994">
        <f>IFERROR(Table7[[#This Row],[United States 10y]]-Table7[[#This Row],[United States 3y]],#N/A)</f>
        <v/>
      </c>
    </row>
    <row r="995">
      <c r="A995" s="6">
        <f>Database!$A3080</f>
        <v/>
      </c>
      <c r="B995">
        <f>IF(VLOOKUP(Table7[[#This Row],[Date]],Database!$A:$C,MATCH($B$1,Database!$A$1:$C$1,),)=0,#N/A,VLOOKUP(Table7[[#This Row],[Date]],Database!$A:$C,MATCH($B$1,Database!$A$1:$C$1,),))</f>
        <v/>
      </c>
      <c r="C995">
        <f>IF(VLOOKUP(Table7[[#This Row],[Date]],Database!$A:$C,MATCH($C$1,Database!$A$1:$C$1,),)=0,#N/A,VLOOKUP(Table7[[#This Row],[Date]],Database!$A:$C,MATCH($C$1,Database!$A$1:$C$1,),))</f>
        <v/>
      </c>
      <c r="D995">
        <f>IFERROR(Table7[[#This Row],[United States 10y]]-Table7[[#This Row],[United States 3y]],#N/A)</f>
        <v/>
      </c>
    </row>
    <row r="996">
      <c r="A996" s="6">
        <f>Database!$A3081</f>
        <v/>
      </c>
      <c r="B996">
        <f>IF(VLOOKUP(Table7[[#This Row],[Date]],Database!$A:$C,MATCH($B$1,Database!$A$1:$C$1,),)=0,#N/A,VLOOKUP(Table7[[#This Row],[Date]],Database!$A:$C,MATCH($B$1,Database!$A$1:$C$1,),))</f>
        <v/>
      </c>
      <c r="C996">
        <f>IF(VLOOKUP(Table7[[#This Row],[Date]],Database!$A:$C,MATCH($C$1,Database!$A$1:$C$1,),)=0,#N/A,VLOOKUP(Table7[[#This Row],[Date]],Database!$A:$C,MATCH($C$1,Database!$A$1:$C$1,),))</f>
        <v/>
      </c>
      <c r="D996">
        <f>IFERROR(Table7[[#This Row],[United States 10y]]-Table7[[#This Row],[United States 3y]],#N/A)</f>
        <v/>
      </c>
    </row>
    <row r="997">
      <c r="A997" s="6">
        <f>Database!$A3082</f>
        <v/>
      </c>
      <c r="B997">
        <f>IF(VLOOKUP(Table7[[#This Row],[Date]],Database!$A:$C,MATCH($B$1,Database!$A$1:$C$1,),)=0,#N/A,VLOOKUP(Table7[[#This Row],[Date]],Database!$A:$C,MATCH($B$1,Database!$A$1:$C$1,),))</f>
        <v/>
      </c>
      <c r="C997">
        <f>IF(VLOOKUP(Table7[[#This Row],[Date]],Database!$A:$C,MATCH($C$1,Database!$A$1:$C$1,),)=0,#N/A,VLOOKUP(Table7[[#This Row],[Date]],Database!$A:$C,MATCH($C$1,Database!$A$1:$C$1,),))</f>
        <v/>
      </c>
      <c r="D997">
        <f>IFERROR(Table7[[#This Row],[United States 10y]]-Table7[[#This Row],[United States 3y]],#N/A)</f>
        <v/>
      </c>
    </row>
    <row r="998">
      <c r="A998" s="6">
        <f>Database!$A3083</f>
        <v/>
      </c>
      <c r="B998">
        <f>IF(VLOOKUP(Table7[[#This Row],[Date]],Database!$A:$C,MATCH($B$1,Database!$A$1:$C$1,),)=0,#N/A,VLOOKUP(Table7[[#This Row],[Date]],Database!$A:$C,MATCH($B$1,Database!$A$1:$C$1,),))</f>
        <v/>
      </c>
      <c r="C998">
        <f>IF(VLOOKUP(Table7[[#This Row],[Date]],Database!$A:$C,MATCH($C$1,Database!$A$1:$C$1,),)=0,#N/A,VLOOKUP(Table7[[#This Row],[Date]],Database!$A:$C,MATCH($C$1,Database!$A$1:$C$1,),))</f>
        <v/>
      </c>
      <c r="D998">
        <f>IFERROR(Table7[[#This Row],[United States 10y]]-Table7[[#This Row],[United States 3y]],#N/A)</f>
        <v/>
      </c>
    </row>
    <row r="999">
      <c r="A999" s="6">
        <f>Database!$A3084</f>
        <v/>
      </c>
      <c r="B999">
        <f>IF(VLOOKUP(Table7[[#This Row],[Date]],Database!$A:$C,MATCH($B$1,Database!$A$1:$C$1,),)=0,#N/A,VLOOKUP(Table7[[#This Row],[Date]],Database!$A:$C,MATCH($B$1,Database!$A$1:$C$1,),))</f>
        <v/>
      </c>
      <c r="C999">
        <f>IF(VLOOKUP(Table7[[#This Row],[Date]],Database!$A:$C,MATCH($C$1,Database!$A$1:$C$1,),)=0,#N/A,VLOOKUP(Table7[[#This Row],[Date]],Database!$A:$C,MATCH($C$1,Database!$A$1:$C$1,),))</f>
        <v/>
      </c>
      <c r="D999">
        <f>IFERROR(Table7[[#This Row],[United States 10y]]-Table7[[#This Row],[United States 3y]],#N/A)</f>
        <v/>
      </c>
    </row>
    <row r="1000">
      <c r="A1000" s="6">
        <f>Database!$A3085</f>
        <v/>
      </c>
      <c r="B1000">
        <f>IF(VLOOKUP(Table7[[#This Row],[Date]],Database!$A:$C,MATCH($B$1,Database!$A$1:$C$1,),)=0,#N/A,VLOOKUP(Table7[[#This Row],[Date]],Database!$A:$C,MATCH($B$1,Database!$A$1:$C$1,),))</f>
        <v/>
      </c>
      <c r="C1000">
        <f>IF(VLOOKUP(Table7[[#This Row],[Date]],Database!$A:$C,MATCH($C$1,Database!$A$1:$C$1,),)=0,#N/A,VLOOKUP(Table7[[#This Row],[Date]],Database!$A:$C,MATCH($C$1,Database!$A$1:$C$1,),))</f>
        <v/>
      </c>
      <c r="D1000">
        <f>IFERROR(Table7[[#This Row],[United States 10y]]-Table7[[#This Row],[United States 3y]],#N/A)</f>
        <v/>
      </c>
    </row>
    <row r="1001">
      <c r="A1001" s="6">
        <f>Database!$A3086</f>
        <v/>
      </c>
      <c r="B1001">
        <f>IF(VLOOKUP(Table7[[#This Row],[Date]],Database!$A:$C,MATCH($B$1,Database!$A$1:$C$1,),)=0,#N/A,VLOOKUP(Table7[[#This Row],[Date]],Database!$A:$C,MATCH($B$1,Database!$A$1:$C$1,),))</f>
        <v/>
      </c>
      <c r="C1001">
        <f>IF(VLOOKUP(Table7[[#This Row],[Date]],Database!$A:$C,MATCH($C$1,Database!$A$1:$C$1,),)=0,#N/A,VLOOKUP(Table7[[#This Row],[Date]],Database!$A:$C,MATCH($C$1,Database!$A$1:$C$1,),))</f>
        <v/>
      </c>
      <c r="D1001">
        <f>IFERROR(Table7[[#This Row],[United States 10y]]-Table7[[#This Row],[United States 3y]],#N/A)</f>
        <v/>
      </c>
    </row>
    <row r="1002">
      <c r="A1002" s="6">
        <f>Database!$A3087</f>
        <v/>
      </c>
      <c r="B1002">
        <f>IF(VLOOKUP(Table7[[#This Row],[Date]],Database!$A:$C,MATCH($B$1,Database!$A$1:$C$1,),)=0,#N/A,VLOOKUP(Table7[[#This Row],[Date]],Database!$A:$C,MATCH($B$1,Database!$A$1:$C$1,),))</f>
        <v/>
      </c>
      <c r="C1002">
        <f>IF(VLOOKUP(Table7[[#This Row],[Date]],Database!$A:$C,MATCH($C$1,Database!$A$1:$C$1,),)=0,#N/A,VLOOKUP(Table7[[#This Row],[Date]],Database!$A:$C,MATCH($C$1,Database!$A$1:$C$1,),))</f>
        <v/>
      </c>
      <c r="D1002">
        <f>IFERROR(Table7[[#This Row],[United States 10y]]-Table7[[#This Row],[United States 3y]],#N/A)</f>
        <v/>
      </c>
    </row>
    <row r="1003">
      <c r="A1003" s="6">
        <f>Database!$A3088</f>
        <v/>
      </c>
      <c r="B1003">
        <f>IF(VLOOKUP(Table7[[#This Row],[Date]],Database!$A:$C,MATCH($B$1,Database!$A$1:$C$1,),)=0,#N/A,VLOOKUP(Table7[[#This Row],[Date]],Database!$A:$C,MATCH($B$1,Database!$A$1:$C$1,),))</f>
        <v/>
      </c>
      <c r="C1003">
        <f>IF(VLOOKUP(Table7[[#This Row],[Date]],Database!$A:$C,MATCH($C$1,Database!$A$1:$C$1,),)=0,#N/A,VLOOKUP(Table7[[#This Row],[Date]],Database!$A:$C,MATCH($C$1,Database!$A$1:$C$1,),))</f>
        <v/>
      </c>
      <c r="D1003">
        <f>IFERROR(Table7[[#This Row],[United States 10y]]-Table7[[#This Row],[United States 3y]],#N/A)</f>
        <v/>
      </c>
    </row>
    <row r="1004">
      <c r="A1004" s="6">
        <f>Database!$A3089</f>
        <v/>
      </c>
      <c r="B1004">
        <f>IF(VLOOKUP(Table7[[#This Row],[Date]],Database!$A:$C,MATCH($B$1,Database!$A$1:$C$1,),)=0,#N/A,VLOOKUP(Table7[[#This Row],[Date]],Database!$A:$C,MATCH($B$1,Database!$A$1:$C$1,),))</f>
        <v/>
      </c>
      <c r="C1004">
        <f>IF(VLOOKUP(Table7[[#This Row],[Date]],Database!$A:$C,MATCH($C$1,Database!$A$1:$C$1,),)=0,#N/A,VLOOKUP(Table7[[#This Row],[Date]],Database!$A:$C,MATCH($C$1,Database!$A$1:$C$1,),))</f>
        <v/>
      </c>
      <c r="D1004">
        <f>IFERROR(Table7[[#This Row],[United States 10y]]-Table7[[#This Row],[United States 3y]],#N/A)</f>
        <v/>
      </c>
    </row>
    <row r="1005">
      <c r="A1005" s="6">
        <f>Database!$A3090</f>
        <v/>
      </c>
      <c r="B1005">
        <f>IF(VLOOKUP(Table7[[#This Row],[Date]],Database!$A:$C,MATCH($B$1,Database!$A$1:$C$1,),)=0,#N/A,VLOOKUP(Table7[[#This Row],[Date]],Database!$A:$C,MATCH($B$1,Database!$A$1:$C$1,),))</f>
        <v/>
      </c>
      <c r="C1005">
        <f>IF(VLOOKUP(Table7[[#This Row],[Date]],Database!$A:$C,MATCH($C$1,Database!$A$1:$C$1,),)=0,#N/A,VLOOKUP(Table7[[#This Row],[Date]],Database!$A:$C,MATCH($C$1,Database!$A$1:$C$1,),))</f>
        <v/>
      </c>
      <c r="D1005">
        <f>IFERROR(Table7[[#This Row],[United States 10y]]-Table7[[#This Row],[United States 3y]],#N/A)</f>
        <v/>
      </c>
    </row>
    <row r="1006">
      <c r="A1006" s="6">
        <f>Database!$A3091</f>
        <v/>
      </c>
      <c r="B1006">
        <f>IF(VLOOKUP(Table7[[#This Row],[Date]],Database!$A:$C,MATCH($B$1,Database!$A$1:$C$1,),)=0,#N/A,VLOOKUP(Table7[[#This Row],[Date]],Database!$A:$C,MATCH($B$1,Database!$A$1:$C$1,),))</f>
        <v/>
      </c>
      <c r="C1006">
        <f>IF(VLOOKUP(Table7[[#This Row],[Date]],Database!$A:$C,MATCH($C$1,Database!$A$1:$C$1,),)=0,#N/A,VLOOKUP(Table7[[#This Row],[Date]],Database!$A:$C,MATCH($C$1,Database!$A$1:$C$1,),))</f>
        <v/>
      </c>
      <c r="D1006">
        <f>IFERROR(Table7[[#This Row],[United States 10y]]-Table7[[#This Row],[United States 3y]],#N/A)</f>
        <v/>
      </c>
    </row>
    <row r="1007">
      <c r="A1007" s="6">
        <f>Database!$A3092</f>
        <v/>
      </c>
      <c r="B1007">
        <f>IF(VLOOKUP(Table7[[#This Row],[Date]],Database!$A:$C,MATCH($B$1,Database!$A$1:$C$1,),)=0,#N/A,VLOOKUP(Table7[[#This Row],[Date]],Database!$A:$C,MATCH($B$1,Database!$A$1:$C$1,),))</f>
        <v/>
      </c>
      <c r="C1007">
        <f>IF(VLOOKUP(Table7[[#This Row],[Date]],Database!$A:$C,MATCH($C$1,Database!$A$1:$C$1,),)=0,#N/A,VLOOKUP(Table7[[#This Row],[Date]],Database!$A:$C,MATCH($C$1,Database!$A$1:$C$1,),))</f>
        <v/>
      </c>
      <c r="D1007">
        <f>IFERROR(Table7[[#This Row],[United States 10y]]-Table7[[#This Row],[United States 3y]],#N/A)</f>
        <v/>
      </c>
    </row>
    <row r="1008">
      <c r="A1008" s="6">
        <f>Database!$A3093</f>
        <v/>
      </c>
      <c r="B1008">
        <f>IF(VLOOKUP(Table7[[#This Row],[Date]],Database!$A:$C,MATCH($B$1,Database!$A$1:$C$1,),)=0,#N/A,VLOOKUP(Table7[[#This Row],[Date]],Database!$A:$C,MATCH($B$1,Database!$A$1:$C$1,),))</f>
        <v/>
      </c>
      <c r="C1008">
        <f>IF(VLOOKUP(Table7[[#This Row],[Date]],Database!$A:$C,MATCH($C$1,Database!$A$1:$C$1,),)=0,#N/A,VLOOKUP(Table7[[#This Row],[Date]],Database!$A:$C,MATCH($C$1,Database!$A$1:$C$1,),))</f>
        <v/>
      </c>
      <c r="D1008">
        <f>IFERROR(Table7[[#This Row],[United States 10y]]-Table7[[#This Row],[United States 3y]],#N/A)</f>
        <v/>
      </c>
    </row>
    <row r="1009">
      <c r="A1009" s="6">
        <f>Database!$A3094</f>
        <v/>
      </c>
      <c r="B1009">
        <f>IF(VLOOKUP(Table7[[#This Row],[Date]],Database!$A:$C,MATCH($B$1,Database!$A$1:$C$1,),)=0,#N/A,VLOOKUP(Table7[[#This Row],[Date]],Database!$A:$C,MATCH($B$1,Database!$A$1:$C$1,),))</f>
        <v/>
      </c>
      <c r="C1009">
        <f>IF(VLOOKUP(Table7[[#This Row],[Date]],Database!$A:$C,MATCH($C$1,Database!$A$1:$C$1,),)=0,#N/A,VLOOKUP(Table7[[#This Row],[Date]],Database!$A:$C,MATCH($C$1,Database!$A$1:$C$1,),))</f>
        <v/>
      </c>
      <c r="D1009">
        <f>IFERROR(Table7[[#This Row],[United States 10y]]-Table7[[#This Row],[United States 3y]],#N/A)</f>
        <v/>
      </c>
    </row>
    <row r="1010">
      <c r="A1010" s="6">
        <f>Database!$A3095</f>
        <v/>
      </c>
      <c r="B1010">
        <f>IF(VLOOKUP(Table7[[#This Row],[Date]],Database!$A:$C,MATCH($B$1,Database!$A$1:$C$1,),)=0,#N/A,VLOOKUP(Table7[[#This Row],[Date]],Database!$A:$C,MATCH($B$1,Database!$A$1:$C$1,),))</f>
        <v/>
      </c>
      <c r="C1010">
        <f>IF(VLOOKUP(Table7[[#This Row],[Date]],Database!$A:$C,MATCH($C$1,Database!$A$1:$C$1,),)=0,#N/A,VLOOKUP(Table7[[#This Row],[Date]],Database!$A:$C,MATCH($C$1,Database!$A$1:$C$1,),))</f>
        <v/>
      </c>
      <c r="D1010">
        <f>IFERROR(Table7[[#This Row],[United States 10y]]-Table7[[#This Row],[United States 3y]],#N/A)</f>
        <v/>
      </c>
    </row>
    <row r="1011">
      <c r="A1011" s="6">
        <f>Database!$A3096</f>
        <v/>
      </c>
      <c r="B1011">
        <f>IF(VLOOKUP(Table7[[#This Row],[Date]],Database!$A:$C,MATCH($B$1,Database!$A$1:$C$1,),)=0,#N/A,VLOOKUP(Table7[[#This Row],[Date]],Database!$A:$C,MATCH($B$1,Database!$A$1:$C$1,),))</f>
        <v/>
      </c>
      <c r="C1011">
        <f>IF(VLOOKUP(Table7[[#This Row],[Date]],Database!$A:$C,MATCH($C$1,Database!$A$1:$C$1,),)=0,#N/A,VLOOKUP(Table7[[#This Row],[Date]],Database!$A:$C,MATCH($C$1,Database!$A$1:$C$1,),))</f>
        <v/>
      </c>
      <c r="D1011">
        <f>IFERROR(Table7[[#This Row],[United States 10y]]-Table7[[#This Row],[United States 3y]],#N/A)</f>
        <v/>
      </c>
    </row>
    <row r="1012">
      <c r="A1012" s="6">
        <f>Database!$A3097</f>
        <v/>
      </c>
      <c r="B1012">
        <f>IF(VLOOKUP(Table7[[#This Row],[Date]],Database!$A:$C,MATCH($B$1,Database!$A$1:$C$1,),)=0,#N/A,VLOOKUP(Table7[[#This Row],[Date]],Database!$A:$C,MATCH($B$1,Database!$A$1:$C$1,),))</f>
        <v/>
      </c>
      <c r="C1012">
        <f>IF(VLOOKUP(Table7[[#This Row],[Date]],Database!$A:$C,MATCH($C$1,Database!$A$1:$C$1,),)=0,#N/A,VLOOKUP(Table7[[#This Row],[Date]],Database!$A:$C,MATCH($C$1,Database!$A$1:$C$1,),))</f>
        <v/>
      </c>
      <c r="D1012">
        <f>IFERROR(Table7[[#This Row],[United States 10y]]-Table7[[#This Row],[United States 3y]],#N/A)</f>
        <v/>
      </c>
    </row>
    <row r="1013">
      <c r="A1013" s="6">
        <f>Database!$A3098</f>
        <v/>
      </c>
      <c r="B1013">
        <f>IF(VLOOKUP(Table7[[#This Row],[Date]],Database!$A:$C,MATCH($B$1,Database!$A$1:$C$1,),)=0,#N/A,VLOOKUP(Table7[[#This Row],[Date]],Database!$A:$C,MATCH($B$1,Database!$A$1:$C$1,),))</f>
        <v/>
      </c>
      <c r="C1013">
        <f>IF(VLOOKUP(Table7[[#This Row],[Date]],Database!$A:$C,MATCH($C$1,Database!$A$1:$C$1,),)=0,#N/A,VLOOKUP(Table7[[#This Row],[Date]],Database!$A:$C,MATCH($C$1,Database!$A$1:$C$1,),))</f>
        <v/>
      </c>
      <c r="D1013">
        <f>IFERROR(Table7[[#This Row],[United States 10y]]-Table7[[#This Row],[United States 3y]],#N/A)</f>
        <v/>
      </c>
    </row>
    <row r="1014">
      <c r="A1014" s="6">
        <f>Database!$A3099</f>
        <v/>
      </c>
      <c r="B1014">
        <f>IF(VLOOKUP(Table7[[#This Row],[Date]],Database!$A:$C,MATCH($B$1,Database!$A$1:$C$1,),)=0,#N/A,VLOOKUP(Table7[[#This Row],[Date]],Database!$A:$C,MATCH($B$1,Database!$A$1:$C$1,),))</f>
        <v/>
      </c>
      <c r="C1014">
        <f>IF(VLOOKUP(Table7[[#This Row],[Date]],Database!$A:$C,MATCH($C$1,Database!$A$1:$C$1,),)=0,#N/A,VLOOKUP(Table7[[#This Row],[Date]],Database!$A:$C,MATCH($C$1,Database!$A$1:$C$1,),))</f>
        <v/>
      </c>
      <c r="D1014">
        <f>IFERROR(Table7[[#This Row],[United States 10y]]-Table7[[#This Row],[United States 3y]],#N/A)</f>
        <v/>
      </c>
    </row>
    <row r="1015">
      <c r="A1015" s="6">
        <f>Database!$A3100</f>
        <v/>
      </c>
      <c r="B1015">
        <f>IF(VLOOKUP(Table7[[#This Row],[Date]],Database!$A:$C,MATCH($B$1,Database!$A$1:$C$1,),)=0,#N/A,VLOOKUP(Table7[[#This Row],[Date]],Database!$A:$C,MATCH($B$1,Database!$A$1:$C$1,),))</f>
        <v/>
      </c>
      <c r="C1015">
        <f>IF(VLOOKUP(Table7[[#This Row],[Date]],Database!$A:$C,MATCH($C$1,Database!$A$1:$C$1,),)=0,#N/A,VLOOKUP(Table7[[#This Row],[Date]],Database!$A:$C,MATCH($C$1,Database!$A$1:$C$1,),))</f>
        <v/>
      </c>
      <c r="D1015">
        <f>IFERROR(Table7[[#This Row],[United States 10y]]-Table7[[#This Row],[United States 3y]],#N/A)</f>
        <v/>
      </c>
    </row>
    <row r="1016">
      <c r="A1016" s="6">
        <f>Database!$A3101</f>
        <v/>
      </c>
      <c r="B1016">
        <f>IF(VLOOKUP(Table7[[#This Row],[Date]],Database!$A:$C,MATCH($B$1,Database!$A$1:$C$1,),)=0,#N/A,VLOOKUP(Table7[[#This Row],[Date]],Database!$A:$C,MATCH($B$1,Database!$A$1:$C$1,),))</f>
        <v/>
      </c>
      <c r="C1016">
        <f>IF(VLOOKUP(Table7[[#This Row],[Date]],Database!$A:$C,MATCH($C$1,Database!$A$1:$C$1,),)=0,#N/A,VLOOKUP(Table7[[#This Row],[Date]],Database!$A:$C,MATCH($C$1,Database!$A$1:$C$1,),))</f>
        <v/>
      </c>
      <c r="D1016">
        <f>IFERROR(Table7[[#This Row],[United States 10y]]-Table7[[#This Row],[United States 3y]],#N/A)</f>
        <v/>
      </c>
    </row>
    <row r="1017">
      <c r="A1017" s="6">
        <f>Database!$A3102</f>
        <v/>
      </c>
      <c r="B1017">
        <f>IF(VLOOKUP(Table7[[#This Row],[Date]],Database!$A:$C,MATCH($B$1,Database!$A$1:$C$1,),)=0,#N/A,VLOOKUP(Table7[[#This Row],[Date]],Database!$A:$C,MATCH($B$1,Database!$A$1:$C$1,),))</f>
        <v/>
      </c>
      <c r="C1017">
        <f>IF(VLOOKUP(Table7[[#This Row],[Date]],Database!$A:$C,MATCH($C$1,Database!$A$1:$C$1,),)=0,#N/A,VLOOKUP(Table7[[#This Row],[Date]],Database!$A:$C,MATCH($C$1,Database!$A$1:$C$1,),))</f>
        <v/>
      </c>
      <c r="D1017">
        <f>IFERROR(Table7[[#This Row],[United States 10y]]-Table7[[#This Row],[United States 3y]],#N/A)</f>
        <v/>
      </c>
    </row>
    <row r="1018">
      <c r="A1018" s="6">
        <f>Database!$A3103</f>
        <v/>
      </c>
      <c r="B1018">
        <f>IF(VLOOKUP(Table7[[#This Row],[Date]],Database!$A:$C,MATCH($B$1,Database!$A$1:$C$1,),)=0,#N/A,VLOOKUP(Table7[[#This Row],[Date]],Database!$A:$C,MATCH($B$1,Database!$A$1:$C$1,),))</f>
        <v/>
      </c>
      <c r="C1018">
        <f>IF(VLOOKUP(Table7[[#This Row],[Date]],Database!$A:$C,MATCH($C$1,Database!$A$1:$C$1,),)=0,#N/A,VLOOKUP(Table7[[#This Row],[Date]],Database!$A:$C,MATCH($C$1,Database!$A$1:$C$1,),))</f>
        <v/>
      </c>
      <c r="D1018">
        <f>IFERROR(Table7[[#This Row],[United States 10y]]-Table7[[#This Row],[United States 3y]],#N/A)</f>
        <v/>
      </c>
    </row>
    <row r="1019">
      <c r="A1019" s="6">
        <f>Database!$A3104</f>
        <v/>
      </c>
      <c r="B1019">
        <f>IF(VLOOKUP(Table7[[#This Row],[Date]],Database!$A:$C,MATCH($B$1,Database!$A$1:$C$1,),)=0,#N/A,VLOOKUP(Table7[[#This Row],[Date]],Database!$A:$C,MATCH($B$1,Database!$A$1:$C$1,),))</f>
        <v/>
      </c>
      <c r="C1019">
        <f>IF(VLOOKUP(Table7[[#This Row],[Date]],Database!$A:$C,MATCH($C$1,Database!$A$1:$C$1,),)=0,#N/A,VLOOKUP(Table7[[#This Row],[Date]],Database!$A:$C,MATCH($C$1,Database!$A$1:$C$1,),))</f>
        <v/>
      </c>
      <c r="D1019">
        <f>IFERROR(Table7[[#This Row],[United States 10y]]-Table7[[#This Row],[United States 3y]],#N/A)</f>
        <v/>
      </c>
    </row>
    <row r="1020">
      <c r="A1020" s="6">
        <f>Database!$A3105</f>
        <v/>
      </c>
      <c r="B1020">
        <f>IF(VLOOKUP(Table7[[#This Row],[Date]],Database!$A:$C,MATCH($B$1,Database!$A$1:$C$1,),)=0,#N/A,VLOOKUP(Table7[[#This Row],[Date]],Database!$A:$C,MATCH($B$1,Database!$A$1:$C$1,),))</f>
        <v/>
      </c>
      <c r="C1020">
        <f>IF(VLOOKUP(Table7[[#This Row],[Date]],Database!$A:$C,MATCH($C$1,Database!$A$1:$C$1,),)=0,#N/A,VLOOKUP(Table7[[#This Row],[Date]],Database!$A:$C,MATCH($C$1,Database!$A$1:$C$1,),))</f>
        <v/>
      </c>
      <c r="D1020">
        <f>IFERROR(Table7[[#This Row],[United States 10y]]-Table7[[#This Row],[United States 3y]],#N/A)</f>
        <v/>
      </c>
    </row>
    <row r="1021">
      <c r="A1021" s="6">
        <f>Database!$A3106</f>
        <v/>
      </c>
      <c r="B1021">
        <f>IF(VLOOKUP(Table7[[#This Row],[Date]],Database!$A:$C,MATCH($B$1,Database!$A$1:$C$1,),)=0,#N/A,VLOOKUP(Table7[[#This Row],[Date]],Database!$A:$C,MATCH($B$1,Database!$A$1:$C$1,),))</f>
        <v/>
      </c>
      <c r="C1021">
        <f>IF(VLOOKUP(Table7[[#This Row],[Date]],Database!$A:$C,MATCH($C$1,Database!$A$1:$C$1,),)=0,#N/A,VLOOKUP(Table7[[#This Row],[Date]],Database!$A:$C,MATCH($C$1,Database!$A$1:$C$1,),))</f>
        <v/>
      </c>
      <c r="D1021">
        <f>IFERROR(Table7[[#This Row],[United States 10y]]-Table7[[#This Row],[United States 3y]],#N/A)</f>
        <v/>
      </c>
    </row>
    <row r="1022">
      <c r="A1022" s="6">
        <f>Database!$A3107</f>
        <v/>
      </c>
      <c r="B1022">
        <f>IF(VLOOKUP(Table7[[#This Row],[Date]],Database!$A:$C,MATCH($B$1,Database!$A$1:$C$1,),)=0,#N/A,VLOOKUP(Table7[[#This Row],[Date]],Database!$A:$C,MATCH($B$1,Database!$A$1:$C$1,),))</f>
        <v/>
      </c>
      <c r="C1022">
        <f>IF(VLOOKUP(Table7[[#This Row],[Date]],Database!$A:$C,MATCH($C$1,Database!$A$1:$C$1,),)=0,#N/A,VLOOKUP(Table7[[#This Row],[Date]],Database!$A:$C,MATCH($C$1,Database!$A$1:$C$1,),))</f>
        <v/>
      </c>
      <c r="D1022">
        <f>IFERROR(Table7[[#This Row],[United States 10y]]-Table7[[#This Row],[United States 3y]],#N/A)</f>
        <v/>
      </c>
    </row>
    <row r="1023">
      <c r="A1023" s="6">
        <f>Database!$A3108</f>
        <v/>
      </c>
      <c r="B1023">
        <f>IF(VLOOKUP(Table7[[#This Row],[Date]],Database!$A:$C,MATCH($B$1,Database!$A$1:$C$1,),)=0,#N/A,VLOOKUP(Table7[[#This Row],[Date]],Database!$A:$C,MATCH($B$1,Database!$A$1:$C$1,),))</f>
        <v/>
      </c>
      <c r="C1023">
        <f>IF(VLOOKUP(Table7[[#This Row],[Date]],Database!$A:$C,MATCH($C$1,Database!$A$1:$C$1,),)=0,#N/A,VLOOKUP(Table7[[#This Row],[Date]],Database!$A:$C,MATCH($C$1,Database!$A$1:$C$1,),))</f>
        <v/>
      </c>
      <c r="D1023">
        <f>IFERROR(Table7[[#This Row],[United States 10y]]-Table7[[#This Row],[United States 3y]],#N/A)</f>
        <v/>
      </c>
    </row>
    <row r="1024">
      <c r="A1024" s="6">
        <f>Database!$A3109</f>
        <v/>
      </c>
      <c r="B1024">
        <f>IF(VLOOKUP(Table7[[#This Row],[Date]],Database!$A:$C,MATCH($B$1,Database!$A$1:$C$1,),)=0,#N/A,VLOOKUP(Table7[[#This Row],[Date]],Database!$A:$C,MATCH($B$1,Database!$A$1:$C$1,),))</f>
        <v/>
      </c>
      <c r="C1024">
        <f>IF(VLOOKUP(Table7[[#This Row],[Date]],Database!$A:$C,MATCH($C$1,Database!$A$1:$C$1,),)=0,#N/A,VLOOKUP(Table7[[#This Row],[Date]],Database!$A:$C,MATCH($C$1,Database!$A$1:$C$1,),))</f>
        <v/>
      </c>
      <c r="D1024">
        <f>IFERROR(Table7[[#This Row],[United States 10y]]-Table7[[#This Row],[United States 3y]],#N/A)</f>
        <v/>
      </c>
    </row>
    <row r="1025">
      <c r="A1025" s="6">
        <f>Database!$A3110</f>
        <v/>
      </c>
      <c r="B1025">
        <f>IF(VLOOKUP(Table7[[#This Row],[Date]],Database!$A:$C,MATCH($B$1,Database!$A$1:$C$1,),)=0,#N/A,VLOOKUP(Table7[[#This Row],[Date]],Database!$A:$C,MATCH($B$1,Database!$A$1:$C$1,),))</f>
        <v/>
      </c>
      <c r="C1025">
        <f>IF(VLOOKUP(Table7[[#This Row],[Date]],Database!$A:$C,MATCH($C$1,Database!$A$1:$C$1,),)=0,#N/A,VLOOKUP(Table7[[#This Row],[Date]],Database!$A:$C,MATCH($C$1,Database!$A$1:$C$1,),))</f>
        <v/>
      </c>
      <c r="D1025">
        <f>IFERROR(Table7[[#This Row],[United States 10y]]-Table7[[#This Row],[United States 3y]],#N/A)</f>
        <v/>
      </c>
    </row>
    <row r="1026">
      <c r="A1026" s="6">
        <f>Database!$A3111</f>
        <v/>
      </c>
      <c r="B1026">
        <f>IF(VLOOKUP(Table7[[#This Row],[Date]],Database!$A:$C,MATCH($B$1,Database!$A$1:$C$1,),)=0,#N/A,VLOOKUP(Table7[[#This Row],[Date]],Database!$A:$C,MATCH($B$1,Database!$A$1:$C$1,),))</f>
        <v/>
      </c>
      <c r="C1026">
        <f>IF(VLOOKUP(Table7[[#This Row],[Date]],Database!$A:$C,MATCH($C$1,Database!$A$1:$C$1,),)=0,#N/A,VLOOKUP(Table7[[#This Row],[Date]],Database!$A:$C,MATCH($C$1,Database!$A$1:$C$1,),))</f>
        <v/>
      </c>
      <c r="D1026">
        <f>IFERROR(Table7[[#This Row],[United States 10y]]-Table7[[#This Row],[United States 3y]],#N/A)</f>
        <v/>
      </c>
    </row>
    <row r="1027">
      <c r="A1027" s="6">
        <f>Database!$A3112</f>
        <v/>
      </c>
      <c r="B1027">
        <f>IF(VLOOKUP(Table7[[#This Row],[Date]],Database!$A:$C,MATCH($B$1,Database!$A$1:$C$1,),)=0,#N/A,VLOOKUP(Table7[[#This Row],[Date]],Database!$A:$C,MATCH($B$1,Database!$A$1:$C$1,),))</f>
        <v/>
      </c>
      <c r="C1027">
        <f>IF(VLOOKUP(Table7[[#This Row],[Date]],Database!$A:$C,MATCH($C$1,Database!$A$1:$C$1,),)=0,#N/A,VLOOKUP(Table7[[#This Row],[Date]],Database!$A:$C,MATCH($C$1,Database!$A$1:$C$1,),))</f>
        <v/>
      </c>
      <c r="D1027">
        <f>IFERROR(Table7[[#This Row],[United States 10y]]-Table7[[#This Row],[United States 3y]],#N/A)</f>
        <v/>
      </c>
    </row>
    <row r="1028">
      <c r="A1028" s="6">
        <f>Database!$A3113</f>
        <v/>
      </c>
      <c r="B1028">
        <f>IF(VLOOKUP(Table7[[#This Row],[Date]],Database!$A:$C,MATCH($B$1,Database!$A$1:$C$1,),)=0,#N/A,VLOOKUP(Table7[[#This Row],[Date]],Database!$A:$C,MATCH($B$1,Database!$A$1:$C$1,),))</f>
        <v/>
      </c>
      <c r="C1028">
        <f>IF(VLOOKUP(Table7[[#This Row],[Date]],Database!$A:$C,MATCH($C$1,Database!$A$1:$C$1,),)=0,#N/A,VLOOKUP(Table7[[#This Row],[Date]],Database!$A:$C,MATCH($C$1,Database!$A$1:$C$1,),))</f>
        <v/>
      </c>
      <c r="D1028">
        <f>IFERROR(Table7[[#This Row],[United States 10y]]-Table7[[#This Row],[United States 3y]],#N/A)</f>
        <v/>
      </c>
    </row>
    <row r="1029">
      <c r="A1029" s="6">
        <f>Database!$A3114</f>
        <v/>
      </c>
      <c r="B1029">
        <f>IF(VLOOKUP(Table7[[#This Row],[Date]],Database!$A:$C,MATCH($B$1,Database!$A$1:$C$1,),)=0,#N/A,VLOOKUP(Table7[[#This Row],[Date]],Database!$A:$C,MATCH($B$1,Database!$A$1:$C$1,),))</f>
        <v/>
      </c>
      <c r="C1029">
        <f>IF(VLOOKUP(Table7[[#This Row],[Date]],Database!$A:$C,MATCH($C$1,Database!$A$1:$C$1,),)=0,#N/A,VLOOKUP(Table7[[#This Row],[Date]],Database!$A:$C,MATCH($C$1,Database!$A$1:$C$1,),))</f>
        <v/>
      </c>
      <c r="D1029">
        <f>IFERROR(Table7[[#This Row],[United States 10y]]-Table7[[#This Row],[United States 3y]],#N/A)</f>
        <v/>
      </c>
    </row>
    <row r="1030">
      <c r="A1030" s="6">
        <f>Database!$A3115</f>
        <v/>
      </c>
      <c r="B1030">
        <f>IF(VLOOKUP(Table7[[#This Row],[Date]],Database!$A:$C,MATCH($B$1,Database!$A$1:$C$1,),)=0,#N/A,VLOOKUP(Table7[[#This Row],[Date]],Database!$A:$C,MATCH($B$1,Database!$A$1:$C$1,),))</f>
        <v/>
      </c>
      <c r="C1030">
        <f>IF(VLOOKUP(Table7[[#This Row],[Date]],Database!$A:$C,MATCH($C$1,Database!$A$1:$C$1,),)=0,#N/A,VLOOKUP(Table7[[#This Row],[Date]],Database!$A:$C,MATCH($C$1,Database!$A$1:$C$1,),))</f>
        <v/>
      </c>
      <c r="D1030">
        <f>IFERROR(Table7[[#This Row],[United States 10y]]-Table7[[#This Row],[United States 3y]],#N/A)</f>
        <v/>
      </c>
    </row>
    <row r="1031">
      <c r="A1031" s="6">
        <f>Database!$A3116</f>
        <v/>
      </c>
      <c r="B1031">
        <f>IF(VLOOKUP(Table7[[#This Row],[Date]],Database!$A:$C,MATCH($B$1,Database!$A$1:$C$1,),)=0,#N/A,VLOOKUP(Table7[[#This Row],[Date]],Database!$A:$C,MATCH($B$1,Database!$A$1:$C$1,),))</f>
        <v/>
      </c>
      <c r="C1031">
        <f>IF(VLOOKUP(Table7[[#This Row],[Date]],Database!$A:$C,MATCH($C$1,Database!$A$1:$C$1,),)=0,#N/A,VLOOKUP(Table7[[#This Row],[Date]],Database!$A:$C,MATCH($C$1,Database!$A$1:$C$1,),))</f>
        <v/>
      </c>
      <c r="D1031">
        <f>IFERROR(Table7[[#This Row],[United States 10y]]-Table7[[#This Row],[United States 3y]],#N/A)</f>
        <v/>
      </c>
    </row>
    <row r="1032">
      <c r="A1032" s="6">
        <f>Database!$A3117</f>
        <v/>
      </c>
      <c r="B1032">
        <f>IF(VLOOKUP(Table7[[#This Row],[Date]],Database!$A:$C,MATCH($B$1,Database!$A$1:$C$1,),)=0,#N/A,VLOOKUP(Table7[[#This Row],[Date]],Database!$A:$C,MATCH($B$1,Database!$A$1:$C$1,),))</f>
        <v/>
      </c>
      <c r="C1032">
        <f>IF(VLOOKUP(Table7[[#This Row],[Date]],Database!$A:$C,MATCH($C$1,Database!$A$1:$C$1,),)=0,#N/A,VLOOKUP(Table7[[#This Row],[Date]],Database!$A:$C,MATCH($C$1,Database!$A$1:$C$1,),))</f>
        <v/>
      </c>
      <c r="D1032">
        <f>IFERROR(Table7[[#This Row],[United States 10y]]-Table7[[#This Row],[United States 3y]],#N/A)</f>
        <v/>
      </c>
    </row>
    <row r="1033">
      <c r="A1033" s="6">
        <f>Database!$A3118</f>
        <v/>
      </c>
      <c r="B1033">
        <f>IF(VLOOKUP(Table7[[#This Row],[Date]],Database!$A:$C,MATCH($B$1,Database!$A$1:$C$1,),)=0,#N/A,VLOOKUP(Table7[[#This Row],[Date]],Database!$A:$C,MATCH($B$1,Database!$A$1:$C$1,),))</f>
        <v/>
      </c>
      <c r="C1033">
        <f>IF(VLOOKUP(Table7[[#This Row],[Date]],Database!$A:$C,MATCH($C$1,Database!$A$1:$C$1,),)=0,#N/A,VLOOKUP(Table7[[#This Row],[Date]],Database!$A:$C,MATCH($C$1,Database!$A$1:$C$1,),))</f>
        <v/>
      </c>
      <c r="D1033">
        <f>IFERROR(Table7[[#This Row],[United States 10y]]-Table7[[#This Row],[United States 3y]],#N/A)</f>
        <v/>
      </c>
    </row>
    <row r="1034">
      <c r="A1034" s="6">
        <f>Database!$A3119</f>
        <v/>
      </c>
      <c r="B1034">
        <f>IF(VLOOKUP(Table7[[#This Row],[Date]],Database!$A:$C,MATCH($B$1,Database!$A$1:$C$1,),)=0,#N/A,VLOOKUP(Table7[[#This Row],[Date]],Database!$A:$C,MATCH($B$1,Database!$A$1:$C$1,),))</f>
        <v/>
      </c>
      <c r="C1034">
        <f>IF(VLOOKUP(Table7[[#This Row],[Date]],Database!$A:$C,MATCH($C$1,Database!$A$1:$C$1,),)=0,#N/A,VLOOKUP(Table7[[#This Row],[Date]],Database!$A:$C,MATCH($C$1,Database!$A$1:$C$1,),))</f>
        <v/>
      </c>
      <c r="D1034">
        <f>IFERROR(Table7[[#This Row],[United States 10y]]-Table7[[#This Row],[United States 3y]],#N/A)</f>
        <v/>
      </c>
    </row>
    <row r="1035">
      <c r="A1035" s="6">
        <f>Database!$A3120</f>
        <v/>
      </c>
      <c r="B1035">
        <f>IF(VLOOKUP(Table7[[#This Row],[Date]],Database!$A:$C,MATCH($B$1,Database!$A$1:$C$1,),)=0,#N/A,VLOOKUP(Table7[[#This Row],[Date]],Database!$A:$C,MATCH($B$1,Database!$A$1:$C$1,),))</f>
        <v/>
      </c>
      <c r="C1035">
        <f>IF(VLOOKUP(Table7[[#This Row],[Date]],Database!$A:$C,MATCH($C$1,Database!$A$1:$C$1,),)=0,#N/A,VLOOKUP(Table7[[#This Row],[Date]],Database!$A:$C,MATCH($C$1,Database!$A$1:$C$1,),))</f>
        <v/>
      </c>
      <c r="D1035">
        <f>IFERROR(Table7[[#This Row],[United States 10y]]-Table7[[#This Row],[United States 3y]],#N/A)</f>
        <v/>
      </c>
    </row>
    <row r="1036">
      <c r="A1036" s="6">
        <f>Database!$A3121</f>
        <v/>
      </c>
      <c r="B1036">
        <f>IF(VLOOKUP(Table7[[#This Row],[Date]],Database!$A:$C,MATCH($B$1,Database!$A$1:$C$1,),)=0,#N/A,VLOOKUP(Table7[[#This Row],[Date]],Database!$A:$C,MATCH($B$1,Database!$A$1:$C$1,),))</f>
        <v/>
      </c>
      <c r="C1036">
        <f>IF(VLOOKUP(Table7[[#This Row],[Date]],Database!$A:$C,MATCH($C$1,Database!$A$1:$C$1,),)=0,#N/A,VLOOKUP(Table7[[#This Row],[Date]],Database!$A:$C,MATCH($C$1,Database!$A$1:$C$1,),))</f>
        <v/>
      </c>
      <c r="D1036">
        <f>IFERROR(Table7[[#This Row],[United States 10y]]-Table7[[#This Row],[United States 3y]],#N/A)</f>
        <v/>
      </c>
    </row>
    <row r="1037">
      <c r="A1037" s="6">
        <f>Database!$A3122</f>
        <v/>
      </c>
      <c r="B1037">
        <f>IF(VLOOKUP(Table7[[#This Row],[Date]],Database!$A:$C,MATCH($B$1,Database!$A$1:$C$1,),)=0,#N/A,VLOOKUP(Table7[[#This Row],[Date]],Database!$A:$C,MATCH($B$1,Database!$A$1:$C$1,),))</f>
        <v/>
      </c>
      <c r="C1037">
        <f>IF(VLOOKUP(Table7[[#This Row],[Date]],Database!$A:$C,MATCH($C$1,Database!$A$1:$C$1,),)=0,#N/A,VLOOKUP(Table7[[#This Row],[Date]],Database!$A:$C,MATCH($C$1,Database!$A$1:$C$1,),))</f>
        <v/>
      </c>
      <c r="D1037">
        <f>IFERROR(Table7[[#This Row],[United States 10y]]-Table7[[#This Row],[United States 3y]],#N/A)</f>
        <v/>
      </c>
    </row>
    <row r="1038">
      <c r="A1038" s="6">
        <f>Database!$A3123</f>
        <v/>
      </c>
      <c r="B1038">
        <f>IF(VLOOKUP(Table7[[#This Row],[Date]],Database!$A:$C,MATCH($B$1,Database!$A$1:$C$1,),)=0,#N/A,VLOOKUP(Table7[[#This Row],[Date]],Database!$A:$C,MATCH($B$1,Database!$A$1:$C$1,),))</f>
        <v/>
      </c>
      <c r="C1038">
        <f>IF(VLOOKUP(Table7[[#This Row],[Date]],Database!$A:$C,MATCH($C$1,Database!$A$1:$C$1,),)=0,#N/A,VLOOKUP(Table7[[#This Row],[Date]],Database!$A:$C,MATCH($C$1,Database!$A$1:$C$1,),))</f>
        <v/>
      </c>
      <c r="D1038">
        <f>IFERROR(Table7[[#This Row],[United States 10y]]-Table7[[#This Row],[United States 3y]],#N/A)</f>
        <v/>
      </c>
    </row>
    <row r="1039">
      <c r="A1039" s="6">
        <f>Database!$A3124</f>
        <v/>
      </c>
      <c r="B1039">
        <f>IF(VLOOKUP(Table7[[#This Row],[Date]],Database!$A:$C,MATCH($B$1,Database!$A$1:$C$1,),)=0,#N/A,VLOOKUP(Table7[[#This Row],[Date]],Database!$A:$C,MATCH($B$1,Database!$A$1:$C$1,),))</f>
        <v/>
      </c>
      <c r="C1039">
        <f>IF(VLOOKUP(Table7[[#This Row],[Date]],Database!$A:$C,MATCH($C$1,Database!$A$1:$C$1,),)=0,#N/A,VLOOKUP(Table7[[#This Row],[Date]],Database!$A:$C,MATCH($C$1,Database!$A$1:$C$1,),))</f>
        <v/>
      </c>
      <c r="D1039">
        <f>IFERROR(Table7[[#This Row],[United States 10y]]-Table7[[#This Row],[United States 3y]],#N/A)</f>
        <v/>
      </c>
    </row>
    <row r="1040">
      <c r="A1040" s="6">
        <f>Database!$A3125</f>
        <v/>
      </c>
      <c r="B1040">
        <f>IF(VLOOKUP(Table7[[#This Row],[Date]],Database!$A:$C,MATCH($B$1,Database!$A$1:$C$1,),)=0,#N/A,VLOOKUP(Table7[[#This Row],[Date]],Database!$A:$C,MATCH($B$1,Database!$A$1:$C$1,),))</f>
        <v/>
      </c>
      <c r="C1040">
        <f>IF(VLOOKUP(Table7[[#This Row],[Date]],Database!$A:$C,MATCH($C$1,Database!$A$1:$C$1,),)=0,#N/A,VLOOKUP(Table7[[#This Row],[Date]],Database!$A:$C,MATCH($C$1,Database!$A$1:$C$1,),))</f>
        <v/>
      </c>
      <c r="D1040">
        <f>IFERROR(Table7[[#This Row],[United States 10y]]-Table7[[#This Row],[United States 3y]],#N/A)</f>
        <v/>
      </c>
    </row>
    <row r="1041">
      <c r="A1041" s="6">
        <f>Database!$A3126</f>
        <v/>
      </c>
      <c r="B1041">
        <f>IF(VLOOKUP(Table7[[#This Row],[Date]],Database!$A:$C,MATCH($B$1,Database!$A$1:$C$1,),)=0,#N/A,VLOOKUP(Table7[[#This Row],[Date]],Database!$A:$C,MATCH($B$1,Database!$A$1:$C$1,),))</f>
        <v/>
      </c>
      <c r="C1041">
        <f>IF(VLOOKUP(Table7[[#This Row],[Date]],Database!$A:$C,MATCH($C$1,Database!$A$1:$C$1,),)=0,#N/A,VLOOKUP(Table7[[#This Row],[Date]],Database!$A:$C,MATCH($C$1,Database!$A$1:$C$1,),))</f>
        <v/>
      </c>
      <c r="D1041">
        <f>IFERROR(Table7[[#This Row],[United States 10y]]-Table7[[#This Row],[United States 3y]],#N/A)</f>
        <v/>
      </c>
    </row>
    <row r="1042">
      <c r="A1042" s="6">
        <f>Database!$A3127</f>
        <v/>
      </c>
      <c r="B1042">
        <f>IF(VLOOKUP(Table7[[#This Row],[Date]],Database!$A:$C,MATCH($B$1,Database!$A$1:$C$1,),)=0,#N/A,VLOOKUP(Table7[[#This Row],[Date]],Database!$A:$C,MATCH($B$1,Database!$A$1:$C$1,),))</f>
        <v/>
      </c>
      <c r="C1042">
        <f>IF(VLOOKUP(Table7[[#This Row],[Date]],Database!$A:$C,MATCH($C$1,Database!$A$1:$C$1,),)=0,#N/A,VLOOKUP(Table7[[#This Row],[Date]],Database!$A:$C,MATCH($C$1,Database!$A$1:$C$1,),))</f>
        <v/>
      </c>
      <c r="D1042">
        <f>IFERROR(Table7[[#This Row],[United States 10y]]-Table7[[#This Row],[United States 3y]],#N/A)</f>
        <v/>
      </c>
    </row>
    <row r="1043">
      <c r="A1043" s="6">
        <f>Database!$A3128</f>
        <v/>
      </c>
      <c r="B1043">
        <f>IF(VLOOKUP(Table7[[#This Row],[Date]],Database!$A:$C,MATCH($B$1,Database!$A$1:$C$1,),)=0,#N/A,VLOOKUP(Table7[[#This Row],[Date]],Database!$A:$C,MATCH($B$1,Database!$A$1:$C$1,),))</f>
        <v/>
      </c>
      <c r="C1043">
        <f>IF(VLOOKUP(Table7[[#This Row],[Date]],Database!$A:$C,MATCH($C$1,Database!$A$1:$C$1,),)=0,#N/A,VLOOKUP(Table7[[#This Row],[Date]],Database!$A:$C,MATCH($C$1,Database!$A$1:$C$1,),))</f>
        <v/>
      </c>
      <c r="D1043">
        <f>IFERROR(Table7[[#This Row],[United States 10y]]-Table7[[#This Row],[United States 3y]],#N/A)</f>
        <v/>
      </c>
    </row>
    <row r="1044">
      <c r="A1044" s="6">
        <f>Database!$A3129</f>
        <v/>
      </c>
      <c r="B1044">
        <f>IF(VLOOKUP(Table7[[#This Row],[Date]],Database!$A:$C,MATCH($B$1,Database!$A$1:$C$1,),)=0,#N/A,VLOOKUP(Table7[[#This Row],[Date]],Database!$A:$C,MATCH($B$1,Database!$A$1:$C$1,),))</f>
        <v/>
      </c>
      <c r="C1044">
        <f>IF(VLOOKUP(Table7[[#This Row],[Date]],Database!$A:$C,MATCH($C$1,Database!$A$1:$C$1,),)=0,#N/A,VLOOKUP(Table7[[#This Row],[Date]],Database!$A:$C,MATCH($C$1,Database!$A$1:$C$1,),))</f>
        <v/>
      </c>
      <c r="D1044">
        <f>IFERROR(Table7[[#This Row],[United States 10y]]-Table7[[#This Row],[United States 3y]],#N/A)</f>
        <v/>
      </c>
    </row>
    <row r="1045">
      <c r="A1045" s="6">
        <f>Database!$A3130</f>
        <v/>
      </c>
      <c r="B1045">
        <f>IF(VLOOKUP(Table7[[#This Row],[Date]],Database!$A:$C,MATCH($B$1,Database!$A$1:$C$1,),)=0,#N/A,VLOOKUP(Table7[[#This Row],[Date]],Database!$A:$C,MATCH($B$1,Database!$A$1:$C$1,),))</f>
        <v/>
      </c>
      <c r="C1045">
        <f>IF(VLOOKUP(Table7[[#This Row],[Date]],Database!$A:$C,MATCH($C$1,Database!$A$1:$C$1,),)=0,#N/A,VLOOKUP(Table7[[#This Row],[Date]],Database!$A:$C,MATCH($C$1,Database!$A$1:$C$1,),))</f>
        <v/>
      </c>
      <c r="D1045">
        <f>IFERROR(Table7[[#This Row],[United States 10y]]-Table7[[#This Row],[United States 3y]],#N/A)</f>
        <v/>
      </c>
    </row>
    <row r="1046">
      <c r="A1046" s="6">
        <f>Database!$A3131</f>
        <v/>
      </c>
      <c r="B1046">
        <f>IF(VLOOKUP(Table7[[#This Row],[Date]],Database!$A:$C,MATCH($B$1,Database!$A$1:$C$1,),)=0,#N/A,VLOOKUP(Table7[[#This Row],[Date]],Database!$A:$C,MATCH($B$1,Database!$A$1:$C$1,),))</f>
        <v/>
      </c>
      <c r="C1046">
        <f>IF(VLOOKUP(Table7[[#This Row],[Date]],Database!$A:$C,MATCH($C$1,Database!$A$1:$C$1,),)=0,#N/A,VLOOKUP(Table7[[#This Row],[Date]],Database!$A:$C,MATCH($C$1,Database!$A$1:$C$1,),))</f>
        <v/>
      </c>
      <c r="D1046">
        <f>IFERROR(Table7[[#This Row],[United States 10y]]-Table7[[#This Row],[United States 3y]],#N/A)</f>
        <v/>
      </c>
    </row>
    <row r="1047">
      <c r="A1047" s="6">
        <f>Database!$A3132</f>
        <v/>
      </c>
      <c r="B1047">
        <f>IF(VLOOKUP(Table7[[#This Row],[Date]],Database!$A:$C,MATCH($B$1,Database!$A$1:$C$1,),)=0,#N/A,VLOOKUP(Table7[[#This Row],[Date]],Database!$A:$C,MATCH($B$1,Database!$A$1:$C$1,),))</f>
        <v/>
      </c>
      <c r="C1047">
        <f>IF(VLOOKUP(Table7[[#This Row],[Date]],Database!$A:$C,MATCH($C$1,Database!$A$1:$C$1,),)=0,#N/A,VLOOKUP(Table7[[#This Row],[Date]],Database!$A:$C,MATCH($C$1,Database!$A$1:$C$1,),))</f>
        <v/>
      </c>
      <c r="D1047">
        <f>IFERROR(Table7[[#This Row],[United States 10y]]-Table7[[#This Row],[United States 3y]],#N/A)</f>
        <v/>
      </c>
    </row>
    <row r="1048">
      <c r="A1048" s="6">
        <f>Database!$A3133</f>
        <v/>
      </c>
      <c r="B1048">
        <f>IF(VLOOKUP(Table7[[#This Row],[Date]],Database!$A:$C,MATCH($B$1,Database!$A$1:$C$1,),)=0,#N/A,VLOOKUP(Table7[[#This Row],[Date]],Database!$A:$C,MATCH($B$1,Database!$A$1:$C$1,),))</f>
        <v/>
      </c>
      <c r="C1048">
        <f>IF(VLOOKUP(Table7[[#This Row],[Date]],Database!$A:$C,MATCH($C$1,Database!$A$1:$C$1,),)=0,#N/A,VLOOKUP(Table7[[#This Row],[Date]],Database!$A:$C,MATCH($C$1,Database!$A$1:$C$1,),))</f>
        <v/>
      </c>
      <c r="D1048">
        <f>IFERROR(Table7[[#This Row],[United States 10y]]-Table7[[#This Row],[United States 3y]],#N/A)</f>
        <v/>
      </c>
    </row>
    <row r="1049">
      <c r="A1049" s="6">
        <f>Database!$A3134</f>
        <v/>
      </c>
      <c r="B1049">
        <f>IF(VLOOKUP(Table7[[#This Row],[Date]],Database!$A:$C,MATCH($B$1,Database!$A$1:$C$1,),)=0,#N/A,VLOOKUP(Table7[[#This Row],[Date]],Database!$A:$C,MATCH($B$1,Database!$A$1:$C$1,),))</f>
        <v/>
      </c>
      <c r="C1049">
        <f>IF(VLOOKUP(Table7[[#This Row],[Date]],Database!$A:$C,MATCH($C$1,Database!$A$1:$C$1,),)=0,#N/A,VLOOKUP(Table7[[#This Row],[Date]],Database!$A:$C,MATCH($C$1,Database!$A$1:$C$1,),))</f>
        <v/>
      </c>
      <c r="D1049">
        <f>IFERROR(Table7[[#This Row],[United States 10y]]-Table7[[#This Row],[United States 3y]],#N/A)</f>
        <v/>
      </c>
    </row>
    <row r="1050">
      <c r="A1050" s="6">
        <f>Database!$A3135</f>
        <v/>
      </c>
      <c r="B1050">
        <f>IF(VLOOKUP(Table7[[#This Row],[Date]],Database!$A:$C,MATCH($B$1,Database!$A$1:$C$1,),)=0,#N/A,VLOOKUP(Table7[[#This Row],[Date]],Database!$A:$C,MATCH($B$1,Database!$A$1:$C$1,),))</f>
        <v/>
      </c>
      <c r="C1050">
        <f>IF(VLOOKUP(Table7[[#This Row],[Date]],Database!$A:$C,MATCH($C$1,Database!$A$1:$C$1,),)=0,#N/A,VLOOKUP(Table7[[#This Row],[Date]],Database!$A:$C,MATCH($C$1,Database!$A$1:$C$1,),))</f>
        <v/>
      </c>
      <c r="D1050">
        <f>IFERROR(Table7[[#This Row],[United States 10y]]-Table7[[#This Row],[United States 3y]],#N/A)</f>
        <v/>
      </c>
    </row>
    <row r="1051">
      <c r="A1051" s="6">
        <f>Database!$A3136</f>
        <v/>
      </c>
      <c r="B1051">
        <f>IF(VLOOKUP(Table7[[#This Row],[Date]],Database!$A:$C,MATCH($B$1,Database!$A$1:$C$1,),)=0,#N/A,VLOOKUP(Table7[[#This Row],[Date]],Database!$A:$C,MATCH($B$1,Database!$A$1:$C$1,),))</f>
        <v/>
      </c>
      <c r="C1051">
        <f>IF(VLOOKUP(Table7[[#This Row],[Date]],Database!$A:$C,MATCH($C$1,Database!$A$1:$C$1,),)=0,#N/A,VLOOKUP(Table7[[#This Row],[Date]],Database!$A:$C,MATCH($C$1,Database!$A$1:$C$1,),))</f>
        <v/>
      </c>
      <c r="D1051">
        <f>IFERROR(Table7[[#This Row],[United States 10y]]-Table7[[#This Row],[United States 3y]],#N/A)</f>
        <v/>
      </c>
    </row>
    <row r="1052">
      <c r="A1052" s="6">
        <f>Database!$A3137</f>
        <v/>
      </c>
      <c r="B1052">
        <f>IF(VLOOKUP(Table7[[#This Row],[Date]],Database!$A:$C,MATCH($B$1,Database!$A$1:$C$1,),)=0,#N/A,VLOOKUP(Table7[[#This Row],[Date]],Database!$A:$C,MATCH($B$1,Database!$A$1:$C$1,),))</f>
        <v/>
      </c>
      <c r="C1052">
        <f>IF(VLOOKUP(Table7[[#This Row],[Date]],Database!$A:$C,MATCH($C$1,Database!$A$1:$C$1,),)=0,#N/A,VLOOKUP(Table7[[#This Row],[Date]],Database!$A:$C,MATCH($C$1,Database!$A$1:$C$1,),))</f>
        <v/>
      </c>
      <c r="D1052">
        <f>IFERROR(Table7[[#This Row],[United States 10y]]-Table7[[#This Row],[United States 3y]],#N/A)</f>
        <v/>
      </c>
    </row>
    <row r="1053">
      <c r="A1053" s="6">
        <f>Database!$A3138</f>
        <v/>
      </c>
      <c r="B1053">
        <f>IF(VLOOKUP(Table7[[#This Row],[Date]],Database!$A:$C,MATCH($B$1,Database!$A$1:$C$1,),)=0,#N/A,VLOOKUP(Table7[[#This Row],[Date]],Database!$A:$C,MATCH($B$1,Database!$A$1:$C$1,),))</f>
        <v/>
      </c>
      <c r="C1053">
        <f>IF(VLOOKUP(Table7[[#This Row],[Date]],Database!$A:$C,MATCH($C$1,Database!$A$1:$C$1,),)=0,#N/A,VLOOKUP(Table7[[#This Row],[Date]],Database!$A:$C,MATCH($C$1,Database!$A$1:$C$1,),))</f>
        <v/>
      </c>
      <c r="D1053">
        <f>IFERROR(Table7[[#This Row],[United States 10y]]-Table7[[#This Row],[United States 3y]],#N/A)</f>
        <v/>
      </c>
    </row>
    <row r="1054">
      <c r="A1054" s="6">
        <f>Database!$A3139</f>
        <v/>
      </c>
      <c r="B1054">
        <f>IF(VLOOKUP(Table7[[#This Row],[Date]],Database!$A:$C,MATCH($B$1,Database!$A$1:$C$1,),)=0,#N/A,VLOOKUP(Table7[[#This Row],[Date]],Database!$A:$C,MATCH($B$1,Database!$A$1:$C$1,),))</f>
        <v/>
      </c>
      <c r="C1054">
        <f>IF(VLOOKUP(Table7[[#This Row],[Date]],Database!$A:$C,MATCH($C$1,Database!$A$1:$C$1,),)=0,#N/A,VLOOKUP(Table7[[#This Row],[Date]],Database!$A:$C,MATCH($C$1,Database!$A$1:$C$1,),))</f>
        <v/>
      </c>
      <c r="D1054">
        <f>IFERROR(Table7[[#This Row],[United States 10y]]-Table7[[#This Row],[United States 3y]],#N/A)</f>
        <v/>
      </c>
    </row>
    <row r="1055">
      <c r="A1055" s="6">
        <f>Database!$A3140</f>
        <v/>
      </c>
      <c r="B1055">
        <f>IF(VLOOKUP(Table7[[#This Row],[Date]],Database!$A:$C,MATCH($B$1,Database!$A$1:$C$1,),)=0,#N/A,VLOOKUP(Table7[[#This Row],[Date]],Database!$A:$C,MATCH($B$1,Database!$A$1:$C$1,),))</f>
        <v/>
      </c>
      <c r="C1055">
        <f>IF(VLOOKUP(Table7[[#This Row],[Date]],Database!$A:$C,MATCH($C$1,Database!$A$1:$C$1,),)=0,#N/A,VLOOKUP(Table7[[#This Row],[Date]],Database!$A:$C,MATCH($C$1,Database!$A$1:$C$1,),))</f>
        <v/>
      </c>
      <c r="D1055">
        <f>IFERROR(Table7[[#This Row],[United States 10y]]-Table7[[#This Row],[United States 3y]],#N/A)</f>
        <v/>
      </c>
    </row>
    <row r="1056">
      <c r="A1056" s="6">
        <f>Database!$A3141</f>
        <v/>
      </c>
      <c r="B1056">
        <f>IF(VLOOKUP(Table7[[#This Row],[Date]],Database!$A:$C,MATCH($B$1,Database!$A$1:$C$1,),)=0,#N/A,VLOOKUP(Table7[[#This Row],[Date]],Database!$A:$C,MATCH($B$1,Database!$A$1:$C$1,),))</f>
        <v/>
      </c>
      <c r="C1056">
        <f>IF(VLOOKUP(Table7[[#This Row],[Date]],Database!$A:$C,MATCH($C$1,Database!$A$1:$C$1,),)=0,#N/A,VLOOKUP(Table7[[#This Row],[Date]],Database!$A:$C,MATCH($C$1,Database!$A$1:$C$1,),))</f>
        <v/>
      </c>
      <c r="D1056">
        <f>IFERROR(Table7[[#This Row],[United States 10y]]-Table7[[#This Row],[United States 3y]],#N/A)</f>
        <v/>
      </c>
    </row>
    <row r="1057">
      <c r="A1057" s="6">
        <f>Database!$A3142</f>
        <v/>
      </c>
      <c r="B1057">
        <f>IF(VLOOKUP(Table7[[#This Row],[Date]],Database!$A:$C,MATCH($B$1,Database!$A$1:$C$1,),)=0,#N/A,VLOOKUP(Table7[[#This Row],[Date]],Database!$A:$C,MATCH($B$1,Database!$A$1:$C$1,),))</f>
        <v/>
      </c>
      <c r="C1057">
        <f>IF(VLOOKUP(Table7[[#This Row],[Date]],Database!$A:$C,MATCH($C$1,Database!$A$1:$C$1,),)=0,#N/A,VLOOKUP(Table7[[#This Row],[Date]],Database!$A:$C,MATCH($C$1,Database!$A$1:$C$1,),))</f>
        <v/>
      </c>
      <c r="D1057">
        <f>IFERROR(Table7[[#This Row],[United States 10y]]-Table7[[#This Row],[United States 3y]],#N/A)</f>
        <v/>
      </c>
    </row>
    <row r="1058">
      <c r="A1058" s="6">
        <f>Database!$A3143</f>
        <v/>
      </c>
      <c r="B1058">
        <f>IF(VLOOKUP(Table7[[#This Row],[Date]],Database!$A:$C,MATCH($B$1,Database!$A$1:$C$1,),)=0,#N/A,VLOOKUP(Table7[[#This Row],[Date]],Database!$A:$C,MATCH($B$1,Database!$A$1:$C$1,),))</f>
        <v/>
      </c>
      <c r="C1058">
        <f>IF(VLOOKUP(Table7[[#This Row],[Date]],Database!$A:$C,MATCH($C$1,Database!$A$1:$C$1,),)=0,#N/A,VLOOKUP(Table7[[#This Row],[Date]],Database!$A:$C,MATCH($C$1,Database!$A$1:$C$1,),))</f>
        <v/>
      </c>
      <c r="D1058">
        <f>IFERROR(Table7[[#This Row],[United States 10y]]-Table7[[#This Row],[United States 3y]],#N/A)</f>
        <v/>
      </c>
    </row>
    <row r="1059">
      <c r="A1059" s="6">
        <f>Database!$A3144</f>
        <v/>
      </c>
      <c r="B1059">
        <f>IF(VLOOKUP(Table7[[#This Row],[Date]],Database!$A:$C,MATCH($B$1,Database!$A$1:$C$1,),)=0,#N/A,VLOOKUP(Table7[[#This Row],[Date]],Database!$A:$C,MATCH($B$1,Database!$A$1:$C$1,),))</f>
        <v/>
      </c>
      <c r="C1059">
        <f>IF(VLOOKUP(Table7[[#This Row],[Date]],Database!$A:$C,MATCH($C$1,Database!$A$1:$C$1,),)=0,#N/A,VLOOKUP(Table7[[#This Row],[Date]],Database!$A:$C,MATCH($C$1,Database!$A$1:$C$1,),))</f>
        <v/>
      </c>
      <c r="D1059">
        <f>IFERROR(Table7[[#This Row],[United States 10y]]-Table7[[#This Row],[United States 3y]],#N/A)</f>
        <v/>
      </c>
    </row>
    <row r="1060">
      <c r="A1060" s="6">
        <f>Database!$A3145</f>
        <v/>
      </c>
      <c r="B1060">
        <f>IF(VLOOKUP(Table7[[#This Row],[Date]],Database!$A:$C,MATCH($B$1,Database!$A$1:$C$1,),)=0,#N/A,VLOOKUP(Table7[[#This Row],[Date]],Database!$A:$C,MATCH($B$1,Database!$A$1:$C$1,),))</f>
        <v/>
      </c>
      <c r="C1060">
        <f>IF(VLOOKUP(Table7[[#This Row],[Date]],Database!$A:$C,MATCH($C$1,Database!$A$1:$C$1,),)=0,#N/A,VLOOKUP(Table7[[#This Row],[Date]],Database!$A:$C,MATCH($C$1,Database!$A$1:$C$1,),))</f>
        <v/>
      </c>
      <c r="D1060">
        <f>IFERROR(Table7[[#This Row],[United States 10y]]-Table7[[#This Row],[United States 3y]],#N/A)</f>
        <v/>
      </c>
    </row>
    <row r="1061">
      <c r="A1061" s="6">
        <f>Database!$A3146</f>
        <v/>
      </c>
      <c r="B1061">
        <f>IF(VLOOKUP(Table7[[#This Row],[Date]],Database!$A:$C,MATCH($B$1,Database!$A$1:$C$1,),)=0,#N/A,VLOOKUP(Table7[[#This Row],[Date]],Database!$A:$C,MATCH($B$1,Database!$A$1:$C$1,),))</f>
        <v/>
      </c>
      <c r="C1061">
        <f>IF(VLOOKUP(Table7[[#This Row],[Date]],Database!$A:$C,MATCH($C$1,Database!$A$1:$C$1,),)=0,#N/A,VLOOKUP(Table7[[#This Row],[Date]],Database!$A:$C,MATCH($C$1,Database!$A$1:$C$1,),))</f>
        <v/>
      </c>
      <c r="D1061">
        <f>IFERROR(Table7[[#This Row],[United States 10y]]-Table7[[#This Row],[United States 3y]],#N/A)</f>
        <v/>
      </c>
    </row>
    <row r="1062">
      <c r="A1062" s="6">
        <f>Database!$A3147</f>
        <v/>
      </c>
      <c r="B1062">
        <f>IF(VLOOKUP(Table7[[#This Row],[Date]],Database!$A:$C,MATCH($B$1,Database!$A$1:$C$1,),)=0,#N/A,VLOOKUP(Table7[[#This Row],[Date]],Database!$A:$C,MATCH($B$1,Database!$A$1:$C$1,),))</f>
        <v/>
      </c>
      <c r="C1062">
        <f>IF(VLOOKUP(Table7[[#This Row],[Date]],Database!$A:$C,MATCH($C$1,Database!$A$1:$C$1,),)=0,#N/A,VLOOKUP(Table7[[#This Row],[Date]],Database!$A:$C,MATCH($C$1,Database!$A$1:$C$1,),))</f>
        <v/>
      </c>
      <c r="D1062">
        <f>IFERROR(Table7[[#This Row],[United States 10y]]-Table7[[#This Row],[United States 3y]],#N/A)</f>
        <v/>
      </c>
    </row>
    <row r="1063">
      <c r="A1063" s="6">
        <f>Database!$A3148</f>
        <v/>
      </c>
      <c r="B1063">
        <f>IF(VLOOKUP(Table7[[#This Row],[Date]],Database!$A:$C,MATCH($B$1,Database!$A$1:$C$1,),)=0,#N/A,VLOOKUP(Table7[[#This Row],[Date]],Database!$A:$C,MATCH($B$1,Database!$A$1:$C$1,),))</f>
        <v/>
      </c>
      <c r="C1063">
        <f>IF(VLOOKUP(Table7[[#This Row],[Date]],Database!$A:$C,MATCH($C$1,Database!$A$1:$C$1,),)=0,#N/A,VLOOKUP(Table7[[#This Row],[Date]],Database!$A:$C,MATCH($C$1,Database!$A$1:$C$1,),))</f>
        <v/>
      </c>
      <c r="D1063">
        <f>IFERROR(Table7[[#This Row],[United States 10y]]-Table7[[#This Row],[United States 3y]],#N/A)</f>
        <v/>
      </c>
    </row>
    <row r="1064">
      <c r="A1064" s="6">
        <f>Database!$A3149</f>
        <v/>
      </c>
      <c r="B1064">
        <f>IF(VLOOKUP(Table7[[#This Row],[Date]],Database!$A:$C,MATCH($B$1,Database!$A$1:$C$1,),)=0,#N/A,VLOOKUP(Table7[[#This Row],[Date]],Database!$A:$C,MATCH($B$1,Database!$A$1:$C$1,),))</f>
        <v/>
      </c>
      <c r="C1064">
        <f>IF(VLOOKUP(Table7[[#This Row],[Date]],Database!$A:$C,MATCH($C$1,Database!$A$1:$C$1,),)=0,#N/A,VLOOKUP(Table7[[#This Row],[Date]],Database!$A:$C,MATCH($C$1,Database!$A$1:$C$1,),))</f>
        <v/>
      </c>
      <c r="D1064">
        <f>IFERROR(Table7[[#This Row],[United States 10y]]-Table7[[#This Row],[United States 3y]],#N/A)</f>
        <v/>
      </c>
    </row>
    <row r="1065">
      <c r="A1065" s="6">
        <f>Database!$A3150</f>
        <v/>
      </c>
      <c r="B1065">
        <f>IF(VLOOKUP(Table7[[#This Row],[Date]],Database!$A:$C,MATCH($B$1,Database!$A$1:$C$1,),)=0,#N/A,VLOOKUP(Table7[[#This Row],[Date]],Database!$A:$C,MATCH($B$1,Database!$A$1:$C$1,),))</f>
        <v/>
      </c>
      <c r="C1065">
        <f>IF(VLOOKUP(Table7[[#This Row],[Date]],Database!$A:$C,MATCH($C$1,Database!$A$1:$C$1,),)=0,#N/A,VLOOKUP(Table7[[#This Row],[Date]],Database!$A:$C,MATCH($C$1,Database!$A$1:$C$1,),))</f>
        <v/>
      </c>
      <c r="D1065">
        <f>IFERROR(Table7[[#This Row],[United States 10y]]-Table7[[#This Row],[United States 3y]],#N/A)</f>
        <v/>
      </c>
    </row>
    <row r="1066">
      <c r="A1066" s="6">
        <f>Database!$A3151</f>
        <v/>
      </c>
      <c r="B1066">
        <f>IF(VLOOKUP(Table7[[#This Row],[Date]],Database!$A:$C,MATCH($B$1,Database!$A$1:$C$1,),)=0,#N/A,VLOOKUP(Table7[[#This Row],[Date]],Database!$A:$C,MATCH($B$1,Database!$A$1:$C$1,),))</f>
        <v/>
      </c>
      <c r="C1066">
        <f>IF(VLOOKUP(Table7[[#This Row],[Date]],Database!$A:$C,MATCH($C$1,Database!$A$1:$C$1,),)=0,#N/A,VLOOKUP(Table7[[#This Row],[Date]],Database!$A:$C,MATCH($C$1,Database!$A$1:$C$1,),))</f>
        <v/>
      </c>
      <c r="D1066">
        <f>IFERROR(Table7[[#This Row],[United States 10y]]-Table7[[#This Row],[United States 3y]],#N/A)</f>
        <v/>
      </c>
    </row>
    <row r="1067">
      <c r="A1067" s="6">
        <f>Database!$A3152</f>
        <v/>
      </c>
      <c r="B1067">
        <f>IF(VLOOKUP(Table7[[#This Row],[Date]],Database!$A:$C,MATCH($B$1,Database!$A$1:$C$1,),)=0,#N/A,VLOOKUP(Table7[[#This Row],[Date]],Database!$A:$C,MATCH($B$1,Database!$A$1:$C$1,),))</f>
        <v/>
      </c>
      <c r="C1067">
        <f>IF(VLOOKUP(Table7[[#This Row],[Date]],Database!$A:$C,MATCH($C$1,Database!$A$1:$C$1,),)=0,#N/A,VLOOKUP(Table7[[#This Row],[Date]],Database!$A:$C,MATCH($C$1,Database!$A$1:$C$1,),))</f>
        <v/>
      </c>
      <c r="D1067">
        <f>IFERROR(Table7[[#This Row],[United States 10y]]-Table7[[#This Row],[United States 3y]],#N/A)</f>
        <v/>
      </c>
    </row>
    <row r="1068">
      <c r="A1068" s="6">
        <f>Database!$A3153</f>
        <v/>
      </c>
      <c r="B1068">
        <f>IF(VLOOKUP(Table7[[#This Row],[Date]],Database!$A:$C,MATCH($B$1,Database!$A$1:$C$1,),)=0,#N/A,VLOOKUP(Table7[[#This Row],[Date]],Database!$A:$C,MATCH($B$1,Database!$A$1:$C$1,),))</f>
        <v/>
      </c>
      <c r="C1068">
        <f>IF(VLOOKUP(Table7[[#This Row],[Date]],Database!$A:$C,MATCH($C$1,Database!$A$1:$C$1,),)=0,#N/A,VLOOKUP(Table7[[#This Row],[Date]],Database!$A:$C,MATCH($C$1,Database!$A$1:$C$1,),))</f>
        <v/>
      </c>
      <c r="D1068">
        <f>IFERROR(Table7[[#This Row],[United States 10y]]-Table7[[#This Row],[United States 3y]],#N/A)</f>
        <v/>
      </c>
    </row>
    <row r="1069">
      <c r="A1069" s="6">
        <f>Database!$A3154</f>
        <v/>
      </c>
      <c r="B1069">
        <f>IF(VLOOKUP(Table7[[#This Row],[Date]],Database!$A:$C,MATCH($B$1,Database!$A$1:$C$1,),)=0,#N/A,VLOOKUP(Table7[[#This Row],[Date]],Database!$A:$C,MATCH($B$1,Database!$A$1:$C$1,),))</f>
        <v/>
      </c>
      <c r="C1069">
        <f>IF(VLOOKUP(Table7[[#This Row],[Date]],Database!$A:$C,MATCH($C$1,Database!$A$1:$C$1,),)=0,#N/A,VLOOKUP(Table7[[#This Row],[Date]],Database!$A:$C,MATCH($C$1,Database!$A$1:$C$1,),))</f>
        <v/>
      </c>
      <c r="D1069">
        <f>IFERROR(Table7[[#This Row],[United States 10y]]-Table7[[#This Row],[United States 3y]],#N/A)</f>
        <v/>
      </c>
    </row>
    <row r="1070">
      <c r="A1070" s="6">
        <f>Database!$A3155</f>
        <v/>
      </c>
      <c r="B1070">
        <f>IF(VLOOKUP(Table7[[#This Row],[Date]],Database!$A:$C,MATCH($B$1,Database!$A$1:$C$1,),)=0,#N/A,VLOOKUP(Table7[[#This Row],[Date]],Database!$A:$C,MATCH($B$1,Database!$A$1:$C$1,),))</f>
        <v/>
      </c>
      <c r="C1070">
        <f>IF(VLOOKUP(Table7[[#This Row],[Date]],Database!$A:$C,MATCH($C$1,Database!$A$1:$C$1,),)=0,#N/A,VLOOKUP(Table7[[#This Row],[Date]],Database!$A:$C,MATCH($C$1,Database!$A$1:$C$1,),))</f>
        <v/>
      </c>
      <c r="D1070">
        <f>IFERROR(Table7[[#This Row],[United States 10y]]-Table7[[#This Row],[United States 3y]],#N/A)</f>
        <v/>
      </c>
    </row>
    <row r="1071">
      <c r="A1071" s="6">
        <f>Database!$A3156</f>
        <v/>
      </c>
      <c r="B1071">
        <f>IF(VLOOKUP(Table7[[#This Row],[Date]],Database!$A:$C,MATCH($B$1,Database!$A$1:$C$1,),)=0,#N/A,VLOOKUP(Table7[[#This Row],[Date]],Database!$A:$C,MATCH($B$1,Database!$A$1:$C$1,),))</f>
        <v/>
      </c>
      <c r="C1071">
        <f>IF(VLOOKUP(Table7[[#This Row],[Date]],Database!$A:$C,MATCH($C$1,Database!$A$1:$C$1,),)=0,#N/A,VLOOKUP(Table7[[#This Row],[Date]],Database!$A:$C,MATCH($C$1,Database!$A$1:$C$1,),))</f>
        <v/>
      </c>
      <c r="D1071">
        <f>IFERROR(Table7[[#This Row],[United States 10y]]-Table7[[#This Row],[United States 3y]],#N/A)</f>
        <v/>
      </c>
    </row>
    <row r="1072">
      <c r="A1072" s="6">
        <f>Database!$A3157</f>
        <v/>
      </c>
      <c r="B1072">
        <f>IF(VLOOKUP(Table7[[#This Row],[Date]],Database!$A:$C,MATCH($B$1,Database!$A$1:$C$1,),)=0,#N/A,VLOOKUP(Table7[[#This Row],[Date]],Database!$A:$C,MATCH($B$1,Database!$A$1:$C$1,),))</f>
        <v/>
      </c>
      <c r="C1072">
        <f>IF(VLOOKUP(Table7[[#This Row],[Date]],Database!$A:$C,MATCH($C$1,Database!$A$1:$C$1,),)=0,#N/A,VLOOKUP(Table7[[#This Row],[Date]],Database!$A:$C,MATCH($C$1,Database!$A$1:$C$1,),))</f>
        <v/>
      </c>
      <c r="D1072">
        <f>IFERROR(Table7[[#This Row],[United States 10y]]-Table7[[#This Row],[United States 3y]],#N/A)</f>
        <v/>
      </c>
    </row>
    <row r="1073">
      <c r="A1073" s="6">
        <f>Database!$A3158</f>
        <v/>
      </c>
      <c r="B1073">
        <f>IF(VLOOKUP(Table7[[#This Row],[Date]],Database!$A:$C,MATCH($B$1,Database!$A$1:$C$1,),)=0,#N/A,VLOOKUP(Table7[[#This Row],[Date]],Database!$A:$C,MATCH($B$1,Database!$A$1:$C$1,),))</f>
        <v/>
      </c>
      <c r="C1073">
        <f>IF(VLOOKUP(Table7[[#This Row],[Date]],Database!$A:$C,MATCH($C$1,Database!$A$1:$C$1,),)=0,#N/A,VLOOKUP(Table7[[#This Row],[Date]],Database!$A:$C,MATCH($C$1,Database!$A$1:$C$1,),))</f>
        <v/>
      </c>
      <c r="D1073">
        <f>IFERROR(Table7[[#This Row],[United States 10y]]-Table7[[#This Row],[United States 3y]],#N/A)</f>
        <v/>
      </c>
    </row>
    <row r="1074">
      <c r="A1074" s="6">
        <f>Database!$A3159</f>
        <v/>
      </c>
      <c r="B1074">
        <f>IF(VLOOKUP(Table7[[#This Row],[Date]],Database!$A:$C,MATCH($B$1,Database!$A$1:$C$1,),)=0,#N/A,VLOOKUP(Table7[[#This Row],[Date]],Database!$A:$C,MATCH($B$1,Database!$A$1:$C$1,),))</f>
        <v/>
      </c>
      <c r="C1074">
        <f>IF(VLOOKUP(Table7[[#This Row],[Date]],Database!$A:$C,MATCH($C$1,Database!$A$1:$C$1,),)=0,#N/A,VLOOKUP(Table7[[#This Row],[Date]],Database!$A:$C,MATCH($C$1,Database!$A$1:$C$1,),))</f>
        <v/>
      </c>
      <c r="D1074">
        <f>IFERROR(Table7[[#This Row],[United States 10y]]-Table7[[#This Row],[United States 3y]],#N/A)</f>
        <v/>
      </c>
    </row>
    <row r="1075">
      <c r="A1075" s="6">
        <f>Database!$A3160</f>
        <v/>
      </c>
      <c r="B1075">
        <f>IF(VLOOKUP(Table7[[#This Row],[Date]],Database!$A:$C,MATCH($B$1,Database!$A$1:$C$1,),)=0,#N/A,VLOOKUP(Table7[[#This Row],[Date]],Database!$A:$C,MATCH($B$1,Database!$A$1:$C$1,),))</f>
        <v/>
      </c>
      <c r="C1075">
        <f>IF(VLOOKUP(Table7[[#This Row],[Date]],Database!$A:$C,MATCH($C$1,Database!$A$1:$C$1,),)=0,#N/A,VLOOKUP(Table7[[#This Row],[Date]],Database!$A:$C,MATCH($C$1,Database!$A$1:$C$1,),))</f>
        <v/>
      </c>
      <c r="D1075">
        <f>IFERROR(Table7[[#This Row],[United States 10y]]-Table7[[#This Row],[United States 3y]],#N/A)</f>
        <v/>
      </c>
    </row>
    <row r="1076">
      <c r="A1076" s="6">
        <f>Database!$A3161</f>
        <v/>
      </c>
      <c r="B1076">
        <f>IF(VLOOKUP(Table7[[#This Row],[Date]],Database!$A:$C,MATCH($B$1,Database!$A$1:$C$1,),)=0,#N/A,VLOOKUP(Table7[[#This Row],[Date]],Database!$A:$C,MATCH($B$1,Database!$A$1:$C$1,),))</f>
        <v/>
      </c>
      <c r="C1076">
        <f>IF(VLOOKUP(Table7[[#This Row],[Date]],Database!$A:$C,MATCH($C$1,Database!$A$1:$C$1,),)=0,#N/A,VLOOKUP(Table7[[#This Row],[Date]],Database!$A:$C,MATCH($C$1,Database!$A$1:$C$1,),))</f>
        <v/>
      </c>
      <c r="D1076">
        <f>IFERROR(Table7[[#This Row],[United States 10y]]-Table7[[#This Row],[United States 3y]],#N/A)</f>
        <v/>
      </c>
    </row>
    <row r="1077">
      <c r="A1077" s="6">
        <f>Database!$A3162</f>
        <v/>
      </c>
      <c r="B1077">
        <f>IF(VLOOKUP(Table7[[#This Row],[Date]],Database!$A:$C,MATCH($B$1,Database!$A$1:$C$1,),)=0,#N/A,VLOOKUP(Table7[[#This Row],[Date]],Database!$A:$C,MATCH($B$1,Database!$A$1:$C$1,),))</f>
        <v/>
      </c>
      <c r="C1077">
        <f>IF(VLOOKUP(Table7[[#This Row],[Date]],Database!$A:$C,MATCH($C$1,Database!$A$1:$C$1,),)=0,#N/A,VLOOKUP(Table7[[#This Row],[Date]],Database!$A:$C,MATCH($C$1,Database!$A$1:$C$1,),))</f>
        <v/>
      </c>
      <c r="D1077">
        <f>IFERROR(Table7[[#This Row],[United States 10y]]-Table7[[#This Row],[United States 3y]],#N/A)</f>
        <v/>
      </c>
    </row>
    <row r="1078">
      <c r="A1078" s="6">
        <f>Database!$A3163</f>
        <v/>
      </c>
      <c r="B1078">
        <f>IF(VLOOKUP(Table7[[#This Row],[Date]],Database!$A:$C,MATCH($B$1,Database!$A$1:$C$1,),)=0,#N/A,VLOOKUP(Table7[[#This Row],[Date]],Database!$A:$C,MATCH($B$1,Database!$A$1:$C$1,),))</f>
        <v/>
      </c>
      <c r="C1078">
        <f>IF(VLOOKUP(Table7[[#This Row],[Date]],Database!$A:$C,MATCH($C$1,Database!$A$1:$C$1,),)=0,#N/A,VLOOKUP(Table7[[#This Row],[Date]],Database!$A:$C,MATCH($C$1,Database!$A$1:$C$1,),))</f>
        <v/>
      </c>
      <c r="D1078">
        <f>IFERROR(Table7[[#This Row],[United States 10y]]-Table7[[#This Row],[United States 3y]],#N/A)</f>
        <v/>
      </c>
    </row>
    <row r="1079">
      <c r="A1079" s="6">
        <f>Database!$A3164</f>
        <v/>
      </c>
      <c r="B1079">
        <f>IF(VLOOKUP(Table7[[#This Row],[Date]],Database!$A:$C,MATCH($B$1,Database!$A$1:$C$1,),)=0,#N/A,VLOOKUP(Table7[[#This Row],[Date]],Database!$A:$C,MATCH($B$1,Database!$A$1:$C$1,),))</f>
        <v/>
      </c>
      <c r="C1079">
        <f>IF(VLOOKUP(Table7[[#This Row],[Date]],Database!$A:$C,MATCH($C$1,Database!$A$1:$C$1,),)=0,#N/A,VLOOKUP(Table7[[#This Row],[Date]],Database!$A:$C,MATCH($C$1,Database!$A$1:$C$1,),))</f>
        <v/>
      </c>
      <c r="D1079">
        <f>IFERROR(Table7[[#This Row],[United States 10y]]-Table7[[#This Row],[United States 3y]],#N/A)</f>
        <v/>
      </c>
    </row>
    <row r="1080">
      <c r="A1080" s="6">
        <f>Database!$A3165</f>
        <v/>
      </c>
      <c r="B1080">
        <f>IF(VLOOKUP(Table7[[#This Row],[Date]],Database!$A:$C,MATCH($B$1,Database!$A$1:$C$1,),)=0,#N/A,VLOOKUP(Table7[[#This Row],[Date]],Database!$A:$C,MATCH($B$1,Database!$A$1:$C$1,),))</f>
        <v/>
      </c>
      <c r="C1080">
        <f>IF(VLOOKUP(Table7[[#This Row],[Date]],Database!$A:$C,MATCH($C$1,Database!$A$1:$C$1,),)=0,#N/A,VLOOKUP(Table7[[#This Row],[Date]],Database!$A:$C,MATCH($C$1,Database!$A$1:$C$1,),))</f>
        <v/>
      </c>
      <c r="D1080">
        <f>IFERROR(Table7[[#This Row],[United States 10y]]-Table7[[#This Row],[United States 3y]],#N/A)</f>
        <v/>
      </c>
    </row>
    <row r="1081">
      <c r="A1081" s="6">
        <f>Database!$A3166</f>
        <v/>
      </c>
      <c r="B1081">
        <f>IF(VLOOKUP(Table7[[#This Row],[Date]],Database!$A:$C,MATCH($B$1,Database!$A$1:$C$1,),)=0,#N/A,VLOOKUP(Table7[[#This Row],[Date]],Database!$A:$C,MATCH($B$1,Database!$A$1:$C$1,),))</f>
        <v/>
      </c>
      <c r="C1081">
        <f>IF(VLOOKUP(Table7[[#This Row],[Date]],Database!$A:$C,MATCH($C$1,Database!$A$1:$C$1,),)=0,#N/A,VLOOKUP(Table7[[#This Row],[Date]],Database!$A:$C,MATCH($C$1,Database!$A$1:$C$1,),))</f>
        <v/>
      </c>
      <c r="D1081">
        <f>IFERROR(Table7[[#This Row],[United States 10y]]-Table7[[#This Row],[United States 3y]],#N/A)</f>
        <v/>
      </c>
    </row>
    <row r="1082">
      <c r="A1082" s="6">
        <f>Database!$A3167</f>
        <v/>
      </c>
      <c r="B1082">
        <f>IF(VLOOKUP(Table7[[#This Row],[Date]],Database!$A:$C,MATCH($B$1,Database!$A$1:$C$1,),)=0,#N/A,VLOOKUP(Table7[[#This Row],[Date]],Database!$A:$C,MATCH($B$1,Database!$A$1:$C$1,),))</f>
        <v/>
      </c>
      <c r="C1082">
        <f>IF(VLOOKUP(Table7[[#This Row],[Date]],Database!$A:$C,MATCH($C$1,Database!$A$1:$C$1,),)=0,#N/A,VLOOKUP(Table7[[#This Row],[Date]],Database!$A:$C,MATCH($C$1,Database!$A$1:$C$1,),))</f>
        <v/>
      </c>
      <c r="D1082">
        <f>IFERROR(Table7[[#This Row],[United States 10y]]-Table7[[#This Row],[United States 3y]],#N/A)</f>
        <v/>
      </c>
    </row>
    <row r="1083">
      <c r="A1083" s="6">
        <f>Database!$A3168</f>
        <v/>
      </c>
      <c r="B1083">
        <f>IF(VLOOKUP(Table7[[#This Row],[Date]],Database!$A:$C,MATCH($B$1,Database!$A$1:$C$1,),)=0,#N/A,VLOOKUP(Table7[[#This Row],[Date]],Database!$A:$C,MATCH($B$1,Database!$A$1:$C$1,),))</f>
        <v/>
      </c>
      <c r="C1083">
        <f>IF(VLOOKUP(Table7[[#This Row],[Date]],Database!$A:$C,MATCH($C$1,Database!$A$1:$C$1,),)=0,#N/A,VLOOKUP(Table7[[#This Row],[Date]],Database!$A:$C,MATCH($C$1,Database!$A$1:$C$1,),))</f>
        <v/>
      </c>
      <c r="D1083">
        <f>IFERROR(Table7[[#This Row],[United States 10y]]-Table7[[#This Row],[United States 3y]],#N/A)</f>
        <v/>
      </c>
    </row>
    <row r="1084">
      <c r="A1084" s="6">
        <f>Database!$A3169</f>
        <v/>
      </c>
      <c r="B1084">
        <f>IF(VLOOKUP(Table7[[#This Row],[Date]],Database!$A:$C,MATCH($B$1,Database!$A$1:$C$1,),)=0,#N/A,VLOOKUP(Table7[[#This Row],[Date]],Database!$A:$C,MATCH($B$1,Database!$A$1:$C$1,),))</f>
        <v/>
      </c>
      <c r="C1084">
        <f>IF(VLOOKUP(Table7[[#This Row],[Date]],Database!$A:$C,MATCH($C$1,Database!$A$1:$C$1,),)=0,#N/A,VLOOKUP(Table7[[#This Row],[Date]],Database!$A:$C,MATCH($C$1,Database!$A$1:$C$1,),))</f>
        <v/>
      </c>
      <c r="D1084">
        <f>IFERROR(Table7[[#This Row],[United States 10y]]-Table7[[#This Row],[United States 3y]],#N/A)</f>
        <v/>
      </c>
    </row>
    <row r="1085">
      <c r="A1085" s="6">
        <f>Database!$A3170</f>
        <v/>
      </c>
      <c r="B1085">
        <f>IF(VLOOKUP(Table7[[#This Row],[Date]],Database!$A:$C,MATCH($B$1,Database!$A$1:$C$1,),)=0,#N/A,VLOOKUP(Table7[[#This Row],[Date]],Database!$A:$C,MATCH($B$1,Database!$A$1:$C$1,),))</f>
        <v/>
      </c>
      <c r="C1085">
        <f>IF(VLOOKUP(Table7[[#This Row],[Date]],Database!$A:$C,MATCH($C$1,Database!$A$1:$C$1,),)=0,#N/A,VLOOKUP(Table7[[#This Row],[Date]],Database!$A:$C,MATCH($C$1,Database!$A$1:$C$1,),))</f>
        <v/>
      </c>
      <c r="D1085">
        <f>IFERROR(Table7[[#This Row],[United States 10y]]-Table7[[#This Row],[United States 3y]],#N/A)</f>
        <v/>
      </c>
    </row>
    <row r="1086">
      <c r="A1086" s="6">
        <f>Database!$A3171</f>
        <v/>
      </c>
      <c r="B1086">
        <f>IF(VLOOKUP(Table7[[#This Row],[Date]],Database!$A:$C,MATCH($B$1,Database!$A$1:$C$1,),)=0,#N/A,VLOOKUP(Table7[[#This Row],[Date]],Database!$A:$C,MATCH($B$1,Database!$A$1:$C$1,),))</f>
        <v/>
      </c>
      <c r="C1086">
        <f>IF(VLOOKUP(Table7[[#This Row],[Date]],Database!$A:$C,MATCH($C$1,Database!$A$1:$C$1,),)=0,#N/A,VLOOKUP(Table7[[#This Row],[Date]],Database!$A:$C,MATCH($C$1,Database!$A$1:$C$1,),))</f>
        <v/>
      </c>
      <c r="D1086">
        <f>IFERROR(Table7[[#This Row],[United States 10y]]-Table7[[#This Row],[United States 3y]],#N/A)</f>
        <v/>
      </c>
    </row>
    <row r="1087">
      <c r="A1087" s="6">
        <f>Database!$A3172</f>
        <v/>
      </c>
      <c r="B1087">
        <f>IF(VLOOKUP(Table7[[#This Row],[Date]],Database!$A:$C,MATCH($B$1,Database!$A$1:$C$1,),)=0,#N/A,VLOOKUP(Table7[[#This Row],[Date]],Database!$A:$C,MATCH($B$1,Database!$A$1:$C$1,),))</f>
        <v/>
      </c>
      <c r="C1087">
        <f>IF(VLOOKUP(Table7[[#This Row],[Date]],Database!$A:$C,MATCH($C$1,Database!$A$1:$C$1,),)=0,#N/A,VLOOKUP(Table7[[#This Row],[Date]],Database!$A:$C,MATCH($C$1,Database!$A$1:$C$1,),))</f>
        <v/>
      </c>
      <c r="D1087">
        <f>IFERROR(Table7[[#This Row],[United States 10y]]-Table7[[#This Row],[United States 3y]],#N/A)</f>
        <v/>
      </c>
    </row>
    <row r="1088">
      <c r="A1088" s="6">
        <f>Database!$A3173</f>
        <v/>
      </c>
      <c r="B1088">
        <f>IF(VLOOKUP(Table7[[#This Row],[Date]],Database!$A:$C,MATCH($B$1,Database!$A$1:$C$1,),)=0,#N/A,VLOOKUP(Table7[[#This Row],[Date]],Database!$A:$C,MATCH($B$1,Database!$A$1:$C$1,),))</f>
        <v/>
      </c>
      <c r="C1088">
        <f>IF(VLOOKUP(Table7[[#This Row],[Date]],Database!$A:$C,MATCH($C$1,Database!$A$1:$C$1,),)=0,#N/A,VLOOKUP(Table7[[#This Row],[Date]],Database!$A:$C,MATCH($C$1,Database!$A$1:$C$1,),))</f>
        <v/>
      </c>
      <c r="D1088">
        <f>IFERROR(Table7[[#This Row],[United States 10y]]-Table7[[#This Row],[United States 3y]],#N/A)</f>
        <v/>
      </c>
    </row>
    <row r="1089">
      <c r="A1089" s="6">
        <f>Database!$A3174</f>
        <v/>
      </c>
      <c r="B1089">
        <f>IF(VLOOKUP(Table7[[#This Row],[Date]],Database!$A:$C,MATCH($B$1,Database!$A$1:$C$1,),)=0,#N/A,VLOOKUP(Table7[[#This Row],[Date]],Database!$A:$C,MATCH($B$1,Database!$A$1:$C$1,),))</f>
        <v/>
      </c>
      <c r="C1089">
        <f>IF(VLOOKUP(Table7[[#This Row],[Date]],Database!$A:$C,MATCH($C$1,Database!$A$1:$C$1,),)=0,#N/A,VLOOKUP(Table7[[#This Row],[Date]],Database!$A:$C,MATCH($C$1,Database!$A$1:$C$1,),))</f>
        <v/>
      </c>
      <c r="D1089">
        <f>IFERROR(Table7[[#This Row],[United States 10y]]-Table7[[#This Row],[United States 3y]],#N/A)</f>
        <v/>
      </c>
    </row>
    <row r="1090">
      <c r="A1090" s="6">
        <f>Database!$A3175</f>
        <v/>
      </c>
      <c r="B1090">
        <f>IF(VLOOKUP(Table7[[#This Row],[Date]],Database!$A:$C,MATCH($B$1,Database!$A$1:$C$1,),)=0,#N/A,VLOOKUP(Table7[[#This Row],[Date]],Database!$A:$C,MATCH($B$1,Database!$A$1:$C$1,),))</f>
        <v/>
      </c>
      <c r="C1090">
        <f>IF(VLOOKUP(Table7[[#This Row],[Date]],Database!$A:$C,MATCH($C$1,Database!$A$1:$C$1,),)=0,#N/A,VLOOKUP(Table7[[#This Row],[Date]],Database!$A:$C,MATCH($C$1,Database!$A$1:$C$1,),))</f>
        <v/>
      </c>
      <c r="D1090">
        <f>IFERROR(Table7[[#This Row],[United States 10y]]-Table7[[#This Row],[United States 3y]],#N/A)</f>
        <v/>
      </c>
    </row>
    <row r="1091">
      <c r="A1091" s="6">
        <f>Database!$A3176</f>
        <v/>
      </c>
      <c r="B1091">
        <f>IF(VLOOKUP(Table7[[#This Row],[Date]],Database!$A:$C,MATCH($B$1,Database!$A$1:$C$1,),)=0,#N/A,VLOOKUP(Table7[[#This Row],[Date]],Database!$A:$C,MATCH($B$1,Database!$A$1:$C$1,),))</f>
        <v/>
      </c>
      <c r="C1091">
        <f>IF(VLOOKUP(Table7[[#This Row],[Date]],Database!$A:$C,MATCH($C$1,Database!$A$1:$C$1,),)=0,#N/A,VLOOKUP(Table7[[#This Row],[Date]],Database!$A:$C,MATCH($C$1,Database!$A$1:$C$1,),))</f>
        <v/>
      </c>
      <c r="D1091">
        <f>IFERROR(Table7[[#This Row],[United States 10y]]-Table7[[#This Row],[United States 3y]],#N/A)</f>
        <v/>
      </c>
    </row>
    <row r="1092">
      <c r="A1092" s="6">
        <f>Database!$A3177</f>
        <v/>
      </c>
      <c r="B1092">
        <f>IF(VLOOKUP(Table7[[#This Row],[Date]],Database!$A:$C,MATCH($B$1,Database!$A$1:$C$1,),)=0,#N/A,VLOOKUP(Table7[[#This Row],[Date]],Database!$A:$C,MATCH($B$1,Database!$A$1:$C$1,),))</f>
        <v/>
      </c>
      <c r="C1092">
        <f>IF(VLOOKUP(Table7[[#This Row],[Date]],Database!$A:$C,MATCH($C$1,Database!$A$1:$C$1,),)=0,#N/A,VLOOKUP(Table7[[#This Row],[Date]],Database!$A:$C,MATCH($C$1,Database!$A$1:$C$1,),))</f>
        <v/>
      </c>
      <c r="D1092">
        <f>IFERROR(Table7[[#This Row],[United States 10y]]-Table7[[#This Row],[United States 3y]],#N/A)</f>
        <v/>
      </c>
    </row>
    <row r="1093">
      <c r="A1093" s="6">
        <f>Database!$A3178</f>
        <v/>
      </c>
      <c r="B1093">
        <f>IF(VLOOKUP(Table7[[#This Row],[Date]],Database!$A:$C,MATCH($B$1,Database!$A$1:$C$1,),)=0,#N/A,VLOOKUP(Table7[[#This Row],[Date]],Database!$A:$C,MATCH($B$1,Database!$A$1:$C$1,),))</f>
        <v/>
      </c>
      <c r="C1093">
        <f>IF(VLOOKUP(Table7[[#This Row],[Date]],Database!$A:$C,MATCH($C$1,Database!$A$1:$C$1,),)=0,#N/A,VLOOKUP(Table7[[#This Row],[Date]],Database!$A:$C,MATCH($C$1,Database!$A$1:$C$1,),))</f>
        <v/>
      </c>
      <c r="D1093">
        <f>IFERROR(Table7[[#This Row],[United States 10y]]-Table7[[#This Row],[United States 3y]],#N/A)</f>
        <v/>
      </c>
    </row>
    <row r="1094">
      <c r="A1094" s="6">
        <f>Database!$A3179</f>
        <v/>
      </c>
      <c r="B1094">
        <f>IF(VLOOKUP(Table7[[#This Row],[Date]],Database!$A:$C,MATCH($B$1,Database!$A$1:$C$1,),)=0,#N/A,VLOOKUP(Table7[[#This Row],[Date]],Database!$A:$C,MATCH($B$1,Database!$A$1:$C$1,),))</f>
        <v/>
      </c>
      <c r="C1094">
        <f>IF(VLOOKUP(Table7[[#This Row],[Date]],Database!$A:$C,MATCH($C$1,Database!$A$1:$C$1,),)=0,#N/A,VLOOKUP(Table7[[#This Row],[Date]],Database!$A:$C,MATCH($C$1,Database!$A$1:$C$1,),))</f>
        <v/>
      </c>
      <c r="D1094">
        <f>IFERROR(Table7[[#This Row],[United States 10y]]-Table7[[#This Row],[United States 3y]],#N/A)</f>
        <v/>
      </c>
    </row>
    <row r="1095">
      <c r="A1095" s="6">
        <f>Database!$A3180</f>
        <v/>
      </c>
      <c r="B1095">
        <f>IF(VLOOKUP(Table7[[#This Row],[Date]],Database!$A:$C,MATCH($B$1,Database!$A$1:$C$1,),)=0,#N/A,VLOOKUP(Table7[[#This Row],[Date]],Database!$A:$C,MATCH($B$1,Database!$A$1:$C$1,),))</f>
        <v/>
      </c>
      <c r="C1095">
        <f>IF(VLOOKUP(Table7[[#This Row],[Date]],Database!$A:$C,MATCH($C$1,Database!$A$1:$C$1,),)=0,#N/A,VLOOKUP(Table7[[#This Row],[Date]],Database!$A:$C,MATCH($C$1,Database!$A$1:$C$1,),))</f>
        <v/>
      </c>
      <c r="D1095">
        <f>IFERROR(Table7[[#This Row],[United States 10y]]-Table7[[#This Row],[United States 3y]],#N/A)</f>
        <v/>
      </c>
    </row>
    <row r="1096">
      <c r="A1096" s="6">
        <f>Database!$A3181</f>
        <v/>
      </c>
      <c r="B1096">
        <f>IF(VLOOKUP(Table7[[#This Row],[Date]],Database!$A:$C,MATCH($B$1,Database!$A$1:$C$1,),)=0,#N/A,VLOOKUP(Table7[[#This Row],[Date]],Database!$A:$C,MATCH($B$1,Database!$A$1:$C$1,),))</f>
        <v/>
      </c>
      <c r="C1096">
        <f>IF(VLOOKUP(Table7[[#This Row],[Date]],Database!$A:$C,MATCH($C$1,Database!$A$1:$C$1,),)=0,#N/A,VLOOKUP(Table7[[#This Row],[Date]],Database!$A:$C,MATCH($C$1,Database!$A$1:$C$1,),))</f>
        <v/>
      </c>
      <c r="D1096">
        <f>IFERROR(Table7[[#This Row],[United States 10y]]-Table7[[#This Row],[United States 3y]],#N/A)</f>
        <v/>
      </c>
    </row>
    <row r="1097">
      <c r="A1097" s="6">
        <f>Database!$A3182</f>
        <v/>
      </c>
      <c r="B1097">
        <f>IF(VLOOKUP(Table7[[#This Row],[Date]],Database!$A:$C,MATCH($B$1,Database!$A$1:$C$1,),)=0,#N/A,VLOOKUP(Table7[[#This Row],[Date]],Database!$A:$C,MATCH($B$1,Database!$A$1:$C$1,),))</f>
        <v/>
      </c>
      <c r="C1097">
        <f>IF(VLOOKUP(Table7[[#This Row],[Date]],Database!$A:$C,MATCH($C$1,Database!$A$1:$C$1,),)=0,#N/A,VLOOKUP(Table7[[#This Row],[Date]],Database!$A:$C,MATCH($C$1,Database!$A$1:$C$1,),))</f>
        <v/>
      </c>
      <c r="D1097">
        <f>IFERROR(Table7[[#This Row],[United States 10y]]-Table7[[#This Row],[United States 3y]],#N/A)</f>
        <v/>
      </c>
    </row>
    <row r="1098">
      <c r="A1098" s="6">
        <f>Database!$A3183</f>
        <v/>
      </c>
      <c r="B1098">
        <f>IF(VLOOKUP(Table7[[#This Row],[Date]],Database!$A:$C,MATCH($B$1,Database!$A$1:$C$1,),)=0,#N/A,VLOOKUP(Table7[[#This Row],[Date]],Database!$A:$C,MATCH($B$1,Database!$A$1:$C$1,),))</f>
        <v/>
      </c>
      <c r="C1098">
        <f>IF(VLOOKUP(Table7[[#This Row],[Date]],Database!$A:$C,MATCH($C$1,Database!$A$1:$C$1,),)=0,#N/A,VLOOKUP(Table7[[#This Row],[Date]],Database!$A:$C,MATCH($C$1,Database!$A$1:$C$1,),))</f>
        <v/>
      </c>
      <c r="D1098">
        <f>IFERROR(Table7[[#This Row],[United States 10y]]-Table7[[#This Row],[United States 3y]],#N/A)</f>
        <v/>
      </c>
    </row>
    <row r="1099">
      <c r="A1099" s="6">
        <f>Database!$A3184</f>
        <v/>
      </c>
      <c r="B1099">
        <f>IF(VLOOKUP(Table7[[#This Row],[Date]],Database!$A:$C,MATCH($B$1,Database!$A$1:$C$1,),)=0,#N/A,VLOOKUP(Table7[[#This Row],[Date]],Database!$A:$C,MATCH($B$1,Database!$A$1:$C$1,),))</f>
        <v/>
      </c>
      <c r="C1099">
        <f>IF(VLOOKUP(Table7[[#This Row],[Date]],Database!$A:$C,MATCH($C$1,Database!$A$1:$C$1,),)=0,#N/A,VLOOKUP(Table7[[#This Row],[Date]],Database!$A:$C,MATCH($C$1,Database!$A$1:$C$1,),))</f>
        <v/>
      </c>
      <c r="D1099">
        <f>IFERROR(Table7[[#This Row],[United States 10y]]-Table7[[#This Row],[United States 3y]],#N/A)</f>
        <v/>
      </c>
    </row>
    <row r="1100">
      <c r="A1100" s="6">
        <f>Database!$A3185</f>
        <v/>
      </c>
      <c r="B1100">
        <f>IF(VLOOKUP(Table7[[#This Row],[Date]],Database!$A:$C,MATCH($B$1,Database!$A$1:$C$1,),)=0,#N/A,VLOOKUP(Table7[[#This Row],[Date]],Database!$A:$C,MATCH($B$1,Database!$A$1:$C$1,),))</f>
        <v/>
      </c>
      <c r="C1100">
        <f>IF(VLOOKUP(Table7[[#This Row],[Date]],Database!$A:$C,MATCH($C$1,Database!$A$1:$C$1,),)=0,#N/A,VLOOKUP(Table7[[#This Row],[Date]],Database!$A:$C,MATCH($C$1,Database!$A$1:$C$1,),))</f>
        <v/>
      </c>
      <c r="D1100">
        <f>IFERROR(Table7[[#This Row],[United States 10y]]-Table7[[#This Row],[United States 3y]],#N/A)</f>
        <v/>
      </c>
    </row>
    <row r="1101">
      <c r="A1101" s="6">
        <f>Database!$A3186</f>
        <v/>
      </c>
      <c r="B1101">
        <f>IF(VLOOKUP(Table7[[#This Row],[Date]],Database!$A:$C,MATCH($B$1,Database!$A$1:$C$1,),)=0,#N/A,VLOOKUP(Table7[[#This Row],[Date]],Database!$A:$C,MATCH($B$1,Database!$A$1:$C$1,),))</f>
        <v/>
      </c>
      <c r="C1101">
        <f>IF(VLOOKUP(Table7[[#This Row],[Date]],Database!$A:$C,MATCH($C$1,Database!$A$1:$C$1,),)=0,#N/A,VLOOKUP(Table7[[#This Row],[Date]],Database!$A:$C,MATCH($C$1,Database!$A$1:$C$1,),))</f>
        <v/>
      </c>
      <c r="D1101">
        <f>IFERROR(Table7[[#This Row],[United States 10y]]-Table7[[#This Row],[United States 3y]],#N/A)</f>
        <v/>
      </c>
    </row>
    <row r="1102">
      <c r="A1102" s="6">
        <f>Database!$A3187</f>
        <v/>
      </c>
      <c r="B1102">
        <f>IF(VLOOKUP(Table7[[#This Row],[Date]],Database!$A:$C,MATCH($B$1,Database!$A$1:$C$1,),)=0,#N/A,VLOOKUP(Table7[[#This Row],[Date]],Database!$A:$C,MATCH($B$1,Database!$A$1:$C$1,),))</f>
        <v/>
      </c>
      <c r="C1102">
        <f>IF(VLOOKUP(Table7[[#This Row],[Date]],Database!$A:$C,MATCH($C$1,Database!$A$1:$C$1,),)=0,#N/A,VLOOKUP(Table7[[#This Row],[Date]],Database!$A:$C,MATCH($C$1,Database!$A$1:$C$1,),))</f>
        <v/>
      </c>
      <c r="D1102">
        <f>IFERROR(Table7[[#This Row],[United States 10y]]-Table7[[#This Row],[United States 3y]],#N/A)</f>
        <v/>
      </c>
    </row>
    <row r="1103">
      <c r="A1103" s="6">
        <f>Database!$A3188</f>
        <v/>
      </c>
      <c r="B1103">
        <f>IF(VLOOKUP(Table7[[#This Row],[Date]],Database!$A:$C,MATCH($B$1,Database!$A$1:$C$1,),)=0,#N/A,VLOOKUP(Table7[[#This Row],[Date]],Database!$A:$C,MATCH($B$1,Database!$A$1:$C$1,),))</f>
        <v/>
      </c>
      <c r="C1103">
        <f>IF(VLOOKUP(Table7[[#This Row],[Date]],Database!$A:$C,MATCH($C$1,Database!$A$1:$C$1,),)=0,#N/A,VLOOKUP(Table7[[#This Row],[Date]],Database!$A:$C,MATCH($C$1,Database!$A$1:$C$1,),))</f>
        <v/>
      </c>
      <c r="D1103">
        <f>IFERROR(Table7[[#This Row],[United States 10y]]-Table7[[#This Row],[United States 3y]],#N/A)</f>
        <v/>
      </c>
    </row>
    <row r="1104">
      <c r="A1104" s="6">
        <f>Database!$A3189</f>
        <v/>
      </c>
      <c r="B1104">
        <f>IF(VLOOKUP(Table7[[#This Row],[Date]],Database!$A:$C,MATCH($B$1,Database!$A$1:$C$1,),)=0,#N/A,VLOOKUP(Table7[[#This Row],[Date]],Database!$A:$C,MATCH($B$1,Database!$A$1:$C$1,),))</f>
        <v/>
      </c>
      <c r="C1104">
        <f>IF(VLOOKUP(Table7[[#This Row],[Date]],Database!$A:$C,MATCH($C$1,Database!$A$1:$C$1,),)=0,#N/A,VLOOKUP(Table7[[#This Row],[Date]],Database!$A:$C,MATCH($C$1,Database!$A$1:$C$1,),))</f>
        <v/>
      </c>
      <c r="D1104">
        <f>IFERROR(Table7[[#This Row],[United States 10y]]-Table7[[#This Row],[United States 3y]],#N/A)</f>
        <v/>
      </c>
    </row>
    <row r="1105">
      <c r="A1105" s="6">
        <f>Database!$A3190</f>
        <v/>
      </c>
      <c r="B1105">
        <f>IF(VLOOKUP(Table7[[#This Row],[Date]],Database!$A:$C,MATCH($B$1,Database!$A$1:$C$1,),)=0,#N/A,VLOOKUP(Table7[[#This Row],[Date]],Database!$A:$C,MATCH($B$1,Database!$A$1:$C$1,),))</f>
        <v/>
      </c>
      <c r="C1105">
        <f>IF(VLOOKUP(Table7[[#This Row],[Date]],Database!$A:$C,MATCH($C$1,Database!$A$1:$C$1,),)=0,#N/A,VLOOKUP(Table7[[#This Row],[Date]],Database!$A:$C,MATCH($C$1,Database!$A$1:$C$1,),))</f>
        <v/>
      </c>
      <c r="D1105">
        <f>IFERROR(Table7[[#This Row],[United States 10y]]-Table7[[#This Row],[United States 3y]],#N/A)</f>
        <v/>
      </c>
    </row>
    <row r="1106">
      <c r="A1106" s="6">
        <f>Database!$A3191</f>
        <v/>
      </c>
      <c r="B1106">
        <f>IF(VLOOKUP(Table7[[#This Row],[Date]],Database!$A:$C,MATCH($B$1,Database!$A$1:$C$1,),)=0,#N/A,VLOOKUP(Table7[[#This Row],[Date]],Database!$A:$C,MATCH($B$1,Database!$A$1:$C$1,),))</f>
        <v/>
      </c>
      <c r="C1106">
        <f>IF(VLOOKUP(Table7[[#This Row],[Date]],Database!$A:$C,MATCH($C$1,Database!$A$1:$C$1,),)=0,#N/A,VLOOKUP(Table7[[#This Row],[Date]],Database!$A:$C,MATCH($C$1,Database!$A$1:$C$1,),))</f>
        <v/>
      </c>
      <c r="D1106">
        <f>IFERROR(Table7[[#This Row],[United States 10y]]-Table7[[#This Row],[United States 3y]],#N/A)</f>
        <v/>
      </c>
    </row>
    <row r="1107">
      <c r="A1107" s="6">
        <f>Database!$A3192</f>
        <v/>
      </c>
      <c r="B1107">
        <f>IF(VLOOKUP(Table7[[#This Row],[Date]],Database!$A:$C,MATCH($B$1,Database!$A$1:$C$1,),)=0,#N/A,VLOOKUP(Table7[[#This Row],[Date]],Database!$A:$C,MATCH($B$1,Database!$A$1:$C$1,),))</f>
        <v/>
      </c>
      <c r="C1107">
        <f>IF(VLOOKUP(Table7[[#This Row],[Date]],Database!$A:$C,MATCH($C$1,Database!$A$1:$C$1,),)=0,#N/A,VLOOKUP(Table7[[#This Row],[Date]],Database!$A:$C,MATCH($C$1,Database!$A$1:$C$1,),))</f>
        <v/>
      </c>
      <c r="D1107">
        <f>IFERROR(Table7[[#This Row],[United States 10y]]-Table7[[#This Row],[United States 3y]],#N/A)</f>
        <v/>
      </c>
    </row>
    <row r="1108">
      <c r="A1108" s="6">
        <f>Database!$A3193</f>
        <v/>
      </c>
      <c r="B1108">
        <f>IF(VLOOKUP(Table7[[#This Row],[Date]],Database!$A:$C,MATCH($B$1,Database!$A$1:$C$1,),)=0,#N/A,VLOOKUP(Table7[[#This Row],[Date]],Database!$A:$C,MATCH($B$1,Database!$A$1:$C$1,),))</f>
        <v/>
      </c>
      <c r="C1108">
        <f>IF(VLOOKUP(Table7[[#This Row],[Date]],Database!$A:$C,MATCH($C$1,Database!$A$1:$C$1,),)=0,#N/A,VLOOKUP(Table7[[#This Row],[Date]],Database!$A:$C,MATCH($C$1,Database!$A$1:$C$1,),))</f>
        <v/>
      </c>
      <c r="D1108">
        <f>IFERROR(Table7[[#This Row],[United States 10y]]-Table7[[#This Row],[United States 3y]],#N/A)</f>
        <v/>
      </c>
    </row>
    <row r="1109">
      <c r="A1109" s="6">
        <f>Database!$A3194</f>
        <v/>
      </c>
      <c r="B1109">
        <f>IF(VLOOKUP(Table7[[#This Row],[Date]],Database!$A:$C,MATCH($B$1,Database!$A$1:$C$1,),)=0,#N/A,VLOOKUP(Table7[[#This Row],[Date]],Database!$A:$C,MATCH($B$1,Database!$A$1:$C$1,),))</f>
        <v/>
      </c>
      <c r="C1109">
        <f>IF(VLOOKUP(Table7[[#This Row],[Date]],Database!$A:$C,MATCH($C$1,Database!$A$1:$C$1,),)=0,#N/A,VLOOKUP(Table7[[#This Row],[Date]],Database!$A:$C,MATCH($C$1,Database!$A$1:$C$1,),))</f>
        <v/>
      </c>
      <c r="D1109">
        <f>IFERROR(Table7[[#This Row],[United States 10y]]-Table7[[#This Row],[United States 3y]],#N/A)</f>
        <v/>
      </c>
    </row>
    <row r="1110">
      <c r="A1110" s="6">
        <f>Database!$A3195</f>
        <v/>
      </c>
      <c r="B1110">
        <f>IF(VLOOKUP(Table7[[#This Row],[Date]],Database!$A:$C,MATCH($B$1,Database!$A$1:$C$1,),)=0,#N/A,VLOOKUP(Table7[[#This Row],[Date]],Database!$A:$C,MATCH($B$1,Database!$A$1:$C$1,),))</f>
        <v/>
      </c>
      <c r="C1110">
        <f>IF(VLOOKUP(Table7[[#This Row],[Date]],Database!$A:$C,MATCH($C$1,Database!$A$1:$C$1,),)=0,#N/A,VLOOKUP(Table7[[#This Row],[Date]],Database!$A:$C,MATCH($C$1,Database!$A$1:$C$1,),))</f>
        <v/>
      </c>
      <c r="D1110">
        <f>IFERROR(Table7[[#This Row],[United States 10y]]-Table7[[#This Row],[United States 3y]],#N/A)</f>
        <v/>
      </c>
    </row>
    <row r="1111">
      <c r="A1111" s="6">
        <f>Database!$A3196</f>
        <v/>
      </c>
      <c r="B1111">
        <f>IF(VLOOKUP(Table7[[#This Row],[Date]],Database!$A:$C,MATCH($B$1,Database!$A$1:$C$1,),)=0,#N/A,VLOOKUP(Table7[[#This Row],[Date]],Database!$A:$C,MATCH($B$1,Database!$A$1:$C$1,),))</f>
        <v/>
      </c>
      <c r="C1111">
        <f>IF(VLOOKUP(Table7[[#This Row],[Date]],Database!$A:$C,MATCH($C$1,Database!$A$1:$C$1,),)=0,#N/A,VLOOKUP(Table7[[#This Row],[Date]],Database!$A:$C,MATCH($C$1,Database!$A$1:$C$1,),))</f>
        <v/>
      </c>
      <c r="D1111">
        <f>IFERROR(Table7[[#This Row],[United States 10y]]-Table7[[#This Row],[United States 3y]],#N/A)</f>
        <v/>
      </c>
    </row>
    <row r="1112">
      <c r="A1112" s="6">
        <f>Database!$A3197</f>
        <v/>
      </c>
      <c r="B1112">
        <f>IF(VLOOKUP(Table7[[#This Row],[Date]],Database!$A:$C,MATCH($B$1,Database!$A$1:$C$1,),)=0,#N/A,VLOOKUP(Table7[[#This Row],[Date]],Database!$A:$C,MATCH($B$1,Database!$A$1:$C$1,),))</f>
        <v/>
      </c>
      <c r="C1112">
        <f>IF(VLOOKUP(Table7[[#This Row],[Date]],Database!$A:$C,MATCH($C$1,Database!$A$1:$C$1,),)=0,#N/A,VLOOKUP(Table7[[#This Row],[Date]],Database!$A:$C,MATCH($C$1,Database!$A$1:$C$1,),))</f>
        <v/>
      </c>
      <c r="D1112">
        <f>IFERROR(Table7[[#This Row],[United States 10y]]-Table7[[#This Row],[United States 3y]],#N/A)</f>
        <v/>
      </c>
    </row>
    <row r="1113">
      <c r="A1113" s="6">
        <f>Database!$A3198</f>
        <v/>
      </c>
      <c r="B1113">
        <f>IF(VLOOKUP(Table7[[#This Row],[Date]],Database!$A:$C,MATCH($B$1,Database!$A$1:$C$1,),)=0,#N/A,VLOOKUP(Table7[[#This Row],[Date]],Database!$A:$C,MATCH($B$1,Database!$A$1:$C$1,),))</f>
        <v/>
      </c>
      <c r="C1113">
        <f>IF(VLOOKUP(Table7[[#This Row],[Date]],Database!$A:$C,MATCH($C$1,Database!$A$1:$C$1,),)=0,#N/A,VLOOKUP(Table7[[#This Row],[Date]],Database!$A:$C,MATCH($C$1,Database!$A$1:$C$1,),))</f>
        <v/>
      </c>
      <c r="D1113">
        <f>IFERROR(Table7[[#This Row],[United States 10y]]-Table7[[#This Row],[United States 3y]],#N/A)</f>
        <v/>
      </c>
    </row>
    <row r="1114">
      <c r="A1114" s="6">
        <f>Database!$A3199</f>
        <v/>
      </c>
      <c r="B1114">
        <f>IF(VLOOKUP(Table7[[#This Row],[Date]],Database!$A:$C,MATCH($B$1,Database!$A$1:$C$1,),)=0,#N/A,VLOOKUP(Table7[[#This Row],[Date]],Database!$A:$C,MATCH($B$1,Database!$A$1:$C$1,),))</f>
        <v/>
      </c>
      <c r="C1114">
        <f>IF(VLOOKUP(Table7[[#This Row],[Date]],Database!$A:$C,MATCH($C$1,Database!$A$1:$C$1,),)=0,#N/A,VLOOKUP(Table7[[#This Row],[Date]],Database!$A:$C,MATCH($C$1,Database!$A$1:$C$1,),))</f>
        <v/>
      </c>
      <c r="D1114">
        <f>IFERROR(Table7[[#This Row],[United States 10y]]-Table7[[#This Row],[United States 3y]],#N/A)</f>
        <v/>
      </c>
    </row>
    <row r="1115">
      <c r="A1115" s="6">
        <f>Database!$A3200</f>
        <v/>
      </c>
      <c r="B1115">
        <f>IF(VLOOKUP(Table7[[#This Row],[Date]],Database!$A:$C,MATCH($B$1,Database!$A$1:$C$1,),)=0,#N/A,VLOOKUP(Table7[[#This Row],[Date]],Database!$A:$C,MATCH($B$1,Database!$A$1:$C$1,),))</f>
        <v/>
      </c>
      <c r="C1115">
        <f>IF(VLOOKUP(Table7[[#This Row],[Date]],Database!$A:$C,MATCH($C$1,Database!$A$1:$C$1,),)=0,#N/A,VLOOKUP(Table7[[#This Row],[Date]],Database!$A:$C,MATCH($C$1,Database!$A$1:$C$1,),))</f>
        <v/>
      </c>
      <c r="D1115">
        <f>IFERROR(Table7[[#This Row],[United States 10y]]-Table7[[#This Row],[United States 3y]],#N/A)</f>
        <v/>
      </c>
    </row>
    <row r="1116">
      <c r="A1116" s="6">
        <f>Database!$A3201</f>
        <v/>
      </c>
      <c r="B1116">
        <f>IF(VLOOKUP(Table7[[#This Row],[Date]],Database!$A:$C,MATCH($B$1,Database!$A$1:$C$1,),)=0,#N/A,VLOOKUP(Table7[[#This Row],[Date]],Database!$A:$C,MATCH($B$1,Database!$A$1:$C$1,),))</f>
        <v/>
      </c>
      <c r="C1116">
        <f>IF(VLOOKUP(Table7[[#This Row],[Date]],Database!$A:$C,MATCH($C$1,Database!$A$1:$C$1,),)=0,#N/A,VLOOKUP(Table7[[#This Row],[Date]],Database!$A:$C,MATCH($C$1,Database!$A$1:$C$1,),))</f>
        <v/>
      </c>
      <c r="D1116">
        <f>IFERROR(Table7[[#This Row],[United States 10y]]-Table7[[#This Row],[United States 3y]],#N/A)</f>
        <v/>
      </c>
    </row>
    <row r="1117">
      <c r="A1117" s="6">
        <f>Database!$A3202</f>
        <v/>
      </c>
      <c r="B1117">
        <f>IF(VLOOKUP(Table7[[#This Row],[Date]],Database!$A:$C,MATCH($B$1,Database!$A$1:$C$1,),)=0,#N/A,VLOOKUP(Table7[[#This Row],[Date]],Database!$A:$C,MATCH($B$1,Database!$A$1:$C$1,),))</f>
        <v/>
      </c>
      <c r="C1117">
        <f>IF(VLOOKUP(Table7[[#This Row],[Date]],Database!$A:$C,MATCH($C$1,Database!$A$1:$C$1,),)=0,#N/A,VLOOKUP(Table7[[#This Row],[Date]],Database!$A:$C,MATCH($C$1,Database!$A$1:$C$1,),))</f>
        <v/>
      </c>
      <c r="D1117">
        <f>IFERROR(Table7[[#This Row],[United States 10y]]-Table7[[#This Row],[United States 3y]],#N/A)</f>
        <v/>
      </c>
    </row>
    <row r="1118">
      <c r="A1118" s="6">
        <f>Database!$A3203</f>
        <v/>
      </c>
      <c r="B1118">
        <f>IF(VLOOKUP(Table7[[#This Row],[Date]],Database!$A:$C,MATCH($B$1,Database!$A$1:$C$1,),)=0,#N/A,VLOOKUP(Table7[[#This Row],[Date]],Database!$A:$C,MATCH($B$1,Database!$A$1:$C$1,),))</f>
        <v/>
      </c>
      <c r="C1118">
        <f>IF(VLOOKUP(Table7[[#This Row],[Date]],Database!$A:$C,MATCH($C$1,Database!$A$1:$C$1,),)=0,#N/A,VLOOKUP(Table7[[#This Row],[Date]],Database!$A:$C,MATCH($C$1,Database!$A$1:$C$1,),))</f>
        <v/>
      </c>
      <c r="D1118">
        <f>IFERROR(Table7[[#This Row],[United States 10y]]-Table7[[#This Row],[United States 3y]],#N/A)</f>
        <v/>
      </c>
    </row>
    <row r="1119">
      <c r="A1119" s="6">
        <f>Database!$A3204</f>
        <v/>
      </c>
      <c r="B1119">
        <f>IF(VLOOKUP(Table7[[#This Row],[Date]],Database!$A:$C,MATCH($B$1,Database!$A$1:$C$1,),)=0,#N/A,VLOOKUP(Table7[[#This Row],[Date]],Database!$A:$C,MATCH($B$1,Database!$A$1:$C$1,),))</f>
        <v/>
      </c>
      <c r="C1119">
        <f>IF(VLOOKUP(Table7[[#This Row],[Date]],Database!$A:$C,MATCH($C$1,Database!$A$1:$C$1,),)=0,#N/A,VLOOKUP(Table7[[#This Row],[Date]],Database!$A:$C,MATCH($C$1,Database!$A$1:$C$1,),))</f>
        <v/>
      </c>
      <c r="D1119">
        <f>IFERROR(Table7[[#This Row],[United States 10y]]-Table7[[#This Row],[United States 3y]],#N/A)</f>
        <v/>
      </c>
    </row>
    <row r="1120">
      <c r="A1120" s="6">
        <f>Database!$A3205</f>
        <v/>
      </c>
      <c r="B1120">
        <f>IF(VLOOKUP(Table7[[#This Row],[Date]],Database!$A:$C,MATCH($B$1,Database!$A$1:$C$1,),)=0,#N/A,VLOOKUP(Table7[[#This Row],[Date]],Database!$A:$C,MATCH($B$1,Database!$A$1:$C$1,),))</f>
        <v/>
      </c>
      <c r="C1120">
        <f>IF(VLOOKUP(Table7[[#This Row],[Date]],Database!$A:$C,MATCH($C$1,Database!$A$1:$C$1,),)=0,#N/A,VLOOKUP(Table7[[#This Row],[Date]],Database!$A:$C,MATCH($C$1,Database!$A$1:$C$1,),))</f>
        <v/>
      </c>
      <c r="D1120">
        <f>IFERROR(Table7[[#This Row],[United States 10y]]-Table7[[#This Row],[United States 3y]],#N/A)</f>
        <v/>
      </c>
    </row>
    <row r="1121">
      <c r="A1121" s="6">
        <f>Database!$A3206</f>
        <v/>
      </c>
      <c r="B1121">
        <f>IF(VLOOKUP(Table7[[#This Row],[Date]],Database!$A:$C,MATCH($B$1,Database!$A$1:$C$1,),)=0,#N/A,VLOOKUP(Table7[[#This Row],[Date]],Database!$A:$C,MATCH($B$1,Database!$A$1:$C$1,),))</f>
        <v/>
      </c>
      <c r="C1121">
        <f>IF(VLOOKUP(Table7[[#This Row],[Date]],Database!$A:$C,MATCH($C$1,Database!$A$1:$C$1,),)=0,#N/A,VLOOKUP(Table7[[#This Row],[Date]],Database!$A:$C,MATCH($C$1,Database!$A$1:$C$1,),))</f>
        <v/>
      </c>
      <c r="D1121">
        <f>IFERROR(Table7[[#This Row],[United States 10y]]-Table7[[#This Row],[United States 3y]],#N/A)</f>
        <v/>
      </c>
    </row>
    <row r="1122">
      <c r="A1122" s="6">
        <f>Database!$A3207</f>
        <v/>
      </c>
      <c r="B1122">
        <f>IF(VLOOKUP(Table7[[#This Row],[Date]],Database!$A:$C,MATCH($B$1,Database!$A$1:$C$1,),)=0,#N/A,VLOOKUP(Table7[[#This Row],[Date]],Database!$A:$C,MATCH($B$1,Database!$A$1:$C$1,),))</f>
        <v/>
      </c>
      <c r="C1122">
        <f>IF(VLOOKUP(Table7[[#This Row],[Date]],Database!$A:$C,MATCH($C$1,Database!$A$1:$C$1,),)=0,#N/A,VLOOKUP(Table7[[#This Row],[Date]],Database!$A:$C,MATCH($C$1,Database!$A$1:$C$1,),))</f>
        <v/>
      </c>
      <c r="D1122">
        <f>IFERROR(Table7[[#This Row],[United States 10y]]-Table7[[#This Row],[United States 3y]],#N/A)</f>
        <v/>
      </c>
    </row>
    <row r="1123">
      <c r="A1123" s="6">
        <f>Database!$A3208</f>
        <v/>
      </c>
      <c r="B1123">
        <f>IF(VLOOKUP(Table7[[#This Row],[Date]],Database!$A:$C,MATCH($B$1,Database!$A$1:$C$1,),)=0,#N/A,VLOOKUP(Table7[[#This Row],[Date]],Database!$A:$C,MATCH($B$1,Database!$A$1:$C$1,),))</f>
        <v/>
      </c>
      <c r="C1123">
        <f>IF(VLOOKUP(Table7[[#This Row],[Date]],Database!$A:$C,MATCH($C$1,Database!$A$1:$C$1,),)=0,#N/A,VLOOKUP(Table7[[#This Row],[Date]],Database!$A:$C,MATCH($C$1,Database!$A$1:$C$1,),))</f>
        <v/>
      </c>
      <c r="D1123">
        <f>IFERROR(Table7[[#This Row],[United States 10y]]-Table7[[#This Row],[United States 3y]],#N/A)</f>
        <v/>
      </c>
    </row>
    <row r="1124">
      <c r="A1124" s="6">
        <f>Database!$A3209</f>
        <v/>
      </c>
      <c r="B1124">
        <f>IF(VLOOKUP(Table7[[#This Row],[Date]],Database!$A:$C,MATCH($B$1,Database!$A$1:$C$1,),)=0,#N/A,VLOOKUP(Table7[[#This Row],[Date]],Database!$A:$C,MATCH($B$1,Database!$A$1:$C$1,),))</f>
        <v/>
      </c>
      <c r="C1124">
        <f>IF(VLOOKUP(Table7[[#This Row],[Date]],Database!$A:$C,MATCH($C$1,Database!$A$1:$C$1,),)=0,#N/A,VLOOKUP(Table7[[#This Row],[Date]],Database!$A:$C,MATCH($C$1,Database!$A$1:$C$1,),))</f>
        <v/>
      </c>
      <c r="D1124">
        <f>IFERROR(Table7[[#This Row],[United States 10y]]-Table7[[#This Row],[United States 3y]],#N/A)</f>
        <v/>
      </c>
    </row>
    <row r="1125">
      <c r="A1125" s="6">
        <f>Database!$A3210</f>
        <v/>
      </c>
      <c r="B1125">
        <f>IF(VLOOKUP(Table7[[#This Row],[Date]],Database!$A:$C,MATCH($B$1,Database!$A$1:$C$1,),)=0,#N/A,VLOOKUP(Table7[[#This Row],[Date]],Database!$A:$C,MATCH($B$1,Database!$A$1:$C$1,),))</f>
        <v/>
      </c>
      <c r="C1125">
        <f>IF(VLOOKUP(Table7[[#This Row],[Date]],Database!$A:$C,MATCH($C$1,Database!$A$1:$C$1,),)=0,#N/A,VLOOKUP(Table7[[#This Row],[Date]],Database!$A:$C,MATCH($C$1,Database!$A$1:$C$1,),))</f>
        <v/>
      </c>
      <c r="D1125">
        <f>IFERROR(Table7[[#This Row],[United States 10y]]-Table7[[#This Row],[United States 3y]],#N/A)</f>
        <v/>
      </c>
    </row>
    <row r="1126">
      <c r="A1126" s="6">
        <f>Database!$A3211</f>
        <v/>
      </c>
      <c r="B1126">
        <f>IF(VLOOKUP(Table7[[#This Row],[Date]],Database!$A:$C,MATCH($B$1,Database!$A$1:$C$1,),)=0,#N/A,VLOOKUP(Table7[[#This Row],[Date]],Database!$A:$C,MATCH($B$1,Database!$A$1:$C$1,),))</f>
        <v/>
      </c>
      <c r="C1126">
        <f>IF(VLOOKUP(Table7[[#This Row],[Date]],Database!$A:$C,MATCH($C$1,Database!$A$1:$C$1,),)=0,#N/A,VLOOKUP(Table7[[#This Row],[Date]],Database!$A:$C,MATCH($C$1,Database!$A$1:$C$1,),))</f>
        <v/>
      </c>
      <c r="D1126">
        <f>IFERROR(Table7[[#This Row],[United States 10y]]-Table7[[#This Row],[United States 3y]],#N/A)</f>
        <v/>
      </c>
    </row>
    <row r="1127">
      <c r="A1127" s="6">
        <f>Database!$A3212</f>
        <v/>
      </c>
      <c r="B1127">
        <f>IF(VLOOKUP(Table7[[#This Row],[Date]],Database!$A:$C,MATCH($B$1,Database!$A$1:$C$1,),)=0,#N/A,VLOOKUP(Table7[[#This Row],[Date]],Database!$A:$C,MATCH($B$1,Database!$A$1:$C$1,),))</f>
        <v/>
      </c>
      <c r="C1127">
        <f>IF(VLOOKUP(Table7[[#This Row],[Date]],Database!$A:$C,MATCH($C$1,Database!$A$1:$C$1,),)=0,#N/A,VLOOKUP(Table7[[#This Row],[Date]],Database!$A:$C,MATCH($C$1,Database!$A$1:$C$1,),))</f>
        <v/>
      </c>
      <c r="D1127">
        <f>IFERROR(Table7[[#This Row],[United States 10y]]-Table7[[#This Row],[United States 3y]],#N/A)</f>
        <v/>
      </c>
    </row>
    <row r="1128">
      <c r="A1128" s="6">
        <f>Database!$A3213</f>
        <v/>
      </c>
      <c r="B1128">
        <f>IF(VLOOKUP(Table7[[#This Row],[Date]],Database!$A:$C,MATCH($B$1,Database!$A$1:$C$1,),)=0,#N/A,VLOOKUP(Table7[[#This Row],[Date]],Database!$A:$C,MATCH($B$1,Database!$A$1:$C$1,),))</f>
        <v/>
      </c>
      <c r="C1128">
        <f>IF(VLOOKUP(Table7[[#This Row],[Date]],Database!$A:$C,MATCH($C$1,Database!$A$1:$C$1,),)=0,#N/A,VLOOKUP(Table7[[#This Row],[Date]],Database!$A:$C,MATCH($C$1,Database!$A$1:$C$1,),))</f>
        <v/>
      </c>
      <c r="D1128">
        <f>IFERROR(Table7[[#This Row],[United States 10y]]-Table7[[#This Row],[United States 3y]],#N/A)</f>
        <v/>
      </c>
    </row>
    <row r="1129">
      <c r="A1129" s="6">
        <f>Database!$A3214</f>
        <v/>
      </c>
      <c r="B1129">
        <f>IF(VLOOKUP(Table7[[#This Row],[Date]],Database!$A:$C,MATCH($B$1,Database!$A$1:$C$1,),)=0,#N/A,VLOOKUP(Table7[[#This Row],[Date]],Database!$A:$C,MATCH($B$1,Database!$A$1:$C$1,),))</f>
        <v/>
      </c>
      <c r="C1129">
        <f>IF(VLOOKUP(Table7[[#This Row],[Date]],Database!$A:$C,MATCH($C$1,Database!$A$1:$C$1,),)=0,#N/A,VLOOKUP(Table7[[#This Row],[Date]],Database!$A:$C,MATCH($C$1,Database!$A$1:$C$1,),))</f>
        <v/>
      </c>
      <c r="D1129">
        <f>IFERROR(Table7[[#This Row],[United States 10y]]-Table7[[#This Row],[United States 3y]],#N/A)</f>
        <v/>
      </c>
    </row>
    <row r="1130">
      <c r="A1130" s="6">
        <f>Database!$A3215</f>
        <v/>
      </c>
      <c r="B1130">
        <f>IF(VLOOKUP(Table7[[#This Row],[Date]],Database!$A:$C,MATCH($B$1,Database!$A$1:$C$1,),)=0,#N/A,VLOOKUP(Table7[[#This Row],[Date]],Database!$A:$C,MATCH($B$1,Database!$A$1:$C$1,),))</f>
        <v/>
      </c>
      <c r="C1130">
        <f>IF(VLOOKUP(Table7[[#This Row],[Date]],Database!$A:$C,MATCH($C$1,Database!$A$1:$C$1,),)=0,#N/A,VLOOKUP(Table7[[#This Row],[Date]],Database!$A:$C,MATCH($C$1,Database!$A$1:$C$1,),))</f>
        <v/>
      </c>
      <c r="D1130">
        <f>IFERROR(Table7[[#This Row],[United States 10y]]-Table7[[#This Row],[United States 3y]],#N/A)</f>
        <v/>
      </c>
    </row>
    <row r="1131">
      <c r="A1131" s="6">
        <f>Database!$A3216</f>
        <v/>
      </c>
      <c r="B1131">
        <f>IF(VLOOKUP(Table7[[#This Row],[Date]],Database!$A:$C,MATCH($B$1,Database!$A$1:$C$1,),)=0,#N/A,VLOOKUP(Table7[[#This Row],[Date]],Database!$A:$C,MATCH($B$1,Database!$A$1:$C$1,),))</f>
        <v/>
      </c>
      <c r="C1131">
        <f>IF(VLOOKUP(Table7[[#This Row],[Date]],Database!$A:$C,MATCH($C$1,Database!$A$1:$C$1,),)=0,#N/A,VLOOKUP(Table7[[#This Row],[Date]],Database!$A:$C,MATCH($C$1,Database!$A$1:$C$1,),))</f>
        <v/>
      </c>
      <c r="D1131">
        <f>IFERROR(Table7[[#This Row],[United States 10y]]-Table7[[#This Row],[United States 3y]],#N/A)</f>
        <v/>
      </c>
    </row>
    <row r="1132">
      <c r="A1132" s="6">
        <f>Database!$A3217</f>
        <v/>
      </c>
      <c r="B1132">
        <f>IF(VLOOKUP(Table7[[#This Row],[Date]],Database!$A:$C,MATCH($B$1,Database!$A$1:$C$1,),)=0,#N/A,VLOOKUP(Table7[[#This Row],[Date]],Database!$A:$C,MATCH($B$1,Database!$A$1:$C$1,),))</f>
        <v/>
      </c>
      <c r="C1132">
        <f>IF(VLOOKUP(Table7[[#This Row],[Date]],Database!$A:$C,MATCH($C$1,Database!$A$1:$C$1,),)=0,#N/A,VLOOKUP(Table7[[#This Row],[Date]],Database!$A:$C,MATCH($C$1,Database!$A$1:$C$1,),))</f>
        <v/>
      </c>
      <c r="D1132">
        <f>IFERROR(Table7[[#This Row],[United States 10y]]-Table7[[#This Row],[United States 3y]],#N/A)</f>
        <v/>
      </c>
    </row>
    <row r="1133">
      <c r="A1133" s="6">
        <f>Database!$A3218</f>
        <v/>
      </c>
      <c r="B1133">
        <f>IF(VLOOKUP(Table7[[#This Row],[Date]],Database!$A:$C,MATCH($B$1,Database!$A$1:$C$1,),)=0,#N/A,VLOOKUP(Table7[[#This Row],[Date]],Database!$A:$C,MATCH($B$1,Database!$A$1:$C$1,),))</f>
        <v/>
      </c>
      <c r="C1133">
        <f>IF(VLOOKUP(Table7[[#This Row],[Date]],Database!$A:$C,MATCH($C$1,Database!$A$1:$C$1,),)=0,#N/A,VLOOKUP(Table7[[#This Row],[Date]],Database!$A:$C,MATCH($C$1,Database!$A$1:$C$1,),))</f>
        <v/>
      </c>
      <c r="D1133">
        <f>IFERROR(Table7[[#This Row],[United States 10y]]-Table7[[#This Row],[United States 3y]],#N/A)</f>
        <v/>
      </c>
    </row>
    <row r="1134">
      <c r="A1134" s="6">
        <f>Database!$A3219</f>
        <v/>
      </c>
      <c r="B1134">
        <f>IF(VLOOKUP(Table7[[#This Row],[Date]],Database!$A:$C,MATCH($B$1,Database!$A$1:$C$1,),)=0,#N/A,VLOOKUP(Table7[[#This Row],[Date]],Database!$A:$C,MATCH($B$1,Database!$A$1:$C$1,),))</f>
        <v/>
      </c>
      <c r="C1134">
        <f>IF(VLOOKUP(Table7[[#This Row],[Date]],Database!$A:$C,MATCH($C$1,Database!$A$1:$C$1,),)=0,#N/A,VLOOKUP(Table7[[#This Row],[Date]],Database!$A:$C,MATCH($C$1,Database!$A$1:$C$1,),))</f>
        <v/>
      </c>
      <c r="D1134">
        <f>IFERROR(Table7[[#This Row],[United States 10y]]-Table7[[#This Row],[United States 3y]],#N/A)</f>
        <v/>
      </c>
    </row>
    <row r="1135">
      <c r="A1135" s="6">
        <f>Database!$A3220</f>
        <v/>
      </c>
      <c r="B1135">
        <f>IF(VLOOKUP(Table7[[#This Row],[Date]],Database!$A:$C,MATCH($B$1,Database!$A$1:$C$1,),)=0,#N/A,VLOOKUP(Table7[[#This Row],[Date]],Database!$A:$C,MATCH($B$1,Database!$A$1:$C$1,),))</f>
        <v/>
      </c>
      <c r="C1135">
        <f>IF(VLOOKUP(Table7[[#This Row],[Date]],Database!$A:$C,MATCH($C$1,Database!$A$1:$C$1,),)=0,#N/A,VLOOKUP(Table7[[#This Row],[Date]],Database!$A:$C,MATCH($C$1,Database!$A$1:$C$1,),))</f>
        <v/>
      </c>
      <c r="D1135">
        <f>IFERROR(Table7[[#This Row],[United States 10y]]-Table7[[#This Row],[United States 3y]],#N/A)</f>
        <v/>
      </c>
    </row>
    <row r="1136">
      <c r="A1136" s="6">
        <f>Database!$A3221</f>
        <v/>
      </c>
      <c r="B1136">
        <f>IF(VLOOKUP(Table7[[#This Row],[Date]],Database!$A:$C,MATCH($B$1,Database!$A$1:$C$1,),)=0,#N/A,VLOOKUP(Table7[[#This Row],[Date]],Database!$A:$C,MATCH($B$1,Database!$A$1:$C$1,),))</f>
        <v/>
      </c>
      <c r="C1136">
        <f>IF(VLOOKUP(Table7[[#This Row],[Date]],Database!$A:$C,MATCH($C$1,Database!$A$1:$C$1,),)=0,#N/A,VLOOKUP(Table7[[#This Row],[Date]],Database!$A:$C,MATCH($C$1,Database!$A$1:$C$1,),))</f>
        <v/>
      </c>
      <c r="D1136">
        <f>IFERROR(Table7[[#This Row],[United States 10y]]-Table7[[#This Row],[United States 3y]],#N/A)</f>
        <v/>
      </c>
    </row>
    <row r="1137">
      <c r="A1137" s="6">
        <f>Database!$A3222</f>
        <v/>
      </c>
      <c r="B1137">
        <f>IF(VLOOKUP(Table7[[#This Row],[Date]],Database!$A:$C,MATCH($B$1,Database!$A$1:$C$1,),)=0,#N/A,VLOOKUP(Table7[[#This Row],[Date]],Database!$A:$C,MATCH($B$1,Database!$A$1:$C$1,),))</f>
        <v/>
      </c>
      <c r="C1137">
        <f>IF(VLOOKUP(Table7[[#This Row],[Date]],Database!$A:$C,MATCH($C$1,Database!$A$1:$C$1,),)=0,#N/A,VLOOKUP(Table7[[#This Row],[Date]],Database!$A:$C,MATCH($C$1,Database!$A$1:$C$1,),))</f>
        <v/>
      </c>
      <c r="D1137">
        <f>IFERROR(Table7[[#This Row],[United States 10y]]-Table7[[#This Row],[United States 3y]],#N/A)</f>
        <v/>
      </c>
    </row>
    <row r="1138">
      <c r="A1138" s="6">
        <f>Database!$A3223</f>
        <v/>
      </c>
      <c r="B1138">
        <f>IF(VLOOKUP(Table7[[#This Row],[Date]],Database!$A:$C,MATCH($B$1,Database!$A$1:$C$1,),)=0,#N/A,VLOOKUP(Table7[[#This Row],[Date]],Database!$A:$C,MATCH($B$1,Database!$A$1:$C$1,),))</f>
        <v/>
      </c>
      <c r="C1138">
        <f>IF(VLOOKUP(Table7[[#This Row],[Date]],Database!$A:$C,MATCH($C$1,Database!$A$1:$C$1,),)=0,#N/A,VLOOKUP(Table7[[#This Row],[Date]],Database!$A:$C,MATCH($C$1,Database!$A$1:$C$1,),))</f>
        <v/>
      </c>
      <c r="D1138">
        <f>IFERROR(Table7[[#This Row],[United States 10y]]-Table7[[#This Row],[United States 3y]],#N/A)</f>
        <v/>
      </c>
    </row>
    <row r="1139">
      <c r="A1139" s="6">
        <f>Database!$A3224</f>
        <v/>
      </c>
      <c r="B1139">
        <f>IF(VLOOKUP(Table7[[#This Row],[Date]],Database!$A:$C,MATCH($B$1,Database!$A$1:$C$1,),)=0,#N/A,VLOOKUP(Table7[[#This Row],[Date]],Database!$A:$C,MATCH($B$1,Database!$A$1:$C$1,),))</f>
        <v/>
      </c>
      <c r="C1139">
        <f>IF(VLOOKUP(Table7[[#This Row],[Date]],Database!$A:$C,MATCH($C$1,Database!$A$1:$C$1,),)=0,#N/A,VLOOKUP(Table7[[#This Row],[Date]],Database!$A:$C,MATCH($C$1,Database!$A$1:$C$1,),))</f>
        <v/>
      </c>
      <c r="D1139">
        <f>IFERROR(Table7[[#This Row],[United States 10y]]-Table7[[#This Row],[United States 3y]],#N/A)</f>
        <v/>
      </c>
    </row>
    <row r="1140">
      <c r="A1140" s="6">
        <f>Database!$A3225</f>
        <v/>
      </c>
      <c r="B1140">
        <f>IF(VLOOKUP(Table7[[#This Row],[Date]],Database!$A:$C,MATCH($B$1,Database!$A$1:$C$1,),)=0,#N/A,VLOOKUP(Table7[[#This Row],[Date]],Database!$A:$C,MATCH($B$1,Database!$A$1:$C$1,),))</f>
        <v/>
      </c>
      <c r="C1140">
        <f>IF(VLOOKUP(Table7[[#This Row],[Date]],Database!$A:$C,MATCH($C$1,Database!$A$1:$C$1,),)=0,#N/A,VLOOKUP(Table7[[#This Row],[Date]],Database!$A:$C,MATCH($C$1,Database!$A$1:$C$1,),))</f>
        <v/>
      </c>
      <c r="D1140">
        <f>IFERROR(Table7[[#This Row],[United States 10y]]-Table7[[#This Row],[United States 3y]],#N/A)</f>
        <v/>
      </c>
    </row>
    <row r="1141">
      <c r="A1141" s="6">
        <f>Database!$A3226</f>
        <v/>
      </c>
      <c r="B1141">
        <f>IF(VLOOKUP(Table7[[#This Row],[Date]],Database!$A:$C,MATCH($B$1,Database!$A$1:$C$1,),)=0,#N/A,VLOOKUP(Table7[[#This Row],[Date]],Database!$A:$C,MATCH($B$1,Database!$A$1:$C$1,),))</f>
        <v/>
      </c>
      <c r="C1141">
        <f>IF(VLOOKUP(Table7[[#This Row],[Date]],Database!$A:$C,MATCH($C$1,Database!$A$1:$C$1,),)=0,#N/A,VLOOKUP(Table7[[#This Row],[Date]],Database!$A:$C,MATCH($C$1,Database!$A$1:$C$1,),))</f>
        <v/>
      </c>
      <c r="D1141">
        <f>IFERROR(Table7[[#This Row],[United States 10y]]-Table7[[#This Row],[United States 3y]],#N/A)</f>
        <v/>
      </c>
    </row>
    <row r="1142">
      <c r="A1142" s="6">
        <f>Database!$A3227</f>
        <v/>
      </c>
      <c r="B1142">
        <f>IF(VLOOKUP(Table7[[#This Row],[Date]],Database!$A:$C,MATCH($B$1,Database!$A$1:$C$1,),)=0,#N/A,VLOOKUP(Table7[[#This Row],[Date]],Database!$A:$C,MATCH($B$1,Database!$A$1:$C$1,),))</f>
        <v/>
      </c>
      <c r="C1142">
        <f>IF(VLOOKUP(Table7[[#This Row],[Date]],Database!$A:$C,MATCH($C$1,Database!$A$1:$C$1,),)=0,#N/A,VLOOKUP(Table7[[#This Row],[Date]],Database!$A:$C,MATCH($C$1,Database!$A$1:$C$1,),))</f>
        <v/>
      </c>
      <c r="D1142">
        <f>IFERROR(Table7[[#This Row],[United States 10y]]-Table7[[#This Row],[United States 3y]],#N/A)</f>
        <v/>
      </c>
    </row>
    <row r="1143">
      <c r="A1143" s="6">
        <f>Database!$A3228</f>
        <v/>
      </c>
      <c r="B1143">
        <f>IF(VLOOKUP(Table7[[#This Row],[Date]],Database!$A:$C,MATCH($B$1,Database!$A$1:$C$1,),)=0,#N/A,VLOOKUP(Table7[[#This Row],[Date]],Database!$A:$C,MATCH($B$1,Database!$A$1:$C$1,),))</f>
        <v/>
      </c>
      <c r="C1143">
        <f>IF(VLOOKUP(Table7[[#This Row],[Date]],Database!$A:$C,MATCH($C$1,Database!$A$1:$C$1,),)=0,#N/A,VLOOKUP(Table7[[#This Row],[Date]],Database!$A:$C,MATCH($C$1,Database!$A$1:$C$1,),))</f>
        <v/>
      </c>
      <c r="D1143">
        <f>IFERROR(Table7[[#This Row],[United States 10y]]-Table7[[#This Row],[United States 3y]],#N/A)</f>
        <v/>
      </c>
    </row>
    <row r="1144">
      <c r="A1144" s="6">
        <f>Database!$A3229</f>
        <v/>
      </c>
      <c r="B1144">
        <f>IF(VLOOKUP(Table7[[#This Row],[Date]],Database!$A:$C,MATCH($B$1,Database!$A$1:$C$1,),)=0,#N/A,VLOOKUP(Table7[[#This Row],[Date]],Database!$A:$C,MATCH($B$1,Database!$A$1:$C$1,),))</f>
        <v/>
      </c>
      <c r="C1144">
        <f>IF(VLOOKUP(Table7[[#This Row],[Date]],Database!$A:$C,MATCH($C$1,Database!$A$1:$C$1,),)=0,#N/A,VLOOKUP(Table7[[#This Row],[Date]],Database!$A:$C,MATCH($C$1,Database!$A$1:$C$1,),))</f>
        <v/>
      </c>
      <c r="D1144">
        <f>IFERROR(Table7[[#This Row],[United States 10y]]-Table7[[#This Row],[United States 3y]],#N/A)</f>
        <v/>
      </c>
    </row>
    <row r="1145">
      <c r="A1145" s="6">
        <f>Database!$A3230</f>
        <v/>
      </c>
      <c r="B1145">
        <f>IF(VLOOKUP(Table7[[#This Row],[Date]],Database!$A:$C,MATCH($B$1,Database!$A$1:$C$1,),)=0,#N/A,VLOOKUP(Table7[[#This Row],[Date]],Database!$A:$C,MATCH($B$1,Database!$A$1:$C$1,),))</f>
        <v/>
      </c>
      <c r="C1145">
        <f>IF(VLOOKUP(Table7[[#This Row],[Date]],Database!$A:$C,MATCH($C$1,Database!$A$1:$C$1,),)=0,#N/A,VLOOKUP(Table7[[#This Row],[Date]],Database!$A:$C,MATCH($C$1,Database!$A$1:$C$1,),))</f>
        <v/>
      </c>
      <c r="D1145">
        <f>IFERROR(Table7[[#This Row],[United States 10y]]-Table7[[#This Row],[United States 3y]],#N/A)</f>
        <v/>
      </c>
    </row>
    <row r="1146">
      <c r="A1146" s="6">
        <f>Database!$A3231</f>
        <v/>
      </c>
      <c r="B1146">
        <f>IF(VLOOKUP(Table7[[#This Row],[Date]],Database!$A:$C,MATCH($B$1,Database!$A$1:$C$1,),)=0,#N/A,VLOOKUP(Table7[[#This Row],[Date]],Database!$A:$C,MATCH($B$1,Database!$A$1:$C$1,),))</f>
        <v/>
      </c>
      <c r="C1146">
        <f>IF(VLOOKUP(Table7[[#This Row],[Date]],Database!$A:$C,MATCH($C$1,Database!$A$1:$C$1,),)=0,#N/A,VLOOKUP(Table7[[#This Row],[Date]],Database!$A:$C,MATCH($C$1,Database!$A$1:$C$1,),))</f>
        <v/>
      </c>
      <c r="D1146">
        <f>IFERROR(Table7[[#This Row],[United States 10y]]-Table7[[#This Row],[United States 3y]],#N/A)</f>
        <v/>
      </c>
    </row>
    <row r="1147">
      <c r="A1147" s="6">
        <f>Database!$A3232</f>
        <v/>
      </c>
      <c r="B1147">
        <f>IF(VLOOKUP(Table7[[#This Row],[Date]],Database!$A:$C,MATCH($B$1,Database!$A$1:$C$1,),)=0,#N/A,VLOOKUP(Table7[[#This Row],[Date]],Database!$A:$C,MATCH($B$1,Database!$A$1:$C$1,),))</f>
        <v/>
      </c>
      <c r="C1147">
        <f>IF(VLOOKUP(Table7[[#This Row],[Date]],Database!$A:$C,MATCH($C$1,Database!$A$1:$C$1,),)=0,#N/A,VLOOKUP(Table7[[#This Row],[Date]],Database!$A:$C,MATCH($C$1,Database!$A$1:$C$1,),))</f>
        <v/>
      </c>
      <c r="D1147">
        <f>IFERROR(Table7[[#This Row],[United States 10y]]-Table7[[#This Row],[United States 3y]],#N/A)</f>
        <v/>
      </c>
    </row>
    <row r="1148">
      <c r="A1148" s="6">
        <f>Database!$A3233</f>
        <v/>
      </c>
      <c r="B1148">
        <f>IF(VLOOKUP(Table7[[#This Row],[Date]],Database!$A:$C,MATCH($B$1,Database!$A$1:$C$1,),)=0,#N/A,VLOOKUP(Table7[[#This Row],[Date]],Database!$A:$C,MATCH($B$1,Database!$A$1:$C$1,),))</f>
        <v/>
      </c>
      <c r="C1148">
        <f>IF(VLOOKUP(Table7[[#This Row],[Date]],Database!$A:$C,MATCH($C$1,Database!$A$1:$C$1,),)=0,#N/A,VLOOKUP(Table7[[#This Row],[Date]],Database!$A:$C,MATCH($C$1,Database!$A$1:$C$1,),))</f>
        <v/>
      </c>
      <c r="D1148">
        <f>IFERROR(Table7[[#This Row],[United States 10y]]-Table7[[#This Row],[United States 3y]],#N/A)</f>
        <v/>
      </c>
    </row>
    <row r="1149">
      <c r="A1149" s="6">
        <f>Database!$A3234</f>
        <v/>
      </c>
      <c r="B1149">
        <f>IF(VLOOKUP(Table7[[#This Row],[Date]],Database!$A:$C,MATCH($B$1,Database!$A$1:$C$1,),)=0,#N/A,VLOOKUP(Table7[[#This Row],[Date]],Database!$A:$C,MATCH($B$1,Database!$A$1:$C$1,),))</f>
        <v/>
      </c>
      <c r="C1149">
        <f>IF(VLOOKUP(Table7[[#This Row],[Date]],Database!$A:$C,MATCH($C$1,Database!$A$1:$C$1,),)=0,#N/A,VLOOKUP(Table7[[#This Row],[Date]],Database!$A:$C,MATCH($C$1,Database!$A$1:$C$1,),))</f>
        <v/>
      </c>
      <c r="D1149">
        <f>IFERROR(Table7[[#This Row],[United States 10y]]-Table7[[#This Row],[United States 3y]],#N/A)</f>
        <v/>
      </c>
    </row>
    <row r="1150">
      <c r="A1150" s="6">
        <f>Database!$A3235</f>
        <v/>
      </c>
      <c r="B1150">
        <f>IF(VLOOKUP(Table7[[#This Row],[Date]],Database!$A:$C,MATCH($B$1,Database!$A$1:$C$1,),)=0,#N/A,VLOOKUP(Table7[[#This Row],[Date]],Database!$A:$C,MATCH($B$1,Database!$A$1:$C$1,),))</f>
        <v/>
      </c>
      <c r="C1150">
        <f>IF(VLOOKUP(Table7[[#This Row],[Date]],Database!$A:$C,MATCH($C$1,Database!$A$1:$C$1,),)=0,#N/A,VLOOKUP(Table7[[#This Row],[Date]],Database!$A:$C,MATCH($C$1,Database!$A$1:$C$1,),))</f>
        <v/>
      </c>
      <c r="D1150">
        <f>IFERROR(Table7[[#This Row],[United States 10y]]-Table7[[#This Row],[United States 3y]],#N/A)</f>
        <v/>
      </c>
    </row>
    <row r="1151">
      <c r="A1151" s="6">
        <f>Database!$A3236</f>
        <v/>
      </c>
      <c r="B1151">
        <f>IF(VLOOKUP(Table7[[#This Row],[Date]],Database!$A:$C,MATCH($B$1,Database!$A$1:$C$1,),)=0,#N/A,VLOOKUP(Table7[[#This Row],[Date]],Database!$A:$C,MATCH($B$1,Database!$A$1:$C$1,),))</f>
        <v/>
      </c>
      <c r="C1151">
        <f>IF(VLOOKUP(Table7[[#This Row],[Date]],Database!$A:$C,MATCH($C$1,Database!$A$1:$C$1,),)=0,#N/A,VLOOKUP(Table7[[#This Row],[Date]],Database!$A:$C,MATCH($C$1,Database!$A$1:$C$1,),))</f>
        <v/>
      </c>
      <c r="D1151">
        <f>IFERROR(Table7[[#This Row],[United States 10y]]-Table7[[#This Row],[United States 3y]],#N/A)</f>
        <v/>
      </c>
    </row>
    <row r="1152">
      <c r="A1152" s="6">
        <f>Database!$A3237</f>
        <v/>
      </c>
      <c r="B1152">
        <f>IF(VLOOKUP(Table7[[#This Row],[Date]],Database!$A:$C,MATCH($B$1,Database!$A$1:$C$1,),)=0,#N/A,VLOOKUP(Table7[[#This Row],[Date]],Database!$A:$C,MATCH($B$1,Database!$A$1:$C$1,),))</f>
        <v/>
      </c>
      <c r="C1152">
        <f>IF(VLOOKUP(Table7[[#This Row],[Date]],Database!$A:$C,MATCH($C$1,Database!$A$1:$C$1,),)=0,#N/A,VLOOKUP(Table7[[#This Row],[Date]],Database!$A:$C,MATCH($C$1,Database!$A$1:$C$1,),))</f>
        <v/>
      </c>
      <c r="D1152">
        <f>IFERROR(Table7[[#This Row],[United States 10y]]-Table7[[#This Row],[United States 3y]],#N/A)</f>
        <v/>
      </c>
    </row>
    <row r="1153">
      <c r="A1153" s="6">
        <f>Database!$A3238</f>
        <v/>
      </c>
      <c r="B1153">
        <f>IF(VLOOKUP(Table7[[#This Row],[Date]],Database!$A:$C,MATCH($B$1,Database!$A$1:$C$1,),)=0,#N/A,VLOOKUP(Table7[[#This Row],[Date]],Database!$A:$C,MATCH($B$1,Database!$A$1:$C$1,),))</f>
        <v/>
      </c>
      <c r="C1153">
        <f>IF(VLOOKUP(Table7[[#This Row],[Date]],Database!$A:$C,MATCH($C$1,Database!$A$1:$C$1,),)=0,#N/A,VLOOKUP(Table7[[#This Row],[Date]],Database!$A:$C,MATCH($C$1,Database!$A$1:$C$1,),))</f>
        <v/>
      </c>
      <c r="D1153">
        <f>IFERROR(Table7[[#This Row],[United States 10y]]-Table7[[#This Row],[United States 3y]],#N/A)</f>
        <v/>
      </c>
    </row>
    <row r="1154">
      <c r="A1154" s="6">
        <f>Database!$A3239</f>
        <v/>
      </c>
      <c r="B1154">
        <f>IF(VLOOKUP(Table7[[#This Row],[Date]],Database!$A:$C,MATCH($B$1,Database!$A$1:$C$1,),)=0,#N/A,VLOOKUP(Table7[[#This Row],[Date]],Database!$A:$C,MATCH($B$1,Database!$A$1:$C$1,),))</f>
        <v/>
      </c>
      <c r="C1154">
        <f>IF(VLOOKUP(Table7[[#This Row],[Date]],Database!$A:$C,MATCH($C$1,Database!$A$1:$C$1,),)=0,#N/A,VLOOKUP(Table7[[#This Row],[Date]],Database!$A:$C,MATCH($C$1,Database!$A$1:$C$1,),))</f>
        <v/>
      </c>
      <c r="D1154">
        <f>IFERROR(Table7[[#This Row],[United States 10y]]-Table7[[#This Row],[United States 3y]],#N/A)</f>
        <v/>
      </c>
    </row>
    <row r="1155">
      <c r="A1155" s="6">
        <f>Database!$A3240</f>
        <v/>
      </c>
      <c r="B1155">
        <f>IF(VLOOKUP(Table7[[#This Row],[Date]],Database!$A:$C,MATCH($B$1,Database!$A$1:$C$1,),)=0,#N/A,VLOOKUP(Table7[[#This Row],[Date]],Database!$A:$C,MATCH($B$1,Database!$A$1:$C$1,),))</f>
        <v/>
      </c>
      <c r="C1155">
        <f>IF(VLOOKUP(Table7[[#This Row],[Date]],Database!$A:$C,MATCH($C$1,Database!$A$1:$C$1,),)=0,#N/A,VLOOKUP(Table7[[#This Row],[Date]],Database!$A:$C,MATCH($C$1,Database!$A$1:$C$1,),))</f>
        <v/>
      </c>
      <c r="D1155">
        <f>IFERROR(Table7[[#This Row],[United States 10y]]-Table7[[#This Row],[United States 3y]],#N/A)</f>
        <v/>
      </c>
    </row>
    <row r="1156">
      <c r="A1156" s="6">
        <f>Database!$A3241</f>
        <v/>
      </c>
      <c r="B1156">
        <f>IF(VLOOKUP(Table7[[#This Row],[Date]],Database!$A:$C,MATCH($B$1,Database!$A$1:$C$1,),)=0,#N/A,VLOOKUP(Table7[[#This Row],[Date]],Database!$A:$C,MATCH($B$1,Database!$A$1:$C$1,),))</f>
        <v/>
      </c>
      <c r="C1156">
        <f>IF(VLOOKUP(Table7[[#This Row],[Date]],Database!$A:$C,MATCH($C$1,Database!$A$1:$C$1,),)=0,#N/A,VLOOKUP(Table7[[#This Row],[Date]],Database!$A:$C,MATCH($C$1,Database!$A$1:$C$1,),))</f>
        <v/>
      </c>
      <c r="D1156">
        <f>IFERROR(Table7[[#This Row],[United States 10y]]-Table7[[#This Row],[United States 3y]],#N/A)</f>
        <v/>
      </c>
    </row>
    <row r="1157">
      <c r="A1157" s="6">
        <f>Database!$A3242</f>
        <v/>
      </c>
      <c r="B1157">
        <f>IF(VLOOKUP(Table7[[#This Row],[Date]],Database!$A:$C,MATCH($B$1,Database!$A$1:$C$1,),)=0,#N/A,VLOOKUP(Table7[[#This Row],[Date]],Database!$A:$C,MATCH($B$1,Database!$A$1:$C$1,),))</f>
        <v/>
      </c>
      <c r="C1157">
        <f>IF(VLOOKUP(Table7[[#This Row],[Date]],Database!$A:$C,MATCH($C$1,Database!$A$1:$C$1,),)=0,#N/A,VLOOKUP(Table7[[#This Row],[Date]],Database!$A:$C,MATCH($C$1,Database!$A$1:$C$1,),))</f>
        <v/>
      </c>
      <c r="D1157">
        <f>IFERROR(Table7[[#This Row],[United States 10y]]-Table7[[#This Row],[United States 3y]],#N/A)</f>
        <v/>
      </c>
    </row>
    <row r="1158">
      <c r="A1158" s="6">
        <f>Database!$A3243</f>
        <v/>
      </c>
      <c r="B1158">
        <f>IF(VLOOKUP(Table7[[#This Row],[Date]],Database!$A:$C,MATCH($B$1,Database!$A$1:$C$1,),)=0,#N/A,VLOOKUP(Table7[[#This Row],[Date]],Database!$A:$C,MATCH($B$1,Database!$A$1:$C$1,),))</f>
        <v/>
      </c>
      <c r="C1158">
        <f>IF(VLOOKUP(Table7[[#This Row],[Date]],Database!$A:$C,MATCH($C$1,Database!$A$1:$C$1,),)=0,#N/A,VLOOKUP(Table7[[#This Row],[Date]],Database!$A:$C,MATCH($C$1,Database!$A$1:$C$1,),))</f>
        <v/>
      </c>
      <c r="D1158">
        <f>IFERROR(Table7[[#This Row],[United States 10y]]-Table7[[#This Row],[United States 3y]],#N/A)</f>
        <v/>
      </c>
    </row>
    <row r="1159">
      <c r="A1159" s="6">
        <f>Database!$A3244</f>
        <v/>
      </c>
      <c r="B1159">
        <f>IF(VLOOKUP(Table7[[#This Row],[Date]],Database!$A:$C,MATCH($B$1,Database!$A$1:$C$1,),)=0,#N/A,VLOOKUP(Table7[[#This Row],[Date]],Database!$A:$C,MATCH($B$1,Database!$A$1:$C$1,),))</f>
        <v/>
      </c>
      <c r="C1159">
        <f>IF(VLOOKUP(Table7[[#This Row],[Date]],Database!$A:$C,MATCH($C$1,Database!$A$1:$C$1,),)=0,#N/A,VLOOKUP(Table7[[#This Row],[Date]],Database!$A:$C,MATCH($C$1,Database!$A$1:$C$1,),))</f>
        <v/>
      </c>
      <c r="D1159">
        <f>IFERROR(Table7[[#This Row],[United States 10y]]-Table7[[#This Row],[United States 3y]],#N/A)</f>
        <v/>
      </c>
    </row>
    <row r="1160">
      <c r="A1160" s="6">
        <f>Database!$A3245</f>
        <v/>
      </c>
      <c r="B1160">
        <f>IF(VLOOKUP(Table7[[#This Row],[Date]],Database!$A:$C,MATCH($B$1,Database!$A$1:$C$1,),)=0,#N/A,VLOOKUP(Table7[[#This Row],[Date]],Database!$A:$C,MATCH($B$1,Database!$A$1:$C$1,),))</f>
        <v/>
      </c>
      <c r="C1160">
        <f>IF(VLOOKUP(Table7[[#This Row],[Date]],Database!$A:$C,MATCH($C$1,Database!$A$1:$C$1,),)=0,#N/A,VLOOKUP(Table7[[#This Row],[Date]],Database!$A:$C,MATCH($C$1,Database!$A$1:$C$1,),))</f>
        <v/>
      </c>
      <c r="D1160">
        <f>IFERROR(Table7[[#This Row],[United States 10y]]-Table7[[#This Row],[United States 3y]],#N/A)</f>
        <v/>
      </c>
    </row>
    <row r="1161">
      <c r="A1161" s="6">
        <f>Database!$A3246</f>
        <v/>
      </c>
      <c r="B1161">
        <f>IF(VLOOKUP(Table7[[#This Row],[Date]],Database!$A:$C,MATCH($B$1,Database!$A$1:$C$1,),)=0,#N/A,VLOOKUP(Table7[[#This Row],[Date]],Database!$A:$C,MATCH($B$1,Database!$A$1:$C$1,),))</f>
        <v/>
      </c>
      <c r="C1161">
        <f>IF(VLOOKUP(Table7[[#This Row],[Date]],Database!$A:$C,MATCH($C$1,Database!$A$1:$C$1,),)=0,#N/A,VLOOKUP(Table7[[#This Row],[Date]],Database!$A:$C,MATCH($C$1,Database!$A$1:$C$1,),))</f>
        <v/>
      </c>
      <c r="D1161">
        <f>IFERROR(Table7[[#This Row],[United States 10y]]-Table7[[#This Row],[United States 3y]],#N/A)</f>
        <v/>
      </c>
    </row>
    <row r="1162">
      <c r="A1162" s="6">
        <f>Database!$A3247</f>
        <v/>
      </c>
      <c r="B1162">
        <f>IF(VLOOKUP(Table7[[#This Row],[Date]],Database!$A:$C,MATCH($B$1,Database!$A$1:$C$1,),)=0,#N/A,VLOOKUP(Table7[[#This Row],[Date]],Database!$A:$C,MATCH($B$1,Database!$A$1:$C$1,),))</f>
        <v/>
      </c>
      <c r="C1162">
        <f>IF(VLOOKUP(Table7[[#This Row],[Date]],Database!$A:$C,MATCH($C$1,Database!$A$1:$C$1,),)=0,#N/A,VLOOKUP(Table7[[#This Row],[Date]],Database!$A:$C,MATCH($C$1,Database!$A$1:$C$1,),))</f>
        <v/>
      </c>
      <c r="D1162">
        <f>IFERROR(Table7[[#This Row],[United States 10y]]-Table7[[#This Row],[United States 3y]],#N/A)</f>
        <v/>
      </c>
    </row>
    <row r="1163">
      <c r="A1163" s="6">
        <f>Database!$A3248</f>
        <v/>
      </c>
      <c r="B1163">
        <f>IF(VLOOKUP(Table7[[#This Row],[Date]],Database!$A:$C,MATCH($B$1,Database!$A$1:$C$1,),)=0,#N/A,VLOOKUP(Table7[[#This Row],[Date]],Database!$A:$C,MATCH($B$1,Database!$A$1:$C$1,),))</f>
        <v/>
      </c>
      <c r="C1163">
        <f>IF(VLOOKUP(Table7[[#This Row],[Date]],Database!$A:$C,MATCH($C$1,Database!$A$1:$C$1,),)=0,#N/A,VLOOKUP(Table7[[#This Row],[Date]],Database!$A:$C,MATCH($C$1,Database!$A$1:$C$1,),))</f>
        <v/>
      </c>
      <c r="D1163">
        <f>IFERROR(Table7[[#This Row],[United States 10y]]-Table7[[#This Row],[United States 3y]],#N/A)</f>
        <v/>
      </c>
    </row>
    <row r="1164">
      <c r="A1164" s="6">
        <f>Database!$A3249</f>
        <v/>
      </c>
      <c r="B1164">
        <f>IF(VLOOKUP(Table7[[#This Row],[Date]],Database!$A:$C,MATCH($B$1,Database!$A$1:$C$1,),)=0,#N/A,VLOOKUP(Table7[[#This Row],[Date]],Database!$A:$C,MATCH($B$1,Database!$A$1:$C$1,),))</f>
        <v/>
      </c>
      <c r="C1164">
        <f>IF(VLOOKUP(Table7[[#This Row],[Date]],Database!$A:$C,MATCH($C$1,Database!$A$1:$C$1,),)=0,#N/A,VLOOKUP(Table7[[#This Row],[Date]],Database!$A:$C,MATCH($C$1,Database!$A$1:$C$1,),))</f>
        <v/>
      </c>
      <c r="D1164">
        <f>IFERROR(Table7[[#This Row],[United States 10y]]-Table7[[#This Row],[United States 3y]],#N/A)</f>
        <v/>
      </c>
    </row>
    <row r="1165">
      <c r="A1165" s="6">
        <f>Database!$A3250</f>
        <v/>
      </c>
      <c r="B1165">
        <f>IF(VLOOKUP(Table7[[#This Row],[Date]],Database!$A:$C,MATCH($B$1,Database!$A$1:$C$1,),)=0,#N/A,VLOOKUP(Table7[[#This Row],[Date]],Database!$A:$C,MATCH($B$1,Database!$A$1:$C$1,),))</f>
        <v/>
      </c>
      <c r="C1165">
        <f>IF(VLOOKUP(Table7[[#This Row],[Date]],Database!$A:$C,MATCH($C$1,Database!$A$1:$C$1,),)=0,#N/A,VLOOKUP(Table7[[#This Row],[Date]],Database!$A:$C,MATCH($C$1,Database!$A$1:$C$1,),))</f>
        <v/>
      </c>
      <c r="D1165">
        <f>IFERROR(Table7[[#This Row],[United States 10y]]-Table7[[#This Row],[United States 3y]],#N/A)</f>
        <v/>
      </c>
    </row>
    <row r="1166">
      <c r="A1166" s="6">
        <f>Database!$A3251</f>
        <v/>
      </c>
      <c r="B1166">
        <f>IF(VLOOKUP(Table7[[#This Row],[Date]],Database!$A:$C,MATCH($B$1,Database!$A$1:$C$1,),)=0,#N/A,VLOOKUP(Table7[[#This Row],[Date]],Database!$A:$C,MATCH($B$1,Database!$A$1:$C$1,),))</f>
        <v/>
      </c>
      <c r="C1166">
        <f>IF(VLOOKUP(Table7[[#This Row],[Date]],Database!$A:$C,MATCH($C$1,Database!$A$1:$C$1,),)=0,#N/A,VLOOKUP(Table7[[#This Row],[Date]],Database!$A:$C,MATCH($C$1,Database!$A$1:$C$1,),))</f>
        <v/>
      </c>
      <c r="D1166">
        <f>IFERROR(Table7[[#This Row],[United States 10y]]-Table7[[#This Row],[United States 3y]],#N/A)</f>
        <v/>
      </c>
    </row>
    <row r="1167">
      <c r="A1167" s="6">
        <f>Database!$A3252</f>
        <v/>
      </c>
      <c r="B1167">
        <f>IF(VLOOKUP(Table7[[#This Row],[Date]],Database!$A:$C,MATCH($B$1,Database!$A$1:$C$1,),)=0,#N/A,VLOOKUP(Table7[[#This Row],[Date]],Database!$A:$C,MATCH($B$1,Database!$A$1:$C$1,),))</f>
        <v/>
      </c>
      <c r="C1167">
        <f>IF(VLOOKUP(Table7[[#This Row],[Date]],Database!$A:$C,MATCH($C$1,Database!$A$1:$C$1,),)=0,#N/A,VLOOKUP(Table7[[#This Row],[Date]],Database!$A:$C,MATCH($C$1,Database!$A$1:$C$1,),))</f>
        <v/>
      </c>
      <c r="D1167">
        <f>IFERROR(Table7[[#This Row],[United States 10y]]-Table7[[#This Row],[United States 3y]],#N/A)</f>
        <v/>
      </c>
    </row>
    <row r="1168">
      <c r="A1168" s="6">
        <f>Database!$A3253</f>
        <v/>
      </c>
      <c r="B1168">
        <f>IF(VLOOKUP(Table7[[#This Row],[Date]],Database!$A:$C,MATCH($B$1,Database!$A$1:$C$1,),)=0,#N/A,VLOOKUP(Table7[[#This Row],[Date]],Database!$A:$C,MATCH($B$1,Database!$A$1:$C$1,),))</f>
        <v/>
      </c>
      <c r="C1168">
        <f>IF(VLOOKUP(Table7[[#This Row],[Date]],Database!$A:$C,MATCH($C$1,Database!$A$1:$C$1,),)=0,#N/A,VLOOKUP(Table7[[#This Row],[Date]],Database!$A:$C,MATCH($C$1,Database!$A$1:$C$1,),))</f>
        <v/>
      </c>
      <c r="D1168">
        <f>IFERROR(Table7[[#This Row],[United States 10y]]-Table7[[#This Row],[United States 3y]],#N/A)</f>
        <v/>
      </c>
    </row>
    <row r="1169">
      <c r="A1169" s="6">
        <f>Database!$A3254</f>
        <v/>
      </c>
      <c r="B1169">
        <f>IF(VLOOKUP(Table7[[#This Row],[Date]],Database!$A:$C,MATCH($B$1,Database!$A$1:$C$1,),)=0,#N/A,VLOOKUP(Table7[[#This Row],[Date]],Database!$A:$C,MATCH($B$1,Database!$A$1:$C$1,),))</f>
        <v/>
      </c>
      <c r="C1169">
        <f>IF(VLOOKUP(Table7[[#This Row],[Date]],Database!$A:$C,MATCH($C$1,Database!$A$1:$C$1,),)=0,#N/A,VLOOKUP(Table7[[#This Row],[Date]],Database!$A:$C,MATCH($C$1,Database!$A$1:$C$1,),))</f>
        <v/>
      </c>
      <c r="D1169">
        <f>IFERROR(Table7[[#This Row],[United States 10y]]-Table7[[#This Row],[United States 3y]],#N/A)</f>
        <v/>
      </c>
    </row>
    <row r="1170">
      <c r="A1170" s="6">
        <f>Database!$A3255</f>
        <v/>
      </c>
      <c r="B1170">
        <f>IF(VLOOKUP(Table7[[#This Row],[Date]],Database!$A:$C,MATCH($B$1,Database!$A$1:$C$1,),)=0,#N/A,VLOOKUP(Table7[[#This Row],[Date]],Database!$A:$C,MATCH($B$1,Database!$A$1:$C$1,),))</f>
        <v/>
      </c>
      <c r="C1170">
        <f>IF(VLOOKUP(Table7[[#This Row],[Date]],Database!$A:$C,MATCH($C$1,Database!$A$1:$C$1,),)=0,#N/A,VLOOKUP(Table7[[#This Row],[Date]],Database!$A:$C,MATCH($C$1,Database!$A$1:$C$1,),))</f>
        <v/>
      </c>
      <c r="D1170">
        <f>IFERROR(Table7[[#This Row],[United States 10y]]-Table7[[#This Row],[United States 3y]],#N/A)</f>
        <v/>
      </c>
    </row>
    <row r="1171">
      <c r="A1171" s="6">
        <f>Database!$A3256</f>
        <v/>
      </c>
      <c r="B1171">
        <f>IF(VLOOKUP(Table7[[#This Row],[Date]],Database!$A:$C,MATCH($B$1,Database!$A$1:$C$1,),)=0,#N/A,VLOOKUP(Table7[[#This Row],[Date]],Database!$A:$C,MATCH($B$1,Database!$A$1:$C$1,),))</f>
        <v/>
      </c>
      <c r="C1171">
        <f>IF(VLOOKUP(Table7[[#This Row],[Date]],Database!$A:$C,MATCH($C$1,Database!$A$1:$C$1,),)=0,#N/A,VLOOKUP(Table7[[#This Row],[Date]],Database!$A:$C,MATCH($C$1,Database!$A$1:$C$1,),))</f>
        <v/>
      </c>
      <c r="D1171">
        <f>IFERROR(Table7[[#This Row],[United States 10y]]-Table7[[#This Row],[United States 3y]],#N/A)</f>
        <v/>
      </c>
    </row>
    <row r="1172">
      <c r="A1172" s="6">
        <f>Database!$A3257</f>
        <v/>
      </c>
      <c r="B1172">
        <f>IF(VLOOKUP(Table7[[#This Row],[Date]],Database!$A:$C,MATCH($B$1,Database!$A$1:$C$1,),)=0,#N/A,VLOOKUP(Table7[[#This Row],[Date]],Database!$A:$C,MATCH($B$1,Database!$A$1:$C$1,),))</f>
        <v/>
      </c>
      <c r="C1172">
        <f>IF(VLOOKUP(Table7[[#This Row],[Date]],Database!$A:$C,MATCH($C$1,Database!$A$1:$C$1,),)=0,#N/A,VLOOKUP(Table7[[#This Row],[Date]],Database!$A:$C,MATCH($C$1,Database!$A$1:$C$1,),))</f>
        <v/>
      </c>
      <c r="D1172">
        <f>IFERROR(Table7[[#This Row],[United States 10y]]-Table7[[#This Row],[United States 3y]],#N/A)</f>
        <v/>
      </c>
    </row>
    <row r="1173">
      <c r="A1173" s="6">
        <f>Database!$A3258</f>
        <v/>
      </c>
      <c r="B1173">
        <f>IF(VLOOKUP(Table7[[#This Row],[Date]],Database!$A:$C,MATCH($B$1,Database!$A$1:$C$1,),)=0,#N/A,VLOOKUP(Table7[[#This Row],[Date]],Database!$A:$C,MATCH($B$1,Database!$A$1:$C$1,),))</f>
        <v/>
      </c>
      <c r="C1173">
        <f>IF(VLOOKUP(Table7[[#This Row],[Date]],Database!$A:$C,MATCH($C$1,Database!$A$1:$C$1,),)=0,#N/A,VLOOKUP(Table7[[#This Row],[Date]],Database!$A:$C,MATCH($C$1,Database!$A$1:$C$1,),))</f>
        <v/>
      </c>
      <c r="D1173">
        <f>IFERROR(Table7[[#This Row],[United States 10y]]-Table7[[#This Row],[United States 3y]],#N/A)</f>
        <v/>
      </c>
    </row>
    <row r="1174">
      <c r="A1174" s="6">
        <f>Database!$A3259</f>
        <v/>
      </c>
      <c r="B1174">
        <f>IF(VLOOKUP(Table7[[#This Row],[Date]],Database!$A:$C,MATCH($B$1,Database!$A$1:$C$1,),)=0,#N/A,VLOOKUP(Table7[[#This Row],[Date]],Database!$A:$C,MATCH($B$1,Database!$A$1:$C$1,),))</f>
        <v/>
      </c>
      <c r="C1174">
        <f>IF(VLOOKUP(Table7[[#This Row],[Date]],Database!$A:$C,MATCH($C$1,Database!$A$1:$C$1,),)=0,#N/A,VLOOKUP(Table7[[#This Row],[Date]],Database!$A:$C,MATCH($C$1,Database!$A$1:$C$1,),))</f>
        <v/>
      </c>
      <c r="D1174">
        <f>IFERROR(Table7[[#This Row],[United States 10y]]-Table7[[#This Row],[United States 3y]],#N/A)</f>
        <v/>
      </c>
    </row>
    <row r="1175">
      <c r="A1175" s="6">
        <f>Database!$A3260</f>
        <v/>
      </c>
      <c r="B1175">
        <f>IF(VLOOKUP(Table7[[#This Row],[Date]],Database!$A:$C,MATCH($B$1,Database!$A$1:$C$1,),)=0,#N/A,VLOOKUP(Table7[[#This Row],[Date]],Database!$A:$C,MATCH($B$1,Database!$A$1:$C$1,),))</f>
        <v/>
      </c>
      <c r="C1175">
        <f>IF(VLOOKUP(Table7[[#This Row],[Date]],Database!$A:$C,MATCH($C$1,Database!$A$1:$C$1,),)=0,#N/A,VLOOKUP(Table7[[#This Row],[Date]],Database!$A:$C,MATCH($C$1,Database!$A$1:$C$1,),))</f>
        <v/>
      </c>
      <c r="D1175">
        <f>IFERROR(Table7[[#This Row],[United States 10y]]-Table7[[#This Row],[United States 3y]],#N/A)</f>
        <v/>
      </c>
    </row>
    <row r="1176">
      <c r="A1176" s="6">
        <f>Database!$A3261</f>
        <v/>
      </c>
      <c r="B1176">
        <f>IF(VLOOKUP(Table7[[#This Row],[Date]],Database!$A:$C,MATCH($B$1,Database!$A$1:$C$1,),)=0,#N/A,VLOOKUP(Table7[[#This Row],[Date]],Database!$A:$C,MATCH($B$1,Database!$A$1:$C$1,),))</f>
        <v/>
      </c>
      <c r="C1176">
        <f>IF(VLOOKUP(Table7[[#This Row],[Date]],Database!$A:$C,MATCH($C$1,Database!$A$1:$C$1,),)=0,#N/A,VLOOKUP(Table7[[#This Row],[Date]],Database!$A:$C,MATCH($C$1,Database!$A$1:$C$1,),))</f>
        <v/>
      </c>
      <c r="D1176">
        <f>IFERROR(Table7[[#This Row],[United States 10y]]-Table7[[#This Row],[United States 3y]],#N/A)</f>
        <v/>
      </c>
    </row>
    <row r="1177">
      <c r="A1177" s="6">
        <f>Database!$A3262</f>
        <v/>
      </c>
      <c r="B1177">
        <f>IF(VLOOKUP(Table7[[#This Row],[Date]],Database!$A:$C,MATCH($B$1,Database!$A$1:$C$1,),)=0,#N/A,VLOOKUP(Table7[[#This Row],[Date]],Database!$A:$C,MATCH($B$1,Database!$A$1:$C$1,),))</f>
        <v/>
      </c>
      <c r="C1177">
        <f>IF(VLOOKUP(Table7[[#This Row],[Date]],Database!$A:$C,MATCH($C$1,Database!$A$1:$C$1,),)=0,#N/A,VLOOKUP(Table7[[#This Row],[Date]],Database!$A:$C,MATCH($C$1,Database!$A$1:$C$1,),))</f>
        <v/>
      </c>
      <c r="D1177">
        <f>IFERROR(Table7[[#This Row],[United States 10y]]-Table7[[#This Row],[United States 3y]],#N/A)</f>
        <v/>
      </c>
    </row>
    <row r="1178">
      <c r="A1178" s="6">
        <f>Database!$A3263</f>
        <v/>
      </c>
      <c r="B1178">
        <f>IF(VLOOKUP(Table7[[#This Row],[Date]],Database!$A:$C,MATCH($B$1,Database!$A$1:$C$1,),)=0,#N/A,VLOOKUP(Table7[[#This Row],[Date]],Database!$A:$C,MATCH($B$1,Database!$A$1:$C$1,),))</f>
        <v/>
      </c>
      <c r="C1178">
        <f>IF(VLOOKUP(Table7[[#This Row],[Date]],Database!$A:$C,MATCH($C$1,Database!$A$1:$C$1,),)=0,#N/A,VLOOKUP(Table7[[#This Row],[Date]],Database!$A:$C,MATCH($C$1,Database!$A$1:$C$1,),))</f>
        <v/>
      </c>
      <c r="D1178">
        <f>IFERROR(Table7[[#This Row],[United States 10y]]-Table7[[#This Row],[United States 3y]],#N/A)</f>
        <v/>
      </c>
    </row>
    <row r="1179">
      <c r="A1179" s="6">
        <f>Database!$A3264</f>
        <v/>
      </c>
      <c r="B1179">
        <f>IF(VLOOKUP(Table7[[#This Row],[Date]],Database!$A:$C,MATCH($B$1,Database!$A$1:$C$1,),)=0,#N/A,VLOOKUP(Table7[[#This Row],[Date]],Database!$A:$C,MATCH($B$1,Database!$A$1:$C$1,),))</f>
        <v/>
      </c>
      <c r="C1179">
        <f>IF(VLOOKUP(Table7[[#This Row],[Date]],Database!$A:$C,MATCH($C$1,Database!$A$1:$C$1,),)=0,#N/A,VLOOKUP(Table7[[#This Row],[Date]],Database!$A:$C,MATCH($C$1,Database!$A$1:$C$1,),))</f>
        <v/>
      </c>
      <c r="D1179">
        <f>IFERROR(Table7[[#This Row],[United States 10y]]-Table7[[#This Row],[United States 3y]],#N/A)</f>
        <v/>
      </c>
    </row>
    <row r="1180">
      <c r="A1180" s="6">
        <f>Database!$A3265</f>
        <v/>
      </c>
      <c r="B1180">
        <f>IF(VLOOKUP(Table7[[#This Row],[Date]],Database!$A:$C,MATCH($B$1,Database!$A$1:$C$1,),)=0,#N/A,VLOOKUP(Table7[[#This Row],[Date]],Database!$A:$C,MATCH($B$1,Database!$A$1:$C$1,),))</f>
        <v/>
      </c>
      <c r="C1180">
        <f>IF(VLOOKUP(Table7[[#This Row],[Date]],Database!$A:$C,MATCH($C$1,Database!$A$1:$C$1,),)=0,#N/A,VLOOKUP(Table7[[#This Row],[Date]],Database!$A:$C,MATCH($C$1,Database!$A$1:$C$1,),))</f>
        <v/>
      </c>
      <c r="D1180">
        <f>IFERROR(Table7[[#This Row],[United States 10y]]-Table7[[#This Row],[United States 3y]],#N/A)</f>
        <v/>
      </c>
    </row>
    <row r="1181">
      <c r="A1181" s="6">
        <f>Database!$A3266</f>
        <v/>
      </c>
      <c r="B1181">
        <f>IF(VLOOKUP(Table7[[#This Row],[Date]],Database!$A:$C,MATCH($B$1,Database!$A$1:$C$1,),)=0,#N/A,VLOOKUP(Table7[[#This Row],[Date]],Database!$A:$C,MATCH($B$1,Database!$A$1:$C$1,),))</f>
        <v/>
      </c>
      <c r="C1181">
        <f>IF(VLOOKUP(Table7[[#This Row],[Date]],Database!$A:$C,MATCH($C$1,Database!$A$1:$C$1,),)=0,#N/A,VLOOKUP(Table7[[#This Row],[Date]],Database!$A:$C,MATCH($C$1,Database!$A$1:$C$1,),))</f>
        <v/>
      </c>
      <c r="D1181">
        <f>IFERROR(Table7[[#This Row],[United States 10y]]-Table7[[#This Row],[United States 3y]],#N/A)</f>
        <v/>
      </c>
    </row>
    <row r="1182">
      <c r="A1182" s="6">
        <f>Database!$A3267</f>
        <v/>
      </c>
      <c r="B1182">
        <f>IF(VLOOKUP(Table7[[#This Row],[Date]],Database!$A:$C,MATCH($B$1,Database!$A$1:$C$1,),)=0,#N/A,VLOOKUP(Table7[[#This Row],[Date]],Database!$A:$C,MATCH($B$1,Database!$A$1:$C$1,),))</f>
        <v/>
      </c>
      <c r="C1182">
        <f>IF(VLOOKUP(Table7[[#This Row],[Date]],Database!$A:$C,MATCH($C$1,Database!$A$1:$C$1,),)=0,#N/A,VLOOKUP(Table7[[#This Row],[Date]],Database!$A:$C,MATCH($C$1,Database!$A$1:$C$1,),))</f>
        <v/>
      </c>
      <c r="D1182">
        <f>IFERROR(Table7[[#This Row],[United States 10y]]-Table7[[#This Row],[United States 3y]],#N/A)</f>
        <v/>
      </c>
    </row>
    <row r="1183">
      <c r="A1183" s="6">
        <f>Database!$A3268</f>
        <v/>
      </c>
      <c r="B1183">
        <f>IF(VLOOKUP(Table7[[#This Row],[Date]],Database!$A:$C,MATCH($B$1,Database!$A$1:$C$1,),)=0,#N/A,VLOOKUP(Table7[[#This Row],[Date]],Database!$A:$C,MATCH($B$1,Database!$A$1:$C$1,),))</f>
        <v/>
      </c>
      <c r="C1183">
        <f>IF(VLOOKUP(Table7[[#This Row],[Date]],Database!$A:$C,MATCH($C$1,Database!$A$1:$C$1,),)=0,#N/A,VLOOKUP(Table7[[#This Row],[Date]],Database!$A:$C,MATCH($C$1,Database!$A$1:$C$1,),))</f>
        <v/>
      </c>
      <c r="D1183">
        <f>IFERROR(Table7[[#This Row],[United States 10y]]-Table7[[#This Row],[United States 3y]],#N/A)</f>
        <v/>
      </c>
    </row>
    <row r="1184">
      <c r="A1184" s="6">
        <f>Database!$A3269</f>
        <v/>
      </c>
      <c r="B1184">
        <f>IF(VLOOKUP(Table7[[#This Row],[Date]],Database!$A:$C,MATCH($B$1,Database!$A$1:$C$1,),)=0,#N/A,VLOOKUP(Table7[[#This Row],[Date]],Database!$A:$C,MATCH($B$1,Database!$A$1:$C$1,),))</f>
        <v/>
      </c>
      <c r="C1184">
        <f>IF(VLOOKUP(Table7[[#This Row],[Date]],Database!$A:$C,MATCH($C$1,Database!$A$1:$C$1,),)=0,#N/A,VLOOKUP(Table7[[#This Row],[Date]],Database!$A:$C,MATCH($C$1,Database!$A$1:$C$1,),))</f>
        <v/>
      </c>
      <c r="D1184">
        <f>IFERROR(Table7[[#This Row],[United States 10y]]-Table7[[#This Row],[United States 3y]],#N/A)</f>
        <v/>
      </c>
    </row>
    <row r="1185">
      <c r="A1185" s="6">
        <f>Database!$A3270</f>
        <v/>
      </c>
      <c r="B1185">
        <f>IF(VLOOKUP(Table7[[#This Row],[Date]],Database!$A:$C,MATCH($B$1,Database!$A$1:$C$1,),)=0,#N/A,VLOOKUP(Table7[[#This Row],[Date]],Database!$A:$C,MATCH($B$1,Database!$A$1:$C$1,),))</f>
        <v/>
      </c>
      <c r="C1185">
        <f>IF(VLOOKUP(Table7[[#This Row],[Date]],Database!$A:$C,MATCH($C$1,Database!$A$1:$C$1,),)=0,#N/A,VLOOKUP(Table7[[#This Row],[Date]],Database!$A:$C,MATCH($C$1,Database!$A$1:$C$1,),))</f>
        <v/>
      </c>
      <c r="D1185">
        <f>IFERROR(Table7[[#This Row],[United States 10y]]-Table7[[#This Row],[United States 3y]],#N/A)</f>
        <v/>
      </c>
    </row>
    <row r="1186">
      <c r="A1186" s="6">
        <f>Database!$A3271</f>
        <v/>
      </c>
      <c r="B1186">
        <f>IF(VLOOKUP(Table7[[#This Row],[Date]],Database!$A:$C,MATCH($B$1,Database!$A$1:$C$1,),)=0,#N/A,VLOOKUP(Table7[[#This Row],[Date]],Database!$A:$C,MATCH($B$1,Database!$A$1:$C$1,),))</f>
        <v/>
      </c>
      <c r="C1186">
        <f>IF(VLOOKUP(Table7[[#This Row],[Date]],Database!$A:$C,MATCH($C$1,Database!$A$1:$C$1,),)=0,#N/A,VLOOKUP(Table7[[#This Row],[Date]],Database!$A:$C,MATCH($C$1,Database!$A$1:$C$1,),))</f>
        <v/>
      </c>
      <c r="D1186">
        <f>IFERROR(Table7[[#This Row],[United States 10y]]-Table7[[#This Row],[United States 3y]],#N/A)</f>
        <v/>
      </c>
    </row>
    <row r="1187">
      <c r="A1187" s="6">
        <f>Database!$A3272</f>
        <v/>
      </c>
      <c r="B1187">
        <f>IF(VLOOKUP(Table7[[#This Row],[Date]],Database!$A:$C,MATCH($B$1,Database!$A$1:$C$1,),)=0,#N/A,VLOOKUP(Table7[[#This Row],[Date]],Database!$A:$C,MATCH($B$1,Database!$A$1:$C$1,),))</f>
        <v/>
      </c>
      <c r="C1187">
        <f>IF(VLOOKUP(Table7[[#This Row],[Date]],Database!$A:$C,MATCH($C$1,Database!$A$1:$C$1,),)=0,#N/A,VLOOKUP(Table7[[#This Row],[Date]],Database!$A:$C,MATCH($C$1,Database!$A$1:$C$1,),))</f>
        <v/>
      </c>
      <c r="D1187">
        <f>IFERROR(Table7[[#This Row],[United States 10y]]-Table7[[#This Row],[United States 3y]],#N/A)</f>
        <v/>
      </c>
    </row>
    <row r="1188">
      <c r="A1188" s="6">
        <f>Database!$A3273</f>
        <v/>
      </c>
      <c r="B1188">
        <f>IF(VLOOKUP(Table7[[#This Row],[Date]],Database!$A:$C,MATCH($B$1,Database!$A$1:$C$1,),)=0,#N/A,VLOOKUP(Table7[[#This Row],[Date]],Database!$A:$C,MATCH($B$1,Database!$A$1:$C$1,),))</f>
        <v/>
      </c>
      <c r="C1188">
        <f>IF(VLOOKUP(Table7[[#This Row],[Date]],Database!$A:$C,MATCH($C$1,Database!$A$1:$C$1,),)=0,#N/A,VLOOKUP(Table7[[#This Row],[Date]],Database!$A:$C,MATCH($C$1,Database!$A$1:$C$1,),))</f>
        <v/>
      </c>
      <c r="D1188">
        <f>IFERROR(Table7[[#This Row],[United States 10y]]-Table7[[#This Row],[United States 3y]],#N/A)</f>
        <v/>
      </c>
    </row>
    <row r="1189">
      <c r="A1189" s="6">
        <f>Database!$A3274</f>
        <v/>
      </c>
      <c r="B1189">
        <f>IF(VLOOKUP(Table7[[#This Row],[Date]],Database!$A:$C,MATCH($B$1,Database!$A$1:$C$1,),)=0,#N/A,VLOOKUP(Table7[[#This Row],[Date]],Database!$A:$C,MATCH($B$1,Database!$A$1:$C$1,),))</f>
        <v/>
      </c>
      <c r="C1189">
        <f>IF(VLOOKUP(Table7[[#This Row],[Date]],Database!$A:$C,MATCH($C$1,Database!$A$1:$C$1,),)=0,#N/A,VLOOKUP(Table7[[#This Row],[Date]],Database!$A:$C,MATCH($C$1,Database!$A$1:$C$1,),))</f>
        <v/>
      </c>
      <c r="D1189">
        <f>IFERROR(Table7[[#This Row],[United States 10y]]-Table7[[#This Row],[United States 3y]],#N/A)</f>
        <v/>
      </c>
    </row>
    <row r="1190">
      <c r="A1190" s="6">
        <f>Database!$A3275</f>
        <v/>
      </c>
      <c r="B1190">
        <f>IF(VLOOKUP(Table7[[#This Row],[Date]],Database!$A:$C,MATCH($B$1,Database!$A$1:$C$1,),)=0,#N/A,VLOOKUP(Table7[[#This Row],[Date]],Database!$A:$C,MATCH($B$1,Database!$A$1:$C$1,),))</f>
        <v/>
      </c>
      <c r="C1190">
        <f>IF(VLOOKUP(Table7[[#This Row],[Date]],Database!$A:$C,MATCH($C$1,Database!$A$1:$C$1,),)=0,#N/A,VLOOKUP(Table7[[#This Row],[Date]],Database!$A:$C,MATCH($C$1,Database!$A$1:$C$1,),))</f>
        <v/>
      </c>
      <c r="D1190">
        <f>IFERROR(Table7[[#This Row],[United States 10y]]-Table7[[#This Row],[United States 3y]],#N/A)</f>
        <v/>
      </c>
    </row>
    <row r="1191">
      <c r="A1191" s="6">
        <f>Database!$A3276</f>
        <v/>
      </c>
      <c r="B1191">
        <f>IF(VLOOKUP(Table7[[#This Row],[Date]],Database!$A:$C,MATCH($B$1,Database!$A$1:$C$1,),)=0,#N/A,VLOOKUP(Table7[[#This Row],[Date]],Database!$A:$C,MATCH($B$1,Database!$A$1:$C$1,),))</f>
        <v/>
      </c>
      <c r="C1191">
        <f>IF(VLOOKUP(Table7[[#This Row],[Date]],Database!$A:$C,MATCH($C$1,Database!$A$1:$C$1,),)=0,#N/A,VLOOKUP(Table7[[#This Row],[Date]],Database!$A:$C,MATCH($C$1,Database!$A$1:$C$1,),))</f>
        <v/>
      </c>
      <c r="D1191">
        <f>IFERROR(Table7[[#This Row],[United States 10y]]-Table7[[#This Row],[United States 3y]],#N/A)</f>
        <v/>
      </c>
    </row>
    <row r="1192">
      <c r="A1192" s="6">
        <f>Database!$A3277</f>
        <v/>
      </c>
      <c r="B1192">
        <f>IF(VLOOKUP(Table7[[#This Row],[Date]],Database!$A:$C,MATCH($B$1,Database!$A$1:$C$1,),)=0,#N/A,VLOOKUP(Table7[[#This Row],[Date]],Database!$A:$C,MATCH($B$1,Database!$A$1:$C$1,),))</f>
        <v/>
      </c>
      <c r="C1192">
        <f>IF(VLOOKUP(Table7[[#This Row],[Date]],Database!$A:$C,MATCH($C$1,Database!$A$1:$C$1,),)=0,#N/A,VLOOKUP(Table7[[#This Row],[Date]],Database!$A:$C,MATCH($C$1,Database!$A$1:$C$1,),))</f>
        <v/>
      </c>
      <c r="D1192">
        <f>IFERROR(Table7[[#This Row],[United States 10y]]-Table7[[#This Row],[United States 3y]],#N/A)</f>
        <v/>
      </c>
    </row>
    <row r="1193">
      <c r="A1193" s="6">
        <f>Database!$A3278</f>
        <v/>
      </c>
      <c r="B1193">
        <f>IF(VLOOKUP(Table7[[#This Row],[Date]],Database!$A:$C,MATCH($B$1,Database!$A$1:$C$1,),)=0,#N/A,VLOOKUP(Table7[[#This Row],[Date]],Database!$A:$C,MATCH($B$1,Database!$A$1:$C$1,),))</f>
        <v/>
      </c>
      <c r="C1193">
        <f>IF(VLOOKUP(Table7[[#This Row],[Date]],Database!$A:$C,MATCH($C$1,Database!$A$1:$C$1,),)=0,#N/A,VLOOKUP(Table7[[#This Row],[Date]],Database!$A:$C,MATCH($C$1,Database!$A$1:$C$1,),))</f>
        <v/>
      </c>
      <c r="D1193">
        <f>IFERROR(Table7[[#This Row],[United States 10y]]-Table7[[#This Row],[United States 3y]],#N/A)</f>
        <v/>
      </c>
    </row>
    <row r="1194">
      <c r="A1194" s="6">
        <f>Database!$A3279</f>
        <v/>
      </c>
      <c r="B1194">
        <f>IF(VLOOKUP(Table7[[#This Row],[Date]],Database!$A:$C,MATCH($B$1,Database!$A$1:$C$1,),)=0,#N/A,VLOOKUP(Table7[[#This Row],[Date]],Database!$A:$C,MATCH($B$1,Database!$A$1:$C$1,),))</f>
        <v/>
      </c>
      <c r="C1194">
        <f>IF(VLOOKUP(Table7[[#This Row],[Date]],Database!$A:$C,MATCH($C$1,Database!$A$1:$C$1,),)=0,#N/A,VLOOKUP(Table7[[#This Row],[Date]],Database!$A:$C,MATCH($C$1,Database!$A$1:$C$1,),))</f>
        <v/>
      </c>
      <c r="D1194">
        <f>IFERROR(Table7[[#This Row],[United States 10y]]-Table7[[#This Row],[United States 3y]],#N/A)</f>
        <v/>
      </c>
    </row>
    <row r="1195">
      <c r="A1195" s="6">
        <f>Database!$A3280</f>
        <v/>
      </c>
      <c r="B1195">
        <f>IF(VLOOKUP(Table7[[#This Row],[Date]],Database!$A:$C,MATCH($B$1,Database!$A$1:$C$1,),)=0,#N/A,VLOOKUP(Table7[[#This Row],[Date]],Database!$A:$C,MATCH($B$1,Database!$A$1:$C$1,),))</f>
        <v/>
      </c>
      <c r="C1195">
        <f>IF(VLOOKUP(Table7[[#This Row],[Date]],Database!$A:$C,MATCH($C$1,Database!$A$1:$C$1,),)=0,#N/A,VLOOKUP(Table7[[#This Row],[Date]],Database!$A:$C,MATCH($C$1,Database!$A$1:$C$1,),))</f>
        <v/>
      </c>
      <c r="D1195">
        <f>IFERROR(Table7[[#This Row],[United States 10y]]-Table7[[#This Row],[United States 3y]],#N/A)</f>
        <v/>
      </c>
    </row>
    <row r="1196">
      <c r="A1196" s="6">
        <f>Database!$A3281</f>
        <v/>
      </c>
      <c r="B1196">
        <f>IF(VLOOKUP(Table7[[#This Row],[Date]],Database!$A:$C,MATCH($B$1,Database!$A$1:$C$1,),)=0,#N/A,VLOOKUP(Table7[[#This Row],[Date]],Database!$A:$C,MATCH($B$1,Database!$A$1:$C$1,),))</f>
        <v/>
      </c>
      <c r="C1196">
        <f>IF(VLOOKUP(Table7[[#This Row],[Date]],Database!$A:$C,MATCH($C$1,Database!$A$1:$C$1,),)=0,#N/A,VLOOKUP(Table7[[#This Row],[Date]],Database!$A:$C,MATCH($C$1,Database!$A$1:$C$1,),))</f>
        <v/>
      </c>
      <c r="D1196">
        <f>IFERROR(Table7[[#This Row],[United States 10y]]-Table7[[#This Row],[United States 3y]],#N/A)</f>
        <v/>
      </c>
    </row>
    <row r="1197">
      <c r="A1197" s="6">
        <f>Database!$A3282</f>
        <v/>
      </c>
      <c r="B1197">
        <f>IF(VLOOKUP(Table7[[#This Row],[Date]],Database!$A:$C,MATCH($B$1,Database!$A$1:$C$1,),)=0,#N/A,VLOOKUP(Table7[[#This Row],[Date]],Database!$A:$C,MATCH($B$1,Database!$A$1:$C$1,),))</f>
        <v/>
      </c>
      <c r="C1197">
        <f>IF(VLOOKUP(Table7[[#This Row],[Date]],Database!$A:$C,MATCH($C$1,Database!$A$1:$C$1,),)=0,#N/A,VLOOKUP(Table7[[#This Row],[Date]],Database!$A:$C,MATCH($C$1,Database!$A$1:$C$1,),))</f>
        <v/>
      </c>
      <c r="D1197">
        <f>IFERROR(Table7[[#This Row],[United States 10y]]-Table7[[#This Row],[United States 3y]],#N/A)</f>
        <v/>
      </c>
    </row>
    <row r="1198">
      <c r="A1198" s="6">
        <f>Database!$A3283</f>
        <v/>
      </c>
      <c r="B1198">
        <f>IF(VLOOKUP(Table7[[#This Row],[Date]],Database!$A:$C,MATCH($B$1,Database!$A$1:$C$1,),)=0,#N/A,VLOOKUP(Table7[[#This Row],[Date]],Database!$A:$C,MATCH($B$1,Database!$A$1:$C$1,),))</f>
        <v/>
      </c>
      <c r="C1198">
        <f>IF(VLOOKUP(Table7[[#This Row],[Date]],Database!$A:$C,MATCH($C$1,Database!$A$1:$C$1,),)=0,#N/A,VLOOKUP(Table7[[#This Row],[Date]],Database!$A:$C,MATCH($C$1,Database!$A$1:$C$1,),))</f>
        <v/>
      </c>
      <c r="D1198">
        <f>IFERROR(Table7[[#This Row],[United States 10y]]-Table7[[#This Row],[United States 3y]],#N/A)</f>
        <v/>
      </c>
    </row>
    <row r="1199">
      <c r="A1199" s="6">
        <f>Database!$A3284</f>
        <v/>
      </c>
      <c r="B1199">
        <f>IF(VLOOKUP(Table7[[#This Row],[Date]],Database!$A:$C,MATCH($B$1,Database!$A$1:$C$1,),)=0,#N/A,VLOOKUP(Table7[[#This Row],[Date]],Database!$A:$C,MATCH($B$1,Database!$A$1:$C$1,),))</f>
        <v/>
      </c>
      <c r="C1199">
        <f>IF(VLOOKUP(Table7[[#This Row],[Date]],Database!$A:$C,MATCH($C$1,Database!$A$1:$C$1,),)=0,#N/A,VLOOKUP(Table7[[#This Row],[Date]],Database!$A:$C,MATCH($C$1,Database!$A$1:$C$1,),))</f>
        <v/>
      </c>
      <c r="D1199">
        <f>IFERROR(Table7[[#This Row],[United States 10y]]-Table7[[#This Row],[United States 3y]],#N/A)</f>
        <v/>
      </c>
    </row>
    <row r="1200">
      <c r="A1200" s="6">
        <f>Database!$A3285</f>
        <v/>
      </c>
      <c r="B1200">
        <f>IF(VLOOKUP(Table7[[#This Row],[Date]],Database!$A:$C,MATCH($B$1,Database!$A$1:$C$1,),)=0,#N/A,VLOOKUP(Table7[[#This Row],[Date]],Database!$A:$C,MATCH($B$1,Database!$A$1:$C$1,),))</f>
        <v/>
      </c>
      <c r="C1200">
        <f>IF(VLOOKUP(Table7[[#This Row],[Date]],Database!$A:$C,MATCH($C$1,Database!$A$1:$C$1,),)=0,#N/A,VLOOKUP(Table7[[#This Row],[Date]],Database!$A:$C,MATCH($C$1,Database!$A$1:$C$1,),))</f>
        <v/>
      </c>
      <c r="D1200">
        <f>IFERROR(Table7[[#This Row],[United States 10y]]-Table7[[#This Row],[United States 3y]],#N/A)</f>
        <v/>
      </c>
    </row>
    <row r="1201">
      <c r="A1201" s="6">
        <f>Database!$A3286</f>
        <v/>
      </c>
      <c r="B1201">
        <f>IF(VLOOKUP(Table7[[#This Row],[Date]],Database!$A:$C,MATCH($B$1,Database!$A$1:$C$1,),)=0,#N/A,VLOOKUP(Table7[[#This Row],[Date]],Database!$A:$C,MATCH($B$1,Database!$A$1:$C$1,),))</f>
        <v/>
      </c>
      <c r="C1201">
        <f>IF(VLOOKUP(Table7[[#This Row],[Date]],Database!$A:$C,MATCH($C$1,Database!$A$1:$C$1,),)=0,#N/A,VLOOKUP(Table7[[#This Row],[Date]],Database!$A:$C,MATCH($C$1,Database!$A$1:$C$1,),))</f>
        <v/>
      </c>
      <c r="D1201">
        <f>IFERROR(Table7[[#This Row],[United States 10y]]-Table7[[#This Row],[United States 3y]],#N/A)</f>
        <v/>
      </c>
    </row>
    <row r="1202">
      <c r="A1202" s="6">
        <f>Database!$A3287</f>
        <v/>
      </c>
      <c r="B1202">
        <f>IF(VLOOKUP(Table7[[#This Row],[Date]],Database!$A:$C,MATCH($B$1,Database!$A$1:$C$1,),)=0,#N/A,VLOOKUP(Table7[[#This Row],[Date]],Database!$A:$C,MATCH($B$1,Database!$A$1:$C$1,),))</f>
        <v/>
      </c>
      <c r="C1202">
        <f>IF(VLOOKUP(Table7[[#This Row],[Date]],Database!$A:$C,MATCH($C$1,Database!$A$1:$C$1,),)=0,#N/A,VLOOKUP(Table7[[#This Row],[Date]],Database!$A:$C,MATCH($C$1,Database!$A$1:$C$1,),))</f>
        <v/>
      </c>
      <c r="D1202">
        <f>IFERROR(Table7[[#This Row],[United States 10y]]-Table7[[#This Row],[United States 3y]],#N/A)</f>
        <v/>
      </c>
    </row>
    <row r="1203">
      <c r="A1203" s="6">
        <f>Database!$A3288</f>
        <v/>
      </c>
      <c r="B1203">
        <f>IF(VLOOKUP(Table7[[#This Row],[Date]],Database!$A:$C,MATCH($B$1,Database!$A$1:$C$1,),)=0,#N/A,VLOOKUP(Table7[[#This Row],[Date]],Database!$A:$C,MATCH($B$1,Database!$A$1:$C$1,),))</f>
        <v/>
      </c>
      <c r="C1203">
        <f>IF(VLOOKUP(Table7[[#This Row],[Date]],Database!$A:$C,MATCH($C$1,Database!$A$1:$C$1,),)=0,#N/A,VLOOKUP(Table7[[#This Row],[Date]],Database!$A:$C,MATCH($C$1,Database!$A$1:$C$1,),))</f>
        <v/>
      </c>
      <c r="D1203">
        <f>IFERROR(Table7[[#This Row],[United States 10y]]-Table7[[#This Row],[United States 3y]],#N/A)</f>
        <v/>
      </c>
    </row>
    <row r="1204">
      <c r="A1204" s="6">
        <f>Database!$A3289</f>
        <v/>
      </c>
      <c r="B1204">
        <f>IF(VLOOKUP(Table7[[#This Row],[Date]],Database!$A:$C,MATCH($B$1,Database!$A$1:$C$1,),)=0,#N/A,VLOOKUP(Table7[[#This Row],[Date]],Database!$A:$C,MATCH($B$1,Database!$A$1:$C$1,),))</f>
        <v/>
      </c>
      <c r="C1204">
        <f>IF(VLOOKUP(Table7[[#This Row],[Date]],Database!$A:$C,MATCH($C$1,Database!$A$1:$C$1,),)=0,#N/A,VLOOKUP(Table7[[#This Row],[Date]],Database!$A:$C,MATCH($C$1,Database!$A$1:$C$1,),))</f>
        <v/>
      </c>
      <c r="D1204">
        <f>IFERROR(Table7[[#This Row],[United States 10y]]-Table7[[#This Row],[United States 3y]],#N/A)</f>
        <v/>
      </c>
    </row>
    <row r="1205">
      <c r="A1205" s="6">
        <f>Database!$A3290</f>
        <v/>
      </c>
      <c r="B1205">
        <f>IF(VLOOKUP(Table7[[#This Row],[Date]],Database!$A:$C,MATCH($B$1,Database!$A$1:$C$1,),)=0,#N/A,VLOOKUP(Table7[[#This Row],[Date]],Database!$A:$C,MATCH($B$1,Database!$A$1:$C$1,),))</f>
        <v/>
      </c>
      <c r="C1205">
        <f>IF(VLOOKUP(Table7[[#This Row],[Date]],Database!$A:$C,MATCH($C$1,Database!$A$1:$C$1,),)=0,#N/A,VLOOKUP(Table7[[#This Row],[Date]],Database!$A:$C,MATCH($C$1,Database!$A$1:$C$1,),))</f>
        <v/>
      </c>
      <c r="D1205">
        <f>IFERROR(Table7[[#This Row],[United States 10y]]-Table7[[#This Row],[United States 3y]],#N/A)</f>
        <v/>
      </c>
    </row>
    <row r="1206">
      <c r="A1206" s="6">
        <f>Database!$A3291</f>
        <v/>
      </c>
      <c r="B1206">
        <f>IF(VLOOKUP(Table7[[#This Row],[Date]],Database!$A:$C,MATCH($B$1,Database!$A$1:$C$1,),)=0,#N/A,VLOOKUP(Table7[[#This Row],[Date]],Database!$A:$C,MATCH($B$1,Database!$A$1:$C$1,),))</f>
        <v/>
      </c>
      <c r="C1206">
        <f>IF(VLOOKUP(Table7[[#This Row],[Date]],Database!$A:$C,MATCH($C$1,Database!$A$1:$C$1,),)=0,#N/A,VLOOKUP(Table7[[#This Row],[Date]],Database!$A:$C,MATCH($C$1,Database!$A$1:$C$1,),))</f>
        <v/>
      </c>
      <c r="D1206">
        <f>IFERROR(Table7[[#This Row],[United States 10y]]-Table7[[#This Row],[United States 3y]],#N/A)</f>
        <v/>
      </c>
    </row>
    <row r="1207">
      <c r="A1207" s="6">
        <f>Database!$A3292</f>
        <v/>
      </c>
      <c r="B1207">
        <f>IF(VLOOKUP(Table7[[#This Row],[Date]],Database!$A:$C,MATCH($B$1,Database!$A$1:$C$1,),)=0,#N/A,VLOOKUP(Table7[[#This Row],[Date]],Database!$A:$C,MATCH($B$1,Database!$A$1:$C$1,),))</f>
        <v/>
      </c>
      <c r="C1207">
        <f>IF(VLOOKUP(Table7[[#This Row],[Date]],Database!$A:$C,MATCH($C$1,Database!$A$1:$C$1,),)=0,#N/A,VLOOKUP(Table7[[#This Row],[Date]],Database!$A:$C,MATCH($C$1,Database!$A$1:$C$1,),))</f>
        <v/>
      </c>
      <c r="D1207">
        <f>IFERROR(Table7[[#This Row],[United States 10y]]-Table7[[#This Row],[United States 3y]],#N/A)</f>
        <v/>
      </c>
    </row>
    <row r="1208">
      <c r="A1208" s="6">
        <f>Database!$A3293</f>
        <v/>
      </c>
      <c r="B1208">
        <f>IF(VLOOKUP(Table7[[#This Row],[Date]],Database!$A:$C,MATCH($B$1,Database!$A$1:$C$1,),)=0,#N/A,VLOOKUP(Table7[[#This Row],[Date]],Database!$A:$C,MATCH($B$1,Database!$A$1:$C$1,),))</f>
        <v/>
      </c>
      <c r="C1208">
        <f>IF(VLOOKUP(Table7[[#This Row],[Date]],Database!$A:$C,MATCH($C$1,Database!$A$1:$C$1,),)=0,#N/A,VLOOKUP(Table7[[#This Row],[Date]],Database!$A:$C,MATCH($C$1,Database!$A$1:$C$1,),))</f>
        <v/>
      </c>
      <c r="D1208">
        <f>IFERROR(Table7[[#This Row],[United States 10y]]-Table7[[#This Row],[United States 3y]],#N/A)</f>
        <v/>
      </c>
    </row>
    <row r="1209">
      <c r="A1209" s="6">
        <f>Database!$A3294</f>
        <v/>
      </c>
      <c r="B1209">
        <f>IF(VLOOKUP(Table7[[#This Row],[Date]],Database!$A:$C,MATCH($B$1,Database!$A$1:$C$1,),)=0,#N/A,VLOOKUP(Table7[[#This Row],[Date]],Database!$A:$C,MATCH($B$1,Database!$A$1:$C$1,),))</f>
        <v/>
      </c>
      <c r="C1209">
        <f>IF(VLOOKUP(Table7[[#This Row],[Date]],Database!$A:$C,MATCH($C$1,Database!$A$1:$C$1,),)=0,#N/A,VLOOKUP(Table7[[#This Row],[Date]],Database!$A:$C,MATCH($C$1,Database!$A$1:$C$1,),))</f>
        <v/>
      </c>
      <c r="D1209">
        <f>IFERROR(Table7[[#This Row],[United States 10y]]-Table7[[#This Row],[United States 3y]],#N/A)</f>
        <v/>
      </c>
    </row>
    <row r="1210">
      <c r="A1210" s="6">
        <f>Database!$A3295</f>
        <v/>
      </c>
      <c r="B1210">
        <f>IF(VLOOKUP(Table7[[#This Row],[Date]],Database!$A:$C,MATCH($B$1,Database!$A$1:$C$1,),)=0,#N/A,VLOOKUP(Table7[[#This Row],[Date]],Database!$A:$C,MATCH($B$1,Database!$A$1:$C$1,),))</f>
        <v/>
      </c>
      <c r="C1210">
        <f>IF(VLOOKUP(Table7[[#This Row],[Date]],Database!$A:$C,MATCH($C$1,Database!$A$1:$C$1,),)=0,#N/A,VLOOKUP(Table7[[#This Row],[Date]],Database!$A:$C,MATCH($C$1,Database!$A$1:$C$1,),))</f>
        <v/>
      </c>
      <c r="D1210">
        <f>IFERROR(Table7[[#This Row],[United States 10y]]-Table7[[#This Row],[United States 3y]],#N/A)</f>
        <v/>
      </c>
    </row>
    <row r="1211">
      <c r="A1211" s="6">
        <f>Database!$A3296</f>
        <v/>
      </c>
      <c r="B1211">
        <f>IF(VLOOKUP(Table7[[#This Row],[Date]],Database!$A:$C,MATCH($B$1,Database!$A$1:$C$1,),)=0,#N/A,VLOOKUP(Table7[[#This Row],[Date]],Database!$A:$C,MATCH($B$1,Database!$A$1:$C$1,),))</f>
        <v/>
      </c>
      <c r="C1211">
        <f>IF(VLOOKUP(Table7[[#This Row],[Date]],Database!$A:$C,MATCH($C$1,Database!$A$1:$C$1,),)=0,#N/A,VLOOKUP(Table7[[#This Row],[Date]],Database!$A:$C,MATCH($C$1,Database!$A$1:$C$1,),))</f>
        <v/>
      </c>
      <c r="D1211">
        <f>IFERROR(Table7[[#This Row],[United States 10y]]-Table7[[#This Row],[United States 3y]],#N/A)</f>
        <v/>
      </c>
    </row>
    <row r="1212">
      <c r="A1212" s="6">
        <f>Database!$A3297</f>
        <v/>
      </c>
      <c r="B1212">
        <f>IF(VLOOKUP(Table7[[#This Row],[Date]],Database!$A:$C,MATCH($B$1,Database!$A$1:$C$1,),)=0,#N/A,VLOOKUP(Table7[[#This Row],[Date]],Database!$A:$C,MATCH($B$1,Database!$A$1:$C$1,),))</f>
        <v/>
      </c>
      <c r="C1212">
        <f>IF(VLOOKUP(Table7[[#This Row],[Date]],Database!$A:$C,MATCH($C$1,Database!$A$1:$C$1,),)=0,#N/A,VLOOKUP(Table7[[#This Row],[Date]],Database!$A:$C,MATCH($C$1,Database!$A$1:$C$1,),))</f>
        <v/>
      </c>
      <c r="D1212">
        <f>IFERROR(Table7[[#This Row],[United States 10y]]-Table7[[#This Row],[United States 3y]],#N/A)</f>
        <v/>
      </c>
    </row>
    <row r="1213">
      <c r="A1213" s="6">
        <f>Database!$A3298</f>
        <v/>
      </c>
      <c r="B1213">
        <f>IF(VLOOKUP(Table7[[#This Row],[Date]],Database!$A:$C,MATCH($B$1,Database!$A$1:$C$1,),)=0,#N/A,VLOOKUP(Table7[[#This Row],[Date]],Database!$A:$C,MATCH($B$1,Database!$A$1:$C$1,),))</f>
        <v/>
      </c>
      <c r="C1213">
        <f>IF(VLOOKUP(Table7[[#This Row],[Date]],Database!$A:$C,MATCH($C$1,Database!$A$1:$C$1,),)=0,#N/A,VLOOKUP(Table7[[#This Row],[Date]],Database!$A:$C,MATCH($C$1,Database!$A$1:$C$1,),))</f>
        <v/>
      </c>
      <c r="D1213">
        <f>IFERROR(Table7[[#This Row],[United States 10y]]-Table7[[#This Row],[United States 3y]],#N/A)</f>
        <v/>
      </c>
    </row>
    <row r="1214">
      <c r="A1214" s="6">
        <f>Database!$A3299</f>
        <v/>
      </c>
      <c r="B1214">
        <f>IF(VLOOKUP(Table7[[#This Row],[Date]],Database!$A:$C,MATCH($B$1,Database!$A$1:$C$1,),)=0,#N/A,VLOOKUP(Table7[[#This Row],[Date]],Database!$A:$C,MATCH($B$1,Database!$A$1:$C$1,),))</f>
        <v/>
      </c>
      <c r="C1214">
        <f>IF(VLOOKUP(Table7[[#This Row],[Date]],Database!$A:$C,MATCH($C$1,Database!$A$1:$C$1,),)=0,#N/A,VLOOKUP(Table7[[#This Row],[Date]],Database!$A:$C,MATCH($C$1,Database!$A$1:$C$1,),))</f>
        <v/>
      </c>
      <c r="D1214">
        <f>IFERROR(Table7[[#This Row],[United States 10y]]-Table7[[#This Row],[United States 3y]],#N/A)</f>
        <v/>
      </c>
    </row>
    <row r="1215">
      <c r="A1215" s="6">
        <f>Database!$A3300</f>
        <v/>
      </c>
      <c r="B1215">
        <f>IF(VLOOKUP(Table7[[#This Row],[Date]],Database!$A:$C,MATCH($B$1,Database!$A$1:$C$1,),)=0,#N/A,VLOOKUP(Table7[[#This Row],[Date]],Database!$A:$C,MATCH($B$1,Database!$A$1:$C$1,),))</f>
        <v/>
      </c>
      <c r="C1215">
        <f>IF(VLOOKUP(Table7[[#This Row],[Date]],Database!$A:$C,MATCH($C$1,Database!$A$1:$C$1,),)=0,#N/A,VLOOKUP(Table7[[#This Row],[Date]],Database!$A:$C,MATCH($C$1,Database!$A$1:$C$1,),))</f>
        <v/>
      </c>
      <c r="D1215">
        <f>IFERROR(Table7[[#This Row],[United States 10y]]-Table7[[#This Row],[United States 3y]],#N/A)</f>
        <v/>
      </c>
    </row>
    <row r="1216">
      <c r="A1216" s="6">
        <f>Database!$A3301</f>
        <v/>
      </c>
      <c r="B1216">
        <f>IF(VLOOKUP(Table7[[#This Row],[Date]],Database!$A:$C,MATCH($B$1,Database!$A$1:$C$1,),)=0,#N/A,VLOOKUP(Table7[[#This Row],[Date]],Database!$A:$C,MATCH($B$1,Database!$A$1:$C$1,),))</f>
        <v/>
      </c>
      <c r="C1216">
        <f>IF(VLOOKUP(Table7[[#This Row],[Date]],Database!$A:$C,MATCH($C$1,Database!$A$1:$C$1,),)=0,#N/A,VLOOKUP(Table7[[#This Row],[Date]],Database!$A:$C,MATCH($C$1,Database!$A$1:$C$1,),))</f>
        <v/>
      </c>
      <c r="D1216">
        <f>IFERROR(Table7[[#This Row],[United States 10y]]-Table7[[#This Row],[United States 3y]],#N/A)</f>
        <v/>
      </c>
    </row>
    <row r="1217">
      <c r="A1217" s="6">
        <f>Database!$A3302</f>
        <v/>
      </c>
      <c r="B1217">
        <f>IF(VLOOKUP(Table7[[#This Row],[Date]],Database!$A:$C,MATCH($B$1,Database!$A$1:$C$1,),)=0,#N/A,VLOOKUP(Table7[[#This Row],[Date]],Database!$A:$C,MATCH($B$1,Database!$A$1:$C$1,),))</f>
        <v/>
      </c>
      <c r="C1217">
        <f>IF(VLOOKUP(Table7[[#This Row],[Date]],Database!$A:$C,MATCH($C$1,Database!$A$1:$C$1,),)=0,#N/A,VLOOKUP(Table7[[#This Row],[Date]],Database!$A:$C,MATCH($C$1,Database!$A$1:$C$1,),))</f>
        <v/>
      </c>
      <c r="D1217">
        <f>IFERROR(Table7[[#This Row],[United States 10y]]-Table7[[#This Row],[United States 3y]],#N/A)</f>
        <v/>
      </c>
    </row>
    <row r="1218">
      <c r="A1218" s="6">
        <f>Database!$A3303</f>
        <v/>
      </c>
      <c r="B1218">
        <f>IF(VLOOKUP(Table7[[#This Row],[Date]],Database!$A:$C,MATCH($B$1,Database!$A$1:$C$1,),)=0,#N/A,VLOOKUP(Table7[[#This Row],[Date]],Database!$A:$C,MATCH($B$1,Database!$A$1:$C$1,),))</f>
        <v/>
      </c>
      <c r="C1218">
        <f>IF(VLOOKUP(Table7[[#This Row],[Date]],Database!$A:$C,MATCH($C$1,Database!$A$1:$C$1,),)=0,#N/A,VLOOKUP(Table7[[#This Row],[Date]],Database!$A:$C,MATCH($C$1,Database!$A$1:$C$1,),))</f>
        <v/>
      </c>
      <c r="D1218">
        <f>IFERROR(Table7[[#This Row],[United States 10y]]-Table7[[#This Row],[United States 3y]],#N/A)</f>
        <v/>
      </c>
    </row>
    <row r="1219">
      <c r="A1219" s="6">
        <f>Database!$A3304</f>
        <v/>
      </c>
      <c r="B1219">
        <f>IF(VLOOKUP(Table7[[#This Row],[Date]],Database!$A:$C,MATCH($B$1,Database!$A$1:$C$1,),)=0,#N/A,VLOOKUP(Table7[[#This Row],[Date]],Database!$A:$C,MATCH($B$1,Database!$A$1:$C$1,),))</f>
        <v/>
      </c>
      <c r="C1219">
        <f>IF(VLOOKUP(Table7[[#This Row],[Date]],Database!$A:$C,MATCH($C$1,Database!$A$1:$C$1,),)=0,#N/A,VLOOKUP(Table7[[#This Row],[Date]],Database!$A:$C,MATCH($C$1,Database!$A$1:$C$1,),))</f>
        <v/>
      </c>
      <c r="D1219">
        <f>IFERROR(Table7[[#This Row],[United States 10y]]-Table7[[#This Row],[United States 3y]],#N/A)</f>
        <v/>
      </c>
    </row>
    <row r="1220">
      <c r="A1220" s="6">
        <f>Database!$A3305</f>
        <v/>
      </c>
      <c r="B1220">
        <f>IF(VLOOKUP(Table7[[#This Row],[Date]],Database!$A:$C,MATCH($B$1,Database!$A$1:$C$1,),)=0,#N/A,VLOOKUP(Table7[[#This Row],[Date]],Database!$A:$C,MATCH($B$1,Database!$A$1:$C$1,),))</f>
        <v/>
      </c>
      <c r="C1220">
        <f>IF(VLOOKUP(Table7[[#This Row],[Date]],Database!$A:$C,MATCH($C$1,Database!$A$1:$C$1,),)=0,#N/A,VLOOKUP(Table7[[#This Row],[Date]],Database!$A:$C,MATCH($C$1,Database!$A$1:$C$1,),))</f>
        <v/>
      </c>
      <c r="D1220">
        <f>IFERROR(Table7[[#This Row],[United States 10y]]-Table7[[#This Row],[United States 3y]],#N/A)</f>
        <v/>
      </c>
    </row>
    <row r="1221">
      <c r="A1221" s="6">
        <f>Database!$A3306</f>
        <v/>
      </c>
      <c r="B1221">
        <f>IF(VLOOKUP(Table7[[#This Row],[Date]],Database!$A:$C,MATCH($B$1,Database!$A$1:$C$1,),)=0,#N/A,VLOOKUP(Table7[[#This Row],[Date]],Database!$A:$C,MATCH($B$1,Database!$A$1:$C$1,),))</f>
        <v/>
      </c>
      <c r="C1221">
        <f>IF(VLOOKUP(Table7[[#This Row],[Date]],Database!$A:$C,MATCH($C$1,Database!$A$1:$C$1,),)=0,#N/A,VLOOKUP(Table7[[#This Row],[Date]],Database!$A:$C,MATCH($C$1,Database!$A$1:$C$1,),))</f>
        <v/>
      </c>
      <c r="D1221">
        <f>IFERROR(Table7[[#This Row],[United States 10y]]-Table7[[#This Row],[United States 3y]],#N/A)</f>
        <v/>
      </c>
    </row>
    <row r="1222">
      <c r="A1222" s="6">
        <f>Database!$A3307</f>
        <v/>
      </c>
      <c r="B1222">
        <f>IF(VLOOKUP(Table7[[#This Row],[Date]],Database!$A:$C,MATCH($B$1,Database!$A$1:$C$1,),)=0,#N/A,VLOOKUP(Table7[[#This Row],[Date]],Database!$A:$C,MATCH($B$1,Database!$A$1:$C$1,),))</f>
        <v/>
      </c>
      <c r="C1222">
        <f>IF(VLOOKUP(Table7[[#This Row],[Date]],Database!$A:$C,MATCH($C$1,Database!$A$1:$C$1,),)=0,#N/A,VLOOKUP(Table7[[#This Row],[Date]],Database!$A:$C,MATCH($C$1,Database!$A$1:$C$1,),))</f>
        <v/>
      </c>
      <c r="D1222">
        <f>IFERROR(Table7[[#This Row],[United States 10y]]-Table7[[#This Row],[United States 3y]],#N/A)</f>
        <v/>
      </c>
    </row>
    <row r="1223">
      <c r="A1223" s="6">
        <f>Database!$A3308</f>
        <v/>
      </c>
      <c r="B1223">
        <f>IF(VLOOKUP(Table7[[#This Row],[Date]],Database!$A:$C,MATCH($B$1,Database!$A$1:$C$1,),)=0,#N/A,VLOOKUP(Table7[[#This Row],[Date]],Database!$A:$C,MATCH($B$1,Database!$A$1:$C$1,),))</f>
        <v/>
      </c>
      <c r="C1223">
        <f>IF(VLOOKUP(Table7[[#This Row],[Date]],Database!$A:$C,MATCH($C$1,Database!$A$1:$C$1,),)=0,#N/A,VLOOKUP(Table7[[#This Row],[Date]],Database!$A:$C,MATCH($C$1,Database!$A$1:$C$1,),))</f>
        <v/>
      </c>
      <c r="D1223">
        <f>IFERROR(Table7[[#This Row],[United States 10y]]-Table7[[#This Row],[United States 3y]],#N/A)</f>
        <v/>
      </c>
    </row>
    <row r="1224">
      <c r="A1224" s="6">
        <f>Database!$A3309</f>
        <v/>
      </c>
      <c r="B1224">
        <f>IF(VLOOKUP(Table7[[#This Row],[Date]],Database!$A:$C,MATCH($B$1,Database!$A$1:$C$1,),)=0,#N/A,VLOOKUP(Table7[[#This Row],[Date]],Database!$A:$C,MATCH($B$1,Database!$A$1:$C$1,),))</f>
        <v/>
      </c>
      <c r="C1224">
        <f>IF(VLOOKUP(Table7[[#This Row],[Date]],Database!$A:$C,MATCH($C$1,Database!$A$1:$C$1,),)=0,#N/A,VLOOKUP(Table7[[#This Row],[Date]],Database!$A:$C,MATCH($C$1,Database!$A$1:$C$1,),))</f>
        <v/>
      </c>
      <c r="D1224">
        <f>IFERROR(Table7[[#This Row],[United States 10y]]-Table7[[#This Row],[United States 3y]],#N/A)</f>
        <v/>
      </c>
    </row>
    <row r="1225">
      <c r="A1225" s="6">
        <f>Database!$A3310</f>
        <v/>
      </c>
      <c r="B1225">
        <f>IF(VLOOKUP(Table7[[#This Row],[Date]],Database!$A:$C,MATCH($B$1,Database!$A$1:$C$1,),)=0,#N/A,VLOOKUP(Table7[[#This Row],[Date]],Database!$A:$C,MATCH($B$1,Database!$A$1:$C$1,),))</f>
        <v/>
      </c>
      <c r="C1225">
        <f>IF(VLOOKUP(Table7[[#This Row],[Date]],Database!$A:$C,MATCH($C$1,Database!$A$1:$C$1,),)=0,#N/A,VLOOKUP(Table7[[#This Row],[Date]],Database!$A:$C,MATCH($C$1,Database!$A$1:$C$1,),))</f>
        <v/>
      </c>
      <c r="D1225">
        <f>IFERROR(Table7[[#This Row],[United States 10y]]-Table7[[#This Row],[United States 3y]],#N/A)</f>
        <v/>
      </c>
    </row>
    <row r="1226">
      <c r="A1226" s="6">
        <f>Database!$A3311</f>
        <v/>
      </c>
      <c r="B1226">
        <f>IF(VLOOKUP(Table7[[#This Row],[Date]],Database!$A:$C,MATCH($B$1,Database!$A$1:$C$1,),)=0,#N/A,VLOOKUP(Table7[[#This Row],[Date]],Database!$A:$C,MATCH($B$1,Database!$A$1:$C$1,),))</f>
        <v/>
      </c>
      <c r="C1226">
        <f>IF(VLOOKUP(Table7[[#This Row],[Date]],Database!$A:$C,MATCH($C$1,Database!$A$1:$C$1,),)=0,#N/A,VLOOKUP(Table7[[#This Row],[Date]],Database!$A:$C,MATCH($C$1,Database!$A$1:$C$1,),))</f>
        <v/>
      </c>
      <c r="D1226">
        <f>IFERROR(Table7[[#This Row],[United States 10y]]-Table7[[#This Row],[United States 3y]],#N/A)</f>
        <v/>
      </c>
    </row>
    <row r="1227">
      <c r="A1227" s="6">
        <f>Database!$A3312</f>
        <v/>
      </c>
      <c r="B1227">
        <f>IF(VLOOKUP(Table7[[#This Row],[Date]],Database!$A:$C,MATCH($B$1,Database!$A$1:$C$1,),)=0,#N/A,VLOOKUP(Table7[[#This Row],[Date]],Database!$A:$C,MATCH($B$1,Database!$A$1:$C$1,),))</f>
        <v/>
      </c>
      <c r="C1227">
        <f>IF(VLOOKUP(Table7[[#This Row],[Date]],Database!$A:$C,MATCH($C$1,Database!$A$1:$C$1,),)=0,#N/A,VLOOKUP(Table7[[#This Row],[Date]],Database!$A:$C,MATCH($C$1,Database!$A$1:$C$1,),))</f>
        <v/>
      </c>
      <c r="D1227">
        <f>IFERROR(Table7[[#This Row],[United States 10y]]-Table7[[#This Row],[United States 3y]],#N/A)</f>
        <v/>
      </c>
    </row>
    <row r="1228">
      <c r="A1228" s="6">
        <f>Database!$A3313</f>
        <v/>
      </c>
      <c r="B1228">
        <f>IF(VLOOKUP(Table7[[#This Row],[Date]],Database!$A:$C,MATCH($B$1,Database!$A$1:$C$1,),)=0,#N/A,VLOOKUP(Table7[[#This Row],[Date]],Database!$A:$C,MATCH($B$1,Database!$A$1:$C$1,),))</f>
        <v/>
      </c>
      <c r="C1228">
        <f>IF(VLOOKUP(Table7[[#This Row],[Date]],Database!$A:$C,MATCH($C$1,Database!$A$1:$C$1,),)=0,#N/A,VLOOKUP(Table7[[#This Row],[Date]],Database!$A:$C,MATCH($C$1,Database!$A$1:$C$1,),))</f>
        <v/>
      </c>
      <c r="D1228">
        <f>IFERROR(Table7[[#This Row],[United States 10y]]-Table7[[#This Row],[United States 3y]],#N/A)</f>
        <v/>
      </c>
    </row>
    <row r="1229">
      <c r="A1229" s="6">
        <f>Database!$A3314</f>
        <v/>
      </c>
      <c r="B1229">
        <f>IF(VLOOKUP(Table7[[#This Row],[Date]],Database!$A:$C,MATCH($B$1,Database!$A$1:$C$1,),)=0,#N/A,VLOOKUP(Table7[[#This Row],[Date]],Database!$A:$C,MATCH($B$1,Database!$A$1:$C$1,),))</f>
        <v/>
      </c>
      <c r="C1229">
        <f>IF(VLOOKUP(Table7[[#This Row],[Date]],Database!$A:$C,MATCH($C$1,Database!$A$1:$C$1,),)=0,#N/A,VLOOKUP(Table7[[#This Row],[Date]],Database!$A:$C,MATCH($C$1,Database!$A$1:$C$1,),))</f>
        <v/>
      </c>
      <c r="D1229">
        <f>IFERROR(Table7[[#This Row],[United States 10y]]-Table7[[#This Row],[United States 3y]],#N/A)</f>
        <v/>
      </c>
    </row>
    <row r="1230">
      <c r="A1230" s="6">
        <f>Database!$A3315</f>
        <v/>
      </c>
      <c r="B1230">
        <f>IF(VLOOKUP(Table7[[#This Row],[Date]],Database!$A:$C,MATCH($B$1,Database!$A$1:$C$1,),)=0,#N/A,VLOOKUP(Table7[[#This Row],[Date]],Database!$A:$C,MATCH($B$1,Database!$A$1:$C$1,),))</f>
        <v/>
      </c>
      <c r="C1230">
        <f>IF(VLOOKUP(Table7[[#This Row],[Date]],Database!$A:$C,MATCH($C$1,Database!$A$1:$C$1,),)=0,#N/A,VLOOKUP(Table7[[#This Row],[Date]],Database!$A:$C,MATCH($C$1,Database!$A$1:$C$1,),))</f>
        <v/>
      </c>
      <c r="D1230">
        <f>IFERROR(Table7[[#This Row],[United States 10y]]-Table7[[#This Row],[United States 3y]],#N/A)</f>
        <v/>
      </c>
    </row>
    <row r="1231">
      <c r="A1231" s="6">
        <f>Database!$A3316</f>
        <v/>
      </c>
      <c r="B1231">
        <f>IF(VLOOKUP(Table7[[#This Row],[Date]],Database!$A:$C,MATCH($B$1,Database!$A$1:$C$1,),)=0,#N/A,VLOOKUP(Table7[[#This Row],[Date]],Database!$A:$C,MATCH($B$1,Database!$A$1:$C$1,),))</f>
        <v/>
      </c>
      <c r="C1231">
        <f>IF(VLOOKUP(Table7[[#This Row],[Date]],Database!$A:$C,MATCH($C$1,Database!$A$1:$C$1,),)=0,#N/A,VLOOKUP(Table7[[#This Row],[Date]],Database!$A:$C,MATCH($C$1,Database!$A$1:$C$1,),))</f>
        <v/>
      </c>
      <c r="D1231">
        <f>IFERROR(Table7[[#This Row],[United States 10y]]-Table7[[#This Row],[United States 3y]],#N/A)</f>
        <v/>
      </c>
    </row>
    <row r="1232">
      <c r="A1232" s="6">
        <f>Database!$A3317</f>
        <v/>
      </c>
      <c r="B1232">
        <f>IF(VLOOKUP(Table7[[#This Row],[Date]],Database!$A:$C,MATCH($B$1,Database!$A$1:$C$1,),)=0,#N/A,VLOOKUP(Table7[[#This Row],[Date]],Database!$A:$C,MATCH($B$1,Database!$A$1:$C$1,),))</f>
        <v/>
      </c>
      <c r="C1232">
        <f>IF(VLOOKUP(Table7[[#This Row],[Date]],Database!$A:$C,MATCH($C$1,Database!$A$1:$C$1,),)=0,#N/A,VLOOKUP(Table7[[#This Row],[Date]],Database!$A:$C,MATCH($C$1,Database!$A$1:$C$1,),))</f>
        <v/>
      </c>
      <c r="D1232">
        <f>IFERROR(Table7[[#This Row],[United States 10y]]-Table7[[#This Row],[United States 3y]],#N/A)</f>
        <v/>
      </c>
    </row>
    <row r="1233">
      <c r="A1233" s="6">
        <f>Database!$A3318</f>
        <v/>
      </c>
      <c r="B1233">
        <f>IF(VLOOKUP(Table7[[#This Row],[Date]],Database!$A:$C,MATCH($B$1,Database!$A$1:$C$1,),)=0,#N/A,VLOOKUP(Table7[[#This Row],[Date]],Database!$A:$C,MATCH($B$1,Database!$A$1:$C$1,),))</f>
        <v/>
      </c>
      <c r="C1233">
        <f>IF(VLOOKUP(Table7[[#This Row],[Date]],Database!$A:$C,MATCH($C$1,Database!$A$1:$C$1,),)=0,#N/A,VLOOKUP(Table7[[#This Row],[Date]],Database!$A:$C,MATCH($C$1,Database!$A$1:$C$1,),))</f>
        <v/>
      </c>
      <c r="D1233">
        <f>IFERROR(Table7[[#This Row],[United States 10y]]-Table7[[#This Row],[United States 3y]],#N/A)</f>
        <v/>
      </c>
    </row>
    <row r="1234">
      <c r="A1234" s="6">
        <f>Database!$A3319</f>
        <v/>
      </c>
      <c r="B1234">
        <f>IF(VLOOKUP(Table7[[#This Row],[Date]],Database!$A:$C,MATCH($B$1,Database!$A$1:$C$1,),)=0,#N/A,VLOOKUP(Table7[[#This Row],[Date]],Database!$A:$C,MATCH($B$1,Database!$A$1:$C$1,),))</f>
        <v/>
      </c>
      <c r="C1234">
        <f>IF(VLOOKUP(Table7[[#This Row],[Date]],Database!$A:$C,MATCH($C$1,Database!$A$1:$C$1,),)=0,#N/A,VLOOKUP(Table7[[#This Row],[Date]],Database!$A:$C,MATCH($C$1,Database!$A$1:$C$1,),))</f>
        <v/>
      </c>
      <c r="D1234">
        <f>IFERROR(Table7[[#This Row],[United States 10y]]-Table7[[#This Row],[United States 3y]],#N/A)</f>
        <v/>
      </c>
    </row>
    <row r="1235">
      <c r="A1235" s="6">
        <f>Database!$A3320</f>
        <v/>
      </c>
      <c r="B1235">
        <f>IF(VLOOKUP(Table7[[#This Row],[Date]],Database!$A:$C,MATCH($B$1,Database!$A$1:$C$1,),)=0,#N/A,VLOOKUP(Table7[[#This Row],[Date]],Database!$A:$C,MATCH($B$1,Database!$A$1:$C$1,),))</f>
        <v/>
      </c>
      <c r="C1235">
        <f>IF(VLOOKUP(Table7[[#This Row],[Date]],Database!$A:$C,MATCH($C$1,Database!$A$1:$C$1,),)=0,#N/A,VLOOKUP(Table7[[#This Row],[Date]],Database!$A:$C,MATCH($C$1,Database!$A$1:$C$1,),))</f>
        <v/>
      </c>
      <c r="D1235">
        <f>IFERROR(Table7[[#This Row],[United States 10y]]-Table7[[#This Row],[United States 3y]],#N/A)</f>
        <v/>
      </c>
    </row>
    <row r="1236">
      <c r="A1236" s="6">
        <f>Database!$A3321</f>
        <v/>
      </c>
      <c r="B1236">
        <f>IF(VLOOKUP(Table7[[#This Row],[Date]],Database!$A:$C,MATCH($B$1,Database!$A$1:$C$1,),)=0,#N/A,VLOOKUP(Table7[[#This Row],[Date]],Database!$A:$C,MATCH($B$1,Database!$A$1:$C$1,),))</f>
        <v/>
      </c>
      <c r="C1236">
        <f>IF(VLOOKUP(Table7[[#This Row],[Date]],Database!$A:$C,MATCH($C$1,Database!$A$1:$C$1,),)=0,#N/A,VLOOKUP(Table7[[#This Row],[Date]],Database!$A:$C,MATCH($C$1,Database!$A$1:$C$1,),))</f>
        <v/>
      </c>
      <c r="D1236">
        <f>IFERROR(Table7[[#This Row],[United States 10y]]-Table7[[#This Row],[United States 3y]],#N/A)</f>
        <v/>
      </c>
    </row>
    <row r="1237">
      <c r="A1237" s="6">
        <f>Database!$A3322</f>
        <v/>
      </c>
      <c r="B1237">
        <f>IF(VLOOKUP(Table7[[#This Row],[Date]],Database!$A:$C,MATCH($B$1,Database!$A$1:$C$1,),)=0,#N/A,VLOOKUP(Table7[[#This Row],[Date]],Database!$A:$C,MATCH($B$1,Database!$A$1:$C$1,),))</f>
        <v/>
      </c>
      <c r="C1237">
        <f>IF(VLOOKUP(Table7[[#This Row],[Date]],Database!$A:$C,MATCH($C$1,Database!$A$1:$C$1,),)=0,#N/A,VLOOKUP(Table7[[#This Row],[Date]],Database!$A:$C,MATCH($C$1,Database!$A$1:$C$1,),))</f>
        <v/>
      </c>
      <c r="D1237">
        <f>IFERROR(Table7[[#This Row],[United States 10y]]-Table7[[#This Row],[United States 3y]],#N/A)</f>
        <v/>
      </c>
    </row>
    <row r="1238">
      <c r="A1238" s="6">
        <f>Database!$A3323</f>
        <v/>
      </c>
      <c r="B1238">
        <f>IF(VLOOKUP(Table7[[#This Row],[Date]],Database!$A:$C,MATCH($B$1,Database!$A$1:$C$1,),)=0,#N/A,VLOOKUP(Table7[[#This Row],[Date]],Database!$A:$C,MATCH($B$1,Database!$A$1:$C$1,),))</f>
        <v/>
      </c>
      <c r="C1238">
        <f>IF(VLOOKUP(Table7[[#This Row],[Date]],Database!$A:$C,MATCH($C$1,Database!$A$1:$C$1,),)=0,#N/A,VLOOKUP(Table7[[#This Row],[Date]],Database!$A:$C,MATCH($C$1,Database!$A$1:$C$1,),))</f>
        <v/>
      </c>
      <c r="D1238">
        <f>IFERROR(Table7[[#This Row],[United States 10y]]-Table7[[#This Row],[United States 3y]],#N/A)</f>
        <v/>
      </c>
    </row>
    <row r="1239">
      <c r="A1239" s="6">
        <f>Database!$A3324</f>
        <v/>
      </c>
      <c r="B1239">
        <f>IF(VLOOKUP(Table7[[#This Row],[Date]],Database!$A:$C,MATCH($B$1,Database!$A$1:$C$1,),)=0,#N/A,VLOOKUP(Table7[[#This Row],[Date]],Database!$A:$C,MATCH($B$1,Database!$A$1:$C$1,),))</f>
        <v/>
      </c>
      <c r="C1239">
        <f>IF(VLOOKUP(Table7[[#This Row],[Date]],Database!$A:$C,MATCH($C$1,Database!$A$1:$C$1,),)=0,#N/A,VLOOKUP(Table7[[#This Row],[Date]],Database!$A:$C,MATCH($C$1,Database!$A$1:$C$1,),))</f>
        <v/>
      </c>
      <c r="D1239">
        <f>IFERROR(Table7[[#This Row],[United States 10y]]-Table7[[#This Row],[United States 3y]],#N/A)</f>
        <v/>
      </c>
    </row>
    <row r="1240">
      <c r="A1240" s="6">
        <f>Database!$A3325</f>
        <v/>
      </c>
      <c r="B1240">
        <f>IF(VLOOKUP(Table7[[#This Row],[Date]],Database!$A:$C,MATCH($B$1,Database!$A$1:$C$1,),)=0,#N/A,VLOOKUP(Table7[[#This Row],[Date]],Database!$A:$C,MATCH($B$1,Database!$A$1:$C$1,),))</f>
        <v/>
      </c>
      <c r="C1240">
        <f>IF(VLOOKUP(Table7[[#This Row],[Date]],Database!$A:$C,MATCH($C$1,Database!$A$1:$C$1,),)=0,#N/A,VLOOKUP(Table7[[#This Row],[Date]],Database!$A:$C,MATCH($C$1,Database!$A$1:$C$1,),))</f>
        <v/>
      </c>
      <c r="D1240">
        <f>IFERROR(Table7[[#This Row],[United States 10y]]-Table7[[#This Row],[United States 3y]],#N/A)</f>
        <v/>
      </c>
    </row>
    <row r="1241">
      <c r="A1241" s="6">
        <f>Database!$A3326</f>
        <v/>
      </c>
      <c r="B1241">
        <f>IF(VLOOKUP(Table7[[#This Row],[Date]],Database!$A:$C,MATCH($B$1,Database!$A$1:$C$1,),)=0,#N/A,VLOOKUP(Table7[[#This Row],[Date]],Database!$A:$C,MATCH($B$1,Database!$A$1:$C$1,),))</f>
        <v/>
      </c>
      <c r="C1241">
        <f>IF(VLOOKUP(Table7[[#This Row],[Date]],Database!$A:$C,MATCH($C$1,Database!$A$1:$C$1,),)=0,#N/A,VLOOKUP(Table7[[#This Row],[Date]],Database!$A:$C,MATCH($C$1,Database!$A$1:$C$1,),))</f>
        <v/>
      </c>
      <c r="D1241">
        <f>IFERROR(Table7[[#This Row],[United States 10y]]-Table7[[#This Row],[United States 3y]],#N/A)</f>
        <v/>
      </c>
    </row>
    <row r="1242">
      <c r="A1242" s="6">
        <f>Database!$A3327</f>
        <v/>
      </c>
      <c r="B1242">
        <f>IF(VLOOKUP(Table7[[#This Row],[Date]],Database!$A:$C,MATCH($B$1,Database!$A$1:$C$1,),)=0,#N/A,VLOOKUP(Table7[[#This Row],[Date]],Database!$A:$C,MATCH($B$1,Database!$A$1:$C$1,),))</f>
        <v/>
      </c>
      <c r="C1242">
        <f>IF(VLOOKUP(Table7[[#This Row],[Date]],Database!$A:$C,MATCH($C$1,Database!$A$1:$C$1,),)=0,#N/A,VLOOKUP(Table7[[#This Row],[Date]],Database!$A:$C,MATCH($C$1,Database!$A$1:$C$1,),))</f>
        <v/>
      </c>
      <c r="D1242">
        <f>IFERROR(Table7[[#This Row],[United States 10y]]-Table7[[#This Row],[United States 3y]],#N/A)</f>
        <v/>
      </c>
    </row>
    <row r="1243">
      <c r="A1243" s="6">
        <f>Database!$A3328</f>
        <v/>
      </c>
      <c r="B1243">
        <f>IF(VLOOKUP(Table7[[#This Row],[Date]],Database!$A:$C,MATCH($B$1,Database!$A$1:$C$1,),)=0,#N/A,VLOOKUP(Table7[[#This Row],[Date]],Database!$A:$C,MATCH($B$1,Database!$A$1:$C$1,),))</f>
        <v/>
      </c>
      <c r="C1243">
        <f>IF(VLOOKUP(Table7[[#This Row],[Date]],Database!$A:$C,MATCH($C$1,Database!$A$1:$C$1,),)=0,#N/A,VLOOKUP(Table7[[#This Row],[Date]],Database!$A:$C,MATCH($C$1,Database!$A$1:$C$1,),))</f>
        <v/>
      </c>
      <c r="D1243">
        <f>IFERROR(Table7[[#This Row],[United States 10y]]-Table7[[#This Row],[United States 3y]],#N/A)</f>
        <v/>
      </c>
    </row>
    <row r="1244">
      <c r="A1244" s="6">
        <f>Database!$A3329</f>
        <v/>
      </c>
      <c r="B1244">
        <f>IF(VLOOKUP(Table7[[#This Row],[Date]],Database!$A:$C,MATCH($B$1,Database!$A$1:$C$1,),)=0,#N/A,VLOOKUP(Table7[[#This Row],[Date]],Database!$A:$C,MATCH($B$1,Database!$A$1:$C$1,),))</f>
        <v/>
      </c>
      <c r="C1244">
        <f>IF(VLOOKUP(Table7[[#This Row],[Date]],Database!$A:$C,MATCH($C$1,Database!$A$1:$C$1,),)=0,#N/A,VLOOKUP(Table7[[#This Row],[Date]],Database!$A:$C,MATCH($C$1,Database!$A$1:$C$1,),))</f>
        <v/>
      </c>
      <c r="D1244">
        <f>IFERROR(Table7[[#This Row],[United States 10y]]-Table7[[#This Row],[United States 3y]],#N/A)</f>
        <v/>
      </c>
    </row>
    <row r="1245">
      <c r="A1245" s="6">
        <f>Database!$A3330</f>
        <v/>
      </c>
      <c r="B1245">
        <f>IF(VLOOKUP(Table7[[#This Row],[Date]],Database!$A:$C,MATCH($B$1,Database!$A$1:$C$1,),)=0,#N/A,VLOOKUP(Table7[[#This Row],[Date]],Database!$A:$C,MATCH($B$1,Database!$A$1:$C$1,),))</f>
        <v/>
      </c>
      <c r="C1245">
        <f>IF(VLOOKUP(Table7[[#This Row],[Date]],Database!$A:$C,MATCH($C$1,Database!$A$1:$C$1,),)=0,#N/A,VLOOKUP(Table7[[#This Row],[Date]],Database!$A:$C,MATCH($C$1,Database!$A$1:$C$1,),))</f>
        <v/>
      </c>
      <c r="D1245">
        <f>IFERROR(Table7[[#This Row],[United States 10y]]-Table7[[#This Row],[United States 3y]],#N/A)</f>
        <v/>
      </c>
    </row>
    <row r="1246">
      <c r="A1246" s="6">
        <f>Database!$A3331</f>
        <v/>
      </c>
      <c r="B1246">
        <f>IF(VLOOKUP(Table7[[#This Row],[Date]],Database!$A:$C,MATCH($B$1,Database!$A$1:$C$1,),)=0,#N/A,VLOOKUP(Table7[[#This Row],[Date]],Database!$A:$C,MATCH($B$1,Database!$A$1:$C$1,),))</f>
        <v/>
      </c>
      <c r="C1246">
        <f>IF(VLOOKUP(Table7[[#This Row],[Date]],Database!$A:$C,MATCH($C$1,Database!$A$1:$C$1,),)=0,#N/A,VLOOKUP(Table7[[#This Row],[Date]],Database!$A:$C,MATCH($C$1,Database!$A$1:$C$1,),))</f>
        <v/>
      </c>
      <c r="D1246">
        <f>IFERROR(Table7[[#This Row],[United States 10y]]-Table7[[#This Row],[United States 3y]],#N/A)</f>
        <v/>
      </c>
    </row>
    <row r="1247">
      <c r="A1247" s="6">
        <f>Database!$A3332</f>
        <v/>
      </c>
      <c r="B1247">
        <f>IF(VLOOKUP(Table7[[#This Row],[Date]],Database!$A:$C,MATCH($B$1,Database!$A$1:$C$1,),)=0,#N/A,VLOOKUP(Table7[[#This Row],[Date]],Database!$A:$C,MATCH($B$1,Database!$A$1:$C$1,),))</f>
        <v/>
      </c>
      <c r="C1247">
        <f>IF(VLOOKUP(Table7[[#This Row],[Date]],Database!$A:$C,MATCH($C$1,Database!$A$1:$C$1,),)=0,#N/A,VLOOKUP(Table7[[#This Row],[Date]],Database!$A:$C,MATCH($C$1,Database!$A$1:$C$1,),))</f>
        <v/>
      </c>
      <c r="D1247">
        <f>IFERROR(Table7[[#This Row],[United States 10y]]-Table7[[#This Row],[United States 3y]],#N/A)</f>
        <v/>
      </c>
    </row>
    <row r="1248">
      <c r="A1248" s="6">
        <f>Database!$A3333</f>
        <v/>
      </c>
      <c r="B1248">
        <f>IF(VLOOKUP(Table7[[#This Row],[Date]],Database!$A:$C,MATCH($B$1,Database!$A$1:$C$1,),)=0,#N/A,VLOOKUP(Table7[[#This Row],[Date]],Database!$A:$C,MATCH($B$1,Database!$A$1:$C$1,),))</f>
        <v/>
      </c>
      <c r="C1248">
        <f>IF(VLOOKUP(Table7[[#This Row],[Date]],Database!$A:$C,MATCH($C$1,Database!$A$1:$C$1,),)=0,#N/A,VLOOKUP(Table7[[#This Row],[Date]],Database!$A:$C,MATCH($C$1,Database!$A$1:$C$1,),))</f>
        <v/>
      </c>
      <c r="D1248">
        <f>IFERROR(Table7[[#This Row],[United States 10y]]-Table7[[#This Row],[United States 3y]],#N/A)</f>
        <v/>
      </c>
    </row>
    <row r="1249">
      <c r="A1249" s="6">
        <f>Database!$A3334</f>
        <v/>
      </c>
      <c r="B1249">
        <f>IF(VLOOKUP(Table7[[#This Row],[Date]],Database!$A:$C,MATCH($B$1,Database!$A$1:$C$1,),)=0,#N/A,VLOOKUP(Table7[[#This Row],[Date]],Database!$A:$C,MATCH($B$1,Database!$A$1:$C$1,),))</f>
        <v/>
      </c>
      <c r="C1249">
        <f>IF(VLOOKUP(Table7[[#This Row],[Date]],Database!$A:$C,MATCH($C$1,Database!$A$1:$C$1,),)=0,#N/A,VLOOKUP(Table7[[#This Row],[Date]],Database!$A:$C,MATCH($C$1,Database!$A$1:$C$1,),))</f>
        <v/>
      </c>
      <c r="D1249">
        <f>IFERROR(Table7[[#This Row],[United States 10y]]-Table7[[#This Row],[United States 3y]],#N/A)</f>
        <v/>
      </c>
    </row>
    <row r="1250">
      <c r="A1250" s="6">
        <f>Database!$A3335</f>
        <v/>
      </c>
      <c r="B1250">
        <f>IF(VLOOKUP(Table7[[#This Row],[Date]],Database!$A:$C,MATCH($B$1,Database!$A$1:$C$1,),)=0,#N/A,VLOOKUP(Table7[[#This Row],[Date]],Database!$A:$C,MATCH($B$1,Database!$A$1:$C$1,),))</f>
        <v/>
      </c>
      <c r="C1250">
        <f>IF(VLOOKUP(Table7[[#This Row],[Date]],Database!$A:$C,MATCH($C$1,Database!$A$1:$C$1,),)=0,#N/A,VLOOKUP(Table7[[#This Row],[Date]],Database!$A:$C,MATCH($C$1,Database!$A$1:$C$1,),))</f>
        <v/>
      </c>
      <c r="D1250">
        <f>IFERROR(Table7[[#This Row],[United States 10y]]-Table7[[#This Row],[United States 3y]],#N/A)</f>
        <v/>
      </c>
    </row>
    <row r="1251">
      <c r="A1251" s="6">
        <f>Database!$A3336</f>
        <v/>
      </c>
      <c r="B1251">
        <f>IF(VLOOKUP(Table7[[#This Row],[Date]],Database!$A:$C,MATCH($B$1,Database!$A$1:$C$1,),)=0,#N/A,VLOOKUP(Table7[[#This Row],[Date]],Database!$A:$C,MATCH($B$1,Database!$A$1:$C$1,),))</f>
        <v/>
      </c>
      <c r="C1251">
        <f>IF(VLOOKUP(Table7[[#This Row],[Date]],Database!$A:$C,MATCH($C$1,Database!$A$1:$C$1,),)=0,#N/A,VLOOKUP(Table7[[#This Row],[Date]],Database!$A:$C,MATCH($C$1,Database!$A$1:$C$1,),))</f>
        <v/>
      </c>
      <c r="D1251">
        <f>IFERROR(Table7[[#This Row],[United States 10y]]-Table7[[#This Row],[United States 3y]],#N/A)</f>
        <v/>
      </c>
    </row>
    <row r="1252">
      <c r="A1252" s="6">
        <f>Database!$A3337</f>
        <v/>
      </c>
      <c r="B1252">
        <f>IF(VLOOKUP(Table7[[#This Row],[Date]],Database!$A:$C,MATCH($B$1,Database!$A$1:$C$1,),)=0,#N/A,VLOOKUP(Table7[[#This Row],[Date]],Database!$A:$C,MATCH($B$1,Database!$A$1:$C$1,),))</f>
        <v/>
      </c>
      <c r="C1252">
        <f>IF(VLOOKUP(Table7[[#This Row],[Date]],Database!$A:$C,MATCH($C$1,Database!$A$1:$C$1,),)=0,#N/A,VLOOKUP(Table7[[#This Row],[Date]],Database!$A:$C,MATCH($C$1,Database!$A$1:$C$1,),))</f>
        <v/>
      </c>
      <c r="D1252">
        <f>IFERROR(Table7[[#This Row],[United States 10y]]-Table7[[#This Row],[United States 3y]],#N/A)</f>
        <v/>
      </c>
    </row>
    <row r="1253">
      <c r="A1253" s="6">
        <f>Database!$A3338</f>
        <v/>
      </c>
      <c r="B1253">
        <f>IF(VLOOKUP(Table7[[#This Row],[Date]],Database!$A:$C,MATCH($B$1,Database!$A$1:$C$1,),)=0,#N/A,VLOOKUP(Table7[[#This Row],[Date]],Database!$A:$C,MATCH($B$1,Database!$A$1:$C$1,),))</f>
        <v/>
      </c>
      <c r="C1253">
        <f>IF(VLOOKUP(Table7[[#This Row],[Date]],Database!$A:$C,MATCH($C$1,Database!$A$1:$C$1,),)=0,#N/A,VLOOKUP(Table7[[#This Row],[Date]],Database!$A:$C,MATCH($C$1,Database!$A$1:$C$1,),))</f>
        <v/>
      </c>
      <c r="D1253">
        <f>IFERROR(Table7[[#This Row],[United States 10y]]-Table7[[#This Row],[United States 3y]],#N/A)</f>
        <v/>
      </c>
    </row>
    <row r="1254">
      <c r="A1254" s="6">
        <f>Database!$A3339</f>
        <v/>
      </c>
      <c r="B1254">
        <f>IF(VLOOKUP(Table7[[#This Row],[Date]],Database!$A:$C,MATCH($B$1,Database!$A$1:$C$1,),)=0,#N/A,VLOOKUP(Table7[[#This Row],[Date]],Database!$A:$C,MATCH($B$1,Database!$A$1:$C$1,),))</f>
        <v/>
      </c>
      <c r="C1254">
        <f>IF(VLOOKUP(Table7[[#This Row],[Date]],Database!$A:$C,MATCH($C$1,Database!$A$1:$C$1,),)=0,#N/A,VLOOKUP(Table7[[#This Row],[Date]],Database!$A:$C,MATCH($C$1,Database!$A$1:$C$1,),))</f>
        <v/>
      </c>
      <c r="D1254">
        <f>IFERROR(Table7[[#This Row],[United States 10y]]-Table7[[#This Row],[United States 3y]],#N/A)</f>
        <v/>
      </c>
    </row>
    <row r="1255">
      <c r="A1255" s="6">
        <f>Database!$A3340</f>
        <v/>
      </c>
      <c r="B1255">
        <f>IF(VLOOKUP(Table7[[#This Row],[Date]],Database!$A:$C,MATCH($B$1,Database!$A$1:$C$1,),)=0,#N/A,VLOOKUP(Table7[[#This Row],[Date]],Database!$A:$C,MATCH($B$1,Database!$A$1:$C$1,),))</f>
        <v/>
      </c>
      <c r="C1255">
        <f>IF(VLOOKUP(Table7[[#This Row],[Date]],Database!$A:$C,MATCH($C$1,Database!$A$1:$C$1,),)=0,#N/A,VLOOKUP(Table7[[#This Row],[Date]],Database!$A:$C,MATCH($C$1,Database!$A$1:$C$1,),))</f>
        <v/>
      </c>
      <c r="D1255">
        <f>IFERROR(Table7[[#This Row],[United States 10y]]-Table7[[#This Row],[United States 3y]],#N/A)</f>
        <v/>
      </c>
    </row>
    <row r="1256">
      <c r="A1256" s="6">
        <f>Database!$A3341</f>
        <v/>
      </c>
      <c r="B1256">
        <f>IF(VLOOKUP(Table7[[#This Row],[Date]],Database!$A:$C,MATCH($B$1,Database!$A$1:$C$1,),)=0,#N/A,VLOOKUP(Table7[[#This Row],[Date]],Database!$A:$C,MATCH($B$1,Database!$A$1:$C$1,),))</f>
        <v/>
      </c>
      <c r="C1256">
        <f>IF(VLOOKUP(Table7[[#This Row],[Date]],Database!$A:$C,MATCH($C$1,Database!$A$1:$C$1,),)=0,#N/A,VLOOKUP(Table7[[#This Row],[Date]],Database!$A:$C,MATCH($C$1,Database!$A$1:$C$1,),))</f>
        <v/>
      </c>
      <c r="D1256">
        <f>IFERROR(Table7[[#This Row],[United States 10y]]-Table7[[#This Row],[United States 3y]],#N/A)</f>
        <v/>
      </c>
    </row>
    <row r="1257">
      <c r="A1257" s="6">
        <f>Database!$A3342</f>
        <v/>
      </c>
      <c r="B1257">
        <f>IF(VLOOKUP(Table7[[#This Row],[Date]],Database!$A:$C,MATCH($B$1,Database!$A$1:$C$1,),)=0,#N/A,VLOOKUP(Table7[[#This Row],[Date]],Database!$A:$C,MATCH($B$1,Database!$A$1:$C$1,),))</f>
        <v/>
      </c>
      <c r="C1257">
        <f>IF(VLOOKUP(Table7[[#This Row],[Date]],Database!$A:$C,MATCH($C$1,Database!$A$1:$C$1,),)=0,#N/A,VLOOKUP(Table7[[#This Row],[Date]],Database!$A:$C,MATCH($C$1,Database!$A$1:$C$1,),))</f>
        <v/>
      </c>
      <c r="D1257">
        <f>IFERROR(Table7[[#This Row],[United States 10y]]-Table7[[#This Row],[United States 3y]],#N/A)</f>
        <v/>
      </c>
    </row>
    <row r="1258">
      <c r="A1258" s="6">
        <f>Database!$A3343</f>
        <v/>
      </c>
      <c r="B1258">
        <f>IF(VLOOKUP(Table7[[#This Row],[Date]],Database!$A:$C,MATCH($B$1,Database!$A$1:$C$1,),)=0,#N/A,VLOOKUP(Table7[[#This Row],[Date]],Database!$A:$C,MATCH($B$1,Database!$A$1:$C$1,),))</f>
        <v/>
      </c>
      <c r="C1258">
        <f>IF(VLOOKUP(Table7[[#This Row],[Date]],Database!$A:$C,MATCH($C$1,Database!$A$1:$C$1,),)=0,#N/A,VLOOKUP(Table7[[#This Row],[Date]],Database!$A:$C,MATCH($C$1,Database!$A$1:$C$1,),))</f>
        <v/>
      </c>
      <c r="D1258">
        <f>IFERROR(Table7[[#This Row],[United States 10y]]-Table7[[#This Row],[United States 3y]],#N/A)</f>
        <v/>
      </c>
    </row>
    <row r="1259">
      <c r="A1259" s="6">
        <f>Database!$A3344</f>
        <v/>
      </c>
      <c r="B1259">
        <f>IF(VLOOKUP(Table7[[#This Row],[Date]],Database!$A:$C,MATCH($B$1,Database!$A$1:$C$1,),)=0,#N/A,VLOOKUP(Table7[[#This Row],[Date]],Database!$A:$C,MATCH($B$1,Database!$A$1:$C$1,),))</f>
        <v/>
      </c>
      <c r="C1259">
        <f>IF(VLOOKUP(Table7[[#This Row],[Date]],Database!$A:$C,MATCH($C$1,Database!$A$1:$C$1,),)=0,#N/A,VLOOKUP(Table7[[#This Row],[Date]],Database!$A:$C,MATCH($C$1,Database!$A$1:$C$1,),))</f>
        <v/>
      </c>
      <c r="D1259">
        <f>IFERROR(Table7[[#This Row],[United States 10y]]-Table7[[#This Row],[United States 3y]],#N/A)</f>
        <v/>
      </c>
    </row>
    <row r="1260">
      <c r="A1260" s="6">
        <f>Database!$A3345</f>
        <v/>
      </c>
      <c r="B1260">
        <f>IF(VLOOKUP(Table7[[#This Row],[Date]],Database!$A:$C,MATCH($B$1,Database!$A$1:$C$1,),)=0,#N/A,VLOOKUP(Table7[[#This Row],[Date]],Database!$A:$C,MATCH($B$1,Database!$A$1:$C$1,),))</f>
        <v/>
      </c>
      <c r="C1260">
        <f>IF(VLOOKUP(Table7[[#This Row],[Date]],Database!$A:$C,MATCH($C$1,Database!$A$1:$C$1,),)=0,#N/A,VLOOKUP(Table7[[#This Row],[Date]],Database!$A:$C,MATCH($C$1,Database!$A$1:$C$1,),))</f>
        <v/>
      </c>
      <c r="D1260">
        <f>IFERROR(Table7[[#This Row],[United States 10y]]-Table7[[#This Row],[United States 3y]],#N/A)</f>
        <v/>
      </c>
    </row>
    <row r="1261">
      <c r="A1261" s="6">
        <f>Database!$A3346</f>
        <v/>
      </c>
      <c r="B1261">
        <f>IF(VLOOKUP(Table7[[#This Row],[Date]],Database!$A:$C,MATCH($B$1,Database!$A$1:$C$1,),)=0,#N/A,VLOOKUP(Table7[[#This Row],[Date]],Database!$A:$C,MATCH($B$1,Database!$A$1:$C$1,),))</f>
        <v/>
      </c>
      <c r="C1261">
        <f>IF(VLOOKUP(Table7[[#This Row],[Date]],Database!$A:$C,MATCH($C$1,Database!$A$1:$C$1,),)=0,#N/A,VLOOKUP(Table7[[#This Row],[Date]],Database!$A:$C,MATCH($C$1,Database!$A$1:$C$1,),))</f>
        <v/>
      </c>
      <c r="D1261">
        <f>IFERROR(Table7[[#This Row],[United States 10y]]-Table7[[#This Row],[United States 3y]],#N/A)</f>
        <v/>
      </c>
    </row>
    <row r="1262">
      <c r="A1262" s="6">
        <f>Database!$A3347</f>
        <v/>
      </c>
      <c r="B1262">
        <f>IF(VLOOKUP(Table7[[#This Row],[Date]],Database!$A:$C,MATCH($B$1,Database!$A$1:$C$1,),)=0,#N/A,VLOOKUP(Table7[[#This Row],[Date]],Database!$A:$C,MATCH($B$1,Database!$A$1:$C$1,),))</f>
        <v/>
      </c>
      <c r="C1262">
        <f>IF(VLOOKUP(Table7[[#This Row],[Date]],Database!$A:$C,MATCH($C$1,Database!$A$1:$C$1,),)=0,#N/A,VLOOKUP(Table7[[#This Row],[Date]],Database!$A:$C,MATCH($C$1,Database!$A$1:$C$1,),))</f>
        <v/>
      </c>
      <c r="D1262">
        <f>IFERROR(Table7[[#This Row],[United States 10y]]-Table7[[#This Row],[United States 3y]],#N/A)</f>
        <v/>
      </c>
    </row>
    <row r="1263">
      <c r="A1263" s="6">
        <f>Database!$A3348</f>
        <v/>
      </c>
      <c r="B1263">
        <f>IF(VLOOKUP(Table7[[#This Row],[Date]],Database!$A:$C,MATCH($B$1,Database!$A$1:$C$1,),)=0,#N/A,VLOOKUP(Table7[[#This Row],[Date]],Database!$A:$C,MATCH($B$1,Database!$A$1:$C$1,),))</f>
        <v/>
      </c>
      <c r="C1263">
        <f>IF(VLOOKUP(Table7[[#This Row],[Date]],Database!$A:$C,MATCH($C$1,Database!$A$1:$C$1,),)=0,#N/A,VLOOKUP(Table7[[#This Row],[Date]],Database!$A:$C,MATCH($C$1,Database!$A$1:$C$1,),))</f>
        <v/>
      </c>
      <c r="D1263">
        <f>IFERROR(Table7[[#This Row],[United States 10y]]-Table7[[#This Row],[United States 3y]],#N/A)</f>
        <v/>
      </c>
    </row>
    <row r="1264">
      <c r="A1264" s="6">
        <f>Database!$A3349</f>
        <v/>
      </c>
      <c r="B1264">
        <f>IF(VLOOKUP(Table7[[#This Row],[Date]],Database!$A:$C,MATCH($B$1,Database!$A$1:$C$1,),)=0,#N/A,VLOOKUP(Table7[[#This Row],[Date]],Database!$A:$C,MATCH($B$1,Database!$A$1:$C$1,),))</f>
        <v/>
      </c>
      <c r="C1264">
        <f>IF(VLOOKUP(Table7[[#This Row],[Date]],Database!$A:$C,MATCH($C$1,Database!$A$1:$C$1,),)=0,#N/A,VLOOKUP(Table7[[#This Row],[Date]],Database!$A:$C,MATCH($C$1,Database!$A$1:$C$1,),))</f>
        <v/>
      </c>
      <c r="D1264">
        <f>IFERROR(Table7[[#This Row],[United States 10y]]-Table7[[#This Row],[United States 3y]],#N/A)</f>
        <v/>
      </c>
    </row>
    <row r="1265">
      <c r="A1265" s="6">
        <f>Database!$A3350</f>
        <v/>
      </c>
      <c r="B1265">
        <f>IF(VLOOKUP(Table7[[#This Row],[Date]],Database!$A:$C,MATCH($B$1,Database!$A$1:$C$1,),)=0,#N/A,VLOOKUP(Table7[[#This Row],[Date]],Database!$A:$C,MATCH($B$1,Database!$A$1:$C$1,),))</f>
        <v/>
      </c>
      <c r="C1265">
        <f>IF(VLOOKUP(Table7[[#This Row],[Date]],Database!$A:$C,MATCH($C$1,Database!$A$1:$C$1,),)=0,#N/A,VLOOKUP(Table7[[#This Row],[Date]],Database!$A:$C,MATCH($C$1,Database!$A$1:$C$1,),))</f>
        <v/>
      </c>
      <c r="D1265">
        <f>IFERROR(Table7[[#This Row],[United States 10y]]-Table7[[#This Row],[United States 3y]],#N/A)</f>
        <v/>
      </c>
    </row>
    <row r="1266">
      <c r="A1266" s="6">
        <f>Database!$A3351</f>
        <v/>
      </c>
      <c r="B1266">
        <f>IF(VLOOKUP(Table7[[#This Row],[Date]],Database!$A:$C,MATCH($B$1,Database!$A$1:$C$1,),)=0,#N/A,VLOOKUP(Table7[[#This Row],[Date]],Database!$A:$C,MATCH($B$1,Database!$A$1:$C$1,),))</f>
        <v/>
      </c>
      <c r="C1266">
        <f>IF(VLOOKUP(Table7[[#This Row],[Date]],Database!$A:$C,MATCH($C$1,Database!$A$1:$C$1,),)=0,#N/A,VLOOKUP(Table7[[#This Row],[Date]],Database!$A:$C,MATCH($C$1,Database!$A$1:$C$1,),))</f>
        <v/>
      </c>
      <c r="D1266">
        <f>IFERROR(Table7[[#This Row],[United States 10y]]-Table7[[#This Row],[United States 3y]],#N/A)</f>
        <v/>
      </c>
    </row>
    <row r="1267">
      <c r="A1267" s="6">
        <f>Database!$A3352</f>
        <v/>
      </c>
      <c r="B1267">
        <f>IF(VLOOKUP(Table7[[#This Row],[Date]],Database!$A:$C,MATCH($B$1,Database!$A$1:$C$1,),)=0,#N/A,VLOOKUP(Table7[[#This Row],[Date]],Database!$A:$C,MATCH($B$1,Database!$A$1:$C$1,),))</f>
        <v/>
      </c>
      <c r="C1267">
        <f>IF(VLOOKUP(Table7[[#This Row],[Date]],Database!$A:$C,MATCH($C$1,Database!$A$1:$C$1,),)=0,#N/A,VLOOKUP(Table7[[#This Row],[Date]],Database!$A:$C,MATCH($C$1,Database!$A$1:$C$1,),))</f>
        <v/>
      </c>
      <c r="D1267">
        <f>IFERROR(Table7[[#This Row],[United States 10y]]-Table7[[#This Row],[United States 3y]],#N/A)</f>
        <v/>
      </c>
    </row>
    <row r="1268">
      <c r="A1268" s="6">
        <f>Database!$A3353</f>
        <v/>
      </c>
      <c r="B1268">
        <f>IF(VLOOKUP(Table7[[#This Row],[Date]],Database!$A:$C,MATCH($B$1,Database!$A$1:$C$1,),)=0,#N/A,VLOOKUP(Table7[[#This Row],[Date]],Database!$A:$C,MATCH($B$1,Database!$A$1:$C$1,),))</f>
        <v/>
      </c>
      <c r="C1268">
        <f>IF(VLOOKUP(Table7[[#This Row],[Date]],Database!$A:$C,MATCH($C$1,Database!$A$1:$C$1,),)=0,#N/A,VLOOKUP(Table7[[#This Row],[Date]],Database!$A:$C,MATCH($C$1,Database!$A$1:$C$1,),))</f>
        <v/>
      </c>
      <c r="D1268">
        <f>IFERROR(Table7[[#This Row],[United States 10y]]-Table7[[#This Row],[United States 3y]],#N/A)</f>
        <v/>
      </c>
    </row>
    <row r="1269">
      <c r="A1269" s="6">
        <f>Database!$A3354</f>
        <v/>
      </c>
      <c r="B1269">
        <f>IF(VLOOKUP(Table7[[#This Row],[Date]],Database!$A:$C,MATCH($B$1,Database!$A$1:$C$1,),)=0,#N/A,VLOOKUP(Table7[[#This Row],[Date]],Database!$A:$C,MATCH($B$1,Database!$A$1:$C$1,),))</f>
        <v/>
      </c>
      <c r="C1269">
        <f>IF(VLOOKUP(Table7[[#This Row],[Date]],Database!$A:$C,MATCH($C$1,Database!$A$1:$C$1,),)=0,#N/A,VLOOKUP(Table7[[#This Row],[Date]],Database!$A:$C,MATCH($C$1,Database!$A$1:$C$1,),))</f>
        <v/>
      </c>
      <c r="D1269">
        <f>IFERROR(Table7[[#This Row],[United States 10y]]-Table7[[#This Row],[United States 3y]],#N/A)</f>
        <v/>
      </c>
    </row>
    <row r="1270">
      <c r="A1270" s="6">
        <f>Database!$A3355</f>
        <v/>
      </c>
      <c r="B1270">
        <f>IF(VLOOKUP(Table7[[#This Row],[Date]],Database!$A:$C,MATCH($B$1,Database!$A$1:$C$1,),)=0,#N/A,VLOOKUP(Table7[[#This Row],[Date]],Database!$A:$C,MATCH($B$1,Database!$A$1:$C$1,),))</f>
        <v/>
      </c>
      <c r="C1270">
        <f>IF(VLOOKUP(Table7[[#This Row],[Date]],Database!$A:$C,MATCH($C$1,Database!$A$1:$C$1,),)=0,#N/A,VLOOKUP(Table7[[#This Row],[Date]],Database!$A:$C,MATCH($C$1,Database!$A$1:$C$1,),))</f>
        <v/>
      </c>
      <c r="D1270">
        <f>IFERROR(Table7[[#This Row],[United States 10y]]-Table7[[#This Row],[United States 3y]],#N/A)</f>
        <v/>
      </c>
    </row>
    <row r="1271">
      <c r="A1271" s="6">
        <f>Database!$A3356</f>
        <v/>
      </c>
      <c r="B1271">
        <f>IF(VLOOKUP(Table7[[#This Row],[Date]],Database!$A:$C,MATCH($B$1,Database!$A$1:$C$1,),)=0,#N/A,VLOOKUP(Table7[[#This Row],[Date]],Database!$A:$C,MATCH($B$1,Database!$A$1:$C$1,),))</f>
        <v/>
      </c>
      <c r="C1271">
        <f>IF(VLOOKUP(Table7[[#This Row],[Date]],Database!$A:$C,MATCH($C$1,Database!$A$1:$C$1,),)=0,#N/A,VLOOKUP(Table7[[#This Row],[Date]],Database!$A:$C,MATCH($C$1,Database!$A$1:$C$1,),))</f>
        <v/>
      </c>
      <c r="D1271">
        <f>IFERROR(Table7[[#This Row],[United States 10y]]-Table7[[#This Row],[United States 3y]],#N/A)</f>
        <v/>
      </c>
    </row>
    <row r="1272">
      <c r="A1272" s="6">
        <f>Database!$A3357</f>
        <v/>
      </c>
      <c r="B1272">
        <f>IF(VLOOKUP(Table7[[#This Row],[Date]],Database!$A:$C,MATCH($B$1,Database!$A$1:$C$1,),)=0,#N/A,VLOOKUP(Table7[[#This Row],[Date]],Database!$A:$C,MATCH($B$1,Database!$A$1:$C$1,),))</f>
        <v/>
      </c>
      <c r="C1272">
        <f>IF(VLOOKUP(Table7[[#This Row],[Date]],Database!$A:$C,MATCH($C$1,Database!$A$1:$C$1,),)=0,#N/A,VLOOKUP(Table7[[#This Row],[Date]],Database!$A:$C,MATCH($C$1,Database!$A$1:$C$1,),))</f>
        <v/>
      </c>
      <c r="D1272">
        <f>IFERROR(Table7[[#This Row],[United States 10y]]-Table7[[#This Row],[United States 3y]],#N/A)</f>
        <v/>
      </c>
    </row>
    <row r="1273">
      <c r="A1273" s="6">
        <f>Database!$A3358</f>
        <v/>
      </c>
      <c r="B1273">
        <f>IF(VLOOKUP(Table7[[#This Row],[Date]],Database!$A:$C,MATCH($B$1,Database!$A$1:$C$1,),)=0,#N/A,VLOOKUP(Table7[[#This Row],[Date]],Database!$A:$C,MATCH($B$1,Database!$A$1:$C$1,),))</f>
        <v/>
      </c>
      <c r="C1273">
        <f>IF(VLOOKUP(Table7[[#This Row],[Date]],Database!$A:$C,MATCH($C$1,Database!$A$1:$C$1,),)=0,#N/A,VLOOKUP(Table7[[#This Row],[Date]],Database!$A:$C,MATCH($C$1,Database!$A$1:$C$1,),))</f>
        <v/>
      </c>
      <c r="D1273">
        <f>IFERROR(Table7[[#This Row],[United States 10y]]-Table7[[#This Row],[United States 3y]],#N/A)</f>
        <v/>
      </c>
    </row>
    <row r="1274">
      <c r="A1274" s="6">
        <f>Database!$A3359</f>
        <v/>
      </c>
      <c r="B1274">
        <f>IF(VLOOKUP(Table7[[#This Row],[Date]],Database!$A:$C,MATCH($B$1,Database!$A$1:$C$1,),)=0,#N/A,VLOOKUP(Table7[[#This Row],[Date]],Database!$A:$C,MATCH($B$1,Database!$A$1:$C$1,),))</f>
        <v/>
      </c>
      <c r="C1274">
        <f>IF(VLOOKUP(Table7[[#This Row],[Date]],Database!$A:$C,MATCH($C$1,Database!$A$1:$C$1,),)=0,#N/A,VLOOKUP(Table7[[#This Row],[Date]],Database!$A:$C,MATCH($C$1,Database!$A$1:$C$1,),))</f>
        <v/>
      </c>
      <c r="D1274">
        <f>IFERROR(Table7[[#This Row],[United States 10y]]-Table7[[#This Row],[United States 3y]],#N/A)</f>
        <v/>
      </c>
    </row>
    <row r="1275">
      <c r="A1275" s="6">
        <f>Database!$A3360</f>
        <v/>
      </c>
      <c r="B1275">
        <f>IF(VLOOKUP(Table7[[#This Row],[Date]],Database!$A:$C,MATCH($B$1,Database!$A$1:$C$1,),)=0,#N/A,VLOOKUP(Table7[[#This Row],[Date]],Database!$A:$C,MATCH($B$1,Database!$A$1:$C$1,),))</f>
        <v/>
      </c>
      <c r="C1275">
        <f>IF(VLOOKUP(Table7[[#This Row],[Date]],Database!$A:$C,MATCH($C$1,Database!$A$1:$C$1,),)=0,#N/A,VLOOKUP(Table7[[#This Row],[Date]],Database!$A:$C,MATCH($C$1,Database!$A$1:$C$1,),))</f>
        <v/>
      </c>
      <c r="D1275">
        <f>IFERROR(Table7[[#This Row],[United States 10y]]-Table7[[#This Row],[United States 3y]],#N/A)</f>
        <v/>
      </c>
    </row>
    <row r="1276">
      <c r="A1276" s="6">
        <f>Database!$A3361</f>
        <v/>
      </c>
      <c r="B1276">
        <f>IF(VLOOKUP(Table7[[#This Row],[Date]],Database!$A:$C,MATCH($B$1,Database!$A$1:$C$1,),)=0,#N/A,VLOOKUP(Table7[[#This Row],[Date]],Database!$A:$C,MATCH($B$1,Database!$A$1:$C$1,),))</f>
        <v/>
      </c>
      <c r="C1276">
        <f>IF(VLOOKUP(Table7[[#This Row],[Date]],Database!$A:$C,MATCH($C$1,Database!$A$1:$C$1,),)=0,#N/A,VLOOKUP(Table7[[#This Row],[Date]],Database!$A:$C,MATCH($C$1,Database!$A$1:$C$1,),))</f>
        <v/>
      </c>
      <c r="D1276">
        <f>IFERROR(Table7[[#This Row],[United States 10y]]-Table7[[#This Row],[United States 3y]],#N/A)</f>
        <v/>
      </c>
    </row>
    <row r="1277">
      <c r="A1277" s="6">
        <f>Database!$A3362</f>
        <v/>
      </c>
      <c r="B1277">
        <f>IF(VLOOKUP(Table7[[#This Row],[Date]],Database!$A:$C,MATCH($B$1,Database!$A$1:$C$1,),)=0,#N/A,VLOOKUP(Table7[[#This Row],[Date]],Database!$A:$C,MATCH($B$1,Database!$A$1:$C$1,),))</f>
        <v/>
      </c>
      <c r="C1277">
        <f>IF(VLOOKUP(Table7[[#This Row],[Date]],Database!$A:$C,MATCH($C$1,Database!$A$1:$C$1,),)=0,#N/A,VLOOKUP(Table7[[#This Row],[Date]],Database!$A:$C,MATCH($C$1,Database!$A$1:$C$1,),))</f>
        <v/>
      </c>
      <c r="D1277">
        <f>IFERROR(Table7[[#This Row],[United States 10y]]-Table7[[#This Row],[United States 3y]],#N/A)</f>
        <v/>
      </c>
    </row>
    <row r="1278">
      <c r="A1278" s="6">
        <f>Database!$A3363</f>
        <v/>
      </c>
      <c r="B1278">
        <f>IF(VLOOKUP(Table7[[#This Row],[Date]],Database!$A:$C,MATCH($B$1,Database!$A$1:$C$1,),)=0,#N/A,VLOOKUP(Table7[[#This Row],[Date]],Database!$A:$C,MATCH($B$1,Database!$A$1:$C$1,),))</f>
        <v/>
      </c>
      <c r="C1278">
        <f>IF(VLOOKUP(Table7[[#This Row],[Date]],Database!$A:$C,MATCH($C$1,Database!$A$1:$C$1,),)=0,#N/A,VLOOKUP(Table7[[#This Row],[Date]],Database!$A:$C,MATCH($C$1,Database!$A$1:$C$1,),))</f>
        <v/>
      </c>
      <c r="D1278">
        <f>IFERROR(Table7[[#This Row],[United States 10y]]-Table7[[#This Row],[United States 3y]],#N/A)</f>
        <v/>
      </c>
    </row>
    <row r="1279">
      <c r="A1279" s="6">
        <f>Database!$A3364</f>
        <v/>
      </c>
      <c r="B1279">
        <f>IF(VLOOKUP(Table7[[#This Row],[Date]],Database!$A:$C,MATCH($B$1,Database!$A$1:$C$1,),)=0,#N/A,VLOOKUP(Table7[[#This Row],[Date]],Database!$A:$C,MATCH($B$1,Database!$A$1:$C$1,),))</f>
        <v/>
      </c>
      <c r="C1279">
        <f>IF(VLOOKUP(Table7[[#This Row],[Date]],Database!$A:$C,MATCH($C$1,Database!$A$1:$C$1,),)=0,#N/A,VLOOKUP(Table7[[#This Row],[Date]],Database!$A:$C,MATCH($C$1,Database!$A$1:$C$1,),))</f>
        <v/>
      </c>
      <c r="D1279">
        <f>IFERROR(Table7[[#This Row],[United States 10y]]-Table7[[#This Row],[United States 3y]],#N/A)</f>
        <v/>
      </c>
    </row>
    <row r="1280">
      <c r="A1280" s="6">
        <f>Database!$A3365</f>
        <v/>
      </c>
      <c r="B1280">
        <f>IF(VLOOKUP(Table7[[#This Row],[Date]],Database!$A:$C,MATCH($B$1,Database!$A$1:$C$1,),)=0,#N/A,VLOOKUP(Table7[[#This Row],[Date]],Database!$A:$C,MATCH($B$1,Database!$A$1:$C$1,),))</f>
        <v/>
      </c>
      <c r="C1280">
        <f>IF(VLOOKUP(Table7[[#This Row],[Date]],Database!$A:$C,MATCH($C$1,Database!$A$1:$C$1,),)=0,#N/A,VLOOKUP(Table7[[#This Row],[Date]],Database!$A:$C,MATCH($C$1,Database!$A$1:$C$1,),))</f>
        <v/>
      </c>
      <c r="D1280">
        <f>IFERROR(Table7[[#This Row],[United States 10y]]-Table7[[#This Row],[United States 3y]],#N/A)</f>
        <v/>
      </c>
    </row>
    <row r="1281">
      <c r="A1281" s="6">
        <f>Database!$A3366</f>
        <v/>
      </c>
      <c r="B1281">
        <f>IF(VLOOKUP(Table7[[#This Row],[Date]],Database!$A:$C,MATCH($B$1,Database!$A$1:$C$1,),)=0,#N/A,VLOOKUP(Table7[[#This Row],[Date]],Database!$A:$C,MATCH($B$1,Database!$A$1:$C$1,),))</f>
        <v/>
      </c>
      <c r="C1281">
        <f>IF(VLOOKUP(Table7[[#This Row],[Date]],Database!$A:$C,MATCH($C$1,Database!$A$1:$C$1,),)=0,#N/A,VLOOKUP(Table7[[#This Row],[Date]],Database!$A:$C,MATCH($C$1,Database!$A$1:$C$1,),))</f>
        <v/>
      </c>
      <c r="D1281">
        <f>IFERROR(Table7[[#This Row],[United States 10y]]-Table7[[#This Row],[United States 3y]],#N/A)</f>
        <v/>
      </c>
    </row>
    <row r="1282">
      <c r="A1282" s="6">
        <f>Database!$A3367</f>
        <v/>
      </c>
      <c r="B1282">
        <f>IF(VLOOKUP(Table7[[#This Row],[Date]],Database!$A:$C,MATCH($B$1,Database!$A$1:$C$1,),)=0,#N/A,VLOOKUP(Table7[[#This Row],[Date]],Database!$A:$C,MATCH($B$1,Database!$A$1:$C$1,),))</f>
        <v/>
      </c>
      <c r="C1282">
        <f>IF(VLOOKUP(Table7[[#This Row],[Date]],Database!$A:$C,MATCH($C$1,Database!$A$1:$C$1,),)=0,#N/A,VLOOKUP(Table7[[#This Row],[Date]],Database!$A:$C,MATCH($C$1,Database!$A$1:$C$1,),))</f>
        <v/>
      </c>
      <c r="D1282">
        <f>IFERROR(Table7[[#This Row],[United States 10y]]-Table7[[#This Row],[United States 3y]],#N/A)</f>
        <v/>
      </c>
    </row>
    <row r="1283">
      <c r="A1283" s="6">
        <f>Database!$A3368</f>
        <v/>
      </c>
      <c r="B1283">
        <f>IF(VLOOKUP(Table7[[#This Row],[Date]],Database!$A:$C,MATCH($B$1,Database!$A$1:$C$1,),)=0,#N/A,VLOOKUP(Table7[[#This Row],[Date]],Database!$A:$C,MATCH($B$1,Database!$A$1:$C$1,),))</f>
        <v/>
      </c>
      <c r="C1283">
        <f>IF(VLOOKUP(Table7[[#This Row],[Date]],Database!$A:$C,MATCH($C$1,Database!$A$1:$C$1,),)=0,#N/A,VLOOKUP(Table7[[#This Row],[Date]],Database!$A:$C,MATCH($C$1,Database!$A$1:$C$1,),))</f>
        <v/>
      </c>
      <c r="D1283">
        <f>IFERROR(Table7[[#This Row],[United States 10y]]-Table7[[#This Row],[United States 3y]],#N/A)</f>
        <v/>
      </c>
    </row>
    <row r="1284">
      <c r="A1284" s="6">
        <f>Database!$A3369</f>
        <v/>
      </c>
      <c r="B1284">
        <f>IF(VLOOKUP(Table7[[#This Row],[Date]],Database!$A:$C,MATCH($B$1,Database!$A$1:$C$1,),)=0,#N/A,VLOOKUP(Table7[[#This Row],[Date]],Database!$A:$C,MATCH($B$1,Database!$A$1:$C$1,),))</f>
        <v/>
      </c>
      <c r="C1284">
        <f>IF(VLOOKUP(Table7[[#This Row],[Date]],Database!$A:$C,MATCH($C$1,Database!$A$1:$C$1,),)=0,#N/A,VLOOKUP(Table7[[#This Row],[Date]],Database!$A:$C,MATCH($C$1,Database!$A$1:$C$1,),))</f>
        <v/>
      </c>
      <c r="D1284">
        <f>IFERROR(Table7[[#This Row],[United States 10y]]-Table7[[#This Row],[United States 3y]],#N/A)</f>
        <v/>
      </c>
    </row>
    <row r="1285">
      <c r="A1285" s="6">
        <f>Database!$A3370</f>
        <v/>
      </c>
      <c r="B1285">
        <f>IF(VLOOKUP(Table7[[#This Row],[Date]],Database!$A:$C,MATCH($B$1,Database!$A$1:$C$1,),)=0,#N/A,VLOOKUP(Table7[[#This Row],[Date]],Database!$A:$C,MATCH($B$1,Database!$A$1:$C$1,),))</f>
        <v/>
      </c>
      <c r="C1285">
        <f>IF(VLOOKUP(Table7[[#This Row],[Date]],Database!$A:$C,MATCH($C$1,Database!$A$1:$C$1,),)=0,#N/A,VLOOKUP(Table7[[#This Row],[Date]],Database!$A:$C,MATCH($C$1,Database!$A$1:$C$1,),))</f>
        <v/>
      </c>
      <c r="D1285">
        <f>IFERROR(Table7[[#This Row],[United States 10y]]-Table7[[#This Row],[United States 3y]],#N/A)</f>
        <v/>
      </c>
    </row>
    <row r="1286">
      <c r="A1286" s="6">
        <f>Database!$A3371</f>
        <v/>
      </c>
      <c r="B1286">
        <f>IF(VLOOKUP(Table7[[#This Row],[Date]],Database!$A:$C,MATCH($B$1,Database!$A$1:$C$1,),)=0,#N/A,VLOOKUP(Table7[[#This Row],[Date]],Database!$A:$C,MATCH($B$1,Database!$A$1:$C$1,),))</f>
        <v/>
      </c>
      <c r="C1286">
        <f>IF(VLOOKUP(Table7[[#This Row],[Date]],Database!$A:$C,MATCH($C$1,Database!$A$1:$C$1,),)=0,#N/A,VLOOKUP(Table7[[#This Row],[Date]],Database!$A:$C,MATCH($C$1,Database!$A$1:$C$1,),))</f>
        <v/>
      </c>
      <c r="D1286">
        <f>IFERROR(Table7[[#This Row],[United States 10y]]-Table7[[#This Row],[United States 3y]],#N/A)</f>
        <v/>
      </c>
    </row>
    <row r="1287">
      <c r="A1287" s="6">
        <f>Database!$A3372</f>
        <v/>
      </c>
      <c r="B1287">
        <f>IF(VLOOKUP(Table7[[#This Row],[Date]],Database!$A:$C,MATCH($B$1,Database!$A$1:$C$1,),)=0,#N/A,VLOOKUP(Table7[[#This Row],[Date]],Database!$A:$C,MATCH($B$1,Database!$A$1:$C$1,),))</f>
        <v/>
      </c>
      <c r="C1287">
        <f>IF(VLOOKUP(Table7[[#This Row],[Date]],Database!$A:$C,MATCH($C$1,Database!$A$1:$C$1,),)=0,#N/A,VLOOKUP(Table7[[#This Row],[Date]],Database!$A:$C,MATCH($C$1,Database!$A$1:$C$1,),))</f>
        <v/>
      </c>
      <c r="D1287">
        <f>IFERROR(Table7[[#This Row],[United States 10y]]-Table7[[#This Row],[United States 3y]],#N/A)</f>
        <v/>
      </c>
    </row>
    <row r="1288">
      <c r="A1288" s="6">
        <f>Database!$A3373</f>
        <v/>
      </c>
      <c r="B1288">
        <f>IF(VLOOKUP(Table7[[#This Row],[Date]],Database!$A:$C,MATCH($B$1,Database!$A$1:$C$1,),)=0,#N/A,VLOOKUP(Table7[[#This Row],[Date]],Database!$A:$C,MATCH($B$1,Database!$A$1:$C$1,),))</f>
        <v/>
      </c>
      <c r="C1288">
        <f>IF(VLOOKUP(Table7[[#This Row],[Date]],Database!$A:$C,MATCH($C$1,Database!$A$1:$C$1,),)=0,#N/A,VLOOKUP(Table7[[#This Row],[Date]],Database!$A:$C,MATCH($C$1,Database!$A$1:$C$1,),))</f>
        <v/>
      </c>
      <c r="D1288">
        <f>IFERROR(Table7[[#This Row],[United States 10y]]-Table7[[#This Row],[United States 3y]],#N/A)</f>
        <v/>
      </c>
    </row>
    <row r="1289">
      <c r="A1289" s="6">
        <f>Database!$A3374</f>
        <v/>
      </c>
      <c r="B1289">
        <f>IF(VLOOKUP(Table7[[#This Row],[Date]],Database!$A:$C,MATCH($B$1,Database!$A$1:$C$1,),)=0,#N/A,VLOOKUP(Table7[[#This Row],[Date]],Database!$A:$C,MATCH($B$1,Database!$A$1:$C$1,),))</f>
        <v/>
      </c>
      <c r="C1289">
        <f>IF(VLOOKUP(Table7[[#This Row],[Date]],Database!$A:$C,MATCH($C$1,Database!$A$1:$C$1,),)=0,#N/A,VLOOKUP(Table7[[#This Row],[Date]],Database!$A:$C,MATCH($C$1,Database!$A$1:$C$1,),))</f>
        <v/>
      </c>
      <c r="D1289">
        <f>IFERROR(Table7[[#This Row],[United States 10y]]-Table7[[#This Row],[United States 3y]],#N/A)</f>
        <v/>
      </c>
    </row>
    <row r="1290">
      <c r="A1290" s="6">
        <f>Database!$A3375</f>
        <v/>
      </c>
      <c r="B1290">
        <f>IF(VLOOKUP(Table7[[#This Row],[Date]],Database!$A:$C,MATCH($B$1,Database!$A$1:$C$1,),)=0,#N/A,VLOOKUP(Table7[[#This Row],[Date]],Database!$A:$C,MATCH($B$1,Database!$A$1:$C$1,),))</f>
        <v/>
      </c>
      <c r="C1290">
        <f>IF(VLOOKUP(Table7[[#This Row],[Date]],Database!$A:$C,MATCH($C$1,Database!$A$1:$C$1,),)=0,#N/A,VLOOKUP(Table7[[#This Row],[Date]],Database!$A:$C,MATCH($C$1,Database!$A$1:$C$1,),))</f>
        <v/>
      </c>
      <c r="D1290">
        <f>IFERROR(Table7[[#This Row],[United States 10y]]-Table7[[#This Row],[United States 3y]],#N/A)</f>
        <v/>
      </c>
    </row>
    <row r="1291">
      <c r="A1291" s="6">
        <f>Database!$A3376</f>
        <v/>
      </c>
      <c r="B1291">
        <f>IF(VLOOKUP(Table7[[#This Row],[Date]],Database!$A:$C,MATCH($B$1,Database!$A$1:$C$1,),)=0,#N/A,VLOOKUP(Table7[[#This Row],[Date]],Database!$A:$C,MATCH($B$1,Database!$A$1:$C$1,),))</f>
        <v/>
      </c>
      <c r="C1291">
        <f>IF(VLOOKUP(Table7[[#This Row],[Date]],Database!$A:$C,MATCH($C$1,Database!$A$1:$C$1,),)=0,#N/A,VLOOKUP(Table7[[#This Row],[Date]],Database!$A:$C,MATCH($C$1,Database!$A$1:$C$1,),))</f>
        <v/>
      </c>
      <c r="D1291">
        <f>IFERROR(Table7[[#This Row],[United States 10y]]-Table7[[#This Row],[United States 3y]],#N/A)</f>
        <v/>
      </c>
    </row>
    <row r="1292">
      <c r="A1292" s="6">
        <f>Database!$A3377</f>
        <v/>
      </c>
      <c r="B1292">
        <f>IF(VLOOKUP(Table7[[#This Row],[Date]],Database!$A:$C,MATCH($B$1,Database!$A$1:$C$1,),)=0,#N/A,VLOOKUP(Table7[[#This Row],[Date]],Database!$A:$C,MATCH($B$1,Database!$A$1:$C$1,),))</f>
        <v/>
      </c>
      <c r="C1292">
        <f>IF(VLOOKUP(Table7[[#This Row],[Date]],Database!$A:$C,MATCH($C$1,Database!$A$1:$C$1,),)=0,#N/A,VLOOKUP(Table7[[#This Row],[Date]],Database!$A:$C,MATCH($C$1,Database!$A$1:$C$1,),))</f>
        <v/>
      </c>
      <c r="D1292">
        <f>IFERROR(Table7[[#This Row],[United States 10y]]-Table7[[#This Row],[United States 3y]],#N/A)</f>
        <v/>
      </c>
    </row>
    <row r="1293">
      <c r="A1293" s="6">
        <f>Database!$A3378</f>
        <v/>
      </c>
      <c r="B1293">
        <f>IF(VLOOKUP(Table7[[#This Row],[Date]],Database!$A:$C,MATCH($B$1,Database!$A$1:$C$1,),)=0,#N/A,VLOOKUP(Table7[[#This Row],[Date]],Database!$A:$C,MATCH($B$1,Database!$A$1:$C$1,),))</f>
        <v/>
      </c>
      <c r="C1293">
        <f>IF(VLOOKUP(Table7[[#This Row],[Date]],Database!$A:$C,MATCH($C$1,Database!$A$1:$C$1,),)=0,#N/A,VLOOKUP(Table7[[#This Row],[Date]],Database!$A:$C,MATCH($C$1,Database!$A$1:$C$1,),))</f>
        <v/>
      </c>
      <c r="D1293">
        <f>IFERROR(Table7[[#This Row],[United States 10y]]-Table7[[#This Row],[United States 3y]],#N/A)</f>
        <v/>
      </c>
    </row>
    <row r="1294">
      <c r="A1294" s="6">
        <f>Database!$A3379</f>
        <v/>
      </c>
      <c r="B1294">
        <f>IF(VLOOKUP(Table7[[#This Row],[Date]],Database!$A:$C,MATCH($B$1,Database!$A$1:$C$1,),)=0,#N/A,VLOOKUP(Table7[[#This Row],[Date]],Database!$A:$C,MATCH($B$1,Database!$A$1:$C$1,),))</f>
        <v/>
      </c>
      <c r="C1294">
        <f>IF(VLOOKUP(Table7[[#This Row],[Date]],Database!$A:$C,MATCH($C$1,Database!$A$1:$C$1,),)=0,#N/A,VLOOKUP(Table7[[#This Row],[Date]],Database!$A:$C,MATCH($C$1,Database!$A$1:$C$1,),))</f>
        <v/>
      </c>
      <c r="D1294">
        <f>IFERROR(Table7[[#This Row],[United States 10y]]-Table7[[#This Row],[United States 3y]],#N/A)</f>
        <v/>
      </c>
    </row>
    <row r="1295">
      <c r="A1295" s="6">
        <f>Database!$A3380</f>
        <v/>
      </c>
      <c r="B1295">
        <f>IF(VLOOKUP(Table7[[#This Row],[Date]],Database!$A:$C,MATCH($B$1,Database!$A$1:$C$1,),)=0,#N/A,VLOOKUP(Table7[[#This Row],[Date]],Database!$A:$C,MATCH($B$1,Database!$A$1:$C$1,),))</f>
        <v/>
      </c>
      <c r="C1295">
        <f>IF(VLOOKUP(Table7[[#This Row],[Date]],Database!$A:$C,MATCH($C$1,Database!$A$1:$C$1,),)=0,#N/A,VLOOKUP(Table7[[#This Row],[Date]],Database!$A:$C,MATCH($C$1,Database!$A$1:$C$1,),))</f>
        <v/>
      </c>
      <c r="D1295">
        <f>IFERROR(Table7[[#This Row],[United States 10y]]-Table7[[#This Row],[United States 3y]],#N/A)</f>
        <v/>
      </c>
    </row>
    <row r="1296">
      <c r="A1296" s="6">
        <f>Database!$A3381</f>
        <v/>
      </c>
      <c r="B1296">
        <f>IF(VLOOKUP(Table7[[#This Row],[Date]],Database!$A:$C,MATCH($B$1,Database!$A$1:$C$1,),)=0,#N/A,VLOOKUP(Table7[[#This Row],[Date]],Database!$A:$C,MATCH($B$1,Database!$A$1:$C$1,),))</f>
        <v/>
      </c>
      <c r="C1296">
        <f>IF(VLOOKUP(Table7[[#This Row],[Date]],Database!$A:$C,MATCH($C$1,Database!$A$1:$C$1,),)=0,#N/A,VLOOKUP(Table7[[#This Row],[Date]],Database!$A:$C,MATCH($C$1,Database!$A$1:$C$1,),))</f>
        <v/>
      </c>
      <c r="D1296">
        <f>IFERROR(Table7[[#This Row],[United States 10y]]-Table7[[#This Row],[United States 3y]],#N/A)</f>
        <v/>
      </c>
    </row>
    <row r="1297">
      <c r="A1297" s="6">
        <f>Database!$A3382</f>
        <v/>
      </c>
      <c r="B1297">
        <f>IF(VLOOKUP(Table7[[#This Row],[Date]],Database!$A:$C,MATCH($B$1,Database!$A$1:$C$1,),)=0,#N/A,VLOOKUP(Table7[[#This Row],[Date]],Database!$A:$C,MATCH($B$1,Database!$A$1:$C$1,),))</f>
        <v/>
      </c>
      <c r="C1297">
        <f>IF(VLOOKUP(Table7[[#This Row],[Date]],Database!$A:$C,MATCH($C$1,Database!$A$1:$C$1,),)=0,#N/A,VLOOKUP(Table7[[#This Row],[Date]],Database!$A:$C,MATCH($C$1,Database!$A$1:$C$1,),))</f>
        <v/>
      </c>
      <c r="D1297">
        <f>IFERROR(Table7[[#This Row],[United States 10y]]-Table7[[#This Row],[United States 3y]],#N/A)</f>
        <v/>
      </c>
    </row>
    <row r="1298">
      <c r="A1298" s="6">
        <f>Database!$A3383</f>
        <v/>
      </c>
      <c r="B1298">
        <f>IF(VLOOKUP(Table7[[#This Row],[Date]],Database!$A:$C,MATCH($B$1,Database!$A$1:$C$1,),)=0,#N/A,VLOOKUP(Table7[[#This Row],[Date]],Database!$A:$C,MATCH($B$1,Database!$A$1:$C$1,),))</f>
        <v/>
      </c>
      <c r="C1298">
        <f>IF(VLOOKUP(Table7[[#This Row],[Date]],Database!$A:$C,MATCH($C$1,Database!$A$1:$C$1,),)=0,#N/A,VLOOKUP(Table7[[#This Row],[Date]],Database!$A:$C,MATCH($C$1,Database!$A$1:$C$1,),))</f>
        <v/>
      </c>
      <c r="D1298">
        <f>IFERROR(Table7[[#This Row],[United States 10y]]-Table7[[#This Row],[United States 3y]],#N/A)</f>
        <v/>
      </c>
    </row>
    <row r="1299">
      <c r="A1299" s="6">
        <f>Database!$A3384</f>
        <v/>
      </c>
      <c r="B1299">
        <f>IF(VLOOKUP(Table7[[#This Row],[Date]],Database!$A:$C,MATCH($B$1,Database!$A$1:$C$1,),)=0,#N/A,VLOOKUP(Table7[[#This Row],[Date]],Database!$A:$C,MATCH($B$1,Database!$A$1:$C$1,),))</f>
        <v/>
      </c>
      <c r="C1299">
        <f>IF(VLOOKUP(Table7[[#This Row],[Date]],Database!$A:$C,MATCH($C$1,Database!$A$1:$C$1,),)=0,#N/A,VLOOKUP(Table7[[#This Row],[Date]],Database!$A:$C,MATCH($C$1,Database!$A$1:$C$1,),))</f>
        <v/>
      </c>
      <c r="D1299">
        <f>IFERROR(Table7[[#This Row],[United States 10y]]-Table7[[#This Row],[United States 3y]],#N/A)</f>
        <v/>
      </c>
    </row>
    <row r="1300">
      <c r="A1300" s="6">
        <f>Database!$A3385</f>
        <v/>
      </c>
      <c r="B1300">
        <f>IF(VLOOKUP(Table7[[#This Row],[Date]],Database!$A:$C,MATCH($B$1,Database!$A$1:$C$1,),)=0,#N/A,VLOOKUP(Table7[[#This Row],[Date]],Database!$A:$C,MATCH($B$1,Database!$A$1:$C$1,),))</f>
        <v/>
      </c>
      <c r="C1300">
        <f>IF(VLOOKUP(Table7[[#This Row],[Date]],Database!$A:$C,MATCH($C$1,Database!$A$1:$C$1,),)=0,#N/A,VLOOKUP(Table7[[#This Row],[Date]],Database!$A:$C,MATCH($C$1,Database!$A$1:$C$1,),))</f>
        <v/>
      </c>
      <c r="D1300">
        <f>IFERROR(Table7[[#This Row],[United States 10y]]-Table7[[#This Row],[United States 3y]],#N/A)</f>
        <v/>
      </c>
    </row>
    <row r="1301">
      <c r="A1301" s="6">
        <f>Database!$A3386</f>
        <v/>
      </c>
      <c r="B1301">
        <f>IF(VLOOKUP(Table7[[#This Row],[Date]],Database!$A:$C,MATCH($B$1,Database!$A$1:$C$1,),)=0,#N/A,VLOOKUP(Table7[[#This Row],[Date]],Database!$A:$C,MATCH($B$1,Database!$A$1:$C$1,),))</f>
        <v/>
      </c>
      <c r="C1301">
        <f>IF(VLOOKUP(Table7[[#This Row],[Date]],Database!$A:$C,MATCH($C$1,Database!$A$1:$C$1,),)=0,#N/A,VLOOKUP(Table7[[#This Row],[Date]],Database!$A:$C,MATCH($C$1,Database!$A$1:$C$1,),))</f>
        <v/>
      </c>
      <c r="D1301">
        <f>IFERROR(Table7[[#This Row],[United States 10y]]-Table7[[#This Row],[United States 3y]],#N/A)</f>
        <v/>
      </c>
    </row>
    <row r="1302">
      <c r="A1302" s="6">
        <f>Database!$A3387</f>
        <v/>
      </c>
      <c r="B1302">
        <f>IF(VLOOKUP(Table7[[#This Row],[Date]],Database!$A:$C,MATCH($B$1,Database!$A$1:$C$1,),)=0,#N/A,VLOOKUP(Table7[[#This Row],[Date]],Database!$A:$C,MATCH($B$1,Database!$A$1:$C$1,),))</f>
        <v/>
      </c>
      <c r="C1302">
        <f>IF(VLOOKUP(Table7[[#This Row],[Date]],Database!$A:$C,MATCH($C$1,Database!$A$1:$C$1,),)=0,#N/A,VLOOKUP(Table7[[#This Row],[Date]],Database!$A:$C,MATCH($C$1,Database!$A$1:$C$1,),))</f>
        <v/>
      </c>
      <c r="D1302">
        <f>IFERROR(Table7[[#This Row],[United States 10y]]-Table7[[#This Row],[United States 3y]],#N/A)</f>
        <v/>
      </c>
    </row>
    <row r="1303">
      <c r="A1303" s="6">
        <f>Database!$A3388</f>
        <v/>
      </c>
      <c r="B1303">
        <f>IF(VLOOKUP(Table7[[#This Row],[Date]],Database!$A:$C,MATCH($B$1,Database!$A$1:$C$1,),)=0,#N/A,VLOOKUP(Table7[[#This Row],[Date]],Database!$A:$C,MATCH($B$1,Database!$A$1:$C$1,),))</f>
        <v/>
      </c>
      <c r="C1303">
        <f>IF(VLOOKUP(Table7[[#This Row],[Date]],Database!$A:$C,MATCH($C$1,Database!$A$1:$C$1,),)=0,#N/A,VLOOKUP(Table7[[#This Row],[Date]],Database!$A:$C,MATCH($C$1,Database!$A$1:$C$1,),))</f>
        <v/>
      </c>
      <c r="D1303">
        <f>IFERROR(Table7[[#This Row],[United States 10y]]-Table7[[#This Row],[United States 3y]],#N/A)</f>
        <v/>
      </c>
    </row>
    <row r="1304">
      <c r="A1304" s="6">
        <f>Database!$A3389</f>
        <v/>
      </c>
      <c r="B1304">
        <f>IF(VLOOKUP(Table7[[#This Row],[Date]],Database!$A:$C,MATCH($B$1,Database!$A$1:$C$1,),)=0,#N/A,VLOOKUP(Table7[[#This Row],[Date]],Database!$A:$C,MATCH($B$1,Database!$A$1:$C$1,),))</f>
        <v/>
      </c>
      <c r="C1304">
        <f>IF(VLOOKUP(Table7[[#This Row],[Date]],Database!$A:$C,MATCH($C$1,Database!$A$1:$C$1,),)=0,#N/A,VLOOKUP(Table7[[#This Row],[Date]],Database!$A:$C,MATCH($C$1,Database!$A$1:$C$1,),))</f>
        <v/>
      </c>
      <c r="D1304">
        <f>IFERROR(Table7[[#This Row],[United States 10y]]-Table7[[#This Row],[United States 3y]],#N/A)</f>
        <v/>
      </c>
    </row>
    <row r="1305">
      <c r="A1305" s="6">
        <f>Database!$A3390</f>
        <v/>
      </c>
      <c r="B1305">
        <f>IF(VLOOKUP(Table7[[#This Row],[Date]],Database!$A:$C,MATCH($B$1,Database!$A$1:$C$1,),)=0,#N/A,VLOOKUP(Table7[[#This Row],[Date]],Database!$A:$C,MATCH($B$1,Database!$A$1:$C$1,),))</f>
        <v/>
      </c>
      <c r="C1305">
        <f>IF(VLOOKUP(Table7[[#This Row],[Date]],Database!$A:$C,MATCH($C$1,Database!$A$1:$C$1,),)=0,#N/A,VLOOKUP(Table7[[#This Row],[Date]],Database!$A:$C,MATCH($C$1,Database!$A$1:$C$1,),))</f>
        <v/>
      </c>
      <c r="D1305">
        <f>IFERROR(Table7[[#This Row],[United States 10y]]-Table7[[#This Row],[United States 3y]],#N/A)</f>
        <v/>
      </c>
    </row>
    <row r="1306">
      <c r="A1306" s="6">
        <f>Database!$A3391</f>
        <v/>
      </c>
      <c r="B1306">
        <f>IF(VLOOKUP(Table7[[#This Row],[Date]],Database!$A:$C,MATCH($B$1,Database!$A$1:$C$1,),)=0,#N/A,VLOOKUP(Table7[[#This Row],[Date]],Database!$A:$C,MATCH($B$1,Database!$A$1:$C$1,),))</f>
        <v/>
      </c>
      <c r="C1306">
        <f>IF(VLOOKUP(Table7[[#This Row],[Date]],Database!$A:$C,MATCH($C$1,Database!$A$1:$C$1,),)=0,#N/A,VLOOKUP(Table7[[#This Row],[Date]],Database!$A:$C,MATCH($C$1,Database!$A$1:$C$1,),))</f>
        <v/>
      </c>
      <c r="D1306">
        <f>IFERROR(Table7[[#This Row],[United States 10y]]-Table7[[#This Row],[United States 3y]],#N/A)</f>
        <v/>
      </c>
    </row>
    <row r="1307">
      <c r="A1307" s="6">
        <f>Database!$A3392</f>
        <v/>
      </c>
      <c r="B1307">
        <f>IF(VLOOKUP(Table7[[#This Row],[Date]],Database!$A:$C,MATCH($B$1,Database!$A$1:$C$1,),)=0,#N/A,VLOOKUP(Table7[[#This Row],[Date]],Database!$A:$C,MATCH($B$1,Database!$A$1:$C$1,),))</f>
        <v/>
      </c>
      <c r="C1307">
        <f>IF(VLOOKUP(Table7[[#This Row],[Date]],Database!$A:$C,MATCH($C$1,Database!$A$1:$C$1,),)=0,#N/A,VLOOKUP(Table7[[#This Row],[Date]],Database!$A:$C,MATCH($C$1,Database!$A$1:$C$1,),))</f>
        <v/>
      </c>
      <c r="D1307">
        <f>IFERROR(Table7[[#This Row],[United States 10y]]-Table7[[#This Row],[United States 3y]],#N/A)</f>
        <v/>
      </c>
    </row>
    <row r="1308">
      <c r="A1308" s="6">
        <f>Database!$A3393</f>
        <v/>
      </c>
      <c r="B1308">
        <f>IF(VLOOKUP(Table7[[#This Row],[Date]],Database!$A:$C,MATCH($B$1,Database!$A$1:$C$1,),)=0,#N/A,VLOOKUP(Table7[[#This Row],[Date]],Database!$A:$C,MATCH($B$1,Database!$A$1:$C$1,),))</f>
        <v/>
      </c>
      <c r="C1308">
        <f>IF(VLOOKUP(Table7[[#This Row],[Date]],Database!$A:$C,MATCH($C$1,Database!$A$1:$C$1,),)=0,#N/A,VLOOKUP(Table7[[#This Row],[Date]],Database!$A:$C,MATCH($C$1,Database!$A$1:$C$1,),))</f>
        <v/>
      </c>
      <c r="D1308">
        <f>IFERROR(Table7[[#This Row],[United States 10y]]-Table7[[#This Row],[United States 3y]],#N/A)</f>
        <v/>
      </c>
    </row>
    <row r="1309">
      <c r="A1309" s="6">
        <f>Database!$A3394</f>
        <v/>
      </c>
      <c r="B1309">
        <f>IF(VLOOKUP(Table7[[#This Row],[Date]],Database!$A:$C,MATCH($B$1,Database!$A$1:$C$1,),)=0,#N/A,VLOOKUP(Table7[[#This Row],[Date]],Database!$A:$C,MATCH($B$1,Database!$A$1:$C$1,),))</f>
        <v/>
      </c>
      <c r="C1309">
        <f>IF(VLOOKUP(Table7[[#This Row],[Date]],Database!$A:$C,MATCH($C$1,Database!$A$1:$C$1,),)=0,#N/A,VLOOKUP(Table7[[#This Row],[Date]],Database!$A:$C,MATCH($C$1,Database!$A$1:$C$1,),))</f>
        <v/>
      </c>
      <c r="D1309">
        <f>IFERROR(Table7[[#This Row],[United States 10y]]-Table7[[#This Row],[United States 3y]],#N/A)</f>
        <v/>
      </c>
    </row>
    <row r="1310">
      <c r="A1310" s="6">
        <f>Database!$A3395</f>
        <v/>
      </c>
      <c r="B1310">
        <f>IF(VLOOKUP(Table7[[#This Row],[Date]],Database!$A:$C,MATCH($B$1,Database!$A$1:$C$1,),)=0,#N/A,VLOOKUP(Table7[[#This Row],[Date]],Database!$A:$C,MATCH($B$1,Database!$A$1:$C$1,),))</f>
        <v/>
      </c>
      <c r="C1310">
        <f>IF(VLOOKUP(Table7[[#This Row],[Date]],Database!$A:$C,MATCH($C$1,Database!$A$1:$C$1,),)=0,#N/A,VLOOKUP(Table7[[#This Row],[Date]],Database!$A:$C,MATCH($C$1,Database!$A$1:$C$1,),))</f>
        <v/>
      </c>
      <c r="D1310">
        <f>IFERROR(Table7[[#This Row],[United States 10y]]-Table7[[#This Row],[United States 3y]],#N/A)</f>
        <v/>
      </c>
    </row>
    <row r="1311">
      <c r="A1311" s="6">
        <f>Database!$A3396</f>
        <v/>
      </c>
      <c r="B1311">
        <f>IF(VLOOKUP(Table7[[#This Row],[Date]],Database!$A:$C,MATCH($B$1,Database!$A$1:$C$1,),)=0,#N/A,VLOOKUP(Table7[[#This Row],[Date]],Database!$A:$C,MATCH($B$1,Database!$A$1:$C$1,),))</f>
        <v/>
      </c>
      <c r="C1311">
        <f>IF(VLOOKUP(Table7[[#This Row],[Date]],Database!$A:$C,MATCH($C$1,Database!$A$1:$C$1,),)=0,#N/A,VLOOKUP(Table7[[#This Row],[Date]],Database!$A:$C,MATCH($C$1,Database!$A$1:$C$1,),))</f>
        <v/>
      </c>
      <c r="D1311">
        <f>IFERROR(Table7[[#This Row],[United States 10y]]-Table7[[#This Row],[United States 3y]],#N/A)</f>
        <v/>
      </c>
    </row>
    <row r="1312">
      <c r="A1312" s="6">
        <f>Database!$A3397</f>
        <v/>
      </c>
      <c r="B1312">
        <f>IF(VLOOKUP(Table7[[#This Row],[Date]],Database!$A:$C,MATCH($B$1,Database!$A$1:$C$1,),)=0,#N/A,VLOOKUP(Table7[[#This Row],[Date]],Database!$A:$C,MATCH($B$1,Database!$A$1:$C$1,),))</f>
        <v/>
      </c>
      <c r="C1312">
        <f>IF(VLOOKUP(Table7[[#This Row],[Date]],Database!$A:$C,MATCH($C$1,Database!$A$1:$C$1,),)=0,#N/A,VLOOKUP(Table7[[#This Row],[Date]],Database!$A:$C,MATCH($C$1,Database!$A$1:$C$1,),))</f>
        <v/>
      </c>
      <c r="D1312">
        <f>IFERROR(Table7[[#This Row],[United States 10y]]-Table7[[#This Row],[United States 3y]],#N/A)</f>
        <v/>
      </c>
    </row>
    <row r="1313">
      <c r="A1313" s="6">
        <f>Database!$A3398</f>
        <v/>
      </c>
      <c r="B1313">
        <f>IF(VLOOKUP(Table7[[#This Row],[Date]],Database!$A:$C,MATCH($B$1,Database!$A$1:$C$1,),)=0,#N/A,VLOOKUP(Table7[[#This Row],[Date]],Database!$A:$C,MATCH($B$1,Database!$A$1:$C$1,),))</f>
        <v/>
      </c>
      <c r="C1313">
        <f>IF(VLOOKUP(Table7[[#This Row],[Date]],Database!$A:$C,MATCH($C$1,Database!$A$1:$C$1,),)=0,#N/A,VLOOKUP(Table7[[#This Row],[Date]],Database!$A:$C,MATCH($C$1,Database!$A$1:$C$1,),))</f>
        <v/>
      </c>
      <c r="D1313">
        <f>IFERROR(Table7[[#This Row],[United States 10y]]-Table7[[#This Row],[United States 3y]],#N/A)</f>
        <v/>
      </c>
    </row>
    <row r="1314">
      <c r="A1314" s="6">
        <f>Database!$A3399</f>
        <v/>
      </c>
      <c r="B1314">
        <f>IF(VLOOKUP(Table7[[#This Row],[Date]],Database!$A:$C,MATCH($B$1,Database!$A$1:$C$1,),)=0,#N/A,VLOOKUP(Table7[[#This Row],[Date]],Database!$A:$C,MATCH($B$1,Database!$A$1:$C$1,),))</f>
        <v/>
      </c>
      <c r="C1314">
        <f>IF(VLOOKUP(Table7[[#This Row],[Date]],Database!$A:$C,MATCH($C$1,Database!$A$1:$C$1,),)=0,#N/A,VLOOKUP(Table7[[#This Row],[Date]],Database!$A:$C,MATCH($C$1,Database!$A$1:$C$1,),))</f>
        <v/>
      </c>
      <c r="D1314">
        <f>IFERROR(Table7[[#This Row],[United States 10y]]-Table7[[#This Row],[United States 3y]],#N/A)</f>
        <v/>
      </c>
    </row>
    <row r="1315">
      <c r="A1315" s="6">
        <f>Database!$A3400</f>
        <v/>
      </c>
      <c r="B1315">
        <f>IF(VLOOKUP(Table7[[#This Row],[Date]],Database!$A:$C,MATCH($B$1,Database!$A$1:$C$1,),)=0,#N/A,VLOOKUP(Table7[[#This Row],[Date]],Database!$A:$C,MATCH($B$1,Database!$A$1:$C$1,),))</f>
        <v/>
      </c>
      <c r="C1315">
        <f>IF(VLOOKUP(Table7[[#This Row],[Date]],Database!$A:$C,MATCH($C$1,Database!$A$1:$C$1,),)=0,#N/A,VLOOKUP(Table7[[#This Row],[Date]],Database!$A:$C,MATCH($C$1,Database!$A$1:$C$1,),))</f>
        <v/>
      </c>
      <c r="D1315">
        <f>IFERROR(Table7[[#This Row],[United States 10y]]-Table7[[#This Row],[United States 3y]],#N/A)</f>
        <v/>
      </c>
    </row>
    <row r="1316">
      <c r="A1316" s="6">
        <f>Database!$A3401</f>
        <v/>
      </c>
      <c r="B1316">
        <f>IF(VLOOKUP(Table7[[#This Row],[Date]],Database!$A:$C,MATCH($B$1,Database!$A$1:$C$1,),)=0,#N/A,VLOOKUP(Table7[[#This Row],[Date]],Database!$A:$C,MATCH($B$1,Database!$A$1:$C$1,),))</f>
        <v/>
      </c>
      <c r="C1316">
        <f>IF(VLOOKUP(Table7[[#This Row],[Date]],Database!$A:$C,MATCH($C$1,Database!$A$1:$C$1,),)=0,#N/A,VLOOKUP(Table7[[#This Row],[Date]],Database!$A:$C,MATCH($C$1,Database!$A$1:$C$1,),))</f>
        <v/>
      </c>
      <c r="D1316">
        <f>IFERROR(Table7[[#This Row],[United States 10y]]-Table7[[#This Row],[United States 3y]],#N/A)</f>
        <v/>
      </c>
    </row>
    <row r="1317">
      <c r="A1317" s="6">
        <f>Database!$A3402</f>
        <v/>
      </c>
      <c r="B1317">
        <f>IF(VLOOKUP(Table7[[#This Row],[Date]],Database!$A:$C,MATCH($B$1,Database!$A$1:$C$1,),)=0,#N/A,VLOOKUP(Table7[[#This Row],[Date]],Database!$A:$C,MATCH($B$1,Database!$A$1:$C$1,),))</f>
        <v/>
      </c>
      <c r="C1317">
        <f>IF(VLOOKUP(Table7[[#This Row],[Date]],Database!$A:$C,MATCH($C$1,Database!$A$1:$C$1,),)=0,#N/A,VLOOKUP(Table7[[#This Row],[Date]],Database!$A:$C,MATCH($C$1,Database!$A$1:$C$1,),))</f>
        <v/>
      </c>
      <c r="D1317">
        <f>IFERROR(Table7[[#This Row],[United States 10y]]-Table7[[#This Row],[United States 3y]],#N/A)</f>
        <v/>
      </c>
    </row>
    <row r="1318">
      <c r="A1318" s="6">
        <f>Database!$A3403</f>
        <v/>
      </c>
      <c r="B1318">
        <f>IF(VLOOKUP(Table7[[#This Row],[Date]],Database!$A:$C,MATCH($B$1,Database!$A$1:$C$1,),)=0,#N/A,VLOOKUP(Table7[[#This Row],[Date]],Database!$A:$C,MATCH($B$1,Database!$A$1:$C$1,),))</f>
        <v/>
      </c>
      <c r="C1318">
        <f>IF(VLOOKUP(Table7[[#This Row],[Date]],Database!$A:$C,MATCH($C$1,Database!$A$1:$C$1,),)=0,#N/A,VLOOKUP(Table7[[#This Row],[Date]],Database!$A:$C,MATCH($C$1,Database!$A$1:$C$1,),))</f>
        <v/>
      </c>
      <c r="D1318">
        <f>IFERROR(Table7[[#This Row],[United States 10y]]-Table7[[#This Row],[United States 3y]],#N/A)</f>
        <v/>
      </c>
    </row>
    <row r="1319">
      <c r="A1319" s="6">
        <f>Database!$A3404</f>
        <v/>
      </c>
      <c r="B1319">
        <f>IF(VLOOKUP(Table7[[#This Row],[Date]],Database!$A:$C,MATCH($B$1,Database!$A$1:$C$1,),)=0,#N/A,VLOOKUP(Table7[[#This Row],[Date]],Database!$A:$C,MATCH($B$1,Database!$A$1:$C$1,),))</f>
        <v/>
      </c>
      <c r="C1319">
        <f>IF(VLOOKUP(Table7[[#This Row],[Date]],Database!$A:$C,MATCH($C$1,Database!$A$1:$C$1,),)=0,#N/A,VLOOKUP(Table7[[#This Row],[Date]],Database!$A:$C,MATCH($C$1,Database!$A$1:$C$1,),))</f>
        <v/>
      </c>
      <c r="D1319">
        <f>IFERROR(Table7[[#This Row],[United States 10y]]-Table7[[#This Row],[United States 3y]],#N/A)</f>
        <v/>
      </c>
    </row>
    <row r="1320">
      <c r="A1320" s="6">
        <f>Database!$A3405</f>
        <v/>
      </c>
      <c r="B1320">
        <f>IF(VLOOKUP(Table7[[#This Row],[Date]],Database!$A:$C,MATCH($B$1,Database!$A$1:$C$1,),)=0,#N/A,VLOOKUP(Table7[[#This Row],[Date]],Database!$A:$C,MATCH($B$1,Database!$A$1:$C$1,),))</f>
        <v/>
      </c>
      <c r="C1320">
        <f>IF(VLOOKUP(Table7[[#This Row],[Date]],Database!$A:$C,MATCH($C$1,Database!$A$1:$C$1,),)=0,#N/A,VLOOKUP(Table7[[#This Row],[Date]],Database!$A:$C,MATCH($C$1,Database!$A$1:$C$1,),))</f>
        <v/>
      </c>
      <c r="D1320">
        <f>IFERROR(Table7[[#This Row],[United States 10y]]-Table7[[#This Row],[United States 3y]],#N/A)</f>
        <v/>
      </c>
    </row>
    <row r="1321">
      <c r="A1321" s="6">
        <f>Database!$A3406</f>
        <v/>
      </c>
      <c r="B1321">
        <f>IF(VLOOKUP(Table7[[#This Row],[Date]],Database!$A:$C,MATCH($B$1,Database!$A$1:$C$1,),)=0,#N/A,VLOOKUP(Table7[[#This Row],[Date]],Database!$A:$C,MATCH($B$1,Database!$A$1:$C$1,),))</f>
        <v/>
      </c>
      <c r="C1321">
        <f>IF(VLOOKUP(Table7[[#This Row],[Date]],Database!$A:$C,MATCH($C$1,Database!$A$1:$C$1,),)=0,#N/A,VLOOKUP(Table7[[#This Row],[Date]],Database!$A:$C,MATCH($C$1,Database!$A$1:$C$1,),))</f>
        <v/>
      </c>
      <c r="D1321">
        <f>IFERROR(Table7[[#This Row],[United States 10y]]-Table7[[#This Row],[United States 3y]],#N/A)</f>
        <v/>
      </c>
    </row>
    <row r="1322">
      <c r="A1322" s="6">
        <f>Database!$A3407</f>
        <v/>
      </c>
      <c r="B1322">
        <f>IF(VLOOKUP(Table7[[#This Row],[Date]],Database!$A:$C,MATCH($B$1,Database!$A$1:$C$1,),)=0,#N/A,VLOOKUP(Table7[[#This Row],[Date]],Database!$A:$C,MATCH($B$1,Database!$A$1:$C$1,),))</f>
        <v/>
      </c>
      <c r="C1322">
        <f>IF(VLOOKUP(Table7[[#This Row],[Date]],Database!$A:$C,MATCH($C$1,Database!$A$1:$C$1,),)=0,#N/A,VLOOKUP(Table7[[#This Row],[Date]],Database!$A:$C,MATCH($C$1,Database!$A$1:$C$1,),))</f>
        <v/>
      </c>
      <c r="D1322">
        <f>IFERROR(Table7[[#This Row],[United States 10y]]-Table7[[#This Row],[United States 3y]],#N/A)</f>
        <v/>
      </c>
    </row>
    <row r="1323">
      <c r="A1323" s="6">
        <f>Database!$A3408</f>
        <v/>
      </c>
      <c r="B1323">
        <f>IF(VLOOKUP(Table7[[#This Row],[Date]],Database!$A:$C,MATCH($B$1,Database!$A$1:$C$1,),)=0,#N/A,VLOOKUP(Table7[[#This Row],[Date]],Database!$A:$C,MATCH($B$1,Database!$A$1:$C$1,),))</f>
        <v/>
      </c>
      <c r="C1323">
        <f>IF(VLOOKUP(Table7[[#This Row],[Date]],Database!$A:$C,MATCH($C$1,Database!$A$1:$C$1,),)=0,#N/A,VLOOKUP(Table7[[#This Row],[Date]],Database!$A:$C,MATCH($C$1,Database!$A$1:$C$1,),))</f>
        <v/>
      </c>
      <c r="D1323">
        <f>IFERROR(Table7[[#This Row],[United States 10y]]-Table7[[#This Row],[United States 3y]],#N/A)</f>
        <v/>
      </c>
    </row>
    <row r="1324">
      <c r="A1324" s="6">
        <f>Database!$A3409</f>
        <v/>
      </c>
      <c r="B1324">
        <f>IF(VLOOKUP(Table7[[#This Row],[Date]],Database!$A:$C,MATCH($B$1,Database!$A$1:$C$1,),)=0,#N/A,VLOOKUP(Table7[[#This Row],[Date]],Database!$A:$C,MATCH($B$1,Database!$A$1:$C$1,),))</f>
        <v/>
      </c>
      <c r="C1324">
        <f>IF(VLOOKUP(Table7[[#This Row],[Date]],Database!$A:$C,MATCH($C$1,Database!$A$1:$C$1,),)=0,#N/A,VLOOKUP(Table7[[#This Row],[Date]],Database!$A:$C,MATCH($C$1,Database!$A$1:$C$1,),))</f>
        <v/>
      </c>
      <c r="D1324">
        <f>IFERROR(Table7[[#This Row],[United States 10y]]-Table7[[#This Row],[United States 3y]],#N/A)</f>
        <v/>
      </c>
    </row>
    <row r="1325">
      <c r="A1325" s="6">
        <f>Database!$A3410</f>
        <v/>
      </c>
      <c r="B1325">
        <f>IF(VLOOKUP(Table7[[#This Row],[Date]],Database!$A:$C,MATCH($B$1,Database!$A$1:$C$1,),)=0,#N/A,VLOOKUP(Table7[[#This Row],[Date]],Database!$A:$C,MATCH($B$1,Database!$A$1:$C$1,),))</f>
        <v/>
      </c>
      <c r="C1325">
        <f>IF(VLOOKUP(Table7[[#This Row],[Date]],Database!$A:$C,MATCH($C$1,Database!$A$1:$C$1,),)=0,#N/A,VLOOKUP(Table7[[#This Row],[Date]],Database!$A:$C,MATCH($C$1,Database!$A$1:$C$1,),))</f>
        <v/>
      </c>
      <c r="D1325">
        <f>IFERROR(Table7[[#This Row],[United States 10y]]-Table7[[#This Row],[United States 3y]],#N/A)</f>
        <v/>
      </c>
    </row>
    <row r="1326">
      <c r="A1326" s="6">
        <f>Database!$A3411</f>
        <v/>
      </c>
      <c r="B1326">
        <f>IF(VLOOKUP(Table7[[#This Row],[Date]],Database!$A:$C,MATCH($B$1,Database!$A$1:$C$1,),)=0,#N/A,VLOOKUP(Table7[[#This Row],[Date]],Database!$A:$C,MATCH($B$1,Database!$A$1:$C$1,),))</f>
        <v/>
      </c>
      <c r="C1326">
        <f>IF(VLOOKUP(Table7[[#This Row],[Date]],Database!$A:$C,MATCH($C$1,Database!$A$1:$C$1,),)=0,#N/A,VLOOKUP(Table7[[#This Row],[Date]],Database!$A:$C,MATCH($C$1,Database!$A$1:$C$1,),))</f>
        <v/>
      </c>
      <c r="D1326">
        <f>IFERROR(Table7[[#This Row],[United States 10y]]-Table7[[#This Row],[United States 3y]],#N/A)</f>
        <v/>
      </c>
    </row>
    <row r="1327">
      <c r="A1327" s="6">
        <f>Database!$A3412</f>
        <v/>
      </c>
      <c r="B1327">
        <f>IF(VLOOKUP(Table7[[#This Row],[Date]],Database!$A:$C,MATCH($B$1,Database!$A$1:$C$1,),)=0,#N/A,VLOOKUP(Table7[[#This Row],[Date]],Database!$A:$C,MATCH($B$1,Database!$A$1:$C$1,),))</f>
        <v/>
      </c>
      <c r="C1327">
        <f>IF(VLOOKUP(Table7[[#This Row],[Date]],Database!$A:$C,MATCH($C$1,Database!$A$1:$C$1,),)=0,#N/A,VLOOKUP(Table7[[#This Row],[Date]],Database!$A:$C,MATCH($C$1,Database!$A$1:$C$1,),))</f>
        <v/>
      </c>
      <c r="D1327">
        <f>IFERROR(Table7[[#This Row],[United States 10y]]-Table7[[#This Row],[United States 3y]],#N/A)</f>
        <v/>
      </c>
    </row>
    <row r="1328">
      <c r="A1328" s="6">
        <f>Database!$A3413</f>
        <v/>
      </c>
      <c r="B1328">
        <f>IF(VLOOKUP(Table7[[#This Row],[Date]],Database!$A:$C,MATCH($B$1,Database!$A$1:$C$1,),)=0,#N/A,VLOOKUP(Table7[[#This Row],[Date]],Database!$A:$C,MATCH($B$1,Database!$A$1:$C$1,),))</f>
        <v/>
      </c>
      <c r="C1328">
        <f>IF(VLOOKUP(Table7[[#This Row],[Date]],Database!$A:$C,MATCH($C$1,Database!$A$1:$C$1,),)=0,#N/A,VLOOKUP(Table7[[#This Row],[Date]],Database!$A:$C,MATCH($C$1,Database!$A$1:$C$1,),))</f>
        <v/>
      </c>
      <c r="D1328">
        <f>IFERROR(Table7[[#This Row],[United States 10y]]-Table7[[#This Row],[United States 3y]],#N/A)</f>
        <v/>
      </c>
    </row>
    <row r="1329">
      <c r="A1329" s="6">
        <f>Database!$A3414</f>
        <v/>
      </c>
      <c r="B1329">
        <f>IF(VLOOKUP(Table7[[#This Row],[Date]],Database!$A:$C,MATCH($B$1,Database!$A$1:$C$1,),)=0,#N/A,VLOOKUP(Table7[[#This Row],[Date]],Database!$A:$C,MATCH($B$1,Database!$A$1:$C$1,),))</f>
        <v/>
      </c>
      <c r="C1329">
        <f>IF(VLOOKUP(Table7[[#This Row],[Date]],Database!$A:$C,MATCH($C$1,Database!$A$1:$C$1,),)=0,#N/A,VLOOKUP(Table7[[#This Row],[Date]],Database!$A:$C,MATCH($C$1,Database!$A$1:$C$1,),))</f>
        <v/>
      </c>
      <c r="D1329">
        <f>IFERROR(Table7[[#This Row],[United States 10y]]-Table7[[#This Row],[United States 3y]],#N/A)</f>
        <v/>
      </c>
    </row>
    <row r="1330">
      <c r="A1330" s="6">
        <f>Database!$A3415</f>
        <v/>
      </c>
      <c r="B1330">
        <f>IF(VLOOKUP(Table7[[#This Row],[Date]],Database!$A:$C,MATCH($B$1,Database!$A$1:$C$1,),)=0,#N/A,VLOOKUP(Table7[[#This Row],[Date]],Database!$A:$C,MATCH($B$1,Database!$A$1:$C$1,),))</f>
        <v/>
      </c>
      <c r="C1330">
        <f>IF(VLOOKUP(Table7[[#This Row],[Date]],Database!$A:$C,MATCH($C$1,Database!$A$1:$C$1,),)=0,#N/A,VLOOKUP(Table7[[#This Row],[Date]],Database!$A:$C,MATCH($C$1,Database!$A$1:$C$1,),))</f>
        <v/>
      </c>
      <c r="D1330">
        <f>IFERROR(Table7[[#This Row],[United States 10y]]-Table7[[#This Row],[United States 3y]],#N/A)</f>
        <v/>
      </c>
    </row>
    <row r="1331">
      <c r="A1331" s="6">
        <f>Database!$A3416</f>
        <v/>
      </c>
      <c r="B1331">
        <f>IF(VLOOKUP(Table7[[#This Row],[Date]],Database!$A:$C,MATCH($B$1,Database!$A$1:$C$1,),)=0,#N/A,VLOOKUP(Table7[[#This Row],[Date]],Database!$A:$C,MATCH($B$1,Database!$A$1:$C$1,),))</f>
        <v/>
      </c>
      <c r="C1331">
        <f>IF(VLOOKUP(Table7[[#This Row],[Date]],Database!$A:$C,MATCH($C$1,Database!$A$1:$C$1,),)=0,#N/A,VLOOKUP(Table7[[#This Row],[Date]],Database!$A:$C,MATCH($C$1,Database!$A$1:$C$1,),))</f>
        <v/>
      </c>
      <c r="D1331">
        <f>IFERROR(Table7[[#This Row],[United States 10y]]-Table7[[#This Row],[United States 3y]],#N/A)</f>
        <v/>
      </c>
    </row>
    <row r="1332">
      <c r="A1332" s="6">
        <f>Database!$A3417</f>
        <v/>
      </c>
      <c r="B1332">
        <f>IF(VLOOKUP(Table7[[#This Row],[Date]],Database!$A:$C,MATCH($B$1,Database!$A$1:$C$1,),)=0,#N/A,VLOOKUP(Table7[[#This Row],[Date]],Database!$A:$C,MATCH($B$1,Database!$A$1:$C$1,),))</f>
        <v/>
      </c>
      <c r="C1332">
        <f>IF(VLOOKUP(Table7[[#This Row],[Date]],Database!$A:$C,MATCH($C$1,Database!$A$1:$C$1,),)=0,#N/A,VLOOKUP(Table7[[#This Row],[Date]],Database!$A:$C,MATCH($C$1,Database!$A$1:$C$1,),))</f>
        <v/>
      </c>
      <c r="D1332">
        <f>IFERROR(Table7[[#This Row],[United States 10y]]-Table7[[#This Row],[United States 3y]],#N/A)</f>
        <v/>
      </c>
    </row>
    <row r="1333">
      <c r="A1333" s="6">
        <f>Database!$A3418</f>
        <v/>
      </c>
      <c r="B1333">
        <f>IF(VLOOKUP(Table7[[#This Row],[Date]],Database!$A:$C,MATCH($B$1,Database!$A$1:$C$1,),)=0,#N/A,VLOOKUP(Table7[[#This Row],[Date]],Database!$A:$C,MATCH($B$1,Database!$A$1:$C$1,),))</f>
        <v/>
      </c>
      <c r="C1333">
        <f>IF(VLOOKUP(Table7[[#This Row],[Date]],Database!$A:$C,MATCH($C$1,Database!$A$1:$C$1,),)=0,#N/A,VLOOKUP(Table7[[#This Row],[Date]],Database!$A:$C,MATCH($C$1,Database!$A$1:$C$1,),))</f>
        <v/>
      </c>
      <c r="D1333">
        <f>IFERROR(Table7[[#This Row],[United States 10y]]-Table7[[#This Row],[United States 3y]],#N/A)</f>
        <v/>
      </c>
    </row>
    <row r="1334">
      <c r="A1334" s="6">
        <f>Database!$A3419</f>
        <v/>
      </c>
      <c r="B1334">
        <f>IF(VLOOKUP(Table7[[#This Row],[Date]],Database!$A:$C,MATCH($B$1,Database!$A$1:$C$1,),)=0,#N/A,VLOOKUP(Table7[[#This Row],[Date]],Database!$A:$C,MATCH($B$1,Database!$A$1:$C$1,),))</f>
        <v/>
      </c>
      <c r="C1334">
        <f>IF(VLOOKUP(Table7[[#This Row],[Date]],Database!$A:$C,MATCH($C$1,Database!$A$1:$C$1,),)=0,#N/A,VLOOKUP(Table7[[#This Row],[Date]],Database!$A:$C,MATCH($C$1,Database!$A$1:$C$1,),))</f>
        <v/>
      </c>
      <c r="D1334">
        <f>IFERROR(Table7[[#This Row],[United States 10y]]-Table7[[#This Row],[United States 3y]],#N/A)</f>
        <v/>
      </c>
    </row>
    <row r="1335">
      <c r="A1335" s="6">
        <f>Database!$A3420</f>
        <v/>
      </c>
      <c r="B1335">
        <f>IF(VLOOKUP(Table7[[#This Row],[Date]],Database!$A:$C,MATCH($B$1,Database!$A$1:$C$1,),)=0,#N/A,VLOOKUP(Table7[[#This Row],[Date]],Database!$A:$C,MATCH($B$1,Database!$A$1:$C$1,),))</f>
        <v/>
      </c>
      <c r="C1335">
        <f>IF(VLOOKUP(Table7[[#This Row],[Date]],Database!$A:$C,MATCH($C$1,Database!$A$1:$C$1,),)=0,#N/A,VLOOKUP(Table7[[#This Row],[Date]],Database!$A:$C,MATCH($C$1,Database!$A$1:$C$1,),))</f>
        <v/>
      </c>
      <c r="D1335">
        <f>IFERROR(Table7[[#This Row],[United States 10y]]-Table7[[#This Row],[United States 3y]],#N/A)</f>
        <v/>
      </c>
    </row>
    <row r="1336">
      <c r="A1336" s="6">
        <f>Database!$A3421</f>
        <v/>
      </c>
      <c r="B1336">
        <f>IF(VLOOKUP(Table7[[#This Row],[Date]],Database!$A:$C,MATCH($B$1,Database!$A$1:$C$1,),)=0,#N/A,VLOOKUP(Table7[[#This Row],[Date]],Database!$A:$C,MATCH($B$1,Database!$A$1:$C$1,),))</f>
        <v/>
      </c>
      <c r="C1336">
        <f>IF(VLOOKUP(Table7[[#This Row],[Date]],Database!$A:$C,MATCH($C$1,Database!$A$1:$C$1,),)=0,#N/A,VLOOKUP(Table7[[#This Row],[Date]],Database!$A:$C,MATCH($C$1,Database!$A$1:$C$1,),))</f>
        <v/>
      </c>
      <c r="D1336">
        <f>IFERROR(Table7[[#This Row],[United States 10y]]-Table7[[#This Row],[United States 3y]],#N/A)</f>
        <v/>
      </c>
    </row>
    <row r="1337">
      <c r="A1337" s="6">
        <f>Database!$A3422</f>
        <v/>
      </c>
      <c r="B1337">
        <f>IF(VLOOKUP(Table7[[#This Row],[Date]],Database!$A:$C,MATCH($B$1,Database!$A$1:$C$1,),)=0,#N/A,VLOOKUP(Table7[[#This Row],[Date]],Database!$A:$C,MATCH($B$1,Database!$A$1:$C$1,),))</f>
        <v/>
      </c>
      <c r="C1337">
        <f>IF(VLOOKUP(Table7[[#This Row],[Date]],Database!$A:$C,MATCH($C$1,Database!$A$1:$C$1,),)=0,#N/A,VLOOKUP(Table7[[#This Row],[Date]],Database!$A:$C,MATCH($C$1,Database!$A$1:$C$1,),))</f>
        <v/>
      </c>
      <c r="D1337">
        <f>IFERROR(Table7[[#This Row],[United States 10y]]-Table7[[#This Row],[United States 3y]],#N/A)</f>
        <v/>
      </c>
    </row>
    <row r="1338">
      <c r="A1338" s="6">
        <f>Database!$A3423</f>
        <v/>
      </c>
      <c r="B1338">
        <f>IF(VLOOKUP(Table7[[#This Row],[Date]],Database!$A:$C,MATCH($B$1,Database!$A$1:$C$1,),)=0,#N/A,VLOOKUP(Table7[[#This Row],[Date]],Database!$A:$C,MATCH($B$1,Database!$A$1:$C$1,),))</f>
        <v/>
      </c>
      <c r="C1338">
        <f>IF(VLOOKUP(Table7[[#This Row],[Date]],Database!$A:$C,MATCH($C$1,Database!$A$1:$C$1,),)=0,#N/A,VLOOKUP(Table7[[#This Row],[Date]],Database!$A:$C,MATCH($C$1,Database!$A$1:$C$1,),))</f>
        <v/>
      </c>
      <c r="D1338">
        <f>IFERROR(Table7[[#This Row],[United States 10y]]-Table7[[#This Row],[United States 3y]],#N/A)</f>
        <v/>
      </c>
    </row>
    <row r="1339">
      <c r="A1339" s="6">
        <f>Database!$A3424</f>
        <v/>
      </c>
      <c r="B1339">
        <f>IF(VLOOKUP(Table7[[#This Row],[Date]],Database!$A:$C,MATCH($B$1,Database!$A$1:$C$1,),)=0,#N/A,VLOOKUP(Table7[[#This Row],[Date]],Database!$A:$C,MATCH($B$1,Database!$A$1:$C$1,),))</f>
        <v/>
      </c>
      <c r="C1339">
        <f>IF(VLOOKUP(Table7[[#This Row],[Date]],Database!$A:$C,MATCH($C$1,Database!$A$1:$C$1,),)=0,#N/A,VLOOKUP(Table7[[#This Row],[Date]],Database!$A:$C,MATCH($C$1,Database!$A$1:$C$1,),))</f>
        <v/>
      </c>
      <c r="D1339">
        <f>IFERROR(Table7[[#This Row],[United States 10y]]-Table7[[#This Row],[United States 3y]],#N/A)</f>
        <v/>
      </c>
    </row>
    <row r="1340">
      <c r="A1340" s="6">
        <f>Database!$A3425</f>
        <v/>
      </c>
      <c r="B1340">
        <f>IF(VLOOKUP(Table7[[#This Row],[Date]],Database!$A:$C,MATCH($B$1,Database!$A$1:$C$1,),)=0,#N/A,VLOOKUP(Table7[[#This Row],[Date]],Database!$A:$C,MATCH($B$1,Database!$A$1:$C$1,),))</f>
        <v/>
      </c>
      <c r="C1340">
        <f>IF(VLOOKUP(Table7[[#This Row],[Date]],Database!$A:$C,MATCH($C$1,Database!$A$1:$C$1,),)=0,#N/A,VLOOKUP(Table7[[#This Row],[Date]],Database!$A:$C,MATCH($C$1,Database!$A$1:$C$1,),))</f>
        <v/>
      </c>
      <c r="D1340">
        <f>IFERROR(Table7[[#This Row],[United States 10y]]-Table7[[#This Row],[United States 3y]],#N/A)</f>
        <v/>
      </c>
    </row>
    <row r="1341">
      <c r="A1341" s="6">
        <f>Database!$A3426</f>
        <v/>
      </c>
      <c r="B1341">
        <f>IF(VLOOKUP(Table7[[#This Row],[Date]],Database!$A:$C,MATCH($B$1,Database!$A$1:$C$1,),)=0,#N/A,VLOOKUP(Table7[[#This Row],[Date]],Database!$A:$C,MATCH($B$1,Database!$A$1:$C$1,),))</f>
        <v/>
      </c>
      <c r="C1341">
        <f>IF(VLOOKUP(Table7[[#This Row],[Date]],Database!$A:$C,MATCH($C$1,Database!$A$1:$C$1,),)=0,#N/A,VLOOKUP(Table7[[#This Row],[Date]],Database!$A:$C,MATCH($C$1,Database!$A$1:$C$1,),))</f>
        <v/>
      </c>
      <c r="D1341">
        <f>IFERROR(Table7[[#This Row],[United States 10y]]-Table7[[#This Row],[United States 3y]],#N/A)</f>
        <v/>
      </c>
    </row>
    <row r="1342">
      <c r="A1342" s="6">
        <f>Database!$A3427</f>
        <v/>
      </c>
      <c r="B1342">
        <f>IF(VLOOKUP(Table7[[#This Row],[Date]],Database!$A:$C,MATCH($B$1,Database!$A$1:$C$1,),)=0,#N/A,VLOOKUP(Table7[[#This Row],[Date]],Database!$A:$C,MATCH($B$1,Database!$A$1:$C$1,),))</f>
        <v/>
      </c>
      <c r="C1342">
        <f>IF(VLOOKUP(Table7[[#This Row],[Date]],Database!$A:$C,MATCH($C$1,Database!$A$1:$C$1,),)=0,#N/A,VLOOKUP(Table7[[#This Row],[Date]],Database!$A:$C,MATCH($C$1,Database!$A$1:$C$1,),))</f>
        <v/>
      </c>
      <c r="D1342">
        <f>IFERROR(Table7[[#This Row],[United States 10y]]-Table7[[#This Row],[United States 3y]],#N/A)</f>
        <v/>
      </c>
    </row>
    <row r="1343">
      <c r="A1343" s="6">
        <f>Database!$A3428</f>
        <v/>
      </c>
      <c r="B1343">
        <f>IF(VLOOKUP(Table7[[#This Row],[Date]],Database!$A:$C,MATCH($B$1,Database!$A$1:$C$1,),)=0,#N/A,VLOOKUP(Table7[[#This Row],[Date]],Database!$A:$C,MATCH($B$1,Database!$A$1:$C$1,),))</f>
        <v/>
      </c>
      <c r="C1343">
        <f>IF(VLOOKUP(Table7[[#This Row],[Date]],Database!$A:$C,MATCH($C$1,Database!$A$1:$C$1,),)=0,#N/A,VLOOKUP(Table7[[#This Row],[Date]],Database!$A:$C,MATCH($C$1,Database!$A$1:$C$1,),))</f>
        <v/>
      </c>
      <c r="D1343">
        <f>IFERROR(Table7[[#This Row],[United States 10y]]-Table7[[#This Row],[United States 3y]],#N/A)</f>
        <v/>
      </c>
    </row>
    <row r="1344">
      <c r="A1344" s="6">
        <f>Database!$A3429</f>
        <v/>
      </c>
      <c r="B1344">
        <f>IF(VLOOKUP(Table7[[#This Row],[Date]],Database!$A:$C,MATCH($B$1,Database!$A$1:$C$1,),)=0,#N/A,VLOOKUP(Table7[[#This Row],[Date]],Database!$A:$C,MATCH($B$1,Database!$A$1:$C$1,),))</f>
        <v/>
      </c>
      <c r="C1344">
        <f>IF(VLOOKUP(Table7[[#This Row],[Date]],Database!$A:$C,MATCH($C$1,Database!$A$1:$C$1,),)=0,#N/A,VLOOKUP(Table7[[#This Row],[Date]],Database!$A:$C,MATCH($C$1,Database!$A$1:$C$1,),))</f>
        <v/>
      </c>
      <c r="D1344">
        <f>IFERROR(Table7[[#This Row],[United States 10y]]-Table7[[#This Row],[United States 3y]],#N/A)</f>
        <v/>
      </c>
    </row>
    <row r="1345">
      <c r="A1345" s="6">
        <f>Database!$A3430</f>
        <v/>
      </c>
      <c r="B1345">
        <f>IF(VLOOKUP(Table7[[#This Row],[Date]],Database!$A:$C,MATCH($B$1,Database!$A$1:$C$1,),)=0,#N/A,VLOOKUP(Table7[[#This Row],[Date]],Database!$A:$C,MATCH($B$1,Database!$A$1:$C$1,),))</f>
        <v/>
      </c>
      <c r="C1345">
        <f>IF(VLOOKUP(Table7[[#This Row],[Date]],Database!$A:$C,MATCH($C$1,Database!$A$1:$C$1,),)=0,#N/A,VLOOKUP(Table7[[#This Row],[Date]],Database!$A:$C,MATCH($C$1,Database!$A$1:$C$1,),))</f>
        <v/>
      </c>
      <c r="D1345">
        <f>IFERROR(Table7[[#This Row],[United States 10y]]-Table7[[#This Row],[United States 3y]],#N/A)</f>
        <v/>
      </c>
    </row>
    <row r="1346">
      <c r="A1346" s="6">
        <f>Database!$A3431</f>
        <v/>
      </c>
      <c r="B1346">
        <f>IF(VLOOKUP(Table7[[#This Row],[Date]],Database!$A:$C,MATCH($B$1,Database!$A$1:$C$1,),)=0,#N/A,VLOOKUP(Table7[[#This Row],[Date]],Database!$A:$C,MATCH($B$1,Database!$A$1:$C$1,),))</f>
        <v/>
      </c>
      <c r="C1346">
        <f>IF(VLOOKUP(Table7[[#This Row],[Date]],Database!$A:$C,MATCH($C$1,Database!$A$1:$C$1,),)=0,#N/A,VLOOKUP(Table7[[#This Row],[Date]],Database!$A:$C,MATCH($C$1,Database!$A$1:$C$1,),))</f>
        <v/>
      </c>
      <c r="D1346">
        <f>IFERROR(Table7[[#This Row],[United States 10y]]-Table7[[#This Row],[United States 3y]],#N/A)</f>
        <v/>
      </c>
    </row>
    <row r="1347">
      <c r="A1347" s="6">
        <f>Database!$A3432</f>
        <v/>
      </c>
      <c r="B1347">
        <f>IF(VLOOKUP(Table7[[#This Row],[Date]],Database!$A:$C,MATCH($B$1,Database!$A$1:$C$1,),)=0,#N/A,VLOOKUP(Table7[[#This Row],[Date]],Database!$A:$C,MATCH($B$1,Database!$A$1:$C$1,),))</f>
        <v/>
      </c>
      <c r="C1347">
        <f>IF(VLOOKUP(Table7[[#This Row],[Date]],Database!$A:$C,MATCH($C$1,Database!$A$1:$C$1,),)=0,#N/A,VLOOKUP(Table7[[#This Row],[Date]],Database!$A:$C,MATCH($C$1,Database!$A$1:$C$1,),))</f>
        <v/>
      </c>
      <c r="D1347">
        <f>IFERROR(Table7[[#This Row],[United States 10y]]-Table7[[#This Row],[United States 3y]],#N/A)</f>
        <v/>
      </c>
    </row>
    <row r="1348">
      <c r="A1348" s="6">
        <f>Database!$A3433</f>
        <v/>
      </c>
      <c r="B1348">
        <f>IF(VLOOKUP(Table7[[#This Row],[Date]],Database!$A:$C,MATCH($B$1,Database!$A$1:$C$1,),)=0,#N/A,VLOOKUP(Table7[[#This Row],[Date]],Database!$A:$C,MATCH($B$1,Database!$A$1:$C$1,),))</f>
        <v/>
      </c>
      <c r="C1348">
        <f>IF(VLOOKUP(Table7[[#This Row],[Date]],Database!$A:$C,MATCH($C$1,Database!$A$1:$C$1,),)=0,#N/A,VLOOKUP(Table7[[#This Row],[Date]],Database!$A:$C,MATCH($C$1,Database!$A$1:$C$1,),))</f>
        <v/>
      </c>
      <c r="D1348">
        <f>IFERROR(Table7[[#This Row],[United States 10y]]-Table7[[#This Row],[United States 3y]],#N/A)</f>
        <v/>
      </c>
    </row>
    <row r="1349">
      <c r="A1349" s="6">
        <f>Database!$A3434</f>
        <v/>
      </c>
      <c r="B1349">
        <f>IF(VLOOKUP(Table7[[#This Row],[Date]],Database!$A:$C,MATCH($B$1,Database!$A$1:$C$1,),)=0,#N/A,VLOOKUP(Table7[[#This Row],[Date]],Database!$A:$C,MATCH($B$1,Database!$A$1:$C$1,),))</f>
        <v/>
      </c>
      <c r="C1349">
        <f>IF(VLOOKUP(Table7[[#This Row],[Date]],Database!$A:$C,MATCH($C$1,Database!$A$1:$C$1,),)=0,#N/A,VLOOKUP(Table7[[#This Row],[Date]],Database!$A:$C,MATCH($C$1,Database!$A$1:$C$1,),))</f>
        <v/>
      </c>
      <c r="D1349">
        <f>IFERROR(Table7[[#This Row],[United States 10y]]-Table7[[#This Row],[United States 3y]],#N/A)</f>
        <v/>
      </c>
    </row>
    <row r="1350">
      <c r="A1350" s="6">
        <f>Database!$A3435</f>
        <v/>
      </c>
      <c r="B1350">
        <f>IF(VLOOKUP(Table7[[#This Row],[Date]],Database!$A:$C,MATCH($B$1,Database!$A$1:$C$1,),)=0,#N/A,VLOOKUP(Table7[[#This Row],[Date]],Database!$A:$C,MATCH($B$1,Database!$A$1:$C$1,),))</f>
        <v/>
      </c>
      <c r="C1350">
        <f>IF(VLOOKUP(Table7[[#This Row],[Date]],Database!$A:$C,MATCH($C$1,Database!$A$1:$C$1,),)=0,#N/A,VLOOKUP(Table7[[#This Row],[Date]],Database!$A:$C,MATCH($C$1,Database!$A$1:$C$1,),))</f>
        <v/>
      </c>
      <c r="D1350">
        <f>IFERROR(Table7[[#This Row],[United States 10y]]-Table7[[#This Row],[United States 3y]],#N/A)</f>
        <v/>
      </c>
    </row>
    <row r="1351">
      <c r="A1351" s="6">
        <f>Database!$A3436</f>
        <v/>
      </c>
      <c r="B1351">
        <f>IF(VLOOKUP(Table7[[#This Row],[Date]],Database!$A:$C,MATCH($B$1,Database!$A$1:$C$1,),)=0,#N/A,VLOOKUP(Table7[[#This Row],[Date]],Database!$A:$C,MATCH($B$1,Database!$A$1:$C$1,),))</f>
        <v/>
      </c>
      <c r="C1351">
        <f>IF(VLOOKUP(Table7[[#This Row],[Date]],Database!$A:$C,MATCH($C$1,Database!$A$1:$C$1,),)=0,#N/A,VLOOKUP(Table7[[#This Row],[Date]],Database!$A:$C,MATCH($C$1,Database!$A$1:$C$1,),))</f>
        <v/>
      </c>
      <c r="D1351">
        <f>IFERROR(Table7[[#This Row],[United States 10y]]-Table7[[#This Row],[United States 3y]],#N/A)</f>
        <v/>
      </c>
    </row>
    <row r="1352">
      <c r="A1352" s="6">
        <f>Database!$A3437</f>
        <v/>
      </c>
      <c r="B1352">
        <f>IF(VLOOKUP(Table7[[#This Row],[Date]],Database!$A:$C,MATCH($B$1,Database!$A$1:$C$1,),)=0,#N/A,VLOOKUP(Table7[[#This Row],[Date]],Database!$A:$C,MATCH($B$1,Database!$A$1:$C$1,),))</f>
        <v/>
      </c>
      <c r="C1352">
        <f>IF(VLOOKUP(Table7[[#This Row],[Date]],Database!$A:$C,MATCH($C$1,Database!$A$1:$C$1,),)=0,#N/A,VLOOKUP(Table7[[#This Row],[Date]],Database!$A:$C,MATCH($C$1,Database!$A$1:$C$1,),))</f>
        <v/>
      </c>
      <c r="D1352">
        <f>IFERROR(Table7[[#This Row],[United States 10y]]-Table7[[#This Row],[United States 3y]],#N/A)</f>
        <v/>
      </c>
    </row>
    <row r="1353">
      <c r="A1353" s="6">
        <f>Database!$A3438</f>
        <v/>
      </c>
      <c r="B1353">
        <f>IF(VLOOKUP(Table7[[#This Row],[Date]],Database!$A:$C,MATCH($B$1,Database!$A$1:$C$1,),)=0,#N/A,VLOOKUP(Table7[[#This Row],[Date]],Database!$A:$C,MATCH($B$1,Database!$A$1:$C$1,),))</f>
        <v/>
      </c>
      <c r="C1353">
        <f>IF(VLOOKUP(Table7[[#This Row],[Date]],Database!$A:$C,MATCH($C$1,Database!$A$1:$C$1,),)=0,#N/A,VLOOKUP(Table7[[#This Row],[Date]],Database!$A:$C,MATCH($C$1,Database!$A$1:$C$1,),))</f>
        <v/>
      </c>
      <c r="D1353">
        <f>IFERROR(Table7[[#This Row],[United States 10y]]-Table7[[#This Row],[United States 3y]],#N/A)</f>
        <v/>
      </c>
    </row>
    <row r="1354">
      <c r="A1354" s="6">
        <f>Database!$A3439</f>
        <v/>
      </c>
      <c r="B1354">
        <f>IF(VLOOKUP(Table7[[#This Row],[Date]],Database!$A:$C,MATCH($B$1,Database!$A$1:$C$1,),)=0,#N/A,VLOOKUP(Table7[[#This Row],[Date]],Database!$A:$C,MATCH($B$1,Database!$A$1:$C$1,),))</f>
        <v/>
      </c>
      <c r="C1354">
        <f>IF(VLOOKUP(Table7[[#This Row],[Date]],Database!$A:$C,MATCH($C$1,Database!$A$1:$C$1,),)=0,#N/A,VLOOKUP(Table7[[#This Row],[Date]],Database!$A:$C,MATCH($C$1,Database!$A$1:$C$1,),))</f>
        <v/>
      </c>
      <c r="D1354">
        <f>IFERROR(Table7[[#This Row],[United States 10y]]-Table7[[#This Row],[United States 3y]],#N/A)</f>
        <v/>
      </c>
    </row>
    <row r="1355">
      <c r="A1355" s="6">
        <f>Database!$A3440</f>
        <v/>
      </c>
      <c r="B1355">
        <f>IF(VLOOKUP(Table7[[#This Row],[Date]],Database!$A:$C,MATCH($B$1,Database!$A$1:$C$1,),)=0,#N/A,VLOOKUP(Table7[[#This Row],[Date]],Database!$A:$C,MATCH($B$1,Database!$A$1:$C$1,),))</f>
        <v/>
      </c>
      <c r="C1355">
        <f>IF(VLOOKUP(Table7[[#This Row],[Date]],Database!$A:$C,MATCH($C$1,Database!$A$1:$C$1,),)=0,#N/A,VLOOKUP(Table7[[#This Row],[Date]],Database!$A:$C,MATCH($C$1,Database!$A$1:$C$1,),))</f>
        <v/>
      </c>
      <c r="D1355">
        <f>IFERROR(Table7[[#This Row],[United States 10y]]-Table7[[#This Row],[United States 3y]],#N/A)</f>
        <v/>
      </c>
    </row>
    <row r="1356">
      <c r="A1356" s="6">
        <f>Database!$A3441</f>
        <v/>
      </c>
      <c r="B1356">
        <f>IF(VLOOKUP(Table7[[#This Row],[Date]],Database!$A:$C,MATCH($B$1,Database!$A$1:$C$1,),)=0,#N/A,VLOOKUP(Table7[[#This Row],[Date]],Database!$A:$C,MATCH($B$1,Database!$A$1:$C$1,),))</f>
        <v/>
      </c>
      <c r="C1356">
        <f>IF(VLOOKUP(Table7[[#This Row],[Date]],Database!$A:$C,MATCH($C$1,Database!$A$1:$C$1,),)=0,#N/A,VLOOKUP(Table7[[#This Row],[Date]],Database!$A:$C,MATCH($C$1,Database!$A$1:$C$1,),))</f>
        <v/>
      </c>
      <c r="D1356">
        <f>IFERROR(Table7[[#This Row],[United States 10y]]-Table7[[#This Row],[United States 3y]],#N/A)</f>
        <v/>
      </c>
    </row>
    <row r="1357">
      <c r="A1357" s="6">
        <f>Database!$A3442</f>
        <v/>
      </c>
      <c r="B1357">
        <f>IF(VLOOKUP(Table7[[#This Row],[Date]],Database!$A:$C,MATCH($B$1,Database!$A$1:$C$1,),)=0,#N/A,VLOOKUP(Table7[[#This Row],[Date]],Database!$A:$C,MATCH($B$1,Database!$A$1:$C$1,),))</f>
        <v/>
      </c>
      <c r="C1357">
        <f>IF(VLOOKUP(Table7[[#This Row],[Date]],Database!$A:$C,MATCH($C$1,Database!$A$1:$C$1,),)=0,#N/A,VLOOKUP(Table7[[#This Row],[Date]],Database!$A:$C,MATCH($C$1,Database!$A$1:$C$1,),))</f>
        <v/>
      </c>
      <c r="D1357">
        <f>IFERROR(Table7[[#This Row],[United States 10y]]-Table7[[#This Row],[United States 3y]],#N/A)</f>
        <v/>
      </c>
    </row>
    <row r="1358">
      <c r="A1358" s="6">
        <f>Database!$A3443</f>
        <v/>
      </c>
      <c r="B1358">
        <f>IF(VLOOKUP(Table7[[#This Row],[Date]],Database!$A:$C,MATCH($B$1,Database!$A$1:$C$1,),)=0,#N/A,VLOOKUP(Table7[[#This Row],[Date]],Database!$A:$C,MATCH($B$1,Database!$A$1:$C$1,),))</f>
        <v/>
      </c>
      <c r="C1358">
        <f>IF(VLOOKUP(Table7[[#This Row],[Date]],Database!$A:$C,MATCH($C$1,Database!$A$1:$C$1,),)=0,#N/A,VLOOKUP(Table7[[#This Row],[Date]],Database!$A:$C,MATCH($C$1,Database!$A$1:$C$1,),))</f>
        <v/>
      </c>
      <c r="D1358">
        <f>IFERROR(Table7[[#This Row],[United States 10y]]-Table7[[#This Row],[United States 3y]],#N/A)</f>
        <v/>
      </c>
    </row>
    <row r="1359">
      <c r="A1359" s="6">
        <f>Database!$A3444</f>
        <v/>
      </c>
      <c r="B1359">
        <f>IF(VLOOKUP(Table7[[#This Row],[Date]],Database!$A:$C,MATCH($B$1,Database!$A$1:$C$1,),)=0,#N/A,VLOOKUP(Table7[[#This Row],[Date]],Database!$A:$C,MATCH($B$1,Database!$A$1:$C$1,),))</f>
        <v/>
      </c>
      <c r="C1359">
        <f>IF(VLOOKUP(Table7[[#This Row],[Date]],Database!$A:$C,MATCH($C$1,Database!$A$1:$C$1,),)=0,#N/A,VLOOKUP(Table7[[#This Row],[Date]],Database!$A:$C,MATCH($C$1,Database!$A$1:$C$1,),))</f>
        <v/>
      </c>
      <c r="D1359">
        <f>IFERROR(Table7[[#This Row],[United States 10y]]-Table7[[#This Row],[United States 3y]],#N/A)</f>
        <v/>
      </c>
    </row>
    <row r="1360">
      <c r="A1360" s="6">
        <f>Database!$A3445</f>
        <v/>
      </c>
      <c r="B1360">
        <f>IF(VLOOKUP(Table7[[#This Row],[Date]],Database!$A:$C,MATCH($B$1,Database!$A$1:$C$1,),)=0,#N/A,VLOOKUP(Table7[[#This Row],[Date]],Database!$A:$C,MATCH($B$1,Database!$A$1:$C$1,),))</f>
        <v/>
      </c>
      <c r="C1360">
        <f>IF(VLOOKUP(Table7[[#This Row],[Date]],Database!$A:$C,MATCH($C$1,Database!$A$1:$C$1,),)=0,#N/A,VLOOKUP(Table7[[#This Row],[Date]],Database!$A:$C,MATCH($C$1,Database!$A$1:$C$1,),))</f>
        <v/>
      </c>
      <c r="D1360">
        <f>IFERROR(Table7[[#This Row],[United States 10y]]-Table7[[#This Row],[United States 3y]],#N/A)</f>
        <v/>
      </c>
    </row>
    <row r="1361">
      <c r="A1361" s="6">
        <f>Database!$A3446</f>
        <v/>
      </c>
      <c r="B1361">
        <f>IF(VLOOKUP(Table7[[#This Row],[Date]],Database!$A:$C,MATCH($B$1,Database!$A$1:$C$1,),)=0,#N/A,VLOOKUP(Table7[[#This Row],[Date]],Database!$A:$C,MATCH($B$1,Database!$A$1:$C$1,),))</f>
        <v/>
      </c>
      <c r="C1361">
        <f>IF(VLOOKUP(Table7[[#This Row],[Date]],Database!$A:$C,MATCH($C$1,Database!$A$1:$C$1,),)=0,#N/A,VLOOKUP(Table7[[#This Row],[Date]],Database!$A:$C,MATCH($C$1,Database!$A$1:$C$1,),))</f>
        <v/>
      </c>
      <c r="D1361">
        <f>IFERROR(Table7[[#This Row],[United States 10y]]-Table7[[#This Row],[United States 3y]],#N/A)</f>
        <v/>
      </c>
    </row>
    <row r="1362">
      <c r="A1362" s="6">
        <f>Database!$A3447</f>
        <v/>
      </c>
      <c r="B1362">
        <f>IF(VLOOKUP(Table7[[#This Row],[Date]],Database!$A:$C,MATCH($B$1,Database!$A$1:$C$1,),)=0,#N/A,VLOOKUP(Table7[[#This Row],[Date]],Database!$A:$C,MATCH($B$1,Database!$A$1:$C$1,),))</f>
        <v/>
      </c>
      <c r="C1362">
        <f>IF(VLOOKUP(Table7[[#This Row],[Date]],Database!$A:$C,MATCH($C$1,Database!$A$1:$C$1,),)=0,#N/A,VLOOKUP(Table7[[#This Row],[Date]],Database!$A:$C,MATCH($C$1,Database!$A$1:$C$1,),))</f>
        <v/>
      </c>
      <c r="D1362">
        <f>IFERROR(Table7[[#This Row],[United States 10y]]-Table7[[#This Row],[United States 3y]],#N/A)</f>
        <v/>
      </c>
    </row>
    <row r="1363">
      <c r="A1363" s="6">
        <f>Database!$A3448</f>
        <v/>
      </c>
      <c r="B1363">
        <f>IF(VLOOKUP(Table7[[#This Row],[Date]],Database!$A:$C,MATCH($B$1,Database!$A$1:$C$1,),)=0,#N/A,VLOOKUP(Table7[[#This Row],[Date]],Database!$A:$C,MATCH($B$1,Database!$A$1:$C$1,),))</f>
        <v/>
      </c>
      <c r="C1363">
        <f>IF(VLOOKUP(Table7[[#This Row],[Date]],Database!$A:$C,MATCH($C$1,Database!$A$1:$C$1,),)=0,#N/A,VLOOKUP(Table7[[#This Row],[Date]],Database!$A:$C,MATCH($C$1,Database!$A$1:$C$1,),))</f>
        <v/>
      </c>
      <c r="D1363">
        <f>IFERROR(Table7[[#This Row],[United States 10y]]-Table7[[#This Row],[United States 3y]],#N/A)</f>
        <v/>
      </c>
    </row>
    <row r="1364">
      <c r="A1364" s="6">
        <f>Database!$A3449</f>
        <v/>
      </c>
      <c r="B1364">
        <f>IF(VLOOKUP(Table7[[#This Row],[Date]],Database!$A:$C,MATCH($B$1,Database!$A$1:$C$1,),)=0,#N/A,VLOOKUP(Table7[[#This Row],[Date]],Database!$A:$C,MATCH($B$1,Database!$A$1:$C$1,),))</f>
        <v/>
      </c>
      <c r="C1364">
        <f>IF(VLOOKUP(Table7[[#This Row],[Date]],Database!$A:$C,MATCH($C$1,Database!$A$1:$C$1,),)=0,#N/A,VLOOKUP(Table7[[#This Row],[Date]],Database!$A:$C,MATCH($C$1,Database!$A$1:$C$1,),))</f>
        <v/>
      </c>
      <c r="D1364">
        <f>IFERROR(Table7[[#This Row],[United States 10y]]-Table7[[#This Row],[United States 3y]],#N/A)</f>
        <v/>
      </c>
    </row>
    <row r="1365">
      <c r="A1365" s="6">
        <f>Database!$A3450</f>
        <v/>
      </c>
      <c r="B1365">
        <f>IF(VLOOKUP(Table7[[#This Row],[Date]],Database!$A:$C,MATCH($B$1,Database!$A$1:$C$1,),)=0,#N/A,VLOOKUP(Table7[[#This Row],[Date]],Database!$A:$C,MATCH($B$1,Database!$A$1:$C$1,),))</f>
        <v/>
      </c>
      <c r="C1365">
        <f>IF(VLOOKUP(Table7[[#This Row],[Date]],Database!$A:$C,MATCH($C$1,Database!$A$1:$C$1,),)=0,#N/A,VLOOKUP(Table7[[#This Row],[Date]],Database!$A:$C,MATCH($C$1,Database!$A$1:$C$1,),))</f>
        <v/>
      </c>
      <c r="D1365">
        <f>IFERROR(Table7[[#This Row],[United States 10y]]-Table7[[#This Row],[United States 3y]],#N/A)</f>
        <v/>
      </c>
    </row>
    <row r="1366">
      <c r="A1366" s="6">
        <f>Database!$A3451</f>
        <v/>
      </c>
      <c r="B1366">
        <f>IF(VLOOKUP(Table7[[#This Row],[Date]],Database!$A:$C,MATCH($B$1,Database!$A$1:$C$1,),)=0,#N/A,VLOOKUP(Table7[[#This Row],[Date]],Database!$A:$C,MATCH($B$1,Database!$A$1:$C$1,),))</f>
        <v/>
      </c>
      <c r="C1366">
        <f>IF(VLOOKUP(Table7[[#This Row],[Date]],Database!$A:$C,MATCH($C$1,Database!$A$1:$C$1,),)=0,#N/A,VLOOKUP(Table7[[#This Row],[Date]],Database!$A:$C,MATCH($C$1,Database!$A$1:$C$1,),))</f>
        <v/>
      </c>
      <c r="D1366">
        <f>IFERROR(Table7[[#This Row],[United States 10y]]-Table7[[#This Row],[United States 3y]],#N/A)</f>
        <v/>
      </c>
    </row>
    <row r="1367">
      <c r="A1367" s="6">
        <f>Database!$A3452</f>
        <v/>
      </c>
      <c r="B1367">
        <f>IF(VLOOKUP(Table7[[#This Row],[Date]],Database!$A:$C,MATCH($B$1,Database!$A$1:$C$1,),)=0,#N/A,VLOOKUP(Table7[[#This Row],[Date]],Database!$A:$C,MATCH($B$1,Database!$A$1:$C$1,),))</f>
        <v/>
      </c>
      <c r="C1367">
        <f>IF(VLOOKUP(Table7[[#This Row],[Date]],Database!$A:$C,MATCH($C$1,Database!$A$1:$C$1,),)=0,#N/A,VLOOKUP(Table7[[#This Row],[Date]],Database!$A:$C,MATCH($C$1,Database!$A$1:$C$1,),))</f>
        <v/>
      </c>
      <c r="D1367">
        <f>IFERROR(Table7[[#This Row],[United States 10y]]-Table7[[#This Row],[United States 3y]],#N/A)</f>
        <v/>
      </c>
    </row>
    <row r="1368">
      <c r="A1368" s="6">
        <f>Database!$A3453</f>
        <v/>
      </c>
      <c r="B1368">
        <f>IF(VLOOKUP(Table7[[#This Row],[Date]],Database!$A:$C,MATCH($B$1,Database!$A$1:$C$1,),)=0,#N/A,VLOOKUP(Table7[[#This Row],[Date]],Database!$A:$C,MATCH($B$1,Database!$A$1:$C$1,),))</f>
        <v/>
      </c>
      <c r="C1368">
        <f>IF(VLOOKUP(Table7[[#This Row],[Date]],Database!$A:$C,MATCH($C$1,Database!$A$1:$C$1,),)=0,#N/A,VLOOKUP(Table7[[#This Row],[Date]],Database!$A:$C,MATCH($C$1,Database!$A$1:$C$1,),))</f>
        <v/>
      </c>
      <c r="D1368">
        <f>IFERROR(Table7[[#This Row],[United States 10y]]-Table7[[#This Row],[United States 3y]],#N/A)</f>
        <v/>
      </c>
    </row>
    <row r="1369">
      <c r="A1369" s="6">
        <f>Database!$A3454</f>
        <v/>
      </c>
      <c r="B1369">
        <f>IF(VLOOKUP(Table7[[#This Row],[Date]],Database!$A:$C,MATCH($B$1,Database!$A$1:$C$1,),)=0,#N/A,VLOOKUP(Table7[[#This Row],[Date]],Database!$A:$C,MATCH($B$1,Database!$A$1:$C$1,),))</f>
        <v/>
      </c>
      <c r="C1369">
        <f>IF(VLOOKUP(Table7[[#This Row],[Date]],Database!$A:$C,MATCH($C$1,Database!$A$1:$C$1,),)=0,#N/A,VLOOKUP(Table7[[#This Row],[Date]],Database!$A:$C,MATCH($C$1,Database!$A$1:$C$1,),))</f>
        <v/>
      </c>
      <c r="D1369">
        <f>IFERROR(Table7[[#This Row],[United States 10y]]-Table7[[#This Row],[United States 3y]],#N/A)</f>
        <v/>
      </c>
    </row>
    <row r="1370">
      <c r="A1370" s="6">
        <f>Database!$A3455</f>
        <v/>
      </c>
      <c r="B1370">
        <f>IF(VLOOKUP(Table7[[#This Row],[Date]],Database!$A:$C,MATCH($B$1,Database!$A$1:$C$1,),)=0,#N/A,VLOOKUP(Table7[[#This Row],[Date]],Database!$A:$C,MATCH($B$1,Database!$A$1:$C$1,),))</f>
        <v/>
      </c>
      <c r="C1370">
        <f>IF(VLOOKUP(Table7[[#This Row],[Date]],Database!$A:$C,MATCH($C$1,Database!$A$1:$C$1,),)=0,#N/A,VLOOKUP(Table7[[#This Row],[Date]],Database!$A:$C,MATCH($C$1,Database!$A$1:$C$1,),))</f>
        <v/>
      </c>
      <c r="D1370">
        <f>IFERROR(Table7[[#This Row],[United States 10y]]-Table7[[#This Row],[United States 3y]],#N/A)</f>
        <v/>
      </c>
    </row>
    <row r="1371">
      <c r="A1371" s="6">
        <f>Database!$A3456</f>
        <v/>
      </c>
      <c r="B1371">
        <f>IF(VLOOKUP(Table7[[#This Row],[Date]],Database!$A:$C,MATCH($B$1,Database!$A$1:$C$1,),)=0,#N/A,VLOOKUP(Table7[[#This Row],[Date]],Database!$A:$C,MATCH($B$1,Database!$A$1:$C$1,),))</f>
        <v/>
      </c>
      <c r="C1371">
        <f>IF(VLOOKUP(Table7[[#This Row],[Date]],Database!$A:$C,MATCH($C$1,Database!$A$1:$C$1,),)=0,#N/A,VLOOKUP(Table7[[#This Row],[Date]],Database!$A:$C,MATCH($C$1,Database!$A$1:$C$1,),))</f>
        <v/>
      </c>
      <c r="D1371">
        <f>IFERROR(Table7[[#This Row],[United States 10y]]-Table7[[#This Row],[United States 3y]],#N/A)</f>
        <v/>
      </c>
    </row>
    <row r="1372">
      <c r="A1372" s="6">
        <f>Database!$A3457</f>
        <v/>
      </c>
      <c r="B1372">
        <f>IF(VLOOKUP(Table7[[#This Row],[Date]],Database!$A:$C,MATCH($B$1,Database!$A$1:$C$1,),)=0,#N/A,VLOOKUP(Table7[[#This Row],[Date]],Database!$A:$C,MATCH($B$1,Database!$A$1:$C$1,),))</f>
        <v/>
      </c>
      <c r="C1372">
        <f>IF(VLOOKUP(Table7[[#This Row],[Date]],Database!$A:$C,MATCH($C$1,Database!$A$1:$C$1,),)=0,#N/A,VLOOKUP(Table7[[#This Row],[Date]],Database!$A:$C,MATCH($C$1,Database!$A$1:$C$1,),))</f>
        <v/>
      </c>
      <c r="D1372">
        <f>IFERROR(Table7[[#This Row],[United States 10y]]-Table7[[#This Row],[United States 3y]],#N/A)</f>
        <v/>
      </c>
    </row>
    <row r="1373">
      <c r="A1373" s="6">
        <f>Database!$A3458</f>
        <v/>
      </c>
      <c r="B1373">
        <f>IF(VLOOKUP(Table7[[#This Row],[Date]],Database!$A:$C,MATCH($B$1,Database!$A$1:$C$1,),)=0,#N/A,VLOOKUP(Table7[[#This Row],[Date]],Database!$A:$C,MATCH($B$1,Database!$A$1:$C$1,),))</f>
        <v/>
      </c>
      <c r="C1373">
        <f>IF(VLOOKUP(Table7[[#This Row],[Date]],Database!$A:$C,MATCH($C$1,Database!$A$1:$C$1,),)=0,#N/A,VLOOKUP(Table7[[#This Row],[Date]],Database!$A:$C,MATCH($C$1,Database!$A$1:$C$1,),))</f>
        <v/>
      </c>
      <c r="D1373">
        <f>IFERROR(Table7[[#This Row],[United States 10y]]-Table7[[#This Row],[United States 3y]],#N/A)</f>
        <v/>
      </c>
    </row>
    <row r="1374">
      <c r="A1374" s="6">
        <f>Database!$A3459</f>
        <v/>
      </c>
      <c r="B1374">
        <f>IF(VLOOKUP(Table7[[#This Row],[Date]],Database!$A:$C,MATCH($B$1,Database!$A$1:$C$1,),)=0,#N/A,VLOOKUP(Table7[[#This Row],[Date]],Database!$A:$C,MATCH($B$1,Database!$A$1:$C$1,),))</f>
        <v/>
      </c>
      <c r="C1374">
        <f>IF(VLOOKUP(Table7[[#This Row],[Date]],Database!$A:$C,MATCH($C$1,Database!$A$1:$C$1,),)=0,#N/A,VLOOKUP(Table7[[#This Row],[Date]],Database!$A:$C,MATCH($C$1,Database!$A$1:$C$1,),))</f>
        <v/>
      </c>
      <c r="D1374">
        <f>IFERROR(Table7[[#This Row],[United States 10y]]-Table7[[#This Row],[United States 3y]],#N/A)</f>
        <v/>
      </c>
    </row>
    <row r="1375">
      <c r="A1375" s="6">
        <f>Database!$A3460</f>
        <v/>
      </c>
      <c r="B1375">
        <f>IF(VLOOKUP(Table7[[#This Row],[Date]],Database!$A:$C,MATCH($B$1,Database!$A$1:$C$1,),)=0,#N/A,VLOOKUP(Table7[[#This Row],[Date]],Database!$A:$C,MATCH($B$1,Database!$A$1:$C$1,),))</f>
        <v/>
      </c>
      <c r="C1375">
        <f>IF(VLOOKUP(Table7[[#This Row],[Date]],Database!$A:$C,MATCH($C$1,Database!$A$1:$C$1,),)=0,#N/A,VLOOKUP(Table7[[#This Row],[Date]],Database!$A:$C,MATCH($C$1,Database!$A$1:$C$1,),))</f>
        <v/>
      </c>
      <c r="D1375">
        <f>IFERROR(Table7[[#This Row],[United States 10y]]-Table7[[#This Row],[United States 3y]],#N/A)</f>
        <v/>
      </c>
    </row>
    <row r="1376">
      <c r="A1376" s="6">
        <f>Database!$A3461</f>
        <v/>
      </c>
      <c r="B1376">
        <f>IF(VLOOKUP(Table7[[#This Row],[Date]],Database!$A:$C,MATCH($B$1,Database!$A$1:$C$1,),)=0,#N/A,VLOOKUP(Table7[[#This Row],[Date]],Database!$A:$C,MATCH($B$1,Database!$A$1:$C$1,),))</f>
        <v/>
      </c>
      <c r="C1376">
        <f>IF(VLOOKUP(Table7[[#This Row],[Date]],Database!$A:$C,MATCH($C$1,Database!$A$1:$C$1,),)=0,#N/A,VLOOKUP(Table7[[#This Row],[Date]],Database!$A:$C,MATCH($C$1,Database!$A$1:$C$1,),))</f>
        <v/>
      </c>
      <c r="D1376">
        <f>IFERROR(Table7[[#This Row],[United States 10y]]-Table7[[#This Row],[United States 3y]],#N/A)</f>
        <v/>
      </c>
    </row>
    <row r="1377">
      <c r="A1377" s="6">
        <f>Database!$A3462</f>
        <v/>
      </c>
      <c r="B1377">
        <f>IF(VLOOKUP(Table7[[#This Row],[Date]],Database!$A:$C,MATCH($B$1,Database!$A$1:$C$1,),)=0,#N/A,VLOOKUP(Table7[[#This Row],[Date]],Database!$A:$C,MATCH($B$1,Database!$A$1:$C$1,),))</f>
        <v/>
      </c>
      <c r="C1377">
        <f>IF(VLOOKUP(Table7[[#This Row],[Date]],Database!$A:$C,MATCH($C$1,Database!$A$1:$C$1,),)=0,#N/A,VLOOKUP(Table7[[#This Row],[Date]],Database!$A:$C,MATCH($C$1,Database!$A$1:$C$1,),))</f>
        <v/>
      </c>
      <c r="D1377">
        <f>IFERROR(Table7[[#This Row],[United States 10y]]-Table7[[#This Row],[United States 3y]],#N/A)</f>
        <v/>
      </c>
    </row>
    <row r="1378">
      <c r="A1378" s="6">
        <f>Database!$A3463</f>
        <v/>
      </c>
      <c r="B1378">
        <f>IF(VLOOKUP(Table7[[#This Row],[Date]],Database!$A:$C,MATCH($B$1,Database!$A$1:$C$1,),)=0,#N/A,VLOOKUP(Table7[[#This Row],[Date]],Database!$A:$C,MATCH($B$1,Database!$A$1:$C$1,),))</f>
        <v/>
      </c>
      <c r="C1378">
        <f>IF(VLOOKUP(Table7[[#This Row],[Date]],Database!$A:$C,MATCH($C$1,Database!$A$1:$C$1,),)=0,#N/A,VLOOKUP(Table7[[#This Row],[Date]],Database!$A:$C,MATCH($C$1,Database!$A$1:$C$1,),))</f>
        <v/>
      </c>
      <c r="D1378">
        <f>IFERROR(Table7[[#This Row],[United States 10y]]-Table7[[#This Row],[United States 3y]],#N/A)</f>
        <v/>
      </c>
    </row>
    <row r="1379">
      <c r="A1379" s="6">
        <f>Database!$A3464</f>
        <v/>
      </c>
      <c r="B1379">
        <f>IF(VLOOKUP(Table7[[#This Row],[Date]],Database!$A:$C,MATCH($B$1,Database!$A$1:$C$1,),)=0,#N/A,VLOOKUP(Table7[[#This Row],[Date]],Database!$A:$C,MATCH($B$1,Database!$A$1:$C$1,),))</f>
        <v/>
      </c>
      <c r="C1379">
        <f>IF(VLOOKUP(Table7[[#This Row],[Date]],Database!$A:$C,MATCH($C$1,Database!$A$1:$C$1,),)=0,#N/A,VLOOKUP(Table7[[#This Row],[Date]],Database!$A:$C,MATCH($C$1,Database!$A$1:$C$1,),))</f>
        <v/>
      </c>
      <c r="D1379">
        <f>IFERROR(Table7[[#This Row],[United States 10y]]-Table7[[#This Row],[United States 3y]],#N/A)</f>
        <v/>
      </c>
    </row>
    <row r="1380">
      <c r="A1380" s="6">
        <f>Database!$A3465</f>
        <v/>
      </c>
      <c r="B1380">
        <f>IF(VLOOKUP(Table7[[#This Row],[Date]],Database!$A:$C,MATCH($B$1,Database!$A$1:$C$1,),)=0,#N/A,VLOOKUP(Table7[[#This Row],[Date]],Database!$A:$C,MATCH($B$1,Database!$A$1:$C$1,),))</f>
        <v/>
      </c>
      <c r="C1380">
        <f>IF(VLOOKUP(Table7[[#This Row],[Date]],Database!$A:$C,MATCH($C$1,Database!$A$1:$C$1,),)=0,#N/A,VLOOKUP(Table7[[#This Row],[Date]],Database!$A:$C,MATCH($C$1,Database!$A$1:$C$1,),))</f>
        <v/>
      </c>
      <c r="D1380">
        <f>IFERROR(Table7[[#This Row],[United States 10y]]-Table7[[#This Row],[United States 3y]],#N/A)</f>
        <v/>
      </c>
    </row>
    <row r="1381">
      <c r="A1381" s="6">
        <f>Database!$A3466</f>
        <v/>
      </c>
      <c r="B1381">
        <f>IF(VLOOKUP(Table7[[#This Row],[Date]],Database!$A:$C,MATCH($B$1,Database!$A$1:$C$1,),)=0,#N/A,VLOOKUP(Table7[[#This Row],[Date]],Database!$A:$C,MATCH($B$1,Database!$A$1:$C$1,),))</f>
        <v/>
      </c>
      <c r="C1381">
        <f>IF(VLOOKUP(Table7[[#This Row],[Date]],Database!$A:$C,MATCH($C$1,Database!$A$1:$C$1,),)=0,#N/A,VLOOKUP(Table7[[#This Row],[Date]],Database!$A:$C,MATCH($C$1,Database!$A$1:$C$1,),))</f>
        <v/>
      </c>
      <c r="D1381">
        <f>IFERROR(Table7[[#This Row],[United States 10y]]-Table7[[#This Row],[United States 3y]],#N/A)</f>
        <v/>
      </c>
    </row>
    <row r="1382">
      <c r="A1382" s="6">
        <f>Database!$A3467</f>
        <v/>
      </c>
      <c r="B1382">
        <f>IF(VLOOKUP(Table7[[#This Row],[Date]],Database!$A:$C,MATCH($B$1,Database!$A$1:$C$1,),)=0,#N/A,VLOOKUP(Table7[[#This Row],[Date]],Database!$A:$C,MATCH($B$1,Database!$A$1:$C$1,),))</f>
        <v/>
      </c>
      <c r="C1382">
        <f>IF(VLOOKUP(Table7[[#This Row],[Date]],Database!$A:$C,MATCH($C$1,Database!$A$1:$C$1,),)=0,#N/A,VLOOKUP(Table7[[#This Row],[Date]],Database!$A:$C,MATCH($C$1,Database!$A$1:$C$1,),))</f>
        <v/>
      </c>
      <c r="D1382">
        <f>IFERROR(Table7[[#This Row],[United States 10y]]-Table7[[#This Row],[United States 3y]],#N/A)</f>
        <v/>
      </c>
    </row>
    <row r="1383">
      <c r="A1383" s="6">
        <f>Database!$A3468</f>
        <v/>
      </c>
      <c r="B1383">
        <f>IF(VLOOKUP(Table7[[#This Row],[Date]],Database!$A:$C,MATCH($B$1,Database!$A$1:$C$1,),)=0,#N/A,VLOOKUP(Table7[[#This Row],[Date]],Database!$A:$C,MATCH($B$1,Database!$A$1:$C$1,),))</f>
        <v/>
      </c>
      <c r="C1383">
        <f>IF(VLOOKUP(Table7[[#This Row],[Date]],Database!$A:$C,MATCH($C$1,Database!$A$1:$C$1,),)=0,#N/A,VLOOKUP(Table7[[#This Row],[Date]],Database!$A:$C,MATCH($C$1,Database!$A$1:$C$1,),))</f>
        <v/>
      </c>
      <c r="D1383">
        <f>IFERROR(Table7[[#This Row],[United States 10y]]-Table7[[#This Row],[United States 3y]],#N/A)</f>
        <v/>
      </c>
    </row>
    <row r="1384">
      <c r="A1384" s="6">
        <f>Database!$A3469</f>
        <v/>
      </c>
      <c r="B1384">
        <f>IF(VLOOKUP(Table7[[#This Row],[Date]],Database!$A:$C,MATCH($B$1,Database!$A$1:$C$1,),)=0,#N/A,VLOOKUP(Table7[[#This Row],[Date]],Database!$A:$C,MATCH($B$1,Database!$A$1:$C$1,),))</f>
        <v/>
      </c>
      <c r="C1384">
        <f>IF(VLOOKUP(Table7[[#This Row],[Date]],Database!$A:$C,MATCH($C$1,Database!$A$1:$C$1,),)=0,#N/A,VLOOKUP(Table7[[#This Row],[Date]],Database!$A:$C,MATCH($C$1,Database!$A$1:$C$1,),))</f>
        <v/>
      </c>
      <c r="D1384">
        <f>IFERROR(Table7[[#This Row],[United States 10y]]-Table7[[#This Row],[United States 3y]],#N/A)</f>
        <v/>
      </c>
    </row>
    <row r="1385">
      <c r="A1385" s="6">
        <f>Database!$A3470</f>
        <v/>
      </c>
      <c r="B1385">
        <f>IF(VLOOKUP(Table7[[#This Row],[Date]],Database!$A:$C,MATCH($B$1,Database!$A$1:$C$1,),)=0,#N/A,VLOOKUP(Table7[[#This Row],[Date]],Database!$A:$C,MATCH($B$1,Database!$A$1:$C$1,),))</f>
        <v/>
      </c>
      <c r="C1385">
        <f>IF(VLOOKUP(Table7[[#This Row],[Date]],Database!$A:$C,MATCH($C$1,Database!$A$1:$C$1,),)=0,#N/A,VLOOKUP(Table7[[#This Row],[Date]],Database!$A:$C,MATCH($C$1,Database!$A$1:$C$1,),))</f>
        <v/>
      </c>
      <c r="D1385">
        <f>IFERROR(Table7[[#This Row],[United States 10y]]-Table7[[#This Row],[United States 3y]],#N/A)</f>
        <v/>
      </c>
    </row>
    <row r="1386">
      <c r="A1386" s="6">
        <f>Database!$A3471</f>
        <v/>
      </c>
      <c r="B1386">
        <f>IF(VLOOKUP(Table7[[#This Row],[Date]],Database!$A:$C,MATCH($B$1,Database!$A$1:$C$1,),)=0,#N/A,VLOOKUP(Table7[[#This Row],[Date]],Database!$A:$C,MATCH($B$1,Database!$A$1:$C$1,),))</f>
        <v/>
      </c>
      <c r="C1386">
        <f>IF(VLOOKUP(Table7[[#This Row],[Date]],Database!$A:$C,MATCH($C$1,Database!$A$1:$C$1,),)=0,#N/A,VLOOKUP(Table7[[#This Row],[Date]],Database!$A:$C,MATCH($C$1,Database!$A$1:$C$1,),))</f>
        <v/>
      </c>
      <c r="D1386">
        <f>IFERROR(Table7[[#This Row],[United States 10y]]-Table7[[#This Row],[United States 3y]],#N/A)</f>
        <v/>
      </c>
    </row>
    <row r="1387">
      <c r="A1387" s="6">
        <f>Database!$A3472</f>
        <v/>
      </c>
      <c r="B1387">
        <f>IF(VLOOKUP(Table7[[#This Row],[Date]],Database!$A:$C,MATCH($B$1,Database!$A$1:$C$1,),)=0,#N/A,VLOOKUP(Table7[[#This Row],[Date]],Database!$A:$C,MATCH($B$1,Database!$A$1:$C$1,),))</f>
        <v/>
      </c>
      <c r="C1387">
        <f>IF(VLOOKUP(Table7[[#This Row],[Date]],Database!$A:$C,MATCH($C$1,Database!$A$1:$C$1,),)=0,#N/A,VLOOKUP(Table7[[#This Row],[Date]],Database!$A:$C,MATCH($C$1,Database!$A$1:$C$1,),))</f>
        <v/>
      </c>
      <c r="D1387">
        <f>IFERROR(Table7[[#This Row],[United States 10y]]-Table7[[#This Row],[United States 3y]],#N/A)</f>
        <v/>
      </c>
    </row>
    <row r="1388">
      <c r="A1388" s="6">
        <f>Database!$A3473</f>
        <v/>
      </c>
      <c r="B1388">
        <f>IF(VLOOKUP(Table7[[#This Row],[Date]],Database!$A:$C,MATCH($B$1,Database!$A$1:$C$1,),)=0,#N/A,VLOOKUP(Table7[[#This Row],[Date]],Database!$A:$C,MATCH($B$1,Database!$A$1:$C$1,),))</f>
        <v/>
      </c>
      <c r="C1388">
        <f>IF(VLOOKUP(Table7[[#This Row],[Date]],Database!$A:$C,MATCH($C$1,Database!$A$1:$C$1,),)=0,#N/A,VLOOKUP(Table7[[#This Row],[Date]],Database!$A:$C,MATCH($C$1,Database!$A$1:$C$1,),))</f>
        <v/>
      </c>
      <c r="D1388">
        <f>IFERROR(Table7[[#This Row],[United States 10y]]-Table7[[#This Row],[United States 3y]],#N/A)</f>
        <v/>
      </c>
    </row>
    <row r="1389">
      <c r="A1389" s="6">
        <f>Database!$A3474</f>
        <v/>
      </c>
      <c r="B1389">
        <f>IF(VLOOKUP(Table7[[#This Row],[Date]],Database!$A:$C,MATCH($B$1,Database!$A$1:$C$1,),)=0,#N/A,VLOOKUP(Table7[[#This Row],[Date]],Database!$A:$C,MATCH($B$1,Database!$A$1:$C$1,),))</f>
        <v/>
      </c>
      <c r="C1389">
        <f>IF(VLOOKUP(Table7[[#This Row],[Date]],Database!$A:$C,MATCH($C$1,Database!$A$1:$C$1,),)=0,#N/A,VLOOKUP(Table7[[#This Row],[Date]],Database!$A:$C,MATCH($C$1,Database!$A$1:$C$1,),))</f>
        <v/>
      </c>
      <c r="D1389">
        <f>IFERROR(Table7[[#This Row],[United States 10y]]-Table7[[#This Row],[United States 3y]],#N/A)</f>
        <v/>
      </c>
    </row>
    <row r="1390">
      <c r="A1390" s="6">
        <f>Database!$A3475</f>
        <v/>
      </c>
      <c r="B1390">
        <f>IF(VLOOKUP(Table7[[#This Row],[Date]],Database!$A:$C,MATCH($B$1,Database!$A$1:$C$1,),)=0,#N/A,VLOOKUP(Table7[[#This Row],[Date]],Database!$A:$C,MATCH($B$1,Database!$A$1:$C$1,),))</f>
        <v/>
      </c>
      <c r="C1390">
        <f>IF(VLOOKUP(Table7[[#This Row],[Date]],Database!$A:$C,MATCH($C$1,Database!$A$1:$C$1,),)=0,#N/A,VLOOKUP(Table7[[#This Row],[Date]],Database!$A:$C,MATCH($C$1,Database!$A$1:$C$1,),))</f>
        <v/>
      </c>
      <c r="D1390">
        <f>IFERROR(Table7[[#This Row],[United States 10y]]-Table7[[#This Row],[United States 3y]],#N/A)</f>
        <v/>
      </c>
    </row>
    <row r="1391">
      <c r="A1391" s="6">
        <f>Database!$A3476</f>
        <v/>
      </c>
      <c r="B1391">
        <f>IF(VLOOKUP(Table7[[#This Row],[Date]],Database!$A:$C,MATCH($B$1,Database!$A$1:$C$1,),)=0,#N/A,VLOOKUP(Table7[[#This Row],[Date]],Database!$A:$C,MATCH($B$1,Database!$A$1:$C$1,),))</f>
        <v/>
      </c>
      <c r="C1391">
        <f>IF(VLOOKUP(Table7[[#This Row],[Date]],Database!$A:$C,MATCH($C$1,Database!$A$1:$C$1,),)=0,#N/A,VLOOKUP(Table7[[#This Row],[Date]],Database!$A:$C,MATCH($C$1,Database!$A$1:$C$1,),))</f>
        <v/>
      </c>
      <c r="D1391">
        <f>IFERROR(Table7[[#This Row],[United States 10y]]-Table7[[#This Row],[United States 3y]],#N/A)</f>
        <v/>
      </c>
    </row>
    <row r="1392">
      <c r="A1392" s="6">
        <f>Database!$A3477</f>
        <v/>
      </c>
      <c r="B1392">
        <f>IF(VLOOKUP(Table7[[#This Row],[Date]],Database!$A:$C,MATCH($B$1,Database!$A$1:$C$1,),)=0,#N/A,VLOOKUP(Table7[[#This Row],[Date]],Database!$A:$C,MATCH($B$1,Database!$A$1:$C$1,),))</f>
        <v/>
      </c>
      <c r="C1392">
        <f>IF(VLOOKUP(Table7[[#This Row],[Date]],Database!$A:$C,MATCH($C$1,Database!$A$1:$C$1,),)=0,#N/A,VLOOKUP(Table7[[#This Row],[Date]],Database!$A:$C,MATCH($C$1,Database!$A$1:$C$1,),))</f>
        <v/>
      </c>
      <c r="D1392">
        <f>IFERROR(Table7[[#This Row],[United States 10y]]-Table7[[#This Row],[United States 3y]],#N/A)</f>
        <v/>
      </c>
    </row>
    <row r="1393">
      <c r="A1393" s="6">
        <f>Database!$A3478</f>
        <v/>
      </c>
      <c r="B1393">
        <f>IF(VLOOKUP(Table7[[#This Row],[Date]],Database!$A:$C,MATCH($B$1,Database!$A$1:$C$1,),)=0,#N/A,VLOOKUP(Table7[[#This Row],[Date]],Database!$A:$C,MATCH($B$1,Database!$A$1:$C$1,),))</f>
        <v/>
      </c>
      <c r="C1393">
        <f>IF(VLOOKUP(Table7[[#This Row],[Date]],Database!$A:$C,MATCH($C$1,Database!$A$1:$C$1,),)=0,#N/A,VLOOKUP(Table7[[#This Row],[Date]],Database!$A:$C,MATCH($C$1,Database!$A$1:$C$1,),))</f>
        <v/>
      </c>
      <c r="D1393">
        <f>IFERROR(Table7[[#This Row],[United States 10y]]-Table7[[#This Row],[United States 3y]],#N/A)</f>
        <v/>
      </c>
    </row>
    <row r="1394">
      <c r="A1394" s="6">
        <f>Database!$A3479</f>
        <v/>
      </c>
      <c r="B1394">
        <f>IF(VLOOKUP(Table7[[#This Row],[Date]],Database!$A:$C,MATCH($B$1,Database!$A$1:$C$1,),)=0,#N/A,VLOOKUP(Table7[[#This Row],[Date]],Database!$A:$C,MATCH($B$1,Database!$A$1:$C$1,),))</f>
        <v/>
      </c>
      <c r="C1394">
        <f>IF(VLOOKUP(Table7[[#This Row],[Date]],Database!$A:$C,MATCH($C$1,Database!$A$1:$C$1,),)=0,#N/A,VLOOKUP(Table7[[#This Row],[Date]],Database!$A:$C,MATCH($C$1,Database!$A$1:$C$1,),))</f>
        <v/>
      </c>
      <c r="D1394">
        <f>IFERROR(Table7[[#This Row],[United States 10y]]-Table7[[#This Row],[United States 3y]],#N/A)</f>
        <v/>
      </c>
    </row>
    <row r="1395">
      <c r="A1395" s="6">
        <f>Database!$A3480</f>
        <v/>
      </c>
      <c r="B1395">
        <f>IF(VLOOKUP(Table7[[#This Row],[Date]],Database!$A:$C,MATCH($B$1,Database!$A$1:$C$1,),)=0,#N/A,VLOOKUP(Table7[[#This Row],[Date]],Database!$A:$C,MATCH($B$1,Database!$A$1:$C$1,),))</f>
        <v/>
      </c>
      <c r="C1395">
        <f>IF(VLOOKUP(Table7[[#This Row],[Date]],Database!$A:$C,MATCH($C$1,Database!$A$1:$C$1,),)=0,#N/A,VLOOKUP(Table7[[#This Row],[Date]],Database!$A:$C,MATCH($C$1,Database!$A$1:$C$1,),))</f>
        <v/>
      </c>
      <c r="D1395">
        <f>IFERROR(Table7[[#This Row],[United States 10y]]-Table7[[#This Row],[United States 3y]],#N/A)</f>
        <v/>
      </c>
    </row>
    <row r="1396">
      <c r="A1396" s="6">
        <f>Database!$A3481</f>
        <v/>
      </c>
      <c r="B1396">
        <f>IF(VLOOKUP(Table7[[#This Row],[Date]],Database!$A:$C,MATCH($B$1,Database!$A$1:$C$1,),)=0,#N/A,VLOOKUP(Table7[[#This Row],[Date]],Database!$A:$C,MATCH($B$1,Database!$A$1:$C$1,),))</f>
        <v/>
      </c>
      <c r="C1396">
        <f>IF(VLOOKUP(Table7[[#This Row],[Date]],Database!$A:$C,MATCH($C$1,Database!$A$1:$C$1,),)=0,#N/A,VLOOKUP(Table7[[#This Row],[Date]],Database!$A:$C,MATCH($C$1,Database!$A$1:$C$1,),))</f>
        <v/>
      </c>
      <c r="D1396">
        <f>IFERROR(Table7[[#This Row],[United States 10y]]-Table7[[#This Row],[United States 3y]],#N/A)</f>
        <v/>
      </c>
    </row>
    <row r="1397">
      <c r="A1397" s="6">
        <f>Database!$A3482</f>
        <v/>
      </c>
      <c r="B1397">
        <f>IF(VLOOKUP(Table7[[#This Row],[Date]],Database!$A:$C,MATCH($B$1,Database!$A$1:$C$1,),)=0,#N/A,VLOOKUP(Table7[[#This Row],[Date]],Database!$A:$C,MATCH($B$1,Database!$A$1:$C$1,),))</f>
        <v/>
      </c>
      <c r="C1397">
        <f>IF(VLOOKUP(Table7[[#This Row],[Date]],Database!$A:$C,MATCH($C$1,Database!$A$1:$C$1,),)=0,#N/A,VLOOKUP(Table7[[#This Row],[Date]],Database!$A:$C,MATCH($C$1,Database!$A$1:$C$1,),))</f>
        <v/>
      </c>
      <c r="D1397">
        <f>IFERROR(Table7[[#This Row],[United States 10y]]-Table7[[#This Row],[United States 3y]],#N/A)</f>
        <v/>
      </c>
    </row>
    <row r="1398">
      <c r="A1398" s="6">
        <f>Database!$A3483</f>
        <v/>
      </c>
      <c r="B1398">
        <f>IF(VLOOKUP(Table7[[#This Row],[Date]],Database!$A:$C,MATCH($B$1,Database!$A$1:$C$1,),)=0,#N/A,VLOOKUP(Table7[[#This Row],[Date]],Database!$A:$C,MATCH($B$1,Database!$A$1:$C$1,),))</f>
        <v/>
      </c>
      <c r="C1398">
        <f>IF(VLOOKUP(Table7[[#This Row],[Date]],Database!$A:$C,MATCH($C$1,Database!$A$1:$C$1,),)=0,#N/A,VLOOKUP(Table7[[#This Row],[Date]],Database!$A:$C,MATCH($C$1,Database!$A$1:$C$1,),))</f>
        <v/>
      </c>
      <c r="D1398">
        <f>IFERROR(Table7[[#This Row],[United States 10y]]-Table7[[#This Row],[United States 3y]],#N/A)</f>
        <v/>
      </c>
    </row>
    <row r="1399">
      <c r="A1399" s="6">
        <f>Database!$A3484</f>
        <v/>
      </c>
      <c r="B1399">
        <f>IF(VLOOKUP(Table7[[#This Row],[Date]],Database!$A:$C,MATCH($B$1,Database!$A$1:$C$1,),)=0,#N/A,VLOOKUP(Table7[[#This Row],[Date]],Database!$A:$C,MATCH($B$1,Database!$A$1:$C$1,),))</f>
        <v/>
      </c>
      <c r="C1399">
        <f>IF(VLOOKUP(Table7[[#This Row],[Date]],Database!$A:$C,MATCH($C$1,Database!$A$1:$C$1,),)=0,#N/A,VLOOKUP(Table7[[#This Row],[Date]],Database!$A:$C,MATCH($C$1,Database!$A$1:$C$1,),))</f>
        <v/>
      </c>
      <c r="D1399">
        <f>IFERROR(Table7[[#This Row],[United States 10y]]-Table7[[#This Row],[United States 3y]],#N/A)</f>
        <v/>
      </c>
    </row>
    <row r="1400">
      <c r="A1400" s="6">
        <f>Database!$A3485</f>
        <v/>
      </c>
      <c r="B1400">
        <f>IF(VLOOKUP(Table7[[#This Row],[Date]],Database!$A:$C,MATCH($B$1,Database!$A$1:$C$1,),)=0,#N/A,VLOOKUP(Table7[[#This Row],[Date]],Database!$A:$C,MATCH($B$1,Database!$A$1:$C$1,),))</f>
        <v/>
      </c>
      <c r="C1400">
        <f>IF(VLOOKUP(Table7[[#This Row],[Date]],Database!$A:$C,MATCH($C$1,Database!$A$1:$C$1,),)=0,#N/A,VLOOKUP(Table7[[#This Row],[Date]],Database!$A:$C,MATCH($C$1,Database!$A$1:$C$1,),))</f>
        <v/>
      </c>
      <c r="D1400">
        <f>IFERROR(Table7[[#This Row],[United States 10y]]-Table7[[#This Row],[United States 3y]],#N/A)</f>
        <v/>
      </c>
    </row>
    <row r="1401">
      <c r="A1401" s="6">
        <f>Database!$A3486</f>
        <v/>
      </c>
      <c r="B1401">
        <f>IF(VLOOKUP(Table7[[#This Row],[Date]],Database!$A:$C,MATCH($B$1,Database!$A$1:$C$1,),)=0,#N/A,VLOOKUP(Table7[[#This Row],[Date]],Database!$A:$C,MATCH($B$1,Database!$A$1:$C$1,),))</f>
        <v/>
      </c>
      <c r="C1401">
        <f>IF(VLOOKUP(Table7[[#This Row],[Date]],Database!$A:$C,MATCH($C$1,Database!$A$1:$C$1,),)=0,#N/A,VLOOKUP(Table7[[#This Row],[Date]],Database!$A:$C,MATCH($C$1,Database!$A$1:$C$1,),))</f>
        <v/>
      </c>
      <c r="D1401">
        <f>IFERROR(Table7[[#This Row],[United States 10y]]-Table7[[#This Row],[United States 3y]],#N/A)</f>
        <v/>
      </c>
    </row>
    <row r="1402">
      <c r="A1402" s="6">
        <f>Database!$A3487</f>
        <v/>
      </c>
      <c r="B1402">
        <f>IF(VLOOKUP(Table7[[#This Row],[Date]],Database!$A:$C,MATCH($B$1,Database!$A$1:$C$1,),)=0,#N/A,VLOOKUP(Table7[[#This Row],[Date]],Database!$A:$C,MATCH($B$1,Database!$A$1:$C$1,),))</f>
        <v/>
      </c>
      <c r="C1402">
        <f>IF(VLOOKUP(Table7[[#This Row],[Date]],Database!$A:$C,MATCH($C$1,Database!$A$1:$C$1,),)=0,#N/A,VLOOKUP(Table7[[#This Row],[Date]],Database!$A:$C,MATCH($C$1,Database!$A$1:$C$1,),))</f>
        <v/>
      </c>
      <c r="D1402">
        <f>IFERROR(Table7[[#This Row],[United States 10y]]-Table7[[#This Row],[United States 3y]],#N/A)</f>
        <v/>
      </c>
    </row>
    <row r="1403">
      <c r="A1403" s="6">
        <f>Database!$A3488</f>
        <v/>
      </c>
      <c r="B1403">
        <f>IF(VLOOKUP(Table7[[#This Row],[Date]],Database!$A:$C,MATCH($B$1,Database!$A$1:$C$1,),)=0,#N/A,VLOOKUP(Table7[[#This Row],[Date]],Database!$A:$C,MATCH($B$1,Database!$A$1:$C$1,),))</f>
        <v/>
      </c>
      <c r="C1403">
        <f>IF(VLOOKUP(Table7[[#This Row],[Date]],Database!$A:$C,MATCH($C$1,Database!$A$1:$C$1,),)=0,#N/A,VLOOKUP(Table7[[#This Row],[Date]],Database!$A:$C,MATCH($C$1,Database!$A$1:$C$1,),))</f>
        <v/>
      </c>
      <c r="D1403">
        <f>IFERROR(Table7[[#This Row],[United States 10y]]-Table7[[#This Row],[United States 3y]],#N/A)</f>
        <v/>
      </c>
    </row>
    <row r="1404">
      <c r="A1404" s="6">
        <f>Database!$A3489</f>
        <v/>
      </c>
      <c r="B1404">
        <f>IF(VLOOKUP(Table7[[#This Row],[Date]],Database!$A:$C,MATCH($B$1,Database!$A$1:$C$1,),)=0,#N/A,VLOOKUP(Table7[[#This Row],[Date]],Database!$A:$C,MATCH($B$1,Database!$A$1:$C$1,),))</f>
        <v/>
      </c>
      <c r="C1404">
        <f>IF(VLOOKUP(Table7[[#This Row],[Date]],Database!$A:$C,MATCH($C$1,Database!$A$1:$C$1,),)=0,#N/A,VLOOKUP(Table7[[#This Row],[Date]],Database!$A:$C,MATCH($C$1,Database!$A$1:$C$1,),))</f>
        <v/>
      </c>
      <c r="D1404">
        <f>IFERROR(Table7[[#This Row],[United States 10y]]-Table7[[#This Row],[United States 3y]],#N/A)</f>
        <v/>
      </c>
    </row>
    <row r="1405">
      <c r="A1405" s="6">
        <f>Database!$A3490</f>
        <v/>
      </c>
      <c r="B1405">
        <f>IF(VLOOKUP(Table7[[#This Row],[Date]],Database!$A:$C,MATCH($B$1,Database!$A$1:$C$1,),)=0,#N/A,VLOOKUP(Table7[[#This Row],[Date]],Database!$A:$C,MATCH($B$1,Database!$A$1:$C$1,),))</f>
        <v/>
      </c>
      <c r="C1405">
        <f>IF(VLOOKUP(Table7[[#This Row],[Date]],Database!$A:$C,MATCH($C$1,Database!$A$1:$C$1,),)=0,#N/A,VLOOKUP(Table7[[#This Row],[Date]],Database!$A:$C,MATCH($C$1,Database!$A$1:$C$1,),))</f>
        <v/>
      </c>
      <c r="D1405">
        <f>IFERROR(Table7[[#This Row],[United States 10y]]-Table7[[#This Row],[United States 3y]],#N/A)</f>
        <v/>
      </c>
    </row>
    <row r="1406">
      <c r="A1406" s="6">
        <f>Database!$A3491</f>
        <v/>
      </c>
      <c r="B1406">
        <f>IF(VLOOKUP(Table7[[#This Row],[Date]],Database!$A:$C,MATCH($B$1,Database!$A$1:$C$1,),)=0,#N/A,VLOOKUP(Table7[[#This Row],[Date]],Database!$A:$C,MATCH($B$1,Database!$A$1:$C$1,),))</f>
        <v/>
      </c>
      <c r="C1406">
        <f>IF(VLOOKUP(Table7[[#This Row],[Date]],Database!$A:$C,MATCH($C$1,Database!$A$1:$C$1,),)=0,#N/A,VLOOKUP(Table7[[#This Row],[Date]],Database!$A:$C,MATCH($C$1,Database!$A$1:$C$1,),))</f>
        <v/>
      </c>
      <c r="D1406">
        <f>IFERROR(Table7[[#This Row],[United States 10y]]-Table7[[#This Row],[United States 3y]],#N/A)</f>
        <v/>
      </c>
    </row>
    <row r="1407">
      <c r="A1407" s="6">
        <f>Database!$A3492</f>
        <v/>
      </c>
      <c r="B1407">
        <f>IF(VLOOKUP(Table7[[#This Row],[Date]],Database!$A:$C,MATCH($B$1,Database!$A$1:$C$1,),)=0,#N/A,VLOOKUP(Table7[[#This Row],[Date]],Database!$A:$C,MATCH($B$1,Database!$A$1:$C$1,),))</f>
        <v/>
      </c>
      <c r="C1407">
        <f>IF(VLOOKUP(Table7[[#This Row],[Date]],Database!$A:$C,MATCH($C$1,Database!$A$1:$C$1,),)=0,#N/A,VLOOKUP(Table7[[#This Row],[Date]],Database!$A:$C,MATCH($C$1,Database!$A$1:$C$1,),))</f>
        <v/>
      </c>
      <c r="D1407">
        <f>IFERROR(Table7[[#This Row],[United States 10y]]-Table7[[#This Row],[United States 3y]],#N/A)</f>
        <v/>
      </c>
    </row>
    <row r="1408">
      <c r="A1408" s="6">
        <f>Database!$A3493</f>
        <v/>
      </c>
      <c r="B1408">
        <f>IF(VLOOKUP(Table7[[#This Row],[Date]],Database!$A:$C,MATCH($B$1,Database!$A$1:$C$1,),)=0,#N/A,VLOOKUP(Table7[[#This Row],[Date]],Database!$A:$C,MATCH($B$1,Database!$A$1:$C$1,),))</f>
        <v/>
      </c>
      <c r="C1408">
        <f>IF(VLOOKUP(Table7[[#This Row],[Date]],Database!$A:$C,MATCH($C$1,Database!$A$1:$C$1,),)=0,#N/A,VLOOKUP(Table7[[#This Row],[Date]],Database!$A:$C,MATCH($C$1,Database!$A$1:$C$1,),))</f>
        <v/>
      </c>
      <c r="D1408">
        <f>IFERROR(Table7[[#This Row],[United States 10y]]-Table7[[#This Row],[United States 3y]],#N/A)</f>
        <v/>
      </c>
    </row>
    <row r="1409">
      <c r="A1409" s="6">
        <f>Database!$A3494</f>
        <v/>
      </c>
      <c r="B1409">
        <f>IF(VLOOKUP(Table7[[#This Row],[Date]],Database!$A:$C,MATCH($B$1,Database!$A$1:$C$1,),)=0,#N/A,VLOOKUP(Table7[[#This Row],[Date]],Database!$A:$C,MATCH($B$1,Database!$A$1:$C$1,),))</f>
        <v/>
      </c>
      <c r="C1409">
        <f>IF(VLOOKUP(Table7[[#This Row],[Date]],Database!$A:$C,MATCH($C$1,Database!$A$1:$C$1,),)=0,#N/A,VLOOKUP(Table7[[#This Row],[Date]],Database!$A:$C,MATCH($C$1,Database!$A$1:$C$1,),))</f>
        <v/>
      </c>
      <c r="D1409">
        <f>IFERROR(Table7[[#This Row],[United States 10y]]-Table7[[#This Row],[United States 3y]],#N/A)</f>
        <v/>
      </c>
    </row>
    <row r="1410">
      <c r="A1410" s="6">
        <f>Database!$A3495</f>
        <v/>
      </c>
      <c r="B1410">
        <f>IF(VLOOKUP(Table7[[#This Row],[Date]],Database!$A:$C,MATCH($B$1,Database!$A$1:$C$1,),)=0,#N/A,VLOOKUP(Table7[[#This Row],[Date]],Database!$A:$C,MATCH($B$1,Database!$A$1:$C$1,),))</f>
        <v/>
      </c>
      <c r="C1410">
        <f>IF(VLOOKUP(Table7[[#This Row],[Date]],Database!$A:$C,MATCH($C$1,Database!$A$1:$C$1,),)=0,#N/A,VLOOKUP(Table7[[#This Row],[Date]],Database!$A:$C,MATCH($C$1,Database!$A$1:$C$1,),))</f>
        <v/>
      </c>
      <c r="D1410">
        <f>IFERROR(Table7[[#This Row],[United States 10y]]-Table7[[#This Row],[United States 3y]],#N/A)</f>
        <v/>
      </c>
    </row>
    <row r="1411">
      <c r="A1411" s="6">
        <f>Database!$A3496</f>
        <v/>
      </c>
      <c r="B1411">
        <f>IF(VLOOKUP(Table7[[#This Row],[Date]],Database!$A:$C,MATCH($B$1,Database!$A$1:$C$1,),)=0,#N/A,VLOOKUP(Table7[[#This Row],[Date]],Database!$A:$C,MATCH($B$1,Database!$A$1:$C$1,),))</f>
        <v/>
      </c>
      <c r="C1411">
        <f>IF(VLOOKUP(Table7[[#This Row],[Date]],Database!$A:$C,MATCH($C$1,Database!$A$1:$C$1,),)=0,#N/A,VLOOKUP(Table7[[#This Row],[Date]],Database!$A:$C,MATCH($C$1,Database!$A$1:$C$1,),))</f>
        <v/>
      </c>
      <c r="D1411">
        <f>IFERROR(Table7[[#This Row],[United States 10y]]-Table7[[#This Row],[United States 3y]],#N/A)</f>
        <v/>
      </c>
    </row>
    <row r="1412">
      <c r="A1412" s="6">
        <f>Database!$A3497</f>
        <v/>
      </c>
      <c r="B1412">
        <f>IF(VLOOKUP(Table7[[#This Row],[Date]],Database!$A:$C,MATCH($B$1,Database!$A$1:$C$1,),)=0,#N/A,VLOOKUP(Table7[[#This Row],[Date]],Database!$A:$C,MATCH($B$1,Database!$A$1:$C$1,),))</f>
        <v/>
      </c>
      <c r="C1412">
        <f>IF(VLOOKUP(Table7[[#This Row],[Date]],Database!$A:$C,MATCH($C$1,Database!$A$1:$C$1,),)=0,#N/A,VLOOKUP(Table7[[#This Row],[Date]],Database!$A:$C,MATCH($C$1,Database!$A$1:$C$1,),))</f>
        <v/>
      </c>
      <c r="D1412">
        <f>IFERROR(Table7[[#This Row],[United States 10y]]-Table7[[#This Row],[United States 3y]],#N/A)</f>
        <v/>
      </c>
    </row>
    <row r="1413">
      <c r="A1413" s="6">
        <f>Database!$A3498</f>
        <v/>
      </c>
      <c r="B1413">
        <f>IF(VLOOKUP(Table7[[#This Row],[Date]],Database!$A:$C,MATCH($B$1,Database!$A$1:$C$1,),)=0,#N/A,VLOOKUP(Table7[[#This Row],[Date]],Database!$A:$C,MATCH($B$1,Database!$A$1:$C$1,),))</f>
        <v/>
      </c>
      <c r="C1413">
        <f>IF(VLOOKUP(Table7[[#This Row],[Date]],Database!$A:$C,MATCH($C$1,Database!$A$1:$C$1,),)=0,#N/A,VLOOKUP(Table7[[#This Row],[Date]],Database!$A:$C,MATCH($C$1,Database!$A$1:$C$1,),))</f>
        <v/>
      </c>
      <c r="D1413">
        <f>IFERROR(Table7[[#This Row],[United States 10y]]-Table7[[#This Row],[United States 3y]],#N/A)</f>
        <v/>
      </c>
    </row>
    <row r="1414">
      <c r="A1414" s="6">
        <f>Database!$A3499</f>
        <v/>
      </c>
      <c r="B1414">
        <f>IF(VLOOKUP(Table7[[#This Row],[Date]],Database!$A:$C,MATCH($B$1,Database!$A$1:$C$1,),)=0,#N/A,VLOOKUP(Table7[[#This Row],[Date]],Database!$A:$C,MATCH($B$1,Database!$A$1:$C$1,),))</f>
        <v/>
      </c>
      <c r="C1414">
        <f>IF(VLOOKUP(Table7[[#This Row],[Date]],Database!$A:$C,MATCH($C$1,Database!$A$1:$C$1,),)=0,#N/A,VLOOKUP(Table7[[#This Row],[Date]],Database!$A:$C,MATCH($C$1,Database!$A$1:$C$1,),))</f>
        <v/>
      </c>
      <c r="D1414">
        <f>IFERROR(Table7[[#This Row],[United States 10y]]-Table7[[#This Row],[United States 3y]],#N/A)</f>
        <v/>
      </c>
    </row>
    <row r="1415">
      <c r="A1415" s="6">
        <f>Database!$A3500</f>
        <v/>
      </c>
      <c r="B1415">
        <f>IF(VLOOKUP(Table7[[#This Row],[Date]],Database!$A:$C,MATCH($B$1,Database!$A$1:$C$1,),)=0,#N/A,VLOOKUP(Table7[[#This Row],[Date]],Database!$A:$C,MATCH($B$1,Database!$A$1:$C$1,),))</f>
        <v/>
      </c>
      <c r="C1415">
        <f>IF(VLOOKUP(Table7[[#This Row],[Date]],Database!$A:$C,MATCH($C$1,Database!$A$1:$C$1,),)=0,#N/A,VLOOKUP(Table7[[#This Row],[Date]],Database!$A:$C,MATCH($C$1,Database!$A$1:$C$1,),))</f>
        <v/>
      </c>
      <c r="D1415">
        <f>IFERROR(Table7[[#This Row],[United States 10y]]-Table7[[#This Row],[United States 3y]],#N/A)</f>
        <v/>
      </c>
    </row>
    <row r="1416">
      <c r="A1416" s="6">
        <f>Database!$A3501</f>
        <v/>
      </c>
      <c r="B1416">
        <f>IF(VLOOKUP(Table7[[#This Row],[Date]],Database!$A:$C,MATCH($B$1,Database!$A$1:$C$1,),)=0,#N/A,VLOOKUP(Table7[[#This Row],[Date]],Database!$A:$C,MATCH($B$1,Database!$A$1:$C$1,),))</f>
        <v/>
      </c>
      <c r="C1416">
        <f>IF(VLOOKUP(Table7[[#This Row],[Date]],Database!$A:$C,MATCH($C$1,Database!$A$1:$C$1,),)=0,#N/A,VLOOKUP(Table7[[#This Row],[Date]],Database!$A:$C,MATCH($C$1,Database!$A$1:$C$1,),))</f>
        <v/>
      </c>
      <c r="D1416">
        <f>IFERROR(Table7[[#This Row],[United States 10y]]-Table7[[#This Row],[United States 3y]],#N/A)</f>
        <v/>
      </c>
    </row>
    <row r="1417">
      <c r="A1417" s="6">
        <f>Database!$A3502</f>
        <v/>
      </c>
      <c r="B1417">
        <f>IF(VLOOKUP(Table7[[#This Row],[Date]],Database!$A:$C,MATCH($B$1,Database!$A$1:$C$1,),)=0,#N/A,VLOOKUP(Table7[[#This Row],[Date]],Database!$A:$C,MATCH($B$1,Database!$A$1:$C$1,),))</f>
        <v/>
      </c>
      <c r="C1417">
        <f>IF(VLOOKUP(Table7[[#This Row],[Date]],Database!$A:$C,MATCH($C$1,Database!$A$1:$C$1,),)=0,#N/A,VLOOKUP(Table7[[#This Row],[Date]],Database!$A:$C,MATCH($C$1,Database!$A$1:$C$1,),))</f>
        <v/>
      </c>
      <c r="D1417">
        <f>IFERROR(Table7[[#This Row],[United States 10y]]-Table7[[#This Row],[United States 3y]],#N/A)</f>
        <v/>
      </c>
    </row>
    <row r="1418">
      <c r="A1418" s="6">
        <f>Database!$A3503</f>
        <v/>
      </c>
      <c r="B1418">
        <f>IF(VLOOKUP(Table7[[#This Row],[Date]],Database!$A:$C,MATCH($B$1,Database!$A$1:$C$1,),)=0,#N/A,VLOOKUP(Table7[[#This Row],[Date]],Database!$A:$C,MATCH($B$1,Database!$A$1:$C$1,),))</f>
        <v/>
      </c>
      <c r="C1418">
        <f>IF(VLOOKUP(Table7[[#This Row],[Date]],Database!$A:$C,MATCH($C$1,Database!$A$1:$C$1,),)=0,#N/A,VLOOKUP(Table7[[#This Row],[Date]],Database!$A:$C,MATCH($C$1,Database!$A$1:$C$1,),))</f>
        <v/>
      </c>
      <c r="D1418">
        <f>IFERROR(Table7[[#This Row],[United States 10y]]-Table7[[#This Row],[United States 3y]],#N/A)</f>
        <v/>
      </c>
    </row>
    <row r="1419">
      <c r="A1419" s="6">
        <f>Database!$A3504</f>
        <v/>
      </c>
      <c r="B1419">
        <f>IF(VLOOKUP(Table7[[#This Row],[Date]],Database!$A:$C,MATCH($B$1,Database!$A$1:$C$1,),)=0,#N/A,VLOOKUP(Table7[[#This Row],[Date]],Database!$A:$C,MATCH($B$1,Database!$A$1:$C$1,),))</f>
        <v/>
      </c>
      <c r="C1419">
        <f>IF(VLOOKUP(Table7[[#This Row],[Date]],Database!$A:$C,MATCH($C$1,Database!$A$1:$C$1,),)=0,#N/A,VLOOKUP(Table7[[#This Row],[Date]],Database!$A:$C,MATCH($C$1,Database!$A$1:$C$1,),))</f>
        <v/>
      </c>
      <c r="D1419">
        <f>IFERROR(Table7[[#This Row],[United States 10y]]-Table7[[#This Row],[United States 3y]],#N/A)</f>
        <v/>
      </c>
    </row>
    <row r="1420">
      <c r="A1420" s="6">
        <f>Database!$A3505</f>
        <v/>
      </c>
      <c r="B1420">
        <f>IF(VLOOKUP(Table7[[#This Row],[Date]],Database!$A:$C,MATCH($B$1,Database!$A$1:$C$1,),)=0,#N/A,VLOOKUP(Table7[[#This Row],[Date]],Database!$A:$C,MATCH($B$1,Database!$A$1:$C$1,),))</f>
        <v/>
      </c>
      <c r="C1420">
        <f>IF(VLOOKUP(Table7[[#This Row],[Date]],Database!$A:$C,MATCH($C$1,Database!$A$1:$C$1,),)=0,#N/A,VLOOKUP(Table7[[#This Row],[Date]],Database!$A:$C,MATCH($C$1,Database!$A$1:$C$1,),))</f>
        <v/>
      </c>
      <c r="D1420">
        <f>IFERROR(Table7[[#This Row],[United States 10y]]-Table7[[#This Row],[United States 3y]],#N/A)</f>
        <v/>
      </c>
    </row>
    <row r="1421">
      <c r="A1421" s="6">
        <f>Database!$A3506</f>
        <v/>
      </c>
      <c r="B1421">
        <f>IF(VLOOKUP(Table7[[#This Row],[Date]],Database!$A:$C,MATCH($B$1,Database!$A$1:$C$1,),)=0,#N/A,VLOOKUP(Table7[[#This Row],[Date]],Database!$A:$C,MATCH($B$1,Database!$A$1:$C$1,),))</f>
        <v/>
      </c>
      <c r="C1421">
        <f>IF(VLOOKUP(Table7[[#This Row],[Date]],Database!$A:$C,MATCH($C$1,Database!$A$1:$C$1,),)=0,#N/A,VLOOKUP(Table7[[#This Row],[Date]],Database!$A:$C,MATCH($C$1,Database!$A$1:$C$1,),))</f>
        <v/>
      </c>
      <c r="D1421">
        <f>IFERROR(Table7[[#This Row],[United States 10y]]-Table7[[#This Row],[United States 3y]],#N/A)</f>
        <v/>
      </c>
    </row>
    <row r="1422">
      <c r="A1422" s="6">
        <f>Database!$A3507</f>
        <v/>
      </c>
      <c r="B1422">
        <f>IF(VLOOKUP(Table7[[#This Row],[Date]],Database!$A:$C,MATCH($B$1,Database!$A$1:$C$1,),)=0,#N/A,VLOOKUP(Table7[[#This Row],[Date]],Database!$A:$C,MATCH($B$1,Database!$A$1:$C$1,),))</f>
        <v/>
      </c>
      <c r="C1422">
        <f>IF(VLOOKUP(Table7[[#This Row],[Date]],Database!$A:$C,MATCH($C$1,Database!$A$1:$C$1,),)=0,#N/A,VLOOKUP(Table7[[#This Row],[Date]],Database!$A:$C,MATCH($C$1,Database!$A$1:$C$1,),))</f>
        <v/>
      </c>
      <c r="D1422">
        <f>IFERROR(Table7[[#This Row],[United States 10y]]-Table7[[#This Row],[United States 3y]],#N/A)</f>
        <v/>
      </c>
    </row>
    <row r="1423">
      <c r="A1423" s="6">
        <f>Database!$A3508</f>
        <v/>
      </c>
      <c r="B1423">
        <f>IF(VLOOKUP(Table7[[#This Row],[Date]],Database!$A:$C,MATCH($B$1,Database!$A$1:$C$1,),)=0,#N/A,VLOOKUP(Table7[[#This Row],[Date]],Database!$A:$C,MATCH($B$1,Database!$A$1:$C$1,),))</f>
        <v/>
      </c>
      <c r="C1423">
        <f>IF(VLOOKUP(Table7[[#This Row],[Date]],Database!$A:$C,MATCH($C$1,Database!$A$1:$C$1,),)=0,#N/A,VLOOKUP(Table7[[#This Row],[Date]],Database!$A:$C,MATCH($C$1,Database!$A$1:$C$1,),))</f>
        <v/>
      </c>
      <c r="D1423">
        <f>IFERROR(Table7[[#This Row],[United States 10y]]-Table7[[#This Row],[United States 3y]],#N/A)</f>
        <v/>
      </c>
    </row>
    <row r="1424">
      <c r="A1424" s="6">
        <f>Database!$A3509</f>
        <v/>
      </c>
      <c r="B1424">
        <f>IF(VLOOKUP(Table7[[#This Row],[Date]],Database!$A:$C,MATCH($B$1,Database!$A$1:$C$1,),)=0,#N/A,VLOOKUP(Table7[[#This Row],[Date]],Database!$A:$C,MATCH($B$1,Database!$A$1:$C$1,),))</f>
        <v/>
      </c>
      <c r="C1424">
        <f>IF(VLOOKUP(Table7[[#This Row],[Date]],Database!$A:$C,MATCH($C$1,Database!$A$1:$C$1,),)=0,#N/A,VLOOKUP(Table7[[#This Row],[Date]],Database!$A:$C,MATCH($C$1,Database!$A$1:$C$1,),))</f>
        <v/>
      </c>
      <c r="D1424">
        <f>IFERROR(Table7[[#This Row],[United States 10y]]-Table7[[#This Row],[United States 3y]],#N/A)</f>
        <v/>
      </c>
    </row>
    <row r="1425">
      <c r="A1425" s="6">
        <f>Database!$A3510</f>
        <v/>
      </c>
      <c r="B1425">
        <f>IF(VLOOKUP(Table7[[#This Row],[Date]],Database!$A:$C,MATCH($B$1,Database!$A$1:$C$1,),)=0,#N/A,VLOOKUP(Table7[[#This Row],[Date]],Database!$A:$C,MATCH($B$1,Database!$A$1:$C$1,),))</f>
        <v/>
      </c>
      <c r="C1425">
        <f>IF(VLOOKUP(Table7[[#This Row],[Date]],Database!$A:$C,MATCH($C$1,Database!$A$1:$C$1,),)=0,#N/A,VLOOKUP(Table7[[#This Row],[Date]],Database!$A:$C,MATCH($C$1,Database!$A$1:$C$1,),))</f>
        <v/>
      </c>
      <c r="D1425">
        <f>IFERROR(Table7[[#This Row],[United States 10y]]-Table7[[#This Row],[United States 3y]],#N/A)</f>
        <v/>
      </c>
    </row>
    <row r="1426">
      <c r="A1426" s="6">
        <f>Database!$A3511</f>
        <v/>
      </c>
      <c r="B1426">
        <f>IF(VLOOKUP(Table7[[#This Row],[Date]],Database!$A:$C,MATCH($B$1,Database!$A$1:$C$1,),)=0,#N/A,VLOOKUP(Table7[[#This Row],[Date]],Database!$A:$C,MATCH($B$1,Database!$A$1:$C$1,),))</f>
        <v/>
      </c>
      <c r="C1426">
        <f>IF(VLOOKUP(Table7[[#This Row],[Date]],Database!$A:$C,MATCH($C$1,Database!$A$1:$C$1,),)=0,#N/A,VLOOKUP(Table7[[#This Row],[Date]],Database!$A:$C,MATCH($C$1,Database!$A$1:$C$1,),))</f>
        <v/>
      </c>
      <c r="D1426">
        <f>IFERROR(Table7[[#This Row],[United States 10y]]-Table7[[#This Row],[United States 3y]],#N/A)</f>
        <v/>
      </c>
    </row>
    <row r="1427">
      <c r="A1427" s="6">
        <f>Database!$A3512</f>
        <v/>
      </c>
      <c r="B1427">
        <f>IF(VLOOKUP(Table7[[#This Row],[Date]],Database!$A:$C,MATCH($B$1,Database!$A$1:$C$1,),)=0,#N/A,VLOOKUP(Table7[[#This Row],[Date]],Database!$A:$C,MATCH($B$1,Database!$A$1:$C$1,),))</f>
        <v/>
      </c>
      <c r="C1427">
        <f>IF(VLOOKUP(Table7[[#This Row],[Date]],Database!$A:$C,MATCH($C$1,Database!$A$1:$C$1,),)=0,#N/A,VLOOKUP(Table7[[#This Row],[Date]],Database!$A:$C,MATCH($C$1,Database!$A$1:$C$1,),))</f>
        <v/>
      </c>
      <c r="D1427">
        <f>IFERROR(Table7[[#This Row],[United States 10y]]-Table7[[#This Row],[United States 3y]],#N/A)</f>
        <v/>
      </c>
    </row>
    <row r="1428">
      <c r="A1428" s="6">
        <f>Database!$A3513</f>
        <v/>
      </c>
      <c r="B1428">
        <f>IF(VLOOKUP(Table7[[#This Row],[Date]],Database!$A:$C,MATCH($B$1,Database!$A$1:$C$1,),)=0,#N/A,VLOOKUP(Table7[[#This Row],[Date]],Database!$A:$C,MATCH($B$1,Database!$A$1:$C$1,),))</f>
        <v/>
      </c>
      <c r="C1428">
        <f>IF(VLOOKUP(Table7[[#This Row],[Date]],Database!$A:$C,MATCH($C$1,Database!$A$1:$C$1,),)=0,#N/A,VLOOKUP(Table7[[#This Row],[Date]],Database!$A:$C,MATCH($C$1,Database!$A$1:$C$1,),))</f>
        <v/>
      </c>
      <c r="D1428">
        <f>IFERROR(Table7[[#This Row],[United States 10y]]-Table7[[#This Row],[United States 3y]],#N/A)</f>
        <v/>
      </c>
    </row>
    <row r="1429">
      <c r="A1429" s="6">
        <f>Database!$A3514</f>
        <v/>
      </c>
      <c r="B1429">
        <f>IF(VLOOKUP(Table7[[#This Row],[Date]],Database!$A:$C,MATCH($B$1,Database!$A$1:$C$1,),)=0,#N/A,VLOOKUP(Table7[[#This Row],[Date]],Database!$A:$C,MATCH($B$1,Database!$A$1:$C$1,),))</f>
        <v/>
      </c>
      <c r="C1429">
        <f>IF(VLOOKUP(Table7[[#This Row],[Date]],Database!$A:$C,MATCH($C$1,Database!$A$1:$C$1,),)=0,#N/A,VLOOKUP(Table7[[#This Row],[Date]],Database!$A:$C,MATCH($C$1,Database!$A$1:$C$1,),))</f>
        <v/>
      </c>
      <c r="D1429">
        <f>IFERROR(Table7[[#This Row],[United States 10y]]-Table7[[#This Row],[United States 3y]],#N/A)</f>
        <v/>
      </c>
    </row>
    <row r="1430">
      <c r="A1430" s="6">
        <f>Database!$A3515</f>
        <v/>
      </c>
      <c r="B1430">
        <f>IF(VLOOKUP(Table7[[#This Row],[Date]],Database!$A:$C,MATCH($B$1,Database!$A$1:$C$1,),)=0,#N/A,VLOOKUP(Table7[[#This Row],[Date]],Database!$A:$C,MATCH($B$1,Database!$A$1:$C$1,),))</f>
        <v/>
      </c>
      <c r="C1430">
        <f>IF(VLOOKUP(Table7[[#This Row],[Date]],Database!$A:$C,MATCH($C$1,Database!$A$1:$C$1,),)=0,#N/A,VLOOKUP(Table7[[#This Row],[Date]],Database!$A:$C,MATCH($C$1,Database!$A$1:$C$1,),))</f>
        <v/>
      </c>
      <c r="D1430">
        <f>IFERROR(Table7[[#This Row],[United States 10y]]-Table7[[#This Row],[United States 3y]],#N/A)</f>
        <v/>
      </c>
    </row>
    <row r="1431">
      <c r="A1431" s="6">
        <f>Database!$A3516</f>
        <v/>
      </c>
      <c r="B1431">
        <f>IF(VLOOKUP(Table7[[#This Row],[Date]],Database!$A:$C,MATCH($B$1,Database!$A$1:$C$1,),)=0,#N/A,VLOOKUP(Table7[[#This Row],[Date]],Database!$A:$C,MATCH($B$1,Database!$A$1:$C$1,),))</f>
        <v/>
      </c>
      <c r="C1431">
        <f>IF(VLOOKUP(Table7[[#This Row],[Date]],Database!$A:$C,MATCH($C$1,Database!$A$1:$C$1,),)=0,#N/A,VLOOKUP(Table7[[#This Row],[Date]],Database!$A:$C,MATCH($C$1,Database!$A$1:$C$1,),))</f>
        <v/>
      </c>
      <c r="D1431">
        <f>IFERROR(Table7[[#This Row],[United States 10y]]-Table7[[#This Row],[United States 3y]],#N/A)</f>
        <v/>
      </c>
    </row>
    <row r="1432">
      <c r="A1432" s="6">
        <f>Database!$A3517</f>
        <v/>
      </c>
      <c r="B1432">
        <f>IF(VLOOKUP(Table7[[#This Row],[Date]],Database!$A:$C,MATCH($B$1,Database!$A$1:$C$1,),)=0,#N/A,VLOOKUP(Table7[[#This Row],[Date]],Database!$A:$C,MATCH($B$1,Database!$A$1:$C$1,),))</f>
        <v/>
      </c>
      <c r="C1432">
        <f>IF(VLOOKUP(Table7[[#This Row],[Date]],Database!$A:$C,MATCH($C$1,Database!$A$1:$C$1,),)=0,#N/A,VLOOKUP(Table7[[#This Row],[Date]],Database!$A:$C,MATCH($C$1,Database!$A$1:$C$1,),))</f>
        <v/>
      </c>
      <c r="D1432">
        <f>IFERROR(Table7[[#This Row],[United States 10y]]-Table7[[#This Row],[United States 3y]],#N/A)</f>
        <v/>
      </c>
    </row>
    <row r="1433">
      <c r="A1433" s="6">
        <f>Database!$A3518</f>
        <v/>
      </c>
      <c r="B1433">
        <f>IF(VLOOKUP(Table7[[#This Row],[Date]],Database!$A:$C,MATCH($B$1,Database!$A$1:$C$1,),)=0,#N/A,VLOOKUP(Table7[[#This Row],[Date]],Database!$A:$C,MATCH($B$1,Database!$A$1:$C$1,),))</f>
        <v/>
      </c>
      <c r="C1433">
        <f>IF(VLOOKUP(Table7[[#This Row],[Date]],Database!$A:$C,MATCH($C$1,Database!$A$1:$C$1,),)=0,#N/A,VLOOKUP(Table7[[#This Row],[Date]],Database!$A:$C,MATCH($C$1,Database!$A$1:$C$1,),))</f>
        <v/>
      </c>
      <c r="D1433">
        <f>IFERROR(Table7[[#This Row],[United States 10y]]-Table7[[#This Row],[United States 3y]],#N/A)</f>
        <v/>
      </c>
    </row>
    <row r="1434">
      <c r="A1434" s="6">
        <f>Database!$A3519</f>
        <v/>
      </c>
      <c r="B1434">
        <f>IF(VLOOKUP(Table7[[#This Row],[Date]],Database!$A:$C,MATCH($B$1,Database!$A$1:$C$1,),)=0,#N/A,VLOOKUP(Table7[[#This Row],[Date]],Database!$A:$C,MATCH($B$1,Database!$A$1:$C$1,),))</f>
        <v/>
      </c>
      <c r="C1434">
        <f>IF(VLOOKUP(Table7[[#This Row],[Date]],Database!$A:$C,MATCH($C$1,Database!$A$1:$C$1,),)=0,#N/A,VLOOKUP(Table7[[#This Row],[Date]],Database!$A:$C,MATCH($C$1,Database!$A$1:$C$1,),))</f>
        <v/>
      </c>
      <c r="D1434">
        <f>IFERROR(Table7[[#This Row],[United States 10y]]-Table7[[#This Row],[United States 3y]],#N/A)</f>
        <v/>
      </c>
    </row>
    <row r="1435">
      <c r="A1435" s="6">
        <f>Database!$A3520</f>
        <v/>
      </c>
      <c r="B1435">
        <f>IF(VLOOKUP(Table7[[#This Row],[Date]],Database!$A:$C,MATCH($B$1,Database!$A$1:$C$1,),)=0,#N/A,VLOOKUP(Table7[[#This Row],[Date]],Database!$A:$C,MATCH($B$1,Database!$A$1:$C$1,),))</f>
        <v/>
      </c>
      <c r="C1435">
        <f>IF(VLOOKUP(Table7[[#This Row],[Date]],Database!$A:$C,MATCH($C$1,Database!$A$1:$C$1,),)=0,#N/A,VLOOKUP(Table7[[#This Row],[Date]],Database!$A:$C,MATCH($C$1,Database!$A$1:$C$1,),))</f>
        <v/>
      </c>
      <c r="D1435">
        <f>IFERROR(Table7[[#This Row],[United States 10y]]-Table7[[#This Row],[United States 3y]],#N/A)</f>
        <v/>
      </c>
    </row>
    <row r="1436">
      <c r="A1436" s="6">
        <f>Database!$A3521</f>
        <v/>
      </c>
      <c r="B1436">
        <f>IF(VLOOKUP(Table7[[#This Row],[Date]],Database!$A:$C,MATCH($B$1,Database!$A$1:$C$1,),)=0,#N/A,VLOOKUP(Table7[[#This Row],[Date]],Database!$A:$C,MATCH($B$1,Database!$A$1:$C$1,),))</f>
        <v/>
      </c>
      <c r="C1436">
        <f>IF(VLOOKUP(Table7[[#This Row],[Date]],Database!$A:$C,MATCH($C$1,Database!$A$1:$C$1,),)=0,#N/A,VLOOKUP(Table7[[#This Row],[Date]],Database!$A:$C,MATCH($C$1,Database!$A$1:$C$1,),))</f>
        <v/>
      </c>
      <c r="D1436">
        <f>IFERROR(Table7[[#This Row],[United States 10y]]-Table7[[#This Row],[United States 3y]],#N/A)</f>
        <v/>
      </c>
    </row>
    <row r="1437">
      <c r="A1437" s="6">
        <f>Database!$A3522</f>
        <v/>
      </c>
      <c r="B1437">
        <f>IF(VLOOKUP(Table7[[#This Row],[Date]],Database!$A:$C,MATCH($B$1,Database!$A$1:$C$1,),)=0,#N/A,VLOOKUP(Table7[[#This Row],[Date]],Database!$A:$C,MATCH($B$1,Database!$A$1:$C$1,),))</f>
        <v/>
      </c>
      <c r="C1437">
        <f>IF(VLOOKUP(Table7[[#This Row],[Date]],Database!$A:$C,MATCH($C$1,Database!$A$1:$C$1,),)=0,#N/A,VLOOKUP(Table7[[#This Row],[Date]],Database!$A:$C,MATCH($C$1,Database!$A$1:$C$1,),))</f>
        <v/>
      </c>
      <c r="D1437">
        <f>IFERROR(Table7[[#This Row],[United States 10y]]-Table7[[#This Row],[United States 3y]],#N/A)</f>
        <v/>
      </c>
    </row>
    <row r="1438">
      <c r="A1438" s="6">
        <f>Database!$A3523</f>
        <v/>
      </c>
      <c r="B1438">
        <f>IF(VLOOKUP(Table7[[#This Row],[Date]],Database!$A:$C,MATCH($B$1,Database!$A$1:$C$1,),)=0,#N/A,VLOOKUP(Table7[[#This Row],[Date]],Database!$A:$C,MATCH($B$1,Database!$A$1:$C$1,),))</f>
        <v/>
      </c>
      <c r="C1438">
        <f>IF(VLOOKUP(Table7[[#This Row],[Date]],Database!$A:$C,MATCH($C$1,Database!$A$1:$C$1,),)=0,#N/A,VLOOKUP(Table7[[#This Row],[Date]],Database!$A:$C,MATCH($C$1,Database!$A$1:$C$1,),))</f>
        <v/>
      </c>
      <c r="D1438">
        <f>IFERROR(Table7[[#This Row],[United States 10y]]-Table7[[#This Row],[United States 3y]],#N/A)</f>
        <v/>
      </c>
    </row>
    <row r="1439">
      <c r="A1439" s="6">
        <f>Database!$A3524</f>
        <v/>
      </c>
      <c r="B1439">
        <f>IF(VLOOKUP(Table7[[#This Row],[Date]],Database!$A:$C,MATCH($B$1,Database!$A$1:$C$1,),)=0,#N/A,VLOOKUP(Table7[[#This Row],[Date]],Database!$A:$C,MATCH($B$1,Database!$A$1:$C$1,),))</f>
        <v/>
      </c>
      <c r="C1439">
        <f>IF(VLOOKUP(Table7[[#This Row],[Date]],Database!$A:$C,MATCH($C$1,Database!$A$1:$C$1,),)=0,#N/A,VLOOKUP(Table7[[#This Row],[Date]],Database!$A:$C,MATCH($C$1,Database!$A$1:$C$1,),))</f>
        <v/>
      </c>
      <c r="D1439">
        <f>IFERROR(Table7[[#This Row],[United States 10y]]-Table7[[#This Row],[United States 3y]],#N/A)</f>
        <v/>
      </c>
    </row>
    <row r="1440">
      <c r="A1440" s="6">
        <f>Database!$A3525</f>
        <v/>
      </c>
      <c r="B1440">
        <f>IF(VLOOKUP(Table7[[#This Row],[Date]],Database!$A:$C,MATCH($B$1,Database!$A$1:$C$1,),)=0,#N/A,VLOOKUP(Table7[[#This Row],[Date]],Database!$A:$C,MATCH($B$1,Database!$A$1:$C$1,),))</f>
        <v/>
      </c>
      <c r="C1440">
        <f>IF(VLOOKUP(Table7[[#This Row],[Date]],Database!$A:$C,MATCH($C$1,Database!$A$1:$C$1,),)=0,#N/A,VLOOKUP(Table7[[#This Row],[Date]],Database!$A:$C,MATCH($C$1,Database!$A$1:$C$1,),))</f>
        <v/>
      </c>
      <c r="D1440">
        <f>IFERROR(Table7[[#This Row],[United States 10y]]-Table7[[#This Row],[United States 3y]],#N/A)</f>
        <v/>
      </c>
    </row>
    <row r="1441">
      <c r="A1441" s="6">
        <f>Database!$A3526</f>
        <v/>
      </c>
      <c r="B1441">
        <f>IF(VLOOKUP(Table7[[#This Row],[Date]],Database!$A:$C,MATCH($B$1,Database!$A$1:$C$1,),)=0,#N/A,VLOOKUP(Table7[[#This Row],[Date]],Database!$A:$C,MATCH($B$1,Database!$A$1:$C$1,),))</f>
        <v/>
      </c>
      <c r="C1441">
        <f>IF(VLOOKUP(Table7[[#This Row],[Date]],Database!$A:$C,MATCH($C$1,Database!$A$1:$C$1,),)=0,#N/A,VLOOKUP(Table7[[#This Row],[Date]],Database!$A:$C,MATCH($C$1,Database!$A$1:$C$1,),))</f>
        <v/>
      </c>
      <c r="D1441">
        <f>IFERROR(Table7[[#This Row],[United States 10y]]-Table7[[#This Row],[United States 3y]],#N/A)</f>
        <v/>
      </c>
    </row>
    <row r="1442">
      <c r="A1442" s="6">
        <f>Database!$A3527</f>
        <v/>
      </c>
      <c r="B1442">
        <f>IF(VLOOKUP(Table7[[#This Row],[Date]],Database!$A:$C,MATCH($B$1,Database!$A$1:$C$1,),)=0,#N/A,VLOOKUP(Table7[[#This Row],[Date]],Database!$A:$C,MATCH($B$1,Database!$A$1:$C$1,),))</f>
        <v/>
      </c>
      <c r="C1442">
        <f>IF(VLOOKUP(Table7[[#This Row],[Date]],Database!$A:$C,MATCH($C$1,Database!$A$1:$C$1,),)=0,#N/A,VLOOKUP(Table7[[#This Row],[Date]],Database!$A:$C,MATCH($C$1,Database!$A$1:$C$1,),))</f>
        <v/>
      </c>
      <c r="D1442">
        <f>IFERROR(Table7[[#This Row],[United States 10y]]-Table7[[#This Row],[United States 3y]],#N/A)</f>
        <v/>
      </c>
    </row>
    <row r="1443">
      <c r="A1443" s="6">
        <f>Database!$A3528</f>
        <v/>
      </c>
      <c r="B1443">
        <f>IF(VLOOKUP(Table7[[#This Row],[Date]],Database!$A:$C,MATCH($B$1,Database!$A$1:$C$1,),)=0,#N/A,VLOOKUP(Table7[[#This Row],[Date]],Database!$A:$C,MATCH($B$1,Database!$A$1:$C$1,),))</f>
        <v/>
      </c>
      <c r="C1443">
        <f>IF(VLOOKUP(Table7[[#This Row],[Date]],Database!$A:$C,MATCH($C$1,Database!$A$1:$C$1,),)=0,#N/A,VLOOKUP(Table7[[#This Row],[Date]],Database!$A:$C,MATCH($C$1,Database!$A$1:$C$1,),))</f>
        <v/>
      </c>
      <c r="D1443">
        <f>IFERROR(Table7[[#This Row],[United States 10y]]-Table7[[#This Row],[United States 3y]],#N/A)</f>
        <v/>
      </c>
    </row>
    <row r="1444">
      <c r="A1444" s="6">
        <f>Database!$A3529</f>
        <v/>
      </c>
      <c r="B1444">
        <f>IF(VLOOKUP(Table7[[#This Row],[Date]],Database!$A:$C,MATCH($B$1,Database!$A$1:$C$1,),)=0,#N/A,VLOOKUP(Table7[[#This Row],[Date]],Database!$A:$C,MATCH($B$1,Database!$A$1:$C$1,),))</f>
        <v/>
      </c>
      <c r="C1444">
        <f>IF(VLOOKUP(Table7[[#This Row],[Date]],Database!$A:$C,MATCH($C$1,Database!$A$1:$C$1,),)=0,#N/A,VLOOKUP(Table7[[#This Row],[Date]],Database!$A:$C,MATCH($C$1,Database!$A$1:$C$1,),))</f>
        <v/>
      </c>
      <c r="D1444">
        <f>IFERROR(Table7[[#This Row],[United States 10y]]-Table7[[#This Row],[United States 3y]],#N/A)</f>
        <v/>
      </c>
    </row>
    <row r="1445">
      <c r="A1445" s="6">
        <f>Database!$A3530</f>
        <v/>
      </c>
      <c r="B1445">
        <f>IF(VLOOKUP(Table7[[#This Row],[Date]],Database!$A:$C,MATCH($B$1,Database!$A$1:$C$1,),)=0,#N/A,VLOOKUP(Table7[[#This Row],[Date]],Database!$A:$C,MATCH($B$1,Database!$A$1:$C$1,),))</f>
        <v/>
      </c>
      <c r="C1445">
        <f>IF(VLOOKUP(Table7[[#This Row],[Date]],Database!$A:$C,MATCH($C$1,Database!$A$1:$C$1,),)=0,#N/A,VLOOKUP(Table7[[#This Row],[Date]],Database!$A:$C,MATCH($C$1,Database!$A$1:$C$1,),))</f>
        <v/>
      </c>
      <c r="D1445">
        <f>IFERROR(Table7[[#This Row],[United States 10y]]-Table7[[#This Row],[United States 3y]],#N/A)</f>
        <v/>
      </c>
    </row>
    <row r="1446">
      <c r="A1446" s="6">
        <f>Database!$A3531</f>
        <v/>
      </c>
      <c r="B1446">
        <f>IF(VLOOKUP(Table7[[#This Row],[Date]],Database!$A:$C,MATCH($B$1,Database!$A$1:$C$1,),)=0,#N/A,VLOOKUP(Table7[[#This Row],[Date]],Database!$A:$C,MATCH($B$1,Database!$A$1:$C$1,),))</f>
        <v/>
      </c>
      <c r="C1446">
        <f>IF(VLOOKUP(Table7[[#This Row],[Date]],Database!$A:$C,MATCH($C$1,Database!$A$1:$C$1,),)=0,#N/A,VLOOKUP(Table7[[#This Row],[Date]],Database!$A:$C,MATCH($C$1,Database!$A$1:$C$1,),))</f>
        <v/>
      </c>
      <c r="D1446">
        <f>IFERROR(Table7[[#This Row],[United States 10y]]-Table7[[#This Row],[United States 3y]],#N/A)</f>
        <v/>
      </c>
    </row>
    <row r="1447">
      <c r="A1447" s="6">
        <f>Database!$A3532</f>
        <v/>
      </c>
      <c r="B1447">
        <f>IF(VLOOKUP(Table7[[#This Row],[Date]],Database!$A:$C,MATCH($B$1,Database!$A$1:$C$1,),)=0,#N/A,VLOOKUP(Table7[[#This Row],[Date]],Database!$A:$C,MATCH($B$1,Database!$A$1:$C$1,),))</f>
        <v/>
      </c>
      <c r="C1447">
        <f>IF(VLOOKUP(Table7[[#This Row],[Date]],Database!$A:$C,MATCH($C$1,Database!$A$1:$C$1,),)=0,#N/A,VLOOKUP(Table7[[#This Row],[Date]],Database!$A:$C,MATCH($C$1,Database!$A$1:$C$1,),))</f>
        <v/>
      </c>
      <c r="D1447">
        <f>IFERROR(Table7[[#This Row],[United States 10y]]-Table7[[#This Row],[United States 3y]],#N/A)</f>
        <v/>
      </c>
    </row>
    <row r="1448">
      <c r="A1448" s="6">
        <f>Database!$A3533</f>
        <v/>
      </c>
      <c r="B1448">
        <f>IF(VLOOKUP(Table7[[#This Row],[Date]],Database!$A:$C,MATCH($B$1,Database!$A$1:$C$1,),)=0,#N/A,VLOOKUP(Table7[[#This Row],[Date]],Database!$A:$C,MATCH($B$1,Database!$A$1:$C$1,),))</f>
        <v/>
      </c>
      <c r="C1448">
        <f>IF(VLOOKUP(Table7[[#This Row],[Date]],Database!$A:$C,MATCH($C$1,Database!$A$1:$C$1,),)=0,#N/A,VLOOKUP(Table7[[#This Row],[Date]],Database!$A:$C,MATCH($C$1,Database!$A$1:$C$1,),))</f>
        <v/>
      </c>
      <c r="D1448">
        <f>IFERROR(Table7[[#This Row],[United States 10y]]-Table7[[#This Row],[United States 3y]],#N/A)</f>
        <v/>
      </c>
    </row>
    <row r="1449">
      <c r="A1449" s="6">
        <f>Database!$A3534</f>
        <v/>
      </c>
      <c r="B1449">
        <f>IF(VLOOKUP(Table7[[#This Row],[Date]],Database!$A:$C,MATCH($B$1,Database!$A$1:$C$1,),)=0,#N/A,VLOOKUP(Table7[[#This Row],[Date]],Database!$A:$C,MATCH($B$1,Database!$A$1:$C$1,),))</f>
        <v/>
      </c>
      <c r="C1449">
        <f>IF(VLOOKUP(Table7[[#This Row],[Date]],Database!$A:$C,MATCH($C$1,Database!$A$1:$C$1,),)=0,#N/A,VLOOKUP(Table7[[#This Row],[Date]],Database!$A:$C,MATCH($C$1,Database!$A$1:$C$1,),))</f>
        <v/>
      </c>
      <c r="D1449">
        <f>IFERROR(Table7[[#This Row],[United States 10y]]-Table7[[#This Row],[United States 3y]],#N/A)</f>
        <v/>
      </c>
    </row>
    <row r="1450">
      <c r="A1450" s="6">
        <f>Database!$A3535</f>
        <v/>
      </c>
      <c r="B1450">
        <f>IF(VLOOKUP(Table7[[#This Row],[Date]],Database!$A:$C,MATCH($B$1,Database!$A$1:$C$1,),)=0,#N/A,VLOOKUP(Table7[[#This Row],[Date]],Database!$A:$C,MATCH($B$1,Database!$A$1:$C$1,),))</f>
        <v/>
      </c>
      <c r="C1450">
        <f>IF(VLOOKUP(Table7[[#This Row],[Date]],Database!$A:$C,MATCH($C$1,Database!$A$1:$C$1,),)=0,#N/A,VLOOKUP(Table7[[#This Row],[Date]],Database!$A:$C,MATCH($C$1,Database!$A$1:$C$1,),))</f>
        <v/>
      </c>
      <c r="D1450">
        <f>IFERROR(Table7[[#This Row],[United States 10y]]-Table7[[#This Row],[United States 3y]],#N/A)</f>
        <v/>
      </c>
    </row>
    <row r="1451">
      <c r="A1451" s="6">
        <f>Database!$A3536</f>
        <v/>
      </c>
      <c r="B1451">
        <f>IF(VLOOKUP(Table7[[#This Row],[Date]],Database!$A:$C,MATCH($B$1,Database!$A$1:$C$1,),)=0,#N/A,VLOOKUP(Table7[[#This Row],[Date]],Database!$A:$C,MATCH($B$1,Database!$A$1:$C$1,),))</f>
        <v/>
      </c>
      <c r="C1451">
        <f>IF(VLOOKUP(Table7[[#This Row],[Date]],Database!$A:$C,MATCH($C$1,Database!$A$1:$C$1,),)=0,#N/A,VLOOKUP(Table7[[#This Row],[Date]],Database!$A:$C,MATCH($C$1,Database!$A$1:$C$1,),))</f>
        <v/>
      </c>
      <c r="D1451">
        <f>IFERROR(Table7[[#This Row],[United States 10y]]-Table7[[#This Row],[United States 3y]],#N/A)</f>
        <v/>
      </c>
    </row>
    <row r="1452">
      <c r="A1452" s="6">
        <f>Database!$A3537</f>
        <v/>
      </c>
      <c r="B1452">
        <f>IF(VLOOKUP(Table7[[#This Row],[Date]],Database!$A:$C,MATCH($B$1,Database!$A$1:$C$1,),)=0,#N/A,VLOOKUP(Table7[[#This Row],[Date]],Database!$A:$C,MATCH($B$1,Database!$A$1:$C$1,),))</f>
        <v/>
      </c>
      <c r="C1452">
        <f>IF(VLOOKUP(Table7[[#This Row],[Date]],Database!$A:$C,MATCH($C$1,Database!$A$1:$C$1,),)=0,#N/A,VLOOKUP(Table7[[#This Row],[Date]],Database!$A:$C,MATCH($C$1,Database!$A$1:$C$1,),))</f>
        <v/>
      </c>
      <c r="D1452">
        <f>IFERROR(Table7[[#This Row],[United States 10y]]-Table7[[#This Row],[United States 3y]],#N/A)</f>
        <v/>
      </c>
    </row>
    <row r="1453">
      <c r="A1453" s="6">
        <f>Database!$A3538</f>
        <v/>
      </c>
      <c r="B1453">
        <f>IF(VLOOKUP(Table7[[#This Row],[Date]],Database!$A:$C,MATCH($B$1,Database!$A$1:$C$1,),)=0,#N/A,VLOOKUP(Table7[[#This Row],[Date]],Database!$A:$C,MATCH($B$1,Database!$A$1:$C$1,),))</f>
        <v/>
      </c>
      <c r="C1453">
        <f>IF(VLOOKUP(Table7[[#This Row],[Date]],Database!$A:$C,MATCH($C$1,Database!$A$1:$C$1,),)=0,#N/A,VLOOKUP(Table7[[#This Row],[Date]],Database!$A:$C,MATCH($C$1,Database!$A$1:$C$1,),))</f>
        <v/>
      </c>
      <c r="D1453">
        <f>IFERROR(Table7[[#This Row],[United States 10y]]-Table7[[#This Row],[United States 3y]],#N/A)</f>
        <v/>
      </c>
    </row>
    <row r="1454">
      <c r="A1454" s="6">
        <f>Database!$A3539</f>
        <v/>
      </c>
      <c r="B1454">
        <f>IF(VLOOKUP(Table7[[#This Row],[Date]],Database!$A:$C,MATCH($B$1,Database!$A$1:$C$1,),)=0,#N/A,VLOOKUP(Table7[[#This Row],[Date]],Database!$A:$C,MATCH($B$1,Database!$A$1:$C$1,),))</f>
        <v/>
      </c>
      <c r="C1454">
        <f>IF(VLOOKUP(Table7[[#This Row],[Date]],Database!$A:$C,MATCH($C$1,Database!$A$1:$C$1,),)=0,#N/A,VLOOKUP(Table7[[#This Row],[Date]],Database!$A:$C,MATCH($C$1,Database!$A$1:$C$1,),))</f>
        <v/>
      </c>
      <c r="D1454">
        <f>IFERROR(Table7[[#This Row],[United States 10y]]-Table7[[#This Row],[United States 3y]],#N/A)</f>
        <v/>
      </c>
    </row>
    <row r="1455">
      <c r="A1455" s="6">
        <f>Database!$A3540</f>
        <v/>
      </c>
      <c r="B1455">
        <f>IF(VLOOKUP(Table7[[#This Row],[Date]],Database!$A:$C,MATCH($B$1,Database!$A$1:$C$1,),)=0,#N/A,VLOOKUP(Table7[[#This Row],[Date]],Database!$A:$C,MATCH($B$1,Database!$A$1:$C$1,),))</f>
        <v/>
      </c>
      <c r="C1455">
        <f>IF(VLOOKUP(Table7[[#This Row],[Date]],Database!$A:$C,MATCH($C$1,Database!$A$1:$C$1,),)=0,#N/A,VLOOKUP(Table7[[#This Row],[Date]],Database!$A:$C,MATCH($C$1,Database!$A$1:$C$1,),))</f>
        <v/>
      </c>
      <c r="D1455">
        <f>IFERROR(Table7[[#This Row],[United States 10y]]-Table7[[#This Row],[United States 3y]],#N/A)</f>
        <v/>
      </c>
    </row>
    <row r="1456">
      <c r="A1456" s="6">
        <f>Database!$A3541</f>
        <v/>
      </c>
      <c r="B1456">
        <f>IF(VLOOKUP(Table7[[#This Row],[Date]],Database!$A:$C,MATCH($B$1,Database!$A$1:$C$1,),)=0,#N/A,VLOOKUP(Table7[[#This Row],[Date]],Database!$A:$C,MATCH($B$1,Database!$A$1:$C$1,),))</f>
        <v/>
      </c>
      <c r="C1456">
        <f>IF(VLOOKUP(Table7[[#This Row],[Date]],Database!$A:$C,MATCH($C$1,Database!$A$1:$C$1,),)=0,#N/A,VLOOKUP(Table7[[#This Row],[Date]],Database!$A:$C,MATCH($C$1,Database!$A$1:$C$1,),))</f>
        <v/>
      </c>
      <c r="D1456">
        <f>IFERROR(Table7[[#This Row],[United States 10y]]-Table7[[#This Row],[United States 3y]],#N/A)</f>
        <v/>
      </c>
    </row>
    <row r="1457">
      <c r="A1457" s="6">
        <f>Database!$A3542</f>
        <v/>
      </c>
      <c r="B1457">
        <f>IF(VLOOKUP(Table7[[#This Row],[Date]],Database!$A:$C,MATCH($B$1,Database!$A$1:$C$1,),)=0,#N/A,VLOOKUP(Table7[[#This Row],[Date]],Database!$A:$C,MATCH($B$1,Database!$A$1:$C$1,),))</f>
        <v/>
      </c>
      <c r="C1457">
        <f>IF(VLOOKUP(Table7[[#This Row],[Date]],Database!$A:$C,MATCH($C$1,Database!$A$1:$C$1,),)=0,#N/A,VLOOKUP(Table7[[#This Row],[Date]],Database!$A:$C,MATCH($C$1,Database!$A$1:$C$1,),))</f>
        <v/>
      </c>
      <c r="D1457">
        <f>IFERROR(Table7[[#This Row],[United States 10y]]-Table7[[#This Row],[United States 3y]],#N/A)</f>
        <v/>
      </c>
    </row>
    <row r="1458">
      <c r="A1458" s="6">
        <f>Database!$A3543</f>
        <v/>
      </c>
      <c r="B1458">
        <f>IF(VLOOKUP(Table7[[#This Row],[Date]],Database!$A:$C,MATCH($B$1,Database!$A$1:$C$1,),)=0,#N/A,VLOOKUP(Table7[[#This Row],[Date]],Database!$A:$C,MATCH($B$1,Database!$A$1:$C$1,),))</f>
        <v/>
      </c>
      <c r="C1458">
        <f>IF(VLOOKUP(Table7[[#This Row],[Date]],Database!$A:$C,MATCH($C$1,Database!$A$1:$C$1,),)=0,#N/A,VLOOKUP(Table7[[#This Row],[Date]],Database!$A:$C,MATCH($C$1,Database!$A$1:$C$1,),))</f>
        <v/>
      </c>
      <c r="D1458">
        <f>IFERROR(Table7[[#This Row],[United States 10y]]-Table7[[#This Row],[United States 3y]],#N/A)</f>
        <v/>
      </c>
    </row>
    <row r="1459">
      <c r="A1459" s="6">
        <f>Database!$A3544</f>
        <v/>
      </c>
      <c r="B1459">
        <f>IF(VLOOKUP(Table7[[#This Row],[Date]],Database!$A:$C,MATCH($B$1,Database!$A$1:$C$1,),)=0,#N/A,VLOOKUP(Table7[[#This Row],[Date]],Database!$A:$C,MATCH($B$1,Database!$A$1:$C$1,),))</f>
        <v/>
      </c>
      <c r="C1459">
        <f>IF(VLOOKUP(Table7[[#This Row],[Date]],Database!$A:$C,MATCH($C$1,Database!$A$1:$C$1,),)=0,#N/A,VLOOKUP(Table7[[#This Row],[Date]],Database!$A:$C,MATCH($C$1,Database!$A$1:$C$1,),))</f>
        <v/>
      </c>
      <c r="D1459">
        <f>IFERROR(Table7[[#This Row],[United States 10y]]-Table7[[#This Row],[United States 3y]],#N/A)</f>
        <v/>
      </c>
    </row>
    <row r="1460">
      <c r="A1460" s="6">
        <f>Database!$A3545</f>
        <v/>
      </c>
      <c r="B1460">
        <f>IF(VLOOKUP(Table7[[#This Row],[Date]],Database!$A:$C,MATCH($B$1,Database!$A$1:$C$1,),)=0,#N/A,VLOOKUP(Table7[[#This Row],[Date]],Database!$A:$C,MATCH($B$1,Database!$A$1:$C$1,),))</f>
        <v/>
      </c>
      <c r="C1460">
        <f>IF(VLOOKUP(Table7[[#This Row],[Date]],Database!$A:$C,MATCH($C$1,Database!$A$1:$C$1,),)=0,#N/A,VLOOKUP(Table7[[#This Row],[Date]],Database!$A:$C,MATCH($C$1,Database!$A$1:$C$1,),))</f>
        <v/>
      </c>
      <c r="D1460">
        <f>IFERROR(Table7[[#This Row],[United States 10y]]-Table7[[#This Row],[United States 3y]],#N/A)</f>
        <v/>
      </c>
    </row>
    <row r="1461">
      <c r="A1461" s="6">
        <f>Database!$A3546</f>
        <v/>
      </c>
      <c r="B1461">
        <f>IF(VLOOKUP(Table7[[#This Row],[Date]],Database!$A:$C,MATCH($B$1,Database!$A$1:$C$1,),)=0,#N/A,VLOOKUP(Table7[[#This Row],[Date]],Database!$A:$C,MATCH($B$1,Database!$A$1:$C$1,),))</f>
        <v/>
      </c>
      <c r="C1461">
        <f>IF(VLOOKUP(Table7[[#This Row],[Date]],Database!$A:$C,MATCH($C$1,Database!$A$1:$C$1,),)=0,#N/A,VLOOKUP(Table7[[#This Row],[Date]],Database!$A:$C,MATCH($C$1,Database!$A$1:$C$1,),))</f>
        <v/>
      </c>
      <c r="D1461">
        <f>IFERROR(Table7[[#This Row],[United States 10y]]-Table7[[#This Row],[United States 3y]],#N/A)</f>
        <v/>
      </c>
    </row>
    <row r="1462">
      <c r="A1462" s="6">
        <f>Database!$A3547</f>
        <v/>
      </c>
      <c r="B1462">
        <f>IF(VLOOKUP(Table7[[#This Row],[Date]],Database!$A:$C,MATCH($B$1,Database!$A$1:$C$1,),)=0,#N/A,VLOOKUP(Table7[[#This Row],[Date]],Database!$A:$C,MATCH($B$1,Database!$A$1:$C$1,),))</f>
        <v/>
      </c>
      <c r="C1462">
        <f>IF(VLOOKUP(Table7[[#This Row],[Date]],Database!$A:$C,MATCH($C$1,Database!$A$1:$C$1,),)=0,#N/A,VLOOKUP(Table7[[#This Row],[Date]],Database!$A:$C,MATCH($C$1,Database!$A$1:$C$1,),))</f>
        <v/>
      </c>
      <c r="D1462">
        <f>IFERROR(Table7[[#This Row],[United States 10y]]-Table7[[#This Row],[United States 3y]],#N/A)</f>
        <v/>
      </c>
    </row>
    <row r="1463">
      <c r="A1463" s="6">
        <f>Database!$A3548</f>
        <v/>
      </c>
      <c r="B1463">
        <f>IF(VLOOKUP(Table7[[#This Row],[Date]],Database!$A:$C,MATCH($B$1,Database!$A$1:$C$1,),)=0,#N/A,VLOOKUP(Table7[[#This Row],[Date]],Database!$A:$C,MATCH($B$1,Database!$A$1:$C$1,),))</f>
        <v/>
      </c>
      <c r="C1463">
        <f>IF(VLOOKUP(Table7[[#This Row],[Date]],Database!$A:$C,MATCH($C$1,Database!$A$1:$C$1,),)=0,#N/A,VLOOKUP(Table7[[#This Row],[Date]],Database!$A:$C,MATCH($C$1,Database!$A$1:$C$1,),))</f>
        <v/>
      </c>
      <c r="D1463">
        <f>IFERROR(Table7[[#This Row],[United States 10y]]-Table7[[#This Row],[United States 3y]],#N/A)</f>
        <v/>
      </c>
    </row>
    <row r="1464">
      <c r="A1464" s="6">
        <f>Database!$A3549</f>
        <v/>
      </c>
      <c r="B1464">
        <f>IF(VLOOKUP(Table7[[#This Row],[Date]],Database!$A:$C,MATCH($B$1,Database!$A$1:$C$1,),)=0,#N/A,VLOOKUP(Table7[[#This Row],[Date]],Database!$A:$C,MATCH($B$1,Database!$A$1:$C$1,),))</f>
        <v/>
      </c>
      <c r="C1464">
        <f>IF(VLOOKUP(Table7[[#This Row],[Date]],Database!$A:$C,MATCH($C$1,Database!$A$1:$C$1,),)=0,#N/A,VLOOKUP(Table7[[#This Row],[Date]],Database!$A:$C,MATCH($C$1,Database!$A$1:$C$1,),))</f>
        <v/>
      </c>
      <c r="D1464">
        <f>IFERROR(Table7[[#This Row],[United States 10y]]-Table7[[#This Row],[United States 3y]],#N/A)</f>
        <v/>
      </c>
    </row>
    <row r="1465">
      <c r="A1465" s="6">
        <f>Database!$A3550</f>
        <v/>
      </c>
      <c r="B1465">
        <f>IF(VLOOKUP(Table7[[#This Row],[Date]],Database!$A:$C,MATCH($B$1,Database!$A$1:$C$1,),)=0,#N/A,VLOOKUP(Table7[[#This Row],[Date]],Database!$A:$C,MATCH($B$1,Database!$A$1:$C$1,),))</f>
        <v/>
      </c>
      <c r="C1465">
        <f>IF(VLOOKUP(Table7[[#This Row],[Date]],Database!$A:$C,MATCH($C$1,Database!$A$1:$C$1,),)=0,#N/A,VLOOKUP(Table7[[#This Row],[Date]],Database!$A:$C,MATCH($C$1,Database!$A$1:$C$1,),))</f>
        <v/>
      </c>
      <c r="D1465">
        <f>IFERROR(Table7[[#This Row],[United States 10y]]-Table7[[#This Row],[United States 3y]],#N/A)</f>
        <v/>
      </c>
    </row>
    <row r="1466">
      <c r="A1466" s="6">
        <f>Database!$A3551</f>
        <v/>
      </c>
      <c r="B1466">
        <f>IF(VLOOKUP(Table7[[#This Row],[Date]],Database!$A:$C,MATCH($B$1,Database!$A$1:$C$1,),)=0,#N/A,VLOOKUP(Table7[[#This Row],[Date]],Database!$A:$C,MATCH($B$1,Database!$A$1:$C$1,),))</f>
        <v/>
      </c>
      <c r="C1466">
        <f>IF(VLOOKUP(Table7[[#This Row],[Date]],Database!$A:$C,MATCH($C$1,Database!$A$1:$C$1,),)=0,#N/A,VLOOKUP(Table7[[#This Row],[Date]],Database!$A:$C,MATCH($C$1,Database!$A$1:$C$1,),))</f>
        <v/>
      </c>
      <c r="D1466">
        <f>IFERROR(Table7[[#This Row],[United States 10y]]-Table7[[#This Row],[United States 3y]],#N/A)</f>
        <v/>
      </c>
    </row>
    <row r="1467">
      <c r="A1467" s="6">
        <f>Database!$A3552</f>
        <v/>
      </c>
      <c r="B1467">
        <f>IF(VLOOKUP(Table7[[#This Row],[Date]],Database!$A:$C,MATCH($B$1,Database!$A$1:$C$1,),)=0,#N/A,VLOOKUP(Table7[[#This Row],[Date]],Database!$A:$C,MATCH($B$1,Database!$A$1:$C$1,),))</f>
        <v/>
      </c>
      <c r="C1467">
        <f>IF(VLOOKUP(Table7[[#This Row],[Date]],Database!$A:$C,MATCH($C$1,Database!$A$1:$C$1,),)=0,#N/A,VLOOKUP(Table7[[#This Row],[Date]],Database!$A:$C,MATCH($C$1,Database!$A$1:$C$1,),))</f>
        <v/>
      </c>
      <c r="D1467">
        <f>IFERROR(Table7[[#This Row],[United States 10y]]-Table7[[#This Row],[United States 3y]],#N/A)</f>
        <v/>
      </c>
    </row>
    <row r="1468">
      <c r="A1468" s="6">
        <f>Database!$A3553</f>
        <v/>
      </c>
      <c r="B1468">
        <f>IF(VLOOKUP(Table7[[#This Row],[Date]],Database!$A:$C,MATCH($B$1,Database!$A$1:$C$1,),)=0,#N/A,VLOOKUP(Table7[[#This Row],[Date]],Database!$A:$C,MATCH($B$1,Database!$A$1:$C$1,),))</f>
        <v/>
      </c>
      <c r="C1468">
        <f>IF(VLOOKUP(Table7[[#This Row],[Date]],Database!$A:$C,MATCH($C$1,Database!$A$1:$C$1,),)=0,#N/A,VLOOKUP(Table7[[#This Row],[Date]],Database!$A:$C,MATCH($C$1,Database!$A$1:$C$1,),))</f>
        <v/>
      </c>
      <c r="D1468">
        <f>IFERROR(Table7[[#This Row],[United States 10y]]-Table7[[#This Row],[United States 3y]],#N/A)</f>
        <v/>
      </c>
    </row>
    <row r="1469">
      <c r="A1469" s="6">
        <f>Database!$A3554</f>
        <v/>
      </c>
      <c r="B1469">
        <f>IF(VLOOKUP(Table7[[#This Row],[Date]],Database!$A:$C,MATCH($B$1,Database!$A$1:$C$1,),)=0,#N/A,VLOOKUP(Table7[[#This Row],[Date]],Database!$A:$C,MATCH($B$1,Database!$A$1:$C$1,),))</f>
        <v/>
      </c>
      <c r="C1469">
        <f>IF(VLOOKUP(Table7[[#This Row],[Date]],Database!$A:$C,MATCH($C$1,Database!$A$1:$C$1,),)=0,#N/A,VLOOKUP(Table7[[#This Row],[Date]],Database!$A:$C,MATCH($C$1,Database!$A$1:$C$1,),))</f>
        <v/>
      </c>
      <c r="D1469">
        <f>IFERROR(Table7[[#This Row],[United States 10y]]-Table7[[#This Row],[United States 3y]],#N/A)</f>
        <v/>
      </c>
    </row>
    <row r="1470">
      <c r="A1470" s="6">
        <f>Database!$A3555</f>
        <v/>
      </c>
      <c r="B1470">
        <f>IF(VLOOKUP(Table7[[#This Row],[Date]],Database!$A:$C,MATCH($B$1,Database!$A$1:$C$1,),)=0,#N/A,VLOOKUP(Table7[[#This Row],[Date]],Database!$A:$C,MATCH($B$1,Database!$A$1:$C$1,),))</f>
        <v/>
      </c>
      <c r="C1470">
        <f>IF(VLOOKUP(Table7[[#This Row],[Date]],Database!$A:$C,MATCH($C$1,Database!$A$1:$C$1,),)=0,#N/A,VLOOKUP(Table7[[#This Row],[Date]],Database!$A:$C,MATCH($C$1,Database!$A$1:$C$1,),))</f>
        <v/>
      </c>
      <c r="D1470">
        <f>IFERROR(Table7[[#This Row],[United States 10y]]-Table7[[#This Row],[United States 3y]],#N/A)</f>
        <v/>
      </c>
    </row>
    <row r="1471">
      <c r="A1471" s="6">
        <f>Database!$A3556</f>
        <v/>
      </c>
      <c r="B1471">
        <f>IF(VLOOKUP(Table7[[#This Row],[Date]],Database!$A:$C,MATCH($B$1,Database!$A$1:$C$1,),)=0,#N/A,VLOOKUP(Table7[[#This Row],[Date]],Database!$A:$C,MATCH($B$1,Database!$A$1:$C$1,),))</f>
        <v/>
      </c>
      <c r="C1471">
        <f>IF(VLOOKUP(Table7[[#This Row],[Date]],Database!$A:$C,MATCH($C$1,Database!$A$1:$C$1,),)=0,#N/A,VLOOKUP(Table7[[#This Row],[Date]],Database!$A:$C,MATCH($C$1,Database!$A$1:$C$1,),))</f>
        <v/>
      </c>
      <c r="D1471">
        <f>IFERROR(Table7[[#This Row],[United States 10y]]-Table7[[#This Row],[United States 3y]],#N/A)</f>
        <v/>
      </c>
    </row>
    <row r="1472">
      <c r="A1472" s="6">
        <f>Database!$A3557</f>
        <v/>
      </c>
      <c r="B1472">
        <f>IF(VLOOKUP(Table7[[#This Row],[Date]],Database!$A:$C,MATCH($B$1,Database!$A$1:$C$1,),)=0,#N/A,VLOOKUP(Table7[[#This Row],[Date]],Database!$A:$C,MATCH($B$1,Database!$A$1:$C$1,),))</f>
        <v/>
      </c>
      <c r="C1472">
        <f>IF(VLOOKUP(Table7[[#This Row],[Date]],Database!$A:$C,MATCH($C$1,Database!$A$1:$C$1,),)=0,#N/A,VLOOKUP(Table7[[#This Row],[Date]],Database!$A:$C,MATCH($C$1,Database!$A$1:$C$1,),))</f>
        <v/>
      </c>
      <c r="D1472">
        <f>IFERROR(Table7[[#This Row],[United States 10y]]-Table7[[#This Row],[United States 3y]],#N/A)</f>
        <v/>
      </c>
    </row>
    <row r="1473">
      <c r="A1473" s="6">
        <f>Database!$A3558</f>
        <v/>
      </c>
      <c r="B1473">
        <f>IF(VLOOKUP(Table7[[#This Row],[Date]],Database!$A:$C,MATCH($B$1,Database!$A$1:$C$1,),)=0,#N/A,VLOOKUP(Table7[[#This Row],[Date]],Database!$A:$C,MATCH($B$1,Database!$A$1:$C$1,),))</f>
        <v/>
      </c>
      <c r="C1473">
        <f>IF(VLOOKUP(Table7[[#This Row],[Date]],Database!$A:$C,MATCH($C$1,Database!$A$1:$C$1,),)=0,#N/A,VLOOKUP(Table7[[#This Row],[Date]],Database!$A:$C,MATCH($C$1,Database!$A$1:$C$1,),))</f>
        <v/>
      </c>
      <c r="D1473">
        <f>IFERROR(Table7[[#This Row],[United States 10y]]-Table7[[#This Row],[United States 3y]],#N/A)</f>
        <v/>
      </c>
    </row>
    <row r="1474">
      <c r="A1474" s="6">
        <f>Database!$A3559</f>
        <v/>
      </c>
      <c r="B1474">
        <f>IF(VLOOKUP(Table7[[#This Row],[Date]],Database!$A:$C,MATCH($B$1,Database!$A$1:$C$1,),)=0,#N/A,VLOOKUP(Table7[[#This Row],[Date]],Database!$A:$C,MATCH($B$1,Database!$A$1:$C$1,),))</f>
        <v/>
      </c>
      <c r="C1474">
        <f>IF(VLOOKUP(Table7[[#This Row],[Date]],Database!$A:$C,MATCH($C$1,Database!$A$1:$C$1,),)=0,#N/A,VLOOKUP(Table7[[#This Row],[Date]],Database!$A:$C,MATCH($C$1,Database!$A$1:$C$1,),))</f>
        <v/>
      </c>
      <c r="D1474">
        <f>IFERROR(Table7[[#This Row],[United States 10y]]-Table7[[#This Row],[United States 3y]],#N/A)</f>
        <v/>
      </c>
    </row>
    <row r="1475">
      <c r="A1475" s="6">
        <f>Database!$A3560</f>
        <v/>
      </c>
      <c r="B1475">
        <f>IF(VLOOKUP(Table7[[#This Row],[Date]],Database!$A:$C,MATCH($B$1,Database!$A$1:$C$1,),)=0,#N/A,VLOOKUP(Table7[[#This Row],[Date]],Database!$A:$C,MATCH($B$1,Database!$A$1:$C$1,),))</f>
        <v/>
      </c>
      <c r="C1475">
        <f>IF(VLOOKUP(Table7[[#This Row],[Date]],Database!$A:$C,MATCH($C$1,Database!$A$1:$C$1,),)=0,#N/A,VLOOKUP(Table7[[#This Row],[Date]],Database!$A:$C,MATCH($C$1,Database!$A$1:$C$1,),))</f>
        <v/>
      </c>
      <c r="D1475">
        <f>IFERROR(Table7[[#This Row],[United States 10y]]-Table7[[#This Row],[United States 3y]],#N/A)</f>
        <v/>
      </c>
    </row>
    <row r="1476">
      <c r="A1476" s="6">
        <f>Database!$A3561</f>
        <v/>
      </c>
      <c r="B1476">
        <f>IF(VLOOKUP(Table7[[#This Row],[Date]],Database!$A:$C,MATCH($B$1,Database!$A$1:$C$1,),)=0,#N/A,VLOOKUP(Table7[[#This Row],[Date]],Database!$A:$C,MATCH($B$1,Database!$A$1:$C$1,),))</f>
        <v/>
      </c>
      <c r="C1476">
        <f>IF(VLOOKUP(Table7[[#This Row],[Date]],Database!$A:$C,MATCH($C$1,Database!$A$1:$C$1,),)=0,#N/A,VLOOKUP(Table7[[#This Row],[Date]],Database!$A:$C,MATCH($C$1,Database!$A$1:$C$1,),))</f>
        <v/>
      </c>
      <c r="D1476">
        <f>IFERROR(Table7[[#This Row],[United States 10y]]-Table7[[#This Row],[United States 3y]],#N/A)</f>
        <v/>
      </c>
    </row>
    <row r="1477">
      <c r="A1477" s="6">
        <f>Database!$A3562</f>
        <v/>
      </c>
      <c r="B1477">
        <f>IF(VLOOKUP(Table7[[#This Row],[Date]],Database!$A:$C,MATCH($B$1,Database!$A$1:$C$1,),)=0,#N/A,VLOOKUP(Table7[[#This Row],[Date]],Database!$A:$C,MATCH($B$1,Database!$A$1:$C$1,),))</f>
        <v/>
      </c>
      <c r="C1477">
        <f>IF(VLOOKUP(Table7[[#This Row],[Date]],Database!$A:$C,MATCH($C$1,Database!$A$1:$C$1,),)=0,#N/A,VLOOKUP(Table7[[#This Row],[Date]],Database!$A:$C,MATCH($C$1,Database!$A$1:$C$1,),))</f>
        <v/>
      </c>
      <c r="D1477">
        <f>IFERROR(Table7[[#This Row],[United States 10y]]-Table7[[#This Row],[United States 3y]],#N/A)</f>
        <v/>
      </c>
    </row>
    <row r="1478">
      <c r="A1478" s="6">
        <f>Database!$A3563</f>
        <v/>
      </c>
      <c r="B1478">
        <f>IF(VLOOKUP(Table7[[#This Row],[Date]],Database!$A:$C,MATCH($B$1,Database!$A$1:$C$1,),)=0,#N/A,VLOOKUP(Table7[[#This Row],[Date]],Database!$A:$C,MATCH($B$1,Database!$A$1:$C$1,),))</f>
        <v/>
      </c>
      <c r="C1478">
        <f>IF(VLOOKUP(Table7[[#This Row],[Date]],Database!$A:$C,MATCH($C$1,Database!$A$1:$C$1,),)=0,#N/A,VLOOKUP(Table7[[#This Row],[Date]],Database!$A:$C,MATCH($C$1,Database!$A$1:$C$1,),))</f>
        <v/>
      </c>
      <c r="D1478">
        <f>IFERROR(Table7[[#This Row],[United States 10y]]-Table7[[#This Row],[United States 3y]],#N/A)</f>
        <v/>
      </c>
    </row>
    <row r="1479">
      <c r="A1479" s="6">
        <f>Database!$A3564</f>
        <v/>
      </c>
      <c r="B1479">
        <f>IF(VLOOKUP(Table7[[#This Row],[Date]],Database!$A:$C,MATCH($B$1,Database!$A$1:$C$1,),)=0,#N/A,VLOOKUP(Table7[[#This Row],[Date]],Database!$A:$C,MATCH($B$1,Database!$A$1:$C$1,),))</f>
        <v/>
      </c>
      <c r="C1479">
        <f>IF(VLOOKUP(Table7[[#This Row],[Date]],Database!$A:$C,MATCH($C$1,Database!$A$1:$C$1,),)=0,#N/A,VLOOKUP(Table7[[#This Row],[Date]],Database!$A:$C,MATCH($C$1,Database!$A$1:$C$1,),))</f>
        <v/>
      </c>
      <c r="D1479">
        <f>IFERROR(Table7[[#This Row],[United States 10y]]-Table7[[#This Row],[United States 3y]],#N/A)</f>
        <v/>
      </c>
    </row>
    <row r="1480">
      <c r="A1480" s="6">
        <f>Database!$A3565</f>
        <v/>
      </c>
      <c r="B1480">
        <f>IF(VLOOKUP(Table7[[#This Row],[Date]],Database!$A:$C,MATCH($B$1,Database!$A$1:$C$1,),)=0,#N/A,VLOOKUP(Table7[[#This Row],[Date]],Database!$A:$C,MATCH($B$1,Database!$A$1:$C$1,),))</f>
        <v/>
      </c>
      <c r="C1480">
        <f>IF(VLOOKUP(Table7[[#This Row],[Date]],Database!$A:$C,MATCH($C$1,Database!$A$1:$C$1,),)=0,#N/A,VLOOKUP(Table7[[#This Row],[Date]],Database!$A:$C,MATCH($C$1,Database!$A$1:$C$1,),))</f>
        <v/>
      </c>
      <c r="D1480">
        <f>IFERROR(Table7[[#This Row],[United States 10y]]-Table7[[#This Row],[United States 3y]],#N/A)</f>
        <v/>
      </c>
    </row>
    <row r="1481">
      <c r="A1481" s="6">
        <f>Database!$A3566</f>
        <v/>
      </c>
      <c r="B1481">
        <f>IF(VLOOKUP(Table7[[#This Row],[Date]],Database!$A:$C,MATCH($B$1,Database!$A$1:$C$1,),)=0,#N/A,VLOOKUP(Table7[[#This Row],[Date]],Database!$A:$C,MATCH($B$1,Database!$A$1:$C$1,),))</f>
        <v/>
      </c>
      <c r="C1481">
        <f>IF(VLOOKUP(Table7[[#This Row],[Date]],Database!$A:$C,MATCH($C$1,Database!$A$1:$C$1,),)=0,#N/A,VLOOKUP(Table7[[#This Row],[Date]],Database!$A:$C,MATCH($C$1,Database!$A$1:$C$1,),))</f>
        <v/>
      </c>
      <c r="D1481">
        <f>IFERROR(Table7[[#This Row],[United States 10y]]-Table7[[#This Row],[United States 3y]],#N/A)</f>
        <v/>
      </c>
    </row>
    <row r="1482">
      <c r="A1482" s="6">
        <f>Database!$A3567</f>
        <v/>
      </c>
      <c r="B1482">
        <f>IF(VLOOKUP(Table7[[#This Row],[Date]],Database!$A:$C,MATCH($B$1,Database!$A$1:$C$1,),)=0,#N/A,VLOOKUP(Table7[[#This Row],[Date]],Database!$A:$C,MATCH($B$1,Database!$A$1:$C$1,),))</f>
        <v/>
      </c>
      <c r="C1482">
        <f>IF(VLOOKUP(Table7[[#This Row],[Date]],Database!$A:$C,MATCH($C$1,Database!$A$1:$C$1,),)=0,#N/A,VLOOKUP(Table7[[#This Row],[Date]],Database!$A:$C,MATCH($C$1,Database!$A$1:$C$1,),))</f>
        <v/>
      </c>
      <c r="D1482">
        <f>IFERROR(Table7[[#This Row],[United States 10y]]-Table7[[#This Row],[United States 3y]],#N/A)</f>
        <v/>
      </c>
    </row>
    <row r="1483">
      <c r="A1483" s="6">
        <f>Database!$A3568</f>
        <v/>
      </c>
      <c r="B1483">
        <f>IF(VLOOKUP(Table7[[#This Row],[Date]],Database!$A:$C,MATCH($B$1,Database!$A$1:$C$1,),)=0,#N/A,VLOOKUP(Table7[[#This Row],[Date]],Database!$A:$C,MATCH($B$1,Database!$A$1:$C$1,),))</f>
        <v/>
      </c>
      <c r="C1483">
        <f>IF(VLOOKUP(Table7[[#This Row],[Date]],Database!$A:$C,MATCH($C$1,Database!$A$1:$C$1,),)=0,#N/A,VLOOKUP(Table7[[#This Row],[Date]],Database!$A:$C,MATCH($C$1,Database!$A$1:$C$1,),))</f>
        <v/>
      </c>
      <c r="D1483">
        <f>IFERROR(Table7[[#This Row],[United States 10y]]-Table7[[#This Row],[United States 3y]],#N/A)</f>
        <v/>
      </c>
    </row>
    <row r="1484">
      <c r="A1484" s="6">
        <f>Database!$A3569</f>
        <v/>
      </c>
      <c r="B1484">
        <f>IF(VLOOKUP(Table7[[#This Row],[Date]],Database!$A:$C,MATCH($B$1,Database!$A$1:$C$1,),)=0,#N/A,VLOOKUP(Table7[[#This Row],[Date]],Database!$A:$C,MATCH($B$1,Database!$A$1:$C$1,),))</f>
        <v/>
      </c>
      <c r="C1484">
        <f>IF(VLOOKUP(Table7[[#This Row],[Date]],Database!$A:$C,MATCH($C$1,Database!$A$1:$C$1,),)=0,#N/A,VLOOKUP(Table7[[#This Row],[Date]],Database!$A:$C,MATCH($C$1,Database!$A$1:$C$1,),))</f>
        <v/>
      </c>
      <c r="D1484">
        <f>IFERROR(Table7[[#This Row],[United States 10y]]-Table7[[#This Row],[United States 3y]],#N/A)</f>
        <v/>
      </c>
    </row>
    <row r="1485">
      <c r="A1485" s="6">
        <f>Database!$A3570</f>
        <v/>
      </c>
      <c r="B1485">
        <f>IF(VLOOKUP(Table7[[#This Row],[Date]],Database!$A:$C,MATCH($B$1,Database!$A$1:$C$1,),)=0,#N/A,VLOOKUP(Table7[[#This Row],[Date]],Database!$A:$C,MATCH($B$1,Database!$A$1:$C$1,),))</f>
        <v/>
      </c>
      <c r="C1485">
        <f>IF(VLOOKUP(Table7[[#This Row],[Date]],Database!$A:$C,MATCH($C$1,Database!$A$1:$C$1,),)=0,#N/A,VLOOKUP(Table7[[#This Row],[Date]],Database!$A:$C,MATCH($C$1,Database!$A$1:$C$1,),))</f>
        <v/>
      </c>
      <c r="D1485">
        <f>IFERROR(Table7[[#This Row],[United States 10y]]-Table7[[#This Row],[United States 3y]],#N/A)</f>
        <v/>
      </c>
    </row>
    <row r="1486">
      <c r="A1486" s="6">
        <f>Database!$A3571</f>
        <v/>
      </c>
      <c r="B1486">
        <f>IF(VLOOKUP(Table7[[#This Row],[Date]],Database!$A:$C,MATCH($B$1,Database!$A$1:$C$1,),)=0,#N/A,VLOOKUP(Table7[[#This Row],[Date]],Database!$A:$C,MATCH($B$1,Database!$A$1:$C$1,),))</f>
        <v/>
      </c>
      <c r="C1486">
        <f>IF(VLOOKUP(Table7[[#This Row],[Date]],Database!$A:$C,MATCH($C$1,Database!$A$1:$C$1,),)=0,#N/A,VLOOKUP(Table7[[#This Row],[Date]],Database!$A:$C,MATCH($C$1,Database!$A$1:$C$1,),))</f>
        <v/>
      </c>
      <c r="D1486">
        <f>IFERROR(Table7[[#This Row],[United States 10y]]-Table7[[#This Row],[United States 3y]],#N/A)</f>
        <v/>
      </c>
    </row>
    <row r="1487">
      <c r="A1487" s="6">
        <f>Database!$A3572</f>
        <v/>
      </c>
      <c r="B1487">
        <f>IF(VLOOKUP(Table7[[#This Row],[Date]],Database!$A:$C,MATCH($B$1,Database!$A$1:$C$1,),)=0,#N/A,VLOOKUP(Table7[[#This Row],[Date]],Database!$A:$C,MATCH($B$1,Database!$A$1:$C$1,),))</f>
        <v/>
      </c>
      <c r="C1487">
        <f>IF(VLOOKUP(Table7[[#This Row],[Date]],Database!$A:$C,MATCH($C$1,Database!$A$1:$C$1,),)=0,#N/A,VLOOKUP(Table7[[#This Row],[Date]],Database!$A:$C,MATCH($C$1,Database!$A$1:$C$1,),))</f>
        <v/>
      </c>
      <c r="D1487">
        <f>IFERROR(Table7[[#This Row],[United States 10y]]-Table7[[#This Row],[United States 3y]],#N/A)</f>
        <v/>
      </c>
    </row>
    <row r="1488">
      <c r="A1488" s="6">
        <f>Database!$A3573</f>
        <v/>
      </c>
      <c r="B1488">
        <f>IF(VLOOKUP(Table7[[#This Row],[Date]],Database!$A:$C,MATCH($B$1,Database!$A$1:$C$1,),)=0,#N/A,VLOOKUP(Table7[[#This Row],[Date]],Database!$A:$C,MATCH($B$1,Database!$A$1:$C$1,),))</f>
        <v/>
      </c>
      <c r="C1488">
        <f>IF(VLOOKUP(Table7[[#This Row],[Date]],Database!$A:$C,MATCH($C$1,Database!$A$1:$C$1,),)=0,#N/A,VLOOKUP(Table7[[#This Row],[Date]],Database!$A:$C,MATCH($C$1,Database!$A$1:$C$1,),))</f>
        <v/>
      </c>
      <c r="D1488">
        <f>IFERROR(Table7[[#This Row],[United States 10y]]-Table7[[#This Row],[United States 3y]],#N/A)</f>
        <v/>
      </c>
    </row>
    <row r="1489">
      <c r="A1489" s="6">
        <f>Database!$A3574</f>
        <v/>
      </c>
      <c r="B1489">
        <f>IF(VLOOKUP(Table7[[#This Row],[Date]],Database!$A:$C,MATCH($B$1,Database!$A$1:$C$1,),)=0,#N/A,VLOOKUP(Table7[[#This Row],[Date]],Database!$A:$C,MATCH($B$1,Database!$A$1:$C$1,),))</f>
        <v/>
      </c>
      <c r="C1489">
        <f>IF(VLOOKUP(Table7[[#This Row],[Date]],Database!$A:$C,MATCH($C$1,Database!$A$1:$C$1,),)=0,#N/A,VLOOKUP(Table7[[#This Row],[Date]],Database!$A:$C,MATCH($C$1,Database!$A$1:$C$1,),))</f>
        <v/>
      </c>
      <c r="D1489">
        <f>IFERROR(Table7[[#This Row],[United States 10y]]-Table7[[#This Row],[United States 3y]],#N/A)</f>
        <v/>
      </c>
    </row>
    <row r="1490">
      <c r="A1490" s="6">
        <f>Database!$A3575</f>
        <v/>
      </c>
      <c r="B1490">
        <f>IF(VLOOKUP(Table7[[#This Row],[Date]],Database!$A:$C,MATCH($B$1,Database!$A$1:$C$1,),)=0,#N/A,VLOOKUP(Table7[[#This Row],[Date]],Database!$A:$C,MATCH($B$1,Database!$A$1:$C$1,),))</f>
        <v/>
      </c>
      <c r="C1490">
        <f>IF(VLOOKUP(Table7[[#This Row],[Date]],Database!$A:$C,MATCH($C$1,Database!$A$1:$C$1,),)=0,#N/A,VLOOKUP(Table7[[#This Row],[Date]],Database!$A:$C,MATCH($C$1,Database!$A$1:$C$1,),))</f>
        <v/>
      </c>
      <c r="D1490">
        <f>IFERROR(Table7[[#This Row],[United States 10y]]-Table7[[#This Row],[United States 3y]],#N/A)</f>
        <v/>
      </c>
    </row>
    <row r="1491">
      <c r="A1491" s="6">
        <f>Database!$A3576</f>
        <v/>
      </c>
      <c r="B1491">
        <f>IF(VLOOKUP(Table7[[#This Row],[Date]],Database!$A:$C,MATCH($B$1,Database!$A$1:$C$1,),)=0,#N/A,VLOOKUP(Table7[[#This Row],[Date]],Database!$A:$C,MATCH($B$1,Database!$A$1:$C$1,),))</f>
        <v/>
      </c>
      <c r="C1491">
        <f>IF(VLOOKUP(Table7[[#This Row],[Date]],Database!$A:$C,MATCH($C$1,Database!$A$1:$C$1,),)=0,#N/A,VLOOKUP(Table7[[#This Row],[Date]],Database!$A:$C,MATCH($C$1,Database!$A$1:$C$1,),))</f>
        <v/>
      </c>
      <c r="D1491">
        <f>IFERROR(Table7[[#This Row],[United States 10y]]-Table7[[#This Row],[United States 3y]],#N/A)</f>
        <v/>
      </c>
    </row>
    <row r="1492">
      <c r="A1492" s="6">
        <f>Database!$A3577</f>
        <v/>
      </c>
      <c r="B1492">
        <f>IF(VLOOKUP(Table7[[#This Row],[Date]],Database!$A:$C,MATCH($B$1,Database!$A$1:$C$1,),)=0,#N/A,VLOOKUP(Table7[[#This Row],[Date]],Database!$A:$C,MATCH($B$1,Database!$A$1:$C$1,),))</f>
        <v/>
      </c>
      <c r="C1492">
        <f>IF(VLOOKUP(Table7[[#This Row],[Date]],Database!$A:$C,MATCH($C$1,Database!$A$1:$C$1,),)=0,#N/A,VLOOKUP(Table7[[#This Row],[Date]],Database!$A:$C,MATCH($C$1,Database!$A$1:$C$1,),))</f>
        <v/>
      </c>
      <c r="D1492">
        <f>IFERROR(Table7[[#This Row],[United States 10y]]-Table7[[#This Row],[United States 3y]],#N/A)</f>
        <v/>
      </c>
    </row>
    <row r="1493">
      <c r="A1493" s="6">
        <f>Database!$A3578</f>
        <v/>
      </c>
      <c r="B1493">
        <f>IF(VLOOKUP(Table7[[#This Row],[Date]],Database!$A:$C,MATCH($B$1,Database!$A$1:$C$1,),)=0,#N/A,VLOOKUP(Table7[[#This Row],[Date]],Database!$A:$C,MATCH($B$1,Database!$A$1:$C$1,),))</f>
        <v/>
      </c>
      <c r="C1493">
        <f>IF(VLOOKUP(Table7[[#This Row],[Date]],Database!$A:$C,MATCH($C$1,Database!$A$1:$C$1,),)=0,#N/A,VLOOKUP(Table7[[#This Row],[Date]],Database!$A:$C,MATCH($C$1,Database!$A$1:$C$1,),))</f>
        <v/>
      </c>
      <c r="D1493">
        <f>IFERROR(Table7[[#This Row],[United States 10y]]-Table7[[#This Row],[United States 3y]],#N/A)</f>
        <v/>
      </c>
    </row>
    <row r="1494">
      <c r="A1494" s="6">
        <f>Database!$A3579</f>
        <v/>
      </c>
      <c r="B1494">
        <f>IF(VLOOKUP(Table7[[#This Row],[Date]],Database!$A:$C,MATCH($B$1,Database!$A$1:$C$1,),)=0,#N/A,VLOOKUP(Table7[[#This Row],[Date]],Database!$A:$C,MATCH($B$1,Database!$A$1:$C$1,),))</f>
        <v/>
      </c>
      <c r="C1494">
        <f>IF(VLOOKUP(Table7[[#This Row],[Date]],Database!$A:$C,MATCH($C$1,Database!$A$1:$C$1,),)=0,#N/A,VLOOKUP(Table7[[#This Row],[Date]],Database!$A:$C,MATCH($C$1,Database!$A$1:$C$1,),))</f>
        <v/>
      </c>
      <c r="D1494">
        <f>IFERROR(Table7[[#This Row],[United States 10y]]-Table7[[#This Row],[United States 3y]],#N/A)</f>
        <v/>
      </c>
    </row>
    <row r="1495">
      <c r="A1495" s="6">
        <f>Database!$A3580</f>
        <v/>
      </c>
      <c r="B1495">
        <f>IF(VLOOKUP(Table7[[#This Row],[Date]],Database!$A:$C,MATCH($B$1,Database!$A$1:$C$1,),)=0,#N/A,VLOOKUP(Table7[[#This Row],[Date]],Database!$A:$C,MATCH($B$1,Database!$A$1:$C$1,),))</f>
        <v/>
      </c>
      <c r="C1495">
        <f>IF(VLOOKUP(Table7[[#This Row],[Date]],Database!$A:$C,MATCH($C$1,Database!$A$1:$C$1,),)=0,#N/A,VLOOKUP(Table7[[#This Row],[Date]],Database!$A:$C,MATCH($C$1,Database!$A$1:$C$1,),))</f>
        <v/>
      </c>
      <c r="D1495">
        <f>IFERROR(Table7[[#This Row],[United States 10y]]-Table7[[#This Row],[United States 3y]],#N/A)</f>
        <v/>
      </c>
    </row>
    <row r="1496">
      <c r="A1496" s="6">
        <f>Database!$A3581</f>
        <v/>
      </c>
      <c r="B1496">
        <f>IF(VLOOKUP(Table7[[#This Row],[Date]],Database!$A:$C,MATCH($B$1,Database!$A$1:$C$1,),)=0,#N/A,VLOOKUP(Table7[[#This Row],[Date]],Database!$A:$C,MATCH($B$1,Database!$A$1:$C$1,),))</f>
        <v/>
      </c>
      <c r="C1496">
        <f>IF(VLOOKUP(Table7[[#This Row],[Date]],Database!$A:$C,MATCH($C$1,Database!$A$1:$C$1,),)=0,#N/A,VLOOKUP(Table7[[#This Row],[Date]],Database!$A:$C,MATCH($C$1,Database!$A$1:$C$1,),))</f>
        <v/>
      </c>
      <c r="D1496">
        <f>IFERROR(Table7[[#This Row],[United States 10y]]-Table7[[#This Row],[United States 3y]],#N/A)</f>
        <v/>
      </c>
    </row>
    <row r="1497">
      <c r="A1497" s="6">
        <f>Database!$A3582</f>
        <v/>
      </c>
      <c r="B1497">
        <f>IF(VLOOKUP(Table7[[#This Row],[Date]],Database!$A:$C,MATCH($B$1,Database!$A$1:$C$1,),)=0,#N/A,VLOOKUP(Table7[[#This Row],[Date]],Database!$A:$C,MATCH($B$1,Database!$A$1:$C$1,),))</f>
        <v/>
      </c>
      <c r="C1497">
        <f>IF(VLOOKUP(Table7[[#This Row],[Date]],Database!$A:$C,MATCH($C$1,Database!$A$1:$C$1,),)=0,#N/A,VLOOKUP(Table7[[#This Row],[Date]],Database!$A:$C,MATCH($C$1,Database!$A$1:$C$1,),))</f>
        <v/>
      </c>
      <c r="D1497">
        <f>IFERROR(Table7[[#This Row],[United States 10y]]-Table7[[#This Row],[United States 3y]],#N/A)</f>
        <v/>
      </c>
    </row>
    <row r="1498">
      <c r="A1498" s="6">
        <f>Database!$A3583</f>
        <v/>
      </c>
      <c r="B1498">
        <f>IF(VLOOKUP(Table7[[#This Row],[Date]],Database!$A:$C,MATCH($B$1,Database!$A$1:$C$1,),)=0,#N/A,VLOOKUP(Table7[[#This Row],[Date]],Database!$A:$C,MATCH($B$1,Database!$A$1:$C$1,),))</f>
        <v/>
      </c>
      <c r="C1498">
        <f>IF(VLOOKUP(Table7[[#This Row],[Date]],Database!$A:$C,MATCH($C$1,Database!$A$1:$C$1,),)=0,#N/A,VLOOKUP(Table7[[#This Row],[Date]],Database!$A:$C,MATCH($C$1,Database!$A$1:$C$1,),))</f>
        <v/>
      </c>
      <c r="D1498">
        <f>IFERROR(Table7[[#This Row],[United States 10y]]-Table7[[#This Row],[United States 3y]],#N/A)</f>
        <v/>
      </c>
    </row>
    <row r="1499">
      <c r="A1499" s="6">
        <f>Database!$A3584</f>
        <v/>
      </c>
      <c r="B1499">
        <f>IF(VLOOKUP(Table7[[#This Row],[Date]],Database!$A:$C,MATCH($B$1,Database!$A$1:$C$1,),)=0,#N/A,VLOOKUP(Table7[[#This Row],[Date]],Database!$A:$C,MATCH($B$1,Database!$A$1:$C$1,),))</f>
        <v/>
      </c>
      <c r="C1499">
        <f>IF(VLOOKUP(Table7[[#This Row],[Date]],Database!$A:$C,MATCH($C$1,Database!$A$1:$C$1,),)=0,#N/A,VLOOKUP(Table7[[#This Row],[Date]],Database!$A:$C,MATCH($C$1,Database!$A$1:$C$1,),))</f>
        <v/>
      </c>
      <c r="D1499">
        <f>IFERROR(Table7[[#This Row],[United States 10y]]-Table7[[#This Row],[United States 3y]],#N/A)</f>
        <v/>
      </c>
    </row>
    <row r="1500">
      <c r="A1500" s="6">
        <f>Database!$A3585</f>
        <v/>
      </c>
      <c r="B1500">
        <f>IF(VLOOKUP(Table7[[#This Row],[Date]],Database!$A:$C,MATCH($B$1,Database!$A$1:$C$1,),)=0,#N/A,VLOOKUP(Table7[[#This Row],[Date]],Database!$A:$C,MATCH($B$1,Database!$A$1:$C$1,),))</f>
        <v/>
      </c>
      <c r="C1500">
        <f>IF(VLOOKUP(Table7[[#This Row],[Date]],Database!$A:$C,MATCH($C$1,Database!$A$1:$C$1,),)=0,#N/A,VLOOKUP(Table7[[#This Row],[Date]],Database!$A:$C,MATCH($C$1,Database!$A$1:$C$1,),))</f>
        <v/>
      </c>
      <c r="D1500">
        <f>IFERROR(Table7[[#This Row],[United States 10y]]-Table7[[#This Row],[United States 3y]],#N/A)</f>
        <v/>
      </c>
    </row>
    <row r="1501">
      <c r="A1501" s="6">
        <f>Database!$A3586</f>
        <v/>
      </c>
      <c r="B1501">
        <f>IF(VLOOKUP(Table7[[#This Row],[Date]],Database!$A:$C,MATCH($B$1,Database!$A$1:$C$1,),)=0,#N/A,VLOOKUP(Table7[[#This Row],[Date]],Database!$A:$C,MATCH($B$1,Database!$A$1:$C$1,),))</f>
        <v/>
      </c>
      <c r="C1501">
        <f>IF(VLOOKUP(Table7[[#This Row],[Date]],Database!$A:$C,MATCH($C$1,Database!$A$1:$C$1,),)=0,#N/A,VLOOKUP(Table7[[#This Row],[Date]],Database!$A:$C,MATCH($C$1,Database!$A$1:$C$1,),))</f>
        <v/>
      </c>
      <c r="D1501">
        <f>IFERROR(Table7[[#This Row],[United States 10y]]-Table7[[#This Row],[United States 3y]],#N/A)</f>
        <v/>
      </c>
    </row>
    <row r="1502">
      <c r="A1502" s="6">
        <f>Database!$A3587</f>
        <v/>
      </c>
      <c r="B1502">
        <f>IF(VLOOKUP(Table7[[#This Row],[Date]],Database!$A:$C,MATCH($B$1,Database!$A$1:$C$1,),)=0,#N/A,VLOOKUP(Table7[[#This Row],[Date]],Database!$A:$C,MATCH($B$1,Database!$A$1:$C$1,),))</f>
        <v/>
      </c>
      <c r="C1502">
        <f>IF(VLOOKUP(Table7[[#This Row],[Date]],Database!$A:$C,MATCH($C$1,Database!$A$1:$C$1,),)=0,#N/A,VLOOKUP(Table7[[#This Row],[Date]],Database!$A:$C,MATCH($C$1,Database!$A$1:$C$1,),))</f>
        <v/>
      </c>
      <c r="D1502">
        <f>IFERROR(Table7[[#This Row],[United States 10y]]-Table7[[#This Row],[United States 3y]],#N/A)</f>
        <v/>
      </c>
    </row>
    <row r="1503">
      <c r="A1503" s="6">
        <f>Database!$A3588</f>
        <v/>
      </c>
      <c r="B1503">
        <f>IF(VLOOKUP(Table7[[#This Row],[Date]],Database!$A:$C,MATCH($B$1,Database!$A$1:$C$1,),)=0,#N/A,VLOOKUP(Table7[[#This Row],[Date]],Database!$A:$C,MATCH($B$1,Database!$A$1:$C$1,),))</f>
        <v/>
      </c>
      <c r="C1503">
        <f>IF(VLOOKUP(Table7[[#This Row],[Date]],Database!$A:$C,MATCH($C$1,Database!$A$1:$C$1,),)=0,#N/A,VLOOKUP(Table7[[#This Row],[Date]],Database!$A:$C,MATCH($C$1,Database!$A$1:$C$1,),))</f>
        <v/>
      </c>
      <c r="D1503">
        <f>IFERROR(Table7[[#This Row],[United States 10y]]-Table7[[#This Row],[United States 3y]],#N/A)</f>
        <v/>
      </c>
    </row>
    <row r="1504">
      <c r="A1504" s="6">
        <f>Database!$A3589</f>
        <v/>
      </c>
      <c r="B1504">
        <f>IF(VLOOKUP(Table7[[#This Row],[Date]],Database!$A:$C,MATCH($B$1,Database!$A$1:$C$1,),)=0,#N/A,VLOOKUP(Table7[[#This Row],[Date]],Database!$A:$C,MATCH($B$1,Database!$A$1:$C$1,),))</f>
        <v/>
      </c>
      <c r="C1504">
        <f>IF(VLOOKUP(Table7[[#This Row],[Date]],Database!$A:$C,MATCH($C$1,Database!$A$1:$C$1,),)=0,#N/A,VLOOKUP(Table7[[#This Row],[Date]],Database!$A:$C,MATCH($C$1,Database!$A$1:$C$1,),))</f>
        <v/>
      </c>
      <c r="D1504">
        <f>IFERROR(Table7[[#This Row],[United States 10y]]-Table7[[#This Row],[United States 3y]],#N/A)</f>
        <v/>
      </c>
    </row>
    <row r="1505">
      <c r="A1505" s="6">
        <f>Database!$A3590</f>
        <v/>
      </c>
      <c r="B1505">
        <f>IF(VLOOKUP(Table7[[#This Row],[Date]],Database!$A:$C,MATCH($B$1,Database!$A$1:$C$1,),)=0,#N/A,VLOOKUP(Table7[[#This Row],[Date]],Database!$A:$C,MATCH($B$1,Database!$A$1:$C$1,),))</f>
        <v/>
      </c>
      <c r="C1505">
        <f>IF(VLOOKUP(Table7[[#This Row],[Date]],Database!$A:$C,MATCH($C$1,Database!$A$1:$C$1,),)=0,#N/A,VLOOKUP(Table7[[#This Row],[Date]],Database!$A:$C,MATCH($C$1,Database!$A$1:$C$1,),))</f>
        <v/>
      </c>
      <c r="D1505">
        <f>IFERROR(Table7[[#This Row],[United States 10y]]-Table7[[#This Row],[United States 3y]],#N/A)</f>
        <v/>
      </c>
    </row>
    <row r="1506">
      <c r="A1506" s="6">
        <f>Database!$A3591</f>
        <v/>
      </c>
      <c r="B1506">
        <f>IF(VLOOKUP(Table7[[#This Row],[Date]],Database!$A:$C,MATCH($B$1,Database!$A$1:$C$1,),)=0,#N/A,VLOOKUP(Table7[[#This Row],[Date]],Database!$A:$C,MATCH($B$1,Database!$A$1:$C$1,),))</f>
        <v/>
      </c>
      <c r="C1506">
        <f>IF(VLOOKUP(Table7[[#This Row],[Date]],Database!$A:$C,MATCH($C$1,Database!$A$1:$C$1,),)=0,#N/A,VLOOKUP(Table7[[#This Row],[Date]],Database!$A:$C,MATCH($C$1,Database!$A$1:$C$1,),))</f>
        <v/>
      </c>
      <c r="D1506">
        <f>IFERROR(Table7[[#This Row],[United States 10y]]-Table7[[#This Row],[United States 3y]],#N/A)</f>
        <v/>
      </c>
    </row>
    <row r="1507">
      <c r="A1507" s="6">
        <f>Database!$A3592</f>
        <v/>
      </c>
      <c r="B1507">
        <f>IF(VLOOKUP(Table7[[#This Row],[Date]],Database!$A:$C,MATCH($B$1,Database!$A$1:$C$1,),)=0,#N/A,VLOOKUP(Table7[[#This Row],[Date]],Database!$A:$C,MATCH($B$1,Database!$A$1:$C$1,),))</f>
        <v/>
      </c>
      <c r="C1507">
        <f>IF(VLOOKUP(Table7[[#This Row],[Date]],Database!$A:$C,MATCH($C$1,Database!$A$1:$C$1,),)=0,#N/A,VLOOKUP(Table7[[#This Row],[Date]],Database!$A:$C,MATCH($C$1,Database!$A$1:$C$1,),))</f>
        <v/>
      </c>
      <c r="D1507">
        <f>IFERROR(Table7[[#This Row],[United States 10y]]-Table7[[#This Row],[United States 3y]],#N/A)</f>
        <v/>
      </c>
    </row>
    <row r="1508">
      <c r="A1508" s="6">
        <f>Database!$A3593</f>
        <v/>
      </c>
      <c r="B1508">
        <f>IF(VLOOKUP(Table7[[#This Row],[Date]],Database!$A:$C,MATCH($B$1,Database!$A$1:$C$1,),)=0,#N/A,VLOOKUP(Table7[[#This Row],[Date]],Database!$A:$C,MATCH($B$1,Database!$A$1:$C$1,),))</f>
        <v/>
      </c>
      <c r="C1508">
        <f>IF(VLOOKUP(Table7[[#This Row],[Date]],Database!$A:$C,MATCH($C$1,Database!$A$1:$C$1,),)=0,#N/A,VLOOKUP(Table7[[#This Row],[Date]],Database!$A:$C,MATCH($C$1,Database!$A$1:$C$1,),))</f>
        <v/>
      </c>
      <c r="D1508">
        <f>IFERROR(Table7[[#This Row],[United States 10y]]-Table7[[#This Row],[United States 3y]],#N/A)</f>
        <v/>
      </c>
    </row>
    <row r="1509">
      <c r="A1509" s="6">
        <f>Database!$A3594</f>
        <v/>
      </c>
      <c r="B1509">
        <f>IF(VLOOKUP(Table7[[#This Row],[Date]],Database!$A:$C,MATCH($B$1,Database!$A$1:$C$1,),)=0,#N/A,VLOOKUP(Table7[[#This Row],[Date]],Database!$A:$C,MATCH($B$1,Database!$A$1:$C$1,),))</f>
        <v/>
      </c>
      <c r="C1509">
        <f>IF(VLOOKUP(Table7[[#This Row],[Date]],Database!$A:$C,MATCH($C$1,Database!$A$1:$C$1,),)=0,#N/A,VLOOKUP(Table7[[#This Row],[Date]],Database!$A:$C,MATCH($C$1,Database!$A$1:$C$1,),))</f>
        <v/>
      </c>
      <c r="D1509">
        <f>IFERROR(Table7[[#This Row],[United States 10y]]-Table7[[#This Row],[United States 3y]],#N/A)</f>
        <v/>
      </c>
    </row>
    <row r="1510">
      <c r="A1510" s="6">
        <f>Database!$A3595</f>
        <v/>
      </c>
      <c r="B1510">
        <f>IF(VLOOKUP(Table7[[#This Row],[Date]],Database!$A:$C,MATCH($B$1,Database!$A$1:$C$1,),)=0,#N/A,VLOOKUP(Table7[[#This Row],[Date]],Database!$A:$C,MATCH($B$1,Database!$A$1:$C$1,),))</f>
        <v/>
      </c>
      <c r="C1510">
        <f>IF(VLOOKUP(Table7[[#This Row],[Date]],Database!$A:$C,MATCH($C$1,Database!$A$1:$C$1,),)=0,#N/A,VLOOKUP(Table7[[#This Row],[Date]],Database!$A:$C,MATCH($C$1,Database!$A$1:$C$1,),))</f>
        <v/>
      </c>
      <c r="D1510">
        <f>IFERROR(Table7[[#This Row],[United States 10y]]-Table7[[#This Row],[United States 3y]],#N/A)</f>
        <v/>
      </c>
    </row>
    <row r="1511">
      <c r="A1511" s="6">
        <f>Database!$A3596</f>
        <v/>
      </c>
      <c r="B1511">
        <f>IF(VLOOKUP(Table7[[#This Row],[Date]],Database!$A:$C,MATCH($B$1,Database!$A$1:$C$1,),)=0,#N/A,VLOOKUP(Table7[[#This Row],[Date]],Database!$A:$C,MATCH($B$1,Database!$A$1:$C$1,),))</f>
        <v/>
      </c>
      <c r="C1511">
        <f>IF(VLOOKUP(Table7[[#This Row],[Date]],Database!$A:$C,MATCH($C$1,Database!$A$1:$C$1,),)=0,#N/A,VLOOKUP(Table7[[#This Row],[Date]],Database!$A:$C,MATCH($C$1,Database!$A$1:$C$1,),))</f>
        <v/>
      </c>
      <c r="D1511">
        <f>IFERROR(Table7[[#This Row],[United States 10y]]-Table7[[#This Row],[United States 3y]],#N/A)</f>
        <v/>
      </c>
    </row>
    <row r="1512">
      <c r="A1512" s="6">
        <f>Database!$A3597</f>
        <v/>
      </c>
      <c r="B1512">
        <f>IF(VLOOKUP(Table7[[#This Row],[Date]],Database!$A:$C,MATCH($B$1,Database!$A$1:$C$1,),)=0,#N/A,VLOOKUP(Table7[[#This Row],[Date]],Database!$A:$C,MATCH($B$1,Database!$A$1:$C$1,),))</f>
        <v/>
      </c>
      <c r="C1512">
        <f>IF(VLOOKUP(Table7[[#This Row],[Date]],Database!$A:$C,MATCH($C$1,Database!$A$1:$C$1,),)=0,#N/A,VLOOKUP(Table7[[#This Row],[Date]],Database!$A:$C,MATCH($C$1,Database!$A$1:$C$1,),))</f>
        <v/>
      </c>
      <c r="D1512">
        <f>IFERROR(Table7[[#This Row],[United States 10y]]-Table7[[#This Row],[United States 3y]],#N/A)</f>
        <v/>
      </c>
    </row>
    <row r="1513">
      <c r="A1513" s="6">
        <f>Database!$A3598</f>
        <v/>
      </c>
      <c r="B1513">
        <f>IF(VLOOKUP(Table7[[#This Row],[Date]],Database!$A:$C,MATCH($B$1,Database!$A$1:$C$1,),)=0,#N/A,VLOOKUP(Table7[[#This Row],[Date]],Database!$A:$C,MATCH($B$1,Database!$A$1:$C$1,),))</f>
        <v/>
      </c>
      <c r="C1513">
        <f>IF(VLOOKUP(Table7[[#This Row],[Date]],Database!$A:$C,MATCH($C$1,Database!$A$1:$C$1,),)=0,#N/A,VLOOKUP(Table7[[#This Row],[Date]],Database!$A:$C,MATCH($C$1,Database!$A$1:$C$1,),))</f>
        <v/>
      </c>
      <c r="D1513">
        <f>IFERROR(Table7[[#This Row],[United States 10y]]-Table7[[#This Row],[United States 3y]],#N/A)</f>
        <v/>
      </c>
    </row>
    <row r="1514">
      <c r="A1514" s="6">
        <f>Database!$A3599</f>
        <v/>
      </c>
      <c r="B1514">
        <f>IF(VLOOKUP(Table7[[#This Row],[Date]],Database!$A:$C,MATCH($B$1,Database!$A$1:$C$1,),)=0,#N/A,VLOOKUP(Table7[[#This Row],[Date]],Database!$A:$C,MATCH($B$1,Database!$A$1:$C$1,),))</f>
        <v/>
      </c>
      <c r="C1514">
        <f>IF(VLOOKUP(Table7[[#This Row],[Date]],Database!$A:$C,MATCH($C$1,Database!$A$1:$C$1,),)=0,#N/A,VLOOKUP(Table7[[#This Row],[Date]],Database!$A:$C,MATCH($C$1,Database!$A$1:$C$1,),))</f>
        <v/>
      </c>
      <c r="D1514">
        <f>IFERROR(Table7[[#This Row],[United States 10y]]-Table7[[#This Row],[United States 3y]],#N/A)</f>
        <v/>
      </c>
    </row>
    <row r="1515">
      <c r="A1515" s="6">
        <f>Database!$A3600</f>
        <v/>
      </c>
      <c r="B1515">
        <f>IF(VLOOKUP(Table7[[#This Row],[Date]],Database!$A:$C,MATCH($B$1,Database!$A$1:$C$1,),)=0,#N/A,VLOOKUP(Table7[[#This Row],[Date]],Database!$A:$C,MATCH($B$1,Database!$A$1:$C$1,),))</f>
        <v/>
      </c>
      <c r="C1515">
        <f>IF(VLOOKUP(Table7[[#This Row],[Date]],Database!$A:$C,MATCH($C$1,Database!$A$1:$C$1,),)=0,#N/A,VLOOKUP(Table7[[#This Row],[Date]],Database!$A:$C,MATCH($C$1,Database!$A$1:$C$1,),))</f>
        <v/>
      </c>
      <c r="D1515">
        <f>IFERROR(Table7[[#This Row],[United States 10y]]-Table7[[#This Row],[United States 3y]],#N/A)</f>
        <v/>
      </c>
    </row>
    <row r="1516">
      <c r="A1516" s="6">
        <f>Database!$A3601</f>
        <v/>
      </c>
      <c r="B1516">
        <f>IF(VLOOKUP(Table7[[#This Row],[Date]],Database!$A:$C,MATCH($B$1,Database!$A$1:$C$1,),)=0,#N/A,VLOOKUP(Table7[[#This Row],[Date]],Database!$A:$C,MATCH($B$1,Database!$A$1:$C$1,),))</f>
        <v/>
      </c>
      <c r="C1516">
        <f>IF(VLOOKUP(Table7[[#This Row],[Date]],Database!$A:$C,MATCH($C$1,Database!$A$1:$C$1,),)=0,#N/A,VLOOKUP(Table7[[#This Row],[Date]],Database!$A:$C,MATCH($C$1,Database!$A$1:$C$1,),))</f>
        <v/>
      </c>
      <c r="D1516">
        <f>IFERROR(Table7[[#This Row],[United States 10y]]-Table7[[#This Row],[United States 3y]],#N/A)</f>
        <v/>
      </c>
    </row>
    <row r="1517">
      <c r="A1517" s="6">
        <f>Database!$A3602</f>
        <v/>
      </c>
      <c r="B1517">
        <f>IF(VLOOKUP(Table7[[#This Row],[Date]],Database!$A:$C,MATCH($B$1,Database!$A$1:$C$1,),)=0,#N/A,VLOOKUP(Table7[[#This Row],[Date]],Database!$A:$C,MATCH($B$1,Database!$A$1:$C$1,),))</f>
        <v/>
      </c>
      <c r="C1517">
        <f>IF(VLOOKUP(Table7[[#This Row],[Date]],Database!$A:$C,MATCH($C$1,Database!$A$1:$C$1,),)=0,#N/A,VLOOKUP(Table7[[#This Row],[Date]],Database!$A:$C,MATCH($C$1,Database!$A$1:$C$1,),))</f>
        <v/>
      </c>
      <c r="D1517">
        <f>IFERROR(Table7[[#This Row],[United States 10y]]-Table7[[#This Row],[United States 3y]],#N/A)</f>
        <v/>
      </c>
    </row>
    <row r="1518">
      <c r="A1518" s="6">
        <f>Database!$A3603</f>
        <v/>
      </c>
      <c r="B1518">
        <f>IF(VLOOKUP(Table7[[#This Row],[Date]],Database!$A:$C,MATCH($B$1,Database!$A$1:$C$1,),)=0,#N/A,VLOOKUP(Table7[[#This Row],[Date]],Database!$A:$C,MATCH($B$1,Database!$A$1:$C$1,),))</f>
        <v/>
      </c>
      <c r="C1518">
        <f>IF(VLOOKUP(Table7[[#This Row],[Date]],Database!$A:$C,MATCH($C$1,Database!$A$1:$C$1,),)=0,#N/A,VLOOKUP(Table7[[#This Row],[Date]],Database!$A:$C,MATCH($C$1,Database!$A$1:$C$1,),))</f>
        <v/>
      </c>
      <c r="D1518">
        <f>IFERROR(Table7[[#This Row],[United States 10y]]-Table7[[#This Row],[United States 3y]],#N/A)</f>
        <v/>
      </c>
    </row>
    <row r="1519">
      <c r="A1519" s="6">
        <f>Database!$A3604</f>
        <v/>
      </c>
      <c r="B1519">
        <f>IF(VLOOKUP(Table7[[#This Row],[Date]],Database!$A:$C,MATCH($B$1,Database!$A$1:$C$1,),)=0,#N/A,VLOOKUP(Table7[[#This Row],[Date]],Database!$A:$C,MATCH($B$1,Database!$A$1:$C$1,),))</f>
        <v/>
      </c>
      <c r="C1519">
        <f>IF(VLOOKUP(Table7[[#This Row],[Date]],Database!$A:$C,MATCH($C$1,Database!$A$1:$C$1,),)=0,#N/A,VLOOKUP(Table7[[#This Row],[Date]],Database!$A:$C,MATCH($C$1,Database!$A$1:$C$1,),))</f>
        <v/>
      </c>
      <c r="D1519">
        <f>IFERROR(Table7[[#This Row],[United States 10y]]-Table7[[#This Row],[United States 3y]],#N/A)</f>
        <v/>
      </c>
    </row>
    <row r="1520">
      <c r="A1520" s="6">
        <f>Database!$A3605</f>
        <v/>
      </c>
      <c r="B1520">
        <f>IF(VLOOKUP(Table7[[#This Row],[Date]],Database!$A:$C,MATCH($B$1,Database!$A$1:$C$1,),)=0,#N/A,VLOOKUP(Table7[[#This Row],[Date]],Database!$A:$C,MATCH($B$1,Database!$A$1:$C$1,),))</f>
        <v/>
      </c>
      <c r="C1520">
        <f>IF(VLOOKUP(Table7[[#This Row],[Date]],Database!$A:$C,MATCH($C$1,Database!$A$1:$C$1,),)=0,#N/A,VLOOKUP(Table7[[#This Row],[Date]],Database!$A:$C,MATCH($C$1,Database!$A$1:$C$1,),))</f>
        <v/>
      </c>
      <c r="D1520">
        <f>IFERROR(Table7[[#This Row],[United States 10y]]-Table7[[#This Row],[United States 3y]],#N/A)</f>
        <v/>
      </c>
    </row>
    <row r="1521">
      <c r="A1521" s="6">
        <f>Database!$A3606</f>
        <v/>
      </c>
      <c r="B1521">
        <f>IF(VLOOKUP(Table7[[#This Row],[Date]],Database!$A:$C,MATCH($B$1,Database!$A$1:$C$1,),)=0,#N/A,VLOOKUP(Table7[[#This Row],[Date]],Database!$A:$C,MATCH($B$1,Database!$A$1:$C$1,),))</f>
        <v/>
      </c>
      <c r="C1521">
        <f>IF(VLOOKUP(Table7[[#This Row],[Date]],Database!$A:$C,MATCH($C$1,Database!$A$1:$C$1,),)=0,#N/A,VLOOKUP(Table7[[#This Row],[Date]],Database!$A:$C,MATCH($C$1,Database!$A$1:$C$1,),))</f>
        <v/>
      </c>
      <c r="D1521">
        <f>IFERROR(Table7[[#This Row],[United States 10y]]-Table7[[#This Row],[United States 3y]],#N/A)</f>
        <v/>
      </c>
    </row>
    <row r="1522">
      <c r="A1522" s="6">
        <f>Database!$A3607</f>
        <v/>
      </c>
      <c r="B1522">
        <f>IF(VLOOKUP(Table7[[#This Row],[Date]],Database!$A:$C,MATCH($B$1,Database!$A$1:$C$1,),)=0,#N/A,VLOOKUP(Table7[[#This Row],[Date]],Database!$A:$C,MATCH($B$1,Database!$A$1:$C$1,),))</f>
        <v/>
      </c>
      <c r="C1522">
        <f>IF(VLOOKUP(Table7[[#This Row],[Date]],Database!$A:$C,MATCH($C$1,Database!$A$1:$C$1,),)=0,#N/A,VLOOKUP(Table7[[#This Row],[Date]],Database!$A:$C,MATCH($C$1,Database!$A$1:$C$1,),))</f>
        <v/>
      </c>
      <c r="D1522">
        <f>IFERROR(Table7[[#This Row],[United States 10y]]-Table7[[#This Row],[United States 3y]],#N/A)</f>
        <v/>
      </c>
    </row>
    <row r="1523">
      <c r="A1523" s="6">
        <f>Database!$A3608</f>
        <v/>
      </c>
      <c r="B1523">
        <f>IF(VLOOKUP(Table7[[#This Row],[Date]],Database!$A:$C,MATCH($B$1,Database!$A$1:$C$1,),)=0,#N/A,VLOOKUP(Table7[[#This Row],[Date]],Database!$A:$C,MATCH($B$1,Database!$A$1:$C$1,),))</f>
        <v/>
      </c>
      <c r="C1523">
        <f>IF(VLOOKUP(Table7[[#This Row],[Date]],Database!$A:$C,MATCH($C$1,Database!$A$1:$C$1,),)=0,#N/A,VLOOKUP(Table7[[#This Row],[Date]],Database!$A:$C,MATCH($C$1,Database!$A$1:$C$1,),))</f>
        <v/>
      </c>
      <c r="D1523">
        <f>IFERROR(Table7[[#This Row],[United States 10y]]-Table7[[#This Row],[United States 3y]],#N/A)</f>
        <v/>
      </c>
    </row>
    <row r="1524">
      <c r="A1524" s="6">
        <f>Database!$A3609</f>
        <v/>
      </c>
      <c r="B1524">
        <f>IF(VLOOKUP(Table7[[#This Row],[Date]],Database!$A:$C,MATCH($B$1,Database!$A$1:$C$1,),)=0,#N/A,VLOOKUP(Table7[[#This Row],[Date]],Database!$A:$C,MATCH($B$1,Database!$A$1:$C$1,),))</f>
        <v/>
      </c>
      <c r="C1524">
        <f>IF(VLOOKUP(Table7[[#This Row],[Date]],Database!$A:$C,MATCH($C$1,Database!$A$1:$C$1,),)=0,#N/A,VLOOKUP(Table7[[#This Row],[Date]],Database!$A:$C,MATCH($C$1,Database!$A$1:$C$1,),))</f>
        <v/>
      </c>
      <c r="D1524">
        <f>IFERROR(Table7[[#This Row],[United States 10y]]-Table7[[#This Row],[United States 3y]],#N/A)</f>
        <v/>
      </c>
    </row>
    <row r="1525">
      <c r="A1525" s="6">
        <f>Database!$A3610</f>
        <v/>
      </c>
      <c r="B1525">
        <f>IF(VLOOKUP(Table7[[#This Row],[Date]],Database!$A:$C,MATCH($B$1,Database!$A$1:$C$1,),)=0,#N/A,VLOOKUP(Table7[[#This Row],[Date]],Database!$A:$C,MATCH($B$1,Database!$A$1:$C$1,),))</f>
        <v/>
      </c>
      <c r="C1525">
        <f>IF(VLOOKUP(Table7[[#This Row],[Date]],Database!$A:$C,MATCH($C$1,Database!$A$1:$C$1,),)=0,#N/A,VLOOKUP(Table7[[#This Row],[Date]],Database!$A:$C,MATCH($C$1,Database!$A$1:$C$1,),))</f>
        <v/>
      </c>
      <c r="D1525">
        <f>IFERROR(Table7[[#This Row],[United States 10y]]-Table7[[#This Row],[United States 3y]],#N/A)</f>
        <v/>
      </c>
    </row>
    <row r="1526">
      <c r="A1526" s="6">
        <f>Database!$A3611</f>
        <v/>
      </c>
      <c r="B1526">
        <f>IF(VLOOKUP(Table7[[#This Row],[Date]],Database!$A:$C,MATCH($B$1,Database!$A$1:$C$1,),)=0,#N/A,VLOOKUP(Table7[[#This Row],[Date]],Database!$A:$C,MATCH($B$1,Database!$A$1:$C$1,),))</f>
        <v/>
      </c>
      <c r="C1526">
        <f>IF(VLOOKUP(Table7[[#This Row],[Date]],Database!$A:$C,MATCH($C$1,Database!$A$1:$C$1,),)=0,#N/A,VLOOKUP(Table7[[#This Row],[Date]],Database!$A:$C,MATCH($C$1,Database!$A$1:$C$1,),))</f>
        <v/>
      </c>
      <c r="D1526">
        <f>IFERROR(Table7[[#This Row],[United States 10y]]-Table7[[#This Row],[United States 3y]],#N/A)</f>
        <v/>
      </c>
    </row>
    <row r="1527">
      <c r="A1527" s="6">
        <f>Database!$A3612</f>
        <v/>
      </c>
      <c r="B1527">
        <f>IF(VLOOKUP(Table7[[#This Row],[Date]],Database!$A:$C,MATCH($B$1,Database!$A$1:$C$1,),)=0,#N/A,VLOOKUP(Table7[[#This Row],[Date]],Database!$A:$C,MATCH($B$1,Database!$A$1:$C$1,),))</f>
        <v/>
      </c>
      <c r="C1527">
        <f>IF(VLOOKUP(Table7[[#This Row],[Date]],Database!$A:$C,MATCH($C$1,Database!$A$1:$C$1,),)=0,#N/A,VLOOKUP(Table7[[#This Row],[Date]],Database!$A:$C,MATCH($C$1,Database!$A$1:$C$1,),))</f>
        <v/>
      </c>
      <c r="D1527">
        <f>IFERROR(Table7[[#This Row],[United States 10y]]-Table7[[#This Row],[United States 3y]],#N/A)</f>
        <v/>
      </c>
    </row>
    <row r="1528">
      <c r="A1528" s="6">
        <f>Database!$A3613</f>
        <v/>
      </c>
      <c r="B1528">
        <f>IF(VLOOKUP(Table7[[#This Row],[Date]],Database!$A:$C,MATCH($B$1,Database!$A$1:$C$1,),)=0,#N/A,VLOOKUP(Table7[[#This Row],[Date]],Database!$A:$C,MATCH($B$1,Database!$A$1:$C$1,),))</f>
        <v/>
      </c>
      <c r="C1528">
        <f>IF(VLOOKUP(Table7[[#This Row],[Date]],Database!$A:$C,MATCH($C$1,Database!$A$1:$C$1,),)=0,#N/A,VLOOKUP(Table7[[#This Row],[Date]],Database!$A:$C,MATCH($C$1,Database!$A$1:$C$1,),))</f>
        <v/>
      </c>
      <c r="D1528">
        <f>IFERROR(Table7[[#This Row],[United States 10y]]-Table7[[#This Row],[United States 3y]],#N/A)</f>
        <v/>
      </c>
    </row>
    <row r="1529">
      <c r="A1529" s="6">
        <f>Database!$A3614</f>
        <v/>
      </c>
      <c r="B1529">
        <f>IF(VLOOKUP(Table7[[#This Row],[Date]],Database!$A:$C,MATCH($B$1,Database!$A$1:$C$1,),)=0,#N/A,VLOOKUP(Table7[[#This Row],[Date]],Database!$A:$C,MATCH($B$1,Database!$A$1:$C$1,),))</f>
        <v/>
      </c>
      <c r="C1529">
        <f>IF(VLOOKUP(Table7[[#This Row],[Date]],Database!$A:$C,MATCH($C$1,Database!$A$1:$C$1,),)=0,#N/A,VLOOKUP(Table7[[#This Row],[Date]],Database!$A:$C,MATCH($C$1,Database!$A$1:$C$1,),))</f>
        <v/>
      </c>
      <c r="D1529">
        <f>IFERROR(Table7[[#This Row],[United States 10y]]-Table7[[#This Row],[United States 3y]],#N/A)</f>
        <v/>
      </c>
    </row>
    <row r="1530">
      <c r="A1530" s="6">
        <f>Database!$A3615</f>
        <v/>
      </c>
      <c r="B1530">
        <f>IF(VLOOKUP(Table7[[#This Row],[Date]],Database!$A:$C,MATCH($B$1,Database!$A$1:$C$1,),)=0,#N/A,VLOOKUP(Table7[[#This Row],[Date]],Database!$A:$C,MATCH($B$1,Database!$A$1:$C$1,),))</f>
        <v/>
      </c>
      <c r="C1530">
        <f>IF(VLOOKUP(Table7[[#This Row],[Date]],Database!$A:$C,MATCH($C$1,Database!$A$1:$C$1,),)=0,#N/A,VLOOKUP(Table7[[#This Row],[Date]],Database!$A:$C,MATCH($C$1,Database!$A$1:$C$1,),))</f>
        <v/>
      </c>
      <c r="D1530">
        <f>IFERROR(Table7[[#This Row],[United States 10y]]-Table7[[#This Row],[United States 3y]],#N/A)</f>
        <v/>
      </c>
    </row>
    <row r="1531">
      <c r="A1531" s="6">
        <f>Database!$A3616</f>
        <v/>
      </c>
      <c r="B1531">
        <f>IF(VLOOKUP(Table7[[#This Row],[Date]],Database!$A:$C,MATCH($B$1,Database!$A$1:$C$1,),)=0,#N/A,VLOOKUP(Table7[[#This Row],[Date]],Database!$A:$C,MATCH($B$1,Database!$A$1:$C$1,),))</f>
        <v/>
      </c>
      <c r="C1531">
        <f>IF(VLOOKUP(Table7[[#This Row],[Date]],Database!$A:$C,MATCH($C$1,Database!$A$1:$C$1,),)=0,#N/A,VLOOKUP(Table7[[#This Row],[Date]],Database!$A:$C,MATCH($C$1,Database!$A$1:$C$1,),))</f>
        <v/>
      </c>
      <c r="D1531">
        <f>IFERROR(Table7[[#This Row],[United States 10y]]-Table7[[#This Row],[United States 3y]],#N/A)</f>
        <v/>
      </c>
    </row>
    <row r="1532">
      <c r="A1532" s="6">
        <f>Database!$A3617</f>
        <v/>
      </c>
      <c r="B1532">
        <f>IF(VLOOKUP(Table7[[#This Row],[Date]],Database!$A:$C,MATCH($B$1,Database!$A$1:$C$1,),)=0,#N/A,VLOOKUP(Table7[[#This Row],[Date]],Database!$A:$C,MATCH($B$1,Database!$A$1:$C$1,),))</f>
        <v/>
      </c>
      <c r="C1532">
        <f>IF(VLOOKUP(Table7[[#This Row],[Date]],Database!$A:$C,MATCH($C$1,Database!$A$1:$C$1,),)=0,#N/A,VLOOKUP(Table7[[#This Row],[Date]],Database!$A:$C,MATCH($C$1,Database!$A$1:$C$1,),))</f>
        <v/>
      </c>
      <c r="D1532">
        <f>IFERROR(Table7[[#This Row],[United States 10y]]-Table7[[#This Row],[United States 3y]],#N/A)</f>
        <v/>
      </c>
    </row>
    <row r="1533">
      <c r="A1533" s="6">
        <f>Database!$A3618</f>
        <v/>
      </c>
      <c r="B1533">
        <f>IF(VLOOKUP(Table7[[#This Row],[Date]],Database!$A:$C,MATCH($B$1,Database!$A$1:$C$1,),)=0,#N/A,VLOOKUP(Table7[[#This Row],[Date]],Database!$A:$C,MATCH($B$1,Database!$A$1:$C$1,),))</f>
        <v/>
      </c>
      <c r="C1533">
        <f>IF(VLOOKUP(Table7[[#This Row],[Date]],Database!$A:$C,MATCH($C$1,Database!$A$1:$C$1,),)=0,#N/A,VLOOKUP(Table7[[#This Row],[Date]],Database!$A:$C,MATCH($C$1,Database!$A$1:$C$1,),))</f>
        <v/>
      </c>
      <c r="D1533">
        <f>IFERROR(Table7[[#This Row],[United States 10y]]-Table7[[#This Row],[United States 3y]],#N/A)</f>
        <v/>
      </c>
    </row>
    <row r="1534">
      <c r="A1534" s="6">
        <f>Database!$A3619</f>
        <v/>
      </c>
      <c r="B1534">
        <f>IF(VLOOKUP(Table7[[#This Row],[Date]],Database!$A:$C,MATCH($B$1,Database!$A$1:$C$1,),)=0,#N/A,VLOOKUP(Table7[[#This Row],[Date]],Database!$A:$C,MATCH($B$1,Database!$A$1:$C$1,),))</f>
        <v/>
      </c>
      <c r="C1534">
        <f>IF(VLOOKUP(Table7[[#This Row],[Date]],Database!$A:$C,MATCH($C$1,Database!$A$1:$C$1,),)=0,#N/A,VLOOKUP(Table7[[#This Row],[Date]],Database!$A:$C,MATCH($C$1,Database!$A$1:$C$1,),))</f>
        <v/>
      </c>
      <c r="D1534">
        <f>IFERROR(Table7[[#This Row],[United States 10y]]-Table7[[#This Row],[United States 3y]],#N/A)</f>
        <v/>
      </c>
    </row>
    <row r="1535">
      <c r="A1535" s="6">
        <f>Database!$A3620</f>
        <v/>
      </c>
      <c r="B1535">
        <f>IF(VLOOKUP(Table7[[#This Row],[Date]],Database!$A:$C,MATCH($B$1,Database!$A$1:$C$1,),)=0,#N/A,VLOOKUP(Table7[[#This Row],[Date]],Database!$A:$C,MATCH($B$1,Database!$A$1:$C$1,),))</f>
        <v/>
      </c>
      <c r="C1535">
        <f>IF(VLOOKUP(Table7[[#This Row],[Date]],Database!$A:$C,MATCH($C$1,Database!$A$1:$C$1,),)=0,#N/A,VLOOKUP(Table7[[#This Row],[Date]],Database!$A:$C,MATCH($C$1,Database!$A$1:$C$1,),))</f>
        <v/>
      </c>
      <c r="D1535">
        <f>IFERROR(Table7[[#This Row],[United States 10y]]-Table7[[#This Row],[United States 3y]],#N/A)</f>
        <v/>
      </c>
    </row>
    <row r="1536">
      <c r="A1536" s="6">
        <f>Database!$A3621</f>
        <v/>
      </c>
      <c r="B1536">
        <f>IF(VLOOKUP(Table7[[#This Row],[Date]],Database!$A:$C,MATCH($B$1,Database!$A$1:$C$1,),)=0,#N/A,VLOOKUP(Table7[[#This Row],[Date]],Database!$A:$C,MATCH($B$1,Database!$A$1:$C$1,),))</f>
        <v/>
      </c>
      <c r="C1536">
        <f>IF(VLOOKUP(Table7[[#This Row],[Date]],Database!$A:$C,MATCH($C$1,Database!$A$1:$C$1,),)=0,#N/A,VLOOKUP(Table7[[#This Row],[Date]],Database!$A:$C,MATCH($C$1,Database!$A$1:$C$1,),))</f>
        <v/>
      </c>
      <c r="D1536">
        <f>IFERROR(Table7[[#This Row],[United States 10y]]-Table7[[#This Row],[United States 3y]],#N/A)</f>
        <v/>
      </c>
    </row>
    <row r="1537">
      <c r="A1537" s="6">
        <f>Database!$A3622</f>
        <v/>
      </c>
      <c r="B1537">
        <f>IF(VLOOKUP(Table7[[#This Row],[Date]],Database!$A:$C,MATCH($B$1,Database!$A$1:$C$1,),)=0,#N/A,VLOOKUP(Table7[[#This Row],[Date]],Database!$A:$C,MATCH($B$1,Database!$A$1:$C$1,),))</f>
        <v/>
      </c>
      <c r="C1537">
        <f>IF(VLOOKUP(Table7[[#This Row],[Date]],Database!$A:$C,MATCH($C$1,Database!$A$1:$C$1,),)=0,#N/A,VLOOKUP(Table7[[#This Row],[Date]],Database!$A:$C,MATCH($C$1,Database!$A$1:$C$1,),))</f>
        <v/>
      </c>
      <c r="D1537">
        <f>IFERROR(Table7[[#This Row],[United States 10y]]-Table7[[#This Row],[United States 3y]],#N/A)</f>
        <v/>
      </c>
    </row>
    <row r="1538">
      <c r="A1538" s="6">
        <f>Database!$A3623</f>
        <v/>
      </c>
      <c r="B1538">
        <f>IF(VLOOKUP(Table7[[#This Row],[Date]],Database!$A:$C,MATCH($B$1,Database!$A$1:$C$1,),)=0,#N/A,VLOOKUP(Table7[[#This Row],[Date]],Database!$A:$C,MATCH($B$1,Database!$A$1:$C$1,),))</f>
        <v/>
      </c>
      <c r="C1538">
        <f>IF(VLOOKUP(Table7[[#This Row],[Date]],Database!$A:$C,MATCH($C$1,Database!$A$1:$C$1,),)=0,#N/A,VLOOKUP(Table7[[#This Row],[Date]],Database!$A:$C,MATCH($C$1,Database!$A$1:$C$1,),))</f>
        <v/>
      </c>
      <c r="D1538">
        <f>IFERROR(Table7[[#This Row],[United States 10y]]-Table7[[#This Row],[United States 3y]],#N/A)</f>
        <v/>
      </c>
    </row>
    <row r="1539">
      <c r="A1539" s="6">
        <f>Database!$A3624</f>
        <v/>
      </c>
      <c r="B1539">
        <f>IF(VLOOKUP(Table7[[#This Row],[Date]],Database!$A:$C,MATCH($B$1,Database!$A$1:$C$1,),)=0,#N/A,VLOOKUP(Table7[[#This Row],[Date]],Database!$A:$C,MATCH($B$1,Database!$A$1:$C$1,),))</f>
        <v/>
      </c>
      <c r="C1539">
        <f>IF(VLOOKUP(Table7[[#This Row],[Date]],Database!$A:$C,MATCH($C$1,Database!$A$1:$C$1,),)=0,#N/A,VLOOKUP(Table7[[#This Row],[Date]],Database!$A:$C,MATCH($C$1,Database!$A$1:$C$1,),))</f>
        <v/>
      </c>
      <c r="D1539">
        <f>IFERROR(Table7[[#This Row],[United States 10y]]-Table7[[#This Row],[United States 3y]],#N/A)</f>
        <v/>
      </c>
    </row>
    <row r="1540">
      <c r="A1540" s="6">
        <f>Database!$A3625</f>
        <v/>
      </c>
      <c r="B1540">
        <f>IF(VLOOKUP(Table7[[#This Row],[Date]],Database!$A:$C,MATCH($B$1,Database!$A$1:$C$1,),)=0,#N/A,VLOOKUP(Table7[[#This Row],[Date]],Database!$A:$C,MATCH($B$1,Database!$A$1:$C$1,),))</f>
        <v/>
      </c>
      <c r="C1540">
        <f>IF(VLOOKUP(Table7[[#This Row],[Date]],Database!$A:$C,MATCH($C$1,Database!$A$1:$C$1,),)=0,#N/A,VLOOKUP(Table7[[#This Row],[Date]],Database!$A:$C,MATCH($C$1,Database!$A$1:$C$1,),))</f>
        <v/>
      </c>
      <c r="D1540">
        <f>IFERROR(Table7[[#This Row],[United States 10y]]-Table7[[#This Row],[United States 3y]],#N/A)</f>
        <v/>
      </c>
    </row>
    <row r="1541">
      <c r="A1541" s="6">
        <f>Database!$A3626</f>
        <v/>
      </c>
      <c r="B1541">
        <f>IF(VLOOKUP(Table7[[#This Row],[Date]],Database!$A:$C,MATCH($B$1,Database!$A$1:$C$1,),)=0,#N/A,VLOOKUP(Table7[[#This Row],[Date]],Database!$A:$C,MATCH($B$1,Database!$A$1:$C$1,),))</f>
        <v/>
      </c>
      <c r="C1541">
        <f>IF(VLOOKUP(Table7[[#This Row],[Date]],Database!$A:$C,MATCH($C$1,Database!$A$1:$C$1,),)=0,#N/A,VLOOKUP(Table7[[#This Row],[Date]],Database!$A:$C,MATCH($C$1,Database!$A$1:$C$1,),))</f>
        <v/>
      </c>
      <c r="D1541">
        <f>IFERROR(Table7[[#This Row],[United States 10y]]-Table7[[#This Row],[United States 3y]],#N/A)</f>
        <v/>
      </c>
    </row>
    <row r="1542">
      <c r="A1542" s="6">
        <f>Database!$A3627</f>
        <v/>
      </c>
      <c r="B1542">
        <f>IF(VLOOKUP(Table7[[#This Row],[Date]],Database!$A:$C,MATCH($B$1,Database!$A$1:$C$1,),)=0,#N/A,VLOOKUP(Table7[[#This Row],[Date]],Database!$A:$C,MATCH($B$1,Database!$A$1:$C$1,),))</f>
        <v/>
      </c>
      <c r="C1542">
        <f>IF(VLOOKUP(Table7[[#This Row],[Date]],Database!$A:$C,MATCH($C$1,Database!$A$1:$C$1,),)=0,#N/A,VLOOKUP(Table7[[#This Row],[Date]],Database!$A:$C,MATCH($C$1,Database!$A$1:$C$1,),))</f>
        <v/>
      </c>
      <c r="D1542">
        <f>IFERROR(Table7[[#This Row],[United States 10y]]-Table7[[#This Row],[United States 3y]],#N/A)</f>
        <v/>
      </c>
    </row>
    <row r="1543">
      <c r="A1543" s="6">
        <f>Database!$A3628</f>
        <v/>
      </c>
      <c r="B1543">
        <f>IF(VLOOKUP(Table7[[#This Row],[Date]],Database!$A:$C,MATCH($B$1,Database!$A$1:$C$1,),)=0,#N/A,VLOOKUP(Table7[[#This Row],[Date]],Database!$A:$C,MATCH($B$1,Database!$A$1:$C$1,),))</f>
        <v/>
      </c>
      <c r="C1543">
        <f>IF(VLOOKUP(Table7[[#This Row],[Date]],Database!$A:$C,MATCH($C$1,Database!$A$1:$C$1,),)=0,#N/A,VLOOKUP(Table7[[#This Row],[Date]],Database!$A:$C,MATCH($C$1,Database!$A$1:$C$1,),))</f>
        <v/>
      </c>
      <c r="D1543">
        <f>IFERROR(Table7[[#This Row],[United States 10y]]-Table7[[#This Row],[United States 3y]],#N/A)</f>
        <v/>
      </c>
    </row>
    <row r="1544">
      <c r="A1544" s="6">
        <f>Database!$A3629</f>
        <v/>
      </c>
      <c r="B1544">
        <f>IF(VLOOKUP(Table7[[#This Row],[Date]],Database!$A:$C,MATCH($B$1,Database!$A$1:$C$1,),)=0,#N/A,VLOOKUP(Table7[[#This Row],[Date]],Database!$A:$C,MATCH($B$1,Database!$A$1:$C$1,),))</f>
        <v/>
      </c>
      <c r="C1544">
        <f>IF(VLOOKUP(Table7[[#This Row],[Date]],Database!$A:$C,MATCH($C$1,Database!$A$1:$C$1,),)=0,#N/A,VLOOKUP(Table7[[#This Row],[Date]],Database!$A:$C,MATCH($C$1,Database!$A$1:$C$1,),))</f>
        <v/>
      </c>
      <c r="D1544">
        <f>IFERROR(Table7[[#This Row],[United States 10y]]-Table7[[#This Row],[United States 3y]],#N/A)</f>
        <v/>
      </c>
    </row>
    <row r="1545">
      <c r="A1545" s="6">
        <f>Database!$A3630</f>
        <v/>
      </c>
      <c r="B1545">
        <f>IF(VLOOKUP(Table7[[#This Row],[Date]],Database!$A:$C,MATCH($B$1,Database!$A$1:$C$1,),)=0,#N/A,VLOOKUP(Table7[[#This Row],[Date]],Database!$A:$C,MATCH($B$1,Database!$A$1:$C$1,),))</f>
        <v/>
      </c>
      <c r="C1545">
        <f>IF(VLOOKUP(Table7[[#This Row],[Date]],Database!$A:$C,MATCH($C$1,Database!$A$1:$C$1,),)=0,#N/A,VLOOKUP(Table7[[#This Row],[Date]],Database!$A:$C,MATCH($C$1,Database!$A$1:$C$1,),))</f>
        <v/>
      </c>
      <c r="D1545">
        <f>IFERROR(Table7[[#This Row],[United States 10y]]-Table7[[#This Row],[United States 3y]],#N/A)</f>
        <v/>
      </c>
    </row>
    <row r="1546">
      <c r="A1546" s="6">
        <f>Database!$A3631</f>
        <v/>
      </c>
      <c r="B1546">
        <f>IF(VLOOKUP(Table7[[#This Row],[Date]],Database!$A:$C,MATCH($B$1,Database!$A$1:$C$1,),)=0,#N/A,VLOOKUP(Table7[[#This Row],[Date]],Database!$A:$C,MATCH($B$1,Database!$A$1:$C$1,),))</f>
        <v/>
      </c>
      <c r="C1546">
        <f>IF(VLOOKUP(Table7[[#This Row],[Date]],Database!$A:$C,MATCH($C$1,Database!$A$1:$C$1,),)=0,#N/A,VLOOKUP(Table7[[#This Row],[Date]],Database!$A:$C,MATCH($C$1,Database!$A$1:$C$1,),))</f>
        <v/>
      </c>
      <c r="D1546">
        <f>IFERROR(Table7[[#This Row],[United States 10y]]-Table7[[#This Row],[United States 3y]],#N/A)</f>
        <v/>
      </c>
    </row>
    <row r="1547">
      <c r="A1547" s="6">
        <f>Database!$A3632</f>
        <v/>
      </c>
      <c r="B1547">
        <f>IF(VLOOKUP(Table7[[#This Row],[Date]],Database!$A:$C,MATCH($B$1,Database!$A$1:$C$1,),)=0,#N/A,VLOOKUP(Table7[[#This Row],[Date]],Database!$A:$C,MATCH($B$1,Database!$A$1:$C$1,),))</f>
        <v/>
      </c>
      <c r="C1547">
        <f>IF(VLOOKUP(Table7[[#This Row],[Date]],Database!$A:$C,MATCH($C$1,Database!$A$1:$C$1,),)=0,#N/A,VLOOKUP(Table7[[#This Row],[Date]],Database!$A:$C,MATCH($C$1,Database!$A$1:$C$1,),))</f>
        <v/>
      </c>
      <c r="D1547">
        <f>IFERROR(Table7[[#This Row],[United States 10y]]-Table7[[#This Row],[United States 3y]],#N/A)</f>
        <v/>
      </c>
    </row>
    <row r="1548">
      <c r="A1548" s="6">
        <f>Database!$A3633</f>
        <v/>
      </c>
      <c r="B1548">
        <f>IF(VLOOKUP(Table7[[#This Row],[Date]],Database!$A:$C,MATCH($B$1,Database!$A$1:$C$1,),)=0,#N/A,VLOOKUP(Table7[[#This Row],[Date]],Database!$A:$C,MATCH($B$1,Database!$A$1:$C$1,),))</f>
        <v/>
      </c>
      <c r="C1548">
        <f>IF(VLOOKUP(Table7[[#This Row],[Date]],Database!$A:$C,MATCH($C$1,Database!$A$1:$C$1,),)=0,#N/A,VLOOKUP(Table7[[#This Row],[Date]],Database!$A:$C,MATCH($C$1,Database!$A$1:$C$1,),))</f>
        <v/>
      </c>
      <c r="D1548">
        <f>IFERROR(Table7[[#This Row],[United States 10y]]-Table7[[#This Row],[United States 3y]],#N/A)</f>
        <v/>
      </c>
    </row>
    <row r="1549">
      <c r="A1549" s="6">
        <f>Database!$A3634</f>
        <v/>
      </c>
      <c r="B1549">
        <f>IF(VLOOKUP(Table7[[#This Row],[Date]],Database!$A:$C,MATCH($B$1,Database!$A$1:$C$1,),)=0,#N/A,VLOOKUP(Table7[[#This Row],[Date]],Database!$A:$C,MATCH($B$1,Database!$A$1:$C$1,),))</f>
        <v/>
      </c>
      <c r="C1549">
        <f>IF(VLOOKUP(Table7[[#This Row],[Date]],Database!$A:$C,MATCH($C$1,Database!$A$1:$C$1,),)=0,#N/A,VLOOKUP(Table7[[#This Row],[Date]],Database!$A:$C,MATCH($C$1,Database!$A$1:$C$1,),))</f>
        <v/>
      </c>
      <c r="D1549">
        <f>IFERROR(Table7[[#This Row],[United States 10y]]-Table7[[#This Row],[United States 3y]],#N/A)</f>
        <v/>
      </c>
    </row>
    <row r="1550">
      <c r="A1550" s="6">
        <f>Database!$A3635</f>
        <v/>
      </c>
      <c r="B1550">
        <f>IF(VLOOKUP(Table7[[#This Row],[Date]],Database!$A:$C,MATCH($B$1,Database!$A$1:$C$1,),)=0,#N/A,VLOOKUP(Table7[[#This Row],[Date]],Database!$A:$C,MATCH($B$1,Database!$A$1:$C$1,),))</f>
        <v/>
      </c>
      <c r="C1550">
        <f>IF(VLOOKUP(Table7[[#This Row],[Date]],Database!$A:$C,MATCH($C$1,Database!$A$1:$C$1,),)=0,#N/A,VLOOKUP(Table7[[#This Row],[Date]],Database!$A:$C,MATCH($C$1,Database!$A$1:$C$1,),))</f>
        <v/>
      </c>
      <c r="D1550">
        <f>IFERROR(Table7[[#This Row],[United States 10y]]-Table7[[#This Row],[United States 3y]],#N/A)</f>
        <v/>
      </c>
    </row>
    <row r="1551">
      <c r="A1551" s="6">
        <f>Database!$A3636</f>
        <v/>
      </c>
      <c r="B1551">
        <f>IF(VLOOKUP(Table7[[#This Row],[Date]],Database!$A:$C,MATCH($B$1,Database!$A$1:$C$1,),)=0,#N/A,VLOOKUP(Table7[[#This Row],[Date]],Database!$A:$C,MATCH($B$1,Database!$A$1:$C$1,),))</f>
        <v/>
      </c>
      <c r="C1551">
        <f>IF(VLOOKUP(Table7[[#This Row],[Date]],Database!$A:$C,MATCH($C$1,Database!$A$1:$C$1,),)=0,#N/A,VLOOKUP(Table7[[#This Row],[Date]],Database!$A:$C,MATCH($C$1,Database!$A$1:$C$1,),))</f>
        <v/>
      </c>
      <c r="D1551">
        <f>IFERROR(Table7[[#This Row],[United States 10y]]-Table7[[#This Row],[United States 3y]],#N/A)</f>
        <v/>
      </c>
    </row>
    <row r="1552">
      <c r="A1552" s="6">
        <f>Database!$A3637</f>
        <v/>
      </c>
      <c r="B1552">
        <f>IF(VLOOKUP(Table7[[#This Row],[Date]],Database!$A:$C,MATCH($B$1,Database!$A$1:$C$1,),)=0,#N/A,VLOOKUP(Table7[[#This Row],[Date]],Database!$A:$C,MATCH($B$1,Database!$A$1:$C$1,),))</f>
        <v/>
      </c>
      <c r="C1552">
        <f>IF(VLOOKUP(Table7[[#This Row],[Date]],Database!$A:$C,MATCH($C$1,Database!$A$1:$C$1,),)=0,#N/A,VLOOKUP(Table7[[#This Row],[Date]],Database!$A:$C,MATCH($C$1,Database!$A$1:$C$1,),))</f>
        <v/>
      </c>
      <c r="D1552">
        <f>IFERROR(Table7[[#This Row],[United States 10y]]-Table7[[#This Row],[United States 3y]],#N/A)</f>
        <v/>
      </c>
    </row>
    <row r="1553">
      <c r="A1553" s="6">
        <f>Database!$A3638</f>
        <v/>
      </c>
      <c r="B1553">
        <f>IF(VLOOKUP(Table7[[#This Row],[Date]],Database!$A:$C,MATCH($B$1,Database!$A$1:$C$1,),)=0,#N/A,VLOOKUP(Table7[[#This Row],[Date]],Database!$A:$C,MATCH($B$1,Database!$A$1:$C$1,),))</f>
        <v/>
      </c>
      <c r="C1553">
        <f>IF(VLOOKUP(Table7[[#This Row],[Date]],Database!$A:$C,MATCH($C$1,Database!$A$1:$C$1,),)=0,#N/A,VLOOKUP(Table7[[#This Row],[Date]],Database!$A:$C,MATCH($C$1,Database!$A$1:$C$1,),))</f>
        <v/>
      </c>
      <c r="D1553">
        <f>IFERROR(Table7[[#This Row],[United States 10y]]-Table7[[#This Row],[United States 3y]],#N/A)</f>
        <v/>
      </c>
    </row>
    <row r="1554">
      <c r="A1554" s="6">
        <f>Database!$A3639</f>
        <v/>
      </c>
      <c r="B1554">
        <f>IF(VLOOKUP(Table7[[#This Row],[Date]],Database!$A:$C,MATCH($B$1,Database!$A$1:$C$1,),)=0,#N/A,VLOOKUP(Table7[[#This Row],[Date]],Database!$A:$C,MATCH($B$1,Database!$A$1:$C$1,),))</f>
        <v/>
      </c>
      <c r="C1554">
        <f>IF(VLOOKUP(Table7[[#This Row],[Date]],Database!$A:$C,MATCH($C$1,Database!$A$1:$C$1,),)=0,#N/A,VLOOKUP(Table7[[#This Row],[Date]],Database!$A:$C,MATCH($C$1,Database!$A$1:$C$1,),))</f>
        <v/>
      </c>
      <c r="D1554">
        <f>IFERROR(Table7[[#This Row],[United States 10y]]-Table7[[#This Row],[United States 3y]],#N/A)</f>
        <v/>
      </c>
    </row>
    <row r="1555">
      <c r="A1555" s="6">
        <f>Database!$A3640</f>
        <v/>
      </c>
      <c r="B1555">
        <f>IF(VLOOKUP(Table7[[#This Row],[Date]],Database!$A:$C,MATCH($B$1,Database!$A$1:$C$1,),)=0,#N/A,VLOOKUP(Table7[[#This Row],[Date]],Database!$A:$C,MATCH($B$1,Database!$A$1:$C$1,),))</f>
        <v/>
      </c>
      <c r="C1555">
        <f>IF(VLOOKUP(Table7[[#This Row],[Date]],Database!$A:$C,MATCH($C$1,Database!$A$1:$C$1,),)=0,#N/A,VLOOKUP(Table7[[#This Row],[Date]],Database!$A:$C,MATCH($C$1,Database!$A$1:$C$1,),))</f>
        <v/>
      </c>
      <c r="D1555">
        <f>IFERROR(Table7[[#This Row],[United States 10y]]-Table7[[#This Row],[United States 3y]],#N/A)</f>
        <v/>
      </c>
    </row>
    <row r="1556">
      <c r="A1556" s="6">
        <f>Database!$A3641</f>
        <v/>
      </c>
      <c r="B1556">
        <f>IF(VLOOKUP(Table7[[#This Row],[Date]],Database!$A:$C,MATCH($B$1,Database!$A$1:$C$1,),)=0,#N/A,VLOOKUP(Table7[[#This Row],[Date]],Database!$A:$C,MATCH($B$1,Database!$A$1:$C$1,),))</f>
        <v/>
      </c>
      <c r="C1556">
        <f>IF(VLOOKUP(Table7[[#This Row],[Date]],Database!$A:$C,MATCH($C$1,Database!$A$1:$C$1,),)=0,#N/A,VLOOKUP(Table7[[#This Row],[Date]],Database!$A:$C,MATCH($C$1,Database!$A$1:$C$1,),))</f>
        <v/>
      </c>
      <c r="D1556">
        <f>IFERROR(Table7[[#This Row],[United States 10y]]-Table7[[#This Row],[United States 3y]],#N/A)</f>
        <v/>
      </c>
    </row>
    <row r="1557">
      <c r="A1557" s="6">
        <f>Database!$A3642</f>
        <v/>
      </c>
      <c r="B1557">
        <f>IF(VLOOKUP(Table7[[#This Row],[Date]],Database!$A:$C,MATCH($B$1,Database!$A$1:$C$1,),)=0,#N/A,VLOOKUP(Table7[[#This Row],[Date]],Database!$A:$C,MATCH($B$1,Database!$A$1:$C$1,),))</f>
        <v/>
      </c>
      <c r="C1557">
        <f>IF(VLOOKUP(Table7[[#This Row],[Date]],Database!$A:$C,MATCH($C$1,Database!$A$1:$C$1,),)=0,#N/A,VLOOKUP(Table7[[#This Row],[Date]],Database!$A:$C,MATCH($C$1,Database!$A$1:$C$1,),))</f>
        <v/>
      </c>
      <c r="D1557">
        <f>IFERROR(Table7[[#This Row],[United States 10y]]-Table7[[#This Row],[United States 3y]],#N/A)</f>
        <v/>
      </c>
    </row>
    <row r="1558">
      <c r="A1558" s="6">
        <f>Database!$A3643</f>
        <v/>
      </c>
      <c r="B1558">
        <f>IF(VLOOKUP(Table7[[#This Row],[Date]],Database!$A:$C,MATCH($B$1,Database!$A$1:$C$1,),)=0,#N/A,VLOOKUP(Table7[[#This Row],[Date]],Database!$A:$C,MATCH($B$1,Database!$A$1:$C$1,),))</f>
        <v/>
      </c>
      <c r="C1558">
        <f>IF(VLOOKUP(Table7[[#This Row],[Date]],Database!$A:$C,MATCH($C$1,Database!$A$1:$C$1,),)=0,#N/A,VLOOKUP(Table7[[#This Row],[Date]],Database!$A:$C,MATCH($C$1,Database!$A$1:$C$1,),))</f>
        <v/>
      </c>
      <c r="D1558">
        <f>IFERROR(Table7[[#This Row],[United States 10y]]-Table7[[#This Row],[United States 3y]],#N/A)</f>
        <v/>
      </c>
    </row>
    <row r="1559">
      <c r="A1559" s="6">
        <f>Database!$A3644</f>
        <v/>
      </c>
      <c r="B1559">
        <f>IF(VLOOKUP(Table7[[#This Row],[Date]],Database!$A:$C,MATCH($B$1,Database!$A$1:$C$1,),)=0,#N/A,VLOOKUP(Table7[[#This Row],[Date]],Database!$A:$C,MATCH($B$1,Database!$A$1:$C$1,),))</f>
        <v/>
      </c>
      <c r="C1559">
        <f>IF(VLOOKUP(Table7[[#This Row],[Date]],Database!$A:$C,MATCH($C$1,Database!$A$1:$C$1,),)=0,#N/A,VLOOKUP(Table7[[#This Row],[Date]],Database!$A:$C,MATCH($C$1,Database!$A$1:$C$1,),))</f>
        <v/>
      </c>
      <c r="D1559">
        <f>IFERROR(Table7[[#This Row],[United States 10y]]-Table7[[#This Row],[United States 3y]],#N/A)</f>
        <v/>
      </c>
    </row>
    <row r="1560">
      <c r="A1560" s="6">
        <f>Database!$A3645</f>
        <v/>
      </c>
      <c r="B1560">
        <f>IF(VLOOKUP(Table7[[#This Row],[Date]],Database!$A:$C,MATCH($B$1,Database!$A$1:$C$1,),)=0,#N/A,VLOOKUP(Table7[[#This Row],[Date]],Database!$A:$C,MATCH($B$1,Database!$A$1:$C$1,),))</f>
        <v/>
      </c>
      <c r="C1560">
        <f>IF(VLOOKUP(Table7[[#This Row],[Date]],Database!$A:$C,MATCH($C$1,Database!$A$1:$C$1,),)=0,#N/A,VLOOKUP(Table7[[#This Row],[Date]],Database!$A:$C,MATCH($C$1,Database!$A$1:$C$1,),))</f>
        <v/>
      </c>
      <c r="D1560">
        <f>IFERROR(Table7[[#This Row],[United States 10y]]-Table7[[#This Row],[United States 3y]],#N/A)</f>
        <v/>
      </c>
    </row>
    <row r="1561">
      <c r="A1561" s="6">
        <f>Database!$A3646</f>
        <v/>
      </c>
      <c r="B1561">
        <f>IF(VLOOKUP(Table7[[#This Row],[Date]],Database!$A:$C,MATCH($B$1,Database!$A$1:$C$1,),)=0,#N/A,VLOOKUP(Table7[[#This Row],[Date]],Database!$A:$C,MATCH($B$1,Database!$A$1:$C$1,),))</f>
        <v/>
      </c>
      <c r="C1561">
        <f>IF(VLOOKUP(Table7[[#This Row],[Date]],Database!$A:$C,MATCH($C$1,Database!$A$1:$C$1,),)=0,#N/A,VLOOKUP(Table7[[#This Row],[Date]],Database!$A:$C,MATCH($C$1,Database!$A$1:$C$1,),))</f>
        <v/>
      </c>
      <c r="D1561">
        <f>IFERROR(Table7[[#This Row],[United States 10y]]-Table7[[#This Row],[United States 3y]],#N/A)</f>
        <v/>
      </c>
    </row>
    <row r="1562">
      <c r="A1562" s="6">
        <f>Database!$A3647</f>
        <v/>
      </c>
      <c r="B1562">
        <f>IF(VLOOKUP(Table7[[#This Row],[Date]],Database!$A:$C,MATCH($B$1,Database!$A$1:$C$1,),)=0,#N/A,VLOOKUP(Table7[[#This Row],[Date]],Database!$A:$C,MATCH($B$1,Database!$A$1:$C$1,),))</f>
        <v/>
      </c>
      <c r="C1562">
        <f>IF(VLOOKUP(Table7[[#This Row],[Date]],Database!$A:$C,MATCH($C$1,Database!$A$1:$C$1,),)=0,#N/A,VLOOKUP(Table7[[#This Row],[Date]],Database!$A:$C,MATCH($C$1,Database!$A$1:$C$1,),))</f>
        <v/>
      </c>
      <c r="D1562">
        <f>IFERROR(Table7[[#This Row],[United States 10y]]-Table7[[#This Row],[United States 3y]],#N/A)</f>
        <v/>
      </c>
    </row>
    <row r="1563">
      <c r="A1563" s="6">
        <f>Database!$A3648</f>
        <v/>
      </c>
      <c r="B1563">
        <f>IF(VLOOKUP(Table7[[#This Row],[Date]],Database!$A:$C,MATCH($B$1,Database!$A$1:$C$1,),)=0,#N/A,VLOOKUP(Table7[[#This Row],[Date]],Database!$A:$C,MATCH($B$1,Database!$A$1:$C$1,),))</f>
        <v/>
      </c>
      <c r="C1563">
        <f>IF(VLOOKUP(Table7[[#This Row],[Date]],Database!$A:$C,MATCH($C$1,Database!$A$1:$C$1,),)=0,#N/A,VLOOKUP(Table7[[#This Row],[Date]],Database!$A:$C,MATCH($C$1,Database!$A$1:$C$1,),))</f>
        <v/>
      </c>
      <c r="D1563">
        <f>IFERROR(Table7[[#This Row],[United States 10y]]-Table7[[#This Row],[United States 3y]],#N/A)</f>
        <v/>
      </c>
    </row>
    <row r="1564">
      <c r="A1564" s="6">
        <f>Database!$A3649</f>
        <v/>
      </c>
      <c r="B1564">
        <f>IF(VLOOKUP(Table7[[#This Row],[Date]],Database!$A:$C,MATCH($B$1,Database!$A$1:$C$1,),)=0,#N/A,VLOOKUP(Table7[[#This Row],[Date]],Database!$A:$C,MATCH($B$1,Database!$A$1:$C$1,),))</f>
        <v/>
      </c>
      <c r="C1564">
        <f>IF(VLOOKUP(Table7[[#This Row],[Date]],Database!$A:$C,MATCH($C$1,Database!$A$1:$C$1,),)=0,#N/A,VLOOKUP(Table7[[#This Row],[Date]],Database!$A:$C,MATCH($C$1,Database!$A$1:$C$1,),))</f>
        <v/>
      </c>
      <c r="D1564">
        <f>IFERROR(Table7[[#This Row],[United States 10y]]-Table7[[#This Row],[United States 3y]],#N/A)</f>
        <v/>
      </c>
    </row>
    <row r="1565">
      <c r="A1565" s="6">
        <f>Database!$A3650</f>
        <v/>
      </c>
      <c r="B1565">
        <f>IF(VLOOKUP(Table7[[#This Row],[Date]],Database!$A:$C,MATCH($B$1,Database!$A$1:$C$1,),)=0,#N/A,VLOOKUP(Table7[[#This Row],[Date]],Database!$A:$C,MATCH($B$1,Database!$A$1:$C$1,),))</f>
        <v/>
      </c>
      <c r="C1565">
        <f>IF(VLOOKUP(Table7[[#This Row],[Date]],Database!$A:$C,MATCH($C$1,Database!$A$1:$C$1,),)=0,#N/A,VLOOKUP(Table7[[#This Row],[Date]],Database!$A:$C,MATCH($C$1,Database!$A$1:$C$1,),))</f>
        <v/>
      </c>
      <c r="D1565">
        <f>IFERROR(Table7[[#This Row],[United States 10y]]-Table7[[#This Row],[United States 3y]],#N/A)</f>
        <v/>
      </c>
    </row>
    <row r="1566">
      <c r="A1566" s="6">
        <f>Database!$A3651</f>
        <v/>
      </c>
      <c r="B1566">
        <f>IF(VLOOKUP(Table7[[#This Row],[Date]],Database!$A:$C,MATCH($B$1,Database!$A$1:$C$1,),)=0,#N/A,VLOOKUP(Table7[[#This Row],[Date]],Database!$A:$C,MATCH($B$1,Database!$A$1:$C$1,),))</f>
        <v/>
      </c>
      <c r="C1566">
        <f>IF(VLOOKUP(Table7[[#This Row],[Date]],Database!$A:$C,MATCH($C$1,Database!$A$1:$C$1,),)=0,#N/A,VLOOKUP(Table7[[#This Row],[Date]],Database!$A:$C,MATCH($C$1,Database!$A$1:$C$1,),))</f>
        <v/>
      </c>
      <c r="D1566">
        <f>IFERROR(Table7[[#This Row],[United States 10y]]-Table7[[#This Row],[United States 3y]],#N/A)</f>
        <v/>
      </c>
    </row>
    <row r="1567">
      <c r="A1567" s="6">
        <f>Database!$A3652</f>
        <v/>
      </c>
      <c r="B1567">
        <f>IF(VLOOKUP(Table7[[#This Row],[Date]],Database!$A:$C,MATCH($B$1,Database!$A$1:$C$1,),)=0,#N/A,VLOOKUP(Table7[[#This Row],[Date]],Database!$A:$C,MATCH($B$1,Database!$A$1:$C$1,),))</f>
        <v/>
      </c>
      <c r="C1567">
        <f>IF(VLOOKUP(Table7[[#This Row],[Date]],Database!$A:$C,MATCH($C$1,Database!$A$1:$C$1,),)=0,#N/A,VLOOKUP(Table7[[#This Row],[Date]],Database!$A:$C,MATCH($C$1,Database!$A$1:$C$1,),))</f>
        <v/>
      </c>
      <c r="D1567">
        <f>IFERROR(Table7[[#This Row],[United States 10y]]-Table7[[#This Row],[United States 3y]],#N/A)</f>
        <v/>
      </c>
    </row>
    <row r="1568">
      <c r="A1568" s="6">
        <f>Database!$A3653</f>
        <v/>
      </c>
      <c r="B1568">
        <f>IF(VLOOKUP(Table7[[#This Row],[Date]],Database!$A:$C,MATCH($B$1,Database!$A$1:$C$1,),)=0,#N/A,VLOOKUP(Table7[[#This Row],[Date]],Database!$A:$C,MATCH($B$1,Database!$A$1:$C$1,),))</f>
        <v/>
      </c>
      <c r="C1568">
        <f>IF(VLOOKUP(Table7[[#This Row],[Date]],Database!$A:$C,MATCH($C$1,Database!$A$1:$C$1,),)=0,#N/A,VLOOKUP(Table7[[#This Row],[Date]],Database!$A:$C,MATCH($C$1,Database!$A$1:$C$1,),))</f>
        <v/>
      </c>
      <c r="D1568">
        <f>IFERROR(Table7[[#This Row],[United States 10y]]-Table7[[#This Row],[United States 3y]],#N/A)</f>
        <v/>
      </c>
    </row>
    <row r="1569">
      <c r="A1569" s="6">
        <f>Database!$A3654</f>
        <v/>
      </c>
      <c r="B1569">
        <f>IF(VLOOKUP(Table7[[#This Row],[Date]],Database!$A:$C,MATCH($B$1,Database!$A$1:$C$1,),)=0,#N/A,VLOOKUP(Table7[[#This Row],[Date]],Database!$A:$C,MATCH($B$1,Database!$A$1:$C$1,),))</f>
        <v/>
      </c>
      <c r="C1569">
        <f>IF(VLOOKUP(Table7[[#This Row],[Date]],Database!$A:$C,MATCH($C$1,Database!$A$1:$C$1,),)=0,#N/A,VLOOKUP(Table7[[#This Row],[Date]],Database!$A:$C,MATCH($C$1,Database!$A$1:$C$1,),))</f>
        <v/>
      </c>
      <c r="D1569">
        <f>IFERROR(Table7[[#This Row],[United States 10y]]-Table7[[#This Row],[United States 3y]],#N/A)</f>
        <v/>
      </c>
    </row>
    <row r="1570">
      <c r="A1570" s="6">
        <f>Database!$A3655</f>
        <v/>
      </c>
      <c r="B1570">
        <f>IF(VLOOKUP(Table7[[#This Row],[Date]],Database!$A:$C,MATCH($B$1,Database!$A$1:$C$1,),)=0,#N/A,VLOOKUP(Table7[[#This Row],[Date]],Database!$A:$C,MATCH($B$1,Database!$A$1:$C$1,),))</f>
        <v/>
      </c>
      <c r="C1570">
        <f>IF(VLOOKUP(Table7[[#This Row],[Date]],Database!$A:$C,MATCH($C$1,Database!$A$1:$C$1,),)=0,#N/A,VLOOKUP(Table7[[#This Row],[Date]],Database!$A:$C,MATCH($C$1,Database!$A$1:$C$1,),))</f>
        <v/>
      </c>
      <c r="D1570">
        <f>IFERROR(Table7[[#This Row],[United States 10y]]-Table7[[#This Row],[United States 3y]],#N/A)</f>
        <v/>
      </c>
    </row>
    <row r="1571">
      <c r="A1571" s="6">
        <f>Database!$A3656</f>
        <v/>
      </c>
      <c r="B1571">
        <f>IF(VLOOKUP(Table7[[#This Row],[Date]],Database!$A:$C,MATCH($B$1,Database!$A$1:$C$1,),)=0,#N/A,VLOOKUP(Table7[[#This Row],[Date]],Database!$A:$C,MATCH($B$1,Database!$A$1:$C$1,),))</f>
        <v/>
      </c>
      <c r="C1571">
        <f>IF(VLOOKUP(Table7[[#This Row],[Date]],Database!$A:$C,MATCH($C$1,Database!$A$1:$C$1,),)=0,#N/A,VLOOKUP(Table7[[#This Row],[Date]],Database!$A:$C,MATCH($C$1,Database!$A$1:$C$1,),))</f>
        <v/>
      </c>
      <c r="D1571">
        <f>IFERROR(Table7[[#This Row],[United States 10y]]-Table7[[#This Row],[United States 3y]],#N/A)</f>
        <v/>
      </c>
    </row>
    <row r="1572">
      <c r="A1572" s="6">
        <f>Database!$A3657</f>
        <v/>
      </c>
      <c r="B1572">
        <f>IF(VLOOKUP(Table7[[#This Row],[Date]],Database!$A:$C,MATCH($B$1,Database!$A$1:$C$1,),)=0,#N/A,VLOOKUP(Table7[[#This Row],[Date]],Database!$A:$C,MATCH($B$1,Database!$A$1:$C$1,),))</f>
        <v/>
      </c>
      <c r="C1572">
        <f>IF(VLOOKUP(Table7[[#This Row],[Date]],Database!$A:$C,MATCH($C$1,Database!$A$1:$C$1,),)=0,#N/A,VLOOKUP(Table7[[#This Row],[Date]],Database!$A:$C,MATCH($C$1,Database!$A$1:$C$1,),))</f>
        <v/>
      </c>
      <c r="D1572">
        <f>IFERROR(Table7[[#This Row],[United States 10y]]-Table7[[#This Row],[United States 3y]],#N/A)</f>
        <v/>
      </c>
    </row>
    <row r="1573">
      <c r="A1573" s="6">
        <f>Database!$A3658</f>
        <v/>
      </c>
      <c r="B1573">
        <f>IF(VLOOKUP(Table7[[#This Row],[Date]],Database!$A:$C,MATCH($B$1,Database!$A$1:$C$1,),)=0,#N/A,VLOOKUP(Table7[[#This Row],[Date]],Database!$A:$C,MATCH($B$1,Database!$A$1:$C$1,),))</f>
        <v/>
      </c>
      <c r="C1573">
        <f>IF(VLOOKUP(Table7[[#This Row],[Date]],Database!$A:$C,MATCH($C$1,Database!$A$1:$C$1,),)=0,#N/A,VLOOKUP(Table7[[#This Row],[Date]],Database!$A:$C,MATCH($C$1,Database!$A$1:$C$1,),))</f>
        <v/>
      </c>
      <c r="D1573">
        <f>IFERROR(Table7[[#This Row],[United States 10y]]-Table7[[#This Row],[United States 3y]],#N/A)</f>
        <v/>
      </c>
    </row>
    <row r="1574">
      <c r="A1574" s="6">
        <f>Database!$A3659</f>
        <v/>
      </c>
      <c r="B1574">
        <f>IF(VLOOKUP(Table7[[#This Row],[Date]],Database!$A:$C,MATCH($B$1,Database!$A$1:$C$1,),)=0,#N/A,VLOOKUP(Table7[[#This Row],[Date]],Database!$A:$C,MATCH($B$1,Database!$A$1:$C$1,),))</f>
        <v/>
      </c>
      <c r="C1574">
        <f>IF(VLOOKUP(Table7[[#This Row],[Date]],Database!$A:$C,MATCH($C$1,Database!$A$1:$C$1,),)=0,#N/A,VLOOKUP(Table7[[#This Row],[Date]],Database!$A:$C,MATCH($C$1,Database!$A$1:$C$1,),))</f>
        <v/>
      </c>
      <c r="D1574">
        <f>IFERROR(Table7[[#This Row],[United States 10y]]-Table7[[#This Row],[United States 3y]],#N/A)</f>
        <v/>
      </c>
    </row>
    <row r="1575">
      <c r="A1575" s="6">
        <f>Database!$A3660</f>
        <v/>
      </c>
      <c r="B1575">
        <f>IF(VLOOKUP(Table7[[#This Row],[Date]],Database!$A:$C,MATCH($B$1,Database!$A$1:$C$1,),)=0,#N/A,VLOOKUP(Table7[[#This Row],[Date]],Database!$A:$C,MATCH($B$1,Database!$A$1:$C$1,),))</f>
        <v/>
      </c>
      <c r="C1575">
        <f>IF(VLOOKUP(Table7[[#This Row],[Date]],Database!$A:$C,MATCH($C$1,Database!$A$1:$C$1,),)=0,#N/A,VLOOKUP(Table7[[#This Row],[Date]],Database!$A:$C,MATCH($C$1,Database!$A$1:$C$1,),))</f>
        <v/>
      </c>
      <c r="D1575">
        <f>IFERROR(Table7[[#This Row],[United States 10y]]-Table7[[#This Row],[United States 3y]],#N/A)</f>
        <v/>
      </c>
    </row>
    <row r="1576">
      <c r="A1576" s="6">
        <f>Database!$A3661</f>
        <v/>
      </c>
      <c r="B1576">
        <f>IF(VLOOKUP(Table7[[#This Row],[Date]],Database!$A:$C,MATCH($B$1,Database!$A$1:$C$1,),)=0,#N/A,VLOOKUP(Table7[[#This Row],[Date]],Database!$A:$C,MATCH($B$1,Database!$A$1:$C$1,),))</f>
        <v/>
      </c>
      <c r="C1576">
        <f>IF(VLOOKUP(Table7[[#This Row],[Date]],Database!$A:$C,MATCH($C$1,Database!$A$1:$C$1,),)=0,#N/A,VLOOKUP(Table7[[#This Row],[Date]],Database!$A:$C,MATCH($C$1,Database!$A$1:$C$1,),))</f>
        <v/>
      </c>
      <c r="D1576">
        <f>IFERROR(Table7[[#This Row],[United States 10y]]-Table7[[#This Row],[United States 3y]],#N/A)</f>
        <v/>
      </c>
    </row>
    <row r="1577">
      <c r="A1577" s="6">
        <f>Database!$A3662</f>
        <v/>
      </c>
      <c r="B1577">
        <f>IF(VLOOKUP(Table7[[#This Row],[Date]],Database!$A:$C,MATCH($B$1,Database!$A$1:$C$1,),)=0,#N/A,VLOOKUP(Table7[[#This Row],[Date]],Database!$A:$C,MATCH($B$1,Database!$A$1:$C$1,),))</f>
        <v/>
      </c>
      <c r="C1577">
        <f>IF(VLOOKUP(Table7[[#This Row],[Date]],Database!$A:$C,MATCH($C$1,Database!$A$1:$C$1,),)=0,#N/A,VLOOKUP(Table7[[#This Row],[Date]],Database!$A:$C,MATCH($C$1,Database!$A$1:$C$1,),))</f>
        <v/>
      </c>
      <c r="D1577">
        <f>IFERROR(Table7[[#This Row],[United States 10y]]-Table7[[#This Row],[United States 3y]],#N/A)</f>
        <v/>
      </c>
    </row>
    <row r="1578">
      <c r="A1578" s="6">
        <f>Database!$A3663</f>
        <v/>
      </c>
      <c r="B1578">
        <f>IF(VLOOKUP(Table7[[#This Row],[Date]],Database!$A:$C,MATCH($B$1,Database!$A$1:$C$1,),)=0,#N/A,VLOOKUP(Table7[[#This Row],[Date]],Database!$A:$C,MATCH($B$1,Database!$A$1:$C$1,),))</f>
        <v/>
      </c>
      <c r="C1578">
        <f>IF(VLOOKUP(Table7[[#This Row],[Date]],Database!$A:$C,MATCH($C$1,Database!$A$1:$C$1,),)=0,#N/A,VLOOKUP(Table7[[#This Row],[Date]],Database!$A:$C,MATCH($C$1,Database!$A$1:$C$1,),))</f>
        <v/>
      </c>
      <c r="D1578">
        <f>IFERROR(Table7[[#This Row],[United States 10y]]-Table7[[#This Row],[United States 3y]],#N/A)</f>
        <v/>
      </c>
    </row>
    <row r="1579">
      <c r="A1579" s="6">
        <f>Database!$A3664</f>
        <v/>
      </c>
      <c r="B1579">
        <f>IF(VLOOKUP(Table7[[#This Row],[Date]],Database!$A:$C,MATCH($B$1,Database!$A$1:$C$1,),)=0,#N/A,VLOOKUP(Table7[[#This Row],[Date]],Database!$A:$C,MATCH($B$1,Database!$A$1:$C$1,),))</f>
        <v/>
      </c>
      <c r="C1579">
        <f>IF(VLOOKUP(Table7[[#This Row],[Date]],Database!$A:$C,MATCH($C$1,Database!$A$1:$C$1,),)=0,#N/A,VLOOKUP(Table7[[#This Row],[Date]],Database!$A:$C,MATCH($C$1,Database!$A$1:$C$1,),))</f>
        <v/>
      </c>
      <c r="D1579">
        <f>IFERROR(Table7[[#This Row],[United States 10y]]-Table7[[#This Row],[United States 3y]],#N/A)</f>
        <v/>
      </c>
    </row>
    <row r="1580">
      <c r="A1580" s="6">
        <f>Database!$A3665</f>
        <v/>
      </c>
      <c r="B1580">
        <f>IF(VLOOKUP(Table7[[#This Row],[Date]],Database!$A:$C,MATCH($B$1,Database!$A$1:$C$1,),)=0,#N/A,VLOOKUP(Table7[[#This Row],[Date]],Database!$A:$C,MATCH($B$1,Database!$A$1:$C$1,),))</f>
        <v/>
      </c>
      <c r="C1580">
        <f>IF(VLOOKUP(Table7[[#This Row],[Date]],Database!$A:$C,MATCH($C$1,Database!$A$1:$C$1,),)=0,#N/A,VLOOKUP(Table7[[#This Row],[Date]],Database!$A:$C,MATCH($C$1,Database!$A$1:$C$1,),))</f>
        <v/>
      </c>
      <c r="D1580">
        <f>IFERROR(Table7[[#This Row],[United States 10y]]-Table7[[#This Row],[United States 3y]],#N/A)</f>
        <v/>
      </c>
    </row>
    <row r="1581">
      <c r="A1581" s="6">
        <f>Database!$A3666</f>
        <v/>
      </c>
      <c r="B1581">
        <f>IF(VLOOKUP(Table7[[#This Row],[Date]],Database!$A:$C,MATCH($B$1,Database!$A$1:$C$1,),)=0,#N/A,VLOOKUP(Table7[[#This Row],[Date]],Database!$A:$C,MATCH($B$1,Database!$A$1:$C$1,),))</f>
        <v/>
      </c>
      <c r="C1581">
        <f>IF(VLOOKUP(Table7[[#This Row],[Date]],Database!$A:$C,MATCH($C$1,Database!$A$1:$C$1,),)=0,#N/A,VLOOKUP(Table7[[#This Row],[Date]],Database!$A:$C,MATCH($C$1,Database!$A$1:$C$1,),))</f>
        <v/>
      </c>
      <c r="D1581">
        <f>IFERROR(Table7[[#This Row],[United States 10y]]-Table7[[#This Row],[United States 3y]],#N/A)</f>
        <v/>
      </c>
    </row>
    <row r="1582">
      <c r="A1582" s="6">
        <f>Database!$A3667</f>
        <v/>
      </c>
      <c r="B1582">
        <f>IF(VLOOKUP(Table7[[#This Row],[Date]],Database!$A:$C,MATCH($B$1,Database!$A$1:$C$1,),)=0,#N/A,VLOOKUP(Table7[[#This Row],[Date]],Database!$A:$C,MATCH($B$1,Database!$A$1:$C$1,),))</f>
        <v/>
      </c>
      <c r="C1582">
        <f>IF(VLOOKUP(Table7[[#This Row],[Date]],Database!$A:$C,MATCH($C$1,Database!$A$1:$C$1,),)=0,#N/A,VLOOKUP(Table7[[#This Row],[Date]],Database!$A:$C,MATCH($C$1,Database!$A$1:$C$1,),))</f>
        <v/>
      </c>
      <c r="D1582">
        <f>IFERROR(Table7[[#This Row],[United States 10y]]-Table7[[#This Row],[United States 3y]],#N/A)</f>
        <v/>
      </c>
    </row>
    <row r="1583">
      <c r="A1583" s="6">
        <f>Database!$A3668</f>
        <v/>
      </c>
      <c r="B1583">
        <f>IF(VLOOKUP(Table7[[#This Row],[Date]],Database!$A:$C,MATCH($B$1,Database!$A$1:$C$1,),)=0,#N/A,VLOOKUP(Table7[[#This Row],[Date]],Database!$A:$C,MATCH($B$1,Database!$A$1:$C$1,),))</f>
        <v/>
      </c>
      <c r="C1583">
        <f>IF(VLOOKUP(Table7[[#This Row],[Date]],Database!$A:$C,MATCH($C$1,Database!$A$1:$C$1,),)=0,#N/A,VLOOKUP(Table7[[#This Row],[Date]],Database!$A:$C,MATCH($C$1,Database!$A$1:$C$1,),))</f>
        <v/>
      </c>
      <c r="D1583">
        <f>IFERROR(Table7[[#This Row],[United States 10y]]-Table7[[#This Row],[United States 3y]],#N/A)</f>
        <v/>
      </c>
    </row>
    <row r="1584">
      <c r="A1584" s="6">
        <f>Database!$A3669</f>
        <v/>
      </c>
      <c r="B1584">
        <f>IF(VLOOKUP(Table7[[#This Row],[Date]],Database!$A:$C,MATCH($B$1,Database!$A$1:$C$1,),)=0,#N/A,VLOOKUP(Table7[[#This Row],[Date]],Database!$A:$C,MATCH($B$1,Database!$A$1:$C$1,),))</f>
        <v/>
      </c>
      <c r="C1584">
        <f>IF(VLOOKUP(Table7[[#This Row],[Date]],Database!$A:$C,MATCH($C$1,Database!$A$1:$C$1,),)=0,#N/A,VLOOKUP(Table7[[#This Row],[Date]],Database!$A:$C,MATCH($C$1,Database!$A$1:$C$1,),))</f>
        <v/>
      </c>
      <c r="D1584">
        <f>IFERROR(Table7[[#This Row],[United States 10y]]-Table7[[#This Row],[United States 3y]],#N/A)</f>
        <v/>
      </c>
    </row>
    <row r="1585">
      <c r="A1585" s="6">
        <f>Database!$A3670</f>
        <v/>
      </c>
      <c r="B1585">
        <f>IF(VLOOKUP(Table7[[#This Row],[Date]],Database!$A:$C,MATCH($B$1,Database!$A$1:$C$1,),)=0,#N/A,VLOOKUP(Table7[[#This Row],[Date]],Database!$A:$C,MATCH($B$1,Database!$A$1:$C$1,),))</f>
        <v/>
      </c>
      <c r="C1585">
        <f>IF(VLOOKUP(Table7[[#This Row],[Date]],Database!$A:$C,MATCH($C$1,Database!$A$1:$C$1,),)=0,#N/A,VLOOKUP(Table7[[#This Row],[Date]],Database!$A:$C,MATCH($C$1,Database!$A$1:$C$1,),))</f>
        <v/>
      </c>
      <c r="D1585">
        <f>IFERROR(Table7[[#This Row],[United States 10y]]-Table7[[#This Row],[United States 3y]],#N/A)</f>
        <v/>
      </c>
    </row>
    <row r="1586">
      <c r="A1586" s="6">
        <f>Database!$A3671</f>
        <v/>
      </c>
      <c r="B1586">
        <f>IF(VLOOKUP(Table7[[#This Row],[Date]],Database!$A:$C,MATCH($B$1,Database!$A$1:$C$1,),)=0,#N/A,VLOOKUP(Table7[[#This Row],[Date]],Database!$A:$C,MATCH($B$1,Database!$A$1:$C$1,),))</f>
        <v/>
      </c>
      <c r="C1586">
        <f>IF(VLOOKUP(Table7[[#This Row],[Date]],Database!$A:$C,MATCH($C$1,Database!$A$1:$C$1,),)=0,#N/A,VLOOKUP(Table7[[#This Row],[Date]],Database!$A:$C,MATCH($C$1,Database!$A$1:$C$1,),))</f>
        <v/>
      </c>
      <c r="D1586">
        <f>IFERROR(Table7[[#This Row],[United States 10y]]-Table7[[#This Row],[United States 3y]],#N/A)</f>
        <v/>
      </c>
    </row>
    <row r="1587">
      <c r="A1587" s="6">
        <f>Database!$A3672</f>
        <v/>
      </c>
      <c r="B1587">
        <f>IF(VLOOKUP(Table7[[#This Row],[Date]],Database!$A:$C,MATCH($B$1,Database!$A$1:$C$1,),)=0,#N/A,VLOOKUP(Table7[[#This Row],[Date]],Database!$A:$C,MATCH($B$1,Database!$A$1:$C$1,),))</f>
        <v/>
      </c>
      <c r="C1587">
        <f>IF(VLOOKUP(Table7[[#This Row],[Date]],Database!$A:$C,MATCH($C$1,Database!$A$1:$C$1,),)=0,#N/A,VLOOKUP(Table7[[#This Row],[Date]],Database!$A:$C,MATCH($C$1,Database!$A$1:$C$1,),))</f>
        <v/>
      </c>
      <c r="D1587">
        <f>IFERROR(Table7[[#This Row],[United States 10y]]-Table7[[#This Row],[United States 3y]],#N/A)</f>
        <v/>
      </c>
    </row>
    <row r="1588">
      <c r="A1588" s="6">
        <f>Database!$A3673</f>
        <v/>
      </c>
      <c r="B1588">
        <f>IF(VLOOKUP(Table7[[#This Row],[Date]],Database!$A:$C,MATCH($B$1,Database!$A$1:$C$1,),)=0,#N/A,VLOOKUP(Table7[[#This Row],[Date]],Database!$A:$C,MATCH($B$1,Database!$A$1:$C$1,),))</f>
        <v/>
      </c>
      <c r="C1588">
        <f>IF(VLOOKUP(Table7[[#This Row],[Date]],Database!$A:$C,MATCH($C$1,Database!$A$1:$C$1,),)=0,#N/A,VLOOKUP(Table7[[#This Row],[Date]],Database!$A:$C,MATCH($C$1,Database!$A$1:$C$1,),))</f>
        <v/>
      </c>
      <c r="D1588">
        <f>IFERROR(Table7[[#This Row],[United States 10y]]-Table7[[#This Row],[United States 3y]],#N/A)</f>
        <v/>
      </c>
    </row>
    <row r="1589">
      <c r="A1589" s="6">
        <f>Database!$A3674</f>
        <v/>
      </c>
      <c r="B1589">
        <f>IF(VLOOKUP(Table7[[#This Row],[Date]],Database!$A:$C,MATCH($B$1,Database!$A$1:$C$1,),)=0,#N/A,VLOOKUP(Table7[[#This Row],[Date]],Database!$A:$C,MATCH($B$1,Database!$A$1:$C$1,),))</f>
        <v/>
      </c>
      <c r="C1589">
        <f>IF(VLOOKUP(Table7[[#This Row],[Date]],Database!$A:$C,MATCH($C$1,Database!$A$1:$C$1,),)=0,#N/A,VLOOKUP(Table7[[#This Row],[Date]],Database!$A:$C,MATCH($C$1,Database!$A$1:$C$1,),))</f>
        <v/>
      </c>
      <c r="D1589">
        <f>IFERROR(Table7[[#This Row],[United States 10y]]-Table7[[#This Row],[United States 3y]],#N/A)</f>
        <v/>
      </c>
    </row>
    <row r="1590">
      <c r="A1590" s="6">
        <f>Database!$A3675</f>
        <v/>
      </c>
      <c r="B1590">
        <f>IF(VLOOKUP(Table7[[#This Row],[Date]],Database!$A:$C,MATCH($B$1,Database!$A$1:$C$1,),)=0,#N/A,VLOOKUP(Table7[[#This Row],[Date]],Database!$A:$C,MATCH($B$1,Database!$A$1:$C$1,),))</f>
        <v/>
      </c>
      <c r="C1590">
        <f>IF(VLOOKUP(Table7[[#This Row],[Date]],Database!$A:$C,MATCH($C$1,Database!$A$1:$C$1,),)=0,#N/A,VLOOKUP(Table7[[#This Row],[Date]],Database!$A:$C,MATCH($C$1,Database!$A$1:$C$1,),))</f>
        <v/>
      </c>
      <c r="D1590">
        <f>IFERROR(Table7[[#This Row],[United States 10y]]-Table7[[#This Row],[United States 3y]],#N/A)</f>
        <v/>
      </c>
    </row>
    <row r="1591">
      <c r="A1591" s="6">
        <f>Database!$A3676</f>
        <v/>
      </c>
      <c r="B1591">
        <f>IF(VLOOKUP(Table7[[#This Row],[Date]],Database!$A:$C,MATCH($B$1,Database!$A$1:$C$1,),)=0,#N/A,VLOOKUP(Table7[[#This Row],[Date]],Database!$A:$C,MATCH($B$1,Database!$A$1:$C$1,),))</f>
        <v/>
      </c>
      <c r="C1591">
        <f>IF(VLOOKUP(Table7[[#This Row],[Date]],Database!$A:$C,MATCH($C$1,Database!$A$1:$C$1,),)=0,#N/A,VLOOKUP(Table7[[#This Row],[Date]],Database!$A:$C,MATCH($C$1,Database!$A$1:$C$1,),))</f>
        <v/>
      </c>
      <c r="D1591">
        <f>IFERROR(Table7[[#This Row],[United States 10y]]-Table7[[#This Row],[United States 3y]],#N/A)</f>
        <v/>
      </c>
    </row>
    <row r="1592">
      <c r="A1592" s="6">
        <f>Database!$A3677</f>
        <v/>
      </c>
      <c r="B1592">
        <f>IF(VLOOKUP(Table7[[#This Row],[Date]],Database!$A:$C,MATCH($B$1,Database!$A$1:$C$1,),)=0,#N/A,VLOOKUP(Table7[[#This Row],[Date]],Database!$A:$C,MATCH($B$1,Database!$A$1:$C$1,),))</f>
        <v/>
      </c>
      <c r="C1592">
        <f>IF(VLOOKUP(Table7[[#This Row],[Date]],Database!$A:$C,MATCH($C$1,Database!$A$1:$C$1,),)=0,#N/A,VLOOKUP(Table7[[#This Row],[Date]],Database!$A:$C,MATCH($C$1,Database!$A$1:$C$1,),))</f>
        <v/>
      </c>
      <c r="D1592">
        <f>IFERROR(Table7[[#This Row],[United States 10y]]-Table7[[#This Row],[United States 3y]],#N/A)</f>
        <v/>
      </c>
    </row>
    <row r="1593">
      <c r="A1593" s="6">
        <f>Database!$A3678</f>
        <v/>
      </c>
      <c r="B1593">
        <f>IF(VLOOKUP(Table7[[#This Row],[Date]],Database!$A:$C,MATCH($B$1,Database!$A$1:$C$1,),)=0,#N/A,VLOOKUP(Table7[[#This Row],[Date]],Database!$A:$C,MATCH($B$1,Database!$A$1:$C$1,),))</f>
        <v/>
      </c>
      <c r="C1593">
        <f>IF(VLOOKUP(Table7[[#This Row],[Date]],Database!$A:$C,MATCH($C$1,Database!$A$1:$C$1,),)=0,#N/A,VLOOKUP(Table7[[#This Row],[Date]],Database!$A:$C,MATCH($C$1,Database!$A$1:$C$1,),))</f>
        <v/>
      </c>
      <c r="D1593">
        <f>IFERROR(Table7[[#This Row],[United States 10y]]-Table7[[#This Row],[United States 3y]],#N/A)</f>
        <v/>
      </c>
    </row>
    <row r="1594">
      <c r="A1594" s="6">
        <f>Database!$A3679</f>
        <v/>
      </c>
      <c r="B1594">
        <f>IF(VLOOKUP(Table7[[#This Row],[Date]],Database!$A:$C,MATCH($B$1,Database!$A$1:$C$1,),)=0,#N/A,VLOOKUP(Table7[[#This Row],[Date]],Database!$A:$C,MATCH($B$1,Database!$A$1:$C$1,),))</f>
        <v/>
      </c>
      <c r="C1594">
        <f>IF(VLOOKUP(Table7[[#This Row],[Date]],Database!$A:$C,MATCH($C$1,Database!$A$1:$C$1,),)=0,#N/A,VLOOKUP(Table7[[#This Row],[Date]],Database!$A:$C,MATCH($C$1,Database!$A$1:$C$1,),))</f>
        <v/>
      </c>
      <c r="D1594">
        <f>IFERROR(Table7[[#This Row],[United States 10y]]-Table7[[#This Row],[United States 3y]],#N/A)</f>
        <v/>
      </c>
    </row>
    <row r="1595">
      <c r="A1595" s="6">
        <f>Database!$A3680</f>
        <v/>
      </c>
      <c r="B1595">
        <f>IF(VLOOKUP(Table7[[#This Row],[Date]],Database!$A:$C,MATCH($B$1,Database!$A$1:$C$1,),)=0,#N/A,VLOOKUP(Table7[[#This Row],[Date]],Database!$A:$C,MATCH($B$1,Database!$A$1:$C$1,),))</f>
        <v/>
      </c>
      <c r="C1595">
        <f>IF(VLOOKUP(Table7[[#This Row],[Date]],Database!$A:$C,MATCH($C$1,Database!$A$1:$C$1,),)=0,#N/A,VLOOKUP(Table7[[#This Row],[Date]],Database!$A:$C,MATCH($C$1,Database!$A$1:$C$1,),))</f>
        <v/>
      </c>
      <c r="D1595">
        <f>IFERROR(Table7[[#This Row],[United States 10y]]-Table7[[#This Row],[United States 3y]],#N/A)</f>
        <v/>
      </c>
    </row>
    <row r="1596">
      <c r="A1596" s="6">
        <f>Database!$A3681</f>
        <v/>
      </c>
      <c r="B1596">
        <f>IF(VLOOKUP(Table7[[#This Row],[Date]],Database!$A:$C,MATCH($B$1,Database!$A$1:$C$1,),)=0,#N/A,VLOOKUP(Table7[[#This Row],[Date]],Database!$A:$C,MATCH($B$1,Database!$A$1:$C$1,),))</f>
        <v/>
      </c>
      <c r="C1596">
        <f>IF(VLOOKUP(Table7[[#This Row],[Date]],Database!$A:$C,MATCH($C$1,Database!$A$1:$C$1,),)=0,#N/A,VLOOKUP(Table7[[#This Row],[Date]],Database!$A:$C,MATCH($C$1,Database!$A$1:$C$1,),))</f>
        <v/>
      </c>
      <c r="D1596">
        <f>IFERROR(Table7[[#This Row],[United States 10y]]-Table7[[#This Row],[United States 3y]],#N/A)</f>
        <v/>
      </c>
    </row>
    <row r="1597">
      <c r="A1597" s="6">
        <f>Database!$A3682</f>
        <v/>
      </c>
      <c r="B1597">
        <f>IF(VLOOKUP(Table7[[#This Row],[Date]],Database!$A:$C,MATCH($B$1,Database!$A$1:$C$1,),)=0,#N/A,VLOOKUP(Table7[[#This Row],[Date]],Database!$A:$C,MATCH($B$1,Database!$A$1:$C$1,),))</f>
        <v/>
      </c>
      <c r="C1597">
        <f>IF(VLOOKUP(Table7[[#This Row],[Date]],Database!$A:$C,MATCH($C$1,Database!$A$1:$C$1,),)=0,#N/A,VLOOKUP(Table7[[#This Row],[Date]],Database!$A:$C,MATCH($C$1,Database!$A$1:$C$1,),))</f>
        <v/>
      </c>
      <c r="D1597">
        <f>IFERROR(Table7[[#This Row],[United States 10y]]-Table7[[#This Row],[United States 3y]],#N/A)</f>
        <v/>
      </c>
    </row>
    <row r="1598">
      <c r="A1598" s="6">
        <f>Database!$A3683</f>
        <v/>
      </c>
      <c r="B1598">
        <f>IF(VLOOKUP(Table7[[#This Row],[Date]],Database!$A:$C,MATCH($B$1,Database!$A$1:$C$1,),)=0,#N/A,VLOOKUP(Table7[[#This Row],[Date]],Database!$A:$C,MATCH($B$1,Database!$A$1:$C$1,),))</f>
        <v/>
      </c>
      <c r="C1598">
        <f>IF(VLOOKUP(Table7[[#This Row],[Date]],Database!$A:$C,MATCH($C$1,Database!$A$1:$C$1,),)=0,#N/A,VLOOKUP(Table7[[#This Row],[Date]],Database!$A:$C,MATCH($C$1,Database!$A$1:$C$1,),))</f>
        <v/>
      </c>
      <c r="D1598">
        <f>IFERROR(Table7[[#This Row],[United States 10y]]-Table7[[#This Row],[United States 3y]],#N/A)</f>
        <v/>
      </c>
    </row>
    <row r="1599">
      <c r="A1599" s="6">
        <f>Database!$A3684</f>
        <v/>
      </c>
      <c r="B1599">
        <f>IF(VLOOKUP(Table7[[#This Row],[Date]],Database!$A:$C,MATCH($B$1,Database!$A$1:$C$1,),)=0,#N/A,VLOOKUP(Table7[[#This Row],[Date]],Database!$A:$C,MATCH($B$1,Database!$A$1:$C$1,),))</f>
        <v/>
      </c>
      <c r="C1599">
        <f>IF(VLOOKUP(Table7[[#This Row],[Date]],Database!$A:$C,MATCH($C$1,Database!$A$1:$C$1,),)=0,#N/A,VLOOKUP(Table7[[#This Row],[Date]],Database!$A:$C,MATCH($C$1,Database!$A$1:$C$1,),))</f>
        <v/>
      </c>
      <c r="D1599">
        <f>IFERROR(Table7[[#This Row],[United States 10y]]-Table7[[#This Row],[United States 3y]],#N/A)</f>
        <v/>
      </c>
    </row>
    <row r="1600">
      <c r="A1600" s="6">
        <f>Database!$A3685</f>
        <v/>
      </c>
      <c r="B1600">
        <f>IF(VLOOKUP(Table7[[#This Row],[Date]],Database!$A:$C,MATCH($B$1,Database!$A$1:$C$1,),)=0,#N/A,VLOOKUP(Table7[[#This Row],[Date]],Database!$A:$C,MATCH($B$1,Database!$A$1:$C$1,),))</f>
        <v/>
      </c>
      <c r="C1600">
        <f>IF(VLOOKUP(Table7[[#This Row],[Date]],Database!$A:$C,MATCH($C$1,Database!$A$1:$C$1,),)=0,#N/A,VLOOKUP(Table7[[#This Row],[Date]],Database!$A:$C,MATCH($C$1,Database!$A$1:$C$1,),))</f>
        <v/>
      </c>
      <c r="D1600">
        <f>IFERROR(Table7[[#This Row],[United States 10y]]-Table7[[#This Row],[United States 3y]],#N/A)</f>
        <v/>
      </c>
    </row>
    <row r="1601">
      <c r="A1601" s="6">
        <f>Database!$A3686</f>
        <v/>
      </c>
      <c r="B1601">
        <f>IF(VLOOKUP(Table7[[#This Row],[Date]],Database!$A:$C,MATCH($B$1,Database!$A$1:$C$1,),)=0,#N/A,VLOOKUP(Table7[[#This Row],[Date]],Database!$A:$C,MATCH($B$1,Database!$A$1:$C$1,),))</f>
        <v/>
      </c>
      <c r="C1601">
        <f>IF(VLOOKUP(Table7[[#This Row],[Date]],Database!$A:$C,MATCH($C$1,Database!$A$1:$C$1,),)=0,#N/A,VLOOKUP(Table7[[#This Row],[Date]],Database!$A:$C,MATCH($C$1,Database!$A$1:$C$1,),))</f>
        <v/>
      </c>
      <c r="D1601">
        <f>IFERROR(Table7[[#This Row],[United States 10y]]-Table7[[#This Row],[United States 3y]],#N/A)</f>
        <v/>
      </c>
    </row>
    <row r="1602">
      <c r="A1602" s="6">
        <f>Database!$A3687</f>
        <v/>
      </c>
      <c r="B1602">
        <f>IF(VLOOKUP(Table7[[#This Row],[Date]],Database!$A:$C,MATCH($B$1,Database!$A$1:$C$1,),)=0,#N/A,VLOOKUP(Table7[[#This Row],[Date]],Database!$A:$C,MATCH($B$1,Database!$A$1:$C$1,),))</f>
        <v/>
      </c>
      <c r="C1602">
        <f>IF(VLOOKUP(Table7[[#This Row],[Date]],Database!$A:$C,MATCH($C$1,Database!$A$1:$C$1,),)=0,#N/A,VLOOKUP(Table7[[#This Row],[Date]],Database!$A:$C,MATCH($C$1,Database!$A$1:$C$1,),))</f>
        <v/>
      </c>
      <c r="D1602">
        <f>IFERROR(Table7[[#This Row],[United States 10y]]-Table7[[#This Row],[United States 3y]],#N/A)</f>
        <v/>
      </c>
    </row>
    <row r="1603">
      <c r="A1603" s="6">
        <f>Database!$A3688</f>
        <v/>
      </c>
      <c r="B1603">
        <f>IF(VLOOKUP(Table7[[#This Row],[Date]],Database!$A:$C,MATCH($B$1,Database!$A$1:$C$1,),)=0,#N/A,VLOOKUP(Table7[[#This Row],[Date]],Database!$A:$C,MATCH($B$1,Database!$A$1:$C$1,),))</f>
        <v/>
      </c>
      <c r="C1603">
        <f>IF(VLOOKUP(Table7[[#This Row],[Date]],Database!$A:$C,MATCH($C$1,Database!$A$1:$C$1,),)=0,#N/A,VLOOKUP(Table7[[#This Row],[Date]],Database!$A:$C,MATCH($C$1,Database!$A$1:$C$1,),))</f>
        <v/>
      </c>
      <c r="D1603">
        <f>IFERROR(Table7[[#This Row],[United States 10y]]-Table7[[#This Row],[United States 3y]],#N/A)</f>
        <v/>
      </c>
    </row>
    <row r="1604">
      <c r="A1604" s="6">
        <f>Database!$A3689</f>
        <v/>
      </c>
      <c r="B1604">
        <f>IF(VLOOKUP(Table7[[#This Row],[Date]],Database!$A:$C,MATCH($B$1,Database!$A$1:$C$1,),)=0,#N/A,VLOOKUP(Table7[[#This Row],[Date]],Database!$A:$C,MATCH($B$1,Database!$A$1:$C$1,),))</f>
        <v/>
      </c>
      <c r="C1604">
        <f>IF(VLOOKUP(Table7[[#This Row],[Date]],Database!$A:$C,MATCH($C$1,Database!$A$1:$C$1,),)=0,#N/A,VLOOKUP(Table7[[#This Row],[Date]],Database!$A:$C,MATCH($C$1,Database!$A$1:$C$1,),))</f>
        <v/>
      </c>
      <c r="D1604">
        <f>IFERROR(Table7[[#This Row],[United States 10y]]-Table7[[#This Row],[United States 3y]],#N/A)</f>
        <v/>
      </c>
    </row>
    <row r="1605">
      <c r="A1605" s="6">
        <f>Database!$A3690</f>
        <v/>
      </c>
      <c r="B1605">
        <f>IF(VLOOKUP(Table7[[#This Row],[Date]],Database!$A:$C,MATCH($B$1,Database!$A$1:$C$1,),)=0,#N/A,VLOOKUP(Table7[[#This Row],[Date]],Database!$A:$C,MATCH($B$1,Database!$A$1:$C$1,),))</f>
        <v/>
      </c>
      <c r="C1605">
        <f>IF(VLOOKUP(Table7[[#This Row],[Date]],Database!$A:$C,MATCH($C$1,Database!$A$1:$C$1,),)=0,#N/A,VLOOKUP(Table7[[#This Row],[Date]],Database!$A:$C,MATCH($C$1,Database!$A$1:$C$1,),))</f>
        <v/>
      </c>
      <c r="D1605">
        <f>IFERROR(Table7[[#This Row],[United States 10y]]-Table7[[#This Row],[United States 3y]],#N/A)</f>
        <v/>
      </c>
    </row>
    <row r="1606">
      <c r="A1606" s="6">
        <f>Database!$A3691</f>
        <v/>
      </c>
      <c r="B1606">
        <f>IF(VLOOKUP(Table7[[#This Row],[Date]],Database!$A:$C,MATCH($B$1,Database!$A$1:$C$1,),)=0,#N/A,VLOOKUP(Table7[[#This Row],[Date]],Database!$A:$C,MATCH($B$1,Database!$A$1:$C$1,),))</f>
        <v/>
      </c>
      <c r="C1606">
        <f>IF(VLOOKUP(Table7[[#This Row],[Date]],Database!$A:$C,MATCH($C$1,Database!$A$1:$C$1,),)=0,#N/A,VLOOKUP(Table7[[#This Row],[Date]],Database!$A:$C,MATCH($C$1,Database!$A$1:$C$1,),))</f>
        <v/>
      </c>
      <c r="D1606">
        <f>IFERROR(Table7[[#This Row],[United States 10y]]-Table7[[#This Row],[United States 3y]],#N/A)</f>
        <v/>
      </c>
    </row>
    <row r="1607">
      <c r="A1607" s="6">
        <f>Database!$A3692</f>
        <v/>
      </c>
      <c r="B1607">
        <f>IF(VLOOKUP(Table7[[#This Row],[Date]],Database!$A:$C,MATCH($B$1,Database!$A$1:$C$1,),)=0,#N/A,VLOOKUP(Table7[[#This Row],[Date]],Database!$A:$C,MATCH($B$1,Database!$A$1:$C$1,),))</f>
        <v/>
      </c>
      <c r="C1607">
        <f>IF(VLOOKUP(Table7[[#This Row],[Date]],Database!$A:$C,MATCH($C$1,Database!$A$1:$C$1,),)=0,#N/A,VLOOKUP(Table7[[#This Row],[Date]],Database!$A:$C,MATCH($C$1,Database!$A$1:$C$1,),))</f>
        <v/>
      </c>
      <c r="D1607">
        <f>IFERROR(Table7[[#This Row],[United States 10y]]-Table7[[#This Row],[United States 3y]],#N/A)</f>
        <v/>
      </c>
    </row>
    <row r="1608">
      <c r="A1608" s="6">
        <f>Database!$A3693</f>
        <v/>
      </c>
      <c r="B1608">
        <f>IF(VLOOKUP(Table7[[#This Row],[Date]],Database!$A:$C,MATCH($B$1,Database!$A$1:$C$1,),)=0,#N/A,VLOOKUP(Table7[[#This Row],[Date]],Database!$A:$C,MATCH($B$1,Database!$A$1:$C$1,),))</f>
        <v/>
      </c>
      <c r="C1608">
        <f>IF(VLOOKUP(Table7[[#This Row],[Date]],Database!$A:$C,MATCH($C$1,Database!$A$1:$C$1,),)=0,#N/A,VLOOKUP(Table7[[#This Row],[Date]],Database!$A:$C,MATCH($C$1,Database!$A$1:$C$1,),))</f>
        <v/>
      </c>
      <c r="D1608">
        <f>IFERROR(Table7[[#This Row],[United States 10y]]-Table7[[#This Row],[United States 3y]],#N/A)</f>
        <v/>
      </c>
    </row>
    <row r="1609">
      <c r="A1609" s="6">
        <f>Database!$A3694</f>
        <v/>
      </c>
      <c r="B1609">
        <f>IF(VLOOKUP(Table7[[#This Row],[Date]],Database!$A:$C,MATCH($B$1,Database!$A$1:$C$1,),)=0,#N/A,VLOOKUP(Table7[[#This Row],[Date]],Database!$A:$C,MATCH($B$1,Database!$A$1:$C$1,),))</f>
        <v/>
      </c>
      <c r="C1609">
        <f>IF(VLOOKUP(Table7[[#This Row],[Date]],Database!$A:$C,MATCH($C$1,Database!$A$1:$C$1,),)=0,#N/A,VLOOKUP(Table7[[#This Row],[Date]],Database!$A:$C,MATCH($C$1,Database!$A$1:$C$1,),))</f>
        <v/>
      </c>
      <c r="D1609">
        <f>IFERROR(Table7[[#This Row],[United States 10y]]-Table7[[#This Row],[United States 3y]],#N/A)</f>
        <v/>
      </c>
    </row>
    <row r="1610">
      <c r="A1610" s="6">
        <f>Database!$A3695</f>
        <v/>
      </c>
      <c r="B1610">
        <f>IF(VLOOKUP(Table7[[#This Row],[Date]],Database!$A:$C,MATCH($B$1,Database!$A$1:$C$1,),)=0,#N/A,VLOOKUP(Table7[[#This Row],[Date]],Database!$A:$C,MATCH($B$1,Database!$A$1:$C$1,),))</f>
        <v/>
      </c>
      <c r="C1610">
        <f>IF(VLOOKUP(Table7[[#This Row],[Date]],Database!$A:$C,MATCH($C$1,Database!$A$1:$C$1,),)=0,#N/A,VLOOKUP(Table7[[#This Row],[Date]],Database!$A:$C,MATCH($C$1,Database!$A$1:$C$1,),))</f>
        <v/>
      </c>
      <c r="D1610">
        <f>IFERROR(Table7[[#This Row],[United States 10y]]-Table7[[#This Row],[United States 3y]],#N/A)</f>
        <v/>
      </c>
    </row>
    <row r="1611">
      <c r="A1611" s="6">
        <f>Database!$A3696</f>
        <v/>
      </c>
      <c r="B1611">
        <f>IF(VLOOKUP(Table7[[#This Row],[Date]],Database!$A:$C,MATCH($B$1,Database!$A$1:$C$1,),)=0,#N/A,VLOOKUP(Table7[[#This Row],[Date]],Database!$A:$C,MATCH($B$1,Database!$A$1:$C$1,),))</f>
        <v/>
      </c>
      <c r="C1611">
        <f>IF(VLOOKUP(Table7[[#This Row],[Date]],Database!$A:$C,MATCH($C$1,Database!$A$1:$C$1,),)=0,#N/A,VLOOKUP(Table7[[#This Row],[Date]],Database!$A:$C,MATCH($C$1,Database!$A$1:$C$1,),))</f>
        <v/>
      </c>
      <c r="D1611">
        <f>IFERROR(Table7[[#This Row],[United States 10y]]-Table7[[#This Row],[United States 3y]],#N/A)</f>
        <v/>
      </c>
    </row>
    <row r="1612">
      <c r="A1612" s="6">
        <f>Database!$A3697</f>
        <v/>
      </c>
      <c r="B1612">
        <f>IF(VLOOKUP(Table7[[#This Row],[Date]],Database!$A:$C,MATCH($B$1,Database!$A$1:$C$1,),)=0,#N/A,VLOOKUP(Table7[[#This Row],[Date]],Database!$A:$C,MATCH($B$1,Database!$A$1:$C$1,),))</f>
        <v/>
      </c>
      <c r="C1612">
        <f>IF(VLOOKUP(Table7[[#This Row],[Date]],Database!$A:$C,MATCH($C$1,Database!$A$1:$C$1,),)=0,#N/A,VLOOKUP(Table7[[#This Row],[Date]],Database!$A:$C,MATCH($C$1,Database!$A$1:$C$1,),))</f>
        <v/>
      </c>
      <c r="D1612">
        <f>IFERROR(Table7[[#This Row],[United States 10y]]-Table7[[#This Row],[United States 3y]],#N/A)</f>
        <v/>
      </c>
    </row>
    <row r="1613">
      <c r="A1613" s="6">
        <f>Database!$A3698</f>
        <v/>
      </c>
      <c r="B1613">
        <f>IF(VLOOKUP(Table7[[#This Row],[Date]],Database!$A:$C,MATCH($B$1,Database!$A$1:$C$1,),)=0,#N/A,VLOOKUP(Table7[[#This Row],[Date]],Database!$A:$C,MATCH($B$1,Database!$A$1:$C$1,),))</f>
        <v/>
      </c>
      <c r="C1613">
        <f>IF(VLOOKUP(Table7[[#This Row],[Date]],Database!$A:$C,MATCH($C$1,Database!$A$1:$C$1,),)=0,#N/A,VLOOKUP(Table7[[#This Row],[Date]],Database!$A:$C,MATCH($C$1,Database!$A$1:$C$1,),))</f>
        <v/>
      </c>
      <c r="D1613">
        <f>IFERROR(Table7[[#This Row],[United States 10y]]-Table7[[#This Row],[United States 3y]],#N/A)</f>
        <v/>
      </c>
    </row>
    <row r="1614">
      <c r="A1614" s="6">
        <f>Database!$A3699</f>
        <v/>
      </c>
      <c r="B1614">
        <f>IF(VLOOKUP(Table7[[#This Row],[Date]],Database!$A:$C,MATCH($B$1,Database!$A$1:$C$1,),)=0,#N/A,VLOOKUP(Table7[[#This Row],[Date]],Database!$A:$C,MATCH($B$1,Database!$A$1:$C$1,),))</f>
        <v/>
      </c>
      <c r="C1614">
        <f>IF(VLOOKUP(Table7[[#This Row],[Date]],Database!$A:$C,MATCH($C$1,Database!$A$1:$C$1,),)=0,#N/A,VLOOKUP(Table7[[#This Row],[Date]],Database!$A:$C,MATCH($C$1,Database!$A$1:$C$1,),))</f>
        <v/>
      </c>
      <c r="D1614">
        <f>IFERROR(Table7[[#This Row],[United States 10y]]-Table7[[#This Row],[United States 3y]],#N/A)</f>
        <v/>
      </c>
    </row>
    <row r="1615">
      <c r="A1615" s="6">
        <f>Database!$A3700</f>
        <v/>
      </c>
      <c r="B1615">
        <f>IF(VLOOKUP(Table7[[#This Row],[Date]],Database!$A:$C,MATCH($B$1,Database!$A$1:$C$1,),)=0,#N/A,VLOOKUP(Table7[[#This Row],[Date]],Database!$A:$C,MATCH($B$1,Database!$A$1:$C$1,),))</f>
        <v/>
      </c>
      <c r="C1615">
        <f>IF(VLOOKUP(Table7[[#This Row],[Date]],Database!$A:$C,MATCH($C$1,Database!$A$1:$C$1,),)=0,#N/A,VLOOKUP(Table7[[#This Row],[Date]],Database!$A:$C,MATCH($C$1,Database!$A$1:$C$1,),))</f>
        <v/>
      </c>
      <c r="D1615">
        <f>IFERROR(Table7[[#This Row],[United States 10y]]-Table7[[#This Row],[United States 3y]],#N/A)</f>
        <v/>
      </c>
    </row>
    <row r="1616">
      <c r="A1616" s="6">
        <f>Database!$A3701</f>
        <v/>
      </c>
      <c r="B1616">
        <f>IF(VLOOKUP(Table7[[#This Row],[Date]],Database!$A:$C,MATCH($B$1,Database!$A$1:$C$1,),)=0,#N/A,VLOOKUP(Table7[[#This Row],[Date]],Database!$A:$C,MATCH($B$1,Database!$A$1:$C$1,),))</f>
        <v/>
      </c>
      <c r="C1616">
        <f>IF(VLOOKUP(Table7[[#This Row],[Date]],Database!$A:$C,MATCH($C$1,Database!$A$1:$C$1,),)=0,#N/A,VLOOKUP(Table7[[#This Row],[Date]],Database!$A:$C,MATCH($C$1,Database!$A$1:$C$1,),))</f>
        <v/>
      </c>
      <c r="D1616">
        <f>IFERROR(Table7[[#This Row],[United States 10y]]-Table7[[#This Row],[United States 3y]],#N/A)</f>
        <v/>
      </c>
    </row>
    <row r="1617">
      <c r="A1617" s="6">
        <f>Database!$A3702</f>
        <v/>
      </c>
      <c r="B1617">
        <f>IF(VLOOKUP(Table7[[#This Row],[Date]],Database!$A:$C,MATCH($B$1,Database!$A$1:$C$1,),)=0,#N/A,VLOOKUP(Table7[[#This Row],[Date]],Database!$A:$C,MATCH($B$1,Database!$A$1:$C$1,),))</f>
        <v/>
      </c>
      <c r="C1617">
        <f>IF(VLOOKUP(Table7[[#This Row],[Date]],Database!$A:$C,MATCH($C$1,Database!$A$1:$C$1,),)=0,#N/A,VLOOKUP(Table7[[#This Row],[Date]],Database!$A:$C,MATCH($C$1,Database!$A$1:$C$1,),))</f>
        <v/>
      </c>
      <c r="D1617">
        <f>IFERROR(Table7[[#This Row],[United States 10y]]-Table7[[#This Row],[United States 3y]],#N/A)</f>
        <v/>
      </c>
    </row>
    <row r="1618">
      <c r="A1618" s="6">
        <f>Database!$A3703</f>
        <v/>
      </c>
      <c r="B1618">
        <f>IF(VLOOKUP(Table7[[#This Row],[Date]],Database!$A:$C,MATCH($B$1,Database!$A$1:$C$1,),)=0,#N/A,VLOOKUP(Table7[[#This Row],[Date]],Database!$A:$C,MATCH($B$1,Database!$A$1:$C$1,),))</f>
        <v/>
      </c>
      <c r="C1618">
        <f>IF(VLOOKUP(Table7[[#This Row],[Date]],Database!$A:$C,MATCH($C$1,Database!$A$1:$C$1,),)=0,#N/A,VLOOKUP(Table7[[#This Row],[Date]],Database!$A:$C,MATCH($C$1,Database!$A$1:$C$1,),))</f>
        <v/>
      </c>
      <c r="D1618">
        <f>IFERROR(Table7[[#This Row],[United States 10y]]-Table7[[#This Row],[United States 3y]],#N/A)</f>
        <v/>
      </c>
    </row>
    <row r="1619">
      <c r="A1619" s="6">
        <f>Database!$A3704</f>
        <v/>
      </c>
      <c r="B1619">
        <f>IF(VLOOKUP(Table7[[#This Row],[Date]],Database!$A:$C,MATCH($B$1,Database!$A$1:$C$1,),)=0,#N/A,VLOOKUP(Table7[[#This Row],[Date]],Database!$A:$C,MATCH($B$1,Database!$A$1:$C$1,),))</f>
        <v/>
      </c>
      <c r="C1619">
        <f>IF(VLOOKUP(Table7[[#This Row],[Date]],Database!$A:$C,MATCH($C$1,Database!$A$1:$C$1,),)=0,#N/A,VLOOKUP(Table7[[#This Row],[Date]],Database!$A:$C,MATCH($C$1,Database!$A$1:$C$1,),))</f>
        <v/>
      </c>
      <c r="D1619">
        <f>IFERROR(Table7[[#This Row],[United States 10y]]-Table7[[#This Row],[United States 3y]],#N/A)</f>
        <v/>
      </c>
    </row>
    <row r="1620">
      <c r="A1620" s="6">
        <f>Database!$A3705</f>
        <v/>
      </c>
      <c r="B1620">
        <f>IF(VLOOKUP(Table7[[#This Row],[Date]],Database!$A:$C,MATCH($B$1,Database!$A$1:$C$1,),)=0,#N/A,VLOOKUP(Table7[[#This Row],[Date]],Database!$A:$C,MATCH($B$1,Database!$A$1:$C$1,),))</f>
        <v/>
      </c>
      <c r="C1620">
        <f>IF(VLOOKUP(Table7[[#This Row],[Date]],Database!$A:$C,MATCH($C$1,Database!$A$1:$C$1,),)=0,#N/A,VLOOKUP(Table7[[#This Row],[Date]],Database!$A:$C,MATCH($C$1,Database!$A$1:$C$1,),))</f>
        <v/>
      </c>
      <c r="D1620">
        <f>IFERROR(Table7[[#This Row],[United States 10y]]-Table7[[#This Row],[United States 3y]],#N/A)</f>
        <v/>
      </c>
    </row>
    <row r="1621">
      <c r="A1621" s="6">
        <f>Database!$A3706</f>
        <v/>
      </c>
      <c r="B1621">
        <f>IF(VLOOKUP(Table7[[#This Row],[Date]],Database!$A:$C,MATCH($B$1,Database!$A$1:$C$1,),)=0,#N/A,VLOOKUP(Table7[[#This Row],[Date]],Database!$A:$C,MATCH($B$1,Database!$A$1:$C$1,),))</f>
        <v/>
      </c>
      <c r="C1621">
        <f>IF(VLOOKUP(Table7[[#This Row],[Date]],Database!$A:$C,MATCH($C$1,Database!$A$1:$C$1,),)=0,#N/A,VLOOKUP(Table7[[#This Row],[Date]],Database!$A:$C,MATCH($C$1,Database!$A$1:$C$1,),))</f>
        <v/>
      </c>
      <c r="D1621">
        <f>IFERROR(Table7[[#This Row],[United States 10y]]-Table7[[#This Row],[United States 3y]],#N/A)</f>
        <v/>
      </c>
    </row>
    <row r="1622">
      <c r="A1622" s="6">
        <f>Database!$A3707</f>
        <v/>
      </c>
      <c r="B1622">
        <f>IF(VLOOKUP(Table7[[#This Row],[Date]],Database!$A:$C,MATCH($B$1,Database!$A$1:$C$1,),)=0,#N/A,VLOOKUP(Table7[[#This Row],[Date]],Database!$A:$C,MATCH($B$1,Database!$A$1:$C$1,),))</f>
        <v/>
      </c>
      <c r="C1622">
        <f>IF(VLOOKUP(Table7[[#This Row],[Date]],Database!$A:$C,MATCH($C$1,Database!$A$1:$C$1,),)=0,#N/A,VLOOKUP(Table7[[#This Row],[Date]],Database!$A:$C,MATCH($C$1,Database!$A$1:$C$1,),))</f>
        <v/>
      </c>
      <c r="D1622">
        <f>IFERROR(Table7[[#This Row],[United States 10y]]-Table7[[#This Row],[United States 3y]],#N/A)</f>
        <v/>
      </c>
    </row>
    <row r="1623">
      <c r="A1623" s="6">
        <f>Database!$A3708</f>
        <v/>
      </c>
      <c r="B1623">
        <f>IF(VLOOKUP(Table7[[#This Row],[Date]],Database!$A:$C,MATCH($B$1,Database!$A$1:$C$1,),)=0,#N/A,VLOOKUP(Table7[[#This Row],[Date]],Database!$A:$C,MATCH($B$1,Database!$A$1:$C$1,),))</f>
        <v/>
      </c>
      <c r="C1623">
        <f>IF(VLOOKUP(Table7[[#This Row],[Date]],Database!$A:$C,MATCH($C$1,Database!$A$1:$C$1,),)=0,#N/A,VLOOKUP(Table7[[#This Row],[Date]],Database!$A:$C,MATCH($C$1,Database!$A$1:$C$1,),))</f>
        <v/>
      </c>
      <c r="D1623">
        <f>IFERROR(Table7[[#This Row],[United States 10y]]-Table7[[#This Row],[United States 3y]],#N/A)</f>
        <v/>
      </c>
    </row>
    <row r="1624">
      <c r="A1624" s="6">
        <f>Database!$A3709</f>
        <v/>
      </c>
      <c r="B1624">
        <f>IF(VLOOKUP(Table7[[#This Row],[Date]],Database!$A:$C,MATCH($B$1,Database!$A$1:$C$1,),)=0,#N/A,VLOOKUP(Table7[[#This Row],[Date]],Database!$A:$C,MATCH($B$1,Database!$A$1:$C$1,),))</f>
        <v/>
      </c>
      <c r="C1624">
        <f>IF(VLOOKUP(Table7[[#This Row],[Date]],Database!$A:$C,MATCH($C$1,Database!$A$1:$C$1,),)=0,#N/A,VLOOKUP(Table7[[#This Row],[Date]],Database!$A:$C,MATCH($C$1,Database!$A$1:$C$1,),))</f>
        <v/>
      </c>
      <c r="D1624">
        <f>IFERROR(Table7[[#This Row],[United States 10y]]-Table7[[#This Row],[United States 3y]],#N/A)</f>
        <v/>
      </c>
    </row>
    <row r="1625">
      <c r="A1625" s="6">
        <f>Database!$A3710</f>
        <v/>
      </c>
      <c r="B1625">
        <f>IF(VLOOKUP(Table7[[#This Row],[Date]],Database!$A:$C,MATCH($B$1,Database!$A$1:$C$1,),)=0,#N/A,VLOOKUP(Table7[[#This Row],[Date]],Database!$A:$C,MATCH($B$1,Database!$A$1:$C$1,),))</f>
        <v/>
      </c>
      <c r="C1625">
        <f>IF(VLOOKUP(Table7[[#This Row],[Date]],Database!$A:$C,MATCH($C$1,Database!$A$1:$C$1,),)=0,#N/A,VLOOKUP(Table7[[#This Row],[Date]],Database!$A:$C,MATCH($C$1,Database!$A$1:$C$1,),))</f>
        <v/>
      </c>
      <c r="D1625">
        <f>IFERROR(Table7[[#This Row],[United States 10y]]-Table7[[#This Row],[United States 3y]],#N/A)</f>
        <v/>
      </c>
    </row>
    <row r="1626">
      <c r="A1626" s="6">
        <f>Database!$A3711</f>
        <v/>
      </c>
      <c r="B1626">
        <f>IF(VLOOKUP(Table7[[#This Row],[Date]],Database!$A:$C,MATCH($B$1,Database!$A$1:$C$1,),)=0,#N/A,VLOOKUP(Table7[[#This Row],[Date]],Database!$A:$C,MATCH($B$1,Database!$A$1:$C$1,),))</f>
        <v/>
      </c>
      <c r="C1626">
        <f>IF(VLOOKUP(Table7[[#This Row],[Date]],Database!$A:$C,MATCH($C$1,Database!$A$1:$C$1,),)=0,#N/A,VLOOKUP(Table7[[#This Row],[Date]],Database!$A:$C,MATCH($C$1,Database!$A$1:$C$1,),))</f>
        <v/>
      </c>
      <c r="D1626">
        <f>IFERROR(Table7[[#This Row],[United States 10y]]-Table7[[#This Row],[United States 3y]],#N/A)</f>
        <v/>
      </c>
    </row>
    <row r="1627">
      <c r="A1627" s="6">
        <f>Database!$A3712</f>
        <v/>
      </c>
      <c r="B1627">
        <f>IF(VLOOKUP(Table7[[#This Row],[Date]],Database!$A:$C,MATCH($B$1,Database!$A$1:$C$1,),)=0,#N/A,VLOOKUP(Table7[[#This Row],[Date]],Database!$A:$C,MATCH($B$1,Database!$A$1:$C$1,),))</f>
        <v/>
      </c>
      <c r="C1627">
        <f>IF(VLOOKUP(Table7[[#This Row],[Date]],Database!$A:$C,MATCH($C$1,Database!$A$1:$C$1,),)=0,#N/A,VLOOKUP(Table7[[#This Row],[Date]],Database!$A:$C,MATCH($C$1,Database!$A$1:$C$1,),))</f>
        <v/>
      </c>
      <c r="D1627">
        <f>IFERROR(Table7[[#This Row],[United States 10y]]-Table7[[#This Row],[United States 3y]],#N/A)</f>
        <v/>
      </c>
    </row>
    <row r="1628">
      <c r="A1628" s="6">
        <f>Database!$A3713</f>
        <v/>
      </c>
      <c r="B1628">
        <f>IF(VLOOKUP(Table7[[#This Row],[Date]],Database!$A:$C,MATCH($B$1,Database!$A$1:$C$1,),)=0,#N/A,VLOOKUP(Table7[[#This Row],[Date]],Database!$A:$C,MATCH($B$1,Database!$A$1:$C$1,),))</f>
        <v/>
      </c>
      <c r="C1628">
        <f>IF(VLOOKUP(Table7[[#This Row],[Date]],Database!$A:$C,MATCH($C$1,Database!$A$1:$C$1,),)=0,#N/A,VLOOKUP(Table7[[#This Row],[Date]],Database!$A:$C,MATCH($C$1,Database!$A$1:$C$1,),))</f>
        <v/>
      </c>
      <c r="D1628">
        <f>IFERROR(Table7[[#This Row],[United States 10y]]-Table7[[#This Row],[United States 3y]],#N/A)</f>
        <v/>
      </c>
    </row>
    <row r="1629">
      <c r="A1629" s="6">
        <f>Database!$A3714</f>
        <v/>
      </c>
      <c r="B1629">
        <f>IF(VLOOKUP(Table7[[#This Row],[Date]],Database!$A:$C,MATCH($B$1,Database!$A$1:$C$1,),)=0,#N/A,VLOOKUP(Table7[[#This Row],[Date]],Database!$A:$C,MATCH($B$1,Database!$A$1:$C$1,),))</f>
        <v/>
      </c>
      <c r="C1629">
        <f>IF(VLOOKUP(Table7[[#This Row],[Date]],Database!$A:$C,MATCH($C$1,Database!$A$1:$C$1,),)=0,#N/A,VLOOKUP(Table7[[#This Row],[Date]],Database!$A:$C,MATCH($C$1,Database!$A$1:$C$1,),))</f>
        <v/>
      </c>
      <c r="D1629">
        <f>IFERROR(Table7[[#This Row],[United States 10y]]-Table7[[#This Row],[United States 3y]],#N/A)</f>
        <v/>
      </c>
    </row>
    <row r="1630">
      <c r="A1630" s="6">
        <f>Database!$A3715</f>
        <v/>
      </c>
      <c r="B1630">
        <f>IF(VLOOKUP(Table7[[#This Row],[Date]],Database!$A:$C,MATCH($B$1,Database!$A$1:$C$1,),)=0,#N/A,VLOOKUP(Table7[[#This Row],[Date]],Database!$A:$C,MATCH($B$1,Database!$A$1:$C$1,),))</f>
        <v/>
      </c>
      <c r="C1630">
        <f>IF(VLOOKUP(Table7[[#This Row],[Date]],Database!$A:$C,MATCH($C$1,Database!$A$1:$C$1,),)=0,#N/A,VLOOKUP(Table7[[#This Row],[Date]],Database!$A:$C,MATCH($C$1,Database!$A$1:$C$1,),))</f>
        <v/>
      </c>
      <c r="D1630">
        <f>IFERROR(Table7[[#This Row],[United States 10y]]-Table7[[#This Row],[United States 3y]],#N/A)</f>
        <v/>
      </c>
    </row>
    <row r="1631">
      <c r="A1631" s="6">
        <f>Database!$A3716</f>
        <v/>
      </c>
      <c r="B1631">
        <f>IF(VLOOKUP(Table7[[#This Row],[Date]],Database!$A:$C,MATCH($B$1,Database!$A$1:$C$1,),)=0,#N/A,VLOOKUP(Table7[[#This Row],[Date]],Database!$A:$C,MATCH($B$1,Database!$A$1:$C$1,),))</f>
        <v/>
      </c>
      <c r="C1631">
        <f>IF(VLOOKUP(Table7[[#This Row],[Date]],Database!$A:$C,MATCH($C$1,Database!$A$1:$C$1,),)=0,#N/A,VLOOKUP(Table7[[#This Row],[Date]],Database!$A:$C,MATCH($C$1,Database!$A$1:$C$1,),))</f>
        <v/>
      </c>
      <c r="D1631">
        <f>IFERROR(Table7[[#This Row],[United States 10y]]-Table7[[#This Row],[United States 3y]],#N/A)</f>
        <v/>
      </c>
    </row>
    <row r="1632">
      <c r="A1632" s="6">
        <f>Database!$A3717</f>
        <v/>
      </c>
      <c r="B1632">
        <f>IF(VLOOKUP(Table7[[#This Row],[Date]],Database!$A:$C,MATCH($B$1,Database!$A$1:$C$1,),)=0,#N/A,VLOOKUP(Table7[[#This Row],[Date]],Database!$A:$C,MATCH($B$1,Database!$A$1:$C$1,),))</f>
        <v/>
      </c>
      <c r="C1632">
        <f>IF(VLOOKUP(Table7[[#This Row],[Date]],Database!$A:$C,MATCH($C$1,Database!$A$1:$C$1,),)=0,#N/A,VLOOKUP(Table7[[#This Row],[Date]],Database!$A:$C,MATCH($C$1,Database!$A$1:$C$1,),))</f>
        <v/>
      </c>
      <c r="D1632">
        <f>IFERROR(Table7[[#This Row],[United States 10y]]-Table7[[#This Row],[United States 3y]],#N/A)</f>
        <v/>
      </c>
    </row>
    <row r="1633">
      <c r="A1633" s="6">
        <f>Database!$A3718</f>
        <v/>
      </c>
      <c r="B1633">
        <f>IF(VLOOKUP(Table7[[#This Row],[Date]],Database!$A:$C,MATCH($B$1,Database!$A$1:$C$1,),)=0,#N/A,VLOOKUP(Table7[[#This Row],[Date]],Database!$A:$C,MATCH($B$1,Database!$A$1:$C$1,),))</f>
        <v/>
      </c>
      <c r="C1633">
        <f>IF(VLOOKUP(Table7[[#This Row],[Date]],Database!$A:$C,MATCH($C$1,Database!$A$1:$C$1,),)=0,#N/A,VLOOKUP(Table7[[#This Row],[Date]],Database!$A:$C,MATCH($C$1,Database!$A$1:$C$1,),))</f>
        <v/>
      </c>
      <c r="D1633">
        <f>IFERROR(Table7[[#This Row],[United States 10y]]-Table7[[#This Row],[United States 3y]],#N/A)</f>
        <v/>
      </c>
    </row>
    <row r="1634">
      <c r="A1634" s="6">
        <f>Database!$A3719</f>
        <v/>
      </c>
      <c r="B1634">
        <f>IF(VLOOKUP(Table7[[#This Row],[Date]],Database!$A:$C,MATCH($B$1,Database!$A$1:$C$1,),)=0,#N/A,VLOOKUP(Table7[[#This Row],[Date]],Database!$A:$C,MATCH($B$1,Database!$A$1:$C$1,),))</f>
        <v/>
      </c>
      <c r="C1634">
        <f>IF(VLOOKUP(Table7[[#This Row],[Date]],Database!$A:$C,MATCH($C$1,Database!$A$1:$C$1,),)=0,#N/A,VLOOKUP(Table7[[#This Row],[Date]],Database!$A:$C,MATCH($C$1,Database!$A$1:$C$1,),))</f>
        <v/>
      </c>
      <c r="D1634">
        <f>IFERROR(Table7[[#This Row],[United States 10y]]-Table7[[#This Row],[United States 3y]],#N/A)</f>
        <v/>
      </c>
    </row>
    <row r="1635">
      <c r="A1635" s="6">
        <f>Database!$A3720</f>
        <v/>
      </c>
      <c r="B1635">
        <f>IF(VLOOKUP(Table7[[#This Row],[Date]],Database!$A:$C,MATCH($B$1,Database!$A$1:$C$1,),)=0,#N/A,VLOOKUP(Table7[[#This Row],[Date]],Database!$A:$C,MATCH($B$1,Database!$A$1:$C$1,),))</f>
        <v/>
      </c>
      <c r="C1635">
        <f>IF(VLOOKUP(Table7[[#This Row],[Date]],Database!$A:$C,MATCH($C$1,Database!$A$1:$C$1,),)=0,#N/A,VLOOKUP(Table7[[#This Row],[Date]],Database!$A:$C,MATCH($C$1,Database!$A$1:$C$1,),))</f>
        <v/>
      </c>
      <c r="D1635">
        <f>IFERROR(Table7[[#This Row],[United States 10y]]-Table7[[#This Row],[United States 3y]],#N/A)</f>
        <v/>
      </c>
    </row>
    <row r="1636">
      <c r="A1636" s="6">
        <f>Database!$A3721</f>
        <v/>
      </c>
      <c r="B1636">
        <f>IF(VLOOKUP(Table7[[#This Row],[Date]],Database!$A:$C,MATCH($B$1,Database!$A$1:$C$1,),)=0,#N/A,VLOOKUP(Table7[[#This Row],[Date]],Database!$A:$C,MATCH($B$1,Database!$A$1:$C$1,),))</f>
        <v/>
      </c>
      <c r="C1636">
        <f>IF(VLOOKUP(Table7[[#This Row],[Date]],Database!$A:$C,MATCH($C$1,Database!$A$1:$C$1,),)=0,#N/A,VLOOKUP(Table7[[#This Row],[Date]],Database!$A:$C,MATCH($C$1,Database!$A$1:$C$1,),))</f>
        <v/>
      </c>
      <c r="D1636">
        <f>IFERROR(Table7[[#This Row],[United States 10y]]-Table7[[#This Row],[United States 3y]],#N/A)</f>
        <v/>
      </c>
    </row>
    <row r="1637">
      <c r="A1637" s="6">
        <f>Database!$A3722</f>
        <v/>
      </c>
      <c r="B1637">
        <f>IF(VLOOKUP(Table7[[#This Row],[Date]],Database!$A:$C,MATCH($B$1,Database!$A$1:$C$1,),)=0,#N/A,VLOOKUP(Table7[[#This Row],[Date]],Database!$A:$C,MATCH($B$1,Database!$A$1:$C$1,),))</f>
        <v/>
      </c>
      <c r="C1637">
        <f>IF(VLOOKUP(Table7[[#This Row],[Date]],Database!$A:$C,MATCH($C$1,Database!$A$1:$C$1,),)=0,#N/A,VLOOKUP(Table7[[#This Row],[Date]],Database!$A:$C,MATCH($C$1,Database!$A$1:$C$1,),))</f>
        <v/>
      </c>
      <c r="D1637">
        <f>IFERROR(Table7[[#This Row],[United States 10y]]-Table7[[#This Row],[United States 3y]],#N/A)</f>
        <v/>
      </c>
    </row>
    <row r="1638">
      <c r="A1638" s="6">
        <f>Database!$A3723</f>
        <v/>
      </c>
      <c r="B1638">
        <f>IF(VLOOKUP(Table7[[#This Row],[Date]],Database!$A:$C,MATCH($B$1,Database!$A$1:$C$1,),)=0,#N/A,VLOOKUP(Table7[[#This Row],[Date]],Database!$A:$C,MATCH($B$1,Database!$A$1:$C$1,),))</f>
        <v/>
      </c>
      <c r="C1638">
        <f>IF(VLOOKUP(Table7[[#This Row],[Date]],Database!$A:$C,MATCH($C$1,Database!$A$1:$C$1,),)=0,#N/A,VLOOKUP(Table7[[#This Row],[Date]],Database!$A:$C,MATCH($C$1,Database!$A$1:$C$1,),))</f>
        <v/>
      </c>
      <c r="D1638">
        <f>IFERROR(Table7[[#This Row],[United States 10y]]-Table7[[#This Row],[United States 3y]],#N/A)</f>
        <v/>
      </c>
    </row>
    <row r="1639">
      <c r="A1639" s="6">
        <f>Database!$A3724</f>
        <v/>
      </c>
      <c r="B1639">
        <f>IF(VLOOKUP(Table7[[#This Row],[Date]],Database!$A:$C,MATCH($B$1,Database!$A$1:$C$1,),)=0,#N/A,VLOOKUP(Table7[[#This Row],[Date]],Database!$A:$C,MATCH($B$1,Database!$A$1:$C$1,),))</f>
        <v/>
      </c>
      <c r="C1639">
        <f>IF(VLOOKUP(Table7[[#This Row],[Date]],Database!$A:$C,MATCH($C$1,Database!$A$1:$C$1,),)=0,#N/A,VLOOKUP(Table7[[#This Row],[Date]],Database!$A:$C,MATCH($C$1,Database!$A$1:$C$1,),))</f>
        <v/>
      </c>
      <c r="D1639">
        <f>IFERROR(Table7[[#This Row],[United States 10y]]-Table7[[#This Row],[United States 3y]],#N/A)</f>
        <v/>
      </c>
    </row>
    <row r="1640">
      <c r="A1640" s="6">
        <f>Database!$A3725</f>
        <v/>
      </c>
      <c r="B1640">
        <f>IF(VLOOKUP(Table7[[#This Row],[Date]],Database!$A:$C,MATCH($B$1,Database!$A$1:$C$1,),)=0,#N/A,VLOOKUP(Table7[[#This Row],[Date]],Database!$A:$C,MATCH($B$1,Database!$A$1:$C$1,),))</f>
        <v/>
      </c>
      <c r="C1640">
        <f>IF(VLOOKUP(Table7[[#This Row],[Date]],Database!$A:$C,MATCH($C$1,Database!$A$1:$C$1,),)=0,#N/A,VLOOKUP(Table7[[#This Row],[Date]],Database!$A:$C,MATCH($C$1,Database!$A$1:$C$1,),))</f>
        <v/>
      </c>
      <c r="D1640">
        <f>IFERROR(Table7[[#This Row],[United States 10y]]-Table7[[#This Row],[United States 3y]],#N/A)</f>
        <v/>
      </c>
    </row>
    <row r="1641">
      <c r="A1641" s="6">
        <f>Database!$A3726</f>
        <v/>
      </c>
      <c r="B1641">
        <f>IF(VLOOKUP(Table7[[#This Row],[Date]],Database!$A:$C,MATCH($B$1,Database!$A$1:$C$1,),)=0,#N/A,VLOOKUP(Table7[[#This Row],[Date]],Database!$A:$C,MATCH($B$1,Database!$A$1:$C$1,),))</f>
        <v/>
      </c>
      <c r="C1641">
        <f>IF(VLOOKUP(Table7[[#This Row],[Date]],Database!$A:$C,MATCH($C$1,Database!$A$1:$C$1,),)=0,#N/A,VLOOKUP(Table7[[#This Row],[Date]],Database!$A:$C,MATCH($C$1,Database!$A$1:$C$1,),))</f>
        <v/>
      </c>
      <c r="D1641">
        <f>IFERROR(Table7[[#This Row],[United States 10y]]-Table7[[#This Row],[United States 3y]],#N/A)</f>
        <v/>
      </c>
    </row>
    <row r="1642">
      <c r="A1642" s="6">
        <f>Database!$A3727</f>
        <v/>
      </c>
      <c r="B1642">
        <f>IF(VLOOKUP(Table7[[#This Row],[Date]],Database!$A:$C,MATCH($B$1,Database!$A$1:$C$1,),)=0,#N/A,VLOOKUP(Table7[[#This Row],[Date]],Database!$A:$C,MATCH($B$1,Database!$A$1:$C$1,),))</f>
        <v/>
      </c>
      <c r="C1642">
        <f>IF(VLOOKUP(Table7[[#This Row],[Date]],Database!$A:$C,MATCH($C$1,Database!$A$1:$C$1,),)=0,#N/A,VLOOKUP(Table7[[#This Row],[Date]],Database!$A:$C,MATCH($C$1,Database!$A$1:$C$1,),))</f>
        <v/>
      </c>
      <c r="D1642">
        <f>IFERROR(Table7[[#This Row],[United States 10y]]-Table7[[#This Row],[United States 3y]],#N/A)</f>
        <v/>
      </c>
    </row>
    <row r="1643">
      <c r="A1643" s="6">
        <f>Database!$A3728</f>
        <v/>
      </c>
      <c r="B1643">
        <f>IF(VLOOKUP(Table7[[#This Row],[Date]],Database!$A:$C,MATCH($B$1,Database!$A$1:$C$1,),)=0,#N/A,VLOOKUP(Table7[[#This Row],[Date]],Database!$A:$C,MATCH($B$1,Database!$A$1:$C$1,),))</f>
        <v/>
      </c>
      <c r="C1643">
        <f>IF(VLOOKUP(Table7[[#This Row],[Date]],Database!$A:$C,MATCH($C$1,Database!$A$1:$C$1,),)=0,#N/A,VLOOKUP(Table7[[#This Row],[Date]],Database!$A:$C,MATCH($C$1,Database!$A$1:$C$1,),))</f>
        <v/>
      </c>
      <c r="D1643">
        <f>IFERROR(Table7[[#This Row],[United States 10y]]-Table7[[#This Row],[United States 3y]],#N/A)</f>
        <v/>
      </c>
    </row>
    <row r="1644">
      <c r="A1644" s="6">
        <f>Database!$A3729</f>
        <v/>
      </c>
      <c r="B1644">
        <f>IF(VLOOKUP(Table7[[#This Row],[Date]],Database!$A:$C,MATCH($B$1,Database!$A$1:$C$1,),)=0,#N/A,VLOOKUP(Table7[[#This Row],[Date]],Database!$A:$C,MATCH($B$1,Database!$A$1:$C$1,),))</f>
        <v/>
      </c>
      <c r="C1644">
        <f>IF(VLOOKUP(Table7[[#This Row],[Date]],Database!$A:$C,MATCH($C$1,Database!$A$1:$C$1,),)=0,#N/A,VLOOKUP(Table7[[#This Row],[Date]],Database!$A:$C,MATCH($C$1,Database!$A$1:$C$1,),))</f>
        <v/>
      </c>
      <c r="D1644">
        <f>IFERROR(Table7[[#This Row],[United States 10y]]-Table7[[#This Row],[United States 3y]],#N/A)</f>
        <v/>
      </c>
    </row>
    <row r="1645">
      <c r="A1645" s="6">
        <f>Database!$A3730</f>
        <v/>
      </c>
      <c r="B1645">
        <f>IF(VLOOKUP(Table7[[#This Row],[Date]],Database!$A:$C,MATCH($B$1,Database!$A$1:$C$1,),)=0,#N/A,VLOOKUP(Table7[[#This Row],[Date]],Database!$A:$C,MATCH($B$1,Database!$A$1:$C$1,),))</f>
        <v/>
      </c>
      <c r="C1645">
        <f>IF(VLOOKUP(Table7[[#This Row],[Date]],Database!$A:$C,MATCH($C$1,Database!$A$1:$C$1,),)=0,#N/A,VLOOKUP(Table7[[#This Row],[Date]],Database!$A:$C,MATCH($C$1,Database!$A$1:$C$1,),))</f>
        <v/>
      </c>
      <c r="D1645">
        <f>IFERROR(Table7[[#This Row],[United States 10y]]-Table7[[#This Row],[United States 3y]],#N/A)</f>
        <v/>
      </c>
    </row>
    <row r="1646">
      <c r="A1646" s="6">
        <f>Database!$A3731</f>
        <v/>
      </c>
      <c r="B1646">
        <f>IF(VLOOKUP(Table7[[#This Row],[Date]],Database!$A:$C,MATCH($B$1,Database!$A$1:$C$1,),)=0,#N/A,VLOOKUP(Table7[[#This Row],[Date]],Database!$A:$C,MATCH($B$1,Database!$A$1:$C$1,),))</f>
        <v/>
      </c>
      <c r="C1646">
        <f>IF(VLOOKUP(Table7[[#This Row],[Date]],Database!$A:$C,MATCH($C$1,Database!$A$1:$C$1,),)=0,#N/A,VLOOKUP(Table7[[#This Row],[Date]],Database!$A:$C,MATCH($C$1,Database!$A$1:$C$1,),))</f>
        <v/>
      </c>
      <c r="D1646">
        <f>IFERROR(Table7[[#This Row],[United States 10y]]-Table7[[#This Row],[United States 3y]],#N/A)</f>
        <v/>
      </c>
    </row>
    <row r="1647">
      <c r="A1647" s="6">
        <f>Database!$A3732</f>
        <v/>
      </c>
      <c r="B1647">
        <f>IF(VLOOKUP(Table7[[#This Row],[Date]],Database!$A:$C,MATCH($B$1,Database!$A$1:$C$1,),)=0,#N/A,VLOOKUP(Table7[[#This Row],[Date]],Database!$A:$C,MATCH($B$1,Database!$A$1:$C$1,),))</f>
        <v/>
      </c>
      <c r="C1647">
        <f>IF(VLOOKUP(Table7[[#This Row],[Date]],Database!$A:$C,MATCH($C$1,Database!$A$1:$C$1,),)=0,#N/A,VLOOKUP(Table7[[#This Row],[Date]],Database!$A:$C,MATCH($C$1,Database!$A$1:$C$1,),))</f>
        <v/>
      </c>
      <c r="D1647">
        <f>IFERROR(Table7[[#This Row],[United States 10y]]-Table7[[#This Row],[United States 3y]],#N/A)</f>
        <v/>
      </c>
    </row>
    <row r="1648">
      <c r="A1648" s="6">
        <f>Database!$A3733</f>
        <v/>
      </c>
      <c r="B1648">
        <f>IF(VLOOKUP(Table7[[#This Row],[Date]],Database!$A:$C,MATCH($B$1,Database!$A$1:$C$1,),)=0,#N/A,VLOOKUP(Table7[[#This Row],[Date]],Database!$A:$C,MATCH($B$1,Database!$A$1:$C$1,),))</f>
        <v/>
      </c>
      <c r="C1648">
        <f>IF(VLOOKUP(Table7[[#This Row],[Date]],Database!$A:$C,MATCH($C$1,Database!$A$1:$C$1,),)=0,#N/A,VLOOKUP(Table7[[#This Row],[Date]],Database!$A:$C,MATCH($C$1,Database!$A$1:$C$1,),))</f>
        <v/>
      </c>
      <c r="D1648">
        <f>IFERROR(Table7[[#This Row],[United States 10y]]-Table7[[#This Row],[United States 3y]],#N/A)</f>
        <v/>
      </c>
    </row>
    <row r="1649">
      <c r="A1649" s="6">
        <f>Database!$A3734</f>
        <v/>
      </c>
      <c r="B1649">
        <f>IF(VLOOKUP(Table7[[#This Row],[Date]],Database!$A:$C,MATCH($B$1,Database!$A$1:$C$1,),)=0,#N/A,VLOOKUP(Table7[[#This Row],[Date]],Database!$A:$C,MATCH($B$1,Database!$A$1:$C$1,),))</f>
        <v/>
      </c>
      <c r="C1649">
        <f>IF(VLOOKUP(Table7[[#This Row],[Date]],Database!$A:$C,MATCH($C$1,Database!$A$1:$C$1,),)=0,#N/A,VLOOKUP(Table7[[#This Row],[Date]],Database!$A:$C,MATCH($C$1,Database!$A$1:$C$1,),))</f>
        <v/>
      </c>
      <c r="D1649">
        <f>IFERROR(Table7[[#This Row],[United States 10y]]-Table7[[#This Row],[United States 3y]],#N/A)</f>
        <v/>
      </c>
    </row>
    <row r="1650">
      <c r="A1650" s="6">
        <f>Database!$A3735</f>
        <v/>
      </c>
      <c r="B1650">
        <f>IF(VLOOKUP(Table7[[#This Row],[Date]],Database!$A:$C,MATCH($B$1,Database!$A$1:$C$1,),)=0,#N/A,VLOOKUP(Table7[[#This Row],[Date]],Database!$A:$C,MATCH($B$1,Database!$A$1:$C$1,),))</f>
        <v/>
      </c>
      <c r="C1650">
        <f>IF(VLOOKUP(Table7[[#This Row],[Date]],Database!$A:$C,MATCH($C$1,Database!$A$1:$C$1,),)=0,#N/A,VLOOKUP(Table7[[#This Row],[Date]],Database!$A:$C,MATCH($C$1,Database!$A$1:$C$1,),))</f>
        <v/>
      </c>
      <c r="D1650">
        <f>IFERROR(Table7[[#This Row],[United States 10y]]-Table7[[#This Row],[United States 3y]],#N/A)</f>
        <v/>
      </c>
    </row>
    <row r="1651">
      <c r="A1651" s="6">
        <f>Database!$A3736</f>
        <v/>
      </c>
      <c r="B1651">
        <f>IF(VLOOKUP(Table7[[#This Row],[Date]],Database!$A:$C,MATCH($B$1,Database!$A$1:$C$1,),)=0,#N/A,VLOOKUP(Table7[[#This Row],[Date]],Database!$A:$C,MATCH($B$1,Database!$A$1:$C$1,),))</f>
        <v/>
      </c>
      <c r="C1651">
        <f>IF(VLOOKUP(Table7[[#This Row],[Date]],Database!$A:$C,MATCH($C$1,Database!$A$1:$C$1,),)=0,#N/A,VLOOKUP(Table7[[#This Row],[Date]],Database!$A:$C,MATCH($C$1,Database!$A$1:$C$1,),))</f>
        <v/>
      </c>
      <c r="D1651">
        <f>IFERROR(Table7[[#This Row],[United States 10y]]-Table7[[#This Row],[United States 3y]],#N/A)</f>
        <v/>
      </c>
    </row>
    <row r="1652">
      <c r="A1652" s="6">
        <f>Database!$A3737</f>
        <v/>
      </c>
      <c r="B1652">
        <f>IF(VLOOKUP(Table7[[#This Row],[Date]],Database!$A:$C,MATCH($B$1,Database!$A$1:$C$1,),)=0,#N/A,VLOOKUP(Table7[[#This Row],[Date]],Database!$A:$C,MATCH($B$1,Database!$A$1:$C$1,),))</f>
        <v/>
      </c>
      <c r="C1652">
        <f>IF(VLOOKUP(Table7[[#This Row],[Date]],Database!$A:$C,MATCH($C$1,Database!$A$1:$C$1,),)=0,#N/A,VLOOKUP(Table7[[#This Row],[Date]],Database!$A:$C,MATCH($C$1,Database!$A$1:$C$1,),))</f>
        <v/>
      </c>
      <c r="D1652">
        <f>IFERROR(Table7[[#This Row],[United States 10y]]-Table7[[#This Row],[United States 3y]],#N/A)</f>
        <v/>
      </c>
    </row>
    <row r="1653">
      <c r="A1653" s="6">
        <f>Database!$A3738</f>
        <v/>
      </c>
      <c r="B1653">
        <f>IF(VLOOKUP(Table7[[#This Row],[Date]],Database!$A:$C,MATCH($B$1,Database!$A$1:$C$1,),)=0,#N/A,VLOOKUP(Table7[[#This Row],[Date]],Database!$A:$C,MATCH($B$1,Database!$A$1:$C$1,),))</f>
        <v/>
      </c>
      <c r="C1653">
        <f>IF(VLOOKUP(Table7[[#This Row],[Date]],Database!$A:$C,MATCH($C$1,Database!$A$1:$C$1,),)=0,#N/A,VLOOKUP(Table7[[#This Row],[Date]],Database!$A:$C,MATCH($C$1,Database!$A$1:$C$1,),))</f>
        <v/>
      </c>
      <c r="D1653">
        <f>IFERROR(Table7[[#This Row],[United States 10y]]-Table7[[#This Row],[United States 3y]],#N/A)</f>
        <v/>
      </c>
    </row>
    <row r="1654">
      <c r="A1654" s="6">
        <f>Database!$A3739</f>
        <v/>
      </c>
      <c r="B1654">
        <f>IF(VLOOKUP(Table7[[#This Row],[Date]],Database!$A:$C,MATCH($B$1,Database!$A$1:$C$1,),)=0,#N/A,VLOOKUP(Table7[[#This Row],[Date]],Database!$A:$C,MATCH($B$1,Database!$A$1:$C$1,),))</f>
        <v/>
      </c>
      <c r="C1654">
        <f>IF(VLOOKUP(Table7[[#This Row],[Date]],Database!$A:$C,MATCH($C$1,Database!$A$1:$C$1,),)=0,#N/A,VLOOKUP(Table7[[#This Row],[Date]],Database!$A:$C,MATCH($C$1,Database!$A$1:$C$1,),))</f>
        <v/>
      </c>
      <c r="D1654">
        <f>IFERROR(Table7[[#This Row],[United States 10y]]-Table7[[#This Row],[United States 3y]],#N/A)</f>
        <v/>
      </c>
    </row>
    <row r="1655">
      <c r="A1655" s="6">
        <f>Database!$A3740</f>
        <v/>
      </c>
      <c r="B1655">
        <f>IF(VLOOKUP(Table7[[#This Row],[Date]],Database!$A:$C,MATCH($B$1,Database!$A$1:$C$1,),)=0,#N/A,VLOOKUP(Table7[[#This Row],[Date]],Database!$A:$C,MATCH($B$1,Database!$A$1:$C$1,),))</f>
        <v/>
      </c>
      <c r="C1655">
        <f>IF(VLOOKUP(Table7[[#This Row],[Date]],Database!$A:$C,MATCH($C$1,Database!$A$1:$C$1,),)=0,#N/A,VLOOKUP(Table7[[#This Row],[Date]],Database!$A:$C,MATCH($C$1,Database!$A$1:$C$1,),))</f>
        <v/>
      </c>
      <c r="D1655">
        <f>IFERROR(Table7[[#This Row],[United States 10y]]-Table7[[#This Row],[United States 3y]],#N/A)</f>
        <v/>
      </c>
    </row>
    <row r="1656">
      <c r="A1656" s="6">
        <f>Database!$A3741</f>
        <v/>
      </c>
      <c r="B1656">
        <f>IF(VLOOKUP(Table7[[#This Row],[Date]],Database!$A:$C,MATCH($B$1,Database!$A$1:$C$1,),)=0,#N/A,VLOOKUP(Table7[[#This Row],[Date]],Database!$A:$C,MATCH($B$1,Database!$A$1:$C$1,),))</f>
        <v/>
      </c>
      <c r="C1656">
        <f>IF(VLOOKUP(Table7[[#This Row],[Date]],Database!$A:$C,MATCH($C$1,Database!$A$1:$C$1,),)=0,#N/A,VLOOKUP(Table7[[#This Row],[Date]],Database!$A:$C,MATCH($C$1,Database!$A$1:$C$1,),))</f>
        <v/>
      </c>
      <c r="D1656">
        <f>IFERROR(Table7[[#This Row],[United States 10y]]-Table7[[#This Row],[United States 3y]],#N/A)</f>
        <v/>
      </c>
    </row>
    <row r="1657">
      <c r="A1657" s="6">
        <f>Database!$A3742</f>
        <v/>
      </c>
      <c r="B1657">
        <f>IF(VLOOKUP(Table7[[#This Row],[Date]],Database!$A:$C,MATCH($B$1,Database!$A$1:$C$1,),)=0,#N/A,VLOOKUP(Table7[[#This Row],[Date]],Database!$A:$C,MATCH($B$1,Database!$A$1:$C$1,),))</f>
        <v/>
      </c>
      <c r="C1657">
        <f>IF(VLOOKUP(Table7[[#This Row],[Date]],Database!$A:$C,MATCH($C$1,Database!$A$1:$C$1,),)=0,#N/A,VLOOKUP(Table7[[#This Row],[Date]],Database!$A:$C,MATCH($C$1,Database!$A$1:$C$1,),))</f>
        <v/>
      </c>
      <c r="D1657">
        <f>IFERROR(Table7[[#This Row],[United States 10y]]-Table7[[#This Row],[United States 3y]],#N/A)</f>
        <v/>
      </c>
    </row>
    <row r="1658">
      <c r="A1658" s="6">
        <f>Database!$A3743</f>
        <v/>
      </c>
      <c r="B1658">
        <f>IF(VLOOKUP(Table7[[#This Row],[Date]],Database!$A:$C,MATCH($B$1,Database!$A$1:$C$1,),)=0,#N/A,VLOOKUP(Table7[[#This Row],[Date]],Database!$A:$C,MATCH($B$1,Database!$A$1:$C$1,),))</f>
        <v/>
      </c>
      <c r="C1658">
        <f>IF(VLOOKUP(Table7[[#This Row],[Date]],Database!$A:$C,MATCH($C$1,Database!$A$1:$C$1,),)=0,#N/A,VLOOKUP(Table7[[#This Row],[Date]],Database!$A:$C,MATCH($C$1,Database!$A$1:$C$1,),))</f>
        <v/>
      </c>
      <c r="D1658">
        <f>IFERROR(Table7[[#This Row],[United States 10y]]-Table7[[#This Row],[United States 3y]],#N/A)</f>
        <v/>
      </c>
    </row>
    <row r="1659">
      <c r="A1659" s="6">
        <f>Database!$A3744</f>
        <v/>
      </c>
      <c r="B1659">
        <f>IF(VLOOKUP(Table7[[#This Row],[Date]],Database!$A:$C,MATCH($B$1,Database!$A$1:$C$1,),)=0,#N/A,VLOOKUP(Table7[[#This Row],[Date]],Database!$A:$C,MATCH($B$1,Database!$A$1:$C$1,),))</f>
        <v/>
      </c>
      <c r="C1659">
        <f>IF(VLOOKUP(Table7[[#This Row],[Date]],Database!$A:$C,MATCH($C$1,Database!$A$1:$C$1,),)=0,#N/A,VLOOKUP(Table7[[#This Row],[Date]],Database!$A:$C,MATCH($C$1,Database!$A$1:$C$1,),))</f>
        <v/>
      </c>
      <c r="D1659">
        <f>IFERROR(Table7[[#This Row],[United States 10y]]-Table7[[#This Row],[United States 3y]],#N/A)</f>
        <v/>
      </c>
    </row>
    <row r="1660">
      <c r="A1660" s="6">
        <f>Database!$A3745</f>
        <v/>
      </c>
      <c r="B1660">
        <f>IF(VLOOKUP(Table7[[#This Row],[Date]],Database!$A:$C,MATCH($B$1,Database!$A$1:$C$1,),)=0,#N/A,VLOOKUP(Table7[[#This Row],[Date]],Database!$A:$C,MATCH($B$1,Database!$A$1:$C$1,),))</f>
        <v/>
      </c>
      <c r="C1660">
        <f>IF(VLOOKUP(Table7[[#This Row],[Date]],Database!$A:$C,MATCH($C$1,Database!$A$1:$C$1,),)=0,#N/A,VLOOKUP(Table7[[#This Row],[Date]],Database!$A:$C,MATCH($C$1,Database!$A$1:$C$1,),))</f>
        <v/>
      </c>
      <c r="D1660">
        <f>IFERROR(Table7[[#This Row],[United States 10y]]-Table7[[#This Row],[United States 3y]],#N/A)</f>
        <v/>
      </c>
    </row>
    <row r="1661">
      <c r="A1661" s="6">
        <f>Database!$A3746</f>
        <v/>
      </c>
      <c r="B1661">
        <f>IF(VLOOKUP(Table7[[#This Row],[Date]],Database!$A:$C,MATCH($B$1,Database!$A$1:$C$1,),)=0,#N/A,VLOOKUP(Table7[[#This Row],[Date]],Database!$A:$C,MATCH($B$1,Database!$A$1:$C$1,),))</f>
        <v/>
      </c>
      <c r="C1661">
        <f>IF(VLOOKUP(Table7[[#This Row],[Date]],Database!$A:$C,MATCH($C$1,Database!$A$1:$C$1,),)=0,#N/A,VLOOKUP(Table7[[#This Row],[Date]],Database!$A:$C,MATCH($C$1,Database!$A$1:$C$1,),))</f>
        <v/>
      </c>
      <c r="D1661">
        <f>IFERROR(Table7[[#This Row],[United States 10y]]-Table7[[#This Row],[United States 3y]],#N/A)</f>
        <v/>
      </c>
    </row>
    <row r="1662">
      <c r="A1662" s="6">
        <f>Database!$A3747</f>
        <v/>
      </c>
      <c r="B1662">
        <f>IF(VLOOKUP(Table7[[#This Row],[Date]],Database!$A:$C,MATCH($B$1,Database!$A$1:$C$1,),)=0,#N/A,VLOOKUP(Table7[[#This Row],[Date]],Database!$A:$C,MATCH($B$1,Database!$A$1:$C$1,),))</f>
        <v/>
      </c>
      <c r="C1662">
        <f>IF(VLOOKUP(Table7[[#This Row],[Date]],Database!$A:$C,MATCH($C$1,Database!$A$1:$C$1,),)=0,#N/A,VLOOKUP(Table7[[#This Row],[Date]],Database!$A:$C,MATCH($C$1,Database!$A$1:$C$1,),))</f>
        <v/>
      </c>
      <c r="D1662">
        <f>IFERROR(Table7[[#This Row],[United States 10y]]-Table7[[#This Row],[United States 3y]],#N/A)</f>
        <v/>
      </c>
    </row>
    <row r="1663">
      <c r="A1663" s="6">
        <f>Database!$A3748</f>
        <v/>
      </c>
      <c r="B1663">
        <f>IF(VLOOKUP(Table7[[#This Row],[Date]],Database!$A:$C,MATCH($B$1,Database!$A$1:$C$1,),)=0,#N/A,VLOOKUP(Table7[[#This Row],[Date]],Database!$A:$C,MATCH($B$1,Database!$A$1:$C$1,),))</f>
        <v/>
      </c>
      <c r="C1663">
        <f>IF(VLOOKUP(Table7[[#This Row],[Date]],Database!$A:$C,MATCH($C$1,Database!$A$1:$C$1,),)=0,#N/A,VLOOKUP(Table7[[#This Row],[Date]],Database!$A:$C,MATCH($C$1,Database!$A$1:$C$1,),))</f>
        <v/>
      </c>
      <c r="D1663">
        <f>IFERROR(Table7[[#This Row],[United States 10y]]-Table7[[#This Row],[United States 3y]],#N/A)</f>
        <v/>
      </c>
    </row>
    <row r="1664">
      <c r="A1664" s="6">
        <f>Database!$A3749</f>
        <v/>
      </c>
      <c r="B1664">
        <f>IF(VLOOKUP(Table7[[#This Row],[Date]],Database!$A:$C,MATCH($B$1,Database!$A$1:$C$1,),)=0,#N/A,VLOOKUP(Table7[[#This Row],[Date]],Database!$A:$C,MATCH($B$1,Database!$A$1:$C$1,),))</f>
        <v/>
      </c>
      <c r="C1664">
        <f>IF(VLOOKUP(Table7[[#This Row],[Date]],Database!$A:$C,MATCH($C$1,Database!$A$1:$C$1,),)=0,#N/A,VLOOKUP(Table7[[#This Row],[Date]],Database!$A:$C,MATCH($C$1,Database!$A$1:$C$1,),))</f>
        <v/>
      </c>
      <c r="D1664">
        <f>IFERROR(Table7[[#This Row],[United States 10y]]-Table7[[#This Row],[United States 3y]],#N/A)</f>
        <v/>
      </c>
    </row>
    <row r="1665">
      <c r="A1665" s="6">
        <f>Database!$A3750</f>
        <v/>
      </c>
      <c r="B1665">
        <f>IF(VLOOKUP(Table7[[#This Row],[Date]],Database!$A:$C,MATCH($B$1,Database!$A$1:$C$1,),)=0,#N/A,VLOOKUP(Table7[[#This Row],[Date]],Database!$A:$C,MATCH($B$1,Database!$A$1:$C$1,),))</f>
        <v/>
      </c>
      <c r="C1665">
        <f>IF(VLOOKUP(Table7[[#This Row],[Date]],Database!$A:$C,MATCH($C$1,Database!$A$1:$C$1,),)=0,#N/A,VLOOKUP(Table7[[#This Row],[Date]],Database!$A:$C,MATCH($C$1,Database!$A$1:$C$1,),))</f>
        <v/>
      </c>
      <c r="D1665">
        <f>IFERROR(Table7[[#This Row],[United States 10y]]-Table7[[#This Row],[United States 3y]],#N/A)</f>
        <v/>
      </c>
    </row>
    <row r="1666">
      <c r="A1666" s="6">
        <f>Database!$A3751</f>
        <v/>
      </c>
      <c r="B1666">
        <f>IF(VLOOKUP(Table7[[#This Row],[Date]],Database!$A:$C,MATCH($B$1,Database!$A$1:$C$1,),)=0,#N/A,VLOOKUP(Table7[[#This Row],[Date]],Database!$A:$C,MATCH($B$1,Database!$A$1:$C$1,),))</f>
        <v/>
      </c>
      <c r="C1666">
        <f>IF(VLOOKUP(Table7[[#This Row],[Date]],Database!$A:$C,MATCH($C$1,Database!$A$1:$C$1,),)=0,#N/A,VLOOKUP(Table7[[#This Row],[Date]],Database!$A:$C,MATCH($C$1,Database!$A$1:$C$1,),))</f>
        <v/>
      </c>
      <c r="D1666">
        <f>IFERROR(Table7[[#This Row],[United States 10y]]-Table7[[#This Row],[United States 3y]],#N/A)</f>
        <v/>
      </c>
    </row>
    <row r="1667">
      <c r="A1667" s="6">
        <f>Database!$A3752</f>
        <v/>
      </c>
      <c r="B1667">
        <f>IF(VLOOKUP(Table7[[#This Row],[Date]],Database!$A:$C,MATCH($B$1,Database!$A$1:$C$1,),)=0,#N/A,VLOOKUP(Table7[[#This Row],[Date]],Database!$A:$C,MATCH($B$1,Database!$A$1:$C$1,),))</f>
        <v/>
      </c>
      <c r="C1667">
        <f>IF(VLOOKUP(Table7[[#This Row],[Date]],Database!$A:$C,MATCH($C$1,Database!$A$1:$C$1,),)=0,#N/A,VLOOKUP(Table7[[#This Row],[Date]],Database!$A:$C,MATCH($C$1,Database!$A$1:$C$1,),))</f>
        <v/>
      </c>
      <c r="D1667">
        <f>IFERROR(Table7[[#This Row],[United States 10y]]-Table7[[#This Row],[United States 3y]],#N/A)</f>
        <v/>
      </c>
    </row>
    <row r="1668">
      <c r="A1668" s="6">
        <f>Database!$A3753</f>
        <v/>
      </c>
      <c r="B1668">
        <f>IF(VLOOKUP(Table7[[#This Row],[Date]],Database!$A:$C,MATCH($B$1,Database!$A$1:$C$1,),)=0,#N/A,VLOOKUP(Table7[[#This Row],[Date]],Database!$A:$C,MATCH($B$1,Database!$A$1:$C$1,),))</f>
        <v/>
      </c>
      <c r="C1668">
        <f>IF(VLOOKUP(Table7[[#This Row],[Date]],Database!$A:$C,MATCH($C$1,Database!$A$1:$C$1,),)=0,#N/A,VLOOKUP(Table7[[#This Row],[Date]],Database!$A:$C,MATCH($C$1,Database!$A$1:$C$1,),))</f>
        <v/>
      </c>
      <c r="D1668">
        <f>IFERROR(Table7[[#This Row],[United States 10y]]-Table7[[#This Row],[United States 3y]],#N/A)</f>
        <v/>
      </c>
    </row>
    <row r="1669">
      <c r="A1669" s="6">
        <f>Database!$A3754</f>
        <v/>
      </c>
      <c r="B1669">
        <f>IF(VLOOKUP(Table7[[#This Row],[Date]],Database!$A:$C,MATCH($B$1,Database!$A$1:$C$1,),)=0,#N/A,VLOOKUP(Table7[[#This Row],[Date]],Database!$A:$C,MATCH($B$1,Database!$A$1:$C$1,),))</f>
        <v/>
      </c>
      <c r="C1669">
        <f>IF(VLOOKUP(Table7[[#This Row],[Date]],Database!$A:$C,MATCH($C$1,Database!$A$1:$C$1,),)=0,#N/A,VLOOKUP(Table7[[#This Row],[Date]],Database!$A:$C,MATCH($C$1,Database!$A$1:$C$1,),))</f>
        <v/>
      </c>
      <c r="D1669">
        <f>IFERROR(Table7[[#This Row],[United States 10y]]-Table7[[#This Row],[United States 3y]],#N/A)</f>
        <v/>
      </c>
    </row>
    <row r="1670">
      <c r="A1670" s="6">
        <f>Database!$A3755</f>
        <v/>
      </c>
      <c r="B1670">
        <f>IF(VLOOKUP(Table7[[#This Row],[Date]],Database!$A:$C,MATCH($B$1,Database!$A$1:$C$1,),)=0,#N/A,VLOOKUP(Table7[[#This Row],[Date]],Database!$A:$C,MATCH($B$1,Database!$A$1:$C$1,),))</f>
        <v/>
      </c>
      <c r="C1670">
        <f>IF(VLOOKUP(Table7[[#This Row],[Date]],Database!$A:$C,MATCH($C$1,Database!$A$1:$C$1,),)=0,#N/A,VLOOKUP(Table7[[#This Row],[Date]],Database!$A:$C,MATCH($C$1,Database!$A$1:$C$1,),))</f>
        <v/>
      </c>
      <c r="D1670">
        <f>IFERROR(Table7[[#This Row],[United States 10y]]-Table7[[#This Row],[United States 3y]],#N/A)</f>
        <v/>
      </c>
    </row>
    <row r="1671">
      <c r="A1671" s="6">
        <f>Database!$A3756</f>
        <v/>
      </c>
      <c r="B1671">
        <f>IF(VLOOKUP(Table7[[#This Row],[Date]],Database!$A:$C,MATCH($B$1,Database!$A$1:$C$1,),)=0,#N/A,VLOOKUP(Table7[[#This Row],[Date]],Database!$A:$C,MATCH($B$1,Database!$A$1:$C$1,),))</f>
        <v/>
      </c>
      <c r="C1671">
        <f>IF(VLOOKUP(Table7[[#This Row],[Date]],Database!$A:$C,MATCH($C$1,Database!$A$1:$C$1,),)=0,#N/A,VLOOKUP(Table7[[#This Row],[Date]],Database!$A:$C,MATCH($C$1,Database!$A$1:$C$1,),))</f>
        <v/>
      </c>
      <c r="D1671">
        <f>IFERROR(Table7[[#This Row],[United States 10y]]-Table7[[#This Row],[United States 3y]],#N/A)</f>
        <v/>
      </c>
    </row>
    <row r="1672">
      <c r="A1672" s="6">
        <f>Database!$A3757</f>
        <v/>
      </c>
      <c r="B1672">
        <f>IF(VLOOKUP(Table7[[#This Row],[Date]],Database!$A:$C,MATCH($B$1,Database!$A$1:$C$1,),)=0,#N/A,VLOOKUP(Table7[[#This Row],[Date]],Database!$A:$C,MATCH($B$1,Database!$A$1:$C$1,),))</f>
        <v/>
      </c>
      <c r="C1672">
        <f>IF(VLOOKUP(Table7[[#This Row],[Date]],Database!$A:$C,MATCH($C$1,Database!$A$1:$C$1,),)=0,#N/A,VLOOKUP(Table7[[#This Row],[Date]],Database!$A:$C,MATCH($C$1,Database!$A$1:$C$1,),))</f>
        <v/>
      </c>
      <c r="D1672">
        <f>IFERROR(Table7[[#This Row],[United States 10y]]-Table7[[#This Row],[United States 3y]],#N/A)</f>
        <v/>
      </c>
    </row>
    <row r="1673">
      <c r="A1673" s="6">
        <f>Database!$A3758</f>
        <v/>
      </c>
      <c r="B1673">
        <f>IF(VLOOKUP(Table7[[#This Row],[Date]],Database!$A:$C,MATCH($B$1,Database!$A$1:$C$1,),)=0,#N/A,VLOOKUP(Table7[[#This Row],[Date]],Database!$A:$C,MATCH($B$1,Database!$A$1:$C$1,),))</f>
        <v/>
      </c>
      <c r="C1673">
        <f>IF(VLOOKUP(Table7[[#This Row],[Date]],Database!$A:$C,MATCH($C$1,Database!$A$1:$C$1,),)=0,#N/A,VLOOKUP(Table7[[#This Row],[Date]],Database!$A:$C,MATCH($C$1,Database!$A$1:$C$1,),))</f>
        <v/>
      </c>
      <c r="D1673">
        <f>IFERROR(Table7[[#This Row],[United States 10y]]-Table7[[#This Row],[United States 3y]],#N/A)</f>
        <v/>
      </c>
    </row>
    <row r="1674">
      <c r="A1674" s="6">
        <f>Database!$A3759</f>
        <v/>
      </c>
      <c r="B1674">
        <f>IF(VLOOKUP(Table7[[#This Row],[Date]],Database!$A:$C,MATCH($B$1,Database!$A$1:$C$1,),)=0,#N/A,VLOOKUP(Table7[[#This Row],[Date]],Database!$A:$C,MATCH($B$1,Database!$A$1:$C$1,),))</f>
        <v/>
      </c>
      <c r="C1674">
        <f>IF(VLOOKUP(Table7[[#This Row],[Date]],Database!$A:$C,MATCH($C$1,Database!$A$1:$C$1,),)=0,#N/A,VLOOKUP(Table7[[#This Row],[Date]],Database!$A:$C,MATCH($C$1,Database!$A$1:$C$1,),))</f>
        <v/>
      </c>
      <c r="D1674">
        <f>IFERROR(Table7[[#This Row],[United States 10y]]-Table7[[#This Row],[United States 3y]],#N/A)</f>
        <v/>
      </c>
    </row>
    <row r="1675">
      <c r="A1675" s="6">
        <f>Database!$A3760</f>
        <v/>
      </c>
      <c r="B1675">
        <f>IF(VLOOKUP(Table7[[#This Row],[Date]],Database!$A:$C,MATCH($B$1,Database!$A$1:$C$1,),)=0,#N/A,VLOOKUP(Table7[[#This Row],[Date]],Database!$A:$C,MATCH($B$1,Database!$A$1:$C$1,),))</f>
        <v/>
      </c>
      <c r="C1675">
        <f>IF(VLOOKUP(Table7[[#This Row],[Date]],Database!$A:$C,MATCH($C$1,Database!$A$1:$C$1,),)=0,#N/A,VLOOKUP(Table7[[#This Row],[Date]],Database!$A:$C,MATCH($C$1,Database!$A$1:$C$1,),))</f>
        <v/>
      </c>
      <c r="D1675">
        <f>IFERROR(Table7[[#This Row],[United States 10y]]-Table7[[#This Row],[United States 3y]],#N/A)</f>
        <v/>
      </c>
    </row>
    <row r="1676">
      <c r="A1676" s="6">
        <f>Database!$A3761</f>
        <v/>
      </c>
      <c r="B1676">
        <f>IF(VLOOKUP(Table7[[#This Row],[Date]],Database!$A:$C,MATCH($B$1,Database!$A$1:$C$1,),)=0,#N/A,VLOOKUP(Table7[[#This Row],[Date]],Database!$A:$C,MATCH($B$1,Database!$A$1:$C$1,),))</f>
        <v/>
      </c>
      <c r="C1676">
        <f>IF(VLOOKUP(Table7[[#This Row],[Date]],Database!$A:$C,MATCH($C$1,Database!$A$1:$C$1,),)=0,#N/A,VLOOKUP(Table7[[#This Row],[Date]],Database!$A:$C,MATCH($C$1,Database!$A$1:$C$1,),))</f>
        <v/>
      </c>
      <c r="D1676">
        <f>IFERROR(Table7[[#This Row],[United States 10y]]-Table7[[#This Row],[United States 3y]],#N/A)</f>
        <v/>
      </c>
    </row>
    <row r="1677">
      <c r="A1677" s="6">
        <f>Database!$A3762</f>
        <v/>
      </c>
      <c r="B1677">
        <f>IF(VLOOKUP(Table7[[#This Row],[Date]],Database!$A:$C,MATCH($B$1,Database!$A$1:$C$1,),)=0,#N/A,VLOOKUP(Table7[[#This Row],[Date]],Database!$A:$C,MATCH($B$1,Database!$A$1:$C$1,),))</f>
        <v/>
      </c>
      <c r="C1677">
        <f>IF(VLOOKUP(Table7[[#This Row],[Date]],Database!$A:$C,MATCH($C$1,Database!$A$1:$C$1,),)=0,#N/A,VLOOKUP(Table7[[#This Row],[Date]],Database!$A:$C,MATCH($C$1,Database!$A$1:$C$1,),))</f>
        <v/>
      </c>
      <c r="D1677">
        <f>IFERROR(Table7[[#This Row],[United States 10y]]-Table7[[#This Row],[United States 3y]],#N/A)</f>
        <v/>
      </c>
    </row>
    <row r="1678">
      <c r="A1678" s="6">
        <f>Database!$A3763</f>
        <v/>
      </c>
      <c r="B1678">
        <f>IF(VLOOKUP(Table7[[#This Row],[Date]],Database!$A:$C,MATCH($B$1,Database!$A$1:$C$1,),)=0,#N/A,VLOOKUP(Table7[[#This Row],[Date]],Database!$A:$C,MATCH($B$1,Database!$A$1:$C$1,),))</f>
        <v/>
      </c>
      <c r="C1678">
        <f>IF(VLOOKUP(Table7[[#This Row],[Date]],Database!$A:$C,MATCH($C$1,Database!$A$1:$C$1,),)=0,#N/A,VLOOKUP(Table7[[#This Row],[Date]],Database!$A:$C,MATCH($C$1,Database!$A$1:$C$1,),))</f>
        <v/>
      </c>
      <c r="D1678">
        <f>IFERROR(Table7[[#This Row],[United States 10y]]-Table7[[#This Row],[United States 3y]],#N/A)</f>
        <v/>
      </c>
    </row>
    <row r="1679">
      <c r="A1679" s="6">
        <f>Database!$A3764</f>
        <v/>
      </c>
      <c r="B1679">
        <f>IF(VLOOKUP(Table7[[#This Row],[Date]],Database!$A:$C,MATCH($B$1,Database!$A$1:$C$1,),)=0,#N/A,VLOOKUP(Table7[[#This Row],[Date]],Database!$A:$C,MATCH($B$1,Database!$A$1:$C$1,),))</f>
        <v/>
      </c>
      <c r="C1679">
        <f>IF(VLOOKUP(Table7[[#This Row],[Date]],Database!$A:$C,MATCH($C$1,Database!$A$1:$C$1,),)=0,#N/A,VLOOKUP(Table7[[#This Row],[Date]],Database!$A:$C,MATCH($C$1,Database!$A$1:$C$1,),))</f>
        <v/>
      </c>
      <c r="D1679">
        <f>IFERROR(Table7[[#This Row],[United States 10y]]-Table7[[#This Row],[United States 3y]],#N/A)</f>
        <v/>
      </c>
    </row>
    <row r="1680">
      <c r="A1680" s="6">
        <f>Database!$A3765</f>
        <v/>
      </c>
      <c r="B1680">
        <f>IF(VLOOKUP(Table7[[#This Row],[Date]],Database!$A:$C,MATCH($B$1,Database!$A$1:$C$1,),)=0,#N/A,VLOOKUP(Table7[[#This Row],[Date]],Database!$A:$C,MATCH($B$1,Database!$A$1:$C$1,),))</f>
        <v/>
      </c>
      <c r="C1680">
        <f>IF(VLOOKUP(Table7[[#This Row],[Date]],Database!$A:$C,MATCH($C$1,Database!$A$1:$C$1,),)=0,#N/A,VLOOKUP(Table7[[#This Row],[Date]],Database!$A:$C,MATCH($C$1,Database!$A$1:$C$1,),))</f>
        <v/>
      </c>
      <c r="D1680">
        <f>IFERROR(Table7[[#This Row],[United States 10y]]-Table7[[#This Row],[United States 3y]],#N/A)</f>
        <v/>
      </c>
    </row>
    <row r="1681">
      <c r="A1681" s="6">
        <f>Database!$A3766</f>
        <v/>
      </c>
      <c r="B1681">
        <f>IF(VLOOKUP(Table7[[#This Row],[Date]],Database!$A:$C,MATCH($B$1,Database!$A$1:$C$1,),)=0,#N/A,VLOOKUP(Table7[[#This Row],[Date]],Database!$A:$C,MATCH($B$1,Database!$A$1:$C$1,),))</f>
        <v/>
      </c>
      <c r="C1681">
        <f>IF(VLOOKUP(Table7[[#This Row],[Date]],Database!$A:$C,MATCH($C$1,Database!$A$1:$C$1,),)=0,#N/A,VLOOKUP(Table7[[#This Row],[Date]],Database!$A:$C,MATCH($C$1,Database!$A$1:$C$1,),))</f>
        <v/>
      </c>
      <c r="D1681">
        <f>IFERROR(Table7[[#This Row],[United States 10y]]-Table7[[#This Row],[United States 3y]],#N/A)</f>
        <v/>
      </c>
    </row>
    <row r="1682">
      <c r="A1682" s="6">
        <f>Database!$A3767</f>
        <v/>
      </c>
      <c r="B1682">
        <f>IF(VLOOKUP(Table7[[#This Row],[Date]],Database!$A:$C,MATCH($B$1,Database!$A$1:$C$1,),)=0,#N/A,VLOOKUP(Table7[[#This Row],[Date]],Database!$A:$C,MATCH($B$1,Database!$A$1:$C$1,),))</f>
        <v/>
      </c>
      <c r="C1682">
        <f>IF(VLOOKUP(Table7[[#This Row],[Date]],Database!$A:$C,MATCH($C$1,Database!$A$1:$C$1,),)=0,#N/A,VLOOKUP(Table7[[#This Row],[Date]],Database!$A:$C,MATCH($C$1,Database!$A$1:$C$1,),))</f>
        <v/>
      </c>
      <c r="D1682">
        <f>IFERROR(Table7[[#This Row],[United States 10y]]-Table7[[#This Row],[United States 3y]],#N/A)</f>
        <v/>
      </c>
    </row>
    <row r="1683">
      <c r="A1683" s="6">
        <f>Database!$A3768</f>
        <v/>
      </c>
      <c r="B1683">
        <f>IF(VLOOKUP(Table7[[#This Row],[Date]],Database!$A:$C,MATCH($B$1,Database!$A$1:$C$1,),)=0,#N/A,VLOOKUP(Table7[[#This Row],[Date]],Database!$A:$C,MATCH($B$1,Database!$A$1:$C$1,),))</f>
        <v/>
      </c>
      <c r="C1683">
        <f>IF(VLOOKUP(Table7[[#This Row],[Date]],Database!$A:$C,MATCH($C$1,Database!$A$1:$C$1,),)=0,#N/A,VLOOKUP(Table7[[#This Row],[Date]],Database!$A:$C,MATCH($C$1,Database!$A$1:$C$1,),))</f>
        <v/>
      </c>
      <c r="D1683">
        <f>IFERROR(Table7[[#This Row],[United States 10y]]-Table7[[#This Row],[United States 3y]],#N/A)</f>
        <v/>
      </c>
    </row>
    <row r="1684">
      <c r="A1684" s="6">
        <f>Database!$A3769</f>
        <v/>
      </c>
      <c r="B1684">
        <f>IF(VLOOKUP(Table7[[#This Row],[Date]],Database!$A:$C,MATCH($B$1,Database!$A$1:$C$1,),)=0,#N/A,VLOOKUP(Table7[[#This Row],[Date]],Database!$A:$C,MATCH($B$1,Database!$A$1:$C$1,),))</f>
        <v/>
      </c>
      <c r="C1684">
        <f>IF(VLOOKUP(Table7[[#This Row],[Date]],Database!$A:$C,MATCH($C$1,Database!$A$1:$C$1,),)=0,#N/A,VLOOKUP(Table7[[#This Row],[Date]],Database!$A:$C,MATCH($C$1,Database!$A$1:$C$1,),))</f>
        <v/>
      </c>
      <c r="D1684">
        <f>IFERROR(Table7[[#This Row],[United States 10y]]-Table7[[#This Row],[United States 3y]],#N/A)</f>
        <v/>
      </c>
    </row>
    <row r="1685">
      <c r="A1685" s="6">
        <f>Database!$A3770</f>
        <v/>
      </c>
      <c r="B1685">
        <f>IF(VLOOKUP(Table7[[#This Row],[Date]],Database!$A:$C,MATCH($B$1,Database!$A$1:$C$1,),)=0,#N/A,VLOOKUP(Table7[[#This Row],[Date]],Database!$A:$C,MATCH($B$1,Database!$A$1:$C$1,),))</f>
        <v/>
      </c>
      <c r="C1685">
        <f>IF(VLOOKUP(Table7[[#This Row],[Date]],Database!$A:$C,MATCH($C$1,Database!$A$1:$C$1,),)=0,#N/A,VLOOKUP(Table7[[#This Row],[Date]],Database!$A:$C,MATCH($C$1,Database!$A$1:$C$1,),))</f>
        <v/>
      </c>
      <c r="D1685">
        <f>IFERROR(Table7[[#This Row],[United States 10y]]-Table7[[#This Row],[United States 3y]],#N/A)</f>
        <v/>
      </c>
    </row>
    <row r="1686">
      <c r="A1686" s="6">
        <f>Database!$A3771</f>
        <v/>
      </c>
      <c r="B1686">
        <f>IF(VLOOKUP(Table7[[#This Row],[Date]],Database!$A:$C,MATCH($B$1,Database!$A$1:$C$1,),)=0,#N/A,VLOOKUP(Table7[[#This Row],[Date]],Database!$A:$C,MATCH($B$1,Database!$A$1:$C$1,),))</f>
        <v/>
      </c>
      <c r="C1686">
        <f>IF(VLOOKUP(Table7[[#This Row],[Date]],Database!$A:$C,MATCH($C$1,Database!$A$1:$C$1,),)=0,#N/A,VLOOKUP(Table7[[#This Row],[Date]],Database!$A:$C,MATCH($C$1,Database!$A$1:$C$1,),))</f>
        <v/>
      </c>
      <c r="D1686">
        <f>IFERROR(Table7[[#This Row],[United States 10y]]-Table7[[#This Row],[United States 3y]],#N/A)</f>
        <v/>
      </c>
    </row>
    <row r="1687">
      <c r="A1687" s="6">
        <f>Database!$A3772</f>
        <v/>
      </c>
      <c r="B1687">
        <f>IF(VLOOKUP(Table7[[#This Row],[Date]],Database!$A:$C,MATCH($B$1,Database!$A$1:$C$1,),)=0,#N/A,VLOOKUP(Table7[[#This Row],[Date]],Database!$A:$C,MATCH($B$1,Database!$A$1:$C$1,),))</f>
        <v/>
      </c>
      <c r="C1687">
        <f>IF(VLOOKUP(Table7[[#This Row],[Date]],Database!$A:$C,MATCH($C$1,Database!$A$1:$C$1,),)=0,#N/A,VLOOKUP(Table7[[#This Row],[Date]],Database!$A:$C,MATCH($C$1,Database!$A$1:$C$1,),))</f>
        <v/>
      </c>
      <c r="D1687">
        <f>IFERROR(Table7[[#This Row],[United States 10y]]-Table7[[#This Row],[United States 3y]],#N/A)</f>
        <v/>
      </c>
    </row>
    <row r="1688">
      <c r="A1688" s="6">
        <f>Database!$A3773</f>
        <v/>
      </c>
      <c r="B1688">
        <f>IF(VLOOKUP(Table7[[#This Row],[Date]],Database!$A:$C,MATCH($B$1,Database!$A$1:$C$1,),)=0,#N/A,VLOOKUP(Table7[[#This Row],[Date]],Database!$A:$C,MATCH($B$1,Database!$A$1:$C$1,),))</f>
        <v/>
      </c>
      <c r="C1688">
        <f>IF(VLOOKUP(Table7[[#This Row],[Date]],Database!$A:$C,MATCH($C$1,Database!$A$1:$C$1,),)=0,#N/A,VLOOKUP(Table7[[#This Row],[Date]],Database!$A:$C,MATCH($C$1,Database!$A$1:$C$1,),))</f>
        <v/>
      </c>
      <c r="D1688">
        <f>IFERROR(Table7[[#This Row],[United States 10y]]-Table7[[#This Row],[United States 3y]],#N/A)</f>
        <v/>
      </c>
    </row>
    <row r="1689">
      <c r="A1689" s="6">
        <f>Database!$A3774</f>
        <v/>
      </c>
      <c r="B1689">
        <f>IF(VLOOKUP(Table7[[#This Row],[Date]],Database!$A:$C,MATCH($B$1,Database!$A$1:$C$1,),)=0,#N/A,VLOOKUP(Table7[[#This Row],[Date]],Database!$A:$C,MATCH($B$1,Database!$A$1:$C$1,),))</f>
        <v/>
      </c>
      <c r="C1689">
        <f>IF(VLOOKUP(Table7[[#This Row],[Date]],Database!$A:$C,MATCH($C$1,Database!$A$1:$C$1,),)=0,#N/A,VLOOKUP(Table7[[#This Row],[Date]],Database!$A:$C,MATCH($C$1,Database!$A$1:$C$1,),))</f>
        <v/>
      </c>
      <c r="D1689">
        <f>IFERROR(Table7[[#This Row],[United States 10y]]-Table7[[#This Row],[United States 3y]],#N/A)</f>
        <v/>
      </c>
    </row>
    <row r="1690">
      <c r="A1690" s="6">
        <f>Database!$A3775</f>
        <v/>
      </c>
      <c r="B1690">
        <f>IF(VLOOKUP(Table7[[#This Row],[Date]],Database!$A:$C,MATCH($B$1,Database!$A$1:$C$1,),)=0,#N/A,VLOOKUP(Table7[[#This Row],[Date]],Database!$A:$C,MATCH($B$1,Database!$A$1:$C$1,),))</f>
        <v/>
      </c>
      <c r="C1690">
        <f>IF(VLOOKUP(Table7[[#This Row],[Date]],Database!$A:$C,MATCH($C$1,Database!$A$1:$C$1,),)=0,#N/A,VLOOKUP(Table7[[#This Row],[Date]],Database!$A:$C,MATCH($C$1,Database!$A$1:$C$1,),))</f>
        <v/>
      </c>
      <c r="D1690">
        <f>IFERROR(Table7[[#This Row],[United States 10y]]-Table7[[#This Row],[United States 3y]],#N/A)</f>
        <v/>
      </c>
    </row>
    <row r="1691">
      <c r="A1691" s="6">
        <f>Database!$A3776</f>
        <v/>
      </c>
      <c r="B1691">
        <f>IF(VLOOKUP(Table7[[#This Row],[Date]],Database!$A:$C,MATCH($B$1,Database!$A$1:$C$1,),)=0,#N/A,VLOOKUP(Table7[[#This Row],[Date]],Database!$A:$C,MATCH($B$1,Database!$A$1:$C$1,),))</f>
        <v/>
      </c>
      <c r="C1691">
        <f>IF(VLOOKUP(Table7[[#This Row],[Date]],Database!$A:$C,MATCH($C$1,Database!$A$1:$C$1,),)=0,#N/A,VLOOKUP(Table7[[#This Row],[Date]],Database!$A:$C,MATCH($C$1,Database!$A$1:$C$1,),))</f>
        <v/>
      </c>
      <c r="D1691">
        <f>IFERROR(Table7[[#This Row],[United States 10y]]-Table7[[#This Row],[United States 3y]],#N/A)</f>
        <v/>
      </c>
    </row>
    <row r="1692">
      <c r="A1692" s="6">
        <f>Database!$A3777</f>
        <v/>
      </c>
      <c r="B1692">
        <f>IF(VLOOKUP(Table7[[#This Row],[Date]],Database!$A:$C,MATCH($B$1,Database!$A$1:$C$1,),)=0,#N/A,VLOOKUP(Table7[[#This Row],[Date]],Database!$A:$C,MATCH($B$1,Database!$A$1:$C$1,),))</f>
        <v/>
      </c>
      <c r="C1692">
        <f>IF(VLOOKUP(Table7[[#This Row],[Date]],Database!$A:$C,MATCH($C$1,Database!$A$1:$C$1,),)=0,#N/A,VLOOKUP(Table7[[#This Row],[Date]],Database!$A:$C,MATCH($C$1,Database!$A$1:$C$1,),))</f>
        <v/>
      </c>
      <c r="D1692">
        <f>IFERROR(Table7[[#This Row],[United States 10y]]-Table7[[#This Row],[United States 3y]],#N/A)</f>
        <v/>
      </c>
    </row>
    <row r="1693">
      <c r="A1693" s="6">
        <f>Database!$A3778</f>
        <v/>
      </c>
      <c r="B1693">
        <f>IF(VLOOKUP(Table7[[#This Row],[Date]],Database!$A:$C,MATCH($B$1,Database!$A$1:$C$1,),)=0,#N/A,VLOOKUP(Table7[[#This Row],[Date]],Database!$A:$C,MATCH($B$1,Database!$A$1:$C$1,),))</f>
        <v/>
      </c>
      <c r="C1693">
        <f>IF(VLOOKUP(Table7[[#This Row],[Date]],Database!$A:$C,MATCH($C$1,Database!$A$1:$C$1,),)=0,#N/A,VLOOKUP(Table7[[#This Row],[Date]],Database!$A:$C,MATCH($C$1,Database!$A$1:$C$1,),))</f>
        <v/>
      </c>
      <c r="D1693">
        <f>IFERROR(Table7[[#This Row],[United States 10y]]-Table7[[#This Row],[United States 3y]],#N/A)</f>
        <v/>
      </c>
    </row>
    <row r="1694">
      <c r="A1694" s="6">
        <f>Database!$A3779</f>
        <v/>
      </c>
      <c r="B1694">
        <f>IF(VLOOKUP(Table7[[#This Row],[Date]],Database!$A:$C,MATCH($B$1,Database!$A$1:$C$1,),)=0,#N/A,VLOOKUP(Table7[[#This Row],[Date]],Database!$A:$C,MATCH($B$1,Database!$A$1:$C$1,),))</f>
        <v/>
      </c>
      <c r="C1694">
        <f>IF(VLOOKUP(Table7[[#This Row],[Date]],Database!$A:$C,MATCH($C$1,Database!$A$1:$C$1,),)=0,#N/A,VLOOKUP(Table7[[#This Row],[Date]],Database!$A:$C,MATCH($C$1,Database!$A$1:$C$1,),))</f>
        <v/>
      </c>
      <c r="D1694">
        <f>IFERROR(Table7[[#This Row],[United States 10y]]-Table7[[#This Row],[United States 3y]],#N/A)</f>
        <v/>
      </c>
    </row>
    <row r="1695">
      <c r="A1695" s="6">
        <f>Database!$A3780</f>
        <v/>
      </c>
      <c r="B1695">
        <f>IF(VLOOKUP(Table7[[#This Row],[Date]],Database!$A:$C,MATCH($B$1,Database!$A$1:$C$1,),)=0,#N/A,VLOOKUP(Table7[[#This Row],[Date]],Database!$A:$C,MATCH($B$1,Database!$A$1:$C$1,),))</f>
        <v/>
      </c>
      <c r="C1695">
        <f>IF(VLOOKUP(Table7[[#This Row],[Date]],Database!$A:$C,MATCH($C$1,Database!$A$1:$C$1,),)=0,#N/A,VLOOKUP(Table7[[#This Row],[Date]],Database!$A:$C,MATCH($C$1,Database!$A$1:$C$1,),))</f>
        <v/>
      </c>
      <c r="D1695">
        <f>IFERROR(Table7[[#This Row],[United States 10y]]-Table7[[#This Row],[United States 3y]],#N/A)</f>
        <v/>
      </c>
    </row>
    <row r="1696">
      <c r="A1696" s="6">
        <f>Database!$A3781</f>
        <v/>
      </c>
      <c r="B1696">
        <f>IF(VLOOKUP(Table7[[#This Row],[Date]],Database!$A:$C,MATCH($B$1,Database!$A$1:$C$1,),)=0,#N/A,VLOOKUP(Table7[[#This Row],[Date]],Database!$A:$C,MATCH($B$1,Database!$A$1:$C$1,),))</f>
        <v/>
      </c>
      <c r="C1696">
        <f>IF(VLOOKUP(Table7[[#This Row],[Date]],Database!$A:$C,MATCH($C$1,Database!$A$1:$C$1,),)=0,#N/A,VLOOKUP(Table7[[#This Row],[Date]],Database!$A:$C,MATCH($C$1,Database!$A$1:$C$1,),))</f>
        <v/>
      </c>
      <c r="D1696">
        <f>IFERROR(Table7[[#This Row],[United States 10y]]-Table7[[#This Row],[United States 3y]],#N/A)</f>
        <v/>
      </c>
    </row>
    <row r="1697">
      <c r="A1697" s="6">
        <f>Database!$A3782</f>
        <v/>
      </c>
      <c r="B1697">
        <f>IF(VLOOKUP(Table7[[#This Row],[Date]],Database!$A:$C,MATCH($B$1,Database!$A$1:$C$1,),)=0,#N/A,VLOOKUP(Table7[[#This Row],[Date]],Database!$A:$C,MATCH($B$1,Database!$A$1:$C$1,),))</f>
        <v/>
      </c>
      <c r="C1697">
        <f>IF(VLOOKUP(Table7[[#This Row],[Date]],Database!$A:$C,MATCH($C$1,Database!$A$1:$C$1,),)=0,#N/A,VLOOKUP(Table7[[#This Row],[Date]],Database!$A:$C,MATCH($C$1,Database!$A$1:$C$1,),))</f>
        <v/>
      </c>
      <c r="D1697">
        <f>IFERROR(Table7[[#This Row],[United States 10y]]-Table7[[#This Row],[United States 3y]],#N/A)</f>
        <v/>
      </c>
    </row>
    <row r="1698">
      <c r="A1698" s="6">
        <f>Database!$A3783</f>
        <v/>
      </c>
      <c r="B1698">
        <f>IF(VLOOKUP(Table7[[#This Row],[Date]],Database!$A:$C,MATCH($B$1,Database!$A$1:$C$1,),)=0,#N/A,VLOOKUP(Table7[[#This Row],[Date]],Database!$A:$C,MATCH($B$1,Database!$A$1:$C$1,),))</f>
        <v/>
      </c>
      <c r="C1698">
        <f>IF(VLOOKUP(Table7[[#This Row],[Date]],Database!$A:$C,MATCH($C$1,Database!$A$1:$C$1,),)=0,#N/A,VLOOKUP(Table7[[#This Row],[Date]],Database!$A:$C,MATCH($C$1,Database!$A$1:$C$1,),))</f>
        <v/>
      </c>
      <c r="D1698">
        <f>IFERROR(Table7[[#This Row],[United States 10y]]-Table7[[#This Row],[United States 3y]],#N/A)</f>
        <v/>
      </c>
    </row>
    <row r="1699">
      <c r="A1699" s="6">
        <f>Database!$A3784</f>
        <v/>
      </c>
      <c r="B1699">
        <f>IF(VLOOKUP(Table7[[#This Row],[Date]],Database!$A:$C,MATCH($B$1,Database!$A$1:$C$1,),)=0,#N/A,VLOOKUP(Table7[[#This Row],[Date]],Database!$A:$C,MATCH($B$1,Database!$A$1:$C$1,),))</f>
        <v/>
      </c>
      <c r="C1699">
        <f>IF(VLOOKUP(Table7[[#This Row],[Date]],Database!$A:$C,MATCH($C$1,Database!$A$1:$C$1,),)=0,#N/A,VLOOKUP(Table7[[#This Row],[Date]],Database!$A:$C,MATCH($C$1,Database!$A$1:$C$1,),))</f>
        <v/>
      </c>
      <c r="D1699">
        <f>IFERROR(Table7[[#This Row],[United States 10y]]-Table7[[#This Row],[United States 3y]],#N/A)</f>
        <v/>
      </c>
    </row>
    <row r="1700">
      <c r="A1700" s="6">
        <f>Database!$A3785</f>
        <v/>
      </c>
      <c r="B1700">
        <f>IF(VLOOKUP(Table7[[#This Row],[Date]],Database!$A:$C,MATCH($B$1,Database!$A$1:$C$1,),)=0,#N/A,VLOOKUP(Table7[[#This Row],[Date]],Database!$A:$C,MATCH($B$1,Database!$A$1:$C$1,),))</f>
        <v/>
      </c>
      <c r="C1700">
        <f>IF(VLOOKUP(Table7[[#This Row],[Date]],Database!$A:$C,MATCH($C$1,Database!$A$1:$C$1,),)=0,#N/A,VLOOKUP(Table7[[#This Row],[Date]],Database!$A:$C,MATCH($C$1,Database!$A$1:$C$1,),))</f>
        <v/>
      </c>
      <c r="D1700">
        <f>IFERROR(Table7[[#This Row],[United States 10y]]-Table7[[#This Row],[United States 3y]],#N/A)</f>
        <v/>
      </c>
    </row>
    <row r="1701">
      <c r="A1701" s="6">
        <f>Database!$A3786</f>
        <v/>
      </c>
      <c r="B1701">
        <f>IF(VLOOKUP(Table7[[#This Row],[Date]],Database!$A:$C,MATCH($B$1,Database!$A$1:$C$1,),)=0,#N/A,VLOOKUP(Table7[[#This Row],[Date]],Database!$A:$C,MATCH($B$1,Database!$A$1:$C$1,),))</f>
        <v/>
      </c>
      <c r="C1701">
        <f>IF(VLOOKUP(Table7[[#This Row],[Date]],Database!$A:$C,MATCH($C$1,Database!$A$1:$C$1,),)=0,#N/A,VLOOKUP(Table7[[#This Row],[Date]],Database!$A:$C,MATCH($C$1,Database!$A$1:$C$1,),))</f>
        <v/>
      </c>
      <c r="D1701">
        <f>IFERROR(Table7[[#This Row],[United States 10y]]-Table7[[#This Row],[United States 3y]],#N/A)</f>
        <v/>
      </c>
    </row>
    <row r="1702">
      <c r="A1702" s="6">
        <f>Database!$A3787</f>
        <v/>
      </c>
      <c r="B1702">
        <f>IF(VLOOKUP(Table7[[#This Row],[Date]],Database!$A:$C,MATCH($B$1,Database!$A$1:$C$1,),)=0,#N/A,VLOOKUP(Table7[[#This Row],[Date]],Database!$A:$C,MATCH($B$1,Database!$A$1:$C$1,),))</f>
        <v/>
      </c>
      <c r="C1702">
        <f>IF(VLOOKUP(Table7[[#This Row],[Date]],Database!$A:$C,MATCH($C$1,Database!$A$1:$C$1,),)=0,#N/A,VLOOKUP(Table7[[#This Row],[Date]],Database!$A:$C,MATCH($C$1,Database!$A$1:$C$1,),))</f>
        <v/>
      </c>
      <c r="D1702">
        <f>IFERROR(Table7[[#This Row],[United States 10y]]-Table7[[#This Row],[United States 3y]],#N/A)</f>
        <v/>
      </c>
    </row>
    <row r="1703">
      <c r="A1703" s="6">
        <f>Database!$A3788</f>
        <v/>
      </c>
      <c r="B1703">
        <f>IF(VLOOKUP(Table7[[#This Row],[Date]],Database!$A:$C,MATCH($B$1,Database!$A$1:$C$1,),)=0,#N/A,VLOOKUP(Table7[[#This Row],[Date]],Database!$A:$C,MATCH($B$1,Database!$A$1:$C$1,),))</f>
        <v/>
      </c>
      <c r="C1703">
        <f>IF(VLOOKUP(Table7[[#This Row],[Date]],Database!$A:$C,MATCH($C$1,Database!$A$1:$C$1,),)=0,#N/A,VLOOKUP(Table7[[#This Row],[Date]],Database!$A:$C,MATCH($C$1,Database!$A$1:$C$1,),))</f>
        <v/>
      </c>
      <c r="D1703">
        <f>IFERROR(Table7[[#This Row],[United States 10y]]-Table7[[#This Row],[United States 3y]],#N/A)</f>
        <v/>
      </c>
    </row>
    <row r="1704">
      <c r="A1704" s="6">
        <f>Database!$A3789</f>
        <v/>
      </c>
      <c r="B1704">
        <f>IF(VLOOKUP(Table7[[#This Row],[Date]],Database!$A:$C,MATCH($B$1,Database!$A$1:$C$1,),)=0,#N/A,VLOOKUP(Table7[[#This Row],[Date]],Database!$A:$C,MATCH($B$1,Database!$A$1:$C$1,),))</f>
        <v/>
      </c>
      <c r="C1704">
        <f>IF(VLOOKUP(Table7[[#This Row],[Date]],Database!$A:$C,MATCH($C$1,Database!$A$1:$C$1,),)=0,#N/A,VLOOKUP(Table7[[#This Row],[Date]],Database!$A:$C,MATCH($C$1,Database!$A$1:$C$1,),))</f>
        <v/>
      </c>
      <c r="D1704">
        <f>IFERROR(Table7[[#This Row],[United States 10y]]-Table7[[#This Row],[United States 3y]],#N/A)</f>
        <v/>
      </c>
    </row>
    <row r="1705">
      <c r="A1705" s="6">
        <f>Database!$A3790</f>
        <v/>
      </c>
      <c r="B1705">
        <f>IF(VLOOKUP(Table7[[#This Row],[Date]],Database!$A:$C,MATCH($B$1,Database!$A$1:$C$1,),)=0,#N/A,VLOOKUP(Table7[[#This Row],[Date]],Database!$A:$C,MATCH($B$1,Database!$A$1:$C$1,),))</f>
        <v/>
      </c>
      <c r="C1705">
        <f>IF(VLOOKUP(Table7[[#This Row],[Date]],Database!$A:$C,MATCH($C$1,Database!$A$1:$C$1,),)=0,#N/A,VLOOKUP(Table7[[#This Row],[Date]],Database!$A:$C,MATCH($C$1,Database!$A$1:$C$1,),))</f>
        <v/>
      </c>
      <c r="D1705">
        <f>IFERROR(Table7[[#This Row],[United States 10y]]-Table7[[#This Row],[United States 3y]],#N/A)</f>
        <v/>
      </c>
    </row>
    <row r="1706">
      <c r="A1706" s="6">
        <f>Database!$A3791</f>
        <v/>
      </c>
      <c r="B1706">
        <f>IF(VLOOKUP(Table7[[#This Row],[Date]],Database!$A:$C,MATCH($B$1,Database!$A$1:$C$1,),)=0,#N/A,VLOOKUP(Table7[[#This Row],[Date]],Database!$A:$C,MATCH($B$1,Database!$A$1:$C$1,),))</f>
        <v/>
      </c>
      <c r="C1706">
        <f>IF(VLOOKUP(Table7[[#This Row],[Date]],Database!$A:$C,MATCH($C$1,Database!$A$1:$C$1,),)=0,#N/A,VLOOKUP(Table7[[#This Row],[Date]],Database!$A:$C,MATCH($C$1,Database!$A$1:$C$1,),))</f>
        <v/>
      </c>
      <c r="D1706">
        <f>IFERROR(Table7[[#This Row],[United States 10y]]-Table7[[#This Row],[United States 3y]],#N/A)</f>
        <v/>
      </c>
    </row>
    <row r="1707">
      <c r="A1707" s="6">
        <f>Database!$A3792</f>
        <v/>
      </c>
      <c r="B1707">
        <f>IF(VLOOKUP(Table7[[#This Row],[Date]],Database!$A:$C,MATCH($B$1,Database!$A$1:$C$1,),)=0,#N/A,VLOOKUP(Table7[[#This Row],[Date]],Database!$A:$C,MATCH($B$1,Database!$A$1:$C$1,),))</f>
        <v/>
      </c>
      <c r="C1707">
        <f>IF(VLOOKUP(Table7[[#This Row],[Date]],Database!$A:$C,MATCH($C$1,Database!$A$1:$C$1,),)=0,#N/A,VLOOKUP(Table7[[#This Row],[Date]],Database!$A:$C,MATCH($C$1,Database!$A$1:$C$1,),))</f>
        <v/>
      </c>
      <c r="D1707">
        <f>IFERROR(Table7[[#This Row],[United States 10y]]-Table7[[#This Row],[United States 3y]],#N/A)</f>
        <v/>
      </c>
    </row>
    <row r="1708">
      <c r="A1708" s="6">
        <f>Database!$A3793</f>
        <v/>
      </c>
      <c r="B1708">
        <f>IF(VLOOKUP(Table7[[#This Row],[Date]],Database!$A:$C,MATCH($B$1,Database!$A$1:$C$1,),)=0,#N/A,VLOOKUP(Table7[[#This Row],[Date]],Database!$A:$C,MATCH($B$1,Database!$A$1:$C$1,),))</f>
        <v/>
      </c>
      <c r="C1708">
        <f>IF(VLOOKUP(Table7[[#This Row],[Date]],Database!$A:$C,MATCH($C$1,Database!$A$1:$C$1,),)=0,#N/A,VLOOKUP(Table7[[#This Row],[Date]],Database!$A:$C,MATCH($C$1,Database!$A$1:$C$1,),))</f>
        <v/>
      </c>
      <c r="D1708">
        <f>IFERROR(Table7[[#This Row],[United States 10y]]-Table7[[#This Row],[United States 3y]],#N/A)</f>
        <v/>
      </c>
    </row>
    <row r="1709">
      <c r="A1709" s="6">
        <f>Database!$A3794</f>
        <v/>
      </c>
      <c r="B1709">
        <f>IF(VLOOKUP(Table7[[#This Row],[Date]],Database!$A:$C,MATCH($B$1,Database!$A$1:$C$1,),)=0,#N/A,VLOOKUP(Table7[[#This Row],[Date]],Database!$A:$C,MATCH($B$1,Database!$A$1:$C$1,),))</f>
        <v/>
      </c>
      <c r="C1709">
        <f>IF(VLOOKUP(Table7[[#This Row],[Date]],Database!$A:$C,MATCH($C$1,Database!$A$1:$C$1,),)=0,#N/A,VLOOKUP(Table7[[#This Row],[Date]],Database!$A:$C,MATCH($C$1,Database!$A$1:$C$1,),))</f>
        <v/>
      </c>
      <c r="D1709">
        <f>IFERROR(Table7[[#This Row],[United States 10y]]-Table7[[#This Row],[United States 3y]],#N/A)</f>
        <v/>
      </c>
    </row>
    <row r="1710">
      <c r="A1710" s="6">
        <f>Database!$A3795</f>
        <v/>
      </c>
      <c r="B1710">
        <f>IF(VLOOKUP(Table7[[#This Row],[Date]],Database!$A:$C,MATCH($B$1,Database!$A$1:$C$1,),)=0,#N/A,VLOOKUP(Table7[[#This Row],[Date]],Database!$A:$C,MATCH($B$1,Database!$A$1:$C$1,),))</f>
        <v/>
      </c>
      <c r="C1710">
        <f>IF(VLOOKUP(Table7[[#This Row],[Date]],Database!$A:$C,MATCH($C$1,Database!$A$1:$C$1,),)=0,#N/A,VLOOKUP(Table7[[#This Row],[Date]],Database!$A:$C,MATCH($C$1,Database!$A$1:$C$1,),))</f>
        <v/>
      </c>
      <c r="D1710">
        <f>IFERROR(Table7[[#This Row],[United States 10y]]-Table7[[#This Row],[United States 3y]],#N/A)</f>
        <v/>
      </c>
    </row>
    <row r="1711">
      <c r="A1711" s="6">
        <f>Database!$A3796</f>
        <v/>
      </c>
      <c r="B1711">
        <f>IF(VLOOKUP(Table7[[#This Row],[Date]],Database!$A:$C,MATCH($B$1,Database!$A$1:$C$1,),)=0,#N/A,VLOOKUP(Table7[[#This Row],[Date]],Database!$A:$C,MATCH($B$1,Database!$A$1:$C$1,),))</f>
        <v/>
      </c>
      <c r="C1711">
        <f>IF(VLOOKUP(Table7[[#This Row],[Date]],Database!$A:$C,MATCH($C$1,Database!$A$1:$C$1,),)=0,#N/A,VLOOKUP(Table7[[#This Row],[Date]],Database!$A:$C,MATCH($C$1,Database!$A$1:$C$1,),))</f>
        <v/>
      </c>
      <c r="D1711">
        <f>IFERROR(Table7[[#This Row],[United States 10y]]-Table7[[#This Row],[United States 3y]],#N/A)</f>
        <v/>
      </c>
    </row>
    <row r="1712">
      <c r="A1712" s="6">
        <f>Database!$A3797</f>
        <v/>
      </c>
      <c r="B1712">
        <f>IF(VLOOKUP(Table7[[#This Row],[Date]],Database!$A:$C,MATCH($B$1,Database!$A$1:$C$1,),)=0,#N/A,VLOOKUP(Table7[[#This Row],[Date]],Database!$A:$C,MATCH($B$1,Database!$A$1:$C$1,),))</f>
        <v/>
      </c>
      <c r="C1712">
        <f>IF(VLOOKUP(Table7[[#This Row],[Date]],Database!$A:$C,MATCH($C$1,Database!$A$1:$C$1,),)=0,#N/A,VLOOKUP(Table7[[#This Row],[Date]],Database!$A:$C,MATCH($C$1,Database!$A$1:$C$1,),))</f>
        <v/>
      </c>
      <c r="D1712">
        <f>IFERROR(Table7[[#This Row],[United States 10y]]-Table7[[#This Row],[United States 3y]],#N/A)</f>
        <v/>
      </c>
    </row>
    <row r="1713">
      <c r="A1713" s="6">
        <f>Database!$A3798</f>
        <v/>
      </c>
      <c r="B1713">
        <f>IF(VLOOKUP(Table7[[#This Row],[Date]],Database!$A:$C,MATCH($B$1,Database!$A$1:$C$1,),)=0,#N/A,VLOOKUP(Table7[[#This Row],[Date]],Database!$A:$C,MATCH($B$1,Database!$A$1:$C$1,),))</f>
        <v/>
      </c>
      <c r="C1713">
        <f>IF(VLOOKUP(Table7[[#This Row],[Date]],Database!$A:$C,MATCH($C$1,Database!$A$1:$C$1,),)=0,#N/A,VLOOKUP(Table7[[#This Row],[Date]],Database!$A:$C,MATCH($C$1,Database!$A$1:$C$1,),))</f>
        <v/>
      </c>
      <c r="D1713">
        <f>IFERROR(Table7[[#This Row],[United States 10y]]-Table7[[#This Row],[United States 3y]],#N/A)</f>
        <v/>
      </c>
    </row>
    <row r="1714">
      <c r="A1714" s="6">
        <f>Database!$A3799</f>
        <v/>
      </c>
      <c r="B1714">
        <f>IF(VLOOKUP(Table7[[#This Row],[Date]],Database!$A:$C,MATCH($B$1,Database!$A$1:$C$1,),)=0,#N/A,VLOOKUP(Table7[[#This Row],[Date]],Database!$A:$C,MATCH($B$1,Database!$A$1:$C$1,),))</f>
        <v/>
      </c>
      <c r="C1714">
        <f>IF(VLOOKUP(Table7[[#This Row],[Date]],Database!$A:$C,MATCH($C$1,Database!$A$1:$C$1,),)=0,#N/A,VLOOKUP(Table7[[#This Row],[Date]],Database!$A:$C,MATCH($C$1,Database!$A$1:$C$1,),))</f>
        <v/>
      </c>
      <c r="D1714">
        <f>IFERROR(Table7[[#This Row],[United States 10y]]-Table7[[#This Row],[United States 3y]],#N/A)</f>
        <v/>
      </c>
    </row>
    <row r="1715">
      <c r="A1715" s="6">
        <f>Database!$A3800</f>
        <v/>
      </c>
      <c r="B1715">
        <f>IF(VLOOKUP(Table7[[#This Row],[Date]],Database!$A:$C,MATCH($B$1,Database!$A$1:$C$1,),)=0,#N/A,VLOOKUP(Table7[[#This Row],[Date]],Database!$A:$C,MATCH($B$1,Database!$A$1:$C$1,),))</f>
        <v/>
      </c>
      <c r="C1715">
        <f>IF(VLOOKUP(Table7[[#This Row],[Date]],Database!$A:$C,MATCH($C$1,Database!$A$1:$C$1,),)=0,#N/A,VLOOKUP(Table7[[#This Row],[Date]],Database!$A:$C,MATCH($C$1,Database!$A$1:$C$1,),))</f>
        <v/>
      </c>
      <c r="D1715">
        <f>IFERROR(Table7[[#This Row],[United States 10y]]-Table7[[#This Row],[United States 3y]],#N/A)</f>
        <v/>
      </c>
    </row>
    <row r="1716">
      <c r="A1716" s="6">
        <f>Database!$A3801</f>
        <v/>
      </c>
      <c r="B1716">
        <f>IF(VLOOKUP(Table7[[#This Row],[Date]],Database!$A:$C,MATCH($B$1,Database!$A$1:$C$1,),)=0,#N/A,VLOOKUP(Table7[[#This Row],[Date]],Database!$A:$C,MATCH($B$1,Database!$A$1:$C$1,),))</f>
        <v/>
      </c>
      <c r="C1716">
        <f>IF(VLOOKUP(Table7[[#This Row],[Date]],Database!$A:$C,MATCH($C$1,Database!$A$1:$C$1,),)=0,#N/A,VLOOKUP(Table7[[#This Row],[Date]],Database!$A:$C,MATCH($C$1,Database!$A$1:$C$1,),))</f>
        <v/>
      </c>
      <c r="D1716">
        <f>IFERROR(Table7[[#This Row],[United States 10y]]-Table7[[#This Row],[United States 3y]],#N/A)</f>
        <v/>
      </c>
    </row>
    <row r="1717">
      <c r="A1717" s="6">
        <f>Database!$A3802</f>
        <v/>
      </c>
      <c r="B1717">
        <f>IF(VLOOKUP(Table7[[#This Row],[Date]],Database!$A:$C,MATCH($B$1,Database!$A$1:$C$1,),)=0,#N/A,VLOOKUP(Table7[[#This Row],[Date]],Database!$A:$C,MATCH($B$1,Database!$A$1:$C$1,),))</f>
        <v/>
      </c>
      <c r="C1717">
        <f>IF(VLOOKUP(Table7[[#This Row],[Date]],Database!$A:$C,MATCH($C$1,Database!$A$1:$C$1,),)=0,#N/A,VLOOKUP(Table7[[#This Row],[Date]],Database!$A:$C,MATCH($C$1,Database!$A$1:$C$1,),))</f>
        <v/>
      </c>
      <c r="D1717">
        <f>IFERROR(Table7[[#This Row],[United States 10y]]-Table7[[#This Row],[United States 3y]],#N/A)</f>
        <v/>
      </c>
    </row>
    <row r="1718">
      <c r="A1718" s="6">
        <f>Database!$A3803</f>
        <v/>
      </c>
      <c r="B1718">
        <f>IF(VLOOKUP(Table7[[#This Row],[Date]],Database!$A:$C,MATCH($B$1,Database!$A$1:$C$1,),)=0,#N/A,VLOOKUP(Table7[[#This Row],[Date]],Database!$A:$C,MATCH($B$1,Database!$A$1:$C$1,),))</f>
        <v/>
      </c>
      <c r="C1718">
        <f>IF(VLOOKUP(Table7[[#This Row],[Date]],Database!$A:$C,MATCH($C$1,Database!$A$1:$C$1,),)=0,#N/A,VLOOKUP(Table7[[#This Row],[Date]],Database!$A:$C,MATCH($C$1,Database!$A$1:$C$1,),))</f>
        <v/>
      </c>
      <c r="D1718">
        <f>IFERROR(Table7[[#This Row],[United States 10y]]-Table7[[#This Row],[United States 3y]],#N/A)</f>
        <v/>
      </c>
    </row>
    <row r="1719">
      <c r="A1719" s="6">
        <f>Database!$A3804</f>
        <v/>
      </c>
      <c r="B1719">
        <f>IF(VLOOKUP(Table7[[#This Row],[Date]],Database!$A:$C,MATCH($B$1,Database!$A$1:$C$1,),)=0,#N/A,VLOOKUP(Table7[[#This Row],[Date]],Database!$A:$C,MATCH($B$1,Database!$A$1:$C$1,),))</f>
        <v/>
      </c>
      <c r="C1719">
        <f>IF(VLOOKUP(Table7[[#This Row],[Date]],Database!$A:$C,MATCH($C$1,Database!$A$1:$C$1,),)=0,#N/A,VLOOKUP(Table7[[#This Row],[Date]],Database!$A:$C,MATCH($C$1,Database!$A$1:$C$1,),))</f>
        <v/>
      </c>
      <c r="D1719">
        <f>IFERROR(Table7[[#This Row],[United States 10y]]-Table7[[#This Row],[United States 3y]],#N/A)</f>
        <v/>
      </c>
    </row>
    <row r="1720">
      <c r="A1720" s="6">
        <f>Database!$A3805</f>
        <v/>
      </c>
      <c r="B1720">
        <f>IF(VLOOKUP(Table7[[#This Row],[Date]],Database!$A:$C,MATCH($B$1,Database!$A$1:$C$1,),)=0,#N/A,VLOOKUP(Table7[[#This Row],[Date]],Database!$A:$C,MATCH($B$1,Database!$A$1:$C$1,),))</f>
        <v/>
      </c>
      <c r="C1720">
        <f>IF(VLOOKUP(Table7[[#This Row],[Date]],Database!$A:$C,MATCH($C$1,Database!$A$1:$C$1,),)=0,#N/A,VLOOKUP(Table7[[#This Row],[Date]],Database!$A:$C,MATCH($C$1,Database!$A$1:$C$1,),))</f>
        <v/>
      </c>
      <c r="D1720">
        <f>IFERROR(Table7[[#This Row],[United States 10y]]-Table7[[#This Row],[United States 3y]],#N/A)</f>
        <v/>
      </c>
    </row>
    <row r="1721">
      <c r="A1721" s="6">
        <f>Database!$A3806</f>
        <v/>
      </c>
      <c r="B1721">
        <f>IF(VLOOKUP(Table7[[#This Row],[Date]],Database!$A:$C,MATCH($B$1,Database!$A$1:$C$1,),)=0,#N/A,VLOOKUP(Table7[[#This Row],[Date]],Database!$A:$C,MATCH($B$1,Database!$A$1:$C$1,),))</f>
        <v/>
      </c>
      <c r="C1721">
        <f>IF(VLOOKUP(Table7[[#This Row],[Date]],Database!$A:$C,MATCH($C$1,Database!$A$1:$C$1,),)=0,#N/A,VLOOKUP(Table7[[#This Row],[Date]],Database!$A:$C,MATCH($C$1,Database!$A$1:$C$1,),))</f>
        <v/>
      </c>
      <c r="D1721">
        <f>IFERROR(Table7[[#This Row],[United States 10y]]-Table7[[#This Row],[United States 3y]],#N/A)</f>
        <v/>
      </c>
    </row>
    <row r="1722">
      <c r="A1722" s="6">
        <f>Database!$A3807</f>
        <v/>
      </c>
      <c r="B1722">
        <f>IF(VLOOKUP(Table7[[#This Row],[Date]],Database!$A:$C,MATCH($B$1,Database!$A$1:$C$1,),)=0,#N/A,VLOOKUP(Table7[[#This Row],[Date]],Database!$A:$C,MATCH($B$1,Database!$A$1:$C$1,),))</f>
        <v/>
      </c>
      <c r="C1722">
        <f>IF(VLOOKUP(Table7[[#This Row],[Date]],Database!$A:$C,MATCH($C$1,Database!$A$1:$C$1,),)=0,#N/A,VLOOKUP(Table7[[#This Row],[Date]],Database!$A:$C,MATCH($C$1,Database!$A$1:$C$1,),))</f>
        <v/>
      </c>
      <c r="D1722">
        <f>IFERROR(Table7[[#This Row],[United States 10y]]-Table7[[#This Row],[United States 3y]],#N/A)</f>
        <v/>
      </c>
    </row>
    <row r="1723">
      <c r="A1723" s="6">
        <f>Database!$A3808</f>
        <v/>
      </c>
      <c r="B1723">
        <f>IF(VLOOKUP(Table7[[#This Row],[Date]],Database!$A:$C,MATCH($B$1,Database!$A$1:$C$1,),)=0,#N/A,VLOOKUP(Table7[[#This Row],[Date]],Database!$A:$C,MATCH($B$1,Database!$A$1:$C$1,),))</f>
        <v/>
      </c>
      <c r="C1723">
        <f>IF(VLOOKUP(Table7[[#This Row],[Date]],Database!$A:$C,MATCH($C$1,Database!$A$1:$C$1,),)=0,#N/A,VLOOKUP(Table7[[#This Row],[Date]],Database!$A:$C,MATCH($C$1,Database!$A$1:$C$1,),))</f>
        <v/>
      </c>
      <c r="D1723">
        <f>IFERROR(Table7[[#This Row],[United States 10y]]-Table7[[#This Row],[United States 3y]],#N/A)</f>
        <v/>
      </c>
    </row>
    <row r="1724">
      <c r="A1724" s="6">
        <f>Database!$A3809</f>
        <v/>
      </c>
      <c r="B1724">
        <f>IF(VLOOKUP(Table7[[#This Row],[Date]],Database!$A:$C,MATCH($B$1,Database!$A$1:$C$1,),)=0,#N/A,VLOOKUP(Table7[[#This Row],[Date]],Database!$A:$C,MATCH($B$1,Database!$A$1:$C$1,),))</f>
        <v/>
      </c>
      <c r="C1724">
        <f>IF(VLOOKUP(Table7[[#This Row],[Date]],Database!$A:$C,MATCH($C$1,Database!$A$1:$C$1,),)=0,#N/A,VLOOKUP(Table7[[#This Row],[Date]],Database!$A:$C,MATCH($C$1,Database!$A$1:$C$1,),))</f>
        <v/>
      </c>
      <c r="D1724">
        <f>IFERROR(Table7[[#This Row],[United States 10y]]-Table7[[#This Row],[United States 3y]],#N/A)</f>
        <v/>
      </c>
    </row>
    <row r="1725">
      <c r="A1725" s="6">
        <f>Database!$A3810</f>
        <v/>
      </c>
      <c r="B1725">
        <f>IF(VLOOKUP(Table7[[#This Row],[Date]],Database!$A:$C,MATCH($B$1,Database!$A$1:$C$1,),)=0,#N/A,VLOOKUP(Table7[[#This Row],[Date]],Database!$A:$C,MATCH($B$1,Database!$A$1:$C$1,),))</f>
        <v/>
      </c>
      <c r="C1725">
        <f>IF(VLOOKUP(Table7[[#This Row],[Date]],Database!$A:$C,MATCH($C$1,Database!$A$1:$C$1,),)=0,#N/A,VLOOKUP(Table7[[#This Row],[Date]],Database!$A:$C,MATCH($C$1,Database!$A$1:$C$1,),))</f>
        <v/>
      </c>
      <c r="D1725">
        <f>IFERROR(Table7[[#This Row],[United States 10y]]-Table7[[#This Row],[United States 3y]],#N/A)</f>
        <v/>
      </c>
    </row>
    <row r="1726">
      <c r="A1726" s="6">
        <f>Database!$A3811</f>
        <v/>
      </c>
      <c r="B1726">
        <f>IF(VLOOKUP(Table7[[#This Row],[Date]],Database!$A:$C,MATCH($B$1,Database!$A$1:$C$1,),)=0,#N/A,VLOOKUP(Table7[[#This Row],[Date]],Database!$A:$C,MATCH($B$1,Database!$A$1:$C$1,),))</f>
        <v/>
      </c>
      <c r="C1726">
        <f>IF(VLOOKUP(Table7[[#This Row],[Date]],Database!$A:$C,MATCH($C$1,Database!$A$1:$C$1,),)=0,#N/A,VLOOKUP(Table7[[#This Row],[Date]],Database!$A:$C,MATCH($C$1,Database!$A$1:$C$1,),))</f>
        <v/>
      </c>
      <c r="D1726">
        <f>IFERROR(Table7[[#This Row],[United States 10y]]-Table7[[#This Row],[United States 3y]],#N/A)</f>
        <v/>
      </c>
    </row>
    <row r="1727">
      <c r="A1727" s="6">
        <f>Database!$A3812</f>
        <v/>
      </c>
      <c r="B1727">
        <f>IF(VLOOKUP(Table7[[#This Row],[Date]],Database!$A:$C,MATCH($B$1,Database!$A$1:$C$1,),)=0,#N/A,VLOOKUP(Table7[[#This Row],[Date]],Database!$A:$C,MATCH($B$1,Database!$A$1:$C$1,),))</f>
        <v/>
      </c>
      <c r="C1727">
        <f>IF(VLOOKUP(Table7[[#This Row],[Date]],Database!$A:$C,MATCH($C$1,Database!$A$1:$C$1,),)=0,#N/A,VLOOKUP(Table7[[#This Row],[Date]],Database!$A:$C,MATCH($C$1,Database!$A$1:$C$1,),))</f>
        <v/>
      </c>
      <c r="D1727">
        <f>IFERROR(Table7[[#This Row],[United States 10y]]-Table7[[#This Row],[United States 3y]],#N/A)</f>
        <v/>
      </c>
    </row>
    <row r="1728">
      <c r="A1728" s="6">
        <f>Database!$A3813</f>
        <v/>
      </c>
      <c r="B1728">
        <f>IF(VLOOKUP(Table7[[#This Row],[Date]],Database!$A:$C,MATCH($B$1,Database!$A$1:$C$1,),)=0,#N/A,VLOOKUP(Table7[[#This Row],[Date]],Database!$A:$C,MATCH($B$1,Database!$A$1:$C$1,),))</f>
        <v/>
      </c>
      <c r="C1728">
        <f>IF(VLOOKUP(Table7[[#This Row],[Date]],Database!$A:$C,MATCH($C$1,Database!$A$1:$C$1,),)=0,#N/A,VLOOKUP(Table7[[#This Row],[Date]],Database!$A:$C,MATCH($C$1,Database!$A$1:$C$1,),))</f>
        <v/>
      </c>
      <c r="D1728">
        <f>IFERROR(Table7[[#This Row],[United States 10y]]-Table7[[#This Row],[United States 3y]],#N/A)</f>
        <v/>
      </c>
    </row>
    <row r="1729">
      <c r="A1729" s="6">
        <f>Database!$A3814</f>
        <v/>
      </c>
      <c r="B1729">
        <f>IF(VLOOKUP(Table7[[#This Row],[Date]],Database!$A:$C,MATCH($B$1,Database!$A$1:$C$1,),)=0,#N/A,VLOOKUP(Table7[[#This Row],[Date]],Database!$A:$C,MATCH($B$1,Database!$A$1:$C$1,),))</f>
        <v/>
      </c>
      <c r="C1729">
        <f>IF(VLOOKUP(Table7[[#This Row],[Date]],Database!$A:$C,MATCH($C$1,Database!$A$1:$C$1,),)=0,#N/A,VLOOKUP(Table7[[#This Row],[Date]],Database!$A:$C,MATCH($C$1,Database!$A$1:$C$1,),))</f>
        <v/>
      </c>
      <c r="D1729">
        <f>IFERROR(Table7[[#This Row],[United States 10y]]-Table7[[#This Row],[United States 3y]],#N/A)</f>
        <v/>
      </c>
    </row>
    <row r="1730">
      <c r="A1730" s="6">
        <f>Database!$A3815</f>
        <v/>
      </c>
      <c r="B1730">
        <f>IF(VLOOKUP(Table7[[#This Row],[Date]],Database!$A:$C,MATCH($B$1,Database!$A$1:$C$1,),)=0,#N/A,VLOOKUP(Table7[[#This Row],[Date]],Database!$A:$C,MATCH($B$1,Database!$A$1:$C$1,),))</f>
        <v/>
      </c>
      <c r="C1730">
        <f>IF(VLOOKUP(Table7[[#This Row],[Date]],Database!$A:$C,MATCH($C$1,Database!$A$1:$C$1,),)=0,#N/A,VLOOKUP(Table7[[#This Row],[Date]],Database!$A:$C,MATCH($C$1,Database!$A$1:$C$1,),))</f>
        <v/>
      </c>
      <c r="D1730">
        <f>IFERROR(Table7[[#This Row],[United States 10y]]-Table7[[#This Row],[United States 3y]],#N/A)</f>
        <v/>
      </c>
    </row>
    <row r="1731">
      <c r="A1731" s="6">
        <f>Database!$A3816</f>
        <v/>
      </c>
      <c r="B1731">
        <f>IF(VLOOKUP(Table7[[#This Row],[Date]],Database!$A:$C,MATCH($B$1,Database!$A$1:$C$1,),)=0,#N/A,VLOOKUP(Table7[[#This Row],[Date]],Database!$A:$C,MATCH($B$1,Database!$A$1:$C$1,),))</f>
        <v/>
      </c>
      <c r="C1731">
        <f>IF(VLOOKUP(Table7[[#This Row],[Date]],Database!$A:$C,MATCH($C$1,Database!$A$1:$C$1,),)=0,#N/A,VLOOKUP(Table7[[#This Row],[Date]],Database!$A:$C,MATCH($C$1,Database!$A$1:$C$1,),))</f>
        <v/>
      </c>
      <c r="D1731">
        <f>IFERROR(Table7[[#This Row],[United States 10y]]-Table7[[#This Row],[United States 3y]],#N/A)</f>
        <v/>
      </c>
    </row>
    <row r="1732">
      <c r="A1732" s="6">
        <f>Database!$A3817</f>
        <v/>
      </c>
      <c r="B1732">
        <f>IF(VLOOKUP(Table7[[#This Row],[Date]],Database!$A:$C,MATCH($B$1,Database!$A$1:$C$1,),)=0,#N/A,VLOOKUP(Table7[[#This Row],[Date]],Database!$A:$C,MATCH($B$1,Database!$A$1:$C$1,),))</f>
        <v/>
      </c>
      <c r="C1732">
        <f>IF(VLOOKUP(Table7[[#This Row],[Date]],Database!$A:$C,MATCH($C$1,Database!$A$1:$C$1,),)=0,#N/A,VLOOKUP(Table7[[#This Row],[Date]],Database!$A:$C,MATCH($C$1,Database!$A$1:$C$1,),))</f>
        <v/>
      </c>
      <c r="D1732">
        <f>IFERROR(Table7[[#This Row],[United States 10y]]-Table7[[#This Row],[United States 3y]],#N/A)</f>
        <v/>
      </c>
    </row>
    <row r="1733">
      <c r="A1733" s="6">
        <f>Database!$A3818</f>
        <v/>
      </c>
      <c r="B1733">
        <f>IF(VLOOKUP(Table7[[#This Row],[Date]],Database!$A:$C,MATCH($B$1,Database!$A$1:$C$1,),)=0,#N/A,VLOOKUP(Table7[[#This Row],[Date]],Database!$A:$C,MATCH($B$1,Database!$A$1:$C$1,),))</f>
        <v/>
      </c>
      <c r="C1733">
        <f>IF(VLOOKUP(Table7[[#This Row],[Date]],Database!$A:$C,MATCH($C$1,Database!$A$1:$C$1,),)=0,#N/A,VLOOKUP(Table7[[#This Row],[Date]],Database!$A:$C,MATCH($C$1,Database!$A$1:$C$1,),))</f>
        <v/>
      </c>
      <c r="D1733">
        <f>IFERROR(Table7[[#This Row],[United States 10y]]-Table7[[#This Row],[United States 3y]],#N/A)</f>
        <v/>
      </c>
    </row>
    <row r="1734">
      <c r="A1734" s="6">
        <f>Database!$A3819</f>
        <v/>
      </c>
      <c r="B1734">
        <f>IF(VLOOKUP(Table7[[#This Row],[Date]],Database!$A:$C,MATCH($B$1,Database!$A$1:$C$1,),)=0,#N/A,VLOOKUP(Table7[[#This Row],[Date]],Database!$A:$C,MATCH($B$1,Database!$A$1:$C$1,),))</f>
        <v/>
      </c>
      <c r="C1734">
        <f>IF(VLOOKUP(Table7[[#This Row],[Date]],Database!$A:$C,MATCH($C$1,Database!$A$1:$C$1,),)=0,#N/A,VLOOKUP(Table7[[#This Row],[Date]],Database!$A:$C,MATCH($C$1,Database!$A$1:$C$1,),))</f>
        <v/>
      </c>
      <c r="D1734">
        <f>IFERROR(Table7[[#This Row],[United States 10y]]-Table7[[#This Row],[United States 3y]],#N/A)</f>
        <v/>
      </c>
    </row>
    <row r="1735">
      <c r="A1735" s="6">
        <f>Database!$A3820</f>
        <v/>
      </c>
      <c r="B1735">
        <f>IF(VLOOKUP(Table7[[#This Row],[Date]],Database!$A:$C,MATCH($B$1,Database!$A$1:$C$1,),)=0,#N/A,VLOOKUP(Table7[[#This Row],[Date]],Database!$A:$C,MATCH($B$1,Database!$A$1:$C$1,),))</f>
        <v/>
      </c>
      <c r="C1735">
        <f>IF(VLOOKUP(Table7[[#This Row],[Date]],Database!$A:$C,MATCH($C$1,Database!$A$1:$C$1,),)=0,#N/A,VLOOKUP(Table7[[#This Row],[Date]],Database!$A:$C,MATCH($C$1,Database!$A$1:$C$1,),))</f>
        <v/>
      </c>
      <c r="D1735">
        <f>IFERROR(Table7[[#This Row],[United States 10y]]-Table7[[#This Row],[United States 3y]],#N/A)</f>
        <v/>
      </c>
    </row>
    <row r="1736">
      <c r="A1736" s="6">
        <f>Database!$A3821</f>
        <v/>
      </c>
      <c r="B1736">
        <f>IF(VLOOKUP(Table7[[#This Row],[Date]],Database!$A:$C,MATCH($B$1,Database!$A$1:$C$1,),)=0,#N/A,VLOOKUP(Table7[[#This Row],[Date]],Database!$A:$C,MATCH($B$1,Database!$A$1:$C$1,),))</f>
        <v/>
      </c>
      <c r="C1736">
        <f>IF(VLOOKUP(Table7[[#This Row],[Date]],Database!$A:$C,MATCH($C$1,Database!$A$1:$C$1,),)=0,#N/A,VLOOKUP(Table7[[#This Row],[Date]],Database!$A:$C,MATCH($C$1,Database!$A$1:$C$1,),))</f>
        <v/>
      </c>
      <c r="D1736">
        <f>IFERROR(Table7[[#This Row],[United States 10y]]-Table7[[#This Row],[United States 3y]],#N/A)</f>
        <v/>
      </c>
    </row>
    <row r="1737">
      <c r="A1737" s="6">
        <f>Database!$A3822</f>
        <v/>
      </c>
      <c r="B1737">
        <f>IF(VLOOKUP(Table7[[#This Row],[Date]],Database!$A:$C,MATCH($B$1,Database!$A$1:$C$1,),)=0,#N/A,VLOOKUP(Table7[[#This Row],[Date]],Database!$A:$C,MATCH($B$1,Database!$A$1:$C$1,),))</f>
        <v/>
      </c>
      <c r="C1737">
        <f>IF(VLOOKUP(Table7[[#This Row],[Date]],Database!$A:$C,MATCH($C$1,Database!$A$1:$C$1,),)=0,#N/A,VLOOKUP(Table7[[#This Row],[Date]],Database!$A:$C,MATCH($C$1,Database!$A$1:$C$1,),))</f>
        <v/>
      </c>
      <c r="D1737">
        <f>IFERROR(Table7[[#This Row],[United States 10y]]-Table7[[#This Row],[United States 3y]],#N/A)</f>
        <v/>
      </c>
    </row>
    <row r="1738">
      <c r="A1738" s="6">
        <f>Database!$A3823</f>
        <v/>
      </c>
      <c r="B1738">
        <f>IF(VLOOKUP(Table7[[#This Row],[Date]],Database!$A:$C,MATCH($B$1,Database!$A$1:$C$1,),)=0,#N/A,VLOOKUP(Table7[[#This Row],[Date]],Database!$A:$C,MATCH($B$1,Database!$A$1:$C$1,),))</f>
        <v/>
      </c>
      <c r="C1738">
        <f>IF(VLOOKUP(Table7[[#This Row],[Date]],Database!$A:$C,MATCH($C$1,Database!$A$1:$C$1,),)=0,#N/A,VLOOKUP(Table7[[#This Row],[Date]],Database!$A:$C,MATCH($C$1,Database!$A$1:$C$1,),))</f>
        <v/>
      </c>
      <c r="D1738">
        <f>IFERROR(Table7[[#This Row],[United States 10y]]-Table7[[#This Row],[United States 3y]],#N/A)</f>
        <v/>
      </c>
    </row>
    <row r="1739">
      <c r="A1739" s="6">
        <f>Database!$A3824</f>
        <v/>
      </c>
      <c r="B1739">
        <f>IF(VLOOKUP(Table7[[#This Row],[Date]],Database!$A:$C,MATCH($B$1,Database!$A$1:$C$1,),)=0,#N/A,VLOOKUP(Table7[[#This Row],[Date]],Database!$A:$C,MATCH($B$1,Database!$A$1:$C$1,),))</f>
        <v/>
      </c>
      <c r="C1739">
        <f>IF(VLOOKUP(Table7[[#This Row],[Date]],Database!$A:$C,MATCH($C$1,Database!$A$1:$C$1,),)=0,#N/A,VLOOKUP(Table7[[#This Row],[Date]],Database!$A:$C,MATCH($C$1,Database!$A$1:$C$1,),))</f>
        <v/>
      </c>
      <c r="D1739">
        <f>IFERROR(Table7[[#This Row],[United States 10y]]-Table7[[#This Row],[United States 3y]],#N/A)</f>
        <v/>
      </c>
    </row>
    <row r="1740">
      <c r="A1740" s="6">
        <f>Database!$A3825</f>
        <v/>
      </c>
      <c r="B1740">
        <f>IF(VLOOKUP(Table7[[#This Row],[Date]],Database!$A:$C,MATCH($B$1,Database!$A$1:$C$1,),)=0,#N/A,VLOOKUP(Table7[[#This Row],[Date]],Database!$A:$C,MATCH($B$1,Database!$A$1:$C$1,),))</f>
        <v/>
      </c>
      <c r="C1740">
        <f>IF(VLOOKUP(Table7[[#This Row],[Date]],Database!$A:$C,MATCH($C$1,Database!$A$1:$C$1,),)=0,#N/A,VLOOKUP(Table7[[#This Row],[Date]],Database!$A:$C,MATCH($C$1,Database!$A$1:$C$1,),))</f>
        <v/>
      </c>
      <c r="D1740">
        <f>IFERROR(Table7[[#This Row],[United States 10y]]-Table7[[#This Row],[United States 3y]],#N/A)</f>
        <v/>
      </c>
    </row>
    <row r="1741">
      <c r="A1741" s="6">
        <f>Database!$A3826</f>
        <v/>
      </c>
      <c r="B1741">
        <f>IF(VLOOKUP(Table7[[#This Row],[Date]],Database!$A:$C,MATCH($B$1,Database!$A$1:$C$1,),)=0,#N/A,VLOOKUP(Table7[[#This Row],[Date]],Database!$A:$C,MATCH($B$1,Database!$A$1:$C$1,),))</f>
        <v/>
      </c>
      <c r="C1741">
        <f>IF(VLOOKUP(Table7[[#This Row],[Date]],Database!$A:$C,MATCH($C$1,Database!$A$1:$C$1,),)=0,#N/A,VLOOKUP(Table7[[#This Row],[Date]],Database!$A:$C,MATCH($C$1,Database!$A$1:$C$1,),))</f>
        <v/>
      </c>
      <c r="D1741">
        <f>IFERROR(Table7[[#This Row],[United States 10y]]-Table7[[#This Row],[United States 3y]],#N/A)</f>
        <v/>
      </c>
    </row>
    <row r="1742">
      <c r="A1742" s="6">
        <f>Database!$A3827</f>
        <v/>
      </c>
      <c r="B1742">
        <f>IF(VLOOKUP(Table7[[#This Row],[Date]],Database!$A:$C,MATCH($B$1,Database!$A$1:$C$1,),)=0,#N/A,VLOOKUP(Table7[[#This Row],[Date]],Database!$A:$C,MATCH($B$1,Database!$A$1:$C$1,),))</f>
        <v/>
      </c>
      <c r="C1742">
        <f>IF(VLOOKUP(Table7[[#This Row],[Date]],Database!$A:$C,MATCH($C$1,Database!$A$1:$C$1,),)=0,#N/A,VLOOKUP(Table7[[#This Row],[Date]],Database!$A:$C,MATCH($C$1,Database!$A$1:$C$1,),))</f>
        <v/>
      </c>
      <c r="D1742">
        <f>IFERROR(Table7[[#This Row],[United States 10y]]-Table7[[#This Row],[United States 3y]],#N/A)</f>
        <v/>
      </c>
    </row>
    <row r="1743">
      <c r="A1743" s="6">
        <f>Database!$A3828</f>
        <v/>
      </c>
      <c r="B1743">
        <f>IF(VLOOKUP(Table7[[#This Row],[Date]],Database!$A:$C,MATCH($B$1,Database!$A$1:$C$1,),)=0,#N/A,VLOOKUP(Table7[[#This Row],[Date]],Database!$A:$C,MATCH($B$1,Database!$A$1:$C$1,),))</f>
        <v/>
      </c>
      <c r="C1743">
        <f>IF(VLOOKUP(Table7[[#This Row],[Date]],Database!$A:$C,MATCH($C$1,Database!$A$1:$C$1,),)=0,#N/A,VLOOKUP(Table7[[#This Row],[Date]],Database!$A:$C,MATCH($C$1,Database!$A$1:$C$1,),))</f>
        <v/>
      </c>
      <c r="D1743">
        <f>IFERROR(Table7[[#This Row],[United States 10y]]-Table7[[#This Row],[United States 3y]],#N/A)</f>
        <v/>
      </c>
    </row>
    <row r="1744">
      <c r="A1744" s="6">
        <f>Database!$A3829</f>
        <v/>
      </c>
      <c r="B1744">
        <f>IF(VLOOKUP(Table7[[#This Row],[Date]],Database!$A:$C,MATCH($B$1,Database!$A$1:$C$1,),)=0,#N/A,VLOOKUP(Table7[[#This Row],[Date]],Database!$A:$C,MATCH($B$1,Database!$A$1:$C$1,),))</f>
        <v/>
      </c>
      <c r="C1744">
        <f>IF(VLOOKUP(Table7[[#This Row],[Date]],Database!$A:$C,MATCH($C$1,Database!$A$1:$C$1,),)=0,#N/A,VLOOKUP(Table7[[#This Row],[Date]],Database!$A:$C,MATCH($C$1,Database!$A$1:$C$1,),))</f>
        <v/>
      </c>
      <c r="D1744">
        <f>IFERROR(Table7[[#This Row],[United States 10y]]-Table7[[#This Row],[United States 3y]],#N/A)</f>
        <v/>
      </c>
    </row>
    <row r="1745">
      <c r="A1745" s="6">
        <f>Database!$A3830</f>
        <v/>
      </c>
      <c r="B1745">
        <f>IF(VLOOKUP(Table7[[#This Row],[Date]],Database!$A:$C,MATCH($B$1,Database!$A$1:$C$1,),)=0,#N/A,VLOOKUP(Table7[[#This Row],[Date]],Database!$A:$C,MATCH($B$1,Database!$A$1:$C$1,),))</f>
        <v/>
      </c>
      <c r="C1745">
        <f>IF(VLOOKUP(Table7[[#This Row],[Date]],Database!$A:$C,MATCH($C$1,Database!$A$1:$C$1,),)=0,#N/A,VLOOKUP(Table7[[#This Row],[Date]],Database!$A:$C,MATCH($C$1,Database!$A$1:$C$1,),))</f>
        <v/>
      </c>
      <c r="D1745">
        <f>IFERROR(Table7[[#This Row],[United States 10y]]-Table7[[#This Row],[United States 3y]],#N/A)</f>
        <v/>
      </c>
    </row>
    <row r="1746">
      <c r="A1746" s="6">
        <f>Database!$A3831</f>
        <v/>
      </c>
      <c r="B1746">
        <f>IF(VLOOKUP(Table7[[#This Row],[Date]],Database!$A:$C,MATCH($B$1,Database!$A$1:$C$1,),)=0,#N/A,VLOOKUP(Table7[[#This Row],[Date]],Database!$A:$C,MATCH($B$1,Database!$A$1:$C$1,),))</f>
        <v/>
      </c>
      <c r="C1746">
        <f>IF(VLOOKUP(Table7[[#This Row],[Date]],Database!$A:$C,MATCH($C$1,Database!$A$1:$C$1,),)=0,#N/A,VLOOKUP(Table7[[#This Row],[Date]],Database!$A:$C,MATCH($C$1,Database!$A$1:$C$1,),))</f>
        <v/>
      </c>
      <c r="D1746">
        <f>IFERROR(Table7[[#This Row],[United States 10y]]-Table7[[#This Row],[United States 3y]],#N/A)</f>
        <v/>
      </c>
    </row>
    <row r="1747">
      <c r="A1747" s="6">
        <f>Database!$A3832</f>
        <v/>
      </c>
      <c r="B1747">
        <f>IF(VLOOKUP(Table7[[#This Row],[Date]],Database!$A:$C,MATCH($B$1,Database!$A$1:$C$1,),)=0,#N/A,VLOOKUP(Table7[[#This Row],[Date]],Database!$A:$C,MATCH($B$1,Database!$A$1:$C$1,),))</f>
        <v/>
      </c>
      <c r="C1747">
        <f>IF(VLOOKUP(Table7[[#This Row],[Date]],Database!$A:$C,MATCH($C$1,Database!$A$1:$C$1,),)=0,#N/A,VLOOKUP(Table7[[#This Row],[Date]],Database!$A:$C,MATCH($C$1,Database!$A$1:$C$1,),))</f>
        <v/>
      </c>
      <c r="D1747">
        <f>IFERROR(Table7[[#This Row],[United States 10y]]-Table7[[#This Row],[United States 3y]],#N/A)</f>
        <v/>
      </c>
    </row>
    <row r="1748">
      <c r="A1748" s="6">
        <f>Database!$A3833</f>
        <v/>
      </c>
      <c r="B1748">
        <f>IF(VLOOKUP(Table7[[#This Row],[Date]],Database!$A:$C,MATCH($B$1,Database!$A$1:$C$1,),)=0,#N/A,VLOOKUP(Table7[[#This Row],[Date]],Database!$A:$C,MATCH($B$1,Database!$A$1:$C$1,),))</f>
        <v/>
      </c>
      <c r="C1748">
        <f>IF(VLOOKUP(Table7[[#This Row],[Date]],Database!$A:$C,MATCH($C$1,Database!$A$1:$C$1,),)=0,#N/A,VLOOKUP(Table7[[#This Row],[Date]],Database!$A:$C,MATCH($C$1,Database!$A$1:$C$1,),))</f>
        <v/>
      </c>
      <c r="D1748">
        <f>IFERROR(Table7[[#This Row],[United States 10y]]-Table7[[#This Row],[United States 3y]],#N/A)</f>
        <v/>
      </c>
    </row>
    <row r="1749">
      <c r="A1749" s="6">
        <f>Database!$A3834</f>
        <v/>
      </c>
      <c r="B1749">
        <f>IF(VLOOKUP(Table7[[#This Row],[Date]],Database!$A:$C,MATCH($B$1,Database!$A$1:$C$1,),)=0,#N/A,VLOOKUP(Table7[[#This Row],[Date]],Database!$A:$C,MATCH($B$1,Database!$A$1:$C$1,),))</f>
        <v/>
      </c>
      <c r="C1749">
        <f>IF(VLOOKUP(Table7[[#This Row],[Date]],Database!$A:$C,MATCH($C$1,Database!$A$1:$C$1,),)=0,#N/A,VLOOKUP(Table7[[#This Row],[Date]],Database!$A:$C,MATCH($C$1,Database!$A$1:$C$1,),))</f>
        <v/>
      </c>
      <c r="D1749">
        <f>IFERROR(Table7[[#This Row],[United States 10y]]-Table7[[#This Row],[United States 3y]],#N/A)</f>
        <v/>
      </c>
    </row>
    <row r="1750">
      <c r="A1750" s="6">
        <f>Database!$A3835</f>
        <v/>
      </c>
      <c r="B1750">
        <f>IF(VLOOKUP(Table7[[#This Row],[Date]],Database!$A:$C,MATCH($B$1,Database!$A$1:$C$1,),)=0,#N/A,VLOOKUP(Table7[[#This Row],[Date]],Database!$A:$C,MATCH($B$1,Database!$A$1:$C$1,),))</f>
        <v/>
      </c>
      <c r="C1750">
        <f>IF(VLOOKUP(Table7[[#This Row],[Date]],Database!$A:$C,MATCH($C$1,Database!$A$1:$C$1,),)=0,#N/A,VLOOKUP(Table7[[#This Row],[Date]],Database!$A:$C,MATCH($C$1,Database!$A$1:$C$1,),))</f>
        <v/>
      </c>
      <c r="D1750">
        <f>IFERROR(Table7[[#This Row],[United States 10y]]-Table7[[#This Row],[United States 3y]],#N/A)</f>
        <v/>
      </c>
    </row>
    <row r="1751">
      <c r="A1751" s="6">
        <f>Database!$A3836</f>
        <v/>
      </c>
      <c r="B1751">
        <f>IF(VLOOKUP(Table7[[#This Row],[Date]],Database!$A:$C,MATCH($B$1,Database!$A$1:$C$1,),)=0,#N/A,VLOOKUP(Table7[[#This Row],[Date]],Database!$A:$C,MATCH($B$1,Database!$A$1:$C$1,),))</f>
        <v/>
      </c>
      <c r="C1751">
        <f>IF(VLOOKUP(Table7[[#This Row],[Date]],Database!$A:$C,MATCH($C$1,Database!$A$1:$C$1,),)=0,#N/A,VLOOKUP(Table7[[#This Row],[Date]],Database!$A:$C,MATCH($C$1,Database!$A$1:$C$1,),))</f>
        <v/>
      </c>
      <c r="D1751">
        <f>IFERROR(Table7[[#This Row],[United States 10y]]-Table7[[#This Row],[United States 3y]],#N/A)</f>
        <v/>
      </c>
    </row>
    <row r="1752">
      <c r="A1752" s="6">
        <f>Database!$A3837</f>
        <v/>
      </c>
      <c r="B1752">
        <f>IF(VLOOKUP(Table7[[#This Row],[Date]],Database!$A:$C,MATCH($B$1,Database!$A$1:$C$1,),)=0,#N/A,VLOOKUP(Table7[[#This Row],[Date]],Database!$A:$C,MATCH($B$1,Database!$A$1:$C$1,),))</f>
        <v/>
      </c>
      <c r="C1752">
        <f>IF(VLOOKUP(Table7[[#This Row],[Date]],Database!$A:$C,MATCH($C$1,Database!$A$1:$C$1,),)=0,#N/A,VLOOKUP(Table7[[#This Row],[Date]],Database!$A:$C,MATCH($C$1,Database!$A$1:$C$1,),))</f>
        <v/>
      </c>
      <c r="D1752">
        <f>IFERROR(Table7[[#This Row],[United States 10y]]-Table7[[#This Row],[United States 3y]],#N/A)</f>
        <v/>
      </c>
    </row>
    <row r="1753">
      <c r="A1753" s="6">
        <f>Database!$A3838</f>
        <v/>
      </c>
      <c r="B1753">
        <f>IF(VLOOKUP(Table7[[#This Row],[Date]],Database!$A:$C,MATCH($B$1,Database!$A$1:$C$1,),)=0,#N/A,VLOOKUP(Table7[[#This Row],[Date]],Database!$A:$C,MATCH($B$1,Database!$A$1:$C$1,),))</f>
        <v/>
      </c>
      <c r="C1753">
        <f>IF(VLOOKUP(Table7[[#This Row],[Date]],Database!$A:$C,MATCH($C$1,Database!$A$1:$C$1,),)=0,#N/A,VLOOKUP(Table7[[#This Row],[Date]],Database!$A:$C,MATCH($C$1,Database!$A$1:$C$1,),))</f>
        <v/>
      </c>
      <c r="D1753">
        <f>IFERROR(Table7[[#This Row],[United States 10y]]-Table7[[#This Row],[United States 3y]],#N/A)</f>
        <v/>
      </c>
    </row>
    <row r="1754">
      <c r="A1754" s="6">
        <f>Database!$A3839</f>
        <v/>
      </c>
      <c r="B1754">
        <f>IF(VLOOKUP(Table7[[#This Row],[Date]],Database!$A:$C,MATCH($B$1,Database!$A$1:$C$1,),)=0,#N/A,VLOOKUP(Table7[[#This Row],[Date]],Database!$A:$C,MATCH($B$1,Database!$A$1:$C$1,),))</f>
        <v/>
      </c>
      <c r="C1754">
        <f>IF(VLOOKUP(Table7[[#This Row],[Date]],Database!$A:$C,MATCH($C$1,Database!$A$1:$C$1,),)=0,#N/A,VLOOKUP(Table7[[#This Row],[Date]],Database!$A:$C,MATCH($C$1,Database!$A$1:$C$1,),))</f>
        <v/>
      </c>
      <c r="D1754">
        <f>IFERROR(Table7[[#This Row],[United States 10y]]-Table7[[#This Row],[United States 3y]],#N/A)</f>
        <v/>
      </c>
    </row>
    <row r="1755">
      <c r="A1755" s="6">
        <f>Database!$A3840</f>
        <v/>
      </c>
      <c r="B1755">
        <f>IF(VLOOKUP(Table7[[#This Row],[Date]],Database!$A:$C,MATCH($B$1,Database!$A$1:$C$1,),)=0,#N/A,VLOOKUP(Table7[[#This Row],[Date]],Database!$A:$C,MATCH($B$1,Database!$A$1:$C$1,),))</f>
        <v/>
      </c>
      <c r="C1755">
        <f>IF(VLOOKUP(Table7[[#This Row],[Date]],Database!$A:$C,MATCH($C$1,Database!$A$1:$C$1,),)=0,#N/A,VLOOKUP(Table7[[#This Row],[Date]],Database!$A:$C,MATCH($C$1,Database!$A$1:$C$1,),))</f>
        <v/>
      </c>
      <c r="D1755">
        <f>IFERROR(Table7[[#This Row],[United States 10y]]-Table7[[#This Row],[United States 3y]],#N/A)</f>
        <v/>
      </c>
    </row>
    <row r="1756">
      <c r="A1756" s="6">
        <f>Database!$A3841</f>
        <v/>
      </c>
      <c r="B1756">
        <f>IF(VLOOKUP(Table7[[#This Row],[Date]],Database!$A:$C,MATCH($B$1,Database!$A$1:$C$1,),)=0,#N/A,VLOOKUP(Table7[[#This Row],[Date]],Database!$A:$C,MATCH($B$1,Database!$A$1:$C$1,),))</f>
        <v/>
      </c>
      <c r="C1756">
        <f>IF(VLOOKUP(Table7[[#This Row],[Date]],Database!$A:$C,MATCH($C$1,Database!$A$1:$C$1,),)=0,#N/A,VLOOKUP(Table7[[#This Row],[Date]],Database!$A:$C,MATCH($C$1,Database!$A$1:$C$1,),))</f>
        <v/>
      </c>
      <c r="D1756">
        <f>IFERROR(Table7[[#This Row],[United States 10y]]-Table7[[#This Row],[United States 3y]],#N/A)</f>
        <v/>
      </c>
    </row>
    <row r="1757">
      <c r="A1757" s="6">
        <f>Database!$A3842</f>
        <v/>
      </c>
      <c r="B1757">
        <f>IF(VLOOKUP(Table7[[#This Row],[Date]],Database!$A:$C,MATCH($B$1,Database!$A$1:$C$1,),)=0,#N/A,VLOOKUP(Table7[[#This Row],[Date]],Database!$A:$C,MATCH($B$1,Database!$A$1:$C$1,),))</f>
        <v/>
      </c>
      <c r="C1757">
        <f>IF(VLOOKUP(Table7[[#This Row],[Date]],Database!$A:$C,MATCH($C$1,Database!$A$1:$C$1,),)=0,#N/A,VLOOKUP(Table7[[#This Row],[Date]],Database!$A:$C,MATCH($C$1,Database!$A$1:$C$1,),))</f>
        <v/>
      </c>
      <c r="D1757">
        <f>IFERROR(Table7[[#This Row],[United States 10y]]-Table7[[#This Row],[United States 3y]],#N/A)</f>
        <v/>
      </c>
    </row>
    <row r="1758">
      <c r="A1758" s="6">
        <f>Database!$A3843</f>
        <v/>
      </c>
      <c r="B1758">
        <f>IF(VLOOKUP(Table7[[#This Row],[Date]],Database!$A:$C,MATCH($B$1,Database!$A$1:$C$1,),)=0,#N/A,VLOOKUP(Table7[[#This Row],[Date]],Database!$A:$C,MATCH($B$1,Database!$A$1:$C$1,),))</f>
        <v/>
      </c>
      <c r="C1758">
        <f>IF(VLOOKUP(Table7[[#This Row],[Date]],Database!$A:$C,MATCH($C$1,Database!$A$1:$C$1,),)=0,#N/A,VLOOKUP(Table7[[#This Row],[Date]],Database!$A:$C,MATCH($C$1,Database!$A$1:$C$1,),))</f>
        <v/>
      </c>
      <c r="D1758">
        <f>IFERROR(Table7[[#This Row],[United States 10y]]-Table7[[#This Row],[United States 3y]],#N/A)</f>
        <v/>
      </c>
    </row>
    <row r="1759">
      <c r="A1759" s="6">
        <f>Database!$A3844</f>
        <v/>
      </c>
      <c r="B1759">
        <f>IF(VLOOKUP(Table7[[#This Row],[Date]],Database!$A:$C,MATCH($B$1,Database!$A$1:$C$1,),)=0,#N/A,VLOOKUP(Table7[[#This Row],[Date]],Database!$A:$C,MATCH($B$1,Database!$A$1:$C$1,),))</f>
        <v/>
      </c>
      <c r="C1759">
        <f>IF(VLOOKUP(Table7[[#This Row],[Date]],Database!$A:$C,MATCH($C$1,Database!$A$1:$C$1,),)=0,#N/A,VLOOKUP(Table7[[#This Row],[Date]],Database!$A:$C,MATCH($C$1,Database!$A$1:$C$1,),))</f>
        <v/>
      </c>
      <c r="D1759">
        <f>IFERROR(Table7[[#This Row],[United States 10y]]-Table7[[#This Row],[United States 3y]],#N/A)</f>
        <v/>
      </c>
    </row>
    <row r="1760">
      <c r="A1760" s="6">
        <f>Database!$A3845</f>
        <v/>
      </c>
      <c r="B1760">
        <f>IF(VLOOKUP(Table7[[#This Row],[Date]],Database!$A:$C,MATCH($B$1,Database!$A$1:$C$1,),)=0,#N/A,VLOOKUP(Table7[[#This Row],[Date]],Database!$A:$C,MATCH($B$1,Database!$A$1:$C$1,),))</f>
        <v/>
      </c>
      <c r="C1760">
        <f>IF(VLOOKUP(Table7[[#This Row],[Date]],Database!$A:$C,MATCH($C$1,Database!$A$1:$C$1,),)=0,#N/A,VLOOKUP(Table7[[#This Row],[Date]],Database!$A:$C,MATCH($C$1,Database!$A$1:$C$1,),))</f>
        <v/>
      </c>
      <c r="D1760">
        <f>IFERROR(Table7[[#This Row],[United States 10y]]-Table7[[#This Row],[United States 3y]],#N/A)</f>
        <v/>
      </c>
    </row>
    <row r="1761">
      <c r="A1761" s="6">
        <f>Database!$A3846</f>
        <v/>
      </c>
      <c r="B1761">
        <f>IF(VLOOKUP(Table7[[#This Row],[Date]],Database!$A:$C,MATCH($B$1,Database!$A$1:$C$1,),)=0,#N/A,VLOOKUP(Table7[[#This Row],[Date]],Database!$A:$C,MATCH($B$1,Database!$A$1:$C$1,),))</f>
        <v/>
      </c>
      <c r="C1761">
        <f>IF(VLOOKUP(Table7[[#This Row],[Date]],Database!$A:$C,MATCH($C$1,Database!$A$1:$C$1,),)=0,#N/A,VLOOKUP(Table7[[#This Row],[Date]],Database!$A:$C,MATCH($C$1,Database!$A$1:$C$1,),))</f>
        <v/>
      </c>
      <c r="D1761">
        <f>IFERROR(Table7[[#This Row],[United States 10y]]-Table7[[#This Row],[United States 3y]],#N/A)</f>
        <v/>
      </c>
    </row>
    <row r="1762">
      <c r="A1762" s="6">
        <f>Database!$A3847</f>
        <v/>
      </c>
      <c r="B1762">
        <f>IF(VLOOKUP(Table7[[#This Row],[Date]],Database!$A:$C,MATCH($B$1,Database!$A$1:$C$1,),)=0,#N/A,VLOOKUP(Table7[[#This Row],[Date]],Database!$A:$C,MATCH($B$1,Database!$A$1:$C$1,),))</f>
        <v/>
      </c>
      <c r="C1762">
        <f>IF(VLOOKUP(Table7[[#This Row],[Date]],Database!$A:$C,MATCH($C$1,Database!$A$1:$C$1,),)=0,#N/A,VLOOKUP(Table7[[#This Row],[Date]],Database!$A:$C,MATCH($C$1,Database!$A$1:$C$1,),))</f>
        <v/>
      </c>
      <c r="D1762">
        <f>IFERROR(Table7[[#This Row],[United States 10y]]-Table7[[#This Row],[United States 3y]],#N/A)</f>
        <v/>
      </c>
    </row>
    <row r="1763">
      <c r="A1763" s="6">
        <f>Database!$A3848</f>
        <v/>
      </c>
      <c r="B1763">
        <f>IF(VLOOKUP(Table7[[#This Row],[Date]],Database!$A:$C,MATCH($B$1,Database!$A$1:$C$1,),)=0,#N/A,VLOOKUP(Table7[[#This Row],[Date]],Database!$A:$C,MATCH($B$1,Database!$A$1:$C$1,),))</f>
        <v/>
      </c>
      <c r="C1763">
        <f>IF(VLOOKUP(Table7[[#This Row],[Date]],Database!$A:$C,MATCH($C$1,Database!$A$1:$C$1,),)=0,#N/A,VLOOKUP(Table7[[#This Row],[Date]],Database!$A:$C,MATCH($C$1,Database!$A$1:$C$1,),))</f>
        <v/>
      </c>
      <c r="D1763">
        <f>IFERROR(Table7[[#This Row],[United States 10y]]-Table7[[#This Row],[United States 3y]],#N/A)</f>
        <v/>
      </c>
    </row>
    <row r="1764">
      <c r="A1764" s="6">
        <f>Database!$A3849</f>
        <v/>
      </c>
      <c r="B1764">
        <f>IF(VLOOKUP(Table7[[#This Row],[Date]],Database!$A:$C,MATCH($B$1,Database!$A$1:$C$1,),)=0,#N/A,VLOOKUP(Table7[[#This Row],[Date]],Database!$A:$C,MATCH($B$1,Database!$A$1:$C$1,),))</f>
        <v/>
      </c>
      <c r="C1764">
        <f>IF(VLOOKUP(Table7[[#This Row],[Date]],Database!$A:$C,MATCH($C$1,Database!$A$1:$C$1,),)=0,#N/A,VLOOKUP(Table7[[#This Row],[Date]],Database!$A:$C,MATCH($C$1,Database!$A$1:$C$1,),))</f>
        <v/>
      </c>
      <c r="D1764">
        <f>IFERROR(Table7[[#This Row],[United States 10y]]-Table7[[#This Row],[United States 3y]],#N/A)</f>
        <v/>
      </c>
    </row>
    <row r="1765">
      <c r="A1765" s="6">
        <f>Database!$A3850</f>
        <v/>
      </c>
      <c r="B1765">
        <f>IF(VLOOKUP(Table7[[#This Row],[Date]],Database!$A:$C,MATCH($B$1,Database!$A$1:$C$1,),)=0,#N/A,VLOOKUP(Table7[[#This Row],[Date]],Database!$A:$C,MATCH($B$1,Database!$A$1:$C$1,),))</f>
        <v/>
      </c>
      <c r="C1765">
        <f>IF(VLOOKUP(Table7[[#This Row],[Date]],Database!$A:$C,MATCH($C$1,Database!$A$1:$C$1,),)=0,#N/A,VLOOKUP(Table7[[#This Row],[Date]],Database!$A:$C,MATCH($C$1,Database!$A$1:$C$1,),))</f>
        <v/>
      </c>
      <c r="D1765">
        <f>IFERROR(Table7[[#This Row],[United States 10y]]-Table7[[#This Row],[United States 3y]],#N/A)</f>
        <v/>
      </c>
    </row>
    <row r="1766">
      <c r="A1766" s="6">
        <f>Database!$A3851</f>
        <v/>
      </c>
      <c r="B1766">
        <f>IF(VLOOKUP(Table7[[#This Row],[Date]],Database!$A:$C,MATCH($B$1,Database!$A$1:$C$1,),)=0,#N/A,VLOOKUP(Table7[[#This Row],[Date]],Database!$A:$C,MATCH($B$1,Database!$A$1:$C$1,),))</f>
        <v/>
      </c>
      <c r="C1766">
        <f>IF(VLOOKUP(Table7[[#This Row],[Date]],Database!$A:$C,MATCH($C$1,Database!$A$1:$C$1,),)=0,#N/A,VLOOKUP(Table7[[#This Row],[Date]],Database!$A:$C,MATCH($C$1,Database!$A$1:$C$1,),))</f>
        <v/>
      </c>
      <c r="D1766">
        <f>IFERROR(Table7[[#This Row],[United States 10y]]-Table7[[#This Row],[United States 3y]],#N/A)</f>
        <v/>
      </c>
    </row>
    <row r="1767">
      <c r="A1767" s="6">
        <f>Database!$A3852</f>
        <v/>
      </c>
      <c r="B1767">
        <f>IF(VLOOKUP(Table7[[#This Row],[Date]],Database!$A:$C,MATCH($B$1,Database!$A$1:$C$1,),)=0,#N/A,VLOOKUP(Table7[[#This Row],[Date]],Database!$A:$C,MATCH($B$1,Database!$A$1:$C$1,),))</f>
        <v/>
      </c>
      <c r="C1767">
        <f>IF(VLOOKUP(Table7[[#This Row],[Date]],Database!$A:$C,MATCH($C$1,Database!$A$1:$C$1,),)=0,#N/A,VLOOKUP(Table7[[#This Row],[Date]],Database!$A:$C,MATCH($C$1,Database!$A$1:$C$1,),))</f>
        <v/>
      </c>
      <c r="D1767">
        <f>IFERROR(Table7[[#This Row],[United States 10y]]-Table7[[#This Row],[United States 3y]],#N/A)</f>
        <v/>
      </c>
    </row>
    <row r="1768">
      <c r="A1768" s="6">
        <f>Database!$A3853</f>
        <v/>
      </c>
      <c r="B1768">
        <f>IF(VLOOKUP(Table7[[#This Row],[Date]],Database!$A:$C,MATCH($B$1,Database!$A$1:$C$1,),)=0,#N/A,VLOOKUP(Table7[[#This Row],[Date]],Database!$A:$C,MATCH($B$1,Database!$A$1:$C$1,),))</f>
        <v/>
      </c>
      <c r="C1768">
        <f>IF(VLOOKUP(Table7[[#This Row],[Date]],Database!$A:$C,MATCH($C$1,Database!$A$1:$C$1,),)=0,#N/A,VLOOKUP(Table7[[#This Row],[Date]],Database!$A:$C,MATCH($C$1,Database!$A$1:$C$1,),))</f>
        <v/>
      </c>
      <c r="D1768">
        <f>IFERROR(Table7[[#This Row],[United States 10y]]-Table7[[#This Row],[United States 3y]],#N/A)</f>
        <v/>
      </c>
    </row>
    <row r="1769">
      <c r="A1769" s="6">
        <f>Database!$A3854</f>
        <v/>
      </c>
      <c r="B1769">
        <f>IF(VLOOKUP(Table7[[#This Row],[Date]],Database!$A:$C,MATCH($B$1,Database!$A$1:$C$1,),)=0,#N/A,VLOOKUP(Table7[[#This Row],[Date]],Database!$A:$C,MATCH($B$1,Database!$A$1:$C$1,),))</f>
        <v/>
      </c>
      <c r="C1769">
        <f>IF(VLOOKUP(Table7[[#This Row],[Date]],Database!$A:$C,MATCH($C$1,Database!$A$1:$C$1,),)=0,#N/A,VLOOKUP(Table7[[#This Row],[Date]],Database!$A:$C,MATCH($C$1,Database!$A$1:$C$1,),))</f>
        <v/>
      </c>
      <c r="D1769">
        <f>IFERROR(Table7[[#This Row],[United States 10y]]-Table7[[#This Row],[United States 3y]],#N/A)</f>
        <v/>
      </c>
    </row>
    <row r="1770">
      <c r="A1770" s="6">
        <f>Database!$A3855</f>
        <v/>
      </c>
      <c r="B1770">
        <f>IF(VLOOKUP(Table7[[#This Row],[Date]],Database!$A:$C,MATCH($B$1,Database!$A$1:$C$1,),)=0,#N/A,VLOOKUP(Table7[[#This Row],[Date]],Database!$A:$C,MATCH($B$1,Database!$A$1:$C$1,),))</f>
        <v/>
      </c>
      <c r="C1770">
        <f>IF(VLOOKUP(Table7[[#This Row],[Date]],Database!$A:$C,MATCH($C$1,Database!$A$1:$C$1,),)=0,#N/A,VLOOKUP(Table7[[#This Row],[Date]],Database!$A:$C,MATCH($C$1,Database!$A$1:$C$1,),))</f>
        <v/>
      </c>
      <c r="D1770">
        <f>IFERROR(Table7[[#This Row],[United States 10y]]-Table7[[#This Row],[United States 3y]],#N/A)</f>
        <v/>
      </c>
    </row>
    <row r="1771">
      <c r="A1771" s="6">
        <f>Database!$A3856</f>
        <v/>
      </c>
      <c r="B1771">
        <f>IF(VLOOKUP(Table7[[#This Row],[Date]],Database!$A:$C,MATCH($B$1,Database!$A$1:$C$1,),)=0,#N/A,VLOOKUP(Table7[[#This Row],[Date]],Database!$A:$C,MATCH($B$1,Database!$A$1:$C$1,),))</f>
        <v/>
      </c>
      <c r="C1771">
        <f>IF(VLOOKUP(Table7[[#This Row],[Date]],Database!$A:$C,MATCH($C$1,Database!$A$1:$C$1,),)=0,#N/A,VLOOKUP(Table7[[#This Row],[Date]],Database!$A:$C,MATCH($C$1,Database!$A$1:$C$1,),))</f>
        <v/>
      </c>
      <c r="D1771">
        <f>IFERROR(Table7[[#This Row],[United States 10y]]-Table7[[#This Row],[United States 3y]],#N/A)</f>
        <v/>
      </c>
    </row>
    <row r="1772">
      <c r="A1772" s="6">
        <f>Database!$A3857</f>
        <v/>
      </c>
      <c r="B1772">
        <f>IF(VLOOKUP(Table7[[#This Row],[Date]],Database!$A:$C,MATCH($B$1,Database!$A$1:$C$1,),)=0,#N/A,VLOOKUP(Table7[[#This Row],[Date]],Database!$A:$C,MATCH($B$1,Database!$A$1:$C$1,),))</f>
        <v/>
      </c>
      <c r="C1772">
        <f>IF(VLOOKUP(Table7[[#This Row],[Date]],Database!$A:$C,MATCH($C$1,Database!$A$1:$C$1,),)=0,#N/A,VLOOKUP(Table7[[#This Row],[Date]],Database!$A:$C,MATCH($C$1,Database!$A$1:$C$1,),))</f>
        <v/>
      </c>
      <c r="D1772">
        <f>IFERROR(Table7[[#This Row],[United States 10y]]-Table7[[#This Row],[United States 3y]],#N/A)</f>
        <v/>
      </c>
    </row>
    <row r="1773">
      <c r="A1773" s="6">
        <f>Database!$A3858</f>
        <v/>
      </c>
      <c r="B1773">
        <f>IF(VLOOKUP(Table7[[#This Row],[Date]],Database!$A:$C,MATCH($B$1,Database!$A$1:$C$1,),)=0,#N/A,VLOOKUP(Table7[[#This Row],[Date]],Database!$A:$C,MATCH($B$1,Database!$A$1:$C$1,),))</f>
        <v/>
      </c>
      <c r="C1773">
        <f>IF(VLOOKUP(Table7[[#This Row],[Date]],Database!$A:$C,MATCH($C$1,Database!$A$1:$C$1,),)=0,#N/A,VLOOKUP(Table7[[#This Row],[Date]],Database!$A:$C,MATCH($C$1,Database!$A$1:$C$1,),))</f>
        <v/>
      </c>
      <c r="D1773">
        <f>IFERROR(Table7[[#This Row],[United States 10y]]-Table7[[#This Row],[United States 3y]],#N/A)</f>
        <v/>
      </c>
    </row>
    <row r="1774">
      <c r="A1774" s="6">
        <f>Database!$A3859</f>
        <v/>
      </c>
      <c r="B1774">
        <f>IF(VLOOKUP(Table7[[#This Row],[Date]],Database!$A:$C,MATCH($B$1,Database!$A$1:$C$1,),)=0,#N/A,VLOOKUP(Table7[[#This Row],[Date]],Database!$A:$C,MATCH($B$1,Database!$A$1:$C$1,),))</f>
        <v/>
      </c>
      <c r="C1774">
        <f>IF(VLOOKUP(Table7[[#This Row],[Date]],Database!$A:$C,MATCH($C$1,Database!$A$1:$C$1,),)=0,#N/A,VLOOKUP(Table7[[#This Row],[Date]],Database!$A:$C,MATCH($C$1,Database!$A$1:$C$1,),))</f>
        <v/>
      </c>
      <c r="D1774">
        <f>IFERROR(Table7[[#This Row],[United States 10y]]-Table7[[#This Row],[United States 3y]],#N/A)</f>
        <v/>
      </c>
    </row>
    <row r="1775">
      <c r="A1775" s="6">
        <f>Database!$A3860</f>
        <v/>
      </c>
      <c r="B1775">
        <f>IF(VLOOKUP(Table7[[#This Row],[Date]],Database!$A:$C,MATCH($B$1,Database!$A$1:$C$1,),)=0,#N/A,VLOOKUP(Table7[[#This Row],[Date]],Database!$A:$C,MATCH($B$1,Database!$A$1:$C$1,),))</f>
        <v/>
      </c>
      <c r="C1775">
        <f>IF(VLOOKUP(Table7[[#This Row],[Date]],Database!$A:$C,MATCH($C$1,Database!$A$1:$C$1,),)=0,#N/A,VLOOKUP(Table7[[#This Row],[Date]],Database!$A:$C,MATCH($C$1,Database!$A$1:$C$1,),))</f>
        <v/>
      </c>
      <c r="D1775">
        <f>IFERROR(Table7[[#This Row],[United States 10y]]-Table7[[#This Row],[United States 3y]],#N/A)</f>
        <v/>
      </c>
    </row>
    <row r="1776">
      <c r="A1776" s="6">
        <f>Database!$A3861</f>
        <v/>
      </c>
      <c r="B1776">
        <f>IF(VLOOKUP(Table7[[#This Row],[Date]],Database!$A:$C,MATCH($B$1,Database!$A$1:$C$1,),)=0,#N/A,VLOOKUP(Table7[[#This Row],[Date]],Database!$A:$C,MATCH($B$1,Database!$A$1:$C$1,),))</f>
        <v/>
      </c>
      <c r="C1776">
        <f>IF(VLOOKUP(Table7[[#This Row],[Date]],Database!$A:$C,MATCH($C$1,Database!$A$1:$C$1,),)=0,#N/A,VLOOKUP(Table7[[#This Row],[Date]],Database!$A:$C,MATCH($C$1,Database!$A$1:$C$1,),))</f>
        <v/>
      </c>
      <c r="D1776">
        <f>IFERROR(Table7[[#This Row],[United States 10y]]-Table7[[#This Row],[United States 3y]],#N/A)</f>
        <v/>
      </c>
    </row>
    <row r="1777">
      <c r="A1777" s="6">
        <f>Database!$A3862</f>
        <v/>
      </c>
      <c r="B1777">
        <f>IF(VLOOKUP(Table7[[#This Row],[Date]],Database!$A:$C,MATCH($B$1,Database!$A$1:$C$1,),)=0,#N/A,VLOOKUP(Table7[[#This Row],[Date]],Database!$A:$C,MATCH($B$1,Database!$A$1:$C$1,),))</f>
        <v/>
      </c>
      <c r="C1777">
        <f>IF(VLOOKUP(Table7[[#This Row],[Date]],Database!$A:$C,MATCH($C$1,Database!$A$1:$C$1,),)=0,#N/A,VLOOKUP(Table7[[#This Row],[Date]],Database!$A:$C,MATCH($C$1,Database!$A$1:$C$1,),))</f>
        <v/>
      </c>
      <c r="D1777">
        <f>IFERROR(Table7[[#This Row],[United States 10y]]-Table7[[#This Row],[United States 3y]],#N/A)</f>
        <v/>
      </c>
    </row>
    <row r="1778">
      <c r="A1778" s="6">
        <f>Database!$A3863</f>
        <v/>
      </c>
      <c r="B1778">
        <f>IF(VLOOKUP(Table7[[#This Row],[Date]],Database!$A:$C,MATCH($B$1,Database!$A$1:$C$1,),)=0,#N/A,VLOOKUP(Table7[[#This Row],[Date]],Database!$A:$C,MATCH($B$1,Database!$A$1:$C$1,),))</f>
        <v/>
      </c>
      <c r="C1778">
        <f>IF(VLOOKUP(Table7[[#This Row],[Date]],Database!$A:$C,MATCH($C$1,Database!$A$1:$C$1,),)=0,#N/A,VLOOKUP(Table7[[#This Row],[Date]],Database!$A:$C,MATCH($C$1,Database!$A$1:$C$1,),))</f>
        <v/>
      </c>
      <c r="D1778">
        <f>IFERROR(Table7[[#This Row],[United States 10y]]-Table7[[#This Row],[United States 3y]],#N/A)</f>
        <v/>
      </c>
    </row>
    <row r="1779">
      <c r="A1779" s="6">
        <f>Database!$A3864</f>
        <v/>
      </c>
      <c r="B1779">
        <f>IF(VLOOKUP(Table7[[#This Row],[Date]],Database!$A:$C,MATCH($B$1,Database!$A$1:$C$1,),)=0,#N/A,VLOOKUP(Table7[[#This Row],[Date]],Database!$A:$C,MATCH($B$1,Database!$A$1:$C$1,),))</f>
        <v/>
      </c>
      <c r="C1779">
        <f>IF(VLOOKUP(Table7[[#This Row],[Date]],Database!$A:$C,MATCH($C$1,Database!$A$1:$C$1,),)=0,#N/A,VLOOKUP(Table7[[#This Row],[Date]],Database!$A:$C,MATCH($C$1,Database!$A$1:$C$1,),))</f>
        <v/>
      </c>
      <c r="D1779">
        <f>IFERROR(Table7[[#This Row],[United States 10y]]-Table7[[#This Row],[United States 3y]],#N/A)</f>
        <v/>
      </c>
    </row>
    <row r="1780">
      <c r="A1780" s="6">
        <f>Database!$A3865</f>
        <v/>
      </c>
      <c r="B1780">
        <f>IF(VLOOKUP(Table7[[#This Row],[Date]],Database!$A:$C,MATCH($B$1,Database!$A$1:$C$1,),)=0,#N/A,VLOOKUP(Table7[[#This Row],[Date]],Database!$A:$C,MATCH($B$1,Database!$A$1:$C$1,),))</f>
        <v/>
      </c>
      <c r="C1780">
        <f>IF(VLOOKUP(Table7[[#This Row],[Date]],Database!$A:$C,MATCH($C$1,Database!$A$1:$C$1,),)=0,#N/A,VLOOKUP(Table7[[#This Row],[Date]],Database!$A:$C,MATCH($C$1,Database!$A$1:$C$1,),))</f>
        <v/>
      </c>
      <c r="D1780">
        <f>IFERROR(Table7[[#This Row],[United States 10y]]-Table7[[#This Row],[United States 3y]],#N/A)</f>
        <v/>
      </c>
    </row>
    <row r="1781">
      <c r="A1781" s="6">
        <f>Database!$A3866</f>
        <v/>
      </c>
      <c r="B1781">
        <f>IF(VLOOKUP(Table7[[#This Row],[Date]],Database!$A:$C,MATCH($B$1,Database!$A$1:$C$1,),)=0,#N/A,VLOOKUP(Table7[[#This Row],[Date]],Database!$A:$C,MATCH($B$1,Database!$A$1:$C$1,),))</f>
        <v/>
      </c>
      <c r="C1781">
        <f>IF(VLOOKUP(Table7[[#This Row],[Date]],Database!$A:$C,MATCH($C$1,Database!$A$1:$C$1,),)=0,#N/A,VLOOKUP(Table7[[#This Row],[Date]],Database!$A:$C,MATCH($C$1,Database!$A$1:$C$1,),))</f>
        <v/>
      </c>
      <c r="D1781">
        <f>IFERROR(Table7[[#This Row],[United States 10y]]-Table7[[#This Row],[United States 3y]],#N/A)</f>
        <v/>
      </c>
    </row>
    <row r="1782">
      <c r="A1782" s="6">
        <f>Database!$A3867</f>
        <v/>
      </c>
      <c r="B1782">
        <f>IF(VLOOKUP(Table7[[#This Row],[Date]],Database!$A:$C,MATCH($B$1,Database!$A$1:$C$1,),)=0,#N/A,VLOOKUP(Table7[[#This Row],[Date]],Database!$A:$C,MATCH($B$1,Database!$A$1:$C$1,),))</f>
        <v/>
      </c>
      <c r="C1782">
        <f>IF(VLOOKUP(Table7[[#This Row],[Date]],Database!$A:$C,MATCH($C$1,Database!$A$1:$C$1,),)=0,#N/A,VLOOKUP(Table7[[#This Row],[Date]],Database!$A:$C,MATCH($C$1,Database!$A$1:$C$1,),))</f>
        <v/>
      </c>
      <c r="D1782">
        <f>IFERROR(Table7[[#This Row],[United States 10y]]-Table7[[#This Row],[United States 3y]],#N/A)</f>
        <v/>
      </c>
    </row>
    <row r="1783">
      <c r="A1783" s="6">
        <f>Database!$A3868</f>
        <v/>
      </c>
      <c r="B1783">
        <f>IF(VLOOKUP(Table7[[#This Row],[Date]],Database!$A:$C,MATCH($B$1,Database!$A$1:$C$1,),)=0,#N/A,VLOOKUP(Table7[[#This Row],[Date]],Database!$A:$C,MATCH($B$1,Database!$A$1:$C$1,),))</f>
        <v/>
      </c>
      <c r="C1783">
        <f>IF(VLOOKUP(Table7[[#This Row],[Date]],Database!$A:$C,MATCH($C$1,Database!$A$1:$C$1,),)=0,#N/A,VLOOKUP(Table7[[#This Row],[Date]],Database!$A:$C,MATCH($C$1,Database!$A$1:$C$1,),))</f>
        <v/>
      </c>
      <c r="D1783">
        <f>IFERROR(Table7[[#This Row],[United States 10y]]-Table7[[#This Row],[United States 3y]],#N/A)</f>
        <v/>
      </c>
    </row>
    <row r="1784">
      <c r="A1784" s="6">
        <f>Database!$A3869</f>
        <v/>
      </c>
      <c r="B1784">
        <f>IF(VLOOKUP(Table7[[#This Row],[Date]],Database!$A:$C,MATCH($B$1,Database!$A$1:$C$1,),)=0,#N/A,VLOOKUP(Table7[[#This Row],[Date]],Database!$A:$C,MATCH($B$1,Database!$A$1:$C$1,),))</f>
        <v/>
      </c>
      <c r="C1784">
        <f>IF(VLOOKUP(Table7[[#This Row],[Date]],Database!$A:$C,MATCH($C$1,Database!$A$1:$C$1,),)=0,#N/A,VLOOKUP(Table7[[#This Row],[Date]],Database!$A:$C,MATCH($C$1,Database!$A$1:$C$1,),))</f>
        <v/>
      </c>
      <c r="D1784">
        <f>IFERROR(Table7[[#This Row],[United States 10y]]-Table7[[#This Row],[United States 3y]],#N/A)</f>
        <v/>
      </c>
    </row>
    <row r="1785">
      <c r="A1785" s="6">
        <f>Database!$A3870</f>
        <v/>
      </c>
      <c r="B1785">
        <f>IF(VLOOKUP(Table7[[#This Row],[Date]],Database!$A:$C,MATCH($B$1,Database!$A$1:$C$1,),)=0,#N/A,VLOOKUP(Table7[[#This Row],[Date]],Database!$A:$C,MATCH($B$1,Database!$A$1:$C$1,),))</f>
        <v/>
      </c>
      <c r="C1785">
        <f>IF(VLOOKUP(Table7[[#This Row],[Date]],Database!$A:$C,MATCH($C$1,Database!$A$1:$C$1,),)=0,#N/A,VLOOKUP(Table7[[#This Row],[Date]],Database!$A:$C,MATCH($C$1,Database!$A$1:$C$1,),))</f>
        <v/>
      </c>
      <c r="D1785">
        <f>IFERROR(Table7[[#This Row],[United States 10y]]-Table7[[#This Row],[United States 3y]],#N/A)</f>
        <v/>
      </c>
    </row>
    <row r="1786">
      <c r="A1786" s="6">
        <f>Database!$A3871</f>
        <v/>
      </c>
      <c r="B1786">
        <f>IF(VLOOKUP(Table7[[#This Row],[Date]],Database!$A:$C,MATCH($B$1,Database!$A$1:$C$1,),)=0,#N/A,VLOOKUP(Table7[[#This Row],[Date]],Database!$A:$C,MATCH($B$1,Database!$A$1:$C$1,),))</f>
        <v/>
      </c>
      <c r="C1786">
        <f>IF(VLOOKUP(Table7[[#This Row],[Date]],Database!$A:$C,MATCH($C$1,Database!$A$1:$C$1,),)=0,#N/A,VLOOKUP(Table7[[#This Row],[Date]],Database!$A:$C,MATCH($C$1,Database!$A$1:$C$1,),))</f>
        <v/>
      </c>
      <c r="D1786">
        <f>IFERROR(Table7[[#This Row],[United States 10y]]-Table7[[#This Row],[United States 3y]],#N/A)</f>
        <v/>
      </c>
    </row>
    <row r="1787">
      <c r="A1787" s="6">
        <f>Database!$A3872</f>
        <v/>
      </c>
      <c r="B1787">
        <f>IF(VLOOKUP(Table7[[#This Row],[Date]],Database!$A:$C,MATCH($B$1,Database!$A$1:$C$1,),)=0,#N/A,VLOOKUP(Table7[[#This Row],[Date]],Database!$A:$C,MATCH($B$1,Database!$A$1:$C$1,),))</f>
        <v/>
      </c>
      <c r="C1787">
        <f>IF(VLOOKUP(Table7[[#This Row],[Date]],Database!$A:$C,MATCH($C$1,Database!$A$1:$C$1,),)=0,#N/A,VLOOKUP(Table7[[#This Row],[Date]],Database!$A:$C,MATCH($C$1,Database!$A$1:$C$1,),))</f>
        <v/>
      </c>
      <c r="D1787">
        <f>IFERROR(Table7[[#This Row],[United States 10y]]-Table7[[#This Row],[United States 3y]],#N/A)</f>
        <v/>
      </c>
    </row>
    <row r="1788">
      <c r="A1788" s="6">
        <f>Database!$A3873</f>
        <v/>
      </c>
      <c r="B1788">
        <f>IF(VLOOKUP(Table7[[#This Row],[Date]],Database!$A:$C,MATCH($B$1,Database!$A$1:$C$1,),)=0,#N/A,VLOOKUP(Table7[[#This Row],[Date]],Database!$A:$C,MATCH($B$1,Database!$A$1:$C$1,),))</f>
        <v/>
      </c>
      <c r="C1788">
        <f>IF(VLOOKUP(Table7[[#This Row],[Date]],Database!$A:$C,MATCH($C$1,Database!$A$1:$C$1,),)=0,#N/A,VLOOKUP(Table7[[#This Row],[Date]],Database!$A:$C,MATCH($C$1,Database!$A$1:$C$1,),))</f>
        <v/>
      </c>
      <c r="D1788">
        <f>IFERROR(Table7[[#This Row],[United States 10y]]-Table7[[#This Row],[United States 3y]],#N/A)</f>
        <v/>
      </c>
    </row>
    <row r="1789">
      <c r="A1789" s="6">
        <f>Database!$A3874</f>
        <v/>
      </c>
      <c r="B1789">
        <f>IF(VLOOKUP(Table7[[#This Row],[Date]],Database!$A:$C,MATCH($B$1,Database!$A$1:$C$1,),)=0,#N/A,VLOOKUP(Table7[[#This Row],[Date]],Database!$A:$C,MATCH($B$1,Database!$A$1:$C$1,),))</f>
        <v/>
      </c>
      <c r="C1789">
        <f>IF(VLOOKUP(Table7[[#This Row],[Date]],Database!$A:$C,MATCH($C$1,Database!$A$1:$C$1,),)=0,#N/A,VLOOKUP(Table7[[#This Row],[Date]],Database!$A:$C,MATCH($C$1,Database!$A$1:$C$1,),))</f>
        <v/>
      </c>
      <c r="D1789">
        <f>IFERROR(Table7[[#This Row],[United States 10y]]-Table7[[#This Row],[United States 3y]],#N/A)</f>
        <v/>
      </c>
    </row>
    <row r="1790">
      <c r="A1790" s="6">
        <f>Database!$A3875</f>
        <v/>
      </c>
      <c r="B1790">
        <f>IF(VLOOKUP(Table7[[#This Row],[Date]],Database!$A:$C,MATCH($B$1,Database!$A$1:$C$1,),)=0,#N/A,VLOOKUP(Table7[[#This Row],[Date]],Database!$A:$C,MATCH($B$1,Database!$A$1:$C$1,),))</f>
        <v/>
      </c>
      <c r="C1790">
        <f>IF(VLOOKUP(Table7[[#This Row],[Date]],Database!$A:$C,MATCH($C$1,Database!$A$1:$C$1,),)=0,#N/A,VLOOKUP(Table7[[#This Row],[Date]],Database!$A:$C,MATCH($C$1,Database!$A$1:$C$1,),))</f>
        <v/>
      </c>
      <c r="D1790">
        <f>IFERROR(Table7[[#This Row],[United States 10y]]-Table7[[#This Row],[United States 3y]],#N/A)</f>
        <v/>
      </c>
    </row>
    <row r="1791">
      <c r="A1791" s="6">
        <f>Database!$A3876</f>
        <v/>
      </c>
      <c r="B1791">
        <f>IF(VLOOKUP(Table7[[#This Row],[Date]],Database!$A:$C,MATCH($B$1,Database!$A$1:$C$1,),)=0,#N/A,VLOOKUP(Table7[[#This Row],[Date]],Database!$A:$C,MATCH($B$1,Database!$A$1:$C$1,),))</f>
        <v/>
      </c>
      <c r="C1791">
        <f>IF(VLOOKUP(Table7[[#This Row],[Date]],Database!$A:$C,MATCH($C$1,Database!$A$1:$C$1,),)=0,#N/A,VLOOKUP(Table7[[#This Row],[Date]],Database!$A:$C,MATCH($C$1,Database!$A$1:$C$1,),))</f>
        <v/>
      </c>
      <c r="D1791">
        <f>IFERROR(Table7[[#This Row],[United States 10y]]-Table7[[#This Row],[United States 3y]],#N/A)</f>
        <v/>
      </c>
    </row>
    <row r="1792">
      <c r="A1792" s="6">
        <f>Database!$A3877</f>
        <v/>
      </c>
      <c r="B1792">
        <f>IF(VLOOKUP(Table7[[#This Row],[Date]],Database!$A:$C,MATCH($B$1,Database!$A$1:$C$1,),)=0,#N/A,VLOOKUP(Table7[[#This Row],[Date]],Database!$A:$C,MATCH($B$1,Database!$A$1:$C$1,),))</f>
        <v/>
      </c>
      <c r="C1792">
        <f>IF(VLOOKUP(Table7[[#This Row],[Date]],Database!$A:$C,MATCH($C$1,Database!$A$1:$C$1,),)=0,#N/A,VLOOKUP(Table7[[#This Row],[Date]],Database!$A:$C,MATCH($C$1,Database!$A$1:$C$1,),))</f>
        <v/>
      </c>
      <c r="D1792">
        <f>IFERROR(Table7[[#This Row],[United States 10y]]-Table7[[#This Row],[United States 3y]],#N/A)</f>
        <v/>
      </c>
    </row>
    <row r="1793">
      <c r="A1793" s="6">
        <f>Database!$A3878</f>
        <v/>
      </c>
      <c r="B1793">
        <f>IF(VLOOKUP(Table7[[#This Row],[Date]],Database!$A:$C,MATCH($B$1,Database!$A$1:$C$1,),)=0,#N/A,VLOOKUP(Table7[[#This Row],[Date]],Database!$A:$C,MATCH($B$1,Database!$A$1:$C$1,),))</f>
        <v/>
      </c>
      <c r="C1793">
        <f>IF(VLOOKUP(Table7[[#This Row],[Date]],Database!$A:$C,MATCH($C$1,Database!$A$1:$C$1,),)=0,#N/A,VLOOKUP(Table7[[#This Row],[Date]],Database!$A:$C,MATCH($C$1,Database!$A$1:$C$1,),))</f>
        <v/>
      </c>
      <c r="D1793">
        <f>IFERROR(Table7[[#This Row],[United States 10y]]-Table7[[#This Row],[United States 3y]],#N/A)</f>
        <v/>
      </c>
    </row>
    <row r="1794">
      <c r="A1794" s="6">
        <f>Database!$A3879</f>
        <v/>
      </c>
      <c r="B1794">
        <f>IF(VLOOKUP(Table7[[#This Row],[Date]],Database!$A:$C,MATCH($B$1,Database!$A$1:$C$1,),)=0,#N/A,VLOOKUP(Table7[[#This Row],[Date]],Database!$A:$C,MATCH($B$1,Database!$A$1:$C$1,),))</f>
        <v/>
      </c>
      <c r="C1794">
        <f>IF(VLOOKUP(Table7[[#This Row],[Date]],Database!$A:$C,MATCH($C$1,Database!$A$1:$C$1,),)=0,#N/A,VLOOKUP(Table7[[#This Row],[Date]],Database!$A:$C,MATCH($C$1,Database!$A$1:$C$1,),))</f>
        <v/>
      </c>
      <c r="D1794">
        <f>IFERROR(Table7[[#This Row],[United States 10y]]-Table7[[#This Row],[United States 3y]],#N/A)</f>
        <v/>
      </c>
    </row>
    <row r="1795">
      <c r="A1795" s="6">
        <f>Database!$A3880</f>
        <v/>
      </c>
      <c r="B1795">
        <f>IF(VLOOKUP(Table7[[#This Row],[Date]],Database!$A:$C,MATCH($B$1,Database!$A$1:$C$1,),)=0,#N/A,VLOOKUP(Table7[[#This Row],[Date]],Database!$A:$C,MATCH($B$1,Database!$A$1:$C$1,),))</f>
        <v/>
      </c>
      <c r="C1795">
        <f>IF(VLOOKUP(Table7[[#This Row],[Date]],Database!$A:$C,MATCH($C$1,Database!$A$1:$C$1,),)=0,#N/A,VLOOKUP(Table7[[#This Row],[Date]],Database!$A:$C,MATCH($C$1,Database!$A$1:$C$1,),))</f>
        <v/>
      </c>
      <c r="D1795">
        <f>IFERROR(Table7[[#This Row],[United States 10y]]-Table7[[#This Row],[United States 3y]],#N/A)</f>
        <v/>
      </c>
    </row>
    <row r="1796">
      <c r="A1796" s="6">
        <f>Database!$A3881</f>
        <v/>
      </c>
      <c r="B1796">
        <f>IF(VLOOKUP(Table7[[#This Row],[Date]],Database!$A:$C,MATCH($B$1,Database!$A$1:$C$1,),)=0,#N/A,VLOOKUP(Table7[[#This Row],[Date]],Database!$A:$C,MATCH($B$1,Database!$A$1:$C$1,),))</f>
        <v/>
      </c>
      <c r="C1796">
        <f>IF(VLOOKUP(Table7[[#This Row],[Date]],Database!$A:$C,MATCH($C$1,Database!$A$1:$C$1,),)=0,#N/A,VLOOKUP(Table7[[#This Row],[Date]],Database!$A:$C,MATCH($C$1,Database!$A$1:$C$1,),))</f>
        <v/>
      </c>
      <c r="D1796">
        <f>IFERROR(Table7[[#This Row],[United States 10y]]-Table7[[#This Row],[United States 3y]],#N/A)</f>
        <v/>
      </c>
    </row>
    <row r="1797">
      <c r="A1797" s="6">
        <f>Database!$A3882</f>
        <v/>
      </c>
      <c r="B1797">
        <f>IF(VLOOKUP(Table7[[#This Row],[Date]],Database!$A:$C,MATCH($B$1,Database!$A$1:$C$1,),)=0,#N/A,VLOOKUP(Table7[[#This Row],[Date]],Database!$A:$C,MATCH($B$1,Database!$A$1:$C$1,),))</f>
        <v/>
      </c>
      <c r="C1797">
        <f>IF(VLOOKUP(Table7[[#This Row],[Date]],Database!$A:$C,MATCH($C$1,Database!$A$1:$C$1,),)=0,#N/A,VLOOKUP(Table7[[#This Row],[Date]],Database!$A:$C,MATCH($C$1,Database!$A$1:$C$1,),))</f>
        <v/>
      </c>
      <c r="D1797">
        <f>IFERROR(Table7[[#This Row],[United States 10y]]-Table7[[#This Row],[United States 3y]],#N/A)</f>
        <v/>
      </c>
    </row>
    <row r="1798">
      <c r="A1798" s="6">
        <f>Database!$A3883</f>
        <v/>
      </c>
      <c r="B1798">
        <f>IF(VLOOKUP(Table7[[#This Row],[Date]],Database!$A:$C,MATCH($B$1,Database!$A$1:$C$1,),)=0,#N/A,VLOOKUP(Table7[[#This Row],[Date]],Database!$A:$C,MATCH($B$1,Database!$A$1:$C$1,),))</f>
        <v/>
      </c>
      <c r="C1798">
        <f>IF(VLOOKUP(Table7[[#This Row],[Date]],Database!$A:$C,MATCH($C$1,Database!$A$1:$C$1,),)=0,#N/A,VLOOKUP(Table7[[#This Row],[Date]],Database!$A:$C,MATCH($C$1,Database!$A$1:$C$1,),))</f>
        <v/>
      </c>
      <c r="D1798">
        <f>IFERROR(Table7[[#This Row],[United States 10y]]-Table7[[#This Row],[United States 3y]],#N/A)</f>
        <v/>
      </c>
    </row>
    <row r="1799">
      <c r="A1799" s="6">
        <f>Database!$A3884</f>
        <v/>
      </c>
      <c r="B1799">
        <f>IF(VLOOKUP(Table7[[#This Row],[Date]],Database!$A:$C,MATCH($B$1,Database!$A$1:$C$1,),)=0,#N/A,VLOOKUP(Table7[[#This Row],[Date]],Database!$A:$C,MATCH($B$1,Database!$A$1:$C$1,),))</f>
        <v/>
      </c>
      <c r="C1799">
        <f>IF(VLOOKUP(Table7[[#This Row],[Date]],Database!$A:$C,MATCH($C$1,Database!$A$1:$C$1,),)=0,#N/A,VLOOKUP(Table7[[#This Row],[Date]],Database!$A:$C,MATCH($C$1,Database!$A$1:$C$1,),))</f>
        <v/>
      </c>
      <c r="D1799">
        <f>IFERROR(Table7[[#This Row],[United States 10y]]-Table7[[#This Row],[United States 3y]],#N/A)</f>
        <v/>
      </c>
    </row>
    <row r="1800">
      <c r="A1800" s="6">
        <f>Database!$A3885</f>
        <v/>
      </c>
      <c r="B1800">
        <f>IF(VLOOKUP(Table7[[#This Row],[Date]],Database!$A:$C,MATCH($B$1,Database!$A$1:$C$1,),)=0,#N/A,VLOOKUP(Table7[[#This Row],[Date]],Database!$A:$C,MATCH($B$1,Database!$A$1:$C$1,),))</f>
        <v/>
      </c>
      <c r="C1800">
        <f>IF(VLOOKUP(Table7[[#This Row],[Date]],Database!$A:$C,MATCH($C$1,Database!$A$1:$C$1,),)=0,#N/A,VLOOKUP(Table7[[#This Row],[Date]],Database!$A:$C,MATCH($C$1,Database!$A$1:$C$1,),))</f>
        <v/>
      </c>
      <c r="D1800">
        <f>IFERROR(Table7[[#This Row],[United States 10y]]-Table7[[#This Row],[United States 3y]],#N/A)</f>
        <v/>
      </c>
    </row>
    <row r="1801">
      <c r="A1801" s="6">
        <f>Database!$A3886</f>
        <v/>
      </c>
      <c r="B1801">
        <f>IF(VLOOKUP(Table7[[#This Row],[Date]],Database!$A:$C,MATCH($B$1,Database!$A$1:$C$1,),)=0,#N/A,VLOOKUP(Table7[[#This Row],[Date]],Database!$A:$C,MATCH($B$1,Database!$A$1:$C$1,),))</f>
        <v/>
      </c>
      <c r="C1801">
        <f>IF(VLOOKUP(Table7[[#This Row],[Date]],Database!$A:$C,MATCH($C$1,Database!$A$1:$C$1,),)=0,#N/A,VLOOKUP(Table7[[#This Row],[Date]],Database!$A:$C,MATCH($C$1,Database!$A$1:$C$1,),))</f>
        <v/>
      </c>
      <c r="D1801">
        <f>IFERROR(Table7[[#This Row],[United States 10y]]-Table7[[#This Row],[United States 3y]],#N/A)</f>
        <v/>
      </c>
    </row>
    <row r="1802">
      <c r="A1802" s="6">
        <f>Database!$A3887</f>
        <v/>
      </c>
      <c r="B1802">
        <f>IF(VLOOKUP(Table7[[#This Row],[Date]],Database!$A:$C,MATCH($B$1,Database!$A$1:$C$1,),)=0,#N/A,VLOOKUP(Table7[[#This Row],[Date]],Database!$A:$C,MATCH($B$1,Database!$A$1:$C$1,),))</f>
        <v/>
      </c>
      <c r="C1802">
        <f>IF(VLOOKUP(Table7[[#This Row],[Date]],Database!$A:$C,MATCH($C$1,Database!$A$1:$C$1,),)=0,#N/A,VLOOKUP(Table7[[#This Row],[Date]],Database!$A:$C,MATCH($C$1,Database!$A$1:$C$1,),))</f>
        <v/>
      </c>
      <c r="D1802">
        <f>IFERROR(Table7[[#This Row],[United States 10y]]-Table7[[#This Row],[United States 3y]],#N/A)</f>
        <v/>
      </c>
    </row>
    <row r="1803">
      <c r="A1803" s="6">
        <f>Database!$A3888</f>
        <v/>
      </c>
      <c r="B1803">
        <f>IF(VLOOKUP(Table7[[#This Row],[Date]],Database!$A:$C,MATCH($B$1,Database!$A$1:$C$1,),)=0,#N/A,VLOOKUP(Table7[[#This Row],[Date]],Database!$A:$C,MATCH($B$1,Database!$A$1:$C$1,),))</f>
        <v/>
      </c>
      <c r="C1803">
        <f>IF(VLOOKUP(Table7[[#This Row],[Date]],Database!$A:$C,MATCH($C$1,Database!$A$1:$C$1,),)=0,#N/A,VLOOKUP(Table7[[#This Row],[Date]],Database!$A:$C,MATCH($C$1,Database!$A$1:$C$1,),))</f>
        <v/>
      </c>
      <c r="D1803">
        <f>IFERROR(Table7[[#This Row],[United States 10y]]-Table7[[#This Row],[United States 3y]],#N/A)</f>
        <v/>
      </c>
    </row>
    <row r="1804">
      <c r="A1804" s="6">
        <f>Database!$A3889</f>
        <v/>
      </c>
      <c r="B1804">
        <f>IF(VLOOKUP(Table7[[#This Row],[Date]],Database!$A:$C,MATCH($B$1,Database!$A$1:$C$1,),)=0,#N/A,VLOOKUP(Table7[[#This Row],[Date]],Database!$A:$C,MATCH($B$1,Database!$A$1:$C$1,),))</f>
        <v/>
      </c>
      <c r="C1804">
        <f>IF(VLOOKUP(Table7[[#This Row],[Date]],Database!$A:$C,MATCH($C$1,Database!$A$1:$C$1,),)=0,#N/A,VLOOKUP(Table7[[#This Row],[Date]],Database!$A:$C,MATCH($C$1,Database!$A$1:$C$1,),))</f>
        <v/>
      </c>
      <c r="D1804">
        <f>IFERROR(Table7[[#This Row],[United States 10y]]-Table7[[#This Row],[United States 3y]],#N/A)</f>
        <v/>
      </c>
    </row>
    <row r="1805">
      <c r="A1805" s="6">
        <f>Database!$A3890</f>
        <v/>
      </c>
      <c r="B1805">
        <f>IF(VLOOKUP(Table7[[#This Row],[Date]],Database!$A:$C,MATCH($B$1,Database!$A$1:$C$1,),)=0,#N/A,VLOOKUP(Table7[[#This Row],[Date]],Database!$A:$C,MATCH($B$1,Database!$A$1:$C$1,),))</f>
        <v/>
      </c>
      <c r="C1805">
        <f>IF(VLOOKUP(Table7[[#This Row],[Date]],Database!$A:$C,MATCH($C$1,Database!$A$1:$C$1,),)=0,#N/A,VLOOKUP(Table7[[#This Row],[Date]],Database!$A:$C,MATCH($C$1,Database!$A$1:$C$1,),))</f>
        <v/>
      </c>
      <c r="D1805">
        <f>IFERROR(Table7[[#This Row],[United States 10y]]-Table7[[#This Row],[United States 3y]],#N/A)</f>
        <v/>
      </c>
    </row>
    <row r="1806">
      <c r="A1806" s="6">
        <f>Database!$A3891</f>
        <v/>
      </c>
      <c r="B1806">
        <f>IF(VLOOKUP(Table7[[#This Row],[Date]],Database!$A:$C,MATCH($B$1,Database!$A$1:$C$1,),)=0,#N/A,VLOOKUP(Table7[[#This Row],[Date]],Database!$A:$C,MATCH($B$1,Database!$A$1:$C$1,),))</f>
        <v/>
      </c>
      <c r="C1806">
        <f>IF(VLOOKUP(Table7[[#This Row],[Date]],Database!$A:$C,MATCH($C$1,Database!$A$1:$C$1,),)=0,#N/A,VLOOKUP(Table7[[#This Row],[Date]],Database!$A:$C,MATCH($C$1,Database!$A$1:$C$1,),))</f>
        <v/>
      </c>
      <c r="D1806">
        <f>IFERROR(Table7[[#This Row],[United States 10y]]-Table7[[#This Row],[United States 3y]],#N/A)</f>
        <v/>
      </c>
    </row>
    <row r="1807">
      <c r="A1807" s="6">
        <f>Database!$A3892</f>
        <v/>
      </c>
      <c r="B1807">
        <f>IF(VLOOKUP(Table7[[#This Row],[Date]],Database!$A:$C,MATCH($B$1,Database!$A$1:$C$1,),)=0,#N/A,VLOOKUP(Table7[[#This Row],[Date]],Database!$A:$C,MATCH($B$1,Database!$A$1:$C$1,),))</f>
        <v/>
      </c>
      <c r="C1807">
        <f>IF(VLOOKUP(Table7[[#This Row],[Date]],Database!$A:$C,MATCH($C$1,Database!$A$1:$C$1,),)=0,#N/A,VLOOKUP(Table7[[#This Row],[Date]],Database!$A:$C,MATCH($C$1,Database!$A$1:$C$1,),))</f>
        <v/>
      </c>
      <c r="D1807">
        <f>IFERROR(Table7[[#This Row],[United States 10y]]-Table7[[#This Row],[United States 3y]],#N/A)</f>
        <v/>
      </c>
    </row>
    <row r="1808">
      <c r="A1808" s="6">
        <f>Database!$A3893</f>
        <v/>
      </c>
      <c r="B1808">
        <f>IF(VLOOKUP(Table7[[#This Row],[Date]],Database!$A:$C,MATCH($B$1,Database!$A$1:$C$1,),)=0,#N/A,VLOOKUP(Table7[[#This Row],[Date]],Database!$A:$C,MATCH($B$1,Database!$A$1:$C$1,),))</f>
        <v/>
      </c>
      <c r="C1808">
        <f>IF(VLOOKUP(Table7[[#This Row],[Date]],Database!$A:$C,MATCH($C$1,Database!$A$1:$C$1,),)=0,#N/A,VLOOKUP(Table7[[#This Row],[Date]],Database!$A:$C,MATCH($C$1,Database!$A$1:$C$1,),))</f>
        <v/>
      </c>
      <c r="D1808">
        <f>IFERROR(Table7[[#This Row],[United States 10y]]-Table7[[#This Row],[United States 3y]],#N/A)</f>
        <v/>
      </c>
    </row>
    <row r="1809">
      <c r="A1809" s="6">
        <f>Database!$A3894</f>
        <v/>
      </c>
      <c r="B1809">
        <f>IF(VLOOKUP(Table7[[#This Row],[Date]],Database!$A:$C,MATCH($B$1,Database!$A$1:$C$1,),)=0,#N/A,VLOOKUP(Table7[[#This Row],[Date]],Database!$A:$C,MATCH($B$1,Database!$A$1:$C$1,),))</f>
        <v/>
      </c>
      <c r="C1809">
        <f>IF(VLOOKUP(Table7[[#This Row],[Date]],Database!$A:$C,MATCH($C$1,Database!$A$1:$C$1,),)=0,#N/A,VLOOKUP(Table7[[#This Row],[Date]],Database!$A:$C,MATCH($C$1,Database!$A$1:$C$1,),))</f>
        <v/>
      </c>
      <c r="D1809">
        <f>IFERROR(Table7[[#This Row],[United States 10y]]-Table7[[#This Row],[United States 3y]],#N/A)</f>
        <v/>
      </c>
    </row>
    <row r="1810">
      <c r="A1810" s="6">
        <f>Database!$A3895</f>
        <v/>
      </c>
      <c r="B1810">
        <f>IF(VLOOKUP(Table7[[#This Row],[Date]],Database!$A:$C,MATCH($B$1,Database!$A$1:$C$1,),)=0,#N/A,VLOOKUP(Table7[[#This Row],[Date]],Database!$A:$C,MATCH($B$1,Database!$A$1:$C$1,),))</f>
        <v/>
      </c>
      <c r="C1810">
        <f>IF(VLOOKUP(Table7[[#This Row],[Date]],Database!$A:$C,MATCH($C$1,Database!$A$1:$C$1,),)=0,#N/A,VLOOKUP(Table7[[#This Row],[Date]],Database!$A:$C,MATCH($C$1,Database!$A$1:$C$1,),))</f>
        <v/>
      </c>
      <c r="D1810">
        <f>IFERROR(Table7[[#This Row],[United States 10y]]-Table7[[#This Row],[United States 3y]],#N/A)</f>
        <v/>
      </c>
    </row>
    <row r="1811">
      <c r="A1811" s="6">
        <f>Database!$A3896</f>
        <v/>
      </c>
      <c r="B1811">
        <f>IF(VLOOKUP(Table7[[#This Row],[Date]],Database!$A:$C,MATCH($B$1,Database!$A$1:$C$1,),)=0,#N/A,VLOOKUP(Table7[[#This Row],[Date]],Database!$A:$C,MATCH($B$1,Database!$A$1:$C$1,),))</f>
        <v/>
      </c>
      <c r="C1811">
        <f>IF(VLOOKUP(Table7[[#This Row],[Date]],Database!$A:$C,MATCH($C$1,Database!$A$1:$C$1,),)=0,#N/A,VLOOKUP(Table7[[#This Row],[Date]],Database!$A:$C,MATCH($C$1,Database!$A$1:$C$1,),))</f>
        <v/>
      </c>
      <c r="D1811">
        <f>IFERROR(Table7[[#This Row],[United States 10y]]-Table7[[#This Row],[United States 3y]],#N/A)</f>
        <v/>
      </c>
    </row>
    <row r="1812">
      <c r="A1812" s="6">
        <f>Database!$A3897</f>
        <v/>
      </c>
      <c r="B1812">
        <f>IF(VLOOKUP(Table7[[#This Row],[Date]],Database!$A:$C,MATCH($B$1,Database!$A$1:$C$1,),)=0,#N/A,VLOOKUP(Table7[[#This Row],[Date]],Database!$A:$C,MATCH($B$1,Database!$A$1:$C$1,),))</f>
        <v/>
      </c>
      <c r="C1812">
        <f>IF(VLOOKUP(Table7[[#This Row],[Date]],Database!$A:$C,MATCH($C$1,Database!$A$1:$C$1,),)=0,#N/A,VLOOKUP(Table7[[#This Row],[Date]],Database!$A:$C,MATCH($C$1,Database!$A$1:$C$1,),))</f>
        <v/>
      </c>
      <c r="D1812">
        <f>IFERROR(Table7[[#This Row],[United States 10y]]-Table7[[#This Row],[United States 3y]],#N/A)</f>
        <v/>
      </c>
    </row>
    <row r="1813">
      <c r="A1813" s="6">
        <f>Database!$A3898</f>
        <v/>
      </c>
      <c r="B1813">
        <f>IF(VLOOKUP(Table7[[#This Row],[Date]],Database!$A:$C,MATCH($B$1,Database!$A$1:$C$1,),)=0,#N/A,VLOOKUP(Table7[[#This Row],[Date]],Database!$A:$C,MATCH($B$1,Database!$A$1:$C$1,),))</f>
        <v/>
      </c>
      <c r="C1813">
        <f>IF(VLOOKUP(Table7[[#This Row],[Date]],Database!$A:$C,MATCH($C$1,Database!$A$1:$C$1,),)=0,#N/A,VLOOKUP(Table7[[#This Row],[Date]],Database!$A:$C,MATCH($C$1,Database!$A$1:$C$1,),))</f>
        <v/>
      </c>
      <c r="D1813">
        <f>IFERROR(Table7[[#This Row],[United States 10y]]-Table7[[#This Row],[United States 3y]],#N/A)</f>
        <v/>
      </c>
    </row>
    <row r="1814">
      <c r="A1814" s="6">
        <f>Database!$A3899</f>
        <v/>
      </c>
      <c r="B1814">
        <f>IF(VLOOKUP(Table7[[#This Row],[Date]],Database!$A:$C,MATCH($B$1,Database!$A$1:$C$1,),)=0,#N/A,VLOOKUP(Table7[[#This Row],[Date]],Database!$A:$C,MATCH($B$1,Database!$A$1:$C$1,),))</f>
        <v/>
      </c>
      <c r="C1814">
        <f>IF(VLOOKUP(Table7[[#This Row],[Date]],Database!$A:$C,MATCH($C$1,Database!$A$1:$C$1,),)=0,#N/A,VLOOKUP(Table7[[#This Row],[Date]],Database!$A:$C,MATCH($C$1,Database!$A$1:$C$1,),))</f>
        <v/>
      </c>
      <c r="D1814">
        <f>IFERROR(Table7[[#This Row],[United States 10y]]-Table7[[#This Row],[United States 3y]],#N/A)</f>
        <v/>
      </c>
    </row>
    <row r="1815">
      <c r="A1815" s="6">
        <f>Database!$A3900</f>
        <v/>
      </c>
      <c r="B1815">
        <f>IF(VLOOKUP(Table7[[#This Row],[Date]],Database!$A:$C,MATCH($B$1,Database!$A$1:$C$1,),)=0,#N/A,VLOOKUP(Table7[[#This Row],[Date]],Database!$A:$C,MATCH($B$1,Database!$A$1:$C$1,),))</f>
        <v/>
      </c>
      <c r="C1815">
        <f>IF(VLOOKUP(Table7[[#This Row],[Date]],Database!$A:$C,MATCH($C$1,Database!$A$1:$C$1,),)=0,#N/A,VLOOKUP(Table7[[#This Row],[Date]],Database!$A:$C,MATCH($C$1,Database!$A$1:$C$1,),))</f>
        <v/>
      </c>
      <c r="D1815">
        <f>IFERROR(Table7[[#This Row],[United States 10y]]-Table7[[#This Row],[United States 3y]],#N/A)</f>
        <v/>
      </c>
    </row>
    <row r="1816">
      <c r="A1816" s="6">
        <f>Database!$A3901</f>
        <v/>
      </c>
      <c r="B1816">
        <f>IF(VLOOKUP(Table7[[#This Row],[Date]],Database!$A:$C,MATCH($B$1,Database!$A$1:$C$1,),)=0,#N/A,VLOOKUP(Table7[[#This Row],[Date]],Database!$A:$C,MATCH($B$1,Database!$A$1:$C$1,),))</f>
        <v/>
      </c>
      <c r="C1816">
        <f>IF(VLOOKUP(Table7[[#This Row],[Date]],Database!$A:$C,MATCH($C$1,Database!$A$1:$C$1,),)=0,#N/A,VLOOKUP(Table7[[#This Row],[Date]],Database!$A:$C,MATCH($C$1,Database!$A$1:$C$1,),))</f>
        <v/>
      </c>
      <c r="D1816">
        <f>IFERROR(Table7[[#This Row],[United States 10y]]-Table7[[#This Row],[United States 3y]],#N/A)</f>
        <v/>
      </c>
    </row>
    <row r="1817">
      <c r="A1817" s="6">
        <f>Database!$A3902</f>
        <v/>
      </c>
      <c r="B1817">
        <f>IF(VLOOKUP(Table7[[#This Row],[Date]],Database!$A:$C,MATCH($B$1,Database!$A$1:$C$1,),)=0,#N/A,VLOOKUP(Table7[[#This Row],[Date]],Database!$A:$C,MATCH($B$1,Database!$A$1:$C$1,),))</f>
        <v/>
      </c>
      <c r="C1817">
        <f>IF(VLOOKUP(Table7[[#This Row],[Date]],Database!$A:$C,MATCH($C$1,Database!$A$1:$C$1,),)=0,#N/A,VLOOKUP(Table7[[#This Row],[Date]],Database!$A:$C,MATCH($C$1,Database!$A$1:$C$1,),))</f>
        <v/>
      </c>
      <c r="D1817">
        <f>IFERROR(Table7[[#This Row],[United States 10y]]-Table7[[#This Row],[United States 3y]],#N/A)</f>
        <v/>
      </c>
    </row>
    <row r="1818">
      <c r="A1818" s="6">
        <f>Database!$A3903</f>
        <v/>
      </c>
      <c r="B1818">
        <f>IF(VLOOKUP(Table7[[#This Row],[Date]],Database!$A:$C,MATCH($B$1,Database!$A$1:$C$1,),)=0,#N/A,VLOOKUP(Table7[[#This Row],[Date]],Database!$A:$C,MATCH($B$1,Database!$A$1:$C$1,),))</f>
        <v/>
      </c>
      <c r="C1818">
        <f>IF(VLOOKUP(Table7[[#This Row],[Date]],Database!$A:$C,MATCH($C$1,Database!$A$1:$C$1,),)=0,#N/A,VLOOKUP(Table7[[#This Row],[Date]],Database!$A:$C,MATCH($C$1,Database!$A$1:$C$1,),))</f>
        <v/>
      </c>
      <c r="D1818">
        <f>IFERROR(Table7[[#This Row],[United States 10y]]-Table7[[#This Row],[United States 3y]],#N/A)</f>
        <v/>
      </c>
    </row>
    <row r="1819">
      <c r="A1819" s="6">
        <f>Database!$A3904</f>
        <v/>
      </c>
      <c r="B1819">
        <f>IF(VLOOKUP(Table7[[#This Row],[Date]],Database!$A:$C,MATCH($B$1,Database!$A$1:$C$1,),)=0,#N/A,VLOOKUP(Table7[[#This Row],[Date]],Database!$A:$C,MATCH($B$1,Database!$A$1:$C$1,),))</f>
        <v/>
      </c>
      <c r="C1819">
        <f>IF(VLOOKUP(Table7[[#This Row],[Date]],Database!$A:$C,MATCH($C$1,Database!$A$1:$C$1,),)=0,#N/A,VLOOKUP(Table7[[#This Row],[Date]],Database!$A:$C,MATCH($C$1,Database!$A$1:$C$1,),))</f>
        <v/>
      </c>
      <c r="D1819">
        <f>IFERROR(Table7[[#This Row],[United States 10y]]-Table7[[#This Row],[United States 3y]],#N/A)</f>
        <v/>
      </c>
    </row>
    <row r="1820">
      <c r="A1820" s="6">
        <f>Database!$A3905</f>
        <v/>
      </c>
      <c r="B1820">
        <f>IF(VLOOKUP(Table7[[#This Row],[Date]],Database!$A:$C,MATCH($B$1,Database!$A$1:$C$1,),)=0,#N/A,VLOOKUP(Table7[[#This Row],[Date]],Database!$A:$C,MATCH($B$1,Database!$A$1:$C$1,),))</f>
        <v/>
      </c>
      <c r="C1820">
        <f>IF(VLOOKUP(Table7[[#This Row],[Date]],Database!$A:$C,MATCH($C$1,Database!$A$1:$C$1,),)=0,#N/A,VLOOKUP(Table7[[#This Row],[Date]],Database!$A:$C,MATCH($C$1,Database!$A$1:$C$1,),))</f>
        <v/>
      </c>
      <c r="D1820">
        <f>IFERROR(Table7[[#This Row],[United States 10y]]-Table7[[#This Row],[United States 3y]],#N/A)</f>
        <v/>
      </c>
    </row>
    <row r="1821">
      <c r="A1821" s="6">
        <f>Database!$A3906</f>
        <v/>
      </c>
      <c r="B1821">
        <f>IF(VLOOKUP(Table7[[#This Row],[Date]],Database!$A:$C,MATCH($B$1,Database!$A$1:$C$1,),)=0,#N/A,VLOOKUP(Table7[[#This Row],[Date]],Database!$A:$C,MATCH($B$1,Database!$A$1:$C$1,),))</f>
        <v/>
      </c>
      <c r="C1821">
        <f>IF(VLOOKUP(Table7[[#This Row],[Date]],Database!$A:$C,MATCH($C$1,Database!$A$1:$C$1,),)=0,#N/A,VLOOKUP(Table7[[#This Row],[Date]],Database!$A:$C,MATCH($C$1,Database!$A$1:$C$1,),))</f>
        <v/>
      </c>
      <c r="D1821">
        <f>IFERROR(Table7[[#This Row],[United States 10y]]-Table7[[#This Row],[United States 3y]],#N/A)</f>
        <v/>
      </c>
    </row>
    <row r="1822">
      <c r="A1822" s="6">
        <f>Database!$A3907</f>
        <v/>
      </c>
      <c r="B1822">
        <f>IF(VLOOKUP(Table7[[#This Row],[Date]],Database!$A:$C,MATCH($B$1,Database!$A$1:$C$1,),)=0,#N/A,VLOOKUP(Table7[[#This Row],[Date]],Database!$A:$C,MATCH($B$1,Database!$A$1:$C$1,),))</f>
        <v/>
      </c>
      <c r="C1822">
        <f>IF(VLOOKUP(Table7[[#This Row],[Date]],Database!$A:$C,MATCH($C$1,Database!$A$1:$C$1,),)=0,#N/A,VLOOKUP(Table7[[#This Row],[Date]],Database!$A:$C,MATCH($C$1,Database!$A$1:$C$1,),))</f>
        <v/>
      </c>
      <c r="D1822">
        <f>IFERROR(Table7[[#This Row],[United States 10y]]-Table7[[#This Row],[United States 3y]],#N/A)</f>
        <v/>
      </c>
    </row>
    <row r="1823">
      <c r="A1823" s="6">
        <f>Database!$A3908</f>
        <v/>
      </c>
      <c r="B1823">
        <f>IF(VLOOKUP(Table7[[#This Row],[Date]],Database!$A:$C,MATCH($B$1,Database!$A$1:$C$1,),)=0,#N/A,VLOOKUP(Table7[[#This Row],[Date]],Database!$A:$C,MATCH($B$1,Database!$A$1:$C$1,),))</f>
        <v/>
      </c>
      <c r="C1823">
        <f>IF(VLOOKUP(Table7[[#This Row],[Date]],Database!$A:$C,MATCH($C$1,Database!$A$1:$C$1,),)=0,#N/A,VLOOKUP(Table7[[#This Row],[Date]],Database!$A:$C,MATCH($C$1,Database!$A$1:$C$1,),))</f>
        <v/>
      </c>
      <c r="D1823">
        <f>IFERROR(Table7[[#This Row],[United States 10y]]-Table7[[#This Row],[United States 3y]],#N/A)</f>
        <v/>
      </c>
    </row>
    <row r="1824">
      <c r="A1824" s="6">
        <f>Database!$A3909</f>
        <v/>
      </c>
      <c r="B1824">
        <f>IF(VLOOKUP(Table7[[#This Row],[Date]],Database!$A:$C,MATCH($B$1,Database!$A$1:$C$1,),)=0,#N/A,VLOOKUP(Table7[[#This Row],[Date]],Database!$A:$C,MATCH($B$1,Database!$A$1:$C$1,),))</f>
        <v/>
      </c>
      <c r="C1824">
        <f>IF(VLOOKUP(Table7[[#This Row],[Date]],Database!$A:$C,MATCH($C$1,Database!$A$1:$C$1,),)=0,#N/A,VLOOKUP(Table7[[#This Row],[Date]],Database!$A:$C,MATCH($C$1,Database!$A$1:$C$1,),))</f>
        <v/>
      </c>
      <c r="D1824">
        <f>IFERROR(Table7[[#This Row],[United States 10y]]-Table7[[#This Row],[United States 3y]],#N/A)</f>
        <v/>
      </c>
    </row>
    <row r="1825">
      <c r="A1825" s="6">
        <f>Database!$A3910</f>
        <v/>
      </c>
      <c r="B1825">
        <f>IF(VLOOKUP(Table7[[#This Row],[Date]],Database!$A:$C,MATCH($B$1,Database!$A$1:$C$1,),)=0,#N/A,VLOOKUP(Table7[[#This Row],[Date]],Database!$A:$C,MATCH($B$1,Database!$A$1:$C$1,),))</f>
        <v/>
      </c>
      <c r="C1825">
        <f>IF(VLOOKUP(Table7[[#This Row],[Date]],Database!$A:$C,MATCH($C$1,Database!$A$1:$C$1,),)=0,#N/A,VLOOKUP(Table7[[#This Row],[Date]],Database!$A:$C,MATCH($C$1,Database!$A$1:$C$1,),))</f>
        <v/>
      </c>
      <c r="D1825">
        <f>IFERROR(Table7[[#This Row],[United States 10y]]-Table7[[#This Row],[United States 3y]],#N/A)</f>
        <v/>
      </c>
    </row>
    <row r="1826">
      <c r="A1826" s="6">
        <f>Database!$A3911</f>
        <v/>
      </c>
      <c r="B1826">
        <f>IF(VLOOKUP(Table7[[#This Row],[Date]],Database!$A:$C,MATCH($B$1,Database!$A$1:$C$1,),)=0,#N/A,VLOOKUP(Table7[[#This Row],[Date]],Database!$A:$C,MATCH($B$1,Database!$A$1:$C$1,),))</f>
        <v/>
      </c>
      <c r="C1826">
        <f>IF(VLOOKUP(Table7[[#This Row],[Date]],Database!$A:$C,MATCH($C$1,Database!$A$1:$C$1,),)=0,#N/A,VLOOKUP(Table7[[#This Row],[Date]],Database!$A:$C,MATCH($C$1,Database!$A$1:$C$1,),))</f>
        <v/>
      </c>
      <c r="D1826">
        <f>IFERROR(Table7[[#This Row],[United States 10y]]-Table7[[#This Row],[United States 3y]],#N/A)</f>
        <v/>
      </c>
    </row>
    <row r="1827">
      <c r="A1827" s="6">
        <f>Database!$A3912</f>
        <v/>
      </c>
      <c r="B1827">
        <f>IF(VLOOKUP(Table7[[#This Row],[Date]],Database!$A:$C,MATCH($B$1,Database!$A$1:$C$1,),)=0,#N/A,VLOOKUP(Table7[[#This Row],[Date]],Database!$A:$C,MATCH($B$1,Database!$A$1:$C$1,),))</f>
        <v/>
      </c>
      <c r="C1827">
        <f>IF(VLOOKUP(Table7[[#This Row],[Date]],Database!$A:$C,MATCH($C$1,Database!$A$1:$C$1,),)=0,#N/A,VLOOKUP(Table7[[#This Row],[Date]],Database!$A:$C,MATCH($C$1,Database!$A$1:$C$1,),))</f>
        <v/>
      </c>
      <c r="D1827">
        <f>IFERROR(Table7[[#This Row],[United States 10y]]-Table7[[#This Row],[United States 3y]],#N/A)</f>
        <v/>
      </c>
    </row>
    <row r="1828">
      <c r="A1828" s="6">
        <f>Database!$A3913</f>
        <v/>
      </c>
      <c r="B1828">
        <f>IF(VLOOKUP(Table7[[#This Row],[Date]],Database!$A:$C,MATCH($B$1,Database!$A$1:$C$1,),)=0,#N/A,VLOOKUP(Table7[[#This Row],[Date]],Database!$A:$C,MATCH($B$1,Database!$A$1:$C$1,),))</f>
        <v/>
      </c>
      <c r="C1828">
        <f>IF(VLOOKUP(Table7[[#This Row],[Date]],Database!$A:$C,MATCH($C$1,Database!$A$1:$C$1,),)=0,#N/A,VLOOKUP(Table7[[#This Row],[Date]],Database!$A:$C,MATCH($C$1,Database!$A$1:$C$1,),))</f>
        <v/>
      </c>
      <c r="D1828">
        <f>IFERROR(Table7[[#This Row],[United States 10y]]-Table7[[#This Row],[United States 3y]],#N/A)</f>
        <v/>
      </c>
    </row>
    <row r="1829">
      <c r="A1829" s="6">
        <f>Database!$A3914</f>
        <v/>
      </c>
      <c r="B1829">
        <f>IF(VLOOKUP(Table7[[#This Row],[Date]],Database!$A:$C,MATCH($B$1,Database!$A$1:$C$1,),)=0,#N/A,VLOOKUP(Table7[[#This Row],[Date]],Database!$A:$C,MATCH($B$1,Database!$A$1:$C$1,),))</f>
        <v/>
      </c>
      <c r="C1829">
        <f>IF(VLOOKUP(Table7[[#This Row],[Date]],Database!$A:$C,MATCH($C$1,Database!$A$1:$C$1,),)=0,#N/A,VLOOKUP(Table7[[#This Row],[Date]],Database!$A:$C,MATCH($C$1,Database!$A$1:$C$1,),))</f>
        <v/>
      </c>
      <c r="D1829">
        <f>IFERROR(Table7[[#This Row],[United States 10y]]-Table7[[#This Row],[United States 3y]],#N/A)</f>
        <v/>
      </c>
    </row>
    <row r="1830">
      <c r="A1830" s="6">
        <f>Database!$A3915</f>
        <v/>
      </c>
      <c r="B1830">
        <f>IF(VLOOKUP(Table7[[#This Row],[Date]],Database!$A:$C,MATCH($B$1,Database!$A$1:$C$1,),)=0,#N/A,VLOOKUP(Table7[[#This Row],[Date]],Database!$A:$C,MATCH($B$1,Database!$A$1:$C$1,),))</f>
        <v/>
      </c>
      <c r="C1830">
        <f>IF(VLOOKUP(Table7[[#This Row],[Date]],Database!$A:$C,MATCH($C$1,Database!$A$1:$C$1,),)=0,#N/A,VLOOKUP(Table7[[#This Row],[Date]],Database!$A:$C,MATCH($C$1,Database!$A$1:$C$1,),))</f>
        <v/>
      </c>
      <c r="D1830">
        <f>IFERROR(Table7[[#This Row],[United States 10y]]-Table7[[#This Row],[United States 3y]],#N/A)</f>
        <v/>
      </c>
    </row>
    <row r="1831">
      <c r="A1831" s="6">
        <f>Database!$A3916</f>
        <v/>
      </c>
      <c r="B1831">
        <f>IF(VLOOKUP(Table7[[#This Row],[Date]],Database!$A:$C,MATCH($B$1,Database!$A$1:$C$1,),)=0,#N/A,VLOOKUP(Table7[[#This Row],[Date]],Database!$A:$C,MATCH($B$1,Database!$A$1:$C$1,),))</f>
        <v/>
      </c>
      <c r="C1831">
        <f>IF(VLOOKUP(Table7[[#This Row],[Date]],Database!$A:$C,MATCH($C$1,Database!$A$1:$C$1,),)=0,#N/A,VLOOKUP(Table7[[#This Row],[Date]],Database!$A:$C,MATCH($C$1,Database!$A$1:$C$1,),))</f>
        <v/>
      </c>
      <c r="D1831">
        <f>IFERROR(Table7[[#This Row],[United States 10y]]-Table7[[#This Row],[United States 3y]],#N/A)</f>
        <v/>
      </c>
    </row>
    <row r="1832">
      <c r="A1832" s="6">
        <f>Database!$A3917</f>
        <v/>
      </c>
      <c r="B1832">
        <f>IF(VLOOKUP(Table7[[#This Row],[Date]],Database!$A:$C,MATCH($B$1,Database!$A$1:$C$1,),)=0,#N/A,VLOOKUP(Table7[[#This Row],[Date]],Database!$A:$C,MATCH($B$1,Database!$A$1:$C$1,),))</f>
        <v/>
      </c>
      <c r="C1832">
        <f>IF(VLOOKUP(Table7[[#This Row],[Date]],Database!$A:$C,MATCH($C$1,Database!$A$1:$C$1,),)=0,#N/A,VLOOKUP(Table7[[#This Row],[Date]],Database!$A:$C,MATCH($C$1,Database!$A$1:$C$1,),))</f>
        <v/>
      </c>
      <c r="D1832">
        <f>IFERROR(Table7[[#This Row],[United States 10y]]-Table7[[#This Row],[United States 3y]],#N/A)</f>
        <v/>
      </c>
    </row>
    <row r="1833">
      <c r="A1833" s="6">
        <f>Database!$A3918</f>
        <v/>
      </c>
      <c r="B1833">
        <f>IF(VLOOKUP(Table7[[#This Row],[Date]],Database!$A:$C,MATCH($B$1,Database!$A$1:$C$1,),)=0,#N/A,VLOOKUP(Table7[[#This Row],[Date]],Database!$A:$C,MATCH($B$1,Database!$A$1:$C$1,),))</f>
        <v/>
      </c>
      <c r="C1833">
        <f>IF(VLOOKUP(Table7[[#This Row],[Date]],Database!$A:$C,MATCH($C$1,Database!$A$1:$C$1,),)=0,#N/A,VLOOKUP(Table7[[#This Row],[Date]],Database!$A:$C,MATCH($C$1,Database!$A$1:$C$1,),))</f>
        <v/>
      </c>
      <c r="D1833">
        <f>IFERROR(Table7[[#This Row],[United States 10y]]-Table7[[#This Row],[United States 3y]],#N/A)</f>
        <v/>
      </c>
    </row>
    <row r="1834">
      <c r="A1834" s="6">
        <f>Database!$A3919</f>
        <v/>
      </c>
      <c r="B1834">
        <f>IF(VLOOKUP(Table7[[#This Row],[Date]],Database!$A:$C,MATCH($B$1,Database!$A$1:$C$1,),)=0,#N/A,VLOOKUP(Table7[[#This Row],[Date]],Database!$A:$C,MATCH($B$1,Database!$A$1:$C$1,),))</f>
        <v/>
      </c>
      <c r="C1834">
        <f>IF(VLOOKUP(Table7[[#This Row],[Date]],Database!$A:$C,MATCH($C$1,Database!$A$1:$C$1,),)=0,#N/A,VLOOKUP(Table7[[#This Row],[Date]],Database!$A:$C,MATCH($C$1,Database!$A$1:$C$1,),))</f>
        <v/>
      </c>
      <c r="D1834">
        <f>IFERROR(Table7[[#This Row],[United States 10y]]-Table7[[#This Row],[United States 3y]],#N/A)</f>
        <v/>
      </c>
    </row>
    <row r="1835">
      <c r="A1835" s="6">
        <f>Database!$A3920</f>
        <v/>
      </c>
      <c r="B1835">
        <f>IF(VLOOKUP(Table7[[#This Row],[Date]],Database!$A:$C,MATCH($B$1,Database!$A$1:$C$1,),)=0,#N/A,VLOOKUP(Table7[[#This Row],[Date]],Database!$A:$C,MATCH($B$1,Database!$A$1:$C$1,),))</f>
        <v/>
      </c>
      <c r="C1835">
        <f>IF(VLOOKUP(Table7[[#This Row],[Date]],Database!$A:$C,MATCH($C$1,Database!$A$1:$C$1,),)=0,#N/A,VLOOKUP(Table7[[#This Row],[Date]],Database!$A:$C,MATCH($C$1,Database!$A$1:$C$1,),))</f>
        <v/>
      </c>
      <c r="D1835">
        <f>IFERROR(Table7[[#This Row],[United States 10y]]-Table7[[#This Row],[United States 3y]],#N/A)</f>
        <v/>
      </c>
    </row>
    <row r="1836">
      <c r="A1836" s="6">
        <f>Database!$A3921</f>
        <v/>
      </c>
      <c r="B1836">
        <f>IF(VLOOKUP(Table7[[#This Row],[Date]],Database!$A:$C,MATCH($B$1,Database!$A$1:$C$1,),)=0,#N/A,VLOOKUP(Table7[[#This Row],[Date]],Database!$A:$C,MATCH($B$1,Database!$A$1:$C$1,),))</f>
        <v/>
      </c>
      <c r="C1836">
        <f>IF(VLOOKUP(Table7[[#This Row],[Date]],Database!$A:$C,MATCH($C$1,Database!$A$1:$C$1,),)=0,#N/A,VLOOKUP(Table7[[#This Row],[Date]],Database!$A:$C,MATCH($C$1,Database!$A$1:$C$1,),))</f>
        <v/>
      </c>
      <c r="D1836">
        <f>IFERROR(Table7[[#This Row],[United States 10y]]-Table7[[#This Row],[United States 3y]],#N/A)</f>
        <v/>
      </c>
    </row>
    <row r="1837">
      <c r="A1837" s="6">
        <f>Database!$A3922</f>
        <v/>
      </c>
      <c r="B1837">
        <f>IF(VLOOKUP(Table7[[#This Row],[Date]],Database!$A:$C,MATCH($B$1,Database!$A$1:$C$1,),)=0,#N/A,VLOOKUP(Table7[[#This Row],[Date]],Database!$A:$C,MATCH($B$1,Database!$A$1:$C$1,),))</f>
        <v/>
      </c>
      <c r="C1837">
        <f>IF(VLOOKUP(Table7[[#This Row],[Date]],Database!$A:$C,MATCH($C$1,Database!$A$1:$C$1,),)=0,#N/A,VLOOKUP(Table7[[#This Row],[Date]],Database!$A:$C,MATCH($C$1,Database!$A$1:$C$1,),))</f>
        <v/>
      </c>
      <c r="D1837">
        <f>IFERROR(Table7[[#This Row],[United States 10y]]-Table7[[#This Row],[United States 3y]],#N/A)</f>
        <v/>
      </c>
    </row>
    <row r="1838">
      <c r="A1838" s="6">
        <f>Database!$A3923</f>
        <v/>
      </c>
      <c r="B1838">
        <f>IF(VLOOKUP(Table7[[#This Row],[Date]],Database!$A:$C,MATCH($B$1,Database!$A$1:$C$1,),)=0,#N/A,VLOOKUP(Table7[[#This Row],[Date]],Database!$A:$C,MATCH($B$1,Database!$A$1:$C$1,),))</f>
        <v/>
      </c>
      <c r="C1838">
        <f>IF(VLOOKUP(Table7[[#This Row],[Date]],Database!$A:$C,MATCH($C$1,Database!$A$1:$C$1,),)=0,#N/A,VLOOKUP(Table7[[#This Row],[Date]],Database!$A:$C,MATCH($C$1,Database!$A$1:$C$1,),))</f>
        <v/>
      </c>
      <c r="D1838">
        <f>IFERROR(Table7[[#This Row],[United States 10y]]-Table7[[#This Row],[United States 3y]],#N/A)</f>
        <v/>
      </c>
    </row>
    <row r="1839">
      <c r="A1839" s="6">
        <f>Database!$A3924</f>
        <v/>
      </c>
      <c r="B1839">
        <f>IF(VLOOKUP(Table7[[#This Row],[Date]],Database!$A:$C,MATCH($B$1,Database!$A$1:$C$1,),)=0,#N/A,VLOOKUP(Table7[[#This Row],[Date]],Database!$A:$C,MATCH($B$1,Database!$A$1:$C$1,),))</f>
        <v/>
      </c>
      <c r="C1839">
        <f>IF(VLOOKUP(Table7[[#This Row],[Date]],Database!$A:$C,MATCH($C$1,Database!$A$1:$C$1,),)=0,#N/A,VLOOKUP(Table7[[#This Row],[Date]],Database!$A:$C,MATCH($C$1,Database!$A$1:$C$1,),))</f>
        <v/>
      </c>
      <c r="D1839">
        <f>IFERROR(Table7[[#This Row],[United States 10y]]-Table7[[#This Row],[United States 3y]],#N/A)</f>
        <v/>
      </c>
    </row>
    <row r="1840">
      <c r="A1840" s="6">
        <f>Database!$A3925</f>
        <v/>
      </c>
      <c r="B1840">
        <f>IF(VLOOKUP(Table7[[#This Row],[Date]],Database!$A:$C,MATCH($B$1,Database!$A$1:$C$1,),)=0,#N/A,VLOOKUP(Table7[[#This Row],[Date]],Database!$A:$C,MATCH($B$1,Database!$A$1:$C$1,),))</f>
        <v/>
      </c>
      <c r="C1840">
        <f>IF(VLOOKUP(Table7[[#This Row],[Date]],Database!$A:$C,MATCH($C$1,Database!$A$1:$C$1,),)=0,#N/A,VLOOKUP(Table7[[#This Row],[Date]],Database!$A:$C,MATCH($C$1,Database!$A$1:$C$1,),))</f>
        <v/>
      </c>
      <c r="D1840">
        <f>IFERROR(Table7[[#This Row],[United States 10y]]-Table7[[#This Row],[United States 3y]],#N/A)</f>
        <v/>
      </c>
    </row>
    <row r="1841">
      <c r="A1841" s="6">
        <f>Database!$A3926</f>
        <v/>
      </c>
      <c r="B1841">
        <f>IF(VLOOKUP(Table7[[#This Row],[Date]],Database!$A:$C,MATCH($B$1,Database!$A$1:$C$1,),)=0,#N/A,VLOOKUP(Table7[[#This Row],[Date]],Database!$A:$C,MATCH($B$1,Database!$A$1:$C$1,),))</f>
        <v/>
      </c>
      <c r="C1841">
        <f>IF(VLOOKUP(Table7[[#This Row],[Date]],Database!$A:$C,MATCH($C$1,Database!$A$1:$C$1,),)=0,#N/A,VLOOKUP(Table7[[#This Row],[Date]],Database!$A:$C,MATCH($C$1,Database!$A$1:$C$1,),))</f>
        <v/>
      </c>
      <c r="D1841">
        <f>IFERROR(Table7[[#This Row],[United States 10y]]-Table7[[#This Row],[United States 3y]],#N/A)</f>
        <v/>
      </c>
    </row>
    <row r="1842">
      <c r="A1842" s="6">
        <f>Database!$A3927</f>
        <v/>
      </c>
      <c r="B1842">
        <f>IF(VLOOKUP(Table7[[#This Row],[Date]],Database!$A:$C,MATCH($B$1,Database!$A$1:$C$1,),)=0,#N/A,VLOOKUP(Table7[[#This Row],[Date]],Database!$A:$C,MATCH($B$1,Database!$A$1:$C$1,),))</f>
        <v/>
      </c>
      <c r="C1842">
        <f>IF(VLOOKUP(Table7[[#This Row],[Date]],Database!$A:$C,MATCH($C$1,Database!$A$1:$C$1,),)=0,#N/A,VLOOKUP(Table7[[#This Row],[Date]],Database!$A:$C,MATCH($C$1,Database!$A$1:$C$1,),))</f>
        <v/>
      </c>
      <c r="D1842">
        <f>IFERROR(Table7[[#This Row],[United States 10y]]-Table7[[#This Row],[United States 3y]],#N/A)</f>
        <v/>
      </c>
    </row>
    <row r="1843">
      <c r="A1843" s="6">
        <f>Database!$A3928</f>
        <v/>
      </c>
      <c r="B1843">
        <f>IF(VLOOKUP(Table7[[#This Row],[Date]],Database!$A:$C,MATCH($B$1,Database!$A$1:$C$1,),)=0,#N/A,VLOOKUP(Table7[[#This Row],[Date]],Database!$A:$C,MATCH($B$1,Database!$A$1:$C$1,),))</f>
        <v/>
      </c>
      <c r="C1843">
        <f>IF(VLOOKUP(Table7[[#This Row],[Date]],Database!$A:$C,MATCH($C$1,Database!$A$1:$C$1,),)=0,#N/A,VLOOKUP(Table7[[#This Row],[Date]],Database!$A:$C,MATCH($C$1,Database!$A$1:$C$1,),))</f>
        <v/>
      </c>
      <c r="D1843">
        <f>IFERROR(Table7[[#This Row],[United States 10y]]-Table7[[#This Row],[United States 3y]],#N/A)</f>
        <v/>
      </c>
    </row>
    <row r="1844">
      <c r="A1844" s="6">
        <f>Database!$A3929</f>
        <v/>
      </c>
      <c r="B1844">
        <f>IF(VLOOKUP(Table7[[#This Row],[Date]],Database!$A:$C,MATCH($B$1,Database!$A$1:$C$1,),)=0,#N/A,VLOOKUP(Table7[[#This Row],[Date]],Database!$A:$C,MATCH($B$1,Database!$A$1:$C$1,),))</f>
        <v/>
      </c>
      <c r="C1844">
        <f>IF(VLOOKUP(Table7[[#This Row],[Date]],Database!$A:$C,MATCH($C$1,Database!$A$1:$C$1,),)=0,#N/A,VLOOKUP(Table7[[#This Row],[Date]],Database!$A:$C,MATCH($C$1,Database!$A$1:$C$1,),))</f>
        <v/>
      </c>
      <c r="D1844">
        <f>IFERROR(Table7[[#This Row],[United States 10y]]-Table7[[#This Row],[United States 3y]],#N/A)</f>
        <v/>
      </c>
    </row>
    <row r="1845">
      <c r="A1845" s="6">
        <f>Database!$A3930</f>
        <v/>
      </c>
      <c r="B1845">
        <f>IF(VLOOKUP(Table7[[#This Row],[Date]],Database!$A:$C,MATCH($B$1,Database!$A$1:$C$1,),)=0,#N/A,VLOOKUP(Table7[[#This Row],[Date]],Database!$A:$C,MATCH($B$1,Database!$A$1:$C$1,),))</f>
        <v/>
      </c>
      <c r="C1845">
        <f>IF(VLOOKUP(Table7[[#This Row],[Date]],Database!$A:$C,MATCH($C$1,Database!$A$1:$C$1,),)=0,#N/A,VLOOKUP(Table7[[#This Row],[Date]],Database!$A:$C,MATCH($C$1,Database!$A$1:$C$1,),))</f>
        <v/>
      </c>
      <c r="D1845">
        <f>IFERROR(Table7[[#This Row],[United States 10y]]-Table7[[#This Row],[United States 3y]],#N/A)</f>
        <v/>
      </c>
    </row>
    <row r="1846">
      <c r="A1846" s="6">
        <f>Database!$A3931</f>
        <v/>
      </c>
      <c r="B1846">
        <f>IF(VLOOKUP(Table7[[#This Row],[Date]],Database!$A:$C,MATCH($B$1,Database!$A$1:$C$1,),)=0,#N/A,VLOOKUP(Table7[[#This Row],[Date]],Database!$A:$C,MATCH($B$1,Database!$A$1:$C$1,),))</f>
        <v/>
      </c>
      <c r="C1846">
        <f>IF(VLOOKUP(Table7[[#This Row],[Date]],Database!$A:$C,MATCH($C$1,Database!$A$1:$C$1,),)=0,#N/A,VLOOKUP(Table7[[#This Row],[Date]],Database!$A:$C,MATCH($C$1,Database!$A$1:$C$1,),))</f>
        <v/>
      </c>
      <c r="D1846">
        <f>IFERROR(Table7[[#This Row],[United States 10y]]-Table7[[#This Row],[United States 3y]],#N/A)</f>
        <v/>
      </c>
    </row>
    <row r="1847">
      <c r="A1847" s="6">
        <f>Database!$A3932</f>
        <v/>
      </c>
      <c r="B1847">
        <f>IF(VLOOKUP(Table7[[#This Row],[Date]],Database!$A:$C,MATCH($B$1,Database!$A$1:$C$1,),)=0,#N/A,VLOOKUP(Table7[[#This Row],[Date]],Database!$A:$C,MATCH($B$1,Database!$A$1:$C$1,),))</f>
        <v/>
      </c>
      <c r="C1847">
        <f>IF(VLOOKUP(Table7[[#This Row],[Date]],Database!$A:$C,MATCH($C$1,Database!$A$1:$C$1,),)=0,#N/A,VLOOKUP(Table7[[#This Row],[Date]],Database!$A:$C,MATCH($C$1,Database!$A$1:$C$1,),))</f>
        <v/>
      </c>
      <c r="D1847">
        <f>IFERROR(Table7[[#This Row],[United States 10y]]-Table7[[#This Row],[United States 3y]],#N/A)</f>
        <v/>
      </c>
    </row>
    <row r="1848">
      <c r="A1848" s="6">
        <f>Database!$A3933</f>
        <v/>
      </c>
      <c r="B1848">
        <f>IF(VLOOKUP(Table7[[#This Row],[Date]],Database!$A:$C,MATCH($B$1,Database!$A$1:$C$1,),)=0,#N/A,VLOOKUP(Table7[[#This Row],[Date]],Database!$A:$C,MATCH($B$1,Database!$A$1:$C$1,),))</f>
        <v/>
      </c>
      <c r="C1848">
        <f>IF(VLOOKUP(Table7[[#This Row],[Date]],Database!$A:$C,MATCH($C$1,Database!$A$1:$C$1,),)=0,#N/A,VLOOKUP(Table7[[#This Row],[Date]],Database!$A:$C,MATCH($C$1,Database!$A$1:$C$1,),))</f>
        <v/>
      </c>
      <c r="D1848">
        <f>IFERROR(Table7[[#This Row],[United States 10y]]-Table7[[#This Row],[United States 3y]],#N/A)</f>
        <v/>
      </c>
    </row>
    <row r="1849">
      <c r="A1849" s="6">
        <f>Database!$A3934</f>
        <v/>
      </c>
      <c r="B1849">
        <f>IF(VLOOKUP(Table7[[#This Row],[Date]],Database!$A:$C,MATCH($B$1,Database!$A$1:$C$1,),)=0,#N/A,VLOOKUP(Table7[[#This Row],[Date]],Database!$A:$C,MATCH($B$1,Database!$A$1:$C$1,),))</f>
        <v/>
      </c>
      <c r="C1849">
        <f>IF(VLOOKUP(Table7[[#This Row],[Date]],Database!$A:$C,MATCH($C$1,Database!$A$1:$C$1,),)=0,#N/A,VLOOKUP(Table7[[#This Row],[Date]],Database!$A:$C,MATCH($C$1,Database!$A$1:$C$1,),))</f>
        <v/>
      </c>
      <c r="D1849">
        <f>IFERROR(Table7[[#This Row],[United States 10y]]-Table7[[#This Row],[United States 3y]],#N/A)</f>
        <v/>
      </c>
    </row>
    <row r="1850">
      <c r="A1850" s="6">
        <f>Database!$A3935</f>
        <v/>
      </c>
      <c r="B1850">
        <f>IF(VLOOKUP(Table7[[#This Row],[Date]],Database!$A:$C,MATCH($B$1,Database!$A$1:$C$1,),)=0,#N/A,VLOOKUP(Table7[[#This Row],[Date]],Database!$A:$C,MATCH($B$1,Database!$A$1:$C$1,),))</f>
        <v/>
      </c>
      <c r="C1850">
        <f>IF(VLOOKUP(Table7[[#This Row],[Date]],Database!$A:$C,MATCH($C$1,Database!$A$1:$C$1,),)=0,#N/A,VLOOKUP(Table7[[#This Row],[Date]],Database!$A:$C,MATCH($C$1,Database!$A$1:$C$1,),))</f>
        <v/>
      </c>
      <c r="D1850">
        <f>IFERROR(Table7[[#This Row],[United States 10y]]-Table7[[#This Row],[United States 3y]],#N/A)</f>
        <v/>
      </c>
    </row>
    <row r="1851">
      <c r="A1851" s="6">
        <f>Database!$A3936</f>
        <v/>
      </c>
      <c r="B1851">
        <f>IF(VLOOKUP(Table7[[#This Row],[Date]],Database!$A:$C,MATCH($B$1,Database!$A$1:$C$1,),)=0,#N/A,VLOOKUP(Table7[[#This Row],[Date]],Database!$A:$C,MATCH($B$1,Database!$A$1:$C$1,),))</f>
        <v/>
      </c>
      <c r="C1851">
        <f>IF(VLOOKUP(Table7[[#This Row],[Date]],Database!$A:$C,MATCH($C$1,Database!$A$1:$C$1,),)=0,#N/A,VLOOKUP(Table7[[#This Row],[Date]],Database!$A:$C,MATCH($C$1,Database!$A$1:$C$1,),))</f>
        <v/>
      </c>
      <c r="D1851">
        <f>IFERROR(Table7[[#This Row],[United States 10y]]-Table7[[#This Row],[United States 3y]],#N/A)</f>
        <v/>
      </c>
    </row>
    <row r="1852">
      <c r="A1852" s="6">
        <f>Database!$A3937</f>
        <v/>
      </c>
      <c r="B1852">
        <f>IF(VLOOKUP(Table7[[#This Row],[Date]],Database!$A:$C,MATCH($B$1,Database!$A$1:$C$1,),)=0,#N/A,VLOOKUP(Table7[[#This Row],[Date]],Database!$A:$C,MATCH($B$1,Database!$A$1:$C$1,),))</f>
        <v/>
      </c>
      <c r="C1852">
        <f>IF(VLOOKUP(Table7[[#This Row],[Date]],Database!$A:$C,MATCH($C$1,Database!$A$1:$C$1,),)=0,#N/A,VLOOKUP(Table7[[#This Row],[Date]],Database!$A:$C,MATCH($C$1,Database!$A$1:$C$1,),))</f>
        <v/>
      </c>
      <c r="D1852">
        <f>IFERROR(Table7[[#This Row],[United States 10y]]-Table7[[#This Row],[United States 3y]],#N/A)</f>
        <v/>
      </c>
    </row>
    <row r="1853">
      <c r="A1853" s="6">
        <f>Database!$A3938</f>
        <v/>
      </c>
      <c r="B1853">
        <f>IF(VLOOKUP(Table7[[#This Row],[Date]],Database!$A:$C,MATCH($B$1,Database!$A$1:$C$1,),)=0,#N/A,VLOOKUP(Table7[[#This Row],[Date]],Database!$A:$C,MATCH($B$1,Database!$A$1:$C$1,),))</f>
        <v/>
      </c>
      <c r="C1853">
        <f>IF(VLOOKUP(Table7[[#This Row],[Date]],Database!$A:$C,MATCH($C$1,Database!$A$1:$C$1,),)=0,#N/A,VLOOKUP(Table7[[#This Row],[Date]],Database!$A:$C,MATCH($C$1,Database!$A$1:$C$1,),))</f>
        <v/>
      </c>
      <c r="D1853">
        <f>IFERROR(Table7[[#This Row],[United States 10y]]-Table7[[#This Row],[United States 3y]],#N/A)</f>
        <v/>
      </c>
    </row>
    <row r="1854">
      <c r="A1854" s="6">
        <f>Database!$A3939</f>
        <v/>
      </c>
      <c r="B1854">
        <f>IF(VLOOKUP(Table7[[#This Row],[Date]],Database!$A:$C,MATCH($B$1,Database!$A$1:$C$1,),)=0,#N/A,VLOOKUP(Table7[[#This Row],[Date]],Database!$A:$C,MATCH($B$1,Database!$A$1:$C$1,),))</f>
        <v/>
      </c>
      <c r="C1854">
        <f>IF(VLOOKUP(Table7[[#This Row],[Date]],Database!$A:$C,MATCH($C$1,Database!$A$1:$C$1,),)=0,#N/A,VLOOKUP(Table7[[#This Row],[Date]],Database!$A:$C,MATCH($C$1,Database!$A$1:$C$1,),))</f>
        <v/>
      </c>
      <c r="D1854">
        <f>IFERROR(Table7[[#This Row],[United States 10y]]-Table7[[#This Row],[United States 3y]],#N/A)</f>
        <v/>
      </c>
    </row>
    <row r="1855">
      <c r="A1855" s="6">
        <f>Database!$A3940</f>
        <v/>
      </c>
      <c r="B1855">
        <f>IF(VLOOKUP(Table7[[#This Row],[Date]],Database!$A:$C,MATCH($B$1,Database!$A$1:$C$1,),)=0,#N/A,VLOOKUP(Table7[[#This Row],[Date]],Database!$A:$C,MATCH($B$1,Database!$A$1:$C$1,),))</f>
        <v/>
      </c>
      <c r="C1855">
        <f>IF(VLOOKUP(Table7[[#This Row],[Date]],Database!$A:$C,MATCH($C$1,Database!$A$1:$C$1,),)=0,#N/A,VLOOKUP(Table7[[#This Row],[Date]],Database!$A:$C,MATCH($C$1,Database!$A$1:$C$1,),))</f>
        <v/>
      </c>
      <c r="D1855">
        <f>IFERROR(Table7[[#This Row],[United States 10y]]-Table7[[#This Row],[United States 3y]],#N/A)</f>
        <v/>
      </c>
    </row>
    <row r="1856">
      <c r="A1856" s="6">
        <f>Database!$A3941</f>
        <v/>
      </c>
      <c r="B1856">
        <f>IF(VLOOKUP(Table7[[#This Row],[Date]],Database!$A:$C,MATCH($B$1,Database!$A$1:$C$1,),)=0,#N/A,VLOOKUP(Table7[[#This Row],[Date]],Database!$A:$C,MATCH($B$1,Database!$A$1:$C$1,),))</f>
        <v/>
      </c>
      <c r="C1856">
        <f>IF(VLOOKUP(Table7[[#This Row],[Date]],Database!$A:$C,MATCH($C$1,Database!$A$1:$C$1,),)=0,#N/A,VLOOKUP(Table7[[#This Row],[Date]],Database!$A:$C,MATCH($C$1,Database!$A$1:$C$1,),))</f>
        <v/>
      </c>
      <c r="D1856">
        <f>IFERROR(Table7[[#This Row],[United States 10y]]-Table7[[#This Row],[United States 3y]],#N/A)</f>
        <v/>
      </c>
    </row>
    <row r="1857">
      <c r="A1857" s="6">
        <f>Database!$A3942</f>
        <v/>
      </c>
      <c r="B1857">
        <f>IF(VLOOKUP(Table7[[#This Row],[Date]],Database!$A:$C,MATCH($B$1,Database!$A$1:$C$1,),)=0,#N/A,VLOOKUP(Table7[[#This Row],[Date]],Database!$A:$C,MATCH($B$1,Database!$A$1:$C$1,),))</f>
        <v/>
      </c>
      <c r="C1857">
        <f>IF(VLOOKUP(Table7[[#This Row],[Date]],Database!$A:$C,MATCH($C$1,Database!$A$1:$C$1,),)=0,#N/A,VLOOKUP(Table7[[#This Row],[Date]],Database!$A:$C,MATCH($C$1,Database!$A$1:$C$1,),))</f>
        <v/>
      </c>
      <c r="D1857">
        <f>IFERROR(Table7[[#This Row],[United States 10y]]-Table7[[#This Row],[United States 3y]],#N/A)</f>
        <v/>
      </c>
    </row>
    <row r="1858">
      <c r="A1858" s="6">
        <f>Database!$A3943</f>
        <v/>
      </c>
      <c r="B1858">
        <f>IF(VLOOKUP(Table7[[#This Row],[Date]],Database!$A:$C,MATCH($B$1,Database!$A$1:$C$1,),)=0,#N/A,VLOOKUP(Table7[[#This Row],[Date]],Database!$A:$C,MATCH($B$1,Database!$A$1:$C$1,),))</f>
        <v/>
      </c>
      <c r="C1858">
        <f>IF(VLOOKUP(Table7[[#This Row],[Date]],Database!$A:$C,MATCH($C$1,Database!$A$1:$C$1,),)=0,#N/A,VLOOKUP(Table7[[#This Row],[Date]],Database!$A:$C,MATCH($C$1,Database!$A$1:$C$1,),))</f>
        <v/>
      </c>
      <c r="D1858">
        <f>IFERROR(Table7[[#This Row],[United States 10y]]-Table7[[#This Row],[United States 3y]],#N/A)</f>
        <v/>
      </c>
    </row>
    <row r="1859">
      <c r="A1859" s="6">
        <f>Database!$A3944</f>
        <v/>
      </c>
      <c r="B1859">
        <f>IF(VLOOKUP(Table7[[#This Row],[Date]],Database!$A:$C,MATCH($B$1,Database!$A$1:$C$1,),)=0,#N/A,VLOOKUP(Table7[[#This Row],[Date]],Database!$A:$C,MATCH($B$1,Database!$A$1:$C$1,),))</f>
        <v/>
      </c>
      <c r="C1859">
        <f>IF(VLOOKUP(Table7[[#This Row],[Date]],Database!$A:$C,MATCH($C$1,Database!$A$1:$C$1,),)=0,#N/A,VLOOKUP(Table7[[#This Row],[Date]],Database!$A:$C,MATCH($C$1,Database!$A$1:$C$1,),))</f>
        <v/>
      </c>
      <c r="D1859">
        <f>IFERROR(Table7[[#This Row],[United States 10y]]-Table7[[#This Row],[United States 3y]],#N/A)</f>
        <v/>
      </c>
    </row>
    <row r="1860">
      <c r="A1860" s="6">
        <f>Database!$A3945</f>
        <v/>
      </c>
      <c r="B1860">
        <f>IF(VLOOKUP(Table7[[#This Row],[Date]],Database!$A:$C,MATCH($B$1,Database!$A$1:$C$1,),)=0,#N/A,VLOOKUP(Table7[[#This Row],[Date]],Database!$A:$C,MATCH($B$1,Database!$A$1:$C$1,),))</f>
        <v/>
      </c>
      <c r="C1860">
        <f>IF(VLOOKUP(Table7[[#This Row],[Date]],Database!$A:$C,MATCH($C$1,Database!$A$1:$C$1,),)=0,#N/A,VLOOKUP(Table7[[#This Row],[Date]],Database!$A:$C,MATCH($C$1,Database!$A$1:$C$1,),))</f>
        <v/>
      </c>
      <c r="D1860">
        <f>IFERROR(Table7[[#This Row],[United States 10y]]-Table7[[#This Row],[United States 3y]],#N/A)</f>
        <v/>
      </c>
    </row>
    <row r="1861">
      <c r="A1861" s="6">
        <f>Database!$A3946</f>
        <v/>
      </c>
      <c r="B1861">
        <f>IF(VLOOKUP(Table7[[#This Row],[Date]],Database!$A:$C,MATCH($B$1,Database!$A$1:$C$1,),)=0,#N/A,VLOOKUP(Table7[[#This Row],[Date]],Database!$A:$C,MATCH($B$1,Database!$A$1:$C$1,),))</f>
        <v/>
      </c>
      <c r="C1861">
        <f>IF(VLOOKUP(Table7[[#This Row],[Date]],Database!$A:$C,MATCH($C$1,Database!$A$1:$C$1,),)=0,#N/A,VLOOKUP(Table7[[#This Row],[Date]],Database!$A:$C,MATCH($C$1,Database!$A$1:$C$1,),))</f>
        <v/>
      </c>
      <c r="D1861">
        <f>IFERROR(Table7[[#This Row],[United States 10y]]-Table7[[#This Row],[United States 3y]],#N/A)</f>
        <v/>
      </c>
    </row>
    <row r="1862">
      <c r="A1862" s="6">
        <f>Database!$A3947</f>
        <v/>
      </c>
      <c r="B1862">
        <f>IF(VLOOKUP(Table7[[#This Row],[Date]],Database!$A:$C,MATCH($B$1,Database!$A$1:$C$1,),)=0,#N/A,VLOOKUP(Table7[[#This Row],[Date]],Database!$A:$C,MATCH($B$1,Database!$A$1:$C$1,),))</f>
        <v/>
      </c>
      <c r="C1862">
        <f>IF(VLOOKUP(Table7[[#This Row],[Date]],Database!$A:$C,MATCH($C$1,Database!$A$1:$C$1,),)=0,#N/A,VLOOKUP(Table7[[#This Row],[Date]],Database!$A:$C,MATCH($C$1,Database!$A$1:$C$1,),))</f>
        <v/>
      </c>
      <c r="D1862">
        <f>IFERROR(Table7[[#This Row],[United States 10y]]-Table7[[#This Row],[United States 3y]],#N/A)</f>
        <v/>
      </c>
    </row>
    <row r="1863">
      <c r="A1863" s="6">
        <f>Database!$A3948</f>
        <v/>
      </c>
      <c r="B1863">
        <f>IF(VLOOKUP(Table7[[#This Row],[Date]],Database!$A:$C,MATCH($B$1,Database!$A$1:$C$1,),)=0,#N/A,VLOOKUP(Table7[[#This Row],[Date]],Database!$A:$C,MATCH($B$1,Database!$A$1:$C$1,),))</f>
        <v/>
      </c>
      <c r="C1863">
        <f>IF(VLOOKUP(Table7[[#This Row],[Date]],Database!$A:$C,MATCH($C$1,Database!$A$1:$C$1,),)=0,#N/A,VLOOKUP(Table7[[#This Row],[Date]],Database!$A:$C,MATCH($C$1,Database!$A$1:$C$1,),))</f>
        <v/>
      </c>
      <c r="D1863">
        <f>IFERROR(Table7[[#This Row],[United States 10y]]-Table7[[#This Row],[United States 3y]],#N/A)</f>
        <v/>
      </c>
    </row>
    <row r="1864">
      <c r="A1864" s="6">
        <f>Database!$A3949</f>
        <v/>
      </c>
      <c r="B1864">
        <f>IF(VLOOKUP(Table7[[#This Row],[Date]],Database!$A:$C,MATCH($B$1,Database!$A$1:$C$1,),)=0,#N/A,VLOOKUP(Table7[[#This Row],[Date]],Database!$A:$C,MATCH($B$1,Database!$A$1:$C$1,),))</f>
        <v/>
      </c>
      <c r="C1864">
        <f>IF(VLOOKUP(Table7[[#This Row],[Date]],Database!$A:$C,MATCH($C$1,Database!$A$1:$C$1,),)=0,#N/A,VLOOKUP(Table7[[#This Row],[Date]],Database!$A:$C,MATCH($C$1,Database!$A$1:$C$1,),))</f>
        <v/>
      </c>
      <c r="D1864">
        <f>IFERROR(Table7[[#This Row],[United States 10y]]-Table7[[#This Row],[United States 3y]],#N/A)</f>
        <v/>
      </c>
    </row>
    <row r="1865">
      <c r="A1865" s="6">
        <f>Database!$A3950</f>
        <v/>
      </c>
      <c r="B1865">
        <f>IF(VLOOKUP(Table7[[#This Row],[Date]],Database!$A:$C,MATCH($B$1,Database!$A$1:$C$1,),)=0,#N/A,VLOOKUP(Table7[[#This Row],[Date]],Database!$A:$C,MATCH($B$1,Database!$A$1:$C$1,),))</f>
        <v/>
      </c>
      <c r="C1865">
        <f>IF(VLOOKUP(Table7[[#This Row],[Date]],Database!$A:$C,MATCH($C$1,Database!$A$1:$C$1,),)=0,#N/A,VLOOKUP(Table7[[#This Row],[Date]],Database!$A:$C,MATCH($C$1,Database!$A$1:$C$1,),))</f>
        <v/>
      </c>
      <c r="D1865">
        <f>IFERROR(Table7[[#This Row],[United States 10y]]-Table7[[#This Row],[United States 3y]],#N/A)</f>
        <v/>
      </c>
    </row>
    <row r="1866">
      <c r="A1866" s="6">
        <f>Database!$A3951</f>
        <v/>
      </c>
      <c r="B1866">
        <f>IF(VLOOKUP(Table7[[#This Row],[Date]],Database!$A:$C,MATCH($B$1,Database!$A$1:$C$1,),)=0,#N/A,VLOOKUP(Table7[[#This Row],[Date]],Database!$A:$C,MATCH($B$1,Database!$A$1:$C$1,),))</f>
        <v/>
      </c>
      <c r="C1866">
        <f>IF(VLOOKUP(Table7[[#This Row],[Date]],Database!$A:$C,MATCH($C$1,Database!$A$1:$C$1,),)=0,#N/A,VLOOKUP(Table7[[#This Row],[Date]],Database!$A:$C,MATCH($C$1,Database!$A$1:$C$1,),))</f>
        <v/>
      </c>
      <c r="D1866">
        <f>IFERROR(Table7[[#This Row],[United States 10y]]-Table7[[#This Row],[United States 3y]],#N/A)</f>
        <v/>
      </c>
    </row>
    <row r="1867">
      <c r="A1867" s="6">
        <f>Database!$A3952</f>
        <v/>
      </c>
      <c r="B1867">
        <f>IF(VLOOKUP(Table7[[#This Row],[Date]],Database!$A:$C,MATCH($B$1,Database!$A$1:$C$1,),)=0,#N/A,VLOOKUP(Table7[[#This Row],[Date]],Database!$A:$C,MATCH($B$1,Database!$A$1:$C$1,),))</f>
        <v/>
      </c>
      <c r="C1867">
        <f>IF(VLOOKUP(Table7[[#This Row],[Date]],Database!$A:$C,MATCH($C$1,Database!$A$1:$C$1,),)=0,#N/A,VLOOKUP(Table7[[#This Row],[Date]],Database!$A:$C,MATCH($C$1,Database!$A$1:$C$1,),))</f>
        <v/>
      </c>
      <c r="D1867">
        <f>IFERROR(Table7[[#This Row],[United States 10y]]-Table7[[#This Row],[United States 3y]],#N/A)</f>
        <v/>
      </c>
    </row>
    <row r="1868">
      <c r="A1868" s="6">
        <f>Database!$A3953</f>
        <v/>
      </c>
      <c r="B1868">
        <f>IF(VLOOKUP(Table7[[#This Row],[Date]],Database!$A:$C,MATCH($B$1,Database!$A$1:$C$1,),)=0,#N/A,VLOOKUP(Table7[[#This Row],[Date]],Database!$A:$C,MATCH($B$1,Database!$A$1:$C$1,),))</f>
        <v/>
      </c>
      <c r="C1868">
        <f>IF(VLOOKUP(Table7[[#This Row],[Date]],Database!$A:$C,MATCH($C$1,Database!$A$1:$C$1,),)=0,#N/A,VLOOKUP(Table7[[#This Row],[Date]],Database!$A:$C,MATCH($C$1,Database!$A$1:$C$1,),))</f>
        <v/>
      </c>
      <c r="D1868">
        <f>IFERROR(Table7[[#This Row],[United States 10y]]-Table7[[#This Row],[United States 3y]],#N/A)</f>
        <v/>
      </c>
    </row>
    <row r="1869">
      <c r="A1869" s="6">
        <f>Database!$A3954</f>
        <v/>
      </c>
      <c r="B1869">
        <f>IF(VLOOKUP(Table7[[#This Row],[Date]],Database!$A:$C,MATCH($B$1,Database!$A$1:$C$1,),)=0,#N/A,VLOOKUP(Table7[[#This Row],[Date]],Database!$A:$C,MATCH($B$1,Database!$A$1:$C$1,),))</f>
        <v/>
      </c>
      <c r="C1869">
        <f>IF(VLOOKUP(Table7[[#This Row],[Date]],Database!$A:$C,MATCH($C$1,Database!$A$1:$C$1,),)=0,#N/A,VLOOKUP(Table7[[#This Row],[Date]],Database!$A:$C,MATCH($C$1,Database!$A$1:$C$1,),))</f>
        <v/>
      </c>
      <c r="D1869">
        <f>IFERROR(Table7[[#This Row],[United States 10y]]-Table7[[#This Row],[United States 3y]],#N/A)</f>
        <v/>
      </c>
    </row>
    <row r="1870">
      <c r="A1870" s="6">
        <f>Database!$A3955</f>
        <v/>
      </c>
      <c r="B1870">
        <f>IF(VLOOKUP(Table7[[#This Row],[Date]],Database!$A:$C,MATCH($B$1,Database!$A$1:$C$1,),)=0,#N/A,VLOOKUP(Table7[[#This Row],[Date]],Database!$A:$C,MATCH($B$1,Database!$A$1:$C$1,),))</f>
        <v/>
      </c>
      <c r="C1870">
        <f>IF(VLOOKUP(Table7[[#This Row],[Date]],Database!$A:$C,MATCH($C$1,Database!$A$1:$C$1,),)=0,#N/A,VLOOKUP(Table7[[#This Row],[Date]],Database!$A:$C,MATCH($C$1,Database!$A$1:$C$1,),))</f>
        <v/>
      </c>
      <c r="D1870">
        <f>IFERROR(Table7[[#This Row],[United States 10y]]-Table7[[#This Row],[United States 3y]],#N/A)</f>
        <v/>
      </c>
    </row>
    <row r="1871">
      <c r="A1871" s="6">
        <f>Database!$A3956</f>
        <v/>
      </c>
      <c r="B1871">
        <f>IF(VLOOKUP(Table7[[#This Row],[Date]],Database!$A:$C,MATCH($B$1,Database!$A$1:$C$1,),)=0,#N/A,VLOOKUP(Table7[[#This Row],[Date]],Database!$A:$C,MATCH($B$1,Database!$A$1:$C$1,),))</f>
        <v/>
      </c>
      <c r="C1871">
        <f>IF(VLOOKUP(Table7[[#This Row],[Date]],Database!$A:$C,MATCH($C$1,Database!$A$1:$C$1,),)=0,#N/A,VLOOKUP(Table7[[#This Row],[Date]],Database!$A:$C,MATCH($C$1,Database!$A$1:$C$1,),))</f>
        <v/>
      </c>
      <c r="D1871">
        <f>IFERROR(Table7[[#This Row],[United States 10y]]-Table7[[#This Row],[United States 3y]],#N/A)</f>
        <v/>
      </c>
    </row>
    <row r="1872">
      <c r="A1872" s="6">
        <f>Database!$A3957</f>
        <v/>
      </c>
      <c r="B1872">
        <f>IF(VLOOKUP(Table7[[#This Row],[Date]],Database!$A:$C,MATCH($B$1,Database!$A$1:$C$1,),)=0,#N/A,VLOOKUP(Table7[[#This Row],[Date]],Database!$A:$C,MATCH($B$1,Database!$A$1:$C$1,),))</f>
        <v/>
      </c>
      <c r="C1872">
        <f>IF(VLOOKUP(Table7[[#This Row],[Date]],Database!$A:$C,MATCH($C$1,Database!$A$1:$C$1,),)=0,#N/A,VLOOKUP(Table7[[#This Row],[Date]],Database!$A:$C,MATCH($C$1,Database!$A$1:$C$1,),))</f>
        <v/>
      </c>
      <c r="D1872">
        <f>IFERROR(Table7[[#This Row],[United States 10y]]-Table7[[#This Row],[United States 3y]],#N/A)</f>
        <v/>
      </c>
    </row>
    <row r="1873">
      <c r="A1873" s="6">
        <f>Database!$A3958</f>
        <v/>
      </c>
      <c r="B1873">
        <f>IF(VLOOKUP(Table7[[#This Row],[Date]],Database!$A:$C,MATCH($B$1,Database!$A$1:$C$1,),)=0,#N/A,VLOOKUP(Table7[[#This Row],[Date]],Database!$A:$C,MATCH($B$1,Database!$A$1:$C$1,),))</f>
        <v/>
      </c>
      <c r="C1873">
        <f>IF(VLOOKUP(Table7[[#This Row],[Date]],Database!$A:$C,MATCH($C$1,Database!$A$1:$C$1,),)=0,#N/A,VLOOKUP(Table7[[#This Row],[Date]],Database!$A:$C,MATCH($C$1,Database!$A$1:$C$1,),))</f>
        <v/>
      </c>
      <c r="D1873">
        <f>IFERROR(Table7[[#This Row],[United States 10y]]-Table7[[#This Row],[United States 3y]],#N/A)</f>
        <v/>
      </c>
    </row>
    <row r="1874">
      <c r="A1874" s="6">
        <f>Database!$A3959</f>
        <v/>
      </c>
      <c r="B1874">
        <f>IF(VLOOKUP(Table7[[#This Row],[Date]],Database!$A:$C,MATCH($B$1,Database!$A$1:$C$1,),)=0,#N/A,VLOOKUP(Table7[[#This Row],[Date]],Database!$A:$C,MATCH($B$1,Database!$A$1:$C$1,),))</f>
        <v/>
      </c>
      <c r="C1874">
        <f>IF(VLOOKUP(Table7[[#This Row],[Date]],Database!$A:$C,MATCH($C$1,Database!$A$1:$C$1,),)=0,#N/A,VLOOKUP(Table7[[#This Row],[Date]],Database!$A:$C,MATCH($C$1,Database!$A$1:$C$1,),))</f>
        <v/>
      </c>
      <c r="D1874">
        <f>IFERROR(Table7[[#This Row],[United States 10y]]-Table7[[#This Row],[United States 3y]],#N/A)</f>
        <v/>
      </c>
    </row>
    <row r="1875">
      <c r="A1875" s="6">
        <f>Database!$A3960</f>
        <v/>
      </c>
      <c r="B1875">
        <f>IF(VLOOKUP(Table7[[#This Row],[Date]],Database!$A:$C,MATCH($B$1,Database!$A$1:$C$1,),)=0,#N/A,VLOOKUP(Table7[[#This Row],[Date]],Database!$A:$C,MATCH($B$1,Database!$A$1:$C$1,),))</f>
        <v/>
      </c>
      <c r="C1875">
        <f>IF(VLOOKUP(Table7[[#This Row],[Date]],Database!$A:$C,MATCH($C$1,Database!$A$1:$C$1,),)=0,#N/A,VLOOKUP(Table7[[#This Row],[Date]],Database!$A:$C,MATCH($C$1,Database!$A$1:$C$1,),))</f>
        <v/>
      </c>
      <c r="D1875">
        <f>IFERROR(Table7[[#This Row],[United States 10y]]-Table7[[#This Row],[United States 3y]],#N/A)</f>
        <v/>
      </c>
    </row>
    <row r="1876">
      <c r="A1876" s="6">
        <f>Database!$A3961</f>
        <v/>
      </c>
      <c r="B1876">
        <f>IF(VLOOKUP(Table7[[#This Row],[Date]],Database!$A:$C,MATCH($B$1,Database!$A$1:$C$1,),)=0,#N/A,VLOOKUP(Table7[[#This Row],[Date]],Database!$A:$C,MATCH($B$1,Database!$A$1:$C$1,),))</f>
        <v/>
      </c>
      <c r="C1876">
        <f>IF(VLOOKUP(Table7[[#This Row],[Date]],Database!$A:$C,MATCH($C$1,Database!$A$1:$C$1,),)=0,#N/A,VLOOKUP(Table7[[#This Row],[Date]],Database!$A:$C,MATCH($C$1,Database!$A$1:$C$1,),))</f>
        <v/>
      </c>
      <c r="D1876">
        <f>IFERROR(Table7[[#This Row],[United States 10y]]-Table7[[#This Row],[United States 3y]],#N/A)</f>
        <v/>
      </c>
    </row>
    <row r="1877">
      <c r="A1877" s="6">
        <f>Database!$A3962</f>
        <v/>
      </c>
      <c r="B1877">
        <f>IF(VLOOKUP(Table7[[#This Row],[Date]],Database!$A:$C,MATCH($B$1,Database!$A$1:$C$1,),)=0,#N/A,VLOOKUP(Table7[[#This Row],[Date]],Database!$A:$C,MATCH($B$1,Database!$A$1:$C$1,),))</f>
        <v/>
      </c>
      <c r="C1877">
        <f>IF(VLOOKUP(Table7[[#This Row],[Date]],Database!$A:$C,MATCH($C$1,Database!$A$1:$C$1,),)=0,#N/A,VLOOKUP(Table7[[#This Row],[Date]],Database!$A:$C,MATCH($C$1,Database!$A$1:$C$1,),))</f>
        <v/>
      </c>
      <c r="D1877">
        <f>IFERROR(Table7[[#This Row],[United States 10y]]-Table7[[#This Row],[United States 3y]],#N/A)</f>
        <v/>
      </c>
    </row>
    <row r="1878">
      <c r="A1878" s="6">
        <f>Database!$A3963</f>
        <v/>
      </c>
      <c r="B1878">
        <f>IF(VLOOKUP(Table7[[#This Row],[Date]],Database!$A:$C,MATCH($B$1,Database!$A$1:$C$1,),)=0,#N/A,VLOOKUP(Table7[[#This Row],[Date]],Database!$A:$C,MATCH($B$1,Database!$A$1:$C$1,),))</f>
        <v/>
      </c>
      <c r="C1878">
        <f>IF(VLOOKUP(Table7[[#This Row],[Date]],Database!$A:$C,MATCH($C$1,Database!$A$1:$C$1,),)=0,#N/A,VLOOKUP(Table7[[#This Row],[Date]],Database!$A:$C,MATCH($C$1,Database!$A$1:$C$1,),))</f>
        <v/>
      </c>
      <c r="D1878">
        <f>IFERROR(Table7[[#This Row],[United States 10y]]-Table7[[#This Row],[United States 3y]],#N/A)</f>
        <v/>
      </c>
    </row>
    <row r="1879">
      <c r="A1879" s="6">
        <f>Database!$A3964</f>
        <v/>
      </c>
      <c r="B1879">
        <f>IF(VLOOKUP(Table7[[#This Row],[Date]],Database!$A:$C,MATCH($B$1,Database!$A$1:$C$1,),)=0,#N/A,VLOOKUP(Table7[[#This Row],[Date]],Database!$A:$C,MATCH($B$1,Database!$A$1:$C$1,),))</f>
        <v/>
      </c>
      <c r="C1879">
        <f>IF(VLOOKUP(Table7[[#This Row],[Date]],Database!$A:$C,MATCH($C$1,Database!$A$1:$C$1,),)=0,#N/A,VLOOKUP(Table7[[#This Row],[Date]],Database!$A:$C,MATCH($C$1,Database!$A$1:$C$1,),))</f>
        <v/>
      </c>
      <c r="D1879">
        <f>IFERROR(Table7[[#This Row],[United States 10y]]-Table7[[#This Row],[United States 3y]],#N/A)</f>
        <v/>
      </c>
    </row>
    <row r="1880">
      <c r="A1880" s="6">
        <f>Database!$A3965</f>
        <v/>
      </c>
      <c r="B1880">
        <f>IF(VLOOKUP(Table7[[#This Row],[Date]],Database!$A:$C,MATCH($B$1,Database!$A$1:$C$1,),)=0,#N/A,VLOOKUP(Table7[[#This Row],[Date]],Database!$A:$C,MATCH($B$1,Database!$A$1:$C$1,),))</f>
        <v/>
      </c>
      <c r="C1880">
        <f>IF(VLOOKUP(Table7[[#This Row],[Date]],Database!$A:$C,MATCH($C$1,Database!$A$1:$C$1,),)=0,#N/A,VLOOKUP(Table7[[#This Row],[Date]],Database!$A:$C,MATCH($C$1,Database!$A$1:$C$1,),))</f>
        <v/>
      </c>
      <c r="D1880">
        <f>IFERROR(Table7[[#This Row],[United States 10y]]-Table7[[#This Row],[United States 3y]],#N/A)</f>
        <v/>
      </c>
    </row>
    <row r="1881">
      <c r="A1881" s="6">
        <f>Database!$A3966</f>
        <v/>
      </c>
      <c r="B1881">
        <f>IF(VLOOKUP(Table7[[#This Row],[Date]],Database!$A:$C,MATCH($B$1,Database!$A$1:$C$1,),)=0,#N/A,VLOOKUP(Table7[[#This Row],[Date]],Database!$A:$C,MATCH($B$1,Database!$A$1:$C$1,),))</f>
        <v/>
      </c>
      <c r="C1881">
        <f>IF(VLOOKUP(Table7[[#This Row],[Date]],Database!$A:$C,MATCH($C$1,Database!$A$1:$C$1,),)=0,#N/A,VLOOKUP(Table7[[#This Row],[Date]],Database!$A:$C,MATCH($C$1,Database!$A$1:$C$1,),))</f>
        <v/>
      </c>
      <c r="D1881">
        <f>IFERROR(Table7[[#This Row],[United States 10y]]-Table7[[#This Row],[United States 3y]],#N/A)</f>
        <v/>
      </c>
    </row>
    <row r="1882">
      <c r="A1882" s="6">
        <f>Database!$A3967</f>
        <v/>
      </c>
      <c r="B1882">
        <f>IF(VLOOKUP(Table7[[#This Row],[Date]],Database!$A:$C,MATCH($B$1,Database!$A$1:$C$1,),)=0,#N/A,VLOOKUP(Table7[[#This Row],[Date]],Database!$A:$C,MATCH($B$1,Database!$A$1:$C$1,),))</f>
        <v/>
      </c>
      <c r="C1882">
        <f>IF(VLOOKUP(Table7[[#This Row],[Date]],Database!$A:$C,MATCH($C$1,Database!$A$1:$C$1,),)=0,#N/A,VLOOKUP(Table7[[#This Row],[Date]],Database!$A:$C,MATCH($C$1,Database!$A$1:$C$1,),))</f>
        <v/>
      </c>
      <c r="D1882">
        <f>IFERROR(Table7[[#This Row],[United States 10y]]-Table7[[#This Row],[United States 3y]],#N/A)</f>
        <v/>
      </c>
    </row>
    <row r="1883">
      <c r="A1883" s="6">
        <f>Database!$A3968</f>
        <v/>
      </c>
      <c r="B1883">
        <f>IF(VLOOKUP(Table7[[#This Row],[Date]],Database!$A:$C,MATCH($B$1,Database!$A$1:$C$1,),)=0,#N/A,VLOOKUP(Table7[[#This Row],[Date]],Database!$A:$C,MATCH($B$1,Database!$A$1:$C$1,),))</f>
        <v/>
      </c>
      <c r="C1883">
        <f>IF(VLOOKUP(Table7[[#This Row],[Date]],Database!$A:$C,MATCH($C$1,Database!$A$1:$C$1,),)=0,#N/A,VLOOKUP(Table7[[#This Row],[Date]],Database!$A:$C,MATCH($C$1,Database!$A$1:$C$1,),))</f>
        <v/>
      </c>
      <c r="D1883">
        <f>IFERROR(Table7[[#This Row],[United States 10y]]-Table7[[#This Row],[United States 3y]],#N/A)</f>
        <v/>
      </c>
    </row>
    <row r="1884">
      <c r="A1884" s="6">
        <f>Database!$A3969</f>
        <v/>
      </c>
      <c r="B1884">
        <f>IF(VLOOKUP(Table7[[#This Row],[Date]],Database!$A:$C,MATCH($B$1,Database!$A$1:$C$1,),)=0,#N/A,VLOOKUP(Table7[[#This Row],[Date]],Database!$A:$C,MATCH($B$1,Database!$A$1:$C$1,),))</f>
        <v/>
      </c>
      <c r="C1884">
        <f>IF(VLOOKUP(Table7[[#This Row],[Date]],Database!$A:$C,MATCH($C$1,Database!$A$1:$C$1,),)=0,#N/A,VLOOKUP(Table7[[#This Row],[Date]],Database!$A:$C,MATCH($C$1,Database!$A$1:$C$1,),))</f>
        <v/>
      </c>
      <c r="D1884">
        <f>IFERROR(Table7[[#This Row],[United States 10y]]-Table7[[#This Row],[United States 3y]],#N/A)</f>
        <v/>
      </c>
    </row>
    <row r="1885">
      <c r="A1885" s="6">
        <f>Database!$A3970</f>
        <v/>
      </c>
      <c r="B1885">
        <f>IF(VLOOKUP(Table7[[#This Row],[Date]],Database!$A:$C,MATCH($B$1,Database!$A$1:$C$1,),)=0,#N/A,VLOOKUP(Table7[[#This Row],[Date]],Database!$A:$C,MATCH($B$1,Database!$A$1:$C$1,),))</f>
        <v/>
      </c>
      <c r="C1885">
        <f>IF(VLOOKUP(Table7[[#This Row],[Date]],Database!$A:$C,MATCH($C$1,Database!$A$1:$C$1,),)=0,#N/A,VLOOKUP(Table7[[#This Row],[Date]],Database!$A:$C,MATCH($C$1,Database!$A$1:$C$1,),))</f>
        <v/>
      </c>
      <c r="D1885">
        <f>IFERROR(Table7[[#This Row],[United States 10y]]-Table7[[#This Row],[United States 3y]],#N/A)</f>
        <v/>
      </c>
    </row>
    <row r="1886">
      <c r="A1886" s="6">
        <f>Database!$A3971</f>
        <v/>
      </c>
      <c r="B1886">
        <f>IF(VLOOKUP(Table7[[#This Row],[Date]],Database!$A:$C,MATCH($B$1,Database!$A$1:$C$1,),)=0,#N/A,VLOOKUP(Table7[[#This Row],[Date]],Database!$A:$C,MATCH($B$1,Database!$A$1:$C$1,),))</f>
        <v/>
      </c>
      <c r="C1886">
        <f>IF(VLOOKUP(Table7[[#This Row],[Date]],Database!$A:$C,MATCH($C$1,Database!$A$1:$C$1,),)=0,#N/A,VLOOKUP(Table7[[#This Row],[Date]],Database!$A:$C,MATCH($C$1,Database!$A$1:$C$1,),))</f>
        <v/>
      </c>
      <c r="D1886">
        <f>IFERROR(Table7[[#This Row],[United States 10y]]-Table7[[#This Row],[United States 3y]],#N/A)</f>
        <v/>
      </c>
    </row>
    <row r="1887">
      <c r="A1887" s="6">
        <f>Database!$A3972</f>
        <v/>
      </c>
      <c r="B1887">
        <f>IF(VLOOKUP(Table7[[#This Row],[Date]],Database!$A:$C,MATCH($B$1,Database!$A$1:$C$1,),)=0,#N/A,VLOOKUP(Table7[[#This Row],[Date]],Database!$A:$C,MATCH($B$1,Database!$A$1:$C$1,),))</f>
        <v/>
      </c>
      <c r="C1887">
        <f>IF(VLOOKUP(Table7[[#This Row],[Date]],Database!$A:$C,MATCH($C$1,Database!$A$1:$C$1,),)=0,#N/A,VLOOKUP(Table7[[#This Row],[Date]],Database!$A:$C,MATCH($C$1,Database!$A$1:$C$1,),))</f>
        <v/>
      </c>
      <c r="D1887">
        <f>IFERROR(Table7[[#This Row],[United States 10y]]-Table7[[#This Row],[United States 3y]],#N/A)</f>
        <v/>
      </c>
    </row>
    <row r="1888">
      <c r="A1888" s="6">
        <f>Database!$A3973</f>
        <v/>
      </c>
      <c r="B1888">
        <f>IF(VLOOKUP(Table7[[#This Row],[Date]],Database!$A:$C,MATCH($B$1,Database!$A$1:$C$1,),)=0,#N/A,VLOOKUP(Table7[[#This Row],[Date]],Database!$A:$C,MATCH($B$1,Database!$A$1:$C$1,),))</f>
        <v/>
      </c>
      <c r="C1888">
        <f>IF(VLOOKUP(Table7[[#This Row],[Date]],Database!$A:$C,MATCH($C$1,Database!$A$1:$C$1,),)=0,#N/A,VLOOKUP(Table7[[#This Row],[Date]],Database!$A:$C,MATCH($C$1,Database!$A$1:$C$1,),))</f>
        <v/>
      </c>
      <c r="D1888">
        <f>IFERROR(Table7[[#This Row],[United States 10y]]-Table7[[#This Row],[United States 3y]],#N/A)</f>
        <v/>
      </c>
    </row>
    <row r="1889">
      <c r="A1889" s="6">
        <f>Database!$A3974</f>
        <v/>
      </c>
      <c r="B1889">
        <f>IF(VLOOKUP(Table7[[#This Row],[Date]],Database!$A:$C,MATCH($B$1,Database!$A$1:$C$1,),)=0,#N/A,VLOOKUP(Table7[[#This Row],[Date]],Database!$A:$C,MATCH($B$1,Database!$A$1:$C$1,),))</f>
        <v/>
      </c>
      <c r="C1889">
        <f>IF(VLOOKUP(Table7[[#This Row],[Date]],Database!$A:$C,MATCH($C$1,Database!$A$1:$C$1,),)=0,#N/A,VLOOKUP(Table7[[#This Row],[Date]],Database!$A:$C,MATCH($C$1,Database!$A$1:$C$1,),))</f>
        <v/>
      </c>
      <c r="D1889">
        <f>IFERROR(Table7[[#This Row],[United States 10y]]-Table7[[#This Row],[United States 3y]],#N/A)</f>
        <v/>
      </c>
    </row>
    <row r="1890">
      <c r="A1890" s="6">
        <f>Database!$A3975</f>
        <v/>
      </c>
      <c r="B1890">
        <f>IF(VLOOKUP(Table7[[#This Row],[Date]],Database!$A:$C,MATCH($B$1,Database!$A$1:$C$1,),)=0,#N/A,VLOOKUP(Table7[[#This Row],[Date]],Database!$A:$C,MATCH($B$1,Database!$A$1:$C$1,),))</f>
        <v/>
      </c>
      <c r="C1890">
        <f>IF(VLOOKUP(Table7[[#This Row],[Date]],Database!$A:$C,MATCH($C$1,Database!$A$1:$C$1,),)=0,#N/A,VLOOKUP(Table7[[#This Row],[Date]],Database!$A:$C,MATCH($C$1,Database!$A$1:$C$1,),))</f>
        <v/>
      </c>
      <c r="D1890">
        <f>IFERROR(Table7[[#This Row],[United States 10y]]-Table7[[#This Row],[United States 3y]],#N/A)</f>
        <v/>
      </c>
    </row>
    <row r="1891">
      <c r="A1891" s="6">
        <f>Database!$A3976</f>
        <v/>
      </c>
      <c r="B1891">
        <f>IF(VLOOKUP(Table7[[#This Row],[Date]],Database!$A:$C,MATCH($B$1,Database!$A$1:$C$1,),)=0,#N/A,VLOOKUP(Table7[[#This Row],[Date]],Database!$A:$C,MATCH($B$1,Database!$A$1:$C$1,),))</f>
        <v/>
      </c>
      <c r="C1891">
        <f>IF(VLOOKUP(Table7[[#This Row],[Date]],Database!$A:$C,MATCH($C$1,Database!$A$1:$C$1,),)=0,#N/A,VLOOKUP(Table7[[#This Row],[Date]],Database!$A:$C,MATCH($C$1,Database!$A$1:$C$1,),))</f>
        <v/>
      </c>
      <c r="D1891">
        <f>IFERROR(Table7[[#This Row],[United States 10y]]-Table7[[#This Row],[United States 3y]],#N/A)</f>
        <v/>
      </c>
    </row>
    <row r="1892">
      <c r="A1892" s="6">
        <f>Database!$A3977</f>
        <v/>
      </c>
      <c r="B1892">
        <f>IF(VLOOKUP(Table7[[#This Row],[Date]],Database!$A:$C,MATCH($B$1,Database!$A$1:$C$1,),)=0,#N/A,VLOOKUP(Table7[[#This Row],[Date]],Database!$A:$C,MATCH($B$1,Database!$A$1:$C$1,),))</f>
        <v/>
      </c>
      <c r="C1892">
        <f>IF(VLOOKUP(Table7[[#This Row],[Date]],Database!$A:$C,MATCH($C$1,Database!$A$1:$C$1,),)=0,#N/A,VLOOKUP(Table7[[#This Row],[Date]],Database!$A:$C,MATCH($C$1,Database!$A$1:$C$1,),))</f>
        <v/>
      </c>
      <c r="D1892">
        <f>IFERROR(Table7[[#This Row],[United States 10y]]-Table7[[#This Row],[United States 3y]],#N/A)</f>
        <v/>
      </c>
    </row>
    <row r="1893">
      <c r="A1893" s="6">
        <f>Database!$A3978</f>
        <v/>
      </c>
      <c r="B1893">
        <f>IF(VLOOKUP(Table7[[#This Row],[Date]],Database!$A:$C,MATCH($B$1,Database!$A$1:$C$1,),)=0,#N/A,VLOOKUP(Table7[[#This Row],[Date]],Database!$A:$C,MATCH($B$1,Database!$A$1:$C$1,),))</f>
        <v/>
      </c>
      <c r="C1893">
        <f>IF(VLOOKUP(Table7[[#This Row],[Date]],Database!$A:$C,MATCH($C$1,Database!$A$1:$C$1,),)=0,#N/A,VLOOKUP(Table7[[#This Row],[Date]],Database!$A:$C,MATCH($C$1,Database!$A$1:$C$1,),))</f>
        <v/>
      </c>
      <c r="D1893">
        <f>IFERROR(Table7[[#This Row],[United States 10y]]-Table7[[#This Row],[United States 3y]],#N/A)</f>
        <v/>
      </c>
    </row>
    <row r="1894">
      <c r="A1894" s="6">
        <f>Database!$A3979</f>
        <v/>
      </c>
      <c r="B1894">
        <f>IF(VLOOKUP(Table7[[#This Row],[Date]],Database!$A:$C,MATCH($B$1,Database!$A$1:$C$1,),)=0,#N/A,VLOOKUP(Table7[[#This Row],[Date]],Database!$A:$C,MATCH($B$1,Database!$A$1:$C$1,),))</f>
        <v/>
      </c>
      <c r="C1894">
        <f>IF(VLOOKUP(Table7[[#This Row],[Date]],Database!$A:$C,MATCH($C$1,Database!$A$1:$C$1,),)=0,#N/A,VLOOKUP(Table7[[#This Row],[Date]],Database!$A:$C,MATCH($C$1,Database!$A$1:$C$1,),))</f>
        <v/>
      </c>
      <c r="D1894">
        <f>IFERROR(Table7[[#This Row],[United States 10y]]-Table7[[#This Row],[United States 3y]],#N/A)</f>
        <v/>
      </c>
    </row>
    <row r="1895">
      <c r="A1895" s="6">
        <f>Database!$A3980</f>
        <v/>
      </c>
      <c r="B1895">
        <f>IF(VLOOKUP(Table7[[#This Row],[Date]],Database!$A:$C,MATCH($B$1,Database!$A$1:$C$1,),)=0,#N/A,VLOOKUP(Table7[[#This Row],[Date]],Database!$A:$C,MATCH($B$1,Database!$A$1:$C$1,),))</f>
        <v/>
      </c>
      <c r="C1895">
        <f>IF(VLOOKUP(Table7[[#This Row],[Date]],Database!$A:$C,MATCH($C$1,Database!$A$1:$C$1,),)=0,#N/A,VLOOKUP(Table7[[#This Row],[Date]],Database!$A:$C,MATCH($C$1,Database!$A$1:$C$1,),))</f>
        <v/>
      </c>
      <c r="D1895">
        <f>IFERROR(Table7[[#This Row],[United States 10y]]-Table7[[#This Row],[United States 3y]],#N/A)</f>
        <v/>
      </c>
    </row>
    <row r="1896">
      <c r="A1896" s="6">
        <f>Database!$A3981</f>
        <v/>
      </c>
      <c r="B1896">
        <f>IF(VLOOKUP(Table7[[#This Row],[Date]],Database!$A:$C,MATCH($B$1,Database!$A$1:$C$1,),)=0,#N/A,VLOOKUP(Table7[[#This Row],[Date]],Database!$A:$C,MATCH($B$1,Database!$A$1:$C$1,),))</f>
        <v/>
      </c>
      <c r="C1896">
        <f>IF(VLOOKUP(Table7[[#This Row],[Date]],Database!$A:$C,MATCH($C$1,Database!$A$1:$C$1,),)=0,#N/A,VLOOKUP(Table7[[#This Row],[Date]],Database!$A:$C,MATCH($C$1,Database!$A$1:$C$1,),))</f>
        <v/>
      </c>
      <c r="D1896">
        <f>IFERROR(Table7[[#This Row],[United States 10y]]-Table7[[#This Row],[United States 3y]],#N/A)</f>
        <v/>
      </c>
    </row>
    <row r="1897">
      <c r="A1897" s="6">
        <f>Database!$A3982</f>
        <v/>
      </c>
      <c r="B1897">
        <f>IF(VLOOKUP(Table7[[#This Row],[Date]],Database!$A:$C,MATCH($B$1,Database!$A$1:$C$1,),)=0,#N/A,VLOOKUP(Table7[[#This Row],[Date]],Database!$A:$C,MATCH($B$1,Database!$A$1:$C$1,),))</f>
        <v/>
      </c>
      <c r="C1897">
        <f>IF(VLOOKUP(Table7[[#This Row],[Date]],Database!$A:$C,MATCH($C$1,Database!$A$1:$C$1,),)=0,#N/A,VLOOKUP(Table7[[#This Row],[Date]],Database!$A:$C,MATCH($C$1,Database!$A$1:$C$1,),))</f>
        <v/>
      </c>
      <c r="D1897">
        <f>IFERROR(Table7[[#This Row],[United States 10y]]-Table7[[#This Row],[United States 3y]],#N/A)</f>
        <v/>
      </c>
    </row>
    <row r="1898">
      <c r="A1898" s="6">
        <f>Database!$A3983</f>
        <v/>
      </c>
      <c r="B1898">
        <f>IF(VLOOKUP(Table7[[#This Row],[Date]],Database!$A:$C,MATCH($B$1,Database!$A$1:$C$1,),)=0,#N/A,VLOOKUP(Table7[[#This Row],[Date]],Database!$A:$C,MATCH($B$1,Database!$A$1:$C$1,),))</f>
        <v/>
      </c>
      <c r="C1898">
        <f>IF(VLOOKUP(Table7[[#This Row],[Date]],Database!$A:$C,MATCH($C$1,Database!$A$1:$C$1,),)=0,#N/A,VLOOKUP(Table7[[#This Row],[Date]],Database!$A:$C,MATCH($C$1,Database!$A$1:$C$1,),))</f>
        <v/>
      </c>
      <c r="D1898">
        <f>IFERROR(Table7[[#This Row],[United States 10y]]-Table7[[#This Row],[United States 3y]],#N/A)</f>
        <v/>
      </c>
    </row>
    <row r="1899">
      <c r="A1899" s="6">
        <f>Database!$A3984</f>
        <v/>
      </c>
      <c r="B1899">
        <f>IF(VLOOKUP(Table7[[#This Row],[Date]],Database!$A:$C,MATCH($B$1,Database!$A$1:$C$1,),)=0,#N/A,VLOOKUP(Table7[[#This Row],[Date]],Database!$A:$C,MATCH($B$1,Database!$A$1:$C$1,),))</f>
        <v/>
      </c>
      <c r="C1899">
        <f>IF(VLOOKUP(Table7[[#This Row],[Date]],Database!$A:$C,MATCH($C$1,Database!$A$1:$C$1,),)=0,#N/A,VLOOKUP(Table7[[#This Row],[Date]],Database!$A:$C,MATCH($C$1,Database!$A$1:$C$1,),))</f>
        <v/>
      </c>
      <c r="D1899">
        <f>IFERROR(Table7[[#This Row],[United States 10y]]-Table7[[#This Row],[United States 3y]],#N/A)</f>
        <v/>
      </c>
    </row>
    <row r="1900">
      <c r="A1900" s="6">
        <f>Database!$A3985</f>
        <v/>
      </c>
      <c r="B1900">
        <f>IF(VLOOKUP(Table7[[#This Row],[Date]],Database!$A:$C,MATCH($B$1,Database!$A$1:$C$1,),)=0,#N/A,VLOOKUP(Table7[[#This Row],[Date]],Database!$A:$C,MATCH($B$1,Database!$A$1:$C$1,),))</f>
        <v/>
      </c>
      <c r="C1900">
        <f>IF(VLOOKUP(Table7[[#This Row],[Date]],Database!$A:$C,MATCH($C$1,Database!$A$1:$C$1,),)=0,#N/A,VLOOKUP(Table7[[#This Row],[Date]],Database!$A:$C,MATCH($C$1,Database!$A$1:$C$1,),))</f>
        <v/>
      </c>
      <c r="D1900">
        <f>IFERROR(Table7[[#This Row],[United States 10y]]-Table7[[#This Row],[United States 3y]],#N/A)</f>
        <v/>
      </c>
    </row>
    <row r="1901">
      <c r="A1901" s="6">
        <f>Database!$A3986</f>
        <v/>
      </c>
      <c r="B1901">
        <f>IF(VLOOKUP(Table7[[#This Row],[Date]],Database!$A:$C,MATCH($B$1,Database!$A$1:$C$1,),)=0,#N/A,VLOOKUP(Table7[[#This Row],[Date]],Database!$A:$C,MATCH($B$1,Database!$A$1:$C$1,),))</f>
        <v/>
      </c>
      <c r="C1901">
        <f>IF(VLOOKUP(Table7[[#This Row],[Date]],Database!$A:$C,MATCH($C$1,Database!$A$1:$C$1,),)=0,#N/A,VLOOKUP(Table7[[#This Row],[Date]],Database!$A:$C,MATCH($C$1,Database!$A$1:$C$1,),))</f>
        <v/>
      </c>
      <c r="D1901">
        <f>IFERROR(Table7[[#This Row],[United States 10y]]-Table7[[#This Row],[United States 3y]],#N/A)</f>
        <v/>
      </c>
    </row>
    <row r="1902">
      <c r="A1902" s="6">
        <f>Database!$A3987</f>
        <v/>
      </c>
      <c r="B1902">
        <f>IF(VLOOKUP(Table7[[#This Row],[Date]],Database!$A:$C,MATCH($B$1,Database!$A$1:$C$1,),)=0,#N/A,VLOOKUP(Table7[[#This Row],[Date]],Database!$A:$C,MATCH($B$1,Database!$A$1:$C$1,),))</f>
        <v/>
      </c>
      <c r="C1902">
        <f>IF(VLOOKUP(Table7[[#This Row],[Date]],Database!$A:$C,MATCH($C$1,Database!$A$1:$C$1,),)=0,#N/A,VLOOKUP(Table7[[#This Row],[Date]],Database!$A:$C,MATCH($C$1,Database!$A$1:$C$1,),))</f>
        <v/>
      </c>
      <c r="D1902">
        <f>IFERROR(Table7[[#This Row],[United States 10y]]-Table7[[#This Row],[United States 3y]],#N/A)</f>
        <v/>
      </c>
    </row>
    <row r="1903">
      <c r="A1903" s="6">
        <f>Database!$A3988</f>
        <v/>
      </c>
      <c r="B1903">
        <f>IF(VLOOKUP(Table7[[#This Row],[Date]],Database!$A:$C,MATCH($B$1,Database!$A$1:$C$1,),)=0,#N/A,VLOOKUP(Table7[[#This Row],[Date]],Database!$A:$C,MATCH($B$1,Database!$A$1:$C$1,),))</f>
        <v/>
      </c>
      <c r="C1903">
        <f>IF(VLOOKUP(Table7[[#This Row],[Date]],Database!$A:$C,MATCH($C$1,Database!$A$1:$C$1,),)=0,#N/A,VLOOKUP(Table7[[#This Row],[Date]],Database!$A:$C,MATCH($C$1,Database!$A$1:$C$1,),))</f>
        <v/>
      </c>
      <c r="D1903">
        <f>IFERROR(Table7[[#This Row],[United States 10y]]-Table7[[#This Row],[United States 3y]],#N/A)</f>
        <v/>
      </c>
    </row>
    <row r="1904">
      <c r="A1904" s="6">
        <f>Database!$A3989</f>
        <v/>
      </c>
      <c r="B1904">
        <f>IF(VLOOKUP(Table7[[#This Row],[Date]],Database!$A:$C,MATCH($B$1,Database!$A$1:$C$1,),)=0,#N/A,VLOOKUP(Table7[[#This Row],[Date]],Database!$A:$C,MATCH($B$1,Database!$A$1:$C$1,),))</f>
        <v/>
      </c>
      <c r="C1904">
        <f>IF(VLOOKUP(Table7[[#This Row],[Date]],Database!$A:$C,MATCH($C$1,Database!$A$1:$C$1,),)=0,#N/A,VLOOKUP(Table7[[#This Row],[Date]],Database!$A:$C,MATCH($C$1,Database!$A$1:$C$1,),))</f>
        <v/>
      </c>
      <c r="D1904">
        <f>IFERROR(Table7[[#This Row],[United States 10y]]-Table7[[#This Row],[United States 3y]],#N/A)</f>
        <v/>
      </c>
    </row>
    <row r="1905">
      <c r="A1905" s="6">
        <f>Database!$A3990</f>
        <v/>
      </c>
      <c r="B1905">
        <f>IF(VLOOKUP(Table7[[#This Row],[Date]],Database!$A:$C,MATCH($B$1,Database!$A$1:$C$1,),)=0,#N/A,VLOOKUP(Table7[[#This Row],[Date]],Database!$A:$C,MATCH($B$1,Database!$A$1:$C$1,),))</f>
        <v/>
      </c>
      <c r="C1905">
        <f>IF(VLOOKUP(Table7[[#This Row],[Date]],Database!$A:$C,MATCH($C$1,Database!$A$1:$C$1,),)=0,#N/A,VLOOKUP(Table7[[#This Row],[Date]],Database!$A:$C,MATCH($C$1,Database!$A$1:$C$1,),))</f>
        <v/>
      </c>
      <c r="D1905">
        <f>IFERROR(Table7[[#This Row],[United States 10y]]-Table7[[#This Row],[United States 3y]],#N/A)</f>
        <v/>
      </c>
    </row>
    <row r="1906">
      <c r="A1906" s="6">
        <f>Database!$A3991</f>
        <v/>
      </c>
      <c r="B1906">
        <f>IF(VLOOKUP(Table7[[#This Row],[Date]],Database!$A:$C,MATCH($B$1,Database!$A$1:$C$1,),)=0,#N/A,VLOOKUP(Table7[[#This Row],[Date]],Database!$A:$C,MATCH($B$1,Database!$A$1:$C$1,),))</f>
        <v/>
      </c>
      <c r="C1906">
        <f>IF(VLOOKUP(Table7[[#This Row],[Date]],Database!$A:$C,MATCH($C$1,Database!$A$1:$C$1,),)=0,#N/A,VLOOKUP(Table7[[#This Row],[Date]],Database!$A:$C,MATCH($C$1,Database!$A$1:$C$1,),))</f>
        <v/>
      </c>
      <c r="D1906">
        <f>IFERROR(Table7[[#This Row],[United States 10y]]-Table7[[#This Row],[United States 3y]],#N/A)</f>
        <v/>
      </c>
    </row>
    <row r="1907">
      <c r="A1907" s="6">
        <f>Database!$A3992</f>
        <v/>
      </c>
      <c r="B1907">
        <f>IF(VLOOKUP(Table7[[#This Row],[Date]],Database!$A:$C,MATCH($B$1,Database!$A$1:$C$1,),)=0,#N/A,VLOOKUP(Table7[[#This Row],[Date]],Database!$A:$C,MATCH($B$1,Database!$A$1:$C$1,),))</f>
        <v/>
      </c>
      <c r="C1907">
        <f>IF(VLOOKUP(Table7[[#This Row],[Date]],Database!$A:$C,MATCH($C$1,Database!$A$1:$C$1,),)=0,#N/A,VLOOKUP(Table7[[#This Row],[Date]],Database!$A:$C,MATCH($C$1,Database!$A$1:$C$1,),))</f>
        <v/>
      </c>
      <c r="D1907">
        <f>IFERROR(Table7[[#This Row],[United States 10y]]-Table7[[#This Row],[United States 3y]],#N/A)</f>
        <v/>
      </c>
    </row>
    <row r="1908">
      <c r="A1908" s="6">
        <f>Database!$A3993</f>
        <v/>
      </c>
      <c r="B1908">
        <f>IF(VLOOKUP(Table7[[#This Row],[Date]],Database!$A:$C,MATCH($B$1,Database!$A$1:$C$1,),)=0,#N/A,VLOOKUP(Table7[[#This Row],[Date]],Database!$A:$C,MATCH($B$1,Database!$A$1:$C$1,),))</f>
        <v/>
      </c>
      <c r="C1908">
        <f>IF(VLOOKUP(Table7[[#This Row],[Date]],Database!$A:$C,MATCH($C$1,Database!$A$1:$C$1,),)=0,#N/A,VLOOKUP(Table7[[#This Row],[Date]],Database!$A:$C,MATCH($C$1,Database!$A$1:$C$1,),))</f>
        <v/>
      </c>
      <c r="D1908">
        <f>IFERROR(Table7[[#This Row],[United States 10y]]-Table7[[#This Row],[United States 3y]],#N/A)</f>
        <v/>
      </c>
    </row>
    <row r="1909">
      <c r="A1909" s="6">
        <f>Database!$A3994</f>
        <v/>
      </c>
      <c r="B1909">
        <f>IF(VLOOKUP(Table7[[#This Row],[Date]],Database!$A:$C,MATCH($B$1,Database!$A$1:$C$1,),)=0,#N/A,VLOOKUP(Table7[[#This Row],[Date]],Database!$A:$C,MATCH($B$1,Database!$A$1:$C$1,),))</f>
        <v/>
      </c>
      <c r="C1909">
        <f>IF(VLOOKUP(Table7[[#This Row],[Date]],Database!$A:$C,MATCH($C$1,Database!$A$1:$C$1,),)=0,#N/A,VLOOKUP(Table7[[#This Row],[Date]],Database!$A:$C,MATCH($C$1,Database!$A$1:$C$1,),))</f>
        <v/>
      </c>
      <c r="D1909">
        <f>IFERROR(Table7[[#This Row],[United States 10y]]-Table7[[#This Row],[United States 3y]],#N/A)</f>
        <v/>
      </c>
    </row>
    <row r="1910">
      <c r="A1910" s="6">
        <f>Database!$A3995</f>
        <v/>
      </c>
      <c r="B1910">
        <f>IF(VLOOKUP(Table7[[#This Row],[Date]],Database!$A:$C,MATCH($B$1,Database!$A$1:$C$1,),)=0,#N/A,VLOOKUP(Table7[[#This Row],[Date]],Database!$A:$C,MATCH($B$1,Database!$A$1:$C$1,),))</f>
        <v/>
      </c>
      <c r="C1910">
        <f>IF(VLOOKUP(Table7[[#This Row],[Date]],Database!$A:$C,MATCH($C$1,Database!$A$1:$C$1,),)=0,#N/A,VLOOKUP(Table7[[#This Row],[Date]],Database!$A:$C,MATCH($C$1,Database!$A$1:$C$1,),))</f>
        <v/>
      </c>
      <c r="D1910">
        <f>IFERROR(Table7[[#This Row],[United States 10y]]-Table7[[#This Row],[United States 3y]],#N/A)</f>
        <v/>
      </c>
    </row>
    <row r="1911">
      <c r="A1911" s="6">
        <f>Database!$A3996</f>
        <v/>
      </c>
      <c r="B1911">
        <f>IF(VLOOKUP(Table7[[#This Row],[Date]],Database!$A:$C,MATCH($B$1,Database!$A$1:$C$1,),)=0,#N/A,VLOOKUP(Table7[[#This Row],[Date]],Database!$A:$C,MATCH($B$1,Database!$A$1:$C$1,),))</f>
        <v/>
      </c>
      <c r="C1911">
        <f>IF(VLOOKUP(Table7[[#This Row],[Date]],Database!$A:$C,MATCH($C$1,Database!$A$1:$C$1,),)=0,#N/A,VLOOKUP(Table7[[#This Row],[Date]],Database!$A:$C,MATCH($C$1,Database!$A$1:$C$1,),))</f>
        <v/>
      </c>
      <c r="D1911">
        <f>IFERROR(Table7[[#This Row],[United States 10y]]-Table7[[#This Row],[United States 3y]],#N/A)</f>
        <v/>
      </c>
    </row>
    <row r="1912">
      <c r="A1912" s="6">
        <f>Database!$A3997</f>
        <v/>
      </c>
      <c r="B1912">
        <f>IF(VLOOKUP(Table7[[#This Row],[Date]],Database!$A:$C,MATCH($B$1,Database!$A$1:$C$1,),)=0,#N/A,VLOOKUP(Table7[[#This Row],[Date]],Database!$A:$C,MATCH($B$1,Database!$A$1:$C$1,),))</f>
        <v/>
      </c>
      <c r="C1912">
        <f>IF(VLOOKUP(Table7[[#This Row],[Date]],Database!$A:$C,MATCH($C$1,Database!$A$1:$C$1,),)=0,#N/A,VLOOKUP(Table7[[#This Row],[Date]],Database!$A:$C,MATCH($C$1,Database!$A$1:$C$1,),))</f>
        <v/>
      </c>
      <c r="D1912">
        <f>IFERROR(Table7[[#This Row],[United States 10y]]-Table7[[#This Row],[United States 3y]],#N/A)</f>
        <v/>
      </c>
    </row>
    <row r="1913">
      <c r="A1913" s="6">
        <f>Database!$A3998</f>
        <v/>
      </c>
      <c r="B1913">
        <f>IF(VLOOKUP(Table7[[#This Row],[Date]],Database!$A:$C,MATCH($B$1,Database!$A$1:$C$1,),)=0,#N/A,VLOOKUP(Table7[[#This Row],[Date]],Database!$A:$C,MATCH($B$1,Database!$A$1:$C$1,),))</f>
        <v/>
      </c>
      <c r="C1913">
        <f>IF(VLOOKUP(Table7[[#This Row],[Date]],Database!$A:$C,MATCH($C$1,Database!$A$1:$C$1,),)=0,#N/A,VLOOKUP(Table7[[#This Row],[Date]],Database!$A:$C,MATCH($C$1,Database!$A$1:$C$1,),))</f>
        <v/>
      </c>
      <c r="D1913">
        <f>IFERROR(Table7[[#This Row],[United States 10y]]-Table7[[#This Row],[United States 3y]],#N/A)</f>
        <v/>
      </c>
    </row>
    <row r="1914">
      <c r="A1914" s="6">
        <f>Database!$A3999</f>
        <v/>
      </c>
      <c r="B1914">
        <f>IF(VLOOKUP(Table7[[#This Row],[Date]],Database!$A:$C,MATCH($B$1,Database!$A$1:$C$1,),)=0,#N/A,VLOOKUP(Table7[[#This Row],[Date]],Database!$A:$C,MATCH($B$1,Database!$A$1:$C$1,),))</f>
        <v/>
      </c>
      <c r="C1914">
        <f>IF(VLOOKUP(Table7[[#This Row],[Date]],Database!$A:$C,MATCH($C$1,Database!$A$1:$C$1,),)=0,#N/A,VLOOKUP(Table7[[#This Row],[Date]],Database!$A:$C,MATCH($C$1,Database!$A$1:$C$1,),))</f>
        <v/>
      </c>
      <c r="D1914">
        <f>IFERROR(Table7[[#This Row],[United States 10y]]-Table7[[#This Row],[United States 3y]],#N/A)</f>
        <v/>
      </c>
    </row>
    <row r="1915">
      <c r="A1915" s="6">
        <f>Database!$A4000</f>
        <v/>
      </c>
      <c r="B1915">
        <f>IF(VLOOKUP(Table7[[#This Row],[Date]],Database!$A:$C,MATCH($B$1,Database!$A$1:$C$1,),)=0,#N/A,VLOOKUP(Table7[[#This Row],[Date]],Database!$A:$C,MATCH($B$1,Database!$A$1:$C$1,),))</f>
        <v/>
      </c>
      <c r="C1915">
        <f>IF(VLOOKUP(Table7[[#This Row],[Date]],Database!$A:$C,MATCH($C$1,Database!$A$1:$C$1,),)=0,#N/A,VLOOKUP(Table7[[#This Row],[Date]],Database!$A:$C,MATCH($C$1,Database!$A$1:$C$1,),))</f>
        <v/>
      </c>
      <c r="D1915">
        <f>IFERROR(Table7[[#This Row],[United States 10y]]-Table7[[#This Row],[United States 3y]],#N/A)</f>
        <v/>
      </c>
    </row>
    <row r="1916">
      <c r="A1916" s="6">
        <f>Database!$A4001</f>
        <v/>
      </c>
      <c r="B1916">
        <f>IF(VLOOKUP(Table7[[#This Row],[Date]],Database!$A:$C,MATCH($B$1,Database!$A$1:$C$1,),)=0,#N/A,VLOOKUP(Table7[[#This Row],[Date]],Database!$A:$C,MATCH($B$1,Database!$A$1:$C$1,),))</f>
        <v/>
      </c>
      <c r="C1916">
        <f>IF(VLOOKUP(Table7[[#This Row],[Date]],Database!$A:$C,MATCH($C$1,Database!$A$1:$C$1,),)=0,#N/A,VLOOKUP(Table7[[#This Row],[Date]],Database!$A:$C,MATCH($C$1,Database!$A$1:$C$1,),))</f>
        <v/>
      </c>
      <c r="D1916">
        <f>IFERROR(Table7[[#This Row],[United States 10y]]-Table7[[#This Row],[United States 3y]],#N/A)</f>
        <v/>
      </c>
    </row>
    <row r="1917">
      <c r="A1917" s="6">
        <f>Database!$A4002</f>
        <v/>
      </c>
      <c r="B1917">
        <f>IF(VLOOKUP(Table7[[#This Row],[Date]],Database!$A:$C,MATCH($B$1,Database!$A$1:$C$1,),)=0,#N/A,VLOOKUP(Table7[[#This Row],[Date]],Database!$A:$C,MATCH($B$1,Database!$A$1:$C$1,),))</f>
        <v/>
      </c>
      <c r="C1917">
        <f>IF(VLOOKUP(Table7[[#This Row],[Date]],Database!$A:$C,MATCH($C$1,Database!$A$1:$C$1,),)=0,#N/A,VLOOKUP(Table7[[#This Row],[Date]],Database!$A:$C,MATCH($C$1,Database!$A$1:$C$1,),))</f>
        <v/>
      </c>
      <c r="D1917">
        <f>IFERROR(Table7[[#This Row],[United States 10y]]-Table7[[#This Row],[United States 3y]],#N/A)</f>
        <v/>
      </c>
    </row>
    <row r="1918">
      <c r="A1918" s="6">
        <f>Database!$A4003</f>
        <v/>
      </c>
      <c r="B1918">
        <f>IF(VLOOKUP(Table7[[#This Row],[Date]],Database!$A:$C,MATCH($B$1,Database!$A$1:$C$1,),)=0,#N/A,VLOOKUP(Table7[[#This Row],[Date]],Database!$A:$C,MATCH($B$1,Database!$A$1:$C$1,),))</f>
        <v/>
      </c>
      <c r="C1918">
        <f>IF(VLOOKUP(Table7[[#This Row],[Date]],Database!$A:$C,MATCH($C$1,Database!$A$1:$C$1,),)=0,#N/A,VLOOKUP(Table7[[#This Row],[Date]],Database!$A:$C,MATCH($C$1,Database!$A$1:$C$1,),))</f>
        <v/>
      </c>
      <c r="D1918">
        <f>IFERROR(Table7[[#This Row],[United States 10y]]-Table7[[#This Row],[United States 3y]],#N/A)</f>
        <v/>
      </c>
    </row>
    <row r="1919">
      <c r="A1919" s="6">
        <f>Database!$A4004</f>
        <v/>
      </c>
      <c r="B1919">
        <f>IF(VLOOKUP(Table7[[#This Row],[Date]],Database!$A:$C,MATCH($B$1,Database!$A$1:$C$1,),)=0,#N/A,VLOOKUP(Table7[[#This Row],[Date]],Database!$A:$C,MATCH($B$1,Database!$A$1:$C$1,),))</f>
        <v/>
      </c>
      <c r="C1919">
        <f>IF(VLOOKUP(Table7[[#This Row],[Date]],Database!$A:$C,MATCH($C$1,Database!$A$1:$C$1,),)=0,#N/A,VLOOKUP(Table7[[#This Row],[Date]],Database!$A:$C,MATCH($C$1,Database!$A$1:$C$1,),))</f>
        <v/>
      </c>
      <c r="D1919">
        <f>IFERROR(Table7[[#This Row],[United States 10y]]-Table7[[#This Row],[United States 3y]],#N/A)</f>
        <v/>
      </c>
    </row>
    <row r="1920">
      <c r="A1920" s="6">
        <f>Database!$A4005</f>
        <v/>
      </c>
      <c r="B1920">
        <f>IF(VLOOKUP(Table7[[#This Row],[Date]],Database!$A:$C,MATCH($B$1,Database!$A$1:$C$1,),)=0,#N/A,VLOOKUP(Table7[[#This Row],[Date]],Database!$A:$C,MATCH($B$1,Database!$A$1:$C$1,),))</f>
        <v/>
      </c>
      <c r="C1920">
        <f>IF(VLOOKUP(Table7[[#This Row],[Date]],Database!$A:$C,MATCH($C$1,Database!$A$1:$C$1,),)=0,#N/A,VLOOKUP(Table7[[#This Row],[Date]],Database!$A:$C,MATCH($C$1,Database!$A$1:$C$1,),))</f>
        <v/>
      </c>
      <c r="D1920">
        <f>IFERROR(Table7[[#This Row],[United States 10y]]-Table7[[#This Row],[United States 3y]],#N/A)</f>
        <v/>
      </c>
    </row>
    <row r="1921">
      <c r="A1921" s="6">
        <f>Database!$A4006</f>
        <v/>
      </c>
      <c r="B1921">
        <f>IF(VLOOKUP(Table7[[#This Row],[Date]],Database!$A:$C,MATCH($B$1,Database!$A$1:$C$1,),)=0,#N/A,VLOOKUP(Table7[[#This Row],[Date]],Database!$A:$C,MATCH($B$1,Database!$A$1:$C$1,),))</f>
        <v/>
      </c>
      <c r="C1921">
        <f>IF(VLOOKUP(Table7[[#This Row],[Date]],Database!$A:$C,MATCH($C$1,Database!$A$1:$C$1,),)=0,#N/A,VLOOKUP(Table7[[#This Row],[Date]],Database!$A:$C,MATCH($C$1,Database!$A$1:$C$1,),))</f>
        <v/>
      </c>
      <c r="D1921">
        <f>IFERROR(Table7[[#This Row],[United States 10y]]-Table7[[#This Row],[United States 3y]],#N/A)</f>
        <v/>
      </c>
    </row>
    <row r="1922">
      <c r="A1922" s="6">
        <f>Database!$A4007</f>
        <v/>
      </c>
      <c r="B1922">
        <f>IF(VLOOKUP(Table7[[#This Row],[Date]],Database!$A:$C,MATCH($B$1,Database!$A$1:$C$1,),)=0,#N/A,VLOOKUP(Table7[[#This Row],[Date]],Database!$A:$C,MATCH($B$1,Database!$A$1:$C$1,),))</f>
        <v/>
      </c>
      <c r="C1922">
        <f>IF(VLOOKUP(Table7[[#This Row],[Date]],Database!$A:$C,MATCH($C$1,Database!$A$1:$C$1,),)=0,#N/A,VLOOKUP(Table7[[#This Row],[Date]],Database!$A:$C,MATCH($C$1,Database!$A$1:$C$1,),))</f>
        <v/>
      </c>
      <c r="D1922">
        <f>IFERROR(Table7[[#This Row],[United States 10y]]-Table7[[#This Row],[United States 3y]],#N/A)</f>
        <v/>
      </c>
    </row>
    <row r="1923">
      <c r="A1923" s="6">
        <f>Database!$A4008</f>
        <v/>
      </c>
      <c r="B1923">
        <f>IF(VLOOKUP(Table7[[#This Row],[Date]],Database!$A:$C,MATCH($B$1,Database!$A$1:$C$1,),)=0,#N/A,VLOOKUP(Table7[[#This Row],[Date]],Database!$A:$C,MATCH($B$1,Database!$A$1:$C$1,),))</f>
        <v/>
      </c>
      <c r="C1923">
        <f>IF(VLOOKUP(Table7[[#This Row],[Date]],Database!$A:$C,MATCH($C$1,Database!$A$1:$C$1,),)=0,#N/A,VLOOKUP(Table7[[#This Row],[Date]],Database!$A:$C,MATCH($C$1,Database!$A$1:$C$1,),))</f>
        <v/>
      </c>
      <c r="D1923">
        <f>IFERROR(Table7[[#This Row],[United States 10y]]-Table7[[#This Row],[United States 3y]],#N/A)</f>
        <v/>
      </c>
    </row>
    <row r="1924">
      <c r="A1924" s="6">
        <f>Database!$A4009</f>
        <v/>
      </c>
      <c r="B1924">
        <f>IF(VLOOKUP(Table7[[#This Row],[Date]],Database!$A:$C,MATCH($B$1,Database!$A$1:$C$1,),)=0,#N/A,VLOOKUP(Table7[[#This Row],[Date]],Database!$A:$C,MATCH($B$1,Database!$A$1:$C$1,),))</f>
        <v/>
      </c>
      <c r="C1924">
        <f>IF(VLOOKUP(Table7[[#This Row],[Date]],Database!$A:$C,MATCH($C$1,Database!$A$1:$C$1,),)=0,#N/A,VLOOKUP(Table7[[#This Row],[Date]],Database!$A:$C,MATCH($C$1,Database!$A$1:$C$1,),))</f>
        <v/>
      </c>
      <c r="D1924">
        <f>IFERROR(Table7[[#This Row],[United States 10y]]-Table7[[#This Row],[United States 3y]],#N/A)</f>
        <v/>
      </c>
    </row>
    <row r="1925">
      <c r="A1925" s="6">
        <f>Database!$A4010</f>
        <v/>
      </c>
      <c r="B1925">
        <f>IF(VLOOKUP(Table7[[#This Row],[Date]],Database!$A:$C,MATCH($B$1,Database!$A$1:$C$1,),)=0,#N/A,VLOOKUP(Table7[[#This Row],[Date]],Database!$A:$C,MATCH($B$1,Database!$A$1:$C$1,),))</f>
        <v/>
      </c>
      <c r="C1925">
        <f>IF(VLOOKUP(Table7[[#This Row],[Date]],Database!$A:$C,MATCH($C$1,Database!$A$1:$C$1,),)=0,#N/A,VLOOKUP(Table7[[#This Row],[Date]],Database!$A:$C,MATCH($C$1,Database!$A$1:$C$1,),))</f>
        <v/>
      </c>
      <c r="D1925">
        <f>IFERROR(Table7[[#This Row],[United States 10y]]-Table7[[#This Row],[United States 3y]],#N/A)</f>
        <v/>
      </c>
    </row>
    <row r="1926">
      <c r="A1926" s="6">
        <f>Database!$A4011</f>
        <v/>
      </c>
      <c r="B1926">
        <f>IF(VLOOKUP(Table7[[#This Row],[Date]],Database!$A:$C,MATCH($B$1,Database!$A$1:$C$1,),)=0,#N/A,VLOOKUP(Table7[[#This Row],[Date]],Database!$A:$C,MATCH($B$1,Database!$A$1:$C$1,),))</f>
        <v/>
      </c>
      <c r="C1926">
        <f>IF(VLOOKUP(Table7[[#This Row],[Date]],Database!$A:$C,MATCH($C$1,Database!$A$1:$C$1,),)=0,#N/A,VLOOKUP(Table7[[#This Row],[Date]],Database!$A:$C,MATCH($C$1,Database!$A$1:$C$1,),))</f>
        <v/>
      </c>
      <c r="D1926">
        <f>IFERROR(Table7[[#This Row],[United States 10y]]-Table7[[#This Row],[United States 3y]],#N/A)</f>
        <v/>
      </c>
    </row>
    <row r="1927">
      <c r="A1927" s="6">
        <f>Database!$A4012</f>
        <v/>
      </c>
      <c r="B1927">
        <f>IF(VLOOKUP(Table7[[#This Row],[Date]],Database!$A:$C,MATCH($B$1,Database!$A$1:$C$1,),)=0,#N/A,VLOOKUP(Table7[[#This Row],[Date]],Database!$A:$C,MATCH($B$1,Database!$A$1:$C$1,),))</f>
        <v/>
      </c>
      <c r="C1927">
        <f>IF(VLOOKUP(Table7[[#This Row],[Date]],Database!$A:$C,MATCH($C$1,Database!$A$1:$C$1,),)=0,#N/A,VLOOKUP(Table7[[#This Row],[Date]],Database!$A:$C,MATCH($C$1,Database!$A$1:$C$1,),))</f>
        <v/>
      </c>
      <c r="D1927">
        <f>IFERROR(Table7[[#This Row],[United States 10y]]-Table7[[#This Row],[United States 3y]],#N/A)</f>
        <v/>
      </c>
    </row>
    <row r="1928">
      <c r="A1928" s="6">
        <f>Database!$A4013</f>
        <v/>
      </c>
      <c r="B1928">
        <f>IF(VLOOKUP(Table7[[#This Row],[Date]],Database!$A:$C,MATCH($B$1,Database!$A$1:$C$1,),)=0,#N/A,VLOOKUP(Table7[[#This Row],[Date]],Database!$A:$C,MATCH($B$1,Database!$A$1:$C$1,),))</f>
        <v/>
      </c>
      <c r="C1928">
        <f>IF(VLOOKUP(Table7[[#This Row],[Date]],Database!$A:$C,MATCH($C$1,Database!$A$1:$C$1,),)=0,#N/A,VLOOKUP(Table7[[#This Row],[Date]],Database!$A:$C,MATCH($C$1,Database!$A$1:$C$1,),))</f>
        <v/>
      </c>
      <c r="D1928">
        <f>IFERROR(Table7[[#This Row],[United States 10y]]-Table7[[#This Row],[United States 3y]],#N/A)</f>
        <v/>
      </c>
    </row>
    <row r="1929">
      <c r="A1929" s="6">
        <f>Database!$A4014</f>
        <v/>
      </c>
      <c r="B1929">
        <f>IF(VLOOKUP(Table7[[#This Row],[Date]],Database!$A:$C,MATCH($B$1,Database!$A$1:$C$1,),)=0,#N/A,VLOOKUP(Table7[[#This Row],[Date]],Database!$A:$C,MATCH($B$1,Database!$A$1:$C$1,),))</f>
        <v/>
      </c>
      <c r="C1929">
        <f>IF(VLOOKUP(Table7[[#This Row],[Date]],Database!$A:$C,MATCH($C$1,Database!$A$1:$C$1,),)=0,#N/A,VLOOKUP(Table7[[#This Row],[Date]],Database!$A:$C,MATCH($C$1,Database!$A$1:$C$1,),))</f>
        <v/>
      </c>
      <c r="D1929">
        <f>IFERROR(Table7[[#This Row],[United States 10y]]-Table7[[#This Row],[United States 3y]],#N/A)</f>
        <v/>
      </c>
    </row>
    <row r="1930">
      <c r="A1930" s="6">
        <f>Database!$A4015</f>
        <v/>
      </c>
      <c r="B1930">
        <f>IF(VLOOKUP(Table7[[#This Row],[Date]],Database!$A:$C,MATCH($B$1,Database!$A$1:$C$1,),)=0,#N/A,VLOOKUP(Table7[[#This Row],[Date]],Database!$A:$C,MATCH($B$1,Database!$A$1:$C$1,),))</f>
        <v/>
      </c>
      <c r="C1930">
        <f>IF(VLOOKUP(Table7[[#This Row],[Date]],Database!$A:$C,MATCH($C$1,Database!$A$1:$C$1,),)=0,#N/A,VLOOKUP(Table7[[#This Row],[Date]],Database!$A:$C,MATCH($C$1,Database!$A$1:$C$1,),))</f>
        <v/>
      </c>
      <c r="D1930">
        <f>IFERROR(Table7[[#This Row],[United States 10y]]-Table7[[#This Row],[United States 3y]],#N/A)</f>
        <v/>
      </c>
    </row>
    <row r="1931">
      <c r="A1931" s="6">
        <f>Database!$A4016</f>
        <v/>
      </c>
      <c r="B1931">
        <f>IF(VLOOKUP(Table7[[#This Row],[Date]],Database!$A:$C,MATCH($B$1,Database!$A$1:$C$1,),)=0,#N/A,VLOOKUP(Table7[[#This Row],[Date]],Database!$A:$C,MATCH($B$1,Database!$A$1:$C$1,),))</f>
        <v/>
      </c>
      <c r="C1931">
        <f>IF(VLOOKUP(Table7[[#This Row],[Date]],Database!$A:$C,MATCH($C$1,Database!$A$1:$C$1,),)=0,#N/A,VLOOKUP(Table7[[#This Row],[Date]],Database!$A:$C,MATCH($C$1,Database!$A$1:$C$1,),))</f>
        <v/>
      </c>
      <c r="D1931">
        <f>IFERROR(Table7[[#This Row],[United States 10y]]-Table7[[#This Row],[United States 3y]],#N/A)</f>
        <v/>
      </c>
    </row>
    <row r="1932">
      <c r="A1932" s="6">
        <f>Database!$A4017</f>
        <v/>
      </c>
      <c r="B1932">
        <f>IF(VLOOKUP(Table7[[#This Row],[Date]],Database!$A:$C,MATCH($B$1,Database!$A$1:$C$1,),)=0,#N/A,VLOOKUP(Table7[[#This Row],[Date]],Database!$A:$C,MATCH($B$1,Database!$A$1:$C$1,),))</f>
        <v/>
      </c>
      <c r="C1932">
        <f>IF(VLOOKUP(Table7[[#This Row],[Date]],Database!$A:$C,MATCH($C$1,Database!$A$1:$C$1,),)=0,#N/A,VLOOKUP(Table7[[#This Row],[Date]],Database!$A:$C,MATCH($C$1,Database!$A$1:$C$1,),))</f>
        <v/>
      </c>
      <c r="D1932">
        <f>IFERROR(Table7[[#This Row],[United States 10y]]-Table7[[#This Row],[United States 3y]],#N/A)</f>
        <v/>
      </c>
    </row>
    <row r="1933">
      <c r="A1933" s="6">
        <f>Database!$A4018</f>
        <v/>
      </c>
      <c r="B1933">
        <f>IF(VLOOKUP(Table7[[#This Row],[Date]],Database!$A:$C,MATCH($B$1,Database!$A$1:$C$1,),)=0,#N/A,VLOOKUP(Table7[[#This Row],[Date]],Database!$A:$C,MATCH($B$1,Database!$A$1:$C$1,),))</f>
        <v/>
      </c>
      <c r="C1933">
        <f>IF(VLOOKUP(Table7[[#This Row],[Date]],Database!$A:$C,MATCH($C$1,Database!$A$1:$C$1,),)=0,#N/A,VLOOKUP(Table7[[#This Row],[Date]],Database!$A:$C,MATCH($C$1,Database!$A$1:$C$1,),))</f>
        <v/>
      </c>
      <c r="D1933">
        <f>IFERROR(Table7[[#This Row],[United States 10y]]-Table7[[#This Row],[United States 3y]],#N/A)</f>
        <v/>
      </c>
    </row>
    <row r="1934">
      <c r="A1934" s="6">
        <f>Database!$A4019</f>
        <v/>
      </c>
      <c r="B1934">
        <f>IF(VLOOKUP(Table7[[#This Row],[Date]],Database!$A:$C,MATCH($B$1,Database!$A$1:$C$1,),)=0,#N/A,VLOOKUP(Table7[[#This Row],[Date]],Database!$A:$C,MATCH($B$1,Database!$A$1:$C$1,),))</f>
        <v/>
      </c>
      <c r="C1934">
        <f>IF(VLOOKUP(Table7[[#This Row],[Date]],Database!$A:$C,MATCH($C$1,Database!$A$1:$C$1,),)=0,#N/A,VLOOKUP(Table7[[#This Row],[Date]],Database!$A:$C,MATCH($C$1,Database!$A$1:$C$1,),))</f>
        <v/>
      </c>
      <c r="D1934">
        <f>IFERROR(Table7[[#This Row],[United States 10y]]-Table7[[#This Row],[United States 3y]],#N/A)</f>
        <v/>
      </c>
    </row>
    <row r="1935">
      <c r="A1935" s="6">
        <f>Database!$A4020</f>
        <v/>
      </c>
      <c r="B1935">
        <f>IF(VLOOKUP(Table7[[#This Row],[Date]],Database!$A:$C,MATCH($B$1,Database!$A$1:$C$1,),)=0,#N/A,VLOOKUP(Table7[[#This Row],[Date]],Database!$A:$C,MATCH($B$1,Database!$A$1:$C$1,),))</f>
        <v/>
      </c>
      <c r="C1935">
        <f>IF(VLOOKUP(Table7[[#This Row],[Date]],Database!$A:$C,MATCH($C$1,Database!$A$1:$C$1,),)=0,#N/A,VLOOKUP(Table7[[#This Row],[Date]],Database!$A:$C,MATCH($C$1,Database!$A$1:$C$1,),))</f>
        <v/>
      </c>
      <c r="D1935">
        <f>IFERROR(Table7[[#This Row],[United States 10y]]-Table7[[#This Row],[United States 3y]],#N/A)</f>
        <v/>
      </c>
    </row>
    <row r="1936">
      <c r="A1936" s="6">
        <f>Database!$A4021</f>
        <v/>
      </c>
      <c r="B1936">
        <f>IF(VLOOKUP(Table7[[#This Row],[Date]],Database!$A:$C,MATCH($B$1,Database!$A$1:$C$1,),)=0,#N/A,VLOOKUP(Table7[[#This Row],[Date]],Database!$A:$C,MATCH($B$1,Database!$A$1:$C$1,),))</f>
        <v/>
      </c>
      <c r="C1936">
        <f>IF(VLOOKUP(Table7[[#This Row],[Date]],Database!$A:$C,MATCH($C$1,Database!$A$1:$C$1,),)=0,#N/A,VLOOKUP(Table7[[#This Row],[Date]],Database!$A:$C,MATCH($C$1,Database!$A$1:$C$1,),))</f>
        <v/>
      </c>
      <c r="D1936">
        <f>IFERROR(Table7[[#This Row],[United States 10y]]-Table7[[#This Row],[United States 3y]],#N/A)</f>
        <v/>
      </c>
    </row>
    <row r="1937">
      <c r="A1937" s="6">
        <f>Database!$A4022</f>
        <v/>
      </c>
      <c r="B1937">
        <f>IF(VLOOKUP(Table7[[#This Row],[Date]],Database!$A:$C,MATCH($B$1,Database!$A$1:$C$1,),)=0,#N/A,VLOOKUP(Table7[[#This Row],[Date]],Database!$A:$C,MATCH($B$1,Database!$A$1:$C$1,),))</f>
        <v/>
      </c>
      <c r="C1937">
        <f>IF(VLOOKUP(Table7[[#This Row],[Date]],Database!$A:$C,MATCH($C$1,Database!$A$1:$C$1,),)=0,#N/A,VLOOKUP(Table7[[#This Row],[Date]],Database!$A:$C,MATCH($C$1,Database!$A$1:$C$1,),))</f>
        <v/>
      </c>
      <c r="D1937">
        <f>IFERROR(Table7[[#This Row],[United States 10y]]-Table7[[#This Row],[United States 3y]],#N/A)</f>
        <v/>
      </c>
    </row>
    <row r="1938">
      <c r="A1938" s="6">
        <f>Database!$A4023</f>
        <v/>
      </c>
      <c r="B1938">
        <f>IF(VLOOKUP(Table7[[#This Row],[Date]],Database!$A:$C,MATCH($B$1,Database!$A$1:$C$1,),)=0,#N/A,VLOOKUP(Table7[[#This Row],[Date]],Database!$A:$C,MATCH($B$1,Database!$A$1:$C$1,),))</f>
        <v/>
      </c>
      <c r="C1938">
        <f>IF(VLOOKUP(Table7[[#This Row],[Date]],Database!$A:$C,MATCH($C$1,Database!$A$1:$C$1,),)=0,#N/A,VLOOKUP(Table7[[#This Row],[Date]],Database!$A:$C,MATCH($C$1,Database!$A$1:$C$1,),))</f>
        <v/>
      </c>
      <c r="D1938">
        <f>IFERROR(Table7[[#This Row],[United States 10y]]-Table7[[#This Row],[United States 3y]],#N/A)</f>
        <v/>
      </c>
    </row>
    <row r="1939">
      <c r="A1939" s="6">
        <f>Database!$A4024</f>
        <v/>
      </c>
      <c r="B1939">
        <f>IF(VLOOKUP(Table7[[#This Row],[Date]],Database!$A:$C,MATCH($B$1,Database!$A$1:$C$1,),)=0,#N/A,VLOOKUP(Table7[[#This Row],[Date]],Database!$A:$C,MATCH($B$1,Database!$A$1:$C$1,),))</f>
        <v/>
      </c>
      <c r="C1939">
        <f>IF(VLOOKUP(Table7[[#This Row],[Date]],Database!$A:$C,MATCH($C$1,Database!$A$1:$C$1,),)=0,#N/A,VLOOKUP(Table7[[#This Row],[Date]],Database!$A:$C,MATCH($C$1,Database!$A$1:$C$1,),))</f>
        <v/>
      </c>
      <c r="D1939">
        <f>IFERROR(Table7[[#This Row],[United States 10y]]-Table7[[#This Row],[United States 3y]],#N/A)</f>
        <v/>
      </c>
    </row>
    <row r="1940">
      <c r="A1940" s="6">
        <f>Database!$A4025</f>
        <v/>
      </c>
      <c r="B1940">
        <f>IF(VLOOKUP(Table7[[#This Row],[Date]],Database!$A:$C,MATCH($B$1,Database!$A$1:$C$1,),)=0,#N/A,VLOOKUP(Table7[[#This Row],[Date]],Database!$A:$C,MATCH($B$1,Database!$A$1:$C$1,),))</f>
        <v/>
      </c>
      <c r="C1940">
        <f>IF(VLOOKUP(Table7[[#This Row],[Date]],Database!$A:$C,MATCH($C$1,Database!$A$1:$C$1,),)=0,#N/A,VLOOKUP(Table7[[#This Row],[Date]],Database!$A:$C,MATCH($C$1,Database!$A$1:$C$1,),))</f>
        <v/>
      </c>
      <c r="D1940">
        <f>IFERROR(Table7[[#This Row],[United States 10y]]-Table7[[#This Row],[United States 3y]],#N/A)</f>
        <v/>
      </c>
    </row>
    <row r="1941">
      <c r="A1941" s="6">
        <f>Database!$A4026</f>
        <v/>
      </c>
      <c r="B1941">
        <f>IF(VLOOKUP(Table7[[#This Row],[Date]],Database!$A:$C,MATCH($B$1,Database!$A$1:$C$1,),)=0,#N/A,VLOOKUP(Table7[[#This Row],[Date]],Database!$A:$C,MATCH($B$1,Database!$A$1:$C$1,),))</f>
        <v/>
      </c>
      <c r="C1941">
        <f>IF(VLOOKUP(Table7[[#This Row],[Date]],Database!$A:$C,MATCH($C$1,Database!$A$1:$C$1,),)=0,#N/A,VLOOKUP(Table7[[#This Row],[Date]],Database!$A:$C,MATCH($C$1,Database!$A$1:$C$1,),))</f>
        <v/>
      </c>
      <c r="D1941">
        <f>IFERROR(Table7[[#This Row],[United States 10y]]-Table7[[#This Row],[United States 3y]],#N/A)</f>
        <v/>
      </c>
    </row>
    <row r="1942">
      <c r="A1942" s="6">
        <f>Database!$A4027</f>
        <v/>
      </c>
      <c r="B1942">
        <f>IF(VLOOKUP(Table7[[#This Row],[Date]],Database!$A:$C,MATCH($B$1,Database!$A$1:$C$1,),)=0,#N/A,VLOOKUP(Table7[[#This Row],[Date]],Database!$A:$C,MATCH($B$1,Database!$A$1:$C$1,),))</f>
        <v/>
      </c>
      <c r="C1942">
        <f>IF(VLOOKUP(Table7[[#This Row],[Date]],Database!$A:$C,MATCH($C$1,Database!$A$1:$C$1,),)=0,#N/A,VLOOKUP(Table7[[#This Row],[Date]],Database!$A:$C,MATCH($C$1,Database!$A$1:$C$1,),))</f>
        <v/>
      </c>
      <c r="D1942">
        <f>IFERROR(Table7[[#This Row],[United States 10y]]-Table7[[#This Row],[United States 3y]],#N/A)</f>
        <v/>
      </c>
    </row>
    <row r="1943">
      <c r="A1943" s="6">
        <f>Database!$A4028</f>
        <v/>
      </c>
      <c r="B1943">
        <f>IF(VLOOKUP(Table7[[#This Row],[Date]],Database!$A:$C,MATCH($B$1,Database!$A$1:$C$1,),)=0,#N/A,VLOOKUP(Table7[[#This Row],[Date]],Database!$A:$C,MATCH($B$1,Database!$A$1:$C$1,),))</f>
        <v/>
      </c>
      <c r="C1943">
        <f>IF(VLOOKUP(Table7[[#This Row],[Date]],Database!$A:$C,MATCH($C$1,Database!$A$1:$C$1,),)=0,#N/A,VLOOKUP(Table7[[#This Row],[Date]],Database!$A:$C,MATCH($C$1,Database!$A$1:$C$1,),))</f>
        <v/>
      </c>
      <c r="D1943">
        <f>IFERROR(Table7[[#This Row],[United States 10y]]-Table7[[#This Row],[United States 3y]],#N/A)</f>
        <v/>
      </c>
    </row>
    <row r="1944">
      <c r="A1944" s="6">
        <f>Database!$A4029</f>
        <v/>
      </c>
      <c r="B1944">
        <f>IF(VLOOKUP(Table7[[#This Row],[Date]],Database!$A:$C,MATCH($B$1,Database!$A$1:$C$1,),)=0,#N/A,VLOOKUP(Table7[[#This Row],[Date]],Database!$A:$C,MATCH($B$1,Database!$A$1:$C$1,),))</f>
        <v/>
      </c>
      <c r="C1944">
        <f>IF(VLOOKUP(Table7[[#This Row],[Date]],Database!$A:$C,MATCH($C$1,Database!$A$1:$C$1,),)=0,#N/A,VLOOKUP(Table7[[#This Row],[Date]],Database!$A:$C,MATCH($C$1,Database!$A$1:$C$1,),))</f>
        <v/>
      </c>
      <c r="D1944">
        <f>IFERROR(Table7[[#This Row],[United States 10y]]-Table7[[#This Row],[United States 3y]],#N/A)</f>
        <v/>
      </c>
    </row>
    <row r="1945">
      <c r="A1945" s="6">
        <f>Database!$A4030</f>
        <v/>
      </c>
      <c r="B1945">
        <f>IF(VLOOKUP(Table7[[#This Row],[Date]],Database!$A:$C,MATCH($B$1,Database!$A$1:$C$1,),)=0,#N/A,VLOOKUP(Table7[[#This Row],[Date]],Database!$A:$C,MATCH($B$1,Database!$A$1:$C$1,),))</f>
        <v/>
      </c>
      <c r="C1945">
        <f>IF(VLOOKUP(Table7[[#This Row],[Date]],Database!$A:$C,MATCH($C$1,Database!$A$1:$C$1,),)=0,#N/A,VLOOKUP(Table7[[#This Row],[Date]],Database!$A:$C,MATCH($C$1,Database!$A$1:$C$1,),))</f>
        <v/>
      </c>
      <c r="D1945">
        <f>IFERROR(Table7[[#This Row],[United States 10y]]-Table7[[#This Row],[United States 3y]],#N/A)</f>
        <v/>
      </c>
    </row>
    <row r="1946">
      <c r="A1946" s="6">
        <f>Database!$A4031</f>
        <v/>
      </c>
      <c r="B1946">
        <f>IF(VLOOKUP(Table7[[#This Row],[Date]],Database!$A:$C,MATCH($B$1,Database!$A$1:$C$1,),)=0,#N/A,VLOOKUP(Table7[[#This Row],[Date]],Database!$A:$C,MATCH($B$1,Database!$A$1:$C$1,),))</f>
        <v/>
      </c>
      <c r="C1946">
        <f>IF(VLOOKUP(Table7[[#This Row],[Date]],Database!$A:$C,MATCH($C$1,Database!$A$1:$C$1,),)=0,#N/A,VLOOKUP(Table7[[#This Row],[Date]],Database!$A:$C,MATCH($C$1,Database!$A$1:$C$1,),))</f>
        <v/>
      </c>
      <c r="D1946">
        <f>IFERROR(Table7[[#This Row],[United States 10y]]-Table7[[#This Row],[United States 3y]],#N/A)</f>
        <v/>
      </c>
    </row>
    <row r="1947">
      <c r="A1947" s="6">
        <f>Database!$A4032</f>
        <v/>
      </c>
      <c r="B1947">
        <f>IF(VLOOKUP(Table7[[#This Row],[Date]],Database!$A:$C,MATCH($B$1,Database!$A$1:$C$1,),)=0,#N/A,VLOOKUP(Table7[[#This Row],[Date]],Database!$A:$C,MATCH($B$1,Database!$A$1:$C$1,),))</f>
        <v/>
      </c>
      <c r="C1947">
        <f>IF(VLOOKUP(Table7[[#This Row],[Date]],Database!$A:$C,MATCH($C$1,Database!$A$1:$C$1,),)=0,#N/A,VLOOKUP(Table7[[#This Row],[Date]],Database!$A:$C,MATCH($C$1,Database!$A$1:$C$1,),))</f>
        <v/>
      </c>
      <c r="D1947">
        <f>IFERROR(Table7[[#This Row],[United States 10y]]-Table7[[#This Row],[United States 3y]],#N/A)</f>
        <v/>
      </c>
    </row>
    <row r="1948">
      <c r="A1948" s="6">
        <f>Database!$A4033</f>
        <v/>
      </c>
      <c r="B1948">
        <f>IF(VLOOKUP(Table7[[#This Row],[Date]],Database!$A:$C,MATCH($B$1,Database!$A$1:$C$1,),)=0,#N/A,VLOOKUP(Table7[[#This Row],[Date]],Database!$A:$C,MATCH($B$1,Database!$A$1:$C$1,),))</f>
        <v/>
      </c>
      <c r="C1948">
        <f>IF(VLOOKUP(Table7[[#This Row],[Date]],Database!$A:$C,MATCH($C$1,Database!$A$1:$C$1,),)=0,#N/A,VLOOKUP(Table7[[#This Row],[Date]],Database!$A:$C,MATCH($C$1,Database!$A$1:$C$1,),))</f>
        <v/>
      </c>
      <c r="D1948">
        <f>IFERROR(Table7[[#This Row],[United States 10y]]-Table7[[#This Row],[United States 3y]],#N/A)</f>
        <v/>
      </c>
    </row>
    <row r="1949">
      <c r="A1949" s="6">
        <f>Database!$A4034</f>
        <v/>
      </c>
      <c r="B1949">
        <f>IF(VLOOKUP(Table7[[#This Row],[Date]],Database!$A:$C,MATCH($B$1,Database!$A$1:$C$1,),)=0,#N/A,VLOOKUP(Table7[[#This Row],[Date]],Database!$A:$C,MATCH($B$1,Database!$A$1:$C$1,),))</f>
        <v/>
      </c>
      <c r="C1949">
        <f>IF(VLOOKUP(Table7[[#This Row],[Date]],Database!$A:$C,MATCH($C$1,Database!$A$1:$C$1,),)=0,#N/A,VLOOKUP(Table7[[#This Row],[Date]],Database!$A:$C,MATCH($C$1,Database!$A$1:$C$1,),))</f>
        <v/>
      </c>
      <c r="D1949">
        <f>IFERROR(Table7[[#This Row],[United States 10y]]-Table7[[#This Row],[United States 3y]],#N/A)</f>
        <v/>
      </c>
    </row>
    <row r="1950">
      <c r="A1950" s="6">
        <f>Database!$A4035</f>
        <v/>
      </c>
      <c r="B1950">
        <f>IF(VLOOKUP(Table7[[#This Row],[Date]],Database!$A:$C,MATCH($B$1,Database!$A$1:$C$1,),)=0,#N/A,VLOOKUP(Table7[[#This Row],[Date]],Database!$A:$C,MATCH($B$1,Database!$A$1:$C$1,),))</f>
        <v/>
      </c>
      <c r="C1950">
        <f>IF(VLOOKUP(Table7[[#This Row],[Date]],Database!$A:$C,MATCH($C$1,Database!$A$1:$C$1,),)=0,#N/A,VLOOKUP(Table7[[#This Row],[Date]],Database!$A:$C,MATCH($C$1,Database!$A$1:$C$1,),))</f>
        <v/>
      </c>
      <c r="D1950">
        <f>IFERROR(Table7[[#This Row],[United States 10y]]-Table7[[#This Row],[United States 3y]],#N/A)</f>
        <v/>
      </c>
    </row>
    <row r="1951">
      <c r="A1951" s="6">
        <f>Database!$A4036</f>
        <v/>
      </c>
      <c r="B1951">
        <f>IF(VLOOKUP(Table7[[#This Row],[Date]],Database!$A:$C,MATCH($B$1,Database!$A$1:$C$1,),)=0,#N/A,VLOOKUP(Table7[[#This Row],[Date]],Database!$A:$C,MATCH($B$1,Database!$A$1:$C$1,),))</f>
        <v/>
      </c>
      <c r="C1951">
        <f>IF(VLOOKUP(Table7[[#This Row],[Date]],Database!$A:$C,MATCH($C$1,Database!$A$1:$C$1,),)=0,#N/A,VLOOKUP(Table7[[#This Row],[Date]],Database!$A:$C,MATCH($C$1,Database!$A$1:$C$1,),))</f>
        <v/>
      </c>
      <c r="D1951">
        <f>IFERROR(Table7[[#This Row],[United States 10y]]-Table7[[#This Row],[United States 3y]],#N/A)</f>
        <v/>
      </c>
    </row>
    <row r="1952">
      <c r="A1952" s="6">
        <f>Database!$A4037</f>
        <v/>
      </c>
      <c r="B1952">
        <f>IF(VLOOKUP(Table7[[#This Row],[Date]],Database!$A:$C,MATCH($B$1,Database!$A$1:$C$1,),)=0,#N/A,VLOOKUP(Table7[[#This Row],[Date]],Database!$A:$C,MATCH($B$1,Database!$A$1:$C$1,),))</f>
        <v/>
      </c>
      <c r="C1952">
        <f>IF(VLOOKUP(Table7[[#This Row],[Date]],Database!$A:$C,MATCH($C$1,Database!$A$1:$C$1,),)=0,#N/A,VLOOKUP(Table7[[#This Row],[Date]],Database!$A:$C,MATCH($C$1,Database!$A$1:$C$1,),))</f>
        <v/>
      </c>
      <c r="D1952">
        <f>IFERROR(Table7[[#This Row],[United States 10y]]-Table7[[#This Row],[United States 3y]],#N/A)</f>
        <v/>
      </c>
    </row>
    <row r="1953">
      <c r="A1953" s="6">
        <f>Database!$A4038</f>
        <v/>
      </c>
      <c r="B1953">
        <f>IF(VLOOKUP(Table7[[#This Row],[Date]],Database!$A:$C,MATCH($B$1,Database!$A$1:$C$1,),)=0,#N/A,VLOOKUP(Table7[[#This Row],[Date]],Database!$A:$C,MATCH($B$1,Database!$A$1:$C$1,),))</f>
        <v/>
      </c>
      <c r="C1953">
        <f>IF(VLOOKUP(Table7[[#This Row],[Date]],Database!$A:$C,MATCH($C$1,Database!$A$1:$C$1,),)=0,#N/A,VLOOKUP(Table7[[#This Row],[Date]],Database!$A:$C,MATCH($C$1,Database!$A$1:$C$1,),))</f>
        <v/>
      </c>
      <c r="D1953">
        <f>IFERROR(Table7[[#This Row],[United States 10y]]-Table7[[#This Row],[United States 3y]],#N/A)</f>
        <v/>
      </c>
    </row>
    <row r="1954">
      <c r="A1954" s="6">
        <f>Database!$A4039</f>
        <v/>
      </c>
      <c r="B1954">
        <f>IF(VLOOKUP(Table7[[#This Row],[Date]],Database!$A:$C,MATCH($B$1,Database!$A$1:$C$1,),)=0,#N/A,VLOOKUP(Table7[[#This Row],[Date]],Database!$A:$C,MATCH($B$1,Database!$A$1:$C$1,),))</f>
        <v/>
      </c>
      <c r="C1954">
        <f>IF(VLOOKUP(Table7[[#This Row],[Date]],Database!$A:$C,MATCH($C$1,Database!$A$1:$C$1,),)=0,#N/A,VLOOKUP(Table7[[#This Row],[Date]],Database!$A:$C,MATCH($C$1,Database!$A$1:$C$1,),))</f>
        <v/>
      </c>
      <c r="D1954">
        <f>IFERROR(Table7[[#This Row],[United States 10y]]-Table7[[#This Row],[United States 3y]],#N/A)</f>
        <v/>
      </c>
    </row>
    <row r="1955">
      <c r="A1955" s="6">
        <f>Database!$A4040</f>
        <v/>
      </c>
      <c r="B1955">
        <f>IF(VLOOKUP(Table7[[#This Row],[Date]],Database!$A:$C,MATCH($B$1,Database!$A$1:$C$1,),)=0,#N/A,VLOOKUP(Table7[[#This Row],[Date]],Database!$A:$C,MATCH($B$1,Database!$A$1:$C$1,),))</f>
        <v/>
      </c>
      <c r="C1955">
        <f>IF(VLOOKUP(Table7[[#This Row],[Date]],Database!$A:$C,MATCH($C$1,Database!$A$1:$C$1,),)=0,#N/A,VLOOKUP(Table7[[#This Row],[Date]],Database!$A:$C,MATCH($C$1,Database!$A$1:$C$1,),))</f>
        <v/>
      </c>
      <c r="D1955">
        <f>IFERROR(Table7[[#This Row],[United States 10y]]-Table7[[#This Row],[United States 3y]],#N/A)</f>
        <v/>
      </c>
    </row>
    <row r="1956">
      <c r="A1956" s="6">
        <f>Database!$A4041</f>
        <v/>
      </c>
      <c r="B1956">
        <f>IF(VLOOKUP(Table7[[#This Row],[Date]],Database!$A:$C,MATCH($B$1,Database!$A$1:$C$1,),)=0,#N/A,VLOOKUP(Table7[[#This Row],[Date]],Database!$A:$C,MATCH($B$1,Database!$A$1:$C$1,),))</f>
        <v/>
      </c>
      <c r="C1956">
        <f>IF(VLOOKUP(Table7[[#This Row],[Date]],Database!$A:$C,MATCH($C$1,Database!$A$1:$C$1,),)=0,#N/A,VLOOKUP(Table7[[#This Row],[Date]],Database!$A:$C,MATCH($C$1,Database!$A$1:$C$1,),))</f>
        <v/>
      </c>
      <c r="D1956">
        <f>IFERROR(Table7[[#This Row],[United States 10y]]-Table7[[#This Row],[United States 3y]],#N/A)</f>
        <v/>
      </c>
    </row>
    <row r="1957">
      <c r="A1957" s="6">
        <f>Database!$A4042</f>
        <v/>
      </c>
      <c r="B1957">
        <f>IF(VLOOKUP(Table7[[#This Row],[Date]],Database!$A:$C,MATCH($B$1,Database!$A$1:$C$1,),)=0,#N/A,VLOOKUP(Table7[[#This Row],[Date]],Database!$A:$C,MATCH($B$1,Database!$A$1:$C$1,),))</f>
        <v/>
      </c>
      <c r="C1957">
        <f>IF(VLOOKUP(Table7[[#This Row],[Date]],Database!$A:$C,MATCH($C$1,Database!$A$1:$C$1,),)=0,#N/A,VLOOKUP(Table7[[#This Row],[Date]],Database!$A:$C,MATCH($C$1,Database!$A$1:$C$1,),))</f>
        <v/>
      </c>
      <c r="D1957">
        <f>IFERROR(Table7[[#This Row],[United States 10y]]-Table7[[#This Row],[United States 3y]],#N/A)</f>
        <v/>
      </c>
    </row>
    <row r="1958">
      <c r="A1958" s="6">
        <f>Database!$A4043</f>
        <v/>
      </c>
      <c r="B1958">
        <f>IF(VLOOKUP(Table7[[#This Row],[Date]],Database!$A:$C,MATCH($B$1,Database!$A$1:$C$1,),)=0,#N/A,VLOOKUP(Table7[[#This Row],[Date]],Database!$A:$C,MATCH($B$1,Database!$A$1:$C$1,),))</f>
        <v/>
      </c>
      <c r="C1958">
        <f>IF(VLOOKUP(Table7[[#This Row],[Date]],Database!$A:$C,MATCH($C$1,Database!$A$1:$C$1,),)=0,#N/A,VLOOKUP(Table7[[#This Row],[Date]],Database!$A:$C,MATCH($C$1,Database!$A$1:$C$1,),))</f>
        <v/>
      </c>
      <c r="D1958">
        <f>IFERROR(Table7[[#This Row],[United States 10y]]-Table7[[#This Row],[United States 3y]],#N/A)</f>
        <v/>
      </c>
    </row>
    <row r="1959">
      <c r="A1959" s="6">
        <f>Database!$A4044</f>
        <v/>
      </c>
      <c r="B1959">
        <f>IF(VLOOKUP(Table7[[#This Row],[Date]],Database!$A:$C,MATCH($B$1,Database!$A$1:$C$1,),)=0,#N/A,VLOOKUP(Table7[[#This Row],[Date]],Database!$A:$C,MATCH($B$1,Database!$A$1:$C$1,),))</f>
        <v/>
      </c>
      <c r="C1959">
        <f>IF(VLOOKUP(Table7[[#This Row],[Date]],Database!$A:$C,MATCH($C$1,Database!$A$1:$C$1,),)=0,#N/A,VLOOKUP(Table7[[#This Row],[Date]],Database!$A:$C,MATCH($C$1,Database!$A$1:$C$1,),))</f>
        <v/>
      </c>
      <c r="D1959">
        <f>IFERROR(Table7[[#This Row],[United States 10y]]-Table7[[#This Row],[United States 3y]],#N/A)</f>
        <v/>
      </c>
    </row>
    <row r="1960">
      <c r="A1960" s="6">
        <f>Database!$A4045</f>
        <v/>
      </c>
      <c r="B1960">
        <f>IF(VLOOKUP(Table7[[#This Row],[Date]],Database!$A:$C,MATCH($B$1,Database!$A$1:$C$1,),)=0,#N/A,VLOOKUP(Table7[[#This Row],[Date]],Database!$A:$C,MATCH($B$1,Database!$A$1:$C$1,),))</f>
        <v/>
      </c>
      <c r="C1960">
        <f>IF(VLOOKUP(Table7[[#This Row],[Date]],Database!$A:$C,MATCH($C$1,Database!$A$1:$C$1,),)=0,#N/A,VLOOKUP(Table7[[#This Row],[Date]],Database!$A:$C,MATCH($C$1,Database!$A$1:$C$1,),))</f>
        <v/>
      </c>
      <c r="D1960">
        <f>IFERROR(Table7[[#This Row],[United States 10y]]-Table7[[#This Row],[United States 3y]],#N/A)</f>
        <v/>
      </c>
    </row>
    <row r="1961">
      <c r="A1961" s="6">
        <f>Database!$A4046</f>
        <v/>
      </c>
      <c r="B1961">
        <f>IF(VLOOKUP(Table7[[#This Row],[Date]],Database!$A:$C,MATCH($B$1,Database!$A$1:$C$1,),)=0,#N/A,VLOOKUP(Table7[[#This Row],[Date]],Database!$A:$C,MATCH($B$1,Database!$A$1:$C$1,),))</f>
        <v/>
      </c>
      <c r="C1961">
        <f>IF(VLOOKUP(Table7[[#This Row],[Date]],Database!$A:$C,MATCH($C$1,Database!$A$1:$C$1,),)=0,#N/A,VLOOKUP(Table7[[#This Row],[Date]],Database!$A:$C,MATCH($C$1,Database!$A$1:$C$1,),))</f>
        <v/>
      </c>
      <c r="D1961">
        <f>IFERROR(Table7[[#This Row],[United States 10y]]-Table7[[#This Row],[United States 3y]],#N/A)</f>
        <v/>
      </c>
    </row>
    <row r="1962">
      <c r="A1962" s="6">
        <f>Database!$A4047</f>
        <v/>
      </c>
      <c r="B1962">
        <f>IF(VLOOKUP(Table7[[#This Row],[Date]],Database!$A:$C,MATCH($B$1,Database!$A$1:$C$1,),)=0,#N/A,VLOOKUP(Table7[[#This Row],[Date]],Database!$A:$C,MATCH($B$1,Database!$A$1:$C$1,),))</f>
        <v/>
      </c>
      <c r="C1962">
        <f>IF(VLOOKUP(Table7[[#This Row],[Date]],Database!$A:$C,MATCH($C$1,Database!$A$1:$C$1,),)=0,#N/A,VLOOKUP(Table7[[#This Row],[Date]],Database!$A:$C,MATCH($C$1,Database!$A$1:$C$1,),))</f>
        <v/>
      </c>
      <c r="D1962">
        <f>IFERROR(Table7[[#This Row],[United States 10y]]-Table7[[#This Row],[United States 3y]],#N/A)</f>
        <v/>
      </c>
    </row>
    <row r="1963">
      <c r="A1963" s="6">
        <f>Database!$A4048</f>
        <v/>
      </c>
      <c r="B1963">
        <f>IF(VLOOKUP(Table7[[#This Row],[Date]],Database!$A:$C,MATCH($B$1,Database!$A$1:$C$1,),)=0,#N/A,VLOOKUP(Table7[[#This Row],[Date]],Database!$A:$C,MATCH($B$1,Database!$A$1:$C$1,),))</f>
        <v/>
      </c>
      <c r="C1963">
        <f>IF(VLOOKUP(Table7[[#This Row],[Date]],Database!$A:$C,MATCH($C$1,Database!$A$1:$C$1,),)=0,#N/A,VLOOKUP(Table7[[#This Row],[Date]],Database!$A:$C,MATCH($C$1,Database!$A$1:$C$1,),))</f>
        <v/>
      </c>
      <c r="D1963">
        <f>IFERROR(Table7[[#This Row],[United States 10y]]-Table7[[#This Row],[United States 3y]],#N/A)</f>
        <v/>
      </c>
    </row>
    <row r="1964">
      <c r="A1964" s="6">
        <f>Database!$A4049</f>
        <v/>
      </c>
      <c r="B1964">
        <f>IF(VLOOKUP(Table7[[#This Row],[Date]],Database!$A:$C,MATCH($B$1,Database!$A$1:$C$1,),)=0,#N/A,VLOOKUP(Table7[[#This Row],[Date]],Database!$A:$C,MATCH($B$1,Database!$A$1:$C$1,),))</f>
        <v/>
      </c>
      <c r="C1964">
        <f>IF(VLOOKUP(Table7[[#This Row],[Date]],Database!$A:$C,MATCH($C$1,Database!$A$1:$C$1,),)=0,#N/A,VLOOKUP(Table7[[#This Row],[Date]],Database!$A:$C,MATCH($C$1,Database!$A$1:$C$1,),))</f>
        <v/>
      </c>
      <c r="D1964">
        <f>IFERROR(Table7[[#This Row],[United States 10y]]-Table7[[#This Row],[United States 3y]],#N/A)</f>
        <v/>
      </c>
    </row>
    <row r="1965">
      <c r="A1965" s="6">
        <f>Database!$A4050</f>
        <v/>
      </c>
      <c r="B1965">
        <f>IF(VLOOKUP(Table7[[#This Row],[Date]],Database!$A:$C,MATCH($B$1,Database!$A$1:$C$1,),)=0,#N/A,VLOOKUP(Table7[[#This Row],[Date]],Database!$A:$C,MATCH($B$1,Database!$A$1:$C$1,),))</f>
        <v/>
      </c>
      <c r="C1965">
        <f>IF(VLOOKUP(Table7[[#This Row],[Date]],Database!$A:$C,MATCH($C$1,Database!$A$1:$C$1,),)=0,#N/A,VLOOKUP(Table7[[#This Row],[Date]],Database!$A:$C,MATCH($C$1,Database!$A$1:$C$1,),))</f>
        <v/>
      </c>
      <c r="D1965">
        <f>IFERROR(Table7[[#This Row],[United States 10y]]-Table7[[#This Row],[United States 3y]],#N/A)</f>
        <v/>
      </c>
    </row>
    <row r="1966">
      <c r="A1966" s="6">
        <f>Database!$A4051</f>
        <v/>
      </c>
      <c r="B1966">
        <f>IF(VLOOKUP(Table7[[#This Row],[Date]],Database!$A:$C,MATCH($B$1,Database!$A$1:$C$1,),)=0,#N/A,VLOOKUP(Table7[[#This Row],[Date]],Database!$A:$C,MATCH($B$1,Database!$A$1:$C$1,),))</f>
        <v/>
      </c>
      <c r="C1966">
        <f>IF(VLOOKUP(Table7[[#This Row],[Date]],Database!$A:$C,MATCH($C$1,Database!$A$1:$C$1,),)=0,#N/A,VLOOKUP(Table7[[#This Row],[Date]],Database!$A:$C,MATCH($C$1,Database!$A$1:$C$1,),))</f>
        <v/>
      </c>
      <c r="D1966">
        <f>IFERROR(Table7[[#This Row],[United States 10y]]-Table7[[#This Row],[United States 3y]],#N/A)</f>
        <v/>
      </c>
    </row>
    <row r="1967">
      <c r="A1967" s="6">
        <f>Database!$A4052</f>
        <v/>
      </c>
      <c r="B1967">
        <f>IF(VLOOKUP(Table7[[#This Row],[Date]],Database!$A:$C,MATCH($B$1,Database!$A$1:$C$1,),)=0,#N/A,VLOOKUP(Table7[[#This Row],[Date]],Database!$A:$C,MATCH($B$1,Database!$A$1:$C$1,),))</f>
        <v/>
      </c>
      <c r="C1967">
        <f>IF(VLOOKUP(Table7[[#This Row],[Date]],Database!$A:$C,MATCH($C$1,Database!$A$1:$C$1,),)=0,#N/A,VLOOKUP(Table7[[#This Row],[Date]],Database!$A:$C,MATCH($C$1,Database!$A$1:$C$1,),))</f>
        <v/>
      </c>
      <c r="D1967">
        <f>IFERROR(Table7[[#This Row],[United States 10y]]-Table7[[#This Row],[United States 3y]],#N/A)</f>
        <v/>
      </c>
    </row>
    <row r="1968">
      <c r="A1968" s="6">
        <f>Database!$A4053</f>
        <v/>
      </c>
      <c r="B1968">
        <f>IF(VLOOKUP(Table7[[#This Row],[Date]],Database!$A:$C,MATCH($B$1,Database!$A$1:$C$1,),)=0,#N/A,VLOOKUP(Table7[[#This Row],[Date]],Database!$A:$C,MATCH($B$1,Database!$A$1:$C$1,),))</f>
        <v/>
      </c>
      <c r="C1968">
        <f>IF(VLOOKUP(Table7[[#This Row],[Date]],Database!$A:$C,MATCH($C$1,Database!$A$1:$C$1,),)=0,#N/A,VLOOKUP(Table7[[#This Row],[Date]],Database!$A:$C,MATCH($C$1,Database!$A$1:$C$1,),))</f>
        <v/>
      </c>
      <c r="D1968">
        <f>IFERROR(Table7[[#This Row],[United States 10y]]-Table7[[#This Row],[United States 3y]],#N/A)</f>
        <v/>
      </c>
    </row>
    <row r="1969">
      <c r="A1969" s="6">
        <f>Database!$A4054</f>
        <v/>
      </c>
      <c r="B1969">
        <f>IF(VLOOKUP(Table7[[#This Row],[Date]],Database!$A:$C,MATCH($B$1,Database!$A$1:$C$1,),)=0,#N/A,VLOOKUP(Table7[[#This Row],[Date]],Database!$A:$C,MATCH($B$1,Database!$A$1:$C$1,),))</f>
        <v/>
      </c>
      <c r="C1969">
        <f>IF(VLOOKUP(Table7[[#This Row],[Date]],Database!$A:$C,MATCH($C$1,Database!$A$1:$C$1,),)=0,#N/A,VLOOKUP(Table7[[#This Row],[Date]],Database!$A:$C,MATCH($C$1,Database!$A$1:$C$1,),))</f>
        <v/>
      </c>
      <c r="D1969">
        <f>IFERROR(Table7[[#This Row],[United States 10y]]-Table7[[#This Row],[United States 3y]],#N/A)</f>
        <v/>
      </c>
    </row>
    <row r="1970">
      <c r="A1970" s="6">
        <f>Database!$A4055</f>
        <v/>
      </c>
      <c r="B1970">
        <f>IF(VLOOKUP(Table7[[#This Row],[Date]],Database!$A:$C,MATCH($B$1,Database!$A$1:$C$1,),)=0,#N/A,VLOOKUP(Table7[[#This Row],[Date]],Database!$A:$C,MATCH($B$1,Database!$A$1:$C$1,),))</f>
        <v/>
      </c>
      <c r="C1970">
        <f>IF(VLOOKUP(Table7[[#This Row],[Date]],Database!$A:$C,MATCH($C$1,Database!$A$1:$C$1,),)=0,#N/A,VLOOKUP(Table7[[#This Row],[Date]],Database!$A:$C,MATCH($C$1,Database!$A$1:$C$1,),))</f>
        <v/>
      </c>
      <c r="D1970">
        <f>IFERROR(Table7[[#This Row],[United States 10y]]-Table7[[#This Row],[United States 3y]],#N/A)</f>
        <v/>
      </c>
    </row>
    <row r="1971">
      <c r="A1971" s="6">
        <f>Database!$A4056</f>
        <v/>
      </c>
      <c r="B1971">
        <f>IF(VLOOKUP(Table7[[#This Row],[Date]],Database!$A:$C,MATCH($B$1,Database!$A$1:$C$1,),)=0,#N/A,VLOOKUP(Table7[[#This Row],[Date]],Database!$A:$C,MATCH($B$1,Database!$A$1:$C$1,),))</f>
        <v/>
      </c>
      <c r="C1971">
        <f>IF(VLOOKUP(Table7[[#This Row],[Date]],Database!$A:$C,MATCH($C$1,Database!$A$1:$C$1,),)=0,#N/A,VLOOKUP(Table7[[#This Row],[Date]],Database!$A:$C,MATCH($C$1,Database!$A$1:$C$1,),))</f>
        <v/>
      </c>
      <c r="D1971">
        <f>IFERROR(Table7[[#This Row],[United States 10y]]-Table7[[#This Row],[United States 3y]],#N/A)</f>
        <v/>
      </c>
    </row>
    <row r="1972">
      <c r="A1972" s="6">
        <f>Database!$A4057</f>
        <v/>
      </c>
      <c r="B1972">
        <f>IF(VLOOKUP(Table7[[#This Row],[Date]],Database!$A:$C,MATCH($B$1,Database!$A$1:$C$1,),)=0,#N/A,VLOOKUP(Table7[[#This Row],[Date]],Database!$A:$C,MATCH($B$1,Database!$A$1:$C$1,),))</f>
        <v/>
      </c>
      <c r="C1972">
        <f>IF(VLOOKUP(Table7[[#This Row],[Date]],Database!$A:$C,MATCH($C$1,Database!$A$1:$C$1,),)=0,#N/A,VLOOKUP(Table7[[#This Row],[Date]],Database!$A:$C,MATCH($C$1,Database!$A$1:$C$1,),))</f>
        <v/>
      </c>
      <c r="D1972">
        <f>IFERROR(Table7[[#This Row],[United States 10y]]-Table7[[#This Row],[United States 3y]],#N/A)</f>
        <v/>
      </c>
    </row>
    <row r="1973">
      <c r="A1973" s="6">
        <f>Database!$A4058</f>
        <v/>
      </c>
      <c r="B1973">
        <f>IF(VLOOKUP(Table7[[#This Row],[Date]],Database!$A:$C,MATCH($B$1,Database!$A$1:$C$1,),)=0,#N/A,VLOOKUP(Table7[[#This Row],[Date]],Database!$A:$C,MATCH($B$1,Database!$A$1:$C$1,),))</f>
        <v/>
      </c>
      <c r="C1973">
        <f>IF(VLOOKUP(Table7[[#This Row],[Date]],Database!$A:$C,MATCH($C$1,Database!$A$1:$C$1,),)=0,#N/A,VLOOKUP(Table7[[#This Row],[Date]],Database!$A:$C,MATCH($C$1,Database!$A$1:$C$1,),))</f>
        <v/>
      </c>
      <c r="D1973">
        <f>IFERROR(Table7[[#This Row],[United States 10y]]-Table7[[#This Row],[United States 3y]],#N/A)</f>
        <v/>
      </c>
    </row>
    <row r="1974">
      <c r="A1974" s="6">
        <f>Database!$A4059</f>
        <v/>
      </c>
      <c r="B1974">
        <f>IF(VLOOKUP(Table7[[#This Row],[Date]],Database!$A:$C,MATCH($B$1,Database!$A$1:$C$1,),)=0,#N/A,VLOOKUP(Table7[[#This Row],[Date]],Database!$A:$C,MATCH($B$1,Database!$A$1:$C$1,),))</f>
        <v/>
      </c>
      <c r="C1974">
        <f>IF(VLOOKUP(Table7[[#This Row],[Date]],Database!$A:$C,MATCH($C$1,Database!$A$1:$C$1,),)=0,#N/A,VLOOKUP(Table7[[#This Row],[Date]],Database!$A:$C,MATCH($C$1,Database!$A$1:$C$1,),))</f>
        <v/>
      </c>
      <c r="D1974">
        <f>IFERROR(Table7[[#This Row],[United States 10y]]-Table7[[#This Row],[United States 3y]],#N/A)</f>
        <v/>
      </c>
    </row>
    <row r="1975">
      <c r="A1975" s="6">
        <f>Database!$A4060</f>
        <v/>
      </c>
      <c r="B1975">
        <f>IF(VLOOKUP(Table7[[#This Row],[Date]],Database!$A:$C,MATCH($B$1,Database!$A$1:$C$1,),)=0,#N/A,VLOOKUP(Table7[[#This Row],[Date]],Database!$A:$C,MATCH($B$1,Database!$A$1:$C$1,),))</f>
        <v/>
      </c>
      <c r="C1975">
        <f>IF(VLOOKUP(Table7[[#This Row],[Date]],Database!$A:$C,MATCH($C$1,Database!$A$1:$C$1,),)=0,#N/A,VLOOKUP(Table7[[#This Row],[Date]],Database!$A:$C,MATCH($C$1,Database!$A$1:$C$1,),))</f>
        <v/>
      </c>
      <c r="D1975">
        <f>IFERROR(Table7[[#This Row],[United States 10y]]-Table7[[#This Row],[United States 3y]],#N/A)</f>
        <v/>
      </c>
    </row>
    <row r="1976">
      <c r="A1976" s="6">
        <f>Database!$A4061</f>
        <v/>
      </c>
      <c r="B1976">
        <f>IF(VLOOKUP(Table7[[#This Row],[Date]],Database!$A:$C,MATCH($B$1,Database!$A$1:$C$1,),)=0,#N/A,VLOOKUP(Table7[[#This Row],[Date]],Database!$A:$C,MATCH($B$1,Database!$A$1:$C$1,),))</f>
        <v/>
      </c>
      <c r="C1976">
        <f>IF(VLOOKUP(Table7[[#This Row],[Date]],Database!$A:$C,MATCH($C$1,Database!$A$1:$C$1,),)=0,#N/A,VLOOKUP(Table7[[#This Row],[Date]],Database!$A:$C,MATCH($C$1,Database!$A$1:$C$1,),))</f>
        <v/>
      </c>
      <c r="D1976">
        <f>IFERROR(Table7[[#This Row],[United States 10y]]-Table7[[#This Row],[United States 3y]],#N/A)</f>
        <v/>
      </c>
    </row>
    <row r="1977">
      <c r="A1977" s="6">
        <f>Database!$A4062</f>
        <v/>
      </c>
      <c r="B1977">
        <f>IF(VLOOKUP(Table7[[#This Row],[Date]],Database!$A:$C,MATCH($B$1,Database!$A$1:$C$1,),)=0,#N/A,VLOOKUP(Table7[[#This Row],[Date]],Database!$A:$C,MATCH($B$1,Database!$A$1:$C$1,),))</f>
        <v/>
      </c>
      <c r="C1977">
        <f>IF(VLOOKUP(Table7[[#This Row],[Date]],Database!$A:$C,MATCH($C$1,Database!$A$1:$C$1,),)=0,#N/A,VLOOKUP(Table7[[#This Row],[Date]],Database!$A:$C,MATCH($C$1,Database!$A$1:$C$1,),))</f>
        <v/>
      </c>
      <c r="D1977">
        <f>IFERROR(Table7[[#This Row],[United States 10y]]-Table7[[#This Row],[United States 3y]],#N/A)</f>
        <v/>
      </c>
    </row>
    <row r="1978">
      <c r="A1978" s="6">
        <f>Database!$A4063</f>
        <v/>
      </c>
      <c r="B1978">
        <f>IF(VLOOKUP(Table7[[#This Row],[Date]],Database!$A:$C,MATCH($B$1,Database!$A$1:$C$1,),)=0,#N/A,VLOOKUP(Table7[[#This Row],[Date]],Database!$A:$C,MATCH($B$1,Database!$A$1:$C$1,),))</f>
        <v/>
      </c>
      <c r="C1978">
        <f>IF(VLOOKUP(Table7[[#This Row],[Date]],Database!$A:$C,MATCH($C$1,Database!$A$1:$C$1,),)=0,#N/A,VLOOKUP(Table7[[#This Row],[Date]],Database!$A:$C,MATCH($C$1,Database!$A$1:$C$1,),))</f>
        <v/>
      </c>
      <c r="D1978">
        <f>IFERROR(Table7[[#This Row],[United States 10y]]-Table7[[#This Row],[United States 3y]],#N/A)</f>
        <v/>
      </c>
    </row>
    <row r="1979">
      <c r="A1979" s="6">
        <f>Database!$A4064</f>
        <v/>
      </c>
      <c r="B1979">
        <f>IF(VLOOKUP(Table7[[#This Row],[Date]],Database!$A:$C,MATCH($B$1,Database!$A$1:$C$1,),)=0,#N/A,VLOOKUP(Table7[[#This Row],[Date]],Database!$A:$C,MATCH($B$1,Database!$A$1:$C$1,),))</f>
        <v/>
      </c>
      <c r="C1979">
        <f>IF(VLOOKUP(Table7[[#This Row],[Date]],Database!$A:$C,MATCH($C$1,Database!$A$1:$C$1,),)=0,#N/A,VLOOKUP(Table7[[#This Row],[Date]],Database!$A:$C,MATCH($C$1,Database!$A$1:$C$1,),))</f>
        <v/>
      </c>
      <c r="D1979">
        <f>IFERROR(Table7[[#This Row],[United States 10y]]-Table7[[#This Row],[United States 3y]],#N/A)</f>
        <v/>
      </c>
    </row>
    <row r="1980">
      <c r="A1980" s="6">
        <f>Database!$A4065</f>
        <v/>
      </c>
      <c r="B1980">
        <f>IF(VLOOKUP(Table7[[#This Row],[Date]],Database!$A:$C,MATCH($B$1,Database!$A$1:$C$1,),)=0,#N/A,VLOOKUP(Table7[[#This Row],[Date]],Database!$A:$C,MATCH($B$1,Database!$A$1:$C$1,),))</f>
        <v/>
      </c>
      <c r="C1980">
        <f>IF(VLOOKUP(Table7[[#This Row],[Date]],Database!$A:$C,MATCH($C$1,Database!$A$1:$C$1,),)=0,#N/A,VLOOKUP(Table7[[#This Row],[Date]],Database!$A:$C,MATCH($C$1,Database!$A$1:$C$1,),))</f>
        <v/>
      </c>
      <c r="D1980">
        <f>IFERROR(Table7[[#This Row],[United States 10y]]-Table7[[#This Row],[United States 3y]],#N/A)</f>
        <v/>
      </c>
    </row>
    <row r="1981">
      <c r="A1981" s="6">
        <f>Database!$A4066</f>
        <v/>
      </c>
      <c r="B1981">
        <f>IF(VLOOKUP(Table7[[#This Row],[Date]],Database!$A:$C,MATCH($B$1,Database!$A$1:$C$1,),)=0,#N/A,VLOOKUP(Table7[[#This Row],[Date]],Database!$A:$C,MATCH($B$1,Database!$A$1:$C$1,),))</f>
        <v/>
      </c>
      <c r="C1981">
        <f>IF(VLOOKUP(Table7[[#This Row],[Date]],Database!$A:$C,MATCH($C$1,Database!$A$1:$C$1,),)=0,#N/A,VLOOKUP(Table7[[#This Row],[Date]],Database!$A:$C,MATCH($C$1,Database!$A$1:$C$1,),))</f>
        <v/>
      </c>
      <c r="D1981">
        <f>IFERROR(Table7[[#This Row],[United States 10y]]-Table7[[#This Row],[United States 3y]],#N/A)</f>
        <v/>
      </c>
    </row>
    <row r="1982">
      <c r="A1982" s="6">
        <f>Database!$A4067</f>
        <v/>
      </c>
      <c r="B1982">
        <f>IF(VLOOKUP(Table7[[#This Row],[Date]],Database!$A:$C,MATCH($B$1,Database!$A$1:$C$1,),)=0,#N/A,VLOOKUP(Table7[[#This Row],[Date]],Database!$A:$C,MATCH($B$1,Database!$A$1:$C$1,),))</f>
        <v/>
      </c>
      <c r="C1982">
        <f>IF(VLOOKUP(Table7[[#This Row],[Date]],Database!$A:$C,MATCH($C$1,Database!$A$1:$C$1,),)=0,#N/A,VLOOKUP(Table7[[#This Row],[Date]],Database!$A:$C,MATCH($C$1,Database!$A$1:$C$1,),))</f>
        <v/>
      </c>
      <c r="D1982">
        <f>IFERROR(Table7[[#This Row],[United States 10y]]-Table7[[#This Row],[United States 3y]],#N/A)</f>
        <v/>
      </c>
    </row>
    <row r="1983">
      <c r="A1983" s="6">
        <f>Database!$A4068</f>
        <v/>
      </c>
      <c r="B1983">
        <f>IF(VLOOKUP(Table7[[#This Row],[Date]],Database!$A:$C,MATCH($B$1,Database!$A$1:$C$1,),)=0,#N/A,VLOOKUP(Table7[[#This Row],[Date]],Database!$A:$C,MATCH($B$1,Database!$A$1:$C$1,),))</f>
        <v/>
      </c>
      <c r="C1983">
        <f>IF(VLOOKUP(Table7[[#This Row],[Date]],Database!$A:$C,MATCH($C$1,Database!$A$1:$C$1,),)=0,#N/A,VLOOKUP(Table7[[#This Row],[Date]],Database!$A:$C,MATCH($C$1,Database!$A$1:$C$1,),))</f>
        <v/>
      </c>
      <c r="D1983">
        <f>IFERROR(Table7[[#This Row],[United States 10y]]-Table7[[#This Row],[United States 3y]],#N/A)</f>
        <v/>
      </c>
    </row>
    <row r="1984">
      <c r="A1984" s="6">
        <f>Database!$A4069</f>
        <v/>
      </c>
      <c r="B1984">
        <f>IF(VLOOKUP(Table7[[#This Row],[Date]],Database!$A:$C,MATCH($B$1,Database!$A$1:$C$1,),)=0,#N/A,VLOOKUP(Table7[[#This Row],[Date]],Database!$A:$C,MATCH($B$1,Database!$A$1:$C$1,),))</f>
        <v/>
      </c>
      <c r="C1984">
        <f>IF(VLOOKUP(Table7[[#This Row],[Date]],Database!$A:$C,MATCH($C$1,Database!$A$1:$C$1,),)=0,#N/A,VLOOKUP(Table7[[#This Row],[Date]],Database!$A:$C,MATCH($C$1,Database!$A$1:$C$1,),))</f>
        <v/>
      </c>
      <c r="D1984">
        <f>IFERROR(Table7[[#This Row],[United States 10y]]-Table7[[#This Row],[United States 3y]],#N/A)</f>
        <v/>
      </c>
    </row>
    <row r="1985">
      <c r="A1985" s="6">
        <f>Database!$A4070</f>
        <v/>
      </c>
      <c r="B1985">
        <f>IF(VLOOKUP(Table7[[#This Row],[Date]],Database!$A:$C,MATCH($B$1,Database!$A$1:$C$1,),)=0,#N/A,VLOOKUP(Table7[[#This Row],[Date]],Database!$A:$C,MATCH($B$1,Database!$A$1:$C$1,),))</f>
        <v/>
      </c>
      <c r="C1985">
        <f>IF(VLOOKUP(Table7[[#This Row],[Date]],Database!$A:$C,MATCH($C$1,Database!$A$1:$C$1,),)=0,#N/A,VLOOKUP(Table7[[#This Row],[Date]],Database!$A:$C,MATCH($C$1,Database!$A$1:$C$1,),))</f>
        <v/>
      </c>
      <c r="D1985">
        <f>IFERROR(Table7[[#This Row],[United States 10y]]-Table7[[#This Row],[United States 3y]],#N/A)</f>
        <v/>
      </c>
    </row>
    <row r="1986">
      <c r="A1986" s="6">
        <f>Database!$A4071</f>
        <v/>
      </c>
      <c r="B1986">
        <f>IF(VLOOKUP(Table7[[#This Row],[Date]],Database!$A:$C,MATCH($B$1,Database!$A$1:$C$1,),)=0,#N/A,VLOOKUP(Table7[[#This Row],[Date]],Database!$A:$C,MATCH($B$1,Database!$A$1:$C$1,),))</f>
        <v/>
      </c>
      <c r="C1986">
        <f>IF(VLOOKUP(Table7[[#This Row],[Date]],Database!$A:$C,MATCH($C$1,Database!$A$1:$C$1,),)=0,#N/A,VLOOKUP(Table7[[#This Row],[Date]],Database!$A:$C,MATCH($C$1,Database!$A$1:$C$1,),))</f>
        <v/>
      </c>
      <c r="D1986">
        <f>IFERROR(Table7[[#This Row],[United States 10y]]-Table7[[#This Row],[United States 3y]],#N/A)</f>
        <v/>
      </c>
    </row>
    <row r="1987">
      <c r="A1987" s="6">
        <f>Database!$A4072</f>
        <v/>
      </c>
      <c r="B1987">
        <f>IF(VLOOKUP(Table7[[#This Row],[Date]],Database!$A:$C,MATCH($B$1,Database!$A$1:$C$1,),)=0,#N/A,VLOOKUP(Table7[[#This Row],[Date]],Database!$A:$C,MATCH($B$1,Database!$A$1:$C$1,),))</f>
        <v/>
      </c>
      <c r="C1987">
        <f>IF(VLOOKUP(Table7[[#This Row],[Date]],Database!$A:$C,MATCH($C$1,Database!$A$1:$C$1,),)=0,#N/A,VLOOKUP(Table7[[#This Row],[Date]],Database!$A:$C,MATCH($C$1,Database!$A$1:$C$1,),))</f>
        <v/>
      </c>
      <c r="D1987">
        <f>IFERROR(Table7[[#This Row],[United States 10y]]-Table7[[#This Row],[United States 3y]],#N/A)</f>
        <v/>
      </c>
    </row>
    <row r="1988">
      <c r="A1988" s="6">
        <f>Database!$A4073</f>
        <v/>
      </c>
      <c r="B1988">
        <f>IF(VLOOKUP(Table7[[#This Row],[Date]],Database!$A:$C,MATCH($B$1,Database!$A$1:$C$1,),)=0,#N/A,VLOOKUP(Table7[[#This Row],[Date]],Database!$A:$C,MATCH($B$1,Database!$A$1:$C$1,),))</f>
        <v/>
      </c>
      <c r="C1988">
        <f>IF(VLOOKUP(Table7[[#This Row],[Date]],Database!$A:$C,MATCH($C$1,Database!$A$1:$C$1,),)=0,#N/A,VLOOKUP(Table7[[#This Row],[Date]],Database!$A:$C,MATCH($C$1,Database!$A$1:$C$1,),))</f>
        <v/>
      </c>
      <c r="D1988">
        <f>IFERROR(Table7[[#This Row],[United States 10y]]-Table7[[#This Row],[United States 3y]],#N/A)</f>
        <v/>
      </c>
    </row>
    <row r="1989">
      <c r="A1989" s="6">
        <f>Database!$A4074</f>
        <v/>
      </c>
      <c r="B1989">
        <f>IF(VLOOKUP(Table7[[#This Row],[Date]],Database!$A:$C,MATCH($B$1,Database!$A$1:$C$1,),)=0,#N/A,VLOOKUP(Table7[[#This Row],[Date]],Database!$A:$C,MATCH($B$1,Database!$A$1:$C$1,),))</f>
        <v/>
      </c>
      <c r="C1989">
        <f>IF(VLOOKUP(Table7[[#This Row],[Date]],Database!$A:$C,MATCH($C$1,Database!$A$1:$C$1,),)=0,#N/A,VLOOKUP(Table7[[#This Row],[Date]],Database!$A:$C,MATCH($C$1,Database!$A$1:$C$1,),))</f>
        <v/>
      </c>
      <c r="D1989">
        <f>IFERROR(Table7[[#This Row],[United States 10y]]-Table7[[#This Row],[United States 3y]],#N/A)</f>
        <v/>
      </c>
    </row>
    <row r="1990">
      <c r="A1990" s="6">
        <f>Database!$A4075</f>
        <v/>
      </c>
      <c r="B1990">
        <f>IF(VLOOKUP(Table7[[#This Row],[Date]],Database!$A:$C,MATCH($B$1,Database!$A$1:$C$1,),)=0,#N/A,VLOOKUP(Table7[[#This Row],[Date]],Database!$A:$C,MATCH($B$1,Database!$A$1:$C$1,),))</f>
        <v/>
      </c>
      <c r="C1990">
        <f>IF(VLOOKUP(Table7[[#This Row],[Date]],Database!$A:$C,MATCH($C$1,Database!$A$1:$C$1,),)=0,#N/A,VLOOKUP(Table7[[#This Row],[Date]],Database!$A:$C,MATCH($C$1,Database!$A$1:$C$1,),))</f>
        <v/>
      </c>
      <c r="D1990">
        <f>IFERROR(Table7[[#This Row],[United States 10y]]-Table7[[#This Row],[United States 3y]],#N/A)</f>
        <v/>
      </c>
    </row>
    <row r="1991">
      <c r="A1991" s="6">
        <f>Database!$A4076</f>
        <v/>
      </c>
      <c r="B1991">
        <f>IF(VLOOKUP(Table7[[#This Row],[Date]],Database!$A:$C,MATCH($B$1,Database!$A$1:$C$1,),)=0,#N/A,VLOOKUP(Table7[[#This Row],[Date]],Database!$A:$C,MATCH($B$1,Database!$A$1:$C$1,),))</f>
        <v/>
      </c>
      <c r="C1991">
        <f>IF(VLOOKUP(Table7[[#This Row],[Date]],Database!$A:$C,MATCH($C$1,Database!$A$1:$C$1,),)=0,#N/A,VLOOKUP(Table7[[#This Row],[Date]],Database!$A:$C,MATCH($C$1,Database!$A$1:$C$1,),))</f>
        <v/>
      </c>
      <c r="D1991">
        <f>IFERROR(Table7[[#This Row],[United States 10y]]-Table7[[#This Row],[United States 3y]],#N/A)</f>
        <v/>
      </c>
    </row>
    <row r="1992">
      <c r="A1992" s="6">
        <f>Database!$A4077</f>
        <v/>
      </c>
      <c r="B1992">
        <f>IF(VLOOKUP(Table7[[#This Row],[Date]],Database!$A:$C,MATCH($B$1,Database!$A$1:$C$1,),)=0,#N/A,VLOOKUP(Table7[[#This Row],[Date]],Database!$A:$C,MATCH($B$1,Database!$A$1:$C$1,),))</f>
        <v/>
      </c>
      <c r="C1992">
        <f>IF(VLOOKUP(Table7[[#This Row],[Date]],Database!$A:$C,MATCH($C$1,Database!$A$1:$C$1,),)=0,#N/A,VLOOKUP(Table7[[#This Row],[Date]],Database!$A:$C,MATCH($C$1,Database!$A$1:$C$1,),))</f>
        <v/>
      </c>
      <c r="D1992">
        <f>IFERROR(Table7[[#This Row],[United States 10y]]-Table7[[#This Row],[United States 3y]],#N/A)</f>
        <v/>
      </c>
    </row>
    <row r="1993">
      <c r="A1993" s="6">
        <f>Database!$A4078</f>
        <v/>
      </c>
      <c r="B1993">
        <f>IF(VLOOKUP(Table7[[#This Row],[Date]],Database!$A:$C,MATCH($B$1,Database!$A$1:$C$1,),)=0,#N/A,VLOOKUP(Table7[[#This Row],[Date]],Database!$A:$C,MATCH($B$1,Database!$A$1:$C$1,),))</f>
        <v/>
      </c>
      <c r="C1993">
        <f>IF(VLOOKUP(Table7[[#This Row],[Date]],Database!$A:$C,MATCH($C$1,Database!$A$1:$C$1,),)=0,#N/A,VLOOKUP(Table7[[#This Row],[Date]],Database!$A:$C,MATCH($C$1,Database!$A$1:$C$1,),))</f>
        <v/>
      </c>
      <c r="D1993">
        <f>IFERROR(Table7[[#This Row],[United States 10y]]-Table7[[#This Row],[United States 3y]],#N/A)</f>
        <v/>
      </c>
    </row>
    <row r="1994">
      <c r="A1994" s="6">
        <f>Database!$A4079</f>
        <v/>
      </c>
      <c r="B1994">
        <f>IF(VLOOKUP(Table7[[#This Row],[Date]],Database!$A:$C,MATCH($B$1,Database!$A$1:$C$1,),)=0,#N/A,VLOOKUP(Table7[[#This Row],[Date]],Database!$A:$C,MATCH($B$1,Database!$A$1:$C$1,),))</f>
        <v/>
      </c>
      <c r="C1994">
        <f>IF(VLOOKUP(Table7[[#This Row],[Date]],Database!$A:$C,MATCH($C$1,Database!$A$1:$C$1,),)=0,#N/A,VLOOKUP(Table7[[#This Row],[Date]],Database!$A:$C,MATCH($C$1,Database!$A$1:$C$1,),))</f>
        <v/>
      </c>
      <c r="D1994">
        <f>IFERROR(Table7[[#This Row],[United States 10y]]-Table7[[#This Row],[United States 3y]],#N/A)</f>
        <v/>
      </c>
    </row>
    <row r="1995">
      <c r="A1995" s="6">
        <f>Database!$A4080</f>
        <v/>
      </c>
      <c r="B1995">
        <f>IF(VLOOKUP(Table7[[#This Row],[Date]],Database!$A:$C,MATCH($B$1,Database!$A$1:$C$1,),)=0,#N/A,VLOOKUP(Table7[[#This Row],[Date]],Database!$A:$C,MATCH($B$1,Database!$A$1:$C$1,),))</f>
        <v/>
      </c>
      <c r="C1995">
        <f>IF(VLOOKUP(Table7[[#This Row],[Date]],Database!$A:$C,MATCH($C$1,Database!$A$1:$C$1,),)=0,#N/A,VLOOKUP(Table7[[#This Row],[Date]],Database!$A:$C,MATCH($C$1,Database!$A$1:$C$1,),))</f>
        <v/>
      </c>
      <c r="D1995">
        <f>IFERROR(Table7[[#This Row],[United States 10y]]-Table7[[#This Row],[United States 3y]],#N/A)</f>
        <v/>
      </c>
    </row>
    <row r="1996">
      <c r="A1996" s="6">
        <f>Database!$A4081</f>
        <v/>
      </c>
      <c r="B1996">
        <f>IF(VLOOKUP(Table7[[#This Row],[Date]],Database!$A:$C,MATCH($B$1,Database!$A$1:$C$1,),)=0,#N/A,VLOOKUP(Table7[[#This Row],[Date]],Database!$A:$C,MATCH($B$1,Database!$A$1:$C$1,),))</f>
        <v/>
      </c>
      <c r="C1996">
        <f>IF(VLOOKUP(Table7[[#This Row],[Date]],Database!$A:$C,MATCH($C$1,Database!$A$1:$C$1,),)=0,#N/A,VLOOKUP(Table7[[#This Row],[Date]],Database!$A:$C,MATCH($C$1,Database!$A$1:$C$1,),))</f>
        <v/>
      </c>
      <c r="D1996">
        <f>IFERROR(Table7[[#This Row],[United States 10y]]-Table7[[#This Row],[United States 3y]],#N/A)</f>
        <v/>
      </c>
    </row>
    <row r="1997">
      <c r="A1997" s="6">
        <f>Database!$A4082</f>
        <v/>
      </c>
      <c r="B1997">
        <f>IF(VLOOKUP(Table7[[#This Row],[Date]],Database!$A:$C,MATCH($B$1,Database!$A$1:$C$1,),)=0,#N/A,VLOOKUP(Table7[[#This Row],[Date]],Database!$A:$C,MATCH($B$1,Database!$A$1:$C$1,),))</f>
        <v/>
      </c>
      <c r="C1997">
        <f>IF(VLOOKUP(Table7[[#This Row],[Date]],Database!$A:$C,MATCH($C$1,Database!$A$1:$C$1,),)=0,#N/A,VLOOKUP(Table7[[#This Row],[Date]],Database!$A:$C,MATCH($C$1,Database!$A$1:$C$1,),))</f>
        <v/>
      </c>
      <c r="D1997">
        <f>IFERROR(Table7[[#This Row],[United States 10y]]-Table7[[#This Row],[United States 3y]],#N/A)</f>
        <v/>
      </c>
    </row>
    <row r="1998">
      <c r="A1998" s="6">
        <f>Database!$A4083</f>
        <v/>
      </c>
      <c r="B1998">
        <f>IF(VLOOKUP(Table7[[#This Row],[Date]],Database!$A:$C,MATCH($B$1,Database!$A$1:$C$1,),)=0,#N/A,VLOOKUP(Table7[[#This Row],[Date]],Database!$A:$C,MATCH($B$1,Database!$A$1:$C$1,),))</f>
        <v/>
      </c>
      <c r="C1998">
        <f>IF(VLOOKUP(Table7[[#This Row],[Date]],Database!$A:$C,MATCH($C$1,Database!$A$1:$C$1,),)=0,#N/A,VLOOKUP(Table7[[#This Row],[Date]],Database!$A:$C,MATCH($C$1,Database!$A$1:$C$1,),))</f>
        <v/>
      </c>
      <c r="D1998">
        <f>IFERROR(Table7[[#This Row],[United States 10y]]-Table7[[#This Row],[United States 3y]],#N/A)</f>
        <v/>
      </c>
    </row>
    <row r="1999">
      <c r="A1999" s="6">
        <f>Database!$A4084</f>
        <v/>
      </c>
      <c r="B1999">
        <f>IF(VLOOKUP(Table7[[#This Row],[Date]],Database!$A:$C,MATCH($B$1,Database!$A$1:$C$1,),)=0,#N/A,VLOOKUP(Table7[[#This Row],[Date]],Database!$A:$C,MATCH($B$1,Database!$A$1:$C$1,),))</f>
        <v/>
      </c>
      <c r="C1999">
        <f>IF(VLOOKUP(Table7[[#This Row],[Date]],Database!$A:$C,MATCH($C$1,Database!$A$1:$C$1,),)=0,#N/A,VLOOKUP(Table7[[#This Row],[Date]],Database!$A:$C,MATCH($C$1,Database!$A$1:$C$1,),))</f>
        <v/>
      </c>
      <c r="D1999">
        <f>IFERROR(Table7[[#This Row],[United States 10y]]-Table7[[#This Row],[United States 3y]],#N/A)</f>
        <v/>
      </c>
    </row>
    <row r="2000">
      <c r="A2000" s="6">
        <f>Database!$A4085</f>
        <v/>
      </c>
      <c r="B2000">
        <f>IF(VLOOKUP(Table7[[#This Row],[Date]],Database!$A:$C,MATCH($B$1,Database!$A$1:$C$1,),)=0,#N/A,VLOOKUP(Table7[[#This Row],[Date]],Database!$A:$C,MATCH($B$1,Database!$A$1:$C$1,),))</f>
        <v/>
      </c>
      <c r="C2000">
        <f>IF(VLOOKUP(Table7[[#This Row],[Date]],Database!$A:$C,MATCH($C$1,Database!$A$1:$C$1,),)=0,#N/A,VLOOKUP(Table7[[#This Row],[Date]],Database!$A:$C,MATCH($C$1,Database!$A$1:$C$1,),))</f>
        <v/>
      </c>
      <c r="D2000">
        <f>IFERROR(Table7[[#This Row],[United States 10y]]-Table7[[#This Row],[United States 3y]],#N/A)</f>
        <v/>
      </c>
    </row>
    <row r="2001">
      <c r="A2001" s="6">
        <f>Database!$A4086</f>
        <v/>
      </c>
      <c r="B2001">
        <f>IF(VLOOKUP(Table7[[#This Row],[Date]],Database!$A:$C,MATCH($B$1,Database!$A$1:$C$1,),)=0,#N/A,VLOOKUP(Table7[[#This Row],[Date]],Database!$A:$C,MATCH($B$1,Database!$A$1:$C$1,),))</f>
        <v/>
      </c>
      <c r="C2001">
        <f>IF(VLOOKUP(Table7[[#This Row],[Date]],Database!$A:$C,MATCH($C$1,Database!$A$1:$C$1,),)=0,#N/A,VLOOKUP(Table7[[#This Row],[Date]],Database!$A:$C,MATCH($C$1,Database!$A$1:$C$1,),))</f>
        <v/>
      </c>
      <c r="D2001">
        <f>IFERROR(Table7[[#This Row],[United States 10y]]-Table7[[#This Row],[United States 3y]],#N/A)</f>
        <v/>
      </c>
    </row>
    <row r="2002">
      <c r="A2002" s="6">
        <f>Database!$A4087</f>
        <v/>
      </c>
      <c r="B2002">
        <f>IF(VLOOKUP(Table7[[#This Row],[Date]],Database!$A:$C,MATCH($B$1,Database!$A$1:$C$1,),)=0,#N/A,VLOOKUP(Table7[[#This Row],[Date]],Database!$A:$C,MATCH($B$1,Database!$A$1:$C$1,),))</f>
        <v/>
      </c>
      <c r="C2002">
        <f>IF(VLOOKUP(Table7[[#This Row],[Date]],Database!$A:$C,MATCH($C$1,Database!$A$1:$C$1,),)=0,#N/A,VLOOKUP(Table7[[#This Row],[Date]],Database!$A:$C,MATCH($C$1,Database!$A$1:$C$1,),))</f>
        <v/>
      </c>
      <c r="D2002">
        <f>IFERROR(Table7[[#This Row],[United States 10y]]-Table7[[#This Row],[United States 3y]],#N/A)</f>
        <v/>
      </c>
    </row>
    <row r="2003">
      <c r="A2003" s="6">
        <f>Database!$A4088</f>
        <v/>
      </c>
      <c r="B2003">
        <f>IF(VLOOKUP(Table7[[#This Row],[Date]],Database!$A:$C,MATCH($B$1,Database!$A$1:$C$1,),)=0,#N/A,VLOOKUP(Table7[[#This Row],[Date]],Database!$A:$C,MATCH($B$1,Database!$A$1:$C$1,),))</f>
        <v/>
      </c>
      <c r="C2003">
        <f>IF(VLOOKUP(Table7[[#This Row],[Date]],Database!$A:$C,MATCH($C$1,Database!$A$1:$C$1,),)=0,#N/A,VLOOKUP(Table7[[#This Row],[Date]],Database!$A:$C,MATCH($C$1,Database!$A$1:$C$1,),))</f>
        <v/>
      </c>
      <c r="D2003">
        <f>IFERROR(Table7[[#This Row],[United States 10y]]-Table7[[#This Row],[United States 3y]],#N/A)</f>
        <v/>
      </c>
    </row>
    <row r="2004">
      <c r="A2004" s="6">
        <f>Database!$A4089</f>
        <v/>
      </c>
      <c r="B2004">
        <f>IF(VLOOKUP(Table7[[#This Row],[Date]],Database!$A:$C,MATCH($B$1,Database!$A$1:$C$1,),)=0,#N/A,VLOOKUP(Table7[[#This Row],[Date]],Database!$A:$C,MATCH($B$1,Database!$A$1:$C$1,),))</f>
        <v/>
      </c>
      <c r="C2004">
        <f>IF(VLOOKUP(Table7[[#This Row],[Date]],Database!$A:$C,MATCH($C$1,Database!$A$1:$C$1,),)=0,#N/A,VLOOKUP(Table7[[#This Row],[Date]],Database!$A:$C,MATCH($C$1,Database!$A$1:$C$1,),))</f>
        <v/>
      </c>
      <c r="D2004">
        <f>IFERROR(Table7[[#This Row],[United States 10y]]-Table7[[#This Row],[United States 3y]],#N/A)</f>
        <v/>
      </c>
    </row>
    <row r="2005">
      <c r="A2005" s="6">
        <f>Database!$A4090</f>
        <v/>
      </c>
      <c r="B2005">
        <f>IF(VLOOKUP(Table7[[#This Row],[Date]],Database!$A:$C,MATCH($B$1,Database!$A$1:$C$1,),)=0,#N/A,VLOOKUP(Table7[[#This Row],[Date]],Database!$A:$C,MATCH($B$1,Database!$A$1:$C$1,),))</f>
        <v/>
      </c>
      <c r="C2005">
        <f>IF(VLOOKUP(Table7[[#This Row],[Date]],Database!$A:$C,MATCH($C$1,Database!$A$1:$C$1,),)=0,#N/A,VLOOKUP(Table7[[#This Row],[Date]],Database!$A:$C,MATCH($C$1,Database!$A$1:$C$1,),))</f>
        <v/>
      </c>
      <c r="D2005">
        <f>IFERROR(Table7[[#This Row],[United States 10y]]-Table7[[#This Row],[United States 3y]],#N/A)</f>
        <v/>
      </c>
    </row>
    <row r="2006">
      <c r="A2006" s="6">
        <f>Database!$A4091</f>
        <v/>
      </c>
      <c r="B2006">
        <f>IF(VLOOKUP(Table7[[#This Row],[Date]],Database!$A:$C,MATCH($B$1,Database!$A$1:$C$1,),)=0,#N/A,VLOOKUP(Table7[[#This Row],[Date]],Database!$A:$C,MATCH($B$1,Database!$A$1:$C$1,),))</f>
        <v/>
      </c>
      <c r="C2006">
        <f>IF(VLOOKUP(Table7[[#This Row],[Date]],Database!$A:$C,MATCH($C$1,Database!$A$1:$C$1,),)=0,#N/A,VLOOKUP(Table7[[#This Row],[Date]],Database!$A:$C,MATCH($C$1,Database!$A$1:$C$1,),))</f>
        <v/>
      </c>
      <c r="D2006">
        <f>IFERROR(Table7[[#This Row],[United States 10y]]-Table7[[#This Row],[United States 3y]],#N/A)</f>
        <v/>
      </c>
    </row>
    <row r="2007">
      <c r="A2007" s="6">
        <f>Database!$A4092</f>
        <v/>
      </c>
      <c r="B2007">
        <f>IF(VLOOKUP(Table7[[#This Row],[Date]],Database!$A:$C,MATCH($B$1,Database!$A$1:$C$1,),)=0,#N/A,VLOOKUP(Table7[[#This Row],[Date]],Database!$A:$C,MATCH($B$1,Database!$A$1:$C$1,),))</f>
        <v/>
      </c>
      <c r="C2007">
        <f>IF(VLOOKUP(Table7[[#This Row],[Date]],Database!$A:$C,MATCH($C$1,Database!$A$1:$C$1,),)=0,#N/A,VLOOKUP(Table7[[#This Row],[Date]],Database!$A:$C,MATCH($C$1,Database!$A$1:$C$1,),))</f>
        <v/>
      </c>
      <c r="D2007">
        <f>IFERROR(Table7[[#This Row],[United States 10y]]-Table7[[#This Row],[United States 3y]],#N/A)</f>
        <v/>
      </c>
    </row>
    <row r="2008">
      <c r="A2008" s="6">
        <f>Database!$A4093</f>
        <v/>
      </c>
      <c r="B2008">
        <f>IF(VLOOKUP(Table7[[#This Row],[Date]],Database!$A:$C,MATCH($B$1,Database!$A$1:$C$1,),)=0,#N/A,VLOOKUP(Table7[[#This Row],[Date]],Database!$A:$C,MATCH($B$1,Database!$A$1:$C$1,),))</f>
        <v/>
      </c>
      <c r="C2008">
        <f>IF(VLOOKUP(Table7[[#This Row],[Date]],Database!$A:$C,MATCH($C$1,Database!$A$1:$C$1,),)=0,#N/A,VLOOKUP(Table7[[#This Row],[Date]],Database!$A:$C,MATCH($C$1,Database!$A$1:$C$1,),))</f>
        <v/>
      </c>
      <c r="D2008">
        <f>IFERROR(Table7[[#This Row],[United States 10y]]-Table7[[#This Row],[United States 3y]],#N/A)</f>
        <v/>
      </c>
    </row>
    <row r="2009">
      <c r="A2009" s="6">
        <f>Database!$A4094</f>
        <v/>
      </c>
      <c r="B2009">
        <f>IF(VLOOKUP(Table7[[#This Row],[Date]],Database!$A:$C,MATCH($B$1,Database!$A$1:$C$1,),)=0,#N/A,VLOOKUP(Table7[[#This Row],[Date]],Database!$A:$C,MATCH($B$1,Database!$A$1:$C$1,),))</f>
        <v/>
      </c>
      <c r="C2009">
        <f>IF(VLOOKUP(Table7[[#This Row],[Date]],Database!$A:$C,MATCH($C$1,Database!$A$1:$C$1,),)=0,#N/A,VLOOKUP(Table7[[#This Row],[Date]],Database!$A:$C,MATCH($C$1,Database!$A$1:$C$1,),))</f>
        <v/>
      </c>
      <c r="D2009">
        <f>IFERROR(Table7[[#This Row],[United States 10y]]-Table7[[#This Row],[United States 3y]],#N/A)</f>
        <v/>
      </c>
    </row>
    <row r="2010">
      <c r="A2010" s="6">
        <f>Database!$A4095</f>
        <v/>
      </c>
      <c r="B2010">
        <f>IF(VLOOKUP(Table7[[#This Row],[Date]],Database!$A:$C,MATCH($B$1,Database!$A$1:$C$1,),)=0,#N/A,VLOOKUP(Table7[[#This Row],[Date]],Database!$A:$C,MATCH($B$1,Database!$A$1:$C$1,),))</f>
        <v/>
      </c>
      <c r="C2010">
        <f>IF(VLOOKUP(Table7[[#This Row],[Date]],Database!$A:$C,MATCH($C$1,Database!$A$1:$C$1,),)=0,#N/A,VLOOKUP(Table7[[#This Row],[Date]],Database!$A:$C,MATCH($C$1,Database!$A$1:$C$1,),))</f>
        <v/>
      </c>
      <c r="D2010">
        <f>IFERROR(Table7[[#This Row],[United States 10y]]-Table7[[#This Row],[United States 3y]],#N/A)</f>
        <v/>
      </c>
    </row>
    <row r="2011">
      <c r="A2011" s="6">
        <f>Database!$A4096</f>
        <v/>
      </c>
      <c r="B2011">
        <f>IF(VLOOKUP(Table7[[#This Row],[Date]],Database!$A:$C,MATCH($B$1,Database!$A$1:$C$1,),)=0,#N/A,VLOOKUP(Table7[[#This Row],[Date]],Database!$A:$C,MATCH($B$1,Database!$A$1:$C$1,),))</f>
        <v/>
      </c>
      <c r="C2011">
        <f>IF(VLOOKUP(Table7[[#This Row],[Date]],Database!$A:$C,MATCH($C$1,Database!$A$1:$C$1,),)=0,#N/A,VLOOKUP(Table7[[#This Row],[Date]],Database!$A:$C,MATCH($C$1,Database!$A$1:$C$1,),))</f>
        <v/>
      </c>
      <c r="D2011">
        <f>IFERROR(Table7[[#This Row],[United States 10y]]-Table7[[#This Row],[United States 3y]],#N/A)</f>
        <v/>
      </c>
    </row>
    <row r="2012">
      <c r="A2012" s="6">
        <f>Database!$A4097</f>
        <v/>
      </c>
      <c r="B2012">
        <f>IF(VLOOKUP(Table7[[#This Row],[Date]],Database!$A:$C,MATCH($B$1,Database!$A$1:$C$1,),)=0,#N/A,VLOOKUP(Table7[[#This Row],[Date]],Database!$A:$C,MATCH($B$1,Database!$A$1:$C$1,),))</f>
        <v/>
      </c>
      <c r="C2012">
        <f>IF(VLOOKUP(Table7[[#This Row],[Date]],Database!$A:$C,MATCH($C$1,Database!$A$1:$C$1,),)=0,#N/A,VLOOKUP(Table7[[#This Row],[Date]],Database!$A:$C,MATCH($C$1,Database!$A$1:$C$1,),))</f>
        <v/>
      </c>
      <c r="D2012">
        <f>IFERROR(Table7[[#This Row],[United States 10y]]-Table7[[#This Row],[United States 3y]],#N/A)</f>
        <v/>
      </c>
    </row>
    <row r="2013">
      <c r="A2013" s="6">
        <f>Database!$A4098</f>
        <v/>
      </c>
      <c r="B2013">
        <f>IF(VLOOKUP(Table7[[#This Row],[Date]],Database!$A:$C,MATCH($B$1,Database!$A$1:$C$1,),)=0,#N/A,VLOOKUP(Table7[[#This Row],[Date]],Database!$A:$C,MATCH($B$1,Database!$A$1:$C$1,),))</f>
        <v/>
      </c>
      <c r="C2013">
        <f>IF(VLOOKUP(Table7[[#This Row],[Date]],Database!$A:$C,MATCH($C$1,Database!$A$1:$C$1,),)=0,#N/A,VLOOKUP(Table7[[#This Row],[Date]],Database!$A:$C,MATCH($C$1,Database!$A$1:$C$1,),))</f>
        <v/>
      </c>
      <c r="D2013">
        <f>IFERROR(Table7[[#This Row],[United States 10y]]-Table7[[#This Row],[United States 3y]],#N/A)</f>
        <v/>
      </c>
    </row>
    <row r="2014">
      <c r="A2014" s="6">
        <f>Database!$A4099</f>
        <v/>
      </c>
      <c r="B2014">
        <f>IF(VLOOKUP(Table7[[#This Row],[Date]],Database!$A:$C,MATCH($B$1,Database!$A$1:$C$1,),)=0,#N/A,VLOOKUP(Table7[[#This Row],[Date]],Database!$A:$C,MATCH($B$1,Database!$A$1:$C$1,),))</f>
        <v/>
      </c>
      <c r="C2014">
        <f>IF(VLOOKUP(Table7[[#This Row],[Date]],Database!$A:$C,MATCH($C$1,Database!$A$1:$C$1,),)=0,#N/A,VLOOKUP(Table7[[#This Row],[Date]],Database!$A:$C,MATCH($C$1,Database!$A$1:$C$1,),))</f>
        <v/>
      </c>
      <c r="D2014">
        <f>IFERROR(Table7[[#This Row],[United States 10y]]-Table7[[#This Row],[United States 3y]],#N/A)</f>
        <v/>
      </c>
    </row>
    <row r="2015">
      <c r="A2015" s="6">
        <f>Database!$A4100</f>
        <v/>
      </c>
      <c r="B2015">
        <f>IF(VLOOKUP(Table7[[#This Row],[Date]],Database!$A:$C,MATCH($B$1,Database!$A$1:$C$1,),)=0,#N/A,VLOOKUP(Table7[[#This Row],[Date]],Database!$A:$C,MATCH($B$1,Database!$A$1:$C$1,),))</f>
        <v/>
      </c>
      <c r="C2015">
        <f>IF(VLOOKUP(Table7[[#This Row],[Date]],Database!$A:$C,MATCH($C$1,Database!$A$1:$C$1,),)=0,#N/A,VLOOKUP(Table7[[#This Row],[Date]],Database!$A:$C,MATCH($C$1,Database!$A$1:$C$1,),))</f>
        <v/>
      </c>
      <c r="D2015">
        <f>IFERROR(Table7[[#This Row],[United States 10y]]-Table7[[#This Row],[United States 3y]],#N/A)</f>
        <v/>
      </c>
    </row>
    <row r="2016">
      <c r="A2016" s="6">
        <f>Database!$A4101</f>
        <v/>
      </c>
      <c r="B2016">
        <f>IF(VLOOKUP(Table7[[#This Row],[Date]],Database!$A:$C,MATCH($B$1,Database!$A$1:$C$1,),)=0,#N/A,VLOOKUP(Table7[[#This Row],[Date]],Database!$A:$C,MATCH($B$1,Database!$A$1:$C$1,),))</f>
        <v/>
      </c>
      <c r="C2016">
        <f>IF(VLOOKUP(Table7[[#This Row],[Date]],Database!$A:$C,MATCH($C$1,Database!$A$1:$C$1,),)=0,#N/A,VLOOKUP(Table7[[#This Row],[Date]],Database!$A:$C,MATCH($C$1,Database!$A$1:$C$1,),))</f>
        <v/>
      </c>
      <c r="D2016">
        <f>IFERROR(Table7[[#This Row],[United States 10y]]-Table7[[#This Row],[United States 3y]],#N/A)</f>
        <v/>
      </c>
    </row>
    <row r="2017">
      <c r="A2017" s="6">
        <f>Database!$A4102</f>
        <v/>
      </c>
      <c r="B2017">
        <f>IF(VLOOKUP(Table7[[#This Row],[Date]],Database!$A:$C,MATCH($B$1,Database!$A$1:$C$1,),)=0,#N/A,VLOOKUP(Table7[[#This Row],[Date]],Database!$A:$C,MATCH($B$1,Database!$A$1:$C$1,),))</f>
        <v/>
      </c>
      <c r="C2017">
        <f>IF(VLOOKUP(Table7[[#This Row],[Date]],Database!$A:$C,MATCH($C$1,Database!$A$1:$C$1,),)=0,#N/A,VLOOKUP(Table7[[#This Row],[Date]],Database!$A:$C,MATCH($C$1,Database!$A$1:$C$1,),))</f>
        <v/>
      </c>
      <c r="D2017">
        <f>IFERROR(Table7[[#This Row],[United States 10y]]-Table7[[#This Row],[United States 3y]],#N/A)</f>
        <v/>
      </c>
    </row>
    <row r="2018">
      <c r="A2018" s="6">
        <f>Database!$A4103</f>
        <v/>
      </c>
      <c r="B2018">
        <f>IF(VLOOKUP(Table7[[#This Row],[Date]],Database!$A:$C,MATCH($B$1,Database!$A$1:$C$1,),)=0,#N/A,VLOOKUP(Table7[[#This Row],[Date]],Database!$A:$C,MATCH($B$1,Database!$A$1:$C$1,),))</f>
        <v/>
      </c>
      <c r="C2018">
        <f>IF(VLOOKUP(Table7[[#This Row],[Date]],Database!$A:$C,MATCH($C$1,Database!$A$1:$C$1,),)=0,#N/A,VLOOKUP(Table7[[#This Row],[Date]],Database!$A:$C,MATCH($C$1,Database!$A$1:$C$1,),))</f>
        <v/>
      </c>
      <c r="D2018">
        <f>IFERROR(Table7[[#This Row],[United States 10y]]-Table7[[#This Row],[United States 3y]],#N/A)</f>
        <v/>
      </c>
    </row>
    <row r="2019">
      <c r="A2019" s="6">
        <f>Database!$A4104</f>
        <v/>
      </c>
      <c r="B2019">
        <f>IF(VLOOKUP(Table7[[#This Row],[Date]],Database!$A:$C,MATCH($B$1,Database!$A$1:$C$1,),)=0,#N/A,VLOOKUP(Table7[[#This Row],[Date]],Database!$A:$C,MATCH($B$1,Database!$A$1:$C$1,),))</f>
        <v/>
      </c>
      <c r="C2019">
        <f>IF(VLOOKUP(Table7[[#This Row],[Date]],Database!$A:$C,MATCH($C$1,Database!$A$1:$C$1,),)=0,#N/A,VLOOKUP(Table7[[#This Row],[Date]],Database!$A:$C,MATCH($C$1,Database!$A$1:$C$1,),))</f>
        <v/>
      </c>
      <c r="D2019">
        <f>IFERROR(Table7[[#This Row],[United States 10y]]-Table7[[#This Row],[United States 3y]],#N/A)</f>
        <v/>
      </c>
    </row>
    <row r="2020">
      <c r="A2020" s="6">
        <f>Database!$A4105</f>
        <v/>
      </c>
      <c r="B2020">
        <f>IF(VLOOKUP(Table7[[#This Row],[Date]],Database!$A:$C,MATCH($B$1,Database!$A$1:$C$1,),)=0,#N/A,VLOOKUP(Table7[[#This Row],[Date]],Database!$A:$C,MATCH($B$1,Database!$A$1:$C$1,),))</f>
        <v/>
      </c>
      <c r="C2020">
        <f>IF(VLOOKUP(Table7[[#This Row],[Date]],Database!$A:$C,MATCH($C$1,Database!$A$1:$C$1,),)=0,#N/A,VLOOKUP(Table7[[#This Row],[Date]],Database!$A:$C,MATCH($C$1,Database!$A$1:$C$1,),))</f>
        <v/>
      </c>
      <c r="D2020">
        <f>IFERROR(Table7[[#This Row],[United States 10y]]-Table7[[#This Row],[United States 3y]],#N/A)</f>
        <v/>
      </c>
    </row>
    <row r="2021">
      <c r="A2021" s="6">
        <f>Database!$A4106</f>
        <v/>
      </c>
      <c r="B2021">
        <f>IF(VLOOKUP(Table7[[#This Row],[Date]],Database!$A:$C,MATCH($B$1,Database!$A$1:$C$1,),)=0,#N/A,VLOOKUP(Table7[[#This Row],[Date]],Database!$A:$C,MATCH($B$1,Database!$A$1:$C$1,),))</f>
        <v/>
      </c>
      <c r="C2021">
        <f>IF(VLOOKUP(Table7[[#This Row],[Date]],Database!$A:$C,MATCH($C$1,Database!$A$1:$C$1,),)=0,#N/A,VLOOKUP(Table7[[#This Row],[Date]],Database!$A:$C,MATCH($C$1,Database!$A$1:$C$1,),))</f>
        <v/>
      </c>
      <c r="D2021">
        <f>IFERROR(Table7[[#This Row],[United States 10y]]-Table7[[#This Row],[United States 3y]],#N/A)</f>
        <v/>
      </c>
    </row>
    <row r="2022">
      <c r="A2022" s="6">
        <f>Database!$A4107</f>
        <v/>
      </c>
      <c r="B2022">
        <f>IF(VLOOKUP(Table7[[#This Row],[Date]],Database!$A:$C,MATCH($B$1,Database!$A$1:$C$1,),)=0,#N/A,VLOOKUP(Table7[[#This Row],[Date]],Database!$A:$C,MATCH($B$1,Database!$A$1:$C$1,),))</f>
        <v/>
      </c>
      <c r="C2022">
        <f>IF(VLOOKUP(Table7[[#This Row],[Date]],Database!$A:$C,MATCH($C$1,Database!$A$1:$C$1,),)=0,#N/A,VLOOKUP(Table7[[#This Row],[Date]],Database!$A:$C,MATCH($C$1,Database!$A$1:$C$1,),))</f>
        <v/>
      </c>
      <c r="D2022">
        <f>IFERROR(Table7[[#This Row],[United States 10y]]-Table7[[#This Row],[United States 3y]],#N/A)</f>
        <v/>
      </c>
    </row>
    <row r="2023">
      <c r="A2023" s="6">
        <f>Database!$A4108</f>
        <v/>
      </c>
      <c r="B2023">
        <f>IF(VLOOKUP(Table7[[#This Row],[Date]],Database!$A:$C,MATCH($B$1,Database!$A$1:$C$1,),)=0,#N/A,VLOOKUP(Table7[[#This Row],[Date]],Database!$A:$C,MATCH($B$1,Database!$A$1:$C$1,),))</f>
        <v/>
      </c>
      <c r="C2023">
        <f>IF(VLOOKUP(Table7[[#This Row],[Date]],Database!$A:$C,MATCH($C$1,Database!$A$1:$C$1,),)=0,#N/A,VLOOKUP(Table7[[#This Row],[Date]],Database!$A:$C,MATCH($C$1,Database!$A$1:$C$1,),))</f>
        <v/>
      </c>
      <c r="D2023">
        <f>IFERROR(Table7[[#This Row],[United States 10y]]-Table7[[#This Row],[United States 3y]],#N/A)</f>
        <v/>
      </c>
    </row>
    <row r="2024">
      <c r="A2024" s="6">
        <f>Database!$A4109</f>
        <v/>
      </c>
      <c r="B2024">
        <f>IF(VLOOKUP(Table7[[#This Row],[Date]],Database!$A:$C,MATCH($B$1,Database!$A$1:$C$1,),)=0,#N/A,VLOOKUP(Table7[[#This Row],[Date]],Database!$A:$C,MATCH($B$1,Database!$A$1:$C$1,),))</f>
        <v/>
      </c>
      <c r="C2024">
        <f>IF(VLOOKUP(Table7[[#This Row],[Date]],Database!$A:$C,MATCH($C$1,Database!$A$1:$C$1,),)=0,#N/A,VLOOKUP(Table7[[#This Row],[Date]],Database!$A:$C,MATCH($C$1,Database!$A$1:$C$1,),))</f>
        <v/>
      </c>
      <c r="D2024">
        <f>IFERROR(Table7[[#This Row],[United States 10y]]-Table7[[#This Row],[United States 3y]],#N/A)</f>
        <v/>
      </c>
    </row>
    <row r="2025">
      <c r="A2025" s="6">
        <f>Database!$A4110</f>
        <v/>
      </c>
      <c r="B2025">
        <f>IF(VLOOKUP(Table7[[#This Row],[Date]],Database!$A:$C,MATCH($B$1,Database!$A$1:$C$1,),)=0,#N/A,VLOOKUP(Table7[[#This Row],[Date]],Database!$A:$C,MATCH($B$1,Database!$A$1:$C$1,),))</f>
        <v/>
      </c>
      <c r="C2025">
        <f>IF(VLOOKUP(Table7[[#This Row],[Date]],Database!$A:$C,MATCH($C$1,Database!$A$1:$C$1,),)=0,#N/A,VLOOKUP(Table7[[#This Row],[Date]],Database!$A:$C,MATCH($C$1,Database!$A$1:$C$1,),))</f>
        <v/>
      </c>
      <c r="D2025">
        <f>IFERROR(Table7[[#This Row],[United States 10y]]-Table7[[#This Row],[United States 3y]],#N/A)</f>
        <v/>
      </c>
    </row>
    <row r="2026">
      <c r="A2026" s="6">
        <f>Database!$A4111</f>
        <v/>
      </c>
      <c r="B2026">
        <f>IF(VLOOKUP(Table7[[#This Row],[Date]],Database!$A:$C,MATCH($B$1,Database!$A$1:$C$1,),)=0,#N/A,VLOOKUP(Table7[[#This Row],[Date]],Database!$A:$C,MATCH($B$1,Database!$A$1:$C$1,),))</f>
        <v/>
      </c>
      <c r="C2026">
        <f>IF(VLOOKUP(Table7[[#This Row],[Date]],Database!$A:$C,MATCH($C$1,Database!$A$1:$C$1,),)=0,#N/A,VLOOKUP(Table7[[#This Row],[Date]],Database!$A:$C,MATCH($C$1,Database!$A$1:$C$1,),))</f>
        <v/>
      </c>
      <c r="D2026">
        <f>IFERROR(Table7[[#This Row],[United States 10y]]-Table7[[#This Row],[United States 3y]],#N/A)</f>
        <v/>
      </c>
    </row>
    <row r="2027">
      <c r="A2027" s="6">
        <f>Database!$A4112</f>
        <v/>
      </c>
      <c r="B2027">
        <f>IF(VLOOKUP(Table7[[#This Row],[Date]],Database!$A:$C,MATCH($B$1,Database!$A$1:$C$1,),)=0,#N/A,VLOOKUP(Table7[[#This Row],[Date]],Database!$A:$C,MATCH($B$1,Database!$A$1:$C$1,),))</f>
        <v/>
      </c>
      <c r="C2027">
        <f>IF(VLOOKUP(Table7[[#This Row],[Date]],Database!$A:$C,MATCH($C$1,Database!$A$1:$C$1,),)=0,#N/A,VLOOKUP(Table7[[#This Row],[Date]],Database!$A:$C,MATCH($C$1,Database!$A$1:$C$1,),))</f>
        <v/>
      </c>
      <c r="D2027">
        <f>IFERROR(Table7[[#This Row],[United States 10y]]-Table7[[#This Row],[United States 3y]],#N/A)</f>
        <v/>
      </c>
    </row>
    <row r="2028">
      <c r="A2028" s="6">
        <f>Database!$A4113</f>
        <v/>
      </c>
      <c r="B2028">
        <f>IF(VLOOKUP(Table7[[#This Row],[Date]],Database!$A:$C,MATCH($B$1,Database!$A$1:$C$1,),)=0,#N/A,VLOOKUP(Table7[[#This Row],[Date]],Database!$A:$C,MATCH($B$1,Database!$A$1:$C$1,),))</f>
        <v/>
      </c>
      <c r="C2028">
        <f>IF(VLOOKUP(Table7[[#This Row],[Date]],Database!$A:$C,MATCH($C$1,Database!$A$1:$C$1,),)=0,#N/A,VLOOKUP(Table7[[#This Row],[Date]],Database!$A:$C,MATCH($C$1,Database!$A$1:$C$1,),))</f>
        <v/>
      </c>
      <c r="D2028">
        <f>IFERROR(Table7[[#This Row],[United States 10y]]-Table7[[#This Row],[United States 3y]],#N/A)</f>
        <v/>
      </c>
    </row>
    <row r="2029">
      <c r="A2029" s="6">
        <f>Database!$A4114</f>
        <v/>
      </c>
      <c r="B2029">
        <f>IF(VLOOKUP(Table7[[#This Row],[Date]],Database!$A:$C,MATCH($B$1,Database!$A$1:$C$1,),)=0,#N/A,VLOOKUP(Table7[[#This Row],[Date]],Database!$A:$C,MATCH($B$1,Database!$A$1:$C$1,),))</f>
        <v/>
      </c>
      <c r="C2029">
        <f>IF(VLOOKUP(Table7[[#This Row],[Date]],Database!$A:$C,MATCH($C$1,Database!$A$1:$C$1,),)=0,#N/A,VLOOKUP(Table7[[#This Row],[Date]],Database!$A:$C,MATCH($C$1,Database!$A$1:$C$1,),))</f>
        <v/>
      </c>
      <c r="D2029">
        <f>IFERROR(Table7[[#This Row],[United States 10y]]-Table7[[#This Row],[United States 3y]],#N/A)</f>
        <v/>
      </c>
    </row>
    <row r="2030">
      <c r="A2030" s="6">
        <f>Database!$A4115</f>
        <v/>
      </c>
      <c r="B2030">
        <f>IF(VLOOKUP(Table7[[#This Row],[Date]],Database!$A:$C,MATCH($B$1,Database!$A$1:$C$1,),)=0,#N/A,VLOOKUP(Table7[[#This Row],[Date]],Database!$A:$C,MATCH($B$1,Database!$A$1:$C$1,),))</f>
        <v/>
      </c>
      <c r="C2030">
        <f>IF(VLOOKUP(Table7[[#This Row],[Date]],Database!$A:$C,MATCH($C$1,Database!$A$1:$C$1,),)=0,#N/A,VLOOKUP(Table7[[#This Row],[Date]],Database!$A:$C,MATCH($C$1,Database!$A$1:$C$1,),))</f>
        <v/>
      </c>
      <c r="D2030">
        <f>IFERROR(Table7[[#This Row],[United States 10y]]-Table7[[#This Row],[United States 3y]],#N/A)</f>
        <v/>
      </c>
    </row>
    <row r="2031">
      <c r="A2031" s="6">
        <f>Database!$A4116</f>
        <v/>
      </c>
      <c r="B2031">
        <f>IF(VLOOKUP(Table7[[#This Row],[Date]],Database!$A:$C,MATCH($B$1,Database!$A$1:$C$1,),)=0,#N/A,VLOOKUP(Table7[[#This Row],[Date]],Database!$A:$C,MATCH($B$1,Database!$A$1:$C$1,),))</f>
        <v/>
      </c>
      <c r="C2031">
        <f>IF(VLOOKUP(Table7[[#This Row],[Date]],Database!$A:$C,MATCH($C$1,Database!$A$1:$C$1,),)=0,#N/A,VLOOKUP(Table7[[#This Row],[Date]],Database!$A:$C,MATCH($C$1,Database!$A$1:$C$1,),))</f>
        <v/>
      </c>
      <c r="D2031">
        <f>IFERROR(Table7[[#This Row],[United States 10y]]-Table7[[#This Row],[United States 3y]],#N/A)</f>
        <v/>
      </c>
    </row>
    <row r="2032">
      <c r="A2032" s="6">
        <f>Database!$A4117</f>
        <v/>
      </c>
      <c r="B2032">
        <f>IF(VLOOKUP(Table7[[#This Row],[Date]],Database!$A:$C,MATCH($B$1,Database!$A$1:$C$1,),)=0,#N/A,VLOOKUP(Table7[[#This Row],[Date]],Database!$A:$C,MATCH($B$1,Database!$A$1:$C$1,),))</f>
        <v/>
      </c>
      <c r="C2032">
        <f>IF(VLOOKUP(Table7[[#This Row],[Date]],Database!$A:$C,MATCH($C$1,Database!$A$1:$C$1,),)=0,#N/A,VLOOKUP(Table7[[#This Row],[Date]],Database!$A:$C,MATCH($C$1,Database!$A$1:$C$1,),))</f>
        <v/>
      </c>
      <c r="D2032">
        <f>IFERROR(Table7[[#This Row],[United States 10y]]-Table7[[#This Row],[United States 3y]],#N/A)</f>
        <v/>
      </c>
    </row>
    <row r="2033">
      <c r="A2033" s="6">
        <f>Database!$A4118</f>
        <v/>
      </c>
      <c r="B2033">
        <f>IF(VLOOKUP(Table7[[#This Row],[Date]],Database!$A:$C,MATCH($B$1,Database!$A$1:$C$1,),)=0,#N/A,VLOOKUP(Table7[[#This Row],[Date]],Database!$A:$C,MATCH($B$1,Database!$A$1:$C$1,),))</f>
        <v/>
      </c>
      <c r="C2033">
        <f>IF(VLOOKUP(Table7[[#This Row],[Date]],Database!$A:$C,MATCH($C$1,Database!$A$1:$C$1,),)=0,#N/A,VLOOKUP(Table7[[#This Row],[Date]],Database!$A:$C,MATCH($C$1,Database!$A$1:$C$1,),))</f>
        <v/>
      </c>
      <c r="D2033">
        <f>IFERROR(Table7[[#This Row],[United States 10y]]-Table7[[#This Row],[United States 3y]],#N/A)</f>
        <v/>
      </c>
    </row>
    <row r="2034">
      <c r="A2034" s="6">
        <f>Database!$A4119</f>
        <v/>
      </c>
      <c r="B2034">
        <f>IF(VLOOKUP(Table7[[#This Row],[Date]],Database!$A:$C,MATCH($B$1,Database!$A$1:$C$1,),)=0,#N/A,VLOOKUP(Table7[[#This Row],[Date]],Database!$A:$C,MATCH($B$1,Database!$A$1:$C$1,),))</f>
        <v/>
      </c>
      <c r="C2034">
        <f>IF(VLOOKUP(Table7[[#This Row],[Date]],Database!$A:$C,MATCH($C$1,Database!$A$1:$C$1,),)=0,#N/A,VLOOKUP(Table7[[#This Row],[Date]],Database!$A:$C,MATCH($C$1,Database!$A$1:$C$1,),))</f>
        <v/>
      </c>
      <c r="D2034">
        <f>IFERROR(Table7[[#This Row],[United States 10y]]-Table7[[#This Row],[United States 3y]],#N/A)</f>
        <v/>
      </c>
    </row>
    <row r="2035">
      <c r="A2035" s="6">
        <f>Database!$A4120</f>
        <v/>
      </c>
      <c r="B2035">
        <f>IF(VLOOKUP(Table7[[#This Row],[Date]],Database!$A:$C,MATCH($B$1,Database!$A$1:$C$1,),)=0,#N/A,VLOOKUP(Table7[[#This Row],[Date]],Database!$A:$C,MATCH($B$1,Database!$A$1:$C$1,),))</f>
        <v/>
      </c>
      <c r="C2035">
        <f>IF(VLOOKUP(Table7[[#This Row],[Date]],Database!$A:$C,MATCH($C$1,Database!$A$1:$C$1,),)=0,#N/A,VLOOKUP(Table7[[#This Row],[Date]],Database!$A:$C,MATCH($C$1,Database!$A$1:$C$1,),))</f>
        <v/>
      </c>
      <c r="D2035">
        <f>IFERROR(Table7[[#This Row],[United States 10y]]-Table7[[#This Row],[United States 3y]],#N/A)</f>
        <v/>
      </c>
    </row>
    <row r="2036">
      <c r="A2036" s="6">
        <f>Database!$A4121</f>
        <v/>
      </c>
      <c r="B2036">
        <f>IF(VLOOKUP(Table7[[#This Row],[Date]],Database!$A:$C,MATCH($B$1,Database!$A$1:$C$1,),)=0,#N/A,VLOOKUP(Table7[[#This Row],[Date]],Database!$A:$C,MATCH($B$1,Database!$A$1:$C$1,),))</f>
        <v/>
      </c>
      <c r="C2036">
        <f>IF(VLOOKUP(Table7[[#This Row],[Date]],Database!$A:$C,MATCH($C$1,Database!$A$1:$C$1,),)=0,#N/A,VLOOKUP(Table7[[#This Row],[Date]],Database!$A:$C,MATCH($C$1,Database!$A$1:$C$1,),))</f>
        <v/>
      </c>
      <c r="D2036">
        <f>IFERROR(Table7[[#This Row],[United States 10y]]-Table7[[#This Row],[United States 3y]],#N/A)</f>
        <v/>
      </c>
    </row>
    <row r="2037">
      <c r="A2037" s="6">
        <f>Database!$A4122</f>
        <v/>
      </c>
      <c r="B2037">
        <f>IF(VLOOKUP(Table7[[#This Row],[Date]],Database!$A:$C,MATCH($B$1,Database!$A$1:$C$1,),)=0,#N/A,VLOOKUP(Table7[[#This Row],[Date]],Database!$A:$C,MATCH($B$1,Database!$A$1:$C$1,),))</f>
        <v/>
      </c>
      <c r="C2037">
        <f>IF(VLOOKUP(Table7[[#This Row],[Date]],Database!$A:$C,MATCH($C$1,Database!$A$1:$C$1,),)=0,#N/A,VLOOKUP(Table7[[#This Row],[Date]],Database!$A:$C,MATCH($C$1,Database!$A$1:$C$1,),))</f>
        <v/>
      </c>
      <c r="D2037">
        <f>IFERROR(Table7[[#This Row],[United States 10y]]-Table7[[#This Row],[United States 3y]],#N/A)</f>
        <v/>
      </c>
    </row>
    <row r="2038">
      <c r="A2038" s="6">
        <f>Database!$A4123</f>
        <v/>
      </c>
      <c r="B2038">
        <f>IF(VLOOKUP(Table7[[#This Row],[Date]],Database!$A:$C,MATCH($B$1,Database!$A$1:$C$1,),)=0,#N/A,VLOOKUP(Table7[[#This Row],[Date]],Database!$A:$C,MATCH($B$1,Database!$A$1:$C$1,),))</f>
        <v/>
      </c>
      <c r="C2038">
        <f>IF(VLOOKUP(Table7[[#This Row],[Date]],Database!$A:$C,MATCH($C$1,Database!$A$1:$C$1,),)=0,#N/A,VLOOKUP(Table7[[#This Row],[Date]],Database!$A:$C,MATCH($C$1,Database!$A$1:$C$1,),))</f>
        <v/>
      </c>
      <c r="D2038">
        <f>IFERROR(Table7[[#This Row],[United States 10y]]-Table7[[#This Row],[United States 3y]],#N/A)</f>
        <v/>
      </c>
    </row>
    <row r="2039">
      <c r="A2039" s="6">
        <f>Database!$A4124</f>
        <v/>
      </c>
      <c r="B2039">
        <f>IF(VLOOKUP(Table7[[#This Row],[Date]],Database!$A:$C,MATCH($B$1,Database!$A$1:$C$1,),)=0,#N/A,VLOOKUP(Table7[[#This Row],[Date]],Database!$A:$C,MATCH($B$1,Database!$A$1:$C$1,),))</f>
        <v/>
      </c>
      <c r="C2039">
        <f>IF(VLOOKUP(Table7[[#This Row],[Date]],Database!$A:$C,MATCH($C$1,Database!$A$1:$C$1,),)=0,#N/A,VLOOKUP(Table7[[#This Row],[Date]],Database!$A:$C,MATCH($C$1,Database!$A$1:$C$1,),))</f>
        <v/>
      </c>
      <c r="D2039">
        <f>IFERROR(Table7[[#This Row],[United States 10y]]-Table7[[#This Row],[United States 3y]],#N/A)</f>
        <v/>
      </c>
    </row>
    <row r="2040">
      <c r="A2040" s="6">
        <f>Database!$A4125</f>
        <v/>
      </c>
      <c r="B2040">
        <f>IF(VLOOKUP(Table7[[#This Row],[Date]],Database!$A:$C,MATCH($B$1,Database!$A$1:$C$1,),)=0,#N/A,VLOOKUP(Table7[[#This Row],[Date]],Database!$A:$C,MATCH($B$1,Database!$A$1:$C$1,),))</f>
        <v/>
      </c>
      <c r="C2040">
        <f>IF(VLOOKUP(Table7[[#This Row],[Date]],Database!$A:$C,MATCH($C$1,Database!$A$1:$C$1,),)=0,#N/A,VLOOKUP(Table7[[#This Row],[Date]],Database!$A:$C,MATCH($C$1,Database!$A$1:$C$1,),))</f>
        <v/>
      </c>
      <c r="D2040">
        <f>IFERROR(Table7[[#This Row],[United States 10y]]-Table7[[#This Row],[United States 3y]],#N/A)</f>
        <v/>
      </c>
    </row>
    <row r="2041">
      <c r="A2041" s="6">
        <f>Database!$A4126</f>
        <v/>
      </c>
      <c r="B2041">
        <f>IF(VLOOKUP(Table7[[#This Row],[Date]],Database!$A:$C,MATCH($B$1,Database!$A$1:$C$1,),)=0,#N/A,VLOOKUP(Table7[[#This Row],[Date]],Database!$A:$C,MATCH($B$1,Database!$A$1:$C$1,),))</f>
        <v/>
      </c>
      <c r="C2041">
        <f>IF(VLOOKUP(Table7[[#This Row],[Date]],Database!$A:$C,MATCH($C$1,Database!$A$1:$C$1,),)=0,#N/A,VLOOKUP(Table7[[#This Row],[Date]],Database!$A:$C,MATCH($C$1,Database!$A$1:$C$1,),))</f>
        <v/>
      </c>
      <c r="D2041">
        <f>IFERROR(Table7[[#This Row],[United States 10y]]-Table7[[#This Row],[United States 3y]],#N/A)</f>
        <v/>
      </c>
    </row>
    <row r="2042">
      <c r="A2042" s="6">
        <f>Database!$A4127</f>
        <v/>
      </c>
      <c r="B2042">
        <f>IF(VLOOKUP(Table7[[#This Row],[Date]],Database!$A:$C,MATCH($B$1,Database!$A$1:$C$1,),)=0,#N/A,VLOOKUP(Table7[[#This Row],[Date]],Database!$A:$C,MATCH($B$1,Database!$A$1:$C$1,),))</f>
        <v/>
      </c>
      <c r="C2042">
        <f>IF(VLOOKUP(Table7[[#This Row],[Date]],Database!$A:$C,MATCH($C$1,Database!$A$1:$C$1,),)=0,#N/A,VLOOKUP(Table7[[#This Row],[Date]],Database!$A:$C,MATCH($C$1,Database!$A$1:$C$1,),))</f>
        <v/>
      </c>
      <c r="D2042">
        <f>IFERROR(Table7[[#This Row],[United States 10y]]-Table7[[#This Row],[United States 3y]],#N/A)</f>
        <v/>
      </c>
    </row>
    <row r="2043">
      <c r="A2043" s="6">
        <f>Database!$A4128</f>
        <v/>
      </c>
      <c r="B2043">
        <f>IF(VLOOKUP(Table7[[#This Row],[Date]],Database!$A:$C,MATCH($B$1,Database!$A$1:$C$1,),)=0,#N/A,VLOOKUP(Table7[[#This Row],[Date]],Database!$A:$C,MATCH($B$1,Database!$A$1:$C$1,),))</f>
        <v/>
      </c>
      <c r="C2043">
        <f>IF(VLOOKUP(Table7[[#This Row],[Date]],Database!$A:$C,MATCH($C$1,Database!$A$1:$C$1,),)=0,#N/A,VLOOKUP(Table7[[#This Row],[Date]],Database!$A:$C,MATCH($C$1,Database!$A$1:$C$1,),))</f>
        <v/>
      </c>
      <c r="D2043">
        <f>IFERROR(Table7[[#This Row],[United States 10y]]-Table7[[#This Row],[United States 3y]],#N/A)</f>
        <v/>
      </c>
    </row>
    <row r="2044">
      <c r="A2044" s="6">
        <f>Database!$A4129</f>
        <v/>
      </c>
      <c r="B2044">
        <f>IF(VLOOKUP(Table7[[#This Row],[Date]],Database!$A:$C,MATCH($B$1,Database!$A$1:$C$1,),)=0,#N/A,VLOOKUP(Table7[[#This Row],[Date]],Database!$A:$C,MATCH($B$1,Database!$A$1:$C$1,),))</f>
        <v/>
      </c>
      <c r="C2044">
        <f>IF(VLOOKUP(Table7[[#This Row],[Date]],Database!$A:$C,MATCH($C$1,Database!$A$1:$C$1,),)=0,#N/A,VLOOKUP(Table7[[#This Row],[Date]],Database!$A:$C,MATCH($C$1,Database!$A$1:$C$1,),))</f>
        <v/>
      </c>
      <c r="D2044">
        <f>IFERROR(Table7[[#This Row],[United States 10y]]-Table7[[#This Row],[United States 3y]],#N/A)</f>
        <v/>
      </c>
    </row>
    <row r="2045">
      <c r="A2045" s="6">
        <f>Database!$A4130</f>
        <v/>
      </c>
      <c r="B2045">
        <f>IF(VLOOKUP(Table7[[#This Row],[Date]],Database!$A:$C,MATCH($B$1,Database!$A$1:$C$1,),)=0,#N/A,VLOOKUP(Table7[[#This Row],[Date]],Database!$A:$C,MATCH($B$1,Database!$A$1:$C$1,),))</f>
        <v/>
      </c>
      <c r="C2045">
        <f>IF(VLOOKUP(Table7[[#This Row],[Date]],Database!$A:$C,MATCH($C$1,Database!$A$1:$C$1,),)=0,#N/A,VLOOKUP(Table7[[#This Row],[Date]],Database!$A:$C,MATCH($C$1,Database!$A$1:$C$1,),))</f>
        <v/>
      </c>
      <c r="D2045">
        <f>IFERROR(Table7[[#This Row],[United States 10y]]-Table7[[#This Row],[United States 3y]],#N/A)</f>
        <v/>
      </c>
    </row>
    <row r="2046">
      <c r="A2046" s="6">
        <f>Database!$A4131</f>
        <v/>
      </c>
      <c r="B2046">
        <f>IF(VLOOKUP(Table7[[#This Row],[Date]],Database!$A:$C,MATCH($B$1,Database!$A$1:$C$1,),)=0,#N/A,VLOOKUP(Table7[[#This Row],[Date]],Database!$A:$C,MATCH($B$1,Database!$A$1:$C$1,),))</f>
        <v/>
      </c>
      <c r="C2046">
        <f>IF(VLOOKUP(Table7[[#This Row],[Date]],Database!$A:$C,MATCH($C$1,Database!$A$1:$C$1,),)=0,#N/A,VLOOKUP(Table7[[#This Row],[Date]],Database!$A:$C,MATCH($C$1,Database!$A$1:$C$1,),))</f>
        <v/>
      </c>
      <c r="D2046">
        <f>IFERROR(Table7[[#This Row],[United States 10y]]-Table7[[#This Row],[United States 3y]],#N/A)</f>
        <v/>
      </c>
    </row>
    <row r="2047">
      <c r="A2047" s="6">
        <f>Database!$A4132</f>
        <v/>
      </c>
      <c r="B2047">
        <f>IF(VLOOKUP(Table7[[#This Row],[Date]],Database!$A:$C,MATCH($B$1,Database!$A$1:$C$1,),)=0,#N/A,VLOOKUP(Table7[[#This Row],[Date]],Database!$A:$C,MATCH($B$1,Database!$A$1:$C$1,),))</f>
        <v/>
      </c>
      <c r="C2047">
        <f>IF(VLOOKUP(Table7[[#This Row],[Date]],Database!$A:$C,MATCH($C$1,Database!$A$1:$C$1,),)=0,#N/A,VLOOKUP(Table7[[#This Row],[Date]],Database!$A:$C,MATCH($C$1,Database!$A$1:$C$1,),))</f>
        <v/>
      </c>
      <c r="D2047">
        <f>IFERROR(Table7[[#This Row],[United States 10y]]-Table7[[#This Row],[United States 3y]],#N/A)</f>
        <v/>
      </c>
    </row>
    <row r="2048">
      <c r="A2048" s="6">
        <f>Database!$A4133</f>
        <v/>
      </c>
      <c r="B2048">
        <f>IF(VLOOKUP(Table7[[#This Row],[Date]],Database!$A:$C,MATCH($B$1,Database!$A$1:$C$1,),)=0,#N/A,VLOOKUP(Table7[[#This Row],[Date]],Database!$A:$C,MATCH($B$1,Database!$A$1:$C$1,),))</f>
        <v/>
      </c>
      <c r="C2048">
        <f>IF(VLOOKUP(Table7[[#This Row],[Date]],Database!$A:$C,MATCH($C$1,Database!$A$1:$C$1,),)=0,#N/A,VLOOKUP(Table7[[#This Row],[Date]],Database!$A:$C,MATCH($C$1,Database!$A$1:$C$1,),))</f>
        <v/>
      </c>
      <c r="D2048">
        <f>IFERROR(Table7[[#This Row],[United States 10y]]-Table7[[#This Row],[United States 3y]],#N/A)</f>
        <v/>
      </c>
    </row>
    <row r="2049">
      <c r="A2049" s="6">
        <f>Database!$A4134</f>
        <v/>
      </c>
      <c r="B2049">
        <f>IF(VLOOKUP(Table7[[#This Row],[Date]],Database!$A:$C,MATCH($B$1,Database!$A$1:$C$1,),)=0,#N/A,VLOOKUP(Table7[[#This Row],[Date]],Database!$A:$C,MATCH($B$1,Database!$A$1:$C$1,),))</f>
        <v/>
      </c>
      <c r="C2049">
        <f>IF(VLOOKUP(Table7[[#This Row],[Date]],Database!$A:$C,MATCH($C$1,Database!$A$1:$C$1,),)=0,#N/A,VLOOKUP(Table7[[#This Row],[Date]],Database!$A:$C,MATCH($C$1,Database!$A$1:$C$1,),))</f>
        <v/>
      </c>
      <c r="D2049">
        <f>IFERROR(Table7[[#This Row],[United States 10y]]-Table7[[#This Row],[United States 3y]],#N/A)</f>
        <v/>
      </c>
    </row>
    <row r="2050">
      <c r="A2050" s="6">
        <f>Database!$A4135</f>
        <v/>
      </c>
      <c r="B2050">
        <f>IF(VLOOKUP(Table7[[#This Row],[Date]],Database!$A:$C,MATCH($B$1,Database!$A$1:$C$1,),)=0,#N/A,VLOOKUP(Table7[[#This Row],[Date]],Database!$A:$C,MATCH($B$1,Database!$A$1:$C$1,),))</f>
        <v/>
      </c>
      <c r="C2050">
        <f>IF(VLOOKUP(Table7[[#This Row],[Date]],Database!$A:$C,MATCH($C$1,Database!$A$1:$C$1,),)=0,#N/A,VLOOKUP(Table7[[#This Row],[Date]],Database!$A:$C,MATCH($C$1,Database!$A$1:$C$1,),))</f>
        <v/>
      </c>
      <c r="D2050">
        <f>IFERROR(Table7[[#This Row],[United States 10y]]-Table7[[#This Row],[United States 3y]],#N/A)</f>
        <v/>
      </c>
    </row>
    <row r="2051">
      <c r="A2051" s="6">
        <f>Database!$A4136</f>
        <v/>
      </c>
      <c r="B2051">
        <f>IF(VLOOKUP(Table7[[#This Row],[Date]],Database!$A:$C,MATCH($B$1,Database!$A$1:$C$1,),)=0,#N/A,VLOOKUP(Table7[[#This Row],[Date]],Database!$A:$C,MATCH($B$1,Database!$A$1:$C$1,),))</f>
        <v/>
      </c>
      <c r="C2051">
        <f>IF(VLOOKUP(Table7[[#This Row],[Date]],Database!$A:$C,MATCH($C$1,Database!$A$1:$C$1,),)=0,#N/A,VLOOKUP(Table7[[#This Row],[Date]],Database!$A:$C,MATCH($C$1,Database!$A$1:$C$1,),))</f>
        <v/>
      </c>
      <c r="D2051">
        <f>IFERROR(Table7[[#This Row],[United States 10y]]-Table7[[#This Row],[United States 3y]],#N/A)</f>
        <v/>
      </c>
    </row>
    <row r="2052">
      <c r="A2052" s="6">
        <f>Database!$A4137</f>
        <v/>
      </c>
      <c r="B2052">
        <f>IF(VLOOKUP(Table7[[#This Row],[Date]],Database!$A:$C,MATCH($B$1,Database!$A$1:$C$1,),)=0,#N/A,VLOOKUP(Table7[[#This Row],[Date]],Database!$A:$C,MATCH($B$1,Database!$A$1:$C$1,),))</f>
        <v/>
      </c>
      <c r="C2052">
        <f>IF(VLOOKUP(Table7[[#This Row],[Date]],Database!$A:$C,MATCH($C$1,Database!$A$1:$C$1,),)=0,#N/A,VLOOKUP(Table7[[#This Row],[Date]],Database!$A:$C,MATCH($C$1,Database!$A$1:$C$1,),))</f>
        <v/>
      </c>
      <c r="D2052">
        <f>IFERROR(Table7[[#This Row],[United States 10y]]-Table7[[#This Row],[United States 3y]],#N/A)</f>
        <v/>
      </c>
    </row>
    <row r="2053">
      <c r="A2053" s="6">
        <f>Database!$A4138</f>
        <v/>
      </c>
      <c r="B2053">
        <f>IF(VLOOKUP(Table7[[#This Row],[Date]],Database!$A:$C,MATCH($B$1,Database!$A$1:$C$1,),)=0,#N/A,VLOOKUP(Table7[[#This Row],[Date]],Database!$A:$C,MATCH($B$1,Database!$A$1:$C$1,),))</f>
        <v/>
      </c>
      <c r="C2053">
        <f>IF(VLOOKUP(Table7[[#This Row],[Date]],Database!$A:$C,MATCH($C$1,Database!$A$1:$C$1,),)=0,#N/A,VLOOKUP(Table7[[#This Row],[Date]],Database!$A:$C,MATCH($C$1,Database!$A$1:$C$1,),))</f>
        <v/>
      </c>
      <c r="D2053">
        <f>IFERROR(Table7[[#This Row],[United States 10y]]-Table7[[#This Row],[United States 3y]],#N/A)</f>
        <v/>
      </c>
    </row>
    <row r="2054">
      <c r="A2054" s="6">
        <f>Database!$A4139</f>
        <v/>
      </c>
      <c r="B2054">
        <f>IF(VLOOKUP(Table7[[#This Row],[Date]],Database!$A:$C,MATCH($B$1,Database!$A$1:$C$1,),)=0,#N/A,VLOOKUP(Table7[[#This Row],[Date]],Database!$A:$C,MATCH($B$1,Database!$A$1:$C$1,),))</f>
        <v/>
      </c>
      <c r="C2054">
        <f>IF(VLOOKUP(Table7[[#This Row],[Date]],Database!$A:$C,MATCH($C$1,Database!$A$1:$C$1,),)=0,#N/A,VLOOKUP(Table7[[#This Row],[Date]],Database!$A:$C,MATCH($C$1,Database!$A$1:$C$1,),))</f>
        <v/>
      </c>
      <c r="D2054">
        <f>IFERROR(Table7[[#This Row],[United States 10y]]-Table7[[#This Row],[United States 3y]],#N/A)</f>
        <v/>
      </c>
    </row>
    <row r="2055">
      <c r="A2055" s="6">
        <f>Database!$A4140</f>
        <v/>
      </c>
      <c r="B2055">
        <f>IF(VLOOKUP(Table7[[#This Row],[Date]],Database!$A:$C,MATCH($B$1,Database!$A$1:$C$1,),)=0,#N/A,VLOOKUP(Table7[[#This Row],[Date]],Database!$A:$C,MATCH($B$1,Database!$A$1:$C$1,),))</f>
        <v/>
      </c>
      <c r="C2055">
        <f>IF(VLOOKUP(Table7[[#This Row],[Date]],Database!$A:$C,MATCH($C$1,Database!$A$1:$C$1,),)=0,#N/A,VLOOKUP(Table7[[#This Row],[Date]],Database!$A:$C,MATCH($C$1,Database!$A$1:$C$1,),))</f>
        <v/>
      </c>
      <c r="D2055">
        <f>IFERROR(Table7[[#This Row],[United States 10y]]-Table7[[#This Row],[United States 3y]],#N/A)</f>
        <v/>
      </c>
    </row>
    <row r="2056">
      <c r="A2056" s="6">
        <f>Database!$A4141</f>
        <v/>
      </c>
      <c r="B2056">
        <f>IF(VLOOKUP(Table7[[#This Row],[Date]],Database!$A:$C,MATCH($B$1,Database!$A$1:$C$1,),)=0,#N/A,VLOOKUP(Table7[[#This Row],[Date]],Database!$A:$C,MATCH($B$1,Database!$A$1:$C$1,),))</f>
        <v/>
      </c>
      <c r="C2056">
        <f>IF(VLOOKUP(Table7[[#This Row],[Date]],Database!$A:$C,MATCH($C$1,Database!$A$1:$C$1,),)=0,#N/A,VLOOKUP(Table7[[#This Row],[Date]],Database!$A:$C,MATCH($C$1,Database!$A$1:$C$1,),))</f>
        <v/>
      </c>
      <c r="D2056">
        <f>IFERROR(Table7[[#This Row],[United States 10y]]-Table7[[#This Row],[United States 3y]],#N/A)</f>
        <v/>
      </c>
    </row>
    <row r="2057">
      <c r="A2057" s="6">
        <f>Database!$A4142</f>
        <v/>
      </c>
      <c r="B2057">
        <f>IF(VLOOKUP(Table7[[#This Row],[Date]],Database!$A:$C,MATCH($B$1,Database!$A$1:$C$1,),)=0,#N/A,VLOOKUP(Table7[[#This Row],[Date]],Database!$A:$C,MATCH($B$1,Database!$A$1:$C$1,),))</f>
        <v/>
      </c>
      <c r="C2057">
        <f>IF(VLOOKUP(Table7[[#This Row],[Date]],Database!$A:$C,MATCH($C$1,Database!$A$1:$C$1,),)=0,#N/A,VLOOKUP(Table7[[#This Row],[Date]],Database!$A:$C,MATCH($C$1,Database!$A$1:$C$1,),))</f>
        <v/>
      </c>
      <c r="D2057">
        <f>IFERROR(Table7[[#This Row],[United States 10y]]-Table7[[#This Row],[United States 3y]],#N/A)</f>
        <v/>
      </c>
    </row>
    <row r="2058">
      <c r="A2058" s="6">
        <f>Database!$A4143</f>
        <v/>
      </c>
      <c r="B2058">
        <f>IF(VLOOKUP(Table7[[#This Row],[Date]],Database!$A:$C,MATCH($B$1,Database!$A$1:$C$1,),)=0,#N/A,VLOOKUP(Table7[[#This Row],[Date]],Database!$A:$C,MATCH($B$1,Database!$A$1:$C$1,),))</f>
        <v/>
      </c>
      <c r="C2058">
        <f>IF(VLOOKUP(Table7[[#This Row],[Date]],Database!$A:$C,MATCH($C$1,Database!$A$1:$C$1,),)=0,#N/A,VLOOKUP(Table7[[#This Row],[Date]],Database!$A:$C,MATCH($C$1,Database!$A$1:$C$1,),))</f>
        <v/>
      </c>
      <c r="D2058">
        <f>IFERROR(Table7[[#This Row],[United States 10y]]-Table7[[#This Row],[United States 3y]],#N/A)</f>
        <v/>
      </c>
    </row>
    <row r="2059">
      <c r="A2059" s="6">
        <f>Database!$A4144</f>
        <v/>
      </c>
      <c r="B2059">
        <f>IF(VLOOKUP(Table7[[#This Row],[Date]],Database!$A:$C,MATCH($B$1,Database!$A$1:$C$1,),)=0,#N/A,VLOOKUP(Table7[[#This Row],[Date]],Database!$A:$C,MATCH($B$1,Database!$A$1:$C$1,),))</f>
        <v/>
      </c>
      <c r="C2059">
        <f>IF(VLOOKUP(Table7[[#This Row],[Date]],Database!$A:$C,MATCH($C$1,Database!$A$1:$C$1,),)=0,#N/A,VLOOKUP(Table7[[#This Row],[Date]],Database!$A:$C,MATCH($C$1,Database!$A$1:$C$1,),))</f>
        <v/>
      </c>
      <c r="D2059">
        <f>IFERROR(Table7[[#This Row],[United States 10y]]-Table7[[#This Row],[United States 3y]],#N/A)</f>
        <v/>
      </c>
    </row>
    <row r="2060">
      <c r="A2060" s="6">
        <f>Database!$A4145</f>
        <v/>
      </c>
      <c r="B2060">
        <f>IF(VLOOKUP(Table7[[#This Row],[Date]],Database!$A:$C,MATCH($B$1,Database!$A$1:$C$1,),)=0,#N/A,VLOOKUP(Table7[[#This Row],[Date]],Database!$A:$C,MATCH($B$1,Database!$A$1:$C$1,),))</f>
        <v/>
      </c>
      <c r="C2060">
        <f>IF(VLOOKUP(Table7[[#This Row],[Date]],Database!$A:$C,MATCH($C$1,Database!$A$1:$C$1,),)=0,#N/A,VLOOKUP(Table7[[#This Row],[Date]],Database!$A:$C,MATCH($C$1,Database!$A$1:$C$1,),))</f>
        <v/>
      </c>
      <c r="D2060">
        <f>IFERROR(Table7[[#This Row],[United States 10y]]-Table7[[#This Row],[United States 3y]],#N/A)</f>
        <v/>
      </c>
    </row>
    <row r="2061">
      <c r="A2061" s="6">
        <f>Database!$A4146</f>
        <v/>
      </c>
      <c r="B2061">
        <f>IF(VLOOKUP(Table7[[#This Row],[Date]],Database!$A:$C,MATCH($B$1,Database!$A$1:$C$1,),)=0,#N/A,VLOOKUP(Table7[[#This Row],[Date]],Database!$A:$C,MATCH($B$1,Database!$A$1:$C$1,),))</f>
        <v/>
      </c>
      <c r="C2061">
        <f>IF(VLOOKUP(Table7[[#This Row],[Date]],Database!$A:$C,MATCH($C$1,Database!$A$1:$C$1,),)=0,#N/A,VLOOKUP(Table7[[#This Row],[Date]],Database!$A:$C,MATCH($C$1,Database!$A$1:$C$1,),))</f>
        <v/>
      </c>
      <c r="D2061">
        <f>IFERROR(Table7[[#This Row],[United States 10y]]-Table7[[#This Row],[United States 3y]],#N/A)</f>
        <v/>
      </c>
    </row>
    <row r="2062">
      <c r="A2062" s="6">
        <f>Database!$A4147</f>
        <v/>
      </c>
      <c r="B2062">
        <f>IF(VLOOKUP(Table7[[#This Row],[Date]],Database!$A:$C,MATCH($B$1,Database!$A$1:$C$1,),)=0,#N/A,VLOOKUP(Table7[[#This Row],[Date]],Database!$A:$C,MATCH($B$1,Database!$A$1:$C$1,),))</f>
        <v/>
      </c>
      <c r="C2062">
        <f>IF(VLOOKUP(Table7[[#This Row],[Date]],Database!$A:$C,MATCH($C$1,Database!$A$1:$C$1,),)=0,#N/A,VLOOKUP(Table7[[#This Row],[Date]],Database!$A:$C,MATCH($C$1,Database!$A$1:$C$1,),))</f>
        <v/>
      </c>
      <c r="D2062">
        <f>IFERROR(Table7[[#This Row],[United States 10y]]-Table7[[#This Row],[United States 3y]],#N/A)</f>
        <v/>
      </c>
    </row>
    <row r="2063">
      <c r="A2063" s="6">
        <f>Database!$A4148</f>
        <v/>
      </c>
      <c r="B2063">
        <f>IF(VLOOKUP(Table7[[#This Row],[Date]],Database!$A:$C,MATCH($B$1,Database!$A$1:$C$1,),)=0,#N/A,VLOOKUP(Table7[[#This Row],[Date]],Database!$A:$C,MATCH($B$1,Database!$A$1:$C$1,),))</f>
        <v/>
      </c>
      <c r="C2063">
        <f>IF(VLOOKUP(Table7[[#This Row],[Date]],Database!$A:$C,MATCH($C$1,Database!$A$1:$C$1,),)=0,#N/A,VLOOKUP(Table7[[#This Row],[Date]],Database!$A:$C,MATCH($C$1,Database!$A$1:$C$1,),))</f>
        <v/>
      </c>
      <c r="D2063">
        <f>IFERROR(Table7[[#This Row],[United States 10y]]-Table7[[#This Row],[United States 3y]],#N/A)</f>
        <v/>
      </c>
    </row>
    <row r="2064">
      <c r="A2064" s="6">
        <f>Database!$A4149</f>
        <v/>
      </c>
      <c r="B2064">
        <f>IF(VLOOKUP(Table7[[#This Row],[Date]],Database!$A:$C,MATCH($B$1,Database!$A$1:$C$1,),)=0,#N/A,VLOOKUP(Table7[[#This Row],[Date]],Database!$A:$C,MATCH($B$1,Database!$A$1:$C$1,),))</f>
        <v/>
      </c>
      <c r="C2064">
        <f>IF(VLOOKUP(Table7[[#This Row],[Date]],Database!$A:$C,MATCH($C$1,Database!$A$1:$C$1,),)=0,#N/A,VLOOKUP(Table7[[#This Row],[Date]],Database!$A:$C,MATCH($C$1,Database!$A$1:$C$1,),))</f>
        <v/>
      </c>
      <c r="D2064">
        <f>IFERROR(Table7[[#This Row],[United States 10y]]-Table7[[#This Row],[United States 3y]],#N/A)</f>
        <v/>
      </c>
    </row>
    <row r="2065">
      <c r="A2065" s="6">
        <f>Database!$A4150</f>
        <v/>
      </c>
      <c r="B2065">
        <f>IF(VLOOKUP(Table7[[#This Row],[Date]],Database!$A:$C,MATCH($B$1,Database!$A$1:$C$1,),)=0,#N/A,VLOOKUP(Table7[[#This Row],[Date]],Database!$A:$C,MATCH($B$1,Database!$A$1:$C$1,),))</f>
        <v/>
      </c>
      <c r="C2065">
        <f>IF(VLOOKUP(Table7[[#This Row],[Date]],Database!$A:$C,MATCH($C$1,Database!$A$1:$C$1,),)=0,#N/A,VLOOKUP(Table7[[#This Row],[Date]],Database!$A:$C,MATCH($C$1,Database!$A$1:$C$1,),))</f>
        <v/>
      </c>
      <c r="D2065">
        <f>IFERROR(Table7[[#This Row],[United States 10y]]-Table7[[#This Row],[United States 3y]],#N/A)</f>
        <v/>
      </c>
    </row>
    <row r="2066">
      <c r="A2066" s="6">
        <f>Database!$A4151</f>
        <v/>
      </c>
      <c r="B2066">
        <f>IF(VLOOKUP(Table7[[#This Row],[Date]],Database!$A:$C,MATCH($B$1,Database!$A$1:$C$1,),)=0,#N/A,VLOOKUP(Table7[[#This Row],[Date]],Database!$A:$C,MATCH($B$1,Database!$A$1:$C$1,),))</f>
        <v/>
      </c>
      <c r="C2066">
        <f>IF(VLOOKUP(Table7[[#This Row],[Date]],Database!$A:$C,MATCH($C$1,Database!$A$1:$C$1,),)=0,#N/A,VLOOKUP(Table7[[#This Row],[Date]],Database!$A:$C,MATCH($C$1,Database!$A$1:$C$1,),))</f>
        <v/>
      </c>
      <c r="D2066">
        <f>IFERROR(Table7[[#This Row],[United States 10y]]-Table7[[#This Row],[United States 3y]],#N/A)</f>
        <v/>
      </c>
    </row>
    <row r="2067">
      <c r="A2067" s="6">
        <f>Database!$A4152</f>
        <v/>
      </c>
      <c r="B2067">
        <f>IF(VLOOKUP(Table7[[#This Row],[Date]],Database!$A:$C,MATCH($B$1,Database!$A$1:$C$1,),)=0,#N/A,VLOOKUP(Table7[[#This Row],[Date]],Database!$A:$C,MATCH($B$1,Database!$A$1:$C$1,),))</f>
        <v/>
      </c>
      <c r="C2067">
        <f>IF(VLOOKUP(Table7[[#This Row],[Date]],Database!$A:$C,MATCH($C$1,Database!$A$1:$C$1,),)=0,#N/A,VLOOKUP(Table7[[#This Row],[Date]],Database!$A:$C,MATCH($C$1,Database!$A$1:$C$1,),))</f>
        <v/>
      </c>
      <c r="D2067">
        <f>IFERROR(Table7[[#This Row],[United States 10y]]-Table7[[#This Row],[United States 3y]],#N/A)</f>
        <v/>
      </c>
    </row>
    <row r="2068">
      <c r="A2068" s="6">
        <f>Database!$A4153</f>
        <v/>
      </c>
      <c r="B2068">
        <f>IF(VLOOKUP(Table7[[#This Row],[Date]],Database!$A:$C,MATCH($B$1,Database!$A$1:$C$1,),)=0,#N/A,VLOOKUP(Table7[[#This Row],[Date]],Database!$A:$C,MATCH($B$1,Database!$A$1:$C$1,),))</f>
        <v/>
      </c>
      <c r="C2068">
        <f>IF(VLOOKUP(Table7[[#This Row],[Date]],Database!$A:$C,MATCH($C$1,Database!$A$1:$C$1,),)=0,#N/A,VLOOKUP(Table7[[#This Row],[Date]],Database!$A:$C,MATCH($C$1,Database!$A$1:$C$1,),))</f>
        <v/>
      </c>
      <c r="D2068">
        <f>IFERROR(Table7[[#This Row],[United States 10y]]-Table7[[#This Row],[United States 3y]],#N/A)</f>
        <v/>
      </c>
    </row>
    <row r="2069">
      <c r="A2069" s="6">
        <f>Database!$A4154</f>
        <v/>
      </c>
      <c r="B2069">
        <f>IF(VLOOKUP(Table7[[#This Row],[Date]],Database!$A:$C,MATCH($B$1,Database!$A$1:$C$1,),)=0,#N/A,VLOOKUP(Table7[[#This Row],[Date]],Database!$A:$C,MATCH($B$1,Database!$A$1:$C$1,),))</f>
        <v/>
      </c>
      <c r="C2069">
        <f>IF(VLOOKUP(Table7[[#This Row],[Date]],Database!$A:$C,MATCH($C$1,Database!$A$1:$C$1,),)=0,#N/A,VLOOKUP(Table7[[#This Row],[Date]],Database!$A:$C,MATCH($C$1,Database!$A$1:$C$1,),))</f>
        <v/>
      </c>
      <c r="D2069">
        <f>IFERROR(Table7[[#This Row],[United States 10y]]-Table7[[#This Row],[United States 3y]],#N/A)</f>
        <v/>
      </c>
    </row>
    <row r="2070">
      <c r="A2070" s="6">
        <f>Database!$A4155</f>
        <v/>
      </c>
      <c r="B2070">
        <f>IF(VLOOKUP(Table7[[#This Row],[Date]],Database!$A:$C,MATCH($B$1,Database!$A$1:$C$1,),)=0,#N/A,VLOOKUP(Table7[[#This Row],[Date]],Database!$A:$C,MATCH($B$1,Database!$A$1:$C$1,),))</f>
        <v/>
      </c>
      <c r="C2070">
        <f>IF(VLOOKUP(Table7[[#This Row],[Date]],Database!$A:$C,MATCH($C$1,Database!$A$1:$C$1,),)=0,#N/A,VLOOKUP(Table7[[#This Row],[Date]],Database!$A:$C,MATCH($C$1,Database!$A$1:$C$1,),))</f>
        <v/>
      </c>
      <c r="D2070">
        <f>IFERROR(Table7[[#This Row],[United States 10y]]-Table7[[#This Row],[United States 3y]],#N/A)</f>
        <v/>
      </c>
    </row>
    <row r="2071">
      <c r="A2071" s="6">
        <f>Database!$A4156</f>
        <v/>
      </c>
      <c r="B2071">
        <f>IF(VLOOKUP(Table7[[#This Row],[Date]],Database!$A:$C,MATCH($B$1,Database!$A$1:$C$1,),)=0,#N/A,VLOOKUP(Table7[[#This Row],[Date]],Database!$A:$C,MATCH($B$1,Database!$A$1:$C$1,),))</f>
        <v/>
      </c>
      <c r="C2071">
        <f>IF(VLOOKUP(Table7[[#This Row],[Date]],Database!$A:$C,MATCH($C$1,Database!$A$1:$C$1,),)=0,#N/A,VLOOKUP(Table7[[#This Row],[Date]],Database!$A:$C,MATCH($C$1,Database!$A$1:$C$1,),))</f>
        <v/>
      </c>
      <c r="D2071">
        <f>IFERROR(Table7[[#This Row],[United States 10y]]-Table7[[#This Row],[United States 3y]],#N/A)</f>
        <v/>
      </c>
    </row>
    <row r="2072">
      <c r="A2072" s="6">
        <f>Database!$A4157</f>
        <v/>
      </c>
      <c r="B2072">
        <f>IF(VLOOKUP(Table7[[#This Row],[Date]],Database!$A:$C,MATCH($B$1,Database!$A$1:$C$1,),)=0,#N/A,VLOOKUP(Table7[[#This Row],[Date]],Database!$A:$C,MATCH($B$1,Database!$A$1:$C$1,),))</f>
        <v/>
      </c>
      <c r="C2072">
        <f>IF(VLOOKUP(Table7[[#This Row],[Date]],Database!$A:$C,MATCH($C$1,Database!$A$1:$C$1,),)=0,#N/A,VLOOKUP(Table7[[#This Row],[Date]],Database!$A:$C,MATCH($C$1,Database!$A$1:$C$1,),))</f>
        <v/>
      </c>
      <c r="D2072">
        <f>IFERROR(Table7[[#This Row],[United States 10y]]-Table7[[#This Row],[United States 3y]],#N/A)</f>
        <v/>
      </c>
    </row>
    <row r="2073">
      <c r="A2073" s="6">
        <f>Database!$A4158</f>
        <v/>
      </c>
      <c r="B2073">
        <f>IF(VLOOKUP(Table7[[#This Row],[Date]],Database!$A:$C,MATCH($B$1,Database!$A$1:$C$1,),)=0,#N/A,VLOOKUP(Table7[[#This Row],[Date]],Database!$A:$C,MATCH($B$1,Database!$A$1:$C$1,),))</f>
        <v/>
      </c>
      <c r="C2073">
        <f>IF(VLOOKUP(Table7[[#This Row],[Date]],Database!$A:$C,MATCH($C$1,Database!$A$1:$C$1,),)=0,#N/A,VLOOKUP(Table7[[#This Row],[Date]],Database!$A:$C,MATCH($C$1,Database!$A$1:$C$1,),))</f>
        <v/>
      </c>
      <c r="D2073">
        <f>IFERROR(Table7[[#This Row],[United States 10y]]-Table7[[#This Row],[United States 3y]],#N/A)</f>
        <v/>
      </c>
    </row>
    <row r="2074">
      <c r="A2074" s="6">
        <f>Database!$A4159</f>
        <v/>
      </c>
      <c r="B2074">
        <f>IF(VLOOKUP(Table7[[#This Row],[Date]],Database!$A:$C,MATCH($B$1,Database!$A$1:$C$1,),)=0,#N/A,VLOOKUP(Table7[[#This Row],[Date]],Database!$A:$C,MATCH($B$1,Database!$A$1:$C$1,),))</f>
        <v/>
      </c>
      <c r="C2074">
        <f>IF(VLOOKUP(Table7[[#This Row],[Date]],Database!$A:$C,MATCH($C$1,Database!$A$1:$C$1,),)=0,#N/A,VLOOKUP(Table7[[#This Row],[Date]],Database!$A:$C,MATCH($C$1,Database!$A$1:$C$1,),))</f>
        <v/>
      </c>
      <c r="D2074">
        <f>IFERROR(Table7[[#This Row],[United States 10y]]-Table7[[#This Row],[United States 3y]],#N/A)</f>
        <v/>
      </c>
    </row>
    <row r="2075">
      <c r="A2075" s="6">
        <f>Database!$A4160</f>
        <v/>
      </c>
      <c r="B2075">
        <f>IF(VLOOKUP(Table7[[#This Row],[Date]],Database!$A:$C,MATCH($B$1,Database!$A$1:$C$1,),)=0,#N/A,VLOOKUP(Table7[[#This Row],[Date]],Database!$A:$C,MATCH($B$1,Database!$A$1:$C$1,),))</f>
        <v/>
      </c>
      <c r="C2075">
        <f>IF(VLOOKUP(Table7[[#This Row],[Date]],Database!$A:$C,MATCH($C$1,Database!$A$1:$C$1,),)=0,#N/A,VLOOKUP(Table7[[#This Row],[Date]],Database!$A:$C,MATCH($C$1,Database!$A$1:$C$1,),))</f>
        <v/>
      </c>
      <c r="D2075">
        <f>IFERROR(Table7[[#This Row],[United States 10y]]-Table7[[#This Row],[United States 3y]],#N/A)</f>
        <v/>
      </c>
    </row>
    <row r="2076">
      <c r="A2076" s="6">
        <f>Database!$A4161</f>
        <v/>
      </c>
      <c r="B2076">
        <f>IF(VLOOKUP(Table7[[#This Row],[Date]],Database!$A:$C,MATCH($B$1,Database!$A$1:$C$1,),)=0,#N/A,VLOOKUP(Table7[[#This Row],[Date]],Database!$A:$C,MATCH($B$1,Database!$A$1:$C$1,),))</f>
        <v/>
      </c>
      <c r="C2076">
        <f>IF(VLOOKUP(Table7[[#This Row],[Date]],Database!$A:$C,MATCH($C$1,Database!$A$1:$C$1,),)=0,#N/A,VLOOKUP(Table7[[#This Row],[Date]],Database!$A:$C,MATCH($C$1,Database!$A$1:$C$1,),))</f>
        <v/>
      </c>
      <c r="D2076">
        <f>IFERROR(Table7[[#This Row],[United States 10y]]-Table7[[#This Row],[United States 3y]],#N/A)</f>
        <v/>
      </c>
    </row>
    <row r="2077">
      <c r="A2077" s="6">
        <f>Database!$A4162</f>
        <v/>
      </c>
      <c r="B2077">
        <f>IF(VLOOKUP(Table7[[#This Row],[Date]],Database!$A:$C,MATCH($B$1,Database!$A$1:$C$1,),)=0,#N/A,VLOOKUP(Table7[[#This Row],[Date]],Database!$A:$C,MATCH($B$1,Database!$A$1:$C$1,),))</f>
        <v/>
      </c>
      <c r="C2077">
        <f>IF(VLOOKUP(Table7[[#This Row],[Date]],Database!$A:$C,MATCH($C$1,Database!$A$1:$C$1,),)=0,#N/A,VLOOKUP(Table7[[#This Row],[Date]],Database!$A:$C,MATCH($C$1,Database!$A$1:$C$1,),))</f>
        <v/>
      </c>
      <c r="D2077">
        <f>IFERROR(Table7[[#This Row],[United States 10y]]-Table7[[#This Row],[United States 3y]],#N/A)</f>
        <v/>
      </c>
    </row>
    <row r="2078">
      <c r="A2078" s="6">
        <f>Database!$A4163</f>
        <v/>
      </c>
      <c r="B2078">
        <f>IF(VLOOKUP(Table7[[#This Row],[Date]],Database!$A:$C,MATCH($B$1,Database!$A$1:$C$1,),)=0,#N/A,VLOOKUP(Table7[[#This Row],[Date]],Database!$A:$C,MATCH($B$1,Database!$A$1:$C$1,),))</f>
        <v/>
      </c>
      <c r="C2078">
        <f>IF(VLOOKUP(Table7[[#This Row],[Date]],Database!$A:$C,MATCH($C$1,Database!$A$1:$C$1,),)=0,#N/A,VLOOKUP(Table7[[#This Row],[Date]],Database!$A:$C,MATCH($C$1,Database!$A$1:$C$1,),))</f>
        <v/>
      </c>
      <c r="D2078">
        <f>IFERROR(Table7[[#This Row],[United States 10y]]-Table7[[#This Row],[United States 3y]],#N/A)</f>
        <v/>
      </c>
    </row>
    <row r="2079">
      <c r="A2079" s="6">
        <f>Database!$A4164</f>
        <v/>
      </c>
      <c r="B2079">
        <f>IF(VLOOKUP(Table7[[#This Row],[Date]],Database!$A:$C,MATCH($B$1,Database!$A$1:$C$1,),)=0,#N/A,VLOOKUP(Table7[[#This Row],[Date]],Database!$A:$C,MATCH($B$1,Database!$A$1:$C$1,),))</f>
        <v/>
      </c>
      <c r="C2079">
        <f>IF(VLOOKUP(Table7[[#This Row],[Date]],Database!$A:$C,MATCH($C$1,Database!$A$1:$C$1,),)=0,#N/A,VLOOKUP(Table7[[#This Row],[Date]],Database!$A:$C,MATCH($C$1,Database!$A$1:$C$1,),))</f>
        <v/>
      </c>
      <c r="D2079">
        <f>IFERROR(Table7[[#This Row],[United States 10y]]-Table7[[#This Row],[United States 3y]],#N/A)</f>
        <v/>
      </c>
    </row>
    <row r="2080">
      <c r="A2080" s="6">
        <f>Database!$A4165</f>
        <v/>
      </c>
      <c r="B2080">
        <f>IF(VLOOKUP(Table7[[#This Row],[Date]],Database!$A:$C,MATCH($B$1,Database!$A$1:$C$1,),)=0,#N/A,VLOOKUP(Table7[[#This Row],[Date]],Database!$A:$C,MATCH($B$1,Database!$A$1:$C$1,),))</f>
        <v/>
      </c>
      <c r="C2080">
        <f>IF(VLOOKUP(Table7[[#This Row],[Date]],Database!$A:$C,MATCH($C$1,Database!$A$1:$C$1,),)=0,#N/A,VLOOKUP(Table7[[#This Row],[Date]],Database!$A:$C,MATCH($C$1,Database!$A$1:$C$1,),))</f>
        <v/>
      </c>
      <c r="D2080">
        <f>IFERROR(Table7[[#This Row],[United States 10y]]-Table7[[#This Row],[United States 3y]],#N/A)</f>
        <v/>
      </c>
    </row>
    <row r="2081">
      <c r="A2081" s="6">
        <f>Database!$A4166</f>
        <v/>
      </c>
      <c r="B2081">
        <f>IF(VLOOKUP(Table7[[#This Row],[Date]],Database!$A:$C,MATCH($B$1,Database!$A$1:$C$1,),)=0,#N/A,VLOOKUP(Table7[[#This Row],[Date]],Database!$A:$C,MATCH($B$1,Database!$A$1:$C$1,),))</f>
        <v/>
      </c>
      <c r="C2081">
        <f>IF(VLOOKUP(Table7[[#This Row],[Date]],Database!$A:$C,MATCH($C$1,Database!$A$1:$C$1,),)=0,#N/A,VLOOKUP(Table7[[#This Row],[Date]],Database!$A:$C,MATCH($C$1,Database!$A$1:$C$1,),))</f>
        <v/>
      </c>
      <c r="D2081">
        <f>IFERROR(Table7[[#This Row],[United States 10y]]-Table7[[#This Row],[United States 3y]],#N/A)</f>
        <v/>
      </c>
    </row>
    <row r="2082">
      <c r="A2082" s="6">
        <f>Database!$A4167</f>
        <v/>
      </c>
      <c r="B2082">
        <f>IF(VLOOKUP(Table7[[#This Row],[Date]],Database!$A:$C,MATCH($B$1,Database!$A$1:$C$1,),)=0,#N/A,VLOOKUP(Table7[[#This Row],[Date]],Database!$A:$C,MATCH($B$1,Database!$A$1:$C$1,),))</f>
        <v/>
      </c>
      <c r="C2082">
        <f>IF(VLOOKUP(Table7[[#This Row],[Date]],Database!$A:$C,MATCH($C$1,Database!$A$1:$C$1,),)=0,#N/A,VLOOKUP(Table7[[#This Row],[Date]],Database!$A:$C,MATCH($C$1,Database!$A$1:$C$1,),))</f>
        <v/>
      </c>
      <c r="D2082">
        <f>IFERROR(Table7[[#This Row],[United States 10y]]-Table7[[#This Row],[United States 3y]],#N/A)</f>
        <v/>
      </c>
    </row>
    <row r="2083">
      <c r="A2083" s="6">
        <f>Database!$A4168</f>
        <v/>
      </c>
      <c r="B2083">
        <f>IF(VLOOKUP(Table7[[#This Row],[Date]],Database!$A:$C,MATCH($B$1,Database!$A$1:$C$1,),)=0,#N/A,VLOOKUP(Table7[[#This Row],[Date]],Database!$A:$C,MATCH($B$1,Database!$A$1:$C$1,),))</f>
        <v/>
      </c>
      <c r="C2083">
        <f>IF(VLOOKUP(Table7[[#This Row],[Date]],Database!$A:$C,MATCH($C$1,Database!$A$1:$C$1,),)=0,#N/A,VLOOKUP(Table7[[#This Row],[Date]],Database!$A:$C,MATCH($C$1,Database!$A$1:$C$1,),))</f>
        <v/>
      </c>
      <c r="D2083">
        <f>IFERROR(Table7[[#This Row],[United States 10y]]-Table7[[#This Row],[United States 3y]],#N/A)</f>
        <v/>
      </c>
    </row>
    <row r="2084">
      <c r="A2084" s="6">
        <f>Database!$A4169</f>
        <v/>
      </c>
      <c r="B2084">
        <f>IF(VLOOKUP(Table7[[#This Row],[Date]],Database!$A:$C,MATCH($B$1,Database!$A$1:$C$1,),)=0,#N/A,VLOOKUP(Table7[[#This Row],[Date]],Database!$A:$C,MATCH($B$1,Database!$A$1:$C$1,),))</f>
        <v/>
      </c>
      <c r="C2084">
        <f>IF(VLOOKUP(Table7[[#This Row],[Date]],Database!$A:$C,MATCH($C$1,Database!$A$1:$C$1,),)=0,#N/A,VLOOKUP(Table7[[#This Row],[Date]],Database!$A:$C,MATCH($C$1,Database!$A$1:$C$1,),))</f>
        <v/>
      </c>
      <c r="D2084">
        <f>IFERROR(Table7[[#This Row],[United States 10y]]-Table7[[#This Row],[United States 3y]],#N/A)</f>
        <v/>
      </c>
    </row>
    <row r="2085">
      <c r="A2085" s="6">
        <f>Database!$A4170</f>
        <v/>
      </c>
      <c r="B2085">
        <f>IF(VLOOKUP(Table7[[#This Row],[Date]],Database!$A:$C,MATCH($B$1,Database!$A$1:$C$1,),)=0,#N/A,VLOOKUP(Table7[[#This Row],[Date]],Database!$A:$C,MATCH($B$1,Database!$A$1:$C$1,),))</f>
        <v/>
      </c>
      <c r="C2085">
        <f>IF(VLOOKUP(Table7[[#This Row],[Date]],Database!$A:$C,MATCH($C$1,Database!$A$1:$C$1,),)=0,#N/A,VLOOKUP(Table7[[#This Row],[Date]],Database!$A:$C,MATCH($C$1,Database!$A$1:$C$1,),))</f>
        <v/>
      </c>
      <c r="D2085">
        <f>IFERROR(Table7[[#This Row],[United States 10y]]-Table7[[#This Row],[United States 3y]],#N/A)</f>
        <v/>
      </c>
    </row>
    <row r="2086">
      <c r="A2086" s="6">
        <f>Database!$A4171</f>
        <v/>
      </c>
      <c r="B2086">
        <f>IF(VLOOKUP(Table7[[#This Row],[Date]],Database!$A:$C,MATCH($B$1,Database!$A$1:$C$1,),)=0,#N/A,VLOOKUP(Table7[[#This Row],[Date]],Database!$A:$C,MATCH($B$1,Database!$A$1:$C$1,),))</f>
        <v/>
      </c>
      <c r="C2086">
        <f>IF(VLOOKUP(Table7[[#This Row],[Date]],Database!$A:$C,MATCH($C$1,Database!$A$1:$C$1,),)=0,#N/A,VLOOKUP(Table7[[#This Row],[Date]],Database!$A:$C,MATCH($C$1,Database!$A$1:$C$1,),))</f>
        <v/>
      </c>
      <c r="D2086">
        <f>IFERROR(Table7[[#This Row],[United States 10y]]-Table7[[#This Row],[United States 3y]],#N/A)</f>
        <v/>
      </c>
    </row>
    <row r="2087">
      <c r="A2087" s="6">
        <f>Database!$A4172</f>
        <v/>
      </c>
      <c r="B2087">
        <f>IF(VLOOKUP(Table7[[#This Row],[Date]],Database!$A:$C,MATCH($B$1,Database!$A$1:$C$1,),)=0,#N/A,VLOOKUP(Table7[[#This Row],[Date]],Database!$A:$C,MATCH($B$1,Database!$A$1:$C$1,),))</f>
        <v/>
      </c>
      <c r="C2087">
        <f>IF(VLOOKUP(Table7[[#This Row],[Date]],Database!$A:$C,MATCH($C$1,Database!$A$1:$C$1,),)=0,#N/A,VLOOKUP(Table7[[#This Row],[Date]],Database!$A:$C,MATCH($C$1,Database!$A$1:$C$1,),))</f>
        <v/>
      </c>
      <c r="D2087">
        <f>IFERROR(Table7[[#This Row],[United States 10y]]-Table7[[#This Row],[United States 3y]],#N/A)</f>
        <v/>
      </c>
    </row>
    <row r="2088">
      <c r="A2088" s="6">
        <f>Database!$A4173</f>
        <v/>
      </c>
      <c r="B2088">
        <f>IF(VLOOKUP(Table7[[#This Row],[Date]],Database!$A:$C,MATCH($B$1,Database!$A$1:$C$1,),)=0,#N/A,VLOOKUP(Table7[[#This Row],[Date]],Database!$A:$C,MATCH($B$1,Database!$A$1:$C$1,),))</f>
        <v/>
      </c>
      <c r="C2088">
        <f>IF(VLOOKUP(Table7[[#This Row],[Date]],Database!$A:$C,MATCH($C$1,Database!$A$1:$C$1,),)=0,#N/A,VLOOKUP(Table7[[#This Row],[Date]],Database!$A:$C,MATCH($C$1,Database!$A$1:$C$1,),))</f>
        <v/>
      </c>
      <c r="D2088">
        <f>IFERROR(Table7[[#This Row],[United States 10y]]-Table7[[#This Row],[United States 3y]],#N/A)</f>
        <v/>
      </c>
    </row>
    <row r="2089">
      <c r="A2089" s="6">
        <f>Database!$A4174</f>
        <v/>
      </c>
      <c r="B2089">
        <f>IF(VLOOKUP(Table7[[#This Row],[Date]],Database!$A:$C,MATCH($B$1,Database!$A$1:$C$1,),)=0,#N/A,VLOOKUP(Table7[[#This Row],[Date]],Database!$A:$C,MATCH($B$1,Database!$A$1:$C$1,),))</f>
        <v/>
      </c>
      <c r="C2089">
        <f>IF(VLOOKUP(Table7[[#This Row],[Date]],Database!$A:$C,MATCH($C$1,Database!$A$1:$C$1,),)=0,#N/A,VLOOKUP(Table7[[#This Row],[Date]],Database!$A:$C,MATCH($C$1,Database!$A$1:$C$1,),))</f>
        <v/>
      </c>
      <c r="D2089">
        <f>IFERROR(Table7[[#This Row],[United States 10y]]-Table7[[#This Row],[United States 3y]],#N/A)</f>
        <v/>
      </c>
    </row>
    <row r="2090">
      <c r="A2090" s="6">
        <f>Database!$A4175</f>
        <v/>
      </c>
      <c r="B2090">
        <f>IF(VLOOKUP(Table7[[#This Row],[Date]],Database!$A:$C,MATCH($B$1,Database!$A$1:$C$1,),)=0,#N/A,VLOOKUP(Table7[[#This Row],[Date]],Database!$A:$C,MATCH($B$1,Database!$A$1:$C$1,),))</f>
        <v/>
      </c>
      <c r="C2090">
        <f>IF(VLOOKUP(Table7[[#This Row],[Date]],Database!$A:$C,MATCH($C$1,Database!$A$1:$C$1,),)=0,#N/A,VLOOKUP(Table7[[#This Row],[Date]],Database!$A:$C,MATCH($C$1,Database!$A$1:$C$1,),))</f>
        <v/>
      </c>
      <c r="D2090">
        <f>IFERROR(Table7[[#This Row],[United States 10y]]-Table7[[#This Row],[United States 3y]],#N/A)</f>
        <v/>
      </c>
    </row>
    <row r="2091">
      <c r="A2091" s="6">
        <f>Database!$A4176</f>
        <v/>
      </c>
      <c r="B2091">
        <f>IF(VLOOKUP(Table7[[#This Row],[Date]],Database!$A:$C,MATCH($B$1,Database!$A$1:$C$1,),)=0,#N/A,VLOOKUP(Table7[[#This Row],[Date]],Database!$A:$C,MATCH($B$1,Database!$A$1:$C$1,),))</f>
        <v/>
      </c>
      <c r="C2091">
        <f>IF(VLOOKUP(Table7[[#This Row],[Date]],Database!$A:$C,MATCH($C$1,Database!$A$1:$C$1,),)=0,#N/A,VLOOKUP(Table7[[#This Row],[Date]],Database!$A:$C,MATCH($C$1,Database!$A$1:$C$1,),))</f>
        <v/>
      </c>
      <c r="D2091">
        <f>IFERROR(Table7[[#This Row],[United States 10y]]-Table7[[#This Row],[United States 3y]],#N/A)</f>
        <v/>
      </c>
    </row>
    <row r="2092">
      <c r="A2092" s="6">
        <f>Database!$A4177</f>
        <v/>
      </c>
      <c r="B2092">
        <f>IF(VLOOKUP(Table7[[#This Row],[Date]],Database!$A:$C,MATCH($B$1,Database!$A$1:$C$1,),)=0,#N/A,VLOOKUP(Table7[[#This Row],[Date]],Database!$A:$C,MATCH($B$1,Database!$A$1:$C$1,),))</f>
        <v/>
      </c>
      <c r="C2092">
        <f>IF(VLOOKUP(Table7[[#This Row],[Date]],Database!$A:$C,MATCH($C$1,Database!$A$1:$C$1,),)=0,#N/A,VLOOKUP(Table7[[#This Row],[Date]],Database!$A:$C,MATCH($C$1,Database!$A$1:$C$1,),))</f>
        <v/>
      </c>
      <c r="D2092">
        <f>IFERROR(Table7[[#This Row],[United States 10y]]-Table7[[#This Row],[United States 3y]],#N/A)</f>
        <v/>
      </c>
    </row>
    <row r="2093">
      <c r="A2093" s="6">
        <f>Database!$A4178</f>
        <v/>
      </c>
      <c r="B2093">
        <f>IF(VLOOKUP(Table7[[#This Row],[Date]],Database!$A:$C,MATCH($B$1,Database!$A$1:$C$1,),)=0,#N/A,VLOOKUP(Table7[[#This Row],[Date]],Database!$A:$C,MATCH($B$1,Database!$A$1:$C$1,),))</f>
        <v/>
      </c>
      <c r="C2093">
        <f>IF(VLOOKUP(Table7[[#This Row],[Date]],Database!$A:$C,MATCH($C$1,Database!$A$1:$C$1,),)=0,#N/A,VLOOKUP(Table7[[#This Row],[Date]],Database!$A:$C,MATCH($C$1,Database!$A$1:$C$1,),))</f>
        <v/>
      </c>
      <c r="D2093">
        <f>IFERROR(Table7[[#This Row],[United States 10y]]-Table7[[#This Row],[United States 3y]],#N/A)</f>
        <v/>
      </c>
    </row>
    <row r="2094">
      <c r="A2094" s="6">
        <f>Database!$A4179</f>
        <v/>
      </c>
      <c r="B2094">
        <f>IF(VLOOKUP(Table7[[#This Row],[Date]],Database!$A:$C,MATCH($B$1,Database!$A$1:$C$1,),)=0,#N/A,VLOOKUP(Table7[[#This Row],[Date]],Database!$A:$C,MATCH($B$1,Database!$A$1:$C$1,),))</f>
        <v/>
      </c>
      <c r="C2094">
        <f>IF(VLOOKUP(Table7[[#This Row],[Date]],Database!$A:$C,MATCH($C$1,Database!$A$1:$C$1,),)=0,#N/A,VLOOKUP(Table7[[#This Row],[Date]],Database!$A:$C,MATCH($C$1,Database!$A$1:$C$1,),))</f>
        <v/>
      </c>
      <c r="D2094">
        <f>IFERROR(Table7[[#This Row],[United States 10y]]-Table7[[#This Row],[United States 3y]],#N/A)</f>
        <v/>
      </c>
    </row>
    <row r="2095">
      <c r="A2095" s="6">
        <f>Database!$A4180</f>
        <v/>
      </c>
      <c r="B2095">
        <f>IF(VLOOKUP(Table7[[#This Row],[Date]],Database!$A:$C,MATCH($B$1,Database!$A$1:$C$1,),)=0,#N/A,VLOOKUP(Table7[[#This Row],[Date]],Database!$A:$C,MATCH($B$1,Database!$A$1:$C$1,),))</f>
        <v/>
      </c>
      <c r="C2095">
        <f>IF(VLOOKUP(Table7[[#This Row],[Date]],Database!$A:$C,MATCH($C$1,Database!$A$1:$C$1,),)=0,#N/A,VLOOKUP(Table7[[#This Row],[Date]],Database!$A:$C,MATCH($C$1,Database!$A$1:$C$1,),))</f>
        <v/>
      </c>
      <c r="D2095">
        <f>IFERROR(Table7[[#This Row],[United States 10y]]-Table7[[#This Row],[United States 3y]],#N/A)</f>
        <v/>
      </c>
    </row>
    <row r="2096">
      <c r="A2096" s="6">
        <f>Database!$A4181</f>
        <v/>
      </c>
      <c r="B2096">
        <f>IF(VLOOKUP(Table7[[#This Row],[Date]],Database!$A:$C,MATCH($B$1,Database!$A$1:$C$1,),)=0,#N/A,VLOOKUP(Table7[[#This Row],[Date]],Database!$A:$C,MATCH($B$1,Database!$A$1:$C$1,),))</f>
        <v/>
      </c>
      <c r="C2096">
        <f>IF(VLOOKUP(Table7[[#This Row],[Date]],Database!$A:$C,MATCH($C$1,Database!$A$1:$C$1,),)=0,#N/A,VLOOKUP(Table7[[#This Row],[Date]],Database!$A:$C,MATCH($C$1,Database!$A$1:$C$1,),))</f>
        <v/>
      </c>
      <c r="D2096">
        <f>IFERROR(Table7[[#This Row],[United States 10y]]-Table7[[#This Row],[United States 3y]],#N/A)</f>
        <v/>
      </c>
    </row>
    <row r="2097">
      <c r="A2097" s="6">
        <f>Database!$A4182</f>
        <v/>
      </c>
      <c r="B2097">
        <f>IF(VLOOKUP(Table7[[#This Row],[Date]],Database!$A:$C,MATCH($B$1,Database!$A$1:$C$1,),)=0,#N/A,VLOOKUP(Table7[[#This Row],[Date]],Database!$A:$C,MATCH($B$1,Database!$A$1:$C$1,),))</f>
        <v/>
      </c>
      <c r="C2097">
        <f>IF(VLOOKUP(Table7[[#This Row],[Date]],Database!$A:$C,MATCH($C$1,Database!$A$1:$C$1,),)=0,#N/A,VLOOKUP(Table7[[#This Row],[Date]],Database!$A:$C,MATCH($C$1,Database!$A$1:$C$1,),))</f>
        <v/>
      </c>
      <c r="D2097">
        <f>IFERROR(Table7[[#This Row],[United States 10y]]-Table7[[#This Row],[United States 3y]],#N/A)</f>
        <v/>
      </c>
    </row>
    <row r="2098">
      <c r="A2098" s="6">
        <f>Database!$A4183</f>
        <v/>
      </c>
      <c r="B2098">
        <f>IF(VLOOKUP(Table7[[#This Row],[Date]],Database!$A:$C,MATCH($B$1,Database!$A$1:$C$1,),)=0,#N/A,VLOOKUP(Table7[[#This Row],[Date]],Database!$A:$C,MATCH($B$1,Database!$A$1:$C$1,),))</f>
        <v/>
      </c>
      <c r="C2098">
        <f>IF(VLOOKUP(Table7[[#This Row],[Date]],Database!$A:$C,MATCH($C$1,Database!$A$1:$C$1,),)=0,#N/A,VLOOKUP(Table7[[#This Row],[Date]],Database!$A:$C,MATCH($C$1,Database!$A$1:$C$1,),))</f>
        <v/>
      </c>
      <c r="D2098">
        <f>IFERROR(Table7[[#This Row],[United States 10y]]-Table7[[#This Row],[United States 3y]],#N/A)</f>
        <v/>
      </c>
    </row>
    <row r="2099">
      <c r="A2099" s="6">
        <f>Database!$A4184</f>
        <v/>
      </c>
      <c r="B2099">
        <f>IF(VLOOKUP(Table7[[#This Row],[Date]],Database!$A:$C,MATCH($B$1,Database!$A$1:$C$1,),)=0,#N/A,VLOOKUP(Table7[[#This Row],[Date]],Database!$A:$C,MATCH($B$1,Database!$A$1:$C$1,),))</f>
        <v/>
      </c>
      <c r="C2099">
        <f>IF(VLOOKUP(Table7[[#This Row],[Date]],Database!$A:$C,MATCH($C$1,Database!$A$1:$C$1,),)=0,#N/A,VLOOKUP(Table7[[#This Row],[Date]],Database!$A:$C,MATCH($C$1,Database!$A$1:$C$1,),))</f>
        <v/>
      </c>
      <c r="D2099">
        <f>IFERROR(Table7[[#This Row],[United States 10y]]-Table7[[#This Row],[United States 3y]],#N/A)</f>
        <v/>
      </c>
    </row>
    <row r="2100">
      <c r="A2100" s="6">
        <f>Database!$A4185</f>
        <v/>
      </c>
      <c r="B2100">
        <f>IF(VLOOKUP(Table7[[#This Row],[Date]],Database!$A:$C,MATCH($B$1,Database!$A$1:$C$1,),)=0,#N/A,VLOOKUP(Table7[[#This Row],[Date]],Database!$A:$C,MATCH($B$1,Database!$A$1:$C$1,),))</f>
        <v/>
      </c>
      <c r="C2100">
        <f>IF(VLOOKUP(Table7[[#This Row],[Date]],Database!$A:$C,MATCH($C$1,Database!$A$1:$C$1,),)=0,#N/A,VLOOKUP(Table7[[#This Row],[Date]],Database!$A:$C,MATCH($C$1,Database!$A$1:$C$1,),))</f>
        <v/>
      </c>
      <c r="D2100">
        <f>IFERROR(Table7[[#This Row],[United States 10y]]-Table7[[#This Row],[United States 3y]],#N/A)</f>
        <v/>
      </c>
    </row>
    <row r="2101">
      <c r="A2101" s="6">
        <f>Database!$A4186</f>
        <v/>
      </c>
      <c r="B2101">
        <f>IF(VLOOKUP(Table7[[#This Row],[Date]],Database!$A:$C,MATCH($B$1,Database!$A$1:$C$1,),)=0,#N/A,VLOOKUP(Table7[[#This Row],[Date]],Database!$A:$C,MATCH($B$1,Database!$A$1:$C$1,),))</f>
        <v/>
      </c>
      <c r="C2101">
        <f>IF(VLOOKUP(Table7[[#This Row],[Date]],Database!$A:$C,MATCH($C$1,Database!$A$1:$C$1,),)=0,#N/A,VLOOKUP(Table7[[#This Row],[Date]],Database!$A:$C,MATCH($C$1,Database!$A$1:$C$1,),))</f>
        <v/>
      </c>
      <c r="D2101">
        <f>IFERROR(Table7[[#This Row],[United States 10y]]-Table7[[#This Row],[United States 3y]],#N/A)</f>
        <v/>
      </c>
    </row>
    <row r="2102">
      <c r="A2102" s="6">
        <f>Database!$A4187</f>
        <v/>
      </c>
      <c r="B2102">
        <f>IF(VLOOKUP(Table7[[#This Row],[Date]],Database!$A:$C,MATCH($B$1,Database!$A$1:$C$1,),)=0,#N/A,VLOOKUP(Table7[[#This Row],[Date]],Database!$A:$C,MATCH($B$1,Database!$A$1:$C$1,),))</f>
        <v/>
      </c>
      <c r="C2102">
        <f>IF(VLOOKUP(Table7[[#This Row],[Date]],Database!$A:$C,MATCH($C$1,Database!$A$1:$C$1,),)=0,#N/A,VLOOKUP(Table7[[#This Row],[Date]],Database!$A:$C,MATCH($C$1,Database!$A$1:$C$1,),))</f>
        <v/>
      </c>
      <c r="D2102">
        <f>IFERROR(Table7[[#This Row],[United States 10y]]-Table7[[#This Row],[United States 3y]],#N/A)</f>
        <v/>
      </c>
    </row>
    <row r="2103">
      <c r="A2103" s="6">
        <f>Database!$A4188</f>
        <v/>
      </c>
      <c r="B2103">
        <f>IF(VLOOKUP(Table7[[#This Row],[Date]],Database!$A:$C,MATCH($B$1,Database!$A$1:$C$1,),)=0,#N/A,VLOOKUP(Table7[[#This Row],[Date]],Database!$A:$C,MATCH($B$1,Database!$A$1:$C$1,),))</f>
        <v/>
      </c>
      <c r="C2103">
        <f>IF(VLOOKUP(Table7[[#This Row],[Date]],Database!$A:$C,MATCH($C$1,Database!$A$1:$C$1,),)=0,#N/A,VLOOKUP(Table7[[#This Row],[Date]],Database!$A:$C,MATCH($C$1,Database!$A$1:$C$1,),))</f>
        <v/>
      </c>
      <c r="D2103">
        <f>IFERROR(Table7[[#This Row],[United States 10y]]-Table7[[#This Row],[United States 3y]],#N/A)</f>
        <v/>
      </c>
    </row>
    <row r="2104">
      <c r="A2104" s="6">
        <f>Database!$A4189</f>
        <v/>
      </c>
      <c r="B2104">
        <f>IF(VLOOKUP(Table7[[#This Row],[Date]],Database!$A:$C,MATCH($B$1,Database!$A$1:$C$1,),)=0,#N/A,VLOOKUP(Table7[[#This Row],[Date]],Database!$A:$C,MATCH($B$1,Database!$A$1:$C$1,),))</f>
        <v/>
      </c>
      <c r="C2104">
        <f>IF(VLOOKUP(Table7[[#This Row],[Date]],Database!$A:$C,MATCH($C$1,Database!$A$1:$C$1,),)=0,#N/A,VLOOKUP(Table7[[#This Row],[Date]],Database!$A:$C,MATCH($C$1,Database!$A$1:$C$1,),))</f>
        <v/>
      </c>
      <c r="D2104">
        <f>IFERROR(Table7[[#This Row],[United States 10y]]-Table7[[#This Row],[United States 3y]],#N/A)</f>
        <v/>
      </c>
    </row>
    <row r="2105">
      <c r="A2105" s="6">
        <f>Database!$A4190</f>
        <v/>
      </c>
      <c r="B2105">
        <f>IF(VLOOKUP(Table7[[#This Row],[Date]],Database!$A:$C,MATCH($B$1,Database!$A$1:$C$1,),)=0,#N/A,VLOOKUP(Table7[[#This Row],[Date]],Database!$A:$C,MATCH($B$1,Database!$A$1:$C$1,),))</f>
        <v/>
      </c>
      <c r="C2105">
        <f>IF(VLOOKUP(Table7[[#This Row],[Date]],Database!$A:$C,MATCH($C$1,Database!$A$1:$C$1,),)=0,#N/A,VLOOKUP(Table7[[#This Row],[Date]],Database!$A:$C,MATCH($C$1,Database!$A$1:$C$1,),))</f>
        <v/>
      </c>
      <c r="D2105">
        <f>IFERROR(Table7[[#This Row],[United States 10y]]-Table7[[#This Row],[United States 3y]],#N/A)</f>
        <v/>
      </c>
    </row>
    <row r="2106">
      <c r="A2106" s="6">
        <f>Database!$A4191</f>
        <v/>
      </c>
      <c r="B2106">
        <f>IF(VLOOKUP(Table7[[#This Row],[Date]],Database!$A:$C,MATCH($B$1,Database!$A$1:$C$1,),)=0,#N/A,VLOOKUP(Table7[[#This Row],[Date]],Database!$A:$C,MATCH($B$1,Database!$A$1:$C$1,),))</f>
        <v/>
      </c>
      <c r="C2106">
        <f>IF(VLOOKUP(Table7[[#This Row],[Date]],Database!$A:$C,MATCH($C$1,Database!$A$1:$C$1,),)=0,#N/A,VLOOKUP(Table7[[#This Row],[Date]],Database!$A:$C,MATCH($C$1,Database!$A$1:$C$1,),))</f>
        <v/>
      </c>
      <c r="D2106">
        <f>IFERROR(Table7[[#This Row],[United States 10y]]-Table7[[#This Row],[United States 3y]],#N/A)</f>
        <v/>
      </c>
    </row>
    <row r="2107">
      <c r="A2107" s="6">
        <f>Database!$A4192</f>
        <v/>
      </c>
      <c r="B2107">
        <f>IF(VLOOKUP(Table7[[#This Row],[Date]],Database!$A:$C,MATCH($B$1,Database!$A$1:$C$1,),)=0,#N/A,VLOOKUP(Table7[[#This Row],[Date]],Database!$A:$C,MATCH($B$1,Database!$A$1:$C$1,),))</f>
        <v/>
      </c>
      <c r="C2107">
        <f>IF(VLOOKUP(Table7[[#This Row],[Date]],Database!$A:$C,MATCH($C$1,Database!$A$1:$C$1,),)=0,#N/A,VLOOKUP(Table7[[#This Row],[Date]],Database!$A:$C,MATCH($C$1,Database!$A$1:$C$1,),))</f>
        <v/>
      </c>
      <c r="D2107">
        <f>IFERROR(Table7[[#This Row],[United States 10y]]-Table7[[#This Row],[United States 3y]],#N/A)</f>
        <v/>
      </c>
    </row>
    <row r="2108">
      <c r="A2108" s="6">
        <f>Database!$A4193</f>
        <v/>
      </c>
      <c r="B2108">
        <f>IF(VLOOKUP(Table7[[#This Row],[Date]],Database!$A:$C,MATCH($B$1,Database!$A$1:$C$1,),)=0,#N/A,VLOOKUP(Table7[[#This Row],[Date]],Database!$A:$C,MATCH($B$1,Database!$A$1:$C$1,),))</f>
        <v/>
      </c>
      <c r="C2108">
        <f>IF(VLOOKUP(Table7[[#This Row],[Date]],Database!$A:$C,MATCH($C$1,Database!$A$1:$C$1,),)=0,#N/A,VLOOKUP(Table7[[#This Row],[Date]],Database!$A:$C,MATCH($C$1,Database!$A$1:$C$1,),))</f>
        <v/>
      </c>
      <c r="D2108">
        <f>IFERROR(Table7[[#This Row],[United States 10y]]-Table7[[#This Row],[United States 3y]],#N/A)</f>
        <v/>
      </c>
    </row>
    <row r="2109">
      <c r="A2109" s="6">
        <f>Database!$A4194</f>
        <v/>
      </c>
      <c r="B2109">
        <f>IF(VLOOKUP(Table7[[#This Row],[Date]],Database!$A:$C,MATCH($B$1,Database!$A$1:$C$1,),)=0,#N/A,VLOOKUP(Table7[[#This Row],[Date]],Database!$A:$C,MATCH($B$1,Database!$A$1:$C$1,),))</f>
        <v/>
      </c>
      <c r="C2109">
        <f>IF(VLOOKUP(Table7[[#This Row],[Date]],Database!$A:$C,MATCH($C$1,Database!$A$1:$C$1,),)=0,#N/A,VLOOKUP(Table7[[#This Row],[Date]],Database!$A:$C,MATCH($C$1,Database!$A$1:$C$1,),))</f>
        <v/>
      </c>
      <c r="D2109">
        <f>IFERROR(Table7[[#This Row],[United States 10y]]-Table7[[#This Row],[United States 3y]],#N/A)</f>
        <v/>
      </c>
    </row>
    <row r="2110">
      <c r="A2110" s="6">
        <f>Database!$A4195</f>
        <v/>
      </c>
      <c r="B2110">
        <f>IF(VLOOKUP(Table7[[#This Row],[Date]],Database!$A:$C,MATCH($B$1,Database!$A$1:$C$1,),)=0,#N/A,VLOOKUP(Table7[[#This Row],[Date]],Database!$A:$C,MATCH($B$1,Database!$A$1:$C$1,),))</f>
        <v/>
      </c>
      <c r="C2110">
        <f>IF(VLOOKUP(Table7[[#This Row],[Date]],Database!$A:$C,MATCH($C$1,Database!$A$1:$C$1,),)=0,#N/A,VLOOKUP(Table7[[#This Row],[Date]],Database!$A:$C,MATCH($C$1,Database!$A$1:$C$1,),))</f>
        <v/>
      </c>
      <c r="D2110">
        <f>IFERROR(Table7[[#This Row],[United States 10y]]-Table7[[#This Row],[United States 3y]],#N/A)</f>
        <v/>
      </c>
    </row>
    <row r="2111">
      <c r="A2111" s="6">
        <f>Database!$A4196</f>
        <v/>
      </c>
      <c r="B2111">
        <f>IF(VLOOKUP(Table7[[#This Row],[Date]],Database!$A:$C,MATCH($B$1,Database!$A$1:$C$1,),)=0,#N/A,VLOOKUP(Table7[[#This Row],[Date]],Database!$A:$C,MATCH($B$1,Database!$A$1:$C$1,),))</f>
        <v/>
      </c>
      <c r="C2111">
        <f>IF(VLOOKUP(Table7[[#This Row],[Date]],Database!$A:$C,MATCH($C$1,Database!$A$1:$C$1,),)=0,#N/A,VLOOKUP(Table7[[#This Row],[Date]],Database!$A:$C,MATCH($C$1,Database!$A$1:$C$1,),))</f>
        <v/>
      </c>
      <c r="D2111">
        <f>IFERROR(Table7[[#This Row],[United States 10y]]-Table7[[#This Row],[United States 3y]],#N/A)</f>
        <v/>
      </c>
    </row>
    <row r="2112">
      <c r="A2112" s="6">
        <f>Database!$A4197</f>
        <v/>
      </c>
      <c r="B2112">
        <f>IF(VLOOKUP(Table7[[#This Row],[Date]],Database!$A:$C,MATCH($B$1,Database!$A$1:$C$1,),)=0,#N/A,VLOOKUP(Table7[[#This Row],[Date]],Database!$A:$C,MATCH($B$1,Database!$A$1:$C$1,),))</f>
        <v/>
      </c>
      <c r="C2112">
        <f>IF(VLOOKUP(Table7[[#This Row],[Date]],Database!$A:$C,MATCH($C$1,Database!$A$1:$C$1,),)=0,#N/A,VLOOKUP(Table7[[#This Row],[Date]],Database!$A:$C,MATCH($C$1,Database!$A$1:$C$1,),))</f>
        <v/>
      </c>
      <c r="D2112">
        <f>IFERROR(Table7[[#This Row],[United States 10y]]-Table7[[#This Row],[United States 3y]],#N/A)</f>
        <v/>
      </c>
    </row>
    <row r="2113">
      <c r="A2113" s="6">
        <f>Database!$A4198</f>
        <v/>
      </c>
      <c r="B2113">
        <f>IF(VLOOKUP(Table7[[#This Row],[Date]],Database!$A:$C,MATCH($B$1,Database!$A$1:$C$1,),)=0,#N/A,VLOOKUP(Table7[[#This Row],[Date]],Database!$A:$C,MATCH($B$1,Database!$A$1:$C$1,),))</f>
        <v/>
      </c>
      <c r="C2113">
        <f>IF(VLOOKUP(Table7[[#This Row],[Date]],Database!$A:$C,MATCH($C$1,Database!$A$1:$C$1,),)=0,#N/A,VLOOKUP(Table7[[#This Row],[Date]],Database!$A:$C,MATCH($C$1,Database!$A$1:$C$1,),))</f>
        <v/>
      </c>
      <c r="D2113">
        <f>IFERROR(Table7[[#This Row],[United States 10y]]-Table7[[#This Row],[United States 3y]],#N/A)</f>
        <v/>
      </c>
    </row>
    <row r="2114">
      <c r="A2114" s="6">
        <f>Database!$A4199</f>
        <v/>
      </c>
      <c r="B2114">
        <f>IF(VLOOKUP(Table7[[#This Row],[Date]],Database!$A:$C,MATCH($B$1,Database!$A$1:$C$1,),)=0,#N/A,VLOOKUP(Table7[[#This Row],[Date]],Database!$A:$C,MATCH($B$1,Database!$A$1:$C$1,),))</f>
        <v/>
      </c>
      <c r="C2114">
        <f>IF(VLOOKUP(Table7[[#This Row],[Date]],Database!$A:$C,MATCH($C$1,Database!$A$1:$C$1,),)=0,#N/A,VLOOKUP(Table7[[#This Row],[Date]],Database!$A:$C,MATCH($C$1,Database!$A$1:$C$1,),))</f>
        <v/>
      </c>
      <c r="D2114">
        <f>IFERROR(Table7[[#This Row],[United States 10y]]-Table7[[#This Row],[United States 3y]],#N/A)</f>
        <v/>
      </c>
    </row>
    <row r="2115">
      <c r="A2115" s="6">
        <f>Database!$A4200</f>
        <v/>
      </c>
      <c r="B2115">
        <f>IF(VLOOKUP(Table7[[#This Row],[Date]],Database!$A:$C,MATCH($B$1,Database!$A$1:$C$1,),)=0,#N/A,VLOOKUP(Table7[[#This Row],[Date]],Database!$A:$C,MATCH($B$1,Database!$A$1:$C$1,),))</f>
        <v/>
      </c>
      <c r="C2115">
        <f>IF(VLOOKUP(Table7[[#This Row],[Date]],Database!$A:$C,MATCH($C$1,Database!$A$1:$C$1,),)=0,#N/A,VLOOKUP(Table7[[#This Row],[Date]],Database!$A:$C,MATCH($C$1,Database!$A$1:$C$1,),))</f>
        <v/>
      </c>
      <c r="D2115">
        <f>IFERROR(Table7[[#This Row],[United States 10y]]-Table7[[#This Row],[United States 3y]],#N/A)</f>
        <v/>
      </c>
    </row>
    <row r="2116">
      <c r="A2116" s="6">
        <f>Database!$A4201</f>
        <v/>
      </c>
      <c r="B2116">
        <f>IF(VLOOKUP(Table7[[#This Row],[Date]],Database!$A:$C,MATCH($B$1,Database!$A$1:$C$1,),)=0,#N/A,VLOOKUP(Table7[[#This Row],[Date]],Database!$A:$C,MATCH($B$1,Database!$A$1:$C$1,),))</f>
        <v/>
      </c>
      <c r="C2116">
        <f>IF(VLOOKUP(Table7[[#This Row],[Date]],Database!$A:$C,MATCH($C$1,Database!$A$1:$C$1,),)=0,#N/A,VLOOKUP(Table7[[#This Row],[Date]],Database!$A:$C,MATCH($C$1,Database!$A$1:$C$1,),))</f>
        <v/>
      </c>
      <c r="D2116">
        <f>IFERROR(Table7[[#This Row],[United States 10y]]-Table7[[#This Row],[United States 3y]],#N/A)</f>
        <v/>
      </c>
    </row>
    <row r="2117">
      <c r="A2117" s="6">
        <f>Database!$A4202</f>
        <v/>
      </c>
      <c r="B2117">
        <f>IF(VLOOKUP(Table7[[#This Row],[Date]],Database!$A:$C,MATCH($B$1,Database!$A$1:$C$1,),)=0,#N/A,VLOOKUP(Table7[[#This Row],[Date]],Database!$A:$C,MATCH($B$1,Database!$A$1:$C$1,),))</f>
        <v/>
      </c>
      <c r="C2117">
        <f>IF(VLOOKUP(Table7[[#This Row],[Date]],Database!$A:$C,MATCH($C$1,Database!$A$1:$C$1,),)=0,#N/A,VLOOKUP(Table7[[#This Row],[Date]],Database!$A:$C,MATCH($C$1,Database!$A$1:$C$1,),))</f>
        <v/>
      </c>
      <c r="D2117">
        <f>IFERROR(Table7[[#This Row],[United States 10y]]-Table7[[#This Row],[United States 3y]],#N/A)</f>
        <v/>
      </c>
    </row>
    <row r="2118">
      <c r="A2118" s="6">
        <f>Database!$A4203</f>
        <v/>
      </c>
      <c r="B2118">
        <f>IF(VLOOKUP(Table7[[#This Row],[Date]],Database!$A:$C,MATCH($B$1,Database!$A$1:$C$1,),)=0,#N/A,VLOOKUP(Table7[[#This Row],[Date]],Database!$A:$C,MATCH($B$1,Database!$A$1:$C$1,),))</f>
        <v/>
      </c>
      <c r="C2118">
        <f>IF(VLOOKUP(Table7[[#This Row],[Date]],Database!$A:$C,MATCH($C$1,Database!$A$1:$C$1,),)=0,#N/A,VLOOKUP(Table7[[#This Row],[Date]],Database!$A:$C,MATCH($C$1,Database!$A$1:$C$1,),))</f>
        <v/>
      </c>
      <c r="D2118">
        <f>IFERROR(Table7[[#This Row],[United States 10y]]-Table7[[#This Row],[United States 3y]],#N/A)</f>
        <v/>
      </c>
    </row>
    <row r="2119">
      <c r="A2119" s="6">
        <f>Database!$A4204</f>
        <v/>
      </c>
      <c r="B2119">
        <f>IF(VLOOKUP(Table7[[#This Row],[Date]],Database!$A:$C,MATCH($B$1,Database!$A$1:$C$1,),)=0,#N/A,VLOOKUP(Table7[[#This Row],[Date]],Database!$A:$C,MATCH($B$1,Database!$A$1:$C$1,),))</f>
        <v/>
      </c>
      <c r="C2119">
        <f>IF(VLOOKUP(Table7[[#This Row],[Date]],Database!$A:$C,MATCH($C$1,Database!$A$1:$C$1,),)=0,#N/A,VLOOKUP(Table7[[#This Row],[Date]],Database!$A:$C,MATCH($C$1,Database!$A$1:$C$1,),))</f>
        <v/>
      </c>
      <c r="D2119">
        <f>IFERROR(Table7[[#This Row],[United States 10y]]-Table7[[#This Row],[United States 3y]],#N/A)</f>
        <v/>
      </c>
    </row>
    <row r="2120">
      <c r="A2120" s="6">
        <f>Database!$A4205</f>
        <v/>
      </c>
      <c r="B2120">
        <f>IF(VLOOKUP(Table7[[#This Row],[Date]],Database!$A:$C,MATCH($B$1,Database!$A$1:$C$1,),)=0,#N/A,VLOOKUP(Table7[[#This Row],[Date]],Database!$A:$C,MATCH($B$1,Database!$A$1:$C$1,),))</f>
        <v/>
      </c>
      <c r="C2120">
        <f>IF(VLOOKUP(Table7[[#This Row],[Date]],Database!$A:$C,MATCH($C$1,Database!$A$1:$C$1,),)=0,#N/A,VLOOKUP(Table7[[#This Row],[Date]],Database!$A:$C,MATCH($C$1,Database!$A$1:$C$1,),))</f>
        <v/>
      </c>
      <c r="D2120">
        <f>IFERROR(Table7[[#This Row],[United States 10y]]-Table7[[#This Row],[United States 3y]],#N/A)</f>
        <v/>
      </c>
    </row>
    <row r="2121">
      <c r="A2121" s="6">
        <f>Database!$A4206</f>
        <v/>
      </c>
      <c r="B2121">
        <f>IF(VLOOKUP(Table7[[#This Row],[Date]],Database!$A:$C,MATCH($B$1,Database!$A$1:$C$1,),)=0,#N/A,VLOOKUP(Table7[[#This Row],[Date]],Database!$A:$C,MATCH($B$1,Database!$A$1:$C$1,),))</f>
        <v/>
      </c>
      <c r="C2121">
        <f>IF(VLOOKUP(Table7[[#This Row],[Date]],Database!$A:$C,MATCH($C$1,Database!$A$1:$C$1,),)=0,#N/A,VLOOKUP(Table7[[#This Row],[Date]],Database!$A:$C,MATCH($C$1,Database!$A$1:$C$1,),))</f>
        <v/>
      </c>
      <c r="D2121">
        <f>IFERROR(Table7[[#This Row],[United States 10y]]-Table7[[#This Row],[United States 3y]],#N/A)</f>
        <v/>
      </c>
    </row>
    <row r="2122">
      <c r="A2122" s="6">
        <f>Database!$A4207</f>
        <v/>
      </c>
      <c r="B2122">
        <f>IF(VLOOKUP(Table7[[#This Row],[Date]],Database!$A:$C,MATCH($B$1,Database!$A$1:$C$1,),)=0,#N/A,VLOOKUP(Table7[[#This Row],[Date]],Database!$A:$C,MATCH($B$1,Database!$A$1:$C$1,),))</f>
        <v/>
      </c>
      <c r="C2122">
        <f>IF(VLOOKUP(Table7[[#This Row],[Date]],Database!$A:$C,MATCH($C$1,Database!$A$1:$C$1,),)=0,#N/A,VLOOKUP(Table7[[#This Row],[Date]],Database!$A:$C,MATCH($C$1,Database!$A$1:$C$1,),))</f>
        <v/>
      </c>
      <c r="D2122">
        <f>IFERROR(Table7[[#This Row],[United States 10y]]-Table7[[#This Row],[United States 3y]],#N/A)</f>
        <v/>
      </c>
    </row>
    <row r="2123">
      <c r="A2123" s="6">
        <f>Database!$A4208</f>
        <v/>
      </c>
      <c r="B2123">
        <f>IF(VLOOKUP(Table7[[#This Row],[Date]],Database!$A:$C,MATCH($B$1,Database!$A$1:$C$1,),)=0,#N/A,VLOOKUP(Table7[[#This Row],[Date]],Database!$A:$C,MATCH($B$1,Database!$A$1:$C$1,),))</f>
        <v/>
      </c>
      <c r="C2123">
        <f>IF(VLOOKUP(Table7[[#This Row],[Date]],Database!$A:$C,MATCH($C$1,Database!$A$1:$C$1,),)=0,#N/A,VLOOKUP(Table7[[#This Row],[Date]],Database!$A:$C,MATCH($C$1,Database!$A$1:$C$1,),))</f>
        <v/>
      </c>
      <c r="D2123">
        <f>IFERROR(Table7[[#This Row],[United States 10y]]-Table7[[#This Row],[United States 3y]],#N/A)</f>
        <v/>
      </c>
    </row>
    <row r="2124">
      <c r="A2124" s="6">
        <f>Database!$A4209</f>
        <v/>
      </c>
      <c r="B2124">
        <f>IF(VLOOKUP(Table7[[#This Row],[Date]],Database!$A:$C,MATCH($B$1,Database!$A$1:$C$1,),)=0,#N/A,VLOOKUP(Table7[[#This Row],[Date]],Database!$A:$C,MATCH($B$1,Database!$A$1:$C$1,),))</f>
        <v/>
      </c>
      <c r="C2124">
        <f>IF(VLOOKUP(Table7[[#This Row],[Date]],Database!$A:$C,MATCH($C$1,Database!$A$1:$C$1,),)=0,#N/A,VLOOKUP(Table7[[#This Row],[Date]],Database!$A:$C,MATCH($C$1,Database!$A$1:$C$1,),))</f>
        <v/>
      </c>
      <c r="D2124">
        <f>IFERROR(Table7[[#This Row],[United States 10y]]-Table7[[#This Row],[United States 3y]],#N/A)</f>
        <v/>
      </c>
    </row>
    <row r="2125">
      <c r="A2125" s="6">
        <f>Database!$A4210</f>
        <v/>
      </c>
      <c r="B2125">
        <f>IF(VLOOKUP(Table7[[#This Row],[Date]],Database!$A:$C,MATCH($B$1,Database!$A$1:$C$1,),)=0,#N/A,VLOOKUP(Table7[[#This Row],[Date]],Database!$A:$C,MATCH($B$1,Database!$A$1:$C$1,),))</f>
        <v/>
      </c>
      <c r="C2125">
        <f>IF(VLOOKUP(Table7[[#This Row],[Date]],Database!$A:$C,MATCH($C$1,Database!$A$1:$C$1,),)=0,#N/A,VLOOKUP(Table7[[#This Row],[Date]],Database!$A:$C,MATCH($C$1,Database!$A$1:$C$1,),))</f>
        <v/>
      </c>
      <c r="D2125">
        <f>IFERROR(Table7[[#This Row],[United States 10y]]-Table7[[#This Row],[United States 3y]],#N/A)</f>
        <v/>
      </c>
    </row>
    <row r="2126">
      <c r="A2126" s="6">
        <f>Database!$A4211</f>
        <v/>
      </c>
      <c r="B2126">
        <f>IF(VLOOKUP(Table7[[#This Row],[Date]],Database!$A:$C,MATCH($B$1,Database!$A$1:$C$1,),)=0,#N/A,VLOOKUP(Table7[[#This Row],[Date]],Database!$A:$C,MATCH($B$1,Database!$A$1:$C$1,),))</f>
        <v/>
      </c>
      <c r="C2126">
        <f>IF(VLOOKUP(Table7[[#This Row],[Date]],Database!$A:$C,MATCH($C$1,Database!$A$1:$C$1,),)=0,#N/A,VLOOKUP(Table7[[#This Row],[Date]],Database!$A:$C,MATCH($C$1,Database!$A$1:$C$1,),))</f>
        <v/>
      </c>
      <c r="D2126">
        <f>IFERROR(Table7[[#This Row],[United States 10y]]-Table7[[#This Row],[United States 3y]],#N/A)</f>
        <v/>
      </c>
    </row>
    <row r="2127">
      <c r="A2127" s="6">
        <f>Database!$A4212</f>
        <v/>
      </c>
      <c r="B2127">
        <f>IF(VLOOKUP(Table7[[#This Row],[Date]],Database!$A:$C,MATCH($B$1,Database!$A$1:$C$1,),)=0,#N/A,VLOOKUP(Table7[[#This Row],[Date]],Database!$A:$C,MATCH($B$1,Database!$A$1:$C$1,),))</f>
        <v/>
      </c>
      <c r="C2127">
        <f>IF(VLOOKUP(Table7[[#This Row],[Date]],Database!$A:$C,MATCH($C$1,Database!$A$1:$C$1,),)=0,#N/A,VLOOKUP(Table7[[#This Row],[Date]],Database!$A:$C,MATCH($C$1,Database!$A$1:$C$1,),))</f>
        <v/>
      </c>
      <c r="D2127">
        <f>IFERROR(Table7[[#This Row],[United States 10y]]-Table7[[#This Row],[United States 3y]],#N/A)</f>
        <v/>
      </c>
    </row>
    <row r="2128">
      <c r="A2128" s="6">
        <f>Database!$A4213</f>
        <v/>
      </c>
      <c r="B2128">
        <f>IF(VLOOKUP(Table7[[#This Row],[Date]],Database!$A:$C,MATCH($B$1,Database!$A$1:$C$1,),)=0,#N/A,VLOOKUP(Table7[[#This Row],[Date]],Database!$A:$C,MATCH($B$1,Database!$A$1:$C$1,),))</f>
        <v/>
      </c>
      <c r="C2128">
        <f>IF(VLOOKUP(Table7[[#This Row],[Date]],Database!$A:$C,MATCH($C$1,Database!$A$1:$C$1,),)=0,#N/A,VLOOKUP(Table7[[#This Row],[Date]],Database!$A:$C,MATCH($C$1,Database!$A$1:$C$1,),))</f>
        <v/>
      </c>
      <c r="D2128">
        <f>IFERROR(Table7[[#This Row],[United States 10y]]-Table7[[#This Row],[United States 3y]],#N/A)</f>
        <v/>
      </c>
    </row>
    <row r="2129">
      <c r="A2129" s="6">
        <f>Database!$A4214</f>
        <v/>
      </c>
      <c r="B2129">
        <f>IF(VLOOKUP(Table7[[#This Row],[Date]],Database!$A:$C,MATCH($B$1,Database!$A$1:$C$1,),)=0,#N/A,VLOOKUP(Table7[[#This Row],[Date]],Database!$A:$C,MATCH($B$1,Database!$A$1:$C$1,),))</f>
        <v/>
      </c>
      <c r="C2129">
        <f>IF(VLOOKUP(Table7[[#This Row],[Date]],Database!$A:$C,MATCH($C$1,Database!$A$1:$C$1,),)=0,#N/A,VLOOKUP(Table7[[#This Row],[Date]],Database!$A:$C,MATCH($C$1,Database!$A$1:$C$1,),))</f>
        <v/>
      </c>
      <c r="D2129">
        <f>IFERROR(Table7[[#This Row],[United States 10y]]-Table7[[#This Row],[United States 3y]],#N/A)</f>
        <v/>
      </c>
    </row>
    <row r="2130">
      <c r="A2130" s="6">
        <f>Database!$A4215</f>
        <v/>
      </c>
      <c r="B2130">
        <f>IF(VLOOKUP(Table7[[#This Row],[Date]],Database!$A:$C,MATCH($B$1,Database!$A$1:$C$1,),)=0,#N/A,VLOOKUP(Table7[[#This Row],[Date]],Database!$A:$C,MATCH($B$1,Database!$A$1:$C$1,),))</f>
        <v/>
      </c>
      <c r="C2130">
        <f>IF(VLOOKUP(Table7[[#This Row],[Date]],Database!$A:$C,MATCH($C$1,Database!$A$1:$C$1,),)=0,#N/A,VLOOKUP(Table7[[#This Row],[Date]],Database!$A:$C,MATCH($C$1,Database!$A$1:$C$1,),))</f>
        <v/>
      </c>
      <c r="D2130">
        <f>IFERROR(Table7[[#This Row],[United States 10y]]-Table7[[#This Row],[United States 3y]],#N/A)</f>
        <v/>
      </c>
    </row>
    <row r="2131">
      <c r="A2131" s="6">
        <f>Database!$A4216</f>
        <v/>
      </c>
      <c r="B2131">
        <f>IF(VLOOKUP(Table7[[#This Row],[Date]],Database!$A:$C,MATCH($B$1,Database!$A$1:$C$1,),)=0,#N/A,VLOOKUP(Table7[[#This Row],[Date]],Database!$A:$C,MATCH($B$1,Database!$A$1:$C$1,),))</f>
        <v/>
      </c>
      <c r="C2131">
        <f>IF(VLOOKUP(Table7[[#This Row],[Date]],Database!$A:$C,MATCH($C$1,Database!$A$1:$C$1,),)=0,#N/A,VLOOKUP(Table7[[#This Row],[Date]],Database!$A:$C,MATCH($C$1,Database!$A$1:$C$1,),))</f>
        <v/>
      </c>
      <c r="D2131">
        <f>IFERROR(Table7[[#This Row],[United States 10y]]-Table7[[#This Row],[United States 3y]],#N/A)</f>
        <v/>
      </c>
    </row>
    <row r="2132">
      <c r="A2132" s="6">
        <f>Database!$A4217</f>
        <v/>
      </c>
      <c r="B2132">
        <f>IF(VLOOKUP(Table7[[#This Row],[Date]],Database!$A:$C,MATCH($B$1,Database!$A$1:$C$1,),)=0,#N/A,VLOOKUP(Table7[[#This Row],[Date]],Database!$A:$C,MATCH($B$1,Database!$A$1:$C$1,),))</f>
        <v/>
      </c>
      <c r="C2132">
        <f>IF(VLOOKUP(Table7[[#This Row],[Date]],Database!$A:$C,MATCH($C$1,Database!$A$1:$C$1,),)=0,#N/A,VLOOKUP(Table7[[#This Row],[Date]],Database!$A:$C,MATCH($C$1,Database!$A$1:$C$1,),))</f>
        <v/>
      </c>
      <c r="D2132">
        <f>IFERROR(Table7[[#This Row],[United States 10y]]-Table7[[#This Row],[United States 3y]],#N/A)</f>
        <v/>
      </c>
    </row>
    <row r="2133">
      <c r="A2133" s="6">
        <f>Database!$A4218</f>
        <v/>
      </c>
      <c r="B2133">
        <f>IF(VLOOKUP(Table7[[#This Row],[Date]],Database!$A:$C,MATCH($B$1,Database!$A$1:$C$1,),)=0,#N/A,VLOOKUP(Table7[[#This Row],[Date]],Database!$A:$C,MATCH($B$1,Database!$A$1:$C$1,),))</f>
        <v/>
      </c>
      <c r="C2133">
        <f>IF(VLOOKUP(Table7[[#This Row],[Date]],Database!$A:$C,MATCH($C$1,Database!$A$1:$C$1,),)=0,#N/A,VLOOKUP(Table7[[#This Row],[Date]],Database!$A:$C,MATCH($C$1,Database!$A$1:$C$1,),))</f>
        <v/>
      </c>
      <c r="D2133">
        <f>IFERROR(Table7[[#This Row],[United States 10y]]-Table7[[#This Row],[United States 3y]],#N/A)</f>
        <v/>
      </c>
    </row>
    <row r="2134">
      <c r="A2134" s="6">
        <f>Database!$A4219</f>
        <v/>
      </c>
      <c r="B2134">
        <f>IF(VLOOKUP(Table7[[#This Row],[Date]],Database!$A:$C,MATCH($B$1,Database!$A$1:$C$1,),)=0,#N/A,VLOOKUP(Table7[[#This Row],[Date]],Database!$A:$C,MATCH($B$1,Database!$A$1:$C$1,),))</f>
        <v/>
      </c>
      <c r="C2134">
        <f>IF(VLOOKUP(Table7[[#This Row],[Date]],Database!$A:$C,MATCH($C$1,Database!$A$1:$C$1,),)=0,#N/A,VLOOKUP(Table7[[#This Row],[Date]],Database!$A:$C,MATCH($C$1,Database!$A$1:$C$1,),))</f>
        <v/>
      </c>
      <c r="D2134">
        <f>IFERROR(Table7[[#This Row],[United States 10y]]-Table7[[#This Row],[United States 3y]],#N/A)</f>
        <v/>
      </c>
    </row>
    <row r="2135">
      <c r="A2135" s="6">
        <f>Database!$A4220</f>
        <v/>
      </c>
      <c r="B2135">
        <f>IF(VLOOKUP(Table7[[#This Row],[Date]],Database!$A:$C,MATCH($B$1,Database!$A$1:$C$1,),)=0,#N/A,VLOOKUP(Table7[[#This Row],[Date]],Database!$A:$C,MATCH($B$1,Database!$A$1:$C$1,),))</f>
        <v/>
      </c>
      <c r="C2135">
        <f>IF(VLOOKUP(Table7[[#This Row],[Date]],Database!$A:$C,MATCH($C$1,Database!$A$1:$C$1,),)=0,#N/A,VLOOKUP(Table7[[#This Row],[Date]],Database!$A:$C,MATCH($C$1,Database!$A$1:$C$1,),))</f>
        <v/>
      </c>
      <c r="D2135">
        <f>IFERROR(Table7[[#This Row],[United States 10y]]-Table7[[#This Row],[United States 3y]],#N/A)</f>
        <v/>
      </c>
    </row>
    <row r="2136">
      <c r="A2136" s="6">
        <f>Database!$A4221</f>
        <v/>
      </c>
      <c r="B2136">
        <f>IF(VLOOKUP(Table7[[#This Row],[Date]],Database!$A:$C,MATCH($B$1,Database!$A$1:$C$1,),)=0,#N/A,VLOOKUP(Table7[[#This Row],[Date]],Database!$A:$C,MATCH($B$1,Database!$A$1:$C$1,),))</f>
        <v/>
      </c>
      <c r="C2136">
        <f>IF(VLOOKUP(Table7[[#This Row],[Date]],Database!$A:$C,MATCH($C$1,Database!$A$1:$C$1,),)=0,#N/A,VLOOKUP(Table7[[#This Row],[Date]],Database!$A:$C,MATCH($C$1,Database!$A$1:$C$1,),))</f>
        <v/>
      </c>
      <c r="D2136">
        <f>IFERROR(Table7[[#This Row],[United States 10y]]-Table7[[#This Row],[United States 3y]],#N/A)</f>
        <v/>
      </c>
    </row>
    <row r="2137">
      <c r="A2137" s="6">
        <f>Database!$A4222</f>
        <v/>
      </c>
      <c r="B2137">
        <f>IF(VLOOKUP(Table7[[#This Row],[Date]],Database!$A:$C,MATCH($B$1,Database!$A$1:$C$1,),)=0,#N/A,VLOOKUP(Table7[[#This Row],[Date]],Database!$A:$C,MATCH($B$1,Database!$A$1:$C$1,),))</f>
        <v/>
      </c>
      <c r="C2137">
        <f>IF(VLOOKUP(Table7[[#This Row],[Date]],Database!$A:$C,MATCH($C$1,Database!$A$1:$C$1,),)=0,#N/A,VLOOKUP(Table7[[#This Row],[Date]],Database!$A:$C,MATCH($C$1,Database!$A$1:$C$1,),))</f>
        <v/>
      </c>
      <c r="D2137">
        <f>IFERROR(Table7[[#This Row],[United States 10y]]-Table7[[#This Row],[United States 3y]],#N/A)</f>
        <v/>
      </c>
    </row>
    <row r="2138">
      <c r="A2138" s="6">
        <f>Database!$A4223</f>
        <v/>
      </c>
      <c r="B2138">
        <f>IF(VLOOKUP(Table7[[#This Row],[Date]],Database!$A:$C,MATCH($B$1,Database!$A$1:$C$1,),)=0,#N/A,VLOOKUP(Table7[[#This Row],[Date]],Database!$A:$C,MATCH($B$1,Database!$A$1:$C$1,),))</f>
        <v/>
      </c>
      <c r="C2138">
        <f>IF(VLOOKUP(Table7[[#This Row],[Date]],Database!$A:$C,MATCH($C$1,Database!$A$1:$C$1,),)=0,#N/A,VLOOKUP(Table7[[#This Row],[Date]],Database!$A:$C,MATCH($C$1,Database!$A$1:$C$1,),))</f>
        <v/>
      </c>
      <c r="D2138">
        <f>IFERROR(Table7[[#This Row],[United States 10y]]-Table7[[#This Row],[United States 3y]],#N/A)</f>
        <v/>
      </c>
    </row>
    <row r="2139">
      <c r="A2139" s="6">
        <f>Database!$A4224</f>
        <v/>
      </c>
      <c r="B2139">
        <f>IF(VLOOKUP(Table7[[#This Row],[Date]],Database!$A:$C,MATCH($B$1,Database!$A$1:$C$1,),)=0,#N/A,VLOOKUP(Table7[[#This Row],[Date]],Database!$A:$C,MATCH($B$1,Database!$A$1:$C$1,),))</f>
        <v/>
      </c>
      <c r="C2139">
        <f>IF(VLOOKUP(Table7[[#This Row],[Date]],Database!$A:$C,MATCH($C$1,Database!$A$1:$C$1,),)=0,#N/A,VLOOKUP(Table7[[#This Row],[Date]],Database!$A:$C,MATCH($C$1,Database!$A$1:$C$1,),))</f>
        <v/>
      </c>
      <c r="D2139">
        <f>IFERROR(Table7[[#This Row],[United States 10y]]-Table7[[#This Row],[United States 3y]],#N/A)</f>
        <v/>
      </c>
    </row>
    <row r="2140">
      <c r="A2140" s="6">
        <f>Database!$A4225</f>
        <v/>
      </c>
      <c r="B2140">
        <f>IF(VLOOKUP(Table7[[#This Row],[Date]],Database!$A:$C,MATCH($B$1,Database!$A$1:$C$1,),)=0,#N/A,VLOOKUP(Table7[[#This Row],[Date]],Database!$A:$C,MATCH($B$1,Database!$A$1:$C$1,),))</f>
        <v/>
      </c>
      <c r="C2140">
        <f>IF(VLOOKUP(Table7[[#This Row],[Date]],Database!$A:$C,MATCH($C$1,Database!$A$1:$C$1,),)=0,#N/A,VLOOKUP(Table7[[#This Row],[Date]],Database!$A:$C,MATCH($C$1,Database!$A$1:$C$1,),))</f>
        <v/>
      </c>
      <c r="D2140">
        <f>IFERROR(Table7[[#This Row],[United States 10y]]-Table7[[#This Row],[United States 3y]],#N/A)</f>
        <v/>
      </c>
    </row>
    <row r="2141">
      <c r="A2141" s="6">
        <f>Database!$A4226</f>
        <v/>
      </c>
      <c r="B2141">
        <f>IF(VLOOKUP(Table7[[#This Row],[Date]],Database!$A:$C,MATCH($B$1,Database!$A$1:$C$1,),)=0,#N/A,VLOOKUP(Table7[[#This Row],[Date]],Database!$A:$C,MATCH($B$1,Database!$A$1:$C$1,),))</f>
        <v/>
      </c>
      <c r="C2141">
        <f>IF(VLOOKUP(Table7[[#This Row],[Date]],Database!$A:$C,MATCH($C$1,Database!$A$1:$C$1,),)=0,#N/A,VLOOKUP(Table7[[#This Row],[Date]],Database!$A:$C,MATCH($C$1,Database!$A$1:$C$1,),))</f>
        <v/>
      </c>
      <c r="D2141">
        <f>IFERROR(Table7[[#This Row],[United States 10y]]-Table7[[#This Row],[United States 3y]],#N/A)</f>
        <v/>
      </c>
    </row>
    <row r="2142">
      <c r="A2142" s="6">
        <f>Database!$A4227</f>
        <v/>
      </c>
      <c r="B2142">
        <f>IF(VLOOKUP(Table7[[#This Row],[Date]],Database!$A:$C,MATCH($B$1,Database!$A$1:$C$1,),)=0,#N/A,VLOOKUP(Table7[[#This Row],[Date]],Database!$A:$C,MATCH($B$1,Database!$A$1:$C$1,),))</f>
        <v/>
      </c>
      <c r="C2142">
        <f>IF(VLOOKUP(Table7[[#This Row],[Date]],Database!$A:$C,MATCH($C$1,Database!$A$1:$C$1,),)=0,#N/A,VLOOKUP(Table7[[#This Row],[Date]],Database!$A:$C,MATCH($C$1,Database!$A$1:$C$1,),))</f>
        <v/>
      </c>
      <c r="D2142">
        <f>IFERROR(Table7[[#This Row],[United States 10y]]-Table7[[#This Row],[United States 3y]],#N/A)</f>
        <v/>
      </c>
    </row>
    <row r="2143">
      <c r="A2143" s="6">
        <f>Database!$A4228</f>
        <v/>
      </c>
      <c r="B2143">
        <f>IF(VLOOKUP(Table7[[#This Row],[Date]],Database!$A:$C,MATCH($B$1,Database!$A$1:$C$1,),)=0,#N/A,VLOOKUP(Table7[[#This Row],[Date]],Database!$A:$C,MATCH($B$1,Database!$A$1:$C$1,),))</f>
        <v/>
      </c>
      <c r="C2143">
        <f>IF(VLOOKUP(Table7[[#This Row],[Date]],Database!$A:$C,MATCH($C$1,Database!$A$1:$C$1,),)=0,#N/A,VLOOKUP(Table7[[#This Row],[Date]],Database!$A:$C,MATCH($C$1,Database!$A$1:$C$1,),))</f>
        <v/>
      </c>
      <c r="D2143">
        <f>IFERROR(Table7[[#This Row],[United States 10y]]-Table7[[#This Row],[United States 3y]],#N/A)</f>
        <v/>
      </c>
    </row>
    <row r="2144">
      <c r="A2144" s="6">
        <f>Database!$A4229</f>
        <v/>
      </c>
      <c r="B2144">
        <f>IF(VLOOKUP(Table7[[#This Row],[Date]],Database!$A:$C,MATCH($B$1,Database!$A$1:$C$1,),)=0,#N/A,VLOOKUP(Table7[[#This Row],[Date]],Database!$A:$C,MATCH($B$1,Database!$A$1:$C$1,),))</f>
        <v/>
      </c>
      <c r="C2144">
        <f>IF(VLOOKUP(Table7[[#This Row],[Date]],Database!$A:$C,MATCH($C$1,Database!$A$1:$C$1,),)=0,#N/A,VLOOKUP(Table7[[#This Row],[Date]],Database!$A:$C,MATCH($C$1,Database!$A$1:$C$1,),))</f>
        <v/>
      </c>
      <c r="D2144">
        <f>IFERROR(Table7[[#This Row],[United States 10y]]-Table7[[#This Row],[United States 3y]],#N/A)</f>
        <v/>
      </c>
    </row>
    <row r="2145">
      <c r="A2145" s="6">
        <f>Database!$A4230</f>
        <v/>
      </c>
      <c r="B2145">
        <f>IF(VLOOKUP(Table7[[#This Row],[Date]],Database!$A:$C,MATCH($B$1,Database!$A$1:$C$1,),)=0,#N/A,VLOOKUP(Table7[[#This Row],[Date]],Database!$A:$C,MATCH($B$1,Database!$A$1:$C$1,),))</f>
        <v/>
      </c>
      <c r="C2145">
        <f>IF(VLOOKUP(Table7[[#This Row],[Date]],Database!$A:$C,MATCH($C$1,Database!$A$1:$C$1,),)=0,#N/A,VLOOKUP(Table7[[#This Row],[Date]],Database!$A:$C,MATCH($C$1,Database!$A$1:$C$1,),))</f>
        <v/>
      </c>
      <c r="D2145">
        <f>IFERROR(Table7[[#This Row],[United States 10y]]-Table7[[#This Row],[United States 3y]],#N/A)</f>
        <v/>
      </c>
    </row>
    <row r="2146">
      <c r="A2146" s="6">
        <f>Database!$A4231</f>
        <v/>
      </c>
      <c r="B2146">
        <f>IF(VLOOKUP(Table7[[#This Row],[Date]],Database!$A:$C,MATCH($B$1,Database!$A$1:$C$1,),)=0,#N/A,VLOOKUP(Table7[[#This Row],[Date]],Database!$A:$C,MATCH($B$1,Database!$A$1:$C$1,),))</f>
        <v/>
      </c>
      <c r="C2146">
        <f>IF(VLOOKUP(Table7[[#This Row],[Date]],Database!$A:$C,MATCH($C$1,Database!$A$1:$C$1,),)=0,#N/A,VLOOKUP(Table7[[#This Row],[Date]],Database!$A:$C,MATCH($C$1,Database!$A$1:$C$1,),))</f>
        <v/>
      </c>
      <c r="D2146">
        <f>IFERROR(Table7[[#This Row],[United States 10y]]-Table7[[#This Row],[United States 3y]],#N/A)</f>
        <v/>
      </c>
    </row>
    <row r="2147">
      <c r="A2147" s="6">
        <f>Database!$A4232</f>
        <v/>
      </c>
      <c r="B2147">
        <f>IF(VLOOKUP(Table7[[#This Row],[Date]],Database!$A:$C,MATCH($B$1,Database!$A$1:$C$1,),)=0,#N/A,VLOOKUP(Table7[[#This Row],[Date]],Database!$A:$C,MATCH($B$1,Database!$A$1:$C$1,),))</f>
        <v/>
      </c>
      <c r="C2147">
        <f>IF(VLOOKUP(Table7[[#This Row],[Date]],Database!$A:$C,MATCH($C$1,Database!$A$1:$C$1,),)=0,#N/A,VLOOKUP(Table7[[#This Row],[Date]],Database!$A:$C,MATCH($C$1,Database!$A$1:$C$1,),))</f>
        <v/>
      </c>
      <c r="D2147">
        <f>IFERROR(Table7[[#This Row],[United States 10y]]-Table7[[#This Row],[United States 3y]],#N/A)</f>
        <v/>
      </c>
    </row>
    <row r="2148">
      <c r="A2148" s="6">
        <f>Database!$A4233</f>
        <v/>
      </c>
      <c r="B2148">
        <f>IF(VLOOKUP(Table7[[#This Row],[Date]],Database!$A:$C,MATCH($B$1,Database!$A$1:$C$1,),)=0,#N/A,VLOOKUP(Table7[[#This Row],[Date]],Database!$A:$C,MATCH($B$1,Database!$A$1:$C$1,),))</f>
        <v/>
      </c>
      <c r="C2148">
        <f>IF(VLOOKUP(Table7[[#This Row],[Date]],Database!$A:$C,MATCH($C$1,Database!$A$1:$C$1,),)=0,#N/A,VLOOKUP(Table7[[#This Row],[Date]],Database!$A:$C,MATCH($C$1,Database!$A$1:$C$1,),))</f>
        <v/>
      </c>
      <c r="D2148">
        <f>IFERROR(Table7[[#This Row],[United States 10y]]-Table7[[#This Row],[United States 3y]],#N/A)</f>
        <v/>
      </c>
    </row>
    <row r="2149">
      <c r="A2149" s="6">
        <f>Database!$A4234</f>
        <v/>
      </c>
      <c r="B2149">
        <f>IF(VLOOKUP(Table7[[#This Row],[Date]],Database!$A:$C,MATCH($B$1,Database!$A$1:$C$1,),)=0,#N/A,VLOOKUP(Table7[[#This Row],[Date]],Database!$A:$C,MATCH($B$1,Database!$A$1:$C$1,),))</f>
        <v/>
      </c>
      <c r="C2149">
        <f>IF(VLOOKUP(Table7[[#This Row],[Date]],Database!$A:$C,MATCH($C$1,Database!$A$1:$C$1,),)=0,#N/A,VLOOKUP(Table7[[#This Row],[Date]],Database!$A:$C,MATCH($C$1,Database!$A$1:$C$1,),))</f>
        <v/>
      </c>
      <c r="D2149">
        <f>IFERROR(Table7[[#This Row],[United States 10y]]-Table7[[#This Row],[United States 3y]],#N/A)</f>
        <v/>
      </c>
    </row>
    <row r="2150">
      <c r="A2150" s="6">
        <f>Database!$A4235</f>
        <v/>
      </c>
      <c r="B2150">
        <f>IF(VLOOKUP(Table7[[#This Row],[Date]],Database!$A:$C,MATCH($B$1,Database!$A$1:$C$1,),)=0,#N/A,VLOOKUP(Table7[[#This Row],[Date]],Database!$A:$C,MATCH($B$1,Database!$A$1:$C$1,),))</f>
        <v/>
      </c>
      <c r="C2150">
        <f>IF(VLOOKUP(Table7[[#This Row],[Date]],Database!$A:$C,MATCH($C$1,Database!$A$1:$C$1,),)=0,#N/A,VLOOKUP(Table7[[#This Row],[Date]],Database!$A:$C,MATCH($C$1,Database!$A$1:$C$1,),))</f>
        <v/>
      </c>
      <c r="D2150">
        <f>IFERROR(Table7[[#This Row],[United States 10y]]-Table7[[#This Row],[United States 3y]],#N/A)</f>
        <v/>
      </c>
    </row>
    <row r="2151">
      <c r="A2151" s="6">
        <f>Database!$A4236</f>
        <v/>
      </c>
      <c r="B2151">
        <f>IF(VLOOKUP(Table7[[#This Row],[Date]],Database!$A:$C,MATCH($B$1,Database!$A$1:$C$1,),)=0,#N/A,VLOOKUP(Table7[[#This Row],[Date]],Database!$A:$C,MATCH($B$1,Database!$A$1:$C$1,),))</f>
        <v/>
      </c>
      <c r="C2151">
        <f>IF(VLOOKUP(Table7[[#This Row],[Date]],Database!$A:$C,MATCH($C$1,Database!$A$1:$C$1,),)=0,#N/A,VLOOKUP(Table7[[#This Row],[Date]],Database!$A:$C,MATCH($C$1,Database!$A$1:$C$1,),))</f>
        <v/>
      </c>
      <c r="D2151">
        <f>IFERROR(Table7[[#This Row],[United States 10y]]-Table7[[#This Row],[United States 3y]],#N/A)</f>
        <v/>
      </c>
    </row>
    <row r="2152">
      <c r="A2152" s="6">
        <f>Database!$A4237</f>
        <v/>
      </c>
      <c r="B2152">
        <f>IF(VLOOKUP(Table7[[#This Row],[Date]],Database!$A:$C,MATCH($B$1,Database!$A$1:$C$1,),)=0,#N/A,VLOOKUP(Table7[[#This Row],[Date]],Database!$A:$C,MATCH($B$1,Database!$A$1:$C$1,),))</f>
        <v/>
      </c>
      <c r="C2152">
        <f>IF(VLOOKUP(Table7[[#This Row],[Date]],Database!$A:$C,MATCH($C$1,Database!$A$1:$C$1,),)=0,#N/A,VLOOKUP(Table7[[#This Row],[Date]],Database!$A:$C,MATCH($C$1,Database!$A$1:$C$1,),))</f>
        <v/>
      </c>
      <c r="D2152">
        <f>IFERROR(Table7[[#This Row],[United States 10y]]-Table7[[#This Row],[United States 3y]],#N/A)</f>
        <v/>
      </c>
    </row>
    <row r="2153">
      <c r="A2153" s="6">
        <f>Database!$A4238</f>
        <v/>
      </c>
      <c r="B2153">
        <f>IF(VLOOKUP(Table7[[#This Row],[Date]],Database!$A:$C,MATCH($B$1,Database!$A$1:$C$1,),)=0,#N/A,VLOOKUP(Table7[[#This Row],[Date]],Database!$A:$C,MATCH($B$1,Database!$A$1:$C$1,),))</f>
        <v/>
      </c>
      <c r="C2153">
        <f>IF(VLOOKUP(Table7[[#This Row],[Date]],Database!$A:$C,MATCH($C$1,Database!$A$1:$C$1,),)=0,#N/A,VLOOKUP(Table7[[#This Row],[Date]],Database!$A:$C,MATCH($C$1,Database!$A$1:$C$1,),))</f>
        <v/>
      </c>
      <c r="D2153">
        <f>IFERROR(Table7[[#This Row],[United States 10y]]-Table7[[#This Row],[United States 3y]],#N/A)</f>
        <v/>
      </c>
    </row>
    <row r="2154">
      <c r="A2154" s="6">
        <f>Database!$A4239</f>
        <v/>
      </c>
      <c r="B2154">
        <f>IF(VLOOKUP(Table7[[#This Row],[Date]],Database!$A:$C,MATCH($B$1,Database!$A$1:$C$1,),)=0,#N/A,VLOOKUP(Table7[[#This Row],[Date]],Database!$A:$C,MATCH($B$1,Database!$A$1:$C$1,),))</f>
        <v/>
      </c>
      <c r="C2154">
        <f>IF(VLOOKUP(Table7[[#This Row],[Date]],Database!$A:$C,MATCH($C$1,Database!$A$1:$C$1,),)=0,#N/A,VLOOKUP(Table7[[#This Row],[Date]],Database!$A:$C,MATCH($C$1,Database!$A$1:$C$1,),))</f>
        <v/>
      </c>
      <c r="D2154">
        <f>IFERROR(Table7[[#This Row],[United States 10y]]-Table7[[#This Row],[United States 3y]],#N/A)</f>
        <v/>
      </c>
    </row>
    <row r="2155">
      <c r="A2155" s="6">
        <f>Database!$A4240</f>
        <v/>
      </c>
      <c r="B2155">
        <f>IF(VLOOKUP(Table7[[#This Row],[Date]],Database!$A:$C,MATCH($B$1,Database!$A$1:$C$1,),)=0,#N/A,VLOOKUP(Table7[[#This Row],[Date]],Database!$A:$C,MATCH($B$1,Database!$A$1:$C$1,),))</f>
        <v/>
      </c>
      <c r="C2155">
        <f>IF(VLOOKUP(Table7[[#This Row],[Date]],Database!$A:$C,MATCH($C$1,Database!$A$1:$C$1,),)=0,#N/A,VLOOKUP(Table7[[#This Row],[Date]],Database!$A:$C,MATCH($C$1,Database!$A$1:$C$1,),))</f>
        <v/>
      </c>
      <c r="D2155">
        <f>IFERROR(Table7[[#This Row],[United States 10y]]-Table7[[#This Row],[United States 3y]],#N/A)</f>
        <v/>
      </c>
    </row>
    <row r="2156">
      <c r="A2156" s="6">
        <f>Database!$A4241</f>
        <v/>
      </c>
      <c r="B2156">
        <f>IF(VLOOKUP(Table7[[#This Row],[Date]],Database!$A:$C,MATCH($B$1,Database!$A$1:$C$1,),)=0,#N/A,VLOOKUP(Table7[[#This Row],[Date]],Database!$A:$C,MATCH($B$1,Database!$A$1:$C$1,),))</f>
        <v/>
      </c>
      <c r="C2156">
        <f>IF(VLOOKUP(Table7[[#This Row],[Date]],Database!$A:$C,MATCH($C$1,Database!$A$1:$C$1,),)=0,#N/A,VLOOKUP(Table7[[#This Row],[Date]],Database!$A:$C,MATCH($C$1,Database!$A$1:$C$1,),))</f>
        <v/>
      </c>
      <c r="D2156">
        <f>IFERROR(Table7[[#This Row],[United States 10y]]-Table7[[#This Row],[United States 3y]],#N/A)</f>
        <v/>
      </c>
    </row>
    <row r="2157">
      <c r="A2157" s="6">
        <f>Database!$A4242</f>
        <v/>
      </c>
      <c r="B2157">
        <f>IF(VLOOKUP(Table7[[#This Row],[Date]],Database!$A:$C,MATCH($B$1,Database!$A$1:$C$1,),)=0,#N/A,VLOOKUP(Table7[[#This Row],[Date]],Database!$A:$C,MATCH($B$1,Database!$A$1:$C$1,),))</f>
        <v/>
      </c>
      <c r="C2157">
        <f>IF(VLOOKUP(Table7[[#This Row],[Date]],Database!$A:$C,MATCH($C$1,Database!$A$1:$C$1,),)=0,#N/A,VLOOKUP(Table7[[#This Row],[Date]],Database!$A:$C,MATCH($C$1,Database!$A$1:$C$1,),))</f>
        <v/>
      </c>
      <c r="D2157">
        <f>IFERROR(Table7[[#This Row],[United States 10y]]-Table7[[#This Row],[United States 3y]],#N/A)</f>
        <v/>
      </c>
    </row>
    <row r="2158">
      <c r="A2158" s="6">
        <f>Database!$A4243</f>
        <v/>
      </c>
      <c r="B2158">
        <f>IF(VLOOKUP(Table7[[#This Row],[Date]],Database!$A:$C,MATCH($B$1,Database!$A$1:$C$1,),)=0,#N/A,VLOOKUP(Table7[[#This Row],[Date]],Database!$A:$C,MATCH($B$1,Database!$A$1:$C$1,),))</f>
        <v/>
      </c>
      <c r="C2158">
        <f>IF(VLOOKUP(Table7[[#This Row],[Date]],Database!$A:$C,MATCH($C$1,Database!$A$1:$C$1,),)=0,#N/A,VLOOKUP(Table7[[#This Row],[Date]],Database!$A:$C,MATCH($C$1,Database!$A$1:$C$1,),))</f>
        <v/>
      </c>
      <c r="D2158">
        <f>IFERROR(Table7[[#This Row],[United States 10y]]-Table7[[#This Row],[United States 3y]],#N/A)</f>
        <v/>
      </c>
    </row>
    <row r="2159">
      <c r="A2159" s="6">
        <f>Database!$A4244</f>
        <v/>
      </c>
      <c r="B2159">
        <f>IF(VLOOKUP(Table7[[#This Row],[Date]],Database!$A:$C,MATCH($B$1,Database!$A$1:$C$1,),)=0,#N/A,VLOOKUP(Table7[[#This Row],[Date]],Database!$A:$C,MATCH($B$1,Database!$A$1:$C$1,),))</f>
        <v/>
      </c>
      <c r="C2159">
        <f>IF(VLOOKUP(Table7[[#This Row],[Date]],Database!$A:$C,MATCH($C$1,Database!$A$1:$C$1,),)=0,#N/A,VLOOKUP(Table7[[#This Row],[Date]],Database!$A:$C,MATCH($C$1,Database!$A$1:$C$1,),))</f>
        <v/>
      </c>
      <c r="D2159">
        <f>IFERROR(Table7[[#This Row],[United States 10y]]-Table7[[#This Row],[United States 3y]],#N/A)</f>
        <v/>
      </c>
    </row>
    <row r="2160">
      <c r="A2160" s="6">
        <f>Database!$A4245</f>
        <v/>
      </c>
      <c r="B2160">
        <f>IF(VLOOKUP(Table7[[#This Row],[Date]],Database!$A:$C,MATCH($B$1,Database!$A$1:$C$1,),)=0,#N/A,VLOOKUP(Table7[[#This Row],[Date]],Database!$A:$C,MATCH($B$1,Database!$A$1:$C$1,),))</f>
        <v/>
      </c>
      <c r="C2160">
        <f>IF(VLOOKUP(Table7[[#This Row],[Date]],Database!$A:$C,MATCH($C$1,Database!$A$1:$C$1,),)=0,#N/A,VLOOKUP(Table7[[#This Row],[Date]],Database!$A:$C,MATCH($C$1,Database!$A$1:$C$1,),))</f>
        <v/>
      </c>
      <c r="D2160">
        <f>IFERROR(Table7[[#This Row],[United States 10y]]-Table7[[#This Row],[United States 3y]],#N/A)</f>
        <v/>
      </c>
    </row>
    <row r="2161">
      <c r="A2161" s="6">
        <f>Database!$A4246</f>
        <v/>
      </c>
      <c r="B2161">
        <f>IF(VLOOKUP(Table7[[#This Row],[Date]],Database!$A:$C,MATCH($B$1,Database!$A$1:$C$1,),)=0,#N/A,VLOOKUP(Table7[[#This Row],[Date]],Database!$A:$C,MATCH($B$1,Database!$A$1:$C$1,),))</f>
        <v/>
      </c>
      <c r="C2161">
        <f>IF(VLOOKUP(Table7[[#This Row],[Date]],Database!$A:$C,MATCH($C$1,Database!$A$1:$C$1,),)=0,#N/A,VLOOKUP(Table7[[#This Row],[Date]],Database!$A:$C,MATCH($C$1,Database!$A$1:$C$1,),))</f>
        <v/>
      </c>
      <c r="D2161">
        <f>IFERROR(Table7[[#This Row],[United States 10y]]-Table7[[#This Row],[United States 3y]],#N/A)</f>
        <v/>
      </c>
    </row>
    <row r="2162">
      <c r="A2162" s="6">
        <f>Database!$A4247</f>
        <v/>
      </c>
      <c r="B2162">
        <f>IF(VLOOKUP(Table7[[#This Row],[Date]],Database!$A:$C,MATCH($B$1,Database!$A$1:$C$1,),)=0,#N/A,VLOOKUP(Table7[[#This Row],[Date]],Database!$A:$C,MATCH($B$1,Database!$A$1:$C$1,),))</f>
        <v/>
      </c>
      <c r="C2162">
        <f>IF(VLOOKUP(Table7[[#This Row],[Date]],Database!$A:$C,MATCH($C$1,Database!$A$1:$C$1,),)=0,#N/A,VLOOKUP(Table7[[#This Row],[Date]],Database!$A:$C,MATCH($C$1,Database!$A$1:$C$1,),))</f>
        <v/>
      </c>
      <c r="D2162">
        <f>IFERROR(Table7[[#This Row],[United States 10y]]-Table7[[#This Row],[United States 3y]],#N/A)</f>
        <v/>
      </c>
    </row>
    <row r="2163">
      <c r="A2163" s="6">
        <f>Database!$A4248</f>
        <v/>
      </c>
      <c r="B2163">
        <f>IF(VLOOKUP(Table7[[#This Row],[Date]],Database!$A:$C,MATCH($B$1,Database!$A$1:$C$1,),)=0,#N/A,VLOOKUP(Table7[[#This Row],[Date]],Database!$A:$C,MATCH($B$1,Database!$A$1:$C$1,),))</f>
        <v/>
      </c>
      <c r="C2163">
        <f>IF(VLOOKUP(Table7[[#This Row],[Date]],Database!$A:$C,MATCH($C$1,Database!$A$1:$C$1,),)=0,#N/A,VLOOKUP(Table7[[#This Row],[Date]],Database!$A:$C,MATCH($C$1,Database!$A$1:$C$1,),))</f>
        <v/>
      </c>
      <c r="D2163">
        <f>IFERROR(Table7[[#This Row],[United States 10y]]-Table7[[#This Row],[United States 3y]],#N/A)</f>
        <v/>
      </c>
    </row>
    <row r="2164">
      <c r="A2164" s="6">
        <f>Database!$A4249</f>
        <v/>
      </c>
      <c r="B2164">
        <f>IF(VLOOKUP(Table7[[#This Row],[Date]],Database!$A:$C,MATCH($B$1,Database!$A$1:$C$1,),)=0,#N/A,VLOOKUP(Table7[[#This Row],[Date]],Database!$A:$C,MATCH($B$1,Database!$A$1:$C$1,),))</f>
        <v/>
      </c>
      <c r="C2164">
        <f>IF(VLOOKUP(Table7[[#This Row],[Date]],Database!$A:$C,MATCH($C$1,Database!$A$1:$C$1,),)=0,#N/A,VLOOKUP(Table7[[#This Row],[Date]],Database!$A:$C,MATCH($C$1,Database!$A$1:$C$1,),))</f>
        <v/>
      </c>
      <c r="D2164">
        <f>IFERROR(Table7[[#This Row],[United States 10y]]-Table7[[#This Row],[United States 3y]],#N/A)</f>
        <v/>
      </c>
    </row>
    <row r="2165">
      <c r="A2165" s="6">
        <f>Database!$A4250</f>
        <v/>
      </c>
      <c r="B2165">
        <f>IF(VLOOKUP(Table7[[#This Row],[Date]],Database!$A:$C,MATCH($B$1,Database!$A$1:$C$1,),)=0,#N/A,VLOOKUP(Table7[[#This Row],[Date]],Database!$A:$C,MATCH($B$1,Database!$A$1:$C$1,),))</f>
        <v/>
      </c>
      <c r="C2165">
        <f>IF(VLOOKUP(Table7[[#This Row],[Date]],Database!$A:$C,MATCH($C$1,Database!$A$1:$C$1,),)=0,#N/A,VLOOKUP(Table7[[#This Row],[Date]],Database!$A:$C,MATCH($C$1,Database!$A$1:$C$1,),))</f>
        <v/>
      </c>
      <c r="D2165">
        <f>IFERROR(Table7[[#This Row],[United States 10y]]-Table7[[#This Row],[United States 3y]],#N/A)</f>
        <v/>
      </c>
    </row>
    <row r="2166">
      <c r="A2166" s="6">
        <f>Database!$A4251</f>
        <v/>
      </c>
      <c r="B2166">
        <f>IF(VLOOKUP(Table7[[#This Row],[Date]],Database!$A:$C,MATCH($B$1,Database!$A$1:$C$1,),)=0,#N/A,VLOOKUP(Table7[[#This Row],[Date]],Database!$A:$C,MATCH($B$1,Database!$A$1:$C$1,),))</f>
        <v/>
      </c>
      <c r="C2166">
        <f>IF(VLOOKUP(Table7[[#This Row],[Date]],Database!$A:$C,MATCH($C$1,Database!$A$1:$C$1,),)=0,#N/A,VLOOKUP(Table7[[#This Row],[Date]],Database!$A:$C,MATCH($C$1,Database!$A$1:$C$1,),))</f>
        <v/>
      </c>
      <c r="D2166">
        <f>IFERROR(Table7[[#This Row],[United States 10y]]-Table7[[#This Row],[United States 3y]],#N/A)</f>
        <v/>
      </c>
    </row>
    <row r="2167">
      <c r="A2167" s="6">
        <f>Database!$A4252</f>
        <v/>
      </c>
      <c r="B2167">
        <f>IF(VLOOKUP(Table7[[#This Row],[Date]],Database!$A:$C,MATCH($B$1,Database!$A$1:$C$1,),)=0,#N/A,VLOOKUP(Table7[[#This Row],[Date]],Database!$A:$C,MATCH($B$1,Database!$A$1:$C$1,),))</f>
        <v/>
      </c>
      <c r="C2167">
        <f>IF(VLOOKUP(Table7[[#This Row],[Date]],Database!$A:$C,MATCH($C$1,Database!$A$1:$C$1,),)=0,#N/A,VLOOKUP(Table7[[#This Row],[Date]],Database!$A:$C,MATCH($C$1,Database!$A$1:$C$1,),))</f>
        <v/>
      </c>
      <c r="D2167">
        <f>IFERROR(Table7[[#This Row],[United States 10y]]-Table7[[#This Row],[United States 3y]],#N/A)</f>
        <v/>
      </c>
    </row>
    <row r="2168">
      <c r="A2168" s="6">
        <f>Database!$A4253</f>
        <v/>
      </c>
      <c r="B2168">
        <f>IF(VLOOKUP(Table7[[#This Row],[Date]],Database!$A:$C,MATCH($B$1,Database!$A$1:$C$1,),)=0,#N/A,VLOOKUP(Table7[[#This Row],[Date]],Database!$A:$C,MATCH($B$1,Database!$A$1:$C$1,),))</f>
        <v/>
      </c>
      <c r="C2168">
        <f>IF(VLOOKUP(Table7[[#This Row],[Date]],Database!$A:$C,MATCH($C$1,Database!$A$1:$C$1,),)=0,#N/A,VLOOKUP(Table7[[#This Row],[Date]],Database!$A:$C,MATCH($C$1,Database!$A$1:$C$1,),))</f>
        <v/>
      </c>
      <c r="D2168">
        <f>IFERROR(Table7[[#This Row],[United States 10y]]-Table7[[#This Row],[United States 3y]],#N/A)</f>
        <v/>
      </c>
    </row>
    <row r="2169">
      <c r="A2169" s="6">
        <f>Database!$A4254</f>
        <v/>
      </c>
      <c r="B2169">
        <f>IF(VLOOKUP(Table7[[#This Row],[Date]],Database!$A:$C,MATCH($B$1,Database!$A$1:$C$1,),)=0,#N/A,VLOOKUP(Table7[[#This Row],[Date]],Database!$A:$C,MATCH($B$1,Database!$A$1:$C$1,),))</f>
        <v/>
      </c>
      <c r="C2169">
        <f>IF(VLOOKUP(Table7[[#This Row],[Date]],Database!$A:$C,MATCH($C$1,Database!$A$1:$C$1,),)=0,#N/A,VLOOKUP(Table7[[#This Row],[Date]],Database!$A:$C,MATCH($C$1,Database!$A$1:$C$1,),))</f>
        <v/>
      </c>
      <c r="D2169">
        <f>IFERROR(Table7[[#This Row],[United States 10y]]-Table7[[#This Row],[United States 3y]],#N/A)</f>
        <v/>
      </c>
    </row>
    <row r="2170">
      <c r="A2170" s="6">
        <f>Database!$A4255</f>
        <v/>
      </c>
      <c r="B2170">
        <f>IF(VLOOKUP(Table7[[#This Row],[Date]],Database!$A:$C,MATCH($B$1,Database!$A$1:$C$1,),)=0,#N/A,VLOOKUP(Table7[[#This Row],[Date]],Database!$A:$C,MATCH($B$1,Database!$A$1:$C$1,),))</f>
        <v/>
      </c>
      <c r="C2170">
        <f>IF(VLOOKUP(Table7[[#This Row],[Date]],Database!$A:$C,MATCH($C$1,Database!$A$1:$C$1,),)=0,#N/A,VLOOKUP(Table7[[#This Row],[Date]],Database!$A:$C,MATCH($C$1,Database!$A$1:$C$1,),))</f>
        <v/>
      </c>
      <c r="D2170">
        <f>IFERROR(Table7[[#This Row],[United States 10y]]-Table7[[#This Row],[United States 3y]],#N/A)</f>
        <v/>
      </c>
    </row>
    <row r="2171">
      <c r="A2171" s="6">
        <f>Database!$A4256</f>
        <v/>
      </c>
      <c r="B2171">
        <f>IF(VLOOKUP(Table7[[#This Row],[Date]],Database!$A:$C,MATCH($B$1,Database!$A$1:$C$1,),)=0,#N/A,VLOOKUP(Table7[[#This Row],[Date]],Database!$A:$C,MATCH($B$1,Database!$A$1:$C$1,),))</f>
        <v/>
      </c>
      <c r="C2171">
        <f>IF(VLOOKUP(Table7[[#This Row],[Date]],Database!$A:$C,MATCH($C$1,Database!$A$1:$C$1,),)=0,#N/A,VLOOKUP(Table7[[#This Row],[Date]],Database!$A:$C,MATCH($C$1,Database!$A$1:$C$1,),))</f>
        <v/>
      </c>
      <c r="D2171">
        <f>IFERROR(Table7[[#This Row],[United States 10y]]-Table7[[#This Row],[United States 3y]],#N/A)</f>
        <v/>
      </c>
    </row>
    <row r="2172">
      <c r="A2172" s="6">
        <f>Database!$A4257</f>
        <v/>
      </c>
      <c r="B2172">
        <f>IF(VLOOKUP(Table7[[#This Row],[Date]],Database!$A:$C,MATCH($B$1,Database!$A$1:$C$1,),)=0,#N/A,VLOOKUP(Table7[[#This Row],[Date]],Database!$A:$C,MATCH($B$1,Database!$A$1:$C$1,),))</f>
        <v/>
      </c>
      <c r="C2172">
        <f>IF(VLOOKUP(Table7[[#This Row],[Date]],Database!$A:$C,MATCH($C$1,Database!$A$1:$C$1,),)=0,#N/A,VLOOKUP(Table7[[#This Row],[Date]],Database!$A:$C,MATCH($C$1,Database!$A$1:$C$1,),))</f>
        <v/>
      </c>
      <c r="D2172">
        <f>IFERROR(Table7[[#This Row],[United States 10y]]-Table7[[#This Row],[United States 3y]],#N/A)</f>
        <v/>
      </c>
    </row>
    <row r="2173">
      <c r="A2173" s="6">
        <f>Database!$A4258</f>
        <v/>
      </c>
      <c r="B2173">
        <f>IF(VLOOKUP(Table7[[#This Row],[Date]],Database!$A:$C,MATCH($B$1,Database!$A$1:$C$1,),)=0,#N/A,VLOOKUP(Table7[[#This Row],[Date]],Database!$A:$C,MATCH($B$1,Database!$A$1:$C$1,),))</f>
        <v/>
      </c>
      <c r="C2173">
        <f>IF(VLOOKUP(Table7[[#This Row],[Date]],Database!$A:$C,MATCH($C$1,Database!$A$1:$C$1,),)=0,#N/A,VLOOKUP(Table7[[#This Row],[Date]],Database!$A:$C,MATCH($C$1,Database!$A$1:$C$1,),))</f>
        <v/>
      </c>
      <c r="D2173">
        <f>IFERROR(Table7[[#This Row],[United States 10y]]-Table7[[#This Row],[United States 3y]],#N/A)</f>
        <v/>
      </c>
    </row>
    <row r="2174">
      <c r="A2174" s="6">
        <f>Database!$A4259</f>
        <v/>
      </c>
      <c r="B2174">
        <f>IF(VLOOKUP(Table7[[#This Row],[Date]],Database!$A:$C,MATCH($B$1,Database!$A$1:$C$1,),)=0,#N/A,VLOOKUP(Table7[[#This Row],[Date]],Database!$A:$C,MATCH($B$1,Database!$A$1:$C$1,),))</f>
        <v/>
      </c>
      <c r="C2174">
        <f>IF(VLOOKUP(Table7[[#This Row],[Date]],Database!$A:$C,MATCH($C$1,Database!$A$1:$C$1,),)=0,#N/A,VLOOKUP(Table7[[#This Row],[Date]],Database!$A:$C,MATCH($C$1,Database!$A$1:$C$1,),))</f>
        <v/>
      </c>
      <c r="D2174">
        <f>IFERROR(Table7[[#This Row],[United States 10y]]-Table7[[#This Row],[United States 3y]],#N/A)</f>
        <v/>
      </c>
    </row>
    <row r="2175">
      <c r="A2175" s="6">
        <f>Database!$A4260</f>
        <v/>
      </c>
      <c r="B2175">
        <f>IF(VLOOKUP(Table7[[#This Row],[Date]],Database!$A:$C,MATCH($B$1,Database!$A$1:$C$1,),)=0,#N/A,VLOOKUP(Table7[[#This Row],[Date]],Database!$A:$C,MATCH($B$1,Database!$A$1:$C$1,),))</f>
        <v/>
      </c>
      <c r="C2175">
        <f>IF(VLOOKUP(Table7[[#This Row],[Date]],Database!$A:$C,MATCH($C$1,Database!$A$1:$C$1,),)=0,#N/A,VLOOKUP(Table7[[#This Row],[Date]],Database!$A:$C,MATCH($C$1,Database!$A$1:$C$1,),))</f>
        <v/>
      </c>
      <c r="D2175">
        <f>IFERROR(Table7[[#This Row],[United States 10y]]-Table7[[#This Row],[United States 3y]],#N/A)</f>
        <v/>
      </c>
    </row>
    <row r="2176">
      <c r="A2176" s="6">
        <f>Database!$A4261</f>
        <v/>
      </c>
      <c r="B2176">
        <f>IF(VLOOKUP(Table7[[#This Row],[Date]],Database!$A:$C,MATCH($B$1,Database!$A$1:$C$1,),)=0,#N/A,VLOOKUP(Table7[[#This Row],[Date]],Database!$A:$C,MATCH($B$1,Database!$A$1:$C$1,),))</f>
        <v/>
      </c>
      <c r="C2176">
        <f>IF(VLOOKUP(Table7[[#This Row],[Date]],Database!$A:$C,MATCH($C$1,Database!$A$1:$C$1,),)=0,#N/A,VLOOKUP(Table7[[#This Row],[Date]],Database!$A:$C,MATCH($C$1,Database!$A$1:$C$1,),))</f>
        <v/>
      </c>
      <c r="D2176">
        <f>IFERROR(Table7[[#This Row],[United States 10y]]-Table7[[#This Row],[United States 3y]],#N/A)</f>
        <v/>
      </c>
    </row>
    <row r="2177">
      <c r="A2177" s="6">
        <f>Database!$A4262</f>
        <v/>
      </c>
      <c r="B2177">
        <f>IF(VLOOKUP(Table7[[#This Row],[Date]],Database!$A:$C,MATCH($B$1,Database!$A$1:$C$1,),)=0,#N/A,VLOOKUP(Table7[[#This Row],[Date]],Database!$A:$C,MATCH($B$1,Database!$A$1:$C$1,),))</f>
        <v/>
      </c>
      <c r="C2177">
        <f>IF(VLOOKUP(Table7[[#This Row],[Date]],Database!$A:$C,MATCH($C$1,Database!$A$1:$C$1,),)=0,#N/A,VLOOKUP(Table7[[#This Row],[Date]],Database!$A:$C,MATCH($C$1,Database!$A$1:$C$1,),))</f>
        <v/>
      </c>
      <c r="D2177">
        <f>IFERROR(Table7[[#This Row],[United States 10y]]-Table7[[#This Row],[United States 3y]],#N/A)</f>
        <v/>
      </c>
    </row>
    <row r="2178">
      <c r="A2178" s="6">
        <f>Database!$A4263</f>
        <v/>
      </c>
      <c r="B2178">
        <f>IF(VLOOKUP(Table7[[#This Row],[Date]],Database!$A:$C,MATCH($B$1,Database!$A$1:$C$1,),)=0,#N/A,VLOOKUP(Table7[[#This Row],[Date]],Database!$A:$C,MATCH($B$1,Database!$A$1:$C$1,),))</f>
        <v/>
      </c>
      <c r="C2178">
        <f>IF(VLOOKUP(Table7[[#This Row],[Date]],Database!$A:$C,MATCH($C$1,Database!$A$1:$C$1,),)=0,#N/A,VLOOKUP(Table7[[#This Row],[Date]],Database!$A:$C,MATCH($C$1,Database!$A$1:$C$1,),))</f>
        <v/>
      </c>
      <c r="D2178">
        <f>IFERROR(Table7[[#This Row],[United States 10y]]-Table7[[#This Row],[United States 3y]],#N/A)</f>
        <v/>
      </c>
    </row>
    <row r="2179">
      <c r="A2179" s="6">
        <f>Database!$A4264</f>
        <v/>
      </c>
      <c r="B2179">
        <f>IF(VLOOKUP(Table7[[#This Row],[Date]],Database!$A:$C,MATCH($B$1,Database!$A$1:$C$1,),)=0,#N/A,VLOOKUP(Table7[[#This Row],[Date]],Database!$A:$C,MATCH($B$1,Database!$A$1:$C$1,),))</f>
        <v/>
      </c>
      <c r="C2179">
        <f>IF(VLOOKUP(Table7[[#This Row],[Date]],Database!$A:$C,MATCH($C$1,Database!$A$1:$C$1,),)=0,#N/A,VLOOKUP(Table7[[#This Row],[Date]],Database!$A:$C,MATCH($C$1,Database!$A$1:$C$1,),))</f>
        <v/>
      </c>
      <c r="D2179">
        <f>IFERROR(Table7[[#This Row],[United States 10y]]-Table7[[#This Row],[United States 3y]],#N/A)</f>
        <v/>
      </c>
    </row>
    <row r="2180">
      <c r="A2180" s="6">
        <f>Database!$A4265</f>
        <v/>
      </c>
      <c r="B2180">
        <f>IF(VLOOKUP(Table7[[#This Row],[Date]],Database!$A:$C,MATCH($B$1,Database!$A$1:$C$1,),)=0,#N/A,VLOOKUP(Table7[[#This Row],[Date]],Database!$A:$C,MATCH($B$1,Database!$A$1:$C$1,),))</f>
        <v/>
      </c>
      <c r="C2180">
        <f>IF(VLOOKUP(Table7[[#This Row],[Date]],Database!$A:$C,MATCH($C$1,Database!$A$1:$C$1,),)=0,#N/A,VLOOKUP(Table7[[#This Row],[Date]],Database!$A:$C,MATCH($C$1,Database!$A$1:$C$1,),))</f>
        <v/>
      </c>
      <c r="D2180">
        <f>IFERROR(Table7[[#This Row],[United States 10y]]-Table7[[#This Row],[United States 3y]],#N/A)</f>
        <v/>
      </c>
    </row>
    <row r="2181">
      <c r="A2181" s="6">
        <f>Database!$A4266</f>
        <v/>
      </c>
      <c r="B2181">
        <f>IF(VLOOKUP(Table7[[#This Row],[Date]],Database!$A:$C,MATCH($B$1,Database!$A$1:$C$1,),)=0,#N/A,VLOOKUP(Table7[[#This Row],[Date]],Database!$A:$C,MATCH($B$1,Database!$A$1:$C$1,),))</f>
        <v/>
      </c>
      <c r="C2181">
        <f>IF(VLOOKUP(Table7[[#This Row],[Date]],Database!$A:$C,MATCH($C$1,Database!$A$1:$C$1,),)=0,#N/A,VLOOKUP(Table7[[#This Row],[Date]],Database!$A:$C,MATCH($C$1,Database!$A$1:$C$1,),))</f>
        <v/>
      </c>
      <c r="D2181">
        <f>IFERROR(Table7[[#This Row],[United States 10y]]-Table7[[#This Row],[United States 3y]],#N/A)</f>
        <v/>
      </c>
    </row>
    <row r="2182">
      <c r="A2182" s="6">
        <f>Database!$A4267</f>
        <v/>
      </c>
      <c r="B2182">
        <f>IF(VLOOKUP(Table7[[#This Row],[Date]],Database!$A:$C,MATCH($B$1,Database!$A$1:$C$1,),)=0,#N/A,VLOOKUP(Table7[[#This Row],[Date]],Database!$A:$C,MATCH($B$1,Database!$A$1:$C$1,),))</f>
        <v/>
      </c>
      <c r="C2182">
        <f>IF(VLOOKUP(Table7[[#This Row],[Date]],Database!$A:$C,MATCH($C$1,Database!$A$1:$C$1,),)=0,#N/A,VLOOKUP(Table7[[#This Row],[Date]],Database!$A:$C,MATCH($C$1,Database!$A$1:$C$1,),))</f>
        <v/>
      </c>
      <c r="D2182">
        <f>IFERROR(Table7[[#This Row],[United States 10y]]-Table7[[#This Row],[United States 3y]],#N/A)</f>
        <v/>
      </c>
    </row>
    <row r="2183">
      <c r="A2183" s="6">
        <f>Database!$A4268</f>
        <v/>
      </c>
      <c r="B2183">
        <f>IF(VLOOKUP(Table7[[#This Row],[Date]],Database!$A:$C,MATCH($B$1,Database!$A$1:$C$1,),)=0,#N/A,VLOOKUP(Table7[[#This Row],[Date]],Database!$A:$C,MATCH($B$1,Database!$A$1:$C$1,),))</f>
        <v/>
      </c>
      <c r="C2183">
        <f>IF(VLOOKUP(Table7[[#This Row],[Date]],Database!$A:$C,MATCH($C$1,Database!$A$1:$C$1,),)=0,#N/A,VLOOKUP(Table7[[#This Row],[Date]],Database!$A:$C,MATCH($C$1,Database!$A$1:$C$1,),))</f>
        <v/>
      </c>
      <c r="D2183">
        <f>IFERROR(Table7[[#This Row],[United States 10y]]-Table7[[#This Row],[United States 3y]],#N/A)</f>
        <v/>
      </c>
    </row>
    <row r="2184">
      <c r="A2184" s="6">
        <f>Database!$A4269</f>
        <v/>
      </c>
      <c r="B2184">
        <f>IF(VLOOKUP(Table7[[#This Row],[Date]],Database!$A:$C,MATCH($B$1,Database!$A$1:$C$1,),)=0,#N/A,VLOOKUP(Table7[[#This Row],[Date]],Database!$A:$C,MATCH($B$1,Database!$A$1:$C$1,),))</f>
        <v/>
      </c>
      <c r="C2184">
        <f>IF(VLOOKUP(Table7[[#This Row],[Date]],Database!$A:$C,MATCH($C$1,Database!$A$1:$C$1,),)=0,#N/A,VLOOKUP(Table7[[#This Row],[Date]],Database!$A:$C,MATCH($C$1,Database!$A$1:$C$1,),))</f>
        <v/>
      </c>
      <c r="D2184">
        <f>IFERROR(Table7[[#This Row],[United States 10y]]-Table7[[#This Row],[United States 3y]],#N/A)</f>
        <v/>
      </c>
    </row>
    <row r="2185">
      <c r="A2185" s="6">
        <f>Database!$A4270</f>
        <v/>
      </c>
      <c r="B2185">
        <f>IF(VLOOKUP(Table7[[#This Row],[Date]],Database!$A:$C,MATCH($B$1,Database!$A$1:$C$1,),)=0,#N/A,VLOOKUP(Table7[[#This Row],[Date]],Database!$A:$C,MATCH($B$1,Database!$A$1:$C$1,),))</f>
        <v/>
      </c>
      <c r="C2185">
        <f>IF(VLOOKUP(Table7[[#This Row],[Date]],Database!$A:$C,MATCH($C$1,Database!$A$1:$C$1,),)=0,#N/A,VLOOKUP(Table7[[#This Row],[Date]],Database!$A:$C,MATCH($C$1,Database!$A$1:$C$1,),))</f>
        <v/>
      </c>
      <c r="D2185">
        <f>IFERROR(Table7[[#This Row],[United States 10y]]-Table7[[#This Row],[United States 3y]],#N/A)</f>
        <v/>
      </c>
    </row>
    <row r="2186">
      <c r="A2186" s="6">
        <f>Database!$A4271</f>
        <v/>
      </c>
      <c r="B2186">
        <f>IF(VLOOKUP(Table7[[#This Row],[Date]],Database!$A:$C,MATCH($B$1,Database!$A$1:$C$1,),)=0,#N/A,VLOOKUP(Table7[[#This Row],[Date]],Database!$A:$C,MATCH($B$1,Database!$A$1:$C$1,),))</f>
        <v/>
      </c>
      <c r="C2186">
        <f>IF(VLOOKUP(Table7[[#This Row],[Date]],Database!$A:$C,MATCH($C$1,Database!$A$1:$C$1,),)=0,#N/A,VLOOKUP(Table7[[#This Row],[Date]],Database!$A:$C,MATCH($C$1,Database!$A$1:$C$1,),))</f>
        <v/>
      </c>
      <c r="D2186">
        <f>IFERROR(Table7[[#This Row],[United States 10y]]-Table7[[#This Row],[United States 3y]],#N/A)</f>
        <v/>
      </c>
    </row>
    <row r="2187">
      <c r="A2187" s="6">
        <f>Database!$A4272</f>
        <v/>
      </c>
      <c r="B2187">
        <f>IF(VLOOKUP(Table7[[#This Row],[Date]],Database!$A:$C,MATCH($B$1,Database!$A$1:$C$1,),)=0,#N/A,VLOOKUP(Table7[[#This Row],[Date]],Database!$A:$C,MATCH($B$1,Database!$A$1:$C$1,),))</f>
        <v/>
      </c>
      <c r="C2187">
        <f>IF(VLOOKUP(Table7[[#This Row],[Date]],Database!$A:$C,MATCH($C$1,Database!$A$1:$C$1,),)=0,#N/A,VLOOKUP(Table7[[#This Row],[Date]],Database!$A:$C,MATCH($C$1,Database!$A$1:$C$1,),))</f>
        <v/>
      </c>
      <c r="D2187">
        <f>IFERROR(Table7[[#This Row],[United States 10y]]-Table7[[#This Row],[United States 3y]],#N/A)</f>
        <v/>
      </c>
    </row>
    <row r="2188">
      <c r="A2188" s="6">
        <f>Database!$A4273</f>
        <v/>
      </c>
      <c r="B2188">
        <f>IF(VLOOKUP(Table7[[#This Row],[Date]],Database!$A:$C,MATCH($B$1,Database!$A$1:$C$1,),)=0,#N/A,VLOOKUP(Table7[[#This Row],[Date]],Database!$A:$C,MATCH($B$1,Database!$A$1:$C$1,),))</f>
        <v/>
      </c>
      <c r="C2188">
        <f>IF(VLOOKUP(Table7[[#This Row],[Date]],Database!$A:$C,MATCH($C$1,Database!$A$1:$C$1,),)=0,#N/A,VLOOKUP(Table7[[#This Row],[Date]],Database!$A:$C,MATCH($C$1,Database!$A$1:$C$1,),))</f>
        <v/>
      </c>
      <c r="D2188">
        <f>IFERROR(Table7[[#This Row],[United States 10y]]-Table7[[#This Row],[United States 3y]],#N/A)</f>
        <v/>
      </c>
    </row>
    <row r="2189">
      <c r="A2189" s="6">
        <f>Database!$A4274</f>
        <v/>
      </c>
      <c r="B2189">
        <f>IF(VLOOKUP(Table7[[#This Row],[Date]],Database!$A:$C,MATCH($B$1,Database!$A$1:$C$1,),)=0,#N/A,VLOOKUP(Table7[[#This Row],[Date]],Database!$A:$C,MATCH($B$1,Database!$A$1:$C$1,),))</f>
        <v/>
      </c>
      <c r="C2189">
        <f>IF(VLOOKUP(Table7[[#This Row],[Date]],Database!$A:$C,MATCH($C$1,Database!$A$1:$C$1,),)=0,#N/A,VLOOKUP(Table7[[#This Row],[Date]],Database!$A:$C,MATCH($C$1,Database!$A$1:$C$1,),))</f>
        <v/>
      </c>
      <c r="D2189">
        <f>IFERROR(Table7[[#This Row],[United States 10y]]-Table7[[#This Row],[United States 3y]],#N/A)</f>
        <v/>
      </c>
    </row>
    <row r="2190">
      <c r="A2190" s="6">
        <f>Database!$A4275</f>
        <v/>
      </c>
      <c r="B2190">
        <f>IF(VLOOKUP(Table7[[#This Row],[Date]],Database!$A:$C,MATCH($B$1,Database!$A$1:$C$1,),)=0,#N/A,VLOOKUP(Table7[[#This Row],[Date]],Database!$A:$C,MATCH($B$1,Database!$A$1:$C$1,),))</f>
        <v/>
      </c>
      <c r="C2190">
        <f>IF(VLOOKUP(Table7[[#This Row],[Date]],Database!$A:$C,MATCH($C$1,Database!$A$1:$C$1,),)=0,#N/A,VLOOKUP(Table7[[#This Row],[Date]],Database!$A:$C,MATCH($C$1,Database!$A$1:$C$1,),))</f>
        <v/>
      </c>
      <c r="D2190">
        <f>IFERROR(Table7[[#This Row],[United States 10y]]-Table7[[#This Row],[United States 3y]],#N/A)</f>
        <v/>
      </c>
    </row>
    <row r="2191">
      <c r="A2191" s="6">
        <f>Database!$A4276</f>
        <v/>
      </c>
      <c r="B2191">
        <f>IF(VLOOKUP(Table7[[#This Row],[Date]],Database!$A:$C,MATCH($B$1,Database!$A$1:$C$1,),)=0,#N/A,VLOOKUP(Table7[[#This Row],[Date]],Database!$A:$C,MATCH($B$1,Database!$A$1:$C$1,),))</f>
        <v/>
      </c>
      <c r="C2191">
        <f>IF(VLOOKUP(Table7[[#This Row],[Date]],Database!$A:$C,MATCH($C$1,Database!$A$1:$C$1,),)=0,#N/A,VLOOKUP(Table7[[#This Row],[Date]],Database!$A:$C,MATCH($C$1,Database!$A$1:$C$1,),))</f>
        <v/>
      </c>
      <c r="D2191">
        <f>IFERROR(Table7[[#This Row],[United States 10y]]-Table7[[#This Row],[United States 3y]],#N/A)</f>
        <v/>
      </c>
    </row>
    <row r="2192">
      <c r="A2192" s="6">
        <f>Database!$A4277</f>
        <v/>
      </c>
      <c r="B2192">
        <f>IF(VLOOKUP(Table7[[#This Row],[Date]],Database!$A:$C,MATCH($B$1,Database!$A$1:$C$1,),)=0,#N/A,VLOOKUP(Table7[[#This Row],[Date]],Database!$A:$C,MATCH($B$1,Database!$A$1:$C$1,),))</f>
        <v/>
      </c>
      <c r="C2192">
        <f>IF(VLOOKUP(Table7[[#This Row],[Date]],Database!$A:$C,MATCH($C$1,Database!$A$1:$C$1,),)=0,#N/A,VLOOKUP(Table7[[#This Row],[Date]],Database!$A:$C,MATCH($C$1,Database!$A$1:$C$1,),))</f>
        <v/>
      </c>
      <c r="D2192">
        <f>IFERROR(Table7[[#This Row],[United States 10y]]-Table7[[#This Row],[United States 3y]],#N/A)</f>
        <v/>
      </c>
    </row>
    <row r="2193">
      <c r="A2193" s="6">
        <f>Database!$A4278</f>
        <v/>
      </c>
      <c r="B2193">
        <f>IF(VLOOKUP(Table7[[#This Row],[Date]],Database!$A:$C,MATCH($B$1,Database!$A$1:$C$1,),)=0,#N/A,VLOOKUP(Table7[[#This Row],[Date]],Database!$A:$C,MATCH($B$1,Database!$A$1:$C$1,),))</f>
        <v/>
      </c>
      <c r="C2193">
        <f>IF(VLOOKUP(Table7[[#This Row],[Date]],Database!$A:$C,MATCH($C$1,Database!$A$1:$C$1,),)=0,#N/A,VLOOKUP(Table7[[#This Row],[Date]],Database!$A:$C,MATCH($C$1,Database!$A$1:$C$1,),))</f>
        <v/>
      </c>
      <c r="D2193">
        <f>IFERROR(Table7[[#This Row],[United States 10y]]-Table7[[#This Row],[United States 3y]],#N/A)</f>
        <v/>
      </c>
    </row>
    <row r="2194">
      <c r="A2194" s="6">
        <f>Database!$A4279</f>
        <v/>
      </c>
      <c r="B2194">
        <f>IF(VLOOKUP(Table7[[#This Row],[Date]],Database!$A:$C,MATCH($B$1,Database!$A$1:$C$1,),)=0,#N/A,VLOOKUP(Table7[[#This Row],[Date]],Database!$A:$C,MATCH($B$1,Database!$A$1:$C$1,),))</f>
        <v/>
      </c>
      <c r="C2194">
        <f>IF(VLOOKUP(Table7[[#This Row],[Date]],Database!$A:$C,MATCH($C$1,Database!$A$1:$C$1,),)=0,#N/A,VLOOKUP(Table7[[#This Row],[Date]],Database!$A:$C,MATCH($C$1,Database!$A$1:$C$1,),))</f>
        <v/>
      </c>
      <c r="D2194">
        <f>IFERROR(Table7[[#This Row],[United States 10y]]-Table7[[#This Row],[United States 3y]],#N/A)</f>
        <v/>
      </c>
    </row>
    <row r="2195">
      <c r="A2195" s="6">
        <f>Database!$A4280</f>
        <v/>
      </c>
      <c r="B2195">
        <f>IF(VLOOKUP(Table7[[#This Row],[Date]],Database!$A:$C,MATCH($B$1,Database!$A$1:$C$1,),)=0,#N/A,VLOOKUP(Table7[[#This Row],[Date]],Database!$A:$C,MATCH($B$1,Database!$A$1:$C$1,),))</f>
        <v/>
      </c>
      <c r="C2195">
        <f>IF(VLOOKUP(Table7[[#This Row],[Date]],Database!$A:$C,MATCH($C$1,Database!$A$1:$C$1,),)=0,#N/A,VLOOKUP(Table7[[#This Row],[Date]],Database!$A:$C,MATCH($C$1,Database!$A$1:$C$1,),))</f>
        <v/>
      </c>
      <c r="D2195">
        <f>IFERROR(Table7[[#This Row],[United States 10y]]-Table7[[#This Row],[United States 3y]],#N/A)</f>
        <v/>
      </c>
    </row>
    <row r="2196">
      <c r="A2196" s="6">
        <f>Database!$A4281</f>
        <v/>
      </c>
      <c r="B2196">
        <f>IF(VLOOKUP(Table7[[#This Row],[Date]],Database!$A:$C,MATCH($B$1,Database!$A$1:$C$1,),)=0,#N/A,VLOOKUP(Table7[[#This Row],[Date]],Database!$A:$C,MATCH($B$1,Database!$A$1:$C$1,),))</f>
        <v/>
      </c>
      <c r="C2196">
        <f>IF(VLOOKUP(Table7[[#This Row],[Date]],Database!$A:$C,MATCH($C$1,Database!$A$1:$C$1,),)=0,#N/A,VLOOKUP(Table7[[#This Row],[Date]],Database!$A:$C,MATCH($C$1,Database!$A$1:$C$1,),))</f>
        <v/>
      </c>
      <c r="D2196">
        <f>IFERROR(Table7[[#This Row],[United States 10y]]-Table7[[#This Row],[United States 3y]],#N/A)</f>
        <v/>
      </c>
    </row>
    <row r="2197">
      <c r="A2197" s="6">
        <f>Database!$A4282</f>
        <v/>
      </c>
      <c r="B2197">
        <f>IF(VLOOKUP(Table7[[#This Row],[Date]],Database!$A:$C,MATCH($B$1,Database!$A$1:$C$1,),)=0,#N/A,VLOOKUP(Table7[[#This Row],[Date]],Database!$A:$C,MATCH($B$1,Database!$A$1:$C$1,),))</f>
        <v/>
      </c>
      <c r="C2197">
        <f>IF(VLOOKUP(Table7[[#This Row],[Date]],Database!$A:$C,MATCH($C$1,Database!$A$1:$C$1,),)=0,#N/A,VLOOKUP(Table7[[#This Row],[Date]],Database!$A:$C,MATCH($C$1,Database!$A$1:$C$1,),))</f>
        <v/>
      </c>
      <c r="D2197">
        <f>IFERROR(Table7[[#This Row],[United States 10y]]-Table7[[#This Row],[United States 3y]],#N/A)</f>
        <v/>
      </c>
    </row>
    <row r="2198">
      <c r="A2198" s="6">
        <f>Database!$A4283</f>
        <v/>
      </c>
      <c r="B2198">
        <f>IF(VLOOKUP(Table7[[#This Row],[Date]],Database!$A:$C,MATCH($B$1,Database!$A$1:$C$1,),)=0,#N/A,VLOOKUP(Table7[[#This Row],[Date]],Database!$A:$C,MATCH($B$1,Database!$A$1:$C$1,),))</f>
        <v/>
      </c>
      <c r="C2198">
        <f>IF(VLOOKUP(Table7[[#This Row],[Date]],Database!$A:$C,MATCH($C$1,Database!$A$1:$C$1,),)=0,#N/A,VLOOKUP(Table7[[#This Row],[Date]],Database!$A:$C,MATCH($C$1,Database!$A$1:$C$1,),))</f>
        <v/>
      </c>
      <c r="D2198">
        <f>IFERROR(Table7[[#This Row],[United States 10y]]-Table7[[#This Row],[United States 3y]],#N/A)</f>
        <v/>
      </c>
    </row>
    <row r="2199">
      <c r="A2199" s="6">
        <f>Database!$A4284</f>
        <v/>
      </c>
      <c r="B2199">
        <f>IF(VLOOKUP(Table7[[#This Row],[Date]],Database!$A:$C,MATCH($B$1,Database!$A$1:$C$1,),)=0,#N/A,VLOOKUP(Table7[[#This Row],[Date]],Database!$A:$C,MATCH($B$1,Database!$A$1:$C$1,),))</f>
        <v/>
      </c>
      <c r="C2199">
        <f>IF(VLOOKUP(Table7[[#This Row],[Date]],Database!$A:$C,MATCH($C$1,Database!$A$1:$C$1,),)=0,#N/A,VLOOKUP(Table7[[#This Row],[Date]],Database!$A:$C,MATCH($C$1,Database!$A$1:$C$1,),))</f>
        <v/>
      </c>
      <c r="D2199">
        <f>IFERROR(Table7[[#This Row],[United States 10y]]-Table7[[#This Row],[United States 3y]],#N/A)</f>
        <v/>
      </c>
    </row>
    <row r="2200">
      <c r="A2200" s="6">
        <f>Database!$A4285</f>
        <v/>
      </c>
      <c r="B2200">
        <f>IF(VLOOKUP(Table7[[#This Row],[Date]],Database!$A:$C,MATCH($B$1,Database!$A$1:$C$1,),)=0,#N/A,VLOOKUP(Table7[[#This Row],[Date]],Database!$A:$C,MATCH($B$1,Database!$A$1:$C$1,),))</f>
        <v/>
      </c>
      <c r="C2200">
        <f>IF(VLOOKUP(Table7[[#This Row],[Date]],Database!$A:$C,MATCH($C$1,Database!$A$1:$C$1,),)=0,#N/A,VLOOKUP(Table7[[#This Row],[Date]],Database!$A:$C,MATCH($C$1,Database!$A$1:$C$1,),))</f>
        <v/>
      </c>
      <c r="D2200">
        <f>IFERROR(Table7[[#This Row],[United States 10y]]-Table7[[#This Row],[United States 3y]],#N/A)</f>
        <v/>
      </c>
    </row>
    <row r="2201">
      <c r="A2201" s="6">
        <f>Database!$A4286</f>
        <v/>
      </c>
      <c r="B2201">
        <f>IF(VLOOKUP(Table7[[#This Row],[Date]],Database!$A:$C,MATCH($B$1,Database!$A$1:$C$1,),)=0,#N/A,VLOOKUP(Table7[[#This Row],[Date]],Database!$A:$C,MATCH($B$1,Database!$A$1:$C$1,),))</f>
        <v/>
      </c>
      <c r="C2201">
        <f>IF(VLOOKUP(Table7[[#This Row],[Date]],Database!$A:$C,MATCH($C$1,Database!$A$1:$C$1,),)=0,#N/A,VLOOKUP(Table7[[#This Row],[Date]],Database!$A:$C,MATCH($C$1,Database!$A$1:$C$1,),))</f>
        <v/>
      </c>
      <c r="D2201">
        <f>IFERROR(Table7[[#This Row],[United States 10y]]-Table7[[#This Row],[United States 3y]],#N/A)</f>
        <v/>
      </c>
    </row>
    <row r="2202">
      <c r="A2202" s="6">
        <f>Database!$A4287</f>
        <v/>
      </c>
      <c r="B2202">
        <f>IF(VLOOKUP(Table7[[#This Row],[Date]],Database!$A:$C,MATCH($B$1,Database!$A$1:$C$1,),)=0,#N/A,VLOOKUP(Table7[[#This Row],[Date]],Database!$A:$C,MATCH($B$1,Database!$A$1:$C$1,),))</f>
        <v/>
      </c>
      <c r="C2202">
        <f>IF(VLOOKUP(Table7[[#This Row],[Date]],Database!$A:$C,MATCH($C$1,Database!$A$1:$C$1,),)=0,#N/A,VLOOKUP(Table7[[#This Row],[Date]],Database!$A:$C,MATCH($C$1,Database!$A$1:$C$1,),))</f>
        <v/>
      </c>
      <c r="D2202">
        <f>IFERROR(Table7[[#This Row],[United States 10y]]-Table7[[#This Row],[United States 3y]],#N/A)</f>
        <v/>
      </c>
    </row>
    <row r="2203">
      <c r="A2203" s="6">
        <f>Database!$A4288</f>
        <v/>
      </c>
      <c r="B2203">
        <f>IF(VLOOKUP(Table7[[#This Row],[Date]],Database!$A:$C,MATCH($B$1,Database!$A$1:$C$1,),)=0,#N/A,VLOOKUP(Table7[[#This Row],[Date]],Database!$A:$C,MATCH($B$1,Database!$A$1:$C$1,),))</f>
        <v/>
      </c>
      <c r="C2203">
        <f>IF(VLOOKUP(Table7[[#This Row],[Date]],Database!$A:$C,MATCH($C$1,Database!$A$1:$C$1,),)=0,#N/A,VLOOKUP(Table7[[#This Row],[Date]],Database!$A:$C,MATCH($C$1,Database!$A$1:$C$1,),))</f>
        <v/>
      </c>
      <c r="D2203">
        <f>IFERROR(Table7[[#This Row],[United States 10y]]-Table7[[#This Row],[United States 3y]],#N/A)</f>
        <v/>
      </c>
    </row>
    <row r="2204">
      <c r="A2204" s="6">
        <f>Database!$A4289</f>
        <v/>
      </c>
      <c r="B2204">
        <f>IF(VLOOKUP(Table7[[#This Row],[Date]],Database!$A:$C,MATCH($B$1,Database!$A$1:$C$1,),)=0,#N/A,VLOOKUP(Table7[[#This Row],[Date]],Database!$A:$C,MATCH($B$1,Database!$A$1:$C$1,),))</f>
        <v/>
      </c>
      <c r="C2204">
        <f>IF(VLOOKUP(Table7[[#This Row],[Date]],Database!$A:$C,MATCH($C$1,Database!$A$1:$C$1,),)=0,#N/A,VLOOKUP(Table7[[#This Row],[Date]],Database!$A:$C,MATCH($C$1,Database!$A$1:$C$1,),))</f>
        <v/>
      </c>
      <c r="D2204">
        <f>IFERROR(Table7[[#This Row],[United States 10y]]-Table7[[#This Row],[United States 3y]],#N/A)</f>
        <v/>
      </c>
    </row>
    <row r="2205">
      <c r="A2205" s="6">
        <f>Database!$A4290</f>
        <v/>
      </c>
      <c r="B2205">
        <f>IF(VLOOKUP(Table7[[#This Row],[Date]],Database!$A:$C,MATCH($B$1,Database!$A$1:$C$1,),)=0,#N/A,VLOOKUP(Table7[[#This Row],[Date]],Database!$A:$C,MATCH($B$1,Database!$A$1:$C$1,),))</f>
        <v/>
      </c>
      <c r="C2205">
        <f>IF(VLOOKUP(Table7[[#This Row],[Date]],Database!$A:$C,MATCH($C$1,Database!$A$1:$C$1,),)=0,#N/A,VLOOKUP(Table7[[#This Row],[Date]],Database!$A:$C,MATCH($C$1,Database!$A$1:$C$1,),))</f>
        <v/>
      </c>
      <c r="D2205">
        <f>IFERROR(Table7[[#This Row],[United States 10y]]-Table7[[#This Row],[United States 3y]],#N/A)</f>
        <v/>
      </c>
    </row>
    <row r="2206">
      <c r="A2206" s="6">
        <f>Database!$A4291</f>
        <v/>
      </c>
      <c r="B2206">
        <f>IF(VLOOKUP(Table7[[#This Row],[Date]],Database!$A:$C,MATCH($B$1,Database!$A$1:$C$1,),)=0,#N/A,VLOOKUP(Table7[[#This Row],[Date]],Database!$A:$C,MATCH($B$1,Database!$A$1:$C$1,),))</f>
        <v/>
      </c>
      <c r="C2206">
        <f>IF(VLOOKUP(Table7[[#This Row],[Date]],Database!$A:$C,MATCH($C$1,Database!$A$1:$C$1,),)=0,#N/A,VLOOKUP(Table7[[#This Row],[Date]],Database!$A:$C,MATCH($C$1,Database!$A$1:$C$1,),))</f>
        <v/>
      </c>
      <c r="D2206">
        <f>IFERROR(Table7[[#This Row],[United States 10y]]-Table7[[#This Row],[United States 3y]],#N/A)</f>
        <v/>
      </c>
    </row>
    <row r="2207">
      <c r="A2207" s="6">
        <f>Database!$A4292</f>
        <v/>
      </c>
      <c r="B2207">
        <f>IF(VLOOKUP(Table7[[#This Row],[Date]],Database!$A:$C,MATCH($B$1,Database!$A$1:$C$1,),)=0,#N/A,VLOOKUP(Table7[[#This Row],[Date]],Database!$A:$C,MATCH($B$1,Database!$A$1:$C$1,),))</f>
        <v/>
      </c>
      <c r="C2207">
        <f>IF(VLOOKUP(Table7[[#This Row],[Date]],Database!$A:$C,MATCH($C$1,Database!$A$1:$C$1,),)=0,#N/A,VLOOKUP(Table7[[#This Row],[Date]],Database!$A:$C,MATCH($C$1,Database!$A$1:$C$1,),))</f>
        <v/>
      </c>
      <c r="D2207">
        <f>IFERROR(Table7[[#This Row],[United States 10y]]-Table7[[#This Row],[United States 3y]],#N/A)</f>
        <v/>
      </c>
    </row>
    <row r="2208">
      <c r="A2208" s="6">
        <f>Database!$A4293</f>
        <v/>
      </c>
      <c r="B2208">
        <f>IF(VLOOKUP(Table7[[#This Row],[Date]],Database!$A:$C,MATCH($B$1,Database!$A$1:$C$1,),)=0,#N/A,VLOOKUP(Table7[[#This Row],[Date]],Database!$A:$C,MATCH($B$1,Database!$A$1:$C$1,),))</f>
        <v/>
      </c>
      <c r="C2208">
        <f>IF(VLOOKUP(Table7[[#This Row],[Date]],Database!$A:$C,MATCH($C$1,Database!$A$1:$C$1,),)=0,#N/A,VLOOKUP(Table7[[#This Row],[Date]],Database!$A:$C,MATCH($C$1,Database!$A$1:$C$1,),))</f>
        <v/>
      </c>
      <c r="D2208">
        <f>IFERROR(Table7[[#This Row],[United States 10y]]-Table7[[#This Row],[United States 3y]],#N/A)</f>
        <v/>
      </c>
    </row>
    <row r="2209">
      <c r="A2209" s="6">
        <f>Database!$A4294</f>
        <v/>
      </c>
      <c r="B2209">
        <f>IF(VLOOKUP(Table7[[#This Row],[Date]],Database!$A:$C,MATCH($B$1,Database!$A$1:$C$1,),)=0,#N/A,VLOOKUP(Table7[[#This Row],[Date]],Database!$A:$C,MATCH($B$1,Database!$A$1:$C$1,),))</f>
        <v/>
      </c>
      <c r="C2209">
        <f>IF(VLOOKUP(Table7[[#This Row],[Date]],Database!$A:$C,MATCH($C$1,Database!$A$1:$C$1,),)=0,#N/A,VLOOKUP(Table7[[#This Row],[Date]],Database!$A:$C,MATCH($C$1,Database!$A$1:$C$1,),))</f>
        <v/>
      </c>
      <c r="D2209">
        <f>IFERROR(Table7[[#This Row],[United States 10y]]-Table7[[#This Row],[United States 3y]],#N/A)</f>
        <v/>
      </c>
    </row>
    <row r="2210">
      <c r="A2210" s="6">
        <f>Database!$A4295</f>
        <v/>
      </c>
      <c r="B2210">
        <f>IF(VLOOKUP(Table7[[#This Row],[Date]],Database!$A:$C,MATCH($B$1,Database!$A$1:$C$1,),)=0,#N/A,VLOOKUP(Table7[[#This Row],[Date]],Database!$A:$C,MATCH($B$1,Database!$A$1:$C$1,),))</f>
        <v/>
      </c>
      <c r="C2210">
        <f>IF(VLOOKUP(Table7[[#This Row],[Date]],Database!$A:$C,MATCH($C$1,Database!$A$1:$C$1,),)=0,#N/A,VLOOKUP(Table7[[#This Row],[Date]],Database!$A:$C,MATCH($C$1,Database!$A$1:$C$1,),))</f>
        <v/>
      </c>
      <c r="D2210">
        <f>IFERROR(Table7[[#This Row],[United States 10y]]-Table7[[#This Row],[United States 3y]],#N/A)</f>
        <v/>
      </c>
    </row>
    <row r="2211">
      <c r="A2211" s="6">
        <f>Database!$A4296</f>
        <v/>
      </c>
      <c r="B2211">
        <f>IF(VLOOKUP(Table7[[#This Row],[Date]],Database!$A:$C,MATCH($B$1,Database!$A$1:$C$1,),)=0,#N/A,VLOOKUP(Table7[[#This Row],[Date]],Database!$A:$C,MATCH($B$1,Database!$A$1:$C$1,),))</f>
        <v/>
      </c>
      <c r="C2211">
        <f>IF(VLOOKUP(Table7[[#This Row],[Date]],Database!$A:$C,MATCH($C$1,Database!$A$1:$C$1,),)=0,#N/A,VLOOKUP(Table7[[#This Row],[Date]],Database!$A:$C,MATCH($C$1,Database!$A$1:$C$1,),))</f>
        <v/>
      </c>
      <c r="D2211">
        <f>IFERROR(Table7[[#This Row],[United States 10y]]-Table7[[#This Row],[United States 3y]],#N/A)</f>
        <v/>
      </c>
    </row>
    <row r="2212">
      <c r="A2212" s="6">
        <f>Database!$A4297</f>
        <v/>
      </c>
      <c r="B2212">
        <f>IF(VLOOKUP(Table7[[#This Row],[Date]],Database!$A:$C,MATCH($B$1,Database!$A$1:$C$1,),)=0,#N/A,VLOOKUP(Table7[[#This Row],[Date]],Database!$A:$C,MATCH($B$1,Database!$A$1:$C$1,),))</f>
        <v/>
      </c>
      <c r="C2212">
        <f>IF(VLOOKUP(Table7[[#This Row],[Date]],Database!$A:$C,MATCH($C$1,Database!$A$1:$C$1,),)=0,#N/A,VLOOKUP(Table7[[#This Row],[Date]],Database!$A:$C,MATCH($C$1,Database!$A$1:$C$1,),))</f>
        <v/>
      </c>
      <c r="D2212">
        <f>IFERROR(Table7[[#This Row],[United States 10y]]-Table7[[#This Row],[United States 3y]],#N/A)</f>
        <v/>
      </c>
    </row>
    <row r="2213">
      <c r="A2213" s="6">
        <f>Database!$A4298</f>
        <v/>
      </c>
      <c r="B2213">
        <f>IF(VLOOKUP(Table7[[#This Row],[Date]],Database!$A:$C,MATCH($B$1,Database!$A$1:$C$1,),)=0,#N/A,VLOOKUP(Table7[[#This Row],[Date]],Database!$A:$C,MATCH($B$1,Database!$A$1:$C$1,),))</f>
        <v/>
      </c>
      <c r="C2213">
        <f>IF(VLOOKUP(Table7[[#This Row],[Date]],Database!$A:$C,MATCH($C$1,Database!$A$1:$C$1,),)=0,#N/A,VLOOKUP(Table7[[#This Row],[Date]],Database!$A:$C,MATCH($C$1,Database!$A$1:$C$1,),))</f>
        <v/>
      </c>
      <c r="D2213">
        <f>IFERROR(Table7[[#This Row],[United States 10y]]-Table7[[#This Row],[United States 3y]],#N/A)</f>
        <v/>
      </c>
    </row>
    <row r="2214">
      <c r="A2214" s="6">
        <f>Database!$A4299</f>
        <v/>
      </c>
      <c r="B2214">
        <f>IF(VLOOKUP(Table7[[#This Row],[Date]],Database!$A:$C,MATCH($B$1,Database!$A$1:$C$1,),)=0,#N/A,VLOOKUP(Table7[[#This Row],[Date]],Database!$A:$C,MATCH($B$1,Database!$A$1:$C$1,),))</f>
        <v/>
      </c>
      <c r="C2214">
        <f>IF(VLOOKUP(Table7[[#This Row],[Date]],Database!$A:$C,MATCH($C$1,Database!$A$1:$C$1,),)=0,#N/A,VLOOKUP(Table7[[#This Row],[Date]],Database!$A:$C,MATCH($C$1,Database!$A$1:$C$1,),))</f>
        <v/>
      </c>
      <c r="D2214">
        <f>IFERROR(Table7[[#This Row],[United States 10y]]-Table7[[#This Row],[United States 3y]],#N/A)</f>
        <v/>
      </c>
    </row>
    <row r="2215">
      <c r="A2215" s="6">
        <f>Database!$A4300</f>
        <v/>
      </c>
      <c r="B2215">
        <f>IF(VLOOKUP(Table7[[#This Row],[Date]],Database!$A:$C,MATCH($B$1,Database!$A$1:$C$1,),)=0,#N/A,VLOOKUP(Table7[[#This Row],[Date]],Database!$A:$C,MATCH($B$1,Database!$A$1:$C$1,),))</f>
        <v/>
      </c>
      <c r="C2215">
        <f>IF(VLOOKUP(Table7[[#This Row],[Date]],Database!$A:$C,MATCH($C$1,Database!$A$1:$C$1,),)=0,#N/A,VLOOKUP(Table7[[#This Row],[Date]],Database!$A:$C,MATCH($C$1,Database!$A$1:$C$1,),))</f>
        <v/>
      </c>
      <c r="D2215">
        <f>IFERROR(Table7[[#This Row],[United States 10y]]-Table7[[#This Row],[United States 3y]],#N/A)</f>
        <v/>
      </c>
    </row>
    <row r="2216">
      <c r="A2216" s="6">
        <f>Database!$A4301</f>
        <v/>
      </c>
      <c r="B2216">
        <f>IF(VLOOKUP(Table7[[#This Row],[Date]],Database!$A:$C,MATCH($B$1,Database!$A$1:$C$1,),)=0,#N/A,VLOOKUP(Table7[[#This Row],[Date]],Database!$A:$C,MATCH($B$1,Database!$A$1:$C$1,),))</f>
        <v/>
      </c>
      <c r="C2216">
        <f>IF(VLOOKUP(Table7[[#This Row],[Date]],Database!$A:$C,MATCH($C$1,Database!$A$1:$C$1,),)=0,#N/A,VLOOKUP(Table7[[#This Row],[Date]],Database!$A:$C,MATCH($C$1,Database!$A$1:$C$1,),))</f>
        <v/>
      </c>
      <c r="D2216">
        <f>IFERROR(Table7[[#This Row],[United States 10y]]-Table7[[#This Row],[United States 3y]],#N/A)</f>
        <v/>
      </c>
    </row>
    <row r="2217">
      <c r="A2217" s="6">
        <f>Database!$A4302</f>
        <v/>
      </c>
      <c r="B2217">
        <f>IF(VLOOKUP(Table7[[#This Row],[Date]],Database!$A:$C,MATCH($B$1,Database!$A$1:$C$1,),)=0,#N/A,VLOOKUP(Table7[[#This Row],[Date]],Database!$A:$C,MATCH($B$1,Database!$A$1:$C$1,),))</f>
        <v/>
      </c>
      <c r="C2217">
        <f>IF(VLOOKUP(Table7[[#This Row],[Date]],Database!$A:$C,MATCH($C$1,Database!$A$1:$C$1,),)=0,#N/A,VLOOKUP(Table7[[#This Row],[Date]],Database!$A:$C,MATCH($C$1,Database!$A$1:$C$1,),))</f>
        <v/>
      </c>
      <c r="D2217">
        <f>IFERROR(Table7[[#This Row],[United States 10y]]-Table7[[#This Row],[United States 3y]],#N/A)</f>
        <v/>
      </c>
    </row>
    <row r="2218">
      <c r="A2218" s="6">
        <f>Database!$A4303</f>
        <v/>
      </c>
      <c r="B2218">
        <f>IF(VLOOKUP(Table7[[#This Row],[Date]],Database!$A:$C,MATCH($B$1,Database!$A$1:$C$1,),)=0,#N/A,VLOOKUP(Table7[[#This Row],[Date]],Database!$A:$C,MATCH($B$1,Database!$A$1:$C$1,),))</f>
        <v/>
      </c>
      <c r="C2218">
        <f>IF(VLOOKUP(Table7[[#This Row],[Date]],Database!$A:$C,MATCH($C$1,Database!$A$1:$C$1,),)=0,#N/A,VLOOKUP(Table7[[#This Row],[Date]],Database!$A:$C,MATCH($C$1,Database!$A$1:$C$1,),))</f>
        <v/>
      </c>
      <c r="D2218">
        <f>IFERROR(Table7[[#This Row],[United States 10y]]-Table7[[#This Row],[United States 3y]],#N/A)</f>
        <v/>
      </c>
    </row>
    <row r="2219">
      <c r="A2219" s="6">
        <f>Database!$A4304</f>
        <v/>
      </c>
      <c r="B2219">
        <f>IF(VLOOKUP(Table7[[#This Row],[Date]],Database!$A:$C,MATCH($B$1,Database!$A$1:$C$1,),)=0,#N/A,VLOOKUP(Table7[[#This Row],[Date]],Database!$A:$C,MATCH($B$1,Database!$A$1:$C$1,),))</f>
        <v/>
      </c>
      <c r="C2219">
        <f>IF(VLOOKUP(Table7[[#This Row],[Date]],Database!$A:$C,MATCH($C$1,Database!$A$1:$C$1,),)=0,#N/A,VLOOKUP(Table7[[#This Row],[Date]],Database!$A:$C,MATCH($C$1,Database!$A$1:$C$1,),))</f>
        <v/>
      </c>
      <c r="D2219">
        <f>IFERROR(Table7[[#This Row],[United States 10y]]-Table7[[#This Row],[United States 3y]],#N/A)</f>
        <v/>
      </c>
    </row>
    <row r="2220">
      <c r="A2220" s="6">
        <f>Database!$A4305</f>
        <v/>
      </c>
      <c r="B2220">
        <f>IF(VLOOKUP(Table7[[#This Row],[Date]],Database!$A:$C,MATCH($B$1,Database!$A$1:$C$1,),)=0,#N/A,VLOOKUP(Table7[[#This Row],[Date]],Database!$A:$C,MATCH($B$1,Database!$A$1:$C$1,),))</f>
        <v/>
      </c>
      <c r="C2220">
        <f>IF(VLOOKUP(Table7[[#This Row],[Date]],Database!$A:$C,MATCH($C$1,Database!$A$1:$C$1,),)=0,#N/A,VLOOKUP(Table7[[#This Row],[Date]],Database!$A:$C,MATCH($C$1,Database!$A$1:$C$1,),))</f>
        <v/>
      </c>
      <c r="D2220">
        <f>IFERROR(Table7[[#This Row],[United States 10y]]-Table7[[#This Row],[United States 3y]],#N/A)</f>
        <v/>
      </c>
    </row>
    <row r="2221">
      <c r="A2221" s="6">
        <f>Database!$A4306</f>
        <v/>
      </c>
      <c r="B2221">
        <f>IF(VLOOKUP(Table7[[#This Row],[Date]],Database!$A:$C,MATCH($B$1,Database!$A$1:$C$1,),)=0,#N/A,VLOOKUP(Table7[[#This Row],[Date]],Database!$A:$C,MATCH($B$1,Database!$A$1:$C$1,),))</f>
        <v/>
      </c>
      <c r="C2221">
        <f>IF(VLOOKUP(Table7[[#This Row],[Date]],Database!$A:$C,MATCH($C$1,Database!$A$1:$C$1,),)=0,#N/A,VLOOKUP(Table7[[#This Row],[Date]],Database!$A:$C,MATCH($C$1,Database!$A$1:$C$1,),))</f>
        <v/>
      </c>
      <c r="D2221">
        <f>IFERROR(Table7[[#This Row],[United States 10y]]-Table7[[#This Row],[United States 3y]],#N/A)</f>
        <v/>
      </c>
    </row>
    <row r="2222">
      <c r="A2222" s="6">
        <f>Database!$A4307</f>
        <v/>
      </c>
      <c r="B2222">
        <f>IF(VLOOKUP(Table7[[#This Row],[Date]],Database!$A:$C,MATCH($B$1,Database!$A$1:$C$1,),)=0,#N/A,VLOOKUP(Table7[[#This Row],[Date]],Database!$A:$C,MATCH($B$1,Database!$A$1:$C$1,),))</f>
        <v/>
      </c>
      <c r="C2222">
        <f>IF(VLOOKUP(Table7[[#This Row],[Date]],Database!$A:$C,MATCH($C$1,Database!$A$1:$C$1,),)=0,#N/A,VLOOKUP(Table7[[#This Row],[Date]],Database!$A:$C,MATCH($C$1,Database!$A$1:$C$1,),))</f>
        <v/>
      </c>
      <c r="D2222">
        <f>IFERROR(Table7[[#This Row],[United States 10y]]-Table7[[#This Row],[United States 3y]],#N/A)</f>
        <v/>
      </c>
    </row>
    <row r="2223">
      <c r="A2223" s="6">
        <f>Database!$A4308</f>
        <v/>
      </c>
      <c r="B2223">
        <f>IF(VLOOKUP(Table7[[#This Row],[Date]],Database!$A:$C,MATCH($B$1,Database!$A$1:$C$1,),)=0,#N/A,VLOOKUP(Table7[[#This Row],[Date]],Database!$A:$C,MATCH($B$1,Database!$A$1:$C$1,),))</f>
        <v/>
      </c>
      <c r="C2223">
        <f>IF(VLOOKUP(Table7[[#This Row],[Date]],Database!$A:$C,MATCH($C$1,Database!$A$1:$C$1,),)=0,#N/A,VLOOKUP(Table7[[#This Row],[Date]],Database!$A:$C,MATCH($C$1,Database!$A$1:$C$1,),))</f>
        <v/>
      </c>
      <c r="D2223">
        <f>IFERROR(Table7[[#This Row],[United States 10y]]-Table7[[#This Row],[United States 3y]],#N/A)</f>
        <v/>
      </c>
    </row>
    <row r="2224">
      <c r="A2224" s="6">
        <f>Database!$A4309</f>
        <v/>
      </c>
      <c r="B2224">
        <f>IF(VLOOKUP(Table7[[#This Row],[Date]],Database!$A:$C,MATCH($B$1,Database!$A$1:$C$1,),)=0,#N/A,VLOOKUP(Table7[[#This Row],[Date]],Database!$A:$C,MATCH($B$1,Database!$A$1:$C$1,),))</f>
        <v/>
      </c>
      <c r="C2224">
        <f>IF(VLOOKUP(Table7[[#This Row],[Date]],Database!$A:$C,MATCH($C$1,Database!$A$1:$C$1,),)=0,#N/A,VLOOKUP(Table7[[#This Row],[Date]],Database!$A:$C,MATCH($C$1,Database!$A$1:$C$1,),))</f>
        <v/>
      </c>
      <c r="D2224">
        <f>IFERROR(Table7[[#This Row],[United States 10y]]-Table7[[#This Row],[United States 3y]],#N/A)</f>
        <v/>
      </c>
    </row>
    <row r="2225">
      <c r="A2225" s="6">
        <f>Database!$A4310</f>
        <v/>
      </c>
      <c r="B2225">
        <f>IF(VLOOKUP(Table7[[#This Row],[Date]],Database!$A:$C,MATCH($B$1,Database!$A$1:$C$1,),)=0,#N/A,VLOOKUP(Table7[[#This Row],[Date]],Database!$A:$C,MATCH($B$1,Database!$A$1:$C$1,),))</f>
        <v/>
      </c>
      <c r="C2225">
        <f>IF(VLOOKUP(Table7[[#This Row],[Date]],Database!$A:$C,MATCH($C$1,Database!$A$1:$C$1,),)=0,#N/A,VLOOKUP(Table7[[#This Row],[Date]],Database!$A:$C,MATCH($C$1,Database!$A$1:$C$1,),))</f>
        <v/>
      </c>
      <c r="D2225">
        <f>IFERROR(Table7[[#This Row],[United States 10y]]-Table7[[#This Row],[United States 3y]],#N/A)</f>
        <v/>
      </c>
    </row>
    <row r="2226">
      <c r="A2226" s="6">
        <f>Database!$A4311</f>
        <v/>
      </c>
      <c r="B2226">
        <f>IF(VLOOKUP(Table7[[#This Row],[Date]],Database!$A:$C,MATCH($B$1,Database!$A$1:$C$1,),)=0,#N/A,VLOOKUP(Table7[[#This Row],[Date]],Database!$A:$C,MATCH($B$1,Database!$A$1:$C$1,),))</f>
        <v/>
      </c>
      <c r="C2226">
        <f>IF(VLOOKUP(Table7[[#This Row],[Date]],Database!$A:$C,MATCH($C$1,Database!$A$1:$C$1,),)=0,#N/A,VLOOKUP(Table7[[#This Row],[Date]],Database!$A:$C,MATCH($C$1,Database!$A$1:$C$1,),))</f>
        <v/>
      </c>
      <c r="D2226">
        <f>IFERROR(Table7[[#This Row],[United States 10y]]-Table7[[#This Row],[United States 3y]],#N/A)</f>
        <v/>
      </c>
    </row>
    <row r="2227">
      <c r="A2227" s="6">
        <f>Database!$A4312</f>
        <v/>
      </c>
      <c r="B2227">
        <f>IF(VLOOKUP(Table7[[#This Row],[Date]],Database!$A:$C,MATCH($B$1,Database!$A$1:$C$1,),)=0,#N/A,VLOOKUP(Table7[[#This Row],[Date]],Database!$A:$C,MATCH($B$1,Database!$A$1:$C$1,),))</f>
        <v/>
      </c>
      <c r="C2227">
        <f>IF(VLOOKUP(Table7[[#This Row],[Date]],Database!$A:$C,MATCH($C$1,Database!$A$1:$C$1,),)=0,#N/A,VLOOKUP(Table7[[#This Row],[Date]],Database!$A:$C,MATCH($C$1,Database!$A$1:$C$1,),))</f>
        <v/>
      </c>
      <c r="D2227">
        <f>IFERROR(Table7[[#This Row],[United States 10y]]-Table7[[#This Row],[United States 3y]],#N/A)</f>
        <v/>
      </c>
    </row>
    <row r="2228">
      <c r="A2228" s="6">
        <f>Database!$A4313</f>
        <v/>
      </c>
      <c r="B2228">
        <f>IF(VLOOKUP(Table7[[#This Row],[Date]],Database!$A:$C,MATCH($B$1,Database!$A$1:$C$1,),)=0,#N/A,VLOOKUP(Table7[[#This Row],[Date]],Database!$A:$C,MATCH($B$1,Database!$A$1:$C$1,),))</f>
        <v/>
      </c>
      <c r="C2228">
        <f>IF(VLOOKUP(Table7[[#This Row],[Date]],Database!$A:$C,MATCH($C$1,Database!$A$1:$C$1,),)=0,#N/A,VLOOKUP(Table7[[#This Row],[Date]],Database!$A:$C,MATCH($C$1,Database!$A$1:$C$1,),))</f>
        <v/>
      </c>
      <c r="D2228">
        <f>IFERROR(Table7[[#This Row],[United States 10y]]-Table7[[#This Row],[United States 3y]],#N/A)</f>
        <v/>
      </c>
    </row>
    <row r="2229">
      <c r="A2229" s="6">
        <f>Database!$A4314</f>
        <v/>
      </c>
      <c r="B2229">
        <f>IF(VLOOKUP(Table7[[#This Row],[Date]],Database!$A:$C,MATCH($B$1,Database!$A$1:$C$1,),)=0,#N/A,VLOOKUP(Table7[[#This Row],[Date]],Database!$A:$C,MATCH($B$1,Database!$A$1:$C$1,),))</f>
        <v/>
      </c>
      <c r="C2229">
        <f>IF(VLOOKUP(Table7[[#This Row],[Date]],Database!$A:$C,MATCH($C$1,Database!$A$1:$C$1,),)=0,#N/A,VLOOKUP(Table7[[#This Row],[Date]],Database!$A:$C,MATCH($C$1,Database!$A$1:$C$1,),))</f>
        <v/>
      </c>
      <c r="D2229">
        <f>IFERROR(Table7[[#This Row],[United States 10y]]-Table7[[#This Row],[United States 3y]],#N/A)</f>
        <v/>
      </c>
    </row>
    <row r="2230">
      <c r="A2230" s="6">
        <f>Database!$A4315</f>
        <v/>
      </c>
      <c r="B2230">
        <f>IF(VLOOKUP(Table7[[#This Row],[Date]],Database!$A:$C,MATCH($B$1,Database!$A$1:$C$1,),)=0,#N/A,VLOOKUP(Table7[[#This Row],[Date]],Database!$A:$C,MATCH($B$1,Database!$A$1:$C$1,),))</f>
        <v/>
      </c>
      <c r="C2230">
        <f>IF(VLOOKUP(Table7[[#This Row],[Date]],Database!$A:$C,MATCH($C$1,Database!$A$1:$C$1,),)=0,#N/A,VLOOKUP(Table7[[#This Row],[Date]],Database!$A:$C,MATCH($C$1,Database!$A$1:$C$1,),))</f>
        <v/>
      </c>
      <c r="D2230">
        <f>IFERROR(Table7[[#This Row],[United States 10y]]-Table7[[#This Row],[United States 3y]],#N/A)</f>
        <v/>
      </c>
    </row>
    <row r="2231">
      <c r="A2231" s="6">
        <f>Database!$A4316</f>
        <v/>
      </c>
      <c r="B2231">
        <f>IF(VLOOKUP(Table7[[#This Row],[Date]],Database!$A:$C,MATCH($B$1,Database!$A$1:$C$1,),)=0,#N/A,VLOOKUP(Table7[[#This Row],[Date]],Database!$A:$C,MATCH($B$1,Database!$A$1:$C$1,),))</f>
        <v/>
      </c>
      <c r="C2231">
        <f>IF(VLOOKUP(Table7[[#This Row],[Date]],Database!$A:$C,MATCH($C$1,Database!$A$1:$C$1,),)=0,#N/A,VLOOKUP(Table7[[#This Row],[Date]],Database!$A:$C,MATCH($C$1,Database!$A$1:$C$1,),))</f>
        <v/>
      </c>
      <c r="D2231">
        <f>IFERROR(Table7[[#This Row],[United States 10y]]-Table7[[#This Row],[United States 3y]],#N/A)</f>
        <v/>
      </c>
    </row>
    <row r="2232">
      <c r="A2232" s="6">
        <f>Database!$A4317</f>
        <v/>
      </c>
      <c r="B2232">
        <f>IF(VLOOKUP(Table7[[#This Row],[Date]],Database!$A:$C,MATCH($B$1,Database!$A$1:$C$1,),)=0,#N/A,VLOOKUP(Table7[[#This Row],[Date]],Database!$A:$C,MATCH($B$1,Database!$A$1:$C$1,),))</f>
        <v/>
      </c>
      <c r="C2232">
        <f>IF(VLOOKUP(Table7[[#This Row],[Date]],Database!$A:$C,MATCH($C$1,Database!$A$1:$C$1,),)=0,#N/A,VLOOKUP(Table7[[#This Row],[Date]],Database!$A:$C,MATCH($C$1,Database!$A$1:$C$1,),))</f>
        <v/>
      </c>
      <c r="D2232">
        <f>IFERROR(Table7[[#This Row],[United States 10y]]-Table7[[#This Row],[United States 3y]],#N/A)</f>
        <v/>
      </c>
    </row>
    <row r="2233">
      <c r="A2233" s="6">
        <f>Database!$A4318</f>
        <v/>
      </c>
      <c r="B2233">
        <f>IF(VLOOKUP(Table7[[#This Row],[Date]],Database!$A:$C,MATCH($B$1,Database!$A$1:$C$1,),)=0,#N/A,VLOOKUP(Table7[[#This Row],[Date]],Database!$A:$C,MATCH($B$1,Database!$A$1:$C$1,),))</f>
        <v/>
      </c>
      <c r="C2233">
        <f>IF(VLOOKUP(Table7[[#This Row],[Date]],Database!$A:$C,MATCH($C$1,Database!$A$1:$C$1,),)=0,#N/A,VLOOKUP(Table7[[#This Row],[Date]],Database!$A:$C,MATCH($C$1,Database!$A$1:$C$1,),))</f>
        <v/>
      </c>
      <c r="D2233">
        <f>IFERROR(Table7[[#This Row],[United States 10y]]-Table7[[#This Row],[United States 3y]],#N/A)</f>
        <v/>
      </c>
    </row>
    <row r="2234">
      <c r="A2234" s="6">
        <f>Database!$A4319</f>
        <v/>
      </c>
      <c r="B2234">
        <f>IF(VLOOKUP(Table7[[#This Row],[Date]],Database!$A:$C,MATCH($B$1,Database!$A$1:$C$1,),)=0,#N/A,VLOOKUP(Table7[[#This Row],[Date]],Database!$A:$C,MATCH($B$1,Database!$A$1:$C$1,),))</f>
        <v/>
      </c>
      <c r="C2234">
        <f>IF(VLOOKUP(Table7[[#This Row],[Date]],Database!$A:$C,MATCH($C$1,Database!$A$1:$C$1,),)=0,#N/A,VLOOKUP(Table7[[#This Row],[Date]],Database!$A:$C,MATCH($C$1,Database!$A$1:$C$1,),))</f>
        <v/>
      </c>
      <c r="D2234">
        <f>IFERROR(Table7[[#This Row],[United States 10y]]-Table7[[#This Row],[United States 3y]],#N/A)</f>
        <v/>
      </c>
    </row>
    <row r="2235">
      <c r="A2235" s="6">
        <f>Database!$A4320</f>
        <v/>
      </c>
      <c r="B2235">
        <f>IF(VLOOKUP(Table7[[#This Row],[Date]],Database!$A:$C,MATCH($B$1,Database!$A$1:$C$1,),)=0,#N/A,VLOOKUP(Table7[[#This Row],[Date]],Database!$A:$C,MATCH($B$1,Database!$A$1:$C$1,),))</f>
        <v/>
      </c>
      <c r="C2235">
        <f>IF(VLOOKUP(Table7[[#This Row],[Date]],Database!$A:$C,MATCH($C$1,Database!$A$1:$C$1,),)=0,#N/A,VLOOKUP(Table7[[#This Row],[Date]],Database!$A:$C,MATCH($C$1,Database!$A$1:$C$1,),))</f>
        <v/>
      </c>
      <c r="D2235">
        <f>IFERROR(Table7[[#This Row],[United States 10y]]-Table7[[#This Row],[United States 3y]],#N/A)</f>
        <v/>
      </c>
    </row>
    <row r="2236">
      <c r="A2236" s="6">
        <f>Database!$A4321</f>
        <v/>
      </c>
      <c r="B2236">
        <f>IF(VLOOKUP(Table7[[#This Row],[Date]],Database!$A:$C,MATCH($B$1,Database!$A$1:$C$1,),)=0,#N/A,VLOOKUP(Table7[[#This Row],[Date]],Database!$A:$C,MATCH($B$1,Database!$A$1:$C$1,),))</f>
        <v/>
      </c>
      <c r="C2236">
        <f>IF(VLOOKUP(Table7[[#This Row],[Date]],Database!$A:$C,MATCH($C$1,Database!$A$1:$C$1,),)=0,#N/A,VLOOKUP(Table7[[#This Row],[Date]],Database!$A:$C,MATCH($C$1,Database!$A$1:$C$1,),))</f>
        <v/>
      </c>
      <c r="D2236">
        <f>IFERROR(Table7[[#This Row],[United States 10y]]-Table7[[#This Row],[United States 3y]],#N/A)</f>
        <v/>
      </c>
    </row>
    <row r="2237">
      <c r="A2237" s="6">
        <f>Database!$A4322</f>
        <v/>
      </c>
      <c r="B2237">
        <f>IF(VLOOKUP(Table7[[#This Row],[Date]],Database!$A:$C,MATCH($B$1,Database!$A$1:$C$1,),)=0,#N/A,VLOOKUP(Table7[[#This Row],[Date]],Database!$A:$C,MATCH($B$1,Database!$A$1:$C$1,),))</f>
        <v/>
      </c>
      <c r="C2237">
        <f>IF(VLOOKUP(Table7[[#This Row],[Date]],Database!$A:$C,MATCH($C$1,Database!$A$1:$C$1,),)=0,#N/A,VLOOKUP(Table7[[#This Row],[Date]],Database!$A:$C,MATCH($C$1,Database!$A$1:$C$1,),))</f>
        <v/>
      </c>
      <c r="D2237">
        <f>IFERROR(Table7[[#This Row],[United States 10y]]-Table7[[#This Row],[United States 3y]],#N/A)</f>
        <v/>
      </c>
    </row>
    <row r="2238">
      <c r="A2238" s="6">
        <f>Database!$A4323</f>
        <v/>
      </c>
      <c r="B2238">
        <f>IF(VLOOKUP(Table7[[#This Row],[Date]],Database!$A:$C,MATCH($B$1,Database!$A$1:$C$1,),)=0,#N/A,VLOOKUP(Table7[[#This Row],[Date]],Database!$A:$C,MATCH($B$1,Database!$A$1:$C$1,),))</f>
        <v/>
      </c>
      <c r="C2238">
        <f>IF(VLOOKUP(Table7[[#This Row],[Date]],Database!$A:$C,MATCH($C$1,Database!$A$1:$C$1,),)=0,#N/A,VLOOKUP(Table7[[#This Row],[Date]],Database!$A:$C,MATCH($C$1,Database!$A$1:$C$1,),))</f>
        <v/>
      </c>
      <c r="D2238">
        <f>IFERROR(Table7[[#This Row],[United States 10y]]-Table7[[#This Row],[United States 3y]],#N/A)</f>
        <v/>
      </c>
    </row>
    <row r="2239">
      <c r="A2239" s="6">
        <f>Database!$A4324</f>
        <v/>
      </c>
      <c r="B2239">
        <f>IF(VLOOKUP(Table7[[#This Row],[Date]],Database!$A:$C,MATCH($B$1,Database!$A$1:$C$1,),)=0,#N/A,VLOOKUP(Table7[[#This Row],[Date]],Database!$A:$C,MATCH($B$1,Database!$A$1:$C$1,),))</f>
        <v/>
      </c>
      <c r="C2239">
        <f>IF(VLOOKUP(Table7[[#This Row],[Date]],Database!$A:$C,MATCH($C$1,Database!$A$1:$C$1,),)=0,#N/A,VLOOKUP(Table7[[#This Row],[Date]],Database!$A:$C,MATCH($C$1,Database!$A$1:$C$1,),))</f>
        <v/>
      </c>
      <c r="D2239">
        <f>IFERROR(Table7[[#This Row],[United States 10y]]-Table7[[#This Row],[United States 3y]],#N/A)</f>
        <v/>
      </c>
    </row>
    <row r="2240">
      <c r="A2240" s="6">
        <f>Database!$A4325</f>
        <v/>
      </c>
      <c r="B2240">
        <f>IF(VLOOKUP(Table7[[#This Row],[Date]],Database!$A:$C,MATCH($B$1,Database!$A$1:$C$1,),)=0,#N/A,VLOOKUP(Table7[[#This Row],[Date]],Database!$A:$C,MATCH($B$1,Database!$A$1:$C$1,),))</f>
        <v/>
      </c>
      <c r="C2240">
        <f>IF(VLOOKUP(Table7[[#This Row],[Date]],Database!$A:$C,MATCH($C$1,Database!$A$1:$C$1,),)=0,#N/A,VLOOKUP(Table7[[#This Row],[Date]],Database!$A:$C,MATCH($C$1,Database!$A$1:$C$1,),))</f>
        <v/>
      </c>
      <c r="D2240">
        <f>IFERROR(Table7[[#This Row],[United States 10y]]-Table7[[#This Row],[United States 3y]],#N/A)</f>
        <v/>
      </c>
    </row>
    <row r="2241">
      <c r="A2241" s="6">
        <f>Database!$A4326</f>
        <v/>
      </c>
      <c r="B2241">
        <f>IF(VLOOKUP(Table7[[#This Row],[Date]],Database!$A:$C,MATCH($B$1,Database!$A$1:$C$1,),)=0,#N/A,VLOOKUP(Table7[[#This Row],[Date]],Database!$A:$C,MATCH($B$1,Database!$A$1:$C$1,),))</f>
        <v/>
      </c>
      <c r="C2241">
        <f>IF(VLOOKUP(Table7[[#This Row],[Date]],Database!$A:$C,MATCH($C$1,Database!$A$1:$C$1,),)=0,#N/A,VLOOKUP(Table7[[#This Row],[Date]],Database!$A:$C,MATCH($C$1,Database!$A$1:$C$1,),))</f>
        <v/>
      </c>
      <c r="D2241">
        <f>IFERROR(Table7[[#This Row],[United States 10y]]-Table7[[#This Row],[United States 3y]],#N/A)</f>
        <v/>
      </c>
    </row>
    <row r="2242">
      <c r="A2242" s="6">
        <f>Database!$A4327</f>
        <v/>
      </c>
      <c r="B2242">
        <f>IF(VLOOKUP(Table7[[#This Row],[Date]],Database!$A:$C,MATCH($B$1,Database!$A$1:$C$1,),)=0,#N/A,VLOOKUP(Table7[[#This Row],[Date]],Database!$A:$C,MATCH($B$1,Database!$A$1:$C$1,),))</f>
        <v/>
      </c>
      <c r="C2242">
        <f>IF(VLOOKUP(Table7[[#This Row],[Date]],Database!$A:$C,MATCH($C$1,Database!$A$1:$C$1,),)=0,#N/A,VLOOKUP(Table7[[#This Row],[Date]],Database!$A:$C,MATCH($C$1,Database!$A$1:$C$1,),))</f>
        <v/>
      </c>
      <c r="D2242">
        <f>IFERROR(Table7[[#This Row],[United States 10y]]-Table7[[#This Row],[United States 3y]],#N/A)</f>
        <v/>
      </c>
    </row>
    <row r="2243">
      <c r="A2243" s="6">
        <f>Database!$A4328</f>
        <v/>
      </c>
      <c r="B2243">
        <f>IF(VLOOKUP(Table7[[#This Row],[Date]],Database!$A:$C,MATCH($B$1,Database!$A$1:$C$1,),)=0,#N/A,VLOOKUP(Table7[[#This Row],[Date]],Database!$A:$C,MATCH($B$1,Database!$A$1:$C$1,),))</f>
        <v/>
      </c>
      <c r="C2243">
        <f>IF(VLOOKUP(Table7[[#This Row],[Date]],Database!$A:$C,MATCH($C$1,Database!$A$1:$C$1,),)=0,#N/A,VLOOKUP(Table7[[#This Row],[Date]],Database!$A:$C,MATCH($C$1,Database!$A$1:$C$1,),))</f>
        <v/>
      </c>
      <c r="D2243">
        <f>IFERROR(Table7[[#This Row],[United States 10y]]-Table7[[#This Row],[United States 3y]],#N/A)</f>
        <v/>
      </c>
    </row>
    <row r="2244">
      <c r="A2244" s="6">
        <f>Database!$A4329</f>
        <v/>
      </c>
      <c r="B2244">
        <f>IF(VLOOKUP(Table7[[#This Row],[Date]],Database!$A:$C,MATCH($B$1,Database!$A$1:$C$1,),)=0,#N/A,VLOOKUP(Table7[[#This Row],[Date]],Database!$A:$C,MATCH($B$1,Database!$A$1:$C$1,),))</f>
        <v/>
      </c>
      <c r="C2244">
        <f>IF(VLOOKUP(Table7[[#This Row],[Date]],Database!$A:$C,MATCH($C$1,Database!$A$1:$C$1,),)=0,#N/A,VLOOKUP(Table7[[#This Row],[Date]],Database!$A:$C,MATCH($C$1,Database!$A$1:$C$1,),))</f>
        <v/>
      </c>
      <c r="D2244">
        <f>IFERROR(Table7[[#This Row],[United States 10y]]-Table7[[#This Row],[United States 3y]],#N/A)</f>
        <v/>
      </c>
    </row>
    <row r="2245">
      <c r="A2245" s="6">
        <f>Database!$A4330</f>
        <v/>
      </c>
      <c r="B2245">
        <f>IF(VLOOKUP(Table7[[#This Row],[Date]],Database!$A:$C,MATCH($B$1,Database!$A$1:$C$1,),)=0,#N/A,VLOOKUP(Table7[[#This Row],[Date]],Database!$A:$C,MATCH($B$1,Database!$A$1:$C$1,),))</f>
        <v/>
      </c>
      <c r="C2245">
        <f>IF(VLOOKUP(Table7[[#This Row],[Date]],Database!$A:$C,MATCH($C$1,Database!$A$1:$C$1,),)=0,#N/A,VLOOKUP(Table7[[#This Row],[Date]],Database!$A:$C,MATCH($C$1,Database!$A$1:$C$1,),))</f>
        <v/>
      </c>
      <c r="D2245">
        <f>IFERROR(Table7[[#This Row],[United States 10y]]-Table7[[#This Row],[United States 3y]],#N/A)</f>
        <v/>
      </c>
    </row>
    <row r="2246">
      <c r="A2246" s="6">
        <f>Database!$A4331</f>
        <v/>
      </c>
      <c r="B2246">
        <f>IF(VLOOKUP(Table7[[#This Row],[Date]],Database!$A:$C,MATCH($B$1,Database!$A$1:$C$1,),)=0,#N/A,VLOOKUP(Table7[[#This Row],[Date]],Database!$A:$C,MATCH($B$1,Database!$A$1:$C$1,),))</f>
        <v/>
      </c>
      <c r="C2246">
        <f>IF(VLOOKUP(Table7[[#This Row],[Date]],Database!$A:$C,MATCH($C$1,Database!$A$1:$C$1,),)=0,#N/A,VLOOKUP(Table7[[#This Row],[Date]],Database!$A:$C,MATCH($C$1,Database!$A$1:$C$1,),))</f>
        <v/>
      </c>
      <c r="D2246">
        <f>IFERROR(Table7[[#This Row],[United States 10y]]-Table7[[#This Row],[United States 3y]],#N/A)</f>
        <v/>
      </c>
    </row>
    <row r="2247">
      <c r="A2247" s="6">
        <f>Database!$A4332</f>
        <v/>
      </c>
      <c r="B2247">
        <f>IF(VLOOKUP(Table7[[#This Row],[Date]],Database!$A:$C,MATCH($B$1,Database!$A$1:$C$1,),)=0,#N/A,VLOOKUP(Table7[[#This Row],[Date]],Database!$A:$C,MATCH($B$1,Database!$A$1:$C$1,),))</f>
        <v/>
      </c>
      <c r="C2247">
        <f>IF(VLOOKUP(Table7[[#This Row],[Date]],Database!$A:$C,MATCH($C$1,Database!$A$1:$C$1,),)=0,#N/A,VLOOKUP(Table7[[#This Row],[Date]],Database!$A:$C,MATCH($C$1,Database!$A$1:$C$1,),))</f>
        <v/>
      </c>
      <c r="D2247">
        <f>IFERROR(Table7[[#This Row],[United States 10y]]-Table7[[#This Row],[United States 3y]],#N/A)</f>
        <v/>
      </c>
    </row>
    <row r="2248">
      <c r="A2248" s="6">
        <f>Database!$A4333</f>
        <v/>
      </c>
      <c r="B2248">
        <f>IF(VLOOKUP(Table7[[#This Row],[Date]],Database!$A:$C,MATCH($B$1,Database!$A$1:$C$1,),)=0,#N/A,VLOOKUP(Table7[[#This Row],[Date]],Database!$A:$C,MATCH($B$1,Database!$A$1:$C$1,),))</f>
        <v/>
      </c>
      <c r="C2248">
        <f>IF(VLOOKUP(Table7[[#This Row],[Date]],Database!$A:$C,MATCH($C$1,Database!$A$1:$C$1,),)=0,#N/A,VLOOKUP(Table7[[#This Row],[Date]],Database!$A:$C,MATCH($C$1,Database!$A$1:$C$1,),))</f>
        <v/>
      </c>
      <c r="D2248">
        <f>IFERROR(Table7[[#This Row],[United States 10y]]-Table7[[#This Row],[United States 3y]],#N/A)</f>
        <v/>
      </c>
    </row>
    <row r="2249">
      <c r="A2249" s="6">
        <f>Database!$A4334</f>
        <v/>
      </c>
      <c r="B2249">
        <f>IF(VLOOKUP(Table7[[#This Row],[Date]],Database!$A:$C,MATCH($B$1,Database!$A$1:$C$1,),)=0,#N/A,VLOOKUP(Table7[[#This Row],[Date]],Database!$A:$C,MATCH($B$1,Database!$A$1:$C$1,),))</f>
        <v/>
      </c>
      <c r="C2249">
        <f>IF(VLOOKUP(Table7[[#This Row],[Date]],Database!$A:$C,MATCH($C$1,Database!$A$1:$C$1,),)=0,#N/A,VLOOKUP(Table7[[#This Row],[Date]],Database!$A:$C,MATCH($C$1,Database!$A$1:$C$1,),))</f>
        <v/>
      </c>
      <c r="D2249">
        <f>IFERROR(Table7[[#This Row],[United States 10y]]-Table7[[#This Row],[United States 3y]],#N/A)</f>
        <v/>
      </c>
    </row>
    <row r="2250">
      <c r="A2250" s="6">
        <f>Database!$A4335</f>
        <v/>
      </c>
      <c r="B2250">
        <f>IF(VLOOKUP(Table7[[#This Row],[Date]],Database!$A:$C,MATCH($B$1,Database!$A$1:$C$1,),)=0,#N/A,VLOOKUP(Table7[[#This Row],[Date]],Database!$A:$C,MATCH($B$1,Database!$A$1:$C$1,),))</f>
        <v/>
      </c>
      <c r="C2250">
        <f>IF(VLOOKUP(Table7[[#This Row],[Date]],Database!$A:$C,MATCH($C$1,Database!$A$1:$C$1,),)=0,#N/A,VLOOKUP(Table7[[#This Row],[Date]],Database!$A:$C,MATCH($C$1,Database!$A$1:$C$1,),))</f>
        <v/>
      </c>
      <c r="D2250">
        <f>IFERROR(Table7[[#This Row],[United States 10y]]-Table7[[#This Row],[United States 3y]],#N/A)</f>
        <v/>
      </c>
    </row>
    <row r="2251">
      <c r="A2251" s="6">
        <f>Database!$A4336</f>
        <v/>
      </c>
      <c r="B2251">
        <f>IF(VLOOKUP(Table7[[#This Row],[Date]],Database!$A:$C,MATCH($B$1,Database!$A$1:$C$1,),)=0,#N/A,VLOOKUP(Table7[[#This Row],[Date]],Database!$A:$C,MATCH($B$1,Database!$A$1:$C$1,),))</f>
        <v/>
      </c>
      <c r="C2251">
        <f>IF(VLOOKUP(Table7[[#This Row],[Date]],Database!$A:$C,MATCH($C$1,Database!$A$1:$C$1,),)=0,#N/A,VLOOKUP(Table7[[#This Row],[Date]],Database!$A:$C,MATCH($C$1,Database!$A$1:$C$1,),))</f>
        <v/>
      </c>
      <c r="D2251">
        <f>IFERROR(Table7[[#This Row],[United States 10y]]-Table7[[#This Row],[United States 3y]],#N/A)</f>
        <v/>
      </c>
    </row>
    <row r="2252">
      <c r="A2252" s="6">
        <f>Database!$A4337</f>
        <v/>
      </c>
      <c r="B2252">
        <f>IF(VLOOKUP(Table7[[#This Row],[Date]],Database!$A:$C,MATCH($B$1,Database!$A$1:$C$1,),)=0,#N/A,VLOOKUP(Table7[[#This Row],[Date]],Database!$A:$C,MATCH($B$1,Database!$A$1:$C$1,),))</f>
        <v/>
      </c>
      <c r="C2252">
        <f>IF(VLOOKUP(Table7[[#This Row],[Date]],Database!$A:$C,MATCH($C$1,Database!$A$1:$C$1,),)=0,#N/A,VLOOKUP(Table7[[#This Row],[Date]],Database!$A:$C,MATCH($C$1,Database!$A$1:$C$1,),))</f>
        <v/>
      </c>
      <c r="D2252">
        <f>IFERROR(Table7[[#This Row],[United States 10y]]-Table7[[#This Row],[United States 3y]],#N/A)</f>
        <v/>
      </c>
    </row>
    <row r="2253">
      <c r="A2253" s="6">
        <f>Database!$A4338</f>
        <v/>
      </c>
      <c r="B2253">
        <f>IF(VLOOKUP(Table7[[#This Row],[Date]],Database!$A:$C,MATCH($B$1,Database!$A$1:$C$1,),)=0,#N/A,VLOOKUP(Table7[[#This Row],[Date]],Database!$A:$C,MATCH($B$1,Database!$A$1:$C$1,),))</f>
        <v/>
      </c>
      <c r="C2253">
        <f>IF(VLOOKUP(Table7[[#This Row],[Date]],Database!$A:$C,MATCH($C$1,Database!$A$1:$C$1,),)=0,#N/A,VLOOKUP(Table7[[#This Row],[Date]],Database!$A:$C,MATCH($C$1,Database!$A$1:$C$1,),))</f>
        <v/>
      </c>
      <c r="D2253">
        <f>IFERROR(Table7[[#This Row],[United States 10y]]-Table7[[#This Row],[United States 3y]],#N/A)</f>
        <v/>
      </c>
    </row>
    <row r="2254">
      <c r="A2254" s="6">
        <f>Database!$A4339</f>
        <v/>
      </c>
      <c r="B2254">
        <f>IF(VLOOKUP(Table7[[#This Row],[Date]],Database!$A:$C,MATCH($B$1,Database!$A$1:$C$1,),)=0,#N/A,VLOOKUP(Table7[[#This Row],[Date]],Database!$A:$C,MATCH($B$1,Database!$A$1:$C$1,),))</f>
        <v/>
      </c>
      <c r="C2254">
        <f>IF(VLOOKUP(Table7[[#This Row],[Date]],Database!$A:$C,MATCH($C$1,Database!$A$1:$C$1,),)=0,#N/A,VLOOKUP(Table7[[#This Row],[Date]],Database!$A:$C,MATCH($C$1,Database!$A$1:$C$1,),))</f>
        <v/>
      </c>
      <c r="D2254">
        <f>IFERROR(Table7[[#This Row],[United States 10y]]-Table7[[#This Row],[United States 3y]],#N/A)</f>
        <v/>
      </c>
    </row>
    <row r="2255">
      <c r="A2255" s="6">
        <f>Database!$A4340</f>
        <v/>
      </c>
      <c r="B2255">
        <f>IF(VLOOKUP(Table7[[#This Row],[Date]],Database!$A:$C,MATCH($B$1,Database!$A$1:$C$1,),)=0,#N/A,VLOOKUP(Table7[[#This Row],[Date]],Database!$A:$C,MATCH($B$1,Database!$A$1:$C$1,),))</f>
        <v/>
      </c>
      <c r="C2255">
        <f>IF(VLOOKUP(Table7[[#This Row],[Date]],Database!$A:$C,MATCH($C$1,Database!$A$1:$C$1,),)=0,#N/A,VLOOKUP(Table7[[#This Row],[Date]],Database!$A:$C,MATCH($C$1,Database!$A$1:$C$1,),))</f>
        <v/>
      </c>
      <c r="D2255">
        <f>IFERROR(Table7[[#This Row],[United States 10y]]-Table7[[#This Row],[United States 3y]],#N/A)</f>
        <v/>
      </c>
    </row>
    <row r="2256">
      <c r="A2256" s="6">
        <f>Database!$A4341</f>
        <v/>
      </c>
      <c r="B2256">
        <f>IF(VLOOKUP(Table7[[#This Row],[Date]],Database!$A:$C,MATCH($B$1,Database!$A$1:$C$1,),)=0,#N/A,VLOOKUP(Table7[[#This Row],[Date]],Database!$A:$C,MATCH($B$1,Database!$A$1:$C$1,),))</f>
        <v/>
      </c>
      <c r="C2256">
        <f>IF(VLOOKUP(Table7[[#This Row],[Date]],Database!$A:$C,MATCH($C$1,Database!$A$1:$C$1,),)=0,#N/A,VLOOKUP(Table7[[#This Row],[Date]],Database!$A:$C,MATCH($C$1,Database!$A$1:$C$1,),))</f>
        <v/>
      </c>
      <c r="D2256">
        <f>IFERROR(Table7[[#This Row],[United States 10y]]-Table7[[#This Row],[United States 3y]],#N/A)</f>
        <v/>
      </c>
    </row>
    <row r="2257">
      <c r="A2257" s="6">
        <f>Database!$A4342</f>
        <v/>
      </c>
      <c r="B2257">
        <f>IF(VLOOKUP(Table7[[#This Row],[Date]],Database!$A:$C,MATCH($B$1,Database!$A$1:$C$1,),)=0,#N/A,VLOOKUP(Table7[[#This Row],[Date]],Database!$A:$C,MATCH($B$1,Database!$A$1:$C$1,),))</f>
        <v/>
      </c>
      <c r="C2257">
        <f>IF(VLOOKUP(Table7[[#This Row],[Date]],Database!$A:$C,MATCH($C$1,Database!$A$1:$C$1,),)=0,#N/A,VLOOKUP(Table7[[#This Row],[Date]],Database!$A:$C,MATCH($C$1,Database!$A$1:$C$1,),))</f>
        <v/>
      </c>
      <c r="D2257">
        <f>IFERROR(Table7[[#This Row],[United States 10y]]-Table7[[#This Row],[United States 3y]],#N/A)</f>
        <v/>
      </c>
    </row>
    <row r="2258">
      <c r="A2258" s="6">
        <f>Database!$A4343</f>
        <v/>
      </c>
      <c r="B2258">
        <f>IF(VLOOKUP(Table7[[#This Row],[Date]],Database!$A:$C,MATCH($B$1,Database!$A$1:$C$1,),)=0,#N/A,VLOOKUP(Table7[[#This Row],[Date]],Database!$A:$C,MATCH($B$1,Database!$A$1:$C$1,),))</f>
        <v/>
      </c>
      <c r="C2258">
        <f>IF(VLOOKUP(Table7[[#This Row],[Date]],Database!$A:$C,MATCH($C$1,Database!$A$1:$C$1,),)=0,#N/A,VLOOKUP(Table7[[#This Row],[Date]],Database!$A:$C,MATCH($C$1,Database!$A$1:$C$1,),))</f>
        <v/>
      </c>
      <c r="D2258">
        <f>IFERROR(Table7[[#This Row],[United States 10y]]-Table7[[#This Row],[United States 3y]],#N/A)</f>
        <v/>
      </c>
    </row>
    <row r="2259">
      <c r="A2259" s="6">
        <f>Database!$A4344</f>
        <v/>
      </c>
      <c r="B2259">
        <f>IF(VLOOKUP(Table7[[#This Row],[Date]],Database!$A:$C,MATCH($B$1,Database!$A$1:$C$1,),)=0,#N/A,VLOOKUP(Table7[[#This Row],[Date]],Database!$A:$C,MATCH($B$1,Database!$A$1:$C$1,),))</f>
        <v/>
      </c>
      <c r="C2259">
        <f>IF(VLOOKUP(Table7[[#This Row],[Date]],Database!$A:$C,MATCH($C$1,Database!$A$1:$C$1,),)=0,#N/A,VLOOKUP(Table7[[#This Row],[Date]],Database!$A:$C,MATCH($C$1,Database!$A$1:$C$1,),))</f>
        <v/>
      </c>
      <c r="D2259">
        <f>IFERROR(Table7[[#This Row],[United States 10y]]-Table7[[#This Row],[United States 3y]],#N/A)</f>
        <v/>
      </c>
    </row>
    <row r="2260">
      <c r="A2260" s="6">
        <f>Database!$A4345</f>
        <v/>
      </c>
      <c r="B2260">
        <f>IF(VLOOKUP(Table7[[#This Row],[Date]],Database!$A:$C,MATCH($B$1,Database!$A$1:$C$1,),)=0,#N/A,VLOOKUP(Table7[[#This Row],[Date]],Database!$A:$C,MATCH($B$1,Database!$A$1:$C$1,),))</f>
        <v/>
      </c>
      <c r="C2260">
        <f>IF(VLOOKUP(Table7[[#This Row],[Date]],Database!$A:$C,MATCH($C$1,Database!$A$1:$C$1,),)=0,#N/A,VLOOKUP(Table7[[#This Row],[Date]],Database!$A:$C,MATCH($C$1,Database!$A$1:$C$1,),))</f>
        <v/>
      </c>
      <c r="D2260">
        <f>IFERROR(Table7[[#This Row],[United States 10y]]-Table7[[#This Row],[United States 3y]],#N/A)</f>
        <v/>
      </c>
    </row>
    <row r="2261">
      <c r="A2261" s="6">
        <f>Database!$A4346</f>
        <v/>
      </c>
      <c r="B2261">
        <f>IF(VLOOKUP(Table7[[#This Row],[Date]],Database!$A:$C,MATCH($B$1,Database!$A$1:$C$1,),)=0,#N/A,VLOOKUP(Table7[[#This Row],[Date]],Database!$A:$C,MATCH($B$1,Database!$A$1:$C$1,),))</f>
        <v/>
      </c>
      <c r="C2261">
        <f>IF(VLOOKUP(Table7[[#This Row],[Date]],Database!$A:$C,MATCH($C$1,Database!$A$1:$C$1,),)=0,#N/A,VLOOKUP(Table7[[#This Row],[Date]],Database!$A:$C,MATCH($C$1,Database!$A$1:$C$1,),))</f>
        <v/>
      </c>
      <c r="D2261">
        <f>IFERROR(Table7[[#This Row],[United States 10y]]-Table7[[#This Row],[United States 3y]],#N/A)</f>
        <v/>
      </c>
    </row>
    <row r="2262">
      <c r="A2262" s="6">
        <f>Database!$A4347</f>
        <v/>
      </c>
      <c r="B2262">
        <f>IF(VLOOKUP(Table7[[#This Row],[Date]],Database!$A:$C,MATCH($B$1,Database!$A$1:$C$1,),)=0,#N/A,VLOOKUP(Table7[[#This Row],[Date]],Database!$A:$C,MATCH($B$1,Database!$A$1:$C$1,),))</f>
        <v/>
      </c>
      <c r="C2262">
        <f>IF(VLOOKUP(Table7[[#This Row],[Date]],Database!$A:$C,MATCH($C$1,Database!$A$1:$C$1,),)=0,#N/A,VLOOKUP(Table7[[#This Row],[Date]],Database!$A:$C,MATCH($C$1,Database!$A$1:$C$1,),))</f>
        <v/>
      </c>
      <c r="D2262">
        <f>IFERROR(Table7[[#This Row],[United States 10y]]-Table7[[#This Row],[United States 3y]],#N/A)</f>
        <v/>
      </c>
    </row>
    <row r="2263">
      <c r="A2263" s="6">
        <f>Database!$A4348</f>
        <v/>
      </c>
      <c r="B2263">
        <f>IF(VLOOKUP(Table7[[#This Row],[Date]],Database!$A:$C,MATCH($B$1,Database!$A$1:$C$1,),)=0,#N/A,VLOOKUP(Table7[[#This Row],[Date]],Database!$A:$C,MATCH($B$1,Database!$A$1:$C$1,),))</f>
        <v/>
      </c>
      <c r="C2263">
        <f>IF(VLOOKUP(Table7[[#This Row],[Date]],Database!$A:$C,MATCH($C$1,Database!$A$1:$C$1,),)=0,#N/A,VLOOKUP(Table7[[#This Row],[Date]],Database!$A:$C,MATCH($C$1,Database!$A$1:$C$1,),))</f>
        <v/>
      </c>
      <c r="D2263">
        <f>IFERROR(Table7[[#This Row],[United States 10y]]-Table7[[#This Row],[United States 3y]],#N/A)</f>
        <v/>
      </c>
    </row>
    <row r="2264">
      <c r="A2264" s="6">
        <f>Database!$A4349</f>
        <v/>
      </c>
      <c r="B2264">
        <f>IF(VLOOKUP(Table7[[#This Row],[Date]],Database!$A:$C,MATCH($B$1,Database!$A$1:$C$1,),)=0,#N/A,VLOOKUP(Table7[[#This Row],[Date]],Database!$A:$C,MATCH($B$1,Database!$A$1:$C$1,),))</f>
        <v/>
      </c>
      <c r="C2264">
        <f>IF(VLOOKUP(Table7[[#This Row],[Date]],Database!$A:$C,MATCH($C$1,Database!$A$1:$C$1,),)=0,#N/A,VLOOKUP(Table7[[#This Row],[Date]],Database!$A:$C,MATCH($C$1,Database!$A$1:$C$1,),))</f>
        <v/>
      </c>
      <c r="D2264">
        <f>IFERROR(Table7[[#This Row],[United States 10y]]-Table7[[#This Row],[United States 3y]],#N/A)</f>
        <v/>
      </c>
    </row>
    <row r="2265">
      <c r="A2265" s="6">
        <f>Database!$A4350</f>
        <v/>
      </c>
      <c r="B2265">
        <f>IF(VLOOKUP(Table7[[#This Row],[Date]],Database!$A:$C,MATCH($B$1,Database!$A$1:$C$1,),)=0,#N/A,VLOOKUP(Table7[[#This Row],[Date]],Database!$A:$C,MATCH($B$1,Database!$A$1:$C$1,),))</f>
        <v/>
      </c>
      <c r="C2265">
        <f>IF(VLOOKUP(Table7[[#This Row],[Date]],Database!$A:$C,MATCH($C$1,Database!$A$1:$C$1,),)=0,#N/A,VLOOKUP(Table7[[#This Row],[Date]],Database!$A:$C,MATCH($C$1,Database!$A$1:$C$1,),))</f>
        <v/>
      </c>
      <c r="D2265">
        <f>IFERROR(Table7[[#This Row],[United States 10y]]-Table7[[#This Row],[United States 3y]],#N/A)</f>
        <v/>
      </c>
    </row>
    <row r="2266">
      <c r="A2266" s="6">
        <f>Database!$A4351</f>
        <v/>
      </c>
      <c r="B2266">
        <f>IF(VLOOKUP(Table7[[#This Row],[Date]],Database!$A:$C,MATCH($B$1,Database!$A$1:$C$1,),)=0,#N/A,VLOOKUP(Table7[[#This Row],[Date]],Database!$A:$C,MATCH($B$1,Database!$A$1:$C$1,),))</f>
        <v/>
      </c>
      <c r="C2266">
        <f>IF(VLOOKUP(Table7[[#This Row],[Date]],Database!$A:$C,MATCH($C$1,Database!$A$1:$C$1,),)=0,#N/A,VLOOKUP(Table7[[#This Row],[Date]],Database!$A:$C,MATCH($C$1,Database!$A$1:$C$1,),))</f>
        <v/>
      </c>
      <c r="D2266">
        <f>IFERROR(Table7[[#This Row],[United States 10y]]-Table7[[#This Row],[United States 3y]],#N/A)</f>
        <v/>
      </c>
    </row>
    <row r="2267">
      <c r="A2267" s="6">
        <f>Database!$A4352</f>
        <v/>
      </c>
      <c r="B2267">
        <f>IF(VLOOKUP(Table7[[#This Row],[Date]],Database!$A:$C,MATCH($B$1,Database!$A$1:$C$1,),)=0,#N/A,VLOOKUP(Table7[[#This Row],[Date]],Database!$A:$C,MATCH($B$1,Database!$A$1:$C$1,),))</f>
        <v/>
      </c>
      <c r="C2267">
        <f>IF(VLOOKUP(Table7[[#This Row],[Date]],Database!$A:$C,MATCH($C$1,Database!$A$1:$C$1,),)=0,#N/A,VLOOKUP(Table7[[#This Row],[Date]],Database!$A:$C,MATCH($C$1,Database!$A$1:$C$1,),))</f>
        <v/>
      </c>
      <c r="D2267">
        <f>IFERROR(Table7[[#This Row],[United States 10y]]-Table7[[#This Row],[United States 3y]],#N/A)</f>
        <v/>
      </c>
    </row>
    <row r="2268">
      <c r="A2268" s="6">
        <f>Database!$A4353</f>
        <v/>
      </c>
      <c r="B2268">
        <f>IF(VLOOKUP(Table7[[#This Row],[Date]],Database!$A:$C,MATCH($B$1,Database!$A$1:$C$1,),)=0,#N/A,VLOOKUP(Table7[[#This Row],[Date]],Database!$A:$C,MATCH($B$1,Database!$A$1:$C$1,),))</f>
        <v/>
      </c>
      <c r="C2268">
        <f>IF(VLOOKUP(Table7[[#This Row],[Date]],Database!$A:$C,MATCH($C$1,Database!$A$1:$C$1,),)=0,#N/A,VLOOKUP(Table7[[#This Row],[Date]],Database!$A:$C,MATCH($C$1,Database!$A$1:$C$1,),))</f>
        <v/>
      </c>
      <c r="D2268">
        <f>IFERROR(Table7[[#This Row],[United States 10y]]-Table7[[#This Row],[United States 3y]],#N/A)</f>
        <v/>
      </c>
    </row>
    <row r="2269">
      <c r="A2269" s="6">
        <f>Database!$A4354</f>
        <v/>
      </c>
      <c r="B2269">
        <f>IF(VLOOKUP(Table7[[#This Row],[Date]],Database!$A:$C,MATCH($B$1,Database!$A$1:$C$1,),)=0,#N/A,VLOOKUP(Table7[[#This Row],[Date]],Database!$A:$C,MATCH($B$1,Database!$A$1:$C$1,),))</f>
        <v/>
      </c>
      <c r="C2269">
        <f>IF(VLOOKUP(Table7[[#This Row],[Date]],Database!$A:$C,MATCH($C$1,Database!$A$1:$C$1,),)=0,#N/A,VLOOKUP(Table7[[#This Row],[Date]],Database!$A:$C,MATCH($C$1,Database!$A$1:$C$1,),))</f>
        <v/>
      </c>
      <c r="D2269">
        <f>IFERROR(Table7[[#This Row],[United States 10y]]-Table7[[#This Row],[United States 3y]],#N/A)</f>
        <v/>
      </c>
    </row>
    <row r="2270">
      <c r="A2270" s="6">
        <f>Database!$A4355</f>
        <v/>
      </c>
      <c r="B2270">
        <f>IF(VLOOKUP(Table7[[#This Row],[Date]],Database!$A:$C,MATCH($B$1,Database!$A$1:$C$1,),)=0,#N/A,VLOOKUP(Table7[[#This Row],[Date]],Database!$A:$C,MATCH($B$1,Database!$A$1:$C$1,),))</f>
        <v/>
      </c>
      <c r="C2270">
        <f>IF(VLOOKUP(Table7[[#This Row],[Date]],Database!$A:$C,MATCH($C$1,Database!$A$1:$C$1,),)=0,#N/A,VLOOKUP(Table7[[#This Row],[Date]],Database!$A:$C,MATCH($C$1,Database!$A$1:$C$1,),))</f>
        <v/>
      </c>
      <c r="D2270">
        <f>IFERROR(Table7[[#This Row],[United States 10y]]-Table7[[#This Row],[United States 3y]],#N/A)</f>
        <v/>
      </c>
    </row>
    <row r="2271">
      <c r="A2271" s="6">
        <f>Database!$A4356</f>
        <v/>
      </c>
      <c r="B2271">
        <f>IF(VLOOKUP(Table7[[#This Row],[Date]],Database!$A:$C,MATCH($B$1,Database!$A$1:$C$1,),)=0,#N/A,VLOOKUP(Table7[[#This Row],[Date]],Database!$A:$C,MATCH($B$1,Database!$A$1:$C$1,),))</f>
        <v/>
      </c>
      <c r="C2271">
        <f>IF(VLOOKUP(Table7[[#This Row],[Date]],Database!$A:$C,MATCH($C$1,Database!$A$1:$C$1,),)=0,#N/A,VLOOKUP(Table7[[#This Row],[Date]],Database!$A:$C,MATCH($C$1,Database!$A$1:$C$1,),))</f>
        <v/>
      </c>
      <c r="D2271">
        <f>IFERROR(Table7[[#This Row],[United States 10y]]-Table7[[#This Row],[United States 3y]],#N/A)</f>
        <v/>
      </c>
    </row>
    <row r="2272">
      <c r="A2272" s="6">
        <f>Database!$A4357</f>
        <v/>
      </c>
      <c r="B2272">
        <f>IF(VLOOKUP(Table7[[#This Row],[Date]],Database!$A:$C,MATCH($B$1,Database!$A$1:$C$1,),)=0,#N/A,VLOOKUP(Table7[[#This Row],[Date]],Database!$A:$C,MATCH($B$1,Database!$A$1:$C$1,),))</f>
        <v/>
      </c>
      <c r="C2272">
        <f>IF(VLOOKUP(Table7[[#This Row],[Date]],Database!$A:$C,MATCH($C$1,Database!$A$1:$C$1,),)=0,#N/A,VLOOKUP(Table7[[#This Row],[Date]],Database!$A:$C,MATCH($C$1,Database!$A$1:$C$1,),))</f>
        <v/>
      </c>
      <c r="D2272">
        <f>IFERROR(Table7[[#This Row],[United States 10y]]-Table7[[#This Row],[United States 3y]],#N/A)</f>
        <v/>
      </c>
    </row>
    <row r="2273">
      <c r="A2273" s="6">
        <f>Database!$A4358</f>
        <v/>
      </c>
      <c r="B2273">
        <f>IF(VLOOKUP(Table7[[#This Row],[Date]],Database!$A:$C,MATCH($B$1,Database!$A$1:$C$1,),)=0,#N/A,VLOOKUP(Table7[[#This Row],[Date]],Database!$A:$C,MATCH($B$1,Database!$A$1:$C$1,),))</f>
        <v/>
      </c>
      <c r="C2273">
        <f>IF(VLOOKUP(Table7[[#This Row],[Date]],Database!$A:$C,MATCH($C$1,Database!$A$1:$C$1,),)=0,#N/A,VLOOKUP(Table7[[#This Row],[Date]],Database!$A:$C,MATCH($C$1,Database!$A$1:$C$1,),))</f>
        <v/>
      </c>
      <c r="D2273">
        <f>IFERROR(Table7[[#This Row],[United States 10y]]-Table7[[#This Row],[United States 3y]],#N/A)</f>
        <v/>
      </c>
    </row>
    <row r="2274">
      <c r="A2274" s="6">
        <f>Database!$A4359</f>
        <v/>
      </c>
      <c r="B2274">
        <f>IF(VLOOKUP(Table7[[#This Row],[Date]],Database!$A:$C,MATCH($B$1,Database!$A$1:$C$1,),)=0,#N/A,VLOOKUP(Table7[[#This Row],[Date]],Database!$A:$C,MATCH($B$1,Database!$A$1:$C$1,),))</f>
        <v/>
      </c>
      <c r="C2274">
        <f>IF(VLOOKUP(Table7[[#This Row],[Date]],Database!$A:$C,MATCH($C$1,Database!$A$1:$C$1,),)=0,#N/A,VLOOKUP(Table7[[#This Row],[Date]],Database!$A:$C,MATCH($C$1,Database!$A$1:$C$1,),))</f>
        <v/>
      </c>
      <c r="D2274">
        <f>IFERROR(Table7[[#This Row],[United States 10y]]-Table7[[#This Row],[United States 3y]],#N/A)</f>
        <v/>
      </c>
    </row>
    <row r="2275">
      <c r="A2275" s="6">
        <f>Database!$A4360</f>
        <v/>
      </c>
      <c r="B2275">
        <f>IF(VLOOKUP(Table7[[#This Row],[Date]],Database!$A:$C,MATCH($B$1,Database!$A$1:$C$1,),)=0,#N/A,VLOOKUP(Table7[[#This Row],[Date]],Database!$A:$C,MATCH($B$1,Database!$A$1:$C$1,),))</f>
        <v/>
      </c>
      <c r="C2275">
        <f>IF(VLOOKUP(Table7[[#This Row],[Date]],Database!$A:$C,MATCH($C$1,Database!$A$1:$C$1,),)=0,#N/A,VLOOKUP(Table7[[#This Row],[Date]],Database!$A:$C,MATCH($C$1,Database!$A$1:$C$1,),))</f>
        <v/>
      </c>
      <c r="D2275">
        <f>IFERROR(Table7[[#This Row],[United States 10y]]-Table7[[#This Row],[United States 3y]],#N/A)</f>
        <v/>
      </c>
    </row>
    <row r="2276">
      <c r="A2276" s="6">
        <f>Database!$A4361</f>
        <v/>
      </c>
      <c r="B2276">
        <f>IF(VLOOKUP(Table7[[#This Row],[Date]],Database!$A:$C,MATCH($B$1,Database!$A$1:$C$1,),)=0,#N/A,VLOOKUP(Table7[[#This Row],[Date]],Database!$A:$C,MATCH($B$1,Database!$A$1:$C$1,),))</f>
        <v/>
      </c>
      <c r="C2276">
        <f>IF(VLOOKUP(Table7[[#This Row],[Date]],Database!$A:$C,MATCH($C$1,Database!$A$1:$C$1,),)=0,#N/A,VLOOKUP(Table7[[#This Row],[Date]],Database!$A:$C,MATCH($C$1,Database!$A$1:$C$1,),))</f>
        <v/>
      </c>
      <c r="D2276">
        <f>IFERROR(Table7[[#This Row],[United States 10y]]-Table7[[#This Row],[United States 3y]],#N/A)</f>
        <v/>
      </c>
    </row>
    <row r="2277">
      <c r="A2277" s="6">
        <f>Database!$A4362</f>
        <v/>
      </c>
      <c r="B2277">
        <f>IF(VLOOKUP(Table7[[#This Row],[Date]],Database!$A:$C,MATCH($B$1,Database!$A$1:$C$1,),)=0,#N/A,VLOOKUP(Table7[[#This Row],[Date]],Database!$A:$C,MATCH($B$1,Database!$A$1:$C$1,),))</f>
        <v/>
      </c>
      <c r="C2277">
        <f>IF(VLOOKUP(Table7[[#This Row],[Date]],Database!$A:$C,MATCH($C$1,Database!$A$1:$C$1,),)=0,#N/A,VLOOKUP(Table7[[#This Row],[Date]],Database!$A:$C,MATCH($C$1,Database!$A$1:$C$1,),))</f>
        <v/>
      </c>
      <c r="D2277">
        <f>IFERROR(Table7[[#This Row],[United States 10y]]-Table7[[#This Row],[United States 3y]],#N/A)</f>
        <v/>
      </c>
    </row>
    <row r="2278">
      <c r="A2278" s="6">
        <f>Database!$A4363</f>
        <v/>
      </c>
      <c r="B2278">
        <f>IF(VLOOKUP(Table7[[#This Row],[Date]],Database!$A:$C,MATCH($B$1,Database!$A$1:$C$1,),)=0,#N/A,VLOOKUP(Table7[[#This Row],[Date]],Database!$A:$C,MATCH($B$1,Database!$A$1:$C$1,),))</f>
        <v/>
      </c>
      <c r="C2278">
        <f>IF(VLOOKUP(Table7[[#This Row],[Date]],Database!$A:$C,MATCH($C$1,Database!$A$1:$C$1,),)=0,#N/A,VLOOKUP(Table7[[#This Row],[Date]],Database!$A:$C,MATCH($C$1,Database!$A$1:$C$1,),))</f>
        <v/>
      </c>
      <c r="D2278">
        <f>IFERROR(Table7[[#This Row],[United States 10y]]-Table7[[#This Row],[United States 3y]],#N/A)</f>
        <v/>
      </c>
    </row>
    <row r="2279">
      <c r="A2279" s="6">
        <f>Database!$A4364</f>
        <v/>
      </c>
      <c r="B2279">
        <f>IF(VLOOKUP(Table7[[#This Row],[Date]],Database!$A:$C,MATCH($B$1,Database!$A$1:$C$1,),)=0,#N/A,VLOOKUP(Table7[[#This Row],[Date]],Database!$A:$C,MATCH($B$1,Database!$A$1:$C$1,),))</f>
        <v/>
      </c>
      <c r="C2279">
        <f>IF(VLOOKUP(Table7[[#This Row],[Date]],Database!$A:$C,MATCH($C$1,Database!$A$1:$C$1,),)=0,#N/A,VLOOKUP(Table7[[#This Row],[Date]],Database!$A:$C,MATCH($C$1,Database!$A$1:$C$1,),))</f>
        <v/>
      </c>
      <c r="D2279">
        <f>IFERROR(Table7[[#This Row],[United States 10y]]-Table7[[#This Row],[United States 3y]],#N/A)</f>
        <v/>
      </c>
    </row>
    <row r="2280">
      <c r="A2280" s="6">
        <f>Database!$A4365</f>
        <v/>
      </c>
      <c r="B2280">
        <f>IF(VLOOKUP(Table7[[#This Row],[Date]],Database!$A:$C,MATCH($B$1,Database!$A$1:$C$1,),)=0,#N/A,VLOOKUP(Table7[[#This Row],[Date]],Database!$A:$C,MATCH($B$1,Database!$A$1:$C$1,),))</f>
        <v/>
      </c>
      <c r="C2280">
        <f>IF(VLOOKUP(Table7[[#This Row],[Date]],Database!$A:$C,MATCH($C$1,Database!$A$1:$C$1,),)=0,#N/A,VLOOKUP(Table7[[#This Row],[Date]],Database!$A:$C,MATCH($C$1,Database!$A$1:$C$1,),))</f>
        <v/>
      </c>
      <c r="D2280">
        <f>IFERROR(Table7[[#This Row],[United States 10y]]-Table7[[#This Row],[United States 3y]],#N/A)</f>
        <v/>
      </c>
    </row>
    <row r="2281">
      <c r="A2281" s="6">
        <f>Database!$A4366</f>
        <v/>
      </c>
      <c r="B2281">
        <f>IF(VLOOKUP(Table7[[#This Row],[Date]],Database!$A:$C,MATCH($B$1,Database!$A$1:$C$1,),)=0,#N/A,VLOOKUP(Table7[[#This Row],[Date]],Database!$A:$C,MATCH($B$1,Database!$A$1:$C$1,),))</f>
        <v/>
      </c>
      <c r="C2281">
        <f>IF(VLOOKUP(Table7[[#This Row],[Date]],Database!$A:$C,MATCH($C$1,Database!$A$1:$C$1,),)=0,#N/A,VLOOKUP(Table7[[#This Row],[Date]],Database!$A:$C,MATCH($C$1,Database!$A$1:$C$1,),))</f>
        <v/>
      </c>
      <c r="D2281">
        <f>IFERROR(Table7[[#This Row],[United States 10y]]-Table7[[#This Row],[United States 3y]],#N/A)</f>
        <v/>
      </c>
    </row>
    <row r="2282">
      <c r="A2282" s="6">
        <f>Database!$A4367</f>
        <v/>
      </c>
      <c r="B2282">
        <f>IF(VLOOKUP(Table7[[#This Row],[Date]],Database!$A:$C,MATCH($B$1,Database!$A$1:$C$1,),)=0,#N/A,VLOOKUP(Table7[[#This Row],[Date]],Database!$A:$C,MATCH($B$1,Database!$A$1:$C$1,),))</f>
        <v/>
      </c>
      <c r="C2282">
        <f>IF(VLOOKUP(Table7[[#This Row],[Date]],Database!$A:$C,MATCH($C$1,Database!$A$1:$C$1,),)=0,#N/A,VLOOKUP(Table7[[#This Row],[Date]],Database!$A:$C,MATCH($C$1,Database!$A$1:$C$1,),))</f>
        <v/>
      </c>
      <c r="D2282">
        <f>IFERROR(Table7[[#This Row],[United States 10y]]-Table7[[#This Row],[United States 3y]],#N/A)</f>
        <v/>
      </c>
    </row>
    <row r="2283">
      <c r="A2283" s="6">
        <f>Database!$A4368</f>
        <v/>
      </c>
      <c r="B2283">
        <f>IF(VLOOKUP(Table7[[#This Row],[Date]],Database!$A:$C,MATCH($B$1,Database!$A$1:$C$1,),)=0,#N/A,VLOOKUP(Table7[[#This Row],[Date]],Database!$A:$C,MATCH($B$1,Database!$A$1:$C$1,),))</f>
        <v/>
      </c>
      <c r="C2283">
        <f>IF(VLOOKUP(Table7[[#This Row],[Date]],Database!$A:$C,MATCH($C$1,Database!$A$1:$C$1,),)=0,#N/A,VLOOKUP(Table7[[#This Row],[Date]],Database!$A:$C,MATCH($C$1,Database!$A$1:$C$1,),))</f>
        <v/>
      </c>
      <c r="D2283">
        <f>IFERROR(Table7[[#This Row],[United States 10y]]-Table7[[#This Row],[United States 3y]],#N/A)</f>
        <v/>
      </c>
    </row>
    <row r="2284">
      <c r="A2284" s="6">
        <f>Database!$A4369</f>
        <v/>
      </c>
      <c r="B2284">
        <f>IF(VLOOKUP(Table7[[#This Row],[Date]],Database!$A:$C,MATCH($B$1,Database!$A$1:$C$1,),)=0,#N/A,VLOOKUP(Table7[[#This Row],[Date]],Database!$A:$C,MATCH($B$1,Database!$A$1:$C$1,),))</f>
        <v/>
      </c>
      <c r="C2284">
        <f>IF(VLOOKUP(Table7[[#This Row],[Date]],Database!$A:$C,MATCH($C$1,Database!$A$1:$C$1,),)=0,#N/A,VLOOKUP(Table7[[#This Row],[Date]],Database!$A:$C,MATCH($C$1,Database!$A$1:$C$1,),))</f>
        <v/>
      </c>
      <c r="D2284">
        <f>IFERROR(Table7[[#This Row],[United States 10y]]-Table7[[#This Row],[United States 3y]],#N/A)</f>
        <v/>
      </c>
    </row>
    <row r="2285">
      <c r="A2285" s="6">
        <f>Database!$A4370</f>
        <v/>
      </c>
      <c r="B2285">
        <f>IF(VLOOKUP(Table7[[#This Row],[Date]],Database!$A:$C,MATCH($B$1,Database!$A$1:$C$1,),)=0,#N/A,VLOOKUP(Table7[[#This Row],[Date]],Database!$A:$C,MATCH($B$1,Database!$A$1:$C$1,),))</f>
        <v/>
      </c>
      <c r="C2285">
        <f>IF(VLOOKUP(Table7[[#This Row],[Date]],Database!$A:$C,MATCH($C$1,Database!$A$1:$C$1,),)=0,#N/A,VLOOKUP(Table7[[#This Row],[Date]],Database!$A:$C,MATCH($C$1,Database!$A$1:$C$1,),))</f>
        <v/>
      </c>
      <c r="D2285">
        <f>IFERROR(Table7[[#This Row],[United States 10y]]-Table7[[#This Row],[United States 3y]],#N/A)</f>
        <v/>
      </c>
    </row>
    <row r="2286">
      <c r="A2286" s="6">
        <f>Database!$A4371</f>
        <v/>
      </c>
      <c r="B2286">
        <f>IF(VLOOKUP(Table7[[#This Row],[Date]],Database!$A:$C,MATCH($B$1,Database!$A$1:$C$1,),)=0,#N/A,VLOOKUP(Table7[[#This Row],[Date]],Database!$A:$C,MATCH($B$1,Database!$A$1:$C$1,),))</f>
        <v/>
      </c>
      <c r="C2286">
        <f>IF(VLOOKUP(Table7[[#This Row],[Date]],Database!$A:$C,MATCH($C$1,Database!$A$1:$C$1,),)=0,#N/A,VLOOKUP(Table7[[#This Row],[Date]],Database!$A:$C,MATCH($C$1,Database!$A$1:$C$1,),))</f>
        <v/>
      </c>
      <c r="D2286">
        <f>IFERROR(Table7[[#This Row],[United States 10y]]-Table7[[#This Row],[United States 3y]],#N/A)</f>
        <v/>
      </c>
    </row>
    <row r="2287">
      <c r="A2287" s="6">
        <f>Database!$A4372</f>
        <v/>
      </c>
      <c r="B2287">
        <f>IF(VLOOKUP(Table7[[#This Row],[Date]],Database!$A:$C,MATCH($B$1,Database!$A$1:$C$1,),)=0,#N/A,VLOOKUP(Table7[[#This Row],[Date]],Database!$A:$C,MATCH($B$1,Database!$A$1:$C$1,),))</f>
        <v/>
      </c>
      <c r="C2287">
        <f>IF(VLOOKUP(Table7[[#This Row],[Date]],Database!$A:$C,MATCH($C$1,Database!$A$1:$C$1,),)=0,#N/A,VLOOKUP(Table7[[#This Row],[Date]],Database!$A:$C,MATCH($C$1,Database!$A$1:$C$1,),))</f>
        <v/>
      </c>
      <c r="D2287">
        <f>IFERROR(Table7[[#This Row],[United States 10y]]-Table7[[#This Row],[United States 3y]],#N/A)</f>
        <v/>
      </c>
    </row>
    <row r="2288">
      <c r="A2288" s="6">
        <f>Database!$A4373</f>
        <v/>
      </c>
      <c r="B2288">
        <f>IF(VLOOKUP(Table7[[#This Row],[Date]],Database!$A:$C,MATCH($B$1,Database!$A$1:$C$1,),)=0,#N/A,VLOOKUP(Table7[[#This Row],[Date]],Database!$A:$C,MATCH($B$1,Database!$A$1:$C$1,),))</f>
        <v/>
      </c>
      <c r="C2288">
        <f>IF(VLOOKUP(Table7[[#This Row],[Date]],Database!$A:$C,MATCH($C$1,Database!$A$1:$C$1,),)=0,#N/A,VLOOKUP(Table7[[#This Row],[Date]],Database!$A:$C,MATCH($C$1,Database!$A$1:$C$1,),))</f>
        <v/>
      </c>
      <c r="D2288">
        <f>IFERROR(Table7[[#This Row],[United States 10y]]-Table7[[#This Row],[United States 3y]],#N/A)</f>
        <v/>
      </c>
    </row>
    <row r="2289">
      <c r="A2289" s="6">
        <f>Database!$A4374</f>
        <v/>
      </c>
      <c r="B2289">
        <f>IF(VLOOKUP(Table7[[#This Row],[Date]],Database!$A:$C,MATCH($B$1,Database!$A$1:$C$1,),)=0,#N/A,VLOOKUP(Table7[[#This Row],[Date]],Database!$A:$C,MATCH($B$1,Database!$A$1:$C$1,),))</f>
        <v/>
      </c>
      <c r="C2289">
        <f>IF(VLOOKUP(Table7[[#This Row],[Date]],Database!$A:$C,MATCH($C$1,Database!$A$1:$C$1,),)=0,#N/A,VLOOKUP(Table7[[#This Row],[Date]],Database!$A:$C,MATCH($C$1,Database!$A$1:$C$1,),))</f>
        <v/>
      </c>
      <c r="D2289">
        <f>IFERROR(Table7[[#This Row],[United States 10y]]-Table7[[#This Row],[United States 3y]],#N/A)</f>
        <v/>
      </c>
    </row>
    <row r="2290">
      <c r="A2290" s="6">
        <f>Database!$A4375</f>
        <v/>
      </c>
      <c r="B2290">
        <f>IF(VLOOKUP(Table7[[#This Row],[Date]],Database!$A:$C,MATCH($B$1,Database!$A$1:$C$1,),)=0,#N/A,VLOOKUP(Table7[[#This Row],[Date]],Database!$A:$C,MATCH($B$1,Database!$A$1:$C$1,),))</f>
        <v/>
      </c>
      <c r="C2290">
        <f>IF(VLOOKUP(Table7[[#This Row],[Date]],Database!$A:$C,MATCH($C$1,Database!$A$1:$C$1,),)=0,#N/A,VLOOKUP(Table7[[#This Row],[Date]],Database!$A:$C,MATCH($C$1,Database!$A$1:$C$1,),))</f>
        <v/>
      </c>
      <c r="D2290">
        <f>IFERROR(Table7[[#This Row],[United States 10y]]-Table7[[#This Row],[United States 3y]],#N/A)</f>
        <v/>
      </c>
    </row>
    <row r="2291">
      <c r="A2291" s="6">
        <f>Database!$A4376</f>
        <v/>
      </c>
      <c r="B2291">
        <f>IF(VLOOKUP(Table7[[#This Row],[Date]],Database!$A:$C,MATCH($B$1,Database!$A$1:$C$1,),)=0,#N/A,VLOOKUP(Table7[[#This Row],[Date]],Database!$A:$C,MATCH($B$1,Database!$A$1:$C$1,),))</f>
        <v/>
      </c>
      <c r="C2291">
        <f>IF(VLOOKUP(Table7[[#This Row],[Date]],Database!$A:$C,MATCH($C$1,Database!$A$1:$C$1,),)=0,#N/A,VLOOKUP(Table7[[#This Row],[Date]],Database!$A:$C,MATCH($C$1,Database!$A$1:$C$1,),))</f>
        <v/>
      </c>
      <c r="D2291">
        <f>IFERROR(Table7[[#This Row],[United States 10y]]-Table7[[#This Row],[United States 3y]],#N/A)</f>
        <v/>
      </c>
    </row>
    <row r="2292">
      <c r="A2292" s="6">
        <f>Database!$A4377</f>
        <v/>
      </c>
      <c r="B2292">
        <f>IF(VLOOKUP(Table7[[#This Row],[Date]],Database!$A:$C,MATCH($B$1,Database!$A$1:$C$1,),)=0,#N/A,VLOOKUP(Table7[[#This Row],[Date]],Database!$A:$C,MATCH($B$1,Database!$A$1:$C$1,),))</f>
        <v/>
      </c>
      <c r="C2292">
        <f>IF(VLOOKUP(Table7[[#This Row],[Date]],Database!$A:$C,MATCH($C$1,Database!$A$1:$C$1,),)=0,#N/A,VLOOKUP(Table7[[#This Row],[Date]],Database!$A:$C,MATCH($C$1,Database!$A$1:$C$1,),))</f>
        <v/>
      </c>
      <c r="D2292">
        <f>IFERROR(Table7[[#This Row],[United States 10y]]-Table7[[#This Row],[United States 3y]],#N/A)</f>
        <v/>
      </c>
    </row>
    <row r="2293">
      <c r="A2293" s="6">
        <f>Database!$A4378</f>
        <v/>
      </c>
      <c r="B2293">
        <f>IF(VLOOKUP(Table7[[#This Row],[Date]],Database!$A:$C,MATCH($B$1,Database!$A$1:$C$1,),)=0,#N/A,VLOOKUP(Table7[[#This Row],[Date]],Database!$A:$C,MATCH($B$1,Database!$A$1:$C$1,),))</f>
        <v/>
      </c>
      <c r="C2293">
        <f>IF(VLOOKUP(Table7[[#This Row],[Date]],Database!$A:$C,MATCH($C$1,Database!$A$1:$C$1,),)=0,#N/A,VLOOKUP(Table7[[#This Row],[Date]],Database!$A:$C,MATCH($C$1,Database!$A$1:$C$1,),))</f>
        <v/>
      </c>
      <c r="D2293">
        <f>IFERROR(Table7[[#This Row],[United States 10y]]-Table7[[#This Row],[United States 3y]],#N/A)</f>
        <v/>
      </c>
    </row>
    <row r="2294">
      <c r="A2294" s="6">
        <f>Database!$A4379</f>
        <v/>
      </c>
      <c r="B2294">
        <f>IF(VLOOKUP(Table7[[#This Row],[Date]],Database!$A:$C,MATCH($B$1,Database!$A$1:$C$1,),)=0,#N/A,VLOOKUP(Table7[[#This Row],[Date]],Database!$A:$C,MATCH($B$1,Database!$A$1:$C$1,),))</f>
        <v/>
      </c>
      <c r="C2294">
        <f>IF(VLOOKUP(Table7[[#This Row],[Date]],Database!$A:$C,MATCH($C$1,Database!$A$1:$C$1,),)=0,#N/A,VLOOKUP(Table7[[#This Row],[Date]],Database!$A:$C,MATCH($C$1,Database!$A$1:$C$1,),))</f>
        <v/>
      </c>
      <c r="D2294">
        <f>IFERROR(Table7[[#This Row],[United States 10y]]-Table7[[#This Row],[United States 3y]],#N/A)</f>
        <v/>
      </c>
    </row>
    <row r="2295">
      <c r="A2295" s="6">
        <f>Database!$A4380</f>
        <v/>
      </c>
      <c r="B2295">
        <f>IF(VLOOKUP(Table7[[#This Row],[Date]],Database!$A:$C,MATCH($B$1,Database!$A$1:$C$1,),)=0,#N/A,VLOOKUP(Table7[[#This Row],[Date]],Database!$A:$C,MATCH($B$1,Database!$A$1:$C$1,),))</f>
        <v/>
      </c>
      <c r="C2295">
        <f>IF(VLOOKUP(Table7[[#This Row],[Date]],Database!$A:$C,MATCH($C$1,Database!$A$1:$C$1,),)=0,#N/A,VLOOKUP(Table7[[#This Row],[Date]],Database!$A:$C,MATCH($C$1,Database!$A$1:$C$1,),))</f>
        <v/>
      </c>
      <c r="D2295">
        <f>IFERROR(Table7[[#This Row],[United States 10y]]-Table7[[#This Row],[United States 3y]],#N/A)</f>
        <v/>
      </c>
    </row>
    <row r="2296">
      <c r="A2296" s="6">
        <f>Database!$A4381</f>
        <v/>
      </c>
      <c r="B2296">
        <f>IF(VLOOKUP(Table7[[#This Row],[Date]],Database!$A:$C,MATCH($B$1,Database!$A$1:$C$1,),)=0,#N/A,VLOOKUP(Table7[[#This Row],[Date]],Database!$A:$C,MATCH($B$1,Database!$A$1:$C$1,),))</f>
        <v/>
      </c>
      <c r="C2296">
        <f>IF(VLOOKUP(Table7[[#This Row],[Date]],Database!$A:$C,MATCH($C$1,Database!$A$1:$C$1,),)=0,#N/A,VLOOKUP(Table7[[#This Row],[Date]],Database!$A:$C,MATCH($C$1,Database!$A$1:$C$1,),))</f>
        <v/>
      </c>
      <c r="D2296">
        <f>IFERROR(Table7[[#This Row],[United States 10y]]-Table7[[#This Row],[United States 3y]],#N/A)</f>
        <v/>
      </c>
    </row>
    <row r="2297">
      <c r="A2297" s="6">
        <f>Database!$A4382</f>
        <v/>
      </c>
      <c r="B2297">
        <f>IF(VLOOKUP(Table7[[#This Row],[Date]],Database!$A:$C,MATCH($B$1,Database!$A$1:$C$1,),)=0,#N/A,VLOOKUP(Table7[[#This Row],[Date]],Database!$A:$C,MATCH($B$1,Database!$A$1:$C$1,),))</f>
        <v/>
      </c>
      <c r="C2297">
        <f>IF(VLOOKUP(Table7[[#This Row],[Date]],Database!$A:$C,MATCH($C$1,Database!$A$1:$C$1,),)=0,#N/A,VLOOKUP(Table7[[#This Row],[Date]],Database!$A:$C,MATCH($C$1,Database!$A$1:$C$1,),))</f>
        <v/>
      </c>
      <c r="D2297">
        <f>IFERROR(Table7[[#This Row],[United States 10y]]-Table7[[#This Row],[United States 3y]],#N/A)</f>
        <v/>
      </c>
    </row>
    <row r="2298">
      <c r="A2298" s="6">
        <f>Database!$A4383</f>
        <v/>
      </c>
      <c r="B2298">
        <f>IF(VLOOKUP(Table7[[#This Row],[Date]],Database!$A:$C,MATCH($B$1,Database!$A$1:$C$1,),)=0,#N/A,VLOOKUP(Table7[[#This Row],[Date]],Database!$A:$C,MATCH($B$1,Database!$A$1:$C$1,),))</f>
        <v/>
      </c>
      <c r="C2298">
        <f>IF(VLOOKUP(Table7[[#This Row],[Date]],Database!$A:$C,MATCH($C$1,Database!$A$1:$C$1,),)=0,#N/A,VLOOKUP(Table7[[#This Row],[Date]],Database!$A:$C,MATCH($C$1,Database!$A$1:$C$1,),))</f>
        <v/>
      </c>
      <c r="D2298">
        <f>IFERROR(Table7[[#This Row],[United States 10y]]-Table7[[#This Row],[United States 3y]],#N/A)</f>
        <v/>
      </c>
    </row>
    <row r="2299">
      <c r="A2299" s="6">
        <f>Database!$A4384</f>
        <v/>
      </c>
      <c r="B2299">
        <f>IF(VLOOKUP(Table7[[#This Row],[Date]],Database!$A:$C,MATCH($B$1,Database!$A$1:$C$1,),)=0,#N/A,VLOOKUP(Table7[[#This Row],[Date]],Database!$A:$C,MATCH($B$1,Database!$A$1:$C$1,),))</f>
        <v/>
      </c>
      <c r="C2299">
        <f>IF(VLOOKUP(Table7[[#This Row],[Date]],Database!$A:$C,MATCH($C$1,Database!$A$1:$C$1,),)=0,#N/A,VLOOKUP(Table7[[#This Row],[Date]],Database!$A:$C,MATCH($C$1,Database!$A$1:$C$1,),))</f>
        <v/>
      </c>
      <c r="D2299">
        <f>IFERROR(Table7[[#This Row],[United States 10y]]-Table7[[#This Row],[United States 3y]],#N/A)</f>
        <v/>
      </c>
    </row>
    <row r="2300">
      <c r="A2300" s="6">
        <f>Database!$A4385</f>
        <v/>
      </c>
      <c r="B2300">
        <f>IF(VLOOKUP(Table7[[#This Row],[Date]],Database!$A:$C,MATCH($B$1,Database!$A$1:$C$1,),)=0,#N/A,VLOOKUP(Table7[[#This Row],[Date]],Database!$A:$C,MATCH($B$1,Database!$A$1:$C$1,),))</f>
        <v/>
      </c>
      <c r="C2300">
        <f>IF(VLOOKUP(Table7[[#This Row],[Date]],Database!$A:$C,MATCH($C$1,Database!$A$1:$C$1,),)=0,#N/A,VLOOKUP(Table7[[#This Row],[Date]],Database!$A:$C,MATCH($C$1,Database!$A$1:$C$1,),))</f>
        <v/>
      </c>
      <c r="D2300">
        <f>IFERROR(Table7[[#This Row],[United States 10y]]-Table7[[#This Row],[United States 3y]],#N/A)</f>
        <v/>
      </c>
    </row>
    <row r="2301">
      <c r="A2301" s="6">
        <f>Database!$A4386</f>
        <v/>
      </c>
      <c r="B2301">
        <f>IF(VLOOKUP(Table7[[#This Row],[Date]],Database!$A:$C,MATCH($B$1,Database!$A$1:$C$1,),)=0,#N/A,VLOOKUP(Table7[[#This Row],[Date]],Database!$A:$C,MATCH($B$1,Database!$A$1:$C$1,),))</f>
        <v/>
      </c>
      <c r="C2301">
        <f>IF(VLOOKUP(Table7[[#This Row],[Date]],Database!$A:$C,MATCH($C$1,Database!$A$1:$C$1,),)=0,#N/A,VLOOKUP(Table7[[#This Row],[Date]],Database!$A:$C,MATCH($C$1,Database!$A$1:$C$1,),))</f>
        <v/>
      </c>
      <c r="D2301">
        <f>IFERROR(Table7[[#This Row],[United States 10y]]-Table7[[#This Row],[United States 3y]],#N/A)</f>
        <v/>
      </c>
    </row>
    <row r="2302">
      <c r="A2302" s="6">
        <f>Database!$A4387</f>
        <v/>
      </c>
      <c r="B2302">
        <f>IF(VLOOKUP(Table7[[#This Row],[Date]],Database!$A:$C,MATCH($B$1,Database!$A$1:$C$1,),)=0,#N/A,VLOOKUP(Table7[[#This Row],[Date]],Database!$A:$C,MATCH($B$1,Database!$A$1:$C$1,),))</f>
        <v/>
      </c>
      <c r="C2302">
        <f>IF(VLOOKUP(Table7[[#This Row],[Date]],Database!$A:$C,MATCH($C$1,Database!$A$1:$C$1,),)=0,#N/A,VLOOKUP(Table7[[#This Row],[Date]],Database!$A:$C,MATCH($C$1,Database!$A$1:$C$1,),))</f>
        <v/>
      </c>
      <c r="D2302">
        <f>IFERROR(Table7[[#This Row],[United States 10y]]-Table7[[#This Row],[United States 3y]],#N/A)</f>
        <v/>
      </c>
    </row>
    <row r="2303">
      <c r="A2303" s="6">
        <f>Database!$A4388</f>
        <v/>
      </c>
      <c r="B2303">
        <f>IF(VLOOKUP(Table7[[#This Row],[Date]],Database!$A:$C,MATCH($B$1,Database!$A$1:$C$1,),)=0,#N/A,VLOOKUP(Table7[[#This Row],[Date]],Database!$A:$C,MATCH($B$1,Database!$A$1:$C$1,),))</f>
        <v/>
      </c>
      <c r="C2303">
        <f>IF(VLOOKUP(Table7[[#This Row],[Date]],Database!$A:$C,MATCH($C$1,Database!$A$1:$C$1,),)=0,#N/A,VLOOKUP(Table7[[#This Row],[Date]],Database!$A:$C,MATCH($C$1,Database!$A$1:$C$1,),))</f>
        <v/>
      </c>
      <c r="D2303">
        <f>IFERROR(Table7[[#This Row],[United States 10y]]-Table7[[#This Row],[United States 3y]],#N/A)</f>
        <v/>
      </c>
    </row>
    <row r="2304">
      <c r="A2304" s="6">
        <f>Database!$A4389</f>
        <v/>
      </c>
      <c r="B2304">
        <f>IF(VLOOKUP(Table7[[#This Row],[Date]],Database!$A:$C,MATCH($B$1,Database!$A$1:$C$1,),)=0,#N/A,VLOOKUP(Table7[[#This Row],[Date]],Database!$A:$C,MATCH($B$1,Database!$A$1:$C$1,),))</f>
        <v/>
      </c>
      <c r="C2304">
        <f>IF(VLOOKUP(Table7[[#This Row],[Date]],Database!$A:$C,MATCH($C$1,Database!$A$1:$C$1,),)=0,#N/A,VLOOKUP(Table7[[#This Row],[Date]],Database!$A:$C,MATCH($C$1,Database!$A$1:$C$1,),))</f>
        <v/>
      </c>
      <c r="D2304">
        <f>IFERROR(Table7[[#This Row],[United States 10y]]-Table7[[#This Row],[United States 3y]],#N/A)</f>
        <v/>
      </c>
    </row>
    <row r="2305">
      <c r="A2305" s="6">
        <f>Database!$A4390</f>
        <v/>
      </c>
      <c r="B2305">
        <f>IF(VLOOKUP(Table7[[#This Row],[Date]],Database!$A:$C,MATCH($B$1,Database!$A$1:$C$1,),)=0,#N/A,VLOOKUP(Table7[[#This Row],[Date]],Database!$A:$C,MATCH($B$1,Database!$A$1:$C$1,),))</f>
        <v/>
      </c>
      <c r="C2305">
        <f>IF(VLOOKUP(Table7[[#This Row],[Date]],Database!$A:$C,MATCH($C$1,Database!$A$1:$C$1,),)=0,#N/A,VLOOKUP(Table7[[#This Row],[Date]],Database!$A:$C,MATCH($C$1,Database!$A$1:$C$1,),))</f>
        <v/>
      </c>
      <c r="D2305">
        <f>IFERROR(Table7[[#This Row],[United States 10y]]-Table7[[#This Row],[United States 3y]],#N/A)</f>
        <v/>
      </c>
    </row>
    <row r="2306">
      <c r="A2306" s="6">
        <f>Database!$A4391</f>
        <v/>
      </c>
      <c r="B2306">
        <f>IF(VLOOKUP(Table7[[#This Row],[Date]],Database!$A:$C,MATCH($B$1,Database!$A$1:$C$1,),)=0,#N/A,VLOOKUP(Table7[[#This Row],[Date]],Database!$A:$C,MATCH($B$1,Database!$A$1:$C$1,),))</f>
        <v/>
      </c>
      <c r="C2306">
        <f>IF(VLOOKUP(Table7[[#This Row],[Date]],Database!$A:$C,MATCH($C$1,Database!$A$1:$C$1,),)=0,#N/A,VLOOKUP(Table7[[#This Row],[Date]],Database!$A:$C,MATCH($C$1,Database!$A$1:$C$1,),))</f>
        <v/>
      </c>
      <c r="D2306">
        <f>IFERROR(Table7[[#This Row],[United States 10y]]-Table7[[#This Row],[United States 3y]],#N/A)</f>
        <v/>
      </c>
    </row>
    <row r="2307">
      <c r="A2307" s="6">
        <f>Database!$A4392</f>
        <v/>
      </c>
      <c r="B2307">
        <f>IF(VLOOKUP(Table7[[#This Row],[Date]],Database!$A:$C,MATCH($B$1,Database!$A$1:$C$1,),)=0,#N/A,VLOOKUP(Table7[[#This Row],[Date]],Database!$A:$C,MATCH($B$1,Database!$A$1:$C$1,),))</f>
        <v/>
      </c>
      <c r="C2307">
        <f>IF(VLOOKUP(Table7[[#This Row],[Date]],Database!$A:$C,MATCH($C$1,Database!$A$1:$C$1,),)=0,#N/A,VLOOKUP(Table7[[#This Row],[Date]],Database!$A:$C,MATCH($C$1,Database!$A$1:$C$1,),))</f>
        <v/>
      </c>
      <c r="D2307">
        <f>IFERROR(Table7[[#This Row],[United States 10y]]-Table7[[#This Row],[United States 3y]],#N/A)</f>
        <v/>
      </c>
    </row>
    <row r="2308">
      <c r="A2308" s="6">
        <f>Database!$A4393</f>
        <v/>
      </c>
      <c r="B2308">
        <f>IF(VLOOKUP(Table7[[#This Row],[Date]],Database!$A:$C,MATCH($B$1,Database!$A$1:$C$1,),)=0,#N/A,VLOOKUP(Table7[[#This Row],[Date]],Database!$A:$C,MATCH($B$1,Database!$A$1:$C$1,),))</f>
        <v/>
      </c>
      <c r="C2308">
        <f>IF(VLOOKUP(Table7[[#This Row],[Date]],Database!$A:$C,MATCH($C$1,Database!$A$1:$C$1,),)=0,#N/A,VLOOKUP(Table7[[#This Row],[Date]],Database!$A:$C,MATCH($C$1,Database!$A$1:$C$1,),))</f>
        <v/>
      </c>
      <c r="D2308">
        <f>IFERROR(Table7[[#This Row],[United States 10y]]-Table7[[#This Row],[United States 3y]],#N/A)</f>
        <v/>
      </c>
    </row>
    <row r="2309">
      <c r="A2309" s="6">
        <f>Database!$A4394</f>
        <v/>
      </c>
      <c r="B2309">
        <f>IF(VLOOKUP(Table7[[#This Row],[Date]],Database!$A:$C,MATCH($B$1,Database!$A$1:$C$1,),)=0,#N/A,VLOOKUP(Table7[[#This Row],[Date]],Database!$A:$C,MATCH($B$1,Database!$A$1:$C$1,),))</f>
        <v/>
      </c>
      <c r="C2309">
        <f>IF(VLOOKUP(Table7[[#This Row],[Date]],Database!$A:$C,MATCH($C$1,Database!$A$1:$C$1,),)=0,#N/A,VLOOKUP(Table7[[#This Row],[Date]],Database!$A:$C,MATCH($C$1,Database!$A$1:$C$1,),))</f>
        <v/>
      </c>
      <c r="D2309">
        <f>IFERROR(Table7[[#This Row],[United States 10y]]-Table7[[#This Row],[United States 3y]],#N/A)</f>
        <v/>
      </c>
    </row>
    <row r="2310">
      <c r="A2310" s="6">
        <f>Database!$A4395</f>
        <v/>
      </c>
      <c r="B2310">
        <f>IF(VLOOKUP(Table7[[#This Row],[Date]],Database!$A:$C,MATCH($B$1,Database!$A$1:$C$1,),)=0,#N/A,VLOOKUP(Table7[[#This Row],[Date]],Database!$A:$C,MATCH($B$1,Database!$A$1:$C$1,),))</f>
        <v/>
      </c>
      <c r="C2310">
        <f>IF(VLOOKUP(Table7[[#This Row],[Date]],Database!$A:$C,MATCH($C$1,Database!$A$1:$C$1,),)=0,#N/A,VLOOKUP(Table7[[#This Row],[Date]],Database!$A:$C,MATCH($C$1,Database!$A$1:$C$1,),))</f>
        <v/>
      </c>
      <c r="D2310">
        <f>IFERROR(Table7[[#This Row],[United States 10y]]-Table7[[#This Row],[United States 3y]],#N/A)</f>
        <v/>
      </c>
    </row>
    <row r="2311">
      <c r="A2311" s="6">
        <f>Database!$A4396</f>
        <v/>
      </c>
      <c r="B2311">
        <f>IF(VLOOKUP(Table7[[#This Row],[Date]],Database!$A:$C,MATCH($B$1,Database!$A$1:$C$1,),)=0,#N/A,VLOOKUP(Table7[[#This Row],[Date]],Database!$A:$C,MATCH($B$1,Database!$A$1:$C$1,),))</f>
        <v/>
      </c>
      <c r="C2311">
        <f>IF(VLOOKUP(Table7[[#This Row],[Date]],Database!$A:$C,MATCH($C$1,Database!$A$1:$C$1,),)=0,#N/A,VLOOKUP(Table7[[#This Row],[Date]],Database!$A:$C,MATCH($C$1,Database!$A$1:$C$1,),))</f>
        <v/>
      </c>
      <c r="D2311">
        <f>IFERROR(Table7[[#This Row],[United States 10y]]-Table7[[#This Row],[United States 3y]],#N/A)</f>
        <v/>
      </c>
    </row>
    <row r="2312">
      <c r="A2312" s="6">
        <f>Database!$A4397</f>
        <v/>
      </c>
      <c r="B2312">
        <f>IF(VLOOKUP(Table7[[#This Row],[Date]],Database!$A:$C,MATCH($B$1,Database!$A$1:$C$1,),)=0,#N/A,VLOOKUP(Table7[[#This Row],[Date]],Database!$A:$C,MATCH($B$1,Database!$A$1:$C$1,),))</f>
        <v/>
      </c>
      <c r="C2312">
        <f>IF(VLOOKUP(Table7[[#This Row],[Date]],Database!$A:$C,MATCH($C$1,Database!$A$1:$C$1,),)=0,#N/A,VLOOKUP(Table7[[#This Row],[Date]],Database!$A:$C,MATCH($C$1,Database!$A$1:$C$1,),))</f>
        <v/>
      </c>
      <c r="D2312">
        <f>IFERROR(Table7[[#This Row],[United States 10y]]-Table7[[#This Row],[United States 3y]],#N/A)</f>
        <v/>
      </c>
    </row>
    <row r="2313">
      <c r="A2313" s="6">
        <f>Database!$A4398</f>
        <v/>
      </c>
      <c r="B2313">
        <f>IF(VLOOKUP(Table7[[#This Row],[Date]],Database!$A:$C,MATCH($B$1,Database!$A$1:$C$1,),)=0,#N/A,VLOOKUP(Table7[[#This Row],[Date]],Database!$A:$C,MATCH($B$1,Database!$A$1:$C$1,),))</f>
        <v/>
      </c>
      <c r="C2313">
        <f>IF(VLOOKUP(Table7[[#This Row],[Date]],Database!$A:$C,MATCH($C$1,Database!$A$1:$C$1,),)=0,#N/A,VLOOKUP(Table7[[#This Row],[Date]],Database!$A:$C,MATCH($C$1,Database!$A$1:$C$1,),))</f>
        <v/>
      </c>
      <c r="D2313">
        <f>IFERROR(Table7[[#This Row],[United States 10y]]-Table7[[#This Row],[United States 3y]],#N/A)</f>
        <v/>
      </c>
    </row>
    <row r="2314">
      <c r="A2314" s="6">
        <f>Database!$A4399</f>
        <v/>
      </c>
      <c r="B2314">
        <f>IF(VLOOKUP(Table7[[#This Row],[Date]],Database!$A:$C,MATCH($B$1,Database!$A$1:$C$1,),)=0,#N/A,VLOOKUP(Table7[[#This Row],[Date]],Database!$A:$C,MATCH($B$1,Database!$A$1:$C$1,),))</f>
        <v/>
      </c>
      <c r="C2314">
        <f>IF(VLOOKUP(Table7[[#This Row],[Date]],Database!$A:$C,MATCH($C$1,Database!$A$1:$C$1,),)=0,#N/A,VLOOKUP(Table7[[#This Row],[Date]],Database!$A:$C,MATCH($C$1,Database!$A$1:$C$1,),))</f>
        <v/>
      </c>
      <c r="D2314">
        <f>IFERROR(Table7[[#This Row],[United States 10y]]-Table7[[#This Row],[United States 3y]],#N/A)</f>
        <v/>
      </c>
    </row>
    <row r="2315">
      <c r="A2315" s="6">
        <f>Database!$A4400</f>
        <v/>
      </c>
      <c r="B2315">
        <f>IF(VLOOKUP(Table7[[#This Row],[Date]],Database!$A:$C,MATCH($B$1,Database!$A$1:$C$1,),)=0,#N/A,VLOOKUP(Table7[[#This Row],[Date]],Database!$A:$C,MATCH($B$1,Database!$A$1:$C$1,),))</f>
        <v/>
      </c>
      <c r="C2315">
        <f>IF(VLOOKUP(Table7[[#This Row],[Date]],Database!$A:$C,MATCH($C$1,Database!$A$1:$C$1,),)=0,#N/A,VLOOKUP(Table7[[#This Row],[Date]],Database!$A:$C,MATCH($C$1,Database!$A$1:$C$1,),))</f>
        <v/>
      </c>
      <c r="D2315">
        <f>IFERROR(Table7[[#This Row],[United States 10y]]-Table7[[#This Row],[United States 3y]],#N/A)</f>
        <v/>
      </c>
    </row>
    <row r="2316">
      <c r="A2316" s="6">
        <f>Database!$A4401</f>
        <v/>
      </c>
      <c r="B2316">
        <f>IF(VLOOKUP(Table7[[#This Row],[Date]],Database!$A:$C,MATCH($B$1,Database!$A$1:$C$1,),)=0,#N/A,VLOOKUP(Table7[[#This Row],[Date]],Database!$A:$C,MATCH($B$1,Database!$A$1:$C$1,),))</f>
        <v/>
      </c>
      <c r="C2316">
        <f>IF(VLOOKUP(Table7[[#This Row],[Date]],Database!$A:$C,MATCH($C$1,Database!$A$1:$C$1,),)=0,#N/A,VLOOKUP(Table7[[#This Row],[Date]],Database!$A:$C,MATCH($C$1,Database!$A$1:$C$1,),))</f>
        <v/>
      </c>
      <c r="D2316">
        <f>IFERROR(Table7[[#This Row],[United States 10y]]-Table7[[#This Row],[United States 3y]],#N/A)</f>
        <v/>
      </c>
    </row>
    <row r="2317">
      <c r="A2317" s="6">
        <f>Database!$A4402</f>
        <v/>
      </c>
      <c r="B2317">
        <f>IF(VLOOKUP(Table7[[#This Row],[Date]],Database!$A:$C,MATCH($B$1,Database!$A$1:$C$1,),)=0,#N/A,VLOOKUP(Table7[[#This Row],[Date]],Database!$A:$C,MATCH($B$1,Database!$A$1:$C$1,),))</f>
        <v/>
      </c>
      <c r="C2317">
        <f>IF(VLOOKUP(Table7[[#This Row],[Date]],Database!$A:$C,MATCH($C$1,Database!$A$1:$C$1,),)=0,#N/A,VLOOKUP(Table7[[#This Row],[Date]],Database!$A:$C,MATCH($C$1,Database!$A$1:$C$1,),))</f>
        <v/>
      </c>
      <c r="D2317">
        <f>IFERROR(Table7[[#This Row],[United States 10y]]-Table7[[#This Row],[United States 3y]],#N/A)</f>
        <v/>
      </c>
    </row>
    <row r="2318">
      <c r="A2318" s="6">
        <f>Database!$A4403</f>
        <v/>
      </c>
      <c r="B2318">
        <f>IF(VLOOKUP(Table7[[#This Row],[Date]],Database!$A:$C,MATCH($B$1,Database!$A$1:$C$1,),)=0,#N/A,VLOOKUP(Table7[[#This Row],[Date]],Database!$A:$C,MATCH($B$1,Database!$A$1:$C$1,),))</f>
        <v/>
      </c>
      <c r="C2318">
        <f>IF(VLOOKUP(Table7[[#This Row],[Date]],Database!$A:$C,MATCH($C$1,Database!$A$1:$C$1,),)=0,#N/A,VLOOKUP(Table7[[#This Row],[Date]],Database!$A:$C,MATCH($C$1,Database!$A$1:$C$1,),))</f>
        <v/>
      </c>
      <c r="D2318">
        <f>IFERROR(Table7[[#This Row],[United States 10y]]-Table7[[#This Row],[United States 3y]],#N/A)</f>
        <v/>
      </c>
    </row>
    <row r="2319">
      <c r="A2319" s="6">
        <f>Database!$A4404</f>
        <v/>
      </c>
      <c r="B2319">
        <f>IF(VLOOKUP(Table7[[#This Row],[Date]],Database!$A:$C,MATCH($B$1,Database!$A$1:$C$1,),)=0,#N/A,VLOOKUP(Table7[[#This Row],[Date]],Database!$A:$C,MATCH($B$1,Database!$A$1:$C$1,),))</f>
        <v/>
      </c>
      <c r="C2319">
        <f>IF(VLOOKUP(Table7[[#This Row],[Date]],Database!$A:$C,MATCH($C$1,Database!$A$1:$C$1,),)=0,#N/A,VLOOKUP(Table7[[#This Row],[Date]],Database!$A:$C,MATCH($C$1,Database!$A$1:$C$1,),))</f>
        <v/>
      </c>
      <c r="D2319">
        <f>IFERROR(Table7[[#This Row],[United States 10y]]-Table7[[#This Row],[United States 3y]],#N/A)</f>
        <v/>
      </c>
    </row>
    <row r="2320">
      <c r="A2320" s="6">
        <f>Database!$A4405</f>
        <v/>
      </c>
      <c r="B2320">
        <f>IF(VLOOKUP(Table7[[#This Row],[Date]],Database!$A:$C,MATCH($B$1,Database!$A$1:$C$1,),)=0,#N/A,VLOOKUP(Table7[[#This Row],[Date]],Database!$A:$C,MATCH($B$1,Database!$A$1:$C$1,),))</f>
        <v/>
      </c>
      <c r="C2320">
        <f>IF(VLOOKUP(Table7[[#This Row],[Date]],Database!$A:$C,MATCH($C$1,Database!$A$1:$C$1,),)=0,#N/A,VLOOKUP(Table7[[#This Row],[Date]],Database!$A:$C,MATCH($C$1,Database!$A$1:$C$1,),))</f>
        <v/>
      </c>
      <c r="D2320">
        <f>IFERROR(Table7[[#This Row],[United States 10y]]-Table7[[#This Row],[United States 3y]],#N/A)</f>
        <v/>
      </c>
    </row>
    <row r="2321">
      <c r="A2321" s="6">
        <f>Database!$A4406</f>
        <v/>
      </c>
      <c r="B2321">
        <f>IF(VLOOKUP(Table7[[#This Row],[Date]],Database!$A:$C,MATCH($B$1,Database!$A$1:$C$1,),)=0,#N/A,VLOOKUP(Table7[[#This Row],[Date]],Database!$A:$C,MATCH($B$1,Database!$A$1:$C$1,),))</f>
        <v/>
      </c>
      <c r="C2321">
        <f>IF(VLOOKUP(Table7[[#This Row],[Date]],Database!$A:$C,MATCH($C$1,Database!$A$1:$C$1,),)=0,#N/A,VLOOKUP(Table7[[#This Row],[Date]],Database!$A:$C,MATCH($C$1,Database!$A$1:$C$1,),))</f>
        <v/>
      </c>
      <c r="D2321">
        <f>IFERROR(Table7[[#This Row],[United States 10y]]-Table7[[#This Row],[United States 3y]],#N/A)</f>
        <v/>
      </c>
    </row>
    <row r="2322">
      <c r="A2322" s="6">
        <f>Database!$A4407</f>
        <v/>
      </c>
      <c r="B2322">
        <f>IF(VLOOKUP(Table7[[#This Row],[Date]],Database!$A:$C,MATCH($B$1,Database!$A$1:$C$1,),)=0,#N/A,VLOOKUP(Table7[[#This Row],[Date]],Database!$A:$C,MATCH($B$1,Database!$A$1:$C$1,),))</f>
        <v/>
      </c>
      <c r="C2322">
        <f>IF(VLOOKUP(Table7[[#This Row],[Date]],Database!$A:$C,MATCH($C$1,Database!$A$1:$C$1,),)=0,#N/A,VLOOKUP(Table7[[#This Row],[Date]],Database!$A:$C,MATCH($C$1,Database!$A$1:$C$1,),))</f>
        <v/>
      </c>
      <c r="D2322">
        <f>IFERROR(Table7[[#This Row],[United States 10y]]-Table7[[#This Row],[United States 3y]],#N/A)</f>
        <v/>
      </c>
    </row>
    <row r="2323">
      <c r="A2323" s="6">
        <f>Database!$A4408</f>
        <v/>
      </c>
      <c r="B2323">
        <f>IF(VLOOKUP(Table7[[#This Row],[Date]],Database!$A:$C,MATCH($B$1,Database!$A$1:$C$1,),)=0,#N/A,VLOOKUP(Table7[[#This Row],[Date]],Database!$A:$C,MATCH($B$1,Database!$A$1:$C$1,),))</f>
        <v/>
      </c>
      <c r="C2323">
        <f>IF(VLOOKUP(Table7[[#This Row],[Date]],Database!$A:$C,MATCH($C$1,Database!$A$1:$C$1,),)=0,#N/A,VLOOKUP(Table7[[#This Row],[Date]],Database!$A:$C,MATCH($C$1,Database!$A$1:$C$1,),))</f>
        <v/>
      </c>
      <c r="D2323">
        <f>IFERROR(Table7[[#This Row],[United States 10y]]-Table7[[#This Row],[United States 3y]],#N/A)</f>
        <v/>
      </c>
    </row>
    <row r="2324">
      <c r="A2324" s="6">
        <f>Database!$A4409</f>
        <v/>
      </c>
      <c r="B2324">
        <f>IF(VLOOKUP(Table7[[#This Row],[Date]],Database!$A:$C,MATCH($B$1,Database!$A$1:$C$1,),)=0,#N/A,VLOOKUP(Table7[[#This Row],[Date]],Database!$A:$C,MATCH($B$1,Database!$A$1:$C$1,),))</f>
        <v/>
      </c>
      <c r="C2324">
        <f>IF(VLOOKUP(Table7[[#This Row],[Date]],Database!$A:$C,MATCH($C$1,Database!$A$1:$C$1,),)=0,#N/A,VLOOKUP(Table7[[#This Row],[Date]],Database!$A:$C,MATCH($C$1,Database!$A$1:$C$1,),))</f>
        <v/>
      </c>
      <c r="D2324">
        <f>IFERROR(Table7[[#This Row],[United States 10y]]-Table7[[#This Row],[United States 3y]],#N/A)</f>
        <v/>
      </c>
    </row>
    <row r="2325">
      <c r="A2325" s="6">
        <f>Database!$A4410</f>
        <v/>
      </c>
      <c r="B2325">
        <f>IF(VLOOKUP(Table7[[#This Row],[Date]],Database!$A:$C,MATCH($B$1,Database!$A$1:$C$1,),)=0,#N/A,VLOOKUP(Table7[[#This Row],[Date]],Database!$A:$C,MATCH($B$1,Database!$A$1:$C$1,),))</f>
        <v/>
      </c>
      <c r="C2325">
        <f>IF(VLOOKUP(Table7[[#This Row],[Date]],Database!$A:$C,MATCH($C$1,Database!$A$1:$C$1,),)=0,#N/A,VLOOKUP(Table7[[#This Row],[Date]],Database!$A:$C,MATCH($C$1,Database!$A$1:$C$1,),))</f>
        <v/>
      </c>
      <c r="D2325">
        <f>IFERROR(Table7[[#This Row],[United States 10y]]-Table7[[#This Row],[United States 3y]],#N/A)</f>
        <v/>
      </c>
    </row>
    <row r="2326">
      <c r="A2326" s="6">
        <f>Database!$A4411</f>
        <v/>
      </c>
      <c r="B2326">
        <f>IF(VLOOKUP(Table7[[#This Row],[Date]],Database!$A:$C,MATCH($B$1,Database!$A$1:$C$1,),)=0,#N/A,VLOOKUP(Table7[[#This Row],[Date]],Database!$A:$C,MATCH($B$1,Database!$A$1:$C$1,),))</f>
        <v/>
      </c>
      <c r="C2326">
        <f>IF(VLOOKUP(Table7[[#This Row],[Date]],Database!$A:$C,MATCH($C$1,Database!$A$1:$C$1,),)=0,#N/A,VLOOKUP(Table7[[#This Row],[Date]],Database!$A:$C,MATCH($C$1,Database!$A$1:$C$1,),))</f>
        <v/>
      </c>
      <c r="D2326">
        <f>IFERROR(Table7[[#This Row],[United States 10y]]-Table7[[#This Row],[United States 3y]],#N/A)</f>
        <v/>
      </c>
    </row>
    <row r="2327">
      <c r="A2327" s="6">
        <f>Database!$A4412</f>
        <v/>
      </c>
      <c r="B2327">
        <f>IF(VLOOKUP(Table7[[#This Row],[Date]],Database!$A:$C,MATCH($B$1,Database!$A$1:$C$1,),)=0,#N/A,VLOOKUP(Table7[[#This Row],[Date]],Database!$A:$C,MATCH($B$1,Database!$A$1:$C$1,),))</f>
        <v/>
      </c>
      <c r="C2327">
        <f>IF(VLOOKUP(Table7[[#This Row],[Date]],Database!$A:$C,MATCH($C$1,Database!$A$1:$C$1,),)=0,#N/A,VLOOKUP(Table7[[#This Row],[Date]],Database!$A:$C,MATCH($C$1,Database!$A$1:$C$1,),))</f>
        <v/>
      </c>
      <c r="D2327">
        <f>IFERROR(Table7[[#This Row],[United States 10y]]-Table7[[#This Row],[United States 3y]],#N/A)</f>
        <v/>
      </c>
    </row>
    <row r="2328">
      <c r="A2328" s="6">
        <f>Database!$A4413</f>
        <v/>
      </c>
      <c r="B2328">
        <f>IF(VLOOKUP(Table7[[#This Row],[Date]],Database!$A:$C,MATCH($B$1,Database!$A$1:$C$1,),)=0,#N/A,VLOOKUP(Table7[[#This Row],[Date]],Database!$A:$C,MATCH($B$1,Database!$A$1:$C$1,),))</f>
        <v/>
      </c>
      <c r="C2328">
        <f>IF(VLOOKUP(Table7[[#This Row],[Date]],Database!$A:$C,MATCH($C$1,Database!$A$1:$C$1,),)=0,#N/A,VLOOKUP(Table7[[#This Row],[Date]],Database!$A:$C,MATCH($C$1,Database!$A$1:$C$1,),))</f>
        <v/>
      </c>
      <c r="D2328">
        <f>IFERROR(Table7[[#This Row],[United States 10y]]-Table7[[#This Row],[United States 3y]],#N/A)</f>
        <v/>
      </c>
    </row>
    <row r="2329">
      <c r="A2329" s="6">
        <f>Database!$A4414</f>
        <v/>
      </c>
      <c r="B2329">
        <f>IF(VLOOKUP(Table7[[#This Row],[Date]],Database!$A:$C,MATCH($B$1,Database!$A$1:$C$1,),)=0,#N/A,VLOOKUP(Table7[[#This Row],[Date]],Database!$A:$C,MATCH($B$1,Database!$A$1:$C$1,),))</f>
        <v/>
      </c>
      <c r="C2329">
        <f>IF(VLOOKUP(Table7[[#This Row],[Date]],Database!$A:$C,MATCH($C$1,Database!$A$1:$C$1,),)=0,#N/A,VLOOKUP(Table7[[#This Row],[Date]],Database!$A:$C,MATCH($C$1,Database!$A$1:$C$1,),))</f>
        <v/>
      </c>
      <c r="D2329">
        <f>IFERROR(Table7[[#This Row],[United States 10y]]-Table7[[#This Row],[United States 3y]],#N/A)</f>
        <v/>
      </c>
    </row>
    <row r="2330">
      <c r="A2330" s="6">
        <f>Database!$A4415</f>
        <v/>
      </c>
      <c r="B2330">
        <f>IF(VLOOKUP(Table7[[#This Row],[Date]],Database!$A:$C,MATCH($B$1,Database!$A$1:$C$1,),)=0,#N/A,VLOOKUP(Table7[[#This Row],[Date]],Database!$A:$C,MATCH($B$1,Database!$A$1:$C$1,),))</f>
        <v/>
      </c>
      <c r="C2330">
        <f>IF(VLOOKUP(Table7[[#This Row],[Date]],Database!$A:$C,MATCH($C$1,Database!$A$1:$C$1,),)=0,#N/A,VLOOKUP(Table7[[#This Row],[Date]],Database!$A:$C,MATCH($C$1,Database!$A$1:$C$1,),))</f>
        <v/>
      </c>
      <c r="D2330">
        <f>IFERROR(Table7[[#This Row],[United States 10y]]-Table7[[#This Row],[United States 3y]],#N/A)</f>
        <v/>
      </c>
    </row>
    <row r="2331">
      <c r="A2331" s="6">
        <f>Database!$A4416</f>
        <v/>
      </c>
      <c r="B2331">
        <f>IF(VLOOKUP(Table7[[#This Row],[Date]],Database!$A:$C,MATCH($B$1,Database!$A$1:$C$1,),)=0,#N/A,VLOOKUP(Table7[[#This Row],[Date]],Database!$A:$C,MATCH($B$1,Database!$A$1:$C$1,),))</f>
        <v/>
      </c>
      <c r="C2331">
        <f>IF(VLOOKUP(Table7[[#This Row],[Date]],Database!$A:$C,MATCH($C$1,Database!$A$1:$C$1,),)=0,#N/A,VLOOKUP(Table7[[#This Row],[Date]],Database!$A:$C,MATCH($C$1,Database!$A$1:$C$1,),))</f>
        <v/>
      </c>
      <c r="D2331">
        <f>IFERROR(Table7[[#This Row],[United States 10y]]-Table7[[#This Row],[United States 3y]],#N/A)</f>
        <v/>
      </c>
    </row>
    <row r="2332">
      <c r="A2332" s="6">
        <f>Database!$A4417</f>
        <v/>
      </c>
      <c r="B2332">
        <f>IF(VLOOKUP(Table7[[#This Row],[Date]],Database!$A:$C,MATCH($B$1,Database!$A$1:$C$1,),)=0,#N/A,VLOOKUP(Table7[[#This Row],[Date]],Database!$A:$C,MATCH($B$1,Database!$A$1:$C$1,),))</f>
        <v/>
      </c>
      <c r="C2332">
        <f>IF(VLOOKUP(Table7[[#This Row],[Date]],Database!$A:$C,MATCH($C$1,Database!$A$1:$C$1,),)=0,#N/A,VLOOKUP(Table7[[#This Row],[Date]],Database!$A:$C,MATCH($C$1,Database!$A$1:$C$1,),))</f>
        <v/>
      </c>
      <c r="D2332">
        <f>IFERROR(Table7[[#This Row],[United States 10y]]-Table7[[#This Row],[United States 3y]],#N/A)</f>
        <v/>
      </c>
    </row>
    <row r="2333">
      <c r="A2333" s="6">
        <f>Database!$A4418</f>
        <v/>
      </c>
      <c r="B2333">
        <f>IF(VLOOKUP(Table7[[#This Row],[Date]],Database!$A:$C,MATCH($B$1,Database!$A$1:$C$1,),)=0,#N/A,VLOOKUP(Table7[[#This Row],[Date]],Database!$A:$C,MATCH($B$1,Database!$A$1:$C$1,),))</f>
        <v/>
      </c>
      <c r="C2333">
        <f>IF(VLOOKUP(Table7[[#This Row],[Date]],Database!$A:$C,MATCH($C$1,Database!$A$1:$C$1,),)=0,#N/A,VLOOKUP(Table7[[#This Row],[Date]],Database!$A:$C,MATCH($C$1,Database!$A$1:$C$1,),))</f>
        <v/>
      </c>
      <c r="D2333">
        <f>IFERROR(Table7[[#This Row],[United States 10y]]-Table7[[#This Row],[United States 3y]],#N/A)</f>
        <v/>
      </c>
    </row>
    <row r="2334">
      <c r="A2334" s="6">
        <f>Database!$A4419</f>
        <v/>
      </c>
      <c r="B2334">
        <f>IF(VLOOKUP(Table7[[#This Row],[Date]],Database!$A:$C,MATCH($B$1,Database!$A$1:$C$1,),)=0,#N/A,VLOOKUP(Table7[[#This Row],[Date]],Database!$A:$C,MATCH($B$1,Database!$A$1:$C$1,),))</f>
        <v/>
      </c>
      <c r="C2334">
        <f>IF(VLOOKUP(Table7[[#This Row],[Date]],Database!$A:$C,MATCH($C$1,Database!$A$1:$C$1,),)=0,#N/A,VLOOKUP(Table7[[#This Row],[Date]],Database!$A:$C,MATCH($C$1,Database!$A$1:$C$1,),))</f>
        <v/>
      </c>
      <c r="D2334">
        <f>IFERROR(Table7[[#This Row],[United States 10y]]-Table7[[#This Row],[United States 3y]],#N/A)</f>
        <v/>
      </c>
    </row>
    <row r="2335">
      <c r="A2335" s="6">
        <f>Database!$A4420</f>
        <v/>
      </c>
      <c r="B2335">
        <f>IF(VLOOKUP(Table7[[#This Row],[Date]],Database!$A:$C,MATCH($B$1,Database!$A$1:$C$1,),)=0,#N/A,VLOOKUP(Table7[[#This Row],[Date]],Database!$A:$C,MATCH($B$1,Database!$A$1:$C$1,),))</f>
        <v/>
      </c>
      <c r="C2335">
        <f>IF(VLOOKUP(Table7[[#This Row],[Date]],Database!$A:$C,MATCH($C$1,Database!$A$1:$C$1,),)=0,#N/A,VLOOKUP(Table7[[#This Row],[Date]],Database!$A:$C,MATCH($C$1,Database!$A$1:$C$1,),))</f>
        <v/>
      </c>
      <c r="D2335">
        <f>IFERROR(Table7[[#This Row],[United States 10y]]-Table7[[#This Row],[United States 3y]],#N/A)</f>
        <v/>
      </c>
    </row>
    <row r="2336">
      <c r="A2336" s="6">
        <f>Database!$A4421</f>
        <v/>
      </c>
      <c r="B2336">
        <f>IF(VLOOKUP(Table7[[#This Row],[Date]],Database!$A:$C,MATCH($B$1,Database!$A$1:$C$1,),)=0,#N/A,VLOOKUP(Table7[[#This Row],[Date]],Database!$A:$C,MATCH($B$1,Database!$A$1:$C$1,),))</f>
        <v/>
      </c>
      <c r="C2336">
        <f>IF(VLOOKUP(Table7[[#This Row],[Date]],Database!$A:$C,MATCH($C$1,Database!$A$1:$C$1,),)=0,#N/A,VLOOKUP(Table7[[#This Row],[Date]],Database!$A:$C,MATCH($C$1,Database!$A$1:$C$1,),))</f>
        <v/>
      </c>
      <c r="D2336">
        <f>IFERROR(Table7[[#This Row],[United States 10y]]-Table7[[#This Row],[United States 3y]],#N/A)</f>
        <v/>
      </c>
    </row>
    <row r="2337">
      <c r="A2337" s="6">
        <f>Database!$A4422</f>
        <v/>
      </c>
      <c r="B2337">
        <f>IF(VLOOKUP(Table7[[#This Row],[Date]],Database!$A:$C,MATCH($B$1,Database!$A$1:$C$1,),)=0,#N/A,VLOOKUP(Table7[[#This Row],[Date]],Database!$A:$C,MATCH($B$1,Database!$A$1:$C$1,),))</f>
        <v/>
      </c>
      <c r="C2337">
        <f>IF(VLOOKUP(Table7[[#This Row],[Date]],Database!$A:$C,MATCH($C$1,Database!$A$1:$C$1,),)=0,#N/A,VLOOKUP(Table7[[#This Row],[Date]],Database!$A:$C,MATCH($C$1,Database!$A$1:$C$1,),))</f>
        <v/>
      </c>
      <c r="D2337">
        <f>IFERROR(Table7[[#This Row],[United States 10y]]-Table7[[#This Row],[United States 3y]],#N/A)</f>
        <v/>
      </c>
    </row>
    <row r="2338">
      <c r="A2338" s="6">
        <f>Database!$A4423</f>
        <v/>
      </c>
      <c r="B2338">
        <f>IF(VLOOKUP(Table7[[#This Row],[Date]],Database!$A:$C,MATCH($B$1,Database!$A$1:$C$1,),)=0,#N/A,VLOOKUP(Table7[[#This Row],[Date]],Database!$A:$C,MATCH($B$1,Database!$A$1:$C$1,),))</f>
        <v/>
      </c>
      <c r="C2338">
        <f>IF(VLOOKUP(Table7[[#This Row],[Date]],Database!$A:$C,MATCH($C$1,Database!$A$1:$C$1,),)=0,#N/A,VLOOKUP(Table7[[#This Row],[Date]],Database!$A:$C,MATCH($C$1,Database!$A$1:$C$1,),))</f>
        <v/>
      </c>
      <c r="D2338">
        <f>IFERROR(Table7[[#This Row],[United States 10y]]-Table7[[#This Row],[United States 3y]],#N/A)</f>
        <v/>
      </c>
    </row>
    <row r="2339">
      <c r="A2339" s="6">
        <f>Database!$A4424</f>
        <v/>
      </c>
      <c r="B2339">
        <f>IF(VLOOKUP(Table7[[#This Row],[Date]],Database!$A:$C,MATCH($B$1,Database!$A$1:$C$1,),)=0,#N/A,VLOOKUP(Table7[[#This Row],[Date]],Database!$A:$C,MATCH($B$1,Database!$A$1:$C$1,),))</f>
        <v/>
      </c>
      <c r="C2339">
        <f>IF(VLOOKUP(Table7[[#This Row],[Date]],Database!$A:$C,MATCH($C$1,Database!$A$1:$C$1,),)=0,#N/A,VLOOKUP(Table7[[#This Row],[Date]],Database!$A:$C,MATCH($C$1,Database!$A$1:$C$1,),))</f>
        <v/>
      </c>
      <c r="D2339">
        <f>IFERROR(Table7[[#This Row],[United States 10y]]-Table7[[#This Row],[United States 3y]],#N/A)</f>
        <v/>
      </c>
    </row>
    <row r="2340">
      <c r="A2340" s="6">
        <f>Database!$A4425</f>
        <v/>
      </c>
      <c r="B2340">
        <f>IF(VLOOKUP(Table7[[#This Row],[Date]],Database!$A:$C,MATCH($B$1,Database!$A$1:$C$1,),)=0,#N/A,VLOOKUP(Table7[[#This Row],[Date]],Database!$A:$C,MATCH($B$1,Database!$A$1:$C$1,),))</f>
        <v/>
      </c>
      <c r="C2340">
        <f>IF(VLOOKUP(Table7[[#This Row],[Date]],Database!$A:$C,MATCH($C$1,Database!$A$1:$C$1,),)=0,#N/A,VLOOKUP(Table7[[#This Row],[Date]],Database!$A:$C,MATCH($C$1,Database!$A$1:$C$1,),))</f>
        <v/>
      </c>
      <c r="D2340">
        <f>IFERROR(Table7[[#This Row],[United States 10y]]-Table7[[#This Row],[United States 3y]],#N/A)</f>
        <v/>
      </c>
    </row>
    <row r="2341">
      <c r="A2341" s="6">
        <f>Database!$A4426</f>
        <v/>
      </c>
      <c r="B2341">
        <f>IF(VLOOKUP(Table7[[#This Row],[Date]],Database!$A:$C,MATCH($B$1,Database!$A$1:$C$1,),)=0,#N/A,VLOOKUP(Table7[[#This Row],[Date]],Database!$A:$C,MATCH($B$1,Database!$A$1:$C$1,),))</f>
        <v/>
      </c>
      <c r="C2341">
        <f>IF(VLOOKUP(Table7[[#This Row],[Date]],Database!$A:$C,MATCH($C$1,Database!$A$1:$C$1,),)=0,#N/A,VLOOKUP(Table7[[#This Row],[Date]],Database!$A:$C,MATCH($C$1,Database!$A$1:$C$1,),))</f>
        <v/>
      </c>
      <c r="D2341">
        <f>IFERROR(Table7[[#This Row],[United States 10y]]-Table7[[#This Row],[United States 3y]],#N/A)</f>
        <v/>
      </c>
    </row>
    <row r="2342">
      <c r="A2342" s="6">
        <f>Database!$A4427</f>
        <v/>
      </c>
      <c r="B2342">
        <f>IF(VLOOKUP(Table7[[#This Row],[Date]],Database!$A:$C,MATCH($B$1,Database!$A$1:$C$1,),)=0,#N/A,VLOOKUP(Table7[[#This Row],[Date]],Database!$A:$C,MATCH($B$1,Database!$A$1:$C$1,),))</f>
        <v/>
      </c>
      <c r="C2342">
        <f>IF(VLOOKUP(Table7[[#This Row],[Date]],Database!$A:$C,MATCH($C$1,Database!$A$1:$C$1,),)=0,#N/A,VLOOKUP(Table7[[#This Row],[Date]],Database!$A:$C,MATCH($C$1,Database!$A$1:$C$1,),))</f>
        <v/>
      </c>
      <c r="D2342">
        <f>IFERROR(Table7[[#This Row],[United States 10y]]-Table7[[#This Row],[United States 3y]],#N/A)</f>
        <v/>
      </c>
    </row>
    <row r="2343">
      <c r="A2343" s="6">
        <f>Database!$A4428</f>
        <v/>
      </c>
      <c r="B2343">
        <f>IF(VLOOKUP(Table7[[#This Row],[Date]],Database!$A:$C,MATCH($B$1,Database!$A$1:$C$1,),)=0,#N/A,VLOOKUP(Table7[[#This Row],[Date]],Database!$A:$C,MATCH($B$1,Database!$A$1:$C$1,),))</f>
        <v/>
      </c>
      <c r="C2343">
        <f>IF(VLOOKUP(Table7[[#This Row],[Date]],Database!$A:$C,MATCH($C$1,Database!$A$1:$C$1,),)=0,#N/A,VLOOKUP(Table7[[#This Row],[Date]],Database!$A:$C,MATCH($C$1,Database!$A$1:$C$1,),))</f>
        <v/>
      </c>
      <c r="D2343">
        <f>IFERROR(Table7[[#This Row],[United States 10y]]-Table7[[#This Row],[United States 3y]],#N/A)</f>
        <v/>
      </c>
    </row>
    <row r="2344">
      <c r="A2344" s="6">
        <f>Database!$A4429</f>
        <v/>
      </c>
      <c r="B2344">
        <f>IF(VLOOKUP(Table7[[#This Row],[Date]],Database!$A:$C,MATCH($B$1,Database!$A$1:$C$1,),)=0,#N/A,VLOOKUP(Table7[[#This Row],[Date]],Database!$A:$C,MATCH($B$1,Database!$A$1:$C$1,),))</f>
        <v/>
      </c>
      <c r="C2344">
        <f>IF(VLOOKUP(Table7[[#This Row],[Date]],Database!$A:$C,MATCH($C$1,Database!$A$1:$C$1,),)=0,#N/A,VLOOKUP(Table7[[#This Row],[Date]],Database!$A:$C,MATCH($C$1,Database!$A$1:$C$1,),))</f>
        <v/>
      </c>
      <c r="D2344">
        <f>IFERROR(Table7[[#This Row],[United States 10y]]-Table7[[#This Row],[United States 3y]],#N/A)</f>
        <v/>
      </c>
    </row>
    <row r="2345">
      <c r="A2345" s="6">
        <f>Database!$A4430</f>
        <v/>
      </c>
      <c r="B2345">
        <f>IF(VLOOKUP(Table7[[#This Row],[Date]],Database!$A:$C,MATCH($B$1,Database!$A$1:$C$1,),)=0,#N/A,VLOOKUP(Table7[[#This Row],[Date]],Database!$A:$C,MATCH($B$1,Database!$A$1:$C$1,),))</f>
        <v/>
      </c>
      <c r="C2345">
        <f>IF(VLOOKUP(Table7[[#This Row],[Date]],Database!$A:$C,MATCH($C$1,Database!$A$1:$C$1,),)=0,#N/A,VLOOKUP(Table7[[#This Row],[Date]],Database!$A:$C,MATCH($C$1,Database!$A$1:$C$1,),))</f>
        <v/>
      </c>
      <c r="D2345">
        <f>IFERROR(Table7[[#This Row],[United States 10y]]-Table7[[#This Row],[United States 3y]],#N/A)</f>
        <v/>
      </c>
    </row>
    <row r="2346">
      <c r="A2346" s="6">
        <f>Database!$A4431</f>
        <v/>
      </c>
      <c r="B2346">
        <f>IF(VLOOKUP(Table7[[#This Row],[Date]],Database!$A:$C,MATCH($B$1,Database!$A$1:$C$1,),)=0,#N/A,VLOOKUP(Table7[[#This Row],[Date]],Database!$A:$C,MATCH($B$1,Database!$A$1:$C$1,),))</f>
        <v/>
      </c>
      <c r="C2346">
        <f>IF(VLOOKUP(Table7[[#This Row],[Date]],Database!$A:$C,MATCH($C$1,Database!$A$1:$C$1,),)=0,#N/A,VLOOKUP(Table7[[#This Row],[Date]],Database!$A:$C,MATCH($C$1,Database!$A$1:$C$1,),))</f>
        <v/>
      </c>
      <c r="D2346">
        <f>IFERROR(Table7[[#This Row],[United States 10y]]-Table7[[#This Row],[United States 3y]],#N/A)</f>
        <v/>
      </c>
    </row>
    <row r="2347">
      <c r="A2347" s="6">
        <f>Database!$A4432</f>
        <v/>
      </c>
      <c r="B2347">
        <f>IF(VLOOKUP(Table7[[#This Row],[Date]],Database!$A:$C,MATCH($B$1,Database!$A$1:$C$1,),)=0,#N/A,VLOOKUP(Table7[[#This Row],[Date]],Database!$A:$C,MATCH($B$1,Database!$A$1:$C$1,),))</f>
        <v/>
      </c>
      <c r="C2347">
        <f>IF(VLOOKUP(Table7[[#This Row],[Date]],Database!$A:$C,MATCH($C$1,Database!$A$1:$C$1,),)=0,#N/A,VLOOKUP(Table7[[#This Row],[Date]],Database!$A:$C,MATCH($C$1,Database!$A$1:$C$1,),))</f>
        <v/>
      </c>
      <c r="D2347">
        <f>IFERROR(Table7[[#This Row],[United States 10y]]-Table7[[#This Row],[United States 3y]],#N/A)</f>
        <v/>
      </c>
    </row>
    <row r="2348">
      <c r="A2348" s="6">
        <f>Database!$A4433</f>
        <v/>
      </c>
      <c r="B2348">
        <f>IF(VLOOKUP(Table7[[#This Row],[Date]],Database!$A:$C,MATCH($B$1,Database!$A$1:$C$1,),)=0,#N/A,VLOOKUP(Table7[[#This Row],[Date]],Database!$A:$C,MATCH($B$1,Database!$A$1:$C$1,),))</f>
        <v/>
      </c>
      <c r="C2348">
        <f>IF(VLOOKUP(Table7[[#This Row],[Date]],Database!$A:$C,MATCH($C$1,Database!$A$1:$C$1,),)=0,#N/A,VLOOKUP(Table7[[#This Row],[Date]],Database!$A:$C,MATCH($C$1,Database!$A$1:$C$1,),))</f>
        <v/>
      </c>
      <c r="D2348">
        <f>IFERROR(Table7[[#This Row],[United States 10y]]-Table7[[#This Row],[United States 3y]],#N/A)</f>
        <v/>
      </c>
    </row>
    <row r="2349">
      <c r="A2349" s="6">
        <f>Database!$A4434</f>
        <v/>
      </c>
      <c r="B2349">
        <f>IF(VLOOKUP(Table7[[#This Row],[Date]],Database!$A:$C,MATCH($B$1,Database!$A$1:$C$1,),)=0,#N/A,VLOOKUP(Table7[[#This Row],[Date]],Database!$A:$C,MATCH($B$1,Database!$A$1:$C$1,),))</f>
        <v/>
      </c>
      <c r="C2349">
        <f>IF(VLOOKUP(Table7[[#This Row],[Date]],Database!$A:$C,MATCH($C$1,Database!$A$1:$C$1,),)=0,#N/A,VLOOKUP(Table7[[#This Row],[Date]],Database!$A:$C,MATCH($C$1,Database!$A$1:$C$1,),))</f>
        <v/>
      </c>
      <c r="D2349">
        <f>IFERROR(Table7[[#This Row],[United States 10y]]-Table7[[#This Row],[United States 3y]],#N/A)</f>
        <v/>
      </c>
    </row>
    <row r="2350">
      <c r="A2350" s="6">
        <f>Database!$A4435</f>
        <v/>
      </c>
      <c r="B2350">
        <f>IF(VLOOKUP(Table7[[#This Row],[Date]],Database!$A:$C,MATCH($B$1,Database!$A$1:$C$1,),)=0,#N/A,VLOOKUP(Table7[[#This Row],[Date]],Database!$A:$C,MATCH($B$1,Database!$A$1:$C$1,),))</f>
        <v/>
      </c>
      <c r="C2350">
        <f>IF(VLOOKUP(Table7[[#This Row],[Date]],Database!$A:$C,MATCH($C$1,Database!$A$1:$C$1,),)=0,#N/A,VLOOKUP(Table7[[#This Row],[Date]],Database!$A:$C,MATCH($C$1,Database!$A$1:$C$1,),))</f>
        <v/>
      </c>
      <c r="D2350">
        <f>IFERROR(Table7[[#This Row],[United States 10y]]-Table7[[#This Row],[United States 3y]],#N/A)</f>
        <v/>
      </c>
    </row>
    <row r="2351">
      <c r="A2351" s="6">
        <f>Database!$A4436</f>
        <v/>
      </c>
      <c r="B2351">
        <f>IF(VLOOKUP(Table7[[#This Row],[Date]],Database!$A:$C,MATCH($B$1,Database!$A$1:$C$1,),)=0,#N/A,VLOOKUP(Table7[[#This Row],[Date]],Database!$A:$C,MATCH($B$1,Database!$A$1:$C$1,),))</f>
        <v/>
      </c>
      <c r="C2351">
        <f>IF(VLOOKUP(Table7[[#This Row],[Date]],Database!$A:$C,MATCH($C$1,Database!$A$1:$C$1,),)=0,#N/A,VLOOKUP(Table7[[#This Row],[Date]],Database!$A:$C,MATCH($C$1,Database!$A$1:$C$1,),))</f>
        <v/>
      </c>
      <c r="D2351">
        <f>IFERROR(Table7[[#This Row],[United States 10y]]-Table7[[#This Row],[United States 3y]],#N/A)</f>
        <v/>
      </c>
    </row>
    <row r="2352">
      <c r="A2352" s="6">
        <f>Database!$A4437</f>
        <v/>
      </c>
      <c r="B2352">
        <f>IF(VLOOKUP(Table7[[#This Row],[Date]],Database!$A:$C,MATCH($B$1,Database!$A$1:$C$1,),)=0,#N/A,VLOOKUP(Table7[[#This Row],[Date]],Database!$A:$C,MATCH($B$1,Database!$A$1:$C$1,),))</f>
        <v/>
      </c>
      <c r="C2352">
        <f>IF(VLOOKUP(Table7[[#This Row],[Date]],Database!$A:$C,MATCH($C$1,Database!$A$1:$C$1,),)=0,#N/A,VLOOKUP(Table7[[#This Row],[Date]],Database!$A:$C,MATCH($C$1,Database!$A$1:$C$1,),))</f>
        <v/>
      </c>
      <c r="D2352">
        <f>IFERROR(Table7[[#This Row],[United States 10y]]-Table7[[#This Row],[United States 3y]],#N/A)</f>
        <v/>
      </c>
    </row>
    <row r="2353">
      <c r="A2353" s="6">
        <f>Database!$A4438</f>
        <v/>
      </c>
      <c r="B2353">
        <f>IF(VLOOKUP(Table7[[#This Row],[Date]],Database!$A:$C,MATCH($B$1,Database!$A$1:$C$1,),)=0,#N/A,VLOOKUP(Table7[[#This Row],[Date]],Database!$A:$C,MATCH($B$1,Database!$A$1:$C$1,),))</f>
        <v/>
      </c>
      <c r="C2353">
        <f>IF(VLOOKUP(Table7[[#This Row],[Date]],Database!$A:$C,MATCH($C$1,Database!$A$1:$C$1,),)=0,#N/A,VLOOKUP(Table7[[#This Row],[Date]],Database!$A:$C,MATCH($C$1,Database!$A$1:$C$1,),))</f>
        <v/>
      </c>
      <c r="D2353">
        <f>IFERROR(Table7[[#This Row],[United States 10y]]-Table7[[#This Row],[United States 3y]],#N/A)</f>
        <v/>
      </c>
    </row>
    <row r="2354">
      <c r="A2354" s="6">
        <f>Database!$A4439</f>
        <v/>
      </c>
      <c r="B2354">
        <f>IF(VLOOKUP(Table7[[#This Row],[Date]],Database!$A:$C,MATCH($B$1,Database!$A$1:$C$1,),)=0,#N/A,VLOOKUP(Table7[[#This Row],[Date]],Database!$A:$C,MATCH($B$1,Database!$A$1:$C$1,),))</f>
        <v/>
      </c>
      <c r="C2354">
        <f>IF(VLOOKUP(Table7[[#This Row],[Date]],Database!$A:$C,MATCH($C$1,Database!$A$1:$C$1,),)=0,#N/A,VLOOKUP(Table7[[#This Row],[Date]],Database!$A:$C,MATCH($C$1,Database!$A$1:$C$1,),))</f>
        <v/>
      </c>
      <c r="D2354">
        <f>IFERROR(Table7[[#This Row],[United States 10y]]-Table7[[#This Row],[United States 3y]],#N/A)</f>
        <v/>
      </c>
    </row>
    <row r="2355">
      <c r="A2355" s="6">
        <f>Database!$A4440</f>
        <v/>
      </c>
      <c r="B2355">
        <f>IF(VLOOKUP(Table7[[#This Row],[Date]],Database!$A:$C,MATCH($B$1,Database!$A$1:$C$1,),)=0,#N/A,VLOOKUP(Table7[[#This Row],[Date]],Database!$A:$C,MATCH($B$1,Database!$A$1:$C$1,),))</f>
        <v/>
      </c>
      <c r="C2355">
        <f>IF(VLOOKUP(Table7[[#This Row],[Date]],Database!$A:$C,MATCH($C$1,Database!$A$1:$C$1,),)=0,#N/A,VLOOKUP(Table7[[#This Row],[Date]],Database!$A:$C,MATCH($C$1,Database!$A$1:$C$1,),))</f>
        <v/>
      </c>
      <c r="D2355">
        <f>IFERROR(Table7[[#This Row],[United States 10y]]-Table7[[#This Row],[United States 3y]],#N/A)</f>
        <v/>
      </c>
    </row>
    <row r="2356">
      <c r="A2356" s="6">
        <f>Database!$A4441</f>
        <v/>
      </c>
      <c r="B2356">
        <f>IF(VLOOKUP(Table7[[#This Row],[Date]],Database!$A:$C,MATCH($B$1,Database!$A$1:$C$1,),)=0,#N/A,VLOOKUP(Table7[[#This Row],[Date]],Database!$A:$C,MATCH($B$1,Database!$A$1:$C$1,),))</f>
        <v/>
      </c>
      <c r="C2356">
        <f>IF(VLOOKUP(Table7[[#This Row],[Date]],Database!$A:$C,MATCH($C$1,Database!$A$1:$C$1,),)=0,#N/A,VLOOKUP(Table7[[#This Row],[Date]],Database!$A:$C,MATCH($C$1,Database!$A$1:$C$1,),))</f>
        <v/>
      </c>
      <c r="D2356">
        <f>IFERROR(Table7[[#This Row],[United States 10y]]-Table7[[#This Row],[United States 3y]],#N/A)</f>
        <v/>
      </c>
    </row>
    <row r="2357">
      <c r="A2357" s="6">
        <f>Database!$A4442</f>
        <v/>
      </c>
      <c r="B2357">
        <f>IF(VLOOKUP(Table7[[#This Row],[Date]],Database!$A:$C,MATCH($B$1,Database!$A$1:$C$1,),)=0,#N/A,VLOOKUP(Table7[[#This Row],[Date]],Database!$A:$C,MATCH($B$1,Database!$A$1:$C$1,),))</f>
        <v/>
      </c>
      <c r="C2357">
        <f>IF(VLOOKUP(Table7[[#This Row],[Date]],Database!$A:$C,MATCH($C$1,Database!$A$1:$C$1,),)=0,#N/A,VLOOKUP(Table7[[#This Row],[Date]],Database!$A:$C,MATCH($C$1,Database!$A$1:$C$1,),))</f>
        <v/>
      </c>
      <c r="D2357">
        <f>IFERROR(Table7[[#This Row],[United States 10y]]-Table7[[#This Row],[United States 3y]],#N/A)</f>
        <v/>
      </c>
    </row>
    <row r="2358">
      <c r="A2358" s="6">
        <f>Database!$A4443</f>
        <v/>
      </c>
      <c r="B2358">
        <f>IF(VLOOKUP(Table7[[#This Row],[Date]],Database!$A:$C,MATCH($B$1,Database!$A$1:$C$1,),)=0,#N/A,VLOOKUP(Table7[[#This Row],[Date]],Database!$A:$C,MATCH($B$1,Database!$A$1:$C$1,),))</f>
        <v/>
      </c>
      <c r="C2358">
        <f>IF(VLOOKUP(Table7[[#This Row],[Date]],Database!$A:$C,MATCH($C$1,Database!$A$1:$C$1,),)=0,#N/A,VLOOKUP(Table7[[#This Row],[Date]],Database!$A:$C,MATCH($C$1,Database!$A$1:$C$1,),))</f>
        <v/>
      </c>
      <c r="D2358">
        <f>IFERROR(Table7[[#This Row],[United States 10y]]-Table7[[#This Row],[United States 3y]],#N/A)</f>
        <v/>
      </c>
    </row>
    <row r="2359">
      <c r="A2359" s="6">
        <f>Database!$A4444</f>
        <v/>
      </c>
      <c r="B2359">
        <f>IF(VLOOKUP(Table7[[#This Row],[Date]],Database!$A:$C,MATCH($B$1,Database!$A$1:$C$1,),)=0,#N/A,VLOOKUP(Table7[[#This Row],[Date]],Database!$A:$C,MATCH($B$1,Database!$A$1:$C$1,),))</f>
        <v/>
      </c>
      <c r="C2359">
        <f>IF(VLOOKUP(Table7[[#This Row],[Date]],Database!$A:$C,MATCH($C$1,Database!$A$1:$C$1,),)=0,#N/A,VLOOKUP(Table7[[#This Row],[Date]],Database!$A:$C,MATCH($C$1,Database!$A$1:$C$1,),))</f>
        <v/>
      </c>
      <c r="D2359">
        <f>IFERROR(Table7[[#This Row],[United States 10y]]-Table7[[#This Row],[United States 3y]],#N/A)</f>
        <v/>
      </c>
    </row>
    <row r="2360">
      <c r="A2360" s="6">
        <f>Database!$A4445</f>
        <v/>
      </c>
      <c r="B2360">
        <f>IF(VLOOKUP(Table7[[#This Row],[Date]],Database!$A:$C,MATCH($B$1,Database!$A$1:$C$1,),)=0,#N/A,VLOOKUP(Table7[[#This Row],[Date]],Database!$A:$C,MATCH($B$1,Database!$A$1:$C$1,),))</f>
        <v/>
      </c>
      <c r="C2360">
        <f>IF(VLOOKUP(Table7[[#This Row],[Date]],Database!$A:$C,MATCH($C$1,Database!$A$1:$C$1,),)=0,#N/A,VLOOKUP(Table7[[#This Row],[Date]],Database!$A:$C,MATCH($C$1,Database!$A$1:$C$1,),))</f>
        <v/>
      </c>
      <c r="D2360">
        <f>IFERROR(Table7[[#This Row],[United States 10y]]-Table7[[#This Row],[United States 3y]],#N/A)</f>
        <v/>
      </c>
    </row>
    <row r="2361">
      <c r="A2361" s="6">
        <f>Database!$A4446</f>
        <v/>
      </c>
      <c r="B2361">
        <f>IF(VLOOKUP(Table7[[#This Row],[Date]],Database!$A:$C,MATCH($B$1,Database!$A$1:$C$1,),)=0,#N/A,VLOOKUP(Table7[[#This Row],[Date]],Database!$A:$C,MATCH($B$1,Database!$A$1:$C$1,),))</f>
        <v/>
      </c>
      <c r="C2361">
        <f>IF(VLOOKUP(Table7[[#This Row],[Date]],Database!$A:$C,MATCH($C$1,Database!$A$1:$C$1,),)=0,#N/A,VLOOKUP(Table7[[#This Row],[Date]],Database!$A:$C,MATCH($C$1,Database!$A$1:$C$1,),))</f>
        <v/>
      </c>
      <c r="D2361">
        <f>IFERROR(Table7[[#This Row],[United States 10y]]-Table7[[#This Row],[United States 3y]],#N/A)</f>
        <v/>
      </c>
    </row>
    <row r="2362">
      <c r="A2362" s="6">
        <f>Database!$A4447</f>
        <v/>
      </c>
      <c r="B2362">
        <f>IF(VLOOKUP(Table7[[#This Row],[Date]],Database!$A:$C,MATCH($B$1,Database!$A$1:$C$1,),)=0,#N/A,VLOOKUP(Table7[[#This Row],[Date]],Database!$A:$C,MATCH($B$1,Database!$A$1:$C$1,),))</f>
        <v/>
      </c>
      <c r="C2362">
        <f>IF(VLOOKUP(Table7[[#This Row],[Date]],Database!$A:$C,MATCH($C$1,Database!$A$1:$C$1,),)=0,#N/A,VLOOKUP(Table7[[#This Row],[Date]],Database!$A:$C,MATCH($C$1,Database!$A$1:$C$1,),))</f>
        <v/>
      </c>
      <c r="D2362">
        <f>IFERROR(Table7[[#This Row],[United States 10y]]-Table7[[#This Row],[United States 3y]],#N/A)</f>
        <v/>
      </c>
    </row>
    <row r="2363">
      <c r="A2363" s="6">
        <f>Database!$A4448</f>
        <v/>
      </c>
      <c r="B2363">
        <f>IF(VLOOKUP(Table7[[#This Row],[Date]],Database!$A:$C,MATCH($B$1,Database!$A$1:$C$1,),)=0,#N/A,VLOOKUP(Table7[[#This Row],[Date]],Database!$A:$C,MATCH($B$1,Database!$A$1:$C$1,),))</f>
        <v/>
      </c>
      <c r="C2363">
        <f>IF(VLOOKUP(Table7[[#This Row],[Date]],Database!$A:$C,MATCH($C$1,Database!$A$1:$C$1,),)=0,#N/A,VLOOKUP(Table7[[#This Row],[Date]],Database!$A:$C,MATCH($C$1,Database!$A$1:$C$1,),))</f>
        <v/>
      </c>
      <c r="D2363">
        <f>IFERROR(Table7[[#This Row],[United States 10y]]-Table7[[#This Row],[United States 3y]],#N/A)</f>
        <v/>
      </c>
    </row>
    <row r="2364">
      <c r="A2364" s="6">
        <f>Database!$A4449</f>
        <v/>
      </c>
      <c r="B2364">
        <f>IF(VLOOKUP(Table7[[#This Row],[Date]],Database!$A:$C,MATCH($B$1,Database!$A$1:$C$1,),)=0,#N/A,VLOOKUP(Table7[[#This Row],[Date]],Database!$A:$C,MATCH($B$1,Database!$A$1:$C$1,),))</f>
        <v/>
      </c>
      <c r="C2364">
        <f>IF(VLOOKUP(Table7[[#This Row],[Date]],Database!$A:$C,MATCH($C$1,Database!$A$1:$C$1,),)=0,#N/A,VLOOKUP(Table7[[#This Row],[Date]],Database!$A:$C,MATCH($C$1,Database!$A$1:$C$1,),))</f>
        <v/>
      </c>
      <c r="D2364">
        <f>IFERROR(Table7[[#This Row],[United States 10y]]-Table7[[#This Row],[United States 3y]],#N/A)</f>
        <v/>
      </c>
    </row>
    <row r="2365">
      <c r="A2365" s="6">
        <f>Database!$A4450</f>
        <v/>
      </c>
      <c r="B2365">
        <f>IF(VLOOKUP(Table7[[#This Row],[Date]],Database!$A:$C,MATCH($B$1,Database!$A$1:$C$1,),)=0,#N/A,VLOOKUP(Table7[[#This Row],[Date]],Database!$A:$C,MATCH($B$1,Database!$A$1:$C$1,),))</f>
        <v/>
      </c>
      <c r="C2365">
        <f>IF(VLOOKUP(Table7[[#This Row],[Date]],Database!$A:$C,MATCH($C$1,Database!$A$1:$C$1,),)=0,#N/A,VLOOKUP(Table7[[#This Row],[Date]],Database!$A:$C,MATCH($C$1,Database!$A$1:$C$1,),))</f>
        <v/>
      </c>
      <c r="D2365">
        <f>IFERROR(Table7[[#This Row],[United States 10y]]-Table7[[#This Row],[United States 3y]],#N/A)</f>
        <v/>
      </c>
    </row>
    <row r="2366">
      <c r="A2366" s="6">
        <f>Database!$A4451</f>
        <v/>
      </c>
      <c r="B2366">
        <f>IF(VLOOKUP(Table7[[#This Row],[Date]],Database!$A:$C,MATCH($B$1,Database!$A$1:$C$1,),)=0,#N/A,VLOOKUP(Table7[[#This Row],[Date]],Database!$A:$C,MATCH($B$1,Database!$A$1:$C$1,),))</f>
        <v/>
      </c>
      <c r="C2366">
        <f>IF(VLOOKUP(Table7[[#This Row],[Date]],Database!$A:$C,MATCH($C$1,Database!$A$1:$C$1,),)=0,#N/A,VLOOKUP(Table7[[#This Row],[Date]],Database!$A:$C,MATCH($C$1,Database!$A$1:$C$1,),))</f>
        <v/>
      </c>
      <c r="D2366">
        <f>IFERROR(Table7[[#This Row],[United States 10y]]-Table7[[#This Row],[United States 3y]],#N/A)</f>
        <v/>
      </c>
    </row>
    <row r="2367">
      <c r="A2367" s="6">
        <f>Database!$A4452</f>
        <v/>
      </c>
      <c r="B2367">
        <f>IF(VLOOKUP(Table7[[#This Row],[Date]],Database!$A:$C,MATCH($B$1,Database!$A$1:$C$1,),)=0,#N/A,VLOOKUP(Table7[[#This Row],[Date]],Database!$A:$C,MATCH($B$1,Database!$A$1:$C$1,),))</f>
        <v/>
      </c>
      <c r="C2367">
        <f>IF(VLOOKUP(Table7[[#This Row],[Date]],Database!$A:$C,MATCH($C$1,Database!$A$1:$C$1,),)=0,#N/A,VLOOKUP(Table7[[#This Row],[Date]],Database!$A:$C,MATCH($C$1,Database!$A$1:$C$1,),))</f>
        <v/>
      </c>
      <c r="D2367">
        <f>IFERROR(Table7[[#This Row],[United States 10y]]-Table7[[#This Row],[United States 3y]],#N/A)</f>
        <v/>
      </c>
    </row>
    <row r="2368">
      <c r="A2368" s="6">
        <f>Database!$A4453</f>
        <v/>
      </c>
      <c r="B2368">
        <f>IF(VLOOKUP(Table7[[#This Row],[Date]],Database!$A:$C,MATCH($B$1,Database!$A$1:$C$1,),)=0,#N/A,VLOOKUP(Table7[[#This Row],[Date]],Database!$A:$C,MATCH($B$1,Database!$A$1:$C$1,),))</f>
        <v/>
      </c>
      <c r="C2368">
        <f>IF(VLOOKUP(Table7[[#This Row],[Date]],Database!$A:$C,MATCH($C$1,Database!$A$1:$C$1,),)=0,#N/A,VLOOKUP(Table7[[#This Row],[Date]],Database!$A:$C,MATCH($C$1,Database!$A$1:$C$1,),))</f>
        <v/>
      </c>
      <c r="D2368">
        <f>IFERROR(Table7[[#This Row],[United States 10y]]-Table7[[#This Row],[United States 3y]],#N/A)</f>
        <v/>
      </c>
    </row>
    <row r="2369">
      <c r="A2369" s="6">
        <f>Database!$A4454</f>
        <v/>
      </c>
      <c r="B2369">
        <f>IF(VLOOKUP(Table7[[#This Row],[Date]],Database!$A:$C,MATCH($B$1,Database!$A$1:$C$1,),)=0,#N/A,VLOOKUP(Table7[[#This Row],[Date]],Database!$A:$C,MATCH($B$1,Database!$A$1:$C$1,),))</f>
        <v/>
      </c>
      <c r="C2369">
        <f>IF(VLOOKUP(Table7[[#This Row],[Date]],Database!$A:$C,MATCH($C$1,Database!$A$1:$C$1,),)=0,#N/A,VLOOKUP(Table7[[#This Row],[Date]],Database!$A:$C,MATCH($C$1,Database!$A$1:$C$1,),))</f>
        <v/>
      </c>
      <c r="D2369">
        <f>IFERROR(Table7[[#This Row],[United States 10y]]-Table7[[#This Row],[United States 3y]],#N/A)</f>
        <v/>
      </c>
    </row>
    <row r="2370">
      <c r="A2370" s="6">
        <f>Database!$A4455</f>
        <v/>
      </c>
      <c r="B2370">
        <f>IF(VLOOKUP(Table7[[#This Row],[Date]],Database!$A:$C,MATCH($B$1,Database!$A$1:$C$1,),)=0,#N/A,VLOOKUP(Table7[[#This Row],[Date]],Database!$A:$C,MATCH($B$1,Database!$A$1:$C$1,),))</f>
        <v/>
      </c>
      <c r="C2370">
        <f>IF(VLOOKUP(Table7[[#This Row],[Date]],Database!$A:$C,MATCH($C$1,Database!$A$1:$C$1,),)=0,#N/A,VLOOKUP(Table7[[#This Row],[Date]],Database!$A:$C,MATCH($C$1,Database!$A$1:$C$1,),))</f>
        <v/>
      </c>
      <c r="D2370">
        <f>IFERROR(Table7[[#This Row],[United States 10y]]-Table7[[#This Row],[United States 3y]],#N/A)</f>
        <v/>
      </c>
    </row>
    <row r="2371">
      <c r="A2371" s="6">
        <f>Database!$A4456</f>
        <v/>
      </c>
      <c r="B2371">
        <f>IF(VLOOKUP(Table7[[#This Row],[Date]],Database!$A:$C,MATCH($B$1,Database!$A$1:$C$1,),)=0,#N/A,VLOOKUP(Table7[[#This Row],[Date]],Database!$A:$C,MATCH($B$1,Database!$A$1:$C$1,),))</f>
        <v/>
      </c>
      <c r="C2371">
        <f>IF(VLOOKUP(Table7[[#This Row],[Date]],Database!$A:$C,MATCH($C$1,Database!$A$1:$C$1,),)=0,#N/A,VLOOKUP(Table7[[#This Row],[Date]],Database!$A:$C,MATCH($C$1,Database!$A$1:$C$1,),))</f>
        <v/>
      </c>
      <c r="D2371">
        <f>IFERROR(Table7[[#This Row],[United States 10y]]-Table7[[#This Row],[United States 3y]],#N/A)</f>
        <v/>
      </c>
    </row>
    <row r="2372">
      <c r="A2372" s="6">
        <f>Database!$A4457</f>
        <v/>
      </c>
      <c r="B2372">
        <f>IF(VLOOKUP(Table7[[#This Row],[Date]],Database!$A:$C,MATCH($B$1,Database!$A$1:$C$1,),)=0,#N/A,VLOOKUP(Table7[[#This Row],[Date]],Database!$A:$C,MATCH($B$1,Database!$A$1:$C$1,),))</f>
        <v/>
      </c>
      <c r="C2372">
        <f>IF(VLOOKUP(Table7[[#This Row],[Date]],Database!$A:$C,MATCH($C$1,Database!$A$1:$C$1,),)=0,#N/A,VLOOKUP(Table7[[#This Row],[Date]],Database!$A:$C,MATCH($C$1,Database!$A$1:$C$1,),))</f>
        <v/>
      </c>
      <c r="D2372">
        <f>IFERROR(Table7[[#This Row],[United States 10y]]-Table7[[#This Row],[United States 3y]],#N/A)</f>
        <v/>
      </c>
    </row>
    <row r="2373">
      <c r="A2373" s="6">
        <f>Database!$A4458</f>
        <v/>
      </c>
      <c r="B2373">
        <f>IF(VLOOKUP(Table7[[#This Row],[Date]],Database!$A:$C,MATCH($B$1,Database!$A$1:$C$1,),)=0,#N/A,VLOOKUP(Table7[[#This Row],[Date]],Database!$A:$C,MATCH($B$1,Database!$A$1:$C$1,),))</f>
        <v/>
      </c>
      <c r="C2373">
        <f>IF(VLOOKUP(Table7[[#This Row],[Date]],Database!$A:$C,MATCH($C$1,Database!$A$1:$C$1,),)=0,#N/A,VLOOKUP(Table7[[#This Row],[Date]],Database!$A:$C,MATCH($C$1,Database!$A$1:$C$1,),))</f>
        <v/>
      </c>
      <c r="D2373">
        <f>IFERROR(Table7[[#This Row],[United States 10y]]-Table7[[#This Row],[United States 3y]],#N/A)</f>
        <v/>
      </c>
    </row>
    <row r="2374">
      <c r="A2374" s="6">
        <f>Database!$A4459</f>
        <v/>
      </c>
      <c r="B2374">
        <f>IF(VLOOKUP(Table7[[#This Row],[Date]],Database!$A:$C,MATCH($B$1,Database!$A$1:$C$1,),)=0,#N/A,VLOOKUP(Table7[[#This Row],[Date]],Database!$A:$C,MATCH($B$1,Database!$A$1:$C$1,),))</f>
        <v/>
      </c>
      <c r="C2374">
        <f>IF(VLOOKUP(Table7[[#This Row],[Date]],Database!$A:$C,MATCH($C$1,Database!$A$1:$C$1,),)=0,#N/A,VLOOKUP(Table7[[#This Row],[Date]],Database!$A:$C,MATCH($C$1,Database!$A$1:$C$1,),))</f>
        <v/>
      </c>
      <c r="D2374">
        <f>IFERROR(Table7[[#This Row],[United States 10y]]-Table7[[#This Row],[United States 3y]],#N/A)</f>
        <v/>
      </c>
    </row>
    <row r="2375">
      <c r="A2375" s="6">
        <f>Database!$A4460</f>
        <v/>
      </c>
      <c r="B2375">
        <f>IF(VLOOKUP(Table7[[#This Row],[Date]],Database!$A:$C,MATCH($B$1,Database!$A$1:$C$1,),)=0,#N/A,VLOOKUP(Table7[[#This Row],[Date]],Database!$A:$C,MATCH($B$1,Database!$A$1:$C$1,),))</f>
        <v/>
      </c>
      <c r="C2375">
        <f>IF(VLOOKUP(Table7[[#This Row],[Date]],Database!$A:$C,MATCH($C$1,Database!$A$1:$C$1,),)=0,#N/A,VLOOKUP(Table7[[#This Row],[Date]],Database!$A:$C,MATCH($C$1,Database!$A$1:$C$1,),))</f>
        <v/>
      </c>
      <c r="D2375">
        <f>IFERROR(Table7[[#This Row],[United States 10y]]-Table7[[#This Row],[United States 3y]],#N/A)</f>
        <v/>
      </c>
    </row>
    <row r="2376">
      <c r="A2376" s="6">
        <f>Database!$A4461</f>
        <v/>
      </c>
      <c r="B2376">
        <f>IF(VLOOKUP(Table7[[#This Row],[Date]],Database!$A:$C,MATCH($B$1,Database!$A$1:$C$1,),)=0,#N/A,VLOOKUP(Table7[[#This Row],[Date]],Database!$A:$C,MATCH($B$1,Database!$A$1:$C$1,),))</f>
        <v/>
      </c>
      <c r="C2376">
        <f>IF(VLOOKUP(Table7[[#This Row],[Date]],Database!$A:$C,MATCH($C$1,Database!$A$1:$C$1,),)=0,#N/A,VLOOKUP(Table7[[#This Row],[Date]],Database!$A:$C,MATCH($C$1,Database!$A$1:$C$1,),))</f>
        <v/>
      </c>
      <c r="D2376">
        <f>IFERROR(Table7[[#This Row],[United States 10y]]-Table7[[#This Row],[United States 3y]],#N/A)</f>
        <v/>
      </c>
    </row>
    <row r="2377">
      <c r="A2377" s="6">
        <f>Database!$A4462</f>
        <v/>
      </c>
      <c r="B2377">
        <f>IF(VLOOKUP(Table7[[#This Row],[Date]],Database!$A:$C,MATCH($B$1,Database!$A$1:$C$1,),)=0,#N/A,VLOOKUP(Table7[[#This Row],[Date]],Database!$A:$C,MATCH($B$1,Database!$A$1:$C$1,),))</f>
        <v/>
      </c>
      <c r="C2377">
        <f>IF(VLOOKUP(Table7[[#This Row],[Date]],Database!$A:$C,MATCH($C$1,Database!$A$1:$C$1,),)=0,#N/A,VLOOKUP(Table7[[#This Row],[Date]],Database!$A:$C,MATCH($C$1,Database!$A$1:$C$1,),))</f>
        <v/>
      </c>
      <c r="D2377">
        <f>IFERROR(Table7[[#This Row],[United States 10y]]-Table7[[#This Row],[United States 3y]],#N/A)</f>
        <v/>
      </c>
    </row>
    <row r="2378">
      <c r="A2378" s="6">
        <f>Database!$A4463</f>
        <v/>
      </c>
      <c r="B2378">
        <f>IF(VLOOKUP(Table7[[#This Row],[Date]],Database!$A:$C,MATCH($B$1,Database!$A$1:$C$1,),)=0,#N/A,VLOOKUP(Table7[[#This Row],[Date]],Database!$A:$C,MATCH($B$1,Database!$A$1:$C$1,),))</f>
        <v/>
      </c>
      <c r="C2378">
        <f>IF(VLOOKUP(Table7[[#This Row],[Date]],Database!$A:$C,MATCH($C$1,Database!$A$1:$C$1,),)=0,#N/A,VLOOKUP(Table7[[#This Row],[Date]],Database!$A:$C,MATCH($C$1,Database!$A$1:$C$1,),))</f>
        <v/>
      </c>
      <c r="D2378">
        <f>IFERROR(Table7[[#This Row],[United States 10y]]-Table7[[#This Row],[United States 3y]],#N/A)</f>
        <v/>
      </c>
    </row>
    <row r="2379">
      <c r="A2379" s="6">
        <f>Database!$A4464</f>
        <v/>
      </c>
      <c r="B2379">
        <f>IF(VLOOKUP(Table7[[#This Row],[Date]],Database!$A:$C,MATCH($B$1,Database!$A$1:$C$1,),)=0,#N/A,VLOOKUP(Table7[[#This Row],[Date]],Database!$A:$C,MATCH($B$1,Database!$A$1:$C$1,),))</f>
        <v/>
      </c>
      <c r="C2379">
        <f>IF(VLOOKUP(Table7[[#This Row],[Date]],Database!$A:$C,MATCH($C$1,Database!$A$1:$C$1,),)=0,#N/A,VLOOKUP(Table7[[#This Row],[Date]],Database!$A:$C,MATCH($C$1,Database!$A$1:$C$1,),))</f>
        <v/>
      </c>
      <c r="D2379">
        <f>IFERROR(Table7[[#This Row],[United States 10y]]-Table7[[#This Row],[United States 3y]],#N/A)</f>
        <v/>
      </c>
    </row>
    <row r="2380">
      <c r="A2380" s="6">
        <f>Database!$A4465</f>
        <v/>
      </c>
      <c r="B2380">
        <f>IF(VLOOKUP(Table7[[#This Row],[Date]],Database!$A:$C,MATCH($B$1,Database!$A$1:$C$1,),)=0,#N/A,VLOOKUP(Table7[[#This Row],[Date]],Database!$A:$C,MATCH($B$1,Database!$A$1:$C$1,),))</f>
        <v/>
      </c>
      <c r="C2380">
        <f>IF(VLOOKUP(Table7[[#This Row],[Date]],Database!$A:$C,MATCH($C$1,Database!$A$1:$C$1,),)=0,#N/A,VLOOKUP(Table7[[#This Row],[Date]],Database!$A:$C,MATCH($C$1,Database!$A$1:$C$1,),))</f>
        <v/>
      </c>
      <c r="D2380">
        <f>IFERROR(Table7[[#This Row],[United States 10y]]-Table7[[#This Row],[United States 3y]],#N/A)</f>
        <v/>
      </c>
    </row>
    <row r="2381">
      <c r="A2381" s="6">
        <f>Database!$A4466</f>
        <v/>
      </c>
      <c r="B2381">
        <f>IF(VLOOKUP(Table7[[#This Row],[Date]],Database!$A:$C,MATCH($B$1,Database!$A$1:$C$1,),)=0,#N/A,VLOOKUP(Table7[[#This Row],[Date]],Database!$A:$C,MATCH($B$1,Database!$A$1:$C$1,),))</f>
        <v/>
      </c>
      <c r="C2381">
        <f>IF(VLOOKUP(Table7[[#This Row],[Date]],Database!$A:$C,MATCH($C$1,Database!$A$1:$C$1,),)=0,#N/A,VLOOKUP(Table7[[#This Row],[Date]],Database!$A:$C,MATCH($C$1,Database!$A$1:$C$1,),))</f>
        <v/>
      </c>
      <c r="D2381">
        <f>IFERROR(Table7[[#This Row],[United States 10y]]-Table7[[#This Row],[United States 3y]],#N/A)</f>
        <v/>
      </c>
    </row>
    <row r="2382">
      <c r="A2382" s="6">
        <f>Database!$A4467</f>
        <v/>
      </c>
      <c r="B2382">
        <f>IF(VLOOKUP(Table7[[#This Row],[Date]],Database!$A:$C,MATCH($B$1,Database!$A$1:$C$1,),)=0,#N/A,VLOOKUP(Table7[[#This Row],[Date]],Database!$A:$C,MATCH($B$1,Database!$A$1:$C$1,),))</f>
        <v/>
      </c>
      <c r="C2382">
        <f>IF(VLOOKUP(Table7[[#This Row],[Date]],Database!$A:$C,MATCH($C$1,Database!$A$1:$C$1,),)=0,#N/A,VLOOKUP(Table7[[#This Row],[Date]],Database!$A:$C,MATCH($C$1,Database!$A$1:$C$1,),))</f>
        <v/>
      </c>
      <c r="D2382">
        <f>IFERROR(Table7[[#This Row],[United States 10y]]-Table7[[#This Row],[United States 3y]],#N/A)</f>
        <v/>
      </c>
    </row>
    <row r="2383">
      <c r="A2383" s="6">
        <f>Database!$A4468</f>
        <v/>
      </c>
      <c r="B2383">
        <f>IF(VLOOKUP(Table7[[#This Row],[Date]],Database!$A:$C,MATCH($B$1,Database!$A$1:$C$1,),)=0,#N/A,VLOOKUP(Table7[[#This Row],[Date]],Database!$A:$C,MATCH($B$1,Database!$A$1:$C$1,),))</f>
        <v/>
      </c>
      <c r="C2383">
        <f>IF(VLOOKUP(Table7[[#This Row],[Date]],Database!$A:$C,MATCH($C$1,Database!$A$1:$C$1,),)=0,#N/A,VLOOKUP(Table7[[#This Row],[Date]],Database!$A:$C,MATCH($C$1,Database!$A$1:$C$1,),))</f>
        <v/>
      </c>
      <c r="D2383">
        <f>IFERROR(Table7[[#This Row],[United States 10y]]-Table7[[#This Row],[United States 3y]],#N/A)</f>
        <v/>
      </c>
    </row>
    <row r="2384">
      <c r="A2384" s="6">
        <f>Database!$A4469</f>
        <v/>
      </c>
      <c r="B2384">
        <f>IF(VLOOKUP(Table7[[#This Row],[Date]],Database!$A:$C,MATCH($B$1,Database!$A$1:$C$1,),)=0,#N/A,VLOOKUP(Table7[[#This Row],[Date]],Database!$A:$C,MATCH($B$1,Database!$A$1:$C$1,),))</f>
        <v/>
      </c>
      <c r="C2384">
        <f>IF(VLOOKUP(Table7[[#This Row],[Date]],Database!$A:$C,MATCH($C$1,Database!$A$1:$C$1,),)=0,#N/A,VLOOKUP(Table7[[#This Row],[Date]],Database!$A:$C,MATCH($C$1,Database!$A$1:$C$1,),))</f>
        <v/>
      </c>
      <c r="D2384">
        <f>IFERROR(Table7[[#This Row],[United States 10y]]-Table7[[#This Row],[United States 3y]],#N/A)</f>
        <v/>
      </c>
    </row>
    <row r="2385">
      <c r="A2385" s="6">
        <f>Database!$A4470</f>
        <v/>
      </c>
      <c r="B2385">
        <f>IF(VLOOKUP(Table7[[#This Row],[Date]],Database!$A:$C,MATCH($B$1,Database!$A$1:$C$1,),)=0,#N/A,VLOOKUP(Table7[[#This Row],[Date]],Database!$A:$C,MATCH($B$1,Database!$A$1:$C$1,),))</f>
        <v/>
      </c>
      <c r="C2385">
        <f>IF(VLOOKUP(Table7[[#This Row],[Date]],Database!$A:$C,MATCH($C$1,Database!$A$1:$C$1,),)=0,#N/A,VLOOKUP(Table7[[#This Row],[Date]],Database!$A:$C,MATCH($C$1,Database!$A$1:$C$1,),))</f>
        <v/>
      </c>
      <c r="D2385">
        <f>IFERROR(Table7[[#This Row],[United States 10y]]-Table7[[#This Row],[United States 3y]],#N/A)</f>
        <v/>
      </c>
    </row>
    <row r="2386">
      <c r="A2386" s="6">
        <f>Database!$A4471</f>
        <v/>
      </c>
      <c r="B2386">
        <f>IF(VLOOKUP(Table7[[#This Row],[Date]],Database!$A:$C,MATCH($B$1,Database!$A$1:$C$1,),)=0,#N/A,VLOOKUP(Table7[[#This Row],[Date]],Database!$A:$C,MATCH($B$1,Database!$A$1:$C$1,),))</f>
        <v/>
      </c>
      <c r="C2386">
        <f>IF(VLOOKUP(Table7[[#This Row],[Date]],Database!$A:$C,MATCH($C$1,Database!$A$1:$C$1,),)=0,#N/A,VLOOKUP(Table7[[#This Row],[Date]],Database!$A:$C,MATCH($C$1,Database!$A$1:$C$1,),))</f>
        <v/>
      </c>
      <c r="D2386">
        <f>IFERROR(Table7[[#This Row],[United States 10y]]-Table7[[#This Row],[United States 3y]],#N/A)</f>
        <v/>
      </c>
    </row>
    <row r="2387">
      <c r="A2387" s="6">
        <f>Database!$A4472</f>
        <v/>
      </c>
      <c r="B2387">
        <f>IF(VLOOKUP(Table7[[#This Row],[Date]],Database!$A:$C,MATCH($B$1,Database!$A$1:$C$1,),)=0,#N/A,VLOOKUP(Table7[[#This Row],[Date]],Database!$A:$C,MATCH($B$1,Database!$A$1:$C$1,),))</f>
        <v/>
      </c>
      <c r="C2387">
        <f>IF(VLOOKUP(Table7[[#This Row],[Date]],Database!$A:$C,MATCH($C$1,Database!$A$1:$C$1,),)=0,#N/A,VLOOKUP(Table7[[#This Row],[Date]],Database!$A:$C,MATCH($C$1,Database!$A$1:$C$1,),))</f>
        <v/>
      </c>
      <c r="D2387">
        <f>IFERROR(Table7[[#This Row],[United States 10y]]-Table7[[#This Row],[United States 3y]],#N/A)</f>
        <v/>
      </c>
    </row>
    <row r="2388">
      <c r="A2388" s="6">
        <f>Database!$A4473</f>
        <v/>
      </c>
      <c r="B2388">
        <f>IF(VLOOKUP(Table7[[#This Row],[Date]],Database!$A:$C,MATCH($B$1,Database!$A$1:$C$1,),)=0,#N/A,VLOOKUP(Table7[[#This Row],[Date]],Database!$A:$C,MATCH($B$1,Database!$A$1:$C$1,),))</f>
        <v/>
      </c>
      <c r="C2388">
        <f>IF(VLOOKUP(Table7[[#This Row],[Date]],Database!$A:$C,MATCH($C$1,Database!$A$1:$C$1,),)=0,#N/A,VLOOKUP(Table7[[#This Row],[Date]],Database!$A:$C,MATCH($C$1,Database!$A$1:$C$1,),))</f>
        <v/>
      </c>
      <c r="D2388">
        <f>IFERROR(Table7[[#This Row],[United States 10y]]-Table7[[#This Row],[United States 3y]],#N/A)</f>
        <v/>
      </c>
    </row>
    <row r="2389">
      <c r="A2389" s="6">
        <f>Database!$A4474</f>
        <v/>
      </c>
      <c r="B2389">
        <f>IF(VLOOKUP(Table7[[#This Row],[Date]],Database!$A:$C,MATCH($B$1,Database!$A$1:$C$1,),)=0,#N/A,VLOOKUP(Table7[[#This Row],[Date]],Database!$A:$C,MATCH($B$1,Database!$A$1:$C$1,),))</f>
        <v/>
      </c>
      <c r="C2389">
        <f>IF(VLOOKUP(Table7[[#This Row],[Date]],Database!$A:$C,MATCH($C$1,Database!$A$1:$C$1,),)=0,#N/A,VLOOKUP(Table7[[#This Row],[Date]],Database!$A:$C,MATCH($C$1,Database!$A$1:$C$1,),))</f>
        <v/>
      </c>
      <c r="D2389">
        <f>IFERROR(Table7[[#This Row],[United States 10y]]-Table7[[#This Row],[United States 3y]],#N/A)</f>
        <v/>
      </c>
    </row>
    <row r="2390">
      <c r="A2390" s="6">
        <f>Database!$A4475</f>
        <v/>
      </c>
      <c r="B2390">
        <f>IF(VLOOKUP(Table7[[#This Row],[Date]],Database!$A:$C,MATCH($B$1,Database!$A$1:$C$1,),)=0,#N/A,VLOOKUP(Table7[[#This Row],[Date]],Database!$A:$C,MATCH($B$1,Database!$A$1:$C$1,),))</f>
        <v/>
      </c>
      <c r="C2390">
        <f>IF(VLOOKUP(Table7[[#This Row],[Date]],Database!$A:$C,MATCH($C$1,Database!$A$1:$C$1,),)=0,#N/A,VLOOKUP(Table7[[#This Row],[Date]],Database!$A:$C,MATCH($C$1,Database!$A$1:$C$1,),))</f>
        <v/>
      </c>
      <c r="D2390">
        <f>IFERROR(Table7[[#This Row],[United States 10y]]-Table7[[#This Row],[United States 3y]],#N/A)</f>
        <v/>
      </c>
    </row>
    <row r="2391">
      <c r="A2391" s="6">
        <f>Database!$A4476</f>
        <v/>
      </c>
      <c r="B2391">
        <f>IF(VLOOKUP(Table7[[#This Row],[Date]],Database!$A:$C,MATCH($B$1,Database!$A$1:$C$1,),)=0,#N/A,VLOOKUP(Table7[[#This Row],[Date]],Database!$A:$C,MATCH($B$1,Database!$A$1:$C$1,),))</f>
        <v/>
      </c>
      <c r="C2391">
        <f>IF(VLOOKUP(Table7[[#This Row],[Date]],Database!$A:$C,MATCH($C$1,Database!$A$1:$C$1,),)=0,#N/A,VLOOKUP(Table7[[#This Row],[Date]],Database!$A:$C,MATCH($C$1,Database!$A$1:$C$1,),))</f>
        <v/>
      </c>
      <c r="D2391">
        <f>IFERROR(Table7[[#This Row],[United States 10y]]-Table7[[#This Row],[United States 3y]],#N/A)</f>
        <v/>
      </c>
    </row>
    <row r="2392">
      <c r="A2392" s="6">
        <f>Database!$A4477</f>
        <v/>
      </c>
      <c r="B2392">
        <f>IF(VLOOKUP(Table7[[#This Row],[Date]],Database!$A:$C,MATCH($B$1,Database!$A$1:$C$1,),)=0,#N/A,VLOOKUP(Table7[[#This Row],[Date]],Database!$A:$C,MATCH($B$1,Database!$A$1:$C$1,),))</f>
        <v/>
      </c>
      <c r="C2392">
        <f>IF(VLOOKUP(Table7[[#This Row],[Date]],Database!$A:$C,MATCH($C$1,Database!$A$1:$C$1,),)=0,#N/A,VLOOKUP(Table7[[#This Row],[Date]],Database!$A:$C,MATCH($C$1,Database!$A$1:$C$1,),))</f>
        <v/>
      </c>
      <c r="D2392">
        <f>IFERROR(Table7[[#This Row],[United States 10y]]-Table7[[#This Row],[United States 3y]],#N/A)</f>
        <v/>
      </c>
    </row>
    <row r="2393">
      <c r="A2393" s="6">
        <f>Database!$A4478</f>
        <v/>
      </c>
      <c r="B2393">
        <f>IF(VLOOKUP(Table7[[#This Row],[Date]],Database!$A:$C,MATCH($B$1,Database!$A$1:$C$1,),)=0,#N/A,VLOOKUP(Table7[[#This Row],[Date]],Database!$A:$C,MATCH($B$1,Database!$A$1:$C$1,),))</f>
        <v/>
      </c>
      <c r="C2393">
        <f>IF(VLOOKUP(Table7[[#This Row],[Date]],Database!$A:$C,MATCH($C$1,Database!$A$1:$C$1,),)=0,#N/A,VLOOKUP(Table7[[#This Row],[Date]],Database!$A:$C,MATCH($C$1,Database!$A$1:$C$1,),))</f>
        <v/>
      </c>
      <c r="D2393">
        <f>IFERROR(Table7[[#This Row],[United States 10y]]-Table7[[#This Row],[United States 3y]],#N/A)</f>
        <v/>
      </c>
    </row>
    <row r="2394">
      <c r="A2394" s="6">
        <f>Database!$A4479</f>
        <v/>
      </c>
      <c r="B2394">
        <f>IF(VLOOKUP(Table7[[#This Row],[Date]],Database!$A:$C,MATCH($B$1,Database!$A$1:$C$1,),)=0,#N/A,VLOOKUP(Table7[[#This Row],[Date]],Database!$A:$C,MATCH($B$1,Database!$A$1:$C$1,),))</f>
        <v/>
      </c>
      <c r="C2394">
        <f>IF(VLOOKUP(Table7[[#This Row],[Date]],Database!$A:$C,MATCH($C$1,Database!$A$1:$C$1,),)=0,#N/A,VLOOKUP(Table7[[#This Row],[Date]],Database!$A:$C,MATCH($C$1,Database!$A$1:$C$1,),))</f>
        <v/>
      </c>
      <c r="D2394">
        <f>IFERROR(Table7[[#This Row],[United States 10y]]-Table7[[#This Row],[United States 3y]],#N/A)</f>
        <v/>
      </c>
    </row>
    <row r="2395">
      <c r="A2395" s="6">
        <f>Database!$A4480</f>
        <v/>
      </c>
      <c r="B2395">
        <f>IF(VLOOKUP(Table7[[#This Row],[Date]],Database!$A:$C,MATCH($B$1,Database!$A$1:$C$1,),)=0,#N/A,VLOOKUP(Table7[[#This Row],[Date]],Database!$A:$C,MATCH($B$1,Database!$A$1:$C$1,),))</f>
        <v/>
      </c>
      <c r="C2395">
        <f>IF(VLOOKUP(Table7[[#This Row],[Date]],Database!$A:$C,MATCH($C$1,Database!$A$1:$C$1,),)=0,#N/A,VLOOKUP(Table7[[#This Row],[Date]],Database!$A:$C,MATCH($C$1,Database!$A$1:$C$1,),))</f>
        <v/>
      </c>
      <c r="D2395">
        <f>IFERROR(Table7[[#This Row],[United States 10y]]-Table7[[#This Row],[United States 3y]],#N/A)</f>
        <v/>
      </c>
    </row>
    <row r="2396">
      <c r="A2396" s="6">
        <f>Database!$A4481</f>
        <v/>
      </c>
      <c r="B2396">
        <f>IF(VLOOKUP(Table7[[#This Row],[Date]],Database!$A:$C,MATCH($B$1,Database!$A$1:$C$1,),)=0,#N/A,VLOOKUP(Table7[[#This Row],[Date]],Database!$A:$C,MATCH($B$1,Database!$A$1:$C$1,),))</f>
        <v/>
      </c>
      <c r="C2396">
        <f>IF(VLOOKUP(Table7[[#This Row],[Date]],Database!$A:$C,MATCH($C$1,Database!$A$1:$C$1,),)=0,#N/A,VLOOKUP(Table7[[#This Row],[Date]],Database!$A:$C,MATCH($C$1,Database!$A$1:$C$1,),))</f>
        <v/>
      </c>
      <c r="D2396">
        <f>IFERROR(Table7[[#This Row],[United States 10y]]-Table7[[#This Row],[United States 3y]],#N/A)</f>
        <v/>
      </c>
    </row>
    <row r="2397">
      <c r="A2397" s="6">
        <f>Database!$A4482</f>
        <v/>
      </c>
      <c r="B2397">
        <f>IF(VLOOKUP(Table7[[#This Row],[Date]],Database!$A:$C,MATCH($B$1,Database!$A$1:$C$1,),)=0,#N/A,VLOOKUP(Table7[[#This Row],[Date]],Database!$A:$C,MATCH($B$1,Database!$A$1:$C$1,),))</f>
        <v/>
      </c>
      <c r="C2397">
        <f>IF(VLOOKUP(Table7[[#This Row],[Date]],Database!$A:$C,MATCH($C$1,Database!$A$1:$C$1,),)=0,#N/A,VLOOKUP(Table7[[#This Row],[Date]],Database!$A:$C,MATCH($C$1,Database!$A$1:$C$1,),))</f>
        <v/>
      </c>
      <c r="D2397">
        <f>IFERROR(Table7[[#This Row],[United States 10y]]-Table7[[#This Row],[United States 3y]],#N/A)</f>
        <v/>
      </c>
    </row>
    <row r="2398">
      <c r="A2398" s="6">
        <f>Database!$A4483</f>
        <v/>
      </c>
      <c r="B2398">
        <f>IF(VLOOKUP(Table7[[#This Row],[Date]],Database!$A:$C,MATCH($B$1,Database!$A$1:$C$1,),)=0,#N/A,VLOOKUP(Table7[[#This Row],[Date]],Database!$A:$C,MATCH($B$1,Database!$A$1:$C$1,),))</f>
        <v/>
      </c>
      <c r="C2398">
        <f>IF(VLOOKUP(Table7[[#This Row],[Date]],Database!$A:$C,MATCH($C$1,Database!$A$1:$C$1,),)=0,#N/A,VLOOKUP(Table7[[#This Row],[Date]],Database!$A:$C,MATCH($C$1,Database!$A$1:$C$1,),))</f>
        <v/>
      </c>
      <c r="D2398">
        <f>IFERROR(Table7[[#This Row],[United States 10y]]-Table7[[#This Row],[United States 3y]],#N/A)</f>
        <v/>
      </c>
    </row>
    <row r="2399">
      <c r="A2399" s="6">
        <f>Database!$A4484</f>
        <v/>
      </c>
      <c r="B2399">
        <f>IF(VLOOKUP(Table7[[#This Row],[Date]],Database!$A:$C,MATCH($B$1,Database!$A$1:$C$1,),)=0,#N/A,VLOOKUP(Table7[[#This Row],[Date]],Database!$A:$C,MATCH($B$1,Database!$A$1:$C$1,),))</f>
        <v/>
      </c>
      <c r="C2399">
        <f>IF(VLOOKUP(Table7[[#This Row],[Date]],Database!$A:$C,MATCH($C$1,Database!$A$1:$C$1,),)=0,#N/A,VLOOKUP(Table7[[#This Row],[Date]],Database!$A:$C,MATCH($C$1,Database!$A$1:$C$1,),))</f>
        <v/>
      </c>
      <c r="D2399">
        <f>IFERROR(Table7[[#This Row],[United States 10y]]-Table7[[#This Row],[United States 3y]],#N/A)</f>
        <v/>
      </c>
    </row>
    <row r="2400">
      <c r="A2400" s="6">
        <f>Database!$A4485</f>
        <v/>
      </c>
      <c r="B2400">
        <f>IF(VLOOKUP(Table7[[#This Row],[Date]],Database!$A:$C,MATCH($B$1,Database!$A$1:$C$1,),)=0,#N/A,VLOOKUP(Table7[[#This Row],[Date]],Database!$A:$C,MATCH($B$1,Database!$A$1:$C$1,),))</f>
        <v/>
      </c>
      <c r="C2400">
        <f>IF(VLOOKUP(Table7[[#This Row],[Date]],Database!$A:$C,MATCH($C$1,Database!$A$1:$C$1,),)=0,#N/A,VLOOKUP(Table7[[#This Row],[Date]],Database!$A:$C,MATCH($C$1,Database!$A$1:$C$1,),))</f>
        <v/>
      </c>
      <c r="D2400">
        <f>IFERROR(Table7[[#This Row],[United States 10y]]-Table7[[#This Row],[United States 3y]],#N/A)</f>
        <v/>
      </c>
    </row>
    <row r="2401">
      <c r="A2401" s="6">
        <f>Database!$A4486</f>
        <v/>
      </c>
      <c r="B2401">
        <f>IF(VLOOKUP(Table7[[#This Row],[Date]],Database!$A:$C,MATCH($B$1,Database!$A$1:$C$1,),)=0,#N/A,VLOOKUP(Table7[[#This Row],[Date]],Database!$A:$C,MATCH($B$1,Database!$A$1:$C$1,),))</f>
        <v/>
      </c>
      <c r="C2401">
        <f>IF(VLOOKUP(Table7[[#This Row],[Date]],Database!$A:$C,MATCH($C$1,Database!$A$1:$C$1,),)=0,#N/A,VLOOKUP(Table7[[#This Row],[Date]],Database!$A:$C,MATCH($C$1,Database!$A$1:$C$1,),))</f>
        <v/>
      </c>
      <c r="D2401">
        <f>IFERROR(Table7[[#This Row],[United States 10y]]-Table7[[#This Row],[United States 3y]],#N/A)</f>
        <v/>
      </c>
    </row>
    <row r="2402">
      <c r="A2402" s="6">
        <f>Database!$A4487</f>
        <v/>
      </c>
      <c r="B2402">
        <f>IF(VLOOKUP(Table7[[#This Row],[Date]],Database!$A:$C,MATCH($B$1,Database!$A$1:$C$1,),)=0,#N/A,VLOOKUP(Table7[[#This Row],[Date]],Database!$A:$C,MATCH($B$1,Database!$A$1:$C$1,),))</f>
        <v/>
      </c>
      <c r="C2402">
        <f>IF(VLOOKUP(Table7[[#This Row],[Date]],Database!$A:$C,MATCH($C$1,Database!$A$1:$C$1,),)=0,#N/A,VLOOKUP(Table7[[#This Row],[Date]],Database!$A:$C,MATCH($C$1,Database!$A$1:$C$1,),))</f>
        <v/>
      </c>
      <c r="D2402">
        <f>IFERROR(Table7[[#This Row],[United States 10y]]-Table7[[#This Row],[United States 3y]],#N/A)</f>
        <v/>
      </c>
    </row>
    <row r="2403">
      <c r="A2403" s="6">
        <f>Database!$A4488</f>
        <v/>
      </c>
      <c r="B2403">
        <f>IF(VLOOKUP(Table7[[#This Row],[Date]],Database!$A:$C,MATCH($B$1,Database!$A$1:$C$1,),)=0,#N/A,VLOOKUP(Table7[[#This Row],[Date]],Database!$A:$C,MATCH($B$1,Database!$A$1:$C$1,),))</f>
        <v/>
      </c>
      <c r="C2403">
        <f>IF(VLOOKUP(Table7[[#This Row],[Date]],Database!$A:$C,MATCH($C$1,Database!$A$1:$C$1,),)=0,#N/A,VLOOKUP(Table7[[#This Row],[Date]],Database!$A:$C,MATCH($C$1,Database!$A$1:$C$1,),))</f>
        <v/>
      </c>
      <c r="D2403">
        <f>IFERROR(Table7[[#This Row],[United States 10y]]-Table7[[#This Row],[United States 3y]],#N/A)</f>
        <v/>
      </c>
    </row>
    <row r="2404">
      <c r="A2404" s="6">
        <f>Database!$A4489</f>
        <v/>
      </c>
      <c r="B2404">
        <f>IF(VLOOKUP(Table7[[#This Row],[Date]],Database!$A:$C,MATCH($B$1,Database!$A$1:$C$1,),)=0,#N/A,VLOOKUP(Table7[[#This Row],[Date]],Database!$A:$C,MATCH($B$1,Database!$A$1:$C$1,),))</f>
        <v/>
      </c>
      <c r="C2404">
        <f>IF(VLOOKUP(Table7[[#This Row],[Date]],Database!$A:$C,MATCH($C$1,Database!$A$1:$C$1,),)=0,#N/A,VLOOKUP(Table7[[#This Row],[Date]],Database!$A:$C,MATCH($C$1,Database!$A$1:$C$1,),))</f>
        <v/>
      </c>
      <c r="D2404">
        <f>IFERROR(Table7[[#This Row],[United States 10y]]-Table7[[#This Row],[United States 3y]],#N/A)</f>
        <v/>
      </c>
    </row>
    <row r="2405">
      <c r="A2405" s="6">
        <f>Database!$A4490</f>
        <v/>
      </c>
      <c r="B2405">
        <f>IF(VLOOKUP(Table7[[#This Row],[Date]],Database!$A:$C,MATCH($B$1,Database!$A$1:$C$1,),)=0,#N/A,VLOOKUP(Table7[[#This Row],[Date]],Database!$A:$C,MATCH($B$1,Database!$A$1:$C$1,),))</f>
        <v/>
      </c>
      <c r="C2405">
        <f>IF(VLOOKUP(Table7[[#This Row],[Date]],Database!$A:$C,MATCH($C$1,Database!$A$1:$C$1,),)=0,#N/A,VLOOKUP(Table7[[#This Row],[Date]],Database!$A:$C,MATCH($C$1,Database!$A$1:$C$1,),))</f>
        <v/>
      </c>
      <c r="D2405">
        <f>IFERROR(Table7[[#This Row],[United States 10y]]-Table7[[#This Row],[United States 3y]],#N/A)</f>
        <v/>
      </c>
    </row>
    <row r="2406">
      <c r="A2406" s="6">
        <f>Database!$A4491</f>
        <v/>
      </c>
      <c r="B2406">
        <f>IF(VLOOKUP(Table7[[#This Row],[Date]],Database!$A:$C,MATCH($B$1,Database!$A$1:$C$1,),)=0,#N/A,VLOOKUP(Table7[[#This Row],[Date]],Database!$A:$C,MATCH($B$1,Database!$A$1:$C$1,),))</f>
        <v/>
      </c>
      <c r="C2406">
        <f>IF(VLOOKUP(Table7[[#This Row],[Date]],Database!$A:$C,MATCH($C$1,Database!$A$1:$C$1,),)=0,#N/A,VLOOKUP(Table7[[#This Row],[Date]],Database!$A:$C,MATCH($C$1,Database!$A$1:$C$1,),))</f>
        <v/>
      </c>
      <c r="D2406">
        <f>IFERROR(Table7[[#This Row],[United States 10y]]-Table7[[#This Row],[United States 3y]],#N/A)</f>
        <v/>
      </c>
    </row>
    <row r="2407">
      <c r="A2407" s="6">
        <f>Database!$A4492</f>
        <v/>
      </c>
      <c r="B2407">
        <f>IF(VLOOKUP(Table7[[#This Row],[Date]],Database!$A:$C,MATCH($B$1,Database!$A$1:$C$1,),)=0,#N/A,VLOOKUP(Table7[[#This Row],[Date]],Database!$A:$C,MATCH($B$1,Database!$A$1:$C$1,),))</f>
        <v/>
      </c>
      <c r="C2407">
        <f>IF(VLOOKUP(Table7[[#This Row],[Date]],Database!$A:$C,MATCH($C$1,Database!$A$1:$C$1,),)=0,#N/A,VLOOKUP(Table7[[#This Row],[Date]],Database!$A:$C,MATCH($C$1,Database!$A$1:$C$1,),))</f>
        <v/>
      </c>
      <c r="D2407">
        <f>IFERROR(Table7[[#This Row],[United States 10y]]-Table7[[#This Row],[United States 3y]],#N/A)</f>
        <v/>
      </c>
    </row>
    <row r="2408">
      <c r="A2408" s="6">
        <f>Database!$A4493</f>
        <v/>
      </c>
      <c r="B2408">
        <f>IF(VLOOKUP(Table7[[#This Row],[Date]],Database!$A:$C,MATCH($B$1,Database!$A$1:$C$1,),)=0,#N/A,VLOOKUP(Table7[[#This Row],[Date]],Database!$A:$C,MATCH($B$1,Database!$A$1:$C$1,),))</f>
        <v/>
      </c>
      <c r="C2408">
        <f>IF(VLOOKUP(Table7[[#This Row],[Date]],Database!$A:$C,MATCH($C$1,Database!$A$1:$C$1,),)=0,#N/A,VLOOKUP(Table7[[#This Row],[Date]],Database!$A:$C,MATCH($C$1,Database!$A$1:$C$1,),))</f>
        <v/>
      </c>
      <c r="D2408">
        <f>IFERROR(Table7[[#This Row],[United States 10y]]-Table7[[#This Row],[United States 3y]],#N/A)</f>
        <v/>
      </c>
    </row>
    <row r="2409">
      <c r="A2409" s="6">
        <f>Database!$A4494</f>
        <v/>
      </c>
      <c r="B2409">
        <f>IF(VLOOKUP(Table7[[#This Row],[Date]],Database!$A:$C,MATCH($B$1,Database!$A$1:$C$1,),)=0,#N/A,VLOOKUP(Table7[[#This Row],[Date]],Database!$A:$C,MATCH($B$1,Database!$A$1:$C$1,),))</f>
        <v/>
      </c>
      <c r="C2409">
        <f>IF(VLOOKUP(Table7[[#This Row],[Date]],Database!$A:$C,MATCH($C$1,Database!$A$1:$C$1,),)=0,#N/A,VLOOKUP(Table7[[#This Row],[Date]],Database!$A:$C,MATCH($C$1,Database!$A$1:$C$1,),))</f>
        <v/>
      </c>
      <c r="D2409">
        <f>IFERROR(Table7[[#This Row],[United States 10y]]-Table7[[#This Row],[United States 3y]],#N/A)</f>
        <v/>
      </c>
    </row>
    <row r="2410">
      <c r="A2410" s="6">
        <f>Database!$A4495</f>
        <v/>
      </c>
      <c r="B2410">
        <f>IF(VLOOKUP(Table7[[#This Row],[Date]],Database!$A:$C,MATCH($B$1,Database!$A$1:$C$1,),)=0,#N/A,VLOOKUP(Table7[[#This Row],[Date]],Database!$A:$C,MATCH($B$1,Database!$A$1:$C$1,),))</f>
        <v/>
      </c>
      <c r="C2410">
        <f>IF(VLOOKUP(Table7[[#This Row],[Date]],Database!$A:$C,MATCH($C$1,Database!$A$1:$C$1,),)=0,#N/A,VLOOKUP(Table7[[#This Row],[Date]],Database!$A:$C,MATCH($C$1,Database!$A$1:$C$1,),))</f>
        <v/>
      </c>
      <c r="D2410">
        <f>IFERROR(Table7[[#This Row],[United States 10y]]-Table7[[#This Row],[United States 3y]],#N/A)</f>
        <v/>
      </c>
    </row>
    <row r="2411">
      <c r="A2411" s="6">
        <f>Database!$A4496</f>
        <v/>
      </c>
      <c r="B2411">
        <f>IF(VLOOKUP(Table7[[#This Row],[Date]],Database!$A:$C,MATCH($B$1,Database!$A$1:$C$1,),)=0,#N/A,VLOOKUP(Table7[[#This Row],[Date]],Database!$A:$C,MATCH($B$1,Database!$A$1:$C$1,),))</f>
        <v/>
      </c>
      <c r="C2411">
        <f>IF(VLOOKUP(Table7[[#This Row],[Date]],Database!$A:$C,MATCH($C$1,Database!$A$1:$C$1,),)=0,#N/A,VLOOKUP(Table7[[#This Row],[Date]],Database!$A:$C,MATCH($C$1,Database!$A$1:$C$1,),))</f>
        <v/>
      </c>
      <c r="D2411">
        <f>IFERROR(Table7[[#This Row],[United States 10y]]-Table7[[#This Row],[United States 3y]],#N/A)</f>
        <v/>
      </c>
    </row>
    <row r="2412">
      <c r="A2412" s="6">
        <f>Database!$A4497</f>
        <v/>
      </c>
      <c r="B2412">
        <f>IF(VLOOKUP(Table7[[#This Row],[Date]],Database!$A:$C,MATCH($B$1,Database!$A$1:$C$1,),)=0,#N/A,VLOOKUP(Table7[[#This Row],[Date]],Database!$A:$C,MATCH($B$1,Database!$A$1:$C$1,),))</f>
        <v/>
      </c>
      <c r="C2412">
        <f>IF(VLOOKUP(Table7[[#This Row],[Date]],Database!$A:$C,MATCH($C$1,Database!$A$1:$C$1,),)=0,#N/A,VLOOKUP(Table7[[#This Row],[Date]],Database!$A:$C,MATCH($C$1,Database!$A$1:$C$1,),))</f>
        <v/>
      </c>
      <c r="D2412">
        <f>IFERROR(Table7[[#This Row],[United States 10y]]-Table7[[#This Row],[United States 3y]],#N/A)</f>
        <v/>
      </c>
    </row>
    <row r="2413">
      <c r="A2413" s="6">
        <f>Database!$A4498</f>
        <v/>
      </c>
      <c r="B2413">
        <f>IF(VLOOKUP(Table7[[#This Row],[Date]],Database!$A:$C,MATCH($B$1,Database!$A$1:$C$1,),)=0,#N/A,VLOOKUP(Table7[[#This Row],[Date]],Database!$A:$C,MATCH($B$1,Database!$A$1:$C$1,),))</f>
        <v/>
      </c>
      <c r="C2413">
        <f>IF(VLOOKUP(Table7[[#This Row],[Date]],Database!$A:$C,MATCH($C$1,Database!$A$1:$C$1,),)=0,#N/A,VLOOKUP(Table7[[#This Row],[Date]],Database!$A:$C,MATCH($C$1,Database!$A$1:$C$1,),))</f>
        <v/>
      </c>
      <c r="D2413">
        <f>IFERROR(Table7[[#This Row],[United States 10y]]-Table7[[#This Row],[United States 3y]],#N/A)</f>
        <v/>
      </c>
    </row>
    <row r="2414">
      <c r="A2414" s="6">
        <f>Database!$A4499</f>
        <v/>
      </c>
      <c r="B2414">
        <f>IF(VLOOKUP(Table7[[#This Row],[Date]],Database!$A:$C,MATCH($B$1,Database!$A$1:$C$1,),)=0,#N/A,VLOOKUP(Table7[[#This Row],[Date]],Database!$A:$C,MATCH($B$1,Database!$A$1:$C$1,),))</f>
        <v/>
      </c>
      <c r="C2414">
        <f>IF(VLOOKUP(Table7[[#This Row],[Date]],Database!$A:$C,MATCH($C$1,Database!$A$1:$C$1,),)=0,#N/A,VLOOKUP(Table7[[#This Row],[Date]],Database!$A:$C,MATCH($C$1,Database!$A$1:$C$1,),))</f>
        <v/>
      </c>
      <c r="D2414">
        <f>IFERROR(Table7[[#This Row],[United States 10y]]-Table7[[#This Row],[United States 3y]],#N/A)</f>
        <v/>
      </c>
    </row>
    <row r="2415">
      <c r="A2415" s="6">
        <f>Database!$A4500</f>
        <v/>
      </c>
      <c r="B2415">
        <f>IF(VLOOKUP(Table7[[#This Row],[Date]],Database!$A:$C,MATCH($B$1,Database!$A$1:$C$1,),)=0,#N/A,VLOOKUP(Table7[[#This Row],[Date]],Database!$A:$C,MATCH($B$1,Database!$A$1:$C$1,),))</f>
        <v/>
      </c>
      <c r="C2415">
        <f>IF(VLOOKUP(Table7[[#This Row],[Date]],Database!$A:$C,MATCH($C$1,Database!$A$1:$C$1,),)=0,#N/A,VLOOKUP(Table7[[#This Row],[Date]],Database!$A:$C,MATCH($C$1,Database!$A$1:$C$1,),))</f>
        <v/>
      </c>
      <c r="D2415">
        <f>IFERROR(Table7[[#This Row],[United States 10y]]-Table7[[#This Row],[United States 3y]],#N/A)</f>
        <v/>
      </c>
    </row>
    <row r="2416">
      <c r="A2416" s="6">
        <f>Database!$A4501</f>
        <v/>
      </c>
      <c r="B2416">
        <f>IF(VLOOKUP(Table7[[#This Row],[Date]],Database!$A:$C,MATCH($B$1,Database!$A$1:$C$1,),)=0,#N/A,VLOOKUP(Table7[[#This Row],[Date]],Database!$A:$C,MATCH($B$1,Database!$A$1:$C$1,),))</f>
        <v/>
      </c>
      <c r="C2416">
        <f>IF(VLOOKUP(Table7[[#This Row],[Date]],Database!$A:$C,MATCH($C$1,Database!$A$1:$C$1,),)=0,#N/A,VLOOKUP(Table7[[#This Row],[Date]],Database!$A:$C,MATCH($C$1,Database!$A$1:$C$1,),))</f>
        <v/>
      </c>
      <c r="D2416">
        <f>IFERROR(Table7[[#This Row],[United States 10y]]-Table7[[#This Row],[United States 3y]],#N/A)</f>
        <v/>
      </c>
    </row>
    <row r="2417">
      <c r="A2417" s="6">
        <f>Database!$A4502</f>
        <v/>
      </c>
      <c r="B2417">
        <f>IF(VLOOKUP(Table7[[#This Row],[Date]],Database!$A:$C,MATCH($B$1,Database!$A$1:$C$1,),)=0,#N/A,VLOOKUP(Table7[[#This Row],[Date]],Database!$A:$C,MATCH($B$1,Database!$A$1:$C$1,),))</f>
        <v/>
      </c>
      <c r="C2417">
        <f>IF(VLOOKUP(Table7[[#This Row],[Date]],Database!$A:$C,MATCH($C$1,Database!$A$1:$C$1,),)=0,#N/A,VLOOKUP(Table7[[#This Row],[Date]],Database!$A:$C,MATCH($C$1,Database!$A$1:$C$1,),))</f>
        <v/>
      </c>
      <c r="D2417">
        <f>IFERROR(Table7[[#This Row],[United States 10y]]-Table7[[#This Row],[United States 3y]],#N/A)</f>
        <v/>
      </c>
    </row>
    <row r="2418">
      <c r="A2418" s="6">
        <f>Database!$A4503</f>
        <v/>
      </c>
      <c r="B2418">
        <f>IF(VLOOKUP(Table7[[#This Row],[Date]],Database!$A:$C,MATCH($B$1,Database!$A$1:$C$1,),)=0,#N/A,VLOOKUP(Table7[[#This Row],[Date]],Database!$A:$C,MATCH($B$1,Database!$A$1:$C$1,),))</f>
        <v/>
      </c>
      <c r="C2418">
        <f>IF(VLOOKUP(Table7[[#This Row],[Date]],Database!$A:$C,MATCH($C$1,Database!$A$1:$C$1,),)=0,#N/A,VLOOKUP(Table7[[#This Row],[Date]],Database!$A:$C,MATCH($C$1,Database!$A$1:$C$1,),))</f>
        <v/>
      </c>
      <c r="D2418">
        <f>IFERROR(Table7[[#This Row],[United States 10y]]-Table7[[#This Row],[United States 3y]],#N/A)</f>
        <v/>
      </c>
    </row>
    <row r="2419">
      <c r="A2419" s="6">
        <f>Database!$A4504</f>
        <v/>
      </c>
      <c r="B2419">
        <f>IF(VLOOKUP(Table7[[#This Row],[Date]],Database!$A:$C,MATCH($B$1,Database!$A$1:$C$1,),)=0,#N/A,VLOOKUP(Table7[[#This Row],[Date]],Database!$A:$C,MATCH($B$1,Database!$A$1:$C$1,),))</f>
        <v/>
      </c>
      <c r="C2419">
        <f>IF(VLOOKUP(Table7[[#This Row],[Date]],Database!$A:$C,MATCH($C$1,Database!$A$1:$C$1,),)=0,#N/A,VLOOKUP(Table7[[#This Row],[Date]],Database!$A:$C,MATCH($C$1,Database!$A$1:$C$1,),))</f>
        <v/>
      </c>
      <c r="D2419">
        <f>IFERROR(Table7[[#This Row],[United States 10y]]-Table7[[#This Row],[United States 3y]],#N/A)</f>
        <v/>
      </c>
    </row>
    <row r="2420">
      <c r="A2420" s="6">
        <f>Database!$A4505</f>
        <v/>
      </c>
      <c r="B2420">
        <f>IF(VLOOKUP(Table7[[#This Row],[Date]],Database!$A:$C,MATCH($B$1,Database!$A$1:$C$1,),)=0,#N/A,VLOOKUP(Table7[[#This Row],[Date]],Database!$A:$C,MATCH($B$1,Database!$A$1:$C$1,),))</f>
        <v/>
      </c>
      <c r="C2420">
        <f>IF(VLOOKUP(Table7[[#This Row],[Date]],Database!$A:$C,MATCH($C$1,Database!$A$1:$C$1,),)=0,#N/A,VLOOKUP(Table7[[#This Row],[Date]],Database!$A:$C,MATCH($C$1,Database!$A$1:$C$1,),))</f>
        <v/>
      </c>
      <c r="D2420">
        <f>IFERROR(Table7[[#This Row],[United States 10y]]-Table7[[#This Row],[United States 3y]],#N/A)</f>
        <v/>
      </c>
    </row>
    <row r="2421">
      <c r="A2421" s="6">
        <f>Database!$A4506</f>
        <v/>
      </c>
      <c r="B2421">
        <f>IF(VLOOKUP(Table7[[#This Row],[Date]],Database!$A:$C,MATCH($B$1,Database!$A$1:$C$1,),)=0,#N/A,VLOOKUP(Table7[[#This Row],[Date]],Database!$A:$C,MATCH($B$1,Database!$A$1:$C$1,),))</f>
        <v/>
      </c>
      <c r="C2421">
        <f>IF(VLOOKUP(Table7[[#This Row],[Date]],Database!$A:$C,MATCH($C$1,Database!$A$1:$C$1,),)=0,#N/A,VLOOKUP(Table7[[#This Row],[Date]],Database!$A:$C,MATCH($C$1,Database!$A$1:$C$1,),))</f>
        <v/>
      </c>
      <c r="D2421">
        <f>IFERROR(Table7[[#This Row],[United States 10y]]-Table7[[#This Row],[United States 3y]],#N/A)</f>
        <v/>
      </c>
    </row>
    <row r="2422">
      <c r="A2422" s="6">
        <f>Database!$A4507</f>
        <v/>
      </c>
      <c r="B2422">
        <f>IF(VLOOKUP(Table7[[#This Row],[Date]],Database!$A:$C,MATCH($B$1,Database!$A$1:$C$1,),)=0,#N/A,VLOOKUP(Table7[[#This Row],[Date]],Database!$A:$C,MATCH($B$1,Database!$A$1:$C$1,),))</f>
        <v/>
      </c>
      <c r="C2422">
        <f>IF(VLOOKUP(Table7[[#This Row],[Date]],Database!$A:$C,MATCH($C$1,Database!$A$1:$C$1,),)=0,#N/A,VLOOKUP(Table7[[#This Row],[Date]],Database!$A:$C,MATCH($C$1,Database!$A$1:$C$1,),))</f>
        <v/>
      </c>
      <c r="D2422">
        <f>IFERROR(Table7[[#This Row],[United States 10y]]-Table7[[#This Row],[United States 3y]],#N/A)</f>
        <v/>
      </c>
    </row>
    <row r="2423">
      <c r="A2423" s="6">
        <f>Database!$A4508</f>
        <v/>
      </c>
      <c r="B2423">
        <f>IF(VLOOKUP(Table7[[#This Row],[Date]],Database!$A:$C,MATCH($B$1,Database!$A$1:$C$1,),)=0,#N/A,VLOOKUP(Table7[[#This Row],[Date]],Database!$A:$C,MATCH($B$1,Database!$A$1:$C$1,),))</f>
        <v/>
      </c>
      <c r="C2423">
        <f>IF(VLOOKUP(Table7[[#This Row],[Date]],Database!$A:$C,MATCH($C$1,Database!$A$1:$C$1,),)=0,#N/A,VLOOKUP(Table7[[#This Row],[Date]],Database!$A:$C,MATCH($C$1,Database!$A$1:$C$1,),))</f>
        <v/>
      </c>
      <c r="D2423">
        <f>IFERROR(Table7[[#This Row],[United States 10y]]-Table7[[#This Row],[United States 3y]],#N/A)</f>
        <v/>
      </c>
    </row>
    <row r="2424">
      <c r="A2424" s="6">
        <f>Database!$A4509</f>
        <v/>
      </c>
      <c r="B2424">
        <f>IF(VLOOKUP(Table7[[#This Row],[Date]],Database!$A:$C,MATCH($B$1,Database!$A$1:$C$1,),)=0,#N/A,VLOOKUP(Table7[[#This Row],[Date]],Database!$A:$C,MATCH($B$1,Database!$A$1:$C$1,),))</f>
        <v/>
      </c>
      <c r="C2424">
        <f>IF(VLOOKUP(Table7[[#This Row],[Date]],Database!$A:$C,MATCH($C$1,Database!$A$1:$C$1,),)=0,#N/A,VLOOKUP(Table7[[#This Row],[Date]],Database!$A:$C,MATCH($C$1,Database!$A$1:$C$1,),))</f>
        <v/>
      </c>
      <c r="D2424">
        <f>IFERROR(Table7[[#This Row],[United States 10y]]-Table7[[#This Row],[United States 3y]],#N/A)</f>
        <v/>
      </c>
    </row>
    <row r="2425">
      <c r="A2425" s="6">
        <f>Database!$A4510</f>
        <v/>
      </c>
      <c r="B2425">
        <f>IF(VLOOKUP(Table7[[#This Row],[Date]],Database!$A:$C,MATCH($B$1,Database!$A$1:$C$1,),)=0,#N/A,VLOOKUP(Table7[[#This Row],[Date]],Database!$A:$C,MATCH($B$1,Database!$A$1:$C$1,),))</f>
        <v/>
      </c>
      <c r="C2425">
        <f>IF(VLOOKUP(Table7[[#This Row],[Date]],Database!$A:$C,MATCH($C$1,Database!$A$1:$C$1,),)=0,#N/A,VLOOKUP(Table7[[#This Row],[Date]],Database!$A:$C,MATCH($C$1,Database!$A$1:$C$1,),))</f>
        <v/>
      </c>
      <c r="D2425">
        <f>IFERROR(Table7[[#This Row],[United States 10y]]-Table7[[#This Row],[United States 3y]],#N/A)</f>
        <v/>
      </c>
    </row>
    <row r="2426">
      <c r="A2426" s="6">
        <f>Database!$A4511</f>
        <v/>
      </c>
      <c r="B2426">
        <f>IF(VLOOKUP(Table7[[#This Row],[Date]],Database!$A:$C,MATCH($B$1,Database!$A$1:$C$1,),)=0,#N/A,VLOOKUP(Table7[[#This Row],[Date]],Database!$A:$C,MATCH($B$1,Database!$A$1:$C$1,),))</f>
        <v/>
      </c>
      <c r="C2426">
        <f>IF(VLOOKUP(Table7[[#This Row],[Date]],Database!$A:$C,MATCH($C$1,Database!$A$1:$C$1,),)=0,#N/A,VLOOKUP(Table7[[#This Row],[Date]],Database!$A:$C,MATCH($C$1,Database!$A$1:$C$1,),))</f>
        <v/>
      </c>
      <c r="D2426">
        <f>IFERROR(Table7[[#This Row],[United States 10y]]-Table7[[#This Row],[United States 3y]],#N/A)</f>
        <v/>
      </c>
    </row>
    <row r="2427">
      <c r="A2427" s="6">
        <f>Database!$A4512</f>
        <v/>
      </c>
      <c r="B2427">
        <f>IF(VLOOKUP(Table7[[#This Row],[Date]],Database!$A:$C,MATCH($B$1,Database!$A$1:$C$1,),)=0,#N/A,VLOOKUP(Table7[[#This Row],[Date]],Database!$A:$C,MATCH($B$1,Database!$A$1:$C$1,),))</f>
        <v/>
      </c>
      <c r="C2427">
        <f>IF(VLOOKUP(Table7[[#This Row],[Date]],Database!$A:$C,MATCH($C$1,Database!$A$1:$C$1,),)=0,#N/A,VLOOKUP(Table7[[#This Row],[Date]],Database!$A:$C,MATCH($C$1,Database!$A$1:$C$1,),))</f>
        <v/>
      </c>
      <c r="D2427">
        <f>IFERROR(Table7[[#This Row],[United States 10y]]-Table7[[#This Row],[United States 3y]],#N/A)</f>
        <v/>
      </c>
    </row>
    <row r="2428">
      <c r="A2428" s="6">
        <f>Database!$A4513</f>
        <v/>
      </c>
      <c r="B2428">
        <f>IF(VLOOKUP(Table7[[#This Row],[Date]],Database!$A:$C,MATCH($B$1,Database!$A$1:$C$1,),)=0,#N/A,VLOOKUP(Table7[[#This Row],[Date]],Database!$A:$C,MATCH($B$1,Database!$A$1:$C$1,),))</f>
        <v/>
      </c>
      <c r="C2428">
        <f>IF(VLOOKUP(Table7[[#This Row],[Date]],Database!$A:$C,MATCH($C$1,Database!$A$1:$C$1,),)=0,#N/A,VLOOKUP(Table7[[#This Row],[Date]],Database!$A:$C,MATCH($C$1,Database!$A$1:$C$1,),))</f>
        <v/>
      </c>
      <c r="D2428">
        <f>IFERROR(Table7[[#This Row],[United States 10y]]-Table7[[#This Row],[United States 3y]],#N/A)</f>
        <v/>
      </c>
    </row>
    <row r="2429">
      <c r="A2429" s="6">
        <f>Database!$A4514</f>
        <v/>
      </c>
      <c r="B2429">
        <f>IF(VLOOKUP(Table7[[#This Row],[Date]],Database!$A:$C,MATCH($B$1,Database!$A$1:$C$1,),)=0,#N/A,VLOOKUP(Table7[[#This Row],[Date]],Database!$A:$C,MATCH($B$1,Database!$A$1:$C$1,),))</f>
        <v/>
      </c>
      <c r="C2429">
        <f>IF(VLOOKUP(Table7[[#This Row],[Date]],Database!$A:$C,MATCH($C$1,Database!$A$1:$C$1,),)=0,#N/A,VLOOKUP(Table7[[#This Row],[Date]],Database!$A:$C,MATCH($C$1,Database!$A$1:$C$1,),))</f>
        <v/>
      </c>
      <c r="D2429">
        <f>IFERROR(Table7[[#This Row],[United States 10y]]-Table7[[#This Row],[United States 3y]],#N/A)</f>
        <v/>
      </c>
    </row>
    <row r="2430">
      <c r="A2430" s="6">
        <f>Database!$A4515</f>
        <v/>
      </c>
      <c r="B2430">
        <f>IF(VLOOKUP(Table7[[#This Row],[Date]],Database!$A:$C,MATCH($B$1,Database!$A$1:$C$1,),)=0,#N/A,VLOOKUP(Table7[[#This Row],[Date]],Database!$A:$C,MATCH($B$1,Database!$A$1:$C$1,),))</f>
        <v/>
      </c>
      <c r="C2430">
        <f>IF(VLOOKUP(Table7[[#This Row],[Date]],Database!$A:$C,MATCH($C$1,Database!$A$1:$C$1,),)=0,#N/A,VLOOKUP(Table7[[#This Row],[Date]],Database!$A:$C,MATCH($C$1,Database!$A$1:$C$1,),))</f>
        <v/>
      </c>
      <c r="D2430">
        <f>IFERROR(Table7[[#This Row],[United States 10y]]-Table7[[#This Row],[United States 3y]],#N/A)</f>
        <v/>
      </c>
    </row>
    <row r="2431">
      <c r="A2431" s="6">
        <f>Database!$A4516</f>
        <v/>
      </c>
      <c r="B2431">
        <f>IF(VLOOKUP(Table7[[#This Row],[Date]],Database!$A:$C,MATCH($B$1,Database!$A$1:$C$1,),)=0,#N/A,VLOOKUP(Table7[[#This Row],[Date]],Database!$A:$C,MATCH($B$1,Database!$A$1:$C$1,),))</f>
        <v/>
      </c>
      <c r="C2431">
        <f>IF(VLOOKUP(Table7[[#This Row],[Date]],Database!$A:$C,MATCH($C$1,Database!$A$1:$C$1,),)=0,#N/A,VLOOKUP(Table7[[#This Row],[Date]],Database!$A:$C,MATCH($C$1,Database!$A$1:$C$1,),))</f>
        <v/>
      </c>
      <c r="D2431">
        <f>IFERROR(Table7[[#This Row],[United States 10y]]-Table7[[#This Row],[United States 3y]],#N/A)</f>
        <v/>
      </c>
    </row>
    <row r="2432">
      <c r="A2432" s="6">
        <f>Database!$A4517</f>
        <v/>
      </c>
      <c r="B2432">
        <f>IF(VLOOKUP(Table7[[#This Row],[Date]],Database!$A:$C,MATCH($B$1,Database!$A$1:$C$1,),)=0,#N/A,VLOOKUP(Table7[[#This Row],[Date]],Database!$A:$C,MATCH($B$1,Database!$A$1:$C$1,),))</f>
        <v/>
      </c>
      <c r="C2432">
        <f>IF(VLOOKUP(Table7[[#This Row],[Date]],Database!$A:$C,MATCH($C$1,Database!$A$1:$C$1,),)=0,#N/A,VLOOKUP(Table7[[#This Row],[Date]],Database!$A:$C,MATCH($C$1,Database!$A$1:$C$1,),))</f>
        <v/>
      </c>
      <c r="D2432">
        <f>IFERROR(Table7[[#This Row],[United States 10y]]-Table7[[#This Row],[United States 3y]],#N/A)</f>
        <v/>
      </c>
    </row>
    <row r="2433">
      <c r="A2433" s="6">
        <f>Database!$A4518</f>
        <v/>
      </c>
      <c r="B2433">
        <f>IF(VLOOKUP(Table7[[#This Row],[Date]],Database!$A:$C,MATCH($B$1,Database!$A$1:$C$1,),)=0,#N/A,VLOOKUP(Table7[[#This Row],[Date]],Database!$A:$C,MATCH($B$1,Database!$A$1:$C$1,),))</f>
        <v/>
      </c>
      <c r="C2433">
        <f>IF(VLOOKUP(Table7[[#This Row],[Date]],Database!$A:$C,MATCH($C$1,Database!$A$1:$C$1,),)=0,#N/A,VLOOKUP(Table7[[#This Row],[Date]],Database!$A:$C,MATCH($C$1,Database!$A$1:$C$1,),))</f>
        <v/>
      </c>
      <c r="D2433">
        <f>IFERROR(Table7[[#This Row],[United States 10y]]-Table7[[#This Row],[United States 3y]],#N/A)</f>
        <v/>
      </c>
    </row>
    <row r="2434">
      <c r="A2434" s="6">
        <f>Database!$A4519</f>
        <v/>
      </c>
      <c r="B2434">
        <f>IF(VLOOKUP(Table7[[#This Row],[Date]],Database!$A:$C,MATCH($B$1,Database!$A$1:$C$1,),)=0,#N/A,VLOOKUP(Table7[[#This Row],[Date]],Database!$A:$C,MATCH($B$1,Database!$A$1:$C$1,),))</f>
        <v/>
      </c>
      <c r="C2434">
        <f>IF(VLOOKUP(Table7[[#This Row],[Date]],Database!$A:$C,MATCH($C$1,Database!$A$1:$C$1,),)=0,#N/A,VLOOKUP(Table7[[#This Row],[Date]],Database!$A:$C,MATCH($C$1,Database!$A$1:$C$1,),))</f>
        <v/>
      </c>
      <c r="D2434">
        <f>IFERROR(Table7[[#This Row],[United States 10y]]-Table7[[#This Row],[United States 3y]],#N/A)</f>
        <v/>
      </c>
    </row>
    <row r="2435">
      <c r="A2435" s="6">
        <f>Database!$A4520</f>
        <v/>
      </c>
      <c r="B2435">
        <f>IF(VLOOKUP(Table7[[#This Row],[Date]],Database!$A:$C,MATCH($B$1,Database!$A$1:$C$1,),)=0,#N/A,VLOOKUP(Table7[[#This Row],[Date]],Database!$A:$C,MATCH($B$1,Database!$A$1:$C$1,),))</f>
        <v/>
      </c>
      <c r="C2435">
        <f>IF(VLOOKUP(Table7[[#This Row],[Date]],Database!$A:$C,MATCH($C$1,Database!$A$1:$C$1,),)=0,#N/A,VLOOKUP(Table7[[#This Row],[Date]],Database!$A:$C,MATCH($C$1,Database!$A$1:$C$1,),))</f>
        <v/>
      </c>
      <c r="D2435">
        <f>IFERROR(Table7[[#This Row],[United States 10y]]-Table7[[#This Row],[United States 3y]],#N/A)</f>
        <v/>
      </c>
    </row>
    <row r="2436">
      <c r="A2436" s="6">
        <f>Database!$A4521</f>
        <v/>
      </c>
      <c r="B2436">
        <f>IF(VLOOKUP(Table7[[#This Row],[Date]],Database!$A:$C,MATCH($B$1,Database!$A$1:$C$1,),)=0,#N/A,VLOOKUP(Table7[[#This Row],[Date]],Database!$A:$C,MATCH($B$1,Database!$A$1:$C$1,),))</f>
        <v/>
      </c>
      <c r="C2436">
        <f>IF(VLOOKUP(Table7[[#This Row],[Date]],Database!$A:$C,MATCH($C$1,Database!$A$1:$C$1,),)=0,#N/A,VLOOKUP(Table7[[#This Row],[Date]],Database!$A:$C,MATCH($C$1,Database!$A$1:$C$1,),))</f>
        <v/>
      </c>
      <c r="D2436">
        <f>IFERROR(Table7[[#This Row],[United States 10y]]-Table7[[#This Row],[United States 3y]],#N/A)</f>
        <v/>
      </c>
    </row>
    <row r="2437">
      <c r="A2437" s="6">
        <f>Database!$A4522</f>
        <v/>
      </c>
      <c r="B2437">
        <f>IF(VLOOKUP(Table7[[#This Row],[Date]],Database!$A:$C,MATCH($B$1,Database!$A$1:$C$1,),)=0,#N/A,VLOOKUP(Table7[[#This Row],[Date]],Database!$A:$C,MATCH($B$1,Database!$A$1:$C$1,),))</f>
        <v/>
      </c>
      <c r="C2437">
        <f>IF(VLOOKUP(Table7[[#This Row],[Date]],Database!$A:$C,MATCH($C$1,Database!$A$1:$C$1,),)=0,#N/A,VLOOKUP(Table7[[#This Row],[Date]],Database!$A:$C,MATCH($C$1,Database!$A$1:$C$1,),))</f>
        <v/>
      </c>
      <c r="D2437">
        <f>IFERROR(Table7[[#This Row],[United States 10y]]-Table7[[#This Row],[United States 3y]],#N/A)</f>
        <v/>
      </c>
    </row>
    <row r="2438">
      <c r="A2438" s="6">
        <f>Database!$A4523</f>
        <v/>
      </c>
      <c r="B2438">
        <f>IF(VLOOKUP(Table7[[#This Row],[Date]],Database!$A:$C,MATCH($B$1,Database!$A$1:$C$1,),)=0,#N/A,VLOOKUP(Table7[[#This Row],[Date]],Database!$A:$C,MATCH($B$1,Database!$A$1:$C$1,),))</f>
        <v/>
      </c>
      <c r="C2438">
        <f>IF(VLOOKUP(Table7[[#This Row],[Date]],Database!$A:$C,MATCH($C$1,Database!$A$1:$C$1,),)=0,#N/A,VLOOKUP(Table7[[#This Row],[Date]],Database!$A:$C,MATCH($C$1,Database!$A$1:$C$1,),))</f>
        <v/>
      </c>
      <c r="D2438">
        <f>IFERROR(Table7[[#This Row],[United States 10y]]-Table7[[#This Row],[United States 3y]],#N/A)</f>
        <v/>
      </c>
    </row>
    <row r="2439">
      <c r="A2439" s="6">
        <f>Database!$A4524</f>
        <v/>
      </c>
      <c r="B2439">
        <f>IF(VLOOKUP(Table7[[#This Row],[Date]],Database!$A:$C,MATCH($B$1,Database!$A$1:$C$1,),)=0,#N/A,VLOOKUP(Table7[[#This Row],[Date]],Database!$A:$C,MATCH($B$1,Database!$A$1:$C$1,),))</f>
        <v/>
      </c>
      <c r="C2439">
        <f>IF(VLOOKUP(Table7[[#This Row],[Date]],Database!$A:$C,MATCH($C$1,Database!$A$1:$C$1,),)=0,#N/A,VLOOKUP(Table7[[#This Row],[Date]],Database!$A:$C,MATCH($C$1,Database!$A$1:$C$1,),))</f>
        <v/>
      </c>
      <c r="D2439">
        <f>IFERROR(Table7[[#This Row],[United States 10y]]-Table7[[#This Row],[United States 3y]],#N/A)</f>
        <v/>
      </c>
    </row>
    <row r="2440">
      <c r="A2440" s="6">
        <f>Database!$A4525</f>
        <v/>
      </c>
      <c r="B2440">
        <f>IF(VLOOKUP(Table7[[#This Row],[Date]],Database!$A:$C,MATCH($B$1,Database!$A$1:$C$1,),)=0,#N/A,VLOOKUP(Table7[[#This Row],[Date]],Database!$A:$C,MATCH($B$1,Database!$A$1:$C$1,),))</f>
        <v/>
      </c>
      <c r="C2440">
        <f>IF(VLOOKUP(Table7[[#This Row],[Date]],Database!$A:$C,MATCH($C$1,Database!$A$1:$C$1,),)=0,#N/A,VLOOKUP(Table7[[#This Row],[Date]],Database!$A:$C,MATCH($C$1,Database!$A$1:$C$1,),))</f>
        <v/>
      </c>
      <c r="D2440">
        <f>IFERROR(Table7[[#This Row],[United States 10y]]-Table7[[#This Row],[United States 3y]],#N/A)</f>
        <v/>
      </c>
    </row>
    <row r="2441">
      <c r="A2441" s="6">
        <f>Database!$A4526</f>
        <v/>
      </c>
      <c r="B2441">
        <f>IF(VLOOKUP(Table7[[#This Row],[Date]],Database!$A:$C,MATCH($B$1,Database!$A$1:$C$1,),)=0,#N/A,VLOOKUP(Table7[[#This Row],[Date]],Database!$A:$C,MATCH($B$1,Database!$A$1:$C$1,),))</f>
        <v/>
      </c>
      <c r="C2441">
        <f>IF(VLOOKUP(Table7[[#This Row],[Date]],Database!$A:$C,MATCH($C$1,Database!$A$1:$C$1,),)=0,#N/A,VLOOKUP(Table7[[#This Row],[Date]],Database!$A:$C,MATCH($C$1,Database!$A$1:$C$1,),))</f>
        <v/>
      </c>
      <c r="D2441">
        <f>IFERROR(Table7[[#This Row],[United States 10y]]-Table7[[#This Row],[United States 3y]],#N/A)</f>
        <v/>
      </c>
    </row>
    <row r="2442">
      <c r="A2442" s="6">
        <f>Database!$A4527</f>
        <v/>
      </c>
      <c r="B2442">
        <f>IF(VLOOKUP(Table7[[#This Row],[Date]],Database!$A:$C,MATCH($B$1,Database!$A$1:$C$1,),)=0,#N/A,VLOOKUP(Table7[[#This Row],[Date]],Database!$A:$C,MATCH($B$1,Database!$A$1:$C$1,),))</f>
        <v/>
      </c>
      <c r="C2442">
        <f>IF(VLOOKUP(Table7[[#This Row],[Date]],Database!$A:$C,MATCH($C$1,Database!$A$1:$C$1,),)=0,#N/A,VLOOKUP(Table7[[#This Row],[Date]],Database!$A:$C,MATCH($C$1,Database!$A$1:$C$1,),))</f>
        <v/>
      </c>
      <c r="D2442">
        <f>IFERROR(Table7[[#This Row],[United States 10y]]-Table7[[#This Row],[United States 3y]],#N/A)</f>
        <v/>
      </c>
    </row>
    <row r="2443">
      <c r="A2443" s="6">
        <f>Database!$A4528</f>
        <v/>
      </c>
      <c r="B2443">
        <f>IF(VLOOKUP(Table7[[#This Row],[Date]],Database!$A:$C,MATCH($B$1,Database!$A$1:$C$1,),)=0,#N/A,VLOOKUP(Table7[[#This Row],[Date]],Database!$A:$C,MATCH($B$1,Database!$A$1:$C$1,),))</f>
        <v/>
      </c>
      <c r="C2443">
        <f>IF(VLOOKUP(Table7[[#This Row],[Date]],Database!$A:$C,MATCH($C$1,Database!$A$1:$C$1,),)=0,#N/A,VLOOKUP(Table7[[#This Row],[Date]],Database!$A:$C,MATCH($C$1,Database!$A$1:$C$1,),))</f>
        <v/>
      </c>
      <c r="D2443">
        <f>IFERROR(Table7[[#This Row],[United States 10y]]-Table7[[#This Row],[United States 3y]],#N/A)</f>
        <v/>
      </c>
    </row>
    <row r="2444">
      <c r="A2444" s="6">
        <f>Database!$A4529</f>
        <v/>
      </c>
      <c r="B2444">
        <f>IF(VLOOKUP(Table7[[#This Row],[Date]],Database!$A:$C,MATCH($B$1,Database!$A$1:$C$1,),)=0,#N/A,VLOOKUP(Table7[[#This Row],[Date]],Database!$A:$C,MATCH($B$1,Database!$A$1:$C$1,),))</f>
        <v/>
      </c>
      <c r="C2444">
        <f>IF(VLOOKUP(Table7[[#This Row],[Date]],Database!$A:$C,MATCH($C$1,Database!$A$1:$C$1,),)=0,#N/A,VLOOKUP(Table7[[#This Row],[Date]],Database!$A:$C,MATCH($C$1,Database!$A$1:$C$1,),))</f>
        <v/>
      </c>
      <c r="D2444">
        <f>IFERROR(Table7[[#This Row],[United States 10y]]-Table7[[#This Row],[United States 3y]],#N/A)</f>
        <v/>
      </c>
    </row>
    <row r="2445">
      <c r="A2445" s="6">
        <f>Database!$A4530</f>
        <v/>
      </c>
      <c r="B2445">
        <f>IF(VLOOKUP(Table7[[#This Row],[Date]],Database!$A:$C,MATCH($B$1,Database!$A$1:$C$1,),)=0,#N/A,VLOOKUP(Table7[[#This Row],[Date]],Database!$A:$C,MATCH($B$1,Database!$A$1:$C$1,),))</f>
        <v/>
      </c>
      <c r="C2445">
        <f>IF(VLOOKUP(Table7[[#This Row],[Date]],Database!$A:$C,MATCH($C$1,Database!$A$1:$C$1,),)=0,#N/A,VLOOKUP(Table7[[#This Row],[Date]],Database!$A:$C,MATCH($C$1,Database!$A$1:$C$1,),))</f>
        <v/>
      </c>
      <c r="D2445">
        <f>IFERROR(Table7[[#This Row],[United States 10y]]-Table7[[#This Row],[United States 3y]],#N/A)</f>
        <v/>
      </c>
    </row>
    <row r="2446">
      <c r="A2446" s="6">
        <f>Database!$A4531</f>
        <v/>
      </c>
      <c r="B2446">
        <f>IF(VLOOKUP(Table7[[#This Row],[Date]],Database!$A:$C,MATCH($B$1,Database!$A$1:$C$1,),)=0,#N/A,VLOOKUP(Table7[[#This Row],[Date]],Database!$A:$C,MATCH($B$1,Database!$A$1:$C$1,),))</f>
        <v/>
      </c>
      <c r="C2446">
        <f>IF(VLOOKUP(Table7[[#This Row],[Date]],Database!$A:$C,MATCH($C$1,Database!$A$1:$C$1,),)=0,#N/A,VLOOKUP(Table7[[#This Row],[Date]],Database!$A:$C,MATCH($C$1,Database!$A$1:$C$1,),))</f>
        <v/>
      </c>
      <c r="D2446">
        <f>IFERROR(Table7[[#This Row],[United States 10y]]-Table7[[#This Row],[United States 3y]],#N/A)</f>
        <v/>
      </c>
    </row>
    <row r="2447">
      <c r="A2447" s="6">
        <f>Database!$A4532</f>
        <v/>
      </c>
      <c r="B2447">
        <f>IF(VLOOKUP(Table7[[#This Row],[Date]],Database!$A:$C,MATCH($B$1,Database!$A$1:$C$1,),)=0,#N/A,VLOOKUP(Table7[[#This Row],[Date]],Database!$A:$C,MATCH($B$1,Database!$A$1:$C$1,),))</f>
        <v/>
      </c>
      <c r="C2447">
        <f>IF(VLOOKUP(Table7[[#This Row],[Date]],Database!$A:$C,MATCH($C$1,Database!$A$1:$C$1,),)=0,#N/A,VLOOKUP(Table7[[#This Row],[Date]],Database!$A:$C,MATCH($C$1,Database!$A$1:$C$1,),))</f>
        <v/>
      </c>
      <c r="D2447">
        <f>IFERROR(Table7[[#This Row],[United States 10y]]-Table7[[#This Row],[United States 3y]],#N/A)</f>
        <v/>
      </c>
    </row>
    <row r="2448">
      <c r="A2448" s="6">
        <f>Database!$A4533</f>
        <v/>
      </c>
      <c r="B2448">
        <f>IF(VLOOKUP(Table7[[#This Row],[Date]],Database!$A:$C,MATCH($B$1,Database!$A$1:$C$1,),)=0,#N/A,VLOOKUP(Table7[[#This Row],[Date]],Database!$A:$C,MATCH($B$1,Database!$A$1:$C$1,),))</f>
        <v/>
      </c>
      <c r="C2448">
        <f>IF(VLOOKUP(Table7[[#This Row],[Date]],Database!$A:$C,MATCH($C$1,Database!$A$1:$C$1,),)=0,#N/A,VLOOKUP(Table7[[#This Row],[Date]],Database!$A:$C,MATCH($C$1,Database!$A$1:$C$1,),))</f>
        <v/>
      </c>
      <c r="D2448">
        <f>IFERROR(Table7[[#This Row],[United States 10y]]-Table7[[#This Row],[United States 3y]],#N/A)</f>
        <v/>
      </c>
    </row>
    <row r="2449">
      <c r="A2449" s="6">
        <f>Database!$A4534</f>
        <v/>
      </c>
      <c r="B2449">
        <f>IF(VLOOKUP(Table7[[#This Row],[Date]],Database!$A:$C,MATCH($B$1,Database!$A$1:$C$1,),)=0,#N/A,VLOOKUP(Table7[[#This Row],[Date]],Database!$A:$C,MATCH($B$1,Database!$A$1:$C$1,),))</f>
        <v/>
      </c>
      <c r="C2449">
        <f>IF(VLOOKUP(Table7[[#This Row],[Date]],Database!$A:$C,MATCH($C$1,Database!$A$1:$C$1,),)=0,#N/A,VLOOKUP(Table7[[#This Row],[Date]],Database!$A:$C,MATCH($C$1,Database!$A$1:$C$1,),))</f>
        <v/>
      </c>
      <c r="D2449">
        <f>IFERROR(Table7[[#This Row],[United States 10y]]-Table7[[#This Row],[United States 3y]],#N/A)</f>
        <v/>
      </c>
    </row>
    <row r="2450">
      <c r="A2450" s="6">
        <f>Database!$A4535</f>
        <v/>
      </c>
      <c r="B2450">
        <f>IF(VLOOKUP(Table7[[#This Row],[Date]],Database!$A:$C,MATCH($B$1,Database!$A$1:$C$1,),)=0,#N/A,VLOOKUP(Table7[[#This Row],[Date]],Database!$A:$C,MATCH($B$1,Database!$A$1:$C$1,),))</f>
        <v/>
      </c>
      <c r="C2450">
        <f>IF(VLOOKUP(Table7[[#This Row],[Date]],Database!$A:$C,MATCH($C$1,Database!$A$1:$C$1,),)=0,#N/A,VLOOKUP(Table7[[#This Row],[Date]],Database!$A:$C,MATCH($C$1,Database!$A$1:$C$1,),))</f>
        <v/>
      </c>
      <c r="D2450">
        <f>IFERROR(Table7[[#This Row],[United States 10y]]-Table7[[#This Row],[United States 3y]],#N/A)</f>
        <v/>
      </c>
    </row>
    <row r="2451">
      <c r="A2451" s="6">
        <f>Database!$A4536</f>
        <v/>
      </c>
      <c r="B2451">
        <f>IF(VLOOKUP(Table7[[#This Row],[Date]],Database!$A:$C,MATCH($B$1,Database!$A$1:$C$1,),)=0,#N/A,VLOOKUP(Table7[[#This Row],[Date]],Database!$A:$C,MATCH($B$1,Database!$A$1:$C$1,),))</f>
        <v/>
      </c>
      <c r="C2451">
        <f>IF(VLOOKUP(Table7[[#This Row],[Date]],Database!$A:$C,MATCH($C$1,Database!$A$1:$C$1,),)=0,#N/A,VLOOKUP(Table7[[#This Row],[Date]],Database!$A:$C,MATCH($C$1,Database!$A$1:$C$1,),))</f>
        <v/>
      </c>
      <c r="D2451">
        <f>IFERROR(Table7[[#This Row],[United States 10y]]-Table7[[#This Row],[United States 3y]],#N/A)</f>
        <v/>
      </c>
    </row>
    <row r="2452">
      <c r="A2452" s="6">
        <f>Database!$A4537</f>
        <v/>
      </c>
      <c r="B2452">
        <f>IF(VLOOKUP(Table7[[#This Row],[Date]],Database!$A:$C,MATCH($B$1,Database!$A$1:$C$1,),)=0,#N/A,VLOOKUP(Table7[[#This Row],[Date]],Database!$A:$C,MATCH($B$1,Database!$A$1:$C$1,),))</f>
        <v/>
      </c>
      <c r="C2452">
        <f>IF(VLOOKUP(Table7[[#This Row],[Date]],Database!$A:$C,MATCH($C$1,Database!$A$1:$C$1,),)=0,#N/A,VLOOKUP(Table7[[#This Row],[Date]],Database!$A:$C,MATCH($C$1,Database!$A$1:$C$1,),))</f>
        <v/>
      </c>
      <c r="D2452">
        <f>IFERROR(Table7[[#This Row],[United States 10y]]-Table7[[#This Row],[United States 3y]],#N/A)</f>
        <v/>
      </c>
    </row>
    <row r="2453">
      <c r="A2453" s="6">
        <f>Database!$A4538</f>
        <v/>
      </c>
      <c r="B2453">
        <f>IF(VLOOKUP(Table7[[#This Row],[Date]],Database!$A:$C,MATCH($B$1,Database!$A$1:$C$1,),)=0,#N/A,VLOOKUP(Table7[[#This Row],[Date]],Database!$A:$C,MATCH($B$1,Database!$A$1:$C$1,),))</f>
        <v/>
      </c>
      <c r="C2453">
        <f>IF(VLOOKUP(Table7[[#This Row],[Date]],Database!$A:$C,MATCH($C$1,Database!$A$1:$C$1,),)=0,#N/A,VLOOKUP(Table7[[#This Row],[Date]],Database!$A:$C,MATCH($C$1,Database!$A$1:$C$1,),))</f>
        <v/>
      </c>
      <c r="D2453">
        <f>IFERROR(Table7[[#This Row],[United States 10y]]-Table7[[#This Row],[United States 3y]],#N/A)</f>
        <v/>
      </c>
    </row>
    <row r="2454">
      <c r="A2454" s="6">
        <f>Database!$A4539</f>
        <v/>
      </c>
      <c r="B2454">
        <f>IF(VLOOKUP(Table7[[#This Row],[Date]],Database!$A:$C,MATCH($B$1,Database!$A$1:$C$1,),)=0,#N/A,VLOOKUP(Table7[[#This Row],[Date]],Database!$A:$C,MATCH($B$1,Database!$A$1:$C$1,),))</f>
        <v/>
      </c>
      <c r="C2454">
        <f>IF(VLOOKUP(Table7[[#This Row],[Date]],Database!$A:$C,MATCH($C$1,Database!$A$1:$C$1,),)=0,#N/A,VLOOKUP(Table7[[#This Row],[Date]],Database!$A:$C,MATCH($C$1,Database!$A$1:$C$1,),))</f>
        <v/>
      </c>
      <c r="D2454">
        <f>IFERROR(Table7[[#This Row],[United States 10y]]-Table7[[#This Row],[United States 3y]],#N/A)</f>
        <v/>
      </c>
    </row>
    <row r="2455">
      <c r="A2455" s="6">
        <f>Database!$A4540</f>
        <v/>
      </c>
      <c r="B2455">
        <f>IF(VLOOKUP(Table7[[#This Row],[Date]],Database!$A:$C,MATCH($B$1,Database!$A$1:$C$1,),)=0,#N/A,VLOOKUP(Table7[[#This Row],[Date]],Database!$A:$C,MATCH($B$1,Database!$A$1:$C$1,),))</f>
        <v/>
      </c>
      <c r="C2455">
        <f>IF(VLOOKUP(Table7[[#This Row],[Date]],Database!$A:$C,MATCH($C$1,Database!$A$1:$C$1,),)=0,#N/A,VLOOKUP(Table7[[#This Row],[Date]],Database!$A:$C,MATCH($C$1,Database!$A$1:$C$1,),))</f>
        <v/>
      </c>
      <c r="D2455">
        <f>IFERROR(Table7[[#This Row],[United States 10y]]-Table7[[#This Row],[United States 3y]],#N/A)</f>
        <v/>
      </c>
    </row>
    <row r="2456">
      <c r="A2456" s="6">
        <f>Database!$A4541</f>
        <v/>
      </c>
      <c r="B2456">
        <f>IF(VLOOKUP(Table7[[#This Row],[Date]],Database!$A:$C,MATCH($B$1,Database!$A$1:$C$1,),)=0,#N/A,VLOOKUP(Table7[[#This Row],[Date]],Database!$A:$C,MATCH($B$1,Database!$A$1:$C$1,),))</f>
        <v/>
      </c>
      <c r="C2456">
        <f>IF(VLOOKUP(Table7[[#This Row],[Date]],Database!$A:$C,MATCH($C$1,Database!$A$1:$C$1,),)=0,#N/A,VLOOKUP(Table7[[#This Row],[Date]],Database!$A:$C,MATCH($C$1,Database!$A$1:$C$1,),))</f>
        <v/>
      </c>
      <c r="D2456">
        <f>IFERROR(Table7[[#This Row],[United States 10y]]-Table7[[#This Row],[United States 3y]],#N/A)</f>
        <v/>
      </c>
    </row>
    <row r="2457">
      <c r="A2457" s="6">
        <f>Database!$A4542</f>
        <v/>
      </c>
      <c r="B2457">
        <f>IF(VLOOKUP(Table7[[#This Row],[Date]],Database!$A:$C,MATCH($B$1,Database!$A$1:$C$1,),)=0,#N/A,VLOOKUP(Table7[[#This Row],[Date]],Database!$A:$C,MATCH($B$1,Database!$A$1:$C$1,),))</f>
        <v/>
      </c>
      <c r="C2457">
        <f>IF(VLOOKUP(Table7[[#This Row],[Date]],Database!$A:$C,MATCH($C$1,Database!$A$1:$C$1,),)=0,#N/A,VLOOKUP(Table7[[#This Row],[Date]],Database!$A:$C,MATCH($C$1,Database!$A$1:$C$1,),))</f>
        <v/>
      </c>
      <c r="D2457">
        <f>IFERROR(Table7[[#This Row],[United States 10y]]-Table7[[#This Row],[United States 3y]],#N/A)</f>
        <v/>
      </c>
    </row>
    <row r="2458">
      <c r="A2458" s="6">
        <f>Database!$A4543</f>
        <v/>
      </c>
      <c r="B2458">
        <f>IF(VLOOKUP(Table7[[#This Row],[Date]],Database!$A:$C,MATCH($B$1,Database!$A$1:$C$1,),)=0,#N/A,VLOOKUP(Table7[[#This Row],[Date]],Database!$A:$C,MATCH($B$1,Database!$A$1:$C$1,),))</f>
        <v/>
      </c>
      <c r="C2458">
        <f>IF(VLOOKUP(Table7[[#This Row],[Date]],Database!$A:$C,MATCH($C$1,Database!$A$1:$C$1,),)=0,#N/A,VLOOKUP(Table7[[#This Row],[Date]],Database!$A:$C,MATCH($C$1,Database!$A$1:$C$1,),))</f>
        <v/>
      </c>
      <c r="D2458">
        <f>IFERROR(Table7[[#This Row],[United States 10y]]-Table7[[#This Row],[United States 3y]],#N/A)</f>
        <v/>
      </c>
    </row>
    <row r="2459">
      <c r="A2459" s="6">
        <f>Database!$A4544</f>
        <v/>
      </c>
      <c r="B2459">
        <f>IF(VLOOKUP(Table7[[#This Row],[Date]],Database!$A:$C,MATCH($B$1,Database!$A$1:$C$1,),)=0,#N/A,VLOOKUP(Table7[[#This Row],[Date]],Database!$A:$C,MATCH($B$1,Database!$A$1:$C$1,),))</f>
        <v/>
      </c>
      <c r="C2459">
        <f>IF(VLOOKUP(Table7[[#This Row],[Date]],Database!$A:$C,MATCH($C$1,Database!$A$1:$C$1,),)=0,#N/A,VLOOKUP(Table7[[#This Row],[Date]],Database!$A:$C,MATCH($C$1,Database!$A$1:$C$1,),))</f>
        <v/>
      </c>
      <c r="D2459">
        <f>IFERROR(Table7[[#This Row],[United States 10y]]-Table7[[#This Row],[United States 3y]],#N/A)</f>
        <v/>
      </c>
    </row>
    <row r="2460">
      <c r="A2460" s="6">
        <f>Database!$A4545</f>
        <v/>
      </c>
      <c r="B2460">
        <f>IF(VLOOKUP(Table7[[#This Row],[Date]],Database!$A:$C,MATCH($B$1,Database!$A$1:$C$1,),)=0,#N/A,VLOOKUP(Table7[[#This Row],[Date]],Database!$A:$C,MATCH($B$1,Database!$A$1:$C$1,),))</f>
        <v/>
      </c>
      <c r="C2460">
        <f>IF(VLOOKUP(Table7[[#This Row],[Date]],Database!$A:$C,MATCH($C$1,Database!$A$1:$C$1,),)=0,#N/A,VLOOKUP(Table7[[#This Row],[Date]],Database!$A:$C,MATCH($C$1,Database!$A$1:$C$1,),))</f>
        <v/>
      </c>
      <c r="D2460">
        <f>IFERROR(Table7[[#This Row],[United States 10y]]-Table7[[#This Row],[United States 3y]],#N/A)</f>
        <v/>
      </c>
    </row>
    <row r="2461">
      <c r="A2461" s="6">
        <f>Database!$A4546</f>
        <v/>
      </c>
      <c r="B2461">
        <f>IF(VLOOKUP(Table7[[#This Row],[Date]],Database!$A:$C,MATCH($B$1,Database!$A$1:$C$1,),)=0,#N/A,VLOOKUP(Table7[[#This Row],[Date]],Database!$A:$C,MATCH($B$1,Database!$A$1:$C$1,),))</f>
        <v/>
      </c>
      <c r="C2461">
        <f>IF(VLOOKUP(Table7[[#This Row],[Date]],Database!$A:$C,MATCH($C$1,Database!$A$1:$C$1,),)=0,#N/A,VLOOKUP(Table7[[#This Row],[Date]],Database!$A:$C,MATCH($C$1,Database!$A$1:$C$1,),))</f>
        <v/>
      </c>
      <c r="D2461">
        <f>IFERROR(Table7[[#This Row],[United States 10y]]-Table7[[#This Row],[United States 3y]],#N/A)</f>
        <v/>
      </c>
    </row>
    <row r="2462">
      <c r="A2462" s="6">
        <f>Database!$A4547</f>
        <v/>
      </c>
      <c r="B2462">
        <f>IF(VLOOKUP(Table7[[#This Row],[Date]],Database!$A:$C,MATCH($B$1,Database!$A$1:$C$1,),)=0,#N/A,VLOOKUP(Table7[[#This Row],[Date]],Database!$A:$C,MATCH($B$1,Database!$A$1:$C$1,),))</f>
        <v/>
      </c>
      <c r="C2462">
        <f>IF(VLOOKUP(Table7[[#This Row],[Date]],Database!$A:$C,MATCH($C$1,Database!$A$1:$C$1,),)=0,#N/A,VLOOKUP(Table7[[#This Row],[Date]],Database!$A:$C,MATCH($C$1,Database!$A$1:$C$1,),))</f>
        <v/>
      </c>
      <c r="D2462">
        <f>IFERROR(Table7[[#This Row],[United States 10y]]-Table7[[#This Row],[United States 3y]],#N/A)</f>
        <v/>
      </c>
    </row>
    <row r="2463">
      <c r="A2463" s="6">
        <f>Database!$A4548</f>
        <v/>
      </c>
      <c r="B2463">
        <f>IF(VLOOKUP(Table7[[#This Row],[Date]],Database!$A:$C,MATCH($B$1,Database!$A$1:$C$1,),)=0,#N/A,VLOOKUP(Table7[[#This Row],[Date]],Database!$A:$C,MATCH($B$1,Database!$A$1:$C$1,),))</f>
        <v/>
      </c>
      <c r="C2463">
        <f>IF(VLOOKUP(Table7[[#This Row],[Date]],Database!$A:$C,MATCH($C$1,Database!$A$1:$C$1,),)=0,#N/A,VLOOKUP(Table7[[#This Row],[Date]],Database!$A:$C,MATCH($C$1,Database!$A$1:$C$1,),))</f>
        <v/>
      </c>
      <c r="D2463">
        <f>IFERROR(Table7[[#This Row],[United States 10y]]-Table7[[#This Row],[United States 3y]],#N/A)</f>
        <v/>
      </c>
    </row>
    <row r="2464">
      <c r="A2464" s="6">
        <f>Database!$A4549</f>
        <v/>
      </c>
      <c r="B2464">
        <f>IF(VLOOKUP(Table7[[#This Row],[Date]],Database!$A:$C,MATCH($B$1,Database!$A$1:$C$1,),)=0,#N/A,VLOOKUP(Table7[[#This Row],[Date]],Database!$A:$C,MATCH($B$1,Database!$A$1:$C$1,),))</f>
        <v/>
      </c>
      <c r="C2464">
        <f>IF(VLOOKUP(Table7[[#This Row],[Date]],Database!$A:$C,MATCH($C$1,Database!$A$1:$C$1,),)=0,#N/A,VLOOKUP(Table7[[#This Row],[Date]],Database!$A:$C,MATCH($C$1,Database!$A$1:$C$1,),))</f>
        <v/>
      </c>
      <c r="D2464">
        <f>IFERROR(Table7[[#This Row],[United States 10y]]-Table7[[#This Row],[United States 3y]],#N/A)</f>
        <v/>
      </c>
    </row>
    <row r="2465">
      <c r="A2465" s="6">
        <f>Database!$A4550</f>
        <v/>
      </c>
      <c r="B2465">
        <f>IF(VLOOKUP(Table7[[#This Row],[Date]],Database!$A:$C,MATCH($B$1,Database!$A$1:$C$1,),)=0,#N/A,VLOOKUP(Table7[[#This Row],[Date]],Database!$A:$C,MATCH($B$1,Database!$A$1:$C$1,),))</f>
        <v/>
      </c>
      <c r="C2465">
        <f>IF(VLOOKUP(Table7[[#This Row],[Date]],Database!$A:$C,MATCH($C$1,Database!$A$1:$C$1,),)=0,#N/A,VLOOKUP(Table7[[#This Row],[Date]],Database!$A:$C,MATCH($C$1,Database!$A$1:$C$1,),))</f>
        <v/>
      </c>
      <c r="D2465">
        <f>IFERROR(Table7[[#This Row],[United States 10y]]-Table7[[#This Row],[United States 3y]],#N/A)</f>
        <v/>
      </c>
    </row>
    <row r="2466">
      <c r="A2466" s="6">
        <f>Database!$A4551</f>
        <v/>
      </c>
      <c r="B2466">
        <f>IF(VLOOKUP(Table7[[#This Row],[Date]],Database!$A:$C,MATCH($B$1,Database!$A$1:$C$1,),)=0,#N/A,VLOOKUP(Table7[[#This Row],[Date]],Database!$A:$C,MATCH($B$1,Database!$A$1:$C$1,),))</f>
        <v/>
      </c>
      <c r="C2466">
        <f>IF(VLOOKUP(Table7[[#This Row],[Date]],Database!$A:$C,MATCH($C$1,Database!$A$1:$C$1,),)=0,#N/A,VLOOKUP(Table7[[#This Row],[Date]],Database!$A:$C,MATCH($C$1,Database!$A$1:$C$1,),))</f>
        <v/>
      </c>
      <c r="D2466">
        <f>IFERROR(Table7[[#This Row],[United States 10y]]-Table7[[#This Row],[United States 3y]],#N/A)</f>
        <v/>
      </c>
    </row>
    <row r="2467">
      <c r="A2467" s="6">
        <f>Database!$A4552</f>
        <v/>
      </c>
      <c r="B2467">
        <f>IF(VLOOKUP(Table7[[#This Row],[Date]],Database!$A:$C,MATCH($B$1,Database!$A$1:$C$1,),)=0,#N/A,VLOOKUP(Table7[[#This Row],[Date]],Database!$A:$C,MATCH($B$1,Database!$A$1:$C$1,),))</f>
        <v/>
      </c>
      <c r="C2467">
        <f>IF(VLOOKUP(Table7[[#This Row],[Date]],Database!$A:$C,MATCH($C$1,Database!$A$1:$C$1,),)=0,#N/A,VLOOKUP(Table7[[#This Row],[Date]],Database!$A:$C,MATCH($C$1,Database!$A$1:$C$1,),))</f>
        <v/>
      </c>
      <c r="D2467">
        <f>IFERROR(Table7[[#This Row],[United States 10y]]-Table7[[#This Row],[United States 3y]],#N/A)</f>
        <v/>
      </c>
    </row>
    <row r="2468">
      <c r="A2468" s="6">
        <f>Database!$A4553</f>
        <v/>
      </c>
      <c r="B2468">
        <f>IF(VLOOKUP(Table7[[#This Row],[Date]],Database!$A:$C,MATCH($B$1,Database!$A$1:$C$1,),)=0,#N/A,VLOOKUP(Table7[[#This Row],[Date]],Database!$A:$C,MATCH($B$1,Database!$A$1:$C$1,),))</f>
        <v/>
      </c>
      <c r="C2468">
        <f>IF(VLOOKUP(Table7[[#This Row],[Date]],Database!$A:$C,MATCH($C$1,Database!$A$1:$C$1,),)=0,#N/A,VLOOKUP(Table7[[#This Row],[Date]],Database!$A:$C,MATCH($C$1,Database!$A$1:$C$1,),))</f>
        <v/>
      </c>
      <c r="D2468">
        <f>IFERROR(Table7[[#This Row],[United States 10y]]-Table7[[#This Row],[United States 3y]],#N/A)</f>
        <v/>
      </c>
    </row>
    <row r="2469">
      <c r="A2469" s="6">
        <f>Database!$A4554</f>
        <v/>
      </c>
      <c r="B2469">
        <f>IF(VLOOKUP(Table7[[#This Row],[Date]],Database!$A:$C,MATCH($B$1,Database!$A$1:$C$1,),)=0,#N/A,VLOOKUP(Table7[[#This Row],[Date]],Database!$A:$C,MATCH($B$1,Database!$A$1:$C$1,),))</f>
        <v/>
      </c>
      <c r="C2469">
        <f>IF(VLOOKUP(Table7[[#This Row],[Date]],Database!$A:$C,MATCH($C$1,Database!$A$1:$C$1,),)=0,#N/A,VLOOKUP(Table7[[#This Row],[Date]],Database!$A:$C,MATCH($C$1,Database!$A$1:$C$1,),))</f>
        <v/>
      </c>
      <c r="D2469">
        <f>IFERROR(Table7[[#This Row],[United States 10y]]-Table7[[#This Row],[United States 3y]],#N/A)</f>
        <v/>
      </c>
    </row>
    <row r="2470">
      <c r="A2470" s="6">
        <f>Database!$A4555</f>
        <v/>
      </c>
      <c r="B2470">
        <f>IF(VLOOKUP(Table7[[#This Row],[Date]],Database!$A:$C,MATCH($B$1,Database!$A$1:$C$1,),)=0,#N/A,VLOOKUP(Table7[[#This Row],[Date]],Database!$A:$C,MATCH($B$1,Database!$A$1:$C$1,),))</f>
        <v/>
      </c>
      <c r="C2470">
        <f>IF(VLOOKUP(Table7[[#This Row],[Date]],Database!$A:$C,MATCH($C$1,Database!$A$1:$C$1,),)=0,#N/A,VLOOKUP(Table7[[#This Row],[Date]],Database!$A:$C,MATCH($C$1,Database!$A$1:$C$1,),))</f>
        <v/>
      </c>
      <c r="D2470">
        <f>IFERROR(Table7[[#This Row],[United States 10y]]-Table7[[#This Row],[United States 3y]],#N/A)</f>
        <v/>
      </c>
    </row>
    <row r="2471">
      <c r="A2471" s="6">
        <f>Database!$A4556</f>
        <v/>
      </c>
      <c r="B2471">
        <f>IF(VLOOKUP(Table7[[#This Row],[Date]],Database!$A:$C,MATCH($B$1,Database!$A$1:$C$1,),)=0,#N/A,VLOOKUP(Table7[[#This Row],[Date]],Database!$A:$C,MATCH($B$1,Database!$A$1:$C$1,),))</f>
        <v/>
      </c>
      <c r="C2471">
        <f>IF(VLOOKUP(Table7[[#This Row],[Date]],Database!$A:$C,MATCH($C$1,Database!$A$1:$C$1,),)=0,#N/A,VLOOKUP(Table7[[#This Row],[Date]],Database!$A:$C,MATCH($C$1,Database!$A$1:$C$1,),))</f>
        <v/>
      </c>
      <c r="D2471">
        <f>IFERROR(Table7[[#This Row],[United States 10y]]-Table7[[#This Row],[United States 3y]],#N/A)</f>
        <v/>
      </c>
    </row>
    <row r="2472">
      <c r="A2472" s="6">
        <f>Database!$A4557</f>
        <v/>
      </c>
      <c r="B2472">
        <f>IF(VLOOKUP(Table7[[#This Row],[Date]],Database!$A:$C,MATCH($B$1,Database!$A$1:$C$1,),)=0,#N/A,VLOOKUP(Table7[[#This Row],[Date]],Database!$A:$C,MATCH($B$1,Database!$A$1:$C$1,),))</f>
        <v/>
      </c>
      <c r="C2472">
        <f>IF(VLOOKUP(Table7[[#This Row],[Date]],Database!$A:$C,MATCH($C$1,Database!$A$1:$C$1,),)=0,#N/A,VLOOKUP(Table7[[#This Row],[Date]],Database!$A:$C,MATCH($C$1,Database!$A$1:$C$1,),))</f>
        <v/>
      </c>
      <c r="D2472">
        <f>IFERROR(Table7[[#This Row],[United States 10y]]-Table7[[#This Row],[United States 3y]],#N/A)</f>
        <v/>
      </c>
    </row>
    <row r="2473">
      <c r="A2473" s="6">
        <f>Database!$A4558</f>
        <v/>
      </c>
      <c r="B2473">
        <f>IF(VLOOKUP(Table7[[#This Row],[Date]],Database!$A:$C,MATCH($B$1,Database!$A$1:$C$1,),)=0,#N/A,VLOOKUP(Table7[[#This Row],[Date]],Database!$A:$C,MATCH($B$1,Database!$A$1:$C$1,),))</f>
        <v/>
      </c>
      <c r="C2473">
        <f>IF(VLOOKUP(Table7[[#This Row],[Date]],Database!$A:$C,MATCH($C$1,Database!$A$1:$C$1,),)=0,#N/A,VLOOKUP(Table7[[#This Row],[Date]],Database!$A:$C,MATCH($C$1,Database!$A$1:$C$1,),))</f>
        <v/>
      </c>
      <c r="D2473">
        <f>IFERROR(Table7[[#This Row],[United States 10y]]-Table7[[#This Row],[United States 3y]],#N/A)</f>
        <v/>
      </c>
    </row>
    <row r="2474">
      <c r="A2474" s="6">
        <f>Database!$A4559</f>
        <v/>
      </c>
      <c r="B2474">
        <f>IF(VLOOKUP(Table7[[#This Row],[Date]],Database!$A:$C,MATCH($B$1,Database!$A$1:$C$1,),)=0,#N/A,VLOOKUP(Table7[[#This Row],[Date]],Database!$A:$C,MATCH($B$1,Database!$A$1:$C$1,),))</f>
        <v/>
      </c>
      <c r="C2474">
        <f>IF(VLOOKUP(Table7[[#This Row],[Date]],Database!$A:$C,MATCH($C$1,Database!$A$1:$C$1,),)=0,#N/A,VLOOKUP(Table7[[#This Row],[Date]],Database!$A:$C,MATCH($C$1,Database!$A$1:$C$1,),))</f>
        <v/>
      </c>
      <c r="D2474">
        <f>IFERROR(Table7[[#This Row],[United States 10y]]-Table7[[#This Row],[United States 3y]],#N/A)</f>
        <v/>
      </c>
    </row>
    <row r="2475">
      <c r="A2475" s="6">
        <f>Database!$A4560</f>
        <v/>
      </c>
      <c r="B2475">
        <f>IF(VLOOKUP(Table7[[#This Row],[Date]],Database!$A:$C,MATCH($B$1,Database!$A$1:$C$1,),)=0,#N/A,VLOOKUP(Table7[[#This Row],[Date]],Database!$A:$C,MATCH($B$1,Database!$A$1:$C$1,),))</f>
        <v/>
      </c>
      <c r="C2475">
        <f>IF(VLOOKUP(Table7[[#This Row],[Date]],Database!$A:$C,MATCH($C$1,Database!$A$1:$C$1,),)=0,#N/A,VLOOKUP(Table7[[#This Row],[Date]],Database!$A:$C,MATCH($C$1,Database!$A$1:$C$1,),))</f>
        <v/>
      </c>
      <c r="D2475">
        <f>IFERROR(Table7[[#This Row],[United States 10y]]-Table7[[#This Row],[United States 3y]],#N/A)</f>
        <v/>
      </c>
    </row>
    <row r="2476">
      <c r="A2476" s="6">
        <f>Database!$A4561</f>
        <v/>
      </c>
      <c r="B2476">
        <f>IF(VLOOKUP(Table7[[#This Row],[Date]],Database!$A:$C,MATCH($B$1,Database!$A$1:$C$1,),)=0,#N/A,VLOOKUP(Table7[[#This Row],[Date]],Database!$A:$C,MATCH($B$1,Database!$A$1:$C$1,),))</f>
        <v/>
      </c>
      <c r="C2476">
        <f>IF(VLOOKUP(Table7[[#This Row],[Date]],Database!$A:$C,MATCH($C$1,Database!$A$1:$C$1,),)=0,#N/A,VLOOKUP(Table7[[#This Row],[Date]],Database!$A:$C,MATCH($C$1,Database!$A$1:$C$1,),))</f>
        <v/>
      </c>
      <c r="D2476">
        <f>IFERROR(Table7[[#This Row],[United States 10y]]-Table7[[#This Row],[United States 3y]],#N/A)</f>
        <v/>
      </c>
    </row>
    <row r="2477">
      <c r="A2477" s="6">
        <f>Database!$A4562</f>
        <v/>
      </c>
      <c r="B2477">
        <f>IF(VLOOKUP(Table7[[#This Row],[Date]],Database!$A:$C,MATCH($B$1,Database!$A$1:$C$1,),)=0,#N/A,VLOOKUP(Table7[[#This Row],[Date]],Database!$A:$C,MATCH($B$1,Database!$A$1:$C$1,),))</f>
        <v/>
      </c>
      <c r="C2477">
        <f>IF(VLOOKUP(Table7[[#This Row],[Date]],Database!$A:$C,MATCH($C$1,Database!$A$1:$C$1,),)=0,#N/A,VLOOKUP(Table7[[#This Row],[Date]],Database!$A:$C,MATCH($C$1,Database!$A$1:$C$1,),))</f>
        <v/>
      </c>
      <c r="D2477">
        <f>IFERROR(Table7[[#This Row],[United States 10y]]-Table7[[#This Row],[United States 3y]],#N/A)</f>
        <v/>
      </c>
    </row>
    <row r="2478">
      <c r="A2478" s="6">
        <f>Database!$A4563</f>
        <v/>
      </c>
      <c r="B2478">
        <f>IF(VLOOKUP(Table7[[#This Row],[Date]],Database!$A:$C,MATCH($B$1,Database!$A$1:$C$1,),)=0,#N/A,VLOOKUP(Table7[[#This Row],[Date]],Database!$A:$C,MATCH($B$1,Database!$A$1:$C$1,),))</f>
        <v/>
      </c>
      <c r="C2478">
        <f>IF(VLOOKUP(Table7[[#This Row],[Date]],Database!$A:$C,MATCH($C$1,Database!$A$1:$C$1,),)=0,#N/A,VLOOKUP(Table7[[#This Row],[Date]],Database!$A:$C,MATCH($C$1,Database!$A$1:$C$1,),))</f>
        <v/>
      </c>
      <c r="D2478">
        <f>IFERROR(Table7[[#This Row],[United States 10y]]-Table7[[#This Row],[United States 3y]],#N/A)</f>
        <v/>
      </c>
    </row>
    <row r="2479">
      <c r="A2479" s="6">
        <f>Database!$A4564</f>
        <v/>
      </c>
      <c r="B2479">
        <f>IF(VLOOKUP(Table7[[#This Row],[Date]],Database!$A:$C,MATCH($B$1,Database!$A$1:$C$1,),)=0,#N/A,VLOOKUP(Table7[[#This Row],[Date]],Database!$A:$C,MATCH($B$1,Database!$A$1:$C$1,),))</f>
        <v/>
      </c>
      <c r="C2479">
        <f>IF(VLOOKUP(Table7[[#This Row],[Date]],Database!$A:$C,MATCH($C$1,Database!$A$1:$C$1,),)=0,#N/A,VLOOKUP(Table7[[#This Row],[Date]],Database!$A:$C,MATCH($C$1,Database!$A$1:$C$1,),))</f>
        <v/>
      </c>
      <c r="D2479">
        <f>IFERROR(Table7[[#This Row],[United States 10y]]-Table7[[#This Row],[United States 3y]],#N/A)</f>
        <v/>
      </c>
    </row>
    <row r="2480">
      <c r="A2480" s="6">
        <f>Database!$A4565</f>
        <v/>
      </c>
      <c r="B2480">
        <f>IF(VLOOKUP(Table7[[#This Row],[Date]],Database!$A:$C,MATCH($B$1,Database!$A$1:$C$1,),)=0,#N/A,VLOOKUP(Table7[[#This Row],[Date]],Database!$A:$C,MATCH($B$1,Database!$A$1:$C$1,),))</f>
        <v/>
      </c>
      <c r="C2480">
        <f>IF(VLOOKUP(Table7[[#This Row],[Date]],Database!$A:$C,MATCH($C$1,Database!$A$1:$C$1,),)=0,#N/A,VLOOKUP(Table7[[#This Row],[Date]],Database!$A:$C,MATCH($C$1,Database!$A$1:$C$1,),))</f>
        <v/>
      </c>
      <c r="D2480">
        <f>IFERROR(Table7[[#This Row],[United States 10y]]-Table7[[#This Row],[United States 3y]],#N/A)</f>
        <v/>
      </c>
    </row>
    <row r="2481">
      <c r="A2481" s="6">
        <f>Database!$A4566</f>
        <v/>
      </c>
      <c r="B2481">
        <f>IF(VLOOKUP(Table7[[#This Row],[Date]],Database!$A:$C,MATCH($B$1,Database!$A$1:$C$1,),)=0,#N/A,VLOOKUP(Table7[[#This Row],[Date]],Database!$A:$C,MATCH($B$1,Database!$A$1:$C$1,),))</f>
        <v/>
      </c>
      <c r="C2481">
        <f>IF(VLOOKUP(Table7[[#This Row],[Date]],Database!$A:$C,MATCH($C$1,Database!$A$1:$C$1,),)=0,#N/A,VLOOKUP(Table7[[#This Row],[Date]],Database!$A:$C,MATCH($C$1,Database!$A$1:$C$1,),))</f>
        <v/>
      </c>
      <c r="D2481">
        <f>IFERROR(Table7[[#This Row],[United States 10y]]-Table7[[#This Row],[United States 3y]],#N/A)</f>
        <v/>
      </c>
    </row>
    <row r="2482">
      <c r="A2482" s="6">
        <f>Database!$A4567</f>
        <v/>
      </c>
      <c r="B2482">
        <f>IF(VLOOKUP(Table7[[#This Row],[Date]],Database!$A:$C,MATCH($B$1,Database!$A$1:$C$1,),)=0,#N/A,VLOOKUP(Table7[[#This Row],[Date]],Database!$A:$C,MATCH($B$1,Database!$A$1:$C$1,),))</f>
        <v/>
      </c>
      <c r="C2482">
        <f>IF(VLOOKUP(Table7[[#This Row],[Date]],Database!$A:$C,MATCH($C$1,Database!$A$1:$C$1,),)=0,#N/A,VLOOKUP(Table7[[#This Row],[Date]],Database!$A:$C,MATCH($C$1,Database!$A$1:$C$1,),))</f>
        <v/>
      </c>
      <c r="D2482">
        <f>IFERROR(Table7[[#This Row],[United States 10y]]-Table7[[#This Row],[United States 3y]],#N/A)</f>
        <v/>
      </c>
    </row>
    <row r="2483">
      <c r="A2483" s="6">
        <f>Database!$A4568</f>
        <v/>
      </c>
      <c r="B2483">
        <f>IF(VLOOKUP(Table7[[#This Row],[Date]],Database!$A:$C,MATCH($B$1,Database!$A$1:$C$1,),)=0,#N/A,VLOOKUP(Table7[[#This Row],[Date]],Database!$A:$C,MATCH($B$1,Database!$A$1:$C$1,),))</f>
        <v/>
      </c>
      <c r="C2483">
        <f>IF(VLOOKUP(Table7[[#This Row],[Date]],Database!$A:$C,MATCH($C$1,Database!$A$1:$C$1,),)=0,#N/A,VLOOKUP(Table7[[#This Row],[Date]],Database!$A:$C,MATCH($C$1,Database!$A$1:$C$1,),))</f>
        <v/>
      </c>
      <c r="D2483">
        <f>IFERROR(Table7[[#This Row],[United States 10y]]-Table7[[#This Row],[United States 3y]],#N/A)</f>
        <v/>
      </c>
    </row>
    <row r="2484">
      <c r="A2484" s="6">
        <f>Database!$A4569</f>
        <v/>
      </c>
      <c r="B2484">
        <f>IF(VLOOKUP(Table7[[#This Row],[Date]],Database!$A:$C,MATCH($B$1,Database!$A$1:$C$1,),)=0,#N/A,VLOOKUP(Table7[[#This Row],[Date]],Database!$A:$C,MATCH($B$1,Database!$A$1:$C$1,),))</f>
        <v/>
      </c>
      <c r="C2484">
        <f>IF(VLOOKUP(Table7[[#This Row],[Date]],Database!$A:$C,MATCH($C$1,Database!$A$1:$C$1,),)=0,#N/A,VLOOKUP(Table7[[#This Row],[Date]],Database!$A:$C,MATCH($C$1,Database!$A$1:$C$1,),))</f>
        <v/>
      </c>
      <c r="D2484">
        <f>IFERROR(Table7[[#This Row],[United States 10y]]-Table7[[#This Row],[United States 3y]],#N/A)</f>
        <v/>
      </c>
    </row>
    <row r="2485">
      <c r="A2485" s="6">
        <f>Database!$A4570</f>
        <v/>
      </c>
      <c r="B2485">
        <f>IF(VLOOKUP(Table7[[#This Row],[Date]],Database!$A:$C,MATCH($B$1,Database!$A$1:$C$1,),)=0,#N/A,VLOOKUP(Table7[[#This Row],[Date]],Database!$A:$C,MATCH($B$1,Database!$A$1:$C$1,),))</f>
        <v/>
      </c>
      <c r="C2485">
        <f>IF(VLOOKUP(Table7[[#This Row],[Date]],Database!$A:$C,MATCH($C$1,Database!$A$1:$C$1,),)=0,#N/A,VLOOKUP(Table7[[#This Row],[Date]],Database!$A:$C,MATCH($C$1,Database!$A$1:$C$1,),))</f>
        <v/>
      </c>
      <c r="D2485">
        <f>IFERROR(Table7[[#This Row],[United States 10y]]-Table7[[#This Row],[United States 3y]],#N/A)</f>
        <v/>
      </c>
    </row>
    <row r="2486">
      <c r="A2486" s="6">
        <f>Database!$A4571</f>
        <v/>
      </c>
      <c r="B2486">
        <f>IF(VLOOKUP(Table7[[#This Row],[Date]],Database!$A:$C,MATCH($B$1,Database!$A$1:$C$1,),)=0,#N/A,VLOOKUP(Table7[[#This Row],[Date]],Database!$A:$C,MATCH($B$1,Database!$A$1:$C$1,),))</f>
        <v/>
      </c>
      <c r="C2486">
        <f>IF(VLOOKUP(Table7[[#This Row],[Date]],Database!$A:$C,MATCH($C$1,Database!$A$1:$C$1,),)=0,#N/A,VLOOKUP(Table7[[#This Row],[Date]],Database!$A:$C,MATCH($C$1,Database!$A$1:$C$1,),))</f>
        <v/>
      </c>
      <c r="D2486">
        <f>IFERROR(Table7[[#This Row],[United States 10y]]-Table7[[#This Row],[United States 3y]],#N/A)</f>
        <v/>
      </c>
    </row>
    <row r="2487">
      <c r="A2487" s="6">
        <f>Database!$A4572</f>
        <v/>
      </c>
      <c r="B2487">
        <f>IF(VLOOKUP(Table7[[#This Row],[Date]],Database!$A:$C,MATCH($B$1,Database!$A$1:$C$1,),)=0,#N/A,VLOOKUP(Table7[[#This Row],[Date]],Database!$A:$C,MATCH($B$1,Database!$A$1:$C$1,),))</f>
        <v/>
      </c>
      <c r="C2487">
        <f>IF(VLOOKUP(Table7[[#This Row],[Date]],Database!$A:$C,MATCH($C$1,Database!$A$1:$C$1,),)=0,#N/A,VLOOKUP(Table7[[#This Row],[Date]],Database!$A:$C,MATCH($C$1,Database!$A$1:$C$1,),))</f>
        <v/>
      </c>
      <c r="D2487">
        <f>IFERROR(Table7[[#This Row],[United States 10y]]-Table7[[#This Row],[United States 3y]],#N/A)</f>
        <v/>
      </c>
    </row>
    <row r="2488">
      <c r="A2488" s="6">
        <f>Database!$A4573</f>
        <v/>
      </c>
      <c r="B2488">
        <f>IF(VLOOKUP(Table7[[#This Row],[Date]],Database!$A:$C,MATCH($B$1,Database!$A$1:$C$1,),)=0,#N/A,VLOOKUP(Table7[[#This Row],[Date]],Database!$A:$C,MATCH($B$1,Database!$A$1:$C$1,),))</f>
        <v/>
      </c>
      <c r="C2488">
        <f>IF(VLOOKUP(Table7[[#This Row],[Date]],Database!$A:$C,MATCH($C$1,Database!$A$1:$C$1,),)=0,#N/A,VLOOKUP(Table7[[#This Row],[Date]],Database!$A:$C,MATCH($C$1,Database!$A$1:$C$1,),))</f>
        <v/>
      </c>
      <c r="D2488">
        <f>IFERROR(Table7[[#This Row],[United States 10y]]-Table7[[#This Row],[United States 3y]],#N/A)</f>
        <v/>
      </c>
    </row>
    <row r="2489">
      <c r="A2489" s="6">
        <f>Database!$A4574</f>
        <v/>
      </c>
      <c r="B2489">
        <f>IF(VLOOKUP(Table7[[#This Row],[Date]],Database!$A:$C,MATCH($B$1,Database!$A$1:$C$1,),)=0,#N/A,VLOOKUP(Table7[[#This Row],[Date]],Database!$A:$C,MATCH($B$1,Database!$A$1:$C$1,),))</f>
        <v/>
      </c>
      <c r="C2489">
        <f>IF(VLOOKUP(Table7[[#This Row],[Date]],Database!$A:$C,MATCH($C$1,Database!$A$1:$C$1,),)=0,#N/A,VLOOKUP(Table7[[#This Row],[Date]],Database!$A:$C,MATCH($C$1,Database!$A$1:$C$1,),))</f>
        <v/>
      </c>
      <c r="D2489">
        <f>IFERROR(Table7[[#This Row],[United States 10y]]-Table7[[#This Row],[United States 3y]],#N/A)</f>
        <v/>
      </c>
    </row>
    <row r="2490">
      <c r="A2490" s="6">
        <f>Database!$A4575</f>
        <v/>
      </c>
      <c r="B2490">
        <f>IF(VLOOKUP(Table7[[#This Row],[Date]],Database!$A:$C,MATCH($B$1,Database!$A$1:$C$1,),)=0,#N/A,VLOOKUP(Table7[[#This Row],[Date]],Database!$A:$C,MATCH($B$1,Database!$A$1:$C$1,),))</f>
        <v/>
      </c>
      <c r="C2490">
        <f>IF(VLOOKUP(Table7[[#This Row],[Date]],Database!$A:$C,MATCH($C$1,Database!$A$1:$C$1,),)=0,#N/A,VLOOKUP(Table7[[#This Row],[Date]],Database!$A:$C,MATCH($C$1,Database!$A$1:$C$1,),))</f>
        <v/>
      </c>
      <c r="D2490">
        <f>IFERROR(Table7[[#This Row],[United States 10y]]-Table7[[#This Row],[United States 3y]],#N/A)</f>
        <v/>
      </c>
    </row>
    <row r="2491">
      <c r="A2491" s="6">
        <f>Database!$A4576</f>
        <v/>
      </c>
      <c r="B2491">
        <f>IF(VLOOKUP(Table7[[#This Row],[Date]],Database!$A:$C,MATCH($B$1,Database!$A$1:$C$1,),)=0,#N/A,VLOOKUP(Table7[[#This Row],[Date]],Database!$A:$C,MATCH($B$1,Database!$A$1:$C$1,),))</f>
        <v/>
      </c>
      <c r="C2491">
        <f>IF(VLOOKUP(Table7[[#This Row],[Date]],Database!$A:$C,MATCH($C$1,Database!$A$1:$C$1,),)=0,#N/A,VLOOKUP(Table7[[#This Row],[Date]],Database!$A:$C,MATCH($C$1,Database!$A$1:$C$1,),))</f>
        <v/>
      </c>
      <c r="D2491">
        <f>IFERROR(Table7[[#This Row],[United States 10y]]-Table7[[#This Row],[United States 3y]],#N/A)</f>
        <v/>
      </c>
    </row>
    <row r="2492">
      <c r="A2492" s="6">
        <f>Database!$A4577</f>
        <v/>
      </c>
      <c r="B2492">
        <f>IF(VLOOKUP(Table7[[#This Row],[Date]],Database!$A:$C,MATCH($B$1,Database!$A$1:$C$1,),)=0,#N/A,VLOOKUP(Table7[[#This Row],[Date]],Database!$A:$C,MATCH($B$1,Database!$A$1:$C$1,),))</f>
        <v/>
      </c>
      <c r="C2492">
        <f>IF(VLOOKUP(Table7[[#This Row],[Date]],Database!$A:$C,MATCH($C$1,Database!$A$1:$C$1,),)=0,#N/A,VLOOKUP(Table7[[#This Row],[Date]],Database!$A:$C,MATCH($C$1,Database!$A$1:$C$1,),))</f>
        <v/>
      </c>
      <c r="D2492">
        <f>IFERROR(Table7[[#This Row],[United States 10y]]-Table7[[#This Row],[United States 3y]],#N/A)</f>
        <v/>
      </c>
    </row>
    <row r="2493">
      <c r="A2493" s="6">
        <f>Database!$A4578</f>
        <v/>
      </c>
      <c r="B2493">
        <f>IF(VLOOKUP(Table7[[#This Row],[Date]],Database!$A:$C,MATCH($B$1,Database!$A$1:$C$1,),)=0,#N/A,VLOOKUP(Table7[[#This Row],[Date]],Database!$A:$C,MATCH($B$1,Database!$A$1:$C$1,),))</f>
        <v/>
      </c>
      <c r="C2493">
        <f>IF(VLOOKUP(Table7[[#This Row],[Date]],Database!$A:$C,MATCH($C$1,Database!$A$1:$C$1,),)=0,#N/A,VLOOKUP(Table7[[#This Row],[Date]],Database!$A:$C,MATCH($C$1,Database!$A$1:$C$1,),))</f>
        <v/>
      </c>
      <c r="D2493">
        <f>IFERROR(Table7[[#This Row],[United States 10y]]-Table7[[#This Row],[United States 3y]],#N/A)</f>
        <v/>
      </c>
    </row>
    <row r="2494">
      <c r="A2494" s="6">
        <f>Database!$A4579</f>
        <v/>
      </c>
      <c r="B2494">
        <f>IF(VLOOKUP(Table7[[#This Row],[Date]],Database!$A:$C,MATCH($B$1,Database!$A$1:$C$1,),)=0,#N/A,VLOOKUP(Table7[[#This Row],[Date]],Database!$A:$C,MATCH($B$1,Database!$A$1:$C$1,),))</f>
        <v/>
      </c>
      <c r="C2494">
        <f>IF(VLOOKUP(Table7[[#This Row],[Date]],Database!$A:$C,MATCH($C$1,Database!$A$1:$C$1,),)=0,#N/A,VLOOKUP(Table7[[#This Row],[Date]],Database!$A:$C,MATCH($C$1,Database!$A$1:$C$1,),))</f>
        <v/>
      </c>
      <c r="D2494">
        <f>IFERROR(Table7[[#This Row],[United States 10y]]-Table7[[#This Row],[United States 3y]],#N/A)</f>
        <v/>
      </c>
    </row>
    <row r="2495">
      <c r="A2495" s="6">
        <f>Database!$A4580</f>
        <v/>
      </c>
      <c r="B2495">
        <f>IF(VLOOKUP(Table7[[#This Row],[Date]],Database!$A:$C,MATCH($B$1,Database!$A$1:$C$1,),)=0,#N/A,VLOOKUP(Table7[[#This Row],[Date]],Database!$A:$C,MATCH($B$1,Database!$A$1:$C$1,),))</f>
        <v/>
      </c>
      <c r="C2495">
        <f>IF(VLOOKUP(Table7[[#This Row],[Date]],Database!$A:$C,MATCH($C$1,Database!$A$1:$C$1,),)=0,#N/A,VLOOKUP(Table7[[#This Row],[Date]],Database!$A:$C,MATCH($C$1,Database!$A$1:$C$1,),))</f>
        <v/>
      </c>
      <c r="D2495">
        <f>IFERROR(Table7[[#This Row],[United States 10y]]-Table7[[#This Row],[United States 3y]],#N/A)</f>
        <v/>
      </c>
    </row>
    <row r="2496">
      <c r="A2496" s="6">
        <f>Database!$A4581</f>
        <v/>
      </c>
      <c r="B2496">
        <f>IF(VLOOKUP(Table7[[#This Row],[Date]],Database!$A:$C,MATCH($B$1,Database!$A$1:$C$1,),)=0,#N/A,VLOOKUP(Table7[[#This Row],[Date]],Database!$A:$C,MATCH($B$1,Database!$A$1:$C$1,),))</f>
        <v/>
      </c>
      <c r="C2496">
        <f>IF(VLOOKUP(Table7[[#This Row],[Date]],Database!$A:$C,MATCH($C$1,Database!$A$1:$C$1,),)=0,#N/A,VLOOKUP(Table7[[#This Row],[Date]],Database!$A:$C,MATCH($C$1,Database!$A$1:$C$1,),))</f>
        <v/>
      </c>
      <c r="D2496">
        <f>IFERROR(Table7[[#This Row],[United States 10y]]-Table7[[#This Row],[United States 3y]],#N/A)</f>
        <v/>
      </c>
    </row>
    <row r="2497">
      <c r="A2497" s="6">
        <f>Database!$A4582</f>
        <v/>
      </c>
      <c r="B2497">
        <f>IF(VLOOKUP(Table7[[#This Row],[Date]],Database!$A:$C,MATCH($B$1,Database!$A$1:$C$1,),)=0,#N/A,VLOOKUP(Table7[[#This Row],[Date]],Database!$A:$C,MATCH($B$1,Database!$A$1:$C$1,),))</f>
        <v/>
      </c>
      <c r="C2497">
        <f>IF(VLOOKUP(Table7[[#This Row],[Date]],Database!$A:$C,MATCH($C$1,Database!$A$1:$C$1,),)=0,#N/A,VLOOKUP(Table7[[#This Row],[Date]],Database!$A:$C,MATCH($C$1,Database!$A$1:$C$1,),))</f>
        <v/>
      </c>
      <c r="D2497">
        <f>IFERROR(Table7[[#This Row],[United States 10y]]-Table7[[#This Row],[United States 3y]],#N/A)</f>
        <v/>
      </c>
    </row>
    <row r="2498">
      <c r="A2498" s="6">
        <f>Database!$A4583</f>
        <v/>
      </c>
      <c r="B2498">
        <f>IF(VLOOKUP(Table7[[#This Row],[Date]],Database!$A:$C,MATCH($B$1,Database!$A$1:$C$1,),)=0,#N/A,VLOOKUP(Table7[[#This Row],[Date]],Database!$A:$C,MATCH($B$1,Database!$A$1:$C$1,),))</f>
        <v/>
      </c>
      <c r="C2498">
        <f>IF(VLOOKUP(Table7[[#This Row],[Date]],Database!$A:$C,MATCH($C$1,Database!$A$1:$C$1,),)=0,#N/A,VLOOKUP(Table7[[#This Row],[Date]],Database!$A:$C,MATCH($C$1,Database!$A$1:$C$1,),))</f>
        <v/>
      </c>
      <c r="D2498">
        <f>IFERROR(Table7[[#This Row],[United States 10y]]-Table7[[#This Row],[United States 3y]],#N/A)</f>
        <v/>
      </c>
    </row>
    <row r="2499">
      <c r="A2499" s="6">
        <f>Database!$A4584</f>
        <v/>
      </c>
      <c r="B2499">
        <f>IF(VLOOKUP(Table7[[#This Row],[Date]],Database!$A:$C,MATCH($B$1,Database!$A$1:$C$1,),)=0,#N/A,VLOOKUP(Table7[[#This Row],[Date]],Database!$A:$C,MATCH($B$1,Database!$A$1:$C$1,),))</f>
        <v/>
      </c>
      <c r="C2499">
        <f>IF(VLOOKUP(Table7[[#This Row],[Date]],Database!$A:$C,MATCH($C$1,Database!$A$1:$C$1,),)=0,#N/A,VLOOKUP(Table7[[#This Row],[Date]],Database!$A:$C,MATCH($C$1,Database!$A$1:$C$1,),))</f>
        <v/>
      </c>
      <c r="D2499">
        <f>IFERROR(Table7[[#This Row],[United States 10y]]-Table7[[#This Row],[United States 3y]],#N/A)</f>
        <v/>
      </c>
    </row>
    <row r="2500">
      <c r="A2500" s="6">
        <f>Database!$A4585</f>
        <v/>
      </c>
      <c r="B2500">
        <f>IF(VLOOKUP(Table7[[#This Row],[Date]],Database!$A:$C,MATCH($B$1,Database!$A$1:$C$1,),)=0,#N/A,VLOOKUP(Table7[[#This Row],[Date]],Database!$A:$C,MATCH($B$1,Database!$A$1:$C$1,),))</f>
        <v/>
      </c>
      <c r="C2500">
        <f>IF(VLOOKUP(Table7[[#This Row],[Date]],Database!$A:$C,MATCH($C$1,Database!$A$1:$C$1,),)=0,#N/A,VLOOKUP(Table7[[#This Row],[Date]],Database!$A:$C,MATCH($C$1,Database!$A$1:$C$1,),))</f>
        <v/>
      </c>
      <c r="D2500">
        <f>IFERROR(Table7[[#This Row],[United States 10y]]-Table7[[#This Row],[United States 3y]],#N/A)</f>
        <v/>
      </c>
    </row>
    <row r="2501">
      <c r="A2501" s="6">
        <f>Database!$A4586</f>
        <v/>
      </c>
      <c r="B2501">
        <f>IF(VLOOKUP(Table7[[#This Row],[Date]],Database!$A:$C,MATCH($B$1,Database!$A$1:$C$1,),)=0,#N/A,VLOOKUP(Table7[[#This Row],[Date]],Database!$A:$C,MATCH($B$1,Database!$A$1:$C$1,),))</f>
        <v/>
      </c>
      <c r="C2501">
        <f>IF(VLOOKUP(Table7[[#This Row],[Date]],Database!$A:$C,MATCH($C$1,Database!$A$1:$C$1,),)=0,#N/A,VLOOKUP(Table7[[#This Row],[Date]],Database!$A:$C,MATCH($C$1,Database!$A$1:$C$1,),))</f>
        <v/>
      </c>
      <c r="D2501">
        <f>IFERROR(Table7[[#This Row],[United States 10y]]-Table7[[#This Row],[United States 3y]],#N/A)</f>
        <v/>
      </c>
    </row>
    <row r="2502">
      <c r="A2502" s="6">
        <f>Database!$A4587</f>
        <v/>
      </c>
      <c r="B2502">
        <f>IF(VLOOKUP(Table7[[#This Row],[Date]],Database!$A:$C,MATCH($B$1,Database!$A$1:$C$1,),)=0,#N/A,VLOOKUP(Table7[[#This Row],[Date]],Database!$A:$C,MATCH($B$1,Database!$A$1:$C$1,),))</f>
        <v/>
      </c>
      <c r="C2502">
        <f>IF(VLOOKUP(Table7[[#This Row],[Date]],Database!$A:$C,MATCH($C$1,Database!$A$1:$C$1,),)=0,#N/A,VLOOKUP(Table7[[#This Row],[Date]],Database!$A:$C,MATCH($C$1,Database!$A$1:$C$1,),))</f>
        <v/>
      </c>
      <c r="D2502">
        <f>IFERROR(Table7[[#This Row],[United States 10y]]-Table7[[#This Row],[United States 3y]],#N/A)</f>
        <v/>
      </c>
    </row>
    <row r="2503">
      <c r="A2503" s="6">
        <f>Database!$A4588</f>
        <v/>
      </c>
      <c r="B2503">
        <f>IF(VLOOKUP(Table7[[#This Row],[Date]],Database!$A:$C,MATCH($B$1,Database!$A$1:$C$1,),)=0,#N/A,VLOOKUP(Table7[[#This Row],[Date]],Database!$A:$C,MATCH($B$1,Database!$A$1:$C$1,),))</f>
        <v/>
      </c>
      <c r="C2503">
        <f>IF(VLOOKUP(Table7[[#This Row],[Date]],Database!$A:$C,MATCH($C$1,Database!$A$1:$C$1,),)=0,#N/A,VLOOKUP(Table7[[#This Row],[Date]],Database!$A:$C,MATCH($C$1,Database!$A$1:$C$1,),))</f>
        <v/>
      </c>
      <c r="D2503">
        <f>IFERROR(Table7[[#This Row],[United States 10y]]-Table7[[#This Row],[United States 3y]],#N/A)</f>
        <v/>
      </c>
    </row>
    <row r="2504">
      <c r="A2504" s="6">
        <f>Database!$A4589</f>
        <v/>
      </c>
      <c r="B2504">
        <f>IF(VLOOKUP(Table7[[#This Row],[Date]],Database!$A:$C,MATCH($B$1,Database!$A$1:$C$1,),)=0,#N/A,VLOOKUP(Table7[[#This Row],[Date]],Database!$A:$C,MATCH($B$1,Database!$A$1:$C$1,),))</f>
        <v/>
      </c>
      <c r="C2504">
        <f>IF(VLOOKUP(Table7[[#This Row],[Date]],Database!$A:$C,MATCH($C$1,Database!$A$1:$C$1,),)=0,#N/A,VLOOKUP(Table7[[#This Row],[Date]],Database!$A:$C,MATCH($C$1,Database!$A$1:$C$1,),))</f>
        <v/>
      </c>
      <c r="D2504">
        <f>IFERROR(Table7[[#This Row],[United States 10y]]-Table7[[#This Row],[United States 3y]],#N/A)</f>
        <v/>
      </c>
    </row>
    <row r="2505">
      <c r="A2505" s="6">
        <f>Database!$A4590</f>
        <v/>
      </c>
      <c r="B2505">
        <f>IF(VLOOKUP(Table7[[#This Row],[Date]],Database!$A:$C,MATCH($B$1,Database!$A$1:$C$1,),)=0,#N/A,VLOOKUP(Table7[[#This Row],[Date]],Database!$A:$C,MATCH($B$1,Database!$A$1:$C$1,),))</f>
        <v/>
      </c>
      <c r="C2505">
        <f>IF(VLOOKUP(Table7[[#This Row],[Date]],Database!$A:$C,MATCH($C$1,Database!$A$1:$C$1,),)=0,#N/A,VLOOKUP(Table7[[#This Row],[Date]],Database!$A:$C,MATCH($C$1,Database!$A$1:$C$1,),))</f>
        <v/>
      </c>
      <c r="D2505">
        <f>IFERROR(Table7[[#This Row],[United States 10y]]-Table7[[#This Row],[United States 3y]],#N/A)</f>
        <v/>
      </c>
    </row>
    <row r="2506">
      <c r="A2506" s="6">
        <f>Database!$A4591</f>
        <v/>
      </c>
      <c r="B2506">
        <f>IF(VLOOKUP(Table7[[#This Row],[Date]],Database!$A:$C,MATCH($B$1,Database!$A$1:$C$1,),)=0,#N/A,VLOOKUP(Table7[[#This Row],[Date]],Database!$A:$C,MATCH($B$1,Database!$A$1:$C$1,),))</f>
        <v/>
      </c>
      <c r="C2506">
        <f>IF(VLOOKUP(Table7[[#This Row],[Date]],Database!$A:$C,MATCH($C$1,Database!$A$1:$C$1,),)=0,#N/A,VLOOKUP(Table7[[#This Row],[Date]],Database!$A:$C,MATCH($C$1,Database!$A$1:$C$1,),))</f>
        <v/>
      </c>
      <c r="D2506">
        <f>IFERROR(Table7[[#This Row],[United States 10y]]-Table7[[#This Row],[United States 3y]],#N/A)</f>
        <v/>
      </c>
    </row>
    <row r="2507">
      <c r="A2507" s="6">
        <f>Database!$A4592</f>
        <v/>
      </c>
      <c r="B2507">
        <f>IF(VLOOKUP(Table7[[#This Row],[Date]],Database!$A:$C,MATCH($B$1,Database!$A$1:$C$1,),)=0,#N/A,VLOOKUP(Table7[[#This Row],[Date]],Database!$A:$C,MATCH($B$1,Database!$A$1:$C$1,),))</f>
        <v/>
      </c>
      <c r="C2507">
        <f>IF(VLOOKUP(Table7[[#This Row],[Date]],Database!$A:$C,MATCH($C$1,Database!$A$1:$C$1,),)=0,#N/A,VLOOKUP(Table7[[#This Row],[Date]],Database!$A:$C,MATCH($C$1,Database!$A$1:$C$1,),))</f>
        <v/>
      </c>
      <c r="D2507">
        <f>IFERROR(Table7[[#This Row],[United States 10y]]-Table7[[#This Row],[United States 3y]],#N/A)</f>
        <v/>
      </c>
    </row>
    <row r="2508">
      <c r="A2508" s="6">
        <f>Database!$A4593</f>
        <v/>
      </c>
      <c r="B2508">
        <f>IF(VLOOKUP(Table7[[#This Row],[Date]],Database!$A:$C,MATCH($B$1,Database!$A$1:$C$1,),)=0,#N/A,VLOOKUP(Table7[[#This Row],[Date]],Database!$A:$C,MATCH($B$1,Database!$A$1:$C$1,),))</f>
        <v/>
      </c>
      <c r="C2508">
        <f>IF(VLOOKUP(Table7[[#This Row],[Date]],Database!$A:$C,MATCH($C$1,Database!$A$1:$C$1,),)=0,#N/A,VLOOKUP(Table7[[#This Row],[Date]],Database!$A:$C,MATCH($C$1,Database!$A$1:$C$1,),))</f>
        <v/>
      </c>
      <c r="D2508">
        <f>IFERROR(Table7[[#This Row],[United States 10y]]-Table7[[#This Row],[United States 3y]],#N/A)</f>
        <v/>
      </c>
    </row>
    <row r="2509">
      <c r="A2509" s="6">
        <f>Database!$A4594</f>
        <v/>
      </c>
      <c r="B2509">
        <f>IF(VLOOKUP(Table7[[#This Row],[Date]],Database!$A:$C,MATCH($B$1,Database!$A$1:$C$1,),)=0,#N/A,VLOOKUP(Table7[[#This Row],[Date]],Database!$A:$C,MATCH($B$1,Database!$A$1:$C$1,),))</f>
        <v/>
      </c>
      <c r="C2509">
        <f>IF(VLOOKUP(Table7[[#This Row],[Date]],Database!$A:$C,MATCH($C$1,Database!$A$1:$C$1,),)=0,#N/A,VLOOKUP(Table7[[#This Row],[Date]],Database!$A:$C,MATCH($C$1,Database!$A$1:$C$1,),))</f>
        <v/>
      </c>
      <c r="D2509">
        <f>IFERROR(Table7[[#This Row],[United States 10y]]-Table7[[#This Row],[United States 3y]],#N/A)</f>
        <v/>
      </c>
    </row>
    <row r="2510">
      <c r="A2510" s="6">
        <f>Database!$A4595</f>
        <v/>
      </c>
      <c r="B2510">
        <f>IF(VLOOKUP(Table7[[#This Row],[Date]],Database!$A:$C,MATCH($B$1,Database!$A$1:$C$1,),)=0,#N/A,VLOOKUP(Table7[[#This Row],[Date]],Database!$A:$C,MATCH($B$1,Database!$A$1:$C$1,),))</f>
        <v/>
      </c>
      <c r="C2510">
        <f>IF(VLOOKUP(Table7[[#This Row],[Date]],Database!$A:$C,MATCH($C$1,Database!$A$1:$C$1,),)=0,#N/A,VLOOKUP(Table7[[#This Row],[Date]],Database!$A:$C,MATCH($C$1,Database!$A$1:$C$1,),))</f>
        <v/>
      </c>
      <c r="D2510">
        <f>IFERROR(Table7[[#This Row],[United States 10y]]-Table7[[#This Row],[United States 3y]],#N/A)</f>
        <v/>
      </c>
    </row>
    <row r="2511">
      <c r="A2511" s="6">
        <f>Database!$A4596</f>
        <v/>
      </c>
      <c r="B2511">
        <f>IF(VLOOKUP(Table7[[#This Row],[Date]],Database!$A:$C,MATCH($B$1,Database!$A$1:$C$1,),)=0,#N/A,VLOOKUP(Table7[[#This Row],[Date]],Database!$A:$C,MATCH($B$1,Database!$A$1:$C$1,),))</f>
        <v/>
      </c>
      <c r="C2511">
        <f>IF(VLOOKUP(Table7[[#This Row],[Date]],Database!$A:$C,MATCH($C$1,Database!$A$1:$C$1,),)=0,#N/A,VLOOKUP(Table7[[#This Row],[Date]],Database!$A:$C,MATCH($C$1,Database!$A$1:$C$1,),))</f>
        <v/>
      </c>
      <c r="D2511">
        <f>IFERROR(Table7[[#This Row],[United States 10y]]-Table7[[#This Row],[United States 3y]],#N/A)</f>
        <v/>
      </c>
    </row>
    <row r="2512">
      <c r="A2512" s="6">
        <f>Database!$A4597</f>
        <v/>
      </c>
      <c r="B2512">
        <f>IF(VLOOKUP(Table7[[#This Row],[Date]],Database!$A:$C,MATCH($B$1,Database!$A$1:$C$1,),)=0,#N/A,VLOOKUP(Table7[[#This Row],[Date]],Database!$A:$C,MATCH($B$1,Database!$A$1:$C$1,),))</f>
        <v/>
      </c>
      <c r="C2512">
        <f>IF(VLOOKUP(Table7[[#This Row],[Date]],Database!$A:$C,MATCH($C$1,Database!$A$1:$C$1,),)=0,#N/A,VLOOKUP(Table7[[#This Row],[Date]],Database!$A:$C,MATCH($C$1,Database!$A$1:$C$1,),))</f>
        <v/>
      </c>
      <c r="D2512">
        <f>IFERROR(Table7[[#This Row],[United States 10y]]-Table7[[#This Row],[United States 3y]],#N/A)</f>
        <v/>
      </c>
    </row>
    <row r="2513">
      <c r="A2513" s="6">
        <f>Database!$A4598</f>
        <v/>
      </c>
      <c r="B2513">
        <f>IF(VLOOKUP(Table7[[#This Row],[Date]],Database!$A:$C,MATCH($B$1,Database!$A$1:$C$1,),)=0,#N/A,VLOOKUP(Table7[[#This Row],[Date]],Database!$A:$C,MATCH($B$1,Database!$A$1:$C$1,),))</f>
        <v/>
      </c>
      <c r="C2513">
        <f>IF(VLOOKUP(Table7[[#This Row],[Date]],Database!$A:$C,MATCH($C$1,Database!$A$1:$C$1,),)=0,#N/A,VLOOKUP(Table7[[#This Row],[Date]],Database!$A:$C,MATCH($C$1,Database!$A$1:$C$1,),))</f>
        <v/>
      </c>
      <c r="D2513">
        <f>IFERROR(Table7[[#This Row],[United States 10y]]-Table7[[#This Row],[United States 3y]],#N/A)</f>
        <v/>
      </c>
    </row>
    <row r="2514">
      <c r="A2514" s="6">
        <f>Database!$A4599</f>
        <v/>
      </c>
      <c r="B2514">
        <f>IF(VLOOKUP(Table7[[#This Row],[Date]],Database!$A:$C,MATCH($B$1,Database!$A$1:$C$1,),)=0,#N/A,VLOOKUP(Table7[[#This Row],[Date]],Database!$A:$C,MATCH($B$1,Database!$A$1:$C$1,),))</f>
        <v/>
      </c>
      <c r="C2514">
        <f>IF(VLOOKUP(Table7[[#This Row],[Date]],Database!$A:$C,MATCH($C$1,Database!$A$1:$C$1,),)=0,#N/A,VLOOKUP(Table7[[#This Row],[Date]],Database!$A:$C,MATCH($C$1,Database!$A$1:$C$1,),))</f>
        <v/>
      </c>
      <c r="D2514">
        <f>IFERROR(Table7[[#This Row],[United States 10y]]-Table7[[#This Row],[United States 3y]],#N/A)</f>
        <v/>
      </c>
    </row>
    <row r="2515">
      <c r="A2515" s="6">
        <f>Database!$A4600</f>
        <v/>
      </c>
      <c r="B2515">
        <f>IF(VLOOKUP(Table7[[#This Row],[Date]],Database!$A:$C,MATCH($B$1,Database!$A$1:$C$1,),)=0,#N/A,VLOOKUP(Table7[[#This Row],[Date]],Database!$A:$C,MATCH($B$1,Database!$A$1:$C$1,),))</f>
        <v/>
      </c>
      <c r="C2515">
        <f>IF(VLOOKUP(Table7[[#This Row],[Date]],Database!$A:$C,MATCH($C$1,Database!$A$1:$C$1,),)=0,#N/A,VLOOKUP(Table7[[#This Row],[Date]],Database!$A:$C,MATCH($C$1,Database!$A$1:$C$1,),))</f>
        <v/>
      </c>
      <c r="D2515">
        <f>IFERROR(Table7[[#This Row],[United States 10y]]-Table7[[#This Row],[United States 3y]],#N/A)</f>
        <v/>
      </c>
    </row>
    <row r="2516">
      <c r="A2516" s="6">
        <f>Database!$A4601</f>
        <v/>
      </c>
      <c r="B2516">
        <f>IF(VLOOKUP(Table7[[#This Row],[Date]],Database!$A:$C,MATCH($B$1,Database!$A$1:$C$1,),)=0,#N/A,VLOOKUP(Table7[[#This Row],[Date]],Database!$A:$C,MATCH($B$1,Database!$A$1:$C$1,),))</f>
        <v/>
      </c>
      <c r="C2516">
        <f>IF(VLOOKUP(Table7[[#This Row],[Date]],Database!$A:$C,MATCH($C$1,Database!$A$1:$C$1,),)=0,#N/A,VLOOKUP(Table7[[#This Row],[Date]],Database!$A:$C,MATCH($C$1,Database!$A$1:$C$1,),))</f>
        <v/>
      </c>
      <c r="D2516">
        <f>IFERROR(Table7[[#This Row],[United States 10y]]-Table7[[#This Row],[United States 3y]],#N/A)</f>
        <v/>
      </c>
    </row>
    <row r="2517">
      <c r="A2517" s="6">
        <f>Database!$A4602</f>
        <v/>
      </c>
      <c r="B2517">
        <f>IF(VLOOKUP(Table7[[#This Row],[Date]],Database!$A:$C,MATCH($B$1,Database!$A$1:$C$1,),)=0,#N/A,VLOOKUP(Table7[[#This Row],[Date]],Database!$A:$C,MATCH($B$1,Database!$A$1:$C$1,),))</f>
        <v/>
      </c>
      <c r="C2517">
        <f>IF(VLOOKUP(Table7[[#This Row],[Date]],Database!$A:$C,MATCH($C$1,Database!$A$1:$C$1,),)=0,#N/A,VLOOKUP(Table7[[#This Row],[Date]],Database!$A:$C,MATCH($C$1,Database!$A$1:$C$1,),))</f>
        <v/>
      </c>
      <c r="D2517">
        <f>IFERROR(Table7[[#This Row],[United States 10y]]-Table7[[#This Row],[United States 3y]],#N/A)</f>
        <v/>
      </c>
    </row>
    <row r="2518">
      <c r="A2518" s="6">
        <f>Database!$A4603</f>
        <v/>
      </c>
      <c r="B2518">
        <f>IF(VLOOKUP(Table7[[#This Row],[Date]],Database!$A:$C,MATCH($B$1,Database!$A$1:$C$1,),)=0,#N/A,VLOOKUP(Table7[[#This Row],[Date]],Database!$A:$C,MATCH($B$1,Database!$A$1:$C$1,),))</f>
        <v/>
      </c>
      <c r="C2518">
        <f>IF(VLOOKUP(Table7[[#This Row],[Date]],Database!$A:$C,MATCH($C$1,Database!$A$1:$C$1,),)=0,#N/A,VLOOKUP(Table7[[#This Row],[Date]],Database!$A:$C,MATCH($C$1,Database!$A$1:$C$1,),))</f>
        <v/>
      </c>
      <c r="D2518">
        <f>IFERROR(Table7[[#This Row],[United States 10y]]-Table7[[#This Row],[United States 3y]],#N/A)</f>
        <v/>
      </c>
    </row>
    <row r="2519">
      <c r="A2519" s="6">
        <f>Database!$A4604</f>
        <v/>
      </c>
      <c r="B2519">
        <f>IF(VLOOKUP(Table7[[#This Row],[Date]],Database!$A:$C,MATCH($B$1,Database!$A$1:$C$1,),)=0,#N/A,VLOOKUP(Table7[[#This Row],[Date]],Database!$A:$C,MATCH($B$1,Database!$A$1:$C$1,),))</f>
        <v/>
      </c>
      <c r="C2519">
        <f>IF(VLOOKUP(Table7[[#This Row],[Date]],Database!$A:$C,MATCH($C$1,Database!$A$1:$C$1,),)=0,#N/A,VLOOKUP(Table7[[#This Row],[Date]],Database!$A:$C,MATCH($C$1,Database!$A$1:$C$1,),))</f>
        <v/>
      </c>
      <c r="D2519">
        <f>IFERROR(Table7[[#This Row],[United States 10y]]-Table7[[#This Row],[United States 3y]],#N/A)</f>
        <v/>
      </c>
    </row>
    <row r="2520">
      <c r="A2520" s="6">
        <f>Database!$A4605</f>
        <v/>
      </c>
      <c r="B2520">
        <f>IF(VLOOKUP(Table7[[#This Row],[Date]],Database!$A:$C,MATCH($B$1,Database!$A$1:$C$1,),)=0,#N/A,VLOOKUP(Table7[[#This Row],[Date]],Database!$A:$C,MATCH($B$1,Database!$A$1:$C$1,),))</f>
        <v/>
      </c>
      <c r="C2520">
        <f>IF(VLOOKUP(Table7[[#This Row],[Date]],Database!$A:$C,MATCH($C$1,Database!$A$1:$C$1,),)=0,#N/A,VLOOKUP(Table7[[#This Row],[Date]],Database!$A:$C,MATCH($C$1,Database!$A$1:$C$1,),))</f>
        <v/>
      </c>
      <c r="D2520">
        <f>IFERROR(Table7[[#This Row],[United States 10y]]-Table7[[#This Row],[United States 3y]],#N/A)</f>
        <v/>
      </c>
    </row>
    <row r="2521">
      <c r="A2521" s="6">
        <f>Database!$A4606</f>
        <v/>
      </c>
      <c r="B2521">
        <f>IF(VLOOKUP(Table7[[#This Row],[Date]],Database!$A:$C,MATCH($B$1,Database!$A$1:$C$1,),)=0,#N/A,VLOOKUP(Table7[[#This Row],[Date]],Database!$A:$C,MATCH($B$1,Database!$A$1:$C$1,),))</f>
        <v/>
      </c>
      <c r="C2521">
        <f>IF(VLOOKUP(Table7[[#This Row],[Date]],Database!$A:$C,MATCH($C$1,Database!$A$1:$C$1,),)=0,#N/A,VLOOKUP(Table7[[#This Row],[Date]],Database!$A:$C,MATCH($C$1,Database!$A$1:$C$1,),))</f>
        <v/>
      </c>
      <c r="D2521">
        <f>IFERROR(Table7[[#This Row],[United States 10y]]-Table7[[#This Row],[United States 3y]],#N/A)</f>
        <v/>
      </c>
    </row>
    <row r="2522">
      <c r="A2522" s="6">
        <f>Database!$A4607</f>
        <v/>
      </c>
      <c r="B2522">
        <f>IF(VLOOKUP(Table7[[#This Row],[Date]],Database!$A:$C,MATCH($B$1,Database!$A$1:$C$1,),)=0,#N/A,VLOOKUP(Table7[[#This Row],[Date]],Database!$A:$C,MATCH($B$1,Database!$A$1:$C$1,),))</f>
        <v/>
      </c>
      <c r="C2522">
        <f>IF(VLOOKUP(Table7[[#This Row],[Date]],Database!$A:$C,MATCH($C$1,Database!$A$1:$C$1,),)=0,#N/A,VLOOKUP(Table7[[#This Row],[Date]],Database!$A:$C,MATCH($C$1,Database!$A$1:$C$1,),))</f>
        <v/>
      </c>
      <c r="D2522">
        <f>IFERROR(Table7[[#This Row],[United States 10y]]-Table7[[#This Row],[United States 3y]],#N/A)</f>
        <v/>
      </c>
    </row>
    <row r="2523">
      <c r="A2523" s="6">
        <f>Database!$A4608</f>
        <v/>
      </c>
      <c r="B2523">
        <f>IF(VLOOKUP(Table7[[#This Row],[Date]],Database!$A:$C,MATCH($B$1,Database!$A$1:$C$1,),)=0,#N/A,VLOOKUP(Table7[[#This Row],[Date]],Database!$A:$C,MATCH($B$1,Database!$A$1:$C$1,),))</f>
        <v/>
      </c>
      <c r="C2523">
        <f>IF(VLOOKUP(Table7[[#This Row],[Date]],Database!$A:$C,MATCH($C$1,Database!$A$1:$C$1,),)=0,#N/A,VLOOKUP(Table7[[#This Row],[Date]],Database!$A:$C,MATCH($C$1,Database!$A$1:$C$1,),))</f>
        <v/>
      </c>
      <c r="D2523">
        <f>IFERROR(Table7[[#This Row],[United States 10y]]-Table7[[#This Row],[United States 3y]],#N/A)</f>
        <v/>
      </c>
    </row>
    <row r="2524">
      <c r="A2524" s="6">
        <f>Database!$A4609</f>
        <v/>
      </c>
      <c r="B2524">
        <f>IF(VLOOKUP(Table7[[#This Row],[Date]],Database!$A:$C,MATCH($B$1,Database!$A$1:$C$1,),)=0,#N/A,VLOOKUP(Table7[[#This Row],[Date]],Database!$A:$C,MATCH($B$1,Database!$A$1:$C$1,),))</f>
        <v/>
      </c>
      <c r="C2524">
        <f>IF(VLOOKUP(Table7[[#This Row],[Date]],Database!$A:$C,MATCH($C$1,Database!$A$1:$C$1,),)=0,#N/A,VLOOKUP(Table7[[#This Row],[Date]],Database!$A:$C,MATCH($C$1,Database!$A$1:$C$1,),))</f>
        <v/>
      </c>
      <c r="D2524">
        <f>IFERROR(Table7[[#This Row],[United States 10y]]-Table7[[#This Row],[United States 3y]],#N/A)</f>
        <v/>
      </c>
    </row>
    <row r="2525">
      <c r="A2525" s="6">
        <f>Database!$A4610</f>
        <v/>
      </c>
      <c r="B2525">
        <f>IF(VLOOKUP(Table7[[#This Row],[Date]],Database!$A:$C,MATCH($B$1,Database!$A$1:$C$1,),)=0,#N/A,VLOOKUP(Table7[[#This Row],[Date]],Database!$A:$C,MATCH($B$1,Database!$A$1:$C$1,),))</f>
        <v/>
      </c>
      <c r="C2525">
        <f>IF(VLOOKUP(Table7[[#This Row],[Date]],Database!$A:$C,MATCH($C$1,Database!$A$1:$C$1,),)=0,#N/A,VLOOKUP(Table7[[#This Row],[Date]],Database!$A:$C,MATCH($C$1,Database!$A$1:$C$1,),))</f>
        <v/>
      </c>
      <c r="D2525">
        <f>IFERROR(Table7[[#This Row],[United States 10y]]-Table7[[#This Row],[United States 3y]],#N/A)</f>
        <v/>
      </c>
    </row>
    <row r="2526">
      <c r="A2526" s="6">
        <f>Database!$A4611</f>
        <v/>
      </c>
      <c r="B2526">
        <f>IF(VLOOKUP(Table7[[#This Row],[Date]],Database!$A:$C,MATCH($B$1,Database!$A$1:$C$1,),)=0,#N/A,VLOOKUP(Table7[[#This Row],[Date]],Database!$A:$C,MATCH($B$1,Database!$A$1:$C$1,),))</f>
        <v/>
      </c>
      <c r="C2526">
        <f>IF(VLOOKUP(Table7[[#This Row],[Date]],Database!$A:$C,MATCH($C$1,Database!$A$1:$C$1,),)=0,#N/A,VLOOKUP(Table7[[#This Row],[Date]],Database!$A:$C,MATCH($C$1,Database!$A$1:$C$1,),))</f>
        <v/>
      </c>
      <c r="D2526">
        <f>IFERROR(Table7[[#This Row],[United States 10y]]-Table7[[#This Row],[United States 3y]],#N/A)</f>
        <v/>
      </c>
    </row>
    <row r="2527">
      <c r="A2527" s="6">
        <f>Database!$A4612</f>
        <v/>
      </c>
      <c r="B2527">
        <f>IF(VLOOKUP(Table7[[#This Row],[Date]],Database!$A:$C,MATCH($B$1,Database!$A$1:$C$1,),)=0,#N/A,VLOOKUP(Table7[[#This Row],[Date]],Database!$A:$C,MATCH($B$1,Database!$A$1:$C$1,),))</f>
        <v/>
      </c>
      <c r="C2527">
        <f>IF(VLOOKUP(Table7[[#This Row],[Date]],Database!$A:$C,MATCH($C$1,Database!$A$1:$C$1,),)=0,#N/A,VLOOKUP(Table7[[#This Row],[Date]],Database!$A:$C,MATCH($C$1,Database!$A$1:$C$1,),))</f>
        <v/>
      </c>
      <c r="D2527">
        <f>IFERROR(Table7[[#This Row],[United States 10y]]-Table7[[#This Row],[United States 3y]],#N/A)</f>
        <v/>
      </c>
    </row>
    <row r="2528">
      <c r="A2528" s="6">
        <f>Database!$A4613</f>
        <v/>
      </c>
      <c r="B2528">
        <f>IF(VLOOKUP(Table7[[#This Row],[Date]],Database!$A:$C,MATCH($B$1,Database!$A$1:$C$1,),)=0,#N/A,VLOOKUP(Table7[[#This Row],[Date]],Database!$A:$C,MATCH($B$1,Database!$A$1:$C$1,),))</f>
        <v/>
      </c>
      <c r="C2528">
        <f>IF(VLOOKUP(Table7[[#This Row],[Date]],Database!$A:$C,MATCH($C$1,Database!$A$1:$C$1,),)=0,#N/A,VLOOKUP(Table7[[#This Row],[Date]],Database!$A:$C,MATCH($C$1,Database!$A$1:$C$1,),))</f>
        <v/>
      </c>
      <c r="D2528">
        <f>IFERROR(Table7[[#This Row],[United States 10y]]-Table7[[#This Row],[United States 3y]],#N/A)</f>
        <v/>
      </c>
    </row>
    <row r="2529">
      <c r="A2529" s="6">
        <f>Database!$A4614</f>
        <v/>
      </c>
      <c r="B2529">
        <f>IF(VLOOKUP(Table7[[#This Row],[Date]],Database!$A:$C,MATCH($B$1,Database!$A$1:$C$1,),)=0,#N/A,VLOOKUP(Table7[[#This Row],[Date]],Database!$A:$C,MATCH($B$1,Database!$A$1:$C$1,),))</f>
        <v/>
      </c>
      <c r="C2529">
        <f>IF(VLOOKUP(Table7[[#This Row],[Date]],Database!$A:$C,MATCH($C$1,Database!$A$1:$C$1,),)=0,#N/A,VLOOKUP(Table7[[#This Row],[Date]],Database!$A:$C,MATCH($C$1,Database!$A$1:$C$1,),))</f>
        <v/>
      </c>
      <c r="D2529">
        <f>IFERROR(Table7[[#This Row],[United States 10y]]-Table7[[#This Row],[United States 3y]],#N/A)</f>
        <v/>
      </c>
    </row>
    <row r="2530">
      <c r="A2530" s="6">
        <f>Database!$A4615</f>
        <v/>
      </c>
      <c r="B2530">
        <f>IF(VLOOKUP(Table7[[#This Row],[Date]],Database!$A:$C,MATCH($B$1,Database!$A$1:$C$1,),)=0,#N/A,VLOOKUP(Table7[[#This Row],[Date]],Database!$A:$C,MATCH($B$1,Database!$A$1:$C$1,),))</f>
        <v/>
      </c>
      <c r="C2530">
        <f>IF(VLOOKUP(Table7[[#This Row],[Date]],Database!$A:$C,MATCH($C$1,Database!$A$1:$C$1,),)=0,#N/A,VLOOKUP(Table7[[#This Row],[Date]],Database!$A:$C,MATCH($C$1,Database!$A$1:$C$1,),))</f>
        <v/>
      </c>
      <c r="D2530">
        <f>IFERROR(Table7[[#This Row],[United States 10y]]-Table7[[#This Row],[United States 3y]],#N/A)</f>
        <v/>
      </c>
    </row>
    <row r="2531">
      <c r="A2531" s="6">
        <f>Database!$A4616</f>
        <v/>
      </c>
      <c r="B2531">
        <f>IF(VLOOKUP(Table7[[#This Row],[Date]],Database!$A:$C,MATCH($B$1,Database!$A$1:$C$1,),)=0,#N/A,VLOOKUP(Table7[[#This Row],[Date]],Database!$A:$C,MATCH($B$1,Database!$A$1:$C$1,),))</f>
        <v/>
      </c>
      <c r="C2531">
        <f>IF(VLOOKUP(Table7[[#This Row],[Date]],Database!$A:$C,MATCH($C$1,Database!$A$1:$C$1,),)=0,#N/A,VLOOKUP(Table7[[#This Row],[Date]],Database!$A:$C,MATCH($C$1,Database!$A$1:$C$1,),))</f>
        <v/>
      </c>
      <c r="D2531">
        <f>IFERROR(Table7[[#This Row],[United States 10y]]-Table7[[#This Row],[United States 3y]],#N/A)</f>
        <v/>
      </c>
    </row>
    <row r="2532">
      <c r="A2532" s="6">
        <f>Database!$A4617</f>
        <v/>
      </c>
      <c r="B2532">
        <f>IF(VLOOKUP(Table7[[#This Row],[Date]],Database!$A:$C,MATCH($B$1,Database!$A$1:$C$1,),)=0,#N/A,VLOOKUP(Table7[[#This Row],[Date]],Database!$A:$C,MATCH($B$1,Database!$A$1:$C$1,),))</f>
        <v/>
      </c>
      <c r="C2532">
        <f>IF(VLOOKUP(Table7[[#This Row],[Date]],Database!$A:$C,MATCH($C$1,Database!$A$1:$C$1,),)=0,#N/A,VLOOKUP(Table7[[#This Row],[Date]],Database!$A:$C,MATCH($C$1,Database!$A$1:$C$1,),))</f>
        <v/>
      </c>
      <c r="D2532">
        <f>IFERROR(Table7[[#This Row],[United States 10y]]-Table7[[#This Row],[United States 3y]],#N/A)</f>
        <v/>
      </c>
    </row>
    <row r="2533">
      <c r="A2533" s="6">
        <f>Database!$A4618</f>
        <v/>
      </c>
      <c r="B2533">
        <f>IF(VLOOKUP(Table7[[#This Row],[Date]],Database!$A:$C,MATCH($B$1,Database!$A$1:$C$1,),)=0,#N/A,VLOOKUP(Table7[[#This Row],[Date]],Database!$A:$C,MATCH($B$1,Database!$A$1:$C$1,),))</f>
        <v/>
      </c>
      <c r="C2533">
        <f>IF(VLOOKUP(Table7[[#This Row],[Date]],Database!$A:$C,MATCH($C$1,Database!$A$1:$C$1,),)=0,#N/A,VLOOKUP(Table7[[#This Row],[Date]],Database!$A:$C,MATCH($C$1,Database!$A$1:$C$1,),))</f>
        <v/>
      </c>
      <c r="D2533">
        <f>IFERROR(Table7[[#This Row],[United States 10y]]-Table7[[#This Row],[United States 3y]],#N/A)</f>
        <v/>
      </c>
    </row>
    <row r="2534">
      <c r="A2534" s="6">
        <f>Database!$A4619</f>
        <v/>
      </c>
      <c r="B2534">
        <f>IF(VLOOKUP(Table7[[#This Row],[Date]],Database!$A:$C,MATCH($B$1,Database!$A$1:$C$1,),)=0,#N/A,VLOOKUP(Table7[[#This Row],[Date]],Database!$A:$C,MATCH($B$1,Database!$A$1:$C$1,),))</f>
        <v/>
      </c>
      <c r="C2534">
        <f>IF(VLOOKUP(Table7[[#This Row],[Date]],Database!$A:$C,MATCH($C$1,Database!$A$1:$C$1,),)=0,#N/A,VLOOKUP(Table7[[#This Row],[Date]],Database!$A:$C,MATCH($C$1,Database!$A$1:$C$1,),))</f>
        <v/>
      </c>
      <c r="D2534">
        <f>IFERROR(Table7[[#This Row],[United States 10y]]-Table7[[#This Row],[United States 3y]],#N/A)</f>
        <v/>
      </c>
    </row>
    <row r="2535">
      <c r="A2535" s="6">
        <f>Database!$A4620</f>
        <v/>
      </c>
      <c r="B2535">
        <f>IF(VLOOKUP(Table7[[#This Row],[Date]],Database!$A:$C,MATCH($B$1,Database!$A$1:$C$1,),)=0,#N/A,VLOOKUP(Table7[[#This Row],[Date]],Database!$A:$C,MATCH($B$1,Database!$A$1:$C$1,),))</f>
        <v/>
      </c>
      <c r="C2535">
        <f>IF(VLOOKUP(Table7[[#This Row],[Date]],Database!$A:$C,MATCH($C$1,Database!$A$1:$C$1,),)=0,#N/A,VLOOKUP(Table7[[#This Row],[Date]],Database!$A:$C,MATCH($C$1,Database!$A$1:$C$1,),))</f>
        <v/>
      </c>
      <c r="D2535">
        <f>IFERROR(Table7[[#This Row],[United States 10y]]-Table7[[#This Row],[United States 3y]],#N/A)</f>
        <v/>
      </c>
    </row>
    <row r="2536">
      <c r="A2536" s="6">
        <f>Database!$A4621</f>
        <v/>
      </c>
      <c r="B2536">
        <f>IF(VLOOKUP(Table7[[#This Row],[Date]],Database!$A:$C,MATCH($B$1,Database!$A$1:$C$1,),)=0,#N/A,VLOOKUP(Table7[[#This Row],[Date]],Database!$A:$C,MATCH($B$1,Database!$A$1:$C$1,),))</f>
        <v/>
      </c>
      <c r="C2536">
        <f>IF(VLOOKUP(Table7[[#This Row],[Date]],Database!$A:$C,MATCH($C$1,Database!$A$1:$C$1,),)=0,#N/A,VLOOKUP(Table7[[#This Row],[Date]],Database!$A:$C,MATCH($C$1,Database!$A$1:$C$1,),))</f>
        <v/>
      </c>
      <c r="D2536">
        <f>IFERROR(Table7[[#This Row],[United States 10y]]-Table7[[#This Row],[United States 3y]],#N/A)</f>
        <v/>
      </c>
    </row>
    <row r="2537">
      <c r="A2537" s="6">
        <f>Database!$A4622</f>
        <v/>
      </c>
      <c r="B2537">
        <f>IF(VLOOKUP(Table7[[#This Row],[Date]],Database!$A:$C,MATCH($B$1,Database!$A$1:$C$1,),)=0,#N/A,VLOOKUP(Table7[[#This Row],[Date]],Database!$A:$C,MATCH($B$1,Database!$A$1:$C$1,),))</f>
        <v/>
      </c>
      <c r="C2537">
        <f>IF(VLOOKUP(Table7[[#This Row],[Date]],Database!$A:$C,MATCH($C$1,Database!$A$1:$C$1,),)=0,#N/A,VLOOKUP(Table7[[#This Row],[Date]],Database!$A:$C,MATCH($C$1,Database!$A$1:$C$1,),))</f>
        <v/>
      </c>
      <c r="D2537">
        <f>IFERROR(Table7[[#This Row],[United States 10y]]-Table7[[#This Row],[United States 3y]],#N/A)</f>
        <v/>
      </c>
    </row>
    <row r="2538">
      <c r="A2538" s="6">
        <f>Database!$A4623</f>
        <v/>
      </c>
      <c r="B2538">
        <f>IF(VLOOKUP(Table7[[#This Row],[Date]],Database!$A:$C,MATCH($B$1,Database!$A$1:$C$1,),)=0,#N/A,VLOOKUP(Table7[[#This Row],[Date]],Database!$A:$C,MATCH($B$1,Database!$A$1:$C$1,),))</f>
        <v/>
      </c>
      <c r="C2538">
        <f>IF(VLOOKUP(Table7[[#This Row],[Date]],Database!$A:$C,MATCH($C$1,Database!$A$1:$C$1,),)=0,#N/A,VLOOKUP(Table7[[#This Row],[Date]],Database!$A:$C,MATCH($C$1,Database!$A$1:$C$1,),))</f>
        <v/>
      </c>
      <c r="D2538">
        <f>IFERROR(Table7[[#This Row],[United States 10y]]-Table7[[#This Row],[United States 3y]],#N/A)</f>
        <v/>
      </c>
    </row>
    <row r="2539">
      <c r="A2539" s="6">
        <f>Database!$A4624</f>
        <v/>
      </c>
      <c r="B2539">
        <f>IF(VLOOKUP(Table7[[#This Row],[Date]],Database!$A:$C,MATCH($B$1,Database!$A$1:$C$1,),)=0,#N/A,VLOOKUP(Table7[[#This Row],[Date]],Database!$A:$C,MATCH($B$1,Database!$A$1:$C$1,),))</f>
        <v/>
      </c>
      <c r="C2539">
        <f>IF(VLOOKUP(Table7[[#This Row],[Date]],Database!$A:$C,MATCH($C$1,Database!$A$1:$C$1,),)=0,#N/A,VLOOKUP(Table7[[#This Row],[Date]],Database!$A:$C,MATCH($C$1,Database!$A$1:$C$1,),))</f>
        <v/>
      </c>
      <c r="D2539">
        <f>IFERROR(Table7[[#This Row],[United States 10y]]-Table7[[#This Row],[United States 3y]],#N/A)</f>
        <v/>
      </c>
    </row>
    <row r="2540">
      <c r="A2540" s="6">
        <f>Database!$A4625</f>
        <v/>
      </c>
      <c r="B2540">
        <f>IF(VLOOKUP(Table7[[#This Row],[Date]],Database!$A:$C,MATCH($B$1,Database!$A$1:$C$1,),)=0,#N/A,VLOOKUP(Table7[[#This Row],[Date]],Database!$A:$C,MATCH($B$1,Database!$A$1:$C$1,),))</f>
        <v/>
      </c>
      <c r="C2540">
        <f>IF(VLOOKUP(Table7[[#This Row],[Date]],Database!$A:$C,MATCH($C$1,Database!$A$1:$C$1,),)=0,#N/A,VLOOKUP(Table7[[#This Row],[Date]],Database!$A:$C,MATCH($C$1,Database!$A$1:$C$1,),))</f>
        <v/>
      </c>
      <c r="D2540">
        <f>IFERROR(Table7[[#This Row],[United States 10y]]-Table7[[#This Row],[United States 3y]],#N/A)</f>
        <v/>
      </c>
    </row>
    <row r="2541">
      <c r="A2541" s="6">
        <f>Database!$A4626</f>
        <v/>
      </c>
      <c r="B2541">
        <f>IF(VLOOKUP(Table7[[#This Row],[Date]],Database!$A:$C,MATCH($B$1,Database!$A$1:$C$1,),)=0,#N/A,VLOOKUP(Table7[[#This Row],[Date]],Database!$A:$C,MATCH($B$1,Database!$A$1:$C$1,),))</f>
        <v/>
      </c>
      <c r="C2541">
        <f>IF(VLOOKUP(Table7[[#This Row],[Date]],Database!$A:$C,MATCH($C$1,Database!$A$1:$C$1,),)=0,#N/A,VLOOKUP(Table7[[#This Row],[Date]],Database!$A:$C,MATCH($C$1,Database!$A$1:$C$1,),))</f>
        <v/>
      </c>
      <c r="D2541">
        <f>IFERROR(Table7[[#This Row],[United States 10y]]-Table7[[#This Row],[United States 3y]],#N/A)</f>
        <v/>
      </c>
    </row>
    <row r="2542">
      <c r="A2542" s="6">
        <f>Database!$A4627</f>
        <v/>
      </c>
      <c r="B2542">
        <f>IF(VLOOKUP(Table7[[#This Row],[Date]],Database!$A:$C,MATCH($B$1,Database!$A$1:$C$1,),)=0,#N/A,VLOOKUP(Table7[[#This Row],[Date]],Database!$A:$C,MATCH($B$1,Database!$A$1:$C$1,),))</f>
        <v/>
      </c>
      <c r="C2542">
        <f>IF(VLOOKUP(Table7[[#This Row],[Date]],Database!$A:$C,MATCH($C$1,Database!$A$1:$C$1,),)=0,#N/A,VLOOKUP(Table7[[#This Row],[Date]],Database!$A:$C,MATCH($C$1,Database!$A$1:$C$1,),))</f>
        <v/>
      </c>
      <c r="D2542">
        <f>IFERROR(Table7[[#This Row],[United States 10y]]-Table7[[#This Row],[United States 3y]],#N/A)</f>
        <v/>
      </c>
    </row>
    <row r="2543">
      <c r="A2543" s="6">
        <f>Database!$A4628</f>
        <v/>
      </c>
      <c r="B2543">
        <f>IF(VLOOKUP(Table7[[#This Row],[Date]],Database!$A:$C,MATCH($B$1,Database!$A$1:$C$1,),)=0,#N/A,VLOOKUP(Table7[[#This Row],[Date]],Database!$A:$C,MATCH($B$1,Database!$A$1:$C$1,),))</f>
        <v/>
      </c>
      <c r="C2543">
        <f>IF(VLOOKUP(Table7[[#This Row],[Date]],Database!$A:$C,MATCH($C$1,Database!$A$1:$C$1,),)=0,#N/A,VLOOKUP(Table7[[#This Row],[Date]],Database!$A:$C,MATCH($C$1,Database!$A$1:$C$1,),))</f>
        <v/>
      </c>
      <c r="D2543">
        <f>IFERROR(Table7[[#This Row],[United States 10y]]-Table7[[#This Row],[United States 3y]],#N/A)</f>
        <v/>
      </c>
    </row>
    <row r="2544">
      <c r="A2544" s="6">
        <f>Database!$A4629</f>
        <v/>
      </c>
      <c r="B2544">
        <f>IF(VLOOKUP(Table7[[#This Row],[Date]],Database!$A:$C,MATCH($B$1,Database!$A$1:$C$1,),)=0,#N/A,VLOOKUP(Table7[[#This Row],[Date]],Database!$A:$C,MATCH($B$1,Database!$A$1:$C$1,),))</f>
        <v/>
      </c>
      <c r="C2544">
        <f>IF(VLOOKUP(Table7[[#This Row],[Date]],Database!$A:$C,MATCH($C$1,Database!$A$1:$C$1,),)=0,#N/A,VLOOKUP(Table7[[#This Row],[Date]],Database!$A:$C,MATCH($C$1,Database!$A$1:$C$1,),))</f>
        <v/>
      </c>
      <c r="D2544">
        <f>IFERROR(Table7[[#This Row],[United States 10y]]-Table7[[#This Row],[United States 3y]],#N/A)</f>
        <v/>
      </c>
    </row>
    <row r="2545">
      <c r="A2545" s="6">
        <f>Database!$A4630</f>
        <v/>
      </c>
      <c r="B2545">
        <f>IF(VLOOKUP(Table7[[#This Row],[Date]],Database!$A:$C,MATCH($B$1,Database!$A$1:$C$1,),)=0,#N/A,VLOOKUP(Table7[[#This Row],[Date]],Database!$A:$C,MATCH($B$1,Database!$A$1:$C$1,),))</f>
        <v/>
      </c>
      <c r="C2545">
        <f>IF(VLOOKUP(Table7[[#This Row],[Date]],Database!$A:$C,MATCH($C$1,Database!$A$1:$C$1,),)=0,#N/A,VLOOKUP(Table7[[#This Row],[Date]],Database!$A:$C,MATCH($C$1,Database!$A$1:$C$1,),))</f>
        <v/>
      </c>
      <c r="D2545">
        <f>IFERROR(Table7[[#This Row],[United States 10y]]-Table7[[#This Row],[United States 3y]],#N/A)</f>
        <v/>
      </c>
    </row>
    <row r="2546">
      <c r="A2546" s="6">
        <f>Database!$A4631</f>
        <v/>
      </c>
      <c r="B2546">
        <f>IF(VLOOKUP(Table7[[#This Row],[Date]],Database!$A:$C,MATCH($B$1,Database!$A$1:$C$1,),)=0,#N/A,VLOOKUP(Table7[[#This Row],[Date]],Database!$A:$C,MATCH($B$1,Database!$A$1:$C$1,),))</f>
        <v/>
      </c>
      <c r="C2546">
        <f>IF(VLOOKUP(Table7[[#This Row],[Date]],Database!$A:$C,MATCH($C$1,Database!$A$1:$C$1,),)=0,#N/A,VLOOKUP(Table7[[#This Row],[Date]],Database!$A:$C,MATCH($C$1,Database!$A$1:$C$1,),))</f>
        <v/>
      </c>
      <c r="D2546">
        <f>IFERROR(Table7[[#This Row],[United States 10y]]-Table7[[#This Row],[United States 3y]],#N/A)</f>
        <v/>
      </c>
    </row>
    <row r="2547">
      <c r="A2547" s="6">
        <f>Database!$A4632</f>
        <v/>
      </c>
      <c r="B2547">
        <f>IF(VLOOKUP(Table7[[#This Row],[Date]],Database!$A:$C,MATCH($B$1,Database!$A$1:$C$1,),)=0,#N/A,VLOOKUP(Table7[[#This Row],[Date]],Database!$A:$C,MATCH($B$1,Database!$A$1:$C$1,),))</f>
        <v/>
      </c>
      <c r="C2547">
        <f>IF(VLOOKUP(Table7[[#This Row],[Date]],Database!$A:$C,MATCH($C$1,Database!$A$1:$C$1,),)=0,#N/A,VLOOKUP(Table7[[#This Row],[Date]],Database!$A:$C,MATCH($C$1,Database!$A$1:$C$1,),))</f>
        <v/>
      </c>
      <c r="D2547">
        <f>IFERROR(Table7[[#This Row],[United States 10y]]-Table7[[#This Row],[United States 3y]],#N/A)</f>
        <v/>
      </c>
    </row>
    <row r="2548">
      <c r="A2548" s="6">
        <f>Database!$A4633</f>
        <v/>
      </c>
      <c r="B2548">
        <f>IF(VLOOKUP(Table7[[#This Row],[Date]],Database!$A:$C,MATCH($B$1,Database!$A$1:$C$1,),)=0,#N/A,VLOOKUP(Table7[[#This Row],[Date]],Database!$A:$C,MATCH($B$1,Database!$A$1:$C$1,),))</f>
        <v/>
      </c>
      <c r="C2548">
        <f>IF(VLOOKUP(Table7[[#This Row],[Date]],Database!$A:$C,MATCH($C$1,Database!$A$1:$C$1,),)=0,#N/A,VLOOKUP(Table7[[#This Row],[Date]],Database!$A:$C,MATCH($C$1,Database!$A$1:$C$1,),))</f>
        <v/>
      </c>
      <c r="D2548">
        <f>IFERROR(Table7[[#This Row],[United States 10y]]-Table7[[#This Row],[United States 3y]],#N/A)</f>
        <v/>
      </c>
    </row>
    <row r="2549">
      <c r="A2549" s="6">
        <f>Database!$A4634</f>
        <v/>
      </c>
      <c r="B2549">
        <f>IF(VLOOKUP(Table7[[#This Row],[Date]],Database!$A:$C,MATCH($B$1,Database!$A$1:$C$1,),)=0,#N/A,VLOOKUP(Table7[[#This Row],[Date]],Database!$A:$C,MATCH($B$1,Database!$A$1:$C$1,),))</f>
        <v/>
      </c>
      <c r="C2549">
        <f>IF(VLOOKUP(Table7[[#This Row],[Date]],Database!$A:$C,MATCH($C$1,Database!$A$1:$C$1,),)=0,#N/A,VLOOKUP(Table7[[#This Row],[Date]],Database!$A:$C,MATCH($C$1,Database!$A$1:$C$1,),))</f>
        <v/>
      </c>
      <c r="D2549">
        <f>IFERROR(Table7[[#This Row],[United States 10y]]-Table7[[#This Row],[United States 3y]],#N/A)</f>
        <v/>
      </c>
    </row>
    <row r="2550">
      <c r="A2550" s="6">
        <f>Database!$A4635</f>
        <v/>
      </c>
      <c r="B2550">
        <f>IF(VLOOKUP(Table7[[#This Row],[Date]],Database!$A:$C,MATCH($B$1,Database!$A$1:$C$1,),)=0,#N/A,VLOOKUP(Table7[[#This Row],[Date]],Database!$A:$C,MATCH($B$1,Database!$A$1:$C$1,),))</f>
        <v/>
      </c>
      <c r="C2550">
        <f>IF(VLOOKUP(Table7[[#This Row],[Date]],Database!$A:$C,MATCH($C$1,Database!$A$1:$C$1,),)=0,#N/A,VLOOKUP(Table7[[#This Row],[Date]],Database!$A:$C,MATCH($C$1,Database!$A$1:$C$1,),))</f>
        <v/>
      </c>
      <c r="D2550">
        <f>IFERROR(Table7[[#This Row],[United States 10y]]-Table7[[#This Row],[United States 3y]],#N/A)</f>
        <v/>
      </c>
    </row>
    <row r="2551">
      <c r="A2551" s="6">
        <f>Database!$A4636</f>
        <v/>
      </c>
      <c r="B2551">
        <f>IF(VLOOKUP(Table7[[#This Row],[Date]],Database!$A:$C,MATCH($B$1,Database!$A$1:$C$1,),)=0,#N/A,VLOOKUP(Table7[[#This Row],[Date]],Database!$A:$C,MATCH($B$1,Database!$A$1:$C$1,),))</f>
        <v/>
      </c>
      <c r="C2551">
        <f>IF(VLOOKUP(Table7[[#This Row],[Date]],Database!$A:$C,MATCH($C$1,Database!$A$1:$C$1,),)=0,#N/A,VLOOKUP(Table7[[#This Row],[Date]],Database!$A:$C,MATCH($C$1,Database!$A$1:$C$1,),))</f>
        <v/>
      </c>
      <c r="D2551">
        <f>IFERROR(Table7[[#This Row],[United States 10y]]-Table7[[#This Row],[United States 3y]],#N/A)</f>
        <v/>
      </c>
    </row>
    <row r="2552">
      <c r="A2552" s="6">
        <f>Database!$A4637</f>
        <v/>
      </c>
      <c r="B2552">
        <f>IF(VLOOKUP(Table7[[#This Row],[Date]],Database!$A:$C,MATCH($B$1,Database!$A$1:$C$1,),)=0,#N/A,VLOOKUP(Table7[[#This Row],[Date]],Database!$A:$C,MATCH($B$1,Database!$A$1:$C$1,),))</f>
        <v/>
      </c>
      <c r="C2552">
        <f>IF(VLOOKUP(Table7[[#This Row],[Date]],Database!$A:$C,MATCH($C$1,Database!$A$1:$C$1,),)=0,#N/A,VLOOKUP(Table7[[#This Row],[Date]],Database!$A:$C,MATCH($C$1,Database!$A$1:$C$1,),))</f>
        <v/>
      </c>
      <c r="D2552">
        <f>IFERROR(Table7[[#This Row],[United States 10y]]-Table7[[#This Row],[United States 3y]],#N/A)</f>
        <v/>
      </c>
    </row>
    <row r="2553">
      <c r="A2553" s="6">
        <f>Database!$A4638</f>
        <v/>
      </c>
      <c r="B2553">
        <f>IF(VLOOKUP(Table7[[#This Row],[Date]],Database!$A:$C,MATCH($B$1,Database!$A$1:$C$1,),)=0,#N/A,VLOOKUP(Table7[[#This Row],[Date]],Database!$A:$C,MATCH($B$1,Database!$A$1:$C$1,),))</f>
        <v/>
      </c>
      <c r="C2553">
        <f>IF(VLOOKUP(Table7[[#This Row],[Date]],Database!$A:$C,MATCH($C$1,Database!$A$1:$C$1,),)=0,#N/A,VLOOKUP(Table7[[#This Row],[Date]],Database!$A:$C,MATCH($C$1,Database!$A$1:$C$1,),))</f>
        <v/>
      </c>
      <c r="D2553">
        <f>IFERROR(Table7[[#This Row],[United States 10y]]-Table7[[#This Row],[United States 3y]],#N/A)</f>
        <v/>
      </c>
    </row>
    <row r="2554">
      <c r="A2554" s="6">
        <f>Database!$A4639</f>
        <v/>
      </c>
      <c r="B2554">
        <f>IF(VLOOKUP(Table7[[#This Row],[Date]],Database!$A:$C,MATCH($B$1,Database!$A$1:$C$1,),)=0,#N/A,VLOOKUP(Table7[[#This Row],[Date]],Database!$A:$C,MATCH($B$1,Database!$A$1:$C$1,),))</f>
        <v/>
      </c>
      <c r="C2554">
        <f>IF(VLOOKUP(Table7[[#This Row],[Date]],Database!$A:$C,MATCH($C$1,Database!$A$1:$C$1,),)=0,#N/A,VLOOKUP(Table7[[#This Row],[Date]],Database!$A:$C,MATCH($C$1,Database!$A$1:$C$1,),))</f>
        <v/>
      </c>
      <c r="D2554">
        <f>IFERROR(Table7[[#This Row],[United States 10y]]-Table7[[#This Row],[United States 3y]],#N/A)</f>
        <v/>
      </c>
    </row>
    <row r="2555">
      <c r="A2555" s="6">
        <f>Database!$A4640</f>
        <v/>
      </c>
      <c r="B2555">
        <f>IF(VLOOKUP(Table7[[#This Row],[Date]],Database!$A:$C,MATCH($B$1,Database!$A$1:$C$1,),)=0,#N/A,VLOOKUP(Table7[[#This Row],[Date]],Database!$A:$C,MATCH($B$1,Database!$A$1:$C$1,),))</f>
        <v/>
      </c>
      <c r="C2555">
        <f>IF(VLOOKUP(Table7[[#This Row],[Date]],Database!$A:$C,MATCH($C$1,Database!$A$1:$C$1,),)=0,#N/A,VLOOKUP(Table7[[#This Row],[Date]],Database!$A:$C,MATCH($C$1,Database!$A$1:$C$1,),))</f>
        <v/>
      </c>
      <c r="D2555">
        <f>IFERROR(Table7[[#This Row],[United States 10y]]-Table7[[#This Row],[United States 3y]],#N/A)</f>
        <v/>
      </c>
    </row>
    <row r="2556">
      <c r="A2556" s="6">
        <f>Database!$A4641</f>
        <v/>
      </c>
      <c r="B2556">
        <f>IF(VLOOKUP(Table7[[#This Row],[Date]],Database!$A:$C,MATCH($B$1,Database!$A$1:$C$1,),)=0,#N/A,VLOOKUP(Table7[[#This Row],[Date]],Database!$A:$C,MATCH($B$1,Database!$A$1:$C$1,),))</f>
        <v/>
      </c>
      <c r="C2556">
        <f>IF(VLOOKUP(Table7[[#This Row],[Date]],Database!$A:$C,MATCH($C$1,Database!$A$1:$C$1,),)=0,#N/A,VLOOKUP(Table7[[#This Row],[Date]],Database!$A:$C,MATCH($C$1,Database!$A$1:$C$1,),))</f>
        <v/>
      </c>
      <c r="D2556">
        <f>IFERROR(Table7[[#This Row],[United States 10y]]-Table7[[#This Row],[United States 3y]],#N/A)</f>
        <v/>
      </c>
    </row>
    <row r="2557">
      <c r="A2557" s="6">
        <f>Database!$A4642</f>
        <v/>
      </c>
      <c r="B2557">
        <f>IF(VLOOKUP(Table7[[#This Row],[Date]],Database!$A:$C,MATCH($B$1,Database!$A$1:$C$1,),)=0,#N/A,VLOOKUP(Table7[[#This Row],[Date]],Database!$A:$C,MATCH($B$1,Database!$A$1:$C$1,),))</f>
        <v/>
      </c>
      <c r="C2557">
        <f>IF(VLOOKUP(Table7[[#This Row],[Date]],Database!$A:$C,MATCH($C$1,Database!$A$1:$C$1,),)=0,#N/A,VLOOKUP(Table7[[#This Row],[Date]],Database!$A:$C,MATCH($C$1,Database!$A$1:$C$1,),))</f>
        <v/>
      </c>
      <c r="D2557">
        <f>IFERROR(Table7[[#This Row],[United States 10y]]-Table7[[#This Row],[United States 3y]],#N/A)</f>
        <v/>
      </c>
    </row>
    <row r="2558">
      <c r="A2558" s="6">
        <f>Database!$A4643</f>
        <v/>
      </c>
      <c r="B2558">
        <f>IF(VLOOKUP(Table7[[#This Row],[Date]],Database!$A:$C,MATCH($B$1,Database!$A$1:$C$1,),)=0,#N/A,VLOOKUP(Table7[[#This Row],[Date]],Database!$A:$C,MATCH($B$1,Database!$A$1:$C$1,),))</f>
        <v/>
      </c>
      <c r="C2558">
        <f>IF(VLOOKUP(Table7[[#This Row],[Date]],Database!$A:$C,MATCH($C$1,Database!$A$1:$C$1,),)=0,#N/A,VLOOKUP(Table7[[#This Row],[Date]],Database!$A:$C,MATCH($C$1,Database!$A$1:$C$1,),))</f>
        <v/>
      </c>
      <c r="D2558">
        <f>IFERROR(Table7[[#This Row],[United States 10y]]-Table7[[#This Row],[United States 3y]],#N/A)</f>
        <v/>
      </c>
    </row>
    <row r="2559">
      <c r="A2559" s="6">
        <f>Database!$A4644</f>
        <v/>
      </c>
      <c r="B2559">
        <f>IF(VLOOKUP(Table7[[#This Row],[Date]],Database!$A:$C,MATCH($B$1,Database!$A$1:$C$1,),)=0,#N/A,VLOOKUP(Table7[[#This Row],[Date]],Database!$A:$C,MATCH($B$1,Database!$A$1:$C$1,),))</f>
        <v/>
      </c>
      <c r="C2559">
        <f>IF(VLOOKUP(Table7[[#This Row],[Date]],Database!$A:$C,MATCH($C$1,Database!$A$1:$C$1,),)=0,#N/A,VLOOKUP(Table7[[#This Row],[Date]],Database!$A:$C,MATCH($C$1,Database!$A$1:$C$1,),))</f>
        <v/>
      </c>
      <c r="D2559">
        <f>IFERROR(Table7[[#This Row],[United States 10y]]-Table7[[#This Row],[United States 3y]],#N/A)</f>
        <v/>
      </c>
    </row>
    <row r="2560">
      <c r="A2560" s="6">
        <f>Database!$A4645</f>
        <v/>
      </c>
      <c r="B2560">
        <f>IF(VLOOKUP(Table7[[#This Row],[Date]],Database!$A:$C,MATCH($B$1,Database!$A$1:$C$1,),)=0,#N/A,VLOOKUP(Table7[[#This Row],[Date]],Database!$A:$C,MATCH($B$1,Database!$A$1:$C$1,),))</f>
        <v/>
      </c>
      <c r="C2560">
        <f>IF(VLOOKUP(Table7[[#This Row],[Date]],Database!$A:$C,MATCH($C$1,Database!$A$1:$C$1,),)=0,#N/A,VLOOKUP(Table7[[#This Row],[Date]],Database!$A:$C,MATCH($C$1,Database!$A$1:$C$1,),))</f>
        <v/>
      </c>
      <c r="D2560">
        <f>IFERROR(Table7[[#This Row],[United States 10y]]-Table7[[#This Row],[United States 3y]],#N/A)</f>
        <v/>
      </c>
    </row>
    <row r="2561">
      <c r="A2561" s="6">
        <f>Database!$A4646</f>
        <v/>
      </c>
      <c r="B2561">
        <f>IF(VLOOKUP(Table7[[#This Row],[Date]],Database!$A:$C,MATCH($B$1,Database!$A$1:$C$1,),)=0,#N/A,VLOOKUP(Table7[[#This Row],[Date]],Database!$A:$C,MATCH($B$1,Database!$A$1:$C$1,),))</f>
        <v/>
      </c>
      <c r="C2561">
        <f>IF(VLOOKUP(Table7[[#This Row],[Date]],Database!$A:$C,MATCH($C$1,Database!$A$1:$C$1,),)=0,#N/A,VLOOKUP(Table7[[#This Row],[Date]],Database!$A:$C,MATCH($C$1,Database!$A$1:$C$1,),))</f>
        <v/>
      </c>
      <c r="D2561">
        <f>IFERROR(Table7[[#This Row],[United States 10y]]-Table7[[#This Row],[United States 3y]],#N/A)</f>
        <v/>
      </c>
    </row>
    <row r="2562">
      <c r="A2562" s="6">
        <f>Database!$A4647</f>
        <v/>
      </c>
      <c r="B2562">
        <f>IF(VLOOKUP(Table7[[#This Row],[Date]],Database!$A:$C,MATCH($B$1,Database!$A$1:$C$1,),)=0,#N/A,VLOOKUP(Table7[[#This Row],[Date]],Database!$A:$C,MATCH($B$1,Database!$A$1:$C$1,),))</f>
        <v/>
      </c>
      <c r="C2562">
        <f>IF(VLOOKUP(Table7[[#This Row],[Date]],Database!$A:$C,MATCH($C$1,Database!$A$1:$C$1,),)=0,#N/A,VLOOKUP(Table7[[#This Row],[Date]],Database!$A:$C,MATCH($C$1,Database!$A$1:$C$1,),))</f>
        <v/>
      </c>
      <c r="D2562">
        <f>IFERROR(Table7[[#This Row],[United States 10y]]-Table7[[#This Row],[United States 3y]],#N/A)</f>
        <v/>
      </c>
    </row>
    <row r="2563">
      <c r="A2563" s="6">
        <f>Database!$A4648</f>
        <v/>
      </c>
      <c r="B2563">
        <f>IF(VLOOKUP(Table7[[#This Row],[Date]],Database!$A:$C,MATCH($B$1,Database!$A$1:$C$1,),)=0,#N/A,VLOOKUP(Table7[[#This Row],[Date]],Database!$A:$C,MATCH($B$1,Database!$A$1:$C$1,),))</f>
        <v/>
      </c>
      <c r="C2563">
        <f>IF(VLOOKUP(Table7[[#This Row],[Date]],Database!$A:$C,MATCH($C$1,Database!$A$1:$C$1,),)=0,#N/A,VLOOKUP(Table7[[#This Row],[Date]],Database!$A:$C,MATCH($C$1,Database!$A$1:$C$1,),))</f>
        <v/>
      </c>
      <c r="D2563">
        <f>IFERROR(Table7[[#This Row],[United States 10y]]-Table7[[#This Row],[United States 3y]],#N/A)</f>
        <v/>
      </c>
    </row>
    <row r="2564">
      <c r="A2564" s="6">
        <f>Database!$A4649</f>
        <v/>
      </c>
      <c r="B2564">
        <f>IF(VLOOKUP(Table7[[#This Row],[Date]],Database!$A:$C,MATCH($B$1,Database!$A$1:$C$1,),)=0,#N/A,VLOOKUP(Table7[[#This Row],[Date]],Database!$A:$C,MATCH($B$1,Database!$A$1:$C$1,),))</f>
        <v/>
      </c>
      <c r="C2564">
        <f>IF(VLOOKUP(Table7[[#This Row],[Date]],Database!$A:$C,MATCH($C$1,Database!$A$1:$C$1,),)=0,#N/A,VLOOKUP(Table7[[#This Row],[Date]],Database!$A:$C,MATCH($C$1,Database!$A$1:$C$1,),))</f>
        <v/>
      </c>
      <c r="D2564">
        <f>IFERROR(Table7[[#This Row],[United States 10y]]-Table7[[#This Row],[United States 3y]],#N/A)</f>
        <v/>
      </c>
    </row>
    <row r="2565">
      <c r="A2565" s="6">
        <f>Database!$A4650</f>
        <v/>
      </c>
      <c r="B2565">
        <f>IF(VLOOKUP(Table7[[#This Row],[Date]],Database!$A:$C,MATCH($B$1,Database!$A$1:$C$1,),)=0,#N/A,VLOOKUP(Table7[[#This Row],[Date]],Database!$A:$C,MATCH($B$1,Database!$A$1:$C$1,),))</f>
        <v/>
      </c>
      <c r="C2565">
        <f>IF(VLOOKUP(Table7[[#This Row],[Date]],Database!$A:$C,MATCH($C$1,Database!$A$1:$C$1,),)=0,#N/A,VLOOKUP(Table7[[#This Row],[Date]],Database!$A:$C,MATCH($C$1,Database!$A$1:$C$1,),))</f>
        <v/>
      </c>
      <c r="D2565">
        <f>IFERROR(Table7[[#This Row],[United States 10y]]-Table7[[#This Row],[United States 3y]],#N/A)</f>
        <v/>
      </c>
    </row>
    <row r="2566">
      <c r="A2566" s="6">
        <f>Database!$A4651</f>
        <v/>
      </c>
      <c r="B2566">
        <f>IF(VLOOKUP(Table7[[#This Row],[Date]],Database!$A:$C,MATCH($B$1,Database!$A$1:$C$1,),)=0,#N/A,VLOOKUP(Table7[[#This Row],[Date]],Database!$A:$C,MATCH($B$1,Database!$A$1:$C$1,),))</f>
        <v/>
      </c>
      <c r="C2566">
        <f>IF(VLOOKUP(Table7[[#This Row],[Date]],Database!$A:$C,MATCH($C$1,Database!$A$1:$C$1,),)=0,#N/A,VLOOKUP(Table7[[#This Row],[Date]],Database!$A:$C,MATCH($C$1,Database!$A$1:$C$1,),))</f>
        <v/>
      </c>
      <c r="D2566">
        <f>IFERROR(Table7[[#This Row],[United States 10y]]-Table7[[#This Row],[United States 3y]],#N/A)</f>
        <v/>
      </c>
    </row>
    <row r="2567">
      <c r="A2567" s="6">
        <f>Database!$A4652</f>
        <v/>
      </c>
      <c r="B2567">
        <f>IF(VLOOKUP(Table7[[#This Row],[Date]],Database!$A:$C,MATCH($B$1,Database!$A$1:$C$1,),)=0,#N/A,VLOOKUP(Table7[[#This Row],[Date]],Database!$A:$C,MATCH($B$1,Database!$A$1:$C$1,),))</f>
        <v/>
      </c>
      <c r="C2567">
        <f>IF(VLOOKUP(Table7[[#This Row],[Date]],Database!$A:$C,MATCH($C$1,Database!$A$1:$C$1,),)=0,#N/A,VLOOKUP(Table7[[#This Row],[Date]],Database!$A:$C,MATCH($C$1,Database!$A$1:$C$1,),))</f>
        <v/>
      </c>
      <c r="D2567">
        <f>IFERROR(Table7[[#This Row],[United States 10y]]-Table7[[#This Row],[United States 3y]],#N/A)</f>
        <v/>
      </c>
    </row>
    <row r="2568">
      <c r="A2568" s="6">
        <f>Database!$A4653</f>
        <v/>
      </c>
      <c r="B2568">
        <f>IF(VLOOKUP(Table7[[#This Row],[Date]],Database!$A:$C,MATCH($B$1,Database!$A$1:$C$1,),)=0,#N/A,VLOOKUP(Table7[[#This Row],[Date]],Database!$A:$C,MATCH($B$1,Database!$A$1:$C$1,),))</f>
        <v/>
      </c>
      <c r="C2568">
        <f>IF(VLOOKUP(Table7[[#This Row],[Date]],Database!$A:$C,MATCH($C$1,Database!$A$1:$C$1,),)=0,#N/A,VLOOKUP(Table7[[#This Row],[Date]],Database!$A:$C,MATCH($C$1,Database!$A$1:$C$1,),))</f>
        <v/>
      </c>
      <c r="D2568">
        <f>IFERROR(Table7[[#This Row],[United States 10y]]-Table7[[#This Row],[United States 3y]],#N/A)</f>
        <v/>
      </c>
    </row>
    <row r="2569">
      <c r="A2569" s="6">
        <f>Database!$A4654</f>
        <v/>
      </c>
      <c r="B2569">
        <f>IF(VLOOKUP(Table7[[#This Row],[Date]],Database!$A:$C,MATCH($B$1,Database!$A$1:$C$1,),)=0,#N/A,VLOOKUP(Table7[[#This Row],[Date]],Database!$A:$C,MATCH($B$1,Database!$A$1:$C$1,),))</f>
        <v/>
      </c>
      <c r="C2569">
        <f>IF(VLOOKUP(Table7[[#This Row],[Date]],Database!$A:$C,MATCH($C$1,Database!$A$1:$C$1,),)=0,#N/A,VLOOKUP(Table7[[#This Row],[Date]],Database!$A:$C,MATCH($C$1,Database!$A$1:$C$1,),))</f>
        <v/>
      </c>
      <c r="D2569">
        <f>IFERROR(Table7[[#This Row],[United States 10y]]-Table7[[#This Row],[United States 3y]],#N/A)</f>
        <v/>
      </c>
    </row>
    <row r="2570">
      <c r="A2570" s="6">
        <f>Database!$A4655</f>
        <v/>
      </c>
      <c r="B2570">
        <f>IF(VLOOKUP(Table7[[#This Row],[Date]],Database!$A:$C,MATCH($B$1,Database!$A$1:$C$1,),)=0,#N/A,VLOOKUP(Table7[[#This Row],[Date]],Database!$A:$C,MATCH($B$1,Database!$A$1:$C$1,),))</f>
        <v/>
      </c>
      <c r="C2570">
        <f>IF(VLOOKUP(Table7[[#This Row],[Date]],Database!$A:$C,MATCH($C$1,Database!$A$1:$C$1,),)=0,#N/A,VLOOKUP(Table7[[#This Row],[Date]],Database!$A:$C,MATCH($C$1,Database!$A$1:$C$1,),))</f>
        <v/>
      </c>
      <c r="D2570">
        <f>IFERROR(Table7[[#This Row],[United States 10y]]-Table7[[#This Row],[United States 3y]],#N/A)</f>
        <v/>
      </c>
    </row>
    <row r="2571">
      <c r="A2571" s="6">
        <f>Database!$A4656</f>
        <v/>
      </c>
      <c r="B2571">
        <f>IF(VLOOKUP(Table7[[#This Row],[Date]],Database!$A:$C,MATCH($B$1,Database!$A$1:$C$1,),)=0,#N/A,VLOOKUP(Table7[[#This Row],[Date]],Database!$A:$C,MATCH($B$1,Database!$A$1:$C$1,),))</f>
        <v/>
      </c>
      <c r="C2571">
        <f>IF(VLOOKUP(Table7[[#This Row],[Date]],Database!$A:$C,MATCH($C$1,Database!$A$1:$C$1,),)=0,#N/A,VLOOKUP(Table7[[#This Row],[Date]],Database!$A:$C,MATCH($C$1,Database!$A$1:$C$1,),))</f>
        <v/>
      </c>
      <c r="D2571">
        <f>IFERROR(Table7[[#This Row],[United States 10y]]-Table7[[#This Row],[United States 3y]],#N/A)</f>
        <v/>
      </c>
    </row>
    <row r="2572">
      <c r="A2572" s="6">
        <f>Database!$A4657</f>
        <v/>
      </c>
      <c r="B2572">
        <f>IF(VLOOKUP(Table7[[#This Row],[Date]],Database!$A:$C,MATCH($B$1,Database!$A$1:$C$1,),)=0,#N/A,VLOOKUP(Table7[[#This Row],[Date]],Database!$A:$C,MATCH($B$1,Database!$A$1:$C$1,),))</f>
        <v/>
      </c>
      <c r="C2572">
        <f>IF(VLOOKUP(Table7[[#This Row],[Date]],Database!$A:$C,MATCH($C$1,Database!$A$1:$C$1,),)=0,#N/A,VLOOKUP(Table7[[#This Row],[Date]],Database!$A:$C,MATCH($C$1,Database!$A$1:$C$1,),))</f>
        <v/>
      </c>
      <c r="D2572">
        <f>IFERROR(Table7[[#This Row],[United States 10y]]-Table7[[#This Row],[United States 3y]],#N/A)</f>
        <v/>
      </c>
    </row>
    <row r="2573">
      <c r="A2573" s="6">
        <f>Database!$A4658</f>
        <v/>
      </c>
      <c r="B2573">
        <f>IF(VLOOKUP(Table7[[#This Row],[Date]],Database!$A:$C,MATCH($B$1,Database!$A$1:$C$1,),)=0,#N/A,VLOOKUP(Table7[[#This Row],[Date]],Database!$A:$C,MATCH($B$1,Database!$A$1:$C$1,),))</f>
        <v/>
      </c>
      <c r="C2573">
        <f>IF(VLOOKUP(Table7[[#This Row],[Date]],Database!$A:$C,MATCH($C$1,Database!$A$1:$C$1,),)=0,#N/A,VLOOKUP(Table7[[#This Row],[Date]],Database!$A:$C,MATCH($C$1,Database!$A$1:$C$1,),))</f>
        <v/>
      </c>
      <c r="D2573">
        <f>IFERROR(Table7[[#This Row],[United States 10y]]-Table7[[#This Row],[United States 3y]],#N/A)</f>
        <v/>
      </c>
    </row>
    <row r="2574">
      <c r="A2574" s="6">
        <f>Database!$A4659</f>
        <v/>
      </c>
      <c r="B2574">
        <f>IF(VLOOKUP(Table7[[#This Row],[Date]],Database!$A:$C,MATCH($B$1,Database!$A$1:$C$1,),)=0,#N/A,VLOOKUP(Table7[[#This Row],[Date]],Database!$A:$C,MATCH($B$1,Database!$A$1:$C$1,),))</f>
        <v/>
      </c>
      <c r="C2574">
        <f>IF(VLOOKUP(Table7[[#This Row],[Date]],Database!$A:$C,MATCH($C$1,Database!$A$1:$C$1,),)=0,#N/A,VLOOKUP(Table7[[#This Row],[Date]],Database!$A:$C,MATCH($C$1,Database!$A$1:$C$1,),))</f>
        <v/>
      </c>
      <c r="D2574">
        <f>IFERROR(Table7[[#This Row],[United States 10y]]-Table7[[#This Row],[United States 3y]],#N/A)</f>
        <v/>
      </c>
    </row>
    <row r="2575">
      <c r="A2575" s="6">
        <f>Database!$A4660</f>
        <v/>
      </c>
      <c r="B2575">
        <f>IF(VLOOKUP(Table7[[#This Row],[Date]],Database!$A:$C,MATCH($B$1,Database!$A$1:$C$1,),)=0,#N/A,VLOOKUP(Table7[[#This Row],[Date]],Database!$A:$C,MATCH($B$1,Database!$A$1:$C$1,),))</f>
        <v/>
      </c>
      <c r="C2575">
        <f>IF(VLOOKUP(Table7[[#This Row],[Date]],Database!$A:$C,MATCH($C$1,Database!$A$1:$C$1,),)=0,#N/A,VLOOKUP(Table7[[#This Row],[Date]],Database!$A:$C,MATCH($C$1,Database!$A$1:$C$1,),))</f>
        <v/>
      </c>
      <c r="D2575">
        <f>IFERROR(Table7[[#This Row],[United States 10y]]-Table7[[#This Row],[United States 3y]],#N/A)</f>
        <v/>
      </c>
    </row>
    <row r="2576">
      <c r="A2576" s="6">
        <f>Database!$A4661</f>
        <v/>
      </c>
      <c r="B2576">
        <f>IF(VLOOKUP(Table7[[#This Row],[Date]],Database!$A:$C,MATCH($B$1,Database!$A$1:$C$1,),)=0,#N/A,VLOOKUP(Table7[[#This Row],[Date]],Database!$A:$C,MATCH($B$1,Database!$A$1:$C$1,),))</f>
        <v/>
      </c>
      <c r="C2576">
        <f>IF(VLOOKUP(Table7[[#This Row],[Date]],Database!$A:$C,MATCH($C$1,Database!$A$1:$C$1,),)=0,#N/A,VLOOKUP(Table7[[#This Row],[Date]],Database!$A:$C,MATCH($C$1,Database!$A$1:$C$1,),))</f>
        <v/>
      </c>
      <c r="D2576">
        <f>IFERROR(Table7[[#This Row],[United States 10y]]-Table7[[#This Row],[United States 3y]],#N/A)</f>
        <v/>
      </c>
    </row>
    <row r="2577">
      <c r="A2577" s="6">
        <f>Database!$A4662</f>
        <v/>
      </c>
      <c r="B2577">
        <f>IF(VLOOKUP(Table7[[#This Row],[Date]],Database!$A:$C,MATCH($B$1,Database!$A$1:$C$1,),)=0,#N/A,VLOOKUP(Table7[[#This Row],[Date]],Database!$A:$C,MATCH($B$1,Database!$A$1:$C$1,),))</f>
        <v/>
      </c>
      <c r="C2577">
        <f>IF(VLOOKUP(Table7[[#This Row],[Date]],Database!$A:$C,MATCH($C$1,Database!$A$1:$C$1,),)=0,#N/A,VLOOKUP(Table7[[#This Row],[Date]],Database!$A:$C,MATCH($C$1,Database!$A$1:$C$1,),))</f>
        <v/>
      </c>
      <c r="D2577">
        <f>IFERROR(Table7[[#This Row],[United States 10y]]-Table7[[#This Row],[United States 3y]],#N/A)</f>
        <v/>
      </c>
    </row>
    <row r="2578">
      <c r="A2578" s="6">
        <f>Database!$A4663</f>
        <v/>
      </c>
      <c r="B2578">
        <f>IF(VLOOKUP(Table7[[#This Row],[Date]],Database!$A:$C,MATCH($B$1,Database!$A$1:$C$1,),)=0,#N/A,VLOOKUP(Table7[[#This Row],[Date]],Database!$A:$C,MATCH($B$1,Database!$A$1:$C$1,),))</f>
        <v/>
      </c>
      <c r="C2578">
        <f>IF(VLOOKUP(Table7[[#This Row],[Date]],Database!$A:$C,MATCH($C$1,Database!$A$1:$C$1,),)=0,#N/A,VLOOKUP(Table7[[#This Row],[Date]],Database!$A:$C,MATCH($C$1,Database!$A$1:$C$1,),))</f>
        <v/>
      </c>
      <c r="D2578">
        <f>IFERROR(Table7[[#This Row],[United States 10y]]-Table7[[#This Row],[United States 3y]],#N/A)</f>
        <v/>
      </c>
    </row>
    <row r="2579">
      <c r="A2579" s="6">
        <f>Database!$A4664</f>
        <v/>
      </c>
      <c r="B2579">
        <f>IF(VLOOKUP(Table7[[#This Row],[Date]],Database!$A:$C,MATCH($B$1,Database!$A$1:$C$1,),)=0,#N/A,VLOOKUP(Table7[[#This Row],[Date]],Database!$A:$C,MATCH($B$1,Database!$A$1:$C$1,),))</f>
        <v/>
      </c>
      <c r="C2579">
        <f>IF(VLOOKUP(Table7[[#This Row],[Date]],Database!$A:$C,MATCH($C$1,Database!$A$1:$C$1,),)=0,#N/A,VLOOKUP(Table7[[#This Row],[Date]],Database!$A:$C,MATCH($C$1,Database!$A$1:$C$1,),))</f>
        <v/>
      </c>
      <c r="D2579">
        <f>IFERROR(Table7[[#This Row],[United States 10y]]-Table7[[#This Row],[United States 3y]],#N/A)</f>
        <v/>
      </c>
    </row>
    <row r="2580">
      <c r="A2580" s="6">
        <f>Database!$A4665</f>
        <v/>
      </c>
      <c r="B2580">
        <f>IF(VLOOKUP(Table7[[#This Row],[Date]],Database!$A:$C,MATCH($B$1,Database!$A$1:$C$1,),)=0,#N/A,VLOOKUP(Table7[[#This Row],[Date]],Database!$A:$C,MATCH($B$1,Database!$A$1:$C$1,),))</f>
        <v/>
      </c>
      <c r="C2580">
        <f>IF(VLOOKUP(Table7[[#This Row],[Date]],Database!$A:$C,MATCH($C$1,Database!$A$1:$C$1,),)=0,#N/A,VLOOKUP(Table7[[#This Row],[Date]],Database!$A:$C,MATCH($C$1,Database!$A$1:$C$1,),))</f>
        <v/>
      </c>
      <c r="D2580">
        <f>IFERROR(Table7[[#This Row],[United States 10y]]-Table7[[#This Row],[United States 3y]],#N/A)</f>
        <v/>
      </c>
    </row>
    <row r="2581">
      <c r="A2581" s="6">
        <f>Database!$A4666</f>
        <v/>
      </c>
      <c r="B2581">
        <f>IF(VLOOKUP(Table7[[#This Row],[Date]],Database!$A:$C,MATCH($B$1,Database!$A$1:$C$1,),)=0,#N/A,VLOOKUP(Table7[[#This Row],[Date]],Database!$A:$C,MATCH($B$1,Database!$A$1:$C$1,),))</f>
        <v/>
      </c>
      <c r="C2581">
        <f>IF(VLOOKUP(Table7[[#This Row],[Date]],Database!$A:$C,MATCH($C$1,Database!$A$1:$C$1,),)=0,#N/A,VLOOKUP(Table7[[#This Row],[Date]],Database!$A:$C,MATCH($C$1,Database!$A$1:$C$1,),))</f>
        <v/>
      </c>
      <c r="D2581">
        <f>IFERROR(Table7[[#This Row],[United States 10y]]-Table7[[#This Row],[United States 3y]],#N/A)</f>
        <v/>
      </c>
    </row>
    <row r="2582">
      <c r="A2582" s="6">
        <f>Database!$A4667</f>
        <v/>
      </c>
      <c r="B2582">
        <f>IF(VLOOKUP(Table7[[#This Row],[Date]],Database!$A:$C,MATCH($B$1,Database!$A$1:$C$1,),)=0,#N/A,VLOOKUP(Table7[[#This Row],[Date]],Database!$A:$C,MATCH($B$1,Database!$A$1:$C$1,),))</f>
        <v/>
      </c>
      <c r="C2582">
        <f>IF(VLOOKUP(Table7[[#This Row],[Date]],Database!$A:$C,MATCH($C$1,Database!$A$1:$C$1,),)=0,#N/A,VLOOKUP(Table7[[#This Row],[Date]],Database!$A:$C,MATCH($C$1,Database!$A$1:$C$1,),))</f>
        <v/>
      </c>
      <c r="D2582">
        <f>IFERROR(Table7[[#This Row],[United States 10y]]-Table7[[#This Row],[United States 3y]],#N/A)</f>
        <v/>
      </c>
    </row>
    <row r="2583">
      <c r="A2583" s="6">
        <f>Database!$A4668</f>
        <v/>
      </c>
      <c r="B2583">
        <f>IF(VLOOKUP(Table7[[#This Row],[Date]],Database!$A:$C,MATCH($B$1,Database!$A$1:$C$1,),)=0,#N/A,VLOOKUP(Table7[[#This Row],[Date]],Database!$A:$C,MATCH($B$1,Database!$A$1:$C$1,),))</f>
        <v/>
      </c>
      <c r="C2583">
        <f>IF(VLOOKUP(Table7[[#This Row],[Date]],Database!$A:$C,MATCH($C$1,Database!$A$1:$C$1,),)=0,#N/A,VLOOKUP(Table7[[#This Row],[Date]],Database!$A:$C,MATCH($C$1,Database!$A$1:$C$1,),))</f>
        <v/>
      </c>
      <c r="D2583">
        <f>IFERROR(Table7[[#This Row],[United States 10y]]-Table7[[#This Row],[United States 3y]],#N/A)</f>
        <v/>
      </c>
    </row>
    <row r="2584">
      <c r="A2584" s="6">
        <f>Database!$A4669</f>
        <v/>
      </c>
      <c r="B2584">
        <f>IF(VLOOKUP(Table7[[#This Row],[Date]],Database!$A:$C,MATCH($B$1,Database!$A$1:$C$1,),)=0,#N/A,VLOOKUP(Table7[[#This Row],[Date]],Database!$A:$C,MATCH($B$1,Database!$A$1:$C$1,),))</f>
        <v/>
      </c>
      <c r="C2584">
        <f>IF(VLOOKUP(Table7[[#This Row],[Date]],Database!$A:$C,MATCH($C$1,Database!$A$1:$C$1,),)=0,#N/A,VLOOKUP(Table7[[#This Row],[Date]],Database!$A:$C,MATCH($C$1,Database!$A$1:$C$1,),))</f>
        <v/>
      </c>
      <c r="D2584">
        <f>IFERROR(Table7[[#This Row],[United States 10y]]-Table7[[#This Row],[United States 3y]],#N/A)</f>
        <v/>
      </c>
    </row>
    <row r="2585">
      <c r="A2585" s="6">
        <f>Database!$A4670</f>
        <v/>
      </c>
      <c r="B2585">
        <f>IF(VLOOKUP(Table7[[#This Row],[Date]],Database!$A:$C,MATCH($B$1,Database!$A$1:$C$1,),)=0,#N/A,VLOOKUP(Table7[[#This Row],[Date]],Database!$A:$C,MATCH($B$1,Database!$A$1:$C$1,),))</f>
        <v/>
      </c>
      <c r="C2585">
        <f>IF(VLOOKUP(Table7[[#This Row],[Date]],Database!$A:$C,MATCH($C$1,Database!$A$1:$C$1,),)=0,#N/A,VLOOKUP(Table7[[#This Row],[Date]],Database!$A:$C,MATCH($C$1,Database!$A$1:$C$1,),))</f>
        <v/>
      </c>
      <c r="D2585">
        <f>IFERROR(Table7[[#This Row],[United States 10y]]-Table7[[#This Row],[United States 3y]],#N/A)</f>
        <v/>
      </c>
    </row>
    <row r="2586">
      <c r="A2586" s="6">
        <f>Database!$A4671</f>
        <v/>
      </c>
      <c r="B2586">
        <f>IF(VLOOKUP(Table7[[#This Row],[Date]],Database!$A:$C,MATCH($B$1,Database!$A$1:$C$1,),)=0,#N/A,VLOOKUP(Table7[[#This Row],[Date]],Database!$A:$C,MATCH($B$1,Database!$A$1:$C$1,),))</f>
        <v/>
      </c>
      <c r="C2586">
        <f>IF(VLOOKUP(Table7[[#This Row],[Date]],Database!$A:$C,MATCH($C$1,Database!$A$1:$C$1,),)=0,#N/A,VLOOKUP(Table7[[#This Row],[Date]],Database!$A:$C,MATCH($C$1,Database!$A$1:$C$1,),))</f>
        <v/>
      </c>
      <c r="D2586">
        <f>IFERROR(Table7[[#This Row],[United States 10y]]-Table7[[#This Row],[United States 3y]],#N/A)</f>
        <v/>
      </c>
    </row>
    <row r="2587">
      <c r="A2587" s="6">
        <f>Database!$A4672</f>
        <v/>
      </c>
      <c r="B2587">
        <f>IF(VLOOKUP(Table7[[#This Row],[Date]],Database!$A:$C,MATCH($B$1,Database!$A$1:$C$1,),)=0,#N/A,VLOOKUP(Table7[[#This Row],[Date]],Database!$A:$C,MATCH($B$1,Database!$A$1:$C$1,),))</f>
        <v/>
      </c>
      <c r="C2587">
        <f>IF(VLOOKUP(Table7[[#This Row],[Date]],Database!$A:$C,MATCH($C$1,Database!$A$1:$C$1,),)=0,#N/A,VLOOKUP(Table7[[#This Row],[Date]],Database!$A:$C,MATCH($C$1,Database!$A$1:$C$1,),))</f>
        <v/>
      </c>
      <c r="D2587">
        <f>IFERROR(Table7[[#This Row],[United States 10y]]-Table7[[#This Row],[United States 3y]],#N/A)</f>
        <v/>
      </c>
    </row>
    <row r="2588">
      <c r="A2588" s="6">
        <f>Database!$A4673</f>
        <v/>
      </c>
      <c r="B2588">
        <f>IF(VLOOKUP(Table7[[#This Row],[Date]],Database!$A:$C,MATCH($B$1,Database!$A$1:$C$1,),)=0,#N/A,VLOOKUP(Table7[[#This Row],[Date]],Database!$A:$C,MATCH($B$1,Database!$A$1:$C$1,),))</f>
        <v/>
      </c>
      <c r="C2588">
        <f>IF(VLOOKUP(Table7[[#This Row],[Date]],Database!$A:$C,MATCH($C$1,Database!$A$1:$C$1,),)=0,#N/A,VLOOKUP(Table7[[#This Row],[Date]],Database!$A:$C,MATCH($C$1,Database!$A$1:$C$1,),))</f>
        <v/>
      </c>
      <c r="D2588">
        <f>IFERROR(Table7[[#This Row],[United States 10y]]-Table7[[#This Row],[United States 3y]],#N/A)</f>
        <v/>
      </c>
    </row>
    <row r="2589">
      <c r="A2589" s="6">
        <f>Database!$A4674</f>
        <v/>
      </c>
      <c r="B2589">
        <f>IF(VLOOKUP(Table7[[#This Row],[Date]],Database!$A:$C,MATCH($B$1,Database!$A$1:$C$1,),)=0,#N/A,VLOOKUP(Table7[[#This Row],[Date]],Database!$A:$C,MATCH($B$1,Database!$A$1:$C$1,),))</f>
        <v/>
      </c>
      <c r="C2589">
        <f>IF(VLOOKUP(Table7[[#This Row],[Date]],Database!$A:$C,MATCH($C$1,Database!$A$1:$C$1,),)=0,#N/A,VLOOKUP(Table7[[#This Row],[Date]],Database!$A:$C,MATCH($C$1,Database!$A$1:$C$1,),))</f>
        <v/>
      </c>
      <c r="D2589">
        <f>IFERROR(Table7[[#This Row],[United States 10y]]-Table7[[#This Row],[United States 3y]],#N/A)</f>
        <v/>
      </c>
    </row>
    <row r="2590">
      <c r="A2590" s="6">
        <f>Database!$A4675</f>
        <v/>
      </c>
      <c r="B2590">
        <f>IF(VLOOKUP(Table7[[#This Row],[Date]],Database!$A:$C,MATCH($B$1,Database!$A$1:$C$1,),)=0,#N/A,VLOOKUP(Table7[[#This Row],[Date]],Database!$A:$C,MATCH($B$1,Database!$A$1:$C$1,),))</f>
        <v/>
      </c>
      <c r="C2590">
        <f>IF(VLOOKUP(Table7[[#This Row],[Date]],Database!$A:$C,MATCH($C$1,Database!$A$1:$C$1,),)=0,#N/A,VLOOKUP(Table7[[#This Row],[Date]],Database!$A:$C,MATCH($C$1,Database!$A$1:$C$1,),))</f>
        <v/>
      </c>
      <c r="D2590">
        <f>IFERROR(Table7[[#This Row],[United States 10y]]-Table7[[#This Row],[United States 3y]],#N/A)</f>
        <v/>
      </c>
    </row>
    <row r="2591">
      <c r="A2591" s="6">
        <f>Database!$A4676</f>
        <v/>
      </c>
      <c r="B2591">
        <f>IF(VLOOKUP(Table7[[#This Row],[Date]],Database!$A:$C,MATCH($B$1,Database!$A$1:$C$1,),)=0,#N/A,VLOOKUP(Table7[[#This Row],[Date]],Database!$A:$C,MATCH($B$1,Database!$A$1:$C$1,),))</f>
        <v/>
      </c>
      <c r="C2591">
        <f>IF(VLOOKUP(Table7[[#This Row],[Date]],Database!$A:$C,MATCH($C$1,Database!$A$1:$C$1,),)=0,#N/A,VLOOKUP(Table7[[#This Row],[Date]],Database!$A:$C,MATCH($C$1,Database!$A$1:$C$1,),))</f>
        <v/>
      </c>
      <c r="D2591">
        <f>IFERROR(Table7[[#This Row],[United States 10y]]-Table7[[#This Row],[United States 3y]],#N/A)</f>
        <v/>
      </c>
    </row>
    <row r="2592">
      <c r="A2592" s="6">
        <f>Database!$A4677</f>
        <v/>
      </c>
      <c r="B2592">
        <f>IF(VLOOKUP(Table7[[#This Row],[Date]],Database!$A:$C,MATCH($B$1,Database!$A$1:$C$1,),)=0,#N/A,VLOOKUP(Table7[[#This Row],[Date]],Database!$A:$C,MATCH($B$1,Database!$A$1:$C$1,),))</f>
        <v/>
      </c>
      <c r="C2592">
        <f>IF(VLOOKUP(Table7[[#This Row],[Date]],Database!$A:$C,MATCH($C$1,Database!$A$1:$C$1,),)=0,#N/A,VLOOKUP(Table7[[#This Row],[Date]],Database!$A:$C,MATCH($C$1,Database!$A$1:$C$1,),))</f>
        <v/>
      </c>
      <c r="D2592">
        <f>IFERROR(Table7[[#This Row],[United States 10y]]-Table7[[#This Row],[United States 3y]],#N/A)</f>
        <v/>
      </c>
    </row>
    <row r="2593">
      <c r="A2593" s="6">
        <f>Database!$A4678</f>
        <v/>
      </c>
      <c r="B2593">
        <f>IF(VLOOKUP(Table7[[#This Row],[Date]],Database!$A:$C,MATCH($B$1,Database!$A$1:$C$1,),)=0,#N/A,VLOOKUP(Table7[[#This Row],[Date]],Database!$A:$C,MATCH($B$1,Database!$A$1:$C$1,),))</f>
        <v/>
      </c>
      <c r="C2593">
        <f>IF(VLOOKUP(Table7[[#This Row],[Date]],Database!$A:$C,MATCH($C$1,Database!$A$1:$C$1,),)=0,#N/A,VLOOKUP(Table7[[#This Row],[Date]],Database!$A:$C,MATCH($C$1,Database!$A$1:$C$1,),))</f>
        <v/>
      </c>
      <c r="D2593">
        <f>IFERROR(Table7[[#This Row],[United States 10y]]-Table7[[#This Row],[United States 3y]],#N/A)</f>
        <v/>
      </c>
    </row>
    <row r="2594">
      <c r="A2594" s="6">
        <f>Database!$A4679</f>
        <v/>
      </c>
      <c r="B2594">
        <f>IF(VLOOKUP(Table7[[#This Row],[Date]],Database!$A:$C,MATCH($B$1,Database!$A$1:$C$1,),)=0,#N/A,VLOOKUP(Table7[[#This Row],[Date]],Database!$A:$C,MATCH($B$1,Database!$A$1:$C$1,),))</f>
        <v/>
      </c>
      <c r="C2594">
        <f>IF(VLOOKUP(Table7[[#This Row],[Date]],Database!$A:$C,MATCH($C$1,Database!$A$1:$C$1,),)=0,#N/A,VLOOKUP(Table7[[#This Row],[Date]],Database!$A:$C,MATCH($C$1,Database!$A$1:$C$1,),))</f>
        <v/>
      </c>
      <c r="D2594">
        <f>IFERROR(Table7[[#This Row],[United States 10y]]-Table7[[#This Row],[United States 3y]],#N/A)</f>
        <v/>
      </c>
    </row>
    <row r="2595">
      <c r="A2595" s="6">
        <f>Database!$A4680</f>
        <v/>
      </c>
      <c r="B2595">
        <f>IF(VLOOKUP(Table7[[#This Row],[Date]],Database!$A:$C,MATCH($B$1,Database!$A$1:$C$1,),)=0,#N/A,VLOOKUP(Table7[[#This Row],[Date]],Database!$A:$C,MATCH($B$1,Database!$A$1:$C$1,),))</f>
        <v/>
      </c>
      <c r="C2595">
        <f>IF(VLOOKUP(Table7[[#This Row],[Date]],Database!$A:$C,MATCH($C$1,Database!$A$1:$C$1,),)=0,#N/A,VLOOKUP(Table7[[#This Row],[Date]],Database!$A:$C,MATCH($C$1,Database!$A$1:$C$1,),))</f>
        <v/>
      </c>
      <c r="D2595">
        <f>IFERROR(Table7[[#This Row],[United States 10y]]-Table7[[#This Row],[United States 3y]],#N/A)</f>
        <v/>
      </c>
    </row>
    <row r="2596">
      <c r="A2596" s="6">
        <f>Database!$A4681</f>
        <v/>
      </c>
      <c r="B2596">
        <f>IF(VLOOKUP(Table7[[#This Row],[Date]],Database!$A:$C,MATCH($B$1,Database!$A$1:$C$1,),)=0,#N/A,VLOOKUP(Table7[[#This Row],[Date]],Database!$A:$C,MATCH($B$1,Database!$A$1:$C$1,),))</f>
        <v/>
      </c>
      <c r="C2596">
        <f>IF(VLOOKUP(Table7[[#This Row],[Date]],Database!$A:$C,MATCH($C$1,Database!$A$1:$C$1,),)=0,#N/A,VLOOKUP(Table7[[#This Row],[Date]],Database!$A:$C,MATCH($C$1,Database!$A$1:$C$1,),))</f>
        <v/>
      </c>
      <c r="D2596">
        <f>IFERROR(Table7[[#This Row],[United States 10y]]-Table7[[#This Row],[United States 3y]],#N/A)</f>
        <v/>
      </c>
    </row>
    <row r="2597">
      <c r="A2597" s="6">
        <f>Database!$A4682</f>
        <v/>
      </c>
      <c r="B2597">
        <f>IF(VLOOKUP(Table7[[#This Row],[Date]],Database!$A:$C,MATCH($B$1,Database!$A$1:$C$1,),)=0,#N/A,VLOOKUP(Table7[[#This Row],[Date]],Database!$A:$C,MATCH($B$1,Database!$A$1:$C$1,),))</f>
        <v/>
      </c>
      <c r="C2597">
        <f>IF(VLOOKUP(Table7[[#This Row],[Date]],Database!$A:$C,MATCH($C$1,Database!$A$1:$C$1,),)=0,#N/A,VLOOKUP(Table7[[#This Row],[Date]],Database!$A:$C,MATCH($C$1,Database!$A$1:$C$1,),))</f>
        <v/>
      </c>
      <c r="D2597">
        <f>IFERROR(Table7[[#This Row],[United States 10y]]-Table7[[#This Row],[United States 3y]],#N/A)</f>
        <v/>
      </c>
    </row>
    <row r="2598">
      <c r="A2598" s="6">
        <f>Database!$A4683</f>
        <v/>
      </c>
      <c r="B2598">
        <f>IF(VLOOKUP(Table7[[#This Row],[Date]],Database!$A:$C,MATCH($B$1,Database!$A$1:$C$1,),)=0,#N/A,VLOOKUP(Table7[[#This Row],[Date]],Database!$A:$C,MATCH($B$1,Database!$A$1:$C$1,),))</f>
        <v/>
      </c>
      <c r="C2598">
        <f>IF(VLOOKUP(Table7[[#This Row],[Date]],Database!$A:$C,MATCH($C$1,Database!$A$1:$C$1,),)=0,#N/A,VLOOKUP(Table7[[#This Row],[Date]],Database!$A:$C,MATCH($C$1,Database!$A$1:$C$1,),))</f>
        <v/>
      </c>
      <c r="D2598">
        <f>IFERROR(Table7[[#This Row],[United States 10y]]-Table7[[#This Row],[United States 3y]],#N/A)</f>
        <v/>
      </c>
    </row>
    <row r="2599">
      <c r="A2599" s="6">
        <f>Database!$A4684</f>
        <v/>
      </c>
      <c r="B2599">
        <f>IF(VLOOKUP(Table7[[#This Row],[Date]],Database!$A:$C,MATCH($B$1,Database!$A$1:$C$1,),)=0,#N/A,VLOOKUP(Table7[[#This Row],[Date]],Database!$A:$C,MATCH($B$1,Database!$A$1:$C$1,),))</f>
        <v/>
      </c>
      <c r="C2599">
        <f>IF(VLOOKUP(Table7[[#This Row],[Date]],Database!$A:$C,MATCH($C$1,Database!$A$1:$C$1,),)=0,#N/A,VLOOKUP(Table7[[#This Row],[Date]],Database!$A:$C,MATCH($C$1,Database!$A$1:$C$1,),))</f>
        <v/>
      </c>
      <c r="D2599">
        <f>IFERROR(Table7[[#This Row],[United States 10y]]-Table7[[#This Row],[United States 3y]],#N/A)</f>
        <v/>
      </c>
    </row>
    <row r="2600">
      <c r="A2600" s="6">
        <f>Database!$A4685</f>
        <v/>
      </c>
      <c r="B2600">
        <f>IF(VLOOKUP(Table7[[#This Row],[Date]],Database!$A:$C,MATCH($B$1,Database!$A$1:$C$1,),)=0,#N/A,VLOOKUP(Table7[[#This Row],[Date]],Database!$A:$C,MATCH($B$1,Database!$A$1:$C$1,),))</f>
        <v/>
      </c>
      <c r="C2600">
        <f>IF(VLOOKUP(Table7[[#This Row],[Date]],Database!$A:$C,MATCH($C$1,Database!$A$1:$C$1,),)=0,#N/A,VLOOKUP(Table7[[#This Row],[Date]],Database!$A:$C,MATCH($C$1,Database!$A$1:$C$1,),))</f>
        <v/>
      </c>
      <c r="D2600">
        <f>IFERROR(Table7[[#This Row],[United States 10y]]-Table7[[#This Row],[United States 3y]],#N/A)</f>
        <v/>
      </c>
    </row>
    <row r="2601">
      <c r="A2601" s="6">
        <f>Database!$A4686</f>
        <v/>
      </c>
      <c r="B2601">
        <f>IF(VLOOKUP(Table7[[#This Row],[Date]],Database!$A:$C,MATCH($B$1,Database!$A$1:$C$1,),)=0,#N/A,VLOOKUP(Table7[[#This Row],[Date]],Database!$A:$C,MATCH($B$1,Database!$A$1:$C$1,),))</f>
        <v/>
      </c>
      <c r="C2601">
        <f>IF(VLOOKUP(Table7[[#This Row],[Date]],Database!$A:$C,MATCH($C$1,Database!$A$1:$C$1,),)=0,#N/A,VLOOKUP(Table7[[#This Row],[Date]],Database!$A:$C,MATCH($C$1,Database!$A$1:$C$1,),))</f>
        <v/>
      </c>
      <c r="D2601">
        <f>IFERROR(Table7[[#This Row],[United States 10y]]-Table7[[#This Row],[United States 3y]],#N/A)</f>
        <v/>
      </c>
    </row>
    <row r="2602">
      <c r="A2602" s="6">
        <f>Database!$A4687</f>
        <v/>
      </c>
      <c r="B2602">
        <f>IF(VLOOKUP(Table7[[#This Row],[Date]],Database!$A:$C,MATCH($B$1,Database!$A$1:$C$1,),)=0,#N/A,VLOOKUP(Table7[[#This Row],[Date]],Database!$A:$C,MATCH($B$1,Database!$A$1:$C$1,),))</f>
        <v/>
      </c>
      <c r="C2602">
        <f>IF(VLOOKUP(Table7[[#This Row],[Date]],Database!$A:$C,MATCH($C$1,Database!$A$1:$C$1,),)=0,#N/A,VLOOKUP(Table7[[#This Row],[Date]],Database!$A:$C,MATCH($C$1,Database!$A$1:$C$1,),))</f>
        <v/>
      </c>
      <c r="D2602">
        <f>IFERROR(Table7[[#This Row],[United States 10y]]-Table7[[#This Row],[United States 3y]],#N/A)</f>
        <v/>
      </c>
    </row>
    <row r="2603">
      <c r="A2603" s="6">
        <f>Database!$A4688</f>
        <v/>
      </c>
      <c r="B2603">
        <f>IF(VLOOKUP(Table7[[#This Row],[Date]],Database!$A:$C,MATCH($B$1,Database!$A$1:$C$1,),)=0,#N/A,VLOOKUP(Table7[[#This Row],[Date]],Database!$A:$C,MATCH($B$1,Database!$A$1:$C$1,),))</f>
        <v/>
      </c>
      <c r="C2603">
        <f>IF(VLOOKUP(Table7[[#This Row],[Date]],Database!$A:$C,MATCH($C$1,Database!$A$1:$C$1,),)=0,#N/A,VLOOKUP(Table7[[#This Row],[Date]],Database!$A:$C,MATCH($C$1,Database!$A$1:$C$1,),))</f>
        <v/>
      </c>
      <c r="D2603">
        <f>IFERROR(Table7[[#This Row],[United States 10y]]-Table7[[#This Row],[United States 3y]],#N/A)</f>
        <v/>
      </c>
    </row>
    <row r="2604">
      <c r="A2604" s="6">
        <f>Database!$A4689</f>
        <v/>
      </c>
      <c r="B2604">
        <f>IF(VLOOKUP(Table7[[#This Row],[Date]],Database!$A:$C,MATCH($B$1,Database!$A$1:$C$1,),)=0,#N/A,VLOOKUP(Table7[[#This Row],[Date]],Database!$A:$C,MATCH($B$1,Database!$A$1:$C$1,),))</f>
        <v/>
      </c>
      <c r="C2604">
        <f>IF(VLOOKUP(Table7[[#This Row],[Date]],Database!$A:$C,MATCH($C$1,Database!$A$1:$C$1,),)=0,#N/A,VLOOKUP(Table7[[#This Row],[Date]],Database!$A:$C,MATCH($C$1,Database!$A$1:$C$1,),))</f>
        <v/>
      </c>
      <c r="D2604">
        <f>IFERROR(Table7[[#This Row],[United States 10y]]-Table7[[#This Row],[United States 3y]],#N/A)</f>
        <v/>
      </c>
    </row>
    <row r="2605">
      <c r="A2605" s="6">
        <f>Database!$A4690</f>
        <v/>
      </c>
      <c r="B2605">
        <f>IF(VLOOKUP(Table7[[#This Row],[Date]],Database!$A:$C,MATCH($B$1,Database!$A$1:$C$1,),)=0,#N/A,VLOOKUP(Table7[[#This Row],[Date]],Database!$A:$C,MATCH($B$1,Database!$A$1:$C$1,),))</f>
        <v/>
      </c>
      <c r="C2605">
        <f>IF(VLOOKUP(Table7[[#This Row],[Date]],Database!$A:$C,MATCH($C$1,Database!$A$1:$C$1,),)=0,#N/A,VLOOKUP(Table7[[#This Row],[Date]],Database!$A:$C,MATCH($C$1,Database!$A$1:$C$1,),))</f>
        <v/>
      </c>
      <c r="D2605">
        <f>IFERROR(Table7[[#This Row],[United States 10y]]-Table7[[#This Row],[United States 3y]],#N/A)</f>
        <v/>
      </c>
    </row>
    <row r="2606">
      <c r="A2606" s="6">
        <f>Database!$A4691</f>
        <v/>
      </c>
      <c r="B2606">
        <f>IF(VLOOKUP(Table7[[#This Row],[Date]],Database!$A:$C,MATCH($B$1,Database!$A$1:$C$1,),)=0,#N/A,VLOOKUP(Table7[[#This Row],[Date]],Database!$A:$C,MATCH($B$1,Database!$A$1:$C$1,),))</f>
        <v/>
      </c>
      <c r="C2606">
        <f>IF(VLOOKUP(Table7[[#This Row],[Date]],Database!$A:$C,MATCH($C$1,Database!$A$1:$C$1,),)=0,#N/A,VLOOKUP(Table7[[#This Row],[Date]],Database!$A:$C,MATCH($C$1,Database!$A$1:$C$1,),))</f>
        <v/>
      </c>
      <c r="D2606">
        <f>IFERROR(Table7[[#This Row],[United States 10y]]-Table7[[#This Row],[United States 3y]],#N/A)</f>
        <v/>
      </c>
    </row>
    <row r="2607">
      <c r="A2607" s="6">
        <f>Database!$A4692</f>
        <v/>
      </c>
      <c r="B2607">
        <f>IF(VLOOKUP(Table7[[#This Row],[Date]],Database!$A:$C,MATCH($B$1,Database!$A$1:$C$1,),)=0,#N/A,VLOOKUP(Table7[[#This Row],[Date]],Database!$A:$C,MATCH($B$1,Database!$A$1:$C$1,),))</f>
        <v/>
      </c>
      <c r="C2607">
        <f>IF(VLOOKUP(Table7[[#This Row],[Date]],Database!$A:$C,MATCH($C$1,Database!$A$1:$C$1,),)=0,#N/A,VLOOKUP(Table7[[#This Row],[Date]],Database!$A:$C,MATCH($C$1,Database!$A$1:$C$1,),))</f>
        <v/>
      </c>
      <c r="D2607">
        <f>IFERROR(Table7[[#This Row],[United States 10y]]-Table7[[#This Row],[United States 3y]],#N/A)</f>
        <v/>
      </c>
    </row>
    <row r="2608">
      <c r="A2608" s="6">
        <f>Database!$A4693</f>
        <v/>
      </c>
      <c r="B2608">
        <f>IF(VLOOKUP(Table7[[#This Row],[Date]],Database!$A:$C,MATCH($B$1,Database!$A$1:$C$1,),)=0,#N/A,VLOOKUP(Table7[[#This Row],[Date]],Database!$A:$C,MATCH($B$1,Database!$A$1:$C$1,),))</f>
        <v/>
      </c>
      <c r="C2608">
        <f>IF(VLOOKUP(Table7[[#This Row],[Date]],Database!$A:$C,MATCH($C$1,Database!$A$1:$C$1,),)=0,#N/A,VLOOKUP(Table7[[#This Row],[Date]],Database!$A:$C,MATCH($C$1,Database!$A$1:$C$1,),))</f>
        <v/>
      </c>
      <c r="D2608">
        <f>IFERROR(Table7[[#This Row],[United States 10y]]-Table7[[#This Row],[United States 3y]],#N/A)</f>
        <v/>
      </c>
    </row>
    <row r="2609">
      <c r="A2609" s="6">
        <f>Database!$A4694</f>
        <v/>
      </c>
      <c r="B2609">
        <f>IF(VLOOKUP(Table7[[#This Row],[Date]],Database!$A:$C,MATCH($B$1,Database!$A$1:$C$1,),)=0,#N/A,VLOOKUP(Table7[[#This Row],[Date]],Database!$A:$C,MATCH($B$1,Database!$A$1:$C$1,),))</f>
        <v/>
      </c>
      <c r="C2609">
        <f>IF(VLOOKUP(Table7[[#This Row],[Date]],Database!$A:$C,MATCH($C$1,Database!$A$1:$C$1,),)=0,#N/A,VLOOKUP(Table7[[#This Row],[Date]],Database!$A:$C,MATCH($C$1,Database!$A$1:$C$1,),))</f>
        <v/>
      </c>
      <c r="D2609">
        <f>IFERROR(Table7[[#This Row],[United States 10y]]-Table7[[#This Row],[United States 3y]],#N/A)</f>
        <v/>
      </c>
    </row>
    <row r="2610">
      <c r="A2610" s="6">
        <f>Database!$A4695</f>
        <v/>
      </c>
      <c r="B2610">
        <f>IF(VLOOKUP(Table7[[#This Row],[Date]],Database!$A:$C,MATCH($B$1,Database!$A$1:$C$1,),)=0,#N/A,VLOOKUP(Table7[[#This Row],[Date]],Database!$A:$C,MATCH($B$1,Database!$A$1:$C$1,),))</f>
        <v/>
      </c>
      <c r="C2610">
        <f>IF(VLOOKUP(Table7[[#This Row],[Date]],Database!$A:$C,MATCH($C$1,Database!$A$1:$C$1,),)=0,#N/A,VLOOKUP(Table7[[#This Row],[Date]],Database!$A:$C,MATCH($C$1,Database!$A$1:$C$1,),))</f>
        <v/>
      </c>
      <c r="D2610">
        <f>IFERROR(Table7[[#This Row],[United States 10y]]-Table7[[#This Row],[United States 3y]],#N/A)</f>
        <v/>
      </c>
    </row>
    <row r="2611">
      <c r="A2611" s="6">
        <f>Database!$A4696</f>
        <v/>
      </c>
      <c r="B2611">
        <f>IF(VLOOKUP(Table7[[#This Row],[Date]],Database!$A:$C,MATCH($B$1,Database!$A$1:$C$1,),)=0,#N/A,VLOOKUP(Table7[[#This Row],[Date]],Database!$A:$C,MATCH($B$1,Database!$A$1:$C$1,),))</f>
        <v/>
      </c>
      <c r="C2611">
        <f>IF(VLOOKUP(Table7[[#This Row],[Date]],Database!$A:$C,MATCH($C$1,Database!$A$1:$C$1,),)=0,#N/A,VLOOKUP(Table7[[#This Row],[Date]],Database!$A:$C,MATCH($C$1,Database!$A$1:$C$1,),))</f>
        <v/>
      </c>
      <c r="D2611">
        <f>IFERROR(Table7[[#This Row],[United States 10y]]-Table7[[#This Row],[United States 3y]],#N/A)</f>
        <v/>
      </c>
    </row>
    <row r="2612">
      <c r="A2612" s="6">
        <f>Database!$A4697</f>
        <v/>
      </c>
      <c r="B2612">
        <f>IF(VLOOKUP(Table7[[#This Row],[Date]],Database!$A:$C,MATCH($B$1,Database!$A$1:$C$1,),)=0,#N/A,VLOOKUP(Table7[[#This Row],[Date]],Database!$A:$C,MATCH($B$1,Database!$A$1:$C$1,),))</f>
        <v/>
      </c>
      <c r="C2612">
        <f>IF(VLOOKUP(Table7[[#This Row],[Date]],Database!$A:$C,MATCH($C$1,Database!$A$1:$C$1,),)=0,#N/A,VLOOKUP(Table7[[#This Row],[Date]],Database!$A:$C,MATCH($C$1,Database!$A$1:$C$1,),))</f>
        <v/>
      </c>
      <c r="D2612">
        <f>IFERROR(Table7[[#This Row],[United States 10y]]-Table7[[#This Row],[United States 3y]],#N/A)</f>
        <v/>
      </c>
    </row>
    <row r="2613">
      <c r="A2613" s="6">
        <f>Database!$A4698</f>
        <v/>
      </c>
      <c r="B2613">
        <f>IF(VLOOKUP(Table7[[#This Row],[Date]],Database!$A:$C,MATCH($B$1,Database!$A$1:$C$1,),)=0,#N/A,VLOOKUP(Table7[[#This Row],[Date]],Database!$A:$C,MATCH($B$1,Database!$A$1:$C$1,),))</f>
        <v/>
      </c>
      <c r="C2613">
        <f>IF(VLOOKUP(Table7[[#This Row],[Date]],Database!$A:$C,MATCH($C$1,Database!$A$1:$C$1,),)=0,#N/A,VLOOKUP(Table7[[#This Row],[Date]],Database!$A:$C,MATCH($C$1,Database!$A$1:$C$1,),))</f>
        <v/>
      </c>
      <c r="D2613">
        <f>IFERROR(Table7[[#This Row],[United States 10y]]-Table7[[#This Row],[United States 3y]],#N/A)</f>
        <v/>
      </c>
    </row>
    <row r="2614">
      <c r="A2614" s="6">
        <f>Database!$A4699</f>
        <v/>
      </c>
      <c r="B2614">
        <f>IF(VLOOKUP(Table7[[#This Row],[Date]],Database!$A:$C,MATCH($B$1,Database!$A$1:$C$1,),)=0,#N/A,VLOOKUP(Table7[[#This Row],[Date]],Database!$A:$C,MATCH($B$1,Database!$A$1:$C$1,),))</f>
        <v/>
      </c>
      <c r="C2614">
        <f>IF(VLOOKUP(Table7[[#This Row],[Date]],Database!$A:$C,MATCH($C$1,Database!$A$1:$C$1,),)=0,#N/A,VLOOKUP(Table7[[#This Row],[Date]],Database!$A:$C,MATCH($C$1,Database!$A$1:$C$1,),))</f>
        <v/>
      </c>
      <c r="D2614">
        <f>IFERROR(Table7[[#This Row],[United States 10y]]-Table7[[#This Row],[United States 3y]],#N/A)</f>
        <v/>
      </c>
    </row>
    <row r="2615">
      <c r="A2615" s="6">
        <f>Database!$A4700</f>
        <v/>
      </c>
      <c r="B2615">
        <f>IF(VLOOKUP(Table7[[#This Row],[Date]],Database!$A:$C,MATCH($B$1,Database!$A$1:$C$1,),)=0,#N/A,VLOOKUP(Table7[[#This Row],[Date]],Database!$A:$C,MATCH($B$1,Database!$A$1:$C$1,),))</f>
        <v/>
      </c>
      <c r="C2615">
        <f>IF(VLOOKUP(Table7[[#This Row],[Date]],Database!$A:$C,MATCH($C$1,Database!$A$1:$C$1,),)=0,#N/A,VLOOKUP(Table7[[#This Row],[Date]],Database!$A:$C,MATCH($C$1,Database!$A$1:$C$1,),))</f>
        <v/>
      </c>
      <c r="D2615">
        <f>IFERROR(Table7[[#This Row],[United States 10y]]-Table7[[#This Row],[United States 3y]],#N/A)</f>
        <v/>
      </c>
    </row>
    <row r="2616">
      <c r="A2616" s="6">
        <f>Database!$A4701</f>
        <v/>
      </c>
      <c r="B2616">
        <f>IF(VLOOKUP(Table7[[#This Row],[Date]],Database!$A:$C,MATCH($B$1,Database!$A$1:$C$1,),)=0,#N/A,VLOOKUP(Table7[[#This Row],[Date]],Database!$A:$C,MATCH($B$1,Database!$A$1:$C$1,),))</f>
        <v/>
      </c>
      <c r="C2616">
        <f>IF(VLOOKUP(Table7[[#This Row],[Date]],Database!$A:$C,MATCH($C$1,Database!$A$1:$C$1,),)=0,#N/A,VLOOKUP(Table7[[#This Row],[Date]],Database!$A:$C,MATCH($C$1,Database!$A$1:$C$1,),))</f>
        <v/>
      </c>
      <c r="D2616">
        <f>IFERROR(Table7[[#This Row],[United States 10y]]-Table7[[#This Row],[United States 3y]],#N/A)</f>
        <v/>
      </c>
    </row>
    <row r="2617">
      <c r="A2617" s="6">
        <f>Database!$A4702</f>
        <v/>
      </c>
      <c r="B2617">
        <f>IF(VLOOKUP(Table7[[#This Row],[Date]],Database!$A:$C,MATCH($B$1,Database!$A$1:$C$1,),)=0,#N/A,VLOOKUP(Table7[[#This Row],[Date]],Database!$A:$C,MATCH($B$1,Database!$A$1:$C$1,),))</f>
        <v/>
      </c>
      <c r="C2617">
        <f>IF(VLOOKUP(Table7[[#This Row],[Date]],Database!$A:$C,MATCH($C$1,Database!$A$1:$C$1,),)=0,#N/A,VLOOKUP(Table7[[#This Row],[Date]],Database!$A:$C,MATCH($C$1,Database!$A$1:$C$1,),))</f>
        <v/>
      </c>
      <c r="D2617">
        <f>IFERROR(Table7[[#This Row],[United States 10y]]-Table7[[#This Row],[United States 3y]],#N/A)</f>
        <v/>
      </c>
    </row>
    <row r="2618">
      <c r="A2618" s="6">
        <f>Database!$A4703</f>
        <v/>
      </c>
      <c r="B2618">
        <f>IF(VLOOKUP(Table7[[#This Row],[Date]],Database!$A:$C,MATCH($B$1,Database!$A$1:$C$1,),)=0,#N/A,VLOOKUP(Table7[[#This Row],[Date]],Database!$A:$C,MATCH($B$1,Database!$A$1:$C$1,),))</f>
        <v/>
      </c>
      <c r="C2618">
        <f>IF(VLOOKUP(Table7[[#This Row],[Date]],Database!$A:$C,MATCH($C$1,Database!$A$1:$C$1,),)=0,#N/A,VLOOKUP(Table7[[#This Row],[Date]],Database!$A:$C,MATCH($C$1,Database!$A$1:$C$1,),))</f>
        <v/>
      </c>
      <c r="D2618">
        <f>IFERROR(Table7[[#This Row],[United States 10y]]-Table7[[#This Row],[United States 3y]],#N/A)</f>
        <v/>
      </c>
    </row>
    <row r="2619">
      <c r="A2619" s="6">
        <f>Database!$A4704</f>
        <v/>
      </c>
      <c r="B2619">
        <f>IF(VLOOKUP(Table7[[#This Row],[Date]],Database!$A:$C,MATCH($B$1,Database!$A$1:$C$1,),)=0,#N/A,VLOOKUP(Table7[[#This Row],[Date]],Database!$A:$C,MATCH($B$1,Database!$A$1:$C$1,),))</f>
        <v/>
      </c>
      <c r="C2619">
        <f>IF(VLOOKUP(Table7[[#This Row],[Date]],Database!$A:$C,MATCH($C$1,Database!$A$1:$C$1,),)=0,#N/A,VLOOKUP(Table7[[#This Row],[Date]],Database!$A:$C,MATCH($C$1,Database!$A$1:$C$1,),))</f>
        <v/>
      </c>
      <c r="D2619">
        <f>IFERROR(Table7[[#This Row],[United States 10y]]-Table7[[#This Row],[United States 3y]],#N/A)</f>
        <v/>
      </c>
    </row>
    <row r="2620">
      <c r="A2620" s="6">
        <f>Database!$A4705</f>
        <v/>
      </c>
      <c r="B2620">
        <f>IF(VLOOKUP(Table7[[#This Row],[Date]],Database!$A:$C,MATCH($B$1,Database!$A$1:$C$1,),)=0,#N/A,VLOOKUP(Table7[[#This Row],[Date]],Database!$A:$C,MATCH($B$1,Database!$A$1:$C$1,),))</f>
        <v/>
      </c>
      <c r="C2620">
        <f>IF(VLOOKUP(Table7[[#This Row],[Date]],Database!$A:$C,MATCH($C$1,Database!$A$1:$C$1,),)=0,#N/A,VLOOKUP(Table7[[#This Row],[Date]],Database!$A:$C,MATCH($C$1,Database!$A$1:$C$1,),))</f>
        <v/>
      </c>
      <c r="D2620">
        <f>IFERROR(Table7[[#This Row],[United States 10y]]-Table7[[#This Row],[United States 3y]],#N/A)</f>
        <v/>
      </c>
    </row>
    <row r="2621">
      <c r="A2621" s="6">
        <f>Database!$A4706</f>
        <v/>
      </c>
      <c r="B2621">
        <f>IF(VLOOKUP(Table7[[#This Row],[Date]],Database!$A:$C,MATCH($B$1,Database!$A$1:$C$1,),)=0,#N/A,VLOOKUP(Table7[[#This Row],[Date]],Database!$A:$C,MATCH($B$1,Database!$A$1:$C$1,),))</f>
        <v/>
      </c>
      <c r="C2621">
        <f>IF(VLOOKUP(Table7[[#This Row],[Date]],Database!$A:$C,MATCH($C$1,Database!$A$1:$C$1,),)=0,#N/A,VLOOKUP(Table7[[#This Row],[Date]],Database!$A:$C,MATCH($C$1,Database!$A$1:$C$1,),))</f>
        <v/>
      </c>
      <c r="D2621">
        <f>IFERROR(Table7[[#This Row],[United States 10y]]-Table7[[#This Row],[United States 3y]],#N/A)</f>
        <v/>
      </c>
    </row>
    <row r="2622">
      <c r="A2622" s="6">
        <f>Database!$A4707</f>
        <v/>
      </c>
      <c r="B2622">
        <f>IF(VLOOKUP(Table7[[#This Row],[Date]],Database!$A:$C,MATCH($B$1,Database!$A$1:$C$1,),)=0,#N/A,VLOOKUP(Table7[[#This Row],[Date]],Database!$A:$C,MATCH($B$1,Database!$A$1:$C$1,),))</f>
        <v/>
      </c>
      <c r="C2622">
        <f>IF(VLOOKUP(Table7[[#This Row],[Date]],Database!$A:$C,MATCH($C$1,Database!$A$1:$C$1,),)=0,#N/A,VLOOKUP(Table7[[#This Row],[Date]],Database!$A:$C,MATCH($C$1,Database!$A$1:$C$1,),))</f>
        <v/>
      </c>
      <c r="D2622">
        <f>IFERROR(Table7[[#This Row],[United States 10y]]-Table7[[#This Row],[United States 3y]],#N/A)</f>
        <v/>
      </c>
    </row>
    <row r="2623">
      <c r="A2623" s="6">
        <f>Database!$A4708</f>
        <v/>
      </c>
      <c r="B2623">
        <f>IF(VLOOKUP(Table7[[#This Row],[Date]],Database!$A:$C,MATCH($B$1,Database!$A$1:$C$1,),)=0,#N/A,VLOOKUP(Table7[[#This Row],[Date]],Database!$A:$C,MATCH($B$1,Database!$A$1:$C$1,),))</f>
        <v/>
      </c>
      <c r="C2623">
        <f>IF(VLOOKUP(Table7[[#This Row],[Date]],Database!$A:$C,MATCH($C$1,Database!$A$1:$C$1,),)=0,#N/A,VLOOKUP(Table7[[#This Row],[Date]],Database!$A:$C,MATCH($C$1,Database!$A$1:$C$1,),))</f>
        <v/>
      </c>
      <c r="D2623">
        <f>IFERROR(Table7[[#This Row],[United States 10y]]-Table7[[#This Row],[United States 3y]],#N/A)</f>
        <v/>
      </c>
    </row>
    <row r="2624">
      <c r="A2624" s="6">
        <f>Database!$A4709</f>
        <v/>
      </c>
      <c r="B2624">
        <f>IF(VLOOKUP(Table7[[#This Row],[Date]],Database!$A:$C,MATCH($B$1,Database!$A$1:$C$1,),)=0,#N/A,VLOOKUP(Table7[[#This Row],[Date]],Database!$A:$C,MATCH($B$1,Database!$A$1:$C$1,),))</f>
        <v/>
      </c>
      <c r="C2624">
        <f>IF(VLOOKUP(Table7[[#This Row],[Date]],Database!$A:$C,MATCH($C$1,Database!$A$1:$C$1,),)=0,#N/A,VLOOKUP(Table7[[#This Row],[Date]],Database!$A:$C,MATCH($C$1,Database!$A$1:$C$1,),))</f>
        <v/>
      </c>
      <c r="D2624">
        <f>IFERROR(Table7[[#This Row],[United States 10y]]-Table7[[#This Row],[United States 3y]],#N/A)</f>
        <v/>
      </c>
    </row>
    <row r="2625">
      <c r="A2625" s="6">
        <f>Database!$A4710</f>
        <v/>
      </c>
      <c r="B2625">
        <f>IF(VLOOKUP(Table7[[#This Row],[Date]],Database!$A:$C,MATCH($B$1,Database!$A$1:$C$1,),)=0,#N/A,VLOOKUP(Table7[[#This Row],[Date]],Database!$A:$C,MATCH($B$1,Database!$A$1:$C$1,),))</f>
        <v/>
      </c>
      <c r="C2625">
        <f>IF(VLOOKUP(Table7[[#This Row],[Date]],Database!$A:$C,MATCH($C$1,Database!$A$1:$C$1,),)=0,#N/A,VLOOKUP(Table7[[#This Row],[Date]],Database!$A:$C,MATCH($C$1,Database!$A$1:$C$1,),))</f>
        <v/>
      </c>
      <c r="D2625">
        <f>IFERROR(Table7[[#This Row],[United States 10y]]-Table7[[#This Row],[United States 3y]],#N/A)</f>
        <v/>
      </c>
    </row>
    <row r="2626">
      <c r="A2626" s="6">
        <f>Database!$A4711</f>
        <v/>
      </c>
      <c r="B2626">
        <f>IF(VLOOKUP(Table7[[#This Row],[Date]],Database!$A:$C,MATCH($B$1,Database!$A$1:$C$1,),)=0,#N/A,VLOOKUP(Table7[[#This Row],[Date]],Database!$A:$C,MATCH($B$1,Database!$A$1:$C$1,),))</f>
        <v/>
      </c>
      <c r="C2626">
        <f>IF(VLOOKUP(Table7[[#This Row],[Date]],Database!$A:$C,MATCH($C$1,Database!$A$1:$C$1,),)=0,#N/A,VLOOKUP(Table7[[#This Row],[Date]],Database!$A:$C,MATCH($C$1,Database!$A$1:$C$1,),))</f>
        <v/>
      </c>
      <c r="D2626">
        <f>IFERROR(Table7[[#This Row],[United States 10y]]-Table7[[#This Row],[United States 3y]],#N/A)</f>
        <v/>
      </c>
    </row>
    <row r="2627">
      <c r="A2627" s="6">
        <f>Database!$A4712</f>
        <v/>
      </c>
      <c r="B2627">
        <f>IF(VLOOKUP(Table7[[#This Row],[Date]],Database!$A:$C,MATCH($B$1,Database!$A$1:$C$1,),)=0,#N/A,VLOOKUP(Table7[[#This Row],[Date]],Database!$A:$C,MATCH($B$1,Database!$A$1:$C$1,),))</f>
        <v/>
      </c>
      <c r="C2627">
        <f>IF(VLOOKUP(Table7[[#This Row],[Date]],Database!$A:$C,MATCH($C$1,Database!$A$1:$C$1,),)=0,#N/A,VLOOKUP(Table7[[#This Row],[Date]],Database!$A:$C,MATCH($C$1,Database!$A$1:$C$1,),))</f>
        <v/>
      </c>
      <c r="D2627">
        <f>IFERROR(Table7[[#This Row],[United States 10y]]-Table7[[#This Row],[United States 3y]],#N/A)</f>
        <v/>
      </c>
    </row>
    <row r="2628">
      <c r="A2628" s="6">
        <f>Database!$A4713</f>
        <v/>
      </c>
      <c r="B2628">
        <f>IF(VLOOKUP(Table7[[#This Row],[Date]],Database!$A:$C,MATCH($B$1,Database!$A$1:$C$1,),)=0,#N/A,VLOOKUP(Table7[[#This Row],[Date]],Database!$A:$C,MATCH($B$1,Database!$A$1:$C$1,),))</f>
        <v/>
      </c>
      <c r="C2628">
        <f>IF(VLOOKUP(Table7[[#This Row],[Date]],Database!$A:$C,MATCH($C$1,Database!$A$1:$C$1,),)=0,#N/A,VLOOKUP(Table7[[#This Row],[Date]],Database!$A:$C,MATCH($C$1,Database!$A$1:$C$1,),))</f>
        <v/>
      </c>
      <c r="D2628">
        <f>IFERROR(Table7[[#This Row],[United States 10y]]-Table7[[#This Row],[United States 3y]],#N/A)</f>
        <v/>
      </c>
    </row>
    <row r="2629">
      <c r="A2629" s="6">
        <f>Database!$A4714</f>
        <v/>
      </c>
      <c r="B2629">
        <f>IF(VLOOKUP(Table7[[#This Row],[Date]],Database!$A:$C,MATCH($B$1,Database!$A$1:$C$1,),)=0,#N/A,VLOOKUP(Table7[[#This Row],[Date]],Database!$A:$C,MATCH($B$1,Database!$A$1:$C$1,),))</f>
        <v/>
      </c>
      <c r="C2629">
        <f>IF(VLOOKUP(Table7[[#This Row],[Date]],Database!$A:$C,MATCH($C$1,Database!$A$1:$C$1,),)=0,#N/A,VLOOKUP(Table7[[#This Row],[Date]],Database!$A:$C,MATCH($C$1,Database!$A$1:$C$1,),))</f>
        <v/>
      </c>
      <c r="D2629">
        <f>IFERROR(Table7[[#This Row],[United States 10y]]-Table7[[#This Row],[United States 3y]],#N/A)</f>
        <v/>
      </c>
    </row>
    <row r="2630">
      <c r="A2630" s="6">
        <f>Database!$A4715</f>
        <v/>
      </c>
      <c r="B2630">
        <f>IF(VLOOKUP(Table7[[#This Row],[Date]],Database!$A:$C,MATCH($B$1,Database!$A$1:$C$1,),)=0,#N/A,VLOOKUP(Table7[[#This Row],[Date]],Database!$A:$C,MATCH($B$1,Database!$A$1:$C$1,),))</f>
        <v/>
      </c>
      <c r="C2630">
        <f>IF(VLOOKUP(Table7[[#This Row],[Date]],Database!$A:$C,MATCH($C$1,Database!$A$1:$C$1,),)=0,#N/A,VLOOKUP(Table7[[#This Row],[Date]],Database!$A:$C,MATCH($C$1,Database!$A$1:$C$1,),))</f>
        <v/>
      </c>
      <c r="D2630">
        <f>IFERROR(Table7[[#This Row],[United States 10y]]-Table7[[#This Row],[United States 3y]],#N/A)</f>
        <v/>
      </c>
    </row>
    <row r="2631">
      <c r="A2631" s="6">
        <f>Database!$A4716</f>
        <v/>
      </c>
      <c r="B2631">
        <f>IF(VLOOKUP(Table7[[#This Row],[Date]],Database!$A:$C,MATCH($B$1,Database!$A$1:$C$1,),)=0,#N/A,VLOOKUP(Table7[[#This Row],[Date]],Database!$A:$C,MATCH($B$1,Database!$A$1:$C$1,),))</f>
        <v/>
      </c>
      <c r="C2631">
        <f>IF(VLOOKUP(Table7[[#This Row],[Date]],Database!$A:$C,MATCH($C$1,Database!$A$1:$C$1,),)=0,#N/A,VLOOKUP(Table7[[#This Row],[Date]],Database!$A:$C,MATCH($C$1,Database!$A$1:$C$1,),))</f>
        <v/>
      </c>
      <c r="D2631">
        <f>IFERROR(Table7[[#This Row],[United States 10y]]-Table7[[#This Row],[United States 3y]],#N/A)</f>
        <v/>
      </c>
    </row>
    <row r="2632">
      <c r="A2632" s="6">
        <f>Database!$A4717</f>
        <v/>
      </c>
      <c r="B2632">
        <f>IF(VLOOKUP(Table7[[#This Row],[Date]],Database!$A:$C,MATCH($B$1,Database!$A$1:$C$1,),)=0,#N/A,VLOOKUP(Table7[[#This Row],[Date]],Database!$A:$C,MATCH($B$1,Database!$A$1:$C$1,),))</f>
        <v/>
      </c>
      <c r="C2632">
        <f>IF(VLOOKUP(Table7[[#This Row],[Date]],Database!$A:$C,MATCH($C$1,Database!$A$1:$C$1,),)=0,#N/A,VLOOKUP(Table7[[#This Row],[Date]],Database!$A:$C,MATCH($C$1,Database!$A$1:$C$1,),))</f>
        <v/>
      </c>
      <c r="D2632">
        <f>IFERROR(Table7[[#This Row],[United States 10y]]-Table7[[#This Row],[United States 3y]],#N/A)</f>
        <v/>
      </c>
    </row>
    <row r="2633">
      <c r="A2633" s="6">
        <f>Database!$A4718</f>
        <v/>
      </c>
      <c r="B2633">
        <f>IF(VLOOKUP(Table7[[#This Row],[Date]],Database!$A:$C,MATCH($B$1,Database!$A$1:$C$1,),)=0,#N/A,VLOOKUP(Table7[[#This Row],[Date]],Database!$A:$C,MATCH($B$1,Database!$A$1:$C$1,),))</f>
        <v/>
      </c>
      <c r="C2633">
        <f>IF(VLOOKUP(Table7[[#This Row],[Date]],Database!$A:$C,MATCH($C$1,Database!$A$1:$C$1,),)=0,#N/A,VLOOKUP(Table7[[#This Row],[Date]],Database!$A:$C,MATCH($C$1,Database!$A$1:$C$1,),))</f>
        <v/>
      </c>
      <c r="D2633">
        <f>IFERROR(Table7[[#This Row],[United States 10y]]-Table7[[#This Row],[United States 3y]],#N/A)</f>
        <v/>
      </c>
    </row>
    <row r="2634">
      <c r="A2634" s="6">
        <f>Database!$A4719</f>
        <v/>
      </c>
      <c r="B2634">
        <f>IF(VLOOKUP(Table7[[#This Row],[Date]],Database!$A:$C,MATCH($B$1,Database!$A$1:$C$1,),)=0,#N/A,VLOOKUP(Table7[[#This Row],[Date]],Database!$A:$C,MATCH($B$1,Database!$A$1:$C$1,),))</f>
        <v/>
      </c>
      <c r="C2634">
        <f>IF(VLOOKUP(Table7[[#This Row],[Date]],Database!$A:$C,MATCH($C$1,Database!$A$1:$C$1,),)=0,#N/A,VLOOKUP(Table7[[#This Row],[Date]],Database!$A:$C,MATCH($C$1,Database!$A$1:$C$1,),))</f>
        <v/>
      </c>
      <c r="D2634">
        <f>IFERROR(Table7[[#This Row],[United States 10y]]-Table7[[#This Row],[United States 3y]],#N/A)</f>
        <v/>
      </c>
    </row>
    <row r="2635">
      <c r="A2635" s="6">
        <f>Database!$A4720</f>
        <v/>
      </c>
      <c r="B2635">
        <f>IF(VLOOKUP(Table7[[#This Row],[Date]],Database!$A:$C,MATCH($B$1,Database!$A$1:$C$1,),)=0,#N/A,VLOOKUP(Table7[[#This Row],[Date]],Database!$A:$C,MATCH($B$1,Database!$A$1:$C$1,),))</f>
        <v/>
      </c>
      <c r="C2635">
        <f>IF(VLOOKUP(Table7[[#This Row],[Date]],Database!$A:$C,MATCH($C$1,Database!$A$1:$C$1,),)=0,#N/A,VLOOKUP(Table7[[#This Row],[Date]],Database!$A:$C,MATCH($C$1,Database!$A$1:$C$1,),))</f>
        <v/>
      </c>
      <c r="D2635">
        <f>IFERROR(Table7[[#This Row],[United States 10y]]-Table7[[#This Row],[United States 3y]],#N/A)</f>
        <v/>
      </c>
    </row>
    <row r="2636">
      <c r="A2636" s="6">
        <f>Database!$A4721</f>
        <v/>
      </c>
      <c r="B2636">
        <f>IF(VLOOKUP(Table7[[#This Row],[Date]],Database!$A:$C,MATCH($B$1,Database!$A$1:$C$1,),)=0,#N/A,VLOOKUP(Table7[[#This Row],[Date]],Database!$A:$C,MATCH($B$1,Database!$A$1:$C$1,),))</f>
        <v/>
      </c>
      <c r="C2636">
        <f>IF(VLOOKUP(Table7[[#This Row],[Date]],Database!$A:$C,MATCH($C$1,Database!$A$1:$C$1,),)=0,#N/A,VLOOKUP(Table7[[#This Row],[Date]],Database!$A:$C,MATCH($C$1,Database!$A$1:$C$1,),))</f>
        <v/>
      </c>
      <c r="D2636">
        <f>IFERROR(Table7[[#This Row],[United States 10y]]-Table7[[#This Row],[United States 3y]],#N/A)</f>
        <v/>
      </c>
    </row>
    <row r="2637">
      <c r="A2637" s="6">
        <f>Database!$A4722</f>
        <v/>
      </c>
      <c r="B2637">
        <f>IF(VLOOKUP(Table7[[#This Row],[Date]],Database!$A:$C,MATCH($B$1,Database!$A$1:$C$1,),)=0,#N/A,VLOOKUP(Table7[[#This Row],[Date]],Database!$A:$C,MATCH($B$1,Database!$A$1:$C$1,),))</f>
        <v/>
      </c>
      <c r="C2637">
        <f>IF(VLOOKUP(Table7[[#This Row],[Date]],Database!$A:$C,MATCH($C$1,Database!$A$1:$C$1,),)=0,#N/A,VLOOKUP(Table7[[#This Row],[Date]],Database!$A:$C,MATCH($C$1,Database!$A$1:$C$1,),))</f>
        <v/>
      </c>
      <c r="D2637">
        <f>IFERROR(Table7[[#This Row],[United States 10y]]-Table7[[#This Row],[United States 3y]],#N/A)</f>
        <v/>
      </c>
    </row>
    <row r="2638">
      <c r="A2638" s="6">
        <f>Database!$A4723</f>
        <v/>
      </c>
      <c r="B2638">
        <f>IF(VLOOKUP(Table7[[#This Row],[Date]],Database!$A:$C,MATCH($B$1,Database!$A$1:$C$1,),)=0,#N/A,VLOOKUP(Table7[[#This Row],[Date]],Database!$A:$C,MATCH($B$1,Database!$A$1:$C$1,),))</f>
        <v/>
      </c>
      <c r="C2638">
        <f>IF(VLOOKUP(Table7[[#This Row],[Date]],Database!$A:$C,MATCH($C$1,Database!$A$1:$C$1,),)=0,#N/A,VLOOKUP(Table7[[#This Row],[Date]],Database!$A:$C,MATCH($C$1,Database!$A$1:$C$1,),))</f>
        <v/>
      </c>
      <c r="D2638">
        <f>IFERROR(Table7[[#This Row],[United States 10y]]-Table7[[#This Row],[United States 3y]],#N/A)</f>
        <v/>
      </c>
    </row>
    <row r="2639">
      <c r="A2639" s="6">
        <f>Database!$A4724</f>
        <v/>
      </c>
      <c r="B2639">
        <f>IF(VLOOKUP(Table7[[#This Row],[Date]],Database!$A:$C,MATCH($B$1,Database!$A$1:$C$1,),)=0,#N/A,VLOOKUP(Table7[[#This Row],[Date]],Database!$A:$C,MATCH($B$1,Database!$A$1:$C$1,),))</f>
        <v/>
      </c>
      <c r="C2639">
        <f>IF(VLOOKUP(Table7[[#This Row],[Date]],Database!$A:$C,MATCH($C$1,Database!$A$1:$C$1,),)=0,#N/A,VLOOKUP(Table7[[#This Row],[Date]],Database!$A:$C,MATCH($C$1,Database!$A$1:$C$1,),))</f>
        <v/>
      </c>
      <c r="D2639">
        <f>IFERROR(Table7[[#This Row],[United States 10y]]-Table7[[#This Row],[United States 3y]],#N/A)</f>
        <v/>
      </c>
    </row>
    <row r="2640">
      <c r="A2640" s="6">
        <f>Database!$A4725</f>
        <v/>
      </c>
      <c r="B2640">
        <f>IF(VLOOKUP(Table7[[#This Row],[Date]],Database!$A:$C,MATCH($B$1,Database!$A$1:$C$1,),)=0,#N/A,VLOOKUP(Table7[[#This Row],[Date]],Database!$A:$C,MATCH($B$1,Database!$A$1:$C$1,),))</f>
        <v/>
      </c>
      <c r="C2640">
        <f>IF(VLOOKUP(Table7[[#This Row],[Date]],Database!$A:$C,MATCH($C$1,Database!$A$1:$C$1,),)=0,#N/A,VLOOKUP(Table7[[#This Row],[Date]],Database!$A:$C,MATCH($C$1,Database!$A$1:$C$1,),))</f>
        <v/>
      </c>
      <c r="D2640">
        <f>IFERROR(Table7[[#This Row],[United States 10y]]-Table7[[#This Row],[United States 3y]],#N/A)</f>
        <v/>
      </c>
    </row>
    <row r="2641">
      <c r="A2641" s="6">
        <f>Database!$A4726</f>
        <v/>
      </c>
      <c r="B2641">
        <f>IF(VLOOKUP(Table7[[#This Row],[Date]],Database!$A:$C,MATCH($B$1,Database!$A$1:$C$1,),)=0,#N/A,VLOOKUP(Table7[[#This Row],[Date]],Database!$A:$C,MATCH($B$1,Database!$A$1:$C$1,),))</f>
        <v/>
      </c>
      <c r="C2641">
        <f>IF(VLOOKUP(Table7[[#This Row],[Date]],Database!$A:$C,MATCH($C$1,Database!$A$1:$C$1,),)=0,#N/A,VLOOKUP(Table7[[#This Row],[Date]],Database!$A:$C,MATCH($C$1,Database!$A$1:$C$1,),))</f>
        <v/>
      </c>
      <c r="D2641">
        <f>IFERROR(Table7[[#This Row],[United States 10y]]-Table7[[#This Row],[United States 3y]],#N/A)</f>
        <v/>
      </c>
    </row>
    <row r="2642">
      <c r="A2642" s="6">
        <f>Database!$A4727</f>
        <v/>
      </c>
      <c r="B2642">
        <f>IF(VLOOKUP(Table7[[#This Row],[Date]],Database!$A:$C,MATCH($B$1,Database!$A$1:$C$1,),)=0,#N/A,VLOOKUP(Table7[[#This Row],[Date]],Database!$A:$C,MATCH($B$1,Database!$A$1:$C$1,),))</f>
        <v/>
      </c>
      <c r="C2642">
        <f>IF(VLOOKUP(Table7[[#This Row],[Date]],Database!$A:$C,MATCH($C$1,Database!$A$1:$C$1,),)=0,#N/A,VLOOKUP(Table7[[#This Row],[Date]],Database!$A:$C,MATCH($C$1,Database!$A$1:$C$1,),))</f>
        <v/>
      </c>
      <c r="D2642">
        <f>IFERROR(Table7[[#This Row],[United States 10y]]-Table7[[#This Row],[United States 3y]],#N/A)</f>
        <v/>
      </c>
    </row>
    <row r="2643">
      <c r="A2643" s="6">
        <f>Database!$A4728</f>
        <v/>
      </c>
      <c r="B2643">
        <f>IF(VLOOKUP(Table7[[#This Row],[Date]],Database!$A:$C,MATCH($B$1,Database!$A$1:$C$1,),)=0,#N/A,VLOOKUP(Table7[[#This Row],[Date]],Database!$A:$C,MATCH($B$1,Database!$A$1:$C$1,),))</f>
        <v/>
      </c>
      <c r="C2643">
        <f>IF(VLOOKUP(Table7[[#This Row],[Date]],Database!$A:$C,MATCH($C$1,Database!$A$1:$C$1,),)=0,#N/A,VLOOKUP(Table7[[#This Row],[Date]],Database!$A:$C,MATCH($C$1,Database!$A$1:$C$1,),))</f>
        <v/>
      </c>
      <c r="D2643">
        <f>IFERROR(Table7[[#This Row],[United States 10y]]-Table7[[#This Row],[United States 3y]],#N/A)</f>
        <v/>
      </c>
    </row>
    <row r="2644">
      <c r="A2644" s="6">
        <f>Database!$A4729</f>
        <v/>
      </c>
      <c r="B2644">
        <f>IF(VLOOKUP(Table7[[#This Row],[Date]],Database!$A:$C,MATCH($B$1,Database!$A$1:$C$1,),)=0,#N/A,VLOOKUP(Table7[[#This Row],[Date]],Database!$A:$C,MATCH($B$1,Database!$A$1:$C$1,),))</f>
        <v/>
      </c>
      <c r="C2644">
        <f>IF(VLOOKUP(Table7[[#This Row],[Date]],Database!$A:$C,MATCH($C$1,Database!$A$1:$C$1,),)=0,#N/A,VLOOKUP(Table7[[#This Row],[Date]],Database!$A:$C,MATCH($C$1,Database!$A$1:$C$1,),))</f>
        <v/>
      </c>
      <c r="D2644">
        <f>IFERROR(Table7[[#This Row],[United States 10y]]-Table7[[#This Row],[United States 3y]],#N/A)</f>
        <v/>
      </c>
    </row>
    <row r="2645">
      <c r="A2645" s="6">
        <f>Database!$A4730</f>
        <v/>
      </c>
      <c r="B2645">
        <f>IF(VLOOKUP(Table7[[#This Row],[Date]],Database!$A:$C,MATCH($B$1,Database!$A$1:$C$1,),)=0,#N/A,VLOOKUP(Table7[[#This Row],[Date]],Database!$A:$C,MATCH($B$1,Database!$A$1:$C$1,),))</f>
        <v/>
      </c>
      <c r="C2645">
        <f>IF(VLOOKUP(Table7[[#This Row],[Date]],Database!$A:$C,MATCH($C$1,Database!$A$1:$C$1,),)=0,#N/A,VLOOKUP(Table7[[#This Row],[Date]],Database!$A:$C,MATCH($C$1,Database!$A$1:$C$1,),))</f>
        <v/>
      </c>
      <c r="D2645">
        <f>IFERROR(Table7[[#This Row],[United States 10y]]-Table7[[#This Row],[United States 3y]],#N/A)</f>
        <v/>
      </c>
    </row>
    <row r="2646">
      <c r="A2646" s="6">
        <f>Database!$A4731</f>
        <v/>
      </c>
      <c r="B2646">
        <f>IF(VLOOKUP(Table7[[#This Row],[Date]],Database!$A:$C,MATCH($B$1,Database!$A$1:$C$1,),)=0,#N/A,VLOOKUP(Table7[[#This Row],[Date]],Database!$A:$C,MATCH($B$1,Database!$A$1:$C$1,),))</f>
        <v/>
      </c>
      <c r="C2646">
        <f>IF(VLOOKUP(Table7[[#This Row],[Date]],Database!$A:$C,MATCH($C$1,Database!$A$1:$C$1,),)=0,#N/A,VLOOKUP(Table7[[#This Row],[Date]],Database!$A:$C,MATCH($C$1,Database!$A$1:$C$1,),))</f>
        <v/>
      </c>
      <c r="D2646">
        <f>IFERROR(Table7[[#This Row],[United States 10y]]-Table7[[#This Row],[United States 3y]],#N/A)</f>
        <v/>
      </c>
    </row>
    <row r="2647">
      <c r="A2647" s="6">
        <f>Database!$A4732</f>
        <v/>
      </c>
      <c r="B2647">
        <f>IF(VLOOKUP(Table7[[#This Row],[Date]],Database!$A:$C,MATCH($B$1,Database!$A$1:$C$1,),)=0,#N/A,VLOOKUP(Table7[[#This Row],[Date]],Database!$A:$C,MATCH($B$1,Database!$A$1:$C$1,),))</f>
        <v/>
      </c>
      <c r="C2647">
        <f>IF(VLOOKUP(Table7[[#This Row],[Date]],Database!$A:$C,MATCH($C$1,Database!$A$1:$C$1,),)=0,#N/A,VLOOKUP(Table7[[#This Row],[Date]],Database!$A:$C,MATCH($C$1,Database!$A$1:$C$1,),))</f>
        <v/>
      </c>
      <c r="D2647">
        <f>IFERROR(Table7[[#This Row],[United States 10y]]-Table7[[#This Row],[United States 3y]],#N/A)</f>
        <v/>
      </c>
    </row>
    <row r="2648">
      <c r="A2648" s="6">
        <f>Database!$A4733</f>
        <v/>
      </c>
      <c r="B2648">
        <f>IF(VLOOKUP(Table7[[#This Row],[Date]],Database!$A:$C,MATCH($B$1,Database!$A$1:$C$1,),)=0,#N/A,VLOOKUP(Table7[[#This Row],[Date]],Database!$A:$C,MATCH($B$1,Database!$A$1:$C$1,),))</f>
        <v/>
      </c>
      <c r="C2648">
        <f>IF(VLOOKUP(Table7[[#This Row],[Date]],Database!$A:$C,MATCH($C$1,Database!$A$1:$C$1,),)=0,#N/A,VLOOKUP(Table7[[#This Row],[Date]],Database!$A:$C,MATCH($C$1,Database!$A$1:$C$1,),))</f>
        <v/>
      </c>
      <c r="D2648">
        <f>IFERROR(Table7[[#This Row],[United States 10y]]-Table7[[#This Row],[United States 3y]],#N/A)</f>
        <v/>
      </c>
    </row>
    <row r="2649">
      <c r="A2649" s="6">
        <f>Database!$A4734</f>
        <v/>
      </c>
      <c r="B2649">
        <f>IF(VLOOKUP(Table7[[#This Row],[Date]],Database!$A:$C,MATCH($B$1,Database!$A$1:$C$1,),)=0,#N/A,VLOOKUP(Table7[[#This Row],[Date]],Database!$A:$C,MATCH($B$1,Database!$A$1:$C$1,),))</f>
        <v/>
      </c>
      <c r="C2649">
        <f>IF(VLOOKUP(Table7[[#This Row],[Date]],Database!$A:$C,MATCH($C$1,Database!$A$1:$C$1,),)=0,#N/A,VLOOKUP(Table7[[#This Row],[Date]],Database!$A:$C,MATCH($C$1,Database!$A$1:$C$1,),))</f>
        <v/>
      </c>
      <c r="D2649">
        <f>IFERROR(Table7[[#This Row],[United States 10y]]-Table7[[#This Row],[United States 3y]],#N/A)</f>
        <v/>
      </c>
    </row>
    <row r="2650">
      <c r="A2650" s="6">
        <f>Database!$A4735</f>
        <v/>
      </c>
      <c r="B2650">
        <f>IF(VLOOKUP(Table7[[#This Row],[Date]],Database!$A:$C,MATCH($B$1,Database!$A$1:$C$1,),)=0,#N/A,VLOOKUP(Table7[[#This Row],[Date]],Database!$A:$C,MATCH($B$1,Database!$A$1:$C$1,),))</f>
        <v/>
      </c>
      <c r="C2650">
        <f>IF(VLOOKUP(Table7[[#This Row],[Date]],Database!$A:$C,MATCH($C$1,Database!$A$1:$C$1,),)=0,#N/A,VLOOKUP(Table7[[#This Row],[Date]],Database!$A:$C,MATCH($C$1,Database!$A$1:$C$1,),))</f>
        <v/>
      </c>
      <c r="D2650">
        <f>IFERROR(Table7[[#This Row],[United States 10y]]-Table7[[#This Row],[United States 3y]],#N/A)</f>
        <v/>
      </c>
    </row>
    <row r="2651">
      <c r="A2651" s="6">
        <f>Database!$A4736</f>
        <v/>
      </c>
      <c r="B2651">
        <f>IF(VLOOKUP(Table7[[#This Row],[Date]],Database!$A:$C,MATCH($B$1,Database!$A$1:$C$1,),)=0,#N/A,VLOOKUP(Table7[[#This Row],[Date]],Database!$A:$C,MATCH($B$1,Database!$A$1:$C$1,),))</f>
        <v/>
      </c>
      <c r="C2651">
        <f>IF(VLOOKUP(Table7[[#This Row],[Date]],Database!$A:$C,MATCH($C$1,Database!$A$1:$C$1,),)=0,#N/A,VLOOKUP(Table7[[#This Row],[Date]],Database!$A:$C,MATCH($C$1,Database!$A$1:$C$1,),))</f>
        <v/>
      </c>
      <c r="D2651">
        <f>IFERROR(Table7[[#This Row],[United States 10y]]-Table7[[#This Row],[United States 3y]],#N/A)</f>
        <v/>
      </c>
    </row>
    <row r="2652">
      <c r="A2652" s="6">
        <f>Database!$A4737</f>
        <v/>
      </c>
      <c r="B2652">
        <f>IF(VLOOKUP(Table7[[#This Row],[Date]],Database!$A:$C,MATCH($B$1,Database!$A$1:$C$1,),)=0,#N/A,VLOOKUP(Table7[[#This Row],[Date]],Database!$A:$C,MATCH($B$1,Database!$A$1:$C$1,),))</f>
        <v/>
      </c>
      <c r="C2652">
        <f>IF(VLOOKUP(Table7[[#This Row],[Date]],Database!$A:$C,MATCH($C$1,Database!$A$1:$C$1,),)=0,#N/A,VLOOKUP(Table7[[#This Row],[Date]],Database!$A:$C,MATCH($C$1,Database!$A$1:$C$1,),))</f>
        <v/>
      </c>
      <c r="D2652">
        <f>IFERROR(Table7[[#This Row],[United States 10y]]-Table7[[#This Row],[United States 3y]],#N/A)</f>
        <v/>
      </c>
    </row>
    <row r="2653">
      <c r="A2653" s="6">
        <f>Database!$A4738</f>
        <v/>
      </c>
      <c r="B2653">
        <f>IF(VLOOKUP(Table7[[#This Row],[Date]],Database!$A:$C,MATCH($B$1,Database!$A$1:$C$1,),)=0,#N/A,VLOOKUP(Table7[[#This Row],[Date]],Database!$A:$C,MATCH($B$1,Database!$A$1:$C$1,),))</f>
        <v/>
      </c>
      <c r="C2653">
        <f>IF(VLOOKUP(Table7[[#This Row],[Date]],Database!$A:$C,MATCH($C$1,Database!$A$1:$C$1,),)=0,#N/A,VLOOKUP(Table7[[#This Row],[Date]],Database!$A:$C,MATCH($C$1,Database!$A$1:$C$1,),))</f>
        <v/>
      </c>
      <c r="D2653">
        <f>IFERROR(Table7[[#This Row],[United States 10y]]-Table7[[#This Row],[United States 3y]],#N/A)</f>
        <v/>
      </c>
    </row>
    <row r="2654">
      <c r="A2654" s="6">
        <f>Database!$A4739</f>
        <v/>
      </c>
      <c r="B2654">
        <f>IF(VLOOKUP(Table7[[#This Row],[Date]],Database!$A:$C,MATCH($B$1,Database!$A$1:$C$1,),)=0,#N/A,VLOOKUP(Table7[[#This Row],[Date]],Database!$A:$C,MATCH($B$1,Database!$A$1:$C$1,),))</f>
        <v/>
      </c>
      <c r="C2654">
        <f>IF(VLOOKUP(Table7[[#This Row],[Date]],Database!$A:$C,MATCH($C$1,Database!$A$1:$C$1,),)=0,#N/A,VLOOKUP(Table7[[#This Row],[Date]],Database!$A:$C,MATCH($C$1,Database!$A$1:$C$1,),))</f>
        <v/>
      </c>
      <c r="D2654">
        <f>IFERROR(Table7[[#This Row],[United States 10y]]-Table7[[#This Row],[United States 3y]],#N/A)</f>
        <v/>
      </c>
    </row>
    <row r="2655">
      <c r="A2655" s="6">
        <f>Database!$A4740</f>
        <v/>
      </c>
      <c r="B2655">
        <f>IF(VLOOKUP(Table7[[#This Row],[Date]],Database!$A:$C,MATCH($B$1,Database!$A$1:$C$1,),)=0,#N/A,VLOOKUP(Table7[[#This Row],[Date]],Database!$A:$C,MATCH($B$1,Database!$A$1:$C$1,),))</f>
        <v/>
      </c>
      <c r="C2655">
        <f>IF(VLOOKUP(Table7[[#This Row],[Date]],Database!$A:$C,MATCH($C$1,Database!$A$1:$C$1,),)=0,#N/A,VLOOKUP(Table7[[#This Row],[Date]],Database!$A:$C,MATCH($C$1,Database!$A$1:$C$1,),))</f>
        <v/>
      </c>
      <c r="D2655">
        <f>IFERROR(Table7[[#This Row],[United States 10y]]-Table7[[#This Row],[United States 3y]],#N/A)</f>
        <v/>
      </c>
    </row>
    <row r="2656">
      <c r="A2656" s="6">
        <f>Database!$A4741</f>
        <v/>
      </c>
      <c r="B2656">
        <f>IF(VLOOKUP(Table7[[#This Row],[Date]],Database!$A:$C,MATCH($B$1,Database!$A$1:$C$1,),)=0,#N/A,VLOOKUP(Table7[[#This Row],[Date]],Database!$A:$C,MATCH($B$1,Database!$A$1:$C$1,),))</f>
        <v/>
      </c>
      <c r="C2656">
        <f>IF(VLOOKUP(Table7[[#This Row],[Date]],Database!$A:$C,MATCH($C$1,Database!$A$1:$C$1,),)=0,#N/A,VLOOKUP(Table7[[#This Row],[Date]],Database!$A:$C,MATCH($C$1,Database!$A$1:$C$1,),))</f>
        <v/>
      </c>
      <c r="D2656">
        <f>IFERROR(Table7[[#This Row],[United States 10y]]-Table7[[#This Row],[United States 3y]],#N/A)</f>
        <v/>
      </c>
    </row>
    <row r="2657">
      <c r="A2657" s="6">
        <f>Database!$A4742</f>
        <v/>
      </c>
      <c r="B2657">
        <f>IF(VLOOKUP(Table7[[#This Row],[Date]],Database!$A:$C,MATCH($B$1,Database!$A$1:$C$1,),)=0,#N/A,VLOOKUP(Table7[[#This Row],[Date]],Database!$A:$C,MATCH($B$1,Database!$A$1:$C$1,),))</f>
        <v/>
      </c>
      <c r="C2657">
        <f>IF(VLOOKUP(Table7[[#This Row],[Date]],Database!$A:$C,MATCH($C$1,Database!$A$1:$C$1,),)=0,#N/A,VLOOKUP(Table7[[#This Row],[Date]],Database!$A:$C,MATCH($C$1,Database!$A$1:$C$1,),))</f>
        <v/>
      </c>
      <c r="D2657">
        <f>IFERROR(Table7[[#This Row],[United States 10y]]-Table7[[#This Row],[United States 3y]],#N/A)</f>
        <v/>
      </c>
    </row>
    <row r="2658">
      <c r="A2658" s="6">
        <f>Database!$A4743</f>
        <v/>
      </c>
      <c r="B2658">
        <f>IF(VLOOKUP(Table7[[#This Row],[Date]],Database!$A:$C,MATCH($B$1,Database!$A$1:$C$1,),)=0,#N/A,VLOOKUP(Table7[[#This Row],[Date]],Database!$A:$C,MATCH($B$1,Database!$A$1:$C$1,),))</f>
        <v/>
      </c>
      <c r="C2658">
        <f>IF(VLOOKUP(Table7[[#This Row],[Date]],Database!$A:$C,MATCH($C$1,Database!$A$1:$C$1,),)=0,#N/A,VLOOKUP(Table7[[#This Row],[Date]],Database!$A:$C,MATCH($C$1,Database!$A$1:$C$1,),))</f>
        <v/>
      </c>
      <c r="D2658">
        <f>IFERROR(Table7[[#This Row],[United States 10y]]-Table7[[#This Row],[United States 3y]],#N/A)</f>
        <v/>
      </c>
    </row>
    <row r="2659">
      <c r="A2659" s="6">
        <f>Database!$A4744</f>
        <v/>
      </c>
      <c r="B2659">
        <f>IF(VLOOKUP(Table7[[#This Row],[Date]],Database!$A:$C,MATCH($B$1,Database!$A$1:$C$1,),)=0,#N/A,VLOOKUP(Table7[[#This Row],[Date]],Database!$A:$C,MATCH($B$1,Database!$A$1:$C$1,),))</f>
        <v/>
      </c>
      <c r="C2659">
        <f>IF(VLOOKUP(Table7[[#This Row],[Date]],Database!$A:$C,MATCH($C$1,Database!$A$1:$C$1,),)=0,#N/A,VLOOKUP(Table7[[#This Row],[Date]],Database!$A:$C,MATCH($C$1,Database!$A$1:$C$1,),))</f>
        <v/>
      </c>
      <c r="D2659">
        <f>IFERROR(Table7[[#This Row],[United States 10y]]-Table7[[#This Row],[United States 3y]],#N/A)</f>
        <v/>
      </c>
    </row>
    <row r="2660">
      <c r="A2660" s="6">
        <f>Database!$A4745</f>
        <v/>
      </c>
      <c r="B2660">
        <f>IF(VLOOKUP(Table7[[#This Row],[Date]],Database!$A:$C,MATCH($B$1,Database!$A$1:$C$1,),)=0,#N/A,VLOOKUP(Table7[[#This Row],[Date]],Database!$A:$C,MATCH($B$1,Database!$A$1:$C$1,),))</f>
        <v/>
      </c>
      <c r="C2660">
        <f>IF(VLOOKUP(Table7[[#This Row],[Date]],Database!$A:$C,MATCH($C$1,Database!$A$1:$C$1,),)=0,#N/A,VLOOKUP(Table7[[#This Row],[Date]],Database!$A:$C,MATCH($C$1,Database!$A$1:$C$1,),))</f>
        <v/>
      </c>
      <c r="D2660">
        <f>IFERROR(Table7[[#This Row],[United States 10y]]-Table7[[#This Row],[United States 3y]],#N/A)</f>
        <v/>
      </c>
    </row>
    <row r="2661">
      <c r="A2661" s="6">
        <f>Database!$A4746</f>
        <v/>
      </c>
      <c r="B2661">
        <f>IF(VLOOKUP(Table7[[#This Row],[Date]],Database!$A:$C,MATCH($B$1,Database!$A$1:$C$1,),)=0,#N/A,VLOOKUP(Table7[[#This Row],[Date]],Database!$A:$C,MATCH($B$1,Database!$A$1:$C$1,),))</f>
        <v/>
      </c>
      <c r="C2661">
        <f>IF(VLOOKUP(Table7[[#This Row],[Date]],Database!$A:$C,MATCH($C$1,Database!$A$1:$C$1,),)=0,#N/A,VLOOKUP(Table7[[#This Row],[Date]],Database!$A:$C,MATCH($C$1,Database!$A$1:$C$1,),))</f>
        <v/>
      </c>
      <c r="D2661">
        <f>IFERROR(Table7[[#This Row],[United States 10y]]-Table7[[#This Row],[United States 3y]],#N/A)</f>
        <v/>
      </c>
    </row>
    <row r="2662">
      <c r="A2662" s="6">
        <f>Database!$A4747</f>
        <v/>
      </c>
      <c r="B2662">
        <f>IF(VLOOKUP(Table7[[#This Row],[Date]],Database!$A:$C,MATCH($B$1,Database!$A$1:$C$1,),)=0,#N/A,VLOOKUP(Table7[[#This Row],[Date]],Database!$A:$C,MATCH($B$1,Database!$A$1:$C$1,),))</f>
        <v/>
      </c>
      <c r="C2662">
        <f>IF(VLOOKUP(Table7[[#This Row],[Date]],Database!$A:$C,MATCH($C$1,Database!$A$1:$C$1,),)=0,#N/A,VLOOKUP(Table7[[#This Row],[Date]],Database!$A:$C,MATCH($C$1,Database!$A$1:$C$1,),))</f>
        <v/>
      </c>
      <c r="D2662">
        <f>IFERROR(Table7[[#This Row],[United States 10y]]-Table7[[#This Row],[United States 3y]],#N/A)</f>
        <v/>
      </c>
    </row>
    <row r="2663">
      <c r="A2663" s="6">
        <f>Database!$A4748</f>
        <v/>
      </c>
      <c r="B2663">
        <f>IF(VLOOKUP(Table7[[#This Row],[Date]],Database!$A:$C,MATCH($B$1,Database!$A$1:$C$1,),)=0,#N/A,VLOOKUP(Table7[[#This Row],[Date]],Database!$A:$C,MATCH($B$1,Database!$A$1:$C$1,),))</f>
        <v/>
      </c>
      <c r="C2663">
        <f>IF(VLOOKUP(Table7[[#This Row],[Date]],Database!$A:$C,MATCH($C$1,Database!$A$1:$C$1,),)=0,#N/A,VLOOKUP(Table7[[#This Row],[Date]],Database!$A:$C,MATCH($C$1,Database!$A$1:$C$1,),))</f>
        <v/>
      </c>
      <c r="D2663">
        <f>IFERROR(Table7[[#This Row],[United States 10y]]-Table7[[#This Row],[United States 3y]],#N/A)</f>
        <v/>
      </c>
    </row>
    <row r="2664">
      <c r="A2664" s="6">
        <f>Database!$A4749</f>
        <v/>
      </c>
      <c r="B2664">
        <f>IF(VLOOKUP(Table7[[#This Row],[Date]],Database!$A:$C,MATCH($B$1,Database!$A$1:$C$1,),)=0,#N/A,VLOOKUP(Table7[[#This Row],[Date]],Database!$A:$C,MATCH($B$1,Database!$A$1:$C$1,),))</f>
        <v/>
      </c>
      <c r="C2664">
        <f>IF(VLOOKUP(Table7[[#This Row],[Date]],Database!$A:$C,MATCH($C$1,Database!$A$1:$C$1,),)=0,#N/A,VLOOKUP(Table7[[#This Row],[Date]],Database!$A:$C,MATCH($C$1,Database!$A$1:$C$1,),))</f>
        <v/>
      </c>
      <c r="D2664">
        <f>IFERROR(Table7[[#This Row],[United States 10y]]-Table7[[#This Row],[United States 3y]],#N/A)</f>
        <v/>
      </c>
    </row>
    <row r="2665">
      <c r="A2665" s="6">
        <f>Database!$A4750</f>
        <v/>
      </c>
      <c r="B2665">
        <f>IF(VLOOKUP(Table7[[#This Row],[Date]],Database!$A:$C,MATCH($B$1,Database!$A$1:$C$1,),)=0,#N/A,VLOOKUP(Table7[[#This Row],[Date]],Database!$A:$C,MATCH($B$1,Database!$A$1:$C$1,),))</f>
        <v/>
      </c>
      <c r="C2665">
        <f>IF(VLOOKUP(Table7[[#This Row],[Date]],Database!$A:$C,MATCH($C$1,Database!$A$1:$C$1,),)=0,#N/A,VLOOKUP(Table7[[#This Row],[Date]],Database!$A:$C,MATCH($C$1,Database!$A$1:$C$1,),))</f>
        <v/>
      </c>
      <c r="D2665">
        <f>IFERROR(Table7[[#This Row],[United States 10y]]-Table7[[#This Row],[United States 3y]],#N/A)</f>
        <v/>
      </c>
    </row>
    <row r="2666">
      <c r="A2666" s="6">
        <f>Database!$A4751</f>
        <v/>
      </c>
      <c r="B2666">
        <f>IF(VLOOKUP(Table7[[#This Row],[Date]],Database!$A:$C,MATCH($B$1,Database!$A$1:$C$1,),)=0,#N/A,VLOOKUP(Table7[[#This Row],[Date]],Database!$A:$C,MATCH($B$1,Database!$A$1:$C$1,),))</f>
        <v/>
      </c>
      <c r="C2666">
        <f>IF(VLOOKUP(Table7[[#This Row],[Date]],Database!$A:$C,MATCH($C$1,Database!$A$1:$C$1,),)=0,#N/A,VLOOKUP(Table7[[#This Row],[Date]],Database!$A:$C,MATCH($C$1,Database!$A$1:$C$1,),))</f>
        <v/>
      </c>
      <c r="D2666">
        <f>IFERROR(Table7[[#This Row],[United States 10y]]-Table7[[#This Row],[United States 3y]],#N/A)</f>
        <v/>
      </c>
    </row>
    <row r="2667">
      <c r="A2667" s="6">
        <f>Database!$A4752</f>
        <v/>
      </c>
      <c r="B2667">
        <f>IF(VLOOKUP(Table7[[#This Row],[Date]],Database!$A:$C,MATCH($B$1,Database!$A$1:$C$1,),)=0,#N/A,VLOOKUP(Table7[[#This Row],[Date]],Database!$A:$C,MATCH($B$1,Database!$A$1:$C$1,),))</f>
        <v/>
      </c>
      <c r="C2667">
        <f>IF(VLOOKUP(Table7[[#This Row],[Date]],Database!$A:$C,MATCH($C$1,Database!$A$1:$C$1,),)=0,#N/A,VLOOKUP(Table7[[#This Row],[Date]],Database!$A:$C,MATCH($C$1,Database!$A$1:$C$1,),))</f>
        <v/>
      </c>
      <c r="D2667">
        <f>IFERROR(Table7[[#This Row],[United States 10y]]-Table7[[#This Row],[United States 3y]],#N/A)</f>
        <v/>
      </c>
    </row>
    <row r="2668">
      <c r="A2668" s="6">
        <f>Database!$A4753</f>
        <v/>
      </c>
      <c r="B2668">
        <f>IF(VLOOKUP(Table7[[#This Row],[Date]],Database!$A:$C,MATCH($B$1,Database!$A$1:$C$1,),)=0,#N/A,VLOOKUP(Table7[[#This Row],[Date]],Database!$A:$C,MATCH($B$1,Database!$A$1:$C$1,),))</f>
        <v/>
      </c>
      <c r="C2668">
        <f>IF(VLOOKUP(Table7[[#This Row],[Date]],Database!$A:$C,MATCH($C$1,Database!$A$1:$C$1,),)=0,#N/A,VLOOKUP(Table7[[#This Row],[Date]],Database!$A:$C,MATCH($C$1,Database!$A$1:$C$1,),))</f>
        <v/>
      </c>
      <c r="D2668">
        <f>IFERROR(Table7[[#This Row],[United States 10y]]-Table7[[#This Row],[United States 3y]],#N/A)</f>
        <v/>
      </c>
    </row>
    <row r="2669">
      <c r="A2669" s="6">
        <f>Database!$A4754</f>
        <v/>
      </c>
      <c r="B2669">
        <f>IF(VLOOKUP(Table7[[#This Row],[Date]],Database!$A:$C,MATCH($B$1,Database!$A$1:$C$1,),)=0,#N/A,VLOOKUP(Table7[[#This Row],[Date]],Database!$A:$C,MATCH($B$1,Database!$A$1:$C$1,),))</f>
        <v/>
      </c>
      <c r="C2669">
        <f>IF(VLOOKUP(Table7[[#This Row],[Date]],Database!$A:$C,MATCH($C$1,Database!$A$1:$C$1,),)=0,#N/A,VLOOKUP(Table7[[#This Row],[Date]],Database!$A:$C,MATCH($C$1,Database!$A$1:$C$1,),))</f>
        <v/>
      </c>
      <c r="D2669">
        <f>IFERROR(Table7[[#This Row],[United States 10y]]-Table7[[#This Row],[United States 3y]],#N/A)</f>
        <v/>
      </c>
    </row>
    <row r="2670">
      <c r="A2670" s="6">
        <f>Database!$A4755</f>
        <v/>
      </c>
      <c r="B2670">
        <f>IF(VLOOKUP(Table7[[#This Row],[Date]],Database!$A:$C,MATCH($B$1,Database!$A$1:$C$1,),)=0,#N/A,VLOOKUP(Table7[[#This Row],[Date]],Database!$A:$C,MATCH($B$1,Database!$A$1:$C$1,),))</f>
        <v/>
      </c>
      <c r="C2670">
        <f>IF(VLOOKUP(Table7[[#This Row],[Date]],Database!$A:$C,MATCH($C$1,Database!$A$1:$C$1,),)=0,#N/A,VLOOKUP(Table7[[#This Row],[Date]],Database!$A:$C,MATCH($C$1,Database!$A$1:$C$1,),))</f>
        <v/>
      </c>
      <c r="D2670">
        <f>IFERROR(Table7[[#This Row],[United States 10y]]-Table7[[#This Row],[United States 3y]],#N/A)</f>
        <v/>
      </c>
    </row>
    <row r="2671">
      <c r="A2671" s="6">
        <f>Database!$A4756</f>
        <v/>
      </c>
      <c r="B2671">
        <f>IF(VLOOKUP(Table7[[#This Row],[Date]],Database!$A:$C,MATCH($B$1,Database!$A$1:$C$1,),)=0,#N/A,VLOOKUP(Table7[[#This Row],[Date]],Database!$A:$C,MATCH($B$1,Database!$A$1:$C$1,),))</f>
        <v/>
      </c>
      <c r="C2671">
        <f>IF(VLOOKUP(Table7[[#This Row],[Date]],Database!$A:$C,MATCH($C$1,Database!$A$1:$C$1,),)=0,#N/A,VLOOKUP(Table7[[#This Row],[Date]],Database!$A:$C,MATCH($C$1,Database!$A$1:$C$1,),))</f>
        <v/>
      </c>
      <c r="D2671">
        <f>IFERROR(Table7[[#This Row],[United States 10y]]-Table7[[#This Row],[United States 3y]],#N/A)</f>
        <v/>
      </c>
    </row>
    <row r="2672">
      <c r="A2672" s="6">
        <f>Database!$A4757</f>
        <v/>
      </c>
      <c r="B2672">
        <f>IF(VLOOKUP(Table7[[#This Row],[Date]],Database!$A:$C,MATCH($B$1,Database!$A$1:$C$1,),)=0,#N/A,VLOOKUP(Table7[[#This Row],[Date]],Database!$A:$C,MATCH($B$1,Database!$A$1:$C$1,),))</f>
        <v/>
      </c>
      <c r="C2672">
        <f>IF(VLOOKUP(Table7[[#This Row],[Date]],Database!$A:$C,MATCH($C$1,Database!$A$1:$C$1,),)=0,#N/A,VLOOKUP(Table7[[#This Row],[Date]],Database!$A:$C,MATCH($C$1,Database!$A$1:$C$1,),))</f>
        <v/>
      </c>
      <c r="D2672">
        <f>IFERROR(Table7[[#This Row],[United States 10y]]-Table7[[#This Row],[United States 3y]],#N/A)</f>
        <v/>
      </c>
    </row>
    <row r="2673">
      <c r="A2673" s="6">
        <f>Database!$A4758</f>
        <v/>
      </c>
      <c r="B2673">
        <f>IF(VLOOKUP(Table7[[#This Row],[Date]],Database!$A:$C,MATCH($B$1,Database!$A$1:$C$1,),)=0,#N/A,VLOOKUP(Table7[[#This Row],[Date]],Database!$A:$C,MATCH($B$1,Database!$A$1:$C$1,),))</f>
        <v/>
      </c>
      <c r="C2673">
        <f>IF(VLOOKUP(Table7[[#This Row],[Date]],Database!$A:$C,MATCH($C$1,Database!$A$1:$C$1,),)=0,#N/A,VLOOKUP(Table7[[#This Row],[Date]],Database!$A:$C,MATCH($C$1,Database!$A$1:$C$1,),))</f>
        <v/>
      </c>
      <c r="D2673">
        <f>IFERROR(Table7[[#This Row],[United States 10y]]-Table7[[#This Row],[United States 3y]],#N/A)</f>
        <v/>
      </c>
    </row>
    <row r="2674">
      <c r="A2674" s="6">
        <f>Database!$A4759</f>
        <v/>
      </c>
      <c r="B2674">
        <f>IF(VLOOKUP(Table7[[#This Row],[Date]],Database!$A:$C,MATCH($B$1,Database!$A$1:$C$1,),)=0,#N/A,VLOOKUP(Table7[[#This Row],[Date]],Database!$A:$C,MATCH($B$1,Database!$A$1:$C$1,),))</f>
        <v/>
      </c>
      <c r="C2674">
        <f>IF(VLOOKUP(Table7[[#This Row],[Date]],Database!$A:$C,MATCH($C$1,Database!$A$1:$C$1,),)=0,#N/A,VLOOKUP(Table7[[#This Row],[Date]],Database!$A:$C,MATCH($C$1,Database!$A$1:$C$1,),))</f>
        <v/>
      </c>
      <c r="D2674">
        <f>IFERROR(Table7[[#This Row],[United States 10y]]-Table7[[#This Row],[United States 3y]],#N/A)</f>
        <v/>
      </c>
    </row>
    <row r="2675">
      <c r="A2675" s="6">
        <f>Database!$A4760</f>
        <v/>
      </c>
      <c r="B2675">
        <f>IF(VLOOKUP(Table7[[#This Row],[Date]],Database!$A:$C,MATCH($B$1,Database!$A$1:$C$1,),)=0,#N/A,VLOOKUP(Table7[[#This Row],[Date]],Database!$A:$C,MATCH($B$1,Database!$A$1:$C$1,),))</f>
        <v/>
      </c>
      <c r="C2675">
        <f>IF(VLOOKUP(Table7[[#This Row],[Date]],Database!$A:$C,MATCH($C$1,Database!$A$1:$C$1,),)=0,#N/A,VLOOKUP(Table7[[#This Row],[Date]],Database!$A:$C,MATCH($C$1,Database!$A$1:$C$1,),))</f>
        <v/>
      </c>
      <c r="D2675">
        <f>IFERROR(Table7[[#This Row],[United States 10y]]-Table7[[#This Row],[United States 3y]],#N/A)</f>
        <v/>
      </c>
    </row>
    <row r="2676">
      <c r="A2676" s="6">
        <f>Database!$A4761</f>
        <v/>
      </c>
      <c r="B2676">
        <f>IF(VLOOKUP(Table7[[#This Row],[Date]],Database!$A:$C,MATCH($B$1,Database!$A$1:$C$1,),)=0,#N/A,VLOOKUP(Table7[[#This Row],[Date]],Database!$A:$C,MATCH($B$1,Database!$A$1:$C$1,),))</f>
        <v/>
      </c>
      <c r="C2676">
        <f>IF(VLOOKUP(Table7[[#This Row],[Date]],Database!$A:$C,MATCH($C$1,Database!$A$1:$C$1,),)=0,#N/A,VLOOKUP(Table7[[#This Row],[Date]],Database!$A:$C,MATCH($C$1,Database!$A$1:$C$1,),))</f>
        <v/>
      </c>
      <c r="D2676">
        <f>IFERROR(Table7[[#This Row],[United States 10y]]-Table7[[#This Row],[United States 3y]],#N/A)</f>
        <v/>
      </c>
    </row>
    <row r="2677">
      <c r="A2677" s="6">
        <f>Database!$A4762</f>
        <v/>
      </c>
      <c r="B2677">
        <f>IF(VLOOKUP(Table7[[#This Row],[Date]],Database!$A:$C,MATCH($B$1,Database!$A$1:$C$1,),)=0,#N/A,VLOOKUP(Table7[[#This Row],[Date]],Database!$A:$C,MATCH($B$1,Database!$A$1:$C$1,),))</f>
        <v/>
      </c>
      <c r="C2677">
        <f>IF(VLOOKUP(Table7[[#This Row],[Date]],Database!$A:$C,MATCH($C$1,Database!$A$1:$C$1,),)=0,#N/A,VLOOKUP(Table7[[#This Row],[Date]],Database!$A:$C,MATCH($C$1,Database!$A$1:$C$1,),))</f>
        <v/>
      </c>
      <c r="D2677">
        <f>IFERROR(Table7[[#This Row],[United States 10y]]-Table7[[#This Row],[United States 3y]],#N/A)</f>
        <v/>
      </c>
    </row>
    <row r="2678">
      <c r="A2678" s="6">
        <f>Database!$A4763</f>
        <v/>
      </c>
      <c r="B2678">
        <f>IF(VLOOKUP(Table7[[#This Row],[Date]],Database!$A:$C,MATCH($B$1,Database!$A$1:$C$1,),)=0,#N/A,VLOOKUP(Table7[[#This Row],[Date]],Database!$A:$C,MATCH($B$1,Database!$A$1:$C$1,),))</f>
        <v/>
      </c>
      <c r="C2678">
        <f>IF(VLOOKUP(Table7[[#This Row],[Date]],Database!$A:$C,MATCH($C$1,Database!$A$1:$C$1,),)=0,#N/A,VLOOKUP(Table7[[#This Row],[Date]],Database!$A:$C,MATCH($C$1,Database!$A$1:$C$1,),))</f>
        <v/>
      </c>
      <c r="D2678">
        <f>IFERROR(Table7[[#This Row],[United States 10y]]-Table7[[#This Row],[United States 3y]],#N/A)</f>
        <v/>
      </c>
    </row>
    <row r="2679">
      <c r="A2679" s="6">
        <f>Database!$A4764</f>
        <v/>
      </c>
      <c r="B2679">
        <f>IF(VLOOKUP(Table7[[#This Row],[Date]],Database!$A:$C,MATCH($B$1,Database!$A$1:$C$1,),)=0,#N/A,VLOOKUP(Table7[[#This Row],[Date]],Database!$A:$C,MATCH($B$1,Database!$A$1:$C$1,),))</f>
        <v/>
      </c>
      <c r="C2679">
        <f>IF(VLOOKUP(Table7[[#This Row],[Date]],Database!$A:$C,MATCH($C$1,Database!$A$1:$C$1,),)=0,#N/A,VLOOKUP(Table7[[#This Row],[Date]],Database!$A:$C,MATCH($C$1,Database!$A$1:$C$1,),))</f>
        <v/>
      </c>
      <c r="D2679">
        <f>IFERROR(Table7[[#This Row],[United States 10y]]-Table7[[#This Row],[United States 3y]],#N/A)</f>
        <v/>
      </c>
    </row>
    <row r="2680">
      <c r="A2680" s="6">
        <f>Database!$A4765</f>
        <v/>
      </c>
      <c r="B2680">
        <f>IF(VLOOKUP(Table7[[#This Row],[Date]],Database!$A:$C,MATCH($B$1,Database!$A$1:$C$1,),)=0,#N/A,VLOOKUP(Table7[[#This Row],[Date]],Database!$A:$C,MATCH($B$1,Database!$A$1:$C$1,),))</f>
        <v/>
      </c>
      <c r="C2680">
        <f>IF(VLOOKUP(Table7[[#This Row],[Date]],Database!$A:$C,MATCH($C$1,Database!$A$1:$C$1,),)=0,#N/A,VLOOKUP(Table7[[#This Row],[Date]],Database!$A:$C,MATCH($C$1,Database!$A$1:$C$1,),))</f>
        <v/>
      </c>
      <c r="D2680">
        <f>IFERROR(Table7[[#This Row],[United States 10y]]-Table7[[#This Row],[United States 3y]],#N/A)</f>
        <v/>
      </c>
    </row>
    <row r="2681">
      <c r="A2681" s="6">
        <f>Database!$A4766</f>
        <v/>
      </c>
      <c r="B2681">
        <f>IF(VLOOKUP(Table7[[#This Row],[Date]],Database!$A:$C,MATCH($B$1,Database!$A$1:$C$1,),)=0,#N/A,VLOOKUP(Table7[[#This Row],[Date]],Database!$A:$C,MATCH($B$1,Database!$A$1:$C$1,),))</f>
        <v/>
      </c>
      <c r="C2681">
        <f>IF(VLOOKUP(Table7[[#This Row],[Date]],Database!$A:$C,MATCH($C$1,Database!$A$1:$C$1,),)=0,#N/A,VLOOKUP(Table7[[#This Row],[Date]],Database!$A:$C,MATCH($C$1,Database!$A$1:$C$1,),))</f>
        <v/>
      </c>
      <c r="D2681">
        <f>IFERROR(Table7[[#This Row],[United States 10y]]-Table7[[#This Row],[United States 3y]],#N/A)</f>
        <v/>
      </c>
    </row>
    <row r="2682">
      <c r="A2682" s="6">
        <f>Database!$A4767</f>
        <v/>
      </c>
      <c r="B2682">
        <f>IF(VLOOKUP(Table7[[#This Row],[Date]],Database!$A:$C,MATCH($B$1,Database!$A$1:$C$1,),)=0,#N/A,VLOOKUP(Table7[[#This Row],[Date]],Database!$A:$C,MATCH($B$1,Database!$A$1:$C$1,),))</f>
        <v/>
      </c>
      <c r="C2682">
        <f>IF(VLOOKUP(Table7[[#This Row],[Date]],Database!$A:$C,MATCH($C$1,Database!$A$1:$C$1,),)=0,#N/A,VLOOKUP(Table7[[#This Row],[Date]],Database!$A:$C,MATCH($C$1,Database!$A$1:$C$1,),))</f>
        <v/>
      </c>
      <c r="D2682">
        <f>IFERROR(Table7[[#This Row],[United States 10y]]-Table7[[#This Row],[United States 3y]],#N/A)</f>
        <v/>
      </c>
    </row>
    <row r="2683">
      <c r="A2683" s="6">
        <f>Database!$A4768</f>
        <v/>
      </c>
      <c r="B2683">
        <f>IF(VLOOKUP(Table7[[#This Row],[Date]],Database!$A:$C,MATCH($B$1,Database!$A$1:$C$1,),)=0,#N/A,VLOOKUP(Table7[[#This Row],[Date]],Database!$A:$C,MATCH($B$1,Database!$A$1:$C$1,),))</f>
        <v/>
      </c>
      <c r="C2683">
        <f>IF(VLOOKUP(Table7[[#This Row],[Date]],Database!$A:$C,MATCH($C$1,Database!$A$1:$C$1,),)=0,#N/A,VLOOKUP(Table7[[#This Row],[Date]],Database!$A:$C,MATCH($C$1,Database!$A$1:$C$1,),))</f>
        <v/>
      </c>
      <c r="D2683">
        <f>IFERROR(Table7[[#This Row],[United States 10y]]-Table7[[#This Row],[United States 3y]],#N/A)</f>
        <v/>
      </c>
    </row>
    <row r="2684">
      <c r="A2684" s="6">
        <f>Database!$A4769</f>
        <v/>
      </c>
      <c r="B2684">
        <f>IF(VLOOKUP(Table7[[#This Row],[Date]],Database!$A:$C,MATCH($B$1,Database!$A$1:$C$1,),)=0,#N/A,VLOOKUP(Table7[[#This Row],[Date]],Database!$A:$C,MATCH($B$1,Database!$A$1:$C$1,),))</f>
        <v/>
      </c>
      <c r="C2684">
        <f>IF(VLOOKUP(Table7[[#This Row],[Date]],Database!$A:$C,MATCH($C$1,Database!$A$1:$C$1,),)=0,#N/A,VLOOKUP(Table7[[#This Row],[Date]],Database!$A:$C,MATCH($C$1,Database!$A$1:$C$1,),))</f>
        <v/>
      </c>
      <c r="D2684">
        <f>IFERROR(Table7[[#This Row],[United States 10y]]-Table7[[#This Row],[United States 3y]],#N/A)</f>
        <v/>
      </c>
    </row>
    <row r="2685">
      <c r="A2685" s="6">
        <f>Database!$A4770</f>
        <v/>
      </c>
      <c r="B2685">
        <f>IF(VLOOKUP(Table7[[#This Row],[Date]],Database!$A:$C,MATCH($B$1,Database!$A$1:$C$1,),)=0,#N/A,VLOOKUP(Table7[[#This Row],[Date]],Database!$A:$C,MATCH($B$1,Database!$A$1:$C$1,),))</f>
        <v/>
      </c>
      <c r="C2685">
        <f>IF(VLOOKUP(Table7[[#This Row],[Date]],Database!$A:$C,MATCH($C$1,Database!$A$1:$C$1,),)=0,#N/A,VLOOKUP(Table7[[#This Row],[Date]],Database!$A:$C,MATCH($C$1,Database!$A$1:$C$1,),))</f>
        <v/>
      </c>
      <c r="D2685">
        <f>IFERROR(Table7[[#This Row],[United States 10y]]-Table7[[#This Row],[United States 3y]],#N/A)</f>
        <v/>
      </c>
    </row>
    <row r="2686">
      <c r="A2686" s="6">
        <f>Database!$A4771</f>
        <v/>
      </c>
      <c r="B2686">
        <f>IF(VLOOKUP(Table7[[#This Row],[Date]],Database!$A:$C,MATCH($B$1,Database!$A$1:$C$1,),)=0,#N/A,VLOOKUP(Table7[[#This Row],[Date]],Database!$A:$C,MATCH($B$1,Database!$A$1:$C$1,),))</f>
        <v/>
      </c>
      <c r="C2686">
        <f>IF(VLOOKUP(Table7[[#This Row],[Date]],Database!$A:$C,MATCH($C$1,Database!$A$1:$C$1,),)=0,#N/A,VLOOKUP(Table7[[#This Row],[Date]],Database!$A:$C,MATCH($C$1,Database!$A$1:$C$1,),))</f>
        <v/>
      </c>
      <c r="D2686">
        <f>IFERROR(Table7[[#This Row],[United States 10y]]-Table7[[#This Row],[United States 3y]],#N/A)</f>
        <v/>
      </c>
    </row>
    <row r="2687">
      <c r="A2687" s="6">
        <f>Database!$A4772</f>
        <v/>
      </c>
      <c r="B2687">
        <f>IF(VLOOKUP(Table7[[#This Row],[Date]],Database!$A:$C,MATCH($B$1,Database!$A$1:$C$1,),)=0,#N/A,VLOOKUP(Table7[[#This Row],[Date]],Database!$A:$C,MATCH($B$1,Database!$A$1:$C$1,),))</f>
        <v/>
      </c>
      <c r="C2687">
        <f>IF(VLOOKUP(Table7[[#This Row],[Date]],Database!$A:$C,MATCH($C$1,Database!$A$1:$C$1,),)=0,#N/A,VLOOKUP(Table7[[#This Row],[Date]],Database!$A:$C,MATCH($C$1,Database!$A$1:$C$1,),))</f>
        <v/>
      </c>
      <c r="D2687">
        <f>IFERROR(Table7[[#This Row],[United States 10y]]-Table7[[#This Row],[United States 3y]],#N/A)</f>
        <v/>
      </c>
    </row>
    <row r="2688">
      <c r="A2688" s="6">
        <f>Database!$A4773</f>
        <v/>
      </c>
      <c r="B2688">
        <f>IF(VLOOKUP(Table7[[#This Row],[Date]],Database!$A:$C,MATCH($B$1,Database!$A$1:$C$1,),)=0,#N/A,VLOOKUP(Table7[[#This Row],[Date]],Database!$A:$C,MATCH($B$1,Database!$A$1:$C$1,),))</f>
        <v/>
      </c>
      <c r="C2688">
        <f>IF(VLOOKUP(Table7[[#This Row],[Date]],Database!$A:$C,MATCH($C$1,Database!$A$1:$C$1,),)=0,#N/A,VLOOKUP(Table7[[#This Row],[Date]],Database!$A:$C,MATCH($C$1,Database!$A$1:$C$1,),))</f>
        <v/>
      </c>
      <c r="D2688">
        <f>IFERROR(Table7[[#This Row],[United States 10y]]-Table7[[#This Row],[United States 3y]],#N/A)</f>
        <v/>
      </c>
    </row>
    <row r="2689">
      <c r="A2689" s="6">
        <f>Database!$A4774</f>
        <v/>
      </c>
      <c r="B2689">
        <f>IF(VLOOKUP(Table7[[#This Row],[Date]],Database!$A:$C,MATCH($B$1,Database!$A$1:$C$1,),)=0,#N/A,VLOOKUP(Table7[[#This Row],[Date]],Database!$A:$C,MATCH($B$1,Database!$A$1:$C$1,),))</f>
        <v/>
      </c>
      <c r="C2689">
        <f>IF(VLOOKUP(Table7[[#This Row],[Date]],Database!$A:$C,MATCH($C$1,Database!$A$1:$C$1,),)=0,#N/A,VLOOKUP(Table7[[#This Row],[Date]],Database!$A:$C,MATCH($C$1,Database!$A$1:$C$1,),))</f>
        <v/>
      </c>
      <c r="D2689">
        <f>IFERROR(Table7[[#This Row],[United States 10y]]-Table7[[#This Row],[United States 3y]],#N/A)</f>
        <v/>
      </c>
    </row>
    <row r="2690">
      <c r="A2690" s="6">
        <f>Database!$A4775</f>
        <v/>
      </c>
      <c r="B2690">
        <f>IF(VLOOKUP(Table7[[#This Row],[Date]],Database!$A:$C,MATCH($B$1,Database!$A$1:$C$1,),)=0,#N/A,VLOOKUP(Table7[[#This Row],[Date]],Database!$A:$C,MATCH($B$1,Database!$A$1:$C$1,),))</f>
        <v/>
      </c>
      <c r="C2690">
        <f>IF(VLOOKUP(Table7[[#This Row],[Date]],Database!$A:$C,MATCH($C$1,Database!$A$1:$C$1,),)=0,#N/A,VLOOKUP(Table7[[#This Row],[Date]],Database!$A:$C,MATCH($C$1,Database!$A$1:$C$1,),))</f>
        <v/>
      </c>
      <c r="D2690">
        <f>IFERROR(Table7[[#This Row],[United States 10y]]-Table7[[#This Row],[United States 3y]],#N/A)</f>
        <v/>
      </c>
    </row>
    <row r="2691">
      <c r="A2691" s="6">
        <f>Database!$A4776</f>
        <v/>
      </c>
      <c r="B2691">
        <f>IF(VLOOKUP(Table7[[#This Row],[Date]],Database!$A:$C,MATCH($B$1,Database!$A$1:$C$1,),)=0,#N/A,VLOOKUP(Table7[[#This Row],[Date]],Database!$A:$C,MATCH($B$1,Database!$A$1:$C$1,),))</f>
        <v/>
      </c>
      <c r="C2691">
        <f>IF(VLOOKUP(Table7[[#This Row],[Date]],Database!$A:$C,MATCH($C$1,Database!$A$1:$C$1,),)=0,#N/A,VLOOKUP(Table7[[#This Row],[Date]],Database!$A:$C,MATCH($C$1,Database!$A$1:$C$1,),))</f>
        <v/>
      </c>
      <c r="D2691">
        <f>IFERROR(Table7[[#This Row],[United States 10y]]-Table7[[#This Row],[United States 3y]],#N/A)</f>
        <v/>
      </c>
    </row>
    <row r="2692">
      <c r="A2692" s="6">
        <f>Database!$A4777</f>
        <v/>
      </c>
      <c r="B2692">
        <f>IF(VLOOKUP(Table7[[#This Row],[Date]],Database!$A:$C,MATCH($B$1,Database!$A$1:$C$1,),)=0,#N/A,VLOOKUP(Table7[[#This Row],[Date]],Database!$A:$C,MATCH($B$1,Database!$A$1:$C$1,),))</f>
        <v/>
      </c>
      <c r="C2692">
        <f>IF(VLOOKUP(Table7[[#This Row],[Date]],Database!$A:$C,MATCH($C$1,Database!$A$1:$C$1,),)=0,#N/A,VLOOKUP(Table7[[#This Row],[Date]],Database!$A:$C,MATCH($C$1,Database!$A$1:$C$1,),))</f>
        <v/>
      </c>
      <c r="D2692">
        <f>IFERROR(Table7[[#This Row],[United States 10y]]-Table7[[#This Row],[United States 3y]],#N/A)</f>
        <v/>
      </c>
    </row>
    <row r="2693">
      <c r="A2693" s="6">
        <f>Database!$A4778</f>
        <v/>
      </c>
      <c r="B2693">
        <f>IF(VLOOKUP(Table7[[#This Row],[Date]],Database!$A:$C,MATCH($B$1,Database!$A$1:$C$1,),)=0,#N/A,VLOOKUP(Table7[[#This Row],[Date]],Database!$A:$C,MATCH($B$1,Database!$A$1:$C$1,),))</f>
        <v/>
      </c>
      <c r="C2693">
        <f>IF(VLOOKUP(Table7[[#This Row],[Date]],Database!$A:$C,MATCH($C$1,Database!$A$1:$C$1,),)=0,#N/A,VLOOKUP(Table7[[#This Row],[Date]],Database!$A:$C,MATCH($C$1,Database!$A$1:$C$1,),))</f>
        <v/>
      </c>
      <c r="D2693">
        <f>IFERROR(Table7[[#This Row],[United States 10y]]-Table7[[#This Row],[United States 3y]],#N/A)</f>
        <v/>
      </c>
    </row>
    <row r="2694">
      <c r="A2694" s="6">
        <f>Database!$A4779</f>
        <v/>
      </c>
      <c r="B2694">
        <f>IF(VLOOKUP(Table7[[#This Row],[Date]],Database!$A:$C,MATCH($B$1,Database!$A$1:$C$1,),)=0,#N/A,VLOOKUP(Table7[[#This Row],[Date]],Database!$A:$C,MATCH($B$1,Database!$A$1:$C$1,),))</f>
        <v/>
      </c>
      <c r="C2694">
        <f>IF(VLOOKUP(Table7[[#This Row],[Date]],Database!$A:$C,MATCH($C$1,Database!$A$1:$C$1,),)=0,#N/A,VLOOKUP(Table7[[#This Row],[Date]],Database!$A:$C,MATCH($C$1,Database!$A$1:$C$1,),))</f>
        <v/>
      </c>
      <c r="D2694">
        <f>IFERROR(Table7[[#This Row],[United States 10y]]-Table7[[#This Row],[United States 3y]],#N/A)</f>
        <v/>
      </c>
    </row>
    <row r="2695">
      <c r="A2695" s="6">
        <f>Database!$A4780</f>
        <v/>
      </c>
      <c r="B2695">
        <f>IF(VLOOKUP(Table7[[#This Row],[Date]],Database!$A:$C,MATCH($B$1,Database!$A$1:$C$1,),)=0,#N/A,VLOOKUP(Table7[[#This Row],[Date]],Database!$A:$C,MATCH($B$1,Database!$A$1:$C$1,),))</f>
        <v/>
      </c>
      <c r="C2695">
        <f>IF(VLOOKUP(Table7[[#This Row],[Date]],Database!$A:$C,MATCH($C$1,Database!$A$1:$C$1,),)=0,#N/A,VLOOKUP(Table7[[#This Row],[Date]],Database!$A:$C,MATCH($C$1,Database!$A$1:$C$1,),))</f>
        <v/>
      </c>
      <c r="D2695">
        <f>IFERROR(Table7[[#This Row],[United States 10y]]-Table7[[#This Row],[United States 3y]],#N/A)</f>
        <v/>
      </c>
    </row>
    <row r="2696">
      <c r="A2696" s="6">
        <f>Database!$A4781</f>
        <v/>
      </c>
      <c r="B2696">
        <f>IF(VLOOKUP(Table7[[#This Row],[Date]],Database!$A:$C,MATCH($B$1,Database!$A$1:$C$1,),)=0,#N/A,VLOOKUP(Table7[[#This Row],[Date]],Database!$A:$C,MATCH($B$1,Database!$A$1:$C$1,),))</f>
        <v/>
      </c>
      <c r="C2696">
        <f>IF(VLOOKUP(Table7[[#This Row],[Date]],Database!$A:$C,MATCH($C$1,Database!$A$1:$C$1,),)=0,#N/A,VLOOKUP(Table7[[#This Row],[Date]],Database!$A:$C,MATCH($C$1,Database!$A$1:$C$1,),))</f>
        <v/>
      </c>
      <c r="D2696">
        <f>IFERROR(Table7[[#This Row],[United States 10y]]-Table7[[#This Row],[United States 3y]],#N/A)</f>
        <v/>
      </c>
    </row>
    <row r="2697">
      <c r="A2697" s="6">
        <f>Database!$A4782</f>
        <v/>
      </c>
      <c r="B2697">
        <f>IF(VLOOKUP(Table7[[#This Row],[Date]],Database!$A:$C,MATCH($B$1,Database!$A$1:$C$1,),)=0,#N/A,VLOOKUP(Table7[[#This Row],[Date]],Database!$A:$C,MATCH($B$1,Database!$A$1:$C$1,),))</f>
        <v/>
      </c>
      <c r="C2697">
        <f>IF(VLOOKUP(Table7[[#This Row],[Date]],Database!$A:$C,MATCH($C$1,Database!$A$1:$C$1,),)=0,#N/A,VLOOKUP(Table7[[#This Row],[Date]],Database!$A:$C,MATCH($C$1,Database!$A$1:$C$1,),))</f>
        <v/>
      </c>
      <c r="D2697">
        <f>IFERROR(Table7[[#This Row],[United States 10y]]-Table7[[#This Row],[United States 3y]],#N/A)</f>
        <v/>
      </c>
    </row>
    <row r="2698">
      <c r="A2698" s="6">
        <f>Database!$A4783</f>
        <v/>
      </c>
      <c r="B2698">
        <f>IF(VLOOKUP(Table7[[#This Row],[Date]],Database!$A:$C,MATCH($B$1,Database!$A$1:$C$1,),)=0,#N/A,VLOOKUP(Table7[[#This Row],[Date]],Database!$A:$C,MATCH($B$1,Database!$A$1:$C$1,),))</f>
        <v/>
      </c>
      <c r="C2698">
        <f>IF(VLOOKUP(Table7[[#This Row],[Date]],Database!$A:$C,MATCH($C$1,Database!$A$1:$C$1,),)=0,#N/A,VLOOKUP(Table7[[#This Row],[Date]],Database!$A:$C,MATCH($C$1,Database!$A$1:$C$1,),))</f>
        <v/>
      </c>
      <c r="D2698">
        <f>IFERROR(Table7[[#This Row],[United States 10y]]-Table7[[#This Row],[United States 3y]],#N/A)</f>
        <v/>
      </c>
    </row>
    <row r="2699">
      <c r="A2699" s="6">
        <f>Database!$A4784</f>
        <v/>
      </c>
      <c r="B2699">
        <f>IF(VLOOKUP(Table7[[#This Row],[Date]],Database!$A:$C,MATCH($B$1,Database!$A$1:$C$1,),)=0,#N/A,VLOOKUP(Table7[[#This Row],[Date]],Database!$A:$C,MATCH($B$1,Database!$A$1:$C$1,),))</f>
        <v/>
      </c>
      <c r="C2699">
        <f>IF(VLOOKUP(Table7[[#This Row],[Date]],Database!$A:$C,MATCH($C$1,Database!$A$1:$C$1,),)=0,#N/A,VLOOKUP(Table7[[#This Row],[Date]],Database!$A:$C,MATCH($C$1,Database!$A$1:$C$1,),))</f>
        <v/>
      </c>
      <c r="D2699">
        <f>IFERROR(Table7[[#This Row],[United States 10y]]-Table7[[#This Row],[United States 3y]],#N/A)</f>
        <v/>
      </c>
    </row>
    <row r="2700">
      <c r="A2700" s="6">
        <f>Database!$A4785</f>
        <v/>
      </c>
      <c r="B2700">
        <f>IF(VLOOKUP(Table7[[#This Row],[Date]],Database!$A:$C,MATCH($B$1,Database!$A$1:$C$1,),)=0,#N/A,VLOOKUP(Table7[[#This Row],[Date]],Database!$A:$C,MATCH($B$1,Database!$A$1:$C$1,),))</f>
        <v/>
      </c>
      <c r="C2700">
        <f>IF(VLOOKUP(Table7[[#This Row],[Date]],Database!$A:$C,MATCH($C$1,Database!$A$1:$C$1,),)=0,#N/A,VLOOKUP(Table7[[#This Row],[Date]],Database!$A:$C,MATCH($C$1,Database!$A$1:$C$1,),))</f>
        <v/>
      </c>
      <c r="D2700">
        <f>IFERROR(Table7[[#This Row],[United States 10y]]-Table7[[#This Row],[United States 3y]],#N/A)</f>
        <v/>
      </c>
    </row>
    <row r="2701">
      <c r="A2701" s="6">
        <f>Database!$A4786</f>
        <v/>
      </c>
      <c r="B2701">
        <f>IF(VLOOKUP(Table7[[#This Row],[Date]],Database!$A:$C,MATCH($B$1,Database!$A$1:$C$1,),)=0,#N/A,VLOOKUP(Table7[[#This Row],[Date]],Database!$A:$C,MATCH($B$1,Database!$A$1:$C$1,),))</f>
        <v/>
      </c>
      <c r="C2701">
        <f>IF(VLOOKUP(Table7[[#This Row],[Date]],Database!$A:$C,MATCH($C$1,Database!$A$1:$C$1,),)=0,#N/A,VLOOKUP(Table7[[#This Row],[Date]],Database!$A:$C,MATCH($C$1,Database!$A$1:$C$1,),))</f>
        <v/>
      </c>
      <c r="D2701">
        <f>IFERROR(Table7[[#This Row],[United States 10y]]-Table7[[#This Row],[United States 3y]],#N/A)</f>
        <v/>
      </c>
    </row>
    <row r="2702">
      <c r="A2702" s="6">
        <f>Database!$A4787</f>
        <v/>
      </c>
      <c r="B2702">
        <f>IF(VLOOKUP(Table7[[#This Row],[Date]],Database!$A:$C,MATCH($B$1,Database!$A$1:$C$1,),)=0,#N/A,VLOOKUP(Table7[[#This Row],[Date]],Database!$A:$C,MATCH($B$1,Database!$A$1:$C$1,),))</f>
        <v/>
      </c>
      <c r="C2702">
        <f>IF(VLOOKUP(Table7[[#This Row],[Date]],Database!$A:$C,MATCH($C$1,Database!$A$1:$C$1,),)=0,#N/A,VLOOKUP(Table7[[#This Row],[Date]],Database!$A:$C,MATCH($C$1,Database!$A$1:$C$1,),))</f>
        <v/>
      </c>
      <c r="D2702">
        <f>IFERROR(Table7[[#This Row],[United States 10y]]-Table7[[#This Row],[United States 3y]],#N/A)</f>
        <v/>
      </c>
    </row>
    <row r="2703">
      <c r="A2703" s="6">
        <f>Database!$A4788</f>
        <v/>
      </c>
      <c r="B2703">
        <f>IF(VLOOKUP(Table7[[#This Row],[Date]],Database!$A:$C,MATCH($B$1,Database!$A$1:$C$1,),)=0,#N/A,VLOOKUP(Table7[[#This Row],[Date]],Database!$A:$C,MATCH($B$1,Database!$A$1:$C$1,),))</f>
        <v/>
      </c>
      <c r="C2703">
        <f>IF(VLOOKUP(Table7[[#This Row],[Date]],Database!$A:$C,MATCH($C$1,Database!$A$1:$C$1,),)=0,#N/A,VLOOKUP(Table7[[#This Row],[Date]],Database!$A:$C,MATCH($C$1,Database!$A$1:$C$1,),))</f>
        <v/>
      </c>
      <c r="D2703">
        <f>IFERROR(Table7[[#This Row],[United States 10y]]-Table7[[#This Row],[United States 3y]],#N/A)</f>
        <v/>
      </c>
    </row>
    <row r="2704">
      <c r="A2704" s="6">
        <f>Database!$A4789</f>
        <v/>
      </c>
      <c r="B2704">
        <f>IF(VLOOKUP(Table7[[#This Row],[Date]],Database!$A:$C,MATCH($B$1,Database!$A$1:$C$1,),)=0,#N/A,VLOOKUP(Table7[[#This Row],[Date]],Database!$A:$C,MATCH($B$1,Database!$A$1:$C$1,),))</f>
        <v/>
      </c>
      <c r="C2704">
        <f>IF(VLOOKUP(Table7[[#This Row],[Date]],Database!$A:$C,MATCH($C$1,Database!$A$1:$C$1,),)=0,#N/A,VLOOKUP(Table7[[#This Row],[Date]],Database!$A:$C,MATCH($C$1,Database!$A$1:$C$1,),))</f>
        <v/>
      </c>
      <c r="D2704">
        <f>IFERROR(Table7[[#This Row],[United States 10y]]-Table7[[#This Row],[United States 3y]],#N/A)</f>
        <v/>
      </c>
    </row>
    <row r="2705">
      <c r="A2705" s="6">
        <f>Database!$A4790</f>
        <v/>
      </c>
      <c r="B2705">
        <f>IF(VLOOKUP(Table7[[#This Row],[Date]],Database!$A:$C,MATCH($B$1,Database!$A$1:$C$1,),)=0,#N/A,VLOOKUP(Table7[[#This Row],[Date]],Database!$A:$C,MATCH($B$1,Database!$A$1:$C$1,),))</f>
        <v/>
      </c>
      <c r="C2705">
        <f>IF(VLOOKUP(Table7[[#This Row],[Date]],Database!$A:$C,MATCH($C$1,Database!$A$1:$C$1,),)=0,#N/A,VLOOKUP(Table7[[#This Row],[Date]],Database!$A:$C,MATCH($C$1,Database!$A$1:$C$1,),))</f>
        <v/>
      </c>
      <c r="D2705">
        <f>IFERROR(Table7[[#This Row],[United States 10y]]-Table7[[#This Row],[United States 3y]],#N/A)</f>
        <v/>
      </c>
    </row>
    <row r="2706">
      <c r="A2706" s="6">
        <f>Database!$A4791</f>
        <v/>
      </c>
      <c r="B2706">
        <f>IF(VLOOKUP(Table7[[#This Row],[Date]],Database!$A:$C,MATCH($B$1,Database!$A$1:$C$1,),)=0,#N/A,VLOOKUP(Table7[[#This Row],[Date]],Database!$A:$C,MATCH($B$1,Database!$A$1:$C$1,),))</f>
        <v/>
      </c>
      <c r="C2706">
        <f>IF(VLOOKUP(Table7[[#This Row],[Date]],Database!$A:$C,MATCH($C$1,Database!$A$1:$C$1,),)=0,#N/A,VLOOKUP(Table7[[#This Row],[Date]],Database!$A:$C,MATCH($C$1,Database!$A$1:$C$1,),))</f>
        <v/>
      </c>
      <c r="D2706">
        <f>IFERROR(Table7[[#This Row],[United States 10y]]-Table7[[#This Row],[United States 3y]],#N/A)</f>
        <v/>
      </c>
    </row>
    <row r="2707">
      <c r="A2707" s="6">
        <f>Database!$A4792</f>
        <v/>
      </c>
      <c r="B2707">
        <f>IF(VLOOKUP(Table7[[#This Row],[Date]],Database!$A:$C,MATCH($B$1,Database!$A$1:$C$1,),)=0,#N/A,VLOOKUP(Table7[[#This Row],[Date]],Database!$A:$C,MATCH($B$1,Database!$A$1:$C$1,),))</f>
        <v/>
      </c>
      <c r="C2707">
        <f>IF(VLOOKUP(Table7[[#This Row],[Date]],Database!$A:$C,MATCH($C$1,Database!$A$1:$C$1,),)=0,#N/A,VLOOKUP(Table7[[#This Row],[Date]],Database!$A:$C,MATCH($C$1,Database!$A$1:$C$1,),))</f>
        <v/>
      </c>
      <c r="D2707">
        <f>IFERROR(Table7[[#This Row],[United States 10y]]-Table7[[#This Row],[United States 3y]],#N/A)</f>
        <v/>
      </c>
    </row>
    <row r="2708">
      <c r="A2708" s="6">
        <f>Database!$A4793</f>
        <v/>
      </c>
      <c r="B2708">
        <f>IF(VLOOKUP(Table7[[#This Row],[Date]],Database!$A:$C,MATCH($B$1,Database!$A$1:$C$1,),)=0,#N/A,VLOOKUP(Table7[[#This Row],[Date]],Database!$A:$C,MATCH($B$1,Database!$A$1:$C$1,),))</f>
        <v/>
      </c>
      <c r="C2708">
        <f>IF(VLOOKUP(Table7[[#This Row],[Date]],Database!$A:$C,MATCH($C$1,Database!$A$1:$C$1,),)=0,#N/A,VLOOKUP(Table7[[#This Row],[Date]],Database!$A:$C,MATCH($C$1,Database!$A$1:$C$1,),))</f>
        <v/>
      </c>
      <c r="D2708">
        <f>IFERROR(Table7[[#This Row],[United States 10y]]-Table7[[#This Row],[United States 3y]],#N/A)</f>
        <v/>
      </c>
    </row>
    <row r="2709">
      <c r="A2709" s="6">
        <f>Database!$A4794</f>
        <v/>
      </c>
      <c r="B2709">
        <f>IF(VLOOKUP(Table7[[#This Row],[Date]],Database!$A:$C,MATCH($B$1,Database!$A$1:$C$1,),)=0,#N/A,VLOOKUP(Table7[[#This Row],[Date]],Database!$A:$C,MATCH($B$1,Database!$A$1:$C$1,),))</f>
        <v/>
      </c>
      <c r="C2709">
        <f>IF(VLOOKUP(Table7[[#This Row],[Date]],Database!$A:$C,MATCH($C$1,Database!$A$1:$C$1,),)=0,#N/A,VLOOKUP(Table7[[#This Row],[Date]],Database!$A:$C,MATCH($C$1,Database!$A$1:$C$1,),))</f>
        <v/>
      </c>
      <c r="D2709">
        <f>IFERROR(Table7[[#This Row],[United States 10y]]-Table7[[#This Row],[United States 3y]],#N/A)</f>
        <v/>
      </c>
    </row>
    <row r="2710">
      <c r="A2710" s="6">
        <f>Database!$A4795</f>
        <v/>
      </c>
      <c r="B2710">
        <f>IF(VLOOKUP(Table7[[#This Row],[Date]],Database!$A:$C,MATCH($B$1,Database!$A$1:$C$1,),)=0,#N/A,VLOOKUP(Table7[[#This Row],[Date]],Database!$A:$C,MATCH($B$1,Database!$A$1:$C$1,),))</f>
        <v/>
      </c>
      <c r="C2710">
        <f>IF(VLOOKUP(Table7[[#This Row],[Date]],Database!$A:$C,MATCH($C$1,Database!$A$1:$C$1,),)=0,#N/A,VLOOKUP(Table7[[#This Row],[Date]],Database!$A:$C,MATCH($C$1,Database!$A$1:$C$1,),))</f>
        <v/>
      </c>
      <c r="D2710">
        <f>IFERROR(Table7[[#This Row],[United States 10y]]-Table7[[#This Row],[United States 3y]],#N/A)</f>
        <v/>
      </c>
    </row>
    <row r="2711">
      <c r="A2711" s="6">
        <f>Database!$A4796</f>
        <v/>
      </c>
      <c r="B2711">
        <f>IF(VLOOKUP(Table7[[#This Row],[Date]],Database!$A:$C,MATCH($B$1,Database!$A$1:$C$1,),)=0,#N/A,VLOOKUP(Table7[[#This Row],[Date]],Database!$A:$C,MATCH($B$1,Database!$A$1:$C$1,),))</f>
        <v/>
      </c>
      <c r="C2711">
        <f>IF(VLOOKUP(Table7[[#This Row],[Date]],Database!$A:$C,MATCH($C$1,Database!$A$1:$C$1,),)=0,#N/A,VLOOKUP(Table7[[#This Row],[Date]],Database!$A:$C,MATCH($C$1,Database!$A$1:$C$1,),))</f>
        <v/>
      </c>
      <c r="D2711">
        <f>IFERROR(Table7[[#This Row],[United States 10y]]-Table7[[#This Row],[United States 3y]],#N/A)</f>
        <v/>
      </c>
    </row>
    <row r="2712">
      <c r="A2712" s="6">
        <f>Database!$A4797</f>
        <v/>
      </c>
      <c r="B2712">
        <f>IF(VLOOKUP(Table7[[#This Row],[Date]],Database!$A:$C,MATCH($B$1,Database!$A$1:$C$1,),)=0,#N/A,VLOOKUP(Table7[[#This Row],[Date]],Database!$A:$C,MATCH($B$1,Database!$A$1:$C$1,),))</f>
        <v/>
      </c>
      <c r="C2712">
        <f>IF(VLOOKUP(Table7[[#This Row],[Date]],Database!$A:$C,MATCH($C$1,Database!$A$1:$C$1,),)=0,#N/A,VLOOKUP(Table7[[#This Row],[Date]],Database!$A:$C,MATCH($C$1,Database!$A$1:$C$1,),))</f>
        <v/>
      </c>
      <c r="D2712">
        <f>IFERROR(Table7[[#This Row],[United States 10y]]-Table7[[#This Row],[United States 3y]],#N/A)</f>
        <v/>
      </c>
    </row>
    <row r="2713">
      <c r="A2713" s="6">
        <f>Database!$A4798</f>
        <v/>
      </c>
      <c r="B2713">
        <f>IF(VLOOKUP(Table7[[#This Row],[Date]],Database!$A:$C,MATCH($B$1,Database!$A$1:$C$1,),)=0,#N/A,VLOOKUP(Table7[[#This Row],[Date]],Database!$A:$C,MATCH($B$1,Database!$A$1:$C$1,),))</f>
        <v/>
      </c>
      <c r="C2713">
        <f>IF(VLOOKUP(Table7[[#This Row],[Date]],Database!$A:$C,MATCH($C$1,Database!$A$1:$C$1,),)=0,#N/A,VLOOKUP(Table7[[#This Row],[Date]],Database!$A:$C,MATCH($C$1,Database!$A$1:$C$1,),))</f>
        <v/>
      </c>
      <c r="D2713">
        <f>IFERROR(Table7[[#This Row],[United States 10y]]-Table7[[#This Row],[United States 3y]],#N/A)</f>
        <v/>
      </c>
    </row>
    <row r="2714">
      <c r="A2714" s="6">
        <f>Database!$A4799</f>
        <v/>
      </c>
      <c r="B2714">
        <f>IF(VLOOKUP(Table7[[#This Row],[Date]],Database!$A:$C,MATCH($B$1,Database!$A$1:$C$1,),)=0,#N/A,VLOOKUP(Table7[[#This Row],[Date]],Database!$A:$C,MATCH($B$1,Database!$A$1:$C$1,),))</f>
        <v/>
      </c>
      <c r="C2714">
        <f>IF(VLOOKUP(Table7[[#This Row],[Date]],Database!$A:$C,MATCH($C$1,Database!$A$1:$C$1,),)=0,#N/A,VLOOKUP(Table7[[#This Row],[Date]],Database!$A:$C,MATCH($C$1,Database!$A$1:$C$1,),))</f>
        <v/>
      </c>
      <c r="D2714">
        <f>IFERROR(Table7[[#This Row],[United States 10y]]-Table7[[#This Row],[United States 3y]],#N/A)</f>
        <v/>
      </c>
    </row>
    <row r="2715">
      <c r="A2715" s="6">
        <f>Database!$A4800</f>
        <v/>
      </c>
      <c r="B2715">
        <f>IF(VLOOKUP(Table7[[#This Row],[Date]],Database!$A:$C,MATCH($B$1,Database!$A$1:$C$1,),)=0,#N/A,VLOOKUP(Table7[[#This Row],[Date]],Database!$A:$C,MATCH($B$1,Database!$A$1:$C$1,),))</f>
        <v/>
      </c>
      <c r="C2715">
        <f>IF(VLOOKUP(Table7[[#This Row],[Date]],Database!$A:$C,MATCH($C$1,Database!$A$1:$C$1,),)=0,#N/A,VLOOKUP(Table7[[#This Row],[Date]],Database!$A:$C,MATCH($C$1,Database!$A$1:$C$1,),))</f>
        <v/>
      </c>
      <c r="D2715">
        <f>IFERROR(Table7[[#This Row],[United States 10y]]-Table7[[#This Row],[United States 3y]],#N/A)</f>
        <v/>
      </c>
    </row>
    <row r="2716">
      <c r="A2716" s="6">
        <f>Database!$A4801</f>
        <v/>
      </c>
      <c r="B2716">
        <f>IF(VLOOKUP(Table7[[#This Row],[Date]],Database!$A:$C,MATCH($B$1,Database!$A$1:$C$1,),)=0,#N/A,VLOOKUP(Table7[[#This Row],[Date]],Database!$A:$C,MATCH($B$1,Database!$A$1:$C$1,),))</f>
        <v/>
      </c>
      <c r="C2716">
        <f>IF(VLOOKUP(Table7[[#This Row],[Date]],Database!$A:$C,MATCH($C$1,Database!$A$1:$C$1,),)=0,#N/A,VLOOKUP(Table7[[#This Row],[Date]],Database!$A:$C,MATCH($C$1,Database!$A$1:$C$1,),))</f>
        <v/>
      </c>
      <c r="D2716">
        <f>IFERROR(Table7[[#This Row],[United States 10y]]-Table7[[#This Row],[United States 3y]],#N/A)</f>
        <v/>
      </c>
    </row>
    <row r="2717">
      <c r="A2717" s="6">
        <f>Database!$A4802</f>
        <v/>
      </c>
      <c r="B2717">
        <f>IF(VLOOKUP(Table7[[#This Row],[Date]],Database!$A:$C,MATCH($B$1,Database!$A$1:$C$1,),)=0,#N/A,VLOOKUP(Table7[[#This Row],[Date]],Database!$A:$C,MATCH($B$1,Database!$A$1:$C$1,),))</f>
        <v/>
      </c>
      <c r="C2717">
        <f>IF(VLOOKUP(Table7[[#This Row],[Date]],Database!$A:$C,MATCH($C$1,Database!$A$1:$C$1,),)=0,#N/A,VLOOKUP(Table7[[#This Row],[Date]],Database!$A:$C,MATCH($C$1,Database!$A$1:$C$1,),))</f>
        <v/>
      </c>
      <c r="D2717">
        <f>IFERROR(Table7[[#This Row],[United States 10y]]-Table7[[#This Row],[United States 3y]],#N/A)</f>
        <v/>
      </c>
    </row>
    <row r="2718">
      <c r="A2718" s="6">
        <f>Database!$A4803</f>
        <v/>
      </c>
      <c r="B2718">
        <f>IF(VLOOKUP(Table7[[#This Row],[Date]],Database!$A:$C,MATCH($B$1,Database!$A$1:$C$1,),)=0,#N/A,VLOOKUP(Table7[[#This Row],[Date]],Database!$A:$C,MATCH($B$1,Database!$A$1:$C$1,),))</f>
        <v/>
      </c>
      <c r="C2718">
        <f>IF(VLOOKUP(Table7[[#This Row],[Date]],Database!$A:$C,MATCH($C$1,Database!$A$1:$C$1,),)=0,#N/A,VLOOKUP(Table7[[#This Row],[Date]],Database!$A:$C,MATCH($C$1,Database!$A$1:$C$1,),))</f>
        <v/>
      </c>
      <c r="D2718">
        <f>IFERROR(Table7[[#This Row],[United States 10y]]-Table7[[#This Row],[United States 3y]],#N/A)</f>
        <v/>
      </c>
    </row>
    <row r="2719">
      <c r="A2719" s="6">
        <f>Database!$A4804</f>
        <v/>
      </c>
      <c r="B2719">
        <f>IF(VLOOKUP(Table7[[#This Row],[Date]],Database!$A:$C,MATCH($B$1,Database!$A$1:$C$1,),)=0,#N/A,VLOOKUP(Table7[[#This Row],[Date]],Database!$A:$C,MATCH($B$1,Database!$A$1:$C$1,),))</f>
        <v/>
      </c>
      <c r="C2719">
        <f>IF(VLOOKUP(Table7[[#This Row],[Date]],Database!$A:$C,MATCH($C$1,Database!$A$1:$C$1,),)=0,#N/A,VLOOKUP(Table7[[#This Row],[Date]],Database!$A:$C,MATCH($C$1,Database!$A$1:$C$1,),))</f>
        <v/>
      </c>
      <c r="D2719">
        <f>IFERROR(Table7[[#This Row],[United States 10y]]-Table7[[#This Row],[United States 3y]],#N/A)</f>
        <v/>
      </c>
    </row>
    <row r="2720">
      <c r="A2720" s="6">
        <f>Database!$A4805</f>
        <v/>
      </c>
      <c r="B2720">
        <f>IF(VLOOKUP(Table7[[#This Row],[Date]],Database!$A:$C,MATCH($B$1,Database!$A$1:$C$1,),)=0,#N/A,VLOOKUP(Table7[[#This Row],[Date]],Database!$A:$C,MATCH($B$1,Database!$A$1:$C$1,),))</f>
        <v/>
      </c>
      <c r="C2720">
        <f>IF(VLOOKUP(Table7[[#This Row],[Date]],Database!$A:$C,MATCH($C$1,Database!$A$1:$C$1,),)=0,#N/A,VLOOKUP(Table7[[#This Row],[Date]],Database!$A:$C,MATCH($C$1,Database!$A$1:$C$1,),))</f>
        <v/>
      </c>
      <c r="D2720">
        <f>IFERROR(Table7[[#This Row],[United States 10y]]-Table7[[#This Row],[United States 3y]],#N/A)</f>
        <v/>
      </c>
    </row>
    <row r="2721">
      <c r="A2721" s="6">
        <f>Database!$A4806</f>
        <v/>
      </c>
      <c r="B2721">
        <f>IF(VLOOKUP(Table7[[#This Row],[Date]],Database!$A:$C,MATCH($B$1,Database!$A$1:$C$1,),)=0,#N/A,VLOOKUP(Table7[[#This Row],[Date]],Database!$A:$C,MATCH($B$1,Database!$A$1:$C$1,),))</f>
        <v/>
      </c>
      <c r="C2721">
        <f>IF(VLOOKUP(Table7[[#This Row],[Date]],Database!$A:$C,MATCH($C$1,Database!$A$1:$C$1,),)=0,#N/A,VLOOKUP(Table7[[#This Row],[Date]],Database!$A:$C,MATCH($C$1,Database!$A$1:$C$1,),))</f>
        <v/>
      </c>
      <c r="D2721">
        <f>IFERROR(Table7[[#This Row],[United States 10y]]-Table7[[#This Row],[United States 3y]],#N/A)</f>
        <v/>
      </c>
    </row>
    <row r="2722">
      <c r="A2722" s="6">
        <f>Database!$A4807</f>
        <v/>
      </c>
      <c r="B2722">
        <f>IF(VLOOKUP(Table7[[#This Row],[Date]],Database!$A:$C,MATCH($B$1,Database!$A$1:$C$1,),)=0,#N/A,VLOOKUP(Table7[[#This Row],[Date]],Database!$A:$C,MATCH($B$1,Database!$A$1:$C$1,),))</f>
        <v/>
      </c>
      <c r="C2722">
        <f>IF(VLOOKUP(Table7[[#This Row],[Date]],Database!$A:$C,MATCH($C$1,Database!$A$1:$C$1,),)=0,#N/A,VLOOKUP(Table7[[#This Row],[Date]],Database!$A:$C,MATCH($C$1,Database!$A$1:$C$1,),))</f>
        <v/>
      </c>
      <c r="D2722">
        <f>IFERROR(Table7[[#This Row],[United States 10y]]-Table7[[#This Row],[United States 3y]],#N/A)</f>
        <v/>
      </c>
    </row>
    <row r="2723">
      <c r="A2723" s="6">
        <f>Database!$A4808</f>
        <v/>
      </c>
      <c r="B2723">
        <f>IF(VLOOKUP(Table7[[#This Row],[Date]],Database!$A:$C,MATCH($B$1,Database!$A$1:$C$1,),)=0,#N/A,VLOOKUP(Table7[[#This Row],[Date]],Database!$A:$C,MATCH($B$1,Database!$A$1:$C$1,),))</f>
        <v/>
      </c>
      <c r="C2723">
        <f>IF(VLOOKUP(Table7[[#This Row],[Date]],Database!$A:$C,MATCH($C$1,Database!$A$1:$C$1,),)=0,#N/A,VLOOKUP(Table7[[#This Row],[Date]],Database!$A:$C,MATCH($C$1,Database!$A$1:$C$1,),))</f>
        <v/>
      </c>
      <c r="D2723">
        <f>IFERROR(Table7[[#This Row],[United States 10y]]-Table7[[#This Row],[United States 3y]],#N/A)</f>
        <v/>
      </c>
    </row>
    <row r="2724">
      <c r="A2724" s="6">
        <f>Database!$A4809</f>
        <v/>
      </c>
      <c r="B2724">
        <f>IF(VLOOKUP(Table7[[#This Row],[Date]],Database!$A:$C,MATCH($B$1,Database!$A$1:$C$1,),)=0,#N/A,VLOOKUP(Table7[[#This Row],[Date]],Database!$A:$C,MATCH($B$1,Database!$A$1:$C$1,),))</f>
        <v/>
      </c>
      <c r="C2724">
        <f>IF(VLOOKUP(Table7[[#This Row],[Date]],Database!$A:$C,MATCH($C$1,Database!$A$1:$C$1,),)=0,#N/A,VLOOKUP(Table7[[#This Row],[Date]],Database!$A:$C,MATCH($C$1,Database!$A$1:$C$1,),))</f>
        <v/>
      </c>
      <c r="D2724">
        <f>IFERROR(Table7[[#This Row],[United States 10y]]-Table7[[#This Row],[United States 3y]],#N/A)</f>
        <v/>
      </c>
    </row>
    <row r="2725">
      <c r="A2725" s="6">
        <f>Database!$A4810</f>
        <v/>
      </c>
      <c r="B2725">
        <f>IF(VLOOKUP(Table7[[#This Row],[Date]],Database!$A:$C,MATCH($B$1,Database!$A$1:$C$1,),)=0,#N/A,VLOOKUP(Table7[[#This Row],[Date]],Database!$A:$C,MATCH($B$1,Database!$A$1:$C$1,),))</f>
        <v/>
      </c>
      <c r="C2725">
        <f>IF(VLOOKUP(Table7[[#This Row],[Date]],Database!$A:$C,MATCH($C$1,Database!$A$1:$C$1,),)=0,#N/A,VLOOKUP(Table7[[#This Row],[Date]],Database!$A:$C,MATCH($C$1,Database!$A$1:$C$1,),))</f>
        <v/>
      </c>
      <c r="D2725">
        <f>IFERROR(Table7[[#This Row],[United States 10y]]-Table7[[#This Row],[United States 3y]],#N/A)</f>
        <v/>
      </c>
    </row>
    <row r="2726">
      <c r="A2726" s="6">
        <f>Database!$A4811</f>
        <v/>
      </c>
      <c r="B2726">
        <f>IF(VLOOKUP(Table7[[#This Row],[Date]],Database!$A:$C,MATCH($B$1,Database!$A$1:$C$1,),)=0,#N/A,VLOOKUP(Table7[[#This Row],[Date]],Database!$A:$C,MATCH($B$1,Database!$A$1:$C$1,),))</f>
        <v/>
      </c>
      <c r="C2726">
        <f>IF(VLOOKUP(Table7[[#This Row],[Date]],Database!$A:$C,MATCH($C$1,Database!$A$1:$C$1,),)=0,#N/A,VLOOKUP(Table7[[#This Row],[Date]],Database!$A:$C,MATCH($C$1,Database!$A$1:$C$1,),))</f>
        <v/>
      </c>
      <c r="D2726">
        <f>IFERROR(Table7[[#This Row],[United States 10y]]-Table7[[#This Row],[United States 3y]],#N/A)</f>
        <v/>
      </c>
    </row>
    <row r="2727">
      <c r="A2727" s="6">
        <f>Database!$A4812</f>
        <v/>
      </c>
      <c r="B2727">
        <f>IF(VLOOKUP(Table7[[#This Row],[Date]],Database!$A:$C,MATCH($B$1,Database!$A$1:$C$1,),)=0,#N/A,VLOOKUP(Table7[[#This Row],[Date]],Database!$A:$C,MATCH($B$1,Database!$A$1:$C$1,),))</f>
        <v/>
      </c>
      <c r="C2727">
        <f>IF(VLOOKUP(Table7[[#This Row],[Date]],Database!$A:$C,MATCH($C$1,Database!$A$1:$C$1,),)=0,#N/A,VLOOKUP(Table7[[#This Row],[Date]],Database!$A:$C,MATCH($C$1,Database!$A$1:$C$1,),))</f>
        <v/>
      </c>
      <c r="D2727">
        <f>IFERROR(Table7[[#This Row],[United States 10y]]-Table7[[#This Row],[United States 3y]],#N/A)</f>
        <v/>
      </c>
    </row>
    <row r="2728">
      <c r="A2728" s="6">
        <f>Database!$A4813</f>
        <v/>
      </c>
      <c r="B2728">
        <f>IF(VLOOKUP(Table7[[#This Row],[Date]],Database!$A:$C,MATCH($B$1,Database!$A$1:$C$1,),)=0,#N/A,VLOOKUP(Table7[[#This Row],[Date]],Database!$A:$C,MATCH($B$1,Database!$A$1:$C$1,),))</f>
        <v/>
      </c>
      <c r="C2728">
        <f>IF(VLOOKUP(Table7[[#This Row],[Date]],Database!$A:$C,MATCH($C$1,Database!$A$1:$C$1,),)=0,#N/A,VLOOKUP(Table7[[#This Row],[Date]],Database!$A:$C,MATCH($C$1,Database!$A$1:$C$1,),))</f>
        <v/>
      </c>
      <c r="D2728">
        <f>IFERROR(Table7[[#This Row],[United States 10y]]-Table7[[#This Row],[United States 3y]],#N/A)</f>
        <v/>
      </c>
    </row>
    <row r="2729">
      <c r="A2729" s="6">
        <f>Database!$A4814</f>
        <v/>
      </c>
      <c r="B2729">
        <f>IF(VLOOKUP(Table7[[#This Row],[Date]],Database!$A:$C,MATCH($B$1,Database!$A$1:$C$1,),)=0,#N/A,VLOOKUP(Table7[[#This Row],[Date]],Database!$A:$C,MATCH($B$1,Database!$A$1:$C$1,),))</f>
        <v/>
      </c>
      <c r="C2729">
        <f>IF(VLOOKUP(Table7[[#This Row],[Date]],Database!$A:$C,MATCH($C$1,Database!$A$1:$C$1,),)=0,#N/A,VLOOKUP(Table7[[#This Row],[Date]],Database!$A:$C,MATCH($C$1,Database!$A$1:$C$1,),))</f>
        <v/>
      </c>
      <c r="D2729">
        <f>IFERROR(Table7[[#This Row],[United States 10y]]-Table7[[#This Row],[United States 3y]],#N/A)</f>
        <v/>
      </c>
    </row>
    <row r="2730">
      <c r="A2730" s="6">
        <f>Database!$A4815</f>
        <v/>
      </c>
      <c r="B2730">
        <f>IF(VLOOKUP(Table7[[#This Row],[Date]],Database!$A:$C,MATCH($B$1,Database!$A$1:$C$1,),)=0,#N/A,VLOOKUP(Table7[[#This Row],[Date]],Database!$A:$C,MATCH($B$1,Database!$A$1:$C$1,),))</f>
        <v/>
      </c>
      <c r="C2730">
        <f>IF(VLOOKUP(Table7[[#This Row],[Date]],Database!$A:$C,MATCH($C$1,Database!$A$1:$C$1,),)=0,#N/A,VLOOKUP(Table7[[#This Row],[Date]],Database!$A:$C,MATCH($C$1,Database!$A$1:$C$1,),))</f>
        <v/>
      </c>
      <c r="D2730">
        <f>IFERROR(Table7[[#This Row],[United States 10y]]-Table7[[#This Row],[United States 3y]],#N/A)</f>
        <v/>
      </c>
    </row>
    <row r="2731">
      <c r="A2731" s="6">
        <f>Database!$A4816</f>
        <v/>
      </c>
      <c r="B2731">
        <f>IF(VLOOKUP(Table7[[#This Row],[Date]],Database!$A:$C,MATCH($B$1,Database!$A$1:$C$1,),)=0,#N/A,VLOOKUP(Table7[[#This Row],[Date]],Database!$A:$C,MATCH($B$1,Database!$A$1:$C$1,),))</f>
        <v/>
      </c>
      <c r="C2731">
        <f>IF(VLOOKUP(Table7[[#This Row],[Date]],Database!$A:$C,MATCH($C$1,Database!$A$1:$C$1,),)=0,#N/A,VLOOKUP(Table7[[#This Row],[Date]],Database!$A:$C,MATCH($C$1,Database!$A$1:$C$1,),))</f>
        <v/>
      </c>
      <c r="D2731">
        <f>IFERROR(Table7[[#This Row],[United States 10y]]-Table7[[#This Row],[United States 3y]],#N/A)</f>
        <v/>
      </c>
    </row>
    <row r="2732">
      <c r="A2732" s="6">
        <f>Database!$A4817</f>
        <v/>
      </c>
      <c r="B2732">
        <f>IF(VLOOKUP(Table7[[#This Row],[Date]],Database!$A:$C,MATCH($B$1,Database!$A$1:$C$1,),)=0,#N/A,VLOOKUP(Table7[[#This Row],[Date]],Database!$A:$C,MATCH($B$1,Database!$A$1:$C$1,),))</f>
        <v/>
      </c>
      <c r="C2732">
        <f>IF(VLOOKUP(Table7[[#This Row],[Date]],Database!$A:$C,MATCH($C$1,Database!$A$1:$C$1,),)=0,#N/A,VLOOKUP(Table7[[#This Row],[Date]],Database!$A:$C,MATCH($C$1,Database!$A$1:$C$1,),))</f>
        <v/>
      </c>
      <c r="D2732">
        <f>IFERROR(Table7[[#This Row],[United States 10y]]-Table7[[#This Row],[United States 3y]],#N/A)</f>
        <v/>
      </c>
    </row>
    <row r="2733">
      <c r="A2733" s="6">
        <f>Database!$A4818</f>
        <v/>
      </c>
      <c r="B2733">
        <f>IF(VLOOKUP(Table7[[#This Row],[Date]],Database!$A:$C,MATCH($B$1,Database!$A$1:$C$1,),)=0,#N/A,VLOOKUP(Table7[[#This Row],[Date]],Database!$A:$C,MATCH($B$1,Database!$A$1:$C$1,),))</f>
        <v/>
      </c>
      <c r="C2733">
        <f>IF(VLOOKUP(Table7[[#This Row],[Date]],Database!$A:$C,MATCH($C$1,Database!$A$1:$C$1,),)=0,#N/A,VLOOKUP(Table7[[#This Row],[Date]],Database!$A:$C,MATCH($C$1,Database!$A$1:$C$1,),))</f>
        <v/>
      </c>
      <c r="D2733">
        <f>IFERROR(Table7[[#This Row],[United States 10y]]-Table7[[#This Row],[United States 3y]],#N/A)</f>
        <v/>
      </c>
    </row>
    <row r="2734">
      <c r="A2734" s="6">
        <f>Database!$A4819</f>
        <v/>
      </c>
      <c r="B2734">
        <f>IF(VLOOKUP(Table7[[#This Row],[Date]],Database!$A:$C,MATCH($B$1,Database!$A$1:$C$1,),)=0,#N/A,VLOOKUP(Table7[[#This Row],[Date]],Database!$A:$C,MATCH($B$1,Database!$A$1:$C$1,),))</f>
        <v/>
      </c>
      <c r="C2734">
        <f>IF(VLOOKUP(Table7[[#This Row],[Date]],Database!$A:$C,MATCH($C$1,Database!$A$1:$C$1,),)=0,#N/A,VLOOKUP(Table7[[#This Row],[Date]],Database!$A:$C,MATCH($C$1,Database!$A$1:$C$1,),))</f>
        <v/>
      </c>
      <c r="D2734">
        <f>IFERROR(Table7[[#This Row],[United States 10y]]-Table7[[#This Row],[United States 3y]],#N/A)</f>
        <v/>
      </c>
    </row>
    <row r="2735">
      <c r="A2735" s="6">
        <f>Database!$A4820</f>
        <v/>
      </c>
      <c r="B2735">
        <f>IF(VLOOKUP(Table7[[#This Row],[Date]],Database!$A:$C,MATCH($B$1,Database!$A$1:$C$1,),)=0,#N/A,VLOOKUP(Table7[[#This Row],[Date]],Database!$A:$C,MATCH($B$1,Database!$A$1:$C$1,),))</f>
        <v/>
      </c>
      <c r="C2735">
        <f>IF(VLOOKUP(Table7[[#This Row],[Date]],Database!$A:$C,MATCH($C$1,Database!$A$1:$C$1,),)=0,#N/A,VLOOKUP(Table7[[#This Row],[Date]],Database!$A:$C,MATCH($C$1,Database!$A$1:$C$1,),))</f>
        <v/>
      </c>
      <c r="D2735">
        <f>IFERROR(Table7[[#This Row],[United States 10y]]-Table7[[#This Row],[United States 3y]],#N/A)</f>
        <v/>
      </c>
    </row>
    <row r="2736">
      <c r="A2736" s="6">
        <f>Database!$A4821</f>
        <v/>
      </c>
      <c r="B2736">
        <f>IF(VLOOKUP(Table7[[#This Row],[Date]],Database!$A:$C,MATCH($B$1,Database!$A$1:$C$1,),)=0,#N/A,VLOOKUP(Table7[[#This Row],[Date]],Database!$A:$C,MATCH($B$1,Database!$A$1:$C$1,),))</f>
        <v/>
      </c>
      <c r="C2736">
        <f>IF(VLOOKUP(Table7[[#This Row],[Date]],Database!$A:$C,MATCH($C$1,Database!$A$1:$C$1,),)=0,#N/A,VLOOKUP(Table7[[#This Row],[Date]],Database!$A:$C,MATCH($C$1,Database!$A$1:$C$1,),))</f>
        <v/>
      </c>
      <c r="D2736">
        <f>IFERROR(Table7[[#This Row],[United States 10y]]-Table7[[#This Row],[United States 3y]],#N/A)</f>
        <v/>
      </c>
    </row>
    <row r="2737">
      <c r="A2737" s="6">
        <f>Database!$A4822</f>
        <v/>
      </c>
      <c r="B2737">
        <f>IF(VLOOKUP(Table7[[#This Row],[Date]],Database!$A:$C,MATCH($B$1,Database!$A$1:$C$1,),)=0,#N/A,VLOOKUP(Table7[[#This Row],[Date]],Database!$A:$C,MATCH($B$1,Database!$A$1:$C$1,),))</f>
        <v/>
      </c>
      <c r="C2737">
        <f>IF(VLOOKUP(Table7[[#This Row],[Date]],Database!$A:$C,MATCH($C$1,Database!$A$1:$C$1,),)=0,#N/A,VLOOKUP(Table7[[#This Row],[Date]],Database!$A:$C,MATCH($C$1,Database!$A$1:$C$1,),))</f>
        <v/>
      </c>
      <c r="D2737">
        <f>IFERROR(Table7[[#This Row],[United States 10y]]-Table7[[#This Row],[United States 3y]],#N/A)</f>
        <v/>
      </c>
    </row>
    <row r="2738">
      <c r="A2738" s="6">
        <f>Database!$A4823</f>
        <v/>
      </c>
      <c r="B2738">
        <f>IF(VLOOKUP(Table7[[#This Row],[Date]],Database!$A:$C,MATCH($B$1,Database!$A$1:$C$1,),)=0,#N/A,VLOOKUP(Table7[[#This Row],[Date]],Database!$A:$C,MATCH($B$1,Database!$A$1:$C$1,),))</f>
        <v/>
      </c>
      <c r="C2738">
        <f>IF(VLOOKUP(Table7[[#This Row],[Date]],Database!$A:$C,MATCH($C$1,Database!$A$1:$C$1,),)=0,#N/A,VLOOKUP(Table7[[#This Row],[Date]],Database!$A:$C,MATCH($C$1,Database!$A$1:$C$1,),))</f>
        <v/>
      </c>
      <c r="D2738">
        <f>IFERROR(Table7[[#This Row],[United States 10y]]-Table7[[#This Row],[United States 3y]],#N/A)</f>
        <v/>
      </c>
    </row>
    <row r="2739">
      <c r="A2739" s="6">
        <f>Database!$A4824</f>
        <v/>
      </c>
      <c r="B2739">
        <f>IF(VLOOKUP(Table7[[#This Row],[Date]],Database!$A:$C,MATCH($B$1,Database!$A$1:$C$1,),)=0,#N/A,VLOOKUP(Table7[[#This Row],[Date]],Database!$A:$C,MATCH($B$1,Database!$A$1:$C$1,),))</f>
        <v/>
      </c>
      <c r="C2739">
        <f>IF(VLOOKUP(Table7[[#This Row],[Date]],Database!$A:$C,MATCH($C$1,Database!$A$1:$C$1,),)=0,#N/A,VLOOKUP(Table7[[#This Row],[Date]],Database!$A:$C,MATCH($C$1,Database!$A$1:$C$1,),))</f>
        <v/>
      </c>
      <c r="D2739">
        <f>IFERROR(Table7[[#This Row],[United States 10y]]-Table7[[#This Row],[United States 3y]],#N/A)</f>
        <v/>
      </c>
    </row>
    <row r="2740">
      <c r="A2740" s="6">
        <f>Database!$A4825</f>
        <v/>
      </c>
      <c r="B2740">
        <f>IF(VLOOKUP(Table7[[#This Row],[Date]],Database!$A:$C,MATCH($B$1,Database!$A$1:$C$1,),)=0,#N/A,VLOOKUP(Table7[[#This Row],[Date]],Database!$A:$C,MATCH($B$1,Database!$A$1:$C$1,),))</f>
        <v/>
      </c>
      <c r="C2740">
        <f>IF(VLOOKUP(Table7[[#This Row],[Date]],Database!$A:$C,MATCH($C$1,Database!$A$1:$C$1,),)=0,#N/A,VLOOKUP(Table7[[#This Row],[Date]],Database!$A:$C,MATCH($C$1,Database!$A$1:$C$1,),))</f>
        <v/>
      </c>
      <c r="D2740">
        <f>IFERROR(Table7[[#This Row],[United States 10y]]-Table7[[#This Row],[United States 3y]],#N/A)</f>
        <v/>
      </c>
    </row>
    <row r="2741">
      <c r="A2741" s="6">
        <f>Database!$A4826</f>
        <v/>
      </c>
      <c r="B2741">
        <f>IF(VLOOKUP(Table7[[#This Row],[Date]],Database!$A:$C,MATCH($B$1,Database!$A$1:$C$1,),)=0,#N/A,VLOOKUP(Table7[[#This Row],[Date]],Database!$A:$C,MATCH($B$1,Database!$A$1:$C$1,),))</f>
        <v/>
      </c>
      <c r="C2741">
        <f>IF(VLOOKUP(Table7[[#This Row],[Date]],Database!$A:$C,MATCH($C$1,Database!$A$1:$C$1,),)=0,#N/A,VLOOKUP(Table7[[#This Row],[Date]],Database!$A:$C,MATCH($C$1,Database!$A$1:$C$1,),))</f>
        <v/>
      </c>
      <c r="D2741">
        <f>IFERROR(Table7[[#This Row],[United States 10y]]-Table7[[#This Row],[United States 3y]],#N/A)</f>
        <v/>
      </c>
    </row>
    <row r="2742">
      <c r="A2742" s="6">
        <f>Database!$A4827</f>
        <v/>
      </c>
      <c r="B2742">
        <f>IF(VLOOKUP(Table7[[#This Row],[Date]],Database!$A:$C,MATCH($B$1,Database!$A$1:$C$1,),)=0,#N/A,VLOOKUP(Table7[[#This Row],[Date]],Database!$A:$C,MATCH($B$1,Database!$A$1:$C$1,),))</f>
        <v/>
      </c>
      <c r="C2742">
        <f>IF(VLOOKUP(Table7[[#This Row],[Date]],Database!$A:$C,MATCH($C$1,Database!$A$1:$C$1,),)=0,#N/A,VLOOKUP(Table7[[#This Row],[Date]],Database!$A:$C,MATCH($C$1,Database!$A$1:$C$1,),))</f>
        <v/>
      </c>
      <c r="D2742">
        <f>IFERROR(Table7[[#This Row],[United States 10y]]-Table7[[#This Row],[United States 3y]],#N/A)</f>
        <v/>
      </c>
    </row>
    <row r="2743">
      <c r="A2743" s="6">
        <f>Database!$A4828</f>
        <v/>
      </c>
      <c r="B2743">
        <f>IF(VLOOKUP(Table7[[#This Row],[Date]],Database!$A:$C,MATCH($B$1,Database!$A$1:$C$1,),)=0,#N/A,VLOOKUP(Table7[[#This Row],[Date]],Database!$A:$C,MATCH($B$1,Database!$A$1:$C$1,),))</f>
        <v/>
      </c>
      <c r="C2743">
        <f>IF(VLOOKUP(Table7[[#This Row],[Date]],Database!$A:$C,MATCH($C$1,Database!$A$1:$C$1,),)=0,#N/A,VLOOKUP(Table7[[#This Row],[Date]],Database!$A:$C,MATCH($C$1,Database!$A$1:$C$1,),))</f>
        <v/>
      </c>
      <c r="D2743">
        <f>IFERROR(Table7[[#This Row],[United States 10y]]-Table7[[#This Row],[United States 3y]],#N/A)</f>
        <v/>
      </c>
    </row>
    <row r="2744">
      <c r="A2744" s="6">
        <f>Database!$A4829</f>
        <v/>
      </c>
      <c r="B2744">
        <f>IF(VLOOKUP(Table7[[#This Row],[Date]],Database!$A:$C,MATCH($B$1,Database!$A$1:$C$1,),)=0,#N/A,VLOOKUP(Table7[[#This Row],[Date]],Database!$A:$C,MATCH($B$1,Database!$A$1:$C$1,),))</f>
        <v/>
      </c>
      <c r="C2744">
        <f>IF(VLOOKUP(Table7[[#This Row],[Date]],Database!$A:$C,MATCH($C$1,Database!$A$1:$C$1,),)=0,#N/A,VLOOKUP(Table7[[#This Row],[Date]],Database!$A:$C,MATCH($C$1,Database!$A$1:$C$1,),))</f>
        <v/>
      </c>
      <c r="D2744">
        <f>IFERROR(Table7[[#This Row],[United States 10y]]-Table7[[#This Row],[United States 3y]],#N/A)</f>
        <v/>
      </c>
    </row>
    <row r="2745">
      <c r="A2745" s="6">
        <f>Database!$A4830</f>
        <v/>
      </c>
      <c r="B2745">
        <f>IF(VLOOKUP(Table7[[#This Row],[Date]],Database!$A:$C,MATCH($B$1,Database!$A$1:$C$1,),)=0,#N/A,VLOOKUP(Table7[[#This Row],[Date]],Database!$A:$C,MATCH($B$1,Database!$A$1:$C$1,),))</f>
        <v/>
      </c>
      <c r="C2745">
        <f>IF(VLOOKUP(Table7[[#This Row],[Date]],Database!$A:$C,MATCH($C$1,Database!$A$1:$C$1,),)=0,#N/A,VLOOKUP(Table7[[#This Row],[Date]],Database!$A:$C,MATCH($C$1,Database!$A$1:$C$1,),))</f>
        <v/>
      </c>
      <c r="D2745">
        <f>IFERROR(Table7[[#This Row],[United States 10y]]-Table7[[#This Row],[United States 3y]],#N/A)</f>
        <v/>
      </c>
    </row>
    <row r="2746">
      <c r="A2746" s="6">
        <f>Database!$A4831</f>
        <v/>
      </c>
      <c r="B2746">
        <f>IF(VLOOKUP(Table7[[#This Row],[Date]],Database!$A:$C,MATCH($B$1,Database!$A$1:$C$1,),)=0,#N/A,VLOOKUP(Table7[[#This Row],[Date]],Database!$A:$C,MATCH($B$1,Database!$A$1:$C$1,),))</f>
        <v/>
      </c>
      <c r="C2746">
        <f>IF(VLOOKUP(Table7[[#This Row],[Date]],Database!$A:$C,MATCH($C$1,Database!$A$1:$C$1,),)=0,#N/A,VLOOKUP(Table7[[#This Row],[Date]],Database!$A:$C,MATCH($C$1,Database!$A$1:$C$1,),))</f>
        <v/>
      </c>
      <c r="D2746">
        <f>IFERROR(Table7[[#This Row],[United States 10y]]-Table7[[#This Row],[United States 3y]],#N/A)</f>
        <v/>
      </c>
    </row>
    <row r="2747">
      <c r="A2747" s="6">
        <f>Database!$A4832</f>
        <v/>
      </c>
      <c r="B2747">
        <f>IF(VLOOKUP(Table7[[#This Row],[Date]],Database!$A:$C,MATCH($B$1,Database!$A$1:$C$1,),)=0,#N/A,VLOOKUP(Table7[[#This Row],[Date]],Database!$A:$C,MATCH($B$1,Database!$A$1:$C$1,),))</f>
        <v/>
      </c>
      <c r="C2747">
        <f>IF(VLOOKUP(Table7[[#This Row],[Date]],Database!$A:$C,MATCH($C$1,Database!$A$1:$C$1,),)=0,#N/A,VLOOKUP(Table7[[#This Row],[Date]],Database!$A:$C,MATCH($C$1,Database!$A$1:$C$1,),))</f>
        <v/>
      </c>
      <c r="D2747">
        <f>IFERROR(Table7[[#This Row],[United States 10y]]-Table7[[#This Row],[United States 3y]],#N/A)</f>
        <v/>
      </c>
    </row>
    <row r="2748">
      <c r="A2748" s="6">
        <f>Database!$A4833</f>
        <v/>
      </c>
      <c r="B2748">
        <f>IF(VLOOKUP(Table7[[#This Row],[Date]],Database!$A:$C,MATCH($B$1,Database!$A$1:$C$1,),)=0,#N/A,VLOOKUP(Table7[[#This Row],[Date]],Database!$A:$C,MATCH($B$1,Database!$A$1:$C$1,),))</f>
        <v/>
      </c>
      <c r="C2748">
        <f>IF(VLOOKUP(Table7[[#This Row],[Date]],Database!$A:$C,MATCH($C$1,Database!$A$1:$C$1,),)=0,#N/A,VLOOKUP(Table7[[#This Row],[Date]],Database!$A:$C,MATCH($C$1,Database!$A$1:$C$1,),))</f>
        <v/>
      </c>
      <c r="D2748">
        <f>IFERROR(Table7[[#This Row],[United States 10y]]-Table7[[#This Row],[United States 3y]],#N/A)</f>
        <v/>
      </c>
    </row>
    <row r="2749">
      <c r="A2749" s="6">
        <f>Database!$A4834</f>
        <v/>
      </c>
      <c r="B2749">
        <f>IF(VLOOKUP(Table7[[#This Row],[Date]],Database!$A:$C,MATCH($B$1,Database!$A$1:$C$1,),)=0,#N/A,VLOOKUP(Table7[[#This Row],[Date]],Database!$A:$C,MATCH($B$1,Database!$A$1:$C$1,),))</f>
        <v/>
      </c>
      <c r="C2749">
        <f>IF(VLOOKUP(Table7[[#This Row],[Date]],Database!$A:$C,MATCH($C$1,Database!$A$1:$C$1,),)=0,#N/A,VLOOKUP(Table7[[#This Row],[Date]],Database!$A:$C,MATCH($C$1,Database!$A$1:$C$1,),))</f>
        <v/>
      </c>
      <c r="D2749">
        <f>IFERROR(Table7[[#This Row],[United States 10y]]-Table7[[#This Row],[United States 3y]],#N/A)</f>
        <v/>
      </c>
    </row>
    <row r="2750">
      <c r="A2750" s="6">
        <f>Database!$A4835</f>
        <v/>
      </c>
      <c r="B2750">
        <f>IF(VLOOKUP(Table7[[#This Row],[Date]],Database!$A:$C,MATCH($B$1,Database!$A$1:$C$1,),)=0,#N/A,VLOOKUP(Table7[[#This Row],[Date]],Database!$A:$C,MATCH($B$1,Database!$A$1:$C$1,),))</f>
        <v/>
      </c>
      <c r="C2750">
        <f>IF(VLOOKUP(Table7[[#This Row],[Date]],Database!$A:$C,MATCH($C$1,Database!$A$1:$C$1,),)=0,#N/A,VLOOKUP(Table7[[#This Row],[Date]],Database!$A:$C,MATCH($C$1,Database!$A$1:$C$1,),))</f>
        <v/>
      </c>
      <c r="D2750">
        <f>IFERROR(Table7[[#This Row],[United States 10y]]-Table7[[#This Row],[United States 3y]],#N/A)</f>
        <v/>
      </c>
    </row>
    <row r="2751">
      <c r="A2751" s="6">
        <f>Database!$A4836</f>
        <v/>
      </c>
      <c r="B2751">
        <f>IF(VLOOKUP(Table7[[#This Row],[Date]],Database!$A:$C,MATCH($B$1,Database!$A$1:$C$1,),)=0,#N/A,VLOOKUP(Table7[[#This Row],[Date]],Database!$A:$C,MATCH($B$1,Database!$A$1:$C$1,),))</f>
        <v/>
      </c>
      <c r="C2751">
        <f>IF(VLOOKUP(Table7[[#This Row],[Date]],Database!$A:$C,MATCH($C$1,Database!$A$1:$C$1,),)=0,#N/A,VLOOKUP(Table7[[#This Row],[Date]],Database!$A:$C,MATCH($C$1,Database!$A$1:$C$1,),))</f>
        <v/>
      </c>
      <c r="D2751">
        <f>IFERROR(Table7[[#This Row],[United States 10y]]-Table7[[#This Row],[United States 3y]],#N/A)</f>
        <v/>
      </c>
    </row>
    <row r="2752">
      <c r="A2752" s="6">
        <f>Database!$A4837</f>
        <v/>
      </c>
      <c r="B2752">
        <f>IF(VLOOKUP(Table7[[#This Row],[Date]],Database!$A:$C,MATCH($B$1,Database!$A$1:$C$1,),)=0,#N/A,VLOOKUP(Table7[[#This Row],[Date]],Database!$A:$C,MATCH($B$1,Database!$A$1:$C$1,),))</f>
        <v/>
      </c>
      <c r="C2752">
        <f>IF(VLOOKUP(Table7[[#This Row],[Date]],Database!$A:$C,MATCH($C$1,Database!$A$1:$C$1,),)=0,#N/A,VLOOKUP(Table7[[#This Row],[Date]],Database!$A:$C,MATCH($C$1,Database!$A$1:$C$1,),))</f>
        <v/>
      </c>
      <c r="D2752">
        <f>IFERROR(Table7[[#This Row],[United States 10y]]-Table7[[#This Row],[United States 3y]],#N/A)</f>
        <v/>
      </c>
    </row>
    <row r="2753">
      <c r="A2753" s="6">
        <f>Database!$A4838</f>
        <v/>
      </c>
      <c r="B2753">
        <f>IF(VLOOKUP(Table7[[#This Row],[Date]],Database!$A:$C,MATCH($B$1,Database!$A$1:$C$1,),)=0,#N/A,VLOOKUP(Table7[[#This Row],[Date]],Database!$A:$C,MATCH($B$1,Database!$A$1:$C$1,),))</f>
        <v/>
      </c>
      <c r="C2753">
        <f>IF(VLOOKUP(Table7[[#This Row],[Date]],Database!$A:$C,MATCH($C$1,Database!$A$1:$C$1,),)=0,#N/A,VLOOKUP(Table7[[#This Row],[Date]],Database!$A:$C,MATCH($C$1,Database!$A$1:$C$1,),))</f>
        <v/>
      </c>
      <c r="D2753">
        <f>IFERROR(Table7[[#This Row],[United States 10y]]-Table7[[#This Row],[United States 3y]],#N/A)</f>
        <v/>
      </c>
    </row>
    <row r="2754">
      <c r="A2754" s="6">
        <f>Database!$A4839</f>
        <v/>
      </c>
      <c r="B2754">
        <f>IF(VLOOKUP(Table7[[#This Row],[Date]],Database!$A:$C,MATCH($B$1,Database!$A$1:$C$1,),)=0,#N/A,VLOOKUP(Table7[[#This Row],[Date]],Database!$A:$C,MATCH($B$1,Database!$A$1:$C$1,),))</f>
        <v/>
      </c>
      <c r="C2754">
        <f>IF(VLOOKUP(Table7[[#This Row],[Date]],Database!$A:$C,MATCH($C$1,Database!$A$1:$C$1,),)=0,#N/A,VLOOKUP(Table7[[#This Row],[Date]],Database!$A:$C,MATCH($C$1,Database!$A$1:$C$1,),))</f>
        <v/>
      </c>
      <c r="D2754">
        <f>IFERROR(Table7[[#This Row],[United States 10y]]-Table7[[#This Row],[United States 3y]],#N/A)</f>
        <v/>
      </c>
    </row>
    <row r="2755">
      <c r="A2755" s="6">
        <f>Database!$A4840</f>
        <v/>
      </c>
      <c r="B2755">
        <f>IF(VLOOKUP(Table7[[#This Row],[Date]],Database!$A:$C,MATCH($B$1,Database!$A$1:$C$1,),)=0,#N/A,VLOOKUP(Table7[[#This Row],[Date]],Database!$A:$C,MATCH($B$1,Database!$A$1:$C$1,),))</f>
        <v/>
      </c>
      <c r="C2755">
        <f>IF(VLOOKUP(Table7[[#This Row],[Date]],Database!$A:$C,MATCH($C$1,Database!$A$1:$C$1,),)=0,#N/A,VLOOKUP(Table7[[#This Row],[Date]],Database!$A:$C,MATCH($C$1,Database!$A$1:$C$1,),))</f>
        <v/>
      </c>
      <c r="D2755">
        <f>IFERROR(Table7[[#This Row],[United States 10y]]-Table7[[#This Row],[United States 3y]],#N/A)</f>
        <v/>
      </c>
    </row>
    <row r="2756">
      <c r="A2756" s="6">
        <f>Database!$A4841</f>
        <v/>
      </c>
      <c r="B2756">
        <f>IF(VLOOKUP(Table7[[#This Row],[Date]],Database!$A:$C,MATCH($B$1,Database!$A$1:$C$1,),)=0,#N/A,VLOOKUP(Table7[[#This Row],[Date]],Database!$A:$C,MATCH($B$1,Database!$A$1:$C$1,),))</f>
        <v/>
      </c>
      <c r="C2756">
        <f>IF(VLOOKUP(Table7[[#This Row],[Date]],Database!$A:$C,MATCH($C$1,Database!$A$1:$C$1,),)=0,#N/A,VLOOKUP(Table7[[#This Row],[Date]],Database!$A:$C,MATCH($C$1,Database!$A$1:$C$1,),))</f>
        <v/>
      </c>
      <c r="D2756">
        <f>IFERROR(Table7[[#This Row],[United States 10y]]-Table7[[#This Row],[United States 3y]],#N/A)</f>
        <v/>
      </c>
    </row>
    <row r="2757">
      <c r="A2757" s="6">
        <f>Database!$A4842</f>
        <v/>
      </c>
      <c r="B2757">
        <f>IF(VLOOKUP(Table7[[#This Row],[Date]],Database!$A:$C,MATCH($B$1,Database!$A$1:$C$1,),)=0,#N/A,VLOOKUP(Table7[[#This Row],[Date]],Database!$A:$C,MATCH($B$1,Database!$A$1:$C$1,),))</f>
        <v/>
      </c>
      <c r="C2757">
        <f>IF(VLOOKUP(Table7[[#This Row],[Date]],Database!$A:$C,MATCH($C$1,Database!$A$1:$C$1,),)=0,#N/A,VLOOKUP(Table7[[#This Row],[Date]],Database!$A:$C,MATCH($C$1,Database!$A$1:$C$1,),))</f>
        <v/>
      </c>
      <c r="D2757">
        <f>IFERROR(Table7[[#This Row],[United States 10y]]-Table7[[#This Row],[United States 3y]],#N/A)</f>
        <v/>
      </c>
    </row>
    <row r="2758">
      <c r="A2758" s="6">
        <f>Database!$A4843</f>
        <v/>
      </c>
      <c r="B2758">
        <f>IF(VLOOKUP(Table7[[#This Row],[Date]],Database!$A:$C,MATCH($B$1,Database!$A$1:$C$1,),)=0,#N/A,VLOOKUP(Table7[[#This Row],[Date]],Database!$A:$C,MATCH($B$1,Database!$A$1:$C$1,),))</f>
        <v/>
      </c>
      <c r="C2758">
        <f>IF(VLOOKUP(Table7[[#This Row],[Date]],Database!$A:$C,MATCH($C$1,Database!$A$1:$C$1,),)=0,#N/A,VLOOKUP(Table7[[#This Row],[Date]],Database!$A:$C,MATCH($C$1,Database!$A$1:$C$1,),))</f>
        <v/>
      </c>
      <c r="D2758">
        <f>IFERROR(Table7[[#This Row],[United States 10y]]-Table7[[#This Row],[United States 3y]],#N/A)</f>
        <v/>
      </c>
    </row>
    <row r="2759">
      <c r="A2759" s="6">
        <f>Database!$A4844</f>
        <v/>
      </c>
      <c r="B2759">
        <f>IF(VLOOKUP(Table7[[#This Row],[Date]],Database!$A:$C,MATCH($B$1,Database!$A$1:$C$1,),)=0,#N/A,VLOOKUP(Table7[[#This Row],[Date]],Database!$A:$C,MATCH($B$1,Database!$A$1:$C$1,),))</f>
        <v/>
      </c>
      <c r="C2759">
        <f>IF(VLOOKUP(Table7[[#This Row],[Date]],Database!$A:$C,MATCH($C$1,Database!$A$1:$C$1,),)=0,#N/A,VLOOKUP(Table7[[#This Row],[Date]],Database!$A:$C,MATCH($C$1,Database!$A$1:$C$1,),))</f>
        <v/>
      </c>
      <c r="D2759">
        <f>IFERROR(Table7[[#This Row],[United States 10y]]-Table7[[#This Row],[United States 3y]],#N/A)</f>
        <v/>
      </c>
    </row>
    <row r="2760">
      <c r="A2760" s="6">
        <f>Database!$A4845</f>
        <v/>
      </c>
      <c r="B2760">
        <f>IF(VLOOKUP(Table7[[#This Row],[Date]],Database!$A:$C,MATCH($B$1,Database!$A$1:$C$1,),)=0,#N/A,VLOOKUP(Table7[[#This Row],[Date]],Database!$A:$C,MATCH($B$1,Database!$A$1:$C$1,),))</f>
        <v/>
      </c>
      <c r="C2760">
        <f>IF(VLOOKUP(Table7[[#This Row],[Date]],Database!$A:$C,MATCH($C$1,Database!$A$1:$C$1,),)=0,#N/A,VLOOKUP(Table7[[#This Row],[Date]],Database!$A:$C,MATCH($C$1,Database!$A$1:$C$1,),))</f>
        <v/>
      </c>
      <c r="D2760">
        <f>IFERROR(Table7[[#This Row],[United States 10y]]-Table7[[#This Row],[United States 3y]],#N/A)</f>
        <v/>
      </c>
    </row>
    <row r="2761">
      <c r="A2761" s="6">
        <f>Database!$A4846</f>
        <v/>
      </c>
      <c r="B2761">
        <f>IF(VLOOKUP(Table7[[#This Row],[Date]],Database!$A:$C,MATCH($B$1,Database!$A$1:$C$1,),)=0,#N/A,VLOOKUP(Table7[[#This Row],[Date]],Database!$A:$C,MATCH($B$1,Database!$A$1:$C$1,),))</f>
        <v/>
      </c>
      <c r="C2761">
        <f>IF(VLOOKUP(Table7[[#This Row],[Date]],Database!$A:$C,MATCH($C$1,Database!$A$1:$C$1,),)=0,#N/A,VLOOKUP(Table7[[#This Row],[Date]],Database!$A:$C,MATCH($C$1,Database!$A$1:$C$1,),))</f>
        <v/>
      </c>
      <c r="D2761">
        <f>IFERROR(Table7[[#This Row],[United States 10y]]-Table7[[#This Row],[United States 3y]],#N/A)</f>
        <v/>
      </c>
    </row>
    <row r="2762">
      <c r="A2762" s="6">
        <f>Database!$A4847</f>
        <v/>
      </c>
      <c r="B2762">
        <f>IF(VLOOKUP(Table7[[#This Row],[Date]],Database!$A:$C,MATCH($B$1,Database!$A$1:$C$1,),)=0,#N/A,VLOOKUP(Table7[[#This Row],[Date]],Database!$A:$C,MATCH($B$1,Database!$A$1:$C$1,),))</f>
        <v/>
      </c>
      <c r="C2762">
        <f>IF(VLOOKUP(Table7[[#This Row],[Date]],Database!$A:$C,MATCH($C$1,Database!$A$1:$C$1,),)=0,#N/A,VLOOKUP(Table7[[#This Row],[Date]],Database!$A:$C,MATCH($C$1,Database!$A$1:$C$1,),))</f>
        <v/>
      </c>
      <c r="D2762">
        <f>IFERROR(Table7[[#This Row],[United States 10y]]-Table7[[#This Row],[United States 3y]],#N/A)</f>
        <v/>
      </c>
    </row>
    <row r="2763">
      <c r="A2763" s="6">
        <f>Database!$A4848</f>
        <v/>
      </c>
      <c r="B2763">
        <f>IF(VLOOKUP(Table7[[#This Row],[Date]],Database!$A:$C,MATCH($B$1,Database!$A$1:$C$1,),)=0,#N/A,VLOOKUP(Table7[[#This Row],[Date]],Database!$A:$C,MATCH($B$1,Database!$A$1:$C$1,),))</f>
        <v/>
      </c>
      <c r="C2763">
        <f>IF(VLOOKUP(Table7[[#This Row],[Date]],Database!$A:$C,MATCH($C$1,Database!$A$1:$C$1,),)=0,#N/A,VLOOKUP(Table7[[#This Row],[Date]],Database!$A:$C,MATCH($C$1,Database!$A$1:$C$1,),))</f>
        <v/>
      </c>
      <c r="D2763">
        <f>IFERROR(Table7[[#This Row],[United States 10y]]-Table7[[#This Row],[United States 3y]],#N/A)</f>
        <v/>
      </c>
    </row>
    <row r="2764">
      <c r="A2764" s="6">
        <f>Database!$A4849</f>
        <v/>
      </c>
      <c r="B2764">
        <f>IF(VLOOKUP(Table7[[#This Row],[Date]],Database!$A:$C,MATCH($B$1,Database!$A$1:$C$1,),)=0,#N/A,VLOOKUP(Table7[[#This Row],[Date]],Database!$A:$C,MATCH($B$1,Database!$A$1:$C$1,),))</f>
        <v/>
      </c>
      <c r="C2764">
        <f>IF(VLOOKUP(Table7[[#This Row],[Date]],Database!$A:$C,MATCH($C$1,Database!$A$1:$C$1,),)=0,#N/A,VLOOKUP(Table7[[#This Row],[Date]],Database!$A:$C,MATCH($C$1,Database!$A$1:$C$1,),))</f>
        <v/>
      </c>
      <c r="D2764">
        <f>IFERROR(Table7[[#This Row],[United States 10y]]-Table7[[#This Row],[United States 3y]],#N/A)</f>
        <v/>
      </c>
    </row>
    <row r="2765">
      <c r="A2765" s="6">
        <f>Database!$A4850</f>
        <v/>
      </c>
      <c r="B2765">
        <f>IF(VLOOKUP(Table7[[#This Row],[Date]],Database!$A:$C,MATCH($B$1,Database!$A$1:$C$1,),)=0,#N/A,VLOOKUP(Table7[[#This Row],[Date]],Database!$A:$C,MATCH($B$1,Database!$A$1:$C$1,),))</f>
        <v/>
      </c>
      <c r="C2765">
        <f>IF(VLOOKUP(Table7[[#This Row],[Date]],Database!$A:$C,MATCH($C$1,Database!$A$1:$C$1,),)=0,#N/A,VLOOKUP(Table7[[#This Row],[Date]],Database!$A:$C,MATCH($C$1,Database!$A$1:$C$1,),))</f>
        <v/>
      </c>
      <c r="D2765">
        <f>IFERROR(Table7[[#This Row],[United States 10y]]-Table7[[#This Row],[United States 3y]],#N/A)</f>
        <v/>
      </c>
    </row>
    <row r="2766">
      <c r="A2766" s="6">
        <f>Database!$A4851</f>
        <v/>
      </c>
      <c r="B2766">
        <f>IF(VLOOKUP(Table7[[#This Row],[Date]],Database!$A:$C,MATCH($B$1,Database!$A$1:$C$1,),)=0,#N/A,VLOOKUP(Table7[[#This Row],[Date]],Database!$A:$C,MATCH($B$1,Database!$A$1:$C$1,),))</f>
        <v/>
      </c>
      <c r="C2766">
        <f>IF(VLOOKUP(Table7[[#This Row],[Date]],Database!$A:$C,MATCH($C$1,Database!$A$1:$C$1,),)=0,#N/A,VLOOKUP(Table7[[#This Row],[Date]],Database!$A:$C,MATCH($C$1,Database!$A$1:$C$1,),))</f>
        <v/>
      </c>
      <c r="D2766">
        <f>IFERROR(Table7[[#This Row],[United States 10y]]-Table7[[#This Row],[United States 3y]],#N/A)</f>
        <v/>
      </c>
    </row>
    <row r="2767">
      <c r="A2767" s="6">
        <f>Database!$A4852</f>
        <v/>
      </c>
      <c r="B2767">
        <f>IF(VLOOKUP(Table7[[#This Row],[Date]],Database!$A:$C,MATCH($B$1,Database!$A$1:$C$1,),)=0,#N/A,VLOOKUP(Table7[[#This Row],[Date]],Database!$A:$C,MATCH($B$1,Database!$A$1:$C$1,),))</f>
        <v/>
      </c>
      <c r="C2767">
        <f>IF(VLOOKUP(Table7[[#This Row],[Date]],Database!$A:$C,MATCH($C$1,Database!$A$1:$C$1,),)=0,#N/A,VLOOKUP(Table7[[#This Row],[Date]],Database!$A:$C,MATCH($C$1,Database!$A$1:$C$1,),))</f>
        <v/>
      </c>
      <c r="D2767">
        <f>IFERROR(Table7[[#This Row],[United States 10y]]-Table7[[#This Row],[United States 3y]],#N/A)</f>
        <v/>
      </c>
    </row>
    <row r="2768">
      <c r="A2768" s="6">
        <f>Database!$A4853</f>
        <v/>
      </c>
      <c r="B2768">
        <f>IF(VLOOKUP(Table7[[#This Row],[Date]],Database!$A:$C,MATCH($B$1,Database!$A$1:$C$1,),)=0,#N/A,VLOOKUP(Table7[[#This Row],[Date]],Database!$A:$C,MATCH($B$1,Database!$A$1:$C$1,),))</f>
        <v/>
      </c>
      <c r="C2768">
        <f>IF(VLOOKUP(Table7[[#This Row],[Date]],Database!$A:$C,MATCH($C$1,Database!$A$1:$C$1,),)=0,#N/A,VLOOKUP(Table7[[#This Row],[Date]],Database!$A:$C,MATCH($C$1,Database!$A$1:$C$1,),))</f>
        <v/>
      </c>
      <c r="D2768">
        <f>IFERROR(Table7[[#This Row],[United States 10y]]-Table7[[#This Row],[United States 3y]],#N/A)</f>
        <v/>
      </c>
    </row>
    <row r="2769">
      <c r="A2769" s="6">
        <f>Database!$A4854</f>
        <v/>
      </c>
      <c r="B2769">
        <f>IF(VLOOKUP(Table7[[#This Row],[Date]],Database!$A:$C,MATCH($B$1,Database!$A$1:$C$1,),)=0,#N/A,VLOOKUP(Table7[[#This Row],[Date]],Database!$A:$C,MATCH($B$1,Database!$A$1:$C$1,),))</f>
        <v/>
      </c>
      <c r="C2769">
        <f>IF(VLOOKUP(Table7[[#This Row],[Date]],Database!$A:$C,MATCH($C$1,Database!$A$1:$C$1,),)=0,#N/A,VLOOKUP(Table7[[#This Row],[Date]],Database!$A:$C,MATCH($C$1,Database!$A$1:$C$1,),))</f>
        <v/>
      </c>
      <c r="D2769">
        <f>IFERROR(Table7[[#This Row],[United States 10y]]-Table7[[#This Row],[United States 3y]],#N/A)</f>
        <v/>
      </c>
    </row>
    <row r="2770">
      <c r="A2770" s="6">
        <f>Database!$A4855</f>
        <v/>
      </c>
      <c r="B2770">
        <f>IF(VLOOKUP(Table7[[#This Row],[Date]],Database!$A:$C,MATCH($B$1,Database!$A$1:$C$1,),)=0,#N/A,VLOOKUP(Table7[[#This Row],[Date]],Database!$A:$C,MATCH($B$1,Database!$A$1:$C$1,),))</f>
        <v/>
      </c>
      <c r="C2770">
        <f>IF(VLOOKUP(Table7[[#This Row],[Date]],Database!$A:$C,MATCH($C$1,Database!$A$1:$C$1,),)=0,#N/A,VLOOKUP(Table7[[#This Row],[Date]],Database!$A:$C,MATCH($C$1,Database!$A$1:$C$1,),))</f>
        <v/>
      </c>
      <c r="D2770">
        <f>IFERROR(Table7[[#This Row],[United States 10y]]-Table7[[#This Row],[United States 3y]],#N/A)</f>
        <v/>
      </c>
    </row>
    <row r="2771">
      <c r="A2771" s="6">
        <f>Database!$A4856</f>
        <v/>
      </c>
      <c r="B2771">
        <f>IF(VLOOKUP(Table7[[#This Row],[Date]],Database!$A:$C,MATCH($B$1,Database!$A$1:$C$1,),)=0,#N/A,VLOOKUP(Table7[[#This Row],[Date]],Database!$A:$C,MATCH($B$1,Database!$A$1:$C$1,),))</f>
        <v/>
      </c>
      <c r="C2771">
        <f>IF(VLOOKUP(Table7[[#This Row],[Date]],Database!$A:$C,MATCH($C$1,Database!$A$1:$C$1,),)=0,#N/A,VLOOKUP(Table7[[#This Row],[Date]],Database!$A:$C,MATCH($C$1,Database!$A$1:$C$1,),))</f>
        <v/>
      </c>
      <c r="D2771">
        <f>IFERROR(Table7[[#This Row],[United States 10y]]-Table7[[#This Row],[United States 3y]],#N/A)</f>
        <v/>
      </c>
    </row>
    <row r="2772">
      <c r="A2772" s="6">
        <f>Database!$A4857</f>
        <v/>
      </c>
      <c r="B2772">
        <f>IF(VLOOKUP(Table7[[#This Row],[Date]],Database!$A:$C,MATCH($B$1,Database!$A$1:$C$1,),)=0,#N/A,VLOOKUP(Table7[[#This Row],[Date]],Database!$A:$C,MATCH($B$1,Database!$A$1:$C$1,),))</f>
        <v/>
      </c>
      <c r="C2772">
        <f>IF(VLOOKUP(Table7[[#This Row],[Date]],Database!$A:$C,MATCH($C$1,Database!$A$1:$C$1,),)=0,#N/A,VLOOKUP(Table7[[#This Row],[Date]],Database!$A:$C,MATCH($C$1,Database!$A$1:$C$1,),))</f>
        <v/>
      </c>
      <c r="D2772">
        <f>IFERROR(Table7[[#This Row],[United States 10y]]-Table7[[#This Row],[United States 3y]],#N/A)</f>
        <v/>
      </c>
    </row>
    <row r="2773">
      <c r="A2773" s="6">
        <f>Database!$A4858</f>
        <v/>
      </c>
      <c r="B2773">
        <f>IF(VLOOKUP(Table7[[#This Row],[Date]],Database!$A:$C,MATCH($B$1,Database!$A$1:$C$1,),)=0,#N/A,VLOOKUP(Table7[[#This Row],[Date]],Database!$A:$C,MATCH($B$1,Database!$A$1:$C$1,),))</f>
        <v/>
      </c>
      <c r="C2773">
        <f>IF(VLOOKUP(Table7[[#This Row],[Date]],Database!$A:$C,MATCH($C$1,Database!$A$1:$C$1,),)=0,#N/A,VLOOKUP(Table7[[#This Row],[Date]],Database!$A:$C,MATCH($C$1,Database!$A$1:$C$1,),))</f>
        <v/>
      </c>
      <c r="D2773">
        <f>IFERROR(Table7[[#This Row],[United States 10y]]-Table7[[#This Row],[United States 3y]],#N/A)</f>
        <v/>
      </c>
    </row>
    <row r="2774">
      <c r="A2774" s="6">
        <f>Database!$A4859</f>
        <v/>
      </c>
      <c r="B2774">
        <f>IF(VLOOKUP(Table7[[#This Row],[Date]],Database!$A:$C,MATCH($B$1,Database!$A$1:$C$1,),)=0,#N/A,VLOOKUP(Table7[[#This Row],[Date]],Database!$A:$C,MATCH($B$1,Database!$A$1:$C$1,),))</f>
        <v/>
      </c>
      <c r="C2774">
        <f>IF(VLOOKUP(Table7[[#This Row],[Date]],Database!$A:$C,MATCH($C$1,Database!$A$1:$C$1,),)=0,#N/A,VLOOKUP(Table7[[#This Row],[Date]],Database!$A:$C,MATCH($C$1,Database!$A$1:$C$1,),))</f>
        <v/>
      </c>
      <c r="D2774">
        <f>IFERROR(Table7[[#This Row],[United States 10y]]-Table7[[#This Row],[United States 3y]],#N/A)</f>
        <v/>
      </c>
    </row>
    <row r="2775">
      <c r="A2775" s="6">
        <f>Database!$A4860</f>
        <v/>
      </c>
      <c r="B2775">
        <f>IF(VLOOKUP(Table7[[#This Row],[Date]],Database!$A:$C,MATCH($B$1,Database!$A$1:$C$1,),)=0,#N/A,VLOOKUP(Table7[[#This Row],[Date]],Database!$A:$C,MATCH($B$1,Database!$A$1:$C$1,),))</f>
        <v/>
      </c>
      <c r="C2775">
        <f>IF(VLOOKUP(Table7[[#This Row],[Date]],Database!$A:$C,MATCH($C$1,Database!$A$1:$C$1,),)=0,#N/A,VLOOKUP(Table7[[#This Row],[Date]],Database!$A:$C,MATCH($C$1,Database!$A$1:$C$1,),))</f>
        <v/>
      </c>
      <c r="D2775">
        <f>IFERROR(Table7[[#This Row],[United States 10y]]-Table7[[#This Row],[United States 3y]],#N/A)</f>
        <v/>
      </c>
    </row>
    <row r="2776">
      <c r="A2776" s="6">
        <f>Database!$A4861</f>
        <v/>
      </c>
      <c r="B2776">
        <f>IF(VLOOKUP(Table7[[#This Row],[Date]],Database!$A:$C,MATCH($B$1,Database!$A$1:$C$1,),)=0,#N/A,VLOOKUP(Table7[[#This Row],[Date]],Database!$A:$C,MATCH($B$1,Database!$A$1:$C$1,),))</f>
        <v/>
      </c>
      <c r="C2776">
        <f>IF(VLOOKUP(Table7[[#This Row],[Date]],Database!$A:$C,MATCH($C$1,Database!$A$1:$C$1,),)=0,#N/A,VLOOKUP(Table7[[#This Row],[Date]],Database!$A:$C,MATCH($C$1,Database!$A$1:$C$1,),))</f>
        <v/>
      </c>
      <c r="D2776">
        <f>IFERROR(Table7[[#This Row],[United States 10y]]-Table7[[#This Row],[United States 3y]],#N/A)</f>
        <v/>
      </c>
    </row>
    <row r="2777">
      <c r="A2777" s="6">
        <f>Database!$A4862</f>
        <v/>
      </c>
      <c r="B2777">
        <f>IF(VLOOKUP(Table7[[#This Row],[Date]],Database!$A:$C,MATCH($B$1,Database!$A$1:$C$1,),)=0,#N/A,VLOOKUP(Table7[[#This Row],[Date]],Database!$A:$C,MATCH($B$1,Database!$A$1:$C$1,),))</f>
        <v/>
      </c>
      <c r="C2777">
        <f>IF(VLOOKUP(Table7[[#This Row],[Date]],Database!$A:$C,MATCH($C$1,Database!$A$1:$C$1,),)=0,#N/A,VLOOKUP(Table7[[#This Row],[Date]],Database!$A:$C,MATCH($C$1,Database!$A$1:$C$1,),))</f>
        <v/>
      </c>
      <c r="D2777">
        <f>IFERROR(Table7[[#This Row],[United States 10y]]-Table7[[#This Row],[United States 3y]],#N/A)</f>
        <v/>
      </c>
    </row>
    <row r="2778">
      <c r="A2778" s="6">
        <f>Database!$A4863</f>
        <v/>
      </c>
      <c r="B2778">
        <f>IF(VLOOKUP(Table7[[#This Row],[Date]],Database!$A:$C,MATCH($B$1,Database!$A$1:$C$1,),)=0,#N/A,VLOOKUP(Table7[[#This Row],[Date]],Database!$A:$C,MATCH($B$1,Database!$A$1:$C$1,),))</f>
        <v/>
      </c>
      <c r="C2778">
        <f>IF(VLOOKUP(Table7[[#This Row],[Date]],Database!$A:$C,MATCH($C$1,Database!$A$1:$C$1,),)=0,#N/A,VLOOKUP(Table7[[#This Row],[Date]],Database!$A:$C,MATCH($C$1,Database!$A$1:$C$1,),))</f>
        <v/>
      </c>
      <c r="D2778">
        <f>IFERROR(Table7[[#This Row],[United States 10y]]-Table7[[#This Row],[United States 3y]],#N/A)</f>
        <v/>
      </c>
    </row>
    <row r="2779">
      <c r="A2779" s="6">
        <f>Database!$A4864</f>
        <v/>
      </c>
      <c r="B2779">
        <f>IF(VLOOKUP(Table7[[#This Row],[Date]],Database!$A:$C,MATCH($B$1,Database!$A$1:$C$1,),)=0,#N/A,VLOOKUP(Table7[[#This Row],[Date]],Database!$A:$C,MATCH($B$1,Database!$A$1:$C$1,),))</f>
        <v/>
      </c>
      <c r="C2779">
        <f>IF(VLOOKUP(Table7[[#This Row],[Date]],Database!$A:$C,MATCH($C$1,Database!$A$1:$C$1,),)=0,#N/A,VLOOKUP(Table7[[#This Row],[Date]],Database!$A:$C,MATCH($C$1,Database!$A$1:$C$1,),))</f>
        <v/>
      </c>
      <c r="D2779">
        <f>IFERROR(Table7[[#This Row],[United States 10y]]-Table7[[#This Row],[United States 3y]],#N/A)</f>
        <v/>
      </c>
    </row>
    <row r="2780">
      <c r="A2780" s="6">
        <f>Database!$A4865</f>
        <v/>
      </c>
      <c r="B2780">
        <f>IF(VLOOKUP(Table7[[#This Row],[Date]],Database!$A:$C,MATCH($B$1,Database!$A$1:$C$1,),)=0,#N/A,VLOOKUP(Table7[[#This Row],[Date]],Database!$A:$C,MATCH($B$1,Database!$A$1:$C$1,),))</f>
        <v/>
      </c>
      <c r="C2780">
        <f>IF(VLOOKUP(Table7[[#This Row],[Date]],Database!$A:$C,MATCH($C$1,Database!$A$1:$C$1,),)=0,#N/A,VLOOKUP(Table7[[#This Row],[Date]],Database!$A:$C,MATCH($C$1,Database!$A$1:$C$1,),))</f>
        <v/>
      </c>
      <c r="D2780">
        <f>IFERROR(Table7[[#This Row],[United States 10y]]-Table7[[#This Row],[United States 3y]],#N/A)</f>
        <v/>
      </c>
    </row>
    <row r="2781">
      <c r="A2781" s="6">
        <f>Database!$A4866</f>
        <v/>
      </c>
      <c r="B2781">
        <f>IF(VLOOKUP(Table7[[#This Row],[Date]],Database!$A:$C,MATCH($B$1,Database!$A$1:$C$1,),)=0,#N/A,VLOOKUP(Table7[[#This Row],[Date]],Database!$A:$C,MATCH($B$1,Database!$A$1:$C$1,),))</f>
        <v/>
      </c>
      <c r="C2781">
        <f>IF(VLOOKUP(Table7[[#This Row],[Date]],Database!$A:$C,MATCH($C$1,Database!$A$1:$C$1,),)=0,#N/A,VLOOKUP(Table7[[#This Row],[Date]],Database!$A:$C,MATCH($C$1,Database!$A$1:$C$1,),))</f>
        <v/>
      </c>
      <c r="D2781">
        <f>IFERROR(Table7[[#This Row],[United States 10y]]-Table7[[#This Row],[United States 3y]],#N/A)</f>
        <v/>
      </c>
    </row>
    <row r="2782">
      <c r="A2782" s="6">
        <f>Database!$A4867</f>
        <v/>
      </c>
      <c r="B2782">
        <f>IF(VLOOKUP(Table7[[#This Row],[Date]],Database!$A:$C,MATCH($B$1,Database!$A$1:$C$1,),)=0,#N/A,VLOOKUP(Table7[[#This Row],[Date]],Database!$A:$C,MATCH($B$1,Database!$A$1:$C$1,),))</f>
        <v/>
      </c>
      <c r="C2782">
        <f>IF(VLOOKUP(Table7[[#This Row],[Date]],Database!$A:$C,MATCH($C$1,Database!$A$1:$C$1,),)=0,#N/A,VLOOKUP(Table7[[#This Row],[Date]],Database!$A:$C,MATCH($C$1,Database!$A$1:$C$1,),))</f>
        <v/>
      </c>
      <c r="D2782">
        <f>IFERROR(Table7[[#This Row],[United States 10y]]-Table7[[#This Row],[United States 3y]],#N/A)</f>
        <v/>
      </c>
    </row>
    <row r="2783">
      <c r="A2783" s="6">
        <f>Database!$A4868</f>
        <v/>
      </c>
      <c r="B2783">
        <f>IF(VLOOKUP(Table7[[#This Row],[Date]],Database!$A:$C,MATCH($B$1,Database!$A$1:$C$1,),)=0,#N/A,VLOOKUP(Table7[[#This Row],[Date]],Database!$A:$C,MATCH($B$1,Database!$A$1:$C$1,),))</f>
        <v/>
      </c>
      <c r="C2783">
        <f>IF(VLOOKUP(Table7[[#This Row],[Date]],Database!$A:$C,MATCH($C$1,Database!$A$1:$C$1,),)=0,#N/A,VLOOKUP(Table7[[#This Row],[Date]],Database!$A:$C,MATCH($C$1,Database!$A$1:$C$1,),))</f>
        <v/>
      </c>
      <c r="D2783">
        <f>IFERROR(Table7[[#This Row],[United States 10y]]-Table7[[#This Row],[United States 3y]],#N/A)</f>
        <v/>
      </c>
    </row>
    <row r="2784">
      <c r="A2784" s="6">
        <f>Database!$A4869</f>
        <v/>
      </c>
      <c r="B2784">
        <f>IF(VLOOKUP(Table7[[#This Row],[Date]],Database!$A:$C,MATCH($B$1,Database!$A$1:$C$1,),)=0,#N/A,VLOOKUP(Table7[[#This Row],[Date]],Database!$A:$C,MATCH($B$1,Database!$A$1:$C$1,),))</f>
        <v/>
      </c>
      <c r="C2784">
        <f>IF(VLOOKUP(Table7[[#This Row],[Date]],Database!$A:$C,MATCH($C$1,Database!$A$1:$C$1,),)=0,#N/A,VLOOKUP(Table7[[#This Row],[Date]],Database!$A:$C,MATCH($C$1,Database!$A$1:$C$1,),))</f>
        <v/>
      </c>
      <c r="D2784">
        <f>IFERROR(Table7[[#This Row],[United States 10y]]-Table7[[#This Row],[United States 3y]],#N/A)</f>
        <v/>
      </c>
    </row>
    <row r="2785">
      <c r="A2785" s="6">
        <f>Database!$A4870</f>
        <v/>
      </c>
      <c r="B2785">
        <f>IF(VLOOKUP(Table7[[#This Row],[Date]],Database!$A:$C,MATCH($B$1,Database!$A$1:$C$1,),)=0,#N/A,VLOOKUP(Table7[[#This Row],[Date]],Database!$A:$C,MATCH($B$1,Database!$A$1:$C$1,),))</f>
        <v/>
      </c>
      <c r="C2785">
        <f>IF(VLOOKUP(Table7[[#This Row],[Date]],Database!$A:$C,MATCH($C$1,Database!$A$1:$C$1,),)=0,#N/A,VLOOKUP(Table7[[#This Row],[Date]],Database!$A:$C,MATCH($C$1,Database!$A$1:$C$1,),))</f>
        <v/>
      </c>
      <c r="D2785">
        <f>IFERROR(Table7[[#This Row],[United States 10y]]-Table7[[#This Row],[United States 3y]],#N/A)</f>
        <v/>
      </c>
    </row>
    <row r="2786">
      <c r="A2786" s="6">
        <f>Database!$A4871</f>
        <v/>
      </c>
      <c r="B2786">
        <f>IF(VLOOKUP(Table7[[#This Row],[Date]],Database!$A:$C,MATCH($B$1,Database!$A$1:$C$1,),)=0,#N/A,VLOOKUP(Table7[[#This Row],[Date]],Database!$A:$C,MATCH($B$1,Database!$A$1:$C$1,),))</f>
        <v/>
      </c>
      <c r="C2786">
        <f>IF(VLOOKUP(Table7[[#This Row],[Date]],Database!$A:$C,MATCH($C$1,Database!$A$1:$C$1,),)=0,#N/A,VLOOKUP(Table7[[#This Row],[Date]],Database!$A:$C,MATCH($C$1,Database!$A$1:$C$1,),))</f>
        <v/>
      </c>
      <c r="D2786">
        <f>IFERROR(Table7[[#This Row],[United States 10y]]-Table7[[#This Row],[United States 3y]],#N/A)</f>
        <v/>
      </c>
    </row>
    <row r="2787">
      <c r="A2787" s="6">
        <f>Database!$A4872</f>
        <v/>
      </c>
      <c r="B2787">
        <f>IF(VLOOKUP(Table7[[#This Row],[Date]],Database!$A:$C,MATCH($B$1,Database!$A$1:$C$1,),)=0,#N/A,VLOOKUP(Table7[[#This Row],[Date]],Database!$A:$C,MATCH($B$1,Database!$A$1:$C$1,),))</f>
        <v/>
      </c>
      <c r="C2787">
        <f>IF(VLOOKUP(Table7[[#This Row],[Date]],Database!$A:$C,MATCH($C$1,Database!$A$1:$C$1,),)=0,#N/A,VLOOKUP(Table7[[#This Row],[Date]],Database!$A:$C,MATCH($C$1,Database!$A$1:$C$1,),))</f>
        <v/>
      </c>
      <c r="D2787">
        <f>IFERROR(Table7[[#This Row],[United States 10y]]-Table7[[#This Row],[United States 3y]],#N/A)</f>
        <v/>
      </c>
    </row>
    <row r="2788">
      <c r="A2788" s="6">
        <f>Database!$A4873</f>
        <v/>
      </c>
      <c r="B2788">
        <f>IF(VLOOKUP(Table7[[#This Row],[Date]],Database!$A:$C,MATCH($B$1,Database!$A$1:$C$1,),)=0,#N/A,VLOOKUP(Table7[[#This Row],[Date]],Database!$A:$C,MATCH($B$1,Database!$A$1:$C$1,),))</f>
        <v/>
      </c>
      <c r="C2788">
        <f>IF(VLOOKUP(Table7[[#This Row],[Date]],Database!$A:$C,MATCH($C$1,Database!$A$1:$C$1,),)=0,#N/A,VLOOKUP(Table7[[#This Row],[Date]],Database!$A:$C,MATCH($C$1,Database!$A$1:$C$1,),))</f>
        <v/>
      </c>
      <c r="D2788">
        <f>IFERROR(Table7[[#This Row],[United States 10y]]-Table7[[#This Row],[United States 3y]],#N/A)</f>
        <v/>
      </c>
    </row>
    <row r="2789">
      <c r="A2789" s="6">
        <f>Database!$A4874</f>
        <v/>
      </c>
      <c r="B2789">
        <f>IF(VLOOKUP(Table7[[#This Row],[Date]],Database!$A:$C,MATCH($B$1,Database!$A$1:$C$1,),)=0,#N/A,VLOOKUP(Table7[[#This Row],[Date]],Database!$A:$C,MATCH($B$1,Database!$A$1:$C$1,),))</f>
        <v/>
      </c>
      <c r="C2789">
        <f>IF(VLOOKUP(Table7[[#This Row],[Date]],Database!$A:$C,MATCH($C$1,Database!$A$1:$C$1,),)=0,#N/A,VLOOKUP(Table7[[#This Row],[Date]],Database!$A:$C,MATCH($C$1,Database!$A$1:$C$1,),))</f>
        <v/>
      </c>
      <c r="D2789">
        <f>IFERROR(Table7[[#This Row],[United States 10y]]-Table7[[#This Row],[United States 3y]],#N/A)</f>
        <v/>
      </c>
    </row>
    <row r="2790">
      <c r="A2790" s="6">
        <f>Database!$A4875</f>
        <v/>
      </c>
      <c r="B2790">
        <f>IF(VLOOKUP(Table7[[#This Row],[Date]],Database!$A:$C,MATCH($B$1,Database!$A$1:$C$1,),)=0,#N/A,VLOOKUP(Table7[[#This Row],[Date]],Database!$A:$C,MATCH($B$1,Database!$A$1:$C$1,),))</f>
        <v/>
      </c>
      <c r="C2790">
        <f>IF(VLOOKUP(Table7[[#This Row],[Date]],Database!$A:$C,MATCH($C$1,Database!$A$1:$C$1,),)=0,#N/A,VLOOKUP(Table7[[#This Row],[Date]],Database!$A:$C,MATCH($C$1,Database!$A$1:$C$1,),))</f>
        <v/>
      </c>
      <c r="D2790">
        <f>IFERROR(Table7[[#This Row],[United States 10y]]-Table7[[#This Row],[United States 3y]],#N/A)</f>
        <v/>
      </c>
    </row>
    <row r="2791">
      <c r="A2791" s="6">
        <f>Database!$A4876</f>
        <v/>
      </c>
      <c r="B2791">
        <f>IF(VLOOKUP(Table7[[#This Row],[Date]],Database!$A:$C,MATCH($B$1,Database!$A$1:$C$1,),)=0,#N/A,VLOOKUP(Table7[[#This Row],[Date]],Database!$A:$C,MATCH($B$1,Database!$A$1:$C$1,),))</f>
        <v/>
      </c>
      <c r="C2791">
        <f>IF(VLOOKUP(Table7[[#This Row],[Date]],Database!$A:$C,MATCH($C$1,Database!$A$1:$C$1,),)=0,#N/A,VLOOKUP(Table7[[#This Row],[Date]],Database!$A:$C,MATCH($C$1,Database!$A$1:$C$1,),))</f>
        <v/>
      </c>
      <c r="D2791">
        <f>IFERROR(Table7[[#This Row],[United States 10y]]-Table7[[#This Row],[United States 3y]],#N/A)</f>
        <v/>
      </c>
    </row>
    <row r="2792">
      <c r="A2792" s="6">
        <f>Database!$A4877</f>
        <v/>
      </c>
      <c r="B2792">
        <f>IF(VLOOKUP(Table7[[#This Row],[Date]],Database!$A:$C,MATCH($B$1,Database!$A$1:$C$1,),)=0,#N/A,VLOOKUP(Table7[[#This Row],[Date]],Database!$A:$C,MATCH($B$1,Database!$A$1:$C$1,),))</f>
        <v/>
      </c>
      <c r="C2792">
        <f>IF(VLOOKUP(Table7[[#This Row],[Date]],Database!$A:$C,MATCH($C$1,Database!$A$1:$C$1,),)=0,#N/A,VLOOKUP(Table7[[#This Row],[Date]],Database!$A:$C,MATCH($C$1,Database!$A$1:$C$1,),))</f>
        <v/>
      </c>
      <c r="D2792">
        <f>IFERROR(Table7[[#This Row],[United States 10y]]-Table7[[#This Row],[United States 3y]],#N/A)</f>
        <v/>
      </c>
    </row>
    <row r="2793">
      <c r="A2793" s="6">
        <f>Database!$A4878</f>
        <v/>
      </c>
      <c r="B2793">
        <f>IF(VLOOKUP(Table7[[#This Row],[Date]],Database!$A:$C,MATCH($B$1,Database!$A$1:$C$1,),)=0,#N/A,VLOOKUP(Table7[[#This Row],[Date]],Database!$A:$C,MATCH($B$1,Database!$A$1:$C$1,),))</f>
        <v/>
      </c>
      <c r="C2793">
        <f>IF(VLOOKUP(Table7[[#This Row],[Date]],Database!$A:$C,MATCH($C$1,Database!$A$1:$C$1,),)=0,#N/A,VLOOKUP(Table7[[#This Row],[Date]],Database!$A:$C,MATCH($C$1,Database!$A$1:$C$1,),))</f>
        <v/>
      </c>
      <c r="D2793">
        <f>IFERROR(Table7[[#This Row],[United States 10y]]-Table7[[#This Row],[United States 3y]],#N/A)</f>
        <v/>
      </c>
    </row>
    <row r="2794">
      <c r="A2794" s="6">
        <f>Database!$A4879</f>
        <v/>
      </c>
      <c r="B2794">
        <f>IF(VLOOKUP(Table7[[#This Row],[Date]],Database!$A:$C,MATCH($B$1,Database!$A$1:$C$1,),)=0,#N/A,VLOOKUP(Table7[[#This Row],[Date]],Database!$A:$C,MATCH($B$1,Database!$A$1:$C$1,),))</f>
        <v/>
      </c>
      <c r="C2794">
        <f>IF(VLOOKUP(Table7[[#This Row],[Date]],Database!$A:$C,MATCH($C$1,Database!$A$1:$C$1,),)=0,#N/A,VLOOKUP(Table7[[#This Row],[Date]],Database!$A:$C,MATCH($C$1,Database!$A$1:$C$1,),))</f>
        <v/>
      </c>
      <c r="D2794">
        <f>IFERROR(Table7[[#This Row],[United States 10y]]-Table7[[#This Row],[United States 3y]],#N/A)</f>
        <v/>
      </c>
    </row>
    <row r="2795">
      <c r="A2795" s="6">
        <f>Database!$A4880</f>
        <v/>
      </c>
      <c r="B2795">
        <f>IF(VLOOKUP(Table7[[#This Row],[Date]],Database!$A:$C,MATCH($B$1,Database!$A$1:$C$1,),)=0,#N/A,VLOOKUP(Table7[[#This Row],[Date]],Database!$A:$C,MATCH($B$1,Database!$A$1:$C$1,),))</f>
        <v/>
      </c>
      <c r="C2795">
        <f>IF(VLOOKUP(Table7[[#This Row],[Date]],Database!$A:$C,MATCH($C$1,Database!$A$1:$C$1,),)=0,#N/A,VLOOKUP(Table7[[#This Row],[Date]],Database!$A:$C,MATCH($C$1,Database!$A$1:$C$1,),))</f>
        <v/>
      </c>
      <c r="D2795">
        <f>IFERROR(Table7[[#This Row],[United States 10y]]-Table7[[#This Row],[United States 3y]],#N/A)</f>
        <v/>
      </c>
    </row>
    <row r="2796">
      <c r="A2796" s="6">
        <f>Database!$A4881</f>
        <v/>
      </c>
      <c r="B2796">
        <f>IF(VLOOKUP(Table7[[#This Row],[Date]],Database!$A:$C,MATCH($B$1,Database!$A$1:$C$1,),)=0,#N/A,VLOOKUP(Table7[[#This Row],[Date]],Database!$A:$C,MATCH($B$1,Database!$A$1:$C$1,),))</f>
        <v/>
      </c>
      <c r="C2796">
        <f>IF(VLOOKUP(Table7[[#This Row],[Date]],Database!$A:$C,MATCH($C$1,Database!$A$1:$C$1,),)=0,#N/A,VLOOKUP(Table7[[#This Row],[Date]],Database!$A:$C,MATCH($C$1,Database!$A$1:$C$1,),))</f>
        <v/>
      </c>
      <c r="D2796">
        <f>IFERROR(Table7[[#This Row],[United States 10y]]-Table7[[#This Row],[United States 3y]],#N/A)</f>
        <v/>
      </c>
    </row>
    <row r="2797">
      <c r="A2797" s="6">
        <f>Database!$A4882</f>
        <v/>
      </c>
      <c r="B2797">
        <f>IF(VLOOKUP(Table7[[#This Row],[Date]],Database!$A:$C,MATCH($B$1,Database!$A$1:$C$1,),)=0,#N/A,VLOOKUP(Table7[[#This Row],[Date]],Database!$A:$C,MATCH($B$1,Database!$A$1:$C$1,),))</f>
        <v/>
      </c>
      <c r="C2797">
        <f>IF(VLOOKUP(Table7[[#This Row],[Date]],Database!$A:$C,MATCH($C$1,Database!$A$1:$C$1,),)=0,#N/A,VLOOKUP(Table7[[#This Row],[Date]],Database!$A:$C,MATCH($C$1,Database!$A$1:$C$1,),))</f>
        <v/>
      </c>
      <c r="D2797">
        <f>IFERROR(Table7[[#This Row],[United States 10y]]-Table7[[#This Row],[United States 3y]],#N/A)</f>
        <v/>
      </c>
    </row>
    <row r="2798">
      <c r="A2798" s="6">
        <f>Database!$A4883</f>
        <v/>
      </c>
      <c r="B2798">
        <f>IF(VLOOKUP(Table7[[#This Row],[Date]],Database!$A:$C,MATCH($B$1,Database!$A$1:$C$1,),)=0,#N/A,VLOOKUP(Table7[[#This Row],[Date]],Database!$A:$C,MATCH($B$1,Database!$A$1:$C$1,),))</f>
        <v/>
      </c>
      <c r="C2798">
        <f>IF(VLOOKUP(Table7[[#This Row],[Date]],Database!$A:$C,MATCH($C$1,Database!$A$1:$C$1,),)=0,#N/A,VLOOKUP(Table7[[#This Row],[Date]],Database!$A:$C,MATCH($C$1,Database!$A$1:$C$1,),))</f>
        <v/>
      </c>
      <c r="D2798">
        <f>IFERROR(Table7[[#This Row],[United States 10y]]-Table7[[#This Row],[United States 3y]],#N/A)</f>
        <v/>
      </c>
    </row>
    <row r="2799">
      <c r="A2799" s="6">
        <f>Database!$A4884</f>
        <v/>
      </c>
      <c r="B2799">
        <f>IF(VLOOKUP(Table7[[#This Row],[Date]],Database!$A:$C,MATCH($B$1,Database!$A$1:$C$1,),)=0,#N/A,VLOOKUP(Table7[[#This Row],[Date]],Database!$A:$C,MATCH($B$1,Database!$A$1:$C$1,),))</f>
        <v/>
      </c>
      <c r="C2799">
        <f>IF(VLOOKUP(Table7[[#This Row],[Date]],Database!$A:$C,MATCH($C$1,Database!$A$1:$C$1,),)=0,#N/A,VLOOKUP(Table7[[#This Row],[Date]],Database!$A:$C,MATCH($C$1,Database!$A$1:$C$1,),))</f>
        <v/>
      </c>
      <c r="D2799">
        <f>IFERROR(Table7[[#This Row],[United States 10y]]-Table7[[#This Row],[United States 3y]],#N/A)</f>
        <v/>
      </c>
    </row>
    <row r="2800">
      <c r="A2800" s="6">
        <f>Database!$A4885</f>
        <v/>
      </c>
      <c r="B2800">
        <f>IF(VLOOKUP(Table7[[#This Row],[Date]],Database!$A:$C,MATCH($B$1,Database!$A$1:$C$1,),)=0,#N/A,VLOOKUP(Table7[[#This Row],[Date]],Database!$A:$C,MATCH($B$1,Database!$A$1:$C$1,),))</f>
        <v/>
      </c>
      <c r="C2800">
        <f>IF(VLOOKUP(Table7[[#This Row],[Date]],Database!$A:$C,MATCH($C$1,Database!$A$1:$C$1,),)=0,#N/A,VLOOKUP(Table7[[#This Row],[Date]],Database!$A:$C,MATCH($C$1,Database!$A$1:$C$1,),))</f>
        <v/>
      </c>
      <c r="D2800">
        <f>IFERROR(Table7[[#This Row],[United States 10y]]-Table7[[#This Row],[United States 3y]],#N/A)</f>
        <v/>
      </c>
    </row>
    <row r="2801">
      <c r="A2801" s="6">
        <f>Database!$A4886</f>
        <v/>
      </c>
      <c r="B2801">
        <f>IF(VLOOKUP(Table7[[#This Row],[Date]],Database!$A:$C,MATCH($B$1,Database!$A$1:$C$1,),)=0,#N/A,VLOOKUP(Table7[[#This Row],[Date]],Database!$A:$C,MATCH($B$1,Database!$A$1:$C$1,),))</f>
        <v/>
      </c>
      <c r="C2801">
        <f>IF(VLOOKUP(Table7[[#This Row],[Date]],Database!$A:$C,MATCH($C$1,Database!$A$1:$C$1,),)=0,#N/A,VLOOKUP(Table7[[#This Row],[Date]],Database!$A:$C,MATCH($C$1,Database!$A$1:$C$1,),))</f>
        <v/>
      </c>
      <c r="D2801">
        <f>IFERROR(Table7[[#This Row],[United States 10y]]-Table7[[#This Row],[United States 3y]],#N/A)</f>
        <v/>
      </c>
    </row>
    <row r="2802">
      <c r="A2802" s="6">
        <f>Database!$A4887</f>
        <v/>
      </c>
      <c r="B2802">
        <f>IF(VLOOKUP(Table7[[#This Row],[Date]],Database!$A:$C,MATCH($B$1,Database!$A$1:$C$1,),)=0,#N/A,VLOOKUP(Table7[[#This Row],[Date]],Database!$A:$C,MATCH($B$1,Database!$A$1:$C$1,),))</f>
        <v/>
      </c>
      <c r="C2802">
        <f>IF(VLOOKUP(Table7[[#This Row],[Date]],Database!$A:$C,MATCH($C$1,Database!$A$1:$C$1,),)=0,#N/A,VLOOKUP(Table7[[#This Row],[Date]],Database!$A:$C,MATCH($C$1,Database!$A$1:$C$1,),))</f>
        <v/>
      </c>
      <c r="D2802">
        <f>IFERROR(Table7[[#This Row],[United States 10y]]-Table7[[#This Row],[United States 3y]],#N/A)</f>
        <v/>
      </c>
    </row>
    <row r="2803">
      <c r="A2803" s="6">
        <f>Database!$A4888</f>
        <v/>
      </c>
      <c r="B2803">
        <f>IF(VLOOKUP(Table7[[#This Row],[Date]],Database!$A:$C,MATCH($B$1,Database!$A$1:$C$1,),)=0,#N/A,VLOOKUP(Table7[[#This Row],[Date]],Database!$A:$C,MATCH($B$1,Database!$A$1:$C$1,),))</f>
        <v/>
      </c>
      <c r="C2803">
        <f>IF(VLOOKUP(Table7[[#This Row],[Date]],Database!$A:$C,MATCH($C$1,Database!$A$1:$C$1,),)=0,#N/A,VLOOKUP(Table7[[#This Row],[Date]],Database!$A:$C,MATCH($C$1,Database!$A$1:$C$1,),))</f>
        <v/>
      </c>
      <c r="D2803">
        <f>IFERROR(Table7[[#This Row],[United States 10y]]-Table7[[#This Row],[United States 3y]],#N/A)</f>
        <v/>
      </c>
    </row>
    <row r="2804">
      <c r="A2804" s="6">
        <f>Database!$A4889</f>
        <v/>
      </c>
      <c r="B2804">
        <f>IF(VLOOKUP(Table7[[#This Row],[Date]],Database!$A:$C,MATCH($B$1,Database!$A$1:$C$1,),)=0,#N/A,VLOOKUP(Table7[[#This Row],[Date]],Database!$A:$C,MATCH($B$1,Database!$A$1:$C$1,),))</f>
        <v/>
      </c>
      <c r="C2804">
        <f>IF(VLOOKUP(Table7[[#This Row],[Date]],Database!$A:$C,MATCH($C$1,Database!$A$1:$C$1,),)=0,#N/A,VLOOKUP(Table7[[#This Row],[Date]],Database!$A:$C,MATCH($C$1,Database!$A$1:$C$1,),))</f>
        <v/>
      </c>
      <c r="D2804">
        <f>IFERROR(Table7[[#This Row],[United States 10y]]-Table7[[#This Row],[United States 3y]],#N/A)</f>
        <v/>
      </c>
    </row>
    <row r="2805">
      <c r="A2805" s="6">
        <f>Database!$A4890</f>
        <v/>
      </c>
      <c r="B2805">
        <f>IF(VLOOKUP(Table7[[#This Row],[Date]],Database!$A:$C,MATCH($B$1,Database!$A$1:$C$1,),)=0,#N/A,VLOOKUP(Table7[[#This Row],[Date]],Database!$A:$C,MATCH($B$1,Database!$A$1:$C$1,),))</f>
        <v/>
      </c>
      <c r="C2805">
        <f>IF(VLOOKUP(Table7[[#This Row],[Date]],Database!$A:$C,MATCH($C$1,Database!$A$1:$C$1,),)=0,#N/A,VLOOKUP(Table7[[#This Row],[Date]],Database!$A:$C,MATCH($C$1,Database!$A$1:$C$1,),))</f>
        <v/>
      </c>
      <c r="D2805">
        <f>IFERROR(Table7[[#This Row],[United States 10y]]-Table7[[#This Row],[United States 3y]],#N/A)</f>
        <v/>
      </c>
    </row>
    <row r="2806">
      <c r="A2806" s="6">
        <f>Database!$A4891</f>
        <v/>
      </c>
      <c r="B2806">
        <f>IF(VLOOKUP(Table7[[#This Row],[Date]],Database!$A:$C,MATCH($B$1,Database!$A$1:$C$1,),)=0,#N/A,VLOOKUP(Table7[[#This Row],[Date]],Database!$A:$C,MATCH($B$1,Database!$A$1:$C$1,),))</f>
        <v/>
      </c>
      <c r="C2806">
        <f>IF(VLOOKUP(Table7[[#This Row],[Date]],Database!$A:$C,MATCH($C$1,Database!$A$1:$C$1,),)=0,#N/A,VLOOKUP(Table7[[#This Row],[Date]],Database!$A:$C,MATCH($C$1,Database!$A$1:$C$1,),))</f>
        <v/>
      </c>
      <c r="D2806">
        <f>IFERROR(Table7[[#This Row],[United States 10y]]-Table7[[#This Row],[United States 3y]],#N/A)</f>
        <v/>
      </c>
    </row>
    <row r="2807">
      <c r="A2807" s="6">
        <f>Database!$A4892</f>
        <v/>
      </c>
      <c r="B2807">
        <f>IF(VLOOKUP(Table7[[#This Row],[Date]],Database!$A:$C,MATCH($B$1,Database!$A$1:$C$1,),)=0,#N/A,VLOOKUP(Table7[[#This Row],[Date]],Database!$A:$C,MATCH($B$1,Database!$A$1:$C$1,),))</f>
        <v/>
      </c>
      <c r="C2807">
        <f>IF(VLOOKUP(Table7[[#This Row],[Date]],Database!$A:$C,MATCH($C$1,Database!$A$1:$C$1,),)=0,#N/A,VLOOKUP(Table7[[#This Row],[Date]],Database!$A:$C,MATCH($C$1,Database!$A$1:$C$1,),))</f>
        <v/>
      </c>
      <c r="D2807">
        <f>IFERROR(Table7[[#This Row],[United States 10y]]-Table7[[#This Row],[United States 3y]],#N/A)</f>
        <v/>
      </c>
    </row>
    <row r="2808">
      <c r="A2808" s="6">
        <f>Database!$A4893</f>
        <v/>
      </c>
      <c r="B2808">
        <f>IF(VLOOKUP(Table7[[#This Row],[Date]],Database!$A:$C,MATCH($B$1,Database!$A$1:$C$1,),)=0,#N/A,VLOOKUP(Table7[[#This Row],[Date]],Database!$A:$C,MATCH($B$1,Database!$A$1:$C$1,),))</f>
        <v/>
      </c>
      <c r="C2808">
        <f>IF(VLOOKUP(Table7[[#This Row],[Date]],Database!$A:$C,MATCH($C$1,Database!$A$1:$C$1,),)=0,#N/A,VLOOKUP(Table7[[#This Row],[Date]],Database!$A:$C,MATCH($C$1,Database!$A$1:$C$1,),))</f>
        <v/>
      </c>
      <c r="D2808">
        <f>IFERROR(Table7[[#This Row],[United States 10y]]-Table7[[#This Row],[United States 3y]],#N/A)</f>
        <v/>
      </c>
    </row>
    <row r="2809">
      <c r="A2809" s="6">
        <f>Database!$A4894</f>
        <v/>
      </c>
      <c r="B2809">
        <f>IF(VLOOKUP(Table7[[#This Row],[Date]],Database!$A:$C,MATCH($B$1,Database!$A$1:$C$1,),)=0,#N/A,VLOOKUP(Table7[[#This Row],[Date]],Database!$A:$C,MATCH($B$1,Database!$A$1:$C$1,),))</f>
        <v/>
      </c>
      <c r="C2809">
        <f>IF(VLOOKUP(Table7[[#This Row],[Date]],Database!$A:$C,MATCH($C$1,Database!$A$1:$C$1,),)=0,#N/A,VLOOKUP(Table7[[#This Row],[Date]],Database!$A:$C,MATCH($C$1,Database!$A$1:$C$1,),))</f>
        <v/>
      </c>
      <c r="D2809">
        <f>IFERROR(Table7[[#This Row],[United States 10y]]-Table7[[#This Row],[United States 3y]],#N/A)</f>
        <v/>
      </c>
    </row>
    <row r="2810">
      <c r="A2810" s="6">
        <f>Database!$A4895</f>
        <v/>
      </c>
      <c r="B2810">
        <f>IF(VLOOKUP(Table7[[#This Row],[Date]],Database!$A:$C,MATCH($B$1,Database!$A$1:$C$1,),)=0,#N/A,VLOOKUP(Table7[[#This Row],[Date]],Database!$A:$C,MATCH($B$1,Database!$A$1:$C$1,),))</f>
        <v/>
      </c>
      <c r="C2810">
        <f>IF(VLOOKUP(Table7[[#This Row],[Date]],Database!$A:$C,MATCH($C$1,Database!$A$1:$C$1,),)=0,#N/A,VLOOKUP(Table7[[#This Row],[Date]],Database!$A:$C,MATCH($C$1,Database!$A$1:$C$1,),))</f>
        <v/>
      </c>
      <c r="D2810">
        <f>IFERROR(Table7[[#This Row],[United States 10y]]-Table7[[#This Row],[United States 3y]],#N/A)</f>
        <v/>
      </c>
    </row>
    <row r="2811">
      <c r="A2811" s="6">
        <f>Database!$A4896</f>
        <v/>
      </c>
      <c r="B2811">
        <f>IF(VLOOKUP(Table7[[#This Row],[Date]],Database!$A:$C,MATCH($B$1,Database!$A$1:$C$1,),)=0,#N/A,VLOOKUP(Table7[[#This Row],[Date]],Database!$A:$C,MATCH($B$1,Database!$A$1:$C$1,),))</f>
        <v/>
      </c>
      <c r="C2811">
        <f>IF(VLOOKUP(Table7[[#This Row],[Date]],Database!$A:$C,MATCH($C$1,Database!$A$1:$C$1,),)=0,#N/A,VLOOKUP(Table7[[#This Row],[Date]],Database!$A:$C,MATCH($C$1,Database!$A$1:$C$1,),))</f>
        <v/>
      </c>
      <c r="D2811">
        <f>IFERROR(Table7[[#This Row],[United States 10y]]-Table7[[#This Row],[United States 3y]],#N/A)</f>
        <v/>
      </c>
    </row>
    <row r="2812">
      <c r="A2812" s="6">
        <f>Database!$A4897</f>
        <v/>
      </c>
      <c r="B2812">
        <f>IF(VLOOKUP(Table7[[#This Row],[Date]],Database!$A:$C,MATCH($B$1,Database!$A$1:$C$1,),)=0,#N/A,VLOOKUP(Table7[[#This Row],[Date]],Database!$A:$C,MATCH($B$1,Database!$A$1:$C$1,),))</f>
        <v/>
      </c>
      <c r="C2812">
        <f>IF(VLOOKUP(Table7[[#This Row],[Date]],Database!$A:$C,MATCH($C$1,Database!$A$1:$C$1,),)=0,#N/A,VLOOKUP(Table7[[#This Row],[Date]],Database!$A:$C,MATCH($C$1,Database!$A$1:$C$1,),))</f>
        <v/>
      </c>
      <c r="D2812">
        <f>IFERROR(Table7[[#This Row],[United States 10y]]-Table7[[#This Row],[United States 3y]],#N/A)</f>
        <v/>
      </c>
    </row>
    <row r="2813">
      <c r="A2813" s="6">
        <f>Database!$A4898</f>
        <v/>
      </c>
      <c r="B2813">
        <f>IF(VLOOKUP(Table7[[#This Row],[Date]],Database!$A:$C,MATCH($B$1,Database!$A$1:$C$1,),)=0,#N/A,VLOOKUP(Table7[[#This Row],[Date]],Database!$A:$C,MATCH($B$1,Database!$A$1:$C$1,),))</f>
        <v/>
      </c>
      <c r="C2813">
        <f>IF(VLOOKUP(Table7[[#This Row],[Date]],Database!$A:$C,MATCH($C$1,Database!$A$1:$C$1,),)=0,#N/A,VLOOKUP(Table7[[#This Row],[Date]],Database!$A:$C,MATCH($C$1,Database!$A$1:$C$1,),))</f>
        <v/>
      </c>
      <c r="D2813">
        <f>IFERROR(Table7[[#This Row],[United States 10y]]-Table7[[#This Row],[United States 3y]],#N/A)</f>
        <v/>
      </c>
    </row>
    <row r="2814">
      <c r="A2814" s="6">
        <f>Database!$A4899</f>
        <v/>
      </c>
      <c r="B2814">
        <f>IF(VLOOKUP(Table7[[#This Row],[Date]],Database!$A:$C,MATCH($B$1,Database!$A$1:$C$1,),)=0,#N/A,VLOOKUP(Table7[[#This Row],[Date]],Database!$A:$C,MATCH($B$1,Database!$A$1:$C$1,),))</f>
        <v/>
      </c>
      <c r="C2814">
        <f>IF(VLOOKUP(Table7[[#This Row],[Date]],Database!$A:$C,MATCH($C$1,Database!$A$1:$C$1,),)=0,#N/A,VLOOKUP(Table7[[#This Row],[Date]],Database!$A:$C,MATCH($C$1,Database!$A$1:$C$1,),))</f>
        <v/>
      </c>
      <c r="D2814">
        <f>IFERROR(Table7[[#This Row],[United States 10y]]-Table7[[#This Row],[United States 3y]],#N/A)</f>
        <v/>
      </c>
    </row>
    <row r="2815">
      <c r="A2815" s="6">
        <f>Database!$A4900</f>
        <v/>
      </c>
      <c r="B2815">
        <f>IF(VLOOKUP(Table7[[#This Row],[Date]],Database!$A:$C,MATCH($B$1,Database!$A$1:$C$1,),)=0,#N/A,VLOOKUP(Table7[[#This Row],[Date]],Database!$A:$C,MATCH($B$1,Database!$A$1:$C$1,),))</f>
        <v/>
      </c>
      <c r="C2815">
        <f>IF(VLOOKUP(Table7[[#This Row],[Date]],Database!$A:$C,MATCH($C$1,Database!$A$1:$C$1,),)=0,#N/A,VLOOKUP(Table7[[#This Row],[Date]],Database!$A:$C,MATCH($C$1,Database!$A$1:$C$1,),))</f>
        <v/>
      </c>
      <c r="D2815">
        <f>IFERROR(Table7[[#This Row],[United States 10y]]-Table7[[#This Row],[United States 3y]],#N/A)</f>
        <v/>
      </c>
    </row>
    <row r="2816">
      <c r="A2816" s="6">
        <f>Database!$A4901</f>
        <v/>
      </c>
      <c r="B2816">
        <f>IF(VLOOKUP(Table7[[#This Row],[Date]],Database!$A:$C,MATCH($B$1,Database!$A$1:$C$1,),)=0,#N/A,VLOOKUP(Table7[[#This Row],[Date]],Database!$A:$C,MATCH($B$1,Database!$A$1:$C$1,),))</f>
        <v/>
      </c>
      <c r="C2816">
        <f>IF(VLOOKUP(Table7[[#This Row],[Date]],Database!$A:$C,MATCH($C$1,Database!$A$1:$C$1,),)=0,#N/A,VLOOKUP(Table7[[#This Row],[Date]],Database!$A:$C,MATCH($C$1,Database!$A$1:$C$1,),))</f>
        <v/>
      </c>
      <c r="D2816">
        <f>IFERROR(Table7[[#This Row],[United States 10y]]-Table7[[#This Row],[United States 3y]],#N/A)</f>
        <v/>
      </c>
    </row>
    <row r="2817">
      <c r="A2817" s="6">
        <f>Database!$A4902</f>
        <v/>
      </c>
      <c r="B2817">
        <f>IF(VLOOKUP(Table7[[#This Row],[Date]],Database!$A:$C,MATCH($B$1,Database!$A$1:$C$1,),)=0,#N/A,VLOOKUP(Table7[[#This Row],[Date]],Database!$A:$C,MATCH($B$1,Database!$A$1:$C$1,),))</f>
        <v/>
      </c>
      <c r="C2817">
        <f>IF(VLOOKUP(Table7[[#This Row],[Date]],Database!$A:$C,MATCH($C$1,Database!$A$1:$C$1,),)=0,#N/A,VLOOKUP(Table7[[#This Row],[Date]],Database!$A:$C,MATCH($C$1,Database!$A$1:$C$1,),))</f>
        <v/>
      </c>
      <c r="D2817">
        <f>IFERROR(Table7[[#This Row],[United States 10y]]-Table7[[#This Row],[United States 3y]],#N/A)</f>
        <v/>
      </c>
    </row>
    <row r="2818">
      <c r="A2818" s="6">
        <f>Database!$A4903</f>
        <v/>
      </c>
      <c r="B2818">
        <f>IF(VLOOKUP(Table7[[#This Row],[Date]],Database!$A:$C,MATCH($B$1,Database!$A$1:$C$1,),)=0,#N/A,VLOOKUP(Table7[[#This Row],[Date]],Database!$A:$C,MATCH($B$1,Database!$A$1:$C$1,),))</f>
        <v/>
      </c>
      <c r="C2818">
        <f>IF(VLOOKUP(Table7[[#This Row],[Date]],Database!$A:$C,MATCH($C$1,Database!$A$1:$C$1,),)=0,#N/A,VLOOKUP(Table7[[#This Row],[Date]],Database!$A:$C,MATCH($C$1,Database!$A$1:$C$1,),))</f>
        <v/>
      </c>
      <c r="D2818">
        <f>IFERROR(Table7[[#This Row],[United States 10y]]-Table7[[#This Row],[United States 3y]],#N/A)</f>
        <v/>
      </c>
    </row>
    <row r="2819">
      <c r="A2819" s="6">
        <f>Database!$A4904</f>
        <v/>
      </c>
      <c r="B2819">
        <f>IF(VLOOKUP(Table7[[#This Row],[Date]],Database!$A:$C,MATCH($B$1,Database!$A$1:$C$1,),)=0,#N/A,VLOOKUP(Table7[[#This Row],[Date]],Database!$A:$C,MATCH($B$1,Database!$A$1:$C$1,),))</f>
        <v/>
      </c>
      <c r="C2819">
        <f>IF(VLOOKUP(Table7[[#This Row],[Date]],Database!$A:$C,MATCH($C$1,Database!$A$1:$C$1,),)=0,#N/A,VLOOKUP(Table7[[#This Row],[Date]],Database!$A:$C,MATCH($C$1,Database!$A$1:$C$1,),))</f>
        <v/>
      </c>
      <c r="D2819">
        <f>IFERROR(Table7[[#This Row],[United States 10y]]-Table7[[#This Row],[United States 3y]],#N/A)</f>
        <v/>
      </c>
    </row>
    <row r="2820">
      <c r="A2820" s="6">
        <f>Database!$A4905</f>
        <v/>
      </c>
      <c r="B2820">
        <f>IF(VLOOKUP(Table7[[#This Row],[Date]],Database!$A:$C,MATCH($B$1,Database!$A$1:$C$1,),)=0,#N/A,VLOOKUP(Table7[[#This Row],[Date]],Database!$A:$C,MATCH($B$1,Database!$A$1:$C$1,),))</f>
        <v/>
      </c>
      <c r="C2820">
        <f>IF(VLOOKUP(Table7[[#This Row],[Date]],Database!$A:$C,MATCH($C$1,Database!$A$1:$C$1,),)=0,#N/A,VLOOKUP(Table7[[#This Row],[Date]],Database!$A:$C,MATCH($C$1,Database!$A$1:$C$1,),))</f>
        <v/>
      </c>
      <c r="D2820">
        <f>IFERROR(Table7[[#This Row],[United States 10y]]-Table7[[#This Row],[United States 3y]],#N/A)</f>
        <v/>
      </c>
    </row>
    <row r="2821">
      <c r="A2821" s="6">
        <f>Database!$A4906</f>
        <v/>
      </c>
      <c r="B2821">
        <f>IF(VLOOKUP(Table7[[#This Row],[Date]],Database!$A:$C,MATCH($B$1,Database!$A$1:$C$1,),)=0,#N/A,VLOOKUP(Table7[[#This Row],[Date]],Database!$A:$C,MATCH($B$1,Database!$A$1:$C$1,),))</f>
        <v/>
      </c>
      <c r="C2821">
        <f>IF(VLOOKUP(Table7[[#This Row],[Date]],Database!$A:$C,MATCH($C$1,Database!$A$1:$C$1,),)=0,#N/A,VLOOKUP(Table7[[#This Row],[Date]],Database!$A:$C,MATCH($C$1,Database!$A$1:$C$1,),))</f>
        <v/>
      </c>
      <c r="D2821">
        <f>IFERROR(Table7[[#This Row],[United States 10y]]-Table7[[#This Row],[United States 3y]],#N/A)</f>
        <v/>
      </c>
    </row>
    <row r="2822">
      <c r="A2822" s="6">
        <f>Database!$A4907</f>
        <v/>
      </c>
      <c r="B2822">
        <f>IF(VLOOKUP(Table7[[#This Row],[Date]],Database!$A:$C,MATCH($B$1,Database!$A$1:$C$1,),)=0,#N/A,VLOOKUP(Table7[[#This Row],[Date]],Database!$A:$C,MATCH($B$1,Database!$A$1:$C$1,),))</f>
        <v/>
      </c>
      <c r="C2822">
        <f>IF(VLOOKUP(Table7[[#This Row],[Date]],Database!$A:$C,MATCH($C$1,Database!$A$1:$C$1,),)=0,#N/A,VLOOKUP(Table7[[#This Row],[Date]],Database!$A:$C,MATCH($C$1,Database!$A$1:$C$1,),))</f>
        <v/>
      </c>
      <c r="D2822">
        <f>IFERROR(Table7[[#This Row],[United States 10y]]-Table7[[#This Row],[United States 3y]],#N/A)</f>
        <v/>
      </c>
    </row>
    <row r="2823">
      <c r="A2823" s="6">
        <f>Database!$A4908</f>
        <v/>
      </c>
      <c r="B2823">
        <f>IF(VLOOKUP(Table7[[#This Row],[Date]],Database!$A:$C,MATCH($B$1,Database!$A$1:$C$1,),)=0,#N/A,VLOOKUP(Table7[[#This Row],[Date]],Database!$A:$C,MATCH($B$1,Database!$A$1:$C$1,),))</f>
        <v/>
      </c>
      <c r="C2823">
        <f>IF(VLOOKUP(Table7[[#This Row],[Date]],Database!$A:$C,MATCH($C$1,Database!$A$1:$C$1,),)=0,#N/A,VLOOKUP(Table7[[#This Row],[Date]],Database!$A:$C,MATCH($C$1,Database!$A$1:$C$1,),))</f>
        <v/>
      </c>
      <c r="D2823">
        <f>IFERROR(Table7[[#This Row],[United States 10y]]-Table7[[#This Row],[United States 3y]],#N/A)</f>
        <v/>
      </c>
    </row>
    <row r="2824">
      <c r="A2824" s="6">
        <f>Database!$A4909</f>
        <v/>
      </c>
      <c r="B2824">
        <f>IF(VLOOKUP(Table7[[#This Row],[Date]],Database!$A:$C,MATCH($B$1,Database!$A$1:$C$1,),)=0,#N/A,VLOOKUP(Table7[[#This Row],[Date]],Database!$A:$C,MATCH($B$1,Database!$A$1:$C$1,),))</f>
        <v/>
      </c>
      <c r="C2824">
        <f>IF(VLOOKUP(Table7[[#This Row],[Date]],Database!$A:$C,MATCH($C$1,Database!$A$1:$C$1,),)=0,#N/A,VLOOKUP(Table7[[#This Row],[Date]],Database!$A:$C,MATCH($C$1,Database!$A$1:$C$1,),))</f>
        <v/>
      </c>
      <c r="D2824">
        <f>IFERROR(Table7[[#This Row],[United States 10y]]-Table7[[#This Row],[United States 3y]],#N/A)</f>
        <v/>
      </c>
    </row>
    <row r="2825">
      <c r="A2825" s="6">
        <f>Database!$A4910</f>
        <v/>
      </c>
      <c r="B2825">
        <f>IF(VLOOKUP(Table7[[#This Row],[Date]],Database!$A:$C,MATCH($B$1,Database!$A$1:$C$1,),)=0,#N/A,VLOOKUP(Table7[[#This Row],[Date]],Database!$A:$C,MATCH($B$1,Database!$A$1:$C$1,),))</f>
        <v/>
      </c>
      <c r="C2825">
        <f>IF(VLOOKUP(Table7[[#This Row],[Date]],Database!$A:$C,MATCH($C$1,Database!$A$1:$C$1,),)=0,#N/A,VLOOKUP(Table7[[#This Row],[Date]],Database!$A:$C,MATCH($C$1,Database!$A$1:$C$1,),))</f>
        <v/>
      </c>
      <c r="D2825">
        <f>IFERROR(Table7[[#This Row],[United States 10y]]-Table7[[#This Row],[United States 3y]],#N/A)</f>
        <v/>
      </c>
    </row>
    <row r="2826">
      <c r="A2826" s="6">
        <f>Database!$A4911</f>
        <v/>
      </c>
      <c r="B2826">
        <f>IF(VLOOKUP(Table7[[#This Row],[Date]],Database!$A:$C,MATCH($B$1,Database!$A$1:$C$1,),)=0,#N/A,VLOOKUP(Table7[[#This Row],[Date]],Database!$A:$C,MATCH($B$1,Database!$A$1:$C$1,),))</f>
        <v/>
      </c>
      <c r="C2826">
        <f>IF(VLOOKUP(Table7[[#This Row],[Date]],Database!$A:$C,MATCH($C$1,Database!$A$1:$C$1,),)=0,#N/A,VLOOKUP(Table7[[#This Row],[Date]],Database!$A:$C,MATCH($C$1,Database!$A$1:$C$1,),))</f>
        <v/>
      </c>
      <c r="D2826">
        <f>IFERROR(Table7[[#This Row],[United States 10y]]-Table7[[#This Row],[United States 3y]],#N/A)</f>
        <v/>
      </c>
    </row>
    <row r="2827">
      <c r="A2827" s="6">
        <f>Database!$A4912</f>
        <v/>
      </c>
      <c r="B2827">
        <f>IF(VLOOKUP(Table7[[#This Row],[Date]],Database!$A:$C,MATCH($B$1,Database!$A$1:$C$1,),)=0,#N/A,VLOOKUP(Table7[[#This Row],[Date]],Database!$A:$C,MATCH($B$1,Database!$A$1:$C$1,),))</f>
        <v/>
      </c>
      <c r="C2827">
        <f>IF(VLOOKUP(Table7[[#This Row],[Date]],Database!$A:$C,MATCH($C$1,Database!$A$1:$C$1,),)=0,#N/A,VLOOKUP(Table7[[#This Row],[Date]],Database!$A:$C,MATCH($C$1,Database!$A$1:$C$1,),))</f>
        <v/>
      </c>
      <c r="D2827">
        <f>IFERROR(Table7[[#This Row],[United States 10y]]-Table7[[#This Row],[United States 3y]],#N/A)</f>
        <v/>
      </c>
    </row>
    <row r="2828">
      <c r="A2828" s="6">
        <f>Database!$A4913</f>
        <v/>
      </c>
      <c r="B2828">
        <f>IF(VLOOKUP(Table7[[#This Row],[Date]],Database!$A:$C,MATCH($B$1,Database!$A$1:$C$1,),)=0,#N/A,VLOOKUP(Table7[[#This Row],[Date]],Database!$A:$C,MATCH($B$1,Database!$A$1:$C$1,),))</f>
        <v/>
      </c>
      <c r="C2828">
        <f>IF(VLOOKUP(Table7[[#This Row],[Date]],Database!$A:$C,MATCH($C$1,Database!$A$1:$C$1,),)=0,#N/A,VLOOKUP(Table7[[#This Row],[Date]],Database!$A:$C,MATCH($C$1,Database!$A$1:$C$1,),))</f>
        <v/>
      </c>
      <c r="D2828">
        <f>IFERROR(Table7[[#This Row],[United States 10y]]-Table7[[#This Row],[United States 3y]],#N/A)</f>
        <v/>
      </c>
    </row>
    <row r="2829">
      <c r="A2829" s="6">
        <f>Database!$A4914</f>
        <v/>
      </c>
      <c r="B2829">
        <f>IF(VLOOKUP(Table7[[#This Row],[Date]],Database!$A:$C,MATCH($B$1,Database!$A$1:$C$1,),)=0,#N/A,VLOOKUP(Table7[[#This Row],[Date]],Database!$A:$C,MATCH($B$1,Database!$A$1:$C$1,),))</f>
        <v/>
      </c>
      <c r="C2829">
        <f>IF(VLOOKUP(Table7[[#This Row],[Date]],Database!$A:$C,MATCH($C$1,Database!$A$1:$C$1,),)=0,#N/A,VLOOKUP(Table7[[#This Row],[Date]],Database!$A:$C,MATCH($C$1,Database!$A$1:$C$1,),))</f>
        <v/>
      </c>
      <c r="D2829">
        <f>IFERROR(Table7[[#This Row],[United States 10y]]-Table7[[#This Row],[United States 3y]],#N/A)</f>
        <v/>
      </c>
    </row>
    <row r="2830">
      <c r="A2830" s="6">
        <f>Database!$A4915</f>
        <v/>
      </c>
      <c r="B2830">
        <f>IF(VLOOKUP(Table7[[#This Row],[Date]],Database!$A:$C,MATCH($B$1,Database!$A$1:$C$1,),)=0,#N/A,VLOOKUP(Table7[[#This Row],[Date]],Database!$A:$C,MATCH($B$1,Database!$A$1:$C$1,),))</f>
        <v/>
      </c>
      <c r="C2830">
        <f>IF(VLOOKUP(Table7[[#This Row],[Date]],Database!$A:$C,MATCH($C$1,Database!$A$1:$C$1,),)=0,#N/A,VLOOKUP(Table7[[#This Row],[Date]],Database!$A:$C,MATCH($C$1,Database!$A$1:$C$1,),))</f>
        <v/>
      </c>
      <c r="D2830">
        <f>IFERROR(Table7[[#This Row],[United States 10y]]-Table7[[#This Row],[United States 3y]],#N/A)</f>
        <v/>
      </c>
    </row>
    <row r="2831">
      <c r="A2831" s="6">
        <f>Database!$A4916</f>
        <v/>
      </c>
      <c r="B2831">
        <f>IF(VLOOKUP(Table7[[#This Row],[Date]],Database!$A:$C,MATCH($B$1,Database!$A$1:$C$1,),)=0,#N/A,VLOOKUP(Table7[[#This Row],[Date]],Database!$A:$C,MATCH($B$1,Database!$A$1:$C$1,),))</f>
        <v/>
      </c>
      <c r="C2831">
        <f>IF(VLOOKUP(Table7[[#This Row],[Date]],Database!$A:$C,MATCH($C$1,Database!$A$1:$C$1,),)=0,#N/A,VLOOKUP(Table7[[#This Row],[Date]],Database!$A:$C,MATCH($C$1,Database!$A$1:$C$1,),))</f>
        <v/>
      </c>
      <c r="D2831">
        <f>IFERROR(Table7[[#This Row],[United States 10y]]-Table7[[#This Row],[United States 3y]],#N/A)</f>
        <v/>
      </c>
    </row>
    <row r="2832">
      <c r="A2832" s="6">
        <f>Database!$A4917</f>
        <v/>
      </c>
      <c r="B2832">
        <f>IF(VLOOKUP(Table7[[#This Row],[Date]],Database!$A:$C,MATCH($B$1,Database!$A$1:$C$1,),)=0,#N/A,VLOOKUP(Table7[[#This Row],[Date]],Database!$A:$C,MATCH($B$1,Database!$A$1:$C$1,),))</f>
        <v/>
      </c>
      <c r="C2832">
        <f>IF(VLOOKUP(Table7[[#This Row],[Date]],Database!$A:$C,MATCH($C$1,Database!$A$1:$C$1,),)=0,#N/A,VLOOKUP(Table7[[#This Row],[Date]],Database!$A:$C,MATCH($C$1,Database!$A$1:$C$1,),))</f>
        <v/>
      </c>
      <c r="D2832">
        <f>IFERROR(Table7[[#This Row],[United States 10y]]-Table7[[#This Row],[United States 3y]],#N/A)</f>
        <v/>
      </c>
    </row>
    <row r="2833">
      <c r="A2833" s="6">
        <f>Database!$A4918</f>
        <v/>
      </c>
      <c r="B2833">
        <f>IF(VLOOKUP(Table7[[#This Row],[Date]],Database!$A:$C,MATCH($B$1,Database!$A$1:$C$1,),)=0,#N/A,VLOOKUP(Table7[[#This Row],[Date]],Database!$A:$C,MATCH($B$1,Database!$A$1:$C$1,),))</f>
        <v/>
      </c>
      <c r="C2833">
        <f>IF(VLOOKUP(Table7[[#This Row],[Date]],Database!$A:$C,MATCH($C$1,Database!$A$1:$C$1,),)=0,#N/A,VLOOKUP(Table7[[#This Row],[Date]],Database!$A:$C,MATCH($C$1,Database!$A$1:$C$1,),))</f>
        <v/>
      </c>
      <c r="D2833">
        <f>IFERROR(Table7[[#This Row],[United States 10y]]-Table7[[#This Row],[United States 3y]],#N/A)</f>
        <v/>
      </c>
    </row>
    <row r="2834">
      <c r="A2834" s="6">
        <f>Database!$A4919</f>
        <v/>
      </c>
      <c r="B2834">
        <f>IF(VLOOKUP(Table7[[#This Row],[Date]],Database!$A:$C,MATCH($B$1,Database!$A$1:$C$1,),)=0,#N/A,VLOOKUP(Table7[[#This Row],[Date]],Database!$A:$C,MATCH($B$1,Database!$A$1:$C$1,),))</f>
        <v/>
      </c>
      <c r="C2834">
        <f>IF(VLOOKUP(Table7[[#This Row],[Date]],Database!$A:$C,MATCH($C$1,Database!$A$1:$C$1,),)=0,#N/A,VLOOKUP(Table7[[#This Row],[Date]],Database!$A:$C,MATCH($C$1,Database!$A$1:$C$1,),))</f>
        <v/>
      </c>
      <c r="D2834">
        <f>IFERROR(Table7[[#This Row],[United States 10y]]-Table7[[#This Row],[United States 3y]],#N/A)</f>
        <v/>
      </c>
    </row>
    <row r="2835">
      <c r="A2835" s="6">
        <f>Database!$A4920</f>
        <v/>
      </c>
      <c r="B2835">
        <f>IF(VLOOKUP(Table7[[#This Row],[Date]],Database!$A:$C,MATCH($B$1,Database!$A$1:$C$1,),)=0,#N/A,VLOOKUP(Table7[[#This Row],[Date]],Database!$A:$C,MATCH($B$1,Database!$A$1:$C$1,),))</f>
        <v/>
      </c>
      <c r="C2835">
        <f>IF(VLOOKUP(Table7[[#This Row],[Date]],Database!$A:$C,MATCH($C$1,Database!$A$1:$C$1,),)=0,#N/A,VLOOKUP(Table7[[#This Row],[Date]],Database!$A:$C,MATCH($C$1,Database!$A$1:$C$1,),))</f>
        <v/>
      </c>
      <c r="D2835">
        <f>IFERROR(Table7[[#This Row],[United States 10y]]-Table7[[#This Row],[United States 3y]],#N/A)</f>
        <v/>
      </c>
    </row>
    <row r="2836">
      <c r="A2836" s="6">
        <f>Database!$A4921</f>
        <v/>
      </c>
      <c r="B2836">
        <f>IF(VLOOKUP(Table7[[#This Row],[Date]],Database!$A:$C,MATCH($B$1,Database!$A$1:$C$1,),)=0,#N/A,VLOOKUP(Table7[[#This Row],[Date]],Database!$A:$C,MATCH($B$1,Database!$A$1:$C$1,),))</f>
        <v/>
      </c>
      <c r="C2836">
        <f>IF(VLOOKUP(Table7[[#This Row],[Date]],Database!$A:$C,MATCH($C$1,Database!$A$1:$C$1,),)=0,#N/A,VLOOKUP(Table7[[#This Row],[Date]],Database!$A:$C,MATCH($C$1,Database!$A$1:$C$1,),))</f>
        <v/>
      </c>
      <c r="D2836">
        <f>IFERROR(Table7[[#This Row],[United States 10y]]-Table7[[#This Row],[United States 3y]],#N/A)</f>
        <v/>
      </c>
    </row>
    <row r="2837">
      <c r="A2837" s="6">
        <f>Database!$A4922</f>
        <v/>
      </c>
      <c r="B2837">
        <f>IF(VLOOKUP(Table7[[#This Row],[Date]],Database!$A:$C,MATCH($B$1,Database!$A$1:$C$1,),)=0,#N/A,VLOOKUP(Table7[[#This Row],[Date]],Database!$A:$C,MATCH($B$1,Database!$A$1:$C$1,),))</f>
        <v/>
      </c>
      <c r="C2837">
        <f>IF(VLOOKUP(Table7[[#This Row],[Date]],Database!$A:$C,MATCH($C$1,Database!$A$1:$C$1,),)=0,#N/A,VLOOKUP(Table7[[#This Row],[Date]],Database!$A:$C,MATCH($C$1,Database!$A$1:$C$1,),))</f>
        <v/>
      </c>
      <c r="D2837">
        <f>IFERROR(Table7[[#This Row],[United States 10y]]-Table7[[#This Row],[United States 3y]],#N/A)</f>
        <v/>
      </c>
    </row>
    <row r="2838">
      <c r="A2838" s="6">
        <f>Database!$A4923</f>
        <v/>
      </c>
      <c r="B2838">
        <f>IF(VLOOKUP(Table7[[#This Row],[Date]],Database!$A:$C,MATCH($B$1,Database!$A$1:$C$1,),)=0,#N/A,VLOOKUP(Table7[[#This Row],[Date]],Database!$A:$C,MATCH($B$1,Database!$A$1:$C$1,),))</f>
        <v/>
      </c>
      <c r="C2838">
        <f>IF(VLOOKUP(Table7[[#This Row],[Date]],Database!$A:$C,MATCH($C$1,Database!$A$1:$C$1,),)=0,#N/A,VLOOKUP(Table7[[#This Row],[Date]],Database!$A:$C,MATCH($C$1,Database!$A$1:$C$1,),))</f>
        <v/>
      </c>
      <c r="D2838">
        <f>IFERROR(Table7[[#This Row],[United States 10y]]-Table7[[#This Row],[United States 3y]],#N/A)</f>
        <v/>
      </c>
    </row>
    <row r="2839">
      <c r="A2839" s="6">
        <f>Database!$A4924</f>
        <v/>
      </c>
      <c r="B2839">
        <f>IF(VLOOKUP(Table7[[#This Row],[Date]],Database!$A:$C,MATCH($B$1,Database!$A$1:$C$1,),)=0,#N/A,VLOOKUP(Table7[[#This Row],[Date]],Database!$A:$C,MATCH($B$1,Database!$A$1:$C$1,),))</f>
        <v/>
      </c>
      <c r="C2839">
        <f>IF(VLOOKUP(Table7[[#This Row],[Date]],Database!$A:$C,MATCH($C$1,Database!$A$1:$C$1,),)=0,#N/A,VLOOKUP(Table7[[#This Row],[Date]],Database!$A:$C,MATCH($C$1,Database!$A$1:$C$1,),))</f>
        <v/>
      </c>
      <c r="D2839">
        <f>IFERROR(Table7[[#This Row],[United States 10y]]-Table7[[#This Row],[United States 3y]],#N/A)</f>
        <v/>
      </c>
    </row>
    <row r="2840">
      <c r="A2840" s="6">
        <f>Database!$A4925</f>
        <v/>
      </c>
      <c r="B2840">
        <f>IF(VLOOKUP(Table7[[#This Row],[Date]],Database!$A:$C,MATCH($B$1,Database!$A$1:$C$1,),)=0,#N/A,VLOOKUP(Table7[[#This Row],[Date]],Database!$A:$C,MATCH($B$1,Database!$A$1:$C$1,),))</f>
        <v/>
      </c>
      <c r="C2840">
        <f>IF(VLOOKUP(Table7[[#This Row],[Date]],Database!$A:$C,MATCH($C$1,Database!$A$1:$C$1,),)=0,#N/A,VLOOKUP(Table7[[#This Row],[Date]],Database!$A:$C,MATCH($C$1,Database!$A$1:$C$1,),))</f>
        <v/>
      </c>
      <c r="D2840">
        <f>IFERROR(Table7[[#This Row],[United States 10y]]-Table7[[#This Row],[United States 3y]],#N/A)</f>
        <v/>
      </c>
    </row>
    <row r="2841">
      <c r="A2841" s="6">
        <f>Database!$A4926</f>
        <v/>
      </c>
      <c r="B2841">
        <f>IF(VLOOKUP(Table7[[#This Row],[Date]],Database!$A:$C,MATCH($B$1,Database!$A$1:$C$1,),)=0,#N/A,VLOOKUP(Table7[[#This Row],[Date]],Database!$A:$C,MATCH($B$1,Database!$A$1:$C$1,),))</f>
        <v/>
      </c>
      <c r="C2841">
        <f>IF(VLOOKUP(Table7[[#This Row],[Date]],Database!$A:$C,MATCH($C$1,Database!$A$1:$C$1,),)=0,#N/A,VLOOKUP(Table7[[#This Row],[Date]],Database!$A:$C,MATCH($C$1,Database!$A$1:$C$1,),))</f>
        <v/>
      </c>
      <c r="D2841">
        <f>IFERROR(Table7[[#This Row],[United States 10y]]-Table7[[#This Row],[United States 3y]],#N/A)</f>
        <v/>
      </c>
    </row>
    <row r="2842">
      <c r="A2842" s="6">
        <f>Database!$A4927</f>
        <v/>
      </c>
      <c r="B2842">
        <f>IF(VLOOKUP(Table7[[#This Row],[Date]],Database!$A:$C,MATCH($B$1,Database!$A$1:$C$1,),)=0,#N/A,VLOOKUP(Table7[[#This Row],[Date]],Database!$A:$C,MATCH($B$1,Database!$A$1:$C$1,),))</f>
        <v/>
      </c>
      <c r="C2842">
        <f>IF(VLOOKUP(Table7[[#This Row],[Date]],Database!$A:$C,MATCH($C$1,Database!$A$1:$C$1,),)=0,#N/A,VLOOKUP(Table7[[#This Row],[Date]],Database!$A:$C,MATCH($C$1,Database!$A$1:$C$1,),))</f>
        <v/>
      </c>
      <c r="D2842">
        <f>IFERROR(Table7[[#This Row],[United States 10y]]-Table7[[#This Row],[United States 3y]],#N/A)</f>
        <v/>
      </c>
    </row>
    <row r="2843">
      <c r="A2843" s="6">
        <f>Database!$A4928</f>
        <v/>
      </c>
      <c r="B2843">
        <f>IF(VLOOKUP(Table7[[#This Row],[Date]],Database!$A:$C,MATCH($B$1,Database!$A$1:$C$1,),)=0,#N/A,VLOOKUP(Table7[[#This Row],[Date]],Database!$A:$C,MATCH($B$1,Database!$A$1:$C$1,),))</f>
        <v/>
      </c>
      <c r="C2843">
        <f>IF(VLOOKUP(Table7[[#This Row],[Date]],Database!$A:$C,MATCH($C$1,Database!$A$1:$C$1,),)=0,#N/A,VLOOKUP(Table7[[#This Row],[Date]],Database!$A:$C,MATCH($C$1,Database!$A$1:$C$1,),))</f>
        <v/>
      </c>
      <c r="D2843">
        <f>IFERROR(Table7[[#This Row],[United States 10y]]-Table7[[#This Row],[United States 3y]],#N/A)</f>
        <v/>
      </c>
    </row>
    <row r="2844">
      <c r="A2844" s="6">
        <f>Database!$A4929</f>
        <v/>
      </c>
      <c r="B2844">
        <f>IF(VLOOKUP(Table7[[#This Row],[Date]],Database!$A:$C,MATCH($B$1,Database!$A$1:$C$1,),)=0,#N/A,VLOOKUP(Table7[[#This Row],[Date]],Database!$A:$C,MATCH($B$1,Database!$A$1:$C$1,),))</f>
        <v/>
      </c>
      <c r="C2844">
        <f>IF(VLOOKUP(Table7[[#This Row],[Date]],Database!$A:$C,MATCH($C$1,Database!$A$1:$C$1,),)=0,#N/A,VLOOKUP(Table7[[#This Row],[Date]],Database!$A:$C,MATCH($C$1,Database!$A$1:$C$1,),))</f>
        <v/>
      </c>
      <c r="D2844">
        <f>IFERROR(Table7[[#This Row],[United States 10y]]-Table7[[#This Row],[United States 3y]],#N/A)</f>
        <v/>
      </c>
    </row>
    <row r="2845">
      <c r="A2845" s="6">
        <f>Database!$A4930</f>
        <v/>
      </c>
      <c r="B2845">
        <f>IF(VLOOKUP(Table7[[#This Row],[Date]],Database!$A:$C,MATCH($B$1,Database!$A$1:$C$1,),)=0,#N/A,VLOOKUP(Table7[[#This Row],[Date]],Database!$A:$C,MATCH($B$1,Database!$A$1:$C$1,),))</f>
        <v/>
      </c>
      <c r="C2845">
        <f>IF(VLOOKUP(Table7[[#This Row],[Date]],Database!$A:$C,MATCH($C$1,Database!$A$1:$C$1,),)=0,#N/A,VLOOKUP(Table7[[#This Row],[Date]],Database!$A:$C,MATCH($C$1,Database!$A$1:$C$1,),))</f>
        <v/>
      </c>
      <c r="D2845">
        <f>IFERROR(Table7[[#This Row],[United States 10y]]-Table7[[#This Row],[United States 3y]],#N/A)</f>
        <v/>
      </c>
    </row>
    <row r="2846">
      <c r="A2846" s="6">
        <f>Database!$A4931</f>
        <v/>
      </c>
      <c r="B2846">
        <f>IF(VLOOKUP(Table7[[#This Row],[Date]],Database!$A:$C,MATCH($B$1,Database!$A$1:$C$1,),)=0,#N/A,VLOOKUP(Table7[[#This Row],[Date]],Database!$A:$C,MATCH($B$1,Database!$A$1:$C$1,),))</f>
        <v/>
      </c>
      <c r="C2846">
        <f>IF(VLOOKUP(Table7[[#This Row],[Date]],Database!$A:$C,MATCH($C$1,Database!$A$1:$C$1,),)=0,#N/A,VLOOKUP(Table7[[#This Row],[Date]],Database!$A:$C,MATCH($C$1,Database!$A$1:$C$1,),))</f>
        <v/>
      </c>
      <c r="D2846">
        <f>IFERROR(Table7[[#This Row],[United States 10y]]-Table7[[#This Row],[United States 3y]],#N/A)</f>
        <v/>
      </c>
    </row>
    <row r="2847">
      <c r="A2847" s="6">
        <f>Database!$A4932</f>
        <v/>
      </c>
      <c r="B2847">
        <f>IF(VLOOKUP(Table7[[#This Row],[Date]],Database!$A:$C,MATCH($B$1,Database!$A$1:$C$1,),)=0,#N/A,VLOOKUP(Table7[[#This Row],[Date]],Database!$A:$C,MATCH($B$1,Database!$A$1:$C$1,),))</f>
        <v/>
      </c>
      <c r="C2847">
        <f>IF(VLOOKUP(Table7[[#This Row],[Date]],Database!$A:$C,MATCH($C$1,Database!$A$1:$C$1,),)=0,#N/A,VLOOKUP(Table7[[#This Row],[Date]],Database!$A:$C,MATCH($C$1,Database!$A$1:$C$1,),))</f>
        <v/>
      </c>
      <c r="D2847">
        <f>IFERROR(Table7[[#This Row],[United States 10y]]-Table7[[#This Row],[United States 3y]],#N/A)</f>
        <v/>
      </c>
    </row>
    <row r="2848">
      <c r="A2848" s="6">
        <f>Database!$A4933</f>
        <v/>
      </c>
      <c r="B2848">
        <f>IF(VLOOKUP(Table7[[#This Row],[Date]],Database!$A:$C,MATCH($B$1,Database!$A$1:$C$1,),)=0,#N/A,VLOOKUP(Table7[[#This Row],[Date]],Database!$A:$C,MATCH($B$1,Database!$A$1:$C$1,),))</f>
        <v/>
      </c>
      <c r="C2848">
        <f>IF(VLOOKUP(Table7[[#This Row],[Date]],Database!$A:$C,MATCH($C$1,Database!$A$1:$C$1,),)=0,#N/A,VLOOKUP(Table7[[#This Row],[Date]],Database!$A:$C,MATCH($C$1,Database!$A$1:$C$1,),))</f>
        <v/>
      </c>
      <c r="D2848">
        <f>IFERROR(Table7[[#This Row],[United States 10y]]-Table7[[#This Row],[United States 3y]],#N/A)</f>
        <v/>
      </c>
    </row>
    <row r="2849">
      <c r="A2849" s="6">
        <f>Database!$A4934</f>
        <v/>
      </c>
      <c r="B2849">
        <f>IF(VLOOKUP(Table7[[#This Row],[Date]],Database!$A:$C,MATCH($B$1,Database!$A$1:$C$1,),)=0,#N/A,VLOOKUP(Table7[[#This Row],[Date]],Database!$A:$C,MATCH($B$1,Database!$A$1:$C$1,),))</f>
        <v/>
      </c>
      <c r="C2849">
        <f>IF(VLOOKUP(Table7[[#This Row],[Date]],Database!$A:$C,MATCH($C$1,Database!$A$1:$C$1,),)=0,#N/A,VLOOKUP(Table7[[#This Row],[Date]],Database!$A:$C,MATCH($C$1,Database!$A$1:$C$1,),))</f>
        <v/>
      </c>
      <c r="D2849">
        <f>IFERROR(Table7[[#This Row],[United States 10y]]-Table7[[#This Row],[United States 3y]],#N/A)</f>
        <v/>
      </c>
    </row>
    <row r="2850">
      <c r="A2850" s="6">
        <f>Database!$A4935</f>
        <v/>
      </c>
      <c r="B2850">
        <f>IF(VLOOKUP(Table7[[#This Row],[Date]],Database!$A:$C,MATCH($B$1,Database!$A$1:$C$1,),)=0,#N/A,VLOOKUP(Table7[[#This Row],[Date]],Database!$A:$C,MATCH($B$1,Database!$A$1:$C$1,),))</f>
        <v/>
      </c>
      <c r="C2850">
        <f>IF(VLOOKUP(Table7[[#This Row],[Date]],Database!$A:$C,MATCH($C$1,Database!$A$1:$C$1,),)=0,#N/A,VLOOKUP(Table7[[#This Row],[Date]],Database!$A:$C,MATCH($C$1,Database!$A$1:$C$1,),))</f>
        <v/>
      </c>
      <c r="D2850">
        <f>IFERROR(Table7[[#This Row],[United States 10y]]-Table7[[#This Row],[United States 3y]],#N/A)</f>
        <v/>
      </c>
    </row>
    <row r="2851">
      <c r="A2851" s="6">
        <f>Database!$A4936</f>
        <v/>
      </c>
      <c r="B2851">
        <f>IF(VLOOKUP(Table7[[#This Row],[Date]],Database!$A:$C,MATCH($B$1,Database!$A$1:$C$1,),)=0,#N/A,VLOOKUP(Table7[[#This Row],[Date]],Database!$A:$C,MATCH($B$1,Database!$A$1:$C$1,),))</f>
        <v/>
      </c>
      <c r="C2851">
        <f>IF(VLOOKUP(Table7[[#This Row],[Date]],Database!$A:$C,MATCH($C$1,Database!$A$1:$C$1,),)=0,#N/A,VLOOKUP(Table7[[#This Row],[Date]],Database!$A:$C,MATCH($C$1,Database!$A$1:$C$1,),))</f>
        <v/>
      </c>
      <c r="D2851">
        <f>IFERROR(Table7[[#This Row],[United States 10y]]-Table7[[#This Row],[United States 3y]],#N/A)</f>
        <v/>
      </c>
    </row>
    <row r="2852">
      <c r="A2852" s="6">
        <f>Database!$A4937</f>
        <v/>
      </c>
      <c r="B2852">
        <f>IF(VLOOKUP(Table7[[#This Row],[Date]],Database!$A:$C,MATCH($B$1,Database!$A$1:$C$1,),)=0,#N/A,VLOOKUP(Table7[[#This Row],[Date]],Database!$A:$C,MATCH($B$1,Database!$A$1:$C$1,),))</f>
        <v/>
      </c>
      <c r="C2852">
        <f>IF(VLOOKUP(Table7[[#This Row],[Date]],Database!$A:$C,MATCH($C$1,Database!$A$1:$C$1,),)=0,#N/A,VLOOKUP(Table7[[#This Row],[Date]],Database!$A:$C,MATCH($C$1,Database!$A$1:$C$1,),))</f>
        <v/>
      </c>
      <c r="D2852">
        <f>IFERROR(Table7[[#This Row],[United States 10y]]-Table7[[#This Row],[United States 3y]],#N/A)</f>
        <v/>
      </c>
    </row>
    <row r="2853">
      <c r="A2853" s="6">
        <f>Database!$A4938</f>
        <v/>
      </c>
      <c r="B2853">
        <f>IF(VLOOKUP(Table7[[#This Row],[Date]],Database!$A:$C,MATCH($B$1,Database!$A$1:$C$1,),)=0,#N/A,VLOOKUP(Table7[[#This Row],[Date]],Database!$A:$C,MATCH($B$1,Database!$A$1:$C$1,),))</f>
        <v/>
      </c>
      <c r="C2853">
        <f>IF(VLOOKUP(Table7[[#This Row],[Date]],Database!$A:$C,MATCH($C$1,Database!$A$1:$C$1,),)=0,#N/A,VLOOKUP(Table7[[#This Row],[Date]],Database!$A:$C,MATCH($C$1,Database!$A$1:$C$1,),))</f>
        <v/>
      </c>
      <c r="D2853">
        <f>IFERROR(Table7[[#This Row],[United States 10y]]-Table7[[#This Row],[United States 3y]],#N/A)</f>
        <v/>
      </c>
    </row>
    <row r="2854">
      <c r="A2854" s="6">
        <f>Database!$A4939</f>
        <v/>
      </c>
      <c r="B2854">
        <f>IF(VLOOKUP(Table7[[#This Row],[Date]],Database!$A:$C,MATCH($B$1,Database!$A$1:$C$1,),)=0,#N/A,VLOOKUP(Table7[[#This Row],[Date]],Database!$A:$C,MATCH($B$1,Database!$A$1:$C$1,),))</f>
        <v/>
      </c>
      <c r="C2854">
        <f>IF(VLOOKUP(Table7[[#This Row],[Date]],Database!$A:$C,MATCH($C$1,Database!$A$1:$C$1,),)=0,#N/A,VLOOKUP(Table7[[#This Row],[Date]],Database!$A:$C,MATCH($C$1,Database!$A$1:$C$1,),))</f>
        <v/>
      </c>
      <c r="D2854">
        <f>IFERROR(Table7[[#This Row],[United States 10y]]-Table7[[#This Row],[United States 3y]],#N/A)</f>
        <v/>
      </c>
    </row>
    <row r="2855">
      <c r="A2855" s="6">
        <f>Database!$A4940</f>
        <v/>
      </c>
      <c r="B2855">
        <f>IF(VLOOKUP(Table7[[#This Row],[Date]],Database!$A:$C,MATCH($B$1,Database!$A$1:$C$1,),)=0,#N/A,VLOOKUP(Table7[[#This Row],[Date]],Database!$A:$C,MATCH($B$1,Database!$A$1:$C$1,),))</f>
        <v/>
      </c>
      <c r="C2855">
        <f>IF(VLOOKUP(Table7[[#This Row],[Date]],Database!$A:$C,MATCH($C$1,Database!$A$1:$C$1,),)=0,#N/A,VLOOKUP(Table7[[#This Row],[Date]],Database!$A:$C,MATCH($C$1,Database!$A$1:$C$1,),))</f>
        <v/>
      </c>
      <c r="D2855">
        <f>IFERROR(Table7[[#This Row],[United States 10y]]-Table7[[#This Row],[United States 3y]],#N/A)</f>
        <v/>
      </c>
    </row>
    <row r="2856">
      <c r="A2856" s="6">
        <f>Database!$A4941</f>
        <v/>
      </c>
      <c r="B2856">
        <f>IF(VLOOKUP(Table7[[#This Row],[Date]],Database!$A:$C,MATCH($B$1,Database!$A$1:$C$1,),)=0,#N/A,VLOOKUP(Table7[[#This Row],[Date]],Database!$A:$C,MATCH($B$1,Database!$A$1:$C$1,),))</f>
        <v/>
      </c>
      <c r="C2856">
        <f>IF(VLOOKUP(Table7[[#This Row],[Date]],Database!$A:$C,MATCH($C$1,Database!$A$1:$C$1,),)=0,#N/A,VLOOKUP(Table7[[#This Row],[Date]],Database!$A:$C,MATCH($C$1,Database!$A$1:$C$1,),))</f>
        <v/>
      </c>
      <c r="D2856">
        <f>IFERROR(Table7[[#This Row],[United States 10y]]-Table7[[#This Row],[United States 3y]],#N/A)</f>
        <v/>
      </c>
    </row>
    <row r="2857">
      <c r="A2857" s="6">
        <f>Database!$A4942</f>
        <v/>
      </c>
      <c r="B2857">
        <f>IF(VLOOKUP(Table7[[#This Row],[Date]],Database!$A:$C,MATCH($B$1,Database!$A$1:$C$1,),)=0,#N/A,VLOOKUP(Table7[[#This Row],[Date]],Database!$A:$C,MATCH($B$1,Database!$A$1:$C$1,),))</f>
        <v/>
      </c>
      <c r="C2857">
        <f>IF(VLOOKUP(Table7[[#This Row],[Date]],Database!$A:$C,MATCH($C$1,Database!$A$1:$C$1,),)=0,#N/A,VLOOKUP(Table7[[#This Row],[Date]],Database!$A:$C,MATCH($C$1,Database!$A$1:$C$1,),))</f>
        <v/>
      </c>
      <c r="D2857">
        <f>IFERROR(Table7[[#This Row],[United States 10y]]-Table7[[#This Row],[United States 3y]],#N/A)</f>
        <v/>
      </c>
    </row>
    <row r="2858">
      <c r="A2858" s="6">
        <f>Database!$A4943</f>
        <v/>
      </c>
      <c r="B2858">
        <f>IF(VLOOKUP(Table7[[#This Row],[Date]],Database!$A:$C,MATCH($B$1,Database!$A$1:$C$1,),)=0,#N/A,VLOOKUP(Table7[[#This Row],[Date]],Database!$A:$C,MATCH($B$1,Database!$A$1:$C$1,),))</f>
        <v/>
      </c>
      <c r="C2858">
        <f>IF(VLOOKUP(Table7[[#This Row],[Date]],Database!$A:$C,MATCH($C$1,Database!$A$1:$C$1,),)=0,#N/A,VLOOKUP(Table7[[#This Row],[Date]],Database!$A:$C,MATCH($C$1,Database!$A$1:$C$1,),))</f>
        <v/>
      </c>
      <c r="D2858">
        <f>IFERROR(Table7[[#This Row],[United States 10y]]-Table7[[#This Row],[United States 3y]],#N/A)</f>
        <v/>
      </c>
    </row>
    <row r="2859">
      <c r="A2859" s="6">
        <f>Database!$A4944</f>
        <v/>
      </c>
      <c r="B2859">
        <f>IF(VLOOKUP(Table7[[#This Row],[Date]],Database!$A:$C,MATCH($B$1,Database!$A$1:$C$1,),)=0,#N/A,VLOOKUP(Table7[[#This Row],[Date]],Database!$A:$C,MATCH($B$1,Database!$A$1:$C$1,),))</f>
        <v/>
      </c>
      <c r="C2859">
        <f>IF(VLOOKUP(Table7[[#This Row],[Date]],Database!$A:$C,MATCH($C$1,Database!$A$1:$C$1,),)=0,#N/A,VLOOKUP(Table7[[#This Row],[Date]],Database!$A:$C,MATCH($C$1,Database!$A$1:$C$1,),))</f>
        <v/>
      </c>
      <c r="D2859">
        <f>IFERROR(Table7[[#This Row],[United States 10y]]-Table7[[#This Row],[United States 3y]],#N/A)</f>
        <v/>
      </c>
    </row>
    <row r="2860">
      <c r="A2860" s="6">
        <f>Database!$A4945</f>
        <v/>
      </c>
      <c r="B2860">
        <f>IF(VLOOKUP(Table7[[#This Row],[Date]],Database!$A:$C,MATCH($B$1,Database!$A$1:$C$1,),)=0,#N/A,VLOOKUP(Table7[[#This Row],[Date]],Database!$A:$C,MATCH($B$1,Database!$A$1:$C$1,),))</f>
        <v/>
      </c>
      <c r="C2860">
        <f>IF(VLOOKUP(Table7[[#This Row],[Date]],Database!$A:$C,MATCH($C$1,Database!$A$1:$C$1,),)=0,#N/A,VLOOKUP(Table7[[#This Row],[Date]],Database!$A:$C,MATCH($C$1,Database!$A$1:$C$1,),))</f>
        <v/>
      </c>
      <c r="D2860">
        <f>IFERROR(Table7[[#This Row],[United States 10y]]-Table7[[#This Row],[United States 3y]],#N/A)</f>
        <v/>
      </c>
    </row>
    <row r="2861">
      <c r="A2861" s="6">
        <f>Database!$A4946</f>
        <v/>
      </c>
      <c r="B2861">
        <f>IF(VLOOKUP(Table7[[#This Row],[Date]],Database!$A:$C,MATCH($B$1,Database!$A$1:$C$1,),)=0,#N/A,VLOOKUP(Table7[[#This Row],[Date]],Database!$A:$C,MATCH($B$1,Database!$A$1:$C$1,),))</f>
        <v/>
      </c>
      <c r="C2861">
        <f>IF(VLOOKUP(Table7[[#This Row],[Date]],Database!$A:$C,MATCH($C$1,Database!$A$1:$C$1,),)=0,#N/A,VLOOKUP(Table7[[#This Row],[Date]],Database!$A:$C,MATCH($C$1,Database!$A$1:$C$1,),))</f>
        <v/>
      </c>
      <c r="D2861">
        <f>IFERROR(Table7[[#This Row],[United States 10y]]-Table7[[#This Row],[United States 3y]],#N/A)</f>
        <v/>
      </c>
    </row>
    <row r="2862">
      <c r="A2862" s="6">
        <f>Database!$A4947</f>
        <v/>
      </c>
      <c r="B2862">
        <f>IF(VLOOKUP(Table7[[#This Row],[Date]],Database!$A:$C,MATCH($B$1,Database!$A$1:$C$1,),)=0,#N/A,VLOOKUP(Table7[[#This Row],[Date]],Database!$A:$C,MATCH($B$1,Database!$A$1:$C$1,),))</f>
        <v/>
      </c>
      <c r="C2862">
        <f>IF(VLOOKUP(Table7[[#This Row],[Date]],Database!$A:$C,MATCH($C$1,Database!$A$1:$C$1,),)=0,#N/A,VLOOKUP(Table7[[#This Row],[Date]],Database!$A:$C,MATCH($C$1,Database!$A$1:$C$1,),))</f>
        <v/>
      </c>
      <c r="D2862">
        <f>IFERROR(Table7[[#This Row],[United States 10y]]-Table7[[#This Row],[United States 3y]],#N/A)</f>
        <v/>
      </c>
    </row>
    <row r="2863">
      <c r="A2863" s="6">
        <f>Database!$A4948</f>
        <v/>
      </c>
      <c r="B2863">
        <f>IF(VLOOKUP(Table7[[#This Row],[Date]],Database!$A:$C,MATCH($B$1,Database!$A$1:$C$1,),)=0,#N/A,VLOOKUP(Table7[[#This Row],[Date]],Database!$A:$C,MATCH($B$1,Database!$A$1:$C$1,),))</f>
        <v/>
      </c>
      <c r="C2863">
        <f>IF(VLOOKUP(Table7[[#This Row],[Date]],Database!$A:$C,MATCH($C$1,Database!$A$1:$C$1,),)=0,#N/A,VLOOKUP(Table7[[#This Row],[Date]],Database!$A:$C,MATCH($C$1,Database!$A$1:$C$1,),))</f>
        <v/>
      </c>
      <c r="D2863">
        <f>IFERROR(Table7[[#This Row],[United States 10y]]-Table7[[#This Row],[United States 3y]],#N/A)</f>
        <v/>
      </c>
    </row>
    <row r="2864">
      <c r="A2864" s="6">
        <f>Database!$A4949</f>
        <v/>
      </c>
      <c r="B2864">
        <f>IF(VLOOKUP(Table7[[#This Row],[Date]],Database!$A:$C,MATCH($B$1,Database!$A$1:$C$1,),)=0,#N/A,VLOOKUP(Table7[[#This Row],[Date]],Database!$A:$C,MATCH($B$1,Database!$A$1:$C$1,),))</f>
        <v/>
      </c>
      <c r="C2864">
        <f>IF(VLOOKUP(Table7[[#This Row],[Date]],Database!$A:$C,MATCH($C$1,Database!$A$1:$C$1,),)=0,#N/A,VLOOKUP(Table7[[#This Row],[Date]],Database!$A:$C,MATCH($C$1,Database!$A$1:$C$1,),))</f>
        <v/>
      </c>
      <c r="D2864">
        <f>IFERROR(Table7[[#This Row],[United States 10y]]-Table7[[#This Row],[United States 3y]],#N/A)</f>
        <v/>
      </c>
    </row>
    <row r="2865">
      <c r="A2865" s="6">
        <f>Database!$A4950</f>
        <v/>
      </c>
      <c r="B2865">
        <f>IF(VLOOKUP(Table7[[#This Row],[Date]],Database!$A:$C,MATCH($B$1,Database!$A$1:$C$1,),)=0,#N/A,VLOOKUP(Table7[[#This Row],[Date]],Database!$A:$C,MATCH($B$1,Database!$A$1:$C$1,),))</f>
        <v/>
      </c>
      <c r="C2865">
        <f>IF(VLOOKUP(Table7[[#This Row],[Date]],Database!$A:$C,MATCH($C$1,Database!$A$1:$C$1,),)=0,#N/A,VLOOKUP(Table7[[#This Row],[Date]],Database!$A:$C,MATCH($C$1,Database!$A$1:$C$1,),))</f>
        <v/>
      </c>
      <c r="D2865">
        <f>IFERROR(Table7[[#This Row],[United States 10y]]-Table7[[#This Row],[United States 3y]],#N/A)</f>
        <v/>
      </c>
    </row>
    <row r="2866">
      <c r="A2866" s="6">
        <f>Database!$A4951</f>
        <v/>
      </c>
      <c r="B2866">
        <f>IF(VLOOKUP(Table7[[#This Row],[Date]],Database!$A:$C,MATCH($B$1,Database!$A$1:$C$1,),)=0,#N/A,VLOOKUP(Table7[[#This Row],[Date]],Database!$A:$C,MATCH($B$1,Database!$A$1:$C$1,),))</f>
        <v/>
      </c>
      <c r="C2866">
        <f>IF(VLOOKUP(Table7[[#This Row],[Date]],Database!$A:$C,MATCH($C$1,Database!$A$1:$C$1,),)=0,#N/A,VLOOKUP(Table7[[#This Row],[Date]],Database!$A:$C,MATCH($C$1,Database!$A$1:$C$1,),))</f>
        <v/>
      </c>
      <c r="D2866">
        <f>IFERROR(Table7[[#This Row],[United States 10y]]-Table7[[#This Row],[United States 3y]],#N/A)</f>
        <v/>
      </c>
    </row>
    <row r="2867">
      <c r="A2867" s="6">
        <f>Database!$A4952</f>
        <v/>
      </c>
      <c r="B2867">
        <f>IF(VLOOKUP(Table7[[#This Row],[Date]],Database!$A:$C,MATCH($B$1,Database!$A$1:$C$1,),)=0,#N/A,VLOOKUP(Table7[[#This Row],[Date]],Database!$A:$C,MATCH($B$1,Database!$A$1:$C$1,),))</f>
        <v/>
      </c>
      <c r="C2867">
        <f>IF(VLOOKUP(Table7[[#This Row],[Date]],Database!$A:$C,MATCH($C$1,Database!$A$1:$C$1,),)=0,#N/A,VLOOKUP(Table7[[#This Row],[Date]],Database!$A:$C,MATCH($C$1,Database!$A$1:$C$1,),))</f>
        <v/>
      </c>
      <c r="D2867">
        <f>IFERROR(Table7[[#This Row],[United States 10y]]-Table7[[#This Row],[United States 3y]],#N/A)</f>
        <v/>
      </c>
    </row>
    <row r="2868">
      <c r="A2868" s="6">
        <f>Database!$A4953</f>
        <v/>
      </c>
      <c r="B2868">
        <f>IF(VLOOKUP(Table7[[#This Row],[Date]],Database!$A:$C,MATCH($B$1,Database!$A$1:$C$1,),)=0,#N/A,VLOOKUP(Table7[[#This Row],[Date]],Database!$A:$C,MATCH($B$1,Database!$A$1:$C$1,),))</f>
        <v/>
      </c>
      <c r="C2868">
        <f>IF(VLOOKUP(Table7[[#This Row],[Date]],Database!$A:$C,MATCH($C$1,Database!$A$1:$C$1,),)=0,#N/A,VLOOKUP(Table7[[#This Row],[Date]],Database!$A:$C,MATCH($C$1,Database!$A$1:$C$1,),))</f>
        <v/>
      </c>
      <c r="D2868">
        <f>IFERROR(Table7[[#This Row],[United States 10y]]-Table7[[#This Row],[United States 3y]],#N/A)</f>
        <v/>
      </c>
    </row>
    <row r="2869">
      <c r="A2869" s="6">
        <f>Database!$A4954</f>
        <v/>
      </c>
      <c r="B2869">
        <f>IF(VLOOKUP(Table7[[#This Row],[Date]],Database!$A:$C,MATCH($B$1,Database!$A$1:$C$1,),)=0,#N/A,VLOOKUP(Table7[[#This Row],[Date]],Database!$A:$C,MATCH($B$1,Database!$A$1:$C$1,),))</f>
        <v/>
      </c>
      <c r="C2869">
        <f>IF(VLOOKUP(Table7[[#This Row],[Date]],Database!$A:$C,MATCH($C$1,Database!$A$1:$C$1,),)=0,#N/A,VLOOKUP(Table7[[#This Row],[Date]],Database!$A:$C,MATCH($C$1,Database!$A$1:$C$1,),))</f>
        <v/>
      </c>
      <c r="D2869">
        <f>IFERROR(Table7[[#This Row],[United States 10y]]-Table7[[#This Row],[United States 3y]],#N/A)</f>
        <v/>
      </c>
    </row>
    <row r="2870">
      <c r="A2870" s="6">
        <f>Database!$A4955</f>
        <v/>
      </c>
      <c r="B2870">
        <f>IF(VLOOKUP(Table7[[#This Row],[Date]],Database!$A:$C,MATCH($B$1,Database!$A$1:$C$1,),)=0,#N/A,VLOOKUP(Table7[[#This Row],[Date]],Database!$A:$C,MATCH($B$1,Database!$A$1:$C$1,),))</f>
        <v/>
      </c>
      <c r="C2870">
        <f>IF(VLOOKUP(Table7[[#This Row],[Date]],Database!$A:$C,MATCH($C$1,Database!$A$1:$C$1,),)=0,#N/A,VLOOKUP(Table7[[#This Row],[Date]],Database!$A:$C,MATCH($C$1,Database!$A$1:$C$1,),))</f>
        <v/>
      </c>
      <c r="D2870">
        <f>IFERROR(Table7[[#This Row],[United States 10y]]-Table7[[#This Row],[United States 3y]],#N/A)</f>
        <v/>
      </c>
    </row>
    <row r="2871">
      <c r="A2871" s="6">
        <f>Database!$A4956</f>
        <v/>
      </c>
      <c r="B2871">
        <f>IF(VLOOKUP(Table7[[#This Row],[Date]],Database!$A:$C,MATCH($B$1,Database!$A$1:$C$1,),)=0,#N/A,VLOOKUP(Table7[[#This Row],[Date]],Database!$A:$C,MATCH($B$1,Database!$A$1:$C$1,),))</f>
        <v/>
      </c>
      <c r="C2871">
        <f>IF(VLOOKUP(Table7[[#This Row],[Date]],Database!$A:$C,MATCH($C$1,Database!$A$1:$C$1,),)=0,#N/A,VLOOKUP(Table7[[#This Row],[Date]],Database!$A:$C,MATCH($C$1,Database!$A$1:$C$1,),))</f>
        <v/>
      </c>
      <c r="D2871">
        <f>IFERROR(Table7[[#This Row],[United States 10y]]-Table7[[#This Row],[United States 3y]],#N/A)</f>
        <v/>
      </c>
    </row>
    <row r="2872">
      <c r="A2872" s="6">
        <f>Database!$A4957</f>
        <v/>
      </c>
      <c r="B2872">
        <f>IF(VLOOKUP(Table7[[#This Row],[Date]],Database!$A:$C,MATCH($B$1,Database!$A$1:$C$1,),)=0,#N/A,VLOOKUP(Table7[[#This Row],[Date]],Database!$A:$C,MATCH($B$1,Database!$A$1:$C$1,),))</f>
        <v/>
      </c>
      <c r="C2872">
        <f>IF(VLOOKUP(Table7[[#This Row],[Date]],Database!$A:$C,MATCH($C$1,Database!$A$1:$C$1,),)=0,#N/A,VLOOKUP(Table7[[#This Row],[Date]],Database!$A:$C,MATCH($C$1,Database!$A$1:$C$1,),))</f>
        <v/>
      </c>
      <c r="D2872">
        <f>IFERROR(Table7[[#This Row],[United States 10y]]-Table7[[#This Row],[United States 3y]],#N/A)</f>
        <v/>
      </c>
    </row>
    <row r="2873">
      <c r="A2873" s="6">
        <f>Database!$A4958</f>
        <v/>
      </c>
      <c r="B2873">
        <f>IF(VLOOKUP(Table7[[#This Row],[Date]],Database!$A:$C,MATCH($B$1,Database!$A$1:$C$1,),)=0,#N/A,VLOOKUP(Table7[[#This Row],[Date]],Database!$A:$C,MATCH($B$1,Database!$A$1:$C$1,),))</f>
        <v/>
      </c>
      <c r="C2873">
        <f>IF(VLOOKUP(Table7[[#This Row],[Date]],Database!$A:$C,MATCH($C$1,Database!$A$1:$C$1,),)=0,#N/A,VLOOKUP(Table7[[#This Row],[Date]],Database!$A:$C,MATCH($C$1,Database!$A$1:$C$1,),))</f>
        <v/>
      </c>
      <c r="D2873">
        <f>IFERROR(Table7[[#This Row],[United States 10y]]-Table7[[#This Row],[United States 3y]],#N/A)</f>
        <v/>
      </c>
    </row>
    <row r="2874">
      <c r="A2874" s="6">
        <f>Database!$A4959</f>
        <v/>
      </c>
      <c r="B2874">
        <f>IF(VLOOKUP(Table7[[#This Row],[Date]],Database!$A:$C,MATCH($B$1,Database!$A$1:$C$1,),)=0,#N/A,VLOOKUP(Table7[[#This Row],[Date]],Database!$A:$C,MATCH($B$1,Database!$A$1:$C$1,),))</f>
        <v/>
      </c>
      <c r="C2874">
        <f>IF(VLOOKUP(Table7[[#This Row],[Date]],Database!$A:$C,MATCH($C$1,Database!$A$1:$C$1,),)=0,#N/A,VLOOKUP(Table7[[#This Row],[Date]],Database!$A:$C,MATCH($C$1,Database!$A$1:$C$1,),))</f>
        <v/>
      </c>
      <c r="D2874">
        <f>IFERROR(Table7[[#This Row],[United States 10y]]-Table7[[#This Row],[United States 3y]],#N/A)</f>
        <v/>
      </c>
    </row>
    <row r="2875">
      <c r="A2875" s="6">
        <f>Database!$A4960</f>
        <v/>
      </c>
      <c r="B2875">
        <f>IF(VLOOKUP(Table7[[#This Row],[Date]],Database!$A:$C,MATCH($B$1,Database!$A$1:$C$1,),)=0,#N/A,VLOOKUP(Table7[[#This Row],[Date]],Database!$A:$C,MATCH($B$1,Database!$A$1:$C$1,),))</f>
        <v/>
      </c>
      <c r="C2875">
        <f>IF(VLOOKUP(Table7[[#This Row],[Date]],Database!$A:$C,MATCH($C$1,Database!$A$1:$C$1,),)=0,#N/A,VLOOKUP(Table7[[#This Row],[Date]],Database!$A:$C,MATCH($C$1,Database!$A$1:$C$1,),))</f>
        <v/>
      </c>
      <c r="D2875">
        <f>IFERROR(Table7[[#This Row],[United States 10y]]-Table7[[#This Row],[United States 3y]],#N/A)</f>
        <v/>
      </c>
    </row>
    <row r="2876">
      <c r="A2876" s="6">
        <f>Database!$A4961</f>
        <v/>
      </c>
      <c r="B2876">
        <f>IF(VLOOKUP(Table7[[#This Row],[Date]],Database!$A:$C,MATCH($B$1,Database!$A$1:$C$1,),)=0,#N/A,VLOOKUP(Table7[[#This Row],[Date]],Database!$A:$C,MATCH($B$1,Database!$A$1:$C$1,),))</f>
        <v/>
      </c>
      <c r="C2876">
        <f>IF(VLOOKUP(Table7[[#This Row],[Date]],Database!$A:$C,MATCH($C$1,Database!$A$1:$C$1,),)=0,#N/A,VLOOKUP(Table7[[#This Row],[Date]],Database!$A:$C,MATCH($C$1,Database!$A$1:$C$1,),))</f>
        <v/>
      </c>
      <c r="D2876">
        <f>IFERROR(Table7[[#This Row],[United States 10y]]-Table7[[#This Row],[United States 3y]],#N/A)</f>
        <v/>
      </c>
    </row>
    <row r="2877">
      <c r="A2877" s="6">
        <f>Database!$A4962</f>
        <v/>
      </c>
      <c r="B2877">
        <f>IF(VLOOKUP(Table7[[#This Row],[Date]],Database!$A:$C,MATCH($B$1,Database!$A$1:$C$1,),)=0,#N/A,VLOOKUP(Table7[[#This Row],[Date]],Database!$A:$C,MATCH($B$1,Database!$A$1:$C$1,),))</f>
        <v/>
      </c>
      <c r="C2877">
        <f>IF(VLOOKUP(Table7[[#This Row],[Date]],Database!$A:$C,MATCH($C$1,Database!$A$1:$C$1,),)=0,#N/A,VLOOKUP(Table7[[#This Row],[Date]],Database!$A:$C,MATCH($C$1,Database!$A$1:$C$1,),))</f>
        <v/>
      </c>
      <c r="D2877">
        <f>IFERROR(Table7[[#This Row],[United States 10y]]-Table7[[#This Row],[United States 3y]],#N/A)</f>
        <v/>
      </c>
    </row>
    <row r="2878">
      <c r="A2878" s="6">
        <f>Database!$A4963</f>
        <v/>
      </c>
      <c r="B2878">
        <f>IF(VLOOKUP(Table7[[#This Row],[Date]],Database!$A:$C,MATCH($B$1,Database!$A$1:$C$1,),)=0,#N/A,VLOOKUP(Table7[[#This Row],[Date]],Database!$A:$C,MATCH($B$1,Database!$A$1:$C$1,),))</f>
        <v/>
      </c>
      <c r="C2878">
        <f>IF(VLOOKUP(Table7[[#This Row],[Date]],Database!$A:$C,MATCH($C$1,Database!$A$1:$C$1,),)=0,#N/A,VLOOKUP(Table7[[#This Row],[Date]],Database!$A:$C,MATCH($C$1,Database!$A$1:$C$1,),))</f>
        <v/>
      </c>
      <c r="D2878">
        <f>IFERROR(Table7[[#This Row],[United States 10y]]-Table7[[#This Row],[United States 3y]],#N/A)</f>
        <v/>
      </c>
    </row>
    <row r="2879">
      <c r="A2879" s="6">
        <f>Database!$A4964</f>
        <v/>
      </c>
      <c r="B2879">
        <f>IF(VLOOKUP(Table7[[#This Row],[Date]],Database!$A:$C,MATCH($B$1,Database!$A$1:$C$1,),)=0,#N/A,VLOOKUP(Table7[[#This Row],[Date]],Database!$A:$C,MATCH($B$1,Database!$A$1:$C$1,),))</f>
        <v/>
      </c>
      <c r="C2879">
        <f>IF(VLOOKUP(Table7[[#This Row],[Date]],Database!$A:$C,MATCH($C$1,Database!$A$1:$C$1,),)=0,#N/A,VLOOKUP(Table7[[#This Row],[Date]],Database!$A:$C,MATCH($C$1,Database!$A$1:$C$1,),))</f>
        <v/>
      </c>
      <c r="D2879">
        <f>IFERROR(Table7[[#This Row],[United States 10y]]-Table7[[#This Row],[United States 3y]],#N/A)</f>
        <v/>
      </c>
    </row>
    <row r="2880">
      <c r="A2880" s="6">
        <f>Database!$A4965</f>
        <v/>
      </c>
      <c r="B2880">
        <f>IF(VLOOKUP(Table7[[#This Row],[Date]],Database!$A:$C,MATCH($B$1,Database!$A$1:$C$1,),)=0,#N/A,VLOOKUP(Table7[[#This Row],[Date]],Database!$A:$C,MATCH($B$1,Database!$A$1:$C$1,),))</f>
        <v/>
      </c>
      <c r="C2880">
        <f>IF(VLOOKUP(Table7[[#This Row],[Date]],Database!$A:$C,MATCH($C$1,Database!$A$1:$C$1,),)=0,#N/A,VLOOKUP(Table7[[#This Row],[Date]],Database!$A:$C,MATCH($C$1,Database!$A$1:$C$1,),))</f>
        <v/>
      </c>
      <c r="D2880">
        <f>IFERROR(Table7[[#This Row],[United States 10y]]-Table7[[#This Row],[United States 3y]],#N/A)</f>
        <v/>
      </c>
    </row>
    <row r="2881">
      <c r="A2881" s="6">
        <f>Database!$A4966</f>
        <v/>
      </c>
      <c r="B2881">
        <f>IF(VLOOKUP(Table7[[#This Row],[Date]],Database!$A:$C,MATCH($B$1,Database!$A$1:$C$1,),)=0,#N/A,VLOOKUP(Table7[[#This Row],[Date]],Database!$A:$C,MATCH($B$1,Database!$A$1:$C$1,),))</f>
        <v/>
      </c>
      <c r="C2881">
        <f>IF(VLOOKUP(Table7[[#This Row],[Date]],Database!$A:$C,MATCH($C$1,Database!$A$1:$C$1,),)=0,#N/A,VLOOKUP(Table7[[#This Row],[Date]],Database!$A:$C,MATCH($C$1,Database!$A$1:$C$1,),))</f>
        <v/>
      </c>
      <c r="D2881">
        <f>IFERROR(Table7[[#This Row],[United States 10y]]-Table7[[#This Row],[United States 3y]],#N/A)</f>
        <v/>
      </c>
    </row>
    <row r="2882">
      <c r="A2882" s="6">
        <f>Database!$A4967</f>
        <v/>
      </c>
      <c r="B2882">
        <f>IF(VLOOKUP(Table7[[#This Row],[Date]],Database!$A:$C,MATCH($B$1,Database!$A$1:$C$1,),)=0,#N/A,VLOOKUP(Table7[[#This Row],[Date]],Database!$A:$C,MATCH($B$1,Database!$A$1:$C$1,),))</f>
        <v/>
      </c>
      <c r="C2882">
        <f>IF(VLOOKUP(Table7[[#This Row],[Date]],Database!$A:$C,MATCH($C$1,Database!$A$1:$C$1,),)=0,#N/A,VLOOKUP(Table7[[#This Row],[Date]],Database!$A:$C,MATCH($C$1,Database!$A$1:$C$1,),))</f>
        <v/>
      </c>
      <c r="D2882">
        <f>IFERROR(Table7[[#This Row],[United States 10y]]-Table7[[#This Row],[United States 3y]],#N/A)</f>
        <v/>
      </c>
    </row>
    <row r="2883">
      <c r="A2883" s="6">
        <f>Database!$A4968</f>
        <v/>
      </c>
      <c r="B2883">
        <f>IF(VLOOKUP(Table7[[#This Row],[Date]],Database!$A:$C,MATCH($B$1,Database!$A$1:$C$1,),)=0,#N/A,VLOOKUP(Table7[[#This Row],[Date]],Database!$A:$C,MATCH($B$1,Database!$A$1:$C$1,),))</f>
        <v/>
      </c>
      <c r="C2883">
        <f>IF(VLOOKUP(Table7[[#This Row],[Date]],Database!$A:$C,MATCH($C$1,Database!$A$1:$C$1,),)=0,#N/A,VLOOKUP(Table7[[#This Row],[Date]],Database!$A:$C,MATCH($C$1,Database!$A$1:$C$1,),))</f>
        <v/>
      </c>
      <c r="D2883">
        <f>IFERROR(Table7[[#This Row],[United States 10y]]-Table7[[#This Row],[United States 3y]],#N/A)</f>
        <v/>
      </c>
    </row>
    <row r="2884">
      <c r="A2884" s="6">
        <f>Database!$A4969</f>
        <v/>
      </c>
      <c r="B2884">
        <f>IF(VLOOKUP(Table7[[#This Row],[Date]],Database!$A:$C,MATCH($B$1,Database!$A$1:$C$1,),)=0,#N/A,VLOOKUP(Table7[[#This Row],[Date]],Database!$A:$C,MATCH($B$1,Database!$A$1:$C$1,),))</f>
        <v/>
      </c>
      <c r="C2884">
        <f>IF(VLOOKUP(Table7[[#This Row],[Date]],Database!$A:$C,MATCH($C$1,Database!$A$1:$C$1,),)=0,#N/A,VLOOKUP(Table7[[#This Row],[Date]],Database!$A:$C,MATCH($C$1,Database!$A$1:$C$1,),))</f>
        <v/>
      </c>
      <c r="D2884">
        <f>IFERROR(Table7[[#This Row],[United States 10y]]-Table7[[#This Row],[United States 3y]],#N/A)</f>
        <v/>
      </c>
    </row>
    <row r="2885">
      <c r="A2885" s="6">
        <f>Database!$A4970</f>
        <v/>
      </c>
      <c r="B2885">
        <f>IF(VLOOKUP(Table7[[#This Row],[Date]],Database!$A:$C,MATCH($B$1,Database!$A$1:$C$1,),)=0,#N/A,VLOOKUP(Table7[[#This Row],[Date]],Database!$A:$C,MATCH($B$1,Database!$A$1:$C$1,),))</f>
        <v/>
      </c>
      <c r="C2885">
        <f>IF(VLOOKUP(Table7[[#This Row],[Date]],Database!$A:$C,MATCH($C$1,Database!$A$1:$C$1,),)=0,#N/A,VLOOKUP(Table7[[#This Row],[Date]],Database!$A:$C,MATCH($C$1,Database!$A$1:$C$1,),))</f>
        <v/>
      </c>
      <c r="D2885">
        <f>IFERROR(Table7[[#This Row],[United States 10y]]-Table7[[#This Row],[United States 3y]],#N/A)</f>
        <v/>
      </c>
    </row>
    <row r="2886">
      <c r="A2886" s="6">
        <f>Database!$A4971</f>
        <v/>
      </c>
      <c r="B2886">
        <f>IF(VLOOKUP(Table7[[#This Row],[Date]],Database!$A:$C,MATCH($B$1,Database!$A$1:$C$1,),)=0,#N/A,VLOOKUP(Table7[[#This Row],[Date]],Database!$A:$C,MATCH($B$1,Database!$A$1:$C$1,),))</f>
        <v/>
      </c>
      <c r="C2886">
        <f>IF(VLOOKUP(Table7[[#This Row],[Date]],Database!$A:$C,MATCH($C$1,Database!$A$1:$C$1,),)=0,#N/A,VLOOKUP(Table7[[#This Row],[Date]],Database!$A:$C,MATCH($C$1,Database!$A$1:$C$1,),))</f>
        <v/>
      </c>
      <c r="D2886">
        <f>IFERROR(Table7[[#This Row],[United States 10y]]-Table7[[#This Row],[United States 3y]],#N/A)</f>
        <v/>
      </c>
    </row>
    <row r="2887">
      <c r="A2887" s="6">
        <f>Database!$A4972</f>
        <v/>
      </c>
      <c r="B2887">
        <f>IF(VLOOKUP(Table7[[#This Row],[Date]],Database!$A:$C,MATCH($B$1,Database!$A$1:$C$1,),)=0,#N/A,VLOOKUP(Table7[[#This Row],[Date]],Database!$A:$C,MATCH($B$1,Database!$A$1:$C$1,),))</f>
        <v/>
      </c>
      <c r="C2887">
        <f>IF(VLOOKUP(Table7[[#This Row],[Date]],Database!$A:$C,MATCH($C$1,Database!$A$1:$C$1,),)=0,#N/A,VLOOKUP(Table7[[#This Row],[Date]],Database!$A:$C,MATCH($C$1,Database!$A$1:$C$1,),))</f>
        <v/>
      </c>
      <c r="D2887">
        <f>IFERROR(Table7[[#This Row],[United States 10y]]-Table7[[#This Row],[United States 3y]],#N/A)</f>
        <v/>
      </c>
    </row>
    <row r="2888">
      <c r="A2888" s="6">
        <f>Database!$A4973</f>
        <v/>
      </c>
      <c r="B2888">
        <f>IF(VLOOKUP(Table7[[#This Row],[Date]],Database!$A:$C,MATCH($B$1,Database!$A$1:$C$1,),)=0,#N/A,VLOOKUP(Table7[[#This Row],[Date]],Database!$A:$C,MATCH($B$1,Database!$A$1:$C$1,),))</f>
        <v/>
      </c>
      <c r="C2888">
        <f>IF(VLOOKUP(Table7[[#This Row],[Date]],Database!$A:$C,MATCH($C$1,Database!$A$1:$C$1,),)=0,#N/A,VLOOKUP(Table7[[#This Row],[Date]],Database!$A:$C,MATCH($C$1,Database!$A$1:$C$1,),))</f>
        <v/>
      </c>
      <c r="D2888">
        <f>IFERROR(Table7[[#This Row],[United States 10y]]-Table7[[#This Row],[United States 3y]],#N/A)</f>
        <v/>
      </c>
    </row>
    <row r="2889">
      <c r="A2889" s="6">
        <f>Database!$A4974</f>
        <v/>
      </c>
      <c r="B2889">
        <f>IF(VLOOKUP(Table7[[#This Row],[Date]],Database!$A:$C,MATCH($B$1,Database!$A$1:$C$1,),)=0,#N/A,VLOOKUP(Table7[[#This Row],[Date]],Database!$A:$C,MATCH($B$1,Database!$A$1:$C$1,),))</f>
        <v/>
      </c>
      <c r="C2889">
        <f>IF(VLOOKUP(Table7[[#This Row],[Date]],Database!$A:$C,MATCH($C$1,Database!$A$1:$C$1,),)=0,#N/A,VLOOKUP(Table7[[#This Row],[Date]],Database!$A:$C,MATCH($C$1,Database!$A$1:$C$1,),))</f>
        <v/>
      </c>
      <c r="D2889">
        <f>IFERROR(Table7[[#This Row],[United States 10y]]-Table7[[#This Row],[United States 3y]],#N/A)</f>
        <v/>
      </c>
    </row>
    <row r="2890">
      <c r="A2890" s="6">
        <f>Database!$A4975</f>
        <v/>
      </c>
      <c r="B2890">
        <f>IF(VLOOKUP(Table7[[#This Row],[Date]],Database!$A:$C,MATCH($B$1,Database!$A$1:$C$1,),)=0,#N/A,VLOOKUP(Table7[[#This Row],[Date]],Database!$A:$C,MATCH($B$1,Database!$A$1:$C$1,),))</f>
        <v/>
      </c>
      <c r="C2890">
        <f>IF(VLOOKUP(Table7[[#This Row],[Date]],Database!$A:$C,MATCH($C$1,Database!$A$1:$C$1,),)=0,#N/A,VLOOKUP(Table7[[#This Row],[Date]],Database!$A:$C,MATCH($C$1,Database!$A$1:$C$1,),))</f>
        <v/>
      </c>
      <c r="D2890">
        <f>IFERROR(Table7[[#This Row],[United States 10y]]-Table7[[#This Row],[United States 3y]],#N/A)</f>
        <v/>
      </c>
    </row>
    <row r="2891">
      <c r="A2891" s="6">
        <f>Database!$A4976</f>
        <v/>
      </c>
      <c r="B2891">
        <f>IF(VLOOKUP(Table7[[#This Row],[Date]],Database!$A:$C,MATCH($B$1,Database!$A$1:$C$1,),)=0,#N/A,VLOOKUP(Table7[[#This Row],[Date]],Database!$A:$C,MATCH($B$1,Database!$A$1:$C$1,),))</f>
        <v/>
      </c>
      <c r="C2891">
        <f>IF(VLOOKUP(Table7[[#This Row],[Date]],Database!$A:$C,MATCH($C$1,Database!$A$1:$C$1,),)=0,#N/A,VLOOKUP(Table7[[#This Row],[Date]],Database!$A:$C,MATCH($C$1,Database!$A$1:$C$1,),))</f>
        <v/>
      </c>
      <c r="D2891">
        <f>IFERROR(Table7[[#This Row],[United States 10y]]-Table7[[#This Row],[United States 3y]],#N/A)</f>
        <v/>
      </c>
    </row>
    <row r="2892">
      <c r="A2892" s="6">
        <f>Database!$A4977</f>
        <v/>
      </c>
      <c r="B2892">
        <f>IF(VLOOKUP(Table7[[#This Row],[Date]],Database!$A:$C,MATCH($B$1,Database!$A$1:$C$1,),)=0,#N/A,VLOOKUP(Table7[[#This Row],[Date]],Database!$A:$C,MATCH($B$1,Database!$A$1:$C$1,),))</f>
        <v/>
      </c>
      <c r="C2892">
        <f>IF(VLOOKUP(Table7[[#This Row],[Date]],Database!$A:$C,MATCH($C$1,Database!$A$1:$C$1,),)=0,#N/A,VLOOKUP(Table7[[#This Row],[Date]],Database!$A:$C,MATCH($C$1,Database!$A$1:$C$1,),))</f>
        <v/>
      </c>
      <c r="D2892">
        <f>IFERROR(Table7[[#This Row],[United States 10y]]-Table7[[#This Row],[United States 3y]],#N/A)</f>
        <v/>
      </c>
    </row>
    <row r="2893">
      <c r="A2893" s="6">
        <f>Database!$A4978</f>
        <v/>
      </c>
      <c r="B2893">
        <f>IF(VLOOKUP(Table7[[#This Row],[Date]],Database!$A:$C,MATCH($B$1,Database!$A$1:$C$1,),)=0,#N/A,VLOOKUP(Table7[[#This Row],[Date]],Database!$A:$C,MATCH($B$1,Database!$A$1:$C$1,),))</f>
        <v/>
      </c>
      <c r="C2893">
        <f>IF(VLOOKUP(Table7[[#This Row],[Date]],Database!$A:$C,MATCH($C$1,Database!$A$1:$C$1,),)=0,#N/A,VLOOKUP(Table7[[#This Row],[Date]],Database!$A:$C,MATCH($C$1,Database!$A$1:$C$1,),))</f>
        <v/>
      </c>
      <c r="D2893">
        <f>IFERROR(Table7[[#This Row],[United States 10y]]-Table7[[#This Row],[United States 3y]],#N/A)</f>
        <v/>
      </c>
    </row>
    <row r="2894">
      <c r="A2894" s="6">
        <f>Database!$A4979</f>
        <v/>
      </c>
      <c r="B2894">
        <f>IF(VLOOKUP(Table7[[#This Row],[Date]],Database!$A:$C,MATCH($B$1,Database!$A$1:$C$1,),)=0,#N/A,VLOOKUP(Table7[[#This Row],[Date]],Database!$A:$C,MATCH($B$1,Database!$A$1:$C$1,),))</f>
        <v/>
      </c>
      <c r="C2894">
        <f>IF(VLOOKUP(Table7[[#This Row],[Date]],Database!$A:$C,MATCH($C$1,Database!$A$1:$C$1,),)=0,#N/A,VLOOKUP(Table7[[#This Row],[Date]],Database!$A:$C,MATCH($C$1,Database!$A$1:$C$1,),))</f>
        <v/>
      </c>
      <c r="D2894">
        <f>IFERROR(Table7[[#This Row],[United States 10y]]-Table7[[#This Row],[United States 3y]],#N/A)</f>
        <v/>
      </c>
    </row>
    <row r="2895">
      <c r="A2895" s="6">
        <f>Database!$A4980</f>
        <v/>
      </c>
      <c r="B2895">
        <f>IF(VLOOKUP(Table7[[#This Row],[Date]],Database!$A:$C,MATCH($B$1,Database!$A$1:$C$1,),)=0,#N/A,VLOOKUP(Table7[[#This Row],[Date]],Database!$A:$C,MATCH($B$1,Database!$A$1:$C$1,),))</f>
        <v/>
      </c>
      <c r="C2895">
        <f>IF(VLOOKUP(Table7[[#This Row],[Date]],Database!$A:$C,MATCH($C$1,Database!$A$1:$C$1,),)=0,#N/A,VLOOKUP(Table7[[#This Row],[Date]],Database!$A:$C,MATCH($C$1,Database!$A$1:$C$1,),))</f>
        <v/>
      </c>
      <c r="D2895">
        <f>IFERROR(Table7[[#This Row],[United States 10y]]-Table7[[#This Row],[United States 3y]],#N/A)</f>
        <v/>
      </c>
    </row>
    <row r="2896">
      <c r="A2896" s="6">
        <f>Database!$A4981</f>
        <v/>
      </c>
      <c r="B2896">
        <f>IF(VLOOKUP(Table7[[#This Row],[Date]],Database!$A:$C,MATCH($B$1,Database!$A$1:$C$1,),)=0,#N/A,VLOOKUP(Table7[[#This Row],[Date]],Database!$A:$C,MATCH($B$1,Database!$A$1:$C$1,),))</f>
        <v/>
      </c>
      <c r="C2896">
        <f>IF(VLOOKUP(Table7[[#This Row],[Date]],Database!$A:$C,MATCH($C$1,Database!$A$1:$C$1,),)=0,#N/A,VLOOKUP(Table7[[#This Row],[Date]],Database!$A:$C,MATCH($C$1,Database!$A$1:$C$1,),))</f>
        <v/>
      </c>
      <c r="D2896">
        <f>IFERROR(Table7[[#This Row],[United States 10y]]-Table7[[#This Row],[United States 3y]],#N/A)</f>
        <v/>
      </c>
    </row>
    <row r="2897">
      <c r="A2897" s="6">
        <f>Database!$A4982</f>
        <v/>
      </c>
      <c r="B2897">
        <f>IF(VLOOKUP(Table7[[#This Row],[Date]],Database!$A:$C,MATCH($B$1,Database!$A$1:$C$1,),)=0,#N/A,VLOOKUP(Table7[[#This Row],[Date]],Database!$A:$C,MATCH($B$1,Database!$A$1:$C$1,),))</f>
        <v/>
      </c>
      <c r="C2897">
        <f>IF(VLOOKUP(Table7[[#This Row],[Date]],Database!$A:$C,MATCH($C$1,Database!$A$1:$C$1,),)=0,#N/A,VLOOKUP(Table7[[#This Row],[Date]],Database!$A:$C,MATCH($C$1,Database!$A$1:$C$1,),))</f>
        <v/>
      </c>
      <c r="D2897">
        <f>IFERROR(Table7[[#This Row],[United States 10y]]-Table7[[#This Row],[United States 3y]],#N/A)</f>
        <v/>
      </c>
    </row>
    <row r="2898">
      <c r="A2898" s="6">
        <f>Database!$A4983</f>
        <v/>
      </c>
      <c r="B2898">
        <f>IF(VLOOKUP(Table7[[#This Row],[Date]],Database!$A:$C,MATCH($B$1,Database!$A$1:$C$1,),)=0,#N/A,VLOOKUP(Table7[[#This Row],[Date]],Database!$A:$C,MATCH($B$1,Database!$A$1:$C$1,),))</f>
        <v/>
      </c>
      <c r="C2898">
        <f>IF(VLOOKUP(Table7[[#This Row],[Date]],Database!$A:$C,MATCH($C$1,Database!$A$1:$C$1,),)=0,#N/A,VLOOKUP(Table7[[#This Row],[Date]],Database!$A:$C,MATCH($C$1,Database!$A$1:$C$1,),))</f>
        <v/>
      </c>
      <c r="D2898">
        <f>IFERROR(Table7[[#This Row],[United States 10y]]-Table7[[#This Row],[United States 3y]],#N/A)</f>
        <v/>
      </c>
    </row>
    <row r="2899">
      <c r="A2899" s="6">
        <f>Database!$A4984</f>
        <v/>
      </c>
      <c r="B2899">
        <f>IF(VLOOKUP(Table7[[#This Row],[Date]],Database!$A:$C,MATCH($B$1,Database!$A$1:$C$1,),)=0,#N/A,VLOOKUP(Table7[[#This Row],[Date]],Database!$A:$C,MATCH($B$1,Database!$A$1:$C$1,),))</f>
        <v/>
      </c>
      <c r="C2899">
        <f>IF(VLOOKUP(Table7[[#This Row],[Date]],Database!$A:$C,MATCH($C$1,Database!$A$1:$C$1,),)=0,#N/A,VLOOKUP(Table7[[#This Row],[Date]],Database!$A:$C,MATCH($C$1,Database!$A$1:$C$1,),))</f>
        <v/>
      </c>
      <c r="D2899">
        <f>IFERROR(Table7[[#This Row],[United States 10y]]-Table7[[#This Row],[United States 3y]],#N/A)</f>
        <v/>
      </c>
    </row>
    <row r="2900">
      <c r="A2900" s="6">
        <f>Database!$A4985</f>
        <v/>
      </c>
      <c r="B2900">
        <f>IF(VLOOKUP(Table7[[#This Row],[Date]],Database!$A:$C,MATCH($B$1,Database!$A$1:$C$1,),)=0,#N/A,VLOOKUP(Table7[[#This Row],[Date]],Database!$A:$C,MATCH($B$1,Database!$A$1:$C$1,),))</f>
        <v/>
      </c>
      <c r="C2900">
        <f>IF(VLOOKUP(Table7[[#This Row],[Date]],Database!$A:$C,MATCH($C$1,Database!$A$1:$C$1,),)=0,#N/A,VLOOKUP(Table7[[#This Row],[Date]],Database!$A:$C,MATCH($C$1,Database!$A$1:$C$1,),))</f>
        <v/>
      </c>
      <c r="D2900">
        <f>IFERROR(Table7[[#This Row],[United States 10y]]-Table7[[#This Row],[United States 3y]],#N/A)</f>
        <v/>
      </c>
    </row>
    <row r="2901">
      <c r="A2901" s="6">
        <f>Database!$A4986</f>
        <v/>
      </c>
      <c r="B2901">
        <f>IF(VLOOKUP(Table7[[#This Row],[Date]],Database!$A:$C,MATCH($B$1,Database!$A$1:$C$1,),)=0,#N/A,VLOOKUP(Table7[[#This Row],[Date]],Database!$A:$C,MATCH($B$1,Database!$A$1:$C$1,),))</f>
        <v/>
      </c>
      <c r="C2901">
        <f>IF(VLOOKUP(Table7[[#This Row],[Date]],Database!$A:$C,MATCH($C$1,Database!$A$1:$C$1,),)=0,#N/A,VLOOKUP(Table7[[#This Row],[Date]],Database!$A:$C,MATCH($C$1,Database!$A$1:$C$1,),))</f>
        <v/>
      </c>
      <c r="D2901">
        <f>IFERROR(Table7[[#This Row],[United States 10y]]-Table7[[#This Row],[United States 3y]],#N/A)</f>
        <v/>
      </c>
    </row>
    <row r="2902">
      <c r="A2902" s="6">
        <f>Database!$A4987</f>
        <v/>
      </c>
      <c r="B2902">
        <f>IF(VLOOKUP(Table7[[#This Row],[Date]],Database!$A:$C,MATCH($B$1,Database!$A$1:$C$1,),)=0,#N/A,VLOOKUP(Table7[[#This Row],[Date]],Database!$A:$C,MATCH($B$1,Database!$A$1:$C$1,),))</f>
        <v/>
      </c>
      <c r="C2902">
        <f>IF(VLOOKUP(Table7[[#This Row],[Date]],Database!$A:$C,MATCH($C$1,Database!$A$1:$C$1,),)=0,#N/A,VLOOKUP(Table7[[#This Row],[Date]],Database!$A:$C,MATCH($C$1,Database!$A$1:$C$1,),))</f>
        <v/>
      </c>
      <c r="D2902">
        <f>IFERROR(Table7[[#This Row],[United States 10y]]-Table7[[#This Row],[United States 3y]],#N/A)</f>
        <v/>
      </c>
    </row>
    <row r="2903">
      <c r="A2903" s="6">
        <f>Database!$A4988</f>
        <v/>
      </c>
      <c r="B2903">
        <f>IF(VLOOKUP(Table7[[#This Row],[Date]],Database!$A:$C,MATCH($B$1,Database!$A$1:$C$1,),)=0,#N/A,VLOOKUP(Table7[[#This Row],[Date]],Database!$A:$C,MATCH($B$1,Database!$A$1:$C$1,),))</f>
        <v/>
      </c>
      <c r="C2903">
        <f>IF(VLOOKUP(Table7[[#This Row],[Date]],Database!$A:$C,MATCH($C$1,Database!$A$1:$C$1,),)=0,#N/A,VLOOKUP(Table7[[#This Row],[Date]],Database!$A:$C,MATCH($C$1,Database!$A$1:$C$1,),))</f>
        <v/>
      </c>
      <c r="D2903">
        <f>IFERROR(Table7[[#This Row],[United States 10y]]-Table7[[#This Row],[United States 3y]],#N/A)</f>
        <v/>
      </c>
    </row>
    <row r="2904">
      <c r="A2904" s="6">
        <f>Database!$A4989</f>
        <v/>
      </c>
      <c r="B2904">
        <f>IF(VLOOKUP(Table7[[#This Row],[Date]],Database!$A:$C,MATCH($B$1,Database!$A$1:$C$1,),)=0,#N/A,VLOOKUP(Table7[[#This Row],[Date]],Database!$A:$C,MATCH($B$1,Database!$A$1:$C$1,),))</f>
        <v/>
      </c>
      <c r="C2904">
        <f>IF(VLOOKUP(Table7[[#This Row],[Date]],Database!$A:$C,MATCH($C$1,Database!$A$1:$C$1,),)=0,#N/A,VLOOKUP(Table7[[#This Row],[Date]],Database!$A:$C,MATCH($C$1,Database!$A$1:$C$1,),))</f>
        <v/>
      </c>
      <c r="D2904">
        <f>IFERROR(Table7[[#This Row],[United States 10y]]-Table7[[#This Row],[United States 3y]],#N/A)</f>
        <v/>
      </c>
    </row>
    <row r="2905">
      <c r="A2905" s="6">
        <f>Database!$A4990</f>
        <v/>
      </c>
      <c r="B2905">
        <f>IF(VLOOKUP(Table7[[#This Row],[Date]],Database!$A:$C,MATCH($B$1,Database!$A$1:$C$1,),)=0,#N/A,VLOOKUP(Table7[[#This Row],[Date]],Database!$A:$C,MATCH($B$1,Database!$A$1:$C$1,),))</f>
        <v/>
      </c>
      <c r="C2905">
        <f>IF(VLOOKUP(Table7[[#This Row],[Date]],Database!$A:$C,MATCH($C$1,Database!$A$1:$C$1,),)=0,#N/A,VLOOKUP(Table7[[#This Row],[Date]],Database!$A:$C,MATCH($C$1,Database!$A$1:$C$1,),))</f>
        <v/>
      </c>
      <c r="D2905">
        <f>IFERROR(Table7[[#This Row],[United States 10y]]-Table7[[#This Row],[United States 3y]],#N/A)</f>
        <v/>
      </c>
    </row>
    <row r="2906">
      <c r="A2906" s="6">
        <f>Database!$A4991</f>
        <v/>
      </c>
      <c r="B2906">
        <f>IF(VLOOKUP(Table7[[#This Row],[Date]],Database!$A:$C,MATCH($B$1,Database!$A$1:$C$1,),)=0,#N/A,VLOOKUP(Table7[[#This Row],[Date]],Database!$A:$C,MATCH($B$1,Database!$A$1:$C$1,),))</f>
        <v/>
      </c>
      <c r="C2906">
        <f>IF(VLOOKUP(Table7[[#This Row],[Date]],Database!$A:$C,MATCH($C$1,Database!$A$1:$C$1,),)=0,#N/A,VLOOKUP(Table7[[#This Row],[Date]],Database!$A:$C,MATCH($C$1,Database!$A$1:$C$1,),))</f>
        <v/>
      </c>
      <c r="D2906">
        <f>IFERROR(Table7[[#This Row],[United States 10y]]-Table7[[#This Row],[United States 3y]],#N/A)</f>
        <v/>
      </c>
    </row>
    <row r="2907">
      <c r="A2907" s="6">
        <f>Database!$A4992</f>
        <v/>
      </c>
      <c r="B2907">
        <f>IF(VLOOKUP(Table7[[#This Row],[Date]],Database!$A:$C,MATCH($B$1,Database!$A$1:$C$1,),)=0,#N/A,VLOOKUP(Table7[[#This Row],[Date]],Database!$A:$C,MATCH($B$1,Database!$A$1:$C$1,),))</f>
        <v/>
      </c>
      <c r="C2907">
        <f>IF(VLOOKUP(Table7[[#This Row],[Date]],Database!$A:$C,MATCH($C$1,Database!$A$1:$C$1,),)=0,#N/A,VLOOKUP(Table7[[#This Row],[Date]],Database!$A:$C,MATCH($C$1,Database!$A$1:$C$1,),))</f>
        <v/>
      </c>
      <c r="D2907">
        <f>IFERROR(Table7[[#This Row],[United States 10y]]-Table7[[#This Row],[United States 3y]],#N/A)</f>
        <v/>
      </c>
    </row>
    <row r="2908">
      <c r="A2908" s="6">
        <f>Database!$A4993</f>
        <v/>
      </c>
      <c r="B2908">
        <f>IF(VLOOKUP(Table7[[#This Row],[Date]],Database!$A:$C,MATCH($B$1,Database!$A$1:$C$1,),)=0,#N/A,VLOOKUP(Table7[[#This Row],[Date]],Database!$A:$C,MATCH($B$1,Database!$A$1:$C$1,),))</f>
        <v/>
      </c>
      <c r="C2908">
        <f>IF(VLOOKUP(Table7[[#This Row],[Date]],Database!$A:$C,MATCH($C$1,Database!$A$1:$C$1,),)=0,#N/A,VLOOKUP(Table7[[#This Row],[Date]],Database!$A:$C,MATCH($C$1,Database!$A$1:$C$1,),))</f>
        <v/>
      </c>
      <c r="D2908">
        <f>IFERROR(Table7[[#This Row],[United States 10y]]-Table7[[#This Row],[United States 3y]],#N/A)</f>
        <v/>
      </c>
    </row>
    <row r="2909">
      <c r="A2909" s="6">
        <f>Database!$A4994</f>
        <v/>
      </c>
      <c r="B2909">
        <f>IF(VLOOKUP(Table7[[#This Row],[Date]],Database!$A:$C,MATCH($B$1,Database!$A$1:$C$1,),)=0,#N/A,VLOOKUP(Table7[[#This Row],[Date]],Database!$A:$C,MATCH($B$1,Database!$A$1:$C$1,),))</f>
        <v/>
      </c>
      <c r="C2909">
        <f>IF(VLOOKUP(Table7[[#This Row],[Date]],Database!$A:$C,MATCH($C$1,Database!$A$1:$C$1,),)=0,#N/A,VLOOKUP(Table7[[#This Row],[Date]],Database!$A:$C,MATCH($C$1,Database!$A$1:$C$1,),))</f>
        <v/>
      </c>
      <c r="D2909">
        <f>IFERROR(Table7[[#This Row],[United States 10y]]-Table7[[#This Row],[United States 3y]],#N/A)</f>
        <v/>
      </c>
    </row>
    <row r="2910">
      <c r="A2910" s="6">
        <f>Database!$A4995</f>
        <v/>
      </c>
      <c r="B2910">
        <f>IF(VLOOKUP(Table7[[#This Row],[Date]],Database!$A:$C,MATCH($B$1,Database!$A$1:$C$1,),)=0,#N/A,VLOOKUP(Table7[[#This Row],[Date]],Database!$A:$C,MATCH($B$1,Database!$A$1:$C$1,),))</f>
        <v/>
      </c>
      <c r="C2910">
        <f>IF(VLOOKUP(Table7[[#This Row],[Date]],Database!$A:$C,MATCH($C$1,Database!$A$1:$C$1,),)=0,#N/A,VLOOKUP(Table7[[#This Row],[Date]],Database!$A:$C,MATCH($C$1,Database!$A$1:$C$1,),))</f>
        <v/>
      </c>
      <c r="D2910">
        <f>IFERROR(Table7[[#This Row],[United States 10y]]-Table7[[#This Row],[United States 3y]],#N/A)</f>
        <v/>
      </c>
    </row>
    <row r="2911">
      <c r="A2911" s="6">
        <f>Database!$A4996</f>
        <v/>
      </c>
      <c r="B2911">
        <f>IF(VLOOKUP(Table7[[#This Row],[Date]],Database!$A:$C,MATCH($B$1,Database!$A$1:$C$1,),)=0,#N/A,VLOOKUP(Table7[[#This Row],[Date]],Database!$A:$C,MATCH($B$1,Database!$A$1:$C$1,),))</f>
        <v/>
      </c>
      <c r="C2911">
        <f>IF(VLOOKUP(Table7[[#This Row],[Date]],Database!$A:$C,MATCH($C$1,Database!$A$1:$C$1,),)=0,#N/A,VLOOKUP(Table7[[#This Row],[Date]],Database!$A:$C,MATCH($C$1,Database!$A$1:$C$1,),))</f>
        <v/>
      </c>
      <c r="D2911">
        <f>IFERROR(Table7[[#This Row],[United States 10y]]-Table7[[#This Row],[United States 3y]],#N/A)</f>
        <v/>
      </c>
    </row>
    <row r="2912">
      <c r="A2912" s="6">
        <f>Database!$A4997</f>
        <v/>
      </c>
      <c r="B2912">
        <f>IF(VLOOKUP(Table7[[#This Row],[Date]],Database!$A:$C,MATCH($B$1,Database!$A$1:$C$1,),)=0,#N/A,VLOOKUP(Table7[[#This Row],[Date]],Database!$A:$C,MATCH($B$1,Database!$A$1:$C$1,),))</f>
        <v/>
      </c>
      <c r="C2912">
        <f>IF(VLOOKUP(Table7[[#This Row],[Date]],Database!$A:$C,MATCH($C$1,Database!$A$1:$C$1,),)=0,#N/A,VLOOKUP(Table7[[#This Row],[Date]],Database!$A:$C,MATCH($C$1,Database!$A$1:$C$1,),))</f>
        <v/>
      </c>
      <c r="D2912">
        <f>IFERROR(Table7[[#This Row],[United States 10y]]-Table7[[#This Row],[United States 3y]],#N/A)</f>
        <v/>
      </c>
    </row>
    <row r="2913">
      <c r="A2913" s="6">
        <f>Database!$A4998</f>
        <v/>
      </c>
      <c r="B2913">
        <f>IF(VLOOKUP(Table7[[#This Row],[Date]],Database!$A:$C,MATCH($B$1,Database!$A$1:$C$1,),)=0,#N/A,VLOOKUP(Table7[[#This Row],[Date]],Database!$A:$C,MATCH($B$1,Database!$A$1:$C$1,),))</f>
        <v/>
      </c>
      <c r="C2913">
        <f>IF(VLOOKUP(Table7[[#This Row],[Date]],Database!$A:$C,MATCH($C$1,Database!$A$1:$C$1,),)=0,#N/A,VLOOKUP(Table7[[#This Row],[Date]],Database!$A:$C,MATCH($C$1,Database!$A$1:$C$1,),))</f>
        <v/>
      </c>
      <c r="D2913">
        <f>IFERROR(Table7[[#This Row],[United States 10y]]-Table7[[#This Row],[United States 3y]],#N/A)</f>
        <v/>
      </c>
    </row>
    <row r="2914">
      <c r="A2914" s="6">
        <f>Database!$A4999</f>
        <v/>
      </c>
      <c r="B2914">
        <f>IF(VLOOKUP(Table7[[#This Row],[Date]],Database!$A:$C,MATCH($B$1,Database!$A$1:$C$1,),)=0,#N/A,VLOOKUP(Table7[[#This Row],[Date]],Database!$A:$C,MATCH($B$1,Database!$A$1:$C$1,),))</f>
        <v/>
      </c>
      <c r="C2914">
        <f>IF(VLOOKUP(Table7[[#This Row],[Date]],Database!$A:$C,MATCH($C$1,Database!$A$1:$C$1,),)=0,#N/A,VLOOKUP(Table7[[#This Row],[Date]],Database!$A:$C,MATCH($C$1,Database!$A$1:$C$1,),))</f>
        <v/>
      </c>
      <c r="D2914">
        <f>IFERROR(Table7[[#This Row],[United States 10y]]-Table7[[#This Row],[United States 3y]],#N/A)</f>
        <v/>
      </c>
    </row>
    <row r="2915">
      <c r="A2915" s="6">
        <f>Database!$A5000</f>
        <v/>
      </c>
      <c r="B2915">
        <f>IF(VLOOKUP(Table7[[#This Row],[Date]],Database!$A:$C,MATCH($B$1,Database!$A$1:$C$1,),)=0,#N/A,VLOOKUP(Table7[[#This Row],[Date]],Database!$A:$C,MATCH($B$1,Database!$A$1:$C$1,),))</f>
        <v/>
      </c>
      <c r="C2915">
        <f>IF(VLOOKUP(Table7[[#This Row],[Date]],Database!$A:$C,MATCH($C$1,Database!$A$1:$C$1,),)=0,#N/A,VLOOKUP(Table7[[#This Row],[Date]],Database!$A:$C,MATCH($C$1,Database!$A$1:$C$1,),))</f>
        <v/>
      </c>
      <c r="D2915">
        <f>IFERROR(Table7[[#This Row],[United States 10y]]-Table7[[#This Row],[United States 3y]],#N/A)</f>
        <v/>
      </c>
    </row>
    <row r="2916">
      <c r="A2916" s="6">
        <f>Database!$A5001</f>
        <v/>
      </c>
      <c r="B2916">
        <f>IF(VLOOKUP(Table7[[#This Row],[Date]],Database!$A:$C,MATCH($B$1,Database!$A$1:$C$1,),)=0,#N/A,VLOOKUP(Table7[[#This Row],[Date]],Database!$A:$C,MATCH($B$1,Database!$A$1:$C$1,),))</f>
        <v/>
      </c>
      <c r="C2916">
        <f>IF(VLOOKUP(Table7[[#This Row],[Date]],Database!$A:$C,MATCH($C$1,Database!$A$1:$C$1,),)=0,#N/A,VLOOKUP(Table7[[#This Row],[Date]],Database!$A:$C,MATCH($C$1,Database!$A$1:$C$1,),))</f>
        <v/>
      </c>
      <c r="D2916">
        <f>IFERROR(Table7[[#This Row],[United States 10y]]-Table7[[#This Row],[United States 3y]],#N/A)</f>
        <v/>
      </c>
    </row>
    <row r="2917">
      <c r="A2917" s="6">
        <f>Database!$A5002</f>
        <v/>
      </c>
      <c r="B2917">
        <f>IF(VLOOKUP(Table7[[#This Row],[Date]],Database!$A:$C,MATCH($B$1,Database!$A$1:$C$1,),)=0,#N/A,VLOOKUP(Table7[[#This Row],[Date]],Database!$A:$C,MATCH($B$1,Database!$A$1:$C$1,),))</f>
        <v/>
      </c>
      <c r="C2917">
        <f>IF(VLOOKUP(Table7[[#This Row],[Date]],Database!$A:$C,MATCH($C$1,Database!$A$1:$C$1,),)=0,#N/A,VLOOKUP(Table7[[#This Row],[Date]],Database!$A:$C,MATCH($C$1,Database!$A$1:$C$1,),))</f>
        <v/>
      </c>
      <c r="D2917">
        <f>IFERROR(Table7[[#This Row],[United States 10y]]-Table7[[#This Row],[United States 3y]],#N/A)</f>
        <v/>
      </c>
    </row>
    <row r="2918">
      <c r="A2918" s="6">
        <f>Database!$A5003</f>
        <v/>
      </c>
      <c r="B2918">
        <f>IF(VLOOKUP(Table7[[#This Row],[Date]],Database!$A:$C,MATCH($B$1,Database!$A$1:$C$1,),)=0,#N/A,VLOOKUP(Table7[[#This Row],[Date]],Database!$A:$C,MATCH($B$1,Database!$A$1:$C$1,),))</f>
        <v/>
      </c>
      <c r="C2918">
        <f>IF(VLOOKUP(Table7[[#This Row],[Date]],Database!$A:$C,MATCH($C$1,Database!$A$1:$C$1,),)=0,#N/A,VLOOKUP(Table7[[#This Row],[Date]],Database!$A:$C,MATCH($C$1,Database!$A$1:$C$1,),))</f>
        <v/>
      </c>
      <c r="D2918">
        <f>IFERROR(Table7[[#This Row],[United States 10y]]-Table7[[#This Row],[United States 3y]],#N/A)</f>
        <v/>
      </c>
    </row>
    <row r="2919">
      <c r="A2919" s="6">
        <f>Database!$A5004</f>
        <v/>
      </c>
      <c r="B2919">
        <f>IF(VLOOKUP(Table7[[#This Row],[Date]],Database!$A:$C,MATCH($B$1,Database!$A$1:$C$1,),)=0,#N/A,VLOOKUP(Table7[[#This Row],[Date]],Database!$A:$C,MATCH($B$1,Database!$A$1:$C$1,),))</f>
        <v/>
      </c>
      <c r="C2919">
        <f>IF(VLOOKUP(Table7[[#This Row],[Date]],Database!$A:$C,MATCH($C$1,Database!$A$1:$C$1,),)=0,#N/A,VLOOKUP(Table7[[#This Row],[Date]],Database!$A:$C,MATCH($C$1,Database!$A$1:$C$1,),))</f>
        <v/>
      </c>
      <c r="D2919">
        <f>IFERROR(Table7[[#This Row],[United States 10y]]-Table7[[#This Row],[United States 3y]],#N/A)</f>
        <v/>
      </c>
    </row>
    <row r="2920">
      <c r="A2920" s="6">
        <f>Database!$A5005</f>
        <v/>
      </c>
      <c r="B2920">
        <f>IF(VLOOKUP(Table7[[#This Row],[Date]],Database!$A:$C,MATCH($B$1,Database!$A$1:$C$1,),)=0,#N/A,VLOOKUP(Table7[[#This Row],[Date]],Database!$A:$C,MATCH($B$1,Database!$A$1:$C$1,),))</f>
        <v/>
      </c>
      <c r="C2920">
        <f>IF(VLOOKUP(Table7[[#This Row],[Date]],Database!$A:$C,MATCH($C$1,Database!$A$1:$C$1,),)=0,#N/A,VLOOKUP(Table7[[#This Row],[Date]],Database!$A:$C,MATCH($C$1,Database!$A$1:$C$1,),))</f>
        <v/>
      </c>
      <c r="D2920">
        <f>IFERROR(Table7[[#This Row],[United States 10y]]-Table7[[#This Row],[United States 3y]],#N/A)</f>
        <v/>
      </c>
    </row>
    <row r="2921">
      <c r="A2921" s="6">
        <f>Database!$A5006</f>
        <v/>
      </c>
      <c r="B2921">
        <f>IF(VLOOKUP(Table7[[#This Row],[Date]],Database!$A:$C,MATCH($B$1,Database!$A$1:$C$1,),)=0,#N/A,VLOOKUP(Table7[[#This Row],[Date]],Database!$A:$C,MATCH($B$1,Database!$A$1:$C$1,),))</f>
        <v/>
      </c>
      <c r="C2921">
        <f>IF(VLOOKUP(Table7[[#This Row],[Date]],Database!$A:$C,MATCH($C$1,Database!$A$1:$C$1,),)=0,#N/A,VLOOKUP(Table7[[#This Row],[Date]],Database!$A:$C,MATCH($C$1,Database!$A$1:$C$1,),))</f>
        <v/>
      </c>
      <c r="D2921">
        <f>IFERROR(Table7[[#This Row],[United States 10y]]-Table7[[#This Row],[United States 3y]],#N/A)</f>
        <v/>
      </c>
    </row>
    <row r="2922">
      <c r="A2922" s="6">
        <f>Database!$A5007</f>
        <v/>
      </c>
      <c r="B2922">
        <f>IF(VLOOKUP(Table7[[#This Row],[Date]],Database!$A:$C,MATCH($B$1,Database!$A$1:$C$1,),)=0,#N/A,VLOOKUP(Table7[[#This Row],[Date]],Database!$A:$C,MATCH($B$1,Database!$A$1:$C$1,),))</f>
        <v/>
      </c>
      <c r="C2922">
        <f>IF(VLOOKUP(Table7[[#This Row],[Date]],Database!$A:$C,MATCH($C$1,Database!$A$1:$C$1,),)=0,#N/A,VLOOKUP(Table7[[#This Row],[Date]],Database!$A:$C,MATCH($C$1,Database!$A$1:$C$1,),))</f>
        <v/>
      </c>
      <c r="D2922">
        <f>IFERROR(Table7[[#This Row],[United States 10y]]-Table7[[#This Row],[United States 3y]],#N/A)</f>
        <v/>
      </c>
    </row>
    <row r="2923">
      <c r="A2923" s="6">
        <f>Database!$A5008</f>
        <v/>
      </c>
      <c r="B2923">
        <f>IF(VLOOKUP(Table7[[#This Row],[Date]],Database!$A:$C,MATCH($B$1,Database!$A$1:$C$1,),)=0,#N/A,VLOOKUP(Table7[[#This Row],[Date]],Database!$A:$C,MATCH($B$1,Database!$A$1:$C$1,),))</f>
        <v/>
      </c>
      <c r="C2923">
        <f>IF(VLOOKUP(Table7[[#This Row],[Date]],Database!$A:$C,MATCH($C$1,Database!$A$1:$C$1,),)=0,#N/A,VLOOKUP(Table7[[#This Row],[Date]],Database!$A:$C,MATCH($C$1,Database!$A$1:$C$1,),))</f>
        <v/>
      </c>
      <c r="D2923">
        <f>IFERROR(Table7[[#This Row],[United States 10y]]-Table7[[#This Row],[United States 3y]],#N/A)</f>
        <v/>
      </c>
    </row>
    <row r="2924">
      <c r="A2924" s="6">
        <f>Database!$A5009</f>
        <v/>
      </c>
      <c r="B2924">
        <f>IF(VLOOKUP(Table7[[#This Row],[Date]],Database!$A:$C,MATCH($B$1,Database!$A$1:$C$1,),)=0,#N/A,VLOOKUP(Table7[[#This Row],[Date]],Database!$A:$C,MATCH($B$1,Database!$A$1:$C$1,),))</f>
        <v/>
      </c>
      <c r="C2924">
        <f>IF(VLOOKUP(Table7[[#This Row],[Date]],Database!$A:$C,MATCH($C$1,Database!$A$1:$C$1,),)=0,#N/A,VLOOKUP(Table7[[#This Row],[Date]],Database!$A:$C,MATCH($C$1,Database!$A$1:$C$1,),))</f>
        <v/>
      </c>
      <c r="D2924">
        <f>IFERROR(Table7[[#This Row],[United States 10y]]-Table7[[#This Row],[United States 3y]],#N/A)</f>
        <v/>
      </c>
    </row>
    <row r="2925">
      <c r="A2925" s="6">
        <f>Database!$A5010</f>
        <v/>
      </c>
      <c r="B2925">
        <f>IF(VLOOKUP(Table7[[#This Row],[Date]],Database!$A:$C,MATCH($B$1,Database!$A$1:$C$1,),)=0,#N/A,VLOOKUP(Table7[[#This Row],[Date]],Database!$A:$C,MATCH($B$1,Database!$A$1:$C$1,),))</f>
        <v/>
      </c>
      <c r="C2925">
        <f>IF(VLOOKUP(Table7[[#This Row],[Date]],Database!$A:$C,MATCH($C$1,Database!$A$1:$C$1,),)=0,#N/A,VLOOKUP(Table7[[#This Row],[Date]],Database!$A:$C,MATCH($C$1,Database!$A$1:$C$1,),))</f>
        <v/>
      </c>
      <c r="D2925">
        <f>IFERROR(Table7[[#This Row],[United States 10y]]-Table7[[#This Row],[United States 3y]],#N/A)</f>
        <v/>
      </c>
    </row>
    <row r="2926">
      <c r="A2926" s="6">
        <f>Database!$A5011</f>
        <v/>
      </c>
      <c r="B2926">
        <f>IF(VLOOKUP(Table7[[#This Row],[Date]],Database!$A:$C,MATCH($B$1,Database!$A$1:$C$1,),)=0,#N/A,VLOOKUP(Table7[[#This Row],[Date]],Database!$A:$C,MATCH($B$1,Database!$A$1:$C$1,),))</f>
        <v/>
      </c>
      <c r="C2926">
        <f>IF(VLOOKUP(Table7[[#This Row],[Date]],Database!$A:$C,MATCH($C$1,Database!$A$1:$C$1,),)=0,#N/A,VLOOKUP(Table7[[#This Row],[Date]],Database!$A:$C,MATCH($C$1,Database!$A$1:$C$1,),))</f>
        <v/>
      </c>
      <c r="D2926">
        <f>IFERROR(Table7[[#This Row],[United States 10y]]-Table7[[#This Row],[United States 3y]],#N/A)</f>
        <v/>
      </c>
    </row>
    <row r="2927">
      <c r="A2927" s="6">
        <f>Database!$A5012</f>
        <v/>
      </c>
      <c r="B2927">
        <f>IF(VLOOKUP(Table7[[#This Row],[Date]],Database!$A:$C,MATCH($B$1,Database!$A$1:$C$1,),)=0,#N/A,VLOOKUP(Table7[[#This Row],[Date]],Database!$A:$C,MATCH($B$1,Database!$A$1:$C$1,),))</f>
        <v/>
      </c>
      <c r="C2927">
        <f>IF(VLOOKUP(Table7[[#This Row],[Date]],Database!$A:$C,MATCH($C$1,Database!$A$1:$C$1,),)=0,#N/A,VLOOKUP(Table7[[#This Row],[Date]],Database!$A:$C,MATCH($C$1,Database!$A$1:$C$1,),))</f>
        <v/>
      </c>
      <c r="D2927">
        <f>IFERROR(Table7[[#This Row],[United States 10y]]-Table7[[#This Row],[United States 3y]],#N/A)</f>
        <v/>
      </c>
    </row>
    <row r="2928">
      <c r="A2928" s="6">
        <f>Database!$A5013</f>
        <v/>
      </c>
      <c r="B2928">
        <f>IF(VLOOKUP(Table7[[#This Row],[Date]],Database!$A:$C,MATCH($B$1,Database!$A$1:$C$1,),)=0,#N/A,VLOOKUP(Table7[[#This Row],[Date]],Database!$A:$C,MATCH($B$1,Database!$A$1:$C$1,),))</f>
        <v/>
      </c>
      <c r="C2928">
        <f>IF(VLOOKUP(Table7[[#This Row],[Date]],Database!$A:$C,MATCH($C$1,Database!$A$1:$C$1,),)=0,#N/A,VLOOKUP(Table7[[#This Row],[Date]],Database!$A:$C,MATCH($C$1,Database!$A$1:$C$1,),))</f>
        <v/>
      </c>
      <c r="D2928">
        <f>IFERROR(Table7[[#This Row],[United States 10y]]-Table7[[#This Row],[United States 3y]],#N/A)</f>
        <v/>
      </c>
    </row>
    <row r="2929">
      <c r="A2929" s="6">
        <f>Database!$A5014</f>
        <v/>
      </c>
      <c r="B2929">
        <f>IF(VLOOKUP(Table7[[#This Row],[Date]],Database!$A:$C,MATCH($B$1,Database!$A$1:$C$1,),)=0,#N/A,VLOOKUP(Table7[[#This Row],[Date]],Database!$A:$C,MATCH($B$1,Database!$A$1:$C$1,),))</f>
        <v/>
      </c>
      <c r="C2929">
        <f>IF(VLOOKUP(Table7[[#This Row],[Date]],Database!$A:$C,MATCH($C$1,Database!$A$1:$C$1,),)=0,#N/A,VLOOKUP(Table7[[#This Row],[Date]],Database!$A:$C,MATCH($C$1,Database!$A$1:$C$1,),))</f>
        <v/>
      </c>
      <c r="D2929">
        <f>IFERROR(Table7[[#This Row],[United States 10y]]-Table7[[#This Row],[United States 3y]],#N/A)</f>
        <v/>
      </c>
    </row>
    <row r="2930">
      <c r="A2930" s="6">
        <f>Database!$A5015</f>
        <v/>
      </c>
      <c r="B2930">
        <f>IF(VLOOKUP(Table7[[#This Row],[Date]],Database!$A:$C,MATCH($B$1,Database!$A$1:$C$1,),)=0,#N/A,VLOOKUP(Table7[[#This Row],[Date]],Database!$A:$C,MATCH($B$1,Database!$A$1:$C$1,),))</f>
        <v/>
      </c>
      <c r="C2930">
        <f>IF(VLOOKUP(Table7[[#This Row],[Date]],Database!$A:$C,MATCH($C$1,Database!$A$1:$C$1,),)=0,#N/A,VLOOKUP(Table7[[#This Row],[Date]],Database!$A:$C,MATCH($C$1,Database!$A$1:$C$1,),))</f>
        <v/>
      </c>
      <c r="D2930">
        <f>IFERROR(Table7[[#This Row],[United States 10y]]-Table7[[#This Row],[United States 3y]],#N/A)</f>
        <v/>
      </c>
    </row>
    <row r="2931">
      <c r="A2931" s="6">
        <f>Database!$A5016</f>
        <v/>
      </c>
      <c r="B2931">
        <f>IF(VLOOKUP(Table7[[#This Row],[Date]],Database!$A:$C,MATCH($B$1,Database!$A$1:$C$1,),)=0,#N/A,VLOOKUP(Table7[[#This Row],[Date]],Database!$A:$C,MATCH($B$1,Database!$A$1:$C$1,),))</f>
        <v/>
      </c>
      <c r="C2931">
        <f>IF(VLOOKUP(Table7[[#This Row],[Date]],Database!$A:$C,MATCH($C$1,Database!$A$1:$C$1,),)=0,#N/A,VLOOKUP(Table7[[#This Row],[Date]],Database!$A:$C,MATCH($C$1,Database!$A$1:$C$1,),))</f>
        <v/>
      </c>
      <c r="D2931">
        <f>IFERROR(Table7[[#This Row],[United States 10y]]-Table7[[#This Row],[United States 3y]],#N/A)</f>
        <v/>
      </c>
    </row>
    <row r="2932">
      <c r="A2932" s="6">
        <f>Database!$A5017</f>
        <v/>
      </c>
      <c r="B2932">
        <f>IF(VLOOKUP(Table7[[#This Row],[Date]],Database!$A:$C,MATCH($B$1,Database!$A$1:$C$1,),)=0,#N/A,VLOOKUP(Table7[[#This Row],[Date]],Database!$A:$C,MATCH($B$1,Database!$A$1:$C$1,),))</f>
        <v/>
      </c>
      <c r="C2932">
        <f>IF(VLOOKUP(Table7[[#This Row],[Date]],Database!$A:$C,MATCH($C$1,Database!$A$1:$C$1,),)=0,#N/A,VLOOKUP(Table7[[#This Row],[Date]],Database!$A:$C,MATCH($C$1,Database!$A$1:$C$1,),))</f>
        <v/>
      </c>
      <c r="D2932">
        <f>IFERROR(Table7[[#This Row],[United States 10y]]-Table7[[#This Row],[United States 3y]],#N/A)</f>
        <v/>
      </c>
    </row>
    <row r="2933">
      <c r="A2933" s="6">
        <f>Database!$A5018</f>
        <v/>
      </c>
      <c r="B2933">
        <f>IF(VLOOKUP(Table7[[#This Row],[Date]],Database!$A:$C,MATCH($B$1,Database!$A$1:$C$1,),)=0,#N/A,VLOOKUP(Table7[[#This Row],[Date]],Database!$A:$C,MATCH($B$1,Database!$A$1:$C$1,),))</f>
        <v/>
      </c>
      <c r="C2933">
        <f>IF(VLOOKUP(Table7[[#This Row],[Date]],Database!$A:$C,MATCH($C$1,Database!$A$1:$C$1,),)=0,#N/A,VLOOKUP(Table7[[#This Row],[Date]],Database!$A:$C,MATCH($C$1,Database!$A$1:$C$1,),))</f>
        <v/>
      </c>
      <c r="D2933">
        <f>IFERROR(Table7[[#This Row],[United States 10y]]-Table7[[#This Row],[United States 3y]],#N/A)</f>
        <v/>
      </c>
    </row>
    <row r="2934">
      <c r="A2934" s="6">
        <f>Database!$A5019</f>
        <v/>
      </c>
      <c r="B2934">
        <f>IF(VLOOKUP(Table7[[#This Row],[Date]],Database!$A:$C,MATCH($B$1,Database!$A$1:$C$1,),)=0,#N/A,VLOOKUP(Table7[[#This Row],[Date]],Database!$A:$C,MATCH($B$1,Database!$A$1:$C$1,),))</f>
        <v/>
      </c>
      <c r="C2934">
        <f>IF(VLOOKUP(Table7[[#This Row],[Date]],Database!$A:$C,MATCH($C$1,Database!$A$1:$C$1,),)=0,#N/A,VLOOKUP(Table7[[#This Row],[Date]],Database!$A:$C,MATCH($C$1,Database!$A$1:$C$1,),))</f>
        <v/>
      </c>
      <c r="D2934">
        <f>IFERROR(Table7[[#This Row],[United States 10y]]-Table7[[#This Row],[United States 3y]],#N/A)</f>
        <v/>
      </c>
    </row>
    <row r="2935">
      <c r="A2935" s="6">
        <f>Database!$A5020</f>
        <v/>
      </c>
      <c r="B2935">
        <f>IF(VLOOKUP(Table7[[#This Row],[Date]],Database!$A:$C,MATCH($B$1,Database!$A$1:$C$1,),)=0,#N/A,VLOOKUP(Table7[[#This Row],[Date]],Database!$A:$C,MATCH($B$1,Database!$A$1:$C$1,),))</f>
        <v/>
      </c>
      <c r="C2935">
        <f>IF(VLOOKUP(Table7[[#This Row],[Date]],Database!$A:$C,MATCH($C$1,Database!$A$1:$C$1,),)=0,#N/A,VLOOKUP(Table7[[#This Row],[Date]],Database!$A:$C,MATCH($C$1,Database!$A$1:$C$1,),))</f>
        <v/>
      </c>
      <c r="D2935">
        <f>IFERROR(Table7[[#This Row],[United States 10y]]-Table7[[#This Row],[United States 3y]],#N/A)</f>
        <v/>
      </c>
    </row>
    <row r="2936">
      <c r="A2936" s="6">
        <f>Database!$A5021</f>
        <v/>
      </c>
      <c r="B2936">
        <f>IF(VLOOKUP(Table7[[#This Row],[Date]],Database!$A:$C,MATCH($B$1,Database!$A$1:$C$1,),)=0,#N/A,VLOOKUP(Table7[[#This Row],[Date]],Database!$A:$C,MATCH($B$1,Database!$A$1:$C$1,),))</f>
        <v/>
      </c>
      <c r="C2936">
        <f>IF(VLOOKUP(Table7[[#This Row],[Date]],Database!$A:$C,MATCH($C$1,Database!$A$1:$C$1,),)=0,#N/A,VLOOKUP(Table7[[#This Row],[Date]],Database!$A:$C,MATCH($C$1,Database!$A$1:$C$1,),))</f>
        <v/>
      </c>
      <c r="D2936">
        <f>IFERROR(Table7[[#This Row],[United States 10y]]-Table7[[#This Row],[United States 3y]],#N/A)</f>
        <v/>
      </c>
    </row>
    <row r="2937">
      <c r="A2937" s="6">
        <f>Database!$A5022</f>
        <v/>
      </c>
      <c r="B2937">
        <f>IF(VLOOKUP(Table7[[#This Row],[Date]],Database!$A:$C,MATCH($B$1,Database!$A$1:$C$1,),)=0,#N/A,VLOOKUP(Table7[[#This Row],[Date]],Database!$A:$C,MATCH($B$1,Database!$A$1:$C$1,),))</f>
        <v/>
      </c>
      <c r="C2937">
        <f>IF(VLOOKUP(Table7[[#This Row],[Date]],Database!$A:$C,MATCH($C$1,Database!$A$1:$C$1,),)=0,#N/A,VLOOKUP(Table7[[#This Row],[Date]],Database!$A:$C,MATCH($C$1,Database!$A$1:$C$1,),))</f>
        <v/>
      </c>
      <c r="D2937">
        <f>IFERROR(Table7[[#This Row],[United States 10y]]-Table7[[#This Row],[United States 3y]],#N/A)</f>
        <v/>
      </c>
    </row>
    <row r="2938">
      <c r="A2938" s="6">
        <f>Database!$A5023</f>
        <v/>
      </c>
      <c r="B2938">
        <f>IF(VLOOKUP(Table7[[#This Row],[Date]],Database!$A:$C,MATCH($B$1,Database!$A$1:$C$1,),)=0,#N/A,VLOOKUP(Table7[[#This Row],[Date]],Database!$A:$C,MATCH($B$1,Database!$A$1:$C$1,),))</f>
        <v/>
      </c>
      <c r="C2938">
        <f>IF(VLOOKUP(Table7[[#This Row],[Date]],Database!$A:$C,MATCH($C$1,Database!$A$1:$C$1,),)=0,#N/A,VLOOKUP(Table7[[#This Row],[Date]],Database!$A:$C,MATCH($C$1,Database!$A$1:$C$1,),))</f>
        <v/>
      </c>
      <c r="D2938">
        <f>IFERROR(Table7[[#This Row],[United States 10y]]-Table7[[#This Row],[United States 3y]],#N/A)</f>
        <v/>
      </c>
    </row>
    <row r="2939">
      <c r="A2939" s="6">
        <f>Database!$A5024</f>
        <v/>
      </c>
      <c r="B2939">
        <f>IF(VLOOKUP(Table7[[#This Row],[Date]],Database!$A:$C,MATCH($B$1,Database!$A$1:$C$1,),)=0,#N/A,VLOOKUP(Table7[[#This Row],[Date]],Database!$A:$C,MATCH($B$1,Database!$A$1:$C$1,),))</f>
        <v/>
      </c>
      <c r="C2939">
        <f>IF(VLOOKUP(Table7[[#This Row],[Date]],Database!$A:$C,MATCH($C$1,Database!$A$1:$C$1,),)=0,#N/A,VLOOKUP(Table7[[#This Row],[Date]],Database!$A:$C,MATCH($C$1,Database!$A$1:$C$1,),))</f>
        <v/>
      </c>
      <c r="D2939">
        <f>IFERROR(Table7[[#This Row],[United States 10y]]-Table7[[#This Row],[United States 3y]],#N/A)</f>
        <v/>
      </c>
    </row>
    <row r="2940">
      <c r="A2940" s="6">
        <f>Database!$A5025</f>
        <v/>
      </c>
      <c r="B2940">
        <f>IF(VLOOKUP(Table7[[#This Row],[Date]],Database!$A:$C,MATCH($B$1,Database!$A$1:$C$1,),)=0,#N/A,VLOOKUP(Table7[[#This Row],[Date]],Database!$A:$C,MATCH($B$1,Database!$A$1:$C$1,),))</f>
        <v/>
      </c>
      <c r="C2940">
        <f>IF(VLOOKUP(Table7[[#This Row],[Date]],Database!$A:$C,MATCH($C$1,Database!$A$1:$C$1,),)=0,#N/A,VLOOKUP(Table7[[#This Row],[Date]],Database!$A:$C,MATCH($C$1,Database!$A$1:$C$1,),))</f>
        <v/>
      </c>
      <c r="D2940">
        <f>IFERROR(Table7[[#This Row],[United States 10y]]-Table7[[#This Row],[United States 3y]],#N/A)</f>
        <v/>
      </c>
    </row>
    <row r="2941">
      <c r="A2941" s="6">
        <f>Database!$A5026</f>
        <v/>
      </c>
      <c r="B2941">
        <f>IF(VLOOKUP(Table7[[#This Row],[Date]],Database!$A:$C,MATCH($B$1,Database!$A$1:$C$1,),)=0,#N/A,VLOOKUP(Table7[[#This Row],[Date]],Database!$A:$C,MATCH($B$1,Database!$A$1:$C$1,),))</f>
        <v/>
      </c>
      <c r="C2941">
        <f>IF(VLOOKUP(Table7[[#This Row],[Date]],Database!$A:$C,MATCH($C$1,Database!$A$1:$C$1,),)=0,#N/A,VLOOKUP(Table7[[#This Row],[Date]],Database!$A:$C,MATCH($C$1,Database!$A$1:$C$1,),))</f>
        <v/>
      </c>
      <c r="D2941">
        <f>IFERROR(Table7[[#This Row],[United States 10y]]-Table7[[#This Row],[United States 3y]],#N/A)</f>
        <v/>
      </c>
    </row>
    <row r="2942">
      <c r="A2942" s="6">
        <f>Database!$A5027</f>
        <v/>
      </c>
      <c r="B2942">
        <f>IF(VLOOKUP(Table7[[#This Row],[Date]],Database!$A:$C,MATCH($B$1,Database!$A$1:$C$1,),)=0,#N/A,VLOOKUP(Table7[[#This Row],[Date]],Database!$A:$C,MATCH($B$1,Database!$A$1:$C$1,),))</f>
        <v/>
      </c>
      <c r="C2942">
        <f>IF(VLOOKUP(Table7[[#This Row],[Date]],Database!$A:$C,MATCH($C$1,Database!$A$1:$C$1,),)=0,#N/A,VLOOKUP(Table7[[#This Row],[Date]],Database!$A:$C,MATCH($C$1,Database!$A$1:$C$1,),))</f>
        <v/>
      </c>
      <c r="D2942">
        <f>IFERROR(Table7[[#This Row],[United States 10y]]-Table7[[#This Row],[United States 3y]],#N/A)</f>
        <v/>
      </c>
    </row>
    <row r="2943">
      <c r="A2943" s="6">
        <f>Database!$A5028</f>
        <v/>
      </c>
      <c r="B2943">
        <f>IF(VLOOKUP(Table7[[#This Row],[Date]],Database!$A:$C,MATCH($B$1,Database!$A$1:$C$1,),)=0,#N/A,VLOOKUP(Table7[[#This Row],[Date]],Database!$A:$C,MATCH($B$1,Database!$A$1:$C$1,),))</f>
        <v/>
      </c>
      <c r="C2943">
        <f>IF(VLOOKUP(Table7[[#This Row],[Date]],Database!$A:$C,MATCH($C$1,Database!$A$1:$C$1,),)=0,#N/A,VLOOKUP(Table7[[#This Row],[Date]],Database!$A:$C,MATCH($C$1,Database!$A$1:$C$1,),))</f>
        <v/>
      </c>
      <c r="D2943">
        <f>IFERROR(Table7[[#This Row],[United States 10y]]-Table7[[#This Row],[United States 3y]],#N/A)</f>
        <v/>
      </c>
    </row>
    <row r="2944">
      <c r="A2944" s="6">
        <f>Database!$A5029</f>
        <v/>
      </c>
      <c r="B2944">
        <f>IF(VLOOKUP(Table7[[#This Row],[Date]],Database!$A:$C,MATCH($B$1,Database!$A$1:$C$1,),)=0,#N/A,VLOOKUP(Table7[[#This Row],[Date]],Database!$A:$C,MATCH($B$1,Database!$A$1:$C$1,),))</f>
        <v/>
      </c>
      <c r="C2944">
        <f>IF(VLOOKUP(Table7[[#This Row],[Date]],Database!$A:$C,MATCH($C$1,Database!$A$1:$C$1,),)=0,#N/A,VLOOKUP(Table7[[#This Row],[Date]],Database!$A:$C,MATCH($C$1,Database!$A$1:$C$1,),))</f>
        <v/>
      </c>
      <c r="D2944">
        <f>IFERROR(Table7[[#This Row],[United States 10y]]-Table7[[#This Row],[United States 3y]],#N/A)</f>
        <v/>
      </c>
    </row>
    <row r="2945">
      <c r="A2945" s="6">
        <f>Database!$A5030</f>
        <v/>
      </c>
      <c r="B2945">
        <f>IF(VLOOKUP(Table7[[#This Row],[Date]],Database!$A:$C,MATCH($B$1,Database!$A$1:$C$1,),)=0,#N/A,VLOOKUP(Table7[[#This Row],[Date]],Database!$A:$C,MATCH($B$1,Database!$A$1:$C$1,),))</f>
        <v/>
      </c>
      <c r="C2945">
        <f>IF(VLOOKUP(Table7[[#This Row],[Date]],Database!$A:$C,MATCH($C$1,Database!$A$1:$C$1,),)=0,#N/A,VLOOKUP(Table7[[#This Row],[Date]],Database!$A:$C,MATCH($C$1,Database!$A$1:$C$1,),))</f>
        <v/>
      </c>
      <c r="D2945">
        <f>IFERROR(Table7[[#This Row],[United States 10y]]-Table7[[#This Row],[United States 3y]],#N/A)</f>
        <v/>
      </c>
    </row>
    <row r="2946">
      <c r="A2946" s="6">
        <f>Database!$A5031</f>
        <v/>
      </c>
      <c r="B2946">
        <f>IF(VLOOKUP(Table7[[#This Row],[Date]],Database!$A:$C,MATCH($B$1,Database!$A$1:$C$1,),)=0,#N/A,VLOOKUP(Table7[[#This Row],[Date]],Database!$A:$C,MATCH($B$1,Database!$A$1:$C$1,),))</f>
        <v/>
      </c>
      <c r="C2946">
        <f>IF(VLOOKUP(Table7[[#This Row],[Date]],Database!$A:$C,MATCH($C$1,Database!$A$1:$C$1,),)=0,#N/A,VLOOKUP(Table7[[#This Row],[Date]],Database!$A:$C,MATCH($C$1,Database!$A$1:$C$1,),))</f>
        <v/>
      </c>
      <c r="D2946">
        <f>IFERROR(Table7[[#This Row],[United States 10y]]-Table7[[#This Row],[United States 3y]],#N/A)</f>
        <v/>
      </c>
    </row>
    <row r="2947">
      <c r="A2947" s="6">
        <f>Database!$A5032</f>
        <v/>
      </c>
      <c r="B2947">
        <f>IF(VLOOKUP(Table7[[#This Row],[Date]],Database!$A:$C,MATCH($B$1,Database!$A$1:$C$1,),)=0,#N/A,VLOOKUP(Table7[[#This Row],[Date]],Database!$A:$C,MATCH($B$1,Database!$A$1:$C$1,),))</f>
        <v/>
      </c>
      <c r="C2947">
        <f>IF(VLOOKUP(Table7[[#This Row],[Date]],Database!$A:$C,MATCH($C$1,Database!$A$1:$C$1,),)=0,#N/A,VLOOKUP(Table7[[#This Row],[Date]],Database!$A:$C,MATCH($C$1,Database!$A$1:$C$1,),))</f>
        <v/>
      </c>
      <c r="D2947">
        <f>IFERROR(Table7[[#This Row],[United States 10y]]-Table7[[#This Row],[United States 3y]],#N/A)</f>
        <v/>
      </c>
    </row>
    <row r="2948">
      <c r="A2948" s="6">
        <f>Database!$A5033</f>
        <v/>
      </c>
      <c r="B2948">
        <f>IF(VLOOKUP(Table7[[#This Row],[Date]],Database!$A:$C,MATCH($B$1,Database!$A$1:$C$1,),)=0,#N/A,VLOOKUP(Table7[[#This Row],[Date]],Database!$A:$C,MATCH($B$1,Database!$A$1:$C$1,),))</f>
        <v/>
      </c>
      <c r="C2948">
        <f>IF(VLOOKUP(Table7[[#This Row],[Date]],Database!$A:$C,MATCH($C$1,Database!$A$1:$C$1,),)=0,#N/A,VLOOKUP(Table7[[#This Row],[Date]],Database!$A:$C,MATCH($C$1,Database!$A$1:$C$1,),))</f>
        <v/>
      </c>
      <c r="D2948">
        <f>IFERROR(Table7[[#This Row],[United States 10y]]-Table7[[#This Row],[United States 3y]],#N/A)</f>
        <v/>
      </c>
    </row>
    <row r="2949">
      <c r="A2949" s="6">
        <f>Database!$A5034</f>
        <v/>
      </c>
      <c r="B2949">
        <f>IF(VLOOKUP(Table7[[#This Row],[Date]],Database!$A:$C,MATCH($B$1,Database!$A$1:$C$1,),)=0,#N/A,VLOOKUP(Table7[[#This Row],[Date]],Database!$A:$C,MATCH($B$1,Database!$A$1:$C$1,),))</f>
        <v/>
      </c>
      <c r="C2949">
        <f>IF(VLOOKUP(Table7[[#This Row],[Date]],Database!$A:$C,MATCH($C$1,Database!$A$1:$C$1,),)=0,#N/A,VLOOKUP(Table7[[#This Row],[Date]],Database!$A:$C,MATCH($C$1,Database!$A$1:$C$1,),))</f>
        <v/>
      </c>
      <c r="D2949">
        <f>IFERROR(Table7[[#This Row],[United States 10y]]-Table7[[#This Row],[United States 3y]],#N/A)</f>
        <v/>
      </c>
    </row>
    <row r="2950">
      <c r="A2950" s="6">
        <f>Database!$A5035</f>
        <v/>
      </c>
      <c r="B2950">
        <f>IF(VLOOKUP(Table7[[#This Row],[Date]],Database!$A:$C,MATCH($B$1,Database!$A$1:$C$1,),)=0,#N/A,VLOOKUP(Table7[[#This Row],[Date]],Database!$A:$C,MATCH($B$1,Database!$A$1:$C$1,),))</f>
        <v/>
      </c>
      <c r="C2950">
        <f>IF(VLOOKUP(Table7[[#This Row],[Date]],Database!$A:$C,MATCH($C$1,Database!$A$1:$C$1,),)=0,#N/A,VLOOKUP(Table7[[#This Row],[Date]],Database!$A:$C,MATCH($C$1,Database!$A$1:$C$1,),))</f>
        <v/>
      </c>
      <c r="D2950">
        <f>IFERROR(Table7[[#This Row],[United States 10y]]-Table7[[#This Row],[United States 3y]],#N/A)</f>
        <v/>
      </c>
    </row>
    <row r="2951">
      <c r="A2951" s="6">
        <f>Database!$A5036</f>
        <v/>
      </c>
      <c r="B2951">
        <f>IF(VLOOKUP(Table7[[#This Row],[Date]],Database!$A:$C,MATCH($B$1,Database!$A$1:$C$1,),)=0,#N/A,VLOOKUP(Table7[[#This Row],[Date]],Database!$A:$C,MATCH($B$1,Database!$A$1:$C$1,),))</f>
        <v/>
      </c>
      <c r="C2951">
        <f>IF(VLOOKUP(Table7[[#This Row],[Date]],Database!$A:$C,MATCH($C$1,Database!$A$1:$C$1,),)=0,#N/A,VLOOKUP(Table7[[#This Row],[Date]],Database!$A:$C,MATCH($C$1,Database!$A$1:$C$1,),))</f>
        <v/>
      </c>
      <c r="D2951">
        <f>IFERROR(Table7[[#This Row],[United States 10y]]-Table7[[#This Row],[United States 3y]],#N/A)</f>
        <v/>
      </c>
    </row>
    <row r="2952">
      <c r="A2952" s="6">
        <f>Database!$A5037</f>
        <v/>
      </c>
      <c r="B2952">
        <f>IF(VLOOKUP(Table7[[#This Row],[Date]],Database!$A:$C,MATCH($B$1,Database!$A$1:$C$1,),)=0,#N/A,VLOOKUP(Table7[[#This Row],[Date]],Database!$A:$C,MATCH($B$1,Database!$A$1:$C$1,),))</f>
        <v/>
      </c>
      <c r="C2952">
        <f>IF(VLOOKUP(Table7[[#This Row],[Date]],Database!$A:$C,MATCH($C$1,Database!$A$1:$C$1,),)=0,#N/A,VLOOKUP(Table7[[#This Row],[Date]],Database!$A:$C,MATCH($C$1,Database!$A$1:$C$1,),))</f>
        <v/>
      </c>
      <c r="D2952">
        <f>IFERROR(Table7[[#This Row],[United States 10y]]-Table7[[#This Row],[United States 3y]],#N/A)</f>
        <v/>
      </c>
    </row>
    <row r="2953">
      <c r="A2953" s="6">
        <f>Database!$A5038</f>
        <v/>
      </c>
      <c r="B2953">
        <f>IF(VLOOKUP(Table7[[#This Row],[Date]],Database!$A:$C,MATCH($B$1,Database!$A$1:$C$1,),)=0,#N/A,VLOOKUP(Table7[[#This Row],[Date]],Database!$A:$C,MATCH($B$1,Database!$A$1:$C$1,),))</f>
        <v/>
      </c>
      <c r="C2953">
        <f>IF(VLOOKUP(Table7[[#This Row],[Date]],Database!$A:$C,MATCH($C$1,Database!$A$1:$C$1,),)=0,#N/A,VLOOKUP(Table7[[#This Row],[Date]],Database!$A:$C,MATCH($C$1,Database!$A$1:$C$1,),))</f>
        <v/>
      </c>
      <c r="D2953">
        <f>IFERROR(Table7[[#This Row],[United States 10y]]-Table7[[#This Row],[United States 3y]],#N/A)</f>
        <v/>
      </c>
    </row>
    <row r="2954">
      <c r="A2954" s="6">
        <f>Database!$A5039</f>
        <v/>
      </c>
      <c r="B2954">
        <f>IF(VLOOKUP(Table7[[#This Row],[Date]],Database!$A:$C,MATCH($B$1,Database!$A$1:$C$1,),)=0,#N/A,VLOOKUP(Table7[[#This Row],[Date]],Database!$A:$C,MATCH($B$1,Database!$A$1:$C$1,),))</f>
        <v/>
      </c>
      <c r="C2954">
        <f>IF(VLOOKUP(Table7[[#This Row],[Date]],Database!$A:$C,MATCH($C$1,Database!$A$1:$C$1,),)=0,#N/A,VLOOKUP(Table7[[#This Row],[Date]],Database!$A:$C,MATCH($C$1,Database!$A$1:$C$1,),))</f>
        <v/>
      </c>
      <c r="D2954">
        <f>IFERROR(Table7[[#This Row],[United States 10y]]-Table7[[#This Row],[United States 3y]],#N/A)</f>
        <v/>
      </c>
    </row>
    <row r="2955">
      <c r="A2955" s="6">
        <f>Database!$A5040</f>
        <v/>
      </c>
      <c r="B2955">
        <f>IF(VLOOKUP(Table7[[#This Row],[Date]],Database!$A:$C,MATCH($B$1,Database!$A$1:$C$1,),)=0,#N/A,VLOOKUP(Table7[[#This Row],[Date]],Database!$A:$C,MATCH($B$1,Database!$A$1:$C$1,),))</f>
        <v/>
      </c>
      <c r="C2955">
        <f>IF(VLOOKUP(Table7[[#This Row],[Date]],Database!$A:$C,MATCH($C$1,Database!$A$1:$C$1,),)=0,#N/A,VLOOKUP(Table7[[#This Row],[Date]],Database!$A:$C,MATCH($C$1,Database!$A$1:$C$1,),))</f>
        <v/>
      </c>
      <c r="D2955">
        <f>IFERROR(Table7[[#This Row],[United States 10y]]-Table7[[#This Row],[United States 3y]],#N/A)</f>
        <v/>
      </c>
    </row>
    <row r="2956">
      <c r="A2956" s="6">
        <f>Database!$A5041</f>
        <v/>
      </c>
      <c r="B2956">
        <f>IF(VLOOKUP(Table7[[#This Row],[Date]],Database!$A:$C,MATCH($B$1,Database!$A$1:$C$1,),)=0,#N/A,VLOOKUP(Table7[[#This Row],[Date]],Database!$A:$C,MATCH($B$1,Database!$A$1:$C$1,),))</f>
        <v/>
      </c>
      <c r="C2956">
        <f>IF(VLOOKUP(Table7[[#This Row],[Date]],Database!$A:$C,MATCH($C$1,Database!$A$1:$C$1,),)=0,#N/A,VLOOKUP(Table7[[#This Row],[Date]],Database!$A:$C,MATCH($C$1,Database!$A$1:$C$1,),))</f>
        <v/>
      </c>
      <c r="D2956">
        <f>IFERROR(Table7[[#This Row],[United States 10y]]-Table7[[#This Row],[United States 3y]],#N/A)</f>
        <v/>
      </c>
    </row>
    <row r="2957">
      <c r="A2957" s="6">
        <f>Database!$A5042</f>
        <v/>
      </c>
      <c r="B2957">
        <f>IF(VLOOKUP(Table7[[#This Row],[Date]],Database!$A:$C,MATCH($B$1,Database!$A$1:$C$1,),)=0,#N/A,VLOOKUP(Table7[[#This Row],[Date]],Database!$A:$C,MATCH($B$1,Database!$A$1:$C$1,),))</f>
        <v/>
      </c>
      <c r="C2957">
        <f>IF(VLOOKUP(Table7[[#This Row],[Date]],Database!$A:$C,MATCH($C$1,Database!$A$1:$C$1,),)=0,#N/A,VLOOKUP(Table7[[#This Row],[Date]],Database!$A:$C,MATCH($C$1,Database!$A$1:$C$1,),))</f>
        <v/>
      </c>
      <c r="D2957">
        <f>IFERROR(Table7[[#This Row],[United States 10y]]-Table7[[#This Row],[United States 3y]],#N/A)</f>
        <v/>
      </c>
    </row>
    <row r="2958">
      <c r="A2958" s="6">
        <f>Database!$A5043</f>
        <v/>
      </c>
      <c r="B2958">
        <f>IF(VLOOKUP(Table7[[#This Row],[Date]],Database!$A:$C,MATCH($B$1,Database!$A$1:$C$1,),)=0,#N/A,VLOOKUP(Table7[[#This Row],[Date]],Database!$A:$C,MATCH($B$1,Database!$A$1:$C$1,),))</f>
        <v/>
      </c>
      <c r="C2958">
        <f>IF(VLOOKUP(Table7[[#This Row],[Date]],Database!$A:$C,MATCH($C$1,Database!$A$1:$C$1,),)=0,#N/A,VLOOKUP(Table7[[#This Row],[Date]],Database!$A:$C,MATCH($C$1,Database!$A$1:$C$1,),))</f>
        <v/>
      </c>
      <c r="D2958">
        <f>IFERROR(Table7[[#This Row],[United States 10y]]-Table7[[#This Row],[United States 3y]],#N/A)</f>
        <v/>
      </c>
    </row>
    <row r="2959">
      <c r="A2959" s="6">
        <f>Database!$A5044</f>
        <v/>
      </c>
      <c r="B2959">
        <f>IF(VLOOKUP(Table7[[#This Row],[Date]],Database!$A:$C,MATCH($B$1,Database!$A$1:$C$1,),)=0,#N/A,VLOOKUP(Table7[[#This Row],[Date]],Database!$A:$C,MATCH($B$1,Database!$A$1:$C$1,),))</f>
        <v/>
      </c>
      <c r="C2959">
        <f>IF(VLOOKUP(Table7[[#This Row],[Date]],Database!$A:$C,MATCH($C$1,Database!$A$1:$C$1,),)=0,#N/A,VLOOKUP(Table7[[#This Row],[Date]],Database!$A:$C,MATCH($C$1,Database!$A$1:$C$1,),))</f>
        <v/>
      </c>
      <c r="D2959">
        <f>IFERROR(Table7[[#This Row],[United States 10y]]-Table7[[#This Row],[United States 3y]],#N/A)</f>
        <v/>
      </c>
    </row>
    <row r="2960">
      <c r="A2960" s="6">
        <f>Database!$A5045</f>
        <v/>
      </c>
      <c r="B2960">
        <f>IF(VLOOKUP(Table7[[#This Row],[Date]],Database!$A:$C,MATCH($B$1,Database!$A$1:$C$1,),)=0,#N/A,VLOOKUP(Table7[[#This Row],[Date]],Database!$A:$C,MATCH($B$1,Database!$A$1:$C$1,),))</f>
        <v/>
      </c>
      <c r="C2960">
        <f>IF(VLOOKUP(Table7[[#This Row],[Date]],Database!$A:$C,MATCH($C$1,Database!$A$1:$C$1,),)=0,#N/A,VLOOKUP(Table7[[#This Row],[Date]],Database!$A:$C,MATCH($C$1,Database!$A$1:$C$1,),))</f>
        <v/>
      </c>
      <c r="D2960">
        <f>IFERROR(Table7[[#This Row],[United States 10y]]-Table7[[#This Row],[United States 3y]],#N/A)</f>
        <v/>
      </c>
    </row>
    <row r="2961">
      <c r="A2961" s="6">
        <f>Database!$A5046</f>
        <v/>
      </c>
      <c r="B2961">
        <f>IF(VLOOKUP(Table7[[#This Row],[Date]],Database!$A:$C,MATCH($B$1,Database!$A$1:$C$1,),)=0,#N/A,VLOOKUP(Table7[[#This Row],[Date]],Database!$A:$C,MATCH($B$1,Database!$A$1:$C$1,),))</f>
        <v/>
      </c>
      <c r="C2961">
        <f>IF(VLOOKUP(Table7[[#This Row],[Date]],Database!$A:$C,MATCH($C$1,Database!$A$1:$C$1,),)=0,#N/A,VLOOKUP(Table7[[#This Row],[Date]],Database!$A:$C,MATCH($C$1,Database!$A$1:$C$1,),))</f>
        <v/>
      </c>
      <c r="D2961">
        <f>IFERROR(Table7[[#This Row],[United States 10y]]-Table7[[#This Row],[United States 3y]],#N/A)</f>
        <v/>
      </c>
    </row>
    <row r="2962">
      <c r="A2962" s="6">
        <f>Database!$A5047</f>
        <v/>
      </c>
      <c r="B2962">
        <f>IF(VLOOKUP(Table7[[#This Row],[Date]],Database!$A:$C,MATCH($B$1,Database!$A$1:$C$1,),)=0,#N/A,VLOOKUP(Table7[[#This Row],[Date]],Database!$A:$C,MATCH($B$1,Database!$A$1:$C$1,),))</f>
        <v/>
      </c>
      <c r="C2962">
        <f>IF(VLOOKUP(Table7[[#This Row],[Date]],Database!$A:$C,MATCH($C$1,Database!$A$1:$C$1,),)=0,#N/A,VLOOKUP(Table7[[#This Row],[Date]],Database!$A:$C,MATCH($C$1,Database!$A$1:$C$1,),))</f>
        <v/>
      </c>
      <c r="D2962">
        <f>IFERROR(Table7[[#This Row],[United States 10y]]-Table7[[#This Row],[United States 3y]],#N/A)</f>
        <v/>
      </c>
    </row>
    <row r="2963">
      <c r="A2963" s="6">
        <f>Database!$A5048</f>
        <v/>
      </c>
      <c r="B2963">
        <f>IF(VLOOKUP(Table7[[#This Row],[Date]],Database!$A:$C,MATCH($B$1,Database!$A$1:$C$1,),)=0,#N/A,VLOOKUP(Table7[[#This Row],[Date]],Database!$A:$C,MATCH($B$1,Database!$A$1:$C$1,),))</f>
        <v/>
      </c>
      <c r="C2963">
        <f>IF(VLOOKUP(Table7[[#This Row],[Date]],Database!$A:$C,MATCH($C$1,Database!$A$1:$C$1,),)=0,#N/A,VLOOKUP(Table7[[#This Row],[Date]],Database!$A:$C,MATCH($C$1,Database!$A$1:$C$1,),))</f>
        <v/>
      </c>
      <c r="D2963">
        <f>IFERROR(Table7[[#This Row],[United States 10y]]-Table7[[#This Row],[United States 3y]],#N/A)</f>
        <v/>
      </c>
    </row>
    <row r="2964">
      <c r="A2964" s="6">
        <f>Database!$A5049</f>
        <v/>
      </c>
      <c r="B2964">
        <f>IF(VLOOKUP(Table7[[#This Row],[Date]],Database!$A:$C,MATCH($B$1,Database!$A$1:$C$1,),)=0,#N/A,VLOOKUP(Table7[[#This Row],[Date]],Database!$A:$C,MATCH($B$1,Database!$A$1:$C$1,),))</f>
        <v/>
      </c>
      <c r="C2964">
        <f>IF(VLOOKUP(Table7[[#This Row],[Date]],Database!$A:$C,MATCH($C$1,Database!$A$1:$C$1,),)=0,#N/A,VLOOKUP(Table7[[#This Row],[Date]],Database!$A:$C,MATCH($C$1,Database!$A$1:$C$1,),))</f>
        <v/>
      </c>
      <c r="D2964">
        <f>IFERROR(Table7[[#This Row],[United States 10y]]-Table7[[#This Row],[United States 3y]],#N/A)</f>
        <v/>
      </c>
    </row>
    <row r="2965">
      <c r="A2965" s="6">
        <f>Database!$A5050</f>
        <v/>
      </c>
      <c r="B2965">
        <f>IF(VLOOKUP(Table7[[#This Row],[Date]],Database!$A:$C,MATCH($B$1,Database!$A$1:$C$1,),)=0,#N/A,VLOOKUP(Table7[[#This Row],[Date]],Database!$A:$C,MATCH($B$1,Database!$A$1:$C$1,),))</f>
        <v/>
      </c>
      <c r="C2965">
        <f>IF(VLOOKUP(Table7[[#This Row],[Date]],Database!$A:$C,MATCH($C$1,Database!$A$1:$C$1,),)=0,#N/A,VLOOKUP(Table7[[#This Row],[Date]],Database!$A:$C,MATCH($C$1,Database!$A$1:$C$1,),))</f>
        <v/>
      </c>
      <c r="D2965">
        <f>IFERROR(Table7[[#This Row],[United States 10y]]-Table7[[#This Row],[United States 3y]],#N/A)</f>
        <v/>
      </c>
    </row>
    <row r="2966">
      <c r="A2966" s="6">
        <f>Database!$A5051</f>
        <v/>
      </c>
      <c r="B2966">
        <f>IF(VLOOKUP(Table7[[#This Row],[Date]],Database!$A:$C,MATCH($B$1,Database!$A$1:$C$1,),)=0,#N/A,VLOOKUP(Table7[[#This Row],[Date]],Database!$A:$C,MATCH($B$1,Database!$A$1:$C$1,),))</f>
        <v/>
      </c>
      <c r="C2966">
        <f>IF(VLOOKUP(Table7[[#This Row],[Date]],Database!$A:$C,MATCH($C$1,Database!$A$1:$C$1,),)=0,#N/A,VLOOKUP(Table7[[#This Row],[Date]],Database!$A:$C,MATCH($C$1,Database!$A$1:$C$1,),))</f>
        <v/>
      </c>
      <c r="D2966">
        <f>IFERROR(Table7[[#This Row],[United States 10y]]-Table7[[#This Row],[United States 3y]],#N/A)</f>
        <v/>
      </c>
    </row>
    <row r="2967">
      <c r="A2967" s="6">
        <f>Database!$A5052</f>
        <v/>
      </c>
      <c r="B2967">
        <f>IF(VLOOKUP(Table7[[#This Row],[Date]],Database!$A:$C,MATCH($B$1,Database!$A$1:$C$1,),)=0,#N/A,VLOOKUP(Table7[[#This Row],[Date]],Database!$A:$C,MATCH($B$1,Database!$A$1:$C$1,),))</f>
        <v/>
      </c>
      <c r="C2967">
        <f>IF(VLOOKUP(Table7[[#This Row],[Date]],Database!$A:$C,MATCH($C$1,Database!$A$1:$C$1,),)=0,#N/A,VLOOKUP(Table7[[#This Row],[Date]],Database!$A:$C,MATCH($C$1,Database!$A$1:$C$1,),))</f>
        <v/>
      </c>
      <c r="D2967">
        <f>IFERROR(Table7[[#This Row],[United States 10y]]-Table7[[#This Row],[United States 3y]],#N/A)</f>
        <v/>
      </c>
    </row>
    <row r="2968">
      <c r="A2968" s="6">
        <f>Database!$A5053</f>
        <v/>
      </c>
      <c r="B2968">
        <f>IF(VLOOKUP(Table7[[#This Row],[Date]],Database!$A:$C,MATCH($B$1,Database!$A$1:$C$1,),)=0,#N/A,VLOOKUP(Table7[[#This Row],[Date]],Database!$A:$C,MATCH($B$1,Database!$A$1:$C$1,),))</f>
        <v/>
      </c>
      <c r="C2968">
        <f>IF(VLOOKUP(Table7[[#This Row],[Date]],Database!$A:$C,MATCH($C$1,Database!$A$1:$C$1,),)=0,#N/A,VLOOKUP(Table7[[#This Row],[Date]],Database!$A:$C,MATCH($C$1,Database!$A$1:$C$1,),))</f>
        <v/>
      </c>
      <c r="D2968">
        <f>IFERROR(Table7[[#This Row],[United States 10y]]-Table7[[#This Row],[United States 3y]],#N/A)</f>
        <v/>
      </c>
    </row>
    <row r="2969">
      <c r="A2969" s="6">
        <f>Database!$A5054</f>
        <v/>
      </c>
      <c r="B2969">
        <f>IF(VLOOKUP(Table7[[#This Row],[Date]],Database!$A:$C,MATCH($B$1,Database!$A$1:$C$1,),)=0,#N/A,VLOOKUP(Table7[[#This Row],[Date]],Database!$A:$C,MATCH($B$1,Database!$A$1:$C$1,),))</f>
        <v/>
      </c>
      <c r="C2969">
        <f>IF(VLOOKUP(Table7[[#This Row],[Date]],Database!$A:$C,MATCH($C$1,Database!$A$1:$C$1,),)=0,#N/A,VLOOKUP(Table7[[#This Row],[Date]],Database!$A:$C,MATCH($C$1,Database!$A$1:$C$1,),))</f>
        <v/>
      </c>
      <c r="D2969">
        <f>IFERROR(Table7[[#This Row],[United States 10y]]-Table7[[#This Row],[United States 3y]],#N/A)</f>
        <v/>
      </c>
    </row>
    <row r="2970">
      <c r="A2970" s="6">
        <f>Database!$A5055</f>
        <v/>
      </c>
      <c r="B2970">
        <f>IF(VLOOKUP(Table7[[#This Row],[Date]],Database!$A:$C,MATCH($B$1,Database!$A$1:$C$1,),)=0,#N/A,VLOOKUP(Table7[[#This Row],[Date]],Database!$A:$C,MATCH($B$1,Database!$A$1:$C$1,),))</f>
        <v/>
      </c>
      <c r="C2970">
        <f>IF(VLOOKUP(Table7[[#This Row],[Date]],Database!$A:$C,MATCH($C$1,Database!$A$1:$C$1,),)=0,#N/A,VLOOKUP(Table7[[#This Row],[Date]],Database!$A:$C,MATCH($C$1,Database!$A$1:$C$1,),))</f>
        <v/>
      </c>
      <c r="D2970">
        <f>IFERROR(Table7[[#This Row],[United States 10y]]-Table7[[#This Row],[United States 3y]],#N/A)</f>
        <v/>
      </c>
    </row>
    <row r="2971">
      <c r="A2971" s="6">
        <f>Database!$A5056</f>
        <v/>
      </c>
      <c r="B2971">
        <f>IF(VLOOKUP(Table7[[#This Row],[Date]],Database!$A:$C,MATCH($B$1,Database!$A$1:$C$1,),)=0,#N/A,VLOOKUP(Table7[[#This Row],[Date]],Database!$A:$C,MATCH($B$1,Database!$A$1:$C$1,),))</f>
        <v/>
      </c>
      <c r="C2971">
        <f>IF(VLOOKUP(Table7[[#This Row],[Date]],Database!$A:$C,MATCH($C$1,Database!$A$1:$C$1,),)=0,#N/A,VLOOKUP(Table7[[#This Row],[Date]],Database!$A:$C,MATCH($C$1,Database!$A$1:$C$1,),))</f>
        <v/>
      </c>
      <c r="D2971">
        <f>IFERROR(Table7[[#This Row],[United States 10y]]-Table7[[#This Row],[United States 3y]],#N/A)</f>
        <v/>
      </c>
    </row>
    <row r="2972">
      <c r="A2972" s="6">
        <f>Database!$A5057</f>
        <v/>
      </c>
      <c r="B2972">
        <f>IF(VLOOKUP(Table7[[#This Row],[Date]],Database!$A:$C,MATCH($B$1,Database!$A$1:$C$1,),)=0,#N/A,VLOOKUP(Table7[[#This Row],[Date]],Database!$A:$C,MATCH($B$1,Database!$A$1:$C$1,),))</f>
        <v/>
      </c>
      <c r="C2972">
        <f>IF(VLOOKUP(Table7[[#This Row],[Date]],Database!$A:$C,MATCH($C$1,Database!$A$1:$C$1,),)=0,#N/A,VLOOKUP(Table7[[#This Row],[Date]],Database!$A:$C,MATCH($C$1,Database!$A$1:$C$1,),))</f>
        <v/>
      </c>
      <c r="D2972">
        <f>IFERROR(Table7[[#This Row],[United States 10y]]-Table7[[#This Row],[United States 3y]],#N/A)</f>
        <v/>
      </c>
    </row>
    <row r="2973">
      <c r="A2973" s="6">
        <f>Database!$A5058</f>
        <v/>
      </c>
      <c r="B2973">
        <f>IF(VLOOKUP(Table7[[#This Row],[Date]],Database!$A:$C,MATCH($B$1,Database!$A$1:$C$1,),)=0,#N/A,VLOOKUP(Table7[[#This Row],[Date]],Database!$A:$C,MATCH($B$1,Database!$A$1:$C$1,),))</f>
        <v/>
      </c>
      <c r="C2973">
        <f>IF(VLOOKUP(Table7[[#This Row],[Date]],Database!$A:$C,MATCH($C$1,Database!$A$1:$C$1,),)=0,#N/A,VLOOKUP(Table7[[#This Row],[Date]],Database!$A:$C,MATCH($C$1,Database!$A$1:$C$1,),))</f>
        <v/>
      </c>
      <c r="D2973">
        <f>IFERROR(Table7[[#This Row],[United States 10y]]-Table7[[#This Row],[United States 3y]],#N/A)</f>
        <v/>
      </c>
    </row>
    <row r="2974">
      <c r="A2974" s="6">
        <f>Database!$A5059</f>
        <v/>
      </c>
      <c r="B2974">
        <f>IF(VLOOKUP(Table7[[#This Row],[Date]],Database!$A:$C,MATCH($B$1,Database!$A$1:$C$1,),)=0,#N/A,VLOOKUP(Table7[[#This Row],[Date]],Database!$A:$C,MATCH($B$1,Database!$A$1:$C$1,),))</f>
        <v/>
      </c>
      <c r="C2974">
        <f>IF(VLOOKUP(Table7[[#This Row],[Date]],Database!$A:$C,MATCH($C$1,Database!$A$1:$C$1,),)=0,#N/A,VLOOKUP(Table7[[#This Row],[Date]],Database!$A:$C,MATCH($C$1,Database!$A$1:$C$1,),))</f>
        <v/>
      </c>
      <c r="D2974">
        <f>IFERROR(Table7[[#This Row],[United States 10y]]-Table7[[#This Row],[United States 3y]],#N/A)</f>
        <v/>
      </c>
    </row>
    <row r="2975">
      <c r="A2975" s="6">
        <f>Database!$A5060</f>
        <v/>
      </c>
      <c r="B2975">
        <f>IF(VLOOKUP(Table7[[#This Row],[Date]],Database!$A:$C,MATCH($B$1,Database!$A$1:$C$1,),)=0,#N/A,VLOOKUP(Table7[[#This Row],[Date]],Database!$A:$C,MATCH($B$1,Database!$A$1:$C$1,),))</f>
        <v/>
      </c>
      <c r="C2975">
        <f>IF(VLOOKUP(Table7[[#This Row],[Date]],Database!$A:$C,MATCH($C$1,Database!$A$1:$C$1,),)=0,#N/A,VLOOKUP(Table7[[#This Row],[Date]],Database!$A:$C,MATCH($C$1,Database!$A$1:$C$1,),))</f>
        <v/>
      </c>
      <c r="D2975">
        <f>IFERROR(Table7[[#This Row],[United States 10y]]-Table7[[#This Row],[United States 3y]],#N/A)</f>
        <v/>
      </c>
    </row>
    <row r="2976">
      <c r="A2976" s="6">
        <f>Database!$A5061</f>
        <v/>
      </c>
      <c r="B2976">
        <f>IF(VLOOKUP(Table7[[#This Row],[Date]],Database!$A:$C,MATCH($B$1,Database!$A$1:$C$1,),)=0,#N/A,VLOOKUP(Table7[[#This Row],[Date]],Database!$A:$C,MATCH($B$1,Database!$A$1:$C$1,),))</f>
        <v/>
      </c>
      <c r="C2976">
        <f>IF(VLOOKUP(Table7[[#This Row],[Date]],Database!$A:$C,MATCH($C$1,Database!$A$1:$C$1,),)=0,#N/A,VLOOKUP(Table7[[#This Row],[Date]],Database!$A:$C,MATCH($C$1,Database!$A$1:$C$1,),))</f>
        <v/>
      </c>
      <c r="D2976">
        <f>IFERROR(Table7[[#This Row],[United States 10y]]-Table7[[#This Row],[United States 3y]],#N/A)</f>
        <v/>
      </c>
    </row>
    <row r="2977">
      <c r="A2977" s="6">
        <f>Database!$A5062</f>
        <v/>
      </c>
      <c r="B2977">
        <f>IF(VLOOKUP(Table7[[#This Row],[Date]],Database!$A:$C,MATCH($B$1,Database!$A$1:$C$1,),)=0,#N/A,VLOOKUP(Table7[[#This Row],[Date]],Database!$A:$C,MATCH($B$1,Database!$A$1:$C$1,),))</f>
        <v/>
      </c>
      <c r="C2977">
        <f>IF(VLOOKUP(Table7[[#This Row],[Date]],Database!$A:$C,MATCH($C$1,Database!$A$1:$C$1,),)=0,#N/A,VLOOKUP(Table7[[#This Row],[Date]],Database!$A:$C,MATCH($C$1,Database!$A$1:$C$1,),))</f>
        <v/>
      </c>
      <c r="D2977">
        <f>IFERROR(Table7[[#This Row],[United States 10y]]-Table7[[#This Row],[United States 3y]],#N/A)</f>
        <v/>
      </c>
    </row>
    <row r="2978">
      <c r="A2978" s="6">
        <f>Database!$A5063</f>
        <v/>
      </c>
      <c r="B2978">
        <f>IF(VLOOKUP(Table7[[#This Row],[Date]],Database!$A:$C,MATCH($B$1,Database!$A$1:$C$1,),)=0,#N/A,VLOOKUP(Table7[[#This Row],[Date]],Database!$A:$C,MATCH($B$1,Database!$A$1:$C$1,),))</f>
        <v/>
      </c>
      <c r="C2978">
        <f>IF(VLOOKUP(Table7[[#This Row],[Date]],Database!$A:$C,MATCH($C$1,Database!$A$1:$C$1,),)=0,#N/A,VLOOKUP(Table7[[#This Row],[Date]],Database!$A:$C,MATCH($C$1,Database!$A$1:$C$1,),))</f>
        <v/>
      </c>
      <c r="D2978">
        <f>IFERROR(Table7[[#This Row],[United States 10y]]-Table7[[#This Row],[United States 3y]],#N/A)</f>
        <v/>
      </c>
    </row>
    <row r="2979">
      <c r="A2979" s="6">
        <f>Database!$A5064</f>
        <v/>
      </c>
      <c r="B2979">
        <f>IF(VLOOKUP(Table7[[#This Row],[Date]],Database!$A:$C,MATCH($B$1,Database!$A$1:$C$1,),)=0,#N/A,VLOOKUP(Table7[[#This Row],[Date]],Database!$A:$C,MATCH($B$1,Database!$A$1:$C$1,),))</f>
        <v/>
      </c>
      <c r="C2979">
        <f>IF(VLOOKUP(Table7[[#This Row],[Date]],Database!$A:$C,MATCH($C$1,Database!$A$1:$C$1,),)=0,#N/A,VLOOKUP(Table7[[#This Row],[Date]],Database!$A:$C,MATCH($C$1,Database!$A$1:$C$1,),))</f>
        <v/>
      </c>
      <c r="D2979">
        <f>IFERROR(Table7[[#This Row],[United States 10y]]-Table7[[#This Row],[United States 3y]],#N/A)</f>
        <v/>
      </c>
    </row>
    <row r="2980">
      <c r="A2980" s="6">
        <f>Database!$A5065</f>
        <v/>
      </c>
      <c r="B2980">
        <f>IF(VLOOKUP(Table7[[#This Row],[Date]],Database!$A:$C,MATCH($B$1,Database!$A$1:$C$1,),)=0,#N/A,VLOOKUP(Table7[[#This Row],[Date]],Database!$A:$C,MATCH($B$1,Database!$A$1:$C$1,),))</f>
        <v/>
      </c>
      <c r="C2980">
        <f>IF(VLOOKUP(Table7[[#This Row],[Date]],Database!$A:$C,MATCH($C$1,Database!$A$1:$C$1,),)=0,#N/A,VLOOKUP(Table7[[#This Row],[Date]],Database!$A:$C,MATCH($C$1,Database!$A$1:$C$1,),))</f>
        <v/>
      </c>
      <c r="D2980">
        <f>IFERROR(Table7[[#This Row],[United States 10y]]-Table7[[#This Row],[United States 3y]],#N/A)</f>
        <v/>
      </c>
    </row>
    <row r="2981">
      <c r="A2981" s="6">
        <f>Database!$A5066</f>
        <v/>
      </c>
      <c r="B2981">
        <f>IF(VLOOKUP(Table7[[#This Row],[Date]],Database!$A:$C,MATCH($B$1,Database!$A$1:$C$1,),)=0,#N/A,VLOOKUP(Table7[[#This Row],[Date]],Database!$A:$C,MATCH($B$1,Database!$A$1:$C$1,),))</f>
        <v/>
      </c>
      <c r="C2981">
        <f>IF(VLOOKUP(Table7[[#This Row],[Date]],Database!$A:$C,MATCH($C$1,Database!$A$1:$C$1,),)=0,#N/A,VLOOKUP(Table7[[#This Row],[Date]],Database!$A:$C,MATCH($C$1,Database!$A$1:$C$1,),))</f>
        <v/>
      </c>
      <c r="D2981">
        <f>IFERROR(Table7[[#This Row],[United States 10y]]-Table7[[#This Row],[United States 3y]],#N/A)</f>
        <v/>
      </c>
    </row>
    <row r="2982">
      <c r="A2982" s="6">
        <f>Database!$A5067</f>
        <v/>
      </c>
      <c r="B2982">
        <f>IF(VLOOKUP(Table7[[#This Row],[Date]],Database!$A:$C,MATCH($B$1,Database!$A$1:$C$1,),)=0,#N/A,VLOOKUP(Table7[[#This Row],[Date]],Database!$A:$C,MATCH($B$1,Database!$A$1:$C$1,),))</f>
        <v/>
      </c>
      <c r="C2982">
        <f>IF(VLOOKUP(Table7[[#This Row],[Date]],Database!$A:$C,MATCH($C$1,Database!$A$1:$C$1,),)=0,#N/A,VLOOKUP(Table7[[#This Row],[Date]],Database!$A:$C,MATCH($C$1,Database!$A$1:$C$1,),))</f>
        <v/>
      </c>
      <c r="D2982">
        <f>IFERROR(Table7[[#This Row],[United States 10y]]-Table7[[#This Row],[United States 3y]],#N/A)</f>
        <v/>
      </c>
    </row>
    <row r="2983">
      <c r="A2983" s="6">
        <f>Database!$A5068</f>
        <v/>
      </c>
      <c r="B2983">
        <f>IF(VLOOKUP(Table7[[#This Row],[Date]],Database!$A:$C,MATCH($B$1,Database!$A$1:$C$1,),)=0,#N/A,VLOOKUP(Table7[[#This Row],[Date]],Database!$A:$C,MATCH($B$1,Database!$A$1:$C$1,),))</f>
        <v/>
      </c>
      <c r="C2983">
        <f>IF(VLOOKUP(Table7[[#This Row],[Date]],Database!$A:$C,MATCH($C$1,Database!$A$1:$C$1,),)=0,#N/A,VLOOKUP(Table7[[#This Row],[Date]],Database!$A:$C,MATCH($C$1,Database!$A$1:$C$1,),))</f>
        <v/>
      </c>
      <c r="D2983">
        <f>IFERROR(Table7[[#This Row],[United States 10y]]-Table7[[#This Row],[United States 3y]],#N/A)</f>
        <v/>
      </c>
    </row>
    <row r="2984">
      <c r="A2984" s="6">
        <f>Database!$A5069</f>
        <v/>
      </c>
      <c r="B2984">
        <f>IF(VLOOKUP(Table7[[#This Row],[Date]],Database!$A:$C,MATCH($B$1,Database!$A$1:$C$1,),)=0,#N/A,VLOOKUP(Table7[[#This Row],[Date]],Database!$A:$C,MATCH($B$1,Database!$A$1:$C$1,),))</f>
        <v/>
      </c>
      <c r="C2984">
        <f>IF(VLOOKUP(Table7[[#This Row],[Date]],Database!$A:$C,MATCH($C$1,Database!$A$1:$C$1,),)=0,#N/A,VLOOKUP(Table7[[#This Row],[Date]],Database!$A:$C,MATCH($C$1,Database!$A$1:$C$1,),))</f>
        <v/>
      </c>
      <c r="D2984">
        <f>IFERROR(Table7[[#This Row],[United States 10y]]-Table7[[#This Row],[United States 3y]],#N/A)</f>
        <v/>
      </c>
    </row>
    <row r="2985">
      <c r="A2985" s="6">
        <f>Database!$A5070</f>
        <v/>
      </c>
      <c r="B2985">
        <f>IF(VLOOKUP(Table7[[#This Row],[Date]],Database!$A:$C,MATCH($B$1,Database!$A$1:$C$1,),)=0,#N/A,VLOOKUP(Table7[[#This Row],[Date]],Database!$A:$C,MATCH($B$1,Database!$A$1:$C$1,),))</f>
        <v/>
      </c>
      <c r="C2985">
        <f>IF(VLOOKUP(Table7[[#This Row],[Date]],Database!$A:$C,MATCH($C$1,Database!$A$1:$C$1,),)=0,#N/A,VLOOKUP(Table7[[#This Row],[Date]],Database!$A:$C,MATCH($C$1,Database!$A$1:$C$1,),))</f>
        <v/>
      </c>
      <c r="D2985">
        <f>IFERROR(Table7[[#This Row],[United States 10y]]-Table7[[#This Row],[United States 3y]],#N/A)</f>
        <v/>
      </c>
    </row>
    <row r="2986">
      <c r="A2986" s="6">
        <f>Database!$A5071</f>
        <v/>
      </c>
      <c r="B2986">
        <f>IF(VLOOKUP(Table7[[#This Row],[Date]],Database!$A:$C,MATCH($B$1,Database!$A$1:$C$1,),)=0,#N/A,VLOOKUP(Table7[[#This Row],[Date]],Database!$A:$C,MATCH($B$1,Database!$A$1:$C$1,),))</f>
        <v/>
      </c>
      <c r="C2986">
        <f>IF(VLOOKUP(Table7[[#This Row],[Date]],Database!$A:$C,MATCH($C$1,Database!$A$1:$C$1,),)=0,#N/A,VLOOKUP(Table7[[#This Row],[Date]],Database!$A:$C,MATCH($C$1,Database!$A$1:$C$1,),))</f>
        <v/>
      </c>
      <c r="D2986">
        <f>IFERROR(Table7[[#This Row],[United States 10y]]-Table7[[#This Row],[United States 3y]],#N/A)</f>
        <v/>
      </c>
    </row>
    <row r="2987">
      <c r="A2987" s="6">
        <f>Database!$A5072</f>
        <v/>
      </c>
      <c r="B2987">
        <f>IF(VLOOKUP(Table7[[#This Row],[Date]],Database!$A:$C,MATCH($B$1,Database!$A$1:$C$1,),)=0,#N/A,VLOOKUP(Table7[[#This Row],[Date]],Database!$A:$C,MATCH($B$1,Database!$A$1:$C$1,),))</f>
        <v/>
      </c>
      <c r="C2987">
        <f>IF(VLOOKUP(Table7[[#This Row],[Date]],Database!$A:$C,MATCH($C$1,Database!$A$1:$C$1,),)=0,#N/A,VLOOKUP(Table7[[#This Row],[Date]],Database!$A:$C,MATCH($C$1,Database!$A$1:$C$1,),))</f>
        <v/>
      </c>
      <c r="D2987">
        <f>IFERROR(Table7[[#This Row],[United States 10y]]-Table7[[#This Row],[United States 3y]],#N/A)</f>
        <v/>
      </c>
    </row>
    <row r="2988">
      <c r="A2988" s="6">
        <f>Database!$A5073</f>
        <v/>
      </c>
      <c r="B2988">
        <f>IF(VLOOKUP(Table7[[#This Row],[Date]],Database!$A:$C,MATCH($B$1,Database!$A$1:$C$1,),)=0,#N/A,VLOOKUP(Table7[[#This Row],[Date]],Database!$A:$C,MATCH($B$1,Database!$A$1:$C$1,),))</f>
        <v/>
      </c>
      <c r="C2988">
        <f>IF(VLOOKUP(Table7[[#This Row],[Date]],Database!$A:$C,MATCH($C$1,Database!$A$1:$C$1,),)=0,#N/A,VLOOKUP(Table7[[#This Row],[Date]],Database!$A:$C,MATCH($C$1,Database!$A$1:$C$1,),))</f>
        <v/>
      </c>
      <c r="D2988">
        <f>IFERROR(Table7[[#This Row],[United States 10y]]-Table7[[#This Row],[United States 3y]],#N/A)</f>
        <v/>
      </c>
    </row>
    <row r="2989">
      <c r="A2989" s="6">
        <f>Database!$A5074</f>
        <v/>
      </c>
      <c r="B2989">
        <f>IF(VLOOKUP(Table7[[#This Row],[Date]],Database!$A:$C,MATCH($B$1,Database!$A$1:$C$1,),)=0,#N/A,VLOOKUP(Table7[[#This Row],[Date]],Database!$A:$C,MATCH($B$1,Database!$A$1:$C$1,),))</f>
        <v/>
      </c>
      <c r="C2989">
        <f>IF(VLOOKUP(Table7[[#This Row],[Date]],Database!$A:$C,MATCH($C$1,Database!$A$1:$C$1,),)=0,#N/A,VLOOKUP(Table7[[#This Row],[Date]],Database!$A:$C,MATCH($C$1,Database!$A$1:$C$1,),))</f>
        <v/>
      </c>
      <c r="D2989">
        <f>IFERROR(Table7[[#This Row],[United States 10y]]-Table7[[#This Row],[United States 3y]],#N/A)</f>
        <v/>
      </c>
    </row>
    <row r="2990">
      <c r="A2990" s="6">
        <f>Database!$A5075</f>
        <v/>
      </c>
      <c r="B2990">
        <f>IF(VLOOKUP(Table7[[#This Row],[Date]],Database!$A:$C,MATCH($B$1,Database!$A$1:$C$1,),)=0,#N/A,VLOOKUP(Table7[[#This Row],[Date]],Database!$A:$C,MATCH($B$1,Database!$A$1:$C$1,),))</f>
        <v/>
      </c>
      <c r="C2990">
        <f>IF(VLOOKUP(Table7[[#This Row],[Date]],Database!$A:$C,MATCH($C$1,Database!$A$1:$C$1,),)=0,#N/A,VLOOKUP(Table7[[#This Row],[Date]],Database!$A:$C,MATCH($C$1,Database!$A$1:$C$1,),))</f>
        <v/>
      </c>
      <c r="D2990">
        <f>IFERROR(Table7[[#This Row],[United States 10y]]-Table7[[#This Row],[United States 3y]],#N/A)</f>
        <v/>
      </c>
    </row>
    <row r="2991">
      <c r="A2991" s="6">
        <f>Database!$A5076</f>
        <v/>
      </c>
      <c r="B2991">
        <f>IF(VLOOKUP(Table7[[#This Row],[Date]],Database!$A:$C,MATCH($B$1,Database!$A$1:$C$1,),)=0,#N/A,VLOOKUP(Table7[[#This Row],[Date]],Database!$A:$C,MATCH($B$1,Database!$A$1:$C$1,),))</f>
        <v/>
      </c>
      <c r="C2991">
        <f>IF(VLOOKUP(Table7[[#This Row],[Date]],Database!$A:$C,MATCH($C$1,Database!$A$1:$C$1,),)=0,#N/A,VLOOKUP(Table7[[#This Row],[Date]],Database!$A:$C,MATCH($C$1,Database!$A$1:$C$1,),))</f>
        <v/>
      </c>
      <c r="D2991">
        <f>IFERROR(Table7[[#This Row],[United States 10y]]-Table7[[#This Row],[United States 3y]],#N/A)</f>
        <v/>
      </c>
    </row>
    <row r="2992">
      <c r="A2992" s="6">
        <f>Database!$A5077</f>
        <v/>
      </c>
      <c r="B2992">
        <f>IF(VLOOKUP(Table7[[#This Row],[Date]],Database!$A:$C,MATCH($B$1,Database!$A$1:$C$1,),)=0,#N/A,VLOOKUP(Table7[[#This Row],[Date]],Database!$A:$C,MATCH($B$1,Database!$A$1:$C$1,),))</f>
        <v/>
      </c>
      <c r="C2992">
        <f>IF(VLOOKUP(Table7[[#This Row],[Date]],Database!$A:$C,MATCH($C$1,Database!$A$1:$C$1,),)=0,#N/A,VLOOKUP(Table7[[#This Row],[Date]],Database!$A:$C,MATCH($C$1,Database!$A$1:$C$1,),))</f>
        <v/>
      </c>
      <c r="D2992">
        <f>IFERROR(Table7[[#This Row],[United States 10y]]-Table7[[#This Row],[United States 3y]],#N/A)</f>
        <v/>
      </c>
    </row>
    <row r="2993">
      <c r="A2993" s="6">
        <f>Database!$A5078</f>
        <v/>
      </c>
      <c r="B2993">
        <f>IF(VLOOKUP(Table7[[#This Row],[Date]],Database!$A:$C,MATCH($B$1,Database!$A$1:$C$1,),)=0,#N/A,VLOOKUP(Table7[[#This Row],[Date]],Database!$A:$C,MATCH($B$1,Database!$A$1:$C$1,),))</f>
        <v/>
      </c>
      <c r="C2993">
        <f>IF(VLOOKUP(Table7[[#This Row],[Date]],Database!$A:$C,MATCH($C$1,Database!$A$1:$C$1,),)=0,#N/A,VLOOKUP(Table7[[#This Row],[Date]],Database!$A:$C,MATCH($C$1,Database!$A$1:$C$1,),))</f>
        <v/>
      </c>
      <c r="D2993">
        <f>IFERROR(Table7[[#This Row],[United States 10y]]-Table7[[#This Row],[United States 3y]],#N/A)</f>
        <v/>
      </c>
    </row>
    <row r="2994">
      <c r="A2994" s="6">
        <f>Database!$A5079</f>
        <v/>
      </c>
      <c r="B2994">
        <f>IF(VLOOKUP(Table7[[#This Row],[Date]],Database!$A:$C,MATCH($B$1,Database!$A$1:$C$1,),)=0,#N/A,VLOOKUP(Table7[[#This Row],[Date]],Database!$A:$C,MATCH($B$1,Database!$A$1:$C$1,),))</f>
        <v/>
      </c>
      <c r="C2994">
        <f>IF(VLOOKUP(Table7[[#This Row],[Date]],Database!$A:$C,MATCH($C$1,Database!$A$1:$C$1,),)=0,#N/A,VLOOKUP(Table7[[#This Row],[Date]],Database!$A:$C,MATCH($C$1,Database!$A$1:$C$1,),))</f>
        <v/>
      </c>
      <c r="D2994">
        <f>IFERROR(Table7[[#This Row],[United States 10y]]-Table7[[#This Row],[United States 3y]],#N/A)</f>
        <v/>
      </c>
    </row>
    <row r="2995">
      <c r="A2995" s="6">
        <f>Database!$A5080</f>
        <v/>
      </c>
      <c r="B2995">
        <f>IF(VLOOKUP(Table7[[#This Row],[Date]],Database!$A:$C,MATCH($B$1,Database!$A$1:$C$1,),)=0,#N/A,VLOOKUP(Table7[[#This Row],[Date]],Database!$A:$C,MATCH($B$1,Database!$A$1:$C$1,),))</f>
        <v/>
      </c>
      <c r="C2995">
        <f>IF(VLOOKUP(Table7[[#This Row],[Date]],Database!$A:$C,MATCH($C$1,Database!$A$1:$C$1,),)=0,#N/A,VLOOKUP(Table7[[#This Row],[Date]],Database!$A:$C,MATCH($C$1,Database!$A$1:$C$1,),))</f>
        <v/>
      </c>
      <c r="D2995">
        <f>IFERROR(Table7[[#This Row],[United States 10y]]-Table7[[#This Row],[United States 3y]],#N/A)</f>
        <v/>
      </c>
    </row>
    <row r="2996">
      <c r="A2996" s="6">
        <f>Database!$A5081</f>
        <v/>
      </c>
      <c r="B2996">
        <f>IF(VLOOKUP(Table7[[#This Row],[Date]],Database!$A:$C,MATCH($B$1,Database!$A$1:$C$1,),)=0,#N/A,VLOOKUP(Table7[[#This Row],[Date]],Database!$A:$C,MATCH($B$1,Database!$A$1:$C$1,),))</f>
        <v/>
      </c>
      <c r="C2996">
        <f>IF(VLOOKUP(Table7[[#This Row],[Date]],Database!$A:$C,MATCH($C$1,Database!$A$1:$C$1,),)=0,#N/A,VLOOKUP(Table7[[#This Row],[Date]],Database!$A:$C,MATCH($C$1,Database!$A$1:$C$1,),))</f>
        <v/>
      </c>
      <c r="D2996">
        <f>IFERROR(Table7[[#This Row],[United States 10y]]-Table7[[#This Row],[United States 3y]],#N/A)</f>
        <v/>
      </c>
    </row>
    <row r="2997">
      <c r="A2997" s="6">
        <f>Database!$A5082</f>
        <v/>
      </c>
      <c r="B2997">
        <f>IF(VLOOKUP(Table7[[#This Row],[Date]],Database!$A:$C,MATCH($B$1,Database!$A$1:$C$1,),)=0,#N/A,VLOOKUP(Table7[[#This Row],[Date]],Database!$A:$C,MATCH($B$1,Database!$A$1:$C$1,),))</f>
        <v/>
      </c>
      <c r="C2997">
        <f>IF(VLOOKUP(Table7[[#This Row],[Date]],Database!$A:$C,MATCH($C$1,Database!$A$1:$C$1,),)=0,#N/A,VLOOKUP(Table7[[#This Row],[Date]],Database!$A:$C,MATCH($C$1,Database!$A$1:$C$1,),))</f>
        <v/>
      </c>
      <c r="D2997">
        <f>IFERROR(Table7[[#This Row],[United States 10y]]-Table7[[#This Row],[United States 3y]],#N/A)</f>
        <v/>
      </c>
    </row>
    <row r="2998">
      <c r="A2998" s="6">
        <f>Database!$A5083</f>
        <v/>
      </c>
      <c r="B2998">
        <f>IF(VLOOKUP(Table7[[#This Row],[Date]],Database!$A:$C,MATCH($B$1,Database!$A$1:$C$1,),)=0,#N/A,VLOOKUP(Table7[[#This Row],[Date]],Database!$A:$C,MATCH($B$1,Database!$A$1:$C$1,),))</f>
        <v/>
      </c>
      <c r="C2998">
        <f>IF(VLOOKUP(Table7[[#This Row],[Date]],Database!$A:$C,MATCH($C$1,Database!$A$1:$C$1,),)=0,#N/A,VLOOKUP(Table7[[#This Row],[Date]],Database!$A:$C,MATCH($C$1,Database!$A$1:$C$1,),))</f>
        <v/>
      </c>
      <c r="D2998">
        <f>IFERROR(Table7[[#This Row],[United States 10y]]-Table7[[#This Row],[United States 3y]],#N/A)</f>
        <v/>
      </c>
    </row>
    <row r="2999">
      <c r="A2999" s="6">
        <f>Database!$A5084</f>
        <v/>
      </c>
      <c r="B2999">
        <f>IF(VLOOKUP(Table7[[#This Row],[Date]],Database!$A:$C,MATCH($B$1,Database!$A$1:$C$1,),)=0,#N/A,VLOOKUP(Table7[[#This Row],[Date]],Database!$A:$C,MATCH($B$1,Database!$A$1:$C$1,),))</f>
        <v/>
      </c>
      <c r="C2999">
        <f>IF(VLOOKUP(Table7[[#This Row],[Date]],Database!$A:$C,MATCH($C$1,Database!$A$1:$C$1,),)=0,#N/A,VLOOKUP(Table7[[#This Row],[Date]],Database!$A:$C,MATCH($C$1,Database!$A$1:$C$1,),))</f>
        <v/>
      </c>
      <c r="D2999">
        <f>IFERROR(Table7[[#This Row],[United States 10y]]-Table7[[#This Row],[United States 3y]],#N/A)</f>
        <v/>
      </c>
    </row>
    <row r="3000">
      <c r="A3000" s="6">
        <f>Database!$A5085</f>
        <v/>
      </c>
      <c r="B3000">
        <f>IF(VLOOKUP(Table7[[#This Row],[Date]],Database!$A:$C,MATCH($B$1,Database!$A$1:$C$1,),)=0,#N/A,VLOOKUP(Table7[[#This Row],[Date]],Database!$A:$C,MATCH($B$1,Database!$A$1:$C$1,),))</f>
        <v/>
      </c>
      <c r="C3000">
        <f>IF(VLOOKUP(Table7[[#This Row],[Date]],Database!$A:$C,MATCH($C$1,Database!$A$1:$C$1,),)=0,#N/A,VLOOKUP(Table7[[#This Row],[Date]],Database!$A:$C,MATCH($C$1,Database!$A$1:$C$1,),))</f>
        <v/>
      </c>
      <c r="D3000">
        <f>IFERROR(Table7[[#This Row],[United States 10y]]-Table7[[#This Row],[United States 3y]],#N/A)</f>
        <v/>
      </c>
    </row>
    <row r="3001">
      <c r="A3001" s="6">
        <f>Database!$A5086</f>
        <v/>
      </c>
      <c r="B3001">
        <f>IF(VLOOKUP(Table7[[#This Row],[Date]],Database!$A:$C,MATCH($B$1,Database!$A$1:$C$1,),)=0,#N/A,VLOOKUP(Table7[[#This Row],[Date]],Database!$A:$C,MATCH($B$1,Database!$A$1:$C$1,),))</f>
        <v/>
      </c>
      <c r="C3001">
        <f>IF(VLOOKUP(Table7[[#This Row],[Date]],Database!$A:$C,MATCH($C$1,Database!$A$1:$C$1,),)=0,#N/A,VLOOKUP(Table7[[#This Row],[Date]],Database!$A:$C,MATCH($C$1,Database!$A$1:$C$1,),))</f>
        <v/>
      </c>
      <c r="D3001">
        <f>IFERROR(Table7[[#This Row],[United States 10y]]-Table7[[#This Row],[United States 3y]],#N/A)</f>
        <v/>
      </c>
    </row>
    <row r="3002">
      <c r="A3002" s="6">
        <f>Database!$A5087</f>
        <v/>
      </c>
      <c r="B3002">
        <f>IF(VLOOKUP(Table7[[#This Row],[Date]],Database!$A:$C,MATCH($B$1,Database!$A$1:$C$1,),)=0,#N/A,VLOOKUP(Table7[[#This Row],[Date]],Database!$A:$C,MATCH($B$1,Database!$A$1:$C$1,),))</f>
        <v/>
      </c>
      <c r="C3002">
        <f>IF(VLOOKUP(Table7[[#This Row],[Date]],Database!$A:$C,MATCH($C$1,Database!$A$1:$C$1,),)=0,#N/A,VLOOKUP(Table7[[#This Row],[Date]],Database!$A:$C,MATCH($C$1,Database!$A$1:$C$1,),))</f>
        <v/>
      </c>
      <c r="D3002">
        <f>IFERROR(Table7[[#This Row],[United States 10y]]-Table7[[#This Row],[United States 3y]],#N/A)</f>
        <v/>
      </c>
    </row>
    <row r="3003">
      <c r="A3003" s="6">
        <f>Database!$A5088</f>
        <v/>
      </c>
      <c r="B3003">
        <f>IF(VLOOKUP(Table7[[#This Row],[Date]],Database!$A:$C,MATCH($B$1,Database!$A$1:$C$1,),)=0,#N/A,VLOOKUP(Table7[[#This Row],[Date]],Database!$A:$C,MATCH($B$1,Database!$A$1:$C$1,),))</f>
        <v/>
      </c>
      <c r="C3003">
        <f>IF(VLOOKUP(Table7[[#This Row],[Date]],Database!$A:$C,MATCH($C$1,Database!$A$1:$C$1,),)=0,#N/A,VLOOKUP(Table7[[#This Row],[Date]],Database!$A:$C,MATCH($C$1,Database!$A$1:$C$1,),))</f>
        <v/>
      </c>
      <c r="D3003">
        <f>IFERROR(Table7[[#This Row],[United States 10y]]-Table7[[#This Row],[United States 3y]],#N/A)</f>
        <v/>
      </c>
    </row>
    <row r="3004">
      <c r="A3004" s="6">
        <f>Database!$A5089</f>
        <v/>
      </c>
      <c r="B3004">
        <f>IF(VLOOKUP(Table7[[#This Row],[Date]],Database!$A:$C,MATCH($B$1,Database!$A$1:$C$1,),)=0,#N/A,VLOOKUP(Table7[[#This Row],[Date]],Database!$A:$C,MATCH($B$1,Database!$A$1:$C$1,),))</f>
        <v/>
      </c>
      <c r="C3004">
        <f>IF(VLOOKUP(Table7[[#This Row],[Date]],Database!$A:$C,MATCH($C$1,Database!$A$1:$C$1,),)=0,#N/A,VLOOKUP(Table7[[#This Row],[Date]],Database!$A:$C,MATCH($C$1,Database!$A$1:$C$1,),))</f>
        <v/>
      </c>
      <c r="D3004">
        <f>IFERROR(Table7[[#This Row],[United States 10y]]-Table7[[#This Row],[United States 3y]],#N/A)</f>
        <v/>
      </c>
    </row>
    <row r="3005">
      <c r="A3005" s="6">
        <f>Database!$A5090</f>
        <v/>
      </c>
      <c r="B3005">
        <f>IF(VLOOKUP(Table7[[#This Row],[Date]],Database!$A:$C,MATCH($B$1,Database!$A$1:$C$1,),)=0,#N/A,VLOOKUP(Table7[[#This Row],[Date]],Database!$A:$C,MATCH($B$1,Database!$A$1:$C$1,),))</f>
        <v/>
      </c>
      <c r="C3005">
        <f>IF(VLOOKUP(Table7[[#This Row],[Date]],Database!$A:$C,MATCH($C$1,Database!$A$1:$C$1,),)=0,#N/A,VLOOKUP(Table7[[#This Row],[Date]],Database!$A:$C,MATCH($C$1,Database!$A$1:$C$1,),))</f>
        <v/>
      </c>
      <c r="D3005">
        <f>IFERROR(Table7[[#This Row],[United States 10y]]-Table7[[#This Row],[United States 3y]],#N/A)</f>
        <v/>
      </c>
    </row>
    <row r="3006">
      <c r="A3006" s="6">
        <f>Database!$A5091</f>
        <v/>
      </c>
      <c r="B3006">
        <f>IF(VLOOKUP(Table7[[#This Row],[Date]],Database!$A:$C,MATCH($B$1,Database!$A$1:$C$1,),)=0,#N/A,VLOOKUP(Table7[[#This Row],[Date]],Database!$A:$C,MATCH($B$1,Database!$A$1:$C$1,),))</f>
        <v/>
      </c>
      <c r="C3006">
        <f>IF(VLOOKUP(Table7[[#This Row],[Date]],Database!$A:$C,MATCH($C$1,Database!$A$1:$C$1,),)=0,#N/A,VLOOKUP(Table7[[#This Row],[Date]],Database!$A:$C,MATCH($C$1,Database!$A$1:$C$1,),))</f>
        <v/>
      </c>
      <c r="D3006">
        <f>IFERROR(Table7[[#This Row],[United States 10y]]-Table7[[#This Row],[United States 3y]],#N/A)</f>
        <v/>
      </c>
    </row>
    <row r="3007">
      <c r="A3007" s="6">
        <f>Database!$A5092</f>
        <v/>
      </c>
      <c r="B3007">
        <f>IF(VLOOKUP(Table7[[#This Row],[Date]],Database!$A:$C,MATCH($B$1,Database!$A$1:$C$1,),)=0,#N/A,VLOOKUP(Table7[[#This Row],[Date]],Database!$A:$C,MATCH($B$1,Database!$A$1:$C$1,),))</f>
        <v/>
      </c>
      <c r="C3007">
        <f>IF(VLOOKUP(Table7[[#This Row],[Date]],Database!$A:$C,MATCH($C$1,Database!$A$1:$C$1,),)=0,#N/A,VLOOKUP(Table7[[#This Row],[Date]],Database!$A:$C,MATCH($C$1,Database!$A$1:$C$1,),))</f>
        <v/>
      </c>
      <c r="D3007">
        <f>IFERROR(Table7[[#This Row],[United States 10y]]-Table7[[#This Row],[United States 3y]],#N/A)</f>
        <v/>
      </c>
    </row>
    <row r="3008">
      <c r="A3008" s="6">
        <f>Database!$A5093</f>
        <v/>
      </c>
      <c r="B3008">
        <f>IF(VLOOKUP(Table7[[#This Row],[Date]],Database!$A:$C,MATCH($B$1,Database!$A$1:$C$1,),)=0,#N/A,VLOOKUP(Table7[[#This Row],[Date]],Database!$A:$C,MATCH($B$1,Database!$A$1:$C$1,),))</f>
        <v/>
      </c>
      <c r="C3008">
        <f>IF(VLOOKUP(Table7[[#This Row],[Date]],Database!$A:$C,MATCH($C$1,Database!$A$1:$C$1,),)=0,#N/A,VLOOKUP(Table7[[#This Row],[Date]],Database!$A:$C,MATCH($C$1,Database!$A$1:$C$1,),))</f>
        <v/>
      </c>
      <c r="D3008">
        <f>IFERROR(Table7[[#This Row],[United States 10y]]-Table7[[#This Row],[United States 3y]],#N/A)</f>
        <v/>
      </c>
    </row>
    <row r="3009">
      <c r="A3009" s="6">
        <f>Database!$A5094</f>
        <v/>
      </c>
      <c r="B3009">
        <f>IF(VLOOKUP(Table7[[#This Row],[Date]],Database!$A:$C,MATCH($B$1,Database!$A$1:$C$1,),)=0,#N/A,VLOOKUP(Table7[[#This Row],[Date]],Database!$A:$C,MATCH($B$1,Database!$A$1:$C$1,),))</f>
        <v/>
      </c>
      <c r="C3009">
        <f>IF(VLOOKUP(Table7[[#This Row],[Date]],Database!$A:$C,MATCH($C$1,Database!$A$1:$C$1,),)=0,#N/A,VLOOKUP(Table7[[#This Row],[Date]],Database!$A:$C,MATCH($C$1,Database!$A$1:$C$1,),))</f>
        <v/>
      </c>
      <c r="D3009">
        <f>IFERROR(Table7[[#This Row],[United States 10y]]-Table7[[#This Row],[United States 3y]],#N/A)</f>
        <v/>
      </c>
    </row>
    <row r="3010">
      <c r="A3010" s="6">
        <f>Database!$A5095</f>
        <v/>
      </c>
      <c r="B3010">
        <f>IF(VLOOKUP(Table7[[#This Row],[Date]],Database!$A:$C,MATCH($B$1,Database!$A$1:$C$1,),)=0,#N/A,VLOOKUP(Table7[[#This Row],[Date]],Database!$A:$C,MATCH($B$1,Database!$A$1:$C$1,),))</f>
        <v/>
      </c>
      <c r="C3010">
        <f>IF(VLOOKUP(Table7[[#This Row],[Date]],Database!$A:$C,MATCH($C$1,Database!$A$1:$C$1,),)=0,#N/A,VLOOKUP(Table7[[#This Row],[Date]],Database!$A:$C,MATCH($C$1,Database!$A$1:$C$1,),))</f>
        <v/>
      </c>
      <c r="D3010">
        <f>IFERROR(Table7[[#This Row],[United States 10y]]-Table7[[#This Row],[United States 3y]],#N/A)</f>
        <v/>
      </c>
    </row>
    <row r="3011">
      <c r="A3011" s="6">
        <f>Database!$A5096</f>
        <v/>
      </c>
      <c r="B3011">
        <f>IF(VLOOKUP(Table7[[#This Row],[Date]],Database!$A:$C,MATCH($B$1,Database!$A$1:$C$1,),)=0,#N/A,VLOOKUP(Table7[[#This Row],[Date]],Database!$A:$C,MATCH($B$1,Database!$A$1:$C$1,),))</f>
        <v/>
      </c>
      <c r="C3011">
        <f>IF(VLOOKUP(Table7[[#This Row],[Date]],Database!$A:$C,MATCH($C$1,Database!$A$1:$C$1,),)=0,#N/A,VLOOKUP(Table7[[#This Row],[Date]],Database!$A:$C,MATCH($C$1,Database!$A$1:$C$1,),))</f>
        <v/>
      </c>
      <c r="D3011">
        <f>IFERROR(Table7[[#This Row],[United States 10y]]-Table7[[#This Row],[United States 3y]],#N/A)</f>
        <v/>
      </c>
    </row>
    <row r="3012">
      <c r="A3012" s="6">
        <f>Database!$A5097</f>
        <v/>
      </c>
      <c r="B3012">
        <f>IF(VLOOKUP(Table7[[#This Row],[Date]],Database!$A:$C,MATCH($B$1,Database!$A$1:$C$1,),)=0,#N/A,VLOOKUP(Table7[[#This Row],[Date]],Database!$A:$C,MATCH($B$1,Database!$A$1:$C$1,),))</f>
        <v/>
      </c>
      <c r="C3012">
        <f>IF(VLOOKUP(Table7[[#This Row],[Date]],Database!$A:$C,MATCH($C$1,Database!$A$1:$C$1,),)=0,#N/A,VLOOKUP(Table7[[#This Row],[Date]],Database!$A:$C,MATCH($C$1,Database!$A$1:$C$1,),))</f>
        <v/>
      </c>
      <c r="D3012">
        <f>IFERROR(Table7[[#This Row],[United States 10y]]-Table7[[#This Row],[United States 3y]],#N/A)</f>
        <v/>
      </c>
    </row>
    <row r="3013">
      <c r="A3013" s="6">
        <f>Database!$A5098</f>
        <v/>
      </c>
      <c r="B3013">
        <f>IF(VLOOKUP(Table7[[#This Row],[Date]],Database!$A:$C,MATCH($B$1,Database!$A$1:$C$1,),)=0,#N/A,VLOOKUP(Table7[[#This Row],[Date]],Database!$A:$C,MATCH($B$1,Database!$A$1:$C$1,),))</f>
        <v/>
      </c>
      <c r="C3013">
        <f>IF(VLOOKUP(Table7[[#This Row],[Date]],Database!$A:$C,MATCH($C$1,Database!$A$1:$C$1,),)=0,#N/A,VLOOKUP(Table7[[#This Row],[Date]],Database!$A:$C,MATCH($C$1,Database!$A$1:$C$1,),))</f>
        <v/>
      </c>
      <c r="D3013">
        <f>IFERROR(Table7[[#This Row],[United States 10y]]-Table7[[#This Row],[United States 3y]],#N/A)</f>
        <v/>
      </c>
    </row>
    <row r="3014">
      <c r="A3014" s="6">
        <f>Database!$A5099</f>
        <v/>
      </c>
      <c r="B3014">
        <f>IF(VLOOKUP(Table7[[#This Row],[Date]],Database!$A:$C,MATCH($B$1,Database!$A$1:$C$1,),)=0,#N/A,VLOOKUP(Table7[[#This Row],[Date]],Database!$A:$C,MATCH($B$1,Database!$A$1:$C$1,),))</f>
        <v/>
      </c>
      <c r="C3014">
        <f>IF(VLOOKUP(Table7[[#This Row],[Date]],Database!$A:$C,MATCH($C$1,Database!$A$1:$C$1,),)=0,#N/A,VLOOKUP(Table7[[#This Row],[Date]],Database!$A:$C,MATCH($C$1,Database!$A$1:$C$1,),))</f>
        <v/>
      </c>
      <c r="D3014">
        <f>IFERROR(Table7[[#This Row],[United States 10y]]-Table7[[#This Row],[United States 3y]],#N/A)</f>
        <v/>
      </c>
    </row>
    <row r="3015">
      <c r="A3015" s="6">
        <f>Database!$A5100</f>
        <v/>
      </c>
      <c r="B3015">
        <f>IF(VLOOKUP(Table7[[#This Row],[Date]],Database!$A:$C,MATCH($B$1,Database!$A$1:$C$1,),)=0,#N/A,VLOOKUP(Table7[[#This Row],[Date]],Database!$A:$C,MATCH($B$1,Database!$A$1:$C$1,),))</f>
        <v/>
      </c>
      <c r="C3015">
        <f>IF(VLOOKUP(Table7[[#This Row],[Date]],Database!$A:$C,MATCH($C$1,Database!$A$1:$C$1,),)=0,#N/A,VLOOKUP(Table7[[#This Row],[Date]],Database!$A:$C,MATCH($C$1,Database!$A$1:$C$1,),))</f>
        <v/>
      </c>
      <c r="D3015">
        <f>IFERROR(Table7[[#This Row],[United States 10y]]-Table7[[#This Row],[United States 3y]],#N/A)</f>
        <v/>
      </c>
    </row>
    <row r="3016">
      <c r="A3016" s="6">
        <f>Database!$A5101</f>
        <v/>
      </c>
      <c r="B3016">
        <f>IF(VLOOKUP(Table7[[#This Row],[Date]],Database!$A:$C,MATCH($B$1,Database!$A$1:$C$1,),)=0,#N/A,VLOOKUP(Table7[[#This Row],[Date]],Database!$A:$C,MATCH($B$1,Database!$A$1:$C$1,),))</f>
        <v/>
      </c>
      <c r="C3016">
        <f>IF(VLOOKUP(Table7[[#This Row],[Date]],Database!$A:$C,MATCH($C$1,Database!$A$1:$C$1,),)=0,#N/A,VLOOKUP(Table7[[#This Row],[Date]],Database!$A:$C,MATCH($C$1,Database!$A$1:$C$1,),))</f>
        <v/>
      </c>
      <c r="D3016">
        <f>IFERROR(Table7[[#This Row],[United States 10y]]-Table7[[#This Row],[United States 3y]],#N/A)</f>
        <v/>
      </c>
    </row>
    <row r="3017">
      <c r="A3017" s="6">
        <f>Database!$A5102</f>
        <v/>
      </c>
      <c r="B3017">
        <f>IF(VLOOKUP(Table7[[#This Row],[Date]],Database!$A:$C,MATCH($B$1,Database!$A$1:$C$1,),)=0,#N/A,VLOOKUP(Table7[[#This Row],[Date]],Database!$A:$C,MATCH($B$1,Database!$A$1:$C$1,),))</f>
        <v/>
      </c>
      <c r="C3017">
        <f>IF(VLOOKUP(Table7[[#This Row],[Date]],Database!$A:$C,MATCH($C$1,Database!$A$1:$C$1,),)=0,#N/A,VLOOKUP(Table7[[#This Row],[Date]],Database!$A:$C,MATCH($C$1,Database!$A$1:$C$1,),))</f>
        <v/>
      </c>
      <c r="D3017">
        <f>IFERROR(Table7[[#This Row],[United States 10y]]-Table7[[#This Row],[United States 3y]],#N/A)</f>
        <v/>
      </c>
    </row>
    <row r="3018">
      <c r="A3018" s="6">
        <f>Database!$A5103</f>
        <v/>
      </c>
      <c r="B3018">
        <f>IF(VLOOKUP(Table7[[#This Row],[Date]],Database!$A:$C,MATCH($B$1,Database!$A$1:$C$1,),)=0,#N/A,VLOOKUP(Table7[[#This Row],[Date]],Database!$A:$C,MATCH($B$1,Database!$A$1:$C$1,),))</f>
        <v/>
      </c>
      <c r="C3018">
        <f>IF(VLOOKUP(Table7[[#This Row],[Date]],Database!$A:$C,MATCH($C$1,Database!$A$1:$C$1,),)=0,#N/A,VLOOKUP(Table7[[#This Row],[Date]],Database!$A:$C,MATCH($C$1,Database!$A$1:$C$1,),))</f>
        <v/>
      </c>
      <c r="D3018">
        <f>IFERROR(Table7[[#This Row],[United States 10y]]-Table7[[#This Row],[United States 3y]],#N/A)</f>
        <v/>
      </c>
    </row>
    <row r="3019">
      <c r="A3019" s="6">
        <f>Database!$A5104</f>
        <v/>
      </c>
      <c r="B3019">
        <f>IF(VLOOKUP(Table7[[#This Row],[Date]],Database!$A:$C,MATCH($B$1,Database!$A$1:$C$1,),)=0,#N/A,VLOOKUP(Table7[[#This Row],[Date]],Database!$A:$C,MATCH($B$1,Database!$A$1:$C$1,),))</f>
        <v/>
      </c>
      <c r="C3019">
        <f>IF(VLOOKUP(Table7[[#This Row],[Date]],Database!$A:$C,MATCH($C$1,Database!$A$1:$C$1,),)=0,#N/A,VLOOKUP(Table7[[#This Row],[Date]],Database!$A:$C,MATCH($C$1,Database!$A$1:$C$1,),))</f>
        <v/>
      </c>
      <c r="D3019">
        <f>IFERROR(Table7[[#This Row],[United States 10y]]-Table7[[#This Row],[United States 3y]],#N/A)</f>
        <v/>
      </c>
    </row>
    <row r="3020">
      <c r="A3020" s="6">
        <f>Database!$A5105</f>
        <v/>
      </c>
      <c r="B3020">
        <f>IF(VLOOKUP(Table7[[#This Row],[Date]],Database!$A:$C,MATCH($B$1,Database!$A$1:$C$1,),)=0,#N/A,VLOOKUP(Table7[[#This Row],[Date]],Database!$A:$C,MATCH($B$1,Database!$A$1:$C$1,),))</f>
        <v/>
      </c>
      <c r="C3020">
        <f>IF(VLOOKUP(Table7[[#This Row],[Date]],Database!$A:$C,MATCH($C$1,Database!$A$1:$C$1,),)=0,#N/A,VLOOKUP(Table7[[#This Row],[Date]],Database!$A:$C,MATCH($C$1,Database!$A$1:$C$1,),))</f>
        <v/>
      </c>
      <c r="D3020">
        <f>IFERROR(Table7[[#This Row],[United States 10y]]-Table7[[#This Row],[United States 3y]],#N/A)</f>
        <v/>
      </c>
    </row>
    <row r="3021">
      <c r="A3021" s="6">
        <f>Database!$A5106</f>
        <v/>
      </c>
      <c r="B3021">
        <f>IF(VLOOKUP(Table7[[#This Row],[Date]],Database!$A:$C,MATCH($B$1,Database!$A$1:$C$1,),)=0,#N/A,VLOOKUP(Table7[[#This Row],[Date]],Database!$A:$C,MATCH($B$1,Database!$A$1:$C$1,),))</f>
        <v/>
      </c>
      <c r="C3021">
        <f>IF(VLOOKUP(Table7[[#This Row],[Date]],Database!$A:$C,MATCH($C$1,Database!$A$1:$C$1,),)=0,#N/A,VLOOKUP(Table7[[#This Row],[Date]],Database!$A:$C,MATCH($C$1,Database!$A$1:$C$1,),))</f>
        <v/>
      </c>
      <c r="D3021">
        <f>IFERROR(Table7[[#This Row],[United States 10y]]-Table7[[#This Row],[United States 3y]],#N/A)</f>
        <v/>
      </c>
    </row>
    <row r="3022">
      <c r="A3022" s="6">
        <f>Database!$A5107</f>
        <v/>
      </c>
      <c r="B3022">
        <f>IF(VLOOKUP(Table7[[#This Row],[Date]],Database!$A:$C,MATCH($B$1,Database!$A$1:$C$1,),)=0,#N/A,VLOOKUP(Table7[[#This Row],[Date]],Database!$A:$C,MATCH($B$1,Database!$A$1:$C$1,),))</f>
        <v/>
      </c>
      <c r="C3022">
        <f>IF(VLOOKUP(Table7[[#This Row],[Date]],Database!$A:$C,MATCH($C$1,Database!$A$1:$C$1,),)=0,#N/A,VLOOKUP(Table7[[#This Row],[Date]],Database!$A:$C,MATCH($C$1,Database!$A$1:$C$1,),))</f>
        <v/>
      </c>
      <c r="D3022">
        <f>IFERROR(Table7[[#This Row],[United States 10y]]-Table7[[#This Row],[United States 3y]],#N/A)</f>
        <v/>
      </c>
    </row>
    <row r="3023">
      <c r="A3023" s="6">
        <f>Database!$A5108</f>
        <v/>
      </c>
      <c r="B3023">
        <f>IF(VLOOKUP(Table7[[#This Row],[Date]],Database!$A:$C,MATCH($B$1,Database!$A$1:$C$1,),)=0,#N/A,VLOOKUP(Table7[[#This Row],[Date]],Database!$A:$C,MATCH($B$1,Database!$A$1:$C$1,),))</f>
        <v/>
      </c>
      <c r="C3023">
        <f>IF(VLOOKUP(Table7[[#This Row],[Date]],Database!$A:$C,MATCH($C$1,Database!$A$1:$C$1,),)=0,#N/A,VLOOKUP(Table7[[#This Row],[Date]],Database!$A:$C,MATCH($C$1,Database!$A$1:$C$1,),))</f>
        <v/>
      </c>
      <c r="D3023">
        <f>IFERROR(Table7[[#This Row],[United States 10y]]-Table7[[#This Row],[United States 3y]],#N/A)</f>
        <v/>
      </c>
    </row>
    <row r="3024">
      <c r="A3024" s="6">
        <f>Database!$A5109</f>
        <v/>
      </c>
      <c r="B3024">
        <f>IF(VLOOKUP(Table7[[#This Row],[Date]],Database!$A:$C,MATCH($B$1,Database!$A$1:$C$1,),)=0,#N/A,VLOOKUP(Table7[[#This Row],[Date]],Database!$A:$C,MATCH($B$1,Database!$A$1:$C$1,),))</f>
        <v/>
      </c>
      <c r="C3024">
        <f>IF(VLOOKUP(Table7[[#This Row],[Date]],Database!$A:$C,MATCH($C$1,Database!$A$1:$C$1,),)=0,#N/A,VLOOKUP(Table7[[#This Row],[Date]],Database!$A:$C,MATCH($C$1,Database!$A$1:$C$1,),))</f>
        <v/>
      </c>
      <c r="D3024">
        <f>IFERROR(Table7[[#This Row],[United States 10y]]-Table7[[#This Row],[United States 3y]],#N/A)</f>
        <v/>
      </c>
    </row>
    <row r="3025">
      <c r="A3025" s="6">
        <f>Database!$A5110</f>
        <v/>
      </c>
      <c r="B3025">
        <f>IF(VLOOKUP(Table7[[#This Row],[Date]],Database!$A:$C,MATCH($B$1,Database!$A$1:$C$1,),)=0,#N/A,VLOOKUP(Table7[[#This Row],[Date]],Database!$A:$C,MATCH($B$1,Database!$A$1:$C$1,),))</f>
        <v/>
      </c>
      <c r="C3025">
        <f>IF(VLOOKUP(Table7[[#This Row],[Date]],Database!$A:$C,MATCH($C$1,Database!$A$1:$C$1,),)=0,#N/A,VLOOKUP(Table7[[#This Row],[Date]],Database!$A:$C,MATCH($C$1,Database!$A$1:$C$1,),))</f>
        <v/>
      </c>
      <c r="D3025">
        <f>IFERROR(Table7[[#This Row],[United States 10y]]-Table7[[#This Row],[United States 3y]],#N/A)</f>
        <v/>
      </c>
    </row>
    <row r="3026">
      <c r="A3026" s="6">
        <f>Database!$A5111</f>
        <v/>
      </c>
      <c r="B3026">
        <f>IF(VLOOKUP(Table7[[#This Row],[Date]],Database!$A:$C,MATCH($B$1,Database!$A$1:$C$1,),)=0,#N/A,VLOOKUP(Table7[[#This Row],[Date]],Database!$A:$C,MATCH($B$1,Database!$A$1:$C$1,),))</f>
        <v/>
      </c>
      <c r="C3026">
        <f>IF(VLOOKUP(Table7[[#This Row],[Date]],Database!$A:$C,MATCH($C$1,Database!$A$1:$C$1,),)=0,#N/A,VLOOKUP(Table7[[#This Row],[Date]],Database!$A:$C,MATCH($C$1,Database!$A$1:$C$1,),))</f>
        <v/>
      </c>
      <c r="D3026">
        <f>IFERROR(Table7[[#This Row],[United States 10y]]-Table7[[#This Row],[United States 3y]],#N/A)</f>
        <v/>
      </c>
    </row>
    <row r="3027">
      <c r="A3027" s="6">
        <f>Database!$A5112</f>
        <v/>
      </c>
      <c r="B3027">
        <f>IF(VLOOKUP(Table7[[#This Row],[Date]],Database!$A:$C,MATCH($B$1,Database!$A$1:$C$1,),)=0,#N/A,VLOOKUP(Table7[[#This Row],[Date]],Database!$A:$C,MATCH($B$1,Database!$A$1:$C$1,),))</f>
        <v/>
      </c>
      <c r="C3027">
        <f>IF(VLOOKUP(Table7[[#This Row],[Date]],Database!$A:$C,MATCH($C$1,Database!$A$1:$C$1,),)=0,#N/A,VLOOKUP(Table7[[#This Row],[Date]],Database!$A:$C,MATCH($C$1,Database!$A$1:$C$1,),))</f>
        <v/>
      </c>
      <c r="D3027">
        <f>IFERROR(Table7[[#This Row],[United States 10y]]-Table7[[#This Row],[United States 3y]],#N/A)</f>
        <v/>
      </c>
    </row>
    <row r="3028">
      <c r="A3028" s="6">
        <f>Database!$A5113</f>
        <v/>
      </c>
      <c r="B3028">
        <f>IF(VLOOKUP(Table7[[#This Row],[Date]],Database!$A:$C,MATCH($B$1,Database!$A$1:$C$1,),)=0,#N/A,VLOOKUP(Table7[[#This Row],[Date]],Database!$A:$C,MATCH($B$1,Database!$A$1:$C$1,),))</f>
        <v/>
      </c>
      <c r="C3028">
        <f>IF(VLOOKUP(Table7[[#This Row],[Date]],Database!$A:$C,MATCH($C$1,Database!$A$1:$C$1,),)=0,#N/A,VLOOKUP(Table7[[#This Row],[Date]],Database!$A:$C,MATCH($C$1,Database!$A$1:$C$1,),))</f>
        <v/>
      </c>
      <c r="D3028">
        <f>IFERROR(Table7[[#This Row],[United States 10y]]-Table7[[#This Row],[United States 3y]],#N/A)</f>
        <v/>
      </c>
    </row>
    <row r="3029">
      <c r="A3029" s="6">
        <f>Database!$A5114</f>
        <v/>
      </c>
      <c r="B3029">
        <f>IF(VLOOKUP(Table7[[#This Row],[Date]],Database!$A:$C,MATCH($B$1,Database!$A$1:$C$1,),)=0,#N/A,VLOOKUP(Table7[[#This Row],[Date]],Database!$A:$C,MATCH($B$1,Database!$A$1:$C$1,),))</f>
        <v/>
      </c>
      <c r="C3029">
        <f>IF(VLOOKUP(Table7[[#This Row],[Date]],Database!$A:$C,MATCH($C$1,Database!$A$1:$C$1,),)=0,#N/A,VLOOKUP(Table7[[#This Row],[Date]],Database!$A:$C,MATCH($C$1,Database!$A$1:$C$1,),))</f>
        <v/>
      </c>
      <c r="D3029">
        <f>IFERROR(Table7[[#This Row],[United States 10y]]-Table7[[#This Row],[United States 3y]],#N/A)</f>
        <v/>
      </c>
    </row>
    <row r="3030">
      <c r="A3030" s="6">
        <f>Database!$A5115</f>
        <v/>
      </c>
      <c r="B3030">
        <f>IF(VLOOKUP(Table7[[#This Row],[Date]],Database!$A:$C,MATCH($B$1,Database!$A$1:$C$1,),)=0,#N/A,VLOOKUP(Table7[[#This Row],[Date]],Database!$A:$C,MATCH($B$1,Database!$A$1:$C$1,),))</f>
        <v/>
      </c>
      <c r="C3030">
        <f>IF(VLOOKUP(Table7[[#This Row],[Date]],Database!$A:$C,MATCH($C$1,Database!$A$1:$C$1,),)=0,#N/A,VLOOKUP(Table7[[#This Row],[Date]],Database!$A:$C,MATCH($C$1,Database!$A$1:$C$1,),))</f>
        <v/>
      </c>
      <c r="D3030">
        <f>IFERROR(Table7[[#This Row],[United States 10y]]-Table7[[#This Row],[United States 3y]],#N/A)</f>
        <v/>
      </c>
    </row>
    <row r="3031">
      <c r="A3031" s="6">
        <f>Database!$A5116</f>
        <v/>
      </c>
      <c r="B3031">
        <f>IF(VLOOKUP(Table7[[#This Row],[Date]],Database!$A:$C,MATCH($B$1,Database!$A$1:$C$1,),)=0,#N/A,VLOOKUP(Table7[[#This Row],[Date]],Database!$A:$C,MATCH($B$1,Database!$A$1:$C$1,),))</f>
        <v/>
      </c>
      <c r="C3031">
        <f>IF(VLOOKUP(Table7[[#This Row],[Date]],Database!$A:$C,MATCH($C$1,Database!$A$1:$C$1,),)=0,#N/A,VLOOKUP(Table7[[#This Row],[Date]],Database!$A:$C,MATCH($C$1,Database!$A$1:$C$1,),))</f>
        <v/>
      </c>
      <c r="D3031">
        <f>IFERROR(Table7[[#This Row],[United States 10y]]-Table7[[#This Row],[United States 3y]],#N/A)</f>
        <v/>
      </c>
    </row>
    <row r="3032">
      <c r="A3032" s="6">
        <f>Database!$A5117</f>
        <v/>
      </c>
      <c r="B3032">
        <f>IF(VLOOKUP(Table7[[#This Row],[Date]],Database!$A:$C,MATCH($B$1,Database!$A$1:$C$1,),)=0,#N/A,VLOOKUP(Table7[[#This Row],[Date]],Database!$A:$C,MATCH($B$1,Database!$A$1:$C$1,),))</f>
        <v/>
      </c>
      <c r="C3032">
        <f>IF(VLOOKUP(Table7[[#This Row],[Date]],Database!$A:$C,MATCH($C$1,Database!$A$1:$C$1,),)=0,#N/A,VLOOKUP(Table7[[#This Row],[Date]],Database!$A:$C,MATCH($C$1,Database!$A$1:$C$1,),))</f>
        <v/>
      </c>
      <c r="D3032">
        <f>IFERROR(Table7[[#This Row],[United States 10y]]-Table7[[#This Row],[United States 3y]],#N/A)</f>
        <v/>
      </c>
    </row>
    <row r="3033">
      <c r="A3033" s="6">
        <f>Database!$A5118</f>
        <v/>
      </c>
      <c r="B3033">
        <f>IF(VLOOKUP(Table7[[#This Row],[Date]],Database!$A:$C,MATCH($B$1,Database!$A$1:$C$1,),)=0,#N/A,VLOOKUP(Table7[[#This Row],[Date]],Database!$A:$C,MATCH($B$1,Database!$A$1:$C$1,),))</f>
        <v/>
      </c>
      <c r="C3033">
        <f>IF(VLOOKUP(Table7[[#This Row],[Date]],Database!$A:$C,MATCH($C$1,Database!$A$1:$C$1,),)=0,#N/A,VLOOKUP(Table7[[#This Row],[Date]],Database!$A:$C,MATCH($C$1,Database!$A$1:$C$1,),))</f>
        <v/>
      </c>
      <c r="D3033">
        <f>IFERROR(Table7[[#This Row],[United States 10y]]-Table7[[#This Row],[United States 3y]],#N/A)</f>
        <v/>
      </c>
    </row>
    <row r="3034">
      <c r="A3034" s="6">
        <f>Database!$A5119</f>
        <v/>
      </c>
      <c r="B3034">
        <f>IF(VLOOKUP(Table7[[#This Row],[Date]],Database!$A:$C,MATCH($B$1,Database!$A$1:$C$1,),)=0,#N/A,VLOOKUP(Table7[[#This Row],[Date]],Database!$A:$C,MATCH($B$1,Database!$A$1:$C$1,),))</f>
        <v/>
      </c>
      <c r="C3034">
        <f>IF(VLOOKUP(Table7[[#This Row],[Date]],Database!$A:$C,MATCH($C$1,Database!$A$1:$C$1,),)=0,#N/A,VLOOKUP(Table7[[#This Row],[Date]],Database!$A:$C,MATCH($C$1,Database!$A$1:$C$1,),))</f>
        <v/>
      </c>
      <c r="D3034">
        <f>IFERROR(Table7[[#This Row],[United States 10y]]-Table7[[#This Row],[United States 3y]],#N/A)</f>
        <v/>
      </c>
    </row>
    <row r="3035">
      <c r="A3035" s="6">
        <f>Database!$A5120</f>
        <v/>
      </c>
      <c r="B3035">
        <f>IF(VLOOKUP(Table7[[#This Row],[Date]],Database!$A:$C,MATCH($B$1,Database!$A$1:$C$1,),)=0,#N/A,VLOOKUP(Table7[[#This Row],[Date]],Database!$A:$C,MATCH($B$1,Database!$A$1:$C$1,),))</f>
        <v/>
      </c>
      <c r="C3035">
        <f>IF(VLOOKUP(Table7[[#This Row],[Date]],Database!$A:$C,MATCH($C$1,Database!$A$1:$C$1,),)=0,#N/A,VLOOKUP(Table7[[#This Row],[Date]],Database!$A:$C,MATCH($C$1,Database!$A$1:$C$1,),))</f>
        <v/>
      </c>
      <c r="D3035">
        <f>IFERROR(Table7[[#This Row],[United States 10y]]-Table7[[#This Row],[United States 3y]],#N/A)</f>
        <v/>
      </c>
    </row>
    <row r="3036">
      <c r="A3036" s="6">
        <f>Database!$A5121</f>
        <v/>
      </c>
      <c r="B3036">
        <f>IF(VLOOKUP(Table7[[#This Row],[Date]],Database!$A:$C,MATCH($B$1,Database!$A$1:$C$1,),)=0,#N/A,VLOOKUP(Table7[[#This Row],[Date]],Database!$A:$C,MATCH($B$1,Database!$A$1:$C$1,),))</f>
        <v/>
      </c>
      <c r="C3036">
        <f>IF(VLOOKUP(Table7[[#This Row],[Date]],Database!$A:$C,MATCH($C$1,Database!$A$1:$C$1,),)=0,#N/A,VLOOKUP(Table7[[#This Row],[Date]],Database!$A:$C,MATCH($C$1,Database!$A$1:$C$1,),))</f>
        <v/>
      </c>
      <c r="D3036">
        <f>IFERROR(Table7[[#This Row],[United States 10y]]-Table7[[#This Row],[United States 3y]],#N/A)</f>
        <v/>
      </c>
    </row>
    <row r="3037">
      <c r="A3037" s="6">
        <f>Database!$A5122</f>
        <v/>
      </c>
      <c r="B3037">
        <f>IF(VLOOKUP(Table7[[#This Row],[Date]],Database!$A:$C,MATCH($B$1,Database!$A$1:$C$1,),)=0,#N/A,VLOOKUP(Table7[[#This Row],[Date]],Database!$A:$C,MATCH($B$1,Database!$A$1:$C$1,),))</f>
        <v/>
      </c>
      <c r="C3037">
        <f>IF(VLOOKUP(Table7[[#This Row],[Date]],Database!$A:$C,MATCH($C$1,Database!$A$1:$C$1,),)=0,#N/A,VLOOKUP(Table7[[#This Row],[Date]],Database!$A:$C,MATCH($C$1,Database!$A$1:$C$1,),))</f>
        <v/>
      </c>
      <c r="D3037">
        <f>IFERROR(Table7[[#This Row],[United States 10y]]-Table7[[#This Row],[United States 3y]],#N/A)</f>
        <v/>
      </c>
    </row>
    <row r="3038">
      <c r="A3038" s="6">
        <f>Database!$A5123</f>
        <v/>
      </c>
      <c r="B3038">
        <f>IF(VLOOKUP(Table7[[#This Row],[Date]],Database!$A:$C,MATCH($B$1,Database!$A$1:$C$1,),)=0,#N/A,VLOOKUP(Table7[[#This Row],[Date]],Database!$A:$C,MATCH($B$1,Database!$A$1:$C$1,),))</f>
        <v/>
      </c>
      <c r="C3038">
        <f>IF(VLOOKUP(Table7[[#This Row],[Date]],Database!$A:$C,MATCH($C$1,Database!$A$1:$C$1,),)=0,#N/A,VLOOKUP(Table7[[#This Row],[Date]],Database!$A:$C,MATCH($C$1,Database!$A$1:$C$1,),))</f>
        <v/>
      </c>
      <c r="D3038">
        <f>IFERROR(Table7[[#This Row],[United States 10y]]-Table7[[#This Row],[United States 3y]],#N/A)</f>
        <v/>
      </c>
    </row>
    <row r="3039">
      <c r="A3039" s="6">
        <f>Database!$A5124</f>
        <v/>
      </c>
      <c r="B3039">
        <f>IF(VLOOKUP(Table7[[#This Row],[Date]],Database!$A:$C,MATCH($B$1,Database!$A$1:$C$1,),)=0,#N/A,VLOOKUP(Table7[[#This Row],[Date]],Database!$A:$C,MATCH($B$1,Database!$A$1:$C$1,),))</f>
        <v/>
      </c>
      <c r="C3039">
        <f>IF(VLOOKUP(Table7[[#This Row],[Date]],Database!$A:$C,MATCH($C$1,Database!$A$1:$C$1,),)=0,#N/A,VLOOKUP(Table7[[#This Row],[Date]],Database!$A:$C,MATCH($C$1,Database!$A$1:$C$1,),))</f>
        <v/>
      </c>
      <c r="D3039">
        <f>IFERROR(Table7[[#This Row],[United States 10y]]-Table7[[#This Row],[United States 3y]],#N/A)</f>
        <v/>
      </c>
    </row>
    <row r="3040">
      <c r="A3040" s="6">
        <f>Database!$A5125</f>
        <v/>
      </c>
      <c r="B3040">
        <f>IF(VLOOKUP(Table7[[#This Row],[Date]],Database!$A:$C,MATCH($B$1,Database!$A$1:$C$1,),)=0,#N/A,VLOOKUP(Table7[[#This Row],[Date]],Database!$A:$C,MATCH($B$1,Database!$A$1:$C$1,),))</f>
        <v/>
      </c>
      <c r="C3040">
        <f>IF(VLOOKUP(Table7[[#This Row],[Date]],Database!$A:$C,MATCH($C$1,Database!$A$1:$C$1,),)=0,#N/A,VLOOKUP(Table7[[#This Row],[Date]],Database!$A:$C,MATCH($C$1,Database!$A$1:$C$1,),))</f>
        <v/>
      </c>
      <c r="D3040">
        <f>IFERROR(Table7[[#This Row],[United States 10y]]-Table7[[#This Row],[United States 3y]],#N/A)</f>
        <v/>
      </c>
    </row>
    <row r="3041">
      <c r="A3041" s="6">
        <f>Database!$A5126</f>
        <v/>
      </c>
      <c r="B3041">
        <f>IF(VLOOKUP(Table7[[#This Row],[Date]],Database!$A:$C,MATCH($B$1,Database!$A$1:$C$1,),)=0,#N/A,VLOOKUP(Table7[[#This Row],[Date]],Database!$A:$C,MATCH($B$1,Database!$A$1:$C$1,),))</f>
        <v/>
      </c>
      <c r="C3041">
        <f>IF(VLOOKUP(Table7[[#This Row],[Date]],Database!$A:$C,MATCH($C$1,Database!$A$1:$C$1,),)=0,#N/A,VLOOKUP(Table7[[#This Row],[Date]],Database!$A:$C,MATCH($C$1,Database!$A$1:$C$1,),))</f>
        <v/>
      </c>
      <c r="D3041">
        <f>IFERROR(Table7[[#This Row],[United States 10y]]-Table7[[#This Row],[United States 3y]],#N/A)</f>
        <v/>
      </c>
    </row>
    <row r="3042">
      <c r="A3042" s="6">
        <f>Database!$A5127</f>
        <v/>
      </c>
      <c r="B3042">
        <f>IF(VLOOKUP(Table7[[#This Row],[Date]],Database!$A:$C,MATCH($B$1,Database!$A$1:$C$1,),)=0,#N/A,VLOOKUP(Table7[[#This Row],[Date]],Database!$A:$C,MATCH($B$1,Database!$A$1:$C$1,),))</f>
        <v/>
      </c>
      <c r="C3042">
        <f>IF(VLOOKUP(Table7[[#This Row],[Date]],Database!$A:$C,MATCH($C$1,Database!$A$1:$C$1,),)=0,#N/A,VLOOKUP(Table7[[#This Row],[Date]],Database!$A:$C,MATCH($C$1,Database!$A$1:$C$1,),))</f>
        <v/>
      </c>
      <c r="D3042">
        <f>IFERROR(Table7[[#This Row],[United States 10y]]-Table7[[#This Row],[United States 3y]],#N/A)</f>
        <v/>
      </c>
    </row>
    <row r="3043">
      <c r="A3043" s="6">
        <f>Database!$A5128</f>
        <v/>
      </c>
      <c r="B3043">
        <f>IF(VLOOKUP(Table7[[#This Row],[Date]],Database!$A:$C,MATCH($B$1,Database!$A$1:$C$1,),)=0,#N/A,VLOOKUP(Table7[[#This Row],[Date]],Database!$A:$C,MATCH($B$1,Database!$A$1:$C$1,),))</f>
        <v/>
      </c>
      <c r="C3043">
        <f>IF(VLOOKUP(Table7[[#This Row],[Date]],Database!$A:$C,MATCH($C$1,Database!$A$1:$C$1,),)=0,#N/A,VLOOKUP(Table7[[#This Row],[Date]],Database!$A:$C,MATCH($C$1,Database!$A$1:$C$1,),))</f>
        <v/>
      </c>
      <c r="D3043">
        <f>IFERROR(Table7[[#This Row],[United States 10y]]-Table7[[#This Row],[United States 3y]],#N/A)</f>
        <v/>
      </c>
    </row>
    <row r="3044">
      <c r="A3044" s="6">
        <f>Database!$A5129</f>
        <v/>
      </c>
      <c r="B3044">
        <f>IF(VLOOKUP(Table7[[#This Row],[Date]],Database!$A:$C,MATCH($B$1,Database!$A$1:$C$1,),)=0,#N/A,VLOOKUP(Table7[[#This Row],[Date]],Database!$A:$C,MATCH($B$1,Database!$A$1:$C$1,),))</f>
        <v/>
      </c>
      <c r="C3044">
        <f>IF(VLOOKUP(Table7[[#This Row],[Date]],Database!$A:$C,MATCH($C$1,Database!$A$1:$C$1,),)=0,#N/A,VLOOKUP(Table7[[#This Row],[Date]],Database!$A:$C,MATCH($C$1,Database!$A$1:$C$1,),))</f>
        <v/>
      </c>
      <c r="D3044">
        <f>IFERROR(Table7[[#This Row],[United States 10y]]-Table7[[#This Row],[United States 3y]],#N/A)</f>
        <v/>
      </c>
    </row>
    <row r="3045">
      <c r="A3045" s="6">
        <f>Database!$A5130</f>
        <v/>
      </c>
      <c r="B3045">
        <f>IF(VLOOKUP(Table7[[#This Row],[Date]],Database!$A:$C,MATCH($B$1,Database!$A$1:$C$1,),)=0,#N/A,VLOOKUP(Table7[[#This Row],[Date]],Database!$A:$C,MATCH($B$1,Database!$A$1:$C$1,),))</f>
        <v/>
      </c>
      <c r="C3045">
        <f>IF(VLOOKUP(Table7[[#This Row],[Date]],Database!$A:$C,MATCH($C$1,Database!$A$1:$C$1,),)=0,#N/A,VLOOKUP(Table7[[#This Row],[Date]],Database!$A:$C,MATCH($C$1,Database!$A$1:$C$1,),))</f>
        <v/>
      </c>
      <c r="D3045">
        <f>IFERROR(Table7[[#This Row],[United States 10y]]-Table7[[#This Row],[United States 3y]],#N/A)</f>
        <v/>
      </c>
    </row>
    <row r="3046">
      <c r="A3046" s="6">
        <f>Database!$A5131</f>
        <v/>
      </c>
      <c r="B3046">
        <f>IF(VLOOKUP(Table7[[#This Row],[Date]],Database!$A:$C,MATCH($B$1,Database!$A$1:$C$1,),)=0,#N/A,VLOOKUP(Table7[[#This Row],[Date]],Database!$A:$C,MATCH($B$1,Database!$A$1:$C$1,),))</f>
        <v/>
      </c>
      <c r="C3046">
        <f>IF(VLOOKUP(Table7[[#This Row],[Date]],Database!$A:$C,MATCH($C$1,Database!$A$1:$C$1,),)=0,#N/A,VLOOKUP(Table7[[#This Row],[Date]],Database!$A:$C,MATCH($C$1,Database!$A$1:$C$1,),))</f>
        <v/>
      </c>
      <c r="D3046">
        <f>IFERROR(Table7[[#This Row],[United States 10y]]-Table7[[#This Row],[United States 3y]],#N/A)</f>
        <v/>
      </c>
    </row>
    <row r="3047">
      <c r="A3047" s="6">
        <f>Database!$A5132</f>
        <v/>
      </c>
      <c r="B3047">
        <f>IF(VLOOKUP(Table7[[#This Row],[Date]],Database!$A:$C,MATCH($B$1,Database!$A$1:$C$1,),)=0,#N/A,VLOOKUP(Table7[[#This Row],[Date]],Database!$A:$C,MATCH($B$1,Database!$A$1:$C$1,),))</f>
        <v/>
      </c>
      <c r="C3047">
        <f>IF(VLOOKUP(Table7[[#This Row],[Date]],Database!$A:$C,MATCH($C$1,Database!$A$1:$C$1,),)=0,#N/A,VLOOKUP(Table7[[#This Row],[Date]],Database!$A:$C,MATCH($C$1,Database!$A$1:$C$1,),))</f>
        <v/>
      </c>
      <c r="D3047">
        <f>IFERROR(Table7[[#This Row],[United States 10y]]-Table7[[#This Row],[United States 3y]],#N/A)</f>
        <v/>
      </c>
    </row>
    <row r="3048">
      <c r="A3048" s="6">
        <f>Database!$A5133</f>
        <v/>
      </c>
      <c r="B3048">
        <f>IF(VLOOKUP(Table7[[#This Row],[Date]],Database!$A:$C,MATCH($B$1,Database!$A$1:$C$1,),)=0,#N/A,VLOOKUP(Table7[[#This Row],[Date]],Database!$A:$C,MATCH($B$1,Database!$A$1:$C$1,),))</f>
        <v/>
      </c>
      <c r="C3048">
        <f>IF(VLOOKUP(Table7[[#This Row],[Date]],Database!$A:$C,MATCH($C$1,Database!$A$1:$C$1,),)=0,#N/A,VLOOKUP(Table7[[#This Row],[Date]],Database!$A:$C,MATCH($C$1,Database!$A$1:$C$1,),))</f>
        <v/>
      </c>
      <c r="D3048">
        <f>IFERROR(Table7[[#This Row],[United States 10y]]-Table7[[#This Row],[United States 3y]],#N/A)</f>
        <v/>
      </c>
    </row>
    <row r="3049">
      <c r="A3049" s="6">
        <f>Database!$A5134</f>
        <v/>
      </c>
      <c r="B3049">
        <f>IF(VLOOKUP(Table7[[#This Row],[Date]],Database!$A:$C,MATCH($B$1,Database!$A$1:$C$1,),)=0,#N/A,VLOOKUP(Table7[[#This Row],[Date]],Database!$A:$C,MATCH($B$1,Database!$A$1:$C$1,),))</f>
        <v/>
      </c>
      <c r="C3049">
        <f>IF(VLOOKUP(Table7[[#This Row],[Date]],Database!$A:$C,MATCH($C$1,Database!$A$1:$C$1,),)=0,#N/A,VLOOKUP(Table7[[#This Row],[Date]],Database!$A:$C,MATCH($C$1,Database!$A$1:$C$1,),))</f>
        <v/>
      </c>
      <c r="D3049">
        <f>IFERROR(Table7[[#This Row],[United States 10y]]-Table7[[#This Row],[United States 3y]],#N/A)</f>
        <v/>
      </c>
    </row>
    <row r="3050">
      <c r="A3050" s="6">
        <f>Database!$A5135</f>
        <v/>
      </c>
      <c r="B3050">
        <f>IF(VLOOKUP(Table7[[#This Row],[Date]],Database!$A:$C,MATCH($B$1,Database!$A$1:$C$1,),)=0,#N/A,VLOOKUP(Table7[[#This Row],[Date]],Database!$A:$C,MATCH($B$1,Database!$A$1:$C$1,),))</f>
        <v/>
      </c>
      <c r="C3050">
        <f>IF(VLOOKUP(Table7[[#This Row],[Date]],Database!$A:$C,MATCH($C$1,Database!$A$1:$C$1,),)=0,#N/A,VLOOKUP(Table7[[#This Row],[Date]],Database!$A:$C,MATCH($C$1,Database!$A$1:$C$1,),))</f>
        <v/>
      </c>
      <c r="D3050">
        <f>IFERROR(Table7[[#This Row],[United States 10y]]-Table7[[#This Row],[United States 3y]],#N/A)</f>
        <v/>
      </c>
    </row>
    <row r="3051">
      <c r="A3051" s="6">
        <f>Database!$A5136</f>
        <v/>
      </c>
      <c r="B3051">
        <f>IF(VLOOKUP(Table7[[#This Row],[Date]],Database!$A:$C,MATCH($B$1,Database!$A$1:$C$1,),)=0,#N/A,VLOOKUP(Table7[[#This Row],[Date]],Database!$A:$C,MATCH($B$1,Database!$A$1:$C$1,),))</f>
        <v/>
      </c>
      <c r="C3051">
        <f>IF(VLOOKUP(Table7[[#This Row],[Date]],Database!$A:$C,MATCH($C$1,Database!$A$1:$C$1,),)=0,#N/A,VLOOKUP(Table7[[#This Row],[Date]],Database!$A:$C,MATCH($C$1,Database!$A$1:$C$1,),))</f>
        <v/>
      </c>
      <c r="D3051">
        <f>IFERROR(Table7[[#This Row],[United States 10y]]-Table7[[#This Row],[United States 3y]],#N/A)</f>
        <v/>
      </c>
    </row>
    <row r="3052">
      <c r="A3052" s="6">
        <f>Database!$A5137</f>
        <v/>
      </c>
      <c r="B3052">
        <f>IF(VLOOKUP(Table7[[#This Row],[Date]],Database!$A:$C,MATCH($B$1,Database!$A$1:$C$1,),)=0,#N/A,VLOOKUP(Table7[[#This Row],[Date]],Database!$A:$C,MATCH($B$1,Database!$A$1:$C$1,),))</f>
        <v/>
      </c>
      <c r="C3052">
        <f>IF(VLOOKUP(Table7[[#This Row],[Date]],Database!$A:$C,MATCH($C$1,Database!$A$1:$C$1,),)=0,#N/A,VLOOKUP(Table7[[#This Row],[Date]],Database!$A:$C,MATCH($C$1,Database!$A$1:$C$1,),))</f>
        <v/>
      </c>
      <c r="D3052">
        <f>IFERROR(Table7[[#This Row],[United States 10y]]-Table7[[#This Row],[United States 3y]],#N/A)</f>
        <v/>
      </c>
    </row>
    <row r="3053">
      <c r="A3053" s="6">
        <f>Database!$A5138</f>
        <v/>
      </c>
      <c r="B3053">
        <f>IF(VLOOKUP(Table7[[#This Row],[Date]],Database!$A:$C,MATCH($B$1,Database!$A$1:$C$1,),)=0,#N/A,VLOOKUP(Table7[[#This Row],[Date]],Database!$A:$C,MATCH($B$1,Database!$A$1:$C$1,),))</f>
        <v/>
      </c>
      <c r="C3053">
        <f>IF(VLOOKUP(Table7[[#This Row],[Date]],Database!$A:$C,MATCH($C$1,Database!$A$1:$C$1,),)=0,#N/A,VLOOKUP(Table7[[#This Row],[Date]],Database!$A:$C,MATCH($C$1,Database!$A$1:$C$1,),))</f>
        <v/>
      </c>
      <c r="D3053">
        <f>IFERROR(Table7[[#This Row],[United States 10y]]-Table7[[#This Row],[United States 3y]],#N/A)</f>
        <v/>
      </c>
    </row>
    <row r="3054">
      <c r="A3054" s="6">
        <f>Database!$A5139</f>
        <v/>
      </c>
      <c r="B3054">
        <f>IF(VLOOKUP(Table7[[#This Row],[Date]],Database!$A:$C,MATCH($B$1,Database!$A$1:$C$1,),)=0,#N/A,VLOOKUP(Table7[[#This Row],[Date]],Database!$A:$C,MATCH($B$1,Database!$A$1:$C$1,),))</f>
        <v/>
      </c>
      <c r="C3054">
        <f>IF(VLOOKUP(Table7[[#This Row],[Date]],Database!$A:$C,MATCH($C$1,Database!$A$1:$C$1,),)=0,#N/A,VLOOKUP(Table7[[#This Row],[Date]],Database!$A:$C,MATCH($C$1,Database!$A$1:$C$1,),))</f>
        <v/>
      </c>
      <c r="D3054">
        <f>IFERROR(Table7[[#This Row],[United States 10y]]-Table7[[#This Row],[United States 3y]],#N/A)</f>
        <v/>
      </c>
    </row>
    <row r="3055">
      <c r="A3055" s="6">
        <f>Database!$A5140</f>
        <v/>
      </c>
      <c r="B3055">
        <f>IF(VLOOKUP(Table7[[#This Row],[Date]],Database!$A:$C,MATCH($B$1,Database!$A$1:$C$1,),)=0,#N/A,VLOOKUP(Table7[[#This Row],[Date]],Database!$A:$C,MATCH($B$1,Database!$A$1:$C$1,),))</f>
        <v/>
      </c>
      <c r="C3055">
        <f>IF(VLOOKUP(Table7[[#This Row],[Date]],Database!$A:$C,MATCH($C$1,Database!$A$1:$C$1,),)=0,#N/A,VLOOKUP(Table7[[#This Row],[Date]],Database!$A:$C,MATCH($C$1,Database!$A$1:$C$1,),))</f>
        <v/>
      </c>
      <c r="D3055">
        <f>IFERROR(Table7[[#This Row],[United States 10y]]-Table7[[#This Row],[United States 3y]],#N/A)</f>
        <v/>
      </c>
    </row>
    <row r="3056">
      <c r="A3056" s="6">
        <f>Database!$A5141</f>
        <v/>
      </c>
      <c r="B3056">
        <f>IF(VLOOKUP(Table7[[#This Row],[Date]],Database!$A:$C,MATCH($B$1,Database!$A$1:$C$1,),)=0,#N/A,VLOOKUP(Table7[[#This Row],[Date]],Database!$A:$C,MATCH($B$1,Database!$A$1:$C$1,),))</f>
        <v/>
      </c>
      <c r="C3056">
        <f>IF(VLOOKUP(Table7[[#This Row],[Date]],Database!$A:$C,MATCH($C$1,Database!$A$1:$C$1,),)=0,#N/A,VLOOKUP(Table7[[#This Row],[Date]],Database!$A:$C,MATCH($C$1,Database!$A$1:$C$1,),))</f>
        <v/>
      </c>
      <c r="D3056">
        <f>IFERROR(Table7[[#This Row],[United States 10y]]-Table7[[#This Row],[United States 3y]],#N/A)</f>
        <v/>
      </c>
    </row>
    <row r="3057">
      <c r="A3057" s="6">
        <f>Database!$A5142</f>
        <v/>
      </c>
      <c r="B3057">
        <f>IF(VLOOKUP(Table7[[#This Row],[Date]],Database!$A:$C,MATCH($B$1,Database!$A$1:$C$1,),)=0,#N/A,VLOOKUP(Table7[[#This Row],[Date]],Database!$A:$C,MATCH($B$1,Database!$A$1:$C$1,),))</f>
        <v/>
      </c>
      <c r="C3057">
        <f>IF(VLOOKUP(Table7[[#This Row],[Date]],Database!$A:$C,MATCH($C$1,Database!$A$1:$C$1,),)=0,#N/A,VLOOKUP(Table7[[#This Row],[Date]],Database!$A:$C,MATCH($C$1,Database!$A$1:$C$1,),))</f>
        <v/>
      </c>
      <c r="D3057">
        <f>IFERROR(Table7[[#This Row],[United States 10y]]-Table7[[#This Row],[United States 3y]],#N/A)</f>
        <v/>
      </c>
    </row>
    <row r="3058">
      <c r="A3058" s="6">
        <f>Database!$A5143</f>
        <v/>
      </c>
      <c r="B3058">
        <f>IF(VLOOKUP(Table7[[#This Row],[Date]],Database!$A:$C,MATCH($B$1,Database!$A$1:$C$1,),)=0,#N/A,VLOOKUP(Table7[[#This Row],[Date]],Database!$A:$C,MATCH($B$1,Database!$A$1:$C$1,),))</f>
        <v/>
      </c>
      <c r="C3058">
        <f>IF(VLOOKUP(Table7[[#This Row],[Date]],Database!$A:$C,MATCH($C$1,Database!$A$1:$C$1,),)=0,#N/A,VLOOKUP(Table7[[#This Row],[Date]],Database!$A:$C,MATCH($C$1,Database!$A$1:$C$1,),))</f>
        <v/>
      </c>
      <c r="D3058">
        <f>IFERROR(Table7[[#This Row],[United States 10y]]-Table7[[#This Row],[United States 3y]],#N/A)</f>
        <v/>
      </c>
    </row>
    <row r="3059">
      <c r="A3059" s="6">
        <f>Database!$A5144</f>
        <v/>
      </c>
      <c r="B3059">
        <f>IF(VLOOKUP(Table7[[#This Row],[Date]],Database!$A:$C,MATCH($B$1,Database!$A$1:$C$1,),)=0,#N/A,VLOOKUP(Table7[[#This Row],[Date]],Database!$A:$C,MATCH($B$1,Database!$A$1:$C$1,),))</f>
        <v/>
      </c>
      <c r="C3059">
        <f>IF(VLOOKUP(Table7[[#This Row],[Date]],Database!$A:$C,MATCH($C$1,Database!$A$1:$C$1,),)=0,#N/A,VLOOKUP(Table7[[#This Row],[Date]],Database!$A:$C,MATCH($C$1,Database!$A$1:$C$1,),))</f>
        <v/>
      </c>
      <c r="D3059">
        <f>IFERROR(Table7[[#This Row],[United States 10y]]-Table7[[#This Row],[United States 3y]],#N/A)</f>
        <v/>
      </c>
    </row>
    <row r="3060">
      <c r="A3060" s="6">
        <f>Database!$A5145</f>
        <v/>
      </c>
      <c r="B3060">
        <f>IF(VLOOKUP(Table7[[#This Row],[Date]],Database!$A:$C,MATCH($B$1,Database!$A$1:$C$1,),)=0,#N/A,VLOOKUP(Table7[[#This Row],[Date]],Database!$A:$C,MATCH($B$1,Database!$A$1:$C$1,),))</f>
        <v/>
      </c>
      <c r="C3060">
        <f>IF(VLOOKUP(Table7[[#This Row],[Date]],Database!$A:$C,MATCH($C$1,Database!$A$1:$C$1,),)=0,#N/A,VLOOKUP(Table7[[#This Row],[Date]],Database!$A:$C,MATCH($C$1,Database!$A$1:$C$1,),))</f>
        <v/>
      </c>
      <c r="D3060">
        <f>IFERROR(Table7[[#This Row],[United States 10y]]-Table7[[#This Row],[United States 3y]],#N/A)</f>
        <v/>
      </c>
    </row>
    <row r="3061">
      <c r="A3061" s="6">
        <f>Database!$A5146</f>
        <v/>
      </c>
      <c r="B3061">
        <f>IF(VLOOKUP(Table7[[#This Row],[Date]],Database!$A:$C,MATCH($B$1,Database!$A$1:$C$1,),)=0,#N/A,VLOOKUP(Table7[[#This Row],[Date]],Database!$A:$C,MATCH($B$1,Database!$A$1:$C$1,),))</f>
        <v/>
      </c>
      <c r="C3061">
        <f>IF(VLOOKUP(Table7[[#This Row],[Date]],Database!$A:$C,MATCH($C$1,Database!$A$1:$C$1,),)=0,#N/A,VLOOKUP(Table7[[#This Row],[Date]],Database!$A:$C,MATCH($C$1,Database!$A$1:$C$1,),))</f>
        <v/>
      </c>
      <c r="D3061">
        <f>IFERROR(Table7[[#This Row],[United States 10y]]-Table7[[#This Row],[United States 3y]],#N/A)</f>
        <v/>
      </c>
    </row>
    <row r="3062">
      <c r="A3062" s="6">
        <f>Database!$A5147</f>
        <v/>
      </c>
      <c r="B3062">
        <f>IF(VLOOKUP(Table7[[#This Row],[Date]],Database!$A:$C,MATCH($B$1,Database!$A$1:$C$1,),)=0,#N/A,VLOOKUP(Table7[[#This Row],[Date]],Database!$A:$C,MATCH($B$1,Database!$A$1:$C$1,),))</f>
        <v/>
      </c>
      <c r="C3062">
        <f>IF(VLOOKUP(Table7[[#This Row],[Date]],Database!$A:$C,MATCH($C$1,Database!$A$1:$C$1,),)=0,#N/A,VLOOKUP(Table7[[#This Row],[Date]],Database!$A:$C,MATCH($C$1,Database!$A$1:$C$1,),))</f>
        <v/>
      </c>
      <c r="D3062">
        <f>IFERROR(Table7[[#This Row],[United States 10y]]-Table7[[#This Row],[United States 3y]],#N/A)</f>
        <v/>
      </c>
    </row>
    <row r="3063">
      <c r="A3063" s="6">
        <f>Database!$A5148</f>
        <v/>
      </c>
      <c r="B3063">
        <f>IF(VLOOKUP(Table7[[#This Row],[Date]],Database!$A:$C,MATCH($B$1,Database!$A$1:$C$1,),)=0,#N/A,VLOOKUP(Table7[[#This Row],[Date]],Database!$A:$C,MATCH($B$1,Database!$A$1:$C$1,),))</f>
        <v/>
      </c>
      <c r="C3063">
        <f>IF(VLOOKUP(Table7[[#This Row],[Date]],Database!$A:$C,MATCH($C$1,Database!$A$1:$C$1,),)=0,#N/A,VLOOKUP(Table7[[#This Row],[Date]],Database!$A:$C,MATCH($C$1,Database!$A$1:$C$1,),))</f>
        <v/>
      </c>
      <c r="D3063">
        <f>IFERROR(Table7[[#This Row],[United States 10y]]-Table7[[#This Row],[United States 3y]],#N/A)</f>
        <v/>
      </c>
    </row>
    <row r="3064">
      <c r="A3064" s="6">
        <f>Database!$A5149</f>
        <v/>
      </c>
      <c r="B3064">
        <f>IF(VLOOKUP(Table7[[#This Row],[Date]],Database!$A:$C,MATCH($B$1,Database!$A$1:$C$1,),)=0,#N/A,VLOOKUP(Table7[[#This Row],[Date]],Database!$A:$C,MATCH($B$1,Database!$A$1:$C$1,),))</f>
        <v/>
      </c>
      <c r="C3064">
        <f>IF(VLOOKUP(Table7[[#This Row],[Date]],Database!$A:$C,MATCH($C$1,Database!$A$1:$C$1,),)=0,#N/A,VLOOKUP(Table7[[#This Row],[Date]],Database!$A:$C,MATCH($C$1,Database!$A$1:$C$1,),))</f>
        <v/>
      </c>
      <c r="D3064">
        <f>IFERROR(Table7[[#This Row],[United States 10y]]-Table7[[#This Row],[United States 3y]],#N/A)</f>
        <v/>
      </c>
    </row>
    <row r="3065">
      <c r="A3065" s="6">
        <f>Database!$A5150</f>
        <v/>
      </c>
      <c r="B3065">
        <f>IF(VLOOKUP(Table7[[#This Row],[Date]],Database!$A:$C,MATCH($B$1,Database!$A$1:$C$1,),)=0,#N/A,VLOOKUP(Table7[[#This Row],[Date]],Database!$A:$C,MATCH($B$1,Database!$A$1:$C$1,),))</f>
        <v/>
      </c>
      <c r="C3065">
        <f>IF(VLOOKUP(Table7[[#This Row],[Date]],Database!$A:$C,MATCH($C$1,Database!$A$1:$C$1,),)=0,#N/A,VLOOKUP(Table7[[#This Row],[Date]],Database!$A:$C,MATCH($C$1,Database!$A$1:$C$1,),))</f>
        <v/>
      </c>
      <c r="D3065">
        <f>IFERROR(Table7[[#This Row],[United States 10y]]-Table7[[#This Row],[United States 3y]],#N/A)</f>
        <v/>
      </c>
    </row>
    <row r="3066">
      <c r="A3066" s="6">
        <f>Database!$A5151</f>
        <v/>
      </c>
      <c r="B3066">
        <f>IF(VLOOKUP(Table7[[#This Row],[Date]],Database!$A:$C,MATCH($B$1,Database!$A$1:$C$1,),)=0,#N/A,VLOOKUP(Table7[[#This Row],[Date]],Database!$A:$C,MATCH($B$1,Database!$A$1:$C$1,),))</f>
        <v/>
      </c>
      <c r="C3066">
        <f>IF(VLOOKUP(Table7[[#This Row],[Date]],Database!$A:$C,MATCH($C$1,Database!$A$1:$C$1,),)=0,#N/A,VLOOKUP(Table7[[#This Row],[Date]],Database!$A:$C,MATCH($C$1,Database!$A$1:$C$1,),))</f>
        <v/>
      </c>
      <c r="D3066">
        <f>IFERROR(Table7[[#This Row],[United States 10y]]-Table7[[#This Row],[United States 3y]],#N/A)</f>
        <v/>
      </c>
    </row>
    <row r="3067">
      <c r="A3067" s="6">
        <f>Database!$A5152</f>
        <v/>
      </c>
      <c r="B3067">
        <f>IF(VLOOKUP(Table7[[#This Row],[Date]],Database!$A:$C,MATCH($B$1,Database!$A$1:$C$1,),)=0,#N/A,VLOOKUP(Table7[[#This Row],[Date]],Database!$A:$C,MATCH($B$1,Database!$A$1:$C$1,),))</f>
        <v/>
      </c>
      <c r="C3067">
        <f>IF(VLOOKUP(Table7[[#This Row],[Date]],Database!$A:$C,MATCH($C$1,Database!$A$1:$C$1,),)=0,#N/A,VLOOKUP(Table7[[#This Row],[Date]],Database!$A:$C,MATCH($C$1,Database!$A$1:$C$1,),))</f>
        <v/>
      </c>
      <c r="D3067">
        <f>IFERROR(Table7[[#This Row],[United States 10y]]-Table7[[#This Row],[United States 3y]],#N/A)</f>
        <v/>
      </c>
    </row>
    <row r="3068">
      <c r="A3068" s="6">
        <f>Database!$A5153</f>
        <v/>
      </c>
      <c r="B3068">
        <f>IF(VLOOKUP(Table7[[#This Row],[Date]],Database!$A:$C,MATCH($B$1,Database!$A$1:$C$1,),)=0,#N/A,VLOOKUP(Table7[[#This Row],[Date]],Database!$A:$C,MATCH($B$1,Database!$A$1:$C$1,),))</f>
        <v/>
      </c>
      <c r="C3068">
        <f>IF(VLOOKUP(Table7[[#This Row],[Date]],Database!$A:$C,MATCH($C$1,Database!$A$1:$C$1,),)=0,#N/A,VLOOKUP(Table7[[#This Row],[Date]],Database!$A:$C,MATCH($C$1,Database!$A$1:$C$1,),))</f>
        <v/>
      </c>
      <c r="D3068">
        <f>IFERROR(Table7[[#This Row],[United States 10y]]-Table7[[#This Row],[United States 3y]],#N/A)</f>
        <v/>
      </c>
    </row>
    <row r="3069">
      <c r="A3069" s="6">
        <f>Database!$A5154</f>
        <v/>
      </c>
      <c r="B3069">
        <f>IF(VLOOKUP(Table7[[#This Row],[Date]],Database!$A:$C,MATCH($B$1,Database!$A$1:$C$1,),)=0,#N/A,VLOOKUP(Table7[[#This Row],[Date]],Database!$A:$C,MATCH($B$1,Database!$A$1:$C$1,),))</f>
        <v/>
      </c>
      <c r="C3069">
        <f>IF(VLOOKUP(Table7[[#This Row],[Date]],Database!$A:$C,MATCH($C$1,Database!$A$1:$C$1,),)=0,#N/A,VLOOKUP(Table7[[#This Row],[Date]],Database!$A:$C,MATCH($C$1,Database!$A$1:$C$1,),))</f>
        <v/>
      </c>
      <c r="D3069">
        <f>IFERROR(Table7[[#This Row],[United States 10y]]-Table7[[#This Row],[United States 3y]],#N/A)</f>
        <v/>
      </c>
    </row>
    <row r="3070">
      <c r="A3070" s="6">
        <f>Database!$A5155</f>
        <v/>
      </c>
      <c r="B3070">
        <f>IF(VLOOKUP(Table7[[#This Row],[Date]],Database!$A:$C,MATCH($B$1,Database!$A$1:$C$1,),)=0,#N/A,VLOOKUP(Table7[[#This Row],[Date]],Database!$A:$C,MATCH($B$1,Database!$A$1:$C$1,),))</f>
        <v/>
      </c>
      <c r="C3070">
        <f>IF(VLOOKUP(Table7[[#This Row],[Date]],Database!$A:$C,MATCH($C$1,Database!$A$1:$C$1,),)=0,#N/A,VLOOKUP(Table7[[#This Row],[Date]],Database!$A:$C,MATCH($C$1,Database!$A$1:$C$1,),))</f>
        <v/>
      </c>
      <c r="D3070">
        <f>IFERROR(Table7[[#This Row],[United States 10y]]-Table7[[#This Row],[United States 3y]],#N/A)</f>
        <v/>
      </c>
    </row>
    <row r="3071">
      <c r="A3071" s="6">
        <f>Database!$A5156</f>
        <v/>
      </c>
      <c r="B3071">
        <f>IF(VLOOKUP(Table7[[#This Row],[Date]],Database!$A:$C,MATCH($B$1,Database!$A$1:$C$1,),)=0,#N/A,VLOOKUP(Table7[[#This Row],[Date]],Database!$A:$C,MATCH($B$1,Database!$A$1:$C$1,),))</f>
        <v/>
      </c>
      <c r="C3071">
        <f>IF(VLOOKUP(Table7[[#This Row],[Date]],Database!$A:$C,MATCH($C$1,Database!$A$1:$C$1,),)=0,#N/A,VLOOKUP(Table7[[#This Row],[Date]],Database!$A:$C,MATCH($C$1,Database!$A$1:$C$1,),))</f>
        <v/>
      </c>
      <c r="D3071">
        <f>IFERROR(Table7[[#This Row],[United States 10y]]-Table7[[#This Row],[United States 3y]],#N/A)</f>
        <v/>
      </c>
    </row>
    <row r="3072">
      <c r="A3072" s="6">
        <f>Database!$A5157</f>
        <v/>
      </c>
      <c r="B3072">
        <f>IF(VLOOKUP(Table7[[#This Row],[Date]],Database!$A:$C,MATCH($B$1,Database!$A$1:$C$1,),)=0,#N/A,VLOOKUP(Table7[[#This Row],[Date]],Database!$A:$C,MATCH($B$1,Database!$A$1:$C$1,),))</f>
        <v/>
      </c>
      <c r="C3072">
        <f>IF(VLOOKUP(Table7[[#This Row],[Date]],Database!$A:$C,MATCH($C$1,Database!$A$1:$C$1,),)=0,#N/A,VLOOKUP(Table7[[#This Row],[Date]],Database!$A:$C,MATCH($C$1,Database!$A$1:$C$1,),))</f>
        <v/>
      </c>
      <c r="D3072">
        <f>IFERROR(Table7[[#This Row],[United States 10y]]-Table7[[#This Row],[United States 3y]],#N/A)</f>
        <v/>
      </c>
    </row>
    <row r="3073">
      <c r="A3073" s="6">
        <f>Database!$A5158</f>
        <v/>
      </c>
      <c r="B3073">
        <f>IF(VLOOKUP(Table7[[#This Row],[Date]],Database!$A:$C,MATCH($B$1,Database!$A$1:$C$1,),)=0,#N/A,VLOOKUP(Table7[[#This Row],[Date]],Database!$A:$C,MATCH($B$1,Database!$A$1:$C$1,),))</f>
        <v/>
      </c>
      <c r="C3073">
        <f>IF(VLOOKUP(Table7[[#This Row],[Date]],Database!$A:$C,MATCH($C$1,Database!$A$1:$C$1,),)=0,#N/A,VLOOKUP(Table7[[#This Row],[Date]],Database!$A:$C,MATCH($C$1,Database!$A$1:$C$1,),))</f>
        <v/>
      </c>
      <c r="D3073">
        <f>IFERROR(Table7[[#This Row],[United States 10y]]-Table7[[#This Row],[United States 3y]],#N/A)</f>
        <v/>
      </c>
    </row>
    <row r="3074">
      <c r="A3074" s="6">
        <f>Database!$A5159</f>
        <v/>
      </c>
      <c r="B3074">
        <f>IF(VLOOKUP(Table7[[#This Row],[Date]],Database!$A:$C,MATCH($B$1,Database!$A$1:$C$1,),)=0,#N/A,VLOOKUP(Table7[[#This Row],[Date]],Database!$A:$C,MATCH($B$1,Database!$A$1:$C$1,),))</f>
        <v/>
      </c>
      <c r="C3074">
        <f>IF(VLOOKUP(Table7[[#This Row],[Date]],Database!$A:$C,MATCH($C$1,Database!$A$1:$C$1,),)=0,#N/A,VLOOKUP(Table7[[#This Row],[Date]],Database!$A:$C,MATCH($C$1,Database!$A$1:$C$1,),))</f>
        <v/>
      </c>
      <c r="D3074">
        <f>IFERROR(Table7[[#This Row],[United States 10y]]-Table7[[#This Row],[United States 3y]],#N/A)</f>
        <v/>
      </c>
    </row>
    <row r="3075">
      <c r="A3075" s="6">
        <f>Database!$A5160</f>
        <v/>
      </c>
      <c r="B3075">
        <f>IF(VLOOKUP(Table7[[#This Row],[Date]],Database!$A:$C,MATCH($B$1,Database!$A$1:$C$1,),)=0,#N/A,VLOOKUP(Table7[[#This Row],[Date]],Database!$A:$C,MATCH($B$1,Database!$A$1:$C$1,),))</f>
        <v/>
      </c>
      <c r="C3075">
        <f>IF(VLOOKUP(Table7[[#This Row],[Date]],Database!$A:$C,MATCH($C$1,Database!$A$1:$C$1,),)=0,#N/A,VLOOKUP(Table7[[#This Row],[Date]],Database!$A:$C,MATCH($C$1,Database!$A$1:$C$1,),))</f>
        <v/>
      </c>
      <c r="D3075">
        <f>IFERROR(Table7[[#This Row],[United States 10y]]-Table7[[#This Row],[United States 3y]],#N/A)</f>
        <v/>
      </c>
    </row>
    <row r="3076">
      <c r="A3076" s="6">
        <f>Database!$A5161</f>
        <v/>
      </c>
      <c r="B3076">
        <f>IF(VLOOKUP(Table7[[#This Row],[Date]],Database!$A:$C,MATCH($B$1,Database!$A$1:$C$1,),)=0,#N/A,VLOOKUP(Table7[[#This Row],[Date]],Database!$A:$C,MATCH($B$1,Database!$A$1:$C$1,),))</f>
        <v/>
      </c>
      <c r="C3076">
        <f>IF(VLOOKUP(Table7[[#This Row],[Date]],Database!$A:$C,MATCH($C$1,Database!$A$1:$C$1,),)=0,#N/A,VLOOKUP(Table7[[#This Row],[Date]],Database!$A:$C,MATCH($C$1,Database!$A$1:$C$1,),))</f>
        <v/>
      </c>
      <c r="D3076">
        <f>IFERROR(Table7[[#This Row],[United States 10y]]-Table7[[#This Row],[United States 3y]],#N/A)</f>
        <v/>
      </c>
    </row>
    <row r="3077">
      <c r="A3077" s="6">
        <f>Database!$A5162</f>
        <v/>
      </c>
      <c r="B3077">
        <f>IF(VLOOKUP(Table7[[#This Row],[Date]],Database!$A:$C,MATCH($B$1,Database!$A$1:$C$1,),)=0,#N/A,VLOOKUP(Table7[[#This Row],[Date]],Database!$A:$C,MATCH($B$1,Database!$A$1:$C$1,),))</f>
        <v/>
      </c>
      <c r="C3077">
        <f>IF(VLOOKUP(Table7[[#This Row],[Date]],Database!$A:$C,MATCH($C$1,Database!$A$1:$C$1,),)=0,#N/A,VLOOKUP(Table7[[#This Row],[Date]],Database!$A:$C,MATCH($C$1,Database!$A$1:$C$1,),))</f>
        <v/>
      </c>
      <c r="D3077">
        <f>IFERROR(Table7[[#This Row],[United States 10y]]-Table7[[#This Row],[United States 3y]],#N/A)</f>
        <v/>
      </c>
    </row>
    <row r="3078">
      <c r="A3078" s="6">
        <f>Database!$A5163</f>
        <v/>
      </c>
      <c r="B3078">
        <f>IF(VLOOKUP(Table7[[#This Row],[Date]],Database!$A:$C,MATCH($B$1,Database!$A$1:$C$1,),)=0,#N/A,VLOOKUP(Table7[[#This Row],[Date]],Database!$A:$C,MATCH($B$1,Database!$A$1:$C$1,),))</f>
        <v/>
      </c>
      <c r="C3078">
        <f>IF(VLOOKUP(Table7[[#This Row],[Date]],Database!$A:$C,MATCH($C$1,Database!$A$1:$C$1,),)=0,#N/A,VLOOKUP(Table7[[#This Row],[Date]],Database!$A:$C,MATCH($C$1,Database!$A$1:$C$1,),))</f>
        <v/>
      </c>
      <c r="D3078">
        <f>IFERROR(Table7[[#This Row],[United States 10y]]-Table7[[#This Row],[United States 3y]],#N/A)</f>
        <v/>
      </c>
    </row>
    <row r="3079">
      <c r="A3079" s="6">
        <f>Database!$A5164</f>
        <v/>
      </c>
      <c r="B3079">
        <f>IF(VLOOKUP(Table7[[#This Row],[Date]],Database!$A:$C,MATCH($B$1,Database!$A$1:$C$1,),)=0,#N/A,VLOOKUP(Table7[[#This Row],[Date]],Database!$A:$C,MATCH($B$1,Database!$A$1:$C$1,),))</f>
        <v/>
      </c>
      <c r="C3079">
        <f>IF(VLOOKUP(Table7[[#This Row],[Date]],Database!$A:$C,MATCH($C$1,Database!$A$1:$C$1,),)=0,#N/A,VLOOKUP(Table7[[#This Row],[Date]],Database!$A:$C,MATCH($C$1,Database!$A$1:$C$1,),))</f>
        <v/>
      </c>
      <c r="D3079">
        <f>IFERROR(Table7[[#This Row],[United States 10y]]-Table7[[#This Row],[United States 3y]],#N/A)</f>
        <v/>
      </c>
    </row>
    <row r="3080">
      <c r="A3080" s="6">
        <f>Database!$A5165</f>
        <v/>
      </c>
      <c r="B3080">
        <f>IF(VLOOKUP(Table7[[#This Row],[Date]],Database!$A:$C,MATCH($B$1,Database!$A$1:$C$1,),)=0,#N/A,VLOOKUP(Table7[[#This Row],[Date]],Database!$A:$C,MATCH($B$1,Database!$A$1:$C$1,),))</f>
        <v/>
      </c>
      <c r="C3080">
        <f>IF(VLOOKUP(Table7[[#This Row],[Date]],Database!$A:$C,MATCH($C$1,Database!$A$1:$C$1,),)=0,#N/A,VLOOKUP(Table7[[#This Row],[Date]],Database!$A:$C,MATCH($C$1,Database!$A$1:$C$1,),))</f>
        <v/>
      </c>
      <c r="D3080">
        <f>IFERROR(Table7[[#This Row],[United States 10y]]-Table7[[#This Row],[United States 3y]],#N/A)</f>
        <v/>
      </c>
    </row>
    <row r="3081">
      <c r="A3081" s="6">
        <f>Database!$A5166</f>
        <v/>
      </c>
      <c r="B3081">
        <f>IF(VLOOKUP(Table7[[#This Row],[Date]],Database!$A:$C,MATCH($B$1,Database!$A$1:$C$1,),)=0,#N/A,VLOOKUP(Table7[[#This Row],[Date]],Database!$A:$C,MATCH($B$1,Database!$A$1:$C$1,),))</f>
        <v/>
      </c>
      <c r="C3081">
        <f>IF(VLOOKUP(Table7[[#This Row],[Date]],Database!$A:$C,MATCH($C$1,Database!$A$1:$C$1,),)=0,#N/A,VLOOKUP(Table7[[#This Row],[Date]],Database!$A:$C,MATCH($C$1,Database!$A$1:$C$1,),))</f>
        <v/>
      </c>
      <c r="D3081">
        <f>IFERROR(Table7[[#This Row],[United States 10y]]-Table7[[#This Row],[United States 3y]],#N/A)</f>
        <v/>
      </c>
    </row>
    <row r="3082">
      <c r="A3082" s="6">
        <f>Database!$A5167</f>
        <v/>
      </c>
      <c r="B3082">
        <f>IF(VLOOKUP(Table7[[#This Row],[Date]],Database!$A:$C,MATCH($B$1,Database!$A$1:$C$1,),)=0,#N/A,VLOOKUP(Table7[[#This Row],[Date]],Database!$A:$C,MATCH($B$1,Database!$A$1:$C$1,),))</f>
        <v/>
      </c>
      <c r="C3082">
        <f>IF(VLOOKUP(Table7[[#This Row],[Date]],Database!$A:$C,MATCH($C$1,Database!$A$1:$C$1,),)=0,#N/A,VLOOKUP(Table7[[#This Row],[Date]],Database!$A:$C,MATCH($C$1,Database!$A$1:$C$1,),))</f>
        <v/>
      </c>
      <c r="D3082">
        <f>IFERROR(Table7[[#This Row],[United States 10y]]-Table7[[#This Row],[United States 3y]],#N/A)</f>
        <v/>
      </c>
    </row>
    <row r="3083">
      <c r="A3083" s="6">
        <f>Database!$A5168</f>
        <v/>
      </c>
      <c r="B3083">
        <f>IF(VLOOKUP(Table7[[#This Row],[Date]],Database!$A:$C,MATCH($B$1,Database!$A$1:$C$1,),)=0,#N/A,VLOOKUP(Table7[[#This Row],[Date]],Database!$A:$C,MATCH($B$1,Database!$A$1:$C$1,),))</f>
        <v/>
      </c>
      <c r="C3083">
        <f>IF(VLOOKUP(Table7[[#This Row],[Date]],Database!$A:$C,MATCH($C$1,Database!$A$1:$C$1,),)=0,#N/A,VLOOKUP(Table7[[#This Row],[Date]],Database!$A:$C,MATCH($C$1,Database!$A$1:$C$1,),))</f>
        <v/>
      </c>
      <c r="D3083">
        <f>IFERROR(Table7[[#This Row],[United States 10y]]-Table7[[#This Row],[United States 3y]],#N/A)</f>
        <v/>
      </c>
    </row>
    <row r="3084">
      <c r="A3084" s="6">
        <f>Database!$A5169</f>
        <v/>
      </c>
      <c r="B3084">
        <f>IF(VLOOKUP(Table7[[#This Row],[Date]],Database!$A:$C,MATCH($B$1,Database!$A$1:$C$1,),)=0,#N/A,VLOOKUP(Table7[[#This Row],[Date]],Database!$A:$C,MATCH($B$1,Database!$A$1:$C$1,),))</f>
        <v/>
      </c>
      <c r="C3084">
        <f>IF(VLOOKUP(Table7[[#This Row],[Date]],Database!$A:$C,MATCH($C$1,Database!$A$1:$C$1,),)=0,#N/A,VLOOKUP(Table7[[#This Row],[Date]],Database!$A:$C,MATCH($C$1,Database!$A$1:$C$1,),))</f>
        <v/>
      </c>
      <c r="D3084">
        <f>IFERROR(Table7[[#This Row],[United States 10y]]-Table7[[#This Row],[United States 3y]],#N/A)</f>
        <v/>
      </c>
    </row>
    <row r="3085">
      <c r="A3085" s="6">
        <f>Database!$A5170</f>
        <v/>
      </c>
      <c r="B3085">
        <f>IF(VLOOKUP(Table7[[#This Row],[Date]],Database!$A:$C,MATCH($B$1,Database!$A$1:$C$1,),)=0,#N/A,VLOOKUP(Table7[[#This Row],[Date]],Database!$A:$C,MATCH($B$1,Database!$A$1:$C$1,),))</f>
        <v/>
      </c>
      <c r="C3085">
        <f>IF(VLOOKUP(Table7[[#This Row],[Date]],Database!$A:$C,MATCH($C$1,Database!$A$1:$C$1,),)=0,#N/A,VLOOKUP(Table7[[#This Row],[Date]],Database!$A:$C,MATCH($C$1,Database!$A$1:$C$1,),))</f>
        <v/>
      </c>
      <c r="D3085">
        <f>IFERROR(Table7[[#This Row],[United States 10y]]-Table7[[#This Row],[United States 3y]],#N/A)</f>
        <v/>
      </c>
    </row>
    <row r="3086">
      <c r="A3086" s="6">
        <f>Database!$A5171</f>
        <v/>
      </c>
      <c r="B3086">
        <f>IF(VLOOKUP(Table7[[#This Row],[Date]],Database!$A:$C,MATCH($B$1,Database!$A$1:$C$1,),)=0,#N/A,VLOOKUP(Table7[[#This Row],[Date]],Database!$A:$C,MATCH($B$1,Database!$A$1:$C$1,),))</f>
        <v/>
      </c>
      <c r="C3086">
        <f>IF(VLOOKUP(Table7[[#This Row],[Date]],Database!$A:$C,MATCH($C$1,Database!$A$1:$C$1,),)=0,#N/A,VLOOKUP(Table7[[#This Row],[Date]],Database!$A:$C,MATCH($C$1,Database!$A$1:$C$1,),))</f>
        <v/>
      </c>
      <c r="D3086">
        <f>IFERROR(Table7[[#This Row],[United States 10y]]-Table7[[#This Row],[United States 3y]],#N/A)</f>
        <v/>
      </c>
    </row>
    <row r="3087">
      <c r="A3087" s="6">
        <f>Database!$A5172</f>
        <v/>
      </c>
      <c r="B3087">
        <f>IF(VLOOKUP(Table7[[#This Row],[Date]],Database!$A:$C,MATCH($B$1,Database!$A$1:$C$1,),)=0,#N/A,VLOOKUP(Table7[[#This Row],[Date]],Database!$A:$C,MATCH($B$1,Database!$A$1:$C$1,),))</f>
        <v/>
      </c>
      <c r="C3087">
        <f>IF(VLOOKUP(Table7[[#This Row],[Date]],Database!$A:$C,MATCH($C$1,Database!$A$1:$C$1,),)=0,#N/A,VLOOKUP(Table7[[#This Row],[Date]],Database!$A:$C,MATCH($C$1,Database!$A$1:$C$1,),))</f>
        <v/>
      </c>
      <c r="D3087">
        <f>IFERROR(Table7[[#This Row],[United States 10y]]-Table7[[#This Row],[United States 3y]],#N/A)</f>
        <v/>
      </c>
    </row>
    <row r="3088">
      <c r="A3088" s="6">
        <f>Database!$A5173</f>
        <v/>
      </c>
      <c r="B3088">
        <f>IF(VLOOKUP(Table7[[#This Row],[Date]],Database!$A:$C,MATCH($B$1,Database!$A$1:$C$1,),)=0,#N/A,VLOOKUP(Table7[[#This Row],[Date]],Database!$A:$C,MATCH($B$1,Database!$A$1:$C$1,),))</f>
        <v/>
      </c>
      <c r="C3088">
        <f>IF(VLOOKUP(Table7[[#This Row],[Date]],Database!$A:$C,MATCH($C$1,Database!$A$1:$C$1,),)=0,#N/A,VLOOKUP(Table7[[#This Row],[Date]],Database!$A:$C,MATCH($C$1,Database!$A$1:$C$1,),))</f>
        <v/>
      </c>
      <c r="D3088">
        <f>IFERROR(Table7[[#This Row],[United States 10y]]-Table7[[#This Row],[United States 3y]],#N/A)</f>
        <v/>
      </c>
    </row>
    <row r="3089">
      <c r="A3089" s="6">
        <f>Database!$A5174</f>
        <v/>
      </c>
      <c r="B3089">
        <f>IF(VLOOKUP(Table7[[#This Row],[Date]],Database!$A:$C,MATCH($B$1,Database!$A$1:$C$1,),)=0,#N/A,VLOOKUP(Table7[[#This Row],[Date]],Database!$A:$C,MATCH($B$1,Database!$A$1:$C$1,),))</f>
        <v/>
      </c>
      <c r="C3089">
        <f>IF(VLOOKUP(Table7[[#This Row],[Date]],Database!$A:$C,MATCH($C$1,Database!$A$1:$C$1,),)=0,#N/A,VLOOKUP(Table7[[#This Row],[Date]],Database!$A:$C,MATCH($C$1,Database!$A$1:$C$1,),))</f>
        <v/>
      </c>
      <c r="D3089">
        <f>IFERROR(Table7[[#This Row],[United States 10y]]-Table7[[#This Row],[United States 3y]],#N/A)</f>
        <v/>
      </c>
    </row>
    <row r="3090">
      <c r="A3090" s="6">
        <f>Database!$A5175</f>
        <v/>
      </c>
      <c r="B3090">
        <f>IF(VLOOKUP(Table7[[#This Row],[Date]],Database!$A:$C,MATCH($B$1,Database!$A$1:$C$1,),)=0,#N/A,VLOOKUP(Table7[[#This Row],[Date]],Database!$A:$C,MATCH($B$1,Database!$A$1:$C$1,),))</f>
        <v/>
      </c>
      <c r="C3090">
        <f>IF(VLOOKUP(Table7[[#This Row],[Date]],Database!$A:$C,MATCH($C$1,Database!$A$1:$C$1,),)=0,#N/A,VLOOKUP(Table7[[#This Row],[Date]],Database!$A:$C,MATCH($C$1,Database!$A$1:$C$1,),))</f>
        <v/>
      </c>
      <c r="D3090">
        <f>IFERROR(Table7[[#This Row],[United States 10y]]-Table7[[#This Row],[United States 3y]],#N/A)</f>
        <v/>
      </c>
    </row>
    <row r="3091">
      <c r="A3091" s="6">
        <f>Database!$A5176</f>
        <v/>
      </c>
      <c r="B3091">
        <f>IF(VLOOKUP(Table7[[#This Row],[Date]],Database!$A:$C,MATCH($B$1,Database!$A$1:$C$1,),)=0,#N/A,VLOOKUP(Table7[[#This Row],[Date]],Database!$A:$C,MATCH($B$1,Database!$A$1:$C$1,),))</f>
        <v/>
      </c>
      <c r="C3091">
        <f>IF(VLOOKUP(Table7[[#This Row],[Date]],Database!$A:$C,MATCH($C$1,Database!$A$1:$C$1,),)=0,#N/A,VLOOKUP(Table7[[#This Row],[Date]],Database!$A:$C,MATCH($C$1,Database!$A$1:$C$1,),))</f>
        <v/>
      </c>
      <c r="D3091">
        <f>IFERROR(Table7[[#This Row],[United States 10y]]-Table7[[#This Row],[United States 3y]],#N/A)</f>
        <v/>
      </c>
    </row>
    <row r="3092">
      <c r="A3092" s="6">
        <f>Database!$A5177</f>
        <v/>
      </c>
      <c r="B3092">
        <f>IF(VLOOKUP(Table7[[#This Row],[Date]],Database!$A:$C,MATCH($B$1,Database!$A$1:$C$1,),)=0,#N/A,VLOOKUP(Table7[[#This Row],[Date]],Database!$A:$C,MATCH($B$1,Database!$A$1:$C$1,),))</f>
        <v/>
      </c>
      <c r="C3092">
        <f>IF(VLOOKUP(Table7[[#This Row],[Date]],Database!$A:$C,MATCH($C$1,Database!$A$1:$C$1,),)=0,#N/A,VLOOKUP(Table7[[#This Row],[Date]],Database!$A:$C,MATCH($C$1,Database!$A$1:$C$1,),))</f>
        <v/>
      </c>
      <c r="D3092">
        <f>IFERROR(Table7[[#This Row],[United States 10y]]-Table7[[#This Row],[United States 3y]],#N/A)</f>
        <v/>
      </c>
    </row>
    <row r="3093">
      <c r="A3093" s="6">
        <f>Database!$A5178</f>
        <v/>
      </c>
      <c r="B3093">
        <f>IF(VLOOKUP(Table7[[#This Row],[Date]],Database!$A:$C,MATCH($B$1,Database!$A$1:$C$1,),)=0,#N/A,VLOOKUP(Table7[[#This Row],[Date]],Database!$A:$C,MATCH($B$1,Database!$A$1:$C$1,),))</f>
        <v/>
      </c>
      <c r="C3093">
        <f>IF(VLOOKUP(Table7[[#This Row],[Date]],Database!$A:$C,MATCH($C$1,Database!$A$1:$C$1,),)=0,#N/A,VLOOKUP(Table7[[#This Row],[Date]],Database!$A:$C,MATCH($C$1,Database!$A$1:$C$1,),))</f>
        <v/>
      </c>
      <c r="D3093">
        <f>IFERROR(Table7[[#This Row],[United States 10y]]-Table7[[#This Row],[United States 3y]],#N/A)</f>
        <v/>
      </c>
    </row>
    <row r="3094">
      <c r="A3094" s="6">
        <f>Database!$A5179</f>
        <v/>
      </c>
      <c r="B3094">
        <f>IF(VLOOKUP(Table7[[#This Row],[Date]],Database!$A:$C,MATCH($B$1,Database!$A$1:$C$1,),)=0,#N/A,VLOOKUP(Table7[[#This Row],[Date]],Database!$A:$C,MATCH($B$1,Database!$A$1:$C$1,),))</f>
        <v/>
      </c>
      <c r="C3094">
        <f>IF(VLOOKUP(Table7[[#This Row],[Date]],Database!$A:$C,MATCH($C$1,Database!$A$1:$C$1,),)=0,#N/A,VLOOKUP(Table7[[#This Row],[Date]],Database!$A:$C,MATCH($C$1,Database!$A$1:$C$1,),))</f>
        <v/>
      </c>
      <c r="D3094">
        <f>IFERROR(Table7[[#This Row],[United States 10y]]-Table7[[#This Row],[United States 3y]],#N/A)</f>
        <v/>
      </c>
    </row>
    <row r="3095">
      <c r="A3095" s="6">
        <f>Database!$A5180</f>
        <v/>
      </c>
      <c r="B3095">
        <f>IF(VLOOKUP(Table7[[#This Row],[Date]],Database!$A:$C,MATCH($B$1,Database!$A$1:$C$1,),)=0,#N/A,VLOOKUP(Table7[[#This Row],[Date]],Database!$A:$C,MATCH($B$1,Database!$A$1:$C$1,),))</f>
        <v/>
      </c>
      <c r="C3095">
        <f>IF(VLOOKUP(Table7[[#This Row],[Date]],Database!$A:$C,MATCH($C$1,Database!$A$1:$C$1,),)=0,#N/A,VLOOKUP(Table7[[#This Row],[Date]],Database!$A:$C,MATCH($C$1,Database!$A$1:$C$1,),))</f>
        <v/>
      </c>
      <c r="D3095">
        <f>IFERROR(Table7[[#This Row],[United States 10y]]-Table7[[#This Row],[United States 3y]],#N/A)</f>
        <v/>
      </c>
    </row>
    <row r="3096">
      <c r="A3096" s="6">
        <f>Database!$A5181</f>
        <v/>
      </c>
      <c r="B3096">
        <f>IF(VLOOKUP(Table7[[#This Row],[Date]],Database!$A:$C,MATCH($B$1,Database!$A$1:$C$1,),)=0,#N/A,VLOOKUP(Table7[[#This Row],[Date]],Database!$A:$C,MATCH($B$1,Database!$A$1:$C$1,),))</f>
        <v/>
      </c>
      <c r="C3096">
        <f>IF(VLOOKUP(Table7[[#This Row],[Date]],Database!$A:$C,MATCH($C$1,Database!$A$1:$C$1,),)=0,#N/A,VLOOKUP(Table7[[#This Row],[Date]],Database!$A:$C,MATCH($C$1,Database!$A$1:$C$1,),))</f>
        <v/>
      </c>
      <c r="D3096">
        <f>IFERROR(Table7[[#This Row],[United States 10y]]-Table7[[#This Row],[United States 3y]],#N/A)</f>
        <v/>
      </c>
    </row>
    <row r="3097">
      <c r="A3097" s="6">
        <f>Database!$A5182</f>
        <v/>
      </c>
      <c r="B3097">
        <f>IF(VLOOKUP(Table7[[#This Row],[Date]],Database!$A:$C,MATCH($B$1,Database!$A$1:$C$1,),)=0,#N/A,VLOOKUP(Table7[[#This Row],[Date]],Database!$A:$C,MATCH($B$1,Database!$A$1:$C$1,),))</f>
        <v/>
      </c>
      <c r="C3097">
        <f>IF(VLOOKUP(Table7[[#This Row],[Date]],Database!$A:$C,MATCH($C$1,Database!$A$1:$C$1,),)=0,#N/A,VLOOKUP(Table7[[#This Row],[Date]],Database!$A:$C,MATCH($C$1,Database!$A$1:$C$1,),))</f>
        <v/>
      </c>
      <c r="D3097">
        <f>IFERROR(Table7[[#This Row],[United States 10y]]-Table7[[#This Row],[United States 3y]],#N/A)</f>
        <v/>
      </c>
    </row>
    <row r="3098">
      <c r="A3098" s="6">
        <f>Database!$A5183</f>
        <v/>
      </c>
      <c r="B3098">
        <f>IF(VLOOKUP(Table7[[#This Row],[Date]],Database!$A:$C,MATCH($B$1,Database!$A$1:$C$1,),)=0,#N/A,VLOOKUP(Table7[[#This Row],[Date]],Database!$A:$C,MATCH($B$1,Database!$A$1:$C$1,),))</f>
        <v/>
      </c>
      <c r="C3098">
        <f>IF(VLOOKUP(Table7[[#This Row],[Date]],Database!$A:$C,MATCH($C$1,Database!$A$1:$C$1,),)=0,#N/A,VLOOKUP(Table7[[#This Row],[Date]],Database!$A:$C,MATCH($C$1,Database!$A$1:$C$1,),))</f>
        <v/>
      </c>
      <c r="D3098">
        <f>IFERROR(Table7[[#This Row],[United States 10y]]-Table7[[#This Row],[United States 3y]],#N/A)</f>
        <v/>
      </c>
    </row>
    <row r="3099">
      <c r="A3099" s="6">
        <f>Database!$A5184</f>
        <v/>
      </c>
      <c r="B3099">
        <f>IF(VLOOKUP(Table7[[#This Row],[Date]],Database!$A:$C,MATCH($B$1,Database!$A$1:$C$1,),)=0,#N/A,VLOOKUP(Table7[[#This Row],[Date]],Database!$A:$C,MATCH($B$1,Database!$A$1:$C$1,),))</f>
        <v/>
      </c>
      <c r="C3099">
        <f>IF(VLOOKUP(Table7[[#This Row],[Date]],Database!$A:$C,MATCH($C$1,Database!$A$1:$C$1,),)=0,#N/A,VLOOKUP(Table7[[#This Row],[Date]],Database!$A:$C,MATCH($C$1,Database!$A$1:$C$1,),))</f>
        <v/>
      </c>
      <c r="D3099">
        <f>IFERROR(Table7[[#This Row],[United States 10y]]-Table7[[#This Row],[United States 3y]],#N/A)</f>
        <v/>
      </c>
    </row>
    <row r="3100">
      <c r="A3100" s="6">
        <f>Database!$A5185</f>
        <v/>
      </c>
      <c r="B3100">
        <f>IF(VLOOKUP(Table7[[#This Row],[Date]],Database!$A:$C,MATCH($B$1,Database!$A$1:$C$1,),)=0,#N/A,VLOOKUP(Table7[[#This Row],[Date]],Database!$A:$C,MATCH($B$1,Database!$A$1:$C$1,),))</f>
        <v/>
      </c>
      <c r="C3100">
        <f>IF(VLOOKUP(Table7[[#This Row],[Date]],Database!$A:$C,MATCH($C$1,Database!$A$1:$C$1,),)=0,#N/A,VLOOKUP(Table7[[#This Row],[Date]],Database!$A:$C,MATCH($C$1,Database!$A$1:$C$1,),))</f>
        <v/>
      </c>
      <c r="D3100">
        <f>IFERROR(Table7[[#This Row],[United States 10y]]-Table7[[#This Row],[United States 3y]],#N/A)</f>
        <v/>
      </c>
    </row>
    <row r="3101">
      <c r="A3101" s="6">
        <f>Database!$A5186</f>
        <v/>
      </c>
      <c r="B3101">
        <f>IF(VLOOKUP(Table7[[#This Row],[Date]],Database!$A:$C,MATCH($B$1,Database!$A$1:$C$1,),)=0,#N/A,VLOOKUP(Table7[[#This Row],[Date]],Database!$A:$C,MATCH($B$1,Database!$A$1:$C$1,),))</f>
        <v/>
      </c>
      <c r="C3101">
        <f>IF(VLOOKUP(Table7[[#This Row],[Date]],Database!$A:$C,MATCH($C$1,Database!$A$1:$C$1,),)=0,#N/A,VLOOKUP(Table7[[#This Row],[Date]],Database!$A:$C,MATCH($C$1,Database!$A$1:$C$1,),))</f>
        <v/>
      </c>
      <c r="D3101">
        <f>IFERROR(Table7[[#This Row],[United States 10y]]-Table7[[#This Row],[United States 3y]],#N/A)</f>
        <v/>
      </c>
    </row>
    <row r="3102">
      <c r="A3102" s="6">
        <f>Database!$A5187</f>
        <v/>
      </c>
      <c r="B3102">
        <f>IF(VLOOKUP(Table7[[#This Row],[Date]],Database!$A:$C,MATCH($B$1,Database!$A$1:$C$1,),)=0,#N/A,VLOOKUP(Table7[[#This Row],[Date]],Database!$A:$C,MATCH($B$1,Database!$A$1:$C$1,),))</f>
        <v/>
      </c>
      <c r="C3102">
        <f>IF(VLOOKUP(Table7[[#This Row],[Date]],Database!$A:$C,MATCH($C$1,Database!$A$1:$C$1,),)=0,#N/A,VLOOKUP(Table7[[#This Row],[Date]],Database!$A:$C,MATCH($C$1,Database!$A$1:$C$1,),))</f>
        <v/>
      </c>
      <c r="D3102">
        <f>IFERROR(Table7[[#This Row],[United States 10y]]-Table7[[#This Row],[United States 3y]],#N/A)</f>
        <v/>
      </c>
    </row>
    <row r="3103">
      <c r="A3103" s="6">
        <f>Database!$A5188</f>
        <v/>
      </c>
      <c r="B3103">
        <f>IF(VLOOKUP(Table7[[#This Row],[Date]],Database!$A:$C,MATCH($B$1,Database!$A$1:$C$1,),)=0,#N/A,VLOOKUP(Table7[[#This Row],[Date]],Database!$A:$C,MATCH($B$1,Database!$A$1:$C$1,),))</f>
        <v/>
      </c>
      <c r="C3103">
        <f>IF(VLOOKUP(Table7[[#This Row],[Date]],Database!$A:$C,MATCH($C$1,Database!$A$1:$C$1,),)=0,#N/A,VLOOKUP(Table7[[#This Row],[Date]],Database!$A:$C,MATCH($C$1,Database!$A$1:$C$1,),))</f>
        <v/>
      </c>
      <c r="D3103">
        <f>IFERROR(Table7[[#This Row],[United States 10y]]-Table7[[#This Row],[United States 3y]],#N/A)</f>
        <v/>
      </c>
    </row>
    <row r="3104">
      <c r="A3104" s="6">
        <f>Database!$A5189</f>
        <v/>
      </c>
      <c r="B3104">
        <f>IF(VLOOKUP(Table7[[#This Row],[Date]],Database!$A:$C,MATCH($B$1,Database!$A$1:$C$1,),)=0,#N/A,VLOOKUP(Table7[[#This Row],[Date]],Database!$A:$C,MATCH($B$1,Database!$A$1:$C$1,),))</f>
        <v/>
      </c>
      <c r="C3104">
        <f>IF(VLOOKUP(Table7[[#This Row],[Date]],Database!$A:$C,MATCH($C$1,Database!$A$1:$C$1,),)=0,#N/A,VLOOKUP(Table7[[#This Row],[Date]],Database!$A:$C,MATCH($C$1,Database!$A$1:$C$1,),))</f>
        <v/>
      </c>
      <c r="D3104">
        <f>IFERROR(Table7[[#This Row],[United States 10y]]-Table7[[#This Row],[United States 3y]],#N/A)</f>
        <v/>
      </c>
    </row>
    <row r="3105">
      <c r="A3105" s="6">
        <f>Database!$A5190</f>
        <v/>
      </c>
      <c r="B3105">
        <f>IF(VLOOKUP(Table7[[#This Row],[Date]],Database!$A:$C,MATCH($B$1,Database!$A$1:$C$1,),)=0,#N/A,VLOOKUP(Table7[[#This Row],[Date]],Database!$A:$C,MATCH($B$1,Database!$A$1:$C$1,),))</f>
        <v/>
      </c>
      <c r="C3105">
        <f>IF(VLOOKUP(Table7[[#This Row],[Date]],Database!$A:$C,MATCH($C$1,Database!$A$1:$C$1,),)=0,#N/A,VLOOKUP(Table7[[#This Row],[Date]],Database!$A:$C,MATCH($C$1,Database!$A$1:$C$1,),))</f>
        <v/>
      </c>
      <c r="D3105">
        <f>IFERROR(Table7[[#This Row],[United States 10y]]-Table7[[#This Row],[United States 3y]],#N/A)</f>
        <v/>
      </c>
    </row>
    <row r="3106">
      <c r="A3106" s="6">
        <f>Database!$A5191</f>
        <v/>
      </c>
      <c r="B3106">
        <f>IF(VLOOKUP(Table7[[#This Row],[Date]],Database!$A:$C,MATCH($B$1,Database!$A$1:$C$1,),)=0,#N/A,VLOOKUP(Table7[[#This Row],[Date]],Database!$A:$C,MATCH($B$1,Database!$A$1:$C$1,),))</f>
        <v/>
      </c>
      <c r="C3106">
        <f>IF(VLOOKUP(Table7[[#This Row],[Date]],Database!$A:$C,MATCH($C$1,Database!$A$1:$C$1,),)=0,#N/A,VLOOKUP(Table7[[#This Row],[Date]],Database!$A:$C,MATCH($C$1,Database!$A$1:$C$1,),))</f>
        <v/>
      </c>
      <c r="D3106">
        <f>IFERROR(Table7[[#This Row],[United States 10y]]-Table7[[#This Row],[United States 3y]],#N/A)</f>
        <v/>
      </c>
    </row>
    <row r="3107">
      <c r="A3107" s="6">
        <f>Database!$A5192</f>
        <v/>
      </c>
      <c r="B3107">
        <f>IF(VLOOKUP(Table7[[#This Row],[Date]],Database!$A:$C,MATCH($B$1,Database!$A$1:$C$1,),)=0,#N/A,VLOOKUP(Table7[[#This Row],[Date]],Database!$A:$C,MATCH($B$1,Database!$A$1:$C$1,),))</f>
        <v/>
      </c>
      <c r="C3107">
        <f>IF(VLOOKUP(Table7[[#This Row],[Date]],Database!$A:$C,MATCH($C$1,Database!$A$1:$C$1,),)=0,#N/A,VLOOKUP(Table7[[#This Row],[Date]],Database!$A:$C,MATCH($C$1,Database!$A$1:$C$1,),))</f>
        <v/>
      </c>
      <c r="D3107">
        <f>IFERROR(Table7[[#This Row],[United States 10y]]-Table7[[#This Row],[United States 3y]],#N/A)</f>
        <v/>
      </c>
    </row>
    <row r="3108">
      <c r="A3108" s="6">
        <f>Database!$A5193</f>
        <v/>
      </c>
      <c r="B3108">
        <f>IF(VLOOKUP(Table7[[#This Row],[Date]],Database!$A:$C,MATCH($B$1,Database!$A$1:$C$1,),)=0,#N/A,VLOOKUP(Table7[[#This Row],[Date]],Database!$A:$C,MATCH($B$1,Database!$A$1:$C$1,),))</f>
        <v/>
      </c>
      <c r="C3108">
        <f>IF(VLOOKUP(Table7[[#This Row],[Date]],Database!$A:$C,MATCH($C$1,Database!$A$1:$C$1,),)=0,#N/A,VLOOKUP(Table7[[#This Row],[Date]],Database!$A:$C,MATCH($C$1,Database!$A$1:$C$1,),))</f>
        <v/>
      </c>
      <c r="D3108">
        <f>IFERROR(Table7[[#This Row],[United States 10y]]-Table7[[#This Row],[United States 3y]],#N/A)</f>
        <v/>
      </c>
    </row>
    <row r="3109">
      <c r="A3109" s="6">
        <f>Database!$A5194</f>
        <v/>
      </c>
      <c r="B3109">
        <f>IF(VLOOKUP(Table7[[#This Row],[Date]],Database!$A:$C,MATCH($B$1,Database!$A$1:$C$1,),)=0,#N/A,VLOOKUP(Table7[[#This Row],[Date]],Database!$A:$C,MATCH($B$1,Database!$A$1:$C$1,),))</f>
        <v/>
      </c>
      <c r="C3109">
        <f>IF(VLOOKUP(Table7[[#This Row],[Date]],Database!$A:$C,MATCH($C$1,Database!$A$1:$C$1,),)=0,#N/A,VLOOKUP(Table7[[#This Row],[Date]],Database!$A:$C,MATCH($C$1,Database!$A$1:$C$1,),))</f>
        <v/>
      </c>
      <c r="D3109">
        <f>IFERROR(Table7[[#This Row],[United States 10y]]-Table7[[#This Row],[United States 3y]],#N/A)</f>
        <v/>
      </c>
    </row>
    <row r="3110">
      <c r="A3110" s="6">
        <f>Database!$A5195</f>
        <v/>
      </c>
      <c r="B3110">
        <f>IF(VLOOKUP(Table7[[#This Row],[Date]],Database!$A:$C,MATCH($B$1,Database!$A$1:$C$1,),)=0,#N/A,VLOOKUP(Table7[[#This Row],[Date]],Database!$A:$C,MATCH($B$1,Database!$A$1:$C$1,),))</f>
        <v/>
      </c>
      <c r="C3110">
        <f>IF(VLOOKUP(Table7[[#This Row],[Date]],Database!$A:$C,MATCH($C$1,Database!$A$1:$C$1,),)=0,#N/A,VLOOKUP(Table7[[#This Row],[Date]],Database!$A:$C,MATCH($C$1,Database!$A$1:$C$1,),))</f>
        <v/>
      </c>
      <c r="D3110">
        <f>IFERROR(Table7[[#This Row],[United States 10y]]-Table7[[#This Row],[United States 3y]],#N/A)</f>
        <v/>
      </c>
    </row>
    <row r="3111">
      <c r="A3111" s="6">
        <f>Database!$A5196</f>
        <v/>
      </c>
      <c r="B3111">
        <f>IF(VLOOKUP(Table7[[#This Row],[Date]],Database!$A:$C,MATCH($B$1,Database!$A$1:$C$1,),)=0,#N/A,VLOOKUP(Table7[[#This Row],[Date]],Database!$A:$C,MATCH($B$1,Database!$A$1:$C$1,),))</f>
        <v/>
      </c>
      <c r="C3111">
        <f>IF(VLOOKUP(Table7[[#This Row],[Date]],Database!$A:$C,MATCH($C$1,Database!$A$1:$C$1,),)=0,#N/A,VLOOKUP(Table7[[#This Row],[Date]],Database!$A:$C,MATCH($C$1,Database!$A$1:$C$1,),))</f>
        <v/>
      </c>
      <c r="D3111">
        <f>IFERROR(Table7[[#This Row],[United States 10y]]-Table7[[#This Row],[United States 3y]],#N/A)</f>
        <v/>
      </c>
    </row>
    <row r="3112">
      <c r="A3112" s="6">
        <f>Database!$A5197</f>
        <v/>
      </c>
      <c r="B3112">
        <f>IF(VLOOKUP(Table7[[#This Row],[Date]],Database!$A:$C,MATCH($B$1,Database!$A$1:$C$1,),)=0,#N/A,VLOOKUP(Table7[[#This Row],[Date]],Database!$A:$C,MATCH($B$1,Database!$A$1:$C$1,),))</f>
        <v/>
      </c>
      <c r="C3112">
        <f>IF(VLOOKUP(Table7[[#This Row],[Date]],Database!$A:$C,MATCH($C$1,Database!$A$1:$C$1,),)=0,#N/A,VLOOKUP(Table7[[#This Row],[Date]],Database!$A:$C,MATCH($C$1,Database!$A$1:$C$1,),))</f>
        <v/>
      </c>
      <c r="D3112">
        <f>IFERROR(Table7[[#This Row],[United States 10y]]-Table7[[#This Row],[United States 3y]],#N/A)</f>
        <v/>
      </c>
    </row>
    <row r="3113">
      <c r="A3113" s="6">
        <f>Database!$A5198</f>
        <v/>
      </c>
      <c r="B3113">
        <f>IF(VLOOKUP(Table7[[#This Row],[Date]],Database!$A:$C,MATCH($B$1,Database!$A$1:$C$1,),)=0,#N/A,VLOOKUP(Table7[[#This Row],[Date]],Database!$A:$C,MATCH($B$1,Database!$A$1:$C$1,),))</f>
        <v/>
      </c>
      <c r="C3113">
        <f>IF(VLOOKUP(Table7[[#This Row],[Date]],Database!$A:$C,MATCH($C$1,Database!$A$1:$C$1,),)=0,#N/A,VLOOKUP(Table7[[#This Row],[Date]],Database!$A:$C,MATCH($C$1,Database!$A$1:$C$1,),))</f>
        <v/>
      </c>
      <c r="D3113">
        <f>IFERROR(Table7[[#This Row],[United States 10y]]-Table7[[#This Row],[United States 3y]],#N/A)</f>
        <v/>
      </c>
    </row>
    <row r="3114">
      <c r="A3114" s="6">
        <f>Database!$A5199</f>
        <v/>
      </c>
      <c r="B3114">
        <f>IF(VLOOKUP(Table7[[#This Row],[Date]],Database!$A:$C,MATCH($B$1,Database!$A$1:$C$1,),)=0,#N/A,VLOOKUP(Table7[[#This Row],[Date]],Database!$A:$C,MATCH($B$1,Database!$A$1:$C$1,),))</f>
        <v/>
      </c>
      <c r="C3114">
        <f>IF(VLOOKUP(Table7[[#This Row],[Date]],Database!$A:$C,MATCH($C$1,Database!$A$1:$C$1,),)=0,#N/A,VLOOKUP(Table7[[#This Row],[Date]],Database!$A:$C,MATCH($C$1,Database!$A$1:$C$1,),))</f>
        <v/>
      </c>
      <c r="D3114">
        <f>IFERROR(Table7[[#This Row],[United States 10y]]-Table7[[#This Row],[United States 3y]],#N/A)</f>
        <v/>
      </c>
    </row>
    <row r="3115">
      <c r="A3115" s="6">
        <f>Database!$A5200</f>
        <v/>
      </c>
      <c r="B3115">
        <f>IF(VLOOKUP(Table7[[#This Row],[Date]],Database!$A:$C,MATCH($B$1,Database!$A$1:$C$1,),)=0,#N/A,VLOOKUP(Table7[[#This Row],[Date]],Database!$A:$C,MATCH($B$1,Database!$A$1:$C$1,),))</f>
        <v/>
      </c>
      <c r="C3115">
        <f>IF(VLOOKUP(Table7[[#This Row],[Date]],Database!$A:$C,MATCH($C$1,Database!$A$1:$C$1,),)=0,#N/A,VLOOKUP(Table7[[#This Row],[Date]],Database!$A:$C,MATCH($C$1,Database!$A$1:$C$1,),))</f>
        <v/>
      </c>
      <c r="D3115">
        <f>IFERROR(Table7[[#This Row],[United States 10y]]-Table7[[#This Row],[United States 3y]],#N/A)</f>
        <v/>
      </c>
    </row>
    <row r="3116">
      <c r="A3116" s="6">
        <f>Database!$A5201</f>
        <v/>
      </c>
      <c r="B3116">
        <f>IF(VLOOKUP(Table7[[#This Row],[Date]],Database!$A:$C,MATCH($B$1,Database!$A$1:$C$1,),)=0,#N/A,VLOOKUP(Table7[[#This Row],[Date]],Database!$A:$C,MATCH($B$1,Database!$A$1:$C$1,),))</f>
        <v/>
      </c>
      <c r="C3116">
        <f>IF(VLOOKUP(Table7[[#This Row],[Date]],Database!$A:$C,MATCH($C$1,Database!$A$1:$C$1,),)=0,#N/A,VLOOKUP(Table7[[#This Row],[Date]],Database!$A:$C,MATCH($C$1,Database!$A$1:$C$1,),))</f>
        <v/>
      </c>
      <c r="D3116">
        <f>IFERROR(Table7[[#This Row],[United States 10y]]-Table7[[#This Row],[United States 3y]],#N/A)</f>
        <v/>
      </c>
    </row>
    <row r="3117">
      <c r="A3117" s="6">
        <f>Database!$A5202</f>
        <v/>
      </c>
      <c r="B3117">
        <f>IF(VLOOKUP(Table7[[#This Row],[Date]],Database!$A:$C,MATCH($B$1,Database!$A$1:$C$1,),)=0,#N/A,VLOOKUP(Table7[[#This Row],[Date]],Database!$A:$C,MATCH($B$1,Database!$A$1:$C$1,),))</f>
        <v/>
      </c>
      <c r="C3117">
        <f>IF(VLOOKUP(Table7[[#This Row],[Date]],Database!$A:$C,MATCH($C$1,Database!$A$1:$C$1,),)=0,#N/A,VLOOKUP(Table7[[#This Row],[Date]],Database!$A:$C,MATCH($C$1,Database!$A$1:$C$1,),))</f>
        <v/>
      </c>
      <c r="D3117">
        <f>IFERROR(Table7[[#This Row],[United States 10y]]-Table7[[#This Row],[United States 3y]],#N/A)</f>
        <v/>
      </c>
    </row>
    <row r="3118">
      <c r="A3118" s="6">
        <f>Database!$A5203</f>
        <v/>
      </c>
      <c r="B3118">
        <f>IF(VLOOKUP(Table7[[#This Row],[Date]],Database!$A:$C,MATCH($B$1,Database!$A$1:$C$1,),)=0,#N/A,VLOOKUP(Table7[[#This Row],[Date]],Database!$A:$C,MATCH($B$1,Database!$A$1:$C$1,),))</f>
        <v/>
      </c>
      <c r="C3118">
        <f>IF(VLOOKUP(Table7[[#This Row],[Date]],Database!$A:$C,MATCH($C$1,Database!$A$1:$C$1,),)=0,#N/A,VLOOKUP(Table7[[#This Row],[Date]],Database!$A:$C,MATCH($C$1,Database!$A$1:$C$1,),))</f>
        <v/>
      </c>
      <c r="D3118">
        <f>IFERROR(Table7[[#This Row],[United States 10y]]-Table7[[#This Row],[United States 3y]],#N/A)</f>
        <v/>
      </c>
    </row>
    <row r="3119">
      <c r="A3119" s="6">
        <f>Database!$A5204</f>
        <v/>
      </c>
      <c r="B3119">
        <f>IF(VLOOKUP(Table7[[#This Row],[Date]],Database!$A:$C,MATCH($B$1,Database!$A$1:$C$1,),)=0,#N/A,VLOOKUP(Table7[[#This Row],[Date]],Database!$A:$C,MATCH($B$1,Database!$A$1:$C$1,),))</f>
        <v/>
      </c>
      <c r="C3119">
        <f>IF(VLOOKUP(Table7[[#This Row],[Date]],Database!$A:$C,MATCH($C$1,Database!$A$1:$C$1,),)=0,#N/A,VLOOKUP(Table7[[#This Row],[Date]],Database!$A:$C,MATCH($C$1,Database!$A$1:$C$1,),))</f>
        <v/>
      </c>
      <c r="D3119">
        <f>IFERROR(Table7[[#This Row],[United States 10y]]-Table7[[#This Row],[United States 3y]],#N/A)</f>
        <v/>
      </c>
    </row>
    <row r="3120">
      <c r="A3120" s="6">
        <f>Database!$A5205</f>
        <v/>
      </c>
      <c r="B3120">
        <f>IF(VLOOKUP(Table7[[#This Row],[Date]],Database!$A:$C,MATCH($B$1,Database!$A$1:$C$1,),)=0,#N/A,VLOOKUP(Table7[[#This Row],[Date]],Database!$A:$C,MATCH($B$1,Database!$A$1:$C$1,),))</f>
        <v/>
      </c>
      <c r="C3120">
        <f>IF(VLOOKUP(Table7[[#This Row],[Date]],Database!$A:$C,MATCH($C$1,Database!$A$1:$C$1,),)=0,#N/A,VLOOKUP(Table7[[#This Row],[Date]],Database!$A:$C,MATCH($C$1,Database!$A$1:$C$1,),))</f>
        <v/>
      </c>
      <c r="D3120">
        <f>IFERROR(Table7[[#This Row],[United States 10y]]-Table7[[#This Row],[United States 3y]],#N/A)</f>
        <v/>
      </c>
    </row>
    <row r="3121">
      <c r="A3121" s="6">
        <f>Database!$A5206</f>
        <v/>
      </c>
      <c r="B3121">
        <f>IF(VLOOKUP(Table7[[#This Row],[Date]],Database!$A:$C,MATCH($B$1,Database!$A$1:$C$1,),)=0,#N/A,VLOOKUP(Table7[[#This Row],[Date]],Database!$A:$C,MATCH($B$1,Database!$A$1:$C$1,),))</f>
        <v/>
      </c>
      <c r="C3121">
        <f>IF(VLOOKUP(Table7[[#This Row],[Date]],Database!$A:$C,MATCH($C$1,Database!$A$1:$C$1,),)=0,#N/A,VLOOKUP(Table7[[#This Row],[Date]],Database!$A:$C,MATCH($C$1,Database!$A$1:$C$1,),))</f>
        <v/>
      </c>
      <c r="D3121">
        <f>IFERROR(Table7[[#This Row],[United States 10y]]-Table7[[#This Row],[United States 3y]],#N/A)</f>
        <v/>
      </c>
    </row>
    <row r="3122">
      <c r="A3122" s="6">
        <f>Database!$A5207</f>
        <v/>
      </c>
      <c r="B3122">
        <f>IF(VLOOKUP(Table7[[#This Row],[Date]],Database!$A:$C,MATCH($B$1,Database!$A$1:$C$1,),)=0,#N/A,VLOOKUP(Table7[[#This Row],[Date]],Database!$A:$C,MATCH($B$1,Database!$A$1:$C$1,),))</f>
        <v/>
      </c>
      <c r="C3122">
        <f>IF(VLOOKUP(Table7[[#This Row],[Date]],Database!$A:$C,MATCH($C$1,Database!$A$1:$C$1,),)=0,#N/A,VLOOKUP(Table7[[#This Row],[Date]],Database!$A:$C,MATCH($C$1,Database!$A$1:$C$1,),))</f>
        <v/>
      </c>
      <c r="D3122">
        <f>IFERROR(Table7[[#This Row],[United States 10y]]-Table7[[#This Row],[United States 3y]],#N/A)</f>
        <v/>
      </c>
    </row>
    <row r="3123">
      <c r="A3123" s="6">
        <f>Database!$A5208</f>
        <v/>
      </c>
      <c r="B3123">
        <f>IF(VLOOKUP(Table7[[#This Row],[Date]],Database!$A:$C,MATCH($B$1,Database!$A$1:$C$1,),)=0,#N/A,VLOOKUP(Table7[[#This Row],[Date]],Database!$A:$C,MATCH($B$1,Database!$A$1:$C$1,),))</f>
        <v/>
      </c>
      <c r="C3123">
        <f>IF(VLOOKUP(Table7[[#This Row],[Date]],Database!$A:$C,MATCH($C$1,Database!$A$1:$C$1,),)=0,#N/A,VLOOKUP(Table7[[#This Row],[Date]],Database!$A:$C,MATCH($C$1,Database!$A$1:$C$1,),))</f>
        <v/>
      </c>
      <c r="D3123">
        <f>IFERROR(Table7[[#This Row],[United States 10y]]-Table7[[#This Row],[United States 3y]],#N/A)</f>
        <v/>
      </c>
    </row>
    <row r="3124">
      <c r="A3124" s="6">
        <f>Database!$A5209</f>
        <v/>
      </c>
      <c r="B3124">
        <f>IF(VLOOKUP(Table7[[#This Row],[Date]],Database!$A:$C,MATCH($B$1,Database!$A$1:$C$1,),)=0,#N/A,VLOOKUP(Table7[[#This Row],[Date]],Database!$A:$C,MATCH($B$1,Database!$A$1:$C$1,),))</f>
        <v/>
      </c>
      <c r="C3124">
        <f>IF(VLOOKUP(Table7[[#This Row],[Date]],Database!$A:$C,MATCH($C$1,Database!$A$1:$C$1,),)=0,#N/A,VLOOKUP(Table7[[#This Row],[Date]],Database!$A:$C,MATCH($C$1,Database!$A$1:$C$1,),))</f>
        <v/>
      </c>
      <c r="D3124">
        <f>IFERROR(Table7[[#This Row],[United States 10y]]-Table7[[#This Row],[United States 3y]],#N/A)</f>
        <v/>
      </c>
    </row>
    <row r="3125">
      <c r="A3125" s="6">
        <f>Database!$A5210</f>
        <v/>
      </c>
      <c r="B3125">
        <f>IF(VLOOKUP(Table7[[#This Row],[Date]],Database!$A:$C,MATCH($B$1,Database!$A$1:$C$1,),)=0,#N/A,VLOOKUP(Table7[[#This Row],[Date]],Database!$A:$C,MATCH($B$1,Database!$A$1:$C$1,),))</f>
        <v/>
      </c>
      <c r="C3125">
        <f>IF(VLOOKUP(Table7[[#This Row],[Date]],Database!$A:$C,MATCH($C$1,Database!$A$1:$C$1,),)=0,#N/A,VLOOKUP(Table7[[#This Row],[Date]],Database!$A:$C,MATCH($C$1,Database!$A$1:$C$1,),))</f>
        <v/>
      </c>
      <c r="D3125">
        <f>IFERROR(Table7[[#This Row],[United States 10y]]-Table7[[#This Row],[United States 3y]],#N/A)</f>
        <v/>
      </c>
    </row>
    <row r="3126">
      <c r="A3126" s="6">
        <f>Database!$A5211</f>
        <v/>
      </c>
      <c r="B3126">
        <f>IF(VLOOKUP(Table7[[#This Row],[Date]],Database!$A:$C,MATCH($B$1,Database!$A$1:$C$1,),)=0,#N/A,VLOOKUP(Table7[[#This Row],[Date]],Database!$A:$C,MATCH($B$1,Database!$A$1:$C$1,),))</f>
        <v/>
      </c>
      <c r="C3126">
        <f>IF(VLOOKUP(Table7[[#This Row],[Date]],Database!$A:$C,MATCH($C$1,Database!$A$1:$C$1,),)=0,#N/A,VLOOKUP(Table7[[#This Row],[Date]],Database!$A:$C,MATCH($C$1,Database!$A$1:$C$1,),))</f>
        <v/>
      </c>
      <c r="D3126">
        <f>IFERROR(Table7[[#This Row],[United States 10y]]-Table7[[#This Row],[United States 3y]],#N/A)</f>
        <v/>
      </c>
    </row>
    <row r="3127">
      <c r="A3127" s="6">
        <f>Database!$A5212</f>
        <v/>
      </c>
      <c r="B3127">
        <f>IF(VLOOKUP(Table7[[#This Row],[Date]],Database!$A:$C,MATCH($B$1,Database!$A$1:$C$1,),)=0,#N/A,VLOOKUP(Table7[[#This Row],[Date]],Database!$A:$C,MATCH($B$1,Database!$A$1:$C$1,),))</f>
        <v/>
      </c>
      <c r="C3127">
        <f>IF(VLOOKUP(Table7[[#This Row],[Date]],Database!$A:$C,MATCH($C$1,Database!$A$1:$C$1,),)=0,#N/A,VLOOKUP(Table7[[#This Row],[Date]],Database!$A:$C,MATCH($C$1,Database!$A$1:$C$1,),))</f>
        <v/>
      </c>
      <c r="D3127">
        <f>IFERROR(Table7[[#This Row],[United States 10y]]-Table7[[#This Row],[United States 3y]],#N/A)</f>
        <v/>
      </c>
    </row>
    <row r="3128">
      <c r="A3128" s="6">
        <f>Database!$A5213</f>
        <v/>
      </c>
      <c r="B3128">
        <f>IF(VLOOKUP(Table7[[#This Row],[Date]],Database!$A:$C,MATCH($B$1,Database!$A$1:$C$1,),)=0,#N/A,VLOOKUP(Table7[[#This Row],[Date]],Database!$A:$C,MATCH($B$1,Database!$A$1:$C$1,),))</f>
        <v/>
      </c>
      <c r="C3128">
        <f>IF(VLOOKUP(Table7[[#This Row],[Date]],Database!$A:$C,MATCH($C$1,Database!$A$1:$C$1,),)=0,#N/A,VLOOKUP(Table7[[#This Row],[Date]],Database!$A:$C,MATCH($C$1,Database!$A$1:$C$1,),))</f>
        <v/>
      </c>
      <c r="D3128">
        <f>IFERROR(Table7[[#This Row],[United States 10y]]-Table7[[#This Row],[United States 3y]],#N/A)</f>
        <v/>
      </c>
    </row>
    <row r="3129">
      <c r="A3129" s="6">
        <f>Database!$A5214</f>
        <v/>
      </c>
      <c r="B3129">
        <f>IF(VLOOKUP(Table7[[#This Row],[Date]],Database!$A:$C,MATCH($B$1,Database!$A$1:$C$1,),)=0,#N/A,VLOOKUP(Table7[[#This Row],[Date]],Database!$A:$C,MATCH($B$1,Database!$A$1:$C$1,),))</f>
        <v/>
      </c>
      <c r="C3129">
        <f>IF(VLOOKUP(Table7[[#This Row],[Date]],Database!$A:$C,MATCH($C$1,Database!$A$1:$C$1,),)=0,#N/A,VLOOKUP(Table7[[#This Row],[Date]],Database!$A:$C,MATCH($C$1,Database!$A$1:$C$1,),))</f>
        <v/>
      </c>
      <c r="D3129">
        <f>IFERROR(Table7[[#This Row],[United States 10y]]-Table7[[#This Row],[United States 3y]],#N/A)</f>
        <v/>
      </c>
    </row>
    <row r="3130">
      <c r="A3130" s="6">
        <f>Database!$A5215</f>
        <v/>
      </c>
      <c r="B3130">
        <f>IF(VLOOKUP(Table7[[#This Row],[Date]],Database!$A:$C,MATCH($B$1,Database!$A$1:$C$1,),)=0,#N/A,VLOOKUP(Table7[[#This Row],[Date]],Database!$A:$C,MATCH($B$1,Database!$A$1:$C$1,),))</f>
        <v/>
      </c>
      <c r="C3130">
        <f>IF(VLOOKUP(Table7[[#This Row],[Date]],Database!$A:$C,MATCH($C$1,Database!$A$1:$C$1,),)=0,#N/A,VLOOKUP(Table7[[#This Row],[Date]],Database!$A:$C,MATCH($C$1,Database!$A$1:$C$1,),))</f>
        <v/>
      </c>
      <c r="D3130">
        <f>IFERROR(Table7[[#This Row],[United States 10y]]-Table7[[#This Row],[United States 3y]],#N/A)</f>
        <v/>
      </c>
    </row>
    <row r="3131">
      <c r="A3131" s="6">
        <f>Database!$A5216</f>
        <v/>
      </c>
      <c r="B3131">
        <f>IF(VLOOKUP(Table7[[#This Row],[Date]],Database!$A:$C,MATCH($B$1,Database!$A$1:$C$1,),)=0,#N/A,VLOOKUP(Table7[[#This Row],[Date]],Database!$A:$C,MATCH($B$1,Database!$A$1:$C$1,),))</f>
        <v/>
      </c>
      <c r="C3131">
        <f>IF(VLOOKUP(Table7[[#This Row],[Date]],Database!$A:$C,MATCH($C$1,Database!$A$1:$C$1,),)=0,#N/A,VLOOKUP(Table7[[#This Row],[Date]],Database!$A:$C,MATCH($C$1,Database!$A$1:$C$1,),))</f>
        <v/>
      </c>
      <c r="D3131">
        <f>IFERROR(Table7[[#This Row],[United States 10y]]-Table7[[#This Row],[United States 3y]],#N/A)</f>
        <v/>
      </c>
    </row>
    <row r="3132">
      <c r="A3132" s="6">
        <f>Database!$A5217</f>
        <v/>
      </c>
      <c r="B3132">
        <f>IF(VLOOKUP(Table7[[#This Row],[Date]],Database!$A:$C,MATCH($B$1,Database!$A$1:$C$1,),)=0,#N/A,VLOOKUP(Table7[[#This Row],[Date]],Database!$A:$C,MATCH($B$1,Database!$A$1:$C$1,),))</f>
        <v/>
      </c>
      <c r="C3132">
        <f>IF(VLOOKUP(Table7[[#This Row],[Date]],Database!$A:$C,MATCH($C$1,Database!$A$1:$C$1,),)=0,#N/A,VLOOKUP(Table7[[#This Row],[Date]],Database!$A:$C,MATCH($C$1,Database!$A$1:$C$1,),))</f>
        <v/>
      </c>
      <c r="D3132">
        <f>IFERROR(Table7[[#This Row],[United States 10y]]-Table7[[#This Row],[United States 3y]],#N/A)</f>
        <v/>
      </c>
    </row>
    <row r="3133">
      <c r="A3133" s="6">
        <f>Database!$A5218</f>
        <v/>
      </c>
      <c r="B3133">
        <f>IF(VLOOKUP(Table7[[#This Row],[Date]],Database!$A:$C,MATCH($B$1,Database!$A$1:$C$1,),)=0,#N/A,VLOOKUP(Table7[[#This Row],[Date]],Database!$A:$C,MATCH($B$1,Database!$A$1:$C$1,),))</f>
        <v/>
      </c>
      <c r="C3133">
        <f>IF(VLOOKUP(Table7[[#This Row],[Date]],Database!$A:$C,MATCH($C$1,Database!$A$1:$C$1,),)=0,#N/A,VLOOKUP(Table7[[#This Row],[Date]],Database!$A:$C,MATCH($C$1,Database!$A$1:$C$1,),))</f>
        <v/>
      </c>
      <c r="D3133">
        <f>IFERROR(Table7[[#This Row],[United States 10y]]-Table7[[#This Row],[United States 3y]],#N/A)</f>
        <v/>
      </c>
    </row>
    <row r="3134">
      <c r="A3134" s="6">
        <f>Database!$A5219</f>
        <v/>
      </c>
      <c r="B3134">
        <f>IF(VLOOKUP(Table7[[#This Row],[Date]],Database!$A:$C,MATCH($B$1,Database!$A$1:$C$1,),)=0,#N/A,VLOOKUP(Table7[[#This Row],[Date]],Database!$A:$C,MATCH($B$1,Database!$A$1:$C$1,),))</f>
        <v/>
      </c>
      <c r="C3134">
        <f>IF(VLOOKUP(Table7[[#This Row],[Date]],Database!$A:$C,MATCH($C$1,Database!$A$1:$C$1,),)=0,#N/A,VLOOKUP(Table7[[#This Row],[Date]],Database!$A:$C,MATCH($C$1,Database!$A$1:$C$1,),))</f>
        <v/>
      </c>
      <c r="D3134">
        <f>IFERROR(Table7[[#This Row],[United States 10y]]-Table7[[#This Row],[United States 3y]],#N/A)</f>
        <v/>
      </c>
    </row>
    <row r="3135">
      <c r="A3135" s="6">
        <f>Database!$A5220</f>
        <v/>
      </c>
      <c r="B3135">
        <f>IF(VLOOKUP(Table7[[#This Row],[Date]],Database!$A:$C,MATCH($B$1,Database!$A$1:$C$1,),)=0,#N/A,VLOOKUP(Table7[[#This Row],[Date]],Database!$A:$C,MATCH($B$1,Database!$A$1:$C$1,),))</f>
        <v/>
      </c>
      <c r="C3135">
        <f>IF(VLOOKUP(Table7[[#This Row],[Date]],Database!$A:$C,MATCH($C$1,Database!$A$1:$C$1,),)=0,#N/A,VLOOKUP(Table7[[#This Row],[Date]],Database!$A:$C,MATCH($C$1,Database!$A$1:$C$1,),))</f>
        <v/>
      </c>
      <c r="D3135">
        <f>IFERROR(Table7[[#This Row],[United States 10y]]-Table7[[#This Row],[United States 3y]],#N/A)</f>
        <v/>
      </c>
    </row>
    <row r="3136">
      <c r="A3136" s="6">
        <f>Database!$A5221</f>
        <v/>
      </c>
      <c r="B3136">
        <f>IF(VLOOKUP(Table7[[#This Row],[Date]],Database!$A:$C,MATCH($B$1,Database!$A$1:$C$1,),)=0,#N/A,VLOOKUP(Table7[[#This Row],[Date]],Database!$A:$C,MATCH($B$1,Database!$A$1:$C$1,),))</f>
        <v/>
      </c>
      <c r="C3136">
        <f>IF(VLOOKUP(Table7[[#This Row],[Date]],Database!$A:$C,MATCH($C$1,Database!$A$1:$C$1,),)=0,#N/A,VLOOKUP(Table7[[#This Row],[Date]],Database!$A:$C,MATCH($C$1,Database!$A$1:$C$1,),))</f>
        <v/>
      </c>
      <c r="D3136">
        <f>IFERROR(Table7[[#This Row],[United States 10y]]-Table7[[#This Row],[United States 3y]],#N/A)</f>
        <v/>
      </c>
    </row>
    <row r="3137">
      <c r="A3137" s="6">
        <f>Database!$A5222</f>
        <v/>
      </c>
      <c r="B3137">
        <f>IF(VLOOKUP(Table7[[#This Row],[Date]],Database!$A:$C,MATCH($B$1,Database!$A$1:$C$1,),)=0,#N/A,VLOOKUP(Table7[[#This Row],[Date]],Database!$A:$C,MATCH($B$1,Database!$A$1:$C$1,),))</f>
        <v/>
      </c>
      <c r="C3137">
        <f>IF(VLOOKUP(Table7[[#This Row],[Date]],Database!$A:$C,MATCH($C$1,Database!$A$1:$C$1,),)=0,#N/A,VLOOKUP(Table7[[#This Row],[Date]],Database!$A:$C,MATCH($C$1,Database!$A$1:$C$1,),))</f>
        <v/>
      </c>
      <c r="D3137">
        <f>IFERROR(Table7[[#This Row],[United States 10y]]-Table7[[#This Row],[United States 3y]],#N/A)</f>
        <v/>
      </c>
    </row>
    <row r="3138">
      <c r="A3138" s="6">
        <f>Database!$A5223</f>
        <v/>
      </c>
      <c r="B3138">
        <f>IF(VLOOKUP(Table7[[#This Row],[Date]],Database!$A:$C,MATCH($B$1,Database!$A$1:$C$1,),)=0,#N/A,VLOOKUP(Table7[[#This Row],[Date]],Database!$A:$C,MATCH($B$1,Database!$A$1:$C$1,),))</f>
        <v/>
      </c>
      <c r="C3138">
        <f>IF(VLOOKUP(Table7[[#This Row],[Date]],Database!$A:$C,MATCH($C$1,Database!$A$1:$C$1,),)=0,#N/A,VLOOKUP(Table7[[#This Row],[Date]],Database!$A:$C,MATCH($C$1,Database!$A$1:$C$1,),))</f>
        <v/>
      </c>
      <c r="D3138">
        <f>IFERROR(Table7[[#This Row],[United States 10y]]-Table7[[#This Row],[United States 3y]],#N/A)</f>
        <v/>
      </c>
    </row>
    <row r="3139">
      <c r="A3139" s="6">
        <f>Database!$A5224</f>
        <v/>
      </c>
      <c r="B3139">
        <f>IF(VLOOKUP(Table7[[#This Row],[Date]],Database!$A:$C,MATCH($B$1,Database!$A$1:$C$1,),)=0,#N/A,VLOOKUP(Table7[[#This Row],[Date]],Database!$A:$C,MATCH($B$1,Database!$A$1:$C$1,),))</f>
        <v/>
      </c>
      <c r="C3139">
        <f>IF(VLOOKUP(Table7[[#This Row],[Date]],Database!$A:$C,MATCH($C$1,Database!$A$1:$C$1,),)=0,#N/A,VLOOKUP(Table7[[#This Row],[Date]],Database!$A:$C,MATCH($C$1,Database!$A$1:$C$1,),))</f>
        <v/>
      </c>
      <c r="D3139">
        <f>IFERROR(Table7[[#This Row],[United States 10y]]-Table7[[#This Row],[United States 3y]],#N/A)</f>
        <v/>
      </c>
    </row>
    <row r="3140">
      <c r="A3140" s="6">
        <f>Database!$A5225</f>
        <v/>
      </c>
      <c r="B3140">
        <f>IF(VLOOKUP(Table7[[#This Row],[Date]],Database!$A:$C,MATCH($B$1,Database!$A$1:$C$1,),)=0,#N/A,VLOOKUP(Table7[[#This Row],[Date]],Database!$A:$C,MATCH($B$1,Database!$A$1:$C$1,),))</f>
        <v/>
      </c>
      <c r="C3140">
        <f>IF(VLOOKUP(Table7[[#This Row],[Date]],Database!$A:$C,MATCH($C$1,Database!$A$1:$C$1,),)=0,#N/A,VLOOKUP(Table7[[#This Row],[Date]],Database!$A:$C,MATCH($C$1,Database!$A$1:$C$1,),))</f>
        <v/>
      </c>
      <c r="D3140">
        <f>IFERROR(Table7[[#This Row],[United States 10y]]-Table7[[#This Row],[United States 3y]],#N/A)</f>
        <v/>
      </c>
    </row>
    <row r="3141">
      <c r="A3141" s="6">
        <f>Database!$A5226</f>
        <v/>
      </c>
      <c r="B3141">
        <f>IF(VLOOKUP(Table7[[#This Row],[Date]],Database!$A:$C,MATCH($B$1,Database!$A$1:$C$1,),)=0,#N/A,VLOOKUP(Table7[[#This Row],[Date]],Database!$A:$C,MATCH($B$1,Database!$A$1:$C$1,),))</f>
        <v/>
      </c>
      <c r="C3141">
        <f>IF(VLOOKUP(Table7[[#This Row],[Date]],Database!$A:$C,MATCH($C$1,Database!$A$1:$C$1,),)=0,#N/A,VLOOKUP(Table7[[#This Row],[Date]],Database!$A:$C,MATCH($C$1,Database!$A$1:$C$1,),))</f>
        <v/>
      </c>
      <c r="D3141">
        <f>IFERROR(Table7[[#This Row],[United States 10y]]-Table7[[#This Row],[United States 3y]],#N/A)</f>
        <v/>
      </c>
    </row>
    <row r="3142">
      <c r="A3142" s="6">
        <f>Database!$A5227</f>
        <v/>
      </c>
      <c r="B3142">
        <f>IF(VLOOKUP(Table7[[#This Row],[Date]],Database!$A:$C,MATCH($B$1,Database!$A$1:$C$1,),)=0,#N/A,VLOOKUP(Table7[[#This Row],[Date]],Database!$A:$C,MATCH($B$1,Database!$A$1:$C$1,),))</f>
        <v/>
      </c>
      <c r="C3142">
        <f>IF(VLOOKUP(Table7[[#This Row],[Date]],Database!$A:$C,MATCH($C$1,Database!$A$1:$C$1,),)=0,#N/A,VLOOKUP(Table7[[#This Row],[Date]],Database!$A:$C,MATCH($C$1,Database!$A$1:$C$1,),))</f>
        <v/>
      </c>
      <c r="D3142">
        <f>IFERROR(Table7[[#This Row],[United States 10y]]-Table7[[#This Row],[United States 3y]],#N/A)</f>
        <v/>
      </c>
    </row>
    <row r="3143">
      <c r="A3143" s="6">
        <f>Database!$A5228</f>
        <v/>
      </c>
      <c r="B3143">
        <f>IF(VLOOKUP(Table7[[#This Row],[Date]],Database!$A:$C,MATCH($B$1,Database!$A$1:$C$1,),)=0,#N/A,VLOOKUP(Table7[[#This Row],[Date]],Database!$A:$C,MATCH($B$1,Database!$A$1:$C$1,),))</f>
        <v/>
      </c>
      <c r="C3143">
        <f>IF(VLOOKUP(Table7[[#This Row],[Date]],Database!$A:$C,MATCH($C$1,Database!$A$1:$C$1,),)=0,#N/A,VLOOKUP(Table7[[#This Row],[Date]],Database!$A:$C,MATCH($C$1,Database!$A$1:$C$1,),))</f>
        <v/>
      </c>
      <c r="D3143">
        <f>IFERROR(Table7[[#This Row],[United States 10y]]-Table7[[#This Row],[United States 3y]],#N/A)</f>
        <v/>
      </c>
    </row>
    <row r="3144">
      <c r="A3144" s="6">
        <f>Database!$A5229</f>
        <v/>
      </c>
      <c r="B3144">
        <f>IF(VLOOKUP(Table7[[#This Row],[Date]],Database!$A:$C,MATCH($B$1,Database!$A$1:$C$1,),)=0,#N/A,VLOOKUP(Table7[[#This Row],[Date]],Database!$A:$C,MATCH($B$1,Database!$A$1:$C$1,),))</f>
        <v/>
      </c>
      <c r="C3144">
        <f>IF(VLOOKUP(Table7[[#This Row],[Date]],Database!$A:$C,MATCH($C$1,Database!$A$1:$C$1,),)=0,#N/A,VLOOKUP(Table7[[#This Row],[Date]],Database!$A:$C,MATCH($C$1,Database!$A$1:$C$1,),))</f>
        <v/>
      </c>
      <c r="D3144">
        <f>IFERROR(Table7[[#This Row],[United States 10y]]-Table7[[#This Row],[United States 3y]],#N/A)</f>
        <v/>
      </c>
    </row>
    <row r="3145">
      <c r="A3145" s="6">
        <f>Database!$A5230</f>
        <v/>
      </c>
      <c r="B3145">
        <f>IF(VLOOKUP(Table7[[#This Row],[Date]],Database!$A:$C,MATCH($B$1,Database!$A$1:$C$1,),)=0,#N/A,VLOOKUP(Table7[[#This Row],[Date]],Database!$A:$C,MATCH($B$1,Database!$A$1:$C$1,),))</f>
        <v/>
      </c>
      <c r="C3145">
        <f>IF(VLOOKUP(Table7[[#This Row],[Date]],Database!$A:$C,MATCH($C$1,Database!$A$1:$C$1,),)=0,#N/A,VLOOKUP(Table7[[#This Row],[Date]],Database!$A:$C,MATCH($C$1,Database!$A$1:$C$1,),))</f>
        <v/>
      </c>
      <c r="D3145">
        <f>IFERROR(Table7[[#This Row],[United States 10y]]-Table7[[#This Row],[United States 3y]],#N/A)</f>
        <v/>
      </c>
    </row>
    <row r="3146">
      <c r="A3146" s="6">
        <f>Database!$A5231</f>
        <v/>
      </c>
      <c r="B3146">
        <f>IF(VLOOKUP(Table7[[#This Row],[Date]],Database!$A:$C,MATCH($B$1,Database!$A$1:$C$1,),)=0,#N/A,VLOOKUP(Table7[[#This Row],[Date]],Database!$A:$C,MATCH($B$1,Database!$A$1:$C$1,),))</f>
        <v/>
      </c>
      <c r="C3146">
        <f>IF(VLOOKUP(Table7[[#This Row],[Date]],Database!$A:$C,MATCH($C$1,Database!$A$1:$C$1,),)=0,#N/A,VLOOKUP(Table7[[#This Row],[Date]],Database!$A:$C,MATCH($C$1,Database!$A$1:$C$1,),))</f>
        <v/>
      </c>
      <c r="D3146">
        <f>IFERROR(Table7[[#This Row],[United States 10y]]-Table7[[#This Row],[United States 3y]],#N/A)</f>
        <v/>
      </c>
    </row>
    <row r="3147">
      <c r="A3147" s="6">
        <f>Database!$A5232</f>
        <v/>
      </c>
      <c r="B3147">
        <f>IF(VLOOKUP(Table7[[#This Row],[Date]],Database!$A:$C,MATCH($B$1,Database!$A$1:$C$1,),)=0,#N/A,VLOOKUP(Table7[[#This Row],[Date]],Database!$A:$C,MATCH($B$1,Database!$A$1:$C$1,),))</f>
        <v/>
      </c>
      <c r="C3147">
        <f>IF(VLOOKUP(Table7[[#This Row],[Date]],Database!$A:$C,MATCH($C$1,Database!$A$1:$C$1,),)=0,#N/A,VLOOKUP(Table7[[#This Row],[Date]],Database!$A:$C,MATCH($C$1,Database!$A$1:$C$1,),))</f>
        <v/>
      </c>
      <c r="D3147">
        <f>IFERROR(Table7[[#This Row],[United States 10y]]-Table7[[#This Row],[United States 3y]],#N/A)</f>
        <v/>
      </c>
    </row>
    <row r="3148">
      <c r="A3148" s="6">
        <f>Database!$A5233</f>
        <v/>
      </c>
      <c r="B3148">
        <f>IF(VLOOKUP(Table7[[#This Row],[Date]],Database!$A:$C,MATCH($B$1,Database!$A$1:$C$1,),)=0,#N/A,VLOOKUP(Table7[[#This Row],[Date]],Database!$A:$C,MATCH($B$1,Database!$A$1:$C$1,),))</f>
        <v/>
      </c>
      <c r="C3148">
        <f>IF(VLOOKUP(Table7[[#This Row],[Date]],Database!$A:$C,MATCH($C$1,Database!$A$1:$C$1,),)=0,#N/A,VLOOKUP(Table7[[#This Row],[Date]],Database!$A:$C,MATCH($C$1,Database!$A$1:$C$1,),))</f>
        <v/>
      </c>
      <c r="D3148">
        <f>IFERROR(Table7[[#This Row],[United States 10y]]-Table7[[#This Row],[United States 3y]],#N/A)</f>
        <v/>
      </c>
    </row>
    <row r="3149">
      <c r="A3149" s="6">
        <f>Database!$A5234</f>
        <v/>
      </c>
      <c r="B3149">
        <f>IF(VLOOKUP(Table7[[#This Row],[Date]],Database!$A:$C,MATCH($B$1,Database!$A$1:$C$1,),)=0,#N/A,VLOOKUP(Table7[[#This Row],[Date]],Database!$A:$C,MATCH($B$1,Database!$A$1:$C$1,),))</f>
        <v/>
      </c>
      <c r="C3149">
        <f>IF(VLOOKUP(Table7[[#This Row],[Date]],Database!$A:$C,MATCH($C$1,Database!$A$1:$C$1,),)=0,#N/A,VLOOKUP(Table7[[#This Row],[Date]],Database!$A:$C,MATCH($C$1,Database!$A$1:$C$1,),))</f>
        <v/>
      </c>
      <c r="D3149">
        <f>IFERROR(Table7[[#This Row],[United States 10y]]-Table7[[#This Row],[United States 3y]],#N/A)</f>
        <v/>
      </c>
    </row>
    <row r="3150">
      <c r="A3150" s="6">
        <f>Database!$A5235</f>
        <v/>
      </c>
      <c r="B3150">
        <f>IF(VLOOKUP(Table7[[#This Row],[Date]],Database!$A:$C,MATCH($B$1,Database!$A$1:$C$1,),)=0,#N/A,VLOOKUP(Table7[[#This Row],[Date]],Database!$A:$C,MATCH($B$1,Database!$A$1:$C$1,),))</f>
        <v/>
      </c>
      <c r="C3150">
        <f>IF(VLOOKUP(Table7[[#This Row],[Date]],Database!$A:$C,MATCH($C$1,Database!$A$1:$C$1,),)=0,#N/A,VLOOKUP(Table7[[#This Row],[Date]],Database!$A:$C,MATCH($C$1,Database!$A$1:$C$1,),))</f>
        <v/>
      </c>
      <c r="D3150">
        <f>IFERROR(Table7[[#This Row],[United States 10y]]-Table7[[#This Row],[United States 3y]],#N/A)</f>
        <v/>
      </c>
    </row>
    <row r="3151">
      <c r="A3151" s="6">
        <f>Database!$A5236</f>
        <v/>
      </c>
      <c r="B3151">
        <f>IF(VLOOKUP(Table7[[#This Row],[Date]],Database!$A:$C,MATCH($B$1,Database!$A$1:$C$1,),)=0,#N/A,VLOOKUP(Table7[[#This Row],[Date]],Database!$A:$C,MATCH($B$1,Database!$A$1:$C$1,),))</f>
        <v/>
      </c>
      <c r="C3151">
        <f>IF(VLOOKUP(Table7[[#This Row],[Date]],Database!$A:$C,MATCH($C$1,Database!$A$1:$C$1,),)=0,#N/A,VLOOKUP(Table7[[#This Row],[Date]],Database!$A:$C,MATCH($C$1,Database!$A$1:$C$1,),))</f>
        <v/>
      </c>
      <c r="D3151">
        <f>IFERROR(Table7[[#This Row],[United States 10y]]-Table7[[#This Row],[United States 3y]],#N/A)</f>
        <v/>
      </c>
    </row>
    <row r="3152">
      <c r="A3152" s="6">
        <f>Database!$A5237</f>
        <v/>
      </c>
      <c r="B3152">
        <f>IF(VLOOKUP(Table7[[#This Row],[Date]],Database!$A:$C,MATCH($B$1,Database!$A$1:$C$1,),)=0,#N/A,VLOOKUP(Table7[[#This Row],[Date]],Database!$A:$C,MATCH($B$1,Database!$A$1:$C$1,),))</f>
        <v/>
      </c>
      <c r="C3152">
        <f>IF(VLOOKUP(Table7[[#This Row],[Date]],Database!$A:$C,MATCH($C$1,Database!$A$1:$C$1,),)=0,#N/A,VLOOKUP(Table7[[#This Row],[Date]],Database!$A:$C,MATCH($C$1,Database!$A$1:$C$1,),))</f>
        <v/>
      </c>
      <c r="D3152">
        <f>IFERROR(Table7[[#This Row],[United States 10y]]-Table7[[#This Row],[United States 3y]],#N/A)</f>
        <v/>
      </c>
    </row>
    <row r="3153">
      <c r="A3153" s="6">
        <f>Database!$A5238</f>
        <v/>
      </c>
      <c r="B3153">
        <f>IF(VLOOKUP(Table7[[#This Row],[Date]],Database!$A:$C,MATCH($B$1,Database!$A$1:$C$1,),)=0,#N/A,VLOOKUP(Table7[[#This Row],[Date]],Database!$A:$C,MATCH($B$1,Database!$A$1:$C$1,),))</f>
        <v/>
      </c>
      <c r="C3153">
        <f>IF(VLOOKUP(Table7[[#This Row],[Date]],Database!$A:$C,MATCH($C$1,Database!$A$1:$C$1,),)=0,#N/A,VLOOKUP(Table7[[#This Row],[Date]],Database!$A:$C,MATCH($C$1,Database!$A$1:$C$1,),))</f>
        <v/>
      </c>
      <c r="D3153">
        <f>IFERROR(Table7[[#This Row],[United States 10y]]-Table7[[#This Row],[United States 3y]],#N/A)</f>
        <v/>
      </c>
    </row>
    <row r="3154">
      <c r="A3154" s="6">
        <f>Database!$A5239</f>
        <v/>
      </c>
      <c r="B3154">
        <f>IF(VLOOKUP(Table7[[#This Row],[Date]],Database!$A:$C,MATCH($B$1,Database!$A$1:$C$1,),)=0,#N/A,VLOOKUP(Table7[[#This Row],[Date]],Database!$A:$C,MATCH($B$1,Database!$A$1:$C$1,),))</f>
        <v/>
      </c>
      <c r="C3154">
        <f>IF(VLOOKUP(Table7[[#This Row],[Date]],Database!$A:$C,MATCH($C$1,Database!$A$1:$C$1,),)=0,#N/A,VLOOKUP(Table7[[#This Row],[Date]],Database!$A:$C,MATCH($C$1,Database!$A$1:$C$1,),))</f>
        <v/>
      </c>
      <c r="D3154">
        <f>IFERROR(Table7[[#This Row],[United States 10y]]-Table7[[#This Row],[United States 3y]],#N/A)</f>
        <v/>
      </c>
    </row>
    <row r="3155">
      <c r="A3155" s="6">
        <f>Database!$A5240</f>
        <v/>
      </c>
      <c r="B3155">
        <f>IF(VLOOKUP(Table7[[#This Row],[Date]],Database!$A:$C,MATCH($B$1,Database!$A$1:$C$1,),)=0,#N/A,VLOOKUP(Table7[[#This Row],[Date]],Database!$A:$C,MATCH($B$1,Database!$A$1:$C$1,),))</f>
        <v/>
      </c>
      <c r="C3155">
        <f>IF(VLOOKUP(Table7[[#This Row],[Date]],Database!$A:$C,MATCH($C$1,Database!$A$1:$C$1,),)=0,#N/A,VLOOKUP(Table7[[#This Row],[Date]],Database!$A:$C,MATCH($C$1,Database!$A$1:$C$1,),))</f>
        <v/>
      </c>
      <c r="D3155">
        <f>IFERROR(Table7[[#This Row],[United States 10y]]-Table7[[#This Row],[United States 3y]],#N/A)</f>
        <v/>
      </c>
    </row>
    <row r="3156">
      <c r="A3156" s="6">
        <f>Database!$A5241</f>
        <v/>
      </c>
      <c r="B3156">
        <f>IF(VLOOKUP(Table7[[#This Row],[Date]],Database!$A:$C,MATCH($B$1,Database!$A$1:$C$1,),)=0,#N/A,VLOOKUP(Table7[[#This Row],[Date]],Database!$A:$C,MATCH($B$1,Database!$A$1:$C$1,),))</f>
        <v/>
      </c>
      <c r="C3156">
        <f>IF(VLOOKUP(Table7[[#This Row],[Date]],Database!$A:$C,MATCH($C$1,Database!$A$1:$C$1,),)=0,#N/A,VLOOKUP(Table7[[#This Row],[Date]],Database!$A:$C,MATCH($C$1,Database!$A$1:$C$1,),))</f>
        <v/>
      </c>
      <c r="D3156">
        <f>IFERROR(Table7[[#This Row],[United States 10y]]-Table7[[#This Row],[United States 3y]],#N/A)</f>
        <v/>
      </c>
    </row>
    <row r="3157">
      <c r="A3157" s="6">
        <f>Database!$A5242</f>
        <v/>
      </c>
      <c r="B3157">
        <f>IF(VLOOKUP(Table7[[#This Row],[Date]],Database!$A:$C,MATCH($B$1,Database!$A$1:$C$1,),)=0,#N/A,VLOOKUP(Table7[[#This Row],[Date]],Database!$A:$C,MATCH($B$1,Database!$A$1:$C$1,),))</f>
        <v/>
      </c>
      <c r="C3157">
        <f>IF(VLOOKUP(Table7[[#This Row],[Date]],Database!$A:$C,MATCH($C$1,Database!$A$1:$C$1,),)=0,#N/A,VLOOKUP(Table7[[#This Row],[Date]],Database!$A:$C,MATCH($C$1,Database!$A$1:$C$1,),))</f>
        <v/>
      </c>
      <c r="D3157">
        <f>IFERROR(Table7[[#This Row],[United States 10y]]-Table7[[#This Row],[United States 3y]],#N/A)</f>
        <v/>
      </c>
    </row>
    <row r="3158">
      <c r="A3158" s="6">
        <f>Database!$A5243</f>
        <v/>
      </c>
      <c r="B3158">
        <f>IF(VLOOKUP(Table7[[#This Row],[Date]],Database!$A:$C,MATCH($B$1,Database!$A$1:$C$1,),)=0,#N/A,VLOOKUP(Table7[[#This Row],[Date]],Database!$A:$C,MATCH($B$1,Database!$A$1:$C$1,),))</f>
        <v/>
      </c>
      <c r="C3158">
        <f>IF(VLOOKUP(Table7[[#This Row],[Date]],Database!$A:$C,MATCH($C$1,Database!$A$1:$C$1,),)=0,#N/A,VLOOKUP(Table7[[#This Row],[Date]],Database!$A:$C,MATCH($C$1,Database!$A$1:$C$1,),))</f>
        <v/>
      </c>
      <c r="D3158">
        <f>IFERROR(Table7[[#This Row],[United States 10y]]-Table7[[#This Row],[United States 3y]],#N/A)</f>
        <v/>
      </c>
    </row>
    <row r="3159">
      <c r="A3159" s="6">
        <f>Database!$A5244</f>
        <v/>
      </c>
      <c r="B3159">
        <f>IF(VLOOKUP(Table7[[#This Row],[Date]],Database!$A:$C,MATCH($B$1,Database!$A$1:$C$1,),)=0,#N/A,VLOOKUP(Table7[[#This Row],[Date]],Database!$A:$C,MATCH($B$1,Database!$A$1:$C$1,),))</f>
        <v/>
      </c>
      <c r="C3159">
        <f>IF(VLOOKUP(Table7[[#This Row],[Date]],Database!$A:$C,MATCH($C$1,Database!$A$1:$C$1,),)=0,#N/A,VLOOKUP(Table7[[#This Row],[Date]],Database!$A:$C,MATCH($C$1,Database!$A$1:$C$1,),))</f>
        <v/>
      </c>
      <c r="D3159">
        <f>IFERROR(Table7[[#This Row],[United States 10y]]-Table7[[#This Row],[United States 3y]],#N/A)</f>
        <v/>
      </c>
    </row>
    <row r="3160">
      <c r="A3160" s="6">
        <f>Database!$A5245</f>
        <v/>
      </c>
      <c r="B3160">
        <f>IF(VLOOKUP(Table7[[#This Row],[Date]],Database!$A:$C,MATCH($B$1,Database!$A$1:$C$1,),)=0,#N/A,VLOOKUP(Table7[[#This Row],[Date]],Database!$A:$C,MATCH($B$1,Database!$A$1:$C$1,),))</f>
        <v/>
      </c>
      <c r="C3160">
        <f>IF(VLOOKUP(Table7[[#This Row],[Date]],Database!$A:$C,MATCH($C$1,Database!$A$1:$C$1,),)=0,#N/A,VLOOKUP(Table7[[#This Row],[Date]],Database!$A:$C,MATCH($C$1,Database!$A$1:$C$1,),))</f>
        <v/>
      </c>
      <c r="D3160">
        <f>IFERROR(Table7[[#This Row],[United States 10y]]-Table7[[#This Row],[United States 3y]],#N/A)</f>
        <v/>
      </c>
    </row>
    <row r="3161">
      <c r="A3161" s="6">
        <f>Database!$A5246</f>
        <v/>
      </c>
      <c r="B3161">
        <f>IF(VLOOKUP(Table7[[#This Row],[Date]],Database!$A:$C,MATCH($B$1,Database!$A$1:$C$1,),)=0,#N/A,VLOOKUP(Table7[[#This Row],[Date]],Database!$A:$C,MATCH($B$1,Database!$A$1:$C$1,),))</f>
        <v/>
      </c>
      <c r="C3161">
        <f>IF(VLOOKUP(Table7[[#This Row],[Date]],Database!$A:$C,MATCH($C$1,Database!$A$1:$C$1,),)=0,#N/A,VLOOKUP(Table7[[#This Row],[Date]],Database!$A:$C,MATCH($C$1,Database!$A$1:$C$1,),))</f>
        <v/>
      </c>
      <c r="D3161">
        <f>IFERROR(Table7[[#This Row],[United States 10y]]-Table7[[#This Row],[United States 3y]],#N/A)</f>
        <v/>
      </c>
    </row>
    <row r="3162">
      <c r="A3162" s="6">
        <f>Database!$A5247</f>
        <v/>
      </c>
      <c r="B3162">
        <f>IF(VLOOKUP(Table7[[#This Row],[Date]],Database!$A:$C,MATCH($B$1,Database!$A$1:$C$1,),)=0,#N/A,VLOOKUP(Table7[[#This Row],[Date]],Database!$A:$C,MATCH($B$1,Database!$A$1:$C$1,),))</f>
        <v/>
      </c>
      <c r="C3162">
        <f>IF(VLOOKUP(Table7[[#This Row],[Date]],Database!$A:$C,MATCH($C$1,Database!$A$1:$C$1,),)=0,#N/A,VLOOKUP(Table7[[#This Row],[Date]],Database!$A:$C,MATCH($C$1,Database!$A$1:$C$1,),))</f>
        <v/>
      </c>
      <c r="D3162">
        <f>IFERROR(Table7[[#This Row],[United States 10y]]-Table7[[#This Row],[United States 3y]],#N/A)</f>
        <v/>
      </c>
    </row>
    <row r="3163">
      <c r="A3163" s="6">
        <f>Database!$A5248</f>
        <v/>
      </c>
      <c r="B3163">
        <f>IF(VLOOKUP(Table7[[#This Row],[Date]],Database!$A:$C,MATCH($B$1,Database!$A$1:$C$1,),)=0,#N/A,VLOOKUP(Table7[[#This Row],[Date]],Database!$A:$C,MATCH($B$1,Database!$A$1:$C$1,),))</f>
        <v/>
      </c>
      <c r="C3163">
        <f>IF(VLOOKUP(Table7[[#This Row],[Date]],Database!$A:$C,MATCH($C$1,Database!$A$1:$C$1,),)=0,#N/A,VLOOKUP(Table7[[#This Row],[Date]],Database!$A:$C,MATCH($C$1,Database!$A$1:$C$1,),))</f>
        <v/>
      </c>
      <c r="D3163">
        <f>IFERROR(Table7[[#This Row],[United States 10y]]-Table7[[#This Row],[United States 3y]],#N/A)</f>
        <v/>
      </c>
    </row>
    <row r="3164">
      <c r="A3164" s="6">
        <f>Database!$A5249</f>
        <v/>
      </c>
      <c r="B3164">
        <f>IF(VLOOKUP(Table7[[#This Row],[Date]],Database!$A:$C,MATCH($B$1,Database!$A$1:$C$1,),)=0,#N/A,VLOOKUP(Table7[[#This Row],[Date]],Database!$A:$C,MATCH($B$1,Database!$A$1:$C$1,),))</f>
        <v/>
      </c>
      <c r="C3164">
        <f>IF(VLOOKUP(Table7[[#This Row],[Date]],Database!$A:$C,MATCH($C$1,Database!$A$1:$C$1,),)=0,#N/A,VLOOKUP(Table7[[#This Row],[Date]],Database!$A:$C,MATCH($C$1,Database!$A$1:$C$1,),))</f>
        <v/>
      </c>
      <c r="D3164">
        <f>IFERROR(Table7[[#This Row],[United States 10y]]-Table7[[#This Row],[United States 3y]],#N/A)</f>
        <v/>
      </c>
    </row>
    <row r="3165">
      <c r="A3165" s="6">
        <f>Database!$A5250</f>
        <v/>
      </c>
      <c r="B3165">
        <f>IF(VLOOKUP(Table7[[#This Row],[Date]],Database!$A:$C,MATCH($B$1,Database!$A$1:$C$1,),)=0,#N/A,VLOOKUP(Table7[[#This Row],[Date]],Database!$A:$C,MATCH($B$1,Database!$A$1:$C$1,),))</f>
        <v/>
      </c>
      <c r="C3165">
        <f>IF(VLOOKUP(Table7[[#This Row],[Date]],Database!$A:$C,MATCH($C$1,Database!$A$1:$C$1,),)=0,#N/A,VLOOKUP(Table7[[#This Row],[Date]],Database!$A:$C,MATCH($C$1,Database!$A$1:$C$1,),))</f>
        <v/>
      </c>
      <c r="D3165">
        <f>IFERROR(Table7[[#This Row],[United States 10y]]-Table7[[#This Row],[United States 3y]],#N/A)</f>
        <v/>
      </c>
    </row>
    <row r="3166">
      <c r="A3166" s="6">
        <f>Database!$A5251</f>
        <v/>
      </c>
      <c r="B3166">
        <f>IF(VLOOKUP(Table7[[#This Row],[Date]],Database!$A:$C,MATCH($B$1,Database!$A$1:$C$1,),)=0,#N/A,VLOOKUP(Table7[[#This Row],[Date]],Database!$A:$C,MATCH($B$1,Database!$A$1:$C$1,),))</f>
        <v/>
      </c>
      <c r="C3166">
        <f>IF(VLOOKUP(Table7[[#This Row],[Date]],Database!$A:$C,MATCH($C$1,Database!$A$1:$C$1,),)=0,#N/A,VLOOKUP(Table7[[#This Row],[Date]],Database!$A:$C,MATCH($C$1,Database!$A$1:$C$1,),))</f>
        <v/>
      </c>
      <c r="D3166">
        <f>IFERROR(Table7[[#This Row],[United States 10y]]-Table7[[#This Row],[United States 3y]],#N/A)</f>
        <v/>
      </c>
    </row>
    <row r="3167">
      <c r="A3167" s="6">
        <f>Database!$A5252</f>
        <v/>
      </c>
      <c r="B3167">
        <f>IF(VLOOKUP(Table7[[#This Row],[Date]],Database!$A:$C,MATCH($B$1,Database!$A$1:$C$1,),)=0,#N/A,VLOOKUP(Table7[[#This Row],[Date]],Database!$A:$C,MATCH($B$1,Database!$A$1:$C$1,),))</f>
        <v/>
      </c>
      <c r="C3167">
        <f>IF(VLOOKUP(Table7[[#This Row],[Date]],Database!$A:$C,MATCH($C$1,Database!$A$1:$C$1,),)=0,#N/A,VLOOKUP(Table7[[#This Row],[Date]],Database!$A:$C,MATCH($C$1,Database!$A$1:$C$1,),))</f>
        <v/>
      </c>
      <c r="D3167">
        <f>IFERROR(Table7[[#This Row],[United States 10y]]-Table7[[#This Row],[United States 3y]],#N/A)</f>
        <v/>
      </c>
    </row>
    <row r="3168">
      <c r="A3168" s="6">
        <f>Database!$A5253</f>
        <v/>
      </c>
      <c r="B3168">
        <f>IF(VLOOKUP(Table7[[#This Row],[Date]],Database!$A:$C,MATCH($B$1,Database!$A$1:$C$1,),)=0,#N/A,VLOOKUP(Table7[[#This Row],[Date]],Database!$A:$C,MATCH($B$1,Database!$A$1:$C$1,),))</f>
        <v/>
      </c>
      <c r="C3168">
        <f>IF(VLOOKUP(Table7[[#This Row],[Date]],Database!$A:$C,MATCH($C$1,Database!$A$1:$C$1,),)=0,#N/A,VLOOKUP(Table7[[#This Row],[Date]],Database!$A:$C,MATCH($C$1,Database!$A$1:$C$1,),))</f>
        <v/>
      </c>
      <c r="D3168">
        <f>IFERROR(Table7[[#This Row],[United States 10y]]-Table7[[#This Row],[United States 3y]],#N/A)</f>
        <v/>
      </c>
    </row>
    <row r="3169">
      <c r="A3169" s="6">
        <f>Database!$A5254</f>
        <v/>
      </c>
      <c r="B3169">
        <f>IF(VLOOKUP(Table7[[#This Row],[Date]],Database!$A:$C,MATCH($B$1,Database!$A$1:$C$1,),)=0,#N/A,VLOOKUP(Table7[[#This Row],[Date]],Database!$A:$C,MATCH($B$1,Database!$A$1:$C$1,),))</f>
        <v/>
      </c>
      <c r="C3169">
        <f>IF(VLOOKUP(Table7[[#This Row],[Date]],Database!$A:$C,MATCH($C$1,Database!$A$1:$C$1,),)=0,#N/A,VLOOKUP(Table7[[#This Row],[Date]],Database!$A:$C,MATCH($C$1,Database!$A$1:$C$1,),))</f>
        <v/>
      </c>
      <c r="D3169">
        <f>IFERROR(Table7[[#This Row],[United States 10y]]-Table7[[#This Row],[United States 3y]],#N/A)</f>
        <v/>
      </c>
    </row>
    <row r="3170">
      <c r="A3170" s="6">
        <f>Database!$A5255</f>
        <v/>
      </c>
      <c r="B3170">
        <f>IF(VLOOKUP(Table7[[#This Row],[Date]],Database!$A:$C,MATCH($B$1,Database!$A$1:$C$1,),)=0,#N/A,VLOOKUP(Table7[[#This Row],[Date]],Database!$A:$C,MATCH($B$1,Database!$A$1:$C$1,),))</f>
        <v/>
      </c>
      <c r="C3170">
        <f>IF(VLOOKUP(Table7[[#This Row],[Date]],Database!$A:$C,MATCH($C$1,Database!$A$1:$C$1,),)=0,#N/A,VLOOKUP(Table7[[#This Row],[Date]],Database!$A:$C,MATCH($C$1,Database!$A$1:$C$1,),))</f>
        <v/>
      </c>
      <c r="D3170">
        <f>IFERROR(Table7[[#This Row],[United States 10y]]-Table7[[#This Row],[United States 3y]],#N/A)</f>
        <v/>
      </c>
    </row>
    <row r="3171">
      <c r="A3171" s="6">
        <f>Database!$A5256</f>
        <v/>
      </c>
      <c r="B3171">
        <f>IF(VLOOKUP(Table7[[#This Row],[Date]],Database!$A:$C,MATCH($B$1,Database!$A$1:$C$1,),)=0,#N/A,VLOOKUP(Table7[[#This Row],[Date]],Database!$A:$C,MATCH($B$1,Database!$A$1:$C$1,),))</f>
        <v/>
      </c>
      <c r="C3171">
        <f>IF(VLOOKUP(Table7[[#This Row],[Date]],Database!$A:$C,MATCH($C$1,Database!$A$1:$C$1,),)=0,#N/A,VLOOKUP(Table7[[#This Row],[Date]],Database!$A:$C,MATCH($C$1,Database!$A$1:$C$1,),))</f>
        <v/>
      </c>
      <c r="D3171">
        <f>IFERROR(Table7[[#This Row],[United States 10y]]-Table7[[#This Row],[United States 3y]],#N/A)</f>
        <v/>
      </c>
    </row>
    <row r="3172">
      <c r="A3172" s="6">
        <f>Database!$A5257</f>
        <v/>
      </c>
      <c r="B3172">
        <f>IF(VLOOKUP(Table7[[#This Row],[Date]],Database!$A:$C,MATCH($B$1,Database!$A$1:$C$1,),)=0,#N/A,VLOOKUP(Table7[[#This Row],[Date]],Database!$A:$C,MATCH($B$1,Database!$A$1:$C$1,),))</f>
        <v/>
      </c>
      <c r="C3172">
        <f>IF(VLOOKUP(Table7[[#This Row],[Date]],Database!$A:$C,MATCH($C$1,Database!$A$1:$C$1,),)=0,#N/A,VLOOKUP(Table7[[#This Row],[Date]],Database!$A:$C,MATCH($C$1,Database!$A$1:$C$1,),))</f>
        <v/>
      </c>
      <c r="D3172">
        <f>IFERROR(Table7[[#This Row],[United States 10y]]-Table7[[#This Row],[United States 3y]],#N/A)</f>
        <v/>
      </c>
    </row>
    <row r="3173">
      <c r="A3173" s="6">
        <f>Database!$A5258</f>
        <v/>
      </c>
      <c r="B3173">
        <f>IF(VLOOKUP(Table7[[#This Row],[Date]],Database!$A:$C,MATCH($B$1,Database!$A$1:$C$1,),)=0,#N/A,VLOOKUP(Table7[[#This Row],[Date]],Database!$A:$C,MATCH($B$1,Database!$A$1:$C$1,),))</f>
        <v/>
      </c>
      <c r="C3173">
        <f>IF(VLOOKUP(Table7[[#This Row],[Date]],Database!$A:$C,MATCH($C$1,Database!$A$1:$C$1,),)=0,#N/A,VLOOKUP(Table7[[#This Row],[Date]],Database!$A:$C,MATCH($C$1,Database!$A$1:$C$1,),))</f>
        <v/>
      </c>
      <c r="D3173">
        <f>IFERROR(Table7[[#This Row],[United States 10y]]-Table7[[#This Row],[United States 3y]],#N/A)</f>
        <v/>
      </c>
    </row>
    <row r="3174">
      <c r="A3174" s="6">
        <f>Database!$A5259</f>
        <v/>
      </c>
      <c r="B3174">
        <f>IF(VLOOKUP(Table7[[#This Row],[Date]],Database!$A:$C,MATCH($B$1,Database!$A$1:$C$1,),)=0,#N/A,VLOOKUP(Table7[[#This Row],[Date]],Database!$A:$C,MATCH($B$1,Database!$A$1:$C$1,),))</f>
        <v/>
      </c>
      <c r="C3174">
        <f>IF(VLOOKUP(Table7[[#This Row],[Date]],Database!$A:$C,MATCH($C$1,Database!$A$1:$C$1,),)=0,#N/A,VLOOKUP(Table7[[#This Row],[Date]],Database!$A:$C,MATCH($C$1,Database!$A$1:$C$1,),))</f>
        <v/>
      </c>
      <c r="D3174">
        <f>IFERROR(Table7[[#This Row],[United States 10y]]-Table7[[#This Row],[United States 3y]],#N/A)</f>
        <v/>
      </c>
    </row>
    <row r="3175">
      <c r="A3175" s="6">
        <f>Database!$A5260</f>
        <v/>
      </c>
      <c r="B3175">
        <f>IF(VLOOKUP(Table7[[#This Row],[Date]],Database!$A:$C,MATCH($B$1,Database!$A$1:$C$1,),)=0,#N/A,VLOOKUP(Table7[[#This Row],[Date]],Database!$A:$C,MATCH($B$1,Database!$A$1:$C$1,),))</f>
        <v/>
      </c>
      <c r="C3175">
        <f>IF(VLOOKUP(Table7[[#This Row],[Date]],Database!$A:$C,MATCH($C$1,Database!$A$1:$C$1,),)=0,#N/A,VLOOKUP(Table7[[#This Row],[Date]],Database!$A:$C,MATCH($C$1,Database!$A$1:$C$1,),))</f>
        <v/>
      </c>
      <c r="D3175">
        <f>IFERROR(Table7[[#This Row],[United States 10y]]-Table7[[#This Row],[United States 3y]],#N/A)</f>
        <v/>
      </c>
    </row>
    <row r="3176">
      <c r="A3176" s="6">
        <f>Database!$A5261</f>
        <v/>
      </c>
      <c r="B3176">
        <f>IF(VLOOKUP(Table7[[#This Row],[Date]],Database!$A:$C,MATCH($B$1,Database!$A$1:$C$1,),)=0,#N/A,VLOOKUP(Table7[[#This Row],[Date]],Database!$A:$C,MATCH($B$1,Database!$A$1:$C$1,),))</f>
        <v/>
      </c>
      <c r="C3176">
        <f>IF(VLOOKUP(Table7[[#This Row],[Date]],Database!$A:$C,MATCH($C$1,Database!$A$1:$C$1,),)=0,#N/A,VLOOKUP(Table7[[#This Row],[Date]],Database!$A:$C,MATCH($C$1,Database!$A$1:$C$1,),))</f>
        <v/>
      </c>
      <c r="D3176">
        <f>IFERROR(Table7[[#This Row],[United States 10y]]-Table7[[#This Row],[United States 3y]],#N/A)</f>
        <v/>
      </c>
    </row>
    <row r="3177">
      <c r="A3177" s="6">
        <f>Database!$A5262</f>
        <v/>
      </c>
      <c r="B3177">
        <f>IF(VLOOKUP(Table7[[#This Row],[Date]],Database!$A:$C,MATCH($B$1,Database!$A$1:$C$1,),)=0,#N/A,VLOOKUP(Table7[[#This Row],[Date]],Database!$A:$C,MATCH($B$1,Database!$A$1:$C$1,),))</f>
        <v/>
      </c>
      <c r="C3177">
        <f>IF(VLOOKUP(Table7[[#This Row],[Date]],Database!$A:$C,MATCH($C$1,Database!$A$1:$C$1,),)=0,#N/A,VLOOKUP(Table7[[#This Row],[Date]],Database!$A:$C,MATCH($C$1,Database!$A$1:$C$1,),))</f>
        <v/>
      </c>
      <c r="D3177">
        <f>IFERROR(Table7[[#This Row],[United States 10y]]-Table7[[#This Row],[United States 3y]],#N/A)</f>
        <v/>
      </c>
    </row>
    <row r="3178">
      <c r="A3178" s="6">
        <f>Database!$A5263</f>
        <v/>
      </c>
      <c r="B3178">
        <f>IF(VLOOKUP(Table7[[#This Row],[Date]],Database!$A:$C,MATCH($B$1,Database!$A$1:$C$1,),)=0,#N/A,VLOOKUP(Table7[[#This Row],[Date]],Database!$A:$C,MATCH($B$1,Database!$A$1:$C$1,),))</f>
        <v/>
      </c>
      <c r="C3178">
        <f>IF(VLOOKUP(Table7[[#This Row],[Date]],Database!$A:$C,MATCH($C$1,Database!$A$1:$C$1,),)=0,#N/A,VLOOKUP(Table7[[#This Row],[Date]],Database!$A:$C,MATCH($C$1,Database!$A$1:$C$1,),))</f>
        <v/>
      </c>
      <c r="D3178">
        <f>IFERROR(Table7[[#This Row],[United States 10y]]-Table7[[#This Row],[United States 3y]],#N/A)</f>
        <v/>
      </c>
    </row>
    <row r="3179">
      <c r="A3179" s="6">
        <f>Database!$A5264</f>
        <v/>
      </c>
      <c r="B3179">
        <f>IF(VLOOKUP(Table7[[#This Row],[Date]],Database!$A:$C,MATCH($B$1,Database!$A$1:$C$1,),)=0,#N/A,VLOOKUP(Table7[[#This Row],[Date]],Database!$A:$C,MATCH($B$1,Database!$A$1:$C$1,),))</f>
        <v/>
      </c>
      <c r="C3179">
        <f>IF(VLOOKUP(Table7[[#This Row],[Date]],Database!$A:$C,MATCH($C$1,Database!$A$1:$C$1,),)=0,#N/A,VLOOKUP(Table7[[#This Row],[Date]],Database!$A:$C,MATCH($C$1,Database!$A$1:$C$1,),))</f>
        <v/>
      </c>
      <c r="D3179">
        <f>IFERROR(Table7[[#This Row],[United States 10y]]-Table7[[#This Row],[United States 3y]],#N/A)</f>
        <v/>
      </c>
    </row>
    <row r="3180">
      <c r="A3180" s="6">
        <f>Database!$A5265</f>
        <v/>
      </c>
      <c r="B3180">
        <f>IF(VLOOKUP(Table7[[#This Row],[Date]],Database!$A:$C,MATCH($B$1,Database!$A$1:$C$1,),)=0,#N/A,VLOOKUP(Table7[[#This Row],[Date]],Database!$A:$C,MATCH($B$1,Database!$A$1:$C$1,),))</f>
        <v/>
      </c>
      <c r="C3180">
        <f>IF(VLOOKUP(Table7[[#This Row],[Date]],Database!$A:$C,MATCH($C$1,Database!$A$1:$C$1,),)=0,#N/A,VLOOKUP(Table7[[#This Row],[Date]],Database!$A:$C,MATCH($C$1,Database!$A$1:$C$1,),))</f>
        <v/>
      </c>
      <c r="D3180">
        <f>IFERROR(Table7[[#This Row],[United States 10y]]-Table7[[#This Row],[United States 3y]],#N/A)</f>
        <v/>
      </c>
    </row>
    <row r="3181">
      <c r="A3181" s="6">
        <f>Database!$A5266</f>
        <v/>
      </c>
      <c r="B3181">
        <f>IF(VLOOKUP(Table7[[#This Row],[Date]],Database!$A:$C,MATCH($B$1,Database!$A$1:$C$1,),)=0,#N/A,VLOOKUP(Table7[[#This Row],[Date]],Database!$A:$C,MATCH($B$1,Database!$A$1:$C$1,),))</f>
        <v/>
      </c>
      <c r="C3181">
        <f>IF(VLOOKUP(Table7[[#This Row],[Date]],Database!$A:$C,MATCH($C$1,Database!$A$1:$C$1,),)=0,#N/A,VLOOKUP(Table7[[#This Row],[Date]],Database!$A:$C,MATCH($C$1,Database!$A$1:$C$1,),))</f>
        <v/>
      </c>
      <c r="D3181">
        <f>IFERROR(Table7[[#This Row],[United States 10y]]-Table7[[#This Row],[United States 3y]],#N/A)</f>
        <v/>
      </c>
    </row>
    <row r="3182">
      <c r="A3182" s="6">
        <f>Database!$A5267</f>
        <v/>
      </c>
      <c r="B3182">
        <f>IF(VLOOKUP(Table7[[#This Row],[Date]],Database!$A:$C,MATCH($B$1,Database!$A$1:$C$1,),)=0,#N/A,VLOOKUP(Table7[[#This Row],[Date]],Database!$A:$C,MATCH($B$1,Database!$A$1:$C$1,),))</f>
        <v/>
      </c>
      <c r="C3182">
        <f>IF(VLOOKUP(Table7[[#This Row],[Date]],Database!$A:$C,MATCH($C$1,Database!$A$1:$C$1,),)=0,#N/A,VLOOKUP(Table7[[#This Row],[Date]],Database!$A:$C,MATCH($C$1,Database!$A$1:$C$1,),))</f>
        <v/>
      </c>
      <c r="D3182">
        <f>IFERROR(Table7[[#This Row],[United States 10y]]-Table7[[#This Row],[United States 3y]],#N/A)</f>
        <v/>
      </c>
    </row>
    <row r="3183">
      <c r="A3183" s="6">
        <f>Database!$A5268</f>
        <v/>
      </c>
      <c r="B3183">
        <f>IF(VLOOKUP(Table7[[#This Row],[Date]],Database!$A:$C,MATCH($B$1,Database!$A$1:$C$1,),)=0,#N/A,VLOOKUP(Table7[[#This Row],[Date]],Database!$A:$C,MATCH($B$1,Database!$A$1:$C$1,),))</f>
        <v/>
      </c>
      <c r="C3183">
        <f>IF(VLOOKUP(Table7[[#This Row],[Date]],Database!$A:$C,MATCH($C$1,Database!$A$1:$C$1,),)=0,#N/A,VLOOKUP(Table7[[#This Row],[Date]],Database!$A:$C,MATCH($C$1,Database!$A$1:$C$1,),))</f>
        <v/>
      </c>
      <c r="D3183">
        <f>IFERROR(Table7[[#This Row],[United States 10y]]-Table7[[#This Row],[United States 3y]],#N/A)</f>
        <v/>
      </c>
    </row>
    <row r="3184">
      <c r="A3184" s="6">
        <f>Database!$A5269</f>
        <v/>
      </c>
      <c r="B3184">
        <f>IF(VLOOKUP(Table7[[#This Row],[Date]],Database!$A:$C,MATCH($B$1,Database!$A$1:$C$1,),)=0,#N/A,VLOOKUP(Table7[[#This Row],[Date]],Database!$A:$C,MATCH($B$1,Database!$A$1:$C$1,),))</f>
        <v/>
      </c>
      <c r="C3184">
        <f>IF(VLOOKUP(Table7[[#This Row],[Date]],Database!$A:$C,MATCH($C$1,Database!$A$1:$C$1,),)=0,#N/A,VLOOKUP(Table7[[#This Row],[Date]],Database!$A:$C,MATCH($C$1,Database!$A$1:$C$1,),))</f>
        <v/>
      </c>
      <c r="D3184">
        <f>IFERROR(Table7[[#This Row],[United States 10y]]-Table7[[#This Row],[United States 3y]],#N/A)</f>
        <v/>
      </c>
    </row>
    <row r="3185">
      <c r="A3185" s="6">
        <f>Database!$A5270</f>
        <v/>
      </c>
      <c r="B3185">
        <f>IF(VLOOKUP(Table7[[#This Row],[Date]],Database!$A:$C,MATCH($B$1,Database!$A$1:$C$1,),)=0,#N/A,VLOOKUP(Table7[[#This Row],[Date]],Database!$A:$C,MATCH($B$1,Database!$A$1:$C$1,),))</f>
        <v/>
      </c>
      <c r="C3185">
        <f>IF(VLOOKUP(Table7[[#This Row],[Date]],Database!$A:$C,MATCH($C$1,Database!$A$1:$C$1,),)=0,#N/A,VLOOKUP(Table7[[#This Row],[Date]],Database!$A:$C,MATCH($C$1,Database!$A$1:$C$1,),))</f>
        <v/>
      </c>
      <c r="D3185">
        <f>IFERROR(Table7[[#This Row],[United States 10y]]-Table7[[#This Row],[United States 3y]],#N/A)</f>
        <v/>
      </c>
    </row>
    <row r="3186">
      <c r="A3186" s="6">
        <f>Database!$A5271</f>
        <v/>
      </c>
      <c r="B3186">
        <f>IF(VLOOKUP(Table7[[#This Row],[Date]],Database!$A:$C,MATCH($B$1,Database!$A$1:$C$1,),)=0,#N/A,VLOOKUP(Table7[[#This Row],[Date]],Database!$A:$C,MATCH($B$1,Database!$A$1:$C$1,),))</f>
        <v/>
      </c>
      <c r="C3186">
        <f>IF(VLOOKUP(Table7[[#This Row],[Date]],Database!$A:$C,MATCH($C$1,Database!$A$1:$C$1,),)=0,#N/A,VLOOKUP(Table7[[#This Row],[Date]],Database!$A:$C,MATCH($C$1,Database!$A$1:$C$1,),))</f>
        <v/>
      </c>
      <c r="D3186">
        <f>IFERROR(Table7[[#This Row],[United States 10y]]-Table7[[#This Row],[United States 3y]],#N/A)</f>
        <v/>
      </c>
    </row>
    <row r="3187">
      <c r="A3187" s="6">
        <f>Database!$A5272</f>
        <v/>
      </c>
      <c r="B3187">
        <f>IF(VLOOKUP(Table7[[#This Row],[Date]],Database!$A:$C,MATCH($B$1,Database!$A$1:$C$1,),)=0,#N/A,VLOOKUP(Table7[[#This Row],[Date]],Database!$A:$C,MATCH($B$1,Database!$A$1:$C$1,),))</f>
        <v/>
      </c>
      <c r="C3187">
        <f>IF(VLOOKUP(Table7[[#This Row],[Date]],Database!$A:$C,MATCH($C$1,Database!$A$1:$C$1,),)=0,#N/A,VLOOKUP(Table7[[#This Row],[Date]],Database!$A:$C,MATCH($C$1,Database!$A$1:$C$1,),))</f>
        <v/>
      </c>
      <c r="D3187">
        <f>IFERROR(Table7[[#This Row],[United States 10y]]-Table7[[#This Row],[United States 3y]],#N/A)</f>
        <v/>
      </c>
    </row>
    <row r="3188">
      <c r="A3188" s="6">
        <f>Database!$A5273</f>
        <v/>
      </c>
      <c r="B3188">
        <f>IF(VLOOKUP(Table7[[#This Row],[Date]],Database!$A:$C,MATCH($B$1,Database!$A$1:$C$1,),)=0,#N/A,VLOOKUP(Table7[[#This Row],[Date]],Database!$A:$C,MATCH($B$1,Database!$A$1:$C$1,),))</f>
        <v/>
      </c>
      <c r="C3188">
        <f>IF(VLOOKUP(Table7[[#This Row],[Date]],Database!$A:$C,MATCH($C$1,Database!$A$1:$C$1,),)=0,#N/A,VLOOKUP(Table7[[#This Row],[Date]],Database!$A:$C,MATCH($C$1,Database!$A$1:$C$1,),))</f>
        <v/>
      </c>
      <c r="D3188">
        <f>IFERROR(Table7[[#This Row],[United States 10y]]-Table7[[#This Row],[United States 3y]],#N/A)</f>
        <v/>
      </c>
    </row>
    <row r="3189">
      <c r="A3189" s="6">
        <f>Database!$A5274</f>
        <v/>
      </c>
      <c r="B3189">
        <f>IF(VLOOKUP(Table7[[#This Row],[Date]],Database!$A:$C,MATCH($B$1,Database!$A$1:$C$1,),)=0,#N/A,VLOOKUP(Table7[[#This Row],[Date]],Database!$A:$C,MATCH($B$1,Database!$A$1:$C$1,),))</f>
        <v/>
      </c>
      <c r="C3189">
        <f>IF(VLOOKUP(Table7[[#This Row],[Date]],Database!$A:$C,MATCH($C$1,Database!$A$1:$C$1,),)=0,#N/A,VLOOKUP(Table7[[#This Row],[Date]],Database!$A:$C,MATCH($C$1,Database!$A$1:$C$1,),))</f>
        <v/>
      </c>
      <c r="D3189">
        <f>IFERROR(Table7[[#This Row],[United States 10y]]-Table7[[#This Row],[United States 3y]],#N/A)</f>
        <v/>
      </c>
    </row>
    <row r="3190">
      <c r="A3190" s="6">
        <f>Database!$A5275</f>
        <v/>
      </c>
      <c r="B3190">
        <f>IF(VLOOKUP(Table7[[#This Row],[Date]],Database!$A:$C,MATCH($B$1,Database!$A$1:$C$1,),)=0,#N/A,VLOOKUP(Table7[[#This Row],[Date]],Database!$A:$C,MATCH($B$1,Database!$A$1:$C$1,),))</f>
        <v/>
      </c>
      <c r="C3190">
        <f>IF(VLOOKUP(Table7[[#This Row],[Date]],Database!$A:$C,MATCH($C$1,Database!$A$1:$C$1,),)=0,#N/A,VLOOKUP(Table7[[#This Row],[Date]],Database!$A:$C,MATCH($C$1,Database!$A$1:$C$1,),))</f>
        <v/>
      </c>
      <c r="D3190">
        <f>IFERROR(Table7[[#This Row],[United States 10y]]-Table7[[#This Row],[United States 3y]],#N/A)</f>
        <v/>
      </c>
    </row>
    <row r="3191">
      <c r="A3191" s="6">
        <f>Database!$A5276</f>
        <v/>
      </c>
      <c r="B3191">
        <f>IF(VLOOKUP(Table7[[#This Row],[Date]],Database!$A:$C,MATCH($B$1,Database!$A$1:$C$1,),)=0,#N/A,VLOOKUP(Table7[[#This Row],[Date]],Database!$A:$C,MATCH($B$1,Database!$A$1:$C$1,),))</f>
        <v/>
      </c>
      <c r="C3191">
        <f>IF(VLOOKUP(Table7[[#This Row],[Date]],Database!$A:$C,MATCH($C$1,Database!$A$1:$C$1,),)=0,#N/A,VLOOKUP(Table7[[#This Row],[Date]],Database!$A:$C,MATCH($C$1,Database!$A$1:$C$1,),))</f>
        <v/>
      </c>
      <c r="D3191">
        <f>IFERROR(Table7[[#This Row],[United States 10y]]-Table7[[#This Row],[United States 3y]],#N/A)</f>
        <v/>
      </c>
    </row>
    <row r="3192">
      <c r="A3192" s="6">
        <f>Database!$A5277</f>
        <v/>
      </c>
      <c r="B3192">
        <f>IF(VLOOKUP(Table7[[#This Row],[Date]],Database!$A:$C,MATCH($B$1,Database!$A$1:$C$1,),)=0,#N/A,VLOOKUP(Table7[[#This Row],[Date]],Database!$A:$C,MATCH($B$1,Database!$A$1:$C$1,),))</f>
        <v/>
      </c>
      <c r="C3192">
        <f>IF(VLOOKUP(Table7[[#This Row],[Date]],Database!$A:$C,MATCH($C$1,Database!$A$1:$C$1,),)=0,#N/A,VLOOKUP(Table7[[#This Row],[Date]],Database!$A:$C,MATCH($C$1,Database!$A$1:$C$1,),))</f>
        <v/>
      </c>
      <c r="D3192">
        <f>IFERROR(Table7[[#This Row],[United States 10y]]-Table7[[#This Row],[United States 3y]],#N/A)</f>
        <v/>
      </c>
    </row>
    <row r="3193">
      <c r="A3193" s="6">
        <f>Database!$A5278</f>
        <v/>
      </c>
      <c r="B3193">
        <f>IF(VLOOKUP(Table7[[#This Row],[Date]],Database!$A:$C,MATCH($B$1,Database!$A$1:$C$1,),)=0,#N/A,VLOOKUP(Table7[[#This Row],[Date]],Database!$A:$C,MATCH($B$1,Database!$A$1:$C$1,),))</f>
        <v/>
      </c>
      <c r="C3193">
        <f>IF(VLOOKUP(Table7[[#This Row],[Date]],Database!$A:$C,MATCH($C$1,Database!$A$1:$C$1,),)=0,#N/A,VLOOKUP(Table7[[#This Row],[Date]],Database!$A:$C,MATCH($C$1,Database!$A$1:$C$1,),))</f>
        <v/>
      </c>
      <c r="D3193">
        <f>IFERROR(Table7[[#This Row],[United States 10y]]-Table7[[#This Row],[United States 3y]],#N/A)</f>
        <v/>
      </c>
    </row>
    <row r="3194">
      <c r="A3194" s="6">
        <f>Database!$A5279</f>
        <v/>
      </c>
      <c r="B3194">
        <f>IF(VLOOKUP(Table7[[#This Row],[Date]],Database!$A:$C,MATCH($B$1,Database!$A$1:$C$1,),)=0,#N/A,VLOOKUP(Table7[[#This Row],[Date]],Database!$A:$C,MATCH($B$1,Database!$A$1:$C$1,),))</f>
        <v/>
      </c>
      <c r="C3194">
        <f>IF(VLOOKUP(Table7[[#This Row],[Date]],Database!$A:$C,MATCH($C$1,Database!$A$1:$C$1,),)=0,#N/A,VLOOKUP(Table7[[#This Row],[Date]],Database!$A:$C,MATCH($C$1,Database!$A$1:$C$1,),))</f>
        <v/>
      </c>
      <c r="D3194">
        <f>IFERROR(Table7[[#This Row],[United States 10y]]-Table7[[#This Row],[United States 3y]],#N/A)</f>
        <v/>
      </c>
    </row>
    <row r="3195">
      <c r="A3195" s="6">
        <f>Database!$A5280</f>
        <v/>
      </c>
      <c r="B3195">
        <f>IF(VLOOKUP(Table7[[#This Row],[Date]],Database!$A:$C,MATCH($B$1,Database!$A$1:$C$1,),)=0,#N/A,VLOOKUP(Table7[[#This Row],[Date]],Database!$A:$C,MATCH($B$1,Database!$A$1:$C$1,),))</f>
        <v/>
      </c>
      <c r="C3195">
        <f>IF(VLOOKUP(Table7[[#This Row],[Date]],Database!$A:$C,MATCH($C$1,Database!$A$1:$C$1,),)=0,#N/A,VLOOKUP(Table7[[#This Row],[Date]],Database!$A:$C,MATCH($C$1,Database!$A$1:$C$1,),))</f>
        <v/>
      </c>
      <c r="D3195">
        <f>IFERROR(Table7[[#This Row],[United States 10y]]-Table7[[#This Row],[United States 3y]],#N/A)</f>
        <v/>
      </c>
    </row>
    <row r="3196">
      <c r="A3196" s="6">
        <f>Database!$A5281</f>
        <v/>
      </c>
      <c r="B3196">
        <f>IF(VLOOKUP(Table7[[#This Row],[Date]],Database!$A:$C,MATCH($B$1,Database!$A$1:$C$1,),)=0,#N/A,VLOOKUP(Table7[[#This Row],[Date]],Database!$A:$C,MATCH($B$1,Database!$A$1:$C$1,),))</f>
        <v/>
      </c>
      <c r="C3196">
        <f>IF(VLOOKUP(Table7[[#This Row],[Date]],Database!$A:$C,MATCH($C$1,Database!$A$1:$C$1,),)=0,#N/A,VLOOKUP(Table7[[#This Row],[Date]],Database!$A:$C,MATCH($C$1,Database!$A$1:$C$1,),))</f>
        <v/>
      </c>
      <c r="D3196">
        <f>IFERROR(Table7[[#This Row],[United States 10y]]-Table7[[#This Row],[United States 3y]],#N/A)</f>
        <v/>
      </c>
    </row>
    <row r="3197">
      <c r="A3197" s="6">
        <f>Database!$A5282</f>
        <v/>
      </c>
      <c r="B3197">
        <f>IF(VLOOKUP(Table7[[#This Row],[Date]],Database!$A:$C,MATCH($B$1,Database!$A$1:$C$1,),)=0,#N/A,VLOOKUP(Table7[[#This Row],[Date]],Database!$A:$C,MATCH($B$1,Database!$A$1:$C$1,),))</f>
        <v/>
      </c>
      <c r="C3197">
        <f>IF(VLOOKUP(Table7[[#This Row],[Date]],Database!$A:$C,MATCH($C$1,Database!$A$1:$C$1,),)=0,#N/A,VLOOKUP(Table7[[#This Row],[Date]],Database!$A:$C,MATCH($C$1,Database!$A$1:$C$1,),))</f>
        <v/>
      </c>
      <c r="D3197">
        <f>IFERROR(Table7[[#This Row],[United States 10y]]-Table7[[#This Row],[United States 3y]],#N/A)</f>
        <v/>
      </c>
    </row>
    <row r="3198">
      <c r="A3198" s="6">
        <f>Database!$A5283</f>
        <v/>
      </c>
      <c r="B3198">
        <f>IF(VLOOKUP(Table7[[#This Row],[Date]],Database!$A:$C,MATCH($B$1,Database!$A$1:$C$1,),)=0,#N/A,VLOOKUP(Table7[[#This Row],[Date]],Database!$A:$C,MATCH($B$1,Database!$A$1:$C$1,),))</f>
        <v/>
      </c>
      <c r="C3198">
        <f>IF(VLOOKUP(Table7[[#This Row],[Date]],Database!$A:$C,MATCH($C$1,Database!$A$1:$C$1,),)=0,#N/A,VLOOKUP(Table7[[#This Row],[Date]],Database!$A:$C,MATCH($C$1,Database!$A$1:$C$1,),))</f>
        <v/>
      </c>
      <c r="D3198">
        <f>IFERROR(Table7[[#This Row],[United States 10y]]-Table7[[#This Row],[United States 3y]],#N/A)</f>
        <v/>
      </c>
    </row>
    <row r="3199">
      <c r="A3199" s="6">
        <f>Database!$A5284</f>
        <v/>
      </c>
      <c r="B3199">
        <f>IF(VLOOKUP(Table7[[#This Row],[Date]],Database!$A:$C,MATCH($B$1,Database!$A$1:$C$1,),)=0,#N/A,VLOOKUP(Table7[[#This Row],[Date]],Database!$A:$C,MATCH($B$1,Database!$A$1:$C$1,),))</f>
        <v/>
      </c>
      <c r="C3199">
        <f>IF(VLOOKUP(Table7[[#This Row],[Date]],Database!$A:$C,MATCH($C$1,Database!$A$1:$C$1,),)=0,#N/A,VLOOKUP(Table7[[#This Row],[Date]],Database!$A:$C,MATCH($C$1,Database!$A$1:$C$1,),))</f>
        <v/>
      </c>
      <c r="D3199">
        <f>IFERROR(Table7[[#This Row],[United States 10y]]-Table7[[#This Row],[United States 3y]],#N/A)</f>
        <v/>
      </c>
    </row>
    <row r="3200">
      <c r="A3200" s="6">
        <f>Database!$A5285</f>
        <v/>
      </c>
      <c r="B3200">
        <f>IF(VLOOKUP(Table7[[#This Row],[Date]],Database!$A:$C,MATCH($B$1,Database!$A$1:$C$1,),)=0,#N/A,VLOOKUP(Table7[[#This Row],[Date]],Database!$A:$C,MATCH($B$1,Database!$A$1:$C$1,),))</f>
        <v/>
      </c>
      <c r="C3200">
        <f>IF(VLOOKUP(Table7[[#This Row],[Date]],Database!$A:$C,MATCH($C$1,Database!$A$1:$C$1,),)=0,#N/A,VLOOKUP(Table7[[#This Row],[Date]],Database!$A:$C,MATCH($C$1,Database!$A$1:$C$1,),))</f>
        <v/>
      </c>
      <c r="D3200">
        <f>IFERROR(Table7[[#This Row],[United States 10y]]-Table7[[#This Row],[United States 3y]],#N/A)</f>
        <v/>
      </c>
    </row>
    <row r="3201">
      <c r="A3201" s="6">
        <f>Database!$A5286</f>
        <v/>
      </c>
      <c r="B3201">
        <f>IF(VLOOKUP(Table7[[#This Row],[Date]],Database!$A:$C,MATCH($B$1,Database!$A$1:$C$1,),)=0,#N/A,VLOOKUP(Table7[[#This Row],[Date]],Database!$A:$C,MATCH($B$1,Database!$A$1:$C$1,),))</f>
        <v/>
      </c>
      <c r="C3201">
        <f>IF(VLOOKUP(Table7[[#This Row],[Date]],Database!$A:$C,MATCH($C$1,Database!$A$1:$C$1,),)=0,#N/A,VLOOKUP(Table7[[#This Row],[Date]],Database!$A:$C,MATCH($C$1,Database!$A$1:$C$1,),))</f>
        <v/>
      </c>
      <c r="D3201">
        <f>IFERROR(Table7[[#This Row],[United States 10y]]-Table7[[#This Row],[United States 3y]],#N/A)</f>
        <v/>
      </c>
    </row>
    <row r="3202">
      <c r="A3202" s="6">
        <f>Database!$A5287</f>
        <v/>
      </c>
      <c r="B3202">
        <f>IF(VLOOKUP(Table7[[#This Row],[Date]],Database!$A:$C,MATCH($B$1,Database!$A$1:$C$1,),)=0,#N/A,VLOOKUP(Table7[[#This Row],[Date]],Database!$A:$C,MATCH($B$1,Database!$A$1:$C$1,),))</f>
        <v/>
      </c>
      <c r="C3202">
        <f>IF(VLOOKUP(Table7[[#This Row],[Date]],Database!$A:$C,MATCH($C$1,Database!$A$1:$C$1,),)=0,#N/A,VLOOKUP(Table7[[#This Row],[Date]],Database!$A:$C,MATCH($C$1,Database!$A$1:$C$1,),))</f>
        <v/>
      </c>
      <c r="D3202">
        <f>IFERROR(Table7[[#This Row],[United States 10y]]-Table7[[#This Row],[United States 3y]],#N/A)</f>
        <v/>
      </c>
    </row>
    <row r="3203">
      <c r="A3203" s="6">
        <f>Database!$A5288</f>
        <v/>
      </c>
      <c r="B3203">
        <f>IF(VLOOKUP(Table7[[#This Row],[Date]],Database!$A:$C,MATCH($B$1,Database!$A$1:$C$1,),)=0,#N/A,VLOOKUP(Table7[[#This Row],[Date]],Database!$A:$C,MATCH($B$1,Database!$A$1:$C$1,),))</f>
        <v/>
      </c>
      <c r="C3203">
        <f>IF(VLOOKUP(Table7[[#This Row],[Date]],Database!$A:$C,MATCH($C$1,Database!$A$1:$C$1,),)=0,#N/A,VLOOKUP(Table7[[#This Row],[Date]],Database!$A:$C,MATCH($C$1,Database!$A$1:$C$1,),))</f>
        <v/>
      </c>
      <c r="D3203">
        <f>IFERROR(Table7[[#This Row],[United States 10y]]-Table7[[#This Row],[United States 3y]],#N/A)</f>
        <v/>
      </c>
    </row>
    <row r="3204">
      <c r="A3204" s="6">
        <f>Database!$A5289</f>
        <v/>
      </c>
      <c r="B3204">
        <f>IF(VLOOKUP(Table7[[#This Row],[Date]],Database!$A:$C,MATCH($B$1,Database!$A$1:$C$1,),)=0,#N/A,VLOOKUP(Table7[[#This Row],[Date]],Database!$A:$C,MATCH($B$1,Database!$A$1:$C$1,),))</f>
        <v/>
      </c>
      <c r="C3204">
        <f>IF(VLOOKUP(Table7[[#This Row],[Date]],Database!$A:$C,MATCH($C$1,Database!$A$1:$C$1,),)=0,#N/A,VLOOKUP(Table7[[#This Row],[Date]],Database!$A:$C,MATCH($C$1,Database!$A$1:$C$1,),))</f>
        <v/>
      </c>
      <c r="D3204">
        <f>IFERROR(Table7[[#This Row],[United States 10y]]-Table7[[#This Row],[United States 3y]],#N/A)</f>
        <v/>
      </c>
    </row>
    <row r="3205">
      <c r="A3205" s="6">
        <f>Database!$A5290</f>
        <v/>
      </c>
      <c r="B3205">
        <f>IF(VLOOKUP(Table7[[#This Row],[Date]],Database!$A:$C,MATCH($B$1,Database!$A$1:$C$1,),)=0,#N/A,VLOOKUP(Table7[[#This Row],[Date]],Database!$A:$C,MATCH($B$1,Database!$A$1:$C$1,),))</f>
        <v/>
      </c>
      <c r="C3205">
        <f>IF(VLOOKUP(Table7[[#This Row],[Date]],Database!$A:$C,MATCH($C$1,Database!$A$1:$C$1,),)=0,#N/A,VLOOKUP(Table7[[#This Row],[Date]],Database!$A:$C,MATCH($C$1,Database!$A$1:$C$1,),))</f>
        <v/>
      </c>
      <c r="D3205">
        <f>IFERROR(Table7[[#This Row],[United States 10y]]-Table7[[#This Row],[United States 3y]],#N/A)</f>
        <v/>
      </c>
    </row>
    <row r="3206">
      <c r="A3206" s="6">
        <f>Database!$A5291</f>
        <v/>
      </c>
      <c r="B3206">
        <f>IF(VLOOKUP(Table7[[#This Row],[Date]],Database!$A:$C,MATCH($B$1,Database!$A$1:$C$1,),)=0,#N/A,VLOOKUP(Table7[[#This Row],[Date]],Database!$A:$C,MATCH($B$1,Database!$A$1:$C$1,),))</f>
        <v/>
      </c>
      <c r="C3206">
        <f>IF(VLOOKUP(Table7[[#This Row],[Date]],Database!$A:$C,MATCH($C$1,Database!$A$1:$C$1,),)=0,#N/A,VLOOKUP(Table7[[#This Row],[Date]],Database!$A:$C,MATCH($C$1,Database!$A$1:$C$1,),))</f>
        <v/>
      </c>
      <c r="D3206">
        <f>IFERROR(Table7[[#This Row],[United States 10y]]-Table7[[#This Row],[United States 3y]],#N/A)</f>
        <v/>
      </c>
    </row>
    <row r="3207">
      <c r="A3207" s="6">
        <f>Database!$A5292</f>
        <v/>
      </c>
      <c r="B3207">
        <f>IF(VLOOKUP(Table7[[#This Row],[Date]],Database!$A:$C,MATCH($B$1,Database!$A$1:$C$1,),)=0,#N/A,VLOOKUP(Table7[[#This Row],[Date]],Database!$A:$C,MATCH($B$1,Database!$A$1:$C$1,),))</f>
        <v/>
      </c>
      <c r="C3207">
        <f>IF(VLOOKUP(Table7[[#This Row],[Date]],Database!$A:$C,MATCH($C$1,Database!$A$1:$C$1,),)=0,#N/A,VLOOKUP(Table7[[#This Row],[Date]],Database!$A:$C,MATCH($C$1,Database!$A$1:$C$1,),))</f>
        <v/>
      </c>
      <c r="D3207">
        <f>IFERROR(Table7[[#This Row],[United States 10y]]-Table7[[#This Row],[United States 3y]],#N/A)</f>
        <v/>
      </c>
    </row>
    <row r="3208">
      <c r="A3208" s="6">
        <f>Database!$A5293</f>
        <v/>
      </c>
      <c r="B3208">
        <f>IF(VLOOKUP(Table7[[#This Row],[Date]],Database!$A:$C,MATCH($B$1,Database!$A$1:$C$1,),)=0,#N/A,VLOOKUP(Table7[[#This Row],[Date]],Database!$A:$C,MATCH($B$1,Database!$A$1:$C$1,),))</f>
        <v/>
      </c>
      <c r="C3208">
        <f>IF(VLOOKUP(Table7[[#This Row],[Date]],Database!$A:$C,MATCH($C$1,Database!$A$1:$C$1,),)=0,#N/A,VLOOKUP(Table7[[#This Row],[Date]],Database!$A:$C,MATCH($C$1,Database!$A$1:$C$1,),))</f>
        <v/>
      </c>
      <c r="D3208">
        <f>IFERROR(Table7[[#This Row],[United States 10y]]-Table7[[#This Row],[United States 3y]],#N/A)</f>
        <v/>
      </c>
    </row>
    <row r="3209">
      <c r="A3209" s="6">
        <f>Database!$A5294</f>
        <v/>
      </c>
      <c r="B3209">
        <f>IF(VLOOKUP(Table7[[#This Row],[Date]],Database!$A:$C,MATCH($B$1,Database!$A$1:$C$1,),)=0,#N/A,VLOOKUP(Table7[[#This Row],[Date]],Database!$A:$C,MATCH($B$1,Database!$A$1:$C$1,),))</f>
        <v/>
      </c>
      <c r="C3209">
        <f>IF(VLOOKUP(Table7[[#This Row],[Date]],Database!$A:$C,MATCH($C$1,Database!$A$1:$C$1,),)=0,#N/A,VLOOKUP(Table7[[#This Row],[Date]],Database!$A:$C,MATCH($C$1,Database!$A$1:$C$1,),))</f>
        <v/>
      </c>
      <c r="D3209">
        <f>IFERROR(Table7[[#This Row],[United States 10y]]-Table7[[#This Row],[United States 3y]],#N/A)</f>
        <v/>
      </c>
    </row>
    <row r="3210">
      <c r="A3210" s="6">
        <f>Database!$A5295</f>
        <v/>
      </c>
      <c r="B3210">
        <f>IF(VLOOKUP(Table7[[#This Row],[Date]],Database!$A:$C,MATCH($B$1,Database!$A$1:$C$1,),)=0,#N/A,VLOOKUP(Table7[[#This Row],[Date]],Database!$A:$C,MATCH($B$1,Database!$A$1:$C$1,),))</f>
        <v/>
      </c>
      <c r="C3210">
        <f>IF(VLOOKUP(Table7[[#This Row],[Date]],Database!$A:$C,MATCH($C$1,Database!$A$1:$C$1,),)=0,#N/A,VLOOKUP(Table7[[#This Row],[Date]],Database!$A:$C,MATCH($C$1,Database!$A$1:$C$1,),))</f>
        <v/>
      </c>
      <c r="D3210">
        <f>IFERROR(Table7[[#This Row],[United States 10y]]-Table7[[#This Row],[United States 3y]],#N/A)</f>
        <v/>
      </c>
    </row>
    <row r="3211">
      <c r="A3211" s="6">
        <f>Database!$A5296</f>
        <v/>
      </c>
      <c r="B3211">
        <f>IF(VLOOKUP(Table7[[#This Row],[Date]],Database!$A:$C,MATCH($B$1,Database!$A$1:$C$1,),)=0,#N/A,VLOOKUP(Table7[[#This Row],[Date]],Database!$A:$C,MATCH($B$1,Database!$A$1:$C$1,),))</f>
        <v/>
      </c>
      <c r="C3211">
        <f>IF(VLOOKUP(Table7[[#This Row],[Date]],Database!$A:$C,MATCH($C$1,Database!$A$1:$C$1,),)=0,#N/A,VLOOKUP(Table7[[#This Row],[Date]],Database!$A:$C,MATCH($C$1,Database!$A$1:$C$1,),))</f>
        <v/>
      </c>
      <c r="D3211">
        <f>IFERROR(Table7[[#This Row],[United States 10y]]-Table7[[#This Row],[United States 3y]],#N/A)</f>
        <v/>
      </c>
    </row>
    <row r="3212">
      <c r="A3212" s="6">
        <f>Database!$A5297</f>
        <v/>
      </c>
      <c r="B3212">
        <f>IF(VLOOKUP(Table7[[#This Row],[Date]],Database!$A:$C,MATCH($B$1,Database!$A$1:$C$1,),)=0,#N/A,VLOOKUP(Table7[[#This Row],[Date]],Database!$A:$C,MATCH($B$1,Database!$A$1:$C$1,),))</f>
        <v/>
      </c>
      <c r="C3212">
        <f>IF(VLOOKUP(Table7[[#This Row],[Date]],Database!$A:$C,MATCH($C$1,Database!$A$1:$C$1,),)=0,#N/A,VLOOKUP(Table7[[#This Row],[Date]],Database!$A:$C,MATCH($C$1,Database!$A$1:$C$1,),))</f>
        <v/>
      </c>
      <c r="D3212">
        <f>IFERROR(Table7[[#This Row],[United States 10y]]-Table7[[#This Row],[United States 3y]],#N/A)</f>
        <v/>
      </c>
    </row>
    <row r="3213">
      <c r="A3213" s="6">
        <f>Database!$A5298</f>
        <v/>
      </c>
      <c r="B3213">
        <f>IF(VLOOKUP(Table7[[#This Row],[Date]],Database!$A:$C,MATCH($B$1,Database!$A$1:$C$1,),)=0,#N/A,VLOOKUP(Table7[[#This Row],[Date]],Database!$A:$C,MATCH($B$1,Database!$A$1:$C$1,),))</f>
        <v/>
      </c>
      <c r="C3213">
        <f>IF(VLOOKUP(Table7[[#This Row],[Date]],Database!$A:$C,MATCH($C$1,Database!$A$1:$C$1,),)=0,#N/A,VLOOKUP(Table7[[#This Row],[Date]],Database!$A:$C,MATCH($C$1,Database!$A$1:$C$1,),))</f>
        <v/>
      </c>
      <c r="D3213">
        <f>IFERROR(Table7[[#This Row],[United States 10y]]-Table7[[#This Row],[United States 3y]],#N/A)</f>
        <v/>
      </c>
    </row>
    <row r="3214">
      <c r="A3214" s="6">
        <f>Database!$A5299</f>
        <v/>
      </c>
      <c r="B3214">
        <f>IF(VLOOKUP(Table7[[#This Row],[Date]],Database!$A:$C,MATCH($B$1,Database!$A$1:$C$1,),)=0,#N/A,VLOOKUP(Table7[[#This Row],[Date]],Database!$A:$C,MATCH($B$1,Database!$A$1:$C$1,),))</f>
        <v/>
      </c>
      <c r="C3214">
        <f>IF(VLOOKUP(Table7[[#This Row],[Date]],Database!$A:$C,MATCH($C$1,Database!$A$1:$C$1,),)=0,#N/A,VLOOKUP(Table7[[#This Row],[Date]],Database!$A:$C,MATCH($C$1,Database!$A$1:$C$1,),))</f>
        <v/>
      </c>
      <c r="D3214">
        <f>IFERROR(Table7[[#This Row],[United States 10y]]-Table7[[#This Row],[United States 3y]],#N/A)</f>
        <v/>
      </c>
    </row>
    <row r="3215">
      <c r="A3215" s="6">
        <f>Database!$A5300</f>
        <v/>
      </c>
      <c r="B3215">
        <f>IF(VLOOKUP(Table7[[#This Row],[Date]],Database!$A:$C,MATCH($B$1,Database!$A$1:$C$1,),)=0,#N/A,VLOOKUP(Table7[[#This Row],[Date]],Database!$A:$C,MATCH($B$1,Database!$A$1:$C$1,),))</f>
        <v/>
      </c>
      <c r="C3215">
        <f>IF(VLOOKUP(Table7[[#This Row],[Date]],Database!$A:$C,MATCH($C$1,Database!$A$1:$C$1,),)=0,#N/A,VLOOKUP(Table7[[#This Row],[Date]],Database!$A:$C,MATCH($C$1,Database!$A$1:$C$1,),))</f>
        <v/>
      </c>
      <c r="D3215">
        <f>IFERROR(Table7[[#This Row],[United States 10y]]-Table7[[#This Row],[United States 3y]],#N/A)</f>
        <v/>
      </c>
    </row>
    <row r="3216">
      <c r="A3216" s="6">
        <f>Database!$A5301</f>
        <v/>
      </c>
      <c r="B3216">
        <f>IF(VLOOKUP(Table7[[#This Row],[Date]],Database!$A:$C,MATCH($B$1,Database!$A$1:$C$1,),)=0,#N/A,VLOOKUP(Table7[[#This Row],[Date]],Database!$A:$C,MATCH($B$1,Database!$A$1:$C$1,),))</f>
        <v/>
      </c>
      <c r="C3216">
        <f>IF(VLOOKUP(Table7[[#This Row],[Date]],Database!$A:$C,MATCH($C$1,Database!$A$1:$C$1,),)=0,#N/A,VLOOKUP(Table7[[#This Row],[Date]],Database!$A:$C,MATCH($C$1,Database!$A$1:$C$1,),))</f>
        <v/>
      </c>
      <c r="D3216">
        <f>IFERROR(Table7[[#This Row],[United States 10y]]-Table7[[#This Row],[United States 3y]],#N/A)</f>
        <v/>
      </c>
    </row>
    <row r="3217">
      <c r="A3217" s="6">
        <f>Database!$A5302</f>
        <v/>
      </c>
      <c r="B3217">
        <f>IF(VLOOKUP(Table7[[#This Row],[Date]],Database!$A:$C,MATCH($B$1,Database!$A$1:$C$1,),)=0,#N/A,VLOOKUP(Table7[[#This Row],[Date]],Database!$A:$C,MATCH($B$1,Database!$A$1:$C$1,),))</f>
        <v/>
      </c>
      <c r="C3217">
        <f>IF(VLOOKUP(Table7[[#This Row],[Date]],Database!$A:$C,MATCH($C$1,Database!$A$1:$C$1,),)=0,#N/A,VLOOKUP(Table7[[#This Row],[Date]],Database!$A:$C,MATCH($C$1,Database!$A$1:$C$1,),))</f>
        <v/>
      </c>
      <c r="D3217">
        <f>IFERROR(Table7[[#This Row],[United States 10y]]-Table7[[#This Row],[United States 3y]],#N/A)</f>
        <v/>
      </c>
    </row>
    <row r="3218">
      <c r="A3218" s="6">
        <f>Database!$A5303</f>
        <v/>
      </c>
      <c r="B3218">
        <f>IF(VLOOKUP(Table7[[#This Row],[Date]],Database!$A:$C,MATCH($B$1,Database!$A$1:$C$1,),)=0,#N/A,VLOOKUP(Table7[[#This Row],[Date]],Database!$A:$C,MATCH($B$1,Database!$A$1:$C$1,),))</f>
        <v/>
      </c>
      <c r="C3218">
        <f>IF(VLOOKUP(Table7[[#This Row],[Date]],Database!$A:$C,MATCH($C$1,Database!$A$1:$C$1,),)=0,#N/A,VLOOKUP(Table7[[#This Row],[Date]],Database!$A:$C,MATCH($C$1,Database!$A$1:$C$1,),))</f>
        <v/>
      </c>
      <c r="D3218">
        <f>IFERROR(Table7[[#This Row],[United States 10y]]-Table7[[#This Row],[United States 3y]],#N/A)</f>
        <v/>
      </c>
    </row>
    <row r="3219">
      <c r="A3219" s="6">
        <f>Database!$A5304</f>
        <v/>
      </c>
      <c r="B3219">
        <f>IF(VLOOKUP(Table7[[#This Row],[Date]],Database!$A:$C,MATCH($B$1,Database!$A$1:$C$1,),)=0,#N/A,VLOOKUP(Table7[[#This Row],[Date]],Database!$A:$C,MATCH($B$1,Database!$A$1:$C$1,),))</f>
        <v/>
      </c>
      <c r="C3219">
        <f>IF(VLOOKUP(Table7[[#This Row],[Date]],Database!$A:$C,MATCH($C$1,Database!$A$1:$C$1,),)=0,#N/A,VLOOKUP(Table7[[#This Row],[Date]],Database!$A:$C,MATCH($C$1,Database!$A$1:$C$1,),))</f>
        <v/>
      </c>
      <c r="D3219">
        <f>IFERROR(Table7[[#This Row],[United States 10y]]-Table7[[#This Row],[United States 3y]],#N/A)</f>
        <v/>
      </c>
    </row>
    <row r="3220">
      <c r="A3220" s="6">
        <f>Database!$A5305</f>
        <v/>
      </c>
      <c r="B3220">
        <f>IF(VLOOKUP(Table7[[#This Row],[Date]],Database!$A:$C,MATCH($B$1,Database!$A$1:$C$1,),)=0,#N/A,VLOOKUP(Table7[[#This Row],[Date]],Database!$A:$C,MATCH($B$1,Database!$A$1:$C$1,),))</f>
        <v/>
      </c>
      <c r="C3220">
        <f>IF(VLOOKUP(Table7[[#This Row],[Date]],Database!$A:$C,MATCH($C$1,Database!$A$1:$C$1,),)=0,#N/A,VLOOKUP(Table7[[#This Row],[Date]],Database!$A:$C,MATCH($C$1,Database!$A$1:$C$1,),))</f>
        <v/>
      </c>
      <c r="D3220">
        <f>IFERROR(Table7[[#This Row],[United States 10y]]-Table7[[#This Row],[United States 3y]],#N/A)</f>
        <v/>
      </c>
    </row>
    <row r="3221">
      <c r="A3221" s="6">
        <f>Database!$A5306</f>
        <v/>
      </c>
      <c r="B3221">
        <f>IF(VLOOKUP(Table7[[#This Row],[Date]],Database!$A:$C,MATCH($B$1,Database!$A$1:$C$1,),)=0,#N/A,VLOOKUP(Table7[[#This Row],[Date]],Database!$A:$C,MATCH($B$1,Database!$A$1:$C$1,),))</f>
        <v/>
      </c>
      <c r="C3221">
        <f>IF(VLOOKUP(Table7[[#This Row],[Date]],Database!$A:$C,MATCH($C$1,Database!$A$1:$C$1,),)=0,#N/A,VLOOKUP(Table7[[#This Row],[Date]],Database!$A:$C,MATCH($C$1,Database!$A$1:$C$1,),))</f>
        <v/>
      </c>
      <c r="D3221">
        <f>IFERROR(Table7[[#This Row],[United States 10y]]-Table7[[#This Row],[United States 3y]],#N/A)</f>
        <v/>
      </c>
    </row>
    <row r="3222">
      <c r="A3222" s="6">
        <f>Database!$A5307</f>
        <v/>
      </c>
      <c r="B3222">
        <f>IF(VLOOKUP(Table7[[#This Row],[Date]],Database!$A:$C,MATCH($B$1,Database!$A$1:$C$1,),)=0,#N/A,VLOOKUP(Table7[[#This Row],[Date]],Database!$A:$C,MATCH($B$1,Database!$A$1:$C$1,),))</f>
        <v/>
      </c>
      <c r="C3222">
        <f>IF(VLOOKUP(Table7[[#This Row],[Date]],Database!$A:$C,MATCH($C$1,Database!$A$1:$C$1,),)=0,#N/A,VLOOKUP(Table7[[#This Row],[Date]],Database!$A:$C,MATCH($C$1,Database!$A$1:$C$1,),))</f>
        <v/>
      </c>
      <c r="D3222">
        <f>IFERROR(Table7[[#This Row],[United States 10y]]-Table7[[#This Row],[United States 3y]],#N/A)</f>
        <v/>
      </c>
    </row>
    <row r="3223">
      <c r="A3223" s="6">
        <f>Database!$A5308</f>
        <v/>
      </c>
      <c r="B3223">
        <f>IF(VLOOKUP(Table7[[#This Row],[Date]],Database!$A:$C,MATCH($B$1,Database!$A$1:$C$1,),)=0,#N/A,VLOOKUP(Table7[[#This Row],[Date]],Database!$A:$C,MATCH($B$1,Database!$A$1:$C$1,),))</f>
        <v/>
      </c>
      <c r="C3223">
        <f>IF(VLOOKUP(Table7[[#This Row],[Date]],Database!$A:$C,MATCH($C$1,Database!$A$1:$C$1,),)=0,#N/A,VLOOKUP(Table7[[#This Row],[Date]],Database!$A:$C,MATCH($C$1,Database!$A$1:$C$1,),))</f>
        <v/>
      </c>
      <c r="D3223">
        <f>IFERROR(Table7[[#This Row],[United States 10y]]-Table7[[#This Row],[United States 3y]],#N/A)</f>
        <v/>
      </c>
    </row>
    <row r="3224">
      <c r="A3224" s="6">
        <f>Database!$A5309</f>
        <v/>
      </c>
      <c r="B3224">
        <f>IF(VLOOKUP(Table7[[#This Row],[Date]],Database!$A:$C,MATCH($B$1,Database!$A$1:$C$1,),)=0,#N/A,VLOOKUP(Table7[[#This Row],[Date]],Database!$A:$C,MATCH($B$1,Database!$A$1:$C$1,),))</f>
        <v/>
      </c>
      <c r="C3224">
        <f>IF(VLOOKUP(Table7[[#This Row],[Date]],Database!$A:$C,MATCH($C$1,Database!$A$1:$C$1,),)=0,#N/A,VLOOKUP(Table7[[#This Row],[Date]],Database!$A:$C,MATCH($C$1,Database!$A$1:$C$1,),))</f>
        <v/>
      </c>
      <c r="D3224">
        <f>IFERROR(Table7[[#This Row],[United States 10y]]-Table7[[#This Row],[United States 3y]],#N/A)</f>
        <v/>
      </c>
    </row>
    <row r="3225">
      <c r="A3225" s="6">
        <f>Database!$A5310</f>
        <v/>
      </c>
      <c r="B3225">
        <f>IF(VLOOKUP(Table7[[#This Row],[Date]],Database!$A:$C,MATCH($B$1,Database!$A$1:$C$1,),)=0,#N/A,VLOOKUP(Table7[[#This Row],[Date]],Database!$A:$C,MATCH($B$1,Database!$A$1:$C$1,),))</f>
        <v/>
      </c>
      <c r="C3225">
        <f>IF(VLOOKUP(Table7[[#This Row],[Date]],Database!$A:$C,MATCH($C$1,Database!$A$1:$C$1,),)=0,#N/A,VLOOKUP(Table7[[#This Row],[Date]],Database!$A:$C,MATCH($C$1,Database!$A$1:$C$1,),))</f>
        <v/>
      </c>
      <c r="D3225">
        <f>IFERROR(Table7[[#This Row],[United States 10y]]-Table7[[#This Row],[United States 3y]],#N/A)</f>
        <v/>
      </c>
    </row>
    <row r="3226">
      <c r="A3226" s="6">
        <f>Database!$A5311</f>
        <v/>
      </c>
      <c r="B3226">
        <f>IF(VLOOKUP(Table7[[#This Row],[Date]],Database!$A:$C,MATCH($B$1,Database!$A$1:$C$1,),)=0,#N/A,VLOOKUP(Table7[[#This Row],[Date]],Database!$A:$C,MATCH($B$1,Database!$A$1:$C$1,),))</f>
        <v/>
      </c>
      <c r="C3226">
        <f>IF(VLOOKUP(Table7[[#This Row],[Date]],Database!$A:$C,MATCH($C$1,Database!$A$1:$C$1,),)=0,#N/A,VLOOKUP(Table7[[#This Row],[Date]],Database!$A:$C,MATCH($C$1,Database!$A$1:$C$1,),))</f>
        <v/>
      </c>
      <c r="D3226">
        <f>IFERROR(Table7[[#This Row],[United States 10y]]-Table7[[#This Row],[United States 3y]],#N/A)</f>
        <v/>
      </c>
    </row>
    <row r="3227">
      <c r="A3227" s="6">
        <f>Database!$A5312</f>
        <v/>
      </c>
      <c r="B3227">
        <f>IF(VLOOKUP(Table7[[#This Row],[Date]],Database!$A:$C,MATCH($B$1,Database!$A$1:$C$1,),)=0,#N/A,VLOOKUP(Table7[[#This Row],[Date]],Database!$A:$C,MATCH($B$1,Database!$A$1:$C$1,),))</f>
        <v/>
      </c>
      <c r="C3227">
        <f>IF(VLOOKUP(Table7[[#This Row],[Date]],Database!$A:$C,MATCH($C$1,Database!$A$1:$C$1,),)=0,#N/A,VLOOKUP(Table7[[#This Row],[Date]],Database!$A:$C,MATCH($C$1,Database!$A$1:$C$1,),))</f>
        <v/>
      </c>
      <c r="D3227">
        <f>IFERROR(Table7[[#This Row],[United States 10y]]-Table7[[#This Row],[United States 3y]],#N/A)</f>
        <v/>
      </c>
    </row>
    <row r="3228">
      <c r="A3228" s="6">
        <f>Database!$A5313</f>
        <v/>
      </c>
      <c r="B3228">
        <f>IF(VLOOKUP(Table7[[#This Row],[Date]],Database!$A:$C,MATCH($B$1,Database!$A$1:$C$1,),)=0,#N/A,VLOOKUP(Table7[[#This Row],[Date]],Database!$A:$C,MATCH($B$1,Database!$A$1:$C$1,),))</f>
        <v/>
      </c>
      <c r="C3228">
        <f>IF(VLOOKUP(Table7[[#This Row],[Date]],Database!$A:$C,MATCH($C$1,Database!$A$1:$C$1,),)=0,#N/A,VLOOKUP(Table7[[#This Row],[Date]],Database!$A:$C,MATCH($C$1,Database!$A$1:$C$1,),))</f>
        <v/>
      </c>
      <c r="D3228">
        <f>IFERROR(Table7[[#This Row],[United States 10y]]-Table7[[#This Row],[United States 3y]],#N/A)</f>
        <v/>
      </c>
    </row>
    <row r="3229">
      <c r="A3229" s="6">
        <f>Database!$A5314</f>
        <v/>
      </c>
      <c r="B3229">
        <f>IF(VLOOKUP(Table7[[#This Row],[Date]],Database!$A:$C,MATCH($B$1,Database!$A$1:$C$1,),)=0,#N/A,VLOOKUP(Table7[[#This Row],[Date]],Database!$A:$C,MATCH($B$1,Database!$A$1:$C$1,),))</f>
        <v/>
      </c>
      <c r="C3229">
        <f>IF(VLOOKUP(Table7[[#This Row],[Date]],Database!$A:$C,MATCH($C$1,Database!$A$1:$C$1,),)=0,#N/A,VLOOKUP(Table7[[#This Row],[Date]],Database!$A:$C,MATCH($C$1,Database!$A$1:$C$1,),))</f>
        <v/>
      </c>
      <c r="D3229">
        <f>IFERROR(Table7[[#This Row],[United States 10y]]-Table7[[#This Row],[United States 3y]],#N/A)</f>
        <v/>
      </c>
    </row>
    <row r="3230">
      <c r="A3230" s="6">
        <f>Database!$A5315</f>
        <v/>
      </c>
      <c r="B3230">
        <f>IF(VLOOKUP(Table7[[#This Row],[Date]],Database!$A:$C,MATCH($B$1,Database!$A$1:$C$1,),)=0,#N/A,VLOOKUP(Table7[[#This Row],[Date]],Database!$A:$C,MATCH($B$1,Database!$A$1:$C$1,),))</f>
        <v/>
      </c>
      <c r="C3230">
        <f>IF(VLOOKUP(Table7[[#This Row],[Date]],Database!$A:$C,MATCH($C$1,Database!$A$1:$C$1,),)=0,#N/A,VLOOKUP(Table7[[#This Row],[Date]],Database!$A:$C,MATCH($C$1,Database!$A$1:$C$1,),))</f>
        <v/>
      </c>
      <c r="D3230">
        <f>IFERROR(Table7[[#This Row],[United States 10y]]-Table7[[#This Row],[United States 3y]],#N/A)</f>
        <v/>
      </c>
    </row>
    <row r="3231">
      <c r="A3231" s="6">
        <f>Database!$A5316</f>
        <v/>
      </c>
      <c r="B3231">
        <f>IF(VLOOKUP(Table7[[#This Row],[Date]],Database!$A:$C,MATCH($B$1,Database!$A$1:$C$1,),)=0,#N/A,VLOOKUP(Table7[[#This Row],[Date]],Database!$A:$C,MATCH($B$1,Database!$A$1:$C$1,),))</f>
        <v/>
      </c>
      <c r="C3231">
        <f>IF(VLOOKUP(Table7[[#This Row],[Date]],Database!$A:$C,MATCH($C$1,Database!$A$1:$C$1,),)=0,#N/A,VLOOKUP(Table7[[#This Row],[Date]],Database!$A:$C,MATCH($C$1,Database!$A$1:$C$1,),))</f>
        <v/>
      </c>
      <c r="D3231">
        <f>IFERROR(Table7[[#This Row],[United States 10y]]-Table7[[#This Row],[United States 3y]],#N/A)</f>
        <v/>
      </c>
    </row>
    <row r="3232">
      <c r="A3232" s="6">
        <f>Database!$A5317</f>
        <v/>
      </c>
      <c r="B3232">
        <f>IF(VLOOKUP(Table7[[#This Row],[Date]],Database!$A:$C,MATCH($B$1,Database!$A$1:$C$1,),)=0,#N/A,VLOOKUP(Table7[[#This Row],[Date]],Database!$A:$C,MATCH($B$1,Database!$A$1:$C$1,),))</f>
        <v/>
      </c>
      <c r="C3232">
        <f>IF(VLOOKUP(Table7[[#This Row],[Date]],Database!$A:$C,MATCH($C$1,Database!$A$1:$C$1,),)=0,#N/A,VLOOKUP(Table7[[#This Row],[Date]],Database!$A:$C,MATCH($C$1,Database!$A$1:$C$1,),))</f>
        <v/>
      </c>
      <c r="D3232">
        <f>IFERROR(Table7[[#This Row],[United States 10y]]-Table7[[#This Row],[United States 3y]],#N/A)</f>
        <v/>
      </c>
    </row>
    <row r="3233">
      <c r="A3233" s="6">
        <f>Database!$A5318</f>
        <v/>
      </c>
      <c r="B3233">
        <f>IF(VLOOKUP(Table7[[#This Row],[Date]],Database!$A:$C,MATCH($B$1,Database!$A$1:$C$1,),)=0,#N/A,VLOOKUP(Table7[[#This Row],[Date]],Database!$A:$C,MATCH($B$1,Database!$A$1:$C$1,),))</f>
        <v/>
      </c>
      <c r="C3233">
        <f>IF(VLOOKUP(Table7[[#This Row],[Date]],Database!$A:$C,MATCH($C$1,Database!$A$1:$C$1,),)=0,#N/A,VLOOKUP(Table7[[#This Row],[Date]],Database!$A:$C,MATCH($C$1,Database!$A$1:$C$1,),))</f>
        <v/>
      </c>
      <c r="D3233">
        <f>IFERROR(Table7[[#This Row],[United States 10y]]-Table7[[#This Row],[United States 3y]],#N/A)</f>
        <v/>
      </c>
    </row>
    <row r="3234">
      <c r="A3234" s="6">
        <f>Database!$A5319</f>
        <v/>
      </c>
      <c r="B3234">
        <f>IF(VLOOKUP(Table7[[#This Row],[Date]],Database!$A:$C,MATCH($B$1,Database!$A$1:$C$1,),)=0,#N/A,VLOOKUP(Table7[[#This Row],[Date]],Database!$A:$C,MATCH($B$1,Database!$A$1:$C$1,),))</f>
        <v/>
      </c>
      <c r="C3234">
        <f>IF(VLOOKUP(Table7[[#This Row],[Date]],Database!$A:$C,MATCH($C$1,Database!$A$1:$C$1,),)=0,#N/A,VLOOKUP(Table7[[#This Row],[Date]],Database!$A:$C,MATCH($C$1,Database!$A$1:$C$1,),))</f>
        <v/>
      </c>
      <c r="D3234">
        <f>IFERROR(Table7[[#This Row],[United States 10y]]-Table7[[#This Row],[United States 3y]],#N/A)</f>
        <v/>
      </c>
    </row>
    <row r="3235">
      <c r="A3235" s="6">
        <f>Database!$A5320</f>
        <v/>
      </c>
      <c r="B3235">
        <f>IF(VLOOKUP(Table7[[#This Row],[Date]],Database!$A:$C,MATCH($B$1,Database!$A$1:$C$1,),)=0,#N/A,VLOOKUP(Table7[[#This Row],[Date]],Database!$A:$C,MATCH($B$1,Database!$A$1:$C$1,),))</f>
        <v/>
      </c>
      <c r="C3235">
        <f>IF(VLOOKUP(Table7[[#This Row],[Date]],Database!$A:$C,MATCH($C$1,Database!$A$1:$C$1,),)=0,#N/A,VLOOKUP(Table7[[#This Row],[Date]],Database!$A:$C,MATCH($C$1,Database!$A$1:$C$1,),))</f>
        <v/>
      </c>
      <c r="D3235">
        <f>IFERROR(Table7[[#This Row],[United States 10y]]-Table7[[#This Row],[United States 3y]],#N/A)</f>
        <v/>
      </c>
    </row>
    <row r="3236">
      <c r="A3236" s="6">
        <f>Database!$A5321</f>
        <v/>
      </c>
      <c r="B3236">
        <f>IF(VLOOKUP(Table7[[#This Row],[Date]],Database!$A:$C,MATCH($B$1,Database!$A$1:$C$1,),)=0,#N/A,VLOOKUP(Table7[[#This Row],[Date]],Database!$A:$C,MATCH($B$1,Database!$A$1:$C$1,),))</f>
        <v/>
      </c>
      <c r="C3236">
        <f>IF(VLOOKUP(Table7[[#This Row],[Date]],Database!$A:$C,MATCH($C$1,Database!$A$1:$C$1,),)=0,#N/A,VLOOKUP(Table7[[#This Row],[Date]],Database!$A:$C,MATCH($C$1,Database!$A$1:$C$1,),))</f>
        <v/>
      </c>
      <c r="D3236">
        <f>IFERROR(Table7[[#This Row],[United States 10y]]-Table7[[#This Row],[United States 3y]],#N/A)</f>
        <v/>
      </c>
    </row>
    <row r="3237">
      <c r="A3237" s="6">
        <f>Database!$A5322</f>
        <v/>
      </c>
      <c r="B3237">
        <f>IF(VLOOKUP(Table7[[#This Row],[Date]],Database!$A:$C,MATCH($B$1,Database!$A$1:$C$1,),)=0,#N/A,VLOOKUP(Table7[[#This Row],[Date]],Database!$A:$C,MATCH($B$1,Database!$A$1:$C$1,),))</f>
        <v/>
      </c>
      <c r="C3237">
        <f>IF(VLOOKUP(Table7[[#This Row],[Date]],Database!$A:$C,MATCH($C$1,Database!$A$1:$C$1,),)=0,#N/A,VLOOKUP(Table7[[#This Row],[Date]],Database!$A:$C,MATCH($C$1,Database!$A$1:$C$1,),))</f>
        <v/>
      </c>
      <c r="D3237">
        <f>IFERROR(Table7[[#This Row],[United States 10y]]-Table7[[#This Row],[United States 3y]],#N/A)</f>
        <v/>
      </c>
    </row>
    <row r="3238">
      <c r="A3238" s="6">
        <f>Database!$A5323</f>
        <v/>
      </c>
      <c r="B3238">
        <f>IF(VLOOKUP(Table7[[#This Row],[Date]],Database!$A:$C,MATCH($B$1,Database!$A$1:$C$1,),)=0,#N/A,VLOOKUP(Table7[[#This Row],[Date]],Database!$A:$C,MATCH($B$1,Database!$A$1:$C$1,),))</f>
        <v/>
      </c>
      <c r="C3238">
        <f>IF(VLOOKUP(Table7[[#This Row],[Date]],Database!$A:$C,MATCH($C$1,Database!$A$1:$C$1,),)=0,#N/A,VLOOKUP(Table7[[#This Row],[Date]],Database!$A:$C,MATCH($C$1,Database!$A$1:$C$1,),))</f>
        <v/>
      </c>
      <c r="D3238">
        <f>IFERROR(Table7[[#This Row],[United States 10y]]-Table7[[#This Row],[United States 3y]],#N/A)</f>
        <v/>
      </c>
    </row>
    <row r="3239">
      <c r="A3239" s="6">
        <f>Database!$A5324</f>
        <v/>
      </c>
      <c r="B3239">
        <f>IF(VLOOKUP(Table7[[#This Row],[Date]],Database!$A:$C,MATCH($B$1,Database!$A$1:$C$1,),)=0,#N/A,VLOOKUP(Table7[[#This Row],[Date]],Database!$A:$C,MATCH($B$1,Database!$A$1:$C$1,),))</f>
        <v/>
      </c>
      <c r="C3239">
        <f>IF(VLOOKUP(Table7[[#This Row],[Date]],Database!$A:$C,MATCH($C$1,Database!$A$1:$C$1,),)=0,#N/A,VLOOKUP(Table7[[#This Row],[Date]],Database!$A:$C,MATCH($C$1,Database!$A$1:$C$1,),))</f>
        <v/>
      </c>
      <c r="D3239">
        <f>IFERROR(Table7[[#This Row],[United States 10y]]-Table7[[#This Row],[United States 3y]],#N/A)</f>
        <v/>
      </c>
    </row>
    <row r="3240">
      <c r="A3240" s="6">
        <f>Database!$A5325</f>
        <v/>
      </c>
      <c r="B3240">
        <f>IF(VLOOKUP(Table7[[#This Row],[Date]],Database!$A:$C,MATCH($B$1,Database!$A$1:$C$1,),)=0,#N/A,VLOOKUP(Table7[[#This Row],[Date]],Database!$A:$C,MATCH($B$1,Database!$A$1:$C$1,),))</f>
        <v/>
      </c>
      <c r="C3240">
        <f>IF(VLOOKUP(Table7[[#This Row],[Date]],Database!$A:$C,MATCH($C$1,Database!$A$1:$C$1,),)=0,#N/A,VLOOKUP(Table7[[#This Row],[Date]],Database!$A:$C,MATCH($C$1,Database!$A$1:$C$1,),))</f>
        <v/>
      </c>
      <c r="D3240">
        <f>IFERROR(Table7[[#This Row],[United States 10y]]-Table7[[#This Row],[United States 3y]],#N/A)</f>
        <v/>
      </c>
    </row>
    <row r="3241">
      <c r="A3241" s="6">
        <f>Database!$A5326</f>
        <v/>
      </c>
      <c r="B3241">
        <f>IF(VLOOKUP(Table7[[#This Row],[Date]],Database!$A:$C,MATCH($B$1,Database!$A$1:$C$1,),)=0,#N/A,VLOOKUP(Table7[[#This Row],[Date]],Database!$A:$C,MATCH($B$1,Database!$A$1:$C$1,),))</f>
        <v/>
      </c>
      <c r="C3241">
        <f>IF(VLOOKUP(Table7[[#This Row],[Date]],Database!$A:$C,MATCH($C$1,Database!$A$1:$C$1,),)=0,#N/A,VLOOKUP(Table7[[#This Row],[Date]],Database!$A:$C,MATCH($C$1,Database!$A$1:$C$1,),))</f>
        <v/>
      </c>
      <c r="D3241">
        <f>IFERROR(Table7[[#This Row],[United States 10y]]-Table7[[#This Row],[United States 3y]],#N/A)</f>
        <v/>
      </c>
    </row>
    <row r="3242">
      <c r="A3242" s="6">
        <f>Database!$A5327</f>
        <v/>
      </c>
      <c r="B3242">
        <f>IF(VLOOKUP(Table7[[#This Row],[Date]],Database!$A:$C,MATCH($B$1,Database!$A$1:$C$1,),)=0,#N/A,VLOOKUP(Table7[[#This Row],[Date]],Database!$A:$C,MATCH($B$1,Database!$A$1:$C$1,),))</f>
        <v/>
      </c>
      <c r="C3242">
        <f>IF(VLOOKUP(Table7[[#This Row],[Date]],Database!$A:$C,MATCH($C$1,Database!$A$1:$C$1,),)=0,#N/A,VLOOKUP(Table7[[#This Row],[Date]],Database!$A:$C,MATCH($C$1,Database!$A$1:$C$1,),))</f>
        <v/>
      </c>
      <c r="D3242">
        <f>IFERROR(Table7[[#This Row],[United States 10y]]-Table7[[#This Row],[United States 3y]],#N/A)</f>
        <v/>
      </c>
    </row>
    <row r="3243">
      <c r="A3243" s="6">
        <f>Database!$A5328</f>
        <v/>
      </c>
      <c r="B3243">
        <f>IF(VLOOKUP(Table7[[#This Row],[Date]],Database!$A:$C,MATCH($B$1,Database!$A$1:$C$1,),)=0,#N/A,VLOOKUP(Table7[[#This Row],[Date]],Database!$A:$C,MATCH($B$1,Database!$A$1:$C$1,),))</f>
        <v/>
      </c>
      <c r="C3243">
        <f>IF(VLOOKUP(Table7[[#This Row],[Date]],Database!$A:$C,MATCH($C$1,Database!$A$1:$C$1,),)=0,#N/A,VLOOKUP(Table7[[#This Row],[Date]],Database!$A:$C,MATCH($C$1,Database!$A$1:$C$1,),))</f>
        <v/>
      </c>
      <c r="D3243">
        <f>IFERROR(Table7[[#This Row],[United States 10y]]-Table7[[#This Row],[United States 3y]],#N/A)</f>
        <v/>
      </c>
    </row>
    <row r="3244">
      <c r="A3244" s="6">
        <f>Database!$A5329</f>
        <v/>
      </c>
      <c r="B3244">
        <f>IF(VLOOKUP(Table7[[#This Row],[Date]],Database!$A:$C,MATCH($B$1,Database!$A$1:$C$1,),)=0,#N/A,VLOOKUP(Table7[[#This Row],[Date]],Database!$A:$C,MATCH($B$1,Database!$A$1:$C$1,),))</f>
        <v/>
      </c>
      <c r="C3244">
        <f>IF(VLOOKUP(Table7[[#This Row],[Date]],Database!$A:$C,MATCH($C$1,Database!$A$1:$C$1,),)=0,#N/A,VLOOKUP(Table7[[#This Row],[Date]],Database!$A:$C,MATCH($C$1,Database!$A$1:$C$1,),))</f>
        <v/>
      </c>
      <c r="D3244">
        <f>IFERROR(Table7[[#This Row],[United States 10y]]-Table7[[#This Row],[United States 3y]],#N/A)</f>
        <v/>
      </c>
    </row>
    <row r="3245">
      <c r="A3245" s="6">
        <f>Database!$A5330</f>
        <v/>
      </c>
      <c r="B3245">
        <f>IF(VLOOKUP(Table7[[#This Row],[Date]],Database!$A:$C,MATCH($B$1,Database!$A$1:$C$1,),)=0,#N/A,VLOOKUP(Table7[[#This Row],[Date]],Database!$A:$C,MATCH($B$1,Database!$A$1:$C$1,),))</f>
        <v/>
      </c>
      <c r="C3245">
        <f>IF(VLOOKUP(Table7[[#This Row],[Date]],Database!$A:$C,MATCH($C$1,Database!$A$1:$C$1,),)=0,#N/A,VLOOKUP(Table7[[#This Row],[Date]],Database!$A:$C,MATCH($C$1,Database!$A$1:$C$1,),))</f>
        <v/>
      </c>
      <c r="D3245">
        <f>IFERROR(Table7[[#This Row],[United States 10y]]-Table7[[#This Row],[United States 3y]],#N/A)</f>
        <v/>
      </c>
    </row>
    <row r="3246">
      <c r="A3246" s="6">
        <f>Database!$A5331</f>
        <v/>
      </c>
      <c r="B3246">
        <f>IF(VLOOKUP(Table7[[#This Row],[Date]],Database!$A:$C,MATCH($B$1,Database!$A$1:$C$1,),)=0,#N/A,VLOOKUP(Table7[[#This Row],[Date]],Database!$A:$C,MATCH($B$1,Database!$A$1:$C$1,),))</f>
        <v/>
      </c>
      <c r="C3246">
        <f>IF(VLOOKUP(Table7[[#This Row],[Date]],Database!$A:$C,MATCH($C$1,Database!$A$1:$C$1,),)=0,#N/A,VLOOKUP(Table7[[#This Row],[Date]],Database!$A:$C,MATCH($C$1,Database!$A$1:$C$1,),))</f>
        <v/>
      </c>
      <c r="D3246">
        <f>IFERROR(Table7[[#This Row],[United States 10y]]-Table7[[#This Row],[United States 3y]],#N/A)</f>
        <v/>
      </c>
    </row>
    <row r="3247">
      <c r="A3247" s="6">
        <f>Database!$A5332</f>
        <v/>
      </c>
      <c r="B3247">
        <f>IF(VLOOKUP(Table7[[#This Row],[Date]],Database!$A:$C,MATCH($B$1,Database!$A$1:$C$1,),)=0,#N/A,VLOOKUP(Table7[[#This Row],[Date]],Database!$A:$C,MATCH($B$1,Database!$A$1:$C$1,),))</f>
        <v/>
      </c>
      <c r="C3247">
        <f>IF(VLOOKUP(Table7[[#This Row],[Date]],Database!$A:$C,MATCH($C$1,Database!$A$1:$C$1,),)=0,#N/A,VLOOKUP(Table7[[#This Row],[Date]],Database!$A:$C,MATCH($C$1,Database!$A$1:$C$1,),))</f>
        <v/>
      </c>
      <c r="D3247">
        <f>IFERROR(Table7[[#This Row],[United States 10y]]-Table7[[#This Row],[United States 3y]],#N/A)</f>
        <v/>
      </c>
    </row>
    <row r="3248">
      <c r="A3248" s="6">
        <f>Database!$A5333</f>
        <v/>
      </c>
      <c r="B3248">
        <f>IF(VLOOKUP(Table7[[#This Row],[Date]],Database!$A:$C,MATCH($B$1,Database!$A$1:$C$1,),)=0,#N/A,VLOOKUP(Table7[[#This Row],[Date]],Database!$A:$C,MATCH($B$1,Database!$A$1:$C$1,),))</f>
        <v/>
      </c>
      <c r="C3248">
        <f>IF(VLOOKUP(Table7[[#This Row],[Date]],Database!$A:$C,MATCH($C$1,Database!$A$1:$C$1,),)=0,#N/A,VLOOKUP(Table7[[#This Row],[Date]],Database!$A:$C,MATCH($C$1,Database!$A$1:$C$1,),))</f>
        <v/>
      </c>
      <c r="D3248">
        <f>IFERROR(Table7[[#This Row],[United States 10y]]-Table7[[#This Row],[United States 3y]],#N/A)</f>
        <v/>
      </c>
    </row>
    <row r="3249">
      <c r="A3249" s="6">
        <f>Database!$A5334</f>
        <v/>
      </c>
      <c r="B3249">
        <f>IF(VLOOKUP(Table7[[#This Row],[Date]],Database!$A:$C,MATCH($B$1,Database!$A$1:$C$1,),)=0,#N/A,VLOOKUP(Table7[[#This Row],[Date]],Database!$A:$C,MATCH($B$1,Database!$A$1:$C$1,),))</f>
        <v/>
      </c>
      <c r="C3249">
        <f>IF(VLOOKUP(Table7[[#This Row],[Date]],Database!$A:$C,MATCH($C$1,Database!$A$1:$C$1,),)=0,#N/A,VLOOKUP(Table7[[#This Row],[Date]],Database!$A:$C,MATCH($C$1,Database!$A$1:$C$1,),))</f>
        <v/>
      </c>
      <c r="D3249">
        <f>IFERROR(Table7[[#This Row],[United States 10y]]-Table7[[#This Row],[United States 3y]],#N/A)</f>
        <v/>
      </c>
    </row>
    <row r="3250">
      <c r="A3250" s="6">
        <f>Database!$A5335</f>
        <v/>
      </c>
      <c r="B3250">
        <f>IF(VLOOKUP(Table7[[#This Row],[Date]],Database!$A:$C,MATCH($B$1,Database!$A$1:$C$1,),)=0,#N/A,VLOOKUP(Table7[[#This Row],[Date]],Database!$A:$C,MATCH($B$1,Database!$A$1:$C$1,),))</f>
        <v/>
      </c>
      <c r="C3250">
        <f>IF(VLOOKUP(Table7[[#This Row],[Date]],Database!$A:$C,MATCH($C$1,Database!$A$1:$C$1,),)=0,#N/A,VLOOKUP(Table7[[#This Row],[Date]],Database!$A:$C,MATCH($C$1,Database!$A$1:$C$1,),))</f>
        <v/>
      </c>
      <c r="D3250">
        <f>IFERROR(Table7[[#This Row],[United States 10y]]-Table7[[#This Row],[United States 3y]],#N/A)</f>
        <v/>
      </c>
    </row>
    <row r="3251">
      <c r="A3251" s="6">
        <f>Database!$A5336</f>
        <v/>
      </c>
      <c r="B3251">
        <f>IF(VLOOKUP(Table7[[#This Row],[Date]],Database!$A:$C,MATCH($B$1,Database!$A$1:$C$1,),)=0,#N/A,VLOOKUP(Table7[[#This Row],[Date]],Database!$A:$C,MATCH($B$1,Database!$A$1:$C$1,),))</f>
        <v/>
      </c>
      <c r="C3251">
        <f>IF(VLOOKUP(Table7[[#This Row],[Date]],Database!$A:$C,MATCH($C$1,Database!$A$1:$C$1,),)=0,#N/A,VLOOKUP(Table7[[#This Row],[Date]],Database!$A:$C,MATCH($C$1,Database!$A$1:$C$1,),))</f>
        <v/>
      </c>
      <c r="D3251">
        <f>IFERROR(Table7[[#This Row],[United States 10y]]-Table7[[#This Row],[United States 3y]],#N/A)</f>
        <v/>
      </c>
    </row>
    <row r="3252">
      <c r="A3252" s="6">
        <f>Database!$A5337</f>
        <v/>
      </c>
      <c r="B3252">
        <f>IF(VLOOKUP(Table7[[#This Row],[Date]],Database!$A:$C,MATCH($B$1,Database!$A$1:$C$1,),)=0,#N/A,VLOOKUP(Table7[[#This Row],[Date]],Database!$A:$C,MATCH($B$1,Database!$A$1:$C$1,),))</f>
        <v/>
      </c>
      <c r="C3252">
        <f>IF(VLOOKUP(Table7[[#This Row],[Date]],Database!$A:$C,MATCH($C$1,Database!$A$1:$C$1,),)=0,#N/A,VLOOKUP(Table7[[#This Row],[Date]],Database!$A:$C,MATCH($C$1,Database!$A$1:$C$1,),))</f>
        <v/>
      </c>
      <c r="D3252">
        <f>IFERROR(Table7[[#This Row],[United States 10y]]-Table7[[#This Row],[United States 3y]],#N/A)</f>
        <v/>
      </c>
    </row>
    <row r="3253">
      <c r="A3253" s="6">
        <f>Database!$A5338</f>
        <v/>
      </c>
      <c r="B3253">
        <f>IF(VLOOKUP(Table7[[#This Row],[Date]],Database!$A:$C,MATCH($B$1,Database!$A$1:$C$1,),)=0,#N/A,VLOOKUP(Table7[[#This Row],[Date]],Database!$A:$C,MATCH($B$1,Database!$A$1:$C$1,),))</f>
        <v/>
      </c>
      <c r="C3253">
        <f>IF(VLOOKUP(Table7[[#This Row],[Date]],Database!$A:$C,MATCH($C$1,Database!$A$1:$C$1,),)=0,#N/A,VLOOKUP(Table7[[#This Row],[Date]],Database!$A:$C,MATCH($C$1,Database!$A$1:$C$1,),))</f>
        <v/>
      </c>
      <c r="D3253">
        <f>IFERROR(Table7[[#This Row],[United States 10y]]-Table7[[#This Row],[United States 3y]],#N/A)</f>
        <v/>
      </c>
    </row>
    <row r="3254">
      <c r="A3254" s="6">
        <f>Database!$A5339</f>
        <v/>
      </c>
      <c r="B3254">
        <f>IF(VLOOKUP(Table7[[#This Row],[Date]],Database!$A:$C,MATCH($B$1,Database!$A$1:$C$1,),)=0,#N/A,VLOOKUP(Table7[[#This Row],[Date]],Database!$A:$C,MATCH($B$1,Database!$A$1:$C$1,),))</f>
        <v/>
      </c>
      <c r="C3254">
        <f>IF(VLOOKUP(Table7[[#This Row],[Date]],Database!$A:$C,MATCH($C$1,Database!$A$1:$C$1,),)=0,#N/A,VLOOKUP(Table7[[#This Row],[Date]],Database!$A:$C,MATCH($C$1,Database!$A$1:$C$1,),))</f>
        <v/>
      </c>
      <c r="D3254">
        <f>IFERROR(Table7[[#This Row],[United States 10y]]-Table7[[#This Row],[United States 3y]],#N/A)</f>
        <v/>
      </c>
    </row>
    <row r="3255">
      <c r="A3255" s="6">
        <f>Database!$A5340</f>
        <v/>
      </c>
      <c r="B3255">
        <f>IF(VLOOKUP(Table7[[#This Row],[Date]],Database!$A:$C,MATCH($B$1,Database!$A$1:$C$1,),)=0,#N/A,VLOOKUP(Table7[[#This Row],[Date]],Database!$A:$C,MATCH($B$1,Database!$A$1:$C$1,),))</f>
        <v/>
      </c>
      <c r="C3255">
        <f>IF(VLOOKUP(Table7[[#This Row],[Date]],Database!$A:$C,MATCH($C$1,Database!$A$1:$C$1,),)=0,#N/A,VLOOKUP(Table7[[#This Row],[Date]],Database!$A:$C,MATCH($C$1,Database!$A$1:$C$1,),))</f>
        <v/>
      </c>
      <c r="D3255">
        <f>IFERROR(Table7[[#This Row],[United States 10y]]-Table7[[#This Row],[United States 3y]],#N/A)</f>
        <v/>
      </c>
    </row>
    <row r="3256">
      <c r="A3256" s="6">
        <f>Database!$A5341</f>
        <v/>
      </c>
      <c r="B3256">
        <f>IF(VLOOKUP(Table7[[#This Row],[Date]],Database!$A:$C,MATCH($B$1,Database!$A$1:$C$1,),)=0,#N/A,VLOOKUP(Table7[[#This Row],[Date]],Database!$A:$C,MATCH($B$1,Database!$A$1:$C$1,),))</f>
        <v/>
      </c>
      <c r="C3256">
        <f>IF(VLOOKUP(Table7[[#This Row],[Date]],Database!$A:$C,MATCH($C$1,Database!$A$1:$C$1,),)=0,#N/A,VLOOKUP(Table7[[#This Row],[Date]],Database!$A:$C,MATCH($C$1,Database!$A$1:$C$1,),))</f>
        <v/>
      </c>
      <c r="D3256">
        <f>IFERROR(Table7[[#This Row],[United States 10y]]-Table7[[#This Row],[United States 3y]],#N/A)</f>
        <v/>
      </c>
    </row>
    <row r="3257">
      <c r="A3257" s="6">
        <f>Database!$A5342</f>
        <v/>
      </c>
      <c r="B3257">
        <f>IF(VLOOKUP(Table7[[#This Row],[Date]],Database!$A:$C,MATCH($B$1,Database!$A$1:$C$1,),)=0,#N/A,VLOOKUP(Table7[[#This Row],[Date]],Database!$A:$C,MATCH($B$1,Database!$A$1:$C$1,),))</f>
        <v/>
      </c>
      <c r="C3257">
        <f>IF(VLOOKUP(Table7[[#This Row],[Date]],Database!$A:$C,MATCH($C$1,Database!$A$1:$C$1,),)=0,#N/A,VLOOKUP(Table7[[#This Row],[Date]],Database!$A:$C,MATCH($C$1,Database!$A$1:$C$1,),))</f>
        <v/>
      </c>
      <c r="D3257">
        <f>IFERROR(Table7[[#This Row],[United States 10y]]-Table7[[#This Row],[United States 3y]],#N/A)</f>
        <v/>
      </c>
    </row>
    <row r="3258">
      <c r="A3258" s="6">
        <f>Database!$A5343</f>
        <v/>
      </c>
      <c r="B3258">
        <f>IF(VLOOKUP(Table7[[#This Row],[Date]],Database!$A:$C,MATCH($B$1,Database!$A$1:$C$1,),)=0,#N/A,VLOOKUP(Table7[[#This Row],[Date]],Database!$A:$C,MATCH($B$1,Database!$A$1:$C$1,),))</f>
        <v/>
      </c>
      <c r="C3258">
        <f>IF(VLOOKUP(Table7[[#This Row],[Date]],Database!$A:$C,MATCH($C$1,Database!$A$1:$C$1,),)=0,#N/A,VLOOKUP(Table7[[#This Row],[Date]],Database!$A:$C,MATCH($C$1,Database!$A$1:$C$1,),))</f>
        <v/>
      </c>
      <c r="D3258">
        <f>IFERROR(Table7[[#This Row],[United States 10y]]-Table7[[#This Row],[United States 3y]],#N/A)</f>
        <v/>
      </c>
    </row>
    <row r="3259">
      <c r="A3259" s="6">
        <f>Database!$A5344</f>
        <v/>
      </c>
      <c r="B3259">
        <f>IF(VLOOKUP(Table7[[#This Row],[Date]],Database!$A:$C,MATCH($B$1,Database!$A$1:$C$1,),)=0,#N/A,VLOOKUP(Table7[[#This Row],[Date]],Database!$A:$C,MATCH($B$1,Database!$A$1:$C$1,),))</f>
        <v/>
      </c>
      <c r="C3259">
        <f>IF(VLOOKUP(Table7[[#This Row],[Date]],Database!$A:$C,MATCH($C$1,Database!$A$1:$C$1,),)=0,#N/A,VLOOKUP(Table7[[#This Row],[Date]],Database!$A:$C,MATCH($C$1,Database!$A$1:$C$1,),))</f>
        <v/>
      </c>
      <c r="D3259">
        <f>IFERROR(Table7[[#This Row],[United States 10y]]-Table7[[#This Row],[United States 3y]],#N/A)</f>
        <v/>
      </c>
    </row>
    <row r="3260">
      <c r="A3260" s="6">
        <f>Database!$A5345</f>
        <v/>
      </c>
      <c r="B3260">
        <f>IF(VLOOKUP(Table7[[#This Row],[Date]],Database!$A:$C,MATCH($B$1,Database!$A$1:$C$1,),)=0,#N/A,VLOOKUP(Table7[[#This Row],[Date]],Database!$A:$C,MATCH($B$1,Database!$A$1:$C$1,),))</f>
        <v/>
      </c>
      <c r="C3260">
        <f>IF(VLOOKUP(Table7[[#This Row],[Date]],Database!$A:$C,MATCH($C$1,Database!$A$1:$C$1,),)=0,#N/A,VLOOKUP(Table7[[#This Row],[Date]],Database!$A:$C,MATCH($C$1,Database!$A$1:$C$1,),))</f>
        <v/>
      </c>
      <c r="D3260">
        <f>IFERROR(Table7[[#This Row],[United States 10y]]-Table7[[#This Row],[United States 3y]],#N/A)</f>
        <v/>
      </c>
    </row>
    <row r="3261">
      <c r="A3261" s="6">
        <f>Database!$A5346</f>
        <v/>
      </c>
      <c r="B3261">
        <f>IF(VLOOKUP(Table7[[#This Row],[Date]],Database!$A:$C,MATCH($B$1,Database!$A$1:$C$1,),)=0,#N/A,VLOOKUP(Table7[[#This Row],[Date]],Database!$A:$C,MATCH($B$1,Database!$A$1:$C$1,),))</f>
        <v/>
      </c>
      <c r="C3261">
        <f>IF(VLOOKUP(Table7[[#This Row],[Date]],Database!$A:$C,MATCH($C$1,Database!$A$1:$C$1,),)=0,#N/A,VLOOKUP(Table7[[#This Row],[Date]],Database!$A:$C,MATCH($C$1,Database!$A$1:$C$1,),))</f>
        <v/>
      </c>
      <c r="D3261">
        <f>IFERROR(Table7[[#This Row],[United States 10y]]-Table7[[#This Row],[United States 3y]],#N/A)</f>
        <v/>
      </c>
    </row>
    <row r="3262">
      <c r="A3262" s="6">
        <f>Database!$A5347</f>
        <v/>
      </c>
      <c r="B3262">
        <f>IF(VLOOKUP(Table7[[#This Row],[Date]],Database!$A:$C,MATCH($B$1,Database!$A$1:$C$1,),)=0,#N/A,VLOOKUP(Table7[[#This Row],[Date]],Database!$A:$C,MATCH($B$1,Database!$A$1:$C$1,),))</f>
        <v/>
      </c>
      <c r="C3262">
        <f>IF(VLOOKUP(Table7[[#This Row],[Date]],Database!$A:$C,MATCH($C$1,Database!$A$1:$C$1,),)=0,#N/A,VLOOKUP(Table7[[#This Row],[Date]],Database!$A:$C,MATCH($C$1,Database!$A$1:$C$1,),))</f>
        <v/>
      </c>
      <c r="D3262">
        <f>IFERROR(Table7[[#This Row],[United States 10y]]-Table7[[#This Row],[United States 3y]],#N/A)</f>
        <v/>
      </c>
    </row>
    <row r="3263">
      <c r="A3263" s="6">
        <f>Database!$A5348</f>
        <v/>
      </c>
      <c r="B3263">
        <f>IF(VLOOKUP(Table7[[#This Row],[Date]],Database!$A:$C,MATCH($B$1,Database!$A$1:$C$1,),)=0,#N/A,VLOOKUP(Table7[[#This Row],[Date]],Database!$A:$C,MATCH($B$1,Database!$A$1:$C$1,),))</f>
        <v/>
      </c>
      <c r="C3263">
        <f>IF(VLOOKUP(Table7[[#This Row],[Date]],Database!$A:$C,MATCH($C$1,Database!$A$1:$C$1,),)=0,#N/A,VLOOKUP(Table7[[#This Row],[Date]],Database!$A:$C,MATCH($C$1,Database!$A$1:$C$1,),))</f>
        <v/>
      </c>
      <c r="D3263">
        <f>IFERROR(Table7[[#This Row],[United States 10y]]-Table7[[#This Row],[United States 3y]],#N/A)</f>
        <v/>
      </c>
    </row>
    <row r="3264">
      <c r="A3264" s="6">
        <f>Database!$A5349</f>
        <v/>
      </c>
      <c r="B3264">
        <f>IF(VLOOKUP(Table7[[#This Row],[Date]],Database!$A:$C,MATCH($B$1,Database!$A$1:$C$1,),)=0,#N/A,VLOOKUP(Table7[[#This Row],[Date]],Database!$A:$C,MATCH($B$1,Database!$A$1:$C$1,),))</f>
        <v/>
      </c>
      <c r="C3264">
        <f>IF(VLOOKUP(Table7[[#This Row],[Date]],Database!$A:$C,MATCH($C$1,Database!$A$1:$C$1,),)=0,#N/A,VLOOKUP(Table7[[#This Row],[Date]],Database!$A:$C,MATCH($C$1,Database!$A$1:$C$1,),))</f>
        <v/>
      </c>
      <c r="D3264">
        <f>IFERROR(Table7[[#This Row],[United States 10y]]-Table7[[#This Row],[United States 3y]],#N/A)</f>
        <v/>
      </c>
    </row>
    <row r="3265">
      <c r="A3265" s="6">
        <f>Database!$A5350</f>
        <v/>
      </c>
      <c r="B3265">
        <f>IF(VLOOKUP(Table7[[#This Row],[Date]],Database!$A:$C,MATCH($B$1,Database!$A$1:$C$1,),)=0,#N/A,VLOOKUP(Table7[[#This Row],[Date]],Database!$A:$C,MATCH($B$1,Database!$A$1:$C$1,),))</f>
        <v/>
      </c>
      <c r="C3265">
        <f>IF(VLOOKUP(Table7[[#This Row],[Date]],Database!$A:$C,MATCH($C$1,Database!$A$1:$C$1,),)=0,#N/A,VLOOKUP(Table7[[#This Row],[Date]],Database!$A:$C,MATCH($C$1,Database!$A$1:$C$1,),))</f>
        <v/>
      </c>
      <c r="D3265">
        <f>IFERROR(Table7[[#This Row],[United States 10y]]-Table7[[#This Row],[United States 3y]],#N/A)</f>
        <v/>
      </c>
    </row>
    <row r="3266">
      <c r="A3266" s="6">
        <f>Database!$A5351</f>
        <v/>
      </c>
      <c r="B3266">
        <f>IF(VLOOKUP(Table7[[#This Row],[Date]],Database!$A:$C,MATCH($B$1,Database!$A$1:$C$1,),)=0,#N/A,VLOOKUP(Table7[[#This Row],[Date]],Database!$A:$C,MATCH($B$1,Database!$A$1:$C$1,),))</f>
        <v/>
      </c>
      <c r="C3266">
        <f>IF(VLOOKUP(Table7[[#This Row],[Date]],Database!$A:$C,MATCH($C$1,Database!$A$1:$C$1,),)=0,#N/A,VLOOKUP(Table7[[#This Row],[Date]],Database!$A:$C,MATCH($C$1,Database!$A$1:$C$1,),))</f>
        <v/>
      </c>
      <c r="D3266">
        <f>IFERROR(Table7[[#This Row],[United States 10y]]-Table7[[#This Row],[United States 3y]],#N/A)</f>
        <v/>
      </c>
    </row>
    <row r="3267">
      <c r="A3267" s="6">
        <f>Database!$A5352</f>
        <v/>
      </c>
      <c r="B3267">
        <f>IF(VLOOKUP(Table7[[#This Row],[Date]],Database!$A:$C,MATCH($B$1,Database!$A$1:$C$1,),)=0,#N/A,VLOOKUP(Table7[[#This Row],[Date]],Database!$A:$C,MATCH($B$1,Database!$A$1:$C$1,),))</f>
        <v/>
      </c>
      <c r="C3267">
        <f>IF(VLOOKUP(Table7[[#This Row],[Date]],Database!$A:$C,MATCH($C$1,Database!$A$1:$C$1,),)=0,#N/A,VLOOKUP(Table7[[#This Row],[Date]],Database!$A:$C,MATCH($C$1,Database!$A$1:$C$1,),))</f>
        <v/>
      </c>
      <c r="D3267">
        <f>IFERROR(Table7[[#This Row],[United States 10y]]-Table7[[#This Row],[United States 3y]],#N/A)</f>
        <v/>
      </c>
    </row>
    <row r="3268">
      <c r="A3268" s="6">
        <f>Database!$A5353</f>
        <v/>
      </c>
      <c r="B3268">
        <f>IF(VLOOKUP(Table7[[#This Row],[Date]],Database!$A:$C,MATCH($B$1,Database!$A$1:$C$1,),)=0,#N/A,VLOOKUP(Table7[[#This Row],[Date]],Database!$A:$C,MATCH($B$1,Database!$A$1:$C$1,),))</f>
        <v/>
      </c>
      <c r="C3268">
        <f>IF(VLOOKUP(Table7[[#This Row],[Date]],Database!$A:$C,MATCH($C$1,Database!$A$1:$C$1,),)=0,#N/A,VLOOKUP(Table7[[#This Row],[Date]],Database!$A:$C,MATCH($C$1,Database!$A$1:$C$1,),))</f>
        <v/>
      </c>
      <c r="D3268">
        <f>IFERROR(Table7[[#This Row],[United States 10y]]-Table7[[#This Row],[United States 3y]],#N/A)</f>
        <v/>
      </c>
    </row>
    <row r="3269">
      <c r="A3269" s="6">
        <f>Database!$A5354</f>
        <v/>
      </c>
      <c r="B3269">
        <f>IF(VLOOKUP(Table7[[#This Row],[Date]],Database!$A:$C,MATCH($B$1,Database!$A$1:$C$1,),)=0,#N/A,VLOOKUP(Table7[[#This Row],[Date]],Database!$A:$C,MATCH($B$1,Database!$A$1:$C$1,),))</f>
        <v/>
      </c>
      <c r="C3269">
        <f>IF(VLOOKUP(Table7[[#This Row],[Date]],Database!$A:$C,MATCH($C$1,Database!$A$1:$C$1,),)=0,#N/A,VLOOKUP(Table7[[#This Row],[Date]],Database!$A:$C,MATCH($C$1,Database!$A$1:$C$1,),))</f>
        <v/>
      </c>
      <c r="D3269">
        <f>IFERROR(Table7[[#This Row],[United States 10y]]-Table7[[#This Row],[United States 3y]],#N/A)</f>
        <v/>
      </c>
    </row>
    <row r="3270">
      <c r="A3270" s="6">
        <f>Database!$A5355</f>
        <v/>
      </c>
      <c r="B3270">
        <f>IF(VLOOKUP(Table7[[#This Row],[Date]],Database!$A:$C,MATCH($B$1,Database!$A$1:$C$1,),)=0,#N/A,VLOOKUP(Table7[[#This Row],[Date]],Database!$A:$C,MATCH($B$1,Database!$A$1:$C$1,),))</f>
        <v/>
      </c>
      <c r="C3270">
        <f>IF(VLOOKUP(Table7[[#This Row],[Date]],Database!$A:$C,MATCH($C$1,Database!$A$1:$C$1,),)=0,#N/A,VLOOKUP(Table7[[#This Row],[Date]],Database!$A:$C,MATCH($C$1,Database!$A$1:$C$1,),))</f>
        <v/>
      </c>
      <c r="D3270">
        <f>IFERROR(Table7[[#This Row],[United States 10y]]-Table7[[#This Row],[United States 3y]],#N/A)</f>
        <v/>
      </c>
    </row>
    <row r="3271">
      <c r="A3271" s="6">
        <f>Database!$A5356</f>
        <v/>
      </c>
      <c r="B3271">
        <f>IF(VLOOKUP(Table7[[#This Row],[Date]],Database!$A:$C,MATCH($B$1,Database!$A$1:$C$1,),)=0,#N/A,VLOOKUP(Table7[[#This Row],[Date]],Database!$A:$C,MATCH($B$1,Database!$A$1:$C$1,),))</f>
        <v/>
      </c>
      <c r="C3271">
        <f>IF(VLOOKUP(Table7[[#This Row],[Date]],Database!$A:$C,MATCH($C$1,Database!$A$1:$C$1,),)=0,#N/A,VLOOKUP(Table7[[#This Row],[Date]],Database!$A:$C,MATCH($C$1,Database!$A$1:$C$1,),))</f>
        <v/>
      </c>
      <c r="D3271">
        <f>IFERROR(Table7[[#This Row],[United States 10y]]-Table7[[#This Row],[United States 3y]],#N/A)</f>
        <v/>
      </c>
    </row>
    <row r="3272">
      <c r="A3272" s="6">
        <f>Database!$A5357</f>
        <v/>
      </c>
      <c r="B3272">
        <f>IF(VLOOKUP(Table7[[#This Row],[Date]],Database!$A:$C,MATCH($B$1,Database!$A$1:$C$1,),)=0,#N/A,VLOOKUP(Table7[[#This Row],[Date]],Database!$A:$C,MATCH($B$1,Database!$A$1:$C$1,),))</f>
        <v/>
      </c>
      <c r="C3272">
        <f>IF(VLOOKUP(Table7[[#This Row],[Date]],Database!$A:$C,MATCH($C$1,Database!$A$1:$C$1,),)=0,#N/A,VLOOKUP(Table7[[#This Row],[Date]],Database!$A:$C,MATCH($C$1,Database!$A$1:$C$1,),))</f>
        <v/>
      </c>
      <c r="D3272">
        <f>IFERROR(Table7[[#This Row],[United States 10y]]-Table7[[#This Row],[United States 3y]],#N/A)</f>
        <v/>
      </c>
    </row>
    <row r="3273">
      <c r="A3273" s="6">
        <f>Database!$A5358</f>
        <v/>
      </c>
      <c r="B3273">
        <f>IF(VLOOKUP(Table7[[#This Row],[Date]],Database!$A:$C,MATCH($B$1,Database!$A$1:$C$1,),)=0,#N/A,VLOOKUP(Table7[[#This Row],[Date]],Database!$A:$C,MATCH($B$1,Database!$A$1:$C$1,),))</f>
        <v/>
      </c>
      <c r="C3273">
        <f>IF(VLOOKUP(Table7[[#This Row],[Date]],Database!$A:$C,MATCH($C$1,Database!$A$1:$C$1,),)=0,#N/A,VLOOKUP(Table7[[#This Row],[Date]],Database!$A:$C,MATCH($C$1,Database!$A$1:$C$1,),))</f>
        <v/>
      </c>
      <c r="D3273">
        <f>IFERROR(Table7[[#This Row],[United States 10y]]-Table7[[#This Row],[United States 3y]],#N/A)</f>
        <v/>
      </c>
    </row>
    <row r="3274">
      <c r="A3274" s="6">
        <f>Database!$A5359</f>
        <v/>
      </c>
      <c r="B3274">
        <f>IF(VLOOKUP(Table7[[#This Row],[Date]],Database!$A:$C,MATCH($B$1,Database!$A$1:$C$1,),)=0,#N/A,VLOOKUP(Table7[[#This Row],[Date]],Database!$A:$C,MATCH($B$1,Database!$A$1:$C$1,),))</f>
        <v/>
      </c>
      <c r="C3274">
        <f>IF(VLOOKUP(Table7[[#This Row],[Date]],Database!$A:$C,MATCH($C$1,Database!$A$1:$C$1,),)=0,#N/A,VLOOKUP(Table7[[#This Row],[Date]],Database!$A:$C,MATCH($C$1,Database!$A$1:$C$1,),))</f>
        <v/>
      </c>
      <c r="D3274">
        <f>IFERROR(Table7[[#This Row],[United States 10y]]-Table7[[#This Row],[United States 3y]],#N/A)</f>
        <v/>
      </c>
    </row>
    <row r="3275">
      <c r="A3275" s="6">
        <f>Database!$A5360</f>
        <v/>
      </c>
      <c r="B3275">
        <f>IF(VLOOKUP(Table7[[#This Row],[Date]],Database!$A:$C,MATCH($B$1,Database!$A$1:$C$1,),)=0,#N/A,VLOOKUP(Table7[[#This Row],[Date]],Database!$A:$C,MATCH($B$1,Database!$A$1:$C$1,),))</f>
        <v/>
      </c>
      <c r="C3275">
        <f>IF(VLOOKUP(Table7[[#This Row],[Date]],Database!$A:$C,MATCH($C$1,Database!$A$1:$C$1,),)=0,#N/A,VLOOKUP(Table7[[#This Row],[Date]],Database!$A:$C,MATCH($C$1,Database!$A$1:$C$1,),))</f>
        <v/>
      </c>
      <c r="D3275">
        <f>IFERROR(Table7[[#This Row],[United States 10y]]-Table7[[#This Row],[United States 3y]],#N/A)</f>
        <v/>
      </c>
    </row>
    <row r="3276">
      <c r="A3276" s="6">
        <f>Database!$A5361</f>
        <v/>
      </c>
      <c r="B3276">
        <f>IF(VLOOKUP(Table7[[#This Row],[Date]],Database!$A:$C,MATCH($B$1,Database!$A$1:$C$1,),)=0,#N/A,VLOOKUP(Table7[[#This Row],[Date]],Database!$A:$C,MATCH($B$1,Database!$A$1:$C$1,),))</f>
        <v/>
      </c>
      <c r="C3276">
        <f>IF(VLOOKUP(Table7[[#This Row],[Date]],Database!$A:$C,MATCH($C$1,Database!$A$1:$C$1,),)=0,#N/A,VLOOKUP(Table7[[#This Row],[Date]],Database!$A:$C,MATCH($C$1,Database!$A$1:$C$1,),))</f>
        <v/>
      </c>
      <c r="D3276">
        <f>IFERROR(Table7[[#This Row],[United States 10y]]-Table7[[#This Row],[United States 3y]],#N/A)</f>
        <v/>
      </c>
    </row>
    <row r="3277">
      <c r="A3277" s="6">
        <f>Database!$A5362</f>
        <v/>
      </c>
      <c r="B3277">
        <f>IF(VLOOKUP(Table7[[#This Row],[Date]],Database!$A:$C,MATCH($B$1,Database!$A$1:$C$1,),)=0,#N/A,VLOOKUP(Table7[[#This Row],[Date]],Database!$A:$C,MATCH($B$1,Database!$A$1:$C$1,),))</f>
        <v/>
      </c>
      <c r="C3277">
        <f>IF(VLOOKUP(Table7[[#This Row],[Date]],Database!$A:$C,MATCH($C$1,Database!$A$1:$C$1,),)=0,#N/A,VLOOKUP(Table7[[#This Row],[Date]],Database!$A:$C,MATCH($C$1,Database!$A$1:$C$1,),))</f>
        <v/>
      </c>
      <c r="D3277">
        <f>IFERROR(Table7[[#This Row],[United States 10y]]-Table7[[#This Row],[United States 3y]],#N/A)</f>
        <v/>
      </c>
    </row>
    <row r="3278">
      <c r="A3278" s="6">
        <f>Database!$A5363</f>
        <v/>
      </c>
      <c r="B3278">
        <f>IF(VLOOKUP(Table7[[#This Row],[Date]],Database!$A:$C,MATCH($B$1,Database!$A$1:$C$1,),)=0,#N/A,VLOOKUP(Table7[[#This Row],[Date]],Database!$A:$C,MATCH($B$1,Database!$A$1:$C$1,),))</f>
        <v/>
      </c>
      <c r="C3278">
        <f>IF(VLOOKUP(Table7[[#This Row],[Date]],Database!$A:$C,MATCH($C$1,Database!$A$1:$C$1,),)=0,#N/A,VLOOKUP(Table7[[#This Row],[Date]],Database!$A:$C,MATCH($C$1,Database!$A$1:$C$1,),))</f>
        <v/>
      </c>
      <c r="D3278">
        <f>IFERROR(Table7[[#This Row],[United States 10y]]-Table7[[#This Row],[United States 3y]],#N/A)</f>
        <v/>
      </c>
    </row>
    <row r="3279">
      <c r="A3279" s="6">
        <f>Database!$A5364</f>
        <v/>
      </c>
      <c r="B3279">
        <f>IF(VLOOKUP(Table7[[#This Row],[Date]],Database!$A:$C,MATCH($B$1,Database!$A$1:$C$1,),)=0,#N/A,VLOOKUP(Table7[[#This Row],[Date]],Database!$A:$C,MATCH($B$1,Database!$A$1:$C$1,),))</f>
        <v/>
      </c>
      <c r="C3279">
        <f>IF(VLOOKUP(Table7[[#This Row],[Date]],Database!$A:$C,MATCH($C$1,Database!$A$1:$C$1,),)=0,#N/A,VLOOKUP(Table7[[#This Row],[Date]],Database!$A:$C,MATCH($C$1,Database!$A$1:$C$1,),))</f>
        <v/>
      </c>
      <c r="D3279">
        <f>IFERROR(Table7[[#This Row],[United States 10y]]-Table7[[#This Row],[United States 3y]],#N/A)</f>
        <v/>
      </c>
    </row>
    <row r="3280">
      <c r="A3280" s="6">
        <f>Database!$A5365</f>
        <v/>
      </c>
      <c r="B3280">
        <f>IF(VLOOKUP(Table7[[#This Row],[Date]],Database!$A:$C,MATCH($B$1,Database!$A$1:$C$1,),)=0,#N/A,VLOOKUP(Table7[[#This Row],[Date]],Database!$A:$C,MATCH($B$1,Database!$A$1:$C$1,),))</f>
        <v/>
      </c>
      <c r="C3280">
        <f>IF(VLOOKUP(Table7[[#This Row],[Date]],Database!$A:$C,MATCH($C$1,Database!$A$1:$C$1,),)=0,#N/A,VLOOKUP(Table7[[#This Row],[Date]],Database!$A:$C,MATCH($C$1,Database!$A$1:$C$1,),))</f>
        <v/>
      </c>
      <c r="D3280">
        <f>IFERROR(Table7[[#This Row],[United States 10y]]-Table7[[#This Row],[United States 3y]],#N/A)</f>
        <v/>
      </c>
    </row>
    <row r="3281">
      <c r="A3281" s="6">
        <f>Database!$A5366</f>
        <v/>
      </c>
      <c r="B3281">
        <f>IF(VLOOKUP(Table7[[#This Row],[Date]],Database!$A:$C,MATCH($B$1,Database!$A$1:$C$1,),)=0,#N/A,VLOOKUP(Table7[[#This Row],[Date]],Database!$A:$C,MATCH($B$1,Database!$A$1:$C$1,),))</f>
        <v/>
      </c>
      <c r="C3281">
        <f>IF(VLOOKUP(Table7[[#This Row],[Date]],Database!$A:$C,MATCH($C$1,Database!$A$1:$C$1,),)=0,#N/A,VLOOKUP(Table7[[#This Row],[Date]],Database!$A:$C,MATCH($C$1,Database!$A$1:$C$1,),))</f>
        <v/>
      </c>
      <c r="D3281">
        <f>IFERROR(Table7[[#This Row],[United States 10y]]-Table7[[#This Row],[United States 3y]],#N/A)</f>
        <v/>
      </c>
    </row>
    <row r="3282">
      <c r="A3282" s="6">
        <f>Database!$A5367</f>
        <v/>
      </c>
      <c r="B3282">
        <f>IF(VLOOKUP(Table7[[#This Row],[Date]],Database!$A:$C,MATCH($B$1,Database!$A$1:$C$1,),)=0,#N/A,VLOOKUP(Table7[[#This Row],[Date]],Database!$A:$C,MATCH($B$1,Database!$A$1:$C$1,),))</f>
        <v/>
      </c>
      <c r="C3282">
        <f>IF(VLOOKUP(Table7[[#This Row],[Date]],Database!$A:$C,MATCH($C$1,Database!$A$1:$C$1,),)=0,#N/A,VLOOKUP(Table7[[#This Row],[Date]],Database!$A:$C,MATCH($C$1,Database!$A$1:$C$1,),))</f>
        <v/>
      </c>
      <c r="D3282">
        <f>IFERROR(Table7[[#This Row],[United States 10y]]-Table7[[#This Row],[United States 3y]],#N/A)</f>
        <v/>
      </c>
    </row>
    <row r="3283">
      <c r="A3283" s="6">
        <f>Database!$A5368</f>
        <v/>
      </c>
      <c r="B3283">
        <f>IF(VLOOKUP(Table7[[#This Row],[Date]],Database!$A:$C,MATCH($B$1,Database!$A$1:$C$1,),)=0,#N/A,VLOOKUP(Table7[[#This Row],[Date]],Database!$A:$C,MATCH($B$1,Database!$A$1:$C$1,),))</f>
        <v/>
      </c>
      <c r="C3283">
        <f>IF(VLOOKUP(Table7[[#This Row],[Date]],Database!$A:$C,MATCH($C$1,Database!$A$1:$C$1,),)=0,#N/A,VLOOKUP(Table7[[#This Row],[Date]],Database!$A:$C,MATCH($C$1,Database!$A$1:$C$1,),))</f>
        <v/>
      </c>
      <c r="D3283">
        <f>IFERROR(Table7[[#This Row],[United States 10y]]-Table7[[#This Row],[United States 3y]],#N/A)</f>
        <v/>
      </c>
    </row>
    <row r="3284">
      <c r="A3284" s="6">
        <f>Database!$A5369</f>
        <v/>
      </c>
      <c r="B3284">
        <f>IF(VLOOKUP(Table7[[#This Row],[Date]],Database!$A:$C,MATCH($B$1,Database!$A$1:$C$1,),)=0,#N/A,VLOOKUP(Table7[[#This Row],[Date]],Database!$A:$C,MATCH($B$1,Database!$A$1:$C$1,),))</f>
        <v/>
      </c>
      <c r="C3284">
        <f>IF(VLOOKUP(Table7[[#This Row],[Date]],Database!$A:$C,MATCH($C$1,Database!$A$1:$C$1,),)=0,#N/A,VLOOKUP(Table7[[#This Row],[Date]],Database!$A:$C,MATCH($C$1,Database!$A$1:$C$1,),))</f>
        <v/>
      </c>
      <c r="D3284">
        <f>IFERROR(Table7[[#This Row],[United States 10y]]-Table7[[#This Row],[United States 3y]],#N/A)</f>
        <v/>
      </c>
    </row>
    <row r="3285">
      <c r="A3285" s="6">
        <f>Database!$A5370</f>
        <v/>
      </c>
      <c r="B3285">
        <f>IF(VLOOKUP(Table7[[#This Row],[Date]],Database!$A:$C,MATCH($B$1,Database!$A$1:$C$1,),)=0,#N/A,VLOOKUP(Table7[[#This Row],[Date]],Database!$A:$C,MATCH($B$1,Database!$A$1:$C$1,),))</f>
        <v/>
      </c>
      <c r="C3285">
        <f>IF(VLOOKUP(Table7[[#This Row],[Date]],Database!$A:$C,MATCH($C$1,Database!$A$1:$C$1,),)=0,#N/A,VLOOKUP(Table7[[#This Row],[Date]],Database!$A:$C,MATCH($C$1,Database!$A$1:$C$1,),))</f>
        <v/>
      </c>
      <c r="D3285">
        <f>IFERROR(Table7[[#This Row],[United States 10y]]-Table7[[#This Row],[United States 3y]],#N/A)</f>
        <v/>
      </c>
    </row>
    <row r="3286">
      <c r="A3286" s="6">
        <f>Database!$A5371</f>
        <v/>
      </c>
      <c r="B3286">
        <f>IF(VLOOKUP(Table7[[#This Row],[Date]],Database!$A:$C,MATCH($B$1,Database!$A$1:$C$1,),)=0,#N/A,VLOOKUP(Table7[[#This Row],[Date]],Database!$A:$C,MATCH($B$1,Database!$A$1:$C$1,),))</f>
        <v/>
      </c>
      <c r="C3286">
        <f>IF(VLOOKUP(Table7[[#This Row],[Date]],Database!$A:$C,MATCH($C$1,Database!$A$1:$C$1,),)=0,#N/A,VLOOKUP(Table7[[#This Row],[Date]],Database!$A:$C,MATCH($C$1,Database!$A$1:$C$1,),))</f>
        <v/>
      </c>
      <c r="D3286">
        <f>IFERROR(Table7[[#This Row],[United States 10y]]-Table7[[#This Row],[United States 3y]],#N/A)</f>
        <v/>
      </c>
    </row>
    <row r="3287">
      <c r="A3287" s="6">
        <f>Database!$A5372</f>
        <v/>
      </c>
      <c r="B3287">
        <f>IF(VLOOKUP(Table7[[#This Row],[Date]],Database!$A:$C,MATCH($B$1,Database!$A$1:$C$1,),)=0,#N/A,VLOOKUP(Table7[[#This Row],[Date]],Database!$A:$C,MATCH($B$1,Database!$A$1:$C$1,),))</f>
        <v/>
      </c>
      <c r="C3287">
        <f>IF(VLOOKUP(Table7[[#This Row],[Date]],Database!$A:$C,MATCH($C$1,Database!$A$1:$C$1,),)=0,#N/A,VLOOKUP(Table7[[#This Row],[Date]],Database!$A:$C,MATCH($C$1,Database!$A$1:$C$1,),))</f>
        <v/>
      </c>
      <c r="D3287">
        <f>IFERROR(Table7[[#This Row],[United States 10y]]-Table7[[#This Row],[United States 3y]],#N/A)</f>
        <v/>
      </c>
    </row>
    <row r="3288">
      <c r="A3288" s="6">
        <f>Database!$A5373</f>
        <v/>
      </c>
      <c r="B3288">
        <f>IF(VLOOKUP(Table7[[#This Row],[Date]],Database!$A:$C,MATCH($B$1,Database!$A$1:$C$1,),)=0,#N/A,VLOOKUP(Table7[[#This Row],[Date]],Database!$A:$C,MATCH($B$1,Database!$A$1:$C$1,),))</f>
        <v/>
      </c>
      <c r="C3288">
        <f>IF(VLOOKUP(Table7[[#This Row],[Date]],Database!$A:$C,MATCH($C$1,Database!$A$1:$C$1,),)=0,#N/A,VLOOKUP(Table7[[#This Row],[Date]],Database!$A:$C,MATCH($C$1,Database!$A$1:$C$1,),))</f>
        <v/>
      </c>
      <c r="D3288">
        <f>IFERROR(Table7[[#This Row],[United States 10y]]-Table7[[#This Row],[United States 3y]],#N/A)</f>
        <v/>
      </c>
    </row>
    <row r="3289">
      <c r="A3289" s="6">
        <f>Database!$A5374</f>
        <v/>
      </c>
      <c r="B3289">
        <f>IF(VLOOKUP(Table7[[#This Row],[Date]],Database!$A:$C,MATCH($B$1,Database!$A$1:$C$1,),)=0,#N/A,VLOOKUP(Table7[[#This Row],[Date]],Database!$A:$C,MATCH($B$1,Database!$A$1:$C$1,),))</f>
        <v/>
      </c>
      <c r="C3289">
        <f>IF(VLOOKUP(Table7[[#This Row],[Date]],Database!$A:$C,MATCH($C$1,Database!$A$1:$C$1,),)=0,#N/A,VLOOKUP(Table7[[#This Row],[Date]],Database!$A:$C,MATCH($C$1,Database!$A$1:$C$1,),))</f>
        <v/>
      </c>
      <c r="D3289">
        <f>IFERROR(Table7[[#This Row],[United States 10y]]-Table7[[#This Row],[United States 3y]],#N/A)</f>
        <v/>
      </c>
    </row>
    <row r="3290">
      <c r="A3290" s="6">
        <f>Database!$A5375</f>
        <v/>
      </c>
      <c r="B3290">
        <f>IF(VLOOKUP(Table7[[#This Row],[Date]],Database!$A:$C,MATCH($B$1,Database!$A$1:$C$1,),)=0,#N/A,VLOOKUP(Table7[[#This Row],[Date]],Database!$A:$C,MATCH($B$1,Database!$A$1:$C$1,),))</f>
        <v/>
      </c>
      <c r="C3290">
        <f>IF(VLOOKUP(Table7[[#This Row],[Date]],Database!$A:$C,MATCH($C$1,Database!$A$1:$C$1,),)=0,#N/A,VLOOKUP(Table7[[#This Row],[Date]],Database!$A:$C,MATCH($C$1,Database!$A$1:$C$1,),))</f>
        <v/>
      </c>
      <c r="D3290">
        <f>IFERROR(Table7[[#This Row],[United States 10y]]-Table7[[#This Row],[United States 3y]],#N/A)</f>
        <v/>
      </c>
    </row>
    <row r="3291">
      <c r="A3291" s="6">
        <f>Database!$A5376</f>
        <v/>
      </c>
      <c r="B3291">
        <f>IF(VLOOKUP(Table7[[#This Row],[Date]],Database!$A:$C,MATCH($B$1,Database!$A$1:$C$1,),)=0,#N/A,VLOOKUP(Table7[[#This Row],[Date]],Database!$A:$C,MATCH($B$1,Database!$A$1:$C$1,),))</f>
        <v/>
      </c>
      <c r="C3291">
        <f>IF(VLOOKUP(Table7[[#This Row],[Date]],Database!$A:$C,MATCH($C$1,Database!$A$1:$C$1,),)=0,#N/A,VLOOKUP(Table7[[#This Row],[Date]],Database!$A:$C,MATCH($C$1,Database!$A$1:$C$1,),))</f>
        <v/>
      </c>
      <c r="D3291">
        <f>IFERROR(Table7[[#This Row],[United States 10y]]-Table7[[#This Row],[United States 3y]],#N/A)</f>
        <v/>
      </c>
    </row>
    <row r="3292">
      <c r="A3292" s="6">
        <f>Database!$A5377</f>
        <v/>
      </c>
      <c r="B3292">
        <f>IF(VLOOKUP(Table7[[#This Row],[Date]],Database!$A:$C,MATCH($B$1,Database!$A$1:$C$1,),)=0,#N/A,VLOOKUP(Table7[[#This Row],[Date]],Database!$A:$C,MATCH($B$1,Database!$A$1:$C$1,),))</f>
        <v/>
      </c>
      <c r="C3292">
        <f>IF(VLOOKUP(Table7[[#This Row],[Date]],Database!$A:$C,MATCH($C$1,Database!$A$1:$C$1,),)=0,#N/A,VLOOKUP(Table7[[#This Row],[Date]],Database!$A:$C,MATCH($C$1,Database!$A$1:$C$1,),))</f>
        <v/>
      </c>
      <c r="D3292">
        <f>IFERROR(Table7[[#This Row],[United States 10y]]-Table7[[#This Row],[United States 3y]],#N/A)</f>
        <v/>
      </c>
    </row>
    <row r="3293">
      <c r="A3293" s="6">
        <f>Database!$A5378</f>
        <v/>
      </c>
      <c r="B3293">
        <f>IF(VLOOKUP(Table7[[#This Row],[Date]],Database!$A:$C,MATCH($B$1,Database!$A$1:$C$1,),)=0,#N/A,VLOOKUP(Table7[[#This Row],[Date]],Database!$A:$C,MATCH($B$1,Database!$A$1:$C$1,),))</f>
        <v/>
      </c>
      <c r="C3293">
        <f>IF(VLOOKUP(Table7[[#This Row],[Date]],Database!$A:$C,MATCH($C$1,Database!$A$1:$C$1,),)=0,#N/A,VLOOKUP(Table7[[#This Row],[Date]],Database!$A:$C,MATCH($C$1,Database!$A$1:$C$1,),))</f>
        <v/>
      </c>
      <c r="D3293">
        <f>IFERROR(Table7[[#This Row],[United States 10y]]-Table7[[#This Row],[United States 3y]],#N/A)</f>
        <v/>
      </c>
    </row>
    <row r="3294">
      <c r="A3294" s="6">
        <f>Database!$A5379</f>
        <v/>
      </c>
      <c r="B3294">
        <f>IF(VLOOKUP(Table7[[#This Row],[Date]],Database!$A:$C,MATCH($B$1,Database!$A$1:$C$1,),)=0,#N/A,VLOOKUP(Table7[[#This Row],[Date]],Database!$A:$C,MATCH($B$1,Database!$A$1:$C$1,),))</f>
        <v/>
      </c>
      <c r="C3294">
        <f>IF(VLOOKUP(Table7[[#This Row],[Date]],Database!$A:$C,MATCH($C$1,Database!$A$1:$C$1,),)=0,#N/A,VLOOKUP(Table7[[#This Row],[Date]],Database!$A:$C,MATCH($C$1,Database!$A$1:$C$1,),))</f>
        <v/>
      </c>
      <c r="D3294">
        <f>IFERROR(Table7[[#This Row],[United States 10y]]-Table7[[#This Row],[United States 3y]],#N/A)</f>
        <v/>
      </c>
    </row>
    <row r="3295">
      <c r="A3295" s="6">
        <f>Database!$A5380</f>
        <v/>
      </c>
      <c r="B3295">
        <f>IF(VLOOKUP(Table7[[#This Row],[Date]],Database!$A:$C,MATCH($B$1,Database!$A$1:$C$1,),)=0,#N/A,VLOOKUP(Table7[[#This Row],[Date]],Database!$A:$C,MATCH($B$1,Database!$A$1:$C$1,),))</f>
        <v/>
      </c>
      <c r="C3295">
        <f>IF(VLOOKUP(Table7[[#This Row],[Date]],Database!$A:$C,MATCH($C$1,Database!$A$1:$C$1,),)=0,#N/A,VLOOKUP(Table7[[#This Row],[Date]],Database!$A:$C,MATCH($C$1,Database!$A$1:$C$1,),))</f>
        <v/>
      </c>
      <c r="D3295">
        <f>IFERROR(Table7[[#This Row],[United States 10y]]-Table7[[#This Row],[United States 3y]],#N/A)</f>
        <v/>
      </c>
    </row>
    <row r="3296">
      <c r="A3296" s="6">
        <f>Database!$A5381</f>
        <v/>
      </c>
      <c r="B3296">
        <f>IF(VLOOKUP(Table7[[#This Row],[Date]],Database!$A:$C,MATCH($B$1,Database!$A$1:$C$1,),)=0,#N/A,VLOOKUP(Table7[[#This Row],[Date]],Database!$A:$C,MATCH($B$1,Database!$A$1:$C$1,),))</f>
        <v/>
      </c>
      <c r="C3296">
        <f>IF(VLOOKUP(Table7[[#This Row],[Date]],Database!$A:$C,MATCH($C$1,Database!$A$1:$C$1,),)=0,#N/A,VLOOKUP(Table7[[#This Row],[Date]],Database!$A:$C,MATCH($C$1,Database!$A$1:$C$1,),))</f>
        <v/>
      </c>
      <c r="D3296">
        <f>IFERROR(Table7[[#This Row],[United States 10y]]-Table7[[#This Row],[United States 3y]],#N/A)</f>
        <v/>
      </c>
    </row>
    <row r="3297">
      <c r="A3297" s="6">
        <f>Database!$A5382</f>
        <v/>
      </c>
      <c r="B3297">
        <f>IF(VLOOKUP(Table7[[#This Row],[Date]],Database!$A:$C,MATCH($B$1,Database!$A$1:$C$1,),)=0,#N/A,VLOOKUP(Table7[[#This Row],[Date]],Database!$A:$C,MATCH($B$1,Database!$A$1:$C$1,),))</f>
        <v/>
      </c>
      <c r="C3297">
        <f>IF(VLOOKUP(Table7[[#This Row],[Date]],Database!$A:$C,MATCH($C$1,Database!$A$1:$C$1,),)=0,#N/A,VLOOKUP(Table7[[#This Row],[Date]],Database!$A:$C,MATCH($C$1,Database!$A$1:$C$1,),))</f>
        <v/>
      </c>
      <c r="D3297">
        <f>IFERROR(Table7[[#This Row],[United States 10y]]-Table7[[#This Row],[United States 3y]],#N/A)</f>
        <v/>
      </c>
    </row>
    <row r="3298">
      <c r="A3298" s="6">
        <f>Database!$A5383</f>
        <v/>
      </c>
      <c r="B3298">
        <f>IF(VLOOKUP(Table7[[#This Row],[Date]],Database!$A:$C,MATCH($B$1,Database!$A$1:$C$1,),)=0,#N/A,VLOOKUP(Table7[[#This Row],[Date]],Database!$A:$C,MATCH($B$1,Database!$A$1:$C$1,),))</f>
        <v/>
      </c>
      <c r="C3298">
        <f>IF(VLOOKUP(Table7[[#This Row],[Date]],Database!$A:$C,MATCH($C$1,Database!$A$1:$C$1,),)=0,#N/A,VLOOKUP(Table7[[#This Row],[Date]],Database!$A:$C,MATCH($C$1,Database!$A$1:$C$1,),))</f>
        <v/>
      </c>
      <c r="D3298">
        <f>IFERROR(Table7[[#This Row],[United States 10y]]-Table7[[#This Row],[United States 3y]],#N/A)</f>
        <v/>
      </c>
    </row>
    <row r="3299">
      <c r="A3299" s="6">
        <f>Database!$A5384</f>
        <v/>
      </c>
      <c r="B3299">
        <f>IF(VLOOKUP(Table7[[#This Row],[Date]],Database!$A:$C,MATCH($B$1,Database!$A$1:$C$1,),)=0,#N/A,VLOOKUP(Table7[[#This Row],[Date]],Database!$A:$C,MATCH($B$1,Database!$A$1:$C$1,),))</f>
        <v/>
      </c>
      <c r="C3299">
        <f>IF(VLOOKUP(Table7[[#This Row],[Date]],Database!$A:$C,MATCH($C$1,Database!$A$1:$C$1,),)=0,#N/A,VLOOKUP(Table7[[#This Row],[Date]],Database!$A:$C,MATCH($C$1,Database!$A$1:$C$1,),))</f>
        <v/>
      </c>
      <c r="D3299">
        <f>IFERROR(Table7[[#This Row],[United States 10y]]-Table7[[#This Row],[United States 3y]],#N/A)</f>
        <v/>
      </c>
    </row>
    <row r="3300">
      <c r="A3300" s="6">
        <f>Database!$A5385</f>
        <v/>
      </c>
      <c r="B3300">
        <f>IF(VLOOKUP(Table7[[#This Row],[Date]],Database!$A:$C,MATCH($B$1,Database!$A$1:$C$1,),)=0,#N/A,VLOOKUP(Table7[[#This Row],[Date]],Database!$A:$C,MATCH($B$1,Database!$A$1:$C$1,),))</f>
        <v/>
      </c>
      <c r="C3300">
        <f>IF(VLOOKUP(Table7[[#This Row],[Date]],Database!$A:$C,MATCH($C$1,Database!$A$1:$C$1,),)=0,#N/A,VLOOKUP(Table7[[#This Row],[Date]],Database!$A:$C,MATCH($C$1,Database!$A$1:$C$1,),))</f>
        <v/>
      </c>
      <c r="D3300">
        <f>IFERROR(Table7[[#This Row],[United States 10y]]-Table7[[#This Row],[United States 3y]],#N/A)</f>
        <v/>
      </c>
    </row>
    <row r="3301">
      <c r="A3301" s="6">
        <f>Database!$A5386</f>
        <v/>
      </c>
      <c r="B3301">
        <f>IF(VLOOKUP(Table7[[#This Row],[Date]],Database!$A:$C,MATCH($B$1,Database!$A$1:$C$1,),)=0,#N/A,VLOOKUP(Table7[[#This Row],[Date]],Database!$A:$C,MATCH($B$1,Database!$A$1:$C$1,),))</f>
        <v/>
      </c>
      <c r="C3301">
        <f>IF(VLOOKUP(Table7[[#This Row],[Date]],Database!$A:$C,MATCH($C$1,Database!$A$1:$C$1,),)=0,#N/A,VLOOKUP(Table7[[#This Row],[Date]],Database!$A:$C,MATCH($C$1,Database!$A$1:$C$1,),))</f>
        <v/>
      </c>
      <c r="D3301">
        <f>IFERROR(Table7[[#This Row],[United States 10y]]-Table7[[#This Row],[United States 3y]],#N/A)</f>
        <v/>
      </c>
    </row>
    <row r="3302">
      <c r="A3302" s="6">
        <f>Database!$A5387</f>
        <v/>
      </c>
      <c r="B3302">
        <f>IF(VLOOKUP(Table7[[#This Row],[Date]],Database!$A:$C,MATCH($B$1,Database!$A$1:$C$1,),)=0,#N/A,VLOOKUP(Table7[[#This Row],[Date]],Database!$A:$C,MATCH($B$1,Database!$A$1:$C$1,),))</f>
        <v/>
      </c>
      <c r="C3302">
        <f>IF(VLOOKUP(Table7[[#This Row],[Date]],Database!$A:$C,MATCH($C$1,Database!$A$1:$C$1,),)=0,#N/A,VLOOKUP(Table7[[#This Row],[Date]],Database!$A:$C,MATCH($C$1,Database!$A$1:$C$1,),))</f>
        <v/>
      </c>
      <c r="D3302">
        <f>IFERROR(Table7[[#This Row],[United States 10y]]-Table7[[#This Row],[United States 3y]],#N/A)</f>
        <v/>
      </c>
    </row>
    <row r="3303">
      <c r="A3303" s="6">
        <f>Database!$A5388</f>
        <v/>
      </c>
      <c r="B3303">
        <f>IF(VLOOKUP(Table7[[#This Row],[Date]],Database!$A:$C,MATCH($B$1,Database!$A$1:$C$1,),)=0,#N/A,VLOOKUP(Table7[[#This Row],[Date]],Database!$A:$C,MATCH($B$1,Database!$A$1:$C$1,),))</f>
        <v/>
      </c>
      <c r="C3303">
        <f>IF(VLOOKUP(Table7[[#This Row],[Date]],Database!$A:$C,MATCH($C$1,Database!$A$1:$C$1,),)=0,#N/A,VLOOKUP(Table7[[#This Row],[Date]],Database!$A:$C,MATCH($C$1,Database!$A$1:$C$1,),))</f>
        <v/>
      </c>
      <c r="D3303">
        <f>IFERROR(Table7[[#This Row],[United States 10y]]-Table7[[#This Row],[United States 3y]],#N/A)</f>
        <v/>
      </c>
    </row>
    <row r="3304">
      <c r="A3304" s="6">
        <f>Database!$A5389</f>
        <v/>
      </c>
      <c r="B3304">
        <f>IF(VLOOKUP(Table7[[#This Row],[Date]],Database!$A:$C,MATCH($B$1,Database!$A$1:$C$1,),)=0,#N/A,VLOOKUP(Table7[[#This Row],[Date]],Database!$A:$C,MATCH($B$1,Database!$A$1:$C$1,),))</f>
        <v/>
      </c>
      <c r="C3304">
        <f>IF(VLOOKUP(Table7[[#This Row],[Date]],Database!$A:$C,MATCH($C$1,Database!$A$1:$C$1,),)=0,#N/A,VLOOKUP(Table7[[#This Row],[Date]],Database!$A:$C,MATCH($C$1,Database!$A$1:$C$1,),))</f>
        <v/>
      </c>
      <c r="D3304">
        <f>IFERROR(Table7[[#This Row],[United States 10y]]-Table7[[#This Row],[United States 3y]],#N/A)</f>
        <v/>
      </c>
    </row>
    <row r="3305">
      <c r="A3305" s="6">
        <f>Database!$A5390</f>
        <v/>
      </c>
      <c r="B3305">
        <f>IF(VLOOKUP(Table7[[#This Row],[Date]],Database!$A:$C,MATCH($B$1,Database!$A$1:$C$1,),)=0,#N/A,VLOOKUP(Table7[[#This Row],[Date]],Database!$A:$C,MATCH($B$1,Database!$A$1:$C$1,),))</f>
        <v/>
      </c>
      <c r="C3305">
        <f>IF(VLOOKUP(Table7[[#This Row],[Date]],Database!$A:$C,MATCH($C$1,Database!$A$1:$C$1,),)=0,#N/A,VLOOKUP(Table7[[#This Row],[Date]],Database!$A:$C,MATCH($C$1,Database!$A$1:$C$1,),))</f>
        <v/>
      </c>
      <c r="D3305">
        <f>IFERROR(Table7[[#This Row],[United States 10y]]-Table7[[#This Row],[United States 3y]],#N/A)</f>
        <v/>
      </c>
    </row>
    <row r="3306">
      <c r="A3306" s="6">
        <f>Database!$A5391</f>
        <v/>
      </c>
      <c r="B3306">
        <f>IF(VLOOKUP(Table7[[#This Row],[Date]],Database!$A:$C,MATCH($B$1,Database!$A$1:$C$1,),)=0,#N/A,VLOOKUP(Table7[[#This Row],[Date]],Database!$A:$C,MATCH($B$1,Database!$A$1:$C$1,),))</f>
        <v/>
      </c>
      <c r="C3306">
        <f>IF(VLOOKUP(Table7[[#This Row],[Date]],Database!$A:$C,MATCH($C$1,Database!$A$1:$C$1,),)=0,#N/A,VLOOKUP(Table7[[#This Row],[Date]],Database!$A:$C,MATCH($C$1,Database!$A$1:$C$1,),))</f>
        <v/>
      </c>
      <c r="D3306">
        <f>IFERROR(Table7[[#This Row],[United States 10y]]-Table7[[#This Row],[United States 3y]],#N/A)</f>
        <v/>
      </c>
    </row>
    <row r="3307">
      <c r="A3307" s="6">
        <f>Database!$A5392</f>
        <v/>
      </c>
      <c r="B3307">
        <f>IF(VLOOKUP(Table7[[#This Row],[Date]],Database!$A:$C,MATCH($B$1,Database!$A$1:$C$1,),)=0,#N/A,VLOOKUP(Table7[[#This Row],[Date]],Database!$A:$C,MATCH($B$1,Database!$A$1:$C$1,),))</f>
        <v/>
      </c>
      <c r="C3307">
        <f>IF(VLOOKUP(Table7[[#This Row],[Date]],Database!$A:$C,MATCH($C$1,Database!$A$1:$C$1,),)=0,#N/A,VLOOKUP(Table7[[#This Row],[Date]],Database!$A:$C,MATCH($C$1,Database!$A$1:$C$1,),))</f>
        <v/>
      </c>
      <c r="D3307">
        <f>IFERROR(Table7[[#This Row],[United States 10y]]-Table7[[#This Row],[United States 3y]],#N/A)</f>
        <v/>
      </c>
    </row>
    <row r="3308">
      <c r="A3308" s="6">
        <f>Database!$A5393</f>
        <v/>
      </c>
      <c r="B3308">
        <f>IF(VLOOKUP(Table7[[#This Row],[Date]],Database!$A:$C,MATCH($B$1,Database!$A$1:$C$1,),)=0,#N/A,VLOOKUP(Table7[[#This Row],[Date]],Database!$A:$C,MATCH($B$1,Database!$A$1:$C$1,),))</f>
        <v/>
      </c>
      <c r="C3308">
        <f>IF(VLOOKUP(Table7[[#This Row],[Date]],Database!$A:$C,MATCH($C$1,Database!$A$1:$C$1,),)=0,#N/A,VLOOKUP(Table7[[#This Row],[Date]],Database!$A:$C,MATCH($C$1,Database!$A$1:$C$1,),))</f>
        <v/>
      </c>
      <c r="D3308">
        <f>IFERROR(Table7[[#This Row],[United States 10y]]-Table7[[#This Row],[United States 3y]],#N/A)</f>
        <v/>
      </c>
    </row>
    <row r="3309">
      <c r="A3309" s="6">
        <f>Database!$A5394</f>
        <v/>
      </c>
      <c r="B3309">
        <f>IF(VLOOKUP(Table7[[#This Row],[Date]],Database!$A:$C,MATCH($B$1,Database!$A$1:$C$1,),)=0,#N/A,VLOOKUP(Table7[[#This Row],[Date]],Database!$A:$C,MATCH($B$1,Database!$A$1:$C$1,),))</f>
        <v/>
      </c>
      <c r="C3309">
        <f>IF(VLOOKUP(Table7[[#This Row],[Date]],Database!$A:$C,MATCH($C$1,Database!$A$1:$C$1,),)=0,#N/A,VLOOKUP(Table7[[#This Row],[Date]],Database!$A:$C,MATCH($C$1,Database!$A$1:$C$1,),))</f>
        <v/>
      </c>
      <c r="D3309">
        <f>IFERROR(Table7[[#This Row],[United States 10y]]-Table7[[#This Row],[United States 3y]],#N/A)</f>
        <v/>
      </c>
    </row>
    <row r="3310">
      <c r="A3310" s="6">
        <f>Database!$A5395</f>
        <v/>
      </c>
      <c r="B3310">
        <f>IF(VLOOKUP(Table7[[#This Row],[Date]],Database!$A:$C,MATCH($B$1,Database!$A$1:$C$1,),)=0,#N/A,VLOOKUP(Table7[[#This Row],[Date]],Database!$A:$C,MATCH($B$1,Database!$A$1:$C$1,),))</f>
        <v/>
      </c>
      <c r="C3310">
        <f>IF(VLOOKUP(Table7[[#This Row],[Date]],Database!$A:$C,MATCH($C$1,Database!$A$1:$C$1,),)=0,#N/A,VLOOKUP(Table7[[#This Row],[Date]],Database!$A:$C,MATCH($C$1,Database!$A$1:$C$1,),))</f>
        <v/>
      </c>
      <c r="D3310">
        <f>IFERROR(Table7[[#This Row],[United States 10y]]-Table7[[#This Row],[United States 3y]],#N/A)</f>
        <v/>
      </c>
    </row>
    <row r="3311">
      <c r="A3311" s="6">
        <f>Database!$A5396</f>
        <v/>
      </c>
      <c r="B3311">
        <f>IF(VLOOKUP(Table7[[#This Row],[Date]],Database!$A:$C,MATCH($B$1,Database!$A$1:$C$1,),)=0,#N/A,VLOOKUP(Table7[[#This Row],[Date]],Database!$A:$C,MATCH($B$1,Database!$A$1:$C$1,),))</f>
        <v/>
      </c>
      <c r="C3311">
        <f>IF(VLOOKUP(Table7[[#This Row],[Date]],Database!$A:$C,MATCH($C$1,Database!$A$1:$C$1,),)=0,#N/A,VLOOKUP(Table7[[#This Row],[Date]],Database!$A:$C,MATCH($C$1,Database!$A$1:$C$1,),))</f>
        <v/>
      </c>
      <c r="D3311">
        <f>IFERROR(Table7[[#This Row],[United States 10y]]-Table7[[#This Row],[United States 3y]],#N/A)</f>
        <v/>
      </c>
    </row>
    <row r="3312">
      <c r="A3312" s="6">
        <f>Database!$A5397</f>
        <v/>
      </c>
      <c r="B3312">
        <f>IF(VLOOKUP(Table7[[#This Row],[Date]],Database!$A:$C,MATCH($B$1,Database!$A$1:$C$1,),)=0,#N/A,VLOOKUP(Table7[[#This Row],[Date]],Database!$A:$C,MATCH($B$1,Database!$A$1:$C$1,),))</f>
        <v/>
      </c>
      <c r="C3312">
        <f>IF(VLOOKUP(Table7[[#This Row],[Date]],Database!$A:$C,MATCH($C$1,Database!$A$1:$C$1,),)=0,#N/A,VLOOKUP(Table7[[#This Row],[Date]],Database!$A:$C,MATCH($C$1,Database!$A$1:$C$1,),))</f>
        <v/>
      </c>
      <c r="D3312">
        <f>IFERROR(Table7[[#This Row],[United States 10y]]-Table7[[#This Row],[United States 3y]],#N/A)</f>
        <v/>
      </c>
    </row>
    <row r="3313">
      <c r="A3313" s="6">
        <f>Database!$A5398</f>
        <v/>
      </c>
      <c r="B3313">
        <f>IF(VLOOKUP(Table7[[#This Row],[Date]],Database!$A:$C,MATCH($B$1,Database!$A$1:$C$1,),)=0,#N/A,VLOOKUP(Table7[[#This Row],[Date]],Database!$A:$C,MATCH($B$1,Database!$A$1:$C$1,),))</f>
        <v/>
      </c>
      <c r="C3313">
        <f>IF(VLOOKUP(Table7[[#This Row],[Date]],Database!$A:$C,MATCH($C$1,Database!$A$1:$C$1,),)=0,#N/A,VLOOKUP(Table7[[#This Row],[Date]],Database!$A:$C,MATCH($C$1,Database!$A$1:$C$1,),))</f>
        <v/>
      </c>
      <c r="D3313">
        <f>IFERROR(Table7[[#This Row],[United States 10y]]-Table7[[#This Row],[United States 3y]],#N/A)</f>
        <v/>
      </c>
    </row>
    <row r="3314">
      <c r="A3314" s="6">
        <f>Database!$A5399</f>
        <v/>
      </c>
      <c r="B3314">
        <f>IF(VLOOKUP(Table7[[#This Row],[Date]],Database!$A:$C,MATCH($B$1,Database!$A$1:$C$1,),)=0,#N/A,VLOOKUP(Table7[[#This Row],[Date]],Database!$A:$C,MATCH($B$1,Database!$A$1:$C$1,),))</f>
        <v/>
      </c>
      <c r="C3314">
        <f>IF(VLOOKUP(Table7[[#This Row],[Date]],Database!$A:$C,MATCH($C$1,Database!$A$1:$C$1,),)=0,#N/A,VLOOKUP(Table7[[#This Row],[Date]],Database!$A:$C,MATCH($C$1,Database!$A$1:$C$1,),))</f>
        <v/>
      </c>
      <c r="D3314">
        <f>IFERROR(Table7[[#This Row],[United States 10y]]-Table7[[#This Row],[United States 3y]],#N/A)</f>
        <v/>
      </c>
    </row>
    <row r="3315">
      <c r="A3315" s="6">
        <f>Database!$A5400</f>
        <v/>
      </c>
      <c r="B3315">
        <f>IF(VLOOKUP(Table7[[#This Row],[Date]],Database!$A:$C,MATCH($B$1,Database!$A$1:$C$1,),)=0,#N/A,VLOOKUP(Table7[[#This Row],[Date]],Database!$A:$C,MATCH($B$1,Database!$A$1:$C$1,),))</f>
        <v/>
      </c>
      <c r="C3315">
        <f>IF(VLOOKUP(Table7[[#This Row],[Date]],Database!$A:$C,MATCH($C$1,Database!$A$1:$C$1,),)=0,#N/A,VLOOKUP(Table7[[#This Row],[Date]],Database!$A:$C,MATCH($C$1,Database!$A$1:$C$1,),))</f>
        <v/>
      </c>
      <c r="D3315">
        <f>IFERROR(Table7[[#This Row],[United States 10y]]-Table7[[#This Row],[United States 3y]],#N/A)</f>
        <v/>
      </c>
    </row>
    <row r="3316">
      <c r="A3316" s="6">
        <f>Database!$A5401</f>
        <v/>
      </c>
      <c r="B3316">
        <f>IF(VLOOKUP(Table7[[#This Row],[Date]],Database!$A:$C,MATCH($B$1,Database!$A$1:$C$1,),)=0,#N/A,VLOOKUP(Table7[[#This Row],[Date]],Database!$A:$C,MATCH($B$1,Database!$A$1:$C$1,),))</f>
        <v/>
      </c>
      <c r="C3316">
        <f>IF(VLOOKUP(Table7[[#This Row],[Date]],Database!$A:$C,MATCH($C$1,Database!$A$1:$C$1,),)=0,#N/A,VLOOKUP(Table7[[#This Row],[Date]],Database!$A:$C,MATCH($C$1,Database!$A$1:$C$1,),))</f>
        <v/>
      </c>
      <c r="D3316">
        <f>IFERROR(Table7[[#This Row],[United States 10y]]-Table7[[#This Row],[United States 3y]],#N/A)</f>
        <v/>
      </c>
    </row>
    <row r="3317">
      <c r="A3317" s="6">
        <f>Database!$A5402</f>
        <v/>
      </c>
      <c r="B3317">
        <f>IF(VLOOKUP(Table7[[#This Row],[Date]],Database!$A:$C,MATCH($B$1,Database!$A$1:$C$1,),)=0,#N/A,VLOOKUP(Table7[[#This Row],[Date]],Database!$A:$C,MATCH($B$1,Database!$A$1:$C$1,),))</f>
        <v/>
      </c>
      <c r="C3317">
        <f>IF(VLOOKUP(Table7[[#This Row],[Date]],Database!$A:$C,MATCH($C$1,Database!$A$1:$C$1,),)=0,#N/A,VLOOKUP(Table7[[#This Row],[Date]],Database!$A:$C,MATCH($C$1,Database!$A$1:$C$1,),))</f>
        <v/>
      </c>
      <c r="D3317">
        <f>IFERROR(Table7[[#This Row],[United States 10y]]-Table7[[#This Row],[United States 3y]],#N/A)</f>
        <v/>
      </c>
    </row>
    <row r="3318">
      <c r="A3318" s="6">
        <f>Database!$A5403</f>
        <v/>
      </c>
      <c r="B3318">
        <f>IF(VLOOKUP(Table7[[#This Row],[Date]],Database!$A:$C,MATCH($B$1,Database!$A$1:$C$1,),)=0,#N/A,VLOOKUP(Table7[[#This Row],[Date]],Database!$A:$C,MATCH($B$1,Database!$A$1:$C$1,),))</f>
        <v/>
      </c>
      <c r="C3318">
        <f>IF(VLOOKUP(Table7[[#This Row],[Date]],Database!$A:$C,MATCH($C$1,Database!$A$1:$C$1,),)=0,#N/A,VLOOKUP(Table7[[#This Row],[Date]],Database!$A:$C,MATCH($C$1,Database!$A$1:$C$1,),))</f>
        <v/>
      </c>
      <c r="D3318">
        <f>IFERROR(Table7[[#This Row],[United States 10y]]-Table7[[#This Row],[United States 3y]],#N/A)</f>
        <v/>
      </c>
    </row>
    <row r="3319">
      <c r="A3319" s="6">
        <f>Database!$A5404</f>
        <v/>
      </c>
      <c r="B3319">
        <f>IF(VLOOKUP(Table7[[#This Row],[Date]],Database!$A:$C,MATCH($B$1,Database!$A$1:$C$1,),)=0,#N/A,VLOOKUP(Table7[[#This Row],[Date]],Database!$A:$C,MATCH($B$1,Database!$A$1:$C$1,),))</f>
        <v/>
      </c>
      <c r="C3319">
        <f>IF(VLOOKUP(Table7[[#This Row],[Date]],Database!$A:$C,MATCH($C$1,Database!$A$1:$C$1,),)=0,#N/A,VLOOKUP(Table7[[#This Row],[Date]],Database!$A:$C,MATCH($C$1,Database!$A$1:$C$1,),))</f>
        <v/>
      </c>
      <c r="D3319">
        <f>IFERROR(Table7[[#This Row],[United States 10y]]-Table7[[#This Row],[United States 3y]],#N/A)</f>
        <v/>
      </c>
    </row>
    <row r="3320">
      <c r="A3320" s="6">
        <f>Database!$A5405</f>
        <v/>
      </c>
      <c r="B3320">
        <f>IF(VLOOKUP(Table7[[#This Row],[Date]],Database!$A:$C,MATCH($B$1,Database!$A$1:$C$1,),)=0,#N/A,VLOOKUP(Table7[[#This Row],[Date]],Database!$A:$C,MATCH($B$1,Database!$A$1:$C$1,),))</f>
        <v/>
      </c>
      <c r="C3320">
        <f>IF(VLOOKUP(Table7[[#This Row],[Date]],Database!$A:$C,MATCH($C$1,Database!$A$1:$C$1,),)=0,#N/A,VLOOKUP(Table7[[#This Row],[Date]],Database!$A:$C,MATCH($C$1,Database!$A$1:$C$1,),))</f>
        <v/>
      </c>
      <c r="D3320">
        <f>IFERROR(Table7[[#This Row],[United States 10y]]-Table7[[#This Row],[United States 3y]],#N/A)</f>
        <v/>
      </c>
    </row>
    <row r="3321">
      <c r="A3321" s="6">
        <f>Database!$A5406</f>
        <v/>
      </c>
      <c r="B3321">
        <f>IF(VLOOKUP(Table7[[#This Row],[Date]],Database!$A:$C,MATCH($B$1,Database!$A$1:$C$1,),)=0,#N/A,VLOOKUP(Table7[[#This Row],[Date]],Database!$A:$C,MATCH($B$1,Database!$A$1:$C$1,),))</f>
        <v/>
      </c>
      <c r="C3321">
        <f>IF(VLOOKUP(Table7[[#This Row],[Date]],Database!$A:$C,MATCH($C$1,Database!$A$1:$C$1,),)=0,#N/A,VLOOKUP(Table7[[#This Row],[Date]],Database!$A:$C,MATCH($C$1,Database!$A$1:$C$1,),))</f>
        <v/>
      </c>
      <c r="D3321">
        <f>IFERROR(Table7[[#This Row],[United States 10y]]-Table7[[#This Row],[United States 3y]],#N/A)</f>
        <v/>
      </c>
    </row>
    <row r="3322">
      <c r="A3322" s="6">
        <f>Database!$A5407</f>
        <v/>
      </c>
      <c r="B3322">
        <f>IF(VLOOKUP(Table7[[#This Row],[Date]],Database!$A:$C,MATCH($B$1,Database!$A$1:$C$1,),)=0,#N/A,VLOOKUP(Table7[[#This Row],[Date]],Database!$A:$C,MATCH($B$1,Database!$A$1:$C$1,),))</f>
        <v/>
      </c>
      <c r="C3322">
        <f>IF(VLOOKUP(Table7[[#This Row],[Date]],Database!$A:$C,MATCH($C$1,Database!$A$1:$C$1,),)=0,#N/A,VLOOKUP(Table7[[#This Row],[Date]],Database!$A:$C,MATCH($C$1,Database!$A$1:$C$1,),))</f>
        <v/>
      </c>
      <c r="D3322">
        <f>IFERROR(Table7[[#This Row],[United States 10y]]-Table7[[#This Row],[United States 3y]],#N/A)</f>
        <v/>
      </c>
    </row>
    <row r="3323">
      <c r="A3323" s="6">
        <f>Database!$A5408</f>
        <v/>
      </c>
      <c r="B3323">
        <f>IF(VLOOKUP(Table7[[#This Row],[Date]],Database!$A:$C,MATCH($B$1,Database!$A$1:$C$1,),)=0,#N/A,VLOOKUP(Table7[[#This Row],[Date]],Database!$A:$C,MATCH($B$1,Database!$A$1:$C$1,),))</f>
        <v/>
      </c>
      <c r="C3323">
        <f>IF(VLOOKUP(Table7[[#This Row],[Date]],Database!$A:$C,MATCH($C$1,Database!$A$1:$C$1,),)=0,#N/A,VLOOKUP(Table7[[#This Row],[Date]],Database!$A:$C,MATCH($C$1,Database!$A$1:$C$1,),))</f>
        <v/>
      </c>
      <c r="D3323">
        <f>IFERROR(Table7[[#This Row],[United States 10y]]-Table7[[#This Row],[United States 3y]],#N/A)</f>
        <v/>
      </c>
    </row>
    <row r="3324">
      <c r="A3324" s="6">
        <f>Database!$A5409</f>
        <v/>
      </c>
      <c r="B3324">
        <f>IF(VLOOKUP(Table7[[#This Row],[Date]],Database!$A:$C,MATCH($B$1,Database!$A$1:$C$1,),)=0,#N/A,VLOOKUP(Table7[[#This Row],[Date]],Database!$A:$C,MATCH($B$1,Database!$A$1:$C$1,),))</f>
        <v/>
      </c>
      <c r="C3324">
        <f>IF(VLOOKUP(Table7[[#This Row],[Date]],Database!$A:$C,MATCH($C$1,Database!$A$1:$C$1,),)=0,#N/A,VLOOKUP(Table7[[#This Row],[Date]],Database!$A:$C,MATCH($C$1,Database!$A$1:$C$1,),))</f>
        <v/>
      </c>
      <c r="D3324">
        <f>IFERROR(Table7[[#This Row],[United States 10y]]-Table7[[#This Row],[United States 3y]],#N/A)</f>
        <v/>
      </c>
    </row>
    <row r="3325">
      <c r="A3325" s="6">
        <f>Database!$A5410</f>
        <v/>
      </c>
      <c r="B3325">
        <f>IF(VLOOKUP(Table7[[#This Row],[Date]],Database!$A:$C,MATCH($B$1,Database!$A$1:$C$1,),)=0,#N/A,VLOOKUP(Table7[[#This Row],[Date]],Database!$A:$C,MATCH($B$1,Database!$A$1:$C$1,),))</f>
        <v/>
      </c>
      <c r="C3325">
        <f>IF(VLOOKUP(Table7[[#This Row],[Date]],Database!$A:$C,MATCH($C$1,Database!$A$1:$C$1,),)=0,#N/A,VLOOKUP(Table7[[#This Row],[Date]],Database!$A:$C,MATCH($C$1,Database!$A$1:$C$1,),))</f>
        <v/>
      </c>
      <c r="D3325">
        <f>IFERROR(Table7[[#This Row],[United States 10y]]-Table7[[#This Row],[United States 3y]],#N/A)</f>
        <v/>
      </c>
    </row>
    <row r="3326">
      <c r="A3326" s="6">
        <f>Database!$A5411</f>
        <v/>
      </c>
      <c r="B3326">
        <f>IF(VLOOKUP(Table7[[#This Row],[Date]],Database!$A:$C,MATCH($B$1,Database!$A$1:$C$1,),)=0,#N/A,VLOOKUP(Table7[[#This Row],[Date]],Database!$A:$C,MATCH($B$1,Database!$A$1:$C$1,),))</f>
        <v/>
      </c>
      <c r="C3326">
        <f>IF(VLOOKUP(Table7[[#This Row],[Date]],Database!$A:$C,MATCH($C$1,Database!$A$1:$C$1,),)=0,#N/A,VLOOKUP(Table7[[#This Row],[Date]],Database!$A:$C,MATCH($C$1,Database!$A$1:$C$1,),))</f>
        <v/>
      </c>
      <c r="D3326">
        <f>IFERROR(Table7[[#This Row],[United States 10y]]-Table7[[#This Row],[United States 3y]],#N/A)</f>
        <v/>
      </c>
    </row>
    <row r="3327">
      <c r="A3327" s="6">
        <f>Database!$A5412</f>
        <v/>
      </c>
      <c r="B3327">
        <f>IF(VLOOKUP(Table7[[#This Row],[Date]],Database!$A:$C,MATCH($B$1,Database!$A$1:$C$1,),)=0,#N/A,VLOOKUP(Table7[[#This Row],[Date]],Database!$A:$C,MATCH($B$1,Database!$A$1:$C$1,),))</f>
        <v/>
      </c>
      <c r="C3327">
        <f>IF(VLOOKUP(Table7[[#This Row],[Date]],Database!$A:$C,MATCH($C$1,Database!$A$1:$C$1,),)=0,#N/A,VLOOKUP(Table7[[#This Row],[Date]],Database!$A:$C,MATCH($C$1,Database!$A$1:$C$1,),))</f>
        <v/>
      </c>
      <c r="D3327">
        <f>IFERROR(Table7[[#This Row],[United States 10y]]-Table7[[#This Row],[United States 3y]],#N/A)</f>
        <v/>
      </c>
    </row>
    <row r="3328">
      <c r="A3328" s="6">
        <f>Database!$A5413</f>
        <v/>
      </c>
      <c r="B3328">
        <f>IF(VLOOKUP(Table7[[#This Row],[Date]],Database!$A:$C,MATCH($B$1,Database!$A$1:$C$1,),)=0,#N/A,VLOOKUP(Table7[[#This Row],[Date]],Database!$A:$C,MATCH($B$1,Database!$A$1:$C$1,),))</f>
        <v/>
      </c>
      <c r="C3328">
        <f>IF(VLOOKUP(Table7[[#This Row],[Date]],Database!$A:$C,MATCH($C$1,Database!$A$1:$C$1,),)=0,#N/A,VLOOKUP(Table7[[#This Row],[Date]],Database!$A:$C,MATCH($C$1,Database!$A$1:$C$1,),))</f>
        <v/>
      </c>
      <c r="D3328">
        <f>IFERROR(Table7[[#This Row],[United States 10y]]-Table7[[#This Row],[United States 3y]],#N/A)</f>
        <v/>
      </c>
    </row>
    <row r="3329">
      <c r="A3329" s="6">
        <f>Database!$A5414</f>
        <v/>
      </c>
      <c r="B3329">
        <f>IF(VLOOKUP(Table7[[#This Row],[Date]],Database!$A:$C,MATCH($B$1,Database!$A$1:$C$1,),)=0,#N/A,VLOOKUP(Table7[[#This Row],[Date]],Database!$A:$C,MATCH($B$1,Database!$A$1:$C$1,),))</f>
        <v/>
      </c>
      <c r="C3329">
        <f>IF(VLOOKUP(Table7[[#This Row],[Date]],Database!$A:$C,MATCH($C$1,Database!$A$1:$C$1,),)=0,#N/A,VLOOKUP(Table7[[#This Row],[Date]],Database!$A:$C,MATCH($C$1,Database!$A$1:$C$1,),))</f>
        <v/>
      </c>
      <c r="D3329">
        <f>IFERROR(Table7[[#This Row],[United States 10y]]-Table7[[#This Row],[United States 3y]],#N/A)</f>
        <v/>
      </c>
    </row>
    <row r="3330">
      <c r="A3330" s="6">
        <f>Database!$A5415</f>
        <v/>
      </c>
      <c r="B3330">
        <f>IF(VLOOKUP(Table7[[#This Row],[Date]],Database!$A:$C,MATCH($B$1,Database!$A$1:$C$1,),)=0,#N/A,VLOOKUP(Table7[[#This Row],[Date]],Database!$A:$C,MATCH($B$1,Database!$A$1:$C$1,),))</f>
        <v/>
      </c>
      <c r="C3330">
        <f>IF(VLOOKUP(Table7[[#This Row],[Date]],Database!$A:$C,MATCH($C$1,Database!$A$1:$C$1,),)=0,#N/A,VLOOKUP(Table7[[#This Row],[Date]],Database!$A:$C,MATCH($C$1,Database!$A$1:$C$1,),))</f>
        <v/>
      </c>
      <c r="D3330">
        <f>IFERROR(Table7[[#This Row],[United States 10y]]-Table7[[#This Row],[United States 3y]],#N/A)</f>
        <v/>
      </c>
    </row>
    <row r="3331">
      <c r="A3331" s="6">
        <f>Database!$A5416</f>
        <v/>
      </c>
      <c r="B3331">
        <f>IF(VLOOKUP(Table7[[#This Row],[Date]],Database!$A:$C,MATCH($B$1,Database!$A$1:$C$1,),)=0,#N/A,VLOOKUP(Table7[[#This Row],[Date]],Database!$A:$C,MATCH($B$1,Database!$A$1:$C$1,),))</f>
        <v/>
      </c>
      <c r="C3331">
        <f>IF(VLOOKUP(Table7[[#This Row],[Date]],Database!$A:$C,MATCH($C$1,Database!$A$1:$C$1,),)=0,#N/A,VLOOKUP(Table7[[#This Row],[Date]],Database!$A:$C,MATCH($C$1,Database!$A$1:$C$1,),))</f>
        <v/>
      </c>
      <c r="D3331">
        <f>IFERROR(Table7[[#This Row],[United States 10y]]-Table7[[#This Row],[United States 3y]],#N/A)</f>
        <v/>
      </c>
    </row>
    <row r="3332">
      <c r="A3332" s="6">
        <f>Database!$A5417</f>
        <v/>
      </c>
      <c r="B3332">
        <f>IF(VLOOKUP(Table7[[#This Row],[Date]],Database!$A:$C,MATCH($B$1,Database!$A$1:$C$1,),)=0,#N/A,VLOOKUP(Table7[[#This Row],[Date]],Database!$A:$C,MATCH($B$1,Database!$A$1:$C$1,),))</f>
        <v/>
      </c>
      <c r="C3332">
        <f>IF(VLOOKUP(Table7[[#This Row],[Date]],Database!$A:$C,MATCH($C$1,Database!$A$1:$C$1,),)=0,#N/A,VLOOKUP(Table7[[#This Row],[Date]],Database!$A:$C,MATCH($C$1,Database!$A$1:$C$1,),))</f>
        <v/>
      </c>
      <c r="D3332">
        <f>IFERROR(Table7[[#This Row],[United States 10y]]-Table7[[#This Row],[United States 3y]],#N/A)</f>
        <v/>
      </c>
    </row>
    <row r="3333">
      <c r="A3333" s="6">
        <f>Database!$A5418</f>
        <v/>
      </c>
      <c r="B3333">
        <f>IF(VLOOKUP(Table7[[#This Row],[Date]],Database!$A:$C,MATCH($B$1,Database!$A$1:$C$1,),)=0,#N/A,VLOOKUP(Table7[[#This Row],[Date]],Database!$A:$C,MATCH($B$1,Database!$A$1:$C$1,),))</f>
        <v/>
      </c>
      <c r="C3333">
        <f>IF(VLOOKUP(Table7[[#This Row],[Date]],Database!$A:$C,MATCH($C$1,Database!$A$1:$C$1,),)=0,#N/A,VLOOKUP(Table7[[#This Row],[Date]],Database!$A:$C,MATCH($C$1,Database!$A$1:$C$1,),))</f>
        <v/>
      </c>
      <c r="D3333">
        <f>IFERROR(Table7[[#This Row],[United States 10y]]-Table7[[#This Row],[United States 3y]],#N/A)</f>
        <v/>
      </c>
    </row>
    <row r="3334">
      <c r="A3334" s="6">
        <f>Database!$A5419</f>
        <v/>
      </c>
      <c r="B3334">
        <f>IF(VLOOKUP(Table7[[#This Row],[Date]],Database!$A:$C,MATCH($B$1,Database!$A$1:$C$1,),)=0,#N/A,VLOOKUP(Table7[[#This Row],[Date]],Database!$A:$C,MATCH($B$1,Database!$A$1:$C$1,),))</f>
        <v/>
      </c>
      <c r="C3334">
        <f>IF(VLOOKUP(Table7[[#This Row],[Date]],Database!$A:$C,MATCH($C$1,Database!$A$1:$C$1,),)=0,#N/A,VLOOKUP(Table7[[#This Row],[Date]],Database!$A:$C,MATCH($C$1,Database!$A$1:$C$1,),))</f>
        <v/>
      </c>
      <c r="D3334">
        <f>IFERROR(Table7[[#This Row],[United States 10y]]-Table7[[#This Row],[United States 3y]],#N/A)</f>
        <v/>
      </c>
    </row>
    <row r="3335">
      <c r="A3335" s="6">
        <f>Database!$A5420</f>
        <v/>
      </c>
      <c r="B3335">
        <f>IF(VLOOKUP(Table7[[#This Row],[Date]],Database!$A:$C,MATCH($B$1,Database!$A$1:$C$1,),)=0,#N/A,VLOOKUP(Table7[[#This Row],[Date]],Database!$A:$C,MATCH($B$1,Database!$A$1:$C$1,),))</f>
        <v/>
      </c>
      <c r="C3335">
        <f>IF(VLOOKUP(Table7[[#This Row],[Date]],Database!$A:$C,MATCH($C$1,Database!$A$1:$C$1,),)=0,#N/A,VLOOKUP(Table7[[#This Row],[Date]],Database!$A:$C,MATCH($C$1,Database!$A$1:$C$1,),))</f>
        <v/>
      </c>
      <c r="D3335">
        <f>IFERROR(Table7[[#This Row],[United States 10y]]-Table7[[#This Row],[United States 3y]],#N/A)</f>
        <v/>
      </c>
    </row>
    <row r="3336">
      <c r="A3336" s="6">
        <f>Database!$A5421</f>
        <v/>
      </c>
      <c r="B3336">
        <f>IF(VLOOKUP(Table7[[#This Row],[Date]],Database!$A:$C,MATCH($B$1,Database!$A$1:$C$1,),)=0,#N/A,VLOOKUP(Table7[[#This Row],[Date]],Database!$A:$C,MATCH($B$1,Database!$A$1:$C$1,),))</f>
        <v/>
      </c>
      <c r="C3336">
        <f>IF(VLOOKUP(Table7[[#This Row],[Date]],Database!$A:$C,MATCH($C$1,Database!$A$1:$C$1,),)=0,#N/A,VLOOKUP(Table7[[#This Row],[Date]],Database!$A:$C,MATCH($C$1,Database!$A$1:$C$1,),))</f>
        <v/>
      </c>
      <c r="D3336">
        <f>IFERROR(Table7[[#This Row],[United States 10y]]-Table7[[#This Row],[United States 3y]],#N/A)</f>
        <v/>
      </c>
    </row>
    <row r="3337">
      <c r="A3337" s="6">
        <f>Database!$A5422</f>
        <v/>
      </c>
      <c r="B3337">
        <f>IF(VLOOKUP(Table7[[#This Row],[Date]],Database!$A:$C,MATCH($B$1,Database!$A$1:$C$1,),)=0,#N/A,VLOOKUP(Table7[[#This Row],[Date]],Database!$A:$C,MATCH($B$1,Database!$A$1:$C$1,),))</f>
        <v/>
      </c>
      <c r="C3337">
        <f>IF(VLOOKUP(Table7[[#This Row],[Date]],Database!$A:$C,MATCH($C$1,Database!$A$1:$C$1,),)=0,#N/A,VLOOKUP(Table7[[#This Row],[Date]],Database!$A:$C,MATCH($C$1,Database!$A$1:$C$1,),))</f>
        <v/>
      </c>
      <c r="D3337">
        <f>IFERROR(Table7[[#This Row],[United States 10y]]-Table7[[#This Row],[United States 3y]],#N/A)</f>
        <v/>
      </c>
    </row>
    <row r="3338">
      <c r="A3338" s="6">
        <f>Database!$A5423</f>
        <v/>
      </c>
      <c r="B3338">
        <f>IF(VLOOKUP(Table7[[#This Row],[Date]],Database!$A:$C,MATCH($B$1,Database!$A$1:$C$1,),)=0,#N/A,VLOOKUP(Table7[[#This Row],[Date]],Database!$A:$C,MATCH($B$1,Database!$A$1:$C$1,),))</f>
        <v/>
      </c>
      <c r="C3338">
        <f>IF(VLOOKUP(Table7[[#This Row],[Date]],Database!$A:$C,MATCH($C$1,Database!$A$1:$C$1,),)=0,#N/A,VLOOKUP(Table7[[#This Row],[Date]],Database!$A:$C,MATCH($C$1,Database!$A$1:$C$1,),))</f>
        <v/>
      </c>
      <c r="D3338">
        <f>IFERROR(Table7[[#This Row],[United States 10y]]-Table7[[#This Row],[United States 3y]],#N/A)</f>
        <v/>
      </c>
    </row>
    <row r="3339">
      <c r="A3339" s="6">
        <f>Database!$A5424</f>
        <v/>
      </c>
      <c r="B3339">
        <f>IF(VLOOKUP(Table7[[#This Row],[Date]],Database!$A:$C,MATCH($B$1,Database!$A$1:$C$1,),)=0,#N/A,VLOOKUP(Table7[[#This Row],[Date]],Database!$A:$C,MATCH($B$1,Database!$A$1:$C$1,),))</f>
        <v/>
      </c>
      <c r="C3339">
        <f>IF(VLOOKUP(Table7[[#This Row],[Date]],Database!$A:$C,MATCH($C$1,Database!$A$1:$C$1,),)=0,#N/A,VLOOKUP(Table7[[#This Row],[Date]],Database!$A:$C,MATCH($C$1,Database!$A$1:$C$1,),))</f>
        <v/>
      </c>
      <c r="D3339">
        <f>IFERROR(Table7[[#This Row],[United States 10y]]-Table7[[#This Row],[United States 3y]],#N/A)</f>
        <v/>
      </c>
    </row>
    <row r="3340">
      <c r="A3340" s="6">
        <f>Database!$A5425</f>
        <v/>
      </c>
      <c r="B3340">
        <f>IF(VLOOKUP(Table7[[#This Row],[Date]],Database!$A:$C,MATCH($B$1,Database!$A$1:$C$1,),)=0,#N/A,VLOOKUP(Table7[[#This Row],[Date]],Database!$A:$C,MATCH($B$1,Database!$A$1:$C$1,),))</f>
        <v/>
      </c>
      <c r="C3340">
        <f>IF(VLOOKUP(Table7[[#This Row],[Date]],Database!$A:$C,MATCH($C$1,Database!$A$1:$C$1,),)=0,#N/A,VLOOKUP(Table7[[#This Row],[Date]],Database!$A:$C,MATCH($C$1,Database!$A$1:$C$1,),))</f>
        <v/>
      </c>
      <c r="D3340">
        <f>IFERROR(Table7[[#This Row],[United States 10y]]-Table7[[#This Row],[United States 3y]],#N/A)</f>
        <v/>
      </c>
    </row>
    <row r="3341">
      <c r="A3341" s="6">
        <f>Database!$A5426</f>
        <v/>
      </c>
      <c r="B3341">
        <f>IF(VLOOKUP(Table7[[#This Row],[Date]],Database!$A:$C,MATCH($B$1,Database!$A$1:$C$1,),)=0,#N/A,VLOOKUP(Table7[[#This Row],[Date]],Database!$A:$C,MATCH($B$1,Database!$A$1:$C$1,),))</f>
        <v/>
      </c>
      <c r="C3341">
        <f>IF(VLOOKUP(Table7[[#This Row],[Date]],Database!$A:$C,MATCH($C$1,Database!$A$1:$C$1,),)=0,#N/A,VLOOKUP(Table7[[#This Row],[Date]],Database!$A:$C,MATCH($C$1,Database!$A$1:$C$1,),))</f>
        <v/>
      </c>
      <c r="D3341">
        <f>IFERROR(Table7[[#This Row],[United States 10y]]-Table7[[#This Row],[United States 3y]],#N/A)</f>
        <v/>
      </c>
    </row>
    <row r="3342">
      <c r="A3342" s="6">
        <f>Database!$A5427</f>
        <v/>
      </c>
      <c r="B3342">
        <f>IF(VLOOKUP(Table7[[#This Row],[Date]],Database!$A:$C,MATCH($B$1,Database!$A$1:$C$1,),)=0,#N/A,VLOOKUP(Table7[[#This Row],[Date]],Database!$A:$C,MATCH($B$1,Database!$A$1:$C$1,),))</f>
        <v/>
      </c>
      <c r="C3342">
        <f>IF(VLOOKUP(Table7[[#This Row],[Date]],Database!$A:$C,MATCH($C$1,Database!$A$1:$C$1,),)=0,#N/A,VLOOKUP(Table7[[#This Row],[Date]],Database!$A:$C,MATCH($C$1,Database!$A$1:$C$1,),))</f>
        <v/>
      </c>
      <c r="D3342">
        <f>IFERROR(Table7[[#This Row],[United States 10y]]-Table7[[#This Row],[United States 3y]],#N/A)</f>
        <v/>
      </c>
    </row>
    <row r="3343">
      <c r="A3343" s="6">
        <f>Database!$A5428</f>
        <v/>
      </c>
      <c r="B3343">
        <f>IF(VLOOKUP(Table7[[#This Row],[Date]],Database!$A:$C,MATCH($B$1,Database!$A$1:$C$1,),)=0,#N/A,VLOOKUP(Table7[[#This Row],[Date]],Database!$A:$C,MATCH($B$1,Database!$A$1:$C$1,),))</f>
        <v/>
      </c>
      <c r="C3343">
        <f>IF(VLOOKUP(Table7[[#This Row],[Date]],Database!$A:$C,MATCH($C$1,Database!$A$1:$C$1,),)=0,#N/A,VLOOKUP(Table7[[#This Row],[Date]],Database!$A:$C,MATCH($C$1,Database!$A$1:$C$1,),))</f>
        <v/>
      </c>
      <c r="D3343">
        <f>IFERROR(Table7[[#This Row],[United States 10y]]-Table7[[#This Row],[United States 3y]],#N/A)</f>
        <v/>
      </c>
    </row>
    <row r="3344">
      <c r="A3344" s="6">
        <f>Database!$A5429</f>
        <v/>
      </c>
      <c r="B3344">
        <f>IF(VLOOKUP(Table7[[#This Row],[Date]],Database!$A:$C,MATCH($B$1,Database!$A$1:$C$1,),)=0,#N/A,VLOOKUP(Table7[[#This Row],[Date]],Database!$A:$C,MATCH($B$1,Database!$A$1:$C$1,),))</f>
        <v/>
      </c>
      <c r="C3344">
        <f>IF(VLOOKUP(Table7[[#This Row],[Date]],Database!$A:$C,MATCH($C$1,Database!$A$1:$C$1,),)=0,#N/A,VLOOKUP(Table7[[#This Row],[Date]],Database!$A:$C,MATCH($C$1,Database!$A$1:$C$1,),))</f>
        <v/>
      </c>
      <c r="D3344">
        <f>IFERROR(Table7[[#This Row],[United States 10y]]-Table7[[#This Row],[United States 3y]],#N/A)</f>
        <v/>
      </c>
    </row>
    <row r="3345">
      <c r="A3345" s="6">
        <f>Database!$A5430</f>
        <v/>
      </c>
      <c r="B3345">
        <f>IF(VLOOKUP(Table7[[#This Row],[Date]],Database!$A:$C,MATCH($B$1,Database!$A$1:$C$1,),)=0,#N/A,VLOOKUP(Table7[[#This Row],[Date]],Database!$A:$C,MATCH($B$1,Database!$A$1:$C$1,),))</f>
        <v/>
      </c>
      <c r="C3345">
        <f>IF(VLOOKUP(Table7[[#This Row],[Date]],Database!$A:$C,MATCH($C$1,Database!$A$1:$C$1,),)=0,#N/A,VLOOKUP(Table7[[#This Row],[Date]],Database!$A:$C,MATCH($C$1,Database!$A$1:$C$1,),))</f>
        <v/>
      </c>
      <c r="D3345">
        <f>IFERROR(Table7[[#This Row],[United States 10y]]-Table7[[#This Row],[United States 3y]],#N/A)</f>
        <v/>
      </c>
    </row>
    <row r="3346">
      <c r="A3346" s="6">
        <f>Database!$A5431</f>
        <v/>
      </c>
      <c r="B3346">
        <f>IF(VLOOKUP(Table7[[#This Row],[Date]],Database!$A:$C,MATCH($B$1,Database!$A$1:$C$1,),)=0,#N/A,VLOOKUP(Table7[[#This Row],[Date]],Database!$A:$C,MATCH($B$1,Database!$A$1:$C$1,),))</f>
        <v/>
      </c>
      <c r="C3346">
        <f>IF(VLOOKUP(Table7[[#This Row],[Date]],Database!$A:$C,MATCH($C$1,Database!$A$1:$C$1,),)=0,#N/A,VLOOKUP(Table7[[#This Row],[Date]],Database!$A:$C,MATCH($C$1,Database!$A$1:$C$1,),))</f>
        <v/>
      </c>
      <c r="D3346">
        <f>IFERROR(Table7[[#This Row],[United States 10y]]-Table7[[#This Row],[United States 3y]],#N/A)</f>
        <v/>
      </c>
    </row>
    <row r="3347">
      <c r="A3347" s="6">
        <f>Database!$A5432</f>
        <v/>
      </c>
      <c r="B3347">
        <f>IF(VLOOKUP(Table7[[#This Row],[Date]],Database!$A:$C,MATCH($B$1,Database!$A$1:$C$1,),)=0,#N/A,VLOOKUP(Table7[[#This Row],[Date]],Database!$A:$C,MATCH($B$1,Database!$A$1:$C$1,),))</f>
        <v/>
      </c>
      <c r="C3347">
        <f>IF(VLOOKUP(Table7[[#This Row],[Date]],Database!$A:$C,MATCH($C$1,Database!$A$1:$C$1,),)=0,#N/A,VLOOKUP(Table7[[#This Row],[Date]],Database!$A:$C,MATCH($C$1,Database!$A$1:$C$1,),))</f>
        <v/>
      </c>
      <c r="D3347">
        <f>IFERROR(Table7[[#This Row],[United States 10y]]-Table7[[#This Row],[United States 3y]],#N/A)</f>
        <v/>
      </c>
    </row>
    <row r="3348">
      <c r="A3348" s="6">
        <f>Database!$A5433</f>
        <v/>
      </c>
      <c r="B3348">
        <f>IF(VLOOKUP(Table7[[#This Row],[Date]],Database!$A:$C,MATCH($B$1,Database!$A$1:$C$1,),)=0,#N/A,VLOOKUP(Table7[[#This Row],[Date]],Database!$A:$C,MATCH($B$1,Database!$A$1:$C$1,),))</f>
        <v/>
      </c>
      <c r="C3348">
        <f>IF(VLOOKUP(Table7[[#This Row],[Date]],Database!$A:$C,MATCH($C$1,Database!$A$1:$C$1,),)=0,#N/A,VLOOKUP(Table7[[#This Row],[Date]],Database!$A:$C,MATCH($C$1,Database!$A$1:$C$1,),))</f>
        <v/>
      </c>
      <c r="D3348">
        <f>IFERROR(Table7[[#This Row],[United States 10y]]-Table7[[#This Row],[United States 3y]],#N/A)</f>
        <v/>
      </c>
    </row>
    <row r="3349">
      <c r="A3349" s="6">
        <f>Database!$A5434</f>
        <v/>
      </c>
      <c r="B3349">
        <f>IF(VLOOKUP(Table7[[#This Row],[Date]],Database!$A:$C,MATCH($B$1,Database!$A$1:$C$1,),)=0,#N/A,VLOOKUP(Table7[[#This Row],[Date]],Database!$A:$C,MATCH($B$1,Database!$A$1:$C$1,),))</f>
        <v/>
      </c>
      <c r="C3349">
        <f>IF(VLOOKUP(Table7[[#This Row],[Date]],Database!$A:$C,MATCH($C$1,Database!$A$1:$C$1,),)=0,#N/A,VLOOKUP(Table7[[#This Row],[Date]],Database!$A:$C,MATCH($C$1,Database!$A$1:$C$1,),))</f>
        <v/>
      </c>
      <c r="D3349">
        <f>IFERROR(Table7[[#This Row],[United States 10y]]-Table7[[#This Row],[United States 3y]],#N/A)</f>
        <v/>
      </c>
    </row>
    <row r="3350">
      <c r="A3350" s="6">
        <f>Database!$A5435</f>
        <v/>
      </c>
      <c r="B3350">
        <f>IF(VLOOKUP(Table7[[#This Row],[Date]],Database!$A:$C,MATCH($B$1,Database!$A$1:$C$1,),)=0,#N/A,VLOOKUP(Table7[[#This Row],[Date]],Database!$A:$C,MATCH($B$1,Database!$A$1:$C$1,),))</f>
        <v/>
      </c>
      <c r="C3350">
        <f>IF(VLOOKUP(Table7[[#This Row],[Date]],Database!$A:$C,MATCH($C$1,Database!$A$1:$C$1,),)=0,#N/A,VLOOKUP(Table7[[#This Row],[Date]],Database!$A:$C,MATCH($C$1,Database!$A$1:$C$1,),))</f>
        <v/>
      </c>
      <c r="D3350">
        <f>IFERROR(Table7[[#This Row],[United States 10y]]-Table7[[#This Row],[United States 3y]],#N/A)</f>
        <v/>
      </c>
    </row>
    <row r="3351">
      <c r="A3351" s="6">
        <f>Database!$A5436</f>
        <v/>
      </c>
      <c r="B3351">
        <f>IF(VLOOKUP(Table7[[#This Row],[Date]],Database!$A:$C,MATCH($B$1,Database!$A$1:$C$1,),)=0,#N/A,VLOOKUP(Table7[[#This Row],[Date]],Database!$A:$C,MATCH($B$1,Database!$A$1:$C$1,),))</f>
        <v/>
      </c>
      <c r="C3351">
        <f>IF(VLOOKUP(Table7[[#This Row],[Date]],Database!$A:$C,MATCH($C$1,Database!$A$1:$C$1,),)=0,#N/A,VLOOKUP(Table7[[#This Row],[Date]],Database!$A:$C,MATCH($C$1,Database!$A$1:$C$1,),))</f>
        <v/>
      </c>
      <c r="D3351">
        <f>IFERROR(Table7[[#This Row],[United States 10y]]-Table7[[#This Row],[United States 3y]],#N/A)</f>
        <v/>
      </c>
    </row>
    <row r="3352">
      <c r="A3352" s="6">
        <f>Database!$A5437</f>
        <v/>
      </c>
      <c r="B3352">
        <f>IF(VLOOKUP(Table7[[#This Row],[Date]],Database!$A:$C,MATCH($B$1,Database!$A$1:$C$1,),)=0,#N/A,VLOOKUP(Table7[[#This Row],[Date]],Database!$A:$C,MATCH($B$1,Database!$A$1:$C$1,),))</f>
        <v/>
      </c>
      <c r="C3352">
        <f>IF(VLOOKUP(Table7[[#This Row],[Date]],Database!$A:$C,MATCH($C$1,Database!$A$1:$C$1,),)=0,#N/A,VLOOKUP(Table7[[#This Row],[Date]],Database!$A:$C,MATCH($C$1,Database!$A$1:$C$1,),))</f>
        <v/>
      </c>
      <c r="D3352">
        <f>IFERROR(Table7[[#This Row],[United States 10y]]-Table7[[#This Row],[United States 3y]],#N/A)</f>
        <v/>
      </c>
    </row>
    <row r="3353">
      <c r="A3353" s="6">
        <f>Database!$A5438</f>
        <v/>
      </c>
      <c r="B3353">
        <f>IF(VLOOKUP(Table7[[#This Row],[Date]],Database!$A:$C,MATCH($B$1,Database!$A$1:$C$1,),)=0,#N/A,VLOOKUP(Table7[[#This Row],[Date]],Database!$A:$C,MATCH($B$1,Database!$A$1:$C$1,),))</f>
        <v/>
      </c>
      <c r="C3353">
        <f>IF(VLOOKUP(Table7[[#This Row],[Date]],Database!$A:$C,MATCH($C$1,Database!$A$1:$C$1,),)=0,#N/A,VLOOKUP(Table7[[#This Row],[Date]],Database!$A:$C,MATCH($C$1,Database!$A$1:$C$1,),))</f>
        <v/>
      </c>
      <c r="D3353">
        <f>IFERROR(Table7[[#This Row],[United States 10y]]-Table7[[#This Row],[United States 3y]],#N/A)</f>
        <v/>
      </c>
    </row>
    <row r="3354">
      <c r="A3354" s="6">
        <f>Database!$A5439</f>
        <v/>
      </c>
      <c r="B3354">
        <f>IF(VLOOKUP(Table7[[#This Row],[Date]],Database!$A:$C,MATCH($B$1,Database!$A$1:$C$1,),)=0,#N/A,VLOOKUP(Table7[[#This Row],[Date]],Database!$A:$C,MATCH($B$1,Database!$A$1:$C$1,),))</f>
        <v/>
      </c>
      <c r="C3354">
        <f>IF(VLOOKUP(Table7[[#This Row],[Date]],Database!$A:$C,MATCH($C$1,Database!$A$1:$C$1,),)=0,#N/A,VLOOKUP(Table7[[#This Row],[Date]],Database!$A:$C,MATCH($C$1,Database!$A$1:$C$1,),))</f>
        <v/>
      </c>
      <c r="D3354">
        <f>IFERROR(Table7[[#This Row],[United States 10y]]-Table7[[#This Row],[United States 3y]],#N/A)</f>
        <v/>
      </c>
    </row>
    <row r="3355">
      <c r="A3355" s="6">
        <f>Database!$A5440</f>
        <v/>
      </c>
      <c r="B3355">
        <f>IF(VLOOKUP(Table7[[#This Row],[Date]],Database!$A:$C,MATCH($B$1,Database!$A$1:$C$1,),)=0,#N/A,VLOOKUP(Table7[[#This Row],[Date]],Database!$A:$C,MATCH($B$1,Database!$A$1:$C$1,),))</f>
        <v/>
      </c>
      <c r="C3355">
        <f>IF(VLOOKUP(Table7[[#This Row],[Date]],Database!$A:$C,MATCH($C$1,Database!$A$1:$C$1,),)=0,#N/A,VLOOKUP(Table7[[#This Row],[Date]],Database!$A:$C,MATCH($C$1,Database!$A$1:$C$1,),))</f>
        <v/>
      </c>
      <c r="D3355">
        <f>IFERROR(Table7[[#This Row],[United States 10y]]-Table7[[#This Row],[United States 3y]],#N/A)</f>
        <v/>
      </c>
    </row>
    <row r="3356">
      <c r="A3356" s="6">
        <f>Database!$A5441</f>
        <v/>
      </c>
      <c r="B3356">
        <f>IF(VLOOKUP(Table7[[#This Row],[Date]],Database!$A:$C,MATCH($B$1,Database!$A$1:$C$1,),)=0,#N/A,VLOOKUP(Table7[[#This Row],[Date]],Database!$A:$C,MATCH($B$1,Database!$A$1:$C$1,),))</f>
        <v/>
      </c>
      <c r="C3356">
        <f>IF(VLOOKUP(Table7[[#This Row],[Date]],Database!$A:$C,MATCH($C$1,Database!$A$1:$C$1,),)=0,#N/A,VLOOKUP(Table7[[#This Row],[Date]],Database!$A:$C,MATCH($C$1,Database!$A$1:$C$1,),))</f>
        <v/>
      </c>
      <c r="D3356">
        <f>IFERROR(Table7[[#This Row],[United States 10y]]-Table7[[#This Row],[United States 3y]],#N/A)</f>
        <v/>
      </c>
    </row>
    <row r="3357">
      <c r="A3357" s="6">
        <f>Database!$A5442</f>
        <v/>
      </c>
      <c r="B3357">
        <f>IF(VLOOKUP(Table7[[#This Row],[Date]],Database!$A:$C,MATCH($B$1,Database!$A$1:$C$1,),)=0,#N/A,VLOOKUP(Table7[[#This Row],[Date]],Database!$A:$C,MATCH($B$1,Database!$A$1:$C$1,),))</f>
        <v/>
      </c>
      <c r="C3357">
        <f>IF(VLOOKUP(Table7[[#This Row],[Date]],Database!$A:$C,MATCH($C$1,Database!$A$1:$C$1,),)=0,#N/A,VLOOKUP(Table7[[#This Row],[Date]],Database!$A:$C,MATCH($C$1,Database!$A$1:$C$1,),))</f>
        <v/>
      </c>
      <c r="D3357">
        <f>IFERROR(Table7[[#This Row],[United States 10y]]-Table7[[#This Row],[United States 3y]],#N/A)</f>
        <v/>
      </c>
    </row>
    <row r="3358">
      <c r="A3358" s="6">
        <f>Database!$A5443</f>
        <v/>
      </c>
      <c r="B3358">
        <f>IF(VLOOKUP(Table7[[#This Row],[Date]],Database!$A:$C,MATCH($B$1,Database!$A$1:$C$1,),)=0,#N/A,VLOOKUP(Table7[[#This Row],[Date]],Database!$A:$C,MATCH($B$1,Database!$A$1:$C$1,),))</f>
        <v/>
      </c>
      <c r="C3358">
        <f>IF(VLOOKUP(Table7[[#This Row],[Date]],Database!$A:$C,MATCH($C$1,Database!$A$1:$C$1,),)=0,#N/A,VLOOKUP(Table7[[#This Row],[Date]],Database!$A:$C,MATCH($C$1,Database!$A$1:$C$1,),))</f>
        <v/>
      </c>
      <c r="D3358">
        <f>IFERROR(Table7[[#This Row],[United States 10y]]-Table7[[#This Row],[United States 3y]],#N/A)</f>
        <v/>
      </c>
    </row>
    <row r="3359">
      <c r="A3359" s="6">
        <f>Database!$A5444</f>
        <v/>
      </c>
      <c r="B3359">
        <f>IF(VLOOKUP(Table7[[#This Row],[Date]],Database!$A:$C,MATCH($B$1,Database!$A$1:$C$1,),)=0,#N/A,VLOOKUP(Table7[[#This Row],[Date]],Database!$A:$C,MATCH($B$1,Database!$A$1:$C$1,),))</f>
        <v/>
      </c>
      <c r="C3359">
        <f>IF(VLOOKUP(Table7[[#This Row],[Date]],Database!$A:$C,MATCH($C$1,Database!$A$1:$C$1,),)=0,#N/A,VLOOKUP(Table7[[#This Row],[Date]],Database!$A:$C,MATCH($C$1,Database!$A$1:$C$1,),))</f>
        <v/>
      </c>
      <c r="D3359">
        <f>IFERROR(Table7[[#This Row],[United States 10y]]-Table7[[#This Row],[United States 3y]],#N/A)</f>
        <v/>
      </c>
    </row>
    <row r="3360">
      <c r="A3360" s="6">
        <f>Database!$A5445</f>
        <v/>
      </c>
      <c r="B3360">
        <f>IF(VLOOKUP(Table7[[#This Row],[Date]],Database!$A:$C,MATCH($B$1,Database!$A$1:$C$1,),)=0,#N/A,VLOOKUP(Table7[[#This Row],[Date]],Database!$A:$C,MATCH($B$1,Database!$A$1:$C$1,),))</f>
        <v/>
      </c>
      <c r="C3360">
        <f>IF(VLOOKUP(Table7[[#This Row],[Date]],Database!$A:$C,MATCH($C$1,Database!$A$1:$C$1,),)=0,#N/A,VLOOKUP(Table7[[#This Row],[Date]],Database!$A:$C,MATCH($C$1,Database!$A$1:$C$1,),))</f>
        <v/>
      </c>
      <c r="D3360">
        <f>IFERROR(Table7[[#This Row],[United States 10y]]-Table7[[#This Row],[United States 3y]],#N/A)</f>
        <v/>
      </c>
    </row>
    <row r="3361">
      <c r="A3361" s="6">
        <f>Database!$A5446</f>
        <v/>
      </c>
      <c r="B3361">
        <f>IF(VLOOKUP(Table7[[#This Row],[Date]],Database!$A:$C,MATCH($B$1,Database!$A$1:$C$1,),)=0,#N/A,VLOOKUP(Table7[[#This Row],[Date]],Database!$A:$C,MATCH($B$1,Database!$A$1:$C$1,),))</f>
        <v/>
      </c>
      <c r="C3361">
        <f>IF(VLOOKUP(Table7[[#This Row],[Date]],Database!$A:$C,MATCH($C$1,Database!$A$1:$C$1,),)=0,#N/A,VLOOKUP(Table7[[#This Row],[Date]],Database!$A:$C,MATCH($C$1,Database!$A$1:$C$1,),))</f>
        <v/>
      </c>
      <c r="D3361">
        <f>IFERROR(Table7[[#This Row],[United States 10y]]-Table7[[#This Row],[United States 3y]],#N/A)</f>
        <v/>
      </c>
    </row>
    <row r="3362">
      <c r="A3362" s="6">
        <f>Database!$A5447</f>
        <v/>
      </c>
      <c r="B3362">
        <f>IF(VLOOKUP(Table7[[#This Row],[Date]],Database!$A:$C,MATCH($B$1,Database!$A$1:$C$1,),)=0,#N/A,VLOOKUP(Table7[[#This Row],[Date]],Database!$A:$C,MATCH($B$1,Database!$A$1:$C$1,),))</f>
        <v/>
      </c>
      <c r="C3362">
        <f>IF(VLOOKUP(Table7[[#This Row],[Date]],Database!$A:$C,MATCH($C$1,Database!$A$1:$C$1,),)=0,#N/A,VLOOKUP(Table7[[#This Row],[Date]],Database!$A:$C,MATCH($C$1,Database!$A$1:$C$1,),))</f>
        <v/>
      </c>
      <c r="D3362">
        <f>IFERROR(Table7[[#This Row],[United States 10y]]-Table7[[#This Row],[United States 3y]],#N/A)</f>
        <v/>
      </c>
    </row>
    <row r="3363">
      <c r="A3363" s="6">
        <f>Database!$A5448</f>
        <v/>
      </c>
      <c r="B3363">
        <f>IF(VLOOKUP(Table7[[#This Row],[Date]],Database!$A:$C,MATCH($B$1,Database!$A$1:$C$1,),)=0,#N/A,VLOOKUP(Table7[[#This Row],[Date]],Database!$A:$C,MATCH($B$1,Database!$A$1:$C$1,),))</f>
        <v/>
      </c>
      <c r="C3363">
        <f>IF(VLOOKUP(Table7[[#This Row],[Date]],Database!$A:$C,MATCH($C$1,Database!$A$1:$C$1,),)=0,#N/A,VLOOKUP(Table7[[#This Row],[Date]],Database!$A:$C,MATCH($C$1,Database!$A$1:$C$1,),))</f>
        <v/>
      </c>
      <c r="D3363">
        <f>IFERROR(Table7[[#This Row],[United States 10y]]-Table7[[#This Row],[United States 3y]],#N/A)</f>
        <v/>
      </c>
    </row>
    <row r="3364">
      <c r="A3364" s="6">
        <f>Database!$A5449</f>
        <v/>
      </c>
      <c r="B3364">
        <f>IF(VLOOKUP(Table7[[#This Row],[Date]],Database!$A:$C,MATCH($B$1,Database!$A$1:$C$1,),)=0,#N/A,VLOOKUP(Table7[[#This Row],[Date]],Database!$A:$C,MATCH($B$1,Database!$A$1:$C$1,),))</f>
        <v/>
      </c>
      <c r="C3364">
        <f>IF(VLOOKUP(Table7[[#This Row],[Date]],Database!$A:$C,MATCH($C$1,Database!$A$1:$C$1,),)=0,#N/A,VLOOKUP(Table7[[#This Row],[Date]],Database!$A:$C,MATCH($C$1,Database!$A$1:$C$1,),))</f>
        <v/>
      </c>
      <c r="D3364">
        <f>IFERROR(Table7[[#This Row],[United States 10y]]-Table7[[#This Row],[United States 3y]],#N/A)</f>
        <v/>
      </c>
    </row>
    <row r="3365">
      <c r="A3365" s="6">
        <f>Database!$A5450</f>
        <v/>
      </c>
      <c r="B3365">
        <f>IF(VLOOKUP(Table7[[#This Row],[Date]],Database!$A:$C,MATCH($B$1,Database!$A$1:$C$1,),)=0,#N/A,VLOOKUP(Table7[[#This Row],[Date]],Database!$A:$C,MATCH($B$1,Database!$A$1:$C$1,),))</f>
        <v/>
      </c>
      <c r="C3365">
        <f>IF(VLOOKUP(Table7[[#This Row],[Date]],Database!$A:$C,MATCH($C$1,Database!$A$1:$C$1,),)=0,#N/A,VLOOKUP(Table7[[#This Row],[Date]],Database!$A:$C,MATCH($C$1,Database!$A$1:$C$1,),))</f>
        <v/>
      </c>
      <c r="D3365">
        <f>IFERROR(Table7[[#This Row],[United States 10y]]-Table7[[#This Row],[United States 3y]],#N/A)</f>
        <v/>
      </c>
    </row>
    <row r="3366">
      <c r="A3366" s="6">
        <f>Database!$A5451</f>
        <v/>
      </c>
      <c r="B3366">
        <f>IF(VLOOKUP(Table7[[#This Row],[Date]],Database!$A:$C,MATCH($B$1,Database!$A$1:$C$1,),)=0,#N/A,VLOOKUP(Table7[[#This Row],[Date]],Database!$A:$C,MATCH($B$1,Database!$A$1:$C$1,),))</f>
        <v/>
      </c>
      <c r="C3366">
        <f>IF(VLOOKUP(Table7[[#This Row],[Date]],Database!$A:$C,MATCH($C$1,Database!$A$1:$C$1,),)=0,#N/A,VLOOKUP(Table7[[#This Row],[Date]],Database!$A:$C,MATCH($C$1,Database!$A$1:$C$1,),))</f>
        <v/>
      </c>
      <c r="D3366">
        <f>IFERROR(Table7[[#This Row],[United States 10y]]-Table7[[#This Row],[United States 3y]],#N/A)</f>
        <v/>
      </c>
    </row>
    <row r="3367">
      <c r="A3367" s="6">
        <f>Database!$A5452</f>
        <v/>
      </c>
      <c r="B3367">
        <f>IF(VLOOKUP(Table7[[#This Row],[Date]],Database!$A:$C,MATCH($B$1,Database!$A$1:$C$1,),)=0,#N/A,VLOOKUP(Table7[[#This Row],[Date]],Database!$A:$C,MATCH($B$1,Database!$A$1:$C$1,),))</f>
        <v/>
      </c>
      <c r="C3367">
        <f>IF(VLOOKUP(Table7[[#This Row],[Date]],Database!$A:$C,MATCH($C$1,Database!$A$1:$C$1,),)=0,#N/A,VLOOKUP(Table7[[#This Row],[Date]],Database!$A:$C,MATCH($C$1,Database!$A$1:$C$1,),))</f>
        <v/>
      </c>
      <c r="D3367">
        <f>IFERROR(Table7[[#This Row],[United States 10y]]-Table7[[#This Row],[United States 3y]],#N/A)</f>
        <v/>
      </c>
    </row>
    <row r="3368">
      <c r="A3368" s="6">
        <f>Database!$A5453</f>
        <v/>
      </c>
      <c r="B3368">
        <f>IF(VLOOKUP(Table7[[#This Row],[Date]],Database!$A:$C,MATCH($B$1,Database!$A$1:$C$1,),)=0,#N/A,VLOOKUP(Table7[[#This Row],[Date]],Database!$A:$C,MATCH($B$1,Database!$A$1:$C$1,),))</f>
        <v/>
      </c>
      <c r="C3368">
        <f>IF(VLOOKUP(Table7[[#This Row],[Date]],Database!$A:$C,MATCH($C$1,Database!$A$1:$C$1,),)=0,#N/A,VLOOKUP(Table7[[#This Row],[Date]],Database!$A:$C,MATCH($C$1,Database!$A$1:$C$1,),))</f>
        <v/>
      </c>
      <c r="D3368">
        <f>IFERROR(Table7[[#This Row],[United States 10y]]-Table7[[#This Row],[United States 3y]],#N/A)</f>
        <v/>
      </c>
    </row>
    <row r="3369">
      <c r="A3369" s="6">
        <f>Database!$A5454</f>
        <v/>
      </c>
      <c r="B3369">
        <f>IF(VLOOKUP(Table7[[#This Row],[Date]],Database!$A:$C,MATCH($B$1,Database!$A$1:$C$1,),)=0,#N/A,VLOOKUP(Table7[[#This Row],[Date]],Database!$A:$C,MATCH($B$1,Database!$A$1:$C$1,),))</f>
        <v/>
      </c>
      <c r="C3369">
        <f>IF(VLOOKUP(Table7[[#This Row],[Date]],Database!$A:$C,MATCH($C$1,Database!$A$1:$C$1,),)=0,#N/A,VLOOKUP(Table7[[#This Row],[Date]],Database!$A:$C,MATCH($C$1,Database!$A$1:$C$1,),))</f>
        <v/>
      </c>
      <c r="D3369">
        <f>IFERROR(Table7[[#This Row],[United States 10y]]-Table7[[#This Row],[United States 3y]],#N/A)</f>
        <v/>
      </c>
    </row>
    <row r="3370">
      <c r="A3370" s="6">
        <f>Database!$A5455</f>
        <v/>
      </c>
      <c r="B3370">
        <f>IF(VLOOKUP(Table7[[#This Row],[Date]],Database!$A:$C,MATCH($B$1,Database!$A$1:$C$1,),)=0,#N/A,VLOOKUP(Table7[[#This Row],[Date]],Database!$A:$C,MATCH($B$1,Database!$A$1:$C$1,),))</f>
        <v/>
      </c>
      <c r="C3370">
        <f>IF(VLOOKUP(Table7[[#This Row],[Date]],Database!$A:$C,MATCH($C$1,Database!$A$1:$C$1,),)=0,#N/A,VLOOKUP(Table7[[#This Row],[Date]],Database!$A:$C,MATCH($C$1,Database!$A$1:$C$1,),))</f>
        <v/>
      </c>
      <c r="D3370">
        <f>IFERROR(Table7[[#This Row],[United States 10y]]-Table7[[#This Row],[United States 3y]],#N/A)</f>
        <v/>
      </c>
    </row>
    <row r="3371">
      <c r="A3371" s="6">
        <f>Database!$A5456</f>
        <v/>
      </c>
      <c r="B3371">
        <f>IF(VLOOKUP(Table7[[#This Row],[Date]],Database!$A:$C,MATCH($B$1,Database!$A$1:$C$1,),)=0,#N/A,VLOOKUP(Table7[[#This Row],[Date]],Database!$A:$C,MATCH($B$1,Database!$A$1:$C$1,),))</f>
        <v/>
      </c>
      <c r="C3371">
        <f>IF(VLOOKUP(Table7[[#This Row],[Date]],Database!$A:$C,MATCH($C$1,Database!$A$1:$C$1,),)=0,#N/A,VLOOKUP(Table7[[#This Row],[Date]],Database!$A:$C,MATCH($C$1,Database!$A$1:$C$1,),))</f>
        <v/>
      </c>
      <c r="D3371">
        <f>IFERROR(Table7[[#This Row],[United States 10y]]-Table7[[#This Row],[United States 3y]],#N/A)</f>
        <v/>
      </c>
    </row>
    <row r="3372">
      <c r="A3372" s="6">
        <f>Database!$A5457</f>
        <v/>
      </c>
      <c r="B3372">
        <f>IF(VLOOKUP(Table7[[#This Row],[Date]],Database!$A:$C,MATCH($B$1,Database!$A$1:$C$1,),)=0,#N/A,VLOOKUP(Table7[[#This Row],[Date]],Database!$A:$C,MATCH($B$1,Database!$A$1:$C$1,),))</f>
        <v/>
      </c>
      <c r="C3372">
        <f>IF(VLOOKUP(Table7[[#This Row],[Date]],Database!$A:$C,MATCH($C$1,Database!$A$1:$C$1,),)=0,#N/A,VLOOKUP(Table7[[#This Row],[Date]],Database!$A:$C,MATCH($C$1,Database!$A$1:$C$1,),))</f>
        <v/>
      </c>
      <c r="D3372">
        <f>IFERROR(Table7[[#This Row],[United States 10y]]-Table7[[#This Row],[United States 3y]],#N/A)</f>
        <v/>
      </c>
    </row>
    <row r="3373">
      <c r="A3373" s="6">
        <f>Database!$A5458</f>
        <v/>
      </c>
      <c r="B3373">
        <f>IF(VLOOKUP(Table7[[#This Row],[Date]],Database!$A:$C,MATCH($B$1,Database!$A$1:$C$1,),)=0,#N/A,VLOOKUP(Table7[[#This Row],[Date]],Database!$A:$C,MATCH($B$1,Database!$A$1:$C$1,),))</f>
        <v/>
      </c>
      <c r="C3373">
        <f>IF(VLOOKUP(Table7[[#This Row],[Date]],Database!$A:$C,MATCH($C$1,Database!$A$1:$C$1,),)=0,#N/A,VLOOKUP(Table7[[#This Row],[Date]],Database!$A:$C,MATCH($C$1,Database!$A$1:$C$1,),))</f>
        <v/>
      </c>
      <c r="D3373">
        <f>IFERROR(Table7[[#This Row],[United States 10y]]-Table7[[#This Row],[United States 3y]],#N/A)</f>
        <v/>
      </c>
    </row>
    <row r="3374">
      <c r="A3374" s="6">
        <f>Database!$A5459</f>
        <v/>
      </c>
      <c r="B3374">
        <f>IF(VLOOKUP(Table7[[#This Row],[Date]],Database!$A:$C,MATCH($B$1,Database!$A$1:$C$1,),)=0,#N/A,VLOOKUP(Table7[[#This Row],[Date]],Database!$A:$C,MATCH($B$1,Database!$A$1:$C$1,),))</f>
        <v/>
      </c>
      <c r="C3374">
        <f>IF(VLOOKUP(Table7[[#This Row],[Date]],Database!$A:$C,MATCH($C$1,Database!$A$1:$C$1,),)=0,#N/A,VLOOKUP(Table7[[#This Row],[Date]],Database!$A:$C,MATCH($C$1,Database!$A$1:$C$1,),))</f>
        <v/>
      </c>
      <c r="D3374">
        <f>IFERROR(Table7[[#This Row],[United States 10y]]-Table7[[#This Row],[United States 3y]],#N/A)</f>
        <v/>
      </c>
    </row>
    <row r="3375">
      <c r="A3375" s="6">
        <f>Database!$A5460</f>
        <v/>
      </c>
      <c r="B3375">
        <f>IF(VLOOKUP(Table7[[#This Row],[Date]],Database!$A:$C,MATCH($B$1,Database!$A$1:$C$1,),)=0,#N/A,VLOOKUP(Table7[[#This Row],[Date]],Database!$A:$C,MATCH($B$1,Database!$A$1:$C$1,),))</f>
        <v/>
      </c>
      <c r="C3375">
        <f>IF(VLOOKUP(Table7[[#This Row],[Date]],Database!$A:$C,MATCH($C$1,Database!$A$1:$C$1,),)=0,#N/A,VLOOKUP(Table7[[#This Row],[Date]],Database!$A:$C,MATCH($C$1,Database!$A$1:$C$1,),))</f>
        <v/>
      </c>
      <c r="D3375">
        <f>IFERROR(Table7[[#This Row],[United States 10y]]-Table7[[#This Row],[United States 3y]],#N/A)</f>
        <v/>
      </c>
    </row>
    <row r="3376">
      <c r="A3376" s="6">
        <f>Database!$A5461</f>
        <v/>
      </c>
      <c r="B3376">
        <f>IF(VLOOKUP(Table7[[#This Row],[Date]],Database!$A:$C,MATCH($B$1,Database!$A$1:$C$1,),)=0,#N/A,VLOOKUP(Table7[[#This Row],[Date]],Database!$A:$C,MATCH($B$1,Database!$A$1:$C$1,),))</f>
        <v/>
      </c>
      <c r="C3376">
        <f>IF(VLOOKUP(Table7[[#This Row],[Date]],Database!$A:$C,MATCH($C$1,Database!$A$1:$C$1,),)=0,#N/A,VLOOKUP(Table7[[#This Row],[Date]],Database!$A:$C,MATCH($C$1,Database!$A$1:$C$1,),))</f>
        <v/>
      </c>
      <c r="D3376">
        <f>IFERROR(Table7[[#This Row],[United States 10y]]-Table7[[#This Row],[United States 3y]],#N/A)</f>
        <v/>
      </c>
    </row>
    <row r="3377">
      <c r="A3377" s="6">
        <f>Database!$A5462</f>
        <v/>
      </c>
      <c r="B3377">
        <f>IF(VLOOKUP(Table7[[#This Row],[Date]],Database!$A:$C,MATCH($B$1,Database!$A$1:$C$1,),)=0,#N/A,VLOOKUP(Table7[[#This Row],[Date]],Database!$A:$C,MATCH($B$1,Database!$A$1:$C$1,),))</f>
        <v/>
      </c>
      <c r="C3377">
        <f>IF(VLOOKUP(Table7[[#This Row],[Date]],Database!$A:$C,MATCH($C$1,Database!$A$1:$C$1,),)=0,#N/A,VLOOKUP(Table7[[#This Row],[Date]],Database!$A:$C,MATCH($C$1,Database!$A$1:$C$1,),))</f>
        <v/>
      </c>
      <c r="D3377">
        <f>IFERROR(Table7[[#This Row],[United States 10y]]-Table7[[#This Row],[United States 3y]],#N/A)</f>
        <v/>
      </c>
    </row>
    <row r="3378">
      <c r="A3378" s="6">
        <f>Database!$A5463</f>
        <v/>
      </c>
      <c r="B3378">
        <f>IF(VLOOKUP(Table7[[#This Row],[Date]],Database!$A:$C,MATCH($B$1,Database!$A$1:$C$1,),)=0,#N/A,VLOOKUP(Table7[[#This Row],[Date]],Database!$A:$C,MATCH($B$1,Database!$A$1:$C$1,),))</f>
        <v/>
      </c>
      <c r="C3378">
        <f>IF(VLOOKUP(Table7[[#This Row],[Date]],Database!$A:$C,MATCH($C$1,Database!$A$1:$C$1,),)=0,#N/A,VLOOKUP(Table7[[#This Row],[Date]],Database!$A:$C,MATCH($C$1,Database!$A$1:$C$1,),))</f>
        <v/>
      </c>
      <c r="D3378">
        <f>IFERROR(Table7[[#This Row],[United States 10y]]-Table7[[#This Row],[United States 3y]],#N/A)</f>
        <v/>
      </c>
    </row>
    <row r="3379">
      <c r="A3379" s="6">
        <f>Database!$A5464</f>
        <v/>
      </c>
      <c r="B3379">
        <f>IF(VLOOKUP(Table7[[#This Row],[Date]],Database!$A:$C,MATCH($B$1,Database!$A$1:$C$1,),)=0,#N/A,VLOOKUP(Table7[[#This Row],[Date]],Database!$A:$C,MATCH($B$1,Database!$A$1:$C$1,),))</f>
        <v/>
      </c>
      <c r="C3379">
        <f>IF(VLOOKUP(Table7[[#This Row],[Date]],Database!$A:$C,MATCH($C$1,Database!$A$1:$C$1,),)=0,#N/A,VLOOKUP(Table7[[#This Row],[Date]],Database!$A:$C,MATCH($C$1,Database!$A$1:$C$1,),))</f>
        <v/>
      </c>
      <c r="D3379">
        <f>IFERROR(Table7[[#This Row],[United States 10y]]-Table7[[#This Row],[United States 3y]],#N/A)</f>
        <v/>
      </c>
    </row>
    <row r="3380">
      <c r="A3380" s="6">
        <f>Database!$A5465</f>
        <v/>
      </c>
      <c r="B3380">
        <f>IF(VLOOKUP(Table7[[#This Row],[Date]],Database!$A:$C,MATCH($B$1,Database!$A$1:$C$1,),)=0,#N/A,VLOOKUP(Table7[[#This Row],[Date]],Database!$A:$C,MATCH($B$1,Database!$A$1:$C$1,),))</f>
        <v/>
      </c>
      <c r="C3380">
        <f>IF(VLOOKUP(Table7[[#This Row],[Date]],Database!$A:$C,MATCH($C$1,Database!$A$1:$C$1,),)=0,#N/A,VLOOKUP(Table7[[#This Row],[Date]],Database!$A:$C,MATCH($C$1,Database!$A$1:$C$1,),))</f>
        <v/>
      </c>
      <c r="D3380">
        <f>IFERROR(Table7[[#This Row],[United States 10y]]-Table7[[#This Row],[United States 3y]],#N/A)</f>
        <v/>
      </c>
    </row>
    <row r="3381">
      <c r="A3381" s="6">
        <f>Database!$A5466</f>
        <v/>
      </c>
      <c r="B3381">
        <f>IF(VLOOKUP(Table7[[#This Row],[Date]],Database!$A:$C,MATCH($B$1,Database!$A$1:$C$1,),)=0,#N/A,VLOOKUP(Table7[[#This Row],[Date]],Database!$A:$C,MATCH($B$1,Database!$A$1:$C$1,),))</f>
        <v/>
      </c>
      <c r="C3381">
        <f>IF(VLOOKUP(Table7[[#This Row],[Date]],Database!$A:$C,MATCH($C$1,Database!$A$1:$C$1,),)=0,#N/A,VLOOKUP(Table7[[#This Row],[Date]],Database!$A:$C,MATCH($C$1,Database!$A$1:$C$1,),))</f>
        <v/>
      </c>
      <c r="D3381">
        <f>IFERROR(Table7[[#This Row],[United States 10y]]-Table7[[#This Row],[United States 3y]],#N/A)</f>
        <v/>
      </c>
    </row>
    <row r="3382">
      <c r="A3382" s="6">
        <f>Database!$A5467</f>
        <v/>
      </c>
      <c r="B3382">
        <f>IF(VLOOKUP(Table7[[#This Row],[Date]],Database!$A:$C,MATCH($B$1,Database!$A$1:$C$1,),)=0,#N/A,VLOOKUP(Table7[[#This Row],[Date]],Database!$A:$C,MATCH($B$1,Database!$A$1:$C$1,),))</f>
        <v/>
      </c>
      <c r="C3382">
        <f>IF(VLOOKUP(Table7[[#This Row],[Date]],Database!$A:$C,MATCH($C$1,Database!$A$1:$C$1,),)=0,#N/A,VLOOKUP(Table7[[#This Row],[Date]],Database!$A:$C,MATCH($C$1,Database!$A$1:$C$1,),))</f>
        <v/>
      </c>
      <c r="D3382">
        <f>IFERROR(Table7[[#This Row],[United States 10y]]-Table7[[#This Row],[United States 3y]],#N/A)</f>
        <v/>
      </c>
    </row>
    <row r="3383">
      <c r="A3383" s="6">
        <f>Database!$A5468</f>
        <v/>
      </c>
      <c r="B3383">
        <f>IF(VLOOKUP(Table7[[#This Row],[Date]],Database!$A:$C,MATCH($B$1,Database!$A$1:$C$1,),)=0,#N/A,VLOOKUP(Table7[[#This Row],[Date]],Database!$A:$C,MATCH($B$1,Database!$A$1:$C$1,),))</f>
        <v/>
      </c>
      <c r="C3383">
        <f>IF(VLOOKUP(Table7[[#This Row],[Date]],Database!$A:$C,MATCH($C$1,Database!$A$1:$C$1,),)=0,#N/A,VLOOKUP(Table7[[#This Row],[Date]],Database!$A:$C,MATCH($C$1,Database!$A$1:$C$1,),))</f>
        <v/>
      </c>
      <c r="D3383">
        <f>IFERROR(Table7[[#This Row],[United States 10y]]-Table7[[#This Row],[United States 3y]],#N/A)</f>
        <v/>
      </c>
    </row>
    <row r="3384">
      <c r="A3384" s="6">
        <f>Database!$A5469</f>
        <v/>
      </c>
      <c r="B3384">
        <f>IF(VLOOKUP(Table7[[#This Row],[Date]],Database!$A:$C,MATCH($B$1,Database!$A$1:$C$1,),)=0,#N/A,VLOOKUP(Table7[[#This Row],[Date]],Database!$A:$C,MATCH($B$1,Database!$A$1:$C$1,),))</f>
        <v/>
      </c>
      <c r="C3384">
        <f>IF(VLOOKUP(Table7[[#This Row],[Date]],Database!$A:$C,MATCH($C$1,Database!$A$1:$C$1,),)=0,#N/A,VLOOKUP(Table7[[#This Row],[Date]],Database!$A:$C,MATCH($C$1,Database!$A$1:$C$1,),))</f>
        <v/>
      </c>
      <c r="D3384">
        <f>IFERROR(Table7[[#This Row],[United States 10y]]-Table7[[#This Row],[United States 3y]],#N/A)</f>
        <v/>
      </c>
    </row>
    <row r="3385">
      <c r="A3385" s="6">
        <f>Database!$A5470</f>
        <v/>
      </c>
      <c r="B3385">
        <f>IF(VLOOKUP(Table7[[#This Row],[Date]],Database!$A:$C,MATCH($B$1,Database!$A$1:$C$1,),)=0,#N/A,VLOOKUP(Table7[[#This Row],[Date]],Database!$A:$C,MATCH($B$1,Database!$A$1:$C$1,),))</f>
        <v/>
      </c>
      <c r="C3385">
        <f>IF(VLOOKUP(Table7[[#This Row],[Date]],Database!$A:$C,MATCH($C$1,Database!$A$1:$C$1,),)=0,#N/A,VLOOKUP(Table7[[#This Row],[Date]],Database!$A:$C,MATCH($C$1,Database!$A$1:$C$1,),))</f>
        <v/>
      </c>
      <c r="D3385">
        <f>IFERROR(Table7[[#This Row],[United States 10y]]-Table7[[#This Row],[United States 3y]],#N/A)</f>
        <v/>
      </c>
    </row>
    <row r="3386">
      <c r="A3386" s="6">
        <f>Database!$A5471</f>
        <v/>
      </c>
      <c r="B3386">
        <f>IF(VLOOKUP(Table7[[#This Row],[Date]],Database!$A:$C,MATCH($B$1,Database!$A$1:$C$1,),)=0,#N/A,VLOOKUP(Table7[[#This Row],[Date]],Database!$A:$C,MATCH($B$1,Database!$A$1:$C$1,),))</f>
        <v/>
      </c>
      <c r="C3386">
        <f>IF(VLOOKUP(Table7[[#This Row],[Date]],Database!$A:$C,MATCH($C$1,Database!$A$1:$C$1,),)=0,#N/A,VLOOKUP(Table7[[#This Row],[Date]],Database!$A:$C,MATCH($C$1,Database!$A$1:$C$1,),))</f>
        <v/>
      </c>
      <c r="D3386">
        <f>IFERROR(Table7[[#This Row],[United States 10y]]-Table7[[#This Row],[United States 3y]],#N/A)</f>
        <v/>
      </c>
    </row>
    <row r="3387">
      <c r="A3387" s="6">
        <f>Database!$A5472</f>
        <v/>
      </c>
      <c r="B3387">
        <f>IF(VLOOKUP(Table7[[#This Row],[Date]],Database!$A:$C,MATCH($B$1,Database!$A$1:$C$1,),)=0,#N/A,VLOOKUP(Table7[[#This Row],[Date]],Database!$A:$C,MATCH($B$1,Database!$A$1:$C$1,),))</f>
        <v/>
      </c>
      <c r="C3387">
        <f>IF(VLOOKUP(Table7[[#This Row],[Date]],Database!$A:$C,MATCH($C$1,Database!$A$1:$C$1,),)=0,#N/A,VLOOKUP(Table7[[#This Row],[Date]],Database!$A:$C,MATCH($C$1,Database!$A$1:$C$1,),))</f>
        <v/>
      </c>
      <c r="D3387">
        <f>IFERROR(Table7[[#This Row],[United States 10y]]-Table7[[#This Row],[United States 3y]],#N/A)</f>
        <v/>
      </c>
    </row>
    <row r="3388">
      <c r="A3388" s="6">
        <f>Database!$A5473</f>
        <v/>
      </c>
      <c r="B3388">
        <f>IF(VLOOKUP(Table7[[#This Row],[Date]],Database!$A:$C,MATCH($B$1,Database!$A$1:$C$1,),)=0,#N/A,VLOOKUP(Table7[[#This Row],[Date]],Database!$A:$C,MATCH($B$1,Database!$A$1:$C$1,),))</f>
        <v/>
      </c>
      <c r="C3388">
        <f>IF(VLOOKUP(Table7[[#This Row],[Date]],Database!$A:$C,MATCH($C$1,Database!$A$1:$C$1,),)=0,#N/A,VLOOKUP(Table7[[#This Row],[Date]],Database!$A:$C,MATCH($C$1,Database!$A$1:$C$1,),))</f>
        <v/>
      </c>
      <c r="D3388">
        <f>IFERROR(Table7[[#This Row],[United States 10y]]-Table7[[#This Row],[United States 3y]],#N/A)</f>
        <v/>
      </c>
    </row>
    <row r="3389">
      <c r="A3389" s="6">
        <f>Database!$A5474</f>
        <v/>
      </c>
      <c r="B3389">
        <f>IF(VLOOKUP(Table7[[#This Row],[Date]],Database!$A:$C,MATCH($B$1,Database!$A$1:$C$1,),)=0,#N/A,VLOOKUP(Table7[[#This Row],[Date]],Database!$A:$C,MATCH($B$1,Database!$A$1:$C$1,),))</f>
        <v/>
      </c>
      <c r="C3389">
        <f>IF(VLOOKUP(Table7[[#This Row],[Date]],Database!$A:$C,MATCH($C$1,Database!$A$1:$C$1,),)=0,#N/A,VLOOKUP(Table7[[#This Row],[Date]],Database!$A:$C,MATCH($C$1,Database!$A$1:$C$1,),))</f>
        <v/>
      </c>
      <c r="D3389">
        <f>IFERROR(Table7[[#This Row],[United States 10y]]-Table7[[#This Row],[United States 3y]],#N/A)</f>
        <v/>
      </c>
    </row>
    <row r="3390">
      <c r="A3390" s="6">
        <f>Database!$A5475</f>
        <v/>
      </c>
      <c r="B3390">
        <f>IF(VLOOKUP(Table7[[#This Row],[Date]],Database!$A:$C,MATCH($B$1,Database!$A$1:$C$1,),)=0,#N/A,VLOOKUP(Table7[[#This Row],[Date]],Database!$A:$C,MATCH($B$1,Database!$A$1:$C$1,),))</f>
        <v/>
      </c>
      <c r="C3390">
        <f>IF(VLOOKUP(Table7[[#This Row],[Date]],Database!$A:$C,MATCH($C$1,Database!$A$1:$C$1,),)=0,#N/A,VLOOKUP(Table7[[#This Row],[Date]],Database!$A:$C,MATCH($C$1,Database!$A$1:$C$1,),))</f>
        <v/>
      </c>
      <c r="D3390">
        <f>IFERROR(Table7[[#This Row],[United States 10y]]-Table7[[#This Row],[United States 3y]],#N/A)</f>
        <v/>
      </c>
    </row>
    <row r="3391">
      <c r="A3391" s="6">
        <f>Database!$A5476</f>
        <v/>
      </c>
      <c r="B3391">
        <f>IF(VLOOKUP(Table7[[#This Row],[Date]],Database!$A:$C,MATCH($B$1,Database!$A$1:$C$1,),)=0,#N/A,VLOOKUP(Table7[[#This Row],[Date]],Database!$A:$C,MATCH($B$1,Database!$A$1:$C$1,),))</f>
        <v/>
      </c>
      <c r="C3391">
        <f>IF(VLOOKUP(Table7[[#This Row],[Date]],Database!$A:$C,MATCH($C$1,Database!$A$1:$C$1,),)=0,#N/A,VLOOKUP(Table7[[#This Row],[Date]],Database!$A:$C,MATCH($C$1,Database!$A$1:$C$1,),))</f>
        <v/>
      </c>
      <c r="D3391">
        <f>IFERROR(Table7[[#This Row],[United States 10y]]-Table7[[#This Row],[United States 3y]],#N/A)</f>
        <v/>
      </c>
    </row>
    <row r="3392">
      <c r="A3392" s="6">
        <f>Database!$A5477</f>
        <v/>
      </c>
      <c r="B3392">
        <f>IF(VLOOKUP(Table7[[#This Row],[Date]],Database!$A:$C,MATCH($B$1,Database!$A$1:$C$1,),)=0,#N/A,VLOOKUP(Table7[[#This Row],[Date]],Database!$A:$C,MATCH($B$1,Database!$A$1:$C$1,),))</f>
        <v/>
      </c>
      <c r="C3392">
        <f>IF(VLOOKUP(Table7[[#This Row],[Date]],Database!$A:$C,MATCH($C$1,Database!$A$1:$C$1,),)=0,#N/A,VLOOKUP(Table7[[#This Row],[Date]],Database!$A:$C,MATCH($C$1,Database!$A$1:$C$1,),))</f>
        <v/>
      </c>
      <c r="D3392">
        <f>IFERROR(Table7[[#This Row],[United States 10y]]-Table7[[#This Row],[United States 3y]],#N/A)</f>
        <v/>
      </c>
    </row>
    <row r="3393">
      <c r="A3393" s="6">
        <f>Database!$A5478</f>
        <v/>
      </c>
      <c r="B3393">
        <f>IF(VLOOKUP(Table7[[#This Row],[Date]],Database!$A:$C,MATCH($B$1,Database!$A$1:$C$1,),)=0,#N/A,VLOOKUP(Table7[[#This Row],[Date]],Database!$A:$C,MATCH($B$1,Database!$A$1:$C$1,),))</f>
        <v/>
      </c>
      <c r="C3393">
        <f>IF(VLOOKUP(Table7[[#This Row],[Date]],Database!$A:$C,MATCH($C$1,Database!$A$1:$C$1,),)=0,#N/A,VLOOKUP(Table7[[#This Row],[Date]],Database!$A:$C,MATCH($C$1,Database!$A$1:$C$1,),))</f>
        <v/>
      </c>
      <c r="D3393">
        <f>IFERROR(Table7[[#This Row],[United States 10y]]-Table7[[#This Row],[United States 3y]],#N/A)</f>
        <v/>
      </c>
    </row>
    <row r="3394">
      <c r="A3394" s="6">
        <f>Database!$A5479</f>
        <v/>
      </c>
      <c r="B3394">
        <f>IF(VLOOKUP(Table7[[#This Row],[Date]],Database!$A:$C,MATCH($B$1,Database!$A$1:$C$1,),)=0,#N/A,VLOOKUP(Table7[[#This Row],[Date]],Database!$A:$C,MATCH($B$1,Database!$A$1:$C$1,),))</f>
        <v/>
      </c>
      <c r="C3394">
        <f>IF(VLOOKUP(Table7[[#This Row],[Date]],Database!$A:$C,MATCH($C$1,Database!$A$1:$C$1,),)=0,#N/A,VLOOKUP(Table7[[#This Row],[Date]],Database!$A:$C,MATCH($C$1,Database!$A$1:$C$1,),))</f>
        <v/>
      </c>
      <c r="D3394">
        <f>IFERROR(Table7[[#This Row],[United States 10y]]-Table7[[#This Row],[United States 3y]],#N/A)</f>
        <v/>
      </c>
    </row>
    <row r="3395">
      <c r="A3395" s="6">
        <f>Database!$A5480</f>
        <v/>
      </c>
      <c r="B3395">
        <f>IF(VLOOKUP(Table7[[#This Row],[Date]],Database!$A:$C,MATCH($B$1,Database!$A$1:$C$1,),)=0,#N/A,VLOOKUP(Table7[[#This Row],[Date]],Database!$A:$C,MATCH($B$1,Database!$A$1:$C$1,),))</f>
        <v/>
      </c>
      <c r="C3395">
        <f>IF(VLOOKUP(Table7[[#This Row],[Date]],Database!$A:$C,MATCH($C$1,Database!$A$1:$C$1,),)=0,#N/A,VLOOKUP(Table7[[#This Row],[Date]],Database!$A:$C,MATCH($C$1,Database!$A$1:$C$1,),))</f>
        <v/>
      </c>
      <c r="D3395">
        <f>IFERROR(Table7[[#This Row],[United States 10y]]-Table7[[#This Row],[United States 3y]],#N/A)</f>
        <v/>
      </c>
    </row>
    <row r="3396">
      <c r="A3396" s="6">
        <f>Database!$A5481</f>
        <v/>
      </c>
      <c r="B3396">
        <f>IF(VLOOKUP(Table7[[#This Row],[Date]],Database!$A:$C,MATCH($B$1,Database!$A$1:$C$1,),)=0,#N/A,VLOOKUP(Table7[[#This Row],[Date]],Database!$A:$C,MATCH($B$1,Database!$A$1:$C$1,),))</f>
        <v/>
      </c>
      <c r="C3396">
        <f>IF(VLOOKUP(Table7[[#This Row],[Date]],Database!$A:$C,MATCH($C$1,Database!$A$1:$C$1,),)=0,#N/A,VLOOKUP(Table7[[#This Row],[Date]],Database!$A:$C,MATCH($C$1,Database!$A$1:$C$1,),))</f>
        <v/>
      </c>
      <c r="D3396">
        <f>IFERROR(Table7[[#This Row],[United States 10y]]-Table7[[#This Row],[United States 3y]],#N/A)</f>
        <v/>
      </c>
    </row>
    <row r="3397">
      <c r="A3397" s="6">
        <f>Database!$A5482</f>
        <v/>
      </c>
      <c r="B3397">
        <f>IF(VLOOKUP(Table7[[#This Row],[Date]],Database!$A:$C,MATCH($B$1,Database!$A$1:$C$1,),)=0,#N/A,VLOOKUP(Table7[[#This Row],[Date]],Database!$A:$C,MATCH($B$1,Database!$A$1:$C$1,),))</f>
        <v/>
      </c>
      <c r="C3397">
        <f>IF(VLOOKUP(Table7[[#This Row],[Date]],Database!$A:$C,MATCH($C$1,Database!$A$1:$C$1,),)=0,#N/A,VLOOKUP(Table7[[#This Row],[Date]],Database!$A:$C,MATCH($C$1,Database!$A$1:$C$1,),))</f>
        <v/>
      </c>
      <c r="D3397">
        <f>IFERROR(Table7[[#This Row],[United States 10y]]-Table7[[#This Row],[United States 3y]],#N/A)</f>
        <v/>
      </c>
    </row>
    <row r="3398">
      <c r="A3398" s="6">
        <f>Database!$A5483</f>
        <v/>
      </c>
      <c r="B3398">
        <f>IF(VLOOKUP(Table7[[#This Row],[Date]],Database!$A:$C,MATCH($B$1,Database!$A$1:$C$1,),)=0,#N/A,VLOOKUP(Table7[[#This Row],[Date]],Database!$A:$C,MATCH($B$1,Database!$A$1:$C$1,),))</f>
        <v/>
      </c>
      <c r="C3398">
        <f>IF(VLOOKUP(Table7[[#This Row],[Date]],Database!$A:$C,MATCH($C$1,Database!$A$1:$C$1,),)=0,#N/A,VLOOKUP(Table7[[#This Row],[Date]],Database!$A:$C,MATCH($C$1,Database!$A$1:$C$1,),))</f>
        <v/>
      </c>
      <c r="D3398">
        <f>IFERROR(Table7[[#This Row],[United States 10y]]-Table7[[#This Row],[United States 3y]],#N/A)</f>
        <v/>
      </c>
    </row>
    <row r="3399">
      <c r="A3399" s="6">
        <f>Database!$A5484</f>
        <v/>
      </c>
      <c r="B3399">
        <f>IF(VLOOKUP(Table7[[#This Row],[Date]],Database!$A:$C,MATCH($B$1,Database!$A$1:$C$1,),)=0,#N/A,VLOOKUP(Table7[[#This Row],[Date]],Database!$A:$C,MATCH($B$1,Database!$A$1:$C$1,),))</f>
        <v/>
      </c>
      <c r="C3399">
        <f>IF(VLOOKUP(Table7[[#This Row],[Date]],Database!$A:$C,MATCH($C$1,Database!$A$1:$C$1,),)=0,#N/A,VLOOKUP(Table7[[#This Row],[Date]],Database!$A:$C,MATCH($C$1,Database!$A$1:$C$1,),))</f>
        <v/>
      </c>
      <c r="D3399">
        <f>IFERROR(Table7[[#This Row],[United States 10y]]-Table7[[#This Row],[United States 3y]],#N/A)</f>
        <v/>
      </c>
    </row>
    <row r="3400">
      <c r="A3400" s="6">
        <f>Database!$A5485</f>
        <v/>
      </c>
      <c r="B3400">
        <f>IF(VLOOKUP(Table7[[#This Row],[Date]],Database!$A:$C,MATCH($B$1,Database!$A$1:$C$1,),)=0,#N/A,VLOOKUP(Table7[[#This Row],[Date]],Database!$A:$C,MATCH($B$1,Database!$A$1:$C$1,),))</f>
        <v/>
      </c>
      <c r="C3400">
        <f>IF(VLOOKUP(Table7[[#This Row],[Date]],Database!$A:$C,MATCH($C$1,Database!$A$1:$C$1,),)=0,#N/A,VLOOKUP(Table7[[#This Row],[Date]],Database!$A:$C,MATCH($C$1,Database!$A$1:$C$1,),))</f>
        <v/>
      </c>
      <c r="D3400">
        <f>IFERROR(Table7[[#This Row],[United States 10y]]-Table7[[#This Row],[United States 3y]],#N/A)</f>
        <v/>
      </c>
    </row>
    <row r="3401">
      <c r="A3401" s="6">
        <f>Database!$A5486</f>
        <v/>
      </c>
      <c r="B3401">
        <f>IF(VLOOKUP(Table7[[#This Row],[Date]],Database!$A:$C,MATCH($B$1,Database!$A$1:$C$1,),)=0,#N/A,VLOOKUP(Table7[[#This Row],[Date]],Database!$A:$C,MATCH($B$1,Database!$A$1:$C$1,),))</f>
        <v/>
      </c>
      <c r="C3401">
        <f>IF(VLOOKUP(Table7[[#This Row],[Date]],Database!$A:$C,MATCH($C$1,Database!$A$1:$C$1,),)=0,#N/A,VLOOKUP(Table7[[#This Row],[Date]],Database!$A:$C,MATCH($C$1,Database!$A$1:$C$1,),))</f>
        <v/>
      </c>
      <c r="D3401">
        <f>IFERROR(Table7[[#This Row],[United States 10y]]-Table7[[#This Row],[United States 3y]],#N/A)</f>
        <v/>
      </c>
    </row>
    <row r="3402">
      <c r="A3402" s="6">
        <f>Database!$A5487</f>
        <v/>
      </c>
      <c r="B3402">
        <f>IF(VLOOKUP(Table7[[#This Row],[Date]],Database!$A:$C,MATCH($B$1,Database!$A$1:$C$1,),)=0,#N/A,VLOOKUP(Table7[[#This Row],[Date]],Database!$A:$C,MATCH($B$1,Database!$A$1:$C$1,),))</f>
        <v/>
      </c>
      <c r="C3402">
        <f>IF(VLOOKUP(Table7[[#This Row],[Date]],Database!$A:$C,MATCH($C$1,Database!$A$1:$C$1,),)=0,#N/A,VLOOKUP(Table7[[#This Row],[Date]],Database!$A:$C,MATCH($C$1,Database!$A$1:$C$1,),))</f>
        <v/>
      </c>
      <c r="D3402">
        <f>IFERROR(Table7[[#This Row],[United States 10y]]-Table7[[#This Row],[United States 3y]],#N/A)</f>
        <v/>
      </c>
    </row>
    <row r="3403">
      <c r="A3403" s="6">
        <f>Database!$A5488</f>
        <v/>
      </c>
      <c r="B3403">
        <f>IF(VLOOKUP(Table7[[#This Row],[Date]],Database!$A:$C,MATCH($B$1,Database!$A$1:$C$1,),)=0,#N/A,VLOOKUP(Table7[[#This Row],[Date]],Database!$A:$C,MATCH($B$1,Database!$A$1:$C$1,),))</f>
        <v/>
      </c>
      <c r="C3403">
        <f>IF(VLOOKUP(Table7[[#This Row],[Date]],Database!$A:$C,MATCH($C$1,Database!$A$1:$C$1,),)=0,#N/A,VLOOKUP(Table7[[#This Row],[Date]],Database!$A:$C,MATCH($C$1,Database!$A$1:$C$1,),))</f>
        <v/>
      </c>
      <c r="D3403">
        <f>IFERROR(Table7[[#This Row],[United States 10y]]-Table7[[#This Row],[United States 3y]],#N/A)</f>
        <v/>
      </c>
    </row>
    <row r="3404">
      <c r="A3404" s="6">
        <f>Database!$A5489</f>
        <v/>
      </c>
      <c r="B3404">
        <f>IF(VLOOKUP(Table7[[#This Row],[Date]],Database!$A:$C,MATCH($B$1,Database!$A$1:$C$1,),)=0,#N/A,VLOOKUP(Table7[[#This Row],[Date]],Database!$A:$C,MATCH($B$1,Database!$A$1:$C$1,),))</f>
        <v/>
      </c>
      <c r="C3404">
        <f>IF(VLOOKUP(Table7[[#This Row],[Date]],Database!$A:$C,MATCH($C$1,Database!$A$1:$C$1,),)=0,#N/A,VLOOKUP(Table7[[#This Row],[Date]],Database!$A:$C,MATCH($C$1,Database!$A$1:$C$1,),))</f>
        <v/>
      </c>
      <c r="D3404">
        <f>IFERROR(Table7[[#This Row],[United States 10y]]-Table7[[#This Row],[United States 3y]],#N/A)</f>
        <v/>
      </c>
    </row>
    <row r="3405">
      <c r="A3405" s="6">
        <f>Database!$A5490</f>
        <v/>
      </c>
      <c r="B3405">
        <f>IF(VLOOKUP(Table7[[#This Row],[Date]],Database!$A:$C,MATCH($B$1,Database!$A$1:$C$1,),)=0,#N/A,VLOOKUP(Table7[[#This Row],[Date]],Database!$A:$C,MATCH($B$1,Database!$A$1:$C$1,),))</f>
        <v/>
      </c>
      <c r="C3405">
        <f>IF(VLOOKUP(Table7[[#This Row],[Date]],Database!$A:$C,MATCH($C$1,Database!$A$1:$C$1,),)=0,#N/A,VLOOKUP(Table7[[#This Row],[Date]],Database!$A:$C,MATCH($C$1,Database!$A$1:$C$1,),))</f>
        <v/>
      </c>
      <c r="D3405">
        <f>IFERROR(Table7[[#This Row],[United States 10y]]-Table7[[#This Row],[United States 3y]],#N/A)</f>
        <v/>
      </c>
    </row>
    <row r="3406">
      <c r="A3406" s="6">
        <f>Database!$A5491</f>
        <v/>
      </c>
      <c r="B3406">
        <f>IF(VLOOKUP(Table7[[#This Row],[Date]],Database!$A:$C,MATCH($B$1,Database!$A$1:$C$1,),)=0,#N/A,VLOOKUP(Table7[[#This Row],[Date]],Database!$A:$C,MATCH($B$1,Database!$A$1:$C$1,),))</f>
        <v/>
      </c>
      <c r="C3406">
        <f>IF(VLOOKUP(Table7[[#This Row],[Date]],Database!$A:$C,MATCH($C$1,Database!$A$1:$C$1,),)=0,#N/A,VLOOKUP(Table7[[#This Row],[Date]],Database!$A:$C,MATCH($C$1,Database!$A$1:$C$1,),))</f>
        <v/>
      </c>
      <c r="D3406">
        <f>IFERROR(Table7[[#This Row],[United States 10y]]-Table7[[#This Row],[United States 3y]],#N/A)</f>
        <v/>
      </c>
    </row>
    <row r="3407">
      <c r="A3407" s="6">
        <f>Database!$A5492</f>
        <v/>
      </c>
      <c r="B3407">
        <f>IF(VLOOKUP(Table7[[#This Row],[Date]],Database!$A:$C,MATCH($B$1,Database!$A$1:$C$1,),)=0,#N/A,VLOOKUP(Table7[[#This Row],[Date]],Database!$A:$C,MATCH($B$1,Database!$A$1:$C$1,),))</f>
        <v/>
      </c>
      <c r="C3407">
        <f>IF(VLOOKUP(Table7[[#This Row],[Date]],Database!$A:$C,MATCH($C$1,Database!$A$1:$C$1,),)=0,#N/A,VLOOKUP(Table7[[#This Row],[Date]],Database!$A:$C,MATCH($C$1,Database!$A$1:$C$1,),))</f>
        <v/>
      </c>
      <c r="D3407">
        <f>IFERROR(Table7[[#This Row],[United States 10y]]-Table7[[#This Row],[United States 3y]],#N/A)</f>
        <v/>
      </c>
    </row>
    <row r="3408">
      <c r="A3408" s="6">
        <f>Database!$A5493</f>
        <v/>
      </c>
      <c r="B3408">
        <f>IF(VLOOKUP(Table7[[#This Row],[Date]],Database!$A:$C,MATCH($B$1,Database!$A$1:$C$1,),)=0,#N/A,VLOOKUP(Table7[[#This Row],[Date]],Database!$A:$C,MATCH($B$1,Database!$A$1:$C$1,),))</f>
        <v/>
      </c>
      <c r="C3408">
        <f>IF(VLOOKUP(Table7[[#This Row],[Date]],Database!$A:$C,MATCH($C$1,Database!$A$1:$C$1,),)=0,#N/A,VLOOKUP(Table7[[#This Row],[Date]],Database!$A:$C,MATCH($C$1,Database!$A$1:$C$1,),))</f>
        <v/>
      </c>
      <c r="D3408">
        <f>IFERROR(Table7[[#This Row],[United States 10y]]-Table7[[#This Row],[United States 3y]],#N/A)</f>
        <v/>
      </c>
    </row>
    <row r="3409">
      <c r="A3409" s="6">
        <f>Database!$A5494</f>
        <v/>
      </c>
      <c r="B3409">
        <f>IF(VLOOKUP(Table7[[#This Row],[Date]],Database!$A:$C,MATCH($B$1,Database!$A$1:$C$1,),)=0,#N/A,VLOOKUP(Table7[[#This Row],[Date]],Database!$A:$C,MATCH($B$1,Database!$A$1:$C$1,),))</f>
        <v/>
      </c>
      <c r="C3409">
        <f>IF(VLOOKUP(Table7[[#This Row],[Date]],Database!$A:$C,MATCH($C$1,Database!$A$1:$C$1,),)=0,#N/A,VLOOKUP(Table7[[#This Row],[Date]],Database!$A:$C,MATCH($C$1,Database!$A$1:$C$1,),))</f>
        <v/>
      </c>
      <c r="D3409">
        <f>IFERROR(Table7[[#This Row],[United States 10y]]-Table7[[#This Row],[United States 3y]],#N/A)</f>
        <v/>
      </c>
    </row>
    <row r="3410">
      <c r="A3410" s="6">
        <f>Database!$A5495</f>
        <v/>
      </c>
      <c r="B3410">
        <f>IF(VLOOKUP(Table7[[#This Row],[Date]],Database!$A:$C,MATCH($B$1,Database!$A$1:$C$1,),)=0,#N/A,VLOOKUP(Table7[[#This Row],[Date]],Database!$A:$C,MATCH($B$1,Database!$A$1:$C$1,),))</f>
        <v/>
      </c>
      <c r="C3410">
        <f>IF(VLOOKUP(Table7[[#This Row],[Date]],Database!$A:$C,MATCH($C$1,Database!$A$1:$C$1,),)=0,#N/A,VLOOKUP(Table7[[#This Row],[Date]],Database!$A:$C,MATCH($C$1,Database!$A$1:$C$1,),))</f>
        <v/>
      </c>
      <c r="D3410">
        <f>IFERROR(Table7[[#This Row],[United States 10y]]-Table7[[#This Row],[United States 3y]],#N/A)</f>
        <v/>
      </c>
    </row>
    <row r="3411">
      <c r="A3411" s="6">
        <f>Database!$A5496</f>
        <v/>
      </c>
      <c r="B3411">
        <f>IF(VLOOKUP(Table7[[#This Row],[Date]],Database!$A:$C,MATCH($B$1,Database!$A$1:$C$1,),)=0,#N/A,VLOOKUP(Table7[[#This Row],[Date]],Database!$A:$C,MATCH($B$1,Database!$A$1:$C$1,),))</f>
        <v/>
      </c>
      <c r="C3411">
        <f>IF(VLOOKUP(Table7[[#This Row],[Date]],Database!$A:$C,MATCH($C$1,Database!$A$1:$C$1,),)=0,#N/A,VLOOKUP(Table7[[#This Row],[Date]],Database!$A:$C,MATCH($C$1,Database!$A$1:$C$1,),))</f>
        <v/>
      </c>
      <c r="D3411">
        <f>IFERROR(Table7[[#This Row],[United States 10y]]-Table7[[#This Row],[United States 3y]],#N/A)</f>
        <v/>
      </c>
    </row>
    <row r="3412">
      <c r="A3412" s="6">
        <f>Database!$A5497</f>
        <v/>
      </c>
      <c r="B3412">
        <f>IF(VLOOKUP(Table7[[#This Row],[Date]],Database!$A:$C,MATCH($B$1,Database!$A$1:$C$1,),)=0,#N/A,VLOOKUP(Table7[[#This Row],[Date]],Database!$A:$C,MATCH($B$1,Database!$A$1:$C$1,),))</f>
        <v/>
      </c>
      <c r="C3412">
        <f>IF(VLOOKUP(Table7[[#This Row],[Date]],Database!$A:$C,MATCH($C$1,Database!$A$1:$C$1,),)=0,#N/A,VLOOKUP(Table7[[#This Row],[Date]],Database!$A:$C,MATCH($C$1,Database!$A$1:$C$1,),))</f>
        <v/>
      </c>
      <c r="D3412">
        <f>IFERROR(Table7[[#This Row],[United States 10y]]-Table7[[#This Row],[United States 3y]],#N/A)</f>
        <v/>
      </c>
    </row>
    <row r="3413">
      <c r="A3413" s="6">
        <f>Database!$A5498</f>
        <v/>
      </c>
      <c r="B3413">
        <f>IF(VLOOKUP(Table7[[#This Row],[Date]],Database!$A:$C,MATCH($B$1,Database!$A$1:$C$1,),)=0,#N/A,VLOOKUP(Table7[[#This Row],[Date]],Database!$A:$C,MATCH($B$1,Database!$A$1:$C$1,),))</f>
        <v/>
      </c>
      <c r="C3413">
        <f>IF(VLOOKUP(Table7[[#This Row],[Date]],Database!$A:$C,MATCH($C$1,Database!$A$1:$C$1,),)=0,#N/A,VLOOKUP(Table7[[#This Row],[Date]],Database!$A:$C,MATCH($C$1,Database!$A$1:$C$1,),))</f>
        <v/>
      </c>
      <c r="D3413">
        <f>IFERROR(Table7[[#This Row],[United States 10y]]-Table7[[#This Row],[United States 3y]],#N/A)</f>
        <v/>
      </c>
    </row>
    <row r="3414">
      <c r="A3414" s="6">
        <f>Database!$A5499</f>
        <v/>
      </c>
      <c r="B3414">
        <f>IF(VLOOKUP(Table7[[#This Row],[Date]],Database!$A:$C,MATCH($B$1,Database!$A$1:$C$1,),)=0,#N/A,VLOOKUP(Table7[[#This Row],[Date]],Database!$A:$C,MATCH($B$1,Database!$A$1:$C$1,),))</f>
        <v/>
      </c>
      <c r="C3414">
        <f>IF(VLOOKUP(Table7[[#This Row],[Date]],Database!$A:$C,MATCH($C$1,Database!$A$1:$C$1,),)=0,#N/A,VLOOKUP(Table7[[#This Row],[Date]],Database!$A:$C,MATCH($C$1,Database!$A$1:$C$1,),))</f>
        <v/>
      </c>
      <c r="D3414">
        <f>IFERROR(Table7[[#This Row],[United States 10y]]-Table7[[#This Row],[United States 3y]],#N/A)</f>
        <v/>
      </c>
    </row>
    <row r="3415">
      <c r="A3415" s="6">
        <f>Database!$A5500</f>
        <v/>
      </c>
      <c r="B3415">
        <f>IF(VLOOKUP(Table7[[#This Row],[Date]],Database!$A:$C,MATCH($B$1,Database!$A$1:$C$1,),)=0,#N/A,VLOOKUP(Table7[[#This Row],[Date]],Database!$A:$C,MATCH($B$1,Database!$A$1:$C$1,),))</f>
        <v/>
      </c>
      <c r="C3415">
        <f>IF(VLOOKUP(Table7[[#This Row],[Date]],Database!$A:$C,MATCH($C$1,Database!$A$1:$C$1,),)=0,#N/A,VLOOKUP(Table7[[#This Row],[Date]],Database!$A:$C,MATCH($C$1,Database!$A$1:$C$1,),))</f>
        <v/>
      </c>
      <c r="D3415">
        <f>IFERROR(Table7[[#This Row],[United States 10y]]-Table7[[#This Row],[United States 3y]],#N/A)</f>
        <v/>
      </c>
    </row>
    <row r="3416">
      <c r="A3416" s="6">
        <f>Database!$A5501</f>
        <v/>
      </c>
      <c r="B3416">
        <f>IF(VLOOKUP(Table7[[#This Row],[Date]],Database!$A:$C,MATCH($B$1,Database!$A$1:$C$1,),)=0,#N/A,VLOOKUP(Table7[[#This Row],[Date]],Database!$A:$C,MATCH($B$1,Database!$A$1:$C$1,),))</f>
        <v/>
      </c>
      <c r="C3416">
        <f>IF(VLOOKUP(Table7[[#This Row],[Date]],Database!$A:$C,MATCH($C$1,Database!$A$1:$C$1,),)=0,#N/A,VLOOKUP(Table7[[#This Row],[Date]],Database!$A:$C,MATCH($C$1,Database!$A$1:$C$1,),))</f>
        <v/>
      </c>
      <c r="D3416">
        <f>IFERROR(Table7[[#This Row],[United States 10y]]-Table7[[#This Row],[United States 3y]],#N/A)</f>
        <v/>
      </c>
    </row>
    <row r="3417">
      <c r="A3417" s="6">
        <f>Database!$A5502</f>
        <v/>
      </c>
      <c r="B3417">
        <f>IF(VLOOKUP(Table7[[#This Row],[Date]],Database!$A:$C,MATCH($B$1,Database!$A$1:$C$1,),)=0,#N/A,VLOOKUP(Table7[[#This Row],[Date]],Database!$A:$C,MATCH($B$1,Database!$A$1:$C$1,),))</f>
        <v/>
      </c>
      <c r="C3417">
        <f>IF(VLOOKUP(Table7[[#This Row],[Date]],Database!$A:$C,MATCH($C$1,Database!$A$1:$C$1,),)=0,#N/A,VLOOKUP(Table7[[#This Row],[Date]],Database!$A:$C,MATCH($C$1,Database!$A$1:$C$1,),))</f>
        <v/>
      </c>
      <c r="D3417">
        <f>IFERROR(Table7[[#This Row],[United States 10y]]-Table7[[#This Row],[United States 3y]],#N/A)</f>
        <v/>
      </c>
    </row>
    <row r="3418">
      <c r="A3418" s="6">
        <f>Database!$A5503</f>
        <v/>
      </c>
      <c r="B3418">
        <f>IF(VLOOKUP(Table7[[#This Row],[Date]],Database!$A:$C,MATCH($B$1,Database!$A$1:$C$1,),)=0,#N/A,VLOOKUP(Table7[[#This Row],[Date]],Database!$A:$C,MATCH($B$1,Database!$A$1:$C$1,),))</f>
        <v/>
      </c>
      <c r="C3418">
        <f>IF(VLOOKUP(Table7[[#This Row],[Date]],Database!$A:$C,MATCH($C$1,Database!$A$1:$C$1,),)=0,#N/A,VLOOKUP(Table7[[#This Row],[Date]],Database!$A:$C,MATCH($C$1,Database!$A$1:$C$1,),))</f>
        <v/>
      </c>
      <c r="D3418">
        <f>IFERROR(Table7[[#This Row],[United States 10y]]-Table7[[#This Row],[United States 3y]],#N/A)</f>
        <v/>
      </c>
    </row>
    <row r="3419">
      <c r="A3419" s="6">
        <f>Database!$A5504</f>
        <v/>
      </c>
      <c r="B3419">
        <f>IF(VLOOKUP(Table7[[#This Row],[Date]],Database!$A:$C,MATCH($B$1,Database!$A$1:$C$1,),)=0,#N/A,VLOOKUP(Table7[[#This Row],[Date]],Database!$A:$C,MATCH($B$1,Database!$A$1:$C$1,),))</f>
        <v/>
      </c>
      <c r="C3419">
        <f>IF(VLOOKUP(Table7[[#This Row],[Date]],Database!$A:$C,MATCH($C$1,Database!$A$1:$C$1,),)=0,#N/A,VLOOKUP(Table7[[#This Row],[Date]],Database!$A:$C,MATCH($C$1,Database!$A$1:$C$1,),))</f>
        <v/>
      </c>
      <c r="D3419">
        <f>IFERROR(Table7[[#This Row],[United States 10y]]-Table7[[#This Row],[United States 3y]],#N/A)</f>
        <v/>
      </c>
    </row>
    <row r="3420">
      <c r="A3420" s="6">
        <f>Database!$A5505</f>
        <v/>
      </c>
      <c r="B3420">
        <f>IF(VLOOKUP(Table7[[#This Row],[Date]],Database!$A:$C,MATCH($B$1,Database!$A$1:$C$1,),)=0,#N/A,VLOOKUP(Table7[[#This Row],[Date]],Database!$A:$C,MATCH($B$1,Database!$A$1:$C$1,),))</f>
        <v/>
      </c>
      <c r="C3420">
        <f>IF(VLOOKUP(Table7[[#This Row],[Date]],Database!$A:$C,MATCH($C$1,Database!$A$1:$C$1,),)=0,#N/A,VLOOKUP(Table7[[#This Row],[Date]],Database!$A:$C,MATCH($C$1,Database!$A$1:$C$1,),))</f>
        <v/>
      </c>
      <c r="D3420">
        <f>IFERROR(Table7[[#This Row],[United States 10y]]-Table7[[#This Row],[United States 3y]],#N/A)</f>
        <v/>
      </c>
    </row>
    <row r="3421">
      <c r="A3421" s="6">
        <f>Database!$A5506</f>
        <v/>
      </c>
      <c r="B3421">
        <f>IF(VLOOKUP(Table7[[#This Row],[Date]],Database!$A:$C,MATCH($B$1,Database!$A$1:$C$1,),)=0,#N/A,VLOOKUP(Table7[[#This Row],[Date]],Database!$A:$C,MATCH($B$1,Database!$A$1:$C$1,),))</f>
        <v/>
      </c>
      <c r="C3421">
        <f>IF(VLOOKUP(Table7[[#This Row],[Date]],Database!$A:$C,MATCH($C$1,Database!$A$1:$C$1,),)=0,#N/A,VLOOKUP(Table7[[#This Row],[Date]],Database!$A:$C,MATCH($C$1,Database!$A$1:$C$1,),))</f>
        <v/>
      </c>
      <c r="D3421">
        <f>IFERROR(Table7[[#This Row],[United States 10y]]-Table7[[#This Row],[United States 3y]],#N/A)</f>
        <v/>
      </c>
    </row>
    <row r="3422">
      <c r="A3422" s="6">
        <f>Database!$A5507</f>
        <v/>
      </c>
      <c r="B3422">
        <f>IF(VLOOKUP(Table7[[#This Row],[Date]],Database!$A:$C,MATCH($B$1,Database!$A$1:$C$1,),)=0,#N/A,VLOOKUP(Table7[[#This Row],[Date]],Database!$A:$C,MATCH($B$1,Database!$A$1:$C$1,),))</f>
        <v/>
      </c>
      <c r="C3422">
        <f>IF(VLOOKUP(Table7[[#This Row],[Date]],Database!$A:$C,MATCH($C$1,Database!$A$1:$C$1,),)=0,#N/A,VLOOKUP(Table7[[#This Row],[Date]],Database!$A:$C,MATCH($C$1,Database!$A$1:$C$1,),))</f>
        <v/>
      </c>
      <c r="D3422">
        <f>IFERROR(Table7[[#This Row],[United States 10y]]-Table7[[#This Row],[United States 3y]],#N/A)</f>
        <v/>
      </c>
    </row>
    <row r="3423">
      <c r="A3423" s="6">
        <f>Database!$A5508</f>
        <v/>
      </c>
      <c r="B3423">
        <f>IF(VLOOKUP(Table7[[#This Row],[Date]],Database!$A:$C,MATCH($B$1,Database!$A$1:$C$1,),)=0,#N/A,VLOOKUP(Table7[[#This Row],[Date]],Database!$A:$C,MATCH($B$1,Database!$A$1:$C$1,),))</f>
        <v/>
      </c>
      <c r="C3423">
        <f>IF(VLOOKUP(Table7[[#This Row],[Date]],Database!$A:$C,MATCH($C$1,Database!$A$1:$C$1,),)=0,#N/A,VLOOKUP(Table7[[#This Row],[Date]],Database!$A:$C,MATCH($C$1,Database!$A$1:$C$1,),))</f>
        <v/>
      </c>
      <c r="D3423">
        <f>IFERROR(Table7[[#This Row],[United States 10y]]-Table7[[#This Row],[United States 3y]],#N/A)</f>
        <v/>
      </c>
    </row>
    <row r="3424">
      <c r="A3424" s="6">
        <f>Database!$A5509</f>
        <v/>
      </c>
      <c r="B3424">
        <f>IF(VLOOKUP(Table7[[#This Row],[Date]],Database!$A:$C,MATCH($B$1,Database!$A$1:$C$1,),)=0,#N/A,VLOOKUP(Table7[[#This Row],[Date]],Database!$A:$C,MATCH($B$1,Database!$A$1:$C$1,),))</f>
        <v/>
      </c>
      <c r="C3424">
        <f>IF(VLOOKUP(Table7[[#This Row],[Date]],Database!$A:$C,MATCH($C$1,Database!$A$1:$C$1,),)=0,#N/A,VLOOKUP(Table7[[#This Row],[Date]],Database!$A:$C,MATCH($C$1,Database!$A$1:$C$1,),))</f>
        <v/>
      </c>
      <c r="D3424">
        <f>IFERROR(Table7[[#This Row],[United States 10y]]-Table7[[#This Row],[United States 3y]],#N/A)</f>
        <v/>
      </c>
    </row>
    <row r="3425">
      <c r="A3425" s="6">
        <f>Database!$A5510</f>
        <v/>
      </c>
      <c r="B3425">
        <f>IF(VLOOKUP(Table7[[#This Row],[Date]],Database!$A:$C,MATCH($B$1,Database!$A$1:$C$1,),)=0,#N/A,VLOOKUP(Table7[[#This Row],[Date]],Database!$A:$C,MATCH($B$1,Database!$A$1:$C$1,),))</f>
        <v/>
      </c>
      <c r="C3425">
        <f>IF(VLOOKUP(Table7[[#This Row],[Date]],Database!$A:$C,MATCH($C$1,Database!$A$1:$C$1,),)=0,#N/A,VLOOKUP(Table7[[#This Row],[Date]],Database!$A:$C,MATCH($C$1,Database!$A$1:$C$1,),))</f>
        <v/>
      </c>
      <c r="D3425">
        <f>IFERROR(Table7[[#This Row],[United States 10y]]-Table7[[#This Row],[United States 3y]],#N/A)</f>
        <v/>
      </c>
    </row>
    <row r="3426">
      <c r="A3426" s="6">
        <f>Database!$A5511</f>
        <v/>
      </c>
      <c r="B3426">
        <f>IF(VLOOKUP(Table7[[#This Row],[Date]],Database!$A:$C,MATCH($B$1,Database!$A$1:$C$1,),)=0,#N/A,VLOOKUP(Table7[[#This Row],[Date]],Database!$A:$C,MATCH($B$1,Database!$A$1:$C$1,),))</f>
        <v/>
      </c>
      <c r="C3426">
        <f>IF(VLOOKUP(Table7[[#This Row],[Date]],Database!$A:$C,MATCH($C$1,Database!$A$1:$C$1,),)=0,#N/A,VLOOKUP(Table7[[#This Row],[Date]],Database!$A:$C,MATCH($C$1,Database!$A$1:$C$1,),))</f>
        <v/>
      </c>
      <c r="D3426">
        <f>IFERROR(Table7[[#This Row],[United States 10y]]-Table7[[#This Row],[United States 3y]],#N/A)</f>
        <v/>
      </c>
    </row>
    <row r="3427">
      <c r="A3427" s="6">
        <f>Database!$A5512</f>
        <v/>
      </c>
      <c r="B3427">
        <f>IF(VLOOKUP(Table7[[#This Row],[Date]],Database!$A:$C,MATCH($B$1,Database!$A$1:$C$1,),)=0,#N/A,VLOOKUP(Table7[[#This Row],[Date]],Database!$A:$C,MATCH($B$1,Database!$A$1:$C$1,),))</f>
        <v/>
      </c>
      <c r="C3427">
        <f>IF(VLOOKUP(Table7[[#This Row],[Date]],Database!$A:$C,MATCH($C$1,Database!$A$1:$C$1,),)=0,#N/A,VLOOKUP(Table7[[#This Row],[Date]],Database!$A:$C,MATCH($C$1,Database!$A$1:$C$1,),))</f>
        <v/>
      </c>
      <c r="D3427">
        <f>IFERROR(Table7[[#This Row],[United States 10y]]-Table7[[#This Row],[United States 3y]],#N/A)</f>
        <v/>
      </c>
    </row>
    <row r="3428">
      <c r="A3428" s="6">
        <f>Database!$A5513</f>
        <v/>
      </c>
      <c r="B3428">
        <f>IF(VLOOKUP(Table7[[#This Row],[Date]],Database!$A:$C,MATCH($B$1,Database!$A$1:$C$1,),)=0,#N/A,VLOOKUP(Table7[[#This Row],[Date]],Database!$A:$C,MATCH($B$1,Database!$A$1:$C$1,),))</f>
        <v/>
      </c>
      <c r="C3428">
        <f>IF(VLOOKUP(Table7[[#This Row],[Date]],Database!$A:$C,MATCH($C$1,Database!$A$1:$C$1,),)=0,#N/A,VLOOKUP(Table7[[#This Row],[Date]],Database!$A:$C,MATCH($C$1,Database!$A$1:$C$1,),))</f>
        <v/>
      </c>
      <c r="D3428">
        <f>IFERROR(Table7[[#This Row],[United States 10y]]-Table7[[#This Row],[United States 3y]],#N/A)</f>
        <v/>
      </c>
    </row>
    <row r="3429">
      <c r="A3429" s="6">
        <f>Database!$A5514</f>
        <v/>
      </c>
      <c r="B3429">
        <f>IF(VLOOKUP(Table7[[#This Row],[Date]],Database!$A:$C,MATCH($B$1,Database!$A$1:$C$1,),)=0,#N/A,VLOOKUP(Table7[[#This Row],[Date]],Database!$A:$C,MATCH($B$1,Database!$A$1:$C$1,),))</f>
        <v/>
      </c>
      <c r="C3429">
        <f>IF(VLOOKUP(Table7[[#This Row],[Date]],Database!$A:$C,MATCH($C$1,Database!$A$1:$C$1,),)=0,#N/A,VLOOKUP(Table7[[#This Row],[Date]],Database!$A:$C,MATCH($C$1,Database!$A$1:$C$1,),))</f>
        <v/>
      </c>
      <c r="D3429">
        <f>IFERROR(Table7[[#This Row],[United States 10y]]-Table7[[#This Row],[United States 3y]],#N/A)</f>
        <v/>
      </c>
    </row>
    <row r="3430">
      <c r="A3430" s="6">
        <f>Database!$A5515</f>
        <v/>
      </c>
      <c r="B3430">
        <f>IF(VLOOKUP(Table7[[#This Row],[Date]],Database!$A:$C,MATCH($B$1,Database!$A$1:$C$1,),)=0,#N/A,VLOOKUP(Table7[[#This Row],[Date]],Database!$A:$C,MATCH($B$1,Database!$A$1:$C$1,),))</f>
        <v/>
      </c>
      <c r="C3430">
        <f>IF(VLOOKUP(Table7[[#This Row],[Date]],Database!$A:$C,MATCH($C$1,Database!$A$1:$C$1,),)=0,#N/A,VLOOKUP(Table7[[#This Row],[Date]],Database!$A:$C,MATCH($C$1,Database!$A$1:$C$1,),))</f>
        <v/>
      </c>
      <c r="D3430">
        <f>IFERROR(Table7[[#This Row],[United States 10y]]-Table7[[#This Row],[United States 3y]],#N/A)</f>
        <v/>
      </c>
    </row>
    <row r="3431">
      <c r="A3431" s="6">
        <f>Database!$A5516</f>
        <v/>
      </c>
      <c r="B3431">
        <f>IF(VLOOKUP(Table7[[#This Row],[Date]],Database!$A:$C,MATCH($B$1,Database!$A$1:$C$1,),)=0,#N/A,VLOOKUP(Table7[[#This Row],[Date]],Database!$A:$C,MATCH($B$1,Database!$A$1:$C$1,),))</f>
        <v/>
      </c>
      <c r="C3431">
        <f>IF(VLOOKUP(Table7[[#This Row],[Date]],Database!$A:$C,MATCH($C$1,Database!$A$1:$C$1,),)=0,#N/A,VLOOKUP(Table7[[#This Row],[Date]],Database!$A:$C,MATCH($C$1,Database!$A$1:$C$1,),))</f>
        <v/>
      </c>
      <c r="D3431">
        <f>IFERROR(Table7[[#This Row],[United States 10y]]-Table7[[#This Row],[United States 3y]],#N/A)</f>
        <v/>
      </c>
    </row>
    <row r="3432">
      <c r="A3432" s="6">
        <f>Database!$A5517</f>
        <v/>
      </c>
      <c r="B3432">
        <f>IF(VLOOKUP(Table7[[#This Row],[Date]],Database!$A:$C,MATCH($B$1,Database!$A$1:$C$1,),)=0,#N/A,VLOOKUP(Table7[[#This Row],[Date]],Database!$A:$C,MATCH($B$1,Database!$A$1:$C$1,),))</f>
        <v/>
      </c>
      <c r="C3432">
        <f>IF(VLOOKUP(Table7[[#This Row],[Date]],Database!$A:$C,MATCH($C$1,Database!$A$1:$C$1,),)=0,#N/A,VLOOKUP(Table7[[#This Row],[Date]],Database!$A:$C,MATCH($C$1,Database!$A$1:$C$1,),))</f>
        <v/>
      </c>
      <c r="D3432">
        <f>IFERROR(Table7[[#This Row],[United States 10y]]-Table7[[#This Row],[United States 3y]],#N/A)</f>
        <v/>
      </c>
    </row>
    <row r="3433">
      <c r="A3433" s="6">
        <f>Database!$A5518</f>
        <v/>
      </c>
      <c r="B3433">
        <f>IF(VLOOKUP(Table7[[#This Row],[Date]],Database!$A:$C,MATCH($B$1,Database!$A$1:$C$1,),)=0,#N/A,VLOOKUP(Table7[[#This Row],[Date]],Database!$A:$C,MATCH($B$1,Database!$A$1:$C$1,),))</f>
        <v/>
      </c>
      <c r="C3433">
        <f>IF(VLOOKUP(Table7[[#This Row],[Date]],Database!$A:$C,MATCH($C$1,Database!$A$1:$C$1,),)=0,#N/A,VLOOKUP(Table7[[#This Row],[Date]],Database!$A:$C,MATCH($C$1,Database!$A$1:$C$1,),))</f>
        <v/>
      </c>
      <c r="D3433">
        <f>IFERROR(Table7[[#This Row],[United States 10y]]-Table7[[#This Row],[United States 3y]],#N/A)</f>
        <v/>
      </c>
    </row>
    <row r="3434">
      <c r="A3434" s="6">
        <f>Database!$A5519</f>
        <v/>
      </c>
      <c r="B3434">
        <f>IF(VLOOKUP(Table7[[#This Row],[Date]],Database!$A:$C,MATCH($B$1,Database!$A$1:$C$1,),)=0,#N/A,VLOOKUP(Table7[[#This Row],[Date]],Database!$A:$C,MATCH($B$1,Database!$A$1:$C$1,),))</f>
        <v/>
      </c>
      <c r="C3434">
        <f>IF(VLOOKUP(Table7[[#This Row],[Date]],Database!$A:$C,MATCH($C$1,Database!$A$1:$C$1,),)=0,#N/A,VLOOKUP(Table7[[#This Row],[Date]],Database!$A:$C,MATCH($C$1,Database!$A$1:$C$1,),))</f>
        <v/>
      </c>
      <c r="D3434">
        <f>IFERROR(Table7[[#This Row],[United States 10y]]-Table7[[#This Row],[United States 3y]],#N/A)</f>
        <v/>
      </c>
    </row>
    <row r="3435">
      <c r="A3435" s="6">
        <f>Database!$A5520</f>
        <v/>
      </c>
      <c r="B3435">
        <f>IF(VLOOKUP(Table7[[#This Row],[Date]],Database!$A:$C,MATCH($B$1,Database!$A$1:$C$1,),)=0,#N/A,VLOOKUP(Table7[[#This Row],[Date]],Database!$A:$C,MATCH($B$1,Database!$A$1:$C$1,),))</f>
        <v/>
      </c>
      <c r="C3435">
        <f>IF(VLOOKUP(Table7[[#This Row],[Date]],Database!$A:$C,MATCH($C$1,Database!$A$1:$C$1,),)=0,#N/A,VLOOKUP(Table7[[#This Row],[Date]],Database!$A:$C,MATCH($C$1,Database!$A$1:$C$1,),))</f>
        <v/>
      </c>
      <c r="D3435">
        <f>IFERROR(Table7[[#This Row],[United States 10y]]-Table7[[#This Row],[United States 3y]],#N/A)</f>
        <v/>
      </c>
    </row>
    <row r="3436">
      <c r="A3436" s="6">
        <f>Database!$A5521</f>
        <v/>
      </c>
      <c r="B3436">
        <f>IF(VLOOKUP(Table7[[#This Row],[Date]],Database!$A:$C,MATCH($B$1,Database!$A$1:$C$1,),)=0,#N/A,VLOOKUP(Table7[[#This Row],[Date]],Database!$A:$C,MATCH($B$1,Database!$A$1:$C$1,),))</f>
        <v/>
      </c>
      <c r="C3436">
        <f>IF(VLOOKUP(Table7[[#This Row],[Date]],Database!$A:$C,MATCH($C$1,Database!$A$1:$C$1,),)=0,#N/A,VLOOKUP(Table7[[#This Row],[Date]],Database!$A:$C,MATCH($C$1,Database!$A$1:$C$1,),))</f>
        <v/>
      </c>
      <c r="D3436">
        <f>IFERROR(Table7[[#This Row],[United States 10y]]-Table7[[#This Row],[United States 3y]],#N/A)</f>
        <v/>
      </c>
    </row>
    <row r="3437">
      <c r="A3437" s="6">
        <f>Database!$A5522</f>
        <v/>
      </c>
      <c r="B3437">
        <f>IF(VLOOKUP(Table7[[#This Row],[Date]],Database!$A:$C,MATCH($B$1,Database!$A$1:$C$1,),)=0,#N/A,VLOOKUP(Table7[[#This Row],[Date]],Database!$A:$C,MATCH($B$1,Database!$A$1:$C$1,),))</f>
        <v/>
      </c>
      <c r="C3437">
        <f>IF(VLOOKUP(Table7[[#This Row],[Date]],Database!$A:$C,MATCH($C$1,Database!$A$1:$C$1,),)=0,#N/A,VLOOKUP(Table7[[#This Row],[Date]],Database!$A:$C,MATCH($C$1,Database!$A$1:$C$1,),))</f>
        <v/>
      </c>
      <c r="D3437">
        <f>IFERROR(Table7[[#This Row],[United States 10y]]-Table7[[#This Row],[United States 3y]],#N/A)</f>
        <v/>
      </c>
    </row>
    <row r="3438">
      <c r="A3438" s="6">
        <f>Database!$A5523</f>
        <v/>
      </c>
      <c r="B3438">
        <f>IF(VLOOKUP(Table7[[#This Row],[Date]],Database!$A:$C,MATCH($B$1,Database!$A$1:$C$1,),)=0,#N/A,VLOOKUP(Table7[[#This Row],[Date]],Database!$A:$C,MATCH($B$1,Database!$A$1:$C$1,),))</f>
        <v/>
      </c>
      <c r="C3438">
        <f>IF(VLOOKUP(Table7[[#This Row],[Date]],Database!$A:$C,MATCH($C$1,Database!$A$1:$C$1,),)=0,#N/A,VLOOKUP(Table7[[#This Row],[Date]],Database!$A:$C,MATCH($C$1,Database!$A$1:$C$1,),))</f>
        <v/>
      </c>
      <c r="D3438">
        <f>IFERROR(Table7[[#This Row],[United States 10y]]-Table7[[#This Row],[United States 3y]],#N/A)</f>
        <v/>
      </c>
    </row>
    <row r="3439">
      <c r="A3439" s="6">
        <f>Database!$A5524</f>
        <v/>
      </c>
      <c r="B3439">
        <f>IF(VLOOKUP(Table7[[#This Row],[Date]],Database!$A:$C,MATCH($B$1,Database!$A$1:$C$1,),)=0,#N/A,VLOOKUP(Table7[[#This Row],[Date]],Database!$A:$C,MATCH($B$1,Database!$A$1:$C$1,),))</f>
        <v/>
      </c>
      <c r="C3439">
        <f>IF(VLOOKUP(Table7[[#This Row],[Date]],Database!$A:$C,MATCH($C$1,Database!$A$1:$C$1,),)=0,#N/A,VLOOKUP(Table7[[#This Row],[Date]],Database!$A:$C,MATCH($C$1,Database!$A$1:$C$1,),))</f>
        <v/>
      </c>
      <c r="D3439">
        <f>IFERROR(Table7[[#This Row],[United States 10y]]-Table7[[#This Row],[United States 3y]],#N/A)</f>
        <v/>
      </c>
    </row>
    <row r="3440">
      <c r="A3440" s="6">
        <f>Database!$A5525</f>
        <v/>
      </c>
      <c r="B3440">
        <f>IF(VLOOKUP(Table7[[#This Row],[Date]],Database!$A:$C,MATCH($B$1,Database!$A$1:$C$1,),)=0,#N/A,VLOOKUP(Table7[[#This Row],[Date]],Database!$A:$C,MATCH($B$1,Database!$A$1:$C$1,),))</f>
        <v/>
      </c>
      <c r="C3440">
        <f>IF(VLOOKUP(Table7[[#This Row],[Date]],Database!$A:$C,MATCH($C$1,Database!$A$1:$C$1,),)=0,#N/A,VLOOKUP(Table7[[#This Row],[Date]],Database!$A:$C,MATCH($C$1,Database!$A$1:$C$1,),))</f>
        <v/>
      </c>
      <c r="D3440">
        <f>IFERROR(Table7[[#This Row],[United States 10y]]-Table7[[#This Row],[United States 3y]],#N/A)</f>
        <v/>
      </c>
    </row>
    <row r="3441">
      <c r="A3441" s="6">
        <f>Database!$A5526</f>
        <v/>
      </c>
      <c r="B3441">
        <f>IF(VLOOKUP(Table7[[#This Row],[Date]],Database!$A:$C,MATCH($B$1,Database!$A$1:$C$1,),)=0,#N/A,VLOOKUP(Table7[[#This Row],[Date]],Database!$A:$C,MATCH($B$1,Database!$A$1:$C$1,),))</f>
        <v/>
      </c>
      <c r="C3441">
        <f>IF(VLOOKUP(Table7[[#This Row],[Date]],Database!$A:$C,MATCH($C$1,Database!$A$1:$C$1,),)=0,#N/A,VLOOKUP(Table7[[#This Row],[Date]],Database!$A:$C,MATCH($C$1,Database!$A$1:$C$1,),))</f>
        <v/>
      </c>
      <c r="D3441">
        <f>IFERROR(Table7[[#This Row],[United States 10y]]-Table7[[#This Row],[United States 3y]],#N/A)</f>
        <v/>
      </c>
    </row>
    <row r="3442">
      <c r="A3442" s="6">
        <f>Database!$A5527</f>
        <v/>
      </c>
      <c r="B3442">
        <f>IF(VLOOKUP(Table7[[#This Row],[Date]],Database!$A:$C,MATCH($B$1,Database!$A$1:$C$1,),)=0,#N/A,VLOOKUP(Table7[[#This Row],[Date]],Database!$A:$C,MATCH($B$1,Database!$A$1:$C$1,),))</f>
        <v/>
      </c>
      <c r="C3442">
        <f>IF(VLOOKUP(Table7[[#This Row],[Date]],Database!$A:$C,MATCH($C$1,Database!$A$1:$C$1,),)=0,#N/A,VLOOKUP(Table7[[#This Row],[Date]],Database!$A:$C,MATCH($C$1,Database!$A$1:$C$1,),))</f>
        <v/>
      </c>
      <c r="D3442">
        <f>IFERROR(Table7[[#This Row],[United States 10y]]-Table7[[#This Row],[United States 3y]],#N/A)</f>
        <v/>
      </c>
    </row>
    <row r="3443">
      <c r="A3443" s="6">
        <f>Database!$A5528</f>
        <v/>
      </c>
      <c r="B3443">
        <f>IF(VLOOKUP(Table7[[#This Row],[Date]],Database!$A:$C,MATCH($B$1,Database!$A$1:$C$1,),)=0,#N/A,VLOOKUP(Table7[[#This Row],[Date]],Database!$A:$C,MATCH($B$1,Database!$A$1:$C$1,),))</f>
        <v/>
      </c>
      <c r="C3443">
        <f>IF(VLOOKUP(Table7[[#This Row],[Date]],Database!$A:$C,MATCH($C$1,Database!$A$1:$C$1,),)=0,#N/A,VLOOKUP(Table7[[#This Row],[Date]],Database!$A:$C,MATCH($C$1,Database!$A$1:$C$1,),))</f>
        <v/>
      </c>
      <c r="D3443">
        <f>IFERROR(Table7[[#This Row],[United States 10y]]-Table7[[#This Row],[United States 3y]],#N/A)</f>
        <v/>
      </c>
    </row>
    <row r="3444">
      <c r="A3444" s="6">
        <f>Database!$A5529</f>
        <v/>
      </c>
      <c r="B3444">
        <f>IF(VLOOKUP(Table7[[#This Row],[Date]],Database!$A:$C,MATCH($B$1,Database!$A$1:$C$1,),)=0,#N/A,VLOOKUP(Table7[[#This Row],[Date]],Database!$A:$C,MATCH($B$1,Database!$A$1:$C$1,),))</f>
        <v/>
      </c>
      <c r="C3444">
        <f>IF(VLOOKUP(Table7[[#This Row],[Date]],Database!$A:$C,MATCH($C$1,Database!$A$1:$C$1,),)=0,#N/A,VLOOKUP(Table7[[#This Row],[Date]],Database!$A:$C,MATCH($C$1,Database!$A$1:$C$1,),))</f>
        <v/>
      </c>
      <c r="D3444">
        <f>IFERROR(Table7[[#This Row],[United States 10y]]-Table7[[#This Row],[United States 3y]],#N/A)</f>
        <v/>
      </c>
    </row>
    <row r="3445">
      <c r="A3445" s="6">
        <f>Database!$A5530</f>
        <v/>
      </c>
      <c r="B3445">
        <f>IF(VLOOKUP(Table7[[#This Row],[Date]],Database!$A:$C,MATCH($B$1,Database!$A$1:$C$1,),)=0,#N/A,VLOOKUP(Table7[[#This Row],[Date]],Database!$A:$C,MATCH($B$1,Database!$A$1:$C$1,),))</f>
        <v/>
      </c>
      <c r="C3445">
        <f>IF(VLOOKUP(Table7[[#This Row],[Date]],Database!$A:$C,MATCH($C$1,Database!$A$1:$C$1,),)=0,#N/A,VLOOKUP(Table7[[#This Row],[Date]],Database!$A:$C,MATCH($C$1,Database!$A$1:$C$1,),))</f>
        <v/>
      </c>
      <c r="D3445">
        <f>IFERROR(Table7[[#This Row],[United States 10y]]-Table7[[#This Row],[United States 3y]],#N/A)</f>
        <v/>
      </c>
    </row>
    <row r="3446">
      <c r="A3446" s="6">
        <f>Database!$A5531</f>
        <v/>
      </c>
      <c r="B3446">
        <f>IF(VLOOKUP(Table7[[#This Row],[Date]],Database!$A:$C,MATCH($B$1,Database!$A$1:$C$1,),)=0,#N/A,VLOOKUP(Table7[[#This Row],[Date]],Database!$A:$C,MATCH($B$1,Database!$A$1:$C$1,),))</f>
        <v/>
      </c>
      <c r="C3446">
        <f>IF(VLOOKUP(Table7[[#This Row],[Date]],Database!$A:$C,MATCH($C$1,Database!$A$1:$C$1,),)=0,#N/A,VLOOKUP(Table7[[#This Row],[Date]],Database!$A:$C,MATCH($C$1,Database!$A$1:$C$1,),))</f>
        <v/>
      </c>
      <c r="D3446">
        <f>IFERROR(Table7[[#This Row],[United States 10y]]-Table7[[#This Row],[United States 3y]],#N/A)</f>
        <v/>
      </c>
    </row>
    <row r="3447">
      <c r="A3447" s="6">
        <f>Database!$A5532</f>
        <v/>
      </c>
      <c r="B3447">
        <f>IF(VLOOKUP(Table7[[#This Row],[Date]],Database!$A:$C,MATCH($B$1,Database!$A$1:$C$1,),)=0,#N/A,VLOOKUP(Table7[[#This Row],[Date]],Database!$A:$C,MATCH($B$1,Database!$A$1:$C$1,),))</f>
        <v/>
      </c>
      <c r="C3447">
        <f>IF(VLOOKUP(Table7[[#This Row],[Date]],Database!$A:$C,MATCH($C$1,Database!$A$1:$C$1,),)=0,#N/A,VLOOKUP(Table7[[#This Row],[Date]],Database!$A:$C,MATCH($C$1,Database!$A$1:$C$1,),))</f>
        <v/>
      </c>
      <c r="D3447">
        <f>IFERROR(Table7[[#This Row],[United States 10y]]-Table7[[#This Row],[United States 3y]],#N/A)</f>
        <v/>
      </c>
    </row>
    <row r="3448">
      <c r="A3448" s="6">
        <f>Database!$A5533</f>
        <v/>
      </c>
      <c r="B3448">
        <f>IF(VLOOKUP(Table7[[#This Row],[Date]],Database!$A:$C,MATCH($B$1,Database!$A$1:$C$1,),)=0,#N/A,VLOOKUP(Table7[[#This Row],[Date]],Database!$A:$C,MATCH($B$1,Database!$A$1:$C$1,),))</f>
        <v/>
      </c>
      <c r="C3448">
        <f>IF(VLOOKUP(Table7[[#This Row],[Date]],Database!$A:$C,MATCH($C$1,Database!$A$1:$C$1,),)=0,#N/A,VLOOKUP(Table7[[#This Row],[Date]],Database!$A:$C,MATCH($C$1,Database!$A$1:$C$1,),))</f>
        <v/>
      </c>
      <c r="D3448">
        <f>IFERROR(Table7[[#This Row],[United States 10y]]-Table7[[#This Row],[United States 3y]],#N/A)</f>
        <v/>
      </c>
    </row>
    <row r="3449">
      <c r="A3449" s="6">
        <f>Database!$A5534</f>
        <v/>
      </c>
      <c r="B3449">
        <f>IF(VLOOKUP(Table7[[#This Row],[Date]],Database!$A:$C,MATCH($B$1,Database!$A$1:$C$1,),)=0,#N/A,VLOOKUP(Table7[[#This Row],[Date]],Database!$A:$C,MATCH($B$1,Database!$A$1:$C$1,),))</f>
        <v/>
      </c>
      <c r="C3449">
        <f>IF(VLOOKUP(Table7[[#This Row],[Date]],Database!$A:$C,MATCH($C$1,Database!$A$1:$C$1,),)=0,#N/A,VLOOKUP(Table7[[#This Row],[Date]],Database!$A:$C,MATCH($C$1,Database!$A$1:$C$1,),))</f>
        <v/>
      </c>
      <c r="D3449">
        <f>IFERROR(Table7[[#This Row],[United States 10y]]-Table7[[#This Row],[United States 3y]],#N/A)</f>
        <v/>
      </c>
    </row>
    <row r="3450">
      <c r="A3450" s="6">
        <f>Database!$A5535</f>
        <v/>
      </c>
      <c r="B3450">
        <f>IF(VLOOKUP(Table7[[#This Row],[Date]],Database!$A:$C,MATCH($B$1,Database!$A$1:$C$1,),)=0,#N/A,VLOOKUP(Table7[[#This Row],[Date]],Database!$A:$C,MATCH($B$1,Database!$A$1:$C$1,),))</f>
        <v/>
      </c>
      <c r="C3450">
        <f>IF(VLOOKUP(Table7[[#This Row],[Date]],Database!$A:$C,MATCH($C$1,Database!$A$1:$C$1,),)=0,#N/A,VLOOKUP(Table7[[#This Row],[Date]],Database!$A:$C,MATCH($C$1,Database!$A$1:$C$1,),))</f>
        <v/>
      </c>
      <c r="D3450">
        <f>IFERROR(Table7[[#This Row],[United States 10y]]-Table7[[#This Row],[United States 3y]],#N/A)</f>
        <v/>
      </c>
    </row>
    <row r="3451">
      <c r="A3451" s="6">
        <f>Database!$A5536</f>
        <v/>
      </c>
      <c r="B3451">
        <f>IF(VLOOKUP(Table7[[#This Row],[Date]],Database!$A:$C,MATCH($B$1,Database!$A$1:$C$1,),)=0,#N/A,VLOOKUP(Table7[[#This Row],[Date]],Database!$A:$C,MATCH($B$1,Database!$A$1:$C$1,),))</f>
        <v/>
      </c>
      <c r="C3451">
        <f>IF(VLOOKUP(Table7[[#This Row],[Date]],Database!$A:$C,MATCH($C$1,Database!$A$1:$C$1,),)=0,#N/A,VLOOKUP(Table7[[#This Row],[Date]],Database!$A:$C,MATCH($C$1,Database!$A$1:$C$1,),))</f>
        <v/>
      </c>
      <c r="D3451">
        <f>IFERROR(Table7[[#This Row],[United States 10y]]-Table7[[#This Row],[United States 3y]],#N/A)</f>
        <v/>
      </c>
    </row>
    <row r="3452">
      <c r="A3452" s="6">
        <f>Database!$A5537</f>
        <v/>
      </c>
      <c r="B3452">
        <f>IF(VLOOKUP(Table7[[#This Row],[Date]],Database!$A:$C,MATCH($B$1,Database!$A$1:$C$1,),)=0,#N/A,VLOOKUP(Table7[[#This Row],[Date]],Database!$A:$C,MATCH($B$1,Database!$A$1:$C$1,),))</f>
        <v/>
      </c>
      <c r="C3452">
        <f>IF(VLOOKUP(Table7[[#This Row],[Date]],Database!$A:$C,MATCH($C$1,Database!$A$1:$C$1,),)=0,#N/A,VLOOKUP(Table7[[#This Row],[Date]],Database!$A:$C,MATCH($C$1,Database!$A$1:$C$1,),))</f>
        <v/>
      </c>
      <c r="D3452">
        <f>IFERROR(Table7[[#This Row],[United States 10y]]-Table7[[#This Row],[United States 3y]],#N/A)</f>
        <v/>
      </c>
    </row>
    <row r="3453">
      <c r="A3453" s="6">
        <f>Database!$A5538</f>
        <v/>
      </c>
      <c r="B3453">
        <f>IF(VLOOKUP(Table7[[#This Row],[Date]],Database!$A:$C,MATCH($B$1,Database!$A$1:$C$1,),)=0,#N/A,VLOOKUP(Table7[[#This Row],[Date]],Database!$A:$C,MATCH($B$1,Database!$A$1:$C$1,),))</f>
        <v/>
      </c>
      <c r="C3453">
        <f>IF(VLOOKUP(Table7[[#This Row],[Date]],Database!$A:$C,MATCH($C$1,Database!$A$1:$C$1,),)=0,#N/A,VLOOKUP(Table7[[#This Row],[Date]],Database!$A:$C,MATCH($C$1,Database!$A$1:$C$1,),))</f>
        <v/>
      </c>
      <c r="D3453">
        <f>IFERROR(Table7[[#This Row],[United States 10y]]-Table7[[#This Row],[United States 3y]],#N/A)</f>
        <v/>
      </c>
    </row>
    <row r="3454">
      <c r="A3454" s="6">
        <f>Database!$A5539</f>
        <v/>
      </c>
      <c r="B3454">
        <f>IF(VLOOKUP(Table7[[#This Row],[Date]],Database!$A:$C,MATCH($B$1,Database!$A$1:$C$1,),)=0,#N/A,VLOOKUP(Table7[[#This Row],[Date]],Database!$A:$C,MATCH($B$1,Database!$A$1:$C$1,),))</f>
        <v/>
      </c>
      <c r="C3454">
        <f>IF(VLOOKUP(Table7[[#This Row],[Date]],Database!$A:$C,MATCH($C$1,Database!$A$1:$C$1,),)=0,#N/A,VLOOKUP(Table7[[#This Row],[Date]],Database!$A:$C,MATCH($C$1,Database!$A$1:$C$1,),))</f>
        <v/>
      </c>
      <c r="D3454">
        <f>IFERROR(Table7[[#This Row],[United States 10y]]-Table7[[#This Row],[United States 3y]],#N/A)</f>
        <v/>
      </c>
    </row>
    <row r="3455">
      <c r="A3455" s="6">
        <f>Database!$A5540</f>
        <v/>
      </c>
      <c r="B3455">
        <f>IF(VLOOKUP(Table7[[#This Row],[Date]],Database!$A:$C,MATCH($B$1,Database!$A$1:$C$1,),)=0,#N/A,VLOOKUP(Table7[[#This Row],[Date]],Database!$A:$C,MATCH($B$1,Database!$A$1:$C$1,),))</f>
        <v/>
      </c>
      <c r="C3455">
        <f>IF(VLOOKUP(Table7[[#This Row],[Date]],Database!$A:$C,MATCH($C$1,Database!$A$1:$C$1,),)=0,#N/A,VLOOKUP(Table7[[#This Row],[Date]],Database!$A:$C,MATCH($C$1,Database!$A$1:$C$1,),))</f>
        <v/>
      </c>
      <c r="D3455">
        <f>IFERROR(Table7[[#This Row],[United States 10y]]-Table7[[#This Row],[United States 3y]],#N/A)</f>
        <v/>
      </c>
    </row>
    <row r="3456">
      <c r="A3456" s="6">
        <f>Database!$A5541</f>
        <v/>
      </c>
      <c r="B3456">
        <f>IF(VLOOKUP(Table7[[#This Row],[Date]],Database!$A:$C,MATCH($B$1,Database!$A$1:$C$1,),)=0,#N/A,VLOOKUP(Table7[[#This Row],[Date]],Database!$A:$C,MATCH($B$1,Database!$A$1:$C$1,),))</f>
        <v/>
      </c>
      <c r="C3456">
        <f>IF(VLOOKUP(Table7[[#This Row],[Date]],Database!$A:$C,MATCH($C$1,Database!$A$1:$C$1,),)=0,#N/A,VLOOKUP(Table7[[#This Row],[Date]],Database!$A:$C,MATCH($C$1,Database!$A$1:$C$1,),))</f>
        <v/>
      </c>
      <c r="D3456">
        <f>IFERROR(Table7[[#This Row],[United States 10y]]-Table7[[#This Row],[United States 3y]],#N/A)</f>
        <v/>
      </c>
    </row>
    <row r="3457">
      <c r="A3457" s="6">
        <f>Database!$A5542</f>
        <v/>
      </c>
      <c r="B3457">
        <f>IF(VLOOKUP(Table7[[#This Row],[Date]],Database!$A:$C,MATCH($B$1,Database!$A$1:$C$1,),)=0,#N/A,VLOOKUP(Table7[[#This Row],[Date]],Database!$A:$C,MATCH($B$1,Database!$A$1:$C$1,),))</f>
        <v/>
      </c>
      <c r="C3457">
        <f>IF(VLOOKUP(Table7[[#This Row],[Date]],Database!$A:$C,MATCH($C$1,Database!$A$1:$C$1,),)=0,#N/A,VLOOKUP(Table7[[#This Row],[Date]],Database!$A:$C,MATCH($C$1,Database!$A$1:$C$1,),))</f>
        <v/>
      </c>
      <c r="D3457">
        <f>IFERROR(Table7[[#This Row],[United States 10y]]-Table7[[#This Row],[United States 3y]],#N/A)</f>
        <v/>
      </c>
    </row>
    <row r="3458">
      <c r="A3458" s="6">
        <f>Database!$A5543</f>
        <v/>
      </c>
      <c r="B3458">
        <f>IF(VLOOKUP(Table7[[#This Row],[Date]],Database!$A:$C,MATCH($B$1,Database!$A$1:$C$1,),)=0,#N/A,VLOOKUP(Table7[[#This Row],[Date]],Database!$A:$C,MATCH($B$1,Database!$A$1:$C$1,),))</f>
        <v/>
      </c>
      <c r="C3458">
        <f>IF(VLOOKUP(Table7[[#This Row],[Date]],Database!$A:$C,MATCH($C$1,Database!$A$1:$C$1,),)=0,#N/A,VLOOKUP(Table7[[#This Row],[Date]],Database!$A:$C,MATCH($C$1,Database!$A$1:$C$1,),))</f>
        <v/>
      </c>
      <c r="D3458">
        <f>IFERROR(Table7[[#This Row],[United States 10y]]-Table7[[#This Row],[United States 3y]],#N/A)</f>
        <v/>
      </c>
    </row>
    <row r="3459">
      <c r="A3459" s="6">
        <f>Database!$A5544</f>
        <v/>
      </c>
      <c r="B3459">
        <f>IF(VLOOKUP(Table7[[#This Row],[Date]],Database!$A:$C,MATCH($B$1,Database!$A$1:$C$1,),)=0,#N/A,VLOOKUP(Table7[[#This Row],[Date]],Database!$A:$C,MATCH($B$1,Database!$A$1:$C$1,),))</f>
        <v/>
      </c>
      <c r="C3459">
        <f>IF(VLOOKUP(Table7[[#This Row],[Date]],Database!$A:$C,MATCH($C$1,Database!$A$1:$C$1,),)=0,#N/A,VLOOKUP(Table7[[#This Row],[Date]],Database!$A:$C,MATCH($C$1,Database!$A$1:$C$1,),))</f>
        <v/>
      </c>
      <c r="D3459">
        <f>IFERROR(Table7[[#This Row],[United States 10y]]-Table7[[#This Row],[United States 3y]],#N/A)</f>
        <v/>
      </c>
    </row>
    <row r="3460">
      <c r="A3460" s="6">
        <f>Database!$A5545</f>
        <v/>
      </c>
      <c r="B3460">
        <f>IF(VLOOKUP(Table7[[#This Row],[Date]],Database!$A:$C,MATCH($B$1,Database!$A$1:$C$1,),)=0,#N/A,VLOOKUP(Table7[[#This Row],[Date]],Database!$A:$C,MATCH($B$1,Database!$A$1:$C$1,),))</f>
        <v/>
      </c>
      <c r="C3460">
        <f>IF(VLOOKUP(Table7[[#This Row],[Date]],Database!$A:$C,MATCH($C$1,Database!$A$1:$C$1,),)=0,#N/A,VLOOKUP(Table7[[#This Row],[Date]],Database!$A:$C,MATCH($C$1,Database!$A$1:$C$1,),))</f>
        <v/>
      </c>
      <c r="D3460">
        <f>IFERROR(Table7[[#This Row],[United States 10y]]-Table7[[#This Row],[United States 3y]],#N/A)</f>
        <v/>
      </c>
    </row>
    <row r="3461">
      <c r="A3461" s="6">
        <f>Database!$A5546</f>
        <v/>
      </c>
      <c r="B3461">
        <f>IF(VLOOKUP(Table7[[#This Row],[Date]],Database!$A:$C,MATCH($B$1,Database!$A$1:$C$1,),)=0,#N/A,VLOOKUP(Table7[[#This Row],[Date]],Database!$A:$C,MATCH($B$1,Database!$A$1:$C$1,),))</f>
        <v/>
      </c>
      <c r="C3461">
        <f>IF(VLOOKUP(Table7[[#This Row],[Date]],Database!$A:$C,MATCH($C$1,Database!$A$1:$C$1,),)=0,#N/A,VLOOKUP(Table7[[#This Row],[Date]],Database!$A:$C,MATCH($C$1,Database!$A$1:$C$1,),))</f>
        <v/>
      </c>
      <c r="D3461">
        <f>IFERROR(Table7[[#This Row],[United States 10y]]-Table7[[#This Row],[United States 3y]],#N/A)</f>
        <v/>
      </c>
    </row>
    <row r="3462">
      <c r="A3462" s="6">
        <f>Database!$A5547</f>
        <v/>
      </c>
      <c r="B3462">
        <f>IF(VLOOKUP(Table7[[#This Row],[Date]],Database!$A:$C,MATCH($B$1,Database!$A$1:$C$1,),)=0,#N/A,VLOOKUP(Table7[[#This Row],[Date]],Database!$A:$C,MATCH($B$1,Database!$A$1:$C$1,),))</f>
        <v/>
      </c>
      <c r="C3462">
        <f>IF(VLOOKUP(Table7[[#This Row],[Date]],Database!$A:$C,MATCH($C$1,Database!$A$1:$C$1,),)=0,#N/A,VLOOKUP(Table7[[#This Row],[Date]],Database!$A:$C,MATCH($C$1,Database!$A$1:$C$1,),))</f>
        <v/>
      </c>
      <c r="D3462">
        <f>IFERROR(Table7[[#This Row],[United States 10y]]-Table7[[#This Row],[United States 3y]],#N/A)</f>
        <v/>
      </c>
    </row>
    <row r="3463">
      <c r="A3463" s="6">
        <f>Database!$A5548</f>
        <v/>
      </c>
      <c r="B3463">
        <f>IF(VLOOKUP(Table7[[#This Row],[Date]],Database!$A:$C,MATCH($B$1,Database!$A$1:$C$1,),)=0,#N/A,VLOOKUP(Table7[[#This Row],[Date]],Database!$A:$C,MATCH($B$1,Database!$A$1:$C$1,),))</f>
        <v/>
      </c>
      <c r="C3463">
        <f>IF(VLOOKUP(Table7[[#This Row],[Date]],Database!$A:$C,MATCH($C$1,Database!$A$1:$C$1,),)=0,#N/A,VLOOKUP(Table7[[#This Row],[Date]],Database!$A:$C,MATCH($C$1,Database!$A$1:$C$1,),))</f>
        <v/>
      </c>
      <c r="D3463">
        <f>IFERROR(Table7[[#This Row],[United States 10y]]-Table7[[#This Row],[United States 3y]],#N/A)</f>
        <v/>
      </c>
    </row>
    <row r="3464">
      <c r="A3464" s="6">
        <f>Database!$A5549</f>
        <v/>
      </c>
      <c r="B3464">
        <f>IF(VLOOKUP(Table7[[#This Row],[Date]],Database!$A:$C,MATCH($B$1,Database!$A$1:$C$1,),)=0,#N/A,VLOOKUP(Table7[[#This Row],[Date]],Database!$A:$C,MATCH($B$1,Database!$A$1:$C$1,),))</f>
        <v/>
      </c>
      <c r="C3464">
        <f>IF(VLOOKUP(Table7[[#This Row],[Date]],Database!$A:$C,MATCH($C$1,Database!$A$1:$C$1,),)=0,#N/A,VLOOKUP(Table7[[#This Row],[Date]],Database!$A:$C,MATCH($C$1,Database!$A$1:$C$1,),))</f>
        <v/>
      </c>
      <c r="D3464">
        <f>IFERROR(Table7[[#This Row],[United States 10y]]-Table7[[#This Row],[United States 3y]],#N/A)</f>
        <v/>
      </c>
    </row>
    <row r="3465">
      <c r="A3465" s="6">
        <f>Database!$A5550</f>
        <v/>
      </c>
      <c r="B3465">
        <f>IF(VLOOKUP(Table7[[#This Row],[Date]],Database!$A:$C,MATCH($B$1,Database!$A$1:$C$1,),)=0,#N/A,VLOOKUP(Table7[[#This Row],[Date]],Database!$A:$C,MATCH($B$1,Database!$A$1:$C$1,),))</f>
        <v/>
      </c>
      <c r="C3465">
        <f>IF(VLOOKUP(Table7[[#This Row],[Date]],Database!$A:$C,MATCH($C$1,Database!$A$1:$C$1,),)=0,#N/A,VLOOKUP(Table7[[#This Row],[Date]],Database!$A:$C,MATCH($C$1,Database!$A$1:$C$1,),))</f>
        <v/>
      </c>
      <c r="D3465">
        <f>IFERROR(Table7[[#This Row],[United States 10y]]-Table7[[#This Row],[United States 3y]],#N/A)</f>
        <v/>
      </c>
    </row>
    <row r="3466">
      <c r="A3466" s="6">
        <f>Database!$A5551</f>
        <v/>
      </c>
      <c r="B3466">
        <f>IF(VLOOKUP(Table7[[#This Row],[Date]],Database!$A:$C,MATCH($B$1,Database!$A$1:$C$1,),)=0,#N/A,VLOOKUP(Table7[[#This Row],[Date]],Database!$A:$C,MATCH($B$1,Database!$A$1:$C$1,),))</f>
        <v/>
      </c>
      <c r="C3466">
        <f>IF(VLOOKUP(Table7[[#This Row],[Date]],Database!$A:$C,MATCH($C$1,Database!$A$1:$C$1,),)=0,#N/A,VLOOKUP(Table7[[#This Row],[Date]],Database!$A:$C,MATCH($C$1,Database!$A$1:$C$1,),))</f>
        <v/>
      </c>
      <c r="D3466">
        <f>IFERROR(Table7[[#This Row],[United States 10y]]-Table7[[#This Row],[United States 3y]],#N/A)</f>
        <v/>
      </c>
    </row>
    <row r="3467">
      <c r="A3467" s="6">
        <f>Database!$A5552</f>
        <v/>
      </c>
      <c r="B3467">
        <f>IF(VLOOKUP(Table7[[#This Row],[Date]],Database!$A:$C,MATCH($B$1,Database!$A$1:$C$1,),)=0,#N/A,VLOOKUP(Table7[[#This Row],[Date]],Database!$A:$C,MATCH($B$1,Database!$A$1:$C$1,),))</f>
        <v/>
      </c>
      <c r="C3467">
        <f>IF(VLOOKUP(Table7[[#This Row],[Date]],Database!$A:$C,MATCH($C$1,Database!$A$1:$C$1,),)=0,#N/A,VLOOKUP(Table7[[#This Row],[Date]],Database!$A:$C,MATCH($C$1,Database!$A$1:$C$1,),))</f>
        <v/>
      </c>
      <c r="D3467">
        <f>IFERROR(Table7[[#This Row],[United States 10y]]-Table7[[#This Row],[United States 3y]],#N/A)</f>
        <v/>
      </c>
    </row>
    <row r="3468">
      <c r="A3468" s="6">
        <f>Database!$A5553</f>
        <v/>
      </c>
      <c r="B3468">
        <f>IF(VLOOKUP(Table7[[#This Row],[Date]],Database!$A:$C,MATCH($B$1,Database!$A$1:$C$1,),)=0,#N/A,VLOOKUP(Table7[[#This Row],[Date]],Database!$A:$C,MATCH($B$1,Database!$A$1:$C$1,),))</f>
        <v/>
      </c>
      <c r="C3468">
        <f>IF(VLOOKUP(Table7[[#This Row],[Date]],Database!$A:$C,MATCH($C$1,Database!$A$1:$C$1,),)=0,#N/A,VLOOKUP(Table7[[#This Row],[Date]],Database!$A:$C,MATCH($C$1,Database!$A$1:$C$1,),))</f>
        <v/>
      </c>
      <c r="D3468">
        <f>IFERROR(Table7[[#This Row],[United States 10y]]-Table7[[#This Row],[United States 3y]],#N/A)</f>
        <v/>
      </c>
    </row>
    <row r="3469">
      <c r="A3469" s="6">
        <f>Database!$A5554</f>
        <v/>
      </c>
      <c r="B3469">
        <f>IF(VLOOKUP(Table7[[#This Row],[Date]],Database!$A:$C,MATCH($B$1,Database!$A$1:$C$1,),)=0,#N/A,VLOOKUP(Table7[[#This Row],[Date]],Database!$A:$C,MATCH($B$1,Database!$A$1:$C$1,),))</f>
        <v/>
      </c>
      <c r="C3469">
        <f>IF(VLOOKUP(Table7[[#This Row],[Date]],Database!$A:$C,MATCH($C$1,Database!$A$1:$C$1,),)=0,#N/A,VLOOKUP(Table7[[#This Row],[Date]],Database!$A:$C,MATCH($C$1,Database!$A$1:$C$1,),))</f>
        <v/>
      </c>
      <c r="D3469">
        <f>IFERROR(Table7[[#This Row],[United States 10y]]-Table7[[#This Row],[United States 3y]],#N/A)</f>
        <v/>
      </c>
    </row>
    <row r="3470">
      <c r="A3470" s="6">
        <f>Database!$A5555</f>
        <v/>
      </c>
      <c r="B3470">
        <f>IF(VLOOKUP(Table7[[#This Row],[Date]],Database!$A:$C,MATCH($B$1,Database!$A$1:$C$1,),)=0,#N/A,VLOOKUP(Table7[[#This Row],[Date]],Database!$A:$C,MATCH($B$1,Database!$A$1:$C$1,),))</f>
        <v/>
      </c>
      <c r="C3470">
        <f>IF(VLOOKUP(Table7[[#This Row],[Date]],Database!$A:$C,MATCH($C$1,Database!$A$1:$C$1,),)=0,#N/A,VLOOKUP(Table7[[#This Row],[Date]],Database!$A:$C,MATCH($C$1,Database!$A$1:$C$1,),))</f>
        <v/>
      </c>
      <c r="D3470">
        <f>IFERROR(Table7[[#This Row],[United States 10y]]-Table7[[#This Row],[United States 3y]],#N/A)</f>
        <v/>
      </c>
    </row>
    <row r="3471">
      <c r="A3471" s="6">
        <f>Database!$A5556</f>
        <v/>
      </c>
      <c r="B3471">
        <f>IF(VLOOKUP(Table7[[#This Row],[Date]],Database!$A:$C,MATCH($B$1,Database!$A$1:$C$1,),)=0,#N/A,VLOOKUP(Table7[[#This Row],[Date]],Database!$A:$C,MATCH($B$1,Database!$A$1:$C$1,),))</f>
        <v/>
      </c>
      <c r="C3471">
        <f>IF(VLOOKUP(Table7[[#This Row],[Date]],Database!$A:$C,MATCH($C$1,Database!$A$1:$C$1,),)=0,#N/A,VLOOKUP(Table7[[#This Row],[Date]],Database!$A:$C,MATCH($C$1,Database!$A$1:$C$1,),))</f>
        <v/>
      </c>
      <c r="D3471">
        <f>IFERROR(Table7[[#This Row],[United States 10y]]-Table7[[#This Row],[United States 3y]],#N/A)</f>
        <v/>
      </c>
    </row>
    <row r="3472">
      <c r="A3472" s="6">
        <f>Database!$A5557</f>
        <v/>
      </c>
      <c r="B3472">
        <f>IF(VLOOKUP(Table7[[#This Row],[Date]],Database!$A:$C,MATCH($B$1,Database!$A$1:$C$1,),)=0,#N/A,VLOOKUP(Table7[[#This Row],[Date]],Database!$A:$C,MATCH($B$1,Database!$A$1:$C$1,),))</f>
        <v/>
      </c>
      <c r="C3472">
        <f>IF(VLOOKUP(Table7[[#This Row],[Date]],Database!$A:$C,MATCH($C$1,Database!$A$1:$C$1,),)=0,#N/A,VLOOKUP(Table7[[#This Row],[Date]],Database!$A:$C,MATCH($C$1,Database!$A$1:$C$1,),))</f>
        <v/>
      </c>
      <c r="D3472">
        <f>IFERROR(Table7[[#This Row],[United States 10y]]-Table7[[#This Row],[United States 3y]],#N/A)</f>
        <v/>
      </c>
    </row>
    <row r="3473">
      <c r="A3473" s="6">
        <f>Database!$A5558</f>
        <v/>
      </c>
      <c r="B3473">
        <f>IF(VLOOKUP(Table7[[#This Row],[Date]],Database!$A:$C,MATCH($B$1,Database!$A$1:$C$1,),)=0,#N/A,VLOOKUP(Table7[[#This Row],[Date]],Database!$A:$C,MATCH($B$1,Database!$A$1:$C$1,),))</f>
        <v/>
      </c>
      <c r="C3473">
        <f>IF(VLOOKUP(Table7[[#This Row],[Date]],Database!$A:$C,MATCH($C$1,Database!$A$1:$C$1,),)=0,#N/A,VLOOKUP(Table7[[#This Row],[Date]],Database!$A:$C,MATCH($C$1,Database!$A$1:$C$1,),))</f>
        <v/>
      </c>
      <c r="D3473">
        <f>IFERROR(Table7[[#This Row],[United States 10y]]-Table7[[#This Row],[United States 3y]],#N/A)</f>
        <v/>
      </c>
    </row>
    <row r="3474">
      <c r="A3474" s="6">
        <f>Database!$A5559</f>
        <v/>
      </c>
      <c r="B3474">
        <f>IF(VLOOKUP(Table7[[#This Row],[Date]],Database!$A:$C,MATCH($B$1,Database!$A$1:$C$1,),)=0,#N/A,VLOOKUP(Table7[[#This Row],[Date]],Database!$A:$C,MATCH($B$1,Database!$A$1:$C$1,),))</f>
        <v/>
      </c>
      <c r="C3474">
        <f>IF(VLOOKUP(Table7[[#This Row],[Date]],Database!$A:$C,MATCH($C$1,Database!$A$1:$C$1,),)=0,#N/A,VLOOKUP(Table7[[#This Row],[Date]],Database!$A:$C,MATCH($C$1,Database!$A$1:$C$1,),))</f>
        <v/>
      </c>
      <c r="D3474">
        <f>IFERROR(Table7[[#This Row],[United States 10y]]-Table7[[#This Row],[United States 3y]],#N/A)</f>
        <v/>
      </c>
    </row>
    <row r="3475">
      <c r="A3475" s="6">
        <f>Database!$A5560</f>
        <v/>
      </c>
      <c r="B3475">
        <f>IF(VLOOKUP(Table7[[#This Row],[Date]],Database!$A:$C,MATCH($B$1,Database!$A$1:$C$1,),)=0,#N/A,VLOOKUP(Table7[[#This Row],[Date]],Database!$A:$C,MATCH($B$1,Database!$A$1:$C$1,),))</f>
        <v/>
      </c>
      <c r="C3475">
        <f>IF(VLOOKUP(Table7[[#This Row],[Date]],Database!$A:$C,MATCH($C$1,Database!$A$1:$C$1,),)=0,#N/A,VLOOKUP(Table7[[#This Row],[Date]],Database!$A:$C,MATCH($C$1,Database!$A$1:$C$1,),))</f>
        <v/>
      </c>
      <c r="D3475">
        <f>IFERROR(Table7[[#This Row],[United States 10y]]-Table7[[#This Row],[United States 3y]],#N/A)</f>
        <v/>
      </c>
    </row>
    <row r="3476">
      <c r="A3476" s="6">
        <f>Database!$A5561</f>
        <v/>
      </c>
      <c r="B3476">
        <f>IF(VLOOKUP(Table7[[#This Row],[Date]],Database!$A:$C,MATCH($B$1,Database!$A$1:$C$1,),)=0,#N/A,VLOOKUP(Table7[[#This Row],[Date]],Database!$A:$C,MATCH($B$1,Database!$A$1:$C$1,),))</f>
        <v/>
      </c>
      <c r="C3476">
        <f>IF(VLOOKUP(Table7[[#This Row],[Date]],Database!$A:$C,MATCH($C$1,Database!$A$1:$C$1,),)=0,#N/A,VLOOKUP(Table7[[#This Row],[Date]],Database!$A:$C,MATCH($C$1,Database!$A$1:$C$1,),))</f>
        <v/>
      </c>
      <c r="D3476">
        <f>IFERROR(Table7[[#This Row],[United States 10y]]-Table7[[#This Row],[United States 3y]],#N/A)</f>
        <v/>
      </c>
    </row>
    <row r="3477">
      <c r="A3477" s="6">
        <f>Database!$A5562</f>
        <v/>
      </c>
      <c r="B3477">
        <f>IF(VLOOKUP(Table7[[#This Row],[Date]],Database!$A:$C,MATCH($B$1,Database!$A$1:$C$1,),)=0,#N/A,VLOOKUP(Table7[[#This Row],[Date]],Database!$A:$C,MATCH($B$1,Database!$A$1:$C$1,),))</f>
        <v/>
      </c>
      <c r="C3477">
        <f>IF(VLOOKUP(Table7[[#This Row],[Date]],Database!$A:$C,MATCH($C$1,Database!$A$1:$C$1,),)=0,#N/A,VLOOKUP(Table7[[#This Row],[Date]],Database!$A:$C,MATCH($C$1,Database!$A$1:$C$1,),))</f>
        <v/>
      </c>
      <c r="D3477">
        <f>IFERROR(Table7[[#This Row],[United States 10y]]-Table7[[#This Row],[United States 3y]],#N/A)</f>
        <v/>
      </c>
    </row>
    <row r="3478">
      <c r="A3478" s="6">
        <f>Database!$A5563</f>
        <v/>
      </c>
      <c r="B3478">
        <f>IF(VLOOKUP(Table7[[#This Row],[Date]],Database!$A:$C,MATCH($B$1,Database!$A$1:$C$1,),)=0,#N/A,VLOOKUP(Table7[[#This Row],[Date]],Database!$A:$C,MATCH($B$1,Database!$A$1:$C$1,),))</f>
        <v/>
      </c>
      <c r="C3478">
        <f>IF(VLOOKUP(Table7[[#This Row],[Date]],Database!$A:$C,MATCH($C$1,Database!$A$1:$C$1,),)=0,#N/A,VLOOKUP(Table7[[#This Row],[Date]],Database!$A:$C,MATCH($C$1,Database!$A$1:$C$1,),))</f>
        <v/>
      </c>
      <c r="D3478">
        <f>IFERROR(Table7[[#This Row],[United States 10y]]-Table7[[#This Row],[United States 3y]],#N/A)</f>
        <v/>
      </c>
    </row>
    <row r="3479">
      <c r="A3479" s="6">
        <f>Database!$A5564</f>
        <v/>
      </c>
      <c r="B3479">
        <f>IF(VLOOKUP(Table7[[#This Row],[Date]],Database!$A:$C,MATCH($B$1,Database!$A$1:$C$1,),)=0,#N/A,VLOOKUP(Table7[[#This Row],[Date]],Database!$A:$C,MATCH($B$1,Database!$A$1:$C$1,),))</f>
        <v/>
      </c>
      <c r="C3479">
        <f>IF(VLOOKUP(Table7[[#This Row],[Date]],Database!$A:$C,MATCH($C$1,Database!$A$1:$C$1,),)=0,#N/A,VLOOKUP(Table7[[#This Row],[Date]],Database!$A:$C,MATCH($C$1,Database!$A$1:$C$1,),))</f>
        <v/>
      </c>
      <c r="D3479">
        <f>IFERROR(Table7[[#This Row],[United States 10y]]-Table7[[#This Row],[United States 3y]],#N/A)</f>
        <v/>
      </c>
    </row>
    <row r="3480">
      <c r="A3480" s="6">
        <f>Database!$A5565</f>
        <v/>
      </c>
      <c r="B3480">
        <f>IF(VLOOKUP(Table7[[#This Row],[Date]],Database!$A:$C,MATCH($B$1,Database!$A$1:$C$1,),)=0,#N/A,VLOOKUP(Table7[[#This Row],[Date]],Database!$A:$C,MATCH($B$1,Database!$A$1:$C$1,),))</f>
        <v/>
      </c>
      <c r="C3480">
        <f>IF(VLOOKUP(Table7[[#This Row],[Date]],Database!$A:$C,MATCH($C$1,Database!$A$1:$C$1,),)=0,#N/A,VLOOKUP(Table7[[#This Row],[Date]],Database!$A:$C,MATCH($C$1,Database!$A$1:$C$1,),))</f>
        <v/>
      </c>
      <c r="D3480">
        <f>IFERROR(Table7[[#This Row],[United States 10y]]-Table7[[#This Row],[United States 3y]],#N/A)</f>
        <v/>
      </c>
    </row>
    <row r="3481">
      <c r="A3481" s="6">
        <f>Database!$A5566</f>
        <v/>
      </c>
      <c r="B3481">
        <f>IF(VLOOKUP(Table7[[#This Row],[Date]],Database!$A:$C,MATCH($B$1,Database!$A$1:$C$1,),)=0,#N/A,VLOOKUP(Table7[[#This Row],[Date]],Database!$A:$C,MATCH($B$1,Database!$A$1:$C$1,),))</f>
        <v/>
      </c>
      <c r="C3481">
        <f>IF(VLOOKUP(Table7[[#This Row],[Date]],Database!$A:$C,MATCH($C$1,Database!$A$1:$C$1,),)=0,#N/A,VLOOKUP(Table7[[#This Row],[Date]],Database!$A:$C,MATCH($C$1,Database!$A$1:$C$1,),))</f>
        <v/>
      </c>
      <c r="D3481">
        <f>IFERROR(Table7[[#This Row],[United States 10y]]-Table7[[#This Row],[United States 3y]],#N/A)</f>
        <v/>
      </c>
    </row>
    <row r="3482">
      <c r="A3482" s="6">
        <f>Database!$A5567</f>
        <v/>
      </c>
      <c r="B3482">
        <f>IF(VLOOKUP(Table7[[#This Row],[Date]],Database!$A:$C,MATCH($B$1,Database!$A$1:$C$1,),)=0,#N/A,VLOOKUP(Table7[[#This Row],[Date]],Database!$A:$C,MATCH($B$1,Database!$A$1:$C$1,),))</f>
        <v/>
      </c>
      <c r="C3482">
        <f>IF(VLOOKUP(Table7[[#This Row],[Date]],Database!$A:$C,MATCH($C$1,Database!$A$1:$C$1,),)=0,#N/A,VLOOKUP(Table7[[#This Row],[Date]],Database!$A:$C,MATCH($C$1,Database!$A$1:$C$1,),))</f>
        <v/>
      </c>
      <c r="D3482">
        <f>IFERROR(Table7[[#This Row],[United States 10y]]-Table7[[#This Row],[United States 3y]],#N/A)</f>
        <v/>
      </c>
    </row>
    <row r="3483">
      <c r="A3483" s="6">
        <f>Database!$A5568</f>
        <v/>
      </c>
      <c r="B3483">
        <f>IF(VLOOKUP(Table7[[#This Row],[Date]],Database!$A:$C,MATCH($B$1,Database!$A$1:$C$1,),)=0,#N/A,VLOOKUP(Table7[[#This Row],[Date]],Database!$A:$C,MATCH($B$1,Database!$A$1:$C$1,),))</f>
        <v/>
      </c>
      <c r="C3483">
        <f>IF(VLOOKUP(Table7[[#This Row],[Date]],Database!$A:$C,MATCH($C$1,Database!$A$1:$C$1,),)=0,#N/A,VLOOKUP(Table7[[#This Row],[Date]],Database!$A:$C,MATCH($C$1,Database!$A$1:$C$1,),))</f>
        <v/>
      </c>
      <c r="D3483">
        <f>IFERROR(Table7[[#This Row],[United States 10y]]-Table7[[#This Row],[United States 3y]],#N/A)</f>
        <v/>
      </c>
    </row>
    <row r="3484">
      <c r="A3484" s="6">
        <f>Database!$A5569</f>
        <v/>
      </c>
      <c r="B3484">
        <f>IF(VLOOKUP(Table7[[#This Row],[Date]],Database!$A:$C,MATCH($B$1,Database!$A$1:$C$1,),)=0,#N/A,VLOOKUP(Table7[[#This Row],[Date]],Database!$A:$C,MATCH($B$1,Database!$A$1:$C$1,),))</f>
        <v/>
      </c>
      <c r="C3484">
        <f>IF(VLOOKUP(Table7[[#This Row],[Date]],Database!$A:$C,MATCH($C$1,Database!$A$1:$C$1,),)=0,#N/A,VLOOKUP(Table7[[#This Row],[Date]],Database!$A:$C,MATCH($C$1,Database!$A$1:$C$1,),))</f>
        <v/>
      </c>
      <c r="D3484">
        <f>IFERROR(Table7[[#This Row],[United States 10y]]-Table7[[#This Row],[United States 3y]],#N/A)</f>
        <v/>
      </c>
    </row>
    <row r="3485">
      <c r="A3485" s="6">
        <f>Database!$A5570</f>
        <v/>
      </c>
      <c r="B3485">
        <f>IF(VLOOKUP(Table7[[#This Row],[Date]],Database!$A:$C,MATCH($B$1,Database!$A$1:$C$1,),)=0,#N/A,VLOOKUP(Table7[[#This Row],[Date]],Database!$A:$C,MATCH($B$1,Database!$A$1:$C$1,),))</f>
        <v/>
      </c>
      <c r="C3485">
        <f>IF(VLOOKUP(Table7[[#This Row],[Date]],Database!$A:$C,MATCH($C$1,Database!$A$1:$C$1,),)=0,#N/A,VLOOKUP(Table7[[#This Row],[Date]],Database!$A:$C,MATCH($C$1,Database!$A$1:$C$1,),))</f>
        <v/>
      </c>
      <c r="D3485">
        <f>IFERROR(Table7[[#This Row],[United States 10y]]-Table7[[#This Row],[United States 3y]],#N/A)</f>
        <v/>
      </c>
    </row>
    <row r="3486">
      <c r="A3486" s="6">
        <f>Database!$A5571</f>
        <v/>
      </c>
      <c r="B3486">
        <f>IF(VLOOKUP(Table7[[#This Row],[Date]],Database!$A:$C,MATCH($B$1,Database!$A$1:$C$1,),)=0,#N/A,VLOOKUP(Table7[[#This Row],[Date]],Database!$A:$C,MATCH($B$1,Database!$A$1:$C$1,),))</f>
        <v/>
      </c>
      <c r="C3486">
        <f>IF(VLOOKUP(Table7[[#This Row],[Date]],Database!$A:$C,MATCH($C$1,Database!$A$1:$C$1,),)=0,#N/A,VLOOKUP(Table7[[#This Row],[Date]],Database!$A:$C,MATCH($C$1,Database!$A$1:$C$1,),))</f>
        <v/>
      </c>
      <c r="D3486">
        <f>IFERROR(Table7[[#This Row],[United States 10y]]-Table7[[#This Row],[United States 3y]],#N/A)</f>
        <v/>
      </c>
    </row>
    <row r="3487">
      <c r="A3487" s="6">
        <f>Database!$A5572</f>
        <v/>
      </c>
      <c r="B3487">
        <f>IF(VLOOKUP(Table7[[#This Row],[Date]],Database!$A:$C,MATCH($B$1,Database!$A$1:$C$1,),)=0,#N/A,VLOOKUP(Table7[[#This Row],[Date]],Database!$A:$C,MATCH($B$1,Database!$A$1:$C$1,),))</f>
        <v/>
      </c>
      <c r="C3487">
        <f>IF(VLOOKUP(Table7[[#This Row],[Date]],Database!$A:$C,MATCH($C$1,Database!$A$1:$C$1,),)=0,#N/A,VLOOKUP(Table7[[#This Row],[Date]],Database!$A:$C,MATCH($C$1,Database!$A$1:$C$1,),))</f>
        <v/>
      </c>
      <c r="D3487">
        <f>IFERROR(Table7[[#This Row],[United States 10y]]-Table7[[#This Row],[United States 3y]],#N/A)</f>
        <v/>
      </c>
    </row>
    <row r="3488">
      <c r="A3488" s="6">
        <f>Database!$A5573</f>
        <v/>
      </c>
      <c r="B3488">
        <f>IF(VLOOKUP(Table7[[#This Row],[Date]],Database!$A:$C,MATCH($B$1,Database!$A$1:$C$1,),)=0,#N/A,VLOOKUP(Table7[[#This Row],[Date]],Database!$A:$C,MATCH($B$1,Database!$A$1:$C$1,),))</f>
        <v/>
      </c>
      <c r="C3488">
        <f>IF(VLOOKUP(Table7[[#This Row],[Date]],Database!$A:$C,MATCH($C$1,Database!$A$1:$C$1,),)=0,#N/A,VLOOKUP(Table7[[#This Row],[Date]],Database!$A:$C,MATCH($C$1,Database!$A$1:$C$1,),))</f>
        <v/>
      </c>
      <c r="D3488">
        <f>IFERROR(Table7[[#This Row],[United States 10y]]-Table7[[#This Row],[United States 3y]],#N/A)</f>
        <v/>
      </c>
    </row>
    <row r="3489">
      <c r="A3489" s="6">
        <f>Database!$A5574</f>
        <v/>
      </c>
      <c r="B3489">
        <f>IF(VLOOKUP(Table7[[#This Row],[Date]],Database!$A:$C,MATCH($B$1,Database!$A$1:$C$1,),)=0,#N/A,VLOOKUP(Table7[[#This Row],[Date]],Database!$A:$C,MATCH($B$1,Database!$A$1:$C$1,),))</f>
        <v/>
      </c>
      <c r="C3489">
        <f>IF(VLOOKUP(Table7[[#This Row],[Date]],Database!$A:$C,MATCH($C$1,Database!$A$1:$C$1,),)=0,#N/A,VLOOKUP(Table7[[#This Row],[Date]],Database!$A:$C,MATCH($C$1,Database!$A$1:$C$1,),))</f>
        <v/>
      </c>
      <c r="D3489">
        <f>IFERROR(Table7[[#This Row],[United States 10y]]-Table7[[#This Row],[United States 3y]],#N/A)</f>
        <v/>
      </c>
    </row>
    <row r="3490">
      <c r="A3490" s="6">
        <f>Database!$A5575</f>
        <v/>
      </c>
      <c r="B3490">
        <f>IF(VLOOKUP(Table7[[#This Row],[Date]],Database!$A:$C,MATCH($B$1,Database!$A$1:$C$1,),)=0,#N/A,VLOOKUP(Table7[[#This Row],[Date]],Database!$A:$C,MATCH($B$1,Database!$A$1:$C$1,),))</f>
        <v/>
      </c>
      <c r="C3490">
        <f>IF(VLOOKUP(Table7[[#This Row],[Date]],Database!$A:$C,MATCH($C$1,Database!$A$1:$C$1,),)=0,#N/A,VLOOKUP(Table7[[#This Row],[Date]],Database!$A:$C,MATCH($C$1,Database!$A$1:$C$1,),))</f>
        <v/>
      </c>
      <c r="D3490">
        <f>IFERROR(Table7[[#This Row],[United States 10y]]-Table7[[#This Row],[United States 3y]],#N/A)</f>
        <v/>
      </c>
    </row>
    <row r="3491">
      <c r="A3491" s="6">
        <f>Database!$A5576</f>
        <v/>
      </c>
      <c r="B3491">
        <f>IF(VLOOKUP(Table7[[#This Row],[Date]],Database!$A:$C,MATCH($B$1,Database!$A$1:$C$1,),)=0,#N/A,VLOOKUP(Table7[[#This Row],[Date]],Database!$A:$C,MATCH($B$1,Database!$A$1:$C$1,),))</f>
        <v/>
      </c>
      <c r="C3491">
        <f>IF(VLOOKUP(Table7[[#This Row],[Date]],Database!$A:$C,MATCH($C$1,Database!$A$1:$C$1,),)=0,#N/A,VLOOKUP(Table7[[#This Row],[Date]],Database!$A:$C,MATCH($C$1,Database!$A$1:$C$1,),))</f>
        <v/>
      </c>
      <c r="D3491">
        <f>IFERROR(Table7[[#This Row],[United States 10y]]-Table7[[#This Row],[United States 3y]],#N/A)</f>
        <v/>
      </c>
    </row>
    <row r="3492">
      <c r="A3492" s="6">
        <f>Database!$A5577</f>
        <v/>
      </c>
      <c r="B3492">
        <f>IF(VLOOKUP(Table7[[#This Row],[Date]],Database!$A:$C,MATCH($B$1,Database!$A$1:$C$1,),)=0,#N/A,VLOOKUP(Table7[[#This Row],[Date]],Database!$A:$C,MATCH($B$1,Database!$A$1:$C$1,),))</f>
        <v/>
      </c>
      <c r="C3492">
        <f>IF(VLOOKUP(Table7[[#This Row],[Date]],Database!$A:$C,MATCH($C$1,Database!$A$1:$C$1,),)=0,#N/A,VLOOKUP(Table7[[#This Row],[Date]],Database!$A:$C,MATCH($C$1,Database!$A$1:$C$1,),))</f>
        <v/>
      </c>
      <c r="D3492">
        <f>IFERROR(Table7[[#This Row],[United States 10y]]-Table7[[#This Row],[United States 3y]],#N/A)</f>
        <v/>
      </c>
    </row>
    <row r="3493">
      <c r="A3493" s="6">
        <f>Database!$A5578</f>
        <v/>
      </c>
      <c r="B3493">
        <f>IF(VLOOKUP(Table7[[#This Row],[Date]],Database!$A:$C,MATCH($B$1,Database!$A$1:$C$1,),)=0,#N/A,VLOOKUP(Table7[[#This Row],[Date]],Database!$A:$C,MATCH($B$1,Database!$A$1:$C$1,),))</f>
        <v/>
      </c>
      <c r="C3493">
        <f>IF(VLOOKUP(Table7[[#This Row],[Date]],Database!$A:$C,MATCH($C$1,Database!$A$1:$C$1,),)=0,#N/A,VLOOKUP(Table7[[#This Row],[Date]],Database!$A:$C,MATCH($C$1,Database!$A$1:$C$1,),))</f>
        <v/>
      </c>
      <c r="D3493">
        <f>IFERROR(Table7[[#This Row],[United States 10y]]-Table7[[#This Row],[United States 3y]],#N/A)</f>
        <v/>
      </c>
    </row>
    <row r="3494">
      <c r="A3494" s="6">
        <f>Database!$A5579</f>
        <v/>
      </c>
      <c r="B3494">
        <f>IF(VLOOKUP(Table7[[#This Row],[Date]],Database!$A:$C,MATCH($B$1,Database!$A$1:$C$1,),)=0,#N/A,VLOOKUP(Table7[[#This Row],[Date]],Database!$A:$C,MATCH($B$1,Database!$A$1:$C$1,),))</f>
        <v/>
      </c>
      <c r="C3494">
        <f>IF(VLOOKUP(Table7[[#This Row],[Date]],Database!$A:$C,MATCH($C$1,Database!$A$1:$C$1,),)=0,#N/A,VLOOKUP(Table7[[#This Row],[Date]],Database!$A:$C,MATCH($C$1,Database!$A$1:$C$1,),))</f>
        <v/>
      </c>
      <c r="D3494">
        <f>IFERROR(Table7[[#This Row],[United States 10y]]-Table7[[#This Row],[United States 3y]],#N/A)</f>
        <v/>
      </c>
    </row>
    <row r="3495">
      <c r="A3495" s="6">
        <f>Database!$A5580</f>
        <v/>
      </c>
      <c r="B3495">
        <f>IF(VLOOKUP(Table7[[#This Row],[Date]],Database!$A:$C,MATCH($B$1,Database!$A$1:$C$1,),)=0,#N/A,VLOOKUP(Table7[[#This Row],[Date]],Database!$A:$C,MATCH($B$1,Database!$A$1:$C$1,),))</f>
        <v/>
      </c>
      <c r="C3495">
        <f>IF(VLOOKUP(Table7[[#This Row],[Date]],Database!$A:$C,MATCH($C$1,Database!$A$1:$C$1,),)=0,#N/A,VLOOKUP(Table7[[#This Row],[Date]],Database!$A:$C,MATCH($C$1,Database!$A$1:$C$1,),))</f>
        <v/>
      </c>
      <c r="D3495">
        <f>IFERROR(Table7[[#This Row],[United States 10y]]-Table7[[#This Row],[United States 3y]],#N/A)</f>
        <v/>
      </c>
    </row>
    <row r="3496">
      <c r="A3496" s="6">
        <f>Database!$A5581</f>
        <v/>
      </c>
      <c r="B3496">
        <f>IF(VLOOKUP(Table7[[#This Row],[Date]],Database!$A:$C,MATCH($B$1,Database!$A$1:$C$1,),)=0,#N/A,VLOOKUP(Table7[[#This Row],[Date]],Database!$A:$C,MATCH($B$1,Database!$A$1:$C$1,),))</f>
        <v/>
      </c>
      <c r="C3496">
        <f>IF(VLOOKUP(Table7[[#This Row],[Date]],Database!$A:$C,MATCH($C$1,Database!$A$1:$C$1,),)=0,#N/A,VLOOKUP(Table7[[#This Row],[Date]],Database!$A:$C,MATCH($C$1,Database!$A$1:$C$1,),))</f>
        <v/>
      </c>
      <c r="D3496">
        <f>IFERROR(Table7[[#This Row],[United States 10y]]-Table7[[#This Row],[United States 3y]],#N/A)</f>
        <v/>
      </c>
    </row>
    <row r="3497">
      <c r="A3497" s="6">
        <f>Database!$A5582</f>
        <v/>
      </c>
      <c r="B3497">
        <f>IF(VLOOKUP(Table7[[#This Row],[Date]],Database!$A:$C,MATCH($B$1,Database!$A$1:$C$1,),)=0,#N/A,VLOOKUP(Table7[[#This Row],[Date]],Database!$A:$C,MATCH($B$1,Database!$A$1:$C$1,),))</f>
        <v/>
      </c>
      <c r="C3497">
        <f>IF(VLOOKUP(Table7[[#This Row],[Date]],Database!$A:$C,MATCH($C$1,Database!$A$1:$C$1,),)=0,#N/A,VLOOKUP(Table7[[#This Row],[Date]],Database!$A:$C,MATCH($C$1,Database!$A$1:$C$1,),))</f>
        <v/>
      </c>
      <c r="D3497">
        <f>IFERROR(Table7[[#This Row],[United States 10y]]-Table7[[#This Row],[United States 3y]],#N/A)</f>
        <v/>
      </c>
    </row>
    <row r="3498">
      <c r="A3498" s="6">
        <f>Database!$A5583</f>
        <v/>
      </c>
      <c r="B3498">
        <f>IF(VLOOKUP(Table7[[#This Row],[Date]],Database!$A:$C,MATCH($B$1,Database!$A$1:$C$1,),)=0,#N/A,VLOOKUP(Table7[[#This Row],[Date]],Database!$A:$C,MATCH($B$1,Database!$A$1:$C$1,),))</f>
        <v/>
      </c>
      <c r="C3498">
        <f>IF(VLOOKUP(Table7[[#This Row],[Date]],Database!$A:$C,MATCH($C$1,Database!$A$1:$C$1,),)=0,#N/A,VLOOKUP(Table7[[#This Row],[Date]],Database!$A:$C,MATCH($C$1,Database!$A$1:$C$1,),))</f>
        <v/>
      </c>
      <c r="D3498">
        <f>IFERROR(Table7[[#This Row],[United States 10y]]-Table7[[#This Row],[United States 3y]],#N/A)</f>
        <v/>
      </c>
    </row>
    <row r="3499">
      <c r="A3499" s="6">
        <f>Database!$A5584</f>
        <v/>
      </c>
      <c r="B3499">
        <f>IF(VLOOKUP(Table7[[#This Row],[Date]],Database!$A:$C,MATCH($B$1,Database!$A$1:$C$1,),)=0,#N/A,VLOOKUP(Table7[[#This Row],[Date]],Database!$A:$C,MATCH($B$1,Database!$A$1:$C$1,),))</f>
        <v/>
      </c>
      <c r="C3499">
        <f>IF(VLOOKUP(Table7[[#This Row],[Date]],Database!$A:$C,MATCH($C$1,Database!$A$1:$C$1,),)=0,#N/A,VLOOKUP(Table7[[#This Row],[Date]],Database!$A:$C,MATCH($C$1,Database!$A$1:$C$1,),))</f>
        <v/>
      </c>
      <c r="D3499">
        <f>IFERROR(Table7[[#This Row],[United States 10y]]-Table7[[#This Row],[United States 3y]],#N/A)</f>
        <v/>
      </c>
    </row>
    <row r="3500">
      <c r="A3500" s="6">
        <f>Database!$A5585</f>
        <v/>
      </c>
      <c r="B3500">
        <f>IF(VLOOKUP(Table7[[#This Row],[Date]],Database!$A:$C,MATCH($B$1,Database!$A$1:$C$1,),)=0,#N/A,VLOOKUP(Table7[[#This Row],[Date]],Database!$A:$C,MATCH($B$1,Database!$A$1:$C$1,),))</f>
        <v/>
      </c>
      <c r="C3500">
        <f>IF(VLOOKUP(Table7[[#This Row],[Date]],Database!$A:$C,MATCH($C$1,Database!$A$1:$C$1,),)=0,#N/A,VLOOKUP(Table7[[#This Row],[Date]],Database!$A:$C,MATCH($C$1,Database!$A$1:$C$1,),))</f>
        <v/>
      </c>
      <c r="D3500">
        <f>IFERROR(Table7[[#This Row],[United States 10y]]-Table7[[#This Row],[United States 3y]],#N/A)</f>
        <v/>
      </c>
    </row>
    <row r="3501">
      <c r="A3501" s="6">
        <f>Database!$A5586</f>
        <v/>
      </c>
      <c r="B3501">
        <f>IF(VLOOKUP(Table7[[#This Row],[Date]],Database!$A:$C,MATCH($B$1,Database!$A$1:$C$1,),)=0,#N/A,VLOOKUP(Table7[[#This Row],[Date]],Database!$A:$C,MATCH($B$1,Database!$A$1:$C$1,),))</f>
        <v/>
      </c>
      <c r="C3501">
        <f>IF(VLOOKUP(Table7[[#This Row],[Date]],Database!$A:$C,MATCH($C$1,Database!$A$1:$C$1,),)=0,#N/A,VLOOKUP(Table7[[#This Row],[Date]],Database!$A:$C,MATCH($C$1,Database!$A$1:$C$1,),))</f>
        <v/>
      </c>
      <c r="D3501">
        <f>IFERROR(Table7[[#This Row],[United States 10y]]-Table7[[#This Row],[United States 3y]],#N/A)</f>
        <v/>
      </c>
    </row>
    <row r="3502">
      <c r="A3502" s="6">
        <f>Database!$A5587</f>
        <v/>
      </c>
      <c r="B3502">
        <f>IF(VLOOKUP(Table7[[#This Row],[Date]],Database!$A:$C,MATCH($B$1,Database!$A$1:$C$1,),)=0,#N/A,VLOOKUP(Table7[[#This Row],[Date]],Database!$A:$C,MATCH($B$1,Database!$A$1:$C$1,),))</f>
        <v/>
      </c>
      <c r="C3502">
        <f>IF(VLOOKUP(Table7[[#This Row],[Date]],Database!$A:$C,MATCH($C$1,Database!$A$1:$C$1,),)=0,#N/A,VLOOKUP(Table7[[#This Row],[Date]],Database!$A:$C,MATCH($C$1,Database!$A$1:$C$1,),))</f>
        <v/>
      </c>
      <c r="D3502">
        <f>IFERROR(Table7[[#This Row],[United States 10y]]-Table7[[#This Row],[United States 3y]],#N/A)</f>
        <v/>
      </c>
    </row>
    <row r="3503">
      <c r="A3503" s="6">
        <f>Database!$A5588</f>
        <v/>
      </c>
      <c r="B3503">
        <f>IF(VLOOKUP(Table7[[#This Row],[Date]],Database!$A:$C,MATCH($B$1,Database!$A$1:$C$1,),)=0,#N/A,VLOOKUP(Table7[[#This Row],[Date]],Database!$A:$C,MATCH($B$1,Database!$A$1:$C$1,),))</f>
        <v/>
      </c>
      <c r="C3503">
        <f>IF(VLOOKUP(Table7[[#This Row],[Date]],Database!$A:$C,MATCH($C$1,Database!$A$1:$C$1,),)=0,#N/A,VLOOKUP(Table7[[#This Row],[Date]],Database!$A:$C,MATCH($C$1,Database!$A$1:$C$1,),))</f>
        <v/>
      </c>
      <c r="D3503">
        <f>IFERROR(Table7[[#This Row],[United States 10y]]-Table7[[#This Row],[United States 3y]],#N/A)</f>
        <v/>
      </c>
    </row>
    <row r="3504">
      <c r="A3504" s="6">
        <f>Database!$A5589</f>
        <v/>
      </c>
      <c r="B3504">
        <f>IF(VLOOKUP(Table7[[#This Row],[Date]],Database!$A:$C,MATCH($B$1,Database!$A$1:$C$1,),)=0,#N/A,VLOOKUP(Table7[[#This Row],[Date]],Database!$A:$C,MATCH($B$1,Database!$A$1:$C$1,),))</f>
        <v/>
      </c>
      <c r="C3504">
        <f>IF(VLOOKUP(Table7[[#This Row],[Date]],Database!$A:$C,MATCH($C$1,Database!$A$1:$C$1,),)=0,#N/A,VLOOKUP(Table7[[#This Row],[Date]],Database!$A:$C,MATCH($C$1,Database!$A$1:$C$1,),))</f>
        <v/>
      </c>
      <c r="D3504">
        <f>IFERROR(Table7[[#This Row],[United States 10y]]-Table7[[#This Row],[United States 3y]],#N/A)</f>
        <v/>
      </c>
    </row>
    <row r="3505">
      <c r="A3505" s="6">
        <f>Database!$A5590</f>
        <v/>
      </c>
      <c r="B3505">
        <f>IF(VLOOKUP(Table7[[#This Row],[Date]],Database!$A:$C,MATCH($B$1,Database!$A$1:$C$1,),)=0,#N/A,VLOOKUP(Table7[[#This Row],[Date]],Database!$A:$C,MATCH($B$1,Database!$A$1:$C$1,),))</f>
        <v/>
      </c>
      <c r="C3505">
        <f>IF(VLOOKUP(Table7[[#This Row],[Date]],Database!$A:$C,MATCH($C$1,Database!$A$1:$C$1,),)=0,#N/A,VLOOKUP(Table7[[#This Row],[Date]],Database!$A:$C,MATCH($C$1,Database!$A$1:$C$1,),))</f>
        <v/>
      </c>
      <c r="D3505">
        <f>IFERROR(Table7[[#This Row],[United States 10y]]-Table7[[#This Row],[United States 3y]],#N/A)</f>
        <v/>
      </c>
    </row>
    <row r="3506">
      <c r="A3506" s="6">
        <f>Database!$A5591</f>
        <v/>
      </c>
      <c r="B3506">
        <f>IF(VLOOKUP(Table7[[#This Row],[Date]],Database!$A:$C,MATCH($B$1,Database!$A$1:$C$1,),)=0,#N/A,VLOOKUP(Table7[[#This Row],[Date]],Database!$A:$C,MATCH($B$1,Database!$A$1:$C$1,),))</f>
        <v/>
      </c>
      <c r="C3506">
        <f>IF(VLOOKUP(Table7[[#This Row],[Date]],Database!$A:$C,MATCH($C$1,Database!$A$1:$C$1,),)=0,#N/A,VLOOKUP(Table7[[#This Row],[Date]],Database!$A:$C,MATCH($C$1,Database!$A$1:$C$1,),))</f>
        <v/>
      </c>
      <c r="D3506">
        <f>IFERROR(Table7[[#This Row],[United States 10y]]-Table7[[#This Row],[United States 3y]],#N/A)</f>
        <v/>
      </c>
    </row>
    <row r="3507">
      <c r="A3507" s="6">
        <f>Database!$A5592</f>
        <v/>
      </c>
      <c r="B3507">
        <f>IF(VLOOKUP(Table7[[#This Row],[Date]],Database!$A:$C,MATCH($B$1,Database!$A$1:$C$1,),)=0,#N/A,VLOOKUP(Table7[[#This Row],[Date]],Database!$A:$C,MATCH($B$1,Database!$A$1:$C$1,),))</f>
        <v/>
      </c>
      <c r="C3507">
        <f>IF(VLOOKUP(Table7[[#This Row],[Date]],Database!$A:$C,MATCH($C$1,Database!$A$1:$C$1,),)=0,#N/A,VLOOKUP(Table7[[#This Row],[Date]],Database!$A:$C,MATCH($C$1,Database!$A$1:$C$1,),))</f>
        <v/>
      </c>
      <c r="D3507">
        <f>IFERROR(Table7[[#This Row],[United States 10y]]-Table7[[#This Row],[United States 3y]],#N/A)</f>
        <v/>
      </c>
    </row>
    <row r="3508">
      <c r="A3508" s="6">
        <f>Database!$A5593</f>
        <v/>
      </c>
      <c r="B3508">
        <f>IF(VLOOKUP(Table7[[#This Row],[Date]],Database!$A:$C,MATCH($B$1,Database!$A$1:$C$1,),)=0,#N/A,VLOOKUP(Table7[[#This Row],[Date]],Database!$A:$C,MATCH($B$1,Database!$A$1:$C$1,),))</f>
        <v/>
      </c>
      <c r="C3508">
        <f>IF(VLOOKUP(Table7[[#This Row],[Date]],Database!$A:$C,MATCH($C$1,Database!$A$1:$C$1,),)=0,#N/A,VLOOKUP(Table7[[#This Row],[Date]],Database!$A:$C,MATCH($C$1,Database!$A$1:$C$1,),))</f>
        <v/>
      </c>
      <c r="D3508">
        <f>IFERROR(Table7[[#This Row],[United States 10y]]-Table7[[#This Row],[United States 3y]],#N/A)</f>
        <v/>
      </c>
    </row>
    <row r="3509">
      <c r="A3509" s="6">
        <f>Database!$A5594</f>
        <v/>
      </c>
      <c r="B3509">
        <f>IF(VLOOKUP(Table7[[#This Row],[Date]],Database!$A:$C,MATCH($B$1,Database!$A$1:$C$1,),)=0,#N/A,VLOOKUP(Table7[[#This Row],[Date]],Database!$A:$C,MATCH($B$1,Database!$A$1:$C$1,),))</f>
        <v/>
      </c>
      <c r="C3509">
        <f>IF(VLOOKUP(Table7[[#This Row],[Date]],Database!$A:$C,MATCH($C$1,Database!$A$1:$C$1,),)=0,#N/A,VLOOKUP(Table7[[#This Row],[Date]],Database!$A:$C,MATCH($C$1,Database!$A$1:$C$1,),))</f>
        <v/>
      </c>
      <c r="D3509">
        <f>IFERROR(Table7[[#This Row],[United States 10y]]-Table7[[#This Row],[United States 3y]],#N/A)</f>
        <v/>
      </c>
    </row>
    <row r="3510">
      <c r="A3510" s="6">
        <f>Database!$A5595</f>
        <v/>
      </c>
      <c r="B3510">
        <f>IF(VLOOKUP(Table7[[#This Row],[Date]],Database!$A:$C,MATCH($B$1,Database!$A$1:$C$1,),)=0,#N/A,VLOOKUP(Table7[[#This Row],[Date]],Database!$A:$C,MATCH($B$1,Database!$A$1:$C$1,),))</f>
        <v/>
      </c>
      <c r="C3510">
        <f>IF(VLOOKUP(Table7[[#This Row],[Date]],Database!$A:$C,MATCH($C$1,Database!$A$1:$C$1,),)=0,#N/A,VLOOKUP(Table7[[#This Row],[Date]],Database!$A:$C,MATCH($C$1,Database!$A$1:$C$1,),))</f>
        <v/>
      </c>
      <c r="D3510">
        <f>IFERROR(Table7[[#This Row],[United States 10y]]-Table7[[#This Row],[United States 3y]],#N/A)</f>
        <v/>
      </c>
    </row>
    <row r="3511">
      <c r="A3511" s="6">
        <f>Database!$A5596</f>
        <v/>
      </c>
      <c r="B3511">
        <f>IF(VLOOKUP(Table7[[#This Row],[Date]],Database!$A:$C,MATCH($B$1,Database!$A$1:$C$1,),)=0,#N/A,VLOOKUP(Table7[[#This Row],[Date]],Database!$A:$C,MATCH($B$1,Database!$A$1:$C$1,),))</f>
        <v/>
      </c>
      <c r="C3511">
        <f>IF(VLOOKUP(Table7[[#This Row],[Date]],Database!$A:$C,MATCH($C$1,Database!$A$1:$C$1,),)=0,#N/A,VLOOKUP(Table7[[#This Row],[Date]],Database!$A:$C,MATCH($C$1,Database!$A$1:$C$1,),))</f>
        <v/>
      </c>
      <c r="D3511">
        <f>IFERROR(Table7[[#This Row],[United States 10y]]-Table7[[#This Row],[United States 3y]],#N/A)</f>
        <v/>
      </c>
    </row>
    <row r="3512">
      <c r="A3512" s="6">
        <f>Database!$A5597</f>
        <v/>
      </c>
      <c r="B3512">
        <f>IF(VLOOKUP(Table7[[#This Row],[Date]],Database!$A:$C,MATCH($B$1,Database!$A$1:$C$1,),)=0,#N/A,VLOOKUP(Table7[[#This Row],[Date]],Database!$A:$C,MATCH($B$1,Database!$A$1:$C$1,),))</f>
        <v/>
      </c>
      <c r="C3512">
        <f>IF(VLOOKUP(Table7[[#This Row],[Date]],Database!$A:$C,MATCH($C$1,Database!$A$1:$C$1,),)=0,#N/A,VLOOKUP(Table7[[#This Row],[Date]],Database!$A:$C,MATCH($C$1,Database!$A$1:$C$1,),))</f>
        <v/>
      </c>
      <c r="D3512">
        <f>IFERROR(Table7[[#This Row],[United States 10y]]-Table7[[#This Row],[United States 3y]],#N/A)</f>
        <v/>
      </c>
    </row>
    <row r="3513">
      <c r="A3513" s="6">
        <f>Database!$A5598</f>
        <v/>
      </c>
      <c r="B3513">
        <f>IF(VLOOKUP(Table7[[#This Row],[Date]],Database!$A:$C,MATCH($B$1,Database!$A$1:$C$1,),)=0,#N/A,VLOOKUP(Table7[[#This Row],[Date]],Database!$A:$C,MATCH($B$1,Database!$A$1:$C$1,),))</f>
        <v/>
      </c>
      <c r="C3513">
        <f>IF(VLOOKUP(Table7[[#This Row],[Date]],Database!$A:$C,MATCH($C$1,Database!$A$1:$C$1,),)=0,#N/A,VLOOKUP(Table7[[#This Row],[Date]],Database!$A:$C,MATCH($C$1,Database!$A$1:$C$1,),))</f>
        <v/>
      </c>
      <c r="D3513">
        <f>IFERROR(Table7[[#This Row],[United States 10y]]-Table7[[#This Row],[United States 3y]],#N/A)</f>
        <v/>
      </c>
    </row>
    <row r="3514">
      <c r="A3514" s="6">
        <f>Database!$A5599</f>
        <v/>
      </c>
      <c r="B3514">
        <f>IF(VLOOKUP(Table7[[#This Row],[Date]],Database!$A:$C,MATCH($B$1,Database!$A$1:$C$1,),)=0,#N/A,VLOOKUP(Table7[[#This Row],[Date]],Database!$A:$C,MATCH($B$1,Database!$A$1:$C$1,),))</f>
        <v/>
      </c>
      <c r="C3514">
        <f>IF(VLOOKUP(Table7[[#This Row],[Date]],Database!$A:$C,MATCH($C$1,Database!$A$1:$C$1,),)=0,#N/A,VLOOKUP(Table7[[#This Row],[Date]],Database!$A:$C,MATCH($C$1,Database!$A$1:$C$1,),))</f>
        <v/>
      </c>
      <c r="D3514">
        <f>IFERROR(Table7[[#This Row],[United States 10y]]-Table7[[#This Row],[United States 3y]],#N/A)</f>
        <v/>
      </c>
    </row>
    <row r="3515">
      <c r="A3515" s="6">
        <f>Database!$A5600</f>
        <v/>
      </c>
      <c r="B3515">
        <f>IF(VLOOKUP(Table7[[#This Row],[Date]],Database!$A:$C,MATCH($B$1,Database!$A$1:$C$1,),)=0,#N/A,VLOOKUP(Table7[[#This Row],[Date]],Database!$A:$C,MATCH($B$1,Database!$A$1:$C$1,),))</f>
        <v/>
      </c>
      <c r="C3515">
        <f>IF(VLOOKUP(Table7[[#This Row],[Date]],Database!$A:$C,MATCH($C$1,Database!$A$1:$C$1,),)=0,#N/A,VLOOKUP(Table7[[#This Row],[Date]],Database!$A:$C,MATCH($C$1,Database!$A$1:$C$1,),))</f>
        <v/>
      </c>
      <c r="D3515">
        <f>IFERROR(Table7[[#This Row],[United States 10y]]-Table7[[#This Row],[United States 3y]],#N/A)</f>
        <v/>
      </c>
    </row>
    <row r="3516">
      <c r="A3516" s="6">
        <f>Database!$A5601</f>
        <v/>
      </c>
      <c r="B3516">
        <f>IF(VLOOKUP(Table7[[#This Row],[Date]],Database!$A:$C,MATCH($B$1,Database!$A$1:$C$1,),)=0,#N/A,VLOOKUP(Table7[[#This Row],[Date]],Database!$A:$C,MATCH($B$1,Database!$A$1:$C$1,),))</f>
        <v/>
      </c>
      <c r="C3516">
        <f>IF(VLOOKUP(Table7[[#This Row],[Date]],Database!$A:$C,MATCH($C$1,Database!$A$1:$C$1,),)=0,#N/A,VLOOKUP(Table7[[#This Row],[Date]],Database!$A:$C,MATCH($C$1,Database!$A$1:$C$1,),))</f>
        <v/>
      </c>
      <c r="D3516">
        <f>IFERROR(Table7[[#This Row],[United States 10y]]-Table7[[#This Row],[United States 3y]],#N/A)</f>
        <v/>
      </c>
    </row>
    <row r="3517">
      <c r="A3517" s="6">
        <f>Database!$A5602</f>
        <v/>
      </c>
      <c r="B3517">
        <f>IF(VLOOKUP(Table7[[#This Row],[Date]],Database!$A:$C,MATCH($B$1,Database!$A$1:$C$1,),)=0,#N/A,VLOOKUP(Table7[[#This Row],[Date]],Database!$A:$C,MATCH($B$1,Database!$A$1:$C$1,),))</f>
        <v/>
      </c>
      <c r="C3517">
        <f>IF(VLOOKUP(Table7[[#This Row],[Date]],Database!$A:$C,MATCH($C$1,Database!$A$1:$C$1,),)=0,#N/A,VLOOKUP(Table7[[#This Row],[Date]],Database!$A:$C,MATCH($C$1,Database!$A$1:$C$1,),))</f>
        <v/>
      </c>
      <c r="D3517">
        <f>IFERROR(Table7[[#This Row],[United States 10y]]-Table7[[#This Row],[United States 3y]],#N/A)</f>
        <v/>
      </c>
    </row>
    <row r="3518">
      <c r="A3518" s="6">
        <f>Database!$A5603</f>
        <v/>
      </c>
      <c r="B3518">
        <f>IF(VLOOKUP(Table7[[#This Row],[Date]],Database!$A:$C,MATCH($B$1,Database!$A$1:$C$1,),)=0,#N/A,VLOOKUP(Table7[[#This Row],[Date]],Database!$A:$C,MATCH($B$1,Database!$A$1:$C$1,),))</f>
        <v/>
      </c>
      <c r="C3518">
        <f>IF(VLOOKUP(Table7[[#This Row],[Date]],Database!$A:$C,MATCH($C$1,Database!$A$1:$C$1,),)=0,#N/A,VLOOKUP(Table7[[#This Row],[Date]],Database!$A:$C,MATCH($C$1,Database!$A$1:$C$1,),))</f>
        <v/>
      </c>
      <c r="D3518">
        <f>IFERROR(Table7[[#This Row],[United States 10y]]-Table7[[#This Row],[United States 3y]],#N/A)</f>
        <v/>
      </c>
    </row>
    <row r="3519">
      <c r="A3519" s="6">
        <f>Database!$A5604</f>
        <v/>
      </c>
      <c r="B3519">
        <f>IF(VLOOKUP(Table7[[#This Row],[Date]],Database!$A:$C,MATCH($B$1,Database!$A$1:$C$1,),)=0,#N/A,VLOOKUP(Table7[[#This Row],[Date]],Database!$A:$C,MATCH($B$1,Database!$A$1:$C$1,),))</f>
        <v/>
      </c>
      <c r="C3519">
        <f>IF(VLOOKUP(Table7[[#This Row],[Date]],Database!$A:$C,MATCH($C$1,Database!$A$1:$C$1,),)=0,#N/A,VLOOKUP(Table7[[#This Row],[Date]],Database!$A:$C,MATCH($C$1,Database!$A$1:$C$1,),))</f>
        <v/>
      </c>
      <c r="D3519">
        <f>IFERROR(Table7[[#This Row],[United States 10y]]-Table7[[#This Row],[United States 3y]],#N/A)</f>
        <v/>
      </c>
    </row>
    <row r="3520">
      <c r="A3520" s="6">
        <f>Database!$A5605</f>
        <v/>
      </c>
      <c r="B3520">
        <f>IF(VLOOKUP(Table7[[#This Row],[Date]],Database!$A:$C,MATCH($B$1,Database!$A$1:$C$1,),)=0,#N/A,VLOOKUP(Table7[[#This Row],[Date]],Database!$A:$C,MATCH($B$1,Database!$A$1:$C$1,),))</f>
        <v/>
      </c>
      <c r="C3520">
        <f>IF(VLOOKUP(Table7[[#This Row],[Date]],Database!$A:$C,MATCH($C$1,Database!$A$1:$C$1,),)=0,#N/A,VLOOKUP(Table7[[#This Row],[Date]],Database!$A:$C,MATCH($C$1,Database!$A$1:$C$1,),))</f>
        <v/>
      </c>
      <c r="D3520">
        <f>IFERROR(Table7[[#This Row],[United States 10y]]-Table7[[#This Row],[United States 3y]],#N/A)</f>
        <v/>
      </c>
    </row>
    <row r="3521">
      <c r="A3521" s="6">
        <f>Database!$A5606</f>
        <v/>
      </c>
      <c r="B3521">
        <f>IF(VLOOKUP(Table7[[#This Row],[Date]],Database!$A:$C,MATCH($B$1,Database!$A$1:$C$1,),)=0,#N/A,VLOOKUP(Table7[[#This Row],[Date]],Database!$A:$C,MATCH($B$1,Database!$A$1:$C$1,),))</f>
        <v/>
      </c>
      <c r="C3521">
        <f>IF(VLOOKUP(Table7[[#This Row],[Date]],Database!$A:$C,MATCH($C$1,Database!$A$1:$C$1,),)=0,#N/A,VLOOKUP(Table7[[#This Row],[Date]],Database!$A:$C,MATCH($C$1,Database!$A$1:$C$1,),))</f>
        <v/>
      </c>
      <c r="D3521">
        <f>IFERROR(Table7[[#This Row],[United States 10y]]-Table7[[#This Row],[United States 3y]],#N/A)</f>
        <v/>
      </c>
    </row>
    <row r="3522">
      <c r="A3522" s="6">
        <f>Database!$A5607</f>
        <v/>
      </c>
      <c r="B3522">
        <f>IF(VLOOKUP(Table7[[#This Row],[Date]],Database!$A:$C,MATCH($B$1,Database!$A$1:$C$1,),)=0,#N/A,VLOOKUP(Table7[[#This Row],[Date]],Database!$A:$C,MATCH($B$1,Database!$A$1:$C$1,),))</f>
        <v/>
      </c>
      <c r="C3522">
        <f>IF(VLOOKUP(Table7[[#This Row],[Date]],Database!$A:$C,MATCH($C$1,Database!$A$1:$C$1,),)=0,#N/A,VLOOKUP(Table7[[#This Row],[Date]],Database!$A:$C,MATCH($C$1,Database!$A$1:$C$1,),))</f>
        <v/>
      </c>
      <c r="D3522">
        <f>IFERROR(Table7[[#This Row],[United States 10y]]-Table7[[#This Row],[United States 3y]],#N/A)</f>
        <v/>
      </c>
    </row>
    <row r="3523">
      <c r="A3523" s="6">
        <f>Database!$A5608</f>
        <v/>
      </c>
      <c r="B3523">
        <f>IF(VLOOKUP(Table7[[#This Row],[Date]],Database!$A:$C,MATCH($B$1,Database!$A$1:$C$1,),)=0,#N/A,VLOOKUP(Table7[[#This Row],[Date]],Database!$A:$C,MATCH($B$1,Database!$A$1:$C$1,),))</f>
        <v/>
      </c>
      <c r="C3523">
        <f>IF(VLOOKUP(Table7[[#This Row],[Date]],Database!$A:$C,MATCH($C$1,Database!$A$1:$C$1,),)=0,#N/A,VLOOKUP(Table7[[#This Row],[Date]],Database!$A:$C,MATCH($C$1,Database!$A$1:$C$1,),))</f>
        <v/>
      </c>
      <c r="D3523">
        <f>IFERROR(Table7[[#This Row],[United States 10y]]-Table7[[#This Row],[United States 3y]],#N/A)</f>
        <v/>
      </c>
    </row>
    <row r="3524">
      <c r="A3524" s="6">
        <f>Database!$A5609</f>
        <v/>
      </c>
      <c r="B3524">
        <f>IF(VLOOKUP(Table7[[#This Row],[Date]],Database!$A:$C,MATCH($B$1,Database!$A$1:$C$1,),)=0,#N/A,VLOOKUP(Table7[[#This Row],[Date]],Database!$A:$C,MATCH($B$1,Database!$A$1:$C$1,),))</f>
        <v/>
      </c>
      <c r="C3524">
        <f>IF(VLOOKUP(Table7[[#This Row],[Date]],Database!$A:$C,MATCH($C$1,Database!$A$1:$C$1,),)=0,#N/A,VLOOKUP(Table7[[#This Row],[Date]],Database!$A:$C,MATCH($C$1,Database!$A$1:$C$1,),))</f>
        <v/>
      </c>
      <c r="D3524">
        <f>IFERROR(Table7[[#This Row],[United States 10y]]-Table7[[#This Row],[United States 3y]],#N/A)</f>
        <v/>
      </c>
    </row>
    <row r="3525">
      <c r="A3525" s="6">
        <f>Database!$A5610</f>
        <v/>
      </c>
      <c r="B3525">
        <f>IF(VLOOKUP(Table7[[#This Row],[Date]],Database!$A:$C,MATCH($B$1,Database!$A$1:$C$1,),)=0,#N/A,VLOOKUP(Table7[[#This Row],[Date]],Database!$A:$C,MATCH($B$1,Database!$A$1:$C$1,),))</f>
        <v/>
      </c>
      <c r="C3525">
        <f>IF(VLOOKUP(Table7[[#This Row],[Date]],Database!$A:$C,MATCH($C$1,Database!$A$1:$C$1,),)=0,#N/A,VLOOKUP(Table7[[#This Row],[Date]],Database!$A:$C,MATCH($C$1,Database!$A$1:$C$1,),))</f>
        <v/>
      </c>
      <c r="D3525">
        <f>IFERROR(Table7[[#This Row],[United States 10y]]-Table7[[#This Row],[United States 3y]],#N/A)</f>
        <v/>
      </c>
    </row>
    <row r="3526">
      <c r="A3526" s="6">
        <f>Database!$A5611</f>
        <v/>
      </c>
      <c r="B3526">
        <f>IF(VLOOKUP(Table7[[#This Row],[Date]],Database!$A:$C,MATCH($B$1,Database!$A$1:$C$1,),)=0,#N/A,VLOOKUP(Table7[[#This Row],[Date]],Database!$A:$C,MATCH($B$1,Database!$A$1:$C$1,),))</f>
        <v/>
      </c>
      <c r="C3526">
        <f>IF(VLOOKUP(Table7[[#This Row],[Date]],Database!$A:$C,MATCH($C$1,Database!$A$1:$C$1,),)=0,#N/A,VLOOKUP(Table7[[#This Row],[Date]],Database!$A:$C,MATCH($C$1,Database!$A$1:$C$1,),))</f>
        <v/>
      </c>
      <c r="D3526">
        <f>IFERROR(Table7[[#This Row],[United States 10y]]-Table7[[#This Row],[United States 3y]],#N/A)</f>
        <v/>
      </c>
    </row>
    <row r="3527">
      <c r="A3527" s="6">
        <f>Database!$A5612</f>
        <v/>
      </c>
      <c r="B3527">
        <f>IF(VLOOKUP(Table7[[#This Row],[Date]],Database!$A:$C,MATCH($B$1,Database!$A$1:$C$1,),)=0,#N/A,VLOOKUP(Table7[[#This Row],[Date]],Database!$A:$C,MATCH($B$1,Database!$A$1:$C$1,),))</f>
        <v/>
      </c>
      <c r="C3527">
        <f>IF(VLOOKUP(Table7[[#This Row],[Date]],Database!$A:$C,MATCH($C$1,Database!$A$1:$C$1,),)=0,#N/A,VLOOKUP(Table7[[#This Row],[Date]],Database!$A:$C,MATCH($C$1,Database!$A$1:$C$1,),))</f>
        <v/>
      </c>
      <c r="D3527">
        <f>IFERROR(Table7[[#This Row],[United States 10y]]-Table7[[#This Row],[United States 3y]],#N/A)</f>
        <v/>
      </c>
    </row>
    <row r="3528">
      <c r="A3528" s="6">
        <f>Database!$A5613</f>
        <v/>
      </c>
      <c r="B3528">
        <f>IF(VLOOKUP(Table7[[#This Row],[Date]],Database!$A:$C,MATCH($B$1,Database!$A$1:$C$1,),)=0,#N/A,VLOOKUP(Table7[[#This Row],[Date]],Database!$A:$C,MATCH($B$1,Database!$A$1:$C$1,),))</f>
        <v/>
      </c>
      <c r="C3528">
        <f>IF(VLOOKUP(Table7[[#This Row],[Date]],Database!$A:$C,MATCH($C$1,Database!$A$1:$C$1,),)=0,#N/A,VLOOKUP(Table7[[#This Row],[Date]],Database!$A:$C,MATCH($C$1,Database!$A$1:$C$1,),))</f>
        <v/>
      </c>
      <c r="D3528">
        <f>IFERROR(Table7[[#This Row],[United States 10y]]-Table7[[#This Row],[United States 3y]],#N/A)</f>
        <v/>
      </c>
    </row>
    <row r="3529">
      <c r="A3529" s="6">
        <f>Database!$A5614</f>
        <v/>
      </c>
      <c r="B3529">
        <f>IF(VLOOKUP(Table7[[#This Row],[Date]],Database!$A:$C,MATCH($B$1,Database!$A$1:$C$1,),)=0,#N/A,VLOOKUP(Table7[[#This Row],[Date]],Database!$A:$C,MATCH($B$1,Database!$A$1:$C$1,),))</f>
        <v/>
      </c>
      <c r="C3529">
        <f>IF(VLOOKUP(Table7[[#This Row],[Date]],Database!$A:$C,MATCH($C$1,Database!$A$1:$C$1,),)=0,#N/A,VLOOKUP(Table7[[#This Row],[Date]],Database!$A:$C,MATCH($C$1,Database!$A$1:$C$1,),))</f>
        <v/>
      </c>
      <c r="D3529">
        <f>IFERROR(Table7[[#This Row],[United States 10y]]-Table7[[#This Row],[United States 3y]],#N/A)</f>
        <v/>
      </c>
    </row>
    <row r="3530">
      <c r="A3530" s="6">
        <f>Database!$A5615</f>
        <v/>
      </c>
      <c r="B3530">
        <f>IF(VLOOKUP(Table7[[#This Row],[Date]],Database!$A:$C,MATCH($B$1,Database!$A$1:$C$1,),)=0,#N/A,VLOOKUP(Table7[[#This Row],[Date]],Database!$A:$C,MATCH($B$1,Database!$A$1:$C$1,),))</f>
        <v/>
      </c>
      <c r="C3530">
        <f>IF(VLOOKUP(Table7[[#This Row],[Date]],Database!$A:$C,MATCH($C$1,Database!$A$1:$C$1,),)=0,#N/A,VLOOKUP(Table7[[#This Row],[Date]],Database!$A:$C,MATCH($C$1,Database!$A$1:$C$1,),))</f>
        <v/>
      </c>
      <c r="D3530">
        <f>IFERROR(Table7[[#This Row],[United States 10y]]-Table7[[#This Row],[United States 3y]],#N/A)</f>
        <v/>
      </c>
    </row>
    <row r="3531">
      <c r="A3531" s="6">
        <f>Database!$A5616</f>
        <v/>
      </c>
      <c r="B3531">
        <f>IF(VLOOKUP(Table7[[#This Row],[Date]],Database!$A:$C,MATCH($B$1,Database!$A$1:$C$1,),)=0,#N/A,VLOOKUP(Table7[[#This Row],[Date]],Database!$A:$C,MATCH($B$1,Database!$A$1:$C$1,),))</f>
        <v/>
      </c>
      <c r="C3531">
        <f>IF(VLOOKUP(Table7[[#This Row],[Date]],Database!$A:$C,MATCH($C$1,Database!$A$1:$C$1,),)=0,#N/A,VLOOKUP(Table7[[#This Row],[Date]],Database!$A:$C,MATCH($C$1,Database!$A$1:$C$1,),))</f>
        <v/>
      </c>
      <c r="D3531">
        <f>IFERROR(Table7[[#This Row],[United States 10y]]-Table7[[#This Row],[United States 3y]],#N/A)</f>
        <v/>
      </c>
    </row>
    <row r="3532">
      <c r="A3532" s="6">
        <f>Database!$A5617</f>
        <v/>
      </c>
      <c r="B3532">
        <f>IF(VLOOKUP(Table7[[#This Row],[Date]],Database!$A:$C,MATCH($B$1,Database!$A$1:$C$1,),)=0,#N/A,VLOOKUP(Table7[[#This Row],[Date]],Database!$A:$C,MATCH($B$1,Database!$A$1:$C$1,),))</f>
        <v/>
      </c>
      <c r="C3532">
        <f>IF(VLOOKUP(Table7[[#This Row],[Date]],Database!$A:$C,MATCH($C$1,Database!$A$1:$C$1,),)=0,#N/A,VLOOKUP(Table7[[#This Row],[Date]],Database!$A:$C,MATCH($C$1,Database!$A$1:$C$1,),))</f>
        <v/>
      </c>
      <c r="D3532">
        <f>IFERROR(Table7[[#This Row],[United States 10y]]-Table7[[#This Row],[United States 3y]],#N/A)</f>
        <v/>
      </c>
    </row>
    <row r="3533">
      <c r="A3533" s="6">
        <f>Database!$A5618</f>
        <v/>
      </c>
      <c r="B3533">
        <f>IF(VLOOKUP(Table7[[#This Row],[Date]],Database!$A:$C,MATCH($B$1,Database!$A$1:$C$1,),)=0,#N/A,VLOOKUP(Table7[[#This Row],[Date]],Database!$A:$C,MATCH($B$1,Database!$A$1:$C$1,),))</f>
        <v/>
      </c>
      <c r="C3533">
        <f>IF(VLOOKUP(Table7[[#This Row],[Date]],Database!$A:$C,MATCH($C$1,Database!$A$1:$C$1,),)=0,#N/A,VLOOKUP(Table7[[#This Row],[Date]],Database!$A:$C,MATCH($C$1,Database!$A$1:$C$1,),))</f>
        <v/>
      </c>
      <c r="D3533">
        <f>IFERROR(Table7[[#This Row],[United States 10y]]-Table7[[#This Row],[United States 3y]],#N/A)</f>
        <v/>
      </c>
    </row>
    <row r="3534">
      <c r="A3534" s="6">
        <f>Database!$A5619</f>
        <v/>
      </c>
      <c r="B3534">
        <f>IF(VLOOKUP(Table7[[#This Row],[Date]],Database!$A:$C,MATCH($B$1,Database!$A$1:$C$1,),)=0,#N/A,VLOOKUP(Table7[[#This Row],[Date]],Database!$A:$C,MATCH($B$1,Database!$A$1:$C$1,),))</f>
        <v/>
      </c>
      <c r="C3534">
        <f>IF(VLOOKUP(Table7[[#This Row],[Date]],Database!$A:$C,MATCH($C$1,Database!$A$1:$C$1,),)=0,#N/A,VLOOKUP(Table7[[#This Row],[Date]],Database!$A:$C,MATCH($C$1,Database!$A$1:$C$1,),))</f>
        <v/>
      </c>
      <c r="D3534">
        <f>IFERROR(Table7[[#This Row],[United States 10y]]-Table7[[#This Row],[United States 3y]],#N/A)</f>
        <v/>
      </c>
    </row>
    <row r="3535">
      <c r="A3535" s="6">
        <f>Database!$A5620</f>
        <v/>
      </c>
      <c r="B3535">
        <f>IF(VLOOKUP(Table7[[#This Row],[Date]],Database!$A:$C,MATCH($B$1,Database!$A$1:$C$1,),)=0,#N/A,VLOOKUP(Table7[[#This Row],[Date]],Database!$A:$C,MATCH($B$1,Database!$A$1:$C$1,),))</f>
        <v/>
      </c>
      <c r="C3535">
        <f>IF(VLOOKUP(Table7[[#This Row],[Date]],Database!$A:$C,MATCH($C$1,Database!$A$1:$C$1,),)=0,#N/A,VLOOKUP(Table7[[#This Row],[Date]],Database!$A:$C,MATCH($C$1,Database!$A$1:$C$1,),))</f>
        <v/>
      </c>
      <c r="D3535">
        <f>IFERROR(Table7[[#This Row],[United States 10y]]-Table7[[#This Row],[United States 3y]],#N/A)</f>
        <v/>
      </c>
    </row>
    <row r="3536">
      <c r="A3536" s="6">
        <f>Database!$A5621</f>
        <v/>
      </c>
      <c r="B3536">
        <f>IF(VLOOKUP(Table7[[#This Row],[Date]],Database!$A:$C,MATCH($B$1,Database!$A$1:$C$1,),)=0,#N/A,VLOOKUP(Table7[[#This Row],[Date]],Database!$A:$C,MATCH($B$1,Database!$A$1:$C$1,),))</f>
        <v/>
      </c>
      <c r="C3536">
        <f>IF(VLOOKUP(Table7[[#This Row],[Date]],Database!$A:$C,MATCH($C$1,Database!$A$1:$C$1,),)=0,#N/A,VLOOKUP(Table7[[#This Row],[Date]],Database!$A:$C,MATCH($C$1,Database!$A$1:$C$1,),))</f>
        <v/>
      </c>
      <c r="D3536">
        <f>IFERROR(Table7[[#This Row],[United States 10y]]-Table7[[#This Row],[United States 3y]],#N/A)</f>
        <v/>
      </c>
    </row>
    <row r="3537">
      <c r="A3537" s="6">
        <f>Database!$A5622</f>
        <v/>
      </c>
      <c r="B3537">
        <f>IF(VLOOKUP(Table7[[#This Row],[Date]],Database!$A:$C,MATCH($B$1,Database!$A$1:$C$1,),)=0,#N/A,VLOOKUP(Table7[[#This Row],[Date]],Database!$A:$C,MATCH($B$1,Database!$A$1:$C$1,),))</f>
        <v/>
      </c>
      <c r="C3537">
        <f>IF(VLOOKUP(Table7[[#This Row],[Date]],Database!$A:$C,MATCH($C$1,Database!$A$1:$C$1,),)=0,#N/A,VLOOKUP(Table7[[#This Row],[Date]],Database!$A:$C,MATCH($C$1,Database!$A$1:$C$1,),))</f>
        <v/>
      </c>
      <c r="D3537">
        <f>IFERROR(Table7[[#This Row],[United States 10y]]-Table7[[#This Row],[United States 3y]],#N/A)</f>
        <v/>
      </c>
    </row>
    <row r="3538">
      <c r="A3538" s="6">
        <f>Database!$A5623</f>
        <v/>
      </c>
      <c r="B3538">
        <f>IF(VLOOKUP(Table7[[#This Row],[Date]],Database!$A:$C,MATCH($B$1,Database!$A$1:$C$1,),)=0,#N/A,VLOOKUP(Table7[[#This Row],[Date]],Database!$A:$C,MATCH($B$1,Database!$A$1:$C$1,),))</f>
        <v/>
      </c>
      <c r="C3538">
        <f>IF(VLOOKUP(Table7[[#This Row],[Date]],Database!$A:$C,MATCH($C$1,Database!$A$1:$C$1,),)=0,#N/A,VLOOKUP(Table7[[#This Row],[Date]],Database!$A:$C,MATCH($C$1,Database!$A$1:$C$1,),))</f>
        <v/>
      </c>
      <c r="D3538">
        <f>IFERROR(Table7[[#This Row],[United States 10y]]-Table7[[#This Row],[United States 3y]],#N/A)</f>
        <v/>
      </c>
    </row>
    <row r="3539">
      <c r="A3539" s="6">
        <f>Database!$A5624</f>
        <v/>
      </c>
      <c r="B3539">
        <f>IF(VLOOKUP(Table7[[#This Row],[Date]],Database!$A:$C,MATCH($B$1,Database!$A$1:$C$1,),)=0,#N/A,VLOOKUP(Table7[[#This Row],[Date]],Database!$A:$C,MATCH($B$1,Database!$A$1:$C$1,),))</f>
        <v/>
      </c>
      <c r="C3539">
        <f>IF(VLOOKUP(Table7[[#This Row],[Date]],Database!$A:$C,MATCH($C$1,Database!$A$1:$C$1,),)=0,#N/A,VLOOKUP(Table7[[#This Row],[Date]],Database!$A:$C,MATCH($C$1,Database!$A$1:$C$1,),))</f>
        <v/>
      </c>
      <c r="D3539">
        <f>IFERROR(Table7[[#This Row],[United States 10y]]-Table7[[#This Row],[United States 3y]],#N/A)</f>
        <v/>
      </c>
    </row>
    <row r="3540">
      <c r="A3540" s="6">
        <f>Database!$A5625</f>
        <v/>
      </c>
      <c r="B3540">
        <f>IF(VLOOKUP(Table7[[#This Row],[Date]],Database!$A:$C,MATCH($B$1,Database!$A$1:$C$1,),)=0,#N/A,VLOOKUP(Table7[[#This Row],[Date]],Database!$A:$C,MATCH($B$1,Database!$A$1:$C$1,),))</f>
        <v/>
      </c>
      <c r="C3540">
        <f>IF(VLOOKUP(Table7[[#This Row],[Date]],Database!$A:$C,MATCH($C$1,Database!$A$1:$C$1,),)=0,#N/A,VLOOKUP(Table7[[#This Row],[Date]],Database!$A:$C,MATCH($C$1,Database!$A$1:$C$1,),))</f>
        <v/>
      </c>
      <c r="D3540">
        <f>IFERROR(Table7[[#This Row],[United States 10y]]-Table7[[#This Row],[United States 3y]],#N/A)</f>
        <v/>
      </c>
    </row>
    <row r="3541">
      <c r="A3541" s="6">
        <f>Database!$A5626</f>
        <v/>
      </c>
      <c r="B3541">
        <f>IF(VLOOKUP(Table7[[#This Row],[Date]],Database!$A:$C,MATCH($B$1,Database!$A$1:$C$1,),)=0,#N/A,VLOOKUP(Table7[[#This Row],[Date]],Database!$A:$C,MATCH($B$1,Database!$A$1:$C$1,),))</f>
        <v/>
      </c>
      <c r="C3541">
        <f>IF(VLOOKUP(Table7[[#This Row],[Date]],Database!$A:$C,MATCH($C$1,Database!$A$1:$C$1,),)=0,#N/A,VLOOKUP(Table7[[#This Row],[Date]],Database!$A:$C,MATCH($C$1,Database!$A$1:$C$1,),))</f>
        <v/>
      </c>
      <c r="D3541">
        <f>IFERROR(Table7[[#This Row],[United States 10y]]-Table7[[#This Row],[United States 3y]],#N/A)</f>
        <v/>
      </c>
    </row>
    <row r="3542">
      <c r="A3542" s="6">
        <f>Database!$A5627</f>
        <v/>
      </c>
      <c r="B3542">
        <f>IF(VLOOKUP(Table7[[#This Row],[Date]],Database!$A:$C,MATCH($B$1,Database!$A$1:$C$1,),)=0,#N/A,VLOOKUP(Table7[[#This Row],[Date]],Database!$A:$C,MATCH($B$1,Database!$A$1:$C$1,),))</f>
        <v/>
      </c>
      <c r="C3542">
        <f>IF(VLOOKUP(Table7[[#This Row],[Date]],Database!$A:$C,MATCH($C$1,Database!$A$1:$C$1,),)=0,#N/A,VLOOKUP(Table7[[#This Row],[Date]],Database!$A:$C,MATCH($C$1,Database!$A$1:$C$1,),))</f>
        <v/>
      </c>
      <c r="D3542">
        <f>IFERROR(Table7[[#This Row],[United States 10y]]-Table7[[#This Row],[United States 3y]],#N/A)</f>
        <v/>
      </c>
    </row>
    <row r="3543">
      <c r="A3543" s="6">
        <f>Database!$A5628</f>
        <v/>
      </c>
      <c r="B3543">
        <f>IF(VLOOKUP(Table7[[#This Row],[Date]],Database!$A:$C,MATCH($B$1,Database!$A$1:$C$1,),)=0,#N/A,VLOOKUP(Table7[[#This Row],[Date]],Database!$A:$C,MATCH($B$1,Database!$A$1:$C$1,),))</f>
        <v/>
      </c>
      <c r="C3543">
        <f>IF(VLOOKUP(Table7[[#This Row],[Date]],Database!$A:$C,MATCH($C$1,Database!$A$1:$C$1,),)=0,#N/A,VLOOKUP(Table7[[#This Row],[Date]],Database!$A:$C,MATCH($C$1,Database!$A$1:$C$1,),))</f>
        <v/>
      </c>
      <c r="D3543">
        <f>IFERROR(Table7[[#This Row],[United States 10y]]-Table7[[#This Row],[United States 3y]],#N/A)</f>
        <v/>
      </c>
    </row>
    <row r="3544">
      <c r="A3544" s="6">
        <f>Database!$A5629</f>
        <v/>
      </c>
      <c r="B3544">
        <f>IF(VLOOKUP(Table7[[#This Row],[Date]],Database!$A:$C,MATCH($B$1,Database!$A$1:$C$1,),)=0,#N/A,VLOOKUP(Table7[[#This Row],[Date]],Database!$A:$C,MATCH($B$1,Database!$A$1:$C$1,),))</f>
        <v/>
      </c>
      <c r="C3544">
        <f>IF(VLOOKUP(Table7[[#This Row],[Date]],Database!$A:$C,MATCH($C$1,Database!$A$1:$C$1,),)=0,#N/A,VLOOKUP(Table7[[#This Row],[Date]],Database!$A:$C,MATCH($C$1,Database!$A$1:$C$1,),))</f>
        <v/>
      </c>
      <c r="D3544">
        <f>IFERROR(Table7[[#This Row],[United States 10y]]-Table7[[#This Row],[United States 3y]],#N/A)</f>
        <v/>
      </c>
    </row>
    <row r="3545">
      <c r="A3545" s="6">
        <f>Database!$A5630</f>
        <v/>
      </c>
      <c r="B3545">
        <f>IF(VLOOKUP(Table7[[#This Row],[Date]],Database!$A:$C,MATCH($B$1,Database!$A$1:$C$1,),)=0,#N/A,VLOOKUP(Table7[[#This Row],[Date]],Database!$A:$C,MATCH($B$1,Database!$A$1:$C$1,),))</f>
        <v/>
      </c>
      <c r="C3545">
        <f>IF(VLOOKUP(Table7[[#This Row],[Date]],Database!$A:$C,MATCH($C$1,Database!$A$1:$C$1,),)=0,#N/A,VLOOKUP(Table7[[#This Row],[Date]],Database!$A:$C,MATCH($C$1,Database!$A$1:$C$1,),))</f>
        <v/>
      </c>
      <c r="D3545">
        <f>IFERROR(Table7[[#This Row],[United States 10y]]-Table7[[#This Row],[United States 3y]],#N/A)</f>
        <v/>
      </c>
    </row>
    <row r="3546">
      <c r="A3546" s="6">
        <f>Database!$A5631</f>
        <v/>
      </c>
      <c r="B3546">
        <f>IF(VLOOKUP(Table7[[#This Row],[Date]],Database!$A:$C,MATCH($B$1,Database!$A$1:$C$1,),)=0,#N/A,VLOOKUP(Table7[[#This Row],[Date]],Database!$A:$C,MATCH($B$1,Database!$A$1:$C$1,),))</f>
        <v/>
      </c>
      <c r="C3546">
        <f>IF(VLOOKUP(Table7[[#This Row],[Date]],Database!$A:$C,MATCH($C$1,Database!$A$1:$C$1,),)=0,#N/A,VLOOKUP(Table7[[#This Row],[Date]],Database!$A:$C,MATCH($C$1,Database!$A$1:$C$1,),))</f>
        <v/>
      </c>
      <c r="D3546">
        <f>IFERROR(Table7[[#This Row],[United States 10y]]-Table7[[#This Row],[United States 3y]],#N/A)</f>
        <v/>
      </c>
    </row>
    <row r="3547">
      <c r="A3547" s="6">
        <f>Database!$A5632</f>
        <v/>
      </c>
      <c r="B3547">
        <f>IF(VLOOKUP(Table7[[#This Row],[Date]],Database!$A:$C,MATCH($B$1,Database!$A$1:$C$1,),)=0,#N/A,VLOOKUP(Table7[[#This Row],[Date]],Database!$A:$C,MATCH($B$1,Database!$A$1:$C$1,),))</f>
        <v/>
      </c>
      <c r="C3547">
        <f>IF(VLOOKUP(Table7[[#This Row],[Date]],Database!$A:$C,MATCH($C$1,Database!$A$1:$C$1,),)=0,#N/A,VLOOKUP(Table7[[#This Row],[Date]],Database!$A:$C,MATCH($C$1,Database!$A$1:$C$1,),))</f>
        <v/>
      </c>
      <c r="D3547">
        <f>IFERROR(Table7[[#This Row],[United States 10y]]-Table7[[#This Row],[United States 3y]],#N/A)</f>
        <v/>
      </c>
    </row>
    <row r="3548">
      <c r="A3548" s="6">
        <f>Database!$A5633</f>
        <v/>
      </c>
      <c r="B3548">
        <f>IF(VLOOKUP(Table7[[#This Row],[Date]],Database!$A:$C,MATCH($B$1,Database!$A$1:$C$1,),)=0,#N/A,VLOOKUP(Table7[[#This Row],[Date]],Database!$A:$C,MATCH($B$1,Database!$A$1:$C$1,),))</f>
        <v/>
      </c>
      <c r="C3548">
        <f>IF(VLOOKUP(Table7[[#This Row],[Date]],Database!$A:$C,MATCH($C$1,Database!$A$1:$C$1,),)=0,#N/A,VLOOKUP(Table7[[#This Row],[Date]],Database!$A:$C,MATCH($C$1,Database!$A$1:$C$1,),))</f>
        <v/>
      </c>
      <c r="D3548">
        <f>IFERROR(Table7[[#This Row],[United States 10y]]-Table7[[#This Row],[United States 3y]],#N/A)</f>
        <v/>
      </c>
    </row>
    <row r="3549">
      <c r="A3549" s="6">
        <f>Database!$A5634</f>
        <v/>
      </c>
      <c r="B3549">
        <f>IF(VLOOKUP(Table7[[#This Row],[Date]],Database!$A:$C,MATCH($B$1,Database!$A$1:$C$1,),)=0,#N/A,VLOOKUP(Table7[[#This Row],[Date]],Database!$A:$C,MATCH($B$1,Database!$A$1:$C$1,),))</f>
        <v/>
      </c>
      <c r="C3549">
        <f>IF(VLOOKUP(Table7[[#This Row],[Date]],Database!$A:$C,MATCH($C$1,Database!$A$1:$C$1,),)=0,#N/A,VLOOKUP(Table7[[#This Row],[Date]],Database!$A:$C,MATCH($C$1,Database!$A$1:$C$1,),))</f>
        <v/>
      </c>
      <c r="D3549">
        <f>IFERROR(Table7[[#This Row],[United States 10y]]-Table7[[#This Row],[United States 3y]],#N/A)</f>
        <v/>
      </c>
    </row>
    <row r="3550">
      <c r="A3550" s="6">
        <f>Database!$A5635</f>
        <v/>
      </c>
      <c r="B3550">
        <f>IF(VLOOKUP(Table7[[#This Row],[Date]],Database!$A:$C,MATCH($B$1,Database!$A$1:$C$1,),)=0,#N/A,VLOOKUP(Table7[[#This Row],[Date]],Database!$A:$C,MATCH($B$1,Database!$A$1:$C$1,),))</f>
        <v/>
      </c>
      <c r="C3550">
        <f>IF(VLOOKUP(Table7[[#This Row],[Date]],Database!$A:$C,MATCH($C$1,Database!$A$1:$C$1,),)=0,#N/A,VLOOKUP(Table7[[#This Row],[Date]],Database!$A:$C,MATCH($C$1,Database!$A$1:$C$1,),))</f>
        <v/>
      </c>
      <c r="D3550">
        <f>IFERROR(Table7[[#This Row],[United States 10y]]-Table7[[#This Row],[United States 3y]],#N/A)</f>
        <v/>
      </c>
    </row>
    <row r="3551">
      <c r="A3551" s="6">
        <f>Database!$A5636</f>
        <v/>
      </c>
      <c r="B3551">
        <f>IF(VLOOKUP(Table7[[#This Row],[Date]],Database!$A:$C,MATCH($B$1,Database!$A$1:$C$1,),)=0,#N/A,VLOOKUP(Table7[[#This Row],[Date]],Database!$A:$C,MATCH($B$1,Database!$A$1:$C$1,),))</f>
        <v/>
      </c>
      <c r="C3551">
        <f>IF(VLOOKUP(Table7[[#This Row],[Date]],Database!$A:$C,MATCH($C$1,Database!$A$1:$C$1,),)=0,#N/A,VLOOKUP(Table7[[#This Row],[Date]],Database!$A:$C,MATCH($C$1,Database!$A$1:$C$1,),))</f>
        <v/>
      </c>
      <c r="D3551">
        <f>IFERROR(Table7[[#This Row],[United States 10y]]-Table7[[#This Row],[United States 3y]],#N/A)</f>
        <v/>
      </c>
    </row>
    <row r="3552">
      <c r="A3552" s="6">
        <f>Database!$A5637</f>
        <v/>
      </c>
      <c r="B3552">
        <f>IF(VLOOKUP(Table7[[#This Row],[Date]],Database!$A:$C,MATCH($B$1,Database!$A$1:$C$1,),)=0,#N/A,VLOOKUP(Table7[[#This Row],[Date]],Database!$A:$C,MATCH($B$1,Database!$A$1:$C$1,),))</f>
        <v/>
      </c>
      <c r="C3552">
        <f>IF(VLOOKUP(Table7[[#This Row],[Date]],Database!$A:$C,MATCH($C$1,Database!$A$1:$C$1,),)=0,#N/A,VLOOKUP(Table7[[#This Row],[Date]],Database!$A:$C,MATCH($C$1,Database!$A$1:$C$1,),))</f>
        <v/>
      </c>
      <c r="D3552">
        <f>IFERROR(Table7[[#This Row],[United States 10y]]-Table7[[#This Row],[United States 3y]],#N/A)</f>
        <v/>
      </c>
    </row>
    <row r="3553">
      <c r="A3553" s="6">
        <f>Database!$A5638</f>
        <v/>
      </c>
      <c r="B3553">
        <f>IF(VLOOKUP(Table7[[#This Row],[Date]],Database!$A:$C,MATCH($B$1,Database!$A$1:$C$1,),)=0,#N/A,VLOOKUP(Table7[[#This Row],[Date]],Database!$A:$C,MATCH($B$1,Database!$A$1:$C$1,),))</f>
        <v/>
      </c>
      <c r="C3553">
        <f>IF(VLOOKUP(Table7[[#This Row],[Date]],Database!$A:$C,MATCH($C$1,Database!$A$1:$C$1,),)=0,#N/A,VLOOKUP(Table7[[#This Row],[Date]],Database!$A:$C,MATCH($C$1,Database!$A$1:$C$1,),))</f>
        <v/>
      </c>
      <c r="D3553">
        <f>IFERROR(Table7[[#This Row],[United States 10y]]-Table7[[#This Row],[United States 3y]],#N/A)</f>
        <v/>
      </c>
    </row>
    <row r="3554">
      <c r="A3554" s="6">
        <f>Database!$A5639</f>
        <v/>
      </c>
      <c r="B3554">
        <f>IF(VLOOKUP(Table7[[#This Row],[Date]],Database!$A:$C,MATCH($B$1,Database!$A$1:$C$1,),)=0,#N/A,VLOOKUP(Table7[[#This Row],[Date]],Database!$A:$C,MATCH($B$1,Database!$A$1:$C$1,),))</f>
        <v/>
      </c>
      <c r="C3554">
        <f>IF(VLOOKUP(Table7[[#This Row],[Date]],Database!$A:$C,MATCH($C$1,Database!$A$1:$C$1,),)=0,#N/A,VLOOKUP(Table7[[#This Row],[Date]],Database!$A:$C,MATCH($C$1,Database!$A$1:$C$1,),))</f>
        <v/>
      </c>
      <c r="D3554">
        <f>IFERROR(Table7[[#This Row],[United States 10y]]-Table7[[#This Row],[United States 3y]],#N/A)</f>
        <v/>
      </c>
    </row>
    <row r="3555">
      <c r="A3555" s="6">
        <f>Database!$A5640</f>
        <v/>
      </c>
      <c r="B3555">
        <f>IF(VLOOKUP(Table7[[#This Row],[Date]],Database!$A:$C,MATCH($B$1,Database!$A$1:$C$1,),)=0,#N/A,VLOOKUP(Table7[[#This Row],[Date]],Database!$A:$C,MATCH($B$1,Database!$A$1:$C$1,),))</f>
        <v/>
      </c>
      <c r="C3555">
        <f>IF(VLOOKUP(Table7[[#This Row],[Date]],Database!$A:$C,MATCH($C$1,Database!$A$1:$C$1,),)=0,#N/A,VLOOKUP(Table7[[#This Row],[Date]],Database!$A:$C,MATCH($C$1,Database!$A$1:$C$1,),))</f>
        <v/>
      </c>
      <c r="D3555">
        <f>IFERROR(Table7[[#This Row],[United States 10y]]-Table7[[#This Row],[United States 3y]],#N/A)</f>
        <v/>
      </c>
    </row>
    <row r="3556">
      <c r="A3556" s="6">
        <f>Database!$A5641</f>
        <v/>
      </c>
      <c r="B3556">
        <f>IF(VLOOKUP(Table7[[#This Row],[Date]],Database!$A:$C,MATCH($B$1,Database!$A$1:$C$1,),)=0,#N/A,VLOOKUP(Table7[[#This Row],[Date]],Database!$A:$C,MATCH($B$1,Database!$A$1:$C$1,),))</f>
        <v/>
      </c>
      <c r="C3556">
        <f>IF(VLOOKUP(Table7[[#This Row],[Date]],Database!$A:$C,MATCH($C$1,Database!$A$1:$C$1,),)=0,#N/A,VLOOKUP(Table7[[#This Row],[Date]],Database!$A:$C,MATCH($C$1,Database!$A$1:$C$1,),))</f>
        <v/>
      </c>
      <c r="D3556">
        <f>IFERROR(Table7[[#This Row],[United States 10y]]-Table7[[#This Row],[United States 3y]],#N/A)</f>
        <v/>
      </c>
    </row>
    <row r="3557">
      <c r="A3557" s="6">
        <f>Database!$A5642</f>
        <v/>
      </c>
      <c r="B3557">
        <f>IF(VLOOKUP(Table7[[#This Row],[Date]],Database!$A:$C,MATCH($B$1,Database!$A$1:$C$1,),)=0,#N/A,VLOOKUP(Table7[[#This Row],[Date]],Database!$A:$C,MATCH($B$1,Database!$A$1:$C$1,),))</f>
        <v/>
      </c>
      <c r="C3557">
        <f>IF(VLOOKUP(Table7[[#This Row],[Date]],Database!$A:$C,MATCH($C$1,Database!$A$1:$C$1,),)=0,#N/A,VLOOKUP(Table7[[#This Row],[Date]],Database!$A:$C,MATCH($C$1,Database!$A$1:$C$1,),))</f>
        <v/>
      </c>
      <c r="D3557">
        <f>IFERROR(Table7[[#This Row],[United States 10y]]-Table7[[#This Row],[United States 3y]],#N/A)</f>
        <v/>
      </c>
    </row>
    <row r="3558">
      <c r="A3558" s="6">
        <f>Database!$A5643</f>
        <v/>
      </c>
      <c r="B3558">
        <f>IF(VLOOKUP(Table7[[#This Row],[Date]],Database!$A:$C,MATCH($B$1,Database!$A$1:$C$1,),)=0,#N/A,VLOOKUP(Table7[[#This Row],[Date]],Database!$A:$C,MATCH($B$1,Database!$A$1:$C$1,),))</f>
        <v/>
      </c>
      <c r="C3558">
        <f>IF(VLOOKUP(Table7[[#This Row],[Date]],Database!$A:$C,MATCH($C$1,Database!$A$1:$C$1,),)=0,#N/A,VLOOKUP(Table7[[#This Row],[Date]],Database!$A:$C,MATCH($C$1,Database!$A$1:$C$1,),))</f>
        <v/>
      </c>
      <c r="D3558">
        <f>IFERROR(Table7[[#This Row],[United States 10y]]-Table7[[#This Row],[United States 3y]],#N/A)</f>
        <v/>
      </c>
    </row>
    <row r="3559">
      <c r="A3559" s="6">
        <f>Database!$A5644</f>
        <v/>
      </c>
      <c r="B3559">
        <f>IF(VLOOKUP(Table7[[#This Row],[Date]],Database!$A:$C,MATCH($B$1,Database!$A$1:$C$1,),)=0,#N/A,VLOOKUP(Table7[[#This Row],[Date]],Database!$A:$C,MATCH($B$1,Database!$A$1:$C$1,),))</f>
        <v/>
      </c>
      <c r="C3559">
        <f>IF(VLOOKUP(Table7[[#This Row],[Date]],Database!$A:$C,MATCH($C$1,Database!$A$1:$C$1,),)=0,#N/A,VLOOKUP(Table7[[#This Row],[Date]],Database!$A:$C,MATCH($C$1,Database!$A$1:$C$1,),))</f>
        <v/>
      </c>
      <c r="D3559">
        <f>IFERROR(Table7[[#This Row],[United States 10y]]-Table7[[#This Row],[United States 3y]],#N/A)</f>
        <v/>
      </c>
    </row>
    <row r="3560">
      <c r="A3560" s="6">
        <f>Database!$A5645</f>
        <v/>
      </c>
      <c r="B3560">
        <f>IF(VLOOKUP(Table7[[#This Row],[Date]],Database!$A:$C,MATCH($B$1,Database!$A$1:$C$1,),)=0,#N/A,VLOOKUP(Table7[[#This Row],[Date]],Database!$A:$C,MATCH($B$1,Database!$A$1:$C$1,),))</f>
        <v/>
      </c>
      <c r="C3560">
        <f>IF(VLOOKUP(Table7[[#This Row],[Date]],Database!$A:$C,MATCH($C$1,Database!$A$1:$C$1,),)=0,#N/A,VLOOKUP(Table7[[#This Row],[Date]],Database!$A:$C,MATCH($C$1,Database!$A$1:$C$1,),))</f>
        <v/>
      </c>
      <c r="D3560">
        <f>IFERROR(Table7[[#This Row],[United States 10y]]-Table7[[#This Row],[United States 3y]],#N/A)</f>
        <v/>
      </c>
    </row>
    <row r="3561">
      <c r="A3561" s="6">
        <f>Database!$A5646</f>
        <v/>
      </c>
      <c r="B3561">
        <f>IF(VLOOKUP(Table7[[#This Row],[Date]],Database!$A:$C,MATCH($B$1,Database!$A$1:$C$1,),)=0,#N/A,VLOOKUP(Table7[[#This Row],[Date]],Database!$A:$C,MATCH($B$1,Database!$A$1:$C$1,),))</f>
        <v/>
      </c>
      <c r="C3561">
        <f>IF(VLOOKUP(Table7[[#This Row],[Date]],Database!$A:$C,MATCH($C$1,Database!$A$1:$C$1,),)=0,#N/A,VLOOKUP(Table7[[#This Row],[Date]],Database!$A:$C,MATCH($C$1,Database!$A$1:$C$1,),))</f>
        <v/>
      </c>
      <c r="D3561">
        <f>IFERROR(Table7[[#This Row],[United States 10y]]-Table7[[#This Row],[United States 3y]],#N/A)</f>
        <v/>
      </c>
    </row>
    <row r="3562">
      <c r="A3562" s="6">
        <f>Database!$A5647</f>
        <v/>
      </c>
      <c r="B3562">
        <f>IF(VLOOKUP(Table7[[#This Row],[Date]],Database!$A:$C,MATCH($B$1,Database!$A$1:$C$1,),)=0,#N/A,VLOOKUP(Table7[[#This Row],[Date]],Database!$A:$C,MATCH($B$1,Database!$A$1:$C$1,),))</f>
        <v/>
      </c>
      <c r="C3562">
        <f>IF(VLOOKUP(Table7[[#This Row],[Date]],Database!$A:$C,MATCH($C$1,Database!$A$1:$C$1,),)=0,#N/A,VLOOKUP(Table7[[#This Row],[Date]],Database!$A:$C,MATCH($C$1,Database!$A$1:$C$1,),))</f>
        <v/>
      </c>
      <c r="D3562">
        <f>IFERROR(Table7[[#This Row],[United States 10y]]-Table7[[#This Row],[United States 3y]],#N/A)</f>
        <v/>
      </c>
    </row>
    <row r="3563">
      <c r="A3563" s="6">
        <f>Database!$A5648</f>
        <v/>
      </c>
      <c r="B3563">
        <f>IF(VLOOKUP(Table7[[#This Row],[Date]],Database!$A:$C,MATCH($B$1,Database!$A$1:$C$1,),)=0,#N/A,VLOOKUP(Table7[[#This Row],[Date]],Database!$A:$C,MATCH($B$1,Database!$A$1:$C$1,),))</f>
        <v/>
      </c>
      <c r="C3563">
        <f>IF(VLOOKUP(Table7[[#This Row],[Date]],Database!$A:$C,MATCH($C$1,Database!$A$1:$C$1,),)=0,#N/A,VLOOKUP(Table7[[#This Row],[Date]],Database!$A:$C,MATCH($C$1,Database!$A$1:$C$1,),))</f>
        <v/>
      </c>
      <c r="D3563">
        <f>IFERROR(Table7[[#This Row],[United States 10y]]-Table7[[#This Row],[United States 3y]],#N/A)</f>
        <v/>
      </c>
    </row>
    <row r="3564">
      <c r="A3564" s="6">
        <f>Database!$A5649</f>
        <v/>
      </c>
      <c r="B3564">
        <f>IF(VLOOKUP(Table7[[#This Row],[Date]],Database!$A:$C,MATCH($B$1,Database!$A$1:$C$1,),)=0,#N/A,VLOOKUP(Table7[[#This Row],[Date]],Database!$A:$C,MATCH($B$1,Database!$A$1:$C$1,),))</f>
        <v/>
      </c>
      <c r="C3564">
        <f>IF(VLOOKUP(Table7[[#This Row],[Date]],Database!$A:$C,MATCH($C$1,Database!$A$1:$C$1,),)=0,#N/A,VLOOKUP(Table7[[#This Row],[Date]],Database!$A:$C,MATCH($C$1,Database!$A$1:$C$1,),))</f>
        <v/>
      </c>
      <c r="D3564">
        <f>IFERROR(Table7[[#This Row],[United States 10y]]-Table7[[#This Row],[United States 3y]],#N/A)</f>
        <v/>
      </c>
    </row>
    <row r="3565">
      <c r="A3565" s="6">
        <f>Database!$A5650</f>
        <v/>
      </c>
      <c r="B3565">
        <f>IF(VLOOKUP(Table7[[#This Row],[Date]],Database!$A:$C,MATCH($B$1,Database!$A$1:$C$1,),)=0,#N/A,VLOOKUP(Table7[[#This Row],[Date]],Database!$A:$C,MATCH($B$1,Database!$A$1:$C$1,),))</f>
        <v/>
      </c>
      <c r="C3565">
        <f>IF(VLOOKUP(Table7[[#This Row],[Date]],Database!$A:$C,MATCH($C$1,Database!$A$1:$C$1,),)=0,#N/A,VLOOKUP(Table7[[#This Row],[Date]],Database!$A:$C,MATCH($C$1,Database!$A$1:$C$1,),))</f>
        <v/>
      </c>
      <c r="D3565">
        <f>IFERROR(Table7[[#This Row],[United States 10y]]-Table7[[#This Row],[United States 3y]],#N/A)</f>
        <v/>
      </c>
    </row>
    <row r="3566">
      <c r="A3566" s="6">
        <f>Database!$A5651</f>
        <v/>
      </c>
      <c r="B3566">
        <f>IF(VLOOKUP(Table7[[#This Row],[Date]],Database!$A:$C,MATCH($B$1,Database!$A$1:$C$1,),)=0,#N/A,VLOOKUP(Table7[[#This Row],[Date]],Database!$A:$C,MATCH($B$1,Database!$A$1:$C$1,),))</f>
        <v/>
      </c>
      <c r="C3566">
        <f>IF(VLOOKUP(Table7[[#This Row],[Date]],Database!$A:$C,MATCH($C$1,Database!$A$1:$C$1,),)=0,#N/A,VLOOKUP(Table7[[#This Row],[Date]],Database!$A:$C,MATCH($C$1,Database!$A$1:$C$1,),))</f>
        <v/>
      </c>
      <c r="D3566">
        <f>IFERROR(Table7[[#This Row],[United States 10y]]-Table7[[#This Row],[United States 3y]],#N/A)</f>
        <v/>
      </c>
    </row>
    <row r="3567">
      <c r="A3567" s="6">
        <f>Database!$A5652</f>
        <v/>
      </c>
      <c r="B3567">
        <f>IF(VLOOKUP(Table7[[#This Row],[Date]],Database!$A:$C,MATCH($B$1,Database!$A$1:$C$1,),)=0,#N/A,VLOOKUP(Table7[[#This Row],[Date]],Database!$A:$C,MATCH($B$1,Database!$A$1:$C$1,),))</f>
        <v/>
      </c>
      <c r="C3567">
        <f>IF(VLOOKUP(Table7[[#This Row],[Date]],Database!$A:$C,MATCH($C$1,Database!$A$1:$C$1,),)=0,#N/A,VLOOKUP(Table7[[#This Row],[Date]],Database!$A:$C,MATCH($C$1,Database!$A$1:$C$1,),))</f>
        <v/>
      </c>
      <c r="D3567">
        <f>IFERROR(Table7[[#This Row],[United States 10y]]-Table7[[#This Row],[United States 3y]],#N/A)</f>
        <v/>
      </c>
    </row>
    <row r="3568">
      <c r="A3568" s="6">
        <f>Database!$A5653</f>
        <v/>
      </c>
      <c r="B3568">
        <f>IF(VLOOKUP(Table7[[#This Row],[Date]],Database!$A:$C,MATCH($B$1,Database!$A$1:$C$1,),)=0,#N/A,VLOOKUP(Table7[[#This Row],[Date]],Database!$A:$C,MATCH($B$1,Database!$A$1:$C$1,),))</f>
        <v/>
      </c>
      <c r="C3568">
        <f>IF(VLOOKUP(Table7[[#This Row],[Date]],Database!$A:$C,MATCH($C$1,Database!$A$1:$C$1,),)=0,#N/A,VLOOKUP(Table7[[#This Row],[Date]],Database!$A:$C,MATCH($C$1,Database!$A$1:$C$1,),))</f>
        <v/>
      </c>
      <c r="D3568">
        <f>IFERROR(Table7[[#This Row],[United States 10y]]-Table7[[#This Row],[United States 3y]],#N/A)</f>
        <v/>
      </c>
    </row>
    <row r="3569">
      <c r="A3569" s="6">
        <f>Database!$A5654</f>
        <v/>
      </c>
      <c r="B3569">
        <f>IF(VLOOKUP(Table7[[#This Row],[Date]],Database!$A:$C,MATCH($B$1,Database!$A$1:$C$1,),)=0,#N/A,VLOOKUP(Table7[[#This Row],[Date]],Database!$A:$C,MATCH($B$1,Database!$A$1:$C$1,),))</f>
        <v/>
      </c>
      <c r="C3569">
        <f>IF(VLOOKUP(Table7[[#This Row],[Date]],Database!$A:$C,MATCH($C$1,Database!$A$1:$C$1,),)=0,#N/A,VLOOKUP(Table7[[#This Row],[Date]],Database!$A:$C,MATCH($C$1,Database!$A$1:$C$1,),))</f>
        <v/>
      </c>
      <c r="D3569">
        <f>IFERROR(Table7[[#This Row],[United States 10y]]-Table7[[#This Row],[United States 3y]],#N/A)</f>
        <v/>
      </c>
    </row>
    <row r="3570">
      <c r="A3570" s="6">
        <f>Database!$A5655</f>
        <v/>
      </c>
      <c r="B3570">
        <f>IF(VLOOKUP(Table7[[#This Row],[Date]],Database!$A:$C,MATCH($B$1,Database!$A$1:$C$1,),)=0,#N/A,VLOOKUP(Table7[[#This Row],[Date]],Database!$A:$C,MATCH($B$1,Database!$A$1:$C$1,),))</f>
        <v/>
      </c>
      <c r="C3570">
        <f>IF(VLOOKUP(Table7[[#This Row],[Date]],Database!$A:$C,MATCH($C$1,Database!$A$1:$C$1,),)=0,#N/A,VLOOKUP(Table7[[#This Row],[Date]],Database!$A:$C,MATCH($C$1,Database!$A$1:$C$1,),))</f>
        <v/>
      </c>
      <c r="D3570">
        <f>IFERROR(Table7[[#This Row],[United States 10y]]-Table7[[#This Row],[United States 3y]],#N/A)</f>
        <v/>
      </c>
    </row>
    <row r="3571">
      <c r="A3571" s="6">
        <f>Database!$A5656</f>
        <v/>
      </c>
      <c r="B3571">
        <f>IF(VLOOKUP(Table7[[#This Row],[Date]],Database!$A:$C,MATCH($B$1,Database!$A$1:$C$1,),)=0,#N/A,VLOOKUP(Table7[[#This Row],[Date]],Database!$A:$C,MATCH($B$1,Database!$A$1:$C$1,),))</f>
        <v/>
      </c>
      <c r="C3571">
        <f>IF(VLOOKUP(Table7[[#This Row],[Date]],Database!$A:$C,MATCH($C$1,Database!$A$1:$C$1,),)=0,#N/A,VLOOKUP(Table7[[#This Row],[Date]],Database!$A:$C,MATCH($C$1,Database!$A$1:$C$1,),))</f>
        <v/>
      </c>
      <c r="D3571">
        <f>IFERROR(Table7[[#This Row],[United States 10y]]-Table7[[#This Row],[United States 3y]],#N/A)</f>
        <v/>
      </c>
    </row>
    <row r="3572">
      <c r="A3572" s="6">
        <f>Database!$A5657</f>
        <v/>
      </c>
      <c r="B3572">
        <f>IF(VLOOKUP(Table7[[#This Row],[Date]],Database!$A:$C,MATCH($B$1,Database!$A$1:$C$1,),)=0,#N/A,VLOOKUP(Table7[[#This Row],[Date]],Database!$A:$C,MATCH($B$1,Database!$A$1:$C$1,),))</f>
        <v/>
      </c>
      <c r="C3572">
        <f>IF(VLOOKUP(Table7[[#This Row],[Date]],Database!$A:$C,MATCH($C$1,Database!$A$1:$C$1,),)=0,#N/A,VLOOKUP(Table7[[#This Row],[Date]],Database!$A:$C,MATCH($C$1,Database!$A$1:$C$1,),))</f>
        <v/>
      </c>
      <c r="D3572">
        <f>IFERROR(Table7[[#This Row],[United States 10y]]-Table7[[#This Row],[United States 3y]],#N/A)</f>
        <v/>
      </c>
    </row>
    <row r="3573">
      <c r="A3573" s="6">
        <f>Database!$A5658</f>
        <v/>
      </c>
      <c r="B3573">
        <f>IF(VLOOKUP(Table7[[#This Row],[Date]],Database!$A:$C,MATCH($B$1,Database!$A$1:$C$1,),)=0,#N/A,VLOOKUP(Table7[[#This Row],[Date]],Database!$A:$C,MATCH($B$1,Database!$A$1:$C$1,),))</f>
        <v/>
      </c>
      <c r="C3573">
        <f>IF(VLOOKUP(Table7[[#This Row],[Date]],Database!$A:$C,MATCH($C$1,Database!$A$1:$C$1,),)=0,#N/A,VLOOKUP(Table7[[#This Row],[Date]],Database!$A:$C,MATCH($C$1,Database!$A$1:$C$1,),))</f>
        <v/>
      </c>
      <c r="D3573">
        <f>IFERROR(Table7[[#This Row],[United States 10y]]-Table7[[#This Row],[United States 3y]],#N/A)</f>
        <v/>
      </c>
    </row>
    <row r="3574">
      <c r="A3574" s="6">
        <f>Database!$A5659</f>
        <v/>
      </c>
      <c r="B3574">
        <f>IF(VLOOKUP(Table7[[#This Row],[Date]],Database!$A:$C,MATCH($B$1,Database!$A$1:$C$1,),)=0,#N/A,VLOOKUP(Table7[[#This Row],[Date]],Database!$A:$C,MATCH($B$1,Database!$A$1:$C$1,),))</f>
        <v/>
      </c>
      <c r="C3574">
        <f>IF(VLOOKUP(Table7[[#This Row],[Date]],Database!$A:$C,MATCH($C$1,Database!$A$1:$C$1,),)=0,#N/A,VLOOKUP(Table7[[#This Row],[Date]],Database!$A:$C,MATCH($C$1,Database!$A$1:$C$1,),))</f>
        <v/>
      </c>
      <c r="D3574">
        <f>IFERROR(Table7[[#This Row],[United States 10y]]-Table7[[#This Row],[United States 3y]],#N/A)</f>
        <v/>
      </c>
    </row>
    <row r="3575">
      <c r="A3575" s="6">
        <f>Database!$A5660</f>
        <v/>
      </c>
      <c r="B3575">
        <f>IF(VLOOKUP(Table7[[#This Row],[Date]],Database!$A:$C,MATCH($B$1,Database!$A$1:$C$1,),)=0,#N/A,VLOOKUP(Table7[[#This Row],[Date]],Database!$A:$C,MATCH($B$1,Database!$A$1:$C$1,),))</f>
        <v/>
      </c>
      <c r="C3575">
        <f>IF(VLOOKUP(Table7[[#This Row],[Date]],Database!$A:$C,MATCH($C$1,Database!$A$1:$C$1,),)=0,#N/A,VLOOKUP(Table7[[#This Row],[Date]],Database!$A:$C,MATCH($C$1,Database!$A$1:$C$1,),))</f>
        <v/>
      </c>
      <c r="D3575">
        <f>IFERROR(Table7[[#This Row],[United States 10y]]-Table7[[#This Row],[United States 3y]],#N/A)</f>
        <v/>
      </c>
    </row>
    <row r="3576">
      <c r="A3576" s="6">
        <f>Database!$A5661</f>
        <v/>
      </c>
      <c r="B3576">
        <f>IF(VLOOKUP(Table7[[#This Row],[Date]],Database!$A:$C,MATCH($B$1,Database!$A$1:$C$1,),)=0,#N/A,VLOOKUP(Table7[[#This Row],[Date]],Database!$A:$C,MATCH($B$1,Database!$A$1:$C$1,),))</f>
        <v/>
      </c>
      <c r="C3576">
        <f>IF(VLOOKUP(Table7[[#This Row],[Date]],Database!$A:$C,MATCH($C$1,Database!$A$1:$C$1,),)=0,#N/A,VLOOKUP(Table7[[#This Row],[Date]],Database!$A:$C,MATCH($C$1,Database!$A$1:$C$1,),))</f>
        <v/>
      </c>
      <c r="D3576">
        <f>IFERROR(Table7[[#This Row],[United States 10y]]-Table7[[#This Row],[United States 3y]],#N/A)</f>
        <v/>
      </c>
    </row>
    <row r="3577">
      <c r="A3577" s="6">
        <f>Database!$A5662</f>
        <v/>
      </c>
      <c r="B3577">
        <f>IF(VLOOKUP(Table7[[#This Row],[Date]],Database!$A:$C,MATCH($B$1,Database!$A$1:$C$1,),)=0,#N/A,VLOOKUP(Table7[[#This Row],[Date]],Database!$A:$C,MATCH($B$1,Database!$A$1:$C$1,),))</f>
        <v/>
      </c>
      <c r="C3577">
        <f>IF(VLOOKUP(Table7[[#This Row],[Date]],Database!$A:$C,MATCH($C$1,Database!$A$1:$C$1,),)=0,#N/A,VLOOKUP(Table7[[#This Row],[Date]],Database!$A:$C,MATCH($C$1,Database!$A$1:$C$1,),))</f>
        <v/>
      </c>
      <c r="D3577">
        <f>IFERROR(Table7[[#This Row],[United States 10y]]-Table7[[#This Row],[United States 3y]],#N/A)</f>
        <v/>
      </c>
    </row>
    <row r="3578">
      <c r="A3578" s="6">
        <f>Database!$A5663</f>
        <v/>
      </c>
      <c r="B3578">
        <f>IF(VLOOKUP(Table7[[#This Row],[Date]],Database!$A:$C,MATCH($B$1,Database!$A$1:$C$1,),)=0,#N/A,VLOOKUP(Table7[[#This Row],[Date]],Database!$A:$C,MATCH($B$1,Database!$A$1:$C$1,),))</f>
        <v/>
      </c>
      <c r="C3578">
        <f>IF(VLOOKUP(Table7[[#This Row],[Date]],Database!$A:$C,MATCH($C$1,Database!$A$1:$C$1,),)=0,#N/A,VLOOKUP(Table7[[#This Row],[Date]],Database!$A:$C,MATCH($C$1,Database!$A$1:$C$1,),))</f>
        <v/>
      </c>
      <c r="D3578">
        <f>IFERROR(Table7[[#This Row],[United States 10y]]-Table7[[#This Row],[United States 3y]],#N/A)</f>
        <v/>
      </c>
    </row>
    <row r="3579">
      <c r="A3579" s="6">
        <f>Database!$A5664</f>
        <v/>
      </c>
      <c r="B3579">
        <f>IF(VLOOKUP(Table7[[#This Row],[Date]],Database!$A:$C,MATCH($B$1,Database!$A$1:$C$1,),)=0,#N/A,VLOOKUP(Table7[[#This Row],[Date]],Database!$A:$C,MATCH($B$1,Database!$A$1:$C$1,),))</f>
        <v/>
      </c>
      <c r="C3579">
        <f>IF(VLOOKUP(Table7[[#This Row],[Date]],Database!$A:$C,MATCH($C$1,Database!$A$1:$C$1,),)=0,#N/A,VLOOKUP(Table7[[#This Row],[Date]],Database!$A:$C,MATCH($C$1,Database!$A$1:$C$1,),))</f>
        <v/>
      </c>
      <c r="D3579">
        <f>IFERROR(Table7[[#This Row],[United States 10y]]-Table7[[#This Row],[United States 3y]],#N/A)</f>
        <v/>
      </c>
    </row>
    <row r="3580">
      <c r="A3580" s="6">
        <f>Database!$A5665</f>
        <v/>
      </c>
      <c r="B3580">
        <f>IF(VLOOKUP(Table7[[#This Row],[Date]],Database!$A:$C,MATCH($B$1,Database!$A$1:$C$1,),)=0,#N/A,VLOOKUP(Table7[[#This Row],[Date]],Database!$A:$C,MATCH($B$1,Database!$A$1:$C$1,),))</f>
        <v/>
      </c>
      <c r="C3580">
        <f>IF(VLOOKUP(Table7[[#This Row],[Date]],Database!$A:$C,MATCH($C$1,Database!$A$1:$C$1,),)=0,#N/A,VLOOKUP(Table7[[#This Row],[Date]],Database!$A:$C,MATCH($C$1,Database!$A$1:$C$1,),))</f>
        <v/>
      </c>
      <c r="D3580">
        <f>IFERROR(Table7[[#This Row],[United States 10y]]-Table7[[#This Row],[United States 3y]],#N/A)</f>
        <v/>
      </c>
    </row>
    <row r="3581">
      <c r="A3581" s="6">
        <f>Database!$A5666</f>
        <v/>
      </c>
      <c r="B3581">
        <f>IF(VLOOKUP(Table7[[#This Row],[Date]],Database!$A:$C,MATCH($B$1,Database!$A$1:$C$1,),)=0,#N/A,VLOOKUP(Table7[[#This Row],[Date]],Database!$A:$C,MATCH($B$1,Database!$A$1:$C$1,),))</f>
        <v/>
      </c>
      <c r="C3581">
        <f>IF(VLOOKUP(Table7[[#This Row],[Date]],Database!$A:$C,MATCH($C$1,Database!$A$1:$C$1,),)=0,#N/A,VLOOKUP(Table7[[#This Row],[Date]],Database!$A:$C,MATCH($C$1,Database!$A$1:$C$1,),))</f>
        <v/>
      </c>
      <c r="D3581">
        <f>IFERROR(Table7[[#This Row],[United States 10y]]-Table7[[#This Row],[United States 3y]],#N/A)</f>
        <v/>
      </c>
    </row>
    <row r="3582">
      <c r="A3582" s="6">
        <f>Database!$A5667</f>
        <v/>
      </c>
      <c r="B3582">
        <f>IF(VLOOKUP(Table7[[#This Row],[Date]],Database!$A:$C,MATCH($B$1,Database!$A$1:$C$1,),)=0,#N/A,VLOOKUP(Table7[[#This Row],[Date]],Database!$A:$C,MATCH($B$1,Database!$A$1:$C$1,),))</f>
        <v/>
      </c>
      <c r="C3582">
        <f>IF(VLOOKUP(Table7[[#This Row],[Date]],Database!$A:$C,MATCH($C$1,Database!$A$1:$C$1,),)=0,#N/A,VLOOKUP(Table7[[#This Row],[Date]],Database!$A:$C,MATCH($C$1,Database!$A$1:$C$1,),))</f>
        <v/>
      </c>
      <c r="D3582">
        <f>IFERROR(Table7[[#This Row],[United States 10y]]-Table7[[#This Row],[United States 3y]],#N/A)</f>
        <v/>
      </c>
    </row>
    <row r="3583">
      <c r="A3583" s="6">
        <f>Database!$A5668</f>
        <v/>
      </c>
      <c r="B3583">
        <f>IF(VLOOKUP(Table7[[#This Row],[Date]],Database!$A:$C,MATCH($B$1,Database!$A$1:$C$1,),)=0,#N/A,VLOOKUP(Table7[[#This Row],[Date]],Database!$A:$C,MATCH($B$1,Database!$A$1:$C$1,),))</f>
        <v/>
      </c>
      <c r="C3583">
        <f>IF(VLOOKUP(Table7[[#This Row],[Date]],Database!$A:$C,MATCH($C$1,Database!$A$1:$C$1,),)=0,#N/A,VLOOKUP(Table7[[#This Row],[Date]],Database!$A:$C,MATCH($C$1,Database!$A$1:$C$1,),))</f>
        <v/>
      </c>
      <c r="D3583">
        <f>IFERROR(Table7[[#This Row],[United States 10y]]-Table7[[#This Row],[United States 3y]],#N/A)</f>
        <v/>
      </c>
    </row>
    <row r="3584">
      <c r="A3584" s="6">
        <f>Database!$A5669</f>
        <v/>
      </c>
      <c r="B3584">
        <f>IF(VLOOKUP(Table7[[#This Row],[Date]],Database!$A:$C,MATCH($B$1,Database!$A$1:$C$1,),)=0,#N/A,VLOOKUP(Table7[[#This Row],[Date]],Database!$A:$C,MATCH($B$1,Database!$A$1:$C$1,),))</f>
        <v/>
      </c>
      <c r="C3584">
        <f>IF(VLOOKUP(Table7[[#This Row],[Date]],Database!$A:$C,MATCH($C$1,Database!$A$1:$C$1,),)=0,#N/A,VLOOKUP(Table7[[#This Row],[Date]],Database!$A:$C,MATCH($C$1,Database!$A$1:$C$1,),))</f>
        <v/>
      </c>
      <c r="D3584">
        <f>IFERROR(Table7[[#This Row],[United States 10y]]-Table7[[#This Row],[United States 3y]],#N/A)</f>
        <v/>
      </c>
    </row>
    <row r="3585">
      <c r="A3585" s="6">
        <f>Database!$A5670</f>
        <v/>
      </c>
      <c r="B3585">
        <f>IF(VLOOKUP(Table7[[#This Row],[Date]],Database!$A:$C,MATCH($B$1,Database!$A$1:$C$1,),)=0,#N/A,VLOOKUP(Table7[[#This Row],[Date]],Database!$A:$C,MATCH($B$1,Database!$A$1:$C$1,),))</f>
        <v/>
      </c>
      <c r="C3585">
        <f>IF(VLOOKUP(Table7[[#This Row],[Date]],Database!$A:$C,MATCH($C$1,Database!$A$1:$C$1,),)=0,#N/A,VLOOKUP(Table7[[#This Row],[Date]],Database!$A:$C,MATCH($C$1,Database!$A$1:$C$1,),))</f>
        <v/>
      </c>
      <c r="D3585">
        <f>IFERROR(Table7[[#This Row],[United States 10y]]-Table7[[#This Row],[United States 3y]],#N/A)</f>
        <v/>
      </c>
    </row>
    <row r="3586">
      <c r="A3586" s="6">
        <f>Database!$A5671</f>
        <v/>
      </c>
      <c r="B3586">
        <f>IF(VLOOKUP(Table7[[#This Row],[Date]],Database!$A:$C,MATCH($B$1,Database!$A$1:$C$1,),)=0,#N/A,VLOOKUP(Table7[[#This Row],[Date]],Database!$A:$C,MATCH($B$1,Database!$A$1:$C$1,),))</f>
        <v/>
      </c>
      <c r="C3586">
        <f>IF(VLOOKUP(Table7[[#This Row],[Date]],Database!$A:$C,MATCH($C$1,Database!$A$1:$C$1,),)=0,#N/A,VLOOKUP(Table7[[#This Row],[Date]],Database!$A:$C,MATCH($C$1,Database!$A$1:$C$1,),))</f>
        <v/>
      </c>
      <c r="D3586">
        <f>IFERROR(Table7[[#This Row],[United States 10y]]-Table7[[#This Row],[United States 3y]],#N/A)</f>
        <v/>
      </c>
    </row>
    <row r="3587">
      <c r="A3587" s="6">
        <f>Database!$A5672</f>
        <v/>
      </c>
      <c r="B3587">
        <f>IF(VLOOKUP(Table7[[#This Row],[Date]],Database!$A:$C,MATCH($B$1,Database!$A$1:$C$1,),)=0,#N/A,VLOOKUP(Table7[[#This Row],[Date]],Database!$A:$C,MATCH($B$1,Database!$A$1:$C$1,),))</f>
        <v/>
      </c>
      <c r="C3587">
        <f>IF(VLOOKUP(Table7[[#This Row],[Date]],Database!$A:$C,MATCH($C$1,Database!$A$1:$C$1,),)=0,#N/A,VLOOKUP(Table7[[#This Row],[Date]],Database!$A:$C,MATCH($C$1,Database!$A$1:$C$1,),))</f>
        <v/>
      </c>
      <c r="D3587">
        <f>IFERROR(Table7[[#This Row],[United States 10y]]-Table7[[#This Row],[United States 3y]],#N/A)</f>
        <v/>
      </c>
    </row>
    <row r="3588">
      <c r="A3588" s="6">
        <f>Database!$A5673</f>
        <v/>
      </c>
      <c r="B3588">
        <f>IF(VLOOKUP(Table7[[#This Row],[Date]],Database!$A:$C,MATCH($B$1,Database!$A$1:$C$1,),)=0,#N/A,VLOOKUP(Table7[[#This Row],[Date]],Database!$A:$C,MATCH($B$1,Database!$A$1:$C$1,),))</f>
        <v/>
      </c>
      <c r="C3588">
        <f>IF(VLOOKUP(Table7[[#This Row],[Date]],Database!$A:$C,MATCH($C$1,Database!$A$1:$C$1,),)=0,#N/A,VLOOKUP(Table7[[#This Row],[Date]],Database!$A:$C,MATCH($C$1,Database!$A$1:$C$1,),))</f>
        <v/>
      </c>
      <c r="D3588">
        <f>IFERROR(Table7[[#This Row],[United States 10y]]-Table7[[#This Row],[United States 3y]],#N/A)</f>
        <v/>
      </c>
    </row>
    <row r="3589">
      <c r="A3589" s="6">
        <f>Database!$A5674</f>
        <v/>
      </c>
      <c r="B3589">
        <f>IF(VLOOKUP(Table7[[#This Row],[Date]],Database!$A:$C,MATCH($B$1,Database!$A$1:$C$1,),)=0,#N/A,VLOOKUP(Table7[[#This Row],[Date]],Database!$A:$C,MATCH($B$1,Database!$A$1:$C$1,),))</f>
        <v/>
      </c>
      <c r="C3589">
        <f>IF(VLOOKUP(Table7[[#This Row],[Date]],Database!$A:$C,MATCH($C$1,Database!$A$1:$C$1,),)=0,#N/A,VLOOKUP(Table7[[#This Row],[Date]],Database!$A:$C,MATCH($C$1,Database!$A$1:$C$1,),))</f>
        <v/>
      </c>
      <c r="D3589">
        <f>IFERROR(Table7[[#This Row],[United States 10y]]-Table7[[#This Row],[United States 3y]],#N/A)</f>
        <v/>
      </c>
    </row>
    <row r="3590">
      <c r="A3590" s="6">
        <f>Database!$A5675</f>
        <v/>
      </c>
      <c r="B3590">
        <f>IF(VLOOKUP(Table7[[#This Row],[Date]],Database!$A:$C,MATCH($B$1,Database!$A$1:$C$1,),)=0,#N/A,VLOOKUP(Table7[[#This Row],[Date]],Database!$A:$C,MATCH($B$1,Database!$A$1:$C$1,),))</f>
        <v/>
      </c>
      <c r="C3590">
        <f>IF(VLOOKUP(Table7[[#This Row],[Date]],Database!$A:$C,MATCH($C$1,Database!$A$1:$C$1,),)=0,#N/A,VLOOKUP(Table7[[#This Row],[Date]],Database!$A:$C,MATCH($C$1,Database!$A$1:$C$1,),))</f>
        <v/>
      </c>
      <c r="D3590">
        <f>IFERROR(Table7[[#This Row],[United States 10y]]-Table7[[#This Row],[United States 3y]],#N/A)</f>
        <v/>
      </c>
    </row>
    <row r="3591">
      <c r="A3591" s="6">
        <f>Database!$A5676</f>
        <v/>
      </c>
      <c r="B3591">
        <f>IF(VLOOKUP(Table7[[#This Row],[Date]],Database!$A:$C,MATCH($B$1,Database!$A$1:$C$1,),)=0,#N/A,VLOOKUP(Table7[[#This Row],[Date]],Database!$A:$C,MATCH($B$1,Database!$A$1:$C$1,),))</f>
        <v/>
      </c>
      <c r="C3591">
        <f>IF(VLOOKUP(Table7[[#This Row],[Date]],Database!$A:$C,MATCH($C$1,Database!$A$1:$C$1,),)=0,#N/A,VLOOKUP(Table7[[#This Row],[Date]],Database!$A:$C,MATCH($C$1,Database!$A$1:$C$1,),))</f>
        <v/>
      </c>
      <c r="D3591">
        <f>IFERROR(Table7[[#This Row],[United States 10y]]-Table7[[#This Row],[United States 3y]],#N/A)</f>
        <v/>
      </c>
    </row>
    <row r="3592">
      <c r="A3592" s="6">
        <f>Database!$A5677</f>
        <v/>
      </c>
      <c r="B3592">
        <f>IF(VLOOKUP(Table7[[#This Row],[Date]],Database!$A:$C,MATCH($B$1,Database!$A$1:$C$1,),)=0,#N/A,VLOOKUP(Table7[[#This Row],[Date]],Database!$A:$C,MATCH($B$1,Database!$A$1:$C$1,),))</f>
        <v/>
      </c>
      <c r="C3592">
        <f>IF(VLOOKUP(Table7[[#This Row],[Date]],Database!$A:$C,MATCH($C$1,Database!$A$1:$C$1,),)=0,#N/A,VLOOKUP(Table7[[#This Row],[Date]],Database!$A:$C,MATCH($C$1,Database!$A$1:$C$1,),))</f>
        <v/>
      </c>
      <c r="D3592">
        <f>IFERROR(Table7[[#This Row],[United States 10y]]-Table7[[#This Row],[United States 3y]],#N/A)</f>
        <v/>
      </c>
    </row>
    <row r="3593">
      <c r="A3593" s="6">
        <f>Database!$A5678</f>
        <v/>
      </c>
      <c r="B3593">
        <f>IF(VLOOKUP(Table7[[#This Row],[Date]],Database!$A:$C,MATCH($B$1,Database!$A$1:$C$1,),)=0,#N/A,VLOOKUP(Table7[[#This Row],[Date]],Database!$A:$C,MATCH($B$1,Database!$A$1:$C$1,),))</f>
        <v/>
      </c>
      <c r="C3593">
        <f>IF(VLOOKUP(Table7[[#This Row],[Date]],Database!$A:$C,MATCH($C$1,Database!$A$1:$C$1,),)=0,#N/A,VLOOKUP(Table7[[#This Row],[Date]],Database!$A:$C,MATCH($C$1,Database!$A$1:$C$1,),))</f>
        <v/>
      </c>
      <c r="D3593">
        <f>IFERROR(Table7[[#This Row],[United States 10y]]-Table7[[#This Row],[United States 3y]],#N/A)</f>
        <v/>
      </c>
    </row>
    <row r="3594">
      <c r="A3594" s="6">
        <f>Database!$A5679</f>
        <v/>
      </c>
      <c r="B3594">
        <f>IF(VLOOKUP(Table7[[#This Row],[Date]],Database!$A:$C,MATCH($B$1,Database!$A$1:$C$1,),)=0,#N/A,VLOOKUP(Table7[[#This Row],[Date]],Database!$A:$C,MATCH($B$1,Database!$A$1:$C$1,),))</f>
        <v/>
      </c>
      <c r="C3594">
        <f>IF(VLOOKUP(Table7[[#This Row],[Date]],Database!$A:$C,MATCH($C$1,Database!$A$1:$C$1,),)=0,#N/A,VLOOKUP(Table7[[#This Row],[Date]],Database!$A:$C,MATCH($C$1,Database!$A$1:$C$1,),))</f>
        <v/>
      </c>
      <c r="D3594">
        <f>IFERROR(Table7[[#This Row],[United States 10y]]-Table7[[#This Row],[United States 3y]],#N/A)</f>
        <v/>
      </c>
    </row>
    <row r="3595">
      <c r="A3595" s="6">
        <f>Database!$A5680</f>
        <v/>
      </c>
      <c r="B3595">
        <f>IF(VLOOKUP(Table7[[#This Row],[Date]],Database!$A:$C,MATCH($B$1,Database!$A$1:$C$1,),)=0,#N/A,VLOOKUP(Table7[[#This Row],[Date]],Database!$A:$C,MATCH($B$1,Database!$A$1:$C$1,),))</f>
        <v/>
      </c>
      <c r="C3595">
        <f>IF(VLOOKUP(Table7[[#This Row],[Date]],Database!$A:$C,MATCH($C$1,Database!$A$1:$C$1,),)=0,#N/A,VLOOKUP(Table7[[#This Row],[Date]],Database!$A:$C,MATCH($C$1,Database!$A$1:$C$1,),))</f>
        <v/>
      </c>
      <c r="D3595">
        <f>IFERROR(Table7[[#This Row],[United States 10y]]-Table7[[#This Row],[United States 3y]],#N/A)</f>
        <v/>
      </c>
    </row>
    <row r="3596">
      <c r="A3596" s="6">
        <f>Database!$A5681</f>
        <v/>
      </c>
      <c r="B3596">
        <f>IF(VLOOKUP(Table7[[#This Row],[Date]],Database!$A:$C,MATCH($B$1,Database!$A$1:$C$1,),)=0,#N/A,VLOOKUP(Table7[[#This Row],[Date]],Database!$A:$C,MATCH($B$1,Database!$A$1:$C$1,),))</f>
        <v/>
      </c>
      <c r="C3596">
        <f>IF(VLOOKUP(Table7[[#This Row],[Date]],Database!$A:$C,MATCH($C$1,Database!$A$1:$C$1,),)=0,#N/A,VLOOKUP(Table7[[#This Row],[Date]],Database!$A:$C,MATCH($C$1,Database!$A$1:$C$1,),))</f>
        <v/>
      </c>
      <c r="D3596">
        <f>IFERROR(Table7[[#This Row],[United States 10y]]-Table7[[#This Row],[United States 3y]],#N/A)</f>
        <v/>
      </c>
    </row>
    <row r="3597">
      <c r="A3597" s="6">
        <f>Database!$A5682</f>
        <v/>
      </c>
      <c r="B3597">
        <f>IF(VLOOKUP(Table7[[#This Row],[Date]],Database!$A:$C,MATCH($B$1,Database!$A$1:$C$1,),)=0,#N/A,VLOOKUP(Table7[[#This Row],[Date]],Database!$A:$C,MATCH($B$1,Database!$A$1:$C$1,),))</f>
        <v/>
      </c>
      <c r="C3597">
        <f>IF(VLOOKUP(Table7[[#This Row],[Date]],Database!$A:$C,MATCH($C$1,Database!$A$1:$C$1,),)=0,#N/A,VLOOKUP(Table7[[#This Row],[Date]],Database!$A:$C,MATCH($C$1,Database!$A$1:$C$1,),))</f>
        <v/>
      </c>
      <c r="D3597">
        <f>IFERROR(Table7[[#This Row],[United States 10y]]-Table7[[#This Row],[United States 3y]],#N/A)</f>
        <v/>
      </c>
    </row>
    <row r="3598">
      <c r="A3598" s="6">
        <f>Database!$A5683</f>
        <v/>
      </c>
      <c r="B3598">
        <f>IF(VLOOKUP(Table7[[#This Row],[Date]],Database!$A:$C,MATCH($B$1,Database!$A$1:$C$1,),)=0,#N/A,VLOOKUP(Table7[[#This Row],[Date]],Database!$A:$C,MATCH($B$1,Database!$A$1:$C$1,),))</f>
        <v/>
      </c>
      <c r="C3598">
        <f>IF(VLOOKUP(Table7[[#This Row],[Date]],Database!$A:$C,MATCH($C$1,Database!$A$1:$C$1,),)=0,#N/A,VLOOKUP(Table7[[#This Row],[Date]],Database!$A:$C,MATCH($C$1,Database!$A$1:$C$1,),))</f>
        <v/>
      </c>
      <c r="D3598">
        <f>IFERROR(Table7[[#This Row],[United States 10y]]-Table7[[#This Row],[United States 3y]],#N/A)</f>
        <v/>
      </c>
    </row>
    <row r="3599">
      <c r="A3599" s="6">
        <f>Database!$A5684</f>
        <v/>
      </c>
      <c r="B3599">
        <f>IF(VLOOKUP(Table7[[#This Row],[Date]],Database!$A:$C,MATCH($B$1,Database!$A$1:$C$1,),)=0,#N/A,VLOOKUP(Table7[[#This Row],[Date]],Database!$A:$C,MATCH($B$1,Database!$A$1:$C$1,),))</f>
        <v/>
      </c>
      <c r="C3599">
        <f>IF(VLOOKUP(Table7[[#This Row],[Date]],Database!$A:$C,MATCH($C$1,Database!$A$1:$C$1,),)=0,#N/A,VLOOKUP(Table7[[#This Row],[Date]],Database!$A:$C,MATCH($C$1,Database!$A$1:$C$1,),))</f>
        <v/>
      </c>
      <c r="D3599">
        <f>IFERROR(Table7[[#This Row],[United States 10y]]-Table7[[#This Row],[United States 3y]],#N/A)</f>
        <v/>
      </c>
    </row>
    <row r="3600">
      <c r="A3600" s="6">
        <f>Database!$A5685</f>
        <v/>
      </c>
      <c r="B3600">
        <f>IF(VLOOKUP(Table7[[#This Row],[Date]],Database!$A:$C,MATCH($B$1,Database!$A$1:$C$1,),)=0,#N/A,VLOOKUP(Table7[[#This Row],[Date]],Database!$A:$C,MATCH($B$1,Database!$A$1:$C$1,),))</f>
        <v/>
      </c>
      <c r="C3600">
        <f>IF(VLOOKUP(Table7[[#This Row],[Date]],Database!$A:$C,MATCH($C$1,Database!$A$1:$C$1,),)=0,#N/A,VLOOKUP(Table7[[#This Row],[Date]],Database!$A:$C,MATCH($C$1,Database!$A$1:$C$1,),))</f>
        <v/>
      </c>
      <c r="D3600">
        <f>IFERROR(Table7[[#This Row],[United States 10y]]-Table7[[#This Row],[United States 3y]],#N/A)</f>
        <v/>
      </c>
    </row>
    <row r="3601">
      <c r="A3601" s="6">
        <f>Database!$A5686</f>
        <v/>
      </c>
      <c r="B3601">
        <f>IF(VLOOKUP(Table7[[#This Row],[Date]],Database!$A:$C,MATCH($B$1,Database!$A$1:$C$1,),)=0,#N/A,VLOOKUP(Table7[[#This Row],[Date]],Database!$A:$C,MATCH($B$1,Database!$A$1:$C$1,),))</f>
        <v/>
      </c>
      <c r="C3601">
        <f>IF(VLOOKUP(Table7[[#This Row],[Date]],Database!$A:$C,MATCH($C$1,Database!$A$1:$C$1,),)=0,#N/A,VLOOKUP(Table7[[#This Row],[Date]],Database!$A:$C,MATCH($C$1,Database!$A$1:$C$1,),))</f>
        <v/>
      </c>
      <c r="D3601">
        <f>IFERROR(Table7[[#This Row],[United States 10y]]-Table7[[#This Row],[United States 3y]],#N/A)</f>
        <v/>
      </c>
    </row>
    <row r="3602">
      <c r="A3602" s="6">
        <f>Database!$A5687</f>
        <v/>
      </c>
      <c r="B3602">
        <f>IF(VLOOKUP(Table7[[#This Row],[Date]],Database!$A:$C,MATCH($B$1,Database!$A$1:$C$1,),)=0,#N/A,VLOOKUP(Table7[[#This Row],[Date]],Database!$A:$C,MATCH($B$1,Database!$A$1:$C$1,),))</f>
        <v/>
      </c>
      <c r="C3602">
        <f>IF(VLOOKUP(Table7[[#This Row],[Date]],Database!$A:$C,MATCH($C$1,Database!$A$1:$C$1,),)=0,#N/A,VLOOKUP(Table7[[#This Row],[Date]],Database!$A:$C,MATCH($C$1,Database!$A$1:$C$1,),))</f>
        <v/>
      </c>
      <c r="D3602">
        <f>IFERROR(Table7[[#This Row],[United States 10y]]-Table7[[#This Row],[United States 3y]],#N/A)</f>
        <v/>
      </c>
    </row>
    <row r="3603">
      <c r="A3603" s="6">
        <f>Database!$A5688</f>
        <v/>
      </c>
      <c r="B3603">
        <f>IF(VLOOKUP(Table7[[#This Row],[Date]],Database!$A:$C,MATCH($B$1,Database!$A$1:$C$1,),)=0,#N/A,VLOOKUP(Table7[[#This Row],[Date]],Database!$A:$C,MATCH($B$1,Database!$A$1:$C$1,),))</f>
        <v/>
      </c>
      <c r="C3603">
        <f>IF(VLOOKUP(Table7[[#This Row],[Date]],Database!$A:$C,MATCH($C$1,Database!$A$1:$C$1,),)=0,#N/A,VLOOKUP(Table7[[#This Row],[Date]],Database!$A:$C,MATCH($C$1,Database!$A$1:$C$1,),))</f>
        <v/>
      </c>
      <c r="D3603">
        <f>IFERROR(Table7[[#This Row],[United States 10y]]-Table7[[#This Row],[United States 3y]],#N/A)</f>
        <v/>
      </c>
    </row>
    <row r="3604">
      <c r="A3604" s="6">
        <f>Database!$A5689</f>
        <v/>
      </c>
      <c r="B3604">
        <f>IF(VLOOKUP(Table7[[#This Row],[Date]],Database!$A:$C,MATCH($B$1,Database!$A$1:$C$1,),)=0,#N/A,VLOOKUP(Table7[[#This Row],[Date]],Database!$A:$C,MATCH($B$1,Database!$A$1:$C$1,),))</f>
        <v/>
      </c>
      <c r="C3604">
        <f>IF(VLOOKUP(Table7[[#This Row],[Date]],Database!$A:$C,MATCH($C$1,Database!$A$1:$C$1,),)=0,#N/A,VLOOKUP(Table7[[#This Row],[Date]],Database!$A:$C,MATCH($C$1,Database!$A$1:$C$1,),))</f>
        <v/>
      </c>
      <c r="D3604">
        <f>IFERROR(Table7[[#This Row],[United States 10y]]-Table7[[#This Row],[United States 3y]],#N/A)</f>
        <v/>
      </c>
    </row>
    <row r="3605">
      <c r="A3605" s="6">
        <f>Database!$A5690</f>
        <v/>
      </c>
      <c r="B3605">
        <f>IF(VLOOKUP(Table7[[#This Row],[Date]],Database!$A:$C,MATCH($B$1,Database!$A$1:$C$1,),)=0,#N/A,VLOOKUP(Table7[[#This Row],[Date]],Database!$A:$C,MATCH($B$1,Database!$A$1:$C$1,),))</f>
        <v/>
      </c>
      <c r="C3605">
        <f>IF(VLOOKUP(Table7[[#This Row],[Date]],Database!$A:$C,MATCH($C$1,Database!$A$1:$C$1,),)=0,#N/A,VLOOKUP(Table7[[#This Row],[Date]],Database!$A:$C,MATCH($C$1,Database!$A$1:$C$1,),))</f>
        <v/>
      </c>
      <c r="D3605">
        <f>IFERROR(Table7[[#This Row],[United States 10y]]-Table7[[#This Row],[United States 3y]],#N/A)</f>
        <v/>
      </c>
    </row>
    <row r="3606">
      <c r="A3606" s="6">
        <f>Database!$A5691</f>
        <v/>
      </c>
      <c r="B3606">
        <f>IF(VLOOKUP(Table7[[#This Row],[Date]],Database!$A:$C,MATCH($B$1,Database!$A$1:$C$1,),)=0,#N/A,VLOOKUP(Table7[[#This Row],[Date]],Database!$A:$C,MATCH($B$1,Database!$A$1:$C$1,),))</f>
        <v/>
      </c>
      <c r="C3606">
        <f>IF(VLOOKUP(Table7[[#This Row],[Date]],Database!$A:$C,MATCH($C$1,Database!$A$1:$C$1,),)=0,#N/A,VLOOKUP(Table7[[#This Row],[Date]],Database!$A:$C,MATCH($C$1,Database!$A$1:$C$1,),))</f>
        <v/>
      </c>
      <c r="D3606">
        <f>IFERROR(Table7[[#This Row],[United States 10y]]-Table7[[#This Row],[United States 3y]],#N/A)</f>
        <v/>
      </c>
    </row>
    <row r="3607">
      <c r="A3607" s="6">
        <f>Database!$A5692</f>
        <v/>
      </c>
      <c r="B3607">
        <f>IF(VLOOKUP(Table7[[#This Row],[Date]],Database!$A:$C,MATCH($B$1,Database!$A$1:$C$1,),)=0,#N/A,VLOOKUP(Table7[[#This Row],[Date]],Database!$A:$C,MATCH($B$1,Database!$A$1:$C$1,),))</f>
        <v/>
      </c>
      <c r="C3607">
        <f>IF(VLOOKUP(Table7[[#This Row],[Date]],Database!$A:$C,MATCH($C$1,Database!$A$1:$C$1,),)=0,#N/A,VLOOKUP(Table7[[#This Row],[Date]],Database!$A:$C,MATCH($C$1,Database!$A$1:$C$1,),))</f>
        <v/>
      </c>
      <c r="D3607">
        <f>IFERROR(Table7[[#This Row],[United States 10y]]-Table7[[#This Row],[United States 3y]],#N/A)</f>
        <v/>
      </c>
    </row>
    <row r="3608">
      <c r="A3608" s="6">
        <f>Database!$A5693</f>
        <v/>
      </c>
      <c r="B3608">
        <f>IF(VLOOKUP(Table7[[#This Row],[Date]],Database!$A:$C,MATCH($B$1,Database!$A$1:$C$1,),)=0,#N/A,VLOOKUP(Table7[[#This Row],[Date]],Database!$A:$C,MATCH($B$1,Database!$A$1:$C$1,),))</f>
        <v/>
      </c>
      <c r="C3608">
        <f>IF(VLOOKUP(Table7[[#This Row],[Date]],Database!$A:$C,MATCH($C$1,Database!$A$1:$C$1,),)=0,#N/A,VLOOKUP(Table7[[#This Row],[Date]],Database!$A:$C,MATCH($C$1,Database!$A$1:$C$1,),))</f>
        <v/>
      </c>
      <c r="D3608">
        <f>IFERROR(Table7[[#This Row],[United States 10y]]-Table7[[#This Row],[United States 3y]],#N/A)</f>
        <v/>
      </c>
    </row>
    <row r="3609">
      <c r="A3609" s="6">
        <f>Database!$A5694</f>
        <v/>
      </c>
      <c r="B3609">
        <f>IF(VLOOKUP(Table7[[#This Row],[Date]],Database!$A:$C,MATCH($B$1,Database!$A$1:$C$1,),)=0,#N/A,VLOOKUP(Table7[[#This Row],[Date]],Database!$A:$C,MATCH($B$1,Database!$A$1:$C$1,),))</f>
        <v/>
      </c>
      <c r="C3609">
        <f>IF(VLOOKUP(Table7[[#This Row],[Date]],Database!$A:$C,MATCH($C$1,Database!$A$1:$C$1,),)=0,#N/A,VLOOKUP(Table7[[#This Row],[Date]],Database!$A:$C,MATCH($C$1,Database!$A$1:$C$1,),))</f>
        <v/>
      </c>
      <c r="D3609">
        <f>IFERROR(Table7[[#This Row],[United States 10y]]-Table7[[#This Row],[United States 3y]],#N/A)</f>
        <v/>
      </c>
    </row>
    <row r="3610">
      <c r="A3610" s="6">
        <f>Database!$A5695</f>
        <v/>
      </c>
      <c r="B3610">
        <f>IF(VLOOKUP(Table7[[#This Row],[Date]],Database!$A:$C,MATCH($B$1,Database!$A$1:$C$1,),)=0,#N/A,VLOOKUP(Table7[[#This Row],[Date]],Database!$A:$C,MATCH($B$1,Database!$A$1:$C$1,),))</f>
        <v/>
      </c>
      <c r="C3610">
        <f>IF(VLOOKUP(Table7[[#This Row],[Date]],Database!$A:$C,MATCH($C$1,Database!$A$1:$C$1,),)=0,#N/A,VLOOKUP(Table7[[#This Row],[Date]],Database!$A:$C,MATCH($C$1,Database!$A$1:$C$1,),))</f>
        <v/>
      </c>
      <c r="D3610">
        <f>IFERROR(Table7[[#This Row],[United States 10y]]-Table7[[#This Row],[United States 3y]],#N/A)</f>
        <v/>
      </c>
    </row>
    <row r="3611">
      <c r="A3611" s="6">
        <f>Database!$A5696</f>
        <v/>
      </c>
      <c r="B3611">
        <f>IF(VLOOKUP(Table7[[#This Row],[Date]],Database!$A:$C,MATCH($B$1,Database!$A$1:$C$1,),)=0,#N/A,VLOOKUP(Table7[[#This Row],[Date]],Database!$A:$C,MATCH($B$1,Database!$A$1:$C$1,),))</f>
        <v/>
      </c>
      <c r="C3611">
        <f>IF(VLOOKUP(Table7[[#This Row],[Date]],Database!$A:$C,MATCH($C$1,Database!$A$1:$C$1,),)=0,#N/A,VLOOKUP(Table7[[#This Row],[Date]],Database!$A:$C,MATCH($C$1,Database!$A$1:$C$1,),))</f>
        <v/>
      </c>
      <c r="D3611">
        <f>IFERROR(Table7[[#This Row],[United States 10y]]-Table7[[#This Row],[United States 3y]],#N/A)</f>
        <v/>
      </c>
    </row>
    <row r="3612">
      <c r="A3612" s="6">
        <f>Database!$A5697</f>
        <v/>
      </c>
      <c r="B3612">
        <f>IF(VLOOKUP(Table7[[#This Row],[Date]],Database!$A:$C,MATCH($B$1,Database!$A$1:$C$1,),)=0,#N/A,VLOOKUP(Table7[[#This Row],[Date]],Database!$A:$C,MATCH($B$1,Database!$A$1:$C$1,),))</f>
        <v/>
      </c>
      <c r="C3612">
        <f>IF(VLOOKUP(Table7[[#This Row],[Date]],Database!$A:$C,MATCH($C$1,Database!$A$1:$C$1,),)=0,#N/A,VLOOKUP(Table7[[#This Row],[Date]],Database!$A:$C,MATCH($C$1,Database!$A$1:$C$1,),))</f>
        <v/>
      </c>
      <c r="D3612">
        <f>IFERROR(Table7[[#This Row],[United States 10y]]-Table7[[#This Row],[United States 3y]],#N/A)</f>
        <v/>
      </c>
    </row>
    <row r="3613">
      <c r="A3613" s="6">
        <f>Database!$A5698</f>
        <v/>
      </c>
      <c r="B3613">
        <f>IF(VLOOKUP(Table7[[#This Row],[Date]],Database!$A:$C,MATCH($B$1,Database!$A$1:$C$1,),)=0,#N/A,VLOOKUP(Table7[[#This Row],[Date]],Database!$A:$C,MATCH($B$1,Database!$A$1:$C$1,),))</f>
        <v/>
      </c>
      <c r="C3613">
        <f>IF(VLOOKUP(Table7[[#This Row],[Date]],Database!$A:$C,MATCH($C$1,Database!$A$1:$C$1,),)=0,#N/A,VLOOKUP(Table7[[#This Row],[Date]],Database!$A:$C,MATCH($C$1,Database!$A$1:$C$1,),))</f>
        <v/>
      </c>
      <c r="D3613">
        <f>IFERROR(Table7[[#This Row],[United States 10y]]-Table7[[#This Row],[United States 3y]],#N/A)</f>
        <v/>
      </c>
    </row>
    <row r="3614">
      <c r="A3614" s="6">
        <f>Database!$A5699</f>
        <v/>
      </c>
      <c r="B3614">
        <f>IF(VLOOKUP(Table7[[#This Row],[Date]],Database!$A:$C,MATCH($B$1,Database!$A$1:$C$1,),)=0,#N/A,VLOOKUP(Table7[[#This Row],[Date]],Database!$A:$C,MATCH($B$1,Database!$A$1:$C$1,),))</f>
        <v/>
      </c>
      <c r="C3614">
        <f>IF(VLOOKUP(Table7[[#This Row],[Date]],Database!$A:$C,MATCH($C$1,Database!$A$1:$C$1,),)=0,#N/A,VLOOKUP(Table7[[#This Row],[Date]],Database!$A:$C,MATCH($C$1,Database!$A$1:$C$1,),))</f>
        <v/>
      </c>
      <c r="D3614">
        <f>IFERROR(Table7[[#This Row],[United States 10y]]-Table7[[#This Row],[United States 3y]],#N/A)</f>
        <v/>
      </c>
    </row>
    <row r="3615">
      <c r="A3615" s="6">
        <f>Database!$A5700</f>
        <v/>
      </c>
      <c r="B3615">
        <f>IF(VLOOKUP(Table7[[#This Row],[Date]],Database!$A:$C,MATCH($B$1,Database!$A$1:$C$1,),)=0,#N/A,VLOOKUP(Table7[[#This Row],[Date]],Database!$A:$C,MATCH($B$1,Database!$A$1:$C$1,),))</f>
        <v/>
      </c>
      <c r="C3615">
        <f>IF(VLOOKUP(Table7[[#This Row],[Date]],Database!$A:$C,MATCH($C$1,Database!$A$1:$C$1,),)=0,#N/A,VLOOKUP(Table7[[#This Row],[Date]],Database!$A:$C,MATCH($C$1,Database!$A$1:$C$1,),))</f>
        <v/>
      </c>
      <c r="D3615">
        <f>IFERROR(Table7[[#This Row],[United States 10y]]-Table7[[#This Row],[United States 3y]],#N/A)</f>
        <v/>
      </c>
    </row>
    <row r="3616">
      <c r="A3616" s="6">
        <f>Database!$A5701</f>
        <v/>
      </c>
      <c r="B3616">
        <f>IF(VLOOKUP(Table7[[#This Row],[Date]],Database!$A:$C,MATCH($B$1,Database!$A$1:$C$1,),)=0,#N/A,VLOOKUP(Table7[[#This Row],[Date]],Database!$A:$C,MATCH($B$1,Database!$A$1:$C$1,),))</f>
        <v/>
      </c>
      <c r="C3616">
        <f>IF(VLOOKUP(Table7[[#This Row],[Date]],Database!$A:$C,MATCH($C$1,Database!$A$1:$C$1,),)=0,#N/A,VLOOKUP(Table7[[#This Row],[Date]],Database!$A:$C,MATCH($C$1,Database!$A$1:$C$1,),))</f>
        <v/>
      </c>
      <c r="D3616">
        <f>IFERROR(Table7[[#This Row],[United States 10y]]-Table7[[#This Row],[United States 3y]],#N/A)</f>
        <v/>
      </c>
    </row>
    <row r="3617">
      <c r="A3617" s="6">
        <f>Database!$A5702</f>
        <v/>
      </c>
      <c r="B3617">
        <f>IF(VLOOKUP(Table7[[#This Row],[Date]],Database!$A:$C,MATCH($B$1,Database!$A$1:$C$1,),)=0,#N/A,VLOOKUP(Table7[[#This Row],[Date]],Database!$A:$C,MATCH($B$1,Database!$A$1:$C$1,),))</f>
        <v/>
      </c>
      <c r="C3617">
        <f>IF(VLOOKUP(Table7[[#This Row],[Date]],Database!$A:$C,MATCH($C$1,Database!$A$1:$C$1,),)=0,#N/A,VLOOKUP(Table7[[#This Row],[Date]],Database!$A:$C,MATCH($C$1,Database!$A$1:$C$1,),))</f>
        <v/>
      </c>
      <c r="D3617">
        <f>IFERROR(Table7[[#This Row],[United States 10y]]-Table7[[#This Row],[United States 3y]],#N/A)</f>
        <v/>
      </c>
    </row>
    <row r="3618">
      <c r="A3618" s="6">
        <f>Database!$A5703</f>
        <v/>
      </c>
      <c r="B3618">
        <f>IF(VLOOKUP(Table7[[#This Row],[Date]],Database!$A:$C,MATCH($B$1,Database!$A$1:$C$1,),)=0,#N/A,VLOOKUP(Table7[[#This Row],[Date]],Database!$A:$C,MATCH($B$1,Database!$A$1:$C$1,),))</f>
        <v/>
      </c>
      <c r="C3618">
        <f>IF(VLOOKUP(Table7[[#This Row],[Date]],Database!$A:$C,MATCH($C$1,Database!$A$1:$C$1,),)=0,#N/A,VLOOKUP(Table7[[#This Row],[Date]],Database!$A:$C,MATCH($C$1,Database!$A$1:$C$1,),))</f>
        <v/>
      </c>
      <c r="D3618">
        <f>IFERROR(Table7[[#This Row],[United States 10y]]-Table7[[#This Row],[United States 3y]],#N/A)</f>
        <v/>
      </c>
    </row>
    <row r="3619">
      <c r="A3619" s="6">
        <f>Database!$A5704</f>
        <v/>
      </c>
      <c r="B3619">
        <f>IF(VLOOKUP(Table7[[#This Row],[Date]],Database!$A:$C,MATCH($B$1,Database!$A$1:$C$1,),)=0,#N/A,VLOOKUP(Table7[[#This Row],[Date]],Database!$A:$C,MATCH($B$1,Database!$A$1:$C$1,),))</f>
        <v/>
      </c>
      <c r="C3619">
        <f>IF(VLOOKUP(Table7[[#This Row],[Date]],Database!$A:$C,MATCH($C$1,Database!$A$1:$C$1,),)=0,#N/A,VLOOKUP(Table7[[#This Row],[Date]],Database!$A:$C,MATCH($C$1,Database!$A$1:$C$1,),))</f>
        <v/>
      </c>
      <c r="D3619">
        <f>IFERROR(Table7[[#This Row],[United States 10y]]-Table7[[#This Row],[United States 3y]],#N/A)</f>
        <v/>
      </c>
    </row>
    <row r="3620">
      <c r="A3620" s="6">
        <f>Database!$A5705</f>
        <v/>
      </c>
      <c r="B3620">
        <f>IF(VLOOKUP(Table7[[#This Row],[Date]],Database!$A:$C,MATCH($B$1,Database!$A$1:$C$1,),)=0,#N/A,VLOOKUP(Table7[[#This Row],[Date]],Database!$A:$C,MATCH($B$1,Database!$A$1:$C$1,),))</f>
        <v/>
      </c>
      <c r="C3620">
        <f>IF(VLOOKUP(Table7[[#This Row],[Date]],Database!$A:$C,MATCH($C$1,Database!$A$1:$C$1,),)=0,#N/A,VLOOKUP(Table7[[#This Row],[Date]],Database!$A:$C,MATCH($C$1,Database!$A$1:$C$1,),))</f>
        <v/>
      </c>
      <c r="D3620">
        <f>IFERROR(Table7[[#This Row],[United States 10y]]-Table7[[#This Row],[United States 3y]],#N/A)</f>
        <v/>
      </c>
    </row>
    <row r="3621">
      <c r="A3621" s="6">
        <f>Database!$A5706</f>
        <v/>
      </c>
      <c r="B3621">
        <f>IF(VLOOKUP(Table7[[#This Row],[Date]],Database!$A:$C,MATCH($B$1,Database!$A$1:$C$1,),)=0,#N/A,VLOOKUP(Table7[[#This Row],[Date]],Database!$A:$C,MATCH($B$1,Database!$A$1:$C$1,),))</f>
        <v/>
      </c>
      <c r="C3621">
        <f>IF(VLOOKUP(Table7[[#This Row],[Date]],Database!$A:$C,MATCH($C$1,Database!$A$1:$C$1,),)=0,#N/A,VLOOKUP(Table7[[#This Row],[Date]],Database!$A:$C,MATCH($C$1,Database!$A$1:$C$1,),))</f>
        <v/>
      </c>
      <c r="D3621">
        <f>IFERROR(Table7[[#This Row],[United States 10y]]-Table7[[#This Row],[United States 3y]],#N/A)</f>
        <v/>
      </c>
    </row>
    <row r="3622">
      <c r="A3622" s="6">
        <f>Database!$A5707</f>
        <v/>
      </c>
      <c r="B3622">
        <f>IF(VLOOKUP(Table7[[#This Row],[Date]],Database!$A:$C,MATCH($B$1,Database!$A$1:$C$1,),)=0,#N/A,VLOOKUP(Table7[[#This Row],[Date]],Database!$A:$C,MATCH($B$1,Database!$A$1:$C$1,),))</f>
        <v/>
      </c>
      <c r="C3622">
        <f>IF(VLOOKUP(Table7[[#This Row],[Date]],Database!$A:$C,MATCH($C$1,Database!$A$1:$C$1,),)=0,#N/A,VLOOKUP(Table7[[#This Row],[Date]],Database!$A:$C,MATCH($C$1,Database!$A$1:$C$1,),))</f>
        <v/>
      </c>
      <c r="D3622">
        <f>IFERROR(Table7[[#This Row],[United States 10y]]-Table7[[#This Row],[United States 3y]],#N/A)</f>
        <v/>
      </c>
    </row>
    <row r="3623">
      <c r="A3623" s="6">
        <f>Database!$A5708</f>
        <v/>
      </c>
      <c r="B3623">
        <f>IF(VLOOKUP(Table7[[#This Row],[Date]],Database!$A:$C,MATCH($B$1,Database!$A$1:$C$1,),)=0,#N/A,VLOOKUP(Table7[[#This Row],[Date]],Database!$A:$C,MATCH($B$1,Database!$A$1:$C$1,),))</f>
        <v/>
      </c>
      <c r="C3623">
        <f>IF(VLOOKUP(Table7[[#This Row],[Date]],Database!$A:$C,MATCH($C$1,Database!$A$1:$C$1,),)=0,#N/A,VLOOKUP(Table7[[#This Row],[Date]],Database!$A:$C,MATCH($C$1,Database!$A$1:$C$1,),))</f>
        <v/>
      </c>
      <c r="D3623">
        <f>IFERROR(Table7[[#This Row],[United States 10y]]-Table7[[#This Row],[United States 3y]],#N/A)</f>
        <v/>
      </c>
    </row>
    <row r="3624">
      <c r="A3624" s="6">
        <f>Database!$A5709</f>
        <v/>
      </c>
      <c r="B3624">
        <f>IF(VLOOKUP(Table7[[#This Row],[Date]],Database!$A:$C,MATCH($B$1,Database!$A$1:$C$1,),)=0,#N/A,VLOOKUP(Table7[[#This Row],[Date]],Database!$A:$C,MATCH($B$1,Database!$A$1:$C$1,),))</f>
        <v/>
      </c>
      <c r="C3624">
        <f>IF(VLOOKUP(Table7[[#This Row],[Date]],Database!$A:$C,MATCH($C$1,Database!$A$1:$C$1,),)=0,#N/A,VLOOKUP(Table7[[#This Row],[Date]],Database!$A:$C,MATCH($C$1,Database!$A$1:$C$1,),))</f>
        <v/>
      </c>
      <c r="D3624">
        <f>IFERROR(Table7[[#This Row],[United States 10y]]-Table7[[#This Row],[United States 3y]],#N/A)</f>
        <v/>
      </c>
    </row>
    <row r="3625">
      <c r="A3625" s="6">
        <f>Database!$A5710</f>
        <v/>
      </c>
      <c r="B3625">
        <f>IF(VLOOKUP(Table7[[#This Row],[Date]],Database!$A:$C,MATCH($B$1,Database!$A$1:$C$1,),)=0,#N/A,VLOOKUP(Table7[[#This Row],[Date]],Database!$A:$C,MATCH($B$1,Database!$A$1:$C$1,),))</f>
        <v/>
      </c>
      <c r="C3625">
        <f>IF(VLOOKUP(Table7[[#This Row],[Date]],Database!$A:$C,MATCH($C$1,Database!$A$1:$C$1,),)=0,#N/A,VLOOKUP(Table7[[#This Row],[Date]],Database!$A:$C,MATCH($C$1,Database!$A$1:$C$1,),))</f>
        <v/>
      </c>
      <c r="D3625">
        <f>IFERROR(Table7[[#This Row],[United States 10y]]-Table7[[#This Row],[United States 3y]],#N/A)</f>
        <v/>
      </c>
    </row>
    <row r="3626">
      <c r="A3626" s="6">
        <f>Database!$A5711</f>
        <v/>
      </c>
      <c r="B3626">
        <f>IF(VLOOKUP(Table7[[#This Row],[Date]],Database!$A:$C,MATCH($B$1,Database!$A$1:$C$1,),)=0,#N/A,VLOOKUP(Table7[[#This Row],[Date]],Database!$A:$C,MATCH($B$1,Database!$A$1:$C$1,),))</f>
        <v/>
      </c>
      <c r="C3626">
        <f>IF(VLOOKUP(Table7[[#This Row],[Date]],Database!$A:$C,MATCH($C$1,Database!$A$1:$C$1,),)=0,#N/A,VLOOKUP(Table7[[#This Row],[Date]],Database!$A:$C,MATCH($C$1,Database!$A$1:$C$1,),))</f>
        <v/>
      </c>
      <c r="D3626">
        <f>IFERROR(Table7[[#This Row],[United States 10y]]-Table7[[#This Row],[United States 3y]],#N/A)</f>
        <v/>
      </c>
    </row>
    <row r="3627">
      <c r="A3627" s="6">
        <f>Database!$A5712</f>
        <v/>
      </c>
      <c r="B3627">
        <f>IF(VLOOKUP(Table7[[#This Row],[Date]],Database!$A:$C,MATCH($B$1,Database!$A$1:$C$1,),)=0,#N/A,VLOOKUP(Table7[[#This Row],[Date]],Database!$A:$C,MATCH($B$1,Database!$A$1:$C$1,),))</f>
        <v/>
      </c>
      <c r="C3627">
        <f>IF(VLOOKUP(Table7[[#This Row],[Date]],Database!$A:$C,MATCH($C$1,Database!$A$1:$C$1,),)=0,#N/A,VLOOKUP(Table7[[#This Row],[Date]],Database!$A:$C,MATCH($C$1,Database!$A$1:$C$1,),))</f>
        <v/>
      </c>
      <c r="D3627">
        <f>IFERROR(Table7[[#This Row],[United States 10y]]-Table7[[#This Row],[United States 3y]],#N/A)</f>
        <v/>
      </c>
    </row>
    <row r="3628">
      <c r="A3628" s="6">
        <f>Database!$A5713</f>
        <v/>
      </c>
      <c r="B3628">
        <f>IF(VLOOKUP(Table7[[#This Row],[Date]],Database!$A:$C,MATCH($B$1,Database!$A$1:$C$1,),)=0,#N/A,VLOOKUP(Table7[[#This Row],[Date]],Database!$A:$C,MATCH($B$1,Database!$A$1:$C$1,),))</f>
        <v/>
      </c>
      <c r="C3628">
        <f>IF(VLOOKUP(Table7[[#This Row],[Date]],Database!$A:$C,MATCH($C$1,Database!$A$1:$C$1,),)=0,#N/A,VLOOKUP(Table7[[#This Row],[Date]],Database!$A:$C,MATCH($C$1,Database!$A$1:$C$1,),))</f>
        <v/>
      </c>
      <c r="D3628">
        <f>IFERROR(Table7[[#This Row],[United States 10y]]-Table7[[#This Row],[United States 3y]],#N/A)</f>
        <v/>
      </c>
    </row>
    <row r="3629">
      <c r="A3629" s="6">
        <f>Database!$A5714</f>
        <v/>
      </c>
      <c r="B3629">
        <f>IF(VLOOKUP(Table7[[#This Row],[Date]],Database!$A:$C,MATCH($B$1,Database!$A$1:$C$1,),)=0,#N/A,VLOOKUP(Table7[[#This Row],[Date]],Database!$A:$C,MATCH($B$1,Database!$A$1:$C$1,),))</f>
        <v/>
      </c>
      <c r="C3629">
        <f>IF(VLOOKUP(Table7[[#This Row],[Date]],Database!$A:$C,MATCH($C$1,Database!$A$1:$C$1,),)=0,#N/A,VLOOKUP(Table7[[#This Row],[Date]],Database!$A:$C,MATCH($C$1,Database!$A$1:$C$1,),))</f>
        <v/>
      </c>
      <c r="D3629">
        <f>IFERROR(Table7[[#This Row],[United States 10y]]-Table7[[#This Row],[United States 3y]],#N/A)</f>
        <v/>
      </c>
    </row>
    <row r="3630">
      <c r="A3630" s="6">
        <f>Database!$A5715</f>
        <v/>
      </c>
      <c r="B3630">
        <f>IF(VLOOKUP(Table7[[#This Row],[Date]],Database!$A:$C,MATCH($B$1,Database!$A$1:$C$1,),)=0,#N/A,VLOOKUP(Table7[[#This Row],[Date]],Database!$A:$C,MATCH($B$1,Database!$A$1:$C$1,),))</f>
        <v/>
      </c>
      <c r="C3630">
        <f>IF(VLOOKUP(Table7[[#This Row],[Date]],Database!$A:$C,MATCH($C$1,Database!$A$1:$C$1,),)=0,#N/A,VLOOKUP(Table7[[#This Row],[Date]],Database!$A:$C,MATCH($C$1,Database!$A$1:$C$1,),))</f>
        <v/>
      </c>
      <c r="D3630">
        <f>IFERROR(Table7[[#This Row],[United States 10y]]-Table7[[#This Row],[United States 3y]],#N/A)</f>
        <v/>
      </c>
    </row>
    <row r="3631">
      <c r="A3631" s="6">
        <f>Database!$A5716</f>
        <v/>
      </c>
      <c r="B3631">
        <f>IF(VLOOKUP(Table7[[#This Row],[Date]],Database!$A:$C,MATCH($B$1,Database!$A$1:$C$1,),)=0,#N/A,VLOOKUP(Table7[[#This Row],[Date]],Database!$A:$C,MATCH($B$1,Database!$A$1:$C$1,),))</f>
        <v/>
      </c>
      <c r="C3631">
        <f>IF(VLOOKUP(Table7[[#This Row],[Date]],Database!$A:$C,MATCH($C$1,Database!$A$1:$C$1,),)=0,#N/A,VLOOKUP(Table7[[#This Row],[Date]],Database!$A:$C,MATCH($C$1,Database!$A$1:$C$1,),))</f>
        <v/>
      </c>
      <c r="D3631">
        <f>IFERROR(Table7[[#This Row],[United States 10y]]-Table7[[#This Row],[United States 3y]],#N/A)</f>
        <v/>
      </c>
    </row>
    <row r="3632">
      <c r="A3632" s="6">
        <f>Database!$A5717</f>
        <v/>
      </c>
      <c r="B3632">
        <f>IF(VLOOKUP(Table7[[#This Row],[Date]],Database!$A:$C,MATCH($B$1,Database!$A$1:$C$1,),)=0,#N/A,VLOOKUP(Table7[[#This Row],[Date]],Database!$A:$C,MATCH($B$1,Database!$A$1:$C$1,),))</f>
        <v/>
      </c>
      <c r="C3632">
        <f>IF(VLOOKUP(Table7[[#This Row],[Date]],Database!$A:$C,MATCH($C$1,Database!$A$1:$C$1,),)=0,#N/A,VLOOKUP(Table7[[#This Row],[Date]],Database!$A:$C,MATCH($C$1,Database!$A$1:$C$1,),))</f>
        <v/>
      </c>
      <c r="D3632">
        <f>IFERROR(Table7[[#This Row],[United States 10y]]-Table7[[#This Row],[United States 3y]],#N/A)</f>
        <v/>
      </c>
    </row>
    <row r="3633">
      <c r="A3633" s="6">
        <f>Database!$A5718</f>
        <v/>
      </c>
      <c r="B3633">
        <f>IF(VLOOKUP(Table7[[#This Row],[Date]],Database!$A:$C,MATCH($B$1,Database!$A$1:$C$1,),)=0,#N/A,VLOOKUP(Table7[[#This Row],[Date]],Database!$A:$C,MATCH($B$1,Database!$A$1:$C$1,),))</f>
        <v/>
      </c>
      <c r="C3633">
        <f>IF(VLOOKUP(Table7[[#This Row],[Date]],Database!$A:$C,MATCH($C$1,Database!$A$1:$C$1,),)=0,#N/A,VLOOKUP(Table7[[#This Row],[Date]],Database!$A:$C,MATCH($C$1,Database!$A$1:$C$1,),))</f>
        <v/>
      </c>
      <c r="D3633">
        <f>IFERROR(Table7[[#This Row],[United States 10y]]-Table7[[#This Row],[United States 3y]],#N/A)</f>
        <v/>
      </c>
    </row>
    <row r="3634">
      <c r="A3634" s="6">
        <f>Database!$A5719</f>
        <v/>
      </c>
      <c r="B3634">
        <f>IF(VLOOKUP(Table7[[#This Row],[Date]],Database!$A:$C,MATCH($B$1,Database!$A$1:$C$1,),)=0,#N/A,VLOOKUP(Table7[[#This Row],[Date]],Database!$A:$C,MATCH($B$1,Database!$A$1:$C$1,),))</f>
        <v/>
      </c>
      <c r="C3634">
        <f>IF(VLOOKUP(Table7[[#This Row],[Date]],Database!$A:$C,MATCH($C$1,Database!$A$1:$C$1,),)=0,#N/A,VLOOKUP(Table7[[#This Row],[Date]],Database!$A:$C,MATCH($C$1,Database!$A$1:$C$1,),))</f>
        <v/>
      </c>
      <c r="D3634">
        <f>IFERROR(Table7[[#This Row],[United States 10y]]-Table7[[#This Row],[United States 3y]],#N/A)</f>
        <v/>
      </c>
    </row>
    <row r="3635">
      <c r="A3635" s="6">
        <f>Database!$A5720</f>
        <v/>
      </c>
      <c r="B3635">
        <f>IF(VLOOKUP(Table7[[#This Row],[Date]],Database!$A:$C,MATCH($B$1,Database!$A$1:$C$1,),)=0,#N/A,VLOOKUP(Table7[[#This Row],[Date]],Database!$A:$C,MATCH($B$1,Database!$A$1:$C$1,),))</f>
        <v/>
      </c>
      <c r="C3635">
        <f>IF(VLOOKUP(Table7[[#This Row],[Date]],Database!$A:$C,MATCH($C$1,Database!$A$1:$C$1,),)=0,#N/A,VLOOKUP(Table7[[#This Row],[Date]],Database!$A:$C,MATCH($C$1,Database!$A$1:$C$1,),))</f>
        <v/>
      </c>
      <c r="D3635">
        <f>IFERROR(Table7[[#This Row],[United States 10y]]-Table7[[#This Row],[United States 3y]],#N/A)</f>
        <v/>
      </c>
    </row>
    <row r="3636">
      <c r="A3636" s="6">
        <f>Database!$A5721</f>
        <v/>
      </c>
      <c r="B3636">
        <f>IF(VLOOKUP(Table7[[#This Row],[Date]],Database!$A:$C,MATCH($B$1,Database!$A$1:$C$1,),)=0,#N/A,VLOOKUP(Table7[[#This Row],[Date]],Database!$A:$C,MATCH($B$1,Database!$A$1:$C$1,),))</f>
        <v/>
      </c>
      <c r="C3636">
        <f>IF(VLOOKUP(Table7[[#This Row],[Date]],Database!$A:$C,MATCH($C$1,Database!$A$1:$C$1,),)=0,#N/A,VLOOKUP(Table7[[#This Row],[Date]],Database!$A:$C,MATCH($C$1,Database!$A$1:$C$1,),))</f>
        <v/>
      </c>
      <c r="D3636">
        <f>IFERROR(Table7[[#This Row],[United States 10y]]-Table7[[#This Row],[United States 3y]],#N/A)</f>
        <v/>
      </c>
    </row>
    <row r="3637">
      <c r="A3637" s="6">
        <f>Database!$A5722</f>
        <v/>
      </c>
      <c r="B3637">
        <f>IF(VLOOKUP(Table7[[#This Row],[Date]],Database!$A:$C,MATCH($B$1,Database!$A$1:$C$1,),)=0,#N/A,VLOOKUP(Table7[[#This Row],[Date]],Database!$A:$C,MATCH($B$1,Database!$A$1:$C$1,),))</f>
        <v/>
      </c>
      <c r="C3637">
        <f>IF(VLOOKUP(Table7[[#This Row],[Date]],Database!$A:$C,MATCH($C$1,Database!$A$1:$C$1,),)=0,#N/A,VLOOKUP(Table7[[#This Row],[Date]],Database!$A:$C,MATCH($C$1,Database!$A$1:$C$1,),))</f>
        <v/>
      </c>
      <c r="D3637">
        <f>IFERROR(Table7[[#This Row],[United States 10y]]-Table7[[#This Row],[United States 3y]],#N/A)</f>
        <v/>
      </c>
    </row>
    <row r="3638">
      <c r="A3638" s="6">
        <f>Database!$A5723</f>
        <v/>
      </c>
      <c r="B3638">
        <f>IF(VLOOKUP(Table7[[#This Row],[Date]],Database!$A:$C,MATCH($B$1,Database!$A$1:$C$1,),)=0,#N/A,VLOOKUP(Table7[[#This Row],[Date]],Database!$A:$C,MATCH($B$1,Database!$A$1:$C$1,),))</f>
        <v/>
      </c>
      <c r="C3638">
        <f>IF(VLOOKUP(Table7[[#This Row],[Date]],Database!$A:$C,MATCH($C$1,Database!$A$1:$C$1,),)=0,#N/A,VLOOKUP(Table7[[#This Row],[Date]],Database!$A:$C,MATCH($C$1,Database!$A$1:$C$1,),))</f>
        <v/>
      </c>
      <c r="D3638">
        <f>IFERROR(Table7[[#This Row],[United States 10y]]-Table7[[#This Row],[United States 3y]],#N/A)</f>
        <v/>
      </c>
    </row>
    <row r="3639">
      <c r="A3639" s="6">
        <f>Database!$A5724</f>
        <v/>
      </c>
      <c r="B3639">
        <f>IF(VLOOKUP(Table7[[#This Row],[Date]],Database!$A:$C,MATCH($B$1,Database!$A$1:$C$1,),)=0,#N/A,VLOOKUP(Table7[[#This Row],[Date]],Database!$A:$C,MATCH($B$1,Database!$A$1:$C$1,),))</f>
        <v/>
      </c>
      <c r="C3639">
        <f>IF(VLOOKUP(Table7[[#This Row],[Date]],Database!$A:$C,MATCH($C$1,Database!$A$1:$C$1,),)=0,#N/A,VLOOKUP(Table7[[#This Row],[Date]],Database!$A:$C,MATCH($C$1,Database!$A$1:$C$1,),))</f>
        <v/>
      </c>
      <c r="D3639">
        <f>IFERROR(Table7[[#This Row],[United States 10y]]-Table7[[#This Row],[United States 3y]],#N/A)</f>
        <v/>
      </c>
    </row>
    <row r="3640">
      <c r="A3640" s="6">
        <f>Database!$A5725</f>
        <v/>
      </c>
      <c r="B3640">
        <f>IF(VLOOKUP(Table7[[#This Row],[Date]],Database!$A:$C,MATCH($B$1,Database!$A$1:$C$1,),)=0,#N/A,VLOOKUP(Table7[[#This Row],[Date]],Database!$A:$C,MATCH($B$1,Database!$A$1:$C$1,),))</f>
        <v/>
      </c>
      <c r="C3640">
        <f>IF(VLOOKUP(Table7[[#This Row],[Date]],Database!$A:$C,MATCH($C$1,Database!$A$1:$C$1,),)=0,#N/A,VLOOKUP(Table7[[#This Row],[Date]],Database!$A:$C,MATCH($C$1,Database!$A$1:$C$1,),))</f>
        <v/>
      </c>
      <c r="D3640">
        <f>IFERROR(Table7[[#This Row],[United States 10y]]-Table7[[#This Row],[United States 3y]],#N/A)</f>
        <v/>
      </c>
    </row>
    <row r="3641">
      <c r="A3641" s="6">
        <f>Database!$A5726</f>
        <v/>
      </c>
      <c r="B3641">
        <f>IF(VLOOKUP(Table7[[#This Row],[Date]],Database!$A:$C,MATCH($B$1,Database!$A$1:$C$1,),)=0,#N/A,VLOOKUP(Table7[[#This Row],[Date]],Database!$A:$C,MATCH($B$1,Database!$A$1:$C$1,),))</f>
        <v/>
      </c>
      <c r="C3641">
        <f>IF(VLOOKUP(Table7[[#This Row],[Date]],Database!$A:$C,MATCH($C$1,Database!$A$1:$C$1,),)=0,#N/A,VLOOKUP(Table7[[#This Row],[Date]],Database!$A:$C,MATCH($C$1,Database!$A$1:$C$1,),))</f>
        <v/>
      </c>
      <c r="D3641">
        <f>IFERROR(Table7[[#This Row],[United States 10y]]-Table7[[#This Row],[United States 3y]],#N/A)</f>
        <v/>
      </c>
    </row>
    <row r="3642">
      <c r="A3642" s="6">
        <f>Database!$A5727</f>
        <v/>
      </c>
      <c r="B3642">
        <f>IF(VLOOKUP(Table7[[#This Row],[Date]],Database!$A:$C,MATCH($B$1,Database!$A$1:$C$1,),)=0,#N/A,VLOOKUP(Table7[[#This Row],[Date]],Database!$A:$C,MATCH($B$1,Database!$A$1:$C$1,),))</f>
        <v/>
      </c>
      <c r="C3642">
        <f>IF(VLOOKUP(Table7[[#This Row],[Date]],Database!$A:$C,MATCH($C$1,Database!$A$1:$C$1,),)=0,#N/A,VLOOKUP(Table7[[#This Row],[Date]],Database!$A:$C,MATCH($C$1,Database!$A$1:$C$1,),))</f>
        <v/>
      </c>
      <c r="D3642">
        <f>IFERROR(Table7[[#This Row],[United States 10y]]-Table7[[#This Row],[United States 3y]],#N/A)</f>
        <v/>
      </c>
    </row>
    <row r="3643">
      <c r="A3643" s="6">
        <f>Database!$A5728</f>
        <v/>
      </c>
      <c r="B3643">
        <f>IF(VLOOKUP(Table7[[#This Row],[Date]],Database!$A:$C,MATCH($B$1,Database!$A$1:$C$1,),)=0,#N/A,VLOOKUP(Table7[[#This Row],[Date]],Database!$A:$C,MATCH($B$1,Database!$A$1:$C$1,),))</f>
        <v/>
      </c>
      <c r="C3643">
        <f>IF(VLOOKUP(Table7[[#This Row],[Date]],Database!$A:$C,MATCH($C$1,Database!$A$1:$C$1,),)=0,#N/A,VLOOKUP(Table7[[#This Row],[Date]],Database!$A:$C,MATCH($C$1,Database!$A$1:$C$1,),))</f>
        <v/>
      </c>
      <c r="D3643">
        <f>IFERROR(Table7[[#This Row],[United States 10y]]-Table7[[#This Row],[United States 3y]],#N/A)</f>
        <v/>
      </c>
    </row>
    <row r="3644">
      <c r="A3644" s="6">
        <f>Database!$A5729</f>
        <v/>
      </c>
      <c r="B3644">
        <f>IF(VLOOKUP(Table7[[#This Row],[Date]],Database!$A:$C,MATCH($B$1,Database!$A$1:$C$1,),)=0,#N/A,VLOOKUP(Table7[[#This Row],[Date]],Database!$A:$C,MATCH($B$1,Database!$A$1:$C$1,),))</f>
        <v/>
      </c>
      <c r="C3644">
        <f>IF(VLOOKUP(Table7[[#This Row],[Date]],Database!$A:$C,MATCH($C$1,Database!$A$1:$C$1,),)=0,#N/A,VLOOKUP(Table7[[#This Row],[Date]],Database!$A:$C,MATCH($C$1,Database!$A$1:$C$1,),))</f>
        <v/>
      </c>
      <c r="D3644">
        <f>IFERROR(Table7[[#This Row],[United States 10y]]-Table7[[#This Row],[United States 3y]],#N/A)</f>
        <v/>
      </c>
    </row>
    <row r="3645">
      <c r="A3645" s="6">
        <f>Database!$A5730</f>
        <v/>
      </c>
      <c r="B3645">
        <f>IF(VLOOKUP(Table7[[#This Row],[Date]],Database!$A:$C,MATCH($B$1,Database!$A$1:$C$1,),)=0,#N/A,VLOOKUP(Table7[[#This Row],[Date]],Database!$A:$C,MATCH($B$1,Database!$A$1:$C$1,),))</f>
        <v/>
      </c>
      <c r="C3645">
        <f>IF(VLOOKUP(Table7[[#This Row],[Date]],Database!$A:$C,MATCH($C$1,Database!$A$1:$C$1,),)=0,#N/A,VLOOKUP(Table7[[#This Row],[Date]],Database!$A:$C,MATCH($C$1,Database!$A$1:$C$1,),))</f>
        <v/>
      </c>
      <c r="D3645">
        <f>IFERROR(Table7[[#This Row],[United States 10y]]-Table7[[#This Row],[United States 3y]],#N/A)</f>
        <v/>
      </c>
    </row>
    <row r="3646">
      <c r="A3646" s="6">
        <f>Database!$A5731</f>
        <v/>
      </c>
      <c r="B3646">
        <f>IF(VLOOKUP(Table7[[#This Row],[Date]],Database!$A:$C,MATCH($B$1,Database!$A$1:$C$1,),)=0,#N/A,VLOOKUP(Table7[[#This Row],[Date]],Database!$A:$C,MATCH($B$1,Database!$A$1:$C$1,),))</f>
        <v/>
      </c>
      <c r="C3646">
        <f>IF(VLOOKUP(Table7[[#This Row],[Date]],Database!$A:$C,MATCH($C$1,Database!$A$1:$C$1,),)=0,#N/A,VLOOKUP(Table7[[#This Row],[Date]],Database!$A:$C,MATCH($C$1,Database!$A$1:$C$1,),))</f>
        <v/>
      </c>
      <c r="D3646">
        <f>IFERROR(Table7[[#This Row],[United States 10y]]-Table7[[#This Row],[United States 3y]],#N/A)</f>
        <v/>
      </c>
    </row>
    <row r="3647">
      <c r="A3647" s="6">
        <f>Database!$A5732</f>
        <v/>
      </c>
      <c r="B3647">
        <f>IF(VLOOKUP(Table7[[#This Row],[Date]],Database!$A:$C,MATCH($B$1,Database!$A$1:$C$1,),)=0,#N/A,VLOOKUP(Table7[[#This Row],[Date]],Database!$A:$C,MATCH($B$1,Database!$A$1:$C$1,),))</f>
        <v/>
      </c>
      <c r="C3647">
        <f>IF(VLOOKUP(Table7[[#This Row],[Date]],Database!$A:$C,MATCH($C$1,Database!$A$1:$C$1,),)=0,#N/A,VLOOKUP(Table7[[#This Row],[Date]],Database!$A:$C,MATCH($C$1,Database!$A$1:$C$1,),))</f>
        <v/>
      </c>
      <c r="D3647">
        <f>IFERROR(Table7[[#This Row],[United States 10y]]-Table7[[#This Row],[United States 3y]],#N/A)</f>
        <v/>
      </c>
    </row>
    <row r="3648">
      <c r="A3648" s="6">
        <f>Database!$A5733</f>
        <v/>
      </c>
      <c r="B3648">
        <f>IF(VLOOKUP(Table7[[#This Row],[Date]],Database!$A:$C,MATCH($B$1,Database!$A$1:$C$1,),)=0,#N/A,VLOOKUP(Table7[[#This Row],[Date]],Database!$A:$C,MATCH($B$1,Database!$A$1:$C$1,),))</f>
        <v/>
      </c>
      <c r="C3648">
        <f>IF(VLOOKUP(Table7[[#This Row],[Date]],Database!$A:$C,MATCH($C$1,Database!$A$1:$C$1,),)=0,#N/A,VLOOKUP(Table7[[#This Row],[Date]],Database!$A:$C,MATCH($C$1,Database!$A$1:$C$1,),))</f>
        <v/>
      </c>
      <c r="D3648">
        <f>IFERROR(Table7[[#This Row],[United States 10y]]-Table7[[#This Row],[United States 3y]],#N/A)</f>
        <v/>
      </c>
    </row>
    <row r="3649">
      <c r="A3649" s="6">
        <f>Database!$A5734</f>
        <v/>
      </c>
      <c r="B3649">
        <f>IF(VLOOKUP(Table7[[#This Row],[Date]],Database!$A:$C,MATCH($B$1,Database!$A$1:$C$1,),)=0,#N/A,VLOOKUP(Table7[[#This Row],[Date]],Database!$A:$C,MATCH($B$1,Database!$A$1:$C$1,),))</f>
        <v/>
      </c>
      <c r="C3649">
        <f>IF(VLOOKUP(Table7[[#This Row],[Date]],Database!$A:$C,MATCH($C$1,Database!$A$1:$C$1,),)=0,#N/A,VLOOKUP(Table7[[#This Row],[Date]],Database!$A:$C,MATCH($C$1,Database!$A$1:$C$1,),))</f>
        <v/>
      </c>
      <c r="D3649">
        <f>IFERROR(Table7[[#This Row],[United States 10y]]-Table7[[#This Row],[United States 3y]],#N/A)</f>
        <v/>
      </c>
    </row>
    <row r="3650">
      <c r="A3650" s="6">
        <f>Database!$A5735</f>
        <v/>
      </c>
      <c r="B3650">
        <f>IF(VLOOKUP(Table7[[#This Row],[Date]],Database!$A:$C,MATCH($B$1,Database!$A$1:$C$1,),)=0,#N/A,VLOOKUP(Table7[[#This Row],[Date]],Database!$A:$C,MATCH($B$1,Database!$A$1:$C$1,),))</f>
        <v/>
      </c>
      <c r="C3650">
        <f>IF(VLOOKUP(Table7[[#This Row],[Date]],Database!$A:$C,MATCH($C$1,Database!$A$1:$C$1,),)=0,#N/A,VLOOKUP(Table7[[#This Row],[Date]],Database!$A:$C,MATCH($C$1,Database!$A$1:$C$1,),))</f>
        <v/>
      </c>
      <c r="D3650">
        <f>IFERROR(Table7[[#This Row],[United States 10y]]-Table7[[#This Row],[United States 3y]],#N/A)</f>
        <v/>
      </c>
    </row>
    <row r="3651">
      <c r="A3651" s="6">
        <f>Database!$A5736</f>
        <v/>
      </c>
      <c r="B3651">
        <f>IF(VLOOKUP(Table7[[#This Row],[Date]],Database!$A:$C,MATCH($B$1,Database!$A$1:$C$1,),)=0,#N/A,VLOOKUP(Table7[[#This Row],[Date]],Database!$A:$C,MATCH($B$1,Database!$A$1:$C$1,),))</f>
        <v/>
      </c>
      <c r="C3651">
        <f>IF(VLOOKUP(Table7[[#This Row],[Date]],Database!$A:$C,MATCH($C$1,Database!$A$1:$C$1,),)=0,#N/A,VLOOKUP(Table7[[#This Row],[Date]],Database!$A:$C,MATCH($C$1,Database!$A$1:$C$1,),))</f>
        <v/>
      </c>
      <c r="D3651">
        <f>IFERROR(Table7[[#This Row],[United States 10y]]-Table7[[#This Row],[United States 3y]],#N/A)</f>
        <v/>
      </c>
    </row>
    <row r="3652">
      <c r="A3652" s="6">
        <f>Database!$A5737</f>
        <v/>
      </c>
      <c r="B3652">
        <f>IF(VLOOKUP(Table7[[#This Row],[Date]],Database!$A:$C,MATCH($B$1,Database!$A$1:$C$1,),)=0,#N/A,VLOOKUP(Table7[[#This Row],[Date]],Database!$A:$C,MATCH($B$1,Database!$A$1:$C$1,),))</f>
        <v/>
      </c>
      <c r="C3652">
        <f>IF(VLOOKUP(Table7[[#This Row],[Date]],Database!$A:$C,MATCH($C$1,Database!$A$1:$C$1,),)=0,#N/A,VLOOKUP(Table7[[#This Row],[Date]],Database!$A:$C,MATCH($C$1,Database!$A$1:$C$1,),))</f>
        <v/>
      </c>
      <c r="D3652">
        <f>IFERROR(Table7[[#This Row],[United States 10y]]-Table7[[#This Row],[United States 3y]],#N/A)</f>
        <v/>
      </c>
    </row>
    <row r="3653">
      <c r="A3653" s="6">
        <f>Database!$A5738</f>
        <v/>
      </c>
      <c r="B3653">
        <f>IF(VLOOKUP(Table7[[#This Row],[Date]],Database!$A:$C,MATCH($B$1,Database!$A$1:$C$1,),)=0,#N/A,VLOOKUP(Table7[[#This Row],[Date]],Database!$A:$C,MATCH($B$1,Database!$A$1:$C$1,),))</f>
        <v/>
      </c>
      <c r="C3653">
        <f>IF(VLOOKUP(Table7[[#This Row],[Date]],Database!$A:$C,MATCH($C$1,Database!$A$1:$C$1,),)=0,#N/A,VLOOKUP(Table7[[#This Row],[Date]],Database!$A:$C,MATCH($C$1,Database!$A$1:$C$1,),))</f>
        <v/>
      </c>
      <c r="D3653">
        <f>IFERROR(Table7[[#This Row],[United States 10y]]-Table7[[#This Row],[United States 3y]],#N/A)</f>
        <v/>
      </c>
    </row>
    <row r="3654">
      <c r="A3654" s="6">
        <f>Database!$A5739</f>
        <v/>
      </c>
      <c r="B3654">
        <f>IF(VLOOKUP(Table7[[#This Row],[Date]],Database!$A:$C,MATCH($B$1,Database!$A$1:$C$1,),)=0,#N/A,VLOOKUP(Table7[[#This Row],[Date]],Database!$A:$C,MATCH($B$1,Database!$A$1:$C$1,),))</f>
        <v/>
      </c>
      <c r="C3654">
        <f>IF(VLOOKUP(Table7[[#This Row],[Date]],Database!$A:$C,MATCH($C$1,Database!$A$1:$C$1,),)=0,#N/A,VLOOKUP(Table7[[#This Row],[Date]],Database!$A:$C,MATCH($C$1,Database!$A$1:$C$1,),))</f>
        <v/>
      </c>
      <c r="D3654">
        <f>IFERROR(Table7[[#This Row],[United States 10y]]-Table7[[#This Row],[United States 3y]],#N/A)</f>
        <v/>
      </c>
    </row>
    <row r="3655">
      <c r="A3655" s="6">
        <f>Database!$A5740</f>
        <v/>
      </c>
      <c r="B3655">
        <f>IF(VLOOKUP(Table7[[#This Row],[Date]],Database!$A:$C,MATCH($B$1,Database!$A$1:$C$1,),)=0,#N/A,VLOOKUP(Table7[[#This Row],[Date]],Database!$A:$C,MATCH($B$1,Database!$A$1:$C$1,),))</f>
        <v/>
      </c>
      <c r="C3655">
        <f>IF(VLOOKUP(Table7[[#This Row],[Date]],Database!$A:$C,MATCH($C$1,Database!$A$1:$C$1,),)=0,#N/A,VLOOKUP(Table7[[#This Row],[Date]],Database!$A:$C,MATCH($C$1,Database!$A$1:$C$1,),))</f>
        <v/>
      </c>
      <c r="D3655">
        <f>IFERROR(Table7[[#This Row],[United States 10y]]-Table7[[#This Row],[United States 3y]],#N/A)</f>
        <v/>
      </c>
    </row>
    <row r="3656">
      <c r="A3656" s="6">
        <f>Database!$A5741</f>
        <v/>
      </c>
      <c r="B3656">
        <f>IF(VLOOKUP(Table7[[#This Row],[Date]],Database!$A:$C,MATCH($B$1,Database!$A$1:$C$1,),)=0,#N/A,VLOOKUP(Table7[[#This Row],[Date]],Database!$A:$C,MATCH($B$1,Database!$A$1:$C$1,),))</f>
        <v/>
      </c>
      <c r="C3656">
        <f>IF(VLOOKUP(Table7[[#This Row],[Date]],Database!$A:$C,MATCH($C$1,Database!$A$1:$C$1,),)=0,#N/A,VLOOKUP(Table7[[#This Row],[Date]],Database!$A:$C,MATCH($C$1,Database!$A$1:$C$1,),))</f>
        <v/>
      </c>
      <c r="D3656">
        <f>IFERROR(Table7[[#This Row],[United States 10y]]-Table7[[#This Row],[United States 3y]],#N/A)</f>
        <v/>
      </c>
    </row>
    <row r="3657">
      <c r="A3657" s="6">
        <f>Database!$A5742</f>
        <v/>
      </c>
      <c r="B3657">
        <f>IF(VLOOKUP(Table7[[#This Row],[Date]],Database!$A:$C,MATCH($B$1,Database!$A$1:$C$1,),)=0,#N/A,VLOOKUP(Table7[[#This Row],[Date]],Database!$A:$C,MATCH($B$1,Database!$A$1:$C$1,),))</f>
        <v/>
      </c>
      <c r="C3657">
        <f>IF(VLOOKUP(Table7[[#This Row],[Date]],Database!$A:$C,MATCH($C$1,Database!$A$1:$C$1,),)=0,#N/A,VLOOKUP(Table7[[#This Row],[Date]],Database!$A:$C,MATCH($C$1,Database!$A$1:$C$1,),))</f>
        <v/>
      </c>
      <c r="D3657">
        <f>IFERROR(Table7[[#This Row],[United States 10y]]-Table7[[#This Row],[United States 3y]],#N/A)</f>
        <v/>
      </c>
    </row>
    <row r="3658">
      <c r="A3658" s="6">
        <f>Database!$A5743</f>
        <v/>
      </c>
      <c r="B3658">
        <f>IF(VLOOKUP(Table7[[#This Row],[Date]],Database!$A:$C,MATCH($B$1,Database!$A$1:$C$1,),)=0,#N/A,VLOOKUP(Table7[[#This Row],[Date]],Database!$A:$C,MATCH($B$1,Database!$A$1:$C$1,),))</f>
        <v/>
      </c>
      <c r="C3658">
        <f>IF(VLOOKUP(Table7[[#This Row],[Date]],Database!$A:$C,MATCH($C$1,Database!$A$1:$C$1,),)=0,#N/A,VLOOKUP(Table7[[#This Row],[Date]],Database!$A:$C,MATCH($C$1,Database!$A$1:$C$1,),))</f>
        <v/>
      </c>
      <c r="D3658">
        <f>IFERROR(Table7[[#This Row],[United States 10y]]-Table7[[#This Row],[United States 3y]],#N/A)</f>
        <v/>
      </c>
    </row>
    <row r="3659">
      <c r="A3659" s="6">
        <f>Database!$A5744</f>
        <v/>
      </c>
      <c r="B3659">
        <f>IF(VLOOKUP(Table7[[#This Row],[Date]],Database!$A:$C,MATCH($B$1,Database!$A$1:$C$1,),)=0,#N/A,VLOOKUP(Table7[[#This Row],[Date]],Database!$A:$C,MATCH($B$1,Database!$A$1:$C$1,),))</f>
        <v/>
      </c>
      <c r="C3659">
        <f>IF(VLOOKUP(Table7[[#This Row],[Date]],Database!$A:$C,MATCH($C$1,Database!$A$1:$C$1,),)=0,#N/A,VLOOKUP(Table7[[#This Row],[Date]],Database!$A:$C,MATCH($C$1,Database!$A$1:$C$1,),))</f>
        <v/>
      </c>
      <c r="D3659">
        <f>IFERROR(Table7[[#This Row],[United States 10y]]-Table7[[#This Row],[United States 3y]],#N/A)</f>
        <v/>
      </c>
    </row>
    <row r="3660">
      <c r="A3660" s="6">
        <f>Database!$A5745</f>
        <v/>
      </c>
      <c r="B3660">
        <f>IF(VLOOKUP(Table7[[#This Row],[Date]],Database!$A:$C,MATCH($B$1,Database!$A$1:$C$1,),)=0,#N/A,VLOOKUP(Table7[[#This Row],[Date]],Database!$A:$C,MATCH($B$1,Database!$A$1:$C$1,),))</f>
        <v/>
      </c>
      <c r="C3660">
        <f>IF(VLOOKUP(Table7[[#This Row],[Date]],Database!$A:$C,MATCH($C$1,Database!$A$1:$C$1,),)=0,#N/A,VLOOKUP(Table7[[#This Row],[Date]],Database!$A:$C,MATCH($C$1,Database!$A$1:$C$1,),))</f>
        <v/>
      </c>
      <c r="D3660">
        <f>IFERROR(Table7[[#This Row],[United States 10y]]-Table7[[#This Row],[United States 3y]],#N/A)</f>
        <v/>
      </c>
    </row>
    <row r="3661">
      <c r="A3661" s="6">
        <f>Database!$A5746</f>
        <v/>
      </c>
      <c r="B3661">
        <f>IF(VLOOKUP(Table7[[#This Row],[Date]],Database!$A:$C,MATCH($B$1,Database!$A$1:$C$1,),)=0,#N/A,VLOOKUP(Table7[[#This Row],[Date]],Database!$A:$C,MATCH($B$1,Database!$A$1:$C$1,),))</f>
        <v/>
      </c>
      <c r="C3661">
        <f>IF(VLOOKUP(Table7[[#This Row],[Date]],Database!$A:$C,MATCH($C$1,Database!$A$1:$C$1,),)=0,#N/A,VLOOKUP(Table7[[#This Row],[Date]],Database!$A:$C,MATCH($C$1,Database!$A$1:$C$1,),))</f>
        <v/>
      </c>
      <c r="D3661">
        <f>IFERROR(Table7[[#This Row],[United States 10y]]-Table7[[#This Row],[United States 3y]],#N/A)</f>
        <v/>
      </c>
    </row>
    <row r="3662">
      <c r="A3662" s="6">
        <f>Database!$A5747</f>
        <v/>
      </c>
      <c r="B3662">
        <f>IF(VLOOKUP(Table7[[#This Row],[Date]],Database!$A:$C,MATCH($B$1,Database!$A$1:$C$1,),)=0,#N/A,VLOOKUP(Table7[[#This Row],[Date]],Database!$A:$C,MATCH($B$1,Database!$A$1:$C$1,),))</f>
        <v/>
      </c>
      <c r="C3662">
        <f>IF(VLOOKUP(Table7[[#This Row],[Date]],Database!$A:$C,MATCH($C$1,Database!$A$1:$C$1,),)=0,#N/A,VLOOKUP(Table7[[#This Row],[Date]],Database!$A:$C,MATCH($C$1,Database!$A$1:$C$1,),))</f>
        <v/>
      </c>
      <c r="D3662">
        <f>IFERROR(Table7[[#This Row],[United States 10y]]-Table7[[#This Row],[United States 3y]],#N/A)</f>
        <v/>
      </c>
    </row>
    <row r="3663">
      <c r="A3663" s="6">
        <f>Database!$A5748</f>
        <v/>
      </c>
      <c r="B3663">
        <f>IF(VLOOKUP(Table7[[#This Row],[Date]],Database!$A:$C,MATCH($B$1,Database!$A$1:$C$1,),)=0,#N/A,VLOOKUP(Table7[[#This Row],[Date]],Database!$A:$C,MATCH($B$1,Database!$A$1:$C$1,),))</f>
        <v/>
      </c>
      <c r="C3663">
        <f>IF(VLOOKUP(Table7[[#This Row],[Date]],Database!$A:$C,MATCH($C$1,Database!$A$1:$C$1,),)=0,#N/A,VLOOKUP(Table7[[#This Row],[Date]],Database!$A:$C,MATCH($C$1,Database!$A$1:$C$1,),))</f>
        <v/>
      </c>
      <c r="D3663">
        <f>IFERROR(Table7[[#This Row],[United States 10y]]-Table7[[#This Row],[United States 3y]],#N/A)</f>
        <v/>
      </c>
    </row>
    <row r="3664">
      <c r="A3664" s="6">
        <f>Database!$A5749</f>
        <v/>
      </c>
      <c r="B3664">
        <f>IF(VLOOKUP(Table7[[#This Row],[Date]],Database!$A:$C,MATCH($B$1,Database!$A$1:$C$1,),)=0,#N/A,VLOOKUP(Table7[[#This Row],[Date]],Database!$A:$C,MATCH($B$1,Database!$A$1:$C$1,),))</f>
        <v/>
      </c>
      <c r="C3664">
        <f>IF(VLOOKUP(Table7[[#This Row],[Date]],Database!$A:$C,MATCH($C$1,Database!$A$1:$C$1,),)=0,#N/A,VLOOKUP(Table7[[#This Row],[Date]],Database!$A:$C,MATCH($C$1,Database!$A$1:$C$1,),))</f>
        <v/>
      </c>
      <c r="D3664">
        <f>IFERROR(Table7[[#This Row],[United States 10y]]-Table7[[#This Row],[United States 3y]],#N/A)</f>
        <v/>
      </c>
    </row>
    <row r="3665">
      <c r="A3665" s="6">
        <f>Database!$A5750</f>
        <v/>
      </c>
      <c r="B3665">
        <f>IF(VLOOKUP(Table7[[#This Row],[Date]],Database!$A:$C,MATCH($B$1,Database!$A$1:$C$1,),)=0,#N/A,VLOOKUP(Table7[[#This Row],[Date]],Database!$A:$C,MATCH($B$1,Database!$A$1:$C$1,),))</f>
        <v/>
      </c>
      <c r="C3665">
        <f>IF(VLOOKUP(Table7[[#This Row],[Date]],Database!$A:$C,MATCH($C$1,Database!$A$1:$C$1,),)=0,#N/A,VLOOKUP(Table7[[#This Row],[Date]],Database!$A:$C,MATCH($C$1,Database!$A$1:$C$1,),))</f>
        <v/>
      </c>
      <c r="D3665">
        <f>IFERROR(Table7[[#This Row],[United States 10y]]-Table7[[#This Row],[United States 3y]],#N/A)</f>
        <v/>
      </c>
    </row>
    <row r="3666">
      <c r="A3666" s="6">
        <f>Database!$A5751</f>
        <v/>
      </c>
      <c r="B3666">
        <f>IF(VLOOKUP(Table7[[#This Row],[Date]],Database!$A:$C,MATCH($B$1,Database!$A$1:$C$1,),)=0,#N/A,VLOOKUP(Table7[[#This Row],[Date]],Database!$A:$C,MATCH($B$1,Database!$A$1:$C$1,),))</f>
        <v/>
      </c>
      <c r="C3666">
        <f>IF(VLOOKUP(Table7[[#This Row],[Date]],Database!$A:$C,MATCH($C$1,Database!$A$1:$C$1,),)=0,#N/A,VLOOKUP(Table7[[#This Row],[Date]],Database!$A:$C,MATCH($C$1,Database!$A$1:$C$1,),))</f>
        <v/>
      </c>
      <c r="D3666">
        <f>IFERROR(Table7[[#This Row],[United States 10y]]-Table7[[#This Row],[United States 3y]],#N/A)</f>
        <v/>
      </c>
    </row>
    <row r="3667">
      <c r="A3667" s="6">
        <f>Database!$A5752</f>
        <v/>
      </c>
      <c r="B3667">
        <f>IF(VLOOKUP(Table7[[#This Row],[Date]],Database!$A:$C,MATCH($B$1,Database!$A$1:$C$1,),)=0,#N/A,VLOOKUP(Table7[[#This Row],[Date]],Database!$A:$C,MATCH($B$1,Database!$A$1:$C$1,),))</f>
        <v/>
      </c>
      <c r="C3667">
        <f>IF(VLOOKUP(Table7[[#This Row],[Date]],Database!$A:$C,MATCH($C$1,Database!$A$1:$C$1,),)=0,#N/A,VLOOKUP(Table7[[#This Row],[Date]],Database!$A:$C,MATCH($C$1,Database!$A$1:$C$1,),))</f>
        <v/>
      </c>
      <c r="D3667">
        <f>IFERROR(Table7[[#This Row],[United States 10y]]-Table7[[#This Row],[United States 3y]],#N/A)</f>
        <v/>
      </c>
    </row>
    <row r="3668">
      <c r="A3668" s="6">
        <f>Database!$A5753</f>
        <v/>
      </c>
      <c r="B3668">
        <f>IF(VLOOKUP(Table7[[#This Row],[Date]],Database!$A:$C,MATCH($B$1,Database!$A$1:$C$1,),)=0,#N/A,VLOOKUP(Table7[[#This Row],[Date]],Database!$A:$C,MATCH($B$1,Database!$A$1:$C$1,),))</f>
        <v/>
      </c>
      <c r="C3668">
        <f>IF(VLOOKUP(Table7[[#This Row],[Date]],Database!$A:$C,MATCH($C$1,Database!$A$1:$C$1,),)=0,#N/A,VLOOKUP(Table7[[#This Row],[Date]],Database!$A:$C,MATCH($C$1,Database!$A$1:$C$1,),))</f>
        <v/>
      </c>
      <c r="D3668">
        <f>IFERROR(Table7[[#This Row],[United States 10y]]-Table7[[#This Row],[United States 3y]],#N/A)</f>
        <v/>
      </c>
    </row>
    <row r="3669">
      <c r="A3669" s="6">
        <f>Database!$A5754</f>
        <v/>
      </c>
      <c r="B3669">
        <f>IF(VLOOKUP(Table7[[#This Row],[Date]],Database!$A:$C,MATCH($B$1,Database!$A$1:$C$1,),)=0,#N/A,VLOOKUP(Table7[[#This Row],[Date]],Database!$A:$C,MATCH($B$1,Database!$A$1:$C$1,),))</f>
        <v/>
      </c>
      <c r="C3669">
        <f>IF(VLOOKUP(Table7[[#This Row],[Date]],Database!$A:$C,MATCH($C$1,Database!$A$1:$C$1,),)=0,#N/A,VLOOKUP(Table7[[#This Row],[Date]],Database!$A:$C,MATCH($C$1,Database!$A$1:$C$1,),))</f>
        <v/>
      </c>
      <c r="D3669">
        <f>IFERROR(Table7[[#This Row],[United States 10y]]-Table7[[#This Row],[United States 3y]],#N/A)</f>
        <v/>
      </c>
    </row>
    <row r="3670">
      <c r="A3670" s="6">
        <f>Database!$A5755</f>
        <v/>
      </c>
      <c r="B3670">
        <f>IF(VLOOKUP(Table7[[#This Row],[Date]],Database!$A:$C,MATCH($B$1,Database!$A$1:$C$1,),)=0,#N/A,VLOOKUP(Table7[[#This Row],[Date]],Database!$A:$C,MATCH($B$1,Database!$A$1:$C$1,),))</f>
        <v/>
      </c>
      <c r="C3670">
        <f>IF(VLOOKUP(Table7[[#This Row],[Date]],Database!$A:$C,MATCH($C$1,Database!$A$1:$C$1,),)=0,#N/A,VLOOKUP(Table7[[#This Row],[Date]],Database!$A:$C,MATCH($C$1,Database!$A$1:$C$1,),))</f>
        <v/>
      </c>
      <c r="D3670">
        <f>IFERROR(Table7[[#This Row],[United States 10y]]-Table7[[#This Row],[United States 3y]],#N/A)</f>
        <v/>
      </c>
    </row>
    <row r="3671">
      <c r="A3671" s="6">
        <f>Database!$A5756</f>
        <v/>
      </c>
      <c r="B3671">
        <f>IF(VLOOKUP(Table7[[#This Row],[Date]],Database!$A:$C,MATCH($B$1,Database!$A$1:$C$1,),)=0,#N/A,VLOOKUP(Table7[[#This Row],[Date]],Database!$A:$C,MATCH($B$1,Database!$A$1:$C$1,),))</f>
        <v/>
      </c>
      <c r="C3671">
        <f>IF(VLOOKUP(Table7[[#This Row],[Date]],Database!$A:$C,MATCH($C$1,Database!$A$1:$C$1,),)=0,#N/A,VLOOKUP(Table7[[#This Row],[Date]],Database!$A:$C,MATCH($C$1,Database!$A$1:$C$1,),))</f>
        <v/>
      </c>
      <c r="D3671">
        <f>IFERROR(Table7[[#This Row],[United States 10y]]-Table7[[#This Row],[United States 3y]],#N/A)</f>
        <v/>
      </c>
    </row>
    <row r="3672">
      <c r="A3672" s="6">
        <f>Database!$A5757</f>
        <v/>
      </c>
      <c r="B3672">
        <f>IF(VLOOKUP(Table7[[#This Row],[Date]],Database!$A:$C,MATCH($B$1,Database!$A$1:$C$1,),)=0,#N/A,VLOOKUP(Table7[[#This Row],[Date]],Database!$A:$C,MATCH($B$1,Database!$A$1:$C$1,),))</f>
        <v/>
      </c>
      <c r="C3672">
        <f>IF(VLOOKUP(Table7[[#This Row],[Date]],Database!$A:$C,MATCH($C$1,Database!$A$1:$C$1,),)=0,#N/A,VLOOKUP(Table7[[#This Row],[Date]],Database!$A:$C,MATCH($C$1,Database!$A$1:$C$1,),))</f>
        <v/>
      </c>
      <c r="D3672">
        <f>IFERROR(Table7[[#This Row],[United States 10y]]-Table7[[#This Row],[United States 3y]],#N/A)</f>
        <v/>
      </c>
    </row>
    <row r="3673">
      <c r="A3673" s="6">
        <f>Database!$A5758</f>
        <v/>
      </c>
      <c r="B3673">
        <f>IF(VLOOKUP(Table7[[#This Row],[Date]],Database!$A:$C,MATCH($B$1,Database!$A$1:$C$1,),)=0,#N/A,VLOOKUP(Table7[[#This Row],[Date]],Database!$A:$C,MATCH($B$1,Database!$A$1:$C$1,),))</f>
        <v/>
      </c>
      <c r="C3673">
        <f>IF(VLOOKUP(Table7[[#This Row],[Date]],Database!$A:$C,MATCH($C$1,Database!$A$1:$C$1,),)=0,#N/A,VLOOKUP(Table7[[#This Row],[Date]],Database!$A:$C,MATCH($C$1,Database!$A$1:$C$1,),))</f>
        <v/>
      </c>
      <c r="D3673">
        <f>IFERROR(Table7[[#This Row],[United States 10y]]-Table7[[#This Row],[United States 3y]],#N/A)</f>
        <v/>
      </c>
    </row>
    <row r="3674">
      <c r="A3674" s="6">
        <f>Database!$A5759</f>
        <v/>
      </c>
      <c r="B3674">
        <f>IF(VLOOKUP(Table7[[#This Row],[Date]],Database!$A:$C,MATCH($B$1,Database!$A$1:$C$1,),)=0,#N/A,VLOOKUP(Table7[[#This Row],[Date]],Database!$A:$C,MATCH($B$1,Database!$A$1:$C$1,),))</f>
        <v/>
      </c>
      <c r="C3674">
        <f>IF(VLOOKUP(Table7[[#This Row],[Date]],Database!$A:$C,MATCH($C$1,Database!$A$1:$C$1,),)=0,#N/A,VLOOKUP(Table7[[#This Row],[Date]],Database!$A:$C,MATCH($C$1,Database!$A$1:$C$1,),))</f>
        <v/>
      </c>
      <c r="D3674">
        <f>IFERROR(Table7[[#This Row],[United States 10y]]-Table7[[#This Row],[United States 3y]],#N/A)</f>
        <v/>
      </c>
    </row>
    <row r="3675">
      <c r="A3675" s="6">
        <f>Database!$A5760</f>
        <v/>
      </c>
      <c r="B3675">
        <f>IF(VLOOKUP(Table7[[#This Row],[Date]],Database!$A:$C,MATCH($B$1,Database!$A$1:$C$1,),)=0,#N/A,VLOOKUP(Table7[[#This Row],[Date]],Database!$A:$C,MATCH($B$1,Database!$A$1:$C$1,),))</f>
        <v/>
      </c>
      <c r="C3675">
        <f>IF(VLOOKUP(Table7[[#This Row],[Date]],Database!$A:$C,MATCH($C$1,Database!$A$1:$C$1,),)=0,#N/A,VLOOKUP(Table7[[#This Row],[Date]],Database!$A:$C,MATCH($C$1,Database!$A$1:$C$1,),))</f>
        <v/>
      </c>
      <c r="D3675">
        <f>IFERROR(Table7[[#This Row],[United States 10y]]-Table7[[#This Row],[United States 3y]],#N/A)</f>
        <v/>
      </c>
    </row>
    <row r="3676">
      <c r="A3676" s="6">
        <f>Database!$A5761</f>
        <v/>
      </c>
      <c r="B3676">
        <f>IF(VLOOKUP(Table7[[#This Row],[Date]],Database!$A:$C,MATCH($B$1,Database!$A$1:$C$1,),)=0,#N/A,VLOOKUP(Table7[[#This Row],[Date]],Database!$A:$C,MATCH($B$1,Database!$A$1:$C$1,),))</f>
        <v/>
      </c>
      <c r="C3676">
        <f>IF(VLOOKUP(Table7[[#This Row],[Date]],Database!$A:$C,MATCH($C$1,Database!$A$1:$C$1,),)=0,#N/A,VLOOKUP(Table7[[#This Row],[Date]],Database!$A:$C,MATCH($C$1,Database!$A$1:$C$1,),))</f>
        <v/>
      </c>
      <c r="D3676">
        <f>IFERROR(Table7[[#This Row],[United States 10y]]-Table7[[#This Row],[United States 3y]],#N/A)</f>
        <v/>
      </c>
    </row>
    <row r="3677">
      <c r="A3677" s="6">
        <f>Database!$A5762</f>
        <v/>
      </c>
      <c r="B3677">
        <f>IF(VLOOKUP(Table7[[#This Row],[Date]],Database!$A:$C,MATCH($B$1,Database!$A$1:$C$1,),)=0,#N/A,VLOOKUP(Table7[[#This Row],[Date]],Database!$A:$C,MATCH($B$1,Database!$A$1:$C$1,),))</f>
        <v/>
      </c>
      <c r="C3677">
        <f>IF(VLOOKUP(Table7[[#This Row],[Date]],Database!$A:$C,MATCH($C$1,Database!$A$1:$C$1,),)=0,#N/A,VLOOKUP(Table7[[#This Row],[Date]],Database!$A:$C,MATCH($C$1,Database!$A$1:$C$1,),))</f>
        <v/>
      </c>
      <c r="D3677">
        <f>IFERROR(Table7[[#This Row],[United States 10y]]-Table7[[#This Row],[United States 3y]],#N/A)</f>
        <v/>
      </c>
    </row>
    <row r="3678">
      <c r="A3678" s="6">
        <f>Database!$A5763</f>
        <v/>
      </c>
      <c r="B3678">
        <f>IF(VLOOKUP(Table7[[#This Row],[Date]],Database!$A:$C,MATCH($B$1,Database!$A$1:$C$1,),)=0,#N/A,VLOOKUP(Table7[[#This Row],[Date]],Database!$A:$C,MATCH($B$1,Database!$A$1:$C$1,),))</f>
        <v/>
      </c>
      <c r="C3678">
        <f>IF(VLOOKUP(Table7[[#This Row],[Date]],Database!$A:$C,MATCH($C$1,Database!$A$1:$C$1,),)=0,#N/A,VLOOKUP(Table7[[#This Row],[Date]],Database!$A:$C,MATCH($C$1,Database!$A$1:$C$1,),))</f>
        <v/>
      </c>
      <c r="D3678">
        <f>IFERROR(Table7[[#This Row],[United States 10y]]-Table7[[#This Row],[United States 3y]],#N/A)</f>
        <v/>
      </c>
    </row>
    <row r="3679">
      <c r="A3679" s="6">
        <f>Database!$A5764</f>
        <v/>
      </c>
      <c r="B3679">
        <f>IF(VLOOKUP(Table7[[#This Row],[Date]],Database!$A:$C,MATCH($B$1,Database!$A$1:$C$1,),)=0,#N/A,VLOOKUP(Table7[[#This Row],[Date]],Database!$A:$C,MATCH($B$1,Database!$A$1:$C$1,),))</f>
        <v/>
      </c>
      <c r="C3679">
        <f>IF(VLOOKUP(Table7[[#This Row],[Date]],Database!$A:$C,MATCH($C$1,Database!$A$1:$C$1,),)=0,#N/A,VLOOKUP(Table7[[#This Row],[Date]],Database!$A:$C,MATCH($C$1,Database!$A$1:$C$1,),))</f>
        <v/>
      </c>
      <c r="D3679">
        <f>IFERROR(Table7[[#This Row],[United States 10y]]-Table7[[#This Row],[United States 3y]],#N/A)</f>
        <v/>
      </c>
    </row>
    <row r="3680">
      <c r="A3680" s="6">
        <f>Database!$A5765</f>
        <v/>
      </c>
      <c r="B3680">
        <f>IF(VLOOKUP(Table7[[#This Row],[Date]],Database!$A:$C,MATCH($B$1,Database!$A$1:$C$1,),)=0,#N/A,VLOOKUP(Table7[[#This Row],[Date]],Database!$A:$C,MATCH($B$1,Database!$A$1:$C$1,),))</f>
        <v/>
      </c>
      <c r="C3680">
        <f>IF(VLOOKUP(Table7[[#This Row],[Date]],Database!$A:$C,MATCH($C$1,Database!$A$1:$C$1,),)=0,#N/A,VLOOKUP(Table7[[#This Row],[Date]],Database!$A:$C,MATCH($C$1,Database!$A$1:$C$1,),))</f>
        <v/>
      </c>
      <c r="D3680">
        <f>IFERROR(Table7[[#This Row],[United States 10y]]-Table7[[#This Row],[United States 3y]],#N/A)</f>
        <v/>
      </c>
    </row>
    <row r="3681">
      <c r="A3681" s="6">
        <f>Database!$A5766</f>
        <v/>
      </c>
      <c r="B3681">
        <f>IF(VLOOKUP(Table7[[#This Row],[Date]],Database!$A:$C,MATCH($B$1,Database!$A$1:$C$1,),)=0,#N/A,VLOOKUP(Table7[[#This Row],[Date]],Database!$A:$C,MATCH($B$1,Database!$A$1:$C$1,),))</f>
        <v/>
      </c>
      <c r="C3681">
        <f>IF(VLOOKUP(Table7[[#This Row],[Date]],Database!$A:$C,MATCH($C$1,Database!$A$1:$C$1,),)=0,#N/A,VLOOKUP(Table7[[#This Row],[Date]],Database!$A:$C,MATCH($C$1,Database!$A$1:$C$1,),))</f>
        <v/>
      </c>
      <c r="D3681">
        <f>IFERROR(Table7[[#This Row],[United States 10y]]-Table7[[#This Row],[United States 3y]],#N/A)</f>
        <v/>
      </c>
    </row>
    <row r="3682">
      <c r="A3682" s="6">
        <f>Database!$A5767</f>
        <v/>
      </c>
      <c r="B3682">
        <f>IF(VLOOKUP(Table7[[#This Row],[Date]],Database!$A:$C,MATCH($B$1,Database!$A$1:$C$1,),)=0,#N/A,VLOOKUP(Table7[[#This Row],[Date]],Database!$A:$C,MATCH($B$1,Database!$A$1:$C$1,),))</f>
        <v/>
      </c>
      <c r="C3682">
        <f>IF(VLOOKUP(Table7[[#This Row],[Date]],Database!$A:$C,MATCH($C$1,Database!$A$1:$C$1,),)=0,#N/A,VLOOKUP(Table7[[#This Row],[Date]],Database!$A:$C,MATCH($C$1,Database!$A$1:$C$1,),))</f>
        <v/>
      </c>
      <c r="D3682">
        <f>IFERROR(Table7[[#This Row],[United States 10y]]-Table7[[#This Row],[United States 3y]],#N/A)</f>
        <v/>
      </c>
    </row>
    <row r="3683">
      <c r="A3683" s="6">
        <f>Database!$A5768</f>
        <v/>
      </c>
      <c r="B3683">
        <f>IF(VLOOKUP(Table7[[#This Row],[Date]],Database!$A:$C,MATCH($B$1,Database!$A$1:$C$1,),)=0,#N/A,VLOOKUP(Table7[[#This Row],[Date]],Database!$A:$C,MATCH($B$1,Database!$A$1:$C$1,),))</f>
        <v/>
      </c>
      <c r="C3683">
        <f>IF(VLOOKUP(Table7[[#This Row],[Date]],Database!$A:$C,MATCH($C$1,Database!$A$1:$C$1,),)=0,#N/A,VLOOKUP(Table7[[#This Row],[Date]],Database!$A:$C,MATCH($C$1,Database!$A$1:$C$1,),))</f>
        <v/>
      </c>
      <c r="D3683">
        <f>IFERROR(Table7[[#This Row],[United States 10y]]-Table7[[#This Row],[United States 3y]],#N/A)</f>
        <v/>
      </c>
    </row>
    <row r="3684">
      <c r="A3684" s="6">
        <f>Database!$A5769</f>
        <v/>
      </c>
      <c r="B3684">
        <f>IF(VLOOKUP(Table7[[#This Row],[Date]],Database!$A:$C,MATCH($B$1,Database!$A$1:$C$1,),)=0,#N/A,VLOOKUP(Table7[[#This Row],[Date]],Database!$A:$C,MATCH($B$1,Database!$A$1:$C$1,),))</f>
        <v/>
      </c>
      <c r="C3684">
        <f>IF(VLOOKUP(Table7[[#This Row],[Date]],Database!$A:$C,MATCH($C$1,Database!$A$1:$C$1,),)=0,#N/A,VLOOKUP(Table7[[#This Row],[Date]],Database!$A:$C,MATCH($C$1,Database!$A$1:$C$1,),))</f>
        <v/>
      </c>
      <c r="D3684">
        <f>IFERROR(Table7[[#This Row],[United States 10y]]-Table7[[#This Row],[United States 3y]],#N/A)</f>
        <v/>
      </c>
    </row>
    <row r="3685">
      <c r="A3685" s="6">
        <f>Database!$A5770</f>
        <v/>
      </c>
      <c r="B3685">
        <f>IF(VLOOKUP(Table7[[#This Row],[Date]],Database!$A:$C,MATCH($B$1,Database!$A$1:$C$1,),)=0,#N/A,VLOOKUP(Table7[[#This Row],[Date]],Database!$A:$C,MATCH($B$1,Database!$A$1:$C$1,),))</f>
        <v/>
      </c>
      <c r="C3685">
        <f>IF(VLOOKUP(Table7[[#This Row],[Date]],Database!$A:$C,MATCH($C$1,Database!$A$1:$C$1,),)=0,#N/A,VLOOKUP(Table7[[#This Row],[Date]],Database!$A:$C,MATCH($C$1,Database!$A$1:$C$1,),))</f>
        <v/>
      </c>
      <c r="D3685">
        <f>IFERROR(Table7[[#This Row],[United States 10y]]-Table7[[#This Row],[United States 3y]],#N/A)</f>
        <v/>
      </c>
    </row>
    <row r="3686">
      <c r="A3686" s="6">
        <f>Database!$A5771</f>
        <v/>
      </c>
      <c r="B3686">
        <f>IF(VLOOKUP(Table7[[#This Row],[Date]],Database!$A:$C,MATCH($B$1,Database!$A$1:$C$1,),)=0,#N/A,VLOOKUP(Table7[[#This Row],[Date]],Database!$A:$C,MATCH($B$1,Database!$A$1:$C$1,),))</f>
        <v/>
      </c>
      <c r="C3686">
        <f>IF(VLOOKUP(Table7[[#This Row],[Date]],Database!$A:$C,MATCH($C$1,Database!$A$1:$C$1,),)=0,#N/A,VLOOKUP(Table7[[#This Row],[Date]],Database!$A:$C,MATCH($C$1,Database!$A$1:$C$1,),))</f>
        <v/>
      </c>
      <c r="D3686">
        <f>IFERROR(Table7[[#This Row],[United States 10y]]-Table7[[#This Row],[United States 3y]],#N/A)</f>
        <v/>
      </c>
    </row>
    <row r="3687">
      <c r="A3687" s="6">
        <f>Database!$A5772</f>
        <v/>
      </c>
      <c r="B3687">
        <f>IF(VLOOKUP(Table7[[#This Row],[Date]],Database!$A:$C,MATCH($B$1,Database!$A$1:$C$1,),)=0,#N/A,VLOOKUP(Table7[[#This Row],[Date]],Database!$A:$C,MATCH($B$1,Database!$A$1:$C$1,),))</f>
        <v/>
      </c>
      <c r="C3687">
        <f>IF(VLOOKUP(Table7[[#This Row],[Date]],Database!$A:$C,MATCH($C$1,Database!$A$1:$C$1,),)=0,#N/A,VLOOKUP(Table7[[#This Row],[Date]],Database!$A:$C,MATCH($C$1,Database!$A$1:$C$1,),))</f>
        <v/>
      </c>
      <c r="D3687">
        <f>IFERROR(Table7[[#This Row],[United States 10y]]-Table7[[#This Row],[United States 3y]],#N/A)</f>
        <v/>
      </c>
    </row>
    <row r="3688">
      <c r="A3688" s="6">
        <f>Database!$A5773</f>
        <v/>
      </c>
      <c r="B3688">
        <f>IF(VLOOKUP(Table7[[#This Row],[Date]],Database!$A:$C,MATCH($B$1,Database!$A$1:$C$1,),)=0,#N/A,VLOOKUP(Table7[[#This Row],[Date]],Database!$A:$C,MATCH($B$1,Database!$A$1:$C$1,),))</f>
        <v/>
      </c>
      <c r="C3688">
        <f>IF(VLOOKUP(Table7[[#This Row],[Date]],Database!$A:$C,MATCH($C$1,Database!$A$1:$C$1,),)=0,#N/A,VLOOKUP(Table7[[#This Row],[Date]],Database!$A:$C,MATCH($C$1,Database!$A$1:$C$1,),))</f>
        <v/>
      </c>
      <c r="D3688">
        <f>IFERROR(Table7[[#This Row],[United States 10y]]-Table7[[#This Row],[United States 3y]],#N/A)</f>
        <v/>
      </c>
    </row>
    <row r="3689">
      <c r="A3689" s="6">
        <f>Database!$A5774</f>
        <v/>
      </c>
      <c r="B3689">
        <f>IF(VLOOKUP(Table7[[#This Row],[Date]],Database!$A:$C,MATCH($B$1,Database!$A$1:$C$1,),)=0,#N/A,VLOOKUP(Table7[[#This Row],[Date]],Database!$A:$C,MATCH($B$1,Database!$A$1:$C$1,),))</f>
        <v/>
      </c>
      <c r="C3689">
        <f>IF(VLOOKUP(Table7[[#This Row],[Date]],Database!$A:$C,MATCH($C$1,Database!$A$1:$C$1,),)=0,#N/A,VLOOKUP(Table7[[#This Row],[Date]],Database!$A:$C,MATCH($C$1,Database!$A$1:$C$1,),))</f>
        <v/>
      </c>
      <c r="D3689">
        <f>IFERROR(Table7[[#This Row],[United States 10y]]-Table7[[#This Row],[United States 3y]],#N/A)</f>
        <v/>
      </c>
    </row>
    <row r="3690">
      <c r="A3690" s="6">
        <f>Database!$A5775</f>
        <v/>
      </c>
      <c r="B3690">
        <f>IF(VLOOKUP(Table7[[#This Row],[Date]],Database!$A:$C,MATCH($B$1,Database!$A$1:$C$1,),)=0,#N/A,VLOOKUP(Table7[[#This Row],[Date]],Database!$A:$C,MATCH($B$1,Database!$A$1:$C$1,),))</f>
        <v/>
      </c>
      <c r="C3690">
        <f>IF(VLOOKUP(Table7[[#This Row],[Date]],Database!$A:$C,MATCH($C$1,Database!$A$1:$C$1,),)=0,#N/A,VLOOKUP(Table7[[#This Row],[Date]],Database!$A:$C,MATCH($C$1,Database!$A$1:$C$1,),))</f>
        <v/>
      </c>
      <c r="D3690">
        <f>IFERROR(Table7[[#This Row],[United States 10y]]-Table7[[#This Row],[United States 3y]],#N/A)</f>
        <v/>
      </c>
    </row>
    <row r="3691">
      <c r="A3691" s="6">
        <f>Database!$A5776</f>
        <v/>
      </c>
      <c r="B3691">
        <f>IF(VLOOKUP(Table7[[#This Row],[Date]],Database!$A:$C,MATCH($B$1,Database!$A$1:$C$1,),)=0,#N/A,VLOOKUP(Table7[[#This Row],[Date]],Database!$A:$C,MATCH($B$1,Database!$A$1:$C$1,),))</f>
        <v/>
      </c>
      <c r="C3691">
        <f>IF(VLOOKUP(Table7[[#This Row],[Date]],Database!$A:$C,MATCH($C$1,Database!$A$1:$C$1,),)=0,#N/A,VLOOKUP(Table7[[#This Row],[Date]],Database!$A:$C,MATCH($C$1,Database!$A$1:$C$1,),))</f>
        <v/>
      </c>
      <c r="D3691">
        <f>IFERROR(Table7[[#This Row],[United States 10y]]-Table7[[#This Row],[United States 3y]],#N/A)</f>
        <v/>
      </c>
    </row>
    <row r="3692">
      <c r="A3692" s="6">
        <f>Database!$A5777</f>
        <v/>
      </c>
      <c r="B3692">
        <f>IF(VLOOKUP(Table7[[#This Row],[Date]],Database!$A:$C,MATCH($B$1,Database!$A$1:$C$1,),)=0,#N/A,VLOOKUP(Table7[[#This Row],[Date]],Database!$A:$C,MATCH($B$1,Database!$A$1:$C$1,),))</f>
        <v/>
      </c>
      <c r="C3692">
        <f>IF(VLOOKUP(Table7[[#This Row],[Date]],Database!$A:$C,MATCH($C$1,Database!$A$1:$C$1,),)=0,#N/A,VLOOKUP(Table7[[#This Row],[Date]],Database!$A:$C,MATCH($C$1,Database!$A$1:$C$1,),))</f>
        <v/>
      </c>
      <c r="D3692">
        <f>IFERROR(Table7[[#This Row],[United States 10y]]-Table7[[#This Row],[United States 3y]],#N/A)</f>
        <v/>
      </c>
    </row>
    <row r="3693">
      <c r="A3693" s="6">
        <f>Database!$A5778</f>
        <v/>
      </c>
      <c r="B3693">
        <f>IF(VLOOKUP(Table7[[#This Row],[Date]],Database!$A:$C,MATCH($B$1,Database!$A$1:$C$1,),)=0,#N/A,VLOOKUP(Table7[[#This Row],[Date]],Database!$A:$C,MATCH($B$1,Database!$A$1:$C$1,),))</f>
        <v/>
      </c>
      <c r="C3693">
        <f>IF(VLOOKUP(Table7[[#This Row],[Date]],Database!$A:$C,MATCH($C$1,Database!$A$1:$C$1,),)=0,#N/A,VLOOKUP(Table7[[#This Row],[Date]],Database!$A:$C,MATCH($C$1,Database!$A$1:$C$1,),))</f>
        <v/>
      </c>
      <c r="D3693">
        <f>IFERROR(Table7[[#This Row],[United States 10y]]-Table7[[#This Row],[United States 3y]],#N/A)</f>
        <v/>
      </c>
    </row>
    <row r="3694">
      <c r="A3694" s="6">
        <f>Database!$A5779</f>
        <v/>
      </c>
      <c r="B3694">
        <f>IF(VLOOKUP(Table7[[#This Row],[Date]],Database!$A:$C,MATCH($B$1,Database!$A$1:$C$1,),)=0,#N/A,VLOOKUP(Table7[[#This Row],[Date]],Database!$A:$C,MATCH($B$1,Database!$A$1:$C$1,),))</f>
        <v/>
      </c>
      <c r="C3694">
        <f>IF(VLOOKUP(Table7[[#This Row],[Date]],Database!$A:$C,MATCH($C$1,Database!$A$1:$C$1,),)=0,#N/A,VLOOKUP(Table7[[#This Row],[Date]],Database!$A:$C,MATCH($C$1,Database!$A$1:$C$1,),))</f>
        <v/>
      </c>
      <c r="D3694">
        <f>IFERROR(Table7[[#This Row],[United States 10y]]-Table7[[#This Row],[United States 3y]],#N/A)</f>
        <v/>
      </c>
    </row>
    <row r="3695">
      <c r="A3695" s="6">
        <f>Database!$A5780</f>
        <v/>
      </c>
      <c r="B3695">
        <f>IF(VLOOKUP(Table7[[#This Row],[Date]],Database!$A:$C,MATCH($B$1,Database!$A$1:$C$1,),)=0,#N/A,VLOOKUP(Table7[[#This Row],[Date]],Database!$A:$C,MATCH($B$1,Database!$A$1:$C$1,),))</f>
        <v/>
      </c>
      <c r="C3695">
        <f>IF(VLOOKUP(Table7[[#This Row],[Date]],Database!$A:$C,MATCH($C$1,Database!$A$1:$C$1,),)=0,#N/A,VLOOKUP(Table7[[#This Row],[Date]],Database!$A:$C,MATCH($C$1,Database!$A$1:$C$1,),))</f>
        <v/>
      </c>
      <c r="D3695">
        <f>IFERROR(Table7[[#This Row],[United States 10y]]-Table7[[#This Row],[United States 3y]],#N/A)</f>
        <v/>
      </c>
    </row>
    <row r="3696">
      <c r="A3696" s="6">
        <f>Database!$A5781</f>
        <v/>
      </c>
      <c r="B3696">
        <f>IF(VLOOKUP(Table7[[#This Row],[Date]],Database!$A:$C,MATCH($B$1,Database!$A$1:$C$1,),)=0,#N/A,VLOOKUP(Table7[[#This Row],[Date]],Database!$A:$C,MATCH($B$1,Database!$A$1:$C$1,),))</f>
        <v/>
      </c>
      <c r="C3696">
        <f>IF(VLOOKUP(Table7[[#This Row],[Date]],Database!$A:$C,MATCH($C$1,Database!$A$1:$C$1,),)=0,#N/A,VLOOKUP(Table7[[#This Row],[Date]],Database!$A:$C,MATCH($C$1,Database!$A$1:$C$1,),))</f>
        <v/>
      </c>
      <c r="D3696">
        <f>IFERROR(Table7[[#This Row],[United States 10y]]-Table7[[#This Row],[United States 3y]],#N/A)</f>
        <v/>
      </c>
    </row>
    <row r="3697">
      <c r="A3697" s="6">
        <f>Database!$A5782</f>
        <v/>
      </c>
      <c r="B3697">
        <f>IF(VLOOKUP(Table7[[#This Row],[Date]],Database!$A:$C,MATCH($B$1,Database!$A$1:$C$1,),)=0,#N/A,VLOOKUP(Table7[[#This Row],[Date]],Database!$A:$C,MATCH($B$1,Database!$A$1:$C$1,),))</f>
        <v/>
      </c>
      <c r="C3697">
        <f>IF(VLOOKUP(Table7[[#This Row],[Date]],Database!$A:$C,MATCH($C$1,Database!$A$1:$C$1,),)=0,#N/A,VLOOKUP(Table7[[#This Row],[Date]],Database!$A:$C,MATCH($C$1,Database!$A$1:$C$1,),))</f>
        <v/>
      </c>
      <c r="D3697">
        <f>IFERROR(Table7[[#This Row],[United States 10y]]-Table7[[#This Row],[United States 3y]],#N/A)</f>
        <v/>
      </c>
    </row>
    <row r="3698">
      <c r="A3698" s="6">
        <f>Database!$A5783</f>
        <v/>
      </c>
      <c r="B3698">
        <f>IF(VLOOKUP(Table7[[#This Row],[Date]],Database!$A:$C,MATCH($B$1,Database!$A$1:$C$1,),)=0,#N/A,VLOOKUP(Table7[[#This Row],[Date]],Database!$A:$C,MATCH($B$1,Database!$A$1:$C$1,),))</f>
        <v/>
      </c>
      <c r="C3698">
        <f>IF(VLOOKUP(Table7[[#This Row],[Date]],Database!$A:$C,MATCH($C$1,Database!$A$1:$C$1,),)=0,#N/A,VLOOKUP(Table7[[#This Row],[Date]],Database!$A:$C,MATCH($C$1,Database!$A$1:$C$1,),))</f>
        <v/>
      </c>
      <c r="D3698">
        <f>IFERROR(Table7[[#This Row],[United States 10y]]-Table7[[#This Row],[United States 3y]],#N/A)</f>
        <v/>
      </c>
    </row>
    <row r="3699">
      <c r="A3699" s="6">
        <f>Database!$A5784</f>
        <v/>
      </c>
      <c r="B3699">
        <f>IF(VLOOKUP(Table7[[#This Row],[Date]],Database!$A:$C,MATCH($B$1,Database!$A$1:$C$1,),)=0,#N/A,VLOOKUP(Table7[[#This Row],[Date]],Database!$A:$C,MATCH($B$1,Database!$A$1:$C$1,),))</f>
        <v/>
      </c>
      <c r="C3699">
        <f>IF(VLOOKUP(Table7[[#This Row],[Date]],Database!$A:$C,MATCH($C$1,Database!$A$1:$C$1,),)=0,#N/A,VLOOKUP(Table7[[#This Row],[Date]],Database!$A:$C,MATCH($C$1,Database!$A$1:$C$1,),))</f>
        <v/>
      </c>
      <c r="D3699">
        <f>IFERROR(Table7[[#This Row],[United States 10y]]-Table7[[#This Row],[United States 3y]],#N/A)</f>
        <v/>
      </c>
    </row>
    <row r="3700">
      <c r="A3700" s="6">
        <f>Database!$A5785</f>
        <v/>
      </c>
      <c r="B3700">
        <f>IF(VLOOKUP(Table7[[#This Row],[Date]],Database!$A:$C,MATCH($B$1,Database!$A$1:$C$1,),)=0,#N/A,VLOOKUP(Table7[[#This Row],[Date]],Database!$A:$C,MATCH($B$1,Database!$A$1:$C$1,),))</f>
        <v/>
      </c>
      <c r="C3700">
        <f>IF(VLOOKUP(Table7[[#This Row],[Date]],Database!$A:$C,MATCH($C$1,Database!$A$1:$C$1,),)=0,#N/A,VLOOKUP(Table7[[#This Row],[Date]],Database!$A:$C,MATCH($C$1,Database!$A$1:$C$1,),))</f>
        <v/>
      </c>
      <c r="D3700">
        <f>IFERROR(Table7[[#This Row],[United States 10y]]-Table7[[#This Row],[United States 3y]],#N/A)</f>
        <v/>
      </c>
    </row>
    <row r="3701">
      <c r="A3701" s="6">
        <f>Database!$A5786</f>
        <v/>
      </c>
      <c r="B3701">
        <f>IF(VLOOKUP(Table7[[#This Row],[Date]],Database!$A:$C,MATCH($B$1,Database!$A$1:$C$1,),)=0,#N/A,VLOOKUP(Table7[[#This Row],[Date]],Database!$A:$C,MATCH($B$1,Database!$A$1:$C$1,),))</f>
        <v/>
      </c>
      <c r="C3701">
        <f>IF(VLOOKUP(Table7[[#This Row],[Date]],Database!$A:$C,MATCH($C$1,Database!$A$1:$C$1,),)=0,#N/A,VLOOKUP(Table7[[#This Row],[Date]],Database!$A:$C,MATCH($C$1,Database!$A$1:$C$1,),))</f>
        <v/>
      </c>
      <c r="D3701">
        <f>IFERROR(Table7[[#This Row],[United States 10y]]-Table7[[#This Row],[United States 3y]],#N/A)</f>
        <v/>
      </c>
    </row>
    <row r="3702">
      <c r="A3702" s="6">
        <f>Database!$A5787</f>
        <v/>
      </c>
      <c r="B3702">
        <f>IF(VLOOKUP(Table7[[#This Row],[Date]],Database!$A:$C,MATCH($B$1,Database!$A$1:$C$1,),)=0,#N/A,VLOOKUP(Table7[[#This Row],[Date]],Database!$A:$C,MATCH($B$1,Database!$A$1:$C$1,),))</f>
        <v/>
      </c>
      <c r="C3702">
        <f>IF(VLOOKUP(Table7[[#This Row],[Date]],Database!$A:$C,MATCH($C$1,Database!$A$1:$C$1,),)=0,#N/A,VLOOKUP(Table7[[#This Row],[Date]],Database!$A:$C,MATCH($C$1,Database!$A$1:$C$1,),))</f>
        <v/>
      </c>
      <c r="D3702">
        <f>IFERROR(Table7[[#This Row],[United States 10y]]-Table7[[#This Row],[United States 3y]],#N/A)</f>
        <v/>
      </c>
    </row>
    <row r="3703">
      <c r="A3703" s="6">
        <f>Database!$A5788</f>
        <v/>
      </c>
      <c r="B3703">
        <f>IF(VLOOKUP(Table7[[#This Row],[Date]],Database!$A:$C,MATCH($B$1,Database!$A$1:$C$1,),)=0,#N/A,VLOOKUP(Table7[[#This Row],[Date]],Database!$A:$C,MATCH($B$1,Database!$A$1:$C$1,),))</f>
        <v/>
      </c>
      <c r="C3703">
        <f>IF(VLOOKUP(Table7[[#This Row],[Date]],Database!$A:$C,MATCH($C$1,Database!$A$1:$C$1,),)=0,#N/A,VLOOKUP(Table7[[#This Row],[Date]],Database!$A:$C,MATCH($C$1,Database!$A$1:$C$1,),))</f>
        <v/>
      </c>
      <c r="D3703">
        <f>IFERROR(Table7[[#This Row],[United States 10y]]-Table7[[#This Row],[United States 3y]],#N/A)</f>
        <v/>
      </c>
    </row>
    <row r="3704">
      <c r="A3704" s="6">
        <f>Database!$A5789</f>
        <v/>
      </c>
      <c r="B3704">
        <f>IF(VLOOKUP(Table7[[#This Row],[Date]],Database!$A:$C,MATCH($B$1,Database!$A$1:$C$1,),)=0,#N/A,VLOOKUP(Table7[[#This Row],[Date]],Database!$A:$C,MATCH($B$1,Database!$A$1:$C$1,),))</f>
        <v/>
      </c>
      <c r="C3704">
        <f>IF(VLOOKUP(Table7[[#This Row],[Date]],Database!$A:$C,MATCH($C$1,Database!$A$1:$C$1,),)=0,#N/A,VLOOKUP(Table7[[#This Row],[Date]],Database!$A:$C,MATCH($C$1,Database!$A$1:$C$1,),))</f>
        <v/>
      </c>
      <c r="D3704">
        <f>IFERROR(Table7[[#This Row],[United States 10y]]-Table7[[#This Row],[United States 3y]],#N/A)</f>
        <v/>
      </c>
    </row>
    <row r="3705">
      <c r="A3705" s="6">
        <f>Database!$A5790</f>
        <v/>
      </c>
      <c r="B3705">
        <f>IF(VLOOKUP(Table7[[#This Row],[Date]],Database!$A:$C,MATCH($B$1,Database!$A$1:$C$1,),)=0,#N/A,VLOOKUP(Table7[[#This Row],[Date]],Database!$A:$C,MATCH($B$1,Database!$A$1:$C$1,),))</f>
        <v/>
      </c>
      <c r="C3705">
        <f>IF(VLOOKUP(Table7[[#This Row],[Date]],Database!$A:$C,MATCH($C$1,Database!$A$1:$C$1,),)=0,#N/A,VLOOKUP(Table7[[#This Row],[Date]],Database!$A:$C,MATCH($C$1,Database!$A$1:$C$1,),))</f>
        <v/>
      </c>
      <c r="D3705">
        <f>IFERROR(Table7[[#This Row],[United States 10y]]-Table7[[#This Row],[United States 3y]],#N/A)</f>
        <v/>
      </c>
    </row>
    <row r="3706">
      <c r="A3706" s="6">
        <f>Database!$A5791</f>
        <v/>
      </c>
      <c r="B3706">
        <f>IF(VLOOKUP(Table7[[#This Row],[Date]],Database!$A:$C,MATCH($B$1,Database!$A$1:$C$1,),)=0,#N/A,VLOOKUP(Table7[[#This Row],[Date]],Database!$A:$C,MATCH($B$1,Database!$A$1:$C$1,),))</f>
        <v/>
      </c>
      <c r="C3706">
        <f>IF(VLOOKUP(Table7[[#This Row],[Date]],Database!$A:$C,MATCH($C$1,Database!$A$1:$C$1,),)=0,#N/A,VLOOKUP(Table7[[#This Row],[Date]],Database!$A:$C,MATCH($C$1,Database!$A$1:$C$1,),))</f>
        <v/>
      </c>
      <c r="D3706">
        <f>IFERROR(Table7[[#This Row],[United States 10y]]-Table7[[#This Row],[United States 3y]],#N/A)</f>
        <v/>
      </c>
    </row>
    <row r="3707">
      <c r="A3707" s="6">
        <f>Database!$A5792</f>
        <v/>
      </c>
      <c r="B3707">
        <f>IF(VLOOKUP(Table7[[#This Row],[Date]],Database!$A:$C,MATCH($B$1,Database!$A$1:$C$1,),)=0,#N/A,VLOOKUP(Table7[[#This Row],[Date]],Database!$A:$C,MATCH($B$1,Database!$A$1:$C$1,),))</f>
        <v/>
      </c>
      <c r="C3707">
        <f>IF(VLOOKUP(Table7[[#This Row],[Date]],Database!$A:$C,MATCH($C$1,Database!$A$1:$C$1,),)=0,#N/A,VLOOKUP(Table7[[#This Row],[Date]],Database!$A:$C,MATCH($C$1,Database!$A$1:$C$1,),))</f>
        <v/>
      </c>
      <c r="D3707">
        <f>IFERROR(Table7[[#This Row],[United States 10y]]-Table7[[#This Row],[United States 3y]],#N/A)</f>
        <v/>
      </c>
    </row>
    <row r="3708">
      <c r="A3708" s="6">
        <f>Database!$A5793</f>
        <v/>
      </c>
      <c r="B3708">
        <f>IF(VLOOKUP(Table7[[#This Row],[Date]],Database!$A:$C,MATCH($B$1,Database!$A$1:$C$1,),)=0,#N/A,VLOOKUP(Table7[[#This Row],[Date]],Database!$A:$C,MATCH($B$1,Database!$A$1:$C$1,),))</f>
        <v/>
      </c>
      <c r="C3708">
        <f>IF(VLOOKUP(Table7[[#This Row],[Date]],Database!$A:$C,MATCH($C$1,Database!$A$1:$C$1,),)=0,#N/A,VLOOKUP(Table7[[#This Row],[Date]],Database!$A:$C,MATCH($C$1,Database!$A$1:$C$1,),))</f>
        <v/>
      </c>
      <c r="D3708">
        <f>IFERROR(Table7[[#This Row],[United States 10y]]-Table7[[#This Row],[United States 3y]],#N/A)</f>
        <v/>
      </c>
    </row>
    <row r="3709">
      <c r="A3709" s="6">
        <f>Database!$A5794</f>
        <v/>
      </c>
      <c r="B3709">
        <f>IF(VLOOKUP(Table7[[#This Row],[Date]],Database!$A:$C,MATCH($B$1,Database!$A$1:$C$1,),)=0,#N/A,VLOOKUP(Table7[[#This Row],[Date]],Database!$A:$C,MATCH($B$1,Database!$A$1:$C$1,),))</f>
        <v/>
      </c>
      <c r="C3709">
        <f>IF(VLOOKUP(Table7[[#This Row],[Date]],Database!$A:$C,MATCH($C$1,Database!$A$1:$C$1,),)=0,#N/A,VLOOKUP(Table7[[#This Row],[Date]],Database!$A:$C,MATCH($C$1,Database!$A$1:$C$1,),))</f>
        <v/>
      </c>
      <c r="D3709">
        <f>IFERROR(Table7[[#This Row],[United States 10y]]-Table7[[#This Row],[United States 3y]],#N/A)</f>
        <v/>
      </c>
    </row>
    <row r="3710">
      <c r="A3710" s="6">
        <f>Database!$A5795</f>
        <v/>
      </c>
      <c r="B3710">
        <f>IF(VLOOKUP(Table7[[#This Row],[Date]],Database!$A:$C,MATCH($B$1,Database!$A$1:$C$1,),)=0,#N/A,VLOOKUP(Table7[[#This Row],[Date]],Database!$A:$C,MATCH($B$1,Database!$A$1:$C$1,),))</f>
        <v/>
      </c>
      <c r="C3710">
        <f>IF(VLOOKUP(Table7[[#This Row],[Date]],Database!$A:$C,MATCH($C$1,Database!$A$1:$C$1,),)=0,#N/A,VLOOKUP(Table7[[#This Row],[Date]],Database!$A:$C,MATCH($C$1,Database!$A$1:$C$1,),))</f>
        <v/>
      </c>
      <c r="D3710">
        <f>IFERROR(Table7[[#This Row],[United States 10y]]-Table7[[#This Row],[United States 3y]],#N/A)</f>
        <v/>
      </c>
    </row>
    <row r="3711">
      <c r="A3711" s="6">
        <f>Database!$A5796</f>
        <v/>
      </c>
      <c r="B3711">
        <f>IF(VLOOKUP(Table7[[#This Row],[Date]],Database!$A:$C,MATCH($B$1,Database!$A$1:$C$1,),)=0,#N/A,VLOOKUP(Table7[[#This Row],[Date]],Database!$A:$C,MATCH($B$1,Database!$A$1:$C$1,),))</f>
        <v/>
      </c>
      <c r="C3711">
        <f>IF(VLOOKUP(Table7[[#This Row],[Date]],Database!$A:$C,MATCH($C$1,Database!$A$1:$C$1,),)=0,#N/A,VLOOKUP(Table7[[#This Row],[Date]],Database!$A:$C,MATCH($C$1,Database!$A$1:$C$1,),))</f>
        <v/>
      </c>
      <c r="D3711">
        <f>IFERROR(Table7[[#This Row],[United States 10y]]-Table7[[#This Row],[United States 3y]],#N/A)</f>
        <v/>
      </c>
    </row>
    <row r="3712">
      <c r="A3712" s="6">
        <f>Database!$A5797</f>
        <v/>
      </c>
      <c r="B3712">
        <f>IF(VLOOKUP(Table7[[#This Row],[Date]],Database!$A:$C,MATCH($B$1,Database!$A$1:$C$1,),)=0,#N/A,VLOOKUP(Table7[[#This Row],[Date]],Database!$A:$C,MATCH($B$1,Database!$A$1:$C$1,),))</f>
        <v/>
      </c>
      <c r="C3712">
        <f>IF(VLOOKUP(Table7[[#This Row],[Date]],Database!$A:$C,MATCH($C$1,Database!$A$1:$C$1,),)=0,#N/A,VLOOKUP(Table7[[#This Row],[Date]],Database!$A:$C,MATCH($C$1,Database!$A$1:$C$1,),))</f>
        <v/>
      </c>
      <c r="D3712">
        <f>IFERROR(Table7[[#This Row],[United States 10y]]-Table7[[#This Row],[United States 3y]],#N/A)</f>
        <v/>
      </c>
    </row>
    <row r="3713">
      <c r="A3713" s="6">
        <f>Database!$A5798</f>
        <v/>
      </c>
      <c r="B3713">
        <f>IF(VLOOKUP(Table7[[#This Row],[Date]],Database!$A:$C,MATCH($B$1,Database!$A$1:$C$1,),)=0,#N/A,VLOOKUP(Table7[[#This Row],[Date]],Database!$A:$C,MATCH($B$1,Database!$A$1:$C$1,),))</f>
        <v/>
      </c>
      <c r="C3713">
        <f>IF(VLOOKUP(Table7[[#This Row],[Date]],Database!$A:$C,MATCH($C$1,Database!$A$1:$C$1,),)=0,#N/A,VLOOKUP(Table7[[#This Row],[Date]],Database!$A:$C,MATCH($C$1,Database!$A$1:$C$1,),))</f>
        <v/>
      </c>
      <c r="D3713">
        <f>IFERROR(Table7[[#This Row],[United States 10y]]-Table7[[#This Row],[United States 3y]],#N/A)</f>
        <v/>
      </c>
    </row>
    <row r="3714">
      <c r="A3714" s="6">
        <f>Database!$A5799</f>
        <v/>
      </c>
      <c r="B3714">
        <f>IF(VLOOKUP(Table7[[#This Row],[Date]],Database!$A:$C,MATCH($B$1,Database!$A$1:$C$1,),)=0,#N/A,VLOOKUP(Table7[[#This Row],[Date]],Database!$A:$C,MATCH($B$1,Database!$A$1:$C$1,),))</f>
        <v/>
      </c>
      <c r="C3714">
        <f>IF(VLOOKUP(Table7[[#This Row],[Date]],Database!$A:$C,MATCH($C$1,Database!$A$1:$C$1,),)=0,#N/A,VLOOKUP(Table7[[#This Row],[Date]],Database!$A:$C,MATCH($C$1,Database!$A$1:$C$1,),))</f>
        <v/>
      </c>
      <c r="D3714">
        <f>IFERROR(Table7[[#This Row],[United States 10y]]-Table7[[#This Row],[United States 3y]],#N/A)</f>
        <v/>
      </c>
    </row>
    <row r="3715">
      <c r="A3715" s="6">
        <f>Database!$A5800</f>
        <v/>
      </c>
      <c r="B3715">
        <f>IF(VLOOKUP(Table7[[#This Row],[Date]],Database!$A:$C,MATCH($B$1,Database!$A$1:$C$1,),)=0,#N/A,VLOOKUP(Table7[[#This Row],[Date]],Database!$A:$C,MATCH($B$1,Database!$A$1:$C$1,),))</f>
        <v/>
      </c>
      <c r="C3715">
        <f>IF(VLOOKUP(Table7[[#This Row],[Date]],Database!$A:$C,MATCH($C$1,Database!$A$1:$C$1,),)=0,#N/A,VLOOKUP(Table7[[#This Row],[Date]],Database!$A:$C,MATCH($C$1,Database!$A$1:$C$1,),))</f>
        <v/>
      </c>
      <c r="D3715">
        <f>IFERROR(Table7[[#This Row],[United States 10y]]-Table7[[#This Row],[United States 3y]],#N/A)</f>
        <v/>
      </c>
    </row>
    <row r="3716">
      <c r="A3716" s="6">
        <f>Database!$A5801</f>
        <v/>
      </c>
      <c r="B3716">
        <f>IF(VLOOKUP(Table7[[#This Row],[Date]],Database!$A:$C,MATCH($B$1,Database!$A$1:$C$1,),)=0,#N/A,VLOOKUP(Table7[[#This Row],[Date]],Database!$A:$C,MATCH($B$1,Database!$A$1:$C$1,),))</f>
        <v/>
      </c>
      <c r="C3716">
        <f>IF(VLOOKUP(Table7[[#This Row],[Date]],Database!$A:$C,MATCH($C$1,Database!$A$1:$C$1,),)=0,#N/A,VLOOKUP(Table7[[#This Row],[Date]],Database!$A:$C,MATCH($C$1,Database!$A$1:$C$1,),))</f>
        <v/>
      </c>
      <c r="D3716">
        <f>IFERROR(Table7[[#This Row],[United States 10y]]-Table7[[#This Row],[United States 3y]],#N/A)</f>
        <v/>
      </c>
    </row>
    <row r="3717">
      <c r="A3717" s="6">
        <f>Database!$A5802</f>
        <v/>
      </c>
      <c r="B3717">
        <f>IF(VLOOKUP(Table7[[#This Row],[Date]],Database!$A:$C,MATCH($B$1,Database!$A$1:$C$1,),)=0,#N/A,VLOOKUP(Table7[[#This Row],[Date]],Database!$A:$C,MATCH($B$1,Database!$A$1:$C$1,),))</f>
        <v/>
      </c>
      <c r="C3717">
        <f>IF(VLOOKUP(Table7[[#This Row],[Date]],Database!$A:$C,MATCH($C$1,Database!$A$1:$C$1,),)=0,#N/A,VLOOKUP(Table7[[#This Row],[Date]],Database!$A:$C,MATCH($C$1,Database!$A$1:$C$1,),))</f>
        <v/>
      </c>
      <c r="D3717">
        <f>IFERROR(Table7[[#This Row],[United States 10y]]-Table7[[#This Row],[United States 3y]],#N/A)</f>
        <v/>
      </c>
    </row>
    <row r="3718">
      <c r="A3718" s="6">
        <f>Database!$A5803</f>
        <v/>
      </c>
      <c r="B3718">
        <f>IF(VLOOKUP(Table7[[#This Row],[Date]],Database!$A:$C,MATCH($B$1,Database!$A$1:$C$1,),)=0,#N/A,VLOOKUP(Table7[[#This Row],[Date]],Database!$A:$C,MATCH($B$1,Database!$A$1:$C$1,),))</f>
        <v/>
      </c>
      <c r="C3718">
        <f>IF(VLOOKUP(Table7[[#This Row],[Date]],Database!$A:$C,MATCH($C$1,Database!$A$1:$C$1,),)=0,#N/A,VLOOKUP(Table7[[#This Row],[Date]],Database!$A:$C,MATCH($C$1,Database!$A$1:$C$1,),))</f>
        <v/>
      </c>
      <c r="D3718">
        <f>IFERROR(Table7[[#This Row],[United States 10y]]-Table7[[#This Row],[United States 3y]],#N/A)</f>
        <v/>
      </c>
    </row>
    <row r="3719">
      <c r="A3719" s="6">
        <f>Database!$A5804</f>
        <v/>
      </c>
      <c r="B3719">
        <f>IF(VLOOKUP(Table7[[#This Row],[Date]],Database!$A:$C,MATCH($B$1,Database!$A$1:$C$1,),)=0,#N/A,VLOOKUP(Table7[[#This Row],[Date]],Database!$A:$C,MATCH($B$1,Database!$A$1:$C$1,),))</f>
        <v/>
      </c>
      <c r="C3719">
        <f>IF(VLOOKUP(Table7[[#This Row],[Date]],Database!$A:$C,MATCH($C$1,Database!$A$1:$C$1,),)=0,#N/A,VLOOKUP(Table7[[#This Row],[Date]],Database!$A:$C,MATCH($C$1,Database!$A$1:$C$1,),))</f>
        <v/>
      </c>
      <c r="D3719">
        <f>IFERROR(Table7[[#This Row],[United States 10y]]-Table7[[#This Row],[United States 3y]],#N/A)</f>
        <v/>
      </c>
    </row>
    <row r="3720">
      <c r="A3720" s="6">
        <f>Database!$A5805</f>
        <v/>
      </c>
      <c r="B3720">
        <f>IF(VLOOKUP(Table7[[#This Row],[Date]],Database!$A:$C,MATCH($B$1,Database!$A$1:$C$1,),)=0,#N/A,VLOOKUP(Table7[[#This Row],[Date]],Database!$A:$C,MATCH($B$1,Database!$A$1:$C$1,),))</f>
        <v/>
      </c>
      <c r="C3720">
        <f>IF(VLOOKUP(Table7[[#This Row],[Date]],Database!$A:$C,MATCH($C$1,Database!$A$1:$C$1,),)=0,#N/A,VLOOKUP(Table7[[#This Row],[Date]],Database!$A:$C,MATCH($C$1,Database!$A$1:$C$1,),))</f>
        <v/>
      </c>
      <c r="D3720">
        <f>IFERROR(Table7[[#This Row],[United States 10y]]-Table7[[#This Row],[United States 3y]],#N/A)</f>
        <v/>
      </c>
    </row>
    <row r="3721">
      <c r="A3721" s="6">
        <f>Database!$A5806</f>
        <v/>
      </c>
      <c r="B3721">
        <f>IF(VLOOKUP(Table7[[#This Row],[Date]],Database!$A:$C,MATCH($B$1,Database!$A$1:$C$1,),)=0,#N/A,VLOOKUP(Table7[[#This Row],[Date]],Database!$A:$C,MATCH($B$1,Database!$A$1:$C$1,),))</f>
        <v/>
      </c>
      <c r="C3721">
        <f>IF(VLOOKUP(Table7[[#This Row],[Date]],Database!$A:$C,MATCH($C$1,Database!$A$1:$C$1,),)=0,#N/A,VLOOKUP(Table7[[#This Row],[Date]],Database!$A:$C,MATCH($C$1,Database!$A$1:$C$1,),))</f>
        <v/>
      </c>
      <c r="D3721">
        <f>IFERROR(Table7[[#This Row],[United States 10y]]-Table7[[#This Row],[United States 3y]],#N/A)</f>
        <v/>
      </c>
    </row>
    <row r="3722">
      <c r="A3722" s="6">
        <f>Database!$A5807</f>
        <v/>
      </c>
      <c r="B3722">
        <f>IF(VLOOKUP(Table7[[#This Row],[Date]],Database!$A:$C,MATCH($B$1,Database!$A$1:$C$1,),)=0,#N/A,VLOOKUP(Table7[[#This Row],[Date]],Database!$A:$C,MATCH($B$1,Database!$A$1:$C$1,),))</f>
        <v/>
      </c>
      <c r="C3722">
        <f>IF(VLOOKUP(Table7[[#This Row],[Date]],Database!$A:$C,MATCH($C$1,Database!$A$1:$C$1,),)=0,#N/A,VLOOKUP(Table7[[#This Row],[Date]],Database!$A:$C,MATCH($C$1,Database!$A$1:$C$1,),))</f>
        <v/>
      </c>
      <c r="D3722">
        <f>IFERROR(Table7[[#This Row],[United States 10y]]-Table7[[#This Row],[United States 3y]],#N/A)</f>
        <v/>
      </c>
    </row>
    <row r="3723">
      <c r="A3723" s="6">
        <f>Database!$A5808</f>
        <v/>
      </c>
      <c r="B3723">
        <f>IF(VLOOKUP(Table7[[#This Row],[Date]],Database!$A:$C,MATCH($B$1,Database!$A$1:$C$1,),)=0,#N/A,VLOOKUP(Table7[[#This Row],[Date]],Database!$A:$C,MATCH($B$1,Database!$A$1:$C$1,),))</f>
        <v/>
      </c>
      <c r="C3723">
        <f>IF(VLOOKUP(Table7[[#This Row],[Date]],Database!$A:$C,MATCH($C$1,Database!$A$1:$C$1,),)=0,#N/A,VLOOKUP(Table7[[#This Row],[Date]],Database!$A:$C,MATCH($C$1,Database!$A$1:$C$1,),))</f>
        <v/>
      </c>
      <c r="D3723">
        <f>IFERROR(Table7[[#This Row],[United States 10y]]-Table7[[#This Row],[United States 3y]],#N/A)</f>
        <v/>
      </c>
    </row>
    <row r="3724">
      <c r="A3724" s="6">
        <f>Database!$A5809</f>
        <v/>
      </c>
      <c r="B3724">
        <f>IF(VLOOKUP(Table7[[#This Row],[Date]],Database!$A:$C,MATCH($B$1,Database!$A$1:$C$1,),)=0,#N/A,VLOOKUP(Table7[[#This Row],[Date]],Database!$A:$C,MATCH($B$1,Database!$A$1:$C$1,),))</f>
        <v/>
      </c>
      <c r="C3724">
        <f>IF(VLOOKUP(Table7[[#This Row],[Date]],Database!$A:$C,MATCH($C$1,Database!$A$1:$C$1,),)=0,#N/A,VLOOKUP(Table7[[#This Row],[Date]],Database!$A:$C,MATCH($C$1,Database!$A$1:$C$1,),))</f>
        <v/>
      </c>
      <c r="D3724">
        <f>IFERROR(Table7[[#This Row],[United States 10y]]-Table7[[#This Row],[United States 3y]],#N/A)</f>
        <v/>
      </c>
    </row>
    <row r="3725">
      <c r="A3725" s="6">
        <f>Database!$A5810</f>
        <v/>
      </c>
      <c r="B3725">
        <f>IF(VLOOKUP(Table7[[#This Row],[Date]],Database!$A:$C,MATCH($B$1,Database!$A$1:$C$1,),)=0,#N/A,VLOOKUP(Table7[[#This Row],[Date]],Database!$A:$C,MATCH($B$1,Database!$A$1:$C$1,),))</f>
        <v/>
      </c>
      <c r="C3725">
        <f>IF(VLOOKUP(Table7[[#This Row],[Date]],Database!$A:$C,MATCH($C$1,Database!$A$1:$C$1,),)=0,#N/A,VLOOKUP(Table7[[#This Row],[Date]],Database!$A:$C,MATCH($C$1,Database!$A$1:$C$1,),))</f>
        <v/>
      </c>
      <c r="D3725">
        <f>IFERROR(Table7[[#This Row],[United States 10y]]-Table7[[#This Row],[United States 3y]],#N/A)</f>
        <v/>
      </c>
    </row>
    <row r="3726">
      <c r="A3726" s="6">
        <f>Database!$A5811</f>
        <v/>
      </c>
      <c r="B3726">
        <f>IF(VLOOKUP(Table7[[#This Row],[Date]],Database!$A:$C,MATCH($B$1,Database!$A$1:$C$1,),)=0,#N/A,VLOOKUP(Table7[[#This Row],[Date]],Database!$A:$C,MATCH($B$1,Database!$A$1:$C$1,),))</f>
        <v/>
      </c>
      <c r="C3726">
        <f>IF(VLOOKUP(Table7[[#This Row],[Date]],Database!$A:$C,MATCH($C$1,Database!$A$1:$C$1,),)=0,#N/A,VLOOKUP(Table7[[#This Row],[Date]],Database!$A:$C,MATCH($C$1,Database!$A$1:$C$1,),))</f>
        <v/>
      </c>
      <c r="D3726">
        <f>IFERROR(Table7[[#This Row],[United States 10y]]-Table7[[#This Row],[United States 3y]],#N/A)</f>
        <v/>
      </c>
    </row>
    <row r="3727">
      <c r="A3727" s="6">
        <f>Database!$A5812</f>
        <v/>
      </c>
      <c r="B3727">
        <f>IF(VLOOKUP(Table7[[#This Row],[Date]],Database!$A:$C,MATCH($B$1,Database!$A$1:$C$1,),)=0,#N/A,VLOOKUP(Table7[[#This Row],[Date]],Database!$A:$C,MATCH($B$1,Database!$A$1:$C$1,),))</f>
        <v/>
      </c>
      <c r="C3727">
        <f>IF(VLOOKUP(Table7[[#This Row],[Date]],Database!$A:$C,MATCH($C$1,Database!$A$1:$C$1,),)=0,#N/A,VLOOKUP(Table7[[#This Row],[Date]],Database!$A:$C,MATCH($C$1,Database!$A$1:$C$1,),))</f>
        <v/>
      </c>
      <c r="D3727">
        <f>IFERROR(Table7[[#This Row],[United States 10y]]-Table7[[#This Row],[United States 3y]],#N/A)</f>
        <v/>
      </c>
    </row>
    <row r="3728">
      <c r="A3728" s="6">
        <f>Database!$A5813</f>
        <v/>
      </c>
      <c r="B3728">
        <f>IF(VLOOKUP(Table7[[#This Row],[Date]],Database!$A:$C,MATCH($B$1,Database!$A$1:$C$1,),)=0,#N/A,VLOOKUP(Table7[[#This Row],[Date]],Database!$A:$C,MATCH($B$1,Database!$A$1:$C$1,),))</f>
        <v/>
      </c>
      <c r="C3728">
        <f>IF(VLOOKUP(Table7[[#This Row],[Date]],Database!$A:$C,MATCH($C$1,Database!$A$1:$C$1,),)=0,#N/A,VLOOKUP(Table7[[#This Row],[Date]],Database!$A:$C,MATCH($C$1,Database!$A$1:$C$1,),))</f>
        <v/>
      </c>
      <c r="D3728">
        <f>IFERROR(Table7[[#This Row],[United States 10y]]-Table7[[#This Row],[United States 3y]],#N/A)</f>
        <v/>
      </c>
    </row>
    <row r="3729">
      <c r="A3729" s="6">
        <f>Database!$A5814</f>
        <v/>
      </c>
      <c r="B3729">
        <f>IF(VLOOKUP(Table7[[#This Row],[Date]],Database!$A:$C,MATCH($B$1,Database!$A$1:$C$1,),)=0,#N/A,VLOOKUP(Table7[[#This Row],[Date]],Database!$A:$C,MATCH($B$1,Database!$A$1:$C$1,),))</f>
        <v/>
      </c>
      <c r="C3729">
        <f>IF(VLOOKUP(Table7[[#This Row],[Date]],Database!$A:$C,MATCH($C$1,Database!$A$1:$C$1,),)=0,#N/A,VLOOKUP(Table7[[#This Row],[Date]],Database!$A:$C,MATCH($C$1,Database!$A$1:$C$1,),))</f>
        <v/>
      </c>
      <c r="D3729">
        <f>IFERROR(Table7[[#This Row],[United States 10y]]-Table7[[#This Row],[United States 3y]],#N/A)</f>
        <v/>
      </c>
    </row>
    <row r="3730">
      <c r="A3730" s="6">
        <f>Database!$A5815</f>
        <v/>
      </c>
      <c r="B3730">
        <f>IF(VLOOKUP(Table7[[#This Row],[Date]],Database!$A:$C,MATCH($B$1,Database!$A$1:$C$1,),)=0,#N/A,VLOOKUP(Table7[[#This Row],[Date]],Database!$A:$C,MATCH($B$1,Database!$A$1:$C$1,),))</f>
        <v/>
      </c>
      <c r="C3730">
        <f>IF(VLOOKUP(Table7[[#This Row],[Date]],Database!$A:$C,MATCH($C$1,Database!$A$1:$C$1,),)=0,#N/A,VLOOKUP(Table7[[#This Row],[Date]],Database!$A:$C,MATCH($C$1,Database!$A$1:$C$1,),))</f>
        <v/>
      </c>
      <c r="D3730">
        <f>IFERROR(Table7[[#This Row],[United States 10y]]-Table7[[#This Row],[United States 3y]],#N/A)</f>
        <v/>
      </c>
    </row>
    <row r="3731">
      <c r="A3731" s="6">
        <f>Database!$A5816</f>
        <v/>
      </c>
      <c r="B3731">
        <f>IF(VLOOKUP(Table7[[#This Row],[Date]],Database!$A:$C,MATCH($B$1,Database!$A$1:$C$1,),)=0,#N/A,VLOOKUP(Table7[[#This Row],[Date]],Database!$A:$C,MATCH($B$1,Database!$A$1:$C$1,),))</f>
        <v/>
      </c>
      <c r="C3731">
        <f>IF(VLOOKUP(Table7[[#This Row],[Date]],Database!$A:$C,MATCH($C$1,Database!$A$1:$C$1,),)=0,#N/A,VLOOKUP(Table7[[#This Row],[Date]],Database!$A:$C,MATCH($C$1,Database!$A$1:$C$1,),))</f>
        <v/>
      </c>
      <c r="D3731">
        <f>IFERROR(Table7[[#This Row],[United States 10y]]-Table7[[#This Row],[United States 3y]],#N/A)</f>
        <v/>
      </c>
    </row>
    <row r="3732">
      <c r="A3732" s="6">
        <f>Database!$A5817</f>
        <v/>
      </c>
      <c r="B3732">
        <f>IF(VLOOKUP(Table7[[#This Row],[Date]],Database!$A:$C,MATCH($B$1,Database!$A$1:$C$1,),)=0,#N/A,VLOOKUP(Table7[[#This Row],[Date]],Database!$A:$C,MATCH($B$1,Database!$A$1:$C$1,),))</f>
        <v/>
      </c>
      <c r="C3732">
        <f>IF(VLOOKUP(Table7[[#This Row],[Date]],Database!$A:$C,MATCH($C$1,Database!$A$1:$C$1,),)=0,#N/A,VLOOKUP(Table7[[#This Row],[Date]],Database!$A:$C,MATCH($C$1,Database!$A$1:$C$1,),))</f>
        <v/>
      </c>
      <c r="D3732">
        <f>IFERROR(Table7[[#This Row],[United States 10y]]-Table7[[#This Row],[United States 3y]],#N/A)</f>
        <v/>
      </c>
    </row>
    <row r="3733">
      <c r="A3733" s="6">
        <f>Database!$A5818</f>
        <v/>
      </c>
      <c r="B3733">
        <f>IF(VLOOKUP(Table7[[#This Row],[Date]],Database!$A:$C,MATCH($B$1,Database!$A$1:$C$1,),)=0,#N/A,VLOOKUP(Table7[[#This Row],[Date]],Database!$A:$C,MATCH($B$1,Database!$A$1:$C$1,),))</f>
        <v/>
      </c>
      <c r="C3733">
        <f>IF(VLOOKUP(Table7[[#This Row],[Date]],Database!$A:$C,MATCH($C$1,Database!$A$1:$C$1,),)=0,#N/A,VLOOKUP(Table7[[#This Row],[Date]],Database!$A:$C,MATCH($C$1,Database!$A$1:$C$1,),))</f>
        <v/>
      </c>
      <c r="D3733">
        <f>IFERROR(Table7[[#This Row],[United States 10y]]-Table7[[#This Row],[United States 3y]],#N/A)</f>
        <v/>
      </c>
    </row>
    <row r="3734">
      <c r="A3734" s="6">
        <f>Database!$A5819</f>
        <v/>
      </c>
      <c r="B3734">
        <f>IF(VLOOKUP(Table7[[#This Row],[Date]],Database!$A:$C,MATCH($B$1,Database!$A$1:$C$1,),)=0,#N/A,VLOOKUP(Table7[[#This Row],[Date]],Database!$A:$C,MATCH($B$1,Database!$A$1:$C$1,),))</f>
        <v/>
      </c>
      <c r="C3734">
        <f>IF(VLOOKUP(Table7[[#This Row],[Date]],Database!$A:$C,MATCH($C$1,Database!$A$1:$C$1,),)=0,#N/A,VLOOKUP(Table7[[#This Row],[Date]],Database!$A:$C,MATCH($C$1,Database!$A$1:$C$1,),))</f>
        <v/>
      </c>
      <c r="D3734">
        <f>IFERROR(Table7[[#This Row],[United States 10y]]-Table7[[#This Row],[United States 3y]],#N/A)</f>
        <v/>
      </c>
    </row>
    <row r="3735">
      <c r="A3735" s="6">
        <f>Database!$A5820</f>
        <v/>
      </c>
      <c r="B3735">
        <f>IF(VLOOKUP(Table7[[#This Row],[Date]],Database!$A:$C,MATCH($B$1,Database!$A$1:$C$1,),)=0,#N/A,VLOOKUP(Table7[[#This Row],[Date]],Database!$A:$C,MATCH($B$1,Database!$A$1:$C$1,),))</f>
        <v/>
      </c>
      <c r="C3735">
        <f>IF(VLOOKUP(Table7[[#This Row],[Date]],Database!$A:$C,MATCH($C$1,Database!$A$1:$C$1,),)=0,#N/A,VLOOKUP(Table7[[#This Row],[Date]],Database!$A:$C,MATCH($C$1,Database!$A$1:$C$1,),))</f>
        <v/>
      </c>
      <c r="D3735">
        <f>IFERROR(Table7[[#This Row],[United States 10y]]-Table7[[#This Row],[United States 3y]],#N/A)</f>
        <v/>
      </c>
    </row>
    <row r="3736">
      <c r="A3736" s="6">
        <f>Database!$A5821</f>
        <v/>
      </c>
      <c r="B3736">
        <f>IF(VLOOKUP(Table7[[#This Row],[Date]],Database!$A:$C,MATCH($B$1,Database!$A$1:$C$1,),)=0,#N/A,VLOOKUP(Table7[[#This Row],[Date]],Database!$A:$C,MATCH($B$1,Database!$A$1:$C$1,),))</f>
        <v/>
      </c>
      <c r="C3736">
        <f>IF(VLOOKUP(Table7[[#This Row],[Date]],Database!$A:$C,MATCH($C$1,Database!$A$1:$C$1,),)=0,#N/A,VLOOKUP(Table7[[#This Row],[Date]],Database!$A:$C,MATCH($C$1,Database!$A$1:$C$1,),))</f>
        <v/>
      </c>
      <c r="D3736">
        <f>IFERROR(Table7[[#This Row],[United States 10y]]-Table7[[#This Row],[United States 3y]],#N/A)</f>
        <v/>
      </c>
    </row>
    <row r="3737">
      <c r="A3737" s="6">
        <f>Database!$A5822</f>
        <v/>
      </c>
      <c r="B3737">
        <f>IF(VLOOKUP(Table7[[#This Row],[Date]],Database!$A:$C,MATCH($B$1,Database!$A$1:$C$1,),)=0,#N/A,VLOOKUP(Table7[[#This Row],[Date]],Database!$A:$C,MATCH($B$1,Database!$A$1:$C$1,),))</f>
        <v/>
      </c>
      <c r="C3737">
        <f>IF(VLOOKUP(Table7[[#This Row],[Date]],Database!$A:$C,MATCH($C$1,Database!$A$1:$C$1,),)=0,#N/A,VLOOKUP(Table7[[#This Row],[Date]],Database!$A:$C,MATCH($C$1,Database!$A$1:$C$1,),))</f>
        <v/>
      </c>
      <c r="D3737">
        <f>IFERROR(Table7[[#This Row],[United States 10y]]-Table7[[#This Row],[United States 3y]],#N/A)</f>
        <v/>
      </c>
    </row>
    <row r="3738">
      <c r="A3738" s="6">
        <f>Database!$A5823</f>
        <v/>
      </c>
      <c r="B3738">
        <f>IF(VLOOKUP(Table7[[#This Row],[Date]],Database!$A:$C,MATCH($B$1,Database!$A$1:$C$1,),)=0,#N/A,VLOOKUP(Table7[[#This Row],[Date]],Database!$A:$C,MATCH($B$1,Database!$A$1:$C$1,),))</f>
        <v/>
      </c>
      <c r="C3738">
        <f>IF(VLOOKUP(Table7[[#This Row],[Date]],Database!$A:$C,MATCH($C$1,Database!$A$1:$C$1,),)=0,#N/A,VLOOKUP(Table7[[#This Row],[Date]],Database!$A:$C,MATCH($C$1,Database!$A$1:$C$1,),))</f>
        <v/>
      </c>
      <c r="D3738">
        <f>IFERROR(Table7[[#This Row],[United States 10y]]-Table7[[#This Row],[United States 3y]],#N/A)</f>
        <v/>
      </c>
    </row>
    <row r="3739">
      <c r="A3739" s="6">
        <f>Database!$A5824</f>
        <v/>
      </c>
      <c r="B3739">
        <f>IF(VLOOKUP(Table7[[#This Row],[Date]],Database!$A:$C,MATCH($B$1,Database!$A$1:$C$1,),)=0,#N/A,VLOOKUP(Table7[[#This Row],[Date]],Database!$A:$C,MATCH($B$1,Database!$A$1:$C$1,),))</f>
        <v/>
      </c>
      <c r="C3739">
        <f>IF(VLOOKUP(Table7[[#This Row],[Date]],Database!$A:$C,MATCH($C$1,Database!$A$1:$C$1,),)=0,#N/A,VLOOKUP(Table7[[#This Row],[Date]],Database!$A:$C,MATCH($C$1,Database!$A$1:$C$1,),))</f>
        <v/>
      </c>
      <c r="D3739">
        <f>IFERROR(Table7[[#This Row],[United States 10y]]-Table7[[#This Row],[United States 3y]],#N/A)</f>
        <v/>
      </c>
    </row>
    <row r="3740">
      <c r="A3740" s="6">
        <f>Database!$A5825</f>
        <v/>
      </c>
      <c r="B3740">
        <f>IF(VLOOKUP(Table7[[#This Row],[Date]],Database!$A:$C,MATCH($B$1,Database!$A$1:$C$1,),)=0,#N/A,VLOOKUP(Table7[[#This Row],[Date]],Database!$A:$C,MATCH($B$1,Database!$A$1:$C$1,),))</f>
        <v/>
      </c>
      <c r="C3740">
        <f>IF(VLOOKUP(Table7[[#This Row],[Date]],Database!$A:$C,MATCH($C$1,Database!$A$1:$C$1,),)=0,#N/A,VLOOKUP(Table7[[#This Row],[Date]],Database!$A:$C,MATCH($C$1,Database!$A$1:$C$1,),))</f>
        <v/>
      </c>
      <c r="D3740">
        <f>IFERROR(Table7[[#This Row],[United States 10y]]-Table7[[#This Row],[United States 3y]],#N/A)</f>
        <v/>
      </c>
    </row>
    <row r="3741">
      <c r="A3741" s="6">
        <f>Database!$A5826</f>
        <v/>
      </c>
      <c r="B3741">
        <f>IF(VLOOKUP(Table7[[#This Row],[Date]],Database!$A:$C,MATCH($B$1,Database!$A$1:$C$1,),)=0,#N/A,VLOOKUP(Table7[[#This Row],[Date]],Database!$A:$C,MATCH($B$1,Database!$A$1:$C$1,),))</f>
        <v/>
      </c>
      <c r="C3741">
        <f>IF(VLOOKUP(Table7[[#This Row],[Date]],Database!$A:$C,MATCH($C$1,Database!$A$1:$C$1,),)=0,#N/A,VLOOKUP(Table7[[#This Row],[Date]],Database!$A:$C,MATCH($C$1,Database!$A$1:$C$1,),))</f>
        <v/>
      </c>
      <c r="D3741">
        <f>IFERROR(Table7[[#This Row],[United States 10y]]-Table7[[#This Row],[United States 3y]],#N/A)</f>
        <v/>
      </c>
    </row>
    <row r="3742">
      <c r="A3742" s="6">
        <f>Database!$A5827</f>
        <v/>
      </c>
      <c r="B3742">
        <f>IF(VLOOKUP(Table7[[#This Row],[Date]],Database!$A:$C,MATCH($B$1,Database!$A$1:$C$1,),)=0,#N/A,VLOOKUP(Table7[[#This Row],[Date]],Database!$A:$C,MATCH($B$1,Database!$A$1:$C$1,),))</f>
        <v/>
      </c>
      <c r="C3742">
        <f>IF(VLOOKUP(Table7[[#This Row],[Date]],Database!$A:$C,MATCH($C$1,Database!$A$1:$C$1,),)=0,#N/A,VLOOKUP(Table7[[#This Row],[Date]],Database!$A:$C,MATCH($C$1,Database!$A$1:$C$1,),))</f>
        <v/>
      </c>
      <c r="D3742">
        <f>IFERROR(Table7[[#This Row],[United States 10y]]-Table7[[#This Row],[United States 3y]],#N/A)</f>
        <v/>
      </c>
    </row>
    <row r="3743">
      <c r="A3743" s="6">
        <f>Database!$A5828</f>
        <v/>
      </c>
      <c r="B3743">
        <f>IF(VLOOKUP(Table7[[#This Row],[Date]],Database!$A:$C,MATCH($B$1,Database!$A$1:$C$1,),)=0,#N/A,VLOOKUP(Table7[[#This Row],[Date]],Database!$A:$C,MATCH($B$1,Database!$A$1:$C$1,),))</f>
        <v/>
      </c>
      <c r="C3743">
        <f>IF(VLOOKUP(Table7[[#This Row],[Date]],Database!$A:$C,MATCH($C$1,Database!$A$1:$C$1,),)=0,#N/A,VLOOKUP(Table7[[#This Row],[Date]],Database!$A:$C,MATCH($C$1,Database!$A$1:$C$1,),))</f>
        <v/>
      </c>
      <c r="D3743">
        <f>IFERROR(Table7[[#This Row],[United States 10y]]-Table7[[#This Row],[United States 3y]],#N/A)</f>
        <v/>
      </c>
    </row>
    <row r="3744">
      <c r="A3744" s="6">
        <f>Database!$A5829</f>
        <v/>
      </c>
      <c r="B3744">
        <f>IF(VLOOKUP(Table7[[#This Row],[Date]],Database!$A:$C,MATCH($B$1,Database!$A$1:$C$1,),)=0,#N/A,VLOOKUP(Table7[[#This Row],[Date]],Database!$A:$C,MATCH($B$1,Database!$A$1:$C$1,),))</f>
        <v/>
      </c>
      <c r="C3744">
        <f>IF(VLOOKUP(Table7[[#This Row],[Date]],Database!$A:$C,MATCH($C$1,Database!$A$1:$C$1,),)=0,#N/A,VLOOKUP(Table7[[#This Row],[Date]],Database!$A:$C,MATCH($C$1,Database!$A$1:$C$1,),))</f>
        <v/>
      </c>
      <c r="D3744">
        <f>IFERROR(Table7[[#This Row],[United States 10y]]-Table7[[#This Row],[United States 3y]],#N/A)</f>
        <v/>
      </c>
    </row>
    <row r="3745">
      <c r="A3745" s="6">
        <f>Database!$A5830</f>
        <v/>
      </c>
      <c r="B3745">
        <f>IF(VLOOKUP(Table7[[#This Row],[Date]],Database!$A:$C,MATCH($B$1,Database!$A$1:$C$1,),)=0,#N/A,VLOOKUP(Table7[[#This Row],[Date]],Database!$A:$C,MATCH($B$1,Database!$A$1:$C$1,),))</f>
        <v/>
      </c>
      <c r="C3745">
        <f>IF(VLOOKUP(Table7[[#This Row],[Date]],Database!$A:$C,MATCH($C$1,Database!$A$1:$C$1,),)=0,#N/A,VLOOKUP(Table7[[#This Row],[Date]],Database!$A:$C,MATCH($C$1,Database!$A$1:$C$1,),))</f>
        <v/>
      </c>
      <c r="D3745">
        <f>IFERROR(Table7[[#This Row],[United States 10y]]-Table7[[#This Row],[United States 3y]],#N/A)</f>
        <v/>
      </c>
    </row>
    <row r="3746">
      <c r="A3746" s="6">
        <f>Database!$A5831</f>
        <v/>
      </c>
      <c r="B3746">
        <f>IF(VLOOKUP(Table7[[#This Row],[Date]],Database!$A:$C,MATCH($B$1,Database!$A$1:$C$1,),)=0,#N/A,VLOOKUP(Table7[[#This Row],[Date]],Database!$A:$C,MATCH($B$1,Database!$A$1:$C$1,),))</f>
        <v/>
      </c>
      <c r="C3746">
        <f>IF(VLOOKUP(Table7[[#This Row],[Date]],Database!$A:$C,MATCH($C$1,Database!$A$1:$C$1,),)=0,#N/A,VLOOKUP(Table7[[#This Row],[Date]],Database!$A:$C,MATCH($C$1,Database!$A$1:$C$1,),))</f>
        <v/>
      </c>
      <c r="D3746">
        <f>IFERROR(Table7[[#This Row],[United States 10y]]-Table7[[#This Row],[United States 3y]],#N/A)</f>
        <v/>
      </c>
    </row>
    <row r="3747">
      <c r="A3747" s="6">
        <f>Database!$A5832</f>
        <v/>
      </c>
      <c r="B3747">
        <f>IF(VLOOKUP(Table7[[#This Row],[Date]],Database!$A:$C,MATCH($B$1,Database!$A$1:$C$1,),)=0,#N/A,VLOOKUP(Table7[[#This Row],[Date]],Database!$A:$C,MATCH($B$1,Database!$A$1:$C$1,),))</f>
        <v/>
      </c>
      <c r="C3747">
        <f>IF(VLOOKUP(Table7[[#This Row],[Date]],Database!$A:$C,MATCH($C$1,Database!$A$1:$C$1,),)=0,#N/A,VLOOKUP(Table7[[#This Row],[Date]],Database!$A:$C,MATCH($C$1,Database!$A$1:$C$1,),))</f>
        <v/>
      </c>
      <c r="D3747">
        <f>IFERROR(Table7[[#This Row],[United States 10y]]-Table7[[#This Row],[United States 3y]],#N/A)</f>
        <v/>
      </c>
    </row>
    <row r="3748">
      <c r="A3748" s="6">
        <f>Database!$A5833</f>
        <v/>
      </c>
      <c r="B3748">
        <f>IF(VLOOKUP(Table7[[#This Row],[Date]],Database!$A:$C,MATCH($B$1,Database!$A$1:$C$1,),)=0,#N/A,VLOOKUP(Table7[[#This Row],[Date]],Database!$A:$C,MATCH($B$1,Database!$A$1:$C$1,),))</f>
        <v/>
      </c>
      <c r="C3748">
        <f>IF(VLOOKUP(Table7[[#This Row],[Date]],Database!$A:$C,MATCH($C$1,Database!$A$1:$C$1,),)=0,#N/A,VLOOKUP(Table7[[#This Row],[Date]],Database!$A:$C,MATCH($C$1,Database!$A$1:$C$1,),))</f>
        <v/>
      </c>
      <c r="D3748">
        <f>IFERROR(Table7[[#This Row],[United States 10y]]-Table7[[#This Row],[United States 3y]],#N/A)</f>
        <v/>
      </c>
    </row>
    <row r="3749">
      <c r="A3749" s="6">
        <f>Database!$A5834</f>
        <v/>
      </c>
      <c r="B3749">
        <f>IF(VLOOKUP(Table7[[#This Row],[Date]],Database!$A:$C,MATCH($B$1,Database!$A$1:$C$1,),)=0,#N/A,VLOOKUP(Table7[[#This Row],[Date]],Database!$A:$C,MATCH($B$1,Database!$A$1:$C$1,),))</f>
        <v/>
      </c>
      <c r="C3749">
        <f>IF(VLOOKUP(Table7[[#This Row],[Date]],Database!$A:$C,MATCH($C$1,Database!$A$1:$C$1,),)=0,#N/A,VLOOKUP(Table7[[#This Row],[Date]],Database!$A:$C,MATCH($C$1,Database!$A$1:$C$1,),))</f>
        <v/>
      </c>
      <c r="D3749">
        <f>IFERROR(Table7[[#This Row],[United States 10y]]-Table7[[#This Row],[United States 3y]],#N/A)</f>
        <v/>
      </c>
    </row>
    <row r="3750">
      <c r="A3750" s="6">
        <f>Database!$A5835</f>
        <v/>
      </c>
      <c r="B3750">
        <f>IF(VLOOKUP(Table7[[#This Row],[Date]],Database!$A:$C,MATCH($B$1,Database!$A$1:$C$1,),)=0,#N/A,VLOOKUP(Table7[[#This Row],[Date]],Database!$A:$C,MATCH($B$1,Database!$A$1:$C$1,),))</f>
        <v/>
      </c>
      <c r="C3750">
        <f>IF(VLOOKUP(Table7[[#This Row],[Date]],Database!$A:$C,MATCH($C$1,Database!$A$1:$C$1,),)=0,#N/A,VLOOKUP(Table7[[#This Row],[Date]],Database!$A:$C,MATCH($C$1,Database!$A$1:$C$1,),))</f>
        <v/>
      </c>
      <c r="D3750">
        <f>IFERROR(Table7[[#This Row],[United States 10y]]-Table7[[#This Row],[United States 3y]],#N/A)</f>
        <v/>
      </c>
    </row>
    <row r="3751">
      <c r="A3751" s="6">
        <f>Database!$A5836</f>
        <v/>
      </c>
      <c r="B3751">
        <f>IF(VLOOKUP(Table7[[#This Row],[Date]],Database!$A:$C,MATCH($B$1,Database!$A$1:$C$1,),)=0,#N/A,VLOOKUP(Table7[[#This Row],[Date]],Database!$A:$C,MATCH($B$1,Database!$A$1:$C$1,),))</f>
        <v/>
      </c>
      <c r="C3751">
        <f>IF(VLOOKUP(Table7[[#This Row],[Date]],Database!$A:$C,MATCH($C$1,Database!$A$1:$C$1,),)=0,#N/A,VLOOKUP(Table7[[#This Row],[Date]],Database!$A:$C,MATCH($C$1,Database!$A$1:$C$1,),))</f>
        <v/>
      </c>
      <c r="D3751">
        <f>IFERROR(Table7[[#This Row],[United States 10y]]-Table7[[#This Row],[United States 3y]],#N/A)</f>
        <v/>
      </c>
    </row>
    <row r="3752">
      <c r="A3752" s="6">
        <f>Database!$A5837</f>
        <v/>
      </c>
      <c r="B3752">
        <f>IF(VLOOKUP(Table7[[#This Row],[Date]],Database!$A:$C,MATCH($B$1,Database!$A$1:$C$1,),)=0,#N/A,VLOOKUP(Table7[[#This Row],[Date]],Database!$A:$C,MATCH($B$1,Database!$A$1:$C$1,),))</f>
        <v/>
      </c>
      <c r="C3752">
        <f>IF(VLOOKUP(Table7[[#This Row],[Date]],Database!$A:$C,MATCH($C$1,Database!$A$1:$C$1,),)=0,#N/A,VLOOKUP(Table7[[#This Row],[Date]],Database!$A:$C,MATCH($C$1,Database!$A$1:$C$1,),))</f>
        <v/>
      </c>
      <c r="D3752">
        <f>IFERROR(Table7[[#This Row],[United States 10y]]-Table7[[#This Row],[United States 3y]],#N/A)</f>
        <v/>
      </c>
    </row>
    <row r="3753">
      <c r="A3753" s="6">
        <f>Database!$A5838</f>
        <v/>
      </c>
      <c r="B3753">
        <f>IF(VLOOKUP(Table7[[#This Row],[Date]],Database!$A:$C,MATCH($B$1,Database!$A$1:$C$1,),)=0,#N/A,VLOOKUP(Table7[[#This Row],[Date]],Database!$A:$C,MATCH($B$1,Database!$A$1:$C$1,),))</f>
        <v/>
      </c>
      <c r="C3753">
        <f>IF(VLOOKUP(Table7[[#This Row],[Date]],Database!$A:$C,MATCH($C$1,Database!$A$1:$C$1,),)=0,#N/A,VLOOKUP(Table7[[#This Row],[Date]],Database!$A:$C,MATCH($C$1,Database!$A$1:$C$1,),))</f>
        <v/>
      </c>
      <c r="D3753">
        <f>IFERROR(Table7[[#This Row],[United States 10y]]-Table7[[#This Row],[United States 3y]],#N/A)</f>
        <v/>
      </c>
    </row>
    <row r="3754">
      <c r="A3754" s="6">
        <f>Database!$A5839</f>
        <v/>
      </c>
      <c r="B3754">
        <f>IF(VLOOKUP(Table7[[#This Row],[Date]],Database!$A:$C,MATCH($B$1,Database!$A$1:$C$1,),)=0,#N/A,VLOOKUP(Table7[[#This Row],[Date]],Database!$A:$C,MATCH($B$1,Database!$A$1:$C$1,),))</f>
        <v/>
      </c>
      <c r="C3754">
        <f>IF(VLOOKUP(Table7[[#This Row],[Date]],Database!$A:$C,MATCH($C$1,Database!$A$1:$C$1,),)=0,#N/A,VLOOKUP(Table7[[#This Row],[Date]],Database!$A:$C,MATCH($C$1,Database!$A$1:$C$1,),))</f>
        <v/>
      </c>
      <c r="D3754">
        <f>IFERROR(Table7[[#This Row],[United States 10y]]-Table7[[#This Row],[United States 3y]],#N/A)</f>
        <v/>
      </c>
    </row>
    <row r="3755">
      <c r="A3755" s="6">
        <f>Database!$A5840</f>
        <v/>
      </c>
      <c r="B3755">
        <f>IF(VLOOKUP(Table7[[#This Row],[Date]],Database!$A:$C,MATCH($B$1,Database!$A$1:$C$1,),)=0,#N/A,VLOOKUP(Table7[[#This Row],[Date]],Database!$A:$C,MATCH($B$1,Database!$A$1:$C$1,),))</f>
        <v/>
      </c>
      <c r="C3755">
        <f>IF(VLOOKUP(Table7[[#This Row],[Date]],Database!$A:$C,MATCH($C$1,Database!$A$1:$C$1,),)=0,#N/A,VLOOKUP(Table7[[#This Row],[Date]],Database!$A:$C,MATCH($C$1,Database!$A$1:$C$1,),))</f>
        <v/>
      </c>
      <c r="D3755">
        <f>IFERROR(Table7[[#This Row],[United States 10y]]-Table7[[#This Row],[United States 3y]],#N/A)</f>
        <v/>
      </c>
    </row>
    <row r="3756">
      <c r="A3756" s="6">
        <f>Database!$A5841</f>
        <v/>
      </c>
      <c r="B3756">
        <f>IF(VLOOKUP(Table7[[#This Row],[Date]],Database!$A:$C,MATCH($B$1,Database!$A$1:$C$1,),)=0,#N/A,VLOOKUP(Table7[[#This Row],[Date]],Database!$A:$C,MATCH($B$1,Database!$A$1:$C$1,),))</f>
        <v/>
      </c>
      <c r="C3756">
        <f>IF(VLOOKUP(Table7[[#This Row],[Date]],Database!$A:$C,MATCH($C$1,Database!$A$1:$C$1,),)=0,#N/A,VLOOKUP(Table7[[#This Row],[Date]],Database!$A:$C,MATCH($C$1,Database!$A$1:$C$1,),))</f>
        <v/>
      </c>
      <c r="D3756">
        <f>IFERROR(Table7[[#This Row],[United States 10y]]-Table7[[#This Row],[United States 3y]],#N/A)</f>
        <v/>
      </c>
    </row>
    <row r="3757">
      <c r="A3757" s="6">
        <f>Database!$A5842</f>
        <v/>
      </c>
      <c r="B3757">
        <f>IF(VLOOKUP(Table7[[#This Row],[Date]],Database!$A:$C,MATCH($B$1,Database!$A$1:$C$1,),)=0,#N/A,VLOOKUP(Table7[[#This Row],[Date]],Database!$A:$C,MATCH($B$1,Database!$A$1:$C$1,),))</f>
        <v/>
      </c>
      <c r="C3757">
        <f>IF(VLOOKUP(Table7[[#This Row],[Date]],Database!$A:$C,MATCH($C$1,Database!$A$1:$C$1,),)=0,#N/A,VLOOKUP(Table7[[#This Row],[Date]],Database!$A:$C,MATCH($C$1,Database!$A$1:$C$1,),))</f>
        <v/>
      </c>
      <c r="D3757">
        <f>IFERROR(Table7[[#This Row],[United States 10y]]-Table7[[#This Row],[United States 3y]],#N/A)</f>
        <v/>
      </c>
    </row>
    <row r="3758">
      <c r="A3758" s="6">
        <f>Database!$A5843</f>
        <v/>
      </c>
      <c r="B3758">
        <f>IF(VLOOKUP(Table7[[#This Row],[Date]],Database!$A:$C,MATCH($B$1,Database!$A$1:$C$1,),)=0,#N/A,VLOOKUP(Table7[[#This Row],[Date]],Database!$A:$C,MATCH($B$1,Database!$A$1:$C$1,),))</f>
        <v/>
      </c>
      <c r="C3758">
        <f>IF(VLOOKUP(Table7[[#This Row],[Date]],Database!$A:$C,MATCH($C$1,Database!$A$1:$C$1,),)=0,#N/A,VLOOKUP(Table7[[#This Row],[Date]],Database!$A:$C,MATCH($C$1,Database!$A$1:$C$1,),))</f>
        <v/>
      </c>
      <c r="D3758">
        <f>IFERROR(Table7[[#This Row],[United States 10y]]-Table7[[#This Row],[United States 3y]],#N/A)</f>
        <v/>
      </c>
    </row>
    <row r="3759">
      <c r="A3759" s="6">
        <f>Database!$A5844</f>
        <v/>
      </c>
      <c r="B3759">
        <f>IF(VLOOKUP(Table7[[#This Row],[Date]],Database!$A:$C,MATCH($B$1,Database!$A$1:$C$1,),)=0,#N/A,VLOOKUP(Table7[[#This Row],[Date]],Database!$A:$C,MATCH($B$1,Database!$A$1:$C$1,),))</f>
        <v/>
      </c>
      <c r="C3759">
        <f>IF(VLOOKUP(Table7[[#This Row],[Date]],Database!$A:$C,MATCH($C$1,Database!$A$1:$C$1,),)=0,#N/A,VLOOKUP(Table7[[#This Row],[Date]],Database!$A:$C,MATCH($C$1,Database!$A$1:$C$1,),))</f>
        <v/>
      </c>
      <c r="D3759">
        <f>IFERROR(Table7[[#This Row],[United States 10y]]-Table7[[#This Row],[United States 3y]],#N/A)</f>
        <v/>
      </c>
    </row>
    <row r="3760">
      <c r="A3760" s="6">
        <f>Database!$A5845</f>
        <v/>
      </c>
      <c r="B3760">
        <f>IF(VLOOKUP(Table7[[#This Row],[Date]],Database!$A:$C,MATCH($B$1,Database!$A$1:$C$1,),)=0,#N/A,VLOOKUP(Table7[[#This Row],[Date]],Database!$A:$C,MATCH($B$1,Database!$A$1:$C$1,),))</f>
        <v/>
      </c>
      <c r="C3760">
        <f>IF(VLOOKUP(Table7[[#This Row],[Date]],Database!$A:$C,MATCH($C$1,Database!$A$1:$C$1,),)=0,#N/A,VLOOKUP(Table7[[#This Row],[Date]],Database!$A:$C,MATCH($C$1,Database!$A$1:$C$1,),))</f>
        <v/>
      </c>
      <c r="D3760">
        <f>IFERROR(Table7[[#This Row],[United States 10y]]-Table7[[#This Row],[United States 3y]],#N/A)</f>
        <v/>
      </c>
    </row>
    <row r="3761">
      <c r="A3761" s="6">
        <f>Database!$A5846</f>
        <v/>
      </c>
      <c r="B3761">
        <f>IF(VLOOKUP(Table7[[#This Row],[Date]],Database!$A:$C,MATCH($B$1,Database!$A$1:$C$1,),)=0,#N/A,VLOOKUP(Table7[[#This Row],[Date]],Database!$A:$C,MATCH($B$1,Database!$A$1:$C$1,),))</f>
        <v/>
      </c>
      <c r="C3761">
        <f>IF(VLOOKUP(Table7[[#This Row],[Date]],Database!$A:$C,MATCH($C$1,Database!$A$1:$C$1,),)=0,#N/A,VLOOKUP(Table7[[#This Row],[Date]],Database!$A:$C,MATCH($C$1,Database!$A$1:$C$1,),))</f>
        <v/>
      </c>
      <c r="D3761">
        <f>IFERROR(Table7[[#This Row],[United States 10y]]-Table7[[#This Row],[United States 3y]],#N/A)</f>
        <v/>
      </c>
    </row>
    <row r="3762">
      <c r="A3762" s="6">
        <f>Database!$A5847</f>
        <v/>
      </c>
      <c r="B3762">
        <f>IF(VLOOKUP(Table7[[#This Row],[Date]],Database!$A:$C,MATCH($B$1,Database!$A$1:$C$1,),)=0,#N/A,VLOOKUP(Table7[[#This Row],[Date]],Database!$A:$C,MATCH($B$1,Database!$A$1:$C$1,),))</f>
        <v/>
      </c>
      <c r="C3762">
        <f>IF(VLOOKUP(Table7[[#This Row],[Date]],Database!$A:$C,MATCH($C$1,Database!$A$1:$C$1,),)=0,#N/A,VLOOKUP(Table7[[#This Row],[Date]],Database!$A:$C,MATCH($C$1,Database!$A$1:$C$1,),))</f>
        <v/>
      </c>
      <c r="D3762">
        <f>IFERROR(Table7[[#This Row],[United States 10y]]-Table7[[#This Row],[United States 3y]],#N/A)</f>
        <v/>
      </c>
    </row>
    <row r="3763">
      <c r="A3763" s="6">
        <f>Database!$A5848</f>
        <v/>
      </c>
      <c r="B3763">
        <f>IF(VLOOKUP(Table7[[#This Row],[Date]],Database!$A:$C,MATCH($B$1,Database!$A$1:$C$1,),)=0,#N/A,VLOOKUP(Table7[[#This Row],[Date]],Database!$A:$C,MATCH($B$1,Database!$A$1:$C$1,),))</f>
        <v/>
      </c>
      <c r="C3763">
        <f>IF(VLOOKUP(Table7[[#This Row],[Date]],Database!$A:$C,MATCH($C$1,Database!$A$1:$C$1,),)=0,#N/A,VLOOKUP(Table7[[#This Row],[Date]],Database!$A:$C,MATCH($C$1,Database!$A$1:$C$1,),))</f>
        <v/>
      </c>
      <c r="D3763">
        <f>IFERROR(Table7[[#This Row],[United States 10y]]-Table7[[#This Row],[United States 3y]],#N/A)</f>
        <v/>
      </c>
    </row>
    <row r="3764">
      <c r="A3764" s="6">
        <f>Database!$A5849</f>
        <v/>
      </c>
      <c r="B3764">
        <f>IF(VLOOKUP(Table7[[#This Row],[Date]],Database!$A:$C,MATCH($B$1,Database!$A$1:$C$1,),)=0,#N/A,VLOOKUP(Table7[[#This Row],[Date]],Database!$A:$C,MATCH($B$1,Database!$A$1:$C$1,),))</f>
        <v/>
      </c>
      <c r="C3764">
        <f>IF(VLOOKUP(Table7[[#This Row],[Date]],Database!$A:$C,MATCH($C$1,Database!$A$1:$C$1,),)=0,#N/A,VLOOKUP(Table7[[#This Row],[Date]],Database!$A:$C,MATCH($C$1,Database!$A$1:$C$1,),))</f>
        <v/>
      </c>
      <c r="D3764">
        <f>IFERROR(Table7[[#This Row],[United States 10y]]-Table7[[#This Row],[United States 3y]],#N/A)</f>
        <v/>
      </c>
    </row>
    <row r="3765">
      <c r="A3765" s="6">
        <f>Database!$A5850</f>
        <v/>
      </c>
      <c r="B3765">
        <f>IF(VLOOKUP(Table7[[#This Row],[Date]],Database!$A:$C,MATCH($B$1,Database!$A$1:$C$1,),)=0,#N/A,VLOOKUP(Table7[[#This Row],[Date]],Database!$A:$C,MATCH($B$1,Database!$A$1:$C$1,),))</f>
        <v/>
      </c>
      <c r="C3765">
        <f>IF(VLOOKUP(Table7[[#This Row],[Date]],Database!$A:$C,MATCH($C$1,Database!$A$1:$C$1,),)=0,#N/A,VLOOKUP(Table7[[#This Row],[Date]],Database!$A:$C,MATCH($C$1,Database!$A$1:$C$1,),))</f>
        <v/>
      </c>
      <c r="D3765">
        <f>IFERROR(Table7[[#This Row],[United States 10y]]-Table7[[#This Row],[United States 3y]],#N/A)</f>
        <v/>
      </c>
    </row>
    <row r="3766">
      <c r="A3766" s="6">
        <f>Database!$A5851</f>
        <v/>
      </c>
      <c r="B3766">
        <f>IF(VLOOKUP(Table7[[#This Row],[Date]],Database!$A:$C,MATCH($B$1,Database!$A$1:$C$1,),)=0,#N/A,VLOOKUP(Table7[[#This Row],[Date]],Database!$A:$C,MATCH($B$1,Database!$A$1:$C$1,),))</f>
        <v/>
      </c>
      <c r="C3766">
        <f>IF(VLOOKUP(Table7[[#This Row],[Date]],Database!$A:$C,MATCH($C$1,Database!$A$1:$C$1,),)=0,#N/A,VLOOKUP(Table7[[#This Row],[Date]],Database!$A:$C,MATCH($C$1,Database!$A$1:$C$1,),))</f>
        <v/>
      </c>
      <c r="D3766">
        <f>IFERROR(Table7[[#This Row],[United States 10y]]-Table7[[#This Row],[United States 3y]],#N/A)</f>
        <v/>
      </c>
    </row>
    <row r="3767">
      <c r="A3767" s="6">
        <f>Database!$A5852</f>
        <v/>
      </c>
      <c r="B3767">
        <f>IF(VLOOKUP(Table7[[#This Row],[Date]],Database!$A:$C,MATCH($B$1,Database!$A$1:$C$1,),)=0,#N/A,VLOOKUP(Table7[[#This Row],[Date]],Database!$A:$C,MATCH($B$1,Database!$A$1:$C$1,),))</f>
        <v/>
      </c>
      <c r="C3767">
        <f>IF(VLOOKUP(Table7[[#This Row],[Date]],Database!$A:$C,MATCH($C$1,Database!$A$1:$C$1,),)=0,#N/A,VLOOKUP(Table7[[#This Row],[Date]],Database!$A:$C,MATCH($C$1,Database!$A$1:$C$1,),))</f>
        <v/>
      </c>
      <c r="D3767">
        <f>IFERROR(Table7[[#This Row],[United States 10y]]-Table7[[#This Row],[United States 3y]],#N/A)</f>
        <v/>
      </c>
    </row>
    <row r="3768">
      <c r="A3768" s="6">
        <f>Database!$A5853</f>
        <v/>
      </c>
      <c r="B3768">
        <f>IF(VLOOKUP(Table7[[#This Row],[Date]],Database!$A:$C,MATCH($B$1,Database!$A$1:$C$1,),)=0,#N/A,VLOOKUP(Table7[[#This Row],[Date]],Database!$A:$C,MATCH($B$1,Database!$A$1:$C$1,),))</f>
        <v/>
      </c>
      <c r="C3768">
        <f>IF(VLOOKUP(Table7[[#This Row],[Date]],Database!$A:$C,MATCH($C$1,Database!$A$1:$C$1,),)=0,#N/A,VLOOKUP(Table7[[#This Row],[Date]],Database!$A:$C,MATCH($C$1,Database!$A$1:$C$1,),))</f>
        <v/>
      </c>
      <c r="D3768">
        <f>IFERROR(Table7[[#This Row],[United States 10y]]-Table7[[#This Row],[United States 3y]],#N/A)</f>
        <v/>
      </c>
    </row>
    <row r="3769">
      <c r="A3769" s="6">
        <f>Database!$A5854</f>
        <v/>
      </c>
      <c r="B3769">
        <f>IF(VLOOKUP(Table7[[#This Row],[Date]],Database!$A:$C,MATCH($B$1,Database!$A$1:$C$1,),)=0,#N/A,VLOOKUP(Table7[[#This Row],[Date]],Database!$A:$C,MATCH($B$1,Database!$A$1:$C$1,),))</f>
        <v/>
      </c>
      <c r="C3769">
        <f>IF(VLOOKUP(Table7[[#This Row],[Date]],Database!$A:$C,MATCH($C$1,Database!$A$1:$C$1,),)=0,#N/A,VLOOKUP(Table7[[#This Row],[Date]],Database!$A:$C,MATCH($C$1,Database!$A$1:$C$1,),))</f>
        <v/>
      </c>
      <c r="D3769">
        <f>IFERROR(Table7[[#This Row],[United States 10y]]-Table7[[#This Row],[United States 3y]],#N/A)</f>
        <v/>
      </c>
    </row>
    <row r="3770">
      <c r="A3770" s="6">
        <f>Database!$A5855</f>
        <v/>
      </c>
      <c r="B3770">
        <f>IF(VLOOKUP(Table7[[#This Row],[Date]],Database!$A:$C,MATCH($B$1,Database!$A$1:$C$1,),)=0,#N/A,VLOOKUP(Table7[[#This Row],[Date]],Database!$A:$C,MATCH($B$1,Database!$A$1:$C$1,),))</f>
        <v/>
      </c>
      <c r="C3770">
        <f>IF(VLOOKUP(Table7[[#This Row],[Date]],Database!$A:$C,MATCH($C$1,Database!$A$1:$C$1,),)=0,#N/A,VLOOKUP(Table7[[#This Row],[Date]],Database!$A:$C,MATCH($C$1,Database!$A$1:$C$1,),))</f>
        <v/>
      </c>
      <c r="D3770">
        <f>IFERROR(Table7[[#This Row],[United States 10y]]-Table7[[#This Row],[United States 3y]],#N/A)</f>
        <v/>
      </c>
    </row>
    <row r="3771">
      <c r="A3771" s="6">
        <f>Database!$A5856</f>
        <v/>
      </c>
      <c r="B3771">
        <f>IF(VLOOKUP(Table7[[#This Row],[Date]],Database!$A:$C,MATCH($B$1,Database!$A$1:$C$1,),)=0,#N/A,VLOOKUP(Table7[[#This Row],[Date]],Database!$A:$C,MATCH($B$1,Database!$A$1:$C$1,),))</f>
        <v/>
      </c>
      <c r="C3771">
        <f>IF(VLOOKUP(Table7[[#This Row],[Date]],Database!$A:$C,MATCH($C$1,Database!$A$1:$C$1,),)=0,#N/A,VLOOKUP(Table7[[#This Row],[Date]],Database!$A:$C,MATCH($C$1,Database!$A$1:$C$1,),))</f>
        <v/>
      </c>
      <c r="D3771">
        <f>IFERROR(Table7[[#This Row],[United States 10y]]-Table7[[#This Row],[United States 3y]],#N/A)</f>
        <v/>
      </c>
    </row>
    <row r="3772">
      <c r="A3772" s="6">
        <f>Database!$A5857</f>
        <v/>
      </c>
      <c r="B3772">
        <f>IF(VLOOKUP(Table7[[#This Row],[Date]],Database!$A:$C,MATCH($B$1,Database!$A$1:$C$1,),)=0,#N/A,VLOOKUP(Table7[[#This Row],[Date]],Database!$A:$C,MATCH($B$1,Database!$A$1:$C$1,),))</f>
        <v/>
      </c>
      <c r="C3772">
        <f>IF(VLOOKUP(Table7[[#This Row],[Date]],Database!$A:$C,MATCH($C$1,Database!$A$1:$C$1,),)=0,#N/A,VLOOKUP(Table7[[#This Row],[Date]],Database!$A:$C,MATCH($C$1,Database!$A$1:$C$1,),))</f>
        <v/>
      </c>
      <c r="D3772">
        <f>IFERROR(Table7[[#This Row],[United States 10y]]-Table7[[#This Row],[United States 3y]],#N/A)</f>
        <v/>
      </c>
    </row>
    <row r="3773">
      <c r="A3773" s="6">
        <f>Database!$A5858</f>
        <v/>
      </c>
      <c r="B3773">
        <f>IF(VLOOKUP(Table7[[#This Row],[Date]],Database!$A:$C,MATCH($B$1,Database!$A$1:$C$1,),)=0,#N/A,VLOOKUP(Table7[[#This Row],[Date]],Database!$A:$C,MATCH($B$1,Database!$A$1:$C$1,),))</f>
        <v/>
      </c>
      <c r="C3773">
        <f>IF(VLOOKUP(Table7[[#This Row],[Date]],Database!$A:$C,MATCH($C$1,Database!$A$1:$C$1,),)=0,#N/A,VLOOKUP(Table7[[#This Row],[Date]],Database!$A:$C,MATCH($C$1,Database!$A$1:$C$1,),))</f>
        <v/>
      </c>
      <c r="D3773">
        <f>IFERROR(Table7[[#This Row],[United States 10y]]-Table7[[#This Row],[United States 3y]],#N/A)</f>
        <v/>
      </c>
    </row>
    <row r="3774">
      <c r="A3774" s="6">
        <f>Database!$A5859</f>
        <v/>
      </c>
      <c r="B3774">
        <f>IF(VLOOKUP(Table7[[#This Row],[Date]],Database!$A:$C,MATCH($B$1,Database!$A$1:$C$1,),)=0,#N/A,VLOOKUP(Table7[[#This Row],[Date]],Database!$A:$C,MATCH($B$1,Database!$A$1:$C$1,),))</f>
        <v/>
      </c>
      <c r="C3774">
        <f>IF(VLOOKUP(Table7[[#This Row],[Date]],Database!$A:$C,MATCH($C$1,Database!$A$1:$C$1,),)=0,#N/A,VLOOKUP(Table7[[#This Row],[Date]],Database!$A:$C,MATCH($C$1,Database!$A$1:$C$1,),))</f>
        <v/>
      </c>
      <c r="D3774">
        <f>IFERROR(Table7[[#This Row],[United States 10y]]-Table7[[#This Row],[United States 3y]],#N/A)</f>
        <v/>
      </c>
    </row>
    <row r="3775">
      <c r="A3775" s="6">
        <f>Database!$A5860</f>
        <v/>
      </c>
      <c r="B3775">
        <f>IF(VLOOKUP(Table7[[#This Row],[Date]],Database!$A:$C,MATCH($B$1,Database!$A$1:$C$1,),)=0,#N/A,VLOOKUP(Table7[[#This Row],[Date]],Database!$A:$C,MATCH($B$1,Database!$A$1:$C$1,),))</f>
        <v/>
      </c>
      <c r="C3775">
        <f>IF(VLOOKUP(Table7[[#This Row],[Date]],Database!$A:$C,MATCH($C$1,Database!$A$1:$C$1,),)=0,#N/A,VLOOKUP(Table7[[#This Row],[Date]],Database!$A:$C,MATCH($C$1,Database!$A$1:$C$1,),))</f>
        <v/>
      </c>
      <c r="D3775">
        <f>IFERROR(Table7[[#This Row],[United States 10y]]-Table7[[#This Row],[United States 3y]],#N/A)</f>
        <v/>
      </c>
    </row>
    <row r="3776">
      <c r="A3776" s="6">
        <f>Database!$A5861</f>
        <v/>
      </c>
      <c r="B3776">
        <f>IF(VLOOKUP(Table7[[#This Row],[Date]],Database!$A:$C,MATCH($B$1,Database!$A$1:$C$1,),)=0,#N/A,VLOOKUP(Table7[[#This Row],[Date]],Database!$A:$C,MATCH($B$1,Database!$A$1:$C$1,),))</f>
        <v/>
      </c>
      <c r="C3776">
        <f>IF(VLOOKUP(Table7[[#This Row],[Date]],Database!$A:$C,MATCH($C$1,Database!$A$1:$C$1,),)=0,#N/A,VLOOKUP(Table7[[#This Row],[Date]],Database!$A:$C,MATCH($C$1,Database!$A$1:$C$1,),))</f>
        <v/>
      </c>
      <c r="D3776">
        <f>IFERROR(Table7[[#This Row],[United States 10y]]-Table7[[#This Row],[United States 3y]],#N/A)</f>
        <v/>
      </c>
    </row>
    <row r="3777">
      <c r="A3777" s="6">
        <f>Database!$A5862</f>
        <v/>
      </c>
      <c r="B3777">
        <f>IF(VLOOKUP(Table7[[#This Row],[Date]],Database!$A:$C,MATCH($B$1,Database!$A$1:$C$1,),)=0,#N/A,VLOOKUP(Table7[[#This Row],[Date]],Database!$A:$C,MATCH($B$1,Database!$A$1:$C$1,),))</f>
        <v/>
      </c>
      <c r="C3777">
        <f>IF(VLOOKUP(Table7[[#This Row],[Date]],Database!$A:$C,MATCH($C$1,Database!$A$1:$C$1,),)=0,#N/A,VLOOKUP(Table7[[#This Row],[Date]],Database!$A:$C,MATCH($C$1,Database!$A$1:$C$1,),))</f>
        <v/>
      </c>
      <c r="D3777">
        <f>IFERROR(Table7[[#This Row],[United States 10y]]-Table7[[#This Row],[United States 3y]],#N/A)</f>
        <v/>
      </c>
    </row>
    <row r="3778">
      <c r="A3778" s="6">
        <f>Database!$A5863</f>
        <v/>
      </c>
      <c r="B3778">
        <f>IF(VLOOKUP(Table7[[#This Row],[Date]],Database!$A:$C,MATCH($B$1,Database!$A$1:$C$1,),)=0,#N/A,VLOOKUP(Table7[[#This Row],[Date]],Database!$A:$C,MATCH($B$1,Database!$A$1:$C$1,),))</f>
        <v/>
      </c>
      <c r="C3778">
        <f>IF(VLOOKUP(Table7[[#This Row],[Date]],Database!$A:$C,MATCH($C$1,Database!$A$1:$C$1,),)=0,#N/A,VLOOKUP(Table7[[#This Row],[Date]],Database!$A:$C,MATCH($C$1,Database!$A$1:$C$1,),))</f>
        <v/>
      </c>
      <c r="D3778">
        <f>IFERROR(Table7[[#This Row],[United States 10y]]-Table7[[#This Row],[United States 3y]],#N/A)</f>
        <v/>
      </c>
    </row>
    <row r="3779">
      <c r="A3779" s="6">
        <f>Database!$A5864</f>
        <v/>
      </c>
      <c r="B3779">
        <f>IF(VLOOKUP(Table7[[#This Row],[Date]],Database!$A:$C,MATCH($B$1,Database!$A$1:$C$1,),)=0,#N/A,VLOOKUP(Table7[[#This Row],[Date]],Database!$A:$C,MATCH($B$1,Database!$A$1:$C$1,),))</f>
        <v/>
      </c>
      <c r="C3779">
        <f>IF(VLOOKUP(Table7[[#This Row],[Date]],Database!$A:$C,MATCH($C$1,Database!$A$1:$C$1,),)=0,#N/A,VLOOKUP(Table7[[#This Row],[Date]],Database!$A:$C,MATCH($C$1,Database!$A$1:$C$1,),))</f>
        <v/>
      </c>
      <c r="D3779">
        <f>IFERROR(Table7[[#This Row],[United States 10y]]-Table7[[#This Row],[United States 3y]],#N/A)</f>
        <v/>
      </c>
    </row>
    <row r="3780">
      <c r="A3780" s="6">
        <f>Database!$A5865</f>
        <v/>
      </c>
      <c r="B3780">
        <f>IF(VLOOKUP(Table7[[#This Row],[Date]],Database!$A:$C,MATCH($B$1,Database!$A$1:$C$1,),)=0,#N/A,VLOOKUP(Table7[[#This Row],[Date]],Database!$A:$C,MATCH($B$1,Database!$A$1:$C$1,),))</f>
        <v/>
      </c>
      <c r="C3780">
        <f>IF(VLOOKUP(Table7[[#This Row],[Date]],Database!$A:$C,MATCH($C$1,Database!$A$1:$C$1,),)=0,#N/A,VLOOKUP(Table7[[#This Row],[Date]],Database!$A:$C,MATCH($C$1,Database!$A$1:$C$1,),))</f>
        <v/>
      </c>
      <c r="D3780">
        <f>IFERROR(Table7[[#This Row],[United States 10y]]-Table7[[#This Row],[United States 3y]],#N/A)</f>
        <v/>
      </c>
    </row>
    <row r="3781">
      <c r="A3781" s="6">
        <f>Database!$A5866</f>
        <v/>
      </c>
      <c r="B3781">
        <f>IF(VLOOKUP(Table7[[#This Row],[Date]],Database!$A:$C,MATCH($B$1,Database!$A$1:$C$1,),)=0,#N/A,VLOOKUP(Table7[[#This Row],[Date]],Database!$A:$C,MATCH($B$1,Database!$A$1:$C$1,),))</f>
        <v/>
      </c>
      <c r="C3781">
        <f>IF(VLOOKUP(Table7[[#This Row],[Date]],Database!$A:$C,MATCH($C$1,Database!$A$1:$C$1,),)=0,#N/A,VLOOKUP(Table7[[#This Row],[Date]],Database!$A:$C,MATCH($C$1,Database!$A$1:$C$1,),))</f>
        <v/>
      </c>
      <c r="D3781">
        <f>IFERROR(Table7[[#This Row],[United States 10y]]-Table7[[#This Row],[United States 3y]],#N/A)</f>
        <v/>
      </c>
    </row>
    <row r="3782">
      <c r="A3782" s="6">
        <f>Database!$A5867</f>
        <v/>
      </c>
      <c r="B3782">
        <f>IF(VLOOKUP(Table7[[#This Row],[Date]],Database!$A:$C,MATCH($B$1,Database!$A$1:$C$1,),)=0,#N/A,VLOOKUP(Table7[[#This Row],[Date]],Database!$A:$C,MATCH($B$1,Database!$A$1:$C$1,),))</f>
        <v/>
      </c>
      <c r="C3782">
        <f>IF(VLOOKUP(Table7[[#This Row],[Date]],Database!$A:$C,MATCH($C$1,Database!$A$1:$C$1,),)=0,#N/A,VLOOKUP(Table7[[#This Row],[Date]],Database!$A:$C,MATCH($C$1,Database!$A$1:$C$1,),))</f>
        <v/>
      </c>
      <c r="D3782">
        <f>IFERROR(Table7[[#This Row],[United States 10y]]-Table7[[#This Row],[United States 3y]],#N/A)</f>
        <v/>
      </c>
    </row>
    <row r="3783">
      <c r="A3783" s="6">
        <f>Database!$A5868</f>
        <v/>
      </c>
      <c r="B3783">
        <f>IF(VLOOKUP(Table7[[#This Row],[Date]],Database!$A:$C,MATCH($B$1,Database!$A$1:$C$1,),)=0,#N/A,VLOOKUP(Table7[[#This Row],[Date]],Database!$A:$C,MATCH($B$1,Database!$A$1:$C$1,),))</f>
        <v/>
      </c>
      <c r="C3783">
        <f>IF(VLOOKUP(Table7[[#This Row],[Date]],Database!$A:$C,MATCH($C$1,Database!$A$1:$C$1,),)=0,#N/A,VLOOKUP(Table7[[#This Row],[Date]],Database!$A:$C,MATCH($C$1,Database!$A$1:$C$1,),))</f>
        <v/>
      </c>
      <c r="D3783">
        <f>IFERROR(Table7[[#This Row],[United States 10y]]-Table7[[#This Row],[United States 3y]],#N/A)</f>
        <v/>
      </c>
    </row>
    <row r="3784">
      <c r="A3784" s="6">
        <f>Database!$A5869</f>
        <v/>
      </c>
      <c r="B3784">
        <f>IF(VLOOKUP(Table7[[#This Row],[Date]],Database!$A:$C,MATCH($B$1,Database!$A$1:$C$1,),)=0,#N/A,VLOOKUP(Table7[[#This Row],[Date]],Database!$A:$C,MATCH($B$1,Database!$A$1:$C$1,),))</f>
        <v/>
      </c>
      <c r="C3784">
        <f>IF(VLOOKUP(Table7[[#This Row],[Date]],Database!$A:$C,MATCH($C$1,Database!$A$1:$C$1,),)=0,#N/A,VLOOKUP(Table7[[#This Row],[Date]],Database!$A:$C,MATCH($C$1,Database!$A$1:$C$1,),))</f>
        <v/>
      </c>
      <c r="D3784">
        <f>IFERROR(Table7[[#This Row],[United States 10y]]-Table7[[#This Row],[United States 3y]],#N/A)</f>
        <v/>
      </c>
    </row>
    <row r="3785">
      <c r="A3785" s="6">
        <f>Database!$A5870</f>
        <v/>
      </c>
      <c r="B3785">
        <f>IF(VLOOKUP(Table7[[#This Row],[Date]],Database!$A:$C,MATCH($B$1,Database!$A$1:$C$1,),)=0,#N/A,VLOOKUP(Table7[[#This Row],[Date]],Database!$A:$C,MATCH($B$1,Database!$A$1:$C$1,),))</f>
        <v/>
      </c>
      <c r="C3785">
        <f>IF(VLOOKUP(Table7[[#This Row],[Date]],Database!$A:$C,MATCH($C$1,Database!$A$1:$C$1,),)=0,#N/A,VLOOKUP(Table7[[#This Row],[Date]],Database!$A:$C,MATCH($C$1,Database!$A$1:$C$1,),))</f>
        <v/>
      </c>
      <c r="D3785">
        <f>IFERROR(Table7[[#This Row],[United States 10y]]-Table7[[#This Row],[United States 3y]],#N/A)</f>
        <v/>
      </c>
    </row>
    <row r="3786">
      <c r="A3786" s="6">
        <f>Database!$A5871</f>
        <v/>
      </c>
      <c r="B3786">
        <f>IF(VLOOKUP(Table7[[#This Row],[Date]],Database!$A:$C,MATCH($B$1,Database!$A$1:$C$1,),)=0,#N/A,VLOOKUP(Table7[[#This Row],[Date]],Database!$A:$C,MATCH($B$1,Database!$A$1:$C$1,),))</f>
        <v/>
      </c>
      <c r="C3786">
        <f>IF(VLOOKUP(Table7[[#This Row],[Date]],Database!$A:$C,MATCH($C$1,Database!$A$1:$C$1,),)=0,#N/A,VLOOKUP(Table7[[#This Row],[Date]],Database!$A:$C,MATCH($C$1,Database!$A$1:$C$1,),))</f>
        <v/>
      </c>
      <c r="D3786">
        <f>IFERROR(Table7[[#This Row],[United States 10y]]-Table7[[#This Row],[United States 3y]],#N/A)</f>
        <v/>
      </c>
    </row>
    <row r="3787">
      <c r="A3787" s="6">
        <f>Database!$A5872</f>
        <v/>
      </c>
      <c r="B3787">
        <f>IF(VLOOKUP(Table7[[#This Row],[Date]],Database!$A:$C,MATCH($B$1,Database!$A$1:$C$1,),)=0,#N/A,VLOOKUP(Table7[[#This Row],[Date]],Database!$A:$C,MATCH($B$1,Database!$A$1:$C$1,),))</f>
        <v/>
      </c>
      <c r="C3787">
        <f>IF(VLOOKUP(Table7[[#This Row],[Date]],Database!$A:$C,MATCH($C$1,Database!$A$1:$C$1,),)=0,#N/A,VLOOKUP(Table7[[#This Row],[Date]],Database!$A:$C,MATCH($C$1,Database!$A$1:$C$1,),))</f>
        <v/>
      </c>
      <c r="D3787">
        <f>IFERROR(Table7[[#This Row],[United States 10y]]-Table7[[#This Row],[United States 3y]],#N/A)</f>
        <v/>
      </c>
    </row>
    <row r="3788">
      <c r="A3788" s="6">
        <f>Database!$A5873</f>
        <v/>
      </c>
      <c r="B3788">
        <f>IF(VLOOKUP(Table7[[#This Row],[Date]],Database!$A:$C,MATCH($B$1,Database!$A$1:$C$1,),)=0,#N/A,VLOOKUP(Table7[[#This Row],[Date]],Database!$A:$C,MATCH($B$1,Database!$A$1:$C$1,),))</f>
        <v/>
      </c>
      <c r="C3788">
        <f>IF(VLOOKUP(Table7[[#This Row],[Date]],Database!$A:$C,MATCH($C$1,Database!$A$1:$C$1,),)=0,#N/A,VLOOKUP(Table7[[#This Row],[Date]],Database!$A:$C,MATCH($C$1,Database!$A$1:$C$1,),))</f>
        <v/>
      </c>
      <c r="D3788">
        <f>IFERROR(Table7[[#This Row],[United States 10y]]-Table7[[#This Row],[United States 3y]],#N/A)</f>
        <v/>
      </c>
    </row>
    <row r="3789">
      <c r="A3789" s="6">
        <f>Database!$A5874</f>
        <v/>
      </c>
      <c r="B3789">
        <f>IF(VLOOKUP(Table7[[#This Row],[Date]],Database!$A:$C,MATCH($B$1,Database!$A$1:$C$1,),)=0,#N/A,VLOOKUP(Table7[[#This Row],[Date]],Database!$A:$C,MATCH($B$1,Database!$A$1:$C$1,),))</f>
        <v/>
      </c>
      <c r="C3789">
        <f>IF(VLOOKUP(Table7[[#This Row],[Date]],Database!$A:$C,MATCH($C$1,Database!$A$1:$C$1,),)=0,#N/A,VLOOKUP(Table7[[#This Row],[Date]],Database!$A:$C,MATCH($C$1,Database!$A$1:$C$1,),))</f>
        <v/>
      </c>
      <c r="D3789">
        <f>IFERROR(Table7[[#This Row],[United States 10y]]-Table7[[#This Row],[United States 3y]],#N/A)</f>
        <v/>
      </c>
    </row>
    <row r="3790">
      <c r="A3790" s="6">
        <f>Database!$A5875</f>
        <v/>
      </c>
      <c r="B3790">
        <f>IF(VLOOKUP(Table7[[#This Row],[Date]],Database!$A:$C,MATCH($B$1,Database!$A$1:$C$1,),)=0,#N/A,VLOOKUP(Table7[[#This Row],[Date]],Database!$A:$C,MATCH($B$1,Database!$A$1:$C$1,),))</f>
        <v/>
      </c>
      <c r="C3790">
        <f>IF(VLOOKUP(Table7[[#This Row],[Date]],Database!$A:$C,MATCH($C$1,Database!$A$1:$C$1,),)=0,#N/A,VLOOKUP(Table7[[#This Row],[Date]],Database!$A:$C,MATCH($C$1,Database!$A$1:$C$1,),))</f>
        <v/>
      </c>
      <c r="D3790">
        <f>IFERROR(Table7[[#This Row],[United States 10y]]-Table7[[#This Row],[United States 3y]],#N/A)</f>
        <v/>
      </c>
    </row>
    <row r="3791">
      <c r="A3791" s="6">
        <f>Database!$A5876</f>
        <v/>
      </c>
      <c r="B3791">
        <f>IF(VLOOKUP(Table7[[#This Row],[Date]],Database!$A:$C,MATCH($B$1,Database!$A$1:$C$1,),)=0,#N/A,VLOOKUP(Table7[[#This Row],[Date]],Database!$A:$C,MATCH($B$1,Database!$A$1:$C$1,),))</f>
        <v/>
      </c>
      <c r="C3791">
        <f>IF(VLOOKUP(Table7[[#This Row],[Date]],Database!$A:$C,MATCH($C$1,Database!$A$1:$C$1,),)=0,#N/A,VLOOKUP(Table7[[#This Row],[Date]],Database!$A:$C,MATCH($C$1,Database!$A$1:$C$1,),))</f>
        <v/>
      </c>
      <c r="D3791">
        <f>IFERROR(Table7[[#This Row],[United States 10y]]-Table7[[#This Row],[United States 3y]],#N/A)</f>
        <v/>
      </c>
    </row>
    <row r="3792">
      <c r="A3792" s="6">
        <f>Database!$A5877</f>
        <v/>
      </c>
      <c r="B3792">
        <f>IF(VLOOKUP(Table7[[#This Row],[Date]],Database!$A:$C,MATCH($B$1,Database!$A$1:$C$1,),)=0,#N/A,VLOOKUP(Table7[[#This Row],[Date]],Database!$A:$C,MATCH($B$1,Database!$A$1:$C$1,),))</f>
        <v/>
      </c>
      <c r="C3792">
        <f>IF(VLOOKUP(Table7[[#This Row],[Date]],Database!$A:$C,MATCH($C$1,Database!$A$1:$C$1,),)=0,#N/A,VLOOKUP(Table7[[#This Row],[Date]],Database!$A:$C,MATCH($C$1,Database!$A$1:$C$1,),))</f>
        <v/>
      </c>
      <c r="D3792">
        <f>IFERROR(Table7[[#This Row],[United States 10y]]-Table7[[#This Row],[United States 3y]],#N/A)</f>
        <v/>
      </c>
    </row>
    <row r="3793">
      <c r="A3793" s="6">
        <f>Database!$A5878</f>
        <v/>
      </c>
      <c r="B3793">
        <f>IF(VLOOKUP(Table7[[#This Row],[Date]],Database!$A:$C,MATCH($B$1,Database!$A$1:$C$1,),)=0,#N/A,VLOOKUP(Table7[[#This Row],[Date]],Database!$A:$C,MATCH($B$1,Database!$A$1:$C$1,),))</f>
        <v/>
      </c>
      <c r="C3793">
        <f>IF(VLOOKUP(Table7[[#This Row],[Date]],Database!$A:$C,MATCH($C$1,Database!$A$1:$C$1,),)=0,#N/A,VLOOKUP(Table7[[#This Row],[Date]],Database!$A:$C,MATCH($C$1,Database!$A$1:$C$1,),))</f>
        <v/>
      </c>
      <c r="D3793">
        <f>IFERROR(Table7[[#This Row],[United States 10y]]-Table7[[#This Row],[United States 3y]],#N/A)</f>
        <v/>
      </c>
    </row>
    <row r="3794">
      <c r="A3794" s="6">
        <f>Database!$A5879</f>
        <v/>
      </c>
      <c r="B3794">
        <f>IF(VLOOKUP(Table7[[#This Row],[Date]],Database!$A:$C,MATCH($B$1,Database!$A$1:$C$1,),)=0,#N/A,VLOOKUP(Table7[[#This Row],[Date]],Database!$A:$C,MATCH($B$1,Database!$A$1:$C$1,),))</f>
        <v/>
      </c>
      <c r="C3794">
        <f>IF(VLOOKUP(Table7[[#This Row],[Date]],Database!$A:$C,MATCH($C$1,Database!$A$1:$C$1,),)=0,#N/A,VLOOKUP(Table7[[#This Row],[Date]],Database!$A:$C,MATCH($C$1,Database!$A$1:$C$1,),))</f>
        <v/>
      </c>
      <c r="D3794">
        <f>IFERROR(Table7[[#This Row],[United States 10y]]-Table7[[#This Row],[United States 3y]],#N/A)</f>
        <v/>
      </c>
    </row>
    <row r="3795">
      <c r="A3795" s="6">
        <f>Database!$A5880</f>
        <v/>
      </c>
      <c r="B3795">
        <f>IF(VLOOKUP(Table7[[#This Row],[Date]],Database!$A:$C,MATCH($B$1,Database!$A$1:$C$1,),)=0,#N/A,VLOOKUP(Table7[[#This Row],[Date]],Database!$A:$C,MATCH($B$1,Database!$A$1:$C$1,),))</f>
        <v/>
      </c>
      <c r="C3795">
        <f>IF(VLOOKUP(Table7[[#This Row],[Date]],Database!$A:$C,MATCH($C$1,Database!$A$1:$C$1,),)=0,#N/A,VLOOKUP(Table7[[#This Row],[Date]],Database!$A:$C,MATCH($C$1,Database!$A$1:$C$1,),))</f>
        <v/>
      </c>
      <c r="D3795">
        <f>IFERROR(Table7[[#This Row],[United States 10y]]-Table7[[#This Row],[United States 3y]],#N/A)</f>
        <v/>
      </c>
    </row>
    <row r="3796">
      <c r="A3796" s="6">
        <f>Database!$A5881</f>
        <v/>
      </c>
      <c r="B3796">
        <f>IF(VLOOKUP(Table7[[#This Row],[Date]],Database!$A:$C,MATCH($B$1,Database!$A$1:$C$1,),)=0,#N/A,VLOOKUP(Table7[[#This Row],[Date]],Database!$A:$C,MATCH($B$1,Database!$A$1:$C$1,),))</f>
        <v/>
      </c>
      <c r="C3796">
        <f>IF(VLOOKUP(Table7[[#This Row],[Date]],Database!$A:$C,MATCH($C$1,Database!$A$1:$C$1,),)=0,#N/A,VLOOKUP(Table7[[#This Row],[Date]],Database!$A:$C,MATCH($C$1,Database!$A$1:$C$1,),))</f>
        <v/>
      </c>
      <c r="D3796">
        <f>IFERROR(Table7[[#This Row],[United States 10y]]-Table7[[#This Row],[United States 3y]],#N/A)</f>
        <v/>
      </c>
    </row>
    <row r="3797">
      <c r="A3797" s="6">
        <f>Database!$A5882</f>
        <v/>
      </c>
      <c r="B3797">
        <f>IF(VLOOKUP(Table7[[#This Row],[Date]],Database!$A:$C,MATCH($B$1,Database!$A$1:$C$1,),)=0,#N/A,VLOOKUP(Table7[[#This Row],[Date]],Database!$A:$C,MATCH($B$1,Database!$A$1:$C$1,),))</f>
        <v/>
      </c>
      <c r="C3797">
        <f>IF(VLOOKUP(Table7[[#This Row],[Date]],Database!$A:$C,MATCH($C$1,Database!$A$1:$C$1,),)=0,#N/A,VLOOKUP(Table7[[#This Row],[Date]],Database!$A:$C,MATCH($C$1,Database!$A$1:$C$1,),))</f>
        <v/>
      </c>
      <c r="D3797">
        <f>IFERROR(Table7[[#This Row],[United States 10y]]-Table7[[#This Row],[United States 3y]],#N/A)</f>
        <v/>
      </c>
    </row>
    <row r="3798">
      <c r="A3798" s="6">
        <f>Database!$A5883</f>
        <v/>
      </c>
      <c r="B3798">
        <f>IF(VLOOKUP(Table7[[#This Row],[Date]],Database!$A:$C,MATCH($B$1,Database!$A$1:$C$1,),)=0,#N/A,VLOOKUP(Table7[[#This Row],[Date]],Database!$A:$C,MATCH($B$1,Database!$A$1:$C$1,),))</f>
        <v/>
      </c>
      <c r="C3798">
        <f>IF(VLOOKUP(Table7[[#This Row],[Date]],Database!$A:$C,MATCH($C$1,Database!$A$1:$C$1,),)=0,#N/A,VLOOKUP(Table7[[#This Row],[Date]],Database!$A:$C,MATCH($C$1,Database!$A$1:$C$1,),))</f>
        <v/>
      </c>
      <c r="D3798">
        <f>IFERROR(Table7[[#This Row],[United States 10y]]-Table7[[#This Row],[United States 3y]],#N/A)</f>
        <v/>
      </c>
    </row>
    <row r="3799">
      <c r="A3799" s="6">
        <f>Database!$A5884</f>
        <v/>
      </c>
      <c r="B3799">
        <f>IF(VLOOKUP(Table7[[#This Row],[Date]],Database!$A:$C,MATCH($B$1,Database!$A$1:$C$1,),)=0,#N/A,VLOOKUP(Table7[[#This Row],[Date]],Database!$A:$C,MATCH($B$1,Database!$A$1:$C$1,),))</f>
        <v/>
      </c>
      <c r="C3799">
        <f>IF(VLOOKUP(Table7[[#This Row],[Date]],Database!$A:$C,MATCH($C$1,Database!$A$1:$C$1,),)=0,#N/A,VLOOKUP(Table7[[#This Row],[Date]],Database!$A:$C,MATCH($C$1,Database!$A$1:$C$1,),))</f>
        <v/>
      </c>
      <c r="D3799">
        <f>IFERROR(Table7[[#This Row],[United States 10y]]-Table7[[#This Row],[United States 3y]],#N/A)</f>
        <v/>
      </c>
    </row>
    <row r="3800">
      <c r="A3800" s="6">
        <f>Database!$A5885</f>
        <v/>
      </c>
      <c r="B3800">
        <f>IF(VLOOKUP(Table7[[#This Row],[Date]],Database!$A:$C,MATCH($B$1,Database!$A$1:$C$1,),)=0,#N/A,VLOOKUP(Table7[[#This Row],[Date]],Database!$A:$C,MATCH($B$1,Database!$A$1:$C$1,),))</f>
        <v/>
      </c>
      <c r="C3800">
        <f>IF(VLOOKUP(Table7[[#This Row],[Date]],Database!$A:$C,MATCH($C$1,Database!$A$1:$C$1,),)=0,#N/A,VLOOKUP(Table7[[#This Row],[Date]],Database!$A:$C,MATCH($C$1,Database!$A$1:$C$1,),))</f>
        <v/>
      </c>
      <c r="D3800">
        <f>IFERROR(Table7[[#This Row],[United States 10y]]-Table7[[#This Row],[United States 3y]],#N/A)</f>
        <v/>
      </c>
    </row>
    <row r="3801">
      <c r="A3801" s="6">
        <f>Database!$A5886</f>
        <v/>
      </c>
      <c r="B3801">
        <f>IF(VLOOKUP(Table7[[#This Row],[Date]],Database!$A:$C,MATCH($B$1,Database!$A$1:$C$1,),)=0,#N/A,VLOOKUP(Table7[[#This Row],[Date]],Database!$A:$C,MATCH($B$1,Database!$A$1:$C$1,),))</f>
        <v/>
      </c>
      <c r="C3801">
        <f>IF(VLOOKUP(Table7[[#This Row],[Date]],Database!$A:$C,MATCH($C$1,Database!$A$1:$C$1,),)=0,#N/A,VLOOKUP(Table7[[#This Row],[Date]],Database!$A:$C,MATCH($C$1,Database!$A$1:$C$1,),))</f>
        <v/>
      </c>
      <c r="D3801">
        <f>IFERROR(Table7[[#This Row],[United States 10y]]-Table7[[#This Row],[United States 3y]],#N/A)</f>
        <v/>
      </c>
    </row>
    <row r="3802">
      <c r="A3802" s="6">
        <f>Database!$A5887</f>
        <v/>
      </c>
      <c r="B3802">
        <f>IF(VLOOKUP(Table7[[#This Row],[Date]],Database!$A:$C,MATCH($B$1,Database!$A$1:$C$1,),)=0,#N/A,VLOOKUP(Table7[[#This Row],[Date]],Database!$A:$C,MATCH($B$1,Database!$A$1:$C$1,),))</f>
        <v/>
      </c>
      <c r="C3802">
        <f>IF(VLOOKUP(Table7[[#This Row],[Date]],Database!$A:$C,MATCH($C$1,Database!$A$1:$C$1,),)=0,#N/A,VLOOKUP(Table7[[#This Row],[Date]],Database!$A:$C,MATCH($C$1,Database!$A$1:$C$1,),))</f>
        <v/>
      </c>
      <c r="D3802">
        <f>IFERROR(Table7[[#This Row],[United States 10y]]-Table7[[#This Row],[United States 3y]],#N/A)</f>
        <v/>
      </c>
    </row>
    <row r="3803">
      <c r="A3803" s="6">
        <f>Database!$A5888</f>
        <v/>
      </c>
      <c r="B3803">
        <f>IF(VLOOKUP(Table7[[#This Row],[Date]],Database!$A:$C,MATCH($B$1,Database!$A$1:$C$1,),)=0,#N/A,VLOOKUP(Table7[[#This Row],[Date]],Database!$A:$C,MATCH($B$1,Database!$A$1:$C$1,),))</f>
        <v/>
      </c>
      <c r="C3803">
        <f>IF(VLOOKUP(Table7[[#This Row],[Date]],Database!$A:$C,MATCH($C$1,Database!$A$1:$C$1,),)=0,#N/A,VLOOKUP(Table7[[#This Row],[Date]],Database!$A:$C,MATCH($C$1,Database!$A$1:$C$1,),))</f>
        <v/>
      </c>
      <c r="D3803">
        <f>IFERROR(Table7[[#This Row],[United States 10y]]-Table7[[#This Row],[United States 3y]],#N/A)</f>
        <v/>
      </c>
    </row>
    <row r="3804">
      <c r="A3804" s="6">
        <f>Database!$A5889</f>
        <v/>
      </c>
      <c r="B3804">
        <f>IF(VLOOKUP(Table7[[#This Row],[Date]],Database!$A:$C,MATCH($B$1,Database!$A$1:$C$1,),)=0,#N/A,VLOOKUP(Table7[[#This Row],[Date]],Database!$A:$C,MATCH($B$1,Database!$A$1:$C$1,),))</f>
        <v/>
      </c>
      <c r="C3804">
        <f>IF(VLOOKUP(Table7[[#This Row],[Date]],Database!$A:$C,MATCH($C$1,Database!$A$1:$C$1,),)=0,#N/A,VLOOKUP(Table7[[#This Row],[Date]],Database!$A:$C,MATCH($C$1,Database!$A$1:$C$1,),))</f>
        <v/>
      </c>
      <c r="D3804">
        <f>IFERROR(Table7[[#This Row],[United States 10y]]-Table7[[#This Row],[United States 3y]],#N/A)</f>
        <v/>
      </c>
    </row>
    <row r="3805">
      <c r="A3805" s="6">
        <f>Database!$A5890</f>
        <v/>
      </c>
      <c r="B3805">
        <f>IF(VLOOKUP(Table7[[#This Row],[Date]],Database!$A:$C,MATCH($B$1,Database!$A$1:$C$1,),)=0,#N/A,VLOOKUP(Table7[[#This Row],[Date]],Database!$A:$C,MATCH($B$1,Database!$A$1:$C$1,),))</f>
        <v/>
      </c>
      <c r="C3805">
        <f>IF(VLOOKUP(Table7[[#This Row],[Date]],Database!$A:$C,MATCH($C$1,Database!$A$1:$C$1,),)=0,#N/A,VLOOKUP(Table7[[#This Row],[Date]],Database!$A:$C,MATCH($C$1,Database!$A$1:$C$1,),))</f>
        <v/>
      </c>
      <c r="D3805">
        <f>IFERROR(Table7[[#This Row],[United States 10y]]-Table7[[#This Row],[United States 3y]],#N/A)</f>
        <v/>
      </c>
    </row>
    <row r="3806">
      <c r="A3806" s="6">
        <f>Database!$A5891</f>
        <v/>
      </c>
      <c r="B3806">
        <f>IF(VLOOKUP(Table7[[#This Row],[Date]],Database!$A:$C,MATCH($B$1,Database!$A$1:$C$1,),)=0,#N/A,VLOOKUP(Table7[[#This Row],[Date]],Database!$A:$C,MATCH($B$1,Database!$A$1:$C$1,),))</f>
        <v/>
      </c>
      <c r="C3806">
        <f>IF(VLOOKUP(Table7[[#This Row],[Date]],Database!$A:$C,MATCH($C$1,Database!$A$1:$C$1,),)=0,#N/A,VLOOKUP(Table7[[#This Row],[Date]],Database!$A:$C,MATCH($C$1,Database!$A$1:$C$1,),))</f>
        <v/>
      </c>
      <c r="D3806">
        <f>IFERROR(Table7[[#This Row],[United States 10y]]-Table7[[#This Row],[United States 3y]],#N/A)</f>
        <v/>
      </c>
    </row>
    <row r="3807">
      <c r="A3807" s="6">
        <f>Database!$A5892</f>
        <v/>
      </c>
      <c r="B3807">
        <f>IF(VLOOKUP(Table7[[#This Row],[Date]],Database!$A:$C,MATCH($B$1,Database!$A$1:$C$1,),)=0,#N/A,VLOOKUP(Table7[[#This Row],[Date]],Database!$A:$C,MATCH($B$1,Database!$A$1:$C$1,),))</f>
        <v/>
      </c>
      <c r="C3807">
        <f>IF(VLOOKUP(Table7[[#This Row],[Date]],Database!$A:$C,MATCH($C$1,Database!$A$1:$C$1,),)=0,#N/A,VLOOKUP(Table7[[#This Row],[Date]],Database!$A:$C,MATCH($C$1,Database!$A$1:$C$1,),))</f>
        <v/>
      </c>
      <c r="D3807">
        <f>IFERROR(Table7[[#This Row],[United States 10y]]-Table7[[#This Row],[United States 3y]],#N/A)</f>
        <v/>
      </c>
    </row>
    <row r="3808">
      <c r="A3808" s="6">
        <f>Database!$A5893</f>
        <v/>
      </c>
      <c r="B3808">
        <f>IF(VLOOKUP(Table7[[#This Row],[Date]],Database!$A:$C,MATCH($B$1,Database!$A$1:$C$1,),)=0,#N/A,VLOOKUP(Table7[[#This Row],[Date]],Database!$A:$C,MATCH($B$1,Database!$A$1:$C$1,),))</f>
        <v/>
      </c>
      <c r="C3808">
        <f>IF(VLOOKUP(Table7[[#This Row],[Date]],Database!$A:$C,MATCH($C$1,Database!$A$1:$C$1,),)=0,#N/A,VLOOKUP(Table7[[#This Row],[Date]],Database!$A:$C,MATCH($C$1,Database!$A$1:$C$1,),))</f>
        <v/>
      </c>
      <c r="D3808">
        <f>IFERROR(Table7[[#This Row],[United States 10y]]-Table7[[#This Row],[United States 3y]],#N/A)</f>
        <v/>
      </c>
    </row>
    <row r="3809">
      <c r="A3809" s="6">
        <f>Database!$A5894</f>
        <v/>
      </c>
      <c r="B3809">
        <f>IF(VLOOKUP(Table7[[#This Row],[Date]],Database!$A:$C,MATCH($B$1,Database!$A$1:$C$1,),)=0,#N/A,VLOOKUP(Table7[[#This Row],[Date]],Database!$A:$C,MATCH($B$1,Database!$A$1:$C$1,),))</f>
        <v/>
      </c>
      <c r="C3809">
        <f>IF(VLOOKUP(Table7[[#This Row],[Date]],Database!$A:$C,MATCH($C$1,Database!$A$1:$C$1,),)=0,#N/A,VLOOKUP(Table7[[#This Row],[Date]],Database!$A:$C,MATCH($C$1,Database!$A$1:$C$1,),))</f>
        <v/>
      </c>
      <c r="D3809">
        <f>IFERROR(Table7[[#This Row],[United States 10y]]-Table7[[#This Row],[United States 3y]],#N/A)</f>
        <v/>
      </c>
    </row>
    <row r="3810">
      <c r="A3810" s="6">
        <f>Database!$A5895</f>
        <v/>
      </c>
      <c r="B3810">
        <f>IF(VLOOKUP(Table7[[#This Row],[Date]],Database!$A:$C,MATCH($B$1,Database!$A$1:$C$1,),)=0,#N/A,VLOOKUP(Table7[[#This Row],[Date]],Database!$A:$C,MATCH($B$1,Database!$A$1:$C$1,),))</f>
        <v/>
      </c>
      <c r="C3810">
        <f>IF(VLOOKUP(Table7[[#This Row],[Date]],Database!$A:$C,MATCH($C$1,Database!$A$1:$C$1,),)=0,#N/A,VLOOKUP(Table7[[#This Row],[Date]],Database!$A:$C,MATCH($C$1,Database!$A$1:$C$1,),))</f>
        <v/>
      </c>
      <c r="D3810">
        <f>IFERROR(Table7[[#This Row],[United States 10y]]-Table7[[#This Row],[United States 3y]],#N/A)</f>
        <v/>
      </c>
    </row>
    <row r="3811">
      <c r="A3811" s="6">
        <f>Database!$A5896</f>
        <v/>
      </c>
      <c r="B3811">
        <f>IF(VLOOKUP(Table7[[#This Row],[Date]],Database!$A:$C,MATCH($B$1,Database!$A$1:$C$1,),)=0,#N/A,VLOOKUP(Table7[[#This Row],[Date]],Database!$A:$C,MATCH($B$1,Database!$A$1:$C$1,),))</f>
        <v/>
      </c>
      <c r="C3811">
        <f>IF(VLOOKUP(Table7[[#This Row],[Date]],Database!$A:$C,MATCH($C$1,Database!$A$1:$C$1,),)=0,#N/A,VLOOKUP(Table7[[#This Row],[Date]],Database!$A:$C,MATCH($C$1,Database!$A$1:$C$1,),))</f>
        <v/>
      </c>
      <c r="D3811">
        <f>IFERROR(Table7[[#This Row],[United States 10y]]-Table7[[#This Row],[United States 3y]],#N/A)</f>
        <v/>
      </c>
    </row>
    <row r="3812">
      <c r="A3812" s="6">
        <f>Database!$A5897</f>
        <v/>
      </c>
      <c r="B3812">
        <f>IF(VLOOKUP(Table7[[#This Row],[Date]],Database!$A:$C,MATCH($B$1,Database!$A$1:$C$1,),)=0,#N/A,VLOOKUP(Table7[[#This Row],[Date]],Database!$A:$C,MATCH($B$1,Database!$A$1:$C$1,),))</f>
        <v/>
      </c>
      <c r="C3812">
        <f>IF(VLOOKUP(Table7[[#This Row],[Date]],Database!$A:$C,MATCH($C$1,Database!$A$1:$C$1,),)=0,#N/A,VLOOKUP(Table7[[#This Row],[Date]],Database!$A:$C,MATCH($C$1,Database!$A$1:$C$1,),))</f>
        <v/>
      </c>
      <c r="D3812">
        <f>IFERROR(Table7[[#This Row],[United States 10y]]-Table7[[#This Row],[United States 3y]],#N/A)</f>
        <v/>
      </c>
    </row>
    <row r="3813">
      <c r="A3813" s="6">
        <f>Database!$A5898</f>
        <v/>
      </c>
      <c r="B3813">
        <f>IF(VLOOKUP(Table7[[#This Row],[Date]],Database!$A:$C,MATCH($B$1,Database!$A$1:$C$1,),)=0,#N/A,VLOOKUP(Table7[[#This Row],[Date]],Database!$A:$C,MATCH($B$1,Database!$A$1:$C$1,),))</f>
        <v/>
      </c>
      <c r="C3813">
        <f>IF(VLOOKUP(Table7[[#This Row],[Date]],Database!$A:$C,MATCH($C$1,Database!$A$1:$C$1,),)=0,#N/A,VLOOKUP(Table7[[#This Row],[Date]],Database!$A:$C,MATCH($C$1,Database!$A$1:$C$1,),))</f>
        <v/>
      </c>
      <c r="D3813">
        <f>IFERROR(Table7[[#This Row],[United States 10y]]-Table7[[#This Row],[United States 3y]],#N/A)</f>
        <v/>
      </c>
    </row>
    <row r="3814">
      <c r="A3814" s="6">
        <f>Database!$A5899</f>
        <v/>
      </c>
      <c r="B3814">
        <f>IF(VLOOKUP(Table7[[#This Row],[Date]],Database!$A:$C,MATCH($B$1,Database!$A$1:$C$1,),)=0,#N/A,VLOOKUP(Table7[[#This Row],[Date]],Database!$A:$C,MATCH($B$1,Database!$A$1:$C$1,),))</f>
        <v/>
      </c>
      <c r="C3814">
        <f>IF(VLOOKUP(Table7[[#This Row],[Date]],Database!$A:$C,MATCH($C$1,Database!$A$1:$C$1,),)=0,#N/A,VLOOKUP(Table7[[#This Row],[Date]],Database!$A:$C,MATCH($C$1,Database!$A$1:$C$1,),))</f>
        <v/>
      </c>
      <c r="D3814">
        <f>IFERROR(Table7[[#This Row],[United States 10y]]-Table7[[#This Row],[United States 3y]],#N/A)</f>
        <v/>
      </c>
    </row>
    <row r="3815">
      <c r="A3815" s="6">
        <f>Database!$A5900</f>
        <v/>
      </c>
      <c r="B3815">
        <f>IF(VLOOKUP(Table7[[#This Row],[Date]],Database!$A:$C,MATCH($B$1,Database!$A$1:$C$1,),)=0,#N/A,VLOOKUP(Table7[[#This Row],[Date]],Database!$A:$C,MATCH($B$1,Database!$A$1:$C$1,),))</f>
        <v/>
      </c>
      <c r="C3815">
        <f>IF(VLOOKUP(Table7[[#This Row],[Date]],Database!$A:$C,MATCH($C$1,Database!$A$1:$C$1,),)=0,#N/A,VLOOKUP(Table7[[#This Row],[Date]],Database!$A:$C,MATCH($C$1,Database!$A$1:$C$1,),))</f>
        <v/>
      </c>
      <c r="D3815">
        <f>IFERROR(Table7[[#This Row],[United States 10y]]-Table7[[#This Row],[United States 3y]],#N/A)</f>
        <v/>
      </c>
    </row>
    <row r="3816">
      <c r="A3816" s="6">
        <f>Database!$A5901</f>
        <v/>
      </c>
      <c r="B3816">
        <f>IF(VLOOKUP(Table7[[#This Row],[Date]],Database!$A:$C,MATCH($B$1,Database!$A$1:$C$1,),)=0,#N/A,VLOOKUP(Table7[[#This Row],[Date]],Database!$A:$C,MATCH($B$1,Database!$A$1:$C$1,),))</f>
        <v/>
      </c>
      <c r="C3816">
        <f>IF(VLOOKUP(Table7[[#This Row],[Date]],Database!$A:$C,MATCH($C$1,Database!$A$1:$C$1,),)=0,#N/A,VLOOKUP(Table7[[#This Row],[Date]],Database!$A:$C,MATCH($C$1,Database!$A$1:$C$1,),))</f>
        <v/>
      </c>
      <c r="D3816">
        <f>IFERROR(Table7[[#This Row],[United States 10y]]-Table7[[#This Row],[United States 3y]],#N/A)</f>
        <v/>
      </c>
    </row>
    <row r="3817">
      <c r="A3817" s="6">
        <f>Database!$A5902</f>
        <v/>
      </c>
      <c r="B3817">
        <f>IF(VLOOKUP(Table7[[#This Row],[Date]],Database!$A:$C,MATCH($B$1,Database!$A$1:$C$1,),)=0,#N/A,VLOOKUP(Table7[[#This Row],[Date]],Database!$A:$C,MATCH($B$1,Database!$A$1:$C$1,),))</f>
        <v/>
      </c>
      <c r="C3817">
        <f>IF(VLOOKUP(Table7[[#This Row],[Date]],Database!$A:$C,MATCH($C$1,Database!$A$1:$C$1,),)=0,#N/A,VLOOKUP(Table7[[#This Row],[Date]],Database!$A:$C,MATCH($C$1,Database!$A$1:$C$1,),))</f>
        <v/>
      </c>
      <c r="D3817">
        <f>IFERROR(Table7[[#This Row],[United States 10y]]-Table7[[#This Row],[United States 3y]],#N/A)</f>
        <v/>
      </c>
    </row>
    <row r="3818">
      <c r="A3818" s="6">
        <f>Database!$A5903</f>
        <v/>
      </c>
      <c r="B3818">
        <f>IF(VLOOKUP(Table7[[#This Row],[Date]],Database!$A:$C,MATCH($B$1,Database!$A$1:$C$1,),)=0,#N/A,VLOOKUP(Table7[[#This Row],[Date]],Database!$A:$C,MATCH($B$1,Database!$A$1:$C$1,),))</f>
        <v/>
      </c>
      <c r="C3818">
        <f>IF(VLOOKUP(Table7[[#This Row],[Date]],Database!$A:$C,MATCH($C$1,Database!$A$1:$C$1,),)=0,#N/A,VLOOKUP(Table7[[#This Row],[Date]],Database!$A:$C,MATCH($C$1,Database!$A$1:$C$1,),))</f>
        <v/>
      </c>
      <c r="D3818">
        <f>IFERROR(Table7[[#This Row],[United States 10y]]-Table7[[#This Row],[United States 3y]],#N/A)</f>
        <v/>
      </c>
    </row>
    <row r="3819">
      <c r="A3819" s="6">
        <f>Database!$A5904</f>
        <v/>
      </c>
      <c r="B3819">
        <f>IF(VLOOKUP(Table7[[#This Row],[Date]],Database!$A:$C,MATCH($B$1,Database!$A$1:$C$1,),)=0,#N/A,VLOOKUP(Table7[[#This Row],[Date]],Database!$A:$C,MATCH($B$1,Database!$A$1:$C$1,),))</f>
        <v/>
      </c>
      <c r="C3819">
        <f>IF(VLOOKUP(Table7[[#This Row],[Date]],Database!$A:$C,MATCH($C$1,Database!$A$1:$C$1,),)=0,#N/A,VLOOKUP(Table7[[#This Row],[Date]],Database!$A:$C,MATCH($C$1,Database!$A$1:$C$1,),))</f>
        <v/>
      </c>
      <c r="D3819">
        <f>IFERROR(Table7[[#This Row],[United States 10y]]-Table7[[#This Row],[United States 3y]],#N/A)</f>
        <v/>
      </c>
    </row>
    <row r="3820">
      <c r="A3820" s="6">
        <f>Database!$A5905</f>
        <v/>
      </c>
      <c r="B3820">
        <f>IF(VLOOKUP(Table7[[#This Row],[Date]],Database!$A:$C,MATCH($B$1,Database!$A$1:$C$1,),)=0,#N/A,VLOOKUP(Table7[[#This Row],[Date]],Database!$A:$C,MATCH($B$1,Database!$A$1:$C$1,),))</f>
        <v/>
      </c>
      <c r="C3820">
        <f>IF(VLOOKUP(Table7[[#This Row],[Date]],Database!$A:$C,MATCH($C$1,Database!$A$1:$C$1,),)=0,#N/A,VLOOKUP(Table7[[#This Row],[Date]],Database!$A:$C,MATCH($C$1,Database!$A$1:$C$1,),))</f>
        <v/>
      </c>
      <c r="D3820">
        <f>IFERROR(Table7[[#This Row],[United States 10y]]-Table7[[#This Row],[United States 3y]],#N/A)</f>
        <v/>
      </c>
    </row>
    <row r="3821">
      <c r="A3821" s="6">
        <f>Database!$A5906</f>
        <v/>
      </c>
      <c r="B3821">
        <f>IF(VLOOKUP(Table7[[#This Row],[Date]],Database!$A:$C,MATCH($B$1,Database!$A$1:$C$1,),)=0,#N/A,VLOOKUP(Table7[[#This Row],[Date]],Database!$A:$C,MATCH($B$1,Database!$A$1:$C$1,),))</f>
        <v/>
      </c>
      <c r="C3821">
        <f>IF(VLOOKUP(Table7[[#This Row],[Date]],Database!$A:$C,MATCH($C$1,Database!$A$1:$C$1,),)=0,#N/A,VLOOKUP(Table7[[#This Row],[Date]],Database!$A:$C,MATCH($C$1,Database!$A$1:$C$1,),))</f>
        <v/>
      </c>
      <c r="D3821">
        <f>IFERROR(Table7[[#This Row],[United States 10y]]-Table7[[#This Row],[United States 3y]],#N/A)</f>
        <v/>
      </c>
    </row>
    <row r="3822">
      <c r="A3822" s="6">
        <f>Database!$A5907</f>
        <v/>
      </c>
      <c r="B3822">
        <f>IF(VLOOKUP(Table7[[#This Row],[Date]],Database!$A:$C,MATCH($B$1,Database!$A$1:$C$1,),)=0,#N/A,VLOOKUP(Table7[[#This Row],[Date]],Database!$A:$C,MATCH($B$1,Database!$A$1:$C$1,),))</f>
        <v/>
      </c>
      <c r="C3822">
        <f>IF(VLOOKUP(Table7[[#This Row],[Date]],Database!$A:$C,MATCH($C$1,Database!$A$1:$C$1,),)=0,#N/A,VLOOKUP(Table7[[#This Row],[Date]],Database!$A:$C,MATCH($C$1,Database!$A$1:$C$1,),))</f>
        <v/>
      </c>
      <c r="D3822">
        <f>IFERROR(Table7[[#This Row],[United States 10y]]-Table7[[#This Row],[United States 3y]],#N/A)</f>
        <v/>
      </c>
    </row>
    <row r="3823">
      <c r="A3823" s="6">
        <f>Database!$A5908</f>
        <v/>
      </c>
      <c r="B3823">
        <f>IF(VLOOKUP(Table7[[#This Row],[Date]],Database!$A:$C,MATCH($B$1,Database!$A$1:$C$1,),)=0,#N/A,VLOOKUP(Table7[[#This Row],[Date]],Database!$A:$C,MATCH($B$1,Database!$A$1:$C$1,),))</f>
        <v/>
      </c>
      <c r="C3823">
        <f>IF(VLOOKUP(Table7[[#This Row],[Date]],Database!$A:$C,MATCH($C$1,Database!$A$1:$C$1,),)=0,#N/A,VLOOKUP(Table7[[#This Row],[Date]],Database!$A:$C,MATCH($C$1,Database!$A$1:$C$1,),))</f>
        <v/>
      </c>
      <c r="D3823">
        <f>IFERROR(Table7[[#This Row],[United States 10y]]-Table7[[#This Row],[United States 3y]],#N/A)</f>
        <v/>
      </c>
    </row>
    <row r="3824">
      <c r="A3824" s="6">
        <f>Database!$A5909</f>
        <v/>
      </c>
      <c r="B3824">
        <f>IF(VLOOKUP(Table7[[#This Row],[Date]],Database!$A:$C,MATCH($B$1,Database!$A$1:$C$1,),)=0,#N/A,VLOOKUP(Table7[[#This Row],[Date]],Database!$A:$C,MATCH($B$1,Database!$A$1:$C$1,),))</f>
        <v/>
      </c>
      <c r="C3824">
        <f>IF(VLOOKUP(Table7[[#This Row],[Date]],Database!$A:$C,MATCH($C$1,Database!$A$1:$C$1,),)=0,#N/A,VLOOKUP(Table7[[#This Row],[Date]],Database!$A:$C,MATCH($C$1,Database!$A$1:$C$1,),))</f>
        <v/>
      </c>
      <c r="D3824">
        <f>IFERROR(Table7[[#This Row],[United States 10y]]-Table7[[#This Row],[United States 3y]],#N/A)</f>
        <v/>
      </c>
    </row>
    <row r="3825">
      <c r="A3825" s="6">
        <f>Database!$A5910</f>
        <v/>
      </c>
      <c r="B3825">
        <f>IF(VLOOKUP(Table7[[#This Row],[Date]],Database!$A:$C,MATCH($B$1,Database!$A$1:$C$1,),)=0,#N/A,VLOOKUP(Table7[[#This Row],[Date]],Database!$A:$C,MATCH($B$1,Database!$A$1:$C$1,),))</f>
        <v/>
      </c>
      <c r="C3825">
        <f>IF(VLOOKUP(Table7[[#This Row],[Date]],Database!$A:$C,MATCH($C$1,Database!$A$1:$C$1,),)=0,#N/A,VLOOKUP(Table7[[#This Row],[Date]],Database!$A:$C,MATCH($C$1,Database!$A$1:$C$1,),))</f>
        <v/>
      </c>
      <c r="D3825">
        <f>IFERROR(Table7[[#This Row],[United States 10y]]-Table7[[#This Row],[United States 3y]],#N/A)</f>
        <v/>
      </c>
    </row>
    <row r="3826">
      <c r="A3826" s="6">
        <f>Database!$A5911</f>
        <v/>
      </c>
      <c r="B3826">
        <f>IF(VLOOKUP(Table7[[#This Row],[Date]],Database!$A:$C,MATCH($B$1,Database!$A$1:$C$1,),)=0,#N/A,VLOOKUP(Table7[[#This Row],[Date]],Database!$A:$C,MATCH($B$1,Database!$A$1:$C$1,),))</f>
        <v/>
      </c>
      <c r="C3826">
        <f>IF(VLOOKUP(Table7[[#This Row],[Date]],Database!$A:$C,MATCH($C$1,Database!$A$1:$C$1,),)=0,#N/A,VLOOKUP(Table7[[#This Row],[Date]],Database!$A:$C,MATCH($C$1,Database!$A$1:$C$1,),))</f>
        <v/>
      </c>
      <c r="D3826">
        <f>IFERROR(Table7[[#This Row],[United States 10y]]-Table7[[#This Row],[United States 3y]],#N/A)</f>
        <v/>
      </c>
    </row>
    <row r="3827">
      <c r="A3827" s="6">
        <f>Database!$A5912</f>
        <v/>
      </c>
      <c r="B3827">
        <f>IF(VLOOKUP(Table7[[#This Row],[Date]],Database!$A:$C,MATCH($B$1,Database!$A$1:$C$1,),)=0,#N/A,VLOOKUP(Table7[[#This Row],[Date]],Database!$A:$C,MATCH($B$1,Database!$A$1:$C$1,),))</f>
        <v/>
      </c>
      <c r="C3827">
        <f>IF(VLOOKUP(Table7[[#This Row],[Date]],Database!$A:$C,MATCH($C$1,Database!$A$1:$C$1,),)=0,#N/A,VLOOKUP(Table7[[#This Row],[Date]],Database!$A:$C,MATCH($C$1,Database!$A$1:$C$1,),))</f>
        <v/>
      </c>
      <c r="D3827">
        <f>IFERROR(Table7[[#This Row],[United States 10y]]-Table7[[#This Row],[United States 3y]],#N/A)</f>
        <v/>
      </c>
    </row>
    <row r="3828">
      <c r="A3828" s="6">
        <f>Database!$A5913</f>
        <v/>
      </c>
      <c r="B3828">
        <f>IF(VLOOKUP(Table7[[#This Row],[Date]],Database!$A:$C,MATCH($B$1,Database!$A$1:$C$1,),)=0,#N/A,VLOOKUP(Table7[[#This Row],[Date]],Database!$A:$C,MATCH($B$1,Database!$A$1:$C$1,),))</f>
        <v/>
      </c>
      <c r="C3828">
        <f>IF(VLOOKUP(Table7[[#This Row],[Date]],Database!$A:$C,MATCH($C$1,Database!$A$1:$C$1,),)=0,#N/A,VLOOKUP(Table7[[#This Row],[Date]],Database!$A:$C,MATCH($C$1,Database!$A$1:$C$1,),))</f>
        <v/>
      </c>
      <c r="D3828">
        <f>IFERROR(Table7[[#This Row],[United States 10y]]-Table7[[#This Row],[United States 3y]],#N/A)</f>
        <v/>
      </c>
    </row>
    <row r="3829">
      <c r="A3829" s="6">
        <f>Database!$A5914</f>
        <v/>
      </c>
      <c r="B3829">
        <f>IF(VLOOKUP(Table7[[#This Row],[Date]],Database!$A:$C,MATCH($B$1,Database!$A$1:$C$1,),)=0,#N/A,VLOOKUP(Table7[[#This Row],[Date]],Database!$A:$C,MATCH($B$1,Database!$A$1:$C$1,),))</f>
        <v/>
      </c>
      <c r="C3829">
        <f>IF(VLOOKUP(Table7[[#This Row],[Date]],Database!$A:$C,MATCH($C$1,Database!$A$1:$C$1,),)=0,#N/A,VLOOKUP(Table7[[#This Row],[Date]],Database!$A:$C,MATCH($C$1,Database!$A$1:$C$1,),))</f>
        <v/>
      </c>
      <c r="D3829">
        <f>IFERROR(Table7[[#This Row],[United States 10y]]-Table7[[#This Row],[United States 3y]],#N/A)</f>
        <v/>
      </c>
    </row>
    <row r="3830">
      <c r="A3830" s="6">
        <f>Database!$A5915</f>
        <v/>
      </c>
      <c r="B3830">
        <f>IF(VLOOKUP(Table7[[#This Row],[Date]],Database!$A:$C,MATCH($B$1,Database!$A$1:$C$1,),)=0,#N/A,VLOOKUP(Table7[[#This Row],[Date]],Database!$A:$C,MATCH($B$1,Database!$A$1:$C$1,),))</f>
        <v/>
      </c>
      <c r="C3830">
        <f>IF(VLOOKUP(Table7[[#This Row],[Date]],Database!$A:$C,MATCH($C$1,Database!$A$1:$C$1,),)=0,#N/A,VLOOKUP(Table7[[#This Row],[Date]],Database!$A:$C,MATCH($C$1,Database!$A$1:$C$1,),))</f>
        <v/>
      </c>
      <c r="D3830">
        <f>IFERROR(Table7[[#This Row],[United States 10y]]-Table7[[#This Row],[United States 3y]],#N/A)</f>
        <v/>
      </c>
    </row>
    <row r="3831">
      <c r="A3831" s="6">
        <f>Database!$A5916</f>
        <v/>
      </c>
      <c r="B3831">
        <f>IF(VLOOKUP(Table7[[#This Row],[Date]],Database!$A:$C,MATCH($B$1,Database!$A$1:$C$1,),)=0,#N/A,VLOOKUP(Table7[[#This Row],[Date]],Database!$A:$C,MATCH($B$1,Database!$A$1:$C$1,),))</f>
        <v/>
      </c>
      <c r="C3831">
        <f>IF(VLOOKUP(Table7[[#This Row],[Date]],Database!$A:$C,MATCH($C$1,Database!$A$1:$C$1,),)=0,#N/A,VLOOKUP(Table7[[#This Row],[Date]],Database!$A:$C,MATCH($C$1,Database!$A$1:$C$1,),))</f>
        <v/>
      </c>
      <c r="D3831">
        <f>IFERROR(Table7[[#This Row],[United States 10y]]-Table7[[#This Row],[United States 3y]],#N/A)</f>
        <v/>
      </c>
    </row>
    <row r="3832">
      <c r="A3832" s="6">
        <f>Database!$A5917</f>
        <v/>
      </c>
      <c r="B3832">
        <f>IF(VLOOKUP(Table7[[#This Row],[Date]],Database!$A:$C,MATCH($B$1,Database!$A$1:$C$1,),)=0,#N/A,VLOOKUP(Table7[[#This Row],[Date]],Database!$A:$C,MATCH($B$1,Database!$A$1:$C$1,),))</f>
        <v/>
      </c>
      <c r="C3832">
        <f>IF(VLOOKUP(Table7[[#This Row],[Date]],Database!$A:$C,MATCH($C$1,Database!$A$1:$C$1,),)=0,#N/A,VLOOKUP(Table7[[#This Row],[Date]],Database!$A:$C,MATCH($C$1,Database!$A$1:$C$1,),))</f>
        <v/>
      </c>
      <c r="D3832">
        <f>IFERROR(Table7[[#This Row],[United States 10y]]-Table7[[#This Row],[United States 3y]],#N/A)</f>
        <v/>
      </c>
    </row>
    <row r="3833">
      <c r="A3833" s="6">
        <f>Database!$A5918</f>
        <v/>
      </c>
      <c r="B3833">
        <f>IF(VLOOKUP(Table7[[#This Row],[Date]],Database!$A:$C,MATCH($B$1,Database!$A$1:$C$1,),)=0,#N/A,VLOOKUP(Table7[[#This Row],[Date]],Database!$A:$C,MATCH($B$1,Database!$A$1:$C$1,),))</f>
        <v/>
      </c>
      <c r="C3833">
        <f>IF(VLOOKUP(Table7[[#This Row],[Date]],Database!$A:$C,MATCH($C$1,Database!$A$1:$C$1,),)=0,#N/A,VLOOKUP(Table7[[#This Row],[Date]],Database!$A:$C,MATCH($C$1,Database!$A$1:$C$1,),))</f>
        <v/>
      </c>
      <c r="D3833">
        <f>IFERROR(Table7[[#This Row],[United States 10y]]-Table7[[#This Row],[United States 3y]],#N/A)</f>
        <v/>
      </c>
    </row>
    <row r="3834">
      <c r="A3834" s="6">
        <f>Database!$A5919</f>
        <v/>
      </c>
      <c r="B3834">
        <f>IF(VLOOKUP(Table7[[#This Row],[Date]],Database!$A:$C,MATCH($B$1,Database!$A$1:$C$1,),)=0,#N/A,VLOOKUP(Table7[[#This Row],[Date]],Database!$A:$C,MATCH($B$1,Database!$A$1:$C$1,),))</f>
        <v/>
      </c>
      <c r="C3834">
        <f>IF(VLOOKUP(Table7[[#This Row],[Date]],Database!$A:$C,MATCH($C$1,Database!$A$1:$C$1,),)=0,#N/A,VLOOKUP(Table7[[#This Row],[Date]],Database!$A:$C,MATCH($C$1,Database!$A$1:$C$1,),))</f>
        <v/>
      </c>
      <c r="D3834">
        <f>IFERROR(Table7[[#This Row],[United States 10y]]-Table7[[#This Row],[United States 3y]],#N/A)</f>
        <v/>
      </c>
    </row>
    <row r="3835">
      <c r="A3835" s="6">
        <f>Database!$A5920</f>
        <v/>
      </c>
      <c r="B3835">
        <f>IF(VLOOKUP(Table7[[#This Row],[Date]],Database!$A:$C,MATCH($B$1,Database!$A$1:$C$1,),)=0,#N/A,VLOOKUP(Table7[[#This Row],[Date]],Database!$A:$C,MATCH($B$1,Database!$A$1:$C$1,),))</f>
        <v/>
      </c>
      <c r="C3835">
        <f>IF(VLOOKUP(Table7[[#This Row],[Date]],Database!$A:$C,MATCH($C$1,Database!$A$1:$C$1,),)=0,#N/A,VLOOKUP(Table7[[#This Row],[Date]],Database!$A:$C,MATCH($C$1,Database!$A$1:$C$1,),))</f>
        <v/>
      </c>
      <c r="D3835">
        <f>IFERROR(Table7[[#This Row],[United States 10y]]-Table7[[#This Row],[United States 3y]],#N/A)</f>
        <v/>
      </c>
    </row>
    <row r="3836">
      <c r="A3836" s="6">
        <f>Database!$A5921</f>
        <v/>
      </c>
      <c r="B3836">
        <f>IF(VLOOKUP(Table7[[#This Row],[Date]],Database!$A:$C,MATCH($B$1,Database!$A$1:$C$1,),)=0,#N/A,VLOOKUP(Table7[[#This Row],[Date]],Database!$A:$C,MATCH($B$1,Database!$A$1:$C$1,),))</f>
        <v/>
      </c>
      <c r="C3836">
        <f>IF(VLOOKUP(Table7[[#This Row],[Date]],Database!$A:$C,MATCH($C$1,Database!$A$1:$C$1,),)=0,#N/A,VLOOKUP(Table7[[#This Row],[Date]],Database!$A:$C,MATCH($C$1,Database!$A$1:$C$1,),))</f>
        <v/>
      </c>
      <c r="D3836">
        <f>IFERROR(Table7[[#This Row],[United States 10y]]-Table7[[#This Row],[United States 3y]],#N/A)</f>
        <v/>
      </c>
    </row>
    <row r="3837">
      <c r="A3837" s="6">
        <f>Database!$A5922</f>
        <v/>
      </c>
      <c r="B3837">
        <f>IF(VLOOKUP(Table7[[#This Row],[Date]],Database!$A:$C,MATCH($B$1,Database!$A$1:$C$1,),)=0,#N/A,VLOOKUP(Table7[[#This Row],[Date]],Database!$A:$C,MATCH($B$1,Database!$A$1:$C$1,),))</f>
        <v/>
      </c>
      <c r="C3837">
        <f>IF(VLOOKUP(Table7[[#This Row],[Date]],Database!$A:$C,MATCH($C$1,Database!$A$1:$C$1,),)=0,#N/A,VLOOKUP(Table7[[#This Row],[Date]],Database!$A:$C,MATCH($C$1,Database!$A$1:$C$1,),))</f>
        <v/>
      </c>
      <c r="D3837">
        <f>IFERROR(Table7[[#This Row],[United States 10y]]-Table7[[#This Row],[United States 3y]],#N/A)</f>
        <v/>
      </c>
    </row>
    <row r="3838">
      <c r="A3838" s="6">
        <f>Database!$A5923</f>
        <v/>
      </c>
      <c r="B3838">
        <f>IF(VLOOKUP(Table7[[#This Row],[Date]],Database!$A:$C,MATCH($B$1,Database!$A$1:$C$1,),)=0,#N/A,VLOOKUP(Table7[[#This Row],[Date]],Database!$A:$C,MATCH($B$1,Database!$A$1:$C$1,),))</f>
        <v/>
      </c>
      <c r="C3838">
        <f>IF(VLOOKUP(Table7[[#This Row],[Date]],Database!$A:$C,MATCH($C$1,Database!$A$1:$C$1,),)=0,#N/A,VLOOKUP(Table7[[#This Row],[Date]],Database!$A:$C,MATCH($C$1,Database!$A$1:$C$1,),))</f>
        <v/>
      </c>
      <c r="D3838">
        <f>IFERROR(Table7[[#This Row],[United States 10y]]-Table7[[#This Row],[United States 3y]],#N/A)</f>
        <v/>
      </c>
    </row>
    <row r="3839">
      <c r="A3839" s="6">
        <f>Database!$A5924</f>
        <v/>
      </c>
      <c r="B3839">
        <f>IF(VLOOKUP(Table7[[#This Row],[Date]],Database!$A:$C,MATCH($B$1,Database!$A$1:$C$1,),)=0,#N/A,VLOOKUP(Table7[[#This Row],[Date]],Database!$A:$C,MATCH($B$1,Database!$A$1:$C$1,),))</f>
        <v/>
      </c>
      <c r="C3839">
        <f>IF(VLOOKUP(Table7[[#This Row],[Date]],Database!$A:$C,MATCH($C$1,Database!$A$1:$C$1,),)=0,#N/A,VLOOKUP(Table7[[#This Row],[Date]],Database!$A:$C,MATCH($C$1,Database!$A$1:$C$1,),))</f>
        <v/>
      </c>
      <c r="D3839">
        <f>IFERROR(Table7[[#This Row],[United States 10y]]-Table7[[#This Row],[United States 3y]],#N/A)</f>
        <v/>
      </c>
    </row>
    <row r="3840">
      <c r="A3840" s="6">
        <f>Database!$A5925</f>
        <v/>
      </c>
      <c r="B3840">
        <f>IF(VLOOKUP(Table7[[#This Row],[Date]],Database!$A:$C,MATCH($B$1,Database!$A$1:$C$1,),)=0,#N/A,VLOOKUP(Table7[[#This Row],[Date]],Database!$A:$C,MATCH($B$1,Database!$A$1:$C$1,),))</f>
        <v/>
      </c>
      <c r="C3840">
        <f>IF(VLOOKUP(Table7[[#This Row],[Date]],Database!$A:$C,MATCH($C$1,Database!$A$1:$C$1,),)=0,#N/A,VLOOKUP(Table7[[#This Row],[Date]],Database!$A:$C,MATCH($C$1,Database!$A$1:$C$1,),))</f>
        <v/>
      </c>
      <c r="D3840">
        <f>IFERROR(Table7[[#This Row],[United States 10y]]-Table7[[#This Row],[United States 3y]],#N/A)</f>
        <v/>
      </c>
    </row>
    <row r="3841">
      <c r="A3841" s="6">
        <f>Database!$A5926</f>
        <v/>
      </c>
      <c r="B3841">
        <f>IF(VLOOKUP(Table7[[#This Row],[Date]],Database!$A:$C,MATCH($B$1,Database!$A$1:$C$1,),)=0,#N/A,VLOOKUP(Table7[[#This Row],[Date]],Database!$A:$C,MATCH($B$1,Database!$A$1:$C$1,),))</f>
        <v/>
      </c>
      <c r="C3841">
        <f>IF(VLOOKUP(Table7[[#This Row],[Date]],Database!$A:$C,MATCH($C$1,Database!$A$1:$C$1,),)=0,#N/A,VLOOKUP(Table7[[#This Row],[Date]],Database!$A:$C,MATCH($C$1,Database!$A$1:$C$1,),))</f>
        <v/>
      </c>
      <c r="D3841">
        <f>IFERROR(Table7[[#This Row],[United States 10y]]-Table7[[#This Row],[United States 3y]],#N/A)</f>
        <v/>
      </c>
    </row>
    <row r="3842">
      <c r="A3842" s="6">
        <f>Database!$A5927</f>
        <v/>
      </c>
      <c r="B3842">
        <f>IF(VLOOKUP(Table7[[#This Row],[Date]],Database!$A:$C,MATCH($B$1,Database!$A$1:$C$1,),)=0,#N/A,VLOOKUP(Table7[[#This Row],[Date]],Database!$A:$C,MATCH($B$1,Database!$A$1:$C$1,),))</f>
        <v/>
      </c>
      <c r="C3842">
        <f>IF(VLOOKUP(Table7[[#This Row],[Date]],Database!$A:$C,MATCH($C$1,Database!$A$1:$C$1,),)=0,#N/A,VLOOKUP(Table7[[#This Row],[Date]],Database!$A:$C,MATCH($C$1,Database!$A$1:$C$1,),))</f>
        <v/>
      </c>
      <c r="D3842">
        <f>IFERROR(Table7[[#This Row],[United States 10y]]-Table7[[#This Row],[United States 3y]],#N/A)</f>
        <v/>
      </c>
    </row>
    <row r="3843">
      <c r="A3843" s="6">
        <f>Database!$A5928</f>
        <v/>
      </c>
      <c r="B3843">
        <f>IF(VLOOKUP(Table7[[#This Row],[Date]],Database!$A:$C,MATCH($B$1,Database!$A$1:$C$1,),)=0,#N/A,VLOOKUP(Table7[[#This Row],[Date]],Database!$A:$C,MATCH($B$1,Database!$A$1:$C$1,),))</f>
        <v/>
      </c>
      <c r="C3843">
        <f>IF(VLOOKUP(Table7[[#This Row],[Date]],Database!$A:$C,MATCH($C$1,Database!$A$1:$C$1,),)=0,#N/A,VLOOKUP(Table7[[#This Row],[Date]],Database!$A:$C,MATCH($C$1,Database!$A$1:$C$1,),))</f>
        <v/>
      </c>
      <c r="D3843">
        <f>IFERROR(Table7[[#This Row],[United States 10y]]-Table7[[#This Row],[United States 3y]],#N/A)</f>
        <v/>
      </c>
    </row>
    <row r="3844">
      <c r="A3844" s="6">
        <f>Database!$A5929</f>
        <v/>
      </c>
      <c r="B3844">
        <f>IF(VLOOKUP(Table7[[#This Row],[Date]],Database!$A:$C,MATCH($B$1,Database!$A$1:$C$1,),)=0,#N/A,VLOOKUP(Table7[[#This Row],[Date]],Database!$A:$C,MATCH($B$1,Database!$A$1:$C$1,),))</f>
        <v/>
      </c>
      <c r="C3844">
        <f>IF(VLOOKUP(Table7[[#This Row],[Date]],Database!$A:$C,MATCH($C$1,Database!$A$1:$C$1,),)=0,#N/A,VLOOKUP(Table7[[#This Row],[Date]],Database!$A:$C,MATCH($C$1,Database!$A$1:$C$1,),))</f>
        <v/>
      </c>
      <c r="D3844">
        <f>IFERROR(Table7[[#This Row],[United States 10y]]-Table7[[#This Row],[United States 3y]],#N/A)</f>
        <v/>
      </c>
    </row>
    <row r="3845">
      <c r="A3845" s="6">
        <f>Database!$A5930</f>
        <v/>
      </c>
      <c r="B3845">
        <f>IF(VLOOKUP(Table7[[#This Row],[Date]],Database!$A:$C,MATCH($B$1,Database!$A$1:$C$1,),)=0,#N/A,VLOOKUP(Table7[[#This Row],[Date]],Database!$A:$C,MATCH($B$1,Database!$A$1:$C$1,),))</f>
        <v/>
      </c>
      <c r="C3845">
        <f>IF(VLOOKUP(Table7[[#This Row],[Date]],Database!$A:$C,MATCH($C$1,Database!$A$1:$C$1,),)=0,#N/A,VLOOKUP(Table7[[#This Row],[Date]],Database!$A:$C,MATCH($C$1,Database!$A$1:$C$1,),))</f>
        <v/>
      </c>
      <c r="D3845">
        <f>IFERROR(Table7[[#This Row],[United States 10y]]-Table7[[#This Row],[United States 3y]],#N/A)</f>
        <v/>
      </c>
    </row>
    <row r="3846">
      <c r="A3846" s="6">
        <f>Database!$A5931</f>
        <v/>
      </c>
      <c r="B3846">
        <f>IF(VLOOKUP(Table7[[#This Row],[Date]],Database!$A:$C,MATCH($B$1,Database!$A$1:$C$1,),)=0,#N/A,VLOOKUP(Table7[[#This Row],[Date]],Database!$A:$C,MATCH($B$1,Database!$A$1:$C$1,),))</f>
        <v/>
      </c>
      <c r="C3846">
        <f>IF(VLOOKUP(Table7[[#This Row],[Date]],Database!$A:$C,MATCH($C$1,Database!$A$1:$C$1,),)=0,#N/A,VLOOKUP(Table7[[#This Row],[Date]],Database!$A:$C,MATCH($C$1,Database!$A$1:$C$1,),))</f>
        <v/>
      </c>
      <c r="D3846">
        <f>IFERROR(Table7[[#This Row],[United States 10y]]-Table7[[#This Row],[United States 3y]],#N/A)</f>
        <v/>
      </c>
    </row>
    <row r="3847">
      <c r="A3847" s="6">
        <f>Database!$A5932</f>
        <v/>
      </c>
      <c r="B3847">
        <f>IF(VLOOKUP(Table7[[#This Row],[Date]],Database!$A:$C,MATCH($B$1,Database!$A$1:$C$1,),)=0,#N/A,VLOOKUP(Table7[[#This Row],[Date]],Database!$A:$C,MATCH($B$1,Database!$A$1:$C$1,),))</f>
        <v/>
      </c>
      <c r="C3847">
        <f>IF(VLOOKUP(Table7[[#This Row],[Date]],Database!$A:$C,MATCH($C$1,Database!$A$1:$C$1,),)=0,#N/A,VLOOKUP(Table7[[#This Row],[Date]],Database!$A:$C,MATCH($C$1,Database!$A$1:$C$1,),))</f>
        <v/>
      </c>
      <c r="D3847">
        <f>IFERROR(Table7[[#This Row],[United States 10y]]-Table7[[#This Row],[United States 3y]],#N/A)</f>
        <v/>
      </c>
    </row>
    <row r="3848">
      <c r="A3848" s="6">
        <f>Database!$A5933</f>
        <v/>
      </c>
      <c r="B3848">
        <f>IF(VLOOKUP(Table7[[#This Row],[Date]],Database!$A:$C,MATCH($B$1,Database!$A$1:$C$1,),)=0,#N/A,VLOOKUP(Table7[[#This Row],[Date]],Database!$A:$C,MATCH($B$1,Database!$A$1:$C$1,),))</f>
        <v/>
      </c>
      <c r="C3848">
        <f>IF(VLOOKUP(Table7[[#This Row],[Date]],Database!$A:$C,MATCH($C$1,Database!$A$1:$C$1,),)=0,#N/A,VLOOKUP(Table7[[#This Row],[Date]],Database!$A:$C,MATCH($C$1,Database!$A$1:$C$1,),))</f>
        <v/>
      </c>
      <c r="D3848">
        <f>IFERROR(Table7[[#This Row],[United States 10y]]-Table7[[#This Row],[United States 3y]],#N/A)</f>
        <v/>
      </c>
    </row>
    <row r="3849">
      <c r="A3849" s="6">
        <f>Database!$A5934</f>
        <v/>
      </c>
      <c r="B3849">
        <f>IF(VLOOKUP(Table7[[#This Row],[Date]],Database!$A:$C,MATCH($B$1,Database!$A$1:$C$1,),)=0,#N/A,VLOOKUP(Table7[[#This Row],[Date]],Database!$A:$C,MATCH($B$1,Database!$A$1:$C$1,),))</f>
        <v/>
      </c>
      <c r="C3849">
        <f>IF(VLOOKUP(Table7[[#This Row],[Date]],Database!$A:$C,MATCH($C$1,Database!$A$1:$C$1,),)=0,#N/A,VLOOKUP(Table7[[#This Row],[Date]],Database!$A:$C,MATCH($C$1,Database!$A$1:$C$1,),))</f>
        <v/>
      </c>
      <c r="D3849">
        <f>IFERROR(Table7[[#This Row],[United States 10y]]-Table7[[#This Row],[United States 3y]],#N/A)</f>
        <v/>
      </c>
    </row>
    <row r="3850">
      <c r="A3850" s="6">
        <f>Database!$A5935</f>
        <v/>
      </c>
      <c r="B3850">
        <f>IF(VLOOKUP(Table7[[#This Row],[Date]],Database!$A:$C,MATCH($B$1,Database!$A$1:$C$1,),)=0,#N/A,VLOOKUP(Table7[[#This Row],[Date]],Database!$A:$C,MATCH($B$1,Database!$A$1:$C$1,),))</f>
        <v/>
      </c>
      <c r="C3850">
        <f>IF(VLOOKUP(Table7[[#This Row],[Date]],Database!$A:$C,MATCH($C$1,Database!$A$1:$C$1,),)=0,#N/A,VLOOKUP(Table7[[#This Row],[Date]],Database!$A:$C,MATCH($C$1,Database!$A$1:$C$1,),))</f>
        <v/>
      </c>
      <c r="D3850">
        <f>IFERROR(Table7[[#This Row],[United States 10y]]-Table7[[#This Row],[United States 3y]],#N/A)</f>
        <v/>
      </c>
    </row>
    <row r="3851">
      <c r="A3851" s="6">
        <f>Database!$A5936</f>
        <v/>
      </c>
      <c r="B3851">
        <f>IF(VLOOKUP(Table7[[#This Row],[Date]],Database!$A:$C,MATCH($B$1,Database!$A$1:$C$1,),)=0,#N/A,VLOOKUP(Table7[[#This Row],[Date]],Database!$A:$C,MATCH($B$1,Database!$A$1:$C$1,),))</f>
        <v/>
      </c>
      <c r="C3851">
        <f>IF(VLOOKUP(Table7[[#This Row],[Date]],Database!$A:$C,MATCH($C$1,Database!$A$1:$C$1,),)=0,#N/A,VLOOKUP(Table7[[#This Row],[Date]],Database!$A:$C,MATCH($C$1,Database!$A$1:$C$1,),))</f>
        <v/>
      </c>
      <c r="D3851">
        <f>IFERROR(Table7[[#This Row],[United States 10y]]-Table7[[#This Row],[United States 3y]],#N/A)</f>
        <v/>
      </c>
    </row>
    <row r="3852">
      <c r="A3852" s="6">
        <f>Database!$A5937</f>
        <v/>
      </c>
      <c r="B3852">
        <f>IF(VLOOKUP(Table7[[#This Row],[Date]],Database!$A:$C,MATCH($B$1,Database!$A$1:$C$1,),)=0,#N/A,VLOOKUP(Table7[[#This Row],[Date]],Database!$A:$C,MATCH($B$1,Database!$A$1:$C$1,),))</f>
        <v/>
      </c>
      <c r="C3852">
        <f>IF(VLOOKUP(Table7[[#This Row],[Date]],Database!$A:$C,MATCH($C$1,Database!$A$1:$C$1,),)=0,#N/A,VLOOKUP(Table7[[#This Row],[Date]],Database!$A:$C,MATCH($C$1,Database!$A$1:$C$1,),))</f>
        <v/>
      </c>
      <c r="D3852">
        <f>IFERROR(Table7[[#This Row],[United States 10y]]-Table7[[#This Row],[United States 3y]],#N/A)</f>
        <v/>
      </c>
    </row>
    <row r="3853">
      <c r="A3853" s="6">
        <f>Database!$A5938</f>
        <v/>
      </c>
      <c r="B3853">
        <f>IF(VLOOKUP(Table7[[#This Row],[Date]],Database!$A:$C,MATCH($B$1,Database!$A$1:$C$1,),)=0,#N/A,VLOOKUP(Table7[[#This Row],[Date]],Database!$A:$C,MATCH($B$1,Database!$A$1:$C$1,),))</f>
        <v/>
      </c>
      <c r="C3853">
        <f>IF(VLOOKUP(Table7[[#This Row],[Date]],Database!$A:$C,MATCH($C$1,Database!$A$1:$C$1,),)=0,#N/A,VLOOKUP(Table7[[#This Row],[Date]],Database!$A:$C,MATCH($C$1,Database!$A$1:$C$1,),))</f>
        <v/>
      </c>
      <c r="D3853">
        <f>IFERROR(Table7[[#This Row],[United States 10y]]-Table7[[#This Row],[United States 3y]],#N/A)</f>
        <v/>
      </c>
    </row>
    <row r="3854">
      <c r="A3854" s="6">
        <f>Database!$A5939</f>
        <v/>
      </c>
      <c r="B3854">
        <f>IF(VLOOKUP(Table7[[#This Row],[Date]],Database!$A:$C,MATCH($B$1,Database!$A$1:$C$1,),)=0,#N/A,VLOOKUP(Table7[[#This Row],[Date]],Database!$A:$C,MATCH($B$1,Database!$A$1:$C$1,),))</f>
        <v/>
      </c>
      <c r="C3854">
        <f>IF(VLOOKUP(Table7[[#This Row],[Date]],Database!$A:$C,MATCH($C$1,Database!$A$1:$C$1,),)=0,#N/A,VLOOKUP(Table7[[#This Row],[Date]],Database!$A:$C,MATCH($C$1,Database!$A$1:$C$1,),))</f>
        <v/>
      </c>
      <c r="D3854">
        <f>IFERROR(Table7[[#This Row],[United States 10y]]-Table7[[#This Row],[United States 3y]],#N/A)</f>
        <v/>
      </c>
    </row>
    <row r="3855">
      <c r="A3855" s="6">
        <f>Database!$A5940</f>
        <v/>
      </c>
      <c r="B3855">
        <f>IF(VLOOKUP(Table7[[#This Row],[Date]],Database!$A:$C,MATCH($B$1,Database!$A$1:$C$1,),)=0,#N/A,VLOOKUP(Table7[[#This Row],[Date]],Database!$A:$C,MATCH($B$1,Database!$A$1:$C$1,),))</f>
        <v/>
      </c>
      <c r="C3855">
        <f>IF(VLOOKUP(Table7[[#This Row],[Date]],Database!$A:$C,MATCH($C$1,Database!$A$1:$C$1,),)=0,#N/A,VLOOKUP(Table7[[#This Row],[Date]],Database!$A:$C,MATCH($C$1,Database!$A$1:$C$1,),))</f>
        <v/>
      </c>
      <c r="D3855">
        <f>IFERROR(Table7[[#This Row],[United States 10y]]-Table7[[#This Row],[United States 3y]],#N/A)</f>
        <v/>
      </c>
    </row>
    <row r="3856">
      <c r="A3856" s="6">
        <f>Database!$A5941</f>
        <v/>
      </c>
      <c r="B3856">
        <f>IF(VLOOKUP(Table7[[#This Row],[Date]],Database!$A:$C,MATCH($B$1,Database!$A$1:$C$1,),)=0,#N/A,VLOOKUP(Table7[[#This Row],[Date]],Database!$A:$C,MATCH($B$1,Database!$A$1:$C$1,),))</f>
        <v/>
      </c>
      <c r="C3856">
        <f>IF(VLOOKUP(Table7[[#This Row],[Date]],Database!$A:$C,MATCH($C$1,Database!$A$1:$C$1,),)=0,#N/A,VLOOKUP(Table7[[#This Row],[Date]],Database!$A:$C,MATCH($C$1,Database!$A$1:$C$1,),))</f>
        <v/>
      </c>
      <c r="D3856">
        <f>IFERROR(Table7[[#This Row],[United States 10y]]-Table7[[#This Row],[United States 3y]],#N/A)</f>
        <v/>
      </c>
    </row>
    <row r="3857">
      <c r="A3857" s="6">
        <f>Database!$A5942</f>
        <v/>
      </c>
      <c r="B3857">
        <f>IF(VLOOKUP(Table7[[#This Row],[Date]],Database!$A:$C,MATCH($B$1,Database!$A$1:$C$1,),)=0,#N/A,VLOOKUP(Table7[[#This Row],[Date]],Database!$A:$C,MATCH($B$1,Database!$A$1:$C$1,),))</f>
        <v/>
      </c>
      <c r="C3857">
        <f>IF(VLOOKUP(Table7[[#This Row],[Date]],Database!$A:$C,MATCH($C$1,Database!$A$1:$C$1,),)=0,#N/A,VLOOKUP(Table7[[#This Row],[Date]],Database!$A:$C,MATCH($C$1,Database!$A$1:$C$1,),))</f>
        <v/>
      </c>
      <c r="D3857">
        <f>IFERROR(Table7[[#This Row],[United States 10y]]-Table7[[#This Row],[United States 3y]],#N/A)</f>
        <v/>
      </c>
    </row>
    <row r="3858">
      <c r="A3858" s="6">
        <f>Database!$A5943</f>
        <v/>
      </c>
      <c r="B3858">
        <f>IF(VLOOKUP(Table7[[#This Row],[Date]],Database!$A:$C,MATCH($B$1,Database!$A$1:$C$1,),)=0,#N/A,VLOOKUP(Table7[[#This Row],[Date]],Database!$A:$C,MATCH($B$1,Database!$A$1:$C$1,),))</f>
        <v/>
      </c>
      <c r="C3858">
        <f>IF(VLOOKUP(Table7[[#This Row],[Date]],Database!$A:$C,MATCH($C$1,Database!$A$1:$C$1,),)=0,#N/A,VLOOKUP(Table7[[#This Row],[Date]],Database!$A:$C,MATCH($C$1,Database!$A$1:$C$1,),))</f>
        <v/>
      </c>
      <c r="D3858">
        <f>IFERROR(Table7[[#This Row],[United States 10y]]-Table7[[#This Row],[United States 3y]],#N/A)</f>
        <v/>
      </c>
    </row>
    <row r="3859">
      <c r="A3859" s="6">
        <f>Database!$A5944</f>
        <v/>
      </c>
      <c r="B3859">
        <f>IF(VLOOKUP(Table7[[#This Row],[Date]],Database!$A:$C,MATCH($B$1,Database!$A$1:$C$1,),)=0,#N/A,VLOOKUP(Table7[[#This Row],[Date]],Database!$A:$C,MATCH($B$1,Database!$A$1:$C$1,),))</f>
        <v/>
      </c>
      <c r="C3859">
        <f>IF(VLOOKUP(Table7[[#This Row],[Date]],Database!$A:$C,MATCH($C$1,Database!$A$1:$C$1,),)=0,#N/A,VLOOKUP(Table7[[#This Row],[Date]],Database!$A:$C,MATCH($C$1,Database!$A$1:$C$1,),))</f>
        <v/>
      </c>
      <c r="D3859">
        <f>IFERROR(Table7[[#This Row],[United States 10y]]-Table7[[#This Row],[United States 3y]],#N/A)</f>
        <v/>
      </c>
    </row>
    <row r="3860">
      <c r="A3860" s="6">
        <f>Database!$A5945</f>
        <v/>
      </c>
      <c r="B3860">
        <f>IF(VLOOKUP(Table7[[#This Row],[Date]],Database!$A:$C,MATCH($B$1,Database!$A$1:$C$1,),)=0,#N/A,VLOOKUP(Table7[[#This Row],[Date]],Database!$A:$C,MATCH($B$1,Database!$A$1:$C$1,),))</f>
        <v/>
      </c>
      <c r="C3860">
        <f>IF(VLOOKUP(Table7[[#This Row],[Date]],Database!$A:$C,MATCH($C$1,Database!$A$1:$C$1,),)=0,#N/A,VLOOKUP(Table7[[#This Row],[Date]],Database!$A:$C,MATCH($C$1,Database!$A$1:$C$1,),))</f>
        <v/>
      </c>
      <c r="D3860">
        <f>IFERROR(Table7[[#This Row],[United States 10y]]-Table7[[#This Row],[United States 3y]],#N/A)</f>
        <v/>
      </c>
    </row>
    <row r="3861">
      <c r="A3861" s="6">
        <f>Database!$A5946</f>
        <v/>
      </c>
      <c r="B3861">
        <f>IF(VLOOKUP(Table7[[#This Row],[Date]],Database!$A:$C,MATCH($B$1,Database!$A$1:$C$1,),)=0,#N/A,VLOOKUP(Table7[[#This Row],[Date]],Database!$A:$C,MATCH($B$1,Database!$A$1:$C$1,),))</f>
        <v/>
      </c>
      <c r="C3861">
        <f>IF(VLOOKUP(Table7[[#This Row],[Date]],Database!$A:$C,MATCH($C$1,Database!$A$1:$C$1,),)=0,#N/A,VLOOKUP(Table7[[#This Row],[Date]],Database!$A:$C,MATCH($C$1,Database!$A$1:$C$1,),))</f>
        <v/>
      </c>
      <c r="D3861">
        <f>IFERROR(Table7[[#This Row],[United States 10y]]-Table7[[#This Row],[United States 3y]],#N/A)</f>
        <v/>
      </c>
    </row>
    <row r="3862">
      <c r="A3862" s="6">
        <f>Database!$A5947</f>
        <v/>
      </c>
      <c r="B3862">
        <f>IF(VLOOKUP(Table7[[#This Row],[Date]],Database!$A:$C,MATCH($B$1,Database!$A$1:$C$1,),)=0,#N/A,VLOOKUP(Table7[[#This Row],[Date]],Database!$A:$C,MATCH($B$1,Database!$A$1:$C$1,),))</f>
        <v/>
      </c>
      <c r="C3862">
        <f>IF(VLOOKUP(Table7[[#This Row],[Date]],Database!$A:$C,MATCH($C$1,Database!$A$1:$C$1,),)=0,#N/A,VLOOKUP(Table7[[#This Row],[Date]],Database!$A:$C,MATCH($C$1,Database!$A$1:$C$1,),))</f>
        <v/>
      </c>
      <c r="D3862">
        <f>IFERROR(Table7[[#This Row],[United States 10y]]-Table7[[#This Row],[United States 3y]],#N/A)</f>
        <v/>
      </c>
    </row>
    <row r="3863">
      <c r="A3863" s="6">
        <f>Database!$A5948</f>
        <v/>
      </c>
      <c r="B3863">
        <f>IF(VLOOKUP(Table7[[#This Row],[Date]],Database!$A:$C,MATCH($B$1,Database!$A$1:$C$1,),)=0,#N/A,VLOOKUP(Table7[[#This Row],[Date]],Database!$A:$C,MATCH($B$1,Database!$A$1:$C$1,),))</f>
        <v/>
      </c>
      <c r="C3863">
        <f>IF(VLOOKUP(Table7[[#This Row],[Date]],Database!$A:$C,MATCH($C$1,Database!$A$1:$C$1,),)=0,#N/A,VLOOKUP(Table7[[#This Row],[Date]],Database!$A:$C,MATCH($C$1,Database!$A$1:$C$1,),))</f>
        <v/>
      </c>
      <c r="D3863">
        <f>IFERROR(Table7[[#This Row],[United States 10y]]-Table7[[#This Row],[United States 3y]],#N/A)</f>
        <v/>
      </c>
    </row>
    <row r="3864">
      <c r="A3864" s="6">
        <f>Database!$A5949</f>
        <v/>
      </c>
      <c r="B3864">
        <f>IF(VLOOKUP(Table7[[#This Row],[Date]],Database!$A:$C,MATCH($B$1,Database!$A$1:$C$1,),)=0,#N/A,VLOOKUP(Table7[[#This Row],[Date]],Database!$A:$C,MATCH($B$1,Database!$A$1:$C$1,),))</f>
        <v/>
      </c>
      <c r="C3864">
        <f>IF(VLOOKUP(Table7[[#This Row],[Date]],Database!$A:$C,MATCH($C$1,Database!$A$1:$C$1,),)=0,#N/A,VLOOKUP(Table7[[#This Row],[Date]],Database!$A:$C,MATCH($C$1,Database!$A$1:$C$1,),))</f>
        <v/>
      </c>
      <c r="D3864">
        <f>IFERROR(Table7[[#This Row],[United States 10y]]-Table7[[#This Row],[United States 3y]],#N/A)</f>
        <v/>
      </c>
    </row>
    <row r="3865">
      <c r="A3865" s="6">
        <f>Database!$A5950</f>
        <v/>
      </c>
      <c r="B3865">
        <f>IF(VLOOKUP(Table7[[#This Row],[Date]],Database!$A:$C,MATCH($B$1,Database!$A$1:$C$1,),)=0,#N/A,VLOOKUP(Table7[[#This Row],[Date]],Database!$A:$C,MATCH($B$1,Database!$A$1:$C$1,),))</f>
        <v/>
      </c>
      <c r="C3865">
        <f>IF(VLOOKUP(Table7[[#This Row],[Date]],Database!$A:$C,MATCH($C$1,Database!$A$1:$C$1,),)=0,#N/A,VLOOKUP(Table7[[#This Row],[Date]],Database!$A:$C,MATCH($C$1,Database!$A$1:$C$1,),))</f>
        <v/>
      </c>
      <c r="D3865">
        <f>IFERROR(Table7[[#This Row],[United States 10y]]-Table7[[#This Row],[United States 3y]],#N/A)</f>
        <v/>
      </c>
    </row>
    <row r="3866">
      <c r="A3866" s="6">
        <f>Database!$A5951</f>
        <v/>
      </c>
      <c r="B3866">
        <f>IF(VLOOKUP(Table7[[#This Row],[Date]],Database!$A:$C,MATCH($B$1,Database!$A$1:$C$1,),)=0,#N/A,VLOOKUP(Table7[[#This Row],[Date]],Database!$A:$C,MATCH($B$1,Database!$A$1:$C$1,),))</f>
        <v/>
      </c>
      <c r="C3866">
        <f>IF(VLOOKUP(Table7[[#This Row],[Date]],Database!$A:$C,MATCH($C$1,Database!$A$1:$C$1,),)=0,#N/A,VLOOKUP(Table7[[#This Row],[Date]],Database!$A:$C,MATCH($C$1,Database!$A$1:$C$1,),))</f>
        <v/>
      </c>
      <c r="D3866">
        <f>IFERROR(Table7[[#This Row],[United States 10y]]-Table7[[#This Row],[United States 3y]],#N/A)</f>
        <v/>
      </c>
    </row>
    <row r="3867">
      <c r="A3867" s="6">
        <f>Database!$A5952</f>
        <v/>
      </c>
      <c r="B3867">
        <f>IF(VLOOKUP(Table7[[#This Row],[Date]],Database!$A:$C,MATCH($B$1,Database!$A$1:$C$1,),)=0,#N/A,VLOOKUP(Table7[[#This Row],[Date]],Database!$A:$C,MATCH($B$1,Database!$A$1:$C$1,),))</f>
        <v/>
      </c>
      <c r="C3867">
        <f>IF(VLOOKUP(Table7[[#This Row],[Date]],Database!$A:$C,MATCH($C$1,Database!$A$1:$C$1,),)=0,#N/A,VLOOKUP(Table7[[#This Row],[Date]],Database!$A:$C,MATCH($C$1,Database!$A$1:$C$1,),))</f>
        <v/>
      </c>
      <c r="D3867">
        <f>IFERROR(Table7[[#This Row],[United States 10y]]-Table7[[#This Row],[United States 3y]],#N/A)</f>
        <v/>
      </c>
    </row>
    <row r="3868">
      <c r="A3868" s="6">
        <f>Database!$A5953</f>
        <v/>
      </c>
      <c r="B3868">
        <f>IF(VLOOKUP(Table7[[#This Row],[Date]],Database!$A:$C,MATCH($B$1,Database!$A$1:$C$1,),)=0,#N/A,VLOOKUP(Table7[[#This Row],[Date]],Database!$A:$C,MATCH($B$1,Database!$A$1:$C$1,),))</f>
        <v/>
      </c>
      <c r="C3868">
        <f>IF(VLOOKUP(Table7[[#This Row],[Date]],Database!$A:$C,MATCH($C$1,Database!$A$1:$C$1,),)=0,#N/A,VLOOKUP(Table7[[#This Row],[Date]],Database!$A:$C,MATCH($C$1,Database!$A$1:$C$1,),))</f>
        <v/>
      </c>
      <c r="D3868">
        <f>IFERROR(Table7[[#This Row],[United States 10y]]-Table7[[#This Row],[United States 3y]],#N/A)</f>
        <v/>
      </c>
    </row>
    <row r="3869">
      <c r="A3869" s="6">
        <f>Database!$A5954</f>
        <v/>
      </c>
      <c r="B3869">
        <f>IF(VLOOKUP(Table7[[#This Row],[Date]],Database!$A:$C,MATCH($B$1,Database!$A$1:$C$1,),)=0,#N/A,VLOOKUP(Table7[[#This Row],[Date]],Database!$A:$C,MATCH($B$1,Database!$A$1:$C$1,),))</f>
        <v/>
      </c>
      <c r="C3869">
        <f>IF(VLOOKUP(Table7[[#This Row],[Date]],Database!$A:$C,MATCH($C$1,Database!$A$1:$C$1,),)=0,#N/A,VLOOKUP(Table7[[#This Row],[Date]],Database!$A:$C,MATCH($C$1,Database!$A$1:$C$1,),))</f>
        <v/>
      </c>
      <c r="D3869">
        <f>IFERROR(Table7[[#This Row],[United States 10y]]-Table7[[#This Row],[United States 3y]],#N/A)</f>
        <v/>
      </c>
    </row>
    <row r="3870">
      <c r="A3870" s="6">
        <f>Database!$A5955</f>
        <v/>
      </c>
      <c r="B3870">
        <f>IF(VLOOKUP(Table7[[#This Row],[Date]],Database!$A:$C,MATCH($B$1,Database!$A$1:$C$1,),)=0,#N/A,VLOOKUP(Table7[[#This Row],[Date]],Database!$A:$C,MATCH($B$1,Database!$A$1:$C$1,),))</f>
        <v/>
      </c>
      <c r="C3870">
        <f>IF(VLOOKUP(Table7[[#This Row],[Date]],Database!$A:$C,MATCH($C$1,Database!$A$1:$C$1,),)=0,#N/A,VLOOKUP(Table7[[#This Row],[Date]],Database!$A:$C,MATCH($C$1,Database!$A$1:$C$1,),))</f>
        <v/>
      </c>
      <c r="D3870">
        <f>IFERROR(Table7[[#This Row],[United States 10y]]-Table7[[#This Row],[United States 3y]],#N/A)</f>
        <v/>
      </c>
    </row>
    <row r="3871">
      <c r="A3871" s="6">
        <f>Database!$A5956</f>
        <v/>
      </c>
      <c r="B3871">
        <f>IF(VLOOKUP(Table7[[#This Row],[Date]],Database!$A:$C,MATCH($B$1,Database!$A$1:$C$1,),)=0,#N/A,VLOOKUP(Table7[[#This Row],[Date]],Database!$A:$C,MATCH($B$1,Database!$A$1:$C$1,),))</f>
        <v/>
      </c>
      <c r="C3871">
        <f>IF(VLOOKUP(Table7[[#This Row],[Date]],Database!$A:$C,MATCH($C$1,Database!$A$1:$C$1,),)=0,#N/A,VLOOKUP(Table7[[#This Row],[Date]],Database!$A:$C,MATCH($C$1,Database!$A$1:$C$1,),))</f>
        <v/>
      </c>
      <c r="D3871">
        <f>IFERROR(Table7[[#This Row],[United States 10y]]-Table7[[#This Row],[United States 3y]],#N/A)</f>
        <v/>
      </c>
    </row>
    <row r="3872">
      <c r="A3872" s="6">
        <f>Database!$A5957</f>
        <v/>
      </c>
      <c r="B3872">
        <f>IF(VLOOKUP(Table7[[#This Row],[Date]],Database!$A:$C,MATCH($B$1,Database!$A$1:$C$1,),)=0,#N/A,VLOOKUP(Table7[[#This Row],[Date]],Database!$A:$C,MATCH($B$1,Database!$A$1:$C$1,),))</f>
        <v/>
      </c>
      <c r="C3872">
        <f>IF(VLOOKUP(Table7[[#This Row],[Date]],Database!$A:$C,MATCH($C$1,Database!$A$1:$C$1,),)=0,#N/A,VLOOKUP(Table7[[#This Row],[Date]],Database!$A:$C,MATCH($C$1,Database!$A$1:$C$1,),))</f>
        <v/>
      </c>
      <c r="D3872">
        <f>IFERROR(Table7[[#This Row],[United States 10y]]-Table7[[#This Row],[United States 3y]],#N/A)</f>
        <v/>
      </c>
    </row>
    <row r="3873">
      <c r="A3873" s="6">
        <f>Database!$A5958</f>
        <v/>
      </c>
      <c r="B3873">
        <f>IF(VLOOKUP(Table7[[#This Row],[Date]],Database!$A:$C,MATCH($B$1,Database!$A$1:$C$1,),)=0,#N/A,VLOOKUP(Table7[[#This Row],[Date]],Database!$A:$C,MATCH($B$1,Database!$A$1:$C$1,),))</f>
        <v/>
      </c>
      <c r="C3873">
        <f>IF(VLOOKUP(Table7[[#This Row],[Date]],Database!$A:$C,MATCH($C$1,Database!$A$1:$C$1,),)=0,#N/A,VLOOKUP(Table7[[#This Row],[Date]],Database!$A:$C,MATCH($C$1,Database!$A$1:$C$1,),))</f>
        <v/>
      </c>
      <c r="D3873">
        <f>IFERROR(Table7[[#This Row],[United States 10y]]-Table7[[#This Row],[United States 3y]],#N/A)</f>
        <v/>
      </c>
    </row>
    <row r="3874">
      <c r="A3874" s="6">
        <f>Database!$A5959</f>
        <v/>
      </c>
      <c r="B3874">
        <f>IF(VLOOKUP(Table7[[#This Row],[Date]],Database!$A:$C,MATCH($B$1,Database!$A$1:$C$1,),)=0,#N/A,VLOOKUP(Table7[[#This Row],[Date]],Database!$A:$C,MATCH($B$1,Database!$A$1:$C$1,),))</f>
        <v/>
      </c>
      <c r="C3874">
        <f>IF(VLOOKUP(Table7[[#This Row],[Date]],Database!$A:$C,MATCH($C$1,Database!$A$1:$C$1,),)=0,#N/A,VLOOKUP(Table7[[#This Row],[Date]],Database!$A:$C,MATCH($C$1,Database!$A$1:$C$1,),))</f>
        <v/>
      </c>
      <c r="D3874">
        <f>IFERROR(Table7[[#This Row],[United States 10y]]-Table7[[#This Row],[United States 3y]],#N/A)</f>
        <v/>
      </c>
    </row>
    <row r="3875">
      <c r="A3875" s="6">
        <f>Database!$A5960</f>
        <v/>
      </c>
      <c r="B3875">
        <f>IF(VLOOKUP(Table7[[#This Row],[Date]],Database!$A:$C,MATCH($B$1,Database!$A$1:$C$1,),)=0,#N/A,VLOOKUP(Table7[[#This Row],[Date]],Database!$A:$C,MATCH($B$1,Database!$A$1:$C$1,),))</f>
        <v/>
      </c>
      <c r="C3875">
        <f>IF(VLOOKUP(Table7[[#This Row],[Date]],Database!$A:$C,MATCH($C$1,Database!$A$1:$C$1,),)=0,#N/A,VLOOKUP(Table7[[#This Row],[Date]],Database!$A:$C,MATCH($C$1,Database!$A$1:$C$1,),))</f>
        <v/>
      </c>
      <c r="D3875">
        <f>IFERROR(Table7[[#This Row],[United States 10y]]-Table7[[#This Row],[United States 3y]],#N/A)</f>
        <v/>
      </c>
    </row>
    <row r="3876">
      <c r="A3876" s="6">
        <f>Database!$A5961</f>
        <v/>
      </c>
      <c r="B3876">
        <f>IF(VLOOKUP(Table7[[#This Row],[Date]],Database!$A:$C,MATCH($B$1,Database!$A$1:$C$1,),)=0,#N/A,VLOOKUP(Table7[[#This Row],[Date]],Database!$A:$C,MATCH($B$1,Database!$A$1:$C$1,),))</f>
        <v/>
      </c>
      <c r="C3876">
        <f>IF(VLOOKUP(Table7[[#This Row],[Date]],Database!$A:$C,MATCH($C$1,Database!$A$1:$C$1,),)=0,#N/A,VLOOKUP(Table7[[#This Row],[Date]],Database!$A:$C,MATCH($C$1,Database!$A$1:$C$1,),))</f>
        <v/>
      </c>
      <c r="D3876">
        <f>IFERROR(Table7[[#This Row],[United States 10y]]-Table7[[#This Row],[United States 3y]],#N/A)</f>
        <v/>
      </c>
    </row>
    <row r="3877">
      <c r="A3877" s="6">
        <f>Database!$A5962</f>
        <v/>
      </c>
      <c r="B3877">
        <f>IF(VLOOKUP(Table7[[#This Row],[Date]],Database!$A:$C,MATCH($B$1,Database!$A$1:$C$1,),)=0,#N/A,VLOOKUP(Table7[[#This Row],[Date]],Database!$A:$C,MATCH($B$1,Database!$A$1:$C$1,),))</f>
        <v/>
      </c>
      <c r="C3877">
        <f>IF(VLOOKUP(Table7[[#This Row],[Date]],Database!$A:$C,MATCH($C$1,Database!$A$1:$C$1,),)=0,#N/A,VLOOKUP(Table7[[#This Row],[Date]],Database!$A:$C,MATCH($C$1,Database!$A$1:$C$1,),))</f>
        <v/>
      </c>
      <c r="D3877">
        <f>IFERROR(Table7[[#This Row],[United States 10y]]-Table7[[#This Row],[United States 3y]],#N/A)</f>
        <v/>
      </c>
    </row>
    <row r="3878">
      <c r="A3878" s="6">
        <f>Database!$A5963</f>
        <v/>
      </c>
      <c r="B3878">
        <f>IF(VLOOKUP(Table7[[#This Row],[Date]],Database!$A:$C,MATCH($B$1,Database!$A$1:$C$1,),)=0,#N/A,VLOOKUP(Table7[[#This Row],[Date]],Database!$A:$C,MATCH($B$1,Database!$A$1:$C$1,),))</f>
        <v/>
      </c>
      <c r="C3878">
        <f>IF(VLOOKUP(Table7[[#This Row],[Date]],Database!$A:$C,MATCH($C$1,Database!$A$1:$C$1,),)=0,#N/A,VLOOKUP(Table7[[#This Row],[Date]],Database!$A:$C,MATCH($C$1,Database!$A$1:$C$1,),))</f>
        <v/>
      </c>
      <c r="D3878">
        <f>IFERROR(Table7[[#This Row],[United States 10y]]-Table7[[#This Row],[United States 3y]],#N/A)</f>
        <v/>
      </c>
    </row>
    <row r="3879">
      <c r="A3879" s="6">
        <f>Database!$A5964</f>
        <v/>
      </c>
      <c r="B3879">
        <f>IF(VLOOKUP(Table7[[#This Row],[Date]],Database!$A:$C,MATCH($B$1,Database!$A$1:$C$1,),)=0,#N/A,VLOOKUP(Table7[[#This Row],[Date]],Database!$A:$C,MATCH($B$1,Database!$A$1:$C$1,),))</f>
        <v/>
      </c>
      <c r="C3879">
        <f>IF(VLOOKUP(Table7[[#This Row],[Date]],Database!$A:$C,MATCH($C$1,Database!$A$1:$C$1,),)=0,#N/A,VLOOKUP(Table7[[#This Row],[Date]],Database!$A:$C,MATCH($C$1,Database!$A$1:$C$1,),))</f>
        <v/>
      </c>
      <c r="D3879">
        <f>IFERROR(Table7[[#This Row],[United States 10y]]-Table7[[#This Row],[United States 3y]],#N/A)</f>
        <v/>
      </c>
    </row>
    <row r="3880">
      <c r="A3880" s="6">
        <f>Database!$A5965</f>
        <v/>
      </c>
      <c r="B3880">
        <f>IF(VLOOKUP(Table7[[#This Row],[Date]],Database!$A:$C,MATCH($B$1,Database!$A$1:$C$1,),)=0,#N/A,VLOOKUP(Table7[[#This Row],[Date]],Database!$A:$C,MATCH($B$1,Database!$A$1:$C$1,),))</f>
        <v/>
      </c>
      <c r="C3880">
        <f>IF(VLOOKUP(Table7[[#This Row],[Date]],Database!$A:$C,MATCH($C$1,Database!$A$1:$C$1,),)=0,#N/A,VLOOKUP(Table7[[#This Row],[Date]],Database!$A:$C,MATCH($C$1,Database!$A$1:$C$1,),))</f>
        <v/>
      </c>
      <c r="D3880">
        <f>IFERROR(Table7[[#This Row],[United States 10y]]-Table7[[#This Row],[United States 3y]],#N/A)</f>
        <v/>
      </c>
    </row>
    <row r="3881">
      <c r="A3881" s="6">
        <f>Database!$A5966</f>
        <v/>
      </c>
      <c r="B3881">
        <f>IF(VLOOKUP(Table7[[#This Row],[Date]],Database!$A:$C,MATCH($B$1,Database!$A$1:$C$1,),)=0,#N/A,VLOOKUP(Table7[[#This Row],[Date]],Database!$A:$C,MATCH($B$1,Database!$A$1:$C$1,),))</f>
        <v/>
      </c>
      <c r="C3881">
        <f>IF(VLOOKUP(Table7[[#This Row],[Date]],Database!$A:$C,MATCH($C$1,Database!$A$1:$C$1,),)=0,#N/A,VLOOKUP(Table7[[#This Row],[Date]],Database!$A:$C,MATCH($C$1,Database!$A$1:$C$1,),))</f>
        <v/>
      </c>
      <c r="D3881">
        <f>IFERROR(Table7[[#This Row],[United States 10y]]-Table7[[#This Row],[United States 3y]],#N/A)</f>
        <v/>
      </c>
    </row>
    <row r="3882">
      <c r="A3882" s="6">
        <f>Database!$A5967</f>
        <v/>
      </c>
      <c r="B3882">
        <f>IF(VLOOKUP(Table7[[#This Row],[Date]],Database!$A:$C,MATCH($B$1,Database!$A$1:$C$1,),)=0,#N/A,VLOOKUP(Table7[[#This Row],[Date]],Database!$A:$C,MATCH($B$1,Database!$A$1:$C$1,),))</f>
        <v/>
      </c>
      <c r="C3882">
        <f>IF(VLOOKUP(Table7[[#This Row],[Date]],Database!$A:$C,MATCH($C$1,Database!$A$1:$C$1,),)=0,#N/A,VLOOKUP(Table7[[#This Row],[Date]],Database!$A:$C,MATCH($C$1,Database!$A$1:$C$1,),))</f>
        <v/>
      </c>
      <c r="D3882">
        <f>IFERROR(Table7[[#This Row],[United States 10y]]-Table7[[#This Row],[United States 3y]],#N/A)</f>
        <v/>
      </c>
    </row>
    <row r="3883">
      <c r="A3883" s="6">
        <f>Database!$A5968</f>
        <v/>
      </c>
      <c r="B3883">
        <f>IF(VLOOKUP(Table7[[#This Row],[Date]],Database!$A:$C,MATCH($B$1,Database!$A$1:$C$1,),)=0,#N/A,VLOOKUP(Table7[[#This Row],[Date]],Database!$A:$C,MATCH($B$1,Database!$A$1:$C$1,),))</f>
        <v/>
      </c>
      <c r="C3883">
        <f>IF(VLOOKUP(Table7[[#This Row],[Date]],Database!$A:$C,MATCH($C$1,Database!$A$1:$C$1,),)=0,#N/A,VLOOKUP(Table7[[#This Row],[Date]],Database!$A:$C,MATCH($C$1,Database!$A$1:$C$1,),))</f>
        <v/>
      </c>
      <c r="D3883">
        <f>IFERROR(Table7[[#This Row],[United States 10y]]-Table7[[#This Row],[United States 3y]],#N/A)</f>
        <v/>
      </c>
    </row>
    <row r="3884">
      <c r="A3884" s="6">
        <f>Database!$A5969</f>
        <v/>
      </c>
      <c r="B3884">
        <f>IF(VLOOKUP(Table7[[#This Row],[Date]],Database!$A:$C,MATCH($B$1,Database!$A$1:$C$1,),)=0,#N/A,VLOOKUP(Table7[[#This Row],[Date]],Database!$A:$C,MATCH($B$1,Database!$A$1:$C$1,),))</f>
        <v/>
      </c>
      <c r="C3884">
        <f>IF(VLOOKUP(Table7[[#This Row],[Date]],Database!$A:$C,MATCH($C$1,Database!$A$1:$C$1,),)=0,#N/A,VLOOKUP(Table7[[#This Row],[Date]],Database!$A:$C,MATCH($C$1,Database!$A$1:$C$1,),))</f>
        <v/>
      </c>
      <c r="D3884">
        <f>IFERROR(Table7[[#This Row],[United States 10y]]-Table7[[#This Row],[United States 3y]],#N/A)</f>
        <v/>
      </c>
    </row>
    <row r="3885">
      <c r="A3885" s="6">
        <f>Database!$A5970</f>
        <v/>
      </c>
      <c r="B3885">
        <f>IF(VLOOKUP(Table7[[#This Row],[Date]],Database!$A:$C,MATCH($B$1,Database!$A$1:$C$1,),)=0,#N/A,VLOOKUP(Table7[[#This Row],[Date]],Database!$A:$C,MATCH($B$1,Database!$A$1:$C$1,),))</f>
        <v/>
      </c>
      <c r="C3885">
        <f>IF(VLOOKUP(Table7[[#This Row],[Date]],Database!$A:$C,MATCH($C$1,Database!$A$1:$C$1,),)=0,#N/A,VLOOKUP(Table7[[#This Row],[Date]],Database!$A:$C,MATCH($C$1,Database!$A$1:$C$1,),))</f>
        <v/>
      </c>
      <c r="D3885">
        <f>IFERROR(Table7[[#This Row],[United States 10y]]-Table7[[#This Row],[United States 3y]],#N/A)</f>
        <v/>
      </c>
    </row>
    <row r="3886">
      <c r="A3886" s="6">
        <f>Database!$A5971</f>
        <v/>
      </c>
      <c r="B3886">
        <f>IF(VLOOKUP(Table7[[#This Row],[Date]],Database!$A:$C,MATCH($B$1,Database!$A$1:$C$1,),)=0,#N/A,VLOOKUP(Table7[[#This Row],[Date]],Database!$A:$C,MATCH($B$1,Database!$A$1:$C$1,),))</f>
        <v/>
      </c>
      <c r="C3886">
        <f>IF(VLOOKUP(Table7[[#This Row],[Date]],Database!$A:$C,MATCH($C$1,Database!$A$1:$C$1,),)=0,#N/A,VLOOKUP(Table7[[#This Row],[Date]],Database!$A:$C,MATCH($C$1,Database!$A$1:$C$1,),))</f>
        <v/>
      </c>
      <c r="D3886">
        <f>IFERROR(Table7[[#This Row],[United States 10y]]-Table7[[#This Row],[United States 3y]],#N/A)</f>
        <v/>
      </c>
    </row>
    <row r="3887">
      <c r="A3887" s="6">
        <f>Database!$A5972</f>
        <v/>
      </c>
      <c r="B3887">
        <f>IF(VLOOKUP(Table7[[#This Row],[Date]],Database!$A:$C,MATCH($B$1,Database!$A$1:$C$1,),)=0,#N/A,VLOOKUP(Table7[[#This Row],[Date]],Database!$A:$C,MATCH($B$1,Database!$A$1:$C$1,),))</f>
        <v/>
      </c>
      <c r="C3887">
        <f>IF(VLOOKUP(Table7[[#This Row],[Date]],Database!$A:$C,MATCH($C$1,Database!$A$1:$C$1,),)=0,#N/A,VLOOKUP(Table7[[#This Row],[Date]],Database!$A:$C,MATCH($C$1,Database!$A$1:$C$1,),))</f>
        <v/>
      </c>
      <c r="D3887">
        <f>IFERROR(Table7[[#This Row],[United States 10y]]-Table7[[#This Row],[United States 3y]],#N/A)</f>
        <v/>
      </c>
    </row>
    <row r="3888">
      <c r="A3888" s="6">
        <f>Database!$A5973</f>
        <v/>
      </c>
      <c r="B3888">
        <f>IF(VLOOKUP(Table7[[#This Row],[Date]],Database!$A:$C,MATCH($B$1,Database!$A$1:$C$1,),)=0,#N/A,VLOOKUP(Table7[[#This Row],[Date]],Database!$A:$C,MATCH($B$1,Database!$A$1:$C$1,),))</f>
        <v/>
      </c>
      <c r="C3888">
        <f>IF(VLOOKUP(Table7[[#This Row],[Date]],Database!$A:$C,MATCH($C$1,Database!$A$1:$C$1,),)=0,#N/A,VLOOKUP(Table7[[#This Row],[Date]],Database!$A:$C,MATCH($C$1,Database!$A$1:$C$1,),))</f>
        <v/>
      </c>
      <c r="D3888">
        <f>IFERROR(Table7[[#This Row],[United States 10y]]-Table7[[#This Row],[United States 3y]],#N/A)</f>
        <v/>
      </c>
    </row>
    <row r="3889">
      <c r="A3889" s="6">
        <f>Database!$A5974</f>
        <v/>
      </c>
      <c r="B3889">
        <f>IF(VLOOKUP(Table7[[#This Row],[Date]],Database!$A:$C,MATCH($B$1,Database!$A$1:$C$1,),)=0,#N/A,VLOOKUP(Table7[[#This Row],[Date]],Database!$A:$C,MATCH($B$1,Database!$A$1:$C$1,),))</f>
        <v/>
      </c>
      <c r="C3889">
        <f>IF(VLOOKUP(Table7[[#This Row],[Date]],Database!$A:$C,MATCH($C$1,Database!$A$1:$C$1,),)=0,#N/A,VLOOKUP(Table7[[#This Row],[Date]],Database!$A:$C,MATCH($C$1,Database!$A$1:$C$1,),))</f>
        <v/>
      </c>
      <c r="D3889">
        <f>IFERROR(Table7[[#This Row],[United States 10y]]-Table7[[#This Row],[United States 3y]],#N/A)</f>
        <v/>
      </c>
    </row>
    <row r="3890">
      <c r="A3890" s="6">
        <f>Database!$A5975</f>
        <v/>
      </c>
      <c r="B3890">
        <f>IF(VLOOKUP(Table7[[#This Row],[Date]],Database!$A:$C,MATCH($B$1,Database!$A$1:$C$1,),)=0,#N/A,VLOOKUP(Table7[[#This Row],[Date]],Database!$A:$C,MATCH($B$1,Database!$A$1:$C$1,),))</f>
        <v/>
      </c>
      <c r="C3890">
        <f>IF(VLOOKUP(Table7[[#This Row],[Date]],Database!$A:$C,MATCH($C$1,Database!$A$1:$C$1,),)=0,#N/A,VLOOKUP(Table7[[#This Row],[Date]],Database!$A:$C,MATCH($C$1,Database!$A$1:$C$1,),))</f>
        <v/>
      </c>
      <c r="D3890">
        <f>IFERROR(Table7[[#This Row],[United States 10y]]-Table7[[#This Row],[United States 3y]],#N/A)</f>
        <v/>
      </c>
    </row>
    <row r="3891">
      <c r="A3891" s="6">
        <f>Database!$A5976</f>
        <v/>
      </c>
      <c r="B3891">
        <f>IF(VLOOKUP(Table7[[#This Row],[Date]],Database!$A:$C,MATCH($B$1,Database!$A$1:$C$1,),)=0,#N/A,VLOOKUP(Table7[[#This Row],[Date]],Database!$A:$C,MATCH($B$1,Database!$A$1:$C$1,),))</f>
        <v/>
      </c>
      <c r="C3891">
        <f>IF(VLOOKUP(Table7[[#This Row],[Date]],Database!$A:$C,MATCH($C$1,Database!$A$1:$C$1,),)=0,#N/A,VLOOKUP(Table7[[#This Row],[Date]],Database!$A:$C,MATCH($C$1,Database!$A$1:$C$1,),))</f>
        <v/>
      </c>
      <c r="D3891">
        <f>IFERROR(Table7[[#This Row],[United States 10y]]-Table7[[#This Row],[United States 3y]],#N/A)</f>
        <v/>
      </c>
    </row>
    <row r="3892">
      <c r="A3892" s="6">
        <f>Database!$A5977</f>
        <v/>
      </c>
      <c r="B3892">
        <f>IF(VLOOKUP(Table7[[#This Row],[Date]],Database!$A:$C,MATCH($B$1,Database!$A$1:$C$1,),)=0,#N/A,VLOOKUP(Table7[[#This Row],[Date]],Database!$A:$C,MATCH($B$1,Database!$A$1:$C$1,),))</f>
        <v/>
      </c>
      <c r="C3892">
        <f>IF(VLOOKUP(Table7[[#This Row],[Date]],Database!$A:$C,MATCH($C$1,Database!$A$1:$C$1,),)=0,#N/A,VLOOKUP(Table7[[#This Row],[Date]],Database!$A:$C,MATCH($C$1,Database!$A$1:$C$1,),))</f>
        <v/>
      </c>
      <c r="D3892">
        <f>IFERROR(Table7[[#This Row],[United States 10y]]-Table7[[#This Row],[United States 3y]],#N/A)</f>
        <v/>
      </c>
    </row>
    <row r="3893">
      <c r="A3893" s="6">
        <f>Database!$A5978</f>
        <v/>
      </c>
      <c r="B3893">
        <f>IF(VLOOKUP(Table7[[#This Row],[Date]],Database!$A:$C,MATCH($B$1,Database!$A$1:$C$1,),)=0,#N/A,VLOOKUP(Table7[[#This Row],[Date]],Database!$A:$C,MATCH($B$1,Database!$A$1:$C$1,),))</f>
        <v/>
      </c>
      <c r="C3893">
        <f>IF(VLOOKUP(Table7[[#This Row],[Date]],Database!$A:$C,MATCH($C$1,Database!$A$1:$C$1,),)=0,#N/A,VLOOKUP(Table7[[#This Row],[Date]],Database!$A:$C,MATCH($C$1,Database!$A$1:$C$1,),))</f>
        <v/>
      </c>
      <c r="D3893">
        <f>IFERROR(Table7[[#This Row],[United States 10y]]-Table7[[#This Row],[United States 3y]],#N/A)</f>
        <v/>
      </c>
    </row>
    <row r="3894">
      <c r="A3894" s="6">
        <f>Database!$A5979</f>
        <v/>
      </c>
      <c r="B3894">
        <f>IF(VLOOKUP(Table7[[#This Row],[Date]],Database!$A:$C,MATCH($B$1,Database!$A$1:$C$1,),)=0,#N/A,VLOOKUP(Table7[[#This Row],[Date]],Database!$A:$C,MATCH($B$1,Database!$A$1:$C$1,),))</f>
        <v/>
      </c>
      <c r="C3894">
        <f>IF(VLOOKUP(Table7[[#This Row],[Date]],Database!$A:$C,MATCH($C$1,Database!$A$1:$C$1,),)=0,#N/A,VLOOKUP(Table7[[#This Row],[Date]],Database!$A:$C,MATCH($C$1,Database!$A$1:$C$1,),))</f>
        <v/>
      </c>
      <c r="D3894">
        <f>IFERROR(Table7[[#This Row],[United States 10y]]-Table7[[#This Row],[United States 3y]],#N/A)</f>
        <v/>
      </c>
    </row>
    <row r="3895">
      <c r="A3895" s="6">
        <f>Database!$A5980</f>
        <v/>
      </c>
      <c r="B3895">
        <f>IF(VLOOKUP(Table7[[#This Row],[Date]],Database!$A:$C,MATCH($B$1,Database!$A$1:$C$1,),)=0,#N/A,VLOOKUP(Table7[[#This Row],[Date]],Database!$A:$C,MATCH($B$1,Database!$A$1:$C$1,),))</f>
        <v/>
      </c>
      <c r="C3895">
        <f>IF(VLOOKUP(Table7[[#This Row],[Date]],Database!$A:$C,MATCH($C$1,Database!$A$1:$C$1,),)=0,#N/A,VLOOKUP(Table7[[#This Row],[Date]],Database!$A:$C,MATCH($C$1,Database!$A$1:$C$1,),))</f>
        <v/>
      </c>
      <c r="D3895">
        <f>IFERROR(Table7[[#This Row],[United States 10y]]-Table7[[#This Row],[United States 3y]],#N/A)</f>
        <v/>
      </c>
    </row>
    <row r="3896">
      <c r="A3896" s="6">
        <f>Database!$A5981</f>
        <v/>
      </c>
      <c r="B3896">
        <f>IF(VLOOKUP(Table7[[#This Row],[Date]],Database!$A:$C,MATCH($B$1,Database!$A$1:$C$1,),)=0,#N/A,VLOOKUP(Table7[[#This Row],[Date]],Database!$A:$C,MATCH($B$1,Database!$A$1:$C$1,),))</f>
        <v/>
      </c>
      <c r="C3896">
        <f>IF(VLOOKUP(Table7[[#This Row],[Date]],Database!$A:$C,MATCH($C$1,Database!$A$1:$C$1,),)=0,#N/A,VLOOKUP(Table7[[#This Row],[Date]],Database!$A:$C,MATCH($C$1,Database!$A$1:$C$1,),))</f>
        <v/>
      </c>
      <c r="D3896">
        <f>IFERROR(Table7[[#This Row],[United States 10y]]-Table7[[#This Row],[United States 3y]],#N/A)</f>
        <v/>
      </c>
    </row>
    <row r="3897">
      <c r="A3897" s="6">
        <f>Database!$A5982</f>
        <v/>
      </c>
      <c r="B3897">
        <f>IF(VLOOKUP(Table7[[#This Row],[Date]],Database!$A:$C,MATCH($B$1,Database!$A$1:$C$1,),)=0,#N/A,VLOOKUP(Table7[[#This Row],[Date]],Database!$A:$C,MATCH($B$1,Database!$A$1:$C$1,),))</f>
        <v/>
      </c>
      <c r="C3897">
        <f>IF(VLOOKUP(Table7[[#This Row],[Date]],Database!$A:$C,MATCH($C$1,Database!$A$1:$C$1,),)=0,#N/A,VLOOKUP(Table7[[#This Row],[Date]],Database!$A:$C,MATCH($C$1,Database!$A$1:$C$1,),))</f>
        <v/>
      </c>
      <c r="D3897">
        <f>IFERROR(Table7[[#This Row],[United States 10y]]-Table7[[#This Row],[United States 3y]],#N/A)</f>
        <v/>
      </c>
    </row>
    <row r="3898">
      <c r="A3898" s="6">
        <f>Database!$A5983</f>
        <v/>
      </c>
      <c r="B3898">
        <f>IF(VLOOKUP(Table7[[#This Row],[Date]],Database!$A:$C,MATCH($B$1,Database!$A$1:$C$1,),)=0,#N/A,VLOOKUP(Table7[[#This Row],[Date]],Database!$A:$C,MATCH($B$1,Database!$A$1:$C$1,),))</f>
        <v/>
      </c>
      <c r="C3898">
        <f>IF(VLOOKUP(Table7[[#This Row],[Date]],Database!$A:$C,MATCH($C$1,Database!$A$1:$C$1,),)=0,#N/A,VLOOKUP(Table7[[#This Row],[Date]],Database!$A:$C,MATCH($C$1,Database!$A$1:$C$1,),))</f>
        <v/>
      </c>
      <c r="D3898">
        <f>IFERROR(Table7[[#This Row],[United States 10y]]-Table7[[#This Row],[United States 3y]],#N/A)</f>
        <v/>
      </c>
    </row>
    <row r="3899">
      <c r="A3899" s="6">
        <f>Database!$A5984</f>
        <v/>
      </c>
      <c r="B3899">
        <f>IF(VLOOKUP(Table7[[#This Row],[Date]],Database!$A:$C,MATCH($B$1,Database!$A$1:$C$1,),)=0,#N/A,VLOOKUP(Table7[[#This Row],[Date]],Database!$A:$C,MATCH($B$1,Database!$A$1:$C$1,),))</f>
        <v/>
      </c>
      <c r="C3899">
        <f>IF(VLOOKUP(Table7[[#This Row],[Date]],Database!$A:$C,MATCH($C$1,Database!$A$1:$C$1,),)=0,#N/A,VLOOKUP(Table7[[#This Row],[Date]],Database!$A:$C,MATCH($C$1,Database!$A$1:$C$1,),))</f>
        <v/>
      </c>
      <c r="D3899">
        <f>IFERROR(Table7[[#This Row],[United States 10y]]-Table7[[#This Row],[United States 3y]],#N/A)</f>
        <v/>
      </c>
    </row>
    <row r="3900">
      <c r="A3900" s="6">
        <f>Database!$A5985</f>
        <v/>
      </c>
      <c r="B3900">
        <f>IF(VLOOKUP(Table7[[#This Row],[Date]],Database!$A:$C,MATCH($B$1,Database!$A$1:$C$1,),)=0,#N/A,VLOOKUP(Table7[[#This Row],[Date]],Database!$A:$C,MATCH($B$1,Database!$A$1:$C$1,),))</f>
        <v/>
      </c>
      <c r="C3900">
        <f>IF(VLOOKUP(Table7[[#This Row],[Date]],Database!$A:$C,MATCH($C$1,Database!$A$1:$C$1,),)=0,#N/A,VLOOKUP(Table7[[#This Row],[Date]],Database!$A:$C,MATCH($C$1,Database!$A$1:$C$1,),))</f>
        <v/>
      </c>
      <c r="D3900">
        <f>IFERROR(Table7[[#This Row],[United States 10y]]-Table7[[#This Row],[United States 3y]],#N/A)</f>
        <v/>
      </c>
    </row>
    <row r="3901">
      <c r="A3901" s="6">
        <f>Database!$A5986</f>
        <v/>
      </c>
      <c r="B3901">
        <f>IF(VLOOKUP(Table7[[#This Row],[Date]],Database!$A:$C,MATCH($B$1,Database!$A$1:$C$1,),)=0,#N/A,VLOOKUP(Table7[[#This Row],[Date]],Database!$A:$C,MATCH($B$1,Database!$A$1:$C$1,),))</f>
        <v/>
      </c>
      <c r="C3901">
        <f>IF(VLOOKUP(Table7[[#This Row],[Date]],Database!$A:$C,MATCH($C$1,Database!$A$1:$C$1,),)=0,#N/A,VLOOKUP(Table7[[#This Row],[Date]],Database!$A:$C,MATCH($C$1,Database!$A$1:$C$1,),))</f>
        <v/>
      </c>
      <c r="D3901">
        <f>IFERROR(Table7[[#This Row],[United States 10y]]-Table7[[#This Row],[United States 3y]],#N/A)</f>
        <v/>
      </c>
    </row>
    <row r="3902">
      <c r="A3902" s="6">
        <f>Database!$A5987</f>
        <v/>
      </c>
      <c r="B3902">
        <f>IF(VLOOKUP(Table7[[#This Row],[Date]],Database!$A:$C,MATCH($B$1,Database!$A$1:$C$1,),)=0,#N/A,VLOOKUP(Table7[[#This Row],[Date]],Database!$A:$C,MATCH($B$1,Database!$A$1:$C$1,),))</f>
        <v/>
      </c>
      <c r="C3902">
        <f>IF(VLOOKUP(Table7[[#This Row],[Date]],Database!$A:$C,MATCH($C$1,Database!$A$1:$C$1,),)=0,#N/A,VLOOKUP(Table7[[#This Row],[Date]],Database!$A:$C,MATCH($C$1,Database!$A$1:$C$1,),))</f>
        <v/>
      </c>
      <c r="D3902">
        <f>IFERROR(Table7[[#This Row],[United States 10y]]-Table7[[#This Row],[United States 3y]],#N/A)</f>
        <v/>
      </c>
    </row>
    <row r="3903">
      <c r="A3903" s="6">
        <f>Database!$A5988</f>
        <v/>
      </c>
      <c r="B3903">
        <f>IF(VLOOKUP(Table7[[#This Row],[Date]],Database!$A:$C,MATCH($B$1,Database!$A$1:$C$1,),)=0,#N/A,VLOOKUP(Table7[[#This Row],[Date]],Database!$A:$C,MATCH($B$1,Database!$A$1:$C$1,),))</f>
        <v/>
      </c>
      <c r="C3903">
        <f>IF(VLOOKUP(Table7[[#This Row],[Date]],Database!$A:$C,MATCH($C$1,Database!$A$1:$C$1,),)=0,#N/A,VLOOKUP(Table7[[#This Row],[Date]],Database!$A:$C,MATCH($C$1,Database!$A$1:$C$1,),))</f>
        <v/>
      </c>
      <c r="D3903">
        <f>IFERROR(Table7[[#This Row],[United States 10y]]-Table7[[#This Row],[United States 3y]],#N/A)</f>
        <v/>
      </c>
    </row>
    <row r="3904">
      <c r="A3904" s="6">
        <f>Database!$A5989</f>
        <v/>
      </c>
      <c r="B3904">
        <f>IF(VLOOKUP(Table7[[#This Row],[Date]],Database!$A:$C,MATCH($B$1,Database!$A$1:$C$1,),)=0,#N/A,VLOOKUP(Table7[[#This Row],[Date]],Database!$A:$C,MATCH($B$1,Database!$A$1:$C$1,),))</f>
        <v/>
      </c>
      <c r="C3904">
        <f>IF(VLOOKUP(Table7[[#This Row],[Date]],Database!$A:$C,MATCH($C$1,Database!$A$1:$C$1,),)=0,#N/A,VLOOKUP(Table7[[#This Row],[Date]],Database!$A:$C,MATCH($C$1,Database!$A$1:$C$1,),))</f>
        <v/>
      </c>
      <c r="D3904">
        <f>IFERROR(Table7[[#This Row],[United States 10y]]-Table7[[#This Row],[United States 3y]],#N/A)</f>
        <v/>
      </c>
    </row>
    <row r="3905">
      <c r="A3905" s="6">
        <f>Database!$A5990</f>
        <v/>
      </c>
      <c r="B3905">
        <f>IF(VLOOKUP(Table7[[#This Row],[Date]],Database!$A:$C,MATCH($B$1,Database!$A$1:$C$1,),)=0,#N/A,VLOOKUP(Table7[[#This Row],[Date]],Database!$A:$C,MATCH($B$1,Database!$A$1:$C$1,),))</f>
        <v/>
      </c>
      <c r="C3905">
        <f>IF(VLOOKUP(Table7[[#This Row],[Date]],Database!$A:$C,MATCH($C$1,Database!$A$1:$C$1,),)=0,#N/A,VLOOKUP(Table7[[#This Row],[Date]],Database!$A:$C,MATCH($C$1,Database!$A$1:$C$1,),))</f>
        <v/>
      </c>
      <c r="D3905">
        <f>IFERROR(Table7[[#This Row],[United States 10y]]-Table7[[#This Row],[United States 3y]],#N/A)</f>
        <v/>
      </c>
    </row>
    <row r="3906">
      <c r="A3906" s="6">
        <f>Database!$A5991</f>
        <v/>
      </c>
      <c r="B3906">
        <f>IF(VLOOKUP(Table7[[#This Row],[Date]],Database!$A:$C,MATCH($B$1,Database!$A$1:$C$1,),)=0,#N/A,VLOOKUP(Table7[[#This Row],[Date]],Database!$A:$C,MATCH($B$1,Database!$A$1:$C$1,),))</f>
        <v/>
      </c>
      <c r="C3906">
        <f>IF(VLOOKUP(Table7[[#This Row],[Date]],Database!$A:$C,MATCH($C$1,Database!$A$1:$C$1,),)=0,#N/A,VLOOKUP(Table7[[#This Row],[Date]],Database!$A:$C,MATCH($C$1,Database!$A$1:$C$1,),))</f>
        <v/>
      </c>
      <c r="D3906">
        <f>IFERROR(Table7[[#This Row],[United States 10y]]-Table7[[#This Row],[United States 3y]],#N/A)</f>
        <v/>
      </c>
    </row>
    <row r="3907">
      <c r="A3907" s="6">
        <f>Database!$A5992</f>
        <v/>
      </c>
      <c r="B3907">
        <f>IF(VLOOKUP(Table7[[#This Row],[Date]],Database!$A:$C,MATCH($B$1,Database!$A$1:$C$1,),)=0,#N/A,VLOOKUP(Table7[[#This Row],[Date]],Database!$A:$C,MATCH($B$1,Database!$A$1:$C$1,),))</f>
        <v/>
      </c>
      <c r="C3907">
        <f>IF(VLOOKUP(Table7[[#This Row],[Date]],Database!$A:$C,MATCH($C$1,Database!$A$1:$C$1,),)=0,#N/A,VLOOKUP(Table7[[#This Row],[Date]],Database!$A:$C,MATCH($C$1,Database!$A$1:$C$1,),))</f>
        <v/>
      </c>
      <c r="D3907">
        <f>IFERROR(Table7[[#This Row],[United States 10y]]-Table7[[#This Row],[United States 3y]],#N/A)</f>
        <v/>
      </c>
    </row>
    <row r="3908">
      <c r="A3908" s="6">
        <f>Database!$A5993</f>
        <v/>
      </c>
      <c r="B3908">
        <f>IF(VLOOKUP(Table7[[#This Row],[Date]],Database!$A:$C,MATCH($B$1,Database!$A$1:$C$1,),)=0,#N/A,VLOOKUP(Table7[[#This Row],[Date]],Database!$A:$C,MATCH($B$1,Database!$A$1:$C$1,),))</f>
        <v/>
      </c>
      <c r="C3908">
        <f>IF(VLOOKUP(Table7[[#This Row],[Date]],Database!$A:$C,MATCH($C$1,Database!$A$1:$C$1,),)=0,#N/A,VLOOKUP(Table7[[#This Row],[Date]],Database!$A:$C,MATCH($C$1,Database!$A$1:$C$1,),))</f>
        <v/>
      </c>
      <c r="D3908">
        <f>IFERROR(Table7[[#This Row],[United States 10y]]-Table7[[#This Row],[United States 3y]],#N/A)</f>
        <v/>
      </c>
    </row>
    <row r="3909">
      <c r="A3909" s="6">
        <f>Database!$A5994</f>
        <v/>
      </c>
      <c r="B3909">
        <f>IF(VLOOKUP(Table7[[#This Row],[Date]],Database!$A:$C,MATCH($B$1,Database!$A$1:$C$1,),)=0,#N/A,VLOOKUP(Table7[[#This Row],[Date]],Database!$A:$C,MATCH($B$1,Database!$A$1:$C$1,),))</f>
        <v/>
      </c>
      <c r="C3909">
        <f>IF(VLOOKUP(Table7[[#This Row],[Date]],Database!$A:$C,MATCH($C$1,Database!$A$1:$C$1,),)=0,#N/A,VLOOKUP(Table7[[#This Row],[Date]],Database!$A:$C,MATCH($C$1,Database!$A$1:$C$1,),))</f>
        <v/>
      </c>
      <c r="D3909">
        <f>IFERROR(Table7[[#This Row],[United States 10y]]-Table7[[#This Row],[United States 3y]],#N/A)</f>
        <v/>
      </c>
    </row>
    <row r="3910">
      <c r="A3910" s="6">
        <f>Database!$A5995</f>
        <v/>
      </c>
      <c r="B3910">
        <f>IF(VLOOKUP(Table7[[#This Row],[Date]],Database!$A:$C,MATCH($B$1,Database!$A$1:$C$1,),)=0,#N/A,VLOOKUP(Table7[[#This Row],[Date]],Database!$A:$C,MATCH($B$1,Database!$A$1:$C$1,),))</f>
        <v/>
      </c>
      <c r="C3910">
        <f>IF(VLOOKUP(Table7[[#This Row],[Date]],Database!$A:$C,MATCH($C$1,Database!$A$1:$C$1,),)=0,#N/A,VLOOKUP(Table7[[#This Row],[Date]],Database!$A:$C,MATCH($C$1,Database!$A$1:$C$1,),))</f>
        <v/>
      </c>
      <c r="D3910">
        <f>IFERROR(Table7[[#This Row],[United States 10y]]-Table7[[#This Row],[United States 3y]],#N/A)</f>
        <v/>
      </c>
    </row>
    <row r="3911">
      <c r="A3911" s="6">
        <f>Database!$A5996</f>
        <v/>
      </c>
      <c r="B3911">
        <f>IF(VLOOKUP(Table7[[#This Row],[Date]],Database!$A:$C,MATCH($B$1,Database!$A$1:$C$1,),)=0,#N/A,VLOOKUP(Table7[[#This Row],[Date]],Database!$A:$C,MATCH($B$1,Database!$A$1:$C$1,),))</f>
        <v/>
      </c>
      <c r="C3911">
        <f>IF(VLOOKUP(Table7[[#This Row],[Date]],Database!$A:$C,MATCH($C$1,Database!$A$1:$C$1,),)=0,#N/A,VLOOKUP(Table7[[#This Row],[Date]],Database!$A:$C,MATCH($C$1,Database!$A$1:$C$1,),))</f>
        <v/>
      </c>
      <c r="D3911">
        <f>IFERROR(Table7[[#This Row],[United States 10y]]-Table7[[#This Row],[United States 3y]],#N/A)</f>
        <v/>
      </c>
    </row>
    <row r="3912">
      <c r="A3912" s="6">
        <f>Database!$A5997</f>
        <v/>
      </c>
      <c r="B3912">
        <f>IF(VLOOKUP(Table7[[#This Row],[Date]],Database!$A:$C,MATCH($B$1,Database!$A$1:$C$1,),)=0,#N/A,VLOOKUP(Table7[[#This Row],[Date]],Database!$A:$C,MATCH($B$1,Database!$A$1:$C$1,),))</f>
        <v/>
      </c>
      <c r="C3912">
        <f>IF(VLOOKUP(Table7[[#This Row],[Date]],Database!$A:$C,MATCH($C$1,Database!$A$1:$C$1,),)=0,#N/A,VLOOKUP(Table7[[#This Row],[Date]],Database!$A:$C,MATCH($C$1,Database!$A$1:$C$1,),))</f>
        <v/>
      </c>
      <c r="D3912">
        <f>IFERROR(Table7[[#This Row],[United States 10y]]-Table7[[#This Row],[United States 3y]],#N/A)</f>
        <v/>
      </c>
    </row>
    <row r="3913">
      <c r="A3913" s="6">
        <f>Database!$A5998</f>
        <v/>
      </c>
      <c r="B3913">
        <f>IF(VLOOKUP(Table7[[#This Row],[Date]],Database!$A:$C,MATCH($B$1,Database!$A$1:$C$1,),)=0,#N/A,VLOOKUP(Table7[[#This Row],[Date]],Database!$A:$C,MATCH($B$1,Database!$A$1:$C$1,),))</f>
        <v/>
      </c>
      <c r="C3913">
        <f>IF(VLOOKUP(Table7[[#This Row],[Date]],Database!$A:$C,MATCH($C$1,Database!$A$1:$C$1,),)=0,#N/A,VLOOKUP(Table7[[#This Row],[Date]],Database!$A:$C,MATCH($C$1,Database!$A$1:$C$1,),))</f>
        <v/>
      </c>
      <c r="D3913">
        <f>IFERROR(Table7[[#This Row],[United States 10y]]-Table7[[#This Row],[United States 3y]],#N/A)</f>
        <v/>
      </c>
    </row>
    <row r="3914">
      <c r="A3914" s="6">
        <f>Database!$A5999</f>
        <v/>
      </c>
      <c r="B3914">
        <f>IF(VLOOKUP(Table7[[#This Row],[Date]],Database!$A:$C,MATCH($B$1,Database!$A$1:$C$1,),)=0,#N/A,VLOOKUP(Table7[[#This Row],[Date]],Database!$A:$C,MATCH($B$1,Database!$A$1:$C$1,),))</f>
        <v/>
      </c>
      <c r="C3914">
        <f>IF(VLOOKUP(Table7[[#This Row],[Date]],Database!$A:$C,MATCH($C$1,Database!$A$1:$C$1,),)=0,#N/A,VLOOKUP(Table7[[#This Row],[Date]],Database!$A:$C,MATCH($C$1,Database!$A$1:$C$1,),))</f>
        <v/>
      </c>
      <c r="D3914">
        <f>IFERROR(Table7[[#This Row],[United States 10y]]-Table7[[#This Row],[United States 3y]],#N/A)</f>
        <v/>
      </c>
    </row>
    <row r="3915">
      <c r="A3915" s="6">
        <f>Database!$A6000</f>
        <v/>
      </c>
      <c r="B3915">
        <f>IF(VLOOKUP(Table7[[#This Row],[Date]],Database!$A:$C,MATCH($B$1,Database!$A$1:$C$1,),)=0,#N/A,VLOOKUP(Table7[[#This Row],[Date]],Database!$A:$C,MATCH($B$1,Database!$A$1:$C$1,),))</f>
        <v/>
      </c>
      <c r="C3915">
        <f>IF(VLOOKUP(Table7[[#This Row],[Date]],Database!$A:$C,MATCH($C$1,Database!$A$1:$C$1,),)=0,#N/A,VLOOKUP(Table7[[#This Row],[Date]],Database!$A:$C,MATCH($C$1,Database!$A$1:$C$1,),))</f>
        <v/>
      </c>
      <c r="D3915">
        <f>IFERROR(Table7[[#This Row],[United States 10y]]-Table7[[#This Row],[United States 3y]],#N/A)</f>
        <v/>
      </c>
    </row>
    <row r="3916">
      <c r="A3916" s="6">
        <f>Database!$A6001</f>
        <v/>
      </c>
      <c r="B3916">
        <f>IF(VLOOKUP(Table7[[#This Row],[Date]],Database!$A:$C,MATCH($B$1,Database!$A$1:$C$1,),)=0,#N/A,VLOOKUP(Table7[[#This Row],[Date]],Database!$A:$C,MATCH($B$1,Database!$A$1:$C$1,),))</f>
        <v/>
      </c>
      <c r="C3916">
        <f>IF(VLOOKUP(Table7[[#This Row],[Date]],Database!$A:$C,MATCH($C$1,Database!$A$1:$C$1,),)=0,#N/A,VLOOKUP(Table7[[#This Row],[Date]],Database!$A:$C,MATCH($C$1,Database!$A$1:$C$1,),))</f>
        <v/>
      </c>
      <c r="D3916">
        <f>IFERROR(Table7[[#This Row],[United States 10y]]-Table7[[#This Row],[United States 3y]],#N/A)</f>
        <v/>
      </c>
    </row>
    <row r="3917">
      <c r="A3917" s="6">
        <f>Database!$A6002</f>
        <v/>
      </c>
      <c r="B3917">
        <f>IF(VLOOKUP(Table7[[#This Row],[Date]],Database!$A:$C,MATCH($B$1,Database!$A$1:$C$1,),)=0,#N/A,VLOOKUP(Table7[[#This Row],[Date]],Database!$A:$C,MATCH($B$1,Database!$A$1:$C$1,),))</f>
        <v/>
      </c>
      <c r="C3917">
        <f>IF(VLOOKUP(Table7[[#This Row],[Date]],Database!$A:$C,MATCH($C$1,Database!$A$1:$C$1,),)=0,#N/A,VLOOKUP(Table7[[#This Row],[Date]],Database!$A:$C,MATCH($C$1,Database!$A$1:$C$1,),))</f>
        <v/>
      </c>
      <c r="D3917">
        <f>IFERROR(Table7[[#This Row],[United States 10y]]-Table7[[#This Row],[United States 3y]],#N/A)</f>
        <v/>
      </c>
    </row>
    <row r="3918">
      <c r="A3918" s="6">
        <f>Database!$A6003</f>
        <v/>
      </c>
      <c r="B3918">
        <f>IF(VLOOKUP(Table7[[#This Row],[Date]],Database!$A:$C,MATCH($B$1,Database!$A$1:$C$1,),)=0,#N/A,VLOOKUP(Table7[[#This Row],[Date]],Database!$A:$C,MATCH($B$1,Database!$A$1:$C$1,),))</f>
        <v/>
      </c>
      <c r="C3918">
        <f>IF(VLOOKUP(Table7[[#This Row],[Date]],Database!$A:$C,MATCH($C$1,Database!$A$1:$C$1,),)=0,#N/A,VLOOKUP(Table7[[#This Row],[Date]],Database!$A:$C,MATCH($C$1,Database!$A$1:$C$1,),))</f>
        <v/>
      </c>
      <c r="D3918">
        <f>IFERROR(Table7[[#This Row],[United States 10y]]-Table7[[#This Row],[United States 3y]],#N/A)</f>
        <v/>
      </c>
    </row>
    <row r="3919">
      <c r="A3919" s="6">
        <f>Database!$A6004</f>
        <v/>
      </c>
      <c r="B3919">
        <f>IF(VLOOKUP(Table7[[#This Row],[Date]],Database!$A:$C,MATCH($B$1,Database!$A$1:$C$1,),)=0,#N/A,VLOOKUP(Table7[[#This Row],[Date]],Database!$A:$C,MATCH($B$1,Database!$A$1:$C$1,),))</f>
        <v/>
      </c>
      <c r="C3919">
        <f>IF(VLOOKUP(Table7[[#This Row],[Date]],Database!$A:$C,MATCH($C$1,Database!$A$1:$C$1,),)=0,#N/A,VLOOKUP(Table7[[#This Row],[Date]],Database!$A:$C,MATCH($C$1,Database!$A$1:$C$1,),))</f>
        <v/>
      </c>
      <c r="D3919">
        <f>IFERROR(Table7[[#This Row],[United States 10y]]-Table7[[#This Row],[United States 3y]],#N/A)</f>
        <v/>
      </c>
    </row>
    <row r="3920">
      <c r="A3920" s="6">
        <f>Database!$A6005</f>
        <v/>
      </c>
      <c r="B3920">
        <f>IF(VLOOKUP(Table7[[#This Row],[Date]],Database!$A:$C,MATCH($B$1,Database!$A$1:$C$1,),)=0,#N/A,VLOOKUP(Table7[[#This Row],[Date]],Database!$A:$C,MATCH($B$1,Database!$A$1:$C$1,),))</f>
        <v/>
      </c>
      <c r="C3920">
        <f>IF(VLOOKUP(Table7[[#This Row],[Date]],Database!$A:$C,MATCH($C$1,Database!$A$1:$C$1,),)=0,#N/A,VLOOKUP(Table7[[#This Row],[Date]],Database!$A:$C,MATCH($C$1,Database!$A$1:$C$1,),))</f>
        <v/>
      </c>
      <c r="D3920">
        <f>IFERROR(Table7[[#This Row],[United States 10y]]-Table7[[#This Row],[United States 3y]],#N/A)</f>
        <v/>
      </c>
    </row>
    <row r="3921">
      <c r="A3921" s="6">
        <f>Database!$A6006</f>
        <v/>
      </c>
      <c r="B3921">
        <f>IF(VLOOKUP(Table7[[#This Row],[Date]],Database!$A:$C,MATCH($B$1,Database!$A$1:$C$1,),)=0,#N/A,VLOOKUP(Table7[[#This Row],[Date]],Database!$A:$C,MATCH($B$1,Database!$A$1:$C$1,),))</f>
        <v/>
      </c>
      <c r="C3921">
        <f>IF(VLOOKUP(Table7[[#This Row],[Date]],Database!$A:$C,MATCH($C$1,Database!$A$1:$C$1,),)=0,#N/A,VLOOKUP(Table7[[#This Row],[Date]],Database!$A:$C,MATCH($C$1,Database!$A$1:$C$1,),))</f>
        <v/>
      </c>
      <c r="D3921">
        <f>IFERROR(Table7[[#This Row],[United States 10y]]-Table7[[#This Row],[United States 3y]],#N/A)</f>
        <v/>
      </c>
    </row>
    <row r="3922">
      <c r="A3922" s="6">
        <f>Database!$A6007</f>
        <v/>
      </c>
      <c r="B3922">
        <f>IF(VLOOKUP(Table7[[#This Row],[Date]],Database!$A:$C,MATCH($B$1,Database!$A$1:$C$1,),)=0,#N/A,VLOOKUP(Table7[[#This Row],[Date]],Database!$A:$C,MATCH($B$1,Database!$A$1:$C$1,),))</f>
        <v/>
      </c>
      <c r="C3922">
        <f>IF(VLOOKUP(Table7[[#This Row],[Date]],Database!$A:$C,MATCH($C$1,Database!$A$1:$C$1,),)=0,#N/A,VLOOKUP(Table7[[#This Row],[Date]],Database!$A:$C,MATCH($C$1,Database!$A$1:$C$1,),))</f>
        <v/>
      </c>
      <c r="D3922">
        <f>IFERROR(Table7[[#This Row],[United States 10y]]-Table7[[#This Row],[United States 3y]],#N/A)</f>
        <v/>
      </c>
    </row>
    <row r="3923">
      <c r="A3923" s="6">
        <f>Database!$A6008</f>
        <v/>
      </c>
      <c r="B3923">
        <f>IF(VLOOKUP(Table7[[#This Row],[Date]],Database!$A:$C,MATCH($B$1,Database!$A$1:$C$1,),)=0,#N/A,VLOOKUP(Table7[[#This Row],[Date]],Database!$A:$C,MATCH($B$1,Database!$A$1:$C$1,),))</f>
        <v/>
      </c>
      <c r="C3923">
        <f>IF(VLOOKUP(Table7[[#This Row],[Date]],Database!$A:$C,MATCH($C$1,Database!$A$1:$C$1,),)=0,#N/A,VLOOKUP(Table7[[#This Row],[Date]],Database!$A:$C,MATCH($C$1,Database!$A$1:$C$1,),))</f>
        <v/>
      </c>
      <c r="D3923">
        <f>IFERROR(Table7[[#This Row],[United States 10y]]-Table7[[#This Row],[United States 3y]],#N/A)</f>
        <v/>
      </c>
    </row>
    <row r="3924">
      <c r="A3924" s="6">
        <f>Database!$A6009</f>
        <v/>
      </c>
      <c r="B3924">
        <f>IF(VLOOKUP(Table7[[#This Row],[Date]],Database!$A:$C,MATCH($B$1,Database!$A$1:$C$1,),)=0,#N/A,VLOOKUP(Table7[[#This Row],[Date]],Database!$A:$C,MATCH($B$1,Database!$A$1:$C$1,),))</f>
        <v/>
      </c>
      <c r="C3924">
        <f>IF(VLOOKUP(Table7[[#This Row],[Date]],Database!$A:$C,MATCH($C$1,Database!$A$1:$C$1,),)=0,#N/A,VLOOKUP(Table7[[#This Row],[Date]],Database!$A:$C,MATCH($C$1,Database!$A$1:$C$1,),))</f>
        <v/>
      </c>
      <c r="D3924">
        <f>IFERROR(Table7[[#This Row],[United States 10y]]-Table7[[#This Row],[United States 3y]],#N/A)</f>
        <v/>
      </c>
    </row>
    <row r="3925">
      <c r="A3925" s="6">
        <f>Database!$A6010</f>
        <v/>
      </c>
      <c r="B3925">
        <f>IF(VLOOKUP(Table7[[#This Row],[Date]],Database!$A:$C,MATCH($B$1,Database!$A$1:$C$1,),)=0,#N/A,VLOOKUP(Table7[[#This Row],[Date]],Database!$A:$C,MATCH($B$1,Database!$A$1:$C$1,),))</f>
        <v/>
      </c>
      <c r="C3925">
        <f>IF(VLOOKUP(Table7[[#This Row],[Date]],Database!$A:$C,MATCH($C$1,Database!$A$1:$C$1,),)=0,#N/A,VLOOKUP(Table7[[#This Row],[Date]],Database!$A:$C,MATCH($C$1,Database!$A$1:$C$1,),))</f>
        <v/>
      </c>
      <c r="D3925">
        <f>IFERROR(Table7[[#This Row],[United States 10y]]-Table7[[#This Row],[United States 3y]],#N/A)</f>
        <v/>
      </c>
    </row>
    <row r="3926">
      <c r="A3926" s="6">
        <f>Database!$A6011</f>
        <v/>
      </c>
      <c r="B3926">
        <f>IF(VLOOKUP(Table7[[#This Row],[Date]],Database!$A:$C,MATCH($B$1,Database!$A$1:$C$1,),)=0,#N/A,VLOOKUP(Table7[[#This Row],[Date]],Database!$A:$C,MATCH($B$1,Database!$A$1:$C$1,),))</f>
        <v/>
      </c>
      <c r="C3926">
        <f>IF(VLOOKUP(Table7[[#This Row],[Date]],Database!$A:$C,MATCH($C$1,Database!$A$1:$C$1,),)=0,#N/A,VLOOKUP(Table7[[#This Row],[Date]],Database!$A:$C,MATCH($C$1,Database!$A$1:$C$1,),))</f>
        <v/>
      </c>
      <c r="D3926">
        <f>IFERROR(Table7[[#This Row],[United States 10y]]-Table7[[#This Row],[United States 3y]],#N/A)</f>
        <v/>
      </c>
    </row>
    <row r="3927">
      <c r="A3927" s="6">
        <f>Database!$A6012</f>
        <v/>
      </c>
      <c r="B3927">
        <f>IF(VLOOKUP(Table7[[#This Row],[Date]],Database!$A:$C,MATCH($B$1,Database!$A$1:$C$1,),)=0,#N/A,VLOOKUP(Table7[[#This Row],[Date]],Database!$A:$C,MATCH($B$1,Database!$A$1:$C$1,),))</f>
        <v/>
      </c>
      <c r="C3927">
        <f>IF(VLOOKUP(Table7[[#This Row],[Date]],Database!$A:$C,MATCH($C$1,Database!$A$1:$C$1,),)=0,#N/A,VLOOKUP(Table7[[#This Row],[Date]],Database!$A:$C,MATCH($C$1,Database!$A$1:$C$1,),))</f>
        <v/>
      </c>
      <c r="D3927">
        <f>IFERROR(Table7[[#This Row],[United States 10y]]-Table7[[#This Row],[United States 3y]],#N/A)</f>
        <v/>
      </c>
    </row>
    <row r="3928">
      <c r="A3928" s="6">
        <f>Database!$A6013</f>
        <v/>
      </c>
      <c r="B3928">
        <f>IF(VLOOKUP(Table7[[#This Row],[Date]],Database!$A:$C,MATCH($B$1,Database!$A$1:$C$1,),)=0,#N/A,VLOOKUP(Table7[[#This Row],[Date]],Database!$A:$C,MATCH($B$1,Database!$A$1:$C$1,),))</f>
        <v/>
      </c>
      <c r="C3928">
        <f>IF(VLOOKUP(Table7[[#This Row],[Date]],Database!$A:$C,MATCH($C$1,Database!$A$1:$C$1,),)=0,#N/A,VLOOKUP(Table7[[#This Row],[Date]],Database!$A:$C,MATCH($C$1,Database!$A$1:$C$1,),))</f>
        <v/>
      </c>
      <c r="D3928">
        <f>IFERROR(Table7[[#This Row],[United States 10y]]-Table7[[#This Row],[United States 3y]],#N/A)</f>
        <v/>
      </c>
    </row>
    <row r="3929">
      <c r="A3929" s="6">
        <f>Database!$A6014</f>
        <v/>
      </c>
      <c r="B3929">
        <f>IF(VLOOKUP(Table7[[#This Row],[Date]],Database!$A:$C,MATCH($B$1,Database!$A$1:$C$1,),)=0,#N/A,VLOOKUP(Table7[[#This Row],[Date]],Database!$A:$C,MATCH($B$1,Database!$A$1:$C$1,),))</f>
        <v/>
      </c>
      <c r="C3929">
        <f>IF(VLOOKUP(Table7[[#This Row],[Date]],Database!$A:$C,MATCH($C$1,Database!$A$1:$C$1,),)=0,#N/A,VLOOKUP(Table7[[#This Row],[Date]],Database!$A:$C,MATCH($C$1,Database!$A$1:$C$1,),))</f>
        <v/>
      </c>
      <c r="D3929">
        <f>IFERROR(Table7[[#This Row],[United States 10y]]-Table7[[#This Row],[United States 3y]],#N/A)</f>
        <v/>
      </c>
    </row>
    <row r="3930">
      <c r="A3930" s="6">
        <f>Database!$A6015</f>
        <v/>
      </c>
      <c r="B3930">
        <f>IF(VLOOKUP(Table7[[#This Row],[Date]],Database!$A:$C,MATCH($B$1,Database!$A$1:$C$1,),)=0,#N/A,VLOOKUP(Table7[[#This Row],[Date]],Database!$A:$C,MATCH($B$1,Database!$A$1:$C$1,),))</f>
        <v/>
      </c>
      <c r="C3930">
        <f>IF(VLOOKUP(Table7[[#This Row],[Date]],Database!$A:$C,MATCH($C$1,Database!$A$1:$C$1,),)=0,#N/A,VLOOKUP(Table7[[#This Row],[Date]],Database!$A:$C,MATCH($C$1,Database!$A$1:$C$1,),))</f>
        <v/>
      </c>
      <c r="D3930">
        <f>IFERROR(Table7[[#This Row],[United States 10y]]-Table7[[#This Row],[United States 3y]],#N/A)</f>
        <v/>
      </c>
    </row>
    <row r="3931">
      <c r="A3931" s="6">
        <f>Database!$A6016</f>
        <v/>
      </c>
      <c r="B3931">
        <f>IF(VLOOKUP(Table7[[#This Row],[Date]],Database!$A:$C,MATCH($B$1,Database!$A$1:$C$1,),)=0,#N/A,VLOOKUP(Table7[[#This Row],[Date]],Database!$A:$C,MATCH($B$1,Database!$A$1:$C$1,),))</f>
        <v/>
      </c>
      <c r="C3931">
        <f>IF(VLOOKUP(Table7[[#This Row],[Date]],Database!$A:$C,MATCH($C$1,Database!$A$1:$C$1,),)=0,#N/A,VLOOKUP(Table7[[#This Row],[Date]],Database!$A:$C,MATCH($C$1,Database!$A$1:$C$1,),))</f>
        <v/>
      </c>
      <c r="D3931">
        <f>IFERROR(Table7[[#This Row],[United States 10y]]-Table7[[#This Row],[United States 3y]],#N/A)</f>
        <v/>
      </c>
    </row>
    <row r="3932">
      <c r="A3932" s="6">
        <f>Database!$A6017</f>
        <v/>
      </c>
      <c r="B3932">
        <f>IF(VLOOKUP(Table7[[#This Row],[Date]],Database!$A:$C,MATCH($B$1,Database!$A$1:$C$1,),)=0,#N/A,VLOOKUP(Table7[[#This Row],[Date]],Database!$A:$C,MATCH($B$1,Database!$A$1:$C$1,),))</f>
        <v/>
      </c>
      <c r="C3932">
        <f>IF(VLOOKUP(Table7[[#This Row],[Date]],Database!$A:$C,MATCH($C$1,Database!$A$1:$C$1,),)=0,#N/A,VLOOKUP(Table7[[#This Row],[Date]],Database!$A:$C,MATCH($C$1,Database!$A$1:$C$1,),))</f>
        <v/>
      </c>
      <c r="D3932">
        <f>IFERROR(Table7[[#This Row],[United States 10y]]-Table7[[#This Row],[United States 3y]],#N/A)</f>
        <v/>
      </c>
    </row>
    <row r="3933">
      <c r="A3933" s="6">
        <f>Database!$A6018</f>
        <v/>
      </c>
      <c r="B3933">
        <f>IF(VLOOKUP(Table7[[#This Row],[Date]],Database!$A:$C,MATCH($B$1,Database!$A$1:$C$1,),)=0,#N/A,VLOOKUP(Table7[[#This Row],[Date]],Database!$A:$C,MATCH($B$1,Database!$A$1:$C$1,),))</f>
        <v/>
      </c>
      <c r="C3933">
        <f>IF(VLOOKUP(Table7[[#This Row],[Date]],Database!$A:$C,MATCH($C$1,Database!$A$1:$C$1,),)=0,#N/A,VLOOKUP(Table7[[#This Row],[Date]],Database!$A:$C,MATCH($C$1,Database!$A$1:$C$1,),))</f>
        <v/>
      </c>
      <c r="D3933">
        <f>IFERROR(Table7[[#This Row],[United States 10y]]-Table7[[#This Row],[United States 3y]],#N/A)</f>
        <v/>
      </c>
    </row>
    <row r="3934">
      <c r="A3934" s="6">
        <f>Database!$A6019</f>
        <v/>
      </c>
      <c r="B3934">
        <f>IF(VLOOKUP(Table7[[#This Row],[Date]],Database!$A:$C,MATCH($B$1,Database!$A$1:$C$1,),)=0,#N/A,VLOOKUP(Table7[[#This Row],[Date]],Database!$A:$C,MATCH($B$1,Database!$A$1:$C$1,),))</f>
        <v/>
      </c>
      <c r="C3934">
        <f>IF(VLOOKUP(Table7[[#This Row],[Date]],Database!$A:$C,MATCH($C$1,Database!$A$1:$C$1,),)=0,#N/A,VLOOKUP(Table7[[#This Row],[Date]],Database!$A:$C,MATCH($C$1,Database!$A$1:$C$1,),))</f>
        <v/>
      </c>
      <c r="D3934">
        <f>IFERROR(Table7[[#This Row],[United States 10y]]-Table7[[#This Row],[United States 3y]],#N/A)</f>
        <v/>
      </c>
    </row>
    <row r="3935">
      <c r="A3935" s="6">
        <f>Database!$A6020</f>
        <v/>
      </c>
      <c r="B3935">
        <f>IF(VLOOKUP(Table7[[#This Row],[Date]],Database!$A:$C,MATCH($B$1,Database!$A$1:$C$1,),)=0,#N/A,VLOOKUP(Table7[[#This Row],[Date]],Database!$A:$C,MATCH($B$1,Database!$A$1:$C$1,),))</f>
        <v/>
      </c>
      <c r="C3935">
        <f>IF(VLOOKUP(Table7[[#This Row],[Date]],Database!$A:$C,MATCH($C$1,Database!$A$1:$C$1,),)=0,#N/A,VLOOKUP(Table7[[#This Row],[Date]],Database!$A:$C,MATCH($C$1,Database!$A$1:$C$1,),))</f>
        <v/>
      </c>
      <c r="D3935">
        <f>IFERROR(Table7[[#This Row],[United States 10y]]-Table7[[#This Row],[United States 3y]],#N/A)</f>
        <v/>
      </c>
    </row>
    <row r="3936">
      <c r="A3936" s="6">
        <f>Database!$A6021</f>
        <v/>
      </c>
      <c r="B3936">
        <f>IF(VLOOKUP(Table7[[#This Row],[Date]],Database!$A:$C,MATCH($B$1,Database!$A$1:$C$1,),)=0,#N/A,VLOOKUP(Table7[[#This Row],[Date]],Database!$A:$C,MATCH($B$1,Database!$A$1:$C$1,),))</f>
        <v/>
      </c>
      <c r="C3936">
        <f>IF(VLOOKUP(Table7[[#This Row],[Date]],Database!$A:$C,MATCH($C$1,Database!$A$1:$C$1,),)=0,#N/A,VLOOKUP(Table7[[#This Row],[Date]],Database!$A:$C,MATCH($C$1,Database!$A$1:$C$1,),))</f>
        <v/>
      </c>
      <c r="D3936">
        <f>IFERROR(Table7[[#This Row],[United States 10y]]-Table7[[#This Row],[United States 3y]],#N/A)</f>
        <v/>
      </c>
    </row>
    <row r="3937">
      <c r="A3937" s="6">
        <f>Database!$A6022</f>
        <v/>
      </c>
      <c r="B3937">
        <f>IF(VLOOKUP(Table7[[#This Row],[Date]],Database!$A:$C,MATCH($B$1,Database!$A$1:$C$1,),)=0,#N/A,VLOOKUP(Table7[[#This Row],[Date]],Database!$A:$C,MATCH($B$1,Database!$A$1:$C$1,),))</f>
        <v/>
      </c>
      <c r="C3937">
        <f>IF(VLOOKUP(Table7[[#This Row],[Date]],Database!$A:$C,MATCH($C$1,Database!$A$1:$C$1,),)=0,#N/A,VLOOKUP(Table7[[#This Row],[Date]],Database!$A:$C,MATCH($C$1,Database!$A$1:$C$1,),))</f>
        <v/>
      </c>
      <c r="D3937">
        <f>IFERROR(Table7[[#This Row],[United States 10y]]-Table7[[#This Row],[United States 3y]],#N/A)</f>
        <v/>
      </c>
    </row>
    <row r="3938">
      <c r="A3938" s="6">
        <f>Database!$A6023</f>
        <v/>
      </c>
      <c r="B3938">
        <f>IF(VLOOKUP(Table7[[#This Row],[Date]],Database!$A:$C,MATCH($B$1,Database!$A$1:$C$1,),)=0,#N/A,VLOOKUP(Table7[[#This Row],[Date]],Database!$A:$C,MATCH($B$1,Database!$A$1:$C$1,),))</f>
        <v/>
      </c>
      <c r="C3938">
        <f>IF(VLOOKUP(Table7[[#This Row],[Date]],Database!$A:$C,MATCH($C$1,Database!$A$1:$C$1,),)=0,#N/A,VLOOKUP(Table7[[#This Row],[Date]],Database!$A:$C,MATCH($C$1,Database!$A$1:$C$1,),))</f>
        <v/>
      </c>
      <c r="D3938">
        <f>IFERROR(Table7[[#This Row],[United States 10y]]-Table7[[#This Row],[United States 3y]],#N/A)</f>
        <v/>
      </c>
    </row>
    <row r="3939">
      <c r="A3939" s="6">
        <f>Database!$A6024</f>
        <v/>
      </c>
      <c r="B3939">
        <f>IF(VLOOKUP(Table7[[#This Row],[Date]],Database!$A:$C,MATCH($B$1,Database!$A$1:$C$1,),)=0,#N/A,VLOOKUP(Table7[[#This Row],[Date]],Database!$A:$C,MATCH($B$1,Database!$A$1:$C$1,),))</f>
        <v/>
      </c>
      <c r="C3939">
        <f>IF(VLOOKUP(Table7[[#This Row],[Date]],Database!$A:$C,MATCH($C$1,Database!$A$1:$C$1,),)=0,#N/A,VLOOKUP(Table7[[#This Row],[Date]],Database!$A:$C,MATCH($C$1,Database!$A$1:$C$1,),))</f>
        <v/>
      </c>
      <c r="D3939">
        <f>IFERROR(Table7[[#This Row],[United States 10y]]-Table7[[#This Row],[United States 3y]],#N/A)</f>
        <v/>
      </c>
    </row>
    <row r="3940">
      <c r="A3940" s="6">
        <f>Database!$A6025</f>
        <v/>
      </c>
      <c r="B3940">
        <f>IF(VLOOKUP(Table7[[#This Row],[Date]],Database!$A:$C,MATCH($B$1,Database!$A$1:$C$1,),)=0,#N/A,VLOOKUP(Table7[[#This Row],[Date]],Database!$A:$C,MATCH($B$1,Database!$A$1:$C$1,),))</f>
        <v/>
      </c>
      <c r="C3940">
        <f>IF(VLOOKUP(Table7[[#This Row],[Date]],Database!$A:$C,MATCH($C$1,Database!$A$1:$C$1,),)=0,#N/A,VLOOKUP(Table7[[#This Row],[Date]],Database!$A:$C,MATCH($C$1,Database!$A$1:$C$1,),))</f>
        <v/>
      </c>
      <c r="D3940">
        <f>IFERROR(Table7[[#This Row],[United States 10y]]-Table7[[#This Row],[United States 3y]],#N/A)</f>
        <v/>
      </c>
    </row>
    <row r="3941">
      <c r="A3941" s="6">
        <f>Database!$A6026</f>
        <v/>
      </c>
      <c r="B3941">
        <f>IF(VLOOKUP(Table7[[#This Row],[Date]],Database!$A:$C,MATCH($B$1,Database!$A$1:$C$1,),)=0,#N/A,VLOOKUP(Table7[[#This Row],[Date]],Database!$A:$C,MATCH($B$1,Database!$A$1:$C$1,),))</f>
        <v/>
      </c>
      <c r="C3941">
        <f>IF(VLOOKUP(Table7[[#This Row],[Date]],Database!$A:$C,MATCH($C$1,Database!$A$1:$C$1,),)=0,#N/A,VLOOKUP(Table7[[#This Row],[Date]],Database!$A:$C,MATCH($C$1,Database!$A$1:$C$1,),))</f>
        <v/>
      </c>
      <c r="D3941">
        <f>IFERROR(Table7[[#This Row],[United States 10y]]-Table7[[#This Row],[United States 3y]],#N/A)</f>
        <v/>
      </c>
    </row>
    <row r="3942">
      <c r="A3942" s="6">
        <f>Database!$A6027</f>
        <v/>
      </c>
      <c r="B3942">
        <f>IF(VLOOKUP(Table7[[#This Row],[Date]],Database!$A:$C,MATCH($B$1,Database!$A$1:$C$1,),)=0,#N/A,VLOOKUP(Table7[[#This Row],[Date]],Database!$A:$C,MATCH($B$1,Database!$A$1:$C$1,),))</f>
        <v/>
      </c>
      <c r="C3942">
        <f>IF(VLOOKUP(Table7[[#This Row],[Date]],Database!$A:$C,MATCH($C$1,Database!$A$1:$C$1,),)=0,#N/A,VLOOKUP(Table7[[#This Row],[Date]],Database!$A:$C,MATCH($C$1,Database!$A$1:$C$1,),))</f>
        <v/>
      </c>
      <c r="D3942">
        <f>IFERROR(Table7[[#This Row],[United States 10y]]-Table7[[#This Row],[United States 3y]],#N/A)</f>
        <v/>
      </c>
    </row>
    <row r="3943">
      <c r="A3943" s="6">
        <f>Database!$A6028</f>
        <v/>
      </c>
      <c r="B3943">
        <f>IF(VLOOKUP(Table7[[#This Row],[Date]],Database!$A:$C,MATCH($B$1,Database!$A$1:$C$1,),)=0,#N/A,VLOOKUP(Table7[[#This Row],[Date]],Database!$A:$C,MATCH($B$1,Database!$A$1:$C$1,),))</f>
        <v/>
      </c>
      <c r="C3943">
        <f>IF(VLOOKUP(Table7[[#This Row],[Date]],Database!$A:$C,MATCH($C$1,Database!$A$1:$C$1,),)=0,#N/A,VLOOKUP(Table7[[#This Row],[Date]],Database!$A:$C,MATCH($C$1,Database!$A$1:$C$1,),))</f>
        <v/>
      </c>
      <c r="D3943">
        <f>IFERROR(Table7[[#This Row],[United States 10y]]-Table7[[#This Row],[United States 3y]],#N/A)</f>
        <v/>
      </c>
    </row>
    <row r="3944">
      <c r="A3944" s="6">
        <f>Database!$A6029</f>
        <v/>
      </c>
      <c r="B3944">
        <f>IF(VLOOKUP(Table7[[#This Row],[Date]],Database!$A:$C,MATCH($B$1,Database!$A$1:$C$1,),)=0,#N/A,VLOOKUP(Table7[[#This Row],[Date]],Database!$A:$C,MATCH($B$1,Database!$A$1:$C$1,),))</f>
        <v/>
      </c>
      <c r="C3944">
        <f>IF(VLOOKUP(Table7[[#This Row],[Date]],Database!$A:$C,MATCH($C$1,Database!$A$1:$C$1,),)=0,#N/A,VLOOKUP(Table7[[#This Row],[Date]],Database!$A:$C,MATCH($C$1,Database!$A$1:$C$1,),))</f>
        <v/>
      </c>
      <c r="D3944">
        <f>IFERROR(Table7[[#This Row],[United States 10y]]-Table7[[#This Row],[United States 3y]],#N/A)</f>
        <v/>
      </c>
    </row>
    <row r="3945">
      <c r="A3945" s="6">
        <f>Database!$A6030</f>
        <v/>
      </c>
      <c r="B3945">
        <f>IF(VLOOKUP(Table7[[#This Row],[Date]],Database!$A:$C,MATCH($B$1,Database!$A$1:$C$1,),)=0,#N/A,VLOOKUP(Table7[[#This Row],[Date]],Database!$A:$C,MATCH($B$1,Database!$A$1:$C$1,),))</f>
        <v/>
      </c>
      <c r="C3945">
        <f>IF(VLOOKUP(Table7[[#This Row],[Date]],Database!$A:$C,MATCH($C$1,Database!$A$1:$C$1,),)=0,#N/A,VLOOKUP(Table7[[#This Row],[Date]],Database!$A:$C,MATCH($C$1,Database!$A$1:$C$1,),))</f>
        <v/>
      </c>
      <c r="D3945">
        <f>IFERROR(Table7[[#This Row],[United States 10y]]-Table7[[#This Row],[United States 3y]],#N/A)</f>
        <v/>
      </c>
    </row>
    <row r="3946">
      <c r="A3946" s="6">
        <f>Database!$A6031</f>
        <v/>
      </c>
      <c r="B3946">
        <f>IF(VLOOKUP(Table7[[#This Row],[Date]],Database!$A:$C,MATCH($B$1,Database!$A$1:$C$1,),)=0,#N/A,VLOOKUP(Table7[[#This Row],[Date]],Database!$A:$C,MATCH($B$1,Database!$A$1:$C$1,),))</f>
        <v/>
      </c>
      <c r="C3946">
        <f>IF(VLOOKUP(Table7[[#This Row],[Date]],Database!$A:$C,MATCH($C$1,Database!$A$1:$C$1,),)=0,#N/A,VLOOKUP(Table7[[#This Row],[Date]],Database!$A:$C,MATCH($C$1,Database!$A$1:$C$1,),))</f>
        <v/>
      </c>
      <c r="D3946">
        <f>IFERROR(Table7[[#This Row],[United States 10y]]-Table7[[#This Row],[United States 3y]],#N/A)</f>
        <v/>
      </c>
    </row>
    <row r="3947">
      <c r="A3947" s="6">
        <f>Database!$A6032</f>
        <v/>
      </c>
      <c r="B3947">
        <f>IF(VLOOKUP(Table7[[#This Row],[Date]],Database!$A:$C,MATCH($B$1,Database!$A$1:$C$1,),)=0,#N/A,VLOOKUP(Table7[[#This Row],[Date]],Database!$A:$C,MATCH($B$1,Database!$A$1:$C$1,),))</f>
        <v/>
      </c>
      <c r="C3947">
        <f>IF(VLOOKUP(Table7[[#This Row],[Date]],Database!$A:$C,MATCH($C$1,Database!$A$1:$C$1,),)=0,#N/A,VLOOKUP(Table7[[#This Row],[Date]],Database!$A:$C,MATCH($C$1,Database!$A$1:$C$1,),))</f>
        <v/>
      </c>
      <c r="D3947">
        <f>IFERROR(Table7[[#This Row],[United States 10y]]-Table7[[#This Row],[United States 3y]],#N/A)</f>
        <v/>
      </c>
    </row>
    <row r="3948">
      <c r="A3948" s="6">
        <f>Database!$A6033</f>
        <v/>
      </c>
      <c r="B3948">
        <f>IF(VLOOKUP(Table7[[#This Row],[Date]],Database!$A:$C,MATCH($B$1,Database!$A$1:$C$1,),)=0,#N/A,VLOOKUP(Table7[[#This Row],[Date]],Database!$A:$C,MATCH($B$1,Database!$A$1:$C$1,),))</f>
        <v/>
      </c>
      <c r="C3948">
        <f>IF(VLOOKUP(Table7[[#This Row],[Date]],Database!$A:$C,MATCH($C$1,Database!$A$1:$C$1,),)=0,#N/A,VLOOKUP(Table7[[#This Row],[Date]],Database!$A:$C,MATCH($C$1,Database!$A$1:$C$1,),))</f>
        <v/>
      </c>
      <c r="D3948">
        <f>IFERROR(Table7[[#This Row],[United States 10y]]-Table7[[#This Row],[United States 3y]],#N/A)</f>
        <v/>
      </c>
    </row>
    <row r="3949">
      <c r="A3949" s="6">
        <f>Database!$A6034</f>
        <v/>
      </c>
      <c r="B3949">
        <f>IF(VLOOKUP(Table7[[#This Row],[Date]],Database!$A:$C,MATCH($B$1,Database!$A$1:$C$1,),)=0,#N/A,VLOOKUP(Table7[[#This Row],[Date]],Database!$A:$C,MATCH($B$1,Database!$A$1:$C$1,),))</f>
        <v/>
      </c>
      <c r="C3949">
        <f>IF(VLOOKUP(Table7[[#This Row],[Date]],Database!$A:$C,MATCH($C$1,Database!$A$1:$C$1,),)=0,#N/A,VLOOKUP(Table7[[#This Row],[Date]],Database!$A:$C,MATCH($C$1,Database!$A$1:$C$1,),))</f>
        <v/>
      </c>
      <c r="D3949">
        <f>IFERROR(Table7[[#This Row],[United States 10y]]-Table7[[#This Row],[United States 3y]],#N/A)</f>
        <v/>
      </c>
    </row>
    <row r="3950">
      <c r="A3950" s="6">
        <f>Database!$A6035</f>
        <v/>
      </c>
      <c r="B3950">
        <f>IF(VLOOKUP(Table7[[#This Row],[Date]],Database!$A:$C,MATCH($B$1,Database!$A$1:$C$1,),)=0,#N/A,VLOOKUP(Table7[[#This Row],[Date]],Database!$A:$C,MATCH($B$1,Database!$A$1:$C$1,),))</f>
        <v/>
      </c>
      <c r="C3950">
        <f>IF(VLOOKUP(Table7[[#This Row],[Date]],Database!$A:$C,MATCH($C$1,Database!$A$1:$C$1,),)=0,#N/A,VLOOKUP(Table7[[#This Row],[Date]],Database!$A:$C,MATCH($C$1,Database!$A$1:$C$1,),))</f>
        <v/>
      </c>
      <c r="D3950">
        <f>IFERROR(Table7[[#This Row],[United States 10y]]-Table7[[#This Row],[United States 3y]],#N/A)</f>
        <v/>
      </c>
    </row>
    <row r="3951">
      <c r="A3951" s="6">
        <f>Database!$A6036</f>
        <v/>
      </c>
      <c r="B3951">
        <f>IF(VLOOKUP(Table7[[#This Row],[Date]],Database!$A:$C,MATCH($B$1,Database!$A$1:$C$1,),)=0,#N/A,VLOOKUP(Table7[[#This Row],[Date]],Database!$A:$C,MATCH($B$1,Database!$A$1:$C$1,),))</f>
        <v/>
      </c>
      <c r="C3951">
        <f>IF(VLOOKUP(Table7[[#This Row],[Date]],Database!$A:$C,MATCH($C$1,Database!$A$1:$C$1,),)=0,#N/A,VLOOKUP(Table7[[#This Row],[Date]],Database!$A:$C,MATCH($C$1,Database!$A$1:$C$1,),))</f>
        <v/>
      </c>
      <c r="D3951">
        <f>IFERROR(Table7[[#This Row],[United States 10y]]-Table7[[#This Row],[United States 3y]],#N/A)</f>
        <v/>
      </c>
    </row>
    <row r="3952">
      <c r="A3952" s="6">
        <f>Database!$A6037</f>
        <v/>
      </c>
      <c r="B3952">
        <f>IF(VLOOKUP(Table7[[#This Row],[Date]],Database!$A:$C,MATCH($B$1,Database!$A$1:$C$1,),)=0,#N/A,VLOOKUP(Table7[[#This Row],[Date]],Database!$A:$C,MATCH($B$1,Database!$A$1:$C$1,),))</f>
        <v/>
      </c>
      <c r="C3952">
        <f>IF(VLOOKUP(Table7[[#This Row],[Date]],Database!$A:$C,MATCH($C$1,Database!$A$1:$C$1,),)=0,#N/A,VLOOKUP(Table7[[#This Row],[Date]],Database!$A:$C,MATCH($C$1,Database!$A$1:$C$1,),))</f>
        <v/>
      </c>
      <c r="D3952">
        <f>IFERROR(Table7[[#This Row],[United States 10y]]-Table7[[#This Row],[United States 3y]],#N/A)</f>
        <v/>
      </c>
    </row>
    <row r="3953">
      <c r="A3953" s="6">
        <f>Database!$A6038</f>
        <v/>
      </c>
      <c r="B3953">
        <f>IF(VLOOKUP(Table7[[#This Row],[Date]],Database!$A:$C,MATCH($B$1,Database!$A$1:$C$1,),)=0,#N/A,VLOOKUP(Table7[[#This Row],[Date]],Database!$A:$C,MATCH($B$1,Database!$A$1:$C$1,),))</f>
        <v/>
      </c>
      <c r="C3953">
        <f>IF(VLOOKUP(Table7[[#This Row],[Date]],Database!$A:$C,MATCH($C$1,Database!$A$1:$C$1,),)=0,#N/A,VLOOKUP(Table7[[#This Row],[Date]],Database!$A:$C,MATCH($C$1,Database!$A$1:$C$1,),))</f>
        <v/>
      </c>
      <c r="D3953">
        <f>IFERROR(Table7[[#This Row],[United States 10y]]-Table7[[#This Row],[United States 3y]],#N/A)</f>
        <v/>
      </c>
    </row>
    <row r="3954">
      <c r="A3954" s="6">
        <f>Database!$A6039</f>
        <v/>
      </c>
      <c r="B3954">
        <f>IF(VLOOKUP(Table7[[#This Row],[Date]],Database!$A:$C,MATCH($B$1,Database!$A$1:$C$1,),)=0,#N/A,VLOOKUP(Table7[[#This Row],[Date]],Database!$A:$C,MATCH($B$1,Database!$A$1:$C$1,),))</f>
        <v/>
      </c>
      <c r="C3954">
        <f>IF(VLOOKUP(Table7[[#This Row],[Date]],Database!$A:$C,MATCH($C$1,Database!$A$1:$C$1,),)=0,#N/A,VLOOKUP(Table7[[#This Row],[Date]],Database!$A:$C,MATCH($C$1,Database!$A$1:$C$1,),))</f>
        <v/>
      </c>
      <c r="D3954">
        <f>IFERROR(Table7[[#This Row],[United States 10y]]-Table7[[#This Row],[United States 3y]],#N/A)</f>
        <v/>
      </c>
    </row>
    <row r="3955">
      <c r="A3955" s="6">
        <f>Database!$A6040</f>
        <v/>
      </c>
      <c r="B3955">
        <f>IF(VLOOKUP(Table7[[#This Row],[Date]],Database!$A:$C,MATCH($B$1,Database!$A$1:$C$1,),)=0,#N/A,VLOOKUP(Table7[[#This Row],[Date]],Database!$A:$C,MATCH($B$1,Database!$A$1:$C$1,),))</f>
        <v/>
      </c>
      <c r="C3955">
        <f>IF(VLOOKUP(Table7[[#This Row],[Date]],Database!$A:$C,MATCH($C$1,Database!$A$1:$C$1,),)=0,#N/A,VLOOKUP(Table7[[#This Row],[Date]],Database!$A:$C,MATCH($C$1,Database!$A$1:$C$1,),))</f>
        <v/>
      </c>
      <c r="D3955">
        <f>IFERROR(Table7[[#This Row],[United States 10y]]-Table7[[#This Row],[United States 3y]],#N/A)</f>
        <v/>
      </c>
    </row>
    <row r="3956">
      <c r="A3956" s="6">
        <f>Database!$A6041</f>
        <v/>
      </c>
      <c r="B3956">
        <f>IF(VLOOKUP(Table7[[#This Row],[Date]],Database!$A:$C,MATCH($B$1,Database!$A$1:$C$1,),)=0,#N/A,VLOOKUP(Table7[[#This Row],[Date]],Database!$A:$C,MATCH($B$1,Database!$A$1:$C$1,),))</f>
        <v/>
      </c>
      <c r="C3956">
        <f>IF(VLOOKUP(Table7[[#This Row],[Date]],Database!$A:$C,MATCH($C$1,Database!$A$1:$C$1,),)=0,#N/A,VLOOKUP(Table7[[#This Row],[Date]],Database!$A:$C,MATCH($C$1,Database!$A$1:$C$1,),))</f>
        <v/>
      </c>
      <c r="D3956">
        <f>IFERROR(Table7[[#This Row],[United States 10y]]-Table7[[#This Row],[United States 3y]],#N/A)</f>
        <v/>
      </c>
    </row>
    <row r="3957">
      <c r="A3957" s="6">
        <f>Database!$A6042</f>
        <v/>
      </c>
      <c r="B3957">
        <f>IF(VLOOKUP(Table7[[#This Row],[Date]],Database!$A:$C,MATCH($B$1,Database!$A$1:$C$1,),)=0,#N/A,VLOOKUP(Table7[[#This Row],[Date]],Database!$A:$C,MATCH($B$1,Database!$A$1:$C$1,),))</f>
        <v/>
      </c>
      <c r="C3957">
        <f>IF(VLOOKUP(Table7[[#This Row],[Date]],Database!$A:$C,MATCH($C$1,Database!$A$1:$C$1,),)=0,#N/A,VLOOKUP(Table7[[#This Row],[Date]],Database!$A:$C,MATCH($C$1,Database!$A$1:$C$1,),))</f>
        <v/>
      </c>
      <c r="D3957">
        <f>IFERROR(Table7[[#This Row],[United States 10y]]-Table7[[#This Row],[United States 3y]],#N/A)</f>
        <v/>
      </c>
    </row>
    <row r="3958">
      <c r="A3958" s="6">
        <f>Database!$A6043</f>
        <v/>
      </c>
      <c r="B3958">
        <f>IF(VLOOKUP(Table7[[#This Row],[Date]],Database!$A:$C,MATCH($B$1,Database!$A$1:$C$1,),)=0,#N/A,VLOOKUP(Table7[[#This Row],[Date]],Database!$A:$C,MATCH($B$1,Database!$A$1:$C$1,),))</f>
        <v/>
      </c>
      <c r="C3958">
        <f>IF(VLOOKUP(Table7[[#This Row],[Date]],Database!$A:$C,MATCH($C$1,Database!$A$1:$C$1,),)=0,#N/A,VLOOKUP(Table7[[#This Row],[Date]],Database!$A:$C,MATCH($C$1,Database!$A$1:$C$1,),))</f>
        <v/>
      </c>
      <c r="D3958">
        <f>IFERROR(Table7[[#This Row],[United States 10y]]-Table7[[#This Row],[United States 3y]],#N/A)</f>
        <v/>
      </c>
    </row>
    <row r="3959">
      <c r="A3959" s="6">
        <f>Database!$A6044</f>
        <v/>
      </c>
      <c r="B3959">
        <f>IF(VLOOKUP(Table7[[#This Row],[Date]],Database!$A:$C,MATCH($B$1,Database!$A$1:$C$1,),)=0,#N/A,VLOOKUP(Table7[[#This Row],[Date]],Database!$A:$C,MATCH($B$1,Database!$A$1:$C$1,),))</f>
        <v/>
      </c>
      <c r="C3959">
        <f>IF(VLOOKUP(Table7[[#This Row],[Date]],Database!$A:$C,MATCH($C$1,Database!$A$1:$C$1,),)=0,#N/A,VLOOKUP(Table7[[#This Row],[Date]],Database!$A:$C,MATCH($C$1,Database!$A$1:$C$1,),))</f>
        <v/>
      </c>
      <c r="D3959">
        <f>IFERROR(Table7[[#This Row],[United States 10y]]-Table7[[#This Row],[United States 3y]],#N/A)</f>
        <v/>
      </c>
    </row>
    <row r="3960">
      <c r="A3960" s="6">
        <f>Database!$A6045</f>
        <v/>
      </c>
      <c r="B3960">
        <f>IF(VLOOKUP(Table7[[#This Row],[Date]],Database!$A:$C,MATCH($B$1,Database!$A$1:$C$1,),)=0,#N/A,VLOOKUP(Table7[[#This Row],[Date]],Database!$A:$C,MATCH($B$1,Database!$A$1:$C$1,),))</f>
        <v/>
      </c>
      <c r="C3960">
        <f>IF(VLOOKUP(Table7[[#This Row],[Date]],Database!$A:$C,MATCH($C$1,Database!$A$1:$C$1,),)=0,#N/A,VLOOKUP(Table7[[#This Row],[Date]],Database!$A:$C,MATCH($C$1,Database!$A$1:$C$1,),))</f>
        <v/>
      </c>
      <c r="D3960">
        <f>IFERROR(Table7[[#This Row],[United States 10y]]-Table7[[#This Row],[United States 3y]],#N/A)</f>
        <v/>
      </c>
    </row>
    <row r="3961">
      <c r="A3961" s="6">
        <f>Database!$A6046</f>
        <v/>
      </c>
      <c r="B3961">
        <f>IF(VLOOKUP(Table7[[#This Row],[Date]],Database!$A:$C,MATCH($B$1,Database!$A$1:$C$1,),)=0,#N/A,VLOOKUP(Table7[[#This Row],[Date]],Database!$A:$C,MATCH($B$1,Database!$A$1:$C$1,),))</f>
        <v/>
      </c>
      <c r="C3961">
        <f>IF(VLOOKUP(Table7[[#This Row],[Date]],Database!$A:$C,MATCH($C$1,Database!$A$1:$C$1,),)=0,#N/A,VLOOKUP(Table7[[#This Row],[Date]],Database!$A:$C,MATCH($C$1,Database!$A$1:$C$1,),))</f>
        <v/>
      </c>
      <c r="D3961">
        <f>IFERROR(Table7[[#This Row],[United States 10y]]-Table7[[#This Row],[United States 3y]],#N/A)</f>
        <v/>
      </c>
    </row>
    <row r="3962">
      <c r="A3962" s="6">
        <f>Database!$A6047</f>
        <v/>
      </c>
      <c r="B3962">
        <f>IF(VLOOKUP(Table7[[#This Row],[Date]],Database!$A:$C,MATCH($B$1,Database!$A$1:$C$1,),)=0,#N/A,VLOOKUP(Table7[[#This Row],[Date]],Database!$A:$C,MATCH($B$1,Database!$A$1:$C$1,),))</f>
        <v/>
      </c>
      <c r="C3962">
        <f>IF(VLOOKUP(Table7[[#This Row],[Date]],Database!$A:$C,MATCH($C$1,Database!$A$1:$C$1,),)=0,#N/A,VLOOKUP(Table7[[#This Row],[Date]],Database!$A:$C,MATCH($C$1,Database!$A$1:$C$1,),))</f>
        <v/>
      </c>
      <c r="D3962">
        <f>IFERROR(Table7[[#This Row],[United States 10y]]-Table7[[#This Row],[United States 3y]],#N/A)</f>
        <v/>
      </c>
    </row>
    <row r="3963">
      <c r="A3963" s="6">
        <f>Database!$A6048</f>
        <v/>
      </c>
      <c r="B3963">
        <f>IF(VLOOKUP(Table7[[#This Row],[Date]],Database!$A:$C,MATCH($B$1,Database!$A$1:$C$1,),)=0,#N/A,VLOOKUP(Table7[[#This Row],[Date]],Database!$A:$C,MATCH($B$1,Database!$A$1:$C$1,),))</f>
        <v/>
      </c>
      <c r="C3963">
        <f>IF(VLOOKUP(Table7[[#This Row],[Date]],Database!$A:$C,MATCH($C$1,Database!$A$1:$C$1,),)=0,#N/A,VLOOKUP(Table7[[#This Row],[Date]],Database!$A:$C,MATCH($C$1,Database!$A$1:$C$1,),))</f>
        <v/>
      </c>
      <c r="D3963">
        <f>IFERROR(Table7[[#This Row],[United States 10y]]-Table7[[#This Row],[United States 3y]],#N/A)</f>
        <v/>
      </c>
    </row>
    <row r="3964">
      <c r="A3964" s="6">
        <f>Database!$A6049</f>
        <v/>
      </c>
      <c r="B3964">
        <f>IF(VLOOKUP(Table7[[#This Row],[Date]],Database!$A:$C,MATCH($B$1,Database!$A$1:$C$1,),)=0,#N/A,VLOOKUP(Table7[[#This Row],[Date]],Database!$A:$C,MATCH($B$1,Database!$A$1:$C$1,),))</f>
        <v/>
      </c>
      <c r="C3964">
        <f>IF(VLOOKUP(Table7[[#This Row],[Date]],Database!$A:$C,MATCH($C$1,Database!$A$1:$C$1,),)=0,#N/A,VLOOKUP(Table7[[#This Row],[Date]],Database!$A:$C,MATCH($C$1,Database!$A$1:$C$1,),))</f>
        <v/>
      </c>
      <c r="D3964">
        <f>IFERROR(Table7[[#This Row],[United States 10y]]-Table7[[#This Row],[United States 3y]],#N/A)</f>
        <v/>
      </c>
    </row>
    <row r="3965">
      <c r="A3965" s="6">
        <f>Database!$A6050</f>
        <v/>
      </c>
      <c r="B3965">
        <f>IF(VLOOKUP(Table7[[#This Row],[Date]],Database!$A:$C,MATCH($B$1,Database!$A$1:$C$1,),)=0,#N/A,VLOOKUP(Table7[[#This Row],[Date]],Database!$A:$C,MATCH($B$1,Database!$A$1:$C$1,),))</f>
        <v/>
      </c>
      <c r="C3965">
        <f>IF(VLOOKUP(Table7[[#This Row],[Date]],Database!$A:$C,MATCH($C$1,Database!$A$1:$C$1,),)=0,#N/A,VLOOKUP(Table7[[#This Row],[Date]],Database!$A:$C,MATCH($C$1,Database!$A$1:$C$1,),))</f>
        <v/>
      </c>
      <c r="D3965">
        <f>IFERROR(Table7[[#This Row],[United States 10y]]-Table7[[#This Row],[United States 3y]],#N/A)</f>
        <v/>
      </c>
    </row>
    <row r="3966">
      <c r="A3966" s="6">
        <f>Database!$A6051</f>
        <v/>
      </c>
      <c r="B3966">
        <f>IF(VLOOKUP(Table7[[#This Row],[Date]],Database!$A:$C,MATCH($B$1,Database!$A$1:$C$1,),)=0,#N/A,VLOOKUP(Table7[[#This Row],[Date]],Database!$A:$C,MATCH($B$1,Database!$A$1:$C$1,),))</f>
        <v/>
      </c>
      <c r="C3966">
        <f>IF(VLOOKUP(Table7[[#This Row],[Date]],Database!$A:$C,MATCH($C$1,Database!$A$1:$C$1,),)=0,#N/A,VLOOKUP(Table7[[#This Row],[Date]],Database!$A:$C,MATCH($C$1,Database!$A$1:$C$1,),))</f>
        <v/>
      </c>
      <c r="D3966">
        <f>IFERROR(Table7[[#This Row],[United States 10y]]-Table7[[#This Row],[United States 3y]],#N/A)</f>
        <v/>
      </c>
    </row>
    <row r="3967">
      <c r="A3967" s="6">
        <f>Database!$A6052</f>
        <v/>
      </c>
      <c r="B3967">
        <f>IF(VLOOKUP(Table7[[#This Row],[Date]],Database!$A:$C,MATCH($B$1,Database!$A$1:$C$1,),)=0,#N/A,VLOOKUP(Table7[[#This Row],[Date]],Database!$A:$C,MATCH($B$1,Database!$A$1:$C$1,),))</f>
        <v/>
      </c>
      <c r="C3967">
        <f>IF(VLOOKUP(Table7[[#This Row],[Date]],Database!$A:$C,MATCH($C$1,Database!$A$1:$C$1,),)=0,#N/A,VLOOKUP(Table7[[#This Row],[Date]],Database!$A:$C,MATCH($C$1,Database!$A$1:$C$1,),))</f>
        <v/>
      </c>
      <c r="D3967">
        <f>IFERROR(Table7[[#This Row],[United States 10y]]-Table7[[#This Row],[United States 3y]],#N/A)</f>
        <v/>
      </c>
    </row>
    <row r="3968">
      <c r="A3968" s="6">
        <f>Database!$A6053</f>
        <v/>
      </c>
      <c r="B3968">
        <f>IF(VLOOKUP(Table7[[#This Row],[Date]],Database!$A:$C,MATCH($B$1,Database!$A$1:$C$1,),)=0,#N/A,VLOOKUP(Table7[[#This Row],[Date]],Database!$A:$C,MATCH($B$1,Database!$A$1:$C$1,),))</f>
        <v/>
      </c>
      <c r="C3968">
        <f>IF(VLOOKUP(Table7[[#This Row],[Date]],Database!$A:$C,MATCH($C$1,Database!$A$1:$C$1,),)=0,#N/A,VLOOKUP(Table7[[#This Row],[Date]],Database!$A:$C,MATCH($C$1,Database!$A$1:$C$1,),))</f>
        <v/>
      </c>
      <c r="D3968">
        <f>IFERROR(Table7[[#This Row],[United States 10y]]-Table7[[#This Row],[United States 3y]],#N/A)</f>
        <v/>
      </c>
    </row>
    <row r="3969">
      <c r="A3969" s="6">
        <f>Database!$A6054</f>
        <v/>
      </c>
      <c r="B3969">
        <f>IF(VLOOKUP(Table7[[#This Row],[Date]],Database!$A:$C,MATCH($B$1,Database!$A$1:$C$1,),)=0,#N/A,VLOOKUP(Table7[[#This Row],[Date]],Database!$A:$C,MATCH($B$1,Database!$A$1:$C$1,),))</f>
        <v/>
      </c>
      <c r="C3969">
        <f>IF(VLOOKUP(Table7[[#This Row],[Date]],Database!$A:$C,MATCH($C$1,Database!$A$1:$C$1,),)=0,#N/A,VLOOKUP(Table7[[#This Row],[Date]],Database!$A:$C,MATCH($C$1,Database!$A$1:$C$1,),))</f>
        <v/>
      </c>
      <c r="D3969">
        <f>IFERROR(Table7[[#This Row],[United States 10y]]-Table7[[#This Row],[United States 3y]],#N/A)</f>
        <v/>
      </c>
    </row>
    <row r="3970">
      <c r="A3970" s="6">
        <f>Database!$A6055</f>
        <v/>
      </c>
      <c r="B3970">
        <f>IF(VLOOKUP(Table7[[#This Row],[Date]],Database!$A:$C,MATCH($B$1,Database!$A$1:$C$1,),)=0,#N/A,VLOOKUP(Table7[[#This Row],[Date]],Database!$A:$C,MATCH($B$1,Database!$A$1:$C$1,),))</f>
        <v/>
      </c>
      <c r="C3970">
        <f>IF(VLOOKUP(Table7[[#This Row],[Date]],Database!$A:$C,MATCH($C$1,Database!$A$1:$C$1,),)=0,#N/A,VLOOKUP(Table7[[#This Row],[Date]],Database!$A:$C,MATCH($C$1,Database!$A$1:$C$1,),))</f>
        <v/>
      </c>
      <c r="D3970">
        <f>IFERROR(Table7[[#This Row],[United States 10y]]-Table7[[#This Row],[United States 3y]],#N/A)</f>
        <v/>
      </c>
    </row>
    <row r="3971">
      <c r="A3971" s="6">
        <f>Database!$A6056</f>
        <v/>
      </c>
      <c r="B3971">
        <f>IF(VLOOKUP(Table7[[#This Row],[Date]],Database!$A:$C,MATCH($B$1,Database!$A$1:$C$1,),)=0,#N/A,VLOOKUP(Table7[[#This Row],[Date]],Database!$A:$C,MATCH($B$1,Database!$A$1:$C$1,),))</f>
        <v/>
      </c>
      <c r="C3971">
        <f>IF(VLOOKUP(Table7[[#This Row],[Date]],Database!$A:$C,MATCH($C$1,Database!$A$1:$C$1,),)=0,#N/A,VLOOKUP(Table7[[#This Row],[Date]],Database!$A:$C,MATCH($C$1,Database!$A$1:$C$1,),))</f>
        <v/>
      </c>
      <c r="D3971">
        <f>IFERROR(Table7[[#This Row],[United States 10y]]-Table7[[#This Row],[United States 3y]],#N/A)</f>
        <v/>
      </c>
    </row>
    <row r="3972">
      <c r="A3972" s="6">
        <f>Database!$A6057</f>
        <v/>
      </c>
      <c r="B3972">
        <f>IF(VLOOKUP(Table7[[#This Row],[Date]],Database!$A:$C,MATCH($B$1,Database!$A$1:$C$1,),)=0,#N/A,VLOOKUP(Table7[[#This Row],[Date]],Database!$A:$C,MATCH($B$1,Database!$A$1:$C$1,),))</f>
        <v/>
      </c>
      <c r="C3972">
        <f>IF(VLOOKUP(Table7[[#This Row],[Date]],Database!$A:$C,MATCH($C$1,Database!$A$1:$C$1,),)=0,#N/A,VLOOKUP(Table7[[#This Row],[Date]],Database!$A:$C,MATCH($C$1,Database!$A$1:$C$1,),))</f>
        <v/>
      </c>
      <c r="D3972">
        <f>IFERROR(Table7[[#This Row],[United States 10y]]-Table7[[#This Row],[United States 3y]],#N/A)</f>
        <v/>
      </c>
    </row>
    <row r="3973">
      <c r="A3973" s="6">
        <f>Database!$A6058</f>
        <v/>
      </c>
      <c r="B3973">
        <f>IF(VLOOKUP(Table7[[#This Row],[Date]],Database!$A:$C,MATCH($B$1,Database!$A$1:$C$1,),)=0,#N/A,VLOOKUP(Table7[[#This Row],[Date]],Database!$A:$C,MATCH($B$1,Database!$A$1:$C$1,),))</f>
        <v/>
      </c>
      <c r="C3973">
        <f>IF(VLOOKUP(Table7[[#This Row],[Date]],Database!$A:$C,MATCH($C$1,Database!$A$1:$C$1,),)=0,#N/A,VLOOKUP(Table7[[#This Row],[Date]],Database!$A:$C,MATCH($C$1,Database!$A$1:$C$1,),))</f>
        <v/>
      </c>
      <c r="D3973">
        <f>IFERROR(Table7[[#This Row],[United States 10y]]-Table7[[#This Row],[United States 3y]],#N/A)</f>
        <v/>
      </c>
    </row>
    <row r="3974">
      <c r="A3974" s="6">
        <f>Database!$A6059</f>
        <v/>
      </c>
      <c r="B3974">
        <f>IF(VLOOKUP(Table7[[#This Row],[Date]],Database!$A:$C,MATCH($B$1,Database!$A$1:$C$1,),)=0,#N/A,VLOOKUP(Table7[[#This Row],[Date]],Database!$A:$C,MATCH($B$1,Database!$A$1:$C$1,),))</f>
        <v/>
      </c>
      <c r="C3974">
        <f>IF(VLOOKUP(Table7[[#This Row],[Date]],Database!$A:$C,MATCH($C$1,Database!$A$1:$C$1,),)=0,#N/A,VLOOKUP(Table7[[#This Row],[Date]],Database!$A:$C,MATCH($C$1,Database!$A$1:$C$1,),))</f>
        <v/>
      </c>
      <c r="D3974">
        <f>IFERROR(Table7[[#This Row],[United States 10y]]-Table7[[#This Row],[United States 3y]],#N/A)</f>
        <v/>
      </c>
    </row>
    <row r="3975">
      <c r="A3975" s="6">
        <f>Database!$A6060</f>
        <v/>
      </c>
      <c r="B3975">
        <f>IF(VLOOKUP(Table7[[#This Row],[Date]],Database!$A:$C,MATCH($B$1,Database!$A$1:$C$1,),)=0,#N/A,VLOOKUP(Table7[[#This Row],[Date]],Database!$A:$C,MATCH($B$1,Database!$A$1:$C$1,),))</f>
        <v/>
      </c>
      <c r="C3975">
        <f>IF(VLOOKUP(Table7[[#This Row],[Date]],Database!$A:$C,MATCH($C$1,Database!$A$1:$C$1,),)=0,#N/A,VLOOKUP(Table7[[#This Row],[Date]],Database!$A:$C,MATCH($C$1,Database!$A$1:$C$1,),))</f>
        <v/>
      </c>
      <c r="D3975">
        <f>IFERROR(Table7[[#This Row],[United States 10y]]-Table7[[#This Row],[United States 3y]],#N/A)</f>
        <v/>
      </c>
    </row>
    <row r="3976">
      <c r="A3976" s="6">
        <f>Database!$A6061</f>
        <v/>
      </c>
      <c r="B3976">
        <f>IF(VLOOKUP(Table7[[#This Row],[Date]],Database!$A:$C,MATCH($B$1,Database!$A$1:$C$1,),)=0,#N/A,VLOOKUP(Table7[[#This Row],[Date]],Database!$A:$C,MATCH($B$1,Database!$A$1:$C$1,),))</f>
        <v/>
      </c>
      <c r="C3976">
        <f>IF(VLOOKUP(Table7[[#This Row],[Date]],Database!$A:$C,MATCH($C$1,Database!$A$1:$C$1,),)=0,#N/A,VLOOKUP(Table7[[#This Row],[Date]],Database!$A:$C,MATCH($C$1,Database!$A$1:$C$1,),))</f>
        <v/>
      </c>
      <c r="D3976">
        <f>IFERROR(Table7[[#This Row],[United States 10y]]-Table7[[#This Row],[United States 3y]],#N/A)</f>
        <v/>
      </c>
    </row>
    <row r="3977">
      <c r="A3977" s="6">
        <f>Database!$A6062</f>
        <v/>
      </c>
      <c r="B3977">
        <f>IF(VLOOKUP(Table7[[#This Row],[Date]],Database!$A:$C,MATCH($B$1,Database!$A$1:$C$1,),)=0,#N/A,VLOOKUP(Table7[[#This Row],[Date]],Database!$A:$C,MATCH($B$1,Database!$A$1:$C$1,),))</f>
        <v/>
      </c>
      <c r="C3977">
        <f>IF(VLOOKUP(Table7[[#This Row],[Date]],Database!$A:$C,MATCH($C$1,Database!$A$1:$C$1,),)=0,#N/A,VLOOKUP(Table7[[#This Row],[Date]],Database!$A:$C,MATCH($C$1,Database!$A$1:$C$1,),))</f>
        <v/>
      </c>
      <c r="D3977">
        <f>IFERROR(Table7[[#This Row],[United States 10y]]-Table7[[#This Row],[United States 3y]],#N/A)</f>
        <v/>
      </c>
    </row>
    <row r="3978">
      <c r="A3978" s="6">
        <f>Database!$A6063</f>
        <v/>
      </c>
      <c r="B3978">
        <f>IF(VLOOKUP(Table7[[#This Row],[Date]],Database!$A:$C,MATCH($B$1,Database!$A$1:$C$1,),)=0,#N/A,VLOOKUP(Table7[[#This Row],[Date]],Database!$A:$C,MATCH($B$1,Database!$A$1:$C$1,),))</f>
        <v/>
      </c>
      <c r="C3978">
        <f>IF(VLOOKUP(Table7[[#This Row],[Date]],Database!$A:$C,MATCH($C$1,Database!$A$1:$C$1,),)=0,#N/A,VLOOKUP(Table7[[#This Row],[Date]],Database!$A:$C,MATCH($C$1,Database!$A$1:$C$1,),))</f>
        <v/>
      </c>
      <c r="D3978">
        <f>IFERROR(Table7[[#This Row],[United States 10y]]-Table7[[#This Row],[United States 3y]],#N/A)</f>
        <v/>
      </c>
    </row>
    <row r="3979">
      <c r="A3979" s="6">
        <f>Database!$A6064</f>
        <v/>
      </c>
      <c r="B3979">
        <f>IF(VLOOKUP(Table7[[#This Row],[Date]],Database!$A:$C,MATCH($B$1,Database!$A$1:$C$1,),)=0,#N/A,VLOOKUP(Table7[[#This Row],[Date]],Database!$A:$C,MATCH($B$1,Database!$A$1:$C$1,),))</f>
        <v/>
      </c>
      <c r="C3979">
        <f>IF(VLOOKUP(Table7[[#This Row],[Date]],Database!$A:$C,MATCH($C$1,Database!$A$1:$C$1,),)=0,#N/A,VLOOKUP(Table7[[#This Row],[Date]],Database!$A:$C,MATCH($C$1,Database!$A$1:$C$1,),))</f>
        <v/>
      </c>
      <c r="D3979">
        <f>IFERROR(Table7[[#This Row],[United States 10y]]-Table7[[#This Row],[United States 3y]],#N/A)</f>
        <v/>
      </c>
    </row>
    <row r="3980">
      <c r="A3980" s="6">
        <f>Database!$A6065</f>
        <v/>
      </c>
      <c r="B3980">
        <f>IF(VLOOKUP(Table7[[#This Row],[Date]],Database!$A:$C,MATCH($B$1,Database!$A$1:$C$1,),)=0,#N/A,VLOOKUP(Table7[[#This Row],[Date]],Database!$A:$C,MATCH($B$1,Database!$A$1:$C$1,),))</f>
        <v/>
      </c>
      <c r="C3980">
        <f>IF(VLOOKUP(Table7[[#This Row],[Date]],Database!$A:$C,MATCH($C$1,Database!$A$1:$C$1,),)=0,#N/A,VLOOKUP(Table7[[#This Row],[Date]],Database!$A:$C,MATCH($C$1,Database!$A$1:$C$1,),))</f>
        <v/>
      </c>
      <c r="D3980">
        <f>IFERROR(Table7[[#This Row],[United States 10y]]-Table7[[#This Row],[United States 3y]],#N/A)</f>
        <v/>
      </c>
    </row>
    <row r="3981">
      <c r="A3981" s="6">
        <f>Database!$A6066</f>
        <v/>
      </c>
      <c r="B3981">
        <f>IF(VLOOKUP(Table7[[#This Row],[Date]],Database!$A:$C,MATCH($B$1,Database!$A$1:$C$1,),)=0,#N/A,VLOOKUP(Table7[[#This Row],[Date]],Database!$A:$C,MATCH($B$1,Database!$A$1:$C$1,),))</f>
        <v/>
      </c>
      <c r="C3981">
        <f>IF(VLOOKUP(Table7[[#This Row],[Date]],Database!$A:$C,MATCH($C$1,Database!$A$1:$C$1,),)=0,#N/A,VLOOKUP(Table7[[#This Row],[Date]],Database!$A:$C,MATCH($C$1,Database!$A$1:$C$1,),))</f>
        <v/>
      </c>
      <c r="D3981">
        <f>IFERROR(Table7[[#This Row],[United States 10y]]-Table7[[#This Row],[United States 3y]],#N/A)</f>
        <v/>
      </c>
    </row>
    <row r="3982">
      <c r="A3982" s="6">
        <f>Database!$A6067</f>
        <v/>
      </c>
      <c r="B3982">
        <f>IF(VLOOKUP(Table7[[#This Row],[Date]],Database!$A:$C,MATCH($B$1,Database!$A$1:$C$1,),)=0,#N/A,VLOOKUP(Table7[[#This Row],[Date]],Database!$A:$C,MATCH($B$1,Database!$A$1:$C$1,),))</f>
        <v/>
      </c>
      <c r="C3982">
        <f>IF(VLOOKUP(Table7[[#This Row],[Date]],Database!$A:$C,MATCH($C$1,Database!$A$1:$C$1,),)=0,#N/A,VLOOKUP(Table7[[#This Row],[Date]],Database!$A:$C,MATCH($C$1,Database!$A$1:$C$1,),))</f>
        <v/>
      </c>
      <c r="D3982">
        <f>IFERROR(Table7[[#This Row],[United States 10y]]-Table7[[#This Row],[United States 3y]],#N/A)</f>
        <v/>
      </c>
    </row>
    <row r="3983">
      <c r="A3983" s="6">
        <f>Database!$A6068</f>
        <v/>
      </c>
      <c r="B3983">
        <f>IF(VLOOKUP(Table7[[#This Row],[Date]],Database!$A:$C,MATCH($B$1,Database!$A$1:$C$1,),)=0,#N/A,VLOOKUP(Table7[[#This Row],[Date]],Database!$A:$C,MATCH($B$1,Database!$A$1:$C$1,),))</f>
        <v/>
      </c>
      <c r="C3983">
        <f>IF(VLOOKUP(Table7[[#This Row],[Date]],Database!$A:$C,MATCH($C$1,Database!$A$1:$C$1,),)=0,#N/A,VLOOKUP(Table7[[#This Row],[Date]],Database!$A:$C,MATCH($C$1,Database!$A$1:$C$1,),))</f>
        <v/>
      </c>
      <c r="D3983">
        <f>IFERROR(Table7[[#This Row],[United States 10y]]-Table7[[#This Row],[United States 3y]],#N/A)</f>
        <v/>
      </c>
    </row>
    <row r="3984">
      <c r="A3984" s="6">
        <f>Database!$A6069</f>
        <v/>
      </c>
      <c r="B3984">
        <f>IF(VLOOKUP(Table7[[#This Row],[Date]],Database!$A:$C,MATCH($B$1,Database!$A$1:$C$1,),)=0,#N/A,VLOOKUP(Table7[[#This Row],[Date]],Database!$A:$C,MATCH($B$1,Database!$A$1:$C$1,),))</f>
        <v/>
      </c>
      <c r="C3984">
        <f>IF(VLOOKUP(Table7[[#This Row],[Date]],Database!$A:$C,MATCH($C$1,Database!$A$1:$C$1,),)=0,#N/A,VLOOKUP(Table7[[#This Row],[Date]],Database!$A:$C,MATCH($C$1,Database!$A$1:$C$1,),))</f>
        <v/>
      </c>
      <c r="D3984">
        <f>IFERROR(Table7[[#This Row],[United States 10y]]-Table7[[#This Row],[United States 3y]],#N/A)</f>
        <v/>
      </c>
    </row>
    <row r="3985">
      <c r="A3985" s="6">
        <f>Database!$A6070</f>
        <v/>
      </c>
      <c r="B3985">
        <f>IF(VLOOKUP(Table7[[#This Row],[Date]],Database!$A:$C,MATCH($B$1,Database!$A$1:$C$1,),)=0,#N/A,VLOOKUP(Table7[[#This Row],[Date]],Database!$A:$C,MATCH($B$1,Database!$A$1:$C$1,),))</f>
        <v/>
      </c>
      <c r="C3985">
        <f>IF(VLOOKUP(Table7[[#This Row],[Date]],Database!$A:$C,MATCH($C$1,Database!$A$1:$C$1,),)=0,#N/A,VLOOKUP(Table7[[#This Row],[Date]],Database!$A:$C,MATCH($C$1,Database!$A$1:$C$1,),))</f>
        <v/>
      </c>
      <c r="D3985">
        <f>IFERROR(Table7[[#This Row],[United States 10y]]-Table7[[#This Row],[United States 3y]],#N/A)</f>
        <v/>
      </c>
    </row>
    <row r="3986">
      <c r="A3986" s="6">
        <f>Database!$A6071</f>
        <v/>
      </c>
      <c r="B3986">
        <f>IF(VLOOKUP(Table7[[#This Row],[Date]],Database!$A:$C,MATCH($B$1,Database!$A$1:$C$1,),)=0,#N/A,VLOOKUP(Table7[[#This Row],[Date]],Database!$A:$C,MATCH($B$1,Database!$A$1:$C$1,),))</f>
        <v/>
      </c>
      <c r="C3986">
        <f>IF(VLOOKUP(Table7[[#This Row],[Date]],Database!$A:$C,MATCH($C$1,Database!$A$1:$C$1,),)=0,#N/A,VLOOKUP(Table7[[#This Row],[Date]],Database!$A:$C,MATCH($C$1,Database!$A$1:$C$1,),))</f>
        <v/>
      </c>
      <c r="D3986">
        <f>IFERROR(Table7[[#This Row],[United States 10y]]-Table7[[#This Row],[United States 3y]],#N/A)</f>
        <v/>
      </c>
    </row>
    <row r="3987">
      <c r="A3987" s="6">
        <f>Database!$A6072</f>
        <v/>
      </c>
      <c r="B3987">
        <f>IF(VLOOKUP(Table7[[#This Row],[Date]],Database!$A:$C,MATCH($B$1,Database!$A$1:$C$1,),)=0,#N/A,VLOOKUP(Table7[[#This Row],[Date]],Database!$A:$C,MATCH($B$1,Database!$A$1:$C$1,),))</f>
        <v/>
      </c>
      <c r="C3987">
        <f>IF(VLOOKUP(Table7[[#This Row],[Date]],Database!$A:$C,MATCH($C$1,Database!$A$1:$C$1,),)=0,#N/A,VLOOKUP(Table7[[#This Row],[Date]],Database!$A:$C,MATCH($C$1,Database!$A$1:$C$1,),))</f>
        <v/>
      </c>
      <c r="D3987">
        <f>IFERROR(Table7[[#This Row],[United States 10y]]-Table7[[#This Row],[United States 3y]],#N/A)</f>
        <v/>
      </c>
    </row>
    <row r="3988">
      <c r="A3988" s="6">
        <f>Database!$A6073</f>
        <v/>
      </c>
      <c r="B3988">
        <f>IF(VLOOKUP(Table7[[#This Row],[Date]],Database!$A:$C,MATCH($B$1,Database!$A$1:$C$1,),)=0,#N/A,VLOOKUP(Table7[[#This Row],[Date]],Database!$A:$C,MATCH($B$1,Database!$A$1:$C$1,),))</f>
        <v/>
      </c>
      <c r="C3988">
        <f>IF(VLOOKUP(Table7[[#This Row],[Date]],Database!$A:$C,MATCH($C$1,Database!$A$1:$C$1,),)=0,#N/A,VLOOKUP(Table7[[#This Row],[Date]],Database!$A:$C,MATCH($C$1,Database!$A$1:$C$1,),))</f>
        <v/>
      </c>
      <c r="D3988">
        <f>IFERROR(Table7[[#This Row],[United States 10y]]-Table7[[#This Row],[United States 3y]],#N/A)</f>
        <v/>
      </c>
    </row>
    <row r="3989">
      <c r="A3989" s="6">
        <f>Database!$A6074</f>
        <v/>
      </c>
      <c r="B3989">
        <f>IF(VLOOKUP(Table7[[#This Row],[Date]],Database!$A:$C,MATCH($B$1,Database!$A$1:$C$1,),)=0,#N/A,VLOOKUP(Table7[[#This Row],[Date]],Database!$A:$C,MATCH($B$1,Database!$A$1:$C$1,),))</f>
        <v/>
      </c>
      <c r="C3989">
        <f>IF(VLOOKUP(Table7[[#This Row],[Date]],Database!$A:$C,MATCH($C$1,Database!$A$1:$C$1,),)=0,#N/A,VLOOKUP(Table7[[#This Row],[Date]],Database!$A:$C,MATCH($C$1,Database!$A$1:$C$1,),))</f>
        <v/>
      </c>
      <c r="D3989">
        <f>IFERROR(Table7[[#This Row],[United States 10y]]-Table7[[#This Row],[United States 3y]],#N/A)</f>
        <v/>
      </c>
    </row>
    <row r="3990">
      <c r="A3990" s="6">
        <f>Database!$A6075</f>
        <v/>
      </c>
      <c r="B3990">
        <f>IF(VLOOKUP(Table7[[#This Row],[Date]],Database!$A:$C,MATCH($B$1,Database!$A$1:$C$1,),)=0,#N/A,VLOOKUP(Table7[[#This Row],[Date]],Database!$A:$C,MATCH($B$1,Database!$A$1:$C$1,),))</f>
        <v/>
      </c>
      <c r="C3990">
        <f>IF(VLOOKUP(Table7[[#This Row],[Date]],Database!$A:$C,MATCH($C$1,Database!$A$1:$C$1,),)=0,#N/A,VLOOKUP(Table7[[#This Row],[Date]],Database!$A:$C,MATCH($C$1,Database!$A$1:$C$1,),))</f>
        <v/>
      </c>
      <c r="D3990">
        <f>IFERROR(Table7[[#This Row],[United States 10y]]-Table7[[#This Row],[United States 3y]],#N/A)</f>
        <v/>
      </c>
    </row>
    <row r="3991">
      <c r="A3991" s="6">
        <f>Database!$A6076</f>
        <v/>
      </c>
      <c r="B3991">
        <f>IF(VLOOKUP(Table7[[#This Row],[Date]],Database!$A:$C,MATCH($B$1,Database!$A$1:$C$1,),)=0,#N/A,VLOOKUP(Table7[[#This Row],[Date]],Database!$A:$C,MATCH($B$1,Database!$A$1:$C$1,),))</f>
        <v/>
      </c>
      <c r="C3991">
        <f>IF(VLOOKUP(Table7[[#This Row],[Date]],Database!$A:$C,MATCH($C$1,Database!$A$1:$C$1,),)=0,#N/A,VLOOKUP(Table7[[#This Row],[Date]],Database!$A:$C,MATCH($C$1,Database!$A$1:$C$1,),))</f>
        <v/>
      </c>
      <c r="D3991">
        <f>IFERROR(Table7[[#This Row],[United States 10y]]-Table7[[#This Row],[United States 3y]],#N/A)</f>
        <v/>
      </c>
    </row>
    <row r="3992">
      <c r="A3992" s="6">
        <f>Database!$A6077</f>
        <v/>
      </c>
      <c r="B3992">
        <f>IF(VLOOKUP(Table7[[#This Row],[Date]],Database!$A:$C,MATCH($B$1,Database!$A$1:$C$1,),)=0,#N/A,VLOOKUP(Table7[[#This Row],[Date]],Database!$A:$C,MATCH($B$1,Database!$A$1:$C$1,),))</f>
        <v/>
      </c>
      <c r="C3992">
        <f>IF(VLOOKUP(Table7[[#This Row],[Date]],Database!$A:$C,MATCH($C$1,Database!$A$1:$C$1,),)=0,#N/A,VLOOKUP(Table7[[#This Row],[Date]],Database!$A:$C,MATCH($C$1,Database!$A$1:$C$1,),))</f>
        <v/>
      </c>
      <c r="D3992">
        <f>IFERROR(Table7[[#This Row],[United States 10y]]-Table7[[#This Row],[United States 3y]],#N/A)</f>
        <v/>
      </c>
    </row>
    <row r="3993">
      <c r="A3993" s="6">
        <f>Database!$A6078</f>
        <v/>
      </c>
      <c r="B3993">
        <f>IF(VLOOKUP(Table7[[#This Row],[Date]],Database!$A:$C,MATCH($B$1,Database!$A$1:$C$1,),)=0,#N/A,VLOOKUP(Table7[[#This Row],[Date]],Database!$A:$C,MATCH($B$1,Database!$A$1:$C$1,),))</f>
        <v/>
      </c>
      <c r="C3993">
        <f>IF(VLOOKUP(Table7[[#This Row],[Date]],Database!$A:$C,MATCH($C$1,Database!$A$1:$C$1,),)=0,#N/A,VLOOKUP(Table7[[#This Row],[Date]],Database!$A:$C,MATCH($C$1,Database!$A$1:$C$1,),))</f>
        <v/>
      </c>
      <c r="D3993">
        <f>IFERROR(Table7[[#This Row],[United States 10y]]-Table7[[#This Row],[United States 3y]],#N/A)</f>
        <v/>
      </c>
    </row>
    <row r="3994">
      <c r="A3994" s="6">
        <f>Database!$A6079</f>
        <v/>
      </c>
      <c r="B3994">
        <f>IF(VLOOKUP(Table7[[#This Row],[Date]],Database!$A:$C,MATCH($B$1,Database!$A$1:$C$1,),)=0,#N/A,VLOOKUP(Table7[[#This Row],[Date]],Database!$A:$C,MATCH($B$1,Database!$A$1:$C$1,),))</f>
        <v/>
      </c>
      <c r="C3994">
        <f>IF(VLOOKUP(Table7[[#This Row],[Date]],Database!$A:$C,MATCH($C$1,Database!$A$1:$C$1,),)=0,#N/A,VLOOKUP(Table7[[#This Row],[Date]],Database!$A:$C,MATCH($C$1,Database!$A$1:$C$1,),))</f>
        <v/>
      </c>
      <c r="D3994">
        <f>IFERROR(Table7[[#This Row],[United States 10y]]-Table7[[#This Row],[United States 3y]],#N/A)</f>
        <v/>
      </c>
    </row>
    <row r="3995">
      <c r="A3995" s="6">
        <f>Database!$A6080</f>
        <v/>
      </c>
      <c r="B3995">
        <f>IF(VLOOKUP(Table7[[#This Row],[Date]],Database!$A:$C,MATCH($B$1,Database!$A$1:$C$1,),)=0,#N/A,VLOOKUP(Table7[[#This Row],[Date]],Database!$A:$C,MATCH($B$1,Database!$A$1:$C$1,),))</f>
        <v/>
      </c>
      <c r="C3995">
        <f>IF(VLOOKUP(Table7[[#This Row],[Date]],Database!$A:$C,MATCH($C$1,Database!$A$1:$C$1,),)=0,#N/A,VLOOKUP(Table7[[#This Row],[Date]],Database!$A:$C,MATCH($C$1,Database!$A$1:$C$1,),))</f>
        <v/>
      </c>
      <c r="D3995">
        <f>IFERROR(Table7[[#This Row],[United States 10y]]-Table7[[#This Row],[United States 3y]],#N/A)</f>
        <v/>
      </c>
    </row>
    <row r="3996">
      <c r="A3996" s="6">
        <f>Database!$A6081</f>
        <v/>
      </c>
      <c r="B3996">
        <f>IF(VLOOKUP(Table7[[#This Row],[Date]],Database!$A:$C,MATCH($B$1,Database!$A$1:$C$1,),)=0,#N/A,VLOOKUP(Table7[[#This Row],[Date]],Database!$A:$C,MATCH($B$1,Database!$A$1:$C$1,),))</f>
        <v/>
      </c>
      <c r="C3996">
        <f>IF(VLOOKUP(Table7[[#This Row],[Date]],Database!$A:$C,MATCH($C$1,Database!$A$1:$C$1,),)=0,#N/A,VLOOKUP(Table7[[#This Row],[Date]],Database!$A:$C,MATCH($C$1,Database!$A$1:$C$1,),))</f>
        <v/>
      </c>
      <c r="D3996">
        <f>IFERROR(Table7[[#This Row],[United States 10y]]-Table7[[#This Row],[United States 3y]],#N/A)</f>
        <v/>
      </c>
    </row>
    <row r="3997">
      <c r="A3997" s="6">
        <f>Database!$A6082</f>
        <v/>
      </c>
      <c r="B3997">
        <f>IF(VLOOKUP(Table7[[#This Row],[Date]],Database!$A:$C,MATCH($B$1,Database!$A$1:$C$1,),)=0,#N/A,VLOOKUP(Table7[[#This Row],[Date]],Database!$A:$C,MATCH($B$1,Database!$A$1:$C$1,),))</f>
        <v/>
      </c>
      <c r="C3997">
        <f>IF(VLOOKUP(Table7[[#This Row],[Date]],Database!$A:$C,MATCH($C$1,Database!$A$1:$C$1,),)=0,#N/A,VLOOKUP(Table7[[#This Row],[Date]],Database!$A:$C,MATCH($C$1,Database!$A$1:$C$1,),))</f>
        <v/>
      </c>
      <c r="D3997">
        <f>IFERROR(Table7[[#This Row],[United States 10y]]-Table7[[#This Row],[United States 3y]],#N/A)</f>
        <v/>
      </c>
    </row>
    <row r="3998">
      <c r="A3998" s="6">
        <f>Database!$A6083</f>
        <v/>
      </c>
      <c r="B3998">
        <f>IF(VLOOKUP(Table7[[#This Row],[Date]],Database!$A:$C,MATCH($B$1,Database!$A$1:$C$1,),)=0,#N/A,VLOOKUP(Table7[[#This Row],[Date]],Database!$A:$C,MATCH($B$1,Database!$A$1:$C$1,),))</f>
        <v/>
      </c>
      <c r="C3998">
        <f>IF(VLOOKUP(Table7[[#This Row],[Date]],Database!$A:$C,MATCH($C$1,Database!$A$1:$C$1,),)=0,#N/A,VLOOKUP(Table7[[#This Row],[Date]],Database!$A:$C,MATCH($C$1,Database!$A$1:$C$1,),))</f>
        <v/>
      </c>
      <c r="D3998">
        <f>IFERROR(Table7[[#This Row],[United States 10y]]-Table7[[#This Row],[United States 3y]],#N/A)</f>
        <v/>
      </c>
    </row>
    <row r="3999">
      <c r="A3999" s="6">
        <f>Database!$A6084</f>
        <v/>
      </c>
      <c r="B3999">
        <f>IF(VLOOKUP(Table7[[#This Row],[Date]],Database!$A:$C,MATCH($B$1,Database!$A$1:$C$1,),)=0,#N/A,VLOOKUP(Table7[[#This Row],[Date]],Database!$A:$C,MATCH($B$1,Database!$A$1:$C$1,),))</f>
        <v/>
      </c>
      <c r="C3999">
        <f>IF(VLOOKUP(Table7[[#This Row],[Date]],Database!$A:$C,MATCH($C$1,Database!$A$1:$C$1,),)=0,#N/A,VLOOKUP(Table7[[#This Row],[Date]],Database!$A:$C,MATCH($C$1,Database!$A$1:$C$1,),))</f>
        <v/>
      </c>
      <c r="D3999">
        <f>IFERROR(Table7[[#This Row],[United States 10y]]-Table7[[#This Row],[United States 3y]],#N/A)</f>
        <v/>
      </c>
    </row>
    <row r="4000">
      <c r="A4000" s="6">
        <f>Database!$A6085</f>
        <v/>
      </c>
      <c r="B4000">
        <f>IF(VLOOKUP(Table7[[#This Row],[Date]],Database!$A:$C,MATCH($B$1,Database!$A$1:$C$1,),)=0,#N/A,VLOOKUP(Table7[[#This Row],[Date]],Database!$A:$C,MATCH($B$1,Database!$A$1:$C$1,),))</f>
        <v/>
      </c>
      <c r="C4000">
        <f>IF(VLOOKUP(Table7[[#This Row],[Date]],Database!$A:$C,MATCH($C$1,Database!$A$1:$C$1,),)=0,#N/A,VLOOKUP(Table7[[#This Row],[Date]],Database!$A:$C,MATCH($C$1,Database!$A$1:$C$1,),))</f>
        <v/>
      </c>
      <c r="D4000">
        <f>IFERROR(Table7[[#This Row],[United States 10y]]-Table7[[#This Row],[United States 3y]],#N/A)</f>
        <v/>
      </c>
    </row>
    <row r="4001">
      <c r="A4001" s="6">
        <f>Database!$A6086</f>
        <v/>
      </c>
      <c r="B4001">
        <f>IF(VLOOKUP(Table7[[#This Row],[Date]],Database!$A:$C,MATCH($B$1,Database!$A$1:$C$1,),)=0,#N/A,VLOOKUP(Table7[[#This Row],[Date]],Database!$A:$C,MATCH($B$1,Database!$A$1:$C$1,),))</f>
        <v/>
      </c>
      <c r="C4001">
        <f>IF(VLOOKUP(Table7[[#This Row],[Date]],Database!$A:$C,MATCH($C$1,Database!$A$1:$C$1,),)=0,#N/A,VLOOKUP(Table7[[#This Row],[Date]],Database!$A:$C,MATCH($C$1,Database!$A$1:$C$1,),))</f>
        <v/>
      </c>
      <c r="D4001">
        <f>IFERROR(Table7[[#This Row],[United States 10y]]-Table7[[#This Row],[United States 3y]],#N/A)</f>
        <v/>
      </c>
    </row>
    <row r="4002">
      <c r="A4002" s="6">
        <f>Database!$A6087</f>
        <v/>
      </c>
      <c r="B4002">
        <f>IF(VLOOKUP(Table7[[#This Row],[Date]],Database!$A:$C,MATCH($B$1,Database!$A$1:$C$1,),)=0,#N/A,VLOOKUP(Table7[[#This Row],[Date]],Database!$A:$C,MATCH($B$1,Database!$A$1:$C$1,),))</f>
        <v/>
      </c>
      <c r="C4002">
        <f>IF(VLOOKUP(Table7[[#This Row],[Date]],Database!$A:$C,MATCH($C$1,Database!$A$1:$C$1,),)=0,#N/A,VLOOKUP(Table7[[#This Row],[Date]],Database!$A:$C,MATCH($C$1,Database!$A$1:$C$1,),))</f>
        <v/>
      </c>
      <c r="D4002">
        <f>IFERROR(Table7[[#This Row],[United States 10y]]-Table7[[#This Row],[United States 3y]],#N/A)</f>
        <v/>
      </c>
    </row>
    <row r="4003">
      <c r="A4003" s="6">
        <f>Database!$A6088</f>
        <v/>
      </c>
      <c r="B4003">
        <f>IF(VLOOKUP(Table7[[#This Row],[Date]],Database!$A:$C,MATCH($B$1,Database!$A$1:$C$1,),)=0,#N/A,VLOOKUP(Table7[[#This Row],[Date]],Database!$A:$C,MATCH($B$1,Database!$A$1:$C$1,),))</f>
        <v/>
      </c>
      <c r="C4003">
        <f>IF(VLOOKUP(Table7[[#This Row],[Date]],Database!$A:$C,MATCH($C$1,Database!$A$1:$C$1,),)=0,#N/A,VLOOKUP(Table7[[#This Row],[Date]],Database!$A:$C,MATCH($C$1,Database!$A$1:$C$1,),))</f>
        <v/>
      </c>
      <c r="D4003">
        <f>IFERROR(Table7[[#This Row],[United States 10y]]-Table7[[#This Row],[United States 3y]],#N/A)</f>
        <v/>
      </c>
    </row>
    <row r="4004">
      <c r="A4004" s="6">
        <f>Database!$A6089</f>
        <v/>
      </c>
      <c r="B4004">
        <f>IF(VLOOKUP(Table7[[#This Row],[Date]],Database!$A:$C,MATCH($B$1,Database!$A$1:$C$1,),)=0,#N/A,VLOOKUP(Table7[[#This Row],[Date]],Database!$A:$C,MATCH($B$1,Database!$A$1:$C$1,),))</f>
        <v/>
      </c>
      <c r="C4004">
        <f>IF(VLOOKUP(Table7[[#This Row],[Date]],Database!$A:$C,MATCH($C$1,Database!$A$1:$C$1,),)=0,#N/A,VLOOKUP(Table7[[#This Row],[Date]],Database!$A:$C,MATCH($C$1,Database!$A$1:$C$1,),))</f>
        <v/>
      </c>
      <c r="D4004">
        <f>IFERROR(Table7[[#This Row],[United States 10y]]-Table7[[#This Row],[United States 3y]],#N/A)</f>
        <v/>
      </c>
    </row>
    <row r="4005">
      <c r="A4005" s="6">
        <f>Database!$A6090</f>
        <v/>
      </c>
      <c r="B4005">
        <f>IF(VLOOKUP(Table7[[#This Row],[Date]],Database!$A:$C,MATCH($B$1,Database!$A$1:$C$1,),)=0,#N/A,VLOOKUP(Table7[[#This Row],[Date]],Database!$A:$C,MATCH($B$1,Database!$A$1:$C$1,),))</f>
        <v/>
      </c>
      <c r="C4005">
        <f>IF(VLOOKUP(Table7[[#This Row],[Date]],Database!$A:$C,MATCH($C$1,Database!$A$1:$C$1,),)=0,#N/A,VLOOKUP(Table7[[#This Row],[Date]],Database!$A:$C,MATCH($C$1,Database!$A$1:$C$1,),))</f>
        <v/>
      </c>
      <c r="D4005">
        <f>IFERROR(Table7[[#This Row],[United States 10y]]-Table7[[#This Row],[United States 3y]],#N/A)</f>
        <v/>
      </c>
    </row>
    <row r="4006">
      <c r="A4006" s="6">
        <f>Database!$A6091</f>
        <v/>
      </c>
      <c r="B4006">
        <f>IF(VLOOKUP(Table7[[#This Row],[Date]],Database!$A:$C,MATCH($B$1,Database!$A$1:$C$1,),)=0,#N/A,VLOOKUP(Table7[[#This Row],[Date]],Database!$A:$C,MATCH($B$1,Database!$A$1:$C$1,),))</f>
        <v/>
      </c>
      <c r="C4006">
        <f>IF(VLOOKUP(Table7[[#This Row],[Date]],Database!$A:$C,MATCH($C$1,Database!$A$1:$C$1,),)=0,#N/A,VLOOKUP(Table7[[#This Row],[Date]],Database!$A:$C,MATCH($C$1,Database!$A$1:$C$1,),))</f>
        <v/>
      </c>
      <c r="D4006">
        <f>IFERROR(Table7[[#This Row],[United States 10y]]-Table7[[#This Row],[United States 3y]],#N/A)</f>
        <v/>
      </c>
    </row>
    <row r="4007">
      <c r="A4007" s="6">
        <f>Database!$A6092</f>
        <v/>
      </c>
      <c r="B4007">
        <f>IF(VLOOKUP(Table7[[#This Row],[Date]],Database!$A:$C,MATCH($B$1,Database!$A$1:$C$1,),)=0,#N/A,VLOOKUP(Table7[[#This Row],[Date]],Database!$A:$C,MATCH($B$1,Database!$A$1:$C$1,),))</f>
        <v/>
      </c>
      <c r="C4007">
        <f>IF(VLOOKUP(Table7[[#This Row],[Date]],Database!$A:$C,MATCH($C$1,Database!$A$1:$C$1,),)=0,#N/A,VLOOKUP(Table7[[#This Row],[Date]],Database!$A:$C,MATCH($C$1,Database!$A$1:$C$1,),))</f>
        <v/>
      </c>
      <c r="D4007">
        <f>IFERROR(Table7[[#This Row],[United States 10y]]-Table7[[#This Row],[United States 3y]],#N/A)</f>
        <v/>
      </c>
    </row>
    <row r="4008">
      <c r="A4008" s="6">
        <f>Database!$A6093</f>
        <v/>
      </c>
      <c r="B4008">
        <f>IF(VLOOKUP(Table7[[#This Row],[Date]],Database!$A:$C,MATCH($B$1,Database!$A$1:$C$1,),)=0,#N/A,VLOOKUP(Table7[[#This Row],[Date]],Database!$A:$C,MATCH($B$1,Database!$A$1:$C$1,),))</f>
        <v/>
      </c>
      <c r="C4008">
        <f>IF(VLOOKUP(Table7[[#This Row],[Date]],Database!$A:$C,MATCH($C$1,Database!$A$1:$C$1,),)=0,#N/A,VLOOKUP(Table7[[#This Row],[Date]],Database!$A:$C,MATCH($C$1,Database!$A$1:$C$1,),))</f>
        <v/>
      </c>
      <c r="D4008">
        <f>IFERROR(Table7[[#This Row],[United States 10y]]-Table7[[#This Row],[United States 3y]],#N/A)</f>
        <v/>
      </c>
    </row>
    <row r="4009">
      <c r="A4009" s="6">
        <f>Database!$A6094</f>
        <v/>
      </c>
      <c r="B4009">
        <f>IF(VLOOKUP(Table7[[#This Row],[Date]],Database!$A:$C,MATCH($B$1,Database!$A$1:$C$1,),)=0,#N/A,VLOOKUP(Table7[[#This Row],[Date]],Database!$A:$C,MATCH($B$1,Database!$A$1:$C$1,),))</f>
        <v/>
      </c>
      <c r="C4009">
        <f>IF(VLOOKUP(Table7[[#This Row],[Date]],Database!$A:$C,MATCH($C$1,Database!$A$1:$C$1,),)=0,#N/A,VLOOKUP(Table7[[#This Row],[Date]],Database!$A:$C,MATCH($C$1,Database!$A$1:$C$1,),))</f>
        <v/>
      </c>
      <c r="D4009">
        <f>IFERROR(Table7[[#This Row],[United States 10y]]-Table7[[#This Row],[United States 3y]],#N/A)</f>
        <v/>
      </c>
    </row>
    <row r="4010">
      <c r="A4010" s="6">
        <f>Database!$A6095</f>
        <v/>
      </c>
      <c r="B4010">
        <f>IF(VLOOKUP(Table7[[#This Row],[Date]],Database!$A:$C,MATCH($B$1,Database!$A$1:$C$1,),)=0,#N/A,VLOOKUP(Table7[[#This Row],[Date]],Database!$A:$C,MATCH($B$1,Database!$A$1:$C$1,),))</f>
        <v/>
      </c>
      <c r="C4010">
        <f>IF(VLOOKUP(Table7[[#This Row],[Date]],Database!$A:$C,MATCH($C$1,Database!$A$1:$C$1,),)=0,#N/A,VLOOKUP(Table7[[#This Row],[Date]],Database!$A:$C,MATCH($C$1,Database!$A$1:$C$1,),))</f>
        <v/>
      </c>
      <c r="D4010">
        <f>IFERROR(Table7[[#This Row],[United States 10y]]-Table7[[#This Row],[United States 3y]],#N/A)</f>
        <v/>
      </c>
    </row>
    <row r="4011">
      <c r="A4011" s="6">
        <f>Database!$A6096</f>
        <v/>
      </c>
      <c r="B4011">
        <f>IF(VLOOKUP(Table7[[#This Row],[Date]],Database!$A:$C,MATCH($B$1,Database!$A$1:$C$1,),)=0,#N/A,VLOOKUP(Table7[[#This Row],[Date]],Database!$A:$C,MATCH($B$1,Database!$A$1:$C$1,),))</f>
        <v/>
      </c>
      <c r="C4011">
        <f>IF(VLOOKUP(Table7[[#This Row],[Date]],Database!$A:$C,MATCH($C$1,Database!$A$1:$C$1,),)=0,#N/A,VLOOKUP(Table7[[#This Row],[Date]],Database!$A:$C,MATCH($C$1,Database!$A$1:$C$1,),))</f>
        <v/>
      </c>
      <c r="D4011">
        <f>IFERROR(Table7[[#This Row],[United States 10y]]-Table7[[#This Row],[United States 3y]],#N/A)</f>
        <v/>
      </c>
    </row>
    <row r="4012">
      <c r="A4012" s="6">
        <f>Database!$A6097</f>
        <v/>
      </c>
      <c r="B4012">
        <f>IF(VLOOKUP(Table7[[#This Row],[Date]],Database!$A:$C,MATCH($B$1,Database!$A$1:$C$1,),)=0,#N/A,VLOOKUP(Table7[[#This Row],[Date]],Database!$A:$C,MATCH($B$1,Database!$A$1:$C$1,),))</f>
        <v/>
      </c>
      <c r="C4012">
        <f>IF(VLOOKUP(Table7[[#This Row],[Date]],Database!$A:$C,MATCH($C$1,Database!$A$1:$C$1,),)=0,#N/A,VLOOKUP(Table7[[#This Row],[Date]],Database!$A:$C,MATCH($C$1,Database!$A$1:$C$1,),))</f>
        <v/>
      </c>
      <c r="D4012">
        <f>IFERROR(Table7[[#This Row],[United States 10y]]-Table7[[#This Row],[United States 3y]],#N/A)</f>
        <v/>
      </c>
    </row>
    <row r="4013">
      <c r="A4013" s="6">
        <f>Database!$A6098</f>
        <v/>
      </c>
      <c r="B4013">
        <f>IF(VLOOKUP(Table7[[#This Row],[Date]],Database!$A:$C,MATCH($B$1,Database!$A$1:$C$1,),)=0,#N/A,VLOOKUP(Table7[[#This Row],[Date]],Database!$A:$C,MATCH($B$1,Database!$A$1:$C$1,),))</f>
        <v/>
      </c>
      <c r="C4013">
        <f>IF(VLOOKUP(Table7[[#This Row],[Date]],Database!$A:$C,MATCH($C$1,Database!$A$1:$C$1,),)=0,#N/A,VLOOKUP(Table7[[#This Row],[Date]],Database!$A:$C,MATCH($C$1,Database!$A$1:$C$1,),))</f>
        <v/>
      </c>
      <c r="D4013">
        <f>IFERROR(Table7[[#This Row],[United States 10y]]-Table7[[#This Row],[United States 3y]],#N/A)</f>
        <v/>
      </c>
    </row>
    <row r="4014">
      <c r="A4014" s="6">
        <f>Database!$A6099</f>
        <v/>
      </c>
      <c r="B4014">
        <f>IF(VLOOKUP(Table7[[#This Row],[Date]],Database!$A:$C,MATCH($B$1,Database!$A$1:$C$1,),)=0,#N/A,VLOOKUP(Table7[[#This Row],[Date]],Database!$A:$C,MATCH($B$1,Database!$A$1:$C$1,),))</f>
        <v/>
      </c>
      <c r="C4014">
        <f>IF(VLOOKUP(Table7[[#This Row],[Date]],Database!$A:$C,MATCH($C$1,Database!$A$1:$C$1,),)=0,#N/A,VLOOKUP(Table7[[#This Row],[Date]],Database!$A:$C,MATCH($C$1,Database!$A$1:$C$1,),))</f>
        <v/>
      </c>
      <c r="D4014">
        <f>IFERROR(Table7[[#This Row],[United States 10y]]-Table7[[#This Row],[United States 3y]],#N/A)</f>
        <v/>
      </c>
    </row>
    <row r="4015">
      <c r="A4015" s="6">
        <f>Database!$A6100</f>
        <v/>
      </c>
      <c r="B4015">
        <f>IF(VLOOKUP(Table7[[#This Row],[Date]],Database!$A:$C,MATCH($B$1,Database!$A$1:$C$1,),)=0,#N/A,VLOOKUP(Table7[[#This Row],[Date]],Database!$A:$C,MATCH($B$1,Database!$A$1:$C$1,),))</f>
        <v/>
      </c>
      <c r="C4015">
        <f>IF(VLOOKUP(Table7[[#This Row],[Date]],Database!$A:$C,MATCH($C$1,Database!$A$1:$C$1,),)=0,#N/A,VLOOKUP(Table7[[#This Row],[Date]],Database!$A:$C,MATCH($C$1,Database!$A$1:$C$1,),))</f>
        <v/>
      </c>
      <c r="D4015">
        <f>IFERROR(Table7[[#This Row],[United States 10y]]-Table7[[#This Row],[United States 3y]],#N/A)</f>
        <v/>
      </c>
    </row>
    <row r="4016">
      <c r="A4016" s="6">
        <f>Database!$A6101</f>
        <v/>
      </c>
      <c r="B4016">
        <f>IF(VLOOKUP(Table7[[#This Row],[Date]],Database!$A:$C,MATCH($B$1,Database!$A$1:$C$1,),)=0,#N/A,VLOOKUP(Table7[[#This Row],[Date]],Database!$A:$C,MATCH($B$1,Database!$A$1:$C$1,),))</f>
        <v/>
      </c>
      <c r="C4016">
        <f>IF(VLOOKUP(Table7[[#This Row],[Date]],Database!$A:$C,MATCH($C$1,Database!$A$1:$C$1,),)=0,#N/A,VLOOKUP(Table7[[#This Row],[Date]],Database!$A:$C,MATCH($C$1,Database!$A$1:$C$1,),))</f>
        <v/>
      </c>
      <c r="D4016">
        <f>IFERROR(Table7[[#This Row],[United States 10y]]-Table7[[#This Row],[United States 3y]],#N/A)</f>
        <v/>
      </c>
    </row>
    <row r="4017">
      <c r="A4017" s="6">
        <f>Database!$A6102</f>
        <v/>
      </c>
      <c r="B4017">
        <f>IF(VLOOKUP(Table7[[#This Row],[Date]],Database!$A:$C,MATCH($B$1,Database!$A$1:$C$1,),)=0,#N/A,VLOOKUP(Table7[[#This Row],[Date]],Database!$A:$C,MATCH($B$1,Database!$A$1:$C$1,),))</f>
        <v/>
      </c>
      <c r="C4017">
        <f>IF(VLOOKUP(Table7[[#This Row],[Date]],Database!$A:$C,MATCH($C$1,Database!$A$1:$C$1,),)=0,#N/A,VLOOKUP(Table7[[#This Row],[Date]],Database!$A:$C,MATCH($C$1,Database!$A$1:$C$1,),))</f>
        <v/>
      </c>
      <c r="D4017">
        <f>IFERROR(Table7[[#This Row],[United States 10y]]-Table7[[#This Row],[United States 3y]],#N/A)</f>
        <v/>
      </c>
    </row>
    <row r="4018">
      <c r="A4018" s="6">
        <f>Database!$A6103</f>
        <v/>
      </c>
      <c r="B4018">
        <f>IF(VLOOKUP(Table7[[#This Row],[Date]],Database!$A:$C,MATCH($B$1,Database!$A$1:$C$1,),)=0,#N/A,VLOOKUP(Table7[[#This Row],[Date]],Database!$A:$C,MATCH($B$1,Database!$A$1:$C$1,),))</f>
        <v/>
      </c>
      <c r="C4018">
        <f>IF(VLOOKUP(Table7[[#This Row],[Date]],Database!$A:$C,MATCH($C$1,Database!$A$1:$C$1,),)=0,#N/A,VLOOKUP(Table7[[#This Row],[Date]],Database!$A:$C,MATCH($C$1,Database!$A$1:$C$1,),))</f>
        <v/>
      </c>
      <c r="D4018">
        <f>IFERROR(Table7[[#This Row],[United States 10y]]-Table7[[#This Row],[United States 3y]],#N/A)</f>
        <v/>
      </c>
    </row>
    <row r="4019">
      <c r="A4019" s="6">
        <f>Database!$A6104</f>
        <v/>
      </c>
      <c r="B4019">
        <f>IF(VLOOKUP(Table7[[#This Row],[Date]],Database!$A:$C,MATCH($B$1,Database!$A$1:$C$1,),)=0,#N/A,VLOOKUP(Table7[[#This Row],[Date]],Database!$A:$C,MATCH($B$1,Database!$A$1:$C$1,),))</f>
        <v/>
      </c>
      <c r="C4019">
        <f>IF(VLOOKUP(Table7[[#This Row],[Date]],Database!$A:$C,MATCH($C$1,Database!$A$1:$C$1,),)=0,#N/A,VLOOKUP(Table7[[#This Row],[Date]],Database!$A:$C,MATCH($C$1,Database!$A$1:$C$1,),))</f>
        <v/>
      </c>
      <c r="D4019">
        <f>IFERROR(Table7[[#This Row],[United States 10y]]-Table7[[#This Row],[United States 3y]],#N/A)</f>
        <v/>
      </c>
    </row>
    <row r="4020">
      <c r="A4020" s="6">
        <f>Database!$A6105</f>
        <v/>
      </c>
      <c r="B4020">
        <f>IF(VLOOKUP(Table7[[#This Row],[Date]],Database!$A:$C,MATCH($B$1,Database!$A$1:$C$1,),)=0,#N/A,VLOOKUP(Table7[[#This Row],[Date]],Database!$A:$C,MATCH($B$1,Database!$A$1:$C$1,),))</f>
        <v/>
      </c>
      <c r="C4020">
        <f>IF(VLOOKUP(Table7[[#This Row],[Date]],Database!$A:$C,MATCH($C$1,Database!$A$1:$C$1,),)=0,#N/A,VLOOKUP(Table7[[#This Row],[Date]],Database!$A:$C,MATCH($C$1,Database!$A$1:$C$1,),))</f>
        <v/>
      </c>
      <c r="D4020">
        <f>IFERROR(Table7[[#This Row],[United States 10y]]-Table7[[#This Row],[United States 3y]],#N/A)</f>
        <v/>
      </c>
    </row>
    <row r="4021">
      <c r="A4021" s="6">
        <f>Database!$A6106</f>
        <v/>
      </c>
      <c r="B4021">
        <f>IF(VLOOKUP(Table7[[#This Row],[Date]],Database!$A:$C,MATCH($B$1,Database!$A$1:$C$1,),)=0,#N/A,VLOOKUP(Table7[[#This Row],[Date]],Database!$A:$C,MATCH($B$1,Database!$A$1:$C$1,),))</f>
        <v/>
      </c>
      <c r="C4021">
        <f>IF(VLOOKUP(Table7[[#This Row],[Date]],Database!$A:$C,MATCH($C$1,Database!$A$1:$C$1,),)=0,#N/A,VLOOKUP(Table7[[#This Row],[Date]],Database!$A:$C,MATCH($C$1,Database!$A$1:$C$1,),))</f>
        <v/>
      </c>
      <c r="D4021">
        <f>IFERROR(Table7[[#This Row],[United States 10y]]-Table7[[#This Row],[United States 3y]],#N/A)</f>
        <v/>
      </c>
    </row>
    <row r="4022">
      <c r="A4022" s="6">
        <f>Database!$A6107</f>
        <v/>
      </c>
      <c r="B4022">
        <f>IF(VLOOKUP(Table7[[#This Row],[Date]],Database!$A:$C,MATCH($B$1,Database!$A$1:$C$1,),)=0,#N/A,VLOOKUP(Table7[[#This Row],[Date]],Database!$A:$C,MATCH($B$1,Database!$A$1:$C$1,),))</f>
        <v/>
      </c>
      <c r="C4022">
        <f>IF(VLOOKUP(Table7[[#This Row],[Date]],Database!$A:$C,MATCH($C$1,Database!$A$1:$C$1,),)=0,#N/A,VLOOKUP(Table7[[#This Row],[Date]],Database!$A:$C,MATCH($C$1,Database!$A$1:$C$1,),))</f>
        <v/>
      </c>
      <c r="D4022">
        <f>IFERROR(Table7[[#This Row],[United States 10y]]-Table7[[#This Row],[United States 3y]],#N/A)</f>
        <v/>
      </c>
    </row>
    <row r="4023">
      <c r="A4023" s="6">
        <f>Database!$A6108</f>
        <v/>
      </c>
      <c r="B4023">
        <f>IF(VLOOKUP(Table7[[#This Row],[Date]],Database!$A:$C,MATCH($B$1,Database!$A$1:$C$1,),)=0,#N/A,VLOOKUP(Table7[[#This Row],[Date]],Database!$A:$C,MATCH($B$1,Database!$A$1:$C$1,),))</f>
        <v/>
      </c>
      <c r="C4023">
        <f>IF(VLOOKUP(Table7[[#This Row],[Date]],Database!$A:$C,MATCH($C$1,Database!$A$1:$C$1,),)=0,#N/A,VLOOKUP(Table7[[#This Row],[Date]],Database!$A:$C,MATCH($C$1,Database!$A$1:$C$1,),))</f>
        <v/>
      </c>
      <c r="D4023">
        <f>IFERROR(Table7[[#This Row],[United States 10y]]-Table7[[#This Row],[United States 3y]],#N/A)</f>
        <v/>
      </c>
    </row>
    <row r="4024">
      <c r="A4024" s="6">
        <f>Database!$A6109</f>
        <v/>
      </c>
      <c r="B4024">
        <f>IF(VLOOKUP(Table7[[#This Row],[Date]],Database!$A:$C,MATCH($B$1,Database!$A$1:$C$1,),)=0,#N/A,VLOOKUP(Table7[[#This Row],[Date]],Database!$A:$C,MATCH($B$1,Database!$A$1:$C$1,),))</f>
        <v/>
      </c>
      <c r="C4024">
        <f>IF(VLOOKUP(Table7[[#This Row],[Date]],Database!$A:$C,MATCH($C$1,Database!$A$1:$C$1,),)=0,#N/A,VLOOKUP(Table7[[#This Row],[Date]],Database!$A:$C,MATCH($C$1,Database!$A$1:$C$1,),))</f>
        <v/>
      </c>
      <c r="D4024">
        <f>IFERROR(Table7[[#This Row],[United States 10y]]-Table7[[#This Row],[United States 3y]],#N/A)</f>
        <v/>
      </c>
    </row>
    <row r="4025">
      <c r="A4025" s="6">
        <f>Database!$A6110</f>
        <v/>
      </c>
      <c r="B4025">
        <f>IF(VLOOKUP(Table7[[#This Row],[Date]],Database!$A:$C,MATCH($B$1,Database!$A$1:$C$1,),)=0,#N/A,VLOOKUP(Table7[[#This Row],[Date]],Database!$A:$C,MATCH($B$1,Database!$A$1:$C$1,),))</f>
        <v/>
      </c>
      <c r="C4025">
        <f>IF(VLOOKUP(Table7[[#This Row],[Date]],Database!$A:$C,MATCH($C$1,Database!$A$1:$C$1,),)=0,#N/A,VLOOKUP(Table7[[#This Row],[Date]],Database!$A:$C,MATCH($C$1,Database!$A$1:$C$1,),))</f>
        <v/>
      </c>
      <c r="D4025">
        <f>IFERROR(Table7[[#This Row],[United States 10y]]-Table7[[#This Row],[United States 3y]],#N/A)</f>
        <v/>
      </c>
    </row>
    <row r="4026">
      <c r="A4026" s="6">
        <f>Database!$A6111</f>
        <v/>
      </c>
      <c r="B4026">
        <f>IF(VLOOKUP(Table7[[#This Row],[Date]],Database!$A:$C,MATCH($B$1,Database!$A$1:$C$1,),)=0,#N/A,VLOOKUP(Table7[[#This Row],[Date]],Database!$A:$C,MATCH($B$1,Database!$A$1:$C$1,),))</f>
        <v/>
      </c>
      <c r="C4026">
        <f>IF(VLOOKUP(Table7[[#This Row],[Date]],Database!$A:$C,MATCH($C$1,Database!$A$1:$C$1,),)=0,#N/A,VLOOKUP(Table7[[#This Row],[Date]],Database!$A:$C,MATCH($C$1,Database!$A$1:$C$1,),))</f>
        <v/>
      </c>
      <c r="D4026">
        <f>IFERROR(Table7[[#This Row],[United States 10y]]-Table7[[#This Row],[United States 3y]],#N/A)</f>
        <v/>
      </c>
    </row>
    <row r="4027">
      <c r="A4027" s="6">
        <f>Database!$A6112</f>
        <v/>
      </c>
      <c r="B4027">
        <f>IF(VLOOKUP(Table7[[#This Row],[Date]],Database!$A:$C,MATCH($B$1,Database!$A$1:$C$1,),)=0,#N/A,VLOOKUP(Table7[[#This Row],[Date]],Database!$A:$C,MATCH($B$1,Database!$A$1:$C$1,),))</f>
        <v/>
      </c>
      <c r="C4027">
        <f>IF(VLOOKUP(Table7[[#This Row],[Date]],Database!$A:$C,MATCH($C$1,Database!$A$1:$C$1,),)=0,#N/A,VLOOKUP(Table7[[#This Row],[Date]],Database!$A:$C,MATCH($C$1,Database!$A$1:$C$1,),))</f>
        <v/>
      </c>
      <c r="D4027">
        <f>IFERROR(Table7[[#This Row],[United States 10y]]-Table7[[#This Row],[United States 3y]],#N/A)</f>
        <v/>
      </c>
    </row>
    <row r="4028">
      <c r="A4028" s="6">
        <f>Database!$A6113</f>
        <v/>
      </c>
      <c r="B4028">
        <f>IF(VLOOKUP(Table7[[#This Row],[Date]],Database!$A:$C,MATCH($B$1,Database!$A$1:$C$1,),)=0,#N/A,VLOOKUP(Table7[[#This Row],[Date]],Database!$A:$C,MATCH($B$1,Database!$A$1:$C$1,),))</f>
        <v/>
      </c>
      <c r="C4028">
        <f>IF(VLOOKUP(Table7[[#This Row],[Date]],Database!$A:$C,MATCH($C$1,Database!$A$1:$C$1,),)=0,#N/A,VLOOKUP(Table7[[#This Row],[Date]],Database!$A:$C,MATCH($C$1,Database!$A$1:$C$1,),))</f>
        <v/>
      </c>
      <c r="D4028">
        <f>IFERROR(Table7[[#This Row],[United States 10y]]-Table7[[#This Row],[United States 3y]],#N/A)</f>
        <v/>
      </c>
    </row>
    <row r="4029">
      <c r="A4029" s="6">
        <f>Database!$A6114</f>
        <v/>
      </c>
      <c r="B4029">
        <f>IF(VLOOKUP(Table7[[#This Row],[Date]],Database!$A:$C,MATCH($B$1,Database!$A$1:$C$1,),)=0,#N/A,VLOOKUP(Table7[[#This Row],[Date]],Database!$A:$C,MATCH($B$1,Database!$A$1:$C$1,),))</f>
        <v/>
      </c>
      <c r="C4029">
        <f>IF(VLOOKUP(Table7[[#This Row],[Date]],Database!$A:$C,MATCH($C$1,Database!$A$1:$C$1,),)=0,#N/A,VLOOKUP(Table7[[#This Row],[Date]],Database!$A:$C,MATCH($C$1,Database!$A$1:$C$1,),))</f>
        <v/>
      </c>
      <c r="D4029">
        <f>IFERROR(Table7[[#This Row],[United States 10y]]-Table7[[#This Row],[United States 3y]],#N/A)</f>
        <v/>
      </c>
    </row>
    <row r="4030">
      <c r="A4030" s="6">
        <f>Database!$A6115</f>
        <v/>
      </c>
      <c r="B4030">
        <f>IF(VLOOKUP(Table7[[#This Row],[Date]],Database!$A:$C,MATCH($B$1,Database!$A$1:$C$1,),)=0,#N/A,VLOOKUP(Table7[[#This Row],[Date]],Database!$A:$C,MATCH($B$1,Database!$A$1:$C$1,),))</f>
        <v/>
      </c>
      <c r="C4030">
        <f>IF(VLOOKUP(Table7[[#This Row],[Date]],Database!$A:$C,MATCH($C$1,Database!$A$1:$C$1,),)=0,#N/A,VLOOKUP(Table7[[#This Row],[Date]],Database!$A:$C,MATCH($C$1,Database!$A$1:$C$1,),))</f>
        <v/>
      </c>
      <c r="D4030">
        <f>IFERROR(Table7[[#This Row],[United States 10y]]-Table7[[#This Row],[United States 3y]],#N/A)</f>
        <v/>
      </c>
    </row>
    <row r="4031">
      <c r="A4031" s="6">
        <f>Database!$A6116</f>
        <v/>
      </c>
      <c r="B4031">
        <f>IF(VLOOKUP(Table7[[#This Row],[Date]],Database!$A:$C,MATCH($B$1,Database!$A$1:$C$1,),)=0,#N/A,VLOOKUP(Table7[[#This Row],[Date]],Database!$A:$C,MATCH($B$1,Database!$A$1:$C$1,),))</f>
        <v/>
      </c>
      <c r="C4031">
        <f>IF(VLOOKUP(Table7[[#This Row],[Date]],Database!$A:$C,MATCH($C$1,Database!$A$1:$C$1,),)=0,#N/A,VLOOKUP(Table7[[#This Row],[Date]],Database!$A:$C,MATCH($C$1,Database!$A$1:$C$1,),))</f>
        <v/>
      </c>
      <c r="D4031">
        <f>IFERROR(Table7[[#This Row],[United States 10y]]-Table7[[#This Row],[United States 3y]],#N/A)</f>
        <v/>
      </c>
    </row>
    <row r="4032">
      <c r="A4032" s="6">
        <f>Database!$A6117</f>
        <v/>
      </c>
      <c r="B4032">
        <f>IF(VLOOKUP(Table7[[#This Row],[Date]],Database!$A:$C,MATCH($B$1,Database!$A$1:$C$1,),)=0,#N/A,VLOOKUP(Table7[[#This Row],[Date]],Database!$A:$C,MATCH($B$1,Database!$A$1:$C$1,),))</f>
        <v/>
      </c>
      <c r="C4032">
        <f>IF(VLOOKUP(Table7[[#This Row],[Date]],Database!$A:$C,MATCH($C$1,Database!$A$1:$C$1,),)=0,#N/A,VLOOKUP(Table7[[#This Row],[Date]],Database!$A:$C,MATCH($C$1,Database!$A$1:$C$1,),))</f>
        <v/>
      </c>
      <c r="D4032">
        <f>IFERROR(Table7[[#This Row],[United States 10y]]-Table7[[#This Row],[United States 3y]],#N/A)</f>
        <v/>
      </c>
    </row>
    <row r="4033">
      <c r="A4033" s="6">
        <f>Database!$A6118</f>
        <v/>
      </c>
      <c r="B4033">
        <f>IF(VLOOKUP(Table7[[#This Row],[Date]],Database!$A:$C,MATCH($B$1,Database!$A$1:$C$1,),)=0,#N/A,VLOOKUP(Table7[[#This Row],[Date]],Database!$A:$C,MATCH($B$1,Database!$A$1:$C$1,),))</f>
        <v/>
      </c>
      <c r="C4033">
        <f>IF(VLOOKUP(Table7[[#This Row],[Date]],Database!$A:$C,MATCH($C$1,Database!$A$1:$C$1,),)=0,#N/A,VLOOKUP(Table7[[#This Row],[Date]],Database!$A:$C,MATCH($C$1,Database!$A$1:$C$1,),))</f>
        <v/>
      </c>
      <c r="D4033">
        <f>IFERROR(Table7[[#This Row],[United States 10y]]-Table7[[#This Row],[United States 3y]],#N/A)</f>
        <v/>
      </c>
    </row>
    <row r="4034">
      <c r="A4034" s="6">
        <f>Database!$A6119</f>
        <v/>
      </c>
      <c r="B4034">
        <f>IF(VLOOKUP(Table7[[#This Row],[Date]],Database!$A:$C,MATCH($B$1,Database!$A$1:$C$1,),)=0,#N/A,VLOOKUP(Table7[[#This Row],[Date]],Database!$A:$C,MATCH($B$1,Database!$A$1:$C$1,),))</f>
        <v/>
      </c>
      <c r="C4034">
        <f>IF(VLOOKUP(Table7[[#This Row],[Date]],Database!$A:$C,MATCH($C$1,Database!$A$1:$C$1,),)=0,#N/A,VLOOKUP(Table7[[#This Row],[Date]],Database!$A:$C,MATCH($C$1,Database!$A$1:$C$1,),))</f>
        <v/>
      </c>
      <c r="D4034">
        <f>IFERROR(Table7[[#This Row],[United States 10y]]-Table7[[#This Row],[United States 3y]],#N/A)</f>
        <v/>
      </c>
    </row>
    <row r="4035">
      <c r="A4035" s="6">
        <f>Database!$A6120</f>
        <v/>
      </c>
      <c r="B4035">
        <f>IF(VLOOKUP(Table7[[#This Row],[Date]],Database!$A:$C,MATCH($B$1,Database!$A$1:$C$1,),)=0,#N/A,VLOOKUP(Table7[[#This Row],[Date]],Database!$A:$C,MATCH($B$1,Database!$A$1:$C$1,),))</f>
        <v/>
      </c>
      <c r="C4035">
        <f>IF(VLOOKUP(Table7[[#This Row],[Date]],Database!$A:$C,MATCH($C$1,Database!$A$1:$C$1,),)=0,#N/A,VLOOKUP(Table7[[#This Row],[Date]],Database!$A:$C,MATCH($C$1,Database!$A$1:$C$1,),))</f>
        <v/>
      </c>
      <c r="D4035">
        <f>IFERROR(Table7[[#This Row],[United States 10y]]-Table7[[#This Row],[United States 3y]],#N/A)</f>
        <v/>
      </c>
    </row>
    <row r="4036">
      <c r="A4036" s="6">
        <f>Database!$A6121</f>
        <v/>
      </c>
      <c r="B4036">
        <f>IF(VLOOKUP(Table7[[#This Row],[Date]],Database!$A:$C,MATCH($B$1,Database!$A$1:$C$1,),)=0,#N/A,VLOOKUP(Table7[[#This Row],[Date]],Database!$A:$C,MATCH($B$1,Database!$A$1:$C$1,),))</f>
        <v/>
      </c>
      <c r="C4036">
        <f>IF(VLOOKUP(Table7[[#This Row],[Date]],Database!$A:$C,MATCH($C$1,Database!$A$1:$C$1,),)=0,#N/A,VLOOKUP(Table7[[#This Row],[Date]],Database!$A:$C,MATCH($C$1,Database!$A$1:$C$1,),))</f>
        <v/>
      </c>
      <c r="D4036">
        <f>IFERROR(Table7[[#This Row],[United States 10y]]-Table7[[#This Row],[United States 3y]],#N/A)</f>
        <v/>
      </c>
    </row>
    <row r="4037">
      <c r="A4037" s="6">
        <f>Database!$A6122</f>
        <v/>
      </c>
      <c r="B4037">
        <f>IF(VLOOKUP(Table7[[#This Row],[Date]],Database!$A:$C,MATCH($B$1,Database!$A$1:$C$1,),)=0,#N/A,VLOOKUP(Table7[[#This Row],[Date]],Database!$A:$C,MATCH($B$1,Database!$A$1:$C$1,),))</f>
        <v/>
      </c>
      <c r="C4037">
        <f>IF(VLOOKUP(Table7[[#This Row],[Date]],Database!$A:$C,MATCH($C$1,Database!$A$1:$C$1,),)=0,#N/A,VLOOKUP(Table7[[#This Row],[Date]],Database!$A:$C,MATCH($C$1,Database!$A$1:$C$1,),))</f>
        <v/>
      </c>
      <c r="D4037">
        <f>IFERROR(Table7[[#This Row],[United States 10y]]-Table7[[#This Row],[United States 3y]],#N/A)</f>
        <v/>
      </c>
    </row>
    <row r="4038">
      <c r="A4038" s="6">
        <f>Database!$A6123</f>
        <v/>
      </c>
      <c r="B4038">
        <f>IF(VLOOKUP(Table7[[#This Row],[Date]],Database!$A:$C,MATCH($B$1,Database!$A$1:$C$1,),)=0,#N/A,VLOOKUP(Table7[[#This Row],[Date]],Database!$A:$C,MATCH($B$1,Database!$A$1:$C$1,),))</f>
        <v/>
      </c>
      <c r="C4038">
        <f>IF(VLOOKUP(Table7[[#This Row],[Date]],Database!$A:$C,MATCH($C$1,Database!$A$1:$C$1,),)=0,#N/A,VLOOKUP(Table7[[#This Row],[Date]],Database!$A:$C,MATCH($C$1,Database!$A$1:$C$1,),))</f>
        <v/>
      </c>
      <c r="D4038">
        <f>IFERROR(Table7[[#This Row],[United States 10y]]-Table7[[#This Row],[United States 3y]],#N/A)</f>
        <v/>
      </c>
    </row>
    <row r="4039">
      <c r="A4039" s="6">
        <f>Database!$A6124</f>
        <v/>
      </c>
      <c r="B4039">
        <f>IF(VLOOKUP(Table7[[#This Row],[Date]],Database!$A:$C,MATCH($B$1,Database!$A$1:$C$1,),)=0,#N/A,VLOOKUP(Table7[[#This Row],[Date]],Database!$A:$C,MATCH($B$1,Database!$A$1:$C$1,),))</f>
        <v/>
      </c>
      <c r="C4039">
        <f>IF(VLOOKUP(Table7[[#This Row],[Date]],Database!$A:$C,MATCH($C$1,Database!$A$1:$C$1,),)=0,#N/A,VLOOKUP(Table7[[#This Row],[Date]],Database!$A:$C,MATCH($C$1,Database!$A$1:$C$1,),))</f>
        <v/>
      </c>
      <c r="D4039">
        <f>IFERROR(Table7[[#This Row],[United States 10y]]-Table7[[#This Row],[United States 3y]],#N/A)</f>
        <v/>
      </c>
    </row>
    <row r="4040">
      <c r="A4040" s="6">
        <f>Database!$A6125</f>
        <v/>
      </c>
      <c r="B4040">
        <f>IF(VLOOKUP(Table7[[#This Row],[Date]],Database!$A:$C,MATCH($B$1,Database!$A$1:$C$1,),)=0,#N/A,VLOOKUP(Table7[[#This Row],[Date]],Database!$A:$C,MATCH($B$1,Database!$A$1:$C$1,),))</f>
        <v/>
      </c>
      <c r="C4040">
        <f>IF(VLOOKUP(Table7[[#This Row],[Date]],Database!$A:$C,MATCH($C$1,Database!$A$1:$C$1,),)=0,#N/A,VLOOKUP(Table7[[#This Row],[Date]],Database!$A:$C,MATCH($C$1,Database!$A$1:$C$1,),))</f>
        <v/>
      </c>
      <c r="D4040">
        <f>IFERROR(Table7[[#This Row],[United States 10y]]-Table7[[#This Row],[United States 3y]],#N/A)</f>
        <v/>
      </c>
    </row>
    <row r="4041">
      <c r="A4041" s="6">
        <f>Database!$A6126</f>
        <v/>
      </c>
      <c r="B4041">
        <f>IF(VLOOKUP(Table7[[#This Row],[Date]],Database!$A:$C,MATCH($B$1,Database!$A$1:$C$1,),)=0,#N/A,VLOOKUP(Table7[[#This Row],[Date]],Database!$A:$C,MATCH($B$1,Database!$A$1:$C$1,),))</f>
        <v/>
      </c>
      <c r="C4041">
        <f>IF(VLOOKUP(Table7[[#This Row],[Date]],Database!$A:$C,MATCH($C$1,Database!$A$1:$C$1,),)=0,#N/A,VLOOKUP(Table7[[#This Row],[Date]],Database!$A:$C,MATCH($C$1,Database!$A$1:$C$1,),))</f>
        <v/>
      </c>
      <c r="D4041">
        <f>IFERROR(Table7[[#This Row],[United States 10y]]-Table7[[#This Row],[United States 3y]],#N/A)</f>
        <v/>
      </c>
    </row>
    <row r="4042">
      <c r="A4042" s="6">
        <f>Database!$A6127</f>
        <v/>
      </c>
      <c r="B4042">
        <f>IF(VLOOKUP(Table7[[#This Row],[Date]],Database!$A:$C,MATCH($B$1,Database!$A$1:$C$1,),)=0,#N/A,VLOOKUP(Table7[[#This Row],[Date]],Database!$A:$C,MATCH($B$1,Database!$A$1:$C$1,),))</f>
        <v/>
      </c>
      <c r="C4042">
        <f>IF(VLOOKUP(Table7[[#This Row],[Date]],Database!$A:$C,MATCH($C$1,Database!$A$1:$C$1,),)=0,#N/A,VLOOKUP(Table7[[#This Row],[Date]],Database!$A:$C,MATCH($C$1,Database!$A$1:$C$1,),))</f>
        <v/>
      </c>
      <c r="D4042">
        <f>IFERROR(Table7[[#This Row],[United States 10y]]-Table7[[#This Row],[United States 3y]],#N/A)</f>
        <v/>
      </c>
    </row>
    <row r="4043">
      <c r="A4043" s="6">
        <f>Database!$A6128</f>
        <v/>
      </c>
      <c r="B4043">
        <f>IF(VLOOKUP(Table7[[#This Row],[Date]],Database!$A:$C,MATCH($B$1,Database!$A$1:$C$1,),)=0,#N/A,VLOOKUP(Table7[[#This Row],[Date]],Database!$A:$C,MATCH($B$1,Database!$A$1:$C$1,),))</f>
        <v/>
      </c>
      <c r="C4043">
        <f>IF(VLOOKUP(Table7[[#This Row],[Date]],Database!$A:$C,MATCH($C$1,Database!$A$1:$C$1,),)=0,#N/A,VLOOKUP(Table7[[#This Row],[Date]],Database!$A:$C,MATCH($C$1,Database!$A$1:$C$1,),))</f>
        <v/>
      </c>
      <c r="D4043">
        <f>IFERROR(Table7[[#This Row],[United States 10y]]-Table7[[#This Row],[United States 3y]],#N/A)</f>
        <v/>
      </c>
    </row>
    <row r="4044">
      <c r="A4044" s="6">
        <f>Database!$A6129</f>
        <v/>
      </c>
      <c r="B4044">
        <f>IF(VLOOKUP(Table7[[#This Row],[Date]],Database!$A:$C,MATCH($B$1,Database!$A$1:$C$1,),)=0,#N/A,VLOOKUP(Table7[[#This Row],[Date]],Database!$A:$C,MATCH($B$1,Database!$A$1:$C$1,),))</f>
        <v/>
      </c>
      <c r="C4044">
        <f>IF(VLOOKUP(Table7[[#This Row],[Date]],Database!$A:$C,MATCH($C$1,Database!$A$1:$C$1,),)=0,#N/A,VLOOKUP(Table7[[#This Row],[Date]],Database!$A:$C,MATCH($C$1,Database!$A$1:$C$1,),))</f>
        <v/>
      </c>
      <c r="D4044">
        <f>IFERROR(Table7[[#This Row],[United States 10y]]-Table7[[#This Row],[United States 3y]],#N/A)</f>
        <v/>
      </c>
    </row>
    <row r="4045">
      <c r="A4045" s="6">
        <f>Database!$A6130</f>
        <v/>
      </c>
      <c r="B4045">
        <f>IF(VLOOKUP(Table7[[#This Row],[Date]],Database!$A:$C,MATCH($B$1,Database!$A$1:$C$1,),)=0,#N/A,VLOOKUP(Table7[[#This Row],[Date]],Database!$A:$C,MATCH($B$1,Database!$A$1:$C$1,),))</f>
        <v/>
      </c>
      <c r="C4045">
        <f>IF(VLOOKUP(Table7[[#This Row],[Date]],Database!$A:$C,MATCH($C$1,Database!$A$1:$C$1,),)=0,#N/A,VLOOKUP(Table7[[#This Row],[Date]],Database!$A:$C,MATCH($C$1,Database!$A$1:$C$1,),))</f>
        <v/>
      </c>
      <c r="D4045">
        <f>IFERROR(Table7[[#This Row],[United States 10y]]-Table7[[#This Row],[United States 3y]],#N/A)</f>
        <v/>
      </c>
    </row>
    <row r="4046">
      <c r="A4046" s="6">
        <f>Database!$A6131</f>
        <v/>
      </c>
      <c r="B4046">
        <f>IF(VLOOKUP(Table7[[#This Row],[Date]],Database!$A:$C,MATCH($B$1,Database!$A$1:$C$1,),)=0,#N/A,VLOOKUP(Table7[[#This Row],[Date]],Database!$A:$C,MATCH($B$1,Database!$A$1:$C$1,),))</f>
        <v/>
      </c>
      <c r="C4046">
        <f>IF(VLOOKUP(Table7[[#This Row],[Date]],Database!$A:$C,MATCH($C$1,Database!$A$1:$C$1,),)=0,#N/A,VLOOKUP(Table7[[#This Row],[Date]],Database!$A:$C,MATCH($C$1,Database!$A$1:$C$1,),))</f>
        <v/>
      </c>
      <c r="D4046">
        <f>IFERROR(Table7[[#This Row],[United States 10y]]-Table7[[#This Row],[United States 3y]],#N/A)</f>
        <v/>
      </c>
    </row>
    <row r="4047">
      <c r="A4047" s="6">
        <f>Database!$A6132</f>
        <v/>
      </c>
      <c r="B4047">
        <f>IF(VLOOKUP(Table7[[#This Row],[Date]],Database!$A:$C,MATCH($B$1,Database!$A$1:$C$1,),)=0,#N/A,VLOOKUP(Table7[[#This Row],[Date]],Database!$A:$C,MATCH($B$1,Database!$A$1:$C$1,),))</f>
        <v/>
      </c>
      <c r="C4047">
        <f>IF(VLOOKUP(Table7[[#This Row],[Date]],Database!$A:$C,MATCH($C$1,Database!$A$1:$C$1,),)=0,#N/A,VLOOKUP(Table7[[#This Row],[Date]],Database!$A:$C,MATCH($C$1,Database!$A$1:$C$1,),))</f>
        <v/>
      </c>
      <c r="D4047">
        <f>IFERROR(Table7[[#This Row],[United States 10y]]-Table7[[#This Row],[United States 3y]],#N/A)</f>
        <v/>
      </c>
    </row>
    <row r="4048">
      <c r="A4048" s="6">
        <f>Database!$A6133</f>
        <v/>
      </c>
      <c r="B4048">
        <f>IF(VLOOKUP(Table7[[#This Row],[Date]],Database!$A:$C,MATCH($B$1,Database!$A$1:$C$1,),)=0,#N/A,VLOOKUP(Table7[[#This Row],[Date]],Database!$A:$C,MATCH($B$1,Database!$A$1:$C$1,),))</f>
        <v/>
      </c>
      <c r="C4048">
        <f>IF(VLOOKUP(Table7[[#This Row],[Date]],Database!$A:$C,MATCH($C$1,Database!$A$1:$C$1,),)=0,#N/A,VLOOKUP(Table7[[#This Row],[Date]],Database!$A:$C,MATCH($C$1,Database!$A$1:$C$1,),))</f>
        <v/>
      </c>
      <c r="D4048">
        <f>IFERROR(Table7[[#This Row],[United States 10y]]-Table7[[#This Row],[United States 3y]],#N/A)</f>
        <v/>
      </c>
    </row>
    <row r="4049">
      <c r="A4049" s="6">
        <f>Database!$A6134</f>
        <v/>
      </c>
      <c r="B4049">
        <f>IF(VLOOKUP(Table7[[#This Row],[Date]],Database!$A:$C,MATCH($B$1,Database!$A$1:$C$1,),)=0,#N/A,VLOOKUP(Table7[[#This Row],[Date]],Database!$A:$C,MATCH($B$1,Database!$A$1:$C$1,),))</f>
        <v/>
      </c>
      <c r="C4049">
        <f>IF(VLOOKUP(Table7[[#This Row],[Date]],Database!$A:$C,MATCH($C$1,Database!$A$1:$C$1,),)=0,#N/A,VLOOKUP(Table7[[#This Row],[Date]],Database!$A:$C,MATCH($C$1,Database!$A$1:$C$1,),))</f>
        <v/>
      </c>
      <c r="D4049">
        <f>IFERROR(Table7[[#This Row],[United States 10y]]-Table7[[#This Row],[United States 3y]],#N/A)</f>
        <v/>
      </c>
    </row>
    <row r="4050">
      <c r="A4050" s="6">
        <f>Database!$A6135</f>
        <v/>
      </c>
      <c r="B4050">
        <f>IF(VLOOKUP(Table7[[#This Row],[Date]],Database!$A:$C,MATCH($B$1,Database!$A$1:$C$1,),)=0,#N/A,VLOOKUP(Table7[[#This Row],[Date]],Database!$A:$C,MATCH($B$1,Database!$A$1:$C$1,),))</f>
        <v/>
      </c>
      <c r="C4050">
        <f>IF(VLOOKUP(Table7[[#This Row],[Date]],Database!$A:$C,MATCH($C$1,Database!$A$1:$C$1,),)=0,#N/A,VLOOKUP(Table7[[#This Row],[Date]],Database!$A:$C,MATCH($C$1,Database!$A$1:$C$1,),))</f>
        <v/>
      </c>
      <c r="D4050">
        <f>IFERROR(Table7[[#This Row],[United States 10y]]-Table7[[#This Row],[United States 3y]],#N/A)</f>
        <v/>
      </c>
    </row>
    <row r="4051">
      <c r="A4051" s="6">
        <f>Database!$A6136</f>
        <v/>
      </c>
      <c r="B4051">
        <f>IF(VLOOKUP(Table7[[#This Row],[Date]],Database!$A:$C,MATCH($B$1,Database!$A$1:$C$1,),)=0,#N/A,VLOOKUP(Table7[[#This Row],[Date]],Database!$A:$C,MATCH($B$1,Database!$A$1:$C$1,),))</f>
        <v/>
      </c>
      <c r="C4051">
        <f>IF(VLOOKUP(Table7[[#This Row],[Date]],Database!$A:$C,MATCH($C$1,Database!$A$1:$C$1,),)=0,#N/A,VLOOKUP(Table7[[#This Row],[Date]],Database!$A:$C,MATCH($C$1,Database!$A$1:$C$1,),))</f>
        <v/>
      </c>
      <c r="D4051">
        <f>IFERROR(Table7[[#This Row],[United States 10y]]-Table7[[#This Row],[United States 3y]],#N/A)</f>
        <v/>
      </c>
    </row>
    <row r="4052">
      <c r="A4052" s="6">
        <f>Database!$A6137</f>
        <v/>
      </c>
      <c r="B4052">
        <f>IF(VLOOKUP(Table7[[#This Row],[Date]],Database!$A:$C,MATCH($B$1,Database!$A$1:$C$1,),)=0,#N/A,VLOOKUP(Table7[[#This Row],[Date]],Database!$A:$C,MATCH($B$1,Database!$A$1:$C$1,),))</f>
        <v/>
      </c>
      <c r="C4052">
        <f>IF(VLOOKUP(Table7[[#This Row],[Date]],Database!$A:$C,MATCH($C$1,Database!$A$1:$C$1,),)=0,#N/A,VLOOKUP(Table7[[#This Row],[Date]],Database!$A:$C,MATCH($C$1,Database!$A$1:$C$1,),))</f>
        <v/>
      </c>
      <c r="D4052">
        <f>IFERROR(Table7[[#This Row],[United States 10y]]-Table7[[#This Row],[United States 3y]],#N/A)</f>
        <v/>
      </c>
    </row>
    <row r="4053">
      <c r="A4053" s="6">
        <f>Database!$A6138</f>
        <v/>
      </c>
      <c r="B4053">
        <f>IF(VLOOKUP(Table7[[#This Row],[Date]],Database!$A:$C,MATCH($B$1,Database!$A$1:$C$1,),)=0,#N/A,VLOOKUP(Table7[[#This Row],[Date]],Database!$A:$C,MATCH($B$1,Database!$A$1:$C$1,),))</f>
        <v/>
      </c>
      <c r="C4053">
        <f>IF(VLOOKUP(Table7[[#This Row],[Date]],Database!$A:$C,MATCH($C$1,Database!$A$1:$C$1,),)=0,#N/A,VLOOKUP(Table7[[#This Row],[Date]],Database!$A:$C,MATCH($C$1,Database!$A$1:$C$1,),))</f>
        <v/>
      </c>
      <c r="D4053">
        <f>IFERROR(Table7[[#This Row],[United States 10y]]-Table7[[#This Row],[United States 3y]],#N/A)</f>
        <v/>
      </c>
    </row>
    <row r="4054">
      <c r="A4054" s="6">
        <f>Database!$A6139</f>
        <v/>
      </c>
      <c r="B4054">
        <f>IF(VLOOKUP(Table7[[#This Row],[Date]],Database!$A:$C,MATCH($B$1,Database!$A$1:$C$1,),)=0,#N/A,VLOOKUP(Table7[[#This Row],[Date]],Database!$A:$C,MATCH($B$1,Database!$A$1:$C$1,),))</f>
        <v/>
      </c>
      <c r="C4054">
        <f>IF(VLOOKUP(Table7[[#This Row],[Date]],Database!$A:$C,MATCH($C$1,Database!$A$1:$C$1,),)=0,#N/A,VLOOKUP(Table7[[#This Row],[Date]],Database!$A:$C,MATCH($C$1,Database!$A$1:$C$1,),))</f>
        <v/>
      </c>
      <c r="D4054">
        <f>IFERROR(Table7[[#This Row],[United States 10y]]-Table7[[#This Row],[United States 3y]],#N/A)</f>
        <v/>
      </c>
    </row>
    <row r="4055">
      <c r="A4055" s="6">
        <f>Database!$A6140</f>
        <v/>
      </c>
      <c r="B4055">
        <f>IF(VLOOKUP(Table7[[#This Row],[Date]],Database!$A:$C,MATCH($B$1,Database!$A$1:$C$1,),)=0,#N/A,VLOOKUP(Table7[[#This Row],[Date]],Database!$A:$C,MATCH($B$1,Database!$A$1:$C$1,),))</f>
        <v/>
      </c>
      <c r="C4055">
        <f>IF(VLOOKUP(Table7[[#This Row],[Date]],Database!$A:$C,MATCH($C$1,Database!$A$1:$C$1,),)=0,#N/A,VLOOKUP(Table7[[#This Row],[Date]],Database!$A:$C,MATCH($C$1,Database!$A$1:$C$1,),))</f>
        <v/>
      </c>
      <c r="D4055">
        <f>IFERROR(Table7[[#This Row],[United States 10y]]-Table7[[#This Row],[United States 3y]],#N/A)</f>
        <v/>
      </c>
    </row>
    <row r="4056">
      <c r="A4056" s="6">
        <f>Database!$A6141</f>
        <v/>
      </c>
      <c r="B4056">
        <f>IF(VLOOKUP(Table7[[#This Row],[Date]],Database!$A:$C,MATCH($B$1,Database!$A$1:$C$1,),)=0,#N/A,VLOOKUP(Table7[[#This Row],[Date]],Database!$A:$C,MATCH($B$1,Database!$A$1:$C$1,),))</f>
        <v/>
      </c>
      <c r="C4056">
        <f>IF(VLOOKUP(Table7[[#This Row],[Date]],Database!$A:$C,MATCH($C$1,Database!$A$1:$C$1,),)=0,#N/A,VLOOKUP(Table7[[#This Row],[Date]],Database!$A:$C,MATCH($C$1,Database!$A$1:$C$1,),))</f>
        <v/>
      </c>
      <c r="D4056">
        <f>IFERROR(Table7[[#This Row],[United States 10y]]-Table7[[#This Row],[United States 3y]],#N/A)</f>
        <v/>
      </c>
    </row>
    <row r="4057">
      <c r="A4057" s="6">
        <f>Database!$A6142</f>
        <v/>
      </c>
      <c r="B4057">
        <f>IF(VLOOKUP(Table7[[#This Row],[Date]],Database!$A:$C,MATCH($B$1,Database!$A$1:$C$1,),)=0,#N/A,VLOOKUP(Table7[[#This Row],[Date]],Database!$A:$C,MATCH($B$1,Database!$A$1:$C$1,),))</f>
        <v/>
      </c>
      <c r="C4057">
        <f>IF(VLOOKUP(Table7[[#This Row],[Date]],Database!$A:$C,MATCH($C$1,Database!$A$1:$C$1,),)=0,#N/A,VLOOKUP(Table7[[#This Row],[Date]],Database!$A:$C,MATCH($C$1,Database!$A$1:$C$1,),))</f>
        <v/>
      </c>
      <c r="D4057">
        <f>IFERROR(Table7[[#This Row],[United States 10y]]-Table7[[#This Row],[United States 3y]],#N/A)</f>
        <v/>
      </c>
    </row>
    <row r="4058">
      <c r="A4058" s="6">
        <f>Database!$A6143</f>
        <v/>
      </c>
      <c r="B4058">
        <f>IF(VLOOKUP(Table7[[#This Row],[Date]],Database!$A:$C,MATCH($B$1,Database!$A$1:$C$1,),)=0,#N/A,VLOOKUP(Table7[[#This Row],[Date]],Database!$A:$C,MATCH($B$1,Database!$A$1:$C$1,),))</f>
        <v/>
      </c>
      <c r="C4058">
        <f>IF(VLOOKUP(Table7[[#This Row],[Date]],Database!$A:$C,MATCH($C$1,Database!$A$1:$C$1,),)=0,#N/A,VLOOKUP(Table7[[#This Row],[Date]],Database!$A:$C,MATCH($C$1,Database!$A$1:$C$1,),))</f>
        <v/>
      </c>
      <c r="D4058">
        <f>IFERROR(Table7[[#This Row],[United States 10y]]-Table7[[#This Row],[United States 3y]],#N/A)</f>
        <v/>
      </c>
    </row>
    <row r="4059">
      <c r="A4059" s="6">
        <f>Database!$A6144</f>
        <v/>
      </c>
      <c r="B4059">
        <f>IF(VLOOKUP(Table7[[#This Row],[Date]],Database!$A:$C,MATCH($B$1,Database!$A$1:$C$1,),)=0,#N/A,VLOOKUP(Table7[[#This Row],[Date]],Database!$A:$C,MATCH($B$1,Database!$A$1:$C$1,),))</f>
        <v/>
      </c>
      <c r="C4059">
        <f>IF(VLOOKUP(Table7[[#This Row],[Date]],Database!$A:$C,MATCH($C$1,Database!$A$1:$C$1,),)=0,#N/A,VLOOKUP(Table7[[#This Row],[Date]],Database!$A:$C,MATCH($C$1,Database!$A$1:$C$1,),))</f>
        <v/>
      </c>
      <c r="D4059">
        <f>IFERROR(Table7[[#This Row],[United States 10y]]-Table7[[#This Row],[United States 3y]],#N/A)</f>
        <v/>
      </c>
    </row>
    <row r="4060">
      <c r="A4060" s="6">
        <f>Database!$A6145</f>
        <v/>
      </c>
      <c r="B4060">
        <f>IF(VLOOKUP(Table7[[#This Row],[Date]],Database!$A:$C,MATCH($B$1,Database!$A$1:$C$1,),)=0,#N/A,VLOOKUP(Table7[[#This Row],[Date]],Database!$A:$C,MATCH($B$1,Database!$A$1:$C$1,),))</f>
        <v/>
      </c>
      <c r="C4060">
        <f>IF(VLOOKUP(Table7[[#This Row],[Date]],Database!$A:$C,MATCH($C$1,Database!$A$1:$C$1,),)=0,#N/A,VLOOKUP(Table7[[#This Row],[Date]],Database!$A:$C,MATCH($C$1,Database!$A$1:$C$1,),))</f>
        <v/>
      </c>
      <c r="D4060">
        <f>IFERROR(Table7[[#This Row],[United States 10y]]-Table7[[#This Row],[United States 3y]],#N/A)</f>
        <v/>
      </c>
    </row>
    <row r="4061">
      <c r="A4061" s="6">
        <f>Database!$A6146</f>
        <v/>
      </c>
      <c r="B4061">
        <f>IF(VLOOKUP(Table7[[#This Row],[Date]],Database!$A:$C,MATCH($B$1,Database!$A$1:$C$1,),)=0,#N/A,VLOOKUP(Table7[[#This Row],[Date]],Database!$A:$C,MATCH($B$1,Database!$A$1:$C$1,),))</f>
        <v/>
      </c>
      <c r="C4061">
        <f>IF(VLOOKUP(Table7[[#This Row],[Date]],Database!$A:$C,MATCH($C$1,Database!$A$1:$C$1,),)=0,#N/A,VLOOKUP(Table7[[#This Row],[Date]],Database!$A:$C,MATCH($C$1,Database!$A$1:$C$1,),))</f>
        <v/>
      </c>
      <c r="D4061">
        <f>IFERROR(Table7[[#This Row],[United States 10y]]-Table7[[#This Row],[United States 3y]],#N/A)</f>
        <v/>
      </c>
    </row>
    <row r="4062">
      <c r="A4062" s="6">
        <f>Database!$A6147</f>
        <v/>
      </c>
      <c r="B4062">
        <f>IF(VLOOKUP(Table7[[#This Row],[Date]],Database!$A:$C,MATCH($B$1,Database!$A$1:$C$1,),)=0,#N/A,VLOOKUP(Table7[[#This Row],[Date]],Database!$A:$C,MATCH($B$1,Database!$A$1:$C$1,),))</f>
        <v/>
      </c>
      <c r="C4062">
        <f>IF(VLOOKUP(Table7[[#This Row],[Date]],Database!$A:$C,MATCH($C$1,Database!$A$1:$C$1,),)=0,#N/A,VLOOKUP(Table7[[#This Row],[Date]],Database!$A:$C,MATCH($C$1,Database!$A$1:$C$1,),))</f>
        <v/>
      </c>
      <c r="D4062">
        <f>IFERROR(Table7[[#This Row],[United States 10y]]-Table7[[#This Row],[United States 3y]],#N/A)</f>
        <v/>
      </c>
    </row>
    <row r="4063">
      <c r="A4063" s="6">
        <f>Database!$A6148</f>
        <v/>
      </c>
      <c r="B4063">
        <f>IF(VLOOKUP(Table7[[#This Row],[Date]],Database!$A:$C,MATCH($B$1,Database!$A$1:$C$1,),)=0,#N/A,VLOOKUP(Table7[[#This Row],[Date]],Database!$A:$C,MATCH($B$1,Database!$A$1:$C$1,),))</f>
        <v/>
      </c>
      <c r="C4063">
        <f>IF(VLOOKUP(Table7[[#This Row],[Date]],Database!$A:$C,MATCH($C$1,Database!$A$1:$C$1,),)=0,#N/A,VLOOKUP(Table7[[#This Row],[Date]],Database!$A:$C,MATCH($C$1,Database!$A$1:$C$1,),))</f>
        <v/>
      </c>
      <c r="D4063">
        <f>IFERROR(Table7[[#This Row],[United States 10y]]-Table7[[#This Row],[United States 3y]],#N/A)</f>
        <v/>
      </c>
    </row>
    <row r="4064">
      <c r="A4064" s="6">
        <f>Database!$A6149</f>
        <v/>
      </c>
      <c r="B4064">
        <f>IF(VLOOKUP(Table7[[#This Row],[Date]],Database!$A:$C,MATCH($B$1,Database!$A$1:$C$1,),)=0,#N/A,VLOOKUP(Table7[[#This Row],[Date]],Database!$A:$C,MATCH($B$1,Database!$A$1:$C$1,),))</f>
        <v/>
      </c>
      <c r="C4064">
        <f>IF(VLOOKUP(Table7[[#This Row],[Date]],Database!$A:$C,MATCH($C$1,Database!$A$1:$C$1,),)=0,#N/A,VLOOKUP(Table7[[#This Row],[Date]],Database!$A:$C,MATCH($C$1,Database!$A$1:$C$1,),))</f>
        <v/>
      </c>
      <c r="D4064">
        <f>IFERROR(Table7[[#This Row],[United States 10y]]-Table7[[#This Row],[United States 3y]],#N/A)</f>
        <v/>
      </c>
    </row>
    <row r="4065">
      <c r="A4065" s="6">
        <f>Database!$A6150</f>
        <v/>
      </c>
      <c r="B4065">
        <f>IF(VLOOKUP(Table7[[#This Row],[Date]],Database!$A:$C,MATCH($B$1,Database!$A$1:$C$1,),)=0,#N/A,VLOOKUP(Table7[[#This Row],[Date]],Database!$A:$C,MATCH($B$1,Database!$A$1:$C$1,),))</f>
        <v/>
      </c>
      <c r="C4065">
        <f>IF(VLOOKUP(Table7[[#This Row],[Date]],Database!$A:$C,MATCH($C$1,Database!$A$1:$C$1,),)=0,#N/A,VLOOKUP(Table7[[#This Row],[Date]],Database!$A:$C,MATCH($C$1,Database!$A$1:$C$1,),))</f>
        <v/>
      </c>
      <c r="D4065">
        <f>IFERROR(Table7[[#This Row],[United States 10y]]-Table7[[#This Row],[United States 3y]],#N/A)</f>
        <v/>
      </c>
    </row>
    <row r="4066">
      <c r="A4066" s="6">
        <f>Database!$A6151</f>
        <v/>
      </c>
      <c r="B4066">
        <f>IF(VLOOKUP(Table7[[#This Row],[Date]],Database!$A:$C,MATCH($B$1,Database!$A$1:$C$1,),)=0,#N/A,VLOOKUP(Table7[[#This Row],[Date]],Database!$A:$C,MATCH($B$1,Database!$A$1:$C$1,),))</f>
        <v/>
      </c>
      <c r="C4066">
        <f>IF(VLOOKUP(Table7[[#This Row],[Date]],Database!$A:$C,MATCH($C$1,Database!$A$1:$C$1,),)=0,#N/A,VLOOKUP(Table7[[#This Row],[Date]],Database!$A:$C,MATCH($C$1,Database!$A$1:$C$1,),))</f>
        <v/>
      </c>
      <c r="D4066">
        <f>IFERROR(Table7[[#This Row],[United States 10y]]-Table7[[#This Row],[United States 3y]],#N/A)</f>
        <v/>
      </c>
    </row>
    <row r="4067">
      <c r="A4067" s="6">
        <f>Database!$A6152</f>
        <v/>
      </c>
      <c r="B4067">
        <f>IF(VLOOKUP(Table7[[#This Row],[Date]],Database!$A:$C,MATCH($B$1,Database!$A$1:$C$1,),)=0,#N/A,VLOOKUP(Table7[[#This Row],[Date]],Database!$A:$C,MATCH($B$1,Database!$A$1:$C$1,),))</f>
        <v/>
      </c>
      <c r="C4067">
        <f>IF(VLOOKUP(Table7[[#This Row],[Date]],Database!$A:$C,MATCH($C$1,Database!$A$1:$C$1,),)=0,#N/A,VLOOKUP(Table7[[#This Row],[Date]],Database!$A:$C,MATCH($C$1,Database!$A$1:$C$1,),))</f>
        <v/>
      </c>
      <c r="D4067">
        <f>IFERROR(Table7[[#This Row],[United States 10y]]-Table7[[#This Row],[United States 3y]],#N/A)</f>
        <v/>
      </c>
    </row>
    <row r="4068">
      <c r="A4068" s="6">
        <f>Database!$A6153</f>
        <v/>
      </c>
      <c r="B4068">
        <f>IF(VLOOKUP(Table7[[#This Row],[Date]],Database!$A:$C,MATCH($B$1,Database!$A$1:$C$1,),)=0,#N/A,VLOOKUP(Table7[[#This Row],[Date]],Database!$A:$C,MATCH($B$1,Database!$A$1:$C$1,),))</f>
        <v/>
      </c>
      <c r="C4068">
        <f>IF(VLOOKUP(Table7[[#This Row],[Date]],Database!$A:$C,MATCH($C$1,Database!$A$1:$C$1,),)=0,#N/A,VLOOKUP(Table7[[#This Row],[Date]],Database!$A:$C,MATCH($C$1,Database!$A$1:$C$1,),))</f>
        <v/>
      </c>
      <c r="D4068">
        <f>IFERROR(Table7[[#This Row],[United States 10y]]-Table7[[#This Row],[United States 3y]],#N/A)</f>
        <v/>
      </c>
    </row>
    <row r="4069">
      <c r="A4069" s="6">
        <f>Database!$A6154</f>
        <v/>
      </c>
      <c r="B4069">
        <f>IF(VLOOKUP(Table7[[#This Row],[Date]],Database!$A:$C,MATCH($B$1,Database!$A$1:$C$1,),)=0,#N/A,VLOOKUP(Table7[[#This Row],[Date]],Database!$A:$C,MATCH($B$1,Database!$A$1:$C$1,),))</f>
        <v/>
      </c>
      <c r="C4069">
        <f>IF(VLOOKUP(Table7[[#This Row],[Date]],Database!$A:$C,MATCH($C$1,Database!$A$1:$C$1,),)=0,#N/A,VLOOKUP(Table7[[#This Row],[Date]],Database!$A:$C,MATCH($C$1,Database!$A$1:$C$1,),))</f>
        <v/>
      </c>
      <c r="D4069">
        <f>IFERROR(Table7[[#This Row],[United States 10y]]-Table7[[#This Row],[United States 3y]],#N/A)</f>
        <v/>
      </c>
    </row>
    <row r="4070">
      <c r="A4070" s="6">
        <f>Database!$A6155</f>
        <v/>
      </c>
      <c r="B4070">
        <f>IF(VLOOKUP(Table7[[#This Row],[Date]],Database!$A:$C,MATCH($B$1,Database!$A$1:$C$1,),)=0,#N/A,VLOOKUP(Table7[[#This Row],[Date]],Database!$A:$C,MATCH($B$1,Database!$A$1:$C$1,),))</f>
        <v/>
      </c>
      <c r="C4070">
        <f>IF(VLOOKUP(Table7[[#This Row],[Date]],Database!$A:$C,MATCH($C$1,Database!$A$1:$C$1,),)=0,#N/A,VLOOKUP(Table7[[#This Row],[Date]],Database!$A:$C,MATCH($C$1,Database!$A$1:$C$1,),))</f>
        <v/>
      </c>
      <c r="D4070">
        <f>IFERROR(Table7[[#This Row],[United States 10y]]-Table7[[#This Row],[United States 3y]],#N/A)</f>
        <v/>
      </c>
    </row>
    <row r="4071">
      <c r="A4071" s="6">
        <f>Database!$A6156</f>
        <v/>
      </c>
      <c r="B4071">
        <f>IF(VLOOKUP(Table7[[#This Row],[Date]],Database!$A:$C,MATCH($B$1,Database!$A$1:$C$1,),)=0,#N/A,VLOOKUP(Table7[[#This Row],[Date]],Database!$A:$C,MATCH($B$1,Database!$A$1:$C$1,),))</f>
        <v/>
      </c>
      <c r="C4071">
        <f>IF(VLOOKUP(Table7[[#This Row],[Date]],Database!$A:$C,MATCH($C$1,Database!$A$1:$C$1,),)=0,#N/A,VLOOKUP(Table7[[#This Row],[Date]],Database!$A:$C,MATCH($C$1,Database!$A$1:$C$1,),))</f>
        <v/>
      </c>
      <c r="D4071">
        <f>IFERROR(Table7[[#This Row],[United States 10y]]-Table7[[#This Row],[United States 3y]],#N/A)</f>
        <v/>
      </c>
    </row>
    <row r="4072">
      <c r="A4072" s="6">
        <f>Database!$A6157</f>
        <v/>
      </c>
      <c r="B4072">
        <f>IF(VLOOKUP(Table7[[#This Row],[Date]],Database!$A:$C,MATCH($B$1,Database!$A$1:$C$1,),)=0,#N/A,VLOOKUP(Table7[[#This Row],[Date]],Database!$A:$C,MATCH($B$1,Database!$A$1:$C$1,),))</f>
        <v/>
      </c>
      <c r="C4072">
        <f>IF(VLOOKUP(Table7[[#This Row],[Date]],Database!$A:$C,MATCH($C$1,Database!$A$1:$C$1,),)=0,#N/A,VLOOKUP(Table7[[#This Row],[Date]],Database!$A:$C,MATCH($C$1,Database!$A$1:$C$1,),))</f>
        <v/>
      </c>
      <c r="D4072">
        <f>IFERROR(Table7[[#This Row],[United States 10y]]-Table7[[#This Row],[United States 3y]],#N/A)</f>
        <v/>
      </c>
    </row>
    <row r="4073">
      <c r="A4073" s="6">
        <f>Database!$A6158</f>
        <v/>
      </c>
      <c r="B4073">
        <f>IF(VLOOKUP(Table7[[#This Row],[Date]],Database!$A:$C,MATCH($B$1,Database!$A$1:$C$1,),)=0,#N/A,VLOOKUP(Table7[[#This Row],[Date]],Database!$A:$C,MATCH($B$1,Database!$A$1:$C$1,),))</f>
        <v/>
      </c>
      <c r="C4073">
        <f>IF(VLOOKUP(Table7[[#This Row],[Date]],Database!$A:$C,MATCH($C$1,Database!$A$1:$C$1,),)=0,#N/A,VLOOKUP(Table7[[#This Row],[Date]],Database!$A:$C,MATCH($C$1,Database!$A$1:$C$1,),))</f>
        <v/>
      </c>
      <c r="D4073">
        <f>IFERROR(Table7[[#This Row],[United States 10y]]-Table7[[#This Row],[United States 3y]],#N/A)</f>
        <v/>
      </c>
    </row>
    <row r="4074">
      <c r="A4074" s="6">
        <f>Database!$A6159</f>
        <v/>
      </c>
      <c r="B4074">
        <f>IF(VLOOKUP(Table7[[#This Row],[Date]],Database!$A:$C,MATCH($B$1,Database!$A$1:$C$1,),)=0,#N/A,VLOOKUP(Table7[[#This Row],[Date]],Database!$A:$C,MATCH($B$1,Database!$A$1:$C$1,),))</f>
        <v/>
      </c>
      <c r="C4074">
        <f>IF(VLOOKUP(Table7[[#This Row],[Date]],Database!$A:$C,MATCH($C$1,Database!$A$1:$C$1,),)=0,#N/A,VLOOKUP(Table7[[#This Row],[Date]],Database!$A:$C,MATCH($C$1,Database!$A$1:$C$1,),))</f>
        <v/>
      </c>
      <c r="D4074">
        <f>IFERROR(Table7[[#This Row],[United States 10y]]-Table7[[#This Row],[United States 3y]],#N/A)</f>
        <v/>
      </c>
    </row>
    <row r="4075">
      <c r="A4075" s="6">
        <f>Database!$A6160</f>
        <v/>
      </c>
      <c r="B4075">
        <f>IF(VLOOKUP(Table7[[#This Row],[Date]],Database!$A:$C,MATCH($B$1,Database!$A$1:$C$1,),)=0,#N/A,VLOOKUP(Table7[[#This Row],[Date]],Database!$A:$C,MATCH($B$1,Database!$A$1:$C$1,),))</f>
        <v/>
      </c>
      <c r="C4075">
        <f>IF(VLOOKUP(Table7[[#This Row],[Date]],Database!$A:$C,MATCH($C$1,Database!$A$1:$C$1,),)=0,#N/A,VLOOKUP(Table7[[#This Row],[Date]],Database!$A:$C,MATCH($C$1,Database!$A$1:$C$1,),))</f>
        <v/>
      </c>
      <c r="D4075">
        <f>IFERROR(Table7[[#This Row],[United States 10y]]-Table7[[#This Row],[United States 3y]],#N/A)</f>
        <v/>
      </c>
    </row>
    <row r="4076">
      <c r="A4076" s="6">
        <f>Database!$A6161</f>
        <v/>
      </c>
      <c r="B4076">
        <f>IF(VLOOKUP(Table7[[#This Row],[Date]],Database!$A:$C,MATCH($B$1,Database!$A$1:$C$1,),)=0,#N/A,VLOOKUP(Table7[[#This Row],[Date]],Database!$A:$C,MATCH($B$1,Database!$A$1:$C$1,),))</f>
        <v/>
      </c>
      <c r="C4076">
        <f>IF(VLOOKUP(Table7[[#This Row],[Date]],Database!$A:$C,MATCH($C$1,Database!$A$1:$C$1,),)=0,#N/A,VLOOKUP(Table7[[#This Row],[Date]],Database!$A:$C,MATCH($C$1,Database!$A$1:$C$1,),))</f>
        <v/>
      </c>
      <c r="D4076">
        <f>IFERROR(Table7[[#This Row],[United States 10y]]-Table7[[#This Row],[United States 3y]],#N/A)</f>
        <v/>
      </c>
    </row>
    <row r="4077">
      <c r="A4077" s="6">
        <f>Database!$A6162</f>
        <v/>
      </c>
      <c r="B4077">
        <f>IF(VLOOKUP(Table7[[#This Row],[Date]],Database!$A:$C,MATCH($B$1,Database!$A$1:$C$1,),)=0,#N/A,VLOOKUP(Table7[[#This Row],[Date]],Database!$A:$C,MATCH($B$1,Database!$A$1:$C$1,),))</f>
        <v/>
      </c>
      <c r="C4077">
        <f>IF(VLOOKUP(Table7[[#This Row],[Date]],Database!$A:$C,MATCH($C$1,Database!$A$1:$C$1,),)=0,#N/A,VLOOKUP(Table7[[#This Row],[Date]],Database!$A:$C,MATCH($C$1,Database!$A$1:$C$1,),))</f>
        <v/>
      </c>
      <c r="D4077">
        <f>IFERROR(Table7[[#This Row],[United States 10y]]-Table7[[#This Row],[United States 3y]],#N/A)</f>
        <v/>
      </c>
    </row>
    <row r="4078">
      <c r="A4078" s="6">
        <f>Database!$A6163</f>
        <v/>
      </c>
      <c r="B4078">
        <f>IF(VLOOKUP(Table7[[#This Row],[Date]],Database!$A:$C,MATCH($B$1,Database!$A$1:$C$1,),)=0,#N/A,VLOOKUP(Table7[[#This Row],[Date]],Database!$A:$C,MATCH($B$1,Database!$A$1:$C$1,),))</f>
        <v/>
      </c>
      <c r="C4078">
        <f>IF(VLOOKUP(Table7[[#This Row],[Date]],Database!$A:$C,MATCH($C$1,Database!$A$1:$C$1,),)=0,#N/A,VLOOKUP(Table7[[#This Row],[Date]],Database!$A:$C,MATCH($C$1,Database!$A$1:$C$1,),))</f>
        <v/>
      </c>
      <c r="D4078">
        <f>IFERROR(Table7[[#This Row],[United States 10y]]-Table7[[#This Row],[United States 3y]],#N/A)</f>
        <v/>
      </c>
    </row>
    <row r="4079">
      <c r="A4079" s="6">
        <f>Database!$A6164</f>
        <v/>
      </c>
      <c r="B4079">
        <f>IF(VLOOKUP(Table7[[#This Row],[Date]],Database!$A:$C,MATCH($B$1,Database!$A$1:$C$1,),)=0,#N/A,VLOOKUP(Table7[[#This Row],[Date]],Database!$A:$C,MATCH($B$1,Database!$A$1:$C$1,),))</f>
        <v/>
      </c>
      <c r="C4079">
        <f>IF(VLOOKUP(Table7[[#This Row],[Date]],Database!$A:$C,MATCH($C$1,Database!$A$1:$C$1,),)=0,#N/A,VLOOKUP(Table7[[#This Row],[Date]],Database!$A:$C,MATCH($C$1,Database!$A$1:$C$1,),))</f>
        <v/>
      </c>
      <c r="D4079">
        <f>IFERROR(Table7[[#This Row],[United States 10y]]-Table7[[#This Row],[United States 3y]],#N/A)</f>
        <v/>
      </c>
    </row>
    <row r="4080">
      <c r="A4080" s="6">
        <f>Database!$A6165</f>
        <v/>
      </c>
      <c r="B4080">
        <f>IF(VLOOKUP(Table7[[#This Row],[Date]],Database!$A:$C,MATCH($B$1,Database!$A$1:$C$1,),)=0,#N/A,VLOOKUP(Table7[[#This Row],[Date]],Database!$A:$C,MATCH($B$1,Database!$A$1:$C$1,),))</f>
        <v/>
      </c>
      <c r="C4080">
        <f>IF(VLOOKUP(Table7[[#This Row],[Date]],Database!$A:$C,MATCH($C$1,Database!$A$1:$C$1,),)=0,#N/A,VLOOKUP(Table7[[#This Row],[Date]],Database!$A:$C,MATCH($C$1,Database!$A$1:$C$1,),))</f>
        <v/>
      </c>
      <c r="D4080">
        <f>IFERROR(Table7[[#This Row],[United States 10y]]-Table7[[#This Row],[United States 3y]],#N/A)</f>
        <v/>
      </c>
    </row>
    <row r="4081">
      <c r="A4081" s="6">
        <f>Database!$A6166</f>
        <v/>
      </c>
      <c r="B4081">
        <f>IF(VLOOKUP(Table7[[#This Row],[Date]],Database!$A:$C,MATCH($B$1,Database!$A$1:$C$1,),)=0,#N/A,VLOOKUP(Table7[[#This Row],[Date]],Database!$A:$C,MATCH($B$1,Database!$A$1:$C$1,),))</f>
        <v/>
      </c>
      <c r="C4081">
        <f>IF(VLOOKUP(Table7[[#This Row],[Date]],Database!$A:$C,MATCH($C$1,Database!$A$1:$C$1,),)=0,#N/A,VLOOKUP(Table7[[#This Row],[Date]],Database!$A:$C,MATCH($C$1,Database!$A$1:$C$1,),))</f>
        <v/>
      </c>
      <c r="D4081">
        <f>IFERROR(Table7[[#This Row],[United States 10y]]-Table7[[#This Row],[United States 3y]],#N/A)</f>
        <v/>
      </c>
    </row>
    <row r="4082">
      <c r="A4082" s="6">
        <f>Database!$A6167</f>
        <v/>
      </c>
      <c r="B4082">
        <f>IF(VLOOKUP(Table7[[#This Row],[Date]],Database!$A:$C,MATCH($B$1,Database!$A$1:$C$1,),)=0,#N/A,VLOOKUP(Table7[[#This Row],[Date]],Database!$A:$C,MATCH($B$1,Database!$A$1:$C$1,),))</f>
        <v/>
      </c>
      <c r="C4082">
        <f>IF(VLOOKUP(Table7[[#This Row],[Date]],Database!$A:$C,MATCH($C$1,Database!$A$1:$C$1,),)=0,#N/A,VLOOKUP(Table7[[#This Row],[Date]],Database!$A:$C,MATCH($C$1,Database!$A$1:$C$1,),))</f>
        <v/>
      </c>
      <c r="D4082">
        <f>IFERROR(Table7[[#This Row],[United States 10y]]-Table7[[#This Row],[United States 3y]],#N/A)</f>
        <v/>
      </c>
    </row>
    <row r="4083">
      <c r="A4083" s="6">
        <f>Database!$A6168</f>
        <v/>
      </c>
      <c r="B4083">
        <f>IF(VLOOKUP(Table7[[#This Row],[Date]],Database!$A:$C,MATCH($B$1,Database!$A$1:$C$1,),)=0,#N/A,VLOOKUP(Table7[[#This Row],[Date]],Database!$A:$C,MATCH($B$1,Database!$A$1:$C$1,),))</f>
        <v/>
      </c>
      <c r="C4083">
        <f>IF(VLOOKUP(Table7[[#This Row],[Date]],Database!$A:$C,MATCH($C$1,Database!$A$1:$C$1,),)=0,#N/A,VLOOKUP(Table7[[#This Row],[Date]],Database!$A:$C,MATCH($C$1,Database!$A$1:$C$1,),))</f>
        <v/>
      </c>
      <c r="D4083">
        <f>IFERROR(Table7[[#This Row],[United States 10y]]-Table7[[#This Row],[United States 3y]],#N/A)</f>
        <v/>
      </c>
    </row>
    <row r="4084">
      <c r="A4084" s="6">
        <f>Database!$A6169</f>
        <v/>
      </c>
      <c r="B4084">
        <f>IF(VLOOKUP(Table7[[#This Row],[Date]],Database!$A:$C,MATCH($B$1,Database!$A$1:$C$1,),)=0,#N/A,VLOOKUP(Table7[[#This Row],[Date]],Database!$A:$C,MATCH($B$1,Database!$A$1:$C$1,),))</f>
        <v/>
      </c>
      <c r="C4084">
        <f>IF(VLOOKUP(Table7[[#This Row],[Date]],Database!$A:$C,MATCH($C$1,Database!$A$1:$C$1,),)=0,#N/A,VLOOKUP(Table7[[#This Row],[Date]],Database!$A:$C,MATCH($C$1,Database!$A$1:$C$1,),))</f>
        <v/>
      </c>
      <c r="D4084">
        <f>IFERROR(Table7[[#This Row],[United States 10y]]-Table7[[#This Row],[United States 3y]],#N/A)</f>
        <v/>
      </c>
    </row>
    <row r="4085">
      <c r="A4085" s="6">
        <f>Database!$A6170</f>
        <v/>
      </c>
      <c r="B4085">
        <f>IF(VLOOKUP(Table7[[#This Row],[Date]],Database!$A:$C,MATCH($B$1,Database!$A$1:$C$1,),)=0,#N/A,VLOOKUP(Table7[[#This Row],[Date]],Database!$A:$C,MATCH($B$1,Database!$A$1:$C$1,),))</f>
        <v/>
      </c>
      <c r="C4085">
        <f>IF(VLOOKUP(Table7[[#This Row],[Date]],Database!$A:$C,MATCH($C$1,Database!$A$1:$C$1,),)=0,#N/A,VLOOKUP(Table7[[#This Row],[Date]],Database!$A:$C,MATCH($C$1,Database!$A$1:$C$1,),))</f>
        <v/>
      </c>
      <c r="D4085">
        <f>IFERROR(Table7[[#This Row],[United States 10y]]-Table7[[#This Row],[United States 3y]],#N/A)</f>
        <v/>
      </c>
    </row>
    <row r="4086">
      <c r="A4086" s="6">
        <f>Database!$A6171</f>
        <v/>
      </c>
      <c r="B4086">
        <f>IF(VLOOKUP(Table7[[#This Row],[Date]],Database!$A:$C,MATCH($B$1,Database!$A$1:$C$1,),)=0,#N/A,VLOOKUP(Table7[[#This Row],[Date]],Database!$A:$C,MATCH($B$1,Database!$A$1:$C$1,),))</f>
        <v/>
      </c>
      <c r="C4086">
        <f>IF(VLOOKUP(Table7[[#This Row],[Date]],Database!$A:$C,MATCH($C$1,Database!$A$1:$C$1,),)=0,#N/A,VLOOKUP(Table7[[#This Row],[Date]],Database!$A:$C,MATCH($C$1,Database!$A$1:$C$1,),))</f>
        <v/>
      </c>
      <c r="D4086">
        <f>IFERROR(Table7[[#This Row],[United States 10y]]-Table7[[#This Row],[United States 3y]],#N/A)</f>
        <v/>
      </c>
    </row>
    <row r="4087">
      <c r="A4087" s="6">
        <f>Database!$A6172</f>
        <v/>
      </c>
      <c r="B4087">
        <f>IF(VLOOKUP(Table7[[#This Row],[Date]],Database!$A:$C,MATCH($B$1,Database!$A$1:$C$1,),)=0,#N/A,VLOOKUP(Table7[[#This Row],[Date]],Database!$A:$C,MATCH($B$1,Database!$A$1:$C$1,),))</f>
        <v/>
      </c>
      <c r="C4087">
        <f>IF(VLOOKUP(Table7[[#This Row],[Date]],Database!$A:$C,MATCH($C$1,Database!$A$1:$C$1,),)=0,#N/A,VLOOKUP(Table7[[#This Row],[Date]],Database!$A:$C,MATCH($C$1,Database!$A$1:$C$1,),))</f>
        <v/>
      </c>
      <c r="D4087">
        <f>IFERROR(Table7[[#This Row],[United States 10y]]-Table7[[#This Row],[United States 3y]],#N/A)</f>
        <v/>
      </c>
    </row>
    <row r="4088">
      <c r="A4088" s="6">
        <f>Database!$A6173</f>
        <v/>
      </c>
      <c r="B4088">
        <f>IF(VLOOKUP(Table7[[#This Row],[Date]],Database!$A:$C,MATCH($B$1,Database!$A$1:$C$1,),)=0,#N/A,VLOOKUP(Table7[[#This Row],[Date]],Database!$A:$C,MATCH($B$1,Database!$A$1:$C$1,),))</f>
        <v/>
      </c>
      <c r="C4088">
        <f>IF(VLOOKUP(Table7[[#This Row],[Date]],Database!$A:$C,MATCH($C$1,Database!$A$1:$C$1,),)=0,#N/A,VLOOKUP(Table7[[#This Row],[Date]],Database!$A:$C,MATCH($C$1,Database!$A$1:$C$1,),))</f>
        <v/>
      </c>
      <c r="D4088">
        <f>IFERROR(Table7[[#This Row],[United States 10y]]-Table7[[#This Row],[United States 3y]],#N/A)</f>
        <v/>
      </c>
    </row>
    <row r="4089">
      <c r="A4089" s="6">
        <f>Database!$A6174</f>
        <v/>
      </c>
      <c r="B4089">
        <f>IF(VLOOKUP(Table7[[#This Row],[Date]],Database!$A:$C,MATCH($B$1,Database!$A$1:$C$1,),)=0,#N/A,VLOOKUP(Table7[[#This Row],[Date]],Database!$A:$C,MATCH($B$1,Database!$A$1:$C$1,),))</f>
        <v/>
      </c>
      <c r="C4089">
        <f>IF(VLOOKUP(Table7[[#This Row],[Date]],Database!$A:$C,MATCH($C$1,Database!$A$1:$C$1,),)=0,#N/A,VLOOKUP(Table7[[#This Row],[Date]],Database!$A:$C,MATCH($C$1,Database!$A$1:$C$1,),))</f>
        <v/>
      </c>
      <c r="D4089">
        <f>IFERROR(Table7[[#This Row],[United States 10y]]-Table7[[#This Row],[United States 3y]],#N/A)</f>
        <v/>
      </c>
    </row>
    <row r="4090">
      <c r="A4090" s="6">
        <f>Database!$A6175</f>
        <v/>
      </c>
      <c r="B4090">
        <f>IF(VLOOKUP(Table7[[#This Row],[Date]],Database!$A:$C,MATCH($B$1,Database!$A$1:$C$1,),)=0,#N/A,VLOOKUP(Table7[[#This Row],[Date]],Database!$A:$C,MATCH($B$1,Database!$A$1:$C$1,),))</f>
        <v/>
      </c>
      <c r="C4090">
        <f>IF(VLOOKUP(Table7[[#This Row],[Date]],Database!$A:$C,MATCH($C$1,Database!$A$1:$C$1,),)=0,#N/A,VLOOKUP(Table7[[#This Row],[Date]],Database!$A:$C,MATCH($C$1,Database!$A$1:$C$1,),))</f>
        <v/>
      </c>
      <c r="D4090">
        <f>IFERROR(Table7[[#This Row],[United States 10y]]-Table7[[#This Row],[United States 3y]],#N/A)</f>
        <v/>
      </c>
    </row>
    <row r="4091">
      <c r="A4091" s="6">
        <f>Database!$A6176</f>
        <v/>
      </c>
      <c r="B4091">
        <f>IF(VLOOKUP(Table7[[#This Row],[Date]],Database!$A:$C,MATCH($B$1,Database!$A$1:$C$1,),)=0,#N/A,VLOOKUP(Table7[[#This Row],[Date]],Database!$A:$C,MATCH($B$1,Database!$A$1:$C$1,),))</f>
        <v/>
      </c>
      <c r="C4091">
        <f>IF(VLOOKUP(Table7[[#This Row],[Date]],Database!$A:$C,MATCH($C$1,Database!$A$1:$C$1,),)=0,#N/A,VLOOKUP(Table7[[#This Row],[Date]],Database!$A:$C,MATCH($C$1,Database!$A$1:$C$1,),))</f>
        <v/>
      </c>
      <c r="D4091">
        <f>IFERROR(Table7[[#This Row],[United States 10y]]-Table7[[#This Row],[United States 3y]],#N/A)</f>
        <v/>
      </c>
    </row>
    <row r="4092">
      <c r="A4092" s="6">
        <f>Database!$A6177</f>
        <v/>
      </c>
      <c r="B4092">
        <f>IF(VLOOKUP(Table7[[#This Row],[Date]],Database!$A:$C,MATCH($B$1,Database!$A$1:$C$1,),)=0,#N/A,VLOOKUP(Table7[[#This Row],[Date]],Database!$A:$C,MATCH($B$1,Database!$A$1:$C$1,),))</f>
        <v/>
      </c>
      <c r="C4092">
        <f>IF(VLOOKUP(Table7[[#This Row],[Date]],Database!$A:$C,MATCH($C$1,Database!$A$1:$C$1,),)=0,#N/A,VLOOKUP(Table7[[#This Row],[Date]],Database!$A:$C,MATCH($C$1,Database!$A$1:$C$1,),))</f>
        <v/>
      </c>
      <c r="D4092">
        <f>IFERROR(Table7[[#This Row],[United States 10y]]-Table7[[#This Row],[United States 3y]],#N/A)</f>
        <v/>
      </c>
    </row>
    <row r="4093">
      <c r="A4093" s="6">
        <f>Database!$A6178</f>
        <v/>
      </c>
      <c r="B4093">
        <f>IF(VLOOKUP(Table7[[#This Row],[Date]],Database!$A:$C,MATCH($B$1,Database!$A$1:$C$1,),)=0,#N/A,VLOOKUP(Table7[[#This Row],[Date]],Database!$A:$C,MATCH($B$1,Database!$A$1:$C$1,),))</f>
        <v/>
      </c>
      <c r="C4093">
        <f>IF(VLOOKUP(Table7[[#This Row],[Date]],Database!$A:$C,MATCH($C$1,Database!$A$1:$C$1,),)=0,#N/A,VLOOKUP(Table7[[#This Row],[Date]],Database!$A:$C,MATCH($C$1,Database!$A$1:$C$1,),))</f>
        <v/>
      </c>
      <c r="D4093">
        <f>IFERROR(Table7[[#This Row],[United States 10y]]-Table7[[#This Row],[United States 3y]],#N/A)</f>
        <v/>
      </c>
    </row>
    <row r="4094">
      <c r="A4094" s="6">
        <f>Database!$A6179</f>
        <v/>
      </c>
      <c r="B4094">
        <f>IF(VLOOKUP(Table7[[#This Row],[Date]],Database!$A:$C,MATCH($B$1,Database!$A$1:$C$1,),)=0,#N/A,VLOOKUP(Table7[[#This Row],[Date]],Database!$A:$C,MATCH($B$1,Database!$A$1:$C$1,),))</f>
        <v/>
      </c>
      <c r="C4094">
        <f>IF(VLOOKUP(Table7[[#This Row],[Date]],Database!$A:$C,MATCH($C$1,Database!$A$1:$C$1,),)=0,#N/A,VLOOKUP(Table7[[#This Row],[Date]],Database!$A:$C,MATCH($C$1,Database!$A$1:$C$1,),))</f>
        <v/>
      </c>
      <c r="D4094">
        <f>IFERROR(Table7[[#This Row],[United States 10y]]-Table7[[#This Row],[United States 3y]],#N/A)</f>
        <v/>
      </c>
    </row>
    <row r="4095">
      <c r="A4095" s="6">
        <f>Database!$A6180</f>
        <v/>
      </c>
      <c r="B4095">
        <f>IF(VLOOKUP(Table7[[#This Row],[Date]],Database!$A:$C,MATCH($B$1,Database!$A$1:$C$1,),)=0,#N/A,VLOOKUP(Table7[[#This Row],[Date]],Database!$A:$C,MATCH($B$1,Database!$A$1:$C$1,),))</f>
        <v/>
      </c>
      <c r="C4095">
        <f>IF(VLOOKUP(Table7[[#This Row],[Date]],Database!$A:$C,MATCH($C$1,Database!$A$1:$C$1,),)=0,#N/A,VLOOKUP(Table7[[#This Row],[Date]],Database!$A:$C,MATCH($C$1,Database!$A$1:$C$1,),))</f>
        <v/>
      </c>
      <c r="D4095">
        <f>IFERROR(Table7[[#This Row],[United States 10y]]-Table7[[#This Row],[United States 3y]],#N/A)</f>
        <v/>
      </c>
    </row>
    <row r="4096">
      <c r="A4096" s="6">
        <f>Database!$A6181</f>
        <v/>
      </c>
      <c r="B4096">
        <f>IF(VLOOKUP(Table7[[#This Row],[Date]],Database!$A:$C,MATCH($B$1,Database!$A$1:$C$1,),)=0,#N/A,VLOOKUP(Table7[[#This Row],[Date]],Database!$A:$C,MATCH($B$1,Database!$A$1:$C$1,),))</f>
        <v/>
      </c>
      <c r="C4096">
        <f>IF(VLOOKUP(Table7[[#This Row],[Date]],Database!$A:$C,MATCH($C$1,Database!$A$1:$C$1,),)=0,#N/A,VLOOKUP(Table7[[#This Row],[Date]],Database!$A:$C,MATCH($C$1,Database!$A$1:$C$1,),))</f>
        <v/>
      </c>
      <c r="D4096">
        <f>IFERROR(Table7[[#This Row],[United States 10y]]-Table7[[#This Row],[United States 3y]],#N/A)</f>
        <v/>
      </c>
    </row>
    <row r="4097">
      <c r="A4097" s="6">
        <f>Database!$A6182</f>
        <v/>
      </c>
      <c r="B4097">
        <f>IF(VLOOKUP(Table7[[#This Row],[Date]],Database!$A:$C,MATCH($B$1,Database!$A$1:$C$1,),)=0,#N/A,VLOOKUP(Table7[[#This Row],[Date]],Database!$A:$C,MATCH($B$1,Database!$A$1:$C$1,),))</f>
        <v/>
      </c>
      <c r="C4097">
        <f>IF(VLOOKUP(Table7[[#This Row],[Date]],Database!$A:$C,MATCH($C$1,Database!$A$1:$C$1,),)=0,#N/A,VLOOKUP(Table7[[#This Row],[Date]],Database!$A:$C,MATCH($C$1,Database!$A$1:$C$1,),))</f>
        <v/>
      </c>
      <c r="D4097">
        <f>IFERROR(Table7[[#This Row],[United States 10y]]-Table7[[#This Row],[United States 3y]],#N/A)</f>
        <v/>
      </c>
    </row>
    <row r="4098">
      <c r="A4098" s="6">
        <f>Database!$A6183</f>
        <v/>
      </c>
      <c r="B4098">
        <f>IF(VLOOKUP(Table7[[#This Row],[Date]],Database!$A:$C,MATCH($B$1,Database!$A$1:$C$1,),)=0,#N/A,VLOOKUP(Table7[[#This Row],[Date]],Database!$A:$C,MATCH($B$1,Database!$A$1:$C$1,),))</f>
        <v/>
      </c>
      <c r="C4098">
        <f>IF(VLOOKUP(Table7[[#This Row],[Date]],Database!$A:$C,MATCH($C$1,Database!$A$1:$C$1,),)=0,#N/A,VLOOKUP(Table7[[#This Row],[Date]],Database!$A:$C,MATCH($C$1,Database!$A$1:$C$1,),))</f>
        <v/>
      </c>
      <c r="D4098">
        <f>IFERROR(Table7[[#This Row],[United States 10y]]-Table7[[#This Row],[United States 3y]],#N/A)</f>
        <v/>
      </c>
    </row>
    <row r="4099">
      <c r="A4099" s="6">
        <f>Database!$A6184</f>
        <v/>
      </c>
      <c r="B4099">
        <f>IF(VLOOKUP(Table7[[#This Row],[Date]],Database!$A:$C,MATCH($B$1,Database!$A$1:$C$1,),)=0,#N/A,VLOOKUP(Table7[[#This Row],[Date]],Database!$A:$C,MATCH($B$1,Database!$A$1:$C$1,),))</f>
        <v/>
      </c>
      <c r="C4099">
        <f>IF(VLOOKUP(Table7[[#This Row],[Date]],Database!$A:$C,MATCH($C$1,Database!$A$1:$C$1,),)=0,#N/A,VLOOKUP(Table7[[#This Row],[Date]],Database!$A:$C,MATCH($C$1,Database!$A$1:$C$1,),))</f>
        <v/>
      </c>
      <c r="D4099">
        <f>IFERROR(Table7[[#This Row],[United States 10y]]-Table7[[#This Row],[United States 3y]],#N/A)</f>
        <v/>
      </c>
    </row>
    <row r="4100">
      <c r="A4100" s="6">
        <f>Database!$A6185</f>
        <v/>
      </c>
      <c r="B4100">
        <f>IF(VLOOKUP(Table7[[#This Row],[Date]],Database!$A:$C,MATCH($B$1,Database!$A$1:$C$1,),)=0,#N/A,VLOOKUP(Table7[[#This Row],[Date]],Database!$A:$C,MATCH($B$1,Database!$A$1:$C$1,),))</f>
        <v/>
      </c>
      <c r="C4100">
        <f>IF(VLOOKUP(Table7[[#This Row],[Date]],Database!$A:$C,MATCH($C$1,Database!$A$1:$C$1,),)=0,#N/A,VLOOKUP(Table7[[#This Row],[Date]],Database!$A:$C,MATCH($C$1,Database!$A$1:$C$1,),))</f>
        <v/>
      </c>
      <c r="D4100">
        <f>IFERROR(Table7[[#This Row],[United States 10y]]-Table7[[#This Row],[United States 3y]],#N/A)</f>
        <v/>
      </c>
    </row>
    <row r="4101">
      <c r="A4101" s="6">
        <f>Database!$A6186</f>
        <v/>
      </c>
      <c r="B4101">
        <f>IF(VLOOKUP(Table7[[#This Row],[Date]],Database!$A:$C,MATCH($B$1,Database!$A$1:$C$1,),)=0,#N/A,VLOOKUP(Table7[[#This Row],[Date]],Database!$A:$C,MATCH($B$1,Database!$A$1:$C$1,),))</f>
        <v/>
      </c>
      <c r="C4101">
        <f>IF(VLOOKUP(Table7[[#This Row],[Date]],Database!$A:$C,MATCH($C$1,Database!$A$1:$C$1,),)=0,#N/A,VLOOKUP(Table7[[#This Row],[Date]],Database!$A:$C,MATCH($C$1,Database!$A$1:$C$1,),))</f>
        <v/>
      </c>
      <c r="D4101">
        <f>IFERROR(Table7[[#This Row],[United States 10y]]-Table7[[#This Row],[United States 3y]],#N/A)</f>
        <v/>
      </c>
    </row>
    <row r="4102">
      <c r="A4102" s="6">
        <f>Database!$A6187</f>
        <v/>
      </c>
      <c r="B4102">
        <f>IF(VLOOKUP(Table7[[#This Row],[Date]],Database!$A:$C,MATCH($B$1,Database!$A$1:$C$1,),)=0,#N/A,VLOOKUP(Table7[[#This Row],[Date]],Database!$A:$C,MATCH($B$1,Database!$A$1:$C$1,),))</f>
        <v/>
      </c>
      <c r="C4102">
        <f>IF(VLOOKUP(Table7[[#This Row],[Date]],Database!$A:$C,MATCH($C$1,Database!$A$1:$C$1,),)=0,#N/A,VLOOKUP(Table7[[#This Row],[Date]],Database!$A:$C,MATCH($C$1,Database!$A$1:$C$1,),))</f>
        <v/>
      </c>
      <c r="D4102">
        <f>IFERROR(Table7[[#This Row],[United States 10y]]-Table7[[#This Row],[United States 3y]],#N/A)</f>
        <v/>
      </c>
    </row>
    <row r="4103">
      <c r="A4103" s="6">
        <f>Database!$A6188</f>
        <v/>
      </c>
      <c r="B4103">
        <f>IF(VLOOKUP(Table7[[#This Row],[Date]],Database!$A:$C,MATCH($B$1,Database!$A$1:$C$1,),)=0,#N/A,VLOOKUP(Table7[[#This Row],[Date]],Database!$A:$C,MATCH($B$1,Database!$A$1:$C$1,),))</f>
        <v/>
      </c>
      <c r="C4103">
        <f>IF(VLOOKUP(Table7[[#This Row],[Date]],Database!$A:$C,MATCH($C$1,Database!$A$1:$C$1,),)=0,#N/A,VLOOKUP(Table7[[#This Row],[Date]],Database!$A:$C,MATCH($C$1,Database!$A$1:$C$1,),))</f>
        <v/>
      </c>
      <c r="D4103">
        <f>IFERROR(Table7[[#This Row],[United States 10y]]-Table7[[#This Row],[United States 3y]],#N/A)</f>
        <v/>
      </c>
    </row>
    <row r="4104">
      <c r="A4104" s="6">
        <f>Database!$A6189</f>
        <v/>
      </c>
      <c r="B4104">
        <f>IF(VLOOKUP(Table7[[#This Row],[Date]],Database!$A:$C,MATCH($B$1,Database!$A$1:$C$1,),)=0,#N/A,VLOOKUP(Table7[[#This Row],[Date]],Database!$A:$C,MATCH($B$1,Database!$A$1:$C$1,),))</f>
        <v/>
      </c>
      <c r="C4104">
        <f>IF(VLOOKUP(Table7[[#This Row],[Date]],Database!$A:$C,MATCH($C$1,Database!$A$1:$C$1,),)=0,#N/A,VLOOKUP(Table7[[#This Row],[Date]],Database!$A:$C,MATCH($C$1,Database!$A$1:$C$1,),))</f>
        <v/>
      </c>
      <c r="D4104">
        <f>IFERROR(Table7[[#This Row],[United States 10y]]-Table7[[#This Row],[United States 3y]],#N/A)</f>
        <v/>
      </c>
    </row>
    <row r="4105">
      <c r="A4105" s="6">
        <f>Database!$A6190</f>
        <v/>
      </c>
      <c r="B4105">
        <f>IF(VLOOKUP(Table7[[#This Row],[Date]],Database!$A:$C,MATCH($B$1,Database!$A$1:$C$1,),)=0,#N/A,VLOOKUP(Table7[[#This Row],[Date]],Database!$A:$C,MATCH($B$1,Database!$A$1:$C$1,),))</f>
        <v/>
      </c>
      <c r="C4105">
        <f>IF(VLOOKUP(Table7[[#This Row],[Date]],Database!$A:$C,MATCH($C$1,Database!$A$1:$C$1,),)=0,#N/A,VLOOKUP(Table7[[#This Row],[Date]],Database!$A:$C,MATCH($C$1,Database!$A$1:$C$1,),))</f>
        <v/>
      </c>
      <c r="D4105">
        <f>IFERROR(Table7[[#This Row],[United States 10y]]-Table7[[#This Row],[United States 3y]],#N/A)</f>
        <v/>
      </c>
    </row>
    <row r="4106">
      <c r="A4106" s="6">
        <f>Database!$A6191</f>
        <v/>
      </c>
      <c r="B4106">
        <f>IF(VLOOKUP(Table7[[#This Row],[Date]],Database!$A:$C,MATCH($B$1,Database!$A$1:$C$1,),)=0,#N/A,VLOOKUP(Table7[[#This Row],[Date]],Database!$A:$C,MATCH($B$1,Database!$A$1:$C$1,),))</f>
        <v/>
      </c>
      <c r="C4106">
        <f>IF(VLOOKUP(Table7[[#This Row],[Date]],Database!$A:$C,MATCH($C$1,Database!$A$1:$C$1,),)=0,#N/A,VLOOKUP(Table7[[#This Row],[Date]],Database!$A:$C,MATCH($C$1,Database!$A$1:$C$1,),))</f>
        <v/>
      </c>
      <c r="D4106">
        <f>IFERROR(Table7[[#This Row],[United States 10y]]-Table7[[#This Row],[United States 3y]],#N/A)</f>
        <v/>
      </c>
    </row>
    <row r="4107">
      <c r="A4107" s="6">
        <f>Database!$A6192</f>
        <v/>
      </c>
      <c r="B4107">
        <f>IF(VLOOKUP(Table7[[#This Row],[Date]],Database!$A:$C,MATCH($B$1,Database!$A$1:$C$1,),)=0,#N/A,VLOOKUP(Table7[[#This Row],[Date]],Database!$A:$C,MATCH($B$1,Database!$A$1:$C$1,),))</f>
        <v/>
      </c>
      <c r="C4107">
        <f>IF(VLOOKUP(Table7[[#This Row],[Date]],Database!$A:$C,MATCH($C$1,Database!$A$1:$C$1,),)=0,#N/A,VLOOKUP(Table7[[#This Row],[Date]],Database!$A:$C,MATCH($C$1,Database!$A$1:$C$1,),))</f>
        <v/>
      </c>
      <c r="D4107">
        <f>IFERROR(Table7[[#This Row],[United States 10y]]-Table7[[#This Row],[United States 3y]],#N/A)</f>
        <v/>
      </c>
    </row>
    <row r="4108">
      <c r="A4108" s="6">
        <f>Database!$A6193</f>
        <v/>
      </c>
      <c r="B4108">
        <f>IF(VLOOKUP(Table7[[#This Row],[Date]],Database!$A:$C,MATCH($B$1,Database!$A$1:$C$1,),)=0,#N/A,VLOOKUP(Table7[[#This Row],[Date]],Database!$A:$C,MATCH($B$1,Database!$A$1:$C$1,),))</f>
        <v/>
      </c>
      <c r="C4108">
        <f>IF(VLOOKUP(Table7[[#This Row],[Date]],Database!$A:$C,MATCH($C$1,Database!$A$1:$C$1,),)=0,#N/A,VLOOKUP(Table7[[#This Row],[Date]],Database!$A:$C,MATCH($C$1,Database!$A$1:$C$1,),))</f>
        <v/>
      </c>
      <c r="D4108">
        <f>IFERROR(Table7[[#This Row],[United States 10y]]-Table7[[#This Row],[United States 3y]],#N/A)</f>
        <v/>
      </c>
    </row>
    <row r="4109">
      <c r="A4109" s="6">
        <f>Database!$A6194</f>
        <v/>
      </c>
      <c r="B4109">
        <f>IF(VLOOKUP(Table7[[#This Row],[Date]],Database!$A:$C,MATCH($B$1,Database!$A$1:$C$1,),)=0,#N/A,VLOOKUP(Table7[[#This Row],[Date]],Database!$A:$C,MATCH($B$1,Database!$A$1:$C$1,),))</f>
        <v/>
      </c>
      <c r="C4109">
        <f>IF(VLOOKUP(Table7[[#This Row],[Date]],Database!$A:$C,MATCH($C$1,Database!$A$1:$C$1,),)=0,#N/A,VLOOKUP(Table7[[#This Row],[Date]],Database!$A:$C,MATCH($C$1,Database!$A$1:$C$1,),))</f>
        <v/>
      </c>
      <c r="D4109">
        <f>IFERROR(Table7[[#This Row],[United States 10y]]-Table7[[#This Row],[United States 3y]],#N/A)</f>
        <v/>
      </c>
    </row>
    <row r="4110">
      <c r="A4110" s="6">
        <f>Database!$A6195</f>
        <v/>
      </c>
      <c r="B4110">
        <f>IF(VLOOKUP(Table7[[#This Row],[Date]],Database!$A:$C,MATCH($B$1,Database!$A$1:$C$1,),)=0,#N/A,VLOOKUP(Table7[[#This Row],[Date]],Database!$A:$C,MATCH($B$1,Database!$A$1:$C$1,),))</f>
        <v/>
      </c>
      <c r="C4110">
        <f>IF(VLOOKUP(Table7[[#This Row],[Date]],Database!$A:$C,MATCH($C$1,Database!$A$1:$C$1,),)=0,#N/A,VLOOKUP(Table7[[#This Row],[Date]],Database!$A:$C,MATCH($C$1,Database!$A$1:$C$1,),))</f>
        <v/>
      </c>
      <c r="D4110">
        <f>IFERROR(Table7[[#This Row],[United States 10y]]-Table7[[#This Row],[United States 3y]],#N/A)</f>
        <v/>
      </c>
    </row>
    <row r="4111">
      <c r="A4111" s="6">
        <f>Database!$A6196</f>
        <v/>
      </c>
      <c r="B4111">
        <f>IF(VLOOKUP(Table7[[#This Row],[Date]],Database!$A:$C,MATCH($B$1,Database!$A$1:$C$1,),)=0,#N/A,VLOOKUP(Table7[[#This Row],[Date]],Database!$A:$C,MATCH($B$1,Database!$A$1:$C$1,),))</f>
        <v/>
      </c>
      <c r="C4111">
        <f>IF(VLOOKUP(Table7[[#This Row],[Date]],Database!$A:$C,MATCH($C$1,Database!$A$1:$C$1,),)=0,#N/A,VLOOKUP(Table7[[#This Row],[Date]],Database!$A:$C,MATCH($C$1,Database!$A$1:$C$1,),))</f>
        <v/>
      </c>
      <c r="D4111">
        <f>IFERROR(Table7[[#This Row],[United States 10y]]-Table7[[#This Row],[United States 3y]],#N/A)</f>
        <v/>
      </c>
    </row>
    <row r="4112">
      <c r="A4112" s="6">
        <f>Database!$A6197</f>
        <v/>
      </c>
      <c r="B4112">
        <f>IF(VLOOKUP(Table7[[#This Row],[Date]],Database!$A:$C,MATCH($B$1,Database!$A$1:$C$1,),)=0,#N/A,VLOOKUP(Table7[[#This Row],[Date]],Database!$A:$C,MATCH($B$1,Database!$A$1:$C$1,),))</f>
        <v/>
      </c>
      <c r="C4112">
        <f>IF(VLOOKUP(Table7[[#This Row],[Date]],Database!$A:$C,MATCH($C$1,Database!$A$1:$C$1,),)=0,#N/A,VLOOKUP(Table7[[#This Row],[Date]],Database!$A:$C,MATCH($C$1,Database!$A$1:$C$1,),))</f>
        <v/>
      </c>
      <c r="D4112">
        <f>IFERROR(Table7[[#This Row],[United States 10y]]-Table7[[#This Row],[United States 3y]],#N/A)</f>
        <v/>
      </c>
    </row>
    <row r="4113">
      <c r="A4113" s="6">
        <f>Database!$A6198</f>
        <v/>
      </c>
      <c r="B4113">
        <f>IF(VLOOKUP(Table7[[#This Row],[Date]],Database!$A:$C,MATCH($B$1,Database!$A$1:$C$1,),)=0,#N/A,VLOOKUP(Table7[[#This Row],[Date]],Database!$A:$C,MATCH($B$1,Database!$A$1:$C$1,),))</f>
        <v/>
      </c>
      <c r="C4113">
        <f>IF(VLOOKUP(Table7[[#This Row],[Date]],Database!$A:$C,MATCH($C$1,Database!$A$1:$C$1,),)=0,#N/A,VLOOKUP(Table7[[#This Row],[Date]],Database!$A:$C,MATCH($C$1,Database!$A$1:$C$1,),))</f>
        <v/>
      </c>
      <c r="D4113">
        <f>IFERROR(Table7[[#This Row],[United States 10y]]-Table7[[#This Row],[United States 3y]],#N/A)</f>
        <v/>
      </c>
    </row>
    <row r="4114">
      <c r="A4114" s="6">
        <f>Database!$A6199</f>
        <v/>
      </c>
      <c r="B4114">
        <f>IF(VLOOKUP(Table7[[#This Row],[Date]],Database!$A:$C,MATCH($B$1,Database!$A$1:$C$1,),)=0,#N/A,VLOOKUP(Table7[[#This Row],[Date]],Database!$A:$C,MATCH($B$1,Database!$A$1:$C$1,),))</f>
        <v/>
      </c>
      <c r="C4114">
        <f>IF(VLOOKUP(Table7[[#This Row],[Date]],Database!$A:$C,MATCH($C$1,Database!$A$1:$C$1,),)=0,#N/A,VLOOKUP(Table7[[#This Row],[Date]],Database!$A:$C,MATCH($C$1,Database!$A$1:$C$1,),))</f>
        <v/>
      </c>
      <c r="D4114">
        <f>IFERROR(Table7[[#This Row],[United States 10y]]-Table7[[#This Row],[United States 3y]],#N/A)</f>
        <v/>
      </c>
    </row>
    <row r="4115">
      <c r="A4115" s="6">
        <f>Database!$A6200</f>
        <v/>
      </c>
      <c r="B4115">
        <f>IF(VLOOKUP(Table7[[#This Row],[Date]],Database!$A:$C,MATCH($B$1,Database!$A$1:$C$1,),)=0,#N/A,VLOOKUP(Table7[[#This Row],[Date]],Database!$A:$C,MATCH($B$1,Database!$A$1:$C$1,),))</f>
        <v/>
      </c>
      <c r="C4115">
        <f>IF(VLOOKUP(Table7[[#This Row],[Date]],Database!$A:$C,MATCH($C$1,Database!$A$1:$C$1,),)=0,#N/A,VLOOKUP(Table7[[#This Row],[Date]],Database!$A:$C,MATCH($C$1,Database!$A$1:$C$1,),))</f>
        <v/>
      </c>
      <c r="D4115">
        <f>IFERROR(Table7[[#This Row],[United States 10y]]-Table7[[#This Row],[United States 3y]],#N/A)</f>
        <v/>
      </c>
    </row>
    <row r="4116">
      <c r="A4116" s="6">
        <f>Database!$A6201</f>
        <v/>
      </c>
      <c r="B4116">
        <f>IF(VLOOKUP(Table7[[#This Row],[Date]],Database!$A:$C,MATCH($B$1,Database!$A$1:$C$1,),)=0,#N/A,VLOOKUP(Table7[[#This Row],[Date]],Database!$A:$C,MATCH($B$1,Database!$A$1:$C$1,),))</f>
        <v/>
      </c>
      <c r="C4116">
        <f>IF(VLOOKUP(Table7[[#This Row],[Date]],Database!$A:$C,MATCH($C$1,Database!$A$1:$C$1,),)=0,#N/A,VLOOKUP(Table7[[#This Row],[Date]],Database!$A:$C,MATCH($C$1,Database!$A$1:$C$1,),))</f>
        <v/>
      </c>
      <c r="D4116">
        <f>IFERROR(Table7[[#This Row],[United States 10y]]-Table7[[#This Row],[United States 3y]],#N/A)</f>
        <v/>
      </c>
    </row>
    <row r="4117">
      <c r="A4117" s="6">
        <f>Database!$A6202</f>
        <v/>
      </c>
      <c r="B4117">
        <f>IF(VLOOKUP(Table7[[#This Row],[Date]],Database!$A:$C,MATCH($B$1,Database!$A$1:$C$1,),)=0,#N/A,VLOOKUP(Table7[[#This Row],[Date]],Database!$A:$C,MATCH($B$1,Database!$A$1:$C$1,),))</f>
        <v/>
      </c>
      <c r="C4117">
        <f>IF(VLOOKUP(Table7[[#This Row],[Date]],Database!$A:$C,MATCH($C$1,Database!$A$1:$C$1,),)=0,#N/A,VLOOKUP(Table7[[#This Row],[Date]],Database!$A:$C,MATCH($C$1,Database!$A$1:$C$1,),))</f>
        <v/>
      </c>
      <c r="D4117">
        <f>IFERROR(Table7[[#This Row],[United States 10y]]-Table7[[#This Row],[United States 3y]],#N/A)</f>
        <v/>
      </c>
    </row>
    <row r="4118">
      <c r="A4118" s="6">
        <f>Database!$A6203</f>
        <v/>
      </c>
      <c r="B4118">
        <f>IF(VLOOKUP(Table7[[#This Row],[Date]],Database!$A:$C,MATCH($B$1,Database!$A$1:$C$1,),)=0,#N/A,VLOOKUP(Table7[[#This Row],[Date]],Database!$A:$C,MATCH($B$1,Database!$A$1:$C$1,),))</f>
        <v/>
      </c>
      <c r="C4118">
        <f>IF(VLOOKUP(Table7[[#This Row],[Date]],Database!$A:$C,MATCH($C$1,Database!$A$1:$C$1,),)=0,#N/A,VLOOKUP(Table7[[#This Row],[Date]],Database!$A:$C,MATCH($C$1,Database!$A$1:$C$1,),))</f>
        <v/>
      </c>
      <c r="D4118">
        <f>IFERROR(Table7[[#This Row],[United States 10y]]-Table7[[#This Row],[United States 3y]],#N/A)</f>
        <v/>
      </c>
    </row>
    <row r="4119">
      <c r="A4119" s="6">
        <f>Database!$A6204</f>
        <v/>
      </c>
      <c r="B4119">
        <f>IF(VLOOKUP(Table7[[#This Row],[Date]],Database!$A:$C,MATCH($B$1,Database!$A$1:$C$1,),)=0,#N/A,VLOOKUP(Table7[[#This Row],[Date]],Database!$A:$C,MATCH($B$1,Database!$A$1:$C$1,),))</f>
        <v/>
      </c>
      <c r="C4119">
        <f>IF(VLOOKUP(Table7[[#This Row],[Date]],Database!$A:$C,MATCH($C$1,Database!$A$1:$C$1,),)=0,#N/A,VLOOKUP(Table7[[#This Row],[Date]],Database!$A:$C,MATCH($C$1,Database!$A$1:$C$1,),))</f>
        <v/>
      </c>
      <c r="D4119">
        <f>IFERROR(Table7[[#This Row],[United States 10y]]-Table7[[#This Row],[United States 3y]],#N/A)</f>
        <v/>
      </c>
    </row>
    <row r="4120">
      <c r="A4120" s="6">
        <f>Database!$A6205</f>
        <v/>
      </c>
      <c r="B4120">
        <f>IF(VLOOKUP(Table7[[#This Row],[Date]],Database!$A:$C,MATCH($B$1,Database!$A$1:$C$1,),)=0,#N/A,VLOOKUP(Table7[[#This Row],[Date]],Database!$A:$C,MATCH($B$1,Database!$A$1:$C$1,),))</f>
        <v/>
      </c>
      <c r="C4120">
        <f>IF(VLOOKUP(Table7[[#This Row],[Date]],Database!$A:$C,MATCH($C$1,Database!$A$1:$C$1,),)=0,#N/A,VLOOKUP(Table7[[#This Row],[Date]],Database!$A:$C,MATCH($C$1,Database!$A$1:$C$1,),))</f>
        <v/>
      </c>
      <c r="D4120">
        <f>IFERROR(Table7[[#This Row],[United States 10y]]-Table7[[#This Row],[United States 3y]],#N/A)</f>
        <v/>
      </c>
    </row>
    <row r="4121">
      <c r="A4121" s="6">
        <f>Database!$A6206</f>
        <v/>
      </c>
      <c r="B4121">
        <f>IF(VLOOKUP(Table7[[#This Row],[Date]],Database!$A:$C,MATCH($B$1,Database!$A$1:$C$1,),)=0,#N/A,VLOOKUP(Table7[[#This Row],[Date]],Database!$A:$C,MATCH($B$1,Database!$A$1:$C$1,),))</f>
        <v/>
      </c>
      <c r="C4121">
        <f>IF(VLOOKUP(Table7[[#This Row],[Date]],Database!$A:$C,MATCH($C$1,Database!$A$1:$C$1,),)=0,#N/A,VLOOKUP(Table7[[#This Row],[Date]],Database!$A:$C,MATCH($C$1,Database!$A$1:$C$1,),))</f>
        <v/>
      </c>
      <c r="D4121">
        <f>IFERROR(Table7[[#This Row],[United States 10y]]-Table7[[#This Row],[United States 3y]],#N/A)</f>
        <v/>
      </c>
    </row>
    <row r="4122">
      <c r="A4122" s="6">
        <f>Database!$A6207</f>
        <v/>
      </c>
      <c r="B4122">
        <f>IF(VLOOKUP(Table7[[#This Row],[Date]],Database!$A:$C,MATCH($B$1,Database!$A$1:$C$1,),)=0,#N/A,VLOOKUP(Table7[[#This Row],[Date]],Database!$A:$C,MATCH($B$1,Database!$A$1:$C$1,),))</f>
        <v/>
      </c>
      <c r="C4122">
        <f>IF(VLOOKUP(Table7[[#This Row],[Date]],Database!$A:$C,MATCH($C$1,Database!$A$1:$C$1,),)=0,#N/A,VLOOKUP(Table7[[#This Row],[Date]],Database!$A:$C,MATCH($C$1,Database!$A$1:$C$1,),))</f>
        <v/>
      </c>
      <c r="D4122">
        <f>IFERROR(Table7[[#This Row],[United States 10y]]-Table7[[#This Row],[United States 3y]],#N/A)</f>
        <v/>
      </c>
    </row>
    <row r="4123">
      <c r="A4123" s="6">
        <f>Database!$A6208</f>
        <v/>
      </c>
      <c r="B4123">
        <f>IF(VLOOKUP(Table7[[#This Row],[Date]],Database!$A:$C,MATCH($B$1,Database!$A$1:$C$1,),)=0,#N/A,VLOOKUP(Table7[[#This Row],[Date]],Database!$A:$C,MATCH($B$1,Database!$A$1:$C$1,),))</f>
        <v/>
      </c>
      <c r="C4123">
        <f>IF(VLOOKUP(Table7[[#This Row],[Date]],Database!$A:$C,MATCH($C$1,Database!$A$1:$C$1,),)=0,#N/A,VLOOKUP(Table7[[#This Row],[Date]],Database!$A:$C,MATCH($C$1,Database!$A$1:$C$1,),))</f>
        <v/>
      </c>
      <c r="D4123">
        <f>IFERROR(Table7[[#This Row],[United States 10y]]-Table7[[#This Row],[United States 3y]],#N/A)</f>
        <v/>
      </c>
    </row>
    <row r="4124">
      <c r="A4124" s="6">
        <f>Database!$A6209</f>
        <v/>
      </c>
      <c r="B4124">
        <f>IF(VLOOKUP(Table7[[#This Row],[Date]],Database!$A:$C,MATCH($B$1,Database!$A$1:$C$1,),)=0,#N/A,VLOOKUP(Table7[[#This Row],[Date]],Database!$A:$C,MATCH($B$1,Database!$A$1:$C$1,),))</f>
        <v/>
      </c>
      <c r="C4124">
        <f>IF(VLOOKUP(Table7[[#This Row],[Date]],Database!$A:$C,MATCH($C$1,Database!$A$1:$C$1,),)=0,#N/A,VLOOKUP(Table7[[#This Row],[Date]],Database!$A:$C,MATCH($C$1,Database!$A$1:$C$1,),))</f>
        <v/>
      </c>
      <c r="D4124">
        <f>IFERROR(Table7[[#This Row],[United States 10y]]-Table7[[#This Row],[United States 3y]],#N/A)</f>
        <v/>
      </c>
    </row>
    <row r="4125">
      <c r="A4125" s="6">
        <f>Database!$A6210</f>
        <v/>
      </c>
      <c r="B4125">
        <f>IF(VLOOKUP(Table7[[#This Row],[Date]],Database!$A:$C,MATCH($B$1,Database!$A$1:$C$1,),)=0,#N/A,VLOOKUP(Table7[[#This Row],[Date]],Database!$A:$C,MATCH($B$1,Database!$A$1:$C$1,),))</f>
        <v/>
      </c>
      <c r="C4125">
        <f>IF(VLOOKUP(Table7[[#This Row],[Date]],Database!$A:$C,MATCH($C$1,Database!$A$1:$C$1,),)=0,#N/A,VLOOKUP(Table7[[#This Row],[Date]],Database!$A:$C,MATCH($C$1,Database!$A$1:$C$1,),))</f>
        <v/>
      </c>
      <c r="D4125">
        <f>IFERROR(Table7[[#This Row],[United States 10y]]-Table7[[#This Row],[United States 3y]],#N/A)</f>
        <v/>
      </c>
    </row>
    <row r="4126">
      <c r="A4126" s="6">
        <f>Database!$A6211</f>
        <v/>
      </c>
      <c r="B4126">
        <f>IF(VLOOKUP(Table7[[#This Row],[Date]],Database!$A:$C,MATCH($B$1,Database!$A$1:$C$1,),)=0,#N/A,VLOOKUP(Table7[[#This Row],[Date]],Database!$A:$C,MATCH($B$1,Database!$A$1:$C$1,),))</f>
        <v/>
      </c>
      <c r="C4126">
        <f>IF(VLOOKUP(Table7[[#This Row],[Date]],Database!$A:$C,MATCH($C$1,Database!$A$1:$C$1,),)=0,#N/A,VLOOKUP(Table7[[#This Row],[Date]],Database!$A:$C,MATCH($C$1,Database!$A$1:$C$1,),))</f>
        <v/>
      </c>
      <c r="D4126">
        <f>IFERROR(Table7[[#This Row],[United States 10y]]-Table7[[#This Row],[United States 3y]],#N/A)</f>
        <v/>
      </c>
    </row>
    <row r="4127">
      <c r="A4127" s="6">
        <f>Database!$A6212</f>
        <v/>
      </c>
      <c r="B4127">
        <f>IF(VLOOKUP(Table7[[#This Row],[Date]],Database!$A:$C,MATCH($B$1,Database!$A$1:$C$1,),)=0,#N/A,VLOOKUP(Table7[[#This Row],[Date]],Database!$A:$C,MATCH($B$1,Database!$A$1:$C$1,),))</f>
        <v/>
      </c>
      <c r="C4127">
        <f>IF(VLOOKUP(Table7[[#This Row],[Date]],Database!$A:$C,MATCH($C$1,Database!$A$1:$C$1,),)=0,#N/A,VLOOKUP(Table7[[#This Row],[Date]],Database!$A:$C,MATCH($C$1,Database!$A$1:$C$1,),))</f>
        <v/>
      </c>
      <c r="D4127">
        <f>IFERROR(Table7[[#This Row],[United States 10y]]-Table7[[#This Row],[United States 3y]],#N/A)</f>
        <v/>
      </c>
    </row>
    <row r="4128">
      <c r="A4128" s="6">
        <f>Database!$A6213</f>
        <v/>
      </c>
      <c r="B4128">
        <f>IF(VLOOKUP(Table7[[#This Row],[Date]],Database!$A:$C,MATCH($B$1,Database!$A$1:$C$1,),)=0,#N/A,VLOOKUP(Table7[[#This Row],[Date]],Database!$A:$C,MATCH($B$1,Database!$A$1:$C$1,),))</f>
        <v/>
      </c>
      <c r="C4128">
        <f>IF(VLOOKUP(Table7[[#This Row],[Date]],Database!$A:$C,MATCH($C$1,Database!$A$1:$C$1,),)=0,#N/A,VLOOKUP(Table7[[#This Row],[Date]],Database!$A:$C,MATCH($C$1,Database!$A$1:$C$1,),))</f>
        <v/>
      </c>
      <c r="D4128">
        <f>IFERROR(Table7[[#This Row],[United States 10y]]-Table7[[#This Row],[United States 3y]],#N/A)</f>
        <v/>
      </c>
    </row>
    <row r="4129">
      <c r="A4129" s="6">
        <f>Database!$A6214</f>
        <v/>
      </c>
      <c r="B4129">
        <f>IF(VLOOKUP(Table7[[#This Row],[Date]],Database!$A:$C,MATCH($B$1,Database!$A$1:$C$1,),)=0,#N/A,VLOOKUP(Table7[[#This Row],[Date]],Database!$A:$C,MATCH($B$1,Database!$A$1:$C$1,),))</f>
        <v/>
      </c>
      <c r="C4129">
        <f>IF(VLOOKUP(Table7[[#This Row],[Date]],Database!$A:$C,MATCH($C$1,Database!$A$1:$C$1,),)=0,#N/A,VLOOKUP(Table7[[#This Row],[Date]],Database!$A:$C,MATCH($C$1,Database!$A$1:$C$1,),))</f>
        <v/>
      </c>
      <c r="D4129">
        <f>IFERROR(Table7[[#This Row],[United States 10y]]-Table7[[#This Row],[United States 3y]],#N/A)</f>
        <v/>
      </c>
    </row>
    <row r="4130">
      <c r="A4130" s="6">
        <f>Database!$A6215</f>
        <v/>
      </c>
      <c r="B4130">
        <f>IF(VLOOKUP(Table7[[#This Row],[Date]],Database!$A:$C,MATCH($B$1,Database!$A$1:$C$1,),)=0,#N/A,VLOOKUP(Table7[[#This Row],[Date]],Database!$A:$C,MATCH($B$1,Database!$A$1:$C$1,),))</f>
        <v/>
      </c>
      <c r="C4130">
        <f>IF(VLOOKUP(Table7[[#This Row],[Date]],Database!$A:$C,MATCH($C$1,Database!$A$1:$C$1,),)=0,#N/A,VLOOKUP(Table7[[#This Row],[Date]],Database!$A:$C,MATCH($C$1,Database!$A$1:$C$1,),))</f>
        <v/>
      </c>
      <c r="D4130">
        <f>IFERROR(Table7[[#This Row],[United States 10y]]-Table7[[#This Row],[United States 3y]],#N/A)</f>
        <v/>
      </c>
    </row>
    <row r="4131">
      <c r="A4131" s="6">
        <f>Database!$A6216</f>
        <v/>
      </c>
      <c r="B4131">
        <f>IF(VLOOKUP(Table7[[#This Row],[Date]],Database!$A:$C,MATCH($B$1,Database!$A$1:$C$1,),)=0,#N/A,VLOOKUP(Table7[[#This Row],[Date]],Database!$A:$C,MATCH($B$1,Database!$A$1:$C$1,),))</f>
        <v/>
      </c>
      <c r="C4131">
        <f>IF(VLOOKUP(Table7[[#This Row],[Date]],Database!$A:$C,MATCH($C$1,Database!$A$1:$C$1,),)=0,#N/A,VLOOKUP(Table7[[#This Row],[Date]],Database!$A:$C,MATCH($C$1,Database!$A$1:$C$1,),))</f>
        <v/>
      </c>
      <c r="D4131">
        <f>IFERROR(Table7[[#This Row],[United States 10y]]-Table7[[#This Row],[United States 3y]],#N/A)</f>
        <v/>
      </c>
    </row>
    <row r="4132">
      <c r="A4132" s="6">
        <f>Database!$A6217</f>
        <v/>
      </c>
      <c r="B4132">
        <f>IF(VLOOKUP(Table7[[#This Row],[Date]],Database!$A:$C,MATCH($B$1,Database!$A$1:$C$1,),)=0,#N/A,VLOOKUP(Table7[[#This Row],[Date]],Database!$A:$C,MATCH($B$1,Database!$A$1:$C$1,),))</f>
        <v/>
      </c>
      <c r="C4132">
        <f>IF(VLOOKUP(Table7[[#This Row],[Date]],Database!$A:$C,MATCH($C$1,Database!$A$1:$C$1,),)=0,#N/A,VLOOKUP(Table7[[#This Row],[Date]],Database!$A:$C,MATCH($C$1,Database!$A$1:$C$1,),))</f>
        <v/>
      </c>
      <c r="D4132">
        <f>IFERROR(Table7[[#This Row],[United States 10y]]-Table7[[#This Row],[United States 3y]],#N/A)</f>
        <v/>
      </c>
    </row>
    <row r="4133">
      <c r="A4133" s="6">
        <f>Database!$A6218</f>
        <v/>
      </c>
      <c r="B4133">
        <f>IF(VLOOKUP(Table7[[#This Row],[Date]],Database!$A:$C,MATCH($B$1,Database!$A$1:$C$1,),)=0,#N/A,VLOOKUP(Table7[[#This Row],[Date]],Database!$A:$C,MATCH($B$1,Database!$A$1:$C$1,),))</f>
        <v/>
      </c>
      <c r="C4133">
        <f>IF(VLOOKUP(Table7[[#This Row],[Date]],Database!$A:$C,MATCH($C$1,Database!$A$1:$C$1,),)=0,#N/A,VLOOKUP(Table7[[#This Row],[Date]],Database!$A:$C,MATCH($C$1,Database!$A$1:$C$1,),))</f>
        <v/>
      </c>
      <c r="D4133">
        <f>IFERROR(Table7[[#This Row],[United States 10y]]-Table7[[#This Row],[United States 3y]],#N/A)</f>
        <v/>
      </c>
    </row>
    <row r="4134">
      <c r="A4134" s="6">
        <f>Database!$A6219</f>
        <v/>
      </c>
      <c r="B4134">
        <f>IF(VLOOKUP(Table7[[#This Row],[Date]],Database!$A:$C,MATCH($B$1,Database!$A$1:$C$1,),)=0,#N/A,VLOOKUP(Table7[[#This Row],[Date]],Database!$A:$C,MATCH($B$1,Database!$A$1:$C$1,),))</f>
        <v/>
      </c>
      <c r="C4134">
        <f>IF(VLOOKUP(Table7[[#This Row],[Date]],Database!$A:$C,MATCH($C$1,Database!$A$1:$C$1,),)=0,#N/A,VLOOKUP(Table7[[#This Row],[Date]],Database!$A:$C,MATCH($C$1,Database!$A$1:$C$1,),))</f>
        <v/>
      </c>
      <c r="D4134">
        <f>IFERROR(Table7[[#This Row],[United States 10y]]-Table7[[#This Row],[United States 3y]],#N/A)</f>
        <v/>
      </c>
    </row>
    <row r="4135">
      <c r="A4135" s="6">
        <f>Database!$A6220</f>
        <v/>
      </c>
      <c r="B4135">
        <f>IF(VLOOKUP(Table7[[#This Row],[Date]],Database!$A:$C,MATCH($B$1,Database!$A$1:$C$1,),)=0,#N/A,VLOOKUP(Table7[[#This Row],[Date]],Database!$A:$C,MATCH($B$1,Database!$A$1:$C$1,),))</f>
        <v/>
      </c>
      <c r="C4135">
        <f>IF(VLOOKUP(Table7[[#This Row],[Date]],Database!$A:$C,MATCH($C$1,Database!$A$1:$C$1,),)=0,#N/A,VLOOKUP(Table7[[#This Row],[Date]],Database!$A:$C,MATCH($C$1,Database!$A$1:$C$1,),))</f>
        <v/>
      </c>
      <c r="D4135">
        <f>IFERROR(Table7[[#This Row],[United States 10y]]-Table7[[#This Row],[United States 3y]],#N/A)</f>
        <v/>
      </c>
    </row>
    <row r="4136">
      <c r="A4136" s="6">
        <f>Database!$A6221</f>
        <v/>
      </c>
      <c r="B4136">
        <f>IF(VLOOKUP(Table7[[#This Row],[Date]],Database!$A:$C,MATCH($B$1,Database!$A$1:$C$1,),)=0,#N/A,VLOOKUP(Table7[[#This Row],[Date]],Database!$A:$C,MATCH($B$1,Database!$A$1:$C$1,),))</f>
        <v/>
      </c>
      <c r="C4136">
        <f>IF(VLOOKUP(Table7[[#This Row],[Date]],Database!$A:$C,MATCH($C$1,Database!$A$1:$C$1,),)=0,#N/A,VLOOKUP(Table7[[#This Row],[Date]],Database!$A:$C,MATCH($C$1,Database!$A$1:$C$1,),))</f>
        <v/>
      </c>
      <c r="D4136">
        <f>IFERROR(Table7[[#This Row],[United States 10y]]-Table7[[#This Row],[United States 3y]],#N/A)</f>
        <v/>
      </c>
    </row>
    <row r="4137">
      <c r="A4137" s="6">
        <f>Database!$A6222</f>
        <v/>
      </c>
      <c r="B4137">
        <f>IF(VLOOKUP(Table7[[#This Row],[Date]],Database!$A:$C,MATCH($B$1,Database!$A$1:$C$1,),)=0,#N/A,VLOOKUP(Table7[[#This Row],[Date]],Database!$A:$C,MATCH($B$1,Database!$A$1:$C$1,),))</f>
        <v/>
      </c>
      <c r="C4137">
        <f>IF(VLOOKUP(Table7[[#This Row],[Date]],Database!$A:$C,MATCH($C$1,Database!$A$1:$C$1,),)=0,#N/A,VLOOKUP(Table7[[#This Row],[Date]],Database!$A:$C,MATCH($C$1,Database!$A$1:$C$1,),))</f>
        <v/>
      </c>
      <c r="D4137">
        <f>IFERROR(Table7[[#This Row],[United States 10y]]-Table7[[#This Row],[United States 3y]],#N/A)</f>
        <v/>
      </c>
    </row>
    <row r="4138">
      <c r="A4138" s="6">
        <f>Database!$A6223</f>
        <v/>
      </c>
      <c r="B4138">
        <f>IF(VLOOKUP(Table7[[#This Row],[Date]],Database!$A:$C,MATCH($B$1,Database!$A$1:$C$1,),)=0,#N/A,VLOOKUP(Table7[[#This Row],[Date]],Database!$A:$C,MATCH($B$1,Database!$A$1:$C$1,),))</f>
        <v/>
      </c>
      <c r="C4138">
        <f>IF(VLOOKUP(Table7[[#This Row],[Date]],Database!$A:$C,MATCH($C$1,Database!$A$1:$C$1,),)=0,#N/A,VLOOKUP(Table7[[#This Row],[Date]],Database!$A:$C,MATCH($C$1,Database!$A$1:$C$1,),))</f>
        <v/>
      </c>
      <c r="D4138">
        <f>IFERROR(Table7[[#This Row],[United States 10y]]-Table7[[#This Row],[United States 3y]],#N/A)</f>
        <v/>
      </c>
    </row>
    <row r="4139">
      <c r="A4139" s="6">
        <f>Database!$A6224</f>
        <v/>
      </c>
      <c r="B4139">
        <f>IF(VLOOKUP(Table7[[#This Row],[Date]],Database!$A:$C,MATCH($B$1,Database!$A$1:$C$1,),)=0,#N/A,VLOOKUP(Table7[[#This Row],[Date]],Database!$A:$C,MATCH($B$1,Database!$A$1:$C$1,),))</f>
        <v/>
      </c>
      <c r="C4139">
        <f>IF(VLOOKUP(Table7[[#This Row],[Date]],Database!$A:$C,MATCH($C$1,Database!$A$1:$C$1,),)=0,#N/A,VLOOKUP(Table7[[#This Row],[Date]],Database!$A:$C,MATCH($C$1,Database!$A$1:$C$1,),))</f>
        <v/>
      </c>
      <c r="D4139">
        <f>IFERROR(Table7[[#This Row],[United States 10y]]-Table7[[#This Row],[United States 3y]],#N/A)</f>
        <v/>
      </c>
    </row>
    <row r="4140">
      <c r="A4140" s="6">
        <f>Database!$A6225</f>
        <v/>
      </c>
      <c r="B4140">
        <f>IF(VLOOKUP(Table7[[#This Row],[Date]],Database!$A:$C,MATCH($B$1,Database!$A$1:$C$1,),)=0,#N/A,VLOOKUP(Table7[[#This Row],[Date]],Database!$A:$C,MATCH($B$1,Database!$A$1:$C$1,),))</f>
        <v/>
      </c>
      <c r="C4140">
        <f>IF(VLOOKUP(Table7[[#This Row],[Date]],Database!$A:$C,MATCH($C$1,Database!$A$1:$C$1,),)=0,#N/A,VLOOKUP(Table7[[#This Row],[Date]],Database!$A:$C,MATCH($C$1,Database!$A$1:$C$1,),))</f>
        <v/>
      </c>
      <c r="D4140">
        <f>IFERROR(Table7[[#This Row],[United States 10y]]-Table7[[#This Row],[United States 3y]],#N/A)</f>
        <v/>
      </c>
    </row>
    <row r="4141">
      <c r="A4141" s="6">
        <f>Database!$A6226</f>
        <v/>
      </c>
      <c r="B4141">
        <f>IF(VLOOKUP(Table7[[#This Row],[Date]],Database!$A:$C,MATCH($B$1,Database!$A$1:$C$1,),)=0,#N/A,VLOOKUP(Table7[[#This Row],[Date]],Database!$A:$C,MATCH($B$1,Database!$A$1:$C$1,),))</f>
        <v/>
      </c>
      <c r="C4141">
        <f>IF(VLOOKUP(Table7[[#This Row],[Date]],Database!$A:$C,MATCH($C$1,Database!$A$1:$C$1,),)=0,#N/A,VLOOKUP(Table7[[#This Row],[Date]],Database!$A:$C,MATCH($C$1,Database!$A$1:$C$1,),))</f>
        <v/>
      </c>
      <c r="D4141">
        <f>IFERROR(Table7[[#This Row],[United States 10y]]-Table7[[#This Row],[United States 3y]],#N/A)</f>
        <v/>
      </c>
    </row>
    <row r="4142">
      <c r="A4142" s="6">
        <f>Database!$A6227</f>
        <v/>
      </c>
      <c r="B4142">
        <f>IF(VLOOKUP(Table7[[#This Row],[Date]],Database!$A:$C,MATCH($B$1,Database!$A$1:$C$1,),)=0,#N/A,VLOOKUP(Table7[[#This Row],[Date]],Database!$A:$C,MATCH($B$1,Database!$A$1:$C$1,),))</f>
        <v/>
      </c>
      <c r="C4142">
        <f>IF(VLOOKUP(Table7[[#This Row],[Date]],Database!$A:$C,MATCH($C$1,Database!$A$1:$C$1,),)=0,#N/A,VLOOKUP(Table7[[#This Row],[Date]],Database!$A:$C,MATCH($C$1,Database!$A$1:$C$1,),))</f>
        <v/>
      </c>
      <c r="D4142">
        <f>IFERROR(Table7[[#This Row],[United States 10y]]-Table7[[#This Row],[United States 3y]],#N/A)</f>
        <v/>
      </c>
    </row>
    <row r="4143">
      <c r="A4143" s="6">
        <f>Database!$A6228</f>
        <v/>
      </c>
      <c r="B4143">
        <f>IF(VLOOKUP(Table7[[#This Row],[Date]],Database!$A:$C,MATCH($B$1,Database!$A$1:$C$1,),)=0,#N/A,VLOOKUP(Table7[[#This Row],[Date]],Database!$A:$C,MATCH($B$1,Database!$A$1:$C$1,),))</f>
        <v/>
      </c>
      <c r="C4143">
        <f>IF(VLOOKUP(Table7[[#This Row],[Date]],Database!$A:$C,MATCH($C$1,Database!$A$1:$C$1,),)=0,#N/A,VLOOKUP(Table7[[#This Row],[Date]],Database!$A:$C,MATCH($C$1,Database!$A$1:$C$1,),))</f>
        <v/>
      </c>
      <c r="D4143">
        <f>IFERROR(Table7[[#This Row],[United States 10y]]-Table7[[#This Row],[United States 3y]],#N/A)</f>
        <v/>
      </c>
    </row>
    <row r="4144">
      <c r="A4144" s="6">
        <f>Database!$A6229</f>
        <v/>
      </c>
      <c r="B4144">
        <f>IF(VLOOKUP(Table7[[#This Row],[Date]],Database!$A:$C,MATCH($B$1,Database!$A$1:$C$1,),)=0,#N/A,VLOOKUP(Table7[[#This Row],[Date]],Database!$A:$C,MATCH($B$1,Database!$A$1:$C$1,),))</f>
        <v/>
      </c>
      <c r="C4144">
        <f>IF(VLOOKUP(Table7[[#This Row],[Date]],Database!$A:$C,MATCH($C$1,Database!$A$1:$C$1,),)=0,#N/A,VLOOKUP(Table7[[#This Row],[Date]],Database!$A:$C,MATCH($C$1,Database!$A$1:$C$1,),))</f>
        <v/>
      </c>
      <c r="D4144">
        <f>IFERROR(Table7[[#This Row],[United States 10y]]-Table7[[#This Row],[United States 3y]],#N/A)</f>
        <v/>
      </c>
    </row>
    <row r="4145">
      <c r="A4145" s="6">
        <f>Database!$A6230</f>
        <v/>
      </c>
      <c r="B4145">
        <f>IF(VLOOKUP(Table7[[#This Row],[Date]],Database!$A:$C,MATCH($B$1,Database!$A$1:$C$1,),)=0,#N/A,VLOOKUP(Table7[[#This Row],[Date]],Database!$A:$C,MATCH($B$1,Database!$A$1:$C$1,),))</f>
        <v/>
      </c>
      <c r="C4145">
        <f>IF(VLOOKUP(Table7[[#This Row],[Date]],Database!$A:$C,MATCH($C$1,Database!$A$1:$C$1,),)=0,#N/A,VLOOKUP(Table7[[#This Row],[Date]],Database!$A:$C,MATCH($C$1,Database!$A$1:$C$1,),))</f>
        <v/>
      </c>
      <c r="D4145">
        <f>IFERROR(Table7[[#This Row],[United States 10y]]-Table7[[#This Row],[United States 3y]],#N/A)</f>
        <v/>
      </c>
    </row>
    <row r="4146">
      <c r="A4146" s="6">
        <f>Database!$A6231</f>
        <v/>
      </c>
      <c r="B4146">
        <f>IF(VLOOKUP(Table7[[#This Row],[Date]],Database!$A:$C,MATCH($B$1,Database!$A$1:$C$1,),)=0,#N/A,VLOOKUP(Table7[[#This Row],[Date]],Database!$A:$C,MATCH($B$1,Database!$A$1:$C$1,),))</f>
        <v/>
      </c>
      <c r="C4146">
        <f>IF(VLOOKUP(Table7[[#This Row],[Date]],Database!$A:$C,MATCH($C$1,Database!$A$1:$C$1,),)=0,#N/A,VLOOKUP(Table7[[#This Row],[Date]],Database!$A:$C,MATCH($C$1,Database!$A$1:$C$1,),))</f>
        <v/>
      </c>
      <c r="D4146">
        <f>IFERROR(Table7[[#This Row],[United States 10y]]-Table7[[#This Row],[United States 3y]],#N/A)</f>
        <v/>
      </c>
    </row>
    <row r="4147">
      <c r="A4147" s="6">
        <f>Database!$A6232</f>
        <v/>
      </c>
      <c r="B4147">
        <f>IF(VLOOKUP(Table7[[#This Row],[Date]],Database!$A:$C,MATCH($B$1,Database!$A$1:$C$1,),)=0,#N/A,VLOOKUP(Table7[[#This Row],[Date]],Database!$A:$C,MATCH($B$1,Database!$A$1:$C$1,),))</f>
        <v/>
      </c>
      <c r="C4147">
        <f>IF(VLOOKUP(Table7[[#This Row],[Date]],Database!$A:$C,MATCH($C$1,Database!$A$1:$C$1,),)=0,#N/A,VLOOKUP(Table7[[#This Row],[Date]],Database!$A:$C,MATCH($C$1,Database!$A$1:$C$1,),))</f>
        <v/>
      </c>
      <c r="D4147">
        <f>IFERROR(Table7[[#This Row],[United States 10y]]-Table7[[#This Row],[United States 3y]],#N/A)</f>
        <v/>
      </c>
    </row>
    <row r="4148">
      <c r="A4148" s="6">
        <f>Database!$A6233</f>
        <v/>
      </c>
      <c r="B4148">
        <f>IF(VLOOKUP(Table7[[#This Row],[Date]],Database!$A:$C,MATCH($B$1,Database!$A$1:$C$1,),)=0,#N/A,VLOOKUP(Table7[[#This Row],[Date]],Database!$A:$C,MATCH($B$1,Database!$A$1:$C$1,),))</f>
        <v/>
      </c>
      <c r="C4148">
        <f>IF(VLOOKUP(Table7[[#This Row],[Date]],Database!$A:$C,MATCH($C$1,Database!$A$1:$C$1,),)=0,#N/A,VLOOKUP(Table7[[#This Row],[Date]],Database!$A:$C,MATCH($C$1,Database!$A$1:$C$1,),))</f>
        <v/>
      </c>
      <c r="D4148">
        <f>IFERROR(Table7[[#This Row],[United States 10y]]-Table7[[#This Row],[United States 3y]],#N/A)</f>
        <v/>
      </c>
    </row>
    <row r="4149">
      <c r="A4149" s="6">
        <f>Database!$A6234</f>
        <v/>
      </c>
      <c r="B4149">
        <f>IF(VLOOKUP(Table7[[#This Row],[Date]],Database!$A:$C,MATCH($B$1,Database!$A$1:$C$1,),)=0,#N/A,VLOOKUP(Table7[[#This Row],[Date]],Database!$A:$C,MATCH($B$1,Database!$A$1:$C$1,),))</f>
        <v/>
      </c>
      <c r="C4149">
        <f>IF(VLOOKUP(Table7[[#This Row],[Date]],Database!$A:$C,MATCH($C$1,Database!$A$1:$C$1,),)=0,#N/A,VLOOKUP(Table7[[#This Row],[Date]],Database!$A:$C,MATCH($C$1,Database!$A$1:$C$1,),))</f>
        <v/>
      </c>
      <c r="D4149">
        <f>IFERROR(Table7[[#This Row],[United States 10y]]-Table7[[#This Row],[United States 3y]],#N/A)</f>
        <v/>
      </c>
    </row>
    <row r="4150">
      <c r="A4150" s="6">
        <f>Database!$A6235</f>
        <v/>
      </c>
      <c r="B4150">
        <f>IF(VLOOKUP(Table7[[#This Row],[Date]],Database!$A:$C,MATCH($B$1,Database!$A$1:$C$1,),)=0,#N/A,VLOOKUP(Table7[[#This Row],[Date]],Database!$A:$C,MATCH($B$1,Database!$A$1:$C$1,),))</f>
        <v/>
      </c>
      <c r="C4150">
        <f>IF(VLOOKUP(Table7[[#This Row],[Date]],Database!$A:$C,MATCH($C$1,Database!$A$1:$C$1,),)=0,#N/A,VLOOKUP(Table7[[#This Row],[Date]],Database!$A:$C,MATCH($C$1,Database!$A$1:$C$1,),))</f>
        <v/>
      </c>
      <c r="D4150">
        <f>IFERROR(Table7[[#This Row],[United States 10y]]-Table7[[#This Row],[United States 3y]],#N/A)</f>
        <v/>
      </c>
    </row>
    <row r="4151">
      <c r="A4151" s="6">
        <f>Database!$A6236</f>
        <v/>
      </c>
      <c r="B4151">
        <f>IF(VLOOKUP(Table7[[#This Row],[Date]],Database!$A:$C,MATCH($B$1,Database!$A$1:$C$1,),)=0,#N/A,VLOOKUP(Table7[[#This Row],[Date]],Database!$A:$C,MATCH($B$1,Database!$A$1:$C$1,),))</f>
        <v/>
      </c>
      <c r="C4151">
        <f>IF(VLOOKUP(Table7[[#This Row],[Date]],Database!$A:$C,MATCH($C$1,Database!$A$1:$C$1,),)=0,#N/A,VLOOKUP(Table7[[#This Row],[Date]],Database!$A:$C,MATCH($C$1,Database!$A$1:$C$1,),))</f>
        <v/>
      </c>
      <c r="D4151">
        <f>IFERROR(Table7[[#This Row],[United States 10y]]-Table7[[#This Row],[United States 3y]],#N/A)</f>
        <v/>
      </c>
    </row>
    <row r="4152">
      <c r="A4152" s="6">
        <f>Database!$A6237</f>
        <v/>
      </c>
      <c r="B4152">
        <f>IF(VLOOKUP(Table7[[#This Row],[Date]],Database!$A:$C,MATCH($B$1,Database!$A$1:$C$1,),)=0,#N/A,VLOOKUP(Table7[[#This Row],[Date]],Database!$A:$C,MATCH($B$1,Database!$A$1:$C$1,),))</f>
        <v/>
      </c>
      <c r="C4152">
        <f>IF(VLOOKUP(Table7[[#This Row],[Date]],Database!$A:$C,MATCH($C$1,Database!$A$1:$C$1,),)=0,#N/A,VLOOKUP(Table7[[#This Row],[Date]],Database!$A:$C,MATCH($C$1,Database!$A$1:$C$1,),))</f>
        <v/>
      </c>
      <c r="D4152">
        <f>IFERROR(Table7[[#This Row],[United States 10y]]-Table7[[#This Row],[United States 3y]],#N/A)</f>
        <v/>
      </c>
    </row>
    <row r="4153">
      <c r="A4153" s="6">
        <f>Database!$A6238</f>
        <v/>
      </c>
      <c r="B4153">
        <f>IF(VLOOKUP(Table7[[#This Row],[Date]],Database!$A:$C,MATCH($B$1,Database!$A$1:$C$1,),)=0,#N/A,VLOOKUP(Table7[[#This Row],[Date]],Database!$A:$C,MATCH($B$1,Database!$A$1:$C$1,),))</f>
        <v/>
      </c>
      <c r="C4153">
        <f>IF(VLOOKUP(Table7[[#This Row],[Date]],Database!$A:$C,MATCH($C$1,Database!$A$1:$C$1,),)=0,#N/A,VLOOKUP(Table7[[#This Row],[Date]],Database!$A:$C,MATCH($C$1,Database!$A$1:$C$1,),))</f>
        <v/>
      </c>
      <c r="D4153">
        <f>IFERROR(Table7[[#This Row],[United States 10y]]-Table7[[#This Row],[United States 3y]],#N/A)</f>
        <v/>
      </c>
    </row>
    <row r="4154">
      <c r="A4154" s="6">
        <f>Database!$A6239</f>
        <v/>
      </c>
      <c r="B4154">
        <f>IF(VLOOKUP(Table7[[#This Row],[Date]],Database!$A:$C,MATCH($B$1,Database!$A$1:$C$1,),)=0,#N/A,VLOOKUP(Table7[[#This Row],[Date]],Database!$A:$C,MATCH($B$1,Database!$A$1:$C$1,),))</f>
        <v/>
      </c>
      <c r="C4154">
        <f>IF(VLOOKUP(Table7[[#This Row],[Date]],Database!$A:$C,MATCH($C$1,Database!$A$1:$C$1,),)=0,#N/A,VLOOKUP(Table7[[#This Row],[Date]],Database!$A:$C,MATCH($C$1,Database!$A$1:$C$1,),))</f>
        <v/>
      </c>
      <c r="D4154">
        <f>IFERROR(Table7[[#This Row],[United States 10y]]-Table7[[#This Row],[United States 3y]],#N/A)</f>
        <v/>
      </c>
    </row>
    <row r="4155">
      <c r="A4155" s="6">
        <f>Database!$A6240</f>
        <v/>
      </c>
      <c r="B4155">
        <f>IF(VLOOKUP(Table7[[#This Row],[Date]],Database!$A:$C,MATCH($B$1,Database!$A$1:$C$1,),)=0,#N/A,VLOOKUP(Table7[[#This Row],[Date]],Database!$A:$C,MATCH($B$1,Database!$A$1:$C$1,),))</f>
        <v/>
      </c>
      <c r="C4155">
        <f>IF(VLOOKUP(Table7[[#This Row],[Date]],Database!$A:$C,MATCH($C$1,Database!$A$1:$C$1,),)=0,#N/A,VLOOKUP(Table7[[#This Row],[Date]],Database!$A:$C,MATCH($C$1,Database!$A$1:$C$1,),))</f>
        <v/>
      </c>
      <c r="D4155">
        <f>IFERROR(Table7[[#This Row],[United States 10y]]-Table7[[#This Row],[United States 3y]],#N/A)</f>
        <v/>
      </c>
    </row>
    <row r="4156">
      <c r="A4156" s="6">
        <f>Database!$A6241</f>
        <v/>
      </c>
      <c r="B4156">
        <f>IF(VLOOKUP(Table7[[#This Row],[Date]],Database!$A:$C,MATCH($B$1,Database!$A$1:$C$1,),)=0,#N/A,VLOOKUP(Table7[[#This Row],[Date]],Database!$A:$C,MATCH($B$1,Database!$A$1:$C$1,),))</f>
        <v/>
      </c>
      <c r="C4156">
        <f>IF(VLOOKUP(Table7[[#This Row],[Date]],Database!$A:$C,MATCH($C$1,Database!$A$1:$C$1,),)=0,#N/A,VLOOKUP(Table7[[#This Row],[Date]],Database!$A:$C,MATCH($C$1,Database!$A$1:$C$1,),))</f>
        <v/>
      </c>
      <c r="D4156">
        <f>IFERROR(Table7[[#This Row],[United States 10y]]-Table7[[#This Row],[United States 3y]],#N/A)</f>
        <v/>
      </c>
    </row>
    <row r="4157">
      <c r="A4157" s="6">
        <f>Database!$A6242</f>
        <v/>
      </c>
      <c r="B4157">
        <f>IF(VLOOKUP(Table7[[#This Row],[Date]],Database!$A:$C,MATCH($B$1,Database!$A$1:$C$1,),)=0,#N/A,VLOOKUP(Table7[[#This Row],[Date]],Database!$A:$C,MATCH($B$1,Database!$A$1:$C$1,),))</f>
        <v/>
      </c>
      <c r="C4157">
        <f>IF(VLOOKUP(Table7[[#This Row],[Date]],Database!$A:$C,MATCH($C$1,Database!$A$1:$C$1,),)=0,#N/A,VLOOKUP(Table7[[#This Row],[Date]],Database!$A:$C,MATCH($C$1,Database!$A$1:$C$1,),))</f>
        <v/>
      </c>
      <c r="D4157">
        <f>IFERROR(Table7[[#This Row],[United States 10y]]-Table7[[#This Row],[United States 3y]],#N/A)</f>
        <v/>
      </c>
    </row>
    <row r="4158">
      <c r="A4158" s="6">
        <f>Database!$A6243</f>
        <v/>
      </c>
      <c r="B4158">
        <f>IF(VLOOKUP(Table7[[#This Row],[Date]],Database!$A:$C,MATCH($B$1,Database!$A$1:$C$1,),)=0,#N/A,VLOOKUP(Table7[[#This Row],[Date]],Database!$A:$C,MATCH($B$1,Database!$A$1:$C$1,),))</f>
        <v/>
      </c>
      <c r="C4158">
        <f>IF(VLOOKUP(Table7[[#This Row],[Date]],Database!$A:$C,MATCH($C$1,Database!$A$1:$C$1,),)=0,#N/A,VLOOKUP(Table7[[#This Row],[Date]],Database!$A:$C,MATCH($C$1,Database!$A$1:$C$1,),))</f>
        <v/>
      </c>
      <c r="D4158">
        <f>IFERROR(Table7[[#This Row],[United States 10y]]-Table7[[#This Row],[United States 3y]],#N/A)</f>
        <v/>
      </c>
    </row>
    <row r="4159">
      <c r="A4159" s="6">
        <f>Database!$A6244</f>
        <v/>
      </c>
      <c r="B4159">
        <f>IF(VLOOKUP(Table7[[#This Row],[Date]],Database!$A:$C,MATCH($B$1,Database!$A$1:$C$1,),)=0,#N/A,VLOOKUP(Table7[[#This Row],[Date]],Database!$A:$C,MATCH($B$1,Database!$A$1:$C$1,),))</f>
        <v/>
      </c>
      <c r="C4159">
        <f>IF(VLOOKUP(Table7[[#This Row],[Date]],Database!$A:$C,MATCH($C$1,Database!$A$1:$C$1,),)=0,#N/A,VLOOKUP(Table7[[#This Row],[Date]],Database!$A:$C,MATCH($C$1,Database!$A$1:$C$1,),))</f>
        <v/>
      </c>
      <c r="D4159">
        <f>IFERROR(Table7[[#This Row],[United States 10y]]-Table7[[#This Row],[United States 3y]],#N/A)</f>
        <v/>
      </c>
    </row>
    <row r="4160">
      <c r="A4160" s="6">
        <f>Database!$A6245</f>
        <v/>
      </c>
      <c r="B4160">
        <f>IF(VLOOKUP(Table7[[#This Row],[Date]],Database!$A:$C,MATCH($B$1,Database!$A$1:$C$1,),)=0,#N/A,VLOOKUP(Table7[[#This Row],[Date]],Database!$A:$C,MATCH($B$1,Database!$A$1:$C$1,),))</f>
        <v/>
      </c>
      <c r="C4160">
        <f>IF(VLOOKUP(Table7[[#This Row],[Date]],Database!$A:$C,MATCH($C$1,Database!$A$1:$C$1,),)=0,#N/A,VLOOKUP(Table7[[#This Row],[Date]],Database!$A:$C,MATCH($C$1,Database!$A$1:$C$1,),))</f>
        <v/>
      </c>
      <c r="D4160">
        <f>IFERROR(Table7[[#This Row],[United States 10y]]-Table7[[#This Row],[United States 3y]],#N/A)</f>
        <v/>
      </c>
    </row>
    <row r="4161">
      <c r="A4161" s="6">
        <f>Database!$A6246</f>
        <v/>
      </c>
      <c r="B4161">
        <f>IF(VLOOKUP(Table7[[#This Row],[Date]],Database!$A:$C,MATCH($B$1,Database!$A$1:$C$1,),)=0,#N/A,VLOOKUP(Table7[[#This Row],[Date]],Database!$A:$C,MATCH($B$1,Database!$A$1:$C$1,),))</f>
        <v/>
      </c>
      <c r="C4161">
        <f>IF(VLOOKUP(Table7[[#This Row],[Date]],Database!$A:$C,MATCH($C$1,Database!$A$1:$C$1,),)=0,#N/A,VLOOKUP(Table7[[#This Row],[Date]],Database!$A:$C,MATCH($C$1,Database!$A$1:$C$1,),))</f>
        <v/>
      </c>
      <c r="D4161">
        <f>IFERROR(Table7[[#This Row],[United States 10y]]-Table7[[#This Row],[United States 3y]],#N/A)</f>
        <v/>
      </c>
    </row>
    <row r="4162">
      <c r="A4162" s="6">
        <f>Database!$A6247</f>
        <v/>
      </c>
      <c r="B4162">
        <f>IF(VLOOKUP(Table7[[#This Row],[Date]],Database!$A:$C,MATCH($B$1,Database!$A$1:$C$1,),)=0,#N/A,VLOOKUP(Table7[[#This Row],[Date]],Database!$A:$C,MATCH($B$1,Database!$A$1:$C$1,),))</f>
        <v/>
      </c>
      <c r="C4162">
        <f>IF(VLOOKUP(Table7[[#This Row],[Date]],Database!$A:$C,MATCH($C$1,Database!$A$1:$C$1,),)=0,#N/A,VLOOKUP(Table7[[#This Row],[Date]],Database!$A:$C,MATCH($C$1,Database!$A$1:$C$1,),))</f>
        <v/>
      </c>
      <c r="D4162">
        <f>IFERROR(Table7[[#This Row],[United States 10y]]-Table7[[#This Row],[United States 3y]],#N/A)</f>
        <v/>
      </c>
    </row>
    <row r="4163">
      <c r="A4163" s="6">
        <f>Database!$A6248</f>
        <v/>
      </c>
      <c r="B4163">
        <f>IF(VLOOKUP(Table7[[#This Row],[Date]],Database!$A:$C,MATCH($B$1,Database!$A$1:$C$1,),)=0,#N/A,VLOOKUP(Table7[[#This Row],[Date]],Database!$A:$C,MATCH($B$1,Database!$A$1:$C$1,),))</f>
        <v/>
      </c>
      <c r="C4163">
        <f>IF(VLOOKUP(Table7[[#This Row],[Date]],Database!$A:$C,MATCH($C$1,Database!$A$1:$C$1,),)=0,#N/A,VLOOKUP(Table7[[#This Row],[Date]],Database!$A:$C,MATCH($C$1,Database!$A$1:$C$1,),))</f>
        <v/>
      </c>
      <c r="D4163">
        <f>IFERROR(Table7[[#This Row],[United States 10y]]-Table7[[#This Row],[United States 3y]],#N/A)</f>
        <v/>
      </c>
    </row>
    <row r="4164">
      <c r="A4164" s="6">
        <f>Database!$A6249</f>
        <v/>
      </c>
      <c r="B4164">
        <f>IF(VLOOKUP(Table7[[#This Row],[Date]],Database!$A:$C,MATCH($B$1,Database!$A$1:$C$1,),)=0,#N/A,VLOOKUP(Table7[[#This Row],[Date]],Database!$A:$C,MATCH($B$1,Database!$A$1:$C$1,),))</f>
        <v/>
      </c>
      <c r="C4164">
        <f>IF(VLOOKUP(Table7[[#This Row],[Date]],Database!$A:$C,MATCH($C$1,Database!$A$1:$C$1,),)=0,#N/A,VLOOKUP(Table7[[#This Row],[Date]],Database!$A:$C,MATCH($C$1,Database!$A$1:$C$1,),))</f>
        <v/>
      </c>
      <c r="D4164">
        <f>IFERROR(Table7[[#This Row],[United States 10y]]-Table7[[#This Row],[United States 3y]],#N/A)</f>
        <v/>
      </c>
    </row>
    <row r="4165">
      <c r="A4165" s="6">
        <f>Database!$A6250</f>
        <v/>
      </c>
      <c r="B4165">
        <f>IF(VLOOKUP(Table7[[#This Row],[Date]],Database!$A:$C,MATCH($B$1,Database!$A$1:$C$1,),)=0,#N/A,VLOOKUP(Table7[[#This Row],[Date]],Database!$A:$C,MATCH($B$1,Database!$A$1:$C$1,),))</f>
        <v/>
      </c>
      <c r="C4165">
        <f>IF(VLOOKUP(Table7[[#This Row],[Date]],Database!$A:$C,MATCH($C$1,Database!$A$1:$C$1,),)=0,#N/A,VLOOKUP(Table7[[#This Row],[Date]],Database!$A:$C,MATCH($C$1,Database!$A$1:$C$1,),))</f>
        <v/>
      </c>
      <c r="D4165">
        <f>IFERROR(Table7[[#This Row],[United States 10y]]-Table7[[#This Row],[United States 3y]],#N/A)</f>
        <v/>
      </c>
    </row>
    <row r="4166">
      <c r="A4166" s="6">
        <f>Database!$A6251</f>
        <v/>
      </c>
      <c r="B4166">
        <f>IF(VLOOKUP(Table7[[#This Row],[Date]],Database!$A:$C,MATCH($B$1,Database!$A$1:$C$1,),)=0,#N/A,VLOOKUP(Table7[[#This Row],[Date]],Database!$A:$C,MATCH($B$1,Database!$A$1:$C$1,),))</f>
        <v/>
      </c>
      <c r="C4166">
        <f>IF(VLOOKUP(Table7[[#This Row],[Date]],Database!$A:$C,MATCH($C$1,Database!$A$1:$C$1,),)=0,#N/A,VLOOKUP(Table7[[#This Row],[Date]],Database!$A:$C,MATCH($C$1,Database!$A$1:$C$1,),))</f>
        <v/>
      </c>
      <c r="D4166">
        <f>IFERROR(Table7[[#This Row],[United States 10y]]-Table7[[#This Row],[United States 3y]],#N/A)</f>
        <v/>
      </c>
    </row>
    <row r="4167">
      <c r="A4167" s="6">
        <f>Database!$A6252</f>
        <v/>
      </c>
      <c r="B4167">
        <f>IF(VLOOKUP(Table7[[#This Row],[Date]],Database!$A:$C,MATCH($B$1,Database!$A$1:$C$1,),)=0,#N/A,VLOOKUP(Table7[[#This Row],[Date]],Database!$A:$C,MATCH($B$1,Database!$A$1:$C$1,),))</f>
        <v/>
      </c>
      <c r="C4167">
        <f>IF(VLOOKUP(Table7[[#This Row],[Date]],Database!$A:$C,MATCH($C$1,Database!$A$1:$C$1,),)=0,#N/A,VLOOKUP(Table7[[#This Row],[Date]],Database!$A:$C,MATCH($C$1,Database!$A$1:$C$1,),))</f>
        <v/>
      </c>
      <c r="D4167">
        <f>IFERROR(Table7[[#This Row],[United States 10y]]-Table7[[#This Row],[United States 3y]],#N/A)</f>
        <v/>
      </c>
    </row>
    <row r="4168">
      <c r="A4168" s="6">
        <f>Database!$A6253</f>
        <v/>
      </c>
      <c r="B4168">
        <f>IF(VLOOKUP(Table7[[#This Row],[Date]],Database!$A:$C,MATCH($B$1,Database!$A$1:$C$1,),)=0,#N/A,VLOOKUP(Table7[[#This Row],[Date]],Database!$A:$C,MATCH($B$1,Database!$A$1:$C$1,),))</f>
        <v/>
      </c>
      <c r="C4168">
        <f>IF(VLOOKUP(Table7[[#This Row],[Date]],Database!$A:$C,MATCH($C$1,Database!$A$1:$C$1,),)=0,#N/A,VLOOKUP(Table7[[#This Row],[Date]],Database!$A:$C,MATCH($C$1,Database!$A$1:$C$1,),))</f>
        <v/>
      </c>
      <c r="D4168">
        <f>IFERROR(Table7[[#This Row],[United States 10y]]-Table7[[#This Row],[United States 3y]],#N/A)</f>
        <v/>
      </c>
    </row>
    <row r="4169">
      <c r="A4169" s="6">
        <f>Database!$A6254</f>
        <v/>
      </c>
      <c r="B4169">
        <f>IF(VLOOKUP(Table7[[#This Row],[Date]],Database!$A:$C,MATCH($B$1,Database!$A$1:$C$1,),)=0,#N/A,VLOOKUP(Table7[[#This Row],[Date]],Database!$A:$C,MATCH($B$1,Database!$A$1:$C$1,),))</f>
        <v/>
      </c>
      <c r="C4169">
        <f>IF(VLOOKUP(Table7[[#This Row],[Date]],Database!$A:$C,MATCH($C$1,Database!$A$1:$C$1,),)=0,#N/A,VLOOKUP(Table7[[#This Row],[Date]],Database!$A:$C,MATCH($C$1,Database!$A$1:$C$1,),))</f>
        <v/>
      </c>
      <c r="D4169">
        <f>IFERROR(Table7[[#This Row],[United States 10y]]-Table7[[#This Row],[United States 3y]],#N/A)</f>
        <v/>
      </c>
    </row>
    <row r="4170">
      <c r="A4170" s="6">
        <f>Database!$A6255</f>
        <v/>
      </c>
      <c r="B4170">
        <f>IF(VLOOKUP(Table7[[#This Row],[Date]],Database!$A:$C,MATCH($B$1,Database!$A$1:$C$1,),)=0,#N/A,VLOOKUP(Table7[[#This Row],[Date]],Database!$A:$C,MATCH($B$1,Database!$A$1:$C$1,),))</f>
        <v/>
      </c>
      <c r="C4170">
        <f>IF(VLOOKUP(Table7[[#This Row],[Date]],Database!$A:$C,MATCH($C$1,Database!$A$1:$C$1,),)=0,#N/A,VLOOKUP(Table7[[#This Row],[Date]],Database!$A:$C,MATCH($C$1,Database!$A$1:$C$1,),))</f>
        <v/>
      </c>
      <c r="D4170">
        <f>IFERROR(Table7[[#This Row],[United States 10y]]-Table7[[#This Row],[United States 3y]],#N/A)</f>
        <v/>
      </c>
    </row>
    <row r="4171">
      <c r="A4171" s="6">
        <f>Database!$A6256</f>
        <v/>
      </c>
      <c r="B4171">
        <f>IF(VLOOKUP(Table7[[#This Row],[Date]],Database!$A:$C,MATCH($B$1,Database!$A$1:$C$1,),)=0,#N/A,VLOOKUP(Table7[[#This Row],[Date]],Database!$A:$C,MATCH($B$1,Database!$A$1:$C$1,),))</f>
        <v/>
      </c>
      <c r="C4171">
        <f>IF(VLOOKUP(Table7[[#This Row],[Date]],Database!$A:$C,MATCH($C$1,Database!$A$1:$C$1,),)=0,#N/A,VLOOKUP(Table7[[#This Row],[Date]],Database!$A:$C,MATCH($C$1,Database!$A$1:$C$1,),))</f>
        <v/>
      </c>
      <c r="D4171">
        <f>IFERROR(Table7[[#This Row],[United States 10y]]-Table7[[#This Row],[United States 3y]],#N/A)</f>
        <v/>
      </c>
    </row>
    <row r="4172">
      <c r="A4172" s="6">
        <f>Database!$A6257</f>
        <v/>
      </c>
      <c r="B4172">
        <f>IF(VLOOKUP(Table7[[#This Row],[Date]],Database!$A:$C,MATCH($B$1,Database!$A$1:$C$1,),)=0,#N/A,VLOOKUP(Table7[[#This Row],[Date]],Database!$A:$C,MATCH($B$1,Database!$A$1:$C$1,),))</f>
        <v/>
      </c>
      <c r="C4172">
        <f>IF(VLOOKUP(Table7[[#This Row],[Date]],Database!$A:$C,MATCH($C$1,Database!$A$1:$C$1,),)=0,#N/A,VLOOKUP(Table7[[#This Row],[Date]],Database!$A:$C,MATCH($C$1,Database!$A$1:$C$1,),))</f>
        <v/>
      </c>
      <c r="D4172">
        <f>IFERROR(Table7[[#This Row],[United States 10y]]-Table7[[#This Row],[United States 3y]],#N/A)</f>
        <v/>
      </c>
    </row>
    <row r="4173">
      <c r="A4173" s="6">
        <f>Database!$A6258</f>
        <v/>
      </c>
      <c r="B4173">
        <f>IF(VLOOKUP(Table7[[#This Row],[Date]],Database!$A:$C,MATCH($B$1,Database!$A$1:$C$1,),)=0,#N/A,VLOOKUP(Table7[[#This Row],[Date]],Database!$A:$C,MATCH($B$1,Database!$A$1:$C$1,),))</f>
        <v/>
      </c>
      <c r="C4173">
        <f>IF(VLOOKUP(Table7[[#This Row],[Date]],Database!$A:$C,MATCH($C$1,Database!$A$1:$C$1,),)=0,#N/A,VLOOKUP(Table7[[#This Row],[Date]],Database!$A:$C,MATCH($C$1,Database!$A$1:$C$1,),))</f>
        <v/>
      </c>
      <c r="D4173">
        <f>IFERROR(Table7[[#This Row],[United States 10y]]-Table7[[#This Row],[United States 3y]],#N/A)</f>
        <v/>
      </c>
    </row>
    <row r="4174">
      <c r="A4174" s="6">
        <f>Database!$A6259</f>
        <v/>
      </c>
      <c r="B4174">
        <f>IF(VLOOKUP(Table7[[#This Row],[Date]],Database!$A:$C,MATCH($B$1,Database!$A$1:$C$1,),)=0,#N/A,VLOOKUP(Table7[[#This Row],[Date]],Database!$A:$C,MATCH($B$1,Database!$A$1:$C$1,),))</f>
        <v/>
      </c>
      <c r="C4174">
        <f>IF(VLOOKUP(Table7[[#This Row],[Date]],Database!$A:$C,MATCH($C$1,Database!$A$1:$C$1,),)=0,#N/A,VLOOKUP(Table7[[#This Row],[Date]],Database!$A:$C,MATCH($C$1,Database!$A$1:$C$1,),))</f>
        <v/>
      </c>
      <c r="D4174">
        <f>IFERROR(Table7[[#This Row],[United States 10y]]-Table7[[#This Row],[United States 3y]],#N/A)</f>
        <v/>
      </c>
    </row>
    <row r="4175">
      <c r="A4175" s="6">
        <f>Database!$A6260</f>
        <v/>
      </c>
      <c r="B4175">
        <f>IF(VLOOKUP(Table7[[#This Row],[Date]],Database!$A:$C,MATCH($B$1,Database!$A$1:$C$1,),)=0,#N/A,VLOOKUP(Table7[[#This Row],[Date]],Database!$A:$C,MATCH($B$1,Database!$A$1:$C$1,),))</f>
        <v/>
      </c>
      <c r="C4175">
        <f>IF(VLOOKUP(Table7[[#This Row],[Date]],Database!$A:$C,MATCH($C$1,Database!$A$1:$C$1,),)=0,#N/A,VLOOKUP(Table7[[#This Row],[Date]],Database!$A:$C,MATCH($C$1,Database!$A$1:$C$1,),))</f>
        <v/>
      </c>
      <c r="D4175">
        <f>IFERROR(Table7[[#This Row],[United States 10y]]-Table7[[#This Row],[United States 3y]],#N/A)</f>
        <v/>
      </c>
    </row>
    <row r="4176">
      <c r="A4176" s="6">
        <f>Database!$A6261</f>
        <v/>
      </c>
      <c r="B4176">
        <f>IF(VLOOKUP(Table7[[#This Row],[Date]],Database!$A:$C,MATCH($B$1,Database!$A$1:$C$1,),)=0,#N/A,VLOOKUP(Table7[[#This Row],[Date]],Database!$A:$C,MATCH($B$1,Database!$A$1:$C$1,),))</f>
        <v/>
      </c>
      <c r="C4176">
        <f>IF(VLOOKUP(Table7[[#This Row],[Date]],Database!$A:$C,MATCH($C$1,Database!$A$1:$C$1,),)=0,#N/A,VLOOKUP(Table7[[#This Row],[Date]],Database!$A:$C,MATCH($C$1,Database!$A$1:$C$1,),))</f>
        <v/>
      </c>
      <c r="D4176">
        <f>IFERROR(Table7[[#This Row],[United States 10y]]-Table7[[#This Row],[United States 3y]],#N/A)</f>
        <v/>
      </c>
    </row>
    <row r="4177">
      <c r="A4177" s="6">
        <f>Database!$A6262</f>
        <v/>
      </c>
      <c r="B4177">
        <f>IF(VLOOKUP(Table7[[#This Row],[Date]],Database!$A:$C,MATCH($B$1,Database!$A$1:$C$1,),)=0,#N/A,VLOOKUP(Table7[[#This Row],[Date]],Database!$A:$C,MATCH($B$1,Database!$A$1:$C$1,),))</f>
        <v/>
      </c>
      <c r="C4177">
        <f>IF(VLOOKUP(Table7[[#This Row],[Date]],Database!$A:$C,MATCH($C$1,Database!$A$1:$C$1,),)=0,#N/A,VLOOKUP(Table7[[#This Row],[Date]],Database!$A:$C,MATCH($C$1,Database!$A$1:$C$1,),))</f>
        <v/>
      </c>
      <c r="D4177">
        <f>IFERROR(Table7[[#This Row],[United States 10y]]-Table7[[#This Row],[United States 3y]],#N/A)</f>
        <v/>
      </c>
    </row>
    <row r="4178">
      <c r="A4178" s="6">
        <f>Database!$A6263</f>
        <v/>
      </c>
      <c r="B4178">
        <f>IF(VLOOKUP(Table7[[#This Row],[Date]],Database!$A:$C,MATCH($B$1,Database!$A$1:$C$1,),)=0,#N/A,VLOOKUP(Table7[[#This Row],[Date]],Database!$A:$C,MATCH($B$1,Database!$A$1:$C$1,),))</f>
        <v/>
      </c>
      <c r="C4178">
        <f>IF(VLOOKUP(Table7[[#This Row],[Date]],Database!$A:$C,MATCH($C$1,Database!$A$1:$C$1,),)=0,#N/A,VLOOKUP(Table7[[#This Row],[Date]],Database!$A:$C,MATCH($C$1,Database!$A$1:$C$1,),))</f>
        <v/>
      </c>
      <c r="D4178">
        <f>IFERROR(Table7[[#This Row],[United States 10y]]-Table7[[#This Row],[United States 3y]],#N/A)</f>
        <v/>
      </c>
    </row>
    <row r="4179">
      <c r="A4179" s="6">
        <f>Database!$A6264</f>
        <v/>
      </c>
      <c r="B4179">
        <f>IF(VLOOKUP(Table7[[#This Row],[Date]],Database!$A:$C,MATCH($B$1,Database!$A$1:$C$1,),)=0,#N/A,VLOOKUP(Table7[[#This Row],[Date]],Database!$A:$C,MATCH($B$1,Database!$A$1:$C$1,),))</f>
        <v/>
      </c>
      <c r="C4179">
        <f>IF(VLOOKUP(Table7[[#This Row],[Date]],Database!$A:$C,MATCH($C$1,Database!$A$1:$C$1,),)=0,#N/A,VLOOKUP(Table7[[#This Row],[Date]],Database!$A:$C,MATCH($C$1,Database!$A$1:$C$1,),))</f>
        <v/>
      </c>
      <c r="D4179">
        <f>IFERROR(Table7[[#This Row],[United States 10y]]-Table7[[#This Row],[United States 3y]],#N/A)</f>
        <v/>
      </c>
    </row>
    <row r="4180">
      <c r="A4180" s="6">
        <f>Database!$A6265</f>
        <v/>
      </c>
      <c r="B4180">
        <f>IF(VLOOKUP(Table7[[#This Row],[Date]],Database!$A:$C,MATCH($B$1,Database!$A$1:$C$1,),)=0,#N/A,VLOOKUP(Table7[[#This Row],[Date]],Database!$A:$C,MATCH($B$1,Database!$A$1:$C$1,),))</f>
        <v/>
      </c>
      <c r="C4180">
        <f>IF(VLOOKUP(Table7[[#This Row],[Date]],Database!$A:$C,MATCH($C$1,Database!$A$1:$C$1,),)=0,#N/A,VLOOKUP(Table7[[#This Row],[Date]],Database!$A:$C,MATCH($C$1,Database!$A$1:$C$1,),))</f>
        <v/>
      </c>
      <c r="D4180">
        <f>IFERROR(Table7[[#This Row],[United States 10y]]-Table7[[#This Row],[United States 3y]],#N/A)</f>
        <v/>
      </c>
    </row>
    <row r="4181">
      <c r="A4181" s="6">
        <f>Database!$A6266</f>
        <v/>
      </c>
      <c r="B4181">
        <f>IF(VLOOKUP(Table7[[#This Row],[Date]],Database!$A:$C,MATCH($B$1,Database!$A$1:$C$1,),)=0,#N/A,VLOOKUP(Table7[[#This Row],[Date]],Database!$A:$C,MATCH($B$1,Database!$A$1:$C$1,),))</f>
        <v/>
      </c>
      <c r="C4181">
        <f>IF(VLOOKUP(Table7[[#This Row],[Date]],Database!$A:$C,MATCH($C$1,Database!$A$1:$C$1,),)=0,#N/A,VLOOKUP(Table7[[#This Row],[Date]],Database!$A:$C,MATCH($C$1,Database!$A$1:$C$1,),))</f>
        <v/>
      </c>
      <c r="D4181">
        <f>IFERROR(Table7[[#This Row],[United States 10y]]-Table7[[#This Row],[United States 3y]],#N/A)</f>
        <v/>
      </c>
    </row>
    <row r="4182">
      <c r="A4182" s="6">
        <f>Database!$A6267</f>
        <v/>
      </c>
      <c r="B4182">
        <f>IF(VLOOKUP(Table7[[#This Row],[Date]],Database!$A:$C,MATCH($B$1,Database!$A$1:$C$1,),)=0,#N/A,VLOOKUP(Table7[[#This Row],[Date]],Database!$A:$C,MATCH($B$1,Database!$A$1:$C$1,),))</f>
        <v/>
      </c>
      <c r="C4182">
        <f>IF(VLOOKUP(Table7[[#This Row],[Date]],Database!$A:$C,MATCH($C$1,Database!$A$1:$C$1,),)=0,#N/A,VLOOKUP(Table7[[#This Row],[Date]],Database!$A:$C,MATCH($C$1,Database!$A$1:$C$1,),))</f>
        <v/>
      </c>
      <c r="D4182">
        <f>IFERROR(Table7[[#This Row],[United States 10y]]-Table7[[#This Row],[United States 3y]],#N/A)</f>
        <v/>
      </c>
    </row>
    <row r="4183">
      <c r="A4183" s="6">
        <f>Database!$A6268</f>
        <v/>
      </c>
      <c r="B4183">
        <f>IF(VLOOKUP(Table7[[#This Row],[Date]],Database!$A:$C,MATCH($B$1,Database!$A$1:$C$1,),)=0,#N/A,VLOOKUP(Table7[[#This Row],[Date]],Database!$A:$C,MATCH($B$1,Database!$A$1:$C$1,),))</f>
        <v/>
      </c>
      <c r="C4183">
        <f>IF(VLOOKUP(Table7[[#This Row],[Date]],Database!$A:$C,MATCH($C$1,Database!$A$1:$C$1,),)=0,#N/A,VLOOKUP(Table7[[#This Row],[Date]],Database!$A:$C,MATCH($C$1,Database!$A$1:$C$1,),))</f>
        <v/>
      </c>
      <c r="D4183">
        <f>IFERROR(Table7[[#This Row],[United States 10y]]-Table7[[#This Row],[United States 3y]],#N/A)</f>
        <v/>
      </c>
    </row>
    <row r="4184">
      <c r="A4184" s="6">
        <f>Database!$A6269</f>
        <v/>
      </c>
      <c r="B4184">
        <f>IF(VLOOKUP(Table7[[#This Row],[Date]],Database!$A:$C,MATCH($B$1,Database!$A$1:$C$1,),)=0,#N/A,VLOOKUP(Table7[[#This Row],[Date]],Database!$A:$C,MATCH($B$1,Database!$A$1:$C$1,),))</f>
        <v/>
      </c>
      <c r="C4184">
        <f>IF(VLOOKUP(Table7[[#This Row],[Date]],Database!$A:$C,MATCH($C$1,Database!$A$1:$C$1,),)=0,#N/A,VLOOKUP(Table7[[#This Row],[Date]],Database!$A:$C,MATCH($C$1,Database!$A$1:$C$1,),))</f>
        <v/>
      </c>
      <c r="D4184">
        <f>IFERROR(Table7[[#This Row],[United States 10y]]-Table7[[#This Row],[United States 3y]],#N/A)</f>
        <v/>
      </c>
    </row>
    <row r="4185">
      <c r="A4185" s="6">
        <f>Database!$A6270</f>
        <v/>
      </c>
      <c r="B4185">
        <f>IF(VLOOKUP(Table7[[#This Row],[Date]],Database!$A:$C,MATCH($B$1,Database!$A$1:$C$1,),)=0,#N/A,VLOOKUP(Table7[[#This Row],[Date]],Database!$A:$C,MATCH($B$1,Database!$A$1:$C$1,),))</f>
        <v/>
      </c>
      <c r="C4185">
        <f>IF(VLOOKUP(Table7[[#This Row],[Date]],Database!$A:$C,MATCH($C$1,Database!$A$1:$C$1,),)=0,#N/A,VLOOKUP(Table7[[#This Row],[Date]],Database!$A:$C,MATCH($C$1,Database!$A$1:$C$1,),))</f>
        <v/>
      </c>
      <c r="D4185">
        <f>IFERROR(Table7[[#This Row],[United States 10y]]-Table7[[#This Row],[United States 3y]],#N/A)</f>
        <v/>
      </c>
    </row>
    <row r="4186">
      <c r="A4186" s="6">
        <f>Database!$A6271</f>
        <v/>
      </c>
      <c r="B4186">
        <f>IF(VLOOKUP(Table7[[#This Row],[Date]],Database!$A:$C,MATCH($B$1,Database!$A$1:$C$1,),)=0,#N/A,VLOOKUP(Table7[[#This Row],[Date]],Database!$A:$C,MATCH($B$1,Database!$A$1:$C$1,),))</f>
        <v/>
      </c>
      <c r="C4186">
        <f>IF(VLOOKUP(Table7[[#This Row],[Date]],Database!$A:$C,MATCH($C$1,Database!$A$1:$C$1,),)=0,#N/A,VLOOKUP(Table7[[#This Row],[Date]],Database!$A:$C,MATCH($C$1,Database!$A$1:$C$1,),))</f>
        <v/>
      </c>
      <c r="D4186">
        <f>IFERROR(Table7[[#This Row],[United States 10y]]-Table7[[#This Row],[United States 3y]],#N/A)</f>
        <v/>
      </c>
    </row>
    <row r="4187">
      <c r="A4187" s="6">
        <f>Database!$A6272</f>
        <v/>
      </c>
      <c r="B4187">
        <f>IF(VLOOKUP(Table7[[#This Row],[Date]],Database!$A:$C,MATCH($B$1,Database!$A$1:$C$1,),)=0,#N/A,VLOOKUP(Table7[[#This Row],[Date]],Database!$A:$C,MATCH($B$1,Database!$A$1:$C$1,),))</f>
        <v/>
      </c>
      <c r="C4187">
        <f>IF(VLOOKUP(Table7[[#This Row],[Date]],Database!$A:$C,MATCH($C$1,Database!$A$1:$C$1,),)=0,#N/A,VLOOKUP(Table7[[#This Row],[Date]],Database!$A:$C,MATCH($C$1,Database!$A$1:$C$1,),))</f>
        <v/>
      </c>
      <c r="D4187">
        <f>IFERROR(Table7[[#This Row],[United States 10y]]-Table7[[#This Row],[United States 3y]],#N/A)</f>
        <v/>
      </c>
    </row>
    <row r="4188">
      <c r="A4188" s="6">
        <f>Database!$A6273</f>
        <v/>
      </c>
      <c r="B4188">
        <f>IF(VLOOKUP(Table7[[#This Row],[Date]],Database!$A:$C,MATCH($B$1,Database!$A$1:$C$1,),)=0,#N/A,VLOOKUP(Table7[[#This Row],[Date]],Database!$A:$C,MATCH($B$1,Database!$A$1:$C$1,),))</f>
        <v/>
      </c>
      <c r="C4188">
        <f>IF(VLOOKUP(Table7[[#This Row],[Date]],Database!$A:$C,MATCH($C$1,Database!$A$1:$C$1,),)=0,#N/A,VLOOKUP(Table7[[#This Row],[Date]],Database!$A:$C,MATCH($C$1,Database!$A$1:$C$1,),))</f>
        <v/>
      </c>
      <c r="D4188">
        <f>IFERROR(Table7[[#This Row],[United States 10y]]-Table7[[#This Row],[United States 3y]],#N/A)</f>
        <v/>
      </c>
    </row>
    <row r="4189">
      <c r="A4189" s="6">
        <f>Database!$A6274</f>
        <v/>
      </c>
      <c r="B4189">
        <f>IF(VLOOKUP(Table7[[#This Row],[Date]],Database!$A:$C,MATCH($B$1,Database!$A$1:$C$1,),)=0,#N/A,VLOOKUP(Table7[[#This Row],[Date]],Database!$A:$C,MATCH($B$1,Database!$A$1:$C$1,),))</f>
        <v/>
      </c>
      <c r="C4189">
        <f>IF(VLOOKUP(Table7[[#This Row],[Date]],Database!$A:$C,MATCH($C$1,Database!$A$1:$C$1,),)=0,#N/A,VLOOKUP(Table7[[#This Row],[Date]],Database!$A:$C,MATCH($C$1,Database!$A$1:$C$1,),))</f>
        <v/>
      </c>
      <c r="D4189">
        <f>IFERROR(Table7[[#This Row],[United States 10y]]-Table7[[#This Row],[United States 3y]],#N/A)</f>
        <v/>
      </c>
    </row>
    <row r="4190">
      <c r="A4190" s="6">
        <f>Database!$A6275</f>
        <v/>
      </c>
      <c r="B4190">
        <f>IF(VLOOKUP(Table7[[#This Row],[Date]],Database!$A:$C,MATCH($B$1,Database!$A$1:$C$1,),)=0,#N/A,VLOOKUP(Table7[[#This Row],[Date]],Database!$A:$C,MATCH($B$1,Database!$A$1:$C$1,),))</f>
        <v/>
      </c>
      <c r="C4190">
        <f>IF(VLOOKUP(Table7[[#This Row],[Date]],Database!$A:$C,MATCH($C$1,Database!$A$1:$C$1,),)=0,#N/A,VLOOKUP(Table7[[#This Row],[Date]],Database!$A:$C,MATCH($C$1,Database!$A$1:$C$1,),))</f>
        <v/>
      </c>
      <c r="D4190">
        <f>IFERROR(Table7[[#This Row],[United States 10y]]-Table7[[#This Row],[United States 3y]],#N/A)</f>
        <v/>
      </c>
    </row>
    <row r="4191">
      <c r="A4191" s="6">
        <f>Database!$A6276</f>
        <v/>
      </c>
      <c r="B4191">
        <f>IF(VLOOKUP(Table7[[#This Row],[Date]],Database!$A:$C,MATCH($B$1,Database!$A$1:$C$1,),)=0,#N/A,VLOOKUP(Table7[[#This Row],[Date]],Database!$A:$C,MATCH($B$1,Database!$A$1:$C$1,),))</f>
        <v/>
      </c>
      <c r="C4191">
        <f>IF(VLOOKUP(Table7[[#This Row],[Date]],Database!$A:$C,MATCH($C$1,Database!$A$1:$C$1,),)=0,#N/A,VLOOKUP(Table7[[#This Row],[Date]],Database!$A:$C,MATCH($C$1,Database!$A$1:$C$1,),))</f>
        <v/>
      </c>
      <c r="D4191">
        <f>IFERROR(Table7[[#This Row],[United States 10y]]-Table7[[#This Row],[United States 3y]],#N/A)</f>
        <v/>
      </c>
    </row>
    <row r="4192">
      <c r="A4192" s="6">
        <f>Database!$A6277</f>
        <v/>
      </c>
      <c r="B4192">
        <f>IF(VLOOKUP(Table7[[#This Row],[Date]],Database!$A:$C,MATCH($B$1,Database!$A$1:$C$1,),)=0,#N/A,VLOOKUP(Table7[[#This Row],[Date]],Database!$A:$C,MATCH($B$1,Database!$A$1:$C$1,),))</f>
        <v/>
      </c>
      <c r="C4192">
        <f>IF(VLOOKUP(Table7[[#This Row],[Date]],Database!$A:$C,MATCH($C$1,Database!$A$1:$C$1,),)=0,#N/A,VLOOKUP(Table7[[#This Row],[Date]],Database!$A:$C,MATCH($C$1,Database!$A$1:$C$1,),))</f>
        <v/>
      </c>
      <c r="D4192">
        <f>IFERROR(Table7[[#This Row],[United States 10y]]-Table7[[#This Row],[United States 3y]],#N/A)</f>
        <v/>
      </c>
    </row>
    <row r="4193">
      <c r="A4193" s="6">
        <f>Database!$A6278</f>
        <v/>
      </c>
      <c r="B4193">
        <f>IF(VLOOKUP(Table7[[#This Row],[Date]],Database!$A:$C,MATCH($B$1,Database!$A$1:$C$1,),)=0,#N/A,VLOOKUP(Table7[[#This Row],[Date]],Database!$A:$C,MATCH($B$1,Database!$A$1:$C$1,),))</f>
        <v/>
      </c>
      <c r="C4193">
        <f>IF(VLOOKUP(Table7[[#This Row],[Date]],Database!$A:$C,MATCH($C$1,Database!$A$1:$C$1,),)=0,#N/A,VLOOKUP(Table7[[#This Row],[Date]],Database!$A:$C,MATCH($C$1,Database!$A$1:$C$1,),))</f>
        <v/>
      </c>
      <c r="D4193">
        <f>IFERROR(Table7[[#This Row],[United States 10y]]-Table7[[#This Row],[United States 3y]],#N/A)</f>
        <v/>
      </c>
    </row>
    <row r="4194">
      <c r="A4194" s="6">
        <f>Database!$A6279</f>
        <v/>
      </c>
      <c r="B4194">
        <f>IF(VLOOKUP(Table7[[#This Row],[Date]],Database!$A:$C,MATCH($B$1,Database!$A$1:$C$1,),)=0,#N/A,VLOOKUP(Table7[[#This Row],[Date]],Database!$A:$C,MATCH($B$1,Database!$A$1:$C$1,),))</f>
        <v/>
      </c>
      <c r="C4194">
        <f>IF(VLOOKUP(Table7[[#This Row],[Date]],Database!$A:$C,MATCH($C$1,Database!$A$1:$C$1,),)=0,#N/A,VLOOKUP(Table7[[#This Row],[Date]],Database!$A:$C,MATCH($C$1,Database!$A$1:$C$1,),))</f>
        <v/>
      </c>
      <c r="D4194">
        <f>IFERROR(Table7[[#This Row],[United States 10y]]-Table7[[#This Row],[United States 3y]],#N/A)</f>
        <v/>
      </c>
    </row>
    <row r="4195">
      <c r="A4195" s="6">
        <f>Database!$A6280</f>
        <v/>
      </c>
      <c r="B4195">
        <f>IF(VLOOKUP(Table7[[#This Row],[Date]],Database!$A:$C,MATCH($B$1,Database!$A$1:$C$1,),)=0,#N/A,VLOOKUP(Table7[[#This Row],[Date]],Database!$A:$C,MATCH($B$1,Database!$A$1:$C$1,),))</f>
        <v/>
      </c>
      <c r="C4195">
        <f>IF(VLOOKUP(Table7[[#This Row],[Date]],Database!$A:$C,MATCH($C$1,Database!$A$1:$C$1,),)=0,#N/A,VLOOKUP(Table7[[#This Row],[Date]],Database!$A:$C,MATCH($C$1,Database!$A$1:$C$1,),))</f>
        <v/>
      </c>
      <c r="D4195">
        <f>IFERROR(Table7[[#This Row],[United States 10y]]-Table7[[#This Row],[United States 3y]],#N/A)</f>
        <v/>
      </c>
    </row>
    <row r="4196">
      <c r="A4196" s="6">
        <f>Database!$A6281</f>
        <v/>
      </c>
      <c r="B4196">
        <f>IF(VLOOKUP(Table7[[#This Row],[Date]],Database!$A:$C,MATCH($B$1,Database!$A$1:$C$1,),)=0,#N/A,VLOOKUP(Table7[[#This Row],[Date]],Database!$A:$C,MATCH($B$1,Database!$A$1:$C$1,),))</f>
        <v/>
      </c>
      <c r="C4196">
        <f>IF(VLOOKUP(Table7[[#This Row],[Date]],Database!$A:$C,MATCH($C$1,Database!$A$1:$C$1,),)=0,#N/A,VLOOKUP(Table7[[#This Row],[Date]],Database!$A:$C,MATCH($C$1,Database!$A$1:$C$1,),))</f>
        <v/>
      </c>
      <c r="D4196">
        <f>IFERROR(Table7[[#This Row],[United States 10y]]-Table7[[#This Row],[United States 3y]],#N/A)</f>
        <v/>
      </c>
    </row>
    <row r="4197">
      <c r="A4197" s="6">
        <f>Database!$A6282</f>
        <v/>
      </c>
      <c r="B4197">
        <f>IF(VLOOKUP(Table7[[#This Row],[Date]],Database!$A:$C,MATCH($B$1,Database!$A$1:$C$1,),)=0,#N/A,VLOOKUP(Table7[[#This Row],[Date]],Database!$A:$C,MATCH($B$1,Database!$A$1:$C$1,),))</f>
        <v/>
      </c>
      <c r="C4197">
        <f>IF(VLOOKUP(Table7[[#This Row],[Date]],Database!$A:$C,MATCH($C$1,Database!$A$1:$C$1,),)=0,#N/A,VLOOKUP(Table7[[#This Row],[Date]],Database!$A:$C,MATCH($C$1,Database!$A$1:$C$1,),))</f>
        <v/>
      </c>
      <c r="D4197">
        <f>IFERROR(Table7[[#This Row],[United States 10y]]-Table7[[#This Row],[United States 3y]],#N/A)</f>
        <v/>
      </c>
    </row>
    <row r="4198">
      <c r="A4198" s="6">
        <f>Database!$A6283</f>
        <v/>
      </c>
      <c r="B4198">
        <f>IF(VLOOKUP(Table7[[#This Row],[Date]],Database!$A:$C,MATCH($B$1,Database!$A$1:$C$1,),)=0,#N/A,VLOOKUP(Table7[[#This Row],[Date]],Database!$A:$C,MATCH($B$1,Database!$A$1:$C$1,),))</f>
        <v/>
      </c>
      <c r="C4198">
        <f>IF(VLOOKUP(Table7[[#This Row],[Date]],Database!$A:$C,MATCH($C$1,Database!$A$1:$C$1,),)=0,#N/A,VLOOKUP(Table7[[#This Row],[Date]],Database!$A:$C,MATCH($C$1,Database!$A$1:$C$1,),))</f>
        <v/>
      </c>
      <c r="D4198">
        <f>IFERROR(Table7[[#This Row],[United States 10y]]-Table7[[#This Row],[United States 3y]],#N/A)</f>
        <v/>
      </c>
    </row>
    <row r="4199">
      <c r="A4199" s="6">
        <f>Database!$A6284</f>
        <v/>
      </c>
      <c r="B4199">
        <f>IF(VLOOKUP(Table7[[#This Row],[Date]],Database!$A:$C,MATCH($B$1,Database!$A$1:$C$1,),)=0,#N/A,VLOOKUP(Table7[[#This Row],[Date]],Database!$A:$C,MATCH($B$1,Database!$A$1:$C$1,),))</f>
        <v/>
      </c>
      <c r="C4199">
        <f>IF(VLOOKUP(Table7[[#This Row],[Date]],Database!$A:$C,MATCH($C$1,Database!$A$1:$C$1,),)=0,#N/A,VLOOKUP(Table7[[#This Row],[Date]],Database!$A:$C,MATCH($C$1,Database!$A$1:$C$1,),))</f>
        <v/>
      </c>
      <c r="D4199">
        <f>IFERROR(Table7[[#This Row],[United States 10y]]-Table7[[#This Row],[United States 3y]],#N/A)</f>
        <v/>
      </c>
    </row>
    <row r="4200">
      <c r="A4200" s="6">
        <f>Database!$A6285</f>
        <v/>
      </c>
      <c r="B4200">
        <f>IF(VLOOKUP(Table7[[#This Row],[Date]],Database!$A:$C,MATCH($B$1,Database!$A$1:$C$1,),)=0,#N/A,VLOOKUP(Table7[[#This Row],[Date]],Database!$A:$C,MATCH($B$1,Database!$A$1:$C$1,),))</f>
        <v/>
      </c>
      <c r="C4200">
        <f>IF(VLOOKUP(Table7[[#This Row],[Date]],Database!$A:$C,MATCH($C$1,Database!$A$1:$C$1,),)=0,#N/A,VLOOKUP(Table7[[#This Row],[Date]],Database!$A:$C,MATCH($C$1,Database!$A$1:$C$1,),))</f>
        <v/>
      </c>
      <c r="D4200">
        <f>IFERROR(Table7[[#This Row],[United States 10y]]-Table7[[#This Row],[United States 3y]],#N/A)</f>
        <v/>
      </c>
    </row>
    <row r="4201">
      <c r="A4201" s="6">
        <f>Database!$A6286</f>
        <v/>
      </c>
      <c r="B4201">
        <f>IF(VLOOKUP(Table7[[#This Row],[Date]],Database!$A:$C,MATCH($B$1,Database!$A$1:$C$1,),)=0,#N/A,VLOOKUP(Table7[[#This Row],[Date]],Database!$A:$C,MATCH($B$1,Database!$A$1:$C$1,),))</f>
        <v/>
      </c>
      <c r="C4201">
        <f>IF(VLOOKUP(Table7[[#This Row],[Date]],Database!$A:$C,MATCH($C$1,Database!$A$1:$C$1,),)=0,#N/A,VLOOKUP(Table7[[#This Row],[Date]],Database!$A:$C,MATCH($C$1,Database!$A$1:$C$1,),))</f>
        <v/>
      </c>
      <c r="D4201">
        <f>IFERROR(Table7[[#This Row],[United States 10y]]-Table7[[#This Row],[United States 3y]],#N/A)</f>
        <v/>
      </c>
    </row>
    <row r="4202">
      <c r="A4202" s="6">
        <f>Database!$A6287</f>
        <v/>
      </c>
      <c r="B4202">
        <f>IF(VLOOKUP(Table7[[#This Row],[Date]],Database!$A:$C,MATCH($B$1,Database!$A$1:$C$1,),)=0,#N/A,VLOOKUP(Table7[[#This Row],[Date]],Database!$A:$C,MATCH($B$1,Database!$A$1:$C$1,),))</f>
        <v/>
      </c>
      <c r="C4202">
        <f>IF(VLOOKUP(Table7[[#This Row],[Date]],Database!$A:$C,MATCH($C$1,Database!$A$1:$C$1,),)=0,#N/A,VLOOKUP(Table7[[#This Row],[Date]],Database!$A:$C,MATCH($C$1,Database!$A$1:$C$1,),))</f>
        <v/>
      </c>
      <c r="D4202">
        <f>IFERROR(Table7[[#This Row],[United States 10y]]-Table7[[#This Row],[United States 3y]],#N/A)</f>
        <v/>
      </c>
    </row>
    <row r="4203">
      <c r="A4203" s="6">
        <f>Database!$A6288</f>
        <v/>
      </c>
      <c r="B4203">
        <f>IF(VLOOKUP(Table7[[#This Row],[Date]],Database!$A:$C,MATCH($B$1,Database!$A$1:$C$1,),)=0,#N/A,VLOOKUP(Table7[[#This Row],[Date]],Database!$A:$C,MATCH($B$1,Database!$A$1:$C$1,),))</f>
        <v/>
      </c>
      <c r="C4203">
        <f>IF(VLOOKUP(Table7[[#This Row],[Date]],Database!$A:$C,MATCH($C$1,Database!$A$1:$C$1,),)=0,#N/A,VLOOKUP(Table7[[#This Row],[Date]],Database!$A:$C,MATCH($C$1,Database!$A$1:$C$1,),))</f>
        <v/>
      </c>
      <c r="D4203">
        <f>IFERROR(Table7[[#This Row],[United States 10y]]-Table7[[#This Row],[United States 3y]],#N/A)</f>
        <v/>
      </c>
    </row>
    <row r="4204">
      <c r="A4204" s="6">
        <f>Database!$A6289</f>
        <v/>
      </c>
      <c r="B4204">
        <f>IF(VLOOKUP(Table7[[#This Row],[Date]],Database!$A:$C,MATCH($B$1,Database!$A$1:$C$1,),)=0,#N/A,VLOOKUP(Table7[[#This Row],[Date]],Database!$A:$C,MATCH($B$1,Database!$A$1:$C$1,),))</f>
        <v/>
      </c>
      <c r="C4204">
        <f>IF(VLOOKUP(Table7[[#This Row],[Date]],Database!$A:$C,MATCH($C$1,Database!$A$1:$C$1,),)=0,#N/A,VLOOKUP(Table7[[#This Row],[Date]],Database!$A:$C,MATCH($C$1,Database!$A$1:$C$1,),))</f>
        <v/>
      </c>
      <c r="D4204">
        <f>IFERROR(Table7[[#This Row],[United States 10y]]-Table7[[#This Row],[United States 3y]],#N/A)</f>
        <v/>
      </c>
    </row>
    <row r="4205">
      <c r="A4205" s="6">
        <f>Database!$A6290</f>
        <v/>
      </c>
      <c r="B4205">
        <f>IF(VLOOKUP(Table7[[#This Row],[Date]],Database!$A:$C,MATCH($B$1,Database!$A$1:$C$1,),)=0,#N/A,VLOOKUP(Table7[[#This Row],[Date]],Database!$A:$C,MATCH($B$1,Database!$A$1:$C$1,),))</f>
        <v/>
      </c>
      <c r="C4205">
        <f>IF(VLOOKUP(Table7[[#This Row],[Date]],Database!$A:$C,MATCH($C$1,Database!$A$1:$C$1,),)=0,#N/A,VLOOKUP(Table7[[#This Row],[Date]],Database!$A:$C,MATCH($C$1,Database!$A$1:$C$1,),))</f>
        <v/>
      </c>
      <c r="D4205">
        <f>IFERROR(Table7[[#This Row],[United States 10y]]-Table7[[#This Row],[United States 3y]],#N/A)</f>
        <v/>
      </c>
    </row>
    <row r="4206">
      <c r="A4206" s="6">
        <f>Database!$A6291</f>
        <v/>
      </c>
      <c r="B4206">
        <f>IF(VLOOKUP(Table7[[#This Row],[Date]],Database!$A:$C,MATCH($B$1,Database!$A$1:$C$1,),)=0,#N/A,VLOOKUP(Table7[[#This Row],[Date]],Database!$A:$C,MATCH($B$1,Database!$A$1:$C$1,),))</f>
        <v/>
      </c>
      <c r="C4206">
        <f>IF(VLOOKUP(Table7[[#This Row],[Date]],Database!$A:$C,MATCH($C$1,Database!$A$1:$C$1,),)=0,#N/A,VLOOKUP(Table7[[#This Row],[Date]],Database!$A:$C,MATCH($C$1,Database!$A$1:$C$1,),))</f>
        <v/>
      </c>
      <c r="D4206">
        <f>IFERROR(Table7[[#This Row],[United States 10y]]-Table7[[#This Row],[United States 3y]],#N/A)</f>
        <v/>
      </c>
    </row>
    <row r="4207">
      <c r="A4207" s="6">
        <f>Database!$A6292</f>
        <v/>
      </c>
      <c r="B4207">
        <f>IF(VLOOKUP(Table7[[#This Row],[Date]],Database!$A:$C,MATCH($B$1,Database!$A$1:$C$1,),)=0,#N/A,VLOOKUP(Table7[[#This Row],[Date]],Database!$A:$C,MATCH($B$1,Database!$A$1:$C$1,),))</f>
        <v/>
      </c>
      <c r="C4207">
        <f>IF(VLOOKUP(Table7[[#This Row],[Date]],Database!$A:$C,MATCH($C$1,Database!$A$1:$C$1,),)=0,#N/A,VLOOKUP(Table7[[#This Row],[Date]],Database!$A:$C,MATCH($C$1,Database!$A$1:$C$1,),))</f>
        <v/>
      </c>
      <c r="D4207">
        <f>IFERROR(Table7[[#This Row],[United States 10y]]-Table7[[#This Row],[United States 3y]],#N/A)</f>
        <v/>
      </c>
    </row>
    <row r="4208">
      <c r="A4208" s="6">
        <f>Database!$A6293</f>
        <v/>
      </c>
      <c r="B4208">
        <f>IF(VLOOKUP(Table7[[#This Row],[Date]],Database!$A:$C,MATCH($B$1,Database!$A$1:$C$1,),)=0,#N/A,VLOOKUP(Table7[[#This Row],[Date]],Database!$A:$C,MATCH($B$1,Database!$A$1:$C$1,),))</f>
        <v/>
      </c>
      <c r="C4208">
        <f>IF(VLOOKUP(Table7[[#This Row],[Date]],Database!$A:$C,MATCH($C$1,Database!$A$1:$C$1,),)=0,#N/A,VLOOKUP(Table7[[#This Row],[Date]],Database!$A:$C,MATCH($C$1,Database!$A$1:$C$1,),))</f>
        <v/>
      </c>
      <c r="D4208">
        <f>IFERROR(Table7[[#This Row],[United States 10y]]-Table7[[#This Row],[United States 3y]],#N/A)</f>
        <v/>
      </c>
    </row>
    <row r="4209">
      <c r="A4209" s="6">
        <f>Database!$A6294</f>
        <v/>
      </c>
      <c r="B4209">
        <f>IF(VLOOKUP(Table7[[#This Row],[Date]],Database!$A:$C,MATCH($B$1,Database!$A$1:$C$1,),)=0,#N/A,VLOOKUP(Table7[[#This Row],[Date]],Database!$A:$C,MATCH($B$1,Database!$A$1:$C$1,),))</f>
        <v/>
      </c>
      <c r="C4209">
        <f>IF(VLOOKUP(Table7[[#This Row],[Date]],Database!$A:$C,MATCH($C$1,Database!$A$1:$C$1,),)=0,#N/A,VLOOKUP(Table7[[#This Row],[Date]],Database!$A:$C,MATCH($C$1,Database!$A$1:$C$1,),))</f>
        <v/>
      </c>
      <c r="D4209">
        <f>IFERROR(Table7[[#This Row],[United States 10y]]-Table7[[#This Row],[United States 3y]],#N/A)</f>
        <v/>
      </c>
    </row>
    <row r="4210">
      <c r="A4210" s="6">
        <f>Database!$A6295</f>
        <v/>
      </c>
      <c r="B4210">
        <f>IF(VLOOKUP(Table7[[#This Row],[Date]],Database!$A:$C,MATCH($B$1,Database!$A$1:$C$1,),)=0,#N/A,VLOOKUP(Table7[[#This Row],[Date]],Database!$A:$C,MATCH($B$1,Database!$A$1:$C$1,),))</f>
        <v/>
      </c>
      <c r="C4210">
        <f>IF(VLOOKUP(Table7[[#This Row],[Date]],Database!$A:$C,MATCH($C$1,Database!$A$1:$C$1,),)=0,#N/A,VLOOKUP(Table7[[#This Row],[Date]],Database!$A:$C,MATCH($C$1,Database!$A$1:$C$1,),))</f>
        <v/>
      </c>
      <c r="D4210">
        <f>IFERROR(Table7[[#This Row],[United States 10y]]-Table7[[#This Row],[United States 3y]],#N/A)</f>
        <v/>
      </c>
    </row>
    <row r="4211">
      <c r="A4211" s="6">
        <f>Database!$A6296</f>
        <v/>
      </c>
      <c r="B4211">
        <f>IF(VLOOKUP(Table7[[#This Row],[Date]],Database!$A:$C,MATCH($B$1,Database!$A$1:$C$1,),)=0,#N/A,VLOOKUP(Table7[[#This Row],[Date]],Database!$A:$C,MATCH($B$1,Database!$A$1:$C$1,),))</f>
        <v/>
      </c>
      <c r="C4211">
        <f>IF(VLOOKUP(Table7[[#This Row],[Date]],Database!$A:$C,MATCH($C$1,Database!$A$1:$C$1,),)=0,#N/A,VLOOKUP(Table7[[#This Row],[Date]],Database!$A:$C,MATCH($C$1,Database!$A$1:$C$1,),))</f>
        <v/>
      </c>
      <c r="D4211">
        <f>IFERROR(Table7[[#This Row],[United States 10y]]-Table7[[#This Row],[United States 3y]],#N/A)</f>
        <v/>
      </c>
    </row>
    <row r="4212">
      <c r="A4212" s="6">
        <f>Database!$A6297</f>
        <v/>
      </c>
      <c r="B4212">
        <f>IF(VLOOKUP(Table7[[#This Row],[Date]],Database!$A:$C,MATCH($B$1,Database!$A$1:$C$1,),)=0,#N/A,VLOOKUP(Table7[[#This Row],[Date]],Database!$A:$C,MATCH($B$1,Database!$A$1:$C$1,),))</f>
        <v/>
      </c>
      <c r="C4212">
        <f>IF(VLOOKUP(Table7[[#This Row],[Date]],Database!$A:$C,MATCH($C$1,Database!$A$1:$C$1,),)=0,#N/A,VLOOKUP(Table7[[#This Row],[Date]],Database!$A:$C,MATCH($C$1,Database!$A$1:$C$1,),))</f>
        <v/>
      </c>
      <c r="D4212">
        <f>IFERROR(Table7[[#This Row],[United States 10y]]-Table7[[#This Row],[United States 3y]],#N/A)</f>
        <v/>
      </c>
    </row>
    <row r="4213">
      <c r="A4213" s="6">
        <f>Database!$A6298</f>
        <v/>
      </c>
      <c r="B4213">
        <f>IF(VLOOKUP(Table7[[#This Row],[Date]],Database!$A:$C,MATCH($B$1,Database!$A$1:$C$1,),)=0,#N/A,VLOOKUP(Table7[[#This Row],[Date]],Database!$A:$C,MATCH($B$1,Database!$A$1:$C$1,),))</f>
        <v/>
      </c>
      <c r="C4213">
        <f>IF(VLOOKUP(Table7[[#This Row],[Date]],Database!$A:$C,MATCH($C$1,Database!$A$1:$C$1,),)=0,#N/A,VLOOKUP(Table7[[#This Row],[Date]],Database!$A:$C,MATCH($C$1,Database!$A$1:$C$1,),))</f>
        <v/>
      </c>
      <c r="D4213">
        <f>IFERROR(Table7[[#This Row],[United States 10y]]-Table7[[#This Row],[United States 3y]],#N/A)</f>
        <v/>
      </c>
    </row>
    <row r="4214">
      <c r="A4214" s="6">
        <f>Database!$A6299</f>
        <v/>
      </c>
      <c r="B4214">
        <f>IF(VLOOKUP(Table7[[#This Row],[Date]],Database!$A:$C,MATCH($B$1,Database!$A$1:$C$1,),)=0,#N/A,VLOOKUP(Table7[[#This Row],[Date]],Database!$A:$C,MATCH($B$1,Database!$A$1:$C$1,),))</f>
        <v/>
      </c>
      <c r="C4214">
        <f>IF(VLOOKUP(Table7[[#This Row],[Date]],Database!$A:$C,MATCH($C$1,Database!$A$1:$C$1,),)=0,#N/A,VLOOKUP(Table7[[#This Row],[Date]],Database!$A:$C,MATCH($C$1,Database!$A$1:$C$1,),))</f>
        <v/>
      </c>
      <c r="D4214">
        <f>IFERROR(Table7[[#This Row],[United States 10y]]-Table7[[#This Row],[United States 3y]],#N/A)</f>
        <v/>
      </c>
    </row>
    <row r="4215">
      <c r="A4215" s="6">
        <f>Database!$A6300</f>
        <v/>
      </c>
      <c r="B4215">
        <f>IF(VLOOKUP(Table7[[#This Row],[Date]],Database!$A:$C,MATCH($B$1,Database!$A$1:$C$1,),)=0,#N/A,VLOOKUP(Table7[[#This Row],[Date]],Database!$A:$C,MATCH($B$1,Database!$A$1:$C$1,),))</f>
        <v/>
      </c>
      <c r="C4215">
        <f>IF(VLOOKUP(Table7[[#This Row],[Date]],Database!$A:$C,MATCH($C$1,Database!$A$1:$C$1,),)=0,#N/A,VLOOKUP(Table7[[#This Row],[Date]],Database!$A:$C,MATCH($C$1,Database!$A$1:$C$1,),))</f>
        <v/>
      </c>
      <c r="D4215">
        <f>IFERROR(Table7[[#This Row],[United States 10y]]-Table7[[#This Row],[United States 3y]],#N/A)</f>
        <v/>
      </c>
    </row>
    <row r="4216">
      <c r="A4216" s="6">
        <f>Database!$A6301</f>
        <v/>
      </c>
      <c r="B4216">
        <f>IF(VLOOKUP(Table7[[#This Row],[Date]],Database!$A:$C,MATCH($B$1,Database!$A$1:$C$1,),)=0,#N/A,VLOOKUP(Table7[[#This Row],[Date]],Database!$A:$C,MATCH($B$1,Database!$A$1:$C$1,),))</f>
        <v/>
      </c>
      <c r="C4216">
        <f>IF(VLOOKUP(Table7[[#This Row],[Date]],Database!$A:$C,MATCH($C$1,Database!$A$1:$C$1,),)=0,#N/A,VLOOKUP(Table7[[#This Row],[Date]],Database!$A:$C,MATCH($C$1,Database!$A$1:$C$1,),))</f>
        <v/>
      </c>
      <c r="D4216">
        <f>IFERROR(Table7[[#This Row],[United States 10y]]-Table7[[#This Row],[United States 3y]],#N/A)</f>
        <v/>
      </c>
    </row>
    <row r="4217">
      <c r="A4217" s="6">
        <f>Database!$A6302</f>
        <v/>
      </c>
      <c r="B4217">
        <f>IF(VLOOKUP(Table7[[#This Row],[Date]],Database!$A:$C,MATCH($B$1,Database!$A$1:$C$1,),)=0,#N/A,VLOOKUP(Table7[[#This Row],[Date]],Database!$A:$C,MATCH($B$1,Database!$A$1:$C$1,),))</f>
        <v/>
      </c>
      <c r="C4217">
        <f>IF(VLOOKUP(Table7[[#This Row],[Date]],Database!$A:$C,MATCH($C$1,Database!$A$1:$C$1,),)=0,#N/A,VLOOKUP(Table7[[#This Row],[Date]],Database!$A:$C,MATCH($C$1,Database!$A$1:$C$1,),))</f>
        <v/>
      </c>
      <c r="D4217">
        <f>IFERROR(Table7[[#This Row],[United States 10y]]-Table7[[#This Row],[United States 3y]],#N/A)</f>
        <v/>
      </c>
    </row>
    <row r="4218">
      <c r="A4218" s="6">
        <f>Database!$A6303</f>
        <v/>
      </c>
      <c r="B4218">
        <f>IF(VLOOKUP(Table7[[#This Row],[Date]],Database!$A:$C,MATCH($B$1,Database!$A$1:$C$1,),)=0,#N/A,VLOOKUP(Table7[[#This Row],[Date]],Database!$A:$C,MATCH($B$1,Database!$A$1:$C$1,),))</f>
        <v/>
      </c>
      <c r="C4218">
        <f>IF(VLOOKUP(Table7[[#This Row],[Date]],Database!$A:$C,MATCH($C$1,Database!$A$1:$C$1,),)=0,#N/A,VLOOKUP(Table7[[#This Row],[Date]],Database!$A:$C,MATCH($C$1,Database!$A$1:$C$1,),))</f>
        <v/>
      </c>
      <c r="D4218">
        <f>IFERROR(Table7[[#This Row],[United States 10y]]-Table7[[#This Row],[United States 3y]],#N/A)</f>
        <v/>
      </c>
    </row>
    <row r="4219">
      <c r="A4219" s="6">
        <f>Database!$A6304</f>
        <v/>
      </c>
      <c r="B4219">
        <f>IF(VLOOKUP(Table7[[#This Row],[Date]],Database!$A:$C,MATCH($B$1,Database!$A$1:$C$1,),)=0,#N/A,VLOOKUP(Table7[[#This Row],[Date]],Database!$A:$C,MATCH($B$1,Database!$A$1:$C$1,),))</f>
        <v/>
      </c>
      <c r="C4219">
        <f>IF(VLOOKUP(Table7[[#This Row],[Date]],Database!$A:$C,MATCH($C$1,Database!$A$1:$C$1,),)=0,#N/A,VLOOKUP(Table7[[#This Row],[Date]],Database!$A:$C,MATCH($C$1,Database!$A$1:$C$1,),))</f>
        <v/>
      </c>
      <c r="D4219">
        <f>IFERROR(Table7[[#This Row],[United States 10y]]-Table7[[#This Row],[United States 3y]],#N/A)</f>
        <v/>
      </c>
    </row>
    <row r="4220">
      <c r="A4220" s="6">
        <f>Database!$A6305</f>
        <v/>
      </c>
      <c r="B4220">
        <f>IF(VLOOKUP(Table7[[#This Row],[Date]],Database!$A:$C,MATCH($B$1,Database!$A$1:$C$1,),)=0,#N/A,VLOOKUP(Table7[[#This Row],[Date]],Database!$A:$C,MATCH($B$1,Database!$A$1:$C$1,),))</f>
        <v/>
      </c>
      <c r="C4220">
        <f>IF(VLOOKUP(Table7[[#This Row],[Date]],Database!$A:$C,MATCH($C$1,Database!$A$1:$C$1,),)=0,#N/A,VLOOKUP(Table7[[#This Row],[Date]],Database!$A:$C,MATCH($C$1,Database!$A$1:$C$1,),))</f>
        <v/>
      </c>
      <c r="D4220">
        <f>IFERROR(Table7[[#This Row],[United States 10y]]-Table7[[#This Row],[United States 3y]],#N/A)</f>
        <v/>
      </c>
    </row>
    <row r="4221">
      <c r="A4221" s="6">
        <f>Database!$A6306</f>
        <v/>
      </c>
      <c r="B4221">
        <f>IF(VLOOKUP(Table7[[#This Row],[Date]],Database!$A:$C,MATCH($B$1,Database!$A$1:$C$1,),)=0,#N/A,VLOOKUP(Table7[[#This Row],[Date]],Database!$A:$C,MATCH($B$1,Database!$A$1:$C$1,),))</f>
        <v/>
      </c>
      <c r="C4221">
        <f>IF(VLOOKUP(Table7[[#This Row],[Date]],Database!$A:$C,MATCH($C$1,Database!$A$1:$C$1,),)=0,#N/A,VLOOKUP(Table7[[#This Row],[Date]],Database!$A:$C,MATCH($C$1,Database!$A$1:$C$1,),))</f>
        <v/>
      </c>
      <c r="D4221">
        <f>IFERROR(Table7[[#This Row],[United States 10y]]-Table7[[#This Row],[United States 3y]],#N/A)</f>
        <v/>
      </c>
    </row>
    <row r="4222">
      <c r="A4222" s="6">
        <f>Database!$A6307</f>
        <v/>
      </c>
      <c r="B4222">
        <f>IF(VLOOKUP(Table7[[#This Row],[Date]],Database!$A:$C,MATCH($B$1,Database!$A$1:$C$1,),)=0,#N/A,VLOOKUP(Table7[[#This Row],[Date]],Database!$A:$C,MATCH($B$1,Database!$A$1:$C$1,),))</f>
        <v/>
      </c>
      <c r="C4222">
        <f>IF(VLOOKUP(Table7[[#This Row],[Date]],Database!$A:$C,MATCH($C$1,Database!$A$1:$C$1,),)=0,#N/A,VLOOKUP(Table7[[#This Row],[Date]],Database!$A:$C,MATCH($C$1,Database!$A$1:$C$1,),))</f>
        <v/>
      </c>
      <c r="D4222">
        <f>IFERROR(Table7[[#This Row],[United States 10y]]-Table7[[#This Row],[United States 3y]],#N/A)</f>
        <v/>
      </c>
    </row>
    <row r="4223">
      <c r="A4223" s="6">
        <f>Database!$A6308</f>
        <v/>
      </c>
      <c r="B4223">
        <f>IF(VLOOKUP(Table7[[#This Row],[Date]],Database!$A:$C,MATCH($B$1,Database!$A$1:$C$1,),)=0,#N/A,VLOOKUP(Table7[[#This Row],[Date]],Database!$A:$C,MATCH($B$1,Database!$A$1:$C$1,),))</f>
        <v/>
      </c>
      <c r="C4223">
        <f>IF(VLOOKUP(Table7[[#This Row],[Date]],Database!$A:$C,MATCH($C$1,Database!$A$1:$C$1,),)=0,#N/A,VLOOKUP(Table7[[#This Row],[Date]],Database!$A:$C,MATCH($C$1,Database!$A$1:$C$1,),))</f>
        <v/>
      </c>
      <c r="D4223">
        <f>IFERROR(Table7[[#This Row],[United States 10y]]-Table7[[#This Row],[United States 3y]],#N/A)</f>
        <v/>
      </c>
    </row>
    <row r="4224">
      <c r="A4224" s="6">
        <f>Database!$A6309</f>
        <v/>
      </c>
      <c r="B4224">
        <f>IF(VLOOKUP(Table7[[#This Row],[Date]],Database!$A:$C,MATCH($B$1,Database!$A$1:$C$1,),)=0,#N/A,VLOOKUP(Table7[[#This Row],[Date]],Database!$A:$C,MATCH($B$1,Database!$A$1:$C$1,),))</f>
        <v/>
      </c>
      <c r="C4224">
        <f>IF(VLOOKUP(Table7[[#This Row],[Date]],Database!$A:$C,MATCH($C$1,Database!$A$1:$C$1,),)=0,#N/A,VLOOKUP(Table7[[#This Row],[Date]],Database!$A:$C,MATCH($C$1,Database!$A$1:$C$1,),))</f>
        <v/>
      </c>
      <c r="D4224">
        <f>IFERROR(Table7[[#This Row],[United States 10y]]-Table7[[#This Row],[United States 3y]],#N/A)</f>
        <v/>
      </c>
    </row>
    <row r="4225">
      <c r="A4225" s="6">
        <f>Database!$A6310</f>
        <v/>
      </c>
      <c r="B4225">
        <f>IF(VLOOKUP(Table7[[#This Row],[Date]],Database!$A:$C,MATCH($B$1,Database!$A$1:$C$1,),)=0,#N/A,VLOOKUP(Table7[[#This Row],[Date]],Database!$A:$C,MATCH($B$1,Database!$A$1:$C$1,),))</f>
        <v/>
      </c>
      <c r="C4225">
        <f>IF(VLOOKUP(Table7[[#This Row],[Date]],Database!$A:$C,MATCH($C$1,Database!$A$1:$C$1,),)=0,#N/A,VLOOKUP(Table7[[#This Row],[Date]],Database!$A:$C,MATCH($C$1,Database!$A$1:$C$1,),))</f>
        <v/>
      </c>
      <c r="D4225">
        <f>IFERROR(Table7[[#This Row],[United States 10y]]-Table7[[#This Row],[United States 3y]],#N/A)</f>
        <v/>
      </c>
    </row>
    <row r="4226">
      <c r="A4226" s="6">
        <f>Database!$A6311</f>
        <v/>
      </c>
      <c r="B4226">
        <f>IF(VLOOKUP(Table7[[#This Row],[Date]],Database!$A:$C,MATCH($B$1,Database!$A$1:$C$1,),)=0,#N/A,VLOOKUP(Table7[[#This Row],[Date]],Database!$A:$C,MATCH($B$1,Database!$A$1:$C$1,),))</f>
        <v/>
      </c>
      <c r="C4226">
        <f>IF(VLOOKUP(Table7[[#This Row],[Date]],Database!$A:$C,MATCH($C$1,Database!$A$1:$C$1,),)=0,#N/A,VLOOKUP(Table7[[#This Row],[Date]],Database!$A:$C,MATCH($C$1,Database!$A$1:$C$1,),))</f>
        <v/>
      </c>
      <c r="D4226">
        <f>IFERROR(Table7[[#This Row],[United States 10y]]-Table7[[#This Row],[United States 3y]],#N/A)</f>
        <v/>
      </c>
    </row>
    <row r="4227">
      <c r="A4227" s="6">
        <f>Database!$A6312</f>
        <v/>
      </c>
      <c r="B4227">
        <f>IF(VLOOKUP(Table7[[#This Row],[Date]],Database!$A:$C,MATCH($B$1,Database!$A$1:$C$1,),)=0,#N/A,VLOOKUP(Table7[[#This Row],[Date]],Database!$A:$C,MATCH($B$1,Database!$A$1:$C$1,),))</f>
        <v/>
      </c>
      <c r="C4227">
        <f>IF(VLOOKUP(Table7[[#This Row],[Date]],Database!$A:$C,MATCH($C$1,Database!$A$1:$C$1,),)=0,#N/A,VLOOKUP(Table7[[#This Row],[Date]],Database!$A:$C,MATCH($C$1,Database!$A$1:$C$1,),))</f>
        <v/>
      </c>
      <c r="D4227">
        <f>IFERROR(Table7[[#This Row],[United States 10y]]-Table7[[#This Row],[United States 3y]],#N/A)</f>
        <v/>
      </c>
    </row>
    <row r="4228">
      <c r="A4228" s="6">
        <f>Database!$A6313</f>
        <v/>
      </c>
      <c r="B4228">
        <f>IF(VLOOKUP(Table7[[#This Row],[Date]],Database!$A:$C,MATCH($B$1,Database!$A$1:$C$1,),)=0,#N/A,VLOOKUP(Table7[[#This Row],[Date]],Database!$A:$C,MATCH($B$1,Database!$A$1:$C$1,),))</f>
        <v/>
      </c>
      <c r="C4228">
        <f>IF(VLOOKUP(Table7[[#This Row],[Date]],Database!$A:$C,MATCH($C$1,Database!$A$1:$C$1,),)=0,#N/A,VLOOKUP(Table7[[#This Row],[Date]],Database!$A:$C,MATCH($C$1,Database!$A$1:$C$1,),))</f>
        <v/>
      </c>
      <c r="D4228">
        <f>IFERROR(Table7[[#This Row],[United States 10y]]-Table7[[#This Row],[United States 3y]],#N/A)</f>
        <v/>
      </c>
    </row>
    <row r="4229">
      <c r="A4229" s="6">
        <f>Database!$A6314</f>
        <v/>
      </c>
      <c r="B4229">
        <f>IF(VLOOKUP(Table7[[#This Row],[Date]],Database!$A:$C,MATCH($B$1,Database!$A$1:$C$1,),)=0,#N/A,VLOOKUP(Table7[[#This Row],[Date]],Database!$A:$C,MATCH($B$1,Database!$A$1:$C$1,),))</f>
        <v/>
      </c>
      <c r="C4229">
        <f>IF(VLOOKUP(Table7[[#This Row],[Date]],Database!$A:$C,MATCH($C$1,Database!$A$1:$C$1,),)=0,#N/A,VLOOKUP(Table7[[#This Row],[Date]],Database!$A:$C,MATCH($C$1,Database!$A$1:$C$1,),))</f>
        <v/>
      </c>
      <c r="D4229">
        <f>IFERROR(Table7[[#This Row],[United States 10y]]-Table7[[#This Row],[United States 3y]],#N/A)</f>
        <v/>
      </c>
    </row>
    <row r="4230">
      <c r="A4230" s="6">
        <f>Database!$A6315</f>
        <v/>
      </c>
      <c r="B4230">
        <f>IF(VLOOKUP(Table7[[#This Row],[Date]],Database!$A:$C,MATCH($B$1,Database!$A$1:$C$1,),)=0,#N/A,VLOOKUP(Table7[[#This Row],[Date]],Database!$A:$C,MATCH($B$1,Database!$A$1:$C$1,),))</f>
        <v/>
      </c>
      <c r="C4230">
        <f>IF(VLOOKUP(Table7[[#This Row],[Date]],Database!$A:$C,MATCH($C$1,Database!$A$1:$C$1,),)=0,#N/A,VLOOKUP(Table7[[#This Row],[Date]],Database!$A:$C,MATCH($C$1,Database!$A$1:$C$1,),))</f>
        <v/>
      </c>
      <c r="D4230">
        <f>IFERROR(Table7[[#This Row],[United States 10y]]-Table7[[#This Row],[United States 3y]],#N/A)</f>
        <v/>
      </c>
    </row>
    <row r="4231">
      <c r="A4231" s="6">
        <f>Database!$A6316</f>
        <v/>
      </c>
      <c r="B4231">
        <f>IF(VLOOKUP(Table7[[#This Row],[Date]],Database!$A:$C,MATCH($B$1,Database!$A$1:$C$1,),)=0,#N/A,VLOOKUP(Table7[[#This Row],[Date]],Database!$A:$C,MATCH($B$1,Database!$A$1:$C$1,),))</f>
        <v/>
      </c>
      <c r="C4231">
        <f>IF(VLOOKUP(Table7[[#This Row],[Date]],Database!$A:$C,MATCH($C$1,Database!$A$1:$C$1,),)=0,#N/A,VLOOKUP(Table7[[#This Row],[Date]],Database!$A:$C,MATCH($C$1,Database!$A$1:$C$1,),))</f>
        <v/>
      </c>
      <c r="D4231">
        <f>IFERROR(Table7[[#This Row],[United States 10y]]-Table7[[#This Row],[United States 3y]],#N/A)</f>
        <v/>
      </c>
    </row>
    <row r="4232">
      <c r="A4232" s="6">
        <f>Database!$A6317</f>
        <v/>
      </c>
      <c r="B4232">
        <f>IF(VLOOKUP(Table7[[#This Row],[Date]],Database!$A:$C,MATCH($B$1,Database!$A$1:$C$1,),)=0,#N/A,VLOOKUP(Table7[[#This Row],[Date]],Database!$A:$C,MATCH($B$1,Database!$A$1:$C$1,),))</f>
        <v/>
      </c>
      <c r="C4232">
        <f>IF(VLOOKUP(Table7[[#This Row],[Date]],Database!$A:$C,MATCH($C$1,Database!$A$1:$C$1,),)=0,#N/A,VLOOKUP(Table7[[#This Row],[Date]],Database!$A:$C,MATCH($C$1,Database!$A$1:$C$1,),))</f>
        <v/>
      </c>
      <c r="D4232">
        <f>IFERROR(Table7[[#This Row],[United States 10y]]-Table7[[#This Row],[United States 3y]],#N/A)</f>
        <v/>
      </c>
    </row>
    <row r="4233">
      <c r="A4233" s="6">
        <f>Database!$A6318</f>
        <v/>
      </c>
      <c r="B4233">
        <f>IF(VLOOKUP(Table7[[#This Row],[Date]],Database!$A:$C,MATCH($B$1,Database!$A$1:$C$1,),)=0,#N/A,VLOOKUP(Table7[[#This Row],[Date]],Database!$A:$C,MATCH($B$1,Database!$A$1:$C$1,),))</f>
        <v/>
      </c>
      <c r="C4233">
        <f>IF(VLOOKUP(Table7[[#This Row],[Date]],Database!$A:$C,MATCH($C$1,Database!$A$1:$C$1,),)=0,#N/A,VLOOKUP(Table7[[#This Row],[Date]],Database!$A:$C,MATCH($C$1,Database!$A$1:$C$1,),))</f>
        <v/>
      </c>
      <c r="D4233">
        <f>IFERROR(Table7[[#This Row],[United States 10y]]-Table7[[#This Row],[United States 3y]],#N/A)</f>
        <v/>
      </c>
    </row>
    <row r="4234">
      <c r="A4234" s="6">
        <f>Database!$A6319</f>
        <v/>
      </c>
      <c r="B4234">
        <f>IF(VLOOKUP(Table7[[#This Row],[Date]],Database!$A:$C,MATCH($B$1,Database!$A$1:$C$1,),)=0,#N/A,VLOOKUP(Table7[[#This Row],[Date]],Database!$A:$C,MATCH($B$1,Database!$A$1:$C$1,),))</f>
        <v/>
      </c>
      <c r="C4234">
        <f>IF(VLOOKUP(Table7[[#This Row],[Date]],Database!$A:$C,MATCH($C$1,Database!$A$1:$C$1,),)=0,#N/A,VLOOKUP(Table7[[#This Row],[Date]],Database!$A:$C,MATCH($C$1,Database!$A$1:$C$1,),))</f>
        <v/>
      </c>
      <c r="D4234">
        <f>IFERROR(Table7[[#This Row],[United States 10y]]-Table7[[#This Row],[United States 3y]],#N/A)</f>
        <v/>
      </c>
    </row>
    <row r="4235">
      <c r="A4235" s="6">
        <f>Database!$A6320</f>
        <v/>
      </c>
      <c r="B4235">
        <f>IF(VLOOKUP(Table7[[#This Row],[Date]],Database!$A:$C,MATCH($B$1,Database!$A$1:$C$1,),)=0,#N/A,VLOOKUP(Table7[[#This Row],[Date]],Database!$A:$C,MATCH($B$1,Database!$A$1:$C$1,),))</f>
        <v/>
      </c>
      <c r="C4235">
        <f>IF(VLOOKUP(Table7[[#This Row],[Date]],Database!$A:$C,MATCH($C$1,Database!$A$1:$C$1,),)=0,#N/A,VLOOKUP(Table7[[#This Row],[Date]],Database!$A:$C,MATCH($C$1,Database!$A$1:$C$1,),))</f>
        <v/>
      </c>
      <c r="D4235">
        <f>IFERROR(Table7[[#This Row],[United States 10y]]-Table7[[#This Row],[United States 3y]],#N/A)</f>
        <v/>
      </c>
    </row>
    <row r="4236">
      <c r="A4236" s="6">
        <f>Database!$A6321</f>
        <v/>
      </c>
      <c r="B4236">
        <f>IF(VLOOKUP(Table7[[#This Row],[Date]],Database!$A:$C,MATCH($B$1,Database!$A$1:$C$1,),)=0,#N/A,VLOOKUP(Table7[[#This Row],[Date]],Database!$A:$C,MATCH($B$1,Database!$A$1:$C$1,),))</f>
        <v/>
      </c>
      <c r="C4236">
        <f>IF(VLOOKUP(Table7[[#This Row],[Date]],Database!$A:$C,MATCH($C$1,Database!$A$1:$C$1,),)=0,#N/A,VLOOKUP(Table7[[#This Row],[Date]],Database!$A:$C,MATCH($C$1,Database!$A$1:$C$1,),))</f>
        <v/>
      </c>
      <c r="D4236">
        <f>IFERROR(Table7[[#This Row],[United States 10y]]-Table7[[#This Row],[United States 3y]],#N/A)</f>
        <v/>
      </c>
    </row>
    <row r="4237">
      <c r="A4237" s="6">
        <f>Database!$A6322</f>
        <v/>
      </c>
      <c r="B4237">
        <f>IF(VLOOKUP(Table7[[#This Row],[Date]],Database!$A:$C,MATCH($B$1,Database!$A$1:$C$1,),)=0,#N/A,VLOOKUP(Table7[[#This Row],[Date]],Database!$A:$C,MATCH($B$1,Database!$A$1:$C$1,),))</f>
        <v/>
      </c>
      <c r="C4237">
        <f>IF(VLOOKUP(Table7[[#This Row],[Date]],Database!$A:$C,MATCH($C$1,Database!$A$1:$C$1,),)=0,#N/A,VLOOKUP(Table7[[#This Row],[Date]],Database!$A:$C,MATCH($C$1,Database!$A$1:$C$1,),))</f>
        <v/>
      </c>
      <c r="D4237">
        <f>IFERROR(Table7[[#This Row],[United States 10y]]-Table7[[#This Row],[United States 3y]],#N/A)</f>
        <v/>
      </c>
    </row>
    <row r="4238">
      <c r="A4238" s="6">
        <f>Database!$A6323</f>
        <v/>
      </c>
      <c r="B4238">
        <f>IF(VLOOKUP(Table7[[#This Row],[Date]],Database!$A:$C,MATCH($B$1,Database!$A$1:$C$1,),)=0,#N/A,VLOOKUP(Table7[[#This Row],[Date]],Database!$A:$C,MATCH($B$1,Database!$A$1:$C$1,),))</f>
        <v/>
      </c>
      <c r="C4238">
        <f>IF(VLOOKUP(Table7[[#This Row],[Date]],Database!$A:$C,MATCH($C$1,Database!$A$1:$C$1,),)=0,#N/A,VLOOKUP(Table7[[#This Row],[Date]],Database!$A:$C,MATCH($C$1,Database!$A$1:$C$1,),))</f>
        <v/>
      </c>
      <c r="D4238">
        <f>IFERROR(Table7[[#This Row],[United States 10y]]-Table7[[#This Row],[United States 3y]],#N/A)</f>
        <v/>
      </c>
    </row>
    <row r="4239">
      <c r="A4239" s="6">
        <f>Database!$A6324</f>
        <v/>
      </c>
      <c r="B4239">
        <f>IF(VLOOKUP(Table7[[#This Row],[Date]],Database!$A:$C,MATCH($B$1,Database!$A$1:$C$1,),)=0,#N/A,VLOOKUP(Table7[[#This Row],[Date]],Database!$A:$C,MATCH($B$1,Database!$A$1:$C$1,),))</f>
        <v/>
      </c>
      <c r="C4239">
        <f>IF(VLOOKUP(Table7[[#This Row],[Date]],Database!$A:$C,MATCH($C$1,Database!$A$1:$C$1,),)=0,#N/A,VLOOKUP(Table7[[#This Row],[Date]],Database!$A:$C,MATCH($C$1,Database!$A$1:$C$1,),))</f>
        <v/>
      </c>
      <c r="D4239">
        <f>IFERROR(Table7[[#This Row],[United States 10y]]-Table7[[#This Row],[United States 3y]],#N/A)</f>
        <v/>
      </c>
    </row>
    <row r="4240">
      <c r="A4240" s="6">
        <f>Database!$A6325</f>
        <v/>
      </c>
      <c r="B4240">
        <f>IF(VLOOKUP(Table7[[#This Row],[Date]],Database!$A:$C,MATCH($B$1,Database!$A$1:$C$1,),)=0,#N/A,VLOOKUP(Table7[[#This Row],[Date]],Database!$A:$C,MATCH($B$1,Database!$A$1:$C$1,),))</f>
        <v/>
      </c>
      <c r="C4240">
        <f>IF(VLOOKUP(Table7[[#This Row],[Date]],Database!$A:$C,MATCH($C$1,Database!$A$1:$C$1,),)=0,#N/A,VLOOKUP(Table7[[#This Row],[Date]],Database!$A:$C,MATCH($C$1,Database!$A$1:$C$1,),))</f>
        <v/>
      </c>
      <c r="D4240">
        <f>IFERROR(Table7[[#This Row],[United States 10y]]-Table7[[#This Row],[United States 3y]],#N/A)</f>
        <v/>
      </c>
    </row>
    <row r="4241">
      <c r="A4241" s="6">
        <f>Database!$A6326</f>
        <v/>
      </c>
      <c r="B4241">
        <f>IF(VLOOKUP(Table7[[#This Row],[Date]],Database!$A:$C,MATCH($B$1,Database!$A$1:$C$1,),)=0,#N/A,VLOOKUP(Table7[[#This Row],[Date]],Database!$A:$C,MATCH($B$1,Database!$A$1:$C$1,),))</f>
        <v/>
      </c>
      <c r="C4241">
        <f>IF(VLOOKUP(Table7[[#This Row],[Date]],Database!$A:$C,MATCH($C$1,Database!$A$1:$C$1,),)=0,#N/A,VLOOKUP(Table7[[#This Row],[Date]],Database!$A:$C,MATCH($C$1,Database!$A$1:$C$1,),))</f>
        <v/>
      </c>
      <c r="D4241">
        <f>IFERROR(Table7[[#This Row],[United States 10y]]-Table7[[#This Row],[United States 3y]],#N/A)</f>
        <v/>
      </c>
    </row>
    <row r="4242">
      <c r="A4242" s="6">
        <f>Database!$A6327</f>
        <v/>
      </c>
      <c r="B4242">
        <f>IF(VLOOKUP(Table7[[#This Row],[Date]],Database!$A:$C,MATCH($B$1,Database!$A$1:$C$1,),)=0,#N/A,VLOOKUP(Table7[[#This Row],[Date]],Database!$A:$C,MATCH($B$1,Database!$A$1:$C$1,),))</f>
        <v/>
      </c>
      <c r="C4242">
        <f>IF(VLOOKUP(Table7[[#This Row],[Date]],Database!$A:$C,MATCH($C$1,Database!$A$1:$C$1,),)=0,#N/A,VLOOKUP(Table7[[#This Row],[Date]],Database!$A:$C,MATCH($C$1,Database!$A$1:$C$1,),))</f>
        <v/>
      </c>
      <c r="D4242">
        <f>IFERROR(Table7[[#This Row],[United States 10y]]-Table7[[#This Row],[United States 3y]],#N/A)</f>
        <v/>
      </c>
    </row>
    <row r="4243">
      <c r="A4243" s="6">
        <f>Database!$A6328</f>
        <v/>
      </c>
      <c r="B4243">
        <f>IF(VLOOKUP(Table7[[#This Row],[Date]],Database!$A:$C,MATCH($B$1,Database!$A$1:$C$1,),)=0,#N/A,VLOOKUP(Table7[[#This Row],[Date]],Database!$A:$C,MATCH($B$1,Database!$A$1:$C$1,),))</f>
        <v/>
      </c>
      <c r="C4243">
        <f>IF(VLOOKUP(Table7[[#This Row],[Date]],Database!$A:$C,MATCH($C$1,Database!$A$1:$C$1,),)=0,#N/A,VLOOKUP(Table7[[#This Row],[Date]],Database!$A:$C,MATCH($C$1,Database!$A$1:$C$1,),))</f>
        <v/>
      </c>
      <c r="D4243">
        <f>IFERROR(Table7[[#This Row],[United States 10y]]-Table7[[#This Row],[United States 3y]],#N/A)</f>
        <v/>
      </c>
    </row>
    <row r="4244">
      <c r="A4244" s="6">
        <f>Database!$A6329</f>
        <v/>
      </c>
      <c r="B4244">
        <f>IF(VLOOKUP(Table7[[#This Row],[Date]],Database!$A:$C,MATCH($B$1,Database!$A$1:$C$1,),)=0,#N/A,VLOOKUP(Table7[[#This Row],[Date]],Database!$A:$C,MATCH($B$1,Database!$A$1:$C$1,),))</f>
        <v/>
      </c>
      <c r="C4244">
        <f>IF(VLOOKUP(Table7[[#This Row],[Date]],Database!$A:$C,MATCH($C$1,Database!$A$1:$C$1,),)=0,#N/A,VLOOKUP(Table7[[#This Row],[Date]],Database!$A:$C,MATCH($C$1,Database!$A$1:$C$1,),))</f>
        <v/>
      </c>
      <c r="D4244">
        <f>IFERROR(Table7[[#This Row],[United States 10y]]-Table7[[#This Row],[United States 3y]],#N/A)</f>
        <v/>
      </c>
    </row>
    <row r="4245">
      <c r="A4245" s="6">
        <f>Database!$A6330</f>
        <v/>
      </c>
      <c r="B4245">
        <f>IF(VLOOKUP(Table7[[#This Row],[Date]],Database!$A:$C,MATCH($B$1,Database!$A$1:$C$1,),)=0,#N/A,VLOOKUP(Table7[[#This Row],[Date]],Database!$A:$C,MATCH($B$1,Database!$A$1:$C$1,),))</f>
        <v/>
      </c>
      <c r="C4245">
        <f>IF(VLOOKUP(Table7[[#This Row],[Date]],Database!$A:$C,MATCH($C$1,Database!$A$1:$C$1,),)=0,#N/A,VLOOKUP(Table7[[#This Row],[Date]],Database!$A:$C,MATCH($C$1,Database!$A$1:$C$1,),))</f>
        <v/>
      </c>
      <c r="D4245">
        <f>IFERROR(Table7[[#This Row],[United States 10y]]-Table7[[#This Row],[United States 3y]],#N/A)</f>
        <v/>
      </c>
    </row>
    <row r="4246">
      <c r="A4246" s="6">
        <f>Database!$A6331</f>
        <v/>
      </c>
      <c r="B4246">
        <f>IF(VLOOKUP(Table7[[#This Row],[Date]],Database!$A:$C,MATCH($B$1,Database!$A$1:$C$1,),)=0,#N/A,VLOOKUP(Table7[[#This Row],[Date]],Database!$A:$C,MATCH($B$1,Database!$A$1:$C$1,),))</f>
        <v/>
      </c>
      <c r="C4246">
        <f>IF(VLOOKUP(Table7[[#This Row],[Date]],Database!$A:$C,MATCH($C$1,Database!$A$1:$C$1,),)=0,#N/A,VLOOKUP(Table7[[#This Row],[Date]],Database!$A:$C,MATCH($C$1,Database!$A$1:$C$1,),))</f>
        <v/>
      </c>
      <c r="D4246">
        <f>IFERROR(Table7[[#This Row],[United States 10y]]-Table7[[#This Row],[United States 3y]],#N/A)</f>
        <v/>
      </c>
    </row>
    <row r="4247">
      <c r="A4247" s="6">
        <f>Database!$A6332</f>
        <v/>
      </c>
      <c r="B4247">
        <f>IF(VLOOKUP(Table7[[#This Row],[Date]],Database!$A:$C,MATCH($B$1,Database!$A$1:$C$1,),)=0,#N/A,VLOOKUP(Table7[[#This Row],[Date]],Database!$A:$C,MATCH($B$1,Database!$A$1:$C$1,),))</f>
        <v/>
      </c>
      <c r="C4247">
        <f>IF(VLOOKUP(Table7[[#This Row],[Date]],Database!$A:$C,MATCH($C$1,Database!$A$1:$C$1,),)=0,#N/A,VLOOKUP(Table7[[#This Row],[Date]],Database!$A:$C,MATCH($C$1,Database!$A$1:$C$1,),))</f>
        <v/>
      </c>
      <c r="D4247">
        <f>IFERROR(Table7[[#This Row],[United States 10y]]-Table7[[#This Row],[United States 3y]],#N/A)</f>
        <v/>
      </c>
    </row>
    <row r="4248">
      <c r="A4248" s="6">
        <f>Database!$A6333</f>
        <v/>
      </c>
      <c r="B4248">
        <f>IF(VLOOKUP(Table7[[#This Row],[Date]],Database!$A:$C,MATCH($B$1,Database!$A$1:$C$1,),)=0,#N/A,VLOOKUP(Table7[[#This Row],[Date]],Database!$A:$C,MATCH($B$1,Database!$A$1:$C$1,),))</f>
        <v/>
      </c>
      <c r="C4248">
        <f>IF(VLOOKUP(Table7[[#This Row],[Date]],Database!$A:$C,MATCH($C$1,Database!$A$1:$C$1,),)=0,#N/A,VLOOKUP(Table7[[#This Row],[Date]],Database!$A:$C,MATCH($C$1,Database!$A$1:$C$1,),))</f>
        <v/>
      </c>
      <c r="D4248">
        <f>IFERROR(Table7[[#This Row],[United States 10y]]-Table7[[#This Row],[United States 3y]],#N/A)</f>
        <v/>
      </c>
    </row>
    <row r="4249">
      <c r="A4249" s="6">
        <f>Database!$A6334</f>
        <v/>
      </c>
      <c r="B4249">
        <f>IF(VLOOKUP(Table7[[#This Row],[Date]],Database!$A:$C,MATCH($B$1,Database!$A$1:$C$1,),)=0,#N/A,VLOOKUP(Table7[[#This Row],[Date]],Database!$A:$C,MATCH($B$1,Database!$A$1:$C$1,),))</f>
        <v/>
      </c>
      <c r="C4249">
        <f>IF(VLOOKUP(Table7[[#This Row],[Date]],Database!$A:$C,MATCH($C$1,Database!$A$1:$C$1,),)=0,#N/A,VLOOKUP(Table7[[#This Row],[Date]],Database!$A:$C,MATCH($C$1,Database!$A$1:$C$1,),))</f>
        <v/>
      </c>
      <c r="D4249">
        <f>IFERROR(Table7[[#This Row],[United States 10y]]-Table7[[#This Row],[United States 3y]],#N/A)</f>
        <v/>
      </c>
    </row>
    <row r="4250">
      <c r="A4250" s="6">
        <f>Database!$A6335</f>
        <v/>
      </c>
      <c r="B4250">
        <f>IF(VLOOKUP(Table7[[#This Row],[Date]],Database!$A:$C,MATCH($B$1,Database!$A$1:$C$1,),)=0,#N/A,VLOOKUP(Table7[[#This Row],[Date]],Database!$A:$C,MATCH($B$1,Database!$A$1:$C$1,),))</f>
        <v/>
      </c>
      <c r="C4250">
        <f>IF(VLOOKUP(Table7[[#This Row],[Date]],Database!$A:$C,MATCH($C$1,Database!$A$1:$C$1,),)=0,#N/A,VLOOKUP(Table7[[#This Row],[Date]],Database!$A:$C,MATCH($C$1,Database!$A$1:$C$1,),))</f>
        <v/>
      </c>
      <c r="D4250">
        <f>IFERROR(Table7[[#This Row],[United States 10y]]-Table7[[#This Row],[United States 3y]],#N/A)</f>
        <v/>
      </c>
    </row>
    <row r="4251">
      <c r="A4251" s="6">
        <f>Database!$A6336</f>
        <v/>
      </c>
      <c r="B4251">
        <f>IF(VLOOKUP(Table7[[#This Row],[Date]],Database!$A:$C,MATCH($B$1,Database!$A$1:$C$1,),)=0,#N/A,VLOOKUP(Table7[[#This Row],[Date]],Database!$A:$C,MATCH($B$1,Database!$A$1:$C$1,),))</f>
        <v/>
      </c>
      <c r="C4251">
        <f>IF(VLOOKUP(Table7[[#This Row],[Date]],Database!$A:$C,MATCH($C$1,Database!$A$1:$C$1,),)=0,#N/A,VLOOKUP(Table7[[#This Row],[Date]],Database!$A:$C,MATCH($C$1,Database!$A$1:$C$1,),))</f>
        <v/>
      </c>
      <c r="D4251">
        <f>IFERROR(Table7[[#This Row],[United States 10y]]-Table7[[#This Row],[United States 3y]],#N/A)</f>
        <v/>
      </c>
    </row>
    <row r="4252">
      <c r="A4252" s="6">
        <f>Database!$A6337</f>
        <v/>
      </c>
      <c r="B4252">
        <f>IF(VLOOKUP(Table7[[#This Row],[Date]],Database!$A:$C,MATCH($B$1,Database!$A$1:$C$1,),)=0,#N/A,VLOOKUP(Table7[[#This Row],[Date]],Database!$A:$C,MATCH($B$1,Database!$A$1:$C$1,),))</f>
        <v/>
      </c>
      <c r="C4252">
        <f>IF(VLOOKUP(Table7[[#This Row],[Date]],Database!$A:$C,MATCH($C$1,Database!$A$1:$C$1,),)=0,#N/A,VLOOKUP(Table7[[#This Row],[Date]],Database!$A:$C,MATCH($C$1,Database!$A$1:$C$1,),))</f>
        <v/>
      </c>
      <c r="D4252">
        <f>IFERROR(Table7[[#This Row],[United States 10y]]-Table7[[#This Row],[United States 3y]],#N/A)</f>
        <v/>
      </c>
    </row>
    <row r="4253">
      <c r="A4253" s="6">
        <f>Database!$A6338</f>
        <v/>
      </c>
      <c r="B4253">
        <f>IF(VLOOKUP(Table7[[#This Row],[Date]],Database!$A:$C,MATCH($B$1,Database!$A$1:$C$1,),)=0,#N/A,VLOOKUP(Table7[[#This Row],[Date]],Database!$A:$C,MATCH($B$1,Database!$A$1:$C$1,),))</f>
        <v/>
      </c>
      <c r="C4253">
        <f>IF(VLOOKUP(Table7[[#This Row],[Date]],Database!$A:$C,MATCH($C$1,Database!$A$1:$C$1,),)=0,#N/A,VLOOKUP(Table7[[#This Row],[Date]],Database!$A:$C,MATCH($C$1,Database!$A$1:$C$1,),))</f>
        <v/>
      </c>
      <c r="D4253">
        <f>IFERROR(Table7[[#This Row],[United States 10y]]-Table7[[#This Row],[United States 3y]],#N/A)</f>
        <v/>
      </c>
    </row>
    <row r="4254">
      <c r="A4254" s="6">
        <f>Database!$A6339</f>
        <v/>
      </c>
      <c r="B4254">
        <f>IF(VLOOKUP(Table7[[#This Row],[Date]],Database!$A:$C,MATCH($B$1,Database!$A$1:$C$1,),)=0,#N/A,VLOOKUP(Table7[[#This Row],[Date]],Database!$A:$C,MATCH($B$1,Database!$A$1:$C$1,),))</f>
        <v/>
      </c>
      <c r="C4254">
        <f>IF(VLOOKUP(Table7[[#This Row],[Date]],Database!$A:$C,MATCH($C$1,Database!$A$1:$C$1,),)=0,#N/A,VLOOKUP(Table7[[#This Row],[Date]],Database!$A:$C,MATCH($C$1,Database!$A$1:$C$1,),))</f>
        <v/>
      </c>
      <c r="D4254">
        <f>IFERROR(Table7[[#This Row],[United States 10y]]-Table7[[#This Row],[United States 3y]],#N/A)</f>
        <v/>
      </c>
    </row>
    <row r="4255">
      <c r="A4255" s="6">
        <f>Database!$A6340</f>
        <v/>
      </c>
      <c r="B4255">
        <f>IF(VLOOKUP(Table7[[#This Row],[Date]],Database!$A:$C,MATCH($B$1,Database!$A$1:$C$1,),)=0,#N/A,VLOOKUP(Table7[[#This Row],[Date]],Database!$A:$C,MATCH($B$1,Database!$A$1:$C$1,),))</f>
        <v/>
      </c>
      <c r="C4255">
        <f>IF(VLOOKUP(Table7[[#This Row],[Date]],Database!$A:$C,MATCH($C$1,Database!$A$1:$C$1,),)=0,#N/A,VLOOKUP(Table7[[#This Row],[Date]],Database!$A:$C,MATCH($C$1,Database!$A$1:$C$1,),))</f>
        <v/>
      </c>
      <c r="D4255">
        <f>IFERROR(Table7[[#This Row],[United States 10y]]-Table7[[#This Row],[United States 3y]],#N/A)</f>
        <v/>
      </c>
    </row>
    <row r="4256">
      <c r="A4256" s="6">
        <f>Database!$A6341</f>
        <v/>
      </c>
      <c r="B4256">
        <f>IF(VLOOKUP(Table7[[#This Row],[Date]],Database!$A:$C,MATCH($B$1,Database!$A$1:$C$1,),)=0,#N/A,VLOOKUP(Table7[[#This Row],[Date]],Database!$A:$C,MATCH($B$1,Database!$A$1:$C$1,),))</f>
        <v/>
      </c>
      <c r="C4256">
        <f>IF(VLOOKUP(Table7[[#This Row],[Date]],Database!$A:$C,MATCH($C$1,Database!$A$1:$C$1,),)=0,#N/A,VLOOKUP(Table7[[#This Row],[Date]],Database!$A:$C,MATCH($C$1,Database!$A$1:$C$1,),))</f>
        <v/>
      </c>
      <c r="D4256">
        <f>IFERROR(Table7[[#This Row],[United States 10y]]-Table7[[#This Row],[United States 3y]],#N/A)</f>
        <v/>
      </c>
    </row>
    <row r="4257">
      <c r="A4257" s="6">
        <f>Database!$A6342</f>
        <v/>
      </c>
      <c r="B4257">
        <f>IF(VLOOKUP(Table7[[#This Row],[Date]],Database!$A:$C,MATCH($B$1,Database!$A$1:$C$1,),)=0,#N/A,VLOOKUP(Table7[[#This Row],[Date]],Database!$A:$C,MATCH($B$1,Database!$A$1:$C$1,),))</f>
        <v/>
      </c>
      <c r="C4257">
        <f>IF(VLOOKUP(Table7[[#This Row],[Date]],Database!$A:$C,MATCH($C$1,Database!$A$1:$C$1,),)=0,#N/A,VLOOKUP(Table7[[#This Row],[Date]],Database!$A:$C,MATCH($C$1,Database!$A$1:$C$1,),))</f>
        <v/>
      </c>
      <c r="D4257">
        <f>IFERROR(Table7[[#This Row],[United States 10y]]-Table7[[#This Row],[United States 3y]],#N/A)</f>
        <v/>
      </c>
    </row>
    <row r="4258">
      <c r="A4258" s="6">
        <f>Database!$A6343</f>
        <v/>
      </c>
      <c r="B4258">
        <f>IF(VLOOKUP(Table7[[#This Row],[Date]],Database!$A:$C,MATCH($B$1,Database!$A$1:$C$1,),)=0,#N/A,VLOOKUP(Table7[[#This Row],[Date]],Database!$A:$C,MATCH($B$1,Database!$A$1:$C$1,),))</f>
        <v/>
      </c>
      <c r="C4258">
        <f>IF(VLOOKUP(Table7[[#This Row],[Date]],Database!$A:$C,MATCH($C$1,Database!$A$1:$C$1,),)=0,#N/A,VLOOKUP(Table7[[#This Row],[Date]],Database!$A:$C,MATCH($C$1,Database!$A$1:$C$1,),))</f>
        <v/>
      </c>
      <c r="D4258">
        <f>IFERROR(Table7[[#This Row],[United States 10y]]-Table7[[#This Row],[United States 3y]],#N/A)</f>
        <v/>
      </c>
    </row>
    <row r="4259">
      <c r="A4259" s="6">
        <f>Database!$A6344</f>
        <v/>
      </c>
      <c r="B4259">
        <f>IF(VLOOKUP(Table7[[#This Row],[Date]],Database!$A:$C,MATCH($B$1,Database!$A$1:$C$1,),)=0,#N/A,VLOOKUP(Table7[[#This Row],[Date]],Database!$A:$C,MATCH($B$1,Database!$A$1:$C$1,),))</f>
        <v/>
      </c>
      <c r="C4259">
        <f>IF(VLOOKUP(Table7[[#This Row],[Date]],Database!$A:$C,MATCH($C$1,Database!$A$1:$C$1,),)=0,#N/A,VLOOKUP(Table7[[#This Row],[Date]],Database!$A:$C,MATCH($C$1,Database!$A$1:$C$1,),))</f>
        <v/>
      </c>
      <c r="D4259">
        <f>IFERROR(Table7[[#This Row],[United States 10y]]-Table7[[#This Row],[United States 3y]],#N/A)</f>
        <v/>
      </c>
    </row>
    <row r="4260">
      <c r="A4260" s="6">
        <f>Database!$A6345</f>
        <v/>
      </c>
      <c r="B4260">
        <f>IF(VLOOKUP(Table7[[#This Row],[Date]],Database!$A:$C,MATCH($B$1,Database!$A$1:$C$1,),)=0,#N/A,VLOOKUP(Table7[[#This Row],[Date]],Database!$A:$C,MATCH($B$1,Database!$A$1:$C$1,),))</f>
        <v/>
      </c>
      <c r="C4260">
        <f>IF(VLOOKUP(Table7[[#This Row],[Date]],Database!$A:$C,MATCH($C$1,Database!$A$1:$C$1,),)=0,#N/A,VLOOKUP(Table7[[#This Row],[Date]],Database!$A:$C,MATCH($C$1,Database!$A$1:$C$1,),))</f>
        <v/>
      </c>
      <c r="D4260">
        <f>IFERROR(Table7[[#This Row],[United States 10y]]-Table7[[#This Row],[United States 3y]],#N/A)</f>
        <v/>
      </c>
    </row>
    <row r="4261">
      <c r="A4261" s="6">
        <f>Database!$A6346</f>
        <v/>
      </c>
      <c r="B4261">
        <f>IF(VLOOKUP(Table7[[#This Row],[Date]],Database!$A:$C,MATCH($B$1,Database!$A$1:$C$1,),)=0,#N/A,VLOOKUP(Table7[[#This Row],[Date]],Database!$A:$C,MATCH($B$1,Database!$A$1:$C$1,),))</f>
        <v/>
      </c>
      <c r="C4261">
        <f>IF(VLOOKUP(Table7[[#This Row],[Date]],Database!$A:$C,MATCH($C$1,Database!$A$1:$C$1,),)=0,#N/A,VLOOKUP(Table7[[#This Row],[Date]],Database!$A:$C,MATCH($C$1,Database!$A$1:$C$1,),))</f>
        <v/>
      </c>
      <c r="D4261">
        <f>IFERROR(Table7[[#This Row],[United States 10y]]-Table7[[#This Row],[United States 3y]],#N/A)</f>
        <v/>
      </c>
    </row>
    <row r="4262">
      <c r="A4262" s="6">
        <f>Database!$A6347</f>
        <v/>
      </c>
      <c r="B4262">
        <f>IF(VLOOKUP(Table7[[#This Row],[Date]],Database!$A:$C,MATCH($B$1,Database!$A$1:$C$1,),)=0,#N/A,VLOOKUP(Table7[[#This Row],[Date]],Database!$A:$C,MATCH($B$1,Database!$A$1:$C$1,),))</f>
        <v/>
      </c>
      <c r="C4262">
        <f>IF(VLOOKUP(Table7[[#This Row],[Date]],Database!$A:$C,MATCH($C$1,Database!$A$1:$C$1,),)=0,#N/A,VLOOKUP(Table7[[#This Row],[Date]],Database!$A:$C,MATCH($C$1,Database!$A$1:$C$1,),))</f>
        <v/>
      </c>
      <c r="D4262">
        <f>IFERROR(Table7[[#This Row],[United States 10y]]-Table7[[#This Row],[United States 3y]],#N/A)</f>
        <v/>
      </c>
    </row>
    <row r="4263">
      <c r="A4263" s="6">
        <f>Database!$A6348</f>
        <v/>
      </c>
      <c r="B4263">
        <f>IF(VLOOKUP(Table7[[#This Row],[Date]],Database!$A:$C,MATCH($B$1,Database!$A$1:$C$1,),)=0,#N/A,VLOOKUP(Table7[[#This Row],[Date]],Database!$A:$C,MATCH($B$1,Database!$A$1:$C$1,),))</f>
        <v/>
      </c>
      <c r="C4263">
        <f>IF(VLOOKUP(Table7[[#This Row],[Date]],Database!$A:$C,MATCH($C$1,Database!$A$1:$C$1,),)=0,#N/A,VLOOKUP(Table7[[#This Row],[Date]],Database!$A:$C,MATCH($C$1,Database!$A$1:$C$1,),))</f>
        <v/>
      </c>
      <c r="D4263">
        <f>IFERROR(Table7[[#This Row],[United States 10y]]-Table7[[#This Row],[United States 3y]],#N/A)</f>
        <v/>
      </c>
    </row>
    <row r="4264">
      <c r="A4264" s="6">
        <f>Database!$A6349</f>
        <v/>
      </c>
      <c r="B4264">
        <f>IF(VLOOKUP(Table7[[#This Row],[Date]],Database!$A:$C,MATCH($B$1,Database!$A$1:$C$1,),)=0,#N/A,VLOOKUP(Table7[[#This Row],[Date]],Database!$A:$C,MATCH($B$1,Database!$A$1:$C$1,),))</f>
        <v/>
      </c>
      <c r="C4264">
        <f>IF(VLOOKUP(Table7[[#This Row],[Date]],Database!$A:$C,MATCH($C$1,Database!$A$1:$C$1,),)=0,#N/A,VLOOKUP(Table7[[#This Row],[Date]],Database!$A:$C,MATCH($C$1,Database!$A$1:$C$1,),))</f>
        <v/>
      </c>
      <c r="D4264">
        <f>IFERROR(Table7[[#This Row],[United States 10y]]-Table7[[#This Row],[United States 3y]],#N/A)</f>
        <v/>
      </c>
    </row>
    <row r="4265">
      <c r="A4265" s="6">
        <f>Database!$A6350</f>
        <v/>
      </c>
      <c r="B4265">
        <f>IF(VLOOKUP(Table7[[#This Row],[Date]],Database!$A:$C,MATCH($B$1,Database!$A$1:$C$1,),)=0,#N/A,VLOOKUP(Table7[[#This Row],[Date]],Database!$A:$C,MATCH($B$1,Database!$A$1:$C$1,),))</f>
        <v/>
      </c>
      <c r="C4265">
        <f>IF(VLOOKUP(Table7[[#This Row],[Date]],Database!$A:$C,MATCH($C$1,Database!$A$1:$C$1,),)=0,#N/A,VLOOKUP(Table7[[#This Row],[Date]],Database!$A:$C,MATCH($C$1,Database!$A$1:$C$1,),))</f>
        <v/>
      </c>
      <c r="D4265">
        <f>IFERROR(Table7[[#This Row],[United States 10y]]-Table7[[#This Row],[United States 3y]],#N/A)</f>
        <v/>
      </c>
    </row>
    <row r="4266">
      <c r="A4266" s="6">
        <f>Database!$A6351</f>
        <v/>
      </c>
      <c r="B4266">
        <f>IF(VLOOKUP(Table7[[#This Row],[Date]],Database!$A:$C,MATCH($B$1,Database!$A$1:$C$1,),)=0,#N/A,VLOOKUP(Table7[[#This Row],[Date]],Database!$A:$C,MATCH($B$1,Database!$A$1:$C$1,),))</f>
        <v/>
      </c>
      <c r="C4266">
        <f>IF(VLOOKUP(Table7[[#This Row],[Date]],Database!$A:$C,MATCH($C$1,Database!$A$1:$C$1,),)=0,#N/A,VLOOKUP(Table7[[#This Row],[Date]],Database!$A:$C,MATCH($C$1,Database!$A$1:$C$1,),))</f>
        <v/>
      </c>
      <c r="D4266">
        <f>IFERROR(Table7[[#This Row],[United States 10y]]-Table7[[#This Row],[United States 3y]],#N/A)</f>
        <v/>
      </c>
    </row>
    <row r="4267">
      <c r="A4267" s="6">
        <f>Database!$A6352</f>
        <v/>
      </c>
      <c r="B4267">
        <f>IF(VLOOKUP(Table7[[#This Row],[Date]],Database!$A:$C,MATCH($B$1,Database!$A$1:$C$1,),)=0,#N/A,VLOOKUP(Table7[[#This Row],[Date]],Database!$A:$C,MATCH($B$1,Database!$A$1:$C$1,),))</f>
        <v/>
      </c>
      <c r="C4267">
        <f>IF(VLOOKUP(Table7[[#This Row],[Date]],Database!$A:$C,MATCH($C$1,Database!$A$1:$C$1,),)=0,#N/A,VLOOKUP(Table7[[#This Row],[Date]],Database!$A:$C,MATCH($C$1,Database!$A$1:$C$1,),))</f>
        <v/>
      </c>
      <c r="D4267">
        <f>IFERROR(Table7[[#This Row],[United States 10y]]-Table7[[#This Row],[United States 3y]],#N/A)</f>
        <v/>
      </c>
    </row>
    <row r="4268">
      <c r="A4268" s="6">
        <f>Database!$A6353</f>
        <v/>
      </c>
      <c r="B4268">
        <f>IF(VLOOKUP(Table7[[#This Row],[Date]],Database!$A:$C,MATCH($B$1,Database!$A$1:$C$1,),)=0,#N/A,VLOOKUP(Table7[[#This Row],[Date]],Database!$A:$C,MATCH($B$1,Database!$A$1:$C$1,),))</f>
        <v/>
      </c>
      <c r="C4268">
        <f>IF(VLOOKUP(Table7[[#This Row],[Date]],Database!$A:$C,MATCH($C$1,Database!$A$1:$C$1,),)=0,#N/A,VLOOKUP(Table7[[#This Row],[Date]],Database!$A:$C,MATCH($C$1,Database!$A$1:$C$1,),))</f>
        <v/>
      </c>
      <c r="D4268">
        <f>IFERROR(Table7[[#This Row],[United States 10y]]-Table7[[#This Row],[United States 3y]],#N/A)</f>
        <v/>
      </c>
    </row>
    <row r="4269">
      <c r="A4269" s="6">
        <f>Database!$A6354</f>
        <v/>
      </c>
      <c r="B4269">
        <f>IF(VLOOKUP(Table7[[#This Row],[Date]],Database!$A:$C,MATCH($B$1,Database!$A$1:$C$1,),)=0,#N/A,VLOOKUP(Table7[[#This Row],[Date]],Database!$A:$C,MATCH($B$1,Database!$A$1:$C$1,),))</f>
        <v/>
      </c>
      <c r="C4269">
        <f>IF(VLOOKUP(Table7[[#This Row],[Date]],Database!$A:$C,MATCH($C$1,Database!$A$1:$C$1,),)=0,#N/A,VLOOKUP(Table7[[#This Row],[Date]],Database!$A:$C,MATCH($C$1,Database!$A$1:$C$1,),))</f>
        <v/>
      </c>
      <c r="D4269">
        <f>IFERROR(Table7[[#This Row],[United States 10y]]-Table7[[#This Row],[United States 3y]],#N/A)</f>
        <v/>
      </c>
    </row>
    <row r="4270">
      <c r="A4270" s="6">
        <f>Database!$A6355</f>
        <v/>
      </c>
      <c r="B4270">
        <f>IF(VLOOKUP(Table7[[#This Row],[Date]],Database!$A:$C,MATCH($B$1,Database!$A$1:$C$1,),)=0,#N/A,VLOOKUP(Table7[[#This Row],[Date]],Database!$A:$C,MATCH($B$1,Database!$A$1:$C$1,),))</f>
        <v/>
      </c>
      <c r="C4270">
        <f>IF(VLOOKUP(Table7[[#This Row],[Date]],Database!$A:$C,MATCH($C$1,Database!$A$1:$C$1,),)=0,#N/A,VLOOKUP(Table7[[#This Row],[Date]],Database!$A:$C,MATCH($C$1,Database!$A$1:$C$1,),))</f>
        <v/>
      </c>
      <c r="D4270">
        <f>IFERROR(Table7[[#This Row],[United States 10y]]-Table7[[#This Row],[United States 3y]],#N/A)</f>
        <v/>
      </c>
    </row>
    <row r="4271">
      <c r="A4271" s="6">
        <f>Database!$A6356</f>
        <v/>
      </c>
      <c r="B4271">
        <f>IF(VLOOKUP(Table7[[#This Row],[Date]],Database!$A:$C,MATCH($B$1,Database!$A$1:$C$1,),)=0,#N/A,VLOOKUP(Table7[[#This Row],[Date]],Database!$A:$C,MATCH($B$1,Database!$A$1:$C$1,),))</f>
        <v/>
      </c>
      <c r="C4271">
        <f>IF(VLOOKUP(Table7[[#This Row],[Date]],Database!$A:$C,MATCH($C$1,Database!$A$1:$C$1,),)=0,#N/A,VLOOKUP(Table7[[#This Row],[Date]],Database!$A:$C,MATCH($C$1,Database!$A$1:$C$1,),))</f>
        <v/>
      </c>
      <c r="D4271">
        <f>IFERROR(Table7[[#This Row],[United States 10y]]-Table7[[#This Row],[United States 3y]],#N/A)</f>
        <v/>
      </c>
    </row>
    <row r="4272">
      <c r="A4272" s="6">
        <f>Database!$A6357</f>
        <v/>
      </c>
      <c r="B4272">
        <f>IF(VLOOKUP(Table7[[#This Row],[Date]],Database!$A:$C,MATCH($B$1,Database!$A$1:$C$1,),)=0,#N/A,VLOOKUP(Table7[[#This Row],[Date]],Database!$A:$C,MATCH($B$1,Database!$A$1:$C$1,),))</f>
        <v/>
      </c>
      <c r="C4272">
        <f>IF(VLOOKUP(Table7[[#This Row],[Date]],Database!$A:$C,MATCH($C$1,Database!$A$1:$C$1,),)=0,#N/A,VLOOKUP(Table7[[#This Row],[Date]],Database!$A:$C,MATCH($C$1,Database!$A$1:$C$1,),))</f>
        <v/>
      </c>
      <c r="D4272">
        <f>IFERROR(Table7[[#This Row],[United States 10y]]-Table7[[#This Row],[United States 3y]],#N/A)</f>
        <v/>
      </c>
    </row>
    <row r="4273">
      <c r="A4273" s="6">
        <f>Database!$A6358</f>
        <v/>
      </c>
      <c r="B4273">
        <f>IF(VLOOKUP(Table7[[#This Row],[Date]],Database!$A:$C,MATCH($B$1,Database!$A$1:$C$1,),)=0,#N/A,VLOOKUP(Table7[[#This Row],[Date]],Database!$A:$C,MATCH($B$1,Database!$A$1:$C$1,),))</f>
        <v/>
      </c>
      <c r="C4273">
        <f>IF(VLOOKUP(Table7[[#This Row],[Date]],Database!$A:$C,MATCH($C$1,Database!$A$1:$C$1,),)=0,#N/A,VLOOKUP(Table7[[#This Row],[Date]],Database!$A:$C,MATCH($C$1,Database!$A$1:$C$1,),))</f>
        <v/>
      </c>
      <c r="D4273">
        <f>IFERROR(Table7[[#This Row],[United States 10y]]-Table7[[#This Row],[United States 3y]],#N/A)</f>
        <v/>
      </c>
    </row>
    <row r="4274">
      <c r="A4274" s="6">
        <f>Database!$A6359</f>
        <v/>
      </c>
      <c r="B4274">
        <f>IF(VLOOKUP(Table7[[#This Row],[Date]],Database!$A:$C,MATCH($B$1,Database!$A$1:$C$1,),)=0,#N/A,VLOOKUP(Table7[[#This Row],[Date]],Database!$A:$C,MATCH($B$1,Database!$A$1:$C$1,),))</f>
        <v/>
      </c>
      <c r="C4274">
        <f>IF(VLOOKUP(Table7[[#This Row],[Date]],Database!$A:$C,MATCH($C$1,Database!$A$1:$C$1,),)=0,#N/A,VLOOKUP(Table7[[#This Row],[Date]],Database!$A:$C,MATCH($C$1,Database!$A$1:$C$1,),))</f>
        <v/>
      </c>
      <c r="D4274">
        <f>IFERROR(Table7[[#This Row],[United States 10y]]-Table7[[#This Row],[United States 3y]],#N/A)</f>
        <v/>
      </c>
    </row>
    <row r="4275">
      <c r="A4275" s="6">
        <f>Database!$A6360</f>
        <v/>
      </c>
      <c r="B4275">
        <f>IF(VLOOKUP(Table7[[#This Row],[Date]],Database!$A:$C,MATCH($B$1,Database!$A$1:$C$1,),)=0,#N/A,VLOOKUP(Table7[[#This Row],[Date]],Database!$A:$C,MATCH($B$1,Database!$A$1:$C$1,),))</f>
        <v/>
      </c>
      <c r="C4275">
        <f>IF(VLOOKUP(Table7[[#This Row],[Date]],Database!$A:$C,MATCH($C$1,Database!$A$1:$C$1,),)=0,#N/A,VLOOKUP(Table7[[#This Row],[Date]],Database!$A:$C,MATCH($C$1,Database!$A$1:$C$1,),))</f>
        <v/>
      </c>
      <c r="D4275">
        <f>IFERROR(Table7[[#This Row],[United States 10y]]-Table7[[#This Row],[United States 3y]],#N/A)</f>
        <v/>
      </c>
    </row>
    <row r="4276">
      <c r="A4276" s="6">
        <f>Database!$A6361</f>
        <v/>
      </c>
      <c r="B4276">
        <f>IF(VLOOKUP(Table7[[#This Row],[Date]],Database!$A:$C,MATCH($B$1,Database!$A$1:$C$1,),)=0,#N/A,VLOOKUP(Table7[[#This Row],[Date]],Database!$A:$C,MATCH($B$1,Database!$A$1:$C$1,),))</f>
        <v/>
      </c>
      <c r="C4276">
        <f>IF(VLOOKUP(Table7[[#This Row],[Date]],Database!$A:$C,MATCH($C$1,Database!$A$1:$C$1,),)=0,#N/A,VLOOKUP(Table7[[#This Row],[Date]],Database!$A:$C,MATCH($C$1,Database!$A$1:$C$1,),))</f>
        <v/>
      </c>
      <c r="D4276">
        <f>IFERROR(Table7[[#This Row],[United States 10y]]-Table7[[#This Row],[United States 3y]],#N/A)</f>
        <v/>
      </c>
    </row>
    <row r="4277">
      <c r="A4277" s="6">
        <f>Database!$A6362</f>
        <v/>
      </c>
      <c r="B4277">
        <f>IF(VLOOKUP(Table7[[#This Row],[Date]],Database!$A:$C,MATCH($B$1,Database!$A$1:$C$1,),)=0,#N/A,VLOOKUP(Table7[[#This Row],[Date]],Database!$A:$C,MATCH($B$1,Database!$A$1:$C$1,),))</f>
        <v/>
      </c>
      <c r="C4277">
        <f>IF(VLOOKUP(Table7[[#This Row],[Date]],Database!$A:$C,MATCH($C$1,Database!$A$1:$C$1,),)=0,#N/A,VLOOKUP(Table7[[#This Row],[Date]],Database!$A:$C,MATCH($C$1,Database!$A$1:$C$1,),))</f>
        <v/>
      </c>
      <c r="D4277">
        <f>IFERROR(Table7[[#This Row],[United States 10y]]-Table7[[#This Row],[United States 3y]],#N/A)</f>
        <v/>
      </c>
    </row>
    <row r="4278">
      <c r="A4278" s="6">
        <f>Database!$A6363</f>
        <v/>
      </c>
      <c r="B4278">
        <f>IF(VLOOKUP(Table7[[#This Row],[Date]],Database!$A:$C,MATCH($B$1,Database!$A$1:$C$1,),)=0,#N/A,VLOOKUP(Table7[[#This Row],[Date]],Database!$A:$C,MATCH($B$1,Database!$A$1:$C$1,),))</f>
        <v/>
      </c>
      <c r="C4278">
        <f>IF(VLOOKUP(Table7[[#This Row],[Date]],Database!$A:$C,MATCH($C$1,Database!$A$1:$C$1,),)=0,#N/A,VLOOKUP(Table7[[#This Row],[Date]],Database!$A:$C,MATCH($C$1,Database!$A$1:$C$1,),))</f>
        <v/>
      </c>
      <c r="D4278">
        <f>IFERROR(Table7[[#This Row],[United States 10y]]-Table7[[#This Row],[United States 3y]],#N/A)</f>
        <v/>
      </c>
    </row>
    <row r="4279">
      <c r="A4279" s="6">
        <f>Database!$A6364</f>
        <v/>
      </c>
      <c r="B4279">
        <f>IF(VLOOKUP(Table7[[#This Row],[Date]],Database!$A:$C,MATCH($B$1,Database!$A$1:$C$1,),)=0,#N/A,VLOOKUP(Table7[[#This Row],[Date]],Database!$A:$C,MATCH($B$1,Database!$A$1:$C$1,),))</f>
        <v/>
      </c>
      <c r="C4279">
        <f>IF(VLOOKUP(Table7[[#This Row],[Date]],Database!$A:$C,MATCH($C$1,Database!$A$1:$C$1,),)=0,#N/A,VLOOKUP(Table7[[#This Row],[Date]],Database!$A:$C,MATCH($C$1,Database!$A$1:$C$1,),))</f>
        <v/>
      </c>
      <c r="D4279">
        <f>IFERROR(Table7[[#This Row],[United States 10y]]-Table7[[#This Row],[United States 3y]],#N/A)</f>
        <v/>
      </c>
    </row>
    <row r="4280">
      <c r="A4280" s="6">
        <f>Database!$A6365</f>
        <v/>
      </c>
      <c r="B4280">
        <f>IF(VLOOKUP(Table7[[#This Row],[Date]],Database!$A:$C,MATCH($B$1,Database!$A$1:$C$1,),)=0,#N/A,VLOOKUP(Table7[[#This Row],[Date]],Database!$A:$C,MATCH($B$1,Database!$A$1:$C$1,),))</f>
        <v/>
      </c>
      <c r="C4280">
        <f>IF(VLOOKUP(Table7[[#This Row],[Date]],Database!$A:$C,MATCH($C$1,Database!$A$1:$C$1,),)=0,#N/A,VLOOKUP(Table7[[#This Row],[Date]],Database!$A:$C,MATCH($C$1,Database!$A$1:$C$1,),))</f>
        <v/>
      </c>
      <c r="D4280">
        <f>IFERROR(Table7[[#This Row],[United States 10y]]-Table7[[#This Row],[United States 3y]],#N/A)</f>
        <v/>
      </c>
    </row>
    <row r="4281">
      <c r="A4281" s="6">
        <f>Database!$A6366</f>
        <v/>
      </c>
      <c r="B4281">
        <f>IF(VLOOKUP(Table7[[#This Row],[Date]],Database!$A:$C,MATCH($B$1,Database!$A$1:$C$1,),)=0,#N/A,VLOOKUP(Table7[[#This Row],[Date]],Database!$A:$C,MATCH($B$1,Database!$A$1:$C$1,),))</f>
        <v/>
      </c>
      <c r="C4281">
        <f>IF(VLOOKUP(Table7[[#This Row],[Date]],Database!$A:$C,MATCH($C$1,Database!$A$1:$C$1,),)=0,#N/A,VLOOKUP(Table7[[#This Row],[Date]],Database!$A:$C,MATCH($C$1,Database!$A$1:$C$1,),))</f>
        <v/>
      </c>
      <c r="D4281">
        <f>IFERROR(Table7[[#This Row],[United States 10y]]-Table7[[#This Row],[United States 3y]],#N/A)</f>
        <v/>
      </c>
    </row>
    <row r="4282">
      <c r="A4282" s="6">
        <f>Database!$A6367</f>
        <v/>
      </c>
      <c r="B4282">
        <f>IF(VLOOKUP(Table7[[#This Row],[Date]],Database!$A:$C,MATCH($B$1,Database!$A$1:$C$1,),)=0,#N/A,VLOOKUP(Table7[[#This Row],[Date]],Database!$A:$C,MATCH($B$1,Database!$A$1:$C$1,),))</f>
        <v/>
      </c>
      <c r="C4282">
        <f>IF(VLOOKUP(Table7[[#This Row],[Date]],Database!$A:$C,MATCH($C$1,Database!$A$1:$C$1,),)=0,#N/A,VLOOKUP(Table7[[#This Row],[Date]],Database!$A:$C,MATCH($C$1,Database!$A$1:$C$1,),))</f>
        <v/>
      </c>
      <c r="D4282">
        <f>IFERROR(Table7[[#This Row],[United States 10y]]-Table7[[#This Row],[United States 3y]],#N/A)</f>
        <v/>
      </c>
    </row>
    <row r="4283">
      <c r="A4283" s="6">
        <f>Database!$A6368</f>
        <v/>
      </c>
      <c r="B4283">
        <f>IF(VLOOKUP(Table7[[#This Row],[Date]],Database!$A:$C,MATCH($B$1,Database!$A$1:$C$1,),)=0,#N/A,VLOOKUP(Table7[[#This Row],[Date]],Database!$A:$C,MATCH($B$1,Database!$A$1:$C$1,),))</f>
        <v/>
      </c>
      <c r="C4283">
        <f>IF(VLOOKUP(Table7[[#This Row],[Date]],Database!$A:$C,MATCH($C$1,Database!$A$1:$C$1,),)=0,#N/A,VLOOKUP(Table7[[#This Row],[Date]],Database!$A:$C,MATCH($C$1,Database!$A$1:$C$1,),))</f>
        <v/>
      </c>
      <c r="D4283">
        <f>IFERROR(Table7[[#This Row],[United States 10y]]-Table7[[#This Row],[United States 3y]],#N/A)</f>
        <v/>
      </c>
    </row>
    <row r="4284">
      <c r="A4284" s="6">
        <f>Database!$A6369</f>
        <v/>
      </c>
      <c r="B4284">
        <f>IF(VLOOKUP(Table7[[#This Row],[Date]],Database!$A:$C,MATCH($B$1,Database!$A$1:$C$1,),)=0,#N/A,VLOOKUP(Table7[[#This Row],[Date]],Database!$A:$C,MATCH($B$1,Database!$A$1:$C$1,),))</f>
        <v/>
      </c>
      <c r="C4284">
        <f>IF(VLOOKUP(Table7[[#This Row],[Date]],Database!$A:$C,MATCH($C$1,Database!$A$1:$C$1,),)=0,#N/A,VLOOKUP(Table7[[#This Row],[Date]],Database!$A:$C,MATCH($C$1,Database!$A$1:$C$1,),))</f>
        <v/>
      </c>
      <c r="D4284">
        <f>IFERROR(Table7[[#This Row],[United States 10y]]-Table7[[#This Row],[United States 3y]],#N/A)</f>
        <v/>
      </c>
    </row>
    <row r="4285">
      <c r="A4285" s="6">
        <f>Database!$A6370</f>
        <v/>
      </c>
      <c r="B4285">
        <f>IF(VLOOKUP(Table7[[#This Row],[Date]],Database!$A:$C,MATCH($B$1,Database!$A$1:$C$1,),)=0,#N/A,VLOOKUP(Table7[[#This Row],[Date]],Database!$A:$C,MATCH($B$1,Database!$A$1:$C$1,),))</f>
        <v/>
      </c>
      <c r="C4285">
        <f>IF(VLOOKUP(Table7[[#This Row],[Date]],Database!$A:$C,MATCH($C$1,Database!$A$1:$C$1,),)=0,#N/A,VLOOKUP(Table7[[#This Row],[Date]],Database!$A:$C,MATCH($C$1,Database!$A$1:$C$1,),))</f>
        <v/>
      </c>
      <c r="D4285">
        <f>IFERROR(Table7[[#This Row],[United States 10y]]-Table7[[#This Row],[United States 3y]],#N/A)</f>
        <v/>
      </c>
    </row>
    <row r="4286">
      <c r="A4286" s="6">
        <f>Database!$A6371</f>
        <v/>
      </c>
      <c r="B4286">
        <f>IF(VLOOKUP(Table7[[#This Row],[Date]],Database!$A:$C,MATCH($B$1,Database!$A$1:$C$1,),)=0,#N/A,VLOOKUP(Table7[[#This Row],[Date]],Database!$A:$C,MATCH($B$1,Database!$A$1:$C$1,),))</f>
        <v/>
      </c>
      <c r="C4286">
        <f>IF(VLOOKUP(Table7[[#This Row],[Date]],Database!$A:$C,MATCH($C$1,Database!$A$1:$C$1,),)=0,#N/A,VLOOKUP(Table7[[#This Row],[Date]],Database!$A:$C,MATCH($C$1,Database!$A$1:$C$1,),))</f>
        <v/>
      </c>
      <c r="D4286">
        <f>IFERROR(Table7[[#This Row],[United States 10y]]-Table7[[#This Row],[United States 3y]],#N/A)</f>
        <v/>
      </c>
    </row>
    <row r="4287">
      <c r="A4287" s="6">
        <f>Database!$A6372</f>
        <v/>
      </c>
      <c r="B4287">
        <f>IF(VLOOKUP(Table7[[#This Row],[Date]],Database!$A:$C,MATCH($B$1,Database!$A$1:$C$1,),)=0,#N/A,VLOOKUP(Table7[[#This Row],[Date]],Database!$A:$C,MATCH($B$1,Database!$A$1:$C$1,),))</f>
        <v/>
      </c>
      <c r="C4287">
        <f>IF(VLOOKUP(Table7[[#This Row],[Date]],Database!$A:$C,MATCH($C$1,Database!$A$1:$C$1,),)=0,#N/A,VLOOKUP(Table7[[#This Row],[Date]],Database!$A:$C,MATCH($C$1,Database!$A$1:$C$1,),))</f>
        <v/>
      </c>
      <c r="D4287">
        <f>IFERROR(Table7[[#This Row],[United States 10y]]-Table7[[#This Row],[United States 3y]],#N/A)</f>
        <v/>
      </c>
    </row>
    <row r="4288">
      <c r="A4288" s="6">
        <f>Database!$A6373</f>
        <v/>
      </c>
      <c r="B4288">
        <f>IF(VLOOKUP(Table7[[#This Row],[Date]],Database!$A:$C,MATCH($B$1,Database!$A$1:$C$1,),)=0,#N/A,VLOOKUP(Table7[[#This Row],[Date]],Database!$A:$C,MATCH($B$1,Database!$A$1:$C$1,),))</f>
        <v/>
      </c>
      <c r="C4288">
        <f>IF(VLOOKUP(Table7[[#This Row],[Date]],Database!$A:$C,MATCH($C$1,Database!$A$1:$C$1,),)=0,#N/A,VLOOKUP(Table7[[#This Row],[Date]],Database!$A:$C,MATCH($C$1,Database!$A$1:$C$1,),))</f>
        <v/>
      </c>
      <c r="D4288">
        <f>IFERROR(Table7[[#This Row],[United States 10y]]-Table7[[#This Row],[United States 3y]],#N/A)</f>
        <v/>
      </c>
    </row>
    <row r="4289">
      <c r="A4289" s="6">
        <f>Database!$A6374</f>
        <v/>
      </c>
      <c r="B4289">
        <f>IF(VLOOKUP(Table7[[#This Row],[Date]],Database!$A:$C,MATCH($B$1,Database!$A$1:$C$1,),)=0,#N/A,VLOOKUP(Table7[[#This Row],[Date]],Database!$A:$C,MATCH($B$1,Database!$A$1:$C$1,),))</f>
        <v/>
      </c>
      <c r="C4289">
        <f>IF(VLOOKUP(Table7[[#This Row],[Date]],Database!$A:$C,MATCH($C$1,Database!$A$1:$C$1,),)=0,#N/A,VLOOKUP(Table7[[#This Row],[Date]],Database!$A:$C,MATCH($C$1,Database!$A$1:$C$1,),))</f>
        <v/>
      </c>
      <c r="D4289">
        <f>IFERROR(Table7[[#This Row],[United States 10y]]-Table7[[#This Row],[United States 3y]],#N/A)</f>
        <v/>
      </c>
    </row>
    <row r="4290">
      <c r="A4290" s="6">
        <f>Database!$A6375</f>
        <v/>
      </c>
      <c r="B4290">
        <f>IF(VLOOKUP(Table7[[#This Row],[Date]],Database!$A:$C,MATCH($B$1,Database!$A$1:$C$1,),)=0,#N/A,VLOOKUP(Table7[[#This Row],[Date]],Database!$A:$C,MATCH($B$1,Database!$A$1:$C$1,),))</f>
        <v/>
      </c>
      <c r="C4290">
        <f>IF(VLOOKUP(Table7[[#This Row],[Date]],Database!$A:$C,MATCH($C$1,Database!$A$1:$C$1,),)=0,#N/A,VLOOKUP(Table7[[#This Row],[Date]],Database!$A:$C,MATCH($C$1,Database!$A$1:$C$1,),))</f>
        <v/>
      </c>
      <c r="D4290">
        <f>IFERROR(Table7[[#This Row],[United States 10y]]-Table7[[#This Row],[United States 3y]],#N/A)</f>
        <v/>
      </c>
    </row>
    <row r="4291">
      <c r="A4291" s="6">
        <f>Database!$A6376</f>
        <v/>
      </c>
      <c r="B4291">
        <f>IF(VLOOKUP(Table7[[#This Row],[Date]],Database!$A:$C,MATCH($B$1,Database!$A$1:$C$1,),)=0,#N/A,VLOOKUP(Table7[[#This Row],[Date]],Database!$A:$C,MATCH($B$1,Database!$A$1:$C$1,),))</f>
        <v/>
      </c>
      <c r="C4291">
        <f>IF(VLOOKUP(Table7[[#This Row],[Date]],Database!$A:$C,MATCH($C$1,Database!$A$1:$C$1,),)=0,#N/A,VLOOKUP(Table7[[#This Row],[Date]],Database!$A:$C,MATCH($C$1,Database!$A$1:$C$1,),))</f>
        <v/>
      </c>
      <c r="D4291">
        <f>IFERROR(Table7[[#This Row],[United States 10y]]-Table7[[#This Row],[United States 3y]],#N/A)</f>
        <v/>
      </c>
    </row>
    <row r="4292">
      <c r="A4292" s="6">
        <f>Database!$A6377</f>
        <v/>
      </c>
      <c r="B4292">
        <f>IF(VLOOKUP(Table7[[#This Row],[Date]],Database!$A:$C,MATCH($B$1,Database!$A$1:$C$1,),)=0,#N/A,VLOOKUP(Table7[[#This Row],[Date]],Database!$A:$C,MATCH($B$1,Database!$A$1:$C$1,),))</f>
        <v/>
      </c>
      <c r="C4292">
        <f>IF(VLOOKUP(Table7[[#This Row],[Date]],Database!$A:$C,MATCH($C$1,Database!$A$1:$C$1,),)=0,#N/A,VLOOKUP(Table7[[#This Row],[Date]],Database!$A:$C,MATCH($C$1,Database!$A$1:$C$1,),))</f>
        <v/>
      </c>
      <c r="D4292">
        <f>IFERROR(Table7[[#This Row],[United States 10y]]-Table7[[#This Row],[United States 3y]],#N/A)</f>
        <v/>
      </c>
    </row>
    <row r="4293">
      <c r="A4293" s="6">
        <f>Database!$A6378</f>
        <v/>
      </c>
      <c r="B4293">
        <f>IF(VLOOKUP(Table7[[#This Row],[Date]],Database!$A:$C,MATCH($B$1,Database!$A$1:$C$1,),)=0,#N/A,VLOOKUP(Table7[[#This Row],[Date]],Database!$A:$C,MATCH($B$1,Database!$A$1:$C$1,),))</f>
        <v/>
      </c>
      <c r="C4293">
        <f>IF(VLOOKUP(Table7[[#This Row],[Date]],Database!$A:$C,MATCH($C$1,Database!$A$1:$C$1,),)=0,#N/A,VLOOKUP(Table7[[#This Row],[Date]],Database!$A:$C,MATCH($C$1,Database!$A$1:$C$1,),))</f>
        <v/>
      </c>
      <c r="D4293">
        <f>IFERROR(Table7[[#This Row],[United States 10y]]-Table7[[#This Row],[United States 3y]],#N/A)</f>
        <v/>
      </c>
    </row>
    <row r="4294">
      <c r="A4294" s="6">
        <f>Database!$A6379</f>
        <v/>
      </c>
      <c r="B4294">
        <f>IF(VLOOKUP(Table7[[#This Row],[Date]],Database!$A:$C,MATCH($B$1,Database!$A$1:$C$1,),)=0,#N/A,VLOOKUP(Table7[[#This Row],[Date]],Database!$A:$C,MATCH($B$1,Database!$A$1:$C$1,),))</f>
        <v/>
      </c>
      <c r="C4294">
        <f>IF(VLOOKUP(Table7[[#This Row],[Date]],Database!$A:$C,MATCH($C$1,Database!$A$1:$C$1,),)=0,#N/A,VLOOKUP(Table7[[#This Row],[Date]],Database!$A:$C,MATCH($C$1,Database!$A$1:$C$1,),))</f>
        <v/>
      </c>
      <c r="D4294">
        <f>IFERROR(Table7[[#This Row],[United States 10y]]-Table7[[#This Row],[United States 3y]],#N/A)</f>
        <v/>
      </c>
    </row>
    <row r="4295">
      <c r="A4295" s="6">
        <f>Database!$A6380</f>
        <v/>
      </c>
      <c r="B4295">
        <f>IF(VLOOKUP(Table7[[#This Row],[Date]],Database!$A:$C,MATCH($B$1,Database!$A$1:$C$1,),)=0,#N/A,VLOOKUP(Table7[[#This Row],[Date]],Database!$A:$C,MATCH($B$1,Database!$A$1:$C$1,),))</f>
        <v/>
      </c>
      <c r="C4295">
        <f>IF(VLOOKUP(Table7[[#This Row],[Date]],Database!$A:$C,MATCH($C$1,Database!$A$1:$C$1,),)=0,#N/A,VLOOKUP(Table7[[#This Row],[Date]],Database!$A:$C,MATCH($C$1,Database!$A$1:$C$1,),))</f>
        <v/>
      </c>
      <c r="D4295">
        <f>IFERROR(Table7[[#This Row],[United States 10y]]-Table7[[#This Row],[United States 3y]],#N/A)</f>
        <v/>
      </c>
    </row>
    <row r="4296">
      <c r="A4296" s="6">
        <f>Database!$A6381</f>
        <v/>
      </c>
      <c r="B4296">
        <f>IF(VLOOKUP(Table7[[#This Row],[Date]],Database!$A:$C,MATCH($B$1,Database!$A$1:$C$1,),)=0,#N/A,VLOOKUP(Table7[[#This Row],[Date]],Database!$A:$C,MATCH($B$1,Database!$A$1:$C$1,),))</f>
        <v/>
      </c>
      <c r="C4296">
        <f>IF(VLOOKUP(Table7[[#This Row],[Date]],Database!$A:$C,MATCH($C$1,Database!$A$1:$C$1,),)=0,#N/A,VLOOKUP(Table7[[#This Row],[Date]],Database!$A:$C,MATCH($C$1,Database!$A$1:$C$1,),))</f>
        <v/>
      </c>
      <c r="D4296">
        <f>IFERROR(Table7[[#This Row],[United States 10y]]-Table7[[#This Row],[United States 3y]],#N/A)</f>
        <v/>
      </c>
    </row>
    <row r="4297">
      <c r="A4297" s="6">
        <f>Database!$A6382</f>
        <v/>
      </c>
      <c r="B4297">
        <f>IF(VLOOKUP(Table7[[#This Row],[Date]],Database!$A:$C,MATCH($B$1,Database!$A$1:$C$1,),)=0,#N/A,VLOOKUP(Table7[[#This Row],[Date]],Database!$A:$C,MATCH($B$1,Database!$A$1:$C$1,),))</f>
        <v/>
      </c>
      <c r="C4297">
        <f>IF(VLOOKUP(Table7[[#This Row],[Date]],Database!$A:$C,MATCH($C$1,Database!$A$1:$C$1,),)=0,#N/A,VLOOKUP(Table7[[#This Row],[Date]],Database!$A:$C,MATCH($C$1,Database!$A$1:$C$1,),))</f>
        <v/>
      </c>
      <c r="D4297">
        <f>IFERROR(Table7[[#This Row],[United States 10y]]-Table7[[#This Row],[United States 3y]],#N/A)</f>
        <v/>
      </c>
    </row>
    <row r="4298">
      <c r="A4298" s="6">
        <f>Database!$A6383</f>
        <v/>
      </c>
      <c r="B4298">
        <f>IF(VLOOKUP(Table7[[#This Row],[Date]],Database!$A:$C,MATCH($B$1,Database!$A$1:$C$1,),)=0,#N/A,VLOOKUP(Table7[[#This Row],[Date]],Database!$A:$C,MATCH($B$1,Database!$A$1:$C$1,),))</f>
        <v/>
      </c>
      <c r="C4298">
        <f>IF(VLOOKUP(Table7[[#This Row],[Date]],Database!$A:$C,MATCH($C$1,Database!$A$1:$C$1,),)=0,#N/A,VLOOKUP(Table7[[#This Row],[Date]],Database!$A:$C,MATCH($C$1,Database!$A$1:$C$1,),))</f>
        <v/>
      </c>
      <c r="D4298">
        <f>IFERROR(Table7[[#This Row],[United States 10y]]-Table7[[#This Row],[United States 3y]],#N/A)</f>
        <v/>
      </c>
    </row>
    <row r="4299">
      <c r="A4299" s="6">
        <f>Database!$A6384</f>
        <v/>
      </c>
      <c r="B4299">
        <f>IF(VLOOKUP(Table7[[#This Row],[Date]],Database!$A:$C,MATCH($B$1,Database!$A$1:$C$1,),)=0,#N/A,VLOOKUP(Table7[[#This Row],[Date]],Database!$A:$C,MATCH($B$1,Database!$A$1:$C$1,),))</f>
        <v/>
      </c>
      <c r="C4299">
        <f>IF(VLOOKUP(Table7[[#This Row],[Date]],Database!$A:$C,MATCH($C$1,Database!$A$1:$C$1,),)=0,#N/A,VLOOKUP(Table7[[#This Row],[Date]],Database!$A:$C,MATCH($C$1,Database!$A$1:$C$1,),))</f>
        <v/>
      </c>
      <c r="D4299">
        <f>IFERROR(Table7[[#This Row],[United States 10y]]-Table7[[#This Row],[United States 3y]],#N/A)</f>
        <v/>
      </c>
    </row>
    <row r="4300">
      <c r="A4300" s="6">
        <f>Database!$A6385</f>
        <v/>
      </c>
      <c r="B4300">
        <f>IF(VLOOKUP(Table7[[#This Row],[Date]],Database!$A:$C,MATCH($B$1,Database!$A$1:$C$1,),)=0,#N/A,VLOOKUP(Table7[[#This Row],[Date]],Database!$A:$C,MATCH($B$1,Database!$A$1:$C$1,),))</f>
        <v/>
      </c>
      <c r="C4300">
        <f>IF(VLOOKUP(Table7[[#This Row],[Date]],Database!$A:$C,MATCH($C$1,Database!$A$1:$C$1,),)=0,#N/A,VLOOKUP(Table7[[#This Row],[Date]],Database!$A:$C,MATCH($C$1,Database!$A$1:$C$1,),))</f>
        <v/>
      </c>
      <c r="D4300">
        <f>IFERROR(Table7[[#This Row],[United States 10y]]-Table7[[#This Row],[United States 3y]],#N/A)</f>
        <v/>
      </c>
    </row>
    <row r="4301">
      <c r="A4301" s="6">
        <f>Database!$A6386</f>
        <v/>
      </c>
      <c r="B4301">
        <f>IF(VLOOKUP(Table7[[#This Row],[Date]],Database!$A:$C,MATCH($B$1,Database!$A$1:$C$1,),)=0,#N/A,VLOOKUP(Table7[[#This Row],[Date]],Database!$A:$C,MATCH($B$1,Database!$A$1:$C$1,),))</f>
        <v/>
      </c>
      <c r="C4301">
        <f>IF(VLOOKUP(Table7[[#This Row],[Date]],Database!$A:$C,MATCH($C$1,Database!$A$1:$C$1,),)=0,#N/A,VLOOKUP(Table7[[#This Row],[Date]],Database!$A:$C,MATCH($C$1,Database!$A$1:$C$1,),))</f>
        <v/>
      </c>
      <c r="D4301">
        <f>IFERROR(Table7[[#This Row],[United States 10y]]-Table7[[#This Row],[United States 3y]],#N/A)</f>
        <v/>
      </c>
    </row>
    <row r="4302">
      <c r="A4302" s="6">
        <f>Database!$A6387</f>
        <v/>
      </c>
      <c r="B4302">
        <f>IF(VLOOKUP(Table7[[#This Row],[Date]],Database!$A:$C,MATCH($B$1,Database!$A$1:$C$1,),)=0,#N/A,VLOOKUP(Table7[[#This Row],[Date]],Database!$A:$C,MATCH($B$1,Database!$A$1:$C$1,),))</f>
        <v/>
      </c>
      <c r="C4302">
        <f>IF(VLOOKUP(Table7[[#This Row],[Date]],Database!$A:$C,MATCH($C$1,Database!$A$1:$C$1,),)=0,#N/A,VLOOKUP(Table7[[#This Row],[Date]],Database!$A:$C,MATCH($C$1,Database!$A$1:$C$1,),))</f>
        <v/>
      </c>
      <c r="D4302">
        <f>IFERROR(Table7[[#This Row],[United States 10y]]-Table7[[#This Row],[United States 3y]],#N/A)</f>
        <v/>
      </c>
    </row>
    <row r="4303">
      <c r="A4303" s="6">
        <f>Database!$A6388</f>
        <v/>
      </c>
      <c r="B4303">
        <f>IF(VLOOKUP(Table7[[#This Row],[Date]],Database!$A:$C,MATCH($B$1,Database!$A$1:$C$1,),)=0,#N/A,VLOOKUP(Table7[[#This Row],[Date]],Database!$A:$C,MATCH($B$1,Database!$A$1:$C$1,),))</f>
        <v/>
      </c>
      <c r="C4303">
        <f>IF(VLOOKUP(Table7[[#This Row],[Date]],Database!$A:$C,MATCH($C$1,Database!$A$1:$C$1,),)=0,#N/A,VLOOKUP(Table7[[#This Row],[Date]],Database!$A:$C,MATCH($C$1,Database!$A$1:$C$1,),))</f>
        <v/>
      </c>
      <c r="D4303">
        <f>IFERROR(Table7[[#This Row],[United States 10y]]-Table7[[#This Row],[United States 3y]],#N/A)</f>
        <v/>
      </c>
    </row>
    <row r="4304">
      <c r="A4304" s="6">
        <f>Database!$A6389</f>
        <v/>
      </c>
      <c r="B4304">
        <f>IF(VLOOKUP(Table7[[#This Row],[Date]],Database!$A:$C,MATCH($B$1,Database!$A$1:$C$1,),)=0,#N/A,VLOOKUP(Table7[[#This Row],[Date]],Database!$A:$C,MATCH($B$1,Database!$A$1:$C$1,),))</f>
        <v/>
      </c>
      <c r="C4304">
        <f>IF(VLOOKUP(Table7[[#This Row],[Date]],Database!$A:$C,MATCH($C$1,Database!$A$1:$C$1,),)=0,#N/A,VLOOKUP(Table7[[#This Row],[Date]],Database!$A:$C,MATCH($C$1,Database!$A$1:$C$1,),))</f>
        <v/>
      </c>
      <c r="D4304">
        <f>IFERROR(Table7[[#This Row],[United States 10y]]-Table7[[#This Row],[United States 3y]],#N/A)</f>
        <v/>
      </c>
    </row>
    <row r="4305">
      <c r="A4305" s="6">
        <f>Database!$A6390</f>
        <v/>
      </c>
      <c r="B4305">
        <f>IF(VLOOKUP(Table7[[#This Row],[Date]],Database!$A:$C,MATCH($B$1,Database!$A$1:$C$1,),)=0,#N/A,VLOOKUP(Table7[[#This Row],[Date]],Database!$A:$C,MATCH($B$1,Database!$A$1:$C$1,),))</f>
        <v/>
      </c>
      <c r="C4305">
        <f>IF(VLOOKUP(Table7[[#This Row],[Date]],Database!$A:$C,MATCH($C$1,Database!$A$1:$C$1,),)=0,#N/A,VLOOKUP(Table7[[#This Row],[Date]],Database!$A:$C,MATCH($C$1,Database!$A$1:$C$1,),))</f>
        <v/>
      </c>
      <c r="D4305">
        <f>IFERROR(Table7[[#This Row],[United States 10y]]-Table7[[#This Row],[United States 3y]],#N/A)</f>
        <v/>
      </c>
    </row>
    <row r="4306">
      <c r="A4306" s="6">
        <f>Database!$A6391</f>
        <v/>
      </c>
      <c r="B4306">
        <f>IF(VLOOKUP(Table7[[#This Row],[Date]],Database!$A:$C,MATCH($B$1,Database!$A$1:$C$1,),)=0,#N/A,VLOOKUP(Table7[[#This Row],[Date]],Database!$A:$C,MATCH($B$1,Database!$A$1:$C$1,),))</f>
        <v/>
      </c>
      <c r="C4306">
        <f>IF(VLOOKUP(Table7[[#This Row],[Date]],Database!$A:$C,MATCH($C$1,Database!$A$1:$C$1,),)=0,#N/A,VLOOKUP(Table7[[#This Row],[Date]],Database!$A:$C,MATCH($C$1,Database!$A$1:$C$1,),))</f>
        <v/>
      </c>
      <c r="D4306">
        <f>IFERROR(Table7[[#This Row],[United States 10y]]-Table7[[#This Row],[United States 3y]],#N/A)</f>
        <v/>
      </c>
    </row>
    <row r="4307">
      <c r="A4307" s="6">
        <f>Database!$A6392</f>
        <v/>
      </c>
      <c r="B4307">
        <f>IF(VLOOKUP(Table7[[#This Row],[Date]],Database!$A:$C,MATCH($B$1,Database!$A$1:$C$1,),)=0,#N/A,VLOOKUP(Table7[[#This Row],[Date]],Database!$A:$C,MATCH($B$1,Database!$A$1:$C$1,),))</f>
        <v/>
      </c>
      <c r="C4307">
        <f>IF(VLOOKUP(Table7[[#This Row],[Date]],Database!$A:$C,MATCH($C$1,Database!$A$1:$C$1,),)=0,#N/A,VLOOKUP(Table7[[#This Row],[Date]],Database!$A:$C,MATCH($C$1,Database!$A$1:$C$1,),))</f>
        <v/>
      </c>
      <c r="D4307">
        <f>IFERROR(Table7[[#This Row],[United States 10y]]-Table7[[#This Row],[United States 3y]],#N/A)</f>
        <v/>
      </c>
    </row>
    <row r="4308">
      <c r="A4308" s="6">
        <f>Database!$A6393</f>
        <v/>
      </c>
      <c r="B4308">
        <f>IF(VLOOKUP(Table7[[#This Row],[Date]],Database!$A:$C,MATCH($B$1,Database!$A$1:$C$1,),)=0,#N/A,VLOOKUP(Table7[[#This Row],[Date]],Database!$A:$C,MATCH($B$1,Database!$A$1:$C$1,),))</f>
        <v/>
      </c>
      <c r="C4308">
        <f>IF(VLOOKUP(Table7[[#This Row],[Date]],Database!$A:$C,MATCH($C$1,Database!$A$1:$C$1,),)=0,#N/A,VLOOKUP(Table7[[#This Row],[Date]],Database!$A:$C,MATCH($C$1,Database!$A$1:$C$1,),))</f>
        <v/>
      </c>
      <c r="D4308">
        <f>IFERROR(Table7[[#This Row],[United States 10y]]-Table7[[#This Row],[United States 3y]],#N/A)</f>
        <v/>
      </c>
    </row>
    <row r="4309">
      <c r="A4309" s="6">
        <f>Database!$A6394</f>
        <v/>
      </c>
      <c r="B4309">
        <f>IF(VLOOKUP(Table7[[#This Row],[Date]],Database!$A:$C,MATCH($B$1,Database!$A$1:$C$1,),)=0,#N/A,VLOOKUP(Table7[[#This Row],[Date]],Database!$A:$C,MATCH($B$1,Database!$A$1:$C$1,),))</f>
        <v/>
      </c>
      <c r="C4309">
        <f>IF(VLOOKUP(Table7[[#This Row],[Date]],Database!$A:$C,MATCH($C$1,Database!$A$1:$C$1,),)=0,#N/A,VLOOKUP(Table7[[#This Row],[Date]],Database!$A:$C,MATCH($C$1,Database!$A$1:$C$1,),))</f>
        <v/>
      </c>
      <c r="D4309">
        <f>IFERROR(Table7[[#This Row],[United States 10y]]-Table7[[#This Row],[United States 3y]],#N/A)</f>
        <v/>
      </c>
    </row>
    <row r="4310">
      <c r="A4310" s="6">
        <f>Database!$A6395</f>
        <v/>
      </c>
      <c r="B4310">
        <f>IF(VLOOKUP(Table7[[#This Row],[Date]],Database!$A:$C,MATCH($B$1,Database!$A$1:$C$1,),)=0,#N/A,VLOOKUP(Table7[[#This Row],[Date]],Database!$A:$C,MATCH($B$1,Database!$A$1:$C$1,),))</f>
        <v/>
      </c>
      <c r="C4310">
        <f>IF(VLOOKUP(Table7[[#This Row],[Date]],Database!$A:$C,MATCH($C$1,Database!$A$1:$C$1,),)=0,#N/A,VLOOKUP(Table7[[#This Row],[Date]],Database!$A:$C,MATCH($C$1,Database!$A$1:$C$1,),))</f>
        <v/>
      </c>
      <c r="D4310">
        <f>IFERROR(Table7[[#This Row],[United States 10y]]-Table7[[#This Row],[United States 3y]],#N/A)</f>
        <v/>
      </c>
    </row>
    <row r="4311">
      <c r="A4311" s="6">
        <f>Database!$A6396</f>
        <v/>
      </c>
      <c r="B4311">
        <f>IF(VLOOKUP(Table7[[#This Row],[Date]],Database!$A:$C,MATCH($B$1,Database!$A$1:$C$1,),)=0,#N/A,VLOOKUP(Table7[[#This Row],[Date]],Database!$A:$C,MATCH($B$1,Database!$A$1:$C$1,),))</f>
        <v/>
      </c>
      <c r="C4311">
        <f>IF(VLOOKUP(Table7[[#This Row],[Date]],Database!$A:$C,MATCH($C$1,Database!$A$1:$C$1,),)=0,#N/A,VLOOKUP(Table7[[#This Row],[Date]],Database!$A:$C,MATCH($C$1,Database!$A$1:$C$1,),))</f>
        <v/>
      </c>
      <c r="D4311">
        <f>IFERROR(Table7[[#This Row],[United States 10y]]-Table7[[#This Row],[United States 3y]],#N/A)</f>
        <v/>
      </c>
    </row>
    <row r="4312">
      <c r="A4312" s="6">
        <f>Database!$A6397</f>
        <v/>
      </c>
      <c r="B4312">
        <f>IF(VLOOKUP(Table7[[#This Row],[Date]],Database!$A:$C,MATCH($B$1,Database!$A$1:$C$1,),)=0,#N/A,VLOOKUP(Table7[[#This Row],[Date]],Database!$A:$C,MATCH($B$1,Database!$A$1:$C$1,),))</f>
        <v/>
      </c>
      <c r="C4312">
        <f>IF(VLOOKUP(Table7[[#This Row],[Date]],Database!$A:$C,MATCH($C$1,Database!$A$1:$C$1,),)=0,#N/A,VLOOKUP(Table7[[#This Row],[Date]],Database!$A:$C,MATCH($C$1,Database!$A$1:$C$1,),))</f>
        <v/>
      </c>
      <c r="D4312">
        <f>IFERROR(Table7[[#This Row],[United States 10y]]-Table7[[#This Row],[United States 3y]],#N/A)</f>
        <v/>
      </c>
    </row>
    <row r="4313">
      <c r="A4313" s="6">
        <f>Database!$A6398</f>
        <v/>
      </c>
      <c r="B4313">
        <f>IF(VLOOKUP(Table7[[#This Row],[Date]],Database!$A:$C,MATCH($B$1,Database!$A$1:$C$1,),)=0,#N/A,VLOOKUP(Table7[[#This Row],[Date]],Database!$A:$C,MATCH($B$1,Database!$A$1:$C$1,),))</f>
        <v/>
      </c>
      <c r="C4313">
        <f>IF(VLOOKUP(Table7[[#This Row],[Date]],Database!$A:$C,MATCH($C$1,Database!$A$1:$C$1,),)=0,#N/A,VLOOKUP(Table7[[#This Row],[Date]],Database!$A:$C,MATCH($C$1,Database!$A$1:$C$1,),))</f>
        <v/>
      </c>
      <c r="D4313">
        <f>IFERROR(Table7[[#This Row],[United States 10y]]-Table7[[#This Row],[United States 3y]],#N/A)</f>
        <v/>
      </c>
    </row>
    <row r="4314">
      <c r="A4314" s="6">
        <f>Database!$A6399</f>
        <v/>
      </c>
      <c r="B4314">
        <f>IF(VLOOKUP(Table7[[#This Row],[Date]],Database!$A:$C,MATCH($B$1,Database!$A$1:$C$1,),)=0,#N/A,VLOOKUP(Table7[[#This Row],[Date]],Database!$A:$C,MATCH($B$1,Database!$A$1:$C$1,),))</f>
        <v/>
      </c>
      <c r="C4314">
        <f>IF(VLOOKUP(Table7[[#This Row],[Date]],Database!$A:$C,MATCH($C$1,Database!$A$1:$C$1,),)=0,#N/A,VLOOKUP(Table7[[#This Row],[Date]],Database!$A:$C,MATCH($C$1,Database!$A$1:$C$1,),))</f>
        <v/>
      </c>
      <c r="D4314">
        <f>IFERROR(Table7[[#This Row],[United States 10y]]-Table7[[#This Row],[United States 3y]],#N/A)</f>
        <v/>
      </c>
    </row>
    <row r="4315">
      <c r="A4315" s="6">
        <f>Database!$A6400</f>
        <v/>
      </c>
      <c r="B4315">
        <f>IF(VLOOKUP(Table7[[#This Row],[Date]],Database!$A:$C,MATCH($B$1,Database!$A$1:$C$1,),)=0,#N/A,VLOOKUP(Table7[[#This Row],[Date]],Database!$A:$C,MATCH($B$1,Database!$A$1:$C$1,),))</f>
        <v/>
      </c>
      <c r="C4315">
        <f>IF(VLOOKUP(Table7[[#This Row],[Date]],Database!$A:$C,MATCH($C$1,Database!$A$1:$C$1,),)=0,#N/A,VLOOKUP(Table7[[#This Row],[Date]],Database!$A:$C,MATCH($C$1,Database!$A$1:$C$1,),))</f>
        <v/>
      </c>
      <c r="D4315">
        <f>IFERROR(Table7[[#This Row],[United States 10y]]-Table7[[#This Row],[United States 3y]],#N/A)</f>
        <v/>
      </c>
    </row>
    <row r="4316">
      <c r="A4316" s="6">
        <f>Database!$A6401</f>
        <v/>
      </c>
      <c r="B4316">
        <f>IF(VLOOKUP(Table7[[#This Row],[Date]],Database!$A:$C,MATCH($B$1,Database!$A$1:$C$1,),)=0,#N/A,VLOOKUP(Table7[[#This Row],[Date]],Database!$A:$C,MATCH($B$1,Database!$A$1:$C$1,),))</f>
        <v/>
      </c>
      <c r="C4316">
        <f>IF(VLOOKUP(Table7[[#This Row],[Date]],Database!$A:$C,MATCH($C$1,Database!$A$1:$C$1,),)=0,#N/A,VLOOKUP(Table7[[#This Row],[Date]],Database!$A:$C,MATCH($C$1,Database!$A$1:$C$1,),))</f>
        <v/>
      </c>
      <c r="D4316">
        <f>IFERROR(Table7[[#This Row],[United States 10y]]-Table7[[#This Row],[United States 3y]],#N/A)</f>
        <v/>
      </c>
    </row>
    <row r="4317">
      <c r="A4317" s="6">
        <f>Database!$A6402</f>
        <v/>
      </c>
      <c r="B4317">
        <f>IF(VLOOKUP(Table7[[#This Row],[Date]],Database!$A:$C,MATCH($B$1,Database!$A$1:$C$1,),)=0,#N/A,VLOOKUP(Table7[[#This Row],[Date]],Database!$A:$C,MATCH($B$1,Database!$A$1:$C$1,),))</f>
        <v/>
      </c>
      <c r="C4317">
        <f>IF(VLOOKUP(Table7[[#This Row],[Date]],Database!$A:$C,MATCH($C$1,Database!$A$1:$C$1,),)=0,#N/A,VLOOKUP(Table7[[#This Row],[Date]],Database!$A:$C,MATCH($C$1,Database!$A$1:$C$1,),))</f>
        <v/>
      </c>
      <c r="D4317">
        <f>IFERROR(Table7[[#This Row],[United States 10y]]-Table7[[#This Row],[United States 3y]],#N/A)</f>
        <v/>
      </c>
    </row>
    <row r="4318">
      <c r="A4318" s="6">
        <f>Database!$A6403</f>
        <v/>
      </c>
      <c r="B4318">
        <f>IF(VLOOKUP(Table7[[#This Row],[Date]],Database!$A:$C,MATCH($B$1,Database!$A$1:$C$1,),)=0,#N/A,VLOOKUP(Table7[[#This Row],[Date]],Database!$A:$C,MATCH($B$1,Database!$A$1:$C$1,),))</f>
        <v/>
      </c>
      <c r="C4318">
        <f>IF(VLOOKUP(Table7[[#This Row],[Date]],Database!$A:$C,MATCH($C$1,Database!$A$1:$C$1,),)=0,#N/A,VLOOKUP(Table7[[#This Row],[Date]],Database!$A:$C,MATCH($C$1,Database!$A$1:$C$1,),))</f>
        <v/>
      </c>
      <c r="D4318">
        <f>IFERROR(Table7[[#This Row],[United States 10y]]-Table7[[#This Row],[United States 3y]],#N/A)</f>
        <v/>
      </c>
    </row>
    <row r="4319">
      <c r="A4319" s="6">
        <f>Database!$A6404</f>
        <v/>
      </c>
      <c r="B4319">
        <f>IF(VLOOKUP(Table7[[#This Row],[Date]],Database!$A:$C,MATCH($B$1,Database!$A$1:$C$1,),)=0,#N/A,VLOOKUP(Table7[[#This Row],[Date]],Database!$A:$C,MATCH($B$1,Database!$A$1:$C$1,),))</f>
        <v/>
      </c>
      <c r="C4319">
        <f>IF(VLOOKUP(Table7[[#This Row],[Date]],Database!$A:$C,MATCH($C$1,Database!$A$1:$C$1,),)=0,#N/A,VLOOKUP(Table7[[#This Row],[Date]],Database!$A:$C,MATCH($C$1,Database!$A$1:$C$1,),))</f>
        <v/>
      </c>
      <c r="D4319">
        <f>IFERROR(Table7[[#This Row],[United States 10y]]-Table7[[#This Row],[United States 3y]],#N/A)</f>
        <v/>
      </c>
    </row>
    <row r="4320">
      <c r="A4320" s="6">
        <f>Database!$A6405</f>
        <v/>
      </c>
      <c r="B4320">
        <f>IF(VLOOKUP(Table7[[#This Row],[Date]],Database!$A:$C,MATCH($B$1,Database!$A$1:$C$1,),)=0,#N/A,VLOOKUP(Table7[[#This Row],[Date]],Database!$A:$C,MATCH($B$1,Database!$A$1:$C$1,),))</f>
        <v/>
      </c>
      <c r="C4320">
        <f>IF(VLOOKUP(Table7[[#This Row],[Date]],Database!$A:$C,MATCH($C$1,Database!$A$1:$C$1,),)=0,#N/A,VLOOKUP(Table7[[#This Row],[Date]],Database!$A:$C,MATCH($C$1,Database!$A$1:$C$1,),))</f>
        <v/>
      </c>
      <c r="D4320">
        <f>IFERROR(Table7[[#This Row],[United States 10y]]-Table7[[#This Row],[United States 3y]],#N/A)</f>
        <v/>
      </c>
    </row>
    <row r="4321">
      <c r="A4321" s="6">
        <f>Database!$A6406</f>
        <v/>
      </c>
      <c r="B4321">
        <f>IF(VLOOKUP(Table7[[#This Row],[Date]],Database!$A:$C,MATCH($B$1,Database!$A$1:$C$1,),)=0,#N/A,VLOOKUP(Table7[[#This Row],[Date]],Database!$A:$C,MATCH($B$1,Database!$A$1:$C$1,),))</f>
        <v/>
      </c>
      <c r="C4321">
        <f>IF(VLOOKUP(Table7[[#This Row],[Date]],Database!$A:$C,MATCH($C$1,Database!$A$1:$C$1,),)=0,#N/A,VLOOKUP(Table7[[#This Row],[Date]],Database!$A:$C,MATCH($C$1,Database!$A$1:$C$1,),))</f>
        <v/>
      </c>
      <c r="D4321">
        <f>IFERROR(Table7[[#This Row],[United States 10y]]-Table7[[#This Row],[United States 3y]],#N/A)</f>
        <v/>
      </c>
    </row>
    <row r="4322">
      <c r="A4322" s="6">
        <f>Database!$A6407</f>
        <v/>
      </c>
      <c r="B4322">
        <f>IF(VLOOKUP(Table7[[#This Row],[Date]],Database!$A:$C,MATCH($B$1,Database!$A$1:$C$1,),)=0,#N/A,VLOOKUP(Table7[[#This Row],[Date]],Database!$A:$C,MATCH($B$1,Database!$A$1:$C$1,),))</f>
        <v/>
      </c>
      <c r="C4322">
        <f>IF(VLOOKUP(Table7[[#This Row],[Date]],Database!$A:$C,MATCH($C$1,Database!$A$1:$C$1,),)=0,#N/A,VLOOKUP(Table7[[#This Row],[Date]],Database!$A:$C,MATCH($C$1,Database!$A$1:$C$1,),))</f>
        <v/>
      </c>
      <c r="D4322">
        <f>IFERROR(Table7[[#This Row],[United States 10y]]-Table7[[#This Row],[United States 3y]],#N/A)</f>
        <v/>
      </c>
    </row>
    <row r="4323">
      <c r="A4323" s="6">
        <f>Database!$A6408</f>
        <v/>
      </c>
      <c r="B4323">
        <f>IF(VLOOKUP(Table7[[#This Row],[Date]],Database!$A:$C,MATCH($B$1,Database!$A$1:$C$1,),)=0,#N/A,VLOOKUP(Table7[[#This Row],[Date]],Database!$A:$C,MATCH($B$1,Database!$A$1:$C$1,),))</f>
        <v/>
      </c>
      <c r="C4323">
        <f>IF(VLOOKUP(Table7[[#This Row],[Date]],Database!$A:$C,MATCH($C$1,Database!$A$1:$C$1,),)=0,#N/A,VLOOKUP(Table7[[#This Row],[Date]],Database!$A:$C,MATCH($C$1,Database!$A$1:$C$1,),))</f>
        <v/>
      </c>
      <c r="D4323">
        <f>IFERROR(Table7[[#This Row],[United States 10y]]-Table7[[#This Row],[United States 3y]],#N/A)</f>
        <v/>
      </c>
    </row>
    <row r="4324">
      <c r="A4324" s="6">
        <f>Database!$A6409</f>
        <v/>
      </c>
      <c r="B4324">
        <f>IF(VLOOKUP(Table7[[#This Row],[Date]],Database!$A:$C,MATCH($B$1,Database!$A$1:$C$1,),)=0,#N/A,VLOOKUP(Table7[[#This Row],[Date]],Database!$A:$C,MATCH($B$1,Database!$A$1:$C$1,),))</f>
        <v/>
      </c>
      <c r="C4324">
        <f>IF(VLOOKUP(Table7[[#This Row],[Date]],Database!$A:$C,MATCH($C$1,Database!$A$1:$C$1,),)=0,#N/A,VLOOKUP(Table7[[#This Row],[Date]],Database!$A:$C,MATCH($C$1,Database!$A$1:$C$1,),))</f>
        <v/>
      </c>
      <c r="D4324">
        <f>IFERROR(Table7[[#This Row],[United States 10y]]-Table7[[#This Row],[United States 3y]],#N/A)</f>
        <v/>
      </c>
    </row>
    <row r="4325">
      <c r="A4325" s="6">
        <f>Database!$A6410</f>
        <v/>
      </c>
      <c r="B4325">
        <f>IF(VLOOKUP(Table7[[#This Row],[Date]],Database!$A:$C,MATCH($B$1,Database!$A$1:$C$1,),)=0,#N/A,VLOOKUP(Table7[[#This Row],[Date]],Database!$A:$C,MATCH($B$1,Database!$A$1:$C$1,),))</f>
        <v/>
      </c>
      <c r="C4325">
        <f>IF(VLOOKUP(Table7[[#This Row],[Date]],Database!$A:$C,MATCH($C$1,Database!$A$1:$C$1,),)=0,#N/A,VLOOKUP(Table7[[#This Row],[Date]],Database!$A:$C,MATCH($C$1,Database!$A$1:$C$1,),))</f>
        <v/>
      </c>
      <c r="D4325">
        <f>IFERROR(Table7[[#This Row],[United States 10y]]-Table7[[#This Row],[United States 3y]],#N/A)</f>
        <v/>
      </c>
    </row>
    <row r="4326">
      <c r="A4326" s="6">
        <f>Database!$A6411</f>
        <v/>
      </c>
      <c r="B4326">
        <f>IF(VLOOKUP(Table7[[#This Row],[Date]],Database!$A:$C,MATCH($B$1,Database!$A$1:$C$1,),)=0,#N/A,VLOOKUP(Table7[[#This Row],[Date]],Database!$A:$C,MATCH($B$1,Database!$A$1:$C$1,),))</f>
        <v/>
      </c>
      <c r="C4326">
        <f>IF(VLOOKUP(Table7[[#This Row],[Date]],Database!$A:$C,MATCH($C$1,Database!$A$1:$C$1,),)=0,#N/A,VLOOKUP(Table7[[#This Row],[Date]],Database!$A:$C,MATCH($C$1,Database!$A$1:$C$1,),))</f>
        <v/>
      </c>
      <c r="D4326">
        <f>IFERROR(Table7[[#This Row],[United States 10y]]-Table7[[#This Row],[United States 3y]],#N/A)</f>
        <v/>
      </c>
    </row>
    <row r="4327">
      <c r="A4327" s="6">
        <f>Database!$A6412</f>
        <v/>
      </c>
      <c r="B4327">
        <f>IF(VLOOKUP(Table7[[#This Row],[Date]],Database!$A:$C,MATCH($B$1,Database!$A$1:$C$1,),)=0,#N/A,VLOOKUP(Table7[[#This Row],[Date]],Database!$A:$C,MATCH($B$1,Database!$A$1:$C$1,),))</f>
        <v/>
      </c>
      <c r="C4327">
        <f>IF(VLOOKUP(Table7[[#This Row],[Date]],Database!$A:$C,MATCH($C$1,Database!$A$1:$C$1,),)=0,#N/A,VLOOKUP(Table7[[#This Row],[Date]],Database!$A:$C,MATCH($C$1,Database!$A$1:$C$1,),))</f>
        <v/>
      </c>
      <c r="D4327">
        <f>IFERROR(Table7[[#This Row],[United States 10y]]-Table7[[#This Row],[United States 3y]],#N/A)</f>
        <v/>
      </c>
    </row>
    <row r="4328">
      <c r="A4328" s="6">
        <f>Database!$A6413</f>
        <v/>
      </c>
      <c r="B4328">
        <f>IF(VLOOKUP(Table7[[#This Row],[Date]],Database!$A:$C,MATCH($B$1,Database!$A$1:$C$1,),)=0,#N/A,VLOOKUP(Table7[[#This Row],[Date]],Database!$A:$C,MATCH($B$1,Database!$A$1:$C$1,),))</f>
        <v/>
      </c>
      <c r="C4328">
        <f>IF(VLOOKUP(Table7[[#This Row],[Date]],Database!$A:$C,MATCH($C$1,Database!$A$1:$C$1,),)=0,#N/A,VLOOKUP(Table7[[#This Row],[Date]],Database!$A:$C,MATCH($C$1,Database!$A$1:$C$1,),))</f>
        <v/>
      </c>
      <c r="D4328">
        <f>IFERROR(Table7[[#This Row],[United States 10y]]-Table7[[#This Row],[United States 3y]],#N/A)</f>
        <v/>
      </c>
    </row>
    <row r="4329">
      <c r="A4329" s="6">
        <f>Database!$A6414</f>
        <v/>
      </c>
      <c r="B4329">
        <f>IF(VLOOKUP(Table7[[#This Row],[Date]],Database!$A:$C,MATCH($B$1,Database!$A$1:$C$1,),)=0,#N/A,VLOOKUP(Table7[[#This Row],[Date]],Database!$A:$C,MATCH($B$1,Database!$A$1:$C$1,),))</f>
        <v/>
      </c>
      <c r="C4329">
        <f>IF(VLOOKUP(Table7[[#This Row],[Date]],Database!$A:$C,MATCH($C$1,Database!$A$1:$C$1,),)=0,#N/A,VLOOKUP(Table7[[#This Row],[Date]],Database!$A:$C,MATCH($C$1,Database!$A$1:$C$1,),))</f>
        <v/>
      </c>
      <c r="D4329">
        <f>IFERROR(Table7[[#This Row],[United States 10y]]-Table7[[#This Row],[United States 3y]],#N/A)</f>
        <v/>
      </c>
    </row>
    <row r="4330">
      <c r="A4330" s="6">
        <f>Database!$A6415</f>
        <v/>
      </c>
      <c r="B4330">
        <f>IF(VLOOKUP(Table7[[#This Row],[Date]],Database!$A:$C,MATCH($B$1,Database!$A$1:$C$1,),)=0,#N/A,VLOOKUP(Table7[[#This Row],[Date]],Database!$A:$C,MATCH($B$1,Database!$A$1:$C$1,),))</f>
        <v/>
      </c>
      <c r="C4330">
        <f>IF(VLOOKUP(Table7[[#This Row],[Date]],Database!$A:$C,MATCH($C$1,Database!$A$1:$C$1,),)=0,#N/A,VLOOKUP(Table7[[#This Row],[Date]],Database!$A:$C,MATCH($C$1,Database!$A$1:$C$1,),))</f>
        <v/>
      </c>
      <c r="D4330">
        <f>IFERROR(Table7[[#This Row],[United States 10y]]-Table7[[#This Row],[United States 3y]],#N/A)</f>
        <v/>
      </c>
    </row>
    <row r="4331">
      <c r="A4331" s="6">
        <f>Database!$A6416</f>
        <v/>
      </c>
      <c r="B4331">
        <f>IF(VLOOKUP(Table7[[#This Row],[Date]],Database!$A:$C,MATCH($B$1,Database!$A$1:$C$1,),)=0,#N/A,VLOOKUP(Table7[[#This Row],[Date]],Database!$A:$C,MATCH($B$1,Database!$A$1:$C$1,),))</f>
        <v/>
      </c>
      <c r="C4331">
        <f>IF(VLOOKUP(Table7[[#This Row],[Date]],Database!$A:$C,MATCH($C$1,Database!$A$1:$C$1,),)=0,#N/A,VLOOKUP(Table7[[#This Row],[Date]],Database!$A:$C,MATCH($C$1,Database!$A$1:$C$1,),))</f>
        <v/>
      </c>
      <c r="D4331">
        <f>IFERROR(Table7[[#This Row],[United States 10y]]-Table7[[#This Row],[United States 3y]],#N/A)</f>
        <v/>
      </c>
    </row>
    <row r="4332">
      <c r="A4332" s="6">
        <f>Database!$A6417</f>
        <v/>
      </c>
      <c r="B4332">
        <f>IF(VLOOKUP(Table7[[#This Row],[Date]],Database!$A:$C,MATCH($B$1,Database!$A$1:$C$1,),)=0,#N/A,VLOOKUP(Table7[[#This Row],[Date]],Database!$A:$C,MATCH($B$1,Database!$A$1:$C$1,),))</f>
        <v/>
      </c>
      <c r="C4332">
        <f>IF(VLOOKUP(Table7[[#This Row],[Date]],Database!$A:$C,MATCH($C$1,Database!$A$1:$C$1,),)=0,#N/A,VLOOKUP(Table7[[#This Row],[Date]],Database!$A:$C,MATCH($C$1,Database!$A$1:$C$1,),))</f>
        <v/>
      </c>
      <c r="D4332">
        <f>IFERROR(Table7[[#This Row],[United States 10y]]-Table7[[#This Row],[United States 3y]],#N/A)</f>
        <v/>
      </c>
    </row>
    <row r="4333">
      <c r="A4333" s="6">
        <f>Database!$A6418</f>
        <v/>
      </c>
      <c r="B4333">
        <f>IF(VLOOKUP(Table7[[#This Row],[Date]],Database!$A:$C,MATCH($B$1,Database!$A$1:$C$1,),)=0,#N/A,VLOOKUP(Table7[[#This Row],[Date]],Database!$A:$C,MATCH($B$1,Database!$A$1:$C$1,),))</f>
        <v/>
      </c>
      <c r="C4333">
        <f>IF(VLOOKUP(Table7[[#This Row],[Date]],Database!$A:$C,MATCH($C$1,Database!$A$1:$C$1,),)=0,#N/A,VLOOKUP(Table7[[#This Row],[Date]],Database!$A:$C,MATCH($C$1,Database!$A$1:$C$1,),))</f>
        <v/>
      </c>
      <c r="D4333">
        <f>IFERROR(Table7[[#This Row],[United States 10y]]-Table7[[#This Row],[United States 3y]],#N/A)</f>
        <v/>
      </c>
    </row>
    <row r="4334">
      <c r="A4334" s="6">
        <f>Database!$A6419</f>
        <v/>
      </c>
      <c r="B4334">
        <f>IF(VLOOKUP(Table7[[#This Row],[Date]],Database!$A:$C,MATCH($B$1,Database!$A$1:$C$1,),)=0,#N/A,VLOOKUP(Table7[[#This Row],[Date]],Database!$A:$C,MATCH($B$1,Database!$A$1:$C$1,),))</f>
        <v/>
      </c>
      <c r="C4334">
        <f>IF(VLOOKUP(Table7[[#This Row],[Date]],Database!$A:$C,MATCH($C$1,Database!$A$1:$C$1,),)=0,#N/A,VLOOKUP(Table7[[#This Row],[Date]],Database!$A:$C,MATCH($C$1,Database!$A$1:$C$1,),))</f>
        <v/>
      </c>
      <c r="D4334">
        <f>IFERROR(Table7[[#This Row],[United States 10y]]-Table7[[#This Row],[United States 3y]],#N/A)</f>
        <v/>
      </c>
    </row>
    <row r="4335">
      <c r="A4335" s="6">
        <f>Database!$A6420</f>
        <v/>
      </c>
      <c r="B4335">
        <f>IF(VLOOKUP(Table7[[#This Row],[Date]],Database!$A:$C,MATCH($B$1,Database!$A$1:$C$1,),)=0,#N/A,VLOOKUP(Table7[[#This Row],[Date]],Database!$A:$C,MATCH($B$1,Database!$A$1:$C$1,),))</f>
        <v/>
      </c>
      <c r="C4335">
        <f>IF(VLOOKUP(Table7[[#This Row],[Date]],Database!$A:$C,MATCH($C$1,Database!$A$1:$C$1,),)=0,#N/A,VLOOKUP(Table7[[#This Row],[Date]],Database!$A:$C,MATCH($C$1,Database!$A$1:$C$1,),))</f>
        <v/>
      </c>
      <c r="D4335">
        <f>IFERROR(Table7[[#This Row],[United States 10y]]-Table7[[#This Row],[United States 3y]],#N/A)</f>
        <v/>
      </c>
    </row>
    <row r="4336">
      <c r="A4336" s="6">
        <f>Database!$A6421</f>
        <v/>
      </c>
      <c r="B4336">
        <f>IF(VLOOKUP(Table7[[#This Row],[Date]],Database!$A:$C,MATCH($B$1,Database!$A$1:$C$1,),)=0,#N/A,VLOOKUP(Table7[[#This Row],[Date]],Database!$A:$C,MATCH($B$1,Database!$A$1:$C$1,),))</f>
        <v/>
      </c>
      <c r="C4336">
        <f>IF(VLOOKUP(Table7[[#This Row],[Date]],Database!$A:$C,MATCH($C$1,Database!$A$1:$C$1,),)=0,#N/A,VLOOKUP(Table7[[#This Row],[Date]],Database!$A:$C,MATCH($C$1,Database!$A$1:$C$1,),))</f>
        <v/>
      </c>
      <c r="D4336">
        <f>IFERROR(Table7[[#This Row],[United States 10y]]-Table7[[#This Row],[United States 3y]],#N/A)</f>
        <v/>
      </c>
    </row>
    <row r="4337">
      <c r="A4337" s="6">
        <f>Database!$A6422</f>
        <v/>
      </c>
      <c r="B4337">
        <f>IF(VLOOKUP(Table7[[#This Row],[Date]],Database!$A:$C,MATCH($B$1,Database!$A$1:$C$1,),)=0,#N/A,VLOOKUP(Table7[[#This Row],[Date]],Database!$A:$C,MATCH($B$1,Database!$A$1:$C$1,),))</f>
        <v/>
      </c>
      <c r="C4337">
        <f>IF(VLOOKUP(Table7[[#This Row],[Date]],Database!$A:$C,MATCH($C$1,Database!$A$1:$C$1,),)=0,#N/A,VLOOKUP(Table7[[#This Row],[Date]],Database!$A:$C,MATCH($C$1,Database!$A$1:$C$1,),))</f>
        <v/>
      </c>
      <c r="D4337">
        <f>IFERROR(Table7[[#This Row],[United States 10y]]-Table7[[#This Row],[United States 3y]],#N/A)</f>
        <v/>
      </c>
    </row>
    <row r="4338">
      <c r="A4338" s="6">
        <f>Database!$A6423</f>
        <v/>
      </c>
      <c r="B4338">
        <f>IF(VLOOKUP(Table7[[#This Row],[Date]],Database!$A:$C,MATCH($B$1,Database!$A$1:$C$1,),)=0,#N/A,VLOOKUP(Table7[[#This Row],[Date]],Database!$A:$C,MATCH($B$1,Database!$A$1:$C$1,),))</f>
        <v/>
      </c>
      <c r="C4338">
        <f>IF(VLOOKUP(Table7[[#This Row],[Date]],Database!$A:$C,MATCH($C$1,Database!$A$1:$C$1,),)=0,#N/A,VLOOKUP(Table7[[#This Row],[Date]],Database!$A:$C,MATCH($C$1,Database!$A$1:$C$1,),))</f>
        <v/>
      </c>
      <c r="D4338">
        <f>IFERROR(Table7[[#This Row],[United States 10y]]-Table7[[#This Row],[United States 3y]],#N/A)</f>
        <v/>
      </c>
    </row>
    <row r="4339">
      <c r="A4339" s="6">
        <f>Database!$A6424</f>
        <v/>
      </c>
      <c r="B4339">
        <f>IF(VLOOKUP(Table7[[#This Row],[Date]],Database!$A:$C,MATCH($B$1,Database!$A$1:$C$1,),)=0,#N/A,VLOOKUP(Table7[[#This Row],[Date]],Database!$A:$C,MATCH($B$1,Database!$A$1:$C$1,),))</f>
        <v/>
      </c>
      <c r="C4339">
        <f>IF(VLOOKUP(Table7[[#This Row],[Date]],Database!$A:$C,MATCH($C$1,Database!$A$1:$C$1,),)=0,#N/A,VLOOKUP(Table7[[#This Row],[Date]],Database!$A:$C,MATCH($C$1,Database!$A$1:$C$1,),))</f>
        <v/>
      </c>
      <c r="D4339">
        <f>IFERROR(Table7[[#This Row],[United States 10y]]-Table7[[#This Row],[United States 3y]],#N/A)</f>
        <v/>
      </c>
    </row>
    <row r="4340">
      <c r="A4340" s="6">
        <f>Database!$A6425</f>
        <v/>
      </c>
      <c r="B4340">
        <f>IF(VLOOKUP(Table7[[#This Row],[Date]],Database!$A:$C,MATCH($B$1,Database!$A$1:$C$1,),)=0,#N/A,VLOOKUP(Table7[[#This Row],[Date]],Database!$A:$C,MATCH($B$1,Database!$A$1:$C$1,),))</f>
        <v/>
      </c>
      <c r="C4340">
        <f>IF(VLOOKUP(Table7[[#This Row],[Date]],Database!$A:$C,MATCH($C$1,Database!$A$1:$C$1,),)=0,#N/A,VLOOKUP(Table7[[#This Row],[Date]],Database!$A:$C,MATCH($C$1,Database!$A$1:$C$1,),))</f>
        <v/>
      </c>
      <c r="D4340">
        <f>IFERROR(Table7[[#This Row],[United States 10y]]-Table7[[#This Row],[United States 3y]],#N/A)</f>
        <v/>
      </c>
    </row>
    <row r="4341">
      <c r="A4341" s="6">
        <f>Database!$A6426</f>
        <v/>
      </c>
      <c r="B4341">
        <f>IF(VLOOKUP(Table7[[#This Row],[Date]],Database!$A:$C,MATCH($B$1,Database!$A$1:$C$1,),)=0,#N/A,VLOOKUP(Table7[[#This Row],[Date]],Database!$A:$C,MATCH($B$1,Database!$A$1:$C$1,),))</f>
        <v/>
      </c>
      <c r="C4341">
        <f>IF(VLOOKUP(Table7[[#This Row],[Date]],Database!$A:$C,MATCH($C$1,Database!$A$1:$C$1,),)=0,#N/A,VLOOKUP(Table7[[#This Row],[Date]],Database!$A:$C,MATCH($C$1,Database!$A$1:$C$1,),))</f>
        <v/>
      </c>
      <c r="D4341">
        <f>IFERROR(Table7[[#This Row],[United States 10y]]-Table7[[#This Row],[United States 3y]],#N/A)</f>
        <v/>
      </c>
    </row>
    <row r="4342">
      <c r="A4342" s="6">
        <f>Database!$A6427</f>
        <v/>
      </c>
      <c r="B4342">
        <f>IF(VLOOKUP(Table7[[#This Row],[Date]],Database!$A:$C,MATCH($B$1,Database!$A$1:$C$1,),)=0,#N/A,VLOOKUP(Table7[[#This Row],[Date]],Database!$A:$C,MATCH($B$1,Database!$A$1:$C$1,),))</f>
        <v/>
      </c>
      <c r="C4342">
        <f>IF(VLOOKUP(Table7[[#This Row],[Date]],Database!$A:$C,MATCH($C$1,Database!$A$1:$C$1,),)=0,#N/A,VLOOKUP(Table7[[#This Row],[Date]],Database!$A:$C,MATCH($C$1,Database!$A$1:$C$1,),))</f>
        <v/>
      </c>
      <c r="D4342">
        <f>IFERROR(Table7[[#This Row],[United States 10y]]-Table7[[#This Row],[United States 3y]],#N/A)</f>
        <v/>
      </c>
    </row>
    <row r="4343">
      <c r="A4343" s="6">
        <f>Database!$A6428</f>
        <v/>
      </c>
      <c r="B4343">
        <f>IF(VLOOKUP(Table7[[#This Row],[Date]],Database!$A:$C,MATCH($B$1,Database!$A$1:$C$1,),)=0,#N/A,VLOOKUP(Table7[[#This Row],[Date]],Database!$A:$C,MATCH($B$1,Database!$A$1:$C$1,),))</f>
        <v/>
      </c>
      <c r="C4343">
        <f>IF(VLOOKUP(Table7[[#This Row],[Date]],Database!$A:$C,MATCH($C$1,Database!$A$1:$C$1,),)=0,#N/A,VLOOKUP(Table7[[#This Row],[Date]],Database!$A:$C,MATCH($C$1,Database!$A$1:$C$1,),))</f>
        <v/>
      </c>
      <c r="D4343">
        <f>IFERROR(Table7[[#This Row],[United States 10y]]-Table7[[#This Row],[United States 3y]],#N/A)</f>
        <v/>
      </c>
    </row>
    <row r="4344">
      <c r="A4344" s="6">
        <f>Database!$A6429</f>
        <v/>
      </c>
      <c r="B4344">
        <f>IF(VLOOKUP(Table7[[#This Row],[Date]],Database!$A:$C,MATCH($B$1,Database!$A$1:$C$1,),)=0,#N/A,VLOOKUP(Table7[[#This Row],[Date]],Database!$A:$C,MATCH($B$1,Database!$A$1:$C$1,),))</f>
        <v/>
      </c>
      <c r="C4344">
        <f>IF(VLOOKUP(Table7[[#This Row],[Date]],Database!$A:$C,MATCH($C$1,Database!$A$1:$C$1,),)=0,#N/A,VLOOKUP(Table7[[#This Row],[Date]],Database!$A:$C,MATCH($C$1,Database!$A$1:$C$1,),))</f>
        <v/>
      </c>
      <c r="D4344">
        <f>IFERROR(Table7[[#This Row],[United States 10y]]-Table7[[#This Row],[United States 3y]],#N/A)</f>
        <v/>
      </c>
    </row>
    <row r="4345">
      <c r="A4345" s="6">
        <f>Database!$A6430</f>
        <v/>
      </c>
      <c r="B4345">
        <f>IF(VLOOKUP(Table7[[#This Row],[Date]],Database!$A:$C,MATCH($B$1,Database!$A$1:$C$1,),)=0,#N/A,VLOOKUP(Table7[[#This Row],[Date]],Database!$A:$C,MATCH($B$1,Database!$A$1:$C$1,),))</f>
        <v/>
      </c>
      <c r="C4345">
        <f>IF(VLOOKUP(Table7[[#This Row],[Date]],Database!$A:$C,MATCH($C$1,Database!$A$1:$C$1,),)=0,#N/A,VLOOKUP(Table7[[#This Row],[Date]],Database!$A:$C,MATCH($C$1,Database!$A$1:$C$1,),))</f>
        <v/>
      </c>
      <c r="D4345">
        <f>IFERROR(Table7[[#This Row],[United States 10y]]-Table7[[#This Row],[United States 3y]],#N/A)</f>
        <v/>
      </c>
    </row>
    <row r="4346">
      <c r="A4346" s="6">
        <f>Database!$A6431</f>
        <v/>
      </c>
      <c r="B4346">
        <f>IF(VLOOKUP(Table7[[#This Row],[Date]],Database!$A:$C,MATCH($B$1,Database!$A$1:$C$1,),)=0,#N/A,VLOOKUP(Table7[[#This Row],[Date]],Database!$A:$C,MATCH($B$1,Database!$A$1:$C$1,),))</f>
        <v/>
      </c>
      <c r="C4346">
        <f>IF(VLOOKUP(Table7[[#This Row],[Date]],Database!$A:$C,MATCH($C$1,Database!$A$1:$C$1,),)=0,#N/A,VLOOKUP(Table7[[#This Row],[Date]],Database!$A:$C,MATCH($C$1,Database!$A$1:$C$1,),))</f>
        <v/>
      </c>
      <c r="D4346">
        <f>IFERROR(Table7[[#This Row],[United States 10y]]-Table7[[#This Row],[United States 3y]],#N/A)</f>
        <v/>
      </c>
    </row>
    <row r="4347">
      <c r="A4347" s="6">
        <f>Database!$A6432</f>
        <v/>
      </c>
      <c r="B4347">
        <f>IF(VLOOKUP(Table7[[#This Row],[Date]],Database!$A:$C,MATCH($B$1,Database!$A$1:$C$1,),)=0,#N/A,VLOOKUP(Table7[[#This Row],[Date]],Database!$A:$C,MATCH($B$1,Database!$A$1:$C$1,),))</f>
        <v/>
      </c>
      <c r="C4347">
        <f>IF(VLOOKUP(Table7[[#This Row],[Date]],Database!$A:$C,MATCH($C$1,Database!$A$1:$C$1,),)=0,#N/A,VLOOKUP(Table7[[#This Row],[Date]],Database!$A:$C,MATCH($C$1,Database!$A$1:$C$1,),))</f>
        <v/>
      </c>
      <c r="D4347">
        <f>IFERROR(Table7[[#This Row],[United States 10y]]-Table7[[#This Row],[United States 3y]],#N/A)</f>
        <v/>
      </c>
    </row>
    <row r="4348">
      <c r="A4348" s="6">
        <f>Database!$A6433</f>
        <v/>
      </c>
      <c r="B4348">
        <f>IF(VLOOKUP(Table7[[#This Row],[Date]],Database!$A:$C,MATCH($B$1,Database!$A$1:$C$1,),)=0,#N/A,VLOOKUP(Table7[[#This Row],[Date]],Database!$A:$C,MATCH($B$1,Database!$A$1:$C$1,),))</f>
        <v/>
      </c>
      <c r="C4348">
        <f>IF(VLOOKUP(Table7[[#This Row],[Date]],Database!$A:$C,MATCH($C$1,Database!$A$1:$C$1,),)=0,#N/A,VLOOKUP(Table7[[#This Row],[Date]],Database!$A:$C,MATCH($C$1,Database!$A$1:$C$1,),))</f>
        <v/>
      </c>
      <c r="D4348">
        <f>IFERROR(Table7[[#This Row],[United States 10y]]-Table7[[#This Row],[United States 3y]],#N/A)</f>
        <v/>
      </c>
    </row>
    <row r="4349">
      <c r="A4349" s="6">
        <f>Database!$A6434</f>
        <v/>
      </c>
      <c r="B4349">
        <f>IF(VLOOKUP(Table7[[#This Row],[Date]],Database!$A:$C,MATCH($B$1,Database!$A$1:$C$1,),)=0,#N/A,VLOOKUP(Table7[[#This Row],[Date]],Database!$A:$C,MATCH($B$1,Database!$A$1:$C$1,),))</f>
        <v/>
      </c>
      <c r="C4349">
        <f>IF(VLOOKUP(Table7[[#This Row],[Date]],Database!$A:$C,MATCH($C$1,Database!$A$1:$C$1,),)=0,#N/A,VLOOKUP(Table7[[#This Row],[Date]],Database!$A:$C,MATCH($C$1,Database!$A$1:$C$1,),))</f>
        <v/>
      </c>
      <c r="D4349">
        <f>IFERROR(Table7[[#This Row],[United States 10y]]-Table7[[#This Row],[United States 3y]],#N/A)</f>
        <v/>
      </c>
    </row>
    <row r="4350">
      <c r="A4350" s="6">
        <f>Database!$A6435</f>
        <v/>
      </c>
      <c r="B4350">
        <f>IF(VLOOKUP(Table7[[#This Row],[Date]],Database!$A:$C,MATCH($B$1,Database!$A$1:$C$1,),)=0,#N/A,VLOOKUP(Table7[[#This Row],[Date]],Database!$A:$C,MATCH($B$1,Database!$A$1:$C$1,),))</f>
        <v/>
      </c>
      <c r="C4350">
        <f>IF(VLOOKUP(Table7[[#This Row],[Date]],Database!$A:$C,MATCH($C$1,Database!$A$1:$C$1,),)=0,#N/A,VLOOKUP(Table7[[#This Row],[Date]],Database!$A:$C,MATCH($C$1,Database!$A$1:$C$1,),))</f>
        <v/>
      </c>
      <c r="D4350">
        <f>IFERROR(Table7[[#This Row],[United States 10y]]-Table7[[#This Row],[United States 3y]],#N/A)</f>
        <v/>
      </c>
    </row>
    <row r="4351">
      <c r="A4351" s="6">
        <f>Database!$A6436</f>
        <v/>
      </c>
      <c r="B4351">
        <f>IF(VLOOKUP(Table7[[#This Row],[Date]],Database!$A:$C,MATCH($B$1,Database!$A$1:$C$1,),)=0,#N/A,VLOOKUP(Table7[[#This Row],[Date]],Database!$A:$C,MATCH($B$1,Database!$A$1:$C$1,),))</f>
        <v/>
      </c>
      <c r="C4351">
        <f>IF(VLOOKUP(Table7[[#This Row],[Date]],Database!$A:$C,MATCH($C$1,Database!$A$1:$C$1,),)=0,#N/A,VLOOKUP(Table7[[#This Row],[Date]],Database!$A:$C,MATCH($C$1,Database!$A$1:$C$1,),))</f>
        <v/>
      </c>
      <c r="D4351">
        <f>IFERROR(Table7[[#This Row],[United States 10y]]-Table7[[#This Row],[United States 3y]],#N/A)</f>
        <v/>
      </c>
    </row>
    <row r="4352">
      <c r="A4352" s="6">
        <f>Database!$A6437</f>
        <v/>
      </c>
      <c r="B4352">
        <f>IF(VLOOKUP(Table7[[#This Row],[Date]],Database!$A:$C,MATCH($B$1,Database!$A$1:$C$1,),)=0,#N/A,VLOOKUP(Table7[[#This Row],[Date]],Database!$A:$C,MATCH($B$1,Database!$A$1:$C$1,),))</f>
        <v/>
      </c>
      <c r="C4352">
        <f>IF(VLOOKUP(Table7[[#This Row],[Date]],Database!$A:$C,MATCH($C$1,Database!$A$1:$C$1,),)=0,#N/A,VLOOKUP(Table7[[#This Row],[Date]],Database!$A:$C,MATCH($C$1,Database!$A$1:$C$1,),))</f>
        <v/>
      </c>
      <c r="D4352">
        <f>IFERROR(Table7[[#This Row],[United States 10y]]-Table7[[#This Row],[United States 3y]],#N/A)</f>
        <v/>
      </c>
    </row>
    <row r="4353">
      <c r="A4353" s="6">
        <f>Database!$A6438</f>
        <v/>
      </c>
      <c r="B4353">
        <f>IF(VLOOKUP(Table7[[#This Row],[Date]],Database!$A:$C,MATCH($B$1,Database!$A$1:$C$1,),)=0,#N/A,VLOOKUP(Table7[[#This Row],[Date]],Database!$A:$C,MATCH($B$1,Database!$A$1:$C$1,),))</f>
        <v/>
      </c>
      <c r="C4353">
        <f>IF(VLOOKUP(Table7[[#This Row],[Date]],Database!$A:$C,MATCH($C$1,Database!$A$1:$C$1,),)=0,#N/A,VLOOKUP(Table7[[#This Row],[Date]],Database!$A:$C,MATCH($C$1,Database!$A$1:$C$1,),))</f>
        <v/>
      </c>
      <c r="D4353">
        <f>IFERROR(Table7[[#This Row],[United States 10y]]-Table7[[#This Row],[United States 3y]],#N/A)</f>
        <v/>
      </c>
    </row>
    <row r="4354">
      <c r="A4354" s="6">
        <f>Database!$A6439</f>
        <v/>
      </c>
      <c r="B4354">
        <f>IF(VLOOKUP(Table7[[#This Row],[Date]],Database!$A:$C,MATCH($B$1,Database!$A$1:$C$1,),)=0,#N/A,VLOOKUP(Table7[[#This Row],[Date]],Database!$A:$C,MATCH($B$1,Database!$A$1:$C$1,),))</f>
        <v/>
      </c>
      <c r="C4354">
        <f>IF(VLOOKUP(Table7[[#This Row],[Date]],Database!$A:$C,MATCH($C$1,Database!$A$1:$C$1,),)=0,#N/A,VLOOKUP(Table7[[#This Row],[Date]],Database!$A:$C,MATCH($C$1,Database!$A$1:$C$1,),))</f>
        <v/>
      </c>
      <c r="D4354">
        <f>IFERROR(Table7[[#This Row],[United States 10y]]-Table7[[#This Row],[United States 3y]],#N/A)</f>
        <v/>
      </c>
    </row>
    <row r="4355">
      <c r="A4355" s="6">
        <f>Database!$A6440</f>
        <v/>
      </c>
      <c r="B4355">
        <f>IF(VLOOKUP(Table7[[#This Row],[Date]],Database!$A:$C,MATCH($B$1,Database!$A$1:$C$1,),)=0,#N/A,VLOOKUP(Table7[[#This Row],[Date]],Database!$A:$C,MATCH($B$1,Database!$A$1:$C$1,),))</f>
        <v/>
      </c>
      <c r="C4355">
        <f>IF(VLOOKUP(Table7[[#This Row],[Date]],Database!$A:$C,MATCH($C$1,Database!$A$1:$C$1,),)=0,#N/A,VLOOKUP(Table7[[#This Row],[Date]],Database!$A:$C,MATCH($C$1,Database!$A$1:$C$1,),))</f>
        <v/>
      </c>
      <c r="D4355">
        <f>IFERROR(Table7[[#This Row],[United States 10y]]-Table7[[#This Row],[United States 3y]],#N/A)</f>
        <v/>
      </c>
    </row>
    <row r="4356">
      <c r="A4356" s="6">
        <f>Database!$A6441</f>
        <v/>
      </c>
      <c r="B4356">
        <f>IF(VLOOKUP(Table7[[#This Row],[Date]],Database!$A:$C,MATCH($B$1,Database!$A$1:$C$1,),)=0,#N/A,VLOOKUP(Table7[[#This Row],[Date]],Database!$A:$C,MATCH($B$1,Database!$A$1:$C$1,),))</f>
        <v/>
      </c>
      <c r="C4356">
        <f>IF(VLOOKUP(Table7[[#This Row],[Date]],Database!$A:$C,MATCH($C$1,Database!$A$1:$C$1,),)=0,#N/A,VLOOKUP(Table7[[#This Row],[Date]],Database!$A:$C,MATCH($C$1,Database!$A$1:$C$1,),))</f>
        <v/>
      </c>
      <c r="D4356">
        <f>IFERROR(Table7[[#This Row],[United States 10y]]-Table7[[#This Row],[United States 3y]],#N/A)</f>
        <v/>
      </c>
    </row>
    <row r="4357">
      <c r="A4357" s="6">
        <f>Database!$A6442</f>
        <v/>
      </c>
      <c r="B4357">
        <f>IF(VLOOKUP(Table7[[#This Row],[Date]],Database!$A:$C,MATCH($B$1,Database!$A$1:$C$1,),)=0,#N/A,VLOOKUP(Table7[[#This Row],[Date]],Database!$A:$C,MATCH($B$1,Database!$A$1:$C$1,),))</f>
        <v/>
      </c>
      <c r="C4357">
        <f>IF(VLOOKUP(Table7[[#This Row],[Date]],Database!$A:$C,MATCH($C$1,Database!$A$1:$C$1,),)=0,#N/A,VLOOKUP(Table7[[#This Row],[Date]],Database!$A:$C,MATCH($C$1,Database!$A$1:$C$1,),))</f>
        <v/>
      </c>
      <c r="D4357">
        <f>IFERROR(Table7[[#This Row],[United States 10y]]-Table7[[#This Row],[United States 3y]],#N/A)</f>
        <v/>
      </c>
    </row>
    <row r="4358">
      <c r="A4358" s="6">
        <f>Database!$A6443</f>
        <v/>
      </c>
      <c r="B4358">
        <f>IF(VLOOKUP(Table7[[#This Row],[Date]],Database!$A:$C,MATCH($B$1,Database!$A$1:$C$1,),)=0,#N/A,VLOOKUP(Table7[[#This Row],[Date]],Database!$A:$C,MATCH($B$1,Database!$A$1:$C$1,),))</f>
        <v/>
      </c>
      <c r="C4358">
        <f>IF(VLOOKUP(Table7[[#This Row],[Date]],Database!$A:$C,MATCH($C$1,Database!$A$1:$C$1,),)=0,#N/A,VLOOKUP(Table7[[#This Row],[Date]],Database!$A:$C,MATCH($C$1,Database!$A$1:$C$1,),))</f>
        <v/>
      </c>
      <c r="D4358">
        <f>IFERROR(Table7[[#This Row],[United States 10y]]-Table7[[#This Row],[United States 3y]],#N/A)</f>
        <v/>
      </c>
    </row>
    <row r="4359">
      <c r="A4359" s="6">
        <f>Database!$A6444</f>
        <v/>
      </c>
      <c r="B4359">
        <f>IF(VLOOKUP(Table7[[#This Row],[Date]],Database!$A:$C,MATCH($B$1,Database!$A$1:$C$1,),)=0,#N/A,VLOOKUP(Table7[[#This Row],[Date]],Database!$A:$C,MATCH($B$1,Database!$A$1:$C$1,),))</f>
        <v/>
      </c>
      <c r="C4359">
        <f>IF(VLOOKUP(Table7[[#This Row],[Date]],Database!$A:$C,MATCH($C$1,Database!$A$1:$C$1,),)=0,#N/A,VLOOKUP(Table7[[#This Row],[Date]],Database!$A:$C,MATCH($C$1,Database!$A$1:$C$1,),))</f>
        <v/>
      </c>
      <c r="D4359">
        <f>IFERROR(Table7[[#This Row],[United States 10y]]-Table7[[#This Row],[United States 3y]],#N/A)</f>
        <v/>
      </c>
    </row>
    <row r="4360">
      <c r="A4360" s="6">
        <f>Database!$A6445</f>
        <v/>
      </c>
      <c r="B4360">
        <f>IF(VLOOKUP(Table7[[#This Row],[Date]],Database!$A:$C,MATCH($B$1,Database!$A$1:$C$1,),)=0,#N/A,VLOOKUP(Table7[[#This Row],[Date]],Database!$A:$C,MATCH($B$1,Database!$A$1:$C$1,),))</f>
        <v/>
      </c>
      <c r="C4360">
        <f>IF(VLOOKUP(Table7[[#This Row],[Date]],Database!$A:$C,MATCH($C$1,Database!$A$1:$C$1,),)=0,#N/A,VLOOKUP(Table7[[#This Row],[Date]],Database!$A:$C,MATCH($C$1,Database!$A$1:$C$1,),))</f>
        <v/>
      </c>
      <c r="D4360">
        <f>IFERROR(Table7[[#This Row],[United States 10y]]-Table7[[#This Row],[United States 3y]],#N/A)</f>
        <v/>
      </c>
    </row>
    <row r="4361">
      <c r="A4361" s="6">
        <f>Database!$A6446</f>
        <v/>
      </c>
      <c r="B4361">
        <f>IF(VLOOKUP(Table7[[#This Row],[Date]],Database!$A:$C,MATCH($B$1,Database!$A$1:$C$1,),)=0,#N/A,VLOOKUP(Table7[[#This Row],[Date]],Database!$A:$C,MATCH($B$1,Database!$A$1:$C$1,),))</f>
        <v/>
      </c>
      <c r="C4361">
        <f>IF(VLOOKUP(Table7[[#This Row],[Date]],Database!$A:$C,MATCH($C$1,Database!$A$1:$C$1,),)=0,#N/A,VLOOKUP(Table7[[#This Row],[Date]],Database!$A:$C,MATCH($C$1,Database!$A$1:$C$1,),))</f>
        <v/>
      </c>
      <c r="D4361">
        <f>IFERROR(Table7[[#This Row],[United States 10y]]-Table7[[#This Row],[United States 3y]],#N/A)</f>
        <v/>
      </c>
    </row>
    <row r="4362">
      <c r="A4362" s="6">
        <f>Database!$A6447</f>
        <v/>
      </c>
      <c r="B4362">
        <f>IF(VLOOKUP(Table7[[#This Row],[Date]],Database!$A:$C,MATCH($B$1,Database!$A$1:$C$1,),)=0,#N/A,VLOOKUP(Table7[[#This Row],[Date]],Database!$A:$C,MATCH($B$1,Database!$A$1:$C$1,),))</f>
        <v/>
      </c>
      <c r="C4362">
        <f>IF(VLOOKUP(Table7[[#This Row],[Date]],Database!$A:$C,MATCH($C$1,Database!$A$1:$C$1,),)=0,#N/A,VLOOKUP(Table7[[#This Row],[Date]],Database!$A:$C,MATCH($C$1,Database!$A$1:$C$1,),))</f>
        <v/>
      </c>
      <c r="D4362">
        <f>IFERROR(Table7[[#This Row],[United States 10y]]-Table7[[#This Row],[United States 3y]],#N/A)</f>
        <v/>
      </c>
    </row>
    <row r="4363">
      <c r="A4363" s="6">
        <f>Database!$A6448</f>
        <v/>
      </c>
      <c r="B4363">
        <f>IF(VLOOKUP(Table7[[#This Row],[Date]],Database!$A:$C,MATCH($B$1,Database!$A$1:$C$1,),)=0,#N/A,VLOOKUP(Table7[[#This Row],[Date]],Database!$A:$C,MATCH($B$1,Database!$A$1:$C$1,),))</f>
        <v/>
      </c>
      <c r="C4363">
        <f>IF(VLOOKUP(Table7[[#This Row],[Date]],Database!$A:$C,MATCH($C$1,Database!$A$1:$C$1,),)=0,#N/A,VLOOKUP(Table7[[#This Row],[Date]],Database!$A:$C,MATCH($C$1,Database!$A$1:$C$1,),))</f>
        <v/>
      </c>
      <c r="D4363">
        <f>IFERROR(Table7[[#This Row],[United States 10y]]-Table7[[#This Row],[United States 3y]],#N/A)</f>
        <v/>
      </c>
    </row>
    <row r="4364">
      <c r="A4364" s="6">
        <f>Database!$A6449</f>
        <v/>
      </c>
      <c r="B4364">
        <f>IF(VLOOKUP(Table7[[#This Row],[Date]],Database!$A:$C,MATCH($B$1,Database!$A$1:$C$1,),)=0,#N/A,VLOOKUP(Table7[[#This Row],[Date]],Database!$A:$C,MATCH($B$1,Database!$A$1:$C$1,),))</f>
        <v/>
      </c>
      <c r="C4364">
        <f>IF(VLOOKUP(Table7[[#This Row],[Date]],Database!$A:$C,MATCH($C$1,Database!$A$1:$C$1,),)=0,#N/A,VLOOKUP(Table7[[#This Row],[Date]],Database!$A:$C,MATCH($C$1,Database!$A$1:$C$1,),))</f>
        <v/>
      </c>
      <c r="D4364">
        <f>IFERROR(Table7[[#This Row],[United States 10y]]-Table7[[#This Row],[United States 3y]],#N/A)</f>
        <v/>
      </c>
    </row>
    <row r="4365">
      <c r="A4365" s="6">
        <f>Database!$A6450</f>
        <v/>
      </c>
      <c r="B4365">
        <f>IF(VLOOKUP(Table7[[#This Row],[Date]],Database!$A:$C,MATCH($B$1,Database!$A$1:$C$1,),)=0,#N/A,VLOOKUP(Table7[[#This Row],[Date]],Database!$A:$C,MATCH($B$1,Database!$A$1:$C$1,),))</f>
        <v/>
      </c>
      <c r="C4365">
        <f>IF(VLOOKUP(Table7[[#This Row],[Date]],Database!$A:$C,MATCH($C$1,Database!$A$1:$C$1,),)=0,#N/A,VLOOKUP(Table7[[#This Row],[Date]],Database!$A:$C,MATCH($C$1,Database!$A$1:$C$1,),))</f>
        <v/>
      </c>
      <c r="D4365">
        <f>IFERROR(Table7[[#This Row],[United States 10y]]-Table7[[#This Row],[United States 3y]],#N/A)</f>
        <v/>
      </c>
    </row>
    <row r="4366">
      <c r="A4366" s="6">
        <f>Database!$A6451</f>
        <v/>
      </c>
      <c r="B4366">
        <f>IF(VLOOKUP(Table7[[#This Row],[Date]],Database!$A:$C,MATCH($B$1,Database!$A$1:$C$1,),)=0,#N/A,VLOOKUP(Table7[[#This Row],[Date]],Database!$A:$C,MATCH($B$1,Database!$A$1:$C$1,),))</f>
        <v/>
      </c>
      <c r="C4366">
        <f>IF(VLOOKUP(Table7[[#This Row],[Date]],Database!$A:$C,MATCH($C$1,Database!$A$1:$C$1,),)=0,#N/A,VLOOKUP(Table7[[#This Row],[Date]],Database!$A:$C,MATCH($C$1,Database!$A$1:$C$1,),))</f>
        <v/>
      </c>
      <c r="D4366">
        <f>IFERROR(Table7[[#This Row],[United States 10y]]-Table7[[#This Row],[United States 3y]],#N/A)</f>
        <v/>
      </c>
    </row>
    <row r="4367">
      <c r="A4367" s="6">
        <f>Database!$A6452</f>
        <v/>
      </c>
      <c r="B4367">
        <f>IF(VLOOKUP(Table7[[#This Row],[Date]],Database!$A:$C,MATCH($B$1,Database!$A$1:$C$1,),)=0,#N/A,VLOOKUP(Table7[[#This Row],[Date]],Database!$A:$C,MATCH($B$1,Database!$A$1:$C$1,),))</f>
        <v/>
      </c>
      <c r="C4367">
        <f>IF(VLOOKUP(Table7[[#This Row],[Date]],Database!$A:$C,MATCH($C$1,Database!$A$1:$C$1,),)=0,#N/A,VLOOKUP(Table7[[#This Row],[Date]],Database!$A:$C,MATCH($C$1,Database!$A$1:$C$1,),))</f>
        <v/>
      </c>
      <c r="D4367">
        <f>IFERROR(Table7[[#This Row],[United States 10y]]-Table7[[#This Row],[United States 3y]],#N/A)</f>
        <v/>
      </c>
    </row>
    <row r="4368">
      <c r="A4368" s="6">
        <f>Database!$A6453</f>
        <v/>
      </c>
      <c r="B4368">
        <f>IF(VLOOKUP(Table7[[#This Row],[Date]],Database!$A:$C,MATCH($B$1,Database!$A$1:$C$1,),)=0,#N/A,VLOOKUP(Table7[[#This Row],[Date]],Database!$A:$C,MATCH($B$1,Database!$A$1:$C$1,),))</f>
        <v/>
      </c>
      <c r="C4368">
        <f>IF(VLOOKUP(Table7[[#This Row],[Date]],Database!$A:$C,MATCH($C$1,Database!$A$1:$C$1,),)=0,#N/A,VLOOKUP(Table7[[#This Row],[Date]],Database!$A:$C,MATCH($C$1,Database!$A$1:$C$1,),))</f>
        <v/>
      </c>
      <c r="D4368">
        <f>IFERROR(Table7[[#This Row],[United States 10y]]-Table7[[#This Row],[United States 3y]],#N/A)</f>
        <v/>
      </c>
    </row>
    <row r="4369">
      <c r="A4369" s="6">
        <f>Database!$A6454</f>
        <v/>
      </c>
      <c r="B4369">
        <f>IF(VLOOKUP(Table7[[#This Row],[Date]],Database!$A:$C,MATCH($B$1,Database!$A$1:$C$1,),)=0,#N/A,VLOOKUP(Table7[[#This Row],[Date]],Database!$A:$C,MATCH($B$1,Database!$A$1:$C$1,),))</f>
        <v/>
      </c>
      <c r="C4369">
        <f>IF(VLOOKUP(Table7[[#This Row],[Date]],Database!$A:$C,MATCH($C$1,Database!$A$1:$C$1,),)=0,#N/A,VLOOKUP(Table7[[#This Row],[Date]],Database!$A:$C,MATCH($C$1,Database!$A$1:$C$1,),))</f>
        <v/>
      </c>
      <c r="D4369">
        <f>IFERROR(Table7[[#This Row],[United States 10y]]-Table7[[#This Row],[United States 3y]],#N/A)</f>
        <v/>
      </c>
    </row>
    <row r="4370">
      <c r="A4370" s="6">
        <f>Database!$A6455</f>
        <v/>
      </c>
      <c r="B4370">
        <f>IF(VLOOKUP(Table7[[#This Row],[Date]],Database!$A:$C,MATCH($B$1,Database!$A$1:$C$1,),)=0,#N/A,VLOOKUP(Table7[[#This Row],[Date]],Database!$A:$C,MATCH($B$1,Database!$A$1:$C$1,),))</f>
        <v/>
      </c>
      <c r="C4370">
        <f>IF(VLOOKUP(Table7[[#This Row],[Date]],Database!$A:$C,MATCH($C$1,Database!$A$1:$C$1,),)=0,#N/A,VLOOKUP(Table7[[#This Row],[Date]],Database!$A:$C,MATCH($C$1,Database!$A$1:$C$1,),))</f>
        <v/>
      </c>
      <c r="D4370">
        <f>IFERROR(Table7[[#This Row],[United States 10y]]-Table7[[#This Row],[United States 3y]],#N/A)</f>
        <v/>
      </c>
    </row>
    <row r="4371">
      <c r="A4371" s="6">
        <f>Database!$A6456</f>
        <v/>
      </c>
      <c r="B4371">
        <f>IF(VLOOKUP(Table7[[#This Row],[Date]],Database!$A:$C,MATCH($B$1,Database!$A$1:$C$1,),)=0,#N/A,VLOOKUP(Table7[[#This Row],[Date]],Database!$A:$C,MATCH($B$1,Database!$A$1:$C$1,),))</f>
        <v/>
      </c>
      <c r="C4371">
        <f>IF(VLOOKUP(Table7[[#This Row],[Date]],Database!$A:$C,MATCH($C$1,Database!$A$1:$C$1,),)=0,#N/A,VLOOKUP(Table7[[#This Row],[Date]],Database!$A:$C,MATCH($C$1,Database!$A$1:$C$1,),))</f>
        <v/>
      </c>
      <c r="D4371">
        <f>IFERROR(Table7[[#This Row],[United States 10y]]-Table7[[#This Row],[United States 3y]],#N/A)</f>
        <v/>
      </c>
    </row>
    <row r="4372">
      <c r="A4372" s="6">
        <f>Database!$A6457</f>
        <v/>
      </c>
      <c r="B4372">
        <f>IF(VLOOKUP(Table7[[#This Row],[Date]],Database!$A:$C,MATCH($B$1,Database!$A$1:$C$1,),)=0,#N/A,VLOOKUP(Table7[[#This Row],[Date]],Database!$A:$C,MATCH($B$1,Database!$A$1:$C$1,),))</f>
        <v/>
      </c>
      <c r="C4372">
        <f>IF(VLOOKUP(Table7[[#This Row],[Date]],Database!$A:$C,MATCH($C$1,Database!$A$1:$C$1,),)=0,#N/A,VLOOKUP(Table7[[#This Row],[Date]],Database!$A:$C,MATCH($C$1,Database!$A$1:$C$1,),))</f>
        <v/>
      </c>
      <c r="D4372">
        <f>IFERROR(Table7[[#This Row],[United States 10y]]-Table7[[#This Row],[United States 3y]],#N/A)</f>
        <v/>
      </c>
    </row>
    <row r="4373">
      <c r="A4373" s="6">
        <f>Database!$A6458</f>
        <v/>
      </c>
      <c r="B4373">
        <f>IF(VLOOKUP(Table7[[#This Row],[Date]],Database!$A:$C,MATCH($B$1,Database!$A$1:$C$1,),)=0,#N/A,VLOOKUP(Table7[[#This Row],[Date]],Database!$A:$C,MATCH($B$1,Database!$A$1:$C$1,),))</f>
        <v/>
      </c>
      <c r="C4373">
        <f>IF(VLOOKUP(Table7[[#This Row],[Date]],Database!$A:$C,MATCH($C$1,Database!$A$1:$C$1,),)=0,#N/A,VLOOKUP(Table7[[#This Row],[Date]],Database!$A:$C,MATCH($C$1,Database!$A$1:$C$1,),))</f>
        <v/>
      </c>
      <c r="D4373">
        <f>IFERROR(Table7[[#This Row],[United States 10y]]-Table7[[#This Row],[United States 3y]],#N/A)</f>
        <v/>
      </c>
    </row>
    <row r="4374">
      <c r="A4374" s="6">
        <f>Database!$A6459</f>
        <v/>
      </c>
      <c r="B4374">
        <f>IF(VLOOKUP(Table7[[#This Row],[Date]],Database!$A:$C,MATCH($B$1,Database!$A$1:$C$1,),)=0,#N/A,VLOOKUP(Table7[[#This Row],[Date]],Database!$A:$C,MATCH($B$1,Database!$A$1:$C$1,),))</f>
        <v/>
      </c>
      <c r="C4374">
        <f>IF(VLOOKUP(Table7[[#This Row],[Date]],Database!$A:$C,MATCH($C$1,Database!$A$1:$C$1,),)=0,#N/A,VLOOKUP(Table7[[#This Row],[Date]],Database!$A:$C,MATCH($C$1,Database!$A$1:$C$1,),))</f>
        <v/>
      </c>
      <c r="D4374">
        <f>IFERROR(Table7[[#This Row],[United States 10y]]-Table7[[#This Row],[United States 3y]],#N/A)</f>
        <v/>
      </c>
    </row>
    <row r="4375">
      <c r="A4375" s="6">
        <f>Database!$A6460</f>
        <v/>
      </c>
      <c r="B4375">
        <f>IF(VLOOKUP(Table7[[#This Row],[Date]],Database!$A:$C,MATCH($B$1,Database!$A$1:$C$1,),)=0,#N/A,VLOOKUP(Table7[[#This Row],[Date]],Database!$A:$C,MATCH($B$1,Database!$A$1:$C$1,),))</f>
        <v/>
      </c>
      <c r="C4375">
        <f>IF(VLOOKUP(Table7[[#This Row],[Date]],Database!$A:$C,MATCH($C$1,Database!$A$1:$C$1,),)=0,#N/A,VLOOKUP(Table7[[#This Row],[Date]],Database!$A:$C,MATCH($C$1,Database!$A$1:$C$1,),))</f>
        <v/>
      </c>
      <c r="D4375">
        <f>IFERROR(Table7[[#This Row],[United States 10y]]-Table7[[#This Row],[United States 3y]],#N/A)</f>
        <v/>
      </c>
    </row>
    <row r="4376">
      <c r="A4376" s="6">
        <f>Database!$A6461</f>
        <v/>
      </c>
      <c r="B4376">
        <f>IF(VLOOKUP(Table7[[#This Row],[Date]],Database!$A:$C,MATCH($B$1,Database!$A$1:$C$1,),)=0,#N/A,VLOOKUP(Table7[[#This Row],[Date]],Database!$A:$C,MATCH($B$1,Database!$A$1:$C$1,),))</f>
        <v/>
      </c>
      <c r="C4376">
        <f>IF(VLOOKUP(Table7[[#This Row],[Date]],Database!$A:$C,MATCH($C$1,Database!$A$1:$C$1,),)=0,#N/A,VLOOKUP(Table7[[#This Row],[Date]],Database!$A:$C,MATCH($C$1,Database!$A$1:$C$1,),))</f>
        <v/>
      </c>
      <c r="D4376">
        <f>IFERROR(Table7[[#This Row],[United States 10y]]-Table7[[#This Row],[United States 3y]],#N/A)</f>
        <v/>
      </c>
    </row>
    <row r="4377">
      <c r="A4377" s="6">
        <f>Database!$A6462</f>
        <v/>
      </c>
      <c r="B4377">
        <f>IF(VLOOKUP(Table7[[#This Row],[Date]],Database!$A:$C,MATCH($B$1,Database!$A$1:$C$1,),)=0,#N/A,VLOOKUP(Table7[[#This Row],[Date]],Database!$A:$C,MATCH($B$1,Database!$A$1:$C$1,),))</f>
        <v/>
      </c>
      <c r="C4377">
        <f>IF(VLOOKUP(Table7[[#This Row],[Date]],Database!$A:$C,MATCH($C$1,Database!$A$1:$C$1,),)=0,#N/A,VLOOKUP(Table7[[#This Row],[Date]],Database!$A:$C,MATCH($C$1,Database!$A$1:$C$1,),))</f>
        <v/>
      </c>
      <c r="D4377">
        <f>IFERROR(Table7[[#This Row],[United States 10y]]-Table7[[#This Row],[United States 3y]],#N/A)</f>
        <v/>
      </c>
    </row>
    <row r="4378">
      <c r="A4378" s="6">
        <f>Database!$A6463</f>
        <v/>
      </c>
      <c r="B4378">
        <f>IF(VLOOKUP(Table7[[#This Row],[Date]],Database!$A:$C,MATCH($B$1,Database!$A$1:$C$1,),)=0,#N/A,VLOOKUP(Table7[[#This Row],[Date]],Database!$A:$C,MATCH($B$1,Database!$A$1:$C$1,),))</f>
        <v/>
      </c>
      <c r="C4378">
        <f>IF(VLOOKUP(Table7[[#This Row],[Date]],Database!$A:$C,MATCH($C$1,Database!$A$1:$C$1,),)=0,#N/A,VLOOKUP(Table7[[#This Row],[Date]],Database!$A:$C,MATCH($C$1,Database!$A$1:$C$1,),))</f>
        <v/>
      </c>
      <c r="D4378">
        <f>IFERROR(Table7[[#This Row],[United States 10y]]-Table7[[#This Row],[United States 3y]],#N/A)</f>
        <v/>
      </c>
    </row>
    <row r="4379">
      <c r="A4379" s="6">
        <f>Database!$A6464</f>
        <v/>
      </c>
      <c r="B4379">
        <f>IF(VLOOKUP(Table7[[#This Row],[Date]],Database!$A:$C,MATCH($B$1,Database!$A$1:$C$1,),)=0,#N/A,VLOOKUP(Table7[[#This Row],[Date]],Database!$A:$C,MATCH($B$1,Database!$A$1:$C$1,),))</f>
        <v/>
      </c>
      <c r="C4379">
        <f>IF(VLOOKUP(Table7[[#This Row],[Date]],Database!$A:$C,MATCH($C$1,Database!$A$1:$C$1,),)=0,#N/A,VLOOKUP(Table7[[#This Row],[Date]],Database!$A:$C,MATCH($C$1,Database!$A$1:$C$1,),))</f>
        <v/>
      </c>
      <c r="D4379">
        <f>IFERROR(Table7[[#This Row],[United States 10y]]-Table7[[#This Row],[United States 3y]],#N/A)</f>
        <v/>
      </c>
    </row>
    <row r="4380">
      <c r="A4380" s="6">
        <f>Database!$A6465</f>
        <v/>
      </c>
      <c r="B4380">
        <f>IF(VLOOKUP(Table7[[#This Row],[Date]],Database!$A:$C,MATCH($B$1,Database!$A$1:$C$1,),)=0,#N/A,VLOOKUP(Table7[[#This Row],[Date]],Database!$A:$C,MATCH($B$1,Database!$A$1:$C$1,),))</f>
        <v/>
      </c>
      <c r="C4380">
        <f>IF(VLOOKUP(Table7[[#This Row],[Date]],Database!$A:$C,MATCH($C$1,Database!$A$1:$C$1,),)=0,#N/A,VLOOKUP(Table7[[#This Row],[Date]],Database!$A:$C,MATCH($C$1,Database!$A$1:$C$1,),))</f>
        <v/>
      </c>
      <c r="D4380">
        <f>IFERROR(Table7[[#This Row],[United States 10y]]-Table7[[#This Row],[United States 3y]],#N/A)</f>
        <v/>
      </c>
    </row>
    <row r="4381">
      <c r="A4381" s="6">
        <f>Database!$A6466</f>
        <v/>
      </c>
      <c r="B4381">
        <f>IF(VLOOKUP(Table7[[#This Row],[Date]],Database!$A:$C,MATCH($B$1,Database!$A$1:$C$1,),)=0,#N/A,VLOOKUP(Table7[[#This Row],[Date]],Database!$A:$C,MATCH($B$1,Database!$A$1:$C$1,),))</f>
        <v/>
      </c>
      <c r="C4381">
        <f>IF(VLOOKUP(Table7[[#This Row],[Date]],Database!$A:$C,MATCH($C$1,Database!$A$1:$C$1,),)=0,#N/A,VLOOKUP(Table7[[#This Row],[Date]],Database!$A:$C,MATCH($C$1,Database!$A$1:$C$1,),))</f>
        <v/>
      </c>
      <c r="D4381">
        <f>IFERROR(Table7[[#This Row],[United States 10y]]-Table7[[#This Row],[United States 3y]],#N/A)</f>
        <v/>
      </c>
    </row>
    <row r="4382">
      <c r="A4382" s="6">
        <f>Database!$A6467</f>
        <v/>
      </c>
      <c r="B4382">
        <f>IF(VLOOKUP(Table7[[#This Row],[Date]],Database!$A:$C,MATCH($B$1,Database!$A$1:$C$1,),)=0,#N/A,VLOOKUP(Table7[[#This Row],[Date]],Database!$A:$C,MATCH($B$1,Database!$A$1:$C$1,),))</f>
        <v/>
      </c>
      <c r="C4382">
        <f>IF(VLOOKUP(Table7[[#This Row],[Date]],Database!$A:$C,MATCH($C$1,Database!$A$1:$C$1,),)=0,#N/A,VLOOKUP(Table7[[#This Row],[Date]],Database!$A:$C,MATCH($C$1,Database!$A$1:$C$1,),))</f>
        <v/>
      </c>
      <c r="D4382">
        <f>IFERROR(Table7[[#This Row],[United States 10y]]-Table7[[#This Row],[United States 3y]],#N/A)</f>
        <v/>
      </c>
    </row>
    <row r="4383">
      <c r="A4383" s="6">
        <f>Database!$A6468</f>
        <v/>
      </c>
      <c r="B4383">
        <f>IF(VLOOKUP(Table7[[#This Row],[Date]],Database!$A:$C,MATCH($B$1,Database!$A$1:$C$1,),)=0,#N/A,VLOOKUP(Table7[[#This Row],[Date]],Database!$A:$C,MATCH($B$1,Database!$A$1:$C$1,),))</f>
        <v/>
      </c>
      <c r="C4383">
        <f>IF(VLOOKUP(Table7[[#This Row],[Date]],Database!$A:$C,MATCH($C$1,Database!$A$1:$C$1,),)=0,#N/A,VLOOKUP(Table7[[#This Row],[Date]],Database!$A:$C,MATCH($C$1,Database!$A$1:$C$1,),))</f>
        <v/>
      </c>
      <c r="D4383">
        <f>IFERROR(Table7[[#This Row],[United States 10y]]-Table7[[#This Row],[United States 3y]],#N/A)</f>
        <v/>
      </c>
    </row>
    <row r="4384">
      <c r="A4384" s="6">
        <f>Database!$A6469</f>
        <v/>
      </c>
      <c r="B4384">
        <f>IF(VLOOKUP(Table7[[#This Row],[Date]],Database!$A:$C,MATCH($B$1,Database!$A$1:$C$1,),)=0,#N/A,VLOOKUP(Table7[[#This Row],[Date]],Database!$A:$C,MATCH($B$1,Database!$A$1:$C$1,),))</f>
        <v/>
      </c>
      <c r="C4384">
        <f>IF(VLOOKUP(Table7[[#This Row],[Date]],Database!$A:$C,MATCH($C$1,Database!$A$1:$C$1,),)=0,#N/A,VLOOKUP(Table7[[#This Row],[Date]],Database!$A:$C,MATCH($C$1,Database!$A$1:$C$1,),))</f>
        <v/>
      </c>
      <c r="D4384">
        <f>IFERROR(Table7[[#This Row],[United States 10y]]-Table7[[#This Row],[United States 3y]],#N/A)</f>
        <v/>
      </c>
    </row>
    <row r="4385">
      <c r="A4385" s="6">
        <f>Database!$A6470</f>
        <v/>
      </c>
      <c r="B4385">
        <f>IF(VLOOKUP(Table7[[#This Row],[Date]],Database!$A:$C,MATCH($B$1,Database!$A$1:$C$1,),)=0,#N/A,VLOOKUP(Table7[[#This Row],[Date]],Database!$A:$C,MATCH($B$1,Database!$A$1:$C$1,),))</f>
        <v/>
      </c>
      <c r="C4385">
        <f>IF(VLOOKUP(Table7[[#This Row],[Date]],Database!$A:$C,MATCH($C$1,Database!$A$1:$C$1,),)=0,#N/A,VLOOKUP(Table7[[#This Row],[Date]],Database!$A:$C,MATCH($C$1,Database!$A$1:$C$1,),))</f>
        <v/>
      </c>
      <c r="D4385">
        <f>IFERROR(Table7[[#This Row],[United States 10y]]-Table7[[#This Row],[United States 3y]],#N/A)</f>
        <v/>
      </c>
    </row>
    <row r="4386">
      <c r="A4386" s="6">
        <f>Database!$A6471</f>
        <v/>
      </c>
      <c r="B4386">
        <f>IF(VLOOKUP(Table7[[#This Row],[Date]],Database!$A:$C,MATCH($B$1,Database!$A$1:$C$1,),)=0,#N/A,VLOOKUP(Table7[[#This Row],[Date]],Database!$A:$C,MATCH($B$1,Database!$A$1:$C$1,),))</f>
        <v/>
      </c>
      <c r="C4386">
        <f>IF(VLOOKUP(Table7[[#This Row],[Date]],Database!$A:$C,MATCH($C$1,Database!$A$1:$C$1,),)=0,#N/A,VLOOKUP(Table7[[#This Row],[Date]],Database!$A:$C,MATCH($C$1,Database!$A$1:$C$1,),))</f>
        <v/>
      </c>
      <c r="D4386">
        <f>IFERROR(Table7[[#This Row],[United States 10y]]-Table7[[#This Row],[United States 3y]],#N/A)</f>
        <v/>
      </c>
    </row>
    <row r="4387">
      <c r="A4387" s="6">
        <f>Database!$A6472</f>
        <v/>
      </c>
      <c r="B4387">
        <f>IF(VLOOKUP(Table7[[#This Row],[Date]],Database!$A:$C,MATCH($B$1,Database!$A$1:$C$1,),)=0,#N/A,VLOOKUP(Table7[[#This Row],[Date]],Database!$A:$C,MATCH($B$1,Database!$A$1:$C$1,),))</f>
        <v/>
      </c>
      <c r="C4387">
        <f>IF(VLOOKUP(Table7[[#This Row],[Date]],Database!$A:$C,MATCH($C$1,Database!$A$1:$C$1,),)=0,#N/A,VLOOKUP(Table7[[#This Row],[Date]],Database!$A:$C,MATCH($C$1,Database!$A$1:$C$1,),))</f>
        <v/>
      </c>
      <c r="D4387">
        <f>IFERROR(Table7[[#This Row],[United States 10y]]-Table7[[#This Row],[United States 3y]],#N/A)</f>
        <v/>
      </c>
    </row>
    <row r="4388">
      <c r="A4388" s="6">
        <f>Database!$A6473</f>
        <v/>
      </c>
      <c r="B4388">
        <f>IF(VLOOKUP(Table7[[#This Row],[Date]],Database!$A:$C,MATCH($B$1,Database!$A$1:$C$1,),)=0,#N/A,VLOOKUP(Table7[[#This Row],[Date]],Database!$A:$C,MATCH($B$1,Database!$A$1:$C$1,),))</f>
        <v/>
      </c>
      <c r="C4388">
        <f>IF(VLOOKUP(Table7[[#This Row],[Date]],Database!$A:$C,MATCH($C$1,Database!$A$1:$C$1,),)=0,#N/A,VLOOKUP(Table7[[#This Row],[Date]],Database!$A:$C,MATCH($C$1,Database!$A$1:$C$1,),))</f>
        <v/>
      </c>
      <c r="D4388">
        <f>IFERROR(Table7[[#This Row],[United States 10y]]-Table7[[#This Row],[United States 3y]],#N/A)</f>
        <v/>
      </c>
    </row>
    <row r="4389">
      <c r="A4389" s="6">
        <f>Database!$A6474</f>
        <v/>
      </c>
      <c r="B4389">
        <f>IF(VLOOKUP(Table7[[#This Row],[Date]],Database!$A:$C,MATCH($B$1,Database!$A$1:$C$1,),)=0,#N/A,VLOOKUP(Table7[[#This Row],[Date]],Database!$A:$C,MATCH($B$1,Database!$A$1:$C$1,),))</f>
        <v/>
      </c>
      <c r="C4389">
        <f>IF(VLOOKUP(Table7[[#This Row],[Date]],Database!$A:$C,MATCH($C$1,Database!$A$1:$C$1,),)=0,#N/A,VLOOKUP(Table7[[#This Row],[Date]],Database!$A:$C,MATCH($C$1,Database!$A$1:$C$1,),))</f>
        <v/>
      </c>
      <c r="D4389">
        <f>IFERROR(Table7[[#This Row],[United States 10y]]-Table7[[#This Row],[United States 3y]],#N/A)</f>
        <v/>
      </c>
    </row>
    <row r="4390">
      <c r="A4390" s="6">
        <f>Database!$A6475</f>
        <v/>
      </c>
      <c r="B4390">
        <f>IF(VLOOKUP(Table7[[#This Row],[Date]],Database!$A:$C,MATCH($B$1,Database!$A$1:$C$1,),)=0,#N/A,VLOOKUP(Table7[[#This Row],[Date]],Database!$A:$C,MATCH($B$1,Database!$A$1:$C$1,),))</f>
        <v/>
      </c>
      <c r="C4390">
        <f>IF(VLOOKUP(Table7[[#This Row],[Date]],Database!$A:$C,MATCH($C$1,Database!$A$1:$C$1,),)=0,#N/A,VLOOKUP(Table7[[#This Row],[Date]],Database!$A:$C,MATCH($C$1,Database!$A$1:$C$1,),))</f>
        <v/>
      </c>
      <c r="D4390">
        <f>IFERROR(Table7[[#This Row],[United States 10y]]-Table7[[#This Row],[United States 3y]],#N/A)</f>
        <v/>
      </c>
    </row>
    <row r="4391">
      <c r="A4391" s="6">
        <f>Database!$A6476</f>
        <v/>
      </c>
      <c r="B4391">
        <f>IF(VLOOKUP(Table7[[#This Row],[Date]],Database!$A:$C,MATCH($B$1,Database!$A$1:$C$1,),)=0,#N/A,VLOOKUP(Table7[[#This Row],[Date]],Database!$A:$C,MATCH($B$1,Database!$A$1:$C$1,),))</f>
        <v/>
      </c>
      <c r="C4391">
        <f>IF(VLOOKUP(Table7[[#This Row],[Date]],Database!$A:$C,MATCH($C$1,Database!$A$1:$C$1,),)=0,#N/A,VLOOKUP(Table7[[#This Row],[Date]],Database!$A:$C,MATCH($C$1,Database!$A$1:$C$1,),))</f>
        <v/>
      </c>
      <c r="D4391">
        <f>IFERROR(Table7[[#This Row],[United States 10y]]-Table7[[#This Row],[United States 3y]],#N/A)</f>
        <v/>
      </c>
    </row>
    <row r="4392">
      <c r="A4392" s="6">
        <f>Database!$A6477</f>
        <v/>
      </c>
      <c r="B4392">
        <f>IF(VLOOKUP(Table7[[#This Row],[Date]],Database!$A:$C,MATCH($B$1,Database!$A$1:$C$1,),)=0,#N/A,VLOOKUP(Table7[[#This Row],[Date]],Database!$A:$C,MATCH($B$1,Database!$A$1:$C$1,),))</f>
        <v/>
      </c>
      <c r="C4392">
        <f>IF(VLOOKUP(Table7[[#This Row],[Date]],Database!$A:$C,MATCH($C$1,Database!$A$1:$C$1,),)=0,#N/A,VLOOKUP(Table7[[#This Row],[Date]],Database!$A:$C,MATCH($C$1,Database!$A$1:$C$1,),))</f>
        <v/>
      </c>
      <c r="D4392">
        <f>IFERROR(Table7[[#This Row],[United States 10y]]-Table7[[#This Row],[United States 3y]],#N/A)</f>
        <v/>
      </c>
    </row>
    <row r="4393">
      <c r="A4393" s="6">
        <f>Database!$A6478</f>
        <v/>
      </c>
      <c r="B4393">
        <f>IF(VLOOKUP(Table7[[#This Row],[Date]],Database!$A:$C,MATCH($B$1,Database!$A$1:$C$1,),)=0,#N/A,VLOOKUP(Table7[[#This Row],[Date]],Database!$A:$C,MATCH($B$1,Database!$A$1:$C$1,),))</f>
        <v/>
      </c>
      <c r="C4393">
        <f>IF(VLOOKUP(Table7[[#This Row],[Date]],Database!$A:$C,MATCH($C$1,Database!$A$1:$C$1,),)=0,#N/A,VLOOKUP(Table7[[#This Row],[Date]],Database!$A:$C,MATCH($C$1,Database!$A$1:$C$1,),))</f>
        <v/>
      </c>
      <c r="D4393">
        <f>IFERROR(Table7[[#This Row],[United States 10y]]-Table7[[#This Row],[United States 3y]],#N/A)</f>
        <v/>
      </c>
    </row>
    <row r="4394">
      <c r="A4394" s="6">
        <f>Database!$A6479</f>
        <v/>
      </c>
      <c r="B4394">
        <f>IF(VLOOKUP(Table7[[#This Row],[Date]],Database!$A:$C,MATCH($B$1,Database!$A$1:$C$1,),)=0,#N/A,VLOOKUP(Table7[[#This Row],[Date]],Database!$A:$C,MATCH($B$1,Database!$A$1:$C$1,),))</f>
        <v/>
      </c>
      <c r="C4394">
        <f>IF(VLOOKUP(Table7[[#This Row],[Date]],Database!$A:$C,MATCH($C$1,Database!$A$1:$C$1,),)=0,#N/A,VLOOKUP(Table7[[#This Row],[Date]],Database!$A:$C,MATCH($C$1,Database!$A$1:$C$1,),))</f>
        <v/>
      </c>
      <c r="D4394">
        <f>IFERROR(Table7[[#This Row],[United States 10y]]-Table7[[#This Row],[United States 3y]],#N/A)</f>
        <v/>
      </c>
    </row>
    <row r="4395">
      <c r="A4395" s="6">
        <f>Database!$A6480</f>
        <v/>
      </c>
      <c r="B4395">
        <f>IF(VLOOKUP(Table7[[#This Row],[Date]],Database!$A:$C,MATCH($B$1,Database!$A$1:$C$1,),)=0,#N/A,VLOOKUP(Table7[[#This Row],[Date]],Database!$A:$C,MATCH($B$1,Database!$A$1:$C$1,),))</f>
        <v/>
      </c>
      <c r="C4395">
        <f>IF(VLOOKUP(Table7[[#This Row],[Date]],Database!$A:$C,MATCH($C$1,Database!$A$1:$C$1,),)=0,#N/A,VLOOKUP(Table7[[#This Row],[Date]],Database!$A:$C,MATCH($C$1,Database!$A$1:$C$1,),))</f>
        <v/>
      </c>
      <c r="D4395">
        <f>IFERROR(Table7[[#This Row],[United States 10y]]-Table7[[#This Row],[United States 3y]],#N/A)</f>
        <v/>
      </c>
    </row>
    <row r="4396">
      <c r="A4396" s="6">
        <f>Database!$A6481</f>
        <v/>
      </c>
      <c r="B4396">
        <f>IF(VLOOKUP(Table7[[#This Row],[Date]],Database!$A:$C,MATCH($B$1,Database!$A$1:$C$1,),)=0,#N/A,VLOOKUP(Table7[[#This Row],[Date]],Database!$A:$C,MATCH($B$1,Database!$A$1:$C$1,),))</f>
        <v/>
      </c>
      <c r="C4396">
        <f>IF(VLOOKUP(Table7[[#This Row],[Date]],Database!$A:$C,MATCH($C$1,Database!$A$1:$C$1,),)=0,#N/A,VLOOKUP(Table7[[#This Row],[Date]],Database!$A:$C,MATCH($C$1,Database!$A$1:$C$1,),))</f>
        <v/>
      </c>
      <c r="D4396">
        <f>IFERROR(Table7[[#This Row],[United States 10y]]-Table7[[#This Row],[United States 3y]],#N/A)</f>
        <v/>
      </c>
    </row>
    <row r="4397">
      <c r="A4397" s="6">
        <f>Database!$A6482</f>
        <v/>
      </c>
      <c r="B4397">
        <f>IF(VLOOKUP(Table7[[#This Row],[Date]],Database!$A:$C,MATCH($B$1,Database!$A$1:$C$1,),)=0,#N/A,VLOOKUP(Table7[[#This Row],[Date]],Database!$A:$C,MATCH($B$1,Database!$A$1:$C$1,),))</f>
        <v/>
      </c>
      <c r="C4397">
        <f>IF(VLOOKUP(Table7[[#This Row],[Date]],Database!$A:$C,MATCH($C$1,Database!$A$1:$C$1,),)=0,#N/A,VLOOKUP(Table7[[#This Row],[Date]],Database!$A:$C,MATCH($C$1,Database!$A$1:$C$1,),))</f>
        <v/>
      </c>
      <c r="D4397">
        <f>IFERROR(Table7[[#This Row],[United States 10y]]-Table7[[#This Row],[United States 3y]],#N/A)</f>
        <v/>
      </c>
    </row>
    <row r="4398">
      <c r="A4398" s="6">
        <f>Database!$A6483</f>
        <v/>
      </c>
      <c r="B4398">
        <f>IF(VLOOKUP(Table7[[#This Row],[Date]],Database!$A:$C,MATCH($B$1,Database!$A$1:$C$1,),)=0,#N/A,VLOOKUP(Table7[[#This Row],[Date]],Database!$A:$C,MATCH($B$1,Database!$A$1:$C$1,),))</f>
        <v/>
      </c>
      <c r="C4398">
        <f>IF(VLOOKUP(Table7[[#This Row],[Date]],Database!$A:$C,MATCH($C$1,Database!$A$1:$C$1,),)=0,#N/A,VLOOKUP(Table7[[#This Row],[Date]],Database!$A:$C,MATCH($C$1,Database!$A$1:$C$1,),))</f>
        <v/>
      </c>
      <c r="D4398">
        <f>IFERROR(Table7[[#This Row],[United States 10y]]-Table7[[#This Row],[United States 3y]],#N/A)</f>
        <v/>
      </c>
    </row>
    <row r="4399">
      <c r="A4399" s="6">
        <f>Database!$A6484</f>
        <v/>
      </c>
      <c r="B4399">
        <f>IF(VLOOKUP(Table7[[#This Row],[Date]],Database!$A:$C,MATCH($B$1,Database!$A$1:$C$1,),)=0,#N/A,VLOOKUP(Table7[[#This Row],[Date]],Database!$A:$C,MATCH($B$1,Database!$A$1:$C$1,),))</f>
        <v/>
      </c>
      <c r="C4399">
        <f>IF(VLOOKUP(Table7[[#This Row],[Date]],Database!$A:$C,MATCH($C$1,Database!$A$1:$C$1,),)=0,#N/A,VLOOKUP(Table7[[#This Row],[Date]],Database!$A:$C,MATCH($C$1,Database!$A$1:$C$1,),))</f>
        <v/>
      </c>
      <c r="D4399">
        <f>IFERROR(Table7[[#This Row],[United States 10y]]-Table7[[#This Row],[United States 3y]],#N/A)</f>
        <v/>
      </c>
    </row>
    <row r="4400">
      <c r="A4400" s="6">
        <f>Database!$A6485</f>
        <v/>
      </c>
      <c r="B4400">
        <f>IF(VLOOKUP(Table7[[#This Row],[Date]],Database!$A:$C,MATCH($B$1,Database!$A$1:$C$1,),)=0,#N/A,VLOOKUP(Table7[[#This Row],[Date]],Database!$A:$C,MATCH($B$1,Database!$A$1:$C$1,),))</f>
        <v/>
      </c>
      <c r="C4400">
        <f>IF(VLOOKUP(Table7[[#This Row],[Date]],Database!$A:$C,MATCH($C$1,Database!$A$1:$C$1,),)=0,#N/A,VLOOKUP(Table7[[#This Row],[Date]],Database!$A:$C,MATCH($C$1,Database!$A$1:$C$1,),))</f>
        <v/>
      </c>
      <c r="D4400">
        <f>IFERROR(Table7[[#This Row],[United States 10y]]-Table7[[#This Row],[United States 3y]],#N/A)</f>
        <v/>
      </c>
    </row>
    <row r="4401">
      <c r="A4401" s="6">
        <f>Database!$A6486</f>
        <v/>
      </c>
      <c r="B4401">
        <f>IF(VLOOKUP(Table7[[#This Row],[Date]],Database!$A:$C,MATCH($B$1,Database!$A$1:$C$1,),)=0,#N/A,VLOOKUP(Table7[[#This Row],[Date]],Database!$A:$C,MATCH($B$1,Database!$A$1:$C$1,),))</f>
        <v/>
      </c>
      <c r="C4401">
        <f>IF(VLOOKUP(Table7[[#This Row],[Date]],Database!$A:$C,MATCH($C$1,Database!$A$1:$C$1,),)=0,#N/A,VLOOKUP(Table7[[#This Row],[Date]],Database!$A:$C,MATCH($C$1,Database!$A$1:$C$1,),))</f>
        <v/>
      </c>
      <c r="D4401">
        <f>IFERROR(Table7[[#This Row],[United States 10y]]-Table7[[#This Row],[United States 3y]],#N/A)</f>
        <v/>
      </c>
    </row>
    <row r="4402">
      <c r="A4402" s="6">
        <f>Database!$A6487</f>
        <v/>
      </c>
      <c r="B4402">
        <f>IF(VLOOKUP(Table7[[#This Row],[Date]],Database!$A:$C,MATCH($B$1,Database!$A$1:$C$1,),)=0,#N/A,VLOOKUP(Table7[[#This Row],[Date]],Database!$A:$C,MATCH($B$1,Database!$A$1:$C$1,),))</f>
        <v/>
      </c>
      <c r="C4402">
        <f>IF(VLOOKUP(Table7[[#This Row],[Date]],Database!$A:$C,MATCH($C$1,Database!$A$1:$C$1,),)=0,#N/A,VLOOKUP(Table7[[#This Row],[Date]],Database!$A:$C,MATCH($C$1,Database!$A$1:$C$1,),))</f>
        <v/>
      </c>
      <c r="D4402">
        <f>IFERROR(Table7[[#This Row],[United States 10y]]-Table7[[#This Row],[United States 3y]],#N/A)</f>
        <v/>
      </c>
    </row>
    <row r="4403">
      <c r="A4403" s="6">
        <f>Database!$A6488</f>
        <v/>
      </c>
      <c r="B4403">
        <f>IF(VLOOKUP(Table7[[#This Row],[Date]],Database!$A:$C,MATCH($B$1,Database!$A$1:$C$1,),)=0,#N/A,VLOOKUP(Table7[[#This Row],[Date]],Database!$A:$C,MATCH($B$1,Database!$A$1:$C$1,),))</f>
        <v/>
      </c>
      <c r="C4403">
        <f>IF(VLOOKUP(Table7[[#This Row],[Date]],Database!$A:$C,MATCH($C$1,Database!$A$1:$C$1,),)=0,#N/A,VLOOKUP(Table7[[#This Row],[Date]],Database!$A:$C,MATCH($C$1,Database!$A$1:$C$1,),))</f>
        <v/>
      </c>
      <c r="D4403">
        <f>IFERROR(Table7[[#This Row],[United States 10y]]-Table7[[#This Row],[United States 3y]],#N/A)</f>
        <v/>
      </c>
    </row>
    <row r="4404">
      <c r="A4404" s="6">
        <f>Database!$A6489</f>
        <v/>
      </c>
      <c r="B4404">
        <f>IF(VLOOKUP(Table7[[#This Row],[Date]],Database!$A:$C,MATCH($B$1,Database!$A$1:$C$1,),)=0,#N/A,VLOOKUP(Table7[[#This Row],[Date]],Database!$A:$C,MATCH($B$1,Database!$A$1:$C$1,),))</f>
        <v/>
      </c>
      <c r="C4404">
        <f>IF(VLOOKUP(Table7[[#This Row],[Date]],Database!$A:$C,MATCH($C$1,Database!$A$1:$C$1,),)=0,#N/A,VLOOKUP(Table7[[#This Row],[Date]],Database!$A:$C,MATCH($C$1,Database!$A$1:$C$1,),))</f>
        <v/>
      </c>
      <c r="D4404">
        <f>IFERROR(Table7[[#This Row],[United States 10y]]-Table7[[#This Row],[United States 3y]],#N/A)</f>
        <v/>
      </c>
    </row>
    <row r="4405">
      <c r="A4405" s="6">
        <f>Database!$A6490</f>
        <v/>
      </c>
      <c r="B4405">
        <f>IF(VLOOKUP(Table7[[#This Row],[Date]],Database!$A:$C,MATCH($B$1,Database!$A$1:$C$1,),)=0,#N/A,VLOOKUP(Table7[[#This Row],[Date]],Database!$A:$C,MATCH($B$1,Database!$A$1:$C$1,),))</f>
        <v/>
      </c>
      <c r="C4405">
        <f>IF(VLOOKUP(Table7[[#This Row],[Date]],Database!$A:$C,MATCH($C$1,Database!$A$1:$C$1,),)=0,#N/A,VLOOKUP(Table7[[#This Row],[Date]],Database!$A:$C,MATCH($C$1,Database!$A$1:$C$1,),))</f>
        <v/>
      </c>
      <c r="D4405">
        <f>IFERROR(Table7[[#This Row],[United States 10y]]-Table7[[#This Row],[United States 3y]],#N/A)</f>
        <v/>
      </c>
    </row>
    <row r="4406">
      <c r="A4406" s="6">
        <f>Database!$A6491</f>
        <v/>
      </c>
      <c r="B4406">
        <f>IF(VLOOKUP(Table7[[#This Row],[Date]],Database!$A:$C,MATCH($B$1,Database!$A$1:$C$1,),)=0,#N/A,VLOOKUP(Table7[[#This Row],[Date]],Database!$A:$C,MATCH($B$1,Database!$A$1:$C$1,),))</f>
        <v/>
      </c>
      <c r="C4406">
        <f>IF(VLOOKUP(Table7[[#This Row],[Date]],Database!$A:$C,MATCH($C$1,Database!$A$1:$C$1,),)=0,#N/A,VLOOKUP(Table7[[#This Row],[Date]],Database!$A:$C,MATCH($C$1,Database!$A$1:$C$1,),))</f>
        <v/>
      </c>
      <c r="D4406">
        <f>IFERROR(Table7[[#This Row],[United States 10y]]-Table7[[#This Row],[United States 3y]],#N/A)</f>
        <v/>
      </c>
    </row>
    <row r="4407">
      <c r="A4407" s="6">
        <f>Database!$A6492</f>
        <v/>
      </c>
      <c r="B4407">
        <f>IF(VLOOKUP(Table7[[#This Row],[Date]],Database!$A:$C,MATCH($B$1,Database!$A$1:$C$1,),)=0,#N/A,VLOOKUP(Table7[[#This Row],[Date]],Database!$A:$C,MATCH($B$1,Database!$A$1:$C$1,),))</f>
        <v/>
      </c>
      <c r="C4407">
        <f>IF(VLOOKUP(Table7[[#This Row],[Date]],Database!$A:$C,MATCH($C$1,Database!$A$1:$C$1,),)=0,#N/A,VLOOKUP(Table7[[#This Row],[Date]],Database!$A:$C,MATCH($C$1,Database!$A$1:$C$1,),))</f>
        <v/>
      </c>
      <c r="D4407">
        <f>IFERROR(Table7[[#This Row],[United States 10y]]-Table7[[#This Row],[United States 3y]],#N/A)</f>
        <v/>
      </c>
    </row>
    <row r="4408">
      <c r="A4408" s="6">
        <f>Database!$A6493</f>
        <v/>
      </c>
      <c r="B4408">
        <f>IF(VLOOKUP(Table7[[#This Row],[Date]],Database!$A:$C,MATCH($B$1,Database!$A$1:$C$1,),)=0,#N/A,VLOOKUP(Table7[[#This Row],[Date]],Database!$A:$C,MATCH($B$1,Database!$A$1:$C$1,),))</f>
        <v/>
      </c>
      <c r="C4408">
        <f>IF(VLOOKUP(Table7[[#This Row],[Date]],Database!$A:$C,MATCH($C$1,Database!$A$1:$C$1,),)=0,#N/A,VLOOKUP(Table7[[#This Row],[Date]],Database!$A:$C,MATCH($C$1,Database!$A$1:$C$1,),))</f>
        <v/>
      </c>
      <c r="D4408">
        <f>IFERROR(Table7[[#This Row],[United States 10y]]-Table7[[#This Row],[United States 3y]],#N/A)</f>
        <v/>
      </c>
    </row>
    <row r="4409">
      <c r="A4409" s="6">
        <f>Database!$A6494</f>
        <v/>
      </c>
      <c r="B4409">
        <f>IF(VLOOKUP(Table7[[#This Row],[Date]],Database!$A:$C,MATCH($B$1,Database!$A$1:$C$1,),)=0,#N/A,VLOOKUP(Table7[[#This Row],[Date]],Database!$A:$C,MATCH($B$1,Database!$A$1:$C$1,),))</f>
        <v/>
      </c>
      <c r="C4409">
        <f>IF(VLOOKUP(Table7[[#This Row],[Date]],Database!$A:$C,MATCH($C$1,Database!$A$1:$C$1,),)=0,#N/A,VLOOKUP(Table7[[#This Row],[Date]],Database!$A:$C,MATCH($C$1,Database!$A$1:$C$1,),))</f>
        <v/>
      </c>
      <c r="D4409">
        <f>IFERROR(Table7[[#This Row],[United States 10y]]-Table7[[#This Row],[United States 3y]],#N/A)</f>
        <v/>
      </c>
    </row>
    <row r="4410">
      <c r="A4410" s="6">
        <f>Database!$A6495</f>
        <v/>
      </c>
      <c r="B4410">
        <f>IF(VLOOKUP(Table7[[#This Row],[Date]],Database!$A:$C,MATCH($B$1,Database!$A$1:$C$1,),)=0,#N/A,VLOOKUP(Table7[[#This Row],[Date]],Database!$A:$C,MATCH($B$1,Database!$A$1:$C$1,),))</f>
        <v/>
      </c>
      <c r="C4410">
        <f>IF(VLOOKUP(Table7[[#This Row],[Date]],Database!$A:$C,MATCH($C$1,Database!$A$1:$C$1,),)=0,#N/A,VLOOKUP(Table7[[#This Row],[Date]],Database!$A:$C,MATCH($C$1,Database!$A$1:$C$1,),))</f>
        <v/>
      </c>
      <c r="D4410">
        <f>IFERROR(Table7[[#This Row],[United States 10y]]-Table7[[#This Row],[United States 3y]],#N/A)</f>
        <v/>
      </c>
    </row>
    <row r="4411">
      <c r="A4411" s="6">
        <f>Database!$A6496</f>
        <v/>
      </c>
      <c r="B4411">
        <f>IF(VLOOKUP(Table7[[#This Row],[Date]],Database!$A:$C,MATCH($B$1,Database!$A$1:$C$1,),)=0,#N/A,VLOOKUP(Table7[[#This Row],[Date]],Database!$A:$C,MATCH($B$1,Database!$A$1:$C$1,),))</f>
        <v/>
      </c>
      <c r="C4411">
        <f>IF(VLOOKUP(Table7[[#This Row],[Date]],Database!$A:$C,MATCH($C$1,Database!$A$1:$C$1,),)=0,#N/A,VLOOKUP(Table7[[#This Row],[Date]],Database!$A:$C,MATCH($C$1,Database!$A$1:$C$1,),))</f>
        <v/>
      </c>
      <c r="D4411">
        <f>IFERROR(Table7[[#This Row],[United States 10y]]-Table7[[#This Row],[United States 3y]],#N/A)</f>
        <v/>
      </c>
    </row>
    <row r="4412">
      <c r="A4412" s="6">
        <f>Database!$A6497</f>
        <v/>
      </c>
      <c r="B4412">
        <f>IF(VLOOKUP(Table7[[#This Row],[Date]],Database!$A:$C,MATCH($B$1,Database!$A$1:$C$1,),)=0,#N/A,VLOOKUP(Table7[[#This Row],[Date]],Database!$A:$C,MATCH($B$1,Database!$A$1:$C$1,),))</f>
        <v/>
      </c>
      <c r="C4412">
        <f>IF(VLOOKUP(Table7[[#This Row],[Date]],Database!$A:$C,MATCH($C$1,Database!$A$1:$C$1,),)=0,#N/A,VLOOKUP(Table7[[#This Row],[Date]],Database!$A:$C,MATCH($C$1,Database!$A$1:$C$1,),))</f>
        <v/>
      </c>
      <c r="D4412">
        <f>IFERROR(Table7[[#This Row],[United States 10y]]-Table7[[#This Row],[United States 3y]],#N/A)</f>
        <v/>
      </c>
    </row>
    <row r="4413">
      <c r="A4413" s="6">
        <f>Database!$A6498</f>
        <v/>
      </c>
      <c r="B4413">
        <f>IF(VLOOKUP(Table7[[#This Row],[Date]],Database!$A:$C,MATCH($B$1,Database!$A$1:$C$1,),)=0,#N/A,VLOOKUP(Table7[[#This Row],[Date]],Database!$A:$C,MATCH($B$1,Database!$A$1:$C$1,),))</f>
        <v/>
      </c>
      <c r="C4413">
        <f>IF(VLOOKUP(Table7[[#This Row],[Date]],Database!$A:$C,MATCH($C$1,Database!$A$1:$C$1,),)=0,#N/A,VLOOKUP(Table7[[#This Row],[Date]],Database!$A:$C,MATCH($C$1,Database!$A$1:$C$1,),))</f>
        <v/>
      </c>
      <c r="D4413">
        <f>IFERROR(Table7[[#This Row],[United States 10y]]-Table7[[#This Row],[United States 3y]],#N/A)</f>
        <v/>
      </c>
    </row>
    <row r="4414">
      <c r="A4414" s="6">
        <f>Database!$A6499</f>
        <v/>
      </c>
      <c r="B4414">
        <f>IF(VLOOKUP(Table7[[#This Row],[Date]],Database!$A:$C,MATCH($B$1,Database!$A$1:$C$1,),)=0,#N/A,VLOOKUP(Table7[[#This Row],[Date]],Database!$A:$C,MATCH($B$1,Database!$A$1:$C$1,),))</f>
        <v/>
      </c>
      <c r="C4414">
        <f>IF(VLOOKUP(Table7[[#This Row],[Date]],Database!$A:$C,MATCH($C$1,Database!$A$1:$C$1,),)=0,#N/A,VLOOKUP(Table7[[#This Row],[Date]],Database!$A:$C,MATCH($C$1,Database!$A$1:$C$1,),))</f>
        <v/>
      </c>
      <c r="D4414">
        <f>IFERROR(Table7[[#This Row],[United States 10y]]-Table7[[#This Row],[United States 3y]],#N/A)</f>
        <v/>
      </c>
    </row>
    <row r="4415">
      <c r="A4415" s="6">
        <f>Database!$A6500</f>
        <v/>
      </c>
      <c r="B4415">
        <f>IF(VLOOKUP(Table7[[#This Row],[Date]],Database!$A:$C,MATCH($B$1,Database!$A$1:$C$1,),)=0,#N/A,VLOOKUP(Table7[[#This Row],[Date]],Database!$A:$C,MATCH($B$1,Database!$A$1:$C$1,),))</f>
        <v/>
      </c>
      <c r="C4415">
        <f>IF(VLOOKUP(Table7[[#This Row],[Date]],Database!$A:$C,MATCH($C$1,Database!$A$1:$C$1,),)=0,#N/A,VLOOKUP(Table7[[#This Row],[Date]],Database!$A:$C,MATCH($C$1,Database!$A$1:$C$1,),))</f>
        <v/>
      </c>
      <c r="D4415">
        <f>IFERROR(Table7[[#This Row],[United States 10y]]-Table7[[#This Row],[United States 3y]],#N/A)</f>
        <v/>
      </c>
    </row>
    <row r="4416">
      <c r="A4416" s="6">
        <f>Database!$A6501</f>
        <v/>
      </c>
      <c r="B4416">
        <f>IF(VLOOKUP(Table7[[#This Row],[Date]],Database!$A:$C,MATCH($B$1,Database!$A$1:$C$1,),)=0,#N/A,VLOOKUP(Table7[[#This Row],[Date]],Database!$A:$C,MATCH($B$1,Database!$A$1:$C$1,),))</f>
        <v/>
      </c>
      <c r="C4416">
        <f>IF(VLOOKUP(Table7[[#This Row],[Date]],Database!$A:$C,MATCH($C$1,Database!$A$1:$C$1,),)=0,#N/A,VLOOKUP(Table7[[#This Row],[Date]],Database!$A:$C,MATCH($C$1,Database!$A$1:$C$1,),))</f>
        <v/>
      </c>
      <c r="D4416">
        <f>IFERROR(Table7[[#This Row],[United States 10y]]-Table7[[#This Row],[United States 3y]],#N/A)</f>
        <v/>
      </c>
    </row>
    <row r="4417">
      <c r="A4417" s="6">
        <f>Database!$A6502</f>
        <v/>
      </c>
      <c r="B4417">
        <f>IF(VLOOKUP(Table7[[#This Row],[Date]],Database!$A:$C,MATCH($B$1,Database!$A$1:$C$1,),)=0,#N/A,VLOOKUP(Table7[[#This Row],[Date]],Database!$A:$C,MATCH($B$1,Database!$A$1:$C$1,),))</f>
        <v/>
      </c>
      <c r="C4417">
        <f>IF(VLOOKUP(Table7[[#This Row],[Date]],Database!$A:$C,MATCH($C$1,Database!$A$1:$C$1,),)=0,#N/A,VLOOKUP(Table7[[#This Row],[Date]],Database!$A:$C,MATCH($C$1,Database!$A$1:$C$1,),))</f>
        <v/>
      </c>
      <c r="D4417">
        <f>IFERROR(Table7[[#This Row],[United States 10y]]-Table7[[#This Row],[United States 3y]],#N/A)</f>
        <v/>
      </c>
    </row>
    <row r="4418">
      <c r="A4418" s="6">
        <f>Database!$A6503</f>
        <v/>
      </c>
      <c r="B4418">
        <f>IF(VLOOKUP(Table7[[#This Row],[Date]],Database!$A:$C,MATCH($B$1,Database!$A$1:$C$1,),)=0,#N/A,VLOOKUP(Table7[[#This Row],[Date]],Database!$A:$C,MATCH($B$1,Database!$A$1:$C$1,),))</f>
        <v/>
      </c>
      <c r="C4418">
        <f>IF(VLOOKUP(Table7[[#This Row],[Date]],Database!$A:$C,MATCH($C$1,Database!$A$1:$C$1,),)=0,#N/A,VLOOKUP(Table7[[#This Row],[Date]],Database!$A:$C,MATCH($C$1,Database!$A$1:$C$1,),))</f>
        <v/>
      </c>
      <c r="D4418">
        <f>IFERROR(Table7[[#This Row],[United States 10y]]-Table7[[#This Row],[United States 3y]],#N/A)</f>
        <v/>
      </c>
    </row>
    <row r="4419">
      <c r="A4419" s="6">
        <f>Database!$A6504</f>
        <v/>
      </c>
      <c r="B4419">
        <f>IF(VLOOKUP(Table7[[#This Row],[Date]],Database!$A:$C,MATCH($B$1,Database!$A$1:$C$1,),)=0,#N/A,VLOOKUP(Table7[[#This Row],[Date]],Database!$A:$C,MATCH($B$1,Database!$A$1:$C$1,),))</f>
        <v/>
      </c>
      <c r="C4419">
        <f>IF(VLOOKUP(Table7[[#This Row],[Date]],Database!$A:$C,MATCH($C$1,Database!$A$1:$C$1,),)=0,#N/A,VLOOKUP(Table7[[#This Row],[Date]],Database!$A:$C,MATCH($C$1,Database!$A$1:$C$1,),))</f>
        <v/>
      </c>
      <c r="D4419">
        <f>IFERROR(Table7[[#This Row],[United States 10y]]-Table7[[#This Row],[United States 3y]],#N/A)</f>
        <v/>
      </c>
    </row>
    <row r="4420">
      <c r="A4420" s="6">
        <f>Database!$A6505</f>
        <v/>
      </c>
      <c r="B4420">
        <f>IF(VLOOKUP(Table7[[#This Row],[Date]],Database!$A:$C,MATCH($B$1,Database!$A$1:$C$1,),)=0,#N/A,VLOOKUP(Table7[[#This Row],[Date]],Database!$A:$C,MATCH($B$1,Database!$A$1:$C$1,),))</f>
        <v/>
      </c>
      <c r="C4420">
        <f>IF(VLOOKUP(Table7[[#This Row],[Date]],Database!$A:$C,MATCH($C$1,Database!$A$1:$C$1,),)=0,#N/A,VLOOKUP(Table7[[#This Row],[Date]],Database!$A:$C,MATCH($C$1,Database!$A$1:$C$1,),))</f>
        <v/>
      </c>
      <c r="D4420">
        <f>IFERROR(Table7[[#This Row],[United States 10y]]-Table7[[#This Row],[United States 3y]],#N/A)</f>
        <v/>
      </c>
    </row>
    <row r="4421">
      <c r="A4421" s="6">
        <f>Database!$A6506</f>
        <v/>
      </c>
      <c r="B4421">
        <f>IF(VLOOKUP(Table7[[#This Row],[Date]],Database!$A:$C,MATCH($B$1,Database!$A$1:$C$1,),)=0,#N/A,VLOOKUP(Table7[[#This Row],[Date]],Database!$A:$C,MATCH($B$1,Database!$A$1:$C$1,),))</f>
        <v/>
      </c>
      <c r="C4421">
        <f>IF(VLOOKUP(Table7[[#This Row],[Date]],Database!$A:$C,MATCH($C$1,Database!$A$1:$C$1,),)=0,#N/A,VLOOKUP(Table7[[#This Row],[Date]],Database!$A:$C,MATCH($C$1,Database!$A$1:$C$1,),))</f>
        <v/>
      </c>
      <c r="D4421">
        <f>IFERROR(Table7[[#This Row],[United States 10y]]-Table7[[#This Row],[United States 3y]],#N/A)</f>
        <v/>
      </c>
    </row>
    <row r="4422">
      <c r="A4422" s="6">
        <f>Database!$A6507</f>
        <v/>
      </c>
      <c r="B4422">
        <f>IF(VLOOKUP(Table7[[#This Row],[Date]],Database!$A:$C,MATCH($B$1,Database!$A$1:$C$1,),)=0,#N/A,VLOOKUP(Table7[[#This Row],[Date]],Database!$A:$C,MATCH($B$1,Database!$A$1:$C$1,),))</f>
        <v/>
      </c>
      <c r="C4422">
        <f>IF(VLOOKUP(Table7[[#This Row],[Date]],Database!$A:$C,MATCH($C$1,Database!$A$1:$C$1,),)=0,#N/A,VLOOKUP(Table7[[#This Row],[Date]],Database!$A:$C,MATCH($C$1,Database!$A$1:$C$1,),))</f>
        <v/>
      </c>
      <c r="D4422">
        <f>IFERROR(Table7[[#This Row],[United States 10y]]-Table7[[#This Row],[United States 3y]],#N/A)</f>
        <v/>
      </c>
    </row>
    <row r="4423">
      <c r="A4423" s="6">
        <f>Database!$A6508</f>
        <v/>
      </c>
      <c r="B4423">
        <f>IF(VLOOKUP(Table7[[#This Row],[Date]],Database!$A:$C,MATCH($B$1,Database!$A$1:$C$1,),)=0,#N/A,VLOOKUP(Table7[[#This Row],[Date]],Database!$A:$C,MATCH($B$1,Database!$A$1:$C$1,),))</f>
        <v/>
      </c>
      <c r="C4423">
        <f>IF(VLOOKUP(Table7[[#This Row],[Date]],Database!$A:$C,MATCH($C$1,Database!$A$1:$C$1,),)=0,#N/A,VLOOKUP(Table7[[#This Row],[Date]],Database!$A:$C,MATCH($C$1,Database!$A$1:$C$1,),))</f>
        <v/>
      </c>
      <c r="D4423">
        <f>IFERROR(Table7[[#This Row],[United States 10y]]-Table7[[#This Row],[United States 3y]],#N/A)</f>
        <v/>
      </c>
    </row>
    <row r="4424">
      <c r="A4424" s="6">
        <f>Database!$A6509</f>
        <v/>
      </c>
      <c r="B4424">
        <f>IF(VLOOKUP(Table7[[#This Row],[Date]],Database!$A:$C,MATCH($B$1,Database!$A$1:$C$1,),)=0,#N/A,VLOOKUP(Table7[[#This Row],[Date]],Database!$A:$C,MATCH($B$1,Database!$A$1:$C$1,),))</f>
        <v/>
      </c>
      <c r="C4424">
        <f>IF(VLOOKUP(Table7[[#This Row],[Date]],Database!$A:$C,MATCH($C$1,Database!$A$1:$C$1,),)=0,#N/A,VLOOKUP(Table7[[#This Row],[Date]],Database!$A:$C,MATCH($C$1,Database!$A$1:$C$1,),))</f>
        <v/>
      </c>
      <c r="D4424">
        <f>IFERROR(Table7[[#This Row],[United States 10y]]-Table7[[#This Row],[United States 3y]],#N/A)</f>
        <v/>
      </c>
    </row>
    <row r="4425">
      <c r="A4425" s="6">
        <f>Database!$A6510</f>
        <v/>
      </c>
      <c r="B4425">
        <f>IF(VLOOKUP(Table7[[#This Row],[Date]],Database!$A:$C,MATCH($B$1,Database!$A$1:$C$1,),)=0,#N/A,VLOOKUP(Table7[[#This Row],[Date]],Database!$A:$C,MATCH($B$1,Database!$A$1:$C$1,),))</f>
        <v/>
      </c>
      <c r="C4425">
        <f>IF(VLOOKUP(Table7[[#This Row],[Date]],Database!$A:$C,MATCH($C$1,Database!$A$1:$C$1,),)=0,#N/A,VLOOKUP(Table7[[#This Row],[Date]],Database!$A:$C,MATCH($C$1,Database!$A$1:$C$1,),))</f>
        <v/>
      </c>
      <c r="D4425">
        <f>IFERROR(Table7[[#This Row],[United States 10y]]-Table7[[#This Row],[United States 3y]],#N/A)</f>
        <v/>
      </c>
    </row>
    <row r="4426">
      <c r="A4426" s="6">
        <f>Database!$A6511</f>
        <v/>
      </c>
      <c r="B4426">
        <f>IF(VLOOKUP(Table7[[#This Row],[Date]],Database!$A:$C,MATCH($B$1,Database!$A$1:$C$1,),)=0,#N/A,VLOOKUP(Table7[[#This Row],[Date]],Database!$A:$C,MATCH($B$1,Database!$A$1:$C$1,),))</f>
        <v/>
      </c>
      <c r="C4426">
        <f>IF(VLOOKUP(Table7[[#This Row],[Date]],Database!$A:$C,MATCH($C$1,Database!$A$1:$C$1,),)=0,#N/A,VLOOKUP(Table7[[#This Row],[Date]],Database!$A:$C,MATCH($C$1,Database!$A$1:$C$1,),))</f>
        <v/>
      </c>
      <c r="D4426">
        <f>IFERROR(Table7[[#This Row],[United States 10y]]-Table7[[#This Row],[United States 3y]],#N/A)</f>
        <v/>
      </c>
    </row>
    <row r="4427">
      <c r="A4427" s="6">
        <f>Database!$A6512</f>
        <v/>
      </c>
      <c r="B4427">
        <f>IF(VLOOKUP(Table7[[#This Row],[Date]],Database!$A:$C,MATCH($B$1,Database!$A$1:$C$1,),)=0,#N/A,VLOOKUP(Table7[[#This Row],[Date]],Database!$A:$C,MATCH($B$1,Database!$A$1:$C$1,),))</f>
        <v/>
      </c>
      <c r="C4427">
        <f>IF(VLOOKUP(Table7[[#This Row],[Date]],Database!$A:$C,MATCH($C$1,Database!$A$1:$C$1,),)=0,#N/A,VLOOKUP(Table7[[#This Row],[Date]],Database!$A:$C,MATCH($C$1,Database!$A$1:$C$1,),))</f>
        <v/>
      </c>
      <c r="D4427">
        <f>IFERROR(Table7[[#This Row],[United States 10y]]-Table7[[#This Row],[United States 3y]],#N/A)</f>
        <v/>
      </c>
    </row>
    <row r="4428">
      <c r="A4428" s="6">
        <f>Database!$A6513</f>
        <v/>
      </c>
      <c r="B4428">
        <f>IF(VLOOKUP(Table7[[#This Row],[Date]],Database!$A:$C,MATCH($B$1,Database!$A$1:$C$1,),)=0,#N/A,VLOOKUP(Table7[[#This Row],[Date]],Database!$A:$C,MATCH($B$1,Database!$A$1:$C$1,),))</f>
        <v/>
      </c>
      <c r="C4428">
        <f>IF(VLOOKUP(Table7[[#This Row],[Date]],Database!$A:$C,MATCH($C$1,Database!$A$1:$C$1,),)=0,#N/A,VLOOKUP(Table7[[#This Row],[Date]],Database!$A:$C,MATCH($C$1,Database!$A$1:$C$1,),))</f>
        <v/>
      </c>
      <c r="D4428">
        <f>IFERROR(Table7[[#This Row],[United States 10y]]-Table7[[#This Row],[United States 3y]],#N/A)</f>
        <v/>
      </c>
    </row>
    <row r="4429">
      <c r="A4429" s="6">
        <f>Database!$A6514</f>
        <v/>
      </c>
      <c r="B4429">
        <f>IF(VLOOKUP(Table7[[#This Row],[Date]],Database!$A:$C,MATCH($B$1,Database!$A$1:$C$1,),)=0,#N/A,VLOOKUP(Table7[[#This Row],[Date]],Database!$A:$C,MATCH($B$1,Database!$A$1:$C$1,),))</f>
        <v/>
      </c>
      <c r="C4429">
        <f>IF(VLOOKUP(Table7[[#This Row],[Date]],Database!$A:$C,MATCH($C$1,Database!$A$1:$C$1,),)=0,#N/A,VLOOKUP(Table7[[#This Row],[Date]],Database!$A:$C,MATCH($C$1,Database!$A$1:$C$1,),))</f>
        <v/>
      </c>
      <c r="D4429">
        <f>IFERROR(Table7[[#This Row],[United States 10y]]-Table7[[#This Row],[United States 3y]],#N/A)</f>
        <v/>
      </c>
    </row>
    <row r="4430">
      <c r="A4430" s="6">
        <f>Database!$A6515</f>
        <v/>
      </c>
      <c r="B4430">
        <f>IF(VLOOKUP(Table7[[#This Row],[Date]],Database!$A:$C,MATCH($B$1,Database!$A$1:$C$1,),)=0,#N/A,VLOOKUP(Table7[[#This Row],[Date]],Database!$A:$C,MATCH($B$1,Database!$A$1:$C$1,),))</f>
        <v/>
      </c>
      <c r="C4430">
        <f>IF(VLOOKUP(Table7[[#This Row],[Date]],Database!$A:$C,MATCH($C$1,Database!$A$1:$C$1,),)=0,#N/A,VLOOKUP(Table7[[#This Row],[Date]],Database!$A:$C,MATCH($C$1,Database!$A$1:$C$1,),))</f>
        <v/>
      </c>
      <c r="D4430">
        <f>IFERROR(Table7[[#This Row],[United States 10y]]-Table7[[#This Row],[United States 3y]],#N/A)</f>
        <v/>
      </c>
    </row>
    <row r="4431">
      <c r="A4431" s="6">
        <f>Database!$A6516</f>
        <v/>
      </c>
      <c r="B4431">
        <f>IF(VLOOKUP(Table7[[#This Row],[Date]],Database!$A:$C,MATCH($B$1,Database!$A$1:$C$1,),)=0,#N/A,VLOOKUP(Table7[[#This Row],[Date]],Database!$A:$C,MATCH($B$1,Database!$A$1:$C$1,),))</f>
        <v/>
      </c>
      <c r="C4431">
        <f>IF(VLOOKUP(Table7[[#This Row],[Date]],Database!$A:$C,MATCH($C$1,Database!$A$1:$C$1,),)=0,#N/A,VLOOKUP(Table7[[#This Row],[Date]],Database!$A:$C,MATCH($C$1,Database!$A$1:$C$1,),))</f>
        <v/>
      </c>
      <c r="D4431">
        <f>IFERROR(Table7[[#This Row],[United States 10y]]-Table7[[#This Row],[United States 3y]],#N/A)</f>
        <v/>
      </c>
    </row>
    <row r="4432">
      <c r="A4432" s="6">
        <f>Database!$A6517</f>
        <v/>
      </c>
      <c r="B4432">
        <f>IF(VLOOKUP(Table7[[#This Row],[Date]],Database!$A:$C,MATCH($B$1,Database!$A$1:$C$1,),)=0,#N/A,VLOOKUP(Table7[[#This Row],[Date]],Database!$A:$C,MATCH($B$1,Database!$A$1:$C$1,),))</f>
        <v/>
      </c>
      <c r="C4432">
        <f>IF(VLOOKUP(Table7[[#This Row],[Date]],Database!$A:$C,MATCH($C$1,Database!$A$1:$C$1,),)=0,#N/A,VLOOKUP(Table7[[#This Row],[Date]],Database!$A:$C,MATCH($C$1,Database!$A$1:$C$1,),))</f>
        <v/>
      </c>
      <c r="D4432">
        <f>IFERROR(Table7[[#This Row],[United States 10y]]-Table7[[#This Row],[United States 3y]],#N/A)</f>
        <v/>
      </c>
    </row>
    <row r="4433">
      <c r="A4433" s="6">
        <f>Database!$A6518</f>
        <v/>
      </c>
      <c r="B4433">
        <f>IF(VLOOKUP(Table7[[#This Row],[Date]],Database!$A:$C,MATCH($B$1,Database!$A$1:$C$1,),)=0,#N/A,VLOOKUP(Table7[[#This Row],[Date]],Database!$A:$C,MATCH($B$1,Database!$A$1:$C$1,),))</f>
        <v/>
      </c>
      <c r="C4433">
        <f>IF(VLOOKUP(Table7[[#This Row],[Date]],Database!$A:$C,MATCH($C$1,Database!$A$1:$C$1,),)=0,#N/A,VLOOKUP(Table7[[#This Row],[Date]],Database!$A:$C,MATCH($C$1,Database!$A$1:$C$1,),))</f>
        <v/>
      </c>
      <c r="D4433">
        <f>IFERROR(Table7[[#This Row],[United States 10y]]-Table7[[#This Row],[United States 3y]],#N/A)</f>
        <v/>
      </c>
    </row>
    <row r="4434">
      <c r="A4434" s="6">
        <f>Database!$A6519</f>
        <v/>
      </c>
      <c r="B4434">
        <f>IF(VLOOKUP(Table7[[#This Row],[Date]],Database!$A:$C,MATCH($B$1,Database!$A$1:$C$1,),)=0,#N/A,VLOOKUP(Table7[[#This Row],[Date]],Database!$A:$C,MATCH($B$1,Database!$A$1:$C$1,),))</f>
        <v/>
      </c>
      <c r="C4434">
        <f>IF(VLOOKUP(Table7[[#This Row],[Date]],Database!$A:$C,MATCH($C$1,Database!$A$1:$C$1,),)=0,#N/A,VLOOKUP(Table7[[#This Row],[Date]],Database!$A:$C,MATCH($C$1,Database!$A$1:$C$1,),))</f>
        <v/>
      </c>
      <c r="D4434">
        <f>IFERROR(Table7[[#This Row],[United States 10y]]-Table7[[#This Row],[United States 3y]],#N/A)</f>
        <v/>
      </c>
    </row>
    <row r="4435">
      <c r="A4435" s="6">
        <f>Database!$A6520</f>
        <v/>
      </c>
      <c r="B4435">
        <f>IF(VLOOKUP(Table7[[#This Row],[Date]],Database!$A:$C,MATCH($B$1,Database!$A$1:$C$1,),)=0,#N/A,VLOOKUP(Table7[[#This Row],[Date]],Database!$A:$C,MATCH($B$1,Database!$A$1:$C$1,),))</f>
        <v/>
      </c>
      <c r="C4435">
        <f>IF(VLOOKUP(Table7[[#This Row],[Date]],Database!$A:$C,MATCH($C$1,Database!$A$1:$C$1,),)=0,#N/A,VLOOKUP(Table7[[#This Row],[Date]],Database!$A:$C,MATCH($C$1,Database!$A$1:$C$1,),))</f>
        <v/>
      </c>
      <c r="D4435">
        <f>IFERROR(Table7[[#This Row],[United States 10y]]-Table7[[#This Row],[United States 3y]],#N/A)</f>
        <v/>
      </c>
    </row>
    <row r="4436">
      <c r="A4436" s="6">
        <f>Database!$A6521</f>
        <v/>
      </c>
      <c r="B4436">
        <f>IF(VLOOKUP(Table7[[#This Row],[Date]],Database!$A:$C,MATCH($B$1,Database!$A$1:$C$1,),)=0,#N/A,VLOOKUP(Table7[[#This Row],[Date]],Database!$A:$C,MATCH($B$1,Database!$A$1:$C$1,),))</f>
        <v/>
      </c>
      <c r="C4436">
        <f>IF(VLOOKUP(Table7[[#This Row],[Date]],Database!$A:$C,MATCH($C$1,Database!$A$1:$C$1,),)=0,#N/A,VLOOKUP(Table7[[#This Row],[Date]],Database!$A:$C,MATCH($C$1,Database!$A$1:$C$1,),))</f>
        <v/>
      </c>
      <c r="D4436">
        <f>IFERROR(Table7[[#This Row],[United States 10y]]-Table7[[#This Row],[United States 3y]],#N/A)</f>
        <v/>
      </c>
    </row>
    <row r="4437">
      <c r="A4437" s="6">
        <f>Database!$A6522</f>
        <v/>
      </c>
      <c r="B4437">
        <f>IF(VLOOKUP(Table7[[#This Row],[Date]],Database!$A:$C,MATCH($B$1,Database!$A$1:$C$1,),)=0,#N/A,VLOOKUP(Table7[[#This Row],[Date]],Database!$A:$C,MATCH($B$1,Database!$A$1:$C$1,),))</f>
        <v/>
      </c>
      <c r="C4437">
        <f>IF(VLOOKUP(Table7[[#This Row],[Date]],Database!$A:$C,MATCH($C$1,Database!$A$1:$C$1,),)=0,#N/A,VLOOKUP(Table7[[#This Row],[Date]],Database!$A:$C,MATCH($C$1,Database!$A$1:$C$1,),))</f>
        <v/>
      </c>
      <c r="D4437">
        <f>IFERROR(Table7[[#This Row],[United States 10y]]-Table7[[#This Row],[United States 3y]],#N/A)</f>
        <v/>
      </c>
    </row>
    <row r="4438">
      <c r="A4438" s="6">
        <f>Database!$A6523</f>
        <v/>
      </c>
      <c r="B4438">
        <f>IF(VLOOKUP(Table7[[#This Row],[Date]],Database!$A:$C,MATCH($B$1,Database!$A$1:$C$1,),)=0,#N/A,VLOOKUP(Table7[[#This Row],[Date]],Database!$A:$C,MATCH($B$1,Database!$A$1:$C$1,),))</f>
        <v/>
      </c>
      <c r="C4438">
        <f>IF(VLOOKUP(Table7[[#This Row],[Date]],Database!$A:$C,MATCH($C$1,Database!$A$1:$C$1,),)=0,#N/A,VLOOKUP(Table7[[#This Row],[Date]],Database!$A:$C,MATCH($C$1,Database!$A$1:$C$1,),))</f>
        <v/>
      </c>
      <c r="D4438">
        <f>IFERROR(Table7[[#This Row],[United States 10y]]-Table7[[#This Row],[United States 3y]],#N/A)</f>
        <v/>
      </c>
    </row>
    <row r="4439">
      <c r="A4439" s="6">
        <f>Database!$A6524</f>
        <v/>
      </c>
      <c r="B4439">
        <f>IF(VLOOKUP(Table7[[#This Row],[Date]],Database!$A:$C,MATCH($B$1,Database!$A$1:$C$1,),)=0,#N/A,VLOOKUP(Table7[[#This Row],[Date]],Database!$A:$C,MATCH($B$1,Database!$A$1:$C$1,),))</f>
        <v/>
      </c>
      <c r="C4439">
        <f>IF(VLOOKUP(Table7[[#This Row],[Date]],Database!$A:$C,MATCH($C$1,Database!$A$1:$C$1,),)=0,#N/A,VLOOKUP(Table7[[#This Row],[Date]],Database!$A:$C,MATCH($C$1,Database!$A$1:$C$1,),))</f>
        <v/>
      </c>
      <c r="D4439">
        <f>IFERROR(Table7[[#This Row],[United States 10y]]-Table7[[#This Row],[United States 3y]],#N/A)</f>
        <v/>
      </c>
    </row>
    <row r="4440">
      <c r="A4440" s="6">
        <f>Database!$A6525</f>
        <v/>
      </c>
      <c r="B4440">
        <f>IF(VLOOKUP(Table7[[#This Row],[Date]],Database!$A:$C,MATCH($B$1,Database!$A$1:$C$1,),)=0,#N/A,VLOOKUP(Table7[[#This Row],[Date]],Database!$A:$C,MATCH($B$1,Database!$A$1:$C$1,),))</f>
        <v/>
      </c>
      <c r="C4440">
        <f>IF(VLOOKUP(Table7[[#This Row],[Date]],Database!$A:$C,MATCH($C$1,Database!$A$1:$C$1,),)=0,#N/A,VLOOKUP(Table7[[#This Row],[Date]],Database!$A:$C,MATCH($C$1,Database!$A$1:$C$1,),))</f>
        <v/>
      </c>
      <c r="D4440">
        <f>IFERROR(Table7[[#This Row],[United States 10y]]-Table7[[#This Row],[United States 3y]],#N/A)</f>
        <v/>
      </c>
    </row>
    <row r="4441">
      <c r="A4441" s="6">
        <f>Database!$A6526</f>
        <v/>
      </c>
      <c r="B4441">
        <f>IF(VLOOKUP(Table7[[#This Row],[Date]],Database!$A:$C,MATCH($B$1,Database!$A$1:$C$1,),)=0,#N/A,VLOOKUP(Table7[[#This Row],[Date]],Database!$A:$C,MATCH($B$1,Database!$A$1:$C$1,),))</f>
        <v/>
      </c>
      <c r="C4441">
        <f>IF(VLOOKUP(Table7[[#This Row],[Date]],Database!$A:$C,MATCH($C$1,Database!$A$1:$C$1,),)=0,#N/A,VLOOKUP(Table7[[#This Row],[Date]],Database!$A:$C,MATCH($C$1,Database!$A$1:$C$1,),))</f>
        <v/>
      </c>
      <c r="D4441">
        <f>IFERROR(Table7[[#This Row],[United States 10y]]-Table7[[#This Row],[United States 3y]],#N/A)</f>
        <v/>
      </c>
    </row>
    <row r="4442">
      <c r="A4442" s="6">
        <f>Database!$A6527</f>
        <v/>
      </c>
      <c r="B4442">
        <f>IF(VLOOKUP(Table7[[#This Row],[Date]],Database!$A:$C,MATCH($B$1,Database!$A$1:$C$1,),)=0,#N/A,VLOOKUP(Table7[[#This Row],[Date]],Database!$A:$C,MATCH($B$1,Database!$A$1:$C$1,),))</f>
        <v/>
      </c>
      <c r="C4442">
        <f>IF(VLOOKUP(Table7[[#This Row],[Date]],Database!$A:$C,MATCH($C$1,Database!$A$1:$C$1,),)=0,#N/A,VLOOKUP(Table7[[#This Row],[Date]],Database!$A:$C,MATCH($C$1,Database!$A$1:$C$1,),))</f>
        <v/>
      </c>
      <c r="D4442">
        <f>IFERROR(Table7[[#This Row],[United States 10y]]-Table7[[#This Row],[United States 3y]],#N/A)</f>
        <v/>
      </c>
    </row>
    <row r="4443">
      <c r="A4443" s="6">
        <f>Database!$A6528</f>
        <v/>
      </c>
      <c r="B4443">
        <f>IF(VLOOKUP(Table7[[#This Row],[Date]],Database!$A:$C,MATCH($B$1,Database!$A$1:$C$1,),)=0,#N/A,VLOOKUP(Table7[[#This Row],[Date]],Database!$A:$C,MATCH($B$1,Database!$A$1:$C$1,),))</f>
        <v/>
      </c>
      <c r="C4443">
        <f>IF(VLOOKUP(Table7[[#This Row],[Date]],Database!$A:$C,MATCH($C$1,Database!$A$1:$C$1,),)=0,#N/A,VLOOKUP(Table7[[#This Row],[Date]],Database!$A:$C,MATCH($C$1,Database!$A$1:$C$1,),))</f>
        <v/>
      </c>
      <c r="D4443">
        <f>IFERROR(Table7[[#This Row],[United States 10y]]-Table7[[#This Row],[United States 3y]],#N/A)</f>
        <v/>
      </c>
    </row>
    <row r="4444">
      <c r="A4444" s="6">
        <f>Database!$A6529</f>
        <v/>
      </c>
      <c r="B4444">
        <f>IF(VLOOKUP(Table7[[#This Row],[Date]],Database!$A:$C,MATCH($B$1,Database!$A$1:$C$1,),)=0,#N/A,VLOOKUP(Table7[[#This Row],[Date]],Database!$A:$C,MATCH($B$1,Database!$A$1:$C$1,),))</f>
        <v/>
      </c>
      <c r="C4444">
        <f>IF(VLOOKUP(Table7[[#This Row],[Date]],Database!$A:$C,MATCH($C$1,Database!$A$1:$C$1,),)=0,#N/A,VLOOKUP(Table7[[#This Row],[Date]],Database!$A:$C,MATCH($C$1,Database!$A$1:$C$1,),))</f>
        <v/>
      </c>
      <c r="D4444">
        <f>IFERROR(Table7[[#This Row],[United States 10y]]-Table7[[#This Row],[United States 3y]],#N/A)</f>
        <v/>
      </c>
    </row>
    <row r="4445">
      <c r="A4445" s="6">
        <f>Database!$A6530</f>
        <v/>
      </c>
      <c r="B4445">
        <f>IF(VLOOKUP(Table7[[#This Row],[Date]],Database!$A:$C,MATCH($B$1,Database!$A$1:$C$1,),)=0,#N/A,VLOOKUP(Table7[[#This Row],[Date]],Database!$A:$C,MATCH($B$1,Database!$A$1:$C$1,),))</f>
        <v/>
      </c>
      <c r="C4445">
        <f>IF(VLOOKUP(Table7[[#This Row],[Date]],Database!$A:$C,MATCH($C$1,Database!$A$1:$C$1,),)=0,#N/A,VLOOKUP(Table7[[#This Row],[Date]],Database!$A:$C,MATCH($C$1,Database!$A$1:$C$1,),))</f>
        <v/>
      </c>
      <c r="D4445">
        <f>IFERROR(Table7[[#This Row],[United States 10y]]-Table7[[#This Row],[United States 3y]],#N/A)</f>
        <v/>
      </c>
    </row>
    <row r="4446">
      <c r="A4446" s="6">
        <f>Database!$A6531</f>
        <v/>
      </c>
      <c r="B4446">
        <f>IF(VLOOKUP(Table7[[#This Row],[Date]],Database!$A:$C,MATCH($B$1,Database!$A$1:$C$1,),)=0,#N/A,VLOOKUP(Table7[[#This Row],[Date]],Database!$A:$C,MATCH($B$1,Database!$A$1:$C$1,),))</f>
        <v/>
      </c>
      <c r="C4446">
        <f>IF(VLOOKUP(Table7[[#This Row],[Date]],Database!$A:$C,MATCH($C$1,Database!$A$1:$C$1,),)=0,#N/A,VLOOKUP(Table7[[#This Row],[Date]],Database!$A:$C,MATCH($C$1,Database!$A$1:$C$1,),))</f>
        <v/>
      </c>
      <c r="D4446">
        <f>IFERROR(Table7[[#This Row],[United States 10y]]-Table7[[#This Row],[United States 3y]],#N/A)</f>
        <v/>
      </c>
    </row>
    <row r="4447">
      <c r="A4447" s="6">
        <f>Database!$A6532</f>
        <v/>
      </c>
      <c r="B4447">
        <f>IF(VLOOKUP(Table7[[#This Row],[Date]],Database!$A:$C,MATCH($B$1,Database!$A$1:$C$1,),)=0,#N/A,VLOOKUP(Table7[[#This Row],[Date]],Database!$A:$C,MATCH($B$1,Database!$A$1:$C$1,),))</f>
        <v/>
      </c>
      <c r="C4447">
        <f>IF(VLOOKUP(Table7[[#This Row],[Date]],Database!$A:$C,MATCH($C$1,Database!$A$1:$C$1,),)=0,#N/A,VLOOKUP(Table7[[#This Row],[Date]],Database!$A:$C,MATCH($C$1,Database!$A$1:$C$1,),))</f>
        <v/>
      </c>
      <c r="D4447">
        <f>IFERROR(Table7[[#This Row],[United States 10y]]-Table7[[#This Row],[United States 3y]],#N/A)</f>
        <v/>
      </c>
    </row>
    <row r="4448">
      <c r="A4448" s="6">
        <f>Database!$A6533</f>
        <v/>
      </c>
      <c r="B4448">
        <f>IF(VLOOKUP(Table7[[#This Row],[Date]],Database!$A:$C,MATCH($B$1,Database!$A$1:$C$1,),)=0,#N/A,VLOOKUP(Table7[[#This Row],[Date]],Database!$A:$C,MATCH($B$1,Database!$A$1:$C$1,),))</f>
        <v/>
      </c>
      <c r="C4448">
        <f>IF(VLOOKUP(Table7[[#This Row],[Date]],Database!$A:$C,MATCH($C$1,Database!$A$1:$C$1,),)=0,#N/A,VLOOKUP(Table7[[#This Row],[Date]],Database!$A:$C,MATCH($C$1,Database!$A$1:$C$1,),))</f>
        <v/>
      </c>
      <c r="D4448">
        <f>IFERROR(Table7[[#This Row],[United States 10y]]-Table7[[#This Row],[United States 3y]],#N/A)</f>
        <v/>
      </c>
    </row>
    <row r="4449">
      <c r="A4449" s="6">
        <f>Database!$A6534</f>
        <v/>
      </c>
      <c r="B4449">
        <f>IF(VLOOKUP(Table7[[#This Row],[Date]],Database!$A:$C,MATCH($B$1,Database!$A$1:$C$1,),)=0,#N/A,VLOOKUP(Table7[[#This Row],[Date]],Database!$A:$C,MATCH($B$1,Database!$A$1:$C$1,),))</f>
        <v/>
      </c>
      <c r="C4449">
        <f>IF(VLOOKUP(Table7[[#This Row],[Date]],Database!$A:$C,MATCH($C$1,Database!$A$1:$C$1,),)=0,#N/A,VLOOKUP(Table7[[#This Row],[Date]],Database!$A:$C,MATCH($C$1,Database!$A$1:$C$1,),))</f>
        <v/>
      </c>
      <c r="D4449">
        <f>IFERROR(Table7[[#This Row],[United States 10y]]-Table7[[#This Row],[United States 3y]],#N/A)</f>
        <v/>
      </c>
    </row>
    <row r="4450">
      <c r="A4450" s="6">
        <f>Database!$A6535</f>
        <v/>
      </c>
      <c r="B4450">
        <f>IF(VLOOKUP(Table7[[#This Row],[Date]],Database!$A:$C,MATCH($B$1,Database!$A$1:$C$1,),)=0,#N/A,VLOOKUP(Table7[[#This Row],[Date]],Database!$A:$C,MATCH($B$1,Database!$A$1:$C$1,),))</f>
        <v/>
      </c>
      <c r="C4450">
        <f>IF(VLOOKUP(Table7[[#This Row],[Date]],Database!$A:$C,MATCH($C$1,Database!$A$1:$C$1,),)=0,#N/A,VLOOKUP(Table7[[#This Row],[Date]],Database!$A:$C,MATCH($C$1,Database!$A$1:$C$1,),))</f>
        <v/>
      </c>
      <c r="D4450">
        <f>IFERROR(Table7[[#This Row],[United States 10y]]-Table7[[#This Row],[United States 3y]],#N/A)</f>
        <v/>
      </c>
    </row>
    <row r="4451">
      <c r="A4451" s="6">
        <f>Database!$A6536</f>
        <v/>
      </c>
      <c r="B4451">
        <f>IF(VLOOKUP(Table7[[#This Row],[Date]],Database!$A:$C,MATCH($B$1,Database!$A$1:$C$1,),)=0,#N/A,VLOOKUP(Table7[[#This Row],[Date]],Database!$A:$C,MATCH($B$1,Database!$A$1:$C$1,),))</f>
        <v/>
      </c>
      <c r="C4451">
        <f>IF(VLOOKUP(Table7[[#This Row],[Date]],Database!$A:$C,MATCH($C$1,Database!$A$1:$C$1,),)=0,#N/A,VLOOKUP(Table7[[#This Row],[Date]],Database!$A:$C,MATCH($C$1,Database!$A$1:$C$1,),))</f>
        <v/>
      </c>
      <c r="D4451">
        <f>IFERROR(Table7[[#This Row],[United States 10y]]-Table7[[#This Row],[United States 3y]],#N/A)</f>
        <v/>
      </c>
    </row>
    <row r="4452">
      <c r="A4452" s="6">
        <f>Database!$A6537</f>
        <v/>
      </c>
      <c r="B4452">
        <f>IF(VLOOKUP(Table7[[#This Row],[Date]],Database!$A:$C,MATCH($B$1,Database!$A$1:$C$1,),)=0,#N/A,VLOOKUP(Table7[[#This Row],[Date]],Database!$A:$C,MATCH($B$1,Database!$A$1:$C$1,),))</f>
        <v/>
      </c>
      <c r="C4452">
        <f>IF(VLOOKUP(Table7[[#This Row],[Date]],Database!$A:$C,MATCH($C$1,Database!$A$1:$C$1,),)=0,#N/A,VLOOKUP(Table7[[#This Row],[Date]],Database!$A:$C,MATCH($C$1,Database!$A$1:$C$1,),))</f>
        <v/>
      </c>
      <c r="D4452">
        <f>IFERROR(Table7[[#This Row],[United States 10y]]-Table7[[#This Row],[United States 3y]],#N/A)</f>
        <v/>
      </c>
    </row>
    <row r="4453">
      <c r="A4453" s="6">
        <f>Database!$A6538</f>
        <v/>
      </c>
      <c r="B4453">
        <f>IF(VLOOKUP(Table7[[#This Row],[Date]],Database!$A:$C,MATCH($B$1,Database!$A$1:$C$1,),)=0,#N/A,VLOOKUP(Table7[[#This Row],[Date]],Database!$A:$C,MATCH($B$1,Database!$A$1:$C$1,),))</f>
        <v/>
      </c>
      <c r="C4453">
        <f>IF(VLOOKUP(Table7[[#This Row],[Date]],Database!$A:$C,MATCH($C$1,Database!$A$1:$C$1,),)=0,#N/A,VLOOKUP(Table7[[#This Row],[Date]],Database!$A:$C,MATCH($C$1,Database!$A$1:$C$1,),))</f>
        <v/>
      </c>
      <c r="D4453">
        <f>IFERROR(Table7[[#This Row],[United States 10y]]-Table7[[#This Row],[United States 3y]],#N/A)</f>
        <v/>
      </c>
    </row>
    <row r="4454">
      <c r="A4454" s="6">
        <f>Database!$A6539</f>
        <v/>
      </c>
      <c r="B4454">
        <f>IF(VLOOKUP(Table7[[#This Row],[Date]],Database!$A:$C,MATCH($B$1,Database!$A$1:$C$1,),)=0,#N/A,VLOOKUP(Table7[[#This Row],[Date]],Database!$A:$C,MATCH($B$1,Database!$A$1:$C$1,),))</f>
        <v/>
      </c>
      <c r="C4454">
        <f>IF(VLOOKUP(Table7[[#This Row],[Date]],Database!$A:$C,MATCH($C$1,Database!$A$1:$C$1,),)=0,#N/A,VLOOKUP(Table7[[#This Row],[Date]],Database!$A:$C,MATCH($C$1,Database!$A$1:$C$1,),))</f>
        <v/>
      </c>
      <c r="D4454">
        <f>IFERROR(Table7[[#This Row],[United States 10y]]-Table7[[#This Row],[United States 3y]],#N/A)</f>
        <v/>
      </c>
    </row>
    <row r="4455">
      <c r="A4455" s="6">
        <f>Database!$A6540</f>
        <v/>
      </c>
      <c r="B4455">
        <f>IF(VLOOKUP(Table7[[#This Row],[Date]],Database!$A:$C,MATCH($B$1,Database!$A$1:$C$1,),)=0,#N/A,VLOOKUP(Table7[[#This Row],[Date]],Database!$A:$C,MATCH($B$1,Database!$A$1:$C$1,),))</f>
        <v/>
      </c>
      <c r="C4455">
        <f>IF(VLOOKUP(Table7[[#This Row],[Date]],Database!$A:$C,MATCH($C$1,Database!$A$1:$C$1,),)=0,#N/A,VLOOKUP(Table7[[#This Row],[Date]],Database!$A:$C,MATCH($C$1,Database!$A$1:$C$1,),))</f>
        <v/>
      </c>
      <c r="D4455">
        <f>IFERROR(Table7[[#This Row],[United States 10y]]-Table7[[#This Row],[United States 3y]],#N/A)</f>
        <v/>
      </c>
    </row>
    <row r="4456">
      <c r="A4456" s="6">
        <f>Database!$A6541</f>
        <v/>
      </c>
      <c r="B4456">
        <f>IF(VLOOKUP(Table7[[#This Row],[Date]],Database!$A:$C,MATCH($B$1,Database!$A$1:$C$1,),)=0,#N/A,VLOOKUP(Table7[[#This Row],[Date]],Database!$A:$C,MATCH($B$1,Database!$A$1:$C$1,),))</f>
        <v/>
      </c>
      <c r="C4456">
        <f>IF(VLOOKUP(Table7[[#This Row],[Date]],Database!$A:$C,MATCH($C$1,Database!$A$1:$C$1,),)=0,#N/A,VLOOKUP(Table7[[#This Row],[Date]],Database!$A:$C,MATCH($C$1,Database!$A$1:$C$1,),))</f>
        <v/>
      </c>
      <c r="D4456">
        <f>IFERROR(Table7[[#This Row],[United States 10y]]-Table7[[#This Row],[United States 3y]],#N/A)</f>
        <v/>
      </c>
    </row>
    <row r="4457">
      <c r="A4457" s="6">
        <f>Database!$A6542</f>
        <v/>
      </c>
      <c r="B4457">
        <f>IF(VLOOKUP(Table7[[#This Row],[Date]],Database!$A:$C,MATCH($B$1,Database!$A$1:$C$1,),)=0,#N/A,VLOOKUP(Table7[[#This Row],[Date]],Database!$A:$C,MATCH($B$1,Database!$A$1:$C$1,),))</f>
        <v/>
      </c>
      <c r="C4457">
        <f>IF(VLOOKUP(Table7[[#This Row],[Date]],Database!$A:$C,MATCH($C$1,Database!$A$1:$C$1,),)=0,#N/A,VLOOKUP(Table7[[#This Row],[Date]],Database!$A:$C,MATCH($C$1,Database!$A$1:$C$1,),))</f>
        <v/>
      </c>
      <c r="D4457">
        <f>IFERROR(Table7[[#This Row],[United States 10y]]-Table7[[#This Row],[United States 3y]],#N/A)</f>
        <v/>
      </c>
    </row>
    <row r="4458">
      <c r="A4458" s="6">
        <f>Database!$A6543</f>
        <v/>
      </c>
      <c r="B4458">
        <f>IF(VLOOKUP(Table7[[#This Row],[Date]],Database!$A:$C,MATCH($B$1,Database!$A$1:$C$1,),)=0,#N/A,VLOOKUP(Table7[[#This Row],[Date]],Database!$A:$C,MATCH($B$1,Database!$A$1:$C$1,),))</f>
        <v/>
      </c>
      <c r="C4458">
        <f>IF(VLOOKUP(Table7[[#This Row],[Date]],Database!$A:$C,MATCH($C$1,Database!$A$1:$C$1,),)=0,#N/A,VLOOKUP(Table7[[#This Row],[Date]],Database!$A:$C,MATCH($C$1,Database!$A$1:$C$1,),))</f>
        <v/>
      </c>
      <c r="D4458">
        <f>IFERROR(Table7[[#This Row],[United States 10y]]-Table7[[#This Row],[United States 3y]],#N/A)</f>
        <v/>
      </c>
    </row>
    <row r="4459">
      <c r="A4459" s="6">
        <f>Database!$A6544</f>
        <v/>
      </c>
      <c r="B4459">
        <f>IF(VLOOKUP(Table7[[#This Row],[Date]],Database!$A:$C,MATCH($B$1,Database!$A$1:$C$1,),)=0,#N/A,VLOOKUP(Table7[[#This Row],[Date]],Database!$A:$C,MATCH($B$1,Database!$A$1:$C$1,),))</f>
        <v/>
      </c>
      <c r="C4459">
        <f>IF(VLOOKUP(Table7[[#This Row],[Date]],Database!$A:$C,MATCH($C$1,Database!$A$1:$C$1,),)=0,#N/A,VLOOKUP(Table7[[#This Row],[Date]],Database!$A:$C,MATCH($C$1,Database!$A$1:$C$1,),))</f>
        <v/>
      </c>
      <c r="D4459">
        <f>IFERROR(Table7[[#This Row],[United States 10y]]-Table7[[#This Row],[United States 3y]],#N/A)</f>
        <v/>
      </c>
    </row>
    <row r="4460">
      <c r="A4460" s="6">
        <f>Database!$A6545</f>
        <v/>
      </c>
      <c r="B4460">
        <f>IF(VLOOKUP(Table7[[#This Row],[Date]],Database!$A:$C,MATCH($B$1,Database!$A$1:$C$1,),)=0,#N/A,VLOOKUP(Table7[[#This Row],[Date]],Database!$A:$C,MATCH($B$1,Database!$A$1:$C$1,),))</f>
        <v/>
      </c>
      <c r="C4460">
        <f>IF(VLOOKUP(Table7[[#This Row],[Date]],Database!$A:$C,MATCH($C$1,Database!$A$1:$C$1,),)=0,#N/A,VLOOKUP(Table7[[#This Row],[Date]],Database!$A:$C,MATCH($C$1,Database!$A$1:$C$1,),))</f>
        <v/>
      </c>
      <c r="D4460">
        <f>IFERROR(Table7[[#This Row],[United States 10y]]-Table7[[#This Row],[United States 3y]],#N/A)</f>
        <v/>
      </c>
    </row>
    <row r="4461">
      <c r="A4461" s="6">
        <f>Database!$A6546</f>
        <v/>
      </c>
      <c r="B4461">
        <f>IF(VLOOKUP(Table7[[#This Row],[Date]],Database!$A:$C,MATCH($B$1,Database!$A$1:$C$1,),)=0,#N/A,VLOOKUP(Table7[[#This Row],[Date]],Database!$A:$C,MATCH($B$1,Database!$A$1:$C$1,),))</f>
        <v/>
      </c>
      <c r="C4461">
        <f>IF(VLOOKUP(Table7[[#This Row],[Date]],Database!$A:$C,MATCH($C$1,Database!$A$1:$C$1,),)=0,#N/A,VLOOKUP(Table7[[#This Row],[Date]],Database!$A:$C,MATCH($C$1,Database!$A$1:$C$1,),))</f>
        <v/>
      </c>
      <c r="D4461">
        <f>IFERROR(Table7[[#This Row],[United States 10y]]-Table7[[#This Row],[United States 3y]],#N/A)</f>
        <v/>
      </c>
    </row>
    <row r="4462">
      <c r="A4462" s="6">
        <f>Database!$A6547</f>
        <v/>
      </c>
      <c r="B4462">
        <f>IF(VLOOKUP(Table7[[#This Row],[Date]],Database!$A:$C,MATCH($B$1,Database!$A$1:$C$1,),)=0,#N/A,VLOOKUP(Table7[[#This Row],[Date]],Database!$A:$C,MATCH($B$1,Database!$A$1:$C$1,),))</f>
        <v/>
      </c>
      <c r="C4462">
        <f>IF(VLOOKUP(Table7[[#This Row],[Date]],Database!$A:$C,MATCH($C$1,Database!$A$1:$C$1,),)=0,#N/A,VLOOKUP(Table7[[#This Row],[Date]],Database!$A:$C,MATCH($C$1,Database!$A$1:$C$1,),))</f>
        <v/>
      </c>
      <c r="D4462">
        <f>IFERROR(Table7[[#This Row],[United States 10y]]-Table7[[#This Row],[United States 3y]],#N/A)</f>
        <v/>
      </c>
    </row>
    <row r="4463">
      <c r="A4463" s="6">
        <f>Database!$A6548</f>
        <v/>
      </c>
      <c r="B4463">
        <f>IF(VLOOKUP(Table7[[#This Row],[Date]],Database!$A:$C,MATCH($B$1,Database!$A$1:$C$1,),)=0,#N/A,VLOOKUP(Table7[[#This Row],[Date]],Database!$A:$C,MATCH($B$1,Database!$A$1:$C$1,),))</f>
        <v/>
      </c>
      <c r="C4463">
        <f>IF(VLOOKUP(Table7[[#This Row],[Date]],Database!$A:$C,MATCH($C$1,Database!$A$1:$C$1,),)=0,#N/A,VLOOKUP(Table7[[#This Row],[Date]],Database!$A:$C,MATCH($C$1,Database!$A$1:$C$1,),))</f>
        <v/>
      </c>
      <c r="D4463">
        <f>IFERROR(Table7[[#This Row],[United States 10y]]-Table7[[#This Row],[United States 3y]],#N/A)</f>
        <v/>
      </c>
    </row>
    <row r="4464">
      <c r="A4464" s="6">
        <f>Database!$A6549</f>
        <v/>
      </c>
      <c r="B4464">
        <f>IF(VLOOKUP(Table7[[#This Row],[Date]],Database!$A:$C,MATCH($B$1,Database!$A$1:$C$1,),)=0,#N/A,VLOOKUP(Table7[[#This Row],[Date]],Database!$A:$C,MATCH($B$1,Database!$A$1:$C$1,),))</f>
        <v/>
      </c>
      <c r="C4464">
        <f>IF(VLOOKUP(Table7[[#This Row],[Date]],Database!$A:$C,MATCH($C$1,Database!$A$1:$C$1,),)=0,#N/A,VLOOKUP(Table7[[#This Row],[Date]],Database!$A:$C,MATCH($C$1,Database!$A$1:$C$1,),))</f>
        <v/>
      </c>
      <c r="D4464">
        <f>IFERROR(Table7[[#This Row],[United States 10y]]-Table7[[#This Row],[United States 3y]],#N/A)</f>
        <v/>
      </c>
    </row>
    <row r="4465">
      <c r="A4465" s="6">
        <f>Database!$A6550</f>
        <v/>
      </c>
      <c r="B4465">
        <f>IF(VLOOKUP(Table7[[#This Row],[Date]],Database!$A:$C,MATCH($B$1,Database!$A$1:$C$1,),)=0,#N/A,VLOOKUP(Table7[[#This Row],[Date]],Database!$A:$C,MATCH($B$1,Database!$A$1:$C$1,),))</f>
        <v/>
      </c>
      <c r="C4465">
        <f>IF(VLOOKUP(Table7[[#This Row],[Date]],Database!$A:$C,MATCH($C$1,Database!$A$1:$C$1,),)=0,#N/A,VLOOKUP(Table7[[#This Row],[Date]],Database!$A:$C,MATCH($C$1,Database!$A$1:$C$1,),))</f>
        <v/>
      </c>
      <c r="D4465">
        <f>IFERROR(Table7[[#This Row],[United States 10y]]-Table7[[#This Row],[United States 3y]],#N/A)</f>
        <v/>
      </c>
    </row>
    <row r="4466">
      <c r="A4466" s="6">
        <f>Database!$A6551</f>
        <v/>
      </c>
      <c r="B4466">
        <f>IF(VLOOKUP(Table7[[#This Row],[Date]],Database!$A:$C,MATCH($B$1,Database!$A$1:$C$1,),)=0,#N/A,VLOOKUP(Table7[[#This Row],[Date]],Database!$A:$C,MATCH($B$1,Database!$A$1:$C$1,),))</f>
        <v/>
      </c>
      <c r="C4466">
        <f>IF(VLOOKUP(Table7[[#This Row],[Date]],Database!$A:$C,MATCH($C$1,Database!$A$1:$C$1,),)=0,#N/A,VLOOKUP(Table7[[#This Row],[Date]],Database!$A:$C,MATCH($C$1,Database!$A$1:$C$1,),))</f>
        <v/>
      </c>
      <c r="D4466">
        <f>IFERROR(Table7[[#This Row],[United States 10y]]-Table7[[#This Row],[United States 3y]],#N/A)</f>
        <v/>
      </c>
    </row>
    <row r="4467">
      <c r="A4467" s="6">
        <f>Database!$A6552</f>
        <v/>
      </c>
      <c r="B4467">
        <f>IF(VLOOKUP(Table7[[#This Row],[Date]],Database!$A:$C,MATCH($B$1,Database!$A$1:$C$1,),)=0,#N/A,VLOOKUP(Table7[[#This Row],[Date]],Database!$A:$C,MATCH($B$1,Database!$A$1:$C$1,),))</f>
        <v/>
      </c>
      <c r="C4467">
        <f>IF(VLOOKUP(Table7[[#This Row],[Date]],Database!$A:$C,MATCH($C$1,Database!$A$1:$C$1,),)=0,#N/A,VLOOKUP(Table7[[#This Row],[Date]],Database!$A:$C,MATCH($C$1,Database!$A$1:$C$1,),))</f>
        <v/>
      </c>
      <c r="D4467">
        <f>IFERROR(Table7[[#This Row],[United States 10y]]-Table7[[#This Row],[United States 3y]],#N/A)</f>
        <v/>
      </c>
    </row>
    <row r="4468">
      <c r="A4468" s="6">
        <f>Database!$A6553</f>
        <v/>
      </c>
      <c r="B4468">
        <f>IF(VLOOKUP(Table7[[#This Row],[Date]],Database!$A:$C,MATCH($B$1,Database!$A$1:$C$1,),)=0,#N/A,VLOOKUP(Table7[[#This Row],[Date]],Database!$A:$C,MATCH($B$1,Database!$A$1:$C$1,),))</f>
        <v/>
      </c>
      <c r="C4468">
        <f>IF(VLOOKUP(Table7[[#This Row],[Date]],Database!$A:$C,MATCH($C$1,Database!$A$1:$C$1,),)=0,#N/A,VLOOKUP(Table7[[#This Row],[Date]],Database!$A:$C,MATCH($C$1,Database!$A$1:$C$1,),))</f>
        <v/>
      </c>
      <c r="D4468">
        <f>IFERROR(Table7[[#This Row],[United States 10y]]-Table7[[#This Row],[United States 3y]],#N/A)</f>
        <v/>
      </c>
    </row>
    <row r="4469">
      <c r="A4469" s="6">
        <f>Database!$A6554</f>
        <v/>
      </c>
      <c r="B4469">
        <f>IF(VLOOKUP(Table7[[#This Row],[Date]],Database!$A:$C,MATCH($B$1,Database!$A$1:$C$1,),)=0,#N/A,VLOOKUP(Table7[[#This Row],[Date]],Database!$A:$C,MATCH($B$1,Database!$A$1:$C$1,),))</f>
        <v/>
      </c>
      <c r="C4469">
        <f>IF(VLOOKUP(Table7[[#This Row],[Date]],Database!$A:$C,MATCH($C$1,Database!$A$1:$C$1,),)=0,#N/A,VLOOKUP(Table7[[#This Row],[Date]],Database!$A:$C,MATCH($C$1,Database!$A$1:$C$1,),))</f>
        <v/>
      </c>
      <c r="D4469">
        <f>IFERROR(Table7[[#This Row],[United States 10y]]-Table7[[#This Row],[United States 3y]],#N/A)</f>
        <v/>
      </c>
    </row>
    <row r="4470">
      <c r="A4470" s="6">
        <f>Database!$A6555</f>
        <v/>
      </c>
      <c r="B4470">
        <f>IF(VLOOKUP(Table7[[#This Row],[Date]],Database!$A:$C,MATCH($B$1,Database!$A$1:$C$1,),)=0,#N/A,VLOOKUP(Table7[[#This Row],[Date]],Database!$A:$C,MATCH($B$1,Database!$A$1:$C$1,),))</f>
        <v/>
      </c>
      <c r="C4470">
        <f>IF(VLOOKUP(Table7[[#This Row],[Date]],Database!$A:$C,MATCH($C$1,Database!$A$1:$C$1,),)=0,#N/A,VLOOKUP(Table7[[#This Row],[Date]],Database!$A:$C,MATCH($C$1,Database!$A$1:$C$1,),))</f>
        <v/>
      </c>
      <c r="D4470">
        <f>IFERROR(Table7[[#This Row],[United States 10y]]-Table7[[#This Row],[United States 3y]],#N/A)</f>
        <v/>
      </c>
    </row>
    <row r="4471">
      <c r="A4471" s="6">
        <f>Database!$A6556</f>
        <v/>
      </c>
      <c r="B4471">
        <f>IF(VLOOKUP(Table7[[#This Row],[Date]],Database!$A:$C,MATCH($B$1,Database!$A$1:$C$1,),)=0,#N/A,VLOOKUP(Table7[[#This Row],[Date]],Database!$A:$C,MATCH($B$1,Database!$A$1:$C$1,),))</f>
        <v/>
      </c>
      <c r="C4471">
        <f>IF(VLOOKUP(Table7[[#This Row],[Date]],Database!$A:$C,MATCH($C$1,Database!$A$1:$C$1,),)=0,#N/A,VLOOKUP(Table7[[#This Row],[Date]],Database!$A:$C,MATCH($C$1,Database!$A$1:$C$1,),))</f>
        <v/>
      </c>
      <c r="D4471">
        <f>IFERROR(Table7[[#This Row],[United States 10y]]-Table7[[#This Row],[United States 3y]],#N/A)</f>
        <v/>
      </c>
    </row>
    <row r="4472">
      <c r="A4472" s="6">
        <f>Database!$A6557</f>
        <v/>
      </c>
      <c r="B4472">
        <f>IF(VLOOKUP(Table7[[#This Row],[Date]],Database!$A:$C,MATCH($B$1,Database!$A$1:$C$1,),)=0,#N/A,VLOOKUP(Table7[[#This Row],[Date]],Database!$A:$C,MATCH($B$1,Database!$A$1:$C$1,),))</f>
        <v/>
      </c>
      <c r="C4472">
        <f>IF(VLOOKUP(Table7[[#This Row],[Date]],Database!$A:$C,MATCH($C$1,Database!$A$1:$C$1,),)=0,#N/A,VLOOKUP(Table7[[#This Row],[Date]],Database!$A:$C,MATCH($C$1,Database!$A$1:$C$1,),))</f>
        <v/>
      </c>
      <c r="D4472">
        <f>IFERROR(Table7[[#This Row],[United States 10y]]-Table7[[#This Row],[United States 3y]],#N/A)</f>
        <v/>
      </c>
    </row>
    <row r="4473">
      <c r="A4473" s="6">
        <f>Database!$A6558</f>
        <v/>
      </c>
      <c r="B4473">
        <f>IF(VLOOKUP(Table7[[#This Row],[Date]],Database!$A:$C,MATCH($B$1,Database!$A$1:$C$1,),)=0,#N/A,VLOOKUP(Table7[[#This Row],[Date]],Database!$A:$C,MATCH($B$1,Database!$A$1:$C$1,),))</f>
        <v/>
      </c>
      <c r="C4473">
        <f>IF(VLOOKUP(Table7[[#This Row],[Date]],Database!$A:$C,MATCH($C$1,Database!$A$1:$C$1,),)=0,#N/A,VLOOKUP(Table7[[#This Row],[Date]],Database!$A:$C,MATCH($C$1,Database!$A$1:$C$1,),))</f>
        <v/>
      </c>
      <c r="D4473">
        <f>IFERROR(Table7[[#This Row],[United States 10y]]-Table7[[#This Row],[United States 3y]],#N/A)</f>
        <v/>
      </c>
    </row>
    <row r="4474">
      <c r="A4474" s="6">
        <f>Database!$A6559</f>
        <v/>
      </c>
      <c r="B4474">
        <f>IF(VLOOKUP(Table7[[#This Row],[Date]],Database!$A:$C,MATCH($B$1,Database!$A$1:$C$1,),)=0,#N/A,VLOOKUP(Table7[[#This Row],[Date]],Database!$A:$C,MATCH($B$1,Database!$A$1:$C$1,),))</f>
        <v/>
      </c>
      <c r="C4474">
        <f>IF(VLOOKUP(Table7[[#This Row],[Date]],Database!$A:$C,MATCH($C$1,Database!$A$1:$C$1,),)=0,#N/A,VLOOKUP(Table7[[#This Row],[Date]],Database!$A:$C,MATCH($C$1,Database!$A$1:$C$1,),))</f>
        <v/>
      </c>
      <c r="D4474">
        <f>IFERROR(Table7[[#This Row],[United States 10y]]-Table7[[#This Row],[United States 3y]],#N/A)</f>
        <v/>
      </c>
    </row>
    <row r="4475">
      <c r="A4475" s="6">
        <f>Database!$A6560</f>
        <v/>
      </c>
      <c r="B4475">
        <f>IF(VLOOKUP(Table7[[#This Row],[Date]],Database!$A:$C,MATCH($B$1,Database!$A$1:$C$1,),)=0,#N/A,VLOOKUP(Table7[[#This Row],[Date]],Database!$A:$C,MATCH($B$1,Database!$A$1:$C$1,),))</f>
        <v/>
      </c>
      <c r="C4475">
        <f>IF(VLOOKUP(Table7[[#This Row],[Date]],Database!$A:$C,MATCH($C$1,Database!$A$1:$C$1,),)=0,#N/A,VLOOKUP(Table7[[#This Row],[Date]],Database!$A:$C,MATCH($C$1,Database!$A$1:$C$1,),))</f>
        <v/>
      </c>
      <c r="D4475">
        <f>IFERROR(Table7[[#This Row],[United States 10y]]-Table7[[#This Row],[United States 3y]],#N/A)</f>
        <v/>
      </c>
    </row>
    <row r="4476">
      <c r="A4476" s="6">
        <f>Database!$A6561</f>
        <v/>
      </c>
      <c r="B4476">
        <f>IF(VLOOKUP(Table7[[#This Row],[Date]],Database!$A:$C,MATCH($B$1,Database!$A$1:$C$1,),)=0,#N/A,VLOOKUP(Table7[[#This Row],[Date]],Database!$A:$C,MATCH($B$1,Database!$A$1:$C$1,),))</f>
        <v/>
      </c>
      <c r="C4476">
        <f>IF(VLOOKUP(Table7[[#This Row],[Date]],Database!$A:$C,MATCH($C$1,Database!$A$1:$C$1,),)=0,#N/A,VLOOKUP(Table7[[#This Row],[Date]],Database!$A:$C,MATCH($C$1,Database!$A$1:$C$1,),))</f>
        <v/>
      </c>
      <c r="D4476">
        <f>IFERROR(Table7[[#This Row],[United States 10y]]-Table7[[#This Row],[United States 3y]],#N/A)</f>
        <v/>
      </c>
    </row>
    <row r="4477">
      <c r="A4477" s="6">
        <f>Database!$A6562</f>
        <v/>
      </c>
      <c r="B4477">
        <f>IF(VLOOKUP(Table7[[#This Row],[Date]],Database!$A:$C,MATCH($B$1,Database!$A$1:$C$1,),)=0,#N/A,VLOOKUP(Table7[[#This Row],[Date]],Database!$A:$C,MATCH($B$1,Database!$A$1:$C$1,),))</f>
        <v/>
      </c>
      <c r="C4477">
        <f>IF(VLOOKUP(Table7[[#This Row],[Date]],Database!$A:$C,MATCH($C$1,Database!$A$1:$C$1,),)=0,#N/A,VLOOKUP(Table7[[#This Row],[Date]],Database!$A:$C,MATCH($C$1,Database!$A$1:$C$1,),))</f>
        <v/>
      </c>
      <c r="D4477">
        <f>IFERROR(Table7[[#This Row],[United States 10y]]-Table7[[#This Row],[United States 3y]],#N/A)</f>
        <v/>
      </c>
    </row>
    <row r="4478">
      <c r="A4478" s="6">
        <f>Database!$A6563</f>
        <v/>
      </c>
      <c r="B4478">
        <f>IF(VLOOKUP(Table7[[#This Row],[Date]],Database!$A:$C,MATCH($B$1,Database!$A$1:$C$1,),)=0,#N/A,VLOOKUP(Table7[[#This Row],[Date]],Database!$A:$C,MATCH($B$1,Database!$A$1:$C$1,),))</f>
        <v/>
      </c>
      <c r="C4478">
        <f>IF(VLOOKUP(Table7[[#This Row],[Date]],Database!$A:$C,MATCH($C$1,Database!$A$1:$C$1,),)=0,#N/A,VLOOKUP(Table7[[#This Row],[Date]],Database!$A:$C,MATCH($C$1,Database!$A$1:$C$1,),))</f>
        <v/>
      </c>
      <c r="D4478">
        <f>IFERROR(Table7[[#This Row],[United States 10y]]-Table7[[#This Row],[United States 3y]],#N/A)</f>
        <v/>
      </c>
    </row>
    <row r="4479">
      <c r="A4479" s="6">
        <f>Database!$A6564</f>
        <v/>
      </c>
      <c r="B4479">
        <f>IF(VLOOKUP(Table7[[#This Row],[Date]],Database!$A:$C,MATCH($B$1,Database!$A$1:$C$1,),)=0,#N/A,VLOOKUP(Table7[[#This Row],[Date]],Database!$A:$C,MATCH($B$1,Database!$A$1:$C$1,),))</f>
        <v/>
      </c>
      <c r="C4479">
        <f>IF(VLOOKUP(Table7[[#This Row],[Date]],Database!$A:$C,MATCH($C$1,Database!$A$1:$C$1,),)=0,#N/A,VLOOKUP(Table7[[#This Row],[Date]],Database!$A:$C,MATCH($C$1,Database!$A$1:$C$1,),))</f>
        <v/>
      </c>
      <c r="D4479">
        <f>IFERROR(Table7[[#This Row],[United States 10y]]-Table7[[#This Row],[United States 3y]],#N/A)</f>
        <v/>
      </c>
    </row>
    <row r="4480">
      <c r="A4480" s="6">
        <f>Database!$A6565</f>
        <v/>
      </c>
      <c r="B4480">
        <f>IF(VLOOKUP(Table7[[#This Row],[Date]],Database!$A:$C,MATCH($B$1,Database!$A$1:$C$1,),)=0,#N/A,VLOOKUP(Table7[[#This Row],[Date]],Database!$A:$C,MATCH($B$1,Database!$A$1:$C$1,),))</f>
        <v/>
      </c>
      <c r="C4480">
        <f>IF(VLOOKUP(Table7[[#This Row],[Date]],Database!$A:$C,MATCH($C$1,Database!$A$1:$C$1,),)=0,#N/A,VLOOKUP(Table7[[#This Row],[Date]],Database!$A:$C,MATCH($C$1,Database!$A$1:$C$1,),))</f>
        <v/>
      </c>
      <c r="D4480">
        <f>IFERROR(Table7[[#This Row],[United States 10y]]-Table7[[#This Row],[United States 3y]],#N/A)</f>
        <v/>
      </c>
    </row>
    <row r="4481">
      <c r="A4481" s="6">
        <f>Database!$A6566</f>
        <v/>
      </c>
      <c r="B4481">
        <f>IF(VLOOKUP(Table7[[#This Row],[Date]],Database!$A:$C,MATCH($B$1,Database!$A$1:$C$1,),)=0,#N/A,VLOOKUP(Table7[[#This Row],[Date]],Database!$A:$C,MATCH($B$1,Database!$A$1:$C$1,),))</f>
        <v/>
      </c>
      <c r="C4481">
        <f>IF(VLOOKUP(Table7[[#This Row],[Date]],Database!$A:$C,MATCH($C$1,Database!$A$1:$C$1,),)=0,#N/A,VLOOKUP(Table7[[#This Row],[Date]],Database!$A:$C,MATCH($C$1,Database!$A$1:$C$1,),))</f>
        <v/>
      </c>
      <c r="D4481">
        <f>IFERROR(Table7[[#This Row],[United States 10y]]-Table7[[#This Row],[United States 3y]],#N/A)</f>
        <v/>
      </c>
    </row>
    <row r="4482">
      <c r="A4482" s="6">
        <f>Database!$A6567</f>
        <v/>
      </c>
      <c r="B4482">
        <f>IF(VLOOKUP(Table7[[#This Row],[Date]],Database!$A:$C,MATCH($B$1,Database!$A$1:$C$1,),)=0,#N/A,VLOOKUP(Table7[[#This Row],[Date]],Database!$A:$C,MATCH($B$1,Database!$A$1:$C$1,),))</f>
        <v/>
      </c>
      <c r="C4482">
        <f>IF(VLOOKUP(Table7[[#This Row],[Date]],Database!$A:$C,MATCH($C$1,Database!$A$1:$C$1,),)=0,#N/A,VLOOKUP(Table7[[#This Row],[Date]],Database!$A:$C,MATCH($C$1,Database!$A$1:$C$1,),))</f>
        <v/>
      </c>
      <c r="D4482">
        <f>IFERROR(Table7[[#This Row],[United States 10y]]-Table7[[#This Row],[United States 3y]],#N/A)</f>
        <v/>
      </c>
    </row>
    <row r="4483">
      <c r="A4483" s="6">
        <f>Database!$A6568</f>
        <v/>
      </c>
      <c r="B4483">
        <f>IF(VLOOKUP(Table7[[#This Row],[Date]],Database!$A:$C,MATCH($B$1,Database!$A$1:$C$1,),)=0,#N/A,VLOOKUP(Table7[[#This Row],[Date]],Database!$A:$C,MATCH($B$1,Database!$A$1:$C$1,),))</f>
        <v/>
      </c>
      <c r="C4483">
        <f>IF(VLOOKUP(Table7[[#This Row],[Date]],Database!$A:$C,MATCH($C$1,Database!$A$1:$C$1,),)=0,#N/A,VLOOKUP(Table7[[#This Row],[Date]],Database!$A:$C,MATCH($C$1,Database!$A$1:$C$1,),))</f>
        <v/>
      </c>
      <c r="D4483">
        <f>IFERROR(Table7[[#This Row],[United States 10y]]-Table7[[#This Row],[United States 3y]],#N/A)</f>
        <v/>
      </c>
    </row>
    <row r="4484">
      <c r="A4484" s="6">
        <f>Database!$A6569</f>
        <v/>
      </c>
      <c r="B4484">
        <f>IF(VLOOKUP(Table7[[#This Row],[Date]],Database!$A:$C,MATCH($B$1,Database!$A$1:$C$1,),)=0,#N/A,VLOOKUP(Table7[[#This Row],[Date]],Database!$A:$C,MATCH($B$1,Database!$A$1:$C$1,),))</f>
        <v/>
      </c>
      <c r="C4484">
        <f>IF(VLOOKUP(Table7[[#This Row],[Date]],Database!$A:$C,MATCH($C$1,Database!$A$1:$C$1,),)=0,#N/A,VLOOKUP(Table7[[#This Row],[Date]],Database!$A:$C,MATCH($C$1,Database!$A$1:$C$1,),))</f>
        <v/>
      </c>
      <c r="D4484">
        <f>IFERROR(Table7[[#This Row],[United States 10y]]-Table7[[#This Row],[United States 3y]],#N/A)</f>
        <v/>
      </c>
    </row>
    <row r="4485">
      <c r="A4485" s="6">
        <f>Database!$A6570</f>
        <v/>
      </c>
      <c r="B4485">
        <f>IF(VLOOKUP(Table7[[#This Row],[Date]],Database!$A:$C,MATCH($B$1,Database!$A$1:$C$1,),)=0,#N/A,VLOOKUP(Table7[[#This Row],[Date]],Database!$A:$C,MATCH($B$1,Database!$A$1:$C$1,),))</f>
        <v/>
      </c>
      <c r="C4485">
        <f>IF(VLOOKUP(Table7[[#This Row],[Date]],Database!$A:$C,MATCH($C$1,Database!$A$1:$C$1,),)=0,#N/A,VLOOKUP(Table7[[#This Row],[Date]],Database!$A:$C,MATCH($C$1,Database!$A$1:$C$1,),))</f>
        <v/>
      </c>
      <c r="D4485">
        <f>IFERROR(Table7[[#This Row],[United States 10y]]-Table7[[#This Row],[United States 3y]],#N/A)</f>
        <v/>
      </c>
    </row>
    <row r="4486">
      <c r="A4486" s="6">
        <f>Database!$A6571</f>
        <v/>
      </c>
      <c r="B4486">
        <f>IF(VLOOKUP(Table7[[#This Row],[Date]],Database!$A:$C,MATCH($B$1,Database!$A$1:$C$1,),)=0,#N/A,VLOOKUP(Table7[[#This Row],[Date]],Database!$A:$C,MATCH($B$1,Database!$A$1:$C$1,),))</f>
        <v/>
      </c>
      <c r="C4486">
        <f>IF(VLOOKUP(Table7[[#This Row],[Date]],Database!$A:$C,MATCH($C$1,Database!$A$1:$C$1,),)=0,#N/A,VLOOKUP(Table7[[#This Row],[Date]],Database!$A:$C,MATCH($C$1,Database!$A$1:$C$1,),))</f>
        <v/>
      </c>
      <c r="D4486">
        <f>IFERROR(Table7[[#This Row],[United States 10y]]-Table7[[#This Row],[United States 3y]],#N/A)</f>
        <v/>
      </c>
    </row>
    <row r="4487">
      <c r="A4487" s="6">
        <f>Database!$A6572</f>
        <v/>
      </c>
      <c r="B4487">
        <f>IF(VLOOKUP(Table7[[#This Row],[Date]],Database!$A:$C,MATCH($B$1,Database!$A$1:$C$1,),)=0,#N/A,VLOOKUP(Table7[[#This Row],[Date]],Database!$A:$C,MATCH($B$1,Database!$A$1:$C$1,),))</f>
        <v/>
      </c>
      <c r="C4487">
        <f>IF(VLOOKUP(Table7[[#This Row],[Date]],Database!$A:$C,MATCH($C$1,Database!$A$1:$C$1,),)=0,#N/A,VLOOKUP(Table7[[#This Row],[Date]],Database!$A:$C,MATCH($C$1,Database!$A$1:$C$1,),))</f>
        <v/>
      </c>
      <c r="D4487">
        <f>IFERROR(Table7[[#This Row],[United States 10y]]-Table7[[#This Row],[United States 3y]],#N/A)</f>
        <v/>
      </c>
    </row>
    <row r="4488">
      <c r="A4488" s="6">
        <f>Database!$A6573</f>
        <v/>
      </c>
      <c r="B4488">
        <f>IF(VLOOKUP(Table7[[#This Row],[Date]],Database!$A:$C,MATCH($B$1,Database!$A$1:$C$1,),)=0,#N/A,VLOOKUP(Table7[[#This Row],[Date]],Database!$A:$C,MATCH($B$1,Database!$A$1:$C$1,),))</f>
        <v/>
      </c>
      <c r="C4488">
        <f>IF(VLOOKUP(Table7[[#This Row],[Date]],Database!$A:$C,MATCH($C$1,Database!$A$1:$C$1,),)=0,#N/A,VLOOKUP(Table7[[#This Row],[Date]],Database!$A:$C,MATCH($C$1,Database!$A$1:$C$1,),))</f>
        <v/>
      </c>
      <c r="D4488">
        <f>IFERROR(Table7[[#This Row],[United States 10y]]-Table7[[#This Row],[United States 3y]],#N/A)</f>
        <v/>
      </c>
    </row>
    <row r="4489">
      <c r="A4489" s="6">
        <f>Database!$A6574</f>
        <v/>
      </c>
      <c r="B4489">
        <f>IF(VLOOKUP(Table7[[#This Row],[Date]],Database!$A:$C,MATCH($B$1,Database!$A$1:$C$1,),)=0,#N/A,VLOOKUP(Table7[[#This Row],[Date]],Database!$A:$C,MATCH($B$1,Database!$A$1:$C$1,),))</f>
        <v/>
      </c>
      <c r="C4489">
        <f>IF(VLOOKUP(Table7[[#This Row],[Date]],Database!$A:$C,MATCH($C$1,Database!$A$1:$C$1,),)=0,#N/A,VLOOKUP(Table7[[#This Row],[Date]],Database!$A:$C,MATCH($C$1,Database!$A$1:$C$1,),))</f>
        <v/>
      </c>
      <c r="D4489">
        <f>IFERROR(Table7[[#This Row],[United States 10y]]-Table7[[#This Row],[United States 3y]],#N/A)</f>
        <v/>
      </c>
    </row>
    <row r="4490">
      <c r="A4490" s="6">
        <f>Database!$A6575</f>
        <v/>
      </c>
      <c r="B4490">
        <f>IF(VLOOKUP(Table7[[#This Row],[Date]],Database!$A:$C,MATCH($B$1,Database!$A$1:$C$1,),)=0,#N/A,VLOOKUP(Table7[[#This Row],[Date]],Database!$A:$C,MATCH($B$1,Database!$A$1:$C$1,),))</f>
        <v/>
      </c>
      <c r="C4490">
        <f>IF(VLOOKUP(Table7[[#This Row],[Date]],Database!$A:$C,MATCH($C$1,Database!$A$1:$C$1,),)=0,#N/A,VLOOKUP(Table7[[#This Row],[Date]],Database!$A:$C,MATCH($C$1,Database!$A$1:$C$1,),))</f>
        <v/>
      </c>
      <c r="D4490">
        <f>IFERROR(Table7[[#This Row],[United States 10y]]-Table7[[#This Row],[United States 3y]],#N/A)</f>
        <v/>
      </c>
    </row>
    <row r="4491">
      <c r="A4491" s="6">
        <f>Database!$A6576</f>
        <v/>
      </c>
      <c r="B4491">
        <f>IF(VLOOKUP(Table7[[#This Row],[Date]],Database!$A:$C,MATCH($B$1,Database!$A$1:$C$1,),)=0,#N/A,VLOOKUP(Table7[[#This Row],[Date]],Database!$A:$C,MATCH($B$1,Database!$A$1:$C$1,),))</f>
        <v/>
      </c>
      <c r="C4491">
        <f>IF(VLOOKUP(Table7[[#This Row],[Date]],Database!$A:$C,MATCH($C$1,Database!$A$1:$C$1,),)=0,#N/A,VLOOKUP(Table7[[#This Row],[Date]],Database!$A:$C,MATCH($C$1,Database!$A$1:$C$1,),))</f>
        <v/>
      </c>
      <c r="D4491">
        <f>IFERROR(Table7[[#This Row],[United States 10y]]-Table7[[#This Row],[United States 3y]],#N/A)</f>
        <v/>
      </c>
    </row>
    <row r="4492">
      <c r="A4492" s="6">
        <f>Database!$A6577</f>
        <v/>
      </c>
      <c r="B4492">
        <f>IF(VLOOKUP(Table7[[#This Row],[Date]],Database!$A:$C,MATCH($B$1,Database!$A$1:$C$1,),)=0,#N/A,VLOOKUP(Table7[[#This Row],[Date]],Database!$A:$C,MATCH($B$1,Database!$A$1:$C$1,),))</f>
        <v/>
      </c>
      <c r="C4492">
        <f>IF(VLOOKUP(Table7[[#This Row],[Date]],Database!$A:$C,MATCH($C$1,Database!$A$1:$C$1,),)=0,#N/A,VLOOKUP(Table7[[#This Row],[Date]],Database!$A:$C,MATCH($C$1,Database!$A$1:$C$1,),))</f>
        <v/>
      </c>
      <c r="D4492">
        <f>IFERROR(Table7[[#This Row],[United States 10y]]-Table7[[#This Row],[United States 3y]],#N/A)</f>
        <v/>
      </c>
    </row>
    <row r="4493">
      <c r="A4493" s="6">
        <f>Database!$A6578</f>
        <v/>
      </c>
      <c r="B4493">
        <f>IF(VLOOKUP(Table7[[#This Row],[Date]],Database!$A:$C,MATCH($B$1,Database!$A$1:$C$1,),)=0,#N/A,VLOOKUP(Table7[[#This Row],[Date]],Database!$A:$C,MATCH($B$1,Database!$A$1:$C$1,),))</f>
        <v/>
      </c>
      <c r="C4493">
        <f>IF(VLOOKUP(Table7[[#This Row],[Date]],Database!$A:$C,MATCH($C$1,Database!$A$1:$C$1,),)=0,#N/A,VLOOKUP(Table7[[#This Row],[Date]],Database!$A:$C,MATCH($C$1,Database!$A$1:$C$1,),))</f>
        <v/>
      </c>
      <c r="D4493">
        <f>IFERROR(Table7[[#This Row],[United States 10y]]-Table7[[#This Row],[United States 3y]],#N/A)</f>
        <v/>
      </c>
    </row>
    <row r="4494">
      <c r="A4494" s="6">
        <f>Database!$A6579</f>
        <v/>
      </c>
      <c r="B4494">
        <f>IF(VLOOKUP(Table7[[#This Row],[Date]],Database!$A:$C,MATCH($B$1,Database!$A$1:$C$1,),)=0,#N/A,VLOOKUP(Table7[[#This Row],[Date]],Database!$A:$C,MATCH($B$1,Database!$A$1:$C$1,),))</f>
        <v/>
      </c>
      <c r="C4494">
        <f>IF(VLOOKUP(Table7[[#This Row],[Date]],Database!$A:$C,MATCH($C$1,Database!$A$1:$C$1,),)=0,#N/A,VLOOKUP(Table7[[#This Row],[Date]],Database!$A:$C,MATCH($C$1,Database!$A$1:$C$1,),))</f>
        <v/>
      </c>
      <c r="D4494">
        <f>IFERROR(Table7[[#This Row],[United States 10y]]-Table7[[#This Row],[United States 3y]],#N/A)</f>
        <v/>
      </c>
    </row>
    <row r="4495">
      <c r="A4495" s="6">
        <f>Database!$A6580</f>
        <v/>
      </c>
      <c r="B4495">
        <f>IF(VLOOKUP(Table7[[#This Row],[Date]],Database!$A:$C,MATCH($B$1,Database!$A$1:$C$1,),)=0,#N/A,VLOOKUP(Table7[[#This Row],[Date]],Database!$A:$C,MATCH($B$1,Database!$A$1:$C$1,),))</f>
        <v/>
      </c>
      <c r="C4495">
        <f>IF(VLOOKUP(Table7[[#This Row],[Date]],Database!$A:$C,MATCH($C$1,Database!$A$1:$C$1,),)=0,#N/A,VLOOKUP(Table7[[#This Row],[Date]],Database!$A:$C,MATCH($C$1,Database!$A$1:$C$1,),))</f>
        <v/>
      </c>
      <c r="D4495">
        <f>IFERROR(Table7[[#This Row],[United States 10y]]-Table7[[#This Row],[United States 3y]],#N/A)</f>
        <v/>
      </c>
    </row>
    <row r="4496">
      <c r="A4496" s="6">
        <f>Database!$A6581</f>
        <v/>
      </c>
      <c r="B4496">
        <f>IF(VLOOKUP(Table7[[#This Row],[Date]],Database!$A:$C,MATCH($B$1,Database!$A$1:$C$1,),)=0,#N/A,VLOOKUP(Table7[[#This Row],[Date]],Database!$A:$C,MATCH($B$1,Database!$A$1:$C$1,),))</f>
        <v/>
      </c>
      <c r="C4496">
        <f>IF(VLOOKUP(Table7[[#This Row],[Date]],Database!$A:$C,MATCH($C$1,Database!$A$1:$C$1,),)=0,#N/A,VLOOKUP(Table7[[#This Row],[Date]],Database!$A:$C,MATCH($C$1,Database!$A$1:$C$1,),))</f>
        <v/>
      </c>
      <c r="D4496">
        <f>IFERROR(Table7[[#This Row],[United States 10y]]-Table7[[#This Row],[United States 3y]],#N/A)</f>
        <v/>
      </c>
    </row>
    <row r="4497">
      <c r="A4497" s="6">
        <f>Database!$A6582</f>
        <v/>
      </c>
      <c r="B4497">
        <f>IF(VLOOKUP(Table7[[#This Row],[Date]],Database!$A:$C,MATCH($B$1,Database!$A$1:$C$1,),)=0,#N/A,VLOOKUP(Table7[[#This Row],[Date]],Database!$A:$C,MATCH($B$1,Database!$A$1:$C$1,),))</f>
        <v/>
      </c>
      <c r="C4497">
        <f>IF(VLOOKUP(Table7[[#This Row],[Date]],Database!$A:$C,MATCH($C$1,Database!$A$1:$C$1,),)=0,#N/A,VLOOKUP(Table7[[#This Row],[Date]],Database!$A:$C,MATCH($C$1,Database!$A$1:$C$1,),))</f>
        <v/>
      </c>
      <c r="D4497">
        <f>IFERROR(Table7[[#This Row],[United States 10y]]-Table7[[#This Row],[United States 3y]],#N/A)</f>
        <v/>
      </c>
    </row>
    <row r="4498">
      <c r="A4498" s="6">
        <f>Database!$A6583</f>
        <v/>
      </c>
      <c r="B4498">
        <f>IF(VLOOKUP(Table7[[#This Row],[Date]],Database!$A:$C,MATCH($B$1,Database!$A$1:$C$1,),)=0,#N/A,VLOOKUP(Table7[[#This Row],[Date]],Database!$A:$C,MATCH($B$1,Database!$A$1:$C$1,),))</f>
        <v/>
      </c>
      <c r="C4498">
        <f>IF(VLOOKUP(Table7[[#This Row],[Date]],Database!$A:$C,MATCH($C$1,Database!$A$1:$C$1,),)=0,#N/A,VLOOKUP(Table7[[#This Row],[Date]],Database!$A:$C,MATCH($C$1,Database!$A$1:$C$1,),))</f>
        <v/>
      </c>
      <c r="D4498">
        <f>IFERROR(Table7[[#This Row],[United States 10y]]-Table7[[#This Row],[United States 3y]],#N/A)</f>
        <v/>
      </c>
    </row>
    <row r="4499">
      <c r="A4499" s="6">
        <f>Database!$A6584</f>
        <v/>
      </c>
      <c r="B4499">
        <f>IF(VLOOKUP(Table7[[#This Row],[Date]],Database!$A:$C,MATCH($B$1,Database!$A$1:$C$1,),)=0,#N/A,VLOOKUP(Table7[[#This Row],[Date]],Database!$A:$C,MATCH($B$1,Database!$A$1:$C$1,),))</f>
        <v/>
      </c>
      <c r="C4499">
        <f>IF(VLOOKUP(Table7[[#This Row],[Date]],Database!$A:$C,MATCH($C$1,Database!$A$1:$C$1,),)=0,#N/A,VLOOKUP(Table7[[#This Row],[Date]],Database!$A:$C,MATCH($C$1,Database!$A$1:$C$1,),))</f>
        <v/>
      </c>
      <c r="D4499">
        <f>IFERROR(Table7[[#This Row],[United States 10y]]-Table7[[#This Row],[United States 3y]],#N/A)</f>
        <v/>
      </c>
    </row>
    <row r="4500">
      <c r="A4500" s="6">
        <f>Database!$A6585</f>
        <v/>
      </c>
      <c r="B4500">
        <f>IF(VLOOKUP(Table7[[#This Row],[Date]],Database!$A:$C,MATCH($B$1,Database!$A$1:$C$1,),)=0,#N/A,VLOOKUP(Table7[[#This Row],[Date]],Database!$A:$C,MATCH($B$1,Database!$A$1:$C$1,),))</f>
        <v/>
      </c>
      <c r="C4500">
        <f>IF(VLOOKUP(Table7[[#This Row],[Date]],Database!$A:$C,MATCH($C$1,Database!$A$1:$C$1,),)=0,#N/A,VLOOKUP(Table7[[#This Row],[Date]],Database!$A:$C,MATCH($C$1,Database!$A$1:$C$1,),))</f>
        <v/>
      </c>
      <c r="D4500">
        <f>IFERROR(Table7[[#This Row],[United States 10y]]-Table7[[#This Row],[United States 3y]],#N/A)</f>
        <v/>
      </c>
    </row>
    <row r="4501">
      <c r="A4501" s="6">
        <f>Database!$A6586</f>
        <v/>
      </c>
      <c r="B4501">
        <f>IF(VLOOKUP(Table7[[#This Row],[Date]],Database!$A:$C,MATCH($B$1,Database!$A$1:$C$1,),)=0,#N/A,VLOOKUP(Table7[[#This Row],[Date]],Database!$A:$C,MATCH($B$1,Database!$A$1:$C$1,),))</f>
        <v/>
      </c>
      <c r="C4501">
        <f>IF(VLOOKUP(Table7[[#This Row],[Date]],Database!$A:$C,MATCH($C$1,Database!$A$1:$C$1,),)=0,#N/A,VLOOKUP(Table7[[#This Row],[Date]],Database!$A:$C,MATCH($C$1,Database!$A$1:$C$1,),))</f>
        <v/>
      </c>
      <c r="D4501">
        <f>IFERROR(Table7[[#This Row],[United States 10y]]-Table7[[#This Row],[United States 3y]],#N/A)</f>
        <v/>
      </c>
    </row>
    <row r="4502">
      <c r="A4502" s="6">
        <f>Database!$A6587</f>
        <v/>
      </c>
      <c r="B4502">
        <f>IF(VLOOKUP(Table7[[#This Row],[Date]],Database!$A:$C,MATCH($B$1,Database!$A$1:$C$1,),)=0,#N/A,VLOOKUP(Table7[[#This Row],[Date]],Database!$A:$C,MATCH($B$1,Database!$A$1:$C$1,),))</f>
        <v/>
      </c>
      <c r="C4502">
        <f>IF(VLOOKUP(Table7[[#This Row],[Date]],Database!$A:$C,MATCH($C$1,Database!$A$1:$C$1,),)=0,#N/A,VLOOKUP(Table7[[#This Row],[Date]],Database!$A:$C,MATCH($C$1,Database!$A$1:$C$1,),))</f>
        <v/>
      </c>
      <c r="D4502">
        <f>IFERROR(Table7[[#This Row],[United States 10y]]-Table7[[#This Row],[United States 3y]],#N/A)</f>
        <v/>
      </c>
    </row>
    <row r="4503">
      <c r="A4503" s="6">
        <f>Database!$A6588</f>
        <v/>
      </c>
      <c r="B4503">
        <f>IF(VLOOKUP(Table7[[#This Row],[Date]],Database!$A:$C,MATCH($B$1,Database!$A$1:$C$1,),)=0,#N/A,VLOOKUP(Table7[[#This Row],[Date]],Database!$A:$C,MATCH($B$1,Database!$A$1:$C$1,),))</f>
        <v/>
      </c>
      <c r="C4503">
        <f>IF(VLOOKUP(Table7[[#This Row],[Date]],Database!$A:$C,MATCH($C$1,Database!$A$1:$C$1,),)=0,#N/A,VLOOKUP(Table7[[#This Row],[Date]],Database!$A:$C,MATCH($C$1,Database!$A$1:$C$1,),))</f>
        <v/>
      </c>
      <c r="D4503">
        <f>IFERROR(Table7[[#This Row],[United States 10y]]-Table7[[#This Row],[United States 3y]],#N/A)</f>
        <v/>
      </c>
    </row>
    <row r="4504">
      <c r="A4504" s="6">
        <f>Database!$A6589</f>
        <v/>
      </c>
      <c r="B4504">
        <f>IF(VLOOKUP(Table7[[#This Row],[Date]],Database!$A:$C,MATCH($B$1,Database!$A$1:$C$1,),)=0,#N/A,VLOOKUP(Table7[[#This Row],[Date]],Database!$A:$C,MATCH($B$1,Database!$A$1:$C$1,),))</f>
        <v/>
      </c>
      <c r="C4504">
        <f>IF(VLOOKUP(Table7[[#This Row],[Date]],Database!$A:$C,MATCH($C$1,Database!$A$1:$C$1,),)=0,#N/A,VLOOKUP(Table7[[#This Row],[Date]],Database!$A:$C,MATCH($C$1,Database!$A$1:$C$1,),))</f>
        <v/>
      </c>
      <c r="D4504">
        <f>IFERROR(Table7[[#This Row],[United States 10y]]-Table7[[#This Row],[United States 3y]],#N/A)</f>
        <v/>
      </c>
    </row>
    <row r="4505">
      <c r="A4505" s="6">
        <f>Database!$A6590</f>
        <v/>
      </c>
      <c r="B4505">
        <f>IF(VLOOKUP(Table7[[#This Row],[Date]],Database!$A:$C,MATCH($B$1,Database!$A$1:$C$1,),)=0,#N/A,VLOOKUP(Table7[[#This Row],[Date]],Database!$A:$C,MATCH($B$1,Database!$A$1:$C$1,),))</f>
        <v/>
      </c>
      <c r="C4505">
        <f>IF(VLOOKUP(Table7[[#This Row],[Date]],Database!$A:$C,MATCH($C$1,Database!$A$1:$C$1,),)=0,#N/A,VLOOKUP(Table7[[#This Row],[Date]],Database!$A:$C,MATCH($C$1,Database!$A$1:$C$1,),))</f>
        <v/>
      </c>
      <c r="D4505">
        <f>IFERROR(Table7[[#This Row],[United States 10y]]-Table7[[#This Row],[United States 3y]],#N/A)</f>
        <v/>
      </c>
    </row>
    <row r="4506">
      <c r="A4506" s="6">
        <f>Database!$A6591</f>
        <v/>
      </c>
      <c r="B4506">
        <f>IF(VLOOKUP(Table7[[#This Row],[Date]],Database!$A:$C,MATCH($B$1,Database!$A$1:$C$1,),)=0,#N/A,VLOOKUP(Table7[[#This Row],[Date]],Database!$A:$C,MATCH($B$1,Database!$A$1:$C$1,),))</f>
        <v/>
      </c>
      <c r="C4506">
        <f>IF(VLOOKUP(Table7[[#This Row],[Date]],Database!$A:$C,MATCH($C$1,Database!$A$1:$C$1,),)=0,#N/A,VLOOKUP(Table7[[#This Row],[Date]],Database!$A:$C,MATCH($C$1,Database!$A$1:$C$1,),))</f>
        <v/>
      </c>
      <c r="D4506">
        <f>IFERROR(Table7[[#This Row],[United States 10y]]-Table7[[#This Row],[United States 3y]],#N/A)</f>
        <v/>
      </c>
    </row>
    <row r="4507">
      <c r="A4507" s="6">
        <f>Database!$A6592</f>
        <v/>
      </c>
      <c r="B4507">
        <f>IF(VLOOKUP(Table7[[#This Row],[Date]],Database!$A:$C,MATCH($B$1,Database!$A$1:$C$1,),)=0,#N/A,VLOOKUP(Table7[[#This Row],[Date]],Database!$A:$C,MATCH($B$1,Database!$A$1:$C$1,),))</f>
        <v/>
      </c>
      <c r="C4507">
        <f>IF(VLOOKUP(Table7[[#This Row],[Date]],Database!$A:$C,MATCH($C$1,Database!$A$1:$C$1,),)=0,#N/A,VLOOKUP(Table7[[#This Row],[Date]],Database!$A:$C,MATCH($C$1,Database!$A$1:$C$1,),))</f>
        <v/>
      </c>
      <c r="D4507">
        <f>IFERROR(Table7[[#This Row],[United States 10y]]-Table7[[#This Row],[United States 3y]],#N/A)</f>
        <v/>
      </c>
    </row>
    <row r="4508">
      <c r="A4508" s="6">
        <f>Database!$A6593</f>
        <v/>
      </c>
      <c r="B4508">
        <f>IF(VLOOKUP(Table7[[#This Row],[Date]],Database!$A:$C,MATCH($B$1,Database!$A$1:$C$1,),)=0,#N/A,VLOOKUP(Table7[[#This Row],[Date]],Database!$A:$C,MATCH($B$1,Database!$A$1:$C$1,),))</f>
        <v/>
      </c>
      <c r="C4508">
        <f>IF(VLOOKUP(Table7[[#This Row],[Date]],Database!$A:$C,MATCH($C$1,Database!$A$1:$C$1,),)=0,#N/A,VLOOKUP(Table7[[#This Row],[Date]],Database!$A:$C,MATCH($C$1,Database!$A$1:$C$1,),))</f>
        <v/>
      </c>
      <c r="D4508">
        <f>IFERROR(Table7[[#This Row],[United States 10y]]-Table7[[#This Row],[United States 3y]],#N/A)</f>
        <v/>
      </c>
    </row>
    <row r="4509">
      <c r="A4509" s="6">
        <f>Database!$A6594</f>
        <v/>
      </c>
      <c r="B4509">
        <f>IF(VLOOKUP(Table7[[#This Row],[Date]],Database!$A:$C,MATCH($B$1,Database!$A$1:$C$1,),)=0,#N/A,VLOOKUP(Table7[[#This Row],[Date]],Database!$A:$C,MATCH($B$1,Database!$A$1:$C$1,),))</f>
        <v/>
      </c>
      <c r="C4509">
        <f>IF(VLOOKUP(Table7[[#This Row],[Date]],Database!$A:$C,MATCH($C$1,Database!$A$1:$C$1,),)=0,#N/A,VLOOKUP(Table7[[#This Row],[Date]],Database!$A:$C,MATCH($C$1,Database!$A$1:$C$1,),))</f>
        <v/>
      </c>
      <c r="D4509">
        <f>IFERROR(Table7[[#This Row],[United States 10y]]-Table7[[#This Row],[United States 3y]],#N/A)</f>
        <v/>
      </c>
    </row>
    <row r="4510">
      <c r="A4510" s="6">
        <f>Database!$A6595</f>
        <v/>
      </c>
      <c r="B4510">
        <f>IF(VLOOKUP(Table7[[#This Row],[Date]],Database!$A:$C,MATCH($B$1,Database!$A$1:$C$1,),)=0,#N/A,VLOOKUP(Table7[[#This Row],[Date]],Database!$A:$C,MATCH($B$1,Database!$A$1:$C$1,),))</f>
        <v/>
      </c>
      <c r="C4510">
        <f>IF(VLOOKUP(Table7[[#This Row],[Date]],Database!$A:$C,MATCH($C$1,Database!$A$1:$C$1,),)=0,#N/A,VLOOKUP(Table7[[#This Row],[Date]],Database!$A:$C,MATCH($C$1,Database!$A$1:$C$1,),))</f>
        <v/>
      </c>
      <c r="D4510">
        <f>IFERROR(Table7[[#This Row],[United States 10y]]-Table7[[#This Row],[United States 3y]],#N/A)</f>
        <v/>
      </c>
    </row>
    <row r="4511">
      <c r="A4511" s="6">
        <f>Database!$A6596</f>
        <v/>
      </c>
      <c r="B4511">
        <f>IF(VLOOKUP(Table7[[#This Row],[Date]],Database!$A:$C,MATCH($B$1,Database!$A$1:$C$1,),)=0,#N/A,VLOOKUP(Table7[[#This Row],[Date]],Database!$A:$C,MATCH($B$1,Database!$A$1:$C$1,),))</f>
        <v/>
      </c>
      <c r="C4511">
        <f>IF(VLOOKUP(Table7[[#This Row],[Date]],Database!$A:$C,MATCH($C$1,Database!$A$1:$C$1,),)=0,#N/A,VLOOKUP(Table7[[#This Row],[Date]],Database!$A:$C,MATCH($C$1,Database!$A$1:$C$1,),))</f>
        <v/>
      </c>
      <c r="D4511">
        <f>IFERROR(Table7[[#This Row],[United States 10y]]-Table7[[#This Row],[United States 3y]],#N/A)</f>
        <v/>
      </c>
    </row>
    <row r="4512">
      <c r="A4512" s="6">
        <f>Database!$A6597</f>
        <v/>
      </c>
      <c r="B4512">
        <f>IF(VLOOKUP(Table7[[#This Row],[Date]],Database!$A:$C,MATCH($B$1,Database!$A$1:$C$1,),)=0,#N/A,VLOOKUP(Table7[[#This Row],[Date]],Database!$A:$C,MATCH($B$1,Database!$A$1:$C$1,),))</f>
        <v/>
      </c>
      <c r="C4512">
        <f>IF(VLOOKUP(Table7[[#This Row],[Date]],Database!$A:$C,MATCH($C$1,Database!$A$1:$C$1,),)=0,#N/A,VLOOKUP(Table7[[#This Row],[Date]],Database!$A:$C,MATCH($C$1,Database!$A$1:$C$1,),))</f>
        <v/>
      </c>
      <c r="D4512">
        <f>IFERROR(Table7[[#This Row],[United States 10y]]-Table7[[#This Row],[United States 3y]],#N/A)</f>
        <v/>
      </c>
    </row>
    <row r="4513">
      <c r="A4513" s="6">
        <f>Database!$A6598</f>
        <v/>
      </c>
      <c r="B4513">
        <f>IF(VLOOKUP(Table7[[#This Row],[Date]],Database!$A:$C,MATCH($B$1,Database!$A$1:$C$1,),)=0,#N/A,VLOOKUP(Table7[[#This Row],[Date]],Database!$A:$C,MATCH($B$1,Database!$A$1:$C$1,),))</f>
        <v/>
      </c>
      <c r="C4513">
        <f>IF(VLOOKUP(Table7[[#This Row],[Date]],Database!$A:$C,MATCH($C$1,Database!$A$1:$C$1,),)=0,#N/A,VLOOKUP(Table7[[#This Row],[Date]],Database!$A:$C,MATCH($C$1,Database!$A$1:$C$1,),))</f>
        <v/>
      </c>
      <c r="D4513">
        <f>IFERROR(Table7[[#This Row],[United States 10y]]-Table7[[#This Row],[United States 3y]],#N/A)</f>
        <v/>
      </c>
    </row>
    <row r="4514">
      <c r="A4514" s="6">
        <f>Database!$A6599</f>
        <v/>
      </c>
      <c r="B4514">
        <f>IF(VLOOKUP(Table7[[#This Row],[Date]],Database!$A:$C,MATCH($B$1,Database!$A$1:$C$1,),)=0,#N/A,VLOOKUP(Table7[[#This Row],[Date]],Database!$A:$C,MATCH($B$1,Database!$A$1:$C$1,),))</f>
        <v/>
      </c>
      <c r="C4514">
        <f>IF(VLOOKUP(Table7[[#This Row],[Date]],Database!$A:$C,MATCH($C$1,Database!$A$1:$C$1,),)=0,#N/A,VLOOKUP(Table7[[#This Row],[Date]],Database!$A:$C,MATCH($C$1,Database!$A$1:$C$1,),))</f>
        <v/>
      </c>
      <c r="D4514">
        <f>IFERROR(Table7[[#This Row],[United States 10y]]-Table7[[#This Row],[United States 3y]],#N/A)</f>
        <v/>
      </c>
    </row>
    <row r="4515">
      <c r="A4515" s="6">
        <f>Database!$A6600</f>
        <v/>
      </c>
      <c r="B4515">
        <f>IF(VLOOKUP(Table7[[#This Row],[Date]],Database!$A:$C,MATCH($B$1,Database!$A$1:$C$1,),)=0,#N/A,VLOOKUP(Table7[[#This Row],[Date]],Database!$A:$C,MATCH($B$1,Database!$A$1:$C$1,),))</f>
        <v/>
      </c>
      <c r="C4515">
        <f>IF(VLOOKUP(Table7[[#This Row],[Date]],Database!$A:$C,MATCH($C$1,Database!$A$1:$C$1,),)=0,#N/A,VLOOKUP(Table7[[#This Row],[Date]],Database!$A:$C,MATCH($C$1,Database!$A$1:$C$1,),))</f>
        <v/>
      </c>
      <c r="D4515">
        <f>IFERROR(Table7[[#This Row],[United States 10y]]-Table7[[#This Row],[United States 3y]],#N/A)</f>
        <v/>
      </c>
    </row>
    <row r="4516">
      <c r="A4516" s="6">
        <f>Database!$A6601</f>
        <v/>
      </c>
      <c r="B4516">
        <f>IF(VLOOKUP(Table7[[#This Row],[Date]],Database!$A:$C,MATCH($B$1,Database!$A$1:$C$1,),)=0,#N/A,VLOOKUP(Table7[[#This Row],[Date]],Database!$A:$C,MATCH($B$1,Database!$A$1:$C$1,),))</f>
        <v/>
      </c>
      <c r="C4516">
        <f>IF(VLOOKUP(Table7[[#This Row],[Date]],Database!$A:$C,MATCH($C$1,Database!$A$1:$C$1,),)=0,#N/A,VLOOKUP(Table7[[#This Row],[Date]],Database!$A:$C,MATCH($C$1,Database!$A$1:$C$1,),))</f>
        <v/>
      </c>
      <c r="D4516">
        <f>IFERROR(Table7[[#This Row],[United States 10y]]-Table7[[#This Row],[United States 3y]],#N/A)</f>
        <v/>
      </c>
    </row>
    <row r="4517">
      <c r="A4517" s="6">
        <f>Database!$A6602</f>
        <v/>
      </c>
      <c r="B4517">
        <f>IF(VLOOKUP(Table7[[#This Row],[Date]],Database!$A:$C,MATCH($B$1,Database!$A$1:$C$1,),)=0,#N/A,VLOOKUP(Table7[[#This Row],[Date]],Database!$A:$C,MATCH($B$1,Database!$A$1:$C$1,),))</f>
        <v/>
      </c>
      <c r="C4517">
        <f>IF(VLOOKUP(Table7[[#This Row],[Date]],Database!$A:$C,MATCH($C$1,Database!$A$1:$C$1,),)=0,#N/A,VLOOKUP(Table7[[#This Row],[Date]],Database!$A:$C,MATCH($C$1,Database!$A$1:$C$1,),))</f>
        <v/>
      </c>
      <c r="D4517">
        <f>IFERROR(Table7[[#This Row],[United States 10y]]-Table7[[#This Row],[United States 3y]],#N/A)</f>
        <v/>
      </c>
    </row>
    <row r="4518">
      <c r="A4518" s="6">
        <f>Database!$A6603</f>
        <v/>
      </c>
      <c r="B4518">
        <f>IF(VLOOKUP(Table7[[#This Row],[Date]],Database!$A:$C,MATCH($B$1,Database!$A$1:$C$1,),)=0,#N/A,VLOOKUP(Table7[[#This Row],[Date]],Database!$A:$C,MATCH($B$1,Database!$A$1:$C$1,),))</f>
        <v/>
      </c>
      <c r="C4518">
        <f>IF(VLOOKUP(Table7[[#This Row],[Date]],Database!$A:$C,MATCH($C$1,Database!$A$1:$C$1,),)=0,#N/A,VLOOKUP(Table7[[#This Row],[Date]],Database!$A:$C,MATCH($C$1,Database!$A$1:$C$1,),))</f>
        <v/>
      </c>
      <c r="D4518">
        <f>IFERROR(Table7[[#This Row],[United States 10y]]-Table7[[#This Row],[United States 3y]],#N/A)</f>
        <v/>
      </c>
    </row>
    <row r="4519">
      <c r="A4519" s="6">
        <f>Database!$A6604</f>
        <v/>
      </c>
      <c r="B4519">
        <f>IF(VLOOKUP(Table7[[#This Row],[Date]],Database!$A:$C,MATCH($B$1,Database!$A$1:$C$1,),)=0,#N/A,VLOOKUP(Table7[[#This Row],[Date]],Database!$A:$C,MATCH($B$1,Database!$A$1:$C$1,),))</f>
        <v/>
      </c>
      <c r="C4519">
        <f>IF(VLOOKUP(Table7[[#This Row],[Date]],Database!$A:$C,MATCH($C$1,Database!$A$1:$C$1,),)=0,#N/A,VLOOKUP(Table7[[#This Row],[Date]],Database!$A:$C,MATCH($C$1,Database!$A$1:$C$1,),))</f>
        <v/>
      </c>
      <c r="D4519">
        <f>IFERROR(Table7[[#This Row],[United States 10y]]-Table7[[#This Row],[United States 3y]],#N/A)</f>
        <v/>
      </c>
    </row>
    <row r="4520">
      <c r="A4520" s="6">
        <f>Database!$A6605</f>
        <v/>
      </c>
      <c r="B4520">
        <f>IF(VLOOKUP(Table7[[#This Row],[Date]],Database!$A:$C,MATCH($B$1,Database!$A$1:$C$1,),)=0,#N/A,VLOOKUP(Table7[[#This Row],[Date]],Database!$A:$C,MATCH($B$1,Database!$A$1:$C$1,),))</f>
        <v/>
      </c>
      <c r="C4520">
        <f>IF(VLOOKUP(Table7[[#This Row],[Date]],Database!$A:$C,MATCH($C$1,Database!$A$1:$C$1,),)=0,#N/A,VLOOKUP(Table7[[#This Row],[Date]],Database!$A:$C,MATCH($C$1,Database!$A$1:$C$1,),))</f>
        <v/>
      </c>
      <c r="D4520">
        <f>IFERROR(Table7[[#This Row],[United States 10y]]-Table7[[#This Row],[United States 3y]],#N/A)</f>
        <v/>
      </c>
    </row>
    <row r="4521">
      <c r="A4521" s="6">
        <f>Database!$A6606</f>
        <v/>
      </c>
      <c r="B4521">
        <f>IF(VLOOKUP(Table7[[#This Row],[Date]],Database!$A:$C,MATCH($B$1,Database!$A$1:$C$1,),)=0,#N/A,VLOOKUP(Table7[[#This Row],[Date]],Database!$A:$C,MATCH($B$1,Database!$A$1:$C$1,),))</f>
        <v/>
      </c>
      <c r="C4521">
        <f>IF(VLOOKUP(Table7[[#This Row],[Date]],Database!$A:$C,MATCH($C$1,Database!$A$1:$C$1,),)=0,#N/A,VLOOKUP(Table7[[#This Row],[Date]],Database!$A:$C,MATCH($C$1,Database!$A$1:$C$1,),))</f>
        <v/>
      </c>
      <c r="D4521">
        <f>IFERROR(Table7[[#This Row],[United States 10y]]-Table7[[#This Row],[United States 3y]],#N/A)</f>
        <v/>
      </c>
    </row>
    <row r="4522">
      <c r="A4522" s="6">
        <f>Database!$A6607</f>
        <v/>
      </c>
      <c r="B4522">
        <f>IF(VLOOKUP(Table7[[#This Row],[Date]],Database!$A:$C,MATCH($B$1,Database!$A$1:$C$1,),)=0,#N/A,VLOOKUP(Table7[[#This Row],[Date]],Database!$A:$C,MATCH($B$1,Database!$A$1:$C$1,),))</f>
        <v/>
      </c>
      <c r="C4522">
        <f>IF(VLOOKUP(Table7[[#This Row],[Date]],Database!$A:$C,MATCH($C$1,Database!$A$1:$C$1,),)=0,#N/A,VLOOKUP(Table7[[#This Row],[Date]],Database!$A:$C,MATCH($C$1,Database!$A$1:$C$1,),))</f>
        <v/>
      </c>
      <c r="D4522">
        <f>IFERROR(Table7[[#This Row],[United States 10y]]-Table7[[#This Row],[United States 3y]],#N/A)</f>
        <v/>
      </c>
    </row>
    <row r="4523">
      <c r="A4523" s="6">
        <f>Database!$A6608</f>
        <v/>
      </c>
      <c r="B4523">
        <f>IF(VLOOKUP(Table7[[#This Row],[Date]],Database!$A:$C,MATCH($B$1,Database!$A$1:$C$1,),)=0,#N/A,VLOOKUP(Table7[[#This Row],[Date]],Database!$A:$C,MATCH($B$1,Database!$A$1:$C$1,),))</f>
        <v/>
      </c>
      <c r="C4523">
        <f>IF(VLOOKUP(Table7[[#This Row],[Date]],Database!$A:$C,MATCH($C$1,Database!$A$1:$C$1,),)=0,#N/A,VLOOKUP(Table7[[#This Row],[Date]],Database!$A:$C,MATCH($C$1,Database!$A$1:$C$1,),))</f>
        <v/>
      </c>
      <c r="D4523">
        <f>IFERROR(Table7[[#This Row],[United States 10y]]-Table7[[#This Row],[United States 3y]],#N/A)</f>
        <v/>
      </c>
    </row>
    <row r="4524">
      <c r="A4524" s="6">
        <f>Database!$A6609</f>
        <v/>
      </c>
      <c r="B4524">
        <f>IF(VLOOKUP(Table7[[#This Row],[Date]],Database!$A:$C,MATCH($B$1,Database!$A$1:$C$1,),)=0,#N/A,VLOOKUP(Table7[[#This Row],[Date]],Database!$A:$C,MATCH($B$1,Database!$A$1:$C$1,),))</f>
        <v/>
      </c>
      <c r="C4524">
        <f>IF(VLOOKUP(Table7[[#This Row],[Date]],Database!$A:$C,MATCH($C$1,Database!$A$1:$C$1,),)=0,#N/A,VLOOKUP(Table7[[#This Row],[Date]],Database!$A:$C,MATCH($C$1,Database!$A$1:$C$1,),))</f>
        <v/>
      </c>
      <c r="D4524">
        <f>IFERROR(Table7[[#This Row],[United States 10y]]-Table7[[#This Row],[United States 3y]],#N/A)</f>
        <v/>
      </c>
    </row>
    <row r="4525">
      <c r="A4525" s="6">
        <f>Database!$A6610</f>
        <v/>
      </c>
      <c r="B4525">
        <f>IF(VLOOKUP(Table7[[#This Row],[Date]],Database!$A:$C,MATCH($B$1,Database!$A$1:$C$1,),)=0,#N/A,VLOOKUP(Table7[[#This Row],[Date]],Database!$A:$C,MATCH($B$1,Database!$A$1:$C$1,),))</f>
        <v/>
      </c>
      <c r="C4525">
        <f>IF(VLOOKUP(Table7[[#This Row],[Date]],Database!$A:$C,MATCH($C$1,Database!$A$1:$C$1,),)=0,#N/A,VLOOKUP(Table7[[#This Row],[Date]],Database!$A:$C,MATCH($C$1,Database!$A$1:$C$1,),))</f>
        <v/>
      </c>
      <c r="D4525">
        <f>IFERROR(Table7[[#This Row],[United States 10y]]-Table7[[#This Row],[United States 3y]],#N/A)</f>
        <v/>
      </c>
    </row>
    <row r="4526">
      <c r="A4526" s="6">
        <f>Database!$A6611</f>
        <v/>
      </c>
      <c r="B4526">
        <f>IF(VLOOKUP(Table7[[#This Row],[Date]],Database!$A:$C,MATCH($B$1,Database!$A$1:$C$1,),)=0,#N/A,VLOOKUP(Table7[[#This Row],[Date]],Database!$A:$C,MATCH($B$1,Database!$A$1:$C$1,),))</f>
        <v/>
      </c>
      <c r="C4526">
        <f>IF(VLOOKUP(Table7[[#This Row],[Date]],Database!$A:$C,MATCH($C$1,Database!$A$1:$C$1,),)=0,#N/A,VLOOKUP(Table7[[#This Row],[Date]],Database!$A:$C,MATCH($C$1,Database!$A$1:$C$1,),))</f>
        <v/>
      </c>
      <c r="D4526">
        <f>IFERROR(Table7[[#This Row],[United States 10y]]-Table7[[#This Row],[United States 3y]],#N/A)</f>
        <v/>
      </c>
    </row>
    <row r="4527">
      <c r="A4527" s="6">
        <f>Database!$A6612</f>
        <v/>
      </c>
      <c r="B4527">
        <f>IF(VLOOKUP(Table7[[#This Row],[Date]],Database!$A:$C,MATCH($B$1,Database!$A$1:$C$1,),)=0,#N/A,VLOOKUP(Table7[[#This Row],[Date]],Database!$A:$C,MATCH($B$1,Database!$A$1:$C$1,),))</f>
        <v/>
      </c>
      <c r="C4527">
        <f>IF(VLOOKUP(Table7[[#This Row],[Date]],Database!$A:$C,MATCH($C$1,Database!$A$1:$C$1,),)=0,#N/A,VLOOKUP(Table7[[#This Row],[Date]],Database!$A:$C,MATCH($C$1,Database!$A$1:$C$1,),))</f>
        <v/>
      </c>
      <c r="D4527">
        <f>IFERROR(Table7[[#This Row],[United States 10y]]-Table7[[#This Row],[United States 3y]],#N/A)</f>
        <v/>
      </c>
    </row>
    <row r="4528">
      <c r="A4528" s="6">
        <f>Database!$A6613</f>
        <v/>
      </c>
      <c r="B4528">
        <f>IF(VLOOKUP(Table7[[#This Row],[Date]],Database!$A:$C,MATCH($B$1,Database!$A$1:$C$1,),)=0,#N/A,VLOOKUP(Table7[[#This Row],[Date]],Database!$A:$C,MATCH($B$1,Database!$A$1:$C$1,),))</f>
        <v/>
      </c>
      <c r="C4528">
        <f>IF(VLOOKUP(Table7[[#This Row],[Date]],Database!$A:$C,MATCH($C$1,Database!$A$1:$C$1,),)=0,#N/A,VLOOKUP(Table7[[#This Row],[Date]],Database!$A:$C,MATCH($C$1,Database!$A$1:$C$1,),))</f>
        <v/>
      </c>
      <c r="D4528">
        <f>IFERROR(Table7[[#This Row],[United States 10y]]-Table7[[#This Row],[United States 3y]],#N/A)</f>
        <v/>
      </c>
    </row>
    <row r="4529">
      <c r="A4529" s="6">
        <f>Database!$A6614</f>
        <v/>
      </c>
      <c r="B4529">
        <f>IF(VLOOKUP(Table7[[#This Row],[Date]],Database!$A:$C,MATCH($B$1,Database!$A$1:$C$1,),)=0,#N/A,VLOOKUP(Table7[[#This Row],[Date]],Database!$A:$C,MATCH($B$1,Database!$A$1:$C$1,),))</f>
        <v/>
      </c>
      <c r="C4529">
        <f>IF(VLOOKUP(Table7[[#This Row],[Date]],Database!$A:$C,MATCH($C$1,Database!$A$1:$C$1,),)=0,#N/A,VLOOKUP(Table7[[#This Row],[Date]],Database!$A:$C,MATCH($C$1,Database!$A$1:$C$1,),))</f>
        <v/>
      </c>
      <c r="D4529">
        <f>IFERROR(Table7[[#This Row],[United States 10y]]-Table7[[#This Row],[United States 3y]],#N/A)</f>
        <v/>
      </c>
    </row>
    <row r="4530">
      <c r="A4530" s="6">
        <f>Database!$A6615</f>
        <v/>
      </c>
      <c r="B4530">
        <f>IF(VLOOKUP(Table7[[#This Row],[Date]],Database!$A:$C,MATCH($B$1,Database!$A$1:$C$1,),)=0,#N/A,VLOOKUP(Table7[[#This Row],[Date]],Database!$A:$C,MATCH($B$1,Database!$A$1:$C$1,),))</f>
        <v/>
      </c>
      <c r="C4530">
        <f>IF(VLOOKUP(Table7[[#This Row],[Date]],Database!$A:$C,MATCH($C$1,Database!$A$1:$C$1,),)=0,#N/A,VLOOKUP(Table7[[#This Row],[Date]],Database!$A:$C,MATCH($C$1,Database!$A$1:$C$1,),))</f>
        <v/>
      </c>
      <c r="D4530">
        <f>IFERROR(Table7[[#This Row],[United States 10y]]-Table7[[#This Row],[United States 3y]],#N/A)</f>
        <v/>
      </c>
    </row>
    <row r="4531">
      <c r="A4531" s="6">
        <f>Database!$A6616</f>
        <v/>
      </c>
      <c r="B4531">
        <f>IF(VLOOKUP(Table7[[#This Row],[Date]],Database!$A:$C,MATCH($B$1,Database!$A$1:$C$1,),)=0,#N/A,VLOOKUP(Table7[[#This Row],[Date]],Database!$A:$C,MATCH($B$1,Database!$A$1:$C$1,),))</f>
        <v/>
      </c>
      <c r="C4531">
        <f>IF(VLOOKUP(Table7[[#This Row],[Date]],Database!$A:$C,MATCH($C$1,Database!$A$1:$C$1,),)=0,#N/A,VLOOKUP(Table7[[#This Row],[Date]],Database!$A:$C,MATCH($C$1,Database!$A$1:$C$1,),))</f>
        <v/>
      </c>
      <c r="D4531">
        <f>IFERROR(Table7[[#This Row],[United States 10y]]-Table7[[#This Row],[United States 3y]],#N/A)</f>
        <v/>
      </c>
    </row>
    <row r="4532">
      <c r="A4532" s="6">
        <f>Database!$A6617</f>
        <v/>
      </c>
      <c r="B4532">
        <f>IF(VLOOKUP(Table7[[#This Row],[Date]],Database!$A:$C,MATCH($B$1,Database!$A$1:$C$1,),)=0,#N/A,VLOOKUP(Table7[[#This Row],[Date]],Database!$A:$C,MATCH($B$1,Database!$A$1:$C$1,),))</f>
        <v/>
      </c>
      <c r="C4532">
        <f>IF(VLOOKUP(Table7[[#This Row],[Date]],Database!$A:$C,MATCH($C$1,Database!$A$1:$C$1,),)=0,#N/A,VLOOKUP(Table7[[#This Row],[Date]],Database!$A:$C,MATCH($C$1,Database!$A$1:$C$1,),))</f>
        <v/>
      </c>
      <c r="D4532">
        <f>IFERROR(Table7[[#This Row],[United States 10y]]-Table7[[#This Row],[United States 3y]],#N/A)</f>
        <v/>
      </c>
    </row>
    <row r="4533">
      <c r="A4533" s="6">
        <f>Database!$A6618</f>
        <v/>
      </c>
      <c r="B4533">
        <f>IF(VLOOKUP(Table7[[#This Row],[Date]],Database!$A:$C,MATCH($B$1,Database!$A$1:$C$1,),)=0,#N/A,VLOOKUP(Table7[[#This Row],[Date]],Database!$A:$C,MATCH($B$1,Database!$A$1:$C$1,),))</f>
        <v/>
      </c>
      <c r="C4533">
        <f>IF(VLOOKUP(Table7[[#This Row],[Date]],Database!$A:$C,MATCH($C$1,Database!$A$1:$C$1,),)=0,#N/A,VLOOKUP(Table7[[#This Row],[Date]],Database!$A:$C,MATCH($C$1,Database!$A$1:$C$1,),))</f>
        <v/>
      </c>
      <c r="D4533">
        <f>IFERROR(Table7[[#This Row],[United States 10y]]-Table7[[#This Row],[United States 3y]],#N/A)</f>
        <v/>
      </c>
    </row>
    <row r="4534">
      <c r="A4534" s="6">
        <f>Database!$A6619</f>
        <v/>
      </c>
      <c r="B4534">
        <f>IF(VLOOKUP(Table7[[#This Row],[Date]],Database!$A:$C,MATCH($B$1,Database!$A$1:$C$1,),)=0,#N/A,VLOOKUP(Table7[[#This Row],[Date]],Database!$A:$C,MATCH($B$1,Database!$A$1:$C$1,),))</f>
        <v/>
      </c>
      <c r="C4534">
        <f>IF(VLOOKUP(Table7[[#This Row],[Date]],Database!$A:$C,MATCH($C$1,Database!$A$1:$C$1,),)=0,#N/A,VLOOKUP(Table7[[#This Row],[Date]],Database!$A:$C,MATCH($C$1,Database!$A$1:$C$1,),))</f>
        <v/>
      </c>
      <c r="D4534">
        <f>IFERROR(Table7[[#This Row],[United States 10y]]-Table7[[#This Row],[United States 3y]],#N/A)</f>
        <v/>
      </c>
    </row>
    <row r="4535">
      <c r="A4535" s="6">
        <f>Database!$A6620</f>
        <v/>
      </c>
      <c r="B4535">
        <f>IF(VLOOKUP(Table7[[#This Row],[Date]],Database!$A:$C,MATCH($B$1,Database!$A$1:$C$1,),)=0,#N/A,VLOOKUP(Table7[[#This Row],[Date]],Database!$A:$C,MATCH($B$1,Database!$A$1:$C$1,),))</f>
        <v/>
      </c>
      <c r="C4535">
        <f>IF(VLOOKUP(Table7[[#This Row],[Date]],Database!$A:$C,MATCH($C$1,Database!$A$1:$C$1,),)=0,#N/A,VLOOKUP(Table7[[#This Row],[Date]],Database!$A:$C,MATCH($C$1,Database!$A$1:$C$1,),))</f>
        <v/>
      </c>
      <c r="D4535">
        <f>IFERROR(Table7[[#This Row],[United States 10y]]-Table7[[#This Row],[United States 3y]],#N/A)</f>
        <v/>
      </c>
    </row>
    <row r="4536">
      <c r="A4536" s="6">
        <f>Database!$A6621</f>
        <v/>
      </c>
      <c r="B4536">
        <f>IF(VLOOKUP(Table7[[#This Row],[Date]],Database!$A:$C,MATCH($B$1,Database!$A$1:$C$1,),)=0,#N/A,VLOOKUP(Table7[[#This Row],[Date]],Database!$A:$C,MATCH($B$1,Database!$A$1:$C$1,),))</f>
        <v/>
      </c>
      <c r="C4536">
        <f>IF(VLOOKUP(Table7[[#This Row],[Date]],Database!$A:$C,MATCH($C$1,Database!$A$1:$C$1,),)=0,#N/A,VLOOKUP(Table7[[#This Row],[Date]],Database!$A:$C,MATCH($C$1,Database!$A$1:$C$1,),))</f>
        <v/>
      </c>
      <c r="D4536">
        <f>IFERROR(Table7[[#This Row],[United States 10y]]-Table7[[#This Row],[United States 3y]],#N/A)</f>
        <v/>
      </c>
    </row>
    <row r="4537">
      <c r="A4537" s="6">
        <f>Database!$A6622</f>
        <v/>
      </c>
      <c r="B4537">
        <f>IF(VLOOKUP(Table7[[#This Row],[Date]],Database!$A:$C,MATCH($B$1,Database!$A$1:$C$1,),)=0,#N/A,VLOOKUP(Table7[[#This Row],[Date]],Database!$A:$C,MATCH($B$1,Database!$A$1:$C$1,),))</f>
        <v/>
      </c>
      <c r="C4537">
        <f>IF(VLOOKUP(Table7[[#This Row],[Date]],Database!$A:$C,MATCH($C$1,Database!$A$1:$C$1,),)=0,#N/A,VLOOKUP(Table7[[#This Row],[Date]],Database!$A:$C,MATCH($C$1,Database!$A$1:$C$1,),))</f>
        <v/>
      </c>
      <c r="D4537">
        <f>IFERROR(Table7[[#This Row],[United States 10y]]-Table7[[#This Row],[United States 3y]],#N/A)</f>
        <v/>
      </c>
    </row>
    <row r="4538">
      <c r="A4538" s="6">
        <f>Database!$A6623</f>
        <v/>
      </c>
      <c r="B4538">
        <f>IF(VLOOKUP(Table7[[#This Row],[Date]],Database!$A:$C,MATCH($B$1,Database!$A$1:$C$1,),)=0,#N/A,VLOOKUP(Table7[[#This Row],[Date]],Database!$A:$C,MATCH($B$1,Database!$A$1:$C$1,),))</f>
        <v/>
      </c>
      <c r="C4538">
        <f>IF(VLOOKUP(Table7[[#This Row],[Date]],Database!$A:$C,MATCH($C$1,Database!$A$1:$C$1,),)=0,#N/A,VLOOKUP(Table7[[#This Row],[Date]],Database!$A:$C,MATCH($C$1,Database!$A$1:$C$1,),))</f>
        <v/>
      </c>
      <c r="D4538">
        <f>IFERROR(Table7[[#This Row],[United States 10y]]-Table7[[#This Row],[United States 3y]],#N/A)</f>
        <v/>
      </c>
    </row>
    <row r="4539">
      <c r="A4539" s="6">
        <f>Database!$A6624</f>
        <v/>
      </c>
      <c r="B4539">
        <f>IF(VLOOKUP(Table7[[#This Row],[Date]],Database!$A:$C,MATCH($B$1,Database!$A$1:$C$1,),)=0,#N/A,VLOOKUP(Table7[[#This Row],[Date]],Database!$A:$C,MATCH($B$1,Database!$A$1:$C$1,),))</f>
        <v/>
      </c>
      <c r="C4539">
        <f>IF(VLOOKUP(Table7[[#This Row],[Date]],Database!$A:$C,MATCH($C$1,Database!$A$1:$C$1,),)=0,#N/A,VLOOKUP(Table7[[#This Row],[Date]],Database!$A:$C,MATCH($C$1,Database!$A$1:$C$1,),))</f>
        <v/>
      </c>
      <c r="D4539">
        <f>IFERROR(Table7[[#This Row],[United States 10y]]-Table7[[#This Row],[United States 3y]],#N/A)</f>
        <v/>
      </c>
    </row>
    <row r="4540">
      <c r="A4540" s="6">
        <f>Database!$A6625</f>
        <v/>
      </c>
      <c r="B4540">
        <f>IF(VLOOKUP(Table7[[#This Row],[Date]],Database!$A:$C,MATCH($B$1,Database!$A$1:$C$1,),)=0,#N/A,VLOOKUP(Table7[[#This Row],[Date]],Database!$A:$C,MATCH($B$1,Database!$A$1:$C$1,),))</f>
        <v/>
      </c>
      <c r="C4540">
        <f>IF(VLOOKUP(Table7[[#This Row],[Date]],Database!$A:$C,MATCH($C$1,Database!$A$1:$C$1,),)=0,#N/A,VLOOKUP(Table7[[#This Row],[Date]],Database!$A:$C,MATCH($C$1,Database!$A$1:$C$1,),))</f>
        <v/>
      </c>
      <c r="D4540">
        <f>IFERROR(Table7[[#This Row],[United States 10y]]-Table7[[#This Row],[United States 3y]],#N/A)</f>
        <v/>
      </c>
    </row>
    <row r="4541">
      <c r="A4541" s="6">
        <f>Database!$A6626</f>
        <v/>
      </c>
      <c r="B4541">
        <f>IF(VLOOKUP(Table7[[#This Row],[Date]],Database!$A:$C,MATCH($B$1,Database!$A$1:$C$1,),)=0,#N/A,VLOOKUP(Table7[[#This Row],[Date]],Database!$A:$C,MATCH($B$1,Database!$A$1:$C$1,),))</f>
        <v/>
      </c>
      <c r="C4541">
        <f>IF(VLOOKUP(Table7[[#This Row],[Date]],Database!$A:$C,MATCH($C$1,Database!$A$1:$C$1,),)=0,#N/A,VLOOKUP(Table7[[#This Row],[Date]],Database!$A:$C,MATCH($C$1,Database!$A$1:$C$1,),))</f>
        <v/>
      </c>
      <c r="D4541">
        <f>IFERROR(Table7[[#This Row],[United States 10y]]-Table7[[#This Row],[United States 3y]],#N/A)</f>
        <v/>
      </c>
    </row>
    <row r="4542">
      <c r="A4542" s="6">
        <f>Database!$A6627</f>
        <v/>
      </c>
      <c r="B4542">
        <f>IF(VLOOKUP(Table7[[#This Row],[Date]],Database!$A:$C,MATCH($B$1,Database!$A$1:$C$1,),)=0,#N/A,VLOOKUP(Table7[[#This Row],[Date]],Database!$A:$C,MATCH($B$1,Database!$A$1:$C$1,),))</f>
        <v/>
      </c>
      <c r="C4542">
        <f>IF(VLOOKUP(Table7[[#This Row],[Date]],Database!$A:$C,MATCH($C$1,Database!$A$1:$C$1,),)=0,#N/A,VLOOKUP(Table7[[#This Row],[Date]],Database!$A:$C,MATCH($C$1,Database!$A$1:$C$1,),))</f>
        <v/>
      </c>
      <c r="D4542">
        <f>IFERROR(Table7[[#This Row],[United States 10y]]-Table7[[#This Row],[United States 3y]],#N/A)</f>
        <v/>
      </c>
    </row>
    <row r="4543">
      <c r="A4543" s="6">
        <f>Database!$A6628</f>
        <v/>
      </c>
      <c r="B4543">
        <f>IF(VLOOKUP(Table7[[#This Row],[Date]],Database!$A:$C,MATCH($B$1,Database!$A$1:$C$1,),)=0,#N/A,VLOOKUP(Table7[[#This Row],[Date]],Database!$A:$C,MATCH($B$1,Database!$A$1:$C$1,),))</f>
        <v/>
      </c>
      <c r="C4543">
        <f>IF(VLOOKUP(Table7[[#This Row],[Date]],Database!$A:$C,MATCH($C$1,Database!$A$1:$C$1,),)=0,#N/A,VLOOKUP(Table7[[#This Row],[Date]],Database!$A:$C,MATCH($C$1,Database!$A$1:$C$1,),))</f>
        <v/>
      </c>
      <c r="D4543">
        <f>IFERROR(Table7[[#This Row],[United States 10y]]-Table7[[#This Row],[United States 3y]],#N/A)</f>
        <v/>
      </c>
    </row>
    <row r="4544">
      <c r="A4544" s="6">
        <f>Database!$A6629</f>
        <v/>
      </c>
      <c r="B4544">
        <f>IF(VLOOKUP(Table7[[#This Row],[Date]],Database!$A:$C,MATCH($B$1,Database!$A$1:$C$1,),)=0,#N/A,VLOOKUP(Table7[[#This Row],[Date]],Database!$A:$C,MATCH($B$1,Database!$A$1:$C$1,),))</f>
        <v/>
      </c>
      <c r="C4544">
        <f>IF(VLOOKUP(Table7[[#This Row],[Date]],Database!$A:$C,MATCH($C$1,Database!$A$1:$C$1,),)=0,#N/A,VLOOKUP(Table7[[#This Row],[Date]],Database!$A:$C,MATCH($C$1,Database!$A$1:$C$1,),))</f>
        <v/>
      </c>
      <c r="D4544">
        <f>IFERROR(Table7[[#This Row],[United States 10y]]-Table7[[#This Row],[United States 3y]],#N/A)</f>
        <v/>
      </c>
    </row>
    <row r="4545">
      <c r="A4545" s="6">
        <f>Database!$A6630</f>
        <v/>
      </c>
      <c r="B4545">
        <f>IF(VLOOKUP(Table7[[#This Row],[Date]],Database!$A:$C,MATCH($B$1,Database!$A$1:$C$1,),)=0,#N/A,VLOOKUP(Table7[[#This Row],[Date]],Database!$A:$C,MATCH($B$1,Database!$A$1:$C$1,),))</f>
        <v/>
      </c>
      <c r="C4545">
        <f>IF(VLOOKUP(Table7[[#This Row],[Date]],Database!$A:$C,MATCH($C$1,Database!$A$1:$C$1,),)=0,#N/A,VLOOKUP(Table7[[#This Row],[Date]],Database!$A:$C,MATCH($C$1,Database!$A$1:$C$1,),))</f>
        <v/>
      </c>
      <c r="D4545">
        <f>IFERROR(Table7[[#This Row],[United States 10y]]-Table7[[#This Row],[United States 3y]],#N/A)</f>
        <v/>
      </c>
    </row>
    <row r="4546">
      <c r="A4546" s="6">
        <f>Database!$A6631</f>
        <v/>
      </c>
      <c r="B4546">
        <f>IF(VLOOKUP(Table7[[#This Row],[Date]],Database!$A:$C,MATCH($B$1,Database!$A$1:$C$1,),)=0,#N/A,VLOOKUP(Table7[[#This Row],[Date]],Database!$A:$C,MATCH($B$1,Database!$A$1:$C$1,),))</f>
        <v/>
      </c>
      <c r="C4546">
        <f>IF(VLOOKUP(Table7[[#This Row],[Date]],Database!$A:$C,MATCH($C$1,Database!$A$1:$C$1,),)=0,#N/A,VLOOKUP(Table7[[#This Row],[Date]],Database!$A:$C,MATCH($C$1,Database!$A$1:$C$1,),))</f>
        <v/>
      </c>
      <c r="D4546">
        <f>IFERROR(Table7[[#This Row],[United States 10y]]-Table7[[#This Row],[United States 3y]],#N/A)</f>
        <v/>
      </c>
    </row>
    <row r="4547">
      <c r="A4547" s="6">
        <f>Database!$A6632</f>
        <v/>
      </c>
      <c r="B4547">
        <f>IF(VLOOKUP(Table7[[#This Row],[Date]],Database!$A:$C,MATCH($B$1,Database!$A$1:$C$1,),)=0,#N/A,VLOOKUP(Table7[[#This Row],[Date]],Database!$A:$C,MATCH($B$1,Database!$A$1:$C$1,),))</f>
        <v/>
      </c>
      <c r="C4547">
        <f>IF(VLOOKUP(Table7[[#This Row],[Date]],Database!$A:$C,MATCH($C$1,Database!$A$1:$C$1,),)=0,#N/A,VLOOKUP(Table7[[#This Row],[Date]],Database!$A:$C,MATCH($C$1,Database!$A$1:$C$1,),))</f>
        <v/>
      </c>
      <c r="D4547">
        <f>IFERROR(Table7[[#This Row],[United States 10y]]-Table7[[#This Row],[United States 3y]],#N/A)</f>
        <v/>
      </c>
    </row>
    <row r="4548">
      <c r="A4548" s="6">
        <f>Database!$A6633</f>
        <v/>
      </c>
      <c r="B4548">
        <f>IF(VLOOKUP(Table7[[#This Row],[Date]],Database!$A:$C,MATCH($B$1,Database!$A$1:$C$1,),)=0,#N/A,VLOOKUP(Table7[[#This Row],[Date]],Database!$A:$C,MATCH($B$1,Database!$A$1:$C$1,),))</f>
        <v/>
      </c>
      <c r="C4548">
        <f>IF(VLOOKUP(Table7[[#This Row],[Date]],Database!$A:$C,MATCH($C$1,Database!$A$1:$C$1,),)=0,#N/A,VLOOKUP(Table7[[#This Row],[Date]],Database!$A:$C,MATCH($C$1,Database!$A$1:$C$1,),))</f>
        <v/>
      </c>
      <c r="D4548">
        <f>IFERROR(Table7[[#This Row],[United States 10y]]-Table7[[#This Row],[United States 3y]],#N/A)</f>
        <v/>
      </c>
    </row>
    <row r="4549">
      <c r="A4549" s="6">
        <f>Database!$A6634</f>
        <v/>
      </c>
      <c r="B4549">
        <f>IF(VLOOKUP(Table7[[#This Row],[Date]],Database!$A:$C,MATCH($B$1,Database!$A$1:$C$1,),)=0,#N/A,VLOOKUP(Table7[[#This Row],[Date]],Database!$A:$C,MATCH($B$1,Database!$A$1:$C$1,),))</f>
        <v/>
      </c>
      <c r="C4549">
        <f>IF(VLOOKUP(Table7[[#This Row],[Date]],Database!$A:$C,MATCH($C$1,Database!$A$1:$C$1,),)=0,#N/A,VLOOKUP(Table7[[#This Row],[Date]],Database!$A:$C,MATCH($C$1,Database!$A$1:$C$1,),))</f>
        <v/>
      </c>
      <c r="D4549">
        <f>IFERROR(Table7[[#This Row],[United States 10y]]-Table7[[#This Row],[United States 3y]],#N/A)</f>
        <v/>
      </c>
    </row>
    <row r="4550">
      <c r="A4550" s="6">
        <f>Database!$A6635</f>
        <v/>
      </c>
      <c r="B4550">
        <f>IF(VLOOKUP(Table7[[#This Row],[Date]],Database!$A:$C,MATCH($B$1,Database!$A$1:$C$1,),)=0,#N/A,VLOOKUP(Table7[[#This Row],[Date]],Database!$A:$C,MATCH($B$1,Database!$A$1:$C$1,),))</f>
        <v/>
      </c>
      <c r="C4550">
        <f>IF(VLOOKUP(Table7[[#This Row],[Date]],Database!$A:$C,MATCH($C$1,Database!$A$1:$C$1,),)=0,#N/A,VLOOKUP(Table7[[#This Row],[Date]],Database!$A:$C,MATCH($C$1,Database!$A$1:$C$1,),))</f>
        <v/>
      </c>
      <c r="D4550">
        <f>IFERROR(Table7[[#This Row],[United States 10y]]-Table7[[#This Row],[United States 3y]],#N/A)</f>
        <v/>
      </c>
    </row>
    <row r="4551">
      <c r="A4551" s="6">
        <f>Database!$A6636</f>
        <v/>
      </c>
      <c r="B4551">
        <f>IF(VLOOKUP(Table7[[#This Row],[Date]],Database!$A:$C,MATCH($B$1,Database!$A$1:$C$1,),)=0,#N/A,VLOOKUP(Table7[[#This Row],[Date]],Database!$A:$C,MATCH($B$1,Database!$A$1:$C$1,),))</f>
        <v/>
      </c>
      <c r="C4551">
        <f>IF(VLOOKUP(Table7[[#This Row],[Date]],Database!$A:$C,MATCH($C$1,Database!$A$1:$C$1,),)=0,#N/A,VLOOKUP(Table7[[#This Row],[Date]],Database!$A:$C,MATCH($C$1,Database!$A$1:$C$1,),))</f>
        <v/>
      </c>
      <c r="D4551">
        <f>IFERROR(Table7[[#This Row],[United States 10y]]-Table7[[#This Row],[United States 3y]],#N/A)</f>
        <v/>
      </c>
    </row>
    <row r="4552">
      <c r="A4552" s="6">
        <f>Database!$A6637</f>
        <v/>
      </c>
      <c r="B4552">
        <f>IF(VLOOKUP(Table7[[#This Row],[Date]],Database!$A:$C,MATCH($B$1,Database!$A$1:$C$1,),)=0,#N/A,VLOOKUP(Table7[[#This Row],[Date]],Database!$A:$C,MATCH($B$1,Database!$A$1:$C$1,),))</f>
        <v/>
      </c>
      <c r="C4552">
        <f>IF(VLOOKUP(Table7[[#This Row],[Date]],Database!$A:$C,MATCH($C$1,Database!$A$1:$C$1,),)=0,#N/A,VLOOKUP(Table7[[#This Row],[Date]],Database!$A:$C,MATCH($C$1,Database!$A$1:$C$1,),))</f>
        <v/>
      </c>
      <c r="D4552">
        <f>IFERROR(Table7[[#This Row],[United States 10y]]-Table7[[#This Row],[United States 3y]],#N/A)</f>
        <v/>
      </c>
    </row>
    <row r="4553">
      <c r="A4553" s="6">
        <f>Database!$A6638</f>
        <v/>
      </c>
      <c r="B4553">
        <f>IF(VLOOKUP(Table7[[#This Row],[Date]],Database!$A:$C,MATCH($B$1,Database!$A$1:$C$1,),)=0,#N/A,VLOOKUP(Table7[[#This Row],[Date]],Database!$A:$C,MATCH($B$1,Database!$A$1:$C$1,),))</f>
        <v/>
      </c>
      <c r="C4553">
        <f>IF(VLOOKUP(Table7[[#This Row],[Date]],Database!$A:$C,MATCH($C$1,Database!$A$1:$C$1,),)=0,#N/A,VLOOKUP(Table7[[#This Row],[Date]],Database!$A:$C,MATCH($C$1,Database!$A$1:$C$1,),))</f>
        <v/>
      </c>
      <c r="D4553">
        <f>IFERROR(Table7[[#This Row],[United States 10y]]-Table7[[#This Row],[United States 3y]],#N/A)</f>
        <v/>
      </c>
    </row>
    <row r="4554">
      <c r="A4554" s="6">
        <f>Database!$A6639</f>
        <v/>
      </c>
      <c r="B4554">
        <f>IF(VLOOKUP(Table7[[#This Row],[Date]],Database!$A:$C,MATCH($B$1,Database!$A$1:$C$1,),)=0,#N/A,VLOOKUP(Table7[[#This Row],[Date]],Database!$A:$C,MATCH($B$1,Database!$A$1:$C$1,),))</f>
        <v/>
      </c>
      <c r="C4554">
        <f>IF(VLOOKUP(Table7[[#This Row],[Date]],Database!$A:$C,MATCH($C$1,Database!$A$1:$C$1,),)=0,#N/A,VLOOKUP(Table7[[#This Row],[Date]],Database!$A:$C,MATCH($C$1,Database!$A$1:$C$1,),))</f>
        <v/>
      </c>
      <c r="D4554">
        <f>IFERROR(Table7[[#This Row],[United States 10y]]-Table7[[#This Row],[United States 3y]],#N/A)</f>
        <v/>
      </c>
    </row>
    <row r="4555">
      <c r="A4555" s="6">
        <f>Database!$A6640</f>
        <v/>
      </c>
      <c r="B4555">
        <f>IF(VLOOKUP(Table7[[#This Row],[Date]],Database!$A:$C,MATCH($B$1,Database!$A$1:$C$1,),)=0,#N/A,VLOOKUP(Table7[[#This Row],[Date]],Database!$A:$C,MATCH($B$1,Database!$A$1:$C$1,),))</f>
        <v/>
      </c>
      <c r="C4555">
        <f>IF(VLOOKUP(Table7[[#This Row],[Date]],Database!$A:$C,MATCH($C$1,Database!$A$1:$C$1,),)=0,#N/A,VLOOKUP(Table7[[#This Row],[Date]],Database!$A:$C,MATCH($C$1,Database!$A$1:$C$1,),))</f>
        <v/>
      </c>
      <c r="D4555">
        <f>IFERROR(Table7[[#This Row],[United States 10y]]-Table7[[#This Row],[United States 3y]],#N/A)</f>
        <v/>
      </c>
    </row>
    <row r="4556">
      <c r="A4556" s="6">
        <f>Database!$A6641</f>
        <v/>
      </c>
      <c r="B4556">
        <f>IF(VLOOKUP(Table7[[#This Row],[Date]],Database!$A:$C,MATCH($B$1,Database!$A$1:$C$1,),)=0,#N/A,VLOOKUP(Table7[[#This Row],[Date]],Database!$A:$C,MATCH($B$1,Database!$A$1:$C$1,),))</f>
        <v/>
      </c>
      <c r="C4556">
        <f>IF(VLOOKUP(Table7[[#This Row],[Date]],Database!$A:$C,MATCH($C$1,Database!$A$1:$C$1,),)=0,#N/A,VLOOKUP(Table7[[#This Row],[Date]],Database!$A:$C,MATCH($C$1,Database!$A$1:$C$1,),))</f>
        <v/>
      </c>
      <c r="D4556">
        <f>IFERROR(Table7[[#This Row],[United States 10y]]-Table7[[#This Row],[United States 3y]],#N/A)</f>
        <v/>
      </c>
    </row>
    <row r="4557">
      <c r="A4557" s="6">
        <f>Database!$A6642</f>
        <v/>
      </c>
      <c r="B4557">
        <f>IF(VLOOKUP(Table7[[#This Row],[Date]],Database!$A:$C,MATCH($B$1,Database!$A$1:$C$1,),)=0,#N/A,VLOOKUP(Table7[[#This Row],[Date]],Database!$A:$C,MATCH($B$1,Database!$A$1:$C$1,),))</f>
        <v/>
      </c>
      <c r="C4557">
        <f>IF(VLOOKUP(Table7[[#This Row],[Date]],Database!$A:$C,MATCH($C$1,Database!$A$1:$C$1,),)=0,#N/A,VLOOKUP(Table7[[#This Row],[Date]],Database!$A:$C,MATCH($C$1,Database!$A$1:$C$1,),))</f>
        <v/>
      </c>
      <c r="D4557">
        <f>IFERROR(Table7[[#This Row],[United States 10y]]-Table7[[#This Row],[United States 3y]],#N/A)</f>
        <v/>
      </c>
    </row>
    <row r="4558">
      <c r="A4558" s="6">
        <f>Database!$A6643</f>
        <v/>
      </c>
      <c r="B4558">
        <f>IF(VLOOKUP(Table7[[#This Row],[Date]],Database!$A:$C,MATCH($B$1,Database!$A$1:$C$1,),)=0,#N/A,VLOOKUP(Table7[[#This Row],[Date]],Database!$A:$C,MATCH($B$1,Database!$A$1:$C$1,),))</f>
        <v/>
      </c>
      <c r="C4558">
        <f>IF(VLOOKUP(Table7[[#This Row],[Date]],Database!$A:$C,MATCH($C$1,Database!$A$1:$C$1,),)=0,#N/A,VLOOKUP(Table7[[#This Row],[Date]],Database!$A:$C,MATCH($C$1,Database!$A$1:$C$1,),))</f>
        <v/>
      </c>
      <c r="D4558">
        <f>IFERROR(Table7[[#This Row],[United States 10y]]-Table7[[#This Row],[United States 3y]],#N/A)</f>
        <v/>
      </c>
    </row>
    <row r="4559">
      <c r="A4559" s="6">
        <f>Database!$A6644</f>
        <v/>
      </c>
      <c r="B4559">
        <f>IF(VLOOKUP(Table7[[#This Row],[Date]],Database!$A:$C,MATCH($B$1,Database!$A$1:$C$1,),)=0,#N/A,VLOOKUP(Table7[[#This Row],[Date]],Database!$A:$C,MATCH($B$1,Database!$A$1:$C$1,),))</f>
        <v/>
      </c>
      <c r="C4559">
        <f>IF(VLOOKUP(Table7[[#This Row],[Date]],Database!$A:$C,MATCH($C$1,Database!$A$1:$C$1,),)=0,#N/A,VLOOKUP(Table7[[#This Row],[Date]],Database!$A:$C,MATCH($C$1,Database!$A$1:$C$1,),))</f>
        <v/>
      </c>
      <c r="D4559">
        <f>IFERROR(Table7[[#This Row],[United States 10y]]-Table7[[#This Row],[United States 3y]],#N/A)</f>
        <v/>
      </c>
    </row>
    <row r="4560">
      <c r="A4560" s="6">
        <f>Database!$A6645</f>
        <v/>
      </c>
      <c r="B4560">
        <f>IF(VLOOKUP(Table7[[#This Row],[Date]],Database!$A:$C,MATCH($B$1,Database!$A$1:$C$1,),)=0,#N/A,VLOOKUP(Table7[[#This Row],[Date]],Database!$A:$C,MATCH($B$1,Database!$A$1:$C$1,),))</f>
        <v/>
      </c>
      <c r="C4560">
        <f>IF(VLOOKUP(Table7[[#This Row],[Date]],Database!$A:$C,MATCH($C$1,Database!$A$1:$C$1,),)=0,#N/A,VLOOKUP(Table7[[#This Row],[Date]],Database!$A:$C,MATCH($C$1,Database!$A$1:$C$1,),))</f>
        <v/>
      </c>
      <c r="D4560">
        <f>IFERROR(Table7[[#This Row],[United States 10y]]-Table7[[#This Row],[United States 3y]],#N/A)</f>
        <v/>
      </c>
    </row>
    <row r="4561">
      <c r="A4561" s="6">
        <f>Database!$A6646</f>
        <v/>
      </c>
      <c r="B4561">
        <f>IF(VLOOKUP(Table7[[#This Row],[Date]],Database!$A:$C,MATCH($B$1,Database!$A$1:$C$1,),)=0,#N/A,VLOOKUP(Table7[[#This Row],[Date]],Database!$A:$C,MATCH($B$1,Database!$A$1:$C$1,),))</f>
        <v/>
      </c>
      <c r="C4561">
        <f>IF(VLOOKUP(Table7[[#This Row],[Date]],Database!$A:$C,MATCH($C$1,Database!$A$1:$C$1,),)=0,#N/A,VLOOKUP(Table7[[#This Row],[Date]],Database!$A:$C,MATCH($C$1,Database!$A$1:$C$1,),))</f>
        <v/>
      </c>
      <c r="D4561">
        <f>IFERROR(Table7[[#This Row],[United States 10y]]-Table7[[#This Row],[United States 3y]],#N/A)</f>
        <v/>
      </c>
    </row>
    <row r="4562">
      <c r="A4562" s="6">
        <f>Database!$A6647</f>
        <v/>
      </c>
      <c r="B4562">
        <f>IF(VLOOKUP(Table7[[#This Row],[Date]],Database!$A:$C,MATCH($B$1,Database!$A$1:$C$1,),)=0,#N/A,VLOOKUP(Table7[[#This Row],[Date]],Database!$A:$C,MATCH($B$1,Database!$A$1:$C$1,),))</f>
        <v/>
      </c>
      <c r="C4562">
        <f>IF(VLOOKUP(Table7[[#This Row],[Date]],Database!$A:$C,MATCH($C$1,Database!$A$1:$C$1,),)=0,#N/A,VLOOKUP(Table7[[#This Row],[Date]],Database!$A:$C,MATCH($C$1,Database!$A$1:$C$1,),))</f>
        <v/>
      </c>
      <c r="D4562">
        <f>IFERROR(Table7[[#This Row],[United States 10y]]-Table7[[#This Row],[United States 3y]],#N/A)</f>
        <v/>
      </c>
    </row>
    <row r="4563">
      <c r="A4563" s="6">
        <f>Database!$A6648</f>
        <v/>
      </c>
      <c r="B4563">
        <f>IF(VLOOKUP(Table7[[#This Row],[Date]],Database!$A:$C,MATCH($B$1,Database!$A$1:$C$1,),)=0,#N/A,VLOOKUP(Table7[[#This Row],[Date]],Database!$A:$C,MATCH($B$1,Database!$A$1:$C$1,),))</f>
        <v/>
      </c>
      <c r="C4563">
        <f>IF(VLOOKUP(Table7[[#This Row],[Date]],Database!$A:$C,MATCH($C$1,Database!$A$1:$C$1,),)=0,#N/A,VLOOKUP(Table7[[#This Row],[Date]],Database!$A:$C,MATCH($C$1,Database!$A$1:$C$1,),))</f>
        <v/>
      </c>
      <c r="D4563">
        <f>IFERROR(Table7[[#This Row],[United States 10y]]-Table7[[#This Row],[United States 3y]],#N/A)</f>
        <v/>
      </c>
    </row>
    <row r="4564">
      <c r="A4564" s="6">
        <f>Database!$A6649</f>
        <v/>
      </c>
      <c r="B4564">
        <f>IF(VLOOKUP(Table7[[#This Row],[Date]],Database!$A:$C,MATCH($B$1,Database!$A$1:$C$1,),)=0,#N/A,VLOOKUP(Table7[[#This Row],[Date]],Database!$A:$C,MATCH($B$1,Database!$A$1:$C$1,),))</f>
        <v/>
      </c>
      <c r="C4564">
        <f>IF(VLOOKUP(Table7[[#This Row],[Date]],Database!$A:$C,MATCH($C$1,Database!$A$1:$C$1,),)=0,#N/A,VLOOKUP(Table7[[#This Row],[Date]],Database!$A:$C,MATCH($C$1,Database!$A$1:$C$1,),))</f>
        <v/>
      </c>
      <c r="D4564">
        <f>IFERROR(Table7[[#This Row],[United States 10y]]-Table7[[#This Row],[United States 3y]],#N/A)</f>
        <v/>
      </c>
    </row>
    <row r="4565">
      <c r="A4565" s="6">
        <f>Database!$A6650</f>
        <v/>
      </c>
      <c r="B4565">
        <f>IF(VLOOKUP(Table7[[#This Row],[Date]],Database!$A:$C,MATCH($B$1,Database!$A$1:$C$1,),)=0,#N/A,VLOOKUP(Table7[[#This Row],[Date]],Database!$A:$C,MATCH($B$1,Database!$A$1:$C$1,),))</f>
        <v/>
      </c>
      <c r="C4565">
        <f>IF(VLOOKUP(Table7[[#This Row],[Date]],Database!$A:$C,MATCH($C$1,Database!$A$1:$C$1,),)=0,#N/A,VLOOKUP(Table7[[#This Row],[Date]],Database!$A:$C,MATCH($C$1,Database!$A$1:$C$1,),))</f>
        <v/>
      </c>
      <c r="D4565">
        <f>IFERROR(Table7[[#This Row],[United States 10y]]-Table7[[#This Row],[United States 3y]],#N/A)</f>
        <v/>
      </c>
    </row>
    <row r="4566">
      <c r="A4566" s="6">
        <f>Database!$A6651</f>
        <v/>
      </c>
      <c r="B4566">
        <f>IF(VLOOKUP(Table7[[#This Row],[Date]],Database!$A:$C,MATCH($B$1,Database!$A$1:$C$1,),)=0,#N/A,VLOOKUP(Table7[[#This Row],[Date]],Database!$A:$C,MATCH($B$1,Database!$A$1:$C$1,),))</f>
        <v/>
      </c>
      <c r="C4566">
        <f>IF(VLOOKUP(Table7[[#This Row],[Date]],Database!$A:$C,MATCH($C$1,Database!$A$1:$C$1,),)=0,#N/A,VLOOKUP(Table7[[#This Row],[Date]],Database!$A:$C,MATCH($C$1,Database!$A$1:$C$1,),))</f>
        <v/>
      </c>
      <c r="D4566">
        <f>IFERROR(Table7[[#This Row],[United States 10y]]-Table7[[#This Row],[United States 3y]],#N/A)</f>
        <v/>
      </c>
    </row>
    <row r="4567">
      <c r="A4567" s="6">
        <f>Database!$A6652</f>
        <v/>
      </c>
      <c r="B4567">
        <f>IF(VLOOKUP(Table7[[#This Row],[Date]],Database!$A:$C,MATCH($B$1,Database!$A$1:$C$1,),)=0,#N/A,VLOOKUP(Table7[[#This Row],[Date]],Database!$A:$C,MATCH($B$1,Database!$A$1:$C$1,),))</f>
        <v/>
      </c>
      <c r="C4567">
        <f>IF(VLOOKUP(Table7[[#This Row],[Date]],Database!$A:$C,MATCH($C$1,Database!$A$1:$C$1,),)=0,#N/A,VLOOKUP(Table7[[#This Row],[Date]],Database!$A:$C,MATCH($C$1,Database!$A$1:$C$1,),))</f>
        <v/>
      </c>
      <c r="D4567">
        <f>IFERROR(Table7[[#This Row],[United States 10y]]-Table7[[#This Row],[United States 3y]],#N/A)</f>
        <v/>
      </c>
    </row>
    <row r="4568">
      <c r="A4568" s="6">
        <f>Database!$A6653</f>
        <v/>
      </c>
      <c r="B4568">
        <f>IF(VLOOKUP(Table7[[#This Row],[Date]],Database!$A:$C,MATCH($B$1,Database!$A$1:$C$1,),)=0,#N/A,VLOOKUP(Table7[[#This Row],[Date]],Database!$A:$C,MATCH($B$1,Database!$A$1:$C$1,),))</f>
        <v/>
      </c>
      <c r="C4568">
        <f>IF(VLOOKUP(Table7[[#This Row],[Date]],Database!$A:$C,MATCH($C$1,Database!$A$1:$C$1,),)=0,#N/A,VLOOKUP(Table7[[#This Row],[Date]],Database!$A:$C,MATCH($C$1,Database!$A$1:$C$1,),))</f>
        <v/>
      </c>
      <c r="D4568">
        <f>IFERROR(Table7[[#This Row],[United States 10y]]-Table7[[#This Row],[United States 3y]],#N/A)</f>
        <v/>
      </c>
    </row>
    <row r="4569">
      <c r="A4569" s="6">
        <f>Database!$A6654</f>
        <v/>
      </c>
      <c r="B4569">
        <f>IF(VLOOKUP(Table7[[#This Row],[Date]],Database!$A:$C,MATCH($B$1,Database!$A$1:$C$1,),)=0,#N/A,VLOOKUP(Table7[[#This Row],[Date]],Database!$A:$C,MATCH($B$1,Database!$A$1:$C$1,),))</f>
        <v/>
      </c>
      <c r="C4569">
        <f>IF(VLOOKUP(Table7[[#This Row],[Date]],Database!$A:$C,MATCH($C$1,Database!$A$1:$C$1,),)=0,#N/A,VLOOKUP(Table7[[#This Row],[Date]],Database!$A:$C,MATCH($C$1,Database!$A$1:$C$1,),))</f>
        <v/>
      </c>
      <c r="D4569">
        <f>IFERROR(Table7[[#This Row],[United States 10y]]-Table7[[#This Row],[United States 3y]],#N/A)</f>
        <v/>
      </c>
    </row>
    <row r="4570">
      <c r="A4570" s="6">
        <f>Database!$A6655</f>
        <v/>
      </c>
      <c r="B4570">
        <f>IF(VLOOKUP(Table7[[#This Row],[Date]],Database!$A:$C,MATCH($B$1,Database!$A$1:$C$1,),)=0,#N/A,VLOOKUP(Table7[[#This Row],[Date]],Database!$A:$C,MATCH($B$1,Database!$A$1:$C$1,),))</f>
        <v/>
      </c>
      <c r="C4570">
        <f>IF(VLOOKUP(Table7[[#This Row],[Date]],Database!$A:$C,MATCH($C$1,Database!$A$1:$C$1,),)=0,#N/A,VLOOKUP(Table7[[#This Row],[Date]],Database!$A:$C,MATCH($C$1,Database!$A$1:$C$1,),))</f>
        <v/>
      </c>
      <c r="D4570">
        <f>IFERROR(Table7[[#This Row],[United States 10y]]-Table7[[#This Row],[United States 3y]],#N/A)</f>
        <v/>
      </c>
    </row>
    <row r="4571">
      <c r="A4571" s="6">
        <f>Database!$A6656</f>
        <v/>
      </c>
      <c r="B4571">
        <f>IF(VLOOKUP(Table7[[#This Row],[Date]],Database!$A:$C,MATCH($B$1,Database!$A$1:$C$1,),)=0,#N/A,VLOOKUP(Table7[[#This Row],[Date]],Database!$A:$C,MATCH($B$1,Database!$A$1:$C$1,),))</f>
        <v/>
      </c>
      <c r="C4571">
        <f>IF(VLOOKUP(Table7[[#This Row],[Date]],Database!$A:$C,MATCH($C$1,Database!$A$1:$C$1,),)=0,#N/A,VLOOKUP(Table7[[#This Row],[Date]],Database!$A:$C,MATCH($C$1,Database!$A$1:$C$1,),))</f>
        <v/>
      </c>
      <c r="D4571">
        <f>IFERROR(Table7[[#This Row],[United States 10y]]-Table7[[#This Row],[United States 3y]],#N/A)</f>
        <v/>
      </c>
    </row>
    <row r="4572">
      <c r="A4572" s="6">
        <f>Database!$A6657</f>
        <v/>
      </c>
      <c r="B4572">
        <f>IF(VLOOKUP(Table7[[#This Row],[Date]],Database!$A:$C,MATCH($B$1,Database!$A$1:$C$1,),)=0,#N/A,VLOOKUP(Table7[[#This Row],[Date]],Database!$A:$C,MATCH($B$1,Database!$A$1:$C$1,),))</f>
        <v/>
      </c>
      <c r="C4572">
        <f>IF(VLOOKUP(Table7[[#This Row],[Date]],Database!$A:$C,MATCH($C$1,Database!$A$1:$C$1,),)=0,#N/A,VLOOKUP(Table7[[#This Row],[Date]],Database!$A:$C,MATCH($C$1,Database!$A$1:$C$1,),))</f>
        <v/>
      </c>
      <c r="D4572">
        <f>IFERROR(Table7[[#This Row],[United States 10y]]-Table7[[#This Row],[United States 3y]],#N/A)</f>
        <v/>
      </c>
    </row>
    <row r="4573">
      <c r="A4573" s="6">
        <f>Database!$A6658</f>
        <v/>
      </c>
      <c r="B4573">
        <f>IF(VLOOKUP(Table7[[#This Row],[Date]],Database!$A:$C,MATCH($B$1,Database!$A$1:$C$1,),)=0,#N/A,VLOOKUP(Table7[[#This Row],[Date]],Database!$A:$C,MATCH($B$1,Database!$A$1:$C$1,),))</f>
        <v/>
      </c>
      <c r="C4573">
        <f>IF(VLOOKUP(Table7[[#This Row],[Date]],Database!$A:$C,MATCH($C$1,Database!$A$1:$C$1,),)=0,#N/A,VLOOKUP(Table7[[#This Row],[Date]],Database!$A:$C,MATCH($C$1,Database!$A$1:$C$1,),))</f>
        <v/>
      </c>
      <c r="D4573">
        <f>IFERROR(Table7[[#This Row],[United States 10y]]-Table7[[#This Row],[United States 3y]],#N/A)</f>
        <v/>
      </c>
    </row>
    <row r="4574">
      <c r="A4574" s="6">
        <f>Database!$A6659</f>
        <v/>
      </c>
      <c r="B4574">
        <f>IF(VLOOKUP(Table7[[#This Row],[Date]],Database!$A:$C,MATCH($B$1,Database!$A$1:$C$1,),)=0,#N/A,VLOOKUP(Table7[[#This Row],[Date]],Database!$A:$C,MATCH($B$1,Database!$A$1:$C$1,),))</f>
        <v/>
      </c>
      <c r="C4574">
        <f>IF(VLOOKUP(Table7[[#This Row],[Date]],Database!$A:$C,MATCH($C$1,Database!$A$1:$C$1,),)=0,#N/A,VLOOKUP(Table7[[#This Row],[Date]],Database!$A:$C,MATCH($C$1,Database!$A$1:$C$1,),))</f>
        <v/>
      </c>
      <c r="D4574">
        <f>IFERROR(Table7[[#This Row],[United States 10y]]-Table7[[#This Row],[United States 3y]],#N/A)</f>
        <v/>
      </c>
    </row>
    <row r="4575">
      <c r="A4575" s="6">
        <f>Database!$A6660</f>
        <v/>
      </c>
      <c r="B4575">
        <f>IF(VLOOKUP(Table7[[#This Row],[Date]],Database!$A:$C,MATCH($B$1,Database!$A$1:$C$1,),)=0,#N/A,VLOOKUP(Table7[[#This Row],[Date]],Database!$A:$C,MATCH($B$1,Database!$A$1:$C$1,),))</f>
        <v/>
      </c>
      <c r="C4575">
        <f>IF(VLOOKUP(Table7[[#This Row],[Date]],Database!$A:$C,MATCH($C$1,Database!$A$1:$C$1,),)=0,#N/A,VLOOKUP(Table7[[#This Row],[Date]],Database!$A:$C,MATCH($C$1,Database!$A$1:$C$1,),))</f>
        <v/>
      </c>
      <c r="D4575">
        <f>IFERROR(Table7[[#This Row],[United States 10y]]-Table7[[#This Row],[United States 3y]],#N/A)</f>
        <v/>
      </c>
    </row>
    <row r="4576">
      <c r="A4576" s="6">
        <f>Database!$A6661</f>
        <v/>
      </c>
      <c r="B4576">
        <f>IF(VLOOKUP(Table7[[#This Row],[Date]],Database!$A:$C,MATCH($B$1,Database!$A$1:$C$1,),)=0,#N/A,VLOOKUP(Table7[[#This Row],[Date]],Database!$A:$C,MATCH($B$1,Database!$A$1:$C$1,),))</f>
        <v/>
      </c>
      <c r="C4576">
        <f>IF(VLOOKUP(Table7[[#This Row],[Date]],Database!$A:$C,MATCH($C$1,Database!$A$1:$C$1,),)=0,#N/A,VLOOKUP(Table7[[#This Row],[Date]],Database!$A:$C,MATCH($C$1,Database!$A$1:$C$1,),))</f>
        <v/>
      </c>
      <c r="D4576">
        <f>IFERROR(Table7[[#This Row],[United States 10y]]-Table7[[#This Row],[United States 3y]],#N/A)</f>
        <v/>
      </c>
    </row>
    <row r="4577">
      <c r="A4577" s="6">
        <f>Database!$A6662</f>
        <v/>
      </c>
      <c r="B4577">
        <f>IF(VLOOKUP(Table7[[#This Row],[Date]],Database!$A:$C,MATCH($B$1,Database!$A$1:$C$1,),)=0,#N/A,VLOOKUP(Table7[[#This Row],[Date]],Database!$A:$C,MATCH($B$1,Database!$A$1:$C$1,),))</f>
        <v/>
      </c>
      <c r="C4577">
        <f>IF(VLOOKUP(Table7[[#This Row],[Date]],Database!$A:$C,MATCH($C$1,Database!$A$1:$C$1,),)=0,#N/A,VLOOKUP(Table7[[#This Row],[Date]],Database!$A:$C,MATCH($C$1,Database!$A$1:$C$1,),))</f>
        <v/>
      </c>
      <c r="D4577">
        <f>IFERROR(Table7[[#This Row],[United States 10y]]-Table7[[#This Row],[United States 3y]],#N/A)</f>
        <v/>
      </c>
    </row>
    <row r="4578">
      <c r="A4578" s="6">
        <f>Database!$A6663</f>
        <v/>
      </c>
      <c r="B4578">
        <f>IF(VLOOKUP(Table7[[#This Row],[Date]],Database!$A:$C,MATCH($B$1,Database!$A$1:$C$1,),)=0,#N/A,VLOOKUP(Table7[[#This Row],[Date]],Database!$A:$C,MATCH($B$1,Database!$A$1:$C$1,),))</f>
        <v/>
      </c>
      <c r="C4578">
        <f>IF(VLOOKUP(Table7[[#This Row],[Date]],Database!$A:$C,MATCH($C$1,Database!$A$1:$C$1,),)=0,#N/A,VLOOKUP(Table7[[#This Row],[Date]],Database!$A:$C,MATCH($C$1,Database!$A$1:$C$1,),))</f>
        <v/>
      </c>
      <c r="D4578">
        <f>IFERROR(Table7[[#This Row],[United States 10y]]-Table7[[#This Row],[United States 3y]],#N/A)</f>
        <v/>
      </c>
    </row>
    <row r="4579">
      <c r="A4579" s="6">
        <f>Database!$A6664</f>
        <v/>
      </c>
      <c r="B4579">
        <f>IF(VLOOKUP(Table7[[#This Row],[Date]],Database!$A:$C,MATCH($B$1,Database!$A$1:$C$1,),)=0,#N/A,VLOOKUP(Table7[[#This Row],[Date]],Database!$A:$C,MATCH($B$1,Database!$A$1:$C$1,),))</f>
        <v/>
      </c>
      <c r="C4579">
        <f>IF(VLOOKUP(Table7[[#This Row],[Date]],Database!$A:$C,MATCH($C$1,Database!$A$1:$C$1,),)=0,#N/A,VLOOKUP(Table7[[#This Row],[Date]],Database!$A:$C,MATCH($C$1,Database!$A$1:$C$1,),))</f>
        <v/>
      </c>
      <c r="D4579">
        <f>IFERROR(Table7[[#This Row],[United States 10y]]-Table7[[#This Row],[United States 3y]],#N/A)</f>
        <v/>
      </c>
    </row>
    <row r="4580">
      <c r="A4580" s="6">
        <f>Database!$A6665</f>
        <v/>
      </c>
      <c r="B4580">
        <f>IF(VLOOKUP(Table7[[#This Row],[Date]],Database!$A:$C,MATCH($B$1,Database!$A$1:$C$1,),)=0,#N/A,VLOOKUP(Table7[[#This Row],[Date]],Database!$A:$C,MATCH($B$1,Database!$A$1:$C$1,),))</f>
        <v/>
      </c>
      <c r="C4580">
        <f>IF(VLOOKUP(Table7[[#This Row],[Date]],Database!$A:$C,MATCH($C$1,Database!$A$1:$C$1,),)=0,#N/A,VLOOKUP(Table7[[#This Row],[Date]],Database!$A:$C,MATCH($C$1,Database!$A$1:$C$1,),))</f>
        <v/>
      </c>
      <c r="D4580">
        <f>IFERROR(Table7[[#This Row],[United States 10y]]-Table7[[#This Row],[United States 3y]],#N/A)</f>
        <v/>
      </c>
    </row>
    <row r="4581">
      <c r="A4581" s="6">
        <f>Database!$A6666</f>
        <v/>
      </c>
      <c r="B4581">
        <f>IF(VLOOKUP(Table7[[#This Row],[Date]],Database!$A:$C,MATCH($B$1,Database!$A$1:$C$1,),)=0,#N/A,VLOOKUP(Table7[[#This Row],[Date]],Database!$A:$C,MATCH($B$1,Database!$A$1:$C$1,),))</f>
        <v/>
      </c>
      <c r="C4581">
        <f>IF(VLOOKUP(Table7[[#This Row],[Date]],Database!$A:$C,MATCH($C$1,Database!$A$1:$C$1,),)=0,#N/A,VLOOKUP(Table7[[#This Row],[Date]],Database!$A:$C,MATCH($C$1,Database!$A$1:$C$1,),))</f>
        <v/>
      </c>
      <c r="D4581">
        <f>IFERROR(Table7[[#This Row],[United States 10y]]-Table7[[#This Row],[United States 3y]],#N/A)</f>
        <v/>
      </c>
    </row>
    <row r="4582">
      <c r="A4582" s="6">
        <f>Database!$A6667</f>
        <v/>
      </c>
      <c r="B4582">
        <f>IF(VLOOKUP(Table7[[#This Row],[Date]],Database!$A:$C,MATCH($B$1,Database!$A$1:$C$1,),)=0,#N/A,VLOOKUP(Table7[[#This Row],[Date]],Database!$A:$C,MATCH($B$1,Database!$A$1:$C$1,),))</f>
        <v/>
      </c>
      <c r="C4582">
        <f>IF(VLOOKUP(Table7[[#This Row],[Date]],Database!$A:$C,MATCH($C$1,Database!$A$1:$C$1,),)=0,#N/A,VLOOKUP(Table7[[#This Row],[Date]],Database!$A:$C,MATCH($C$1,Database!$A$1:$C$1,),))</f>
        <v/>
      </c>
      <c r="D4582">
        <f>IFERROR(Table7[[#This Row],[United States 10y]]-Table7[[#This Row],[United States 3y]],#N/A)</f>
        <v/>
      </c>
    </row>
    <row r="4583">
      <c r="A4583" s="6">
        <f>Database!$A6668</f>
        <v/>
      </c>
      <c r="B4583">
        <f>IF(VLOOKUP(Table7[[#This Row],[Date]],Database!$A:$C,MATCH($B$1,Database!$A$1:$C$1,),)=0,#N/A,VLOOKUP(Table7[[#This Row],[Date]],Database!$A:$C,MATCH($B$1,Database!$A$1:$C$1,),))</f>
        <v/>
      </c>
      <c r="C4583">
        <f>IF(VLOOKUP(Table7[[#This Row],[Date]],Database!$A:$C,MATCH($C$1,Database!$A$1:$C$1,),)=0,#N/A,VLOOKUP(Table7[[#This Row],[Date]],Database!$A:$C,MATCH($C$1,Database!$A$1:$C$1,),))</f>
        <v/>
      </c>
      <c r="D4583">
        <f>IFERROR(Table7[[#This Row],[United States 10y]]-Table7[[#This Row],[United States 3y]],#N/A)</f>
        <v/>
      </c>
    </row>
    <row r="4584">
      <c r="A4584" s="6">
        <f>Database!$A6669</f>
        <v/>
      </c>
      <c r="B4584">
        <f>IF(VLOOKUP(Table7[[#This Row],[Date]],Database!$A:$C,MATCH($B$1,Database!$A$1:$C$1,),)=0,#N/A,VLOOKUP(Table7[[#This Row],[Date]],Database!$A:$C,MATCH($B$1,Database!$A$1:$C$1,),))</f>
        <v/>
      </c>
      <c r="C4584">
        <f>IF(VLOOKUP(Table7[[#This Row],[Date]],Database!$A:$C,MATCH($C$1,Database!$A$1:$C$1,),)=0,#N/A,VLOOKUP(Table7[[#This Row],[Date]],Database!$A:$C,MATCH($C$1,Database!$A$1:$C$1,),))</f>
        <v/>
      </c>
      <c r="D4584">
        <f>IFERROR(Table7[[#This Row],[United States 10y]]-Table7[[#This Row],[United States 3y]],#N/A)</f>
        <v/>
      </c>
    </row>
    <row r="4585">
      <c r="A4585" s="6">
        <f>Database!$A6670</f>
        <v/>
      </c>
      <c r="B4585">
        <f>IF(VLOOKUP(Table7[[#This Row],[Date]],Database!$A:$C,MATCH($B$1,Database!$A$1:$C$1,),)=0,#N/A,VLOOKUP(Table7[[#This Row],[Date]],Database!$A:$C,MATCH($B$1,Database!$A$1:$C$1,),))</f>
        <v/>
      </c>
      <c r="C4585">
        <f>IF(VLOOKUP(Table7[[#This Row],[Date]],Database!$A:$C,MATCH($C$1,Database!$A$1:$C$1,),)=0,#N/A,VLOOKUP(Table7[[#This Row],[Date]],Database!$A:$C,MATCH($C$1,Database!$A$1:$C$1,),))</f>
        <v/>
      </c>
      <c r="D4585">
        <f>IFERROR(Table7[[#This Row],[United States 10y]]-Table7[[#This Row],[United States 3y]],#N/A)</f>
        <v/>
      </c>
    </row>
    <row r="4586">
      <c r="A4586" s="6">
        <f>Database!$A6671</f>
        <v/>
      </c>
      <c r="B4586">
        <f>IF(VLOOKUP(Table7[[#This Row],[Date]],Database!$A:$C,MATCH($B$1,Database!$A$1:$C$1,),)=0,#N/A,VLOOKUP(Table7[[#This Row],[Date]],Database!$A:$C,MATCH($B$1,Database!$A$1:$C$1,),))</f>
        <v/>
      </c>
      <c r="C4586">
        <f>IF(VLOOKUP(Table7[[#This Row],[Date]],Database!$A:$C,MATCH($C$1,Database!$A$1:$C$1,),)=0,#N/A,VLOOKUP(Table7[[#This Row],[Date]],Database!$A:$C,MATCH($C$1,Database!$A$1:$C$1,),))</f>
        <v/>
      </c>
      <c r="D4586">
        <f>IFERROR(Table7[[#This Row],[United States 10y]]-Table7[[#This Row],[United States 3y]],#N/A)</f>
        <v/>
      </c>
    </row>
    <row r="4587">
      <c r="A4587" s="6">
        <f>Database!$A6672</f>
        <v/>
      </c>
      <c r="B4587">
        <f>IF(VLOOKUP(Table7[[#This Row],[Date]],Database!$A:$C,MATCH($B$1,Database!$A$1:$C$1,),)=0,#N/A,VLOOKUP(Table7[[#This Row],[Date]],Database!$A:$C,MATCH($B$1,Database!$A$1:$C$1,),))</f>
        <v/>
      </c>
      <c r="C4587">
        <f>IF(VLOOKUP(Table7[[#This Row],[Date]],Database!$A:$C,MATCH($C$1,Database!$A$1:$C$1,),)=0,#N/A,VLOOKUP(Table7[[#This Row],[Date]],Database!$A:$C,MATCH($C$1,Database!$A$1:$C$1,),))</f>
        <v/>
      </c>
      <c r="D4587">
        <f>IFERROR(Table7[[#This Row],[United States 10y]]-Table7[[#This Row],[United States 3y]],#N/A)</f>
        <v/>
      </c>
    </row>
    <row r="4588">
      <c r="A4588" s="6">
        <f>Database!$A6673</f>
        <v/>
      </c>
      <c r="B4588">
        <f>IF(VLOOKUP(Table7[[#This Row],[Date]],Database!$A:$C,MATCH($B$1,Database!$A$1:$C$1,),)=0,#N/A,VLOOKUP(Table7[[#This Row],[Date]],Database!$A:$C,MATCH($B$1,Database!$A$1:$C$1,),))</f>
        <v/>
      </c>
      <c r="C4588">
        <f>IF(VLOOKUP(Table7[[#This Row],[Date]],Database!$A:$C,MATCH($C$1,Database!$A$1:$C$1,),)=0,#N/A,VLOOKUP(Table7[[#This Row],[Date]],Database!$A:$C,MATCH($C$1,Database!$A$1:$C$1,),))</f>
        <v/>
      </c>
      <c r="D4588">
        <f>IFERROR(Table7[[#This Row],[United States 10y]]-Table7[[#This Row],[United States 3y]],#N/A)</f>
        <v/>
      </c>
    </row>
    <row r="4589">
      <c r="A4589" s="6">
        <f>Database!$A6674</f>
        <v/>
      </c>
      <c r="B4589">
        <f>IF(VLOOKUP(Table7[[#This Row],[Date]],Database!$A:$C,MATCH($B$1,Database!$A$1:$C$1,),)=0,#N/A,VLOOKUP(Table7[[#This Row],[Date]],Database!$A:$C,MATCH($B$1,Database!$A$1:$C$1,),))</f>
        <v/>
      </c>
      <c r="C4589">
        <f>IF(VLOOKUP(Table7[[#This Row],[Date]],Database!$A:$C,MATCH($C$1,Database!$A$1:$C$1,),)=0,#N/A,VLOOKUP(Table7[[#This Row],[Date]],Database!$A:$C,MATCH($C$1,Database!$A$1:$C$1,),))</f>
        <v/>
      </c>
      <c r="D4589">
        <f>IFERROR(Table7[[#This Row],[United States 10y]]-Table7[[#This Row],[United States 3y]],#N/A)</f>
        <v/>
      </c>
    </row>
    <row r="4590">
      <c r="A4590" s="6">
        <f>Database!$A6675</f>
        <v/>
      </c>
      <c r="B4590">
        <f>IF(VLOOKUP(Table7[[#This Row],[Date]],Database!$A:$C,MATCH($B$1,Database!$A$1:$C$1,),)=0,#N/A,VLOOKUP(Table7[[#This Row],[Date]],Database!$A:$C,MATCH($B$1,Database!$A$1:$C$1,),))</f>
        <v/>
      </c>
      <c r="C4590">
        <f>IF(VLOOKUP(Table7[[#This Row],[Date]],Database!$A:$C,MATCH($C$1,Database!$A$1:$C$1,),)=0,#N/A,VLOOKUP(Table7[[#This Row],[Date]],Database!$A:$C,MATCH($C$1,Database!$A$1:$C$1,),))</f>
        <v/>
      </c>
      <c r="D4590">
        <f>IFERROR(Table7[[#This Row],[United States 10y]]-Table7[[#This Row],[United States 3y]],#N/A)</f>
        <v/>
      </c>
    </row>
    <row r="4591">
      <c r="A4591" s="6">
        <f>Database!$A6676</f>
        <v/>
      </c>
      <c r="B4591">
        <f>IF(VLOOKUP(Table7[[#This Row],[Date]],Database!$A:$C,MATCH($B$1,Database!$A$1:$C$1,),)=0,#N/A,VLOOKUP(Table7[[#This Row],[Date]],Database!$A:$C,MATCH($B$1,Database!$A$1:$C$1,),))</f>
        <v/>
      </c>
      <c r="C4591">
        <f>IF(VLOOKUP(Table7[[#This Row],[Date]],Database!$A:$C,MATCH($C$1,Database!$A$1:$C$1,),)=0,#N/A,VLOOKUP(Table7[[#This Row],[Date]],Database!$A:$C,MATCH($C$1,Database!$A$1:$C$1,),))</f>
        <v/>
      </c>
      <c r="D4591">
        <f>IFERROR(Table7[[#This Row],[United States 10y]]-Table7[[#This Row],[United States 3y]],#N/A)</f>
        <v/>
      </c>
    </row>
    <row r="4592">
      <c r="A4592" s="6">
        <f>Database!$A6677</f>
        <v/>
      </c>
      <c r="B4592">
        <f>IF(VLOOKUP(Table7[[#This Row],[Date]],Database!$A:$C,MATCH($B$1,Database!$A$1:$C$1,),)=0,#N/A,VLOOKUP(Table7[[#This Row],[Date]],Database!$A:$C,MATCH($B$1,Database!$A$1:$C$1,),))</f>
        <v/>
      </c>
      <c r="C4592">
        <f>IF(VLOOKUP(Table7[[#This Row],[Date]],Database!$A:$C,MATCH($C$1,Database!$A$1:$C$1,),)=0,#N/A,VLOOKUP(Table7[[#This Row],[Date]],Database!$A:$C,MATCH($C$1,Database!$A$1:$C$1,),))</f>
        <v/>
      </c>
      <c r="D4592">
        <f>IFERROR(Table7[[#This Row],[United States 10y]]-Table7[[#This Row],[United States 3y]],#N/A)</f>
        <v/>
      </c>
    </row>
    <row r="4593">
      <c r="A4593" s="6">
        <f>Database!$A6678</f>
        <v/>
      </c>
      <c r="B4593">
        <f>IF(VLOOKUP(Table7[[#This Row],[Date]],Database!$A:$C,MATCH($B$1,Database!$A$1:$C$1,),)=0,#N/A,VLOOKUP(Table7[[#This Row],[Date]],Database!$A:$C,MATCH($B$1,Database!$A$1:$C$1,),))</f>
        <v/>
      </c>
      <c r="C4593">
        <f>IF(VLOOKUP(Table7[[#This Row],[Date]],Database!$A:$C,MATCH($C$1,Database!$A$1:$C$1,),)=0,#N/A,VLOOKUP(Table7[[#This Row],[Date]],Database!$A:$C,MATCH($C$1,Database!$A$1:$C$1,),))</f>
        <v/>
      </c>
      <c r="D4593">
        <f>IFERROR(Table7[[#This Row],[United States 10y]]-Table7[[#This Row],[United States 3y]],#N/A)</f>
        <v/>
      </c>
    </row>
    <row r="4594">
      <c r="A4594" s="6">
        <f>Database!$A6679</f>
        <v/>
      </c>
      <c r="B4594">
        <f>IF(VLOOKUP(Table7[[#This Row],[Date]],Database!$A:$C,MATCH($B$1,Database!$A$1:$C$1,),)=0,#N/A,VLOOKUP(Table7[[#This Row],[Date]],Database!$A:$C,MATCH($B$1,Database!$A$1:$C$1,),))</f>
        <v/>
      </c>
      <c r="C4594">
        <f>IF(VLOOKUP(Table7[[#This Row],[Date]],Database!$A:$C,MATCH($C$1,Database!$A$1:$C$1,),)=0,#N/A,VLOOKUP(Table7[[#This Row],[Date]],Database!$A:$C,MATCH($C$1,Database!$A$1:$C$1,),))</f>
        <v/>
      </c>
      <c r="D4594">
        <f>IFERROR(Table7[[#This Row],[United States 10y]]-Table7[[#This Row],[United States 3y]],#N/A)</f>
        <v/>
      </c>
    </row>
    <row r="4595">
      <c r="A4595" s="6">
        <f>Database!$A6680</f>
        <v/>
      </c>
      <c r="B4595">
        <f>IF(VLOOKUP(Table7[[#This Row],[Date]],Database!$A:$C,MATCH($B$1,Database!$A$1:$C$1,),)=0,#N/A,VLOOKUP(Table7[[#This Row],[Date]],Database!$A:$C,MATCH($B$1,Database!$A$1:$C$1,),))</f>
        <v/>
      </c>
      <c r="C4595">
        <f>IF(VLOOKUP(Table7[[#This Row],[Date]],Database!$A:$C,MATCH($C$1,Database!$A$1:$C$1,),)=0,#N/A,VLOOKUP(Table7[[#This Row],[Date]],Database!$A:$C,MATCH($C$1,Database!$A$1:$C$1,),))</f>
        <v/>
      </c>
      <c r="D4595">
        <f>IFERROR(Table7[[#This Row],[United States 10y]]-Table7[[#This Row],[United States 3y]],#N/A)</f>
        <v/>
      </c>
    </row>
    <row r="4596">
      <c r="A4596" s="6">
        <f>Database!$A6681</f>
        <v/>
      </c>
      <c r="B4596">
        <f>IF(VLOOKUP(Table7[[#This Row],[Date]],Database!$A:$C,MATCH($B$1,Database!$A$1:$C$1,),)=0,#N/A,VLOOKUP(Table7[[#This Row],[Date]],Database!$A:$C,MATCH($B$1,Database!$A$1:$C$1,),))</f>
        <v/>
      </c>
      <c r="C4596">
        <f>IF(VLOOKUP(Table7[[#This Row],[Date]],Database!$A:$C,MATCH($C$1,Database!$A$1:$C$1,),)=0,#N/A,VLOOKUP(Table7[[#This Row],[Date]],Database!$A:$C,MATCH($C$1,Database!$A$1:$C$1,),))</f>
        <v/>
      </c>
      <c r="D4596">
        <f>IFERROR(Table7[[#This Row],[United States 10y]]-Table7[[#This Row],[United States 3y]],#N/A)</f>
        <v/>
      </c>
    </row>
    <row r="4597">
      <c r="A4597" s="6">
        <f>Database!$A6682</f>
        <v/>
      </c>
      <c r="B4597">
        <f>IF(VLOOKUP(Table7[[#This Row],[Date]],Database!$A:$C,MATCH($B$1,Database!$A$1:$C$1,),)=0,#N/A,VLOOKUP(Table7[[#This Row],[Date]],Database!$A:$C,MATCH($B$1,Database!$A$1:$C$1,),))</f>
        <v/>
      </c>
      <c r="C4597">
        <f>IF(VLOOKUP(Table7[[#This Row],[Date]],Database!$A:$C,MATCH($C$1,Database!$A$1:$C$1,),)=0,#N/A,VLOOKUP(Table7[[#This Row],[Date]],Database!$A:$C,MATCH($C$1,Database!$A$1:$C$1,),))</f>
        <v/>
      </c>
      <c r="D4597">
        <f>IFERROR(Table7[[#This Row],[United States 10y]]-Table7[[#This Row],[United States 3y]],#N/A)</f>
        <v/>
      </c>
    </row>
    <row r="4598">
      <c r="A4598" s="6">
        <f>Database!$A6683</f>
        <v/>
      </c>
      <c r="B4598">
        <f>IF(VLOOKUP(Table7[[#This Row],[Date]],Database!$A:$C,MATCH($B$1,Database!$A$1:$C$1,),)=0,#N/A,VLOOKUP(Table7[[#This Row],[Date]],Database!$A:$C,MATCH($B$1,Database!$A$1:$C$1,),))</f>
        <v/>
      </c>
      <c r="C4598">
        <f>IF(VLOOKUP(Table7[[#This Row],[Date]],Database!$A:$C,MATCH($C$1,Database!$A$1:$C$1,),)=0,#N/A,VLOOKUP(Table7[[#This Row],[Date]],Database!$A:$C,MATCH($C$1,Database!$A$1:$C$1,),))</f>
        <v/>
      </c>
      <c r="D4598">
        <f>IFERROR(Table7[[#This Row],[United States 10y]]-Table7[[#This Row],[United States 3y]],#N/A)</f>
        <v/>
      </c>
    </row>
    <row r="4599">
      <c r="A4599" s="6">
        <f>Database!$A6684</f>
        <v/>
      </c>
      <c r="B4599">
        <f>IF(VLOOKUP(Table7[[#This Row],[Date]],Database!$A:$C,MATCH($B$1,Database!$A$1:$C$1,),)=0,#N/A,VLOOKUP(Table7[[#This Row],[Date]],Database!$A:$C,MATCH($B$1,Database!$A$1:$C$1,),))</f>
        <v/>
      </c>
      <c r="C4599">
        <f>IF(VLOOKUP(Table7[[#This Row],[Date]],Database!$A:$C,MATCH($C$1,Database!$A$1:$C$1,),)=0,#N/A,VLOOKUP(Table7[[#This Row],[Date]],Database!$A:$C,MATCH($C$1,Database!$A$1:$C$1,),))</f>
        <v/>
      </c>
      <c r="D4599">
        <f>IFERROR(Table7[[#This Row],[United States 10y]]-Table7[[#This Row],[United States 3y]],#N/A)</f>
        <v/>
      </c>
    </row>
    <row r="4600">
      <c r="A4600" s="6">
        <f>Database!$A6685</f>
        <v/>
      </c>
      <c r="B4600">
        <f>IF(VLOOKUP(Table7[[#This Row],[Date]],Database!$A:$C,MATCH($B$1,Database!$A$1:$C$1,),)=0,#N/A,VLOOKUP(Table7[[#This Row],[Date]],Database!$A:$C,MATCH($B$1,Database!$A$1:$C$1,),))</f>
        <v/>
      </c>
      <c r="C4600">
        <f>IF(VLOOKUP(Table7[[#This Row],[Date]],Database!$A:$C,MATCH($C$1,Database!$A$1:$C$1,),)=0,#N/A,VLOOKUP(Table7[[#This Row],[Date]],Database!$A:$C,MATCH($C$1,Database!$A$1:$C$1,),))</f>
        <v/>
      </c>
      <c r="D4600">
        <f>IFERROR(Table7[[#This Row],[United States 10y]]-Table7[[#This Row],[United States 3y]],#N/A)</f>
        <v/>
      </c>
    </row>
    <row r="4601">
      <c r="A4601" s="6">
        <f>Database!$A6686</f>
        <v/>
      </c>
      <c r="B4601">
        <f>IF(VLOOKUP(Table7[[#This Row],[Date]],Database!$A:$C,MATCH($B$1,Database!$A$1:$C$1,),)=0,#N/A,VLOOKUP(Table7[[#This Row],[Date]],Database!$A:$C,MATCH($B$1,Database!$A$1:$C$1,),))</f>
        <v/>
      </c>
      <c r="C4601">
        <f>IF(VLOOKUP(Table7[[#This Row],[Date]],Database!$A:$C,MATCH($C$1,Database!$A$1:$C$1,),)=0,#N/A,VLOOKUP(Table7[[#This Row],[Date]],Database!$A:$C,MATCH($C$1,Database!$A$1:$C$1,),))</f>
        <v/>
      </c>
      <c r="D4601">
        <f>IFERROR(Table7[[#This Row],[United States 10y]]-Table7[[#This Row],[United States 3y]],#N/A)</f>
        <v/>
      </c>
    </row>
    <row r="4602">
      <c r="A4602" s="6">
        <f>Database!$A6687</f>
        <v/>
      </c>
      <c r="B4602">
        <f>IF(VLOOKUP(Table7[[#This Row],[Date]],Database!$A:$C,MATCH($B$1,Database!$A$1:$C$1,),)=0,#N/A,VLOOKUP(Table7[[#This Row],[Date]],Database!$A:$C,MATCH($B$1,Database!$A$1:$C$1,),))</f>
        <v/>
      </c>
      <c r="C4602">
        <f>IF(VLOOKUP(Table7[[#This Row],[Date]],Database!$A:$C,MATCH($C$1,Database!$A$1:$C$1,),)=0,#N/A,VLOOKUP(Table7[[#This Row],[Date]],Database!$A:$C,MATCH($C$1,Database!$A$1:$C$1,),))</f>
        <v/>
      </c>
      <c r="D4602">
        <f>IFERROR(Table7[[#This Row],[United States 10y]]-Table7[[#This Row],[United States 3y]],#N/A)</f>
        <v/>
      </c>
    </row>
    <row r="4603">
      <c r="A4603" s="6">
        <f>Database!$A6688</f>
        <v/>
      </c>
      <c r="B4603">
        <f>IF(VLOOKUP(Table7[[#This Row],[Date]],Database!$A:$C,MATCH($B$1,Database!$A$1:$C$1,),)=0,#N/A,VLOOKUP(Table7[[#This Row],[Date]],Database!$A:$C,MATCH($B$1,Database!$A$1:$C$1,),))</f>
        <v/>
      </c>
      <c r="C4603">
        <f>IF(VLOOKUP(Table7[[#This Row],[Date]],Database!$A:$C,MATCH($C$1,Database!$A$1:$C$1,),)=0,#N/A,VLOOKUP(Table7[[#This Row],[Date]],Database!$A:$C,MATCH($C$1,Database!$A$1:$C$1,),))</f>
        <v/>
      </c>
      <c r="D4603">
        <f>IFERROR(Table7[[#This Row],[United States 10y]]-Table7[[#This Row],[United States 3y]],#N/A)</f>
        <v/>
      </c>
    </row>
    <row r="4604">
      <c r="A4604" s="6">
        <f>Database!$A6689</f>
        <v/>
      </c>
      <c r="B4604">
        <f>IF(VLOOKUP(Table7[[#This Row],[Date]],Database!$A:$C,MATCH($B$1,Database!$A$1:$C$1,),)=0,#N/A,VLOOKUP(Table7[[#This Row],[Date]],Database!$A:$C,MATCH($B$1,Database!$A$1:$C$1,),))</f>
        <v/>
      </c>
      <c r="C4604">
        <f>IF(VLOOKUP(Table7[[#This Row],[Date]],Database!$A:$C,MATCH($C$1,Database!$A$1:$C$1,),)=0,#N/A,VLOOKUP(Table7[[#This Row],[Date]],Database!$A:$C,MATCH($C$1,Database!$A$1:$C$1,),))</f>
        <v/>
      </c>
      <c r="D4604">
        <f>IFERROR(Table7[[#This Row],[United States 10y]]-Table7[[#This Row],[United States 3y]],#N/A)</f>
        <v/>
      </c>
    </row>
    <row r="4605">
      <c r="A4605" s="6">
        <f>Database!$A6690</f>
        <v/>
      </c>
      <c r="B4605">
        <f>IF(VLOOKUP(Table7[[#This Row],[Date]],Database!$A:$C,MATCH($B$1,Database!$A$1:$C$1,),)=0,#N/A,VLOOKUP(Table7[[#This Row],[Date]],Database!$A:$C,MATCH($B$1,Database!$A$1:$C$1,),))</f>
        <v/>
      </c>
      <c r="C4605">
        <f>IF(VLOOKUP(Table7[[#This Row],[Date]],Database!$A:$C,MATCH($C$1,Database!$A$1:$C$1,),)=0,#N/A,VLOOKUP(Table7[[#This Row],[Date]],Database!$A:$C,MATCH($C$1,Database!$A$1:$C$1,),))</f>
        <v/>
      </c>
      <c r="D4605">
        <f>IFERROR(Table7[[#This Row],[United States 10y]]-Table7[[#This Row],[United States 3y]],#N/A)</f>
        <v/>
      </c>
    </row>
    <row r="4606">
      <c r="A4606" s="6">
        <f>Database!$A6691</f>
        <v/>
      </c>
      <c r="B4606">
        <f>IF(VLOOKUP(Table7[[#This Row],[Date]],Database!$A:$C,MATCH($B$1,Database!$A$1:$C$1,),)=0,#N/A,VLOOKUP(Table7[[#This Row],[Date]],Database!$A:$C,MATCH($B$1,Database!$A$1:$C$1,),))</f>
        <v/>
      </c>
      <c r="C4606">
        <f>IF(VLOOKUP(Table7[[#This Row],[Date]],Database!$A:$C,MATCH($C$1,Database!$A$1:$C$1,),)=0,#N/A,VLOOKUP(Table7[[#This Row],[Date]],Database!$A:$C,MATCH($C$1,Database!$A$1:$C$1,),))</f>
        <v/>
      </c>
      <c r="D4606">
        <f>IFERROR(Table7[[#This Row],[United States 10y]]-Table7[[#This Row],[United States 3y]],#N/A)</f>
        <v/>
      </c>
    </row>
    <row r="4607">
      <c r="A4607" s="6">
        <f>Database!$A6692</f>
        <v/>
      </c>
      <c r="B4607">
        <f>IF(VLOOKUP(Table7[[#This Row],[Date]],Database!$A:$C,MATCH($B$1,Database!$A$1:$C$1,),)=0,#N/A,VLOOKUP(Table7[[#This Row],[Date]],Database!$A:$C,MATCH($B$1,Database!$A$1:$C$1,),))</f>
        <v/>
      </c>
      <c r="C4607">
        <f>IF(VLOOKUP(Table7[[#This Row],[Date]],Database!$A:$C,MATCH($C$1,Database!$A$1:$C$1,),)=0,#N/A,VLOOKUP(Table7[[#This Row],[Date]],Database!$A:$C,MATCH($C$1,Database!$A$1:$C$1,),))</f>
        <v/>
      </c>
      <c r="D4607">
        <f>IFERROR(Table7[[#This Row],[United States 10y]]-Table7[[#This Row],[United States 3y]],#N/A)</f>
        <v/>
      </c>
    </row>
    <row r="4608">
      <c r="A4608" s="6">
        <f>Database!$A6693</f>
        <v/>
      </c>
      <c r="B4608">
        <f>IF(VLOOKUP(Table7[[#This Row],[Date]],Database!$A:$C,MATCH($B$1,Database!$A$1:$C$1,),)=0,#N/A,VLOOKUP(Table7[[#This Row],[Date]],Database!$A:$C,MATCH($B$1,Database!$A$1:$C$1,),))</f>
        <v/>
      </c>
      <c r="C4608">
        <f>IF(VLOOKUP(Table7[[#This Row],[Date]],Database!$A:$C,MATCH($C$1,Database!$A$1:$C$1,),)=0,#N/A,VLOOKUP(Table7[[#This Row],[Date]],Database!$A:$C,MATCH($C$1,Database!$A$1:$C$1,),))</f>
        <v/>
      </c>
      <c r="D4608">
        <f>IFERROR(Table7[[#This Row],[United States 10y]]-Table7[[#This Row],[United States 3y]],#N/A)</f>
        <v/>
      </c>
    </row>
    <row r="4609">
      <c r="A4609" s="6">
        <f>Database!$A6694</f>
        <v/>
      </c>
      <c r="B4609">
        <f>IF(VLOOKUP(Table7[[#This Row],[Date]],Database!$A:$C,MATCH($B$1,Database!$A$1:$C$1,),)=0,#N/A,VLOOKUP(Table7[[#This Row],[Date]],Database!$A:$C,MATCH($B$1,Database!$A$1:$C$1,),))</f>
        <v/>
      </c>
      <c r="C4609">
        <f>IF(VLOOKUP(Table7[[#This Row],[Date]],Database!$A:$C,MATCH($C$1,Database!$A$1:$C$1,),)=0,#N/A,VLOOKUP(Table7[[#This Row],[Date]],Database!$A:$C,MATCH($C$1,Database!$A$1:$C$1,),))</f>
        <v/>
      </c>
      <c r="D4609">
        <f>IFERROR(Table7[[#This Row],[United States 10y]]-Table7[[#This Row],[United States 3y]],#N/A)</f>
        <v/>
      </c>
    </row>
    <row r="4610">
      <c r="A4610" s="6">
        <f>Database!$A6695</f>
        <v/>
      </c>
      <c r="B4610">
        <f>IF(VLOOKUP(Table7[[#This Row],[Date]],Database!$A:$C,MATCH($B$1,Database!$A$1:$C$1,),)=0,#N/A,VLOOKUP(Table7[[#This Row],[Date]],Database!$A:$C,MATCH($B$1,Database!$A$1:$C$1,),))</f>
        <v/>
      </c>
      <c r="C4610">
        <f>IF(VLOOKUP(Table7[[#This Row],[Date]],Database!$A:$C,MATCH($C$1,Database!$A$1:$C$1,),)=0,#N/A,VLOOKUP(Table7[[#This Row],[Date]],Database!$A:$C,MATCH($C$1,Database!$A$1:$C$1,),))</f>
        <v/>
      </c>
      <c r="D4610">
        <f>IFERROR(Table7[[#This Row],[United States 10y]]-Table7[[#This Row],[United States 3y]],#N/A)</f>
        <v/>
      </c>
    </row>
    <row r="4611">
      <c r="A4611" s="6">
        <f>Database!$A6696</f>
        <v/>
      </c>
      <c r="B4611">
        <f>IF(VLOOKUP(Table7[[#This Row],[Date]],Database!$A:$C,MATCH($B$1,Database!$A$1:$C$1,),)=0,#N/A,VLOOKUP(Table7[[#This Row],[Date]],Database!$A:$C,MATCH($B$1,Database!$A$1:$C$1,),))</f>
        <v/>
      </c>
      <c r="C4611">
        <f>IF(VLOOKUP(Table7[[#This Row],[Date]],Database!$A:$C,MATCH($C$1,Database!$A$1:$C$1,),)=0,#N/A,VLOOKUP(Table7[[#This Row],[Date]],Database!$A:$C,MATCH($C$1,Database!$A$1:$C$1,),))</f>
        <v/>
      </c>
      <c r="D4611">
        <f>IFERROR(Table7[[#This Row],[United States 10y]]-Table7[[#This Row],[United States 3y]],#N/A)</f>
        <v/>
      </c>
    </row>
    <row r="4612">
      <c r="A4612" s="6">
        <f>Database!$A6697</f>
        <v/>
      </c>
      <c r="B4612">
        <f>IF(VLOOKUP(Table7[[#This Row],[Date]],Database!$A:$C,MATCH($B$1,Database!$A$1:$C$1,),)=0,#N/A,VLOOKUP(Table7[[#This Row],[Date]],Database!$A:$C,MATCH($B$1,Database!$A$1:$C$1,),))</f>
        <v/>
      </c>
      <c r="C4612">
        <f>IF(VLOOKUP(Table7[[#This Row],[Date]],Database!$A:$C,MATCH($C$1,Database!$A$1:$C$1,),)=0,#N/A,VLOOKUP(Table7[[#This Row],[Date]],Database!$A:$C,MATCH($C$1,Database!$A$1:$C$1,),))</f>
        <v/>
      </c>
      <c r="D4612">
        <f>IFERROR(Table7[[#This Row],[United States 10y]]-Table7[[#This Row],[United States 3y]],#N/A)</f>
        <v/>
      </c>
    </row>
    <row r="4613">
      <c r="A4613" s="6">
        <f>Database!$A6698</f>
        <v/>
      </c>
      <c r="B4613">
        <f>IF(VLOOKUP(Table7[[#This Row],[Date]],Database!$A:$C,MATCH($B$1,Database!$A$1:$C$1,),)=0,#N/A,VLOOKUP(Table7[[#This Row],[Date]],Database!$A:$C,MATCH($B$1,Database!$A$1:$C$1,),))</f>
        <v/>
      </c>
      <c r="C4613">
        <f>IF(VLOOKUP(Table7[[#This Row],[Date]],Database!$A:$C,MATCH($C$1,Database!$A$1:$C$1,),)=0,#N/A,VLOOKUP(Table7[[#This Row],[Date]],Database!$A:$C,MATCH($C$1,Database!$A$1:$C$1,),))</f>
        <v/>
      </c>
      <c r="D4613">
        <f>IFERROR(Table7[[#This Row],[United States 10y]]-Table7[[#This Row],[United States 3y]],#N/A)</f>
        <v/>
      </c>
    </row>
    <row r="4614">
      <c r="A4614" s="6">
        <f>Database!$A6699</f>
        <v/>
      </c>
      <c r="B4614">
        <f>IF(VLOOKUP(Table7[[#This Row],[Date]],Database!$A:$C,MATCH($B$1,Database!$A$1:$C$1,),)=0,#N/A,VLOOKUP(Table7[[#This Row],[Date]],Database!$A:$C,MATCH($B$1,Database!$A$1:$C$1,),))</f>
        <v/>
      </c>
      <c r="C4614">
        <f>IF(VLOOKUP(Table7[[#This Row],[Date]],Database!$A:$C,MATCH($C$1,Database!$A$1:$C$1,),)=0,#N/A,VLOOKUP(Table7[[#This Row],[Date]],Database!$A:$C,MATCH($C$1,Database!$A$1:$C$1,),))</f>
        <v/>
      </c>
      <c r="D4614">
        <f>IFERROR(Table7[[#This Row],[United States 10y]]-Table7[[#This Row],[United States 3y]],#N/A)</f>
        <v/>
      </c>
    </row>
    <row r="4615">
      <c r="A4615" s="6">
        <f>Database!$A6700</f>
        <v/>
      </c>
      <c r="B4615">
        <f>IF(VLOOKUP(Table7[[#This Row],[Date]],Database!$A:$C,MATCH($B$1,Database!$A$1:$C$1,),)=0,#N/A,VLOOKUP(Table7[[#This Row],[Date]],Database!$A:$C,MATCH($B$1,Database!$A$1:$C$1,),))</f>
        <v/>
      </c>
      <c r="C4615">
        <f>IF(VLOOKUP(Table7[[#This Row],[Date]],Database!$A:$C,MATCH($C$1,Database!$A$1:$C$1,),)=0,#N/A,VLOOKUP(Table7[[#This Row],[Date]],Database!$A:$C,MATCH($C$1,Database!$A$1:$C$1,),))</f>
        <v/>
      </c>
      <c r="D4615">
        <f>IFERROR(Table7[[#This Row],[United States 10y]]-Table7[[#This Row],[United States 3y]],#N/A)</f>
        <v/>
      </c>
    </row>
    <row r="4616">
      <c r="A4616" s="6">
        <f>Database!$A6701</f>
        <v/>
      </c>
      <c r="B4616">
        <f>IF(VLOOKUP(Table7[[#This Row],[Date]],Database!$A:$C,MATCH($B$1,Database!$A$1:$C$1,),)=0,#N/A,VLOOKUP(Table7[[#This Row],[Date]],Database!$A:$C,MATCH($B$1,Database!$A$1:$C$1,),))</f>
        <v/>
      </c>
      <c r="C4616">
        <f>IF(VLOOKUP(Table7[[#This Row],[Date]],Database!$A:$C,MATCH($C$1,Database!$A$1:$C$1,),)=0,#N/A,VLOOKUP(Table7[[#This Row],[Date]],Database!$A:$C,MATCH($C$1,Database!$A$1:$C$1,),))</f>
        <v/>
      </c>
      <c r="D4616">
        <f>IFERROR(Table7[[#This Row],[United States 10y]]-Table7[[#This Row],[United States 3y]],#N/A)</f>
        <v/>
      </c>
    </row>
    <row r="4617">
      <c r="A4617" s="6">
        <f>Database!$A6702</f>
        <v/>
      </c>
      <c r="B4617">
        <f>IF(VLOOKUP(Table7[[#This Row],[Date]],Database!$A:$C,MATCH($B$1,Database!$A$1:$C$1,),)=0,#N/A,VLOOKUP(Table7[[#This Row],[Date]],Database!$A:$C,MATCH($B$1,Database!$A$1:$C$1,),))</f>
        <v/>
      </c>
      <c r="C4617">
        <f>IF(VLOOKUP(Table7[[#This Row],[Date]],Database!$A:$C,MATCH($C$1,Database!$A$1:$C$1,),)=0,#N/A,VLOOKUP(Table7[[#This Row],[Date]],Database!$A:$C,MATCH($C$1,Database!$A$1:$C$1,),))</f>
        <v/>
      </c>
      <c r="D4617">
        <f>IFERROR(Table7[[#This Row],[United States 10y]]-Table7[[#This Row],[United States 3y]],#N/A)</f>
        <v/>
      </c>
    </row>
    <row r="4618">
      <c r="A4618" s="6">
        <f>Database!$A6703</f>
        <v/>
      </c>
      <c r="B4618">
        <f>IF(VLOOKUP(Table7[[#This Row],[Date]],Database!$A:$C,MATCH($B$1,Database!$A$1:$C$1,),)=0,#N/A,VLOOKUP(Table7[[#This Row],[Date]],Database!$A:$C,MATCH($B$1,Database!$A$1:$C$1,),))</f>
        <v/>
      </c>
      <c r="C4618">
        <f>IF(VLOOKUP(Table7[[#This Row],[Date]],Database!$A:$C,MATCH($C$1,Database!$A$1:$C$1,),)=0,#N/A,VLOOKUP(Table7[[#This Row],[Date]],Database!$A:$C,MATCH($C$1,Database!$A$1:$C$1,),))</f>
        <v/>
      </c>
      <c r="D4618">
        <f>IFERROR(Table7[[#This Row],[United States 10y]]-Table7[[#This Row],[United States 3y]],#N/A)</f>
        <v/>
      </c>
    </row>
    <row r="4619">
      <c r="A4619" s="6">
        <f>Database!$A6704</f>
        <v/>
      </c>
      <c r="B4619">
        <f>IF(VLOOKUP(Table7[[#This Row],[Date]],Database!$A:$C,MATCH($B$1,Database!$A$1:$C$1,),)=0,#N/A,VLOOKUP(Table7[[#This Row],[Date]],Database!$A:$C,MATCH($B$1,Database!$A$1:$C$1,),))</f>
        <v/>
      </c>
      <c r="C4619">
        <f>IF(VLOOKUP(Table7[[#This Row],[Date]],Database!$A:$C,MATCH($C$1,Database!$A$1:$C$1,),)=0,#N/A,VLOOKUP(Table7[[#This Row],[Date]],Database!$A:$C,MATCH($C$1,Database!$A$1:$C$1,),))</f>
        <v/>
      </c>
      <c r="D4619">
        <f>IFERROR(Table7[[#This Row],[United States 10y]]-Table7[[#This Row],[United States 3y]],#N/A)</f>
        <v/>
      </c>
    </row>
    <row r="4620">
      <c r="A4620" s="6">
        <f>Database!$A6705</f>
        <v/>
      </c>
      <c r="B4620">
        <f>IF(VLOOKUP(Table7[[#This Row],[Date]],Database!$A:$C,MATCH($B$1,Database!$A$1:$C$1,),)=0,#N/A,VLOOKUP(Table7[[#This Row],[Date]],Database!$A:$C,MATCH($B$1,Database!$A$1:$C$1,),))</f>
        <v/>
      </c>
      <c r="C4620">
        <f>IF(VLOOKUP(Table7[[#This Row],[Date]],Database!$A:$C,MATCH($C$1,Database!$A$1:$C$1,),)=0,#N/A,VLOOKUP(Table7[[#This Row],[Date]],Database!$A:$C,MATCH($C$1,Database!$A$1:$C$1,),))</f>
        <v/>
      </c>
      <c r="D4620">
        <f>IFERROR(Table7[[#This Row],[United States 10y]]-Table7[[#This Row],[United States 3y]],#N/A)</f>
        <v/>
      </c>
    </row>
    <row r="4621">
      <c r="A4621" s="6">
        <f>Database!$A6706</f>
        <v/>
      </c>
      <c r="B4621">
        <f>IF(VLOOKUP(Table7[[#This Row],[Date]],Database!$A:$C,MATCH($B$1,Database!$A$1:$C$1,),)=0,#N/A,VLOOKUP(Table7[[#This Row],[Date]],Database!$A:$C,MATCH($B$1,Database!$A$1:$C$1,),))</f>
        <v/>
      </c>
      <c r="C4621">
        <f>IF(VLOOKUP(Table7[[#This Row],[Date]],Database!$A:$C,MATCH($C$1,Database!$A$1:$C$1,),)=0,#N/A,VLOOKUP(Table7[[#This Row],[Date]],Database!$A:$C,MATCH($C$1,Database!$A$1:$C$1,),))</f>
        <v/>
      </c>
      <c r="D4621">
        <f>IFERROR(Table7[[#This Row],[United States 10y]]-Table7[[#This Row],[United States 3y]],#N/A)</f>
        <v/>
      </c>
    </row>
    <row r="4622">
      <c r="A4622" s="6">
        <f>Database!$A6707</f>
        <v/>
      </c>
      <c r="B4622">
        <f>IF(VLOOKUP(Table7[[#This Row],[Date]],Database!$A:$C,MATCH($B$1,Database!$A$1:$C$1,),)=0,#N/A,VLOOKUP(Table7[[#This Row],[Date]],Database!$A:$C,MATCH($B$1,Database!$A$1:$C$1,),))</f>
        <v/>
      </c>
      <c r="C4622">
        <f>IF(VLOOKUP(Table7[[#This Row],[Date]],Database!$A:$C,MATCH($C$1,Database!$A$1:$C$1,),)=0,#N/A,VLOOKUP(Table7[[#This Row],[Date]],Database!$A:$C,MATCH($C$1,Database!$A$1:$C$1,),))</f>
        <v/>
      </c>
      <c r="D4622">
        <f>IFERROR(Table7[[#This Row],[United States 10y]]-Table7[[#This Row],[United States 3y]],#N/A)</f>
        <v/>
      </c>
    </row>
    <row r="4623">
      <c r="A4623" s="6">
        <f>Database!$A6708</f>
        <v/>
      </c>
      <c r="B4623">
        <f>IF(VLOOKUP(Table7[[#This Row],[Date]],Database!$A:$C,MATCH($B$1,Database!$A$1:$C$1,),)=0,#N/A,VLOOKUP(Table7[[#This Row],[Date]],Database!$A:$C,MATCH($B$1,Database!$A$1:$C$1,),))</f>
        <v/>
      </c>
      <c r="C4623">
        <f>IF(VLOOKUP(Table7[[#This Row],[Date]],Database!$A:$C,MATCH($C$1,Database!$A$1:$C$1,),)=0,#N/A,VLOOKUP(Table7[[#This Row],[Date]],Database!$A:$C,MATCH($C$1,Database!$A$1:$C$1,),))</f>
        <v/>
      </c>
      <c r="D4623">
        <f>IFERROR(Table7[[#This Row],[United States 10y]]-Table7[[#This Row],[United States 3y]],#N/A)</f>
        <v/>
      </c>
    </row>
    <row r="4624">
      <c r="A4624" s="6">
        <f>Database!$A6709</f>
        <v/>
      </c>
      <c r="B4624">
        <f>IF(VLOOKUP(Table7[[#This Row],[Date]],Database!$A:$C,MATCH($B$1,Database!$A$1:$C$1,),)=0,#N/A,VLOOKUP(Table7[[#This Row],[Date]],Database!$A:$C,MATCH($B$1,Database!$A$1:$C$1,),))</f>
        <v/>
      </c>
      <c r="C4624">
        <f>IF(VLOOKUP(Table7[[#This Row],[Date]],Database!$A:$C,MATCH($C$1,Database!$A$1:$C$1,),)=0,#N/A,VLOOKUP(Table7[[#This Row],[Date]],Database!$A:$C,MATCH($C$1,Database!$A$1:$C$1,),))</f>
        <v/>
      </c>
      <c r="D4624">
        <f>IFERROR(Table7[[#This Row],[United States 10y]]-Table7[[#This Row],[United States 3y]],#N/A)</f>
        <v/>
      </c>
    </row>
    <row r="4625">
      <c r="A4625" s="6">
        <f>Database!$A6710</f>
        <v/>
      </c>
      <c r="B4625">
        <f>IF(VLOOKUP(Table7[[#This Row],[Date]],Database!$A:$C,MATCH($B$1,Database!$A$1:$C$1,),)=0,#N/A,VLOOKUP(Table7[[#This Row],[Date]],Database!$A:$C,MATCH($B$1,Database!$A$1:$C$1,),))</f>
        <v/>
      </c>
      <c r="C4625">
        <f>IF(VLOOKUP(Table7[[#This Row],[Date]],Database!$A:$C,MATCH($C$1,Database!$A$1:$C$1,),)=0,#N/A,VLOOKUP(Table7[[#This Row],[Date]],Database!$A:$C,MATCH($C$1,Database!$A$1:$C$1,),))</f>
        <v/>
      </c>
      <c r="D4625">
        <f>IFERROR(Table7[[#This Row],[United States 10y]]-Table7[[#This Row],[United States 3y]],#N/A)</f>
        <v/>
      </c>
    </row>
    <row r="4626">
      <c r="A4626" s="6">
        <f>Database!$A6711</f>
        <v/>
      </c>
      <c r="B4626">
        <f>IF(VLOOKUP(Table7[[#This Row],[Date]],Database!$A:$C,MATCH($B$1,Database!$A$1:$C$1,),)=0,#N/A,VLOOKUP(Table7[[#This Row],[Date]],Database!$A:$C,MATCH($B$1,Database!$A$1:$C$1,),))</f>
        <v/>
      </c>
      <c r="C4626">
        <f>IF(VLOOKUP(Table7[[#This Row],[Date]],Database!$A:$C,MATCH($C$1,Database!$A$1:$C$1,),)=0,#N/A,VLOOKUP(Table7[[#This Row],[Date]],Database!$A:$C,MATCH($C$1,Database!$A$1:$C$1,),))</f>
        <v/>
      </c>
      <c r="D4626">
        <f>IFERROR(Table7[[#This Row],[United States 10y]]-Table7[[#This Row],[United States 3y]],#N/A)</f>
        <v/>
      </c>
    </row>
    <row r="4627">
      <c r="A4627" s="6">
        <f>Database!$A6712</f>
        <v/>
      </c>
      <c r="B4627">
        <f>IF(VLOOKUP(Table7[[#This Row],[Date]],Database!$A:$C,MATCH($B$1,Database!$A$1:$C$1,),)=0,#N/A,VLOOKUP(Table7[[#This Row],[Date]],Database!$A:$C,MATCH($B$1,Database!$A$1:$C$1,),))</f>
        <v/>
      </c>
      <c r="C4627">
        <f>IF(VLOOKUP(Table7[[#This Row],[Date]],Database!$A:$C,MATCH($C$1,Database!$A$1:$C$1,),)=0,#N/A,VLOOKUP(Table7[[#This Row],[Date]],Database!$A:$C,MATCH($C$1,Database!$A$1:$C$1,),))</f>
        <v/>
      </c>
      <c r="D4627">
        <f>IFERROR(Table7[[#This Row],[United States 10y]]-Table7[[#This Row],[United States 3y]],#N/A)</f>
        <v/>
      </c>
    </row>
    <row r="4628">
      <c r="A4628" s="6">
        <f>Database!$A6713</f>
        <v/>
      </c>
      <c r="B4628">
        <f>IF(VLOOKUP(Table7[[#This Row],[Date]],Database!$A:$C,MATCH($B$1,Database!$A$1:$C$1,),)=0,#N/A,VLOOKUP(Table7[[#This Row],[Date]],Database!$A:$C,MATCH($B$1,Database!$A$1:$C$1,),))</f>
        <v/>
      </c>
      <c r="C4628">
        <f>IF(VLOOKUP(Table7[[#This Row],[Date]],Database!$A:$C,MATCH($C$1,Database!$A$1:$C$1,),)=0,#N/A,VLOOKUP(Table7[[#This Row],[Date]],Database!$A:$C,MATCH($C$1,Database!$A$1:$C$1,),))</f>
        <v/>
      </c>
      <c r="D4628">
        <f>IFERROR(Table7[[#This Row],[United States 10y]]-Table7[[#This Row],[United States 3y]],#N/A)</f>
        <v/>
      </c>
    </row>
    <row r="4629">
      <c r="A4629" s="6">
        <f>Database!$A6714</f>
        <v/>
      </c>
      <c r="B4629">
        <f>IF(VLOOKUP(Table7[[#This Row],[Date]],Database!$A:$C,MATCH($B$1,Database!$A$1:$C$1,),)=0,#N/A,VLOOKUP(Table7[[#This Row],[Date]],Database!$A:$C,MATCH($B$1,Database!$A$1:$C$1,),))</f>
        <v/>
      </c>
      <c r="C4629">
        <f>IF(VLOOKUP(Table7[[#This Row],[Date]],Database!$A:$C,MATCH($C$1,Database!$A$1:$C$1,),)=0,#N/A,VLOOKUP(Table7[[#This Row],[Date]],Database!$A:$C,MATCH($C$1,Database!$A$1:$C$1,),))</f>
        <v/>
      </c>
      <c r="D4629">
        <f>IFERROR(Table7[[#This Row],[United States 10y]]-Table7[[#This Row],[United States 3y]],#N/A)</f>
        <v/>
      </c>
    </row>
    <row r="4630">
      <c r="A4630" s="6">
        <f>Database!$A6715</f>
        <v/>
      </c>
      <c r="B4630">
        <f>IF(VLOOKUP(Table7[[#This Row],[Date]],Database!$A:$C,MATCH($B$1,Database!$A$1:$C$1,),)=0,#N/A,VLOOKUP(Table7[[#This Row],[Date]],Database!$A:$C,MATCH($B$1,Database!$A$1:$C$1,),))</f>
        <v/>
      </c>
      <c r="C4630">
        <f>IF(VLOOKUP(Table7[[#This Row],[Date]],Database!$A:$C,MATCH($C$1,Database!$A$1:$C$1,),)=0,#N/A,VLOOKUP(Table7[[#This Row],[Date]],Database!$A:$C,MATCH($C$1,Database!$A$1:$C$1,),))</f>
        <v/>
      </c>
      <c r="D4630">
        <f>IFERROR(Table7[[#This Row],[United States 10y]]-Table7[[#This Row],[United States 3y]],#N/A)</f>
        <v/>
      </c>
    </row>
    <row r="4631">
      <c r="A4631" s="6">
        <f>Database!$A6716</f>
        <v/>
      </c>
      <c r="B4631">
        <f>IF(VLOOKUP(Table7[[#This Row],[Date]],Database!$A:$C,MATCH($B$1,Database!$A$1:$C$1,),)=0,#N/A,VLOOKUP(Table7[[#This Row],[Date]],Database!$A:$C,MATCH($B$1,Database!$A$1:$C$1,),))</f>
        <v/>
      </c>
      <c r="C4631">
        <f>IF(VLOOKUP(Table7[[#This Row],[Date]],Database!$A:$C,MATCH($C$1,Database!$A$1:$C$1,),)=0,#N/A,VLOOKUP(Table7[[#This Row],[Date]],Database!$A:$C,MATCH($C$1,Database!$A$1:$C$1,),))</f>
        <v/>
      </c>
      <c r="D4631">
        <f>IFERROR(Table7[[#This Row],[United States 10y]]-Table7[[#This Row],[United States 3y]],#N/A)</f>
        <v/>
      </c>
    </row>
    <row r="4632">
      <c r="A4632" s="6">
        <f>Database!$A6717</f>
        <v/>
      </c>
      <c r="B4632">
        <f>IF(VLOOKUP(Table7[[#This Row],[Date]],Database!$A:$C,MATCH($B$1,Database!$A$1:$C$1,),)=0,#N/A,VLOOKUP(Table7[[#This Row],[Date]],Database!$A:$C,MATCH($B$1,Database!$A$1:$C$1,),))</f>
        <v/>
      </c>
      <c r="C4632">
        <f>IF(VLOOKUP(Table7[[#This Row],[Date]],Database!$A:$C,MATCH($C$1,Database!$A$1:$C$1,),)=0,#N/A,VLOOKUP(Table7[[#This Row],[Date]],Database!$A:$C,MATCH($C$1,Database!$A$1:$C$1,),))</f>
        <v/>
      </c>
      <c r="D4632">
        <f>IFERROR(Table7[[#This Row],[United States 10y]]-Table7[[#This Row],[United States 3y]],#N/A)</f>
        <v/>
      </c>
    </row>
    <row r="4633">
      <c r="A4633" s="6">
        <f>Database!$A6718</f>
        <v/>
      </c>
      <c r="B4633">
        <f>IF(VLOOKUP(Table7[[#This Row],[Date]],Database!$A:$C,MATCH($B$1,Database!$A$1:$C$1,),)=0,#N/A,VLOOKUP(Table7[[#This Row],[Date]],Database!$A:$C,MATCH($B$1,Database!$A$1:$C$1,),))</f>
        <v/>
      </c>
      <c r="C4633">
        <f>IF(VLOOKUP(Table7[[#This Row],[Date]],Database!$A:$C,MATCH($C$1,Database!$A$1:$C$1,),)=0,#N/A,VLOOKUP(Table7[[#This Row],[Date]],Database!$A:$C,MATCH($C$1,Database!$A$1:$C$1,),))</f>
        <v/>
      </c>
      <c r="D4633">
        <f>IFERROR(Table7[[#This Row],[United States 10y]]-Table7[[#This Row],[United States 3y]],#N/A)</f>
        <v/>
      </c>
    </row>
    <row r="4634">
      <c r="A4634" s="6">
        <f>Database!$A6719</f>
        <v/>
      </c>
      <c r="B4634">
        <f>IF(VLOOKUP(Table7[[#This Row],[Date]],Database!$A:$C,MATCH($B$1,Database!$A$1:$C$1,),)=0,#N/A,VLOOKUP(Table7[[#This Row],[Date]],Database!$A:$C,MATCH($B$1,Database!$A$1:$C$1,),))</f>
        <v/>
      </c>
      <c r="C4634">
        <f>IF(VLOOKUP(Table7[[#This Row],[Date]],Database!$A:$C,MATCH($C$1,Database!$A$1:$C$1,),)=0,#N/A,VLOOKUP(Table7[[#This Row],[Date]],Database!$A:$C,MATCH($C$1,Database!$A$1:$C$1,),))</f>
        <v/>
      </c>
      <c r="D4634">
        <f>IFERROR(Table7[[#This Row],[United States 10y]]-Table7[[#This Row],[United States 3y]],#N/A)</f>
        <v/>
      </c>
    </row>
    <row r="4635">
      <c r="A4635" s="6">
        <f>Database!$A6720</f>
        <v/>
      </c>
      <c r="B4635">
        <f>IF(VLOOKUP(Table7[[#This Row],[Date]],Database!$A:$C,MATCH($B$1,Database!$A$1:$C$1,),)=0,#N/A,VLOOKUP(Table7[[#This Row],[Date]],Database!$A:$C,MATCH($B$1,Database!$A$1:$C$1,),))</f>
        <v/>
      </c>
      <c r="C4635">
        <f>IF(VLOOKUP(Table7[[#This Row],[Date]],Database!$A:$C,MATCH($C$1,Database!$A$1:$C$1,),)=0,#N/A,VLOOKUP(Table7[[#This Row],[Date]],Database!$A:$C,MATCH($C$1,Database!$A$1:$C$1,),))</f>
        <v/>
      </c>
      <c r="D4635">
        <f>IFERROR(Table7[[#This Row],[United States 10y]]-Table7[[#This Row],[United States 3y]],#N/A)</f>
        <v/>
      </c>
    </row>
    <row r="4636">
      <c r="A4636" s="6">
        <f>Database!$A6721</f>
        <v/>
      </c>
      <c r="B4636">
        <f>IF(VLOOKUP(Table7[[#This Row],[Date]],Database!$A:$C,MATCH($B$1,Database!$A$1:$C$1,),)=0,#N/A,VLOOKUP(Table7[[#This Row],[Date]],Database!$A:$C,MATCH($B$1,Database!$A$1:$C$1,),))</f>
        <v/>
      </c>
      <c r="C4636">
        <f>IF(VLOOKUP(Table7[[#This Row],[Date]],Database!$A:$C,MATCH($C$1,Database!$A$1:$C$1,),)=0,#N/A,VLOOKUP(Table7[[#This Row],[Date]],Database!$A:$C,MATCH($C$1,Database!$A$1:$C$1,),))</f>
        <v/>
      </c>
      <c r="D4636">
        <f>IFERROR(Table7[[#This Row],[United States 10y]]-Table7[[#This Row],[United States 3y]],#N/A)</f>
        <v/>
      </c>
    </row>
    <row r="4637">
      <c r="A4637" s="6">
        <f>Database!$A6722</f>
        <v/>
      </c>
      <c r="B4637">
        <f>IF(VLOOKUP(Table7[[#This Row],[Date]],Database!$A:$C,MATCH($B$1,Database!$A$1:$C$1,),)=0,#N/A,VLOOKUP(Table7[[#This Row],[Date]],Database!$A:$C,MATCH($B$1,Database!$A$1:$C$1,),))</f>
        <v/>
      </c>
      <c r="C4637">
        <f>IF(VLOOKUP(Table7[[#This Row],[Date]],Database!$A:$C,MATCH($C$1,Database!$A$1:$C$1,),)=0,#N/A,VLOOKUP(Table7[[#This Row],[Date]],Database!$A:$C,MATCH($C$1,Database!$A$1:$C$1,),))</f>
        <v/>
      </c>
      <c r="D4637">
        <f>IFERROR(Table7[[#This Row],[United States 10y]]-Table7[[#This Row],[United States 3y]],#N/A)</f>
        <v/>
      </c>
    </row>
    <row r="4638">
      <c r="A4638" s="6">
        <f>Database!$A6723</f>
        <v/>
      </c>
      <c r="B4638">
        <f>IF(VLOOKUP(Table7[[#This Row],[Date]],Database!$A:$C,MATCH($B$1,Database!$A$1:$C$1,),)=0,#N/A,VLOOKUP(Table7[[#This Row],[Date]],Database!$A:$C,MATCH($B$1,Database!$A$1:$C$1,),))</f>
        <v/>
      </c>
      <c r="C4638">
        <f>IF(VLOOKUP(Table7[[#This Row],[Date]],Database!$A:$C,MATCH($C$1,Database!$A$1:$C$1,),)=0,#N/A,VLOOKUP(Table7[[#This Row],[Date]],Database!$A:$C,MATCH($C$1,Database!$A$1:$C$1,),))</f>
        <v/>
      </c>
      <c r="D4638">
        <f>IFERROR(Table7[[#This Row],[United States 10y]]-Table7[[#This Row],[United States 3y]],#N/A)</f>
        <v/>
      </c>
    </row>
    <row r="4639">
      <c r="A4639" s="6">
        <f>Database!$A6724</f>
        <v/>
      </c>
      <c r="B4639">
        <f>IF(VLOOKUP(Table7[[#This Row],[Date]],Database!$A:$C,MATCH($B$1,Database!$A$1:$C$1,),)=0,#N/A,VLOOKUP(Table7[[#This Row],[Date]],Database!$A:$C,MATCH($B$1,Database!$A$1:$C$1,),))</f>
        <v/>
      </c>
      <c r="C4639">
        <f>IF(VLOOKUP(Table7[[#This Row],[Date]],Database!$A:$C,MATCH($C$1,Database!$A$1:$C$1,),)=0,#N/A,VLOOKUP(Table7[[#This Row],[Date]],Database!$A:$C,MATCH($C$1,Database!$A$1:$C$1,),))</f>
        <v/>
      </c>
      <c r="D4639">
        <f>IFERROR(Table7[[#This Row],[United States 10y]]-Table7[[#This Row],[United States 3y]],#N/A)</f>
        <v/>
      </c>
    </row>
    <row r="4640">
      <c r="A4640" s="6">
        <f>Database!$A6725</f>
        <v/>
      </c>
      <c r="B4640">
        <f>IF(VLOOKUP(Table7[[#This Row],[Date]],Database!$A:$C,MATCH($B$1,Database!$A$1:$C$1,),)=0,#N/A,VLOOKUP(Table7[[#This Row],[Date]],Database!$A:$C,MATCH($B$1,Database!$A$1:$C$1,),))</f>
        <v/>
      </c>
      <c r="C4640">
        <f>IF(VLOOKUP(Table7[[#This Row],[Date]],Database!$A:$C,MATCH($C$1,Database!$A$1:$C$1,),)=0,#N/A,VLOOKUP(Table7[[#This Row],[Date]],Database!$A:$C,MATCH($C$1,Database!$A$1:$C$1,),))</f>
        <v/>
      </c>
      <c r="D4640">
        <f>IFERROR(Table7[[#This Row],[United States 10y]]-Table7[[#This Row],[United States 3y]],#N/A)</f>
        <v/>
      </c>
    </row>
    <row r="4641">
      <c r="A4641" s="6">
        <f>Database!$A6726</f>
        <v/>
      </c>
      <c r="B4641">
        <f>IF(VLOOKUP(Table7[[#This Row],[Date]],Database!$A:$C,MATCH($B$1,Database!$A$1:$C$1,),)=0,#N/A,VLOOKUP(Table7[[#This Row],[Date]],Database!$A:$C,MATCH($B$1,Database!$A$1:$C$1,),))</f>
        <v/>
      </c>
      <c r="C4641">
        <f>IF(VLOOKUP(Table7[[#This Row],[Date]],Database!$A:$C,MATCH($C$1,Database!$A$1:$C$1,),)=0,#N/A,VLOOKUP(Table7[[#This Row],[Date]],Database!$A:$C,MATCH($C$1,Database!$A$1:$C$1,),))</f>
        <v/>
      </c>
      <c r="D4641">
        <f>IFERROR(Table7[[#This Row],[United States 10y]]-Table7[[#This Row],[United States 3y]],#N/A)</f>
        <v/>
      </c>
    </row>
    <row r="4642">
      <c r="A4642" s="6">
        <f>Database!$A6727</f>
        <v/>
      </c>
      <c r="B4642">
        <f>IF(VLOOKUP(Table7[[#This Row],[Date]],Database!$A:$C,MATCH($B$1,Database!$A$1:$C$1,),)=0,#N/A,VLOOKUP(Table7[[#This Row],[Date]],Database!$A:$C,MATCH($B$1,Database!$A$1:$C$1,),))</f>
        <v/>
      </c>
      <c r="C4642">
        <f>IF(VLOOKUP(Table7[[#This Row],[Date]],Database!$A:$C,MATCH($C$1,Database!$A$1:$C$1,),)=0,#N/A,VLOOKUP(Table7[[#This Row],[Date]],Database!$A:$C,MATCH($C$1,Database!$A$1:$C$1,),))</f>
        <v/>
      </c>
      <c r="D4642">
        <f>IFERROR(Table7[[#This Row],[United States 10y]]-Table7[[#This Row],[United States 3y]],#N/A)</f>
        <v/>
      </c>
    </row>
    <row r="4643">
      <c r="A4643" s="6">
        <f>Database!$A6728</f>
        <v/>
      </c>
      <c r="B4643">
        <f>IF(VLOOKUP(Table7[[#This Row],[Date]],Database!$A:$C,MATCH($B$1,Database!$A$1:$C$1,),)=0,#N/A,VLOOKUP(Table7[[#This Row],[Date]],Database!$A:$C,MATCH($B$1,Database!$A$1:$C$1,),))</f>
        <v/>
      </c>
      <c r="C4643">
        <f>IF(VLOOKUP(Table7[[#This Row],[Date]],Database!$A:$C,MATCH($C$1,Database!$A$1:$C$1,),)=0,#N/A,VLOOKUP(Table7[[#This Row],[Date]],Database!$A:$C,MATCH($C$1,Database!$A$1:$C$1,),))</f>
        <v/>
      </c>
      <c r="D4643">
        <f>IFERROR(Table7[[#This Row],[United States 10y]]-Table7[[#This Row],[United States 3y]],#N/A)</f>
        <v/>
      </c>
    </row>
    <row r="4644">
      <c r="A4644" s="6">
        <f>Database!$A6729</f>
        <v/>
      </c>
      <c r="B4644">
        <f>IF(VLOOKUP(Table7[[#This Row],[Date]],Database!$A:$C,MATCH($B$1,Database!$A$1:$C$1,),)=0,#N/A,VLOOKUP(Table7[[#This Row],[Date]],Database!$A:$C,MATCH($B$1,Database!$A$1:$C$1,),))</f>
        <v/>
      </c>
      <c r="C4644">
        <f>IF(VLOOKUP(Table7[[#This Row],[Date]],Database!$A:$C,MATCH($C$1,Database!$A$1:$C$1,),)=0,#N/A,VLOOKUP(Table7[[#This Row],[Date]],Database!$A:$C,MATCH($C$1,Database!$A$1:$C$1,),))</f>
        <v/>
      </c>
      <c r="D4644">
        <f>IFERROR(Table7[[#This Row],[United States 10y]]-Table7[[#This Row],[United States 3y]],#N/A)</f>
        <v/>
      </c>
    </row>
    <row r="4645">
      <c r="A4645" s="6">
        <f>Database!$A6730</f>
        <v/>
      </c>
      <c r="B4645">
        <f>IF(VLOOKUP(Table7[[#This Row],[Date]],Database!$A:$C,MATCH($B$1,Database!$A$1:$C$1,),)=0,#N/A,VLOOKUP(Table7[[#This Row],[Date]],Database!$A:$C,MATCH($B$1,Database!$A$1:$C$1,),))</f>
        <v/>
      </c>
      <c r="C4645">
        <f>IF(VLOOKUP(Table7[[#This Row],[Date]],Database!$A:$C,MATCH($C$1,Database!$A$1:$C$1,),)=0,#N/A,VLOOKUP(Table7[[#This Row],[Date]],Database!$A:$C,MATCH($C$1,Database!$A$1:$C$1,),))</f>
        <v/>
      </c>
      <c r="D4645">
        <f>IFERROR(Table7[[#This Row],[United States 10y]]-Table7[[#This Row],[United States 3y]],#N/A)</f>
        <v/>
      </c>
    </row>
    <row r="4646">
      <c r="A4646" s="6">
        <f>Database!$A6731</f>
        <v/>
      </c>
      <c r="B4646">
        <f>IF(VLOOKUP(Table7[[#This Row],[Date]],Database!$A:$C,MATCH($B$1,Database!$A$1:$C$1,),)=0,#N/A,VLOOKUP(Table7[[#This Row],[Date]],Database!$A:$C,MATCH($B$1,Database!$A$1:$C$1,),))</f>
        <v/>
      </c>
      <c r="C4646">
        <f>IF(VLOOKUP(Table7[[#This Row],[Date]],Database!$A:$C,MATCH($C$1,Database!$A$1:$C$1,),)=0,#N/A,VLOOKUP(Table7[[#This Row],[Date]],Database!$A:$C,MATCH($C$1,Database!$A$1:$C$1,),))</f>
        <v/>
      </c>
      <c r="D4646">
        <f>IFERROR(Table7[[#This Row],[United States 10y]]-Table7[[#This Row],[United States 3y]],#N/A)</f>
        <v/>
      </c>
    </row>
    <row r="4647">
      <c r="A4647" s="6">
        <f>Database!$A6732</f>
        <v/>
      </c>
      <c r="B4647">
        <f>IF(VLOOKUP(Table7[[#This Row],[Date]],Database!$A:$C,MATCH($B$1,Database!$A$1:$C$1,),)=0,#N/A,VLOOKUP(Table7[[#This Row],[Date]],Database!$A:$C,MATCH($B$1,Database!$A$1:$C$1,),))</f>
        <v/>
      </c>
      <c r="C4647">
        <f>IF(VLOOKUP(Table7[[#This Row],[Date]],Database!$A:$C,MATCH($C$1,Database!$A$1:$C$1,),)=0,#N/A,VLOOKUP(Table7[[#This Row],[Date]],Database!$A:$C,MATCH($C$1,Database!$A$1:$C$1,),))</f>
        <v/>
      </c>
      <c r="D4647">
        <f>IFERROR(Table7[[#This Row],[United States 10y]]-Table7[[#This Row],[United States 3y]],#N/A)</f>
        <v/>
      </c>
    </row>
    <row r="4648">
      <c r="A4648" s="6">
        <f>Database!$A6733</f>
        <v/>
      </c>
      <c r="B4648">
        <f>IF(VLOOKUP(Table7[[#This Row],[Date]],Database!$A:$C,MATCH($B$1,Database!$A$1:$C$1,),)=0,#N/A,VLOOKUP(Table7[[#This Row],[Date]],Database!$A:$C,MATCH($B$1,Database!$A$1:$C$1,),))</f>
        <v/>
      </c>
      <c r="C4648">
        <f>IF(VLOOKUP(Table7[[#This Row],[Date]],Database!$A:$C,MATCH($C$1,Database!$A$1:$C$1,),)=0,#N/A,VLOOKUP(Table7[[#This Row],[Date]],Database!$A:$C,MATCH($C$1,Database!$A$1:$C$1,),))</f>
        <v/>
      </c>
      <c r="D4648">
        <f>IFERROR(Table7[[#This Row],[United States 10y]]-Table7[[#This Row],[United States 3y]],#N/A)</f>
        <v/>
      </c>
    </row>
    <row r="4649">
      <c r="A4649" s="6">
        <f>Database!$A6734</f>
        <v/>
      </c>
      <c r="B4649">
        <f>IF(VLOOKUP(Table7[[#This Row],[Date]],Database!$A:$C,MATCH($B$1,Database!$A$1:$C$1,),)=0,#N/A,VLOOKUP(Table7[[#This Row],[Date]],Database!$A:$C,MATCH($B$1,Database!$A$1:$C$1,),))</f>
        <v/>
      </c>
      <c r="C4649">
        <f>IF(VLOOKUP(Table7[[#This Row],[Date]],Database!$A:$C,MATCH($C$1,Database!$A$1:$C$1,),)=0,#N/A,VLOOKUP(Table7[[#This Row],[Date]],Database!$A:$C,MATCH($C$1,Database!$A$1:$C$1,),))</f>
        <v/>
      </c>
      <c r="D4649">
        <f>IFERROR(Table7[[#This Row],[United States 10y]]-Table7[[#This Row],[United States 3y]],#N/A)</f>
        <v/>
      </c>
    </row>
    <row r="4650">
      <c r="A4650" s="6">
        <f>Database!$A6735</f>
        <v/>
      </c>
      <c r="B4650">
        <f>IF(VLOOKUP(Table7[[#This Row],[Date]],Database!$A:$C,MATCH($B$1,Database!$A$1:$C$1,),)=0,#N/A,VLOOKUP(Table7[[#This Row],[Date]],Database!$A:$C,MATCH($B$1,Database!$A$1:$C$1,),))</f>
        <v/>
      </c>
      <c r="C4650">
        <f>IF(VLOOKUP(Table7[[#This Row],[Date]],Database!$A:$C,MATCH($C$1,Database!$A$1:$C$1,),)=0,#N/A,VLOOKUP(Table7[[#This Row],[Date]],Database!$A:$C,MATCH($C$1,Database!$A$1:$C$1,),))</f>
        <v/>
      </c>
      <c r="D4650">
        <f>IFERROR(Table7[[#This Row],[United States 10y]]-Table7[[#This Row],[United States 3y]],#N/A)</f>
        <v/>
      </c>
    </row>
    <row r="4651">
      <c r="A4651" s="6">
        <f>Database!$A6736</f>
        <v/>
      </c>
      <c r="B4651">
        <f>IF(VLOOKUP(Table7[[#This Row],[Date]],Database!$A:$C,MATCH($B$1,Database!$A$1:$C$1,),)=0,#N/A,VLOOKUP(Table7[[#This Row],[Date]],Database!$A:$C,MATCH($B$1,Database!$A$1:$C$1,),))</f>
        <v/>
      </c>
      <c r="C4651">
        <f>IF(VLOOKUP(Table7[[#This Row],[Date]],Database!$A:$C,MATCH($C$1,Database!$A$1:$C$1,),)=0,#N/A,VLOOKUP(Table7[[#This Row],[Date]],Database!$A:$C,MATCH($C$1,Database!$A$1:$C$1,),))</f>
        <v/>
      </c>
      <c r="D4651">
        <f>IFERROR(Table7[[#This Row],[United States 10y]]-Table7[[#This Row],[United States 3y]],#N/A)</f>
        <v/>
      </c>
    </row>
    <row r="4652">
      <c r="A4652" s="6">
        <f>Database!$A6737</f>
        <v/>
      </c>
      <c r="B4652">
        <f>IF(VLOOKUP(Table7[[#This Row],[Date]],Database!$A:$C,MATCH($B$1,Database!$A$1:$C$1,),)=0,#N/A,VLOOKUP(Table7[[#This Row],[Date]],Database!$A:$C,MATCH($B$1,Database!$A$1:$C$1,),))</f>
        <v/>
      </c>
      <c r="C4652">
        <f>IF(VLOOKUP(Table7[[#This Row],[Date]],Database!$A:$C,MATCH($C$1,Database!$A$1:$C$1,),)=0,#N/A,VLOOKUP(Table7[[#This Row],[Date]],Database!$A:$C,MATCH($C$1,Database!$A$1:$C$1,),))</f>
        <v/>
      </c>
      <c r="D4652">
        <f>IFERROR(Table7[[#This Row],[United States 10y]]-Table7[[#This Row],[United States 3y]],#N/A)</f>
        <v/>
      </c>
    </row>
    <row r="4653">
      <c r="A4653" s="6">
        <f>Database!$A6738</f>
        <v/>
      </c>
      <c r="B4653">
        <f>IF(VLOOKUP(Table7[[#This Row],[Date]],Database!$A:$C,MATCH($B$1,Database!$A$1:$C$1,),)=0,#N/A,VLOOKUP(Table7[[#This Row],[Date]],Database!$A:$C,MATCH($B$1,Database!$A$1:$C$1,),))</f>
        <v/>
      </c>
      <c r="C4653">
        <f>IF(VLOOKUP(Table7[[#This Row],[Date]],Database!$A:$C,MATCH($C$1,Database!$A$1:$C$1,),)=0,#N/A,VLOOKUP(Table7[[#This Row],[Date]],Database!$A:$C,MATCH($C$1,Database!$A$1:$C$1,),))</f>
        <v/>
      </c>
      <c r="D4653">
        <f>IFERROR(Table7[[#This Row],[United States 10y]]-Table7[[#This Row],[United States 3y]],#N/A)</f>
        <v/>
      </c>
    </row>
    <row r="4654">
      <c r="A4654" s="6">
        <f>Database!$A6739</f>
        <v/>
      </c>
      <c r="B4654">
        <f>IF(VLOOKUP(Table7[[#This Row],[Date]],Database!$A:$C,MATCH($B$1,Database!$A$1:$C$1,),)=0,#N/A,VLOOKUP(Table7[[#This Row],[Date]],Database!$A:$C,MATCH($B$1,Database!$A$1:$C$1,),))</f>
        <v/>
      </c>
      <c r="C4654">
        <f>IF(VLOOKUP(Table7[[#This Row],[Date]],Database!$A:$C,MATCH($C$1,Database!$A$1:$C$1,),)=0,#N/A,VLOOKUP(Table7[[#This Row],[Date]],Database!$A:$C,MATCH($C$1,Database!$A$1:$C$1,),))</f>
        <v/>
      </c>
      <c r="D4654">
        <f>IFERROR(Table7[[#This Row],[United States 10y]]-Table7[[#This Row],[United States 3y]],#N/A)</f>
        <v/>
      </c>
    </row>
    <row r="4655">
      <c r="A4655" s="6">
        <f>Database!$A6740</f>
        <v/>
      </c>
      <c r="B4655">
        <f>IF(VLOOKUP(Table7[[#This Row],[Date]],Database!$A:$C,MATCH($B$1,Database!$A$1:$C$1,),)=0,#N/A,VLOOKUP(Table7[[#This Row],[Date]],Database!$A:$C,MATCH($B$1,Database!$A$1:$C$1,),))</f>
        <v/>
      </c>
      <c r="C4655">
        <f>IF(VLOOKUP(Table7[[#This Row],[Date]],Database!$A:$C,MATCH($C$1,Database!$A$1:$C$1,),)=0,#N/A,VLOOKUP(Table7[[#This Row],[Date]],Database!$A:$C,MATCH($C$1,Database!$A$1:$C$1,),))</f>
        <v/>
      </c>
      <c r="D4655">
        <f>IFERROR(Table7[[#This Row],[United States 10y]]-Table7[[#This Row],[United States 3y]],#N/A)</f>
        <v/>
      </c>
    </row>
    <row r="4656">
      <c r="A4656" s="6">
        <f>Database!$A6741</f>
        <v/>
      </c>
      <c r="B4656">
        <f>IF(VLOOKUP(Table7[[#This Row],[Date]],Database!$A:$C,MATCH($B$1,Database!$A$1:$C$1,),)=0,#N/A,VLOOKUP(Table7[[#This Row],[Date]],Database!$A:$C,MATCH($B$1,Database!$A$1:$C$1,),))</f>
        <v/>
      </c>
      <c r="C4656">
        <f>IF(VLOOKUP(Table7[[#This Row],[Date]],Database!$A:$C,MATCH($C$1,Database!$A$1:$C$1,),)=0,#N/A,VLOOKUP(Table7[[#This Row],[Date]],Database!$A:$C,MATCH($C$1,Database!$A$1:$C$1,),))</f>
        <v/>
      </c>
      <c r="D4656">
        <f>IFERROR(Table7[[#This Row],[United States 10y]]-Table7[[#This Row],[United States 3y]],#N/A)</f>
        <v/>
      </c>
    </row>
    <row r="4657">
      <c r="A4657" s="6">
        <f>Database!$A6742</f>
        <v/>
      </c>
      <c r="B4657">
        <f>IF(VLOOKUP(Table7[[#This Row],[Date]],Database!$A:$C,MATCH($B$1,Database!$A$1:$C$1,),)=0,#N/A,VLOOKUP(Table7[[#This Row],[Date]],Database!$A:$C,MATCH($B$1,Database!$A$1:$C$1,),))</f>
        <v/>
      </c>
      <c r="C4657">
        <f>IF(VLOOKUP(Table7[[#This Row],[Date]],Database!$A:$C,MATCH($C$1,Database!$A$1:$C$1,),)=0,#N/A,VLOOKUP(Table7[[#This Row],[Date]],Database!$A:$C,MATCH($C$1,Database!$A$1:$C$1,),))</f>
        <v/>
      </c>
      <c r="D4657">
        <f>IFERROR(Table7[[#This Row],[United States 10y]]-Table7[[#This Row],[United States 3y]],#N/A)</f>
        <v/>
      </c>
    </row>
    <row r="4658">
      <c r="A4658" s="6">
        <f>Database!$A6743</f>
        <v/>
      </c>
      <c r="B4658">
        <f>IF(VLOOKUP(Table7[[#This Row],[Date]],Database!$A:$C,MATCH($B$1,Database!$A$1:$C$1,),)=0,#N/A,VLOOKUP(Table7[[#This Row],[Date]],Database!$A:$C,MATCH($B$1,Database!$A$1:$C$1,),))</f>
        <v/>
      </c>
      <c r="C4658">
        <f>IF(VLOOKUP(Table7[[#This Row],[Date]],Database!$A:$C,MATCH($C$1,Database!$A$1:$C$1,),)=0,#N/A,VLOOKUP(Table7[[#This Row],[Date]],Database!$A:$C,MATCH($C$1,Database!$A$1:$C$1,),))</f>
        <v/>
      </c>
      <c r="D4658">
        <f>IFERROR(Table7[[#This Row],[United States 10y]]-Table7[[#This Row],[United States 3y]],#N/A)</f>
        <v/>
      </c>
    </row>
    <row r="4659">
      <c r="A4659" s="6">
        <f>Database!$A6744</f>
        <v/>
      </c>
      <c r="B4659">
        <f>IF(VLOOKUP(Table7[[#This Row],[Date]],Database!$A:$C,MATCH($B$1,Database!$A$1:$C$1,),)=0,#N/A,VLOOKUP(Table7[[#This Row],[Date]],Database!$A:$C,MATCH($B$1,Database!$A$1:$C$1,),))</f>
        <v/>
      </c>
      <c r="C4659">
        <f>IF(VLOOKUP(Table7[[#This Row],[Date]],Database!$A:$C,MATCH($C$1,Database!$A$1:$C$1,),)=0,#N/A,VLOOKUP(Table7[[#This Row],[Date]],Database!$A:$C,MATCH($C$1,Database!$A$1:$C$1,),))</f>
        <v/>
      </c>
      <c r="D4659">
        <f>IFERROR(Table7[[#This Row],[United States 10y]]-Table7[[#This Row],[United States 3y]],#N/A)</f>
        <v/>
      </c>
    </row>
    <row r="4660">
      <c r="A4660" s="6">
        <f>Database!$A6745</f>
        <v/>
      </c>
      <c r="B4660">
        <f>IF(VLOOKUP(Table7[[#This Row],[Date]],Database!$A:$C,MATCH($B$1,Database!$A$1:$C$1,),)=0,#N/A,VLOOKUP(Table7[[#This Row],[Date]],Database!$A:$C,MATCH($B$1,Database!$A$1:$C$1,),))</f>
        <v/>
      </c>
      <c r="C4660">
        <f>IF(VLOOKUP(Table7[[#This Row],[Date]],Database!$A:$C,MATCH($C$1,Database!$A$1:$C$1,),)=0,#N/A,VLOOKUP(Table7[[#This Row],[Date]],Database!$A:$C,MATCH($C$1,Database!$A$1:$C$1,),))</f>
        <v/>
      </c>
      <c r="D4660">
        <f>IFERROR(Table7[[#This Row],[United States 10y]]-Table7[[#This Row],[United States 3y]],#N/A)</f>
        <v/>
      </c>
    </row>
    <row r="4661">
      <c r="A4661" s="6">
        <f>Database!$A6746</f>
        <v/>
      </c>
      <c r="B4661">
        <f>IF(VLOOKUP(Table7[[#This Row],[Date]],Database!$A:$C,MATCH($B$1,Database!$A$1:$C$1,),)=0,#N/A,VLOOKUP(Table7[[#This Row],[Date]],Database!$A:$C,MATCH($B$1,Database!$A$1:$C$1,),))</f>
        <v/>
      </c>
      <c r="C4661">
        <f>IF(VLOOKUP(Table7[[#This Row],[Date]],Database!$A:$C,MATCH($C$1,Database!$A$1:$C$1,),)=0,#N/A,VLOOKUP(Table7[[#This Row],[Date]],Database!$A:$C,MATCH($C$1,Database!$A$1:$C$1,),))</f>
        <v/>
      </c>
      <c r="D4661">
        <f>IFERROR(Table7[[#This Row],[United States 10y]]-Table7[[#This Row],[United States 3y]],#N/A)</f>
        <v/>
      </c>
    </row>
    <row r="4662">
      <c r="A4662" s="6">
        <f>Database!$A6747</f>
        <v/>
      </c>
      <c r="B4662">
        <f>IF(VLOOKUP(Table7[[#This Row],[Date]],Database!$A:$C,MATCH($B$1,Database!$A$1:$C$1,),)=0,#N/A,VLOOKUP(Table7[[#This Row],[Date]],Database!$A:$C,MATCH($B$1,Database!$A$1:$C$1,),))</f>
        <v/>
      </c>
      <c r="C4662">
        <f>IF(VLOOKUP(Table7[[#This Row],[Date]],Database!$A:$C,MATCH($C$1,Database!$A$1:$C$1,),)=0,#N/A,VLOOKUP(Table7[[#This Row],[Date]],Database!$A:$C,MATCH($C$1,Database!$A$1:$C$1,),))</f>
        <v/>
      </c>
      <c r="D4662">
        <f>IFERROR(Table7[[#This Row],[United States 10y]]-Table7[[#This Row],[United States 3y]],#N/A)</f>
        <v/>
      </c>
    </row>
    <row r="4663">
      <c r="A4663" s="6">
        <f>Database!$A6748</f>
        <v/>
      </c>
      <c r="B4663">
        <f>IF(VLOOKUP(Table7[[#This Row],[Date]],Database!$A:$C,MATCH($B$1,Database!$A$1:$C$1,),)=0,#N/A,VLOOKUP(Table7[[#This Row],[Date]],Database!$A:$C,MATCH($B$1,Database!$A$1:$C$1,),))</f>
        <v/>
      </c>
      <c r="C4663">
        <f>IF(VLOOKUP(Table7[[#This Row],[Date]],Database!$A:$C,MATCH($C$1,Database!$A$1:$C$1,),)=0,#N/A,VLOOKUP(Table7[[#This Row],[Date]],Database!$A:$C,MATCH($C$1,Database!$A$1:$C$1,),))</f>
        <v/>
      </c>
      <c r="D4663">
        <f>IFERROR(Table7[[#This Row],[United States 10y]]-Table7[[#This Row],[United States 3y]],#N/A)</f>
        <v/>
      </c>
    </row>
    <row r="4664">
      <c r="A4664" s="6">
        <f>Database!$A6749</f>
        <v/>
      </c>
      <c r="B4664">
        <f>IF(VLOOKUP(Table7[[#This Row],[Date]],Database!$A:$C,MATCH($B$1,Database!$A$1:$C$1,),)=0,#N/A,VLOOKUP(Table7[[#This Row],[Date]],Database!$A:$C,MATCH($B$1,Database!$A$1:$C$1,),))</f>
        <v/>
      </c>
      <c r="C4664">
        <f>IF(VLOOKUP(Table7[[#This Row],[Date]],Database!$A:$C,MATCH($C$1,Database!$A$1:$C$1,),)=0,#N/A,VLOOKUP(Table7[[#This Row],[Date]],Database!$A:$C,MATCH($C$1,Database!$A$1:$C$1,),))</f>
        <v/>
      </c>
      <c r="D4664">
        <f>IFERROR(Table7[[#This Row],[United States 10y]]-Table7[[#This Row],[United States 3y]],#N/A)</f>
        <v/>
      </c>
    </row>
    <row r="4665">
      <c r="A4665" s="6">
        <f>Database!$A6750</f>
        <v/>
      </c>
      <c r="B4665">
        <f>IF(VLOOKUP(Table7[[#This Row],[Date]],Database!$A:$C,MATCH($B$1,Database!$A$1:$C$1,),)=0,#N/A,VLOOKUP(Table7[[#This Row],[Date]],Database!$A:$C,MATCH($B$1,Database!$A$1:$C$1,),))</f>
        <v/>
      </c>
      <c r="C4665">
        <f>IF(VLOOKUP(Table7[[#This Row],[Date]],Database!$A:$C,MATCH($C$1,Database!$A$1:$C$1,),)=0,#N/A,VLOOKUP(Table7[[#This Row],[Date]],Database!$A:$C,MATCH($C$1,Database!$A$1:$C$1,),))</f>
        <v/>
      </c>
      <c r="D4665">
        <f>IFERROR(Table7[[#This Row],[United States 10y]]-Table7[[#This Row],[United States 3y]],#N/A)</f>
        <v/>
      </c>
    </row>
    <row r="4666">
      <c r="A4666" s="6">
        <f>Database!$A6751</f>
        <v/>
      </c>
      <c r="B4666">
        <f>IF(VLOOKUP(Table7[[#This Row],[Date]],Database!$A:$C,MATCH($B$1,Database!$A$1:$C$1,),)=0,#N/A,VLOOKUP(Table7[[#This Row],[Date]],Database!$A:$C,MATCH($B$1,Database!$A$1:$C$1,),))</f>
        <v/>
      </c>
      <c r="C4666">
        <f>IF(VLOOKUP(Table7[[#This Row],[Date]],Database!$A:$C,MATCH($C$1,Database!$A$1:$C$1,),)=0,#N/A,VLOOKUP(Table7[[#This Row],[Date]],Database!$A:$C,MATCH($C$1,Database!$A$1:$C$1,),))</f>
        <v/>
      </c>
      <c r="D4666">
        <f>IFERROR(Table7[[#This Row],[United States 10y]]-Table7[[#This Row],[United States 3y]],#N/A)</f>
        <v/>
      </c>
    </row>
    <row r="4667">
      <c r="A4667" s="6">
        <f>Database!$A6752</f>
        <v/>
      </c>
      <c r="B4667">
        <f>IF(VLOOKUP(Table7[[#This Row],[Date]],Database!$A:$C,MATCH($B$1,Database!$A$1:$C$1,),)=0,#N/A,VLOOKUP(Table7[[#This Row],[Date]],Database!$A:$C,MATCH($B$1,Database!$A$1:$C$1,),))</f>
        <v/>
      </c>
      <c r="C4667">
        <f>IF(VLOOKUP(Table7[[#This Row],[Date]],Database!$A:$C,MATCH($C$1,Database!$A$1:$C$1,),)=0,#N/A,VLOOKUP(Table7[[#This Row],[Date]],Database!$A:$C,MATCH($C$1,Database!$A$1:$C$1,),))</f>
        <v/>
      </c>
      <c r="D4667">
        <f>IFERROR(Table7[[#This Row],[United States 10y]]-Table7[[#This Row],[United States 3y]],#N/A)</f>
        <v/>
      </c>
    </row>
    <row r="4668">
      <c r="A4668" s="6">
        <f>Database!$A6753</f>
        <v/>
      </c>
      <c r="B4668">
        <f>IF(VLOOKUP(Table7[[#This Row],[Date]],Database!$A:$C,MATCH($B$1,Database!$A$1:$C$1,),)=0,#N/A,VLOOKUP(Table7[[#This Row],[Date]],Database!$A:$C,MATCH($B$1,Database!$A$1:$C$1,),))</f>
        <v/>
      </c>
      <c r="C4668">
        <f>IF(VLOOKUP(Table7[[#This Row],[Date]],Database!$A:$C,MATCH($C$1,Database!$A$1:$C$1,),)=0,#N/A,VLOOKUP(Table7[[#This Row],[Date]],Database!$A:$C,MATCH($C$1,Database!$A$1:$C$1,),))</f>
        <v/>
      </c>
      <c r="D4668">
        <f>IFERROR(Table7[[#This Row],[United States 10y]]-Table7[[#This Row],[United States 3y]],#N/A)</f>
        <v/>
      </c>
    </row>
    <row r="4669">
      <c r="A4669" s="6">
        <f>Database!$A6754</f>
        <v/>
      </c>
      <c r="B4669">
        <f>IF(VLOOKUP(Table7[[#This Row],[Date]],Database!$A:$C,MATCH($B$1,Database!$A$1:$C$1,),)=0,#N/A,VLOOKUP(Table7[[#This Row],[Date]],Database!$A:$C,MATCH($B$1,Database!$A$1:$C$1,),))</f>
        <v/>
      </c>
      <c r="C4669">
        <f>IF(VLOOKUP(Table7[[#This Row],[Date]],Database!$A:$C,MATCH($C$1,Database!$A$1:$C$1,),)=0,#N/A,VLOOKUP(Table7[[#This Row],[Date]],Database!$A:$C,MATCH($C$1,Database!$A$1:$C$1,),))</f>
        <v/>
      </c>
      <c r="D4669">
        <f>IFERROR(Table7[[#This Row],[United States 10y]]-Table7[[#This Row],[United States 3y]],#N/A)</f>
        <v/>
      </c>
    </row>
    <row r="4670">
      <c r="A4670" s="6">
        <f>Database!$A6755</f>
        <v/>
      </c>
      <c r="B4670">
        <f>IF(VLOOKUP(Table7[[#This Row],[Date]],Database!$A:$C,MATCH($B$1,Database!$A$1:$C$1,),)=0,#N/A,VLOOKUP(Table7[[#This Row],[Date]],Database!$A:$C,MATCH($B$1,Database!$A$1:$C$1,),))</f>
        <v/>
      </c>
      <c r="C4670">
        <f>IF(VLOOKUP(Table7[[#This Row],[Date]],Database!$A:$C,MATCH($C$1,Database!$A$1:$C$1,),)=0,#N/A,VLOOKUP(Table7[[#This Row],[Date]],Database!$A:$C,MATCH($C$1,Database!$A$1:$C$1,),))</f>
        <v/>
      </c>
      <c r="D4670">
        <f>IFERROR(Table7[[#This Row],[United States 10y]]-Table7[[#This Row],[United States 3y]],#N/A)</f>
        <v/>
      </c>
    </row>
    <row r="4671">
      <c r="A4671" s="6">
        <f>Database!$A6756</f>
        <v/>
      </c>
      <c r="B4671">
        <f>IF(VLOOKUP(Table7[[#This Row],[Date]],Database!$A:$C,MATCH($B$1,Database!$A$1:$C$1,),)=0,#N/A,VLOOKUP(Table7[[#This Row],[Date]],Database!$A:$C,MATCH($B$1,Database!$A$1:$C$1,),))</f>
        <v/>
      </c>
      <c r="C4671">
        <f>IF(VLOOKUP(Table7[[#This Row],[Date]],Database!$A:$C,MATCH($C$1,Database!$A$1:$C$1,),)=0,#N/A,VLOOKUP(Table7[[#This Row],[Date]],Database!$A:$C,MATCH($C$1,Database!$A$1:$C$1,),))</f>
        <v/>
      </c>
      <c r="D4671">
        <f>IFERROR(Table7[[#This Row],[United States 10y]]-Table7[[#This Row],[United States 3y]],#N/A)</f>
        <v/>
      </c>
    </row>
    <row r="4672">
      <c r="A4672" s="6">
        <f>Database!$A6757</f>
        <v/>
      </c>
      <c r="B4672">
        <f>IF(VLOOKUP(Table7[[#This Row],[Date]],Database!$A:$C,MATCH($B$1,Database!$A$1:$C$1,),)=0,#N/A,VLOOKUP(Table7[[#This Row],[Date]],Database!$A:$C,MATCH($B$1,Database!$A$1:$C$1,),))</f>
        <v/>
      </c>
      <c r="C4672">
        <f>IF(VLOOKUP(Table7[[#This Row],[Date]],Database!$A:$C,MATCH($C$1,Database!$A$1:$C$1,),)=0,#N/A,VLOOKUP(Table7[[#This Row],[Date]],Database!$A:$C,MATCH($C$1,Database!$A$1:$C$1,),))</f>
        <v/>
      </c>
      <c r="D4672">
        <f>IFERROR(Table7[[#This Row],[United States 10y]]-Table7[[#This Row],[United States 3y]],#N/A)</f>
        <v/>
      </c>
    </row>
    <row r="4673">
      <c r="A4673" s="6">
        <f>Database!$A6758</f>
        <v/>
      </c>
      <c r="B4673">
        <f>IF(VLOOKUP(Table7[[#This Row],[Date]],Database!$A:$C,MATCH($B$1,Database!$A$1:$C$1,),)=0,#N/A,VLOOKUP(Table7[[#This Row],[Date]],Database!$A:$C,MATCH($B$1,Database!$A$1:$C$1,),))</f>
        <v/>
      </c>
      <c r="C4673">
        <f>IF(VLOOKUP(Table7[[#This Row],[Date]],Database!$A:$C,MATCH($C$1,Database!$A$1:$C$1,),)=0,#N/A,VLOOKUP(Table7[[#This Row],[Date]],Database!$A:$C,MATCH($C$1,Database!$A$1:$C$1,),))</f>
        <v/>
      </c>
      <c r="D4673">
        <f>IFERROR(Table7[[#This Row],[United States 10y]]-Table7[[#This Row],[United States 3y]],#N/A)</f>
        <v/>
      </c>
    </row>
    <row r="4674">
      <c r="A4674" s="6">
        <f>Database!$A6759</f>
        <v/>
      </c>
      <c r="B4674">
        <f>IF(VLOOKUP(Table7[[#This Row],[Date]],Database!$A:$C,MATCH($B$1,Database!$A$1:$C$1,),)=0,#N/A,VLOOKUP(Table7[[#This Row],[Date]],Database!$A:$C,MATCH($B$1,Database!$A$1:$C$1,),))</f>
        <v/>
      </c>
      <c r="C4674">
        <f>IF(VLOOKUP(Table7[[#This Row],[Date]],Database!$A:$C,MATCH($C$1,Database!$A$1:$C$1,),)=0,#N/A,VLOOKUP(Table7[[#This Row],[Date]],Database!$A:$C,MATCH($C$1,Database!$A$1:$C$1,),))</f>
        <v/>
      </c>
      <c r="D4674">
        <f>IFERROR(Table7[[#This Row],[United States 10y]]-Table7[[#This Row],[United States 3y]],#N/A)</f>
        <v/>
      </c>
    </row>
    <row r="4675">
      <c r="A4675" s="6">
        <f>Database!$A6760</f>
        <v/>
      </c>
      <c r="B4675">
        <f>IF(VLOOKUP(Table7[[#This Row],[Date]],Database!$A:$C,MATCH($B$1,Database!$A$1:$C$1,),)=0,#N/A,VLOOKUP(Table7[[#This Row],[Date]],Database!$A:$C,MATCH($B$1,Database!$A$1:$C$1,),))</f>
        <v/>
      </c>
      <c r="C4675">
        <f>IF(VLOOKUP(Table7[[#This Row],[Date]],Database!$A:$C,MATCH($C$1,Database!$A$1:$C$1,),)=0,#N/A,VLOOKUP(Table7[[#This Row],[Date]],Database!$A:$C,MATCH($C$1,Database!$A$1:$C$1,),))</f>
        <v/>
      </c>
      <c r="D4675">
        <f>IFERROR(Table7[[#This Row],[United States 10y]]-Table7[[#This Row],[United States 3y]],#N/A)</f>
        <v/>
      </c>
    </row>
    <row r="4676">
      <c r="A4676" s="6">
        <f>Database!$A6761</f>
        <v/>
      </c>
      <c r="B4676">
        <f>IF(VLOOKUP(Table7[[#This Row],[Date]],Database!$A:$C,MATCH($B$1,Database!$A$1:$C$1,),)=0,#N/A,VLOOKUP(Table7[[#This Row],[Date]],Database!$A:$C,MATCH($B$1,Database!$A$1:$C$1,),))</f>
        <v/>
      </c>
      <c r="C4676">
        <f>IF(VLOOKUP(Table7[[#This Row],[Date]],Database!$A:$C,MATCH($C$1,Database!$A$1:$C$1,),)=0,#N/A,VLOOKUP(Table7[[#This Row],[Date]],Database!$A:$C,MATCH($C$1,Database!$A$1:$C$1,),))</f>
        <v/>
      </c>
      <c r="D4676">
        <f>IFERROR(Table7[[#This Row],[United States 10y]]-Table7[[#This Row],[United States 3y]],#N/A)</f>
        <v/>
      </c>
    </row>
    <row r="4677">
      <c r="A4677" s="6">
        <f>Database!$A6762</f>
        <v/>
      </c>
      <c r="B4677">
        <f>IF(VLOOKUP(Table7[[#This Row],[Date]],Database!$A:$C,MATCH($B$1,Database!$A$1:$C$1,),)=0,#N/A,VLOOKUP(Table7[[#This Row],[Date]],Database!$A:$C,MATCH($B$1,Database!$A$1:$C$1,),))</f>
        <v/>
      </c>
      <c r="C4677">
        <f>IF(VLOOKUP(Table7[[#This Row],[Date]],Database!$A:$C,MATCH($C$1,Database!$A$1:$C$1,),)=0,#N/A,VLOOKUP(Table7[[#This Row],[Date]],Database!$A:$C,MATCH($C$1,Database!$A$1:$C$1,),))</f>
        <v/>
      </c>
      <c r="D4677">
        <f>IFERROR(Table7[[#This Row],[United States 10y]]-Table7[[#This Row],[United States 3y]],#N/A)</f>
        <v/>
      </c>
    </row>
    <row r="4678">
      <c r="A4678" s="6">
        <f>Database!$A6763</f>
        <v/>
      </c>
      <c r="B4678">
        <f>IF(VLOOKUP(Table7[[#This Row],[Date]],Database!$A:$C,MATCH($B$1,Database!$A$1:$C$1,),)=0,#N/A,VLOOKUP(Table7[[#This Row],[Date]],Database!$A:$C,MATCH($B$1,Database!$A$1:$C$1,),))</f>
        <v/>
      </c>
      <c r="C4678">
        <f>IF(VLOOKUP(Table7[[#This Row],[Date]],Database!$A:$C,MATCH($C$1,Database!$A$1:$C$1,),)=0,#N/A,VLOOKUP(Table7[[#This Row],[Date]],Database!$A:$C,MATCH($C$1,Database!$A$1:$C$1,),))</f>
        <v/>
      </c>
      <c r="D4678">
        <f>IFERROR(Table7[[#This Row],[United States 10y]]-Table7[[#This Row],[United States 3y]],#N/A)</f>
        <v/>
      </c>
    </row>
    <row r="4679">
      <c r="A4679" s="6">
        <f>Database!$A6764</f>
        <v/>
      </c>
      <c r="B4679">
        <f>IF(VLOOKUP(Table7[[#This Row],[Date]],Database!$A:$C,MATCH($B$1,Database!$A$1:$C$1,),)=0,#N/A,VLOOKUP(Table7[[#This Row],[Date]],Database!$A:$C,MATCH($B$1,Database!$A$1:$C$1,),))</f>
        <v/>
      </c>
      <c r="C4679">
        <f>IF(VLOOKUP(Table7[[#This Row],[Date]],Database!$A:$C,MATCH($C$1,Database!$A$1:$C$1,),)=0,#N/A,VLOOKUP(Table7[[#This Row],[Date]],Database!$A:$C,MATCH($C$1,Database!$A$1:$C$1,),))</f>
        <v/>
      </c>
      <c r="D4679">
        <f>IFERROR(Table7[[#This Row],[United States 10y]]-Table7[[#This Row],[United States 3y]],#N/A)</f>
        <v/>
      </c>
    </row>
    <row r="4680">
      <c r="A4680" s="6">
        <f>Database!$A6765</f>
        <v/>
      </c>
      <c r="B4680">
        <f>IF(VLOOKUP(Table7[[#This Row],[Date]],Database!$A:$C,MATCH($B$1,Database!$A$1:$C$1,),)=0,#N/A,VLOOKUP(Table7[[#This Row],[Date]],Database!$A:$C,MATCH($B$1,Database!$A$1:$C$1,),))</f>
        <v/>
      </c>
      <c r="C4680">
        <f>IF(VLOOKUP(Table7[[#This Row],[Date]],Database!$A:$C,MATCH($C$1,Database!$A$1:$C$1,),)=0,#N/A,VLOOKUP(Table7[[#This Row],[Date]],Database!$A:$C,MATCH($C$1,Database!$A$1:$C$1,),))</f>
        <v/>
      </c>
      <c r="D4680">
        <f>IFERROR(Table7[[#This Row],[United States 10y]]-Table7[[#This Row],[United States 3y]],#N/A)</f>
        <v/>
      </c>
    </row>
    <row r="4681">
      <c r="A4681" s="6">
        <f>Database!$A6766</f>
        <v/>
      </c>
      <c r="B4681">
        <f>IF(VLOOKUP(Table7[[#This Row],[Date]],Database!$A:$C,MATCH($B$1,Database!$A$1:$C$1,),)=0,#N/A,VLOOKUP(Table7[[#This Row],[Date]],Database!$A:$C,MATCH($B$1,Database!$A$1:$C$1,),))</f>
        <v/>
      </c>
      <c r="C4681">
        <f>IF(VLOOKUP(Table7[[#This Row],[Date]],Database!$A:$C,MATCH($C$1,Database!$A$1:$C$1,),)=0,#N/A,VLOOKUP(Table7[[#This Row],[Date]],Database!$A:$C,MATCH($C$1,Database!$A$1:$C$1,),))</f>
        <v/>
      </c>
      <c r="D4681">
        <f>IFERROR(Table7[[#This Row],[United States 10y]]-Table7[[#This Row],[United States 3y]],#N/A)</f>
        <v/>
      </c>
    </row>
    <row r="4682">
      <c r="A4682" s="6">
        <f>Database!$A6767</f>
        <v/>
      </c>
      <c r="B4682">
        <f>IF(VLOOKUP(Table7[[#This Row],[Date]],Database!$A:$C,MATCH($B$1,Database!$A$1:$C$1,),)=0,#N/A,VLOOKUP(Table7[[#This Row],[Date]],Database!$A:$C,MATCH($B$1,Database!$A$1:$C$1,),))</f>
        <v/>
      </c>
      <c r="C4682">
        <f>IF(VLOOKUP(Table7[[#This Row],[Date]],Database!$A:$C,MATCH($C$1,Database!$A$1:$C$1,),)=0,#N/A,VLOOKUP(Table7[[#This Row],[Date]],Database!$A:$C,MATCH($C$1,Database!$A$1:$C$1,),))</f>
        <v/>
      </c>
      <c r="D4682">
        <f>IFERROR(Table7[[#This Row],[United States 10y]]-Table7[[#This Row],[United States 3y]],#N/A)</f>
        <v/>
      </c>
    </row>
    <row r="4683">
      <c r="A4683" s="6">
        <f>Database!$A6768</f>
        <v/>
      </c>
      <c r="B4683">
        <f>IF(VLOOKUP(Table7[[#This Row],[Date]],Database!$A:$C,MATCH($B$1,Database!$A$1:$C$1,),)=0,#N/A,VLOOKUP(Table7[[#This Row],[Date]],Database!$A:$C,MATCH($B$1,Database!$A$1:$C$1,),))</f>
        <v/>
      </c>
      <c r="C4683">
        <f>IF(VLOOKUP(Table7[[#This Row],[Date]],Database!$A:$C,MATCH($C$1,Database!$A$1:$C$1,),)=0,#N/A,VLOOKUP(Table7[[#This Row],[Date]],Database!$A:$C,MATCH($C$1,Database!$A$1:$C$1,),))</f>
        <v/>
      </c>
      <c r="D4683">
        <f>IFERROR(Table7[[#This Row],[United States 10y]]-Table7[[#This Row],[United States 3y]],#N/A)</f>
        <v/>
      </c>
    </row>
    <row r="4684">
      <c r="A4684" s="6">
        <f>Database!$A6769</f>
        <v/>
      </c>
      <c r="B4684">
        <f>IF(VLOOKUP(Table7[[#This Row],[Date]],Database!$A:$C,MATCH($B$1,Database!$A$1:$C$1,),)=0,#N/A,VLOOKUP(Table7[[#This Row],[Date]],Database!$A:$C,MATCH($B$1,Database!$A$1:$C$1,),))</f>
        <v/>
      </c>
      <c r="C4684">
        <f>IF(VLOOKUP(Table7[[#This Row],[Date]],Database!$A:$C,MATCH($C$1,Database!$A$1:$C$1,),)=0,#N/A,VLOOKUP(Table7[[#This Row],[Date]],Database!$A:$C,MATCH($C$1,Database!$A$1:$C$1,),))</f>
        <v/>
      </c>
      <c r="D4684">
        <f>IFERROR(Table7[[#This Row],[United States 10y]]-Table7[[#This Row],[United States 3y]],#N/A)</f>
        <v/>
      </c>
    </row>
    <row r="4685">
      <c r="A4685" s="6">
        <f>Database!$A6770</f>
        <v/>
      </c>
      <c r="B4685">
        <f>IF(VLOOKUP(Table7[[#This Row],[Date]],Database!$A:$C,MATCH($B$1,Database!$A$1:$C$1,),)=0,#N/A,VLOOKUP(Table7[[#This Row],[Date]],Database!$A:$C,MATCH($B$1,Database!$A$1:$C$1,),))</f>
        <v/>
      </c>
      <c r="C4685">
        <f>IF(VLOOKUP(Table7[[#This Row],[Date]],Database!$A:$C,MATCH($C$1,Database!$A$1:$C$1,),)=0,#N/A,VLOOKUP(Table7[[#This Row],[Date]],Database!$A:$C,MATCH($C$1,Database!$A$1:$C$1,),))</f>
        <v/>
      </c>
      <c r="D4685">
        <f>IFERROR(Table7[[#This Row],[United States 10y]]-Table7[[#This Row],[United States 3y]],#N/A)</f>
        <v/>
      </c>
    </row>
    <row r="4686">
      <c r="A4686" s="6">
        <f>Database!$A6771</f>
        <v/>
      </c>
      <c r="B4686">
        <f>IF(VLOOKUP(Table7[[#This Row],[Date]],Database!$A:$C,MATCH($B$1,Database!$A$1:$C$1,),)=0,#N/A,VLOOKUP(Table7[[#This Row],[Date]],Database!$A:$C,MATCH($B$1,Database!$A$1:$C$1,),))</f>
        <v/>
      </c>
      <c r="C4686">
        <f>IF(VLOOKUP(Table7[[#This Row],[Date]],Database!$A:$C,MATCH($C$1,Database!$A$1:$C$1,),)=0,#N/A,VLOOKUP(Table7[[#This Row],[Date]],Database!$A:$C,MATCH($C$1,Database!$A$1:$C$1,),))</f>
        <v/>
      </c>
      <c r="D4686">
        <f>IFERROR(Table7[[#This Row],[United States 10y]]-Table7[[#This Row],[United States 3y]],#N/A)</f>
        <v/>
      </c>
    </row>
    <row r="4687">
      <c r="A4687" s="6">
        <f>Database!$A6772</f>
        <v/>
      </c>
      <c r="B4687">
        <f>IF(VLOOKUP(Table7[[#This Row],[Date]],Database!$A:$C,MATCH($B$1,Database!$A$1:$C$1,),)=0,#N/A,VLOOKUP(Table7[[#This Row],[Date]],Database!$A:$C,MATCH($B$1,Database!$A$1:$C$1,),))</f>
        <v/>
      </c>
      <c r="C4687">
        <f>IF(VLOOKUP(Table7[[#This Row],[Date]],Database!$A:$C,MATCH($C$1,Database!$A$1:$C$1,),)=0,#N/A,VLOOKUP(Table7[[#This Row],[Date]],Database!$A:$C,MATCH($C$1,Database!$A$1:$C$1,),))</f>
        <v/>
      </c>
      <c r="D4687">
        <f>IFERROR(Table7[[#This Row],[United States 10y]]-Table7[[#This Row],[United States 3y]],#N/A)</f>
        <v/>
      </c>
    </row>
    <row r="4688">
      <c r="A4688" s="6">
        <f>Database!$A6773</f>
        <v/>
      </c>
      <c r="B4688">
        <f>IF(VLOOKUP(Table7[[#This Row],[Date]],Database!$A:$C,MATCH($B$1,Database!$A$1:$C$1,),)=0,#N/A,VLOOKUP(Table7[[#This Row],[Date]],Database!$A:$C,MATCH($B$1,Database!$A$1:$C$1,),))</f>
        <v/>
      </c>
      <c r="C4688">
        <f>IF(VLOOKUP(Table7[[#This Row],[Date]],Database!$A:$C,MATCH($C$1,Database!$A$1:$C$1,),)=0,#N/A,VLOOKUP(Table7[[#This Row],[Date]],Database!$A:$C,MATCH($C$1,Database!$A$1:$C$1,),))</f>
        <v/>
      </c>
      <c r="D4688">
        <f>IFERROR(Table7[[#This Row],[United States 10y]]-Table7[[#This Row],[United States 3y]],#N/A)</f>
        <v/>
      </c>
    </row>
    <row r="4689">
      <c r="A4689" s="6">
        <f>Database!$A6774</f>
        <v/>
      </c>
      <c r="B4689">
        <f>IF(VLOOKUP(Table7[[#This Row],[Date]],Database!$A:$C,MATCH($B$1,Database!$A$1:$C$1,),)=0,#N/A,VLOOKUP(Table7[[#This Row],[Date]],Database!$A:$C,MATCH($B$1,Database!$A$1:$C$1,),))</f>
        <v/>
      </c>
      <c r="C4689">
        <f>IF(VLOOKUP(Table7[[#This Row],[Date]],Database!$A:$C,MATCH($C$1,Database!$A$1:$C$1,),)=0,#N/A,VLOOKUP(Table7[[#This Row],[Date]],Database!$A:$C,MATCH($C$1,Database!$A$1:$C$1,),))</f>
        <v/>
      </c>
      <c r="D4689">
        <f>IFERROR(Table7[[#This Row],[United States 10y]]-Table7[[#This Row],[United States 3y]],#N/A)</f>
        <v/>
      </c>
    </row>
    <row r="4690">
      <c r="A4690" s="6">
        <f>Database!$A6775</f>
        <v/>
      </c>
      <c r="B4690">
        <f>IF(VLOOKUP(Table7[[#This Row],[Date]],Database!$A:$C,MATCH($B$1,Database!$A$1:$C$1,),)=0,#N/A,VLOOKUP(Table7[[#This Row],[Date]],Database!$A:$C,MATCH($B$1,Database!$A$1:$C$1,),))</f>
        <v/>
      </c>
      <c r="C4690">
        <f>IF(VLOOKUP(Table7[[#This Row],[Date]],Database!$A:$C,MATCH($C$1,Database!$A$1:$C$1,),)=0,#N/A,VLOOKUP(Table7[[#This Row],[Date]],Database!$A:$C,MATCH($C$1,Database!$A$1:$C$1,),))</f>
        <v/>
      </c>
      <c r="D4690">
        <f>IFERROR(Table7[[#This Row],[United States 10y]]-Table7[[#This Row],[United States 3y]],#N/A)</f>
        <v/>
      </c>
    </row>
    <row r="4691">
      <c r="A4691" s="6">
        <f>Database!$A6776</f>
        <v/>
      </c>
      <c r="B4691">
        <f>IF(VLOOKUP(Table7[[#This Row],[Date]],Database!$A:$C,MATCH($B$1,Database!$A$1:$C$1,),)=0,#N/A,VLOOKUP(Table7[[#This Row],[Date]],Database!$A:$C,MATCH($B$1,Database!$A$1:$C$1,),))</f>
        <v/>
      </c>
      <c r="C4691">
        <f>IF(VLOOKUP(Table7[[#This Row],[Date]],Database!$A:$C,MATCH($C$1,Database!$A$1:$C$1,),)=0,#N/A,VLOOKUP(Table7[[#This Row],[Date]],Database!$A:$C,MATCH($C$1,Database!$A$1:$C$1,),))</f>
        <v/>
      </c>
      <c r="D4691">
        <f>IFERROR(Table7[[#This Row],[United States 10y]]-Table7[[#This Row],[United States 3y]],#N/A)</f>
        <v/>
      </c>
    </row>
    <row r="4692">
      <c r="A4692" s="6">
        <f>Database!$A6777</f>
        <v/>
      </c>
      <c r="B4692">
        <f>IF(VLOOKUP(Table7[[#This Row],[Date]],Database!$A:$C,MATCH($B$1,Database!$A$1:$C$1,),)=0,#N/A,VLOOKUP(Table7[[#This Row],[Date]],Database!$A:$C,MATCH($B$1,Database!$A$1:$C$1,),))</f>
        <v/>
      </c>
      <c r="C4692">
        <f>IF(VLOOKUP(Table7[[#This Row],[Date]],Database!$A:$C,MATCH($C$1,Database!$A$1:$C$1,),)=0,#N/A,VLOOKUP(Table7[[#This Row],[Date]],Database!$A:$C,MATCH($C$1,Database!$A$1:$C$1,),))</f>
        <v/>
      </c>
      <c r="D4692">
        <f>IFERROR(Table7[[#This Row],[United States 10y]]-Table7[[#This Row],[United States 3y]],#N/A)</f>
        <v/>
      </c>
    </row>
    <row r="4693">
      <c r="A4693" s="6">
        <f>Database!$A6778</f>
        <v/>
      </c>
      <c r="B4693">
        <f>IF(VLOOKUP(Table7[[#This Row],[Date]],Database!$A:$C,MATCH($B$1,Database!$A$1:$C$1,),)=0,#N/A,VLOOKUP(Table7[[#This Row],[Date]],Database!$A:$C,MATCH($B$1,Database!$A$1:$C$1,),))</f>
        <v/>
      </c>
      <c r="C4693">
        <f>IF(VLOOKUP(Table7[[#This Row],[Date]],Database!$A:$C,MATCH($C$1,Database!$A$1:$C$1,),)=0,#N/A,VLOOKUP(Table7[[#This Row],[Date]],Database!$A:$C,MATCH($C$1,Database!$A$1:$C$1,),))</f>
        <v/>
      </c>
      <c r="D4693">
        <f>IFERROR(Table7[[#This Row],[United States 10y]]-Table7[[#This Row],[United States 3y]],#N/A)</f>
        <v/>
      </c>
    </row>
    <row r="4694">
      <c r="A4694" s="6">
        <f>Database!$A6779</f>
        <v/>
      </c>
      <c r="B4694">
        <f>IF(VLOOKUP(Table7[[#This Row],[Date]],Database!$A:$C,MATCH($B$1,Database!$A$1:$C$1,),)=0,#N/A,VLOOKUP(Table7[[#This Row],[Date]],Database!$A:$C,MATCH($B$1,Database!$A$1:$C$1,),))</f>
        <v/>
      </c>
      <c r="C4694">
        <f>IF(VLOOKUP(Table7[[#This Row],[Date]],Database!$A:$C,MATCH($C$1,Database!$A$1:$C$1,),)=0,#N/A,VLOOKUP(Table7[[#This Row],[Date]],Database!$A:$C,MATCH($C$1,Database!$A$1:$C$1,),))</f>
        <v/>
      </c>
      <c r="D4694">
        <f>IFERROR(Table7[[#This Row],[United States 10y]]-Table7[[#This Row],[United States 3y]],#N/A)</f>
        <v/>
      </c>
    </row>
    <row r="4695">
      <c r="A4695" s="6">
        <f>Database!$A6780</f>
        <v/>
      </c>
      <c r="B4695">
        <f>IF(VLOOKUP(Table7[[#This Row],[Date]],Database!$A:$C,MATCH($B$1,Database!$A$1:$C$1,),)=0,#N/A,VLOOKUP(Table7[[#This Row],[Date]],Database!$A:$C,MATCH($B$1,Database!$A$1:$C$1,),))</f>
        <v/>
      </c>
      <c r="C4695">
        <f>IF(VLOOKUP(Table7[[#This Row],[Date]],Database!$A:$C,MATCH($C$1,Database!$A$1:$C$1,),)=0,#N/A,VLOOKUP(Table7[[#This Row],[Date]],Database!$A:$C,MATCH($C$1,Database!$A$1:$C$1,),))</f>
        <v/>
      </c>
      <c r="D4695">
        <f>IFERROR(Table7[[#This Row],[United States 10y]]-Table7[[#This Row],[United States 3y]],#N/A)</f>
        <v/>
      </c>
    </row>
    <row r="4696">
      <c r="A4696" s="6">
        <f>Database!$A6781</f>
        <v/>
      </c>
      <c r="B4696">
        <f>IF(VLOOKUP(Table7[[#This Row],[Date]],Database!$A:$C,MATCH($B$1,Database!$A$1:$C$1,),)=0,#N/A,VLOOKUP(Table7[[#This Row],[Date]],Database!$A:$C,MATCH($B$1,Database!$A$1:$C$1,),))</f>
        <v/>
      </c>
      <c r="C4696">
        <f>IF(VLOOKUP(Table7[[#This Row],[Date]],Database!$A:$C,MATCH($C$1,Database!$A$1:$C$1,),)=0,#N/A,VLOOKUP(Table7[[#This Row],[Date]],Database!$A:$C,MATCH($C$1,Database!$A$1:$C$1,),))</f>
        <v/>
      </c>
      <c r="D4696">
        <f>IFERROR(Table7[[#This Row],[United States 10y]]-Table7[[#This Row],[United States 3y]],#N/A)</f>
        <v/>
      </c>
    </row>
    <row r="4697">
      <c r="A4697" s="6">
        <f>Database!$A6782</f>
        <v/>
      </c>
      <c r="B4697">
        <f>IF(VLOOKUP(Table7[[#This Row],[Date]],Database!$A:$C,MATCH($B$1,Database!$A$1:$C$1,),)=0,#N/A,VLOOKUP(Table7[[#This Row],[Date]],Database!$A:$C,MATCH($B$1,Database!$A$1:$C$1,),))</f>
        <v/>
      </c>
      <c r="C4697">
        <f>IF(VLOOKUP(Table7[[#This Row],[Date]],Database!$A:$C,MATCH($C$1,Database!$A$1:$C$1,),)=0,#N/A,VLOOKUP(Table7[[#This Row],[Date]],Database!$A:$C,MATCH($C$1,Database!$A$1:$C$1,),))</f>
        <v/>
      </c>
      <c r="D4697">
        <f>IFERROR(Table7[[#This Row],[United States 10y]]-Table7[[#This Row],[United States 3y]],#N/A)</f>
        <v/>
      </c>
    </row>
    <row r="4698">
      <c r="A4698" s="6">
        <f>Database!$A6783</f>
        <v/>
      </c>
      <c r="B4698">
        <f>IF(VLOOKUP(Table7[[#This Row],[Date]],Database!$A:$C,MATCH($B$1,Database!$A$1:$C$1,),)=0,#N/A,VLOOKUP(Table7[[#This Row],[Date]],Database!$A:$C,MATCH($B$1,Database!$A$1:$C$1,),))</f>
        <v/>
      </c>
      <c r="C4698">
        <f>IF(VLOOKUP(Table7[[#This Row],[Date]],Database!$A:$C,MATCH($C$1,Database!$A$1:$C$1,),)=0,#N/A,VLOOKUP(Table7[[#This Row],[Date]],Database!$A:$C,MATCH($C$1,Database!$A$1:$C$1,),))</f>
        <v/>
      </c>
      <c r="D4698">
        <f>IFERROR(Table7[[#This Row],[United States 10y]]-Table7[[#This Row],[United States 3y]],#N/A)</f>
        <v/>
      </c>
    </row>
    <row r="4699">
      <c r="A4699" s="6">
        <f>Database!$A6784</f>
        <v/>
      </c>
      <c r="B4699">
        <f>IF(VLOOKUP(Table7[[#This Row],[Date]],Database!$A:$C,MATCH($B$1,Database!$A$1:$C$1,),)=0,#N/A,VLOOKUP(Table7[[#This Row],[Date]],Database!$A:$C,MATCH($B$1,Database!$A$1:$C$1,),))</f>
        <v/>
      </c>
      <c r="C4699">
        <f>IF(VLOOKUP(Table7[[#This Row],[Date]],Database!$A:$C,MATCH($C$1,Database!$A$1:$C$1,),)=0,#N/A,VLOOKUP(Table7[[#This Row],[Date]],Database!$A:$C,MATCH($C$1,Database!$A$1:$C$1,),))</f>
        <v/>
      </c>
      <c r="D4699">
        <f>IFERROR(Table7[[#This Row],[United States 10y]]-Table7[[#This Row],[United States 3y]],#N/A)</f>
        <v/>
      </c>
    </row>
    <row r="4700">
      <c r="A4700" s="6">
        <f>Database!$A6785</f>
        <v/>
      </c>
      <c r="B4700">
        <f>IF(VLOOKUP(Table7[[#This Row],[Date]],Database!$A:$C,MATCH($B$1,Database!$A$1:$C$1,),)=0,#N/A,VLOOKUP(Table7[[#This Row],[Date]],Database!$A:$C,MATCH($B$1,Database!$A$1:$C$1,),))</f>
        <v/>
      </c>
      <c r="C4700">
        <f>IF(VLOOKUP(Table7[[#This Row],[Date]],Database!$A:$C,MATCH($C$1,Database!$A$1:$C$1,),)=0,#N/A,VLOOKUP(Table7[[#This Row],[Date]],Database!$A:$C,MATCH($C$1,Database!$A$1:$C$1,),))</f>
        <v/>
      </c>
      <c r="D4700">
        <f>IFERROR(Table7[[#This Row],[United States 10y]]-Table7[[#This Row],[United States 3y]],#N/A)</f>
        <v/>
      </c>
    </row>
    <row r="4701">
      <c r="A4701" s="6">
        <f>Database!$A6786</f>
        <v/>
      </c>
      <c r="B4701">
        <f>IF(VLOOKUP(Table7[[#This Row],[Date]],Database!$A:$C,MATCH($B$1,Database!$A$1:$C$1,),)=0,#N/A,VLOOKUP(Table7[[#This Row],[Date]],Database!$A:$C,MATCH($B$1,Database!$A$1:$C$1,),))</f>
        <v/>
      </c>
      <c r="C4701">
        <f>IF(VLOOKUP(Table7[[#This Row],[Date]],Database!$A:$C,MATCH($C$1,Database!$A$1:$C$1,),)=0,#N/A,VLOOKUP(Table7[[#This Row],[Date]],Database!$A:$C,MATCH($C$1,Database!$A$1:$C$1,),))</f>
        <v/>
      </c>
      <c r="D4701">
        <f>IFERROR(Table7[[#This Row],[United States 10y]]-Table7[[#This Row],[United States 3y]],#N/A)</f>
        <v/>
      </c>
    </row>
    <row r="4702">
      <c r="A4702" s="6">
        <f>Database!$A6787</f>
        <v/>
      </c>
      <c r="B4702">
        <f>IF(VLOOKUP(Table7[[#This Row],[Date]],Database!$A:$C,MATCH($B$1,Database!$A$1:$C$1,),)=0,#N/A,VLOOKUP(Table7[[#This Row],[Date]],Database!$A:$C,MATCH($B$1,Database!$A$1:$C$1,),))</f>
        <v/>
      </c>
      <c r="C4702">
        <f>IF(VLOOKUP(Table7[[#This Row],[Date]],Database!$A:$C,MATCH($C$1,Database!$A$1:$C$1,),)=0,#N/A,VLOOKUP(Table7[[#This Row],[Date]],Database!$A:$C,MATCH($C$1,Database!$A$1:$C$1,),))</f>
        <v/>
      </c>
      <c r="D4702">
        <f>IFERROR(Table7[[#This Row],[United States 10y]]-Table7[[#This Row],[United States 3y]],#N/A)</f>
        <v/>
      </c>
    </row>
    <row r="4703">
      <c r="A4703" s="6">
        <f>Database!$A6788</f>
        <v/>
      </c>
      <c r="B4703">
        <f>IF(VLOOKUP(Table7[[#This Row],[Date]],Database!$A:$C,MATCH($B$1,Database!$A$1:$C$1,),)=0,#N/A,VLOOKUP(Table7[[#This Row],[Date]],Database!$A:$C,MATCH($B$1,Database!$A$1:$C$1,),))</f>
        <v/>
      </c>
      <c r="C4703">
        <f>IF(VLOOKUP(Table7[[#This Row],[Date]],Database!$A:$C,MATCH($C$1,Database!$A$1:$C$1,),)=0,#N/A,VLOOKUP(Table7[[#This Row],[Date]],Database!$A:$C,MATCH($C$1,Database!$A$1:$C$1,),))</f>
        <v/>
      </c>
      <c r="D4703">
        <f>IFERROR(Table7[[#This Row],[United States 10y]]-Table7[[#This Row],[United States 3y]],#N/A)</f>
        <v/>
      </c>
    </row>
    <row r="4704">
      <c r="A4704" s="6">
        <f>Database!$A6789</f>
        <v/>
      </c>
      <c r="B4704">
        <f>IF(VLOOKUP(Table7[[#This Row],[Date]],Database!$A:$C,MATCH($B$1,Database!$A$1:$C$1,),)=0,#N/A,VLOOKUP(Table7[[#This Row],[Date]],Database!$A:$C,MATCH($B$1,Database!$A$1:$C$1,),))</f>
        <v/>
      </c>
      <c r="C4704">
        <f>IF(VLOOKUP(Table7[[#This Row],[Date]],Database!$A:$C,MATCH($C$1,Database!$A$1:$C$1,),)=0,#N/A,VLOOKUP(Table7[[#This Row],[Date]],Database!$A:$C,MATCH($C$1,Database!$A$1:$C$1,),))</f>
        <v/>
      </c>
      <c r="D4704">
        <f>IFERROR(Table7[[#This Row],[United States 10y]]-Table7[[#This Row],[United States 3y]],#N/A)</f>
        <v/>
      </c>
    </row>
    <row r="4705">
      <c r="A4705" s="6">
        <f>Database!$A6790</f>
        <v/>
      </c>
      <c r="B4705">
        <f>IF(VLOOKUP(Table7[[#This Row],[Date]],Database!$A:$C,MATCH($B$1,Database!$A$1:$C$1,),)=0,#N/A,VLOOKUP(Table7[[#This Row],[Date]],Database!$A:$C,MATCH($B$1,Database!$A$1:$C$1,),))</f>
        <v/>
      </c>
      <c r="C4705">
        <f>IF(VLOOKUP(Table7[[#This Row],[Date]],Database!$A:$C,MATCH($C$1,Database!$A$1:$C$1,),)=0,#N/A,VLOOKUP(Table7[[#This Row],[Date]],Database!$A:$C,MATCH($C$1,Database!$A$1:$C$1,),))</f>
        <v/>
      </c>
      <c r="D4705">
        <f>IFERROR(Table7[[#This Row],[United States 10y]]-Table7[[#This Row],[United States 3y]],#N/A)</f>
        <v/>
      </c>
    </row>
    <row r="4706">
      <c r="A4706" s="6">
        <f>Database!$A6791</f>
        <v/>
      </c>
      <c r="B4706">
        <f>IF(VLOOKUP(Table7[[#This Row],[Date]],Database!$A:$C,MATCH($B$1,Database!$A$1:$C$1,),)=0,#N/A,VLOOKUP(Table7[[#This Row],[Date]],Database!$A:$C,MATCH($B$1,Database!$A$1:$C$1,),))</f>
        <v/>
      </c>
      <c r="C4706">
        <f>IF(VLOOKUP(Table7[[#This Row],[Date]],Database!$A:$C,MATCH($C$1,Database!$A$1:$C$1,),)=0,#N/A,VLOOKUP(Table7[[#This Row],[Date]],Database!$A:$C,MATCH($C$1,Database!$A$1:$C$1,),))</f>
        <v/>
      </c>
      <c r="D4706">
        <f>IFERROR(Table7[[#This Row],[United States 10y]]-Table7[[#This Row],[United States 3y]],#N/A)</f>
        <v/>
      </c>
    </row>
    <row r="4707">
      <c r="A4707" s="6">
        <f>Database!$A6792</f>
        <v/>
      </c>
      <c r="B4707">
        <f>IF(VLOOKUP(Table7[[#This Row],[Date]],Database!$A:$C,MATCH($B$1,Database!$A$1:$C$1,),)=0,#N/A,VLOOKUP(Table7[[#This Row],[Date]],Database!$A:$C,MATCH($B$1,Database!$A$1:$C$1,),))</f>
        <v/>
      </c>
      <c r="C4707">
        <f>IF(VLOOKUP(Table7[[#This Row],[Date]],Database!$A:$C,MATCH($C$1,Database!$A$1:$C$1,),)=0,#N/A,VLOOKUP(Table7[[#This Row],[Date]],Database!$A:$C,MATCH($C$1,Database!$A$1:$C$1,),))</f>
        <v/>
      </c>
      <c r="D4707">
        <f>IFERROR(Table7[[#This Row],[United States 10y]]-Table7[[#This Row],[United States 3y]],#N/A)</f>
        <v/>
      </c>
    </row>
    <row r="4708">
      <c r="A4708" s="6">
        <f>Database!$A6793</f>
        <v/>
      </c>
      <c r="B4708">
        <f>IF(VLOOKUP(Table7[[#This Row],[Date]],Database!$A:$C,MATCH($B$1,Database!$A$1:$C$1,),)=0,#N/A,VLOOKUP(Table7[[#This Row],[Date]],Database!$A:$C,MATCH($B$1,Database!$A$1:$C$1,),))</f>
        <v/>
      </c>
      <c r="C4708">
        <f>IF(VLOOKUP(Table7[[#This Row],[Date]],Database!$A:$C,MATCH($C$1,Database!$A$1:$C$1,),)=0,#N/A,VLOOKUP(Table7[[#This Row],[Date]],Database!$A:$C,MATCH($C$1,Database!$A$1:$C$1,),))</f>
        <v/>
      </c>
      <c r="D4708">
        <f>IFERROR(Table7[[#This Row],[United States 10y]]-Table7[[#This Row],[United States 3y]],#N/A)</f>
        <v/>
      </c>
    </row>
    <row r="4709">
      <c r="A4709" s="6">
        <f>Database!$A6794</f>
        <v/>
      </c>
      <c r="B4709">
        <f>IF(VLOOKUP(Table7[[#This Row],[Date]],Database!$A:$C,MATCH($B$1,Database!$A$1:$C$1,),)=0,#N/A,VLOOKUP(Table7[[#This Row],[Date]],Database!$A:$C,MATCH($B$1,Database!$A$1:$C$1,),))</f>
        <v/>
      </c>
      <c r="C4709">
        <f>IF(VLOOKUP(Table7[[#This Row],[Date]],Database!$A:$C,MATCH($C$1,Database!$A$1:$C$1,),)=0,#N/A,VLOOKUP(Table7[[#This Row],[Date]],Database!$A:$C,MATCH($C$1,Database!$A$1:$C$1,),))</f>
        <v/>
      </c>
      <c r="D4709">
        <f>IFERROR(Table7[[#This Row],[United States 10y]]-Table7[[#This Row],[United States 3y]],#N/A)</f>
        <v/>
      </c>
    </row>
    <row r="4710">
      <c r="A4710" s="6">
        <f>Database!$A6795</f>
        <v/>
      </c>
      <c r="B4710">
        <f>IF(VLOOKUP(Table7[[#This Row],[Date]],Database!$A:$C,MATCH($B$1,Database!$A$1:$C$1,),)=0,#N/A,VLOOKUP(Table7[[#This Row],[Date]],Database!$A:$C,MATCH($B$1,Database!$A$1:$C$1,),))</f>
        <v/>
      </c>
      <c r="C4710">
        <f>IF(VLOOKUP(Table7[[#This Row],[Date]],Database!$A:$C,MATCH($C$1,Database!$A$1:$C$1,),)=0,#N/A,VLOOKUP(Table7[[#This Row],[Date]],Database!$A:$C,MATCH($C$1,Database!$A$1:$C$1,),))</f>
        <v/>
      </c>
      <c r="D4710">
        <f>IFERROR(Table7[[#This Row],[United States 10y]]-Table7[[#This Row],[United States 3y]],#N/A)</f>
        <v/>
      </c>
    </row>
    <row r="4711">
      <c r="A4711" s="6">
        <f>Database!$A6796</f>
        <v/>
      </c>
      <c r="B4711">
        <f>IF(VLOOKUP(Table7[[#This Row],[Date]],Database!$A:$C,MATCH($B$1,Database!$A$1:$C$1,),)=0,#N/A,VLOOKUP(Table7[[#This Row],[Date]],Database!$A:$C,MATCH($B$1,Database!$A$1:$C$1,),))</f>
        <v/>
      </c>
      <c r="C4711">
        <f>IF(VLOOKUP(Table7[[#This Row],[Date]],Database!$A:$C,MATCH($C$1,Database!$A$1:$C$1,),)=0,#N/A,VLOOKUP(Table7[[#This Row],[Date]],Database!$A:$C,MATCH($C$1,Database!$A$1:$C$1,),))</f>
        <v/>
      </c>
      <c r="D4711">
        <f>IFERROR(Table7[[#This Row],[United States 10y]]-Table7[[#This Row],[United States 3y]],#N/A)</f>
        <v/>
      </c>
    </row>
    <row r="4712">
      <c r="A4712" s="6">
        <f>Database!$A6797</f>
        <v/>
      </c>
      <c r="B4712">
        <f>IF(VLOOKUP(Table7[[#This Row],[Date]],Database!$A:$C,MATCH($B$1,Database!$A$1:$C$1,),)=0,#N/A,VLOOKUP(Table7[[#This Row],[Date]],Database!$A:$C,MATCH($B$1,Database!$A$1:$C$1,),))</f>
        <v/>
      </c>
      <c r="C4712">
        <f>IF(VLOOKUP(Table7[[#This Row],[Date]],Database!$A:$C,MATCH($C$1,Database!$A$1:$C$1,),)=0,#N/A,VLOOKUP(Table7[[#This Row],[Date]],Database!$A:$C,MATCH($C$1,Database!$A$1:$C$1,),))</f>
        <v/>
      </c>
      <c r="D4712">
        <f>IFERROR(Table7[[#This Row],[United States 10y]]-Table7[[#This Row],[United States 3y]],#N/A)</f>
        <v/>
      </c>
    </row>
    <row r="4713">
      <c r="A4713" s="6">
        <f>Database!$A6798</f>
        <v/>
      </c>
      <c r="B4713">
        <f>IF(VLOOKUP(Table7[[#This Row],[Date]],Database!$A:$C,MATCH($B$1,Database!$A$1:$C$1,),)=0,#N/A,VLOOKUP(Table7[[#This Row],[Date]],Database!$A:$C,MATCH($B$1,Database!$A$1:$C$1,),))</f>
        <v/>
      </c>
      <c r="C4713">
        <f>IF(VLOOKUP(Table7[[#This Row],[Date]],Database!$A:$C,MATCH($C$1,Database!$A$1:$C$1,),)=0,#N/A,VLOOKUP(Table7[[#This Row],[Date]],Database!$A:$C,MATCH($C$1,Database!$A$1:$C$1,),))</f>
        <v/>
      </c>
      <c r="D4713">
        <f>IFERROR(Table7[[#This Row],[United States 10y]]-Table7[[#This Row],[United States 3y]],#N/A)</f>
        <v/>
      </c>
    </row>
    <row r="4714">
      <c r="A4714" s="6">
        <f>Database!$A6799</f>
        <v/>
      </c>
      <c r="B4714">
        <f>IF(VLOOKUP(Table7[[#This Row],[Date]],Database!$A:$C,MATCH($B$1,Database!$A$1:$C$1,),)=0,#N/A,VLOOKUP(Table7[[#This Row],[Date]],Database!$A:$C,MATCH($B$1,Database!$A$1:$C$1,),))</f>
        <v/>
      </c>
      <c r="C4714">
        <f>IF(VLOOKUP(Table7[[#This Row],[Date]],Database!$A:$C,MATCH($C$1,Database!$A$1:$C$1,),)=0,#N/A,VLOOKUP(Table7[[#This Row],[Date]],Database!$A:$C,MATCH($C$1,Database!$A$1:$C$1,),))</f>
        <v/>
      </c>
      <c r="D4714">
        <f>IFERROR(Table7[[#This Row],[United States 10y]]-Table7[[#This Row],[United States 3y]],#N/A)</f>
        <v/>
      </c>
    </row>
    <row r="4715">
      <c r="A4715" s="6">
        <f>Database!$A6800</f>
        <v/>
      </c>
      <c r="B4715">
        <f>IF(VLOOKUP(Table7[[#This Row],[Date]],Database!$A:$C,MATCH($B$1,Database!$A$1:$C$1,),)=0,#N/A,VLOOKUP(Table7[[#This Row],[Date]],Database!$A:$C,MATCH($B$1,Database!$A$1:$C$1,),))</f>
        <v/>
      </c>
      <c r="C4715">
        <f>IF(VLOOKUP(Table7[[#This Row],[Date]],Database!$A:$C,MATCH($C$1,Database!$A$1:$C$1,),)=0,#N/A,VLOOKUP(Table7[[#This Row],[Date]],Database!$A:$C,MATCH($C$1,Database!$A$1:$C$1,),))</f>
        <v/>
      </c>
      <c r="D4715">
        <f>IFERROR(Table7[[#This Row],[United States 10y]]-Table7[[#This Row],[United States 3y]],#N/A)</f>
        <v/>
      </c>
    </row>
    <row r="4716">
      <c r="A4716" s="6">
        <f>Database!$A6801</f>
        <v/>
      </c>
      <c r="B4716">
        <f>IF(VLOOKUP(Table7[[#This Row],[Date]],Database!$A:$C,MATCH($B$1,Database!$A$1:$C$1,),)=0,#N/A,VLOOKUP(Table7[[#This Row],[Date]],Database!$A:$C,MATCH($B$1,Database!$A$1:$C$1,),))</f>
        <v/>
      </c>
      <c r="C4716">
        <f>IF(VLOOKUP(Table7[[#This Row],[Date]],Database!$A:$C,MATCH($C$1,Database!$A$1:$C$1,),)=0,#N/A,VLOOKUP(Table7[[#This Row],[Date]],Database!$A:$C,MATCH($C$1,Database!$A$1:$C$1,),))</f>
        <v/>
      </c>
      <c r="D4716">
        <f>IFERROR(Table7[[#This Row],[United States 10y]]-Table7[[#This Row],[United States 3y]],#N/A)</f>
        <v/>
      </c>
    </row>
    <row r="4717">
      <c r="A4717" s="6">
        <f>Database!$A6802</f>
        <v/>
      </c>
      <c r="B4717">
        <f>IF(VLOOKUP(Table7[[#This Row],[Date]],Database!$A:$C,MATCH($B$1,Database!$A$1:$C$1,),)=0,#N/A,VLOOKUP(Table7[[#This Row],[Date]],Database!$A:$C,MATCH($B$1,Database!$A$1:$C$1,),))</f>
        <v/>
      </c>
      <c r="C4717">
        <f>IF(VLOOKUP(Table7[[#This Row],[Date]],Database!$A:$C,MATCH($C$1,Database!$A$1:$C$1,),)=0,#N/A,VLOOKUP(Table7[[#This Row],[Date]],Database!$A:$C,MATCH($C$1,Database!$A$1:$C$1,),))</f>
        <v/>
      </c>
      <c r="D4717">
        <f>IFERROR(Table7[[#This Row],[United States 10y]]-Table7[[#This Row],[United States 3y]],#N/A)</f>
        <v/>
      </c>
    </row>
    <row r="4718">
      <c r="A4718" s="6">
        <f>Database!$A6803</f>
        <v/>
      </c>
      <c r="B4718">
        <f>IF(VLOOKUP(Table7[[#This Row],[Date]],Database!$A:$C,MATCH($B$1,Database!$A$1:$C$1,),)=0,#N/A,VLOOKUP(Table7[[#This Row],[Date]],Database!$A:$C,MATCH($B$1,Database!$A$1:$C$1,),))</f>
        <v/>
      </c>
      <c r="C4718">
        <f>IF(VLOOKUP(Table7[[#This Row],[Date]],Database!$A:$C,MATCH($C$1,Database!$A$1:$C$1,),)=0,#N/A,VLOOKUP(Table7[[#This Row],[Date]],Database!$A:$C,MATCH($C$1,Database!$A$1:$C$1,),))</f>
        <v/>
      </c>
      <c r="D4718">
        <f>IFERROR(Table7[[#This Row],[United States 10y]]-Table7[[#This Row],[United States 3y]],#N/A)</f>
        <v/>
      </c>
    </row>
    <row r="4719">
      <c r="A4719" s="6">
        <f>Database!$A6804</f>
        <v/>
      </c>
      <c r="B4719">
        <f>IF(VLOOKUP(Table7[[#This Row],[Date]],Database!$A:$C,MATCH($B$1,Database!$A$1:$C$1,),)=0,#N/A,VLOOKUP(Table7[[#This Row],[Date]],Database!$A:$C,MATCH($B$1,Database!$A$1:$C$1,),))</f>
        <v/>
      </c>
      <c r="C4719">
        <f>IF(VLOOKUP(Table7[[#This Row],[Date]],Database!$A:$C,MATCH($C$1,Database!$A$1:$C$1,),)=0,#N/A,VLOOKUP(Table7[[#This Row],[Date]],Database!$A:$C,MATCH($C$1,Database!$A$1:$C$1,),))</f>
        <v/>
      </c>
      <c r="D4719">
        <f>IFERROR(Table7[[#This Row],[United States 10y]]-Table7[[#This Row],[United States 3y]],#N/A)</f>
        <v/>
      </c>
    </row>
    <row r="4720">
      <c r="A4720" s="6">
        <f>Database!$A6805</f>
        <v/>
      </c>
      <c r="B4720">
        <f>IF(VLOOKUP(Table7[[#This Row],[Date]],Database!$A:$C,MATCH($B$1,Database!$A$1:$C$1,),)=0,#N/A,VLOOKUP(Table7[[#This Row],[Date]],Database!$A:$C,MATCH($B$1,Database!$A$1:$C$1,),))</f>
        <v/>
      </c>
      <c r="C4720">
        <f>IF(VLOOKUP(Table7[[#This Row],[Date]],Database!$A:$C,MATCH($C$1,Database!$A$1:$C$1,),)=0,#N/A,VLOOKUP(Table7[[#This Row],[Date]],Database!$A:$C,MATCH($C$1,Database!$A$1:$C$1,),))</f>
        <v/>
      </c>
      <c r="D4720">
        <f>IFERROR(Table7[[#This Row],[United States 10y]]-Table7[[#This Row],[United States 3y]],#N/A)</f>
        <v/>
      </c>
    </row>
    <row r="4721">
      <c r="A4721" s="6">
        <f>Database!$A6806</f>
        <v/>
      </c>
      <c r="B4721">
        <f>IF(VLOOKUP(Table7[[#This Row],[Date]],Database!$A:$C,MATCH($B$1,Database!$A$1:$C$1,),)=0,#N/A,VLOOKUP(Table7[[#This Row],[Date]],Database!$A:$C,MATCH($B$1,Database!$A$1:$C$1,),))</f>
        <v/>
      </c>
      <c r="C4721">
        <f>IF(VLOOKUP(Table7[[#This Row],[Date]],Database!$A:$C,MATCH($C$1,Database!$A$1:$C$1,),)=0,#N/A,VLOOKUP(Table7[[#This Row],[Date]],Database!$A:$C,MATCH($C$1,Database!$A$1:$C$1,),))</f>
        <v/>
      </c>
      <c r="D4721">
        <f>IFERROR(Table7[[#This Row],[United States 10y]]-Table7[[#This Row],[United States 3y]],#N/A)</f>
        <v/>
      </c>
    </row>
    <row r="4722">
      <c r="A4722" s="6">
        <f>Database!$A6807</f>
        <v/>
      </c>
      <c r="B4722">
        <f>IF(VLOOKUP(Table7[[#This Row],[Date]],Database!$A:$C,MATCH($B$1,Database!$A$1:$C$1,),)=0,#N/A,VLOOKUP(Table7[[#This Row],[Date]],Database!$A:$C,MATCH($B$1,Database!$A$1:$C$1,),))</f>
        <v/>
      </c>
      <c r="C4722">
        <f>IF(VLOOKUP(Table7[[#This Row],[Date]],Database!$A:$C,MATCH($C$1,Database!$A$1:$C$1,),)=0,#N/A,VLOOKUP(Table7[[#This Row],[Date]],Database!$A:$C,MATCH($C$1,Database!$A$1:$C$1,),))</f>
        <v/>
      </c>
      <c r="D4722">
        <f>IFERROR(Table7[[#This Row],[United States 10y]]-Table7[[#This Row],[United States 3y]],#N/A)</f>
        <v/>
      </c>
    </row>
    <row r="4723">
      <c r="A4723" s="6">
        <f>Database!$A6808</f>
        <v/>
      </c>
      <c r="B4723">
        <f>IF(VLOOKUP(Table7[[#This Row],[Date]],Database!$A:$C,MATCH($B$1,Database!$A$1:$C$1,),)=0,#N/A,VLOOKUP(Table7[[#This Row],[Date]],Database!$A:$C,MATCH($B$1,Database!$A$1:$C$1,),))</f>
        <v/>
      </c>
      <c r="C4723">
        <f>IF(VLOOKUP(Table7[[#This Row],[Date]],Database!$A:$C,MATCH($C$1,Database!$A$1:$C$1,),)=0,#N/A,VLOOKUP(Table7[[#This Row],[Date]],Database!$A:$C,MATCH($C$1,Database!$A$1:$C$1,),))</f>
        <v/>
      </c>
      <c r="D4723">
        <f>IFERROR(Table7[[#This Row],[United States 10y]]-Table7[[#This Row],[United States 3y]],#N/A)</f>
        <v/>
      </c>
    </row>
    <row r="4724">
      <c r="A4724" s="6">
        <f>Database!$A6809</f>
        <v/>
      </c>
      <c r="B4724">
        <f>IF(VLOOKUP(Table7[[#This Row],[Date]],Database!$A:$C,MATCH($B$1,Database!$A$1:$C$1,),)=0,#N/A,VLOOKUP(Table7[[#This Row],[Date]],Database!$A:$C,MATCH($B$1,Database!$A$1:$C$1,),))</f>
        <v/>
      </c>
      <c r="C4724">
        <f>IF(VLOOKUP(Table7[[#This Row],[Date]],Database!$A:$C,MATCH($C$1,Database!$A$1:$C$1,),)=0,#N/A,VLOOKUP(Table7[[#This Row],[Date]],Database!$A:$C,MATCH($C$1,Database!$A$1:$C$1,),))</f>
        <v/>
      </c>
      <c r="D4724">
        <f>IFERROR(Table7[[#This Row],[United States 10y]]-Table7[[#This Row],[United States 3y]],#N/A)</f>
        <v/>
      </c>
    </row>
    <row r="4725">
      <c r="A4725" s="6">
        <f>Database!$A6810</f>
        <v/>
      </c>
      <c r="B4725">
        <f>IF(VLOOKUP(Table7[[#This Row],[Date]],Database!$A:$C,MATCH($B$1,Database!$A$1:$C$1,),)=0,#N/A,VLOOKUP(Table7[[#This Row],[Date]],Database!$A:$C,MATCH($B$1,Database!$A$1:$C$1,),))</f>
        <v/>
      </c>
      <c r="C4725">
        <f>IF(VLOOKUP(Table7[[#This Row],[Date]],Database!$A:$C,MATCH($C$1,Database!$A$1:$C$1,),)=0,#N/A,VLOOKUP(Table7[[#This Row],[Date]],Database!$A:$C,MATCH($C$1,Database!$A$1:$C$1,),))</f>
        <v/>
      </c>
      <c r="D4725">
        <f>IFERROR(Table7[[#This Row],[United States 10y]]-Table7[[#This Row],[United States 3y]],#N/A)</f>
        <v/>
      </c>
    </row>
    <row r="4726">
      <c r="A4726" s="6">
        <f>Database!$A6811</f>
        <v/>
      </c>
      <c r="B4726">
        <f>IF(VLOOKUP(Table7[[#This Row],[Date]],Database!$A:$C,MATCH($B$1,Database!$A$1:$C$1,),)=0,#N/A,VLOOKUP(Table7[[#This Row],[Date]],Database!$A:$C,MATCH($B$1,Database!$A$1:$C$1,),))</f>
        <v/>
      </c>
      <c r="C4726">
        <f>IF(VLOOKUP(Table7[[#This Row],[Date]],Database!$A:$C,MATCH($C$1,Database!$A$1:$C$1,),)=0,#N/A,VLOOKUP(Table7[[#This Row],[Date]],Database!$A:$C,MATCH($C$1,Database!$A$1:$C$1,),))</f>
        <v/>
      </c>
      <c r="D4726">
        <f>IFERROR(Table7[[#This Row],[United States 10y]]-Table7[[#This Row],[United States 3y]],#N/A)</f>
        <v/>
      </c>
    </row>
    <row r="4727">
      <c r="A4727" s="6">
        <f>Database!$A6812</f>
        <v/>
      </c>
      <c r="B4727">
        <f>IF(VLOOKUP(Table7[[#This Row],[Date]],Database!$A:$C,MATCH($B$1,Database!$A$1:$C$1,),)=0,#N/A,VLOOKUP(Table7[[#This Row],[Date]],Database!$A:$C,MATCH($B$1,Database!$A$1:$C$1,),))</f>
        <v/>
      </c>
      <c r="C4727">
        <f>IF(VLOOKUP(Table7[[#This Row],[Date]],Database!$A:$C,MATCH($C$1,Database!$A$1:$C$1,),)=0,#N/A,VLOOKUP(Table7[[#This Row],[Date]],Database!$A:$C,MATCH($C$1,Database!$A$1:$C$1,),))</f>
        <v/>
      </c>
      <c r="D4727">
        <f>IFERROR(Table7[[#This Row],[United States 10y]]-Table7[[#This Row],[United States 3y]],#N/A)</f>
        <v/>
      </c>
    </row>
    <row r="4728">
      <c r="A4728" s="6">
        <f>Database!$A6813</f>
        <v/>
      </c>
      <c r="B4728">
        <f>IF(VLOOKUP(Table7[[#This Row],[Date]],Database!$A:$C,MATCH($B$1,Database!$A$1:$C$1,),)=0,#N/A,VLOOKUP(Table7[[#This Row],[Date]],Database!$A:$C,MATCH($B$1,Database!$A$1:$C$1,),))</f>
        <v/>
      </c>
      <c r="C4728">
        <f>IF(VLOOKUP(Table7[[#This Row],[Date]],Database!$A:$C,MATCH($C$1,Database!$A$1:$C$1,),)=0,#N/A,VLOOKUP(Table7[[#This Row],[Date]],Database!$A:$C,MATCH($C$1,Database!$A$1:$C$1,),))</f>
        <v/>
      </c>
      <c r="D4728">
        <f>IFERROR(Table7[[#This Row],[United States 10y]]-Table7[[#This Row],[United States 3y]],#N/A)</f>
        <v/>
      </c>
    </row>
    <row r="4729">
      <c r="A4729" s="6">
        <f>Database!$A6814</f>
        <v/>
      </c>
      <c r="B4729">
        <f>IF(VLOOKUP(Table7[[#This Row],[Date]],Database!$A:$C,MATCH($B$1,Database!$A$1:$C$1,),)=0,#N/A,VLOOKUP(Table7[[#This Row],[Date]],Database!$A:$C,MATCH($B$1,Database!$A$1:$C$1,),))</f>
        <v/>
      </c>
      <c r="C4729">
        <f>IF(VLOOKUP(Table7[[#This Row],[Date]],Database!$A:$C,MATCH($C$1,Database!$A$1:$C$1,),)=0,#N/A,VLOOKUP(Table7[[#This Row],[Date]],Database!$A:$C,MATCH($C$1,Database!$A$1:$C$1,),))</f>
        <v/>
      </c>
      <c r="D4729">
        <f>IFERROR(Table7[[#This Row],[United States 10y]]-Table7[[#This Row],[United States 3y]],#N/A)</f>
        <v/>
      </c>
    </row>
    <row r="4730">
      <c r="A4730" s="6">
        <f>Database!$A6815</f>
        <v/>
      </c>
      <c r="B4730">
        <f>IF(VLOOKUP(Table7[[#This Row],[Date]],Database!$A:$C,MATCH($B$1,Database!$A$1:$C$1,),)=0,#N/A,VLOOKUP(Table7[[#This Row],[Date]],Database!$A:$C,MATCH($B$1,Database!$A$1:$C$1,),))</f>
        <v/>
      </c>
      <c r="C4730">
        <f>IF(VLOOKUP(Table7[[#This Row],[Date]],Database!$A:$C,MATCH($C$1,Database!$A$1:$C$1,),)=0,#N/A,VLOOKUP(Table7[[#This Row],[Date]],Database!$A:$C,MATCH($C$1,Database!$A$1:$C$1,),))</f>
        <v/>
      </c>
      <c r="D4730">
        <f>IFERROR(Table7[[#This Row],[United States 10y]]-Table7[[#This Row],[United States 3y]],#N/A)</f>
        <v/>
      </c>
    </row>
    <row r="4731">
      <c r="A4731" s="6">
        <f>Database!$A6816</f>
        <v/>
      </c>
      <c r="B4731">
        <f>IF(VLOOKUP(Table7[[#This Row],[Date]],Database!$A:$C,MATCH($B$1,Database!$A$1:$C$1,),)=0,#N/A,VLOOKUP(Table7[[#This Row],[Date]],Database!$A:$C,MATCH($B$1,Database!$A$1:$C$1,),))</f>
        <v/>
      </c>
      <c r="C4731">
        <f>IF(VLOOKUP(Table7[[#This Row],[Date]],Database!$A:$C,MATCH($C$1,Database!$A$1:$C$1,),)=0,#N/A,VLOOKUP(Table7[[#This Row],[Date]],Database!$A:$C,MATCH($C$1,Database!$A$1:$C$1,),))</f>
        <v/>
      </c>
      <c r="D4731">
        <f>IFERROR(Table7[[#This Row],[United States 10y]]-Table7[[#This Row],[United States 3y]],#N/A)</f>
        <v/>
      </c>
    </row>
    <row r="4732">
      <c r="A4732" s="6">
        <f>Database!$A6817</f>
        <v/>
      </c>
      <c r="B4732">
        <f>IF(VLOOKUP(Table7[[#This Row],[Date]],Database!$A:$C,MATCH($B$1,Database!$A$1:$C$1,),)=0,#N/A,VLOOKUP(Table7[[#This Row],[Date]],Database!$A:$C,MATCH($B$1,Database!$A$1:$C$1,),))</f>
        <v/>
      </c>
      <c r="C4732">
        <f>IF(VLOOKUP(Table7[[#This Row],[Date]],Database!$A:$C,MATCH($C$1,Database!$A$1:$C$1,),)=0,#N/A,VLOOKUP(Table7[[#This Row],[Date]],Database!$A:$C,MATCH($C$1,Database!$A$1:$C$1,),))</f>
        <v/>
      </c>
      <c r="D4732">
        <f>IFERROR(Table7[[#This Row],[United States 10y]]-Table7[[#This Row],[United States 3y]],#N/A)</f>
        <v/>
      </c>
    </row>
    <row r="4733">
      <c r="A4733" s="6">
        <f>Database!$A6818</f>
        <v/>
      </c>
      <c r="B4733">
        <f>IF(VLOOKUP(Table7[[#This Row],[Date]],Database!$A:$C,MATCH($B$1,Database!$A$1:$C$1,),)=0,#N/A,VLOOKUP(Table7[[#This Row],[Date]],Database!$A:$C,MATCH($B$1,Database!$A$1:$C$1,),))</f>
        <v/>
      </c>
      <c r="C4733">
        <f>IF(VLOOKUP(Table7[[#This Row],[Date]],Database!$A:$C,MATCH($C$1,Database!$A$1:$C$1,),)=0,#N/A,VLOOKUP(Table7[[#This Row],[Date]],Database!$A:$C,MATCH($C$1,Database!$A$1:$C$1,),))</f>
        <v/>
      </c>
      <c r="D4733">
        <f>IFERROR(Table7[[#This Row],[United States 10y]]-Table7[[#This Row],[United States 3y]],#N/A)</f>
        <v/>
      </c>
    </row>
    <row r="4734">
      <c r="A4734" s="6">
        <f>Database!$A6819</f>
        <v/>
      </c>
      <c r="B4734">
        <f>IF(VLOOKUP(Table7[[#This Row],[Date]],Database!$A:$C,MATCH($B$1,Database!$A$1:$C$1,),)=0,#N/A,VLOOKUP(Table7[[#This Row],[Date]],Database!$A:$C,MATCH($B$1,Database!$A$1:$C$1,),))</f>
        <v/>
      </c>
      <c r="C4734">
        <f>IF(VLOOKUP(Table7[[#This Row],[Date]],Database!$A:$C,MATCH($C$1,Database!$A$1:$C$1,),)=0,#N/A,VLOOKUP(Table7[[#This Row],[Date]],Database!$A:$C,MATCH($C$1,Database!$A$1:$C$1,),))</f>
        <v/>
      </c>
      <c r="D4734">
        <f>IFERROR(Table7[[#This Row],[United States 10y]]-Table7[[#This Row],[United States 3y]],#N/A)</f>
        <v/>
      </c>
    </row>
    <row r="4735">
      <c r="A4735" s="6">
        <f>Database!$A6820</f>
        <v/>
      </c>
      <c r="B4735">
        <f>IF(VLOOKUP(Table7[[#This Row],[Date]],Database!$A:$C,MATCH($B$1,Database!$A$1:$C$1,),)=0,#N/A,VLOOKUP(Table7[[#This Row],[Date]],Database!$A:$C,MATCH($B$1,Database!$A$1:$C$1,),))</f>
        <v/>
      </c>
      <c r="C4735">
        <f>IF(VLOOKUP(Table7[[#This Row],[Date]],Database!$A:$C,MATCH($C$1,Database!$A$1:$C$1,),)=0,#N/A,VLOOKUP(Table7[[#This Row],[Date]],Database!$A:$C,MATCH($C$1,Database!$A$1:$C$1,),))</f>
        <v/>
      </c>
      <c r="D4735">
        <f>IFERROR(Table7[[#This Row],[United States 10y]]-Table7[[#This Row],[United States 3y]],#N/A)</f>
        <v/>
      </c>
    </row>
    <row r="4736">
      <c r="A4736" s="6">
        <f>Database!$A6821</f>
        <v/>
      </c>
      <c r="B4736">
        <f>IF(VLOOKUP(Table7[[#This Row],[Date]],Database!$A:$C,MATCH($B$1,Database!$A$1:$C$1,),)=0,#N/A,VLOOKUP(Table7[[#This Row],[Date]],Database!$A:$C,MATCH($B$1,Database!$A$1:$C$1,),))</f>
        <v/>
      </c>
      <c r="C4736">
        <f>IF(VLOOKUP(Table7[[#This Row],[Date]],Database!$A:$C,MATCH($C$1,Database!$A$1:$C$1,),)=0,#N/A,VLOOKUP(Table7[[#This Row],[Date]],Database!$A:$C,MATCH($C$1,Database!$A$1:$C$1,),))</f>
        <v/>
      </c>
      <c r="D4736">
        <f>IFERROR(Table7[[#This Row],[United States 10y]]-Table7[[#This Row],[United States 3y]],#N/A)</f>
        <v/>
      </c>
    </row>
    <row r="4737">
      <c r="A4737" s="6">
        <f>Database!$A6822</f>
        <v/>
      </c>
      <c r="B4737">
        <f>IF(VLOOKUP(Table7[[#This Row],[Date]],Database!$A:$C,MATCH($B$1,Database!$A$1:$C$1,),)=0,#N/A,VLOOKUP(Table7[[#This Row],[Date]],Database!$A:$C,MATCH($B$1,Database!$A$1:$C$1,),))</f>
        <v/>
      </c>
      <c r="C4737">
        <f>IF(VLOOKUP(Table7[[#This Row],[Date]],Database!$A:$C,MATCH($C$1,Database!$A$1:$C$1,),)=0,#N/A,VLOOKUP(Table7[[#This Row],[Date]],Database!$A:$C,MATCH($C$1,Database!$A$1:$C$1,),))</f>
        <v/>
      </c>
      <c r="D4737">
        <f>IFERROR(Table7[[#This Row],[United States 10y]]-Table7[[#This Row],[United States 3y]],#N/A)</f>
        <v/>
      </c>
    </row>
    <row r="4738">
      <c r="A4738" s="6">
        <f>Database!$A6823</f>
        <v/>
      </c>
      <c r="B4738">
        <f>IF(VLOOKUP(Table7[[#This Row],[Date]],Database!$A:$C,MATCH($B$1,Database!$A$1:$C$1,),)=0,#N/A,VLOOKUP(Table7[[#This Row],[Date]],Database!$A:$C,MATCH($B$1,Database!$A$1:$C$1,),))</f>
        <v/>
      </c>
      <c r="C4738">
        <f>IF(VLOOKUP(Table7[[#This Row],[Date]],Database!$A:$C,MATCH($C$1,Database!$A$1:$C$1,),)=0,#N/A,VLOOKUP(Table7[[#This Row],[Date]],Database!$A:$C,MATCH($C$1,Database!$A$1:$C$1,),))</f>
        <v/>
      </c>
      <c r="D4738">
        <f>IFERROR(Table7[[#This Row],[United States 10y]]-Table7[[#This Row],[United States 3y]],#N/A)</f>
        <v/>
      </c>
    </row>
    <row r="4739">
      <c r="A4739" s="6">
        <f>Database!$A6824</f>
        <v/>
      </c>
      <c r="B4739">
        <f>IF(VLOOKUP(Table7[[#This Row],[Date]],Database!$A:$C,MATCH($B$1,Database!$A$1:$C$1,),)=0,#N/A,VLOOKUP(Table7[[#This Row],[Date]],Database!$A:$C,MATCH($B$1,Database!$A$1:$C$1,),))</f>
        <v/>
      </c>
      <c r="C4739">
        <f>IF(VLOOKUP(Table7[[#This Row],[Date]],Database!$A:$C,MATCH($C$1,Database!$A$1:$C$1,),)=0,#N/A,VLOOKUP(Table7[[#This Row],[Date]],Database!$A:$C,MATCH($C$1,Database!$A$1:$C$1,),))</f>
        <v/>
      </c>
      <c r="D4739">
        <f>IFERROR(Table7[[#This Row],[United States 10y]]-Table7[[#This Row],[United States 3y]],#N/A)</f>
        <v/>
      </c>
    </row>
    <row r="4740">
      <c r="A4740" s="6">
        <f>Database!$A6825</f>
        <v/>
      </c>
      <c r="B4740">
        <f>IF(VLOOKUP(Table7[[#This Row],[Date]],Database!$A:$C,MATCH($B$1,Database!$A$1:$C$1,),)=0,#N/A,VLOOKUP(Table7[[#This Row],[Date]],Database!$A:$C,MATCH($B$1,Database!$A$1:$C$1,),))</f>
        <v/>
      </c>
      <c r="C4740">
        <f>IF(VLOOKUP(Table7[[#This Row],[Date]],Database!$A:$C,MATCH($C$1,Database!$A$1:$C$1,),)=0,#N/A,VLOOKUP(Table7[[#This Row],[Date]],Database!$A:$C,MATCH($C$1,Database!$A$1:$C$1,),))</f>
        <v/>
      </c>
      <c r="D4740">
        <f>IFERROR(Table7[[#This Row],[United States 10y]]-Table7[[#This Row],[United States 3y]],#N/A)</f>
        <v/>
      </c>
    </row>
    <row r="4741">
      <c r="A4741" s="6">
        <f>Database!$A6826</f>
        <v/>
      </c>
      <c r="B4741">
        <f>IF(VLOOKUP(Table7[[#This Row],[Date]],Database!$A:$C,MATCH($B$1,Database!$A$1:$C$1,),)=0,#N/A,VLOOKUP(Table7[[#This Row],[Date]],Database!$A:$C,MATCH($B$1,Database!$A$1:$C$1,),))</f>
        <v/>
      </c>
      <c r="C4741">
        <f>IF(VLOOKUP(Table7[[#This Row],[Date]],Database!$A:$C,MATCH($C$1,Database!$A$1:$C$1,),)=0,#N/A,VLOOKUP(Table7[[#This Row],[Date]],Database!$A:$C,MATCH($C$1,Database!$A$1:$C$1,),))</f>
        <v/>
      </c>
      <c r="D4741">
        <f>IFERROR(Table7[[#This Row],[United States 10y]]-Table7[[#This Row],[United States 3y]],#N/A)</f>
        <v/>
      </c>
    </row>
    <row r="4742">
      <c r="A4742" s="6">
        <f>Database!$A6827</f>
        <v/>
      </c>
      <c r="B4742">
        <f>IF(VLOOKUP(Table7[[#This Row],[Date]],Database!$A:$C,MATCH($B$1,Database!$A$1:$C$1,),)=0,#N/A,VLOOKUP(Table7[[#This Row],[Date]],Database!$A:$C,MATCH($B$1,Database!$A$1:$C$1,),))</f>
        <v/>
      </c>
      <c r="C4742">
        <f>IF(VLOOKUP(Table7[[#This Row],[Date]],Database!$A:$C,MATCH($C$1,Database!$A$1:$C$1,),)=0,#N/A,VLOOKUP(Table7[[#This Row],[Date]],Database!$A:$C,MATCH($C$1,Database!$A$1:$C$1,),))</f>
        <v/>
      </c>
      <c r="D4742">
        <f>IFERROR(Table7[[#This Row],[United States 10y]]-Table7[[#This Row],[United States 3y]],#N/A)</f>
        <v/>
      </c>
    </row>
    <row r="4743">
      <c r="A4743" s="6">
        <f>Database!$A6828</f>
        <v/>
      </c>
      <c r="B4743">
        <f>IF(VLOOKUP(Table7[[#This Row],[Date]],Database!$A:$C,MATCH($B$1,Database!$A$1:$C$1,),)=0,#N/A,VLOOKUP(Table7[[#This Row],[Date]],Database!$A:$C,MATCH($B$1,Database!$A$1:$C$1,),))</f>
        <v/>
      </c>
      <c r="C4743">
        <f>IF(VLOOKUP(Table7[[#This Row],[Date]],Database!$A:$C,MATCH($C$1,Database!$A$1:$C$1,),)=0,#N/A,VLOOKUP(Table7[[#This Row],[Date]],Database!$A:$C,MATCH($C$1,Database!$A$1:$C$1,),))</f>
        <v/>
      </c>
      <c r="D4743">
        <f>IFERROR(Table7[[#This Row],[United States 10y]]-Table7[[#This Row],[United States 3y]],#N/A)</f>
        <v/>
      </c>
    </row>
    <row r="4744">
      <c r="A4744" s="6">
        <f>Database!$A6829</f>
        <v/>
      </c>
      <c r="B4744">
        <f>IF(VLOOKUP(Table7[[#This Row],[Date]],Database!$A:$C,MATCH($B$1,Database!$A$1:$C$1,),)=0,#N/A,VLOOKUP(Table7[[#This Row],[Date]],Database!$A:$C,MATCH($B$1,Database!$A$1:$C$1,),))</f>
        <v/>
      </c>
      <c r="C4744">
        <f>IF(VLOOKUP(Table7[[#This Row],[Date]],Database!$A:$C,MATCH($C$1,Database!$A$1:$C$1,),)=0,#N/A,VLOOKUP(Table7[[#This Row],[Date]],Database!$A:$C,MATCH($C$1,Database!$A$1:$C$1,),))</f>
        <v/>
      </c>
      <c r="D4744">
        <f>IFERROR(Table7[[#This Row],[United States 10y]]-Table7[[#This Row],[United States 3y]],#N/A)</f>
        <v/>
      </c>
    </row>
    <row r="4745">
      <c r="A4745" s="6">
        <f>Database!$A6830</f>
        <v/>
      </c>
      <c r="B4745">
        <f>IF(VLOOKUP(Table7[[#This Row],[Date]],Database!$A:$C,MATCH($B$1,Database!$A$1:$C$1,),)=0,#N/A,VLOOKUP(Table7[[#This Row],[Date]],Database!$A:$C,MATCH($B$1,Database!$A$1:$C$1,),))</f>
        <v/>
      </c>
      <c r="C4745">
        <f>IF(VLOOKUP(Table7[[#This Row],[Date]],Database!$A:$C,MATCH($C$1,Database!$A$1:$C$1,),)=0,#N/A,VLOOKUP(Table7[[#This Row],[Date]],Database!$A:$C,MATCH($C$1,Database!$A$1:$C$1,),))</f>
        <v/>
      </c>
      <c r="D4745">
        <f>IFERROR(Table7[[#This Row],[United States 10y]]-Table7[[#This Row],[United States 3y]],#N/A)</f>
        <v/>
      </c>
    </row>
    <row r="4746">
      <c r="A4746" s="6">
        <f>Database!$A6831</f>
        <v/>
      </c>
      <c r="B4746">
        <f>IF(VLOOKUP(Table7[[#This Row],[Date]],Database!$A:$C,MATCH($B$1,Database!$A$1:$C$1,),)=0,#N/A,VLOOKUP(Table7[[#This Row],[Date]],Database!$A:$C,MATCH($B$1,Database!$A$1:$C$1,),))</f>
        <v/>
      </c>
      <c r="C4746">
        <f>IF(VLOOKUP(Table7[[#This Row],[Date]],Database!$A:$C,MATCH($C$1,Database!$A$1:$C$1,),)=0,#N/A,VLOOKUP(Table7[[#This Row],[Date]],Database!$A:$C,MATCH($C$1,Database!$A$1:$C$1,),))</f>
        <v/>
      </c>
      <c r="D4746">
        <f>IFERROR(Table7[[#This Row],[United States 10y]]-Table7[[#This Row],[United States 3y]],#N/A)</f>
        <v/>
      </c>
    </row>
    <row r="4747">
      <c r="A4747" s="6">
        <f>Database!$A6832</f>
        <v/>
      </c>
      <c r="B4747">
        <f>IF(VLOOKUP(Table7[[#This Row],[Date]],Database!$A:$C,MATCH($B$1,Database!$A$1:$C$1,),)=0,#N/A,VLOOKUP(Table7[[#This Row],[Date]],Database!$A:$C,MATCH($B$1,Database!$A$1:$C$1,),))</f>
        <v/>
      </c>
      <c r="C4747">
        <f>IF(VLOOKUP(Table7[[#This Row],[Date]],Database!$A:$C,MATCH($C$1,Database!$A$1:$C$1,),)=0,#N/A,VLOOKUP(Table7[[#This Row],[Date]],Database!$A:$C,MATCH($C$1,Database!$A$1:$C$1,),))</f>
        <v/>
      </c>
      <c r="D4747">
        <f>IFERROR(Table7[[#This Row],[United States 10y]]-Table7[[#This Row],[United States 3y]],#N/A)</f>
        <v/>
      </c>
    </row>
    <row r="4748">
      <c r="A4748" s="6">
        <f>Database!$A6833</f>
        <v/>
      </c>
      <c r="B4748">
        <f>IF(VLOOKUP(Table7[[#This Row],[Date]],Database!$A:$C,MATCH($B$1,Database!$A$1:$C$1,),)=0,#N/A,VLOOKUP(Table7[[#This Row],[Date]],Database!$A:$C,MATCH($B$1,Database!$A$1:$C$1,),))</f>
        <v/>
      </c>
      <c r="C4748">
        <f>IF(VLOOKUP(Table7[[#This Row],[Date]],Database!$A:$C,MATCH($C$1,Database!$A$1:$C$1,),)=0,#N/A,VLOOKUP(Table7[[#This Row],[Date]],Database!$A:$C,MATCH($C$1,Database!$A$1:$C$1,),))</f>
        <v/>
      </c>
      <c r="D4748">
        <f>IFERROR(Table7[[#This Row],[United States 10y]]-Table7[[#This Row],[United States 3y]],#N/A)</f>
        <v/>
      </c>
    </row>
    <row r="4749">
      <c r="A4749" s="6">
        <f>Database!$A6834</f>
        <v/>
      </c>
      <c r="B4749">
        <f>IF(VLOOKUP(Table7[[#This Row],[Date]],Database!$A:$C,MATCH($B$1,Database!$A$1:$C$1,),)=0,#N/A,VLOOKUP(Table7[[#This Row],[Date]],Database!$A:$C,MATCH($B$1,Database!$A$1:$C$1,),))</f>
        <v/>
      </c>
      <c r="C4749">
        <f>IF(VLOOKUP(Table7[[#This Row],[Date]],Database!$A:$C,MATCH($C$1,Database!$A$1:$C$1,),)=0,#N/A,VLOOKUP(Table7[[#This Row],[Date]],Database!$A:$C,MATCH($C$1,Database!$A$1:$C$1,),))</f>
        <v/>
      </c>
      <c r="D4749">
        <f>IFERROR(Table7[[#This Row],[United States 10y]]-Table7[[#This Row],[United States 3y]],#N/A)</f>
        <v/>
      </c>
    </row>
    <row r="4750">
      <c r="A4750" s="6">
        <f>Database!$A6835</f>
        <v/>
      </c>
      <c r="B4750">
        <f>IF(VLOOKUP(Table7[[#This Row],[Date]],Database!$A:$C,MATCH($B$1,Database!$A$1:$C$1,),)=0,#N/A,VLOOKUP(Table7[[#This Row],[Date]],Database!$A:$C,MATCH($B$1,Database!$A$1:$C$1,),))</f>
        <v/>
      </c>
      <c r="C4750">
        <f>IF(VLOOKUP(Table7[[#This Row],[Date]],Database!$A:$C,MATCH($C$1,Database!$A$1:$C$1,),)=0,#N/A,VLOOKUP(Table7[[#This Row],[Date]],Database!$A:$C,MATCH($C$1,Database!$A$1:$C$1,),))</f>
        <v/>
      </c>
      <c r="D4750">
        <f>IFERROR(Table7[[#This Row],[United States 10y]]-Table7[[#This Row],[United States 3y]],#N/A)</f>
        <v/>
      </c>
    </row>
    <row r="4751">
      <c r="A4751" s="6">
        <f>Database!$A6836</f>
        <v/>
      </c>
      <c r="B4751">
        <f>IF(VLOOKUP(Table7[[#This Row],[Date]],Database!$A:$C,MATCH($B$1,Database!$A$1:$C$1,),)=0,#N/A,VLOOKUP(Table7[[#This Row],[Date]],Database!$A:$C,MATCH($B$1,Database!$A$1:$C$1,),))</f>
        <v/>
      </c>
      <c r="C4751">
        <f>IF(VLOOKUP(Table7[[#This Row],[Date]],Database!$A:$C,MATCH($C$1,Database!$A$1:$C$1,),)=0,#N/A,VLOOKUP(Table7[[#This Row],[Date]],Database!$A:$C,MATCH($C$1,Database!$A$1:$C$1,),))</f>
        <v/>
      </c>
      <c r="D4751">
        <f>IFERROR(Table7[[#This Row],[United States 10y]]-Table7[[#This Row],[United States 3y]],#N/A)</f>
        <v/>
      </c>
    </row>
    <row r="4752">
      <c r="A4752" s="6">
        <f>Database!$A6837</f>
        <v/>
      </c>
      <c r="B4752">
        <f>IF(VLOOKUP(Table7[[#This Row],[Date]],Database!$A:$C,MATCH($B$1,Database!$A$1:$C$1,),)=0,#N/A,VLOOKUP(Table7[[#This Row],[Date]],Database!$A:$C,MATCH($B$1,Database!$A$1:$C$1,),))</f>
        <v/>
      </c>
      <c r="C4752">
        <f>IF(VLOOKUP(Table7[[#This Row],[Date]],Database!$A:$C,MATCH($C$1,Database!$A$1:$C$1,),)=0,#N/A,VLOOKUP(Table7[[#This Row],[Date]],Database!$A:$C,MATCH($C$1,Database!$A$1:$C$1,),))</f>
        <v/>
      </c>
      <c r="D4752">
        <f>IFERROR(Table7[[#This Row],[United States 10y]]-Table7[[#This Row],[United States 3y]],#N/A)</f>
        <v/>
      </c>
    </row>
    <row r="4753">
      <c r="A4753" s="6">
        <f>Database!$A6838</f>
        <v/>
      </c>
      <c r="B4753">
        <f>IF(VLOOKUP(Table7[[#This Row],[Date]],Database!$A:$C,MATCH($B$1,Database!$A$1:$C$1,),)=0,#N/A,VLOOKUP(Table7[[#This Row],[Date]],Database!$A:$C,MATCH($B$1,Database!$A$1:$C$1,),))</f>
        <v/>
      </c>
      <c r="C4753">
        <f>IF(VLOOKUP(Table7[[#This Row],[Date]],Database!$A:$C,MATCH($C$1,Database!$A$1:$C$1,),)=0,#N/A,VLOOKUP(Table7[[#This Row],[Date]],Database!$A:$C,MATCH($C$1,Database!$A$1:$C$1,),))</f>
        <v/>
      </c>
      <c r="D4753">
        <f>IFERROR(Table7[[#This Row],[United States 10y]]-Table7[[#This Row],[United States 3y]],#N/A)</f>
        <v/>
      </c>
    </row>
    <row r="4754">
      <c r="A4754" s="6">
        <f>Database!$A6839</f>
        <v/>
      </c>
      <c r="B4754">
        <f>IF(VLOOKUP(Table7[[#This Row],[Date]],Database!$A:$C,MATCH($B$1,Database!$A$1:$C$1,),)=0,#N/A,VLOOKUP(Table7[[#This Row],[Date]],Database!$A:$C,MATCH($B$1,Database!$A$1:$C$1,),))</f>
        <v/>
      </c>
      <c r="C4754">
        <f>IF(VLOOKUP(Table7[[#This Row],[Date]],Database!$A:$C,MATCH($C$1,Database!$A$1:$C$1,),)=0,#N/A,VLOOKUP(Table7[[#This Row],[Date]],Database!$A:$C,MATCH($C$1,Database!$A$1:$C$1,),))</f>
        <v/>
      </c>
      <c r="D4754">
        <f>IFERROR(Table7[[#This Row],[United States 10y]]-Table7[[#This Row],[United States 3y]],#N/A)</f>
        <v/>
      </c>
    </row>
    <row r="4755">
      <c r="A4755" s="6">
        <f>Database!$A6840</f>
        <v/>
      </c>
      <c r="B4755">
        <f>IF(VLOOKUP(Table7[[#This Row],[Date]],Database!$A:$C,MATCH($B$1,Database!$A$1:$C$1,),)=0,#N/A,VLOOKUP(Table7[[#This Row],[Date]],Database!$A:$C,MATCH($B$1,Database!$A$1:$C$1,),))</f>
        <v/>
      </c>
      <c r="C4755">
        <f>IF(VLOOKUP(Table7[[#This Row],[Date]],Database!$A:$C,MATCH($C$1,Database!$A$1:$C$1,),)=0,#N/A,VLOOKUP(Table7[[#This Row],[Date]],Database!$A:$C,MATCH($C$1,Database!$A$1:$C$1,),))</f>
        <v/>
      </c>
      <c r="D4755">
        <f>IFERROR(Table7[[#This Row],[United States 10y]]-Table7[[#This Row],[United States 3y]],#N/A)</f>
        <v/>
      </c>
    </row>
    <row r="4756">
      <c r="A4756" s="6">
        <f>Database!$A6841</f>
        <v/>
      </c>
      <c r="B4756">
        <f>IF(VLOOKUP(Table7[[#This Row],[Date]],Database!$A:$C,MATCH($B$1,Database!$A$1:$C$1,),)=0,#N/A,VLOOKUP(Table7[[#This Row],[Date]],Database!$A:$C,MATCH($B$1,Database!$A$1:$C$1,),))</f>
        <v/>
      </c>
      <c r="C4756">
        <f>IF(VLOOKUP(Table7[[#This Row],[Date]],Database!$A:$C,MATCH($C$1,Database!$A$1:$C$1,),)=0,#N/A,VLOOKUP(Table7[[#This Row],[Date]],Database!$A:$C,MATCH($C$1,Database!$A$1:$C$1,),))</f>
        <v/>
      </c>
      <c r="D4756">
        <f>IFERROR(Table7[[#This Row],[United States 10y]]-Table7[[#This Row],[United States 3y]],#N/A)</f>
        <v/>
      </c>
    </row>
    <row r="4757">
      <c r="A4757" s="6">
        <f>Database!$A6842</f>
        <v/>
      </c>
      <c r="B4757">
        <f>IF(VLOOKUP(Table7[[#This Row],[Date]],Database!$A:$C,MATCH($B$1,Database!$A$1:$C$1,),)=0,#N/A,VLOOKUP(Table7[[#This Row],[Date]],Database!$A:$C,MATCH($B$1,Database!$A$1:$C$1,),))</f>
        <v/>
      </c>
      <c r="C4757">
        <f>IF(VLOOKUP(Table7[[#This Row],[Date]],Database!$A:$C,MATCH($C$1,Database!$A$1:$C$1,),)=0,#N/A,VLOOKUP(Table7[[#This Row],[Date]],Database!$A:$C,MATCH($C$1,Database!$A$1:$C$1,),))</f>
        <v/>
      </c>
      <c r="D4757">
        <f>IFERROR(Table7[[#This Row],[United States 10y]]-Table7[[#This Row],[United States 3y]],#N/A)</f>
        <v/>
      </c>
    </row>
    <row r="4758">
      <c r="A4758" s="6">
        <f>Database!$A6843</f>
        <v/>
      </c>
      <c r="B4758">
        <f>IF(VLOOKUP(Table7[[#This Row],[Date]],Database!$A:$C,MATCH($B$1,Database!$A$1:$C$1,),)=0,#N/A,VLOOKUP(Table7[[#This Row],[Date]],Database!$A:$C,MATCH($B$1,Database!$A$1:$C$1,),))</f>
        <v/>
      </c>
      <c r="C4758">
        <f>IF(VLOOKUP(Table7[[#This Row],[Date]],Database!$A:$C,MATCH($C$1,Database!$A$1:$C$1,),)=0,#N/A,VLOOKUP(Table7[[#This Row],[Date]],Database!$A:$C,MATCH($C$1,Database!$A$1:$C$1,),))</f>
        <v/>
      </c>
      <c r="D4758">
        <f>IFERROR(Table7[[#This Row],[United States 10y]]-Table7[[#This Row],[United States 3y]],#N/A)</f>
        <v/>
      </c>
    </row>
    <row r="4759">
      <c r="A4759" s="6">
        <f>Database!$A6844</f>
        <v/>
      </c>
      <c r="B4759">
        <f>IF(VLOOKUP(Table7[[#This Row],[Date]],Database!$A:$C,MATCH($B$1,Database!$A$1:$C$1,),)=0,#N/A,VLOOKUP(Table7[[#This Row],[Date]],Database!$A:$C,MATCH($B$1,Database!$A$1:$C$1,),))</f>
        <v/>
      </c>
      <c r="C4759">
        <f>IF(VLOOKUP(Table7[[#This Row],[Date]],Database!$A:$C,MATCH($C$1,Database!$A$1:$C$1,),)=0,#N/A,VLOOKUP(Table7[[#This Row],[Date]],Database!$A:$C,MATCH($C$1,Database!$A$1:$C$1,),))</f>
        <v/>
      </c>
      <c r="D4759">
        <f>IFERROR(Table7[[#This Row],[United States 10y]]-Table7[[#This Row],[United States 3y]],#N/A)</f>
        <v/>
      </c>
    </row>
    <row r="4760">
      <c r="A4760" s="6">
        <f>Database!$A6845</f>
        <v/>
      </c>
      <c r="B4760">
        <f>IF(VLOOKUP(Table7[[#This Row],[Date]],Database!$A:$C,MATCH($B$1,Database!$A$1:$C$1,),)=0,#N/A,VLOOKUP(Table7[[#This Row],[Date]],Database!$A:$C,MATCH($B$1,Database!$A$1:$C$1,),))</f>
        <v/>
      </c>
      <c r="C4760">
        <f>IF(VLOOKUP(Table7[[#This Row],[Date]],Database!$A:$C,MATCH($C$1,Database!$A$1:$C$1,),)=0,#N/A,VLOOKUP(Table7[[#This Row],[Date]],Database!$A:$C,MATCH($C$1,Database!$A$1:$C$1,),))</f>
        <v/>
      </c>
      <c r="D4760">
        <f>IFERROR(Table7[[#This Row],[United States 10y]]-Table7[[#This Row],[United States 3y]],#N/A)</f>
        <v/>
      </c>
    </row>
    <row r="4761">
      <c r="A4761" s="6">
        <f>Database!$A6846</f>
        <v/>
      </c>
      <c r="B4761">
        <f>IF(VLOOKUP(Table7[[#This Row],[Date]],Database!$A:$C,MATCH($B$1,Database!$A$1:$C$1,),)=0,#N/A,VLOOKUP(Table7[[#This Row],[Date]],Database!$A:$C,MATCH($B$1,Database!$A$1:$C$1,),))</f>
        <v/>
      </c>
      <c r="C4761">
        <f>IF(VLOOKUP(Table7[[#This Row],[Date]],Database!$A:$C,MATCH($C$1,Database!$A$1:$C$1,),)=0,#N/A,VLOOKUP(Table7[[#This Row],[Date]],Database!$A:$C,MATCH($C$1,Database!$A$1:$C$1,),))</f>
        <v/>
      </c>
      <c r="D4761">
        <f>IFERROR(Table7[[#This Row],[United States 10y]]-Table7[[#This Row],[United States 3y]],#N/A)</f>
        <v/>
      </c>
    </row>
    <row r="4762">
      <c r="A4762" s="6">
        <f>Database!$A6847</f>
        <v/>
      </c>
      <c r="B4762">
        <f>IF(VLOOKUP(Table7[[#This Row],[Date]],Database!$A:$C,MATCH($B$1,Database!$A$1:$C$1,),)=0,#N/A,VLOOKUP(Table7[[#This Row],[Date]],Database!$A:$C,MATCH($B$1,Database!$A$1:$C$1,),))</f>
        <v/>
      </c>
      <c r="C4762">
        <f>IF(VLOOKUP(Table7[[#This Row],[Date]],Database!$A:$C,MATCH($C$1,Database!$A$1:$C$1,),)=0,#N/A,VLOOKUP(Table7[[#This Row],[Date]],Database!$A:$C,MATCH($C$1,Database!$A$1:$C$1,),))</f>
        <v/>
      </c>
      <c r="D4762">
        <f>IFERROR(Table7[[#This Row],[United States 10y]]-Table7[[#This Row],[United States 3y]],#N/A)</f>
        <v/>
      </c>
    </row>
    <row r="4763">
      <c r="A4763" s="6">
        <f>Database!$A6848</f>
        <v/>
      </c>
      <c r="B4763">
        <f>IF(VLOOKUP(Table7[[#This Row],[Date]],Database!$A:$C,MATCH($B$1,Database!$A$1:$C$1,),)=0,#N/A,VLOOKUP(Table7[[#This Row],[Date]],Database!$A:$C,MATCH($B$1,Database!$A$1:$C$1,),))</f>
        <v/>
      </c>
      <c r="C4763">
        <f>IF(VLOOKUP(Table7[[#This Row],[Date]],Database!$A:$C,MATCH($C$1,Database!$A$1:$C$1,),)=0,#N/A,VLOOKUP(Table7[[#This Row],[Date]],Database!$A:$C,MATCH($C$1,Database!$A$1:$C$1,),))</f>
        <v/>
      </c>
      <c r="D4763">
        <f>IFERROR(Table7[[#This Row],[United States 10y]]-Table7[[#This Row],[United States 3y]],#N/A)</f>
        <v/>
      </c>
    </row>
    <row r="4764">
      <c r="A4764" s="6">
        <f>Database!$A6849</f>
        <v/>
      </c>
      <c r="B4764">
        <f>IF(VLOOKUP(Table7[[#This Row],[Date]],Database!$A:$C,MATCH($B$1,Database!$A$1:$C$1,),)=0,#N/A,VLOOKUP(Table7[[#This Row],[Date]],Database!$A:$C,MATCH($B$1,Database!$A$1:$C$1,),))</f>
        <v/>
      </c>
      <c r="C4764">
        <f>IF(VLOOKUP(Table7[[#This Row],[Date]],Database!$A:$C,MATCH($C$1,Database!$A$1:$C$1,),)=0,#N/A,VLOOKUP(Table7[[#This Row],[Date]],Database!$A:$C,MATCH($C$1,Database!$A$1:$C$1,),))</f>
        <v/>
      </c>
      <c r="D4764">
        <f>IFERROR(Table7[[#This Row],[United States 10y]]-Table7[[#This Row],[United States 3y]],#N/A)</f>
        <v/>
      </c>
    </row>
    <row r="4765">
      <c r="A4765" s="6">
        <f>Database!$A6850</f>
        <v/>
      </c>
      <c r="B4765">
        <f>IF(VLOOKUP(Table7[[#This Row],[Date]],Database!$A:$C,MATCH($B$1,Database!$A$1:$C$1,),)=0,#N/A,VLOOKUP(Table7[[#This Row],[Date]],Database!$A:$C,MATCH($B$1,Database!$A$1:$C$1,),))</f>
        <v/>
      </c>
      <c r="C4765">
        <f>IF(VLOOKUP(Table7[[#This Row],[Date]],Database!$A:$C,MATCH($C$1,Database!$A$1:$C$1,),)=0,#N/A,VLOOKUP(Table7[[#This Row],[Date]],Database!$A:$C,MATCH($C$1,Database!$A$1:$C$1,),))</f>
        <v/>
      </c>
      <c r="D4765">
        <f>IFERROR(Table7[[#This Row],[United States 10y]]-Table7[[#This Row],[United States 3y]],#N/A)</f>
        <v/>
      </c>
    </row>
    <row r="4766">
      <c r="A4766" s="6">
        <f>Database!$A6851</f>
        <v/>
      </c>
      <c r="B4766">
        <f>IF(VLOOKUP(Table7[[#This Row],[Date]],Database!$A:$C,MATCH($B$1,Database!$A$1:$C$1,),)=0,#N/A,VLOOKUP(Table7[[#This Row],[Date]],Database!$A:$C,MATCH($B$1,Database!$A$1:$C$1,),))</f>
        <v/>
      </c>
      <c r="C4766">
        <f>IF(VLOOKUP(Table7[[#This Row],[Date]],Database!$A:$C,MATCH($C$1,Database!$A$1:$C$1,),)=0,#N/A,VLOOKUP(Table7[[#This Row],[Date]],Database!$A:$C,MATCH($C$1,Database!$A$1:$C$1,),))</f>
        <v/>
      </c>
      <c r="D4766">
        <f>IFERROR(Table7[[#This Row],[United States 10y]]-Table7[[#This Row],[United States 3y]],#N/A)</f>
        <v/>
      </c>
    </row>
    <row r="4767">
      <c r="A4767" s="6">
        <f>Database!$A6852</f>
        <v/>
      </c>
      <c r="B4767">
        <f>IF(VLOOKUP(Table7[[#This Row],[Date]],Database!$A:$C,MATCH($B$1,Database!$A$1:$C$1,),)=0,#N/A,VLOOKUP(Table7[[#This Row],[Date]],Database!$A:$C,MATCH($B$1,Database!$A$1:$C$1,),))</f>
        <v/>
      </c>
      <c r="C4767">
        <f>IF(VLOOKUP(Table7[[#This Row],[Date]],Database!$A:$C,MATCH($C$1,Database!$A$1:$C$1,),)=0,#N/A,VLOOKUP(Table7[[#This Row],[Date]],Database!$A:$C,MATCH($C$1,Database!$A$1:$C$1,),))</f>
        <v/>
      </c>
      <c r="D4767">
        <f>IFERROR(Table7[[#This Row],[United States 10y]]-Table7[[#This Row],[United States 3y]],#N/A)</f>
        <v/>
      </c>
    </row>
    <row r="4768">
      <c r="A4768" s="6">
        <f>Database!$A6853</f>
        <v/>
      </c>
      <c r="B4768">
        <f>IF(VLOOKUP(Table7[[#This Row],[Date]],Database!$A:$C,MATCH($B$1,Database!$A$1:$C$1,),)=0,#N/A,VLOOKUP(Table7[[#This Row],[Date]],Database!$A:$C,MATCH($B$1,Database!$A$1:$C$1,),))</f>
        <v/>
      </c>
      <c r="C4768">
        <f>IF(VLOOKUP(Table7[[#This Row],[Date]],Database!$A:$C,MATCH($C$1,Database!$A$1:$C$1,),)=0,#N/A,VLOOKUP(Table7[[#This Row],[Date]],Database!$A:$C,MATCH($C$1,Database!$A$1:$C$1,),))</f>
        <v/>
      </c>
      <c r="D4768">
        <f>IFERROR(Table7[[#This Row],[United States 10y]]-Table7[[#This Row],[United States 3y]],#N/A)</f>
        <v/>
      </c>
    </row>
    <row r="4769">
      <c r="A4769" s="6">
        <f>Database!$A6854</f>
        <v/>
      </c>
      <c r="B4769">
        <f>IF(VLOOKUP(Table7[[#This Row],[Date]],Database!$A:$C,MATCH($B$1,Database!$A$1:$C$1,),)=0,#N/A,VLOOKUP(Table7[[#This Row],[Date]],Database!$A:$C,MATCH($B$1,Database!$A$1:$C$1,),))</f>
        <v/>
      </c>
      <c r="C4769">
        <f>IF(VLOOKUP(Table7[[#This Row],[Date]],Database!$A:$C,MATCH($C$1,Database!$A$1:$C$1,),)=0,#N/A,VLOOKUP(Table7[[#This Row],[Date]],Database!$A:$C,MATCH($C$1,Database!$A$1:$C$1,),))</f>
        <v/>
      </c>
      <c r="D4769">
        <f>IFERROR(Table7[[#This Row],[United States 10y]]-Table7[[#This Row],[United States 3y]],#N/A)</f>
        <v/>
      </c>
    </row>
    <row r="4770">
      <c r="A4770" s="6">
        <f>Database!$A6855</f>
        <v/>
      </c>
      <c r="B4770">
        <f>IF(VLOOKUP(Table7[[#This Row],[Date]],Database!$A:$C,MATCH($B$1,Database!$A$1:$C$1,),)=0,#N/A,VLOOKUP(Table7[[#This Row],[Date]],Database!$A:$C,MATCH($B$1,Database!$A$1:$C$1,),))</f>
        <v/>
      </c>
      <c r="C4770">
        <f>IF(VLOOKUP(Table7[[#This Row],[Date]],Database!$A:$C,MATCH($C$1,Database!$A$1:$C$1,),)=0,#N/A,VLOOKUP(Table7[[#This Row],[Date]],Database!$A:$C,MATCH($C$1,Database!$A$1:$C$1,),))</f>
        <v/>
      </c>
      <c r="D4770">
        <f>IFERROR(Table7[[#This Row],[United States 10y]]-Table7[[#This Row],[United States 3y]],#N/A)</f>
        <v/>
      </c>
    </row>
    <row r="4771">
      <c r="A4771" s="6">
        <f>Database!$A6856</f>
        <v/>
      </c>
      <c r="B4771">
        <f>IF(VLOOKUP(Table7[[#This Row],[Date]],Database!$A:$C,MATCH($B$1,Database!$A$1:$C$1,),)=0,#N/A,VLOOKUP(Table7[[#This Row],[Date]],Database!$A:$C,MATCH($B$1,Database!$A$1:$C$1,),))</f>
        <v/>
      </c>
      <c r="C4771">
        <f>IF(VLOOKUP(Table7[[#This Row],[Date]],Database!$A:$C,MATCH($C$1,Database!$A$1:$C$1,),)=0,#N/A,VLOOKUP(Table7[[#This Row],[Date]],Database!$A:$C,MATCH($C$1,Database!$A$1:$C$1,),))</f>
        <v/>
      </c>
      <c r="D4771">
        <f>IFERROR(Table7[[#This Row],[United States 10y]]-Table7[[#This Row],[United States 3y]],#N/A)</f>
        <v/>
      </c>
    </row>
    <row r="4772">
      <c r="A4772" s="6">
        <f>Database!$A6857</f>
        <v/>
      </c>
      <c r="B4772">
        <f>IF(VLOOKUP(Table7[[#This Row],[Date]],Database!$A:$C,MATCH($B$1,Database!$A$1:$C$1,),)=0,#N/A,VLOOKUP(Table7[[#This Row],[Date]],Database!$A:$C,MATCH($B$1,Database!$A$1:$C$1,),))</f>
        <v/>
      </c>
      <c r="C4772">
        <f>IF(VLOOKUP(Table7[[#This Row],[Date]],Database!$A:$C,MATCH($C$1,Database!$A$1:$C$1,),)=0,#N/A,VLOOKUP(Table7[[#This Row],[Date]],Database!$A:$C,MATCH($C$1,Database!$A$1:$C$1,),))</f>
        <v/>
      </c>
      <c r="D4772">
        <f>IFERROR(Table7[[#This Row],[United States 10y]]-Table7[[#This Row],[United States 3y]],#N/A)</f>
        <v/>
      </c>
    </row>
    <row r="4773">
      <c r="A4773" s="6">
        <f>Database!$A6858</f>
        <v/>
      </c>
      <c r="B4773">
        <f>IF(VLOOKUP(Table7[[#This Row],[Date]],Database!$A:$C,MATCH($B$1,Database!$A$1:$C$1,),)=0,#N/A,VLOOKUP(Table7[[#This Row],[Date]],Database!$A:$C,MATCH($B$1,Database!$A$1:$C$1,),))</f>
        <v/>
      </c>
      <c r="C4773">
        <f>IF(VLOOKUP(Table7[[#This Row],[Date]],Database!$A:$C,MATCH($C$1,Database!$A$1:$C$1,),)=0,#N/A,VLOOKUP(Table7[[#This Row],[Date]],Database!$A:$C,MATCH($C$1,Database!$A$1:$C$1,),))</f>
        <v/>
      </c>
      <c r="D4773">
        <f>IFERROR(Table7[[#This Row],[United States 10y]]-Table7[[#This Row],[United States 3y]],#N/A)</f>
        <v/>
      </c>
    </row>
    <row r="4774">
      <c r="A4774" s="6">
        <f>Database!$A6859</f>
        <v/>
      </c>
      <c r="B4774">
        <f>IF(VLOOKUP(Table7[[#This Row],[Date]],Database!$A:$C,MATCH($B$1,Database!$A$1:$C$1,),)=0,#N/A,VLOOKUP(Table7[[#This Row],[Date]],Database!$A:$C,MATCH($B$1,Database!$A$1:$C$1,),))</f>
        <v/>
      </c>
      <c r="C4774">
        <f>IF(VLOOKUP(Table7[[#This Row],[Date]],Database!$A:$C,MATCH($C$1,Database!$A$1:$C$1,),)=0,#N/A,VLOOKUP(Table7[[#This Row],[Date]],Database!$A:$C,MATCH($C$1,Database!$A$1:$C$1,),))</f>
        <v/>
      </c>
      <c r="D4774">
        <f>IFERROR(Table7[[#This Row],[United States 10y]]-Table7[[#This Row],[United States 3y]],#N/A)</f>
        <v/>
      </c>
    </row>
    <row r="4775">
      <c r="A4775" s="6">
        <f>Database!$A6860</f>
        <v/>
      </c>
      <c r="B4775">
        <f>IF(VLOOKUP(Table7[[#This Row],[Date]],Database!$A:$C,MATCH($B$1,Database!$A$1:$C$1,),)=0,#N/A,VLOOKUP(Table7[[#This Row],[Date]],Database!$A:$C,MATCH($B$1,Database!$A$1:$C$1,),))</f>
        <v/>
      </c>
      <c r="C4775">
        <f>IF(VLOOKUP(Table7[[#This Row],[Date]],Database!$A:$C,MATCH($C$1,Database!$A$1:$C$1,),)=0,#N/A,VLOOKUP(Table7[[#This Row],[Date]],Database!$A:$C,MATCH($C$1,Database!$A$1:$C$1,),))</f>
        <v/>
      </c>
      <c r="D4775">
        <f>IFERROR(Table7[[#This Row],[United States 10y]]-Table7[[#This Row],[United States 3y]],#N/A)</f>
        <v/>
      </c>
    </row>
    <row r="4776">
      <c r="A4776" s="6">
        <f>Database!$A6861</f>
        <v/>
      </c>
      <c r="B4776">
        <f>IF(VLOOKUP(Table7[[#This Row],[Date]],Database!$A:$C,MATCH($B$1,Database!$A$1:$C$1,),)=0,#N/A,VLOOKUP(Table7[[#This Row],[Date]],Database!$A:$C,MATCH($B$1,Database!$A$1:$C$1,),))</f>
        <v/>
      </c>
      <c r="C4776">
        <f>IF(VLOOKUP(Table7[[#This Row],[Date]],Database!$A:$C,MATCH($C$1,Database!$A$1:$C$1,),)=0,#N/A,VLOOKUP(Table7[[#This Row],[Date]],Database!$A:$C,MATCH($C$1,Database!$A$1:$C$1,),))</f>
        <v/>
      </c>
      <c r="D4776">
        <f>IFERROR(Table7[[#This Row],[United States 10y]]-Table7[[#This Row],[United States 3y]],#N/A)</f>
        <v/>
      </c>
    </row>
    <row r="4777">
      <c r="A4777" s="6">
        <f>Database!$A6862</f>
        <v/>
      </c>
      <c r="B4777">
        <f>IF(VLOOKUP(Table7[[#This Row],[Date]],Database!$A:$C,MATCH($B$1,Database!$A$1:$C$1,),)=0,#N/A,VLOOKUP(Table7[[#This Row],[Date]],Database!$A:$C,MATCH($B$1,Database!$A$1:$C$1,),))</f>
        <v/>
      </c>
      <c r="C4777">
        <f>IF(VLOOKUP(Table7[[#This Row],[Date]],Database!$A:$C,MATCH($C$1,Database!$A$1:$C$1,),)=0,#N/A,VLOOKUP(Table7[[#This Row],[Date]],Database!$A:$C,MATCH($C$1,Database!$A$1:$C$1,),))</f>
        <v/>
      </c>
      <c r="D4777">
        <f>IFERROR(Table7[[#This Row],[United States 10y]]-Table7[[#This Row],[United States 3y]],#N/A)</f>
        <v/>
      </c>
    </row>
    <row r="4778">
      <c r="A4778" s="6">
        <f>Database!$A6863</f>
        <v/>
      </c>
      <c r="B4778">
        <f>IF(VLOOKUP(Table7[[#This Row],[Date]],Database!$A:$C,MATCH($B$1,Database!$A$1:$C$1,),)=0,#N/A,VLOOKUP(Table7[[#This Row],[Date]],Database!$A:$C,MATCH($B$1,Database!$A$1:$C$1,),))</f>
        <v/>
      </c>
      <c r="C4778">
        <f>IF(VLOOKUP(Table7[[#This Row],[Date]],Database!$A:$C,MATCH($C$1,Database!$A$1:$C$1,),)=0,#N/A,VLOOKUP(Table7[[#This Row],[Date]],Database!$A:$C,MATCH($C$1,Database!$A$1:$C$1,),))</f>
        <v/>
      </c>
      <c r="D4778">
        <f>IFERROR(Table7[[#This Row],[United States 10y]]-Table7[[#This Row],[United States 3y]],#N/A)</f>
        <v/>
      </c>
    </row>
    <row r="4779">
      <c r="A4779" s="6">
        <f>Database!$A6864</f>
        <v/>
      </c>
      <c r="B4779">
        <f>IF(VLOOKUP(Table7[[#This Row],[Date]],Database!$A:$C,MATCH($B$1,Database!$A$1:$C$1,),)=0,#N/A,VLOOKUP(Table7[[#This Row],[Date]],Database!$A:$C,MATCH($B$1,Database!$A$1:$C$1,),))</f>
        <v/>
      </c>
      <c r="C4779">
        <f>IF(VLOOKUP(Table7[[#This Row],[Date]],Database!$A:$C,MATCH($C$1,Database!$A$1:$C$1,),)=0,#N/A,VLOOKUP(Table7[[#This Row],[Date]],Database!$A:$C,MATCH($C$1,Database!$A$1:$C$1,),))</f>
        <v/>
      </c>
      <c r="D4779">
        <f>IFERROR(Table7[[#This Row],[United States 10y]]-Table7[[#This Row],[United States 3y]],#N/A)</f>
        <v/>
      </c>
    </row>
    <row r="4780">
      <c r="A4780" s="6">
        <f>Database!$A6865</f>
        <v/>
      </c>
      <c r="B4780">
        <f>IF(VLOOKUP(Table7[[#This Row],[Date]],Database!$A:$C,MATCH($B$1,Database!$A$1:$C$1,),)=0,#N/A,VLOOKUP(Table7[[#This Row],[Date]],Database!$A:$C,MATCH($B$1,Database!$A$1:$C$1,),))</f>
        <v/>
      </c>
      <c r="C4780">
        <f>IF(VLOOKUP(Table7[[#This Row],[Date]],Database!$A:$C,MATCH($C$1,Database!$A$1:$C$1,),)=0,#N/A,VLOOKUP(Table7[[#This Row],[Date]],Database!$A:$C,MATCH($C$1,Database!$A$1:$C$1,),))</f>
        <v/>
      </c>
      <c r="D4780">
        <f>IFERROR(Table7[[#This Row],[United States 10y]]-Table7[[#This Row],[United States 3y]],#N/A)</f>
        <v/>
      </c>
    </row>
    <row r="4781">
      <c r="A4781" s="6">
        <f>Database!$A6866</f>
        <v/>
      </c>
      <c r="B4781">
        <f>IF(VLOOKUP(Table7[[#This Row],[Date]],Database!$A:$C,MATCH($B$1,Database!$A$1:$C$1,),)=0,#N/A,VLOOKUP(Table7[[#This Row],[Date]],Database!$A:$C,MATCH($B$1,Database!$A$1:$C$1,),))</f>
        <v/>
      </c>
      <c r="C4781">
        <f>IF(VLOOKUP(Table7[[#This Row],[Date]],Database!$A:$C,MATCH($C$1,Database!$A$1:$C$1,),)=0,#N/A,VLOOKUP(Table7[[#This Row],[Date]],Database!$A:$C,MATCH($C$1,Database!$A$1:$C$1,),))</f>
        <v/>
      </c>
      <c r="D4781">
        <f>IFERROR(Table7[[#This Row],[United States 10y]]-Table7[[#This Row],[United States 3y]],#N/A)</f>
        <v/>
      </c>
    </row>
    <row r="4782">
      <c r="A4782" s="6">
        <f>Database!$A6867</f>
        <v/>
      </c>
      <c r="B4782">
        <f>IF(VLOOKUP(Table7[[#This Row],[Date]],Database!$A:$C,MATCH($B$1,Database!$A$1:$C$1,),)=0,#N/A,VLOOKUP(Table7[[#This Row],[Date]],Database!$A:$C,MATCH($B$1,Database!$A$1:$C$1,),))</f>
        <v/>
      </c>
      <c r="C4782">
        <f>IF(VLOOKUP(Table7[[#This Row],[Date]],Database!$A:$C,MATCH($C$1,Database!$A$1:$C$1,),)=0,#N/A,VLOOKUP(Table7[[#This Row],[Date]],Database!$A:$C,MATCH($C$1,Database!$A$1:$C$1,),))</f>
        <v/>
      </c>
      <c r="D4782">
        <f>IFERROR(Table7[[#This Row],[United States 10y]]-Table7[[#This Row],[United States 3y]],#N/A)</f>
        <v/>
      </c>
    </row>
    <row r="4783">
      <c r="A4783" s="6">
        <f>Database!$A6868</f>
        <v/>
      </c>
      <c r="B4783">
        <f>IF(VLOOKUP(Table7[[#This Row],[Date]],Database!$A:$C,MATCH($B$1,Database!$A$1:$C$1,),)=0,#N/A,VLOOKUP(Table7[[#This Row],[Date]],Database!$A:$C,MATCH($B$1,Database!$A$1:$C$1,),))</f>
        <v/>
      </c>
      <c r="C4783">
        <f>IF(VLOOKUP(Table7[[#This Row],[Date]],Database!$A:$C,MATCH($C$1,Database!$A$1:$C$1,),)=0,#N/A,VLOOKUP(Table7[[#This Row],[Date]],Database!$A:$C,MATCH($C$1,Database!$A$1:$C$1,),))</f>
        <v/>
      </c>
      <c r="D4783">
        <f>IFERROR(Table7[[#This Row],[United States 10y]]-Table7[[#This Row],[United States 3y]],#N/A)</f>
        <v/>
      </c>
    </row>
    <row r="4784">
      <c r="A4784" s="6">
        <f>Database!$A6869</f>
        <v/>
      </c>
      <c r="B4784">
        <f>IF(VLOOKUP(Table7[[#This Row],[Date]],Database!$A:$C,MATCH($B$1,Database!$A$1:$C$1,),)=0,#N/A,VLOOKUP(Table7[[#This Row],[Date]],Database!$A:$C,MATCH($B$1,Database!$A$1:$C$1,),))</f>
        <v/>
      </c>
      <c r="C4784">
        <f>IF(VLOOKUP(Table7[[#This Row],[Date]],Database!$A:$C,MATCH($C$1,Database!$A$1:$C$1,),)=0,#N/A,VLOOKUP(Table7[[#This Row],[Date]],Database!$A:$C,MATCH($C$1,Database!$A$1:$C$1,),))</f>
        <v/>
      </c>
      <c r="D4784">
        <f>IFERROR(Table7[[#This Row],[United States 10y]]-Table7[[#This Row],[United States 3y]],#N/A)</f>
        <v/>
      </c>
    </row>
    <row r="4785">
      <c r="A4785" s="6">
        <f>Database!$A6870</f>
        <v/>
      </c>
      <c r="B4785">
        <f>IF(VLOOKUP(Table7[[#This Row],[Date]],Database!$A:$C,MATCH($B$1,Database!$A$1:$C$1,),)=0,#N/A,VLOOKUP(Table7[[#This Row],[Date]],Database!$A:$C,MATCH($B$1,Database!$A$1:$C$1,),))</f>
        <v/>
      </c>
      <c r="C4785">
        <f>IF(VLOOKUP(Table7[[#This Row],[Date]],Database!$A:$C,MATCH($C$1,Database!$A$1:$C$1,),)=0,#N/A,VLOOKUP(Table7[[#This Row],[Date]],Database!$A:$C,MATCH($C$1,Database!$A$1:$C$1,),))</f>
        <v/>
      </c>
      <c r="D4785">
        <f>IFERROR(Table7[[#This Row],[United States 10y]]-Table7[[#This Row],[United States 3y]],#N/A)</f>
        <v/>
      </c>
    </row>
    <row r="4786">
      <c r="A4786" s="6">
        <f>Database!$A6871</f>
        <v/>
      </c>
      <c r="B4786">
        <f>IF(VLOOKUP(Table7[[#This Row],[Date]],Database!$A:$C,MATCH($B$1,Database!$A$1:$C$1,),)=0,#N/A,VLOOKUP(Table7[[#This Row],[Date]],Database!$A:$C,MATCH($B$1,Database!$A$1:$C$1,),))</f>
        <v/>
      </c>
      <c r="C4786">
        <f>IF(VLOOKUP(Table7[[#This Row],[Date]],Database!$A:$C,MATCH($C$1,Database!$A$1:$C$1,),)=0,#N/A,VLOOKUP(Table7[[#This Row],[Date]],Database!$A:$C,MATCH($C$1,Database!$A$1:$C$1,),))</f>
        <v/>
      </c>
      <c r="D4786">
        <f>IFERROR(Table7[[#This Row],[United States 10y]]-Table7[[#This Row],[United States 3y]],#N/A)</f>
        <v/>
      </c>
    </row>
    <row r="4787">
      <c r="A4787" s="6">
        <f>Database!$A6872</f>
        <v/>
      </c>
      <c r="B4787">
        <f>IF(VLOOKUP(Table7[[#This Row],[Date]],Database!$A:$C,MATCH($B$1,Database!$A$1:$C$1,),)=0,#N/A,VLOOKUP(Table7[[#This Row],[Date]],Database!$A:$C,MATCH($B$1,Database!$A$1:$C$1,),))</f>
        <v/>
      </c>
      <c r="C4787">
        <f>IF(VLOOKUP(Table7[[#This Row],[Date]],Database!$A:$C,MATCH($C$1,Database!$A$1:$C$1,),)=0,#N/A,VLOOKUP(Table7[[#This Row],[Date]],Database!$A:$C,MATCH($C$1,Database!$A$1:$C$1,),))</f>
        <v/>
      </c>
      <c r="D4787">
        <f>IFERROR(Table7[[#This Row],[United States 10y]]-Table7[[#This Row],[United States 3y]],#N/A)</f>
        <v/>
      </c>
    </row>
    <row r="4788">
      <c r="A4788" s="6">
        <f>Database!$A6873</f>
        <v/>
      </c>
      <c r="B4788">
        <f>IF(VLOOKUP(Table7[[#This Row],[Date]],Database!$A:$C,MATCH($B$1,Database!$A$1:$C$1,),)=0,#N/A,VLOOKUP(Table7[[#This Row],[Date]],Database!$A:$C,MATCH($B$1,Database!$A$1:$C$1,),))</f>
        <v/>
      </c>
      <c r="C4788">
        <f>IF(VLOOKUP(Table7[[#This Row],[Date]],Database!$A:$C,MATCH($C$1,Database!$A$1:$C$1,),)=0,#N/A,VLOOKUP(Table7[[#This Row],[Date]],Database!$A:$C,MATCH($C$1,Database!$A$1:$C$1,),))</f>
        <v/>
      </c>
      <c r="D4788">
        <f>IFERROR(Table7[[#This Row],[United States 10y]]-Table7[[#This Row],[United States 3y]],#N/A)</f>
        <v/>
      </c>
    </row>
    <row r="4789">
      <c r="A4789" s="6">
        <f>Database!$A6874</f>
        <v/>
      </c>
      <c r="B4789">
        <f>IF(VLOOKUP(Table7[[#This Row],[Date]],Database!$A:$C,MATCH($B$1,Database!$A$1:$C$1,),)=0,#N/A,VLOOKUP(Table7[[#This Row],[Date]],Database!$A:$C,MATCH($B$1,Database!$A$1:$C$1,),))</f>
        <v/>
      </c>
      <c r="C4789">
        <f>IF(VLOOKUP(Table7[[#This Row],[Date]],Database!$A:$C,MATCH($C$1,Database!$A$1:$C$1,),)=0,#N/A,VLOOKUP(Table7[[#This Row],[Date]],Database!$A:$C,MATCH($C$1,Database!$A$1:$C$1,),))</f>
        <v/>
      </c>
      <c r="D4789">
        <f>IFERROR(Table7[[#This Row],[United States 10y]]-Table7[[#This Row],[United States 3y]],#N/A)</f>
        <v/>
      </c>
    </row>
    <row r="4790">
      <c r="A4790" s="6">
        <f>Database!$A6875</f>
        <v/>
      </c>
      <c r="B4790">
        <f>IF(VLOOKUP(Table7[[#This Row],[Date]],Database!$A:$C,MATCH($B$1,Database!$A$1:$C$1,),)=0,#N/A,VLOOKUP(Table7[[#This Row],[Date]],Database!$A:$C,MATCH($B$1,Database!$A$1:$C$1,),))</f>
        <v/>
      </c>
      <c r="C4790">
        <f>IF(VLOOKUP(Table7[[#This Row],[Date]],Database!$A:$C,MATCH($C$1,Database!$A$1:$C$1,),)=0,#N/A,VLOOKUP(Table7[[#This Row],[Date]],Database!$A:$C,MATCH($C$1,Database!$A$1:$C$1,),))</f>
        <v/>
      </c>
      <c r="D4790">
        <f>IFERROR(Table7[[#This Row],[United States 10y]]-Table7[[#This Row],[United States 3y]],#N/A)</f>
        <v/>
      </c>
    </row>
    <row r="4791">
      <c r="A4791" s="6">
        <f>Database!$A6876</f>
        <v/>
      </c>
      <c r="B4791">
        <f>IF(VLOOKUP(Table7[[#This Row],[Date]],Database!$A:$C,MATCH($B$1,Database!$A$1:$C$1,),)=0,#N/A,VLOOKUP(Table7[[#This Row],[Date]],Database!$A:$C,MATCH($B$1,Database!$A$1:$C$1,),))</f>
        <v/>
      </c>
      <c r="C4791">
        <f>IF(VLOOKUP(Table7[[#This Row],[Date]],Database!$A:$C,MATCH($C$1,Database!$A$1:$C$1,),)=0,#N/A,VLOOKUP(Table7[[#This Row],[Date]],Database!$A:$C,MATCH($C$1,Database!$A$1:$C$1,),))</f>
        <v/>
      </c>
      <c r="D4791">
        <f>IFERROR(Table7[[#This Row],[United States 10y]]-Table7[[#This Row],[United States 3y]],#N/A)</f>
        <v/>
      </c>
    </row>
    <row r="4792">
      <c r="A4792" s="6">
        <f>Database!$A6877</f>
        <v/>
      </c>
      <c r="B4792">
        <f>IF(VLOOKUP(Table7[[#This Row],[Date]],Database!$A:$C,MATCH($B$1,Database!$A$1:$C$1,),)=0,#N/A,VLOOKUP(Table7[[#This Row],[Date]],Database!$A:$C,MATCH($B$1,Database!$A$1:$C$1,),))</f>
        <v/>
      </c>
      <c r="C4792">
        <f>IF(VLOOKUP(Table7[[#This Row],[Date]],Database!$A:$C,MATCH($C$1,Database!$A$1:$C$1,),)=0,#N/A,VLOOKUP(Table7[[#This Row],[Date]],Database!$A:$C,MATCH($C$1,Database!$A$1:$C$1,),))</f>
        <v/>
      </c>
      <c r="D4792">
        <f>IFERROR(Table7[[#This Row],[United States 10y]]-Table7[[#This Row],[United States 3y]],#N/A)</f>
        <v/>
      </c>
    </row>
    <row r="4793">
      <c r="A4793" s="6">
        <f>Database!$A6878</f>
        <v/>
      </c>
      <c r="B4793">
        <f>IF(VLOOKUP(Table7[[#This Row],[Date]],Database!$A:$C,MATCH($B$1,Database!$A$1:$C$1,),)=0,#N/A,VLOOKUP(Table7[[#This Row],[Date]],Database!$A:$C,MATCH($B$1,Database!$A$1:$C$1,),))</f>
        <v/>
      </c>
      <c r="C4793">
        <f>IF(VLOOKUP(Table7[[#This Row],[Date]],Database!$A:$C,MATCH($C$1,Database!$A$1:$C$1,),)=0,#N/A,VLOOKUP(Table7[[#This Row],[Date]],Database!$A:$C,MATCH($C$1,Database!$A$1:$C$1,),))</f>
        <v/>
      </c>
      <c r="D4793">
        <f>IFERROR(Table7[[#This Row],[United States 10y]]-Table7[[#This Row],[United States 3y]],#N/A)</f>
        <v/>
      </c>
    </row>
    <row r="4794">
      <c r="A4794" s="6">
        <f>Database!$A6879</f>
        <v/>
      </c>
      <c r="B4794">
        <f>IF(VLOOKUP(Table7[[#This Row],[Date]],Database!$A:$C,MATCH($B$1,Database!$A$1:$C$1,),)=0,#N/A,VLOOKUP(Table7[[#This Row],[Date]],Database!$A:$C,MATCH($B$1,Database!$A$1:$C$1,),))</f>
        <v/>
      </c>
      <c r="C4794">
        <f>IF(VLOOKUP(Table7[[#This Row],[Date]],Database!$A:$C,MATCH($C$1,Database!$A$1:$C$1,),)=0,#N/A,VLOOKUP(Table7[[#This Row],[Date]],Database!$A:$C,MATCH($C$1,Database!$A$1:$C$1,),))</f>
        <v/>
      </c>
      <c r="D4794">
        <f>IFERROR(Table7[[#This Row],[United States 10y]]-Table7[[#This Row],[United States 3y]],#N/A)</f>
        <v/>
      </c>
    </row>
    <row r="4795">
      <c r="A4795" s="6">
        <f>Database!$A6880</f>
        <v/>
      </c>
      <c r="B4795">
        <f>IF(VLOOKUP(Table7[[#This Row],[Date]],Database!$A:$C,MATCH($B$1,Database!$A$1:$C$1,),)=0,#N/A,VLOOKUP(Table7[[#This Row],[Date]],Database!$A:$C,MATCH($B$1,Database!$A$1:$C$1,),))</f>
        <v/>
      </c>
      <c r="C4795">
        <f>IF(VLOOKUP(Table7[[#This Row],[Date]],Database!$A:$C,MATCH($C$1,Database!$A$1:$C$1,),)=0,#N/A,VLOOKUP(Table7[[#This Row],[Date]],Database!$A:$C,MATCH($C$1,Database!$A$1:$C$1,),))</f>
        <v/>
      </c>
      <c r="D4795">
        <f>IFERROR(Table7[[#This Row],[United States 10y]]-Table7[[#This Row],[United States 3y]],#N/A)</f>
        <v/>
      </c>
    </row>
    <row r="4796">
      <c r="A4796" s="6">
        <f>Database!$A6881</f>
        <v/>
      </c>
      <c r="B4796">
        <f>IF(VLOOKUP(Table7[[#This Row],[Date]],Database!$A:$C,MATCH($B$1,Database!$A$1:$C$1,),)=0,#N/A,VLOOKUP(Table7[[#This Row],[Date]],Database!$A:$C,MATCH($B$1,Database!$A$1:$C$1,),))</f>
        <v/>
      </c>
      <c r="C4796">
        <f>IF(VLOOKUP(Table7[[#This Row],[Date]],Database!$A:$C,MATCH($C$1,Database!$A$1:$C$1,),)=0,#N/A,VLOOKUP(Table7[[#This Row],[Date]],Database!$A:$C,MATCH($C$1,Database!$A$1:$C$1,),))</f>
        <v/>
      </c>
      <c r="D4796">
        <f>IFERROR(Table7[[#This Row],[United States 10y]]-Table7[[#This Row],[United States 3y]],#N/A)</f>
        <v/>
      </c>
    </row>
    <row r="4797">
      <c r="A4797" s="6">
        <f>Database!$A6882</f>
        <v/>
      </c>
      <c r="B4797">
        <f>IF(VLOOKUP(Table7[[#This Row],[Date]],Database!$A:$C,MATCH($B$1,Database!$A$1:$C$1,),)=0,#N/A,VLOOKUP(Table7[[#This Row],[Date]],Database!$A:$C,MATCH($B$1,Database!$A$1:$C$1,),))</f>
        <v/>
      </c>
      <c r="C4797">
        <f>IF(VLOOKUP(Table7[[#This Row],[Date]],Database!$A:$C,MATCH($C$1,Database!$A$1:$C$1,),)=0,#N/A,VLOOKUP(Table7[[#This Row],[Date]],Database!$A:$C,MATCH($C$1,Database!$A$1:$C$1,),))</f>
        <v/>
      </c>
      <c r="D4797">
        <f>IFERROR(Table7[[#This Row],[United States 10y]]-Table7[[#This Row],[United States 3y]],#N/A)</f>
        <v/>
      </c>
    </row>
    <row r="4798">
      <c r="A4798" s="6">
        <f>Database!$A6883</f>
        <v/>
      </c>
      <c r="B4798">
        <f>IF(VLOOKUP(Table7[[#This Row],[Date]],Database!$A:$C,MATCH($B$1,Database!$A$1:$C$1,),)=0,#N/A,VLOOKUP(Table7[[#This Row],[Date]],Database!$A:$C,MATCH($B$1,Database!$A$1:$C$1,),))</f>
        <v/>
      </c>
      <c r="C4798">
        <f>IF(VLOOKUP(Table7[[#This Row],[Date]],Database!$A:$C,MATCH($C$1,Database!$A$1:$C$1,),)=0,#N/A,VLOOKUP(Table7[[#This Row],[Date]],Database!$A:$C,MATCH($C$1,Database!$A$1:$C$1,),))</f>
        <v/>
      </c>
      <c r="D4798">
        <f>IFERROR(Table7[[#This Row],[United States 10y]]-Table7[[#This Row],[United States 3y]],#N/A)</f>
        <v/>
      </c>
    </row>
    <row r="4799">
      <c r="A4799" s="6">
        <f>Database!$A6884</f>
        <v/>
      </c>
      <c r="B4799">
        <f>IF(VLOOKUP(Table7[[#This Row],[Date]],Database!$A:$C,MATCH($B$1,Database!$A$1:$C$1,),)=0,#N/A,VLOOKUP(Table7[[#This Row],[Date]],Database!$A:$C,MATCH($B$1,Database!$A$1:$C$1,),))</f>
        <v/>
      </c>
      <c r="C4799">
        <f>IF(VLOOKUP(Table7[[#This Row],[Date]],Database!$A:$C,MATCH($C$1,Database!$A$1:$C$1,),)=0,#N/A,VLOOKUP(Table7[[#This Row],[Date]],Database!$A:$C,MATCH($C$1,Database!$A$1:$C$1,),))</f>
        <v/>
      </c>
      <c r="D4799">
        <f>IFERROR(Table7[[#This Row],[United States 10y]]-Table7[[#This Row],[United States 3y]],#N/A)</f>
        <v/>
      </c>
    </row>
    <row r="4800">
      <c r="A4800" s="6">
        <f>Database!$A6885</f>
        <v/>
      </c>
      <c r="B4800">
        <f>IF(VLOOKUP(Table7[[#This Row],[Date]],Database!$A:$C,MATCH($B$1,Database!$A$1:$C$1,),)=0,#N/A,VLOOKUP(Table7[[#This Row],[Date]],Database!$A:$C,MATCH($B$1,Database!$A$1:$C$1,),))</f>
        <v/>
      </c>
      <c r="C4800">
        <f>IF(VLOOKUP(Table7[[#This Row],[Date]],Database!$A:$C,MATCH($C$1,Database!$A$1:$C$1,),)=0,#N/A,VLOOKUP(Table7[[#This Row],[Date]],Database!$A:$C,MATCH($C$1,Database!$A$1:$C$1,),))</f>
        <v/>
      </c>
      <c r="D4800">
        <f>IFERROR(Table7[[#This Row],[United States 10y]]-Table7[[#This Row],[United States 3y]],#N/A)</f>
        <v/>
      </c>
    </row>
    <row r="4801">
      <c r="A4801" s="6">
        <f>Database!$A6886</f>
        <v/>
      </c>
      <c r="B4801">
        <f>IF(VLOOKUP(Table7[[#This Row],[Date]],Database!$A:$C,MATCH($B$1,Database!$A$1:$C$1,),)=0,#N/A,VLOOKUP(Table7[[#This Row],[Date]],Database!$A:$C,MATCH($B$1,Database!$A$1:$C$1,),))</f>
        <v/>
      </c>
      <c r="C4801">
        <f>IF(VLOOKUP(Table7[[#This Row],[Date]],Database!$A:$C,MATCH($C$1,Database!$A$1:$C$1,),)=0,#N/A,VLOOKUP(Table7[[#This Row],[Date]],Database!$A:$C,MATCH($C$1,Database!$A$1:$C$1,),))</f>
        <v/>
      </c>
      <c r="D4801">
        <f>IFERROR(Table7[[#This Row],[United States 10y]]-Table7[[#This Row],[United States 3y]],#N/A)</f>
        <v/>
      </c>
    </row>
    <row r="4802">
      <c r="A4802" s="6">
        <f>Database!$A6887</f>
        <v/>
      </c>
      <c r="B4802">
        <f>IF(VLOOKUP(Table7[[#This Row],[Date]],Database!$A:$C,MATCH($B$1,Database!$A$1:$C$1,),)=0,#N/A,VLOOKUP(Table7[[#This Row],[Date]],Database!$A:$C,MATCH($B$1,Database!$A$1:$C$1,),))</f>
        <v/>
      </c>
      <c r="C4802">
        <f>IF(VLOOKUP(Table7[[#This Row],[Date]],Database!$A:$C,MATCH($C$1,Database!$A$1:$C$1,),)=0,#N/A,VLOOKUP(Table7[[#This Row],[Date]],Database!$A:$C,MATCH($C$1,Database!$A$1:$C$1,),))</f>
        <v/>
      </c>
      <c r="D4802">
        <f>IFERROR(Table7[[#This Row],[United States 10y]]-Table7[[#This Row],[United States 3y]],#N/A)</f>
        <v/>
      </c>
    </row>
    <row r="4803">
      <c r="A4803" s="6">
        <f>Database!$A6888</f>
        <v/>
      </c>
      <c r="B4803">
        <f>IF(VLOOKUP(Table7[[#This Row],[Date]],Database!$A:$C,MATCH($B$1,Database!$A$1:$C$1,),)=0,#N/A,VLOOKUP(Table7[[#This Row],[Date]],Database!$A:$C,MATCH($B$1,Database!$A$1:$C$1,),))</f>
        <v/>
      </c>
      <c r="C4803">
        <f>IF(VLOOKUP(Table7[[#This Row],[Date]],Database!$A:$C,MATCH($C$1,Database!$A$1:$C$1,),)=0,#N/A,VLOOKUP(Table7[[#This Row],[Date]],Database!$A:$C,MATCH($C$1,Database!$A$1:$C$1,),))</f>
        <v/>
      </c>
      <c r="D4803">
        <f>IFERROR(Table7[[#This Row],[United States 10y]]-Table7[[#This Row],[United States 3y]],#N/A)</f>
        <v/>
      </c>
    </row>
    <row r="4804">
      <c r="A4804" s="6">
        <f>Database!$A6889</f>
        <v/>
      </c>
      <c r="B4804">
        <f>IF(VLOOKUP(Table7[[#This Row],[Date]],Database!$A:$C,MATCH($B$1,Database!$A$1:$C$1,),)=0,#N/A,VLOOKUP(Table7[[#This Row],[Date]],Database!$A:$C,MATCH($B$1,Database!$A$1:$C$1,),))</f>
        <v/>
      </c>
      <c r="C4804">
        <f>IF(VLOOKUP(Table7[[#This Row],[Date]],Database!$A:$C,MATCH($C$1,Database!$A$1:$C$1,),)=0,#N/A,VLOOKUP(Table7[[#This Row],[Date]],Database!$A:$C,MATCH($C$1,Database!$A$1:$C$1,),))</f>
        <v/>
      </c>
      <c r="D4804">
        <f>IFERROR(Table7[[#This Row],[United States 10y]]-Table7[[#This Row],[United States 3y]],#N/A)</f>
        <v/>
      </c>
    </row>
    <row r="4805">
      <c r="A4805" s="6">
        <f>Database!$A6890</f>
        <v/>
      </c>
      <c r="B4805">
        <f>IF(VLOOKUP(Table7[[#This Row],[Date]],Database!$A:$C,MATCH($B$1,Database!$A$1:$C$1,),)=0,#N/A,VLOOKUP(Table7[[#This Row],[Date]],Database!$A:$C,MATCH($B$1,Database!$A$1:$C$1,),))</f>
        <v/>
      </c>
      <c r="C4805">
        <f>IF(VLOOKUP(Table7[[#This Row],[Date]],Database!$A:$C,MATCH($C$1,Database!$A$1:$C$1,),)=0,#N/A,VLOOKUP(Table7[[#This Row],[Date]],Database!$A:$C,MATCH($C$1,Database!$A$1:$C$1,),))</f>
        <v/>
      </c>
      <c r="D4805">
        <f>IFERROR(Table7[[#This Row],[United States 10y]]-Table7[[#This Row],[United States 3y]],#N/A)</f>
        <v/>
      </c>
    </row>
    <row r="4806">
      <c r="A4806" s="6">
        <f>Database!$A6891</f>
        <v/>
      </c>
      <c r="B4806">
        <f>IF(VLOOKUP(Table7[[#This Row],[Date]],Database!$A:$C,MATCH($B$1,Database!$A$1:$C$1,),)=0,#N/A,VLOOKUP(Table7[[#This Row],[Date]],Database!$A:$C,MATCH($B$1,Database!$A$1:$C$1,),))</f>
        <v/>
      </c>
      <c r="C4806">
        <f>IF(VLOOKUP(Table7[[#This Row],[Date]],Database!$A:$C,MATCH($C$1,Database!$A$1:$C$1,),)=0,#N/A,VLOOKUP(Table7[[#This Row],[Date]],Database!$A:$C,MATCH($C$1,Database!$A$1:$C$1,),))</f>
        <v/>
      </c>
      <c r="D4806">
        <f>IFERROR(Table7[[#This Row],[United States 10y]]-Table7[[#This Row],[United States 3y]],#N/A)</f>
        <v/>
      </c>
    </row>
    <row r="4807">
      <c r="A4807" s="6">
        <f>Database!$A6892</f>
        <v/>
      </c>
      <c r="B4807">
        <f>IF(VLOOKUP(Table7[[#This Row],[Date]],Database!$A:$C,MATCH($B$1,Database!$A$1:$C$1,),)=0,#N/A,VLOOKUP(Table7[[#This Row],[Date]],Database!$A:$C,MATCH($B$1,Database!$A$1:$C$1,),))</f>
        <v/>
      </c>
      <c r="C4807">
        <f>IF(VLOOKUP(Table7[[#This Row],[Date]],Database!$A:$C,MATCH($C$1,Database!$A$1:$C$1,),)=0,#N/A,VLOOKUP(Table7[[#This Row],[Date]],Database!$A:$C,MATCH($C$1,Database!$A$1:$C$1,),))</f>
        <v/>
      </c>
      <c r="D4807">
        <f>IFERROR(Table7[[#This Row],[United States 10y]]-Table7[[#This Row],[United States 3y]],#N/A)</f>
        <v/>
      </c>
    </row>
    <row r="4808">
      <c r="A4808" s="6">
        <f>Database!$A6893</f>
        <v/>
      </c>
      <c r="B4808">
        <f>IF(VLOOKUP(Table7[[#This Row],[Date]],Database!$A:$C,MATCH($B$1,Database!$A$1:$C$1,),)=0,#N/A,VLOOKUP(Table7[[#This Row],[Date]],Database!$A:$C,MATCH($B$1,Database!$A$1:$C$1,),))</f>
        <v/>
      </c>
      <c r="C4808">
        <f>IF(VLOOKUP(Table7[[#This Row],[Date]],Database!$A:$C,MATCH($C$1,Database!$A$1:$C$1,),)=0,#N/A,VLOOKUP(Table7[[#This Row],[Date]],Database!$A:$C,MATCH($C$1,Database!$A$1:$C$1,),))</f>
        <v/>
      </c>
      <c r="D4808">
        <f>IFERROR(Table7[[#This Row],[United States 10y]]-Table7[[#This Row],[United States 3y]],#N/A)</f>
        <v/>
      </c>
    </row>
    <row r="4809">
      <c r="A4809" s="6">
        <f>Database!$A6894</f>
        <v/>
      </c>
      <c r="B4809">
        <f>IF(VLOOKUP(Table7[[#This Row],[Date]],Database!$A:$C,MATCH($B$1,Database!$A$1:$C$1,),)=0,#N/A,VLOOKUP(Table7[[#This Row],[Date]],Database!$A:$C,MATCH($B$1,Database!$A$1:$C$1,),))</f>
        <v/>
      </c>
      <c r="C4809">
        <f>IF(VLOOKUP(Table7[[#This Row],[Date]],Database!$A:$C,MATCH($C$1,Database!$A$1:$C$1,),)=0,#N/A,VLOOKUP(Table7[[#This Row],[Date]],Database!$A:$C,MATCH($C$1,Database!$A$1:$C$1,),))</f>
        <v/>
      </c>
      <c r="D4809">
        <f>IFERROR(Table7[[#This Row],[United States 10y]]-Table7[[#This Row],[United States 3y]],#N/A)</f>
        <v/>
      </c>
    </row>
    <row r="4810">
      <c r="A4810" s="6">
        <f>Database!$A6895</f>
        <v/>
      </c>
      <c r="B4810">
        <f>IF(VLOOKUP(Table7[[#This Row],[Date]],Database!$A:$C,MATCH($B$1,Database!$A$1:$C$1,),)=0,#N/A,VLOOKUP(Table7[[#This Row],[Date]],Database!$A:$C,MATCH($B$1,Database!$A$1:$C$1,),))</f>
        <v/>
      </c>
      <c r="C4810">
        <f>IF(VLOOKUP(Table7[[#This Row],[Date]],Database!$A:$C,MATCH($C$1,Database!$A$1:$C$1,),)=0,#N/A,VLOOKUP(Table7[[#This Row],[Date]],Database!$A:$C,MATCH($C$1,Database!$A$1:$C$1,),))</f>
        <v/>
      </c>
      <c r="D4810">
        <f>IFERROR(Table7[[#This Row],[United States 10y]]-Table7[[#This Row],[United States 3y]],#N/A)</f>
        <v/>
      </c>
    </row>
    <row r="4811">
      <c r="A4811" s="6">
        <f>Database!$A6896</f>
        <v/>
      </c>
      <c r="B4811">
        <f>IF(VLOOKUP(Table7[[#This Row],[Date]],Database!$A:$C,MATCH($B$1,Database!$A$1:$C$1,),)=0,#N/A,VLOOKUP(Table7[[#This Row],[Date]],Database!$A:$C,MATCH($B$1,Database!$A$1:$C$1,),))</f>
        <v/>
      </c>
      <c r="C4811">
        <f>IF(VLOOKUP(Table7[[#This Row],[Date]],Database!$A:$C,MATCH($C$1,Database!$A$1:$C$1,),)=0,#N/A,VLOOKUP(Table7[[#This Row],[Date]],Database!$A:$C,MATCH($C$1,Database!$A$1:$C$1,),))</f>
        <v/>
      </c>
      <c r="D4811">
        <f>IFERROR(Table7[[#This Row],[United States 10y]]-Table7[[#This Row],[United States 3y]],#N/A)</f>
        <v/>
      </c>
    </row>
    <row r="4812">
      <c r="A4812" s="6">
        <f>Database!$A6897</f>
        <v/>
      </c>
      <c r="B4812">
        <f>IF(VLOOKUP(Table7[[#This Row],[Date]],Database!$A:$C,MATCH($B$1,Database!$A$1:$C$1,),)=0,#N/A,VLOOKUP(Table7[[#This Row],[Date]],Database!$A:$C,MATCH($B$1,Database!$A$1:$C$1,),))</f>
        <v/>
      </c>
      <c r="C4812">
        <f>IF(VLOOKUP(Table7[[#This Row],[Date]],Database!$A:$C,MATCH($C$1,Database!$A$1:$C$1,),)=0,#N/A,VLOOKUP(Table7[[#This Row],[Date]],Database!$A:$C,MATCH($C$1,Database!$A$1:$C$1,),))</f>
        <v/>
      </c>
      <c r="D4812">
        <f>IFERROR(Table7[[#This Row],[United States 10y]]-Table7[[#This Row],[United States 3y]],#N/A)</f>
        <v/>
      </c>
    </row>
    <row r="4813">
      <c r="A4813" s="6">
        <f>Database!$A6898</f>
        <v/>
      </c>
      <c r="B4813">
        <f>IF(VLOOKUP(Table7[[#This Row],[Date]],Database!$A:$C,MATCH($B$1,Database!$A$1:$C$1,),)=0,#N/A,VLOOKUP(Table7[[#This Row],[Date]],Database!$A:$C,MATCH($B$1,Database!$A$1:$C$1,),))</f>
        <v/>
      </c>
      <c r="C4813">
        <f>IF(VLOOKUP(Table7[[#This Row],[Date]],Database!$A:$C,MATCH($C$1,Database!$A$1:$C$1,),)=0,#N/A,VLOOKUP(Table7[[#This Row],[Date]],Database!$A:$C,MATCH($C$1,Database!$A$1:$C$1,),))</f>
        <v/>
      </c>
      <c r="D4813">
        <f>IFERROR(Table7[[#This Row],[United States 10y]]-Table7[[#This Row],[United States 3y]],#N/A)</f>
        <v/>
      </c>
    </row>
    <row r="4814">
      <c r="A4814" s="6">
        <f>Database!$A6899</f>
        <v/>
      </c>
      <c r="B4814">
        <f>IF(VLOOKUP(Table7[[#This Row],[Date]],Database!$A:$C,MATCH($B$1,Database!$A$1:$C$1,),)=0,#N/A,VLOOKUP(Table7[[#This Row],[Date]],Database!$A:$C,MATCH($B$1,Database!$A$1:$C$1,),))</f>
        <v/>
      </c>
      <c r="C4814">
        <f>IF(VLOOKUP(Table7[[#This Row],[Date]],Database!$A:$C,MATCH($C$1,Database!$A$1:$C$1,),)=0,#N/A,VLOOKUP(Table7[[#This Row],[Date]],Database!$A:$C,MATCH($C$1,Database!$A$1:$C$1,),))</f>
        <v/>
      </c>
      <c r="D4814">
        <f>IFERROR(Table7[[#This Row],[United States 10y]]-Table7[[#This Row],[United States 3y]],#N/A)</f>
        <v/>
      </c>
    </row>
    <row r="4815">
      <c r="A4815" s="6">
        <f>Database!$A6900</f>
        <v/>
      </c>
      <c r="B4815">
        <f>IF(VLOOKUP(Table7[[#This Row],[Date]],Database!$A:$C,MATCH($B$1,Database!$A$1:$C$1,),)=0,#N/A,VLOOKUP(Table7[[#This Row],[Date]],Database!$A:$C,MATCH($B$1,Database!$A$1:$C$1,),))</f>
        <v/>
      </c>
      <c r="C4815">
        <f>IF(VLOOKUP(Table7[[#This Row],[Date]],Database!$A:$C,MATCH($C$1,Database!$A$1:$C$1,),)=0,#N/A,VLOOKUP(Table7[[#This Row],[Date]],Database!$A:$C,MATCH($C$1,Database!$A$1:$C$1,),))</f>
        <v/>
      </c>
      <c r="D4815">
        <f>IFERROR(Table7[[#This Row],[United States 10y]]-Table7[[#This Row],[United States 3y]],#N/A)</f>
        <v/>
      </c>
    </row>
    <row r="4816">
      <c r="A4816" s="6">
        <f>Database!$A6901</f>
        <v/>
      </c>
      <c r="B4816">
        <f>IF(VLOOKUP(Table7[[#This Row],[Date]],Database!$A:$C,MATCH($B$1,Database!$A$1:$C$1,),)=0,#N/A,VLOOKUP(Table7[[#This Row],[Date]],Database!$A:$C,MATCH($B$1,Database!$A$1:$C$1,),))</f>
        <v/>
      </c>
      <c r="C4816">
        <f>IF(VLOOKUP(Table7[[#This Row],[Date]],Database!$A:$C,MATCH($C$1,Database!$A$1:$C$1,),)=0,#N/A,VLOOKUP(Table7[[#This Row],[Date]],Database!$A:$C,MATCH($C$1,Database!$A$1:$C$1,),))</f>
        <v/>
      </c>
      <c r="D4816">
        <f>IFERROR(Table7[[#This Row],[United States 10y]]-Table7[[#This Row],[United States 3y]],#N/A)</f>
        <v/>
      </c>
    </row>
    <row r="4817">
      <c r="A4817" s="6">
        <f>Database!$A6902</f>
        <v/>
      </c>
      <c r="B4817">
        <f>IF(VLOOKUP(Table7[[#This Row],[Date]],Database!$A:$C,MATCH($B$1,Database!$A$1:$C$1,),)=0,#N/A,VLOOKUP(Table7[[#This Row],[Date]],Database!$A:$C,MATCH($B$1,Database!$A$1:$C$1,),))</f>
        <v/>
      </c>
      <c r="C4817">
        <f>IF(VLOOKUP(Table7[[#This Row],[Date]],Database!$A:$C,MATCH($C$1,Database!$A$1:$C$1,),)=0,#N/A,VLOOKUP(Table7[[#This Row],[Date]],Database!$A:$C,MATCH($C$1,Database!$A$1:$C$1,),))</f>
        <v/>
      </c>
      <c r="D4817">
        <f>IFERROR(Table7[[#This Row],[United States 10y]]-Table7[[#This Row],[United States 3y]],#N/A)</f>
        <v/>
      </c>
    </row>
    <row r="4818">
      <c r="A4818" s="6">
        <f>Database!$A6903</f>
        <v/>
      </c>
      <c r="B4818">
        <f>IF(VLOOKUP(Table7[[#This Row],[Date]],Database!$A:$C,MATCH($B$1,Database!$A$1:$C$1,),)=0,#N/A,VLOOKUP(Table7[[#This Row],[Date]],Database!$A:$C,MATCH($B$1,Database!$A$1:$C$1,),))</f>
        <v/>
      </c>
      <c r="C4818">
        <f>IF(VLOOKUP(Table7[[#This Row],[Date]],Database!$A:$C,MATCH($C$1,Database!$A$1:$C$1,),)=0,#N/A,VLOOKUP(Table7[[#This Row],[Date]],Database!$A:$C,MATCH($C$1,Database!$A$1:$C$1,),))</f>
        <v/>
      </c>
      <c r="D4818">
        <f>IFERROR(Table7[[#This Row],[United States 10y]]-Table7[[#This Row],[United States 3y]],#N/A)</f>
        <v/>
      </c>
    </row>
    <row r="4819">
      <c r="A4819" s="6">
        <f>Database!$A6904</f>
        <v/>
      </c>
      <c r="B4819">
        <f>IF(VLOOKUP(Table7[[#This Row],[Date]],Database!$A:$C,MATCH($B$1,Database!$A$1:$C$1,),)=0,#N/A,VLOOKUP(Table7[[#This Row],[Date]],Database!$A:$C,MATCH($B$1,Database!$A$1:$C$1,),))</f>
        <v/>
      </c>
      <c r="C4819">
        <f>IF(VLOOKUP(Table7[[#This Row],[Date]],Database!$A:$C,MATCH($C$1,Database!$A$1:$C$1,),)=0,#N/A,VLOOKUP(Table7[[#This Row],[Date]],Database!$A:$C,MATCH($C$1,Database!$A$1:$C$1,),))</f>
        <v/>
      </c>
      <c r="D4819">
        <f>IFERROR(Table7[[#This Row],[United States 10y]]-Table7[[#This Row],[United States 3y]],#N/A)</f>
        <v/>
      </c>
    </row>
    <row r="4820">
      <c r="A4820" s="6">
        <f>Database!$A6905</f>
        <v/>
      </c>
      <c r="B4820">
        <f>IF(VLOOKUP(Table7[[#This Row],[Date]],Database!$A:$C,MATCH($B$1,Database!$A$1:$C$1,),)=0,#N/A,VLOOKUP(Table7[[#This Row],[Date]],Database!$A:$C,MATCH($B$1,Database!$A$1:$C$1,),))</f>
        <v/>
      </c>
      <c r="C4820">
        <f>IF(VLOOKUP(Table7[[#This Row],[Date]],Database!$A:$C,MATCH($C$1,Database!$A$1:$C$1,),)=0,#N/A,VLOOKUP(Table7[[#This Row],[Date]],Database!$A:$C,MATCH($C$1,Database!$A$1:$C$1,),))</f>
        <v/>
      </c>
      <c r="D4820">
        <f>IFERROR(Table7[[#This Row],[United States 10y]]-Table7[[#This Row],[United States 3y]],#N/A)</f>
        <v/>
      </c>
    </row>
    <row r="4821">
      <c r="A4821" s="6">
        <f>Database!$A6906</f>
        <v/>
      </c>
      <c r="B4821">
        <f>IF(VLOOKUP(Table7[[#This Row],[Date]],Database!$A:$C,MATCH($B$1,Database!$A$1:$C$1,),)=0,#N/A,VLOOKUP(Table7[[#This Row],[Date]],Database!$A:$C,MATCH($B$1,Database!$A$1:$C$1,),))</f>
        <v/>
      </c>
      <c r="C4821">
        <f>IF(VLOOKUP(Table7[[#This Row],[Date]],Database!$A:$C,MATCH($C$1,Database!$A$1:$C$1,),)=0,#N/A,VLOOKUP(Table7[[#This Row],[Date]],Database!$A:$C,MATCH($C$1,Database!$A$1:$C$1,),))</f>
        <v/>
      </c>
      <c r="D4821">
        <f>IFERROR(Table7[[#This Row],[United States 10y]]-Table7[[#This Row],[United States 3y]],#N/A)</f>
        <v/>
      </c>
    </row>
    <row r="4822">
      <c r="A4822" s="6">
        <f>Database!$A6907</f>
        <v/>
      </c>
      <c r="B4822">
        <f>IF(VLOOKUP(Table7[[#This Row],[Date]],Database!$A:$C,MATCH($B$1,Database!$A$1:$C$1,),)=0,#N/A,VLOOKUP(Table7[[#This Row],[Date]],Database!$A:$C,MATCH($B$1,Database!$A$1:$C$1,),))</f>
        <v/>
      </c>
      <c r="C4822">
        <f>IF(VLOOKUP(Table7[[#This Row],[Date]],Database!$A:$C,MATCH($C$1,Database!$A$1:$C$1,),)=0,#N/A,VLOOKUP(Table7[[#This Row],[Date]],Database!$A:$C,MATCH($C$1,Database!$A$1:$C$1,),))</f>
        <v/>
      </c>
      <c r="D4822">
        <f>IFERROR(Table7[[#This Row],[United States 10y]]-Table7[[#This Row],[United States 3y]],#N/A)</f>
        <v/>
      </c>
    </row>
    <row r="4823">
      <c r="A4823" s="6">
        <f>Database!$A6908</f>
        <v/>
      </c>
      <c r="B4823">
        <f>IF(VLOOKUP(Table7[[#This Row],[Date]],Database!$A:$C,MATCH($B$1,Database!$A$1:$C$1,),)=0,#N/A,VLOOKUP(Table7[[#This Row],[Date]],Database!$A:$C,MATCH($B$1,Database!$A$1:$C$1,),))</f>
        <v/>
      </c>
      <c r="C4823">
        <f>IF(VLOOKUP(Table7[[#This Row],[Date]],Database!$A:$C,MATCH($C$1,Database!$A$1:$C$1,),)=0,#N/A,VLOOKUP(Table7[[#This Row],[Date]],Database!$A:$C,MATCH($C$1,Database!$A$1:$C$1,),))</f>
        <v/>
      </c>
      <c r="D4823">
        <f>IFERROR(Table7[[#This Row],[United States 10y]]-Table7[[#This Row],[United States 3y]],#N/A)</f>
        <v/>
      </c>
    </row>
    <row r="4824">
      <c r="A4824" s="6">
        <f>Database!$A6909</f>
        <v/>
      </c>
      <c r="B4824">
        <f>IF(VLOOKUP(Table7[[#This Row],[Date]],Database!$A:$C,MATCH($B$1,Database!$A$1:$C$1,),)=0,#N/A,VLOOKUP(Table7[[#This Row],[Date]],Database!$A:$C,MATCH($B$1,Database!$A$1:$C$1,),))</f>
        <v/>
      </c>
      <c r="C4824">
        <f>IF(VLOOKUP(Table7[[#This Row],[Date]],Database!$A:$C,MATCH($C$1,Database!$A$1:$C$1,),)=0,#N/A,VLOOKUP(Table7[[#This Row],[Date]],Database!$A:$C,MATCH($C$1,Database!$A$1:$C$1,),))</f>
        <v/>
      </c>
      <c r="D4824">
        <f>IFERROR(Table7[[#This Row],[United States 10y]]-Table7[[#This Row],[United States 3y]],#N/A)</f>
        <v/>
      </c>
    </row>
    <row r="4825">
      <c r="A4825" s="6">
        <f>Database!$A6910</f>
        <v/>
      </c>
      <c r="B4825">
        <f>IF(VLOOKUP(Table7[[#This Row],[Date]],Database!$A:$C,MATCH($B$1,Database!$A$1:$C$1,),)=0,#N/A,VLOOKUP(Table7[[#This Row],[Date]],Database!$A:$C,MATCH($B$1,Database!$A$1:$C$1,),))</f>
        <v/>
      </c>
      <c r="C4825">
        <f>IF(VLOOKUP(Table7[[#This Row],[Date]],Database!$A:$C,MATCH($C$1,Database!$A$1:$C$1,),)=0,#N/A,VLOOKUP(Table7[[#This Row],[Date]],Database!$A:$C,MATCH($C$1,Database!$A$1:$C$1,),))</f>
        <v/>
      </c>
      <c r="D4825">
        <f>IFERROR(Table7[[#This Row],[United States 10y]]-Table7[[#This Row],[United States 3y]],#N/A)</f>
        <v/>
      </c>
    </row>
    <row r="4826">
      <c r="A4826" s="6">
        <f>Database!$A6911</f>
        <v/>
      </c>
      <c r="B4826">
        <f>IF(VLOOKUP(Table7[[#This Row],[Date]],Database!$A:$C,MATCH($B$1,Database!$A$1:$C$1,),)=0,#N/A,VLOOKUP(Table7[[#This Row],[Date]],Database!$A:$C,MATCH($B$1,Database!$A$1:$C$1,),))</f>
        <v/>
      </c>
      <c r="C4826">
        <f>IF(VLOOKUP(Table7[[#This Row],[Date]],Database!$A:$C,MATCH($C$1,Database!$A$1:$C$1,),)=0,#N/A,VLOOKUP(Table7[[#This Row],[Date]],Database!$A:$C,MATCH($C$1,Database!$A$1:$C$1,),))</f>
        <v/>
      </c>
      <c r="D4826">
        <f>IFERROR(Table7[[#This Row],[United States 10y]]-Table7[[#This Row],[United States 3y]],#N/A)</f>
        <v/>
      </c>
    </row>
    <row r="4827">
      <c r="A4827" s="6">
        <f>Database!$A6912</f>
        <v/>
      </c>
      <c r="B4827">
        <f>IF(VLOOKUP(Table7[[#This Row],[Date]],Database!$A:$C,MATCH($B$1,Database!$A$1:$C$1,),)=0,#N/A,VLOOKUP(Table7[[#This Row],[Date]],Database!$A:$C,MATCH($B$1,Database!$A$1:$C$1,),))</f>
        <v/>
      </c>
      <c r="C4827">
        <f>IF(VLOOKUP(Table7[[#This Row],[Date]],Database!$A:$C,MATCH($C$1,Database!$A$1:$C$1,),)=0,#N/A,VLOOKUP(Table7[[#This Row],[Date]],Database!$A:$C,MATCH($C$1,Database!$A$1:$C$1,),))</f>
        <v/>
      </c>
      <c r="D4827">
        <f>IFERROR(Table7[[#This Row],[United States 10y]]-Table7[[#This Row],[United States 3y]],#N/A)</f>
        <v/>
      </c>
    </row>
    <row r="4828">
      <c r="A4828" s="6">
        <f>Database!$A6913</f>
        <v/>
      </c>
      <c r="B4828">
        <f>IF(VLOOKUP(Table7[[#This Row],[Date]],Database!$A:$C,MATCH($B$1,Database!$A$1:$C$1,),)=0,#N/A,VLOOKUP(Table7[[#This Row],[Date]],Database!$A:$C,MATCH($B$1,Database!$A$1:$C$1,),))</f>
        <v/>
      </c>
      <c r="C4828">
        <f>IF(VLOOKUP(Table7[[#This Row],[Date]],Database!$A:$C,MATCH($C$1,Database!$A$1:$C$1,),)=0,#N/A,VLOOKUP(Table7[[#This Row],[Date]],Database!$A:$C,MATCH($C$1,Database!$A$1:$C$1,),))</f>
        <v/>
      </c>
      <c r="D4828">
        <f>IFERROR(Table7[[#This Row],[United States 10y]]-Table7[[#This Row],[United States 3y]],#N/A)</f>
        <v/>
      </c>
    </row>
    <row r="4829">
      <c r="A4829" s="6">
        <f>Database!$A6914</f>
        <v/>
      </c>
      <c r="B4829">
        <f>IF(VLOOKUP(Table7[[#This Row],[Date]],Database!$A:$C,MATCH($B$1,Database!$A$1:$C$1,),)=0,#N/A,VLOOKUP(Table7[[#This Row],[Date]],Database!$A:$C,MATCH($B$1,Database!$A$1:$C$1,),))</f>
        <v/>
      </c>
      <c r="C4829">
        <f>IF(VLOOKUP(Table7[[#This Row],[Date]],Database!$A:$C,MATCH($C$1,Database!$A$1:$C$1,),)=0,#N/A,VLOOKUP(Table7[[#This Row],[Date]],Database!$A:$C,MATCH($C$1,Database!$A$1:$C$1,),))</f>
        <v/>
      </c>
      <c r="D4829">
        <f>IFERROR(Table7[[#This Row],[United States 10y]]-Table7[[#This Row],[United States 3y]],#N/A)</f>
        <v/>
      </c>
    </row>
    <row r="4830">
      <c r="A4830" s="6">
        <f>Database!$A6915</f>
        <v/>
      </c>
      <c r="B4830">
        <f>IF(VLOOKUP(Table7[[#This Row],[Date]],Database!$A:$C,MATCH($B$1,Database!$A$1:$C$1,),)=0,#N/A,VLOOKUP(Table7[[#This Row],[Date]],Database!$A:$C,MATCH($B$1,Database!$A$1:$C$1,),))</f>
        <v/>
      </c>
      <c r="C4830">
        <f>IF(VLOOKUP(Table7[[#This Row],[Date]],Database!$A:$C,MATCH($C$1,Database!$A$1:$C$1,),)=0,#N/A,VLOOKUP(Table7[[#This Row],[Date]],Database!$A:$C,MATCH($C$1,Database!$A$1:$C$1,),))</f>
        <v/>
      </c>
      <c r="D4830">
        <f>IFERROR(Table7[[#This Row],[United States 10y]]-Table7[[#This Row],[United States 3y]],#N/A)</f>
        <v/>
      </c>
    </row>
    <row r="4831">
      <c r="A4831" s="6">
        <f>Database!$A6916</f>
        <v/>
      </c>
      <c r="B4831">
        <f>IF(VLOOKUP(Table7[[#This Row],[Date]],Database!$A:$C,MATCH($B$1,Database!$A$1:$C$1,),)=0,#N/A,VLOOKUP(Table7[[#This Row],[Date]],Database!$A:$C,MATCH($B$1,Database!$A$1:$C$1,),))</f>
        <v/>
      </c>
      <c r="C4831">
        <f>IF(VLOOKUP(Table7[[#This Row],[Date]],Database!$A:$C,MATCH($C$1,Database!$A$1:$C$1,),)=0,#N/A,VLOOKUP(Table7[[#This Row],[Date]],Database!$A:$C,MATCH($C$1,Database!$A$1:$C$1,),))</f>
        <v/>
      </c>
      <c r="D4831">
        <f>IFERROR(Table7[[#This Row],[United States 10y]]-Table7[[#This Row],[United States 3y]],#N/A)</f>
        <v/>
      </c>
    </row>
    <row r="4832">
      <c r="A4832" s="6">
        <f>Database!$A6917</f>
        <v/>
      </c>
      <c r="B4832">
        <f>IF(VLOOKUP(Table7[[#This Row],[Date]],Database!$A:$C,MATCH($B$1,Database!$A$1:$C$1,),)=0,#N/A,VLOOKUP(Table7[[#This Row],[Date]],Database!$A:$C,MATCH($B$1,Database!$A$1:$C$1,),))</f>
        <v/>
      </c>
      <c r="C4832">
        <f>IF(VLOOKUP(Table7[[#This Row],[Date]],Database!$A:$C,MATCH($C$1,Database!$A$1:$C$1,),)=0,#N/A,VLOOKUP(Table7[[#This Row],[Date]],Database!$A:$C,MATCH($C$1,Database!$A$1:$C$1,),))</f>
        <v/>
      </c>
      <c r="D4832">
        <f>IFERROR(Table7[[#This Row],[United States 10y]]-Table7[[#This Row],[United States 3y]],#N/A)</f>
        <v/>
      </c>
    </row>
    <row r="4833">
      <c r="A4833" s="6">
        <f>Database!$A6918</f>
        <v/>
      </c>
      <c r="B4833">
        <f>IF(VLOOKUP(Table7[[#This Row],[Date]],Database!$A:$C,MATCH($B$1,Database!$A$1:$C$1,),)=0,#N/A,VLOOKUP(Table7[[#This Row],[Date]],Database!$A:$C,MATCH($B$1,Database!$A$1:$C$1,),))</f>
        <v/>
      </c>
      <c r="C4833">
        <f>IF(VLOOKUP(Table7[[#This Row],[Date]],Database!$A:$C,MATCH($C$1,Database!$A$1:$C$1,),)=0,#N/A,VLOOKUP(Table7[[#This Row],[Date]],Database!$A:$C,MATCH($C$1,Database!$A$1:$C$1,),))</f>
        <v/>
      </c>
      <c r="D4833">
        <f>IFERROR(Table7[[#This Row],[United States 10y]]-Table7[[#This Row],[United States 3y]],#N/A)</f>
        <v/>
      </c>
    </row>
    <row r="4834">
      <c r="A4834" s="6">
        <f>Database!$A6919</f>
        <v/>
      </c>
      <c r="B4834">
        <f>IF(VLOOKUP(Table7[[#This Row],[Date]],Database!$A:$C,MATCH($B$1,Database!$A$1:$C$1,),)=0,#N/A,VLOOKUP(Table7[[#This Row],[Date]],Database!$A:$C,MATCH($B$1,Database!$A$1:$C$1,),))</f>
        <v/>
      </c>
      <c r="C4834">
        <f>IF(VLOOKUP(Table7[[#This Row],[Date]],Database!$A:$C,MATCH($C$1,Database!$A$1:$C$1,),)=0,#N/A,VLOOKUP(Table7[[#This Row],[Date]],Database!$A:$C,MATCH($C$1,Database!$A$1:$C$1,),))</f>
        <v/>
      </c>
      <c r="D4834">
        <f>IFERROR(Table7[[#This Row],[United States 10y]]-Table7[[#This Row],[United States 3y]],#N/A)</f>
        <v/>
      </c>
    </row>
    <row r="4835">
      <c r="A4835" s="6">
        <f>Database!$A6920</f>
        <v/>
      </c>
      <c r="B4835">
        <f>IF(VLOOKUP(Table7[[#This Row],[Date]],Database!$A:$C,MATCH($B$1,Database!$A$1:$C$1,),)=0,#N/A,VLOOKUP(Table7[[#This Row],[Date]],Database!$A:$C,MATCH($B$1,Database!$A$1:$C$1,),))</f>
        <v/>
      </c>
      <c r="C4835">
        <f>IF(VLOOKUP(Table7[[#This Row],[Date]],Database!$A:$C,MATCH($C$1,Database!$A$1:$C$1,),)=0,#N/A,VLOOKUP(Table7[[#This Row],[Date]],Database!$A:$C,MATCH($C$1,Database!$A$1:$C$1,),))</f>
        <v/>
      </c>
      <c r="D4835">
        <f>IFERROR(Table7[[#This Row],[United States 10y]]-Table7[[#This Row],[United States 3y]],#N/A)</f>
        <v/>
      </c>
    </row>
    <row r="4836">
      <c r="A4836" s="6">
        <f>Database!$A6921</f>
        <v/>
      </c>
      <c r="B4836">
        <f>IF(VLOOKUP(Table7[[#This Row],[Date]],Database!$A:$C,MATCH($B$1,Database!$A$1:$C$1,),)=0,#N/A,VLOOKUP(Table7[[#This Row],[Date]],Database!$A:$C,MATCH($B$1,Database!$A$1:$C$1,),))</f>
        <v/>
      </c>
      <c r="C4836">
        <f>IF(VLOOKUP(Table7[[#This Row],[Date]],Database!$A:$C,MATCH($C$1,Database!$A$1:$C$1,),)=0,#N/A,VLOOKUP(Table7[[#This Row],[Date]],Database!$A:$C,MATCH($C$1,Database!$A$1:$C$1,),))</f>
        <v/>
      </c>
      <c r="D4836">
        <f>IFERROR(Table7[[#This Row],[United States 10y]]-Table7[[#This Row],[United States 3y]],#N/A)</f>
        <v/>
      </c>
    </row>
    <row r="4837">
      <c r="A4837" s="6">
        <f>Database!$A6922</f>
        <v/>
      </c>
      <c r="B4837">
        <f>IF(VLOOKUP(Table7[[#This Row],[Date]],Database!$A:$C,MATCH($B$1,Database!$A$1:$C$1,),)=0,#N/A,VLOOKUP(Table7[[#This Row],[Date]],Database!$A:$C,MATCH($B$1,Database!$A$1:$C$1,),))</f>
        <v/>
      </c>
      <c r="C4837">
        <f>IF(VLOOKUP(Table7[[#This Row],[Date]],Database!$A:$C,MATCH($C$1,Database!$A$1:$C$1,),)=0,#N/A,VLOOKUP(Table7[[#This Row],[Date]],Database!$A:$C,MATCH($C$1,Database!$A$1:$C$1,),))</f>
        <v/>
      </c>
      <c r="D4837">
        <f>IFERROR(Table7[[#This Row],[United States 10y]]-Table7[[#This Row],[United States 3y]],#N/A)</f>
        <v/>
      </c>
    </row>
    <row r="4838">
      <c r="A4838" s="6">
        <f>Database!$A6923</f>
        <v/>
      </c>
      <c r="B4838">
        <f>IF(VLOOKUP(Table7[[#This Row],[Date]],Database!$A:$C,MATCH($B$1,Database!$A$1:$C$1,),)=0,#N/A,VLOOKUP(Table7[[#This Row],[Date]],Database!$A:$C,MATCH($B$1,Database!$A$1:$C$1,),))</f>
        <v/>
      </c>
      <c r="C4838">
        <f>IF(VLOOKUP(Table7[[#This Row],[Date]],Database!$A:$C,MATCH($C$1,Database!$A$1:$C$1,),)=0,#N/A,VLOOKUP(Table7[[#This Row],[Date]],Database!$A:$C,MATCH($C$1,Database!$A$1:$C$1,),))</f>
        <v/>
      </c>
      <c r="D4838">
        <f>IFERROR(Table7[[#This Row],[United States 10y]]-Table7[[#This Row],[United States 3y]],#N/A)</f>
        <v/>
      </c>
    </row>
    <row r="4839">
      <c r="A4839" s="6">
        <f>Database!$A6924</f>
        <v/>
      </c>
      <c r="B4839">
        <f>IF(VLOOKUP(Table7[[#This Row],[Date]],Database!$A:$C,MATCH($B$1,Database!$A$1:$C$1,),)=0,#N/A,VLOOKUP(Table7[[#This Row],[Date]],Database!$A:$C,MATCH($B$1,Database!$A$1:$C$1,),))</f>
        <v/>
      </c>
      <c r="C4839">
        <f>IF(VLOOKUP(Table7[[#This Row],[Date]],Database!$A:$C,MATCH($C$1,Database!$A$1:$C$1,),)=0,#N/A,VLOOKUP(Table7[[#This Row],[Date]],Database!$A:$C,MATCH($C$1,Database!$A$1:$C$1,),))</f>
        <v/>
      </c>
      <c r="D4839">
        <f>IFERROR(Table7[[#This Row],[United States 10y]]-Table7[[#This Row],[United States 3y]],#N/A)</f>
        <v/>
      </c>
    </row>
    <row r="4840">
      <c r="A4840" s="6">
        <f>Database!$A6925</f>
        <v/>
      </c>
      <c r="B4840">
        <f>IF(VLOOKUP(Table7[[#This Row],[Date]],Database!$A:$C,MATCH($B$1,Database!$A$1:$C$1,),)=0,#N/A,VLOOKUP(Table7[[#This Row],[Date]],Database!$A:$C,MATCH($B$1,Database!$A$1:$C$1,),))</f>
        <v/>
      </c>
      <c r="C4840">
        <f>IF(VLOOKUP(Table7[[#This Row],[Date]],Database!$A:$C,MATCH($C$1,Database!$A$1:$C$1,),)=0,#N/A,VLOOKUP(Table7[[#This Row],[Date]],Database!$A:$C,MATCH($C$1,Database!$A$1:$C$1,),))</f>
        <v/>
      </c>
      <c r="D4840">
        <f>IFERROR(Table7[[#This Row],[United States 10y]]-Table7[[#This Row],[United States 3y]],#N/A)</f>
        <v/>
      </c>
    </row>
    <row r="4841">
      <c r="A4841" s="6">
        <f>Database!$A6926</f>
        <v/>
      </c>
      <c r="B4841">
        <f>IF(VLOOKUP(Table7[[#This Row],[Date]],Database!$A:$C,MATCH($B$1,Database!$A$1:$C$1,),)=0,#N/A,VLOOKUP(Table7[[#This Row],[Date]],Database!$A:$C,MATCH($B$1,Database!$A$1:$C$1,),))</f>
        <v/>
      </c>
      <c r="C4841">
        <f>IF(VLOOKUP(Table7[[#This Row],[Date]],Database!$A:$C,MATCH($C$1,Database!$A$1:$C$1,),)=0,#N/A,VLOOKUP(Table7[[#This Row],[Date]],Database!$A:$C,MATCH($C$1,Database!$A$1:$C$1,),))</f>
        <v/>
      </c>
      <c r="D4841">
        <f>IFERROR(Table7[[#This Row],[United States 10y]]-Table7[[#This Row],[United States 3y]],#N/A)</f>
        <v/>
      </c>
    </row>
    <row r="4842">
      <c r="A4842" s="6">
        <f>Database!$A6927</f>
        <v/>
      </c>
      <c r="B4842">
        <f>IF(VLOOKUP(Table7[[#This Row],[Date]],Database!$A:$C,MATCH($B$1,Database!$A$1:$C$1,),)=0,#N/A,VLOOKUP(Table7[[#This Row],[Date]],Database!$A:$C,MATCH($B$1,Database!$A$1:$C$1,),))</f>
        <v/>
      </c>
      <c r="C4842">
        <f>IF(VLOOKUP(Table7[[#This Row],[Date]],Database!$A:$C,MATCH($C$1,Database!$A$1:$C$1,),)=0,#N/A,VLOOKUP(Table7[[#This Row],[Date]],Database!$A:$C,MATCH($C$1,Database!$A$1:$C$1,),))</f>
        <v/>
      </c>
      <c r="D4842">
        <f>IFERROR(Table7[[#This Row],[United States 10y]]-Table7[[#This Row],[United States 3y]],#N/A)</f>
        <v/>
      </c>
    </row>
    <row r="4843">
      <c r="A4843" s="6">
        <f>Database!$A6928</f>
        <v/>
      </c>
      <c r="B4843">
        <f>IF(VLOOKUP(Table7[[#This Row],[Date]],Database!$A:$C,MATCH($B$1,Database!$A$1:$C$1,),)=0,#N/A,VLOOKUP(Table7[[#This Row],[Date]],Database!$A:$C,MATCH($B$1,Database!$A$1:$C$1,),))</f>
        <v/>
      </c>
      <c r="C4843">
        <f>IF(VLOOKUP(Table7[[#This Row],[Date]],Database!$A:$C,MATCH($C$1,Database!$A$1:$C$1,),)=0,#N/A,VLOOKUP(Table7[[#This Row],[Date]],Database!$A:$C,MATCH($C$1,Database!$A$1:$C$1,),))</f>
        <v/>
      </c>
      <c r="D4843">
        <f>IFERROR(Table7[[#This Row],[United States 10y]]-Table7[[#This Row],[United States 3y]],#N/A)</f>
        <v/>
      </c>
    </row>
    <row r="4844">
      <c r="A4844" s="6">
        <f>Database!$A6929</f>
        <v/>
      </c>
      <c r="B4844">
        <f>IF(VLOOKUP(Table7[[#This Row],[Date]],Database!$A:$C,MATCH($B$1,Database!$A$1:$C$1,),)=0,#N/A,VLOOKUP(Table7[[#This Row],[Date]],Database!$A:$C,MATCH($B$1,Database!$A$1:$C$1,),))</f>
        <v/>
      </c>
      <c r="C4844">
        <f>IF(VLOOKUP(Table7[[#This Row],[Date]],Database!$A:$C,MATCH($C$1,Database!$A$1:$C$1,),)=0,#N/A,VLOOKUP(Table7[[#This Row],[Date]],Database!$A:$C,MATCH($C$1,Database!$A$1:$C$1,),))</f>
        <v/>
      </c>
      <c r="D4844">
        <f>IFERROR(Table7[[#This Row],[United States 10y]]-Table7[[#This Row],[United States 3y]],#N/A)</f>
        <v/>
      </c>
    </row>
    <row r="4845">
      <c r="A4845" s="6">
        <f>Database!$A6930</f>
        <v/>
      </c>
      <c r="B4845">
        <f>IF(VLOOKUP(Table7[[#This Row],[Date]],Database!$A:$C,MATCH($B$1,Database!$A$1:$C$1,),)=0,#N/A,VLOOKUP(Table7[[#This Row],[Date]],Database!$A:$C,MATCH($B$1,Database!$A$1:$C$1,),))</f>
        <v/>
      </c>
      <c r="C4845">
        <f>IF(VLOOKUP(Table7[[#This Row],[Date]],Database!$A:$C,MATCH($C$1,Database!$A$1:$C$1,),)=0,#N/A,VLOOKUP(Table7[[#This Row],[Date]],Database!$A:$C,MATCH($C$1,Database!$A$1:$C$1,),))</f>
        <v/>
      </c>
      <c r="D4845">
        <f>IFERROR(Table7[[#This Row],[United States 10y]]-Table7[[#This Row],[United States 3y]],#N/A)</f>
        <v/>
      </c>
    </row>
    <row r="4846">
      <c r="A4846" s="6">
        <f>Database!$A6931</f>
        <v/>
      </c>
      <c r="B4846">
        <f>IF(VLOOKUP(Table7[[#This Row],[Date]],Database!$A:$C,MATCH($B$1,Database!$A$1:$C$1,),)=0,#N/A,VLOOKUP(Table7[[#This Row],[Date]],Database!$A:$C,MATCH($B$1,Database!$A$1:$C$1,),))</f>
        <v/>
      </c>
      <c r="C4846">
        <f>IF(VLOOKUP(Table7[[#This Row],[Date]],Database!$A:$C,MATCH($C$1,Database!$A$1:$C$1,),)=0,#N/A,VLOOKUP(Table7[[#This Row],[Date]],Database!$A:$C,MATCH($C$1,Database!$A$1:$C$1,),))</f>
        <v/>
      </c>
      <c r="D4846">
        <f>IFERROR(Table7[[#This Row],[United States 10y]]-Table7[[#This Row],[United States 3y]],#N/A)</f>
        <v/>
      </c>
    </row>
    <row r="4847">
      <c r="A4847" s="6">
        <f>Database!$A6932</f>
        <v/>
      </c>
      <c r="B4847">
        <f>IF(VLOOKUP(Table7[[#This Row],[Date]],Database!$A:$C,MATCH($B$1,Database!$A$1:$C$1,),)=0,#N/A,VLOOKUP(Table7[[#This Row],[Date]],Database!$A:$C,MATCH($B$1,Database!$A$1:$C$1,),))</f>
        <v/>
      </c>
      <c r="C4847">
        <f>IF(VLOOKUP(Table7[[#This Row],[Date]],Database!$A:$C,MATCH($C$1,Database!$A$1:$C$1,),)=0,#N/A,VLOOKUP(Table7[[#This Row],[Date]],Database!$A:$C,MATCH($C$1,Database!$A$1:$C$1,),))</f>
        <v/>
      </c>
      <c r="D4847">
        <f>IFERROR(Table7[[#This Row],[United States 10y]]-Table7[[#This Row],[United States 3y]],#N/A)</f>
        <v/>
      </c>
    </row>
    <row r="4848">
      <c r="A4848" s="6">
        <f>Database!$A6933</f>
        <v/>
      </c>
      <c r="B4848">
        <f>IF(VLOOKUP(Table7[[#This Row],[Date]],Database!$A:$C,MATCH($B$1,Database!$A$1:$C$1,),)=0,#N/A,VLOOKUP(Table7[[#This Row],[Date]],Database!$A:$C,MATCH($B$1,Database!$A$1:$C$1,),))</f>
        <v/>
      </c>
      <c r="C4848">
        <f>IF(VLOOKUP(Table7[[#This Row],[Date]],Database!$A:$C,MATCH($C$1,Database!$A$1:$C$1,),)=0,#N/A,VLOOKUP(Table7[[#This Row],[Date]],Database!$A:$C,MATCH($C$1,Database!$A$1:$C$1,),))</f>
        <v/>
      </c>
      <c r="D4848">
        <f>IFERROR(Table7[[#This Row],[United States 10y]]-Table7[[#This Row],[United States 3y]],#N/A)</f>
        <v/>
      </c>
    </row>
    <row r="4849">
      <c r="A4849" s="6">
        <f>Database!$A6934</f>
        <v/>
      </c>
      <c r="B4849">
        <f>IF(VLOOKUP(Table7[[#This Row],[Date]],Database!$A:$C,MATCH($B$1,Database!$A$1:$C$1,),)=0,#N/A,VLOOKUP(Table7[[#This Row],[Date]],Database!$A:$C,MATCH($B$1,Database!$A$1:$C$1,),))</f>
        <v/>
      </c>
      <c r="C4849">
        <f>IF(VLOOKUP(Table7[[#This Row],[Date]],Database!$A:$C,MATCH($C$1,Database!$A$1:$C$1,),)=0,#N/A,VLOOKUP(Table7[[#This Row],[Date]],Database!$A:$C,MATCH($C$1,Database!$A$1:$C$1,),))</f>
        <v/>
      </c>
      <c r="D4849">
        <f>IFERROR(Table7[[#This Row],[United States 10y]]-Table7[[#This Row],[United States 3y]],#N/A)</f>
        <v/>
      </c>
    </row>
    <row r="4850">
      <c r="A4850" s="6">
        <f>Database!$A6935</f>
        <v/>
      </c>
      <c r="B4850">
        <f>IF(VLOOKUP(Table7[[#This Row],[Date]],Database!$A:$C,MATCH($B$1,Database!$A$1:$C$1,),)=0,#N/A,VLOOKUP(Table7[[#This Row],[Date]],Database!$A:$C,MATCH($B$1,Database!$A$1:$C$1,),))</f>
        <v/>
      </c>
      <c r="C4850">
        <f>IF(VLOOKUP(Table7[[#This Row],[Date]],Database!$A:$C,MATCH($C$1,Database!$A$1:$C$1,),)=0,#N/A,VLOOKUP(Table7[[#This Row],[Date]],Database!$A:$C,MATCH($C$1,Database!$A$1:$C$1,),))</f>
        <v/>
      </c>
      <c r="D4850">
        <f>IFERROR(Table7[[#This Row],[United States 10y]]-Table7[[#This Row],[United States 3y]],#N/A)</f>
        <v/>
      </c>
    </row>
    <row r="4851">
      <c r="A4851" s="6">
        <f>Database!$A6936</f>
        <v/>
      </c>
      <c r="B4851">
        <f>IF(VLOOKUP(Table7[[#This Row],[Date]],Database!$A:$C,MATCH($B$1,Database!$A$1:$C$1,),)=0,#N/A,VLOOKUP(Table7[[#This Row],[Date]],Database!$A:$C,MATCH($B$1,Database!$A$1:$C$1,),))</f>
        <v/>
      </c>
      <c r="C4851">
        <f>IF(VLOOKUP(Table7[[#This Row],[Date]],Database!$A:$C,MATCH($C$1,Database!$A$1:$C$1,),)=0,#N/A,VLOOKUP(Table7[[#This Row],[Date]],Database!$A:$C,MATCH($C$1,Database!$A$1:$C$1,),))</f>
        <v/>
      </c>
      <c r="D4851">
        <f>IFERROR(Table7[[#This Row],[United States 10y]]-Table7[[#This Row],[United States 3y]],#N/A)</f>
        <v/>
      </c>
    </row>
    <row r="4852">
      <c r="A4852" s="6">
        <f>Database!$A6937</f>
        <v/>
      </c>
      <c r="B4852">
        <f>IF(VLOOKUP(Table7[[#This Row],[Date]],Database!$A:$C,MATCH($B$1,Database!$A$1:$C$1,),)=0,#N/A,VLOOKUP(Table7[[#This Row],[Date]],Database!$A:$C,MATCH($B$1,Database!$A$1:$C$1,),))</f>
        <v/>
      </c>
      <c r="C4852">
        <f>IF(VLOOKUP(Table7[[#This Row],[Date]],Database!$A:$C,MATCH($C$1,Database!$A$1:$C$1,),)=0,#N/A,VLOOKUP(Table7[[#This Row],[Date]],Database!$A:$C,MATCH($C$1,Database!$A$1:$C$1,),))</f>
        <v/>
      </c>
      <c r="D4852">
        <f>IFERROR(Table7[[#This Row],[United States 10y]]-Table7[[#This Row],[United States 3y]],#N/A)</f>
        <v/>
      </c>
    </row>
    <row r="4853">
      <c r="A4853" s="6">
        <f>Database!$A6938</f>
        <v/>
      </c>
      <c r="B4853">
        <f>IF(VLOOKUP(Table7[[#This Row],[Date]],Database!$A:$C,MATCH($B$1,Database!$A$1:$C$1,),)=0,#N/A,VLOOKUP(Table7[[#This Row],[Date]],Database!$A:$C,MATCH($B$1,Database!$A$1:$C$1,),))</f>
        <v/>
      </c>
      <c r="C4853">
        <f>IF(VLOOKUP(Table7[[#This Row],[Date]],Database!$A:$C,MATCH($C$1,Database!$A$1:$C$1,),)=0,#N/A,VLOOKUP(Table7[[#This Row],[Date]],Database!$A:$C,MATCH($C$1,Database!$A$1:$C$1,),))</f>
        <v/>
      </c>
      <c r="D4853">
        <f>IFERROR(Table7[[#This Row],[United States 10y]]-Table7[[#This Row],[United States 3y]],#N/A)</f>
        <v/>
      </c>
    </row>
    <row r="4854">
      <c r="A4854" s="6">
        <f>Database!$A6939</f>
        <v/>
      </c>
      <c r="B4854">
        <f>IF(VLOOKUP(Table7[[#This Row],[Date]],Database!$A:$C,MATCH($B$1,Database!$A$1:$C$1,),)=0,#N/A,VLOOKUP(Table7[[#This Row],[Date]],Database!$A:$C,MATCH($B$1,Database!$A$1:$C$1,),))</f>
        <v/>
      </c>
      <c r="C4854">
        <f>IF(VLOOKUP(Table7[[#This Row],[Date]],Database!$A:$C,MATCH($C$1,Database!$A$1:$C$1,),)=0,#N/A,VLOOKUP(Table7[[#This Row],[Date]],Database!$A:$C,MATCH($C$1,Database!$A$1:$C$1,),))</f>
        <v/>
      </c>
      <c r="D4854">
        <f>IFERROR(Table7[[#This Row],[United States 10y]]-Table7[[#This Row],[United States 3y]],#N/A)</f>
        <v/>
      </c>
    </row>
    <row r="4855">
      <c r="A4855" s="6">
        <f>Database!$A6940</f>
        <v/>
      </c>
      <c r="B4855">
        <f>IF(VLOOKUP(Table7[[#This Row],[Date]],Database!$A:$C,MATCH($B$1,Database!$A$1:$C$1,),)=0,#N/A,VLOOKUP(Table7[[#This Row],[Date]],Database!$A:$C,MATCH($B$1,Database!$A$1:$C$1,),))</f>
        <v/>
      </c>
      <c r="C4855">
        <f>IF(VLOOKUP(Table7[[#This Row],[Date]],Database!$A:$C,MATCH($C$1,Database!$A$1:$C$1,),)=0,#N/A,VLOOKUP(Table7[[#This Row],[Date]],Database!$A:$C,MATCH($C$1,Database!$A$1:$C$1,),))</f>
        <v/>
      </c>
      <c r="D4855">
        <f>IFERROR(Table7[[#This Row],[United States 10y]]-Table7[[#This Row],[United States 3y]],#N/A)</f>
        <v/>
      </c>
    </row>
    <row r="4856">
      <c r="A4856" s="6">
        <f>Database!$A6941</f>
        <v/>
      </c>
      <c r="B4856">
        <f>IF(VLOOKUP(Table7[[#This Row],[Date]],Database!$A:$C,MATCH($B$1,Database!$A$1:$C$1,),)=0,#N/A,VLOOKUP(Table7[[#This Row],[Date]],Database!$A:$C,MATCH($B$1,Database!$A$1:$C$1,),))</f>
        <v/>
      </c>
      <c r="C4856">
        <f>IF(VLOOKUP(Table7[[#This Row],[Date]],Database!$A:$C,MATCH($C$1,Database!$A$1:$C$1,),)=0,#N/A,VLOOKUP(Table7[[#This Row],[Date]],Database!$A:$C,MATCH($C$1,Database!$A$1:$C$1,),))</f>
        <v/>
      </c>
      <c r="D4856">
        <f>IFERROR(Table7[[#This Row],[United States 10y]]-Table7[[#This Row],[United States 3y]],#N/A)</f>
        <v/>
      </c>
    </row>
    <row r="4857">
      <c r="A4857" s="6">
        <f>Database!$A6942</f>
        <v/>
      </c>
      <c r="B4857">
        <f>IF(VLOOKUP(Table7[[#This Row],[Date]],Database!$A:$C,MATCH($B$1,Database!$A$1:$C$1,),)=0,#N/A,VLOOKUP(Table7[[#This Row],[Date]],Database!$A:$C,MATCH($B$1,Database!$A$1:$C$1,),))</f>
        <v/>
      </c>
      <c r="C4857">
        <f>IF(VLOOKUP(Table7[[#This Row],[Date]],Database!$A:$C,MATCH($C$1,Database!$A$1:$C$1,),)=0,#N/A,VLOOKUP(Table7[[#This Row],[Date]],Database!$A:$C,MATCH($C$1,Database!$A$1:$C$1,),))</f>
        <v/>
      </c>
      <c r="D4857">
        <f>IFERROR(Table7[[#This Row],[United States 10y]]-Table7[[#This Row],[United States 3y]],#N/A)</f>
        <v/>
      </c>
    </row>
    <row r="4858">
      <c r="A4858" s="6">
        <f>Database!$A6943</f>
        <v/>
      </c>
      <c r="B4858">
        <f>IF(VLOOKUP(Table7[[#This Row],[Date]],Database!$A:$C,MATCH($B$1,Database!$A$1:$C$1,),)=0,#N/A,VLOOKUP(Table7[[#This Row],[Date]],Database!$A:$C,MATCH($B$1,Database!$A$1:$C$1,),))</f>
        <v/>
      </c>
      <c r="C4858">
        <f>IF(VLOOKUP(Table7[[#This Row],[Date]],Database!$A:$C,MATCH($C$1,Database!$A$1:$C$1,),)=0,#N/A,VLOOKUP(Table7[[#This Row],[Date]],Database!$A:$C,MATCH($C$1,Database!$A$1:$C$1,),))</f>
        <v/>
      </c>
      <c r="D4858">
        <f>IFERROR(Table7[[#This Row],[United States 10y]]-Table7[[#This Row],[United States 3y]],#N/A)</f>
        <v/>
      </c>
    </row>
    <row r="4859">
      <c r="A4859" s="6">
        <f>Database!$A6944</f>
        <v/>
      </c>
      <c r="B4859">
        <f>IF(VLOOKUP(Table7[[#This Row],[Date]],Database!$A:$C,MATCH($B$1,Database!$A$1:$C$1,),)=0,#N/A,VLOOKUP(Table7[[#This Row],[Date]],Database!$A:$C,MATCH($B$1,Database!$A$1:$C$1,),))</f>
        <v/>
      </c>
      <c r="C4859">
        <f>IF(VLOOKUP(Table7[[#This Row],[Date]],Database!$A:$C,MATCH($C$1,Database!$A$1:$C$1,),)=0,#N/A,VLOOKUP(Table7[[#This Row],[Date]],Database!$A:$C,MATCH($C$1,Database!$A$1:$C$1,),))</f>
        <v/>
      </c>
      <c r="D4859">
        <f>IFERROR(Table7[[#This Row],[United States 10y]]-Table7[[#This Row],[United States 3y]],#N/A)</f>
        <v/>
      </c>
    </row>
    <row r="4860">
      <c r="A4860" s="6">
        <f>Database!$A6945</f>
        <v/>
      </c>
      <c r="B4860">
        <f>IF(VLOOKUP(Table7[[#This Row],[Date]],Database!$A:$C,MATCH($B$1,Database!$A$1:$C$1,),)=0,#N/A,VLOOKUP(Table7[[#This Row],[Date]],Database!$A:$C,MATCH($B$1,Database!$A$1:$C$1,),))</f>
        <v/>
      </c>
      <c r="C4860">
        <f>IF(VLOOKUP(Table7[[#This Row],[Date]],Database!$A:$C,MATCH($C$1,Database!$A$1:$C$1,),)=0,#N/A,VLOOKUP(Table7[[#This Row],[Date]],Database!$A:$C,MATCH($C$1,Database!$A$1:$C$1,),))</f>
        <v/>
      </c>
      <c r="D4860">
        <f>IFERROR(Table7[[#This Row],[United States 10y]]-Table7[[#This Row],[United States 3y]],#N/A)</f>
        <v/>
      </c>
    </row>
    <row r="4861">
      <c r="A4861" s="6">
        <f>Database!$A6946</f>
        <v/>
      </c>
      <c r="B4861">
        <f>IF(VLOOKUP(Table7[[#This Row],[Date]],Database!$A:$C,MATCH($B$1,Database!$A$1:$C$1,),)=0,#N/A,VLOOKUP(Table7[[#This Row],[Date]],Database!$A:$C,MATCH($B$1,Database!$A$1:$C$1,),))</f>
        <v/>
      </c>
      <c r="C4861">
        <f>IF(VLOOKUP(Table7[[#This Row],[Date]],Database!$A:$C,MATCH($C$1,Database!$A$1:$C$1,),)=0,#N/A,VLOOKUP(Table7[[#This Row],[Date]],Database!$A:$C,MATCH($C$1,Database!$A$1:$C$1,),))</f>
        <v/>
      </c>
      <c r="D4861">
        <f>IFERROR(Table7[[#This Row],[United States 10y]]-Table7[[#This Row],[United States 3y]],#N/A)</f>
        <v/>
      </c>
    </row>
    <row r="4862">
      <c r="A4862" s="6">
        <f>Database!$A6947</f>
        <v/>
      </c>
      <c r="B4862">
        <f>IF(VLOOKUP(Table7[[#This Row],[Date]],Database!$A:$C,MATCH($B$1,Database!$A$1:$C$1,),)=0,#N/A,VLOOKUP(Table7[[#This Row],[Date]],Database!$A:$C,MATCH($B$1,Database!$A$1:$C$1,),))</f>
        <v/>
      </c>
      <c r="C4862">
        <f>IF(VLOOKUP(Table7[[#This Row],[Date]],Database!$A:$C,MATCH($C$1,Database!$A$1:$C$1,),)=0,#N/A,VLOOKUP(Table7[[#This Row],[Date]],Database!$A:$C,MATCH($C$1,Database!$A$1:$C$1,),))</f>
        <v/>
      </c>
      <c r="D4862">
        <f>IFERROR(Table7[[#This Row],[United States 10y]]-Table7[[#This Row],[United States 3y]],#N/A)</f>
        <v/>
      </c>
    </row>
    <row r="4863">
      <c r="A4863" s="6">
        <f>Database!$A6948</f>
        <v/>
      </c>
      <c r="B4863">
        <f>IF(VLOOKUP(Table7[[#This Row],[Date]],Database!$A:$C,MATCH($B$1,Database!$A$1:$C$1,),)=0,#N/A,VLOOKUP(Table7[[#This Row],[Date]],Database!$A:$C,MATCH($B$1,Database!$A$1:$C$1,),))</f>
        <v/>
      </c>
      <c r="C4863">
        <f>IF(VLOOKUP(Table7[[#This Row],[Date]],Database!$A:$C,MATCH($C$1,Database!$A$1:$C$1,),)=0,#N/A,VLOOKUP(Table7[[#This Row],[Date]],Database!$A:$C,MATCH($C$1,Database!$A$1:$C$1,),))</f>
        <v/>
      </c>
      <c r="D4863">
        <f>IFERROR(Table7[[#This Row],[United States 10y]]-Table7[[#This Row],[United States 3y]],#N/A)</f>
        <v/>
      </c>
    </row>
    <row r="4864">
      <c r="A4864" s="6">
        <f>Database!$A6949</f>
        <v/>
      </c>
      <c r="B4864">
        <f>IF(VLOOKUP(Table7[[#This Row],[Date]],Database!$A:$C,MATCH($B$1,Database!$A$1:$C$1,),)=0,#N/A,VLOOKUP(Table7[[#This Row],[Date]],Database!$A:$C,MATCH($B$1,Database!$A$1:$C$1,),))</f>
        <v/>
      </c>
      <c r="C4864">
        <f>IF(VLOOKUP(Table7[[#This Row],[Date]],Database!$A:$C,MATCH($C$1,Database!$A$1:$C$1,),)=0,#N/A,VLOOKUP(Table7[[#This Row],[Date]],Database!$A:$C,MATCH($C$1,Database!$A$1:$C$1,),))</f>
        <v/>
      </c>
      <c r="D4864">
        <f>IFERROR(Table7[[#This Row],[United States 10y]]-Table7[[#This Row],[United States 3y]],#N/A)</f>
        <v/>
      </c>
    </row>
    <row r="4865">
      <c r="A4865" s="6">
        <f>Database!$A6950</f>
        <v/>
      </c>
      <c r="B4865">
        <f>IF(VLOOKUP(Table7[[#This Row],[Date]],Database!$A:$C,MATCH($B$1,Database!$A$1:$C$1,),)=0,#N/A,VLOOKUP(Table7[[#This Row],[Date]],Database!$A:$C,MATCH($B$1,Database!$A$1:$C$1,),))</f>
        <v/>
      </c>
      <c r="C4865">
        <f>IF(VLOOKUP(Table7[[#This Row],[Date]],Database!$A:$C,MATCH($C$1,Database!$A$1:$C$1,),)=0,#N/A,VLOOKUP(Table7[[#This Row],[Date]],Database!$A:$C,MATCH($C$1,Database!$A$1:$C$1,),))</f>
        <v/>
      </c>
      <c r="D4865">
        <f>IFERROR(Table7[[#This Row],[United States 10y]]-Table7[[#This Row],[United States 3y]],#N/A)</f>
        <v/>
      </c>
    </row>
    <row r="4866">
      <c r="A4866" s="6">
        <f>Database!$A6951</f>
        <v/>
      </c>
      <c r="B4866">
        <f>IF(VLOOKUP(Table7[[#This Row],[Date]],Database!$A:$C,MATCH($B$1,Database!$A$1:$C$1,),)=0,#N/A,VLOOKUP(Table7[[#This Row],[Date]],Database!$A:$C,MATCH($B$1,Database!$A$1:$C$1,),))</f>
        <v/>
      </c>
      <c r="C4866">
        <f>IF(VLOOKUP(Table7[[#This Row],[Date]],Database!$A:$C,MATCH($C$1,Database!$A$1:$C$1,),)=0,#N/A,VLOOKUP(Table7[[#This Row],[Date]],Database!$A:$C,MATCH($C$1,Database!$A$1:$C$1,),))</f>
        <v/>
      </c>
      <c r="D4866">
        <f>IFERROR(Table7[[#This Row],[United States 10y]]-Table7[[#This Row],[United States 3y]],#N/A)</f>
        <v/>
      </c>
    </row>
    <row r="4867">
      <c r="A4867" s="6">
        <f>Database!$A6952</f>
        <v/>
      </c>
      <c r="B4867">
        <f>IF(VLOOKUP(Table7[[#This Row],[Date]],Database!$A:$C,MATCH($B$1,Database!$A$1:$C$1,),)=0,#N/A,VLOOKUP(Table7[[#This Row],[Date]],Database!$A:$C,MATCH($B$1,Database!$A$1:$C$1,),))</f>
        <v/>
      </c>
      <c r="C4867">
        <f>IF(VLOOKUP(Table7[[#This Row],[Date]],Database!$A:$C,MATCH($C$1,Database!$A$1:$C$1,),)=0,#N/A,VLOOKUP(Table7[[#This Row],[Date]],Database!$A:$C,MATCH($C$1,Database!$A$1:$C$1,),))</f>
        <v/>
      </c>
      <c r="D4867">
        <f>IFERROR(Table7[[#This Row],[United States 10y]]-Table7[[#This Row],[United States 3y]],#N/A)</f>
        <v/>
      </c>
    </row>
    <row r="4868">
      <c r="A4868" s="6">
        <f>Database!$A6953</f>
        <v/>
      </c>
      <c r="B4868">
        <f>IF(VLOOKUP(Table7[[#This Row],[Date]],Database!$A:$C,MATCH($B$1,Database!$A$1:$C$1,),)=0,#N/A,VLOOKUP(Table7[[#This Row],[Date]],Database!$A:$C,MATCH($B$1,Database!$A$1:$C$1,),))</f>
        <v/>
      </c>
      <c r="C4868">
        <f>IF(VLOOKUP(Table7[[#This Row],[Date]],Database!$A:$C,MATCH($C$1,Database!$A$1:$C$1,),)=0,#N/A,VLOOKUP(Table7[[#This Row],[Date]],Database!$A:$C,MATCH($C$1,Database!$A$1:$C$1,),))</f>
        <v/>
      </c>
      <c r="D4868">
        <f>IFERROR(Table7[[#This Row],[United States 10y]]-Table7[[#This Row],[United States 3y]],#N/A)</f>
        <v/>
      </c>
    </row>
    <row r="4869">
      <c r="A4869" s="6">
        <f>Database!$A6954</f>
        <v/>
      </c>
      <c r="B4869">
        <f>IF(VLOOKUP(Table7[[#This Row],[Date]],Database!$A:$C,MATCH($B$1,Database!$A$1:$C$1,),)=0,#N/A,VLOOKUP(Table7[[#This Row],[Date]],Database!$A:$C,MATCH($B$1,Database!$A$1:$C$1,),))</f>
        <v/>
      </c>
      <c r="C4869">
        <f>IF(VLOOKUP(Table7[[#This Row],[Date]],Database!$A:$C,MATCH($C$1,Database!$A$1:$C$1,),)=0,#N/A,VLOOKUP(Table7[[#This Row],[Date]],Database!$A:$C,MATCH($C$1,Database!$A$1:$C$1,),))</f>
        <v/>
      </c>
      <c r="D4869">
        <f>IFERROR(Table7[[#This Row],[United States 10y]]-Table7[[#This Row],[United States 3y]],#N/A)</f>
        <v/>
      </c>
    </row>
    <row r="4870">
      <c r="A4870" s="6">
        <f>Database!$A6955</f>
        <v/>
      </c>
      <c r="B4870">
        <f>IF(VLOOKUP(Table7[[#This Row],[Date]],Database!$A:$C,MATCH($B$1,Database!$A$1:$C$1,),)=0,#N/A,VLOOKUP(Table7[[#This Row],[Date]],Database!$A:$C,MATCH($B$1,Database!$A$1:$C$1,),))</f>
        <v/>
      </c>
      <c r="C4870">
        <f>IF(VLOOKUP(Table7[[#This Row],[Date]],Database!$A:$C,MATCH($C$1,Database!$A$1:$C$1,),)=0,#N/A,VLOOKUP(Table7[[#This Row],[Date]],Database!$A:$C,MATCH($C$1,Database!$A$1:$C$1,),))</f>
        <v/>
      </c>
      <c r="D4870">
        <f>IFERROR(Table7[[#This Row],[United States 10y]]-Table7[[#This Row],[United States 3y]],#N/A)</f>
        <v/>
      </c>
    </row>
    <row r="4871">
      <c r="A4871" s="6">
        <f>Database!$A6956</f>
        <v/>
      </c>
      <c r="B4871">
        <f>IF(VLOOKUP(Table7[[#This Row],[Date]],Database!$A:$C,MATCH($B$1,Database!$A$1:$C$1,),)=0,#N/A,VLOOKUP(Table7[[#This Row],[Date]],Database!$A:$C,MATCH($B$1,Database!$A$1:$C$1,),))</f>
        <v/>
      </c>
      <c r="C4871">
        <f>IF(VLOOKUP(Table7[[#This Row],[Date]],Database!$A:$C,MATCH($C$1,Database!$A$1:$C$1,),)=0,#N/A,VLOOKUP(Table7[[#This Row],[Date]],Database!$A:$C,MATCH($C$1,Database!$A$1:$C$1,),))</f>
        <v/>
      </c>
      <c r="D4871">
        <f>IFERROR(Table7[[#This Row],[United States 10y]]-Table7[[#This Row],[United States 3y]],#N/A)</f>
        <v/>
      </c>
    </row>
    <row r="4872">
      <c r="A4872" s="6">
        <f>Database!$A6957</f>
        <v/>
      </c>
      <c r="B4872">
        <f>IF(VLOOKUP(Table7[[#This Row],[Date]],Database!$A:$C,MATCH($B$1,Database!$A$1:$C$1,),)=0,#N/A,VLOOKUP(Table7[[#This Row],[Date]],Database!$A:$C,MATCH($B$1,Database!$A$1:$C$1,),))</f>
        <v/>
      </c>
      <c r="C4872">
        <f>IF(VLOOKUP(Table7[[#This Row],[Date]],Database!$A:$C,MATCH($C$1,Database!$A$1:$C$1,),)=0,#N/A,VLOOKUP(Table7[[#This Row],[Date]],Database!$A:$C,MATCH($C$1,Database!$A$1:$C$1,),))</f>
        <v/>
      </c>
      <c r="D4872">
        <f>IFERROR(Table7[[#This Row],[United States 10y]]-Table7[[#This Row],[United States 3y]],#N/A)</f>
        <v/>
      </c>
    </row>
    <row r="4873">
      <c r="A4873" s="6">
        <f>Database!$A6958</f>
        <v/>
      </c>
      <c r="B4873">
        <f>IF(VLOOKUP(Table7[[#This Row],[Date]],Database!$A:$C,MATCH($B$1,Database!$A$1:$C$1,),)=0,#N/A,VLOOKUP(Table7[[#This Row],[Date]],Database!$A:$C,MATCH($B$1,Database!$A$1:$C$1,),))</f>
        <v/>
      </c>
      <c r="C4873">
        <f>IF(VLOOKUP(Table7[[#This Row],[Date]],Database!$A:$C,MATCH($C$1,Database!$A$1:$C$1,),)=0,#N/A,VLOOKUP(Table7[[#This Row],[Date]],Database!$A:$C,MATCH($C$1,Database!$A$1:$C$1,),))</f>
        <v/>
      </c>
      <c r="D4873">
        <f>IFERROR(Table7[[#This Row],[United States 10y]]-Table7[[#This Row],[United States 3y]],#N/A)</f>
        <v/>
      </c>
    </row>
    <row r="4874">
      <c r="A4874" s="6">
        <f>Database!$A6959</f>
        <v/>
      </c>
      <c r="B4874">
        <f>IF(VLOOKUP(Table7[[#This Row],[Date]],Database!$A:$C,MATCH($B$1,Database!$A$1:$C$1,),)=0,#N/A,VLOOKUP(Table7[[#This Row],[Date]],Database!$A:$C,MATCH($B$1,Database!$A$1:$C$1,),))</f>
        <v/>
      </c>
      <c r="C4874">
        <f>IF(VLOOKUP(Table7[[#This Row],[Date]],Database!$A:$C,MATCH($C$1,Database!$A$1:$C$1,),)=0,#N/A,VLOOKUP(Table7[[#This Row],[Date]],Database!$A:$C,MATCH($C$1,Database!$A$1:$C$1,),))</f>
        <v/>
      </c>
      <c r="D4874">
        <f>IFERROR(Table7[[#This Row],[United States 10y]]-Table7[[#This Row],[United States 3y]],#N/A)</f>
        <v/>
      </c>
    </row>
    <row r="4875">
      <c r="A4875" s="6">
        <f>Database!$A6960</f>
        <v/>
      </c>
      <c r="B4875">
        <f>IF(VLOOKUP(Table7[[#This Row],[Date]],Database!$A:$C,MATCH($B$1,Database!$A$1:$C$1,),)=0,#N/A,VLOOKUP(Table7[[#This Row],[Date]],Database!$A:$C,MATCH($B$1,Database!$A$1:$C$1,),))</f>
        <v/>
      </c>
      <c r="C4875">
        <f>IF(VLOOKUP(Table7[[#This Row],[Date]],Database!$A:$C,MATCH($C$1,Database!$A$1:$C$1,),)=0,#N/A,VLOOKUP(Table7[[#This Row],[Date]],Database!$A:$C,MATCH($C$1,Database!$A$1:$C$1,),))</f>
        <v/>
      </c>
      <c r="D4875">
        <f>IFERROR(Table7[[#This Row],[United States 10y]]-Table7[[#This Row],[United States 3y]],#N/A)</f>
        <v/>
      </c>
    </row>
    <row r="4876">
      <c r="A4876" s="6">
        <f>Database!$A6961</f>
        <v/>
      </c>
      <c r="B4876">
        <f>IF(VLOOKUP(Table7[[#This Row],[Date]],Database!$A:$C,MATCH($B$1,Database!$A$1:$C$1,),)=0,#N/A,VLOOKUP(Table7[[#This Row],[Date]],Database!$A:$C,MATCH($B$1,Database!$A$1:$C$1,),))</f>
        <v/>
      </c>
      <c r="C4876">
        <f>IF(VLOOKUP(Table7[[#This Row],[Date]],Database!$A:$C,MATCH($C$1,Database!$A$1:$C$1,),)=0,#N/A,VLOOKUP(Table7[[#This Row],[Date]],Database!$A:$C,MATCH($C$1,Database!$A$1:$C$1,),))</f>
        <v/>
      </c>
      <c r="D4876">
        <f>IFERROR(Table7[[#This Row],[United States 10y]]-Table7[[#This Row],[United States 3y]],#N/A)</f>
        <v/>
      </c>
    </row>
    <row r="4877">
      <c r="A4877" s="6">
        <f>Database!$A6962</f>
        <v/>
      </c>
      <c r="B4877">
        <f>IF(VLOOKUP(Table7[[#This Row],[Date]],Database!$A:$C,MATCH($B$1,Database!$A$1:$C$1,),)=0,#N/A,VLOOKUP(Table7[[#This Row],[Date]],Database!$A:$C,MATCH($B$1,Database!$A$1:$C$1,),))</f>
        <v/>
      </c>
      <c r="C4877">
        <f>IF(VLOOKUP(Table7[[#This Row],[Date]],Database!$A:$C,MATCH($C$1,Database!$A$1:$C$1,),)=0,#N/A,VLOOKUP(Table7[[#This Row],[Date]],Database!$A:$C,MATCH($C$1,Database!$A$1:$C$1,),))</f>
        <v/>
      </c>
      <c r="D4877">
        <f>IFERROR(Table7[[#This Row],[United States 10y]]-Table7[[#This Row],[United States 3y]],#N/A)</f>
        <v/>
      </c>
    </row>
    <row r="4878">
      <c r="A4878" s="6">
        <f>Database!$A6963</f>
        <v/>
      </c>
      <c r="B4878">
        <f>IF(VLOOKUP(Table7[[#This Row],[Date]],Database!$A:$C,MATCH($B$1,Database!$A$1:$C$1,),)=0,#N/A,VLOOKUP(Table7[[#This Row],[Date]],Database!$A:$C,MATCH($B$1,Database!$A$1:$C$1,),))</f>
        <v/>
      </c>
      <c r="C4878">
        <f>IF(VLOOKUP(Table7[[#This Row],[Date]],Database!$A:$C,MATCH($C$1,Database!$A$1:$C$1,),)=0,#N/A,VLOOKUP(Table7[[#This Row],[Date]],Database!$A:$C,MATCH($C$1,Database!$A$1:$C$1,),))</f>
        <v/>
      </c>
      <c r="D4878">
        <f>IFERROR(Table7[[#This Row],[United States 10y]]-Table7[[#This Row],[United States 3y]],#N/A)</f>
        <v/>
      </c>
    </row>
    <row r="4879">
      <c r="A4879" s="6">
        <f>Database!$A6964</f>
        <v/>
      </c>
      <c r="B4879">
        <f>IF(VLOOKUP(Table7[[#This Row],[Date]],Database!$A:$C,MATCH($B$1,Database!$A$1:$C$1,),)=0,#N/A,VLOOKUP(Table7[[#This Row],[Date]],Database!$A:$C,MATCH($B$1,Database!$A$1:$C$1,),))</f>
        <v/>
      </c>
      <c r="C4879">
        <f>IF(VLOOKUP(Table7[[#This Row],[Date]],Database!$A:$C,MATCH($C$1,Database!$A$1:$C$1,),)=0,#N/A,VLOOKUP(Table7[[#This Row],[Date]],Database!$A:$C,MATCH($C$1,Database!$A$1:$C$1,),))</f>
        <v/>
      </c>
      <c r="D4879">
        <f>IFERROR(Table7[[#This Row],[United States 10y]]-Table7[[#This Row],[United States 3y]],#N/A)</f>
        <v/>
      </c>
    </row>
    <row r="4880">
      <c r="A4880" s="6">
        <f>Database!$A6965</f>
        <v/>
      </c>
      <c r="B4880">
        <f>IF(VLOOKUP(Table7[[#This Row],[Date]],Database!$A:$C,MATCH($B$1,Database!$A$1:$C$1,),)=0,#N/A,VLOOKUP(Table7[[#This Row],[Date]],Database!$A:$C,MATCH($B$1,Database!$A$1:$C$1,),))</f>
        <v/>
      </c>
      <c r="C4880">
        <f>IF(VLOOKUP(Table7[[#This Row],[Date]],Database!$A:$C,MATCH($C$1,Database!$A$1:$C$1,),)=0,#N/A,VLOOKUP(Table7[[#This Row],[Date]],Database!$A:$C,MATCH($C$1,Database!$A$1:$C$1,),))</f>
        <v/>
      </c>
      <c r="D4880">
        <f>IFERROR(Table7[[#This Row],[United States 10y]]-Table7[[#This Row],[United States 3y]],#N/A)</f>
        <v/>
      </c>
    </row>
    <row r="4881">
      <c r="A4881" s="6">
        <f>Database!$A6966</f>
        <v/>
      </c>
      <c r="B4881">
        <f>IF(VLOOKUP(Table7[[#This Row],[Date]],Database!$A:$C,MATCH($B$1,Database!$A$1:$C$1,),)=0,#N/A,VLOOKUP(Table7[[#This Row],[Date]],Database!$A:$C,MATCH($B$1,Database!$A$1:$C$1,),))</f>
        <v/>
      </c>
      <c r="C4881">
        <f>IF(VLOOKUP(Table7[[#This Row],[Date]],Database!$A:$C,MATCH($C$1,Database!$A$1:$C$1,),)=0,#N/A,VLOOKUP(Table7[[#This Row],[Date]],Database!$A:$C,MATCH($C$1,Database!$A$1:$C$1,),))</f>
        <v/>
      </c>
      <c r="D4881">
        <f>IFERROR(Table7[[#This Row],[United States 10y]]-Table7[[#This Row],[United States 3y]],#N/A)</f>
        <v/>
      </c>
    </row>
    <row r="4882">
      <c r="A4882" s="6">
        <f>Database!$A6967</f>
        <v/>
      </c>
      <c r="B4882">
        <f>IF(VLOOKUP(Table7[[#This Row],[Date]],Database!$A:$C,MATCH($B$1,Database!$A$1:$C$1,),)=0,#N/A,VLOOKUP(Table7[[#This Row],[Date]],Database!$A:$C,MATCH($B$1,Database!$A$1:$C$1,),))</f>
        <v/>
      </c>
      <c r="C4882">
        <f>IF(VLOOKUP(Table7[[#This Row],[Date]],Database!$A:$C,MATCH($C$1,Database!$A$1:$C$1,),)=0,#N/A,VLOOKUP(Table7[[#This Row],[Date]],Database!$A:$C,MATCH($C$1,Database!$A$1:$C$1,),))</f>
        <v/>
      </c>
      <c r="D4882">
        <f>IFERROR(Table7[[#This Row],[United States 10y]]-Table7[[#This Row],[United States 3y]],#N/A)</f>
        <v/>
      </c>
    </row>
    <row r="4883">
      <c r="A4883" s="6">
        <f>Database!$A6968</f>
        <v/>
      </c>
      <c r="B4883">
        <f>IF(VLOOKUP(Table7[[#This Row],[Date]],Database!$A:$C,MATCH($B$1,Database!$A$1:$C$1,),)=0,#N/A,VLOOKUP(Table7[[#This Row],[Date]],Database!$A:$C,MATCH($B$1,Database!$A$1:$C$1,),))</f>
        <v/>
      </c>
      <c r="C4883">
        <f>IF(VLOOKUP(Table7[[#This Row],[Date]],Database!$A:$C,MATCH($C$1,Database!$A$1:$C$1,),)=0,#N/A,VLOOKUP(Table7[[#This Row],[Date]],Database!$A:$C,MATCH($C$1,Database!$A$1:$C$1,),))</f>
        <v/>
      </c>
      <c r="D4883">
        <f>IFERROR(Table7[[#This Row],[United States 10y]]-Table7[[#This Row],[United States 3y]],#N/A)</f>
        <v/>
      </c>
    </row>
    <row r="4884">
      <c r="A4884" s="6">
        <f>Database!$A6969</f>
        <v/>
      </c>
      <c r="B4884">
        <f>IF(VLOOKUP(Table7[[#This Row],[Date]],Database!$A:$C,MATCH($B$1,Database!$A$1:$C$1,),)=0,#N/A,VLOOKUP(Table7[[#This Row],[Date]],Database!$A:$C,MATCH($B$1,Database!$A$1:$C$1,),))</f>
        <v/>
      </c>
      <c r="C4884">
        <f>IF(VLOOKUP(Table7[[#This Row],[Date]],Database!$A:$C,MATCH($C$1,Database!$A$1:$C$1,),)=0,#N/A,VLOOKUP(Table7[[#This Row],[Date]],Database!$A:$C,MATCH($C$1,Database!$A$1:$C$1,),))</f>
        <v/>
      </c>
      <c r="D4884">
        <f>IFERROR(Table7[[#This Row],[United States 10y]]-Table7[[#This Row],[United States 3y]],#N/A)</f>
        <v/>
      </c>
    </row>
    <row r="4885">
      <c r="A4885" s="6">
        <f>Database!$A6970</f>
        <v/>
      </c>
      <c r="B4885">
        <f>IF(VLOOKUP(Table7[[#This Row],[Date]],Database!$A:$C,MATCH($B$1,Database!$A$1:$C$1,),)=0,#N/A,VLOOKUP(Table7[[#This Row],[Date]],Database!$A:$C,MATCH($B$1,Database!$A$1:$C$1,),))</f>
        <v/>
      </c>
      <c r="C4885">
        <f>IF(VLOOKUP(Table7[[#This Row],[Date]],Database!$A:$C,MATCH($C$1,Database!$A$1:$C$1,),)=0,#N/A,VLOOKUP(Table7[[#This Row],[Date]],Database!$A:$C,MATCH($C$1,Database!$A$1:$C$1,),))</f>
        <v/>
      </c>
      <c r="D4885">
        <f>IFERROR(Table7[[#This Row],[United States 10y]]-Table7[[#This Row],[United States 3y]],#N/A)</f>
        <v/>
      </c>
    </row>
    <row r="4886">
      <c r="A4886" s="6">
        <f>Database!$A6971</f>
        <v/>
      </c>
      <c r="B4886">
        <f>IF(VLOOKUP(Table7[[#This Row],[Date]],Database!$A:$C,MATCH($B$1,Database!$A$1:$C$1,),)=0,#N/A,VLOOKUP(Table7[[#This Row],[Date]],Database!$A:$C,MATCH($B$1,Database!$A$1:$C$1,),))</f>
        <v/>
      </c>
      <c r="C4886">
        <f>IF(VLOOKUP(Table7[[#This Row],[Date]],Database!$A:$C,MATCH($C$1,Database!$A$1:$C$1,),)=0,#N/A,VLOOKUP(Table7[[#This Row],[Date]],Database!$A:$C,MATCH($C$1,Database!$A$1:$C$1,),))</f>
        <v/>
      </c>
      <c r="D4886">
        <f>IFERROR(Table7[[#This Row],[United States 10y]]-Table7[[#This Row],[United States 3y]],#N/A)</f>
        <v/>
      </c>
    </row>
    <row r="4887">
      <c r="A4887" s="6">
        <f>Database!$A6972</f>
        <v/>
      </c>
      <c r="B4887">
        <f>IF(VLOOKUP(Table7[[#This Row],[Date]],Database!$A:$C,MATCH($B$1,Database!$A$1:$C$1,),)=0,#N/A,VLOOKUP(Table7[[#This Row],[Date]],Database!$A:$C,MATCH($B$1,Database!$A$1:$C$1,),))</f>
        <v/>
      </c>
      <c r="C4887">
        <f>IF(VLOOKUP(Table7[[#This Row],[Date]],Database!$A:$C,MATCH($C$1,Database!$A$1:$C$1,),)=0,#N/A,VLOOKUP(Table7[[#This Row],[Date]],Database!$A:$C,MATCH($C$1,Database!$A$1:$C$1,),))</f>
        <v/>
      </c>
      <c r="D4887">
        <f>IFERROR(Table7[[#This Row],[United States 10y]]-Table7[[#This Row],[United States 3y]],#N/A)</f>
        <v/>
      </c>
    </row>
    <row r="4888">
      <c r="A4888" s="6">
        <f>Database!$A6973</f>
        <v/>
      </c>
      <c r="B4888">
        <f>IF(VLOOKUP(Table7[[#This Row],[Date]],Database!$A:$C,MATCH($B$1,Database!$A$1:$C$1,),)=0,#N/A,VLOOKUP(Table7[[#This Row],[Date]],Database!$A:$C,MATCH($B$1,Database!$A$1:$C$1,),))</f>
        <v/>
      </c>
      <c r="C4888">
        <f>IF(VLOOKUP(Table7[[#This Row],[Date]],Database!$A:$C,MATCH($C$1,Database!$A$1:$C$1,),)=0,#N/A,VLOOKUP(Table7[[#This Row],[Date]],Database!$A:$C,MATCH($C$1,Database!$A$1:$C$1,),))</f>
        <v/>
      </c>
      <c r="D4888">
        <f>IFERROR(Table7[[#This Row],[United States 10y]]-Table7[[#This Row],[United States 3y]],#N/A)</f>
        <v/>
      </c>
    </row>
    <row r="4889">
      <c r="A4889" s="6">
        <f>Database!$A6974</f>
        <v/>
      </c>
      <c r="B4889">
        <f>IF(VLOOKUP(Table7[[#This Row],[Date]],Database!$A:$C,MATCH($B$1,Database!$A$1:$C$1,),)=0,#N/A,VLOOKUP(Table7[[#This Row],[Date]],Database!$A:$C,MATCH($B$1,Database!$A$1:$C$1,),))</f>
        <v/>
      </c>
      <c r="C4889">
        <f>IF(VLOOKUP(Table7[[#This Row],[Date]],Database!$A:$C,MATCH($C$1,Database!$A$1:$C$1,),)=0,#N/A,VLOOKUP(Table7[[#This Row],[Date]],Database!$A:$C,MATCH($C$1,Database!$A$1:$C$1,),))</f>
        <v/>
      </c>
      <c r="D4889">
        <f>IFERROR(Table7[[#This Row],[United States 10y]]-Table7[[#This Row],[United States 3y]],#N/A)</f>
        <v/>
      </c>
    </row>
    <row r="4890">
      <c r="A4890" s="6">
        <f>Database!$A6975</f>
        <v/>
      </c>
      <c r="B4890">
        <f>IF(VLOOKUP(Table7[[#This Row],[Date]],Database!$A:$C,MATCH($B$1,Database!$A$1:$C$1,),)=0,#N/A,VLOOKUP(Table7[[#This Row],[Date]],Database!$A:$C,MATCH($B$1,Database!$A$1:$C$1,),))</f>
        <v/>
      </c>
      <c r="C4890">
        <f>IF(VLOOKUP(Table7[[#This Row],[Date]],Database!$A:$C,MATCH($C$1,Database!$A$1:$C$1,),)=0,#N/A,VLOOKUP(Table7[[#This Row],[Date]],Database!$A:$C,MATCH($C$1,Database!$A$1:$C$1,),))</f>
        <v/>
      </c>
      <c r="D4890">
        <f>IFERROR(Table7[[#This Row],[United States 10y]]-Table7[[#This Row],[United States 3y]],#N/A)</f>
        <v/>
      </c>
    </row>
    <row r="4891">
      <c r="A4891" s="6">
        <f>Database!$A6976</f>
        <v/>
      </c>
      <c r="B4891">
        <f>IF(VLOOKUP(Table7[[#This Row],[Date]],Database!$A:$C,MATCH($B$1,Database!$A$1:$C$1,),)=0,#N/A,VLOOKUP(Table7[[#This Row],[Date]],Database!$A:$C,MATCH($B$1,Database!$A$1:$C$1,),))</f>
        <v/>
      </c>
      <c r="C4891">
        <f>IF(VLOOKUP(Table7[[#This Row],[Date]],Database!$A:$C,MATCH($C$1,Database!$A$1:$C$1,),)=0,#N/A,VLOOKUP(Table7[[#This Row],[Date]],Database!$A:$C,MATCH($C$1,Database!$A$1:$C$1,),))</f>
        <v/>
      </c>
      <c r="D4891">
        <f>IFERROR(Table7[[#This Row],[United States 10y]]-Table7[[#This Row],[United States 3y]],#N/A)</f>
        <v/>
      </c>
    </row>
    <row r="4892">
      <c r="A4892" s="6">
        <f>Database!$A6977</f>
        <v/>
      </c>
      <c r="B4892">
        <f>IF(VLOOKUP(Table7[[#This Row],[Date]],Database!$A:$C,MATCH($B$1,Database!$A$1:$C$1,),)=0,#N/A,VLOOKUP(Table7[[#This Row],[Date]],Database!$A:$C,MATCH($B$1,Database!$A$1:$C$1,),))</f>
        <v/>
      </c>
      <c r="C4892">
        <f>IF(VLOOKUP(Table7[[#This Row],[Date]],Database!$A:$C,MATCH($C$1,Database!$A$1:$C$1,),)=0,#N/A,VLOOKUP(Table7[[#This Row],[Date]],Database!$A:$C,MATCH($C$1,Database!$A$1:$C$1,),))</f>
        <v/>
      </c>
      <c r="D4892">
        <f>IFERROR(Table7[[#This Row],[United States 10y]]-Table7[[#This Row],[United States 3y]],#N/A)</f>
        <v/>
      </c>
    </row>
    <row r="4893">
      <c r="A4893" s="6">
        <f>Database!$A6978</f>
        <v/>
      </c>
      <c r="B4893">
        <f>IF(VLOOKUP(Table7[[#This Row],[Date]],Database!$A:$C,MATCH($B$1,Database!$A$1:$C$1,),)=0,#N/A,VLOOKUP(Table7[[#This Row],[Date]],Database!$A:$C,MATCH($B$1,Database!$A$1:$C$1,),))</f>
        <v/>
      </c>
      <c r="C4893">
        <f>IF(VLOOKUP(Table7[[#This Row],[Date]],Database!$A:$C,MATCH($C$1,Database!$A$1:$C$1,),)=0,#N/A,VLOOKUP(Table7[[#This Row],[Date]],Database!$A:$C,MATCH($C$1,Database!$A$1:$C$1,),))</f>
        <v/>
      </c>
      <c r="D4893">
        <f>IFERROR(Table7[[#This Row],[United States 10y]]-Table7[[#This Row],[United States 3y]],#N/A)</f>
        <v/>
      </c>
    </row>
    <row r="4894">
      <c r="A4894" s="6">
        <f>Database!$A6979</f>
        <v/>
      </c>
      <c r="B4894">
        <f>IF(VLOOKUP(Table7[[#This Row],[Date]],Database!$A:$C,MATCH($B$1,Database!$A$1:$C$1,),)=0,#N/A,VLOOKUP(Table7[[#This Row],[Date]],Database!$A:$C,MATCH($B$1,Database!$A$1:$C$1,),))</f>
        <v/>
      </c>
      <c r="C4894">
        <f>IF(VLOOKUP(Table7[[#This Row],[Date]],Database!$A:$C,MATCH($C$1,Database!$A$1:$C$1,),)=0,#N/A,VLOOKUP(Table7[[#This Row],[Date]],Database!$A:$C,MATCH($C$1,Database!$A$1:$C$1,),))</f>
        <v/>
      </c>
      <c r="D4894">
        <f>IFERROR(Table7[[#This Row],[United States 10y]]-Table7[[#This Row],[United States 3y]],#N/A)</f>
        <v/>
      </c>
    </row>
    <row r="4895">
      <c r="A4895" s="6">
        <f>Database!$A6980</f>
        <v/>
      </c>
      <c r="B4895">
        <f>IF(VLOOKUP(Table7[[#This Row],[Date]],Database!$A:$C,MATCH($B$1,Database!$A$1:$C$1,),)=0,#N/A,VLOOKUP(Table7[[#This Row],[Date]],Database!$A:$C,MATCH($B$1,Database!$A$1:$C$1,),))</f>
        <v/>
      </c>
      <c r="C4895">
        <f>IF(VLOOKUP(Table7[[#This Row],[Date]],Database!$A:$C,MATCH($C$1,Database!$A$1:$C$1,),)=0,#N/A,VLOOKUP(Table7[[#This Row],[Date]],Database!$A:$C,MATCH($C$1,Database!$A$1:$C$1,),))</f>
        <v/>
      </c>
      <c r="D4895">
        <f>IFERROR(Table7[[#This Row],[United States 10y]]-Table7[[#This Row],[United States 3y]],#N/A)</f>
        <v/>
      </c>
    </row>
    <row r="4896">
      <c r="A4896" s="6">
        <f>Database!$A6981</f>
        <v/>
      </c>
      <c r="B4896">
        <f>IF(VLOOKUP(Table7[[#This Row],[Date]],Database!$A:$C,MATCH($B$1,Database!$A$1:$C$1,),)=0,#N/A,VLOOKUP(Table7[[#This Row],[Date]],Database!$A:$C,MATCH($B$1,Database!$A$1:$C$1,),))</f>
        <v/>
      </c>
      <c r="C4896">
        <f>IF(VLOOKUP(Table7[[#This Row],[Date]],Database!$A:$C,MATCH($C$1,Database!$A$1:$C$1,),)=0,#N/A,VLOOKUP(Table7[[#This Row],[Date]],Database!$A:$C,MATCH($C$1,Database!$A$1:$C$1,),))</f>
        <v/>
      </c>
      <c r="D4896">
        <f>IFERROR(Table7[[#This Row],[United States 10y]]-Table7[[#This Row],[United States 3y]],#N/A)</f>
        <v/>
      </c>
    </row>
    <row r="4897">
      <c r="A4897" s="6">
        <f>Database!$A6982</f>
        <v/>
      </c>
      <c r="B4897">
        <f>IF(VLOOKUP(Table7[[#This Row],[Date]],Database!$A:$C,MATCH($B$1,Database!$A$1:$C$1,),)=0,#N/A,VLOOKUP(Table7[[#This Row],[Date]],Database!$A:$C,MATCH($B$1,Database!$A$1:$C$1,),))</f>
        <v/>
      </c>
      <c r="C4897">
        <f>IF(VLOOKUP(Table7[[#This Row],[Date]],Database!$A:$C,MATCH($C$1,Database!$A$1:$C$1,),)=0,#N/A,VLOOKUP(Table7[[#This Row],[Date]],Database!$A:$C,MATCH($C$1,Database!$A$1:$C$1,),))</f>
        <v/>
      </c>
      <c r="D4897">
        <f>IFERROR(Table7[[#This Row],[United States 10y]]-Table7[[#This Row],[United States 3y]],#N/A)</f>
        <v/>
      </c>
    </row>
    <row r="4898">
      <c r="A4898" s="6">
        <f>Database!$A6983</f>
        <v/>
      </c>
      <c r="B4898">
        <f>IF(VLOOKUP(Table7[[#This Row],[Date]],Database!$A:$C,MATCH($B$1,Database!$A$1:$C$1,),)=0,#N/A,VLOOKUP(Table7[[#This Row],[Date]],Database!$A:$C,MATCH($B$1,Database!$A$1:$C$1,),))</f>
        <v/>
      </c>
      <c r="C4898">
        <f>IF(VLOOKUP(Table7[[#This Row],[Date]],Database!$A:$C,MATCH($C$1,Database!$A$1:$C$1,),)=0,#N/A,VLOOKUP(Table7[[#This Row],[Date]],Database!$A:$C,MATCH($C$1,Database!$A$1:$C$1,),))</f>
        <v/>
      </c>
      <c r="D4898">
        <f>IFERROR(Table7[[#This Row],[United States 10y]]-Table7[[#This Row],[United States 3y]],#N/A)</f>
        <v/>
      </c>
    </row>
    <row r="4899">
      <c r="A4899" s="6">
        <f>Database!$A6984</f>
        <v/>
      </c>
      <c r="B4899">
        <f>IF(VLOOKUP(Table7[[#This Row],[Date]],Database!$A:$C,MATCH($B$1,Database!$A$1:$C$1,),)=0,#N/A,VLOOKUP(Table7[[#This Row],[Date]],Database!$A:$C,MATCH($B$1,Database!$A$1:$C$1,),))</f>
        <v/>
      </c>
      <c r="C4899">
        <f>IF(VLOOKUP(Table7[[#This Row],[Date]],Database!$A:$C,MATCH($C$1,Database!$A$1:$C$1,),)=0,#N/A,VLOOKUP(Table7[[#This Row],[Date]],Database!$A:$C,MATCH($C$1,Database!$A$1:$C$1,),))</f>
        <v/>
      </c>
      <c r="D4899">
        <f>IFERROR(Table7[[#This Row],[United States 10y]]-Table7[[#This Row],[United States 3y]],#N/A)</f>
        <v/>
      </c>
    </row>
    <row r="4900">
      <c r="A4900" s="6">
        <f>Database!$A6985</f>
        <v/>
      </c>
      <c r="B4900">
        <f>IF(VLOOKUP(Table7[[#This Row],[Date]],Database!$A:$C,MATCH($B$1,Database!$A$1:$C$1,),)=0,#N/A,VLOOKUP(Table7[[#This Row],[Date]],Database!$A:$C,MATCH($B$1,Database!$A$1:$C$1,),))</f>
        <v/>
      </c>
      <c r="C4900">
        <f>IF(VLOOKUP(Table7[[#This Row],[Date]],Database!$A:$C,MATCH($C$1,Database!$A$1:$C$1,),)=0,#N/A,VLOOKUP(Table7[[#This Row],[Date]],Database!$A:$C,MATCH($C$1,Database!$A$1:$C$1,),))</f>
        <v/>
      </c>
      <c r="D4900">
        <f>IFERROR(Table7[[#This Row],[United States 10y]]-Table7[[#This Row],[United States 3y]],#N/A)</f>
        <v/>
      </c>
    </row>
    <row r="4901">
      <c r="A4901" s="6">
        <f>Database!$A6986</f>
        <v/>
      </c>
      <c r="B4901">
        <f>IF(VLOOKUP(Table7[[#This Row],[Date]],Database!$A:$C,MATCH($B$1,Database!$A$1:$C$1,),)=0,#N/A,VLOOKUP(Table7[[#This Row],[Date]],Database!$A:$C,MATCH($B$1,Database!$A$1:$C$1,),))</f>
        <v/>
      </c>
      <c r="C4901">
        <f>IF(VLOOKUP(Table7[[#This Row],[Date]],Database!$A:$C,MATCH($C$1,Database!$A$1:$C$1,),)=0,#N/A,VLOOKUP(Table7[[#This Row],[Date]],Database!$A:$C,MATCH($C$1,Database!$A$1:$C$1,),))</f>
        <v/>
      </c>
      <c r="D4901">
        <f>IFERROR(Table7[[#This Row],[United States 10y]]-Table7[[#This Row],[United States 3y]],#N/A)</f>
        <v/>
      </c>
    </row>
    <row r="4902">
      <c r="A4902" s="6">
        <f>Database!$A6987</f>
        <v/>
      </c>
      <c r="B4902">
        <f>IF(VLOOKUP(Table7[[#This Row],[Date]],Database!$A:$C,MATCH($B$1,Database!$A$1:$C$1,),)=0,#N/A,VLOOKUP(Table7[[#This Row],[Date]],Database!$A:$C,MATCH($B$1,Database!$A$1:$C$1,),))</f>
        <v/>
      </c>
      <c r="C4902">
        <f>IF(VLOOKUP(Table7[[#This Row],[Date]],Database!$A:$C,MATCH($C$1,Database!$A$1:$C$1,),)=0,#N/A,VLOOKUP(Table7[[#This Row],[Date]],Database!$A:$C,MATCH($C$1,Database!$A$1:$C$1,),))</f>
        <v/>
      </c>
      <c r="D4902">
        <f>IFERROR(Table7[[#This Row],[United States 10y]]-Table7[[#This Row],[United States 3y]],#N/A)</f>
        <v/>
      </c>
    </row>
    <row r="4903">
      <c r="A4903" s="6">
        <f>Database!$A6988</f>
        <v/>
      </c>
      <c r="B4903">
        <f>IF(VLOOKUP(Table7[[#This Row],[Date]],Database!$A:$C,MATCH($B$1,Database!$A$1:$C$1,),)=0,#N/A,VLOOKUP(Table7[[#This Row],[Date]],Database!$A:$C,MATCH($B$1,Database!$A$1:$C$1,),))</f>
        <v/>
      </c>
      <c r="C4903">
        <f>IF(VLOOKUP(Table7[[#This Row],[Date]],Database!$A:$C,MATCH($C$1,Database!$A$1:$C$1,),)=0,#N/A,VLOOKUP(Table7[[#This Row],[Date]],Database!$A:$C,MATCH($C$1,Database!$A$1:$C$1,),))</f>
        <v/>
      </c>
      <c r="D4903">
        <f>IFERROR(Table7[[#This Row],[United States 10y]]-Table7[[#This Row],[United States 3y]],#N/A)</f>
        <v/>
      </c>
    </row>
    <row r="4904">
      <c r="A4904" s="6">
        <f>Database!$A6989</f>
        <v/>
      </c>
      <c r="B4904">
        <f>IF(VLOOKUP(Table7[[#This Row],[Date]],Database!$A:$C,MATCH($B$1,Database!$A$1:$C$1,),)=0,#N/A,VLOOKUP(Table7[[#This Row],[Date]],Database!$A:$C,MATCH($B$1,Database!$A$1:$C$1,),))</f>
        <v/>
      </c>
      <c r="C4904">
        <f>IF(VLOOKUP(Table7[[#This Row],[Date]],Database!$A:$C,MATCH($C$1,Database!$A$1:$C$1,),)=0,#N/A,VLOOKUP(Table7[[#This Row],[Date]],Database!$A:$C,MATCH($C$1,Database!$A$1:$C$1,),))</f>
        <v/>
      </c>
      <c r="D4904">
        <f>IFERROR(Table7[[#This Row],[United States 10y]]-Table7[[#This Row],[United States 3y]],#N/A)</f>
        <v/>
      </c>
    </row>
    <row r="4905">
      <c r="A4905" s="6">
        <f>Database!$A6990</f>
        <v/>
      </c>
      <c r="B4905">
        <f>IF(VLOOKUP(Table7[[#This Row],[Date]],Database!$A:$C,MATCH($B$1,Database!$A$1:$C$1,),)=0,#N/A,VLOOKUP(Table7[[#This Row],[Date]],Database!$A:$C,MATCH($B$1,Database!$A$1:$C$1,),))</f>
        <v/>
      </c>
      <c r="C4905">
        <f>IF(VLOOKUP(Table7[[#This Row],[Date]],Database!$A:$C,MATCH($C$1,Database!$A$1:$C$1,),)=0,#N/A,VLOOKUP(Table7[[#This Row],[Date]],Database!$A:$C,MATCH($C$1,Database!$A$1:$C$1,),))</f>
        <v/>
      </c>
      <c r="D4905">
        <f>IFERROR(Table7[[#This Row],[United States 10y]]-Table7[[#This Row],[United States 3y]],#N/A)</f>
        <v/>
      </c>
    </row>
    <row r="4906">
      <c r="A4906" s="6">
        <f>Database!$A6991</f>
        <v/>
      </c>
      <c r="B4906">
        <f>IF(VLOOKUP(Table7[[#This Row],[Date]],Database!$A:$C,MATCH($B$1,Database!$A$1:$C$1,),)=0,#N/A,VLOOKUP(Table7[[#This Row],[Date]],Database!$A:$C,MATCH($B$1,Database!$A$1:$C$1,),))</f>
        <v/>
      </c>
      <c r="C4906">
        <f>IF(VLOOKUP(Table7[[#This Row],[Date]],Database!$A:$C,MATCH($C$1,Database!$A$1:$C$1,),)=0,#N/A,VLOOKUP(Table7[[#This Row],[Date]],Database!$A:$C,MATCH($C$1,Database!$A$1:$C$1,),))</f>
        <v/>
      </c>
      <c r="D4906">
        <f>IFERROR(Table7[[#This Row],[United States 10y]]-Table7[[#This Row],[United States 3y]],#N/A)</f>
        <v/>
      </c>
    </row>
    <row r="4907">
      <c r="A4907" s="6">
        <f>Database!$A6992</f>
        <v/>
      </c>
      <c r="B4907">
        <f>IF(VLOOKUP(Table7[[#This Row],[Date]],Database!$A:$C,MATCH($B$1,Database!$A$1:$C$1,),)=0,#N/A,VLOOKUP(Table7[[#This Row],[Date]],Database!$A:$C,MATCH($B$1,Database!$A$1:$C$1,),))</f>
        <v/>
      </c>
      <c r="C4907">
        <f>IF(VLOOKUP(Table7[[#This Row],[Date]],Database!$A:$C,MATCH($C$1,Database!$A$1:$C$1,),)=0,#N/A,VLOOKUP(Table7[[#This Row],[Date]],Database!$A:$C,MATCH($C$1,Database!$A$1:$C$1,),))</f>
        <v/>
      </c>
      <c r="D4907">
        <f>IFERROR(Table7[[#This Row],[United States 10y]]-Table7[[#This Row],[United States 3y]],#N/A)</f>
        <v/>
      </c>
    </row>
    <row r="4908">
      <c r="A4908" s="6">
        <f>Database!$A6993</f>
        <v/>
      </c>
      <c r="B4908">
        <f>IF(VLOOKUP(Table7[[#This Row],[Date]],Database!$A:$C,MATCH($B$1,Database!$A$1:$C$1,),)=0,#N/A,VLOOKUP(Table7[[#This Row],[Date]],Database!$A:$C,MATCH($B$1,Database!$A$1:$C$1,),))</f>
        <v/>
      </c>
      <c r="C4908">
        <f>IF(VLOOKUP(Table7[[#This Row],[Date]],Database!$A:$C,MATCH($C$1,Database!$A$1:$C$1,),)=0,#N/A,VLOOKUP(Table7[[#This Row],[Date]],Database!$A:$C,MATCH($C$1,Database!$A$1:$C$1,),))</f>
        <v/>
      </c>
      <c r="D4908">
        <f>IFERROR(Table7[[#This Row],[United States 10y]]-Table7[[#This Row],[United States 3y]],#N/A)</f>
        <v/>
      </c>
    </row>
    <row r="4909">
      <c r="A4909" s="6">
        <f>Database!$A6994</f>
        <v/>
      </c>
      <c r="B4909">
        <f>IF(VLOOKUP(Table7[[#This Row],[Date]],Database!$A:$C,MATCH($B$1,Database!$A$1:$C$1,),)=0,#N/A,VLOOKUP(Table7[[#This Row],[Date]],Database!$A:$C,MATCH($B$1,Database!$A$1:$C$1,),))</f>
        <v/>
      </c>
      <c r="C4909">
        <f>IF(VLOOKUP(Table7[[#This Row],[Date]],Database!$A:$C,MATCH($C$1,Database!$A$1:$C$1,),)=0,#N/A,VLOOKUP(Table7[[#This Row],[Date]],Database!$A:$C,MATCH($C$1,Database!$A$1:$C$1,),))</f>
        <v/>
      </c>
      <c r="D4909">
        <f>IFERROR(Table7[[#This Row],[United States 10y]]-Table7[[#This Row],[United States 3y]],#N/A)</f>
        <v/>
      </c>
    </row>
    <row r="4910">
      <c r="A4910" s="6">
        <f>Database!$A6995</f>
        <v/>
      </c>
      <c r="B4910">
        <f>IF(VLOOKUP(Table7[[#This Row],[Date]],Database!$A:$C,MATCH($B$1,Database!$A$1:$C$1,),)=0,#N/A,VLOOKUP(Table7[[#This Row],[Date]],Database!$A:$C,MATCH($B$1,Database!$A$1:$C$1,),))</f>
        <v/>
      </c>
      <c r="C4910">
        <f>IF(VLOOKUP(Table7[[#This Row],[Date]],Database!$A:$C,MATCH($C$1,Database!$A$1:$C$1,),)=0,#N/A,VLOOKUP(Table7[[#This Row],[Date]],Database!$A:$C,MATCH($C$1,Database!$A$1:$C$1,),))</f>
        <v/>
      </c>
      <c r="D4910">
        <f>IFERROR(Table7[[#This Row],[United States 10y]]-Table7[[#This Row],[United States 3y]],#N/A)</f>
        <v/>
      </c>
    </row>
    <row r="4911">
      <c r="A4911" s="6">
        <f>Database!$A6996</f>
        <v/>
      </c>
      <c r="B4911">
        <f>IF(VLOOKUP(Table7[[#This Row],[Date]],Database!$A:$C,MATCH($B$1,Database!$A$1:$C$1,),)=0,#N/A,VLOOKUP(Table7[[#This Row],[Date]],Database!$A:$C,MATCH($B$1,Database!$A$1:$C$1,),))</f>
        <v/>
      </c>
      <c r="C4911">
        <f>IF(VLOOKUP(Table7[[#This Row],[Date]],Database!$A:$C,MATCH($C$1,Database!$A$1:$C$1,),)=0,#N/A,VLOOKUP(Table7[[#This Row],[Date]],Database!$A:$C,MATCH($C$1,Database!$A$1:$C$1,),))</f>
        <v/>
      </c>
      <c r="D4911">
        <f>IFERROR(Table7[[#This Row],[United States 10y]]-Table7[[#This Row],[United States 3y]],#N/A)</f>
        <v/>
      </c>
    </row>
    <row r="4912">
      <c r="A4912" s="6">
        <f>Database!$A6997</f>
        <v/>
      </c>
      <c r="B4912">
        <f>IF(VLOOKUP(Table7[[#This Row],[Date]],Database!$A:$C,MATCH($B$1,Database!$A$1:$C$1,),)=0,#N/A,VLOOKUP(Table7[[#This Row],[Date]],Database!$A:$C,MATCH($B$1,Database!$A$1:$C$1,),))</f>
        <v/>
      </c>
      <c r="C4912">
        <f>IF(VLOOKUP(Table7[[#This Row],[Date]],Database!$A:$C,MATCH($C$1,Database!$A$1:$C$1,),)=0,#N/A,VLOOKUP(Table7[[#This Row],[Date]],Database!$A:$C,MATCH($C$1,Database!$A$1:$C$1,),))</f>
        <v/>
      </c>
      <c r="D4912">
        <f>IFERROR(Table7[[#This Row],[United States 10y]]-Table7[[#This Row],[United States 3y]],#N/A)</f>
        <v/>
      </c>
    </row>
    <row r="4913">
      <c r="A4913" s="6">
        <f>Database!$A6998</f>
        <v/>
      </c>
      <c r="B4913">
        <f>IF(VLOOKUP(Table7[[#This Row],[Date]],Database!$A:$C,MATCH($B$1,Database!$A$1:$C$1,),)=0,#N/A,VLOOKUP(Table7[[#This Row],[Date]],Database!$A:$C,MATCH($B$1,Database!$A$1:$C$1,),))</f>
        <v/>
      </c>
      <c r="C4913">
        <f>IF(VLOOKUP(Table7[[#This Row],[Date]],Database!$A:$C,MATCH($C$1,Database!$A$1:$C$1,),)=0,#N/A,VLOOKUP(Table7[[#This Row],[Date]],Database!$A:$C,MATCH($C$1,Database!$A$1:$C$1,),))</f>
        <v/>
      </c>
      <c r="D4913">
        <f>IFERROR(Table7[[#This Row],[United States 10y]]-Table7[[#This Row],[United States 3y]],#N/A)</f>
        <v/>
      </c>
    </row>
    <row r="4914">
      <c r="A4914" s="6">
        <f>Database!$A6999</f>
        <v/>
      </c>
      <c r="B4914">
        <f>IF(VLOOKUP(Table7[[#This Row],[Date]],Database!$A:$C,MATCH($B$1,Database!$A$1:$C$1,),)=0,#N/A,VLOOKUP(Table7[[#This Row],[Date]],Database!$A:$C,MATCH($B$1,Database!$A$1:$C$1,),))</f>
        <v/>
      </c>
      <c r="C4914">
        <f>IF(VLOOKUP(Table7[[#This Row],[Date]],Database!$A:$C,MATCH($C$1,Database!$A$1:$C$1,),)=0,#N/A,VLOOKUP(Table7[[#This Row],[Date]],Database!$A:$C,MATCH($C$1,Database!$A$1:$C$1,),))</f>
        <v/>
      </c>
      <c r="D4914">
        <f>IFERROR(Table7[[#This Row],[United States 10y]]-Table7[[#This Row],[United States 3y]],#N/A)</f>
        <v/>
      </c>
    </row>
    <row r="4915">
      <c r="A4915" s="6">
        <f>Database!$A7000</f>
        <v/>
      </c>
      <c r="B4915">
        <f>IF(VLOOKUP(Table7[[#This Row],[Date]],Database!$A:$C,MATCH($B$1,Database!$A$1:$C$1,),)=0,#N/A,VLOOKUP(Table7[[#This Row],[Date]],Database!$A:$C,MATCH($B$1,Database!$A$1:$C$1,),))</f>
        <v/>
      </c>
      <c r="C4915">
        <f>IF(VLOOKUP(Table7[[#This Row],[Date]],Database!$A:$C,MATCH($C$1,Database!$A$1:$C$1,),)=0,#N/A,VLOOKUP(Table7[[#This Row],[Date]],Database!$A:$C,MATCH($C$1,Database!$A$1:$C$1,),))</f>
        <v/>
      </c>
      <c r="D4915">
        <f>IFERROR(Table7[[#This Row],[United States 10y]]-Table7[[#This Row],[United States 3y]],#N/A)</f>
        <v/>
      </c>
    </row>
    <row r="4916">
      <c r="A4916" s="6">
        <f>Database!$A7001</f>
        <v/>
      </c>
      <c r="B4916">
        <f>IF(VLOOKUP(Table7[[#This Row],[Date]],Database!$A:$C,MATCH($B$1,Database!$A$1:$C$1,),)=0,#N/A,VLOOKUP(Table7[[#This Row],[Date]],Database!$A:$C,MATCH($B$1,Database!$A$1:$C$1,),))</f>
        <v/>
      </c>
      <c r="C4916">
        <f>IF(VLOOKUP(Table7[[#This Row],[Date]],Database!$A:$C,MATCH($C$1,Database!$A$1:$C$1,),)=0,#N/A,VLOOKUP(Table7[[#This Row],[Date]],Database!$A:$C,MATCH($C$1,Database!$A$1:$C$1,),))</f>
        <v/>
      </c>
      <c r="D4916">
        <f>IFERROR(Table7[[#This Row],[United States 10y]]-Table7[[#This Row],[United States 3y]],#N/A)</f>
        <v/>
      </c>
    </row>
    <row r="4917">
      <c r="A4917" s="6">
        <f>Database!$A7002</f>
        <v/>
      </c>
      <c r="B4917">
        <f>IF(VLOOKUP(Table7[[#This Row],[Date]],Database!$A:$C,MATCH($B$1,Database!$A$1:$C$1,),)=0,#N/A,VLOOKUP(Table7[[#This Row],[Date]],Database!$A:$C,MATCH($B$1,Database!$A$1:$C$1,),))</f>
        <v/>
      </c>
      <c r="C4917">
        <f>IF(VLOOKUP(Table7[[#This Row],[Date]],Database!$A:$C,MATCH($C$1,Database!$A$1:$C$1,),)=0,#N/A,VLOOKUP(Table7[[#This Row],[Date]],Database!$A:$C,MATCH($C$1,Database!$A$1:$C$1,),))</f>
        <v/>
      </c>
      <c r="D4917">
        <f>IFERROR(Table7[[#This Row],[United States 10y]]-Table7[[#This Row],[United States 3y]],#N/A)</f>
        <v/>
      </c>
    </row>
    <row r="4918">
      <c r="A4918" s="6">
        <f>Database!$A7003</f>
        <v/>
      </c>
      <c r="B4918">
        <f>IF(VLOOKUP(Table7[[#This Row],[Date]],Database!$A:$C,MATCH($B$1,Database!$A$1:$C$1,),)=0,#N/A,VLOOKUP(Table7[[#This Row],[Date]],Database!$A:$C,MATCH($B$1,Database!$A$1:$C$1,),))</f>
        <v/>
      </c>
      <c r="C4918">
        <f>IF(VLOOKUP(Table7[[#This Row],[Date]],Database!$A:$C,MATCH($C$1,Database!$A$1:$C$1,),)=0,#N/A,VLOOKUP(Table7[[#This Row],[Date]],Database!$A:$C,MATCH($C$1,Database!$A$1:$C$1,),))</f>
        <v/>
      </c>
      <c r="D4918">
        <f>IFERROR(Table7[[#This Row],[United States 10y]]-Table7[[#This Row],[United States 3y]],#N/A)</f>
        <v/>
      </c>
    </row>
    <row r="4919">
      <c r="A4919" s="6">
        <f>Database!$A7004</f>
        <v/>
      </c>
      <c r="B4919">
        <f>IF(VLOOKUP(Table7[[#This Row],[Date]],Database!$A:$C,MATCH($B$1,Database!$A$1:$C$1,),)=0,#N/A,VLOOKUP(Table7[[#This Row],[Date]],Database!$A:$C,MATCH($B$1,Database!$A$1:$C$1,),))</f>
        <v/>
      </c>
      <c r="C4919">
        <f>IF(VLOOKUP(Table7[[#This Row],[Date]],Database!$A:$C,MATCH($C$1,Database!$A$1:$C$1,),)=0,#N/A,VLOOKUP(Table7[[#This Row],[Date]],Database!$A:$C,MATCH($C$1,Database!$A$1:$C$1,),))</f>
        <v/>
      </c>
      <c r="D4919">
        <f>IFERROR(Table7[[#This Row],[United States 10y]]-Table7[[#This Row],[United States 3y]],#N/A)</f>
        <v/>
      </c>
    </row>
    <row r="4920">
      <c r="A4920" s="6">
        <f>Database!$A7005</f>
        <v/>
      </c>
      <c r="B4920">
        <f>IF(VLOOKUP(Table7[[#This Row],[Date]],Database!$A:$C,MATCH($B$1,Database!$A$1:$C$1,),)=0,#N/A,VLOOKUP(Table7[[#This Row],[Date]],Database!$A:$C,MATCH($B$1,Database!$A$1:$C$1,),))</f>
        <v/>
      </c>
      <c r="C4920">
        <f>IF(VLOOKUP(Table7[[#This Row],[Date]],Database!$A:$C,MATCH($C$1,Database!$A$1:$C$1,),)=0,#N/A,VLOOKUP(Table7[[#This Row],[Date]],Database!$A:$C,MATCH($C$1,Database!$A$1:$C$1,),))</f>
        <v/>
      </c>
      <c r="D4920">
        <f>IFERROR(Table7[[#This Row],[United States 10y]]-Table7[[#This Row],[United States 3y]],#N/A)</f>
        <v/>
      </c>
    </row>
    <row r="4921">
      <c r="A4921" s="6">
        <f>Database!$A7006</f>
        <v/>
      </c>
      <c r="B4921">
        <f>IF(VLOOKUP(Table7[[#This Row],[Date]],Database!$A:$C,MATCH($B$1,Database!$A$1:$C$1,),)=0,#N/A,VLOOKUP(Table7[[#This Row],[Date]],Database!$A:$C,MATCH($B$1,Database!$A$1:$C$1,),))</f>
        <v/>
      </c>
      <c r="C4921">
        <f>IF(VLOOKUP(Table7[[#This Row],[Date]],Database!$A:$C,MATCH($C$1,Database!$A$1:$C$1,),)=0,#N/A,VLOOKUP(Table7[[#This Row],[Date]],Database!$A:$C,MATCH($C$1,Database!$A$1:$C$1,),))</f>
        <v/>
      </c>
      <c r="D4921">
        <f>IFERROR(Table7[[#This Row],[United States 10y]]-Table7[[#This Row],[United States 3y]],#N/A)</f>
        <v/>
      </c>
    </row>
    <row r="4922">
      <c r="A4922" s="6">
        <f>Database!$A7007</f>
        <v/>
      </c>
      <c r="B4922">
        <f>IF(VLOOKUP(Table7[[#This Row],[Date]],Database!$A:$C,MATCH($B$1,Database!$A$1:$C$1,),)=0,#N/A,VLOOKUP(Table7[[#This Row],[Date]],Database!$A:$C,MATCH($B$1,Database!$A$1:$C$1,),))</f>
        <v/>
      </c>
      <c r="C4922">
        <f>IF(VLOOKUP(Table7[[#This Row],[Date]],Database!$A:$C,MATCH($C$1,Database!$A$1:$C$1,),)=0,#N/A,VLOOKUP(Table7[[#This Row],[Date]],Database!$A:$C,MATCH($C$1,Database!$A$1:$C$1,),))</f>
        <v/>
      </c>
      <c r="D4922">
        <f>IFERROR(Table7[[#This Row],[United States 10y]]-Table7[[#This Row],[United States 3y]],#N/A)</f>
        <v/>
      </c>
    </row>
    <row r="4923">
      <c r="A4923" s="6">
        <f>Database!$A7008</f>
        <v/>
      </c>
      <c r="B4923">
        <f>IF(VLOOKUP(Table7[[#This Row],[Date]],Database!$A:$C,MATCH($B$1,Database!$A$1:$C$1,),)=0,#N/A,VLOOKUP(Table7[[#This Row],[Date]],Database!$A:$C,MATCH($B$1,Database!$A$1:$C$1,),))</f>
        <v/>
      </c>
      <c r="C4923">
        <f>IF(VLOOKUP(Table7[[#This Row],[Date]],Database!$A:$C,MATCH($C$1,Database!$A$1:$C$1,),)=0,#N/A,VLOOKUP(Table7[[#This Row],[Date]],Database!$A:$C,MATCH($C$1,Database!$A$1:$C$1,),))</f>
        <v/>
      </c>
      <c r="D4923">
        <f>IFERROR(Table7[[#This Row],[United States 10y]]-Table7[[#This Row],[United States 3y]],#N/A)</f>
        <v/>
      </c>
    </row>
    <row r="4924">
      <c r="A4924" s="6">
        <f>Database!$A7009</f>
        <v/>
      </c>
      <c r="B4924">
        <f>IF(VLOOKUP(Table7[[#This Row],[Date]],Database!$A:$C,MATCH($B$1,Database!$A$1:$C$1,),)=0,#N/A,VLOOKUP(Table7[[#This Row],[Date]],Database!$A:$C,MATCH($B$1,Database!$A$1:$C$1,),))</f>
        <v/>
      </c>
      <c r="C4924">
        <f>IF(VLOOKUP(Table7[[#This Row],[Date]],Database!$A:$C,MATCH($C$1,Database!$A$1:$C$1,),)=0,#N/A,VLOOKUP(Table7[[#This Row],[Date]],Database!$A:$C,MATCH($C$1,Database!$A$1:$C$1,),))</f>
        <v/>
      </c>
      <c r="D4924">
        <f>IFERROR(Table7[[#This Row],[United States 10y]]-Table7[[#This Row],[United States 3y]],#N/A)</f>
        <v/>
      </c>
    </row>
    <row r="4925">
      <c r="A4925" s="6">
        <f>Database!$A7010</f>
        <v/>
      </c>
      <c r="B4925">
        <f>IF(VLOOKUP(Table7[[#This Row],[Date]],Database!$A:$C,MATCH($B$1,Database!$A$1:$C$1,),)=0,#N/A,VLOOKUP(Table7[[#This Row],[Date]],Database!$A:$C,MATCH($B$1,Database!$A$1:$C$1,),))</f>
        <v/>
      </c>
      <c r="C4925">
        <f>IF(VLOOKUP(Table7[[#This Row],[Date]],Database!$A:$C,MATCH($C$1,Database!$A$1:$C$1,),)=0,#N/A,VLOOKUP(Table7[[#This Row],[Date]],Database!$A:$C,MATCH($C$1,Database!$A$1:$C$1,),))</f>
        <v/>
      </c>
      <c r="D4925">
        <f>IFERROR(Table7[[#This Row],[United States 10y]]-Table7[[#This Row],[United States 3y]],#N/A)</f>
        <v/>
      </c>
    </row>
    <row r="4926">
      <c r="A4926" s="6">
        <f>Database!$A7011</f>
        <v/>
      </c>
      <c r="B4926">
        <f>IF(VLOOKUP(Table7[[#This Row],[Date]],Database!$A:$C,MATCH($B$1,Database!$A$1:$C$1,),)=0,#N/A,VLOOKUP(Table7[[#This Row],[Date]],Database!$A:$C,MATCH($B$1,Database!$A$1:$C$1,),))</f>
        <v/>
      </c>
      <c r="C4926">
        <f>IF(VLOOKUP(Table7[[#This Row],[Date]],Database!$A:$C,MATCH($C$1,Database!$A$1:$C$1,),)=0,#N/A,VLOOKUP(Table7[[#This Row],[Date]],Database!$A:$C,MATCH($C$1,Database!$A$1:$C$1,),))</f>
        <v/>
      </c>
      <c r="D4926">
        <f>IFERROR(Table7[[#This Row],[United States 10y]]-Table7[[#This Row],[United States 3y]],#N/A)</f>
        <v/>
      </c>
    </row>
    <row r="4927">
      <c r="A4927" s="6">
        <f>Database!$A7012</f>
        <v/>
      </c>
      <c r="B4927">
        <f>IF(VLOOKUP(Table7[[#This Row],[Date]],Database!$A:$C,MATCH($B$1,Database!$A$1:$C$1,),)=0,#N/A,VLOOKUP(Table7[[#This Row],[Date]],Database!$A:$C,MATCH($B$1,Database!$A$1:$C$1,),))</f>
        <v/>
      </c>
      <c r="C4927">
        <f>IF(VLOOKUP(Table7[[#This Row],[Date]],Database!$A:$C,MATCH($C$1,Database!$A$1:$C$1,),)=0,#N/A,VLOOKUP(Table7[[#This Row],[Date]],Database!$A:$C,MATCH($C$1,Database!$A$1:$C$1,),))</f>
        <v/>
      </c>
      <c r="D4927">
        <f>IFERROR(Table7[[#This Row],[United States 10y]]-Table7[[#This Row],[United States 3y]],#N/A)</f>
        <v/>
      </c>
    </row>
    <row r="4928">
      <c r="A4928" s="6">
        <f>Database!$A7013</f>
        <v/>
      </c>
      <c r="B4928">
        <f>IF(VLOOKUP(Table7[[#This Row],[Date]],Database!$A:$C,MATCH($B$1,Database!$A$1:$C$1,),)=0,#N/A,VLOOKUP(Table7[[#This Row],[Date]],Database!$A:$C,MATCH($B$1,Database!$A$1:$C$1,),))</f>
        <v/>
      </c>
      <c r="C4928">
        <f>IF(VLOOKUP(Table7[[#This Row],[Date]],Database!$A:$C,MATCH($C$1,Database!$A$1:$C$1,),)=0,#N/A,VLOOKUP(Table7[[#This Row],[Date]],Database!$A:$C,MATCH($C$1,Database!$A$1:$C$1,),))</f>
        <v/>
      </c>
      <c r="D4928">
        <f>IFERROR(Table7[[#This Row],[United States 10y]]-Table7[[#This Row],[United States 3y]],#N/A)</f>
        <v/>
      </c>
    </row>
    <row r="4929">
      <c r="A4929" s="6">
        <f>Database!$A7014</f>
        <v/>
      </c>
      <c r="B4929">
        <f>IF(VLOOKUP(Table7[[#This Row],[Date]],Database!$A:$C,MATCH($B$1,Database!$A$1:$C$1,),)=0,#N/A,VLOOKUP(Table7[[#This Row],[Date]],Database!$A:$C,MATCH($B$1,Database!$A$1:$C$1,),))</f>
        <v/>
      </c>
      <c r="C4929">
        <f>IF(VLOOKUP(Table7[[#This Row],[Date]],Database!$A:$C,MATCH($C$1,Database!$A$1:$C$1,),)=0,#N/A,VLOOKUP(Table7[[#This Row],[Date]],Database!$A:$C,MATCH($C$1,Database!$A$1:$C$1,),))</f>
        <v/>
      </c>
      <c r="D4929">
        <f>IFERROR(Table7[[#This Row],[United States 10y]]-Table7[[#This Row],[United States 3y]],#N/A)</f>
        <v/>
      </c>
    </row>
    <row r="4930">
      <c r="A4930" s="6">
        <f>Database!$A7015</f>
        <v/>
      </c>
      <c r="B4930">
        <f>IF(VLOOKUP(Table7[[#This Row],[Date]],Database!$A:$C,MATCH($B$1,Database!$A$1:$C$1,),)=0,#N/A,VLOOKUP(Table7[[#This Row],[Date]],Database!$A:$C,MATCH($B$1,Database!$A$1:$C$1,),))</f>
        <v/>
      </c>
      <c r="C4930">
        <f>IF(VLOOKUP(Table7[[#This Row],[Date]],Database!$A:$C,MATCH($C$1,Database!$A$1:$C$1,),)=0,#N/A,VLOOKUP(Table7[[#This Row],[Date]],Database!$A:$C,MATCH($C$1,Database!$A$1:$C$1,),))</f>
        <v/>
      </c>
      <c r="D4930">
        <f>IFERROR(Table7[[#This Row],[United States 10y]]-Table7[[#This Row],[United States 3y]],#N/A)</f>
        <v/>
      </c>
    </row>
    <row r="4931">
      <c r="A4931" s="6">
        <f>Database!$A7016</f>
        <v/>
      </c>
      <c r="B4931">
        <f>IF(VLOOKUP(Table7[[#This Row],[Date]],Database!$A:$C,MATCH($B$1,Database!$A$1:$C$1,),)=0,#N/A,VLOOKUP(Table7[[#This Row],[Date]],Database!$A:$C,MATCH($B$1,Database!$A$1:$C$1,),))</f>
        <v/>
      </c>
      <c r="C4931">
        <f>IF(VLOOKUP(Table7[[#This Row],[Date]],Database!$A:$C,MATCH($C$1,Database!$A$1:$C$1,),)=0,#N/A,VLOOKUP(Table7[[#This Row],[Date]],Database!$A:$C,MATCH($C$1,Database!$A$1:$C$1,),))</f>
        <v/>
      </c>
      <c r="D4931">
        <f>IFERROR(Table7[[#This Row],[United States 10y]]-Table7[[#This Row],[United States 3y]],#N/A)</f>
        <v/>
      </c>
    </row>
    <row r="4932">
      <c r="A4932" s="6">
        <f>Database!$A7017</f>
        <v/>
      </c>
      <c r="B4932">
        <f>IF(VLOOKUP(Table7[[#This Row],[Date]],Database!$A:$C,MATCH($B$1,Database!$A$1:$C$1,),)=0,#N/A,VLOOKUP(Table7[[#This Row],[Date]],Database!$A:$C,MATCH($B$1,Database!$A$1:$C$1,),))</f>
        <v/>
      </c>
      <c r="C4932">
        <f>IF(VLOOKUP(Table7[[#This Row],[Date]],Database!$A:$C,MATCH($C$1,Database!$A$1:$C$1,),)=0,#N/A,VLOOKUP(Table7[[#This Row],[Date]],Database!$A:$C,MATCH($C$1,Database!$A$1:$C$1,),))</f>
        <v/>
      </c>
      <c r="D4932">
        <f>IFERROR(Table7[[#This Row],[United States 10y]]-Table7[[#This Row],[United States 3y]],#N/A)</f>
        <v/>
      </c>
    </row>
    <row r="4933">
      <c r="A4933" s="6">
        <f>Database!$A7018</f>
        <v/>
      </c>
      <c r="B4933">
        <f>IF(VLOOKUP(Table7[[#This Row],[Date]],Database!$A:$C,MATCH($B$1,Database!$A$1:$C$1,),)=0,#N/A,VLOOKUP(Table7[[#This Row],[Date]],Database!$A:$C,MATCH($B$1,Database!$A$1:$C$1,),))</f>
        <v/>
      </c>
      <c r="C4933">
        <f>IF(VLOOKUP(Table7[[#This Row],[Date]],Database!$A:$C,MATCH($C$1,Database!$A$1:$C$1,),)=0,#N/A,VLOOKUP(Table7[[#This Row],[Date]],Database!$A:$C,MATCH($C$1,Database!$A$1:$C$1,),))</f>
        <v/>
      </c>
      <c r="D4933">
        <f>IFERROR(Table7[[#This Row],[United States 10y]]-Table7[[#This Row],[United States 3y]],#N/A)</f>
        <v/>
      </c>
    </row>
    <row r="4934">
      <c r="A4934" s="6">
        <f>Database!$A7019</f>
        <v/>
      </c>
      <c r="B4934">
        <f>IF(VLOOKUP(Table7[[#This Row],[Date]],Database!$A:$C,MATCH($B$1,Database!$A$1:$C$1,),)=0,#N/A,VLOOKUP(Table7[[#This Row],[Date]],Database!$A:$C,MATCH($B$1,Database!$A$1:$C$1,),))</f>
        <v/>
      </c>
      <c r="C4934">
        <f>IF(VLOOKUP(Table7[[#This Row],[Date]],Database!$A:$C,MATCH($C$1,Database!$A$1:$C$1,),)=0,#N/A,VLOOKUP(Table7[[#This Row],[Date]],Database!$A:$C,MATCH($C$1,Database!$A$1:$C$1,),))</f>
        <v/>
      </c>
      <c r="D4934">
        <f>IFERROR(Table7[[#This Row],[United States 10y]]-Table7[[#This Row],[United States 3y]],#N/A)</f>
        <v/>
      </c>
    </row>
    <row r="4935">
      <c r="A4935" s="6">
        <f>Database!$A7020</f>
        <v/>
      </c>
      <c r="B4935">
        <f>IF(VLOOKUP(Table7[[#This Row],[Date]],Database!$A:$C,MATCH($B$1,Database!$A$1:$C$1,),)=0,#N/A,VLOOKUP(Table7[[#This Row],[Date]],Database!$A:$C,MATCH($B$1,Database!$A$1:$C$1,),))</f>
        <v/>
      </c>
      <c r="C4935">
        <f>IF(VLOOKUP(Table7[[#This Row],[Date]],Database!$A:$C,MATCH($C$1,Database!$A$1:$C$1,),)=0,#N/A,VLOOKUP(Table7[[#This Row],[Date]],Database!$A:$C,MATCH($C$1,Database!$A$1:$C$1,),))</f>
        <v/>
      </c>
      <c r="D4935">
        <f>IFERROR(Table7[[#This Row],[United States 10y]]-Table7[[#This Row],[United States 3y]],#N/A)</f>
        <v/>
      </c>
    </row>
    <row r="4936">
      <c r="A4936" s="6">
        <f>Database!$A7021</f>
        <v/>
      </c>
      <c r="B4936">
        <f>IF(VLOOKUP(Table7[[#This Row],[Date]],Database!$A:$C,MATCH($B$1,Database!$A$1:$C$1,),)=0,#N/A,VLOOKUP(Table7[[#This Row],[Date]],Database!$A:$C,MATCH($B$1,Database!$A$1:$C$1,),))</f>
        <v/>
      </c>
      <c r="C4936">
        <f>IF(VLOOKUP(Table7[[#This Row],[Date]],Database!$A:$C,MATCH($C$1,Database!$A$1:$C$1,),)=0,#N/A,VLOOKUP(Table7[[#This Row],[Date]],Database!$A:$C,MATCH($C$1,Database!$A$1:$C$1,),))</f>
        <v/>
      </c>
      <c r="D4936">
        <f>IFERROR(Table7[[#This Row],[United States 10y]]-Table7[[#This Row],[United States 3y]],#N/A)</f>
        <v/>
      </c>
    </row>
    <row r="4937">
      <c r="A4937" s="6">
        <f>Database!$A7022</f>
        <v/>
      </c>
      <c r="B4937">
        <f>IF(VLOOKUP(Table7[[#This Row],[Date]],Database!$A:$C,MATCH($B$1,Database!$A$1:$C$1,),)=0,#N/A,VLOOKUP(Table7[[#This Row],[Date]],Database!$A:$C,MATCH($B$1,Database!$A$1:$C$1,),))</f>
        <v/>
      </c>
      <c r="C4937">
        <f>IF(VLOOKUP(Table7[[#This Row],[Date]],Database!$A:$C,MATCH($C$1,Database!$A$1:$C$1,),)=0,#N/A,VLOOKUP(Table7[[#This Row],[Date]],Database!$A:$C,MATCH($C$1,Database!$A$1:$C$1,),))</f>
        <v/>
      </c>
      <c r="D4937">
        <f>IFERROR(Table7[[#This Row],[United States 10y]]-Table7[[#This Row],[United States 3y]],#N/A)</f>
        <v/>
      </c>
    </row>
    <row r="4938">
      <c r="A4938" s="6">
        <f>Database!$A7023</f>
        <v/>
      </c>
      <c r="B4938">
        <f>IF(VLOOKUP(Table7[[#This Row],[Date]],Database!$A:$C,MATCH($B$1,Database!$A$1:$C$1,),)=0,#N/A,VLOOKUP(Table7[[#This Row],[Date]],Database!$A:$C,MATCH($B$1,Database!$A$1:$C$1,),))</f>
        <v/>
      </c>
      <c r="C4938">
        <f>IF(VLOOKUP(Table7[[#This Row],[Date]],Database!$A:$C,MATCH($C$1,Database!$A$1:$C$1,),)=0,#N/A,VLOOKUP(Table7[[#This Row],[Date]],Database!$A:$C,MATCH($C$1,Database!$A$1:$C$1,),))</f>
        <v/>
      </c>
      <c r="D4938">
        <f>IFERROR(Table7[[#This Row],[United States 10y]]-Table7[[#This Row],[United States 3y]],#N/A)</f>
        <v/>
      </c>
    </row>
    <row r="4939">
      <c r="A4939" s="6">
        <f>Database!$A7024</f>
        <v/>
      </c>
      <c r="B4939">
        <f>IF(VLOOKUP(Table7[[#This Row],[Date]],Database!$A:$C,MATCH($B$1,Database!$A$1:$C$1,),)=0,#N/A,VLOOKUP(Table7[[#This Row],[Date]],Database!$A:$C,MATCH($B$1,Database!$A$1:$C$1,),))</f>
        <v/>
      </c>
      <c r="C4939">
        <f>IF(VLOOKUP(Table7[[#This Row],[Date]],Database!$A:$C,MATCH($C$1,Database!$A$1:$C$1,),)=0,#N/A,VLOOKUP(Table7[[#This Row],[Date]],Database!$A:$C,MATCH($C$1,Database!$A$1:$C$1,),))</f>
        <v/>
      </c>
      <c r="D4939">
        <f>IFERROR(Table7[[#This Row],[United States 10y]]-Table7[[#This Row],[United States 3y]],#N/A)</f>
        <v/>
      </c>
    </row>
    <row r="4940">
      <c r="A4940" s="6">
        <f>Database!$A7025</f>
        <v/>
      </c>
      <c r="B4940">
        <f>IF(VLOOKUP(Table7[[#This Row],[Date]],Database!$A:$C,MATCH($B$1,Database!$A$1:$C$1,),)=0,#N/A,VLOOKUP(Table7[[#This Row],[Date]],Database!$A:$C,MATCH($B$1,Database!$A$1:$C$1,),))</f>
        <v/>
      </c>
      <c r="C4940">
        <f>IF(VLOOKUP(Table7[[#This Row],[Date]],Database!$A:$C,MATCH($C$1,Database!$A$1:$C$1,),)=0,#N/A,VLOOKUP(Table7[[#This Row],[Date]],Database!$A:$C,MATCH($C$1,Database!$A$1:$C$1,),))</f>
        <v/>
      </c>
      <c r="D4940">
        <f>IFERROR(Table7[[#This Row],[United States 10y]]-Table7[[#This Row],[United States 3y]],#N/A)</f>
        <v/>
      </c>
    </row>
    <row r="4941">
      <c r="A4941" s="6">
        <f>Database!$A7026</f>
        <v/>
      </c>
      <c r="B4941">
        <f>IF(VLOOKUP(Table7[[#This Row],[Date]],Database!$A:$C,MATCH($B$1,Database!$A$1:$C$1,),)=0,#N/A,VLOOKUP(Table7[[#This Row],[Date]],Database!$A:$C,MATCH($B$1,Database!$A$1:$C$1,),))</f>
        <v/>
      </c>
      <c r="C4941">
        <f>IF(VLOOKUP(Table7[[#This Row],[Date]],Database!$A:$C,MATCH($C$1,Database!$A$1:$C$1,),)=0,#N/A,VLOOKUP(Table7[[#This Row],[Date]],Database!$A:$C,MATCH($C$1,Database!$A$1:$C$1,),))</f>
        <v/>
      </c>
      <c r="D4941">
        <f>IFERROR(Table7[[#This Row],[United States 10y]]-Table7[[#This Row],[United States 3y]],#N/A)</f>
        <v/>
      </c>
    </row>
    <row r="4942">
      <c r="A4942" s="6">
        <f>Database!$A7027</f>
        <v/>
      </c>
      <c r="B4942">
        <f>IF(VLOOKUP(Table7[[#This Row],[Date]],Database!$A:$C,MATCH($B$1,Database!$A$1:$C$1,),)=0,#N/A,VLOOKUP(Table7[[#This Row],[Date]],Database!$A:$C,MATCH($B$1,Database!$A$1:$C$1,),))</f>
        <v/>
      </c>
      <c r="C4942">
        <f>IF(VLOOKUP(Table7[[#This Row],[Date]],Database!$A:$C,MATCH($C$1,Database!$A$1:$C$1,),)=0,#N/A,VLOOKUP(Table7[[#This Row],[Date]],Database!$A:$C,MATCH($C$1,Database!$A$1:$C$1,),))</f>
        <v/>
      </c>
      <c r="D4942">
        <f>IFERROR(Table7[[#This Row],[United States 10y]]-Table7[[#This Row],[United States 3y]],#N/A)</f>
        <v/>
      </c>
    </row>
    <row r="4943">
      <c r="A4943" s="6">
        <f>Database!$A7028</f>
        <v/>
      </c>
      <c r="B4943">
        <f>IF(VLOOKUP(Table7[[#This Row],[Date]],Database!$A:$C,MATCH($B$1,Database!$A$1:$C$1,),)=0,#N/A,VLOOKUP(Table7[[#This Row],[Date]],Database!$A:$C,MATCH($B$1,Database!$A$1:$C$1,),))</f>
        <v/>
      </c>
      <c r="C4943">
        <f>IF(VLOOKUP(Table7[[#This Row],[Date]],Database!$A:$C,MATCH($C$1,Database!$A$1:$C$1,),)=0,#N/A,VLOOKUP(Table7[[#This Row],[Date]],Database!$A:$C,MATCH($C$1,Database!$A$1:$C$1,),))</f>
        <v/>
      </c>
      <c r="D4943">
        <f>IFERROR(Table7[[#This Row],[United States 10y]]-Table7[[#This Row],[United States 3y]],#N/A)</f>
        <v/>
      </c>
    </row>
    <row r="4944">
      <c r="A4944" s="6">
        <f>Database!$A7029</f>
        <v/>
      </c>
      <c r="B4944">
        <f>IF(VLOOKUP(Table7[[#This Row],[Date]],Database!$A:$C,MATCH($B$1,Database!$A$1:$C$1,),)=0,#N/A,VLOOKUP(Table7[[#This Row],[Date]],Database!$A:$C,MATCH($B$1,Database!$A$1:$C$1,),))</f>
        <v/>
      </c>
      <c r="C4944">
        <f>IF(VLOOKUP(Table7[[#This Row],[Date]],Database!$A:$C,MATCH($C$1,Database!$A$1:$C$1,),)=0,#N/A,VLOOKUP(Table7[[#This Row],[Date]],Database!$A:$C,MATCH($C$1,Database!$A$1:$C$1,),))</f>
        <v/>
      </c>
      <c r="D4944">
        <f>IFERROR(Table7[[#This Row],[United States 10y]]-Table7[[#This Row],[United States 3y]],#N/A)</f>
        <v/>
      </c>
    </row>
    <row r="4945">
      <c r="A4945" s="6">
        <f>Database!$A7030</f>
        <v/>
      </c>
      <c r="B4945">
        <f>IF(VLOOKUP(Table7[[#This Row],[Date]],Database!$A:$C,MATCH($B$1,Database!$A$1:$C$1,),)=0,#N/A,VLOOKUP(Table7[[#This Row],[Date]],Database!$A:$C,MATCH($B$1,Database!$A$1:$C$1,),))</f>
        <v/>
      </c>
      <c r="C4945">
        <f>IF(VLOOKUP(Table7[[#This Row],[Date]],Database!$A:$C,MATCH($C$1,Database!$A$1:$C$1,),)=0,#N/A,VLOOKUP(Table7[[#This Row],[Date]],Database!$A:$C,MATCH($C$1,Database!$A$1:$C$1,),))</f>
        <v/>
      </c>
      <c r="D4945">
        <f>IFERROR(Table7[[#This Row],[United States 10y]]-Table7[[#This Row],[United States 3y]],#N/A)</f>
        <v/>
      </c>
    </row>
    <row r="4946">
      <c r="A4946" s="6">
        <f>Database!$A7031</f>
        <v/>
      </c>
      <c r="B4946">
        <f>IF(VLOOKUP(Table7[[#This Row],[Date]],Database!$A:$C,MATCH($B$1,Database!$A$1:$C$1,),)=0,#N/A,VLOOKUP(Table7[[#This Row],[Date]],Database!$A:$C,MATCH($B$1,Database!$A$1:$C$1,),))</f>
        <v/>
      </c>
      <c r="C4946">
        <f>IF(VLOOKUP(Table7[[#This Row],[Date]],Database!$A:$C,MATCH($C$1,Database!$A$1:$C$1,),)=0,#N/A,VLOOKUP(Table7[[#This Row],[Date]],Database!$A:$C,MATCH($C$1,Database!$A$1:$C$1,),))</f>
        <v/>
      </c>
      <c r="D4946">
        <f>IFERROR(Table7[[#This Row],[United States 10y]]-Table7[[#This Row],[United States 3y]],#N/A)</f>
        <v/>
      </c>
    </row>
    <row r="4947">
      <c r="A4947" s="6">
        <f>Database!$A7032</f>
        <v/>
      </c>
      <c r="B4947">
        <f>IF(VLOOKUP(Table7[[#This Row],[Date]],Database!$A:$C,MATCH($B$1,Database!$A$1:$C$1,),)=0,#N/A,VLOOKUP(Table7[[#This Row],[Date]],Database!$A:$C,MATCH($B$1,Database!$A$1:$C$1,),))</f>
        <v/>
      </c>
      <c r="C4947">
        <f>IF(VLOOKUP(Table7[[#This Row],[Date]],Database!$A:$C,MATCH($C$1,Database!$A$1:$C$1,),)=0,#N/A,VLOOKUP(Table7[[#This Row],[Date]],Database!$A:$C,MATCH($C$1,Database!$A$1:$C$1,),))</f>
        <v/>
      </c>
      <c r="D4947">
        <f>IFERROR(Table7[[#This Row],[United States 10y]]-Table7[[#This Row],[United States 3y]],#N/A)</f>
        <v/>
      </c>
    </row>
    <row r="4948">
      <c r="A4948" s="6">
        <f>Database!$A7033</f>
        <v/>
      </c>
      <c r="B4948">
        <f>IF(VLOOKUP(Table7[[#This Row],[Date]],Database!$A:$C,MATCH($B$1,Database!$A$1:$C$1,),)=0,#N/A,VLOOKUP(Table7[[#This Row],[Date]],Database!$A:$C,MATCH($B$1,Database!$A$1:$C$1,),))</f>
        <v/>
      </c>
      <c r="C4948">
        <f>IF(VLOOKUP(Table7[[#This Row],[Date]],Database!$A:$C,MATCH($C$1,Database!$A$1:$C$1,),)=0,#N/A,VLOOKUP(Table7[[#This Row],[Date]],Database!$A:$C,MATCH($C$1,Database!$A$1:$C$1,),))</f>
        <v/>
      </c>
      <c r="D4948">
        <f>IFERROR(Table7[[#This Row],[United States 10y]]-Table7[[#This Row],[United States 3y]],#N/A)</f>
        <v/>
      </c>
    </row>
    <row r="4949">
      <c r="A4949" s="6">
        <f>Database!$A7034</f>
        <v/>
      </c>
      <c r="B4949">
        <f>IF(VLOOKUP(Table7[[#This Row],[Date]],Database!$A:$C,MATCH($B$1,Database!$A$1:$C$1,),)=0,#N/A,VLOOKUP(Table7[[#This Row],[Date]],Database!$A:$C,MATCH($B$1,Database!$A$1:$C$1,),))</f>
        <v/>
      </c>
      <c r="C4949">
        <f>IF(VLOOKUP(Table7[[#This Row],[Date]],Database!$A:$C,MATCH($C$1,Database!$A$1:$C$1,),)=0,#N/A,VLOOKUP(Table7[[#This Row],[Date]],Database!$A:$C,MATCH($C$1,Database!$A$1:$C$1,),))</f>
        <v/>
      </c>
      <c r="D4949">
        <f>IFERROR(Table7[[#This Row],[United States 10y]]-Table7[[#This Row],[United States 3y]],#N/A)</f>
        <v/>
      </c>
    </row>
    <row r="4950">
      <c r="A4950" s="6">
        <f>Database!$A7035</f>
        <v/>
      </c>
      <c r="B4950">
        <f>IF(VLOOKUP(Table7[[#This Row],[Date]],Database!$A:$C,MATCH($B$1,Database!$A$1:$C$1,),)=0,#N/A,VLOOKUP(Table7[[#This Row],[Date]],Database!$A:$C,MATCH($B$1,Database!$A$1:$C$1,),))</f>
        <v/>
      </c>
      <c r="C4950">
        <f>IF(VLOOKUP(Table7[[#This Row],[Date]],Database!$A:$C,MATCH($C$1,Database!$A$1:$C$1,),)=0,#N/A,VLOOKUP(Table7[[#This Row],[Date]],Database!$A:$C,MATCH($C$1,Database!$A$1:$C$1,),))</f>
        <v/>
      </c>
      <c r="D4950">
        <f>IFERROR(Table7[[#This Row],[United States 10y]]-Table7[[#This Row],[United States 3y]],#N/A)</f>
        <v/>
      </c>
    </row>
    <row r="4951">
      <c r="A4951" s="6">
        <f>Database!$A7036</f>
        <v/>
      </c>
      <c r="B4951">
        <f>IF(VLOOKUP(Table7[[#This Row],[Date]],Database!$A:$C,MATCH($B$1,Database!$A$1:$C$1,),)=0,#N/A,VLOOKUP(Table7[[#This Row],[Date]],Database!$A:$C,MATCH($B$1,Database!$A$1:$C$1,),))</f>
        <v/>
      </c>
      <c r="C4951">
        <f>IF(VLOOKUP(Table7[[#This Row],[Date]],Database!$A:$C,MATCH($C$1,Database!$A$1:$C$1,),)=0,#N/A,VLOOKUP(Table7[[#This Row],[Date]],Database!$A:$C,MATCH($C$1,Database!$A$1:$C$1,),))</f>
        <v/>
      </c>
      <c r="D4951">
        <f>IFERROR(Table7[[#This Row],[United States 10y]]-Table7[[#This Row],[United States 3y]],#N/A)</f>
        <v/>
      </c>
    </row>
    <row r="4952">
      <c r="A4952" s="6">
        <f>Database!$A7037</f>
        <v/>
      </c>
      <c r="B4952">
        <f>IF(VLOOKUP(Table7[[#This Row],[Date]],Database!$A:$C,MATCH($B$1,Database!$A$1:$C$1,),)=0,#N/A,VLOOKUP(Table7[[#This Row],[Date]],Database!$A:$C,MATCH($B$1,Database!$A$1:$C$1,),))</f>
        <v/>
      </c>
      <c r="C4952">
        <f>IF(VLOOKUP(Table7[[#This Row],[Date]],Database!$A:$C,MATCH($C$1,Database!$A$1:$C$1,),)=0,#N/A,VLOOKUP(Table7[[#This Row],[Date]],Database!$A:$C,MATCH($C$1,Database!$A$1:$C$1,),))</f>
        <v/>
      </c>
      <c r="D4952">
        <f>IFERROR(Table7[[#This Row],[United States 10y]]-Table7[[#This Row],[United States 3y]],#N/A)</f>
        <v/>
      </c>
    </row>
    <row r="4953">
      <c r="A4953" s="6">
        <f>Database!$A7038</f>
        <v/>
      </c>
      <c r="B4953">
        <f>IF(VLOOKUP(Table7[[#This Row],[Date]],Database!$A:$C,MATCH($B$1,Database!$A$1:$C$1,),)=0,#N/A,VLOOKUP(Table7[[#This Row],[Date]],Database!$A:$C,MATCH($B$1,Database!$A$1:$C$1,),))</f>
        <v/>
      </c>
      <c r="C4953">
        <f>IF(VLOOKUP(Table7[[#This Row],[Date]],Database!$A:$C,MATCH($C$1,Database!$A$1:$C$1,),)=0,#N/A,VLOOKUP(Table7[[#This Row],[Date]],Database!$A:$C,MATCH($C$1,Database!$A$1:$C$1,),))</f>
        <v/>
      </c>
      <c r="D4953">
        <f>IFERROR(Table7[[#This Row],[United States 10y]]-Table7[[#This Row],[United States 3y]],#N/A)</f>
        <v/>
      </c>
    </row>
    <row r="4954">
      <c r="A4954" s="6">
        <f>Database!$A7039</f>
        <v/>
      </c>
      <c r="B4954">
        <f>IF(VLOOKUP(Table7[[#This Row],[Date]],Database!$A:$C,MATCH($B$1,Database!$A$1:$C$1,),)=0,#N/A,VLOOKUP(Table7[[#This Row],[Date]],Database!$A:$C,MATCH($B$1,Database!$A$1:$C$1,),))</f>
        <v/>
      </c>
      <c r="C4954">
        <f>IF(VLOOKUP(Table7[[#This Row],[Date]],Database!$A:$C,MATCH($C$1,Database!$A$1:$C$1,),)=0,#N/A,VLOOKUP(Table7[[#This Row],[Date]],Database!$A:$C,MATCH($C$1,Database!$A$1:$C$1,),))</f>
        <v/>
      </c>
      <c r="D4954">
        <f>IFERROR(Table7[[#This Row],[United States 10y]]-Table7[[#This Row],[United States 3y]],#N/A)</f>
        <v/>
      </c>
    </row>
    <row r="4955">
      <c r="A4955" s="6">
        <f>Database!$A7040</f>
        <v/>
      </c>
      <c r="B4955">
        <f>IF(VLOOKUP(Table7[[#This Row],[Date]],Database!$A:$C,MATCH($B$1,Database!$A$1:$C$1,),)=0,#N/A,VLOOKUP(Table7[[#This Row],[Date]],Database!$A:$C,MATCH($B$1,Database!$A$1:$C$1,),))</f>
        <v/>
      </c>
      <c r="C4955">
        <f>IF(VLOOKUP(Table7[[#This Row],[Date]],Database!$A:$C,MATCH($C$1,Database!$A$1:$C$1,),)=0,#N/A,VLOOKUP(Table7[[#This Row],[Date]],Database!$A:$C,MATCH($C$1,Database!$A$1:$C$1,),))</f>
        <v/>
      </c>
      <c r="D4955">
        <f>IFERROR(Table7[[#This Row],[United States 10y]]-Table7[[#This Row],[United States 3y]],#N/A)</f>
        <v/>
      </c>
    </row>
    <row r="4956">
      <c r="A4956" s="6">
        <f>Database!$A7041</f>
        <v/>
      </c>
      <c r="B4956">
        <f>IF(VLOOKUP(Table7[[#This Row],[Date]],Database!$A:$C,MATCH($B$1,Database!$A$1:$C$1,),)=0,#N/A,VLOOKUP(Table7[[#This Row],[Date]],Database!$A:$C,MATCH($B$1,Database!$A$1:$C$1,),))</f>
        <v/>
      </c>
      <c r="C4956">
        <f>IF(VLOOKUP(Table7[[#This Row],[Date]],Database!$A:$C,MATCH($C$1,Database!$A$1:$C$1,),)=0,#N/A,VLOOKUP(Table7[[#This Row],[Date]],Database!$A:$C,MATCH($C$1,Database!$A$1:$C$1,),))</f>
        <v/>
      </c>
      <c r="D4956">
        <f>IFERROR(Table7[[#This Row],[United States 10y]]-Table7[[#This Row],[United States 3y]],#N/A)</f>
        <v/>
      </c>
    </row>
    <row r="4957">
      <c r="A4957" s="6">
        <f>Database!$A7042</f>
        <v/>
      </c>
      <c r="B4957">
        <f>IF(VLOOKUP(Table7[[#This Row],[Date]],Database!$A:$C,MATCH($B$1,Database!$A$1:$C$1,),)=0,#N/A,VLOOKUP(Table7[[#This Row],[Date]],Database!$A:$C,MATCH($B$1,Database!$A$1:$C$1,),))</f>
        <v/>
      </c>
      <c r="C4957">
        <f>IF(VLOOKUP(Table7[[#This Row],[Date]],Database!$A:$C,MATCH($C$1,Database!$A$1:$C$1,),)=0,#N/A,VLOOKUP(Table7[[#This Row],[Date]],Database!$A:$C,MATCH($C$1,Database!$A$1:$C$1,),))</f>
        <v/>
      </c>
      <c r="D4957">
        <f>IFERROR(Table7[[#This Row],[United States 10y]]-Table7[[#This Row],[United States 3y]],#N/A)</f>
        <v/>
      </c>
    </row>
    <row r="4958">
      <c r="A4958" s="6">
        <f>Database!$A7043</f>
        <v/>
      </c>
      <c r="B4958">
        <f>IF(VLOOKUP(Table7[[#This Row],[Date]],Database!$A:$C,MATCH($B$1,Database!$A$1:$C$1,),)=0,#N/A,VLOOKUP(Table7[[#This Row],[Date]],Database!$A:$C,MATCH($B$1,Database!$A$1:$C$1,),))</f>
        <v/>
      </c>
      <c r="C4958">
        <f>IF(VLOOKUP(Table7[[#This Row],[Date]],Database!$A:$C,MATCH($C$1,Database!$A$1:$C$1,),)=0,#N/A,VLOOKUP(Table7[[#This Row],[Date]],Database!$A:$C,MATCH($C$1,Database!$A$1:$C$1,),))</f>
        <v/>
      </c>
      <c r="D4958">
        <f>IFERROR(Table7[[#This Row],[United States 10y]]-Table7[[#This Row],[United States 3y]],#N/A)</f>
        <v/>
      </c>
    </row>
    <row r="4959">
      <c r="A4959" s="6">
        <f>Database!$A7044</f>
        <v/>
      </c>
      <c r="B4959">
        <f>IF(VLOOKUP(Table7[[#This Row],[Date]],Database!$A:$C,MATCH($B$1,Database!$A$1:$C$1,),)=0,#N/A,VLOOKUP(Table7[[#This Row],[Date]],Database!$A:$C,MATCH($B$1,Database!$A$1:$C$1,),))</f>
        <v/>
      </c>
      <c r="C4959">
        <f>IF(VLOOKUP(Table7[[#This Row],[Date]],Database!$A:$C,MATCH($C$1,Database!$A$1:$C$1,),)=0,#N/A,VLOOKUP(Table7[[#This Row],[Date]],Database!$A:$C,MATCH($C$1,Database!$A$1:$C$1,),))</f>
        <v/>
      </c>
      <c r="D4959">
        <f>IFERROR(Table7[[#This Row],[United States 10y]]-Table7[[#This Row],[United States 3y]],#N/A)</f>
        <v/>
      </c>
    </row>
    <row r="4960">
      <c r="A4960" s="6">
        <f>Database!$A7045</f>
        <v/>
      </c>
      <c r="B4960">
        <f>IF(VLOOKUP(Table7[[#This Row],[Date]],Database!$A:$C,MATCH($B$1,Database!$A$1:$C$1,),)=0,#N/A,VLOOKUP(Table7[[#This Row],[Date]],Database!$A:$C,MATCH($B$1,Database!$A$1:$C$1,),))</f>
        <v/>
      </c>
      <c r="C4960">
        <f>IF(VLOOKUP(Table7[[#This Row],[Date]],Database!$A:$C,MATCH($C$1,Database!$A$1:$C$1,),)=0,#N/A,VLOOKUP(Table7[[#This Row],[Date]],Database!$A:$C,MATCH($C$1,Database!$A$1:$C$1,),))</f>
        <v/>
      </c>
      <c r="D4960">
        <f>IFERROR(Table7[[#This Row],[United States 10y]]-Table7[[#This Row],[United States 3y]],#N/A)</f>
        <v/>
      </c>
    </row>
    <row r="4961">
      <c r="A4961" s="6">
        <f>Database!$A7046</f>
        <v/>
      </c>
      <c r="B4961">
        <f>IF(VLOOKUP(Table7[[#This Row],[Date]],Database!$A:$C,MATCH($B$1,Database!$A$1:$C$1,),)=0,#N/A,VLOOKUP(Table7[[#This Row],[Date]],Database!$A:$C,MATCH($B$1,Database!$A$1:$C$1,),))</f>
        <v/>
      </c>
      <c r="C4961">
        <f>IF(VLOOKUP(Table7[[#This Row],[Date]],Database!$A:$C,MATCH($C$1,Database!$A$1:$C$1,),)=0,#N/A,VLOOKUP(Table7[[#This Row],[Date]],Database!$A:$C,MATCH($C$1,Database!$A$1:$C$1,),))</f>
        <v/>
      </c>
      <c r="D4961">
        <f>IFERROR(Table7[[#This Row],[United States 10y]]-Table7[[#This Row],[United States 3y]],#N/A)</f>
        <v/>
      </c>
    </row>
    <row r="4962">
      <c r="A4962" s="6">
        <f>Database!$A7047</f>
        <v/>
      </c>
      <c r="B4962">
        <f>IF(VLOOKUP(Table7[[#This Row],[Date]],Database!$A:$C,MATCH($B$1,Database!$A$1:$C$1,),)=0,#N/A,VLOOKUP(Table7[[#This Row],[Date]],Database!$A:$C,MATCH($B$1,Database!$A$1:$C$1,),))</f>
        <v/>
      </c>
      <c r="C4962">
        <f>IF(VLOOKUP(Table7[[#This Row],[Date]],Database!$A:$C,MATCH($C$1,Database!$A$1:$C$1,),)=0,#N/A,VLOOKUP(Table7[[#This Row],[Date]],Database!$A:$C,MATCH($C$1,Database!$A$1:$C$1,),))</f>
        <v/>
      </c>
      <c r="D4962">
        <f>IFERROR(Table7[[#This Row],[United States 10y]]-Table7[[#This Row],[United States 3y]],#N/A)</f>
        <v/>
      </c>
    </row>
    <row r="4963">
      <c r="A4963" s="6">
        <f>Database!$A7048</f>
        <v/>
      </c>
      <c r="B4963">
        <f>IF(VLOOKUP(Table7[[#This Row],[Date]],Database!$A:$C,MATCH($B$1,Database!$A$1:$C$1,),)=0,#N/A,VLOOKUP(Table7[[#This Row],[Date]],Database!$A:$C,MATCH($B$1,Database!$A$1:$C$1,),))</f>
        <v/>
      </c>
      <c r="C4963">
        <f>IF(VLOOKUP(Table7[[#This Row],[Date]],Database!$A:$C,MATCH($C$1,Database!$A$1:$C$1,),)=0,#N/A,VLOOKUP(Table7[[#This Row],[Date]],Database!$A:$C,MATCH($C$1,Database!$A$1:$C$1,),))</f>
        <v/>
      </c>
      <c r="D4963">
        <f>IFERROR(Table7[[#This Row],[United States 10y]]-Table7[[#This Row],[United States 3y]],#N/A)</f>
        <v/>
      </c>
    </row>
    <row r="4964">
      <c r="A4964" s="6">
        <f>Database!$A7049</f>
        <v/>
      </c>
      <c r="B4964">
        <f>IF(VLOOKUP(Table7[[#This Row],[Date]],Database!$A:$C,MATCH($B$1,Database!$A$1:$C$1,),)=0,#N/A,VLOOKUP(Table7[[#This Row],[Date]],Database!$A:$C,MATCH($B$1,Database!$A$1:$C$1,),))</f>
        <v/>
      </c>
      <c r="C4964">
        <f>IF(VLOOKUP(Table7[[#This Row],[Date]],Database!$A:$C,MATCH($C$1,Database!$A$1:$C$1,),)=0,#N/A,VLOOKUP(Table7[[#This Row],[Date]],Database!$A:$C,MATCH($C$1,Database!$A$1:$C$1,),))</f>
        <v/>
      </c>
      <c r="D4964">
        <f>IFERROR(Table7[[#This Row],[United States 10y]]-Table7[[#This Row],[United States 3y]],#N/A)</f>
        <v/>
      </c>
    </row>
    <row r="4965">
      <c r="A4965" s="6">
        <f>Database!$A7050</f>
        <v/>
      </c>
      <c r="B4965">
        <f>IF(VLOOKUP(Table7[[#This Row],[Date]],Database!$A:$C,MATCH($B$1,Database!$A$1:$C$1,),)=0,#N/A,VLOOKUP(Table7[[#This Row],[Date]],Database!$A:$C,MATCH($B$1,Database!$A$1:$C$1,),))</f>
        <v/>
      </c>
      <c r="C4965">
        <f>IF(VLOOKUP(Table7[[#This Row],[Date]],Database!$A:$C,MATCH($C$1,Database!$A$1:$C$1,),)=0,#N/A,VLOOKUP(Table7[[#This Row],[Date]],Database!$A:$C,MATCH($C$1,Database!$A$1:$C$1,),))</f>
        <v/>
      </c>
      <c r="D4965">
        <f>IFERROR(Table7[[#This Row],[United States 10y]]-Table7[[#This Row],[United States 3y]],#N/A)</f>
        <v/>
      </c>
    </row>
    <row r="4966">
      <c r="A4966" s="6">
        <f>Database!$A7051</f>
        <v/>
      </c>
      <c r="B4966">
        <f>IF(VLOOKUP(Table7[[#This Row],[Date]],Database!$A:$C,MATCH($B$1,Database!$A$1:$C$1,),)=0,#N/A,VLOOKUP(Table7[[#This Row],[Date]],Database!$A:$C,MATCH($B$1,Database!$A$1:$C$1,),))</f>
        <v/>
      </c>
      <c r="C4966">
        <f>IF(VLOOKUP(Table7[[#This Row],[Date]],Database!$A:$C,MATCH($C$1,Database!$A$1:$C$1,),)=0,#N/A,VLOOKUP(Table7[[#This Row],[Date]],Database!$A:$C,MATCH($C$1,Database!$A$1:$C$1,),))</f>
        <v/>
      </c>
      <c r="D4966">
        <f>IFERROR(Table7[[#This Row],[United States 10y]]-Table7[[#This Row],[United States 3y]],#N/A)</f>
        <v/>
      </c>
    </row>
    <row r="4967">
      <c r="A4967" s="6">
        <f>Database!$A7052</f>
        <v/>
      </c>
      <c r="B4967">
        <f>IF(VLOOKUP(Table7[[#This Row],[Date]],Database!$A:$C,MATCH($B$1,Database!$A$1:$C$1,),)=0,#N/A,VLOOKUP(Table7[[#This Row],[Date]],Database!$A:$C,MATCH($B$1,Database!$A$1:$C$1,),))</f>
        <v/>
      </c>
      <c r="C4967">
        <f>IF(VLOOKUP(Table7[[#This Row],[Date]],Database!$A:$C,MATCH($C$1,Database!$A$1:$C$1,),)=0,#N/A,VLOOKUP(Table7[[#This Row],[Date]],Database!$A:$C,MATCH($C$1,Database!$A$1:$C$1,),))</f>
        <v/>
      </c>
      <c r="D4967">
        <f>IFERROR(Table7[[#This Row],[United States 10y]]-Table7[[#This Row],[United States 3y]],#N/A)</f>
        <v/>
      </c>
    </row>
    <row r="4968">
      <c r="A4968" s="6">
        <f>Database!$A7053</f>
        <v/>
      </c>
      <c r="B4968">
        <f>IF(VLOOKUP(Table7[[#This Row],[Date]],Database!$A:$C,MATCH($B$1,Database!$A$1:$C$1,),)=0,#N/A,VLOOKUP(Table7[[#This Row],[Date]],Database!$A:$C,MATCH($B$1,Database!$A$1:$C$1,),))</f>
        <v/>
      </c>
      <c r="C4968">
        <f>IF(VLOOKUP(Table7[[#This Row],[Date]],Database!$A:$C,MATCH($C$1,Database!$A$1:$C$1,),)=0,#N/A,VLOOKUP(Table7[[#This Row],[Date]],Database!$A:$C,MATCH($C$1,Database!$A$1:$C$1,),))</f>
        <v/>
      </c>
      <c r="D4968">
        <f>IFERROR(Table7[[#This Row],[United States 10y]]-Table7[[#This Row],[United States 3y]],#N/A)</f>
        <v/>
      </c>
    </row>
    <row r="4969">
      <c r="A4969" s="6">
        <f>Database!$A7054</f>
        <v/>
      </c>
      <c r="B4969">
        <f>IF(VLOOKUP(Table7[[#This Row],[Date]],Database!$A:$C,MATCH($B$1,Database!$A$1:$C$1,),)=0,#N/A,VLOOKUP(Table7[[#This Row],[Date]],Database!$A:$C,MATCH($B$1,Database!$A$1:$C$1,),))</f>
        <v/>
      </c>
      <c r="C4969">
        <f>IF(VLOOKUP(Table7[[#This Row],[Date]],Database!$A:$C,MATCH($C$1,Database!$A$1:$C$1,),)=0,#N/A,VLOOKUP(Table7[[#This Row],[Date]],Database!$A:$C,MATCH($C$1,Database!$A$1:$C$1,),))</f>
        <v/>
      </c>
      <c r="D4969">
        <f>IFERROR(Table7[[#This Row],[United States 10y]]-Table7[[#This Row],[United States 3y]],#N/A)</f>
        <v/>
      </c>
    </row>
    <row r="4970">
      <c r="A4970" s="6">
        <f>Database!$A7055</f>
        <v/>
      </c>
      <c r="B4970">
        <f>IF(VLOOKUP(Table7[[#This Row],[Date]],Database!$A:$C,MATCH($B$1,Database!$A$1:$C$1,),)=0,#N/A,VLOOKUP(Table7[[#This Row],[Date]],Database!$A:$C,MATCH($B$1,Database!$A$1:$C$1,),))</f>
        <v/>
      </c>
      <c r="C4970">
        <f>IF(VLOOKUP(Table7[[#This Row],[Date]],Database!$A:$C,MATCH($C$1,Database!$A$1:$C$1,),)=0,#N/A,VLOOKUP(Table7[[#This Row],[Date]],Database!$A:$C,MATCH($C$1,Database!$A$1:$C$1,),))</f>
        <v/>
      </c>
      <c r="D4970">
        <f>IFERROR(Table7[[#This Row],[United States 10y]]-Table7[[#This Row],[United States 3y]],#N/A)</f>
        <v/>
      </c>
    </row>
    <row r="4971">
      <c r="A4971" s="6">
        <f>Database!$A7056</f>
        <v/>
      </c>
      <c r="B4971">
        <f>IF(VLOOKUP(Table7[[#This Row],[Date]],Database!$A:$C,MATCH($B$1,Database!$A$1:$C$1,),)=0,#N/A,VLOOKUP(Table7[[#This Row],[Date]],Database!$A:$C,MATCH($B$1,Database!$A$1:$C$1,),))</f>
        <v/>
      </c>
      <c r="C4971">
        <f>IF(VLOOKUP(Table7[[#This Row],[Date]],Database!$A:$C,MATCH($C$1,Database!$A$1:$C$1,),)=0,#N/A,VLOOKUP(Table7[[#This Row],[Date]],Database!$A:$C,MATCH($C$1,Database!$A$1:$C$1,),))</f>
        <v/>
      </c>
      <c r="D4971">
        <f>IFERROR(Table7[[#This Row],[United States 10y]]-Table7[[#This Row],[United States 3y]],#N/A)</f>
        <v/>
      </c>
    </row>
    <row r="4972">
      <c r="A4972" s="6">
        <f>Database!$A7057</f>
        <v/>
      </c>
      <c r="B4972">
        <f>IF(VLOOKUP(Table7[[#This Row],[Date]],Database!$A:$C,MATCH($B$1,Database!$A$1:$C$1,),)=0,#N/A,VLOOKUP(Table7[[#This Row],[Date]],Database!$A:$C,MATCH($B$1,Database!$A$1:$C$1,),))</f>
        <v/>
      </c>
      <c r="C4972">
        <f>IF(VLOOKUP(Table7[[#This Row],[Date]],Database!$A:$C,MATCH($C$1,Database!$A$1:$C$1,),)=0,#N/A,VLOOKUP(Table7[[#This Row],[Date]],Database!$A:$C,MATCH($C$1,Database!$A$1:$C$1,),))</f>
        <v/>
      </c>
      <c r="D4972">
        <f>IFERROR(Table7[[#This Row],[United States 10y]]-Table7[[#This Row],[United States 3y]],#N/A)</f>
        <v/>
      </c>
    </row>
    <row r="4973">
      <c r="A4973" s="6">
        <f>Database!$A7058</f>
        <v/>
      </c>
      <c r="B4973">
        <f>IF(VLOOKUP(Table7[[#This Row],[Date]],Database!$A:$C,MATCH($B$1,Database!$A$1:$C$1,),)=0,#N/A,VLOOKUP(Table7[[#This Row],[Date]],Database!$A:$C,MATCH($B$1,Database!$A$1:$C$1,),))</f>
        <v/>
      </c>
      <c r="C4973">
        <f>IF(VLOOKUP(Table7[[#This Row],[Date]],Database!$A:$C,MATCH($C$1,Database!$A$1:$C$1,),)=0,#N/A,VLOOKUP(Table7[[#This Row],[Date]],Database!$A:$C,MATCH($C$1,Database!$A$1:$C$1,),))</f>
        <v/>
      </c>
      <c r="D4973">
        <f>IFERROR(Table7[[#This Row],[United States 10y]]-Table7[[#This Row],[United States 3y]],#N/A)</f>
        <v/>
      </c>
    </row>
    <row r="4974">
      <c r="A4974" s="6">
        <f>Database!$A7059</f>
        <v/>
      </c>
      <c r="B4974">
        <f>IF(VLOOKUP(Table7[[#This Row],[Date]],Database!$A:$C,MATCH($B$1,Database!$A$1:$C$1,),)=0,#N/A,VLOOKUP(Table7[[#This Row],[Date]],Database!$A:$C,MATCH($B$1,Database!$A$1:$C$1,),))</f>
        <v/>
      </c>
      <c r="C4974">
        <f>IF(VLOOKUP(Table7[[#This Row],[Date]],Database!$A:$C,MATCH($C$1,Database!$A$1:$C$1,),)=0,#N/A,VLOOKUP(Table7[[#This Row],[Date]],Database!$A:$C,MATCH($C$1,Database!$A$1:$C$1,),))</f>
        <v/>
      </c>
      <c r="D4974">
        <f>IFERROR(Table7[[#This Row],[United States 10y]]-Table7[[#This Row],[United States 3y]],#N/A)</f>
        <v/>
      </c>
    </row>
    <row r="4975">
      <c r="A4975" s="6">
        <f>Database!$A7060</f>
        <v/>
      </c>
      <c r="B4975">
        <f>IF(VLOOKUP(Table7[[#This Row],[Date]],Database!$A:$C,MATCH($B$1,Database!$A$1:$C$1,),)=0,#N/A,VLOOKUP(Table7[[#This Row],[Date]],Database!$A:$C,MATCH($B$1,Database!$A$1:$C$1,),))</f>
        <v/>
      </c>
      <c r="C4975">
        <f>IF(VLOOKUP(Table7[[#This Row],[Date]],Database!$A:$C,MATCH($C$1,Database!$A$1:$C$1,),)=0,#N/A,VLOOKUP(Table7[[#This Row],[Date]],Database!$A:$C,MATCH($C$1,Database!$A$1:$C$1,),))</f>
        <v/>
      </c>
      <c r="D4975">
        <f>IFERROR(Table7[[#This Row],[United States 10y]]-Table7[[#This Row],[United States 3y]],#N/A)</f>
        <v/>
      </c>
    </row>
    <row r="4976">
      <c r="A4976" s="6">
        <f>Database!$A7061</f>
        <v/>
      </c>
      <c r="B4976">
        <f>IF(VLOOKUP(Table7[[#This Row],[Date]],Database!$A:$C,MATCH($B$1,Database!$A$1:$C$1,),)=0,#N/A,VLOOKUP(Table7[[#This Row],[Date]],Database!$A:$C,MATCH($B$1,Database!$A$1:$C$1,),))</f>
        <v/>
      </c>
      <c r="C4976">
        <f>IF(VLOOKUP(Table7[[#This Row],[Date]],Database!$A:$C,MATCH($C$1,Database!$A$1:$C$1,),)=0,#N/A,VLOOKUP(Table7[[#This Row],[Date]],Database!$A:$C,MATCH($C$1,Database!$A$1:$C$1,),))</f>
        <v/>
      </c>
      <c r="D4976">
        <f>IFERROR(Table7[[#This Row],[United States 10y]]-Table7[[#This Row],[United States 3y]],#N/A)</f>
        <v/>
      </c>
    </row>
    <row r="4977">
      <c r="A4977" s="6">
        <f>Database!$A7062</f>
        <v/>
      </c>
      <c r="B4977">
        <f>IF(VLOOKUP(Table7[[#This Row],[Date]],Database!$A:$C,MATCH($B$1,Database!$A$1:$C$1,),)=0,#N/A,VLOOKUP(Table7[[#This Row],[Date]],Database!$A:$C,MATCH($B$1,Database!$A$1:$C$1,),))</f>
        <v/>
      </c>
      <c r="C4977">
        <f>IF(VLOOKUP(Table7[[#This Row],[Date]],Database!$A:$C,MATCH($C$1,Database!$A$1:$C$1,),)=0,#N/A,VLOOKUP(Table7[[#This Row],[Date]],Database!$A:$C,MATCH($C$1,Database!$A$1:$C$1,),))</f>
        <v/>
      </c>
      <c r="D4977">
        <f>IFERROR(Table7[[#This Row],[United States 10y]]-Table7[[#This Row],[United States 3y]],#N/A)</f>
        <v/>
      </c>
    </row>
    <row r="4978">
      <c r="A4978" s="6">
        <f>Database!$A7063</f>
        <v/>
      </c>
      <c r="B4978">
        <f>IF(VLOOKUP(Table7[[#This Row],[Date]],Database!$A:$C,MATCH($B$1,Database!$A$1:$C$1,),)=0,#N/A,VLOOKUP(Table7[[#This Row],[Date]],Database!$A:$C,MATCH($B$1,Database!$A$1:$C$1,),))</f>
        <v/>
      </c>
      <c r="C4978">
        <f>IF(VLOOKUP(Table7[[#This Row],[Date]],Database!$A:$C,MATCH($C$1,Database!$A$1:$C$1,),)=0,#N/A,VLOOKUP(Table7[[#This Row],[Date]],Database!$A:$C,MATCH($C$1,Database!$A$1:$C$1,),))</f>
        <v/>
      </c>
      <c r="D4978">
        <f>IFERROR(Table7[[#This Row],[United States 10y]]-Table7[[#This Row],[United States 3y]],#N/A)</f>
        <v/>
      </c>
    </row>
    <row r="4979">
      <c r="A4979" s="6">
        <f>Database!$A7064</f>
        <v/>
      </c>
      <c r="B4979">
        <f>IF(VLOOKUP(Table7[[#This Row],[Date]],Database!$A:$C,MATCH($B$1,Database!$A$1:$C$1,),)=0,#N/A,VLOOKUP(Table7[[#This Row],[Date]],Database!$A:$C,MATCH($B$1,Database!$A$1:$C$1,),))</f>
        <v/>
      </c>
      <c r="C4979">
        <f>IF(VLOOKUP(Table7[[#This Row],[Date]],Database!$A:$C,MATCH($C$1,Database!$A$1:$C$1,),)=0,#N/A,VLOOKUP(Table7[[#This Row],[Date]],Database!$A:$C,MATCH($C$1,Database!$A$1:$C$1,),))</f>
        <v/>
      </c>
      <c r="D4979">
        <f>IFERROR(Table7[[#This Row],[United States 10y]]-Table7[[#This Row],[United States 3y]],#N/A)</f>
        <v/>
      </c>
    </row>
    <row r="4980">
      <c r="A4980" s="6">
        <f>Database!$A7065</f>
        <v/>
      </c>
      <c r="B4980">
        <f>IF(VLOOKUP(Table7[[#This Row],[Date]],Database!$A:$C,MATCH($B$1,Database!$A$1:$C$1,),)=0,#N/A,VLOOKUP(Table7[[#This Row],[Date]],Database!$A:$C,MATCH($B$1,Database!$A$1:$C$1,),))</f>
        <v/>
      </c>
      <c r="C4980">
        <f>IF(VLOOKUP(Table7[[#This Row],[Date]],Database!$A:$C,MATCH($C$1,Database!$A$1:$C$1,),)=0,#N/A,VLOOKUP(Table7[[#This Row],[Date]],Database!$A:$C,MATCH($C$1,Database!$A$1:$C$1,),))</f>
        <v/>
      </c>
      <c r="D4980">
        <f>IFERROR(Table7[[#This Row],[United States 10y]]-Table7[[#This Row],[United States 3y]],#N/A)</f>
        <v/>
      </c>
    </row>
    <row r="4981">
      <c r="A4981" s="6">
        <f>Database!$A7066</f>
        <v/>
      </c>
      <c r="B4981">
        <f>IF(VLOOKUP(Table7[[#This Row],[Date]],Database!$A:$C,MATCH($B$1,Database!$A$1:$C$1,),)=0,#N/A,VLOOKUP(Table7[[#This Row],[Date]],Database!$A:$C,MATCH($B$1,Database!$A$1:$C$1,),))</f>
        <v/>
      </c>
      <c r="C4981">
        <f>IF(VLOOKUP(Table7[[#This Row],[Date]],Database!$A:$C,MATCH($C$1,Database!$A$1:$C$1,),)=0,#N/A,VLOOKUP(Table7[[#This Row],[Date]],Database!$A:$C,MATCH($C$1,Database!$A$1:$C$1,),))</f>
        <v/>
      </c>
      <c r="D4981">
        <f>IFERROR(Table7[[#This Row],[United States 10y]]-Table7[[#This Row],[United States 3y]],#N/A)</f>
        <v/>
      </c>
    </row>
    <row r="4982">
      <c r="A4982" s="6">
        <f>Database!$A7067</f>
        <v/>
      </c>
      <c r="B4982">
        <f>IF(VLOOKUP(Table7[[#This Row],[Date]],Database!$A:$C,MATCH($B$1,Database!$A$1:$C$1,),)=0,#N/A,VLOOKUP(Table7[[#This Row],[Date]],Database!$A:$C,MATCH($B$1,Database!$A$1:$C$1,),))</f>
        <v/>
      </c>
      <c r="C4982">
        <f>IF(VLOOKUP(Table7[[#This Row],[Date]],Database!$A:$C,MATCH($C$1,Database!$A$1:$C$1,),)=0,#N/A,VLOOKUP(Table7[[#This Row],[Date]],Database!$A:$C,MATCH($C$1,Database!$A$1:$C$1,),))</f>
        <v/>
      </c>
      <c r="D4982">
        <f>IFERROR(Table7[[#This Row],[United States 10y]]-Table7[[#This Row],[United States 3y]],#N/A)</f>
        <v/>
      </c>
    </row>
    <row r="4983">
      <c r="A4983" s="6">
        <f>Database!$A7068</f>
        <v/>
      </c>
      <c r="B4983">
        <f>IF(VLOOKUP(Table7[[#This Row],[Date]],Database!$A:$C,MATCH($B$1,Database!$A$1:$C$1,),)=0,#N/A,VLOOKUP(Table7[[#This Row],[Date]],Database!$A:$C,MATCH($B$1,Database!$A$1:$C$1,),))</f>
        <v/>
      </c>
      <c r="C4983">
        <f>IF(VLOOKUP(Table7[[#This Row],[Date]],Database!$A:$C,MATCH($C$1,Database!$A$1:$C$1,),)=0,#N/A,VLOOKUP(Table7[[#This Row],[Date]],Database!$A:$C,MATCH($C$1,Database!$A$1:$C$1,),))</f>
        <v/>
      </c>
      <c r="D4983">
        <f>IFERROR(Table7[[#This Row],[United States 10y]]-Table7[[#This Row],[United States 3y]],#N/A)</f>
        <v/>
      </c>
    </row>
    <row r="4984">
      <c r="A4984" s="6">
        <f>Database!$A7069</f>
        <v/>
      </c>
      <c r="B4984">
        <f>IF(VLOOKUP(Table7[[#This Row],[Date]],Database!$A:$C,MATCH($B$1,Database!$A$1:$C$1,),)=0,#N/A,VLOOKUP(Table7[[#This Row],[Date]],Database!$A:$C,MATCH($B$1,Database!$A$1:$C$1,),))</f>
        <v/>
      </c>
      <c r="C4984">
        <f>IF(VLOOKUP(Table7[[#This Row],[Date]],Database!$A:$C,MATCH($C$1,Database!$A$1:$C$1,),)=0,#N/A,VLOOKUP(Table7[[#This Row],[Date]],Database!$A:$C,MATCH($C$1,Database!$A$1:$C$1,),))</f>
        <v/>
      </c>
      <c r="D4984">
        <f>IFERROR(Table7[[#This Row],[United States 10y]]-Table7[[#This Row],[United States 3y]],#N/A)</f>
        <v/>
      </c>
    </row>
    <row r="4985">
      <c r="A4985" s="6">
        <f>Database!$A7070</f>
        <v/>
      </c>
      <c r="B4985">
        <f>IF(VLOOKUP(Table7[[#This Row],[Date]],Database!$A:$C,MATCH($B$1,Database!$A$1:$C$1,),)=0,#N/A,VLOOKUP(Table7[[#This Row],[Date]],Database!$A:$C,MATCH($B$1,Database!$A$1:$C$1,),))</f>
        <v/>
      </c>
      <c r="C4985">
        <f>IF(VLOOKUP(Table7[[#This Row],[Date]],Database!$A:$C,MATCH($C$1,Database!$A$1:$C$1,),)=0,#N/A,VLOOKUP(Table7[[#This Row],[Date]],Database!$A:$C,MATCH($C$1,Database!$A$1:$C$1,),))</f>
        <v/>
      </c>
      <c r="D4985">
        <f>IFERROR(Table7[[#This Row],[United States 10y]]-Table7[[#This Row],[United States 3y]],#N/A)</f>
        <v/>
      </c>
    </row>
    <row r="4986">
      <c r="A4986" s="6">
        <f>Database!$A7071</f>
        <v/>
      </c>
      <c r="B4986">
        <f>IF(VLOOKUP(Table7[[#This Row],[Date]],Database!$A:$C,MATCH($B$1,Database!$A$1:$C$1,),)=0,#N/A,VLOOKUP(Table7[[#This Row],[Date]],Database!$A:$C,MATCH($B$1,Database!$A$1:$C$1,),))</f>
        <v/>
      </c>
      <c r="C4986">
        <f>IF(VLOOKUP(Table7[[#This Row],[Date]],Database!$A:$C,MATCH($C$1,Database!$A$1:$C$1,),)=0,#N/A,VLOOKUP(Table7[[#This Row],[Date]],Database!$A:$C,MATCH($C$1,Database!$A$1:$C$1,),))</f>
        <v/>
      </c>
      <c r="D4986">
        <f>IFERROR(Table7[[#This Row],[United States 10y]]-Table7[[#This Row],[United States 3y]],#N/A)</f>
        <v/>
      </c>
    </row>
    <row r="4987">
      <c r="A4987" s="6">
        <f>Database!$A7072</f>
        <v/>
      </c>
      <c r="B4987">
        <f>IF(VLOOKUP(Table7[[#This Row],[Date]],Database!$A:$C,MATCH($B$1,Database!$A$1:$C$1,),)=0,#N/A,VLOOKUP(Table7[[#This Row],[Date]],Database!$A:$C,MATCH($B$1,Database!$A$1:$C$1,),))</f>
        <v/>
      </c>
      <c r="C4987">
        <f>IF(VLOOKUP(Table7[[#This Row],[Date]],Database!$A:$C,MATCH($C$1,Database!$A$1:$C$1,),)=0,#N/A,VLOOKUP(Table7[[#This Row],[Date]],Database!$A:$C,MATCH($C$1,Database!$A$1:$C$1,),))</f>
        <v/>
      </c>
      <c r="D4987">
        <f>IFERROR(Table7[[#This Row],[United States 10y]]-Table7[[#This Row],[United States 3y]],#N/A)</f>
        <v/>
      </c>
    </row>
    <row r="4988">
      <c r="A4988" s="6">
        <f>Database!$A7073</f>
        <v/>
      </c>
      <c r="B4988">
        <f>IF(VLOOKUP(Table7[[#This Row],[Date]],Database!$A:$C,MATCH($B$1,Database!$A$1:$C$1,),)=0,#N/A,VLOOKUP(Table7[[#This Row],[Date]],Database!$A:$C,MATCH($B$1,Database!$A$1:$C$1,),))</f>
        <v/>
      </c>
      <c r="C4988">
        <f>IF(VLOOKUP(Table7[[#This Row],[Date]],Database!$A:$C,MATCH($C$1,Database!$A$1:$C$1,),)=0,#N/A,VLOOKUP(Table7[[#This Row],[Date]],Database!$A:$C,MATCH($C$1,Database!$A$1:$C$1,),))</f>
        <v/>
      </c>
      <c r="D4988">
        <f>IFERROR(Table7[[#This Row],[United States 10y]]-Table7[[#This Row],[United States 3y]],#N/A)</f>
        <v/>
      </c>
    </row>
    <row r="4989">
      <c r="A4989" s="6">
        <f>Database!$A7074</f>
        <v/>
      </c>
      <c r="B4989">
        <f>IF(VLOOKUP(Table7[[#This Row],[Date]],Database!$A:$C,MATCH($B$1,Database!$A$1:$C$1,),)=0,#N/A,VLOOKUP(Table7[[#This Row],[Date]],Database!$A:$C,MATCH($B$1,Database!$A$1:$C$1,),))</f>
        <v/>
      </c>
      <c r="C4989">
        <f>IF(VLOOKUP(Table7[[#This Row],[Date]],Database!$A:$C,MATCH($C$1,Database!$A$1:$C$1,),)=0,#N/A,VLOOKUP(Table7[[#This Row],[Date]],Database!$A:$C,MATCH($C$1,Database!$A$1:$C$1,),))</f>
        <v/>
      </c>
      <c r="D4989">
        <f>IFERROR(Table7[[#This Row],[United States 10y]]-Table7[[#This Row],[United States 3y]],#N/A)</f>
        <v/>
      </c>
    </row>
    <row r="4990">
      <c r="A4990" s="6">
        <f>Database!$A7075</f>
        <v/>
      </c>
      <c r="B4990">
        <f>IF(VLOOKUP(Table7[[#This Row],[Date]],Database!$A:$C,MATCH($B$1,Database!$A$1:$C$1,),)=0,#N/A,VLOOKUP(Table7[[#This Row],[Date]],Database!$A:$C,MATCH($B$1,Database!$A$1:$C$1,),))</f>
        <v/>
      </c>
      <c r="C4990">
        <f>IF(VLOOKUP(Table7[[#This Row],[Date]],Database!$A:$C,MATCH($C$1,Database!$A$1:$C$1,),)=0,#N/A,VLOOKUP(Table7[[#This Row],[Date]],Database!$A:$C,MATCH($C$1,Database!$A$1:$C$1,),))</f>
        <v/>
      </c>
      <c r="D4990">
        <f>IFERROR(Table7[[#This Row],[United States 10y]]-Table7[[#This Row],[United States 3y]],#N/A)</f>
        <v/>
      </c>
    </row>
    <row r="4991">
      <c r="A4991" s="6">
        <f>Database!$A7076</f>
        <v/>
      </c>
      <c r="B4991">
        <f>IF(VLOOKUP(Table7[[#This Row],[Date]],Database!$A:$C,MATCH($B$1,Database!$A$1:$C$1,),)=0,#N/A,VLOOKUP(Table7[[#This Row],[Date]],Database!$A:$C,MATCH($B$1,Database!$A$1:$C$1,),))</f>
        <v/>
      </c>
      <c r="C4991">
        <f>IF(VLOOKUP(Table7[[#This Row],[Date]],Database!$A:$C,MATCH($C$1,Database!$A$1:$C$1,),)=0,#N/A,VLOOKUP(Table7[[#This Row],[Date]],Database!$A:$C,MATCH($C$1,Database!$A$1:$C$1,),))</f>
        <v/>
      </c>
      <c r="D4991">
        <f>IFERROR(Table7[[#This Row],[United States 10y]]-Table7[[#This Row],[United States 3y]],#N/A)</f>
        <v/>
      </c>
    </row>
    <row r="4992">
      <c r="A4992" s="6">
        <f>Database!$A7077</f>
        <v/>
      </c>
      <c r="B4992">
        <f>IF(VLOOKUP(Table7[[#This Row],[Date]],Database!$A:$C,MATCH($B$1,Database!$A$1:$C$1,),)=0,#N/A,VLOOKUP(Table7[[#This Row],[Date]],Database!$A:$C,MATCH($B$1,Database!$A$1:$C$1,),))</f>
        <v/>
      </c>
      <c r="C4992">
        <f>IF(VLOOKUP(Table7[[#This Row],[Date]],Database!$A:$C,MATCH($C$1,Database!$A$1:$C$1,),)=0,#N/A,VLOOKUP(Table7[[#This Row],[Date]],Database!$A:$C,MATCH($C$1,Database!$A$1:$C$1,),))</f>
        <v/>
      </c>
      <c r="D4992">
        <f>IFERROR(Table7[[#This Row],[United States 10y]]-Table7[[#This Row],[United States 3y]],#N/A)</f>
        <v/>
      </c>
    </row>
    <row r="4993">
      <c r="A4993" s="6">
        <f>Database!$A7078</f>
        <v/>
      </c>
      <c r="B4993">
        <f>IF(VLOOKUP(Table7[[#This Row],[Date]],Database!$A:$C,MATCH($B$1,Database!$A$1:$C$1,),)=0,#N/A,VLOOKUP(Table7[[#This Row],[Date]],Database!$A:$C,MATCH($B$1,Database!$A$1:$C$1,),))</f>
        <v/>
      </c>
      <c r="C4993">
        <f>IF(VLOOKUP(Table7[[#This Row],[Date]],Database!$A:$C,MATCH($C$1,Database!$A$1:$C$1,),)=0,#N/A,VLOOKUP(Table7[[#This Row],[Date]],Database!$A:$C,MATCH($C$1,Database!$A$1:$C$1,),))</f>
        <v/>
      </c>
      <c r="D4993">
        <f>IFERROR(Table7[[#This Row],[United States 10y]]-Table7[[#This Row],[United States 3y]],#N/A)</f>
        <v/>
      </c>
    </row>
    <row r="4994">
      <c r="A4994" s="6">
        <f>Database!$A7079</f>
        <v/>
      </c>
      <c r="B4994">
        <f>IF(VLOOKUP(Table7[[#This Row],[Date]],Database!$A:$C,MATCH($B$1,Database!$A$1:$C$1,),)=0,#N/A,VLOOKUP(Table7[[#This Row],[Date]],Database!$A:$C,MATCH($B$1,Database!$A$1:$C$1,),))</f>
        <v/>
      </c>
      <c r="C4994">
        <f>IF(VLOOKUP(Table7[[#This Row],[Date]],Database!$A:$C,MATCH($C$1,Database!$A$1:$C$1,),)=0,#N/A,VLOOKUP(Table7[[#This Row],[Date]],Database!$A:$C,MATCH($C$1,Database!$A$1:$C$1,),))</f>
        <v/>
      </c>
      <c r="D4994">
        <f>IFERROR(Table7[[#This Row],[United States 10y]]-Table7[[#This Row],[United States 3y]],#N/A)</f>
        <v/>
      </c>
    </row>
    <row r="4995">
      <c r="A4995" s="6">
        <f>Database!$A7080</f>
        <v/>
      </c>
      <c r="B4995">
        <f>IF(VLOOKUP(Table7[[#This Row],[Date]],Database!$A:$C,MATCH($B$1,Database!$A$1:$C$1,),)=0,#N/A,VLOOKUP(Table7[[#This Row],[Date]],Database!$A:$C,MATCH($B$1,Database!$A$1:$C$1,),))</f>
        <v/>
      </c>
      <c r="C4995">
        <f>IF(VLOOKUP(Table7[[#This Row],[Date]],Database!$A:$C,MATCH($C$1,Database!$A$1:$C$1,),)=0,#N/A,VLOOKUP(Table7[[#This Row],[Date]],Database!$A:$C,MATCH($C$1,Database!$A$1:$C$1,),))</f>
        <v/>
      </c>
      <c r="D4995">
        <f>IFERROR(Table7[[#This Row],[United States 10y]]-Table7[[#This Row],[United States 3y]],#N/A)</f>
        <v/>
      </c>
    </row>
    <row r="4996">
      <c r="A4996" s="6">
        <f>Database!$A7081</f>
        <v/>
      </c>
      <c r="B4996">
        <f>IF(VLOOKUP(Table7[[#This Row],[Date]],Database!$A:$C,MATCH($B$1,Database!$A$1:$C$1,),)=0,#N/A,VLOOKUP(Table7[[#This Row],[Date]],Database!$A:$C,MATCH($B$1,Database!$A$1:$C$1,),))</f>
        <v/>
      </c>
      <c r="C4996">
        <f>IF(VLOOKUP(Table7[[#This Row],[Date]],Database!$A:$C,MATCH($C$1,Database!$A$1:$C$1,),)=0,#N/A,VLOOKUP(Table7[[#This Row],[Date]],Database!$A:$C,MATCH($C$1,Database!$A$1:$C$1,),))</f>
        <v/>
      </c>
      <c r="D4996">
        <f>IFERROR(Table7[[#This Row],[United States 10y]]-Table7[[#This Row],[United States 3y]],#N/A)</f>
        <v/>
      </c>
    </row>
    <row r="4997">
      <c r="A4997" s="6">
        <f>Database!$A7082</f>
        <v/>
      </c>
      <c r="B4997">
        <f>IF(VLOOKUP(Table7[[#This Row],[Date]],Database!$A:$C,MATCH($B$1,Database!$A$1:$C$1,),)=0,#N/A,VLOOKUP(Table7[[#This Row],[Date]],Database!$A:$C,MATCH($B$1,Database!$A$1:$C$1,),))</f>
        <v/>
      </c>
      <c r="C4997">
        <f>IF(VLOOKUP(Table7[[#This Row],[Date]],Database!$A:$C,MATCH($C$1,Database!$A$1:$C$1,),)=0,#N/A,VLOOKUP(Table7[[#This Row],[Date]],Database!$A:$C,MATCH($C$1,Database!$A$1:$C$1,),))</f>
        <v/>
      </c>
      <c r="D4997">
        <f>IFERROR(Table7[[#This Row],[United States 10y]]-Table7[[#This Row],[United States 3y]],#N/A)</f>
        <v/>
      </c>
    </row>
    <row r="4998">
      <c r="A4998" s="6">
        <f>Database!$A7083</f>
        <v/>
      </c>
      <c r="B4998">
        <f>IF(VLOOKUP(Table7[[#This Row],[Date]],Database!$A:$C,MATCH($B$1,Database!$A$1:$C$1,),)=0,#N/A,VLOOKUP(Table7[[#This Row],[Date]],Database!$A:$C,MATCH($B$1,Database!$A$1:$C$1,),))</f>
        <v/>
      </c>
      <c r="C4998">
        <f>IF(VLOOKUP(Table7[[#This Row],[Date]],Database!$A:$C,MATCH($C$1,Database!$A$1:$C$1,),)=0,#N/A,VLOOKUP(Table7[[#This Row],[Date]],Database!$A:$C,MATCH($C$1,Database!$A$1:$C$1,),))</f>
        <v/>
      </c>
      <c r="D4998">
        <f>IFERROR(Table7[[#This Row],[United States 10y]]-Table7[[#This Row],[United States 3y]],#N/A)</f>
        <v/>
      </c>
    </row>
    <row r="4999">
      <c r="A4999" s="6">
        <f>Database!$A7084</f>
        <v/>
      </c>
      <c r="B4999">
        <f>IF(VLOOKUP(Table7[[#This Row],[Date]],Database!$A:$C,MATCH($B$1,Database!$A$1:$C$1,),)=0,#N/A,VLOOKUP(Table7[[#This Row],[Date]],Database!$A:$C,MATCH($B$1,Database!$A$1:$C$1,),))</f>
        <v/>
      </c>
      <c r="C4999">
        <f>IF(VLOOKUP(Table7[[#This Row],[Date]],Database!$A:$C,MATCH($C$1,Database!$A$1:$C$1,),)=0,#N/A,VLOOKUP(Table7[[#This Row],[Date]],Database!$A:$C,MATCH($C$1,Database!$A$1:$C$1,),))</f>
        <v/>
      </c>
      <c r="D4999">
        <f>IFERROR(Table7[[#This Row],[United States 10y]]-Table7[[#This Row],[United States 3y]],#N/A)</f>
        <v/>
      </c>
    </row>
    <row r="5000">
      <c r="A5000" s="6">
        <f>Database!$A7085</f>
        <v/>
      </c>
      <c r="B5000">
        <f>IF(VLOOKUP(Table7[[#This Row],[Date]],Database!$A:$C,MATCH($B$1,Database!$A$1:$C$1,),)=0,#N/A,VLOOKUP(Table7[[#This Row],[Date]],Database!$A:$C,MATCH($B$1,Database!$A$1:$C$1,),))</f>
        <v/>
      </c>
      <c r="C5000">
        <f>IF(VLOOKUP(Table7[[#This Row],[Date]],Database!$A:$C,MATCH($C$1,Database!$A$1:$C$1,),)=0,#N/A,VLOOKUP(Table7[[#This Row],[Date]],Database!$A:$C,MATCH($C$1,Database!$A$1:$C$1,),))</f>
        <v/>
      </c>
      <c r="D5000">
        <f>IFERROR(Table7[[#This Row],[United States 10y]]-Table7[[#This Row],[United States 3y]],#N/A)</f>
        <v/>
      </c>
    </row>
    <row r="5001">
      <c r="A5001" s="6">
        <f>Database!$A7086</f>
        <v/>
      </c>
      <c r="B5001">
        <f>IF(VLOOKUP(Table7[[#This Row],[Date]],Database!$A:$C,MATCH($B$1,Database!$A$1:$C$1,),)=0,#N/A,VLOOKUP(Table7[[#This Row],[Date]],Database!$A:$C,MATCH($B$1,Database!$A$1:$C$1,),))</f>
        <v/>
      </c>
      <c r="C5001">
        <f>IF(VLOOKUP(Table7[[#This Row],[Date]],Database!$A:$C,MATCH($C$1,Database!$A$1:$C$1,),)=0,#N/A,VLOOKUP(Table7[[#This Row],[Date]],Database!$A:$C,MATCH($C$1,Database!$A$1:$C$1,),))</f>
        <v/>
      </c>
      <c r="D5001">
        <f>IFERROR(Table7[[#This Row],[United States 10y]]-Table7[[#This Row],[United States 3y]],#N/A)</f>
        <v/>
      </c>
    </row>
    <row r="5002">
      <c r="A5002" s="6">
        <f>Database!$A7087</f>
        <v/>
      </c>
      <c r="B5002">
        <f>IF(VLOOKUP(Table7[[#This Row],[Date]],Database!$A:$C,MATCH($B$1,Database!$A$1:$C$1,),)=0,#N/A,VLOOKUP(Table7[[#This Row],[Date]],Database!$A:$C,MATCH($B$1,Database!$A$1:$C$1,),))</f>
        <v/>
      </c>
      <c r="C5002">
        <f>IF(VLOOKUP(Table7[[#This Row],[Date]],Database!$A:$C,MATCH($C$1,Database!$A$1:$C$1,),)=0,#N/A,VLOOKUP(Table7[[#This Row],[Date]],Database!$A:$C,MATCH($C$1,Database!$A$1:$C$1,),))</f>
        <v/>
      </c>
      <c r="D5002">
        <f>IFERROR(Table7[[#This Row],[United States 10y]]-Table7[[#This Row],[United States 3y]],#N/A)</f>
        <v/>
      </c>
    </row>
    <row r="5003">
      <c r="A5003" s="6">
        <f>Database!$A7088</f>
        <v/>
      </c>
      <c r="B5003">
        <f>IF(VLOOKUP(Table7[[#This Row],[Date]],Database!$A:$C,MATCH($B$1,Database!$A$1:$C$1,),)=0,#N/A,VLOOKUP(Table7[[#This Row],[Date]],Database!$A:$C,MATCH($B$1,Database!$A$1:$C$1,),))</f>
        <v/>
      </c>
      <c r="C5003">
        <f>IF(VLOOKUP(Table7[[#This Row],[Date]],Database!$A:$C,MATCH($C$1,Database!$A$1:$C$1,),)=0,#N/A,VLOOKUP(Table7[[#This Row],[Date]],Database!$A:$C,MATCH($C$1,Database!$A$1:$C$1,),))</f>
        <v/>
      </c>
      <c r="D5003">
        <f>IFERROR(Table7[[#This Row],[United States 10y]]-Table7[[#This Row],[United States 3y]],#N/A)</f>
        <v/>
      </c>
    </row>
    <row r="5004">
      <c r="A5004" s="6">
        <f>Database!$A7089</f>
        <v/>
      </c>
      <c r="B5004">
        <f>IF(VLOOKUP(Table7[[#This Row],[Date]],Database!$A:$C,MATCH($B$1,Database!$A$1:$C$1,),)=0,#N/A,VLOOKUP(Table7[[#This Row],[Date]],Database!$A:$C,MATCH($B$1,Database!$A$1:$C$1,),))</f>
        <v/>
      </c>
      <c r="C5004">
        <f>IF(VLOOKUP(Table7[[#This Row],[Date]],Database!$A:$C,MATCH($C$1,Database!$A$1:$C$1,),)=0,#N/A,VLOOKUP(Table7[[#This Row],[Date]],Database!$A:$C,MATCH($C$1,Database!$A$1:$C$1,),))</f>
        <v/>
      </c>
      <c r="D5004">
        <f>IFERROR(Table7[[#This Row],[United States 10y]]-Table7[[#This Row],[United States 3y]],#N/A)</f>
        <v/>
      </c>
    </row>
    <row r="5005">
      <c r="A5005" s="6">
        <f>Database!$A7090</f>
        <v/>
      </c>
      <c r="B5005">
        <f>IF(VLOOKUP(Table7[[#This Row],[Date]],Database!$A:$C,MATCH($B$1,Database!$A$1:$C$1,),)=0,#N/A,VLOOKUP(Table7[[#This Row],[Date]],Database!$A:$C,MATCH($B$1,Database!$A$1:$C$1,),))</f>
        <v/>
      </c>
      <c r="C5005">
        <f>IF(VLOOKUP(Table7[[#This Row],[Date]],Database!$A:$C,MATCH($C$1,Database!$A$1:$C$1,),)=0,#N/A,VLOOKUP(Table7[[#This Row],[Date]],Database!$A:$C,MATCH($C$1,Database!$A$1:$C$1,),))</f>
        <v/>
      </c>
      <c r="D5005">
        <f>IFERROR(Table7[[#This Row],[United States 10y]]-Table7[[#This Row],[United States 3y]],#N/A)</f>
        <v/>
      </c>
    </row>
    <row r="5006">
      <c r="A5006" s="6">
        <f>Database!$A7091</f>
        <v/>
      </c>
      <c r="B5006">
        <f>IF(VLOOKUP(Table7[[#This Row],[Date]],Database!$A:$C,MATCH($B$1,Database!$A$1:$C$1,),)=0,#N/A,VLOOKUP(Table7[[#This Row],[Date]],Database!$A:$C,MATCH($B$1,Database!$A$1:$C$1,),))</f>
        <v/>
      </c>
      <c r="C5006">
        <f>IF(VLOOKUP(Table7[[#This Row],[Date]],Database!$A:$C,MATCH($C$1,Database!$A$1:$C$1,),)=0,#N/A,VLOOKUP(Table7[[#This Row],[Date]],Database!$A:$C,MATCH($C$1,Database!$A$1:$C$1,),))</f>
        <v/>
      </c>
      <c r="D5006">
        <f>IFERROR(Table7[[#This Row],[United States 10y]]-Table7[[#This Row],[United States 3y]],#N/A)</f>
        <v/>
      </c>
    </row>
    <row r="5007">
      <c r="A5007" s="6">
        <f>Database!$A7092</f>
        <v/>
      </c>
      <c r="B5007">
        <f>IF(VLOOKUP(Table7[[#This Row],[Date]],Database!$A:$C,MATCH($B$1,Database!$A$1:$C$1,),)=0,#N/A,VLOOKUP(Table7[[#This Row],[Date]],Database!$A:$C,MATCH($B$1,Database!$A$1:$C$1,),))</f>
        <v/>
      </c>
      <c r="C5007">
        <f>IF(VLOOKUP(Table7[[#This Row],[Date]],Database!$A:$C,MATCH($C$1,Database!$A$1:$C$1,),)=0,#N/A,VLOOKUP(Table7[[#This Row],[Date]],Database!$A:$C,MATCH($C$1,Database!$A$1:$C$1,),))</f>
        <v/>
      </c>
      <c r="D5007">
        <f>IFERROR(Table7[[#This Row],[United States 10y]]-Table7[[#This Row],[United States 3y]],#N/A)</f>
        <v/>
      </c>
    </row>
    <row r="5008">
      <c r="A5008" s="6">
        <f>Database!$A7093</f>
        <v/>
      </c>
      <c r="B5008">
        <f>IF(VLOOKUP(Table7[[#This Row],[Date]],Database!$A:$C,MATCH($B$1,Database!$A$1:$C$1,),)=0,#N/A,VLOOKUP(Table7[[#This Row],[Date]],Database!$A:$C,MATCH($B$1,Database!$A$1:$C$1,),))</f>
        <v/>
      </c>
      <c r="C5008">
        <f>IF(VLOOKUP(Table7[[#This Row],[Date]],Database!$A:$C,MATCH($C$1,Database!$A$1:$C$1,),)=0,#N/A,VLOOKUP(Table7[[#This Row],[Date]],Database!$A:$C,MATCH($C$1,Database!$A$1:$C$1,),))</f>
        <v/>
      </c>
      <c r="D5008">
        <f>IFERROR(Table7[[#This Row],[United States 10y]]-Table7[[#This Row],[United States 3y]],#N/A)</f>
        <v/>
      </c>
    </row>
    <row r="5009">
      <c r="A5009" s="6">
        <f>Database!$A7094</f>
        <v/>
      </c>
      <c r="B5009">
        <f>IF(VLOOKUP(Table7[[#This Row],[Date]],Database!$A:$C,MATCH($B$1,Database!$A$1:$C$1,),)=0,#N/A,VLOOKUP(Table7[[#This Row],[Date]],Database!$A:$C,MATCH($B$1,Database!$A$1:$C$1,),))</f>
        <v/>
      </c>
      <c r="C5009">
        <f>IF(VLOOKUP(Table7[[#This Row],[Date]],Database!$A:$C,MATCH($C$1,Database!$A$1:$C$1,),)=0,#N/A,VLOOKUP(Table7[[#This Row],[Date]],Database!$A:$C,MATCH($C$1,Database!$A$1:$C$1,),))</f>
        <v/>
      </c>
      <c r="D5009">
        <f>IFERROR(Table7[[#This Row],[United States 10y]]-Table7[[#This Row],[United States 3y]],#N/A)</f>
        <v/>
      </c>
    </row>
    <row r="5010">
      <c r="A5010" s="6">
        <f>Database!$A7095</f>
        <v/>
      </c>
      <c r="B5010">
        <f>IF(VLOOKUP(Table7[[#This Row],[Date]],Database!$A:$C,MATCH($B$1,Database!$A$1:$C$1,),)=0,#N/A,VLOOKUP(Table7[[#This Row],[Date]],Database!$A:$C,MATCH($B$1,Database!$A$1:$C$1,),))</f>
        <v/>
      </c>
      <c r="C5010">
        <f>IF(VLOOKUP(Table7[[#This Row],[Date]],Database!$A:$C,MATCH($C$1,Database!$A$1:$C$1,),)=0,#N/A,VLOOKUP(Table7[[#This Row],[Date]],Database!$A:$C,MATCH($C$1,Database!$A$1:$C$1,),))</f>
        <v/>
      </c>
      <c r="D5010">
        <f>IFERROR(Table7[[#This Row],[United States 10y]]-Table7[[#This Row],[United States 3y]],#N/A)</f>
        <v/>
      </c>
    </row>
    <row r="5011">
      <c r="A5011" s="6">
        <f>Database!$A7096</f>
        <v/>
      </c>
      <c r="B5011">
        <f>IF(VLOOKUP(Table7[[#This Row],[Date]],Database!$A:$C,MATCH($B$1,Database!$A$1:$C$1,),)=0,#N/A,VLOOKUP(Table7[[#This Row],[Date]],Database!$A:$C,MATCH($B$1,Database!$A$1:$C$1,),))</f>
        <v/>
      </c>
      <c r="C5011">
        <f>IF(VLOOKUP(Table7[[#This Row],[Date]],Database!$A:$C,MATCH($C$1,Database!$A$1:$C$1,),)=0,#N/A,VLOOKUP(Table7[[#This Row],[Date]],Database!$A:$C,MATCH($C$1,Database!$A$1:$C$1,),))</f>
        <v/>
      </c>
      <c r="D5011">
        <f>IFERROR(Table7[[#This Row],[United States 10y]]-Table7[[#This Row],[United States 3y]],#N/A)</f>
        <v/>
      </c>
    </row>
    <row r="5012">
      <c r="A5012" s="6">
        <f>Database!$A7097</f>
        <v/>
      </c>
      <c r="B5012">
        <f>IF(VLOOKUP(Table7[[#This Row],[Date]],Database!$A:$C,MATCH($B$1,Database!$A$1:$C$1,),)=0,#N/A,VLOOKUP(Table7[[#This Row],[Date]],Database!$A:$C,MATCH($B$1,Database!$A$1:$C$1,),))</f>
        <v/>
      </c>
      <c r="C5012">
        <f>IF(VLOOKUP(Table7[[#This Row],[Date]],Database!$A:$C,MATCH($C$1,Database!$A$1:$C$1,),)=0,#N/A,VLOOKUP(Table7[[#This Row],[Date]],Database!$A:$C,MATCH($C$1,Database!$A$1:$C$1,),))</f>
        <v/>
      </c>
      <c r="D5012">
        <f>IFERROR(Table7[[#This Row],[United States 10y]]-Table7[[#This Row],[United States 3y]],#N/A)</f>
        <v/>
      </c>
    </row>
    <row r="5013">
      <c r="A5013" s="6">
        <f>Database!$A7098</f>
        <v/>
      </c>
      <c r="B5013">
        <f>IF(VLOOKUP(Table7[[#This Row],[Date]],Database!$A:$C,MATCH($B$1,Database!$A$1:$C$1,),)=0,#N/A,VLOOKUP(Table7[[#This Row],[Date]],Database!$A:$C,MATCH($B$1,Database!$A$1:$C$1,),))</f>
        <v/>
      </c>
      <c r="C5013">
        <f>IF(VLOOKUP(Table7[[#This Row],[Date]],Database!$A:$C,MATCH($C$1,Database!$A$1:$C$1,),)=0,#N/A,VLOOKUP(Table7[[#This Row],[Date]],Database!$A:$C,MATCH($C$1,Database!$A$1:$C$1,),))</f>
        <v/>
      </c>
      <c r="D5013">
        <f>IFERROR(Table7[[#This Row],[United States 10y]]-Table7[[#This Row],[United States 3y]],#N/A)</f>
        <v/>
      </c>
    </row>
    <row r="5014">
      <c r="A5014" s="6">
        <f>Database!$A7099</f>
        <v/>
      </c>
      <c r="B5014">
        <f>IF(VLOOKUP(Table7[[#This Row],[Date]],Database!$A:$C,MATCH($B$1,Database!$A$1:$C$1,),)=0,#N/A,VLOOKUP(Table7[[#This Row],[Date]],Database!$A:$C,MATCH($B$1,Database!$A$1:$C$1,),))</f>
        <v/>
      </c>
      <c r="C5014">
        <f>IF(VLOOKUP(Table7[[#This Row],[Date]],Database!$A:$C,MATCH($C$1,Database!$A$1:$C$1,),)=0,#N/A,VLOOKUP(Table7[[#This Row],[Date]],Database!$A:$C,MATCH($C$1,Database!$A$1:$C$1,),))</f>
        <v/>
      </c>
      <c r="D5014">
        <f>IFERROR(Table7[[#This Row],[United States 10y]]-Table7[[#This Row],[United States 3y]],#N/A)</f>
        <v/>
      </c>
    </row>
    <row r="5015">
      <c r="A5015" s="6">
        <f>Database!$A7100</f>
        <v/>
      </c>
      <c r="B5015">
        <f>IF(VLOOKUP(Table7[[#This Row],[Date]],Database!$A:$C,MATCH($B$1,Database!$A$1:$C$1,),)=0,#N/A,VLOOKUP(Table7[[#This Row],[Date]],Database!$A:$C,MATCH($B$1,Database!$A$1:$C$1,),))</f>
        <v/>
      </c>
      <c r="C5015">
        <f>IF(VLOOKUP(Table7[[#This Row],[Date]],Database!$A:$C,MATCH($C$1,Database!$A$1:$C$1,),)=0,#N/A,VLOOKUP(Table7[[#This Row],[Date]],Database!$A:$C,MATCH($C$1,Database!$A$1:$C$1,),))</f>
        <v/>
      </c>
      <c r="D5015">
        <f>IFERROR(Table7[[#This Row],[United States 10y]]-Table7[[#This Row],[United States 3y]],#N/A)</f>
        <v/>
      </c>
    </row>
    <row r="5016">
      <c r="A5016" s="6">
        <f>Database!$A7101</f>
        <v/>
      </c>
      <c r="B5016">
        <f>IF(VLOOKUP(Table7[[#This Row],[Date]],Database!$A:$C,MATCH($B$1,Database!$A$1:$C$1,),)=0,#N/A,VLOOKUP(Table7[[#This Row],[Date]],Database!$A:$C,MATCH($B$1,Database!$A$1:$C$1,),))</f>
        <v/>
      </c>
      <c r="C5016">
        <f>IF(VLOOKUP(Table7[[#This Row],[Date]],Database!$A:$C,MATCH($C$1,Database!$A$1:$C$1,),)=0,#N/A,VLOOKUP(Table7[[#This Row],[Date]],Database!$A:$C,MATCH($C$1,Database!$A$1:$C$1,),))</f>
        <v/>
      </c>
      <c r="D5016">
        <f>IFERROR(Table7[[#This Row],[United States 10y]]-Table7[[#This Row],[United States 3y]],#N/A)</f>
        <v/>
      </c>
    </row>
    <row r="5017">
      <c r="A5017" s="6">
        <f>Database!$A7102</f>
        <v/>
      </c>
      <c r="B5017">
        <f>IF(VLOOKUP(Table7[[#This Row],[Date]],Database!$A:$C,MATCH($B$1,Database!$A$1:$C$1,),)=0,#N/A,VLOOKUP(Table7[[#This Row],[Date]],Database!$A:$C,MATCH($B$1,Database!$A$1:$C$1,),))</f>
        <v/>
      </c>
      <c r="C5017">
        <f>IF(VLOOKUP(Table7[[#This Row],[Date]],Database!$A:$C,MATCH($C$1,Database!$A$1:$C$1,),)=0,#N/A,VLOOKUP(Table7[[#This Row],[Date]],Database!$A:$C,MATCH($C$1,Database!$A$1:$C$1,),))</f>
        <v/>
      </c>
      <c r="D5017">
        <f>IFERROR(Table7[[#This Row],[United States 10y]]-Table7[[#This Row],[United States 3y]],#N/A)</f>
        <v/>
      </c>
    </row>
    <row r="5018">
      <c r="A5018" s="6">
        <f>Database!$A7103</f>
        <v/>
      </c>
      <c r="B5018">
        <f>IF(VLOOKUP(Table7[[#This Row],[Date]],Database!$A:$C,MATCH($B$1,Database!$A$1:$C$1,),)=0,#N/A,VLOOKUP(Table7[[#This Row],[Date]],Database!$A:$C,MATCH($B$1,Database!$A$1:$C$1,),))</f>
        <v/>
      </c>
      <c r="C5018">
        <f>IF(VLOOKUP(Table7[[#This Row],[Date]],Database!$A:$C,MATCH($C$1,Database!$A$1:$C$1,),)=0,#N/A,VLOOKUP(Table7[[#This Row],[Date]],Database!$A:$C,MATCH($C$1,Database!$A$1:$C$1,),))</f>
        <v/>
      </c>
      <c r="D5018">
        <f>IFERROR(Table7[[#This Row],[United States 10y]]-Table7[[#This Row],[United States 3y]],#N/A)</f>
        <v/>
      </c>
    </row>
    <row r="5019">
      <c r="A5019" s="6">
        <f>Database!$A7104</f>
        <v/>
      </c>
      <c r="B5019">
        <f>IF(VLOOKUP(Table7[[#This Row],[Date]],Database!$A:$C,MATCH($B$1,Database!$A$1:$C$1,),)=0,#N/A,VLOOKUP(Table7[[#This Row],[Date]],Database!$A:$C,MATCH($B$1,Database!$A$1:$C$1,),))</f>
        <v/>
      </c>
      <c r="C5019">
        <f>IF(VLOOKUP(Table7[[#This Row],[Date]],Database!$A:$C,MATCH($C$1,Database!$A$1:$C$1,),)=0,#N/A,VLOOKUP(Table7[[#This Row],[Date]],Database!$A:$C,MATCH($C$1,Database!$A$1:$C$1,),))</f>
        <v/>
      </c>
      <c r="D5019">
        <f>IFERROR(Table7[[#This Row],[United States 10y]]-Table7[[#This Row],[United States 3y]],#N/A)</f>
        <v/>
      </c>
    </row>
    <row r="5020">
      <c r="A5020" s="6">
        <f>Database!$A7105</f>
        <v/>
      </c>
      <c r="B5020">
        <f>IF(VLOOKUP(Table7[[#This Row],[Date]],Database!$A:$C,MATCH($B$1,Database!$A$1:$C$1,),)=0,#N/A,VLOOKUP(Table7[[#This Row],[Date]],Database!$A:$C,MATCH($B$1,Database!$A$1:$C$1,),))</f>
        <v/>
      </c>
      <c r="C5020">
        <f>IF(VLOOKUP(Table7[[#This Row],[Date]],Database!$A:$C,MATCH($C$1,Database!$A$1:$C$1,),)=0,#N/A,VLOOKUP(Table7[[#This Row],[Date]],Database!$A:$C,MATCH($C$1,Database!$A$1:$C$1,),))</f>
        <v/>
      </c>
      <c r="D5020">
        <f>IFERROR(Table7[[#This Row],[United States 10y]]-Table7[[#This Row],[United States 3y]],#N/A)</f>
        <v/>
      </c>
    </row>
    <row r="5021">
      <c r="A5021" s="6">
        <f>Database!$A7106</f>
        <v/>
      </c>
      <c r="B5021">
        <f>IF(VLOOKUP(Table7[[#This Row],[Date]],Database!$A:$C,MATCH($B$1,Database!$A$1:$C$1,),)=0,#N/A,VLOOKUP(Table7[[#This Row],[Date]],Database!$A:$C,MATCH($B$1,Database!$A$1:$C$1,),))</f>
        <v/>
      </c>
      <c r="C5021">
        <f>IF(VLOOKUP(Table7[[#This Row],[Date]],Database!$A:$C,MATCH($C$1,Database!$A$1:$C$1,),)=0,#N/A,VLOOKUP(Table7[[#This Row],[Date]],Database!$A:$C,MATCH($C$1,Database!$A$1:$C$1,),))</f>
        <v/>
      </c>
      <c r="D5021">
        <f>IFERROR(Table7[[#This Row],[United States 10y]]-Table7[[#This Row],[United States 3y]],#N/A)</f>
        <v/>
      </c>
    </row>
    <row r="5022">
      <c r="A5022" s="6">
        <f>Database!$A7107</f>
        <v/>
      </c>
      <c r="B5022">
        <f>IF(VLOOKUP(Table7[[#This Row],[Date]],Database!$A:$C,MATCH($B$1,Database!$A$1:$C$1,),)=0,#N/A,VLOOKUP(Table7[[#This Row],[Date]],Database!$A:$C,MATCH($B$1,Database!$A$1:$C$1,),))</f>
        <v/>
      </c>
      <c r="C5022">
        <f>IF(VLOOKUP(Table7[[#This Row],[Date]],Database!$A:$C,MATCH($C$1,Database!$A$1:$C$1,),)=0,#N/A,VLOOKUP(Table7[[#This Row],[Date]],Database!$A:$C,MATCH($C$1,Database!$A$1:$C$1,),))</f>
        <v/>
      </c>
      <c r="D5022">
        <f>IFERROR(Table7[[#This Row],[United States 10y]]-Table7[[#This Row],[United States 3y]],#N/A)</f>
        <v/>
      </c>
    </row>
    <row r="5023">
      <c r="A5023" s="6">
        <f>Database!$A7108</f>
        <v/>
      </c>
      <c r="B5023">
        <f>IF(VLOOKUP(Table7[[#This Row],[Date]],Database!$A:$C,MATCH($B$1,Database!$A$1:$C$1,),)=0,#N/A,VLOOKUP(Table7[[#This Row],[Date]],Database!$A:$C,MATCH($B$1,Database!$A$1:$C$1,),))</f>
        <v/>
      </c>
      <c r="C5023">
        <f>IF(VLOOKUP(Table7[[#This Row],[Date]],Database!$A:$C,MATCH($C$1,Database!$A$1:$C$1,),)=0,#N/A,VLOOKUP(Table7[[#This Row],[Date]],Database!$A:$C,MATCH($C$1,Database!$A$1:$C$1,),))</f>
        <v/>
      </c>
      <c r="D5023">
        <f>IFERROR(Table7[[#This Row],[United States 10y]]-Table7[[#This Row],[United States 3y]],#N/A)</f>
        <v/>
      </c>
    </row>
    <row r="5024">
      <c r="A5024" s="6">
        <f>Database!$A7109</f>
        <v/>
      </c>
      <c r="B5024">
        <f>IF(VLOOKUP(Table7[[#This Row],[Date]],Database!$A:$C,MATCH($B$1,Database!$A$1:$C$1,),)=0,#N/A,VLOOKUP(Table7[[#This Row],[Date]],Database!$A:$C,MATCH($B$1,Database!$A$1:$C$1,),))</f>
        <v/>
      </c>
      <c r="C5024">
        <f>IF(VLOOKUP(Table7[[#This Row],[Date]],Database!$A:$C,MATCH($C$1,Database!$A$1:$C$1,),)=0,#N/A,VLOOKUP(Table7[[#This Row],[Date]],Database!$A:$C,MATCH($C$1,Database!$A$1:$C$1,),))</f>
        <v/>
      </c>
      <c r="D5024">
        <f>IFERROR(Table7[[#This Row],[United States 10y]]-Table7[[#This Row],[United States 3y]],#N/A)</f>
        <v/>
      </c>
    </row>
    <row r="5025">
      <c r="A5025" s="6">
        <f>Database!$A7110</f>
        <v/>
      </c>
      <c r="B5025">
        <f>IF(VLOOKUP(Table7[[#This Row],[Date]],Database!$A:$C,MATCH($B$1,Database!$A$1:$C$1,),)=0,#N/A,VLOOKUP(Table7[[#This Row],[Date]],Database!$A:$C,MATCH($B$1,Database!$A$1:$C$1,),))</f>
        <v/>
      </c>
      <c r="C5025">
        <f>IF(VLOOKUP(Table7[[#This Row],[Date]],Database!$A:$C,MATCH($C$1,Database!$A$1:$C$1,),)=0,#N/A,VLOOKUP(Table7[[#This Row],[Date]],Database!$A:$C,MATCH($C$1,Database!$A$1:$C$1,),))</f>
        <v/>
      </c>
      <c r="D5025">
        <f>IFERROR(Table7[[#This Row],[United States 10y]]-Table7[[#This Row],[United States 3y]],#N/A)</f>
        <v/>
      </c>
    </row>
    <row r="5026">
      <c r="A5026" s="6">
        <f>Database!$A7111</f>
        <v/>
      </c>
      <c r="B5026">
        <f>IF(VLOOKUP(Table7[[#This Row],[Date]],Database!$A:$C,MATCH($B$1,Database!$A$1:$C$1,),)=0,#N/A,VLOOKUP(Table7[[#This Row],[Date]],Database!$A:$C,MATCH($B$1,Database!$A$1:$C$1,),))</f>
        <v/>
      </c>
      <c r="C5026">
        <f>IF(VLOOKUP(Table7[[#This Row],[Date]],Database!$A:$C,MATCH($C$1,Database!$A$1:$C$1,),)=0,#N/A,VLOOKUP(Table7[[#This Row],[Date]],Database!$A:$C,MATCH($C$1,Database!$A$1:$C$1,),))</f>
        <v/>
      </c>
      <c r="D5026">
        <f>IFERROR(Table7[[#This Row],[United States 10y]]-Table7[[#This Row],[United States 3y]],#N/A)</f>
        <v/>
      </c>
    </row>
    <row r="5027">
      <c r="A5027" s="6">
        <f>Database!$A7112</f>
        <v/>
      </c>
      <c r="B5027">
        <f>IF(VLOOKUP(Table7[[#This Row],[Date]],Database!$A:$C,MATCH($B$1,Database!$A$1:$C$1,),)=0,#N/A,VLOOKUP(Table7[[#This Row],[Date]],Database!$A:$C,MATCH($B$1,Database!$A$1:$C$1,),))</f>
        <v/>
      </c>
      <c r="C5027">
        <f>IF(VLOOKUP(Table7[[#This Row],[Date]],Database!$A:$C,MATCH($C$1,Database!$A$1:$C$1,),)=0,#N/A,VLOOKUP(Table7[[#This Row],[Date]],Database!$A:$C,MATCH($C$1,Database!$A$1:$C$1,),))</f>
        <v/>
      </c>
      <c r="D5027">
        <f>IFERROR(Table7[[#This Row],[United States 10y]]-Table7[[#This Row],[United States 3y]],#N/A)</f>
        <v/>
      </c>
    </row>
    <row r="5028">
      <c r="A5028" s="6">
        <f>Database!$A7113</f>
        <v/>
      </c>
      <c r="B5028">
        <f>IF(VLOOKUP(Table7[[#This Row],[Date]],Database!$A:$C,MATCH($B$1,Database!$A$1:$C$1,),)=0,#N/A,VLOOKUP(Table7[[#This Row],[Date]],Database!$A:$C,MATCH($B$1,Database!$A$1:$C$1,),))</f>
        <v/>
      </c>
      <c r="C5028">
        <f>IF(VLOOKUP(Table7[[#This Row],[Date]],Database!$A:$C,MATCH($C$1,Database!$A$1:$C$1,),)=0,#N/A,VLOOKUP(Table7[[#This Row],[Date]],Database!$A:$C,MATCH($C$1,Database!$A$1:$C$1,),))</f>
        <v/>
      </c>
      <c r="D5028">
        <f>IFERROR(Table7[[#This Row],[United States 10y]]-Table7[[#This Row],[United States 3y]],#N/A)</f>
        <v/>
      </c>
    </row>
    <row r="5029">
      <c r="A5029" s="6">
        <f>Database!$A7114</f>
        <v/>
      </c>
      <c r="B5029">
        <f>IF(VLOOKUP(Table7[[#This Row],[Date]],Database!$A:$C,MATCH($B$1,Database!$A$1:$C$1,),)=0,#N/A,VLOOKUP(Table7[[#This Row],[Date]],Database!$A:$C,MATCH($B$1,Database!$A$1:$C$1,),))</f>
        <v/>
      </c>
      <c r="C5029">
        <f>IF(VLOOKUP(Table7[[#This Row],[Date]],Database!$A:$C,MATCH($C$1,Database!$A$1:$C$1,),)=0,#N/A,VLOOKUP(Table7[[#This Row],[Date]],Database!$A:$C,MATCH($C$1,Database!$A$1:$C$1,),))</f>
        <v/>
      </c>
      <c r="D5029">
        <f>IFERROR(Table7[[#This Row],[United States 10y]]-Table7[[#This Row],[United States 3y]],#N/A)</f>
        <v/>
      </c>
    </row>
    <row r="5030">
      <c r="A5030" s="6">
        <f>Database!$A7115</f>
        <v/>
      </c>
      <c r="B5030">
        <f>IF(VLOOKUP(Table7[[#This Row],[Date]],Database!$A:$C,MATCH($B$1,Database!$A$1:$C$1,),)=0,#N/A,VLOOKUP(Table7[[#This Row],[Date]],Database!$A:$C,MATCH($B$1,Database!$A$1:$C$1,),))</f>
        <v/>
      </c>
      <c r="C5030">
        <f>IF(VLOOKUP(Table7[[#This Row],[Date]],Database!$A:$C,MATCH($C$1,Database!$A$1:$C$1,),)=0,#N/A,VLOOKUP(Table7[[#This Row],[Date]],Database!$A:$C,MATCH($C$1,Database!$A$1:$C$1,),))</f>
        <v/>
      </c>
      <c r="D5030">
        <f>IFERROR(Table7[[#This Row],[United States 10y]]-Table7[[#This Row],[United States 3y]],#N/A)</f>
        <v/>
      </c>
    </row>
    <row r="5031">
      <c r="A5031" s="6">
        <f>Database!$A7116</f>
        <v/>
      </c>
      <c r="B5031">
        <f>IF(VLOOKUP(Table7[[#This Row],[Date]],Database!$A:$C,MATCH($B$1,Database!$A$1:$C$1,),)=0,#N/A,VLOOKUP(Table7[[#This Row],[Date]],Database!$A:$C,MATCH($B$1,Database!$A$1:$C$1,),))</f>
        <v/>
      </c>
      <c r="C5031">
        <f>IF(VLOOKUP(Table7[[#This Row],[Date]],Database!$A:$C,MATCH($C$1,Database!$A$1:$C$1,),)=0,#N/A,VLOOKUP(Table7[[#This Row],[Date]],Database!$A:$C,MATCH($C$1,Database!$A$1:$C$1,),))</f>
        <v/>
      </c>
      <c r="D5031">
        <f>IFERROR(Table7[[#This Row],[United States 10y]]-Table7[[#This Row],[United States 3y]],#N/A)</f>
        <v/>
      </c>
    </row>
    <row r="5032">
      <c r="A5032" s="6">
        <f>Database!$A7117</f>
        <v/>
      </c>
      <c r="B5032">
        <f>IF(VLOOKUP(Table7[[#This Row],[Date]],Database!$A:$C,MATCH($B$1,Database!$A$1:$C$1,),)=0,#N/A,VLOOKUP(Table7[[#This Row],[Date]],Database!$A:$C,MATCH($B$1,Database!$A$1:$C$1,),))</f>
        <v/>
      </c>
      <c r="C5032">
        <f>IF(VLOOKUP(Table7[[#This Row],[Date]],Database!$A:$C,MATCH($C$1,Database!$A$1:$C$1,),)=0,#N/A,VLOOKUP(Table7[[#This Row],[Date]],Database!$A:$C,MATCH($C$1,Database!$A$1:$C$1,),))</f>
        <v/>
      </c>
      <c r="D5032">
        <f>IFERROR(Table7[[#This Row],[United States 10y]]-Table7[[#This Row],[United States 3y]],#N/A)</f>
        <v/>
      </c>
    </row>
    <row r="5033">
      <c r="A5033" s="6">
        <f>Database!$A7118</f>
        <v/>
      </c>
      <c r="B5033">
        <f>IF(VLOOKUP(Table7[[#This Row],[Date]],Database!$A:$C,MATCH($B$1,Database!$A$1:$C$1,),)=0,#N/A,VLOOKUP(Table7[[#This Row],[Date]],Database!$A:$C,MATCH($B$1,Database!$A$1:$C$1,),))</f>
        <v/>
      </c>
      <c r="C5033">
        <f>IF(VLOOKUP(Table7[[#This Row],[Date]],Database!$A:$C,MATCH($C$1,Database!$A$1:$C$1,),)=0,#N/A,VLOOKUP(Table7[[#This Row],[Date]],Database!$A:$C,MATCH($C$1,Database!$A$1:$C$1,),))</f>
        <v/>
      </c>
      <c r="D5033">
        <f>IFERROR(Table7[[#This Row],[United States 10y]]-Table7[[#This Row],[United States 3y]],#N/A)</f>
        <v/>
      </c>
    </row>
    <row r="5034">
      <c r="A5034" s="6">
        <f>Database!$A7119</f>
        <v/>
      </c>
      <c r="B5034">
        <f>IF(VLOOKUP(Table7[[#This Row],[Date]],Database!$A:$C,MATCH($B$1,Database!$A$1:$C$1,),)=0,#N/A,VLOOKUP(Table7[[#This Row],[Date]],Database!$A:$C,MATCH($B$1,Database!$A$1:$C$1,),))</f>
        <v/>
      </c>
      <c r="C5034">
        <f>IF(VLOOKUP(Table7[[#This Row],[Date]],Database!$A:$C,MATCH($C$1,Database!$A$1:$C$1,),)=0,#N/A,VLOOKUP(Table7[[#This Row],[Date]],Database!$A:$C,MATCH($C$1,Database!$A$1:$C$1,),))</f>
        <v/>
      </c>
      <c r="D5034">
        <f>IFERROR(Table7[[#This Row],[United States 10y]]-Table7[[#This Row],[United States 3y]],#N/A)</f>
        <v/>
      </c>
    </row>
    <row r="5035">
      <c r="A5035" s="6">
        <f>Database!$A7120</f>
        <v/>
      </c>
      <c r="B5035">
        <f>IF(VLOOKUP(Table7[[#This Row],[Date]],Database!$A:$C,MATCH($B$1,Database!$A$1:$C$1,),)=0,#N/A,VLOOKUP(Table7[[#This Row],[Date]],Database!$A:$C,MATCH($B$1,Database!$A$1:$C$1,),))</f>
        <v/>
      </c>
      <c r="C5035">
        <f>IF(VLOOKUP(Table7[[#This Row],[Date]],Database!$A:$C,MATCH($C$1,Database!$A$1:$C$1,),)=0,#N/A,VLOOKUP(Table7[[#This Row],[Date]],Database!$A:$C,MATCH($C$1,Database!$A$1:$C$1,),))</f>
        <v/>
      </c>
      <c r="D5035">
        <f>IFERROR(Table7[[#This Row],[United States 10y]]-Table7[[#This Row],[United States 3y]],#N/A)</f>
        <v/>
      </c>
    </row>
    <row r="5036">
      <c r="A5036" s="6">
        <f>Database!$A7121</f>
        <v/>
      </c>
      <c r="B5036">
        <f>IF(VLOOKUP(Table7[[#This Row],[Date]],Database!$A:$C,MATCH($B$1,Database!$A$1:$C$1,),)=0,#N/A,VLOOKUP(Table7[[#This Row],[Date]],Database!$A:$C,MATCH($B$1,Database!$A$1:$C$1,),))</f>
        <v/>
      </c>
      <c r="C5036">
        <f>IF(VLOOKUP(Table7[[#This Row],[Date]],Database!$A:$C,MATCH($C$1,Database!$A$1:$C$1,),)=0,#N/A,VLOOKUP(Table7[[#This Row],[Date]],Database!$A:$C,MATCH($C$1,Database!$A$1:$C$1,),))</f>
        <v/>
      </c>
      <c r="D5036">
        <f>IFERROR(Table7[[#This Row],[United States 10y]]-Table7[[#This Row],[United States 3y]],#N/A)</f>
        <v/>
      </c>
    </row>
    <row r="5037">
      <c r="A5037" s="6">
        <f>Database!$A7122</f>
        <v/>
      </c>
      <c r="B5037">
        <f>IF(VLOOKUP(Table7[[#This Row],[Date]],Database!$A:$C,MATCH($B$1,Database!$A$1:$C$1,),)=0,#N/A,VLOOKUP(Table7[[#This Row],[Date]],Database!$A:$C,MATCH($B$1,Database!$A$1:$C$1,),))</f>
        <v/>
      </c>
      <c r="C5037">
        <f>IF(VLOOKUP(Table7[[#This Row],[Date]],Database!$A:$C,MATCH($C$1,Database!$A$1:$C$1,),)=0,#N/A,VLOOKUP(Table7[[#This Row],[Date]],Database!$A:$C,MATCH($C$1,Database!$A$1:$C$1,),))</f>
        <v/>
      </c>
      <c r="D5037">
        <f>IFERROR(Table7[[#This Row],[United States 10y]]-Table7[[#This Row],[United States 3y]],#N/A)</f>
        <v/>
      </c>
    </row>
    <row r="5038">
      <c r="A5038" s="6">
        <f>Database!$A7123</f>
        <v/>
      </c>
      <c r="B5038">
        <f>IF(VLOOKUP(Table7[[#This Row],[Date]],Database!$A:$C,MATCH($B$1,Database!$A$1:$C$1,),)=0,#N/A,VLOOKUP(Table7[[#This Row],[Date]],Database!$A:$C,MATCH($B$1,Database!$A$1:$C$1,),))</f>
        <v/>
      </c>
      <c r="C5038">
        <f>IF(VLOOKUP(Table7[[#This Row],[Date]],Database!$A:$C,MATCH($C$1,Database!$A$1:$C$1,),)=0,#N/A,VLOOKUP(Table7[[#This Row],[Date]],Database!$A:$C,MATCH($C$1,Database!$A$1:$C$1,),))</f>
        <v/>
      </c>
      <c r="D5038">
        <f>IFERROR(Table7[[#This Row],[United States 10y]]-Table7[[#This Row],[United States 3y]],#N/A)</f>
        <v/>
      </c>
    </row>
    <row r="5039">
      <c r="A5039" s="6">
        <f>Database!$A7124</f>
        <v/>
      </c>
      <c r="B5039">
        <f>IF(VLOOKUP(Table7[[#This Row],[Date]],Database!$A:$C,MATCH($B$1,Database!$A$1:$C$1,),)=0,#N/A,VLOOKUP(Table7[[#This Row],[Date]],Database!$A:$C,MATCH($B$1,Database!$A$1:$C$1,),))</f>
        <v/>
      </c>
      <c r="C5039">
        <f>IF(VLOOKUP(Table7[[#This Row],[Date]],Database!$A:$C,MATCH($C$1,Database!$A$1:$C$1,),)=0,#N/A,VLOOKUP(Table7[[#This Row],[Date]],Database!$A:$C,MATCH($C$1,Database!$A$1:$C$1,),))</f>
        <v/>
      </c>
      <c r="D5039">
        <f>IFERROR(Table7[[#This Row],[United States 10y]]-Table7[[#This Row],[United States 3y]],#N/A)</f>
        <v/>
      </c>
    </row>
    <row r="5040">
      <c r="A5040" s="6">
        <f>Database!$A7125</f>
        <v/>
      </c>
      <c r="B5040">
        <f>IF(VLOOKUP(Table7[[#This Row],[Date]],Database!$A:$C,MATCH($B$1,Database!$A$1:$C$1,),)=0,#N/A,VLOOKUP(Table7[[#This Row],[Date]],Database!$A:$C,MATCH($B$1,Database!$A$1:$C$1,),))</f>
        <v/>
      </c>
      <c r="C5040">
        <f>IF(VLOOKUP(Table7[[#This Row],[Date]],Database!$A:$C,MATCH($C$1,Database!$A$1:$C$1,),)=0,#N/A,VLOOKUP(Table7[[#This Row],[Date]],Database!$A:$C,MATCH($C$1,Database!$A$1:$C$1,),))</f>
        <v/>
      </c>
      <c r="D5040">
        <f>IFERROR(Table7[[#This Row],[United States 10y]]-Table7[[#This Row],[United States 3y]],#N/A)</f>
        <v/>
      </c>
    </row>
    <row r="5041">
      <c r="A5041" s="6">
        <f>Database!$A7126</f>
        <v/>
      </c>
      <c r="B5041">
        <f>IF(VLOOKUP(Table7[[#This Row],[Date]],Database!$A:$C,MATCH($B$1,Database!$A$1:$C$1,),)=0,#N/A,VLOOKUP(Table7[[#This Row],[Date]],Database!$A:$C,MATCH($B$1,Database!$A$1:$C$1,),))</f>
        <v/>
      </c>
      <c r="C5041">
        <f>IF(VLOOKUP(Table7[[#This Row],[Date]],Database!$A:$C,MATCH($C$1,Database!$A$1:$C$1,),)=0,#N/A,VLOOKUP(Table7[[#This Row],[Date]],Database!$A:$C,MATCH($C$1,Database!$A$1:$C$1,),))</f>
        <v/>
      </c>
      <c r="D5041">
        <f>IFERROR(Table7[[#This Row],[United States 10y]]-Table7[[#This Row],[United States 3y]],#N/A)</f>
        <v/>
      </c>
    </row>
    <row r="5042">
      <c r="A5042" s="6">
        <f>Database!$A7127</f>
        <v/>
      </c>
      <c r="B5042">
        <f>IF(VLOOKUP(Table7[[#This Row],[Date]],Database!$A:$C,MATCH($B$1,Database!$A$1:$C$1,),)=0,#N/A,VLOOKUP(Table7[[#This Row],[Date]],Database!$A:$C,MATCH($B$1,Database!$A$1:$C$1,),))</f>
        <v/>
      </c>
      <c r="C5042">
        <f>IF(VLOOKUP(Table7[[#This Row],[Date]],Database!$A:$C,MATCH($C$1,Database!$A$1:$C$1,),)=0,#N/A,VLOOKUP(Table7[[#This Row],[Date]],Database!$A:$C,MATCH($C$1,Database!$A$1:$C$1,),))</f>
        <v/>
      </c>
      <c r="D5042">
        <f>IFERROR(Table7[[#This Row],[United States 10y]]-Table7[[#This Row],[United States 3y]],#N/A)</f>
        <v/>
      </c>
    </row>
    <row r="5043">
      <c r="A5043" s="6">
        <f>Database!$A7128</f>
        <v/>
      </c>
      <c r="B5043">
        <f>IF(VLOOKUP(Table7[[#This Row],[Date]],Database!$A:$C,MATCH($B$1,Database!$A$1:$C$1,),)=0,#N/A,VLOOKUP(Table7[[#This Row],[Date]],Database!$A:$C,MATCH($B$1,Database!$A$1:$C$1,),))</f>
        <v/>
      </c>
      <c r="C5043">
        <f>IF(VLOOKUP(Table7[[#This Row],[Date]],Database!$A:$C,MATCH($C$1,Database!$A$1:$C$1,),)=0,#N/A,VLOOKUP(Table7[[#This Row],[Date]],Database!$A:$C,MATCH($C$1,Database!$A$1:$C$1,),))</f>
        <v/>
      </c>
      <c r="D5043">
        <f>IFERROR(Table7[[#This Row],[United States 10y]]-Table7[[#This Row],[United States 3y]],#N/A)</f>
        <v/>
      </c>
    </row>
    <row r="5044">
      <c r="A5044" s="6">
        <f>Database!$A7129</f>
        <v/>
      </c>
      <c r="B5044">
        <f>IF(VLOOKUP(Table7[[#This Row],[Date]],Database!$A:$C,MATCH($B$1,Database!$A$1:$C$1,),)=0,#N/A,VLOOKUP(Table7[[#This Row],[Date]],Database!$A:$C,MATCH($B$1,Database!$A$1:$C$1,),))</f>
        <v/>
      </c>
      <c r="C5044">
        <f>IF(VLOOKUP(Table7[[#This Row],[Date]],Database!$A:$C,MATCH($C$1,Database!$A$1:$C$1,),)=0,#N/A,VLOOKUP(Table7[[#This Row],[Date]],Database!$A:$C,MATCH($C$1,Database!$A$1:$C$1,),))</f>
        <v/>
      </c>
      <c r="D5044">
        <f>IFERROR(Table7[[#This Row],[United States 10y]]-Table7[[#This Row],[United States 3y]],#N/A)</f>
        <v/>
      </c>
    </row>
    <row r="5045">
      <c r="A5045" s="6">
        <f>Database!$A7130</f>
        <v/>
      </c>
      <c r="B5045">
        <f>IF(VLOOKUP(Table7[[#This Row],[Date]],Database!$A:$C,MATCH($B$1,Database!$A$1:$C$1,),)=0,#N/A,VLOOKUP(Table7[[#This Row],[Date]],Database!$A:$C,MATCH($B$1,Database!$A$1:$C$1,),))</f>
        <v/>
      </c>
      <c r="C5045">
        <f>IF(VLOOKUP(Table7[[#This Row],[Date]],Database!$A:$C,MATCH($C$1,Database!$A$1:$C$1,),)=0,#N/A,VLOOKUP(Table7[[#This Row],[Date]],Database!$A:$C,MATCH($C$1,Database!$A$1:$C$1,),))</f>
        <v/>
      </c>
      <c r="D5045">
        <f>IFERROR(Table7[[#This Row],[United States 10y]]-Table7[[#This Row],[United States 3y]],#N/A)</f>
        <v/>
      </c>
    </row>
    <row r="5046">
      <c r="A5046" s="6">
        <f>Database!$A7131</f>
        <v/>
      </c>
      <c r="B5046">
        <f>IF(VLOOKUP(Table7[[#This Row],[Date]],Database!$A:$C,MATCH($B$1,Database!$A$1:$C$1,),)=0,#N/A,VLOOKUP(Table7[[#This Row],[Date]],Database!$A:$C,MATCH($B$1,Database!$A$1:$C$1,),))</f>
        <v/>
      </c>
      <c r="C5046">
        <f>IF(VLOOKUP(Table7[[#This Row],[Date]],Database!$A:$C,MATCH($C$1,Database!$A$1:$C$1,),)=0,#N/A,VLOOKUP(Table7[[#This Row],[Date]],Database!$A:$C,MATCH($C$1,Database!$A$1:$C$1,),))</f>
        <v/>
      </c>
      <c r="D5046">
        <f>IFERROR(Table7[[#This Row],[United States 10y]]-Table7[[#This Row],[United States 3y]],#N/A)</f>
        <v/>
      </c>
    </row>
    <row r="5047">
      <c r="A5047" s="6">
        <f>Database!$A7132</f>
        <v/>
      </c>
      <c r="B5047">
        <f>IF(VLOOKUP(Table7[[#This Row],[Date]],Database!$A:$C,MATCH($B$1,Database!$A$1:$C$1,),)=0,#N/A,VLOOKUP(Table7[[#This Row],[Date]],Database!$A:$C,MATCH($B$1,Database!$A$1:$C$1,),))</f>
        <v/>
      </c>
      <c r="C5047">
        <f>IF(VLOOKUP(Table7[[#This Row],[Date]],Database!$A:$C,MATCH($C$1,Database!$A$1:$C$1,),)=0,#N/A,VLOOKUP(Table7[[#This Row],[Date]],Database!$A:$C,MATCH($C$1,Database!$A$1:$C$1,),))</f>
        <v/>
      </c>
      <c r="D5047">
        <f>IFERROR(Table7[[#This Row],[United States 10y]]-Table7[[#This Row],[United States 3y]],#N/A)</f>
        <v/>
      </c>
    </row>
    <row r="5048">
      <c r="A5048" s="6">
        <f>Database!$A7133</f>
        <v/>
      </c>
      <c r="B5048">
        <f>IF(VLOOKUP(Table7[[#This Row],[Date]],Database!$A:$C,MATCH($B$1,Database!$A$1:$C$1,),)=0,#N/A,VLOOKUP(Table7[[#This Row],[Date]],Database!$A:$C,MATCH($B$1,Database!$A$1:$C$1,),))</f>
        <v/>
      </c>
      <c r="C5048">
        <f>IF(VLOOKUP(Table7[[#This Row],[Date]],Database!$A:$C,MATCH($C$1,Database!$A$1:$C$1,),)=0,#N/A,VLOOKUP(Table7[[#This Row],[Date]],Database!$A:$C,MATCH($C$1,Database!$A$1:$C$1,),))</f>
        <v/>
      </c>
      <c r="D5048">
        <f>IFERROR(Table7[[#This Row],[United States 10y]]-Table7[[#This Row],[United States 3y]],#N/A)</f>
        <v/>
      </c>
    </row>
    <row r="5049">
      <c r="A5049" s="6">
        <f>Database!$A7134</f>
        <v/>
      </c>
      <c r="B5049">
        <f>IF(VLOOKUP(Table7[[#This Row],[Date]],Database!$A:$C,MATCH($B$1,Database!$A$1:$C$1,),)=0,#N/A,VLOOKUP(Table7[[#This Row],[Date]],Database!$A:$C,MATCH($B$1,Database!$A$1:$C$1,),))</f>
        <v/>
      </c>
      <c r="C5049">
        <f>IF(VLOOKUP(Table7[[#This Row],[Date]],Database!$A:$C,MATCH($C$1,Database!$A$1:$C$1,),)=0,#N/A,VLOOKUP(Table7[[#This Row],[Date]],Database!$A:$C,MATCH($C$1,Database!$A$1:$C$1,),))</f>
        <v/>
      </c>
      <c r="D5049">
        <f>IFERROR(Table7[[#This Row],[United States 10y]]-Table7[[#This Row],[United States 3y]],#N/A)</f>
        <v/>
      </c>
    </row>
    <row r="5050">
      <c r="A5050" s="6">
        <f>Database!$A7135</f>
        <v/>
      </c>
      <c r="B5050">
        <f>IF(VLOOKUP(Table7[[#This Row],[Date]],Database!$A:$C,MATCH($B$1,Database!$A$1:$C$1,),)=0,#N/A,VLOOKUP(Table7[[#This Row],[Date]],Database!$A:$C,MATCH($B$1,Database!$A$1:$C$1,),))</f>
        <v/>
      </c>
      <c r="C5050">
        <f>IF(VLOOKUP(Table7[[#This Row],[Date]],Database!$A:$C,MATCH($C$1,Database!$A$1:$C$1,),)=0,#N/A,VLOOKUP(Table7[[#This Row],[Date]],Database!$A:$C,MATCH($C$1,Database!$A$1:$C$1,),))</f>
        <v/>
      </c>
      <c r="D5050">
        <f>IFERROR(Table7[[#This Row],[United States 10y]]-Table7[[#This Row],[United States 3y]],#N/A)</f>
        <v/>
      </c>
    </row>
    <row r="5051">
      <c r="A5051" s="6">
        <f>Database!$A7136</f>
        <v/>
      </c>
      <c r="B5051">
        <f>IF(VLOOKUP(Table7[[#This Row],[Date]],Database!$A:$C,MATCH($B$1,Database!$A$1:$C$1,),)=0,#N/A,VLOOKUP(Table7[[#This Row],[Date]],Database!$A:$C,MATCH($B$1,Database!$A$1:$C$1,),))</f>
        <v/>
      </c>
      <c r="C5051">
        <f>IF(VLOOKUP(Table7[[#This Row],[Date]],Database!$A:$C,MATCH($C$1,Database!$A$1:$C$1,),)=0,#N/A,VLOOKUP(Table7[[#This Row],[Date]],Database!$A:$C,MATCH($C$1,Database!$A$1:$C$1,),))</f>
        <v/>
      </c>
      <c r="D5051">
        <f>IFERROR(Table7[[#This Row],[United States 10y]]-Table7[[#This Row],[United States 3y]],#N/A)</f>
        <v/>
      </c>
    </row>
    <row r="5052">
      <c r="A5052" s="6">
        <f>Database!$A7137</f>
        <v/>
      </c>
      <c r="B5052">
        <f>IF(VLOOKUP(Table7[[#This Row],[Date]],Database!$A:$C,MATCH($B$1,Database!$A$1:$C$1,),)=0,#N/A,VLOOKUP(Table7[[#This Row],[Date]],Database!$A:$C,MATCH($B$1,Database!$A$1:$C$1,),))</f>
        <v/>
      </c>
      <c r="C5052">
        <f>IF(VLOOKUP(Table7[[#This Row],[Date]],Database!$A:$C,MATCH($C$1,Database!$A$1:$C$1,),)=0,#N/A,VLOOKUP(Table7[[#This Row],[Date]],Database!$A:$C,MATCH($C$1,Database!$A$1:$C$1,),))</f>
        <v/>
      </c>
      <c r="D5052">
        <f>IFERROR(Table7[[#This Row],[United States 10y]]-Table7[[#This Row],[United States 3y]],#N/A)</f>
        <v/>
      </c>
    </row>
    <row r="5053">
      <c r="A5053" s="6">
        <f>Database!$A7138</f>
        <v/>
      </c>
      <c r="B5053">
        <f>IF(VLOOKUP(Table7[[#This Row],[Date]],Database!$A:$C,MATCH($B$1,Database!$A$1:$C$1,),)=0,#N/A,VLOOKUP(Table7[[#This Row],[Date]],Database!$A:$C,MATCH($B$1,Database!$A$1:$C$1,),))</f>
        <v/>
      </c>
      <c r="C5053">
        <f>IF(VLOOKUP(Table7[[#This Row],[Date]],Database!$A:$C,MATCH($C$1,Database!$A$1:$C$1,),)=0,#N/A,VLOOKUP(Table7[[#This Row],[Date]],Database!$A:$C,MATCH($C$1,Database!$A$1:$C$1,),))</f>
        <v/>
      </c>
      <c r="D5053">
        <f>IFERROR(Table7[[#This Row],[United States 10y]]-Table7[[#This Row],[United States 3y]],#N/A)</f>
        <v/>
      </c>
    </row>
    <row r="5054">
      <c r="A5054" s="6">
        <f>Database!$A7139</f>
        <v/>
      </c>
      <c r="B5054">
        <f>IF(VLOOKUP(Table7[[#This Row],[Date]],Database!$A:$C,MATCH($B$1,Database!$A$1:$C$1,),)=0,#N/A,VLOOKUP(Table7[[#This Row],[Date]],Database!$A:$C,MATCH($B$1,Database!$A$1:$C$1,),))</f>
        <v/>
      </c>
      <c r="C5054">
        <f>IF(VLOOKUP(Table7[[#This Row],[Date]],Database!$A:$C,MATCH($C$1,Database!$A$1:$C$1,),)=0,#N/A,VLOOKUP(Table7[[#This Row],[Date]],Database!$A:$C,MATCH($C$1,Database!$A$1:$C$1,),))</f>
        <v/>
      </c>
      <c r="D5054">
        <f>IFERROR(Table7[[#This Row],[United States 10y]]-Table7[[#This Row],[United States 3y]],#N/A)</f>
        <v/>
      </c>
    </row>
    <row r="5055">
      <c r="A5055" s="6">
        <f>Database!$A7140</f>
        <v/>
      </c>
      <c r="B5055">
        <f>IF(VLOOKUP(Table7[[#This Row],[Date]],Database!$A:$C,MATCH($B$1,Database!$A$1:$C$1,),)=0,#N/A,VLOOKUP(Table7[[#This Row],[Date]],Database!$A:$C,MATCH($B$1,Database!$A$1:$C$1,),))</f>
        <v/>
      </c>
      <c r="C5055">
        <f>IF(VLOOKUP(Table7[[#This Row],[Date]],Database!$A:$C,MATCH($C$1,Database!$A$1:$C$1,),)=0,#N/A,VLOOKUP(Table7[[#This Row],[Date]],Database!$A:$C,MATCH($C$1,Database!$A$1:$C$1,),))</f>
        <v/>
      </c>
      <c r="D5055">
        <f>IFERROR(Table7[[#This Row],[United States 10y]]-Table7[[#This Row],[United States 3y]],#N/A)</f>
        <v/>
      </c>
    </row>
    <row r="5056">
      <c r="A5056" s="6">
        <f>Database!$A7141</f>
        <v/>
      </c>
      <c r="B5056">
        <f>IF(VLOOKUP(Table7[[#This Row],[Date]],Database!$A:$C,MATCH($B$1,Database!$A$1:$C$1,),)=0,#N/A,VLOOKUP(Table7[[#This Row],[Date]],Database!$A:$C,MATCH($B$1,Database!$A$1:$C$1,),))</f>
        <v/>
      </c>
      <c r="C5056">
        <f>IF(VLOOKUP(Table7[[#This Row],[Date]],Database!$A:$C,MATCH($C$1,Database!$A$1:$C$1,),)=0,#N/A,VLOOKUP(Table7[[#This Row],[Date]],Database!$A:$C,MATCH($C$1,Database!$A$1:$C$1,),))</f>
        <v/>
      </c>
      <c r="D5056">
        <f>IFERROR(Table7[[#This Row],[United States 10y]]-Table7[[#This Row],[United States 3y]],#N/A)</f>
        <v/>
      </c>
    </row>
    <row r="5057">
      <c r="A5057" s="6">
        <f>Database!$A7142</f>
        <v/>
      </c>
      <c r="B5057">
        <f>IF(VLOOKUP(Table7[[#This Row],[Date]],Database!$A:$C,MATCH($B$1,Database!$A$1:$C$1,),)=0,#N/A,VLOOKUP(Table7[[#This Row],[Date]],Database!$A:$C,MATCH($B$1,Database!$A$1:$C$1,),))</f>
        <v/>
      </c>
      <c r="C5057">
        <f>IF(VLOOKUP(Table7[[#This Row],[Date]],Database!$A:$C,MATCH($C$1,Database!$A$1:$C$1,),)=0,#N/A,VLOOKUP(Table7[[#This Row],[Date]],Database!$A:$C,MATCH($C$1,Database!$A$1:$C$1,),))</f>
        <v/>
      </c>
      <c r="D5057">
        <f>IFERROR(Table7[[#This Row],[United States 10y]]-Table7[[#This Row],[United States 3y]],#N/A)</f>
        <v/>
      </c>
    </row>
    <row r="5058">
      <c r="A5058" s="6">
        <f>Database!$A7143</f>
        <v/>
      </c>
      <c r="B5058">
        <f>IF(VLOOKUP(Table7[[#This Row],[Date]],Database!$A:$C,MATCH($B$1,Database!$A$1:$C$1,),)=0,#N/A,VLOOKUP(Table7[[#This Row],[Date]],Database!$A:$C,MATCH($B$1,Database!$A$1:$C$1,),))</f>
        <v/>
      </c>
      <c r="C5058">
        <f>IF(VLOOKUP(Table7[[#This Row],[Date]],Database!$A:$C,MATCH($C$1,Database!$A$1:$C$1,),)=0,#N/A,VLOOKUP(Table7[[#This Row],[Date]],Database!$A:$C,MATCH($C$1,Database!$A$1:$C$1,),))</f>
        <v/>
      </c>
      <c r="D5058">
        <f>IFERROR(Table7[[#This Row],[United States 10y]]-Table7[[#This Row],[United States 3y]],#N/A)</f>
        <v/>
      </c>
    </row>
    <row r="5059">
      <c r="A5059" s="6">
        <f>Database!$A7144</f>
        <v/>
      </c>
      <c r="B5059">
        <f>IF(VLOOKUP(Table7[[#This Row],[Date]],Database!$A:$C,MATCH($B$1,Database!$A$1:$C$1,),)=0,#N/A,VLOOKUP(Table7[[#This Row],[Date]],Database!$A:$C,MATCH($B$1,Database!$A$1:$C$1,),))</f>
        <v/>
      </c>
      <c r="C5059">
        <f>IF(VLOOKUP(Table7[[#This Row],[Date]],Database!$A:$C,MATCH($C$1,Database!$A$1:$C$1,),)=0,#N/A,VLOOKUP(Table7[[#This Row],[Date]],Database!$A:$C,MATCH($C$1,Database!$A$1:$C$1,),))</f>
        <v/>
      </c>
      <c r="D5059">
        <f>IFERROR(Table7[[#This Row],[United States 10y]]-Table7[[#This Row],[United States 3y]],#N/A)</f>
        <v/>
      </c>
    </row>
    <row r="5060">
      <c r="A5060" s="6">
        <f>Database!$A7145</f>
        <v/>
      </c>
      <c r="B5060">
        <f>IF(VLOOKUP(Table7[[#This Row],[Date]],Database!$A:$C,MATCH($B$1,Database!$A$1:$C$1,),)=0,#N/A,VLOOKUP(Table7[[#This Row],[Date]],Database!$A:$C,MATCH($B$1,Database!$A$1:$C$1,),))</f>
        <v/>
      </c>
      <c r="C5060">
        <f>IF(VLOOKUP(Table7[[#This Row],[Date]],Database!$A:$C,MATCH($C$1,Database!$A$1:$C$1,),)=0,#N/A,VLOOKUP(Table7[[#This Row],[Date]],Database!$A:$C,MATCH($C$1,Database!$A$1:$C$1,),))</f>
        <v/>
      </c>
      <c r="D5060">
        <f>IFERROR(Table7[[#This Row],[United States 10y]]-Table7[[#This Row],[United States 3y]],#N/A)</f>
        <v/>
      </c>
    </row>
    <row r="5061">
      <c r="A5061" s="6">
        <f>Database!$A7146</f>
        <v/>
      </c>
      <c r="B5061">
        <f>IF(VLOOKUP(Table7[[#This Row],[Date]],Database!$A:$C,MATCH($B$1,Database!$A$1:$C$1,),)=0,#N/A,VLOOKUP(Table7[[#This Row],[Date]],Database!$A:$C,MATCH($B$1,Database!$A$1:$C$1,),))</f>
        <v/>
      </c>
      <c r="C5061">
        <f>IF(VLOOKUP(Table7[[#This Row],[Date]],Database!$A:$C,MATCH($C$1,Database!$A$1:$C$1,),)=0,#N/A,VLOOKUP(Table7[[#This Row],[Date]],Database!$A:$C,MATCH($C$1,Database!$A$1:$C$1,),))</f>
        <v/>
      </c>
      <c r="D5061">
        <f>IFERROR(Table7[[#This Row],[United States 10y]]-Table7[[#This Row],[United States 3y]],#N/A)</f>
        <v/>
      </c>
    </row>
    <row r="5062">
      <c r="A5062" s="6">
        <f>Database!$A7147</f>
        <v/>
      </c>
      <c r="B5062">
        <f>IF(VLOOKUP(Table7[[#This Row],[Date]],Database!$A:$C,MATCH($B$1,Database!$A$1:$C$1,),)=0,#N/A,VLOOKUP(Table7[[#This Row],[Date]],Database!$A:$C,MATCH($B$1,Database!$A$1:$C$1,),))</f>
        <v/>
      </c>
      <c r="C5062">
        <f>IF(VLOOKUP(Table7[[#This Row],[Date]],Database!$A:$C,MATCH($C$1,Database!$A$1:$C$1,),)=0,#N/A,VLOOKUP(Table7[[#This Row],[Date]],Database!$A:$C,MATCH($C$1,Database!$A$1:$C$1,),))</f>
        <v/>
      </c>
      <c r="D5062">
        <f>IFERROR(Table7[[#This Row],[United States 10y]]-Table7[[#This Row],[United States 3y]],#N/A)</f>
        <v/>
      </c>
    </row>
    <row r="5063">
      <c r="A5063" s="6">
        <f>Database!$A7148</f>
        <v/>
      </c>
      <c r="B5063">
        <f>IF(VLOOKUP(Table7[[#This Row],[Date]],Database!$A:$C,MATCH($B$1,Database!$A$1:$C$1,),)=0,#N/A,VLOOKUP(Table7[[#This Row],[Date]],Database!$A:$C,MATCH($B$1,Database!$A$1:$C$1,),))</f>
        <v/>
      </c>
      <c r="C5063">
        <f>IF(VLOOKUP(Table7[[#This Row],[Date]],Database!$A:$C,MATCH($C$1,Database!$A$1:$C$1,),)=0,#N/A,VLOOKUP(Table7[[#This Row],[Date]],Database!$A:$C,MATCH($C$1,Database!$A$1:$C$1,),))</f>
        <v/>
      </c>
      <c r="D5063">
        <f>IFERROR(Table7[[#This Row],[United States 10y]]-Table7[[#This Row],[United States 3y]],#N/A)</f>
        <v/>
      </c>
    </row>
    <row r="5064">
      <c r="A5064" s="6">
        <f>Database!$A7149</f>
        <v/>
      </c>
      <c r="B5064">
        <f>IF(VLOOKUP(Table7[[#This Row],[Date]],Database!$A:$C,MATCH($B$1,Database!$A$1:$C$1,),)=0,#N/A,VLOOKUP(Table7[[#This Row],[Date]],Database!$A:$C,MATCH($B$1,Database!$A$1:$C$1,),))</f>
        <v/>
      </c>
      <c r="C5064">
        <f>IF(VLOOKUP(Table7[[#This Row],[Date]],Database!$A:$C,MATCH($C$1,Database!$A$1:$C$1,),)=0,#N/A,VLOOKUP(Table7[[#This Row],[Date]],Database!$A:$C,MATCH($C$1,Database!$A$1:$C$1,),))</f>
        <v/>
      </c>
      <c r="D5064">
        <f>IFERROR(Table7[[#This Row],[United States 10y]]-Table7[[#This Row],[United States 3y]],#N/A)</f>
        <v/>
      </c>
    </row>
    <row r="5065">
      <c r="A5065" s="6">
        <f>Database!$A7150</f>
        <v/>
      </c>
      <c r="B5065">
        <f>IF(VLOOKUP(Table7[[#This Row],[Date]],Database!$A:$C,MATCH($B$1,Database!$A$1:$C$1,),)=0,#N/A,VLOOKUP(Table7[[#This Row],[Date]],Database!$A:$C,MATCH($B$1,Database!$A$1:$C$1,),))</f>
        <v/>
      </c>
      <c r="C5065">
        <f>IF(VLOOKUP(Table7[[#This Row],[Date]],Database!$A:$C,MATCH($C$1,Database!$A$1:$C$1,),)=0,#N/A,VLOOKUP(Table7[[#This Row],[Date]],Database!$A:$C,MATCH($C$1,Database!$A$1:$C$1,),))</f>
        <v/>
      </c>
      <c r="D5065">
        <f>IFERROR(Table7[[#This Row],[United States 10y]]-Table7[[#This Row],[United States 3y]],#N/A)</f>
        <v/>
      </c>
    </row>
    <row r="5066">
      <c r="A5066" s="6">
        <f>Database!$A7151</f>
        <v/>
      </c>
      <c r="B5066">
        <f>IF(VLOOKUP(Table7[[#This Row],[Date]],Database!$A:$C,MATCH($B$1,Database!$A$1:$C$1,),)=0,#N/A,VLOOKUP(Table7[[#This Row],[Date]],Database!$A:$C,MATCH($B$1,Database!$A$1:$C$1,),))</f>
        <v/>
      </c>
      <c r="C5066">
        <f>IF(VLOOKUP(Table7[[#This Row],[Date]],Database!$A:$C,MATCH($C$1,Database!$A$1:$C$1,),)=0,#N/A,VLOOKUP(Table7[[#This Row],[Date]],Database!$A:$C,MATCH($C$1,Database!$A$1:$C$1,),))</f>
        <v/>
      </c>
      <c r="D5066">
        <f>IFERROR(Table7[[#This Row],[United States 10y]]-Table7[[#This Row],[United States 3y]],#N/A)</f>
        <v/>
      </c>
    </row>
    <row r="5067">
      <c r="A5067" s="6">
        <f>Database!$A7152</f>
        <v/>
      </c>
      <c r="B5067">
        <f>IF(VLOOKUP(Table7[[#This Row],[Date]],Database!$A:$C,MATCH($B$1,Database!$A$1:$C$1,),)=0,#N/A,VLOOKUP(Table7[[#This Row],[Date]],Database!$A:$C,MATCH($B$1,Database!$A$1:$C$1,),))</f>
        <v/>
      </c>
      <c r="C5067">
        <f>IF(VLOOKUP(Table7[[#This Row],[Date]],Database!$A:$C,MATCH($C$1,Database!$A$1:$C$1,),)=0,#N/A,VLOOKUP(Table7[[#This Row],[Date]],Database!$A:$C,MATCH($C$1,Database!$A$1:$C$1,),))</f>
        <v/>
      </c>
      <c r="D5067">
        <f>IFERROR(Table7[[#This Row],[United States 10y]]-Table7[[#This Row],[United States 3y]],#N/A)</f>
        <v/>
      </c>
    </row>
    <row r="5068">
      <c r="A5068" s="6">
        <f>Database!$A7153</f>
        <v/>
      </c>
      <c r="B5068">
        <f>IF(VLOOKUP(Table7[[#This Row],[Date]],Database!$A:$C,MATCH($B$1,Database!$A$1:$C$1,),)=0,#N/A,VLOOKUP(Table7[[#This Row],[Date]],Database!$A:$C,MATCH($B$1,Database!$A$1:$C$1,),))</f>
        <v/>
      </c>
      <c r="C5068">
        <f>IF(VLOOKUP(Table7[[#This Row],[Date]],Database!$A:$C,MATCH($C$1,Database!$A$1:$C$1,),)=0,#N/A,VLOOKUP(Table7[[#This Row],[Date]],Database!$A:$C,MATCH($C$1,Database!$A$1:$C$1,),))</f>
        <v/>
      </c>
      <c r="D5068">
        <f>IFERROR(Table7[[#This Row],[United States 10y]]-Table7[[#This Row],[United States 3y]],#N/A)</f>
        <v/>
      </c>
    </row>
    <row r="5069">
      <c r="A5069" s="6">
        <f>Database!$A7154</f>
        <v/>
      </c>
      <c r="B5069">
        <f>IF(VLOOKUP(Table7[[#This Row],[Date]],Database!$A:$C,MATCH($B$1,Database!$A$1:$C$1,),)=0,#N/A,VLOOKUP(Table7[[#This Row],[Date]],Database!$A:$C,MATCH($B$1,Database!$A$1:$C$1,),))</f>
        <v/>
      </c>
      <c r="C5069">
        <f>IF(VLOOKUP(Table7[[#This Row],[Date]],Database!$A:$C,MATCH($C$1,Database!$A$1:$C$1,),)=0,#N/A,VLOOKUP(Table7[[#This Row],[Date]],Database!$A:$C,MATCH($C$1,Database!$A$1:$C$1,),))</f>
        <v/>
      </c>
      <c r="D5069">
        <f>IFERROR(Table7[[#This Row],[United States 10y]]-Table7[[#This Row],[United States 3y]],#N/A)</f>
        <v/>
      </c>
    </row>
    <row r="5070">
      <c r="A5070" s="6">
        <f>Database!$A7155</f>
        <v/>
      </c>
      <c r="B5070">
        <f>IF(VLOOKUP(Table7[[#This Row],[Date]],Database!$A:$C,MATCH($B$1,Database!$A$1:$C$1,),)=0,#N/A,VLOOKUP(Table7[[#This Row],[Date]],Database!$A:$C,MATCH($B$1,Database!$A$1:$C$1,),))</f>
        <v/>
      </c>
      <c r="C5070">
        <f>IF(VLOOKUP(Table7[[#This Row],[Date]],Database!$A:$C,MATCH($C$1,Database!$A$1:$C$1,),)=0,#N/A,VLOOKUP(Table7[[#This Row],[Date]],Database!$A:$C,MATCH($C$1,Database!$A$1:$C$1,),))</f>
        <v/>
      </c>
      <c r="D5070">
        <f>IFERROR(Table7[[#This Row],[United States 10y]]-Table7[[#This Row],[United States 3y]],#N/A)</f>
        <v/>
      </c>
    </row>
    <row r="5071">
      <c r="A5071" s="6">
        <f>Database!$A7156</f>
        <v/>
      </c>
      <c r="B5071">
        <f>IF(VLOOKUP(Table7[[#This Row],[Date]],Database!$A:$C,MATCH($B$1,Database!$A$1:$C$1,),)=0,#N/A,VLOOKUP(Table7[[#This Row],[Date]],Database!$A:$C,MATCH($B$1,Database!$A$1:$C$1,),))</f>
        <v/>
      </c>
      <c r="C5071">
        <f>IF(VLOOKUP(Table7[[#This Row],[Date]],Database!$A:$C,MATCH($C$1,Database!$A$1:$C$1,),)=0,#N/A,VLOOKUP(Table7[[#This Row],[Date]],Database!$A:$C,MATCH($C$1,Database!$A$1:$C$1,),))</f>
        <v/>
      </c>
      <c r="D5071">
        <f>IFERROR(Table7[[#This Row],[United States 10y]]-Table7[[#This Row],[United States 3y]],#N/A)</f>
        <v/>
      </c>
    </row>
    <row r="5072">
      <c r="A5072" s="6">
        <f>Database!$A7157</f>
        <v/>
      </c>
      <c r="B5072">
        <f>IF(VLOOKUP(Table7[[#This Row],[Date]],Database!$A:$C,MATCH($B$1,Database!$A$1:$C$1,),)=0,#N/A,VLOOKUP(Table7[[#This Row],[Date]],Database!$A:$C,MATCH($B$1,Database!$A$1:$C$1,),))</f>
        <v/>
      </c>
      <c r="C5072">
        <f>IF(VLOOKUP(Table7[[#This Row],[Date]],Database!$A:$C,MATCH($C$1,Database!$A$1:$C$1,),)=0,#N/A,VLOOKUP(Table7[[#This Row],[Date]],Database!$A:$C,MATCH($C$1,Database!$A$1:$C$1,),))</f>
        <v/>
      </c>
      <c r="D5072">
        <f>IFERROR(Table7[[#This Row],[United States 10y]]-Table7[[#This Row],[United States 3y]],#N/A)</f>
        <v/>
      </c>
    </row>
    <row r="5073">
      <c r="A5073" s="6">
        <f>Database!$A7158</f>
        <v/>
      </c>
      <c r="B5073">
        <f>IF(VLOOKUP(Table7[[#This Row],[Date]],Database!$A:$C,MATCH($B$1,Database!$A$1:$C$1,),)=0,#N/A,VLOOKUP(Table7[[#This Row],[Date]],Database!$A:$C,MATCH($B$1,Database!$A$1:$C$1,),))</f>
        <v/>
      </c>
      <c r="C5073">
        <f>IF(VLOOKUP(Table7[[#This Row],[Date]],Database!$A:$C,MATCH($C$1,Database!$A$1:$C$1,),)=0,#N/A,VLOOKUP(Table7[[#This Row],[Date]],Database!$A:$C,MATCH($C$1,Database!$A$1:$C$1,),))</f>
        <v/>
      </c>
      <c r="D5073">
        <f>IFERROR(Table7[[#This Row],[United States 10y]]-Table7[[#This Row],[United States 3y]],#N/A)</f>
        <v/>
      </c>
    </row>
    <row r="5074">
      <c r="A5074" s="6">
        <f>Database!$A7159</f>
        <v/>
      </c>
      <c r="B5074">
        <f>IF(VLOOKUP(Table7[[#This Row],[Date]],Database!$A:$C,MATCH($B$1,Database!$A$1:$C$1,),)=0,#N/A,VLOOKUP(Table7[[#This Row],[Date]],Database!$A:$C,MATCH($B$1,Database!$A$1:$C$1,),))</f>
        <v/>
      </c>
      <c r="C5074">
        <f>IF(VLOOKUP(Table7[[#This Row],[Date]],Database!$A:$C,MATCH($C$1,Database!$A$1:$C$1,),)=0,#N/A,VLOOKUP(Table7[[#This Row],[Date]],Database!$A:$C,MATCH($C$1,Database!$A$1:$C$1,),))</f>
        <v/>
      </c>
      <c r="D5074">
        <f>IFERROR(Table7[[#This Row],[United States 10y]]-Table7[[#This Row],[United States 3y]],#N/A)</f>
        <v/>
      </c>
    </row>
    <row r="5075">
      <c r="A5075" s="6">
        <f>Database!$A7160</f>
        <v/>
      </c>
      <c r="B5075">
        <f>IF(VLOOKUP(Table7[[#This Row],[Date]],Database!$A:$C,MATCH($B$1,Database!$A$1:$C$1,),)=0,#N/A,VLOOKUP(Table7[[#This Row],[Date]],Database!$A:$C,MATCH($B$1,Database!$A$1:$C$1,),))</f>
        <v/>
      </c>
      <c r="C5075">
        <f>IF(VLOOKUP(Table7[[#This Row],[Date]],Database!$A:$C,MATCH($C$1,Database!$A$1:$C$1,),)=0,#N/A,VLOOKUP(Table7[[#This Row],[Date]],Database!$A:$C,MATCH($C$1,Database!$A$1:$C$1,),))</f>
        <v/>
      </c>
      <c r="D5075">
        <f>IFERROR(Table7[[#This Row],[United States 10y]]-Table7[[#This Row],[United States 3y]],#N/A)</f>
        <v/>
      </c>
    </row>
    <row r="5076">
      <c r="A5076" s="6">
        <f>Database!$A7161</f>
        <v/>
      </c>
      <c r="B5076">
        <f>IF(VLOOKUP(Table7[[#This Row],[Date]],Database!$A:$C,MATCH($B$1,Database!$A$1:$C$1,),)=0,#N/A,VLOOKUP(Table7[[#This Row],[Date]],Database!$A:$C,MATCH($B$1,Database!$A$1:$C$1,),))</f>
        <v/>
      </c>
      <c r="C5076">
        <f>IF(VLOOKUP(Table7[[#This Row],[Date]],Database!$A:$C,MATCH($C$1,Database!$A$1:$C$1,),)=0,#N/A,VLOOKUP(Table7[[#This Row],[Date]],Database!$A:$C,MATCH($C$1,Database!$A$1:$C$1,),))</f>
        <v/>
      </c>
      <c r="D5076">
        <f>IFERROR(Table7[[#This Row],[United States 10y]]-Table7[[#This Row],[United States 3y]],#N/A)</f>
        <v/>
      </c>
    </row>
    <row r="5077">
      <c r="A5077" s="6">
        <f>Database!$A7162</f>
        <v/>
      </c>
      <c r="B5077">
        <f>IF(VLOOKUP(Table7[[#This Row],[Date]],Database!$A:$C,MATCH($B$1,Database!$A$1:$C$1,),)=0,#N/A,VLOOKUP(Table7[[#This Row],[Date]],Database!$A:$C,MATCH($B$1,Database!$A$1:$C$1,),))</f>
        <v/>
      </c>
      <c r="C5077">
        <f>IF(VLOOKUP(Table7[[#This Row],[Date]],Database!$A:$C,MATCH($C$1,Database!$A$1:$C$1,),)=0,#N/A,VLOOKUP(Table7[[#This Row],[Date]],Database!$A:$C,MATCH($C$1,Database!$A$1:$C$1,),))</f>
        <v/>
      </c>
      <c r="D5077">
        <f>IFERROR(Table7[[#This Row],[United States 10y]]-Table7[[#This Row],[United States 3y]],#N/A)</f>
        <v/>
      </c>
    </row>
    <row r="5078">
      <c r="A5078" s="6">
        <f>Database!$A7163</f>
        <v/>
      </c>
      <c r="B5078">
        <f>IF(VLOOKUP(Table7[[#This Row],[Date]],Database!$A:$C,MATCH($B$1,Database!$A$1:$C$1,),)=0,#N/A,VLOOKUP(Table7[[#This Row],[Date]],Database!$A:$C,MATCH($B$1,Database!$A$1:$C$1,),))</f>
        <v/>
      </c>
      <c r="C5078">
        <f>IF(VLOOKUP(Table7[[#This Row],[Date]],Database!$A:$C,MATCH($C$1,Database!$A$1:$C$1,),)=0,#N/A,VLOOKUP(Table7[[#This Row],[Date]],Database!$A:$C,MATCH($C$1,Database!$A$1:$C$1,),))</f>
        <v/>
      </c>
      <c r="D5078">
        <f>IFERROR(Table7[[#This Row],[United States 10y]]-Table7[[#This Row],[United States 3y]],#N/A)</f>
        <v/>
      </c>
    </row>
    <row r="5079">
      <c r="A5079" s="6">
        <f>Database!$A7164</f>
        <v/>
      </c>
      <c r="B5079">
        <f>IF(VLOOKUP(Table7[[#This Row],[Date]],Database!$A:$C,MATCH($B$1,Database!$A$1:$C$1,),)=0,#N/A,VLOOKUP(Table7[[#This Row],[Date]],Database!$A:$C,MATCH($B$1,Database!$A$1:$C$1,),))</f>
        <v/>
      </c>
      <c r="C5079">
        <f>IF(VLOOKUP(Table7[[#This Row],[Date]],Database!$A:$C,MATCH($C$1,Database!$A$1:$C$1,),)=0,#N/A,VLOOKUP(Table7[[#This Row],[Date]],Database!$A:$C,MATCH($C$1,Database!$A$1:$C$1,),))</f>
        <v/>
      </c>
      <c r="D5079">
        <f>IFERROR(Table7[[#This Row],[United States 10y]]-Table7[[#This Row],[United States 3y]],#N/A)</f>
        <v/>
      </c>
    </row>
    <row r="5080">
      <c r="A5080" s="6">
        <f>Database!$A7165</f>
        <v/>
      </c>
      <c r="B5080">
        <f>IF(VLOOKUP(Table7[[#This Row],[Date]],Database!$A:$C,MATCH($B$1,Database!$A$1:$C$1,),)=0,#N/A,VLOOKUP(Table7[[#This Row],[Date]],Database!$A:$C,MATCH($B$1,Database!$A$1:$C$1,),))</f>
        <v/>
      </c>
      <c r="C5080">
        <f>IF(VLOOKUP(Table7[[#This Row],[Date]],Database!$A:$C,MATCH($C$1,Database!$A$1:$C$1,),)=0,#N/A,VLOOKUP(Table7[[#This Row],[Date]],Database!$A:$C,MATCH($C$1,Database!$A$1:$C$1,),))</f>
        <v/>
      </c>
      <c r="D5080">
        <f>IFERROR(Table7[[#This Row],[United States 10y]]-Table7[[#This Row],[United States 3y]],#N/A)</f>
        <v/>
      </c>
    </row>
    <row r="5081">
      <c r="A5081" s="6">
        <f>Database!$A7166</f>
        <v/>
      </c>
      <c r="B5081">
        <f>IF(VLOOKUP(Table7[[#This Row],[Date]],Database!$A:$C,MATCH($B$1,Database!$A$1:$C$1,),)=0,#N/A,VLOOKUP(Table7[[#This Row],[Date]],Database!$A:$C,MATCH($B$1,Database!$A$1:$C$1,),))</f>
        <v/>
      </c>
      <c r="C5081">
        <f>IF(VLOOKUP(Table7[[#This Row],[Date]],Database!$A:$C,MATCH($C$1,Database!$A$1:$C$1,),)=0,#N/A,VLOOKUP(Table7[[#This Row],[Date]],Database!$A:$C,MATCH($C$1,Database!$A$1:$C$1,),))</f>
        <v/>
      </c>
      <c r="D5081">
        <f>IFERROR(Table7[[#This Row],[United States 10y]]-Table7[[#This Row],[United States 3y]],#N/A)</f>
        <v/>
      </c>
    </row>
    <row r="5082">
      <c r="A5082" s="6">
        <f>Database!$A7167</f>
        <v/>
      </c>
      <c r="B5082">
        <f>IF(VLOOKUP(Table7[[#This Row],[Date]],Database!$A:$C,MATCH($B$1,Database!$A$1:$C$1,),)=0,#N/A,VLOOKUP(Table7[[#This Row],[Date]],Database!$A:$C,MATCH($B$1,Database!$A$1:$C$1,),))</f>
        <v/>
      </c>
      <c r="C5082">
        <f>IF(VLOOKUP(Table7[[#This Row],[Date]],Database!$A:$C,MATCH($C$1,Database!$A$1:$C$1,),)=0,#N/A,VLOOKUP(Table7[[#This Row],[Date]],Database!$A:$C,MATCH($C$1,Database!$A$1:$C$1,),))</f>
        <v/>
      </c>
      <c r="D5082">
        <f>IFERROR(Table7[[#This Row],[United States 10y]]-Table7[[#This Row],[United States 3y]],#N/A)</f>
        <v/>
      </c>
    </row>
    <row r="5083">
      <c r="A5083" s="6">
        <f>Database!$A7168</f>
        <v/>
      </c>
      <c r="B5083">
        <f>IF(VLOOKUP(Table7[[#This Row],[Date]],Database!$A:$C,MATCH($B$1,Database!$A$1:$C$1,),)=0,#N/A,VLOOKUP(Table7[[#This Row],[Date]],Database!$A:$C,MATCH($B$1,Database!$A$1:$C$1,),))</f>
        <v/>
      </c>
      <c r="C5083">
        <f>IF(VLOOKUP(Table7[[#This Row],[Date]],Database!$A:$C,MATCH($C$1,Database!$A$1:$C$1,),)=0,#N/A,VLOOKUP(Table7[[#This Row],[Date]],Database!$A:$C,MATCH($C$1,Database!$A$1:$C$1,),))</f>
        <v/>
      </c>
      <c r="D5083">
        <f>IFERROR(Table7[[#This Row],[United States 10y]]-Table7[[#This Row],[United States 3y]],#N/A)</f>
        <v/>
      </c>
    </row>
    <row r="5084">
      <c r="A5084" s="6">
        <f>Database!$A7169</f>
        <v/>
      </c>
      <c r="B5084">
        <f>IF(VLOOKUP(Table7[[#This Row],[Date]],Database!$A:$C,MATCH($B$1,Database!$A$1:$C$1,),)=0,#N/A,VLOOKUP(Table7[[#This Row],[Date]],Database!$A:$C,MATCH($B$1,Database!$A$1:$C$1,),))</f>
        <v/>
      </c>
      <c r="C5084">
        <f>IF(VLOOKUP(Table7[[#This Row],[Date]],Database!$A:$C,MATCH($C$1,Database!$A$1:$C$1,),)=0,#N/A,VLOOKUP(Table7[[#This Row],[Date]],Database!$A:$C,MATCH($C$1,Database!$A$1:$C$1,),))</f>
        <v/>
      </c>
      <c r="D5084">
        <f>IFERROR(Table7[[#This Row],[United States 10y]]-Table7[[#This Row],[United States 3y]],#N/A)</f>
        <v/>
      </c>
    </row>
    <row r="5085">
      <c r="A5085" s="6">
        <f>Database!$A7170</f>
        <v/>
      </c>
      <c r="B5085">
        <f>IF(VLOOKUP(Table7[[#This Row],[Date]],Database!$A:$C,MATCH($B$1,Database!$A$1:$C$1,),)=0,#N/A,VLOOKUP(Table7[[#This Row],[Date]],Database!$A:$C,MATCH($B$1,Database!$A$1:$C$1,),))</f>
        <v/>
      </c>
      <c r="C5085">
        <f>IF(VLOOKUP(Table7[[#This Row],[Date]],Database!$A:$C,MATCH($C$1,Database!$A$1:$C$1,),)=0,#N/A,VLOOKUP(Table7[[#This Row],[Date]],Database!$A:$C,MATCH($C$1,Database!$A$1:$C$1,),))</f>
        <v/>
      </c>
      <c r="D5085">
        <f>IFERROR(Table7[[#This Row],[United States 10y]]-Table7[[#This Row],[United States 3y]],#N/A)</f>
        <v/>
      </c>
    </row>
    <row r="5086">
      <c r="A5086" s="6">
        <f>Database!$A7171</f>
        <v/>
      </c>
      <c r="B5086">
        <f>IF(VLOOKUP(Table7[[#This Row],[Date]],Database!$A:$C,MATCH($B$1,Database!$A$1:$C$1,),)=0,#N/A,VLOOKUP(Table7[[#This Row],[Date]],Database!$A:$C,MATCH($B$1,Database!$A$1:$C$1,),))</f>
        <v/>
      </c>
      <c r="C5086">
        <f>IF(VLOOKUP(Table7[[#This Row],[Date]],Database!$A:$C,MATCH($C$1,Database!$A$1:$C$1,),)=0,#N/A,VLOOKUP(Table7[[#This Row],[Date]],Database!$A:$C,MATCH($C$1,Database!$A$1:$C$1,),))</f>
        <v/>
      </c>
      <c r="D5086">
        <f>IFERROR(Table7[[#This Row],[United States 10y]]-Table7[[#This Row],[United States 3y]],#N/A)</f>
        <v/>
      </c>
    </row>
    <row r="5087">
      <c r="A5087" s="6">
        <f>Database!$A7172</f>
        <v/>
      </c>
      <c r="B5087">
        <f>IF(VLOOKUP(Table7[[#This Row],[Date]],Database!$A:$C,MATCH($B$1,Database!$A$1:$C$1,),)=0,#N/A,VLOOKUP(Table7[[#This Row],[Date]],Database!$A:$C,MATCH($B$1,Database!$A$1:$C$1,),))</f>
        <v/>
      </c>
      <c r="C5087">
        <f>IF(VLOOKUP(Table7[[#This Row],[Date]],Database!$A:$C,MATCH($C$1,Database!$A$1:$C$1,),)=0,#N/A,VLOOKUP(Table7[[#This Row],[Date]],Database!$A:$C,MATCH($C$1,Database!$A$1:$C$1,),))</f>
        <v/>
      </c>
      <c r="D5087">
        <f>IFERROR(Table7[[#This Row],[United States 10y]]-Table7[[#This Row],[United States 3y]],#N/A)</f>
        <v/>
      </c>
    </row>
    <row r="5088">
      <c r="A5088" s="6">
        <f>Database!$A7173</f>
        <v/>
      </c>
      <c r="B5088">
        <f>IF(VLOOKUP(Table7[[#This Row],[Date]],Database!$A:$C,MATCH($B$1,Database!$A$1:$C$1,),)=0,#N/A,VLOOKUP(Table7[[#This Row],[Date]],Database!$A:$C,MATCH($B$1,Database!$A$1:$C$1,),))</f>
        <v/>
      </c>
      <c r="C5088">
        <f>IF(VLOOKUP(Table7[[#This Row],[Date]],Database!$A:$C,MATCH($C$1,Database!$A$1:$C$1,),)=0,#N/A,VLOOKUP(Table7[[#This Row],[Date]],Database!$A:$C,MATCH($C$1,Database!$A$1:$C$1,),))</f>
        <v/>
      </c>
      <c r="D5088">
        <f>IFERROR(Table7[[#This Row],[United States 10y]]-Table7[[#This Row],[United States 3y]],#N/A)</f>
        <v/>
      </c>
    </row>
    <row r="5089">
      <c r="A5089" s="6">
        <f>Database!$A7174</f>
        <v/>
      </c>
      <c r="B5089">
        <f>IF(VLOOKUP(Table7[[#This Row],[Date]],Database!$A:$C,MATCH($B$1,Database!$A$1:$C$1,),)=0,#N/A,VLOOKUP(Table7[[#This Row],[Date]],Database!$A:$C,MATCH($B$1,Database!$A$1:$C$1,),))</f>
        <v/>
      </c>
      <c r="C5089">
        <f>IF(VLOOKUP(Table7[[#This Row],[Date]],Database!$A:$C,MATCH($C$1,Database!$A$1:$C$1,),)=0,#N/A,VLOOKUP(Table7[[#This Row],[Date]],Database!$A:$C,MATCH($C$1,Database!$A$1:$C$1,),))</f>
        <v/>
      </c>
      <c r="D5089">
        <f>IFERROR(Table7[[#This Row],[United States 10y]]-Table7[[#This Row],[United States 3y]],#N/A)</f>
        <v/>
      </c>
    </row>
    <row r="5090">
      <c r="A5090" s="6">
        <f>Database!$A7175</f>
        <v/>
      </c>
      <c r="B5090">
        <f>IF(VLOOKUP(Table7[[#This Row],[Date]],Database!$A:$C,MATCH($B$1,Database!$A$1:$C$1,),)=0,#N/A,VLOOKUP(Table7[[#This Row],[Date]],Database!$A:$C,MATCH($B$1,Database!$A$1:$C$1,),))</f>
        <v/>
      </c>
      <c r="C5090">
        <f>IF(VLOOKUP(Table7[[#This Row],[Date]],Database!$A:$C,MATCH($C$1,Database!$A$1:$C$1,),)=0,#N/A,VLOOKUP(Table7[[#This Row],[Date]],Database!$A:$C,MATCH($C$1,Database!$A$1:$C$1,),))</f>
        <v/>
      </c>
      <c r="D5090">
        <f>IFERROR(Table7[[#This Row],[United States 10y]]-Table7[[#This Row],[United States 3y]],#N/A)</f>
        <v/>
      </c>
    </row>
    <row r="5091">
      <c r="A5091" s="6">
        <f>Database!$A7176</f>
        <v/>
      </c>
      <c r="B5091">
        <f>IF(VLOOKUP(Table7[[#This Row],[Date]],Database!$A:$C,MATCH($B$1,Database!$A$1:$C$1,),)=0,#N/A,VLOOKUP(Table7[[#This Row],[Date]],Database!$A:$C,MATCH($B$1,Database!$A$1:$C$1,),))</f>
        <v/>
      </c>
      <c r="C5091">
        <f>IF(VLOOKUP(Table7[[#This Row],[Date]],Database!$A:$C,MATCH($C$1,Database!$A$1:$C$1,),)=0,#N/A,VLOOKUP(Table7[[#This Row],[Date]],Database!$A:$C,MATCH($C$1,Database!$A$1:$C$1,),))</f>
        <v/>
      </c>
      <c r="D5091">
        <f>IFERROR(Table7[[#This Row],[United States 10y]]-Table7[[#This Row],[United States 3y]],#N/A)</f>
        <v/>
      </c>
    </row>
    <row r="5092">
      <c r="A5092" s="6">
        <f>Database!$A7177</f>
        <v/>
      </c>
      <c r="B5092">
        <f>IF(VLOOKUP(Table7[[#This Row],[Date]],Database!$A:$C,MATCH($B$1,Database!$A$1:$C$1,),)=0,#N/A,VLOOKUP(Table7[[#This Row],[Date]],Database!$A:$C,MATCH($B$1,Database!$A$1:$C$1,),))</f>
        <v/>
      </c>
      <c r="C5092">
        <f>IF(VLOOKUP(Table7[[#This Row],[Date]],Database!$A:$C,MATCH($C$1,Database!$A$1:$C$1,),)=0,#N/A,VLOOKUP(Table7[[#This Row],[Date]],Database!$A:$C,MATCH($C$1,Database!$A$1:$C$1,),))</f>
        <v/>
      </c>
      <c r="D5092">
        <f>IFERROR(Table7[[#This Row],[United States 10y]]-Table7[[#This Row],[United States 3y]],#N/A)</f>
        <v/>
      </c>
    </row>
    <row r="5093">
      <c r="A5093" s="6">
        <f>Database!$A7178</f>
        <v/>
      </c>
      <c r="B5093">
        <f>IF(VLOOKUP(Table7[[#This Row],[Date]],Database!$A:$C,MATCH($B$1,Database!$A$1:$C$1,),)=0,#N/A,VLOOKUP(Table7[[#This Row],[Date]],Database!$A:$C,MATCH($B$1,Database!$A$1:$C$1,),))</f>
        <v/>
      </c>
      <c r="C5093">
        <f>IF(VLOOKUP(Table7[[#This Row],[Date]],Database!$A:$C,MATCH($C$1,Database!$A$1:$C$1,),)=0,#N/A,VLOOKUP(Table7[[#This Row],[Date]],Database!$A:$C,MATCH($C$1,Database!$A$1:$C$1,),))</f>
        <v/>
      </c>
      <c r="D5093">
        <f>IFERROR(Table7[[#This Row],[United States 10y]]-Table7[[#This Row],[United States 3y]],#N/A)</f>
        <v/>
      </c>
    </row>
    <row r="5094">
      <c r="A5094" s="6">
        <f>Database!$A7179</f>
        <v/>
      </c>
      <c r="B5094">
        <f>IF(VLOOKUP(Table7[[#This Row],[Date]],Database!$A:$C,MATCH($B$1,Database!$A$1:$C$1,),)=0,#N/A,VLOOKUP(Table7[[#This Row],[Date]],Database!$A:$C,MATCH($B$1,Database!$A$1:$C$1,),))</f>
        <v/>
      </c>
      <c r="C5094">
        <f>IF(VLOOKUP(Table7[[#This Row],[Date]],Database!$A:$C,MATCH($C$1,Database!$A$1:$C$1,),)=0,#N/A,VLOOKUP(Table7[[#This Row],[Date]],Database!$A:$C,MATCH($C$1,Database!$A$1:$C$1,),))</f>
        <v/>
      </c>
      <c r="D5094">
        <f>IFERROR(Table7[[#This Row],[United States 10y]]-Table7[[#This Row],[United States 3y]],#N/A)</f>
        <v/>
      </c>
    </row>
    <row r="5095">
      <c r="A5095" s="6">
        <f>Database!$A7180</f>
        <v/>
      </c>
      <c r="B5095">
        <f>IF(VLOOKUP(Table7[[#This Row],[Date]],Database!$A:$C,MATCH($B$1,Database!$A$1:$C$1,),)=0,#N/A,VLOOKUP(Table7[[#This Row],[Date]],Database!$A:$C,MATCH($B$1,Database!$A$1:$C$1,),))</f>
        <v/>
      </c>
      <c r="C5095">
        <f>IF(VLOOKUP(Table7[[#This Row],[Date]],Database!$A:$C,MATCH($C$1,Database!$A$1:$C$1,),)=0,#N/A,VLOOKUP(Table7[[#This Row],[Date]],Database!$A:$C,MATCH($C$1,Database!$A$1:$C$1,),))</f>
        <v/>
      </c>
      <c r="D5095">
        <f>IFERROR(Table7[[#This Row],[United States 10y]]-Table7[[#This Row],[United States 3y]],#N/A)</f>
        <v/>
      </c>
    </row>
    <row r="5096">
      <c r="A5096" s="6">
        <f>Database!$A7181</f>
        <v/>
      </c>
      <c r="B5096">
        <f>IF(VLOOKUP(Table7[[#This Row],[Date]],Database!$A:$C,MATCH($B$1,Database!$A$1:$C$1,),)=0,#N/A,VLOOKUP(Table7[[#This Row],[Date]],Database!$A:$C,MATCH($B$1,Database!$A$1:$C$1,),))</f>
        <v/>
      </c>
      <c r="C5096">
        <f>IF(VLOOKUP(Table7[[#This Row],[Date]],Database!$A:$C,MATCH($C$1,Database!$A$1:$C$1,),)=0,#N/A,VLOOKUP(Table7[[#This Row],[Date]],Database!$A:$C,MATCH($C$1,Database!$A$1:$C$1,),))</f>
        <v/>
      </c>
      <c r="D5096">
        <f>IFERROR(Table7[[#This Row],[United States 10y]]-Table7[[#This Row],[United States 3y]],#N/A)</f>
        <v/>
      </c>
    </row>
    <row r="5097">
      <c r="A5097" s="6">
        <f>Database!$A7182</f>
        <v/>
      </c>
      <c r="B5097">
        <f>IF(VLOOKUP(Table7[[#This Row],[Date]],Database!$A:$C,MATCH($B$1,Database!$A$1:$C$1,),)=0,#N/A,VLOOKUP(Table7[[#This Row],[Date]],Database!$A:$C,MATCH($B$1,Database!$A$1:$C$1,),))</f>
        <v/>
      </c>
      <c r="C5097">
        <f>IF(VLOOKUP(Table7[[#This Row],[Date]],Database!$A:$C,MATCH($C$1,Database!$A$1:$C$1,),)=0,#N/A,VLOOKUP(Table7[[#This Row],[Date]],Database!$A:$C,MATCH($C$1,Database!$A$1:$C$1,),))</f>
        <v/>
      </c>
      <c r="D5097">
        <f>IFERROR(Table7[[#This Row],[United States 10y]]-Table7[[#This Row],[United States 3y]],#N/A)</f>
        <v/>
      </c>
    </row>
    <row r="5098">
      <c r="A5098" s="6">
        <f>Database!$A7183</f>
        <v/>
      </c>
      <c r="B5098">
        <f>IF(VLOOKUP(Table7[[#This Row],[Date]],Database!$A:$C,MATCH($B$1,Database!$A$1:$C$1,),)=0,#N/A,VLOOKUP(Table7[[#This Row],[Date]],Database!$A:$C,MATCH($B$1,Database!$A$1:$C$1,),))</f>
        <v/>
      </c>
      <c r="C5098">
        <f>IF(VLOOKUP(Table7[[#This Row],[Date]],Database!$A:$C,MATCH($C$1,Database!$A$1:$C$1,),)=0,#N/A,VLOOKUP(Table7[[#This Row],[Date]],Database!$A:$C,MATCH($C$1,Database!$A$1:$C$1,),))</f>
        <v/>
      </c>
      <c r="D5098">
        <f>IFERROR(Table7[[#This Row],[United States 10y]]-Table7[[#This Row],[United States 3y]],#N/A)</f>
        <v/>
      </c>
    </row>
    <row r="5099">
      <c r="A5099" s="6">
        <f>Database!$A7184</f>
        <v/>
      </c>
      <c r="B5099">
        <f>IF(VLOOKUP(Table7[[#This Row],[Date]],Database!$A:$C,MATCH($B$1,Database!$A$1:$C$1,),)=0,#N/A,VLOOKUP(Table7[[#This Row],[Date]],Database!$A:$C,MATCH($B$1,Database!$A$1:$C$1,),))</f>
        <v/>
      </c>
      <c r="C5099">
        <f>IF(VLOOKUP(Table7[[#This Row],[Date]],Database!$A:$C,MATCH($C$1,Database!$A$1:$C$1,),)=0,#N/A,VLOOKUP(Table7[[#This Row],[Date]],Database!$A:$C,MATCH($C$1,Database!$A$1:$C$1,),))</f>
        <v/>
      </c>
      <c r="D5099">
        <f>IFERROR(Table7[[#This Row],[United States 10y]]-Table7[[#This Row],[United States 3y]],#N/A)</f>
        <v/>
      </c>
    </row>
    <row r="5100">
      <c r="A5100" s="6">
        <f>Database!$A7185</f>
        <v/>
      </c>
      <c r="B5100">
        <f>IF(VLOOKUP(Table7[[#This Row],[Date]],Database!$A:$C,MATCH($B$1,Database!$A$1:$C$1,),)=0,#N/A,VLOOKUP(Table7[[#This Row],[Date]],Database!$A:$C,MATCH($B$1,Database!$A$1:$C$1,),))</f>
        <v/>
      </c>
      <c r="C5100">
        <f>IF(VLOOKUP(Table7[[#This Row],[Date]],Database!$A:$C,MATCH($C$1,Database!$A$1:$C$1,),)=0,#N/A,VLOOKUP(Table7[[#This Row],[Date]],Database!$A:$C,MATCH($C$1,Database!$A$1:$C$1,),))</f>
        <v/>
      </c>
      <c r="D5100">
        <f>IFERROR(Table7[[#This Row],[United States 10y]]-Table7[[#This Row],[United States 3y]],#N/A)</f>
        <v/>
      </c>
    </row>
    <row r="5101">
      <c r="A5101" s="6">
        <f>Database!$A7186</f>
        <v/>
      </c>
      <c r="B5101">
        <f>IF(VLOOKUP(Table7[[#This Row],[Date]],Database!$A:$C,MATCH($B$1,Database!$A$1:$C$1,),)=0,#N/A,VLOOKUP(Table7[[#This Row],[Date]],Database!$A:$C,MATCH($B$1,Database!$A$1:$C$1,),))</f>
        <v/>
      </c>
      <c r="C5101">
        <f>IF(VLOOKUP(Table7[[#This Row],[Date]],Database!$A:$C,MATCH($C$1,Database!$A$1:$C$1,),)=0,#N/A,VLOOKUP(Table7[[#This Row],[Date]],Database!$A:$C,MATCH($C$1,Database!$A$1:$C$1,),))</f>
        <v/>
      </c>
      <c r="D5101">
        <f>IFERROR(Table7[[#This Row],[United States 10y]]-Table7[[#This Row],[United States 3y]],#N/A)</f>
        <v/>
      </c>
    </row>
    <row r="5102">
      <c r="A5102" s="6">
        <f>Database!$A7187</f>
        <v/>
      </c>
      <c r="B5102">
        <f>IF(VLOOKUP(Table7[[#This Row],[Date]],Database!$A:$C,MATCH($B$1,Database!$A$1:$C$1,),)=0,#N/A,VLOOKUP(Table7[[#This Row],[Date]],Database!$A:$C,MATCH($B$1,Database!$A$1:$C$1,),))</f>
        <v/>
      </c>
      <c r="C5102">
        <f>IF(VLOOKUP(Table7[[#This Row],[Date]],Database!$A:$C,MATCH($C$1,Database!$A$1:$C$1,),)=0,#N/A,VLOOKUP(Table7[[#This Row],[Date]],Database!$A:$C,MATCH($C$1,Database!$A$1:$C$1,),))</f>
        <v/>
      </c>
      <c r="D5102">
        <f>IFERROR(Table7[[#This Row],[United States 10y]]-Table7[[#This Row],[United States 3y]],#N/A)</f>
        <v/>
      </c>
    </row>
    <row r="5103">
      <c r="A5103" s="6">
        <f>Database!$A7188</f>
        <v/>
      </c>
      <c r="B5103">
        <f>IF(VLOOKUP(Table7[[#This Row],[Date]],Database!$A:$C,MATCH($B$1,Database!$A$1:$C$1,),)=0,#N/A,VLOOKUP(Table7[[#This Row],[Date]],Database!$A:$C,MATCH($B$1,Database!$A$1:$C$1,),))</f>
        <v/>
      </c>
      <c r="C5103">
        <f>IF(VLOOKUP(Table7[[#This Row],[Date]],Database!$A:$C,MATCH($C$1,Database!$A$1:$C$1,),)=0,#N/A,VLOOKUP(Table7[[#This Row],[Date]],Database!$A:$C,MATCH($C$1,Database!$A$1:$C$1,),))</f>
        <v/>
      </c>
      <c r="D5103">
        <f>IFERROR(Table7[[#This Row],[United States 10y]]-Table7[[#This Row],[United States 3y]],#N/A)</f>
        <v/>
      </c>
    </row>
    <row r="5104">
      <c r="A5104" s="6">
        <f>Database!$A7189</f>
        <v/>
      </c>
      <c r="B5104">
        <f>IF(VLOOKUP(Table7[[#This Row],[Date]],Database!$A:$C,MATCH($B$1,Database!$A$1:$C$1,),)=0,#N/A,VLOOKUP(Table7[[#This Row],[Date]],Database!$A:$C,MATCH($B$1,Database!$A$1:$C$1,),))</f>
        <v/>
      </c>
      <c r="C5104">
        <f>IF(VLOOKUP(Table7[[#This Row],[Date]],Database!$A:$C,MATCH($C$1,Database!$A$1:$C$1,),)=0,#N/A,VLOOKUP(Table7[[#This Row],[Date]],Database!$A:$C,MATCH($C$1,Database!$A$1:$C$1,),))</f>
        <v/>
      </c>
      <c r="D5104">
        <f>IFERROR(Table7[[#This Row],[United States 10y]]-Table7[[#This Row],[United States 3y]],#N/A)</f>
        <v/>
      </c>
    </row>
    <row r="5105">
      <c r="A5105" s="6">
        <f>Database!$A7190</f>
        <v/>
      </c>
      <c r="B5105">
        <f>IF(VLOOKUP(Table7[[#This Row],[Date]],Database!$A:$C,MATCH($B$1,Database!$A$1:$C$1,),)=0,#N/A,VLOOKUP(Table7[[#This Row],[Date]],Database!$A:$C,MATCH($B$1,Database!$A$1:$C$1,),))</f>
        <v/>
      </c>
      <c r="C5105">
        <f>IF(VLOOKUP(Table7[[#This Row],[Date]],Database!$A:$C,MATCH($C$1,Database!$A$1:$C$1,),)=0,#N/A,VLOOKUP(Table7[[#This Row],[Date]],Database!$A:$C,MATCH($C$1,Database!$A$1:$C$1,),))</f>
        <v/>
      </c>
      <c r="D5105">
        <f>IFERROR(Table7[[#This Row],[United States 10y]]-Table7[[#This Row],[United States 3y]],#N/A)</f>
        <v/>
      </c>
    </row>
    <row r="5106">
      <c r="A5106" s="6">
        <f>Database!$A7191</f>
        <v/>
      </c>
      <c r="B5106">
        <f>IF(VLOOKUP(Table7[[#This Row],[Date]],Database!$A:$C,MATCH($B$1,Database!$A$1:$C$1,),)=0,#N/A,VLOOKUP(Table7[[#This Row],[Date]],Database!$A:$C,MATCH($B$1,Database!$A$1:$C$1,),))</f>
        <v/>
      </c>
      <c r="C5106">
        <f>IF(VLOOKUP(Table7[[#This Row],[Date]],Database!$A:$C,MATCH($C$1,Database!$A$1:$C$1,),)=0,#N/A,VLOOKUP(Table7[[#This Row],[Date]],Database!$A:$C,MATCH($C$1,Database!$A$1:$C$1,),))</f>
        <v/>
      </c>
      <c r="D5106">
        <f>IFERROR(Table7[[#This Row],[United States 10y]]-Table7[[#This Row],[United States 3y]],#N/A)</f>
        <v/>
      </c>
    </row>
    <row r="5107">
      <c r="A5107" s="6">
        <f>Database!$A7192</f>
        <v/>
      </c>
      <c r="B5107">
        <f>IF(VLOOKUP(Table7[[#This Row],[Date]],Database!$A:$C,MATCH($B$1,Database!$A$1:$C$1,),)=0,#N/A,VLOOKUP(Table7[[#This Row],[Date]],Database!$A:$C,MATCH($B$1,Database!$A$1:$C$1,),))</f>
        <v/>
      </c>
      <c r="C5107">
        <f>IF(VLOOKUP(Table7[[#This Row],[Date]],Database!$A:$C,MATCH($C$1,Database!$A$1:$C$1,),)=0,#N/A,VLOOKUP(Table7[[#This Row],[Date]],Database!$A:$C,MATCH($C$1,Database!$A$1:$C$1,),))</f>
        <v/>
      </c>
      <c r="D5107">
        <f>IFERROR(Table7[[#This Row],[United States 10y]]-Table7[[#This Row],[United States 3y]],#N/A)</f>
        <v/>
      </c>
    </row>
    <row r="5108">
      <c r="A5108" s="6">
        <f>Database!$A7193</f>
        <v/>
      </c>
      <c r="B5108">
        <f>IF(VLOOKUP(Table7[[#This Row],[Date]],Database!$A:$C,MATCH($B$1,Database!$A$1:$C$1,),)=0,#N/A,VLOOKUP(Table7[[#This Row],[Date]],Database!$A:$C,MATCH($B$1,Database!$A$1:$C$1,),))</f>
        <v/>
      </c>
      <c r="C5108">
        <f>IF(VLOOKUP(Table7[[#This Row],[Date]],Database!$A:$C,MATCH($C$1,Database!$A$1:$C$1,),)=0,#N/A,VLOOKUP(Table7[[#This Row],[Date]],Database!$A:$C,MATCH($C$1,Database!$A$1:$C$1,),))</f>
        <v/>
      </c>
      <c r="D5108">
        <f>IFERROR(Table7[[#This Row],[United States 10y]]-Table7[[#This Row],[United States 3y]],#N/A)</f>
        <v/>
      </c>
    </row>
    <row r="5109">
      <c r="A5109" s="6">
        <f>Database!$A7194</f>
        <v/>
      </c>
      <c r="B5109">
        <f>IF(VLOOKUP(Table7[[#This Row],[Date]],Database!$A:$C,MATCH($B$1,Database!$A$1:$C$1,),)=0,#N/A,VLOOKUP(Table7[[#This Row],[Date]],Database!$A:$C,MATCH($B$1,Database!$A$1:$C$1,),))</f>
        <v/>
      </c>
      <c r="C5109">
        <f>IF(VLOOKUP(Table7[[#This Row],[Date]],Database!$A:$C,MATCH($C$1,Database!$A$1:$C$1,),)=0,#N/A,VLOOKUP(Table7[[#This Row],[Date]],Database!$A:$C,MATCH($C$1,Database!$A$1:$C$1,),))</f>
        <v/>
      </c>
      <c r="D5109">
        <f>IFERROR(Table7[[#This Row],[United States 10y]]-Table7[[#This Row],[United States 3y]],#N/A)</f>
        <v/>
      </c>
    </row>
    <row r="5110">
      <c r="A5110" s="6">
        <f>Database!$A7195</f>
        <v/>
      </c>
      <c r="B5110">
        <f>IF(VLOOKUP(Table7[[#This Row],[Date]],Database!$A:$C,MATCH($B$1,Database!$A$1:$C$1,),)=0,#N/A,VLOOKUP(Table7[[#This Row],[Date]],Database!$A:$C,MATCH($B$1,Database!$A$1:$C$1,),))</f>
        <v/>
      </c>
      <c r="C5110">
        <f>IF(VLOOKUP(Table7[[#This Row],[Date]],Database!$A:$C,MATCH($C$1,Database!$A$1:$C$1,),)=0,#N/A,VLOOKUP(Table7[[#This Row],[Date]],Database!$A:$C,MATCH($C$1,Database!$A$1:$C$1,),))</f>
        <v/>
      </c>
      <c r="D5110">
        <f>IFERROR(Table7[[#This Row],[United States 10y]]-Table7[[#This Row],[United States 3y]],#N/A)</f>
        <v/>
      </c>
    </row>
    <row r="5111">
      <c r="A5111" s="6">
        <f>Database!$A7196</f>
        <v/>
      </c>
      <c r="B5111">
        <f>IF(VLOOKUP(Table7[[#This Row],[Date]],Database!$A:$C,MATCH($B$1,Database!$A$1:$C$1,),)=0,#N/A,VLOOKUP(Table7[[#This Row],[Date]],Database!$A:$C,MATCH($B$1,Database!$A$1:$C$1,),))</f>
        <v/>
      </c>
      <c r="C5111">
        <f>IF(VLOOKUP(Table7[[#This Row],[Date]],Database!$A:$C,MATCH($C$1,Database!$A$1:$C$1,),)=0,#N/A,VLOOKUP(Table7[[#This Row],[Date]],Database!$A:$C,MATCH($C$1,Database!$A$1:$C$1,),))</f>
        <v/>
      </c>
      <c r="D5111">
        <f>IFERROR(Table7[[#This Row],[United States 10y]]-Table7[[#This Row],[United States 3y]],#N/A)</f>
        <v/>
      </c>
    </row>
    <row r="5112">
      <c r="A5112" s="6">
        <f>Database!$A7197</f>
        <v/>
      </c>
      <c r="B5112">
        <f>IF(VLOOKUP(Table7[[#This Row],[Date]],Database!$A:$C,MATCH($B$1,Database!$A$1:$C$1,),)=0,#N/A,VLOOKUP(Table7[[#This Row],[Date]],Database!$A:$C,MATCH($B$1,Database!$A$1:$C$1,),))</f>
        <v/>
      </c>
      <c r="C5112">
        <f>IF(VLOOKUP(Table7[[#This Row],[Date]],Database!$A:$C,MATCH($C$1,Database!$A$1:$C$1,),)=0,#N/A,VLOOKUP(Table7[[#This Row],[Date]],Database!$A:$C,MATCH($C$1,Database!$A$1:$C$1,),))</f>
        <v/>
      </c>
      <c r="D5112">
        <f>IFERROR(Table7[[#This Row],[United States 10y]]-Table7[[#This Row],[United States 3y]],#N/A)</f>
        <v/>
      </c>
    </row>
    <row r="5113">
      <c r="A5113" s="6">
        <f>Database!$A7198</f>
        <v/>
      </c>
      <c r="B5113">
        <f>IF(VLOOKUP(Table7[[#This Row],[Date]],Database!$A:$C,MATCH($B$1,Database!$A$1:$C$1,),)=0,#N/A,VLOOKUP(Table7[[#This Row],[Date]],Database!$A:$C,MATCH($B$1,Database!$A$1:$C$1,),))</f>
        <v/>
      </c>
      <c r="C5113">
        <f>IF(VLOOKUP(Table7[[#This Row],[Date]],Database!$A:$C,MATCH($C$1,Database!$A$1:$C$1,),)=0,#N/A,VLOOKUP(Table7[[#This Row],[Date]],Database!$A:$C,MATCH($C$1,Database!$A$1:$C$1,),))</f>
        <v/>
      </c>
      <c r="D5113">
        <f>IFERROR(Table7[[#This Row],[United States 10y]]-Table7[[#This Row],[United States 3y]],#N/A)</f>
        <v/>
      </c>
    </row>
    <row r="5114">
      <c r="A5114" s="6">
        <f>Database!$A7199</f>
        <v/>
      </c>
      <c r="B5114">
        <f>IF(VLOOKUP(Table7[[#This Row],[Date]],Database!$A:$C,MATCH($B$1,Database!$A$1:$C$1,),)=0,#N/A,VLOOKUP(Table7[[#This Row],[Date]],Database!$A:$C,MATCH($B$1,Database!$A$1:$C$1,),))</f>
        <v/>
      </c>
      <c r="C5114">
        <f>IF(VLOOKUP(Table7[[#This Row],[Date]],Database!$A:$C,MATCH($C$1,Database!$A$1:$C$1,),)=0,#N/A,VLOOKUP(Table7[[#This Row],[Date]],Database!$A:$C,MATCH($C$1,Database!$A$1:$C$1,),))</f>
        <v/>
      </c>
      <c r="D5114">
        <f>IFERROR(Table7[[#This Row],[United States 10y]]-Table7[[#This Row],[United States 3y]],#N/A)</f>
        <v/>
      </c>
    </row>
    <row r="5115">
      <c r="A5115" s="6">
        <f>Database!$A7200</f>
        <v/>
      </c>
      <c r="B5115">
        <f>IF(VLOOKUP(Table7[[#This Row],[Date]],Database!$A:$C,MATCH($B$1,Database!$A$1:$C$1,),)=0,#N/A,VLOOKUP(Table7[[#This Row],[Date]],Database!$A:$C,MATCH($B$1,Database!$A$1:$C$1,),))</f>
        <v/>
      </c>
      <c r="C5115">
        <f>IF(VLOOKUP(Table7[[#This Row],[Date]],Database!$A:$C,MATCH($C$1,Database!$A$1:$C$1,),)=0,#N/A,VLOOKUP(Table7[[#This Row],[Date]],Database!$A:$C,MATCH($C$1,Database!$A$1:$C$1,),))</f>
        <v/>
      </c>
      <c r="D5115">
        <f>IFERROR(Table7[[#This Row],[United States 10y]]-Table7[[#This Row],[United States 3y]],#N/A)</f>
        <v/>
      </c>
    </row>
    <row r="5116">
      <c r="A5116" s="6">
        <f>Database!$A7201</f>
        <v/>
      </c>
      <c r="B5116">
        <f>IF(VLOOKUP(Table7[[#This Row],[Date]],Database!$A:$C,MATCH($B$1,Database!$A$1:$C$1,),)=0,#N/A,VLOOKUP(Table7[[#This Row],[Date]],Database!$A:$C,MATCH($B$1,Database!$A$1:$C$1,),))</f>
        <v/>
      </c>
      <c r="C5116">
        <f>IF(VLOOKUP(Table7[[#This Row],[Date]],Database!$A:$C,MATCH($C$1,Database!$A$1:$C$1,),)=0,#N/A,VLOOKUP(Table7[[#This Row],[Date]],Database!$A:$C,MATCH($C$1,Database!$A$1:$C$1,),))</f>
        <v/>
      </c>
      <c r="D5116">
        <f>IFERROR(Table7[[#This Row],[United States 10y]]-Table7[[#This Row],[United States 3y]],#N/A)</f>
        <v/>
      </c>
    </row>
    <row r="5117">
      <c r="A5117" s="6">
        <f>Database!$A7202</f>
        <v/>
      </c>
      <c r="B5117">
        <f>IF(VLOOKUP(Table7[[#This Row],[Date]],Database!$A:$C,MATCH($B$1,Database!$A$1:$C$1,),)=0,#N/A,VLOOKUP(Table7[[#This Row],[Date]],Database!$A:$C,MATCH($B$1,Database!$A$1:$C$1,),))</f>
        <v/>
      </c>
      <c r="C5117">
        <f>IF(VLOOKUP(Table7[[#This Row],[Date]],Database!$A:$C,MATCH($C$1,Database!$A$1:$C$1,),)=0,#N/A,VLOOKUP(Table7[[#This Row],[Date]],Database!$A:$C,MATCH($C$1,Database!$A$1:$C$1,),))</f>
        <v/>
      </c>
      <c r="D5117">
        <f>IFERROR(Table7[[#This Row],[United States 10y]]-Table7[[#This Row],[United States 3y]],#N/A)</f>
        <v/>
      </c>
    </row>
    <row r="5118">
      <c r="A5118" s="6">
        <f>Database!$A7203</f>
        <v/>
      </c>
      <c r="B5118">
        <f>IF(VLOOKUP(Table7[[#This Row],[Date]],Database!$A:$C,MATCH($B$1,Database!$A$1:$C$1,),)=0,#N/A,VLOOKUP(Table7[[#This Row],[Date]],Database!$A:$C,MATCH($B$1,Database!$A$1:$C$1,),))</f>
        <v/>
      </c>
      <c r="C5118">
        <f>IF(VLOOKUP(Table7[[#This Row],[Date]],Database!$A:$C,MATCH($C$1,Database!$A$1:$C$1,),)=0,#N/A,VLOOKUP(Table7[[#This Row],[Date]],Database!$A:$C,MATCH($C$1,Database!$A$1:$C$1,),))</f>
        <v/>
      </c>
      <c r="D5118">
        <f>IFERROR(Table7[[#This Row],[United States 10y]]-Table7[[#This Row],[United States 3y]],#N/A)</f>
        <v/>
      </c>
    </row>
    <row r="5119">
      <c r="A5119" s="6">
        <f>Database!$A7204</f>
        <v/>
      </c>
      <c r="B5119">
        <f>IF(VLOOKUP(Table7[[#This Row],[Date]],Database!$A:$C,MATCH($B$1,Database!$A$1:$C$1,),)=0,#N/A,VLOOKUP(Table7[[#This Row],[Date]],Database!$A:$C,MATCH($B$1,Database!$A$1:$C$1,),))</f>
        <v/>
      </c>
      <c r="C5119">
        <f>IF(VLOOKUP(Table7[[#This Row],[Date]],Database!$A:$C,MATCH($C$1,Database!$A$1:$C$1,),)=0,#N/A,VLOOKUP(Table7[[#This Row],[Date]],Database!$A:$C,MATCH($C$1,Database!$A$1:$C$1,),))</f>
        <v/>
      </c>
      <c r="D5119">
        <f>IFERROR(Table7[[#This Row],[United States 10y]]-Table7[[#This Row],[United States 3y]],#N/A)</f>
        <v/>
      </c>
    </row>
    <row r="5120">
      <c r="A5120" s="6">
        <f>Database!$A7205</f>
        <v/>
      </c>
      <c r="B5120">
        <f>IF(VLOOKUP(Table7[[#This Row],[Date]],Database!$A:$C,MATCH($B$1,Database!$A$1:$C$1,),)=0,#N/A,VLOOKUP(Table7[[#This Row],[Date]],Database!$A:$C,MATCH($B$1,Database!$A$1:$C$1,),))</f>
        <v/>
      </c>
      <c r="C5120">
        <f>IF(VLOOKUP(Table7[[#This Row],[Date]],Database!$A:$C,MATCH($C$1,Database!$A$1:$C$1,),)=0,#N/A,VLOOKUP(Table7[[#This Row],[Date]],Database!$A:$C,MATCH($C$1,Database!$A$1:$C$1,),))</f>
        <v/>
      </c>
      <c r="D5120">
        <f>IFERROR(Table7[[#This Row],[United States 10y]]-Table7[[#This Row],[United States 3y]],#N/A)</f>
        <v/>
      </c>
    </row>
    <row r="5121">
      <c r="A5121" s="6">
        <f>Database!$A7206</f>
        <v/>
      </c>
      <c r="B5121">
        <f>IF(VLOOKUP(Table7[[#This Row],[Date]],Database!$A:$C,MATCH($B$1,Database!$A$1:$C$1,),)=0,#N/A,VLOOKUP(Table7[[#This Row],[Date]],Database!$A:$C,MATCH($B$1,Database!$A$1:$C$1,),))</f>
        <v/>
      </c>
      <c r="C5121">
        <f>IF(VLOOKUP(Table7[[#This Row],[Date]],Database!$A:$C,MATCH($C$1,Database!$A$1:$C$1,),)=0,#N/A,VLOOKUP(Table7[[#This Row],[Date]],Database!$A:$C,MATCH($C$1,Database!$A$1:$C$1,),))</f>
        <v/>
      </c>
      <c r="D5121">
        <f>IFERROR(Table7[[#This Row],[United States 10y]]-Table7[[#This Row],[United States 3y]],#N/A)</f>
        <v/>
      </c>
    </row>
    <row r="5122">
      <c r="A5122" s="6">
        <f>Database!$A7207</f>
        <v/>
      </c>
      <c r="B5122">
        <f>IF(VLOOKUP(Table7[[#This Row],[Date]],Database!$A:$C,MATCH($B$1,Database!$A$1:$C$1,),)=0,#N/A,VLOOKUP(Table7[[#This Row],[Date]],Database!$A:$C,MATCH($B$1,Database!$A$1:$C$1,),))</f>
        <v/>
      </c>
      <c r="C5122">
        <f>IF(VLOOKUP(Table7[[#This Row],[Date]],Database!$A:$C,MATCH($C$1,Database!$A$1:$C$1,),)=0,#N/A,VLOOKUP(Table7[[#This Row],[Date]],Database!$A:$C,MATCH($C$1,Database!$A$1:$C$1,),))</f>
        <v/>
      </c>
      <c r="D5122">
        <f>IFERROR(Table7[[#This Row],[United States 10y]]-Table7[[#This Row],[United States 3y]],#N/A)</f>
        <v/>
      </c>
    </row>
    <row r="5123">
      <c r="A5123" s="6">
        <f>Database!$A7208</f>
        <v/>
      </c>
      <c r="B5123">
        <f>IF(VLOOKUP(Table7[[#This Row],[Date]],Database!$A:$C,MATCH($B$1,Database!$A$1:$C$1,),)=0,#N/A,VLOOKUP(Table7[[#This Row],[Date]],Database!$A:$C,MATCH($B$1,Database!$A$1:$C$1,),))</f>
        <v/>
      </c>
      <c r="C5123">
        <f>IF(VLOOKUP(Table7[[#This Row],[Date]],Database!$A:$C,MATCH($C$1,Database!$A$1:$C$1,),)=0,#N/A,VLOOKUP(Table7[[#This Row],[Date]],Database!$A:$C,MATCH($C$1,Database!$A$1:$C$1,),))</f>
        <v/>
      </c>
      <c r="D5123">
        <f>IFERROR(Table7[[#This Row],[United States 10y]]-Table7[[#This Row],[United States 3y]],#N/A)</f>
        <v/>
      </c>
    </row>
    <row r="5124">
      <c r="A5124" s="6">
        <f>Database!$A7209</f>
        <v/>
      </c>
      <c r="B5124">
        <f>IF(VLOOKUP(Table7[[#This Row],[Date]],Database!$A:$C,MATCH($B$1,Database!$A$1:$C$1,),)=0,#N/A,VLOOKUP(Table7[[#This Row],[Date]],Database!$A:$C,MATCH($B$1,Database!$A$1:$C$1,),))</f>
        <v/>
      </c>
      <c r="C5124">
        <f>IF(VLOOKUP(Table7[[#This Row],[Date]],Database!$A:$C,MATCH($C$1,Database!$A$1:$C$1,),)=0,#N/A,VLOOKUP(Table7[[#This Row],[Date]],Database!$A:$C,MATCH($C$1,Database!$A$1:$C$1,),))</f>
        <v/>
      </c>
      <c r="D5124">
        <f>IFERROR(Table7[[#This Row],[United States 10y]]-Table7[[#This Row],[United States 3y]],#N/A)</f>
        <v/>
      </c>
    </row>
    <row r="5125">
      <c r="A5125" s="6">
        <f>Database!$A7210</f>
        <v/>
      </c>
      <c r="B5125">
        <f>IF(VLOOKUP(Table7[[#This Row],[Date]],Database!$A:$C,MATCH($B$1,Database!$A$1:$C$1,),)=0,#N/A,VLOOKUP(Table7[[#This Row],[Date]],Database!$A:$C,MATCH($B$1,Database!$A$1:$C$1,),))</f>
        <v/>
      </c>
      <c r="C5125">
        <f>IF(VLOOKUP(Table7[[#This Row],[Date]],Database!$A:$C,MATCH($C$1,Database!$A$1:$C$1,),)=0,#N/A,VLOOKUP(Table7[[#This Row],[Date]],Database!$A:$C,MATCH($C$1,Database!$A$1:$C$1,),))</f>
        <v/>
      </c>
      <c r="D5125">
        <f>IFERROR(Table7[[#This Row],[United States 10y]]-Table7[[#This Row],[United States 3y]],#N/A)</f>
        <v/>
      </c>
    </row>
    <row r="5126">
      <c r="A5126" s="6">
        <f>Database!$A7211</f>
        <v/>
      </c>
      <c r="B5126">
        <f>IF(VLOOKUP(Table7[[#This Row],[Date]],Database!$A:$C,MATCH($B$1,Database!$A$1:$C$1,),)=0,#N/A,VLOOKUP(Table7[[#This Row],[Date]],Database!$A:$C,MATCH($B$1,Database!$A$1:$C$1,),))</f>
        <v/>
      </c>
      <c r="C5126">
        <f>IF(VLOOKUP(Table7[[#This Row],[Date]],Database!$A:$C,MATCH($C$1,Database!$A$1:$C$1,),)=0,#N/A,VLOOKUP(Table7[[#This Row],[Date]],Database!$A:$C,MATCH($C$1,Database!$A$1:$C$1,),))</f>
        <v/>
      </c>
      <c r="D5126">
        <f>IFERROR(Table7[[#This Row],[United States 10y]]-Table7[[#This Row],[United States 3y]],#N/A)</f>
        <v/>
      </c>
    </row>
    <row r="5127">
      <c r="A5127" s="6">
        <f>Database!$A7212</f>
        <v/>
      </c>
      <c r="B5127">
        <f>IF(VLOOKUP(Table7[[#This Row],[Date]],Database!$A:$C,MATCH($B$1,Database!$A$1:$C$1,),)=0,#N/A,VLOOKUP(Table7[[#This Row],[Date]],Database!$A:$C,MATCH($B$1,Database!$A$1:$C$1,),))</f>
        <v/>
      </c>
      <c r="C5127">
        <f>IF(VLOOKUP(Table7[[#This Row],[Date]],Database!$A:$C,MATCH($C$1,Database!$A$1:$C$1,),)=0,#N/A,VLOOKUP(Table7[[#This Row],[Date]],Database!$A:$C,MATCH($C$1,Database!$A$1:$C$1,),))</f>
        <v/>
      </c>
      <c r="D5127">
        <f>IFERROR(Table7[[#This Row],[United States 10y]]-Table7[[#This Row],[United States 3y]],#N/A)</f>
        <v/>
      </c>
    </row>
    <row r="5128">
      <c r="A5128" s="6">
        <f>Database!$A7213</f>
        <v/>
      </c>
      <c r="B5128">
        <f>IF(VLOOKUP(Table7[[#This Row],[Date]],Database!$A:$C,MATCH($B$1,Database!$A$1:$C$1,),)=0,#N/A,VLOOKUP(Table7[[#This Row],[Date]],Database!$A:$C,MATCH($B$1,Database!$A$1:$C$1,),))</f>
        <v/>
      </c>
      <c r="C5128">
        <f>IF(VLOOKUP(Table7[[#This Row],[Date]],Database!$A:$C,MATCH($C$1,Database!$A$1:$C$1,),)=0,#N/A,VLOOKUP(Table7[[#This Row],[Date]],Database!$A:$C,MATCH($C$1,Database!$A$1:$C$1,),))</f>
        <v/>
      </c>
      <c r="D5128">
        <f>IFERROR(Table7[[#This Row],[United States 10y]]-Table7[[#This Row],[United States 3y]],#N/A)</f>
        <v/>
      </c>
    </row>
    <row r="5129">
      <c r="A5129" s="6">
        <f>Database!$A7214</f>
        <v/>
      </c>
      <c r="B5129">
        <f>IF(VLOOKUP(Table7[[#This Row],[Date]],Database!$A:$C,MATCH($B$1,Database!$A$1:$C$1,),)=0,#N/A,VLOOKUP(Table7[[#This Row],[Date]],Database!$A:$C,MATCH($B$1,Database!$A$1:$C$1,),))</f>
        <v/>
      </c>
      <c r="C5129">
        <f>IF(VLOOKUP(Table7[[#This Row],[Date]],Database!$A:$C,MATCH($C$1,Database!$A$1:$C$1,),)=0,#N/A,VLOOKUP(Table7[[#This Row],[Date]],Database!$A:$C,MATCH($C$1,Database!$A$1:$C$1,),))</f>
        <v/>
      </c>
      <c r="D5129">
        <f>IFERROR(Table7[[#This Row],[United States 10y]]-Table7[[#This Row],[United States 3y]],#N/A)</f>
        <v/>
      </c>
    </row>
    <row r="5130">
      <c r="A5130" s="6">
        <f>Database!$A7215</f>
        <v/>
      </c>
      <c r="B5130">
        <f>IF(VLOOKUP(Table7[[#This Row],[Date]],Database!$A:$C,MATCH($B$1,Database!$A$1:$C$1,),)=0,#N/A,VLOOKUP(Table7[[#This Row],[Date]],Database!$A:$C,MATCH($B$1,Database!$A$1:$C$1,),))</f>
        <v/>
      </c>
      <c r="C5130">
        <f>IF(VLOOKUP(Table7[[#This Row],[Date]],Database!$A:$C,MATCH($C$1,Database!$A$1:$C$1,),)=0,#N/A,VLOOKUP(Table7[[#This Row],[Date]],Database!$A:$C,MATCH($C$1,Database!$A$1:$C$1,),))</f>
        <v/>
      </c>
      <c r="D5130">
        <f>IFERROR(Table7[[#This Row],[United States 10y]]-Table7[[#This Row],[United States 3y]],#N/A)</f>
        <v/>
      </c>
    </row>
    <row r="5131">
      <c r="A5131" s="6">
        <f>Database!$A7216</f>
        <v/>
      </c>
      <c r="B5131">
        <f>IF(VLOOKUP(Table7[[#This Row],[Date]],Database!$A:$C,MATCH($B$1,Database!$A$1:$C$1,),)=0,#N/A,VLOOKUP(Table7[[#This Row],[Date]],Database!$A:$C,MATCH($B$1,Database!$A$1:$C$1,),))</f>
        <v/>
      </c>
      <c r="C5131">
        <f>IF(VLOOKUP(Table7[[#This Row],[Date]],Database!$A:$C,MATCH($C$1,Database!$A$1:$C$1,),)=0,#N/A,VLOOKUP(Table7[[#This Row],[Date]],Database!$A:$C,MATCH($C$1,Database!$A$1:$C$1,),))</f>
        <v/>
      </c>
      <c r="D5131">
        <f>IFERROR(Table7[[#This Row],[United States 10y]]-Table7[[#This Row],[United States 3y]],#N/A)</f>
        <v/>
      </c>
    </row>
    <row r="5132">
      <c r="A5132" s="6">
        <f>Database!$A7217</f>
        <v/>
      </c>
      <c r="B5132">
        <f>IF(VLOOKUP(Table7[[#This Row],[Date]],Database!$A:$C,MATCH($B$1,Database!$A$1:$C$1,),)=0,#N/A,VLOOKUP(Table7[[#This Row],[Date]],Database!$A:$C,MATCH($B$1,Database!$A$1:$C$1,),))</f>
        <v/>
      </c>
      <c r="C5132">
        <f>IF(VLOOKUP(Table7[[#This Row],[Date]],Database!$A:$C,MATCH($C$1,Database!$A$1:$C$1,),)=0,#N/A,VLOOKUP(Table7[[#This Row],[Date]],Database!$A:$C,MATCH($C$1,Database!$A$1:$C$1,),))</f>
        <v/>
      </c>
      <c r="D5132">
        <f>IFERROR(Table7[[#This Row],[United States 10y]]-Table7[[#This Row],[United States 3y]],#N/A)</f>
        <v/>
      </c>
    </row>
    <row r="5133">
      <c r="A5133" s="6">
        <f>Database!$A7218</f>
        <v/>
      </c>
      <c r="B5133">
        <f>IF(VLOOKUP(Table7[[#This Row],[Date]],Database!$A:$C,MATCH($B$1,Database!$A$1:$C$1,),)=0,#N/A,VLOOKUP(Table7[[#This Row],[Date]],Database!$A:$C,MATCH($B$1,Database!$A$1:$C$1,),))</f>
        <v/>
      </c>
      <c r="C5133">
        <f>IF(VLOOKUP(Table7[[#This Row],[Date]],Database!$A:$C,MATCH($C$1,Database!$A$1:$C$1,),)=0,#N/A,VLOOKUP(Table7[[#This Row],[Date]],Database!$A:$C,MATCH($C$1,Database!$A$1:$C$1,),))</f>
        <v/>
      </c>
      <c r="D5133">
        <f>IFERROR(Table7[[#This Row],[United States 10y]]-Table7[[#This Row],[United States 3y]],#N/A)</f>
        <v/>
      </c>
    </row>
    <row r="5134">
      <c r="A5134" s="6">
        <f>Database!$A7219</f>
        <v/>
      </c>
      <c r="B5134">
        <f>IF(VLOOKUP(Table7[[#This Row],[Date]],Database!$A:$C,MATCH($B$1,Database!$A$1:$C$1,),)=0,#N/A,VLOOKUP(Table7[[#This Row],[Date]],Database!$A:$C,MATCH($B$1,Database!$A$1:$C$1,),))</f>
        <v/>
      </c>
      <c r="C5134">
        <f>IF(VLOOKUP(Table7[[#This Row],[Date]],Database!$A:$C,MATCH($C$1,Database!$A$1:$C$1,),)=0,#N/A,VLOOKUP(Table7[[#This Row],[Date]],Database!$A:$C,MATCH($C$1,Database!$A$1:$C$1,),))</f>
        <v/>
      </c>
      <c r="D5134">
        <f>IFERROR(Table7[[#This Row],[United States 10y]]-Table7[[#This Row],[United States 3y]],#N/A)</f>
        <v/>
      </c>
    </row>
    <row r="5135">
      <c r="A5135" s="6">
        <f>Database!$A7220</f>
        <v/>
      </c>
      <c r="B5135">
        <f>IF(VLOOKUP(Table7[[#This Row],[Date]],Database!$A:$C,MATCH($B$1,Database!$A$1:$C$1,),)=0,#N/A,VLOOKUP(Table7[[#This Row],[Date]],Database!$A:$C,MATCH($B$1,Database!$A$1:$C$1,),))</f>
        <v/>
      </c>
      <c r="C5135">
        <f>IF(VLOOKUP(Table7[[#This Row],[Date]],Database!$A:$C,MATCH($C$1,Database!$A$1:$C$1,),)=0,#N/A,VLOOKUP(Table7[[#This Row],[Date]],Database!$A:$C,MATCH($C$1,Database!$A$1:$C$1,),))</f>
        <v/>
      </c>
      <c r="D5135">
        <f>IFERROR(Table7[[#This Row],[United States 10y]]-Table7[[#This Row],[United States 3y]],#N/A)</f>
        <v/>
      </c>
    </row>
    <row r="5136">
      <c r="A5136" s="6">
        <f>Database!$A7221</f>
        <v/>
      </c>
      <c r="B5136">
        <f>IF(VLOOKUP(Table7[[#This Row],[Date]],Database!$A:$C,MATCH($B$1,Database!$A$1:$C$1,),)=0,#N/A,VLOOKUP(Table7[[#This Row],[Date]],Database!$A:$C,MATCH($B$1,Database!$A$1:$C$1,),))</f>
        <v/>
      </c>
      <c r="C5136">
        <f>IF(VLOOKUP(Table7[[#This Row],[Date]],Database!$A:$C,MATCH($C$1,Database!$A$1:$C$1,),)=0,#N/A,VLOOKUP(Table7[[#This Row],[Date]],Database!$A:$C,MATCH($C$1,Database!$A$1:$C$1,),))</f>
        <v/>
      </c>
      <c r="D5136">
        <f>IFERROR(Table7[[#This Row],[United States 10y]]-Table7[[#This Row],[United States 3y]],#N/A)</f>
        <v/>
      </c>
    </row>
    <row r="5137">
      <c r="A5137" s="6">
        <f>Database!$A7222</f>
        <v/>
      </c>
      <c r="B5137">
        <f>IF(VLOOKUP(Table7[[#This Row],[Date]],Database!$A:$C,MATCH($B$1,Database!$A$1:$C$1,),)=0,#N/A,VLOOKUP(Table7[[#This Row],[Date]],Database!$A:$C,MATCH($B$1,Database!$A$1:$C$1,),))</f>
        <v/>
      </c>
      <c r="C5137">
        <f>IF(VLOOKUP(Table7[[#This Row],[Date]],Database!$A:$C,MATCH($C$1,Database!$A$1:$C$1,),)=0,#N/A,VLOOKUP(Table7[[#This Row],[Date]],Database!$A:$C,MATCH($C$1,Database!$A$1:$C$1,),))</f>
        <v/>
      </c>
      <c r="D5137">
        <f>IFERROR(Table7[[#This Row],[United States 10y]]-Table7[[#This Row],[United States 3y]],#N/A)</f>
        <v/>
      </c>
    </row>
    <row r="5138">
      <c r="A5138" s="6">
        <f>Database!$A7223</f>
        <v/>
      </c>
      <c r="B5138">
        <f>IF(VLOOKUP(Table7[[#This Row],[Date]],Database!$A:$C,MATCH($B$1,Database!$A$1:$C$1,),)=0,#N/A,VLOOKUP(Table7[[#This Row],[Date]],Database!$A:$C,MATCH($B$1,Database!$A$1:$C$1,),))</f>
        <v/>
      </c>
      <c r="C5138">
        <f>IF(VLOOKUP(Table7[[#This Row],[Date]],Database!$A:$C,MATCH($C$1,Database!$A$1:$C$1,),)=0,#N/A,VLOOKUP(Table7[[#This Row],[Date]],Database!$A:$C,MATCH($C$1,Database!$A$1:$C$1,),))</f>
        <v/>
      </c>
      <c r="D5138">
        <f>IFERROR(Table7[[#This Row],[United States 10y]]-Table7[[#This Row],[United States 3y]],#N/A)</f>
        <v/>
      </c>
    </row>
    <row r="5139">
      <c r="A5139" s="6">
        <f>Database!$A7224</f>
        <v/>
      </c>
      <c r="B5139">
        <f>IF(VLOOKUP(Table7[[#This Row],[Date]],Database!$A:$C,MATCH($B$1,Database!$A$1:$C$1,),)=0,#N/A,VLOOKUP(Table7[[#This Row],[Date]],Database!$A:$C,MATCH($B$1,Database!$A$1:$C$1,),))</f>
        <v/>
      </c>
      <c r="C5139">
        <f>IF(VLOOKUP(Table7[[#This Row],[Date]],Database!$A:$C,MATCH($C$1,Database!$A$1:$C$1,),)=0,#N/A,VLOOKUP(Table7[[#This Row],[Date]],Database!$A:$C,MATCH($C$1,Database!$A$1:$C$1,),))</f>
        <v/>
      </c>
      <c r="D5139">
        <f>IFERROR(Table7[[#This Row],[United States 10y]]-Table7[[#This Row],[United States 3y]],#N/A)</f>
        <v/>
      </c>
    </row>
    <row r="5140">
      <c r="A5140" s="6">
        <f>Database!$A7225</f>
        <v/>
      </c>
      <c r="B5140">
        <f>IF(VLOOKUP(Table7[[#This Row],[Date]],Database!$A:$C,MATCH($B$1,Database!$A$1:$C$1,),)=0,#N/A,VLOOKUP(Table7[[#This Row],[Date]],Database!$A:$C,MATCH($B$1,Database!$A$1:$C$1,),))</f>
        <v/>
      </c>
      <c r="C5140">
        <f>IF(VLOOKUP(Table7[[#This Row],[Date]],Database!$A:$C,MATCH($C$1,Database!$A$1:$C$1,),)=0,#N/A,VLOOKUP(Table7[[#This Row],[Date]],Database!$A:$C,MATCH($C$1,Database!$A$1:$C$1,),))</f>
        <v/>
      </c>
      <c r="D5140">
        <f>IFERROR(Table7[[#This Row],[United States 10y]]-Table7[[#This Row],[United States 3y]],#N/A)</f>
        <v/>
      </c>
    </row>
    <row r="5141">
      <c r="A5141" s="6">
        <f>Database!$A7226</f>
        <v/>
      </c>
      <c r="B5141">
        <f>IF(VLOOKUP(Table7[[#This Row],[Date]],Database!$A:$C,MATCH($B$1,Database!$A$1:$C$1,),)=0,#N/A,VLOOKUP(Table7[[#This Row],[Date]],Database!$A:$C,MATCH($B$1,Database!$A$1:$C$1,),))</f>
        <v/>
      </c>
      <c r="C5141">
        <f>IF(VLOOKUP(Table7[[#This Row],[Date]],Database!$A:$C,MATCH($C$1,Database!$A$1:$C$1,),)=0,#N/A,VLOOKUP(Table7[[#This Row],[Date]],Database!$A:$C,MATCH($C$1,Database!$A$1:$C$1,),))</f>
        <v/>
      </c>
      <c r="D5141">
        <f>IFERROR(Table7[[#This Row],[United States 10y]]-Table7[[#This Row],[United States 3y]],#N/A)</f>
        <v/>
      </c>
    </row>
    <row r="5142">
      <c r="A5142" s="6">
        <f>Database!$A7227</f>
        <v/>
      </c>
      <c r="B5142">
        <f>IF(VLOOKUP(Table7[[#This Row],[Date]],Database!$A:$C,MATCH($B$1,Database!$A$1:$C$1,),)=0,#N/A,VLOOKUP(Table7[[#This Row],[Date]],Database!$A:$C,MATCH($B$1,Database!$A$1:$C$1,),))</f>
        <v/>
      </c>
      <c r="C5142">
        <f>IF(VLOOKUP(Table7[[#This Row],[Date]],Database!$A:$C,MATCH($C$1,Database!$A$1:$C$1,),)=0,#N/A,VLOOKUP(Table7[[#This Row],[Date]],Database!$A:$C,MATCH($C$1,Database!$A$1:$C$1,),))</f>
        <v/>
      </c>
      <c r="D5142">
        <f>IFERROR(Table7[[#This Row],[United States 10y]]-Table7[[#This Row],[United States 3y]],#N/A)</f>
        <v/>
      </c>
    </row>
    <row r="5143">
      <c r="A5143" s="6">
        <f>Database!$A7228</f>
        <v/>
      </c>
      <c r="B5143">
        <f>IF(VLOOKUP(Table7[[#This Row],[Date]],Database!$A:$C,MATCH($B$1,Database!$A$1:$C$1,),)=0,#N/A,VLOOKUP(Table7[[#This Row],[Date]],Database!$A:$C,MATCH($B$1,Database!$A$1:$C$1,),))</f>
        <v/>
      </c>
      <c r="C5143">
        <f>IF(VLOOKUP(Table7[[#This Row],[Date]],Database!$A:$C,MATCH($C$1,Database!$A$1:$C$1,),)=0,#N/A,VLOOKUP(Table7[[#This Row],[Date]],Database!$A:$C,MATCH($C$1,Database!$A$1:$C$1,),))</f>
        <v/>
      </c>
      <c r="D5143">
        <f>IFERROR(Table7[[#This Row],[United States 10y]]-Table7[[#This Row],[United States 3y]],#N/A)</f>
        <v/>
      </c>
    </row>
    <row r="5144">
      <c r="A5144" s="6">
        <f>Database!$A7229</f>
        <v/>
      </c>
      <c r="B5144">
        <f>IF(VLOOKUP(Table7[[#This Row],[Date]],Database!$A:$C,MATCH($B$1,Database!$A$1:$C$1,),)=0,#N/A,VLOOKUP(Table7[[#This Row],[Date]],Database!$A:$C,MATCH($B$1,Database!$A$1:$C$1,),))</f>
        <v/>
      </c>
      <c r="C5144">
        <f>IF(VLOOKUP(Table7[[#This Row],[Date]],Database!$A:$C,MATCH($C$1,Database!$A$1:$C$1,),)=0,#N/A,VLOOKUP(Table7[[#This Row],[Date]],Database!$A:$C,MATCH($C$1,Database!$A$1:$C$1,),))</f>
        <v/>
      </c>
      <c r="D5144">
        <f>IFERROR(Table7[[#This Row],[United States 10y]]-Table7[[#This Row],[United States 3y]],#N/A)</f>
        <v/>
      </c>
    </row>
    <row r="5145">
      <c r="A5145" s="6">
        <f>Database!$A7230</f>
        <v/>
      </c>
      <c r="B5145">
        <f>IF(VLOOKUP(Table7[[#This Row],[Date]],Database!$A:$C,MATCH($B$1,Database!$A$1:$C$1,),)=0,#N/A,VLOOKUP(Table7[[#This Row],[Date]],Database!$A:$C,MATCH($B$1,Database!$A$1:$C$1,),))</f>
        <v/>
      </c>
      <c r="C5145">
        <f>IF(VLOOKUP(Table7[[#This Row],[Date]],Database!$A:$C,MATCH($C$1,Database!$A$1:$C$1,),)=0,#N/A,VLOOKUP(Table7[[#This Row],[Date]],Database!$A:$C,MATCH($C$1,Database!$A$1:$C$1,),))</f>
        <v/>
      </c>
      <c r="D5145">
        <f>IFERROR(Table7[[#This Row],[United States 10y]]-Table7[[#This Row],[United States 3y]],#N/A)</f>
        <v/>
      </c>
    </row>
    <row r="5146">
      <c r="A5146" s="6">
        <f>Database!$A7231</f>
        <v/>
      </c>
      <c r="B5146">
        <f>IF(VLOOKUP(Table7[[#This Row],[Date]],Database!$A:$C,MATCH($B$1,Database!$A$1:$C$1,),)=0,#N/A,VLOOKUP(Table7[[#This Row],[Date]],Database!$A:$C,MATCH($B$1,Database!$A$1:$C$1,),))</f>
        <v/>
      </c>
      <c r="C5146">
        <f>IF(VLOOKUP(Table7[[#This Row],[Date]],Database!$A:$C,MATCH($C$1,Database!$A$1:$C$1,),)=0,#N/A,VLOOKUP(Table7[[#This Row],[Date]],Database!$A:$C,MATCH($C$1,Database!$A$1:$C$1,),))</f>
        <v/>
      </c>
      <c r="D5146">
        <f>IFERROR(Table7[[#This Row],[United States 10y]]-Table7[[#This Row],[United States 3y]],#N/A)</f>
        <v/>
      </c>
    </row>
    <row r="5147">
      <c r="A5147" s="6">
        <f>Database!$A7232</f>
        <v/>
      </c>
      <c r="B5147">
        <f>IF(VLOOKUP(Table7[[#This Row],[Date]],Database!$A:$C,MATCH($B$1,Database!$A$1:$C$1,),)=0,#N/A,VLOOKUP(Table7[[#This Row],[Date]],Database!$A:$C,MATCH($B$1,Database!$A$1:$C$1,),))</f>
        <v/>
      </c>
      <c r="C5147">
        <f>IF(VLOOKUP(Table7[[#This Row],[Date]],Database!$A:$C,MATCH($C$1,Database!$A$1:$C$1,),)=0,#N/A,VLOOKUP(Table7[[#This Row],[Date]],Database!$A:$C,MATCH($C$1,Database!$A$1:$C$1,),))</f>
        <v/>
      </c>
      <c r="D5147">
        <f>IFERROR(Table7[[#This Row],[United States 10y]]-Table7[[#This Row],[United States 3y]],#N/A)</f>
        <v/>
      </c>
    </row>
    <row r="5148">
      <c r="A5148" s="6">
        <f>Database!$A7233</f>
        <v/>
      </c>
      <c r="B5148">
        <f>IF(VLOOKUP(Table7[[#This Row],[Date]],Database!$A:$C,MATCH($B$1,Database!$A$1:$C$1,),)=0,#N/A,VLOOKUP(Table7[[#This Row],[Date]],Database!$A:$C,MATCH($B$1,Database!$A$1:$C$1,),))</f>
        <v/>
      </c>
      <c r="C5148">
        <f>IF(VLOOKUP(Table7[[#This Row],[Date]],Database!$A:$C,MATCH($C$1,Database!$A$1:$C$1,),)=0,#N/A,VLOOKUP(Table7[[#This Row],[Date]],Database!$A:$C,MATCH($C$1,Database!$A$1:$C$1,),))</f>
        <v/>
      </c>
      <c r="D5148">
        <f>IFERROR(Table7[[#This Row],[United States 10y]]-Table7[[#This Row],[United States 3y]],#N/A)</f>
        <v/>
      </c>
    </row>
    <row r="5149">
      <c r="A5149" s="6">
        <f>Database!$A7234</f>
        <v/>
      </c>
      <c r="B5149">
        <f>IF(VLOOKUP(Table7[[#This Row],[Date]],Database!$A:$C,MATCH($B$1,Database!$A$1:$C$1,),)=0,#N/A,VLOOKUP(Table7[[#This Row],[Date]],Database!$A:$C,MATCH($B$1,Database!$A$1:$C$1,),))</f>
        <v/>
      </c>
      <c r="C5149">
        <f>IF(VLOOKUP(Table7[[#This Row],[Date]],Database!$A:$C,MATCH($C$1,Database!$A$1:$C$1,),)=0,#N/A,VLOOKUP(Table7[[#This Row],[Date]],Database!$A:$C,MATCH($C$1,Database!$A$1:$C$1,),))</f>
        <v/>
      </c>
      <c r="D5149">
        <f>IFERROR(Table7[[#This Row],[United States 10y]]-Table7[[#This Row],[United States 3y]],#N/A)</f>
        <v/>
      </c>
    </row>
    <row r="5150">
      <c r="A5150" s="6">
        <f>Database!$A7235</f>
        <v/>
      </c>
      <c r="B5150">
        <f>IF(VLOOKUP(Table7[[#This Row],[Date]],Database!$A:$C,MATCH($B$1,Database!$A$1:$C$1,),)=0,#N/A,VLOOKUP(Table7[[#This Row],[Date]],Database!$A:$C,MATCH($B$1,Database!$A$1:$C$1,),))</f>
        <v/>
      </c>
      <c r="C5150">
        <f>IF(VLOOKUP(Table7[[#This Row],[Date]],Database!$A:$C,MATCH($C$1,Database!$A$1:$C$1,),)=0,#N/A,VLOOKUP(Table7[[#This Row],[Date]],Database!$A:$C,MATCH($C$1,Database!$A$1:$C$1,),))</f>
        <v/>
      </c>
      <c r="D5150">
        <f>IFERROR(Table7[[#This Row],[United States 10y]]-Table7[[#This Row],[United States 3y]],#N/A)</f>
        <v/>
      </c>
    </row>
    <row r="5151">
      <c r="A5151" s="6">
        <f>Database!$A7236</f>
        <v/>
      </c>
      <c r="B5151">
        <f>IF(VLOOKUP(Table7[[#This Row],[Date]],Database!$A:$C,MATCH($B$1,Database!$A$1:$C$1,),)=0,#N/A,VLOOKUP(Table7[[#This Row],[Date]],Database!$A:$C,MATCH($B$1,Database!$A$1:$C$1,),))</f>
        <v/>
      </c>
      <c r="C5151">
        <f>IF(VLOOKUP(Table7[[#This Row],[Date]],Database!$A:$C,MATCH($C$1,Database!$A$1:$C$1,),)=0,#N/A,VLOOKUP(Table7[[#This Row],[Date]],Database!$A:$C,MATCH($C$1,Database!$A$1:$C$1,),))</f>
        <v/>
      </c>
      <c r="D5151">
        <f>IFERROR(Table7[[#This Row],[United States 10y]]-Table7[[#This Row],[United States 3y]],#N/A)</f>
        <v/>
      </c>
    </row>
    <row r="5152">
      <c r="A5152" s="6">
        <f>Database!$A7237</f>
        <v/>
      </c>
      <c r="B5152">
        <f>IF(VLOOKUP(Table7[[#This Row],[Date]],Database!$A:$C,MATCH($B$1,Database!$A$1:$C$1,),)=0,#N/A,VLOOKUP(Table7[[#This Row],[Date]],Database!$A:$C,MATCH($B$1,Database!$A$1:$C$1,),))</f>
        <v/>
      </c>
      <c r="C5152">
        <f>IF(VLOOKUP(Table7[[#This Row],[Date]],Database!$A:$C,MATCH($C$1,Database!$A$1:$C$1,),)=0,#N/A,VLOOKUP(Table7[[#This Row],[Date]],Database!$A:$C,MATCH($C$1,Database!$A$1:$C$1,),))</f>
        <v/>
      </c>
      <c r="D5152">
        <f>IFERROR(Table7[[#This Row],[United States 10y]]-Table7[[#This Row],[United States 3y]],#N/A)</f>
        <v/>
      </c>
    </row>
    <row r="5153">
      <c r="A5153" s="6">
        <f>Database!$A7238</f>
        <v/>
      </c>
      <c r="B5153">
        <f>IF(VLOOKUP(Table7[[#This Row],[Date]],Database!$A:$C,MATCH($B$1,Database!$A$1:$C$1,),)=0,#N/A,VLOOKUP(Table7[[#This Row],[Date]],Database!$A:$C,MATCH($B$1,Database!$A$1:$C$1,),))</f>
        <v/>
      </c>
      <c r="C5153">
        <f>IF(VLOOKUP(Table7[[#This Row],[Date]],Database!$A:$C,MATCH($C$1,Database!$A$1:$C$1,),)=0,#N/A,VLOOKUP(Table7[[#This Row],[Date]],Database!$A:$C,MATCH($C$1,Database!$A$1:$C$1,),))</f>
        <v/>
      </c>
      <c r="D5153">
        <f>IFERROR(Table7[[#This Row],[United States 10y]]-Table7[[#This Row],[United States 3y]],#N/A)</f>
        <v/>
      </c>
    </row>
    <row r="5154">
      <c r="A5154" s="6">
        <f>Database!$A7239</f>
        <v/>
      </c>
      <c r="B5154">
        <f>IF(VLOOKUP(Table7[[#This Row],[Date]],Database!$A:$C,MATCH($B$1,Database!$A$1:$C$1,),)=0,#N/A,VLOOKUP(Table7[[#This Row],[Date]],Database!$A:$C,MATCH($B$1,Database!$A$1:$C$1,),))</f>
        <v/>
      </c>
      <c r="C5154">
        <f>IF(VLOOKUP(Table7[[#This Row],[Date]],Database!$A:$C,MATCH($C$1,Database!$A$1:$C$1,),)=0,#N/A,VLOOKUP(Table7[[#This Row],[Date]],Database!$A:$C,MATCH($C$1,Database!$A$1:$C$1,),))</f>
        <v/>
      </c>
      <c r="D5154">
        <f>IFERROR(Table7[[#This Row],[United States 10y]]-Table7[[#This Row],[United States 3y]],#N/A)</f>
        <v/>
      </c>
    </row>
    <row r="5155">
      <c r="A5155" s="6">
        <f>Database!$A7240</f>
        <v/>
      </c>
      <c r="B5155">
        <f>IF(VLOOKUP(Table7[[#This Row],[Date]],Database!$A:$C,MATCH($B$1,Database!$A$1:$C$1,),)=0,#N/A,VLOOKUP(Table7[[#This Row],[Date]],Database!$A:$C,MATCH($B$1,Database!$A$1:$C$1,),))</f>
        <v/>
      </c>
      <c r="C5155">
        <f>IF(VLOOKUP(Table7[[#This Row],[Date]],Database!$A:$C,MATCH($C$1,Database!$A$1:$C$1,),)=0,#N/A,VLOOKUP(Table7[[#This Row],[Date]],Database!$A:$C,MATCH($C$1,Database!$A$1:$C$1,),))</f>
        <v/>
      </c>
      <c r="D5155">
        <f>IFERROR(Table7[[#This Row],[United States 10y]]-Table7[[#This Row],[United States 3y]],#N/A)</f>
        <v/>
      </c>
    </row>
    <row r="5156">
      <c r="A5156" s="6">
        <f>Database!$A7241</f>
        <v/>
      </c>
      <c r="B5156">
        <f>IF(VLOOKUP(Table7[[#This Row],[Date]],Database!$A:$C,MATCH($B$1,Database!$A$1:$C$1,),)=0,#N/A,VLOOKUP(Table7[[#This Row],[Date]],Database!$A:$C,MATCH($B$1,Database!$A$1:$C$1,),))</f>
        <v/>
      </c>
      <c r="C5156">
        <f>IF(VLOOKUP(Table7[[#This Row],[Date]],Database!$A:$C,MATCH($C$1,Database!$A$1:$C$1,),)=0,#N/A,VLOOKUP(Table7[[#This Row],[Date]],Database!$A:$C,MATCH($C$1,Database!$A$1:$C$1,),))</f>
        <v/>
      </c>
      <c r="D5156">
        <f>IFERROR(Table7[[#This Row],[United States 10y]]-Table7[[#This Row],[United States 3y]],#N/A)</f>
        <v/>
      </c>
    </row>
    <row r="5157">
      <c r="A5157" s="6">
        <f>Database!$A7242</f>
        <v/>
      </c>
      <c r="B5157">
        <f>IF(VLOOKUP(Table7[[#This Row],[Date]],Database!$A:$C,MATCH($B$1,Database!$A$1:$C$1,),)=0,#N/A,VLOOKUP(Table7[[#This Row],[Date]],Database!$A:$C,MATCH($B$1,Database!$A$1:$C$1,),))</f>
        <v/>
      </c>
      <c r="C5157">
        <f>IF(VLOOKUP(Table7[[#This Row],[Date]],Database!$A:$C,MATCH($C$1,Database!$A$1:$C$1,),)=0,#N/A,VLOOKUP(Table7[[#This Row],[Date]],Database!$A:$C,MATCH($C$1,Database!$A$1:$C$1,),))</f>
        <v/>
      </c>
      <c r="D5157">
        <f>IFERROR(Table7[[#This Row],[United States 10y]]-Table7[[#This Row],[United States 3y]],#N/A)</f>
        <v/>
      </c>
    </row>
    <row r="5158">
      <c r="A5158" s="6">
        <f>Database!$A7243</f>
        <v/>
      </c>
      <c r="B5158">
        <f>IF(VLOOKUP(Table7[[#This Row],[Date]],Database!$A:$C,MATCH($B$1,Database!$A$1:$C$1,),)=0,#N/A,VLOOKUP(Table7[[#This Row],[Date]],Database!$A:$C,MATCH($B$1,Database!$A$1:$C$1,),))</f>
        <v/>
      </c>
      <c r="C5158">
        <f>IF(VLOOKUP(Table7[[#This Row],[Date]],Database!$A:$C,MATCH($C$1,Database!$A$1:$C$1,),)=0,#N/A,VLOOKUP(Table7[[#This Row],[Date]],Database!$A:$C,MATCH($C$1,Database!$A$1:$C$1,),))</f>
        <v/>
      </c>
      <c r="D5158">
        <f>IFERROR(Table7[[#This Row],[United States 10y]]-Table7[[#This Row],[United States 3y]],#N/A)</f>
        <v/>
      </c>
    </row>
    <row r="5159">
      <c r="A5159" s="6">
        <f>Database!$A7244</f>
        <v/>
      </c>
      <c r="B5159">
        <f>IF(VLOOKUP(Table7[[#This Row],[Date]],Database!$A:$C,MATCH($B$1,Database!$A$1:$C$1,),)=0,#N/A,VLOOKUP(Table7[[#This Row],[Date]],Database!$A:$C,MATCH($B$1,Database!$A$1:$C$1,),))</f>
        <v/>
      </c>
      <c r="C5159">
        <f>IF(VLOOKUP(Table7[[#This Row],[Date]],Database!$A:$C,MATCH($C$1,Database!$A$1:$C$1,),)=0,#N/A,VLOOKUP(Table7[[#This Row],[Date]],Database!$A:$C,MATCH($C$1,Database!$A$1:$C$1,),))</f>
        <v/>
      </c>
      <c r="D5159">
        <f>IFERROR(Table7[[#This Row],[United States 10y]]-Table7[[#This Row],[United States 3y]],#N/A)</f>
        <v/>
      </c>
    </row>
    <row r="5160">
      <c r="A5160" s="6">
        <f>Database!$A7245</f>
        <v/>
      </c>
      <c r="B5160">
        <f>IF(VLOOKUP(Table7[[#This Row],[Date]],Database!$A:$C,MATCH($B$1,Database!$A$1:$C$1,),)=0,#N/A,VLOOKUP(Table7[[#This Row],[Date]],Database!$A:$C,MATCH($B$1,Database!$A$1:$C$1,),))</f>
        <v/>
      </c>
      <c r="C5160">
        <f>IF(VLOOKUP(Table7[[#This Row],[Date]],Database!$A:$C,MATCH($C$1,Database!$A$1:$C$1,),)=0,#N/A,VLOOKUP(Table7[[#This Row],[Date]],Database!$A:$C,MATCH($C$1,Database!$A$1:$C$1,),))</f>
        <v/>
      </c>
      <c r="D5160">
        <f>IFERROR(Table7[[#This Row],[United States 10y]]-Table7[[#This Row],[United States 3y]],#N/A)</f>
        <v/>
      </c>
    </row>
    <row r="5161">
      <c r="A5161" s="6">
        <f>Database!$A7246</f>
        <v/>
      </c>
      <c r="B5161">
        <f>IF(VLOOKUP(Table7[[#This Row],[Date]],Database!$A:$C,MATCH($B$1,Database!$A$1:$C$1,),)=0,#N/A,VLOOKUP(Table7[[#This Row],[Date]],Database!$A:$C,MATCH($B$1,Database!$A$1:$C$1,),))</f>
        <v/>
      </c>
      <c r="C5161">
        <f>IF(VLOOKUP(Table7[[#This Row],[Date]],Database!$A:$C,MATCH($C$1,Database!$A$1:$C$1,),)=0,#N/A,VLOOKUP(Table7[[#This Row],[Date]],Database!$A:$C,MATCH($C$1,Database!$A$1:$C$1,),))</f>
        <v/>
      </c>
      <c r="D5161">
        <f>IFERROR(Table7[[#This Row],[United States 10y]]-Table7[[#This Row],[United States 3y]],#N/A)</f>
        <v/>
      </c>
    </row>
    <row r="5162">
      <c r="A5162" s="6">
        <f>Database!$A7247</f>
        <v/>
      </c>
      <c r="B5162">
        <f>IF(VLOOKUP(Table7[[#This Row],[Date]],Database!$A:$C,MATCH($B$1,Database!$A$1:$C$1,),)=0,#N/A,VLOOKUP(Table7[[#This Row],[Date]],Database!$A:$C,MATCH($B$1,Database!$A$1:$C$1,),))</f>
        <v/>
      </c>
      <c r="C5162">
        <f>IF(VLOOKUP(Table7[[#This Row],[Date]],Database!$A:$C,MATCH($C$1,Database!$A$1:$C$1,),)=0,#N/A,VLOOKUP(Table7[[#This Row],[Date]],Database!$A:$C,MATCH($C$1,Database!$A$1:$C$1,),))</f>
        <v/>
      </c>
      <c r="D5162">
        <f>IFERROR(Table7[[#This Row],[United States 10y]]-Table7[[#This Row],[United States 3y]],#N/A)</f>
        <v/>
      </c>
    </row>
    <row r="5163">
      <c r="A5163" s="6">
        <f>Database!$A7248</f>
        <v/>
      </c>
      <c r="B5163">
        <f>IF(VLOOKUP(Table7[[#This Row],[Date]],Database!$A:$C,MATCH($B$1,Database!$A$1:$C$1,),)=0,#N/A,VLOOKUP(Table7[[#This Row],[Date]],Database!$A:$C,MATCH($B$1,Database!$A$1:$C$1,),))</f>
        <v/>
      </c>
      <c r="C5163">
        <f>IF(VLOOKUP(Table7[[#This Row],[Date]],Database!$A:$C,MATCH($C$1,Database!$A$1:$C$1,),)=0,#N/A,VLOOKUP(Table7[[#This Row],[Date]],Database!$A:$C,MATCH($C$1,Database!$A$1:$C$1,),))</f>
        <v/>
      </c>
      <c r="D5163">
        <f>IFERROR(Table7[[#This Row],[United States 10y]]-Table7[[#This Row],[United States 3y]],#N/A)</f>
        <v/>
      </c>
    </row>
    <row r="5164">
      <c r="A5164" s="6">
        <f>Database!$A7249</f>
        <v/>
      </c>
      <c r="B5164">
        <f>IF(VLOOKUP(Table7[[#This Row],[Date]],Database!$A:$C,MATCH($B$1,Database!$A$1:$C$1,),)=0,#N/A,VLOOKUP(Table7[[#This Row],[Date]],Database!$A:$C,MATCH($B$1,Database!$A$1:$C$1,),))</f>
        <v/>
      </c>
      <c r="C5164">
        <f>IF(VLOOKUP(Table7[[#This Row],[Date]],Database!$A:$C,MATCH($C$1,Database!$A$1:$C$1,),)=0,#N/A,VLOOKUP(Table7[[#This Row],[Date]],Database!$A:$C,MATCH($C$1,Database!$A$1:$C$1,),))</f>
        <v/>
      </c>
      <c r="D5164">
        <f>IFERROR(Table7[[#This Row],[United States 10y]]-Table7[[#This Row],[United States 3y]],#N/A)</f>
        <v/>
      </c>
    </row>
    <row r="5165">
      <c r="A5165" s="6">
        <f>Database!$A7250</f>
        <v/>
      </c>
      <c r="B5165">
        <f>IF(VLOOKUP(Table7[[#This Row],[Date]],Database!$A:$C,MATCH($B$1,Database!$A$1:$C$1,),)=0,#N/A,VLOOKUP(Table7[[#This Row],[Date]],Database!$A:$C,MATCH($B$1,Database!$A$1:$C$1,),))</f>
        <v/>
      </c>
      <c r="C5165">
        <f>IF(VLOOKUP(Table7[[#This Row],[Date]],Database!$A:$C,MATCH($C$1,Database!$A$1:$C$1,),)=0,#N/A,VLOOKUP(Table7[[#This Row],[Date]],Database!$A:$C,MATCH($C$1,Database!$A$1:$C$1,),))</f>
        <v/>
      </c>
      <c r="D5165">
        <f>IFERROR(Table7[[#This Row],[United States 10y]]-Table7[[#This Row],[United States 3y]],#N/A)</f>
        <v/>
      </c>
    </row>
    <row r="5166">
      <c r="A5166" s="6">
        <f>Database!$A7251</f>
        <v/>
      </c>
      <c r="B5166">
        <f>IF(VLOOKUP(Table7[[#This Row],[Date]],Database!$A:$C,MATCH($B$1,Database!$A$1:$C$1,),)=0,#N/A,VLOOKUP(Table7[[#This Row],[Date]],Database!$A:$C,MATCH($B$1,Database!$A$1:$C$1,),))</f>
        <v/>
      </c>
      <c r="C5166">
        <f>IF(VLOOKUP(Table7[[#This Row],[Date]],Database!$A:$C,MATCH($C$1,Database!$A$1:$C$1,),)=0,#N/A,VLOOKUP(Table7[[#This Row],[Date]],Database!$A:$C,MATCH($C$1,Database!$A$1:$C$1,),))</f>
        <v/>
      </c>
      <c r="D5166">
        <f>IFERROR(Table7[[#This Row],[United States 10y]]-Table7[[#This Row],[United States 3y]],#N/A)</f>
        <v/>
      </c>
    </row>
    <row r="5167">
      <c r="A5167" s="6">
        <f>Database!$A7252</f>
        <v/>
      </c>
      <c r="B5167">
        <f>IF(VLOOKUP(Table7[[#This Row],[Date]],Database!$A:$C,MATCH($B$1,Database!$A$1:$C$1,),)=0,#N/A,VLOOKUP(Table7[[#This Row],[Date]],Database!$A:$C,MATCH($B$1,Database!$A$1:$C$1,),))</f>
        <v/>
      </c>
      <c r="C5167">
        <f>IF(VLOOKUP(Table7[[#This Row],[Date]],Database!$A:$C,MATCH($C$1,Database!$A$1:$C$1,),)=0,#N/A,VLOOKUP(Table7[[#This Row],[Date]],Database!$A:$C,MATCH($C$1,Database!$A$1:$C$1,),))</f>
        <v/>
      </c>
      <c r="D5167">
        <f>IFERROR(Table7[[#This Row],[United States 10y]]-Table7[[#This Row],[United States 3y]],#N/A)</f>
        <v/>
      </c>
    </row>
    <row r="5168">
      <c r="A5168" s="6">
        <f>Database!$A7253</f>
        <v/>
      </c>
      <c r="B5168">
        <f>IF(VLOOKUP(Table7[[#This Row],[Date]],Database!$A:$C,MATCH($B$1,Database!$A$1:$C$1,),)=0,#N/A,VLOOKUP(Table7[[#This Row],[Date]],Database!$A:$C,MATCH($B$1,Database!$A$1:$C$1,),))</f>
        <v/>
      </c>
      <c r="C5168">
        <f>IF(VLOOKUP(Table7[[#This Row],[Date]],Database!$A:$C,MATCH($C$1,Database!$A$1:$C$1,),)=0,#N/A,VLOOKUP(Table7[[#This Row],[Date]],Database!$A:$C,MATCH($C$1,Database!$A$1:$C$1,),))</f>
        <v/>
      </c>
      <c r="D5168">
        <f>IFERROR(Table7[[#This Row],[United States 10y]]-Table7[[#This Row],[United States 3y]],#N/A)</f>
        <v/>
      </c>
    </row>
    <row r="5169">
      <c r="A5169" s="6">
        <f>Database!$A7254</f>
        <v/>
      </c>
      <c r="B5169">
        <f>IF(VLOOKUP(Table7[[#This Row],[Date]],Database!$A:$C,MATCH($B$1,Database!$A$1:$C$1,),)=0,#N/A,VLOOKUP(Table7[[#This Row],[Date]],Database!$A:$C,MATCH($B$1,Database!$A$1:$C$1,),))</f>
        <v/>
      </c>
      <c r="C5169">
        <f>IF(VLOOKUP(Table7[[#This Row],[Date]],Database!$A:$C,MATCH($C$1,Database!$A$1:$C$1,),)=0,#N/A,VLOOKUP(Table7[[#This Row],[Date]],Database!$A:$C,MATCH($C$1,Database!$A$1:$C$1,),))</f>
        <v/>
      </c>
      <c r="D5169">
        <f>IFERROR(Table7[[#This Row],[United States 10y]]-Table7[[#This Row],[United States 3y]],#N/A)</f>
        <v/>
      </c>
    </row>
    <row r="5170">
      <c r="A5170" s="6">
        <f>Database!$A7255</f>
        <v/>
      </c>
      <c r="B5170">
        <f>IF(VLOOKUP(Table7[[#This Row],[Date]],Database!$A:$C,MATCH($B$1,Database!$A$1:$C$1,),)=0,#N/A,VLOOKUP(Table7[[#This Row],[Date]],Database!$A:$C,MATCH($B$1,Database!$A$1:$C$1,),))</f>
        <v/>
      </c>
      <c r="C5170">
        <f>IF(VLOOKUP(Table7[[#This Row],[Date]],Database!$A:$C,MATCH($C$1,Database!$A$1:$C$1,),)=0,#N/A,VLOOKUP(Table7[[#This Row],[Date]],Database!$A:$C,MATCH($C$1,Database!$A$1:$C$1,),))</f>
        <v/>
      </c>
      <c r="D5170">
        <f>IFERROR(Table7[[#This Row],[United States 10y]]-Table7[[#This Row],[United States 3y]],#N/A)</f>
        <v/>
      </c>
    </row>
    <row r="5171">
      <c r="A5171" s="6">
        <f>Database!$A7256</f>
        <v/>
      </c>
      <c r="B5171">
        <f>IF(VLOOKUP(Table7[[#This Row],[Date]],Database!$A:$C,MATCH($B$1,Database!$A$1:$C$1,),)=0,#N/A,VLOOKUP(Table7[[#This Row],[Date]],Database!$A:$C,MATCH($B$1,Database!$A$1:$C$1,),))</f>
        <v/>
      </c>
      <c r="C5171">
        <f>IF(VLOOKUP(Table7[[#This Row],[Date]],Database!$A:$C,MATCH($C$1,Database!$A$1:$C$1,),)=0,#N/A,VLOOKUP(Table7[[#This Row],[Date]],Database!$A:$C,MATCH($C$1,Database!$A$1:$C$1,),))</f>
        <v/>
      </c>
      <c r="D5171">
        <f>IFERROR(Table7[[#This Row],[United States 10y]]-Table7[[#This Row],[United States 3y]],#N/A)</f>
        <v/>
      </c>
    </row>
    <row r="5172">
      <c r="A5172" s="6">
        <f>Database!$A7257</f>
        <v/>
      </c>
      <c r="B5172">
        <f>IF(VLOOKUP(Table7[[#This Row],[Date]],Database!$A:$C,MATCH($B$1,Database!$A$1:$C$1,),)=0,#N/A,VLOOKUP(Table7[[#This Row],[Date]],Database!$A:$C,MATCH($B$1,Database!$A$1:$C$1,),))</f>
        <v/>
      </c>
      <c r="C5172">
        <f>IF(VLOOKUP(Table7[[#This Row],[Date]],Database!$A:$C,MATCH($C$1,Database!$A$1:$C$1,),)=0,#N/A,VLOOKUP(Table7[[#This Row],[Date]],Database!$A:$C,MATCH($C$1,Database!$A$1:$C$1,),))</f>
        <v/>
      </c>
      <c r="D5172">
        <f>IFERROR(Table7[[#This Row],[United States 10y]]-Table7[[#This Row],[United States 3y]],#N/A)</f>
        <v/>
      </c>
    </row>
    <row r="5173">
      <c r="A5173" s="6">
        <f>Database!$A7258</f>
        <v/>
      </c>
      <c r="B5173">
        <f>IF(VLOOKUP(Table7[[#This Row],[Date]],Database!$A:$C,MATCH($B$1,Database!$A$1:$C$1,),)=0,#N/A,VLOOKUP(Table7[[#This Row],[Date]],Database!$A:$C,MATCH($B$1,Database!$A$1:$C$1,),))</f>
        <v/>
      </c>
      <c r="C5173">
        <f>IF(VLOOKUP(Table7[[#This Row],[Date]],Database!$A:$C,MATCH($C$1,Database!$A$1:$C$1,),)=0,#N/A,VLOOKUP(Table7[[#This Row],[Date]],Database!$A:$C,MATCH($C$1,Database!$A$1:$C$1,),))</f>
        <v/>
      </c>
      <c r="D5173">
        <f>IFERROR(Table7[[#This Row],[United States 10y]]-Table7[[#This Row],[United States 3y]],#N/A)</f>
        <v/>
      </c>
    </row>
    <row r="5174">
      <c r="A5174" s="6">
        <f>Database!$A7259</f>
        <v/>
      </c>
      <c r="B5174">
        <f>IF(VLOOKUP(Table7[[#This Row],[Date]],Database!$A:$C,MATCH($B$1,Database!$A$1:$C$1,),)=0,#N/A,VLOOKUP(Table7[[#This Row],[Date]],Database!$A:$C,MATCH($B$1,Database!$A$1:$C$1,),))</f>
        <v/>
      </c>
      <c r="C5174">
        <f>IF(VLOOKUP(Table7[[#This Row],[Date]],Database!$A:$C,MATCH($C$1,Database!$A$1:$C$1,),)=0,#N/A,VLOOKUP(Table7[[#This Row],[Date]],Database!$A:$C,MATCH($C$1,Database!$A$1:$C$1,),))</f>
        <v/>
      </c>
      <c r="D5174">
        <f>IFERROR(Table7[[#This Row],[United States 10y]]-Table7[[#This Row],[United States 3y]],#N/A)</f>
        <v/>
      </c>
    </row>
    <row r="5175">
      <c r="A5175" s="6">
        <f>Database!$A7260</f>
        <v/>
      </c>
      <c r="B5175">
        <f>IF(VLOOKUP(Table7[[#This Row],[Date]],Database!$A:$C,MATCH($B$1,Database!$A$1:$C$1,),)=0,#N/A,VLOOKUP(Table7[[#This Row],[Date]],Database!$A:$C,MATCH($B$1,Database!$A$1:$C$1,),))</f>
        <v/>
      </c>
      <c r="C5175">
        <f>IF(VLOOKUP(Table7[[#This Row],[Date]],Database!$A:$C,MATCH($C$1,Database!$A$1:$C$1,),)=0,#N/A,VLOOKUP(Table7[[#This Row],[Date]],Database!$A:$C,MATCH($C$1,Database!$A$1:$C$1,),))</f>
        <v/>
      </c>
      <c r="D5175">
        <f>IFERROR(Table7[[#This Row],[United States 10y]]-Table7[[#This Row],[United States 3y]],#N/A)</f>
        <v/>
      </c>
    </row>
    <row r="5176">
      <c r="A5176" s="6">
        <f>Database!$A7261</f>
        <v/>
      </c>
      <c r="B5176">
        <f>IF(VLOOKUP(Table7[[#This Row],[Date]],Database!$A:$C,MATCH($B$1,Database!$A$1:$C$1,),)=0,#N/A,VLOOKUP(Table7[[#This Row],[Date]],Database!$A:$C,MATCH($B$1,Database!$A$1:$C$1,),))</f>
        <v/>
      </c>
      <c r="C5176">
        <f>IF(VLOOKUP(Table7[[#This Row],[Date]],Database!$A:$C,MATCH($C$1,Database!$A$1:$C$1,),)=0,#N/A,VLOOKUP(Table7[[#This Row],[Date]],Database!$A:$C,MATCH($C$1,Database!$A$1:$C$1,),))</f>
        <v/>
      </c>
      <c r="D5176">
        <f>IFERROR(Table7[[#This Row],[United States 10y]]-Table7[[#This Row],[United States 3y]],#N/A)</f>
        <v/>
      </c>
    </row>
    <row r="5177">
      <c r="A5177" s="6">
        <f>Database!$A7262</f>
        <v/>
      </c>
      <c r="B5177">
        <f>IF(VLOOKUP(Table7[[#This Row],[Date]],Database!$A:$C,MATCH($B$1,Database!$A$1:$C$1,),)=0,#N/A,VLOOKUP(Table7[[#This Row],[Date]],Database!$A:$C,MATCH($B$1,Database!$A$1:$C$1,),))</f>
        <v/>
      </c>
      <c r="C5177">
        <f>IF(VLOOKUP(Table7[[#This Row],[Date]],Database!$A:$C,MATCH($C$1,Database!$A$1:$C$1,),)=0,#N/A,VLOOKUP(Table7[[#This Row],[Date]],Database!$A:$C,MATCH($C$1,Database!$A$1:$C$1,),))</f>
        <v/>
      </c>
      <c r="D5177">
        <f>IFERROR(Table7[[#This Row],[United States 10y]]-Table7[[#This Row],[United States 3y]],#N/A)</f>
        <v/>
      </c>
    </row>
    <row r="5178">
      <c r="A5178" s="6">
        <f>Database!$A7263</f>
        <v/>
      </c>
      <c r="B5178">
        <f>IF(VLOOKUP(Table7[[#This Row],[Date]],Database!$A:$C,MATCH($B$1,Database!$A$1:$C$1,),)=0,#N/A,VLOOKUP(Table7[[#This Row],[Date]],Database!$A:$C,MATCH($B$1,Database!$A$1:$C$1,),))</f>
        <v/>
      </c>
      <c r="C5178">
        <f>IF(VLOOKUP(Table7[[#This Row],[Date]],Database!$A:$C,MATCH($C$1,Database!$A$1:$C$1,),)=0,#N/A,VLOOKUP(Table7[[#This Row],[Date]],Database!$A:$C,MATCH($C$1,Database!$A$1:$C$1,),))</f>
        <v/>
      </c>
      <c r="D5178">
        <f>IFERROR(Table7[[#This Row],[United States 10y]]-Table7[[#This Row],[United States 3y]],#N/A)</f>
        <v/>
      </c>
    </row>
    <row r="5179">
      <c r="A5179" s="6">
        <f>Database!$A7264</f>
        <v/>
      </c>
      <c r="B5179">
        <f>IF(VLOOKUP(Table7[[#This Row],[Date]],Database!$A:$C,MATCH($B$1,Database!$A$1:$C$1,),)=0,#N/A,VLOOKUP(Table7[[#This Row],[Date]],Database!$A:$C,MATCH($B$1,Database!$A$1:$C$1,),))</f>
        <v/>
      </c>
      <c r="C5179">
        <f>IF(VLOOKUP(Table7[[#This Row],[Date]],Database!$A:$C,MATCH($C$1,Database!$A$1:$C$1,),)=0,#N/A,VLOOKUP(Table7[[#This Row],[Date]],Database!$A:$C,MATCH($C$1,Database!$A$1:$C$1,),))</f>
        <v/>
      </c>
      <c r="D5179">
        <f>IFERROR(Table7[[#This Row],[United States 10y]]-Table7[[#This Row],[United States 3y]],#N/A)</f>
        <v/>
      </c>
    </row>
    <row r="5180">
      <c r="A5180" s="6">
        <f>Database!$A7265</f>
        <v/>
      </c>
      <c r="B5180">
        <f>IF(VLOOKUP(Table7[[#This Row],[Date]],Database!$A:$C,MATCH($B$1,Database!$A$1:$C$1,),)=0,#N/A,VLOOKUP(Table7[[#This Row],[Date]],Database!$A:$C,MATCH($B$1,Database!$A$1:$C$1,),))</f>
        <v/>
      </c>
      <c r="C5180">
        <f>IF(VLOOKUP(Table7[[#This Row],[Date]],Database!$A:$C,MATCH($C$1,Database!$A$1:$C$1,),)=0,#N/A,VLOOKUP(Table7[[#This Row],[Date]],Database!$A:$C,MATCH($C$1,Database!$A$1:$C$1,),))</f>
        <v/>
      </c>
      <c r="D5180">
        <f>IFERROR(Table7[[#This Row],[United States 10y]]-Table7[[#This Row],[United States 3y]],#N/A)</f>
        <v/>
      </c>
    </row>
    <row r="5181">
      <c r="A5181" s="6">
        <f>Database!$A7266</f>
        <v/>
      </c>
      <c r="B5181">
        <f>IF(VLOOKUP(Table7[[#This Row],[Date]],Database!$A:$C,MATCH($B$1,Database!$A$1:$C$1,),)=0,#N/A,VLOOKUP(Table7[[#This Row],[Date]],Database!$A:$C,MATCH($B$1,Database!$A$1:$C$1,),))</f>
        <v/>
      </c>
      <c r="C5181">
        <f>IF(VLOOKUP(Table7[[#This Row],[Date]],Database!$A:$C,MATCH($C$1,Database!$A$1:$C$1,),)=0,#N/A,VLOOKUP(Table7[[#This Row],[Date]],Database!$A:$C,MATCH($C$1,Database!$A$1:$C$1,),))</f>
        <v/>
      </c>
      <c r="D5181">
        <f>IFERROR(Table7[[#This Row],[United States 10y]]-Table7[[#This Row],[United States 3y]],#N/A)</f>
        <v/>
      </c>
    </row>
    <row r="5182">
      <c r="A5182" s="6">
        <f>Database!$A7267</f>
        <v/>
      </c>
      <c r="B5182">
        <f>IF(VLOOKUP(Table7[[#This Row],[Date]],Database!$A:$C,MATCH($B$1,Database!$A$1:$C$1,),)=0,#N/A,VLOOKUP(Table7[[#This Row],[Date]],Database!$A:$C,MATCH($B$1,Database!$A$1:$C$1,),))</f>
        <v/>
      </c>
      <c r="C5182">
        <f>IF(VLOOKUP(Table7[[#This Row],[Date]],Database!$A:$C,MATCH($C$1,Database!$A$1:$C$1,),)=0,#N/A,VLOOKUP(Table7[[#This Row],[Date]],Database!$A:$C,MATCH($C$1,Database!$A$1:$C$1,),))</f>
        <v/>
      </c>
      <c r="D5182">
        <f>IFERROR(Table7[[#This Row],[United States 10y]]-Table7[[#This Row],[United States 3y]],#N/A)</f>
        <v/>
      </c>
    </row>
    <row r="5183">
      <c r="A5183" s="6">
        <f>Database!$A7268</f>
        <v/>
      </c>
      <c r="B5183">
        <f>IF(VLOOKUP(Table7[[#This Row],[Date]],Database!$A:$C,MATCH($B$1,Database!$A$1:$C$1,),)=0,#N/A,VLOOKUP(Table7[[#This Row],[Date]],Database!$A:$C,MATCH($B$1,Database!$A$1:$C$1,),))</f>
        <v/>
      </c>
      <c r="C5183">
        <f>IF(VLOOKUP(Table7[[#This Row],[Date]],Database!$A:$C,MATCH($C$1,Database!$A$1:$C$1,),)=0,#N/A,VLOOKUP(Table7[[#This Row],[Date]],Database!$A:$C,MATCH($C$1,Database!$A$1:$C$1,),))</f>
        <v/>
      </c>
      <c r="D5183">
        <f>IFERROR(Table7[[#This Row],[United States 10y]]-Table7[[#This Row],[United States 3y]],#N/A)</f>
        <v/>
      </c>
    </row>
    <row r="5184">
      <c r="A5184" s="6">
        <f>Database!$A7269</f>
        <v/>
      </c>
      <c r="B5184">
        <f>IF(VLOOKUP(Table7[[#This Row],[Date]],Database!$A:$C,MATCH($B$1,Database!$A$1:$C$1,),)=0,#N/A,VLOOKUP(Table7[[#This Row],[Date]],Database!$A:$C,MATCH($B$1,Database!$A$1:$C$1,),))</f>
        <v/>
      </c>
      <c r="C5184">
        <f>IF(VLOOKUP(Table7[[#This Row],[Date]],Database!$A:$C,MATCH($C$1,Database!$A$1:$C$1,),)=0,#N/A,VLOOKUP(Table7[[#This Row],[Date]],Database!$A:$C,MATCH($C$1,Database!$A$1:$C$1,),))</f>
        <v/>
      </c>
      <c r="D5184">
        <f>IFERROR(Table7[[#This Row],[United States 10y]]-Table7[[#This Row],[United States 3y]],#N/A)</f>
        <v/>
      </c>
    </row>
    <row r="5185">
      <c r="A5185" s="6">
        <f>Database!$A7270</f>
        <v/>
      </c>
      <c r="B5185">
        <f>IF(VLOOKUP(Table7[[#This Row],[Date]],Database!$A:$C,MATCH($B$1,Database!$A$1:$C$1,),)=0,#N/A,VLOOKUP(Table7[[#This Row],[Date]],Database!$A:$C,MATCH($B$1,Database!$A$1:$C$1,),))</f>
        <v/>
      </c>
      <c r="C5185">
        <f>IF(VLOOKUP(Table7[[#This Row],[Date]],Database!$A:$C,MATCH($C$1,Database!$A$1:$C$1,),)=0,#N/A,VLOOKUP(Table7[[#This Row],[Date]],Database!$A:$C,MATCH($C$1,Database!$A$1:$C$1,),))</f>
        <v/>
      </c>
      <c r="D5185">
        <f>IFERROR(Table7[[#This Row],[United States 10y]]-Table7[[#This Row],[United States 3y]],#N/A)</f>
        <v/>
      </c>
    </row>
    <row r="5186">
      <c r="A5186" s="6">
        <f>Database!$A7271</f>
        <v/>
      </c>
      <c r="B5186">
        <f>IF(VLOOKUP(Table7[[#This Row],[Date]],Database!$A:$C,MATCH($B$1,Database!$A$1:$C$1,),)=0,#N/A,VLOOKUP(Table7[[#This Row],[Date]],Database!$A:$C,MATCH($B$1,Database!$A$1:$C$1,),))</f>
        <v/>
      </c>
      <c r="C5186">
        <f>IF(VLOOKUP(Table7[[#This Row],[Date]],Database!$A:$C,MATCH($C$1,Database!$A$1:$C$1,),)=0,#N/A,VLOOKUP(Table7[[#This Row],[Date]],Database!$A:$C,MATCH($C$1,Database!$A$1:$C$1,),))</f>
        <v/>
      </c>
      <c r="D5186">
        <f>IFERROR(Table7[[#This Row],[United States 10y]]-Table7[[#This Row],[United States 3y]],#N/A)</f>
        <v/>
      </c>
    </row>
    <row r="5187">
      <c r="A5187" s="6">
        <f>Database!$A7272</f>
        <v/>
      </c>
      <c r="B5187">
        <f>IF(VLOOKUP(Table7[[#This Row],[Date]],Database!$A:$C,MATCH($B$1,Database!$A$1:$C$1,),)=0,#N/A,VLOOKUP(Table7[[#This Row],[Date]],Database!$A:$C,MATCH($B$1,Database!$A$1:$C$1,),))</f>
        <v/>
      </c>
      <c r="C5187">
        <f>IF(VLOOKUP(Table7[[#This Row],[Date]],Database!$A:$C,MATCH($C$1,Database!$A$1:$C$1,),)=0,#N/A,VLOOKUP(Table7[[#This Row],[Date]],Database!$A:$C,MATCH($C$1,Database!$A$1:$C$1,),))</f>
        <v/>
      </c>
      <c r="D5187">
        <f>IFERROR(Table7[[#This Row],[United States 10y]]-Table7[[#This Row],[United States 3y]],#N/A)</f>
        <v/>
      </c>
    </row>
    <row r="5188">
      <c r="A5188" s="6">
        <f>Database!$A7273</f>
        <v/>
      </c>
      <c r="B5188">
        <f>IF(VLOOKUP(Table7[[#This Row],[Date]],Database!$A:$C,MATCH($B$1,Database!$A$1:$C$1,),)=0,#N/A,VLOOKUP(Table7[[#This Row],[Date]],Database!$A:$C,MATCH($B$1,Database!$A$1:$C$1,),))</f>
        <v/>
      </c>
      <c r="C5188">
        <f>IF(VLOOKUP(Table7[[#This Row],[Date]],Database!$A:$C,MATCH($C$1,Database!$A$1:$C$1,),)=0,#N/A,VLOOKUP(Table7[[#This Row],[Date]],Database!$A:$C,MATCH($C$1,Database!$A$1:$C$1,),))</f>
        <v/>
      </c>
      <c r="D5188">
        <f>IFERROR(Table7[[#This Row],[United States 10y]]-Table7[[#This Row],[United States 3y]],#N/A)</f>
        <v/>
      </c>
    </row>
    <row r="5189">
      <c r="A5189" s="6">
        <f>Database!$A7274</f>
        <v/>
      </c>
      <c r="B5189">
        <f>IF(VLOOKUP(Table7[[#This Row],[Date]],Database!$A:$C,MATCH($B$1,Database!$A$1:$C$1,),)=0,#N/A,VLOOKUP(Table7[[#This Row],[Date]],Database!$A:$C,MATCH($B$1,Database!$A$1:$C$1,),))</f>
        <v/>
      </c>
      <c r="C5189">
        <f>IF(VLOOKUP(Table7[[#This Row],[Date]],Database!$A:$C,MATCH($C$1,Database!$A$1:$C$1,),)=0,#N/A,VLOOKUP(Table7[[#This Row],[Date]],Database!$A:$C,MATCH($C$1,Database!$A$1:$C$1,),))</f>
        <v/>
      </c>
      <c r="D5189">
        <f>IFERROR(Table7[[#This Row],[United States 10y]]-Table7[[#This Row],[United States 3y]],#N/A)</f>
        <v/>
      </c>
    </row>
    <row r="5190">
      <c r="A5190" s="6">
        <f>Database!$A7275</f>
        <v/>
      </c>
      <c r="B5190">
        <f>IF(VLOOKUP(Table7[[#This Row],[Date]],Database!$A:$C,MATCH($B$1,Database!$A$1:$C$1,),)=0,#N/A,VLOOKUP(Table7[[#This Row],[Date]],Database!$A:$C,MATCH($B$1,Database!$A$1:$C$1,),))</f>
        <v/>
      </c>
      <c r="C5190">
        <f>IF(VLOOKUP(Table7[[#This Row],[Date]],Database!$A:$C,MATCH($C$1,Database!$A$1:$C$1,),)=0,#N/A,VLOOKUP(Table7[[#This Row],[Date]],Database!$A:$C,MATCH($C$1,Database!$A$1:$C$1,),))</f>
        <v/>
      </c>
      <c r="D5190">
        <f>IFERROR(Table7[[#This Row],[United States 10y]]-Table7[[#This Row],[United States 3y]],#N/A)</f>
        <v/>
      </c>
    </row>
    <row r="5191">
      <c r="A5191" s="6">
        <f>Database!$A7276</f>
        <v/>
      </c>
      <c r="B5191">
        <f>IF(VLOOKUP(Table7[[#This Row],[Date]],Database!$A:$C,MATCH($B$1,Database!$A$1:$C$1,),)=0,#N/A,VLOOKUP(Table7[[#This Row],[Date]],Database!$A:$C,MATCH($B$1,Database!$A$1:$C$1,),))</f>
        <v/>
      </c>
      <c r="C5191">
        <f>IF(VLOOKUP(Table7[[#This Row],[Date]],Database!$A:$C,MATCH($C$1,Database!$A$1:$C$1,),)=0,#N/A,VLOOKUP(Table7[[#This Row],[Date]],Database!$A:$C,MATCH($C$1,Database!$A$1:$C$1,),))</f>
        <v/>
      </c>
      <c r="D5191">
        <f>IFERROR(Table7[[#This Row],[United States 10y]]-Table7[[#This Row],[United States 3y]],#N/A)</f>
        <v/>
      </c>
    </row>
    <row r="5192">
      <c r="A5192" s="6">
        <f>Database!$A7277</f>
        <v/>
      </c>
      <c r="B5192">
        <f>IF(VLOOKUP(Table7[[#This Row],[Date]],Database!$A:$C,MATCH($B$1,Database!$A$1:$C$1,),)=0,#N/A,VLOOKUP(Table7[[#This Row],[Date]],Database!$A:$C,MATCH($B$1,Database!$A$1:$C$1,),))</f>
        <v/>
      </c>
      <c r="C5192">
        <f>IF(VLOOKUP(Table7[[#This Row],[Date]],Database!$A:$C,MATCH($C$1,Database!$A$1:$C$1,),)=0,#N/A,VLOOKUP(Table7[[#This Row],[Date]],Database!$A:$C,MATCH($C$1,Database!$A$1:$C$1,),))</f>
        <v/>
      </c>
      <c r="D5192">
        <f>IFERROR(Table7[[#This Row],[United States 10y]]-Table7[[#This Row],[United States 3y]],#N/A)</f>
        <v/>
      </c>
    </row>
    <row r="5193">
      <c r="A5193" s="6">
        <f>Database!$A7278</f>
        <v/>
      </c>
      <c r="B5193">
        <f>IF(VLOOKUP(Table7[[#This Row],[Date]],Database!$A:$C,MATCH($B$1,Database!$A$1:$C$1,),)=0,#N/A,VLOOKUP(Table7[[#This Row],[Date]],Database!$A:$C,MATCH($B$1,Database!$A$1:$C$1,),))</f>
        <v/>
      </c>
      <c r="C5193">
        <f>IF(VLOOKUP(Table7[[#This Row],[Date]],Database!$A:$C,MATCH($C$1,Database!$A$1:$C$1,),)=0,#N/A,VLOOKUP(Table7[[#This Row],[Date]],Database!$A:$C,MATCH($C$1,Database!$A$1:$C$1,),))</f>
        <v/>
      </c>
      <c r="D5193">
        <f>IFERROR(Table7[[#This Row],[United States 10y]]-Table7[[#This Row],[United States 3y]],#N/A)</f>
        <v/>
      </c>
    </row>
    <row r="5194">
      <c r="A5194" s="6">
        <f>Database!$A7279</f>
        <v/>
      </c>
      <c r="B5194">
        <f>IF(VLOOKUP(Table7[[#This Row],[Date]],Database!$A:$C,MATCH($B$1,Database!$A$1:$C$1,),)=0,#N/A,VLOOKUP(Table7[[#This Row],[Date]],Database!$A:$C,MATCH($B$1,Database!$A$1:$C$1,),))</f>
        <v/>
      </c>
      <c r="C5194">
        <f>IF(VLOOKUP(Table7[[#This Row],[Date]],Database!$A:$C,MATCH($C$1,Database!$A$1:$C$1,),)=0,#N/A,VLOOKUP(Table7[[#This Row],[Date]],Database!$A:$C,MATCH($C$1,Database!$A$1:$C$1,),))</f>
        <v/>
      </c>
      <c r="D5194">
        <f>IFERROR(Table7[[#This Row],[United States 10y]]-Table7[[#This Row],[United States 3y]],#N/A)</f>
        <v/>
      </c>
    </row>
    <row r="5195">
      <c r="A5195" s="6">
        <f>Database!$A7280</f>
        <v/>
      </c>
      <c r="B5195">
        <f>IF(VLOOKUP(Table7[[#This Row],[Date]],Database!$A:$C,MATCH($B$1,Database!$A$1:$C$1,),)=0,#N/A,VLOOKUP(Table7[[#This Row],[Date]],Database!$A:$C,MATCH($B$1,Database!$A$1:$C$1,),))</f>
        <v/>
      </c>
      <c r="C5195">
        <f>IF(VLOOKUP(Table7[[#This Row],[Date]],Database!$A:$C,MATCH($C$1,Database!$A$1:$C$1,),)=0,#N/A,VLOOKUP(Table7[[#This Row],[Date]],Database!$A:$C,MATCH($C$1,Database!$A$1:$C$1,),))</f>
        <v/>
      </c>
      <c r="D5195">
        <f>IFERROR(Table7[[#This Row],[United States 10y]]-Table7[[#This Row],[United States 3y]],#N/A)</f>
        <v/>
      </c>
    </row>
    <row r="5196">
      <c r="A5196" s="6">
        <f>Database!$A7281</f>
        <v/>
      </c>
      <c r="B5196">
        <f>IF(VLOOKUP(Table7[[#This Row],[Date]],Database!$A:$C,MATCH($B$1,Database!$A$1:$C$1,),)=0,#N/A,VLOOKUP(Table7[[#This Row],[Date]],Database!$A:$C,MATCH($B$1,Database!$A$1:$C$1,),))</f>
        <v/>
      </c>
      <c r="C5196">
        <f>IF(VLOOKUP(Table7[[#This Row],[Date]],Database!$A:$C,MATCH($C$1,Database!$A$1:$C$1,),)=0,#N/A,VLOOKUP(Table7[[#This Row],[Date]],Database!$A:$C,MATCH($C$1,Database!$A$1:$C$1,),))</f>
        <v/>
      </c>
      <c r="D5196">
        <f>IFERROR(Table7[[#This Row],[United States 10y]]-Table7[[#This Row],[United States 3y]],#N/A)</f>
        <v/>
      </c>
    </row>
    <row r="5197">
      <c r="A5197" s="6">
        <f>Database!$A7282</f>
        <v/>
      </c>
      <c r="B5197">
        <f>IF(VLOOKUP(Table7[[#This Row],[Date]],Database!$A:$C,MATCH($B$1,Database!$A$1:$C$1,),)=0,#N/A,VLOOKUP(Table7[[#This Row],[Date]],Database!$A:$C,MATCH($B$1,Database!$A$1:$C$1,),))</f>
        <v/>
      </c>
      <c r="C5197">
        <f>IF(VLOOKUP(Table7[[#This Row],[Date]],Database!$A:$C,MATCH($C$1,Database!$A$1:$C$1,),)=0,#N/A,VLOOKUP(Table7[[#This Row],[Date]],Database!$A:$C,MATCH($C$1,Database!$A$1:$C$1,),))</f>
        <v/>
      </c>
      <c r="D5197">
        <f>IFERROR(Table7[[#This Row],[United States 10y]]-Table7[[#This Row],[United States 3y]],#N/A)</f>
        <v/>
      </c>
    </row>
    <row r="5198">
      <c r="A5198" s="6">
        <f>Database!$A7283</f>
        <v/>
      </c>
      <c r="B5198">
        <f>IF(VLOOKUP(Table7[[#This Row],[Date]],Database!$A:$C,MATCH($B$1,Database!$A$1:$C$1,),)=0,#N/A,VLOOKUP(Table7[[#This Row],[Date]],Database!$A:$C,MATCH($B$1,Database!$A$1:$C$1,),))</f>
        <v/>
      </c>
      <c r="C5198">
        <f>IF(VLOOKUP(Table7[[#This Row],[Date]],Database!$A:$C,MATCH($C$1,Database!$A$1:$C$1,),)=0,#N/A,VLOOKUP(Table7[[#This Row],[Date]],Database!$A:$C,MATCH($C$1,Database!$A$1:$C$1,),))</f>
        <v/>
      </c>
      <c r="D5198">
        <f>IFERROR(Table7[[#This Row],[United States 10y]]-Table7[[#This Row],[United States 3y]],#N/A)</f>
        <v/>
      </c>
    </row>
    <row r="5199">
      <c r="A5199" s="6">
        <f>Database!$A7284</f>
        <v/>
      </c>
      <c r="B5199">
        <f>IF(VLOOKUP(Table7[[#This Row],[Date]],Database!$A:$C,MATCH($B$1,Database!$A$1:$C$1,),)=0,#N/A,VLOOKUP(Table7[[#This Row],[Date]],Database!$A:$C,MATCH($B$1,Database!$A$1:$C$1,),))</f>
        <v/>
      </c>
      <c r="C5199">
        <f>IF(VLOOKUP(Table7[[#This Row],[Date]],Database!$A:$C,MATCH($C$1,Database!$A$1:$C$1,),)=0,#N/A,VLOOKUP(Table7[[#This Row],[Date]],Database!$A:$C,MATCH($C$1,Database!$A$1:$C$1,),))</f>
        <v/>
      </c>
      <c r="D5199">
        <f>IFERROR(Table7[[#This Row],[United States 10y]]-Table7[[#This Row],[United States 3y]],#N/A)</f>
        <v/>
      </c>
    </row>
    <row r="5200">
      <c r="A5200" s="6">
        <f>Database!$A7285</f>
        <v/>
      </c>
      <c r="B5200">
        <f>IF(VLOOKUP(Table7[[#This Row],[Date]],Database!$A:$C,MATCH($B$1,Database!$A$1:$C$1,),)=0,#N/A,VLOOKUP(Table7[[#This Row],[Date]],Database!$A:$C,MATCH($B$1,Database!$A$1:$C$1,),))</f>
        <v/>
      </c>
      <c r="C5200">
        <f>IF(VLOOKUP(Table7[[#This Row],[Date]],Database!$A:$C,MATCH($C$1,Database!$A$1:$C$1,),)=0,#N/A,VLOOKUP(Table7[[#This Row],[Date]],Database!$A:$C,MATCH($C$1,Database!$A$1:$C$1,),))</f>
        <v/>
      </c>
      <c r="D5200">
        <f>IFERROR(Table7[[#This Row],[United States 10y]]-Table7[[#This Row],[United States 3y]],#N/A)</f>
        <v/>
      </c>
    </row>
    <row r="5201">
      <c r="A5201" s="6">
        <f>Database!$A7286</f>
        <v/>
      </c>
      <c r="B5201">
        <f>IF(VLOOKUP(Table7[[#This Row],[Date]],Database!$A:$C,MATCH($B$1,Database!$A$1:$C$1,),)=0,#N/A,VLOOKUP(Table7[[#This Row],[Date]],Database!$A:$C,MATCH($B$1,Database!$A$1:$C$1,),))</f>
        <v/>
      </c>
      <c r="C5201">
        <f>IF(VLOOKUP(Table7[[#This Row],[Date]],Database!$A:$C,MATCH($C$1,Database!$A$1:$C$1,),)=0,#N/A,VLOOKUP(Table7[[#This Row],[Date]],Database!$A:$C,MATCH($C$1,Database!$A$1:$C$1,),))</f>
        <v/>
      </c>
      <c r="D5201">
        <f>IFERROR(Table7[[#This Row],[United States 10y]]-Table7[[#This Row],[United States 3y]],#N/A)</f>
        <v/>
      </c>
    </row>
    <row r="5202">
      <c r="A5202" s="6">
        <f>Database!$A7287</f>
        <v/>
      </c>
      <c r="B5202">
        <f>IF(VLOOKUP(Table7[[#This Row],[Date]],Database!$A:$C,MATCH($B$1,Database!$A$1:$C$1,),)=0,#N/A,VLOOKUP(Table7[[#This Row],[Date]],Database!$A:$C,MATCH($B$1,Database!$A$1:$C$1,),))</f>
        <v/>
      </c>
      <c r="C5202">
        <f>IF(VLOOKUP(Table7[[#This Row],[Date]],Database!$A:$C,MATCH($C$1,Database!$A$1:$C$1,),)=0,#N/A,VLOOKUP(Table7[[#This Row],[Date]],Database!$A:$C,MATCH($C$1,Database!$A$1:$C$1,),))</f>
        <v/>
      </c>
      <c r="D5202">
        <f>IFERROR(Table7[[#This Row],[United States 10y]]-Table7[[#This Row],[United States 3y]],#N/A)</f>
        <v/>
      </c>
    </row>
    <row r="5203">
      <c r="A5203" s="6">
        <f>Database!$A7288</f>
        <v/>
      </c>
      <c r="B5203">
        <f>IF(VLOOKUP(Table7[[#This Row],[Date]],Database!$A:$C,MATCH($B$1,Database!$A$1:$C$1,),)=0,#N/A,VLOOKUP(Table7[[#This Row],[Date]],Database!$A:$C,MATCH($B$1,Database!$A$1:$C$1,),))</f>
        <v/>
      </c>
      <c r="C5203">
        <f>IF(VLOOKUP(Table7[[#This Row],[Date]],Database!$A:$C,MATCH($C$1,Database!$A$1:$C$1,),)=0,#N/A,VLOOKUP(Table7[[#This Row],[Date]],Database!$A:$C,MATCH($C$1,Database!$A$1:$C$1,),))</f>
        <v/>
      </c>
      <c r="D5203">
        <f>IFERROR(Table7[[#This Row],[United States 10y]]-Table7[[#This Row],[United States 3y]],#N/A)</f>
        <v/>
      </c>
    </row>
    <row r="5204">
      <c r="A5204" s="6">
        <f>Database!$A7289</f>
        <v/>
      </c>
      <c r="B5204">
        <f>IF(VLOOKUP(Table7[[#This Row],[Date]],Database!$A:$C,MATCH($B$1,Database!$A$1:$C$1,),)=0,#N/A,VLOOKUP(Table7[[#This Row],[Date]],Database!$A:$C,MATCH($B$1,Database!$A$1:$C$1,),))</f>
        <v/>
      </c>
      <c r="C5204">
        <f>IF(VLOOKUP(Table7[[#This Row],[Date]],Database!$A:$C,MATCH($C$1,Database!$A$1:$C$1,),)=0,#N/A,VLOOKUP(Table7[[#This Row],[Date]],Database!$A:$C,MATCH($C$1,Database!$A$1:$C$1,),))</f>
        <v/>
      </c>
      <c r="D5204">
        <f>IFERROR(Table7[[#This Row],[United States 10y]]-Table7[[#This Row],[United States 3y]],#N/A)</f>
        <v/>
      </c>
    </row>
    <row r="5205">
      <c r="A5205" s="6">
        <f>Database!$A7290</f>
        <v/>
      </c>
      <c r="B5205">
        <f>IF(VLOOKUP(Table7[[#This Row],[Date]],Database!$A:$C,MATCH($B$1,Database!$A$1:$C$1,),)=0,#N/A,VLOOKUP(Table7[[#This Row],[Date]],Database!$A:$C,MATCH($B$1,Database!$A$1:$C$1,),))</f>
        <v/>
      </c>
      <c r="C5205">
        <f>IF(VLOOKUP(Table7[[#This Row],[Date]],Database!$A:$C,MATCH($C$1,Database!$A$1:$C$1,),)=0,#N/A,VLOOKUP(Table7[[#This Row],[Date]],Database!$A:$C,MATCH($C$1,Database!$A$1:$C$1,),))</f>
        <v/>
      </c>
      <c r="D5205">
        <f>IFERROR(Table7[[#This Row],[United States 10y]]-Table7[[#This Row],[United States 3y]],#N/A)</f>
        <v/>
      </c>
    </row>
    <row r="5206">
      <c r="A5206" s="6">
        <f>Database!$A7291</f>
        <v/>
      </c>
      <c r="B5206">
        <f>IF(VLOOKUP(Table7[[#This Row],[Date]],Database!$A:$C,MATCH($B$1,Database!$A$1:$C$1,),)=0,#N/A,VLOOKUP(Table7[[#This Row],[Date]],Database!$A:$C,MATCH($B$1,Database!$A$1:$C$1,),))</f>
        <v/>
      </c>
      <c r="C5206">
        <f>IF(VLOOKUP(Table7[[#This Row],[Date]],Database!$A:$C,MATCH($C$1,Database!$A$1:$C$1,),)=0,#N/A,VLOOKUP(Table7[[#This Row],[Date]],Database!$A:$C,MATCH($C$1,Database!$A$1:$C$1,),))</f>
        <v/>
      </c>
      <c r="D5206">
        <f>IFERROR(Table7[[#This Row],[United States 10y]]-Table7[[#This Row],[United States 3y]],#N/A)</f>
        <v/>
      </c>
    </row>
    <row r="5207">
      <c r="A5207" s="6">
        <f>Database!$A7292</f>
        <v/>
      </c>
      <c r="B5207">
        <f>IF(VLOOKUP(Table7[[#This Row],[Date]],Database!$A:$C,MATCH($B$1,Database!$A$1:$C$1,),)=0,#N/A,VLOOKUP(Table7[[#This Row],[Date]],Database!$A:$C,MATCH($B$1,Database!$A$1:$C$1,),))</f>
        <v/>
      </c>
      <c r="C5207">
        <f>IF(VLOOKUP(Table7[[#This Row],[Date]],Database!$A:$C,MATCH($C$1,Database!$A$1:$C$1,),)=0,#N/A,VLOOKUP(Table7[[#This Row],[Date]],Database!$A:$C,MATCH($C$1,Database!$A$1:$C$1,),))</f>
        <v/>
      </c>
      <c r="D5207">
        <f>IFERROR(Table7[[#This Row],[United States 10y]]-Table7[[#This Row],[United States 3y]],#N/A)</f>
        <v/>
      </c>
    </row>
    <row r="5208">
      <c r="A5208" s="6">
        <f>Database!$A7293</f>
        <v/>
      </c>
      <c r="B5208">
        <f>IF(VLOOKUP(Table7[[#This Row],[Date]],Database!$A:$C,MATCH($B$1,Database!$A$1:$C$1,),)=0,#N/A,VLOOKUP(Table7[[#This Row],[Date]],Database!$A:$C,MATCH($B$1,Database!$A$1:$C$1,),))</f>
        <v/>
      </c>
      <c r="C5208">
        <f>IF(VLOOKUP(Table7[[#This Row],[Date]],Database!$A:$C,MATCH($C$1,Database!$A$1:$C$1,),)=0,#N/A,VLOOKUP(Table7[[#This Row],[Date]],Database!$A:$C,MATCH($C$1,Database!$A$1:$C$1,),))</f>
        <v/>
      </c>
      <c r="D5208">
        <f>IFERROR(Table7[[#This Row],[United States 10y]]-Table7[[#This Row],[United States 3y]],#N/A)</f>
        <v/>
      </c>
    </row>
    <row r="5209">
      <c r="A5209" s="6">
        <f>Database!$A7294</f>
        <v/>
      </c>
      <c r="B5209">
        <f>IF(VLOOKUP(Table7[[#This Row],[Date]],Database!$A:$C,MATCH($B$1,Database!$A$1:$C$1,),)=0,#N/A,VLOOKUP(Table7[[#This Row],[Date]],Database!$A:$C,MATCH($B$1,Database!$A$1:$C$1,),))</f>
        <v/>
      </c>
      <c r="C5209">
        <f>IF(VLOOKUP(Table7[[#This Row],[Date]],Database!$A:$C,MATCH($C$1,Database!$A$1:$C$1,),)=0,#N/A,VLOOKUP(Table7[[#This Row],[Date]],Database!$A:$C,MATCH($C$1,Database!$A$1:$C$1,),))</f>
        <v/>
      </c>
      <c r="D5209">
        <f>IFERROR(Table7[[#This Row],[United States 10y]]-Table7[[#This Row],[United States 3y]],#N/A)</f>
        <v/>
      </c>
    </row>
    <row r="5210">
      <c r="A5210" s="6">
        <f>Database!$A7295</f>
        <v/>
      </c>
      <c r="B5210">
        <f>IF(VLOOKUP(Table7[[#This Row],[Date]],Database!$A:$C,MATCH($B$1,Database!$A$1:$C$1,),)=0,#N/A,VLOOKUP(Table7[[#This Row],[Date]],Database!$A:$C,MATCH($B$1,Database!$A$1:$C$1,),))</f>
        <v/>
      </c>
      <c r="C5210">
        <f>IF(VLOOKUP(Table7[[#This Row],[Date]],Database!$A:$C,MATCH($C$1,Database!$A$1:$C$1,),)=0,#N/A,VLOOKUP(Table7[[#This Row],[Date]],Database!$A:$C,MATCH($C$1,Database!$A$1:$C$1,),))</f>
        <v/>
      </c>
      <c r="D5210">
        <f>IFERROR(Table7[[#This Row],[United States 10y]]-Table7[[#This Row],[United States 3y]],#N/A)</f>
        <v/>
      </c>
    </row>
    <row r="5211">
      <c r="A5211" s="6">
        <f>Database!$A7296</f>
        <v/>
      </c>
      <c r="B5211">
        <f>IF(VLOOKUP(Table7[[#This Row],[Date]],Database!$A:$C,MATCH($B$1,Database!$A$1:$C$1,),)=0,#N/A,VLOOKUP(Table7[[#This Row],[Date]],Database!$A:$C,MATCH($B$1,Database!$A$1:$C$1,),))</f>
        <v/>
      </c>
      <c r="C5211">
        <f>IF(VLOOKUP(Table7[[#This Row],[Date]],Database!$A:$C,MATCH($C$1,Database!$A$1:$C$1,),)=0,#N/A,VLOOKUP(Table7[[#This Row],[Date]],Database!$A:$C,MATCH($C$1,Database!$A$1:$C$1,),))</f>
        <v/>
      </c>
      <c r="D5211">
        <f>IFERROR(Table7[[#This Row],[United States 10y]]-Table7[[#This Row],[United States 3y]],#N/A)</f>
        <v/>
      </c>
    </row>
    <row r="5212">
      <c r="A5212" s="6">
        <f>Database!$A7297</f>
        <v/>
      </c>
      <c r="B5212">
        <f>IF(VLOOKUP(Table7[[#This Row],[Date]],Database!$A:$C,MATCH($B$1,Database!$A$1:$C$1,),)=0,#N/A,VLOOKUP(Table7[[#This Row],[Date]],Database!$A:$C,MATCH($B$1,Database!$A$1:$C$1,),))</f>
        <v/>
      </c>
      <c r="C5212">
        <f>IF(VLOOKUP(Table7[[#This Row],[Date]],Database!$A:$C,MATCH($C$1,Database!$A$1:$C$1,),)=0,#N/A,VLOOKUP(Table7[[#This Row],[Date]],Database!$A:$C,MATCH($C$1,Database!$A$1:$C$1,),))</f>
        <v/>
      </c>
      <c r="D5212">
        <f>IFERROR(Table7[[#This Row],[United States 10y]]-Table7[[#This Row],[United States 3y]],#N/A)</f>
        <v/>
      </c>
    </row>
    <row r="5213">
      <c r="A5213" s="6">
        <f>Database!$A7298</f>
        <v/>
      </c>
      <c r="B5213">
        <f>IF(VLOOKUP(Table7[[#This Row],[Date]],Database!$A:$C,MATCH($B$1,Database!$A$1:$C$1,),)=0,#N/A,VLOOKUP(Table7[[#This Row],[Date]],Database!$A:$C,MATCH($B$1,Database!$A$1:$C$1,),))</f>
        <v/>
      </c>
      <c r="C5213">
        <f>IF(VLOOKUP(Table7[[#This Row],[Date]],Database!$A:$C,MATCH($C$1,Database!$A$1:$C$1,),)=0,#N/A,VLOOKUP(Table7[[#This Row],[Date]],Database!$A:$C,MATCH($C$1,Database!$A$1:$C$1,),))</f>
        <v/>
      </c>
      <c r="D5213">
        <f>IFERROR(Table7[[#This Row],[United States 10y]]-Table7[[#This Row],[United States 3y]],#N/A)</f>
        <v/>
      </c>
    </row>
    <row r="5214">
      <c r="A5214" s="6">
        <f>Database!$A7299</f>
        <v/>
      </c>
      <c r="B5214">
        <f>IF(VLOOKUP(Table7[[#This Row],[Date]],Database!$A:$C,MATCH($B$1,Database!$A$1:$C$1,),)=0,#N/A,VLOOKUP(Table7[[#This Row],[Date]],Database!$A:$C,MATCH($B$1,Database!$A$1:$C$1,),))</f>
        <v/>
      </c>
      <c r="C5214">
        <f>IF(VLOOKUP(Table7[[#This Row],[Date]],Database!$A:$C,MATCH($C$1,Database!$A$1:$C$1,),)=0,#N/A,VLOOKUP(Table7[[#This Row],[Date]],Database!$A:$C,MATCH($C$1,Database!$A$1:$C$1,),))</f>
        <v/>
      </c>
      <c r="D5214">
        <f>IFERROR(Table7[[#This Row],[United States 10y]]-Table7[[#This Row],[United States 3y]],#N/A)</f>
        <v/>
      </c>
    </row>
    <row r="5215">
      <c r="A5215" s="6">
        <f>Database!$A7300</f>
        <v/>
      </c>
      <c r="B5215">
        <f>IF(VLOOKUP(Table7[[#This Row],[Date]],Database!$A:$C,MATCH($B$1,Database!$A$1:$C$1,),)=0,#N/A,VLOOKUP(Table7[[#This Row],[Date]],Database!$A:$C,MATCH($B$1,Database!$A$1:$C$1,),))</f>
        <v/>
      </c>
      <c r="C5215">
        <f>IF(VLOOKUP(Table7[[#This Row],[Date]],Database!$A:$C,MATCH($C$1,Database!$A$1:$C$1,),)=0,#N/A,VLOOKUP(Table7[[#This Row],[Date]],Database!$A:$C,MATCH($C$1,Database!$A$1:$C$1,),))</f>
        <v/>
      </c>
      <c r="D5215">
        <f>IFERROR(Table7[[#This Row],[United States 10y]]-Table7[[#This Row],[United States 3y]],#N/A)</f>
        <v/>
      </c>
    </row>
    <row r="5216">
      <c r="A5216" s="6">
        <f>Database!$A7301</f>
        <v/>
      </c>
      <c r="B5216">
        <f>IF(VLOOKUP(Table7[[#This Row],[Date]],Database!$A:$C,MATCH($B$1,Database!$A$1:$C$1,),)=0,#N/A,VLOOKUP(Table7[[#This Row],[Date]],Database!$A:$C,MATCH($B$1,Database!$A$1:$C$1,),))</f>
        <v/>
      </c>
      <c r="C5216">
        <f>IF(VLOOKUP(Table7[[#This Row],[Date]],Database!$A:$C,MATCH($C$1,Database!$A$1:$C$1,),)=0,#N/A,VLOOKUP(Table7[[#This Row],[Date]],Database!$A:$C,MATCH($C$1,Database!$A$1:$C$1,),))</f>
        <v/>
      </c>
      <c r="D5216">
        <f>IFERROR(Table7[[#This Row],[United States 10y]]-Table7[[#This Row],[United States 3y]],#N/A)</f>
        <v/>
      </c>
    </row>
    <row r="5217">
      <c r="A5217" s="6">
        <f>Database!$A7302</f>
        <v/>
      </c>
      <c r="B5217">
        <f>IF(VLOOKUP(Table7[[#This Row],[Date]],Database!$A:$C,MATCH($B$1,Database!$A$1:$C$1,),)=0,#N/A,VLOOKUP(Table7[[#This Row],[Date]],Database!$A:$C,MATCH($B$1,Database!$A$1:$C$1,),))</f>
        <v/>
      </c>
      <c r="C5217">
        <f>IF(VLOOKUP(Table7[[#This Row],[Date]],Database!$A:$C,MATCH($C$1,Database!$A$1:$C$1,),)=0,#N/A,VLOOKUP(Table7[[#This Row],[Date]],Database!$A:$C,MATCH($C$1,Database!$A$1:$C$1,),))</f>
        <v/>
      </c>
      <c r="D5217">
        <f>IFERROR(Table7[[#This Row],[United States 10y]]-Table7[[#This Row],[United States 3y]],#N/A)</f>
        <v/>
      </c>
    </row>
    <row r="5218">
      <c r="A5218" s="6">
        <f>Database!$A7303</f>
        <v/>
      </c>
      <c r="B5218">
        <f>IF(VLOOKUP(Table7[[#This Row],[Date]],Database!$A:$C,MATCH($B$1,Database!$A$1:$C$1,),)=0,#N/A,VLOOKUP(Table7[[#This Row],[Date]],Database!$A:$C,MATCH($B$1,Database!$A$1:$C$1,),))</f>
        <v/>
      </c>
      <c r="C5218">
        <f>IF(VLOOKUP(Table7[[#This Row],[Date]],Database!$A:$C,MATCH($C$1,Database!$A$1:$C$1,),)=0,#N/A,VLOOKUP(Table7[[#This Row],[Date]],Database!$A:$C,MATCH($C$1,Database!$A$1:$C$1,),))</f>
        <v/>
      </c>
      <c r="D5218">
        <f>IFERROR(Table7[[#This Row],[United States 10y]]-Table7[[#This Row],[United States 3y]],#N/A)</f>
        <v/>
      </c>
    </row>
    <row r="5219">
      <c r="A5219" s="6">
        <f>Database!$A7304</f>
        <v/>
      </c>
      <c r="B5219">
        <f>IF(VLOOKUP(Table7[[#This Row],[Date]],Database!$A:$C,MATCH($B$1,Database!$A$1:$C$1,),)=0,#N/A,VLOOKUP(Table7[[#This Row],[Date]],Database!$A:$C,MATCH($B$1,Database!$A$1:$C$1,),))</f>
        <v/>
      </c>
      <c r="C5219">
        <f>IF(VLOOKUP(Table7[[#This Row],[Date]],Database!$A:$C,MATCH($C$1,Database!$A$1:$C$1,),)=0,#N/A,VLOOKUP(Table7[[#This Row],[Date]],Database!$A:$C,MATCH($C$1,Database!$A$1:$C$1,),))</f>
        <v/>
      </c>
      <c r="D5219">
        <f>IFERROR(Table7[[#This Row],[United States 10y]]-Table7[[#This Row],[United States 3y]],#N/A)</f>
        <v/>
      </c>
    </row>
    <row r="5220">
      <c r="A5220" s="6">
        <f>Database!$A7305</f>
        <v/>
      </c>
      <c r="B5220">
        <f>IF(VLOOKUP(Table7[[#This Row],[Date]],Database!$A:$C,MATCH($B$1,Database!$A$1:$C$1,),)=0,#N/A,VLOOKUP(Table7[[#This Row],[Date]],Database!$A:$C,MATCH($B$1,Database!$A$1:$C$1,),))</f>
        <v/>
      </c>
      <c r="C5220">
        <f>IF(VLOOKUP(Table7[[#This Row],[Date]],Database!$A:$C,MATCH($C$1,Database!$A$1:$C$1,),)=0,#N/A,VLOOKUP(Table7[[#This Row],[Date]],Database!$A:$C,MATCH($C$1,Database!$A$1:$C$1,),))</f>
        <v/>
      </c>
      <c r="D5220">
        <f>IFERROR(Table7[[#This Row],[United States 10y]]-Table7[[#This Row],[United States 3y]],#N/A)</f>
        <v/>
      </c>
    </row>
    <row r="5221">
      <c r="A5221" s="6">
        <f>Database!$A7306</f>
        <v/>
      </c>
      <c r="B5221">
        <f>IF(VLOOKUP(Table7[[#This Row],[Date]],Database!$A:$C,MATCH($B$1,Database!$A$1:$C$1,),)=0,#N/A,VLOOKUP(Table7[[#This Row],[Date]],Database!$A:$C,MATCH($B$1,Database!$A$1:$C$1,),))</f>
        <v/>
      </c>
      <c r="C5221">
        <f>IF(VLOOKUP(Table7[[#This Row],[Date]],Database!$A:$C,MATCH($C$1,Database!$A$1:$C$1,),)=0,#N/A,VLOOKUP(Table7[[#This Row],[Date]],Database!$A:$C,MATCH($C$1,Database!$A$1:$C$1,),))</f>
        <v/>
      </c>
      <c r="D5221">
        <f>IFERROR(Table7[[#This Row],[United States 10y]]-Table7[[#This Row],[United States 3y]],#N/A)</f>
        <v/>
      </c>
    </row>
    <row r="5222">
      <c r="A5222" s="6">
        <f>Database!$A7307</f>
        <v/>
      </c>
      <c r="B5222">
        <f>IF(VLOOKUP(Table7[[#This Row],[Date]],Database!$A:$C,MATCH($B$1,Database!$A$1:$C$1,),)=0,#N/A,VLOOKUP(Table7[[#This Row],[Date]],Database!$A:$C,MATCH($B$1,Database!$A$1:$C$1,),))</f>
        <v/>
      </c>
      <c r="C5222">
        <f>IF(VLOOKUP(Table7[[#This Row],[Date]],Database!$A:$C,MATCH($C$1,Database!$A$1:$C$1,),)=0,#N/A,VLOOKUP(Table7[[#This Row],[Date]],Database!$A:$C,MATCH($C$1,Database!$A$1:$C$1,),))</f>
        <v/>
      </c>
      <c r="D5222">
        <f>IFERROR(Table7[[#This Row],[United States 10y]]-Table7[[#This Row],[United States 3y]],#N/A)</f>
        <v/>
      </c>
    </row>
    <row r="5223">
      <c r="A5223" s="6">
        <f>Database!$A7308</f>
        <v/>
      </c>
      <c r="B5223">
        <f>IF(VLOOKUP(Table7[[#This Row],[Date]],Database!$A:$C,MATCH($B$1,Database!$A$1:$C$1,),)=0,#N/A,VLOOKUP(Table7[[#This Row],[Date]],Database!$A:$C,MATCH($B$1,Database!$A$1:$C$1,),))</f>
        <v/>
      </c>
      <c r="C5223">
        <f>IF(VLOOKUP(Table7[[#This Row],[Date]],Database!$A:$C,MATCH($C$1,Database!$A$1:$C$1,),)=0,#N/A,VLOOKUP(Table7[[#This Row],[Date]],Database!$A:$C,MATCH($C$1,Database!$A$1:$C$1,),))</f>
        <v/>
      </c>
      <c r="D5223">
        <f>IFERROR(Table7[[#This Row],[United States 10y]]-Table7[[#This Row],[United States 3y]],#N/A)</f>
        <v/>
      </c>
    </row>
    <row r="5224">
      <c r="A5224" s="6">
        <f>Database!$A7309</f>
        <v/>
      </c>
      <c r="B5224">
        <f>IF(VLOOKUP(Table7[[#This Row],[Date]],Database!$A:$C,MATCH($B$1,Database!$A$1:$C$1,),)=0,#N/A,VLOOKUP(Table7[[#This Row],[Date]],Database!$A:$C,MATCH($B$1,Database!$A$1:$C$1,),))</f>
        <v/>
      </c>
      <c r="C5224">
        <f>IF(VLOOKUP(Table7[[#This Row],[Date]],Database!$A:$C,MATCH($C$1,Database!$A$1:$C$1,),)=0,#N/A,VLOOKUP(Table7[[#This Row],[Date]],Database!$A:$C,MATCH($C$1,Database!$A$1:$C$1,),))</f>
        <v/>
      </c>
      <c r="D5224">
        <f>IFERROR(Table7[[#This Row],[United States 10y]]-Table7[[#This Row],[United States 3y]],#N/A)</f>
        <v/>
      </c>
    </row>
    <row r="5225">
      <c r="A5225" s="6">
        <f>Database!$A7310</f>
        <v/>
      </c>
      <c r="B5225">
        <f>IF(VLOOKUP(Table7[[#This Row],[Date]],Database!$A:$C,MATCH($B$1,Database!$A$1:$C$1,),)=0,#N/A,VLOOKUP(Table7[[#This Row],[Date]],Database!$A:$C,MATCH($B$1,Database!$A$1:$C$1,),))</f>
        <v/>
      </c>
      <c r="C5225">
        <f>IF(VLOOKUP(Table7[[#This Row],[Date]],Database!$A:$C,MATCH($C$1,Database!$A$1:$C$1,),)=0,#N/A,VLOOKUP(Table7[[#This Row],[Date]],Database!$A:$C,MATCH($C$1,Database!$A$1:$C$1,),))</f>
        <v/>
      </c>
      <c r="D5225">
        <f>IFERROR(Table7[[#This Row],[United States 10y]]-Table7[[#This Row],[United States 3y]],#N/A)</f>
        <v/>
      </c>
    </row>
    <row r="5226">
      <c r="A5226" s="6">
        <f>Database!$A7311</f>
        <v/>
      </c>
      <c r="B5226">
        <f>IF(VLOOKUP(Table7[[#This Row],[Date]],Database!$A:$C,MATCH($B$1,Database!$A$1:$C$1,),)=0,#N/A,VLOOKUP(Table7[[#This Row],[Date]],Database!$A:$C,MATCH($B$1,Database!$A$1:$C$1,),))</f>
        <v/>
      </c>
      <c r="C5226">
        <f>IF(VLOOKUP(Table7[[#This Row],[Date]],Database!$A:$C,MATCH($C$1,Database!$A$1:$C$1,),)=0,#N/A,VLOOKUP(Table7[[#This Row],[Date]],Database!$A:$C,MATCH($C$1,Database!$A$1:$C$1,),))</f>
        <v/>
      </c>
      <c r="D5226">
        <f>IFERROR(Table7[[#This Row],[United States 10y]]-Table7[[#This Row],[United States 3y]],#N/A)</f>
        <v/>
      </c>
    </row>
    <row r="5227">
      <c r="A5227" s="6">
        <f>Database!$A7312</f>
        <v/>
      </c>
      <c r="B5227">
        <f>IF(VLOOKUP(Table7[[#This Row],[Date]],Database!$A:$C,MATCH($B$1,Database!$A$1:$C$1,),)=0,#N/A,VLOOKUP(Table7[[#This Row],[Date]],Database!$A:$C,MATCH($B$1,Database!$A$1:$C$1,),))</f>
        <v/>
      </c>
      <c r="C5227">
        <f>IF(VLOOKUP(Table7[[#This Row],[Date]],Database!$A:$C,MATCH($C$1,Database!$A$1:$C$1,),)=0,#N/A,VLOOKUP(Table7[[#This Row],[Date]],Database!$A:$C,MATCH($C$1,Database!$A$1:$C$1,),))</f>
        <v/>
      </c>
      <c r="D5227">
        <f>IFERROR(Table7[[#This Row],[United States 10y]]-Table7[[#This Row],[United States 3y]],#N/A)</f>
        <v/>
      </c>
    </row>
    <row r="5228">
      <c r="A5228" s="6">
        <f>Database!$A7313</f>
        <v/>
      </c>
      <c r="B5228">
        <f>IF(VLOOKUP(Table7[[#This Row],[Date]],Database!$A:$C,MATCH($B$1,Database!$A$1:$C$1,),)=0,#N/A,VLOOKUP(Table7[[#This Row],[Date]],Database!$A:$C,MATCH($B$1,Database!$A$1:$C$1,),))</f>
        <v/>
      </c>
      <c r="C5228">
        <f>IF(VLOOKUP(Table7[[#This Row],[Date]],Database!$A:$C,MATCH($C$1,Database!$A$1:$C$1,),)=0,#N/A,VLOOKUP(Table7[[#This Row],[Date]],Database!$A:$C,MATCH($C$1,Database!$A$1:$C$1,),))</f>
        <v/>
      </c>
      <c r="D5228">
        <f>IFERROR(Table7[[#This Row],[United States 10y]]-Table7[[#This Row],[United States 3y]],#N/A)</f>
        <v/>
      </c>
    </row>
    <row r="5229">
      <c r="A5229" s="6">
        <f>Database!$A7314</f>
        <v/>
      </c>
      <c r="B5229">
        <f>IF(VLOOKUP(Table7[[#This Row],[Date]],Database!$A:$C,MATCH($B$1,Database!$A$1:$C$1,),)=0,#N/A,VLOOKUP(Table7[[#This Row],[Date]],Database!$A:$C,MATCH($B$1,Database!$A$1:$C$1,),))</f>
        <v/>
      </c>
      <c r="C5229">
        <f>IF(VLOOKUP(Table7[[#This Row],[Date]],Database!$A:$C,MATCH($C$1,Database!$A$1:$C$1,),)=0,#N/A,VLOOKUP(Table7[[#This Row],[Date]],Database!$A:$C,MATCH($C$1,Database!$A$1:$C$1,),))</f>
        <v/>
      </c>
      <c r="D5229">
        <f>IFERROR(Table7[[#This Row],[United States 10y]]-Table7[[#This Row],[United States 3y]],#N/A)</f>
        <v/>
      </c>
    </row>
    <row r="5230">
      <c r="A5230" s="6">
        <f>Database!$A7315</f>
        <v/>
      </c>
      <c r="B5230">
        <f>IF(VLOOKUP(Table7[[#This Row],[Date]],Database!$A:$C,MATCH($B$1,Database!$A$1:$C$1,),)=0,#N/A,VLOOKUP(Table7[[#This Row],[Date]],Database!$A:$C,MATCH($B$1,Database!$A$1:$C$1,),))</f>
        <v/>
      </c>
      <c r="C5230">
        <f>IF(VLOOKUP(Table7[[#This Row],[Date]],Database!$A:$C,MATCH($C$1,Database!$A$1:$C$1,),)=0,#N/A,VLOOKUP(Table7[[#This Row],[Date]],Database!$A:$C,MATCH($C$1,Database!$A$1:$C$1,),))</f>
        <v/>
      </c>
      <c r="D5230">
        <f>IFERROR(Table7[[#This Row],[United States 10y]]-Table7[[#This Row],[United States 3y]],#N/A)</f>
        <v/>
      </c>
    </row>
    <row r="5231">
      <c r="A5231" s="6">
        <f>Database!$A7316</f>
        <v/>
      </c>
      <c r="B5231">
        <f>IF(VLOOKUP(Table7[[#This Row],[Date]],Database!$A:$C,MATCH($B$1,Database!$A$1:$C$1,),)=0,#N/A,VLOOKUP(Table7[[#This Row],[Date]],Database!$A:$C,MATCH($B$1,Database!$A$1:$C$1,),))</f>
        <v/>
      </c>
      <c r="C5231">
        <f>IF(VLOOKUP(Table7[[#This Row],[Date]],Database!$A:$C,MATCH($C$1,Database!$A$1:$C$1,),)=0,#N/A,VLOOKUP(Table7[[#This Row],[Date]],Database!$A:$C,MATCH($C$1,Database!$A$1:$C$1,),))</f>
        <v/>
      </c>
      <c r="D5231">
        <f>IFERROR(Table7[[#This Row],[United States 10y]]-Table7[[#This Row],[United States 3y]],#N/A)</f>
        <v/>
      </c>
    </row>
    <row r="5232">
      <c r="A5232" s="6">
        <f>Database!$A7317</f>
        <v/>
      </c>
      <c r="B5232">
        <f>IF(VLOOKUP(Table7[[#This Row],[Date]],Database!$A:$C,MATCH($B$1,Database!$A$1:$C$1,),)=0,#N/A,VLOOKUP(Table7[[#This Row],[Date]],Database!$A:$C,MATCH($B$1,Database!$A$1:$C$1,),))</f>
        <v/>
      </c>
      <c r="C5232">
        <f>IF(VLOOKUP(Table7[[#This Row],[Date]],Database!$A:$C,MATCH($C$1,Database!$A$1:$C$1,),)=0,#N/A,VLOOKUP(Table7[[#This Row],[Date]],Database!$A:$C,MATCH($C$1,Database!$A$1:$C$1,),))</f>
        <v/>
      </c>
      <c r="D5232">
        <f>IFERROR(Table7[[#This Row],[United States 10y]]-Table7[[#This Row],[United States 3y]],#N/A)</f>
        <v/>
      </c>
    </row>
    <row r="5233">
      <c r="A5233" s="6">
        <f>Database!$A7318</f>
        <v/>
      </c>
      <c r="B5233">
        <f>IF(VLOOKUP(Table7[[#This Row],[Date]],Database!$A:$C,MATCH($B$1,Database!$A$1:$C$1,),)=0,#N/A,VLOOKUP(Table7[[#This Row],[Date]],Database!$A:$C,MATCH($B$1,Database!$A$1:$C$1,),))</f>
        <v/>
      </c>
      <c r="C5233">
        <f>IF(VLOOKUP(Table7[[#This Row],[Date]],Database!$A:$C,MATCH($C$1,Database!$A$1:$C$1,),)=0,#N/A,VLOOKUP(Table7[[#This Row],[Date]],Database!$A:$C,MATCH($C$1,Database!$A$1:$C$1,),))</f>
        <v/>
      </c>
      <c r="D5233">
        <f>IFERROR(Table7[[#This Row],[United States 10y]]-Table7[[#This Row],[United States 3y]],#N/A)</f>
        <v/>
      </c>
    </row>
    <row r="5234">
      <c r="A5234" s="6">
        <f>Database!$A7319</f>
        <v/>
      </c>
      <c r="B5234">
        <f>IF(VLOOKUP(Table7[[#This Row],[Date]],Database!$A:$C,MATCH($B$1,Database!$A$1:$C$1,),)=0,#N/A,VLOOKUP(Table7[[#This Row],[Date]],Database!$A:$C,MATCH($B$1,Database!$A$1:$C$1,),))</f>
        <v/>
      </c>
      <c r="C5234">
        <f>IF(VLOOKUP(Table7[[#This Row],[Date]],Database!$A:$C,MATCH($C$1,Database!$A$1:$C$1,),)=0,#N/A,VLOOKUP(Table7[[#This Row],[Date]],Database!$A:$C,MATCH($C$1,Database!$A$1:$C$1,),))</f>
        <v/>
      </c>
      <c r="D5234">
        <f>IFERROR(Table7[[#This Row],[United States 10y]]-Table7[[#This Row],[United States 3y]],#N/A)</f>
        <v/>
      </c>
    </row>
    <row r="5235">
      <c r="A5235" s="6">
        <f>Database!$A7320</f>
        <v/>
      </c>
      <c r="B5235">
        <f>IF(VLOOKUP(Table7[[#This Row],[Date]],Database!$A:$C,MATCH($B$1,Database!$A$1:$C$1,),)=0,#N/A,VLOOKUP(Table7[[#This Row],[Date]],Database!$A:$C,MATCH($B$1,Database!$A$1:$C$1,),))</f>
        <v/>
      </c>
      <c r="C5235">
        <f>IF(VLOOKUP(Table7[[#This Row],[Date]],Database!$A:$C,MATCH($C$1,Database!$A$1:$C$1,),)=0,#N/A,VLOOKUP(Table7[[#This Row],[Date]],Database!$A:$C,MATCH($C$1,Database!$A$1:$C$1,),))</f>
        <v/>
      </c>
      <c r="D5235">
        <f>IFERROR(Table7[[#This Row],[United States 10y]]-Table7[[#This Row],[United States 3y]],#N/A)</f>
        <v/>
      </c>
    </row>
    <row r="5236">
      <c r="A5236" s="6">
        <f>Database!$A7321</f>
        <v/>
      </c>
      <c r="B5236">
        <f>IF(VLOOKUP(Table7[[#This Row],[Date]],Database!$A:$C,MATCH($B$1,Database!$A$1:$C$1,),)=0,#N/A,VLOOKUP(Table7[[#This Row],[Date]],Database!$A:$C,MATCH($B$1,Database!$A$1:$C$1,),))</f>
        <v/>
      </c>
      <c r="C5236">
        <f>IF(VLOOKUP(Table7[[#This Row],[Date]],Database!$A:$C,MATCH($C$1,Database!$A$1:$C$1,),)=0,#N/A,VLOOKUP(Table7[[#This Row],[Date]],Database!$A:$C,MATCH($C$1,Database!$A$1:$C$1,),))</f>
        <v/>
      </c>
      <c r="D5236">
        <f>IFERROR(Table7[[#This Row],[United States 10y]]-Table7[[#This Row],[United States 3y]],#N/A)</f>
        <v/>
      </c>
    </row>
    <row r="5237">
      <c r="A5237" s="6">
        <f>Database!$A7322</f>
        <v/>
      </c>
      <c r="B5237">
        <f>IF(VLOOKUP(Table7[[#This Row],[Date]],Database!$A:$C,MATCH($B$1,Database!$A$1:$C$1,),)=0,#N/A,VLOOKUP(Table7[[#This Row],[Date]],Database!$A:$C,MATCH($B$1,Database!$A$1:$C$1,),))</f>
        <v/>
      </c>
      <c r="C5237">
        <f>IF(VLOOKUP(Table7[[#This Row],[Date]],Database!$A:$C,MATCH($C$1,Database!$A$1:$C$1,),)=0,#N/A,VLOOKUP(Table7[[#This Row],[Date]],Database!$A:$C,MATCH($C$1,Database!$A$1:$C$1,),))</f>
        <v/>
      </c>
      <c r="D5237">
        <f>IFERROR(Table7[[#This Row],[United States 10y]]-Table7[[#This Row],[United States 3y]],#N/A)</f>
        <v/>
      </c>
    </row>
    <row r="5238">
      <c r="A5238" s="6">
        <f>Database!$A7323</f>
        <v/>
      </c>
      <c r="B5238">
        <f>IF(VLOOKUP(Table7[[#This Row],[Date]],Database!$A:$C,MATCH($B$1,Database!$A$1:$C$1,),)=0,#N/A,VLOOKUP(Table7[[#This Row],[Date]],Database!$A:$C,MATCH($B$1,Database!$A$1:$C$1,),))</f>
        <v/>
      </c>
      <c r="C5238">
        <f>IF(VLOOKUP(Table7[[#This Row],[Date]],Database!$A:$C,MATCH($C$1,Database!$A$1:$C$1,),)=0,#N/A,VLOOKUP(Table7[[#This Row],[Date]],Database!$A:$C,MATCH($C$1,Database!$A$1:$C$1,),))</f>
        <v/>
      </c>
      <c r="D5238">
        <f>IFERROR(Table7[[#This Row],[United States 10y]]-Table7[[#This Row],[United States 3y]],#N/A)</f>
        <v/>
      </c>
    </row>
    <row r="5239">
      <c r="A5239" s="6">
        <f>Database!$A7324</f>
        <v/>
      </c>
      <c r="B5239">
        <f>IF(VLOOKUP(Table7[[#This Row],[Date]],Database!$A:$C,MATCH($B$1,Database!$A$1:$C$1,),)=0,#N/A,VLOOKUP(Table7[[#This Row],[Date]],Database!$A:$C,MATCH($B$1,Database!$A$1:$C$1,),))</f>
        <v/>
      </c>
      <c r="C5239">
        <f>IF(VLOOKUP(Table7[[#This Row],[Date]],Database!$A:$C,MATCH($C$1,Database!$A$1:$C$1,),)=0,#N/A,VLOOKUP(Table7[[#This Row],[Date]],Database!$A:$C,MATCH($C$1,Database!$A$1:$C$1,),))</f>
        <v/>
      </c>
      <c r="D5239">
        <f>IFERROR(Table7[[#This Row],[United States 10y]]-Table7[[#This Row],[United States 3y]],#N/A)</f>
        <v/>
      </c>
    </row>
    <row r="5240">
      <c r="A5240" s="6">
        <f>Database!$A7325</f>
        <v/>
      </c>
      <c r="B5240">
        <f>IF(VLOOKUP(Table7[[#This Row],[Date]],Database!$A:$C,MATCH($B$1,Database!$A$1:$C$1,),)=0,#N/A,VLOOKUP(Table7[[#This Row],[Date]],Database!$A:$C,MATCH($B$1,Database!$A$1:$C$1,),))</f>
        <v/>
      </c>
      <c r="C5240">
        <f>IF(VLOOKUP(Table7[[#This Row],[Date]],Database!$A:$C,MATCH($C$1,Database!$A$1:$C$1,),)=0,#N/A,VLOOKUP(Table7[[#This Row],[Date]],Database!$A:$C,MATCH($C$1,Database!$A$1:$C$1,),))</f>
        <v/>
      </c>
      <c r="D5240">
        <f>IFERROR(Table7[[#This Row],[United States 10y]]-Table7[[#This Row],[United States 3y]],#N/A)</f>
        <v/>
      </c>
    </row>
    <row r="5241">
      <c r="A5241" s="6">
        <f>Database!$A7326</f>
        <v/>
      </c>
      <c r="B5241">
        <f>IF(VLOOKUP(Table7[[#This Row],[Date]],Database!$A:$C,MATCH($B$1,Database!$A$1:$C$1,),)=0,#N/A,VLOOKUP(Table7[[#This Row],[Date]],Database!$A:$C,MATCH($B$1,Database!$A$1:$C$1,),))</f>
        <v/>
      </c>
      <c r="C5241">
        <f>IF(VLOOKUP(Table7[[#This Row],[Date]],Database!$A:$C,MATCH($C$1,Database!$A$1:$C$1,),)=0,#N/A,VLOOKUP(Table7[[#This Row],[Date]],Database!$A:$C,MATCH($C$1,Database!$A$1:$C$1,),))</f>
        <v/>
      </c>
      <c r="D5241">
        <f>IFERROR(Table7[[#This Row],[United States 10y]]-Table7[[#This Row],[United States 3y]],#N/A)</f>
        <v/>
      </c>
    </row>
    <row r="5242">
      <c r="A5242" s="6">
        <f>Database!$A7327</f>
        <v/>
      </c>
      <c r="B5242">
        <f>IF(VLOOKUP(Table7[[#This Row],[Date]],Database!$A:$C,MATCH($B$1,Database!$A$1:$C$1,),)=0,#N/A,VLOOKUP(Table7[[#This Row],[Date]],Database!$A:$C,MATCH($B$1,Database!$A$1:$C$1,),))</f>
        <v/>
      </c>
      <c r="C5242">
        <f>IF(VLOOKUP(Table7[[#This Row],[Date]],Database!$A:$C,MATCH($C$1,Database!$A$1:$C$1,),)=0,#N/A,VLOOKUP(Table7[[#This Row],[Date]],Database!$A:$C,MATCH($C$1,Database!$A$1:$C$1,),))</f>
        <v/>
      </c>
      <c r="D5242">
        <f>IFERROR(Table7[[#This Row],[United States 10y]]-Table7[[#This Row],[United States 3y]],#N/A)</f>
        <v/>
      </c>
    </row>
    <row r="5243">
      <c r="A5243" s="6">
        <f>Database!$A7328</f>
        <v/>
      </c>
      <c r="B5243">
        <f>IF(VLOOKUP(Table7[[#This Row],[Date]],Database!$A:$C,MATCH($B$1,Database!$A$1:$C$1,),)=0,#N/A,VLOOKUP(Table7[[#This Row],[Date]],Database!$A:$C,MATCH($B$1,Database!$A$1:$C$1,),))</f>
        <v/>
      </c>
      <c r="C5243">
        <f>IF(VLOOKUP(Table7[[#This Row],[Date]],Database!$A:$C,MATCH($C$1,Database!$A$1:$C$1,),)=0,#N/A,VLOOKUP(Table7[[#This Row],[Date]],Database!$A:$C,MATCH($C$1,Database!$A$1:$C$1,),))</f>
        <v/>
      </c>
      <c r="D5243">
        <f>IFERROR(Table7[[#This Row],[United States 10y]]-Table7[[#This Row],[United States 3y]],#N/A)</f>
        <v/>
      </c>
    </row>
    <row r="5244">
      <c r="A5244" s="6">
        <f>Database!$A7329</f>
        <v/>
      </c>
      <c r="B5244">
        <f>IF(VLOOKUP(Table7[[#This Row],[Date]],Database!$A:$C,MATCH($B$1,Database!$A$1:$C$1,),)=0,#N/A,VLOOKUP(Table7[[#This Row],[Date]],Database!$A:$C,MATCH($B$1,Database!$A$1:$C$1,),))</f>
        <v/>
      </c>
      <c r="C5244">
        <f>IF(VLOOKUP(Table7[[#This Row],[Date]],Database!$A:$C,MATCH($C$1,Database!$A$1:$C$1,),)=0,#N/A,VLOOKUP(Table7[[#This Row],[Date]],Database!$A:$C,MATCH($C$1,Database!$A$1:$C$1,),))</f>
        <v/>
      </c>
      <c r="D5244">
        <f>IFERROR(Table7[[#This Row],[United States 10y]]-Table7[[#This Row],[United States 3y]],#N/A)</f>
        <v/>
      </c>
    </row>
    <row r="5245">
      <c r="A5245" s="6">
        <f>Database!$A7330</f>
        <v/>
      </c>
      <c r="B5245">
        <f>IF(VLOOKUP(Table7[[#This Row],[Date]],Database!$A:$C,MATCH($B$1,Database!$A$1:$C$1,),)=0,#N/A,VLOOKUP(Table7[[#This Row],[Date]],Database!$A:$C,MATCH($B$1,Database!$A$1:$C$1,),))</f>
        <v/>
      </c>
      <c r="C5245">
        <f>IF(VLOOKUP(Table7[[#This Row],[Date]],Database!$A:$C,MATCH($C$1,Database!$A$1:$C$1,),)=0,#N/A,VLOOKUP(Table7[[#This Row],[Date]],Database!$A:$C,MATCH($C$1,Database!$A$1:$C$1,),))</f>
        <v/>
      </c>
      <c r="D5245">
        <f>IFERROR(Table7[[#This Row],[United States 10y]]-Table7[[#This Row],[United States 3y]],#N/A)</f>
        <v/>
      </c>
    </row>
    <row r="5246">
      <c r="A5246" s="6">
        <f>Database!$A7331</f>
        <v/>
      </c>
      <c r="B5246">
        <f>IF(VLOOKUP(Table7[[#This Row],[Date]],Database!$A:$C,MATCH($B$1,Database!$A$1:$C$1,),)=0,#N/A,VLOOKUP(Table7[[#This Row],[Date]],Database!$A:$C,MATCH($B$1,Database!$A$1:$C$1,),))</f>
        <v/>
      </c>
      <c r="C5246">
        <f>IF(VLOOKUP(Table7[[#This Row],[Date]],Database!$A:$C,MATCH($C$1,Database!$A$1:$C$1,),)=0,#N/A,VLOOKUP(Table7[[#This Row],[Date]],Database!$A:$C,MATCH($C$1,Database!$A$1:$C$1,),))</f>
        <v/>
      </c>
      <c r="D5246">
        <f>IFERROR(Table7[[#This Row],[United States 10y]]-Table7[[#This Row],[United States 3y]],#N/A)</f>
        <v/>
      </c>
    </row>
    <row r="5247">
      <c r="A5247" s="6">
        <f>Database!$A7332</f>
        <v/>
      </c>
      <c r="B5247">
        <f>IF(VLOOKUP(Table7[[#This Row],[Date]],Database!$A:$C,MATCH($B$1,Database!$A$1:$C$1,),)=0,#N/A,VLOOKUP(Table7[[#This Row],[Date]],Database!$A:$C,MATCH($B$1,Database!$A$1:$C$1,),))</f>
        <v/>
      </c>
      <c r="C5247">
        <f>IF(VLOOKUP(Table7[[#This Row],[Date]],Database!$A:$C,MATCH($C$1,Database!$A$1:$C$1,),)=0,#N/A,VLOOKUP(Table7[[#This Row],[Date]],Database!$A:$C,MATCH($C$1,Database!$A$1:$C$1,),))</f>
        <v/>
      </c>
      <c r="D5247">
        <f>IFERROR(Table7[[#This Row],[United States 10y]]-Table7[[#This Row],[United States 3y]],#N/A)</f>
        <v/>
      </c>
    </row>
    <row r="5248">
      <c r="A5248" s="6">
        <f>Database!$A7333</f>
        <v/>
      </c>
      <c r="B5248">
        <f>IF(VLOOKUP(Table7[[#This Row],[Date]],Database!$A:$C,MATCH($B$1,Database!$A$1:$C$1,),)=0,#N/A,VLOOKUP(Table7[[#This Row],[Date]],Database!$A:$C,MATCH($B$1,Database!$A$1:$C$1,),))</f>
        <v/>
      </c>
      <c r="C5248">
        <f>IF(VLOOKUP(Table7[[#This Row],[Date]],Database!$A:$C,MATCH($C$1,Database!$A$1:$C$1,),)=0,#N/A,VLOOKUP(Table7[[#This Row],[Date]],Database!$A:$C,MATCH($C$1,Database!$A$1:$C$1,),))</f>
        <v/>
      </c>
      <c r="D5248">
        <f>IFERROR(Table7[[#This Row],[United States 10y]]-Table7[[#This Row],[United States 3y]],#N/A)</f>
        <v/>
      </c>
    </row>
    <row r="5249">
      <c r="A5249" s="6">
        <f>Database!$A7334</f>
        <v/>
      </c>
      <c r="B5249">
        <f>IF(VLOOKUP(Table7[[#This Row],[Date]],Database!$A:$C,MATCH($B$1,Database!$A$1:$C$1,),)=0,#N/A,VLOOKUP(Table7[[#This Row],[Date]],Database!$A:$C,MATCH($B$1,Database!$A$1:$C$1,),))</f>
        <v/>
      </c>
      <c r="C5249">
        <f>IF(VLOOKUP(Table7[[#This Row],[Date]],Database!$A:$C,MATCH($C$1,Database!$A$1:$C$1,),)=0,#N/A,VLOOKUP(Table7[[#This Row],[Date]],Database!$A:$C,MATCH($C$1,Database!$A$1:$C$1,),))</f>
        <v/>
      </c>
      <c r="D5249">
        <f>IFERROR(Table7[[#This Row],[United States 10y]]-Table7[[#This Row],[United States 3y]],#N/A)</f>
        <v/>
      </c>
    </row>
    <row r="5250">
      <c r="A5250" s="6">
        <f>Database!$A7335</f>
        <v/>
      </c>
      <c r="B5250">
        <f>IF(VLOOKUP(Table7[[#This Row],[Date]],Database!$A:$C,MATCH($B$1,Database!$A$1:$C$1,),)=0,#N/A,VLOOKUP(Table7[[#This Row],[Date]],Database!$A:$C,MATCH($B$1,Database!$A$1:$C$1,),))</f>
        <v/>
      </c>
      <c r="C5250">
        <f>IF(VLOOKUP(Table7[[#This Row],[Date]],Database!$A:$C,MATCH($C$1,Database!$A$1:$C$1,),)=0,#N/A,VLOOKUP(Table7[[#This Row],[Date]],Database!$A:$C,MATCH($C$1,Database!$A$1:$C$1,),))</f>
        <v/>
      </c>
      <c r="D5250">
        <f>IFERROR(Table7[[#This Row],[United States 10y]]-Table7[[#This Row],[United States 3y]],#N/A)</f>
        <v/>
      </c>
    </row>
    <row r="5251">
      <c r="A5251" s="6">
        <f>Database!$A7336</f>
        <v/>
      </c>
      <c r="B5251">
        <f>IF(VLOOKUP(Table7[[#This Row],[Date]],Database!$A:$C,MATCH($B$1,Database!$A$1:$C$1,),)=0,#N/A,VLOOKUP(Table7[[#This Row],[Date]],Database!$A:$C,MATCH($B$1,Database!$A$1:$C$1,),))</f>
        <v/>
      </c>
      <c r="C5251">
        <f>IF(VLOOKUP(Table7[[#This Row],[Date]],Database!$A:$C,MATCH($C$1,Database!$A$1:$C$1,),)=0,#N/A,VLOOKUP(Table7[[#This Row],[Date]],Database!$A:$C,MATCH($C$1,Database!$A$1:$C$1,),))</f>
        <v/>
      </c>
      <c r="D5251">
        <f>IFERROR(Table7[[#This Row],[United States 10y]]-Table7[[#This Row],[United States 3y]],#N/A)</f>
        <v/>
      </c>
    </row>
    <row r="5252">
      <c r="A5252" s="6">
        <f>Database!$A7337</f>
        <v/>
      </c>
      <c r="B5252">
        <f>IF(VLOOKUP(Table7[[#This Row],[Date]],Database!$A:$C,MATCH($B$1,Database!$A$1:$C$1,),)=0,#N/A,VLOOKUP(Table7[[#This Row],[Date]],Database!$A:$C,MATCH($B$1,Database!$A$1:$C$1,),))</f>
        <v/>
      </c>
      <c r="C5252">
        <f>IF(VLOOKUP(Table7[[#This Row],[Date]],Database!$A:$C,MATCH($C$1,Database!$A$1:$C$1,),)=0,#N/A,VLOOKUP(Table7[[#This Row],[Date]],Database!$A:$C,MATCH($C$1,Database!$A$1:$C$1,),))</f>
        <v/>
      </c>
      <c r="D5252">
        <f>IFERROR(Table7[[#This Row],[United States 10y]]-Table7[[#This Row],[United States 3y]],#N/A)</f>
        <v/>
      </c>
    </row>
    <row r="5253">
      <c r="A5253" s="6">
        <f>Database!$A7338</f>
        <v/>
      </c>
      <c r="B5253">
        <f>IF(VLOOKUP(Table7[[#This Row],[Date]],Database!$A:$C,MATCH($B$1,Database!$A$1:$C$1,),)=0,#N/A,VLOOKUP(Table7[[#This Row],[Date]],Database!$A:$C,MATCH($B$1,Database!$A$1:$C$1,),))</f>
        <v/>
      </c>
      <c r="C5253">
        <f>IF(VLOOKUP(Table7[[#This Row],[Date]],Database!$A:$C,MATCH($C$1,Database!$A$1:$C$1,),)=0,#N/A,VLOOKUP(Table7[[#This Row],[Date]],Database!$A:$C,MATCH($C$1,Database!$A$1:$C$1,),))</f>
        <v/>
      </c>
      <c r="D5253">
        <f>IFERROR(Table7[[#This Row],[United States 10y]]-Table7[[#This Row],[United States 3y]],#N/A)</f>
        <v/>
      </c>
    </row>
    <row r="5254">
      <c r="A5254" s="6">
        <f>Database!$A7339</f>
        <v/>
      </c>
      <c r="B5254">
        <f>IF(VLOOKUP(Table7[[#This Row],[Date]],Database!$A:$C,MATCH($B$1,Database!$A$1:$C$1,),)=0,#N/A,VLOOKUP(Table7[[#This Row],[Date]],Database!$A:$C,MATCH($B$1,Database!$A$1:$C$1,),))</f>
        <v/>
      </c>
      <c r="C5254">
        <f>IF(VLOOKUP(Table7[[#This Row],[Date]],Database!$A:$C,MATCH($C$1,Database!$A$1:$C$1,),)=0,#N/A,VLOOKUP(Table7[[#This Row],[Date]],Database!$A:$C,MATCH($C$1,Database!$A$1:$C$1,),))</f>
        <v/>
      </c>
      <c r="D5254">
        <f>IFERROR(Table7[[#This Row],[United States 10y]]-Table7[[#This Row],[United States 3y]],#N/A)</f>
        <v/>
      </c>
    </row>
    <row r="5255">
      <c r="A5255" s="6">
        <f>Database!$A7340</f>
        <v/>
      </c>
      <c r="B5255">
        <f>IF(VLOOKUP(Table7[[#This Row],[Date]],Database!$A:$C,MATCH($B$1,Database!$A$1:$C$1,),)=0,#N/A,VLOOKUP(Table7[[#This Row],[Date]],Database!$A:$C,MATCH($B$1,Database!$A$1:$C$1,),))</f>
        <v/>
      </c>
      <c r="C5255">
        <f>IF(VLOOKUP(Table7[[#This Row],[Date]],Database!$A:$C,MATCH($C$1,Database!$A$1:$C$1,),)=0,#N/A,VLOOKUP(Table7[[#This Row],[Date]],Database!$A:$C,MATCH($C$1,Database!$A$1:$C$1,),))</f>
        <v/>
      </c>
      <c r="D5255">
        <f>IFERROR(Table7[[#This Row],[United States 10y]]-Table7[[#This Row],[United States 3y]],#N/A)</f>
        <v/>
      </c>
    </row>
    <row r="5256">
      <c r="A5256" s="6">
        <f>Database!$A7341</f>
        <v/>
      </c>
      <c r="B5256">
        <f>IF(VLOOKUP(Table7[[#This Row],[Date]],Database!$A:$C,MATCH($B$1,Database!$A$1:$C$1,),)=0,#N/A,VLOOKUP(Table7[[#This Row],[Date]],Database!$A:$C,MATCH($B$1,Database!$A$1:$C$1,),))</f>
        <v/>
      </c>
      <c r="C5256">
        <f>IF(VLOOKUP(Table7[[#This Row],[Date]],Database!$A:$C,MATCH($C$1,Database!$A$1:$C$1,),)=0,#N/A,VLOOKUP(Table7[[#This Row],[Date]],Database!$A:$C,MATCH($C$1,Database!$A$1:$C$1,),))</f>
        <v/>
      </c>
      <c r="D5256">
        <f>IFERROR(Table7[[#This Row],[United States 10y]]-Table7[[#This Row],[United States 3y]],#N/A)</f>
        <v/>
      </c>
    </row>
    <row r="5257">
      <c r="A5257" s="6">
        <f>Database!$A7342</f>
        <v/>
      </c>
      <c r="B5257">
        <f>IF(VLOOKUP(Table7[[#This Row],[Date]],Database!$A:$C,MATCH($B$1,Database!$A$1:$C$1,),)=0,#N/A,VLOOKUP(Table7[[#This Row],[Date]],Database!$A:$C,MATCH($B$1,Database!$A$1:$C$1,),))</f>
        <v/>
      </c>
      <c r="C5257">
        <f>IF(VLOOKUP(Table7[[#This Row],[Date]],Database!$A:$C,MATCH($C$1,Database!$A$1:$C$1,),)=0,#N/A,VLOOKUP(Table7[[#This Row],[Date]],Database!$A:$C,MATCH($C$1,Database!$A$1:$C$1,),))</f>
        <v/>
      </c>
      <c r="D5257">
        <f>IFERROR(Table7[[#This Row],[United States 10y]]-Table7[[#This Row],[United States 3y]],#N/A)</f>
        <v/>
      </c>
    </row>
    <row r="5258">
      <c r="A5258" s="6">
        <f>Database!$A7343</f>
        <v/>
      </c>
      <c r="B5258">
        <f>IF(VLOOKUP(Table7[[#This Row],[Date]],Database!$A:$C,MATCH($B$1,Database!$A$1:$C$1,),)=0,#N/A,VLOOKUP(Table7[[#This Row],[Date]],Database!$A:$C,MATCH($B$1,Database!$A$1:$C$1,),))</f>
        <v/>
      </c>
      <c r="C5258">
        <f>IF(VLOOKUP(Table7[[#This Row],[Date]],Database!$A:$C,MATCH($C$1,Database!$A$1:$C$1,),)=0,#N/A,VLOOKUP(Table7[[#This Row],[Date]],Database!$A:$C,MATCH($C$1,Database!$A$1:$C$1,),))</f>
        <v/>
      </c>
      <c r="D5258">
        <f>IFERROR(Table7[[#This Row],[United States 10y]]-Table7[[#This Row],[United States 3y]],#N/A)</f>
        <v/>
      </c>
    </row>
    <row r="5259">
      <c r="A5259" s="6">
        <f>Database!$A7344</f>
        <v/>
      </c>
      <c r="B5259">
        <f>IF(VLOOKUP(Table7[[#This Row],[Date]],Database!$A:$C,MATCH($B$1,Database!$A$1:$C$1,),)=0,#N/A,VLOOKUP(Table7[[#This Row],[Date]],Database!$A:$C,MATCH($B$1,Database!$A$1:$C$1,),))</f>
        <v/>
      </c>
      <c r="C5259">
        <f>IF(VLOOKUP(Table7[[#This Row],[Date]],Database!$A:$C,MATCH($C$1,Database!$A$1:$C$1,),)=0,#N/A,VLOOKUP(Table7[[#This Row],[Date]],Database!$A:$C,MATCH($C$1,Database!$A$1:$C$1,),))</f>
        <v/>
      </c>
      <c r="D5259">
        <f>IFERROR(Table7[[#This Row],[United States 10y]]-Table7[[#This Row],[United States 3y]],#N/A)</f>
        <v/>
      </c>
    </row>
    <row r="5260">
      <c r="A5260" s="6">
        <f>Database!$A7345</f>
        <v/>
      </c>
      <c r="B5260">
        <f>IF(VLOOKUP(Table7[[#This Row],[Date]],Database!$A:$C,MATCH($B$1,Database!$A$1:$C$1,),)=0,#N/A,VLOOKUP(Table7[[#This Row],[Date]],Database!$A:$C,MATCH($B$1,Database!$A$1:$C$1,),))</f>
        <v/>
      </c>
      <c r="C5260">
        <f>IF(VLOOKUP(Table7[[#This Row],[Date]],Database!$A:$C,MATCH($C$1,Database!$A$1:$C$1,),)=0,#N/A,VLOOKUP(Table7[[#This Row],[Date]],Database!$A:$C,MATCH($C$1,Database!$A$1:$C$1,),))</f>
        <v/>
      </c>
      <c r="D5260">
        <f>IFERROR(Table7[[#This Row],[United States 10y]]-Table7[[#This Row],[United States 3y]],#N/A)</f>
        <v/>
      </c>
    </row>
    <row r="5261">
      <c r="A5261" s="6">
        <f>Database!$A7346</f>
        <v/>
      </c>
      <c r="B5261">
        <f>IF(VLOOKUP(Table7[[#This Row],[Date]],Database!$A:$C,MATCH($B$1,Database!$A$1:$C$1,),)=0,#N/A,VLOOKUP(Table7[[#This Row],[Date]],Database!$A:$C,MATCH($B$1,Database!$A$1:$C$1,),))</f>
        <v/>
      </c>
      <c r="C5261">
        <f>IF(VLOOKUP(Table7[[#This Row],[Date]],Database!$A:$C,MATCH($C$1,Database!$A$1:$C$1,),)=0,#N/A,VLOOKUP(Table7[[#This Row],[Date]],Database!$A:$C,MATCH($C$1,Database!$A$1:$C$1,),))</f>
        <v/>
      </c>
      <c r="D5261">
        <f>IFERROR(Table7[[#This Row],[United States 10y]]-Table7[[#This Row],[United States 3y]],#N/A)</f>
        <v/>
      </c>
    </row>
    <row r="5262">
      <c r="A5262" s="6">
        <f>Database!$A7347</f>
        <v/>
      </c>
      <c r="B5262">
        <f>IF(VLOOKUP(Table7[[#This Row],[Date]],Database!$A:$C,MATCH($B$1,Database!$A$1:$C$1,),)=0,#N/A,VLOOKUP(Table7[[#This Row],[Date]],Database!$A:$C,MATCH($B$1,Database!$A$1:$C$1,),))</f>
        <v/>
      </c>
      <c r="C5262">
        <f>IF(VLOOKUP(Table7[[#This Row],[Date]],Database!$A:$C,MATCH($C$1,Database!$A$1:$C$1,),)=0,#N/A,VLOOKUP(Table7[[#This Row],[Date]],Database!$A:$C,MATCH($C$1,Database!$A$1:$C$1,),))</f>
        <v/>
      </c>
      <c r="D5262">
        <f>IFERROR(Table7[[#This Row],[United States 10y]]-Table7[[#This Row],[United States 3y]],#N/A)</f>
        <v/>
      </c>
    </row>
    <row r="5263">
      <c r="A5263" s="6">
        <f>Database!$A7348</f>
        <v/>
      </c>
      <c r="B5263">
        <f>IF(VLOOKUP(Table7[[#This Row],[Date]],Database!$A:$C,MATCH($B$1,Database!$A$1:$C$1,),)=0,#N/A,VLOOKUP(Table7[[#This Row],[Date]],Database!$A:$C,MATCH($B$1,Database!$A$1:$C$1,),))</f>
        <v/>
      </c>
      <c r="C5263">
        <f>IF(VLOOKUP(Table7[[#This Row],[Date]],Database!$A:$C,MATCH($C$1,Database!$A$1:$C$1,),)=0,#N/A,VLOOKUP(Table7[[#This Row],[Date]],Database!$A:$C,MATCH($C$1,Database!$A$1:$C$1,),))</f>
        <v/>
      </c>
      <c r="D5263">
        <f>IFERROR(Table7[[#This Row],[United States 10y]]-Table7[[#This Row],[United States 3y]],#N/A)</f>
        <v/>
      </c>
    </row>
    <row r="5264">
      <c r="A5264" s="6">
        <f>Database!$A7349</f>
        <v/>
      </c>
      <c r="B5264">
        <f>IF(VLOOKUP(Table7[[#This Row],[Date]],Database!$A:$C,MATCH($B$1,Database!$A$1:$C$1,),)=0,#N/A,VLOOKUP(Table7[[#This Row],[Date]],Database!$A:$C,MATCH($B$1,Database!$A$1:$C$1,),))</f>
        <v/>
      </c>
      <c r="C5264">
        <f>IF(VLOOKUP(Table7[[#This Row],[Date]],Database!$A:$C,MATCH($C$1,Database!$A$1:$C$1,),)=0,#N/A,VLOOKUP(Table7[[#This Row],[Date]],Database!$A:$C,MATCH($C$1,Database!$A$1:$C$1,),))</f>
        <v/>
      </c>
      <c r="D5264">
        <f>IFERROR(Table7[[#This Row],[United States 10y]]-Table7[[#This Row],[United States 3y]],#N/A)</f>
        <v/>
      </c>
    </row>
    <row r="5265">
      <c r="A5265" s="6">
        <f>Database!$A7350</f>
        <v/>
      </c>
      <c r="B5265">
        <f>IF(VLOOKUP(Table7[[#This Row],[Date]],Database!$A:$C,MATCH($B$1,Database!$A$1:$C$1,),)=0,#N/A,VLOOKUP(Table7[[#This Row],[Date]],Database!$A:$C,MATCH($B$1,Database!$A$1:$C$1,),))</f>
        <v/>
      </c>
      <c r="C5265">
        <f>IF(VLOOKUP(Table7[[#This Row],[Date]],Database!$A:$C,MATCH($C$1,Database!$A$1:$C$1,),)=0,#N/A,VLOOKUP(Table7[[#This Row],[Date]],Database!$A:$C,MATCH($C$1,Database!$A$1:$C$1,),))</f>
        <v/>
      </c>
      <c r="D5265">
        <f>IFERROR(Table7[[#This Row],[United States 10y]]-Table7[[#This Row],[United States 3y]],#N/A)</f>
        <v/>
      </c>
    </row>
    <row r="5266">
      <c r="A5266" s="6">
        <f>Database!$A7351</f>
        <v/>
      </c>
      <c r="B5266">
        <f>IF(VLOOKUP(Table7[[#This Row],[Date]],Database!$A:$C,MATCH($B$1,Database!$A$1:$C$1,),)=0,#N/A,VLOOKUP(Table7[[#This Row],[Date]],Database!$A:$C,MATCH($B$1,Database!$A$1:$C$1,),))</f>
        <v/>
      </c>
      <c r="C5266">
        <f>IF(VLOOKUP(Table7[[#This Row],[Date]],Database!$A:$C,MATCH($C$1,Database!$A$1:$C$1,),)=0,#N/A,VLOOKUP(Table7[[#This Row],[Date]],Database!$A:$C,MATCH($C$1,Database!$A$1:$C$1,),))</f>
        <v/>
      </c>
      <c r="D5266">
        <f>IFERROR(Table7[[#This Row],[United States 10y]]-Table7[[#This Row],[United States 3y]],#N/A)</f>
        <v/>
      </c>
    </row>
    <row r="5267">
      <c r="A5267" s="6">
        <f>Database!$A7352</f>
        <v/>
      </c>
      <c r="B5267">
        <f>IF(VLOOKUP(Table7[[#This Row],[Date]],Database!$A:$C,MATCH($B$1,Database!$A$1:$C$1,),)=0,#N/A,VLOOKUP(Table7[[#This Row],[Date]],Database!$A:$C,MATCH($B$1,Database!$A$1:$C$1,),))</f>
        <v/>
      </c>
      <c r="C5267">
        <f>IF(VLOOKUP(Table7[[#This Row],[Date]],Database!$A:$C,MATCH($C$1,Database!$A$1:$C$1,),)=0,#N/A,VLOOKUP(Table7[[#This Row],[Date]],Database!$A:$C,MATCH($C$1,Database!$A$1:$C$1,),))</f>
        <v/>
      </c>
      <c r="D5267">
        <f>IFERROR(Table7[[#This Row],[United States 10y]]-Table7[[#This Row],[United States 3y]],#N/A)</f>
        <v/>
      </c>
    </row>
    <row r="5268">
      <c r="A5268" s="6">
        <f>Database!$A7353</f>
        <v/>
      </c>
      <c r="B5268">
        <f>IF(VLOOKUP(Table7[[#This Row],[Date]],Database!$A:$C,MATCH($B$1,Database!$A$1:$C$1,),)=0,#N/A,VLOOKUP(Table7[[#This Row],[Date]],Database!$A:$C,MATCH($B$1,Database!$A$1:$C$1,),))</f>
        <v/>
      </c>
      <c r="C5268">
        <f>IF(VLOOKUP(Table7[[#This Row],[Date]],Database!$A:$C,MATCH($C$1,Database!$A$1:$C$1,),)=0,#N/A,VLOOKUP(Table7[[#This Row],[Date]],Database!$A:$C,MATCH($C$1,Database!$A$1:$C$1,),))</f>
        <v/>
      </c>
      <c r="D5268">
        <f>IFERROR(Table7[[#This Row],[United States 10y]]-Table7[[#This Row],[United States 3y]],#N/A)</f>
        <v/>
      </c>
    </row>
    <row r="5269">
      <c r="A5269" s="6">
        <f>Database!$A7354</f>
        <v/>
      </c>
      <c r="B5269">
        <f>IF(VLOOKUP(Table7[[#This Row],[Date]],Database!$A:$C,MATCH($B$1,Database!$A$1:$C$1,),)=0,#N/A,VLOOKUP(Table7[[#This Row],[Date]],Database!$A:$C,MATCH($B$1,Database!$A$1:$C$1,),))</f>
        <v/>
      </c>
      <c r="C5269">
        <f>IF(VLOOKUP(Table7[[#This Row],[Date]],Database!$A:$C,MATCH($C$1,Database!$A$1:$C$1,),)=0,#N/A,VLOOKUP(Table7[[#This Row],[Date]],Database!$A:$C,MATCH($C$1,Database!$A$1:$C$1,),))</f>
        <v/>
      </c>
      <c r="D5269">
        <f>IFERROR(Table7[[#This Row],[United States 10y]]-Table7[[#This Row],[United States 3y]],#N/A)</f>
        <v/>
      </c>
    </row>
    <row r="5270">
      <c r="A5270" s="6">
        <f>Database!$A7355</f>
        <v/>
      </c>
      <c r="B5270">
        <f>IF(VLOOKUP(Table7[[#This Row],[Date]],Database!$A:$C,MATCH($B$1,Database!$A$1:$C$1,),)=0,#N/A,VLOOKUP(Table7[[#This Row],[Date]],Database!$A:$C,MATCH($B$1,Database!$A$1:$C$1,),))</f>
        <v/>
      </c>
      <c r="C5270">
        <f>IF(VLOOKUP(Table7[[#This Row],[Date]],Database!$A:$C,MATCH($C$1,Database!$A$1:$C$1,),)=0,#N/A,VLOOKUP(Table7[[#This Row],[Date]],Database!$A:$C,MATCH($C$1,Database!$A$1:$C$1,),))</f>
        <v/>
      </c>
      <c r="D5270">
        <f>IFERROR(Table7[[#This Row],[United States 10y]]-Table7[[#This Row],[United States 3y]],#N/A)</f>
        <v/>
      </c>
    </row>
    <row r="5271">
      <c r="A5271" s="6">
        <f>Database!$A7356</f>
        <v/>
      </c>
      <c r="B5271">
        <f>IF(VLOOKUP(Table7[[#This Row],[Date]],Database!$A:$C,MATCH($B$1,Database!$A$1:$C$1,),)=0,#N/A,VLOOKUP(Table7[[#This Row],[Date]],Database!$A:$C,MATCH($B$1,Database!$A$1:$C$1,),))</f>
        <v/>
      </c>
      <c r="C5271">
        <f>IF(VLOOKUP(Table7[[#This Row],[Date]],Database!$A:$C,MATCH($C$1,Database!$A$1:$C$1,),)=0,#N/A,VLOOKUP(Table7[[#This Row],[Date]],Database!$A:$C,MATCH($C$1,Database!$A$1:$C$1,),))</f>
        <v/>
      </c>
      <c r="D5271">
        <f>IFERROR(Table7[[#This Row],[United States 10y]]-Table7[[#This Row],[United States 3y]],#N/A)</f>
        <v/>
      </c>
    </row>
    <row r="5272">
      <c r="A5272" s="6">
        <f>Database!$A7357</f>
        <v/>
      </c>
      <c r="B5272">
        <f>IF(VLOOKUP(Table7[[#This Row],[Date]],Database!$A:$C,MATCH($B$1,Database!$A$1:$C$1,),)=0,#N/A,VLOOKUP(Table7[[#This Row],[Date]],Database!$A:$C,MATCH($B$1,Database!$A$1:$C$1,),))</f>
        <v/>
      </c>
      <c r="C5272">
        <f>IF(VLOOKUP(Table7[[#This Row],[Date]],Database!$A:$C,MATCH($C$1,Database!$A$1:$C$1,),)=0,#N/A,VLOOKUP(Table7[[#This Row],[Date]],Database!$A:$C,MATCH($C$1,Database!$A$1:$C$1,),))</f>
        <v/>
      </c>
      <c r="D5272">
        <f>IFERROR(Table7[[#This Row],[United States 10y]]-Table7[[#This Row],[United States 3y]],#N/A)</f>
        <v/>
      </c>
    </row>
    <row r="5273">
      <c r="A5273" s="6">
        <f>Database!$A7358</f>
        <v/>
      </c>
      <c r="B5273">
        <f>IF(VLOOKUP(Table7[[#This Row],[Date]],Database!$A:$C,MATCH($B$1,Database!$A$1:$C$1,),)=0,#N/A,VLOOKUP(Table7[[#This Row],[Date]],Database!$A:$C,MATCH($B$1,Database!$A$1:$C$1,),))</f>
        <v/>
      </c>
      <c r="C5273">
        <f>IF(VLOOKUP(Table7[[#This Row],[Date]],Database!$A:$C,MATCH($C$1,Database!$A$1:$C$1,),)=0,#N/A,VLOOKUP(Table7[[#This Row],[Date]],Database!$A:$C,MATCH($C$1,Database!$A$1:$C$1,),))</f>
        <v/>
      </c>
      <c r="D5273">
        <f>IFERROR(Table7[[#This Row],[United States 10y]]-Table7[[#This Row],[United States 3y]],#N/A)</f>
        <v/>
      </c>
    </row>
    <row r="5274">
      <c r="A5274" s="6">
        <f>Database!$A7359</f>
        <v/>
      </c>
      <c r="B5274">
        <f>IF(VLOOKUP(Table7[[#This Row],[Date]],Database!$A:$C,MATCH($B$1,Database!$A$1:$C$1,),)=0,#N/A,VLOOKUP(Table7[[#This Row],[Date]],Database!$A:$C,MATCH($B$1,Database!$A$1:$C$1,),))</f>
        <v/>
      </c>
      <c r="C5274">
        <f>IF(VLOOKUP(Table7[[#This Row],[Date]],Database!$A:$C,MATCH($C$1,Database!$A$1:$C$1,),)=0,#N/A,VLOOKUP(Table7[[#This Row],[Date]],Database!$A:$C,MATCH($C$1,Database!$A$1:$C$1,),))</f>
        <v/>
      </c>
      <c r="D5274">
        <f>IFERROR(Table7[[#This Row],[United States 10y]]-Table7[[#This Row],[United States 3y]],#N/A)</f>
        <v/>
      </c>
    </row>
    <row r="5275">
      <c r="A5275" s="6">
        <f>Database!$A7360</f>
        <v/>
      </c>
      <c r="B5275">
        <f>IF(VLOOKUP(Table7[[#This Row],[Date]],Database!$A:$C,MATCH($B$1,Database!$A$1:$C$1,),)=0,#N/A,VLOOKUP(Table7[[#This Row],[Date]],Database!$A:$C,MATCH($B$1,Database!$A$1:$C$1,),))</f>
        <v/>
      </c>
      <c r="C5275">
        <f>IF(VLOOKUP(Table7[[#This Row],[Date]],Database!$A:$C,MATCH($C$1,Database!$A$1:$C$1,),)=0,#N/A,VLOOKUP(Table7[[#This Row],[Date]],Database!$A:$C,MATCH($C$1,Database!$A$1:$C$1,),))</f>
        <v/>
      </c>
      <c r="D5275">
        <f>IFERROR(Table7[[#This Row],[United States 10y]]-Table7[[#This Row],[United States 3y]],#N/A)</f>
        <v/>
      </c>
    </row>
    <row r="5276">
      <c r="A5276" s="6">
        <f>Database!$A7361</f>
        <v/>
      </c>
      <c r="B5276">
        <f>IF(VLOOKUP(Table7[[#This Row],[Date]],Database!$A:$C,MATCH($B$1,Database!$A$1:$C$1,),)=0,#N/A,VLOOKUP(Table7[[#This Row],[Date]],Database!$A:$C,MATCH($B$1,Database!$A$1:$C$1,),))</f>
        <v/>
      </c>
      <c r="C5276">
        <f>IF(VLOOKUP(Table7[[#This Row],[Date]],Database!$A:$C,MATCH($C$1,Database!$A$1:$C$1,),)=0,#N/A,VLOOKUP(Table7[[#This Row],[Date]],Database!$A:$C,MATCH($C$1,Database!$A$1:$C$1,),))</f>
        <v/>
      </c>
      <c r="D5276">
        <f>IFERROR(Table7[[#This Row],[United States 10y]]-Table7[[#This Row],[United States 3y]],#N/A)</f>
        <v/>
      </c>
    </row>
    <row r="5277">
      <c r="A5277" s="6">
        <f>Database!$A7362</f>
        <v/>
      </c>
      <c r="B5277">
        <f>IF(VLOOKUP(Table7[[#This Row],[Date]],Database!$A:$C,MATCH($B$1,Database!$A$1:$C$1,),)=0,#N/A,VLOOKUP(Table7[[#This Row],[Date]],Database!$A:$C,MATCH($B$1,Database!$A$1:$C$1,),))</f>
        <v/>
      </c>
      <c r="C5277">
        <f>IF(VLOOKUP(Table7[[#This Row],[Date]],Database!$A:$C,MATCH($C$1,Database!$A$1:$C$1,),)=0,#N/A,VLOOKUP(Table7[[#This Row],[Date]],Database!$A:$C,MATCH($C$1,Database!$A$1:$C$1,),))</f>
        <v/>
      </c>
      <c r="D5277">
        <f>IFERROR(Table7[[#This Row],[United States 10y]]-Table7[[#This Row],[United States 3y]],#N/A)</f>
        <v/>
      </c>
    </row>
    <row r="5278">
      <c r="A5278" s="6">
        <f>Database!$A7363</f>
        <v/>
      </c>
      <c r="B5278">
        <f>IF(VLOOKUP(Table7[[#This Row],[Date]],Database!$A:$C,MATCH($B$1,Database!$A$1:$C$1,),)=0,#N/A,VLOOKUP(Table7[[#This Row],[Date]],Database!$A:$C,MATCH($B$1,Database!$A$1:$C$1,),))</f>
        <v/>
      </c>
      <c r="C5278">
        <f>IF(VLOOKUP(Table7[[#This Row],[Date]],Database!$A:$C,MATCH($C$1,Database!$A$1:$C$1,),)=0,#N/A,VLOOKUP(Table7[[#This Row],[Date]],Database!$A:$C,MATCH($C$1,Database!$A$1:$C$1,),))</f>
        <v/>
      </c>
      <c r="D5278">
        <f>IFERROR(Table7[[#This Row],[United States 10y]]-Table7[[#This Row],[United States 3y]],#N/A)</f>
        <v/>
      </c>
    </row>
    <row r="5279">
      <c r="A5279" s="6">
        <f>Database!$A7364</f>
        <v/>
      </c>
      <c r="B5279">
        <f>IF(VLOOKUP(Table7[[#This Row],[Date]],Database!$A:$C,MATCH($B$1,Database!$A$1:$C$1,),)=0,#N/A,VLOOKUP(Table7[[#This Row],[Date]],Database!$A:$C,MATCH($B$1,Database!$A$1:$C$1,),))</f>
        <v/>
      </c>
      <c r="C5279">
        <f>IF(VLOOKUP(Table7[[#This Row],[Date]],Database!$A:$C,MATCH($C$1,Database!$A$1:$C$1,),)=0,#N/A,VLOOKUP(Table7[[#This Row],[Date]],Database!$A:$C,MATCH($C$1,Database!$A$1:$C$1,),))</f>
        <v/>
      </c>
      <c r="D5279">
        <f>IFERROR(Table7[[#This Row],[United States 10y]]-Table7[[#This Row],[United States 3y]],#N/A)</f>
        <v/>
      </c>
    </row>
    <row r="5280">
      <c r="A5280" s="6">
        <f>Database!$A7365</f>
        <v/>
      </c>
      <c r="B5280">
        <f>IF(VLOOKUP(Table7[[#This Row],[Date]],Database!$A:$C,MATCH($B$1,Database!$A$1:$C$1,),)=0,#N/A,VLOOKUP(Table7[[#This Row],[Date]],Database!$A:$C,MATCH($B$1,Database!$A$1:$C$1,),))</f>
        <v/>
      </c>
      <c r="C5280">
        <f>IF(VLOOKUP(Table7[[#This Row],[Date]],Database!$A:$C,MATCH($C$1,Database!$A$1:$C$1,),)=0,#N/A,VLOOKUP(Table7[[#This Row],[Date]],Database!$A:$C,MATCH($C$1,Database!$A$1:$C$1,),))</f>
        <v/>
      </c>
      <c r="D5280">
        <f>IFERROR(Table7[[#This Row],[United States 10y]]-Table7[[#This Row],[United States 3y]],#N/A)</f>
        <v/>
      </c>
    </row>
    <row r="5281">
      <c r="A5281" s="6">
        <f>Database!$A7366</f>
        <v/>
      </c>
      <c r="B5281">
        <f>IF(VLOOKUP(Table7[[#This Row],[Date]],Database!$A:$C,MATCH($B$1,Database!$A$1:$C$1,),)=0,#N/A,VLOOKUP(Table7[[#This Row],[Date]],Database!$A:$C,MATCH($B$1,Database!$A$1:$C$1,),))</f>
        <v/>
      </c>
      <c r="C5281">
        <f>IF(VLOOKUP(Table7[[#This Row],[Date]],Database!$A:$C,MATCH($C$1,Database!$A$1:$C$1,),)=0,#N/A,VLOOKUP(Table7[[#This Row],[Date]],Database!$A:$C,MATCH($C$1,Database!$A$1:$C$1,),))</f>
        <v/>
      </c>
      <c r="D5281">
        <f>IFERROR(Table7[[#This Row],[United States 10y]]-Table7[[#This Row],[United States 3y]],#N/A)</f>
        <v/>
      </c>
    </row>
    <row r="5282">
      <c r="A5282" s="6">
        <f>Database!$A7367</f>
        <v/>
      </c>
      <c r="B5282">
        <f>IF(VLOOKUP(Table7[[#This Row],[Date]],Database!$A:$C,MATCH($B$1,Database!$A$1:$C$1,),)=0,#N/A,VLOOKUP(Table7[[#This Row],[Date]],Database!$A:$C,MATCH($B$1,Database!$A$1:$C$1,),))</f>
        <v/>
      </c>
      <c r="C5282">
        <f>IF(VLOOKUP(Table7[[#This Row],[Date]],Database!$A:$C,MATCH($C$1,Database!$A$1:$C$1,),)=0,#N/A,VLOOKUP(Table7[[#This Row],[Date]],Database!$A:$C,MATCH($C$1,Database!$A$1:$C$1,),))</f>
        <v/>
      </c>
      <c r="D5282">
        <f>IFERROR(Table7[[#This Row],[United States 10y]]-Table7[[#This Row],[United States 3y]],#N/A)</f>
        <v/>
      </c>
    </row>
    <row r="5283">
      <c r="A5283" s="6">
        <f>Database!$A7368</f>
        <v/>
      </c>
      <c r="B5283">
        <f>IF(VLOOKUP(Table7[[#This Row],[Date]],Database!$A:$C,MATCH($B$1,Database!$A$1:$C$1,),)=0,#N/A,VLOOKUP(Table7[[#This Row],[Date]],Database!$A:$C,MATCH($B$1,Database!$A$1:$C$1,),))</f>
        <v/>
      </c>
      <c r="C5283">
        <f>IF(VLOOKUP(Table7[[#This Row],[Date]],Database!$A:$C,MATCH($C$1,Database!$A$1:$C$1,),)=0,#N/A,VLOOKUP(Table7[[#This Row],[Date]],Database!$A:$C,MATCH($C$1,Database!$A$1:$C$1,),))</f>
        <v/>
      </c>
      <c r="D5283">
        <f>IFERROR(Table7[[#This Row],[United States 10y]]-Table7[[#This Row],[United States 3y]],#N/A)</f>
        <v/>
      </c>
    </row>
    <row r="5284">
      <c r="A5284" s="6">
        <f>Database!$A7369</f>
        <v/>
      </c>
      <c r="B5284">
        <f>IF(VLOOKUP(Table7[[#This Row],[Date]],Database!$A:$C,MATCH($B$1,Database!$A$1:$C$1,),)=0,#N/A,VLOOKUP(Table7[[#This Row],[Date]],Database!$A:$C,MATCH($B$1,Database!$A$1:$C$1,),))</f>
        <v/>
      </c>
      <c r="C5284">
        <f>IF(VLOOKUP(Table7[[#This Row],[Date]],Database!$A:$C,MATCH($C$1,Database!$A$1:$C$1,),)=0,#N/A,VLOOKUP(Table7[[#This Row],[Date]],Database!$A:$C,MATCH($C$1,Database!$A$1:$C$1,),))</f>
        <v/>
      </c>
      <c r="D5284">
        <f>IFERROR(Table7[[#This Row],[United States 10y]]-Table7[[#This Row],[United States 3y]],#N/A)</f>
        <v/>
      </c>
    </row>
    <row r="5285">
      <c r="A5285" s="6">
        <f>Database!$A7370</f>
        <v/>
      </c>
      <c r="B5285">
        <f>IF(VLOOKUP(Table7[[#This Row],[Date]],Database!$A:$C,MATCH($B$1,Database!$A$1:$C$1,),)=0,#N/A,VLOOKUP(Table7[[#This Row],[Date]],Database!$A:$C,MATCH($B$1,Database!$A$1:$C$1,),))</f>
        <v/>
      </c>
      <c r="C5285">
        <f>IF(VLOOKUP(Table7[[#This Row],[Date]],Database!$A:$C,MATCH($C$1,Database!$A$1:$C$1,),)=0,#N/A,VLOOKUP(Table7[[#This Row],[Date]],Database!$A:$C,MATCH($C$1,Database!$A$1:$C$1,),))</f>
        <v/>
      </c>
      <c r="D5285">
        <f>IFERROR(Table7[[#This Row],[United States 10y]]-Table7[[#This Row],[United States 3y]],#N/A)</f>
        <v/>
      </c>
    </row>
    <row r="5286">
      <c r="A5286" s="6">
        <f>Database!$A7371</f>
        <v/>
      </c>
      <c r="B5286">
        <f>IF(VLOOKUP(Table7[[#This Row],[Date]],Database!$A:$C,MATCH($B$1,Database!$A$1:$C$1,),)=0,#N/A,VLOOKUP(Table7[[#This Row],[Date]],Database!$A:$C,MATCH($B$1,Database!$A$1:$C$1,),))</f>
        <v/>
      </c>
      <c r="C5286">
        <f>IF(VLOOKUP(Table7[[#This Row],[Date]],Database!$A:$C,MATCH($C$1,Database!$A$1:$C$1,),)=0,#N/A,VLOOKUP(Table7[[#This Row],[Date]],Database!$A:$C,MATCH($C$1,Database!$A$1:$C$1,),))</f>
        <v/>
      </c>
      <c r="D5286">
        <f>IFERROR(Table7[[#This Row],[United States 10y]]-Table7[[#This Row],[United States 3y]],#N/A)</f>
        <v/>
      </c>
    </row>
    <row r="5287">
      <c r="A5287" s="6">
        <f>Database!$A7372</f>
        <v/>
      </c>
      <c r="B5287">
        <f>IF(VLOOKUP(Table7[[#This Row],[Date]],Database!$A:$C,MATCH($B$1,Database!$A$1:$C$1,),)=0,#N/A,VLOOKUP(Table7[[#This Row],[Date]],Database!$A:$C,MATCH($B$1,Database!$A$1:$C$1,),))</f>
        <v/>
      </c>
      <c r="C5287">
        <f>IF(VLOOKUP(Table7[[#This Row],[Date]],Database!$A:$C,MATCH($C$1,Database!$A$1:$C$1,),)=0,#N/A,VLOOKUP(Table7[[#This Row],[Date]],Database!$A:$C,MATCH($C$1,Database!$A$1:$C$1,),))</f>
        <v/>
      </c>
      <c r="D5287">
        <f>IFERROR(Table7[[#This Row],[United States 10y]]-Table7[[#This Row],[United States 3y]],#N/A)</f>
        <v/>
      </c>
    </row>
    <row r="5288">
      <c r="A5288" s="6">
        <f>Database!$A7373</f>
        <v/>
      </c>
      <c r="B5288">
        <f>IF(VLOOKUP(Table7[[#This Row],[Date]],Database!$A:$C,MATCH($B$1,Database!$A$1:$C$1,),)=0,#N/A,VLOOKUP(Table7[[#This Row],[Date]],Database!$A:$C,MATCH($B$1,Database!$A$1:$C$1,),))</f>
        <v/>
      </c>
      <c r="C5288">
        <f>IF(VLOOKUP(Table7[[#This Row],[Date]],Database!$A:$C,MATCH($C$1,Database!$A$1:$C$1,),)=0,#N/A,VLOOKUP(Table7[[#This Row],[Date]],Database!$A:$C,MATCH($C$1,Database!$A$1:$C$1,),))</f>
        <v/>
      </c>
      <c r="D5288">
        <f>IFERROR(Table7[[#This Row],[United States 10y]]-Table7[[#This Row],[United States 3y]],#N/A)</f>
        <v/>
      </c>
    </row>
    <row r="5289">
      <c r="A5289" s="6">
        <f>Database!$A7374</f>
        <v/>
      </c>
      <c r="B5289">
        <f>IF(VLOOKUP(Table7[[#This Row],[Date]],Database!$A:$C,MATCH($B$1,Database!$A$1:$C$1,),)=0,#N/A,VLOOKUP(Table7[[#This Row],[Date]],Database!$A:$C,MATCH($B$1,Database!$A$1:$C$1,),))</f>
        <v/>
      </c>
      <c r="C5289">
        <f>IF(VLOOKUP(Table7[[#This Row],[Date]],Database!$A:$C,MATCH($C$1,Database!$A$1:$C$1,),)=0,#N/A,VLOOKUP(Table7[[#This Row],[Date]],Database!$A:$C,MATCH($C$1,Database!$A$1:$C$1,),))</f>
        <v/>
      </c>
      <c r="D5289">
        <f>IFERROR(Table7[[#This Row],[United States 10y]]-Table7[[#This Row],[United States 3y]],#N/A)</f>
        <v/>
      </c>
    </row>
    <row r="5290">
      <c r="A5290" s="6">
        <f>Database!$A7375</f>
        <v/>
      </c>
      <c r="B5290">
        <f>IF(VLOOKUP(Table7[[#This Row],[Date]],Database!$A:$C,MATCH($B$1,Database!$A$1:$C$1,),)=0,#N/A,VLOOKUP(Table7[[#This Row],[Date]],Database!$A:$C,MATCH($B$1,Database!$A$1:$C$1,),))</f>
        <v/>
      </c>
      <c r="C5290">
        <f>IF(VLOOKUP(Table7[[#This Row],[Date]],Database!$A:$C,MATCH($C$1,Database!$A$1:$C$1,),)=0,#N/A,VLOOKUP(Table7[[#This Row],[Date]],Database!$A:$C,MATCH($C$1,Database!$A$1:$C$1,),))</f>
        <v/>
      </c>
      <c r="D5290">
        <f>IFERROR(Table7[[#This Row],[United States 10y]]-Table7[[#This Row],[United States 3y]],#N/A)</f>
        <v/>
      </c>
    </row>
    <row r="5291">
      <c r="A5291" s="6">
        <f>Database!$A7376</f>
        <v/>
      </c>
      <c r="B5291">
        <f>IF(VLOOKUP(Table7[[#This Row],[Date]],Database!$A:$C,MATCH($B$1,Database!$A$1:$C$1,),)=0,#N/A,VLOOKUP(Table7[[#This Row],[Date]],Database!$A:$C,MATCH($B$1,Database!$A$1:$C$1,),))</f>
        <v/>
      </c>
      <c r="C5291">
        <f>IF(VLOOKUP(Table7[[#This Row],[Date]],Database!$A:$C,MATCH($C$1,Database!$A$1:$C$1,),)=0,#N/A,VLOOKUP(Table7[[#This Row],[Date]],Database!$A:$C,MATCH($C$1,Database!$A$1:$C$1,),))</f>
        <v/>
      </c>
      <c r="D5291">
        <f>IFERROR(Table7[[#This Row],[United States 10y]]-Table7[[#This Row],[United States 3y]],#N/A)</f>
        <v/>
      </c>
    </row>
    <row r="5292">
      <c r="A5292" s="6">
        <f>Database!$A7377</f>
        <v/>
      </c>
      <c r="B5292">
        <f>IF(VLOOKUP(Table7[[#This Row],[Date]],Database!$A:$C,MATCH($B$1,Database!$A$1:$C$1,),)=0,#N/A,VLOOKUP(Table7[[#This Row],[Date]],Database!$A:$C,MATCH($B$1,Database!$A$1:$C$1,),))</f>
        <v/>
      </c>
      <c r="C5292">
        <f>IF(VLOOKUP(Table7[[#This Row],[Date]],Database!$A:$C,MATCH($C$1,Database!$A$1:$C$1,),)=0,#N/A,VLOOKUP(Table7[[#This Row],[Date]],Database!$A:$C,MATCH($C$1,Database!$A$1:$C$1,),))</f>
        <v/>
      </c>
      <c r="D5292">
        <f>IFERROR(Table7[[#This Row],[United States 10y]]-Table7[[#This Row],[United States 3y]],#N/A)</f>
        <v/>
      </c>
    </row>
    <row r="5293">
      <c r="A5293" s="6">
        <f>Database!$A7378</f>
        <v/>
      </c>
      <c r="B5293">
        <f>IF(VLOOKUP(Table7[[#This Row],[Date]],Database!$A:$C,MATCH($B$1,Database!$A$1:$C$1,),)=0,#N/A,VLOOKUP(Table7[[#This Row],[Date]],Database!$A:$C,MATCH($B$1,Database!$A$1:$C$1,),))</f>
        <v/>
      </c>
      <c r="C5293">
        <f>IF(VLOOKUP(Table7[[#This Row],[Date]],Database!$A:$C,MATCH($C$1,Database!$A$1:$C$1,),)=0,#N/A,VLOOKUP(Table7[[#This Row],[Date]],Database!$A:$C,MATCH($C$1,Database!$A$1:$C$1,),))</f>
        <v/>
      </c>
      <c r="D5293">
        <f>IFERROR(Table7[[#This Row],[United States 10y]]-Table7[[#This Row],[United States 3y]],#N/A)</f>
        <v/>
      </c>
    </row>
    <row r="5294">
      <c r="A5294" s="6">
        <f>Database!$A7379</f>
        <v/>
      </c>
      <c r="B5294">
        <f>IF(VLOOKUP(Table7[[#This Row],[Date]],Database!$A:$C,MATCH($B$1,Database!$A$1:$C$1,),)=0,#N/A,VLOOKUP(Table7[[#This Row],[Date]],Database!$A:$C,MATCH($B$1,Database!$A$1:$C$1,),))</f>
        <v/>
      </c>
      <c r="C5294">
        <f>IF(VLOOKUP(Table7[[#This Row],[Date]],Database!$A:$C,MATCH($C$1,Database!$A$1:$C$1,),)=0,#N/A,VLOOKUP(Table7[[#This Row],[Date]],Database!$A:$C,MATCH($C$1,Database!$A$1:$C$1,),))</f>
        <v/>
      </c>
      <c r="D5294">
        <f>IFERROR(Table7[[#This Row],[United States 10y]]-Table7[[#This Row],[United States 3y]],#N/A)</f>
        <v/>
      </c>
    </row>
    <row r="5295">
      <c r="A5295" s="6">
        <f>Database!$A7380</f>
        <v/>
      </c>
      <c r="B5295">
        <f>IF(VLOOKUP(Table7[[#This Row],[Date]],Database!$A:$C,MATCH($B$1,Database!$A$1:$C$1,),)=0,#N/A,VLOOKUP(Table7[[#This Row],[Date]],Database!$A:$C,MATCH($B$1,Database!$A$1:$C$1,),))</f>
        <v/>
      </c>
      <c r="C5295">
        <f>IF(VLOOKUP(Table7[[#This Row],[Date]],Database!$A:$C,MATCH($C$1,Database!$A$1:$C$1,),)=0,#N/A,VLOOKUP(Table7[[#This Row],[Date]],Database!$A:$C,MATCH($C$1,Database!$A$1:$C$1,),))</f>
        <v/>
      </c>
      <c r="D5295">
        <f>IFERROR(Table7[[#This Row],[United States 10y]]-Table7[[#This Row],[United States 3y]],#N/A)</f>
        <v/>
      </c>
    </row>
    <row r="5296">
      <c r="A5296" s="6">
        <f>Database!$A7381</f>
        <v/>
      </c>
      <c r="B5296">
        <f>IF(VLOOKUP(Table7[[#This Row],[Date]],Database!$A:$C,MATCH($B$1,Database!$A$1:$C$1,),)=0,#N/A,VLOOKUP(Table7[[#This Row],[Date]],Database!$A:$C,MATCH($B$1,Database!$A$1:$C$1,),))</f>
        <v/>
      </c>
      <c r="C5296">
        <f>IF(VLOOKUP(Table7[[#This Row],[Date]],Database!$A:$C,MATCH($C$1,Database!$A$1:$C$1,),)=0,#N/A,VLOOKUP(Table7[[#This Row],[Date]],Database!$A:$C,MATCH($C$1,Database!$A$1:$C$1,),))</f>
        <v/>
      </c>
      <c r="D5296">
        <f>IFERROR(Table7[[#This Row],[United States 10y]]-Table7[[#This Row],[United States 3y]],#N/A)</f>
        <v/>
      </c>
    </row>
    <row r="5297">
      <c r="A5297" s="6">
        <f>Database!$A7382</f>
        <v/>
      </c>
      <c r="B5297">
        <f>IF(VLOOKUP(Table7[[#This Row],[Date]],Database!$A:$C,MATCH($B$1,Database!$A$1:$C$1,),)=0,#N/A,VLOOKUP(Table7[[#This Row],[Date]],Database!$A:$C,MATCH($B$1,Database!$A$1:$C$1,),))</f>
        <v/>
      </c>
      <c r="C5297">
        <f>IF(VLOOKUP(Table7[[#This Row],[Date]],Database!$A:$C,MATCH($C$1,Database!$A$1:$C$1,),)=0,#N/A,VLOOKUP(Table7[[#This Row],[Date]],Database!$A:$C,MATCH($C$1,Database!$A$1:$C$1,),))</f>
        <v/>
      </c>
      <c r="D5297">
        <f>IFERROR(Table7[[#This Row],[United States 10y]]-Table7[[#This Row],[United States 3y]],#N/A)</f>
        <v/>
      </c>
    </row>
    <row r="5298">
      <c r="A5298" s="6">
        <f>Database!$A7383</f>
        <v/>
      </c>
      <c r="B5298">
        <f>IF(VLOOKUP(Table7[[#This Row],[Date]],Database!$A:$C,MATCH($B$1,Database!$A$1:$C$1,),)=0,#N/A,VLOOKUP(Table7[[#This Row],[Date]],Database!$A:$C,MATCH($B$1,Database!$A$1:$C$1,),))</f>
        <v/>
      </c>
      <c r="C5298">
        <f>IF(VLOOKUP(Table7[[#This Row],[Date]],Database!$A:$C,MATCH($C$1,Database!$A$1:$C$1,),)=0,#N/A,VLOOKUP(Table7[[#This Row],[Date]],Database!$A:$C,MATCH($C$1,Database!$A$1:$C$1,),))</f>
        <v/>
      </c>
      <c r="D5298">
        <f>IFERROR(Table7[[#This Row],[United States 10y]]-Table7[[#This Row],[United States 3y]],#N/A)</f>
        <v/>
      </c>
    </row>
    <row r="5299">
      <c r="A5299" s="6">
        <f>Database!$A7384</f>
        <v/>
      </c>
      <c r="B5299">
        <f>IF(VLOOKUP(Table7[[#This Row],[Date]],Database!$A:$C,MATCH($B$1,Database!$A$1:$C$1,),)=0,#N/A,VLOOKUP(Table7[[#This Row],[Date]],Database!$A:$C,MATCH($B$1,Database!$A$1:$C$1,),))</f>
        <v/>
      </c>
      <c r="C5299">
        <f>IF(VLOOKUP(Table7[[#This Row],[Date]],Database!$A:$C,MATCH($C$1,Database!$A$1:$C$1,),)=0,#N/A,VLOOKUP(Table7[[#This Row],[Date]],Database!$A:$C,MATCH($C$1,Database!$A$1:$C$1,),))</f>
        <v/>
      </c>
      <c r="D5299">
        <f>IFERROR(Table7[[#This Row],[United States 10y]]-Table7[[#This Row],[United States 3y]],#N/A)</f>
        <v/>
      </c>
    </row>
    <row r="5300">
      <c r="A5300" s="6">
        <f>Database!$A7385</f>
        <v/>
      </c>
      <c r="B5300">
        <f>IF(VLOOKUP(Table7[[#This Row],[Date]],Database!$A:$C,MATCH($B$1,Database!$A$1:$C$1,),)=0,#N/A,VLOOKUP(Table7[[#This Row],[Date]],Database!$A:$C,MATCH($B$1,Database!$A$1:$C$1,),))</f>
        <v/>
      </c>
      <c r="C5300">
        <f>IF(VLOOKUP(Table7[[#This Row],[Date]],Database!$A:$C,MATCH($C$1,Database!$A$1:$C$1,),)=0,#N/A,VLOOKUP(Table7[[#This Row],[Date]],Database!$A:$C,MATCH($C$1,Database!$A$1:$C$1,),))</f>
        <v/>
      </c>
      <c r="D5300">
        <f>IFERROR(Table7[[#This Row],[United States 10y]]-Table7[[#This Row],[United States 3y]],#N/A)</f>
        <v/>
      </c>
    </row>
    <row r="5301">
      <c r="A5301" s="6">
        <f>Database!$A7386</f>
        <v/>
      </c>
      <c r="B5301">
        <f>IF(VLOOKUP(Table7[[#This Row],[Date]],Database!$A:$C,MATCH($B$1,Database!$A$1:$C$1,),)=0,#N/A,VLOOKUP(Table7[[#This Row],[Date]],Database!$A:$C,MATCH($B$1,Database!$A$1:$C$1,),))</f>
        <v/>
      </c>
      <c r="C5301">
        <f>IF(VLOOKUP(Table7[[#This Row],[Date]],Database!$A:$C,MATCH($C$1,Database!$A$1:$C$1,),)=0,#N/A,VLOOKUP(Table7[[#This Row],[Date]],Database!$A:$C,MATCH($C$1,Database!$A$1:$C$1,),))</f>
        <v/>
      </c>
      <c r="D5301">
        <f>IFERROR(Table7[[#This Row],[United States 10y]]-Table7[[#This Row],[United States 3y]],#N/A)</f>
        <v/>
      </c>
    </row>
    <row r="5302">
      <c r="A5302" s="6">
        <f>Database!$A7387</f>
        <v/>
      </c>
      <c r="B5302">
        <f>IF(VLOOKUP(Table7[[#This Row],[Date]],Database!$A:$C,MATCH($B$1,Database!$A$1:$C$1,),)=0,#N/A,VLOOKUP(Table7[[#This Row],[Date]],Database!$A:$C,MATCH($B$1,Database!$A$1:$C$1,),))</f>
        <v/>
      </c>
      <c r="C5302">
        <f>IF(VLOOKUP(Table7[[#This Row],[Date]],Database!$A:$C,MATCH($C$1,Database!$A$1:$C$1,),)=0,#N/A,VLOOKUP(Table7[[#This Row],[Date]],Database!$A:$C,MATCH($C$1,Database!$A$1:$C$1,),))</f>
        <v/>
      </c>
      <c r="D5302">
        <f>IFERROR(Table7[[#This Row],[United States 10y]]-Table7[[#This Row],[United States 3y]],#N/A)</f>
        <v/>
      </c>
    </row>
    <row r="5303">
      <c r="A5303" s="6">
        <f>Database!$A7388</f>
        <v/>
      </c>
      <c r="B5303">
        <f>IF(VLOOKUP(Table7[[#This Row],[Date]],Database!$A:$C,MATCH($B$1,Database!$A$1:$C$1,),)=0,#N/A,VLOOKUP(Table7[[#This Row],[Date]],Database!$A:$C,MATCH($B$1,Database!$A$1:$C$1,),))</f>
        <v/>
      </c>
      <c r="C5303">
        <f>IF(VLOOKUP(Table7[[#This Row],[Date]],Database!$A:$C,MATCH($C$1,Database!$A$1:$C$1,),)=0,#N/A,VLOOKUP(Table7[[#This Row],[Date]],Database!$A:$C,MATCH($C$1,Database!$A$1:$C$1,),))</f>
        <v/>
      </c>
      <c r="D5303">
        <f>IFERROR(Table7[[#This Row],[United States 10y]]-Table7[[#This Row],[United States 3y]],#N/A)</f>
        <v/>
      </c>
    </row>
    <row r="5304">
      <c r="A5304" s="6">
        <f>Database!$A7389</f>
        <v/>
      </c>
      <c r="B5304">
        <f>IF(VLOOKUP(Table7[[#This Row],[Date]],Database!$A:$C,MATCH($B$1,Database!$A$1:$C$1,),)=0,#N/A,VLOOKUP(Table7[[#This Row],[Date]],Database!$A:$C,MATCH($B$1,Database!$A$1:$C$1,),))</f>
        <v/>
      </c>
      <c r="C5304">
        <f>IF(VLOOKUP(Table7[[#This Row],[Date]],Database!$A:$C,MATCH($C$1,Database!$A$1:$C$1,),)=0,#N/A,VLOOKUP(Table7[[#This Row],[Date]],Database!$A:$C,MATCH($C$1,Database!$A$1:$C$1,),))</f>
        <v/>
      </c>
      <c r="D5304">
        <f>IFERROR(Table7[[#This Row],[United States 10y]]-Table7[[#This Row],[United States 3y]],#N/A)</f>
        <v/>
      </c>
    </row>
    <row r="5305">
      <c r="A5305" s="6">
        <f>Database!$A7390</f>
        <v/>
      </c>
      <c r="B5305">
        <f>IF(VLOOKUP(Table7[[#This Row],[Date]],Database!$A:$C,MATCH($B$1,Database!$A$1:$C$1,),)=0,#N/A,VLOOKUP(Table7[[#This Row],[Date]],Database!$A:$C,MATCH($B$1,Database!$A$1:$C$1,),))</f>
        <v/>
      </c>
      <c r="C5305">
        <f>IF(VLOOKUP(Table7[[#This Row],[Date]],Database!$A:$C,MATCH($C$1,Database!$A$1:$C$1,),)=0,#N/A,VLOOKUP(Table7[[#This Row],[Date]],Database!$A:$C,MATCH($C$1,Database!$A$1:$C$1,),))</f>
        <v/>
      </c>
      <c r="D5305">
        <f>IFERROR(Table7[[#This Row],[United States 10y]]-Table7[[#This Row],[United States 3y]],#N/A)</f>
        <v/>
      </c>
    </row>
    <row r="5306">
      <c r="A5306" s="6">
        <f>Database!$A7391</f>
        <v/>
      </c>
      <c r="B5306">
        <f>IF(VLOOKUP(Table7[[#This Row],[Date]],Database!$A:$C,MATCH($B$1,Database!$A$1:$C$1,),)=0,#N/A,VLOOKUP(Table7[[#This Row],[Date]],Database!$A:$C,MATCH($B$1,Database!$A$1:$C$1,),))</f>
        <v/>
      </c>
      <c r="C5306">
        <f>IF(VLOOKUP(Table7[[#This Row],[Date]],Database!$A:$C,MATCH($C$1,Database!$A$1:$C$1,),)=0,#N/A,VLOOKUP(Table7[[#This Row],[Date]],Database!$A:$C,MATCH($C$1,Database!$A$1:$C$1,),))</f>
        <v/>
      </c>
      <c r="D5306">
        <f>IFERROR(Table7[[#This Row],[United States 10y]]-Table7[[#This Row],[United States 3y]],#N/A)</f>
        <v/>
      </c>
    </row>
    <row r="5307">
      <c r="A5307" s="6">
        <f>Database!$A7392</f>
        <v/>
      </c>
      <c r="B5307">
        <f>IF(VLOOKUP(Table7[[#This Row],[Date]],Database!$A:$C,MATCH($B$1,Database!$A$1:$C$1,),)=0,#N/A,VLOOKUP(Table7[[#This Row],[Date]],Database!$A:$C,MATCH($B$1,Database!$A$1:$C$1,),))</f>
        <v/>
      </c>
      <c r="C5307">
        <f>IF(VLOOKUP(Table7[[#This Row],[Date]],Database!$A:$C,MATCH($C$1,Database!$A$1:$C$1,),)=0,#N/A,VLOOKUP(Table7[[#This Row],[Date]],Database!$A:$C,MATCH($C$1,Database!$A$1:$C$1,),))</f>
        <v/>
      </c>
      <c r="D5307">
        <f>IFERROR(Table7[[#This Row],[United States 10y]]-Table7[[#This Row],[United States 3y]],#N/A)</f>
        <v/>
      </c>
    </row>
    <row r="5308">
      <c r="A5308" s="6">
        <f>Database!$A7393</f>
        <v/>
      </c>
      <c r="B5308">
        <f>IF(VLOOKUP(Table7[[#This Row],[Date]],Database!$A:$C,MATCH($B$1,Database!$A$1:$C$1,),)=0,#N/A,VLOOKUP(Table7[[#This Row],[Date]],Database!$A:$C,MATCH($B$1,Database!$A$1:$C$1,),))</f>
        <v/>
      </c>
      <c r="C5308">
        <f>IF(VLOOKUP(Table7[[#This Row],[Date]],Database!$A:$C,MATCH($C$1,Database!$A$1:$C$1,),)=0,#N/A,VLOOKUP(Table7[[#This Row],[Date]],Database!$A:$C,MATCH($C$1,Database!$A$1:$C$1,),))</f>
        <v/>
      </c>
      <c r="D5308">
        <f>IFERROR(Table7[[#This Row],[United States 10y]]-Table7[[#This Row],[United States 3y]],#N/A)</f>
        <v/>
      </c>
    </row>
    <row r="5309">
      <c r="A5309" s="6">
        <f>Database!$A7394</f>
        <v/>
      </c>
      <c r="B5309">
        <f>IF(VLOOKUP(Table7[[#This Row],[Date]],Database!$A:$C,MATCH($B$1,Database!$A$1:$C$1,),)=0,#N/A,VLOOKUP(Table7[[#This Row],[Date]],Database!$A:$C,MATCH($B$1,Database!$A$1:$C$1,),))</f>
        <v/>
      </c>
      <c r="C5309">
        <f>IF(VLOOKUP(Table7[[#This Row],[Date]],Database!$A:$C,MATCH($C$1,Database!$A$1:$C$1,),)=0,#N/A,VLOOKUP(Table7[[#This Row],[Date]],Database!$A:$C,MATCH($C$1,Database!$A$1:$C$1,),))</f>
        <v/>
      </c>
      <c r="D5309">
        <f>IFERROR(Table7[[#This Row],[United States 10y]]-Table7[[#This Row],[United States 3y]],#N/A)</f>
        <v/>
      </c>
    </row>
    <row r="5310">
      <c r="A5310" s="6">
        <f>Database!$A7395</f>
        <v/>
      </c>
      <c r="B5310">
        <f>IF(VLOOKUP(Table7[[#This Row],[Date]],Database!$A:$C,MATCH($B$1,Database!$A$1:$C$1,),)=0,#N/A,VLOOKUP(Table7[[#This Row],[Date]],Database!$A:$C,MATCH($B$1,Database!$A$1:$C$1,),))</f>
        <v/>
      </c>
      <c r="C5310">
        <f>IF(VLOOKUP(Table7[[#This Row],[Date]],Database!$A:$C,MATCH($C$1,Database!$A$1:$C$1,),)=0,#N/A,VLOOKUP(Table7[[#This Row],[Date]],Database!$A:$C,MATCH($C$1,Database!$A$1:$C$1,),))</f>
        <v/>
      </c>
      <c r="D5310">
        <f>IFERROR(Table7[[#This Row],[United States 10y]]-Table7[[#This Row],[United States 3y]],#N/A)</f>
        <v/>
      </c>
    </row>
    <row r="5311">
      <c r="A5311" s="6">
        <f>Database!$A7396</f>
        <v/>
      </c>
      <c r="B5311">
        <f>IF(VLOOKUP(Table7[[#This Row],[Date]],Database!$A:$C,MATCH($B$1,Database!$A$1:$C$1,),)=0,#N/A,VLOOKUP(Table7[[#This Row],[Date]],Database!$A:$C,MATCH($B$1,Database!$A$1:$C$1,),))</f>
        <v/>
      </c>
      <c r="C5311">
        <f>IF(VLOOKUP(Table7[[#This Row],[Date]],Database!$A:$C,MATCH($C$1,Database!$A$1:$C$1,),)=0,#N/A,VLOOKUP(Table7[[#This Row],[Date]],Database!$A:$C,MATCH($C$1,Database!$A$1:$C$1,),))</f>
        <v/>
      </c>
      <c r="D5311">
        <f>IFERROR(Table7[[#This Row],[United States 10y]]-Table7[[#This Row],[United States 3y]],#N/A)</f>
        <v/>
      </c>
    </row>
    <row r="5312">
      <c r="A5312" s="6">
        <f>Database!$A7397</f>
        <v/>
      </c>
      <c r="B5312">
        <f>IF(VLOOKUP(Table7[[#This Row],[Date]],Database!$A:$C,MATCH($B$1,Database!$A$1:$C$1,),)=0,#N/A,VLOOKUP(Table7[[#This Row],[Date]],Database!$A:$C,MATCH($B$1,Database!$A$1:$C$1,),))</f>
        <v/>
      </c>
      <c r="C5312">
        <f>IF(VLOOKUP(Table7[[#This Row],[Date]],Database!$A:$C,MATCH($C$1,Database!$A$1:$C$1,),)=0,#N/A,VLOOKUP(Table7[[#This Row],[Date]],Database!$A:$C,MATCH($C$1,Database!$A$1:$C$1,),))</f>
        <v/>
      </c>
      <c r="D5312">
        <f>IFERROR(Table7[[#This Row],[United States 10y]]-Table7[[#This Row],[United States 3y]],#N/A)</f>
        <v/>
      </c>
    </row>
    <row r="5313">
      <c r="A5313" s="6">
        <f>Database!$A7398</f>
        <v/>
      </c>
      <c r="B5313">
        <f>IF(VLOOKUP(Table7[[#This Row],[Date]],Database!$A:$C,MATCH($B$1,Database!$A$1:$C$1,),)=0,#N/A,VLOOKUP(Table7[[#This Row],[Date]],Database!$A:$C,MATCH($B$1,Database!$A$1:$C$1,),))</f>
        <v/>
      </c>
      <c r="C5313">
        <f>IF(VLOOKUP(Table7[[#This Row],[Date]],Database!$A:$C,MATCH($C$1,Database!$A$1:$C$1,),)=0,#N/A,VLOOKUP(Table7[[#This Row],[Date]],Database!$A:$C,MATCH($C$1,Database!$A$1:$C$1,),))</f>
        <v/>
      </c>
      <c r="D5313">
        <f>IFERROR(Table7[[#This Row],[United States 10y]]-Table7[[#This Row],[United States 3y]],#N/A)</f>
        <v/>
      </c>
    </row>
    <row r="5314">
      <c r="A5314" s="6">
        <f>Database!$A7399</f>
        <v/>
      </c>
      <c r="B5314">
        <f>IF(VLOOKUP(Table7[[#This Row],[Date]],Database!$A:$C,MATCH($B$1,Database!$A$1:$C$1,),)=0,#N/A,VLOOKUP(Table7[[#This Row],[Date]],Database!$A:$C,MATCH($B$1,Database!$A$1:$C$1,),))</f>
        <v/>
      </c>
      <c r="C5314">
        <f>IF(VLOOKUP(Table7[[#This Row],[Date]],Database!$A:$C,MATCH($C$1,Database!$A$1:$C$1,),)=0,#N/A,VLOOKUP(Table7[[#This Row],[Date]],Database!$A:$C,MATCH($C$1,Database!$A$1:$C$1,),))</f>
        <v/>
      </c>
      <c r="D5314">
        <f>IFERROR(Table7[[#This Row],[United States 10y]]-Table7[[#This Row],[United States 3y]],#N/A)</f>
        <v/>
      </c>
    </row>
    <row r="5315">
      <c r="A5315" s="6">
        <f>Database!$A7400</f>
        <v/>
      </c>
      <c r="B5315">
        <f>IF(VLOOKUP(Table7[[#This Row],[Date]],Database!$A:$C,MATCH($B$1,Database!$A$1:$C$1,),)=0,#N/A,VLOOKUP(Table7[[#This Row],[Date]],Database!$A:$C,MATCH($B$1,Database!$A$1:$C$1,),))</f>
        <v/>
      </c>
      <c r="C5315">
        <f>IF(VLOOKUP(Table7[[#This Row],[Date]],Database!$A:$C,MATCH($C$1,Database!$A$1:$C$1,),)=0,#N/A,VLOOKUP(Table7[[#This Row],[Date]],Database!$A:$C,MATCH($C$1,Database!$A$1:$C$1,),))</f>
        <v/>
      </c>
      <c r="D5315">
        <f>IFERROR(Table7[[#This Row],[United States 10y]]-Table7[[#This Row],[United States 3y]],#N/A)</f>
        <v/>
      </c>
    </row>
    <row r="5316">
      <c r="A5316" s="6">
        <f>Database!$A7401</f>
        <v/>
      </c>
      <c r="B5316">
        <f>IF(VLOOKUP(Table7[[#This Row],[Date]],Database!$A:$C,MATCH($B$1,Database!$A$1:$C$1,),)=0,#N/A,VLOOKUP(Table7[[#This Row],[Date]],Database!$A:$C,MATCH($B$1,Database!$A$1:$C$1,),))</f>
        <v/>
      </c>
      <c r="C5316">
        <f>IF(VLOOKUP(Table7[[#This Row],[Date]],Database!$A:$C,MATCH($C$1,Database!$A$1:$C$1,),)=0,#N/A,VLOOKUP(Table7[[#This Row],[Date]],Database!$A:$C,MATCH($C$1,Database!$A$1:$C$1,),))</f>
        <v/>
      </c>
      <c r="D5316">
        <f>IFERROR(Table7[[#This Row],[United States 10y]]-Table7[[#This Row],[United States 3y]],#N/A)</f>
        <v/>
      </c>
    </row>
    <row r="5317">
      <c r="A5317" s="6">
        <f>Database!$A7402</f>
        <v/>
      </c>
      <c r="B5317">
        <f>IF(VLOOKUP(Table7[[#This Row],[Date]],Database!$A:$C,MATCH($B$1,Database!$A$1:$C$1,),)=0,#N/A,VLOOKUP(Table7[[#This Row],[Date]],Database!$A:$C,MATCH($B$1,Database!$A$1:$C$1,),))</f>
        <v/>
      </c>
      <c r="C5317">
        <f>IF(VLOOKUP(Table7[[#This Row],[Date]],Database!$A:$C,MATCH($C$1,Database!$A$1:$C$1,),)=0,#N/A,VLOOKUP(Table7[[#This Row],[Date]],Database!$A:$C,MATCH($C$1,Database!$A$1:$C$1,),))</f>
        <v/>
      </c>
      <c r="D5317">
        <f>IFERROR(Table7[[#This Row],[United States 10y]]-Table7[[#This Row],[United States 3y]],#N/A)</f>
        <v/>
      </c>
    </row>
    <row r="5318">
      <c r="A5318" s="6">
        <f>Database!$A7403</f>
        <v/>
      </c>
      <c r="B5318">
        <f>IF(VLOOKUP(Table7[[#This Row],[Date]],Database!$A:$C,MATCH($B$1,Database!$A$1:$C$1,),)=0,#N/A,VLOOKUP(Table7[[#This Row],[Date]],Database!$A:$C,MATCH($B$1,Database!$A$1:$C$1,),))</f>
        <v/>
      </c>
      <c r="C5318">
        <f>IF(VLOOKUP(Table7[[#This Row],[Date]],Database!$A:$C,MATCH($C$1,Database!$A$1:$C$1,),)=0,#N/A,VLOOKUP(Table7[[#This Row],[Date]],Database!$A:$C,MATCH($C$1,Database!$A$1:$C$1,),))</f>
        <v/>
      </c>
      <c r="D5318">
        <f>IFERROR(Table7[[#This Row],[United States 10y]]-Table7[[#This Row],[United States 3y]],#N/A)</f>
        <v/>
      </c>
    </row>
    <row r="5319">
      <c r="A5319" s="6">
        <f>Database!$A7404</f>
        <v/>
      </c>
      <c r="B5319">
        <f>IF(VLOOKUP(Table7[[#This Row],[Date]],Database!$A:$C,MATCH($B$1,Database!$A$1:$C$1,),)=0,#N/A,VLOOKUP(Table7[[#This Row],[Date]],Database!$A:$C,MATCH($B$1,Database!$A$1:$C$1,),))</f>
        <v/>
      </c>
      <c r="C5319">
        <f>IF(VLOOKUP(Table7[[#This Row],[Date]],Database!$A:$C,MATCH($C$1,Database!$A$1:$C$1,),)=0,#N/A,VLOOKUP(Table7[[#This Row],[Date]],Database!$A:$C,MATCH($C$1,Database!$A$1:$C$1,),))</f>
        <v/>
      </c>
      <c r="D5319">
        <f>IFERROR(Table7[[#This Row],[United States 10y]]-Table7[[#This Row],[United States 3y]],#N/A)</f>
        <v/>
      </c>
    </row>
    <row r="5320">
      <c r="A5320" s="6">
        <f>Database!$A7405</f>
        <v/>
      </c>
      <c r="B5320">
        <f>IF(VLOOKUP(Table7[[#This Row],[Date]],Database!$A:$C,MATCH($B$1,Database!$A$1:$C$1,),)=0,#N/A,VLOOKUP(Table7[[#This Row],[Date]],Database!$A:$C,MATCH($B$1,Database!$A$1:$C$1,),))</f>
        <v/>
      </c>
      <c r="C5320">
        <f>IF(VLOOKUP(Table7[[#This Row],[Date]],Database!$A:$C,MATCH($C$1,Database!$A$1:$C$1,),)=0,#N/A,VLOOKUP(Table7[[#This Row],[Date]],Database!$A:$C,MATCH($C$1,Database!$A$1:$C$1,),))</f>
        <v/>
      </c>
      <c r="D5320">
        <f>IFERROR(Table7[[#This Row],[United States 10y]]-Table7[[#This Row],[United States 3y]],#N/A)</f>
        <v/>
      </c>
    </row>
    <row r="5321">
      <c r="A5321" s="6">
        <f>Database!$A7406</f>
        <v/>
      </c>
      <c r="B5321">
        <f>IF(VLOOKUP(Table7[[#This Row],[Date]],Database!$A:$C,MATCH($B$1,Database!$A$1:$C$1,),)=0,#N/A,VLOOKUP(Table7[[#This Row],[Date]],Database!$A:$C,MATCH($B$1,Database!$A$1:$C$1,),))</f>
        <v/>
      </c>
      <c r="C5321">
        <f>IF(VLOOKUP(Table7[[#This Row],[Date]],Database!$A:$C,MATCH($C$1,Database!$A$1:$C$1,),)=0,#N/A,VLOOKUP(Table7[[#This Row],[Date]],Database!$A:$C,MATCH($C$1,Database!$A$1:$C$1,),))</f>
        <v/>
      </c>
      <c r="D5321">
        <f>IFERROR(Table7[[#This Row],[United States 10y]]-Table7[[#This Row],[United States 3y]],#N/A)</f>
        <v/>
      </c>
    </row>
    <row r="5322">
      <c r="A5322" s="6">
        <f>Database!$A7407</f>
        <v/>
      </c>
      <c r="B5322">
        <f>IF(VLOOKUP(Table7[[#This Row],[Date]],Database!$A:$C,MATCH($B$1,Database!$A$1:$C$1,),)=0,#N/A,VLOOKUP(Table7[[#This Row],[Date]],Database!$A:$C,MATCH($B$1,Database!$A$1:$C$1,),))</f>
        <v/>
      </c>
      <c r="C5322">
        <f>IF(VLOOKUP(Table7[[#This Row],[Date]],Database!$A:$C,MATCH($C$1,Database!$A$1:$C$1,),)=0,#N/A,VLOOKUP(Table7[[#This Row],[Date]],Database!$A:$C,MATCH($C$1,Database!$A$1:$C$1,),))</f>
        <v/>
      </c>
      <c r="D5322">
        <f>IFERROR(Table7[[#This Row],[United States 10y]]-Table7[[#This Row],[United States 3y]],#N/A)</f>
        <v/>
      </c>
    </row>
    <row r="5323">
      <c r="A5323" s="6">
        <f>Database!$A7408</f>
        <v/>
      </c>
      <c r="B5323">
        <f>IF(VLOOKUP(Table7[[#This Row],[Date]],Database!$A:$C,MATCH($B$1,Database!$A$1:$C$1,),)=0,#N/A,VLOOKUP(Table7[[#This Row],[Date]],Database!$A:$C,MATCH($B$1,Database!$A$1:$C$1,),))</f>
        <v/>
      </c>
      <c r="C5323">
        <f>IF(VLOOKUP(Table7[[#This Row],[Date]],Database!$A:$C,MATCH($C$1,Database!$A$1:$C$1,),)=0,#N/A,VLOOKUP(Table7[[#This Row],[Date]],Database!$A:$C,MATCH($C$1,Database!$A$1:$C$1,),))</f>
        <v/>
      </c>
      <c r="D5323">
        <f>IFERROR(Table7[[#This Row],[United States 10y]]-Table7[[#This Row],[United States 3y]],#N/A)</f>
        <v/>
      </c>
    </row>
    <row r="5324">
      <c r="A5324" s="6">
        <f>Database!$A7409</f>
        <v/>
      </c>
      <c r="B5324">
        <f>IF(VLOOKUP(Table7[[#This Row],[Date]],Database!$A:$C,MATCH($B$1,Database!$A$1:$C$1,),)=0,#N/A,VLOOKUP(Table7[[#This Row],[Date]],Database!$A:$C,MATCH($B$1,Database!$A$1:$C$1,),))</f>
        <v/>
      </c>
      <c r="C5324">
        <f>IF(VLOOKUP(Table7[[#This Row],[Date]],Database!$A:$C,MATCH($C$1,Database!$A$1:$C$1,),)=0,#N/A,VLOOKUP(Table7[[#This Row],[Date]],Database!$A:$C,MATCH($C$1,Database!$A$1:$C$1,),))</f>
        <v/>
      </c>
      <c r="D5324">
        <f>IFERROR(Table7[[#This Row],[United States 10y]]-Table7[[#This Row],[United States 3y]],#N/A)</f>
        <v/>
      </c>
    </row>
    <row r="5325">
      <c r="A5325" s="6">
        <f>Database!$A7410</f>
        <v/>
      </c>
      <c r="B5325">
        <f>IF(VLOOKUP(Table7[[#This Row],[Date]],Database!$A:$C,MATCH($B$1,Database!$A$1:$C$1,),)=0,#N/A,VLOOKUP(Table7[[#This Row],[Date]],Database!$A:$C,MATCH($B$1,Database!$A$1:$C$1,),))</f>
        <v/>
      </c>
      <c r="C5325">
        <f>IF(VLOOKUP(Table7[[#This Row],[Date]],Database!$A:$C,MATCH($C$1,Database!$A$1:$C$1,),)=0,#N/A,VLOOKUP(Table7[[#This Row],[Date]],Database!$A:$C,MATCH($C$1,Database!$A$1:$C$1,),))</f>
        <v/>
      </c>
      <c r="D5325">
        <f>IFERROR(Table7[[#This Row],[United States 10y]]-Table7[[#This Row],[United States 3y]],#N/A)</f>
        <v/>
      </c>
    </row>
    <row r="5326">
      <c r="A5326" s="6">
        <f>Database!$A7411</f>
        <v/>
      </c>
      <c r="B5326">
        <f>IF(VLOOKUP(Table7[[#This Row],[Date]],Database!$A:$C,MATCH($B$1,Database!$A$1:$C$1,),)=0,#N/A,VLOOKUP(Table7[[#This Row],[Date]],Database!$A:$C,MATCH($B$1,Database!$A$1:$C$1,),))</f>
        <v/>
      </c>
      <c r="C5326">
        <f>IF(VLOOKUP(Table7[[#This Row],[Date]],Database!$A:$C,MATCH($C$1,Database!$A$1:$C$1,),)=0,#N/A,VLOOKUP(Table7[[#This Row],[Date]],Database!$A:$C,MATCH($C$1,Database!$A$1:$C$1,),))</f>
        <v/>
      </c>
      <c r="D5326">
        <f>IFERROR(Table7[[#This Row],[United States 10y]]-Table7[[#This Row],[United States 3y]],#N/A)</f>
        <v/>
      </c>
    </row>
    <row r="5327">
      <c r="A5327" s="6">
        <f>Database!$A7412</f>
        <v/>
      </c>
      <c r="B5327">
        <f>IF(VLOOKUP(Table7[[#This Row],[Date]],Database!$A:$C,MATCH($B$1,Database!$A$1:$C$1,),)=0,#N/A,VLOOKUP(Table7[[#This Row],[Date]],Database!$A:$C,MATCH($B$1,Database!$A$1:$C$1,),))</f>
        <v/>
      </c>
      <c r="C5327">
        <f>IF(VLOOKUP(Table7[[#This Row],[Date]],Database!$A:$C,MATCH($C$1,Database!$A$1:$C$1,),)=0,#N/A,VLOOKUP(Table7[[#This Row],[Date]],Database!$A:$C,MATCH($C$1,Database!$A$1:$C$1,),))</f>
        <v/>
      </c>
      <c r="D5327">
        <f>IFERROR(Table7[[#This Row],[United States 10y]]-Table7[[#This Row],[United States 3y]],#N/A)</f>
        <v/>
      </c>
    </row>
    <row r="5328">
      <c r="A5328" s="6">
        <f>Database!$A7413</f>
        <v/>
      </c>
      <c r="B5328">
        <f>IF(VLOOKUP(Table7[[#This Row],[Date]],Database!$A:$C,MATCH($B$1,Database!$A$1:$C$1,),)=0,#N/A,VLOOKUP(Table7[[#This Row],[Date]],Database!$A:$C,MATCH($B$1,Database!$A$1:$C$1,),))</f>
        <v/>
      </c>
      <c r="C5328">
        <f>IF(VLOOKUP(Table7[[#This Row],[Date]],Database!$A:$C,MATCH($C$1,Database!$A$1:$C$1,),)=0,#N/A,VLOOKUP(Table7[[#This Row],[Date]],Database!$A:$C,MATCH($C$1,Database!$A$1:$C$1,),))</f>
        <v/>
      </c>
      <c r="D5328">
        <f>IFERROR(Table7[[#This Row],[United States 10y]]-Table7[[#This Row],[United States 3y]],#N/A)</f>
        <v/>
      </c>
    </row>
    <row r="5329">
      <c r="A5329" s="6">
        <f>Database!$A7414</f>
        <v/>
      </c>
      <c r="B5329">
        <f>IF(VLOOKUP(Table7[[#This Row],[Date]],Database!$A:$C,MATCH($B$1,Database!$A$1:$C$1,),)=0,#N/A,VLOOKUP(Table7[[#This Row],[Date]],Database!$A:$C,MATCH($B$1,Database!$A$1:$C$1,),))</f>
        <v/>
      </c>
      <c r="C5329">
        <f>IF(VLOOKUP(Table7[[#This Row],[Date]],Database!$A:$C,MATCH($C$1,Database!$A$1:$C$1,),)=0,#N/A,VLOOKUP(Table7[[#This Row],[Date]],Database!$A:$C,MATCH($C$1,Database!$A$1:$C$1,),))</f>
        <v/>
      </c>
      <c r="D5329">
        <f>IFERROR(Table7[[#This Row],[United States 10y]]-Table7[[#This Row],[United States 3y]],#N/A)</f>
        <v/>
      </c>
    </row>
    <row r="5330">
      <c r="A5330" s="6">
        <f>Database!$A7415</f>
        <v/>
      </c>
      <c r="B5330">
        <f>IF(VLOOKUP(Table7[[#This Row],[Date]],Database!$A:$C,MATCH($B$1,Database!$A$1:$C$1,),)=0,#N/A,VLOOKUP(Table7[[#This Row],[Date]],Database!$A:$C,MATCH($B$1,Database!$A$1:$C$1,),))</f>
        <v/>
      </c>
      <c r="C5330">
        <f>IF(VLOOKUP(Table7[[#This Row],[Date]],Database!$A:$C,MATCH($C$1,Database!$A$1:$C$1,),)=0,#N/A,VLOOKUP(Table7[[#This Row],[Date]],Database!$A:$C,MATCH($C$1,Database!$A$1:$C$1,),))</f>
        <v/>
      </c>
      <c r="D5330">
        <f>IFERROR(Table7[[#This Row],[United States 10y]]-Table7[[#This Row],[United States 3y]],#N/A)</f>
        <v/>
      </c>
    </row>
    <row r="5331">
      <c r="A5331" s="6">
        <f>Database!$A7416</f>
        <v/>
      </c>
      <c r="B5331">
        <f>IF(VLOOKUP(Table7[[#This Row],[Date]],Database!$A:$C,MATCH($B$1,Database!$A$1:$C$1,),)=0,#N/A,VLOOKUP(Table7[[#This Row],[Date]],Database!$A:$C,MATCH($B$1,Database!$A$1:$C$1,),))</f>
        <v/>
      </c>
      <c r="C5331">
        <f>IF(VLOOKUP(Table7[[#This Row],[Date]],Database!$A:$C,MATCH($C$1,Database!$A$1:$C$1,),)=0,#N/A,VLOOKUP(Table7[[#This Row],[Date]],Database!$A:$C,MATCH($C$1,Database!$A$1:$C$1,),))</f>
        <v/>
      </c>
      <c r="D5331">
        <f>IFERROR(Table7[[#This Row],[United States 10y]]-Table7[[#This Row],[United States 3y]],#N/A)</f>
        <v/>
      </c>
    </row>
    <row r="5332">
      <c r="A5332" s="6">
        <f>Database!$A7417</f>
        <v/>
      </c>
      <c r="B5332">
        <f>IF(VLOOKUP(Table7[[#This Row],[Date]],Database!$A:$C,MATCH($B$1,Database!$A$1:$C$1,),)=0,#N/A,VLOOKUP(Table7[[#This Row],[Date]],Database!$A:$C,MATCH($B$1,Database!$A$1:$C$1,),))</f>
        <v/>
      </c>
      <c r="C5332">
        <f>IF(VLOOKUP(Table7[[#This Row],[Date]],Database!$A:$C,MATCH($C$1,Database!$A$1:$C$1,),)=0,#N/A,VLOOKUP(Table7[[#This Row],[Date]],Database!$A:$C,MATCH($C$1,Database!$A$1:$C$1,),))</f>
        <v/>
      </c>
      <c r="D5332">
        <f>IFERROR(Table7[[#This Row],[United States 10y]]-Table7[[#This Row],[United States 3y]],#N/A)</f>
        <v/>
      </c>
    </row>
    <row r="5333">
      <c r="A5333" s="6">
        <f>Database!$A7418</f>
        <v/>
      </c>
      <c r="B5333">
        <f>IF(VLOOKUP(Table7[[#This Row],[Date]],Database!$A:$C,MATCH($B$1,Database!$A$1:$C$1,),)=0,#N/A,VLOOKUP(Table7[[#This Row],[Date]],Database!$A:$C,MATCH($B$1,Database!$A$1:$C$1,),))</f>
        <v/>
      </c>
      <c r="C5333">
        <f>IF(VLOOKUP(Table7[[#This Row],[Date]],Database!$A:$C,MATCH($C$1,Database!$A$1:$C$1,),)=0,#N/A,VLOOKUP(Table7[[#This Row],[Date]],Database!$A:$C,MATCH($C$1,Database!$A$1:$C$1,),))</f>
        <v/>
      </c>
      <c r="D5333">
        <f>IFERROR(Table7[[#This Row],[United States 10y]]-Table7[[#This Row],[United States 3y]],#N/A)</f>
        <v/>
      </c>
    </row>
    <row r="5334">
      <c r="A5334" s="6">
        <f>Database!$A7419</f>
        <v/>
      </c>
      <c r="B5334">
        <f>IF(VLOOKUP(Table7[[#This Row],[Date]],Database!$A:$C,MATCH($B$1,Database!$A$1:$C$1,),)=0,#N/A,VLOOKUP(Table7[[#This Row],[Date]],Database!$A:$C,MATCH($B$1,Database!$A$1:$C$1,),))</f>
        <v/>
      </c>
      <c r="C5334">
        <f>IF(VLOOKUP(Table7[[#This Row],[Date]],Database!$A:$C,MATCH($C$1,Database!$A$1:$C$1,),)=0,#N/A,VLOOKUP(Table7[[#This Row],[Date]],Database!$A:$C,MATCH($C$1,Database!$A$1:$C$1,),))</f>
        <v/>
      </c>
      <c r="D5334">
        <f>IFERROR(Table7[[#This Row],[United States 10y]]-Table7[[#This Row],[United States 3y]],#N/A)</f>
        <v/>
      </c>
    </row>
    <row r="5335">
      <c r="A5335" s="6">
        <f>Database!$A7420</f>
        <v/>
      </c>
      <c r="B5335">
        <f>IF(VLOOKUP(Table7[[#This Row],[Date]],Database!$A:$C,MATCH($B$1,Database!$A$1:$C$1,),)=0,#N/A,VLOOKUP(Table7[[#This Row],[Date]],Database!$A:$C,MATCH($B$1,Database!$A$1:$C$1,),))</f>
        <v/>
      </c>
      <c r="C5335">
        <f>IF(VLOOKUP(Table7[[#This Row],[Date]],Database!$A:$C,MATCH($C$1,Database!$A$1:$C$1,),)=0,#N/A,VLOOKUP(Table7[[#This Row],[Date]],Database!$A:$C,MATCH($C$1,Database!$A$1:$C$1,),))</f>
        <v/>
      </c>
      <c r="D5335">
        <f>IFERROR(Table7[[#This Row],[United States 10y]]-Table7[[#This Row],[United States 3y]],#N/A)</f>
        <v/>
      </c>
    </row>
    <row r="5336">
      <c r="A5336" s="6">
        <f>Database!$A7421</f>
        <v/>
      </c>
      <c r="B5336">
        <f>IF(VLOOKUP(Table7[[#This Row],[Date]],Database!$A:$C,MATCH($B$1,Database!$A$1:$C$1,),)=0,#N/A,VLOOKUP(Table7[[#This Row],[Date]],Database!$A:$C,MATCH($B$1,Database!$A$1:$C$1,),))</f>
        <v/>
      </c>
      <c r="C5336">
        <f>IF(VLOOKUP(Table7[[#This Row],[Date]],Database!$A:$C,MATCH($C$1,Database!$A$1:$C$1,),)=0,#N/A,VLOOKUP(Table7[[#This Row],[Date]],Database!$A:$C,MATCH($C$1,Database!$A$1:$C$1,),))</f>
        <v/>
      </c>
      <c r="D5336">
        <f>IFERROR(Table7[[#This Row],[United States 10y]]-Table7[[#This Row],[United States 3y]],#N/A)</f>
        <v/>
      </c>
    </row>
    <row r="5337">
      <c r="A5337" s="6">
        <f>Database!$A7422</f>
        <v/>
      </c>
      <c r="B5337">
        <f>IF(VLOOKUP(Table7[[#This Row],[Date]],Database!$A:$C,MATCH($B$1,Database!$A$1:$C$1,),)=0,#N/A,VLOOKUP(Table7[[#This Row],[Date]],Database!$A:$C,MATCH($B$1,Database!$A$1:$C$1,),))</f>
        <v/>
      </c>
      <c r="C5337">
        <f>IF(VLOOKUP(Table7[[#This Row],[Date]],Database!$A:$C,MATCH($C$1,Database!$A$1:$C$1,),)=0,#N/A,VLOOKUP(Table7[[#This Row],[Date]],Database!$A:$C,MATCH($C$1,Database!$A$1:$C$1,),))</f>
        <v/>
      </c>
      <c r="D5337">
        <f>IFERROR(Table7[[#This Row],[United States 10y]]-Table7[[#This Row],[United States 3y]],#N/A)</f>
        <v/>
      </c>
    </row>
    <row r="5338">
      <c r="A5338" s="6">
        <f>Database!$A7423</f>
        <v/>
      </c>
      <c r="B5338">
        <f>IF(VLOOKUP(Table7[[#This Row],[Date]],Database!$A:$C,MATCH($B$1,Database!$A$1:$C$1,),)=0,#N/A,VLOOKUP(Table7[[#This Row],[Date]],Database!$A:$C,MATCH($B$1,Database!$A$1:$C$1,),))</f>
        <v/>
      </c>
      <c r="C5338">
        <f>IF(VLOOKUP(Table7[[#This Row],[Date]],Database!$A:$C,MATCH($C$1,Database!$A$1:$C$1,),)=0,#N/A,VLOOKUP(Table7[[#This Row],[Date]],Database!$A:$C,MATCH($C$1,Database!$A$1:$C$1,),))</f>
        <v/>
      </c>
      <c r="D5338">
        <f>IFERROR(Table7[[#This Row],[United States 10y]]-Table7[[#This Row],[United States 3y]],#N/A)</f>
        <v/>
      </c>
    </row>
    <row r="5339">
      <c r="A5339" s="6">
        <f>Database!$A7424</f>
        <v/>
      </c>
      <c r="B5339">
        <f>IF(VLOOKUP(Table7[[#This Row],[Date]],Database!$A:$C,MATCH($B$1,Database!$A$1:$C$1,),)=0,#N/A,VLOOKUP(Table7[[#This Row],[Date]],Database!$A:$C,MATCH($B$1,Database!$A$1:$C$1,),))</f>
        <v/>
      </c>
      <c r="C5339">
        <f>IF(VLOOKUP(Table7[[#This Row],[Date]],Database!$A:$C,MATCH($C$1,Database!$A$1:$C$1,),)=0,#N/A,VLOOKUP(Table7[[#This Row],[Date]],Database!$A:$C,MATCH($C$1,Database!$A$1:$C$1,),))</f>
        <v/>
      </c>
      <c r="D5339">
        <f>IFERROR(Table7[[#This Row],[United States 10y]]-Table7[[#This Row],[United States 3y]],#N/A)</f>
        <v/>
      </c>
    </row>
    <row r="5340">
      <c r="A5340" s="6">
        <f>Database!$A7425</f>
        <v/>
      </c>
      <c r="B5340">
        <f>IF(VLOOKUP(Table7[[#This Row],[Date]],Database!$A:$C,MATCH($B$1,Database!$A$1:$C$1,),)=0,#N/A,VLOOKUP(Table7[[#This Row],[Date]],Database!$A:$C,MATCH($B$1,Database!$A$1:$C$1,),))</f>
        <v/>
      </c>
      <c r="C5340">
        <f>IF(VLOOKUP(Table7[[#This Row],[Date]],Database!$A:$C,MATCH($C$1,Database!$A$1:$C$1,),)=0,#N/A,VLOOKUP(Table7[[#This Row],[Date]],Database!$A:$C,MATCH($C$1,Database!$A$1:$C$1,),))</f>
        <v/>
      </c>
      <c r="D5340">
        <f>IFERROR(Table7[[#This Row],[United States 10y]]-Table7[[#This Row],[United States 3y]],#N/A)</f>
        <v/>
      </c>
    </row>
    <row r="5341">
      <c r="A5341" s="6">
        <f>Database!$A7426</f>
        <v/>
      </c>
      <c r="B5341">
        <f>IF(VLOOKUP(Table7[[#This Row],[Date]],Database!$A:$C,MATCH($B$1,Database!$A$1:$C$1,),)=0,#N/A,VLOOKUP(Table7[[#This Row],[Date]],Database!$A:$C,MATCH($B$1,Database!$A$1:$C$1,),))</f>
        <v/>
      </c>
      <c r="C5341">
        <f>IF(VLOOKUP(Table7[[#This Row],[Date]],Database!$A:$C,MATCH($C$1,Database!$A$1:$C$1,),)=0,#N/A,VLOOKUP(Table7[[#This Row],[Date]],Database!$A:$C,MATCH($C$1,Database!$A$1:$C$1,),))</f>
        <v/>
      </c>
      <c r="D5341">
        <f>IFERROR(Table7[[#This Row],[United States 10y]]-Table7[[#This Row],[United States 3y]],#N/A)</f>
        <v/>
      </c>
    </row>
    <row r="5342">
      <c r="A5342" s="6">
        <f>Database!$A7427</f>
        <v/>
      </c>
      <c r="B5342">
        <f>IF(VLOOKUP(Table7[[#This Row],[Date]],Database!$A:$C,MATCH($B$1,Database!$A$1:$C$1,),)=0,#N/A,VLOOKUP(Table7[[#This Row],[Date]],Database!$A:$C,MATCH($B$1,Database!$A$1:$C$1,),))</f>
        <v/>
      </c>
      <c r="C5342">
        <f>IF(VLOOKUP(Table7[[#This Row],[Date]],Database!$A:$C,MATCH($C$1,Database!$A$1:$C$1,),)=0,#N/A,VLOOKUP(Table7[[#This Row],[Date]],Database!$A:$C,MATCH($C$1,Database!$A$1:$C$1,),))</f>
        <v/>
      </c>
      <c r="D5342">
        <f>IFERROR(Table7[[#This Row],[United States 10y]]-Table7[[#This Row],[United States 3y]],#N/A)</f>
        <v/>
      </c>
    </row>
    <row r="5343">
      <c r="A5343" s="6">
        <f>Database!$A7428</f>
        <v/>
      </c>
      <c r="B5343">
        <f>IF(VLOOKUP(Table7[[#This Row],[Date]],Database!$A:$C,MATCH($B$1,Database!$A$1:$C$1,),)=0,#N/A,VLOOKUP(Table7[[#This Row],[Date]],Database!$A:$C,MATCH($B$1,Database!$A$1:$C$1,),))</f>
        <v/>
      </c>
      <c r="C5343">
        <f>IF(VLOOKUP(Table7[[#This Row],[Date]],Database!$A:$C,MATCH($C$1,Database!$A$1:$C$1,),)=0,#N/A,VLOOKUP(Table7[[#This Row],[Date]],Database!$A:$C,MATCH($C$1,Database!$A$1:$C$1,),))</f>
        <v/>
      </c>
      <c r="D5343">
        <f>IFERROR(Table7[[#This Row],[United States 10y]]-Table7[[#This Row],[United States 3y]],#N/A)</f>
        <v/>
      </c>
    </row>
    <row r="5344">
      <c r="A5344" s="6">
        <f>Database!$A7429</f>
        <v/>
      </c>
      <c r="B5344">
        <f>IF(VLOOKUP(Table7[[#This Row],[Date]],Database!$A:$C,MATCH($B$1,Database!$A$1:$C$1,),)=0,#N/A,VLOOKUP(Table7[[#This Row],[Date]],Database!$A:$C,MATCH($B$1,Database!$A$1:$C$1,),))</f>
        <v/>
      </c>
      <c r="C5344">
        <f>IF(VLOOKUP(Table7[[#This Row],[Date]],Database!$A:$C,MATCH($C$1,Database!$A$1:$C$1,),)=0,#N/A,VLOOKUP(Table7[[#This Row],[Date]],Database!$A:$C,MATCH($C$1,Database!$A$1:$C$1,),))</f>
        <v/>
      </c>
      <c r="D5344">
        <f>IFERROR(Table7[[#This Row],[United States 10y]]-Table7[[#This Row],[United States 3y]],#N/A)</f>
        <v/>
      </c>
    </row>
    <row r="5345">
      <c r="A5345" s="6">
        <f>Database!$A7430</f>
        <v/>
      </c>
      <c r="B5345">
        <f>IF(VLOOKUP(Table7[[#This Row],[Date]],Database!$A:$C,MATCH($B$1,Database!$A$1:$C$1,),)=0,#N/A,VLOOKUP(Table7[[#This Row],[Date]],Database!$A:$C,MATCH($B$1,Database!$A$1:$C$1,),))</f>
        <v/>
      </c>
      <c r="C5345">
        <f>IF(VLOOKUP(Table7[[#This Row],[Date]],Database!$A:$C,MATCH($C$1,Database!$A$1:$C$1,),)=0,#N/A,VLOOKUP(Table7[[#This Row],[Date]],Database!$A:$C,MATCH($C$1,Database!$A$1:$C$1,),))</f>
        <v/>
      </c>
      <c r="D5345">
        <f>IFERROR(Table7[[#This Row],[United States 10y]]-Table7[[#This Row],[United States 3y]],#N/A)</f>
        <v/>
      </c>
    </row>
    <row r="5346">
      <c r="A5346" s="6">
        <f>Database!$A7431</f>
        <v/>
      </c>
      <c r="B5346">
        <f>IF(VLOOKUP(Table7[[#This Row],[Date]],Database!$A:$C,MATCH($B$1,Database!$A$1:$C$1,),)=0,#N/A,VLOOKUP(Table7[[#This Row],[Date]],Database!$A:$C,MATCH($B$1,Database!$A$1:$C$1,),))</f>
        <v/>
      </c>
      <c r="C5346">
        <f>IF(VLOOKUP(Table7[[#This Row],[Date]],Database!$A:$C,MATCH($C$1,Database!$A$1:$C$1,),)=0,#N/A,VLOOKUP(Table7[[#This Row],[Date]],Database!$A:$C,MATCH($C$1,Database!$A$1:$C$1,),))</f>
        <v/>
      </c>
      <c r="D5346">
        <f>IFERROR(Table7[[#This Row],[United States 10y]]-Table7[[#This Row],[United States 3y]],#N/A)</f>
        <v/>
      </c>
    </row>
    <row r="5347">
      <c r="A5347" s="6">
        <f>Database!$A7432</f>
        <v/>
      </c>
      <c r="B5347">
        <f>IF(VLOOKUP(Table7[[#This Row],[Date]],Database!$A:$C,MATCH($B$1,Database!$A$1:$C$1,),)=0,#N/A,VLOOKUP(Table7[[#This Row],[Date]],Database!$A:$C,MATCH($B$1,Database!$A$1:$C$1,),))</f>
        <v/>
      </c>
      <c r="C5347">
        <f>IF(VLOOKUP(Table7[[#This Row],[Date]],Database!$A:$C,MATCH($C$1,Database!$A$1:$C$1,),)=0,#N/A,VLOOKUP(Table7[[#This Row],[Date]],Database!$A:$C,MATCH($C$1,Database!$A$1:$C$1,),))</f>
        <v/>
      </c>
      <c r="D5347">
        <f>IFERROR(Table7[[#This Row],[United States 10y]]-Table7[[#This Row],[United States 3y]],#N/A)</f>
        <v/>
      </c>
    </row>
    <row r="5348">
      <c r="A5348" s="6">
        <f>Database!$A7433</f>
        <v/>
      </c>
      <c r="B5348">
        <f>IF(VLOOKUP(Table7[[#This Row],[Date]],Database!$A:$C,MATCH($B$1,Database!$A$1:$C$1,),)=0,#N/A,VLOOKUP(Table7[[#This Row],[Date]],Database!$A:$C,MATCH($B$1,Database!$A$1:$C$1,),))</f>
        <v/>
      </c>
      <c r="C5348">
        <f>IF(VLOOKUP(Table7[[#This Row],[Date]],Database!$A:$C,MATCH($C$1,Database!$A$1:$C$1,),)=0,#N/A,VLOOKUP(Table7[[#This Row],[Date]],Database!$A:$C,MATCH($C$1,Database!$A$1:$C$1,),))</f>
        <v/>
      </c>
      <c r="D5348">
        <f>IFERROR(Table7[[#This Row],[United States 10y]]-Table7[[#This Row],[United States 3y]],#N/A)</f>
        <v/>
      </c>
    </row>
    <row r="5349">
      <c r="A5349" s="6">
        <f>Database!$A7434</f>
        <v/>
      </c>
      <c r="B5349">
        <f>IF(VLOOKUP(Table7[[#This Row],[Date]],Database!$A:$C,MATCH($B$1,Database!$A$1:$C$1,),)=0,#N/A,VLOOKUP(Table7[[#This Row],[Date]],Database!$A:$C,MATCH($B$1,Database!$A$1:$C$1,),))</f>
        <v/>
      </c>
      <c r="C5349">
        <f>IF(VLOOKUP(Table7[[#This Row],[Date]],Database!$A:$C,MATCH($C$1,Database!$A$1:$C$1,),)=0,#N/A,VLOOKUP(Table7[[#This Row],[Date]],Database!$A:$C,MATCH($C$1,Database!$A$1:$C$1,),))</f>
        <v/>
      </c>
      <c r="D5349">
        <f>IFERROR(Table7[[#This Row],[United States 10y]]-Table7[[#This Row],[United States 3y]],#N/A)</f>
        <v/>
      </c>
    </row>
    <row r="5350">
      <c r="A5350" s="6">
        <f>Database!$A7435</f>
        <v/>
      </c>
      <c r="B5350">
        <f>IF(VLOOKUP(Table7[[#This Row],[Date]],Database!$A:$C,MATCH($B$1,Database!$A$1:$C$1,),)=0,#N/A,VLOOKUP(Table7[[#This Row],[Date]],Database!$A:$C,MATCH($B$1,Database!$A$1:$C$1,),))</f>
        <v/>
      </c>
      <c r="C5350">
        <f>IF(VLOOKUP(Table7[[#This Row],[Date]],Database!$A:$C,MATCH($C$1,Database!$A$1:$C$1,),)=0,#N/A,VLOOKUP(Table7[[#This Row],[Date]],Database!$A:$C,MATCH($C$1,Database!$A$1:$C$1,),))</f>
        <v/>
      </c>
      <c r="D5350">
        <f>IFERROR(Table7[[#This Row],[United States 10y]]-Table7[[#This Row],[United States 3y]],#N/A)</f>
        <v/>
      </c>
    </row>
    <row r="5351">
      <c r="A5351" s="6">
        <f>Database!$A7436</f>
        <v/>
      </c>
      <c r="B5351">
        <f>IF(VLOOKUP(Table7[[#This Row],[Date]],Database!$A:$C,MATCH($B$1,Database!$A$1:$C$1,),)=0,#N/A,VLOOKUP(Table7[[#This Row],[Date]],Database!$A:$C,MATCH($B$1,Database!$A$1:$C$1,),))</f>
        <v/>
      </c>
      <c r="C5351">
        <f>IF(VLOOKUP(Table7[[#This Row],[Date]],Database!$A:$C,MATCH($C$1,Database!$A$1:$C$1,),)=0,#N/A,VLOOKUP(Table7[[#This Row],[Date]],Database!$A:$C,MATCH($C$1,Database!$A$1:$C$1,),))</f>
        <v/>
      </c>
      <c r="D5351">
        <f>IFERROR(Table7[[#This Row],[United States 10y]]-Table7[[#This Row],[United States 3y]],#N/A)</f>
        <v/>
      </c>
    </row>
    <row r="5352">
      <c r="A5352" s="6">
        <f>Database!$A7437</f>
        <v/>
      </c>
      <c r="B5352">
        <f>IF(VLOOKUP(Table7[[#This Row],[Date]],Database!$A:$C,MATCH($B$1,Database!$A$1:$C$1,),)=0,#N/A,VLOOKUP(Table7[[#This Row],[Date]],Database!$A:$C,MATCH($B$1,Database!$A$1:$C$1,),))</f>
        <v/>
      </c>
      <c r="C5352">
        <f>IF(VLOOKUP(Table7[[#This Row],[Date]],Database!$A:$C,MATCH($C$1,Database!$A$1:$C$1,),)=0,#N/A,VLOOKUP(Table7[[#This Row],[Date]],Database!$A:$C,MATCH($C$1,Database!$A$1:$C$1,),))</f>
        <v/>
      </c>
      <c r="D5352">
        <f>IFERROR(Table7[[#This Row],[United States 10y]]-Table7[[#This Row],[United States 3y]],#N/A)</f>
        <v/>
      </c>
    </row>
    <row r="5353">
      <c r="A5353" s="6">
        <f>Database!$A7438</f>
        <v/>
      </c>
      <c r="B5353">
        <f>IF(VLOOKUP(Table7[[#This Row],[Date]],Database!$A:$C,MATCH($B$1,Database!$A$1:$C$1,),)=0,#N/A,VLOOKUP(Table7[[#This Row],[Date]],Database!$A:$C,MATCH($B$1,Database!$A$1:$C$1,),))</f>
        <v/>
      </c>
      <c r="C5353">
        <f>IF(VLOOKUP(Table7[[#This Row],[Date]],Database!$A:$C,MATCH($C$1,Database!$A$1:$C$1,),)=0,#N/A,VLOOKUP(Table7[[#This Row],[Date]],Database!$A:$C,MATCH($C$1,Database!$A$1:$C$1,),))</f>
        <v/>
      </c>
      <c r="D5353">
        <f>IFERROR(Table7[[#This Row],[United States 10y]]-Table7[[#This Row],[United States 3y]],#N/A)</f>
        <v/>
      </c>
    </row>
    <row r="5354">
      <c r="A5354" s="6">
        <f>Database!$A7439</f>
        <v/>
      </c>
      <c r="B5354">
        <f>IF(VLOOKUP(Table7[[#This Row],[Date]],Database!$A:$C,MATCH($B$1,Database!$A$1:$C$1,),)=0,#N/A,VLOOKUP(Table7[[#This Row],[Date]],Database!$A:$C,MATCH($B$1,Database!$A$1:$C$1,),))</f>
        <v/>
      </c>
      <c r="C5354">
        <f>IF(VLOOKUP(Table7[[#This Row],[Date]],Database!$A:$C,MATCH($C$1,Database!$A$1:$C$1,),)=0,#N/A,VLOOKUP(Table7[[#This Row],[Date]],Database!$A:$C,MATCH($C$1,Database!$A$1:$C$1,),))</f>
        <v/>
      </c>
      <c r="D5354">
        <f>IFERROR(Table7[[#This Row],[United States 10y]]-Table7[[#This Row],[United States 3y]],#N/A)</f>
        <v/>
      </c>
    </row>
    <row r="5355">
      <c r="A5355" s="6">
        <f>Database!$A7440</f>
        <v/>
      </c>
      <c r="B5355">
        <f>IF(VLOOKUP(Table7[[#This Row],[Date]],Database!$A:$C,MATCH($B$1,Database!$A$1:$C$1,),)=0,#N/A,VLOOKUP(Table7[[#This Row],[Date]],Database!$A:$C,MATCH($B$1,Database!$A$1:$C$1,),))</f>
        <v/>
      </c>
      <c r="C5355">
        <f>IF(VLOOKUP(Table7[[#This Row],[Date]],Database!$A:$C,MATCH($C$1,Database!$A$1:$C$1,),)=0,#N/A,VLOOKUP(Table7[[#This Row],[Date]],Database!$A:$C,MATCH($C$1,Database!$A$1:$C$1,),))</f>
        <v/>
      </c>
      <c r="D5355">
        <f>IFERROR(Table7[[#This Row],[United States 10y]]-Table7[[#This Row],[United States 3y]],#N/A)</f>
        <v/>
      </c>
    </row>
    <row r="5356">
      <c r="A5356" s="6">
        <f>Database!$A7441</f>
        <v/>
      </c>
      <c r="B5356">
        <f>IF(VLOOKUP(Table7[[#This Row],[Date]],Database!$A:$C,MATCH($B$1,Database!$A$1:$C$1,),)=0,#N/A,VLOOKUP(Table7[[#This Row],[Date]],Database!$A:$C,MATCH($B$1,Database!$A$1:$C$1,),))</f>
        <v/>
      </c>
      <c r="C5356">
        <f>IF(VLOOKUP(Table7[[#This Row],[Date]],Database!$A:$C,MATCH($C$1,Database!$A$1:$C$1,),)=0,#N/A,VLOOKUP(Table7[[#This Row],[Date]],Database!$A:$C,MATCH($C$1,Database!$A$1:$C$1,),))</f>
        <v/>
      </c>
      <c r="D5356">
        <f>IFERROR(Table7[[#This Row],[United States 10y]]-Table7[[#This Row],[United States 3y]],#N/A)</f>
        <v/>
      </c>
    </row>
    <row r="5357">
      <c r="A5357" s="6">
        <f>Database!$A7442</f>
        <v/>
      </c>
      <c r="B5357">
        <f>IF(VLOOKUP(Table7[[#This Row],[Date]],Database!$A:$C,MATCH($B$1,Database!$A$1:$C$1,),)=0,#N/A,VLOOKUP(Table7[[#This Row],[Date]],Database!$A:$C,MATCH($B$1,Database!$A$1:$C$1,),))</f>
        <v/>
      </c>
      <c r="C5357">
        <f>IF(VLOOKUP(Table7[[#This Row],[Date]],Database!$A:$C,MATCH($C$1,Database!$A$1:$C$1,),)=0,#N/A,VLOOKUP(Table7[[#This Row],[Date]],Database!$A:$C,MATCH($C$1,Database!$A$1:$C$1,),))</f>
        <v/>
      </c>
      <c r="D5357">
        <f>IFERROR(Table7[[#This Row],[United States 10y]]-Table7[[#This Row],[United States 3y]],#N/A)</f>
        <v/>
      </c>
    </row>
    <row r="5358">
      <c r="A5358" s="6">
        <f>Database!$A7443</f>
        <v/>
      </c>
      <c r="B5358">
        <f>IF(VLOOKUP(Table7[[#This Row],[Date]],Database!$A:$C,MATCH($B$1,Database!$A$1:$C$1,),)=0,#N/A,VLOOKUP(Table7[[#This Row],[Date]],Database!$A:$C,MATCH($B$1,Database!$A$1:$C$1,),))</f>
        <v/>
      </c>
      <c r="C5358">
        <f>IF(VLOOKUP(Table7[[#This Row],[Date]],Database!$A:$C,MATCH($C$1,Database!$A$1:$C$1,),)=0,#N/A,VLOOKUP(Table7[[#This Row],[Date]],Database!$A:$C,MATCH($C$1,Database!$A$1:$C$1,),))</f>
        <v/>
      </c>
      <c r="D5358">
        <f>IFERROR(Table7[[#This Row],[United States 10y]]-Table7[[#This Row],[United States 3y]],#N/A)</f>
        <v/>
      </c>
    </row>
    <row r="5359">
      <c r="A5359" s="6">
        <f>Database!$A7444</f>
        <v/>
      </c>
      <c r="B5359">
        <f>IF(VLOOKUP(Table7[[#This Row],[Date]],Database!$A:$C,MATCH($B$1,Database!$A$1:$C$1,),)=0,#N/A,VLOOKUP(Table7[[#This Row],[Date]],Database!$A:$C,MATCH($B$1,Database!$A$1:$C$1,),))</f>
        <v/>
      </c>
      <c r="C5359">
        <f>IF(VLOOKUP(Table7[[#This Row],[Date]],Database!$A:$C,MATCH($C$1,Database!$A$1:$C$1,),)=0,#N/A,VLOOKUP(Table7[[#This Row],[Date]],Database!$A:$C,MATCH($C$1,Database!$A$1:$C$1,),))</f>
        <v/>
      </c>
      <c r="D5359">
        <f>IFERROR(Table7[[#This Row],[United States 10y]]-Table7[[#This Row],[United States 3y]],#N/A)</f>
        <v/>
      </c>
    </row>
    <row r="5360">
      <c r="A5360" s="6">
        <f>Database!$A7445</f>
        <v/>
      </c>
      <c r="B5360">
        <f>IF(VLOOKUP(Table7[[#This Row],[Date]],Database!$A:$C,MATCH($B$1,Database!$A$1:$C$1,),)=0,#N/A,VLOOKUP(Table7[[#This Row],[Date]],Database!$A:$C,MATCH($B$1,Database!$A$1:$C$1,),))</f>
        <v/>
      </c>
      <c r="C5360">
        <f>IF(VLOOKUP(Table7[[#This Row],[Date]],Database!$A:$C,MATCH($C$1,Database!$A$1:$C$1,),)=0,#N/A,VLOOKUP(Table7[[#This Row],[Date]],Database!$A:$C,MATCH($C$1,Database!$A$1:$C$1,),))</f>
        <v/>
      </c>
      <c r="D5360">
        <f>IFERROR(Table7[[#This Row],[United States 10y]]-Table7[[#This Row],[United States 3y]],#N/A)</f>
        <v/>
      </c>
    </row>
    <row r="5361">
      <c r="A5361" s="6">
        <f>Database!$A7446</f>
        <v/>
      </c>
      <c r="B5361">
        <f>IF(VLOOKUP(Table7[[#This Row],[Date]],Database!$A:$C,MATCH($B$1,Database!$A$1:$C$1,),)=0,#N/A,VLOOKUP(Table7[[#This Row],[Date]],Database!$A:$C,MATCH($B$1,Database!$A$1:$C$1,),))</f>
        <v/>
      </c>
      <c r="C5361">
        <f>IF(VLOOKUP(Table7[[#This Row],[Date]],Database!$A:$C,MATCH($C$1,Database!$A$1:$C$1,),)=0,#N/A,VLOOKUP(Table7[[#This Row],[Date]],Database!$A:$C,MATCH($C$1,Database!$A$1:$C$1,),))</f>
        <v/>
      </c>
      <c r="D5361">
        <f>IFERROR(Table7[[#This Row],[United States 10y]]-Table7[[#This Row],[United States 3y]],#N/A)</f>
        <v/>
      </c>
    </row>
    <row r="5362">
      <c r="A5362" s="6">
        <f>Database!$A7447</f>
        <v/>
      </c>
      <c r="B5362">
        <f>IF(VLOOKUP(Table7[[#This Row],[Date]],Database!$A:$C,MATCH($B$1,Database!$A$1:$C$1,),)=0,#N/A,VLOOKUP(Table7[[#This Row],[Date]],Database!$A:$C,MATCH($B$1,Database!$A$1:$C$1,),))</f>
        <v/>
      </c>
      <c r="C5362">
        <f>IF(VLOOKUP(Table7[[#This Row],[Date]],Database!$A:$C,MATCH($C$1,Database!$A$1:$C$1,),)=0,#N/A,VLOOKUP(Table7[[#This Row],[Date]],Database!$A:$C,MATCH($C$1,Database!$A$1:$C$1,),))</f>
        <v/>
      </c>
      <c r="D5362">
        <f>IFERROR(Table7[[#This Row],[United States 10y]]-Table7[[#This Row],[United States 3y]],#N/A)</f>
        <v/>
      </c>
    </row>
    <row r="5363">
      <c r="A5363" s="6">
        <f>Database!$A7448</f>
        <v/>
      </c>
      <c r="B5363">
        <f>IF(VLOOKUP(Table7[[#This Row],[Date]],Database!$A:$C,MATCH($B$1,Database!$A$1:$C$1,),)=0,#N/A,VLOOKUP(Table7[[#This Row],[Date]],Database!$A:$C,MATCH($B$1,Database!$A$1:$C$1,),))</f>
        <v/>
      </c>
      <c r="C5363">
        <f>IF(VLOOKUP(Table7[[#This Row],[Date]],Database!$A:$C,MATCH($C$1,Database!$A$1:$C$1,),)=0,#N/A,VLOOKUP(Table7[[#This Row],[Date]],Database!$A:$C,MATCH($C$1,Database!$A$1:$C$1,),))</f>
        <v/>
      </c>
      <c r="D5363">
        <f>IFERROR(Table7[[#This Row],[United States 10y]]-Table7[[#This Row],[United States 3y]],#N/A)</f>
        <v/>
      </c>
    </row>
    <row r="5364">
      <c r="A5364" s="6">
        <f>Database!$A7449</f>
        <v/>
      </c>
      <c r="B5364">
        <f>IF(VLOOKUP(Table7[[#This Row],[Date]],Database!$A:$C,MATCH($B$1,Database!$A$1:$C$1,),)=0,#N/A,VLOOKUP(Table7[[#This Row],[Date]],Database!$A:$C,MATCH($B$1,Database!$A$1:$C$1,),))</f>
        <v/>
      </c>
      <c r="C5364">
        <f>IF(VLOOKUP(Table7[[#This Row],[Date]],Database!$A:$C,MATCH($C$1,Database!$A$1:$C$1,),)=0,#N/A,VLOOKUP(Table7[[#This Row],[Date]],Database!$A:$C,MATCH($C$1,Database!$A$1:$C$1,),))</f>
        <v/>
      </c>
      <c r="D5364">
        <f>IFERROR(Table7[[#This Row],[United States 10y]]-Table7[[#This Row],[United States 3y]],#N/A)</f>
        <v/>
      </c>
    </row>
    <row r="5365">
      <c r="A5365" s="6">
        <f>Database!$A7450</f>
        <v/>
      </c>
      <c r="B5365">
        <f>IF(VLOOKUP(Table7[[#This Row],[Date]],Database!$A:$C,MATCH($B$1,Database!$A$1:$C$1,),)=0,#N/A,VLOOKUP(Table7[[#This Row],[Date]],Database!$A:$C,MATCH($B$1,Database!$A$1:$C$1,),))</f>
        <v/>
      </c>
      <c r="C5365">
        <f>IF(VLOOKUP(Table7[[#This Row],[Date]],Database!$A:$C,MATCH($C$1,Database!$A$1:$C$1,),)=0,#N/A,VLOOKUP(Table7[[#This Row],[Date]],Database!$A:$C,MATCH($C$1,Database!$A$1:$C$1,),))</f>
        <v/>
      </c>
      <c r="D5365">
        <f>IFERROR(Table7[[#This Row],[United States 10y]]-Table7[[#This Row],[United States 3y]],#N/A)</f>
        <v/>
      </c>
    </row>
    <row r="5366">
      <c r="A5366" s="6">
        <f>Database!$A7451</f>
        <v/>
      </c>
      <c r="B5366">
        <f>IF(VLOOKUP(Table7[[#This Row],[Date]],Database!$A:$C,MATCH($B$1,Database!$A$1:$C$1,),)=0,#N/A,VLOOKUP(Table7[[#This Row],[Date]],Database!$A:$C,MATCH($B$1,Database!$A$1:$C$1,),))</f>
        <v/>
      </c>
      <c r="C5366">
        <f>IF(VLOOKUP(Table7[[#This Row],[Date]],Database!$A:$C,MATCH($C$1,Database!$A$1:$C$1,),)=0,#N/A,VLOOKUP(Table7[[#This Row],[Date]],Database!$A:$C,MATCH($C$1,Database!$A$1:$C$1,),))</f>
        <v/>
      </c>
      <c r="D5366">
        <f>IFERROR(Table7[[#This Row],[United States 10y]]-Table7[[#This Row],[United States 3y]],#N/A)</f>
        <v/>
      </c>
    </row>
    <row r="5367">
      <c r="A5367" s="6">
        <f>Database!$A7452</f>
        <v/>
      </c>
      <c r="B5367">
        <f>IF(VLOOKUP(Table7[[#This Row],[Date]],Database!$A:$C,MATCH($B$1,Database!$A$1:$C$1,),)=0,#N/A,VLOOKUP(Table7[[#This Row],[Date]],Database!$A:$C,MATCH($B$1,Database!$A$1:$C$1,),))</f>
        <v/>
      </c>
      <c r="C5367">
        <f>IF(VLOOKUP(Table7[[#This Row],[Date]],Database!$A:$C,MATCH($C$1,Database!$A$1:$C$1,),)=0,#N/A,VLOOKUP(Table7[[#This Row],[Date]],Database!$A:$C,MATCH($C$1,Database!$A$1:$C$1,),))</f>
        <v/>
      </c>
      <c r="D5367">
        <f>IFERROR(Table7[[#This Row],[United States 10y]]-Table7[[#This Row],[United States 3y]],#N/A)</f>
        <v/>
      </c>
    </row>
    <row r="5368">
      <c r="A5368" s="6">
        <f>Database!$A7453</f>
        <v/>
      </c>
      <c r="B5368">
        <f>IF(VLOOKUP(Table7[[#This Row],[Date]],Database!$A:$C,MATCH($B$1,Database!$A$1:$C$1,),)=0,#N/A,VLOOKUP(Table7[[#This Row],[Date]],Database!$A:$C,MATCH($B$1,Database!$A$1:$C$1,),))</f>
        <v/>
      </c>
      <c r="C5368">
        <f>IF(VLOOKUP(Table7[[#This Row],[Date]],Database!$A:$C,MATCH($C$1,Database!$A$1:$C$1,),)=0,#N/A,VLOOKUP(Table7[[#This Row],[Date]],Database!$A:$C,MATCH($C$1,Database!$A$1:$C$1,),))</f>
        <v/>
      </c>
      <c r="D5368">
        <f>IFERROR(Table7[[#This Row],[United States 10y]]-Table7[[#This Row],[United States 3y]],#N/A)</f>
        <v/>
      </c>
    </row>
    <row r="5369">
      <c r="A5369" s="6">
        <f>Database!$A7454</f>
        <v/>
      </c>
      <c r="B5369">
        <f>IF(VLOOKUP(Table7[[#This Row],[Date]],Database!$A:$C,MATCH($B$1,Database!$A$1:$C$1,),)=0,#N/A,VLOOKUP(Table7[[#This Row],[Date]],Database!$A:$C,MATCH($B$1,Database!$A$1:$C$1,),))</f>
        <v/>
      </c>
      <c r="C5369">
        <f>IF(VLOOKUP(Table7[[#This Row],[Date]],Database!$A:$C,MATCH($C$1,Database!$A$1:$C$1,),)=0,#N/A,VLOOKUP(Table7[[#This Row],[Date]],Database!$A:$C,MATCH($C$1,Database!$A$1:$C$1,),))</f>
        <v/>
      </c>
      <c r="D5369">
        <f>IFERROR(Table7[[#This Row],[United States 10y]]-Table7[[#This Row],[United States 3y]],#N/A)</f>
        <v/>
      </c>
    </row>
    <row r="5370">
      <c r="A5370" s="6">
        <f>Database!$A7455</f>
        <v/>
      </c>
      <c r="B5370">
        <f>IF(VLOOKUP(Table7[[#This Row],[Date]],Database!$A:$C,MATCH($B$1,Database!$A$1:$C$1,),)=0,#N/A,VLOOKUP(Table7[[#This Row],[Date]],Database!$A:$C,MATCH($B$1,Database!$A$1:$C$1,),))</f>
        <v/>
      </c>
      <c r="C5370">
        <f>IF(VLOOKUP(Table7[[#This Row],[Date]],Database!$A:$C,MATCH($C$1,Database!$A$1:$C$1,),)=0,#N/A,VLOOKUP(Table7[[#This Row],[Date]],Database!$A:$C,MATCH($C$1,Database!$A$1:$C$1,),))</f>
        <v/>
      </c>
      <c r="D5370">
        <f>IFERROR(Table7[[#This Row],[United States 10y]]-Table7[[#This Row],[United States 3y]],#N/A)</f>
        <v/>
      </c>
    </row>
    <row r="5371">
      <c r="A5371" s="6">
        <f>Database!$A7456</f>
        <v/>
      </c>
      <c r="B5371">
        <f>IF(VLOOKUP(Table7[[#This Row],[Date]],Database!$A:$C,MATCH($B$1,Database!$A$1:$C$1,),)=0,#N/A,VLOOKUP(Table7[[#This Row],[Date]],Database!$A:$C,MATCH($B$1,Database!$A$1:$C$1,),))</f>
        <v/>
      </c>
      <c r="C5371">
        <f>IF(VLOOKUP(Table7[[#This Row],[Date]],Database!$A:$C,MATCH($C$1,Database!$A$1:$C$1,),)=0,#N/A,VLOOKUP(Table7[[#This Row],[Date]],Database!$A:$C,MATCH($C$1,Database!$A$1:$C$1,),))</f>
        <v/>
      </c>
      <c r="D5371">
        <f>IFERROR(Table7[[#This Row],[United States 10y]]-Table7[[#This Row],[United States 3y]],#N/A)</f>
        <v/>
      </c>
    </row>
    <row r="5372">
      <c r="A5372" s="6">
        <f>Database!$A7457</f>
        <v/>
      </c>
      <c r="B5372">
        <f>IF(VLOOKUP(Table7[[#This Row],[Date]],Database!$A:$C,MATCH($B$1,Database!$A$1:$C$1,),)=0,#N/A,VLOOKUP(Table7[[#This Row],[Date]],Database!$A:$C,MATCH($B$1,Database!$A$1:$C$1,),))</f>
        <v/>
      </c>
      <c r="C5372">
        <f>IF(VLOOKUP(Table7[[#This Row],[Date]],Database!$A:$C,MATCH($C$1,Database!$A$1:$C$1,),)=0,#N/A,VLOOKUP(Table7[[#This Row],[Date]],Database!$A:$C,MATCH($C$1,Database!$A$1:$C$1,),))</f>
        <v/>
      </c>
      <c r="D5372">
        <f>IFERROR(Table7[[#This Row],[United States 10y]]-Table7[[#This Row],[United States 3y]],#N/A)</f>
        <v/>
      </c>
    </row>
    <row r="5373">
      <c r="A5373" s="6">
        <f>Database!$A7458</f>
        <v/>
      </c>
      <c r="B5373">
        <f>IF(VLOOKUP(Table7[[#This Row],[Date]],Database!$A:$C,MATCH($B$1,Database!$A$1:$C$1,),)=0,#N/A,VLOOKUP(Table7[[#This Row],[Date]],Database!$A:$C,MATCH($B$1,Database!$A$1:$C$1,),))</f>
        <v/>
      </c>
      <c r="C5373">
        <f>IF(VLOOKUP(Table7[[#This Row],[Date]],Database!$A:$C,MATCH($C$1,Database!$A$1:$C$1,),)=0,#N/A,VLOOKUP(Table7[[#This Row],[Date]],Database!$A:$C,MATCH($C$1,Database!$A$1:$C$1,),))</f>
        <v/>
      </c>
      <c r="D5373">
        <f>IFERROR(Table7[[#This Row],[United States 10y]]-Table7[[#This Row],[United States 3y]],#N/A)</f>
        <v/>
      </c>
    </row>
    <row r="5374">
      <c r="A5374" s="6">
        <f>Database!$A7459</f>
        <v/>
      </c>
      <c r="B5374">
        <f>IF(VLOOKUP(Table7[[#This Row],[Date]],Database!$A:$C,MATCH($B$1,Database!$A$1:$C$1,),)=0,#N/A,VLOOKUP(Table7[[#This Row],[Date]],Database!$A:$C,MATCH($B$1,Database!$A$1:$C$1,),))</f>
        <v/>
      </c>
      <c r="C5374">
        <f>IF(VLOOKUP(Table7[[#This Row],[Date]],Database!$A:$C,MATCH($C$1,Database!$A$1:$C$1,),)=0,#N/A,VLOOKUP(Table7[[#This Row],[Date]],Database!$A:$C,MATCH($C$1,Database!$A$1:$C$1,),))</f>
        <v/>
      </c>
      <c r="D5374">
        <f>IFERROR(Table7[[#This Row],[United States 10y]]-Table7[[#This Row],[United States 3y]],#N/A)</f>
        <v/>
      </c>
    </row>
    <row r="5375">
      <c r="A5375" s="6">
        <f>Database!$A7460</f>
        <v/>
      </c>
      <c r="B5375">
        <f>IF(VLOOKUP(Table7[[#This Row],[Date]],Database!$A:$C,MATCH($B$1,Database!$A$1:$C$1,),)=0,#N/A,VLOOKUP(Table7[[#This Row],[Date]],Database!$A:$C,MATCH($B$1,Database!$A$1:$C$1,),))</f>
        <v/>
      </c>
      <c r="C5375">
        <f>IF(VLOOKUP(Table7[[#This Row],[Date]],Database!$A:$C,MATCH($C$1,Database!$A$1:$C$1,),)=0,#N/A,VLOOKUP(Table7[[#This Row],[Date]],Database!$A:$C,MATCH($C$1,Database!$A$1:$C$1,),))</f>
        <v/>
      </c>
      <c r="D5375">
        <f>IFERROR(Table7[[#This Row],[United States 10y]]-Table7[[#This Row],[United States 3y]],#N/A)</f>
        <v/>
      </c>
    </row>
    <row r="5376">
      <c r="A5376" s="6">
        <f>Database!$A7461</f>
        <v/>
      </c>
      <c r="B5376">
        <f>IF(VLOOKUP(Table7[[#This Row],[Date]],Database!$A:$C,MATCH($B$1,Database!$A$1:$C$1,),)=0,#N/A,VLOOKUP(Table7[[#This Row],[Date]],Database!$A:$C,MATCH($B$1,Database!$A$1:$C$1,),))</f>
        <v/>
      </c>
      <c r="C5376">
        <f>IF(VLOOKUP(Table7[[#This Row],[Date]],Database!$A:$C,MATCH($C$1,Database!$A$1:$C$1,),)=0,#N/A,VLOOKUP(Table7[[#This Row],[Date]],Database!$A:$C,MATCH($C$1,Database!$A$1:$C$1,),))</f>
        <v/>
      </c>
      <c r="D5376">
        <f>IFERROR(Table7[[#This Row],[United States 10y]]-Table7[[#This Row],[United States 3y]],#N/A)</f>
        <v/>
      </c>
    </row>
    <row r="5377">
      <c r="A5377" s="6">
        <f>Database!$A7462</f>
        <v/>
      </c>
      <c r="B5377">
        <f>IF(VLOOKUP(Table7[[#This Row],[Date]],Database!$A:$C,MATCH($B$1,Database!$A$1:$C$1,),)=0,#N/A,VLOOKUP(Table7[[#This Row],[Date]],Database!$A:$C,MATCH($B$1,Database!$A$1:$C$1,),))</f>
        <v/>
      </c>
      <c r="C5377">
        <f>IF(VLOOKUP(Table7[[#This Row],[Date]],Database!$A:$C,MATCH($C$1,Database!$A$1:$C$1,),)=0,#N/A,VLOOKUP(Table7[[#This Row],[Date]],Database!$A:$C,MATCH($C$1,Database!$A$1:$C$1,),))</f>
        <v/>
      </c>
      <c r="D5377">
        <f>IFERROR(Table7[[#This Row],[United States 10y]]-Table7[[#This Row],[United States 3y]],#N/A)</f>
        <v/>
      </c>
    </row>
    <row r="5378">
      <c r="A5378" s="6">
        <f>Database!$A7463</f>
        <v/>
      </c>
      <c r="B5378">
        <f>IF(VLOOKUP(Table7[[#This Row],[Date]],Database!$A:$C,MATCH($B$1,Database!$A$1:$C$1,),)=0,#N/A,VLOOKUP(Table7[[#This Row],[Date]],Database!$A:$C,MATCH($B$1,Database!$A$1:$C$1,),))</f>
        <v/>
      </c>
      <c r="C5378">
        <f>IF(VLOOKUP(Table7[[#This Row],[Date]],Database!$A:$C,MATCH($C$1,Database!$A$1:$C$1,),)=0,#N/A,VLOOKUP(Table7[[#This Row],[Date]],Database!$A:$C,MATCH($C$1,Database!$A$1:$C$1,),))</f>
        <v/>
      </c>
      <c r="D5378">
        <f>IFERROR(Table7[[#This Row],[United States 10y]]-Table7[[#This Row],[United States 3y]],#N/A)</f>
        <v/>
      </c>
    </row>
    <row r="5379">
      <c r="A5379" s="6">
        <f>Database!$A7464</f>
        <v/>
      </c>
      <c r="B5379">
        <f>IF(VLOOKUP(Table7[[#This Row],[Date]],Database!$A:$C,MATCH($B$1,Database!$A$1:$C$1,),)=0,#N/A,VLOOKUP(Table7[[#This Row],[Date]],Database!$A:$C,MATCH($B$1,Database!$A$1:$C$1,),))</f>
        <v/>
      </c>
      <c r="C5379">
        <f>IF(VLOOKUP(Table7[[#This Row],[Date]],Database!$A:$C,MATCH($C$1,Database!$A$1:$C$1,),)=0,#N/A,VLOOKUP(Table7[[#This Row],[Date]],Database!$A:$C,MATCH($C$1,Database!$A$1:$C$1,),))</f>
        <v/>
      </c>
      <c r="D5379">
        <f>IFERROR(Table7[[#This Row],[United States 10y]]-Table7[[#This Row],[United States 3y]],#N/A)</f>
        <v/>
      </c>
    </row>
    <row r="5380">
      <c r="A5380" s="6">
        <f>Database!$A7465</f>
        <v/>
      </c>
      <c r="B5380">
        <f>IF(VLOOKUP(Table7[[#This Row],[Date]],Database!$A:$C,MATCH($B$1,Database!$A$1:$C$1,),)=0,#N/A,VLOOKUP(Table7[[#This Row],[Date]],Database!$A:$C,MATCH($B$1,Database!$A$1:$C$1,),))</f>
        <v/>
      </c>
      <c r="C5380">
        <f>IF(VLOOKUP(Table7[[#This Row],[Date]],Database!$A:$C,MATCH($C$1,Database!$A$1:$C$1,),)=0,#N/A,VLOOKUP(Table7[[#This Row],[Date]],Database!$A:$C,MATCH($C$1,Database!$A$1:$C$1,),))</f>
        <v/>
      </c>
      <c r="D5380">
        <f>IFERROR(Table7[[#This Row],[United States 10y]]-Table7[[#This Row],[United States 3y]],#N/A)</f>
        <v/>
      </c>
    </row>
    <row r="5381">
      <c r="A5381" s="6">
        <f>Database!$A7466</f>
        <v/>
      </c>
      <c r="B5381">
        <f>IF(VLOOKUP(Table7[[#This Row],[Date]],Database!$A:$C,MATCH($B$1,Database!$A$1:$C$1,),)=0,#N/A,VLOOKUP(Table7[[#This Row],[Date]],Database!$A:$C,MATCH($B$1,Database!$A$1:$C$1,),))</f>
        <v/>
      </c>
      <c r="C5381">
        <f>IF(VLOOKUP(Table7[[#This Row],[Date]],Database!$A:$C,MATCH($C$1,Database!$A$1:$C$1,),)=0,#N/A,VLOOKUP(Table7[[#This Row],[Date]],Database!$A:$C,MATCH($C$1,Database!$A$1:$C$1,),))</f>
        <v/>
      </c>
      <c r="D5381">
        <f>IFERROR(Table7[[#This Row],[United States 10y]]-Table7[[#This Row],[United States 3y]],#N/A)</f>
        <v/>
      </c>
    </row>
    <row r="5382">
      <c r="A5382" s="6">
        <f>Database!$A7467</f>
        <v/>
      </c>
      <c r="B5382">
        <f>IF(VLOOKUP(Table7[[#This Row],[Date]],Database!$A:$C,MATCH($B$1,Database!$A$1:$C$1,),)=0,#N/A,VLOOKUP(Table7[[#This Row],[Date]],Database!$A:$C,MATCH($B$1,Database!$A$1:$C$1,),))</f>
        <v/>
      </c>
      <c r="C5382">
        <f>IF(VLOOKUP(Table7[[#This Row],[Date]],Database!$A:$C,MATCH($C$1,Database!$A$1:$C$1,),)=0,#N/A,VLOOKUP(Table7[[#This Row],[Date]],Database!$A:$C,MATCH($C$1,Database!$A$1:$C$1,),))</f>
        <v/>
      </c>
      <c r="D5382">
        <f>IFERROR(Table7[[#This Row],[United States 10y]]-Table7[[#This Row],[United States 3y]],#N/A)</f>
        <v/>
      </c>
    </row>
    <row r="5383">
      <c r="A5383" s="6">
        <f>Database!$A7468</f>
        <v/>
      </c>
      <c r="B5383">
        <f>IF(VLOOKUP(Table7[[#This Row],[Date]],Database!$A:$C,MATCH($B$1,Database!$A$1:$C$1,),)=0,#N/A,VLOOKUP(Table7[[#This Row],[Date]],Database!$A:$C,MATCH($B$1,Database!$A$1:$C$1,),))</f>
        <v/>
      </c>
      <c r="C5383">
        <f>IF(VLOOKUP(Table7[[#This Row],[Date]],Database!$A:$C,MATCH($C$1,Database!$A$1:$C$1,),)=0,#N/A,VLOOKUP(Table7[[#This Row],[Date]],Database!$A:$C,MATCH($C$1,Database!$A$1:$C$1,),))</f>
        <v/>
      </c>
      <c r="D5383">
        <f>IFERROR(Table7[[#This Row],[United States 10y]]-Table7[[#This Row],[United States 3y]],#N/A)</f>
        <v/>
      </c>
    </row>
    <row r="5384">
      <c r="A5384" s="6">
        <f>Database!$A7469</f>
        <v/>
      </c>
      <c r="B5384">
        <f>IF(VLOOKUP(Table7[[#This Row],[Date]],Database!$A:$C,MATCH($B$1,Database!$A$1:$C$1,),)=0,#N/A,VLOOKUP(Table7[[#This Row],[Date]],Database!$A:$C,MATCH($B$1,Database!$A$1:$C$1,),))</f>
        <v/>
      </c>
      <c r="C5384">
        <f>IF(VLOOKUP(Table7[[#This Row],[Date]],Database!$A:$C,MATCH($C$1,Database!$A$1:$C$1,),)=0,#N/A,VLOOKUP(Table7[[#This Row],[Date]],Database!$A:$C,MATCH($C$1,Database!$A$1:$C$1,),))</f>
        <v/>
      </c>
      <c r="D5384">
        <f>IFERROR(Table7[[#This Row],[United States 10y]]-Table7[[#This Row],[United States 3y]],#N/A)</f>
        <v/>
      </c>
    </row>
    <row r="5385">
      <c r="A5385" s="6">
        <f>Database!$A7470</f>
        <v/>
      </c>
      <c r="B5385">
        <f>IF(VLOOKUP(Table7[[#This Row],[Date]],Database!$A:$C,MATCH($B$1,Database!$A$1:$C$1,),)=0,#N/A,VLOOKUP(Table7[[#This Row],[Date]],Database!$A:$C,MATCH($B$1,Database!$A$1:$C$1,),))</f>
        <v/>
      </c>
      <c r="C5385">
        <f>IF(VLOOKUP(Table7[[#This Row],[Date]],Database!$A:$C,MATCH($C$1,Database!$A$1:$C$1,),)=0,#N/A,VLOOKUP(Table7[[#This Row],[Date]],Database!$A:$C,MATCH($C$1,Database!$A$1:$C$1,),))</f>
        <v/>
      </c>
      <c r="D5385">
        <f>IFERROR(Table7[[#This Row],[United States 10y]]-Table7[[#This Row],[United States 3y]],#N/A)</f>
        <v/>
      </c>
    </row>
    <row r="5386">
      <c r="A5386" s="6">
        <f>Database!$A7471</f>
        <v/>
      </c>
      <c r="B5386">
        <f>IF(VLOOKUP(Table7[[#This Row],[Date]],Database!$A:$C,MATCH($B$1,Database!$A$1:$C$1,),)=0,#N/A,VLOOKUP(Table7[[#This Row],[Date]],Database!$A:$C,MATCH($B$1,Database!$A$1:$C$1,),))</f>
        <v/>
      </c>
      <c r="C5386">
        <f>IF(VLOOKUP(Table7[[#This Row],[Date]],Database!$A:$C,MATCH($C$1,Database!$A$1:$C$1,),)=0,#N/A,VLOOKUP(Table7[[#This Row],[Date]],Database!$A:$C,MATCH($C$1,Database!$A$1:$C$1,),))</f>
        <v/>
      </c>
      <c r="D5386">
        <f>IFERROR(Table7[[#This Row],[United States 10y]]-Table7[[#This Row],[United States 3y]],#N/A)</f>
        <v/>
      </c>
    </row>
    <row r="5387">
      <c r="A5387" s="6">
        <f>Database!$A7472</f>
        <v/>
      </c>
      <c r="B5387">
        <f>IF(VLOOKUP(Table7[[#This Row],[Date]],Database!$A:$C,MATCH($B$1,Database!$A$1:$C$1,),)=0,#N/A,VLOOKUP(Table7[[#This Row],[Date]],Database!$A:$C,MATCH($B$1,Database!$A$1:$C$1,),))</f>
        <v/>
      </c>
      <c r="C5387">
        <f>IF(VLOOKUP(Table7[[#This Row],[Date]],Database!$A:$C,MATCH($C$1,Database!$A$1:$C$1,),)=0,#N/A,VLOOKUP(Table7[[#This Row],[Date]],Database!$A:$C,MATCH($C$1,Database!$A$1:$C$1,),))</f>
        <v/>
      </c>
      <c r="D5387">
        <f>IFERROR(Table7[[#This Row],[United States 10y]]-Table7[[#This Row],[United States 3y]],#N/A)</f>
        <v/>
      </c>
    </row>
    <row r="5388">
      <c r="A5388" s="6">
        <f>Database!$A7473</f>
        <v/>
      </c>
      <c r="B5388">
        <f>IF(VLOOKUP(Table7[[#This Row],[Date]],Database!$A:$C,MATCH($B$1,Database!$A$1:$C$1,),)=0,#N/A,VLOOKUP(Table7[[#This Row],[Date]],Database!$A:$C,MATCH($B$1,Database!$A$1:$C$1,),))</f>
        <v/>
      </c>
      <c r="C5388">
        <f>IF(VLOOKUP(Table7[[#This Row],[Date]],Database!$A:$C,MATCH($C$1,Database!$A$1:$C$1,),)=0,#N/A,VLOOKUP(Table7[[#This Row],[Date]],Database!$A:$C,MATCH($C$1,Database!$A$1:$C$1,),))</f>
        <v/>
      </c>
      <c r="D5388">
        <f>IFERROR(Table7[[#This Row],[United States 10y]]-Table7[[#This Row],[United States 3y]],#N/A)</f>
        <v/>
      </c>
    </row>
    <row r="5389">
      <c r="A5389" s="6">
        <f>Database!$A7474</f>
        <v/>
      </c>
      <c r="B5389">
        <f>IF(VLOOKUP(Table7[[#This Row],[Date]],Database!$A:$C,MATCH($B$1,Database!$A$1:$C$1,),)=0,#N/A,VLOOKUP(Table7[[#This Row],[Date]],Database!$A:$C,MATCH($B$1,Database!$A$1:$C$1,),))</f>
        <v/>
      </c>
      <c r="C5389">
        <f>IF(VLOOKUP(Table7[[#This Row],[Date]],Database!$A:$C,MATCH($C$1,Database!$A$1:$C$1,),)=0,#N/A,VLOOKUP(Table7[[#This Row],[Date]],Database!$A:$C,MATCH($C$1,Database!$A$1:$C$1,),))</f>
        <v/>
      </c>
      <c r="D5389">
        <f>IFERROR(Table7[[#This Row],[United States 10y]]-Table7[[#This Row],[United States 3y]],#N/A)</f>
        <v/>
      </c>
    </row>
    <row r="5390">
      <c r="A5390" s="6">
        <f>Database!$A7475</f>
        <v/>
      </c>
      <c r="B5390">
        <f>IF(VLOOKUP(Table7[[#This Row],[Date]],Database!$A:$C,MATCH($B$1,Database!$A$1:$C$1,),)=0,#N/A,VLOOKUP(Table7[[#This Row],[Date]],Database!$A:$C,MATCH($B$1,Database!$A$1:$C$1,),))</f>
        <v/>
      </c>
      <c r="C5390">
        <f>IF(VLOOKUP(Table7[[#This Row],[Date]],Database!$A:$C,MATCH($C$1,Database!$A$1:$C$1,),)=0,#N/A,VLOOKUP(Table7[[#This Row],[Date]],Database!$A:$C,MATCH($C$1,Database!$A$1:$C$1,),))</f>
        <v/>
      </c>
      <c r="D5390">
        <f>IFERROR(Table7[[#This Row],[United States 10y]]-Table7[[#This Row],[United States 3y]],#N/A)</f>
        <v/>
      </c>
    </row>
    <row r="5391">
      <c r="A5391" s="6">
        <f>Database!$A7476</f>
        <v/>
      </c>
      <c r="B5391">
        <f>IF(VLOOKUP(Table7[[#This Row],[Date]],Database!$A:$C,MATCH($B$1,Database!$A$1:$C$1,),)=0,#N/A,VLOOKUP(Table7[[#This Row],[Date]],Database!$A:$C,MATCH($B$1,Database!$A$1:$C$1,),))</f>
        <v/>
      </c>
      <c r="C5391">
        <f>IF(VLOOKUP(Table7[[#This Row],[Date]],Database!$A:$C,MATCH($C$1,Database!$A$1:$C$1,),)=0,#N/A,VLOOKUP(Table7[[#This Row],[Date]],Database!$A:$C,MATCH($C$1,Database!$A$1:$C$1,),))</f>
        <v/>
      </c>
      <c r="D5391">
        <f>IFERROR(Table7[[#This Row],[United States 10y]]-Table7[[#This Row],[United States 3y]],#N/A)</f>
        <v/>
      </c>
    </row>
    <row r="5392">
      <c r="A5392" s="6">
        <f>Database!$A7477</f>
        <v/>
      </c>
      <c r="B5392">
        <f>IF(VLOOKUP(Table7[[#This Row],[Date]],Database!$A:$C,MATCH($B$1,Database!$A$1:$C$1,),)=0,#N/A,VLOOKUP(Table7[[#This Row],[Date]],Database!$A:$C,MATCH($B$1,Database!$A$1:$C$1,),))</f>
        <v/>
      </c>
      <c r="C5392">
        <f>IF(VLOOKUP(Table7[[#This Row],[Date]],Database!$A:$C,MATCH($C$1,Database!$A$1:$C$1,),)=0,#N/A,VLOOKUP(Table7[[#This Row],[Date]],Database!$A:$C,MATCH($C$1,Database!$A$1:$C$1,),))</f>
        <v/>
      </c>
      <c r="D5392">
        <f>IFERROR(Table7[[#This Row],[United States 10y]]-Table7[[#This Row],[United States 3y]],#N/A)</f>
        <v/>
      </c>
    </row>
    <row r="5393">
      <c r="A5393" s="6">
        <f>Database!$A7478</f>
        <v/>
      </c>
      <c r="B5393">
        <f>IF(VLOOKUP(Table7[[#This Row],[Date]],Database!$A:$C,MATCH($B$1,Database!$A$1:$C$1,),)=0,#N/A,VLOOKUP(Table7[[#This Row],[Date]],Database!$A:$C,MATCH($B$1,Database!$A$1:$C$1,),))</f>
        <v/>
      </c>
      <c r="C5393">
        <f>IF(VLOOKUP(Table7[[#This Row],[Date]],Database!$A:$C,MATCH($C$1,Database!$A$1:$C$1,),)=0,#N/A,VLOOKUP(Table7[[#This Row],[Date]],Database!$A:$C,MATCH($C$1,Database!$A$1:$C$1,),))</f>
        <v/>
      </c>
      <c r="D5393">
        <f>IFERROR(Table7[[#This Row],[United States 10y]]-Table7[[#This Row],[United States 3y]],#N/A)</f>
        <v/>
      </c>
    </row>
    <row r="5394">
      <c r="A5394" s="6">
        <f>Database!$A7479</f>
        <v/>
      </c>
      <c r="B5394">
        <f>IF(VLOOKUP(Table7[[#This Row],[Date]],Database!$A:$C,MATCH($B$1,Database!$A$1:$C$1,),)=0,#N/A,VLOOKUP(Table7[[#This Row],[Date]],Database!$A:$C,MATCH($B$1,Database!$A$1:$C$1,),))</f>
        <v/>
      </c>
      <c r="C5394">
        <f>IF(VLOOKUP(Table7[[#This Row],[Date]],Database!$A:$C,MATCH($C$1,Database!$A$1:$C$1,),)=0,#N/A,VLOOKUP(Table7[[#This Row],[Date]],Database!$A:$C,MATCH($C$1,Database!$A$1:$C$1,),))</f>
        <v/>
      </c>
      <c r="D5394">
        <f>IFERROR(Table7[[#This Row],[United States 10y]]-Table7[[#This Row],[United States 3y]],#N/A)</f>
        <v/>
      </c>
    </row>
    <row r="5395">
      <c r="A5395" s="6">
        <f>Database!$A7480</f>
        <v/>
      </c>
      <c r="B5395">
        <f>IF(VLOOKUP(Table7[[#This Row],[Date]],Database!$A:$C,MATCH($B$1,Database!$A$1:$C$1,),)=0,#N/A,VLOOKUP(Table7[[#This Row],[Date]],Database!$A:$C,MATCH($B$1,Database!$A$1:$C$1,),))</f>
        <v/>
      </c>
      <c r="C5395">
        <f>IF(VLOOKUP(Table7[[#This Row],[Date]],Database!$A:$C,MATCH($C$1,Database!$A$1:$C$1,),)=0,#N/A,VLOOKUP(Table7[[#This Row],[Date]],Database!$A:$C,MATCH($C$1,Database!$A$1:$C$1,),))</f>
        <v/>
      </c>
      <c r="D5395">
        <f>IFERROR(Table7[[#This Row],[United States 10y]]-Table7[[#This Row],[United States 3y]],#N/A)</f>
        <v/>
      </c>
    </row>
    <row r="5396">
      <c r="A5396" s="6">
        <f>Database!$A7481</f>
        <v/>
      </c>
      <c r="B5396">
        <f>IF(VLOOKUP(Table7[[#This Row],[Date]],Database!$A:$C,MATCH($B$1,Database!$A$1:$C$1,),)=0,#N/A,VLOOKUP(Table7[[#This Row],[Date]],Database!$A:$C,MATCH($B$1,Database!$A$1:$C$1,),))</f>
        <v/>
      </c>
      <c r="C5396">
        <f>IF(VLOOKUP(Table7[[#This Row],[Date]],Database!$A:$C,MATCH($C$1,Database!$A$1:$C$1,),)=0,#N/A,VLOOKUP(Table7[[#This Row],[Date]],Database!$A:$C,MATCH($C$1,Database!$A$1:$C$1,),))</f>
        <v/>
      </c>
      <c r="D5396">
        <f>IFERROR(Table7[[#This Row],[United States 10y]]-Table7[[#This Row],[United States 3y]],#N/A)</f>
        <v/>
      </c>
    </row>
    <row r="5397">
      <c r="A5397" s="6">
        <f>Database!$A7482</f>
        <v/>
      </c>
      <c r="B5397">
        <f>IF(VLOOKUP(Table7[[#This Row],[Date]],Database!$A:$C,MATCH($B$1,Database!$A$1:$C$1,),)=0,#N/A,VLOOKUP(Table7[[#This Row],[Date]],Database!$A:$C,MATCH($B$1,Database!$A$1:$C$1,),))</f>
        <v/>
      </c>
      <c r="C5397">
        <f>IF(VLOOKUP(Table7[[#This Row],[Date]],Database!$A:$C,MATCH($C$1,Database!$A$1:$C$1,),)=0,#N/A,VLOOKUP(Table7[[#This Row],[Date]],Database!$A:$C,MATCH($C$1,Database!$A$1:$C$1,),))</f>
        <v/>
      </c>
      <c r="D5397">
        <f>IFERROR(Table7[[#This Row],[United States 10y]]-Table7[[#This Row],[United States 3y]],#N/A)</f>
        <v/>
      </c>
    </row>
    <row r="5398">
      <c r="A5398" s="6">
        <f>Database!$A7483</f>
        <v/>
      </c>
      <c r="B5398">
        <f>IF(VLOOKUP(Table7[[#This Row],[Date]],Database!$A:$C,MATCH($B$1,Database!$A$1:$C$1,),)=0,#N/A,VLOOKUP(Table7[[#This Row],[Date]],Database!$A:$C,MATCH($B$1,Database!$A$1:$C$1,),))</f>
        <v/>
      </c>
      <c r="C5398">
        <f>IF(VLOOKUP(Table7[[#This Row],[Date]],Database!$A:$C,MATCH($C$1,Database!$A$1:$C$1,),)=0,#N/A,VLOOKUP(Table7[[#This Row],[Date]],Database!$A:$C,MATCH($C$1,Database!$A$1:$C$1,),))</f>
        <v/>
      </c>
      <c r="D5398">
        <f>IFERROR(Table7[[#This Row],[United States 10y]]-Table7[[#This Row],[United States 3y]],#N/A)</f>
        <v/>
      </c>
    </row>
    <row r="5399">
      <c r="A5399" s="6">
        <f>Database!$A7484</f>
        <v/>
      </c>
      <c r="B5399">
        <f>IF(VLOOKUP(Table7[[#This Row],[Date]],Database!$A:$C,MATCH($B$1,Database!$A$1:$C$1,),)=0,#N/A,VLOOKUP(Table7[[#This Row],[Date]],Database!$A:$C,MATCH($B$1,Database!$A$1:$C$1,),))</f>
        <v/>
      </c>
      <c r="C5399">
        <f>IF(VLOOKUP(Table7[[#This Row],[Date]],Database!$A:$C,MATCH($C$1,Database!$A$1:$C$1,),)=0,#N/A,VLOOKUP(Table7[[#This Row],[Date]],Database!$A:$C,MATCH($C$1,Database!$A$1:$C$1,),))</f>
        <v/>
      </c>
      <c r="D5399">
        <f>IFERROR(Table7[[#This Row],[United States 10y]]-Table7[[#This Row],[United States 3y]],#N/A)</f>
        <v/>
      </c>
    </row>
    <row r="5400">
      <c r="A5400" s="6">
        <f>Database!$A7485</f>
        <v/>
      </c>
      <c r="B5400">
        <f>IF(VLOOKUP(Table7[[#This Row],[Date]],Database!$A:$C,MATCH($B$1,Database!$A$1:$C$1,),)=0,#N/A,VLOOKUP(Table7[[#This Row],[Date]],Database!$A:$C,MATCH($B$1,Database!$A$1:$C$1,),))</f>
        <v/>
      </c>
      <c r="C5400">
        <f>IF(VLOOKUP(Table7[[#This Row],[Date]],Database!$A:$C,MATCH($C$1,Database!$A$1:$C$1,),)=0,#N/A,VLOOKUP(Table7[[#This Row],[Date]],Database!$A:$C,MATCH($C$1,Database!$A$1:$C$1,),))</f>
        <v/>
      </c>
      <c r="D5400">
        <f>IFERROR(Table7[[#This Row],[United States 10y]]-Table7[[#This Row],[United States 3y]],#N/A)</f>
        <v/>
      </c>
    </row>
    <row r="5401">
      <c r="A5401" s="6">
        <f>Database!$A7486</f>
        <v/>
      </c>
      <c r="B5401">
        <f>IF(VLOOKUP(Table7[[#This Row],[Date]],Database!$A:$C,MATCH($B$1,Database!$A$1:$C$1,),)=0,#N/A,VLOOKUP(Table7[[#This Row],[Date]],Database!$A:$C,MATCH($B$1,Database!$A$1:$C$1,),))</f>
        <v/>
      </c>
      <c r="C5401">
        <f>IF(VLOOKUP(Table7[[#This Row],[Date]],Database!$A:$C,MATCH($C$1,Database!$A$1:$C$1,),)=0,#N/A,VLOOKUP(Table7[[#This Row],[Date]],Database!$A:$C,MATCH($C$1,Database!$A$1:$C$1,),))</f>
        <v/>
      </c>
      <c r="D5401">
        <f>IFERROR(Table7[[#This Row],[United States 10y]]-Table7[[#This Row],[United States 3y]],#N/A)</f>
        <v/>
      </c>
    </row>
    <row r="5402">
      <c r="A5402" s="6">
        <f>Database!$A7487</f>
        <v/>
      </c>
      <c r="B5402">
        <f>IF(VLOOKUP(Table7[[#This Row],[Date]],Database!$A:$C,MATCH($B$1,Database!$A$1:$C$1,),)=0,#N/A,VLOOKUP(Table7[[#This Row],[Date]],Database!$A:$C,MATCH($B$1,Database!$A$1:$C$1,),))</f>
        <v/>
      </c>
      <c r="C5402">
        <f>IF(VLOOKUP(Table7[[#This Row],[Date]],Database!$A:$C,MATCH($C$1,Database!$A$1:$C$1,),)=0,#N/A,VLOOKUP(Table7[[#This Row],[Date]],Database!$A:$C,MATCH($C$1,Database!$A$1:$C$1,),))</f>
        <v/>
      </c>
      <c r="D5402">
        <f>IFERROR(Table7[[#This Row],[United States 10y]]-Table7[[#This Row],[United States 3y]],#N/A)</f>
        <v/>
      </c>
    </row>
    <row r="5403">
      <c r="A5403" s="6">
        <f>Database!$A7488</f>
        <v/>
      </c>
      <c r="B5403">
        <f>IF(VLOOKUP(Table7[[#This Row],[Date]],Database!$A:$C,MATCH($B$1,Database!$A$1:$C$1,),)=0,#N/A,VLOOKUP(Table7[[#This Row],[Date]],Database!$A:$C,MATCH($B$1,Database!$A$1:$C$1,),))</f>
        <v/>
      </c>
      <c r="C5403">
        <f>IF(VLOOKUP(Table7[[#This Row],[Date]],Database!$A:$C,MATCH($C$1,Database!$A$1:$C$1,),)=0,#N/A,VLOOKUP(Table7[[#This Row],[Date]],Database!$A:$C,MATCH($C$1,Database!$A$1:$C$1,),))</f>
        <v/>
      </c>
      <c r="D5403">
        <f>IFERROR(Table7[[#This Row],[United States 10y]]-Table7[[#This Row],[United States 3y]],#N/A)</f>
        <v/>
      </c>
    </row>
    <row r="5404">
      <c r="A5404" s="6">
        <f>Database!$A7489</f>
        <v/>
      </c>
      <c r="B5404">
        <f>IF(VLOOKUP(Table7[[#This Row],[Date]],Database!$A:$C,MATCH($B$1,Database!$A$1:$C$1,),)=0,#N/A,VLOOKUP(Table7[[#This Row],[Date]],Database!$A:$C,MATCH($B$1,Database!$A$1:$C$1,),))</f>
        <v/>
      </c>
      <c r="C5404">
        <f>IF(VLOOKUP(Table7[[#This Row],[Date]],Database!$A:$C,MATCH($C$1,Database!$A$1:$C$1,),)=0,#N/A,VLOOKUP(Table7[[#This Row],[Date]],Database!$A:$C,MATCH($C$1,Database!$A$1:$C$1,),))</f>
        <v/>
      </c>
      <c r="D5404">
        <f>IFERROR(Table7[[#This Row],[United States 10y]]-Table7[[#This Row],[United States 3y]],#N/A)</f>
        <v/>
      </c>
    </row>
    <row r="5405">
      <c r="A5405" s="6">
        <f>Database!$A7490</f>
        <v/>
      </c>
      <c r="B5405">
        <f>IF(VLOOKUP(Table7[[#This Row],[Date]],Database!$A:$C,MATCH($B$1,Database!$A$1:$C$1,),)=0,#N/A,VLOOKUP(Table7[[#This Row],[Date]],Database!$A:$C,MATCH($B$1,Database!$A$1:$C$1,),))</f>
        <v/>
      </c>
      <c r="C5405">
        <f>IF(VLOOKUP(Table7[[#This Row],[Date]],Database!$A:$C,MATCH($C$1,Database!$A$1:$C$1,),)=0,#N/A,VLOOKUP(Table7[[#This Row],[Date]],Database!$A:$C,MATCH($C$1,Database!$A$1:$C$1,),))</f>
        <v/>
      </c>
      <c r="D5405">
        <f>IFERROR(Table7[[#This Row],[United States 10y]]-Table7[[#This Row],[United States 3y]],#N/A)</f>
        <v/>
      </c>
    </row>
    <row r="5406">
      <c r="A5406" s="6">
        <f>Database!$A7491</f>
        <v/>
      </c>
      <c r="B5406">
        <f>IF(VLOOKUP(Table7[[#This Row],[Date]],Database!$A:$C,MATCH($B$1,Database!$A$1:$C$1,),)=0,#N/A,VLOOKUP(Table7[[#This Row],[Date]],Database!$A:$C,MATCH($B$1,Database!$A$1:$C$1,),))</f>
        <v/>
      </c>
      <c r="C5406">
        <f>IF(VLOOKUP(Table7[[#This Row],[Date]],Database!$A:$C,MATCH($C$1,Database!$A$1:$C$1,),)=0,#N/A,VLOOKUP(Table7[[#This Row],[Date]],Database!$A:$C,MATCH($C$1,Database!$A$1:$C$1,),))</f>
        <v/>
      </c>
      <c r="D5406">
        <f>IFERROR(Table7[[#This Row],[United States 10y]]-Table7[[#This Row],[United States 3y]],#N/A)</f>
        <v/>
      </c>
    </row>
    <row r="5407">
      <c r="A5407" s="6">
        <f>Database!$A7492</f>
        <v/>
      </c>
      <c r="B5407">
        <f>IF(VLOOKUP(Table7[[#This Row],[Date]],Database!$A:$C,MATCH($B$1,Database!$A$1:$C$1,),)=0,#N/A,VLOOKUP(Table7[[#This Row],[Date]],Database!$A:$C,MATCH($B$1,Database!$A$1:$C$1,),))</f>
        <v/>
      </c>
      <c r="C5407">
        <f>IF(VLOOKUP(Table7[[#This Row],[Date]],Database!$A:$C,MATCH($C$1,Database!$A$1:$C$1,),)=0,#N/A,VLOOKUP(Table7[[#This Row],[Date]],Database!$A:$C,MATCH($C$1,Database!$A$1:$C$1,),))</f>
        <v/>
      </c>
      <c r="D5407">
        <f>IFERROR(Table7[[#This Row],[United States 10y]]-Table7[[#This Row],[United States 3y]],#N/A)</f>
        <v/>
      </c>
    </row>
    <row r="5408">
      <c r="A5408" s="6">
        <f>Database!$A7493</f>
        <v/>
      </c>
      <c r="B5408">
        <f>IF(VLOOKUP(Table7[[#This Row],[Date]],Database!$A:$C,MATCH($B$1,Database!$A$1:$C$1,),)=0,#N/A,VLOOKUP(Table7[[#This Row],[Date]],Database!$A:$C,MATCH($B$1,Database!$A$1:$C$1,),))</f>
        <v/>
      </c>
      <c r="C5408">
        <f>IF(VLOOKUP(Table7[[#This Row],[Date]],Database!$A:$C,MATCH($C$1,Database!$A$1:$C$1,),)=0,#N/A,VLOOKUP(Table7[[#This Row],[Date]],Database!$A:$C,MATCH($C$1,Database!$A$1:$C$1,),))</f>
        <v/>
      </c>
      <c r="D5408">
        <f>IFERROR(Table7[[#This Row],[United States 10y]]-Table7[[#This Row],[United States 3y]],#N/A)</f>
        <v/>
      </c>
    </row>
    <row r="5409">
      <c r="A5409" s="6">
        <f>Database!$A7494</f>
        <v/>
      </c>
      <c r="B5409">
        <f>IF(VLOOKUP(Table7[[#This Row],[Date]],Database!$A:$C,MATCH($B$1,Database!$A$1:$C$1,),)=0,#N/A,VLOOKUP(Table7[[#This Row],[Date]],Database!$A:$C,MATCH($B$1,Database!$A$1:$C$1,),))</f>
        <v/>
      </c>
      <c r="C5409">
        <f>IF(VLOOKUP(Table7[[#This Row],[Date]],Database!$A:$C,MATCH($C$1,Database!$A$1:$C$1,),)=0,#N/A,VLOOKUP(Table7[[#This Row],[Date]],Database!$A:$C,MATCH($C$1,Database!$A$1:$C$1,),))</f>
        <v/>
      </c>
      <c r="D5409">
        <f>IFERROR(Table7[[#This Row],[United States 10y]]-Table7[[#This Row],[United States 3y]],#N/A)</f>
        <v/>
      </c>
    </row>
    <row r="5410">
      <c r="A5410" s="6">
        <f>Database!$A7495</f>
        <v/>
      </c>
      <c r="B5410">
        <f>IF(VLOOKUP(Table7[[#This Row],[Date]],Database!$A:$C,MATCH($B$1,Database!$A$1:$C$1,),)=0,#N/A,VLOOKUP(Table7[[#This Row],[Date]],Database!$A:$C,MATCH($B$1,Database!$A$1:$C$1,),))</f>
        <v/>
      </c>
      <c r="C5410">
        <f>IF(VLOOKUP(Table7[[#This Row],[Date]],Database!$A:$C,MATCH($C$1,Database!$A$1:$C$1,),)=0,#N/A,VLOOKUP(Table7[[#This Row],[Date]],Database!$A:$C,MATCH($C$1,Database!$A$1:$C$1,),))</f>
        <v/>
      </c>
      <c r="D5410">
        <f>IFERROR(Table7[[#This Row],[United States 10y]]-Table7[[#This Row],[United States 3y]],#N/A)</f>
        <v/>
      </c>
    </row>
    <row r="5411">
      <c r="A5411" s="6">
        <f>Database!$A7496</f>
        <v/>
      </c>
      <c r="B5411">
        <f>IF(VLOOKUP(Table7[[#This Row],[Date]],Database!$A:$C,MATCH($B$1,Database!$A$1:$C$1,),)=0,#N/A,VLOOKUP(Table7[[#This Row],[Date]],Database!$A:$C,MATCH($B$1,Database!$A$1:$C$1,),))</f>
        <v/>
      </c>
      <c r="C5411">
        <f>IF(VLOOKUP(Table7[[#This Row],[Date]],Database!$A:$C,MATCH($C$1,Database!$A$1:$C$1,),)=0,#N/A,VLOOKUP(Table7[[#This Row],[Date]],Database!$A:$C,MATCH($C$1,Database!$A$1:$C$1,),))</f>
        <v/>
      </c>
      <c r="D5411">
        <f>IFERROR(Table7[[#This Row],[United States 10y]]-Table7[[#This Row],[United States 3y]],#N/A)</f>
        <v/>
      </c>
    </row>
    <row r="5412">
      <c r="A5412" s="6">
        <f>Database!$A7497</f>
        <v/>
      </c>
      <c r="B5412">
        <f>IF(VLOOKUP(Table7[[#This Row],[Date]],Database!$A:$C,MATCH($B$1,Database!$A$1:$C$1,),)=0,#N/A,VLOOKUP(Table7[[#This Row],[Date]],Database!$A:$C,MATCH($B$1,Database!$A$1:$C$1,),))</f>
        <v/>
      </c>
      <c r="C5412">
        <f>IF(VLOOKUP(Table7[[#This Row],[Date]],Database!$A:$C,MATCH($C$1,Database!$A$1:$C$1,),)=0,#N/A,VLOOKUP(Table7[[#This Row],[Date]],Database!$A:$C,MATCH($C$1,Database!$A$1:$C$1,),))</f>
        <v/>
      </c>
      <c r="D5412">
        <f>IFERROR(Table7[[#This Row],[United States 10y]]-Table7[[#This Row],[United States 3y]],#N/A)</f>
        <v/>
      </c>
    </row>
    <row r="5413">
      <c r="A5413" s="6">
        <f>Database!$A7498</f>
        <v/>
      </c>
      <c r="B5413">
        <f>IF(VLOOKUP(Table7[[#This Row],[Date]],Database!$A:$C,MATCH($B$1,Database!$A$1:$C$1,),)=0,#N/A,VLOOKUP(Table7[[#This Row],[Date]],Database!$A:$C,MATCH($B$1,Database!$A$1:$C$1,),))</f>
        <v/>
      </c>
      <c r="C5413">
        <f>IF(VLOOKUP(Table7[[#This Row],[Date]],Database!$A:$C,MATCH($C$1,Database!$A$1:$C$1,),)=0,#N/A,VLOOKUP(Table7[[#This Row],[Date]],Database!$A:$C,MATCH($C$1,Database!$A$1:$C$1,),))</f>
        <v/>
      </c>
      <c r="D5413">
        <f>IFERROR(Table7[[#This Row],[United States 10y]]-Table7[[#This Row],[United States 3y]],#N/A)</f>
        <v/>
      </c>
    </row>
    <row r="5414">
      <c r="A5414" s="6">
        <f>Database!$A7499</f>
        <v/>
      </c>
      <c r="B5414">
        <f>IF(VLOOKUP(Table7[[#This Row],[Date]],Database!$A:$C,MATCH($B$1,Database!$A$1:$C$1,),)=0,#N/A,VLOOKUP(Table7[[#This Row],[Date]],Database!$A:$C,MATCH($B$1,Database!$A$1:$C$1,),))</f>
        <v/>
      </c>
      <c r="C5414">
        <f>IF(VLOOKUP(Table7[[#This Row],[Date]],Database!$A:$C,MATCH($C$1,Database!$A$1:$C$1,),)=0,#N/A,VLOOKUP(Table7[[#This Row],[Date]],Database!$A:$C,MATCH($C$1,Database!$A$1:$C$1,),))</f>
        <v/>
      </c>
      <c r="D5414">
        <f>IFERROR(Table7[[#This Row],[United States 10y]]-Table7[[#This Row],[United States 3y]],#N/A)</f>
        <v/>
      </c>
    </row>
    <row r="5415">
      <c r="A5415" s="6">
        <f>Database!$A7500</f>
        <v/>
      </c>
      <c r="B5415">
        <f>IF(VLOOKUP(Table7[[#This Row],[Date]],Database!$A:$C,MATCH($B$1,Database!$A$1:$C$1,),)=0,#N/A,VLOOKUP(Table7[[#This Row],[Date]],Database!$A:$C,MATCH($B$1,Database!$A$1:$C$1,),))</f>
        <v/>
      </c>
      <c r="C5415">
        <f>IF(VLOOKUP(Table7[[#This Row],[Date]],Database!$A:$C,MATCH($C$1,Database!$A$1:$C$1,),)=0,#N/A,VLOOKUP(Table7[[#This Row],[Date]],Database!$A:$C,MATCH($C$1,Database!$A$1:$C$1,),))</f>
        <v/>
      </c>
      <c r="D5415">
        <f>IFERROR(Table7[[#This Row],[United States 10y]]-Table7[[#This Row],[United States 3y]],#N/A)</f>
        <v/>
      </c>
    </row>
    <row r="5416">
      <c r="A5416" s="6">
        <f>Database!$A7501</f>
        <v/>
      </c>
      <c r="B5416">
        <f>IF(VLOOKUP(Table7[[#This Row],[Date]],Database!$A:$C,MATCH($B$1,Database!$A$1:$C$1,),)=0,#N/A,VLOOKUP(Table7[[#This Row],[Date]],Database!$A:$C,MATCH($B$1,Database!$A$1:$C$1,),))</f>
        <v/>
      </c>
      <c r="C5416">
        <f>IF(VLOOKUP(Table7[[#This Row],[Date]],Database!$A:$C,MATCH($C$1,Database!$A$1:$C$1,),)=0,#N/A,VLOOKUP(Table7[[#This Row],[Date]],Database!$A:$C,MATCH($C$1,Database!$A$1:$C$1,),))</f>
        <v/>
      </c>
      <c r="D5416">
        <f>IFERROR(Table7[[#This Row],[United States 10y]]-Table7[[#This Row],[United States 3y]],#N/A)</f>
        <v/>
      </c>
    </row>
    <row r="5417">
      <c r="A5417" s="6">
        <f>Database!$A7502</f>
        <v/>
      </c>
      <c r="B5417">
        <f>IF(VLOOKUP(Table7[[#This Row],[Date]],Database!$A:$C,MATCH($B$1,Database!$A$1:$C$1,),)=0,#N/A,VLOOKUP(Table7[[#This Row],[Date]],Database!$A:$C,MATCH($B$1,Database!$A$1:$C$1,),))</f>
        <v/>
      </c>
      <c r="C5417">
        <f>IF(VLOOKUP(Table7[[#This Row],[Date]],Database!$A:$C,MATCH($C$1,Database!$A$1:$C$1,),)=0,#N/A,VLOOKUP(Table7[[#This Row],[Date]],Database!$A:$C,MATCH($C$1,Database!$A$1:$C$1,),))</f>
        <v/>
      </c>
      <c r="D5417">
        <f>IFERROR(Table7[[#This Row],[United States 10y]]-Table7[[#This Row],[United States 3y]],#N/A)</f>
        <v/>
      </c>
    </row>
    <row r="5418">
      <c r="A5418" s="6">
        <f>Database!$A7503</f>
        <v/>
      </c>
      <c r="B5418">
        <f>IF(VLOOKUP(Table7[[#This Row],[Date]],Database!$A:$C,MATCH($B$1,Database!$A$1:$C$1,),)=0,#N/A,VLOOKUP(Table7[[#This Row],[Date]],Database!$A:$C,MATCH($B$1,Database!$A$1:$C$1,),))</f>
        <v/>
      </c>
      <c r="C5418">
        <f>IF(VLOOKUP(Table7[[#This Row],[Date]],Database!$A:$C,MATCH($C$1,Database!$A$1:$C$1,),)=0,#N/A,VLOOKUP(Table7[[#This Row],[Date]],Database!$A:$C,MATCH($C$1,Database!$A$1:$C$1,),))</f>
        <v/>
      </c>
      <c r="D5418">
        <f>IFERROR(Table7[[#This Row],[United States 10y]]-Table7[[#This Row],[United States 3y]],#N/A)</f>
        <v/>
      </c>
    </row>
    <row r="5419">
      <c r="A5419" s="6">
        <f>Database!$A7504</f>
        <v/>
      </c>
      <c r="B5419">
        <f>IF(VLOOKUP(Table7[[#This Row],[Date]],Database!$A:$C,MATCH($B$1,Database!$A$1:$C$1,),)=0,#N/A,VLOOKUP(Table7[[#This Row],[Date]],Database!$A:$C,MATCH($B$1,Database!$A$1:$C$1,),))</f>
        <v/>
      </c>
      <c r="C5419">
        <f>IF(VLOOKUP(Table7[[#This Row],[Date]],Database!$A:$C,MATCH($C$1,Database!$A$1:$C$1,),)=0,#N/A,VLOOKUP(Table7[[#This Row],[Date]],Database!$A:$C,MATCH($C$1,Database!$A$1:$C$1,),))</f>
        <v/>
      </c>
      <c r="D5419">
        <f>IFERROR(Table7[[#This Row],[United States 10y]]-Table7[[#This Row],[United States 3y]],#N/A)</f>
        <v/>
      </c>
    </row>
    <row r="5420">
      <c r="A5420" s="6">
        <f>Database!$A7505</f>
        <v/>
      </c>
      <c r="B5420">
        <f>IF(VLOOKUP(Table7[[#This Row],[Date]],Database!$A:$C,MATCH($B$1,Database!$A$1:$C$1,),)=0,#N/A,VLOOKUP(Table7[[#This Row],[Date]],Database!$A:$C,MATCH($B$1,Database!$A$1:$C$1,),))</f>
        <v/>
      </c>
      <c r="C5420">
        <f>IF(VLOOKUP(Table7[[#This Row],[Date]],Database!$A:$C,MATCH($C$1,Database!$A$1:$C$1,),)=0,#N/A,VLOOKUP(Table7[[#This Row],[Date]],Database!$A:$C,MATCH($C$1,Database!$A$1:$C$1,),))</f>
        <v/>
      </c>
      <c r="D5420">
        <f>IFERROR(Table7[[#This Row],[United States 10y]]-Table7[[#This Row],[United States 3y]],#N/A)</f>
        <v/>
      </c>
    </row>
    <row r="5421">
      <c r="A5421" s="6">
        <f>Database!$A7506</f>
        <v/>
      </c>
      <c r="B5421">
        <f>IF(VLOOKUP(Table7[[#This Row],[Date]],Database!$A:$C,MATCH($B$1,Database!$A$1:$C$1,),)=0,#N/A,VLOOKUP(Table7[[#This Row],[Date]],Database!$A:$C,MATCH($B$1,Database!$A$1:$C$1,),))</f>
        <v/>
      </c>
      <c r="C5421">
        <f>IF(VLOOKUP(Table7[[#This Row],[Date]],Database!$A:$C,MATCH($C$1,Database!$A$1:$C$1,),)=0,#N/A,VLOOKUP(Table7[[#This Row],[Date]],Database!$A:$C,MATCH($C$1,Database!$A$1:$C$1,),))</f>
        <v/>
      </c>
      <c r="D5421">
        <f>IFERROR(Table7[[#This Row],[United States 10y]]-Table7[[#This Row],[United States 3y]],#N/A)</f>
        <v/>
      </c>
    </row>
    <row r="5422">
      <c r="A5422" s="6">
        <f>Database!$A7507</f>
        <v/>
      </c>
      <c r="B5422">
        <f>IF(VLOOKUP(Table7[[#This Row],[Date]],Database!$A:$C,MATCH($B$1,Database!$A$1:$C$1,),)=0,#N/A,VLOOKUP(Table7[[#This Row],[Date]],Database!$A:$C,MATCH($B$1,Database!$A$1:$C$1,),))</f>
        <v/>
      </c>
      <c r="C5422">
        <f>IF(VLOOKUP(Table7[[#This Row],[Date]],Database!$A:$C,MATCH($C$1,Database!$A$1:$C$1,),)=0,#N/A,VLOOKUP(Table7[[#This Row],[Date]],Database!$A:$C,MATCH($C$1,Database!$A$1:$C$1,),))</f>
        <v/>
      </c>
      <c r="D5422">
        <f>IFERROR(Table7[[#This Row],[United States 10y]]-Table7[[#This Row],[United States 3y]],#N/A)</f>
        <v/>
      </c>
    </row>
    <row r="5423">
      <c r="A5423" s="6">
        <f>Database!$A7508</f>
        <v/>
      </c>
      <c r="B5423">
        <f>IF(VLOOKUP(Table7[[#This Row],[Date]],Database!$A:$C,MATCH($B$1,Database!$A$1:$C$1,),)=0,#N/A,VLOOKUP(Table7[[#This Row],[Date]],Database!$A:$C,MATCH($B$1,Database!$A$1:$C$1,),))</f>
        <v/>
      </c>
      <c r="C5423">
        <f>IF(VLOOKUP(Table7[[#This Row],[Date]],Database!$A:$C,MATCH($C$1,Database!$A$1:$C$1,),)=0,#N/A,VLOOKUP(Table7[[#This Row],[Date]],Database!$A:$C,MATCH($C$1,Database!$A$1:$C$1,),))</f>
        <v/>
      </c>
      <c r="D5423">
        <f>IFERROR(Table7[[#This Row],[United States 10y]]-Table7[[#This Row],[United States 3y]],#N/A)</f>
        <v/>
      </c>
    </row>
    <row r="5424">
      <c r="A5424" s="6">
        <f>Database!$A7509</f>
        <v/>
      </c>
      <c r="B5424">
        <f>IF(VLOOKUP(Table7[[#This Row],[Date]],Database!$A:$C,MATCH($B$1,Database!$A$1:$C$1,),)=0,#N/A,VLOOKUP(Table7[[#This Row],[Date]],Database!$A:$C,MATCH($B$1,Database!$A$1:$C$1,),))</f>
        <v/>
      </c>
      <c r="C5424">
        <f>IF(VLOOKUP(Table7[[#This Row],[Date]],Database!$A:$C,MATCH($C$1,Database!$A$1:$C$1,),)=0,#N/A,VLOOKUP(Table7[[#This Row],[Date]],Database!$A:$C,MATCH($C$1,Database!$A$1:$C$1,),))</f>
        <v/>
      </c>
      <c r="D5424">
        <f>IFERROR(Table7[[#This Row],[United States 10y]]-Table7[[#This Row],[United States 3y]],#N/A)</f>
        <v/>
      </c>
    </row>
    <row r="5425">
      <c r="A5425" s="6">
        <f>Database!$A7510</f>
        <v/>
      </c>
      <c r="B5425">
        <f>IF(VLOOKUP(Table7[[#This Row],[Date]],Database!$A:$C,MATCH($B$1,Database!$A$1:$C$1,),)=0,#N/A,VLOOKUP(Table7[[#This Row],[Date]],Database!$A:$C,MATCH($B$1,Database!$A$1:$C$1,),))</f>
        <v/>
      </c>
      <c r="C5425">
        <f>IF(VLOOKUP(Table7[[#This Row],[Date]],Database!$A:$C,MATCH($C$1,Database!$A$1:$C$1,),)=0,#N/A,VLOOKUP(Table7[[#This Row],[Date]],Database!$A:$C,MATCH($C$1,Database!$A$1:$C$1,),))</f>
        <v/>
      </c>
      <c r="D5425">
        <f>IFERROR(Table7[[#This Row],[United States 10y]]-Table7[[#This Row],[United States 3y]],#N/A)</f>
        <v/>
      </c>
    </row>
    <row r="5426">
      <c r="A5426" s="6">
        <f>Database!$A7511</f>
        <v/>
      </c>
      <c r="B5426">
        <f>IF(VLOOKUP(Table7[[#This Row],[Date]],Database!$A:$C,MATCH($B$1,Database!$A$1:$C$1,),)=0,#N/A,VLOOKUP(Table7[[#This Row],[Date]],Database!$A:$C,MATCH($B$1,Database!$A$1:$C$1,),))</f>
        <v/>
      </c>
      <c r="C5426">
        <f>IF(VLOOKUP(Table7[[#This Row],[Date]],Database!$A:$C,MATCH($C$1,Database!$A$1:$C$1,),)=0,#N/A,VLOOKUP(Table7[[#This Row],[Date]],Database!$A:$C,MATCH($C$1,Database!$A$1:$C$1,),))</f>
        <v/>
      </c>
      <c r="D5426">
        <f>IFERROR(Table7[[#This Row],[United States 10y]]-Table7[[#This Row],[United States 3y]],#N/A)</f>
        <v/>
      </c>
    </row>
    <row r="5427">
      <c r="A5427" s="6">
        <f>Database!$A7512</f>
        <v/>
      </c>
      <c r="B5427">
        <f>IF(VLOOKUP(Table7[[#This Row],[Date]],Database!$A:$C,MATCH($B$1,Database!$A$1:$C$1,),)=0,#N/A,VLOOKUP(Table7[[#This Row],[Date]],Database!$A:$C,MATCH($B$1,Database!$A$1:$C$1,),))</f>
        <v/>
      </c>
      <c r="C5427">
        <f>IF(VLOOKUP(Table7[[#This Row],[Date]],Database!$A:$C,MATCH($C$1,Database!$A$1:$C$1,),)=0,#N/A,VLOOKUP(Table7[[#This Row],[Date]],Database!$A:$C,MATCH($C$1,Database!$A$1:$C$1,),))</f>
        <v/>
      </c>
      <c r="D5427">
        <f>IFERROR(Table7[[#This Row],[United States 10y]]-Table7[[#This Row],[United States 3y]],#N/A)</f>
        <v/>
      </c>
    </row>
    <row r="5428">
      <c r="A5428" s="6">
        <f>Database!$A7513</f>
        <v/>
      </c>
      <c r="B5428">
        <f>IF(VLOOKUP(Table7[[#This Row],[Date]],Database!$A:$C,MATCH($B$1,Database!$A$1:$C$1,),)=0,#N/A,VLOOKUP(Table7[[#This Row],[Date]],Database!$A:$C,MATCH($B$1,Database!$A$1:$C$1,),))</f>
        <v/>
      </c>
      <c r="C5428">
        <f>IF(VLOOKUP(Table7[[#This Row],[Date]],Database!$A:$C,MATCH($C$1,Database!$A$1:$C$1,),)=0,#N/A,VLOOKUP(Table7[[#This Row],[Date]],Database!$A:$C,MATCH($C$1,Database!$A$1:$C$1,),))</f>
        <v/>
      </c>
      <c r="D5428">
        <f>IFERROR(Table7[[#This Row],[United States 10y]]-Table7[[#This Row],[United States 3y]],#N/A)</f>
        <v/>
      </c>
    </row>
    <row r="5429">
      <c r="A5429" s="6">
        <f>Database!$A7514</f>
        <v/>
      </c>
      <c r="B5429">
        <f>IF(VLOOKUP(Table7[[#This Row],[Date]],Database!$A:$C,MATCH($B$1,Database!$A$1:$C$1,),)=0,#N/A,VLOOKUP(Table7[[#This Row],[Date]],Database!$A:$C,MATCH($B$1,Database!$A$1:$C$1,),))</f>
        <v/>
      </c>
      <c r="C5429">
        <f>IF(VLOOKUP(Table7[[#This Row],[Date]],Database!$A:$C,MATCH($C$1,Database!$A$1:$C$1,),)=0,#N/A,VLOOKUP(Table7[[#This Row],[Date]],Database!$A:$C,MATCH($C$1,Database!$A$1:$C$1,),))</f>
        <v/>
      </c>
      <c r="D5429">
        <f>IFERROR(Table7[[#This Row],[United States 10y]]-Table7[[#This Row],[United States 3y]],#N/A)</f>
        <v/>
      </c>
    </row>
    <row r="5430">
      <c r="A5430" s="6">
        <f>Database!$A7515</f>
        <v/>
      </c>
      <c r="B5430">
        <f>IF(VLOOKUP(Table7[[#This Row],[Date]],Database!$A:$C,MATCH($B$1,Database!$A$1:$C$1,),)=0,#N/A,VLOOKUP(Table7[[#This Row],[Date]],Database!$A:$C,MATCH($B$1,Database!$A$1:$C$1,),))</f>
        <v/>
      </c>
      <c r="C5430">
        <f>IF(VLOOKUP(Table7[[#This Row],[Date]],Database!$A:$C,MATCH($C$1,Database!$A$1:$C$1,),)=0,#N/A,VLOOKUP(Table7[[#This Row],[Date]],Database!$A:$C,MATCH($C$1,Database!$A$1:$C$1,),))</f>
        <v/>
      </c>
      <c r="D5430">
        <f>IFERROR(Table7[[#This Row],[United States 10y]]-Table7[[#This Row],[United States 3y]],#N/A)</f>
        <v/>
      </c>
    </row>
    <row r="5431">
      <c r="A5431" s="6">
        <f>Database!$A7516</f>
        <v/>
      </c>
      <c r="B5431">
        <f>IF(VLOOKUP(Table7[[#This Row],[Date]],Database!$A:$C,MATCH($B$1,Database!$A$1:$C$1,),)=0,#N/A,VLOOKUP(Table7[[#This Row],[Date]],Database!$A:$C,MATCH($B$1,Database!$A$1:$C$1,),))</f>
        <v/>
      </c>
      <c r="C5431">
        <f>IF(VLOOKUP(Table7[[#This Row],[Date]],Database!$A:$C,MATCH($C$1,Database!$A$1:$C$1,),)=0,#N/A,VLOOKUP(Table7[[#This Row],[Date]],Database!$A:$C,MATCH($C$1,Database!$A$1:$C$1,),))</f>
        <v/>
      </c>
      <c r="D5431">
        <f>IFERROR(Table7[[#This Row],[United States 10y]]-Table7[[#This Row],[United States 3y]],#N/A)</f>
        <v/>
      </c>
    </row>
    <row r="5432">
      <c r="A5432" s="6">
        <f>Database!$A7517</f>
        <v/>
      </c>
      <c r="B5432">
        <f>IF(VLOOKUP(Table7[[#This Row],[Date]],Database!$A:$C,MATCH($B$1,Database!$A$1:$C$1,),)=0,#N/A,VLOOKUP(Table7[[#This Row],[Date]],Database!$A:$C,MATCH($B$1,Database!$A$1:$C$1,),))</f>
        <v/>
      </c>
      <c r="C5432">
        <f>IF(VLOOKUP(Table7[[#This Row],[Date]],Database!$A:$C,MATCH($C$1,Database!$A$1:$C$1,),)=0,#N/A,VLOOKUP(Table7[[#This Row],[Date]],Database!$A:$C,MATCH($C$1,Database!$A$1:$C$1,),))</f>
        <v/>
      </c>
      <c r="D5432">
        <f>IFERROR(Table7[[#This Row],[United States 10y]]-Table7[[#This Row],[United States 3y]],#N/A)</f>
        <v/>
      </c>
    </row>
    <row r="5433">
      <c r="A5433" s="6">
        <f>Database!$A7518</f>
        <v/>
      </c>
      <c r="B5433">
        <f>IF(VLOOKUP(Table7[[#This Row],[Date]],Database!$A:$C,MATCH($B$1,Database!$A$1:$C$1,),)=0,#N/A,VLOOKUP(Table7[[#This Row],[Date]],Database!$A:$C,MATCH($B$1,Database!$A$1:$C$1,),))</f>
        <v/>
      </c>
      <c r="C5433">
        <f>IF(VLOOKUP(Table7[[#This Row],[Date]],Database!$A:$C,MATCH($C$1,Database!$A$1:$C$1,),)=0,#N/A,VLOOKUP(Table7[[#This Row],[Date]],Database!$A:$C,MATCH($C$1,Database!$A$1:$C$1,),))</f>
        <v/>
      </c>
      <c r="D5433">
        <f>IFERROR(Table7[[#This Row],[United States 10y]]-Table7[[#This Row],[United States 3y]],#N/A)</f>
        <v/>
      </c>
    </row>
    <row r="5434">
      <c r="A5434" s="6">
        <f>Database!$A7519</f>
        <v/>
      </c>
      <c r="B5434">
        <f>IF(VLOOKUP(Table7[[#This Row],[Date]],Database!$A:$C,MATCH($B$1,Database!$A$1:$C$1,),)=0,#N/A,VLOOKUP(Table7[[#This Row],[Date]],Database!$A:$C,MATCH($B$1,Database!$A$1:$C$1,),))</f>
        <v/>
      </c>
      <c r="C5434">
        <f>IF(VLOOKUP(Table7[[#This Row],[Date]],Database!$A:$C,MATCH($C$1,Database!$A$1:$C$1,),)=0,#N/A,VLOOKUP(Table7[[#This Row],[Date]],Database!$A:$C,MATCH($C$1,Database!$A$1:$C$1,),))</f>
        <v/>
      </c>
      <c r="D5434">
        <f>IFERROR(Table7[[#This Row],[United States 10y]]-Table7[[#This Row],[United States 3y]],#N/A)</f>
        <v/>
      </c>
    </row>
    <row r="5435">
      <c r="A5435" s="6">
        <f>Database!$A7520</f>
        <v/>
      </c>
      <c r="B5435">
        <f>IF(VLOOKUP(Table7[[#This Row],[Date]],Database!$A:$C,MATCH($B$1,Database!$A$1:$C$1,),)=0,#N/A,VLOOKUP(Table7[[#This Row],[Date]],Database!$A:$C,MATCH($B$1,Database!$A$1:$C$1,),))</f>
        <v/>
      </c>
      <c r="C5435">
        <f>IF(VLOOKUP(Table7[[#This Row],[Date]],Database!$A:$C,MATCH($C$1,Database!$A$1:$C$1,),)=0,#N/A,VLOOKUP(Table7[[#This Row],[Date]],Database!$A:$C,MATCH($C$1,Database!$A$1:$C$1,),))</f>
        <v/>
      </c>
      <c r="D5435">
        <f>IFERROR(Table7[[#This Row],[United States 10y]]-Table7[[#This Row],[United States 3y]],#N/A)</f>
        <v/>
      </c>
    </row>
    <row r="5436">
      <c r="A5436" s="6">
        <f>Database!$A7521</f>
        <v/>
      </c>
      <c r="B5436">
        <f>IF(VLOOKUP(Table7[[#This Row],[Date]],Database!$A:$C,MATCH($B$1,Database!$A$1:$C$1,),)=0,#N/A,VLOOKUP(Table7[[#This Row],[Date]],Database!$A:$C,MATCH($B$1,Database!$A$1:$C$1,),))</f>
        <v/>
      </c>
      <c r="C5436">
        <f>IF(VLOOKUP(Table7[[#This Row],[Date]],Database!$A:$C,MATCH($C$1,Database!$A$1:$C$1,),)=0,#N/A,VLOOKUP(Table7[[#This Row],[Date]],Database!$A:$C,MATCH($C$1,Database!$A$1:$C$1,),))</f>
        <v/>
      </c>
      <c r="D5436">
        <f>IFERROR(Table7[[#This Row],[United States 10y]]-Table7[[#This Row],[United States 3y]],#N/A)</f>
        <v/>
      </c>
    </row>
    <row r="5437">
      <c r="A5437" s="6">
        <f>Database!$A7522</f>
        <v/>
      </c>
      <c r="B5437">
        <f>IF(VLOOKUP(Table7[[#This Row],[Date]],Database!$A:$C,MATCH($B$1,Database!$A$1:$C$1,),)=0,#N/A,VLOOKUP(Table7[[#This Row],[Date]],Database!$A:$C,MATCH($B$1,Database!$A$1:$C$1,),))</f>
        <v/>
      </c>
      <c r="C5437">
        <f>IF(VLOOKUP(Table7[[#This Row],[Date]],Database!$A:$C,MATCH($C$1,Database!$A$1:$C$1,),)=0,#N/A,VLOOKUP(Table7[[#This Row],[Date]],Database!$A:$C,MATCH($C$1,Database!$A$1:$C$1,),))</f>
        <v/>
      </c>
      <c r="D5437">
        <f>IFERROR(Table7[[#This Row],[United States 10y]]-Table7[[#This Row],[United States 3y]],#N/A)</f>
        <v/>
      </c>
    </row>
    <row r="5438">
      <c r="A5438" s="6">
        <f>Database!$A7523</f>
        <v/>
      </c>
      <c r="B5438">
        <f>IF(VLOOKUP(Table7[[#This Row],[Date]],Database!$A:$C,MATCH($B$1,Database!$A$1:$C$1,),)=0,#N/A,VLOOKUP(Table7[[#This Row],[Date]],Database!$A:$C,MATCH($B$1,Database!$A$1:$C$1,),))</f>
        <v/>
      </c>
      <c r="C5438">
        <f>IF(VLOOKUP(Table7[[#This Row],[Date]],Database!$A:$C,MATCH($C$1,Database!$A$1:$C$1,),)=0,#N/A,VLOOKUP(Table7[[#This Row],[Date]],Database!$A:$C,MATCH($C$1,Database!$A$1:$C$1,),))</f>
        <v/>
      </c>
      <c r="D5438">
        <f>IFERROR(Table7[[#This Row],[United States 10y]]-Table7[[#This Row],[United States 3y]],#N/A)</f>
        <v/>
      </c>
    </row>
    <row r="5439">
      <c r="A5439" s="6">
        <f>Database!$A7524</f>
        <v/>
      </c>
      <c r="B5439">
        <f>IF(VLOOKUP(Table7[[#This Row],[Date]],Database!$A:$C,MATCH($B$1,Database!$A$1:$C$1,),)=0,#N/A,VLOOKUP(Table7[[#This Row],[Date]],Database!$A:$C,MATCH($B$1,Database!$A$1:$C$1,),))</f>
        <v/>
      </c>
      <c r="C5439">
        <f>IF(VLOOKUP(Table7[[#This Row],[Date]],Database!$A:$C,MATCH($C$1,Database!$A$1:$C$1,),)=0,#N/A,VLOOKUP(Table7[[#This Row],[Date]],Database!$A:$C,MATCH($C$1,Database!$A$1:$C$1,),))</f>
        <v/>
      </c>
      <c r="D5439">
        <f>IFERROR(Table7[[#This Row],[United States 10y]]-Table7[[#This Row],[United States 3y]],#N/A)</f>
        <v/>
      </c>
    </row>
    <row r="5440">
      <c r="A5440" s="6">
        <f>Database!$A7525</f>
        <v/>
      </c>
      <c r="B5440">
        <f>IF(VLOOKUP(Table7[[#This Row],[Date]],Database!$A:$C,MATCH($B$1,Database!$A$1:$C$1,),)=0,#N/A,VLOOKUP(Table7[[#This Row],[Date]],Database!$A:$C,MATCH($B$1,Database!$A$1:$C$1,),))</f>
        <v/>
      </c>
      <c r="C5440">
        <f>IF(VLOOKUP(Table7[[#This Row],[Date]],Database!$A:$C,MATCH($C$1,Database!$A$1:$C$1,),)=0,#N/A,VLOOKUP(Table7[[#This Row],[Date]],Database!$A:$C,MATCH($C$1,Database!$A$1:$C$1,),))</f>
        <v/>
      </c>
      <c r="D5440">
        <f>IFERROR(Table7[[#This Row],[United States 10y]]-Table7[[#This Row],[United States 3y]],#N/A)</f>
        <v/>
      </c>
    </row>
    <row r="5441">
      <c r="A5441" s="6">
        <f>Database!$A7526</f>
        <v/>
      </c>
      <c r="B5441">
        <f>IF(VLOOKUP(Table7[[#This Row],[Date]],Database!$A:$C,MATCH($B$1,Database!$A$1:$C$1,),)=0,#N/A,VLOOKUP(Table7[[#This Row],[Date]],Database!$A:$C,MATCH($B$1,Database!$A$1:$C$1,),))</f>
        <v/>
      </c>
      <c r="C5441">
        <f>IF(VLOOKUP(Table7[[#This Row],[Date]],Database!$A:$C,MATCH($C$1,Database!$A$1:$C$1,),)=0,#N/A,VLOOKUP(Table7[[#This Row],[Date]],Database!$A:$C,MATCH($C$1,Database!$A$1:$C$1,),))</f>
        <v/>
      </c>
      <c r="D5441">
        <f>IFERROR(Table7[[#This Row],[United States 10y]]-Table7[[#This Row],[United States 3y]],#N/A)</f>
        <v/>
      </c>
    </row>
    <row r="5442">
      <c r="A5442" s="6">
        <f>Database!$A7527</f>
        <v/>
      </c>
      <c r="B5442">
        <f>IF(VLOOKUP(Table7[[#This Row],[Date]],Database!$A:$C,MATCH($B$1,Database!$A$1:$C$1,),)=0,#N/A,VLOOKUP(Table7[[#This Row],[Date]],Database!$A:$C,MATCH($B$1,Database!$A$1:$C$1,),))</f>
        <v/>
      </c>
      <c r="C5442">
        <f>IF(VLOOKUP(Table7[[#This Row],[Date]],Database!$A:$C,MATCH($C$1,Database!$A$1:$C$1,),)=0,#N/A,VLOOKUP(Table7[[#This Row],[Date]],Database!$A:$C,MATCH($C$1,Database!$A$1:$C$1,),))</f>
        <v/>
      </c>
      <c r="D5442">
        <f>IFERROR(Table7[[#This Row],[United States 10y]]-Table7[[#This Row],[United States 3y]],#N/A)</f>
        <v/>
      </c>
    </row>
    <row r="5443">
      <c r="A5443" s="6">
        <f>Database!$A7528</f>
        <v/>
      </c>
      <c r="B5443">
        <f>IF(VLOOKUP(Table7[[#This Row],[Date]],Database!$A:$C,MATCH($B$1,Database!$A$1:$C$1,),)=0,#N/A,VLOOKUP(Table7[[#This Row],[Date]],Database!$A:$C,MATCH($B$1,Database!$A$1:$C$1,),))</f>
        <v/>
      </c>
      <c r="C5443">
        <f>IF(VLOOKUP(Table7[[#This Row],[Date]],Database!$A:$C,MATCH($C$1,Database!$A$1:$C$1,),)=0,#N/A,VLOOKUP(Table7[[#This Row],[Date]],Database!$A:$C,MATCH($C$1,Database!$A$1:$C$1,),))</f>
        <v/>
      </c>
      <c r="D5443">
        <f>IFERROR(Table7[[#This Row],[United States 10y]]-Table7[[#This Row],[United States 3y]],#N/A)</f>
        <v/>
      </c>
    </row>
    <row r="5444">
      <c r="A5444" s="6">
        <f>Database!$A7529</f>
        <v/>
      </c>
      <c r="B5444">
        <f>IF(VLOOKUP(Table7[[#This Row],[Date]],Database!$A:$C,MATCH($B$1,Database!$A$1:$C$1,),)=0,#N/A,VLOOKUP(Table7[[#This Row],[Date]],Database!$A:$C,MATCH($B$1,Database!$A$1:$C$1,),))</f>
        <v/>
      </c>
      <c r="C5444">
        <f>IF(VLOOKUP(Table7[[#This Row],[Date]],Database!$A:$C,MATCH($C$1,Database!$A$1:$C$1,),)=0,#N/A,VLOOKUP(Table7[[#This Row],[Date]],Database!$A:$C,MATCH($C$1,Database!$A$1:$C$1,),))</f>
        <v/>
      </c>
      <c r="D5444">
        <f>IFERROR(Table7[[#This Row],[United States 10y]]-Table7[[#This Row],[United States 3y]],#N/A)</f>
        <v/>
      </c>
    </row>
    <row r="5445">
      <c r="A5445" s="6">
        <f>Database!$A7530</f>
        <v/>
      </c>
      <c r="B5445">
        <f>IF(VLOOKUP(Table7[[#This Row],[Date]],Database!$A:$C,MATCH($B$1,Database!$A$1:$C$1,),)=0,#N/A,VLOOKUP(Table7[[#This Row],[Date]],Database!$A:$C,MATCH($B$1,Database!$A$1:$C$1,),))</f>
        <v/>
      </c>
      <c r="C5445">
        <f>IF(VLOOKUP(Table7[[#This Row],[Date]],Database!$A:$C,MATCH($C$1,Database!$A$1:$C$1,),)=0,#N/A,VLOOKUP(Table7[[#This Row],[Date]],Database!$A:$C,MATCH($C$1,Database!$A$1:$C$1,),))</f>
        <v/>
      </c>
      <c r="D5445">
        <f>IFERROR(Table7[[#This Row],[United States 10y]]-Table7[[#This Row],[United States 3y]],#N/A)</f>
        <v/>
      </c>
    </row>
    <row r="5446">
      <c r="A5446" s="6">
        <f>Database!$A7531</f>
        <v/>
      </c>
      <c r="B5446">
        <f>IF(VLOOKUP(Table7[[#This Row],[Date]],Database!$A:$C,MATCH($B$1,Database!$A$1:$C$1,),)=0,#N/A,VLOOKUP(Table7[[#This Row],[Date]],Database!$A:$C,MATCH($B$1,Database!$A$1:$C$1,),))</f>
        <v/>
      </c>
      <c r="C5446">
        <f>IF(VLOOKUP(Table7[[#This Row],[Date]],Database!$A:$C,MATCH($C$1,Database!$A$1:$C$1,),)=0,#N/A,VLOOKUP(Table7[[#This Row],[Date]],Database!$A:$C,MATCH($C$1,Database!$A$1:$C$1,),))</f>
        <v/>
      </c>
      <c r="D5446">
        <f>IFERROR(Table7[[#This Row],[United States 10y]]-Table7[[#This Row],[United States 3y]],#N/A)</f>
        <v/>
      </c>
    </row>
    <row r="5447">
      <c r="A5447" s="6">
        <f>Database!$A7532</f>
        <v/>
      </c>
      <c r="B5447">
        <f>IF(VLOOKUP(Table7[[#This Row],[Date]],Database!$A:$C,MATCH($B$1,Database!$A$1:$C$1,),)=0,#N/A,VLOOKUP(Table7[[#This Row],[Date]],Database!$A:$C,MATCH($B$1,Database!$A$1:$C$1,),))</f>
        <v/>
      </c>
      <c r="C5447">
        <f>IF(VLOOKUP(Table7[[#This Row],[Date]],Database!$A:$C,MATCH($C$1,Database!$A$1:$C$1,),)=0,#N/A,VLOOKUP(Table7[[#This Row],[Date]],Database!$A:$C,MATCH($C$1,Database!$A$1:$C$1,),))</f>
        <v/>
      </c>
      <c r="D5447">
        <f>IFERROR(Table7[[#This Row],[United States 10y]]-Table7[[#This Row],[United States 3y]],#N/A)</f>
        <v/>
      </c>
    </row>
    <row r="5448">
      <c r="A5448" s="6">
        <f>Database!$A7533</f>
        <v/>
      </c>
      <c r="B5448">
        <f>IF(VLOOKUP(Table7[[#This Row],[Date]],Database!$A:$C,MATCH($B$1,Database!$A$1:$C$1,),)=0,#N/A,VLOOKUP(Table7[[#This Row],[Date]],Database!$A:$C,MATCH($B$1,Database!$A$1:$C$1,),))</f>
        <v/>
      </c>
      <c r="C5448">
        <f>IF(VLOOKUP(Table7[[#This Row],[Date]],Database!$A:$C,MATCH($C$1,Database!$A$1:$C$1,),)=0,#N/A,VLOOKUP(Table7[[#This Row],[Date]],Database!$A:$C,MATCH($C$1,Database!$A$1:$C$1,),))</f>
        <v/>
      </c>
      <c r="D5448">
        <f>IFERROR(Table7[[#This Row],[United States 10y]]-Table7[[#This Row],[United States 3y]],#N/A)</f>
        <v/>
      </c>
    </row>
    <row r="5449">
      <c r="A5449" s="6">
        <f>Database!$A7534</f>
        <v/>
      </c>
      <c r="B5449">
        <f>IF(VLOOKUP(Table7[[#This Row],[Date]],Database!$A:$C,MATCH($B$1,Database!$A$1:$C$1,),)=0,#N/A,VLOOKUP(Table7[[#This Row],[Date]],Database!$A:$C,MATCH($B$1,Database!$A$1:$C$1,),))</f>
        <v/>
      </c>
      <c r="C5449">
        <f>IF(VLOOKUP(Table7[[#This Row],[Date]],Database!$A:$C,MATCH($C$1,Database!$A$1:$C$1,),)=0,#N/A,VLOOKUP(Table7[[#This Row],[Date]],Database!$A:$C,MATCH($C$1,Database!$A$1:$C$1,),))</f>
        <v/>
      </c>
      <c r="D5449">
        <f>IFERROR(Table7[[#This Row],[United States 10y]]-Table7[[#This Row],[United States 3y]],#N/A)</f>
        <v/>
      </c>
    </row>
    <row r="5450">
      <c r="A5450" s="6">
        <f>Database!$A7535</f>
        <v/>
      </c>
      <c r="B5450">
        <f>IF(VLOOKUP(Table7[[#This Row],[Date]],Database!$A:$C,MATCH($B$1,Database!$A$1:$C$1,),)=0,#N/A,VLOOKUP(Table7[[#This Row],[Date]],Database!$A:$C,MATCH($B$1,Database!$A$1:$C$1,),))</f>
        <v/>
      </c>
      <c r="C5450">
        <f>IF(VLOOKUP(Table7[[#This Row],[Date]],Database!$A:$C,MATCH($C$1,Database!$A$1:$C$1,),)=0,#N/A,VLOOKUP(Table7[[#This Row],[Date]],Database!$A:$C,MATCH($C$1,Database!$A$1:$C$1,),))</f>
        <v/>
      </c>
      <c r="D5450">
        <f>IFERROR(Table7[[#This Row],[United States 10y]]-Table7[[#This Row],[United States 3y]],#N/A)</f>
        <v/>
      </c>
    </row>
    <row r="5451">
      <c r="A5451" s="6">
        <f>Database!$A7536</f>
        <v/>
      </c>
      <c r="B5451">
        <f>IF(VLOOKUP(Table7[[#This Row],[Date]],Database!$A:$C,MATCH($B$1,Database!$A$1:$C$1,),)=0,#N/A,VLOOKUP(Table7[[#This Row],[Date]],Database!$A:$C,MATCH($B$1,Database!$A$1:$C$1,),))</f>
        <v/>
      </c>
      <c r="C5451">
        <f>IF(VLOOKUP(Table7[[#This Row],[Date]],Database!$A:$C,MATCH($C$1,Database!$A$1:$C$1,),)=0,#N/A,VLOOKUP(Table7[[#This Row],[Date]],Database!$A:$C,MATCH($C$1,Database!$A$1:$C$1,),))</f>
        <v/>
      </c>
      <c r="D5451">
        <f>IFERROR(Table7[[#This Row],[United States 10y]]-Table7[[#This Row],[United States 3y]],#N/A)</f>
        <v/>
      </c>
    </row>
    <row r="5452">
      <c r="A5452" s="6">
        <f>Database!$A7537</f>
        <v/>
      </c>
      <c r="B5452">
        <f>IF(VLOOKUP(Table7[[#This Row],[Date]],Database!$A:$C,MATCH($B$1,Database!$A$1:$C$1,),)=0,#N/A,VLOOKUP(Table7[[#This Row],[Date]],Database!$A:$C,MATCH($B$1,Database!$A$1:$C$1,),))</f>
        <v/>
      </c>
      <c r="C5452">
        <f>IF(VLOOKUP(Table7[[#This Row],[Date]],Database!$A:$C,MATCH($C$1,Database!$A$1:$C$1,),)=0,#N/A,VLOOKUP(Table7[[#This Row],[Date]],Database!$A:$C,MATCH($C$1,Database!$A$1:$C$1,),))</f>
        <v/>
      </c>
      <c r="D5452">
        <f>IFERROR(Table7[[#This Row],[United States 10y]]-Table7[[#This Row],[United States 3y]],#N/A)</f>
        <v/>
      </c>
    </row>
    <row r="5453">
      <c r="A5453" s="6">
        <f>Database!$A7538</f>
        <v/>
      </c>
      <c r="B5453">
        <f>IF(VLOOKUP(Table7[[#This Row],[Date]],Database!$A:$C,MATCH($B$1,Database!$A$1:$C$1,),)=0,#N/A,VLOOKUP(Table7[[#This Row],[Date]],Database!$A:$C,MATCH($B$1,Database!$A$1:$C$1,),))</f>
        <v/>
      </c>
      <c r="C5453">
        <f>IF(VLOOKUP(Table7[[#This Row],[Date]],Database!$A:$C,MATCH($C$1,Database!$A$1:$C$1,),)=0,#N/A,VLOOKUP(Table7[[#This Row],[Date]],Database!$A:$C,MATCH($C$1,Database!$A$1:$C$1,),))</f>
        <v/>
      </c>
      <c r="D5453">
        <f>IFERROR(Table7[[#This Row],[United States 10y]]-Table7[[#This Row],[United States 3y]],#N/A)</f>
        <v/>
      </c>
    </row>
    <row r="5454">
      <c r="A5454" s="6">
        <f>Database!$A7539</f>
        <v/>
      </c>
      <c r="B5454">
        <f>IF(VLOOKUP(Table7[[#This Row],[Date]],Database!$A:$C,MATCH($B$1,Database!$A$1:$C$1,),)=0,#N/A,VLOOKUP(Table7[[#This Row],[Date]],Database!$A:$C,MATCH($B$1,Database!$A$1:$C$1,),))</f>
        <v/>
      </c>
      <c r="C5454">
        <f>IF(VLOOKUP(Table7[[#This Row],[Date]],Database!$A:$C,MATCH($C$1,Database!$A$1:$C$1,),)=0,#N/A,VLOOKUP(Table7[[#This Row],[Date]],Database!$A:$C,MATCH($C$1,Database!$A$1:$C$1,),))</f>
        <v/>
      </c>
      <c r="D5454">
        <f>IFERROR(Table7[[#This Row],[United States 10y]]-Table7[[#This Row],[United States 3y]],#N/A)</f>
        <v/>
      </c>
    </row>
    <row r="5455">
      <c r="A5455" s="6">
        <f>Database!$A7540</f>
        <v/>
      </c>
      <c r="B5455">
        <f>IF(VLOOKUP(Table7[[#This Row],[Date]],Database!$A:$C,MATCH($B$1,Database!$A$1:$C$1,),)=0,#N/A,VLOOKUP(Table7[[#This Row],[Date]],Database!$A:$C,MATCH($B$1,Database!$A$1:$C$1,),))</f>
        <v/>
      </c>
      <c r="C5455">
        <f>IF(VLOOKUP(Table7[[#This Row],[Date]],Database!$A:$C,MATCH($C$1,Database!$A$1:$C$1,),)=0,#N/A,VLOOKUP(Table7[[#This Row],[Date]],Database!$A:$C,MATCH($C$1,Database!$A$1:$C$1,),))</f>
        <v/>
      </c>
      <c r="D5455">
        <f>IFERROR(Table7[[#This Row],[United States 10y]]-Table7[[#This Row],[United States 3y]],#N/A)</f>
        <v/>
      </c>
    </row>
    <row r="5456">
      <c r="A5456" s="6">
        <f>Database!$A7541</f>
        <v/>
      </c>
      <c r="B5456">
        <f>IF(VLOOKUP(Table7[[#This Row],[Date]],Database!$A:$C,MATCH($B$1,Database!$A$1:$C$1,),)=0,#N/A,VLOOKUP(Table7[[#This Row],[Date]],Database!$A:$C,MATCH($B$1,Database!$A$1:$C$1,),))</f>
        <v/>
      </c>
      <c r="C5456">
        <f>IF(VLOOKUP(Table7[[#This Row],[Date]],Database!$A:$C,MATCH($C$1,Database!$A$1:$C$1,),)=0,#N/A,VLOOKUP(Table7[[#This Row],[Date]],Database!$A:$C,MATCH($C$1,Database!$A$1:$C$1,),))</f>
        <v/>
      </c>
      <c r="D5456">
        <f>IFERROR(Table7[[#This Row],[United States 10y]]-Table7[[#This Row],[United States 3y]],#N/A)</f>
        <v/>
      </c>
    </row>
    <row r="5457">
      <c r="A5457" s="6">
        <f>Database!$A7542</f>
        <v/>
      </c>
      <c r="B5457">
        <f>IF(VLOOKUP(Table7[[#This Row],[Date]],Database!$A:$C,MATCH($B$1,Database!$A$1:$C$1,),)=0,#N/A,VLOOKUP(Table7[[#This Row],[Date]],Database!$A:$C,MATCH($B$1,Database!$A$1:$C$1,),))</f>
        <v/>
      </c>
      <c r="C5457">
        <f>IF(VLOOKUP(Table7[[#This Row],[Date]],Database!$A:$C,MATCH($C$1,Database!$A$1:$C$1,),)=0,#N/A,VLOOKUP(Table7[[#This Row],[Date]],Database!$A:$C,MATCH($C$1,Database!$A$1:$C$1,),))</f>
        <v/>
      </c>
      <c r="D5457">
        <f>IFERROR(Table7[[#This Row],[United States 10y]]-Table7[[#This Row],[United States 3y]],#N/A)</f>
        <v/>
      </c>
    </row>
    <row r="5458">
      <c r="A5458" s="6">
        <f>Database!$A7543</f>
        <v/>
      </c>
      <c r="B5458">
        <f>IF(VLOOKUP(Table7[[#This Row],[Date]],Database!$A:$C,MATCH($B$1,Database!$A$1:$C$1,),)=0,#N/A,VLOOKUP(Table7[[#This Row],[Date]],Database!$A:$C,MATCH($B$1,Database!$A$1:$C$1,),))</f>
        <v/>
      </c>
      <c r="C5458">
        <f>IF(VLOOKUP(Table7[[#This Row],[Date]],Database!$A:$C,MATCH($C$1,Database!$A$1:$C$1,),)=0,#N/A,VLOOKUP(Table7[[#This Row],[Date]],Database!$A:$C,MATCH($C$1,Database!$A$1:$C$1,),))</f>
        <v/>
      </c>
      <c r="D5458">
        <f>IFERROR(Table7[[#This Row],[United States 10y]]-Table7[[#This Row],[United States 3y]],#N/A)</f>
        <v/>
      </c>
    </row>
    <row r="5459">
      <c r="A5459" s="6">
        <f>Database!$A7544</f>
        <v/>
      </c>
      <c r="B5459">
        <f>IF(VLOOKUP(Table7[[#This Row],[Date]],Database!$A:$C,MATCH($B$1,Database!$A$1:$C$1,),)=0,#N/A,VLOOKUP(Table7[[#This Row],[Date]],Database!$A:$C,MATCH($B$1,Database!$A$1:$C$1,),))</f>
        <v/>
      </c>
      <c r="C5459">
        <f>IF(VLOOKUP(Table7[[#This Row],[Date]],Database!$A:$C,MATCH($C$1,Database!$A$1:$C$1,),)=0,#N/A,VLOOKUP(Table7[[#This Row],[Date]],Database!$A:$C,MATCH($C$1,Database!$A$1:$C$1,),))</f>
        <v/>
      </c>
      <c r="D5459">
        <f>IFERROR(Table7[[#This Row],[United States 10y]]-Table7[[#This Row],[United States 3y]],#N/A)</f>
        <v/>
      </c>
    </row>
    <row r="5460">
      <c r="A5460" s="6">
        <f>Database!$A7545</f>
        <v/>
      </c>
      <c r="B5460">
        <f>IF(VLOOKUP(Table7[[#This Row],[Date]],Database!$A:$C,MATCH($B$1,Database!$A$1:$C$1,),)=0,#N/A,VLOOKUP(Table7[[#This Row],[Date]],Database!$A:$C,MATCH($B$1,Database!$A$1:$C$1,),))</f>
        <v/>
      </c>
      <c r="C5460">
        <f>IF(VLOOKUP(Table7[[#This Row],[Date]],Database!$A:$C,MATCH($C$1,Database!$A$1:$C$1,),)=0,#N/A,VLOOKUP(Table7[[#This Row],[Date]],Database!$A:$C,MATCH($C$1,Database!$A$1:$C$1,),))</f>
        <v/>
      </c>
      <c r="D5460">
        <f>IFERROR(Table7[[#This Row],[United States 10y]]-Table7[[#This Row],[United States 3y]],#N/A)</f>
        <v/>
      </c>
    </row>
    <row r="5461">
      <c r="A5461" s="6">
        <f>Database!$A7546</f>
        <v/>
      </c>
      <c r="B5461">
        <f>IF(VLOOKUP(Table7[[#This Row],[Date]],Database!$A:$C,MATCH($B$1,Database!$A$1:$C$1,),)=0,#N/A,VLOOKUP(Table7[[#This Row],[Date]],Database!$A:$C,MATCH($B$1,Database!$A$1:$C$1,),))</f>
        <v/>
      </c>
      <c r="C5461">
        <f>IF(VLOOKUP(Table7[[#This Row],[Date]],Database!$A:$C,MATCH($C$1,Database!$A$1:$C$1,),)=0,#N/A,VLOOKUP(Table7[[#This Row],[Date]],Database!$A:$C,MATCH($C$1,Database!$A$1:$C$1,),))</f>
        <v/>
      </c>
      <c r="D5461">
        <f>IFERROR(Table7[[#This Row],[United States 10y]]-Table7[[#This Row],[United States 3y]],#N/A)</f>
        <v/>
      </c>
    </row>
    <row r="5462">
      <c r="A5462" s="6">
        <f>Database!$A7547</f>
        <v/>
      </c>
      <c r="B5462">
        <f>IF(VLOOKUP(Table7[[#This Row],[Date]],Database!$A:$C,MATCH($B$1,Database!$A$1:$C$1,),)=0,#N/A,VLOOKUP(Table7[[#This Row],[Date]],Database!$A:$C,MATCH($B$1,Database!$A$1:$C$1,),))</f>
        <v/>
      </c>
      <c r="C5462">
        <f>IF(VLOOKUP(Table7[[#This Row],[Date]],Database!$A:$C,MATCH($C$1,Database!$A$1:$C$1,),)=0,#N/A,VLOOKUP(Table7[[#This Row],[Date]],Database!$A:$C,MATCH($C$1,Database!$A$1:$C$1,),))</f>
        <v/>
      </c>
      <c r="D5462">
        <f>IFERROR(Table7[[#This Row],[United States 10y]]-Table7[[#This Row],[United States 3y]],#N/A)</f>
        <v/>
      </c>
    </row>
    <row r="5463">
      <c r="A5463" s="6">
        <f>Database!$A7548</f>
        <v/>
      </c>
      <c r="B5463">
        <f>IF(VLOOKUP(Table7[[#This Row],[Date]],Database!$A:$C,MATCH($B$1,Database!$A$1:$C$1,),)=0,#N/A,VLOOKUP(Table7[[#This Row],[Date]],Database!$A:$C,MATCH($B$1,Database!$A$1:$C$1,),))</f>
        <v/>
      </c>
      <c r="C5463">
        <f>IF(VLOOKUP(Table7[[#This Row],[Date]],Database!$A:$C,MATCH($C$1,Database!$A$1:$C$1,),)=0,#N/A,VLOOKUP(Table7[[#This Row],[Date]],Database!$A:$C,MATCH($C$1,Database!$A$1:$C$1,),))</f>
        <v/>
      </c>
      <c r="D5463">
        <f>IFERROR(Table7[[#This Row],[United States 10y]]-Table7[[#This Row],[United States 3y]],#N/A)</f>
        <v/>
      </c>
    </row>
    <row r="5464">
      <c r="A5464" s="6">
        <f>Database!$A7549</f>
        <v/>
      </c>
      <c r="B5464">
        <f>IF(VLOOKUP(Table7[[#This Row],[Date]],Database!$A:$C,MATCH($B$1,Database!$A$1:$C$1,),)=0,#N/A,VLOOKUP(Table7[[#This Row],[Date]],Database!$A:$C,MATCH($B$1,Database!$A$1:$C$1,),))</f>
        <v/>
      </c>
      <c r="C5464">
        <f>IF(VLOOKUP(Table7[[#This Row],[Date]],Database!$A:$C,MATCH($C$1,Database!$A$1:$C$1,),)=0,#N/A,VLOOKUP(Table7[[#This Row],[Date]],Database!$A:$C,MATCH($C$1,Database!$A$1:$C$1,),))</f>
        <v/>
      </c>
      <c r="D5464">
        <f>IFERROR(Table7[[#This Row],[United States 10y]]-Table7[[#This Row],[United States 3y]],#N/A)</f>
        <v/>
      </c>
    </row>
    <row r="5465">
      <c r="A5465" s="6">
        <f>Database!$A7550</f>
        <v/>
      </c>
      <c r="B5465">
        <f>IF(VLOOKUP(Table7[[#This Row],[Date]],Database!$A:$C,MATCH($B$1,Database!$A$1:$C$1,),)=0,#N/A,VLOOKUP(Table7[[#This Row],[Date]],Database!$A:$C,MATCH($B$1,Database!$A$1:$C$1,),))</f>
        <v/>
      </c>
      <c r="C5465">
        <f>IF(VLOOKUP(Table7[[#This Row],[Date]],Database!$A:$C,MATCH($C$1,Database!$A$1:$C$1,),)=0,#N/A,VLOOKUP(Table7[[#This Row],[Date]],Database!$A:$C,MATCH($C$1,Database!$A$1:$C$1,),))</f>
        <v/>
      </c>
      <c r="D5465">
        <f>IFERROR(Table7[[#This Row],[United States 10y]]-Table7[[#This Row],[United States 3y]],#N/A)</f>
        <v/>
      </c>
    </row>
    <row r="5466">
      <c r="A5466" s="6">
        <f>Database!$A7551</f>
        <v/>
      </c>
      <c r="B5466">
        <f>IF(VLOOKUP(Table7[[#This Row],[Date]],Database!$A:$C,MATCH($B$1,Database!$A$1:$C$1,),)=0,#N/A,VLOOKUP(Table7[[#This Row],[Date]],Database!$A:$C,MATCH($B$1,Database!$A$1:$C$1,),))</f>
        <v/>
      </c>
      <c r="C5466">
        <f>IF(VLOOKUP(Table7[[#This Row],[Date]],Database!$A:$C,MATCH($C$1,Database!$A$1:$C$1,),)=0,#N/A,VLOOKUP(Table7[[#This Row],[Date]],Database!$A:$C,MATCH($C$1,Database!$A$1:$C$1,),))</f>
        <v/>
      </c>
      <c r="D5466">
        <f>IFERROR(Table7[[#This Row],[United States 10y]]-Table7[[#This Row],[United States 3y]],#N/A)</f>
        <v/>
      </c>
    </row>
    <row r="5467">
      <c r="A5467" s="6">
        <f>Database!$A7552</f>
        <v/>
      </c>
      <c r="B5467">
        <f>IF(VLOOKUP(Table7[[#This Row],[Date]],Database!$A:$C,MATCH($B$1,Database!$A$1:$C$1,),)=0,#N/A,VLOOKUP(Table7[[#This Row],[Date]],Database!$A:$C,MATCH($B$1,Database!$A$1:$C$1,),))</f>
        <v/>
      </c>
      <c r="C5467">
        <f>IF(VLOOKUP(Table7[[#This Row],[Date]],Database!$A:$C,MATCH($C$1,Database!$A$1:$C$1,),)=0,#N/A,VLOOKUP(Table7[[#This Row],[Date]],Database!$A:$C,MATCH($C$1,Database!$A$1:$C$1,),))</f>
        <v/>
      </c>
      <c r="D5467">
        <f>IFERROR(Table7[[#This Row],[United States 10y]]-Table7[[#This Row],[United States 3y]],#N/A)</f>
        <v/>
      </c>
    </row>
    <row r="5468">
      <c r="A5468" s="6">
        <f>Database!$A7553</f>
        <v/>
      </c>
      <c r="B5468">
        <f>IF(VLOOKUP(Table7[[#This Row],[Date]],Database!$A:$C,MATCH($B$1,Database!$A$1:$C$1,),)=0,#N/A,VLOOKUP(Table7[[#This Row],[Date]],Database!$A:$C,MATCH($B$1,Database!$A$1:$C$1,),))</f>
        <v/>
      </c>
      <c r="C5468">
        <f>IF(VLOOKUP(Table7[[#This Row],[Date]],Database!$A:$C,MATCH($C$1,Database!$A$1:$C$1,),)=0,#N/A,VLOOKUP(Table7[[#This Row],[Date]],Database!$A:$C,MATCH($C$1,Database!$A$1:$C$1,),))</f>
        <v/>
      </c>
      <c r="D5468">
        <f>IFERROR(Table7[[#This Row],[United States 10y]]-Table7[[#This Row],[United States 3y]],#N/A)</f>
        <v/>
      </c>
    </row>
    <row r="5469">
      <c r="A5469" s="6">
        <f>Database!$A7554</f>
        <v/>
      </c>
      <c r="B5469">
        <f>IF(VLOOKUP(Table7[[#This Row],[Date]],Database!$A:$C,MATCH($B$1,Database!$A$1:$C$1,),)=0,#N/A,VLOOKUP(Table7[[#This Row],[Date]],Database!$A:$C,MATCH($B$1,Database!$A$1:$C$1,),))</f>
        <v/>
      </c>
      <c r="C5469">
        <f>IF(VLOOKUP(Table7[[#This Row],[Date]],Database!$A:$C,MATCH($C$1,Database!$A$1:$C$1,),)=0,#N/A,VLOOKUP(Table7[[#This Row],[Date]],Database!$A:$C,MATCH($C$1,Database!$A$1:$C$1,),))</f>
        <v/>
      </c>
      <c r="D5469">
        <f>IFERROR(Table7[[#This Row],[United States 10y]]-Table7[[#This Row],[United States 3y]],#N/A)</f>
        <v/>
      </c>
    </row>
    <row r="5470">
      <c r="A5470" s="6">
        <f>Database!$A7555</f>
        <v/>
      </c>
      <c r="B5470">
        <f>IF(VLOOKUP(Table7[[#This Row],[Date]],Database!$A:$C,MATCH($B$1,Database!$A$1:$C$1,),)=0,#N/A,VLOOKUP(Table7[[#This Row],[Date]],Database!$A:$C,MATCH($B$1,Database!$A$1:$C$1,),))</f>
        <v/>
      </c>
      <c r="C5470">
        <f>IF(VLOOKUP(Table7[[#This Row],[Date]],Database!$A:$C,MATCH($C$1,Database!$A$1:$C$1,),)=0,#N/A,VLOOKUP(Table7[[#This Row],[Date]],Database!$A:$C,MATCH($C$1,Database!$A$1:$C$1,),))</f>
        <v/>
      </c>
      <c r="D5470">
        <f>IFERROR(Table7[[#This Row],[United States 10y]]-Table7[[#This Row],[United States 3y]],#N/A)</f>
        <v/>
      </c>
    </row>
    <row r="5471">
      <c r="A5471" s="6">
        <f>Database!$A7556</f>
        <v/>
      </c>
      <c r="B5471">
        <f>IF(VLOOKUP(Table7[[#This Row],[Date]],Database!$A:$C,MATCH($B$1,Database!$A$1:$C$1,),)=0,#N/A,VLOOKUP(Table7[[#This Row],[Date]],Database!$A:$C,MATCH($B$1,Database!$A$1:$C$1,),))</f>
        <v/>
      </c>
      <c r="C5471">
        <f>IF(VLOOKUP(Table7[[#This Row],[Date]],Database!$A:$C,MATCH($C$1,Database!$A$1:$C$1,),)=0,#N/A,VLOOKUP(Table7[[#This Row],[Date]],Database!$A:$C,MATCH($C$1,Database!$A$1:$C$1,),))</f>
        <v/>
      </c>
      <c r="D5471">
        <f>IFERROR(Table7[[#This Row],[United States 10y]]-Table7[[#This Row],[United States 3y]],#N/A)</f>
        <v/>
      </c>
    </row>
    <row r="5472">
      <c r="A5472" s="6">
        <f>Database!$A7557</f>
        <v/>
      </c>
      <c r="B5472">
        <f>IF(VLOOKUP(Table7[[#This Row],[Date]],Database!$A:$C,MATCH($B$1,Database!$A$1:$C$1,),)=0,#N/A,VLOOKUP(Table7[[#This Row],[Date]],Database!$A:$C,MATCH($B$1,Database!$A$1:$C$1,),))</f>
        <v/>
      </c>
      <c r="C5472">
        <f>IF(VLOOKUP(Table7[[#This Row],[Date]],Database!$A:$C,MATCH($C$1,Database!$A$1:$C$1,),)=0,#N/A,VLOOKUP(Table7[[#This Row],[Date]],Database!$A:$C,MATCH($C$1,Database!$A$1:$C$1,),))</f>
        <v/>
      </c>
      <c r="D5472">
        <f>IFERROR(Table7[[#This Row],[United States 10y]]-Table7[[#This Row],[United States 3y]],#N/A)</f>
        <v/>
      </c>
    </row>
    <row r="5473">
      <c r="A5473" s="6">
        <f>Database!$A7558</f>
        <v/>
      </c>
      <c r="B5473">
        <f>IF(VLOOKUP(Table7[[#This Row],[Date]],Database!$A:$C,MATCH($B$1,Database!$A$1:$C$1,),)=0,#N/A,VLOOKUP(Table7[[#This Row],[Date]],Database!$A:$C,MATCH($B$1,Database!$A$1:$C$1,),))</f>
        <v/>
      </c>
      <c r="C5473">
        <f>IF(VLOOKUP(Table7[[#This Row],[Date]],Database!$A:$C,MATCH($C$1,Database!$A$1:$C$1,),)=0,#N/A,VLOOKUP(Table7[[#This Row],[Date]],Database!$A:$C,MATCH($C$1,Database!$A$1:$C$1,),))</f>
        <v/>
      </c>
      <c r="D5473">
        <f>IFERROR(Table7[[#This Row],[United States 10y]]-Table7[[#This Row],[United States 3y]],#N/A)</f>
        <v/>
      </c>
    </row>
    <row r="5474">
      <c r="A5474" s="6">
        <f>Database!$A7559</f>
        <v/>
      </c>
      <c r="B5474">
        <f>IF(VLOOKUP(Table7[[#This Row],[Date]],Database!$A:$C,MATCH($B$1,Database!$A$1:$C$1,),)=0,#N/A,VLOOKUP(Table7[[#This Row],[Date]],Database!$A:$C,MATCH($B$1,Database!$A$1:$C$1,),))</f>
        <v/>
      </c>
      <c r="C5474">
        <f>IF(VLOOKUP(Table7[[#This Row],[Date]],Database!$A:$C,MATCH($C$1,Database!$A$1:$C$1,),)=0,#N/A,VLOOKUP(Table7[[#This Row],[Date]],Database!$A:$C,MATCH($C$1,Database!$A$1:$C$1,),))</f>
        <v/>
      </c>
      <c r="D5474">
        <f>IFERROR(Table7[[#This Row],[United States 10y]]-Table7[[#This Row],[United States 3y]],#N/A)</f>
        <v/>
      </c>
    </row>
    <row r="5475">
      <c r="A5475" s="6">
        <f>Database!$A7560</f>
        <v/>
      </c>
      <c r="B5475">
        <f>IF(VLOOKUP(Table7[[#This Row],[Date]],Database!$A:$C,MATCH($B$1,Database!$A$1:$C$1,),)=0,#N/A,VLOOKUP(Table7[[#This Row],[Date]],Database!$A:$C,MATCH($B$1,Database!$A$1:$C$1,),))</f>
        <v/>
      </c>
      <c r="C5475">
        <f>IF(VLOOKUP(Table7[[#This Row],[Date]],Database!$A:$C,MATCH($C$1,Database!$A$1:$C$1,),)=0,#N/A,VLOOKUP(Table7[[#This Row],[Date]],Database!$A:$C,MATCH($C$1,Database!$A$1:$C$1,),))</f>
        <v/>
      </c>
      <c r="D5475">
        <f>IFERROR(Table7[[#This Row],[United States 10y]]-Table7[[#This Row],[United States 3y]],#N/A)</f>
        <v/>
      </c>
    </row>
    <row r="5476">
      <c r="A5476" s="6">
        <f>Database!$A7561</f>
        <v/>
      </c>
      <c r="B5476">
        <f>IF(VLOOKUP(Table7[[#This Row],[Date]],Database!$A:$C,MATCH($B$1,Database!$A$1:$C$1,),)=0,#N/A,VLOOKUP(Table7[[#This Row],[Date]],Database!$A:$C,MATCH($B$1,Database!$A$1:$C$1,),))</f>
        <v/>
      </c>
      <c r="C5476">
        <f>IF(VLOOKUP(Table7[[#This Row],[Date]],Database!$A:$C,MATCH($C$1,Database!$A$1:$C$1,),)=0,#N/A,VLOOKUP(Table7[[#This Row],[Date]],Database!$A:$C,MATCH($C$1,Database!$A$1:$C$1,),))</f>
        <v/>
      </c>
      <c r="D5476">
        <f>IFERROR(Table7[[#This Row],[United States 10y]]-Table7[[#This Row],[United States 3y]],#N/A)</f>
        <v/>
      </c>
    </row>
    <row r="5477">
      <c r="A5477" s="6">
        <f>Database!$A7562</f>
        <v/>
      </c>
      <c r="B5477">
        <f>IF(VLOOKUP(Table7[[#This Row],[Date]],Database!$A:$C,MATCH($B$1,Database!$A$1:$C$1,),)=0,#N/A,VLOOKUP(Table7[[#This Row],[Date]],Database!$A:$C,MATCH($B$1,Database!$A$1:$C$1,),))</f>
        <v/>
      </c>
      <c r="C5477">
        <f>IF(VLOOKUP(Table7[[#This Row],[Date]],Database!$A:$C,MATCH($C$1,Database!$A$1:$C$1,),)=0,#N/A,VLOOKUP(Table7[[#This Row],[Date]],Database!$A:$C,MATCH($C$1,Database!$A$1:$C$1,),))</f>
        <v/>
      </c>
      <c r="D5477">
        <f>IFERROR(Table7[[#This Row],[United States 10y]]-Table7[[#This Row],[United States 3y]],#N/A)</f>
        <v/>
      </c>
    </row>
    <row r="5478">
      <c r="A5478" s="6">
        <f>Database!$A7563</f>
        <v/>
      </c>
      <c r="B5478">
        <f>IF(VLOOKUP(Table7[[#This Row],[Date]],Database!$A:$C,MATCH($B$1,Database!$A$1:$C$1,),)=0,#N/A,VLOOKUP(Table7[[#This Row],[Date]],Database!$A:$C,MATCH($B$1,Database!$A$1:$C$1,),))</f>
        <v/>
      </c>
      <c r="C5478">
        <f>IF(VLOOKUP(Table7[[#This Row],[Date]],Database!$A:$C,MATCH($C$1,Database!$A$1:$C$1,),)=0,#N/A,VLOOKUP(Table7[[#This Row],[Date]],Database!$A:$C,MATCH($C$1,Database!$A$1:$C$1,),))</f>
        <v/>
      </c>
      <c r="D5478">
        <f>IFERROR(Table7[[#This Row],[United States 10y]]-Table7[[#This Row],[United States 3y]],#N/A)</f>
        <v/>
      </c>
    </row>
    <row r="5479">
      <c r="A5479" s="6">
        <f>Database!$A7564</f>
        <v/>
      </c>
      <c r="B5479">
        <f>IF(VLOOKUP(Table7[[#This Row],[Date]],Database!$A:$C,MATCH($B$1,Database!$A$1:$C$1,),)=0,#N/A,VLOOKUP(Table7[[#This Row],[Date]],Database!$A:$C,MATCH($B$1,Database!$A$1:$C$1,),))</f>
        <v/>
      </c>
      <c r="C5479">
        <f>IF(VLOOKUP(Table7[[#This Row],[Date]],Database!$A:$C,MATCH($C$1,Database!$A$1:$C$1,),)=0,#N/A,VLOOKUP(Table7[[#This Row],[Date]],Database!$A:$C,MATCH($C$1,Database!$A$1:$C$1,),))</f>
        <v/>
      </c>
      <c r="D5479">
        <f>IFERROR(Table7[[#This Row],[United States 10y]]-Table7[[#This Row],[United States 3y]],#N/A)</f>
        <v/>
      </c>
    </row>
    <row r="5480">
      <c r="A5480" s="6">
        <f>Database!$A7565</f>
        <v/>
      </c>
      <c r="B5480">
        <f>IF(VLOOKUP(Table7[[#This Row],[Date]],Database!$A:$C,MATCH($B$1,Database!$A$1:$C$1,),)=0,#N/A,VLOOKUP(Table7[[#This Row],[Date]],Database!$A:$C,MATCH($B$1,Database!$A$1:$C$1,),))</f>
        <v/>
      </c>
      <c r="C5480">
        <f>IF(VLOOKUP(Table7[[#This Row],[Date]],Database!$A:$C,MATCH($C$1,Database!$A$1:$C$1,),)=0,#N/A,VLOOKUP(Table7[[#This Row],[Date]],Database!$A:$C,MATCH($C$1,Database!$A$1:$C$1,),))</f>
        <v/>
      </c>
      <c r="D5480">
        <f>IFERROR(Table7[[#This Row],[United States 10y]]-Table7[[#This Row],[United States 3y]],#N/A)</f>
        <v/>
      </c>
    </row>
    <row r="5481">
      <c r="A5481" s="6">
        <f>Database!$A7566</f>
        <v/>
      </c>
      <c r="B5481">
        <f>IF(VLOOKUP(Table7[[#This Row],[Date]],Database!$A:$C,MATCH($B$1,Database!$A$1:$C$1,),)=0,#N/A,VLOOKUP(Table7[[#This Row],[Date]],Database!$A:$C,MATCH($B$1,Database!$A$1:$C$1,),))</f>
        <v/>
      </c>
      <c r="C5481">
        <f>IF(VLOOKUP(Table7[[#This Row],[Date]],Database!$A:$C,MATCH($C$1,Database!$A$1:$C$1,),)=0,#N/A,VLOOKUP(Table7[[#This Row],[Date]],Database!$A:$C,MATCH($C$1,Database!$A$1:$C$1,),))</f>
        <v/>
      </c>
      <c r="D5481">
        <f>IFERROR(Table7[[#This Row],[United States 10y]]-Table7[[#This Row],[United States 3y]],#N/A)</f>
        <v/>
      </c>
    </row>
    <row r="5482">
      <c r="A5482" s="6">
        <f>Database!$A7567</f>
        <v/>
      </c>
      <c r="B5482">
        <f>IF(VLOOKUP(Table7[[#This Row],[Date]],Database!$A:$C,MATCH($B$1,Database!$A$1:$C$1,),)=0,#N/A,VLOOKUP(Table7[[#This Row],[Date]],Database!$A:$C,MATCH($B$1,Database!$A$1:$C$1,),))</f>
        <v/>
      </c>
      <c r="C5482">
        <f>IF(VLOOKUP(Table7[[#This Row],[Date]],Database!$A:$C,MATCH($C$1,Database!$A$1:$C$1,),)=0,#N/A,VLOOKUP(Table7[[#This Row],[Date]],Database!$A:$C,MATCH($C$1,Database!$A$1:$C$1,),))</f>
        <v/>
      </c>
      <c r="D5482">
        <f>IFERROR(Table7[[#This Row],[United States 10y]]-Table7[[#This Row],[United States 3y]],#N/A)</f>
        <v/>
      </c>
    </row>
    <row r="5483">
      <c r="A5483" s="6">
        <f>Database!$A7568</f>
        <v/>
      </c>
      <c r="B5483">
        <f>IF(VLOOKUP(Table7[[#This Row],[Date]],Database!$A:$C,MATCH($B$1,Database!$A$1:$C$1,),)=0,#N/A,VLOOKUP(Table7[[#This Row],[Date]],Database!$A:$C,MATCH($B$1,Database!$A$1:$C$1,),))</f>
        <v/>
      </c>
      <c r="C5483">
        <f>IF(VLOOKUP(Table7[[#This Row],[Date]],Database!$A:$C,MATCH($C$1,Database!$A$1:$C$1,),)=0,#N/A,VLOOKUP(Table7[[#This Row],[Date]],Database!$A:$C,MATCH($C$1,Database!$A$1:$C$1,),))</f>
        <v/>
      </c>
      <c r="D5483">
        <f>IFERROR(Table7[[#This Row],[United States 10y]]-Table7[[#This Row],[United States 3y]],#N/A)</f>
        <v/>
      </c>
    </row>
    <row r="5484">
      <c r="A5484" s="6">
        <f>Database!$A7569</f>
        <v/>
      </c>
      <c r="B5484">
        <f>IF(VLOOKUP(Table7[[#This Row],[Date]],Database!$A:$C,MATCH($B$1,Database!$A$1:$C$1,),)=0,#N/A,VLOOKUP(Table7[[#This Row],[Date]],Database!$A:$C,MATCH($B$1,Database!$A$1:$C$1,),))</f>
        <v/>
      </c>
      <c r="C5484">
        <f>IF(VLOOKUP(Table7[[#This Row],[Date]],Database!$A:$C,MATCH($C$1,Database!$A$1:$C$1,),)=0,#N/A,VLOOKUP(Table7[[#This Row],[Date]],Database!$A:$C,MATCH($C$1,Database!$A$1:$C$1,),))</f>
        <v/>
      </c>
      <c r="D5484">
        <f>IFERROR(Table7[[#This Row],[United States 10y]]-Table7[[#This Row],[United States 3y]],#N/A)</f>
        <v/>
      </c>
    </row>
    <row r="5485">
      <c r="A5485" s="6">
        <f>Database!$A7570</f>
        <v/>
      </c>
      <c r="B5485">
        <f>IF(VLOOKUP(Table7[[#This Row],[Date]],Database!$A:$C,MATCH($B$1,Database!$A$1:$C$1,),)=0,#N/A,VLOOKUP(Table7[[#This Row],[Date]],Database!$A:$C,MATCH($B$1,Database!$A$1:$C$1,),))</f>
        <v/>
      </c>
      <c r="C5485">
        <f>IF(VLOOKUP(Table7[[#This Row],[Date]],Database!$A:$C,MATCH($C$1,Database!$A$1:$C$1,),)=0,#N/A,VLOOKUP(Table7[[#This Row],[Date]],Database!$A:$C,MATCH($C$1,Database!$A$1:$C$1,),))</f>
        <v/>
      </c>
      <c r="D5485">
        <f>IFERROR(Table7[[#This Row],[United States 10y]]-Table7[[#This Row],[United States 3y]],#N/A)</f>
        <v/>
      </c>
    </row>
    <row r="5486">
      <c r="A5486" s="6">
        <f>Database!$A7571</f>
        <v/>
      </c>
      <c r="B5486">
        <f>IF(VLOOKUP(Table7[[#This Row],[Date]],Database!$A:$C,MATCH($B$1,Database!$A$1:$C$1,),)=0,#N/A,VLOOKUP(Table7[[#This Row],[Date]],Database!$A:$C,MATCH($B$1,Database!$A$1:$C$1,),))</f>
        <v/>
      </c>
      <c r="C5486">
        <f>IF(VLOOKUP(Table7[[#This Row],[Date]],Database!$A:$C,MATCH($C$1,Database!$A$1:$C$1,),)=0,#N/A,VLOOKUP(Table7[[#This Row],[Date]],Database!$A:$C,MATCH($C$1,Database!$A$1:$C$1,),))</f>
        <v/>
      </c>
      <c r="D5486">
        <f>IFERROR(Table7[[#This Row],[United States 10y]]-Table7[[#This Row],[United States 3y]],#N/A)</f>
        <v/>
      </c>
    </row>
    <row r="5487">
      <c r="A5487" s="6">
        <f>Database!$A7572</f>
        <v/>
      </c>
      <c r="B5487">
        <f>IF(VLOOKUP(Table7[[#This Row],[Date]],Database!$A:$C,MATCH($B$1,Database!$A$1:$C$1,),)=0,#N/A,VLOOKUP(Table7[[#This Row],[Date]],Database!$A:$C,MATCH($B$1,Database!$A$1:$C$1,),))</f>
        <v/>
      </c>
      <c r="C5487">
        <f>IF(VLOOKUP(Table7[[#This Row],[Date]],Database!$A:$C,MATCH($C$1,Database!$A$1:$C$1,),)=0,#N/A,VLOOKUP(Table7[[#This Row],[Date]],Database!$A:$C,MATCH($C$1,Database!$A$1:$C$1,),))</f>
        <v/>
      </c>
      <c r="D5487">
        <f>IFERROR(Table7[[#This Row],[United States 10y]]-Table7[[#This Row],[United States 3y]],#N/A)</f>
        <v/>
      </c>
    </row>
    <row r="5488">
      <c r="A5488" s="6">
        <f>Database!$A7573</f>
        <v/>
      </c>
      <c r="B5488">
        <f>IF(VLOOKUP(Table7[[#This Row],[Date]],Database!$A:$C,MATCH($B$1,Database!$A$1:$C$1,),)=0,#N/A,VLOOKUP(Table7[[#This Row],[Date]],Database!$A:$C,MATCH($B$1,Database!$A$1:$C$1,),))</f>
        <v/>
      </c>
      <c r="C5488">
        <f>IF(VLOOKUP(Table7[[#This Row],[Date]],Database!$A:$C,MATCH($C$1,Database!$A$1:$C$1,),)=0,#N/A,VLOOKUP(Table7[[#This Row],[Date]],Database!$A:$C,MATCH($C$1,Database!$A$1:$C$1,),))</f>
        <v/>
      </c>
      <c r="D5488">
        <f>IFERROR(Table7[[#This Row],[United States 10y]]-Table7[[#This Row],[United States 3y]],#N/A)</f>
        <v/>
      </c>
    </row>
    <row r="5489">
      <c r="A5489" s="6">
        <f>Database!$A7574</f>
        <v/>
      </c>
      <c r="B5489">
        <f>IF(VLOOKUP(Table7[[#This Row],[Date]],Database!$A:$C,MATCH($B$1,Database!$A$1:$C$1,),)=0,#N/A,VLOOKUP(Table7[[#This Row],[Date]],Database!$A:$C,MATCH($B$1,Database!$A$1:$C$1,),))</f>
        <v/>
      </c>
      <c r="C5489">
        <f>IF(VLOOKUP(Table7[[#This Row],[Date]],Database!$A:$C,MATCH($C$1,Database!$A$1:$C$1,),)=0,#N/A,VLOOKUP(Table7[[#This Row],[Date]],Database!$A:$C,MATCH($C$1,Database!$A$1:$C$1,),))</f>
        <v/>
      </c>
      <c r="D5489">
        <f>IFERROR(Table7[[#This Row],[United States 10y]]-Table7[[#This Row],[United States 3y]],#N/A)</f>
        <v/>
      </c>
    </row>
    <row r="5490">
      <c r="A5490" s="6">
        <f>Database!$A7575</f>
        <v/>
      </c>
      <c r="B5490">
        <f>IF(VLOOKUP(Table7[[#This Row],[Date]],Database!$A:$C,MATCH($B$1,Database!$A$1:$C$1,),)=0,#N/A,VLOOKUP(Table7[[#This Row],[Date]],Database!$A:$C,MATCH($B$1,Database!$A$1:$C$1,),))</f>
        <v/>
      </c>
      <c r="C5490">
        <f>IF(VLOOKUP(Table7[[#This Row],[Date]],Database!$A:$C,MATCH($C$1,Database!$A$1:$C$1,),)=0,#N/A,VLOOKUP(Table7[[#This Row],[Date]],Database!$A:$C,MATCH($C$1,Database!$A$1:$C$1,),))</f>
        <v/>
      </c>
      <c r="D5490">
        <f>IFERROR(Table7[[#This Row],[United States 10y]]-Table7[[#This Row],[United States 3y]],#N/A)</f>
        <v/>
      </c>
    </row>
    <row r="5491">
      <c r="A5491" s="6">
        <f>Database!$A7576</f>
        <v/>
      </c>
      <c r="B5491">
        <f>IF(VLOOKUP(Table7[[#This Row],[Date]],Database!$A:$C,MATCH($B$1,Database!$A$1:$C$1,),)=0,#N/A,VLOOKUP(Table7[[#This Row],[Date]],Database!$A:$C,MATCH($B$1,Database!$A$1:$C$1,),))</f>
        <v/>
      </c>
      <c r="C5491">
        <f>IF(VLOOKUP(Table7[[#This Row],[Date]],Database!$A:$C,MATCH($C$1,Database!$A$1:$C$1,),)=0,#N/A,VLOOKUP(Table7[[#This Row],[Date]],Database!$A:$C,MATCH($C$1,Database!$A$1:$C$1,),))</f>
        <v/>
      </c>
      <c r="D5491">
        <f>IFERROR(Table7[[#This Row],[United States 10y]]-Table7[[#This Row],[United States 3y]],#N/A)</f>
        <v/>
      </c>
    </row>
    <row r="5492">
      <c r="A5492" s="6">
        <f>Database!$A7577</f>
        <v/>
      </c>
      <c r="B5492">
        <f>IF(VLOOKUP(Table7[[#This Row],[Date]],Database!$A:$C,MATCH($B$1,Database!$A$1:$C$1,),)=0,#N/A,VLOOKUP(Table7[[#This Row],[Date]],Database!$A:$C,MATCH($B$1,Database!$A$1:$C$1,),))</f>
        <v/>
      </c>
      <c r="C5492">
        <f>IF(VLOOKUP(Table7[[#This Row],[Date]],Database!$A:$C,MATCH($C$1,Database!$A$1:$C$1,),)=0,#N/A,VLOOKUP(Table7[[#This Row],[Date]],Database!$A:$C,MATCH($C$1,Database!$A$1:$C$1,),))</f>
        <v/>
      </c>
      <c r="D5492">
        <f>IFERROR(Table7[[#This Row],[United States 10y]]-Table7[[#This Row],[United States 3y]],#N/A)</f>
        <v/>
      </c>
    </row>
    <row r="5493">
      <c r="A5493" s="6">
        <f>Database!$A7578</f>
        <v/>
      </c>
      <c r="B5493">
        <f>IF(VLOOKUP(Table7[[#This Row],[Date]],Database!$A:$C,MATCH($B$1,Database!$A$1:$C$1,),)=0,#N/A,VLOOKUP(Table7[[#This Row],[Date]],Database!$A:$C,MATCH($B$1,Database!$A$1:$C$1,),))</f>
        <v/>
      </c>
      <c r="C5493">
        <f>IF(VLOOKUP(Table7[[#This Row],[Date]],Database!$A:$C,MATCH($C$1,Database!$A$1:$C$1,),)=0,#N/A,VLOOKUP(Table7[[#This Row],[Date]],Database!$A:$C,MATCH($C$1,Database!$A$1:$C$1,),))</f>
        <v/>
      </c>
      <c r="D5493">
        <f>IFERROR(Table7[[#This Row],[United States 10y]]-Table7[[#This Row],[United States 3y]],#N/A)</f>
        <v/>
      </c>
    </row>
    <row r="5494">
      <c r="A5494" s="6">
        <f>Database!$A7579</f>
        <v/>
      </c>
      <c r="B5494">
        <f>IF(VLOOKUP(Table7[[#This Row],[Date]],Database!$A:$C,MATCH($B$1,Database!$A$1:$C$1,),)=0,#N/A,VLOOKUP(Table7[[#This Row],[Date]],Database!$A:$C,MATCH($B$1,Database!$A$1:$C$1,),))</f>
        <v/>
      </c>
      <c r="C5494">
        <f>IF(VLOOKUP(Table7[[#This Row],[Date]],Database!$A:$C,MATCH($C$1,Database!$A$1:$C$1,),)=0,#N/A,VLOOKUP(Table7[[#This Row],[Date]],Database!$A:$C,MATCH($C$1,Database!$A$1:$C$1,),))</f>
        <v/>
      </c>
      <c r="D5494">
        <f>IFERROR(Table7[[#This Row],[United States 10y]]-Table7[[#This Row],[United States 3y]],#N/A)</f>
        <v/>
      </c>
    </row>
    <row r="5495">
      <c r="A5495" s="6">
        <f>Database!$A7580</f>
        <v/>
      </c>
      <c r="B5495">
        <f>IF(VLOOKUP(Table7[[#This Row],[Date]],Database!$A:$C,MATCH($B$1,Database!$A$1:$C$1,),)=0,#N/A,VLOOKUP(Table7[[#This Row],[Date]],Database!$A:$C,MATCH($B$1,Database!$A$1:$C$1,),))</f>
        <v/>
      </c>
      <c r="C5495">
        <f>IF(VLOOKUP(Table7[[#This Row],[Date]],Database!$A:$C,MATCH($C$1,Database!$A$1:$C$1,),)=0,#N/A,VLOOKUP(Table7[[#This Row],[Date]],Database!$A:$C,MATCH($C$1,Database!$A$1:$C$1,),))</f>
        <v/>
      </c>
      <c r="D5495">
        <f>IFERROR(Table7[[#This Row],[United States 10y]]-Table7[[#This Row],[United States 3y]],#N/A)</f>
        <v/>
      </c>
    </row>
    <row r="5496">
      <c r="A5496" s="6">
        <f>Database!$A7581</f>
        <v/>
      </c>
      <c r="B5496">
        <f>IF(VLOOKUP(Table7[[#This Row],[Date]],Database!$A:$C,MATCH($B$1,Database!$A$1:$C$1,),)=0,#N/A,VLOOKUP(Table7[[#This Row],[Date]],Database!$A:$C,MATCH($B$1,Database!$A$1:$C$1,),))</f>
        <v/>
      </c>
      <c r="C5496">
        <f>IF(VLOOKUP(Table7[[#This Row],[Date]],Database!$A:$C,MATCH($C$1,Database!$A$1:$C$1,),)=0,#N/A,VLOOKUP(Table7[[#This Row],[Date]],Database!$A:$C,MATCH($C$1,Database!$A$1:$C$1,),))</f>
        <v/>
      </c>
      <c r="D5496">
        <f>IFERROR(Table7[[#This Row],[United States 10y]]-Table7[[#This Row],[United States 3y]],#N/A)</f>
        <v/>
      </c>
    </row>
    <row r="5497">
      <c r="A5497" s="6">
        <f>Database!$A7582</f>
        <v/>
      </c>
      <c r="B5497">
        <f>IF(VLOOKUP(Table7[[#This Row],[Date]],Database!$A:$C,MATCH($B$1,Database!$A$1:$C$1,),)=0,#N/A,VLOOKUP(Table7[[#This Row],[Date]],Database!$A:$C,MATCH($B$1,Database!$A$1:$C$1,),))</f>
        <v/>
      </c>
      <c r="C5497">
        <f>IF(VLOOKUP(Table7[[#This Row],[Date]],Database!$A:$C,MATCH($C$1,Database!$A$1:$C$1,),)=0,#N/A,VLOOKUP(Table7[[#This Row],[Date]],Database!$A:$C,MATCH($C$1,Database!$A$1:$C$1,),))</f>
        <v/>
      </c>
      <c r="D5497">
        <f>IFERROR(Table7[[#This Row],[United States 10y]]-Table7[[#This Row],[United States 3y]],#N/A)</f>
        <v/>
      </c>
    </row>
    <row r="5498">
      <c r="A5498" s="6">
        <f>Database!$A7583</f>
        <v/>
      </c>
      <c r="B5498">
        <f>IF(VLOOKUP(Table7[[#This Row],[Date]],Database!$A:$C,MATCH($B$1,Database!$A$1:$C$1,),)=0,#N/A,VLOOKUP(Table7[[#This Row],[Date]],Database!$A:$C,MATCH($B$1,Database!$A$1:$C$1,),))</f>
        <v/>
      </c>
      <c r="C5498">
        <f>IF(VLOOKUP(Table7[[#This Row],[Date]],Database!$A:$C,MATCH($C$1,Database!$A$1:$C$1,),)=0,#N/A,VLOOKUP(Table7[[#This Row],[Date]],Database!$A:$C,MATCH($C$1,Database!$A$1:$C$1,),))</f>
        <v/>
      </c>
      <c r="D5498">
        <f>IFERROR(Table7[[#This Row],[United States 10y]]-Table7[[#This Row],[United States 3y]],#N/A)</f>
        <v/>
      </c>
    </row>
    <row r="5499">
      <c r="A5499" s="6">
        <f>Database!$A7584</f>
        <v/>
      </c>
      <c r="B5499">
        <f>IF(VLOOKUP(Table7[[#This Row],[Date]],Database!$A:$C,MATCH($B$1,Database!$A$1:$C$1,),)=0,#N/A,VLOOKUP(Table7[[#This Row],[Date]],Database!$A:$C,MATCH($B$1,Database!$A$1:$C$1,),))</f>
        <v/>
      </c>
      <c r="C5499">
        <f>IF(VLOOKUP(Table7[[#This Row],[Date]],Database!$A:$C,MATCH($C$1,Database!$A$1:$C$1,),)=0,#N/A,VLOOKUP(Table7[[#This Row],[Date]],Database!$A:$C,MATCH($C$1,Database!$A$1:$C$1,),))</f>
        <v/>
      </c>
      <c r="D5499">
        <f>IFERROR(Table7[[#This Row],[United States 10y]]-Table7[[#This Row],[United States 3y]],#N/A)</f>
        <v/>
      </c>
    </row>
    <row r="5500">
      <c r="A5500" s="6">
        <f>Database!$A7585</f>
        <v/>
      </c>
      <c r="B5500">
        <f>IF(VLOOKUP(Table7[[#This Row],[Date]],Database!$A:$C,MATCH($B$1,Database!$A$1:$C$1,),)=0,#N/A,VLOOKUP(Table7[[#This Row],[Date]],Database!$A:$C,MATCH($B$1,Database!$A$1:$C$1,),))</f>
        <v/>
      </c>
      <c r="C5500">
        <f>IF(VLOOKUP(Table7[[#This Row],[Date]],Database!$A:$C,MATCH($C$1,Database!$A$1:$C$1,),)=0,#N/A,VLOOKUP(Table7[[#This Row],[Date]],Database!$A:$C,MATCH($C$1,Database!$A$1:$C$1,),))</f>
        <v/>
      </c>
      <c r="D5500">
        <f>IFERROR(Table7[[#This Row],[United States 10y]]-Table7[[#This Row],[United States 3y]],#N/A)</f>
        <v/>
      </c>
    </row>
    <row r="5501">
      <c r="A5501" s="6">
        <f>Database!$A7586</f>
        <v/>
      </c>
      <c r="B5501">
        <f>IF(VLOOKUP(Table7[[#This Row],[Date]],Database!$A:$C,MATCH($B$1,Database!$A$1:$C$1,),)=0,#N/A,VLOOKUP(Table7[[#This Row],[Date]],Database!$A:$C,MATCH($B$1,Database!$A$1:$C$1,),))</f>
        <v/>
      </c>
      <c r="C5501">
        <f>IF(VLOOKUP(Table7[[#This Row],[Date]],Database!$A:$C,MATCH($C$1,Database!$A$1:$C$1,),)=0,#N/A,VLOOKUP(Table7[[#This Row],[Date]],Database!$A:$C,MATCH($C$1,Database!$A$1:$C$1,),))</f>
        <v/>
      </c>
      <c r="D5501">
        <f>IFERROR(Table7[[#This Row],[United States 10y]]-Table7[[#This Row],[United States 3y]],#N/A)</f>
        <v/>
      </c>
    </row>
    <row r="5502">
      <c r="A5502" s="6">
        <f>Database!$A7587</f>
        <v/>
      </c>
      <c r="B5502">
        <f>IF(VLOOKUP(Table7[[#This Row],[Date]],Database!$A:$C,MATCH($B$1,Database!$A$1:$C$1,),)=0,#N/A,VLOOKUP(Table7[[#This Row],[Date]],Database!$A:$C,MATCH($B$1,Database!$A$1:$C$1,),))</f>
        <v/>
      </c>
      <c r="C5502">
        <f>IF(VLOOKUP(Table7[[#This Row],[Date]],Database!$A:$C,MATCH($C$1,Database!$A$1:$C$1,),)=0,#N/A,VLOOKUP(Table7[[#This Row],[Date]],Database!$A:$C,MATCH($C$1,Database!$A$1:$C$1,),))</f>
        <v/>
      </c>
      <c r="D5502">
        <f>IFERROR(Table7[[#This Row],[United States 10y]]-Table7[[#This Row],[United States 3y]],#N/A)</f>
        <v/>
      </c>
    </row>
    <row r="5503">
      <c r="A5503" s="6">
        <f>Database!$A7588</f>
        <v/>
      </c>
      <c r="B5503">
        <f>IF(VLOOKUP(Table7[[#This Row],[Date]],Database!$A:$C,MATCH($B$1,Database!$A$1:$C$1,),)=0,#N/A,VLOOKUP(Table7[[#This Row],[Date]],Database!$A:$C,MATCH($B$1,Database!$A$1:$C$1,),))</f>
        <v/>
      </c>
      <c r="C5503">
        <f>IF(VLOOKUP(Table7[[#This Row],[Date]],Database!$A:$C,MATCH($C$1,Database!$A$1:$C$1,),)=0,#N/A,VLOOKUP(Table7[[#This Row],[Date]],Database!$A:$C,MATCH($C$1,Database!$A$1:$C$1,),))</f>
        <v/>
      </c>
      <c r="D5503">
        <f>IFERROR(Table7[[#This Row],[United States 10y]]-Table7[[#This Row],[United States 3y]],#N/A)</f>
        <v/>
      </c>
    </row>
    <row r="5504">
      <c r="A5504" s="6">
        <f>Database!$A7589</f>
        <v/>
      </c>
      <c r="B5504">
        <f>IF(VLOOKUP(Table7[[#This Row],[Date]],Database!$A:$C,MATCH($B$1,Database!$A$1:$C$1,),)=0,#N/A,VLOOKUP(Table7[[#This Row],[Date]],Database!$A:$C,MATCH($B$1,Database!$A$1:$C$1,),))</f>
        <v/>
      </c>
      <c r="C5504">
        <f>IF(VLOOKUP(Table7[[#This Row],[Date]],Database!$A:$C,MATCH($C$1,Database!$A$1:$C$1,),)=0,#N/A,VLOOKUP(Table7[[#This Row],[Date]],Database!$A:$C,MATCH($C$1,Database!$A$1:$C$1,),))</f>
        <v/>
      </c>
      <c r="D5504">
        <f>IFERROR(Table7[[#This Row],[United States 10y]]-Table7[[#This Row],[United States 3y]],#N/A)</f>
        <v/>
      </c>
    </row>
    <row r="5505">
      <c r="A5505" s="6">
        <f>Database!$A7590</f>
        <v/>
      </c>
      <c r="B5505">
        <f>IF(VLOOKUP(Table7[[#This Row],[Date]],Database!$A:$C,MATCH($B$1,Database!$A$1:$C$1,),)=0,#N/A,VLOOKUP(Table7[[#This Row],[Date]],Database!$A:$C,MATCH($B$1,Database!$A$1:$C$1,),))</f>
        <v/>
      </c>
      <c r="C5505">
        <f>IF(VLOOKUP(Table7[[#This Row],[Date]],Database!$A:$C,MATCH($C$1,Database!$A$1:$C$1,),)=0,#N/A,VLOOKUP(Table7[[#This Row],[Date]],Database!$A:$C,MATCH($C$1,Database!$A$1:$C$1,),))</f>
        <v/>
      </c>
      <c r="D5505">
        <f>IFERROR(Table7[[#This Row],[United States 10y]]-Table7[[#This Row],[United States 3y]],#N/A)</f>
        <v/>
      </c>
    </row>
    <row r="5506">
      <c r="A5506" s="6">
        <f>Database!$A7591</f>
        <v/>
      </c>
      <c r="B5506">
        <f>IF(VLOOKUP(Table7[[#This Row],[Date]],Database!$A:$C,MATCH($B$1,Database!$A$1:$C$1,),)=0,#N/A,VLOOKUP(Table7[[#This Row],[Date]],Database!$A:$C,MATCH($B$1,Database!$A$1:$C$1,),))</f>
        <v/>
      </c>
      <c r="C5506">
        <f>IF(VLOOKUP(Table7[[#This Row],[Date]],Database!$A:$C,MATCH($C$1,Database!$A$1:$C$1,),)=0,#N/A,VLOOKUP(Table7[[#This Row],[Date]],Database!$A:$C,MATCH($C$1,Database!$A$1:$C$1,),))</f>
        <v/>
      </c>
      <c r="D5506">
        <f>IFERROR(Table7[[#This Row],[United States 10y]]-Table7[[#This Row],[United States 3y]],#N/A)</f>
        <v/>
      </c>
    </row>
    <row r="5507">
      <c r="A5507" s="6">
        <f>Database!$A7592</f>
        <v/>
      </c>
      <c r="B5507">
        <f>IF(VLOOKUP(Table7[[#This Row],[Date]],Database!$A:$C,MATCH($B$1,Database!$A$1:$C$1,),)=0,#N/A,VLOOKUP(Table7[[#This Row],[Date]],Database!$A:$C,MATCH($B$1,Database!$A$1:$C$1,),))</f>
        <v/>
      </c>
      <c r="C5507">
        <f>IF(VLOOKUP(Table7[[#This Row],[Date]],Database!$A:$C,MATCH($C$1,Database!$A$1:$C$1,),)=0,#N/A,VLOOKUP(Table7[[#This Row],[Date]],Database!$A:$C,MATCH($C$1,Database!$A$1:$C$1,),))</f>
        <v/>
      </c>
      <c r="D5507">
        <f>IFERROR(Table7[[#This Row],[United States 10y]]-Table7[[#This Row],[United States 3y]],#N/A)</f>
        <v/>
      </c>
    </row>
    <row r="5508">
      <c r="A5508" s="6">
        <f>Database!$A7593</f>
        <v/>
      </c>
      <c r="B5508">
        <f>IF(VLOOKUP(Table7[[#This Row],[Date]],Database!$A:$C,MATCH($B$1,Database!$A$1:$C$1,),)=0,#N/A,VLOOKUP(Table7[[#This Row],[Date]],Database!$A:$C,MATCH($B$1,Database!$A$1:$C$1,),))</f>
        <v/>
      </c>
      <c r="C5508">
        <f>IF(VLOOKUP(Table7[[#This Row],[Date]],Database!$A:$C,MATCH($C$1,Database!$A$1:$C$1,),)=0,#N/A,VLOOKUP(Table7[[#This Row],[Date]],Database!$A:$C,MATCH($C$1,Database!$A$1:$C$1,),))</f>
        <v/>
      </c>
      <c r="D5508">
        <f>IFERROR(Table7[[#This Row],[United States 10y]]-Table7[[#This Row],[United States 3y]],#N/A)</f>
        <v/>
      </c>
    </row>
    <row r="5509">
      <c r="A5509" s="6">
        <f>Database!$A7594</f>
        <v/>
      </c>
      <c r="B5509">
        <f>IF(VLOOKUP(Table7[[#This Row],[Date]],Database!$A:$C,MATCH($B$1,Database!$A$1:$C$1,),)=0,#N/A,VLOOKUP(Table7[[#This Row],[Date]],Database!$A:$C,MATCH($B$1,Database!$A$1:$C$1,),))</f>
        <v/>
      </c>
      <c r="C5509">
        <f>IF(VLOOKUP(Table7[[#This Row],[Date]],Database!$A:$C,MATCH($C$1,Database!$A$1:$C$1,),)=0,#N/A,VLOOKUP(Table7[[#This Row],[Date]],Database!$A:$C,MATCH($C$1,Database!$A$1:$C$1,),))</f>
        <v/>
      </c>
      <c r="D5509">
        <f>IFERROR(Table7[[#This Row],[United States 10y]]-Table7[[#This Row],[United States 3y]],#N/A)</f>
        <v/>
      </c>
    </row>
    <row r="5510">
      <c r="A5510" s="6">
        <f>Database!$A7595</f>
        <v/>
      </c>
      <c r="B5510">
        <f>IF(VLOOKUP(Table7[[#This Row],[Date]],Database!$A:$C,MATCH($B$1,Database!$A$1:$C$1,),)=0,#N/A,VLOOKUP(Table7[[#This Row],[Date]],Database!$A:$C,MATCH($B$1,Database!$A$1:$C$1,),))</f>
        <v/>
      </c>
      <c r="C5510">
        <f>IF(VLOOKUP(Table7[[#This Row],[Date]],Database!$A:$C,MATCH($C$1,Database!$A$1:$C$1,),)=0,#N/A,VLOOKUP(Table7[[#This Row],[Date]],Database!$A:$C,MATCH($C$1,Database!$A$1:$C$1,),))</f>
        <v/>
      </c>
      <c r="D5510">
        <f>IFERROR(Table7[[#This Row],[United States 10y]]-Table7[[#This Row],[United States 3y]],#N/A)</f>
        <v/>
      </c>
    </row>
    <row r="5511">
      <c r="A5511" s="6">
        <f>Database!$A7596</f>
        <v/>
      </c>
      <c r="B5511">
        <f>IF(VLOOKUP(Table7[[#This Row],[Date]],Database!$A:$C,MATCH($B$1,Database!$A$1:$C$1,),)=0,#N/A,VLOOKUP(Table7[[#This Row],[Date]],Database!$A:$C,MATCH($B$1,Database!$A$1:$C$1,),))</f>
        <v/>
      </c>
      <c r="C5511">
        <f>IF(VLOOKUP(Table7[[#This Row],[Date]],Database!$A:$C,MATCH($C$1,Database!$A$1:$C$1,),)=0,#N/A,VLOOKUP(Table7[[#This Row],[Date]],Database!$A:$C,MATCH($C$1,Database!$A$1:$C$1,),))</f>
        <v/>
      </c>
      <c r="D5511">
        <f>IFERROR(Table7[[#This Row],[United States 10y]]-Table7[[#This Row],[United States 3y]],#N/A)</f>
        <v/>
      </c>
    </row>
    <row r="5512">
      <c r="A5512" s="6">
        <f>Database!$A7597</f>
        <v/>
      </c>
      <c r="B5512">
        <f>IF(VLOOKUP(Table7[[#This Row],[Date]],Database!$A:$C,MATCH($B$1,Database!$A$1:$C$1,),)=0,#N/A,VLOOKUP(Table7[[#This Row],[Date]],Database!$A:$C,MATCH($B$1,Database!$A$1:$C$1,),))</f>
        <v/>
      </c>
      <c r="C5512">
        <f>IF(VLOOKUP(Table7[[#This Row],[Date]],Database!$A:$C,MATCH($C$1,Database!$A$1:$C$1,),)=0,#N/A,VLOOKUP(Table7[[#This Row],[Date]],Database!$A:$C,MATCH($C$1,Database!$A$1:$C$1,),))</f>
        <v/>
      </c>
      <c r="D5512">
        <f>IFERROR(Table7[[#This Row],[United States 10y]]-Table7[[#This Row],[United States 3y]],#N/A)</f>
        <v/>
      </c>
    </row>
    <row r="5513">
      <c r="A5513" s="6">
        <f>Database!$A7598</f>
        <v/>
      </c>
      <c r="B5513">
        <f>IF(VLOOKUP(Table7[[#This Row],[Date]],Database!$A:$C,MATCH($B$1,Database!$A$1:$C$1,),)=0,#N/A,VLOOKUP(Table7[[#This Row],[Date]],Database!$A:$C,MATCH($B$1,Database!$A$1:$C$1,),))</f>
        <v/>
      </c>
      <c r="C5513">
        <f>IF(VLOOKUP(Table7[[#This Row],[Date]],Database!$A:$C,MATCH($C$1,Database!$A$1:$C$1,),)=0,#N/A,VLOOKUP(Table7[[#This Row],[Date]],Database!$A:$C,MATCH($C$1,Database!$A$1:$C$1,),))</f>
        <v/>
      </c>
      <c r="D5513">
        <f>IFERROR(Table7[[#This Row],[United States 10y]]-Table7[[#This Row],[United States 3y]],#N/A)</f>
        <v/>
      </c>
    </row>
    <row r="5514">
      <c r="A5514" s="6">
        <f>Database!$A7599</f>
        <v/>
      </c>
      <c r="B5514">
        <f>IF(VLOOKUP(Table7[[#This Row],[Date]],Database!$A:$C,MATCH($B$1,Database!$A$1:$C$1,),)=0,#N/A,VLOOKUP(Table7[[#This Row],[Date]],Database!$A:$C,MATCH($B$1,Database!$A$1:$C$1,),))</f>
        <v/>
      </c>
      <c r="C5514">
        <f>IF(VLOOKUP(Table7[[#This Row],[Date]],Database!$A:$C,MATCH($C$1,Database!$A$1:$C$1,),)=0,#N/A,VLOOKUP(Table7[[#This Row],[Date]],Database!$A:$C,MATCH($C$1,Database!$A$1:$C$1,),))</f>
        <v/>
      </c>
      <c r="D5514">
        <f>IFERROR(Table7[[#This Row],[United States 10y]]-Table7[[#This Row],[United States 3y]],#N/A)</f>
        <v/>
      </c>
    </row>
    <row r="5515">
      <c r="A5515" s="6">
        <f>Database!$A7600</f>
        <v/>
      </c>
      <c r="B5515">
        <f>IF(VLOOKUP(Table7[[#This Row],[Date]],Database!$A:$C,MATCH($B$1,Database!$A$1:$C$1,),)=0,#N/A,VLOOKUP(Table7[[#This Row],[Date]],Database!$A:$C,MATCH($B$1,Database!$A$1:$C$1,),))</f>
        <v/>
      </c>
      <c r="C5515">
        <f>IF(VLOOKUP(Table7[[#This Row],[Date]],Database!$A:$C,MATCH($C$1,Database!$A$1:$C$1,),)=0,#N/A,VLOOKUP(Table7[[#This Row],[Date]],Database!$A:$C,MATCH($C$1,Database!$A$1:$C$1,),))</f>
        <v/>
      </c>
      <c r="D5515">
        <f>IFERROR(Table7[[#This Row],[United States 10y]]-Table7[[#This Row],[United States 3y]],#N/A)</f>
        <v/>
      </c>
    </row>
    <row r="5516">
      <c r="A5516" s="6">
        <f>Database!$A7601</f>
        <v/>
      </c>
      <c r="B5516">
        <f>IF(VLOOKUP(Table7[[#This Row],[Date]],Database!$A:$C,MATCH($B$1,Database!$A$1:$C$1,),)=0,#N/A,VLOOKUP(Table7[[#This Row],[Date]],Database!$A:$C,MATCH($B$1,Database!$A$1:$C$1,),))</f>
        <v/>
      </c>
      <c r="C5516">
        <f>IF(VLOOKUP(Table7[[#This Row],[Date]],Database!$A:$C,MATCH($C$1,Database!$A$1:$C$1,),)=0,#N/A,VLOOKUP(Table7[[#This Row],[Date]],Database!$A:$C,MATCH($C$1,Database!$A$1:$C$1,),))</f>
        <v/>
      </c>
      <c r="D5516">
        <f>IFERROR(Table7[[#This Row],[United States 10y]]-Table7[[#This Row],[United States 3y]],#N/A)</f>
        <v/>
      </c>
    </row>
    <row r="5517">
      <c r="A5517" s="6">
        <f>Database!$A7602</f>
        <v/>
      </c>
      <c r="B5517">
        <f>IF(VLOOKUP(Table7[[#This Row],[Date]],Database!$A:$C,MATCH($B$1,Database!$A$1:$C$1,),)=0,#N/A,VLOOKUP(Table7[[#This Row],[Date]],Database!$A:$C,MATCH($B$1,Database!$A$1:$C$1,),))</f>
        <v/>
      </c>
      <c r="C5517">
        <f>IF(VLOOKUP(Table7[[#This Row],[Date]],Database!$A:$C,MATCH($C$1,Database!$A$1:$C$1,),)=0,#N/A,VLOOKUP(Table7[[#This Row],[Date]],Database!$A:$C,MATCH($C$1,Database!$A$1:$C$1,),))</f>
        <v/>
      </c>
      <c r="D5517">
        <f>IFERROR(Table7[[#This Row],[United States 10y]]-Table7[[#This Row],[United States 3y]],#N/A)</f>
        <v/>
      </c>
    </row>
    <row r="5518">
      <c r="A5518" s="6">
        <f>Database!$A7603</f>
        <v/>
      </c>
      <c r="B5518">
        <f>IF(VLOOKUP(Table7[[#This Row],[Date]],Database!$A:$C,MATCH($B$1,Database!$A$1:$C$1,),)=0,#N/A,VLOOKUP(Table7[[#This Row],[Date]],Database!$A:$C,MATCH($B$1,Database!$A$1:$C$1,),))</f>
        <v/>
      </c>
      <c r="C5518">
        <f>IF(VLOOKUP(Table7[[#This Row],[Date]],Database!$A:$C,MATCH($C$1,Database!$A$1:$C$1,),)=0,#N/A,VLOOKUP(Table7[[#This Row],[Date]],Database!$A:$C,MATCH($C$1,Database!$A$1:$C$1,),))</f>
        <v/>
      </c>
      <c r="D5518">
        <f>IFERROR(Table7[[#This Row],[United States 10y]]-Table7[[#This Row],[United States 3y]],#N/A)</f>
        <v/>
      </c>
    </row>
    <row r="5519">
      <c r="A5519" s="6">
        <f>Database!$A7604</f>
        <v/>
      </c>
      <c r="B5519">
        <f>IF(VLOOKUP(Table7[[#This Row],[Date]],Database!$A:$C,MATCH($B$1,Database!$A$1:$C$1,),)=0,#N/A,VLOOKUP(Table7[[#This Row],[Date]],Database!$A:$C,MATCH($B$1,Database!$A$1:$C$1,),))</f>
        <v/>
      </c>
      <c r="C5519">
        <f>IF(VLOOKUP(Table7[[#This Row],[Date]],Database!$A:$C,MATCH($C$1,Database!$A$1:$C$1,),)=0,#N/A,VLOOKUP(Table7[[#This Row],[Date]],Database!$A:$C,MATCH($C$1,Database!$A$1:$C$1,),))</f>
        <v/>
      </c>
      <c r="D5519">
        <f>IFERROR(Table7[[#This Row],[United States 10y]]-Table7[[#This Row],[United States 3y]],#N/A)</f>
        <v/>
      </c>
    </row>
    <row r="5520">
      <c r="A5520" s="6">
        <f>Database!$A7605</f>
        <v/>
      </c>
      <c r="B5520">
        <f>IF(VLOOKUP(Table7[[#This Row],[Date]],Database!$A:$C,MATCH($B$1,Database!$A$1:$C$1,),)=0,#N/A,VLOOKUP(Table7[[#This Row],[Date]],Database!$A:$C,MATCH($B$1,Database!$A$1:$C$1,),))</f>
        <v/>
      </c>
      <c r="C5520">
        <f>IF(VLOOKUP(Table7[[#This Row],[Date]],Database!$A:$C,MATCH($C$1,Database!$A$1:$C$1,),)=0,#N/A,VLOOKUP(Table7[[#This Row],[Date]],Database!$A:$C,MATCH($C$1,Database!$A$1:$C$1,),))</f>
        <v/>
      </c>
      <c r="D5520">
        <f>IFERROR(Table7[[#This Row],[United States 10y]]-Table7[[#This Row],[United States 3y]],#N/A)</f>
        <v/>
      </c>
    </row>
    <row r="5521">
      <c r="A5521" s="6">
        <f>Database!$A7606</f>
        <v/>
      </c>
      <c r="B5521">
        <f>IF(VLOOKUP(Table7[[#This Row],[Date]],Database!$A:$C,MATCH($B$1,Database!$A$1:$C$1,),)=0,#N/A,VLOOKUP(Table7[[#This Row],[Date]],Database!$A:$C,MATCH($B$1,Database!$A$1:$C$1,),))</f>
        <v/>
      </c>
      <c r="C5521">
        <f>IF(VLOOKUP(Table7[[#This Row],[Date]],Database!$A:$C,MATCH($C$1,Database!$A$1:$C$1,),)=0,#N/A,VLOOKUP(Table7[[#This Row],[Date]],Database!$A:$C,MATCH($C$1,Database!$A$1:$C$1,),))</f>
        <v/>
      </c>
      <c r="D5521">
        <f>IFERROR(Table7[[#This Row],[United States 10y]]-Table7[[#This Row],[United States 3y]],#N/A)</f>
        <v/>
      </c>
    </row>
    <row r="5522">
      <c r="A5522" s="6">
        <f>Database!$A7607</f>
        <v/>
      </c>
      <c r="B5522">
        <f>IF(VLOOKUP(Table7[[#This Row],[Date]],Database!$A:$C,MATCH($B$1,Database!$A$1:$C$1,),)=0,#N/A,VLOOKUP(Table7[[#This Row],[Date]],Database!$A:$C,MATCH($B$1,Database!$A$1:$C$1,),))</f>
        <v/>
      </c>
      <c r="C5522">
        <f>IF(VLOOKUP(Table7[[#This Row],[Date]],Database!$A:$C,MATCH($C$1,Database!$A$1:$C$1,),)=0,#N/A,VLOOKUP(Table7[[#This Row],[Date]],Database!$A:$C,MATCH($C$1,Database!$A$1:$C$1,),))</f>
        <v/>
      </c>
      <c r="D5522">
        <f>IFERROR(Table7[[#This Row],[United States 10y]]-Table7[[#This Row],[United States 3y]],#N/A)</f>
        <v/>
      </c>
    </row>
    <row r="5523">
      <c r="A5523" s="6">
        <f>Database!$A7608</f>
        <v/>
      </c>
      <c r="B5523">
        <f>IF(VLOOKUP(Table7[[#This Row],[Date]],Database!$A:$C,MATCH($B$1,Database!$A$1:$C$1,),)=0,#N/A,VLOOKUP(Table7[[#This Row],[Date]],Database!$A:$C,MATCH($B$1,Database!$A$1:$C$1,),))</f>
        <v/>
      </c>
      <c r="C5523">
        <f>IF(VLOOKUP(Table7[[#This Row],[Date]],Database!$A:$C,MATCH($C$1,Database!$A$1:$C$1,),)=0,#N/A,VLOOKUP(Table7[[#This Row],[Date]],Database!$A:$C,MATCH($C$1,Database!$A$1:$C$1,),))</f>
        <v/>
      </c>
      <c r="D5523">
        <f>IFERROR(Table7[[#This Row],[United States 10y]]-Table7[[#This Row],[United States 3y]],#N/A)</f>
        <v/>
      </c>
    </row>
    <row r="5524">
      <c r="A5524" s="6">
        <f>Database!$A7609</f>
        <v/>
      </c>
      <c r="B5524">
        <f>IF(VLOOKUP(Table7[[#This Row],[Date]],Database!$A:$C,MATCH($B$1,Database!$A$1:$C$1,),)=0,#N/A,VLOOKUP(Table7[[#This Row],[Date]],Database!$A:$C,MATCH($B$1,Database!$A$1:$C$1,),))</f>
        <v/>
      </c>
      <c r="C5524">
        <f>IF(VLOOKUP(Table7[[#This Row],[Date]],Database!$A:$C,MATCH($C$1,Database!$A$1:$C$1,),)=0,#N/A,VLOOKUP(Table7[[#This Row],[Date]],Database!$A:$C,MATCH($C$1,Database!$A$1:$C$1,),))</f>
        <v/>
      </c>
      <c r="D5524">
        <f>IFERROR(Table7[[#This Row],[United States 10y]]-Table7[[#This Row],[United States 3y]],#N/A)</f>
        <v/>
      </c>
    </row>
    <row r="5525">
      <c r="A5525" s="6">
        <f>Database!$A7610</f>
        <v/>
      </c>
      <c r="B5525">
        <f>IF(VLOOKUP(Table7[[#This Row],[Date]],Database!$A:$C,MATCH($B$1,Database!$A$1:$C$1,),)=0,#N/A,VLOOKUP(Table7[[#This Row],[Date]],Database!$A:$C,MATCH($B$1,Database!$A$1:$C$1,),))</f>
        <v/>
      </c>
      <c r="C5525">
        <f>IF(VLOOKUP(Table7[[#This Row],[Date]],Database!$A:$C,MATCH($C$1,Database!$A$1:$C$1,),)=0,#N/A,VLOOKUP(Table7[[#This Row],[Date]],Database!$A:$C,MATCH($C$1,Database!$A$1:$C$1,),))</f>
        <v/>
      </c>
      <c r="D5525">
        <f>IFERROR(Table7[[#This Row],[United States 10y]]-Table7[[#This Row],[United States 3y]],#N/A)</f>
        <v/>
      </c>
    </row>
    <row r="5526">
      <c r="A5526" s="6">
        <f>Database!$A7611</f>
        <v/>
      </c>
      <c r="B5526">
        <f>IF(VLOOKUP(Table7[[#This Row],[Date]],Database!$A:$C,MATCH($B$1,Database!$A$1:$C$1,),)=0,#N/A,VLOOKUP(Table7[[#This Row],[Date]],Database!$A:$C,MATCH($B$1,Database!$A$1:$C$1,),))</f>
        <v/>
      </c>
      <c r="C5526">
        <f>IF(VLOOKUP(Table7[[#This Row],[Date]],Database!$A:$C,MATCH($C$1,Database!$A$1:$C$1,),)=0,#N/A,VLOOKUP(Table7[[#This Row],[Date]],Database!$A:$C,MATCH($C$1,Database!$A$1:$C$1,),))</f>
        <v/>
      </c>
      <c r="D5526">
        <f>IFERROR(Table7[[#This Row],[United States 10y]]-Table7[[#This Row],[United States 3y]],#N/A)</f>
        <v/>
      </c>
    </row>
    <row r="5527">
      <c r="A5527" s="6">
        <f>Database!$A7612</f>
        <v/>
      </c>
      <c r="B5527">
        <f>IF(VLOOKUP(Table7[[#This Row],[Date]],Database!$A:$C,MATCH($B$1,Database!$A$1:$C$1,),)=0,#N/A,VLOOKUP(Table7[[#This Row],[Date]],Database!$A:$C,MATCH($B$1,Database!$A$1:$C$1,),))</f>
        <v/>
      </c>
      <c r="C5527">
        <f>IF(VLOOKUP(Table7[[#This Row],[Date]],Database!$A:$C,MATCH($C$1,Database!$A$1:$C$1,),)=0,#N/A,VLOOKUP(Table7[[#This Row],[Date]],Database!$A:$C,MATCH($C$1,Database!$A$1:$C$1,),))</f>
        <v/>
      </c>
      <c r="D5527">
        <f>IFERROR(Table7[[#This Row],[United States 10y]]-Table7[[#This Row],[United States 3y]],#N/A)</f>
        <v/>
      </c>
    </row>
    <row r="5528">
      <c r="A5528" s="6">
        <f>Database!$A7613</f>
        <v/>
      </c>
      <c r="B5528">
        <f>IF(VLOOKUP(Table7[[#This Row],[Date]],Database!$A:$C,MATCH($B$1,Database!$A$1:$C$1,),)=0,#N/A,VLOOKUP(Table7[[#This Row],[Date]],Database!$A:$C,MATCH($B$1,Database!$A$1:$C$1,),))</f>
        <v/>
      </c>
      <c r="C5528">
        <f>IF(VLOOKUP(Table7[[#This Row],[Date]],Database!$A:$C,MATCH($C$1,Database!$A$1:$C$1,),)=0,#N/A,VLOOKUP(Table7[[#This Row],[Date]],Database!$A:$C,MATCH($C$1,Database!$A$1:$C$1,),))</f>
        <v/>
      </c>
      <c r="D5528">
        <f>IFERROR(Table7[[#This Row],[United States 10y]]-Table7[[#This Row],[United States 3y]],#N/A)</f>
        <v/>
      </c>
    </row>
    <row r="5529">
      <c r="A5529" s="6">
        <f>Database!$A7614</f>
        <v/>
      </c>
      <c r="B5529">
        <f>IF(VLOOKUP(Table7[[#This Row],[Date]],Database!$A:$C,MATCH($B$1,Database!$A$1:$C$1,),)=0,#N/A,VLOOKUP(Table7[[#This Row],[Date]],Database!$A:$C,MATCH($B$1,Database!$A$1:$C$1,),))</f>
        <v/>
      </c>
      <c r="C5529">
        <f>IF(VLOOKUP(Table7[[#This Row],[Date]],Database!$A:$C,MATCH($C$1,Database!$A$1:$C$1,),)=0,#N/A,VLOOKUP(Table7[[#This Row],[Date]],Database!$A:$C,MATCH($C$1,Database!$A$1:$C$1,),))</f>
        <v/>
      </c>
      <c r="D5529">
        <f>IFERROR(Table7[[#This Row],[United States 10y]]-Table7[[#This Row],[United States 3y]],#N/A)</f>
        <v/>
      </c>
    </row>
    <row r="5530">
      <c r="A5530" s="6">
        <f>Database!$A7615</f>
        <v/>
      </c>
      <c r="B5530">
        <f>IF(VLOOKUP(Table7[[#This Row],[Date]],Database!$A:$C,MATCH($B$1,Database!$A$1:$C$1,),)=0,#N/A,VLOOKUP(Table7[[#This Row],[Date]],Database!$A:$C,MATCH($B$1,Database!$A$1:$C$1,),))</f>
        <v/>
      </c>
      <c r="C5530">
        <f>IF(VLOOKUP(Table7[[#This Row],[Date]],Database!$A:$C,MATCH($C$1,Database!$A$1:$C$1,),)=0,#N/A,VLOOKUP(Table7[[#This Row],[Date]],Database!$A:$C,MATCH($C$1,Database!$A$1:$C$1,),))</f>
        <v/>
      </c>
      <c r="D5530">
        <f>IFERROR(Table7[[#This Row],[United States 10y]]-Table7[[#This Row],[United States 3y]],#N/A)</f>
        <v/>
      </c>
    </row>
    <row r="5531">
      <c r="A5531" s="6">
        <f>Database!$A7616</f>
        <v/>
      </c>
      <c r="B5531">
        <f>IF(VLOOKUP(Table7[[#This Row],[Date]],Database!$A:$C,MATCH($B$1,Database!$A$1:$C$1,),)=0,#N/A,VLOOKUP(Table7[[#This Row],[Date]],Database!$A:$C,MATCH($B$1,Database!$A$1:$C$1,),))</f>
        <v/>
      </c>
      <c r="C5531">
        <f>IF(VLOOKUP(Table7[[#This Row],[Date]],Database!$A:$C,MATCH($C$1,Database!$A$1:$C$1,),)=0,#N/A,VLOOKUP(Table7[[#This Row],[Date]],Database!$A:$C,MATCH($C$1,Database!$A$1:$C$1,),))</f>
        <v/>
      </c>
      <c r="D5531">
        <f>IFERROR(Table7[[#This Row],[United States 10y]]-Table7[[#This Row],[United States 3y]],#N/A)</f>
        <v/>
      </c>
    </row>
    <row r="5532">
      <c r="A5532" s="6">
        <f>Database!$A7617</f>
        <v/>
      </c>
      <c r="B5532">
        <f>IF(VLOOKUP(Table7[[#This Row],[Date]],Database!$A:$C,MATCH($B$1,Database!$A$1:$C$1,),)=0,#N/A,VLOOKUP(Table7[[#This Row],[Date]],Database!$A:$C,MATCH($B$1,Database!$A$1:$C$1,),))</f>
        <v/>
      </c>
      <c r="C5532">
        <f>IF(VLOOKUP(Table7[[#This Row],[Date]],Database!$A:$C,MATCH($C$1,Database!$A$1:$C$1,),)=0,#N/A,VLOOKUP(Table7[[#This Row],[Date]],Database!$A:$C,MATCH($C$1,Database!$A$1:$C$1,),))</f>
        <v/>
      </c>
      <c r="D5532">
        <f>IFERROR(Table7[[#This Row],[United States 10y]]-Table7[[#This Row],[United States 3y]],#N/A)</f>
        <v/>
      </c>
    </row>
    <row r="5533">
      <c r="A5533" s="6">
        <f>Database!$A7618</f>
        <v/>
      </c>
      <c r="B5533">
        <f>IF(VLOOKUP(Table7[[#This Row],[Date]],Database!$A:$C,MATCH($B$1,Database!$A$1:$C$1,),)=0,#N/A,VLOOKUP(Table7[[#This Row],[Date]],Database!$A:$C,MATCH($B$1,Database!$A$1:$C$1,),))</f>
        <v/>
      </c>
      <c r="C5533">
        <f>IF(VLOOKUP(Table7[[#This Row],[Date]],Database!$A:$C,MATCH($C$1,Database!$A$1:$C$1,),)=0,#N/A,VLOOKUP(Table7[[#This Row],[Date]],Database!$A:$C,MATCH($C$1,Database!$A$1:$C$1,),))</f>
        <v/>
      </c>
      <c r="D5533">
        <f>IFERROR(Table7[[#This Row],[United States 10y]]-Table7[[#This Row],[United States 3y]],#N/A)</f>
        <v/>
      </c>
    </row>
    <row r="5534">
      <c r="A5534" s="6">
        <f>Database!$A7619</f>
        <v/>
      </c>
      <c r="B5534">
        <f>IF(VLOOKUP(Table7[[#This Row],[Date]],Database!$A:$C,MATCH($B$1,Database!$A$1:$C$1,),)=0,#N/A,VLOOKUP(Table7[[#This Row],[Date]],Database!$A:$C,MATCH($B$1,Database!$A$1:$C$1,),))</f>
        <v/>
      </c>
      <c r="C5534">
        <f>IF(VLOOKUP(Table7[[#This Row],[Date]],Database!$A:$C,MATCH($C$1,Database!$A$1:$C$1,),)=0,#N/A,VLOOKUP(Table7[[#This Row],[Date]],Database!$A:$C,MATCH($C$1,Database!$A$1:$C$1,),))</f>
        <v/>
      </c>
      <c r="D5534">
        <f>IFERROR(Table7[[#This Row],[United States 10y]]-Table7[[#This Row],[United States 3y]],#N/A)</f>
        <v/>
      </c>
    </row>
    <row r="5535">
      <c r="A5535" s="6">
        <f>Database!$A7620</f>
        <v/>
      </c>
      <c r="B5535">
        <f>IF(VLOOKUP(Table7[[#This Row],[Date]],Database!$A:$C,MATCH($B$1,Database!$A$1:$C$1,),)=0,#N/A,VLOOKUP(Table7[[#This Row],[Date]],Database!$A:$C,MATCH($B$1,Database!$A$1:$C$1,),))</f>
        <v/>
      </c>
      <c r="C5535">
        <f>IF(VLOOKUP(Table7[[#This Row],[Date]],Database!$A:$C,MATCH($C$1,Database!$A$1:$C$1,),)=0,#N/A,VLOOKUP(Table7[[#This Row],[Date]],Database!$A:$C,MATCH($C$1,Database!$A$1:$C$1,),))</f>
        <v/>
      </c>
      <c r="D5535">
        <f>IFERROR(Table7[[#This Row],[United States 10y]]-Table7[[#This Row],[United States 3y]],#N/A)</f>
        <v/>
      </c>
    </row>
    <row r="5536">
      <c r="A5536" s="6">
        <f>Database!$A7621</f>
        <v/>
      </c>
      <c r="B5536">
        <f>IF(VLOOKUP(Table7[[#This Row],[Date]],Database!$A:$C,MATCH($B$1,Database!$A$1:$C$1,),)=0,#N/A,VLOOKUP(Table7[[#This Row],[Date]],Database!$A:$C,MATCH($B$1,Database!$A$1:$C$1,),))</f>
        <v/>
      </c>
      <c r="C5536">
        <f>IF(VLOOKUP(Table7[[#This Row],[Date]],Database!$A:$C,MATCH($C$1,Database!$A$1:$C$1,),)=0,#N/A,VLOOKUP(Table7[[#This Row],[Date]],Database!$A:$C,MATCH($C$1,Database!$A$1:$C$1,),))</f>
        <v/>
      </c>
      <c r="D5536">
        <f>IFERROR(Table7[[#This Row],[United States 10y]]-Table7[[#This Row],[United States 3y]],#N/A)</f>
        <v/>
      </c>
    </row>
    <row r="5537">
      <c r="A5537" s="6">
        <f>Database!$A7622</f>
        <v/>
      </c>
      <c r="B5537">
        <f>IF(VLOOKUP(Table7[[#This Row],[Date]],Database!$A:$C,MATCH($B$1,Database!$A$1:$C$1,),)=0,#N/A,VLOOKUP(Table7[[#This Row],[Date]],Database!$A:$C,MATCH($B$1,Database!$A$1:$C$1,),))</f>
        <v/>
      </c>
      <c r="C5537">
        <f>IF(VLOOKUP(Table7[[#This Row],[Date]],Database!$A:$C,MATCH($C$1,Database!$A$1:$C$1,),)=0,#N/A,VLOOKUP(Table7[[#This Row],[Date]],Database!$A:$C,MATCH($C$1,Database!$A$1:$C$1,),))</f>
        <v/>
      </c>
      <c r="D5537">
        <f>IFERROR(Table7[[#This Row],[United States 10y]]-Table7[[#This Row],[United States 3y]],#N/A)</f>
        <v/>
      </c>
    </row>
    <row r="5538">
      <c r="A5538" s="6">
        <f>Database!$A7623</f>
        <v/>
      </c>
      <c r="B5538">
        <f>IF(VLOOKUP(Table7[[#This Row],[Date]],Database!$A:$C,MATCH($B$1,Database!$A$1:$C$1,),)=0,#N/A,VLOOKUP(Table7[[#This Row],[Date]],Database!$A:$C,MATCH($B$1,Database!$A$1:$C$1,),))</f>
        <v/>
      </c>
      <c r="C5538">
        <f>IF(VLOOKUP(Table7[[#This Row],[Date]],Database!$A:$C,MATCH($C$1,Database!$A$1:$C$1,),)=0,#N/A,VLOOKUP(Table7[[#This Row],[Date]],Database!$A:$C,MATCH($C$1,Database!$A$1:$C$1,),))</f>
        <v/>
      </c>
      <c r="D5538">
        <f>IFERROR(Table7[[#This Row],[United States 10y]]-Table7[[#This Row],[United States 3y]],#N/A)</f>
        <v/>
      </c>
    </row>
    <row r="5539">
      <c r="A5539" s="6">
        <f>Database!$A7624</f>
        <v/>
      </c>
      <c r="B5539">
        <f>IF(VLOOKUP(Table7[[#This Row],[Date]],Database!$A:$C,MATCH($B$1,Database!$A$1:$C$1,),)=0,#N/A,VLOOKUP(Table7[[#This Row],[Date]],Database!$A:$C,MATCH($B$1,Database!$A$1:$C$1,),))</f>
        <v/>
      </c>
      <c r="C5539">
        <f>IF(VLOOKUP(Table7[[#This Row],[Date]],Database!$A:$C,MATCH($C$1,Database!$A$1:$C$1,),)=0,#N/A,VLOOKUP(Table7[[#This Row],[Date]],Database!$A:$C,MATCH($C$1,Database!$A$1:$C$1,),))</f>
        <v/>
      </c>
      <c r="D5539">
        <f>IFERROR(Table7[[#This Row],[United States 10y]]-Table7[[#This Row],[United States 3y]],#N/A)</f>
        <v/>
      </c>
    </row>
    <row r="5540">
      <c r="A5540" s="6">
        <f>Database!$A7625</f>
        <v/>
      </c>
      <c r="B5540">
        <f>IF(VLOOKUP(Table7[[#This Row],[Date]],Database!$A:$C,MATCH($B$1,Database!$A$1:$C$1,),)=0,#N/A,VLOOKUP(Table7[[#This Row],[Date]],Database!$A:$C,MATCH($B$1,Database!$A$1:$C$1,),))</f>
        <v/>
      </c>
      <c r="C5540">
        <f>IF(VLOOKUP(Table7[[#This Row],[Date]],Database!$A:$C,MATCH($C$1,Database!$A$1:$C$1,),)=0,#N/A,VLOOKUP(Table7[[#This Row],[Date]],Database!$A:$C,MATCH($C$1,Database!$A$1:$C$1,),))</f>
        <v/>
      </c>
      <c r="D5540">
        <f>IFERROR(Table7[[#This Row],[United States 10y]]-Table7[[#This Row],[United States 3y]],#N/A)</f>
        <v/>
      </c>
    </row>
    <row r="5541">
      <c r="A5541" s="6">
        <f>Database!$A7626</f>
        <v/>
      </c>
      <c r="B5541">
        <f>IF(VLOOKUP(Table7[[#This Row],[Date]],Database!$A:$C,MATCH($B$1,Database!$A$1:$C$1,),)=0,#N/A,VLOOKUP(Table7[[#This Row],[Date]],Database!$A:$C,MATCH($B$1,Database!$A$1:$C$1,),))</f>
        <v/>
      </c>
      <c r="C5541">
        <f>IF(VLOOKUP(Table7[[#This Row],[Date]],Database!$A:$C,MATCH($C$1,Database!$A$1:$C$1,),)=0,#N/A,VLOOKUP(Table7[[#This Row],[Date]],Database!$A:$C,MATCH($C$1,Database!$A$1:$C$1,),))</f>
        <v/>
      </c>
      <c r="D5541">
        <f>IFERROR(Table7[[#This Row],[United States 10y]]-Table7[[#This Row],[United States 3y]],#N/A)</f>
        <v/>
      </c>
    </row>
    <row r="5542">
      <c r="A5542" s="6">
        <f>Database!$A7627</f>
        <v/>
      </c>
      <c r="B5542">
        <f>IF(VLOOKUP(Table7[[#This Row],[Date]],Database!$A:$C,MATCH($B$1,Database!$A$1:$C$1,),)=0,#N/A,VLOOKUP(Table7[[#This Row],[Date]],Database!$A:$C,MATCH($B$1,Database!$A$1:$C$1,),))</f>
        <v/>
      </c>
      <c r="C5542">
        <f>IF(VLOOKUP(Table7[[#This Row],[Date]],Database!$A:$C,MATCH($C$1,Database!$A$1:$C$1,),)=0,#N/A,VLOOKUP(Table7[[#This Row],[Date]],Database!$A:$C,MATCH($C$1,Database!$A$1:$C$1,),))</f>
        <v/>
      </c>
      <c r="D5542">
        <f>IFERROR(Table7[[#This Row],[United States 10y]]-Table7[[#This Row],[United States 3y]],#N/A)</f>
        <v/>
      </c>
    </row>
    <row r="5543">
      <c r="A5543" s="6">
        <f>Database!$A7628</f>
        <v/>
      </c>
      <c r="B5543">
        <f>IF(VLOOKUP(Table7[[#This Row],[Date]],Database!$A:$C,MATCH($B$1,Database!$A$1:$C$1,),)=0,#N/A,VLOOKUP(Table7[[#This Row],[Date]],Database!$A:$C,MATCH($B$1,Database!$A$1:$C$1,),))</f>
        <v/>
      </c>
      <c r="C5543">
        <f>IF(VLOOKUP(Table7[[#This Row],[Date]],Database!$A:$C,MATCH($C$1,Database!$A$1:$C$1,),)=0,#N/A,VLOOKUP(Table7[[#This Row],[Date]],Database!$A:$C,MATCH($C$1,Database!$A$1:$C$1,),))</f>
        <v/>
      </c>
      <c r="D5543">
        <f>IFERROR(Table7[[#This Row],[United States 10y]]-Table7[[#This Row],[United States 3y]],#N/A)</f>
        <v/>
      </c>
    </row>
    <row r="5544">
      <c r="A5544" s="6">
        <f>Database!$A7629</f>
        <v/>
      </c>
      <c r="B5544">
        <f>IF(VLOOKUP(Table7[[#This Row],[Date]],Database!$A:$C,MATCH($B$1,Database!$A$1:$C$1,),)=0,#N/A,VLOOKUP(Table7[[#This Row],[Date]],Database!$A:$C,MATCH($B$1,Database!$A$1:$C$1,),))</f>
        <v/>
      </c>
      <c r="C5544">
        <f>IF(VLOOKUP(Table7[[#This Row],[Date]],Database!$A:$C,MATCH($C$1,Database!$A$1:$C$1,),)=0,#N/A,VLOOKUP(Table7[[#This Row],[Date]],Database!$A:$C,MATCH($C$1,Database!$A$1:$C$1,),))</f>
        <v/>
      </c>
      <c r="D5544">
        <f>IFERROR(Table7[[#This Row],[United States 10y]]-Table7[[#This Row],[United States 3y]],#N/A)</f>
        <v/>
      </c>
    </row>
    <row r="5545">
      <c r="A5545" s="6">
        <f>Database!$A7630</f>
        <v/>
      </c>
      <c r="B5545">
        <f>IF(VLOOKUP(Table7[[#This Row],[Date]],Database!$A:$C,MATCH($B$1,Database!$A$1:$C$1,),)=0,#N/A,VLOOKUP(Table7[[#This Row],[Date]],Database!$A:$C,MATCH($B$1,Database!$A$1:$C$1,),))</f>
        <v/>
      </c>
      <c r="C5545">
        <f>IF(VLOOKUP(Table7[[#This Row],[Date]],Database!$A:$C,MATCH($C$1,Database!$A$1:$C$1,),)=0,#N/A,VLOOKUP(Table7[[#This Row],[Date]],Database!$A:$C,MATCH($C$1,Database!$A$1:$C$1,),))</f>
        <v/>
      </c>
      <c r="D5545">
        <f>IFERROR(Table7[[#This Row],[United States 10y]]-Table7[[#This Row],[United States 3y]],#N/A)</f>
        <v/>
      </c>
    </row>
    <row r="5546">
      <c r="A5546" s="6">
        <f>Database!$A7631</f>
        <v/>
      </c>
      <c r="B5546">
        <f>IF(VLOOKUP(Table7[[#This Row],[Date]],Database!$A:$C,MATCH($B$1,Database!$A$1:$C$1,),)=0,#N/A,VLOOKUP(Table7[[#This Row],[Date]],Database!$A:$C,MATCH($B$1,Database!$A$1:$C$1,),))</f>
        <v/>
      </c>
      <c r="C5546">
        <f>IF(VLOOKUP(Table7[[#This Row],[Date]],Database!$A:$C,MATCH($C$1,Database!$A$1:$C$1,),)=0,#N/A,VLOOKUP(Table7[[#This Row],[Date]],Database!$A:$C,MATCH($C$1,Database!$A$1:$C$1,),))</f>
        <v/>
      </c>
      <c r="D5546">
        <f>IFERROR(Table7[[#This Row],[United States 10y]]-Table7[[#This Row],[United States 3y]],#N/A)</f>
        <v/>
      </c>
    </row>
    <row r="5547">
      <c r="A5547" s="6">
        <f>Database!$A7632</f>
        <v/>
      </c>
      <c r="B5547">
        <f>IF(VLOOKUP(Table7[[#This Row],[Date]],Database!$A:$C,MATCH($B$1,Database!$A$1:$C$1,),)=0,#N/A,VLOOKUP(Table7[[#This Row],[Date]],Database!$A:$C,MATCH($B$1,Database!$A$1:$C$1,),))</f>
        <v/>
      </c>
      <c r="C5547">
        <f>IF(VLOOKUP(Table7[[#This Row],[Date]],Database!$A:$C,MATCH($C$1,Database!$A$1:$C$1,),)=0,#N/A,VLOOKUP(Table7[[#This Row],[Date]],Database!$A:$C,MATCH($C$1,Database!$A$1:$C$1,),))</f>
        <v/>
      </c>
      <c r="D5547">
        <f>IFERROR(Table7[[#This Row],[United States 10y]]-Table7[[#This Row],[United States 3y]],#N/A)</f>
        <v/>
      </c>
    </row>
    <row r="5548">
      <c r="A5548" s="6">
        <f>Database!$A7633</f>
        <v/>
      </c>
      <c r="B5548">
        <f>IF(VLOOKUP(Table7[[#This Row],[Date]],Database!$A:$C,MATCH($B$1,Database!$A$1:$C$1,),)=0,#N/A,VLOOKUP(Table7[[#This Row],[Date]],Database!$A:$C,MATCH($B$1,Database!$A$1:$C$1,),))</f>
        <v/>
      </c>
      <c r="C5548">
        <f>IF(VLOOKUP(Table7[[#This Row],[Date]],Database!$A:$C,MATCH($C$1,Database!$A$1:$C$1,),)=0,#N/A,VLOOKUP(Table7[[#This Row],[Date]],Database!$A:$C,MATCH($C$1,Database!$A$1:$C$1,),))</f>
        <v/>
      </c>
      <c r="D5548">
        <f>IFERROR(Table7[[#This Row],[United States 10y]]-Table7[[#This Row],[United States 3y]],#N/A)</f>
        <v/>
      </c>
    </row>
    <row r="5549">
      <c r="A5549" s="6">
        <f>Database!$A7634</f>
        <v/>
      </c>
      <c r="B5549">
        <f>IF(VLOOKUP(Table7[[#This Row],[Date]],Database!$A:$C,MATCH($B$1,Database!$A$1:$C$1,),)=0,#N/A,VLOOKUP(Table7[[#This Row],[Date]],Database!$A:$C,MATCH($B$1,Database!$A$1:$C$1,),))</f>
        <v/>
      </c>
      <c r="C5549">
        <f>IF(VLOOKUP(Table7[[#This Row],[Date]],Database!$A:$C,MATCH($C$1,Database!$A$1:$C$1,),)=0,#N/A,VLOOKUP(Table7[[#This Row],[Date]],Database!$A:$C,MATCH($C$1,Database!$A$1:$C$1,),))</f>
        <v/>
      </c>
      <c r="D5549">
        <f>IFERROR(Table7[[#This Row],[United States 10y]]-Table7[[#This Row],[United States 3y]],#N/A)</f>
        <v/>
      </c>
    </row>
    <row r="5550">
      <c r="A5550" s="6">
        <f>Database!$A7635</f>
        <v/>
      </c>
      <c r="B5550">
        <f>IF(VLOOKUP(Table7[[#This Row],[Date]],Database!$A:$C,MATCH($B$1,Database!$A$1:$C$1,),)=0,#N/A,VLOOKUP(Table7[[#This Row],[Date]],Database!$A:$C,MATCH($B$1,Database!$A$1:$C$1,),))</f>
        <v/>
      </c>
      <c r="C5550">
        <f>IF(VLOOKUP(Table7[[#This Row],[Date]],Database!$A:$C,MATCH($C$1,Database!$A$1:$C$1,),)=0,#N/A,VLOOKUP(Table7[[#This Row],[Date]],Database!$A:$C,MATCH($C$1,Database!$A$1:$C$1,),))</f>
        <v/>
      </c>
      <c r="D5550">
        <f>IFERROR(Table7[[#This Row],[United States 10y]]-Table7[[#This Row],[United States 3y]],#N/A)</f>
        <v/>
      </c>
    </row>
    <row r="5551">
      <c r="A5551" s="6">
        <f>Database!$A7636</f>
        <v/>
      </c>
      <c r="B5551">
        <f>IF(VLOOKUP(Table7[[#This Row],[Date]],Database!$A:$C,MATCH($B$1,Database!$A$1:$C$1,),)=0,#N/A,VLOOKUP(Table7[[#This Row],[Date]],Database!$A:$C,MATCH($B$1,Database!$A$1:$C$1,),))</f>
        <v/>
      </c>
      <c r="C5551">
        <f>IF(VLOOKUP(Table7[[#This Row],[Date]],Database!$A:$C,MATCH($C$1,Database!$A$1:$C$1,),)=0,#N/A,VLOOKUP(Table7[[#This Row],[Date]],Database!$A:$C,MATCH($C$1,Database!$A$1:$C$1,),))</f>
        <v/>
      </c>
      <c r="D5551">
        <f>IFERROR(Table7[[#This Row],[United States 10y]]-Table7[[#This Row],[United States 3y]],#N/A)</f>
        <v/>
      </c>
    </row>
    <row r="5552">
      <c r="A5552" s="6">
        <f>Database!$A7637</f>
        <v/>
      </c>
      <c r="B5552">
        <f>IF(VLOOKUP(Table7[[#This Row],[Date]],Database!$A:$C,MATCH($B$1,Database!$A$1:$C$1,),)=0,#N/A,VLOOKUP(Table7[[#This Row],[Date]],Database!$A:$C,MATCH($B$1,Database!$A$1:$C$1,),))</f>
        <v/>
      </c>
      <c r="C5552">
        <f>IF(VLOOKUP(Table7[[#This Row],[Date]],Database!$A:$C,MATCH($C$1,Database!$A$1:$C$1,),)=0,#N/A,VLOOKUP(Table7[[#This Row],[Date]],Database!$A:$C,MATCH($C$1,Database!$A$1:$C$1,),))</f>
        <v/>
      </c>
      <c r="D5552">
        <f>IFERROR(Table7[[#This Row],[United States 10y]]-Table7[[#This Row],[United States 3y]],#N/A)</f>
        <v/>
      </c>
    </row>
    <row r="5553">
      <c r="A5553" s="6">
        <f>Database!$A7638</f>
        <v/>
      </c>
      <c r="B5553">
        <f>IF(VLOOKUP(Table7[[#This Row],[Date]],Database!$A:$C,MATCH($B$1,Database!$A$1:$C$1,),)=0,#N/A,VLOOKUP(Table7[[#This Row],[Date]],Database!$A:$C,MATCH($B$1,Database!$A$1:$C$1,),))</f>
        <v/>
      </c>
      <c r="C5553">
        <f>IF(VLOOKUP(Table7[[#This Row],[Date]],Database!$A:$C,MATCH($C$1,Database!$A$1:$C$1,),)=0,#N/A,VLOOKUP(Table7[[#This Row],[Date]],Database!$A:$C,MATCH($C$1,Database!$A$1:$C$1,),))</f>
        <v/>
      </c>
      <c r="D5553">
        <f>IFERROR(Table7[[#This Row],[United States 10y]]-Table7[[#This Row],[United States 3y]],#N/A)</f>
        <v/>
      </c>
    </row>
    <row r="5554">
      <c r="A5554" s="6">
        <f>Database!$A7639</f>
        <v/>
      </c>
      <c r="B5554">
        <f>IF(VLOOKUP(Table7[[#This Row],[Date]],Database!$A:$C,MATCH($B$1,Database!$A$1:$C$1,),)=0,#N/A,VLOOKUP(Table7[[#This Row],[Date]],Database!$A:$C,MATCH($B$1,Database!$A$1:$C$1,),))</f>
        <v/>
      </c>
      <c r="C5554">
        <f>IF(VLOOKUP(Table7[[#This Row],[Date]],Database!$A:$C,MATCH($C$1,Database!$A$1:$C$1,),)=0,#N/A,VLOOKUP(Table7[[#This Row],[Date]],Database!$A:$C,MATCH($C$1,Database!$A$1:$C$1,),))</f>
        <v/>
      </c>
      <c r="D5554">
        <f>IFERROR(Table7[[#This Row],[United States 10y]]-Table7[[#This Row],[United States 3y]],#N/A)</f>
        <v/>
      </c>
    </row>
    <row r="5555">
      <c r="A5555" s="6">
        <f>Database!$A7640</f>
        <v/>
      </c>
      <c r="B5555">
        <f>IF(VLOOKUP(Table7[[#This Row],[Date]],Database!$A:$C,MATCH($B$1,Database!$A$1:$C$1,),)=0,#N/A,VLOOKUP(Table7[[#This Row],[Date]],Database!$A:$C,MATCH($B$1,Database!$A$1:$C$1,),))</f>
        <v/>
      </c>
      <c r="C5555">
        <f>IF(VLOOKUP(Table7[[#This Row],[Date]],Database!$A:$C,MATCH($C$1,Database!$A$1:$C$1,),)=0,#N/A,VLOOKUP(Table7[[#This Row],[Date]],Database!$A:$C,MATCH($C$1,Database!$A$1:$C$1,),))</f>
        <v/>
      </c>
      <c r="D5555">
        <f>IFERROR(Table7[[#This Row],[United States 10y]]-Table7[[#This Row],[United States 3y]],#N/A)</f>
        <v/>
      </c>
    </row>
    <row r="5556">
      <c r="A5556" s="6">
        <f>Database!$A7641</f>
        <v/>
      </c>
      <c r="B5556">
        <f>IF(VLOOKUP(Table7[[#This Row],[Date]],Database!$A:$C,MATCH($B$1,Database!$A$1:$C$1,),)=0,#N/A,VLOOKUP(Table7[[#This Row],[Date]],Database!$A:$C,MATCH($B$1,Database!$A$1:$C$1,),))</f>
        <v/>
      </c>
      <c r="C5556">
        <f>IF(VLOOKUP(Table7[[#This Row],[Date]],Database!$A:$C,MATCH($C$1,Database!$A$1:$C$1,),)=0,#N/A,VLOOKUP(Table7[[#This Row],[Date]],Database!$A:$C,MATCH($C$1,Database!$A$1:$C$1,),))</f>
        <v/>
      </c>
      <c r="D5556">
        <f>IFERROR(Table7[[#This Row],[United States 10y]]-Table7[[#This Row],[United States 3y]],#N/A)</f>
        <v/>
      </c>
    </row>
    <row r="5557">
      <c r="A5557" s="6">
        <f>Database!$A7642</f>
        <v/>
      </c>
      <c r="B5557">
        <f>IF(VLOOKUP(Table7[[#This Row],[Date]],Database!$A:$C,MATCH($B$1,Database!$A$1:$C$1,),)=0,#N/A,VLOOKUP(Table7[[#This Row],[Date]],Database!$A:$C,MATCH($B$1,Database!$A$1:$C$1,),))</f>
        <v/>
      </c>
      <c r="C5557">
        <f>IF(VLOOKUP(Table7[[#This Row],[Date]],Database!$A:$C,MATCH($C$1,Database!$A$1:$C$1,),)=0,#N/A,VLOOKUP(Table7[[#This Row],[Date]],Database!$A:$C,MATCH($C$1,Database!$A$1:$C$1,),))</f>
        <v/>
      </c>
      <c r="D5557">
        <f>IFERROR(Table7[[#This Row],[United States 10y]]-Table7[[#This Row],[United States 3y]],#N/A)</f>
        <v/>
      </c>
    </row>
    <row r="5558">
      <c r="A5558" s="6">
        <f>Database!$A7643</f>
        <v/>
      </c>
      <c r="B5558">
        <f>IF(VLOOKUP(Table7[[#This Row],[Date]],Database!$A:$C,MATCH($B$1,Database!$A$1:$C$1,),)=0,#N/A,VLOOKUP(Table7[[#This Row],[Date]],Database!$A:$C,MATCH($B$1,Database!$A$1:$C$1,),))</f>
        <v/>
      </c>
      <c r="C5558">
        <f>IF(VLOOKUP(Table7[[#This Row],[Date]],Database!$A:$C,MATCH($C$1,Database!$A$1:$C$1,),)=0,#N/A,VLOOKUP(Table7[[#This Row],[Date]],Database!$A:$C,MATCH($C$1,Database!$A$1:$C$1,),))</f>
        <v/>
      </c>
      <c r="D5558">
        <f>IFERROR(Table7[[#This Row],[United States 10y]]-Table7[[#This Row],[United States 3y]],#N/A)</f>
        <v/>
      </c>
    </row>
    <row r="5559">
      <c r="A5559" s="6">
        <f>Database!$A7644</f>
        <v/>
      </c>
      <c r="B5559">
        <f>IF(VLOOKUP(Table7[[#This Row],[Date]],Database!$A:$C,MATCH($B$1,Database!$A$1:$C$1,),)=0,#N/A,VLOOKUP(Table7[[#This Row],[Date]],Database!$A:$C,MATCH($B$1,Database!$A$1:$C$1,),))</f>
        <v/>
      </c>
      <c r="C5559">
        <f>IF(VLOOKUP(Table7[[#This Row],[Date]],Database!$A:$C,MATCH($C$1,Database!$A$1:$C$1,),)=0,#N/A,VLOOKUP(Table7[[#This Row],[Date]],Database!$A:$C,MATCH($C$1,Database!$A$1:$C$1,),))</f>
        <v/>
      </c>
      <c r="D5559">
        <f>IFERROR(Table7[[#This Row],[United States 10y]]-Table7[[#This Row],[United States 3y]],#N/A)</f>
        <v/>
      </c>
    </row>
    <row r="5560">
      <c r="A5560" s="6">
        <f>Database!$A7645</f>
        <v/>
      </c>
      <c r="B5560">
        <f>IF(VLOOKUP(Table7[[#This Row],[Date]],Database!$A:$C,MATCH($B$1,Database!$A$1:$C$1,),)=0,#N/A,VLOOKUP(Table7[[#This Row],[Date]],Database!$A:$C,MATCH($B$1,Database!$A$1:$C$1,),))</f>
        <v/>
      </c>
      <c r="C5560">
        <f>IF(VLOOKUP(Table7[[#This Row],[Date]],Database!$A:$C,MATCH($C$1,Database!$A$1:$C$1,),)=0,#N/A,VLOOKUP(Table7[[#This Row],[Date]],Database!$A:$C,MATCH($C$1,Database!$A$1:$C$1,),))</f>
        <v/>
      </c>
      <c r="D5560">
        <f>IFERROR(Table7[[#This Row],[United States 10y]]-Table7[[#This Row],[United States 3y]],#N/A)</f>
        <v/>
      </c>
    </row>
    <row r="5561">
      <c r="A5561" s="6">
        <f>Database!$A7646</f>
        <v/>
      </c>
      <c r="B5561">
        <f>IF(VLOOKUP(Table7[[#This Row],[Date]],Database!$A:$C,MATCH($B$1,Database!$A$1:$C$1,),)=0,#N/A,VLOOKUP(Table7[[#This Row],[Date]],Database!$A:$C,MATCH($B$1,Database!$A$1:$C$1,),))</f>
        <v/>
      </c>
      <c r="C5561">
        <f>IF(VLOOKUP(Table7[[#This Row],[Date]],Database!$A:$C,MATCH($C$1,Database!$A$1:$C$1,),)=0,#N/A,VLOOKUP(Table7[[#This Row],[Date]],Database!$A:$C,MATCH($C$1,Database!$A$1:$C$1,),))</f>
        <v/>
      </c>
      <c r="D5561">
        <f>IFERROR(Table7[[#This Row],[United States 10y]]-Table7[[#This Row],[United States 3y]],#N/A)</f>
        <v/>
      </c>
    </row>
    <row r="5562">
      <c r="A5562" s="6">
        <f>Database!$A7647</f>
        <v/>
      </c>
      <c r="B5562">
        <f>IF(VLOOKUP(Table7[[#This Row],[Date]],Database!$A:$C,MATCH($B$1,Database!$A$1:$C$1,),)=0,#N/A,VLOOKUP(Table7[[#This Row],[Date]],Database!$A:$C,MATCH($B$1,Database!$A$1:$C$1,),))</f>
        <v/>
      </c>
      <c r="C5562">
        <f>IF(VLOOKUP(Table7[[#This Row],[Date]],Database!$A:$C,MATCH($C$1,Database!$A$1:$C$1,),)=0,#N/A,VLOOKUP(Table7[[#This Row],[Date]],Database!$A:$C,MATCH($C$1,Database!$A$1:$C$1,),))</f>
        <v/>
      </c>
      <c r="D5562">
        <f>IFERROR(Table7[[#This Row],[United States 10y]]-Table7[[#This Row],[United States 3y]],#N/A)</f>
        <v/>
      </c>
    </row>
    <row r="5563">
      <c r="A5563" s="6">
        <f>Database!$A7648</f>
        <v/>
      </c>
      <c r="B5563">
        <f>IF(VLOOKUP(Table7[[#This Row],[Date]],Database!$A:$C,MATCH($B$1,Database!$A$1:$C$1,),)=0,#N/A,VLOOKUP(Table7[[#This Row],[Date]],Database!$A:$C,MATCH($B$1,Database!$A$1:$C$1,),))</f>
        <v/>
      </c>
      <c r="C5563">
        <f>IF(VLOOKUP(Table7[[#This Row],[Date]],Database!$A:$C,MATCH($C$1,Database!$A$1:$C$1,),)=0,#N/A,VLOOKUP(Table7[[#This Row],[Date]],Database!$A:$C,MATCH($C$1,Database!$A$1:$C$1,),))</f>
        <v/>
      </c>
      <c r="D5563">
        <f>IFERROR(Table7[[#This Row],[United States 10y]]-Table7[[#This Row],[United States 3y]],#N/A)</f>
        <v/>
      </c>
    </row>
    <row r="5564">
      <c r="A5564" s="6">
        <f>Database!$A7649</f>
        <v/>
      </c>
      <c r="B5564">
        <f>IF(VLOOKUP(Table7[[#This Row],[Date]],Database!$A:$C,MATCH($B$1,Database!$A$1:$C$1,),)=0,#N/A,VLOOKUP(Table7[[#This Row],[Date]],Database!$A:$C,MATCH($B$1,Database!$A$1:$C$1,),))</f>
        <v/>
      </c>
      <c r="C5564">
        <f>IF(VLOOKUP(Table7[[#This Row],[Date]],Database!$A:$C,MATCH($C$1,Database!$A$1:$C$1,),)=0,#N/A,VLOOKUP(Table7[[#This Row],[Date]],Database!$A:$C,MATCH($C$1,Database!$A$1:$C$1,),))</f>
        <v/>
      </c>
      <c r="D5564">
        <f>IFERROR(Table7[[#This Row],[United States 10y]]-Table7[[#This Row],[United States 3y]],#N/A)</f>
        <v/>
      </c>
    </row>
    <row r="5565">
      <c r="A5565" s="6">
        <f>Database!$A7650</f>
        <v/>
      </c>
      <c r="B5565">
        <f>IF(VLOOKUP(Table7[[#This Row],[Date]],Database!$A:$C,MATCH($B$1,Database!$A$1:$C$1,),)=0,#N/A,VLOOKUP(Table7[[#This Row],[Date]],Database!$A:$C,MATCH($B$1,Database!$A$1:$C$1,),))</f>
        <v/>
      </c>
      <c r="C5565">
        <f>IF(VLOOKUP(Table7[[#This Row],[Date]],Database!$A:$C,MATCH($C$1,Database!$A$1:$C$1,),)=0,#N/A,VLOOKUP(Table7[[#This Row],[Date]],Database!$A:$C,MATCH($C$1,Database!$A$1:$C$1,),))</f>
        <v/>
      </c>
      <c r="D5565">
        <f>IFERROR(Table7[[#This Row],[United States 10y]]-Table7[[#This Row],[United States 3y]],#N/A)</f>
        <v/>
      </c>
    </row>
    <row r="5566">
      <c r="A5566" s="6">
        <f>Database!$A7651</f>
        <v/>
      </c>
      <c r="B5566">
        <f>IF(VLOOKUP(Table7[[#This Row],[Date]],Database!$A:$C,MATCH($B$1,Database!$A$1:$C$1,),)=0,#N/A,VLOOKUP(Table7[[#This Row],[Date]],Database!$A:$C,MATCH($B$1,Database!$A$1:$C$1,),))</f>
        <v/>
      </c>
      <c r="C5566">
        <f>IF(VLOOKUP(Table7[[#This Row],[Date]],Database!$A:$C,MATCH($C$1,Database!$A$1:$C$1,),)=0,#N/A,VLOOKUP(Table7[[#This Row],[Date]],Database!$A:$C,MATCH($C$1,Database!$A$1:$C$1,),))</f>
        <v/>
      </c>
      <c r="D5566">
        <f>IFERROR(Table7[[#This Row],[United States 10y]]-Table7[[#This Row],[United States 3y]],#N/A)</f>
        <v/>
      </c>
    </row>
    <row r="5567">
      <c r="A5567" s="6">
        <f>Database!$A7652</f>
        <v/>
      </c>
      <c r="B5567">
        <f>IF(VLOOKUP(Table7[[#This Row],[Date]],Database!$A:$C,MATCH($B$1,Database!$A$1:$C$1,),)=0,#N/A,VLOOKUP(Table7[[#This Row],[Date]],Database!$A:$C,MATCH($B$1,Database!$A$1:$C$1,),))</f>
        <v/>
      </c>
      <c r="C5567">
        <f>IF(VLOOKUP(Table7[[#This Row],[Date]],Database!$A:$C,MATCH($C$1,Database!$A$1:$C$1,),)=0,#N/A,VLOOKUP(Table7[[#This Row],[Date]],Database!$A:$C,MATCH($C$1,Database!$A$1:$C$1,),))</f>
        <v/>
      </c>
      <c r="D5567">
        <f>IFERROR(Table7[[#This Row],[United States 10y]]-Table7[[#This Row],[United States 3y]],#N/A)</f>
        <v/>
      </c>
    </row>
    <row r="5568">
      <c r="A5568" s="6">
        <f>Database!$A7653</f>
        <v/>
      </c>
      <c r="B5568">
        <f>IF(VLOOKUP(Table7[[#This Row],[Date]],Database!$A:$C,MATCH($B$1,Database!$A$1:$C$1,),)=0,#N/A,VLOOKUP(Table7[[#This Row],[Date]],Database!$A:$C,MATCH($B$1,Database!$A$1:$C$1,),))</f>
        <v/>
      </c>
      <c r="C5568">
        <f>IF(VLOOKUP(Table7[[#This Row],[Date]],Database!$A:$C,MATCH($C$1,Database!$A$1:$C$1,),)=0,#N/A,VLOOKUP(Table7[[#This Row],[Date]],Database!$A:$C,MATCH($C$1,Database!$A$1:$C$1,),))</f>
        <v/>
      </c>
      <c r="D5568">
        <f>IFERROR(Table7[[#This Row],[United States 10y]]-Table7[[#This Row],[United States 3y]],#N/A)</f>
        <v/>
      </c>
    </row>
    <row r="5569">
      <c r="A5569" s="6">
        <f>Database!$A7654</f>
        <v/>
      </c>
      <c r="B5569">
        <f>IF(VLOOKUP(Table7[[#This Row],[Date]],Database!$A:$C,MATCH($B$1,Database!$A$1:$C$1,),)=0,#N/A,VLOOKUP(Table7[[#This Row],[Date]],Database!$A:$C,MATCH($B$1,Database!$A$1:$C$1,),))</f>
        <v/>
      </c>
      <c r="C5569">
        <f>IF(VLOOKUP(Table7[[#This Row],[Date]],Database!$A:$C,MATCH($C$1,Database!$A$1:$C$1,),)=0,#N/A,VLOOKUP(Table7[[#This Row],[Date]],Database!$A:$C,MATCH($C$1,Database!$A$1:$C$1,),))</f>
        <v/>
      </c>
      <c r="D5569">
        <f>IFERROR(Table7[[#This Row],[United States 10y]]-Table7[[#This Row],[United States 3y]],#N/A)</f>
        <v/>
      </c>
    </row>
    <row r="5570">
      <c r="A5570" s="6">
        <f>Database!$A7655</f>
        <v/>
      </c>
      <c r="B5570">
        <f>IF(VLOOKUP(Table7[[#This Row],[Date]],Database!$A:$C,MATCH($B$1,Database!$A$1:$C$1,),)=0,#N/A,VLOOKUP(Table7[[#This Row],[Date]],Database!$A:$C,MATCH($B$1,Database!$A$1:$C$1,),))</f>
        <v/>
      </c>
      <c r="C5570">
        <f>IF(VLOOKUP(Table7[[#This Row],[Date]],Database!$A:$C,MATCH($C$1,Database!$A$1:$C$1,),)=0,#N/A,VLOOKUP(Table7[[#This Row],[Date]],Database!$A:$C,MATCH($C$1,Database!$A$1:$C$1,),))</f>
        <v/>
      </c>
      <c r="D5570">
        <f>IFERROR(Table7[[#This Row],[United States 10y]]-Table7[[#This Row],[United States 3y]],#N/A)</f>
        <v/>
      </c>
    </row>
    <row r="5571">
      <c r="A5571" s="6">
        <f>Database!$A7656</f>
        <v/>
      </c>
      <c r="B5571">
        <f>IF(VLOOKUP(Table7[[#This Row],[Date]],Database!$A:$C,MATCH($B$1,Database!$A$1:$C$1,),)=0,#N/A,VLOOKUP(Table7[[#This Row],[Date]],Database!$A:$C,MATCH($B$1,Database!$A$1:$C$1,),))</f>
        <v/>
      </c>
      <c r="C5571">
        <f>IF(VLOOKUP(Table7[[#This Row],[Date]],Database!$A:$C,MATCH($C$1,Database!$A$1:$C$1,),)=0,#N/A,VLOOKUP(Table7[[#This Row],[Date]],Database!$A:$C,MATCH($C$1,Database!$A$1:$C$1,),))</f>
        <v/>
      </c>
      <c r="D5571">
        <f>IFERROR(Table7[[#This Row],[United States 10y]]-Table7[[#This Row],[United States 3y]],#N/A)</f>
        <v/>
      </c>
    </row>
    <row r="5572">
      <c r="A5572" s="6">
        <f>Database!$A7657</f>
        <v/>
      </c>
      <c r="B5572">
        <f>IF(VLOOKUP(Table7[[#This Row],[Date]],Database!$A:$C,MATCH($B$1,Database!$A$1:$C$1,),)=0,#N/A,VLOOKUP(Table7[[#This Row],[Date]],Database!$A:$C,MATCH($B$1,Database!$A$1:$C$1,),))</f>
        <v/>
      </c>
      <c r="C5572">
        <f>IF(VLOOKUP(Table7[[#This Row],[Date]],Database!$A:$C,MATCH($C$1,Database!$A$1:$C$1,),)=0,#N/A,VLOOKUP(Table7[[#This Row],[Date]],Database!$A:$C,MATCH($C$1,Database!$A$1:$C$1,),))</f>
        <v/>
      </c>
      <c r="D5572">
        <f>IFERROR(Table7[[#This Row],[United States 10y]]-Table7[[#This Row],[United States 3y]],#N/A)</f>
        <v/>
      </c>
    </row>
    <row r="5573">
      <c r="A5573" s="6">
        <f>Database!$A7658</f>
        <v/>
      </c>
      <c r="B5573">
        <f>IF(VLOOKUP(Table7[[#This Row],[Date]],Database!$A:$C,MATCH($B$1,Database!$A$1:$C$1,),)=0,#N/A,VLOOKUP(Table7[[#This Row],[Date]],Database!$A:$C,MATCH($B$1,Database!$A$1:$C$1,),))</f>
        <v/>
      </c>
      <c r="C5573">
        <f>IF(VLOOKUP(Table7[[#This Row],[Date]],Database!$A:$C,MATCH($C$1,Database!$A$1:$C$1,),)=0,#N/A,VLOOKUP(Table7[[#This Row],[Date]],Database!$A:$C,MATCH($C$1,Database!$A$1:$C$1,),))</f>
        <v/>
      </c>
      <c r="D5573">
        <f>IFERROR(Table7[[#This Row],[United States 10y]]-Table7[[#This Row],[United States 3y]],#N/A)</f>
        <v/>
      </c>
    </row>
    <row r="5574">
      <c r="A5574" s="6">
        <f>Database!$A7659</f>
        <v/>
      </c>
      <c r="B5574">
        <f>IF(VLOOKUP(Table7[[#This Row],[Date]],Database!$A:$C,MATCH($B$1,Database!$A$1:$C$1,),)=0,#N/A,VLOOKUP(Table7[[#This Row],[Date]],Database!$A:$C,MATCH($B$1,Database!$A$1:$C$1,),))</f>
        <v/>
      </c>
      <c r="C5574">
        <f>IF(VLOOKUP(Table7[[#This Row],[Date]],Database!$A:$C,MATCH($C$1,Database!$A$1:$C$1,),)=0,#N/A,VLOOKUP(Table7[[#This Row],[Date]],Database!$A:$C,MATCH($C$1,Database!$A$1:$C$1,),))</f>
        <v/>
      </c>
      <c r="D5574">
        <f>IFERROR(Table7[[#This Row],[United States 10y]]-Table7[[#This Row],[United States 3y]],#N/A)</f>
        <v/>
      </c>
    </row>
    <row r="5575">
      <c r="A5575" s="6">
        <f>Database!$A7660</f>
        <v/>
      </c>
      <c r="B5575">
        <f>IF(VLOOKUP(Table7[[#This Row],[Date]],Database!$A:$C,MATCH($B$1,Database!$A$1:$C$1,),)=0,#N/A,VLOOKUP(Table7[[#This Row],[Date]],Database!$A:$C,MATCH($B$1,Database!$A$1:$C$1,),))</f>
        <v/>
      </c>
      <c r="C5575">
        <f>IF(VLOOKUP(Table7[[#This Row],[Date]],Database!$A:$C,MATCH($C$1,Database!$A$1:$C$1,),)=0,#N/A,VLOOKUP(Table7[[#This Row],[Date]],Database!$A:$C,MATCH($C$1,Database!$A$1:$C$1,),))</f>
        <v/>
      </c>
      <c r="D5575">
        <f>IFERROR(Table7[[#This Row],[United States 10y]]-Table7[[#This Row],[United States 3y]],#N/A)</f>
        <v/>
      </c>
    </row>
    <row r="5576">
      <c r="A5576" s="6">
        <f>Database!$A7661</f>
        <v/>
      </c>
      <c r="B5576">
        <f>IF(VLOOKUP(Table7[[#This Row],[Date]],Database!$A:$C,MATCH($B$1,Database!$A$1:$C$1,),)=0,#N/A,VLOOKUP(Table7[[#This Row],[Date]],Database!$A:$C,MATCH($B$1,Database!$A$1:$C$1,),))</f>
        <v/>
      </c>
      <c r="C5576">
        <f>IF(VLOOKUP(Table7[[#This Row],[Date]],Database!$A:$C,MATCH($C$1,Database!$A$1:$C$1,),)=0,#N/A,VLOOKUP(Table7[[#This Row],[Date]],Database!$A:$C,MATCH($C$1,Database!$A$1:$C$1,),))</f>
        <v/>
      </c>
      <c r="D5576">
        <f>IFERROR(Table7[[#This Row],[United States 10y]]-Table7[[#This Row],[United States 3y]],#N/A)</f>
        <v/>
      </c>
    </row>
    <row r="5577">
      <c r="A5577" s="6">
        <f>Database!$A7662</f>
        <v/>
      </c>
      <c r="B5577">
        <f>IF(VLOOKUP(Table7[[#This Row],[Date]],Database!$A:$C,MATCH($B$1,Database!$A$1:$C$1,),)=0,#N/A,VLOOKUP(Table7[[#This Row],[Date]],Database!$A:$C,MATCH($B$1,Database!$A$1:$C$1,),))</f>
        <v/>
      </c>
      <c r="C5577">
        <f>IF(VLOOKUP(Table7[[#This Row],[Date]],Database!$A:$C,MATCH($C$1,Database!$A$1:$C$1,),)=0,#N/A,VLOOKUP(Table7[[#This Row],[Date]],Database!$A:$C,MATCH($C$1,Database!$A$1:$C$1,),))</f>
        <v/>
      </c>
      <c r="D5577">
        <f>IFERROR(Table7[[#This Row],[United States 10y]]-Table7[[#This Row],[United States 3y]],#N/A)</f>
        <v/>
      </c>
    </row>
    <row r="5578">
      <c r="A5578" s="6">
        <f>Database!$A7663</f>
        <v/>
      </c>
      <c r="B5578">
        <f>IF(VLOOKUP(Table7[[#This Row],[Date]],Database!$A:$C,MATCH($B$1,Database!$A$1:$C$1,),)=0,#N/A,VLOOKUP(Table7[[#This Row],[Date]],Database!$A:$C,MATCH($B$1,Database!$A$1:$C$1,),))</f>
        <v/>
      </c>
      <c r="C5578">
        <f>IF(VLOOKUP(Table7[[#This Row],[Date]],Database!$A:$C,MATCH($C$1,Database!$A$1:$C$1,),)=0,#N/A,VLOOKUP(Table7[[#This Row],[Date]],Database!$A:$C,MATCH($C$1,Database!$A$1:$C$1,),))</f>
        <v/>
      </c>
      <c r="D5578">
        <f>IFERROR(Table7[[#This Row],[United States 10y]]-Table7[[#This Row],[United States 3y]],#N/A)</f>
        <v/>
      </c>
    </row>
    <row r="5579">
      <c r="A5579" s="6">
        <f>Database!$A7664</f>
        <v/>
      </c>
      <c r="B5579">
        <f>IF(VLOOKUP(Table7[[#This Row],[Date]],Database!$A:$C,MATCH($B$1,Database!$A$1:$C$1,),)=0,#N/A,VLOOKUP(Table7[[#This Row],[Date]],Database!$A:$C,MATCH($B$1,Database!$A$1:$C$1,),))</f>
        <v/>
      </c>
      <c r="C5579">
        <f>IF(VLOOKUP(Table7[[#This Row],[Date]],Database!$A:$C,MATCH($C$1,Database!$A$1:$C$1,),)=0,#N/A,VLOOKUP(Table7[[#This Row],[Date]],Database!$A:$C,MATCH($C$1,Database!$A$1:$C$1,),))</f>
        <v/>
      </c>
      <c r="D5579">
        <f>IFERROR(Table7[[#This Row],[United States 10y]]-Table7[[#This Row],[United States 3y]],#N/A)</f>
        <v/>
      </c>
    </row>
    <row r="5580">
      <c r="A5580" s="6">
        <f>Database!$A7665</f>
        <v/>
      </c>
      <c r="B5580">
        <f>IF(VLOOKUP(Table7[[#This Row],[Date]],Database!$A:$C,MATCH($B$1,Database!$A$1:$C$1,),)=0,#N/A,VLOOKUP(Table7[[#This Row],[Date]],Database!$A:$C,MATCH($B$1,Database!$A$1:$C$1,),))</f>
        <v/>
      </c>
      <c r="C5580">
        <f>IF(VLOOKUP(Table7[[#This Row],[Date]],Database!$A:$C,MATCH($C$1,Database!$A$1:$C$1,),)=0,#N/A,VLOOKUP(Table7[[#This Row],[Date]],Database!$A:$C,MATCH($C$1,Database!$A$1:$C$1,),))</f>
        <v/>
      </c>
      <c r="D5580">
        <f>IFERROR(Table7[[#This Row],[United States 10y]]-Table7[[#This Row],[United States 3y]],#N/A)</f>
        <v/>
      </c>
    </row>
    <row r="5581">
      <c r="A5581" s="6">
        <f>Database!$A7666</f>
        <v/>
      </c>
      <c r="B5581">
        <f>IF(VLOOKUP(Table7[[#This Row],[Date]],Database!$A:$C,MATCH($B$1,Database!$A$1:$C$1,),)=0,#N/A,VLOOKUP(Table7[[#This Row],[Date]],Database!$A:$C,MATCH($B$1,Database!$A$1:$C$1,),))</f>
        <v/>
      </c>
      <c r="C5581">
        <f>IF(VLOOKUP(Table7[[#This Row],[Date]],Database!$A:$C,MATCH($C$1,Database!$A$1:$C$1,),)=0,#N/A,VLOOKUP(Table7[[#This Row],[Date]],Database!$A:$C,MATCH($C$1,Database!$A$1:$C$1,),))</f>
        <v/>
      </c>
      <c r="D5581">
        <f>IFERROR(Table7[[#This Row],[United States 10y]]-Table7[[#This Row],[United States 3y]],#N/A)</f>
        <v/>
      </c>
    </row>
    <row r="5582">
      <c r="A5582" s="6">
        <f>Database!$A7667</f>
        <v/>
      </c>
      <c r="B5582">
        <f>IF(VLOOKUP(Table7[[#This Row],[Date]],Database!$A:$C,MATCH($B$1,Database!$A$1:$C$1,),)=0,#N/A,VLOOKUP(Table7[[#This Row],[Date]],Database!$A:$C,MATCH($B$1,Database!$A$1:$C$1,),))</f>
        <v/>
      </c>
      <c r="C5582">
        <f>IF(VLOOKUP(Table7[[#This Row],[Date]],Database!$A:$C,MATCH($C$1,Database!$A$1:$C$1,),)=0,#N/A,VLOOKUP(Table7[[#This Row],[Date]],Database!$A:$C,MATCH($C$1,Database!$A$1:$C$1,),))</f>
        <v/>
      </c>
      <c r="D5582">
        <f>IFERROR(Table7[[#This Row],[United States 10y]]-Table7[[#This Row],[United States 3y]],#N/A)</f>
        <v/>
      </c>
    </row>
    <row r="5583">
      <c r="A5583" s="6">
        <f>Database!$A7668</f>
        <v/>
      </c>
      <c r="B5583">
        <f>IF(VLOOKUP(Table7[[#This Row],[Date]],Database!$A:$C,MATCH($B$1,Database!$A$1:$C$1,),)=0,#N/A,VLOOKUP(Table7[[#This Row],[Date]],Database!$A:$C,MATCH($B$1,Database!$A$1:$C$1,),))</f>
        <v/>
      </c>
      <c r="C5583">
        <f>IF(VLOOKUP(Table7[[#This Row],[Date]],Database!$A:$C,MATCH($C$1,Database!$A$1:$C$1,),)=0,#N/A,VLOOKUP(Table7[[#This Row],[Date]],Database!$A:$C,MATCH($C$1,Database!$A$1:$C$1,),))</f>
        <v/>
      </c>
      <c r="D5583">
        <f>IFERROR(Table7[[#This Row],[United States 10y]]-Table7[[#This Row],[United States 3y]],#N/A)</f>
        <v/>
      </c>
    </row>
    <row r="5584">
      <c r="A5584" s="6">
        <f>Database!$A7669</f>
        <v/>
      </c>
      <c r="B5584">
        <f>IF(VLOOKUP(Table7[[#This Row],[Date]],Database!$A:$C,MATCH($B$1,Database!$A$1:$C$1,),)=0,#N/A,VLOOKUP(Table7[[#This Row],[Date]],Database!$A:$C,MATCH($B$1,Database!$A$1:$C$1,),))</f>
        <v/>
      </c>
      <c r="C5584">
        <f>IF(VLOOKUP(Table7[[#This Row],[Date]],Database!$A:$C,MATCH($C$1,Database!$A$1:$C$1,),)=0,#N/A,VLOOKUP(Table7[[#This Row],[Date]],Database!$A:$C,MATCH($C$1,Database!$A$1:$C$1,),))</f>
        <v/>
      </c>
      <c r="D5584">
        <f>IFERROR(Table7[[#This Row],[United States 10y]]-Table7[[#This Row],[United States 3y]],#N/A)</f>
        <v/>
      </c>
    </row>
    <row r="5585">
      <c r="A5585" s="6">
        <f>Database!$A7670</f>
        <v/>
      </c>
      <c r="B5585">
        <f>IF(VLOOKUP(Table7[[#This Row],[Date]],Database!$A:$C,MATCH($B$1,Database!$A$1:$C$1,),)=0,#N/A,VLOOKUP(Table7[[#This Row],[Date]],Database!$A:$C,MATCH($B$1,Database!$A$1:$C$1,),))</f>
        <v/>
      </c>
      <c r="C5585">
        <f>IF(VLOOKUP(Table7[[#This Row],[Date]],Database!$A:$C,MATCH($C$1,Database!$A$1:$C$1,),)=0,#N/A,VLOOKUP(Table7[[#This Row],[Date]],Database!$A:$C,MATCH($C$1,Database!$A$1:$C$1,),))</f>
        <v/>
      </c>
      <c r="D5585">
        <f>IFERROR(Table7[[#This Row],[United States 10y]]-Table7[[#This Row],[United States 3y]],#N/A)</f>
        <v/>
      </c>
    </row>
    <row r="5586">
      <c r="A5586" s="6">
        <f>Database!$A7671</f>
        <v/>
      </c>
      <c r="B5586">
        <f>IF(VLOOKUP(Table7[[#This Row],[Date]],Database!$A:$C,MATCH($B$1,Database!$A$1:$C$1,),)=0,#N/A,VLOOKUP(Table7[[#This Row],[Date]],Database!$A:$C,MATCH($B$1,Database!$A$1:$C$1,),))</f>
        <v/>
      </c>
      <c r="C5586">
        <f>IF(VLOOKUP(Table7[[#This Row],[Date]],Database!$A:$C,MATCH($C$1,Database!$A$1:$C$1,),)=0,#N/A,VLOOKUP(Table7[[#This Row],[Date]],Database!$A:$C,MATCH($C$1,Database!$A$1:$C$1,),))</f>
        <v/>
      </c>
      <c r="D5586">
        <f>IFERROR(Table7[[#This Row],[United States 10y]]-Table7[[#This Row],[United States 3y]],#N/A)</f>
        <v/>
      </c>
    </row>
    <row r="5587">
      <c r="A5587" s="6">
        <f>Database!$A7672</f>
        <v/>
      </c>
      <c r="B5587">
        <f>IF(VLOOKUP(Table7[[#This Row],[Date]],Database!$A:$C,MATCH($B$1,Database!$A$1:$C$1,),)=0,#N/A,VLOOKUP(Table7[[#This Row],[Date]],Database!$A:$C,MATCH($B$1,Database!$A$1:$C$1,),))</f>
        <v/>
      </c>
      <c r="C5587">
        <f>IF(VLOOKUP(Table7[[#This Row],[Date]],Database!$A:$C,MATCH($C$1,Database!$A$1:$C$1,),)=0,#N/A,VLOOKUP(Table7[[#This Row],[Date]],Database!$A:$C,MATCH($C$1,Database!$A$1:$C$1,),))</f>
        <v/>
      </c>
      <c r="D5587">
        <f>IFERROR(Table7[[#This Row],[United States 10y]]-Table7[[#This Row],[United States 3y]],#N/A)</f>
        <v/>
      </c>
    </row>
    <row r="5588">
      <c r="A5588" s="6">
        <f>Database!$A7673</f>
        <v/>
      </c>
      <c r="B5588">
        <f>IF(VLOOKUP(Table7[[#This Row],[Date]],Database!$A:$C,MATCH($B$1,Database!$A$1:$C$1,),)=0,#N/A,VLOOKUP(Table7[[#This Row],[Date]],Database!$A:$C,MATCH($B$1,Database!$A$1:$C$1,),))</f>
        <v/>
      </c>
      <c r="C5588">
        <f>IF(VLOOKUP(Table7[[#This Row],[Date]],Database!$A:$C,MATCH($C$1,Database!$A$1:$C$1,),)=0,#N/A,VLOOKUP(Table7[[#This Row],[Date]],Database!$A:$C,MATCH($C$1,Database!$A$1:$C$1,),))</f>
        <v/>
      </c>
      <c r="D5588">
        <f>IFERROR(Table7[[#This Row],[United States 10y]]-Table7[[#This Row],[United States 3y]],#N/A)</f>
        <v/>
      </c>
    </row>
    <row r="5589">
      <c r="A5589" s="6">
        <f>Database!$A7674</f>
        <v/>
      </c>
      <c r="B5589">
        <f>IF(VLOOKUP(Table7[[#This Row],[Date]],Database!$A:$C,MATCH($B$1,Database!$A$1:$C$1,),)=0,#N/A,VLOOKUP(Table7[[#This Row],[Date]],Database!$A:$C,MATCH($B$1,Database!$A$1:$C$1,),))</f>
        <v/>
      </c>
      <c r="C5589">
        <f>IF(VLOOKUP(Table7[[#This Row],[Date]],Database!$A:$C,MATCH($C$1,Database!$A$1:$C$1,),)=0,#N/A,VLOOKUP(Table7[[#This Row],[Date]],Database!$A:$C,MATCH($C$1,Database!$A$1:$C$1,),))</f>
        <v/>
      </c>
      <c r="D5589">
        <f>IFERROR(Table7[[#This Row],[United States 10y]]-Table7[[#This Row],[United States 3y]],#N/A)</f>
        <v/>
      </c>
    </row>
    <row r="5590">
      <c r="A5590" s="6">
        <f>Database!$A7675</f>
        <v/>
      </c>
      <c r="B5590">
        <f>IF(VLOOKUP(Table7[[#This Row],[Date]],Database!$A:$C,MATCH($B$1,Database!$A$1:$C$1,),)=0,#N/A,VLOOKUP(Table7[[#This Row],[Date]],Database!$A:$C,MATCH($B$1,Database!$A$1:$C$1,),))</f>
        <v/>
      </c>
      <c r="C5590">
        <f>IF(VLOOKUP(Table7[[#This Row],[Date]],Database!$A:$C,MATCH($C$1,Database!$A$1:$C$1,),)=0,#N/A,VLOOKUP(Table7[[#This Row],[Date]],Database!$A:$C,MATCH($C$1,Database!$A$1:$C$1,),))</f>
        <v/>
      </c>
      <c r="D5590">
        <f>IFERROR(Table7[[#This Row],[United States 10y]]-Table7[[#This Row],[United States 3y]],#N/A)</f>
        <v/>
      </c>
    </row>
    <row r="5591">
      <c r="A5591" s="6">
        <f>Database!$A7676</f>
        <v/>
      </c>
      <c r="B5591">
        <f>IF(VLOOKUP(Table7[[#This Row],[Date]],Database!$A:$C,MATCH($B$1,Database!$A$1:$C$1,),)=0,#N/A,VLOOKUP(Table7[[#This Row],[Date]],Database!$A:$C,MATCH($B$1,Database!$A$1:$C$1,),))</f>
        <v/>
      </c>
      <c r="C5591">
        <f>IF(VLOOKUP(Table7[[#This Row],[Date]],Database!$A:$C,MATCH($C$1,Database!$A$1:$C$1,),)=0,#N/A,VLOOKUP(Table7[[#This Row],[Date]],Database!$A:$C,MATCH($C$1,Database!$A$1:$C$1,),))</f>
        <v/>
      </c>
      <c r="D5591">
        <f>IFERROR(Table7[[#This Row],[United States 10y]]-Table7[[#This Row],[United States 3y]],#N/A)</f>
        <v/>
      </c>
    </row>
    <row r="5592">
      <c r="A5592" s="6">
        <f>Database!$A7677</f>
        <v/>
      </c>
      <c r="B5592">
        <f>IF(VLOOKUP(Table7[[#This Row],[Date]],Database!$A:$C,MATCH($B$1,Database!$A$1:$C$1,),)=0,#N/A,VLOOKUP(Table7[[#This Row],[Date]],Database!$A:$C,MATCH($B$1,Database!$A$1:$C$1,),))</f>
        <v/>
      </c>
      <c r="C5592">
        <f>IF(VLOOKUP(Table7[[#This Row],[Date]],Database!$A:$C,MATCH($C$1,Database!$A$1:$C$1,),)=0,#N/A,VLOOKUP(Table7[[#This Row],[Date]],Database!$A:$C,MATCH($C$1,Database!$A$1:$C$1,),))</f>
        <v/>
      </c>
      <c r="D5592">
        <f>IFERROR(Table7[[#This Row],[United States 10y]]-Table7[[#This Row],[United States 3y]],#N/A)</f>
        <v/>
      </c>
    </row>
    <row r="5593">
      <c r="A5593" s="6">
        <f>Database!$A7678</f>
        <v/>
      </c>
      <c r="B5593">
        <f>IF(VLOOKUP(Table7[[#This Row],[Date]],Database!$A:$C,MATCH($B$1,Database!$A$1:$C$1,),)=0,#N/A,VLOOKUP(Table7[[#This Row],[Date]],Database!$A:$C,MATCH($B$1,Database!$A$1:$C$1,),))</f>
        <v/>
      </c>
      <c r="C5593">
        <f>IF(VLOOKUP(Table7[[#This Row],[Date]],Database!$A:$C,MATCH($C$1,Database!$A$1:$C$1,),)=0,#N/A,VLOOKUP(Table7[[#This Row],[Date]],Database!$A:$C,MATCH($C$1,Database!$A$1:$C$1,),))</f>
        <v/>
      </c>
      <c r="D5593">
        <f>IFERROR(Table7[[#This Row],[United States 10y]]-Table7[[#This Row],[United States 3y]],#N/A)</f>
        <v/>
      </c>
    </row>
    <row r="5594">
      <c r="A5594" s="6">
        <f>Database!$A7679</f>
        <v/>
      </c>
      <c r="B5594">
        <f>IF(VLOOKUP(Table7[[#This Row],[Date]],Database!$A:$C,MATCH($B$1,Database!$A$1:$C$1,),)=0,#N/A,VLOOKUP(Table7[[#This Row],[Date]],Database!$A:$C,MATCH($B$1,Database!$A$1:$C$1,),))</f>
        <v/>
      </c>
      <c r="C5594">
        <f>IF(VLOOKUP(Table7[[#This Row],[Date]],Database!$A:$C,MATCH($C$1,Database!$A$1:$C$1,),)=0,#N/A,VLOOKUP(Table7[[#This Row],[Date]],Database!$A:$C,MATCH($C$1,Database!$A$1:$C$1,),))</f>
        <v/>
      </c>
      <c r="D5594">
        <f>IFERROR(Table7[[#This Row],[United States 10y]]-Table7[[#This Row],[United States 3y]],#N/A)</f>
        <v/>
      </c>
    </row>
    <row r="5595">
      <c r="A5595" s="6">
        <f>Database!$A7680</f>
        <v/>
      </c>
      <c r="B5595">
        <f>IF(VLOOKUP(Table7[[#This Row],[Date]],Database!$A:$C,MATCH($B$1,Database!$A$1:$C$1,),)=0,#N/A,VLOOKUP(Table7[[#This Row],[Date]],Database!$A:$C,MATCH($B$1,Database!$A$1:$C$1,),))</f>
        <v/>
      </c>
      <c r="C5595">
        <f>IF(VLOOKUP(Table7[[#This Row],[Date]],Database!$A:$C,MATCH($C$1,Database!$A$1:$C$1,),)=0,#N/A,VLOOKUP(Table7[[#This Row],[Date]],Database!$A:$C,MATCH($C$1,Database!$A$1:$C$1,),))</f>
        <v/>
      </c>
      <c r="D5595">
        <f>IFERROR(Table7[[#This Row],[United States 10y]]-Table7[[#This Row],[United States 3y]],#N/A)</f>
        <v/>
      </c>
    </row>
    <row r="5596">
      <c r="A5596" s="6">
        <f>Database!$A7681</f>
        <v/>
      </c>
      <c r="B5596">
        <f>IF(VLOOKUP(Table7[[#This Row],[Date]],Database!$A:$C,MATCH($B$1,Database!$A$1:$C$1,),)=0,#N/A,VLOOKUP(Table7[[#This Row],[Date]],Database!$A:$C,MATCH($B$1,Database!$A$1:$C$1,),))</f>
        <v/>
      </c>
      <c r="C5596">
        <f>IF(VLOOKUP(Table7[[#This Row],[Date]],Database!$A:$C,MATCH($C$1,Database!$A$1:$C$1,),)=0,#N/A,VLOOKUP(Table7[[#This Row],[Date]],Database!$A:$C,MATCH($C$1,Database!$A$1:$C$1,),))</f>
        <v/>
      </c>
      <c r="D5596">
        <f>IFERROR(Table7[[#This Row],[United States 10y]]-Table7[[#This Row],[United States 3y]],#N/A)</f>
        <v/>
      </c>
    </row>
    <row r="5597">
      <c r="A5597" s="6">
        <f>Database!$A7682</f>
        <v/>
      </c>
      <c r="B5597">
        <f>IF(VLOOKUP(Table7[[#This Row],[Date]],Database!$A:$C,MATCH($B$1,Database!$A$1:$C$1,),)=0,#N/A,VLOOKUP(Table7[[#This Row],[Date]],Database!$A:$C,MATCH($B$1,Database!$A$1:$C$1,),))</f>
        <v/>
      </c>
      <c r="C5597">
        <f>IF(VLOOKUP(Table7[[#This Row],[Date]],Database!$A:$C,MATCH($C$1,Database!$A$1:$C$1,),)=0,#N/A,VLOOKUP(Table7[[#This Row],[Date]],Database!$A:$C,MATCH($C$1,Database!$A$1:$C$1,),))</f>
        <v/>
      </c>
      <c r="D5597">
        <f>IFERROR(Table7[[#This Row],[United States 10y]]-Table7[[#This Row],[United States 3y]],#N/A)</f>
        <v/>
      </c>
    </row>
    <row r="5598">
      <c r="A5598" s="6">
        <f>Database!$A7683</f>
        <v/>
      </c>
      <c r="B5598">
        <f>IF(VLOOKUP(Table7[[#This Row],[Date]],Database!$A:$C,MATCH($B$1,Database!$A$1:$C$1,),)=0,#N/A,VLOOKUP(Table7[[#This Row],[Date]],Database!$A:$C,MATCH($B$1,Database!$A$1:$C$1,),))</f>
        <v/>
      </c>
      <c r="C5598">
        <f>IF(VLOOKUP(Table7[[#This Row],[Date]],Database!$A:$C,MATCH($C$1,Database!$A$1:$C$1,),)=0,#N/A,VLOOKUP(Table7[[#This Row],[Date]],Database!$A:$C,MATCH($C$1,Database!$A$1:$C$1,),))</f>
        <v/>
      </c>
      <c r="D5598">
        <f>IFERROR(Table7[[#This Row],[United States 10y]]-Table7[[#This Row],[United States 3y]],#N/A)</f>
        <v/>
      </c>
    </row>
    <row r="5599">
      <c r="A5599" s="6">
        <f>Database!$A7684</f>
        <v/>
      </c>
      <c r="B5599">
        <f>IF(VLOOKUP(Table7[[#This Row],[Date]],Database!$A:$C,MATCH($B$1,Database!$A$1:$C$1,),)=0,#N/A,VLOOKUP(Table7[[#This Row],[Date]],Database!$A:$C,MATCH($B$1,Database!$A$1:$C$1,),))</f>
        <v/>
      </c>
      <c r="C5599">
        <f>IF(VLOOKUP(Table7[[#This Row],[Date]],Database!$A:$C,MATCH($C$1,Database!$A$1:$C$1,),)=0,#N/A,VLOOKUP(Table7[[#This Row],[Date]],Database!$A:$C,MATCH($C$1,Database!$A$1:$C$1,),))</f>
        <v/>
      </c>
      <c r="D5599">
        <f>IFERROR(Table7[[#This Row],[United States 10y]]-Table7[[#This Row],[United States 3y]],#N/A)</f>
        <v/>
      </c>
    </row>
    <row r="5600">
      <c r="A5600" s="6">
        <f>Database!$A7685</f>
        <v/>
      </c>
      <c r="B5600">
        <f>IF(VLOOKUP(Table7[[#This Row],[Date]],Database!$A:$C,MATCH($B$1,Database!$A$1:$C$1,),)=0,#N/A,VLOOKUP(Table7[[#This Row],[Date]],Database!$A:$C,MATCH($B$1,Database!$A$1:$C$1,),))</f>
        <v/>
      </c>
      <c r="C5600">
        <f>IF(VLOOKUP(Table7[[#This Row],[Date]],Database!$A:$C,MATCH($C$1,Database!$A$1:$C$1,),)=0,#N/A,VLOOKUP(Table7[[#This Row],[Date]],Database!$A:$C,MATCH($C$1,Database!$A$1:$C$1,),))</f>
        <v/>
      </c>
      <c r="D5600">
        <f>IFERROR(Table7[[#This Row],[United States 10y]]-Table7[[#This Row],[United States 3y]],#N/A)</f>
        <v/>
      </c>
    </row>
    <row r="5601">
      <c r="A5601" s="6">
        <f>Database!$A7686</f>
        <v/>
      </c>
      <c r="B5601">
        <f>IF(VLOOKUP(Table7[[#This Row],[Date]],Database!$A:$C,MATCH($B$1,Database!$A$1:$C$1,),)=0,#N/A,VLOOKUP(Table7[[#This Row],[Date]],Database!$A:$C,MATCH($B$1,Database!$A$1:$C$1,),))</f>
        <v/>
      </c>
      <c r="C5601">
        <f>IF(VLOOKUP(Table7[[#This Row],[Date]],Database!$A:$C,MATCH($C$1,Database!$A$1:$C$1,),)=0,#N/A,VLOOKUP(Table7[[#This Row],[Date]],Database!$A:$C,MATCH($C$1,Database!$A$1:$C$1,),))</f>
        <v/>
      </c>
      <c r="D5601">
        <f>IFERROR(Table7[[#This Row],[United States 10y]]-Table7[[#This Row],[United States 3y]],#N/A)</f>
        <v/>
      </c>
    </row>
    <row r="5602">
      <c r="A5602" s="6">
        <f>Database!$A7687</f>
        <v/>
      </c>
      <c r="B5602">
        <f>IF(VLOOKUP(Table7[[#This Row],[Date]],Database!$A:$C,MATCH($B$1,Database!$A$1:$C$1,),)=0,#N/A,VLOOKUP(Table7[[#This Row],[Date]],Database!$A:$C,MATCH($B$1,Database!$A$1:$C$1,),))</f>
        <v/>
      </c>
      <c r="C5602">
        <f>IF(VLOOKUP(Table7[[#This Row],[Date]],Database!$A:$C,MATCH($C$1,Database!$A$1:$C$1,),)=0,#N/A,VLOOKUP(Table7[[#This Row],[Date]],Database!$A:$C,MATCH($C$1,Database!$A$1:$C$1,),))</f>
        <v/>
      </c>
      <c r="D5602">
        <f>IFERROR(Table7[[#This Row],[United States 10y]]-Table7[[#This Row],[United States 3y]],#N/A)</f>
        <v/>
      </c>
    </row>
    <row r="5603">
      <c r="A5603" s="6">
        <f>Database!$A7688</f>
        <v/>
      </c>
      <c r="B5603">
        <f>IF(VLOOKUP(Table7[[#This Row],[Date]],Database!$A:$C,MATCH($B$1,Database!$A$1:$C$1,),)=0,#N/A,VLOOKUP(Table7[[#This Row],[Date]],Database!$A:$C,MATCH($B$1,Database!$A$1:$C$1,),))</f>
        <v/>
      </c>
      <c r="C5603">
        <f>IF(VLOOKUP(Table7[[#This Row],[Date]],Database!$A:$C,MATCH($C$1,Database!$A$1:$C$1,),)=0,#N/A,VLOOKUP(Table7[[#This Row],[Date]],Database!$A:$C,MATCH($C$1,Database!$A$1:$C$1,),))</f>
        <v/>
      </c>
      <c r="D5603">
        <f>IFERROR(Table7[[#This Row],[United States 10y]]-Table7[[#This Row],[United States 3y]],#N/A)</f>
        <v/>
      </c>
    </row>
    <row r="5604">
      <c r="A5604" s="6">
        <f>Database!$A7689</f>
        <v/>
      </c>
      <c r="B5604">
        <f>IF(VLOOKUP(Table7[[#This Row],[Date]],Database!$A:$C,MATCH($B$1,Database!$A$1:$C$1,),)=0,#N/A,VLOOKUP(Table7[[#This Row],[Date]],Database!$A:$C,MATCH($B$1,Database!$A$1:$C$1,),))</f>
        <v/>
      </c>
      <c r="C5604">
        <f>IF(VLOOKUP(Table7[[#This Row],[Date]],Database!$A:$C,MATCH($C$1,Database!$A$1:$C$1,),)=0,#N/A,VLOOKUP(Table7[[#This Row],[Date]],Database!$A:$C,MATCH($C$1,Database!$A$1:$C$1,),))</f>
        <v/>
      </c>
      <c r="D5604">
        <f>IFERROR(Table7[[#This Row],[United States 10y]]-Table7[[#This Row],[United States 3y]],#N/A)</f>
        <v/>
      </c>
    </row>
    <row r="5605">
      <c r="A5605" s="6">
        <f>Database!$A7690</f>
        <v/>
      </c>
      <c r="B5605">
        <f>IF(VLOOKUP(Table7[[#This Row],[Date]],Database!$A:$C,MATCH($B$1,Database!$A$1:$C$1,),)=0,#N/A,VLOOKUP(Table7[[#This Row],[Date]],Database!$A:$C,MATCH($B$1,Database!$A$1:$C$1,),))</f>
        <v/>
      </c>
      <c r="C5605">
        <f>IF(VLOOKUP(Table7[[#This Row],[Date]],Database!$A:$C,MATCH($C$1,Database!$A$1:$C$1,),)=0,#N/A,VLOOKUP(Table7[[#This Row],[Date]],Database!$A:$C,MATCH($C$1,Database!$A$1:$C$1,),))</f>
        <v/>
      </c>
      <c r="D5605">
        <f>IFERROR(Table7[[#This Row],[United States 10y]]-Table7[[#This Row],[United States 3y]],#N/A)</f>
        <v/>
      </c>
    </row>
    <row r="5606">
      <c r="A5606" s="6">
        <f>Database!$A7691</f>
        <v/>
      </c>
      <c r="B5606">
        <f>IF(VLOOKUP(Table7[[#This Row],[Date]],Database!$A:$C,MATCH($B$1,Database!$A$1:$C$1,),)=0,#N/A,VLOOKUP(Table7[[#This Row],[Date]],Database!$A:$C,MATCH($B$1,Database!$A$1:$C$1,),))</f>
        <v/>
      </c>
      <c r="C5606">
        <f>IF(VLOOKUP(Table7[[#This Row],[Date]],Database!$A:$C,MATCH($C$1,Database!$A$1:$C$1,),)=0,#N/A,VLOOKUP(Table7[[#This Row],[Date]],Database!$A:$C,MATCH($C$1,Database!$A$1:$C$1,),))</f>
        <v/>
      </c>
      <c r="D5606">
        <f>IFERROR(Table7[[#This Row],[United States 10y]]-Table7[[#This Row],[United States 3y]],#N/A)</f>
        <v/>
      </c>
    </row>
    <row r="5607">
      <c r="A5607" s="6">
        <f>Database!$A7692</f>
        <v/>
      </c>
      <c r="B5607">
        <f>IF(VLOOKUP(Table7[[#This Row],[Date]],Database!$A:$C,MATCH($B$1,Database!$A$1:$C$1,),)=0,#N/A,VLOOKUP(Table7[[#This Row],[Date]],Database!$A:$C,MATCH($B$1,Database!$A$1:$C$1,),))</f>
        <v/>
      </c>
      <c r="C5607">
        <f>IF(VLOOKUP(Table7[[#This Row],[Date]],Database!$A:$C,MATCH($C$1,Database!$A$1:$C$1,),)=0,#N/A,VLOOKUP(Table7[[#This Row],[Date]],Database!$A:$C,MATCH($C$1,Database!$A$1:$C$1,),))</f>
        <v/>
      </c>
      <c r="D5607">
        <f>IFERROR(Table7[[#This Row],[United States 10y]]-Table7[[#This Row],[United States 3y]],#N/A)</f>
        <v/>
      </c>
    </row>
    <row r="5608">
      <c r="A5608" s="6">
        <f>Database!$A7693</f>
        <v/>
      </c>
      <c r="B5608">
        <f>IF(VLOOKUP(Table7[[#This Row],[Date]],Database!$A:$C,MATCH($B$1,Database!$A$1:$C$1,),)=0,#N/A,VLOOKUP(Table7[[#This Row],[Date]],Database!$A:$C,MATCH($B$1,Database!$A$1:$C$1,),))</f>
        <v/>
      </c>
      <c r="C5608">
        <f>IF(VLOOKUP(Table7[[#This Row],[Date]],Database!$A:$C,MATCH($C$1,Database!$A$1:$C$1,),)=0,#N/A,VLOOKUP(Table7[[#This Row],[Date]],Database!$A:$C,MATCH($C$1,Database!$A$1:$C$1,),))</f>
        <v/>
      </c>
      <c r="D5608">
        <f>IFERROR(Table7[[#This Row],[United States 10y]]-Table7[[#This Row],[United States 3y]],#N/A)</f>
        <v/>
      </c>
    </row>
    <row r="5609">
      <c r="A5609" s="6">
        <f>Database!$A7694</f>
        <v/>
      </c>
      <c r="B5609">
        <f>IF(VLOOKUP(Table7[[#This Row],[Date]],Database!$A:$C,MATCH($B$1,Database!$A$1:$C$1,),)=0,#N/A,VLOOKUP(Table7[[#This Row],[Date]],Database!$A:$C,MATCH($B$1,Database!$A$1:$C$1,),))</f>
        <v/>
      </c>
      <c r="C5609">
        <f>IF(VLOOKUP(Table7[[#This Row],[Date]],Database!$A:$C,MATCH($C$1,Database!$A$1:$C$1,),)=0,#N/A,VLOOKUP(Table7[[#This Row],[Date]],Database!$A:$C,MATCH($C$1,Database!$A$1:$C$1,),))</f>
        <v/>
      </c>
      <c r="D5609">
        <f>IFERROR(Table7[[#This Row],[United States 10y]]-Table7[[#This Row],[United States 3y]],#N/A)</f>
        <v/>
      </c>
    </row>
    <row r="5610">
      <c r="A5610" s="6">
        <f>Database!$A7695</f>
        <v/>
      </c>
      <c r="B5610">
        <f>IF(VLOOKUP(Table7[[#This Row],[Date]],Database!$A:$C,MATCH($B$1,Database!$A$1:$C$1,),)=0,#N/A,VLOOKUP(Table7[[#This Row],[Date]],Database!$A:$C,MATCH($B$1,Database!$A$1:$C$1,),))</f>
        <v/>
      </c>
      <c r="C5610">
        <f>IF(VLOOKUP(Table7[[#This Row],[Date]],Database!$A:$C,MATCH($C$1,Database!$A$1:$C$1,),)=0,#N/A,VLOOKUP(Table7[[#This Row],[Date]],Database!$A:$C,MATCH($C$1,Database!$A$1:$C$1,),))</f>
        <v/>
      </c>
      <c r="D5610">
        <f>IFERROR(Table7[[#This Row],[United States 10y]]-Table7[[#This Row],[United States 3y]],#N/A)</f>
        <v/>
      </c>
    </row>
    <row r="5611">
      <c r="A5611" s="6">
        <f>Database!$A7696</f>
        <v/>
      </c>
      <c r="B5611">
        <f>IF(VLOOKUP(Table7[[#This Row],[Date]],Database!$A:$C,MATCH($B$1,Database!$A$1:$C$1,),)=0,#N/A,VLOOKUP(Table7[[#This Row],[Date]],Database!$A:$C,MATCH($B$1,Database!$A$1:$C$1,),))</f>
        <v/>
      </c>
      <c r="C5611">
        <f>IF(VLOOKUP(Table7[[#This Row],[Date]],Database!$A:$C,MATCH($C$1,Database!$A$1:$C$1,),)=0,#N/A,VLOOKUP(Table7[[#This Row],[Date]],Database!$A:$C,MATCH($C$1,Database!$A$1:$C$1,),))</f>
        <v/>
      </c>
      <c r="D5611">
        <f>IFERROR(Table7[[#This Row],[United States 10y]]-Table7[[#This Row],[United States 3y]],#N/A)</f>
        <v/>
      </c>
    </row>
    <row r="5612">
      <c r="A5612" s="6">
        <f>Database!$A7697</f>
        <v/>
      </c>
      <c r="B5612">
        <f>IF(VLOOKUP(Table7[[#This Row],[Date]],Database!$A:$C,MATCH($B$1,Database!$A$1:$C$1,),)=0,#N/A,VLOOKUP(Table7[[#This Row],[Date]],Database!$A:$C,MATCH($B$1,Database!$A$1:$C$1,),))</f>
        <v/>
      </c>
      <c r="C5612">
        <f>IF(VLOOKUP(Table7[[#This Row],[Date]],Database!$A:$C,MATCH($C$1,Database!$A$1:$C$1,),)=0,#N/A,VLOOKUP(Table7[[#This Row],[Date]],Database!$A:$C,MATCH($C$1,Database!$A$1:$C$1,),))</f>
        <v/>
      </c>
      <c r="D5612">
        <f>IFERROR(Table7[[#This Row],[United States 10y]]-Table7[[#This Row],[United States 3y]],#N/A)</f>
        <v/>
      </c>
    </row>
    <row r="5613">
      <c r="A5613" s="6">
        <f>Database!$A7698</f>
        <v/>
      </c>
      <c r="B5613">
        <f>IF(VLOOKUP(Table7[[#This Row],[Date]],Database!$A:$C,MATCH($B$1,Database!$A$1:$C$1,),)=0,#N/A,VLOOKUP(Table7[[#This Row],[Date]],Database!$A:$C,MATCH($B$1,Database!$A$1:$C$1,),))</f>
        <v/>
      </c>
      <c r="C5613">
        <f>IF(VLOOKUP(Table7[[#This Row],[Date]],Database!$A:$C,MATCH($C$1,Database!$A$1:$C$1,),)=0,#N/A,VLOOKUP(Table7[[#This Row],[Date]],Database!$A:$C,MATCH($C$1,Database!$A$1:$C$1,),))</f>
        <v/>
      </c>
      <c r="D5613">
        <f>IFERROR(Table7[[#This Row],[United States 10y]]-Table7[[#This Row],[United States 3y]],#N/A)</f>
        <v/>
      </c>
    </row>
    <row r="5614">
      <c r="A5614" s="6">
        <f>Database!$A7699</f>
        <v/>
      </c>
      <c r="B5614">
        <f>IF(VLOOKUP(Table7[[#This Row],[Date]],Database!$A:$C,MATCH($B$1,Database!$A$1:$C$1,),)=0,#N/A,VLOOKUP(Table7[[#This Row],[Date]],Database!$A:$C,MATCH($B$1,Database!$A$1:$C$1,),))</f>
        <v/>
      </c>
      <c r="C5614">
        <f>IF(VLOOKUP(Table7[[#This Row],[Date]],Database!$A:$C,MATCH($C$1,Database!$A$1:$C$1,),)=0,#N/A,VLOOKUP(Table7[[#This Row],[Date]],Database!$A:$C,MATCH($C$1,Database!$A$1:$C$1,),))</f>
        <v/>
      </c>
      <c r="D5614">
        <f>IFERROR(Table7[[#This Row],[United States 10y]]-Table7[[#This Row],[United States 3y]],#N/A)</f>
        <v/>
      </c>
    </row>
    <row r="5615">
      <c r="A5615" s="6">
        <f>Database!$A7700</f>
        <v/>
      </c>
      <c r="B5615">
        <f>IF(VLOOKUP(Table7[[#This Row],[Date]],Database!$A:$C,MATCH($B$1,Database!$A$1:$C$1,),)=0,#N/A,VLOOKUP(Table7[[#This Row],[Date]],Database!$A:$C,MATCH($B$1,Database!$A$1:$C$1,),))</f>
        <v/>
      </c>
      <c r="C5615">
        <f>IF(VLOOKUP(Table7[[#This Row],[Date]],Database!$A:$C,MATCH($C$1,Database!$A$1:$C$1,),)=0,#N/A,VLOOKUP(Table7[[#This Row],[Date]],Database!$A:$C,MATCH($C$1,Database!$A$1:$C$1,),))</f>
        <v/>
      </c>
      <c r="D5615">
        <f>IFERROR(Table7[[#This Row],[United States 10y]]-Table7[[#This Row],[United States 3y]],#N/A)</f>
        <v/>
      </c>
    </row>
    <row r="5616">
      <c r="A5616" s="6">
        <f>Database!$A7701</f>
        <v/>
      </c>
      <c r="B5616">
        <f>IF(VLOOKUP(Table7[[#This Row],[Date]],Database!$A:$C,MATCH($B$1,Database!$A$1:$C$1,),)=0,#N/A,VLOOKUP(Table7[[#This Row],[Date]],Database!$A:$C,MATCH($B$1,Database!$A$1:$C$1,),))</f>
        <v/>
      </c>
      <c r="C5616">
        <f>IF(VLOOKUP(Table7[[#This Row],[Date]],Database!$A:$C,MATCH($C$1,Database!$A$1:$C$1,),)=0,#N/A,VLOOKUP(Table7[[#This Row],[Date]],Database!$A:$C,MATCH($C$1,Database!$A$1:$C$1,),))</f>
        <v/>
      </c>
      <c r="D5616">
        <f>IFERROR(Table7[[#This Row],[United States 10y]]-Table7[[#This Row],[United States 3y]],#N/A)</f>
        <v/>
      </c>
    </row>
    <row r="5617">
      <c r="A5617" s="6">
        <f>Database!$A7702</f>
        <v/>
      </c>
      <c r="B5617">
        <f>IF(VLOOKUP(Table7[[#This Row],[Date]],Database!$A:$C,MATCH($B$1,Database!$A$1:$C$1,),)=0,#N/A,VLOOKUP(Table7[[#This Row],[Date]],Database!$A:$C,MATCH($B$1,Database!$A$1:$C$1,),))</f>
        <v/>
      </c>
      <c r="C5617">
        <f>IF(VLOOKUP(Table7[[#This Row],[Date]],Database!$A:$C,MATCH($C$1,Database!$A$1:$C$1,),)=0,#N/A,VLOOKUP(Table7[[#This Row],[Date]],Database!$A:$C,MATCH($C$1,Database!$A$1:$C$1,),))</f>
        <v/>
      </c>
      <c r="D5617">
        <f>IFERROR(Table7[[#This Row],[United States 10y]]-Table7[[#This Row],[United States 3y]],#N/A)</f>
        <v/>
      </c>
    </row>
    <row r="5618">
      <c r="A5618" s="6">
        <f>Database!$A7703</f>
        <v/>
      </c>
      <c r="B5618">
        <f>IF(VLOOKUP(Table7[[#This Row],[Date]],Database!$A:$C,MATCH($B$1,Database!$A$1:$C$1,),)=0,#N/A,VLOOKUP(Table7[[#This Row],[Date]],Database!$A:$C,MATCH($B$1,Database!$A$1:$C$1,),))</f>
        <v/>
      </c>
      <c r="C5618">
        <f>IF(VLOOKUP(Table7[[#This Row],[Date]],Database!$A:$C,MATCH($C$1,Database!$A$1:$C$1,),)=0,#N/A,VLOOKUP(Table7[[#This Row],[Date]],Database!$A:$C,MATCH($C$1,Database!$A$1:$C$1,),))</f>
        <v/>
      </c>
      <c r="D5618">
        <f>IFERROR(Table7[[#This Row],[United States 10y]]-Table7[[#This Row],[United States 3y]],#N/A)</f>
        <v/>
      </c>
    </row>
    <row r="5619">
      <c r="A5619" s="6">
        <f>Database!$A7704</f>
        <v/>
      </c>
      <c r="B5619">
        <f>IF(VLOOKUP(Table7[[#This Row],[Date]],Database!$A:$C,MATCH($B$1,Database!$A$1:$C$1,),)=0,#N/A,VLOOKUP(Table7[[#This Row],[Date]],Database!$A:$C,MATCH($B$1,Database!$A$1:$C$1,),))</f>
        <v/>
      </c>
      <c r="C5619">
        <f>IF(VLOOKUP(Table7[[#This Row],[Date]],Database!$A:$C,MATCH($C$1,Database!$A$1:$C$1,),)=0,#N/A,VLOOKUP(Table7[[#This Row],[Date]],Database!$A:$C,MATCH($C$1,Database!$A$1:$C$1,),))</f>
        <v/>
      </c>
      <c r="D5619">
        <f>IFERROR(Table7[[#This Row],[United States 10y]]-Table7[[#This Row],[United States 3y]],#N/A)</f>
        <v/>
      </c>
    </row>
    <row r="5620">
      <c r="A5620" s="6">
        <f>Database!$A7705</f>
        <v/>
      </c>
      <c r="B5620">
        <f>IF(VLOOKUP(Table7[[#This Row],[Date]],Database!$A:$C,MATCH($B$1,Database!$A$1:$C$1,),)=0,#N/A,VLOOKUP(Table7[[#This Row],[Date]],Database!$A:$C,MATCH($B$1,Database!$A$1:$C$1,),))</f>
        <v/>
      </c>
      <c r="C5620">
        <f>IF(VLOOKUP(Table7[[#This Row],[Date]],Database!$A:$C,MATCH($C$1,Database!$A$1:$C$1,),)=0,#N/A,VLOOKUP(Table7[[#This Row],[Date]],Database!$A:$C,MATCH($C$1,Database!$A$1:$C$1,),))</f>
        <v/>
      </c>
      <c r="D5620">
        <f>IFERROR(Table7[[#This Row],[United States 10y]]-Table7[[#This Row],[United States 3y]],#N/A)</f>
        <v/>
      </c>
    </row>
    <row r="5621">
      <c r="A5621" s="6">
        <f>Database!$A7706</f>
        <v/>
      </c>
      <c r="B5621">
        <f>IF(VLOOKUP(Table7[[#This Row],[Date]],Database!$A:$C,MATCH($B$1,Database!$A$1:$C$1,),)=0,#N/A,VLOOKUP(Table7[[#This Row],[Date]],Database!$A:$C,MATCH($B$1,Database!$A$1:$C$1,),))</f>
        <v/>
      </c>
      <c r="C5621">
        <f>IF(VLOOKUP(Table7[[#This Row],[Date]],Database!$A:$C,MATCH($C$1,Database!$A$1:$C$1,),)=0,#N/A,VLOOKUP(Table7[[#This Row],[Date]],Database!$A:$C,MATCH($C$1,Database!$A$1:$C$1,),))</f>
        <v/>
      </c>
      <c r="D5621">
        <f>IFERROR(Table7[[#This Row],[United States 10y]]-Table7[[#This Row],[United States 3y]],#N/A)</f>
        <v/>
      </c>
    </row>
    <row r="5622">
      <c r="A5622" s="6">
        <f>Database!$A7707</f>
        <v/>
      </c>
      <c r="B5622">
        <f>IF(VLOOKUP(Table7[[#This Row],[Date]],Database!$A:$C,MATCH($B$1,Database!$A$1:$C$1,),)=0,#N/A,VLOOKUP(Table7[[#This Row],[Date]],Database!$A:$C,MATCH($B$1,Database!$A$1:$C$1,),))</f>
        <v/>
      </c>
      <c r="C5622">
        <f>IF(VLOOKUP(Table7[[#This Row],[Date]],Database!$A:$C,MATCH($C$1,Database!$A$1:$C$1,),)=0,#N/A,VLOOKUP(Table7[[#This Row],[Date]],Database!$A:$C,MATCH($C$1,Database!$A$1:$C$1,),))</f>
        <v/>
      </c>
      <c r="D5622">
        <f>IFERROR(Table7[[#This Row],[United States 10y]]-Table7[[#This Row],[United States 3y]],#N/A)</f>
        <v/>
      </c>
    </row>
    <row r="5623">
      <c r="A5623" s="6">
        <f>Database!$A7708</f>
        <v/>
      </c>
      <c r="B5623">
        <f>IF(VLOOKUP(Table7[[#This Row],[Date]],Database!$A:$C,MATCH($B$1,Database!$A$1:$C$1,),)=0,#N/A,VLOOKUP(Table7[[#This Row],[Date]],Database!$A:$C,MATCH($B$1,Database!$A$1:$C$1,),))</f>
        <v/>
      </c>
      <c r="C5623">
        <f>IF(VLOOKUP(Table7[[#This Row],[Date]],Database!$A:$C,MATCH($C$1,Database!$A$1:$C$1,),)=0,#N/A,VLOOKUP(Table7[[#This Row],[Date]],Database!$A:$C,MATCH($C$1,Database!$A$1:$C$1,),))</f>
        <v/>
      </c>
      <c r="D5623">
        <f>IFERROR(Table7[[#This Row],[United States 10y]]-Table7[[#This Row],[United States 3y]],#N/A)</f>
        <v/>
      </c>
    </row>
    <row r="5624">
      <c r="A5624" s="6">
        <f>Database!$A7709</f>
        <v/>
      </c>
      <c r="B5624">
        <f>IF(VLOOKUP(Table7[[#This Row],[Date]],Database!$A:$C,MATCH($B$1,Database!$A$1:$C$1,),)=0,#N/A,VLOOKUP(Table7[[#This Row],[Date]],Database!$A:$C,MATCH($B$1,Database!$A$1:$C$1,),))</f>
        <v/>
      </c>
      <c r="C5624">
        <f>IF(VLOOKUP(Table7[[#This Row],[Date]],Database!$A:$C,MATCH($C$1,Database!$A$1:$C$1,),)=0,#N/A,VLOOKUP(Table7[[#This Row],[Date]],Database!$A:$C,MATCH($C$1,Database!$A$1:$C$1,),))</f>
        <v/>
      </c>
      <c r="D5624">
        <f>IFERROR(Table7[[#This Row],[United States 10y]]-Table7[[#This Row],[United States 3y]],#N/A)</f>
        <v/>
      </c>
    </row>
    <row r="5625">
      <c r="A5625" s="6">
        <f>Database!$A7710</f>
        <v/>
      </c>
      <c r="B5625">
        <f>IF(VLOOKUP(Table7[[#This Row],[Date]],Database!$A:$C,MATCH($B$1,Database!$A$1:$C$1,),)=0,#N/A,VLOOKUP(Table7[[#This Row],[Date]],Database!$A:$C,MATCH($B$1,Database!$A$1:$C$1,),))</f>
        <v/>
      </c>
      <c r="C5625">
        <f>IF(VLOOKUP(Table7[[#This Row],[Date]],Database!$A:$C,MATCH($C$1,Database!$A$1:$C$1,),)=0,#N/A,VLOOKUP(Table7[[#This Row],[Date]],Database!$A:$C,MATCH($C$1,Database!$A$1:$C$1,),))</f>
        <v/>
      </c>
      <c r="D5625">
        <f>IFERROR(Table7[[#This Row],[United States 10y]]-Table7[[#This Row],[United States 3y]],#N/A)</f>
        <v/>
      </c>
    </row>
    <row r="5626">
      <c r="A5626" s="6">
        <f>Database!$A7711</f>
        <v/>
      </c>
      <c r="B5626">
        <f>IF(VLOOKUP(Table7[[#This Row],[Date]],Database!$A:$C,MATCH($B$1,Database!$A$1:$C$1,),)=0,#N/A,VLOOKUP(Table7[[#This Row],[Date]],Database!$A:$C,MATCH($B$1,Database!$A$1:$C$1,),))</f>
        <v/>
      </c>
      <c r="C5626">
        <f>IF(VLOOKUP(Table7[[#This Row],[Date]],Database!$A:$C,MATCH($C$1,Database!$A$1:$C$1,),)=0,#N/A,VLOOKUP(Table7[[#This Row],[Date]],Database!$A:$C,MATCH($C$1,Database!$A$1:$C$1,),))</f>
        <v/>
      </c>
      <c r="D5626">
        <f>IFERROR(Table7[[#This Row],[United States 10y]]-Table7[[#This Row],[United States 3y]],#N/A)</f>
        <v/>
      </c>
    </row>
    <row r="5627">
      <c r="A5627" s="6">
        <f>Database!$A7712</f>
        <v/>
      </c>
      <c r="B5627">
        <f>IF(VLOOKUP(Table7[[#This Row],[Date]],Database!$A:$C,MATCH($B$1,Database!$A$1:$C$1,),)=0,#N/A,VLOOKUP(Table7[[#This Row],[Date]],Database!$A:$C,MATCH($B$1,Database!$A$1:$C$1,),))</f>
        <v/>
      </c>
      <c r="C5627">
        <f>IF(VLOOKUP(Table7[[#This Row],[Date]],Database!$A:$C,MATCH($C$1,Database!$A$1:$C$1,),)=0,#N/A,VLOOKUP(Table7[[#This Row],[Date]],Database!$A:$C,MATCH($C$1,Database!$A$1:$C$1,),))</f>
        <v/>
      </c>
      <c r="D5627">
        <f>IFERROR(Table7[[#This Row],[United States 10y]]-Table7[[#This Row],[United States 3y]],#N/A)</f>
        <v/>
      </c>
    </row>
    <row r="5628">
      <c r="A5628" s="6">
        <f>Database!$A7713</f>
        <v/>
      </c>
      <c r="B5628">
        <f>IF(VLOOKUP(Table7[[#This Row],[Date]],Database!$A:$C,MATCH($B$1,Database!$A$1:$C$1,),)=0,#N/A,VLOOKUP(Table7[[#This Row],[Date]],Database!$A:$C,MATCH($B$1,Database!$A$1:$C$1,),))</f>
        <v/>
      </c>
      <c r="C5628">
        <f>IF(VLOOKUP(Table7[[#This Row],[Date]],Database!$A:$C,MATCH($C$1,Database!$A$1:$C$1,),)=0,#N/A,VLOOKUP(Table7[[#This Row],[Date]],Database!$A:$C,MATCH($C$1,Database!$A$1:$C$1,),))</f>
        <v/>
      </c>
      <c r="D5628">
        <f>IFERROR(Table7[[#This Row],[United States 10y]]-Table7[[#This Row],[United States 3y]],#N/A)</f>
        <v/>
      </c>
    </row>
    <row r="5629">
      <c r="A5629" s="6">
        <f>Database!$A7714</f>
        <v/>
      </c>
      <c r="B5629">
        <f>IF(VLOOKUP(Table7[[#This Row],[Date]],Database!$A:$C,MATCH($B$1,Database!$A$1:$C$1,),)=0,#N/A,VLOOKUP(Table7[[#This Row],[Date]],Database!$A:$C,MATCH($B$1,Database!$A$1:$C$1,),))</f>
        <v/>
      </c>
      <c r="C5629">
        <f>IF(VLOOKUP(Table7[[#This Row],[Date]],Database!$A:$C,MATCH($C$1,Database!$A$1:$C$1,),)=0,#N/A,VLOOKUP(Table7[[#This Row],[Date]],Database!$A:$C,MATCH($C$1,Database!$A$1:$C$1,),))</f>
        <v/>
      </c>
      <c r="D5629">
        <f>IFERROR(Table7[[#This Row],[United States 10y]]-Table7[[#This Row],[United States 3y]],#N/A)</f>
        <v/>
      </c>
    </row>
    <row r="5630">
      <c r="A5630" s="6">
        <f>Database!$A7715</f>
        <v/>
      </c>
      <c r="B5630">
        <f>IF(VLOOKUP(Table7[[#This Row],[Date]],Database!$A:$C,MATCH($B$1,Database!$A$1:$C$1,),)=0,#N/A,VLOOKUP(Table7[[#This Row],[Date]],Database!$A:$C,MATCH($B$1,Database!$A$1:$C$1,),))</f>
        <v/>
      </c>
      <c r="C5630">
        <f>IF(VLOOKUP(Table7[[#This Row],[Date]],Database!$A:$C,MATCH($C$1,Database!$A$1:$C$1,),)=0,#N/A,VLOOKUP(Table7[[#This Row],[Date]],Database!$A:$C,MATCH($C$1,Database!$A$1:$C$1,),))</f>
        <v/>
      </c>
      <c r="D5630">
        <f>IFERROR(Table7[[#This Row],[United States 10y]]-Table7[[#This Row],[United States 3y]],#N/A)</f>
        <v/>
      </c>
    </row>
    <row r="5631">
      <c r="A5631" s="6">
        <f>Database!$A7716</f>
        <v/>
      </c>
      <c r="B5631">
        <f>IF(VLOOKUP(Table7[[#This Row],[Date]],Database!$A:$C,MATCH($B$1,Database!$A$1:$C$1,),)=0,#N/A,VLOOKUP(Table7[[#This Row],[Date]],Database!$A:$C,MATCH($B$1,Database!$A$1:$C$1,),))</f>
        <v/>
      </c>
      <c r="C5631">
        <f>IF(VLOOKUP(Table7[[#This Row],[Date]],Database!$A:$C,MATCH($C$1,Database!$A$1:$C$1,),)=0,#N/A,VLOOKUP(Table7[[#This Row],[Date]],Database!$A:$C,MATCH($C$1,Database!$A$1:$C$1,),))</f>
        <v/>
      </c>
      <c r="D5631">
        <f>IFERROR(Table7[[#This Row],[United States 10y]]-Table7[[#This Row],[United States 3y]],#N/A)</f>
        <v/>
      </c>
    </row>
    <row r="5632">
      <c r="A5632" s="6">
        <f>Database!$A7717</f>
        <v/>
      </c>
      <c r="B5632">
        <f>IF(VLOOKUP(Table7[[#This Row],[Date]],Database!$A:$C,MATCH($B$1,Database!$A$1:$C$1,),)=0,#N/A,VLOOKUP(Table7[[#This Row],[Date]],Database!$A:$C,MATCH($B$1,Database!$A$1:$C$1,),))</f>
        <v/>
      </c>
      <c r="C5632">
        <f>IF(VLOOKUP(Table7[[#This Row],[Date]],Database!$A:$C,MATCH($C$1,Database!$A$1:$C$1,),)=0,#N/A,VLOOKUP(Table7[[#This Row],[Date]],Database!$A:$C,MATCH($C$1,Database!$A$1:$C$1,),))</f>
        <v/>
      </c>
      <c r="D5632">
        <f>IFERROR(Table7[[#This Row],[United States 10y]]-Table7[[#This Row],[United States 3y]],#N/A)</f>
        <v/>
      </c>
    </row>
    <row r="5633">
      <c r="A5633" s="6">
        <f>Database!$A7718</f>
        <v/>
      </c>
      <c r="B5633">
        <f>IF(VLOOKUP(Table7[[#This Row],[Date]],Database!$A:$C,MATCH($B$1,Database!$A$1:$C$1,),)=0,#N/A,VLOOKUP(Table7[[#This Row],[Date]],Database!$A:$C,MATCH($B$1,Database!$A$1:$C$1,),))</f>
        <v/>
      </c>
      <c r="C5633">
        <f>IF(VLOOKUP(Table7[[#This Row],[Date]],Database!$A:$C,MATCH($C$1,Database!$A$1:$C$1,),)=0,#N/A,VLOOKUP(Table7[[#This Row],[Date]],Database!$A:$C,MATCH($C$1,Database!$A$1:$C$1,),))</f>
        <v/>
      </c>
      <c r="D5633">
        <f>IFERROR(Table7[[#This Row],[United States 10y]]-Table7[[#This Row],[United States 3y]],#N/A)</f>
        <v/>
      </c>
    </row>
    <row r="5634">
      <c r="A5634" s="6">
        <f>Database!$A7719</f>
        <v/>
      </c>
      <c r="B5634">
        <f>IF(VLOOKUP(Table7[[#This Row],[Date]],Database!$A:$C,MATCH($B$1,Database!$A$1:$C$1,),)=0,#N/A,VLOOKUP(Table7[[#This Row],[Date]],Database!$A:$C,MATCH($B$1,Database!$A$1:$C$1,),))</f>
        <v/>
      </c>
      <c r="C5634">
        <f>IF(VLOOKUP(Table7[[#This Row],[Date]],Database!$A:$C,MATCH($C$1,Database!$A$1:$C$1,),)=0,#N/A,VLOOKUP(Table7[[#This Row],[Date]],Database!$A:$C,MATCH($C$1,Database!$A$1:$C$1,),))</f>
        <v/>
      </c>
      <c r="D5634">
        <f>IFERROR(Table7[[#This Row],[United States 10y]]-Table7[[#This Row],[United States 3y]],#N/A)</f>
        <v/>
      </c>
    </row>
    <row r="5635">
      <c r="A5635" s="6">
        <f>Database!$A7720</f>
        <v/>
      </c>
      <c r="B5635">
        <f>IF(VLOOKUP(Table7[[#This Row],[Date]],Database!$A:$C,MATCH($B$1,Database!$A$1:$C$1,),)=0,#N/A,VLOOKUP(Table7[[#This Row],[Date]],Database!$A:$C,MATCH($B$1,Database!$A$1:$C$1,),))</f>
        <v/>
      </c>
      <c r="C5635">
        <f>IF(VLOOKUP(Table7[[#This Row],[Date]],Database!$A:$C,MATCH($C$1,Database!$A$1:$C$1,),)=0,#N/A,VLOOKUP(Table7[[#This Row],[Date]],Database!$A:$C,MATCH($C$1,Database!$A$1:$C$1,),))</f>
        <v/>
      </c>
      <c r="D5635">
        <f>IFERROR(Table7[[#This Row],[United States 10y]]-Table7[[#This Row],[United States 3y]],#N/A)</f>
        <v/>
      </c>
    </row>
    <row r="5636">
      <c r="A5636" s="6">
        <f>Database!$A7721</f>
        <v/>
      </c>
      <c r="B5636">
        <f>IF(VLOOKUP(Table7[[#This Row],[Date]],Database!$A:$C,MATCH($B$1,Database!$A$1:$C$1,),)=0,#N/A,VLOOKUP(Table7[[#This Row],[Date]],Database!$A:$C,MATCH($B$1,Database!$A$1:$C$1,),))</f>
        <v/>
      </c>
      <c r="C5636">
        <f>IF(VLOOKUP(Table7[[#This Row],[Date]],Database!$A:$C,MATCH($C$1,Database!$A$1:$C$1,),)=0,#N/A,VLOOKUP(Table7[[#This Row],[Date]],Database!$A:$C,MATCH($C$1,Database!$A$1:$C$1,),))</f>
        <v/>
      </c>
      <c r="D5636">
        <f>IFERROR(Table7[[#This Row],[United States 10y]]-Table7[[#This Row],[United States 3y]],#N/A)</f>
        <v/>
      </c>
    </row>
    <row r="5637">
      <c r="A5637" s="6">
        <f>Database!$A7722</f>
        <v/>
      </c>
      <c r="B5637">
        <f>IF(VLOOKUP(Table7[[#This Row],[Date]],Database!$A:$C,MATCH($B$1,Database!$A$1:$C$1,),)=0,#N/A,VLOOKUP(Table7[[#This Row],[Date]],Database!$A:$C,MATCH($B$1,Database!$A$1:$C$1,),))</f>
        <v/>
      </c>
      <c r="C5637">
        <f>IF(VLOOKUP(Table7[[#This Row],[Date]],Database!$A:$C,MATCH($C$1,Database!$A$1:$C$1,),)=0,#N/A,VLOOKUP(Table7[[#This Row],[Date]],Database!$A:$C,MATCH($C$1,Database!$A$1:$C$1,),))</f>
        <v/>
      </c>
      <c r="D5637">
        <f>IFERROR(Table7[[#This Row],[United States 10y]]-Table7[[#This Row],[United States 3y]],#N/A)</f>
        <v/>
      </c>
    </row>
    <row r="5638">
      <c r="A5638" s="6">
        <f>Database!$A7723</f>
        <v/>
      </c>
      <c r="B5638">
        <f>IF(VLOOKUP(Table7[[#This Row],[Date]],Database!$A:$C,MATCH($B$1,Database!$A$1:$C$1,),)=0,#N/A,VLOOKUP(Table7[[#This Row],[Date]],Database!$A:$C,MATCH($B$1,Database!$A$1:$C$1,),))</f>
        <v/>
      </c>
      <c r="C5638">
        <f>IF(VLOOKUP(Table7[[#This Row],[Date]],Database!$A:$C,MATCH($C$1,Database!$A$1:$C$1,),)=0,#N/A,VLOOKUP(Table7[[#This Row],[Date]],Database!$A:$C,MATCH($C$1,Database!$A$1:$C$1,),))</f>
        <v/>
      </c>
      <c r="D5638">
        <f>IFERROR(Table7[[#This Row],[United States 10y]]-Table7[[#This Row],[United States 3y]],#N/A)</f>
        <v/>
      </c>
    </row>
    <row r="5639">
      <c r="A5639" s="6">
        <f>Database!$A7724</f>
        <v/>
      </c>
      <c r="B5639">
        <f>IF(VLOOKUP(Table7[[#This Row],[Date]],Database!$A:$C,MATCH($B$1,Database!$A$1:$C$1,),)=0,#N/A,VLOOKUP(Table7[[#This Row],[Date]],Database!$A:$C,MATCH($B$1,Database!$A$1:$C$1,),))</f>
        <v/>
      </c>
      <c r="C5639">
        <f>IF(VLOOKUP(Table7[[#This Row],[Date]],Database!$A:$C,MATCH($C$1,Database!$A$1:$C$1,),)=0,#N/A,VLOOKUP(Table7[[#This Row],[Date]],Database!$A:$C,MATCH($C$1,Database!$A$1:$C$1,),))</f>
        <v/>
      </c>
      <c r="D5639">
        <f>IFERROR(Table7[[#This Row],[United States 10y]]-Table7[[#This Row],[United States 3y]],#N/A)</f>
        <v/>
      </c>
    </row>
    <row r="5640">
      <c r="A5640" s="6">
        <f>Database!$A7725</f>
        <v/>
      </c>
      <c r="B5640">
        <f>IF(VLOOKUP(Table7[[#This Row],[Date]],Database!$A:$C,MATCH($B$1,Database!$A$1:$C$1,),)=0,#N/A,VLOOKUP(Table7[[#This Row],[Date]],Database!$A:$C,MATCH($B$1,Database!$A$1:$C$1,),))</f>
        <v/>
      </c>
      <c r="C5640">
        <f>IF(VLOOKUP(Table7[[#This Row],[Date]],Database!$A:$C,MATCH($C$1,Database!$A$1:$C$1,),)=0,#N/A,VLOOKUP(Table7[[#This Row],[Date]],Database!$A:$C,MATCH($C$1,Database!$A$1:$C$1,),))</f>
        <v/>
      </c>
      <c r="D5640">
        <f>IFERROR(Table7[[#This Row],[United States 10y]]-Table7[[#This Row],[United States 3y]],#N/A)</f>
        <v/>
      </c>
    </row>
    <row r="5641">
      <c r="A5641" s="6">
        <f>Database!$A7726</f>
        <v/>
      </c>
      <c r="B5641">
        <f>IF(VLOOKUP(Table7[[#This Row],[Date]],Database!$A:$C,MATCH($B$1,Database!$A$1:$C$1,),)=0,#N/A,VLOOKUP(Table7[[#This Row],[Date]],Database!$A:$C,MATCH($B$1,Database!$A$1:$C$1,),))</f>
        <v/>
      </c>
      <c r="C5641">
        <f>IF(VLOOKUP(Table7[[#This Row],[Date]],Database!$A:$C,MATCH($C$1,Database!$A$1:$C$1,),)=0,#N/A,VLOOKUP(Table7[[#This Row],[Date]],Database!$A:$C,MATCH($C$1,Database!$A$1:$C$1,),))</f>
        <v/>
      </c>
      <c r="D5641">
        <f>IFERROR(Table7[[#This Row],[United States 10y]]-Table7[[#This Row],[United States 3y]],#N/A)</f>
        <v/>
      </c>
    </row>
    <row r="5642">
      <c r="A5642" s="6">
        <f>Database!$A7727</f>
        <v/>
      </c>
      <c r="B5642">
        <f>IF(VLOOKUP(Table7[[#This Row],[Date]],Database!$A:$C,MATCH($B$1,Database!$A$1:$C$1,),)=0,#N/A,VLOOKUP(Table7[[#This Row],[Date]],Database!$A:$C,MATCH($B$1,Database!$A$1:$C$1,),))</f>
        <v/>
      </c>
      <c r="C5642">
        <f>IF(VLOOKUP(Table7[[#This Row],[Date]],Database!$A:$C,MATCH($C$1,Database!$A$1:$C$1,),)=0,#N/A,VLOOKUP(Table7[[#This Row],[Date]],Database!$A:$C,MATCH($C$1,Database!$A$1:$C$1,),))</f>
        <v/>
      </c>
      <c r="D5642">
        <f>IFERROR(Table7[[#This Row],[United States 10y]]-Table7[[#This Row],[United States 3y]],#N/A)</f>
        <v/>
      </c>
    </row>
    <row r="5643">
      <c r="A5643" s="6">
        <f>Database!$A7728</f>
        <v/>
      </c>
      <c r="B5643">
        <f>IF(VLOOKUP(Table7[[#This Row],[Date]],Database!$A:$C,MATCH($B$1,Database!$A$1:$C$1,),)=0,#N/A,VLOOKUP(Table7[[#This Row],[Date]],Database!$A:$C,MATCH($B$1,Database!$A$1:$C$1,),))</f>
        <v/>
      </c>
      <c r="C5643">
        <f>IF(VLOOKUP(Table7[[#This Row],[Date]],Database!$A:$C,MATCH($C$1,Database!$A$1:$C$1,),)=0,#N/A,VLOOKUP(Table7[[#This Row],[Date]],Database!$A:$C,MATCH($C$1,Database!$A$1:$C$1,),))</f>
        <v/>
      </c>
      <c r="D5643">
        <f>IFERROR(Table7[[#This Row],[United States 10y]]-Table7[[#This Row],[United States 3y]],#N/A)</f>
        <v/>
      </c>
    </row>
    <row r="5644">
      <c r="A5644" s="6">
        <f>Database!$A7729</f>
        <v/>
      </c>
      <c r="B5644">
        <f>IF(VLOOKUP(Table7[[#This Row],[Date]],Database!$A:$C,MATCH($B$1,Database!$A$1:$C$1,),)=0,#N/A,VLOOKUP(Table7[[#This Row],[Date]],Database!$A:$C,MATCH($B$1,Database!$A$1:$C$1,),))</f>
        <v/>
      </c>
      <c r="C5644">
        <f>IF(VLOOKUP(Table7[[#This Row],[Date]],Database!$A:$C,MATCH($C$1,Database!$A$1:$C$1,),)=0,#N/A,VLOOKUP(Table7[[#This Row],[Date]],Database!$A:$C,MATCH($C$1,Database!$A$1:$C$1,),))</f>
        <v/>
      </c>
      <c r="D5644">
        <f>IFERROR(Table7[[#This Row],[United States 10y]]-Table7[[#This Row],[United States 3y]],#N/A)</f>
        <v/>
      </c>
    </row>
    <row r="5645">
      <c r="A5645" s="6">
        <f>Database!$A7730</f>
        <v/>
      </c>
      <c r="B5645">
        <f>IF(VLOOKUP(Table7[[#This Row],[Date]],Database!$A:$C,MATCH($B$1,Database!$A$1:$C$1,),)=0,#N/A,VLOOKUP(Table7[[#This Row],[Date]],Database!$A:$C,MATCH($B$1,Database!$A$1:$C$1,),))</f>
        <v/>
      </c>
      <c r="C5645">
        <f>IF(VLOOKUP(Table7[[#This Row],[Date]],Database!$A:$C,MATCH($C$1,Database!$A$1:$C$1,),)=0,#N/A,VLOOKUP(Table7[[#This Row],[Date]],Database!$A:$C,MATCH($C$1,Database!$A$1:$C$1,),))</f>
        <v/>
      </c>
      <c r="D5645">
        <f>IFERROR(Table7[[#This Row],[United States 10y]]-Table7[[#This Row],[United States 3y]],#N/A)</f>
        <v/>
      </c>
    </row>
    <row r="5646">
      <c r="A5646" s="6">
        <f>Database!$A7731</f>
        <v/>
      </c>
      <c r="B5646">
        <f>IF(VLOOKUP(Table7[[#This Row],[Date]],Database!$A:$C,MATCH($B$1,Database!$A$1:$C$1,),)=0,#N/A,VLOOKUP(Table7[[#This Row],[Date]],Database!$A:$C,MATCH($B$1,Database!$A$1:$C$1,),))</f>
        <v/>
      </c>
      <c r="C5646">
        <f>IF(VLOOKUP(Table7[[#This Row],[Date]],Database!$A:$C,MATCH($C$1,Database!$A$1:$C$1,),)=0,#N/A,VLOOKUP(Table7[[#This Row],[Date]],Database!$A:$C,MATCH($C$1,Database!$A$1:$C$1,),))</f>
        <v/>
      </c>
      <c r="D5646">
        <f>IFERROR(Table7[[#This Row],[United States 10y]]-Table7[[#This Row],[United States 3y]],#N/A)</f>
        <v/>
      </c>
    </row>
    <row r="5647">
      <c r="A5647" s="6">
        <f>Database!$A7732</f>
        <v/>
      </c>
      <c r="B5647">
        <f>IF(VLOOKUP(Table7[[#This Row],[Date]],Database!$A:$C,MATCH($B$1,Database!$A$1:$C$1,),)=0,#N/A,VLOOKUP(Table7[[#This Row],[Date]],Database!$A:$C,MATCH($B$1,Database!$A$1:$C$1,),))</f>
        <v/>
      </c>
      <c r="C5647">
        <f>IF(VLOOKUP(Table7[[#This Row],[Date]],Database!$A:$C,MATCH($C$1,Database!$A$1:$C$1,),)=0,#N/A,VLOOKUP(Table7[[#This Row],[Date]],Database!$A:$C,MATCH($C$1,Database!$A$1:$C$1,),))</f>
        <v/>
      </c>
      <c r="D5647">
        <f>IFERROR(Table7[[#This Row],[United States 10y]]-Table7[[#This Row],[United States 3y]],#N/A)</f>
        <v/>
      </c>
    </row>
    <row r="5648">
      <c r="A5648" s="6">
        <f>Database!$A7733</f>
        <v/>
      </c>
      <c r="B5648">
        <f>IF(VLOOKUP(Table7[[#This Row],[Date]],Database!$A:$C,MATCH($B$1,Database!$A$1:$C$1,),)=0,#N/A,VLOOKUP(Table7[[#This Row],[Date]],Database!$A:$C,MATCH($B$1,Database!$A$1:$C$1,),))</f>
        <v/>
      </c>
      <c r="C5648">
        <f>IF(VLOOKUP(Table7[[#This Row],[Date]],Database!$A:$C,MATCH($C$1,Database!$A$1:$C$1,),)=0,#N/A,VLOOKUP(Table7[[#This Row],[Date]],Database!$A:$C,MATCH($C$1,Database!$A$1:$C$1,),))</f>
        <v/>
      </c>
      <c r="D5648">
        <f>IFERROR(Table7[[#This Row],[United States 10y]]-Table7[[#This Row],[United States 3y]],#N/A)</f>
        <v/>
      </c>
    </row>
    <row r="5649">
      <c r="A5649" s="6">
        <f>Database!$A7734</f>
        <v/>
      </c>
      <c r="B5649">
        <f>IF(VLOOKUP(Table7[[#This Row],[Date]],Database!$A:$C,MATCH($B$1,Database!$A$1:$C$1,),)=0,#N/A,VLOOKUP(Table7[[#This Row],[Date]],Database!$A:$C,MATCH($B$1,Database!$A$1:$C$1,),))</f>
        <v/>
      </c>
      <c r="C5649">
        <f>IF(VLOOKUP(Table7[[#This Row],[Date]],Database!$A:$C,MATCH($C$1,Database!$A$1:$C$1,),)=0,#N/A,VLOOKUP(Table7[[#This Row],[Date]],Database!$A:$C,MATCH($C$1,Database!$A$1:$C$1,),))</f>
        <v/>
      </c>
      <c r="D5649">
        <f>IFERROR(Table7[[#This Row],[United States 10y]]-Table7[[#This Row],[United States 3y]],#N/A)</f>
        <v/>
      </c>
    </row>
    <row r="5650">
      <c r="A5650" s="6">
        <f>Database!$A7735</f>
        <v/>
      </c>
      <c r="B5650">
        <f>IF(VLOOKUP(Table7[[#This Row],[Date]],Database!$A:$C,MATCH($B$1,Database!$A$1:$C$1,),)=0,#N/A,VLOOKUP(Table7[[#This Row],[Date]],Database!$A:$C,MATCH($B$1,Database!$A$1:$C$1,),))</f>
        <v/>
      </c>
      <c r="C5650">
        <f>IF(VLOOKUP(Table7[[#This Row],[Date]],Database!$A:$C,MATCH($C$1,Database!$A$1:$C$1,),)=0,#N/A,VLOOKUP(Table7[[#This Row],[Date]],Database!$A:$C,MATCH($C$1,Database!$A$1:$C$1,),))</f>
        <v/>
      </c>
      <c r="D5650">
        <f>IFERROR(Table7[[#This Row],[United States 10y]]-Table7[[#This Row],[United States 3y]],#N/A)</f>
        <v/>
      </c>
    </row>
    <row r="5651">
      <c r="A5651" s="6">
        <f>Database!$A7736</f>
        <v/>
      </c>
      <c r="B5651">
        <f>IF(VLOOKUP(Table7[[#This Row],[Date]],Database!$A:$C,MATCH($B$1,Database!$A$1:$C$1,),)=0,#N/A,VLOOKUP(Table7[[#This Row],[Date]],Database!$A:$C,MATCH($B$1,Database!$A$1:$C$1,),))</f>
        <v/>
      </c>
      <c r="C5651">
        <f>IF(VLOOKUP(Table7[[#This Row],[Date]],Database!$A:$C,MATCH($C$1,Database!$A$1:$C$1,),)=0,#N/A,VLOOKUP(Table7[[#This Row],[Date]],Database!$A:$C,MATCH($C$1,Database!$A$1:$C$1,),))</f>
        <v/>
      </c>
      <c r="D5651">
        <f>IFERROR(Table7[[#This Row],[United States 10y]]-Table7[[#This Row],[United States 3y]],#N/A)</f>
        <v/>
      </c>
    </row>
    <row r="5652">
      <c r="A5652" s="6">
        <f>Database!$A7737</f>
        <v/>
      </c>
      <c r="B5652">
        <f>IF(VLOOKUP(Table7[[#This Row],[Date]],Database!$A:$C,MATCH($B$1,Database!$A$1:$C$1,),)=0,#N/A,VLOOKUP(Table7[[#This Row],[Date]],Database!$A:$C,MATCH($B$1,Database!$A$1:$C$1,),))</f>
        <v/>
      </c>
      <c r="C5652">
        <f>IF(VLOOKUP(Table7[[#This Row],[Date]],Database!$A:$C,MATCH($C$1,Database!$A$1:$C$1,),)=0,#N/A,VLOOKUP(Table7[[#This Row],[Date]],Database!$A:$C,MATCH($C$1,Database!$A$1:$C$1,),))</f>
        <v/>
      </c>
      <c r="D5652">
        <f>IFERROR(Table7[[#This Row],[United States 10y]]-Table7[[#This Row],[United States 3y]],#N/A)</f>
        <v/>
      </c>
    </row>
    <row r="5653">
      <c r="A5653" s="6">
        <f>Database!$A7738</f>
        <v/>
      </c>
      <c r="B5653">
        <f>IF(VLOOKUP(Table7[[#This Row],[Date]],Database!$A:$C,MATCH($B$1,Database!$A$1:$C$1,),)=0,#N/A,VLOOKUP(Table7[[#This Row],[Date]],Database!$A:$C,MATCH($B$1,Database!$A$1:$C$1,),))</f>
        <v/>
      </c>
      <c r="C5653">
        <f>IF(VLOOKUP(Table7[[#This Row],[Date]],Database!$A:$C,MATCH($C$1,Database!$A$1:$C$1,),)=0,#N/A,VLOOKUP(Table7[[#This Row],[Date]],Database!$A:$C,MATCH($C$1,Database!$A$1:$C$1,),))</f>
        <v/>
      </c>
      <c r="D5653">
        <f>IFERROR(Table7[[#This Row],[United States 10y]]-Table7[[#This Row],[United States 3y]],#N/A)</f>
        <v/>
      </c>
    </row>
    <row r="5654">
      <c r="A5654" s="6">
        <f>Database!$A7739</f>
        <v/>
      </c>
      <c r="B5654">
        <f>IF(VLOOKUP(Table7[[#This Row],[Date]],Database!$A:$C,MATCH($B$1,Database!$A$1:$C$1,),)=0,#N/A,VLOOKUP(Table7[[#This Row],[Date]],Database!$A:$C,MATCH($B$1,Database!$A$1:$C$1,),))</f>
        <v/>
      </c>
      <c r="C5654">
        <f>IF(VLOOKUP(Table7[[#This Row],[Date]],Database!$A:$C,MATCH($C$1,Database!$A$1:$C$1,),)=0,#N/A,VLOOKUP(Table7[[#This Row],[Date]],Database!$A:$C,MATCH($C$1,Database!$A$1:$C$1,),))</f>
        <v/>
      </c>
      <c r="D5654">
        <f>IFERROR(Table7[[#This Row],[United States 10y]]-Table7[[#This Row],[United States 3y]],#N/A)</f>
        <v/>
      </c>
    </row>
    <row r="5655">
      <c r="A5655" s="6">
        <f>Database!$A7740</f>
        <v/>
      </c>
      <c r="B5655">
        <f>IF(VLOOKUP(Table7[[#This Row],[Date]],Database!$A:$C,MATCH($B$1,Database!$A$1:$C$1,),)=0,#N/A,VLOOKUP(Table7[[#This Row],[Date]],Database!$A:$C,MATCH($B$1,Database!$A$1:$C$1,),))</f>
        <v/>
      </c>
      <c r="C5655">
        <f>IF(VLOOKUP(Table7[[#This Row],[Date]],Database!$A:$C,MATCH($C$1,Database!$A$1:$C$1,),)=0,#N/A,VLOOKUP(Table7[[#This Row],[Date]],Database!$A:$C,MATCH($C$1,Database!$A$1:$C$1,),))</f>
        <v/>
      </c>
      <c r="D5655">
        <f>IFERROR(Table7[[#This Row],[United States 10y]]-Table7[[#This Row],[United States 3y]],#N/A)</f>
        <v/>
      </c>
    </row>
    <row r="5656">
      <c r="A5656" s="6">
        <f>Database!$A7741</f>
        <v/>
      </c>
      <c r="B5656">
        <f>IF(VLOOKUP(Table7[[#This Row],[Date]],Database!$A:$C,MATCH($B$1,Database!$A$1:$C$1,),)=0,#N/A,VLOOKUP(Table7[[#This Row],[Date]],Database!$A:$C,MATCH($B$1,Database!$A$1:$C$1,),))</f>
        <v/>
      </c>
      <c r="C5656">
        <f>IF(VLOOKUP(Table7[[#This Row],[Date]],Database!$A:$C,MATCH($C$1,Database!$A$1:$C$1,),)=0,#N/A,VLOOKUP(Table7[[#This Row],[Date]],Database!$A:$C,MATCH($C$1,Database!$A$1:$C$1,),))</f>
        <v/>
      </c>
      <c r="D5656">
        <f>IFERROR(Table7[[#This Row],[United States 10y]]-Table7[[#This Row],[United States 3y]],#N/A)</f>
        <v/>
      </c>
    </row>
    <row r="5657">
      <c r="A5657" s="6">
        <f>Database!$A7742</f>
        <v/>
      </c>
      <c r="B5657">
        <f>IF(VLOOKUP(Table7[[#This Row],[Date]],Database!$A:$C,MATCH($B$1,Database!$A$1:$C$1,),)=0,#N/A,VLOOKUP(Table7[[#This Row],[Date]],Database!$A:$C,MATCH($B$1,Database!$A$1:$C$1,),))</f>
        <v/>
      </c>
      <c r="C5657">
        <f>IF(VLOOKUP(Table7[[#This Row],[Date]],Database!$A:$C,MATCH($C$1,Database!$A$1:$C$1,),)=0,#N/A,VLOOKUP(Table7[[#This Row],[Date]],Database!$A:$C,MATCH($C$1,Database!$A$1:$C$1,),))</f>
        <v/>
      </c>
      <c r="D5657">
        <f>IFERROR(Table7[[#This Row],[United States 10y]]-Table7[[#This Row],[United States 3y]],#N/A)</f>
        <v/>
      </c>
    </row>
    <row r="5658">
      <c r="A5658" s="6">
        <f>Database!$A7743</f>
        <v/>
      </c>
      <c r="B5658">
        <f>IF(VLOOKUP(Table7[[#This Row],[Date]],Database!$A:$C,MATCH($B$1,Database!$A$1:$C$1,),)=0,#N/A,VLOOKUP(Table7[[#This Row],[Date]],Database!$A:$C,MATCH($B$1,Database!$A$1:$C$1,),))</f>
        <v/>
      </c>
      <c r="C5658">
        <f>IF(VLOOKUP(Table7[[#This Row],[Date]],Database!$A:$C,MATCH($C$1,Database!$A$1:$C$1,),)=0,#N/A,VLOOKUP(Table7[[#This Row],[Date]],Database!$A:$C,MATCH($C$1,Database!$A$1:$C$1,),))</f>
        <v/>
      </c>
      <c r="D5658">
        <f>IFERROR(Table7[[#This Row],[United States 10y]]-Table7[[#This Row],[United States 3y]],#N/A)</f>
        <v/>
      </c>
    </row>
    <row r="5659">
      <c r="A5659" s="6">
        <f>Database!$A7744</f>
        <v/>
      </c>
      <c r="B5659">
        <f>IF(VLOOKUP(Table7[[#This Row],[Date]],Database!$A:$C,MATCH($B$1,Database!$A$1:$C$1,),)=0,#N/A,VLOOKUP(Table7[[#This Row],[Date]],Database!$A:$C,MATCH($B$1,Database!$A$1:$C$1,),))</f>
        <v/>
      </c>
      <c r="C5659">
        <f>IF(VLOOKUP(Table7[[#This Row],[Date]],Database!$A:$C,MATCH($C$1,Database!$A$1:$C$1,),)=0,#N/A,VLOOKUP(Table7[[#This Row],[Date]],Database!$A:$C,MATCH($C$1,Database!$A$1:$C$1,),))</f>
        <v/>
      </c>
      <c r="D5659">
        <f>IFERROR(Table7[[#This Row],[United States 10y]]-Table7[[#This Row],[United States 3y]],#N/A)</f>
        <v/>
      </c>
    </row>
    <row r="5660">
      <c r="A5660" s="6">
        <f>Database!$A7745</f>
        <v/>
      </c>
      <c r="B5660">
        <f>IF(VLOOKUP(Table7[[#This Row],[Date]],Database!$A:$C,MATCH($B$1,Database!$A$1:$C$1,),)=0,#N/A,VLOOKUP(Table7[[#This Row],[Date]],Database!$A:$C,MATCH($B$1,Database!$A$1:$C$1,),))</f>
        <v/>
      </c>
      <c r="C5660">
        <f>IF(VLOOKUP(Table7[[#This Row],[Date]],Database!$A:$C,MATCH($C$1,Database!$A$1:$C$1,),)=0,#N/A,VLOOKUP(Table7[[#This Row],[Date]],Database!$A:$C,MATCH($C$1,Database!$A$1:$C$1,),))</f>
        <v/>
      </c>
      <c r="D5660">
        <f>IFERROR(Table7[[#This Row],[United States 10y]]-Table7[[#This Row],[United States 3y]],#N/A)</f>
        <v/>
      </c>
    </row>
    <row r="5661">
      <c r="A5661" s="6">
        <f>Database!$A7746</f>
        <v/>
      </c>
      <c r="B5661">
        <f>IF(VLOOKUP(Table7[[#This Row],[Date]],Database!$A:$C,MATCH($B$1,Database!$A$1:$C$1,),)=0,#N/A,VLOOKUP(Table7[[#This Row],[Date]],Database!$A:$C,MATCH($B$1,Database!$A$1:$C$1,),))</f>
        <v/>
      </c>
      <c r="C5661">
        <f>IF(VLOOKUP(Table7[[#This Row],[Date]],Database!$A:$C,MATCH($C$1,Database!$A$1:$C$1,),)=0,#N/A,VLOOKUP(Table7[[#This Row],[Date]],Database!$A:$C,MATCH($C$1,Database!$A$1:$C$1,),))</f>
        <v/>
      </c>
      <c r="D5661">
        <f>IFERROR(Table7[[#This Row],[United States 10y]]-Table7[[#This Row],[United States 3y]],#N/A)</f>
        <v/>
      </c>
    </row>
    <row r="5662">
      <c r="A5662" s="6">
        <f>Database!$A7747</f>
        <v/>
      </c>
      <c r="B5662">
        <f>IF(VLOOKUP(Table7[[#This Row],[Date]],Database!$A:$C,MATCH($B$1,Database!$A$1:$C$1,),)=0,#N/A,VLOOKUP(Table7[[#This Row],[Date]],Database!$A:$C,MATCH($B$1,Database!$A$1:$C$1,),))</f>
        <v/>
      </c>
      <c r="C5662">
        <f>IF(VLOOKUP(Table7[[#This Row],[Date]],Database!$A:$C,MATCH($C$1,Database!$A$1:$C$1,),)=0,#N/A,VLOOKUP(Table7[[#This Row],[Date]],Database!$A:$C,MATCH($C$1,Database!$A$1:$C$1,),))</f>
        <v/>
      </c>
      <c r="D5662">
        <f>IFERROR(Table7[[#This Row],[United States 10y]]-Table7[[#This Row],[United States 3y]],#N/A)</f>
        <v/>
      </c>
    </row>
    <row r="5663">
      <c r="A5663" s="6">
        <f>Database!$A7748</f>
        <v/>
      </c>
      <c r="B5663">
        <f>IF(VLOOKUP(Table7[[#This Row],[Date]],Database!$A:$C,MATCH($B$1,Database!$A$1:$C$1,),)=0,#N/A,VLOOKUP(Table7[[#This Row],[Date]],Database!$A:$C,MATCH($B$1,Database!$A$1:$C$1,),))</f>
        <v/>
      </c>
      <c r="C5663">
        <f>IF(VLOOKUP(Table7[[#This Row],[Date]],Database!$A:$C,MATCH($C$1,Database!$A$1:$C$1,),)=0,#N/A,VLOOKUP(Table7[[#This Row],[Date]],Database!$A:$C,MATCH($C$1,Database!$A$1:$C$1,),))</f>
        <v/>
      </c>
      <c r="D5663">
        <f>IFERROR(Table7[[#This Row],[United States 10y]]-Table7[[#This Row],[United States 3y]],#N/A)</f>
        <v/>
      </c>
    </row>
    <row r="5664">
      <c r="A5664" s="6">
        <f>Database!$A7749</f>
        <v/>
      </c>
      <c r="B5664">
        <f>IF(VLOOKUP(Table7[[#This Row],[Date]],Database!$A:$C,MATCH($B$1,Database!$A$1:$C$1,),)=0,#N/A,VLOOKUP(Table7[[#This Row],[Date]],Database!$A:$C,MATCH($B$1,Database!$A$1:$C$1,),))</f>
        <v/>
      </c>
      <c r="C5664">
        <f>IF(VLOOKUP(Table7[[#This Row],[Date]],Database!$A:$C,MATCH($C$1,Database!$A$1:$C$1,),)=0,#N/A,VLOOKUP(Table7[[#This Row],[Date]],Database!$A:$C,MATCH($C$1,Database!$A$1:$C$1,),))</f>
        <v/>
      </c>
      <c r="D5664">
        <f>IFERROR(Table7[[#This Row],[United States 10y]]-Table7[[#This Row],[United States 3y]],#N/A)</f>
        <v/>
      </c>
    </row>
    <row r="5665">
      <c r="A5665" s="6">
        <f>Database!$A7750</f>
        <v/>
      </c>
      <c r="B5665">
        <f>IF(VLOOKUP(Table7[[#This Row],[Date]],Database!$A:$C,MATCH($B$1,Database!$A$1:$C$1,),)=0,#N/A,VLOOKUP(Table7[[#This Row],[Date]],Database!$A:$C,MATCH($B$1,Database!$A$1:$C$1,),))</f>
        <v/>
      </c>
      <c r="C5665">
        <f>IF(VLOOKUP(Table7[[#This Row],[Date]],Database!$A:$C,MATCH($C$1,Database!$A$1:$C$1,),)=0,#N/A,VLOOKUP(Table7[[#This Row],[Date]],Database!$A:$C,MATCH($C$1,Database!$A$1:$C$1,),))</f>
        <v/>
      </c>
      <c r="D5665">
        <f>IFERROR(Table7[[#This Row],[United States 10y]]-Table7[[#This Row],[United States 3y]],#N/A)</f>
        <v/>
      </c>
    </row>
    <row r="5666">
      <c r="A5666" s="6">
        <f>Database!$A7751</f>
        <v/>
      </c>
      <c r="B5666">
        <f>IF(VLOOKUP(Table7[[#This Row],[Date]],Database!$A:$C,MATCH($B$1,Database!$A$1:$C$1,),)=0,#N/A,VLOOKUP(Table7[[#This Row],[Date]],Database!$A:$C,MATCH($B$1,Database!$A$1:$C$1,),))</f>
        <v/>
      </c>
      <c r="C5666">
        <f>IF(VLOOKUP(Table7[[#This Row],[Date]],Database!$A:$C,MATCH($C$1,Database!$A$1:$C$1,),)=0,#N/A,VLOOKUP(Table7[[#This Row],[Date]],Database!$A:$C,MATCH($C$1,Database!$A$1:$C$1,),))</f>
        <v/>
      </c>
      <c r="D5666">
        <f>IFERROR(Table7[[#This Row],[United States 10y]]-Table7[[#This Row],[United States 3y]],#N/A)</f>
        <v/>
      </c>
    </row>
    <row r="5667">
      <c r="A5667" s="6">
        <f>Database!$A7752</f>
        <v/>
      </c>
      <c r="B5667">
        <f>IF(VLOOKUP(Table7[[#This Row],[Date]],Database!$A:$C,MATCH($B$1,Database!$A$1:$C$1,),)=0,#N/A,VLOOKUP(Table7[[#This Row],[Date]],Database!$A:$C,MATCH($B$1,Database!$A$1:$C$1,),))</f>
        <v/>
      </c>
      <c r="C5667">
        <f>IF(VLOOKUP(Table7[[#This Row],[Date]],Database!$A:$C,MATCH($C$1,Database!$A$1:$C$1,),)=0,#N/A,VLOOKUP(Table7[[#This Row],[Date]],Database!$A:$C,MATCH($C$1,Database!$A$1:$C$1,),))</f>
        <v/>
      </c>
      <c r="D5667">
        <f>IFERROR(Table7[[#This Row],[United States 10y]]-Table7[[#This Row],[United States 3y]],#N/A)</f>
        <v/>
      </c>
    </row>
    <row r="5668">
      <c r="A5668" s="6">
        <f>Database!$A7753</f>
        <v/>
      </c>
      <c r="B5668">
        <f>IF(VLOOKUP(Table7[[#This Row],[Date]],Database!$A:$C,MATCH($B$1,Database!$A$1:$C$1,),)=0,#N/A,VLOOKUP(Table7[[#This Row],[Date]],Database!$A:$C,MATCH($B$1,Database!$A$1:$C$1,),))</f>
        <v/>
      </c>
      <c r="C5668">
        <f>IF(VLOOKUP(Table7[[#This Row],[Date]],Database!$A:$C,MATCH($C$1,Database!$A$1:$C$1,),)=0,#N/A,VLOOKUP(Table7[[#This Row],[Date]],Database!$A:$C,MATCH($C$1,Database!$A$1:$C$1,),))</f>
        <v/>
      </c>
      <c r="D5668">
        <f>IFERROR(Table7[[#This Row],[United States 10y]]-Table7[[#This Row],[United States 3y]],#N/A)</f>
        <v/>
      </c>
    </row>
    <row r="5669">
      <c r="A5669" s="6">
        <f>Database!$A7754</f>
        <v/>
      </c>
      <c r="B5669">
        <f>IF(VLOOKUP(Table7[[#This Row],[Date]],Database!$A:$C,MATCH($B$1,Database!$A$1:$C$1,),)=0,#N/A,VLOOKUP(Table7[[#This Row],[Date]],Database!$A:$C,MATCH($B$1,Database!$A$1:$C$1,),))</f>
        <v/>
      </c>
      <c r="C5669">
        <f>IF(VLOOKUP(Table7[[#This Row],[Date]],Database!$A:$C,MATCH($C$1,Database!$A$1:$C$1,),)=0,#N/A,VLOOKUP(Table7[[#This Row],[Date]],Database!$A:$C,MATCH($C$1,Database!$A$1:$C$1,),))</f>
        <v/>
      </c>
      <c r="D5669">
        <f>IFERROR(Table7[[#This Row],[United States 10y]]-Table7[[#This Row],[United States 3y]],#N/A)</f>
        <v/>
      </c>
    </row>
    <row r="5670">
      <c r="A5670" s="6">
        <f>Database!$A7755</f>
        <v/>
      </c>
      <c r="B5670">
        <f>IF(VLOOKUP(Table7[[#This Row],[Date]],Database!$A:$C,MATCH($B$1,Database!$A$1:$C$1,),)=0,#N/A,VLOOKUP(Table7[[#This Row],[Date]],Database!$A:$C,MATCH($B$1,Database!$A$1:$C$1,),))</f>
        <v/>
      </c>
      <c r="C5670">
        <f>IF(VLOOKUP(Table7[[#This Row],[Date]],Database!$A:$C,MATCH($C$1,Database!$A$1:$C$1,),)=0,#N/A,VLOOKUP(Table7[[#This Row],[Date]],Database!$A:$C,MATCH($C$1,Database!$A$1:$C$1,),))</f>
        <v/>
      </c>
      <c r="D5670">
        <f>IFERROR(Table7[[#This Row],[United States 10y]]-Table7[[#This Row],[United States 3y]],#N/A)</f>
        <v/>
      </c>
    </row>
    <row r="5671">
      <c r="A5671" s="6">
        <f>Database!$A7756</f>
        <v/>
      </c>
      <c r="B5671">
        <f>IF(VLOOKUP(Table7[[#This Row],[Date]],Database!$A:$C,MATCH($B$1,Database!$A$1:$C$1,),)=0,#N/A,VLOOKUP(Table7[[#This Row],[Date]],Database!$A:$C,MATCH($B$1,Database!$A$1:$C$1,),))</f>
        <v/>
      </c>
      <c r="C5671">
        <f>IF(VLOOKUP(Table7[[#This Row],[Date]],Database!$A:$C,MATCH($C$1,Database!$A$1:$C$1,),)=0,#N/A,VLOOKUP(Table7[[#This Row],[Date]],Database!$A:$C,MATCH($C$1,Database!$A$1:$C$1,),))</f>
        <v/>
      </c>
      <c r="D5671">
        <f>IFERROR(Table7[[#This Row],[United States 10y]]-Table7[[#This Row],[United States 3y]],#N/A)</f>
        <v/>
      </c>
    </row>
    <row r="5672">
      <c r="A5672" s="6">
        <f>Database!$A7757</f>
        <v/>
      </c>
      <c r="B5672">
        <f>IF(VLOOKUP(Table7[[#This Row],[Date]],Database!$A:$C,MATCH($B$1,Database!$A$1:$C$1,),)=0,#N/A,VLOOKUP(Table7[[#This Row],[Date]],Database!$A:$C,MATCH($B$1,Database!$A$1:$C$1,),))</f>
        <v/>
      </c>
      <c r="C5672">
        <f>IF(VLOOKUP(Table7[[#This Row],[Date]],Database!$A:$C,MATCH($C$1,Database!$A$1:$C$1,),)=0,#N/A,VLOOKUP(Table7[[#This Row],[Date]],Database!$A:$C,MATCH($C$1,Database!$A$1:$C$1,),))</f>
        <v/>
      </c>
      <c r="D5672">
        <f>IFERROR(Table7[[#This Row],[United States 10y]]-Table7[[#This Row],[United States 3y]],#N/A)</f>
        <v/>
      </c>
    </row>
    <row r="5673">
      <c r="A5673" s="6">
        <f>Database!$A7758</f>
        <v/>
      </c>
      <c r="B5673">
        <f>IF(VLOOKUP(Table7[[#This Row],[Date]],Database!$A:$C,MATCH($B$1,Database!$A$1:$C$1,),)=0,#N/A,VLOOKUP(Table7[[#This Row],[Date]],Database!$A:$C,MATCH($B$1,Database!$A$1:$C$1,),))</f>
        <v/>
      </c>
      <c r="C5673">
        <f>IF(VLOOKUP(Table7[[#This Row],[Date]],Database!$A:$C,MATCH($C$1,Database!$A$1:$C$1,),)=0,#N/A,VLOOKUP(Table7[[#This Row],[Date]],Database!$A:$C,MATCH($C$1,Database!$A$1:$C$1,),))</f>
        <v/>
      </c>
      <c r="D5673">
        <f>IFERROR(Table7[[#This Row],[United States 10y]]-Table7[[#This Row],[United States 3y]],#N/A)</f>
        <v/>
      </c>
    </row>
    <row r="5674">
      <c r="A5674" s="6">
        <f>Database!$A7759</f>
        <v/>
      </c>
      <c r="B5674">
        <f>IF(VLOOKUP(Table7[[#This Row],[Date]],Database!$A:$C,MATCH($B$1,Database!$A$1:$C$1,),)=0,#N/A,VLOOKUP(Table7[[#This Row],[Date]],Database!$A:$C,MATCH($B$1,Database!$A$1:$C$1,),))</f>
        <v/>
      </c>
      <c r="C5674">
        <f>IF(VLOOKUP(Table7[[#This Row],[Date]],Database!$A:$C,MATCH($C$1,Database!$A$1:$C$1,),)=0,#N/A,VLOOKUP(Table7[[#This Row],[Date]],Database!$A:$C,MATCH($C$1,Database!$A$1:$C$1,),))</f>
        <v/>
      </c>
      <c r="D5674">
        <f>IFERROR(Table7[[#This Row],[United States 10y]]-Table7[[#This Row],[United States 3y]],#N/A)</f>
        <v/>
      </c>
    </row>
    <row r="5675">
      <c r="A5675" s="6">
        <f>Database!$A7760</f>
        <v/>
      </c>
      <c r="B5675">
        <f>IF(VLOOKUP(Table7[[#This Row],[Date]],Database!$A:$C,MATCH($B$1,Database!$A$1:$C$1,),)=0,#N/A,VLOOKUP(Table7[[#This Row],[Date]],Database!$A:$C,MATCH($B$1,Database!$A$1:$C$1,),))</f>
        <v/>
      </c>
      <c r="C5675">
        <f>IF(VLOOKUP(Table7[[#This Row],[Date]],Database!$A:$C,MATCH($C$1,Database!$A$1:$C$1,),)=0,#N/A,VLOOKUP(Table7[[#This Row],[Date]],Database!$A:$C,MATCH($C$1,Database!$A$1:$C$1,),))</f>
        <v/>
      </c>
      <c r="D5675">
        <f>IFERROR(Table7[[#This Row],[United States 10y]]-Table7[[#This Row],[United States 3y]],#N/A)</f>
        <v/>
      </c>
    </row>
    <row r="5676">
      <c r="A5676" s="6">
        <f>Database!$A7761</f>
        <v/>
      </c>
      <c r="B5676">
        <f>IF(VLOOKUP(Table7[[#This Row],[Date]],Database!$A:$C,MATCH($B$1,Database!$A$1:$C$1,),)=0,#N/A,VLOOKUP(Table7[[#This Row],[Date]],Database!$A:$C,MATCH($B$1,Database!$A$1:$C$1,),))</f>
        <v/>
      </c>
      <c r="C5676">
        <f>IF(VLOOKUP(Table7[[#This Row],[Date]],Database!$A:$C,MATCH($C$1,Database!$A$1:$C$1,),)=0,#N/A,VLOOKUP(Table7[[#This Row],[Date]],Database!$A:$C,MATCH($C$1,Database!$A$1:$C$1,),))</f>
        <v/>
      </c>
      <c r="D5676">
        <f>IFERROR(Table7[[#This Row],[United States 10y]]-Table7[[#This Row],[United States 3y]],#N/A)</f>
        <v/>
      </c>
    </row>
    <row r="5677">
      <c r="A5677" s="6">
        <f>Database!$A7762</f>
        <v/>
      </c>
      <c r="B5677">
        <f>IF(VLOOKUP(Table7[[#This Row],[Date]],Database!$A:$C,MATCH($B$1,Database!$A$1:$C$1,),)=0,#N/A,VLOOKUP(Table7[[#This Row],[Date]],Database!$A:$C,MATCH($B$1,Database!$A$1:$C$1,),))</f>
        <v/>
      </c>
      <c r="C5677">
        <f>IF(VLOOKUP(Table7[[#This Row],[Date]],Database!$A:$C,MATCH($C$1,Database!$A$1:$C$1,),)=0,#N/A,VLOOKUP(Table7[[#This Row],[Date]],Database!$A:$C,MATCH($C$1,Database!$A$1:$C$1,),))</f>
        <v/>
      </c>
      <c r="D5677">
        <f>IFERROR(Table7[[#This Row],[United States 10y]]-Table7[[#This Row],[United States 3y]],#N/A)</f>
        <v/>
      </c>
    </row>
    <row r="5678">
      <c r="A5678" s="6">
        <f>Database!$A7763</f>
        <v/>
      </c>
      <c r="B5678">
        <f>IF(VLOOKUP(Table7[[#This Row],[Date]],Database!$A:$C,MATCH($B$1,Database!$A$1:$C$1,),)=0,#N/A,VLOOKUP(Table7[[#This Row],[Date]],Database!$A:$C,MATCH($B$1,Database!$A$1:$C$1,),))</f>
        <v/>
      </c>
      <c r="C5678">
        <f>IF(VLOOKUP(Table7[[#This Row],[Date]],Database!$A:$C,MATCH($C$1,Database!$A$1:$C$1,),)=0,#N/A,VLOOKUP(Table7[[#This Row],[Date]],Database!$A:$C,MATCH($C$1,Database!$A$1:$C$1,),))</f>
        <v/>
      </c>
      <c r="D5678">
        <f>IFERROR(Table7[[#This Row],[United States 10y]]-Table7[[#This Row],[United States 3y]],#N/A)</f>
        <v/>
      </c>
    </row>
    <row r="5679">
      <c r="A5679" s="6">
        <f>Database!$A7764</f>
        <v/>
      </c>
      <c r="B5679">
        <f>IF(VLOOKUP(Table7[[#This Row],[Date]],Database!$A:$C,MATCH($B$1,Database!$A$1:$C$1,),)=0,#N/A,VLOOKUP(Table7[[#This Row],[Date]],Database!$A:$C,MATCH($B$1,Database!$A$1:$C$1,),))</f>
        <v/>
      </c>
      <c r="C5679">
        <f>IF(VLOOKUP(Table7[[#This Row],[Date]],Database!$A:$C,MATCH($C$1,Database!$A$1:$C$1,),)=0,#N/A,VLOOKUP(Table7[[#This Row],[Date]],Database!$A:$C,MATCH($C$1,Database!$A$1:$C$1,),))</f>
        <v/>
      </c>
      <c r="D5679">
        <f>IFERROR(Table7[[#This Row],[United States 10y]]-Table7[[#This Row],[United States 3y]],#N/A)</f>
        <v/>
      </c>
    </row>
    <row r="5680">
      <c r="A5680" s="6">
        <f>Database!$A7765</f>
        <v/>
      </c>
      <c r="B5680">
        <f>IF(VLOOKUP(Table7[[#This Row],[Date]],Database!$A:$C,MATCH($B$1,Database!$A$1:$C$1,),)=0,#N/A,VLOOKUP(Table7[[#This Row],[Date]],Database!$A:$C,MATCH($B$1,Database!$A$1:$C$1,),))</f>
        <v/>
      </c>
      <c r="C5680">
        <f>IF(VLOOKUP(Table7[[#This Row],[Date]],Database!$A:$C,MATCH($C$1,Database!$A$1:$C$1,),)=0,#N/A,VLOOKUP(Table7[[#This Row],[Date]],Database!$A:$C,MATCH($C$1,Database!$A$1:$C$1,),))</f>
        <v/>
      </c>
      <c r="D5680">
        <f>IFERROR(Table7[[#This Row],[United States 10y]]-Table7[[#This Row],[United States 3y]],#N/A)</f>
        <v/>
      </c>
    </row>
    <row r="5681">
      <c r="A5681" s="6">
        <f>Database!$A7766</f>
        <v/>
      </c>
      <c r="B5681">
        <f>IF(VLOOKUP(Table7[[#This Row],[Date]],Database!$A:$C,MATCH($B$1,Database!$A$1:$C$1,),)=0,#N/A,VLOOKUP(Table7[[#This Row],[Date]],Database!$A:$C,MATCH($B$1,Database!$A$1:$C$1,),))</f>
        <v/>
      </c>
      <c r="C5681">
        <f>IF(VLOOKUP(Table7[[#This Row],[Date]],Database!$A:$C,MATCH($C$1,Database!$A$1:$C$1,),)=0,#N/A,VLOOKUP(Table7[[#This Row],[Date]],Database!$A:$C,MATCH($C$1,Database!$A$1:$C$1,),))</f>
        <v/>
      </c>
      <c r="D5681">
        <f>IFERROR(Table7[[#This Row],[United States 10y]]-Table7[[#This Row],[United States 3y]],#N/A)</f>
        <v/>
      </c>
    </row>
    <row r="5682">
      <c r="A5682" s="6">
        <f>Database!$A7767</f>
        <v/>
      </c>
      <c r="B5682">
        <f>IF(VLOOKUP(Table7[[#This Row],[Date]],Database!$A:$C,MATCH($B$1,Database!$A$1:$C$1,),)=0,#N/A,VLOOKUP(Table7[[#This Row],[Date]],Database!$A:$C,MATCH($B$1,Database!$A$1:$C$1,),))</f>
        <v/>
      </c>
      <c r="C5682">
        <f>IF(VLOOKUP(Table7[[#This Row],[Date]],Database!$A:$C,MATCH($C$1,Database!$A$1:$C$1,),)=0,#N/A,VLOOKUP(Table7[[#This Row],[Date]],Database!$A:$C,MATCH($C$1,Database!$A$1:$C$1,),))</f>
        <v/>
      </c>
      <c r="D5682">
        <f>IFERROR(Table7[[#This Row],[United States 10y]]-Table7[[#This Row],[United States 3y]],#N/A)</f>
        <v/>
      </c>
    </row>
    <row r="5683">
      <c r="A5683" s="6">
        <f>Database!$A7768</f>
        <v/>
      </c>
      <c r="B5683">
        <f>IF(VLOOKUP(Table7[[#This Row],[Date]],Database!$A:$C,MATCH($B$1,Database!$A$1:$C$1,),)=0,#N/A,VLOOKUP(Table7[[#This Row],[Date]],Database!$A:$C,MATCH($B$1,Database!$A$1:$C$1,),))</f>
        <v/>
      </c>
      <c r="C5683">
        <f>IF(VLOOKUP(Table7[[#This Row],[Date]],Database!$A:$C,MATCH($C$1,Database!$A$1:$C$1,),)=0,#N/A,VLOOKUP(Table7[[#This Row],[Date]],Database!$A:$C,MATCH($C$1,Database!$A$1:$C$1,),))</f>
        <v/>
      </c>
      <c r="D5683">
        <f>IFERROR(Table7[[#This Row],[United States 10y]]-Table7[[#This Row],[United States 3y]],#N/A)</f>
        <v/>
      </c>
    </row>
    <row r="5684">
      <c r="A5684" s="6">
        <f>Database!$A7769</f>
        <v/>
      </c>
      <c r="B5684">
        <f>IF(VLOOKUP(Table7[[#This Row],[Date]],Database!$A:$C,MATCH($B$1,Database!$A$1:$C$1,),)=0,#N/A,VLOOKUP(Table7[[#This Row],[Date]],Database!$A:$C,MATCH($B$1,Database!$A$1:$C$1,),))</f>
        <v/>
      </c>
      <c r="C5684">
        <f>IF(VLOOKUP(Table7[[#This Row],[Date]],Database!$A:$C,MATCH($C$1,Database!$A$1:$C$1,),)=0,#N/A,VLOOKUP(Table7[[#This Row],[Date]],Database!$A:$C,MATCH($C$1,Database!$A$1:$C$1,),))</f>
        <v/>
      </c>
      <c r="D5684">
        <f>IFERROR(Table7[[#This Row],[United States 10y]]-Table7[[#This Row],[United States 3y]],#N/A)</f>
        <v/>
      </c>
    </row>
    <row r="5685">
      <c r="A5685" s="6">
        <f>Database!$A7770</f>
        <v/>
      </c>
      <c r="B5685">
        <f>IF(VLOOKUP(Table7[[#This Row],[Date]],Database!$A:$C,MATCH($B$1,Database!$A$1:$C$1,),)=0,#N/A,VLOOKUP(Table7[[#This Row],[Date]],Database!$A:$C,MATCH($B$1,Database!$A$1:$C$1,),))</f>
        <v/>
      </c>
      <c r="C5685">
        <f>IF(VLOOKUP(Table7[[#This Row],[Date]],Database!$A:$C,MATCH($C$1,Database!$A$1:$C$1,),)=0,#N/A,VLOOKUP(Table7[[#This Row],[Date]],Database!$A:$C,MATCH($C$1,Database!$A$1:$C$1,),))</f>
        <v/>
      </c>
      <c r="D5685">
        <f>IFERROR(Table7[[#This Row],[United States 10y]]-Table7[[#This Row],[United States 3y]],#N/A)</f>
        <v/>
      </c>
    </row>
    <row r="5686">
      <c r="A5686" s="6">
        <f>Database!$A7771</f>
        <v/>
      </c>
      <c r="B5686">
        <f>IF(VLOOKUP(Table7[[#This Row],[Date]],Database!$A:$C,MATCH($B$1,Database!$A$1:$C$1,),)=0,#N/A,VLOOKUP(Table7[[#This Row],[Date]],Database!$A:$C,MATCH($B$1,Database!$A$1:$C$1,),))</f>
        <v/>
      </c>
      <c r="C5686">
        <f>IF(VLOOKUP(Table7[[#This Row],[Date]],Database!$A:$C,MATCH($C$1,Database!$A$1:$C$1,),)=0,#N/A,VLOOKUP(Table7[[#This Row],[Date]],Database!$A:$C,MATCH($C$1,Database!$A$1:$C$1,),))</f>
        <v/>
      </c>
      <c r="D5686">
        <f>IFERROR(Table7[[#This Row],[United States 10y]]-Table7[[#This Row],[United States 3y]],#N/A)</f>
        <v/>
      </c>
    </row>
    <row r="5687">
      <c r="A5687" s="6">
        <f>Database!$A7772</f>
        <v/>
      </c>
      <c r="B5687">
        <f>IF(VLOOKUP(Table7[[#This Row],[Date]],Database!$A:$C,MATCH($B$1,Database!$A$1:$C$1,),)=0,#N/A,VLOOKUP(Table7[[#This Row],[Date]],Database!$A:$C,MATCH($B$1,Database!$A$1:$C$1,),))</f>
        <v/>
      </c>
      <c r="C5687">
        <f>IF(VLOOKUP(Table7[[#This Row],[Date]],Database!$A:$C,MATCH($C$1,Database!$A$1:$C$1,),)=0,#N/A,VLOOKUP(Table7[[#This Row],[Date]],Database!$A:$C,MATCH($C$1,Database!$A$1:$C$1,),))</f>
        <v/>
      </c>
      <c r="D5687">
        <f>IFERROR(Table7[[#This Row],[United States 10y]]-Table7[[#This Row],[United States 3y]],#N/A)</f>
        <v/>
      </c>
    </row>
    <row r="5688">
      <c r="A5688" s="6">
        <f>Database!$A7773</f>
        <v/>
      </c>
      <c r="B5688">
        <f>IF(VLOOKUP(Table7[[#This Row],[Date]],Database!$A:$C,MATCH($B$1,Database!$A$1:$C$1,),)=0,#N/A,VLOOKUP(Table7[[#This Row],[Date]],Database!$A:$C,MATCH($B$1,Database!$A$1:$C$1,),))</f>
        <v/>
      </c>
      <c r="C5688">
        <f>IF(VLOOKUP(Table7[[#This Row],[Date]],Database!$A:$C,MATCH($C$1,Database!$A$1:$C$1,),)=0,#N/A,VLOOKUP(Table7[[#This Row],[Date]],Database!$A:$C,MATCH($C$1,Database!$A$1:$C$1,),))</f>
        <v/>
      </c>
      <c r="D5688">
        <f>IFERROR(Table7[[#This Row],[United States 10y]]-Table7[[#This Row],[United States 3y]],#N/A)</f>
        <v/>
      </c>
    </row>
    <row r="5689">
      <c r="A5689" s="6">
        <f>Database!$A7774</f>
        <v/>
      </c>
      <c r="B5689">
        <f>IF(VLOOKUP(Table7[[#This Row],[Date]],Database!$A:$C,MATCH($B$1,Database!$A$1:$C$1,),)=0,#N/A,VLOOKUP(Table7[[#This Row],[Date]],Database!$A:$C,MATCH($B$1,Database!$A$1:$C$1,),))</f>
        <v/>
      </c>
      <c r="C5689">
        <f>IF(VLOOKUP(Table7[[#This Row],[Date]],Database!$A:$C,MATCH($C$1,Database!$A$1:$C$1,),)=0,#N/A,VLOOKUP(Table7[[#This Row],[Date]],Database!$A:$C,MATCH($C$1,Database!$A$1:$C$1,),))</f>
        <v/>
      </c>
      <c r="D5689">
        <f>IFERROR(Table7[[#This Row],[United States 10y]]-Table7[[#This Row],[United States 3y]],#N/A)</f>
        <v/>
      </c>
    </row>
    <row r="5690">
      <c r="A5690" s="6">
        <f>Database!$A7775</f>
        <v/>
      </c>
      <c r="B5690">
        <f>IF(VLOOKUP(Table7[[#This Row],[Date]],Database!$A:$C,MATCH($B$1,Database!$A$1:$C$1,),)=0,#N/A,VLOOKUP(Table7[[#This Row],[Date]],Database!$A:$C,MATCH($B$1,Database!$A$1:$C$1,),))</f>
        <v/>
      </c>
      <c r="C5690">
        <f>IF(VLOOKUP(Table7[[#This Row],[Date]],Database!$A:$C,MATCH($C$1,Database!$A$1:$C$1,),)=0,#N/A,VLOOKUP(Table7[[#This Row],[Date]],Database!$A:$C,MATCH($C$1,Database!$A$1:$C$1,),))</f>
        <v/>
      </c>
      <c r="D5690">
        <f>IFERROR(Table7[[#This Row],[United States 10y]]-Table7[[#This Row],[United States 3y]],#N/A)</f>
        <v/>
      </c>
    </row>
    <row r="5691">
      <c r="A5691" s="6">
        <f>Database!$A7776</f>
        <v/>
      </c>
      <c r="B5691">
        <f>IF(VLOOKUP(Table7[[#This Row],[Date]],Database!$A:$C,MATCH($B$1,Database!$A$1:$C$1,),)=0,#N/A,VLOOKUP(Table7[[#This Row],[Date]],Database!$A:$C,MATCH($B$1,Database!$A$1:$C$1,),))</f>
        <v/>
      </c>
      <c r="C5691">
        <f>IF(VLOOKUP(Table7[[#This Row],[Date]],Database!$A:$C,MATCH($C$1,Database!$A$1:$C$1,),)=0,#N/A,VLOOKUP(Table7[[#This Row],[Date]],Database!$A:$C,MATCH($C$1,Database!$A$1:$C$1,),))</f>
        <v/>
      </c>
      <c r="D5691">
        <f>IFERROR(Table7[[#This Row],[United States 10y]]-Table7[[#This Row],[United States 3y]],#N/A)</f>
        <v/>
      </c>
    </row>
    <row r="5692">
      <c r="A5692" s="6">
        <f>Database!$A7777</f>
        <v/>
      </c>
      <c r="B5692">
        <f>IF(VLOOKUP(Table7[[#This Row],[Date]],Database!$A:$C,MATCH($B$1,Database!$A$1:$C$1,),)=0,#N/A,VLOOKUP(Table7[[#This Row],[Date]],Database!$A:$C,MATCH($B$1,Database!$A$1:$C$1,),))</f>
        <v/>
      </c>
      <c r="C5692">
        <f>IF(VLOOKUP(Table7[[#This Row],[Date]],Database!$A:$C,MATCH($C$1,Database!$A$1:$C$1,),)=0,#N/A,VLOOKUP(Table7[[#This Row],[Date]],Database!$A:$C,MATCH($C$1,Database!$A$1:$C$1,),))</f>
        <v/>
      </c>
      <c r="D5692">
        <f>IFERROR(Table7[[#This Row],[United States 10y]]-Table7[[#This Row],[United States 3y]],#N/A)</f>
        <v/>
      </c>
    </row>
    <row r="5693">
      <c r="A5693" s="6">
        <f>Database!$A7778</f>
        <v/>
      </c>
      <c r="B5693">
        <f>IF(VLOOKUP(Table7[[#This Row],[Date]],Database!$A:$C,MATCH($B$1,Database!$A$1:$C$1,),)=0,#N/A,VLOOKUP(Table7[[#This Row],[Date]],Database!$A:$C,MATCH($B$1,Database!$A$1:$C$1,),))</f>
        <v/>
      </c>
      <c r="C5693">
        <f>IF(VLOOKUP(Table7[[#This Row],[Date]],Database!$A:$C,MATCH($C$1,Database!$A$1:$C$1,),)=0,#N/A,VLOOKUP(Table7[[#This Row],[Date]],Database!$A:$C,MATCH($C$1,Database!$A$1:$C$1,),))</f>
        <v/>
      </c>
      <c r="D5693">
        <f>IFERROR(Table7[[#This Row],[United States 10y]]-Table7[[#This Row],[United States 3y]],#N/A)</f>
        <v/>
      </c>
    </row>
    <row r="5694">
      <c r="A5694" s="6">
        <f>Database!$A7779</f>
        <v/>
      </c>
      <c r="B5694">
        <f>IF(VLOOKUP(Table7[[#This Row],[Date]],Database!$A:$C,MATCH($B$1,Database!$A$1:$C$1,),)=0,#N/A,VLOOKUP(Table7[[#This Row],[Date]],Database!$A:$C,MATCH($B$1,Database!$A$1:$C$1,),))</f>
        <v/>
      </c>
      <c r="C5694">
        <f>IF(VLOOKUP(Table7[[#This Row],[Date]],Database!$A:$C,MATCH($C$1,Database!$A$1:$C$1,),)=0,#N/A,VLOOKUP(Table7[[#This Row],[Date]],Database!$A:$C,MATCH($C$1,Database!$A$1:$C$1,),))</f>
        <v/>
      </c>
      <c r="D5694">
        <f>IFERROR(Table7[[#This Row],[United States 10y]]-Table7[[#This Row],[United States 3y]],#N/A)</f>
        <v/>
      </c>
    </row>
    <row r="5695">
      <c r="A5695" s="6">
        <f>Database!$A7780</f>
        <v/>
      </c>
      <c r="B5695">
        <f>IF(VLOOKUP(Table7[[#This Row],[Date]],Database!$A:$C,MATCH($B$1,Database!$A$1:$C$1,),)=0,#N/A,VLOOKUP(Table7[[#This Row],[Date]],Database!$A:$C,MATCH($B$1,Database!$A$1:$C$1,),))</f>
        <v/>
      </c>
      <c r="C5695">
        <f>IF(VLOOKUP(Table7[[#This Row],[Date]],Database!$A:$C,MATCH($C$1,Database!$A$1:$C$1,),)=0,#N/A,VLOOKUP(Table7[[#This Row],[Date]],Database!$A:$C,MATCH($C$1,Database!$A$1:$C$1,),))</f>
        <v/>
      </c>
      <c r="D5695">
        <f>IFERROR(Table7[[#This Row],[United States 10y]]-Table7[[#This Row],[United States 3y]],#N/A)</f>
        <v/>
      </c>
    </row>
    <row r="5696">
      <c r="A5696" s="6">
        <f>Database!$A7781</f>
        <v/>
      </c>
      <c r="B5696">
        <f>IF(VLOOKUP(Table7[[#This Row],[Date]],Database!$A:$C,MATCH($B$1,Database!$A$1:$C$1,),)=0,#N/A,VLOOKUP(Table7[[#This Row],[Date]],Database!$A:$C,MATCH($B$1,Database!$A$1:$C$1,),))</f>
        <v/>
      </c>
      <c r="C5696">
        <f>IF(VLOOKUP(Table7[[#This Row],[Date]],Database!$A:$C,MATCH($C$1,Database!$A$1:$C$1,),)=0,#N/A,VLOOKUP(Table7[[#This Row],[Date]],Database!$A:$C,MATCH($C$1,Database!$A$1:$C$1,),))</f>
        <v/>
      </c>
      <c r="D5696">
        <f>IFERROR(Table7[[#This Row],[United States 10y]]-Table7[[#This Row],[United States 3y]],#N/A)</f>
        <v/>
      </c>
    </row>
    <row r="5697">
      <c r="A5697" s="6">
        <f>Database!$A7782</f>
        <v/>
      </c>
      <c r="B5697">
        <f>IF(VLOOKUP(Table7[[#This Row],[Date]],Database!$A:$C,MATCH($B$1,Database!$A$1:$C$1,),)=0,#N/A,VLOOKUP(Table7[[#This Row],[Date]],Database!$A:$C,MATCH($B$1,Database!$A$1:$C$1,),))</f>
        <v/>
      </c>
      <c r="C5697">
        <f>IF(VLOOKUP(Table7[[#This Row],[Date]],Database!$A:$C,MATCH($C$1,Database!$A$1:$C$1,),)=0,#N/A,VLOOKUP(Table7[[#This Row],[Date]],Database!$A:$C,MATCH($C$1,Database!$A$1:$C$1,),))</f>
        <v/>
      </c>
      <c r="D5697">
        <f>IFERROR(Table7[[#This Row],[United States 10y]]-Table7[[#This Row],[United States 3y]],#N/A)</f>
        <v/>
      </c>
    </row>
    <row r="5698">
      <c r="A5698" s="6">
        <f>Database!$A7783</f>
        <v/>
      </c>
      <c r="B5698">
        <f>IF(VLOOKUP(Table7[[#This Row],[Date]],Database!$A:$C,MATCH($B$1,Database!$A$1:$C$1,),)=0,#N/A,VLOOKUP(Table7[[#This Row],[Date]],Database!$A:$C,MATCH($B$1,Database!$A$1:$C$1,),))</f>
        <v/>
      </c>
      <c r="C5698">
        <f>IF(VLOOKUP(Table7[[#This Row],[Date]],Database!$A:$C,MATCH($C$1,Database!$A$1:$C$1,),)=0,#N/A,VLOOKUP(Table7[[#This Row],[Date]],Database!$A:$C,MATCH($C$1,Database!$A$1:$C$1,),))</f>
        <v/>
      </c>
      <c r="D5698">
        <f>IFERROR(Table7[[#This Row],[United States 10y]]-Table7[[#This Row],[United States 3y]],#N/A)</f>
        <v/>
      </c>
    </row>
    <row r="5699">
      <c r="A5699" s="6">
        <f>Database!$A7784</f>
        <v/>
      </c>
      <c r="B5699">
        <f>IF(VLOOKUP(Table7[[#This Row],[Date]],Database!$A:$C,MATCH($B$1,Database!$A$1:$C$1,),)=0,#N/A,VLOOKUP(Table7[[#This Row],[Date]],Database!$A:$C,MATCH($B$1,Database!$A$1:$C$1,),))</f>
        <v/>
      </c>
      <c r="C5699">
        <f>IF(VLOOKUP(Table7[[#This Row],[Date]],Database!$A:$C,MATCH($C$1,Database!$A$1:$C$1,),)=0,#N/A,VLOOKUP(Table7[[#This Row],[Date]],Database!$A:$C,MATCH($C$1,Database!$A$1:$C$1,),))</f>
        <v/>
      </c>
      <c r="D5699">
        <f>IFERROR(Table7[[#This Row],[United States 10y]]-Table7[[#This Row],[United States 3y]],#N/A)</f>
        <v/>
      </c>
    </row>
    <row r="5700">
      <c r="A5700" s="6">
        <f>Database!$A7785</f>
        <v/>
      </c>
      <c r="B5700">
        <f>IF(VLOOKUP(Table7[[#This Row],[Date]],Database!$A:$C,MATCH($B$1,Database!$A$1:$C$1,),)=0,#N/A,VLOOKUP(Table7[[#This Row],[Date]],Database!$A:$C,MATCH($B$1,Database!$A$1:$C$1,),))</f>
        <v/>
      </c>
      <c r="C5700">
        <f>IF(VLOOKUP(Table7[[#This Row],[Date]],Database!$A:$C,MATCH($C$1,Database!$A$1:$C$1,),)=0,#N/A,VLOOKUP(Table7[[#This Row],[Date]],Database!$A:$C,MATCH($C$1,Database!$A$1:$C$1,),))</f>
        <v/>
      </c>
      <c r="D5700">
        <f>IFERROR(Table7[[#This Row],[United States 10y]]-Table7[[#This Row],[United States 3y]],#N/A)</f>
        <v/>
      </c>
    </row>
    <row r="5701">
      <c r="A5701" s="6">
        <f>Database!$A7786</f>
        <v/>
      </c>
      <c r="B5701">
        <f>IF(VLOOKUP(Table7[[#This Row],[Date]],Database!$A:$C,MATCH($B$1,Database!$A$1:$C$1,),)=0,#N/A,VLOOKUP(Table7[[#This Row],[Date]],Database!$A:$C,MATCH($B$1,Database!$A$1:$C$1,),))</f>
        <v/>
      </c>
      <c r="C5701">
        <f>IF(VLOOKUP(Table7[[#This Row],[Date]],Database!$A:$C,MATCH($C$1,Database!$A$1:$C$1,),)=0,#N/A,VLOOKUP(Table7[[#This Row],[Date]],Database!$A:$C,MATCH($C$1,Database!$A$1:$C$1,),))</f>
        <v/>
      </c>
      <c r="D5701">
        <f>IFERROR(Table7[[#This Row],[United States 10y]]-Table7[[#This Row],[United States 3y]],#N/A)</f>
        <v/>
      </c>
    </row>
    <row r="5702">
      <c r="A5702" s="6">
        <f>Database!$A7787</f>
        <v/>
      </c>
      <c r="B5702">
        <f>IF(VLOOKUP(Table7[[#This Row],[Date]],Database!$A:$C,MATCH($B$1,Database!$A$1:$C$1,),)=0,#N/A,VLOOKUP(Table7[[#This Row],[Date]],Database!$A:$C,MATCH($B$1,Database!$A$1:$C$1,),))</f>
        <v/>
      </c>
      <c r="C5702">
        <f>IF(VLOOKUP(Table7[[#This Row],[Date]],Database!$A:$C,MATCH($C$1,Database!$A$1:$C$1,),)=0,#N/A,VLOOKUP(Table7[[#This Row],[Date]],Database!$A:$C,MATCH($C$1,Database!$A$1:$C$1,),))</f>
        <v/>
      </c>
      <c r="D5702">
        <f>IFERROR(Table7[[#This Row],[United States 10y]]-Table7[[#This Row],[United States 3y]],#N/A)</f>
        <v/>
      </c>
    </row>
    <row r="5703">
      <c r="A5703" s="6">
        <f>Database!$A7788</f>
        <v/>
      </c>
      <c r="B5703">
        <f>IF(VLOOKUP(Table7[[#This Row],[Date]],Database!$A:$C,MATCH($B$1,Database!$A$1:$C$1,),)=0,#N/A,VLOOKUP(Table7[[#This Row],[Date]],Database!$A:$C,MATCH($B$1,Database!$A$1:$C$1,),))</f>
        <v/>
      </c>
      <c r="C5703">
        <f>IF(VLOOKUP(Table7[[#This Row],[Date]],Database!$A:$C,MATCH($C$1,Database!$A$1:$C$1,),)=0,#N/A,VLOOKUP(Table7[[#This Row],[Date]],Database!$A:$C,MATCH($C$1,Database!$A$1:$C$1,),))</f>
        <v/>
      </c>
      <c r="D5703">
        <f>IFERROR(Table7[[#This Row],[United States 10y]]-Table7[[#This Row],[United States 3y]],#N/A)</f>
        <v/>
      </c>
    </row>
    <row r="5704">
      <c r="A5704" s="6">
        <f>Database!$A7789</f>
        <v/>
      </c>
      <c r="B5704">
        <f>IF(VLOOKUP(Table7[[#This Row],[Date]],Database!$A:$C,MATCH($B$1,Database!$A$1:$C$1,),)=0,#N/A,VLOOKUP(Table7[[#This Row],[Date]],Database!$A:$C,MATCH($B$1,Database!$A$1:$C$1,),))</f>
        <v/>
      </c>
      <c r="C5704">
        <f>IF(VLOOKUP(Table7[[#This Row],[Date]],Database!$A:$C,MATCH($C$1,Database!$A$1:$C$1,),)=0,#N/A,VLOOKUP(Table7[[#This Row],[Date]],Database!$A:$C,MATCH($C$1,Database!$A$1:$C$1,),))</f>
        <v/>
      </c>
      <c r="D5704">
        <f>IFERROR(Table7[[#This Row],[United States 10y]]-Table7[[#This Row],[United States 3y]],#N/A)</f>
        <v/>
      </c>
    </row>
    <row r="5705">
      <c r="A5705" s="6">
        <f>Database!$A7790</f>
        <v/>
      </c>
      <c r="B5705">
        <f>IF(VLOOKUP(Table7[[#This Row],[Date]],Database!$A:$C,MATCH($B$1,Database!$A$1:$C$1,),)=0,#N/A,VLOOKUP(Table7[[#This Row],[Date]],Database!$A:$C,MATCH($B$1,Database!$A$1:$C$1,),))</f>
        <v/>
      </c>
      <c r="C5705">
        <f>IF(VLOOKUP(Table7[[#This Row],[Date]],Database!$A:$C,MATCH($C$1,Database!$A$1:$C$1,),)=0,#N/A,VLOOKUP(Table7[[#This Row],[Date]],Database!$A:$C,MATCH($C$1,Database!$A$1:$C$1,),))</f>
        <v/>
      </c>
      <c r="D5705">
        <f>IFERROR(Table7[[#This Row],[United States 10y]]-Table7[[#This Row],[United States 3y]],#N/A)</f>
        <v/>
      </c>
    </row>
    <row r="5706">
      <c r="A5706" s="6">
        <f>Database!$A7791</f>
        <v/>
      </c>
      <c r="B5706">
        <f>IF(VLOOKUP(Table7[[#This Row],[Date]],Database!$A:$C,MATCH($B$1,Database!$A$1:$C$1,),)=0,#N/A,VLOOKUP(Table7[[#This Row],[Date]],Database!$A:$C,MATCH($B$1,Database!$A$1:$C$1,),))</f>
        <v/>
      </c>
      <c r="C5706">
        <f>IF(VLOOKUP(Table7[[#This Row],[Date]],Database!$A:$C,MATCH($C$1,Database!$A$1:$C$1,),)=0,#N/A,VLOOKUP(Table7[[#This Row],[Date]],Database!$A:$C,MATCH($C$1,Database!$A$1:$C$1,),))</f>
        <v/>
      </c>
      <c r="D5706">
        <f>IFERROR(Table7[[#This Row],[United States 10y]]-Table7[[#This Row],[United States 3y]],#N/A)</f>
        <v/>
      </c>
    </row>
    <row r="5707">
      <c r="A5707" s="6">
        <f>Database!$A7792</f>
        <v/>
      </c>
      <c r="B5707">
        <f>IF(VLOOKUP(Table7[[#This Row],[Date]],Database!$A:$C,MATCH($B$1,Database!$A$1:$C$1,),)=0,#N/A,VLOOKUP(Table7[[#This Row],[Date]],Database!$A:$C,MATCH($B$1,Database!$A$1:$C$1,),))</f>
        <v/>
      </c>
      <c r="C5707">
        <f>IF(VLOOKUP(Table7[[#This Row],[Date]],Database!$A:$C,MATCH($C$1,Database!$A$1:$C$1,),)=0,#N/A,VLOOKUP(Table7[[#This Row],[Date]],Database!$A:$C,MATCH($C$1,Database!$A$1:$C$1,),))</f>
        <v/>
      </c>
      <c r="D5707">
        <f>IFERROR(Table7[[#This Row],[United States 10y]]-Table7[[#This Row],[United States 3y]],#N/A)</f>
        <v/>
      </c>
    </row>
    <row r="5708">
      <c r="A5708" s="6">
        <f>Database!$A7793</f>
        <v/>
      </c>
      <c r="B5708">
        <f>IF(VLOOKUP(Table7[[#This Row],[Date]],Database!$A:$C,MATCH($B$1,Database!$A$1:$C$1,),)=0,#N/A,VLOOKUP(Table7[[#This Row],[Date]],Database!$A:$C,MATCH($B$1,Database!$A$1:$C$1,),))</f>
        <v/>
      </c>
      <c r="C5708">
        <f>IF(VLOOKUP(Table7[[#This Row],[Date]],Database!$A:$C,MATCH($C$1,Database!$A$1:$C$1,),)=0,#N/A,VLOOKUP(Table7[[#This Row],[Date]],Database!$A:$C,MATCH($C$1,Database!$A$1:$C$1,),))</f>
        <v/>
      </c>
      <c r="D5708">
        <f>IFERROR(Table7[[#This Row],[United States 10y]]-Table7[[#This Row],[United States 3y]],#N/A)</f>
        <v/>
      </c>
    </row>
    <row r="5709">
      <c r="A5709" s="6">
        <f>Database!$A7794</f>
        <v/>
      </c>
      <c r="B5709">
        <f>IF(VLOOKUP(Table7[[#This Row],[Date]],Database!$A:$C,MATCH($B$1,Database!$A$1:$C$1,),)=0,#N/A,VLOOKUP(Table7[[#This Row],[Date]],Database!$A:$C,MATCH($B$1,Database!$A$1:$C$1,),))</f>
        <v/>
      </c>
      <c r="C5709">
        <f>IF(VLOOKUP(Table7[[#This Row],[Date]],Database!$A:$C,MATCH($C$1,Database!$A$1:$C$1,),)=0,#N/A,VLOOKUP(Table7[[#This Row],[Date]],Database!$A:$C,MATCH($C$1,Database!$A$1:$C$1,),))</f>
        <v/>
      </c>
      <c r="D5709">
        <f>IFERROR(Table7[[#This Row],[United States 10y]]-Table7[[#This Row],[United States 3y]],#N/A)</f>
        <v/>
      </c>
    </row>
    <row r="5710">
      <c r="A5710" s="6">
        <f>Database!$A7795</f>
        <v/>
      </c>
      <c r="B5710">
        <f>IF(VLOOKUP(Table7[[#This Row],[Date]],Database!$A:$C,MATCH($B$1,Database!$A$1:$C$1,),)=0,#N/A,VLOOKUP(Table7[[#This Row],[Date]],Database!$A:$C,MATCH($B$1,Database!$A$1:$C$1,),))</f>
        <v/>
      </c>
      <c r="C5710">
        <f>IF(VLOOKUP(Table7[[#This Row],[Date]],Database!$A:$C,MATCH($C$1,Database!$A$1:$C$1,),)=0,#N/A,VLOOKUP(Table7[[#This Row],[Date]],Database!$A:$C,MATCH($C$1,Database!$A$1:$C$1,),))</f>
        <v/>
      </c>
      <c r="D5710">
        <f>IFERROR(Table7[[#This Row],[United States 10y]]-Table7[[#This Row],[United States 3y]],#N/A)</f>
        <v/>
      </c>
    </row>
    <row r="5711">
      <c r="A5711" s="6">
        <f>Database!$A7796</f>
        <v/>
      </c>
      <c r="B5711">
        <f>IF(VLOOKUP(Table7[[#This Row],[Date]],Database!$A:$C,MATCH($B$1,Database!$A$1:$C$1,),)=0,#N/A,VLOOKUP(Table7[[#This Row],[Date]],Database!$A:$C,MATCH($B$1,Database!$A$1:$C$1,),))</f>
        <v/>
      </c>
      <c r="C5711">
        <f>IF(VLOOKUP(Table7[[#This Row],[Date]],Database!$A:$C,MATCH($C$1,Database!$A$1:$C$1,),)=0,#N/A,VLOOKUP(Table7[[#This Row],[Date]],Database!$A:$C,MATCH($C$1,Database!$A$1:$C$1,),))</f>
        <v/>
      </c>
      <c r="D5711">
        <f>IFERROR(Table7[[#This Row],[United States 10y]]-Table7[[#This Row],[United States 3y]],#N/A)</f>
        <v/>
      </c>
    </row>
    <row r="5712">
      <c r="A5712" s="6">
        <f>Database!$A7797</f>
        <v/>
      </c>
      <c r="B5712">
        <f>IF(VLOOKUP(Table7[[#This Row],[Date]],Database!$A:$C,MATCH($B$1,Database!$A$1:$C$1,),)=0,#N/A,VLOOKUP(Table7[[#This Row],[Date]],Database!$A:$C,MATCH($B$1,Database!$A$1:$C$1,),))</f>
        <v/>
      </c>
      <c r="C5712">
        <f>IF(VLOOKUP(Table7[[#This Row],[Date]],Database!$A:$C,MATCH($C$1,Database!$A$1:$C$1,),)=0,#N/A,VLOOKUP(Table7[[#This Row],[Date]],Database!$A:$C,MATCH($C$1,Database!$A$1:$C$1,),))</f>
        <v/>
      </c>
      <c r="D5712">
        <f>IFERROR(Table7[[#This Row],[United States 10y]]-Table7[[#This Row],[United States 3y]],#N/A)</f>
        <v/>
      </c>
    </row>
    <row r="5713">
      <c r="A5713" s="6">
        <f>Database!$A7798</f>
        <v/>
      </c>
      <c r="B5713">
        <f>IF(VLOOKUP(Table7[[#This Row],[Date]],Database!$A:$C,MATCH($B$1,Database!$A$1:$C$1,),)=0,#N/A,VLOOKUP(Table7[[#This Row],[Date]],Database!$A:$C,MATCH($B$1,Database!$A$1:$C$1,),))</f>
        <v/>
      </c>
      <c r="C5713">
        <f>IF(VLOOKUP(Table7[[#This Row],[Date]],Database!$A:$C,MATCH($C$1,Database!$A$1:$C$1,),)=0,#N/A,VLOOKUP(Table7[[#This Row],[Date]],Database!$A:$C,MATCH($C$1,Database!$A$1:$C$1,),))</f>
        <v/>
      </c>
      <c r="D5713">
        <f>IFERROR(Table7[[#This Row],[United States 10y]]-Table7[[#This Row],[United States 3y]],#N/A)</f>
        <v/>
      </c>
    </row>
    <row r="5714">
      <c r="A5714" s="6">
        <f>Database!$A7799</f>
        <v/>
      </c>
      <c r="B5714">
        <f>IF(VLOOKUP(Table7[[#This Row],[Date]],Database!$A:$C,MATCH($B$1,Database!$A$1:$C$1,),)=0,#N/A,VLOOKUP(Table7[[#This Row],[Date]],Database!$A:$C,MATCH($B$1,Database!$A$1:$C$1,),))</f>
        <v/>
      </c>
      <c r="C5714">
        <f>IF(VLOOKUP(Table7[[#This Row],[Date]],Database!$A:$C,MATCH($C$1,Database!$A$1:$C$1,),)=0,#N/A,VLOOKUP(Table7[[#This Row],[Date]],Database!$A:$C,MATCH($C$1,Database!$A$1:$C$1,),))</f>
        <v/>
      </c>
      <c r="D5714">
        <f>IFERROR(Table7[[#This Row],[United States 10y]]-Table7[[#This Row],[United States 3y]],#N/A)</f>
        <v/>
      </c>
    </row>
    <row r="5715">
      <c r="A5715" s="6">
        <f>Database!$A7800</f>
        <v/>
      </c>
      <c r="B5715">
        <f>IF(VLOOKUP(Table7[[#This Row],[Date]],Database!$A:$C,MATCH($B$1,Database!$A$1:$C$1,),)=0,#N/A,VLOOKUP(Table7[[#This Row],[Date]],Database!$A:$C,MATCH($B$1,Database!$A$1:$C$1,),))</f>
        <v/>
      </c>
      <c r="C5715">
        <f>IF(VLOOKUP(Table7[[#This Row],[Date]],Database!$A:$C,MATCH($C$1,Database!$A$1:$C$1,),)=0,#N/A,VLOOKUP(Table7[[#This Row],[Date]],Database!$A:$C,MATCH($C$1,Database!$A$1:$C$1,),))</f>
        <v/>
      </c>
      <c r="D5715">
        <f>IFERROR(Table7[[#This Row],[United States 10y]]-Table7[[#This Row],[United States 3y]],#N/A)</f>
        <v/>
      </c>
    </row>
    <row r="5716">
      <c r="A5716" s="6">
        <f>Database!$A7801</f>
        <v/>
      </c>
      <c r="B5716">
        <f>IF(VLOOKUP(Table7[[#This Row],[Date]],Database!$A:$C,MATCH($B$1,Database!$A$1:$C$1,),)=0,#N/A,VLOOKUP(Table7[[#This Row],[Date]],Database!$A:$C,MATCH($B$1,Database!$A$1:$C$1,),))</f>
        <v/>
      </c>
      <c r="C5716">
        <f>IF(VLOOKUP(Table7[[#This Row],[Date]],Database!$A:$C,MATCH($C$1,Database!$A$1:$C$1,),)=0,#N/A,VLOOKUP(Table7[[#This Row],[Date]],Database!$A:$C,MATCH($C$1,Database!$A$1:$C$1,),))</f>
        <v/>
      </c>
      <c r="D5716">
        <f>IFERROR(Table7[[#This Row],[United States 10y]]-Table7[[#This Row],[United States 3y]],#N/A)</f>
        <v/>
      </c>
    </row>
    <row r="5717">
      <c r="A5717" s="6">
        <f>Database!$A7802</f>
        <v/>
      </c>
      <c r="B5717">
        <f>IF(VLOOKUP(Table7[[#This Row],[Date]],Database!$A:$C,MATCH($B$1,Database!$A$1:$C$1,),)=0,#N/A,VLOOKUP(Table7[[#This Row],[Date]],Database!$A:$C,MATCH($B$1,Database!$A$1:$C$1,),))</f>
        <v/>
      </c>
      <c r="C5717">
        <f>IF(VLOOKUP(Table7[[#This Row],[Date]],Database!$A:$C,MATCH($C$1,Database!$A$1:$C$1,),)=0,#N/A,VLOOKUP(Table7[[#This Row],[Date]],Database!$A:$C,MATCH($C$1,Database!$A$1:$C$1,),))</f>
        <v/>
      </c>
      <c r="D5717">
        <f>IFERROR(Table7[[#This Row],[United States 10y]]-Table7[[#This Row],[United States 3y]],#N/A)</f>
        <v/>
      </c>
    </row>
    <row r="5718">
      <c r="A5718" s="6">
        <f>Database!$A7803</f>
        <v/>
      </c>
      <c r="B5718">
        <f>IF(VLOOKUP(Table7[[#This Row],[Date]],Database!$A:$C,MATCH($B$1,Database!$A$1:$C$1,),)=0,#N/A,VLOOKUP(Table7[[#This Row],[Date]],Database!$A:$C,MATCH($B$1,Database!$A$1:$C$1,),))</f>
        <v/>
      </c>
      <c r="C5718">
        <f>IF(VLOOKUP(Table7[[#This Row],[Date]],Database!$A:$C,MATCH($C$1,Database!$A$1:$C$1,),)=0,#N/A,VLOOKUP(Table7[[#This Row],[Date]],Database!$A:$C,MATCH($C$1,Database!$A$1:$C$1,),))</f>
        <v/>
      </c>
      <c r="D5718">
        <f>IFERROR(Table7[[#This Row],[United States 10y]]-Table7[[#This Row],[United States 3y]],#N/A)</f>
        <v/>
      </c>
    </row>
    <row r="5719">
      <c r="A5719" s="6">
        <f>Database!$A7804</f>
        <v/>
      </c>
      <c r="B5719">
        <f>IF(VLOOKUP(Table7[[#This Row],[Date]],Database!$A:$C,MATCH($B$1,Database!$A$1:$C$1,),)=0,#N/A,VLOOKUP(Table7[[#This Row],[Date]],Database!$A:$C,MATCH($B$1,Database!$A$1:$C$1,),))</f>
        <v/>
      </c>
      <c r="C5719">
        <f>IF(VLOOKUP(Table7[[#This Row],[Date]],Database!$A:$C,MATCH($C$1,Database!$A$1:$C$1,),)=0,#N/A,VLOOKUP(Table7[[#This Row],[Date]],Database!$A:$C,MATCH($C$1,Database!$A$1:$C$1,),))</f>
        <v/>
      </c>
      <c r="D5719">
        <f>IFERROR(Table7[[#This Row],[United States 10y]]-Table7[[#This Row],[United States 3y]],#N/A)</f>
        <v/>
      </c>
    </row>
    <row r="5720">
      <c r="A5720" s="6">
        <f>Database!$A7805</f>
        <v/>
      </c>
      <c r="B5720">
        <f>IF(VLOOKUP(Table7[[#This Row],[Date]],Database!$A:$C,MATCH($B$1,Database!$A$1:$C$1,),)=0,#N/A,VLOOKUP(Table7[[#This Row],[Date]],Database!$A:$C,MATCH($B$1,Database!$A$1:$C$1,),))</f>
        <v/>
      </c>
      <c r="C5720">
        <f>IF(VLOOKUP(Table7[[#This Row],[Date]],Database!$A:$C,MATCH($C$1,Database!$A$1:$C$1,),)=0,#N/A,VLOOKUP(Table7[[#This Row],[Date]],Database!$A:$C,MATCH($C$1,Database!$A$1:$C$1,),))</f>
        <v/>
      </c>
      <c r="D5720">
        <f>IFERROR(Table7[[#This Row],[United States 10y]]-Table7[[#This Row],[United States 3y]],#N/A)</f>
        <v/>
      </c>
    </row>
    <row r="5721">
      <c r="A5721" s="6">
        <f>Database!$A7806</f>
        <v/>
      </c>
      <c r="B5721">
        <f>IF(VLOOKUP(Table7[[#This Row],[Date]],Database!$A:$C,MATCH($B$1,Database!$A$1:$C$1,),)=0,#N/A,VLOOKUP(Table7[[#This Row],[Date]],Database!$A:$C,MATCH($B$1,Database!$A$1:$C$1,),))</f>
        <v/>
      </c>
      <c r="C5721">
        <f>IF(VLOOKUP(Table7[[#This Row],[Date]],Database!$A:$C,MATCH($C$1,Database!$A$1:$C$1,),)=0,#N/A,VLOOKUP(Table7[[#This Row],[Date]],Database!$A:$C,MATCH($C$1,Database!$A$1:$C$1,),))</f>
        <v/>
      </c>
      <c r="D5721">
        <f>IFERROR(Table7[[#This Row],[United States 10y]]-Table7[[#This Row],[United States 3y]],#N/A)</f>
        <v/>
      </c>
    </row>
    <row r="5722">
      <c r="A5722" s="6">
        <f>Database!$A7807</f>
        <v/>
      </c>
      <c r="B5722">
        <f>IF(VLOOKUP(Table7[[#This Row],[Date]],Database!$A:$C,MATCH($B$1,Database!$A$1:$C$1,),)=0,#N/A,VLOOKUP(Table7[[#This Row],[Date]],Database!$A:$C,MATCH($B$1,Database!$A$1:$C$1,),))</f>
        <v/>
      </c>
      <c r="C5722">
        <f>IF(VLOOKUP(Table7[[#This Row],[Date]],Database!$A:$C,MATCH($C$1,Database!$A$1:$C$1,),)=0,#N/A,VLOOKUP(Table7[[#This Row],[Date]],Database!$A:$C,MATCH($C$1,Database!$A$1:$C$1,),))</f>
        <v/>
      </c>
      <c r="D5722">
        <f>IFERROR(Table7[[#This Row],[United States 10y]]-Table7[[#This Row],[United States 3y]],#N/A)</f>
        <v/>
      </c>
    </row>
    <row r="5723">
      <c r="A5723" s="6">
        <f>Database!$A7808</f>
        <v/>
      </c>
      <c r="B5723">
        <f>IF(VLOOKUP(Table7[[#This Row],[Date]],Database!$A:$C,MATCH($B$1,Database!$A$1:$C$1,),)=0,#N/A,VLOOKUP(Table7[[#This Row],[Date]],Database!$A:$C,MATCH($B$1,Database!$A$1:$C$1,),))</f>
        <v/>
      </c>
      <c r="C5723">
        <f>IF(VLOOKUP(Table7[[#This Row],[Date]],Database!$A:$C,MATCH($C$1,Database!$A$1:$C$1,),)=0,#N/A,VLOOKUP(Table7[[#This Row],[Date]],Database!$A:$C,MATCH($C$1,Database!$A$1:$C$1,),))</f>
        <v/>
      </c>
      <c r="D5723">
        <f>IFERROR(Table7[[#This Row],[United States 10y]]-Table7[[#This Row],[United States 3y]],#N/A)</f>
        <v/>
      </c>
    </row>
    <row r="5724">
      <c r="A5724" s="6">
        <f>Database!$A7809</f>
        <v/>
      </c>
      <c r="B5724">
        <f>IF(VLOOKUP(Table7[[#This Row],[Date]],Database!$A:$C,MATCH($B$1,Database!$A$1:$C$1,),)=0,#N/A,VLOOKUP(Table7[[#This Row],[Date]],Database!$A:$C,MATCH($B$1,Database!$A$1:$C$1,),))</f>
        <v/>
      </c>
      <c r="C5724">
        <f>IF(VLOOKUP(Table7[[#This Row],[Date]],Database!$A:$C,MATCH($C$1,Database!$A$1:$C$1,),)=0,#N/A,VLOOKUP(Table7[[#This Row],[Date]],Database!$A:$C,MATCH($C$1,Database!$A$1:$C$1,),))</f>
        <v/>
      </c>
      <c r="D5724">
        <f>IFERROR(Table7[[#This Row],[United States 10y]]-Table7[[#This Row],[United States 3y]],#N/A)</f>
        <v/>
      </c>
    </row>
    <row r="5725">
      <c r="A5725" s="6">
        <f>Database!$A7810</f>
        <v/>
      </c>
      <c r="B5725">
        <f>IF(VLOOKUP(Table7[[#This Row],[Date]],Database!$A:$C,MATCH($B$1,Database!$A$1:$C$1,),)=0,#N/A,VLOOKUP(Table7[[#This Row],[Date]],Database!$A:$C,MATCH($B$1,Database!$A$1:$C$1,),))</f>
        <v/>
      </c>
      <c r="C5725">
        <f>IF(VLOOKUP(Table7[[#This Row],[Date]],Database!$A:$C,MATCH($C$1,Database!$A$1:$C$1,),)=0,#N/A,VLOOKUP(Table7[[#This Row],[Date]],Database!$A:$C,MATCH($C$1,Database!$A$1:$C$1,),))</f>
        <v/>
      </c>
      <c r="D5725">
        <f>IFERROR(Table7[[#This Row],[United States 10y]]-Table7[[#This Row],[United States 3y]],#N/A)</f>
        <v/>
      </c>
    </row>
    <row r="5726">
      <c r="A5726" s="6">
        <f>Database!$A7811</f>
        <v/>
      </c>
      <c r="B5726">
        <f>IF(VLOOKUP(Table7[[#This Row],[Date]],Database!$A:$C,MATCH($B$1,Database!$A$1:$C$1,),)=0,#N/A,VLOOKUP(Table7[[#This Row],[Date]],Database!$A:$C,MATCH($B$1,Database!$A$1:$C$1,),))</f>
        <v/>
      </c>
      <c r="C5726">
        <f>IF(VLOOKUP(Table7[[#This Row],[Date]],Database!$A:$C,MATCH($C$1,Database!$A$1:$C$1,),)=0,#N/A,VLOOKUP(Table7[[#This Row],[Date]],Database!$A:$C,MATCH($C$1,Database!$A$1:$C$1,),))</f>
        <v/>
      </c>
      <c r="D5726">
        <f>IFERROR(Table7[[#This Row],[United States 10y]]-Table7[[#This Row],[United States 3y]],#N/A)</f>
        <v/>
      </c>
    </row>
    <row r="5727">
      <c r="A5727" s="6">
        <f>Database!$A7812</f>
        <v/>
      </c>
      <c r="B5727">
        <f>IF(VLOOKUP(Table7[[#This Row],[Date]],Database!$A:$C,MATCH($B$1,Database!$A$1:$C$1,),)=0,#N/A,VLOOKUP(Table7[[#This Row],[Date]],Database!$A:$C,MATCH($B$1,Database!$A$1:$C$1,),))</f>
        <v/>
      </c>
      <c r="C5727">
        <f>IF(VLOOKUP(Table7[[#This Row],[Date]],Database!$A:$C,MATCH($C$1,Database!$A$1:$C$1,),)=0,#N/A,VLOOKUP(Table7[[#This Row],[Date]],Database!$A:$C,MATCH($C$1,Database!$A$1:$C$1,),))</f>
        <v/>
      </c>
      <c r="D5727">
        <f>IFERROR(Table7[[#This Row],[United States 10y]]-Table7[[#This Row],[United States 3y]],#N/A)</f>
        <v/>
      </c>
    </row>
    <row r="5728">
      <c r="A5728" s="6">
        <f>Database!$A7813</f>
        <v/>
      </c>
      <c r="B5728">
        <f>IF(VLOOKUP(Table7[[#This Row],[Date]],Database!$A:$C,MATCH($B$1,Database!$A$1:$C$1,),)=0,#N/A,VLOOKUP(Table7[[#This Row],[Date]],Database!$A:$C,MATCH($B$1,Database!$A$1:$C$1,),))</f>
        <v/>
      </c>
      <c r="C5728">
        <f>IF(VLOOKUP(Table7[[#This Row],[Date]],Database!$A:$C,MATCH($C$1,Database!$A$1:$C$1,),)=0,#N/A,VLOOKUP(Table7[[#This Row],[Date]],Database!$A:$C,MATCH($C$1,Database!$A$1:$C$1,),))</f>
        <v/>
      </c>
      <c r="D5728">
        <f>IFERROR(Table7[[#This Row],[United States 10y]]-Table7[[#This Row],[United States 3y]],#N/A)</f>
        <v/>
      </c>
    </row>
    <row r="5729">
      <c r="A5729" s="6">
        <f>Database!$A7814</f>
        <v/>
      </c>
      <c r="B5729">
        <f>IF(VLOOKUP(Table7[[#This Row],[Date]],Database!$A:$C,MATCH($B$1,Database!$A$1:$C$1,),)=0,#N/A,VLOOKUP(Table7[[#This Row],[Date]],Database!$A:$C,MATCH($B$1,Database!$A$1:$C$1,),))</f>
        <v/>
      </c>
      <c r="C5729">
        <f>IF(VLOOKUP(Table7[[#This Row],[Date]],Database!$A:$C,MATCH($C$1,Database!$A$1:$C$1,),)=0,#N/A,VLOOKUP(Table7[[#This Row],[Date]],Database!$A:$C,MATCH($C$1,Database!$A$1:$C$1,),))</f>
        <v/>
      </c>
      <c r="D5729">
        <f>IFERROR(Table7[[#This Row],[United States 10y]]-Table7[[#This Row],[United States 3y]],#N/A)</f>
        <v/>
      </c>
    </row>
    <row r="5730">
      <c r="A5730" s="6">
        <f>Database!$A7815</f>
        <v/>
      </c>
      <c r="B5730">
        <f>IF(VLOOKUP(Table7[[#This Row],[Date]],Database!$A:$C,MATCH($B$1,Database!$A$1:$C$1,),)=0,#N/A,VLOOKUP(Table7[[#This Row],[Date]],Database!$A:$C,MATCH($B$1,Database!$A$1:$C$1,),))</f>
        <v/>
      </c>
      <c r="C5730">
        <f>IF(VLOOKUP(Table7[[#This Row],[Date]],Database!$A:$C,MATCH($C$1,Database!$A$1:$C$1,),)=0,#N/A,VLOOKUP(Table7[[#This Row],[Date]],Database!$A:$C,MATCH($C$1,Database!$A$1:$C$1,),))</f>
        <v/>
      </c>
      <c r="D5730">
        <f>IFERROR(Table7[[#This Row],[United States 10y]]-Table7[[#This Row],[United States 3y]],#N/A)</f>
        <v/>
      </c>
    </row>
    <row r="5731">
      <c r="A5731" s="6">
        <f>Database!$A7816</f>
        <v/>
      </c>
      <c r="B5731">
        <f>IF(VLOOKUP(Table7[[#This Row],[Date]],Database!$A:$C,MATCH($B$1,Database!$A$1:$C$1,),)=0,#N/A,VLOOKUP(Table7[[#This Row],[Date]],Database!$A:$C,MATCH($B$1,Database!$A$1:$C$1,),))</f>
        <v/>
      </c>
      <c r="C5731">
        <f>IF(VLOOKUP(Table7[[#This Row],[Date]],Database!$A:$C,MATCH($C$1,Database!$A$1:$C$1,),)=0,#N/A,VLOOKUP(Table7[[#This Row],[Date]],Database!$A:$C,MATCH($C$1,Database!$A$1:$C$1,),))</f>
        <v/>
      </c>
      <c r="D5731">
        <f>IFERROR(Table7[[#This Row],[United States 10y]]-Table7[[#This Row],[United States 3y]],#N/A)</f>
        <v/>
      </c>
    </row>
    <row r="5732">
      <c r="A5732" s="6">
        <f>Database!$A7817</f>
        <v/>
      </c>
      <c r="B5732">
        <f>IF(VLOOKUP(Table7[[#This Row],[Date]],Database!$A:$C,MATCH($B$1,Database!$A$1:$C$1,),)=0,#N/A,VLOOKUP(Table7[[#This Row],[Date]],Database!$A:$C,MATCH($B$1,Database!$A$1:$C$1,),))</f>
        <v/>
      </c>
      <c r="C5732">
        <f>IF(VLOOKUP(Table7[[#This Row],[Date]],Database!$A:$C,MATCH($C$1,Database!$A$1:$C$1,),)=0,#N/A,VLOOKUP(Table7[[#This Row],[Date]],Database!$A:$C,MATCH($C$1,Database!$A$1:$C$1,),))</f>
        <v/>
      </c>
      <c r="D5732">
        <f>IFERROR(Table7[[#This Row],[United States 10y]]-Table7[[#This Row],[United States 3y]],#N/A)</f>
        <v/>
      </c>
    </row>
    <row r="5733">
      <c r="A5733" s="6">
        <f>Database!$A7818</f>
        <v/>
      </c>
      <c r="B5733">
        <f>IF(VLOOKUP(Table7[[#This Row],[Date]],Database!$A:$C,MATCH($B$1,Database!$A$1:$C$1,),)=0,#N/A,VLOOKUP(Table7[[#This Row],[Date]],Database!$A:$C,MATCH($B$1,Database!$A$1:$C$1,),))</f>
        <v/>
      </c>
      <c r="C5733">
        <f>IF(VLOOKUP(Table7[[#This Row],[Date]],Database!$A:$C,MATCH($C$1,Database!$A$1:$C$1,),)=0,#N/A,VLOOKUP(Table7[[#This Row],[Date]],Database!$A:$C,MATCH($C$1,Database!$A$1:$C$1,),))</f>
        <v/>
      </c>
      <c r="D5733">
        <f>IFERROR(Table7[[#This Row],[United States 10y]]-Table7[[#This Row],[United States 3y]],#N/A)</f>
        <v/>
      </c>
    </row>
    <row r="5734">
      <c r="A5734" s="6">
        <f>Database!$A7819</f>
        <v/>
      </c>
      <c r="B5734">
        <f>IF(VLOOKUP(Table7[[#This Row],[Date]],Database!$A:$C,MATCH($B$1,Database!$A$1:$C$1,),)=0,#N/A,VLOOKUP(Table7[[#This Row],[Date]],Database!$A:$C,MATCH($B$1,Database!$A$1:$C$1,),))</f>
        <v/>
      </c>
      <c r="C5734">
        <f>IF(VLOOKUP(Table7[[#This Row],[Date]],Database!$A:$C,MATCH($C$1,Database!$A$1:$C$1,),)=0,#N/A,VLOOKUP(Table7[[#This Row],[Date]],Database!$A:$C,MATCH($C$1,Database!$A$1:$C$1,),))</f>
        <v/>
      </c>
      <c r="D5734">
        <f>IFERROR(Table7[[#This Row],[United States 10y]]-Table7[[#This Row],[United States 3y]],#N/A)</f>
        <v/>
      </c>
    </row>
    <row r="5735">
      <c r="A5735" s="6">
        <f>Database!$A7820</f>
        <v/>
      </c>
      <c r="B5735">
        <f>IF(VLOOKUP(Table7[[#This Row],[Date]],Database!$A:$C,MATCH($B$1,Database!$A$1:$C$1,),)=0,#N/A,VLOOKUP(Table7[[#This Row],[Date]],Database!$A:$C,MATCH($B$1,Database!$A$1:$C$1,),))</f>
        <v/>
      </c>
      <c r="C5735">
        <f>IF(VLOOKUP(Table7[[#This Row],[Date]],Database!$A:$C,MATCH($C$1,Database!$A$1:$C$1,),)=0,#N/A,VLOOKUP(Table7[[#This Row],[Date]],Database!$A:$C,MATCH($C$1,Database!$A$1:$C$1,),))</f>
        <v/>
      </c>
      <c r="D5735">
        <f>IFERROR(Table7[[#This Row],[United States 10y]]-Table7[[#This Row],[United States 3y]],#N/A)</f>
        <v/>
      </c>
    </row>
    <row r="5736">
      <c r="A5736" s="6">
        <f>Database!$A7821</f>
        <v/>
      </c>
      <c r="B5736">
        <f>IF(VLOOKUP(Table7[[#This Row],[Date]],Database!$A:$C,MATCH($B$1,Database!$A$1:$C$1,),)=0,#N/A,VLOOKUP(Table7[[#This Row],[Date]],Database!$A:$C,MATCH($B$1,Database!$A$1:$C$1,),))</f>
        <v/>
      </c>
      <c r="C5736">
        <f>IF(VLOOKUP(Table7[[#This Row],[Date]],Database!$A:$C,MATCH($C$1,Database!$A$1:$C$1,),)=0,#N/A,VLOOKUP(Table7[[#This Row],[Date]],Database!$A:$C,MATCH($C$1,Database!$A$1:$C$1,),))</f>
        <v/>
      </c>
      <c r="D5736">
        <f>IFERROR(Table7[[#This Row],[United States 10y]]-Table7[[#This Row],[United States 3y]],#N/A)</f>
        <v/>
      </c>
    </row>
    <row r="5737">
      <c r="A5737" s="6">
        <f>Database!$A7822</f>
        <v/>
      </c>
      <c r="B5737">
        <f>IF(VLOOKUP(Table7[[#This Row],[Date]],Database!$A:$C,MATCH($B$1,Database!$A$1:$C$1,),)=0,#N/A,VLOOKUP(Table7[[#This Row],[Date]],Database!$A:$C,MATCH($B$1,Database!$A$1:$C$1,),))</f>
        <v/>
      </c>
      <c r="C5737">
        <f>IF(VLOOKUP(Table7[[#This Row],[Date]],Database!$A:$C,MATCH($C$1,Database!$A$1:$C$1,),)=0,#N/A,VLOOKUP(Table7[[#This Row],[Date]],Database!$A:$C,MATCH($C$1,Database!$A$1:$C$1,),))</f>
        <v/>
      </c>
      <c r="D5737">
        <f>IFERROR(Table7[[#This Row],[United States 10y]]-Table7[[#This Row],[United States 3y]],#N/A)</f>
        <v/>
      </c>
    </row>
    <row r="5738">
      <c r="A5738" s="6">
        <f>Database!$A7823</f>
        <v/>
      </c>
      <c r="B5738">
        <f>IF(VLOOKUP(Table7[[#This Row],[Date]],Database!$A:$C,MATCH($B$1,Database!$A$1:$C$1,),)=0,#N/A,VLOOKUP(Table7[[#This Row],[Date]],Database!$A:$C,MATCH($B$1,Database!$A$1:$C$1,),))</f>
        <v/>
      </c>
      <c r="C5738">
        <f>IF(VLOOKUP(Table7[[#This Row],[Date]],Database!$A:$C,MATCH($C$1,Database!$A$1:$C$1,),)=0,#N/A,VLOOKUP(Table7[[#This Row],[Date]],Database!$A:$C,MATCH($C$1,Database!$A$1:$C$1,),))</f>
        <v/>
      </c>
      <c r="D5738">
        <f>IFERROR(Table7[[#This Row],[United States 10y]]-Table7[[#This Row],[United States 3y]],#N/A)</f>
        <v/>
      </c>
    </row>
    <row r="5739">
      <c r="A5739" s="6">
        <f>Database!$A7824</f>
        <v/>
      </c>
      <c r="B5739">
        <f>IF(VLOOKUP(Table7[[#This Row],[Date]],Database!$A:$C,MATCH($B$1,Database!$A$1:$C$1,),)=0,#N/A,VLOOKUP(Table7[[#This Row],[Date]],Database!$A:$C,MATCH($B$1,Database!$A$1:$C$1,),))</f>
        <v/>
      </c>
      <c r="C5739">
        <f>IF(VLOOKUP(Table7[[#This Row],[Date]],Database!$A:$C,MATCH($C$1,Database!$A$1:$C$1,),)=0,#N/A,VLOOKUP(Table7[[#This Row],[Date]],Database!$A:$C,MATCH($C$1,Database!$A$1:$C$1,),))</f>
        <v/>
      </c>
      <c r="D5739">
        <f>IFERROR(Table7[[#This Row],[United States 10y]]-Table7[[#This Row],[United States 3y]],#N/A)</f>
        <v/>
      </c>
    </row>
    <row r="5740">
      <c r="A5740" s="6">
        <f>Database!$A7825</f>
        <v/>
      </c>
      <c r="B5740">
        <f>IF(VLOOKUP(Table7[[#This Row],[Date]],Database!$A:$C,MATCH($B$1,Database!$A$1:$C$1,),)=0,#N/A,VLOOKUP(Table7[[#This Row],[Date]],Database!$A:$C,MATCH($B$1,Database!$A$1:$C$1,),))</f>
        <v/>
      </c>
      <c r="C5740">
        <f>IF(VLOOKUP(Table7[[#This Row],[Date]],Database!$A:$C,MATCH($C$1,Database!$A$1:$C$1,),)=0,#N/A,VLOOKUP(Table7[[#This Row],[Date]],Database!$A:$C,MATCH($C$1,Database!$A$1:$C$1,),))</f>
        <v/>
      </c>
      <c r="D5740">
        <f>IFERROR(Table7[[#This Row],[United States 10y]]-Table7[[#This Row],[United States 3y]],#N/A)</f>
        <v/>
      </c>
    </row>
    <row r="5741">
      <c r="A5741" s="6">
        <f>Database!$A7826</f>
        <v/>
      </c>
      <c r="B5741">
        <f>IF(VLOOKUP(Table7[[#This Row],[Date]],Database!$A:$C,MATCH($B$1,Database!$A$1:$C$1,),)=0,#N/A,VLOOKUP(Table7[[#This Row],[Date]],Database!$A:$C,MATCH($B$1,Database!$A$1:$C$1,),))</f>
        <v/>
      </c>
      <c r="C5741">
        <f>IF(VLOOKUP(Table7[[#This Row],[Date]],Database!$A:$C,MATCH($C$1,Database!$A$1:$C$1,),)=0,#N/A,VLOOKUP(Table7[[#This Row],[Date]],Database!$A:$C,MATCH($C$1,Database!$A$1:$C$1,),))</f>
        <v/>
      </c>
      <c r="D5741">
        <f>IFERROR(Table7[[#This Row],[United States 10y]]-Table7[[#This Row],[United States 3y]],#N/A)</f>
        <v/>
      </c>
    </row>
    <row r="5742">
      <c r="A5742" s="6">
        <f>Database!$A7827</f>
        <v/>
      </c>
      <c r="B5742">
        <f>IF(VLOOKUP(Table7[[#This Row],[Date]],Database!$A:$C,MATCH($B$1,Database!$A$1:$C$1,),)=0,#N/A,VLOOKUP(Table7[[#This Row],[Date]],Database!$A:$C,MATCH($B$1,Database!$A$1:$C$1,),))</f>
        <v/>
      </c>
      <c r="C5742">
        <f>IF(VLOOKUP(Table7[[#This Row],[Date]],Database!$A:$C,MATCH($C$1,Database!$A$1:$C$1,),)=0,#N/A,VLOOKUP(Table7[[#This Row],[Date]],Database!$A:$C,MATCH($C$1,Database!$A$1:$C$1,),))</f>
        <v/>
      </c>
      <c r="D5742">
        <f>IFERROR(Table7[[#This Row],[United States 10y]]-Table7[[#This Row],[United States 3y]],#N/A)</f>
        <v/>
      </c>
    </row>
    <row r="5743">
      <c r="A5743" s="6">
        <f>Database!$A7828</f>
        <v/>
      </c>
      <c r="B5743">
        <f>IF(VLOOKUP(Table7[[#This Row],[Date]],Database!$A:$C,MATCH($B$1,Database!$A$1:$C$1,),)=0,#N/A,VLOOKUP(Table7[[#This Row],[Date]],Database!$A:$C,MATCH($B$1,Database!$A$1:$C$1,),))</f>
        <v/>
      </c>
      <c r="C5743">
        <f>IF(VLOOKUP(Table7[[#This Row],[Date]],Database!$A:$C,MATCH($C$1,Database!$A$1:$C$1,),)=0,#N/A,VLOOKUP(Table7[[#This Row],[Date]],Database!$A:$C,MATCH($C$1,Database!$A$1:$C$1,),))</f>
        <v/>
      </c>
      <c r="D5743">
        <f>IFERROR(Table7[[#This Row],[United States 10y]]-Table7[[#This Row],[United States 3y]],#N/A)</f>
        <v/>
      </c>
    </row>
    <row r="5744">
      <c r="A5744" s="6">
        <f>Database!$A7829</f>
        <v/>
      </c>
      <c r="B5744">
        <f>IF(VLOOKUP(Table7[[#This Row],[Date]],Database!$A:$C,MATCH($B$1,Database!$A$1:$C$1,),)=0,#N/A,VLOOKUP(Table7[[#This Row],[Date]],Database!$A:$C,MATCH($B$1,Database!$A$1:$C$1,),))</f>
        <v/>
      </c>
      <c r="C5744">
        <f>IF(VLOOKUP(Table7[[#This Row],[Date]],Database!$A:$C,MATCH($C$1,Database!$A$1:$C$1,),)=0,#N/A,VLOOKUP(Table7[[#This Row],[Date]],Database!$A:$C,MATCH($C$1,Database!$A$1:$C$1,),))</f>
        <v/>
      </c>
      <c r="D5744">
        <f>IFERROR(Table7[[#This Row],[United States 10y]]-Table7[[#This Row],[United States 3y]],#N/A)</f>
        <v/>
      </c>
    </row>
    <row r="5745">
      <c r="A5745" s="6">
        <f>Database!$A7830</f>
        <v/>
      </c>
      <c r="B5745">
        <f>IF(VLOOKUP(Table7[[#This Row],[Date]],Database!$A:$C,MATCH($B$1,Database!$A$1:$C$1,),)=0,#N/A,VLOOKUP(Table7[[#This Row],[Date]],Database!$A:$C,MATCH($B$1,Database!$A$1:$C$1,),))</f>
        <v/>
      </c>
      <c r="C5745">
        <f>IF(VLOOKUP(Table7[[#This Row],[Date]],Database!$A:$C,MATCH($C$1,Database!$A$1:$C$1,),)=0,#N/A,VLOOKUP(Table7[[#This Row],[Date]],Database!$A:$C,MATCH($C$1,Database!$A$1:$C$1,),))</f>
        <v/>
      </c>
      <c r="D5745">
        <f>IFERROR(Table7[[#This Row],[United States 10y]]-Table7[[#This Row],[United States 3y]],#N/A)</f>
        <v/>
      </c>
    </row>
    <row r="5746">
      <c r="A5746" s="6">
        <f>Database!$A7831</f>
        <v/>
      </c>
      <c r="B5746">
        <f>IF(VLOOKUP(Table7[[#This Row],[Date]],Database!$A:$C,MATCH($B$1,Database!$A$1:$C$1,),)=0,#N/A,VLOOKUP(Table7[[#This Row],[Date]],Database!$A:$C,MATCH($B$1,Database!$A$1:$C$1,),))</f>
        <v/>
      </c>
      <c r="C5746">
        <f>IF(VLOOKUP(Table7[[#This Row],[Date]],Database!$A:$C,MATCH($C$1,Database!$A$1:$C$1,),)=0,#N/A,VLOOKUP(Table7[[#This Row],[Date]],Database!$A:$C,MATCH($C$1,Database!$A$1:$C$1,),))</f>
        <v/>
      </c>
      <c r="D5746">
        <f>IFERROR(Table7[[#This Row],[United States 10y]]-Table7[[#This Row],[United States 3y]],#N/A)</f>
        <v/>
      </c>
    </row>
    <row r="5747">
      <c r="A5747" s="6">
        <f>Database!$A7832</f>
        <v/>
      </c>
      <c r="B5747">
        <f>IF(VLOOKUP(Table7[[#This Row],[Date]],Database!$A:$C,MATCH($B$1,Database!$A$1:$C$1,),)=0,#N/A,VLOOKUP(Table7[[#This Row],[Date]],Database!$A:$C,MATCH($B$1,Database!$A$1:$C$1,),))</f>
        <v/>
      </c>
      <c r="C5747">
        <f>IF(VLOOKUP(Table7[[#This Row],[Date]],Database!$A:$C,MATCH($C$1,Database!$A$1:$C$1,),)=0,#N/A,VLOOKUP(Table7[[#This Row],[Date]],Database!$A:$C,MATCH($C$1,Database!$A$1:$C$1,),))</f>
        <v/>
      </c>
      <c r="D5747">
        <f>IFERROR(Table7[[#This Row],[United States 10y]]-Table7[[#This Row],[United States 3y]],#N/A)</f>
        <v/>
      </c>
    </row>
    <row r="5748">
      <c r="A5748" s="6">
        <f>Database!$A7833</f>
        <v/>
      </c>
      <c r="B5748">
        <f>IF(VLOOKUP(Table7[[#This Row],[Date]],Database!$A:$C,MATCH($B$1,Database!$A$1:$C$1,),)=0,#N/A,VLOOKUP(Table7[[#This Row],[Date]],Database!$A:$C,MATCH($B$1,Database!$A$1:$C$1,),))</f>
        <v/>
      </c>
      <c r="C5748">
        <f>IF(VLOOKUP(Table7[[#This Row],[Date]],Database!$A:$C,MATCH($C$1,Database!$A$1:$C$1,),)=0,#N/A,VLOOKUP(Table7[[#This Row],[Date]],Database!$A:$C,MATCH($C$1,Database!$A$1:$C$1,),))</f>
        <v/>
      </c>
      <c r="D5748">
        <f>IFERROR(Table7[[#This Row],[United States 10y]]-Table7[[#This Row],[United States 3y]],#N/A)</f>
        <v/>
      </c>
    </row>
    <row r="5749">
      <c r="A5749" s="6">
        <f>Database!$A7834</f>
        <v/>
      </c>
      <c r="B5749">
        <f>IF(VLOOKUP(Table7[[#This Row],[Date]],Database!$A:$C,MATCH($B$1,Database!$A$1:$C$1,),)=0,#N/A,VLOOKUP(Table7[[#This Row],[Date]],Database!$A:$C,MATCH($B$1,Database!$A$1:$C$1,),))</f>
        <v/>
      </c>
      <c r="C5749">
        <f>IF(VLOOKUP(Table7[[#This Row],[Date]],Database!$A:$C,MATCH($C$1,Database!$A$1:$C$1,),)=0,#N/A,VLOOKUP(Table7[[#This Row],[Date]],Database!$A:$C,MATCH($C$1,Database!$A$1:$C$1,),))</f>
        <v/>
      </c>
      <c r="D5749">
        <f>IFERROR(Table7[[#This Row],[United States 10y]]-Table7[[#This Row],[United States 3y]],#N/A)</f>
        <v/>
      </c>
    </row>
    <row r="5750">
      <c r="A5750" s="6">
        <f>Database!$A7835</f>
        <v/>
      </c>
      <c r="B5750">
        <f>IF(VLOOKUP(Table7[[#This Row],[Date]],Database!$A:$C,MATCH($B$1,Database!$A$1:$C$1,),)=0,#N/A,VLOOKUP(Table7[[#This Row],[Date]],Database!$A:$C,MATCH($B$1,Database!$A$1:$C$1,),))</f>
        <v/>
      </c>
      <c r="C5750">
        <f>IF(VLOOKUP(Table7[[#This Row],[Date]],Database!$A:$C,MATCH($C$1,Database!$A$1:$C$1,),)=0,#N/A,VLOOKUP(Table7[[#This Row],[Date]],Database!$A:$C,MATCH($C$1,Database!$A$1:$C$1,),))</f>
        <v/>
      </c>
      <c r="D5750">
        <f>IFERROR(Table7[[#This Row],[United States 10y]]-Table7[[#This Row],[United States 3y]],#N/A)</f>
        <v/>
      </c>
    </row>
    <row r="5751">
      <c r="A5751" s="6">
        <f>Database!$A7836</f>
        <v/>
      </c>
      <c r="B5751">
        <f>IF(VLOOKUP(Table7[[#This Row],[Date]],Database!$A:$C,MATCH($B$1,Database!$A$1:$C$1,),)=0,#N/A,VLOOKUP(Table7[[#This Row],[Date]],Database!$A:$C,MATCH($B$1,Database!$A$1:$C$1,),))</f>
        <v/>
      </c>
      <c r="C5751">
        <f>IF(VLOOKUP(Table7[[#This Row],[Date]],Database!$A:$C,MATCH($C$1,Database!$A$1:$C$1,),)=0,#N/A,VLOOKUP(Table7[[#This Row],[Date]],Database!$A:$C,MATCH($C$1,Database!$A$1:$C$1,),))</f>
        <v/>
      </c>
      <c r="D5751">
        <f>IFERROR(Table7[[#This Row],[United States 10y]]-Table7[[#This Row],[United States 3y]],#N/A)</f>
        <v/>
      </c>
    </row>
    <row r="5752">
      <c r="A5752" s="6">
        <f>Database!$A7837</f>
        <v/>
      </c>
      <c r="B5752">
        <f>IF(VLOOKUP(Table7[[#This Row],[Date]],Database!$A:$C,MATCH($B$1,Database!$A$1:$C$1,),)=0,#N/A,VLOOKUP(Table7[[#This Row],[Date]],Database!$A:$C,MATCH($B$1,Database!$A$1:$C$1,),))</f>
        <v/>
      </c>
      <c r="C5752">
        <f>IF(VLOOKUP(Table7[[#This Row],[Date]],Database!$A:$C,MATCH($C$1,Database!$A$1:$C$1,),)=0,#N/A,VLOOKUP(Table7[[#This Row],[Date]],Database!$A:$C,MATCH($C$1,Database!$A$1:$C$1,),))</f>
        <v/>
      </c>
      <c r="D5752">
        <f>IFERROR(Table7[[#This Row],[United States 10y]]-Table7[[#This Row],[United States 3y]],#N/A)</f>
        <v/>
      </c>
    </row>
    <row r="5753">
      <c r="A5753" s="6">
        <f>Database!$A7838</f>
        <v/>
      </c>
      <c r="B5753">
        <f>IF(VLOOKUP(Table7[[#This Row],[Date]],Database!$A:$C,MATCH($B$1,Database!$A$1:$C$1,),)=0,#N/A,VLOOKUP(Table7[[#This Row],[Date]],Database!$A:$C,MATCH($B$1,Database!$A$1:$C$1,),))</f>
        <v/>
      </c>
      <c r="C5753">
        <f>IF(VLOOKUP(Table7[[#This Row],[Date]],Database!$A:$C,MATCH($C$1,Database!$A$1:$C$1,),)=0,#N/A,VLOOKUP(Table7[[#This Row],[Date]],Database!$A:$C,MATCH($C$1,Database!$A$1:$C$1,),))</f>
        <v/>
      </c>
      <c r="D5753">
        <f>IFERROR(Table7[[#This Row],[United States 10y]]-Table7[[#This Row],[United States 3y]],#N/A)</f>
        <v/>
      </c>
    </row>
    <row r="5754">
      <c r="A5754" s="6">
        <f>Database!$A7839</f>
        <v/>
      </c>
      <c r="B5754">
        <f>IF(VLOOKUP(Table7[[#This Row],[Date]],Database!$A:$C,MATCH($B$1,Database!$A$1:$C$1,),)=0,#N/A,VLOOKUP(Table7[[#This Row],[Date]],Database!$A:$C,MATCH($B$1,Database!$A$1:$C$1,),))</f>
        <v/>
      </c>
      <c r="C5754">
        <f>IF(VLOOKUP(Table7[[#This Row],[Date]],Database!$A:$C,MATCH($C$1,Database!$A$1:$C$1,),)=0,#N/A,VLOOKUP(Table7[[#This Row],[Date]],Database!$A:$C,MATCH($C$1,Database!$A$1:$C$1,),))</f>
        <v/>
      </c>
      <c r="D5754">
        <f>IFERROR(Table7[[#This Row],[United States 10y]]-Table7[[#This Row],[United States 3y]],#N/A)</f>
        <v/>
      </c>
    </row>
    <row r="5755">
      <c r="A5755" s="6">
        <f>Database!$A7840</f>
        <v/>
      </c>
      <c r="B5755">
        <f>IF(VLOOKUP(Table7[[#This Row],[Date]],Database!$A:$C,MATCH($B$1,Database!$A$1:$C$1,),)=0,#N/A,VLOOKUP(Table7[[#This Row],[Date]],Database!$A:$C,MATCH($B$1,Database!$A$1:$C$1,),))</f>
        <v/>
      </c>
      <c r="C5755">
        <f>IF(VLOOKUP(Table7[[#This Row],[Date]],Database!$A:$C,MATCH($C$1,Database!$A$1:$C$1,),)=0,#N/A,VLOOKUP(Table7[[#This Row],[Date]],Database!$A:$C,MATCH($C$1,Database!$A$1:$C$1,),))</f>
        <v/>
      </c>
      <c r="D5755">
        <f>IFERROR(Table7[[#This Row],[United States 10y]]-Table7[[#This Row],[United States 3y]],#N/A)</f>
        <v/>
      </c>
    </row>
    <row r="5756">
      <c r="A5756" s="6">
        <f>Database!$A7841</f>
        <v/>
      </c>
      <c r="B5756">
        <f>IF(VLOOKUP(Table7[[#This Row],[Date]],Database!$A:$C,MATCH($B$1,Database!$A$1:$C$1,),)=0,#N/A,VLOOKUP(Table7[[#This Row],[Date]],Database!$A:$C,MATCH($B$1,Database!$A$1:$C$1,),))</f>
        <v/>
      </c>
      <c r="C5756">
        <f>IF(VLOOKUP(Table7[[#This Row],[Date]],Database!$A:$C,MATCH($C$1,Database!$A$1:$C$1,),)=0,#N/A,VLOOKUP(Table7[[#This Row],[Date]],Database!$A:$C,MATCH($C$1,Database!$A$1:$C$1,),))</f>
        <v/>
      </c>
      <c r="D5756">
        <f>IFERROR(Table7[[#This Row],[United States 10y]]-Table7[[#This Row],[United States 3y]],#N/A)</f>
        <v/>
      </c>
    </row>
    <row r="5757">
      <c r="A5757" s="6">
        <f>Database!$A7842</f>
        <v/>
      </c>
      <c r="B5757">
        <f>IF(VLOOKUP(Table7[[#This Row],[Date]],Database!$A:$C,MATCH($B$1,Database!$A$1:$C$1,),)=0,#N/A,VLOOKUP(Table7[[#This Row],[Date]],Database!$A:$C,MATCH($B$1,Database!$A$1:$C$1,),))</f>
        <v/>
      </c>
      <c r="C5757">
        <f>IF(VLOOKUP(Table7[[#This Row],[Date]],Database!$A:$C,MATCH($C$1,Database!$A$1:$C$1,),)=0,#N/A,VLOOKUP(Table7[[#This Row],[Date]],Database!$A:$C,MATCH($C$1,Database!$A$1:$C$1,),))</f>
        <v/>
      </c>
      <c r="D5757">
        <f>IFERROR(Table7[[#This Row],[United States 10y]]-Table7[[#This Row],[United States 3y]],#N/A)</f>
        <v/>
      </c>
    </row>
    <row r="5758">
      <c r="A5758" s="6">
        <f>Database!$A7843</f>
        <v/>
      </c>
      <c r="B5758">
        <f>IF(VLOOKUP(Table7[[#This Row],[Date]],Database!$A:$C,MATCH($B$1,Database!$A$1:$C$1,),)=0,#N/A,VLOOKUP(Table7[[#This Row],[Date]],Database!$A:$C,MATCH($B$1,Database!$A$1:$C$1,),))</f>
        <v/>
      </c>
      <c r="C5758">
        <f>IF(VLOOKUP(Table7[[#This Row],[Date]],Database!$A:$C,MATCH($C$1,Database!$A$1:$C$1,),)=0,#N/A,VLOOKUP(Table7[[#This Row],[Date]],Database!$A:$C,MATCH($C$1,Database!$A$1:$C$1,),))</f>
        <v/>
      </c>
      <c r="D5758">
        <f>IFERROR(Table7[[#This Row],[United States 10y]]-Table7[[#This Row],[United States 3y]],#N/A)</f>
        <v/>
      </c>
    </row>
    <row r="5759">
      <c r="A5759" s="6">
        <f>Database!$A7844</f>
        <v/>
      </c>
      <c r="B5759">
        <f>IF(VLOOKUP(Table7[[#This Row],[Date]],Database!$A:$C,MATCH($B$1,Database!$A$1:$C$1,),)=0,#N/A,VLOOKUP(Table7[[#This Row],[Date]],Database!$A:$C,MATCH($B$1,Database!$A$1:$C$1,),))</f>
        <v/>
      </c>
      <c r="C5759">
        <f>IF(VLOOKUP(Table7[[#This Row],[Date]],Database!$A:$C,MATCH($C$1,Database!$A$1:$C$1,),)=0,#N/A,VLOOKUP(Table7[[#This Row],[Date]],Database!$A:$C,MATCH($C$1,Database!$A$1:$C$1,),))</f>
        <v/>
      </c>
      <c r="D5759">
        <f>IFERROR(Table7[[#This Row],[United States 10y]]-Table7[[#This Row],[United States 3y]],#N/A)</f>
        <v/>
      </c>
    </row>
    <row r="5760">
      <c r="A5760" s="6">
        <f>Database!$A7845</f>
        <v/>
      </c>
      <c r="B5760">
        <f>IF(VLOOKUP(Table7[[#This Row],[Date]],Database!$A:$C,MATCH($B$1,Database!$A$1:$C$1,),)=0,#N/A,VLOOKUP(Table7[[#This Row],[Date]],Database!$A:$C,MATCH($B$1,Database!$A$1:$C$1,),))</f>
        <v/>
      </c>
      <c r="C5760">
        <f>IF(VLOOKUP(Table7[[#This Row],[Date]],Database!$A:$C,MATCH($C$1,Database!$A$1:$C$1,),)=0,#N/A,VLOOKUP(Table7[[#This Row],[Date]],Database!$A:$C,MATCH($C$1,Database!$A$1:$C$1,),))</f>
        <v/>
      </c>
      <c r="D5760">
        <f>IFERROR(Table7[[#This Row],[United States 10y]]-Table7[[#This Row],[United States 3y]],#N/A)</f>
        <v/>
      </c>
    </row>
    <row r="5761">
      <c r="A5761" s="6">
        <f>Database!$A7846</f>
        <v/>
      </c>
      <c r="B5761">
        <f>IF(VLOOKUP(Table7[[#This Row],[Date]],Database!$A:$C,MATCH($B$1,Database!$A$1:$C$1,),)=0,#N/A,VLOOKUP(Table7[[#This Row],[Date]],Database!$A:$C,MATCH($B$1,Database!$A$1:$C$1,),))</f>
        <v/>
      </c>
      <c r="C5761">
        <f>IF(VLOOKUP(Table7[[#This Row],[Date]],Database!$A:$C,MATCH($C$1,Database!$A$1:$C$1,),)=0,#N/A,VLOOKUP(Table7[[#This Row],[Date]],Database!$A:$C,MATCH($C$1,Database!$A$1:$C$1,),))</f>
        <v/>
      </c>
      <c r="D5761">
        <f>IFERROR(Table7[[#This Row],[United States 10y]]-Table7[[#This Row],[United States 3y]],#N/A)</f>
        <v/>
      </c>
    </row>
    <row r="5762">
      <c r="A5762" s="6">
        <f>Database!$A7847</f>
        <v/>
      </c>
      <c r="B5762">
        <f>IF(VLOOKUP(Table7[[#This Row],[Date]],Database!$A:$C,MATCH($B$1,Database!$A$1:$C$1,),)=0,#N/A,VLOOKUP(Table7[[#This Row],[Date]],Database!$A:$C,MATCH($B$1,Database!$A$1:$C$1,),))</f>
        <v/>
      </c>
      <c r="C5762">
        <f>IF(VLOOKUP(Table7[[#This Row],[Date]],Database!$A:$C,MATCH($C$1,Database!$A$1:$C$1,),)=0,#N/A,VLOOKUP(Table7[[#This Row],[Date]],Database!$A:$C,MATCH($C$1,Database!$A$1:$C$1,),))</f>
        <v/>
      </c>
      <c r="D5762">
        <f>IFERROR(Table7[[#This Row],[United States 10y]]-Table7[[#This Row],[United States 3y]],#N/A)</f>
        <v/>
      </c>
    </row>
    <row r="5763">
      <c r="A5763" s="6">
        <f>Database!$A7848</f>
        <v/>
      </c>
      <c r="B5763">
        <f>IF(VLOOKUP(Table7[[#This Row],[Date]],Database!$A:$C,MATCH($B$1,Database!$A$1:$C$1,),)=0,#N/A,VLOOKUP(Table7[[#This Row],[Date]],Database!$A:$C,MATCH($B$1,Database!$A$1:$C$1,),))</f>
        <v/>
      </c>
      <c r="C5763">
        <f>IF(VLOOKUP(Table7[[#This Row],[Date]],Database!$A:$C,MATCH($C$1,Database!$A$1:$C$1,),)=0,#N/A,VLOOKUP(Table7[[#This Row],[Date]],Database!$A:$C,MATCH($C$1,Database!$A$1:$C$1,),))</f>
        <v/>
      </c>
      <c r="D5763">
        <f>IFERROR(Table7[[#This Row],[United States 10y]]-Table7[[#This Row],[United States 3y]],#N/A)</f>
        <v/>
      </c>
    </row>
    <row r="5764">
      <c r="A5764" s="6">
        <f>Database!$A7849</f>
        <v/>
      </c>
      <c r="B5764">
        <f>IF(VLOOKUP(Table7[[#This Row],[Date]],Database!$A:$C,MATCH($B$1,Database!$A$1:$C$1,),)=0,#N/A,VLOOKUP(Table7[[#This Row],[Date]],Database!$A:$C,MATCH($B$1,Database!$A$1:$C$1,),))</f>
        <v/>
      </c>
      <c r="C5764">
        <f>IF(VLOOKUP(Table7[[#This Row],[Date]],Database!$A:$C,MATCH($C$1,Database!$A$1:$C$1,),)=0,#N/A,VLOOKUP(Table7[[#This Row],[Date]],Database!$A:$C,MATCH($C$1,Database!$A$1:$C$1,),))</f>
        <v/>
      </c>
      <c r="D5764">
        <f>IFERROR(Table7[[#This Row],[United States 10y]]-Table7[[#This Row],[United States 3y]],#N/A)</f>
        <v/>
      </c>
    </row>
    <row r="5765">
      <c r="A5765" s="6">
        <f>Database!$A7850</f>
        <v/>
      </c>
      <c r="B5765">
        <f>IF(VLOOKUP(Table7[[#This Row],[Date]],Database!$A:$C,MATCH($B$1,Database!$A$1:$C$1,),)=0,#N/A,VLOOKUP(Table7[[#This Row],[Date]],Database!$A:$C,MATCH($B$1,Database!$A$1:$C$1,),))</f>
        <v/>
      </c>
      <c r="C5765">
        <f>IF(VLOOKUP(Table7[[#This Row],[Date]],Database!$A:$C,MATCH($C$1,Database!$A$1:$C$1,),)=0,#N/A,VLOOKUP(Table7[[#This Row],[Date]],Database!$A:$C,MATCH($C$1,Database!$A$1:$C$1,),))</f>
        <v/>
      </c>
      <c r="D5765">
        <f>IFERROR(Table7[[#This Row],[United States 10y]]-Table7[[#This Row],[United States 3y]],#N/A)</f>
        <v/>
      </c>
    </row>
    <row r="5766">
      <c r="A5766" s="6">
        <f>Database!$A7851</f>
        <v/>
      </c>
      <c r="B5766">
        <f>IF(VLOOKUP(Table7[[#This Row],[Date]],Database!$A:$C,MATCH($B$1,Database!$A$1:$C$1,),)=0,#N/A,VLOOKUP(Table7[[#This Row],[Date]],Database!$A:$C,MATCH($B$1,Database!$A$1:$C$1,),))</f>
        <v/>
      </c>
      <c r="C5766">
        <f>IF(VLOOKUP(Table7[[#This Row],[Date]],Database!$A:$C,MATCH($C$1,Database!$A$1:$C$1,),)=0,#N/A,VLOOKUP(Table7[[#This Row],[Date]],Database!$A:$C,MATCH($C$1,Database!$A$1:$C$1,),))</f>
        <v/>
      </c>
      <c r="D5766">
        <f>IFERROR(Table7[[#This Row],[United States 10y]]-Table7[[#This Row],[United States 3y]],#N/A)</f>
        <v/>
      </c>
    </row>
    <row r="5767">
      <c r="A5767" s="6">
        <f>Database!$A7852</f>
        <v/>
      </c>
      <c r="B5767">
        <f>IF(VLOOKUP(Table7[[#This Row],[Date]],Database!$A:$C,MATCH($B$1,Database!$A$1:$C$1,),)=0,#N/A,VLOOKUP(Table7[[#This Row],[Date]],Database!$A:$C,MATCH($B$1,Database!$A$1:$C$1,),))</f>
        <v/>
      </c>
      <c r="C5767">
        <f>IF(VLOOKUP(Table7[[#This Row],[Date]],Database!$A:$C,MATCH($C$1,Database!$A$1:$C$1,),)=0,#N/A,VLOOKUP(Table7[[#This Row],[Date]],Database!$A:$C,MATCH($C$1,Database!$A$1:$C$1,),))</f>
        <v/>
      </c>
      <c r="D5767">
        <f>IFERROR(Table7[[#This Row],[United States 10y]]-Table7[[#This Row],[United States 3y]],#N/A)</f>
        <v/>
      </c>
    </row>
    <row r="5768">
      <c r="A5768" s="6">
        <f>Database!$A7853</f>
        <v/>
      </c>
      <c r="B5768">
        <f>IF(VLOOKUP(Table7[[#This Row],[Date]],Database!$A:$C,MATCH($B$1,Database!$A$1:$C$1,),)=0,#N/A,VLOOKUP(Table7[[#This Row],[Date]],Database!$A:$C,MATCH($B$1,Database!$A$1:$C$1,),))</f>
        <v/>
      </c>
      <c r="C5768">
        <f>IF(VLOOKUP(Table7[[#This Row],[Date]],Database!$A:$C,MATCH($C$1,Database!$A$1:$C$1,),)=0,#N/A,VLOOKUP(Table7[[#This Row],[Date]],Database!$A:$C,MATCH($C$1,Database!$A$1:$C$1,),))</f>
        <v/>
      </c>
      <c r="D5768">
        <f>IFERROR(Table7[[#This Row],[United States 10y]]-Table7[[#This Row],[United States 3y]],#N/A)</f>
        <v/>
      </c>
    </row>
    <row r="5769">
      <c r="A5769" s="6">
        <f>Database!$A7854</f>
        <v/>
      </c>
      <c r="B5769">
        <f>IF(VLOOKUP(Table7[[#This Row],[Date]],Database!$A:$C,MATCH($B$1,Database!$A$1:$C$1,),)=0,#N/A,VLOOKUP(Table7[[#This Row],[Date]],Database!$A:$C,MATCH($B$1,Database!$A$1:$C$1,),))</f>
        <v/>
      </c>
      <c r="C5769">
        <f>IF(VLOOKUP(Table7[[#This Row],[Date]],Database!$A:$C,MATCH($C$1,Database!$A$1:$C$1,),)=0,#N/A,VLOOKUP(Table7[[#This Row],[Date]],Database!$A:$C,MATCH($C$1,Database!$A$1:$C$1,),))</f>
        <v/>
      </c>
      <c r="D5769">
        <f>IFERROR(Table7[[#This Row],[United States 10y]]-Table7[[#This Row],[United States 3y]],#N/A)</f>
        <v/>
      </c>
    </row>
    <row r="5770">
      <c r="A5770" s="6">
        <f>Database!$A7855</f>
        <v/>
      </c>
      <c r="B5770">
        <f>IF(VLOOKUP(Table7[[#This Row],[Date]],Database!$A:$C,MATCH($B$1,Database!$A$1:$C$1,),)=0,#N/A,VLOOKUP(Table7[[#This Row],[Date]],Database!$A:$C,MATCH($B$1,Database!$A$1:$C$1,),))</f>
        <v/>
      </c>
      <c r="C5770">
        <f>IF(VLOOKUP(Table7[[#This Row],[Date]],Database!$A:$C,MATCH($C$1,Database!$A$1:$C$1,),)=0,#N/A,VLOOKUP(Table7[[#This Row],[Date]],Database!$A:$C,MATCH($C$1,Database!$A$1:$C$1,),))</f>
        <v/>
      </c>
      <c r="D5770">
        <f>IFERROR(Table7[[#This Row],[United States 10y]]-Table7[[#This Row],[United States 3y]],#N/A)</f>
        <v/>
      </c>
    </row>
    <row r="5771">
      <c r="A5771" s="6">
        <f>Database!$A7856</f>
        <v/>
      </c>
      <c r="B5771">
        <f>IF(VLOOKUP(Table7[[#This Row],[Date]],Database!$A:$C,MATCH($B$1,Database!$A$1:$C$1,),)=0,#N/A,VLOOKUP(Table7[[#This Row],[Date]],Database!$A:$C,MATCH($B$1,Database!$A$1:$C$1,),))</f>
        <v/>
      </c>
      <c r="C5771">
        <f>IF(VLOOKUP(Table7[[#This Row],[Date]],Database!$A:$C,MATCH($C$1,Database!$A$1:$C$1,),)=0,#N/A,VLOOKUP(Table7[[#This Row],[Date]],Database!$A:$C,MATCH($C$1,Database!$A$1:$C$1,),))</f>
        <v/>
      </c>
      <c r="D5771">
        <f>IFERROR(Table7[[#This Row],[United States 10y]]-Table7[[#This Row],[United States 3y]],#N/A)</f>
        <v/>
      </c>
    </row>
    <row r="5772">
      <c r="A5772" s="6">
        <f>Database!$A7857</f>
        <v/>
      </c>
      <c r="B5772">
        <f>IF(VLOOKUP(Table7[[#This Row],[Date]],Database!$A:$C,MATCH($B$1,Database!$A$1:$C$1,),)=0,#N/A,VLOOKUP(Table7[[#This Row],[Date]],Database!$A:$C,MATCH($B$1,Database!$A$1:$C$1,),))</f>
        <v/>
      </c>
      <c r="C5772">
        <f>IF(VLOOKUP(Table7[[#This Row],[Date]],Database!$A:$C,MATCH($C$1,Database!$A$1:$C$1,),)=0,#N/A,VLOOKUP(Table7[[#This Row],[Date]],Database!$A:$C,MATCH($C$1,Database!$A$1:$C$1,),))</f>
        <v/>
      </c>
      <c r="D5772">
        <f>IFERROR(Table7[[#This Row],[United States 10y]]-Table7[[#This Row],[United States 3y]],#N/A)</f>
        <v/>
      </c>
    </row>
    <row r="5773">
      <c r="A5773" s="6">
        <f>Database!$A7858</f>
        <v/>
      </c>
      <c r="B5773">
        <f>IF(VLOOKUP(Table7[[#This Row],[Date]],Database!$A:$C,MATCH($B$1,Database!$A$1:$C$1,),)=0,#N/A,VLOOKUP(Table7[[#This Row],[Date]],Database!$A:$C,MATCH($B$1,Database!$A$1:$C$1,),))</f>
        <v/>
      </c>
      <c r="C5773">
        <f>IF(VLOOKUP(Table7[[#This Row],[Date]],Database!$A:$C,MATCH($C$1,Database!$A$1:$C$1,),)=0,#N/A,VLOOKUP(Table7[[#This Row],[Date]],Database!$A:$C,MATCH($C$1,Database!$A$1:$C$1,),))</f>
        <v/>
      </c>
      <c r="D5773">
        <f>IFERROR(Table7[[#This Row],[United States 10y]]-Table7[[#This Row],[United States 3y]],#N/A)</f>
        <v/>
      </c>
    </row>
    <row r="5774">
      <c r="A5774" s="6">
        <f>Database!$A7859</f>
        <v/>
      </c>
      <c r="B5774">
        <f>IF(VLOOKUP(Table7[[#This Row],[Date]],Database!$A:$C,MATCH($B$1,Database!$A$1:$C$1,),)=0,#N/A,VLOOKUP(Table7[[#This Row],[Date]],Database!$A:$C,MATCH($B$1,Database!$A$1:$C$1,),))</f>
        <v/>
      </c>
      <c r="C5774">
        <f>IF(VLOOKUP(Table7[[#This Row],[Date]],Database!$A:$C,MATCH($C$1,Database!$A$1:$C$1,),)=0,#N/A,VLOOKUP(Table7[[#This Row],[Date]],Database!$A:$C,MATCH($C$1,Database!$A$1:$C$1,),))</f>
        <v/>
      </c>
      <c r="D5774">
        <f>IFERROR(Table7[[#This Row],[United States 10y]]-Table7[[#This Row],[United States 3y]],#N/A)</f>
        <v/>
      </c>
    </row>
    <row r="5775">
      <c r="A5775" s="6">
        <f>Database!$A7860</f>
        <v/>
      </c>
      <c r="B5775">
        <f>IF(VLOOKUP(Table7[[#This Row],[Date]],Database!$A:$C,MATCH($B$1,Database!$A$1:$C$1,),)=0,#N/A,VLOOKUP(Table7[[#This Row],[Date]],Database!$A:$C,MATCH($B$1,Database!$A$1:$C$1,),))</f>
        <v/>
      </c>
      <c r="C5775">
        <f>IF(VLOOKUP(Table7[[#This Row],[Date]],Database!$A:$C,MATCH($C$1,Database!$A$1:$C$1,),)=0,#N/A,VLOOKUP(Table7[[#This Row],[Date]],Database!$A:$C,MATCH($C$1,Database!$A$1:$C$1,),))</f>
        <v/>
      </c>
      <c r="D5775">
        <f>IFERROR(Table7[[#This Row],[United States 10y]]-Table7[[#This Row],[United States 3y]],#N/A)</f>
        <v/>
      </c>
    </row>
    <row r="5776">
      <c r="A5776" s="6">
        <f>Database!$A7861</f>
        <v/>
      </c>
      <c r="B5776">
        <f>IF(VLOOKUP(Table7[[#This Row],[Date]],Database!$A:$C,MATCH($B$1,Database!$A$1:$C$1,),)=0,#N/A,VLOOKUP(Table7[[#This Row],[Date]],Database!$A:$C,MATCH($B$1,Database!$A$1:$C$1,),))</f>
        <v/>
      </c>
      <c r="C5776">
        <f>IF(VLOOKUP(Table7[[#This Row],[Date]],Database!$A:$C,MATCH($C$1,Database!$A$1:$C$1,),)=0,#N/A,VLOOKUP(Table7[[#This Row],[Date]],Database!$A:$C,MATCH($C$1,Database!$A$1:$C$1,),))</f>
        <v/>
      </c>
      <c r="D5776">
        <f>IFERROR(Table7[[#This Row],[United States 10y]]-Table7[[#This Row],[United States 3y]],#N/A)</f>
        <v/>
      </c>
    </row>
    <row r="5777">
      <c r="A5777" s="6">
        <f>Database!$A7862</f>
        <v/>
      </c>
      <c r="B5777">
        <f>IF(VLOOKUP(Table7[[#This Row],[Date]],Database!$A:$C,MATCH($B$1,Database!$A$1:$C$1,),)=0,#N/A,VLOOKUP(Table7[[#This Row],[Date]],Database!$A:$C,MATCH($B$1,Database!$A$1:$C$1,),))</f>
        <v/>
      </c>
      <c r="C5777">
        <f>IF(VLOOKUP(Table7[[#This Row],[Date]],Database!$A:$C,MATCH($C$1,Database!$A$1:$C$1,),)=0,#N/A,VLOOKUP(Table7[[#This Row],[Date]],Database!$A:$C,MATCH($C$1,Database!$A$1:$C$1,),))</f>
        <v/>
      </c>
      <c r="D5777">
        <f>IFERROR(Table7[[#This Row],[United States 10y]]-Table7[[#This Row],[United States 3y]],#N/A)</f>
        <v/>
      </c>
    </row>
    <row r="5778">
      <c r="A5778" s="6">
        <f>Database!$A7863</f>
        <v/>
      </c>
      <c r="B5778">
        <f>IF(VLOOKUP(Table7[[#This Row],[Date]],Database!$A:$C,MATCH($B$1,Database!$A$1:$C$1,),)=0,#N/A,VLOOKUP(Table7[[#This Row],[Date]],Database!$A:$C,MATCH($B$1,Database!$A$1:$C$1,),))</f>
        <v/>
      </c>
      <c r="C5778">
        <f>IF(VLOOKUP(Table7[[#This Row],[Date]],Database!$A:$C,MATCH($C$1,Database!$A$1:$C$1,),)=0,#N/A,VLOOKUP(Table7[[#This Row],[Date]],Database!$A:$C,MATCH($C$1,Database!$A$1:$C$1,),))</f>
        <v/>
      </c>
      <c r="D5778">
        <f>IFERROR(Table7[[#This Row],[United States 10y]]-Table7[[#This Row],[United States 3y]],#N/A)</f>
        <v/>
      </c>
    </row>
    <row r="5779">
      <c r="A5779" s="6">
        <f>Database!$A7864</f>
        <v/>
      </c>
      <c r="B5779">
        <f>IF(VLOOKUP(Table7[[#This Row],[Date]],Database!$A:$C,MATCH($B$1,Database!$A$1:$C$1,),)=0,#N/A,VLOOKUP(Table7[[#This Row],[Date]],Database!$A:$C,MATCH($B$1,Database!$A$1:$C$1,),))</f>
        <v/>
      </c>
      <c r="C5779">
        <f>IF(VLOOKUP(Table7[[#This Row],[Date]],Database!$A:$C,MATCH($C$1,Database!$A$1:$C$1,),)=0,#N/A,VLOOKUP(Table7[[#This Row],[Date]],Database!$A:$C,MATCH($C$1,Database!$A$1:$C$1,),))</f>
        <v/>
      </c>
      <c r="D5779">
        <f>IFERROR(Table7[[#This Row],[United States 10y]]-Table7[[#This Row],[United States 3y]],#N/A)</f>
        <v/>
      </c>
    </row>
    <row r="5780">
      <c r="A5780" s="6">
        <f>Database!$A7865</f>
        <v/>
      </c>
      <c r="B5780">
        <f>IF(VLOOKUP(Table7[[#This Row],[Date]],Database!$A:$C,MATCH($B$1,Database!$A$1:$C$1,),)=0,#N/A,VLOOKUP(Table7[[#This Row],[Date]],Database!$A:$C,MATCH($B$1,Database!$A$1:$C$1,),))</f>
        <v/>
      </c>
      <c r="C5780">
        <f>IF(VLOOKUP(Table7[[#This Row],[Date]],Database!$A:$C,MATCH($C$1,Database!$A$1:$C$1,),)=0,#N/A,VLOOKUP(Table7[[#This Row],[Date]],Database!$A:$C,MATCH($C$1,Database!$A$1:$C$1,),))</f>
        <v/>
      </c>
      <c r="D5780">
        <f>IFERROR(Table7[[#This Row],[United States 10y]]-Table7[[#This Row],[United States 3y]],#N/A)</f>
        <v/>
      </c>
    </row>
    <row r="5781">
      <c r="A5781" s="6">
        <f>Database!$A7866</f>
        <v/>
      </c>
      <c r="B5781">
        <f>IF(VLOOKUP(Table7[[#This Row],[Date]],Database!$A:$C,MATCH($B$1,Database!$A$1:$C$1,),)=0,#N/A,VLOOKUP(Table7[[#This Row],[Date]],Database!$A:$C,MATCH($B$1,Database!$A$1:$C$1,),))</f>
        <v/>
      </c>
      <c r="C5781">
        <f>IF(VLOOKUP(Table7[[#This Row],[Date]],Database!$A:$C,MATCH($C$1,Database!$A$1:$C$1,),)=0,#N/A,VLOOKUP(Table7[[#This Row],[Date]],Database!$A:$C,MATCH($C$1,Database!$A$1:$C$1,),))</f>
        <v/>
      </c>
      <c r="D5781">
        <f>IFERROR(Table7[[#This Row],[United States 10y]]-Table7[[#This Row],[United States 3y]],#N/A)</f>
        <v/>
      </c>
    </row>
    <row r="5782">
      <c r="A5782" s="6">
        <f>Database!$A7867</f>
        <v/>
      </c>
      <c r="B5782">
        <f>IF(VLOOKUP(Table7[[#This Row],[Date]],Database!$A:$C,MATCH($B$1,Database!$A$1:$C$1,),)=0,#N/A,VLOOKUP(Table7[[#This Row],[Date]],Database!$A:$C,MATCH($B$1,Database!$A$1:$C$1,),))</f>
        <v/>
      </c>
      <c r="C5782">
        <f>IF(VLOOKUP(Table7[[#This Row],[Date]],Database!$A:$C,MATCH($C$1,Database!$A$1:$C$1,),)=0,#N/A,VLOOKUP(Table7[[#This Row],[Date]],Database!$A:$C,MATCH($C$1,Database!$A$1:$C$1,),))</f>
        <v/>
      </c>
      <c r="D5782">
        <f>IFERROR(Table7[[#This Row],[United States 10y]]-Table7[[#This Row],[United States 3y]],#N/A)</f>
        <v/>
      </c>
    </row>
    <row r="5783">
      <c r="A5783" s="6">
        <f>Database!$A7868</f>
        <v/>
      </c>
      <c r="B5783">
        <f>IF(VLOOKUP(Table7[[#This Row],[Date]],Database!$A:$C,MATCH($B$1,Database!$A$1:$C$1,),)=0,#N/A,VLOOKUP(Table7[[#This Row],[Date]],Database!$A:$C,MATCH($B$1,Database!$A$1:$C$1,),))</f>
        <v/>
      </c>
      <c r="C5783">
        <f>IF(VLOOKUP(Table7[[#This Row],[Date]],Database!$A:$C,MATCH($C$1,Database!$A$1:$C$1,),)=0,#N/A,VLOOKUP(Table7[[#This Row],[Date]],Database!$A:$C,MATCH($C$1,Database!$A$1:$C$1,),))</f>
        <v/>
      </c>
      <c r="D5783">
        <f>IFERROR(Table7[[#This Row],[United States 10y]]-Table7[[#This Row],[United States 3y]],#N/A)</f>
        <v/>
      </c>
    </row>
    <row r="5784">
      <c r="A5784" s="6">
        <f>Database!$A7869</f>
        <v/>
      </c>
      <c r="B5784">
        <f>IF(VLOOKUP(Table7[[#This Row],[Date]],Database!$A:$C,MATCH($B$1,Database!$A$1:$C$1,),)=0,#N/A,VLOOKUP(Table7[[#This Row],[Date]],Database!$A:$C,MATCH($B$1,Database!$A$1:$C$1,),))</f>
        <v/>
      </c>
      <c r="C5784">
        <f>IF(VLOOKUP(Table7[[#This Row],[Date]],Database!$A:$C,MATCH($C$1,Database!$A$1:$C$1,),)=0,#N/A,VLOOKUP(Table7[[#This Row],[Date]],Database!$A:$C,MATCH($C$1,Database!$A$1:$C$1,),))</f>
        <v/>
      </c>
      <c r="D5784">
        <f>IFERROR(Table7[[#This Row],[United States 10y]]-Table7[[#This Row],[United States 3y]],#N/A)</f>
        <v/>
      </c>
    </row>
    <row r="5785">
      <c r="A5785" s="6">
        <f>Database!$A7870</f>
        <v/>
      </c>
      <c r="B5785">
        <f>IF(VLOOKUP(Table7[[#This Row],[Date]],Database!$A:$C,MATCH($B$1,Database!$A$1:$C$1,),)=0,#N/A,VLOOKUP(Table7[[#This Row],[Date]],Database!$A:$C,MATCH($B$1,Database!$A$1:$C$1,),))</f>
        <v/>
      </c>
      <c r="C5785">
        <f>IF(VLOOKUP(Table7[[#This Row],[Date]],Database!$A:$C,MATCH($C$1,Database!$A$1:$C$1,),)=0,#N/A,VLOOKUP(Table7[[#This Row],[Date]],Database!$A:$C,MATCH($C$1,Database!$A$1:$C$1,),))</f>
        <v/>
      </c>
      <c r="D5785">
        <f>IFERROR(Table7[[#This Row],[United States 10y]]-Table7[[#This Row],[United States 3y]],#N/A)</f>
        <v/>
      </c>
    </row>
    <row r="5786">
      <c r="A5786" s="6">
        <f>Database!$A7871</f>
        <v/>
      </c>
      <c r="B5786">
        <f>IF(VLOOKUP(Table7[[#This Row],[Date]],Database!$A:$C,MATCH($B$1,Database!$A$1:$C$1,),)=0,#N/A,VLOOKUP(Table7[[#This Row],[Date]],Database!$A:$C,MATCH($B$1,Database!$A$1:$C$1,),))</f>
        <v/>
      </c>
      <c r="C5786">
        <f>IF(VLOOKUP(Table7[[#This Row],[Date]],Database!$A:$C,MATCH($C$1,Database!$A$1:$C$1,),)=0,#N/A,VLOOKUP(Table7[[#This Row],[Date]],Database!$A:$C,MATCH($C$1,Database!$A$1:$C$1,),))</f>
        <v/>
      </c>
      <c r="D5786">
        <f>IFERROR(Table7[[#This Row],[United States 10y]]-Table7[[#This Row],[United States 3y]],#N/A)</f>
        <v/>
      </c>
    </row>
    <row r="5787">
      <c r="A5787" s="6">
        <f>Database!$A7872</f>
        <v/>
      </c>
      <c r="B5787">
        <f>IF(VLOOKUP(Table7[[#This Row],[Date]],Database!$A:$C,MATCH($B$1,Database!$A$1:$C$1,),)=0,#N/A,VLOOKUP(Table7[[#This Row],[Date]],Database!$A:$C,MATCH($B$1,Database!$A$1:$C$1,),))</f>
        <v/>
      </c>
      <c r="C5787">
        <f>IF(VLOOKUP(Table7[[#This Row],[Date]],Database!$A:$C,MATCH($C$1,Database!$A$1:$C$1,),)=0,#N/A,VLOOKUP(Table7[[#This Row],[Date]],Database!$A:$C,MATCH($C$1,Database!$A$1:$C$1,),))</f>
        <v/>
      </c>
      <c r="D5787">
        <f>IFERROR(Table7[[#This Row],[United States 10y]]-Table7[[#This Row],[United States 3y]],#N/A)</f>
        <v/>
      </c>
    </row>
    <row r="5788">
      <c r="A5788" s="6">
        <f>Database!$A7873</f>
        <v/>
      </c>
      <c r="B5788">
        <f>IF(VLOOKUP(Table7[[#This Row],[Date]],Database!$A:$C,MATCH($B$1,Database!$A$1:$C$1,),)=0,#N/A,VLOOKUP(Table7[[#This Row],[Date]],Database!$A:$C,MATCH($B$1,Database!$A$1:$C$1,),))</f>
        <v/>
      </c>
      <c r="C5788">
        <f>IF(VLOOKUP(Table7[[#This Row],[Date]],Database!$A:$C,MATCH($C$1,Database!$A$1:$C$1,),)=0,#N/A,VLOOKUP(Table7[[#This Row],[Date]],Database!$A:$C,MATCH($C$1,Database!$A$1:$C$1,),))</f>
        <v/>
      </c>
      <c r="D5788">
        <f>IFERROR(Table7[[#This Row],[United States 10y]]-Table7[[#This Row],[United States 3y]],#N/A)</f>
        <v/>
      </c>
    </row>
    <row r="5789">
      <c r="A5789" s="6">
        <f>Database!$A7874</f>
        <v/>
      </c>
      <c r="B5789">
        <f>IF(VLOOKUP(Table7[[#This Row],[Date]],Database!$A:$C,MATCH($B$1,Database!$A$1:$C$1,),)=0,#N/A,VLOOKUP(Table7[[#This Row],[Date]],Database!$A:$C,MATCH($B$1,Database!$A$1:$C$1,),))</f>
        <v/>
      </c>
      <c r="C5789">
        <f>IF(VLOOKUP(Table7[[#This Row],[Date]],Database!$A:$C,MATCH($C$1,Database!$A$1:$C$1,),)=0,#N/A,VLOOKUP(Table7[[#This Row],[Date]],Database!$A:$C,MATCH($C$1,Database!$A$1:$C$1,),))</f>
        <v/>
      </c>
      <c r="D5789">
        <f>IFERROR(Table7[[#This Row],[United States 10y]]-Table7[[#This Row],[United States 3y]],#N/A)</f>
        <v/>
      </c>
    </row>
    <row r="5790">
      <c r="A5790" s="6">
        <f>Database!$A7875</f>
        <v/>
      </c>
      <c r="B5790">
        <f>IF(VLOOKUP(Table7[[#This Row],[Date]],Database!$A:$C,MATCH($B$1,Database!$A$1:$C$1,),)=0,#N/A,VLOOKUP(Table7[[#This Row],[Date]],Database!$A:$C,MATCH($B$1,Database!$A$1:$C$1,),))</f>
        <v/>
      </c>
      <c r="C5790">
        <f>IF(VLOOKUP(Table7[[#This Row],[Date]],Database!$A:$C,MATCH($C$1,Database!$A$1:$C$1,),)=0,#N/A,VLOOKUP(Table7[[#This Row],[Date]],Database!$A:$C,MATCH($C$1,Database!$A$1:$C$1,),))</f>
        <v/>
      </c>
      <c r="D5790">
        <f>IFERROR(Table7[[#This Row],[United States 10y]]-Table7[[#This Row],[United States 3y]],#N/A)</f>
        <v/>
      </c>
    </row>
    <row r="5791">
      <c r="A5791" s="6">
        <f>Database!$A7876</f>
        <v/>
      </c>
      <c r="B5791">
        <f>IF(VLOOKUP(Table7[[#This Row],[Date]],Database!$A:$C,MATCH($B$1,Database!$A$1:$C$1,),)=0,#N/A,VLOOKUP(Table7[[#This Row],[Date]],Database!$A:$C,MATCH($B$1,Database!$A$1:$C$1,),))</f>
        <v/>
      </c>
      <c r="C5791">
        <f>IF(VLOOKUP(Table7[[#This Row],[Date]],Database!$A:$C,MATCH($C$1,Database!$A$1:$C$1,),)=0,#N/A,VLOOKUP(Table7[[#This Row],[Date]],Database!$A:$C,MATCH($C$1,Database!$A$1:$C$1,),))</f>
        <v/>
      </c>
      <c r="D5791">
        <f>IFERROR(Table7[[#This Row],[United States 10y]]-Table7[[#This Row],[United States 3y]],#N/A)</f>
        <v/>
      </c>
    </row>
    <row r="5792">
      <c r="A5792" s="6">
        <f>Database!$A7877</f>
        <v/>
      </c>
      <c r="B5792">
        <f>IF(VLOOKUP(Table7[[#This Row],[Date]],Database!$A:$C,MATCH($B$1,Database!$A$1:$C$1,),)=0,#N/A,VLOOKUP(Table7[[#This Row],[Date]],Database!$A:$C,MATCH($B$1,Database!$A$1:$C$1,),))</f>
        <v/>
      </c>
      <c r="C5792">
        <f>IF(VLOOKUP(Table7[[#This Row],[Date]],Database!$A:$C,MATCH($C$1,Database!$A$1:$C$1,),)=0,#N/A,VLOOKUP(Table7[[#This Row],[Date]],Database!$A:$C,MATCH($C$1,Database!$A$1:$C$1,),))</f>
        <v/>
      </c>
      <c r="D5792">
        <f>IFERROR(Table7[[#This Row],[United States 10y]]-Table7[[#This Row],[United States 3y]],#N/A)</f>
        <v/>
      </c>
    </row>
    <row r="5793">
      <c r="A5793" s="6">
        <f>Database!$A7878</f>
        <v/>
      </c>
      <c r="B5793">
        <f>IF(VLOOKUP(Table7[[#This Row],[Date]],Database!$A:$C,MATCH($B$1,Database!$A$1:$C$1,),)=0,#N/A,VLOOKUP(Table7[[#This Row],[Date]],Database!$A:$C,MATCH($B$1,Database!$A$1:$C$1,),))</f>
        <v/>
      </c>
      <c r="C5793">
        <f>IF(VLOOKUP(Table7[[#This Row],[Date]],Database!$A:$C,MATCH($C$1,Database!$A$1:$C$1,),)=0,#N/A,VLOOKUP(Table7[[#This Row],[Date]],Database!$A:$C,MATCH($C$1,Database!$A$1:$C$1,),))</f>
        <v/>
      </c>
      <c r="D5793">
        <f>IFERROR(Table7[[#This Row],[United States 10y]]-Table7[[#This Row],[United States 3y]],#N/A)</f>
        <v/>
      </c>
    </row>
    <row r="5794">
      <c r="A5794" s="6">
        <f>Database!$A7879</f>
        <v/>
      </c>
      <c r="B5794">
        <f>IF(VLOOKUP(Table7[[#This Row],[Date]],Database!$A:$C,MATCH($B$1,Database!$A$1:$C$1,),)=0,#N/A,VLOOKUP(Table7[[#This Row],[Date]],Database!$A:$C,MATCH($B$1,Database!$A$1:$C$1,),))</f>
        <v/>
      </c>
      <c r="C5794">
        <f>IF(VLOOKUP(Table7[[#This Row],[Date]],Database!$A:$C,MATCH($C$1,Database!$A$1:$C$1,),)=0,#N/A,VLOOKUP(Table7[[#This Row],[Date]],Database!$A:$C,MATCH($C$1,Database!$A$1:$C$1,),))</f>
        <v/>
      </c>
      <c r="D5794">
        <f>IFERROR(Table7[[#This Row],[United States 10y]]-Table7[[#This Row],[United States 3y]],#N/A)</f>
        <v/>
      </c>
    </row>
    <row r="5795">
      <c r="A5795" s="6">
        <f>Database!$A7880</f>
        <v/>
      </c>
      <c r="B5795">
        <f>IF(VLOOKUP(Table7[[#This Row],[Date]],Database!$A:$C,MATCH($B$1,Database!$A$1:$C$1,),)=0,#N/A,VLOOKUP(Table7[[#This Row],[Date]],Database!$A:$C,MATCH($B$1,Database!$A$1:$C$1,),))</f>
        <v/>
      </c>
      <c r="C5795">
        <f>IF(VLOOKUP(Table7[[#This Row],[Date]],Database!$A:$C,MATCH($C$1,Database!$A$1:$C$1,),)=0,#N/A,VLOOKUP(Table7[[#This Row],[Date]],Database!$A:$C,MATCH($C$1,Database!$A$1:$C$1,),))</f>
        <v/>
      </c>
      <c r="D5795">
        <f>IFERROR(Table7[[#This Row],[United States 10y]]-Table7[[#This Row],[United States 3y]],#N/A)</f>
        <v/>
      </c>
    </row>
    <row r="5796">
      <c r="A5796" s="6">
        <f>Database!$A7881</f>
        <v/>
      </c>
      <c r="B5796">
        <f>IF(VLOOKUP(Table7[[#This Row],[Date]],Database!$A:$C,MATCH($B$1,Database!$A$1:$C$1,),)=0,#N/A,VLOOKUP(Table7[[#This Row],[Date]],Database!$A:$C,MATCH($B$1,Database!$A$1:$C$1,),))</f>
        <v/>
      </c>
      <c r="C5796">
        <f>IF(VLOOKUP(Table7[[#This Row],[Date]],Database!$A:$C,MATCH($C$1,Database!$A$1:$C$1,),)=0,#N/A,VLOOKUP(Table7[[#This Row],[Date]],Database!$A:$C,MATCH($C$1,Database!$A$1:$C$1,),))</f>
        <v/>
      </c>
      <c r="D5796">
        <f>IFERROR(Table7[[#This Row],[United States 10y]]-Table7[[#This Row],[United States 3y]],#N/A)</f>
        <v/>
      </c>
    </row>
    <row r="5797">
      <c r="A5797" s="6">
        <f>Database!$A7882</f>
        <v/>
      </c>
      <c r="B5797">
        <f>IF(VLOOKUP(Table7[[#This Row],[Date]],Database!$A:$C,MATCH($B$1,Database!$A$1:$C$1,),)=0,#N/A,VLOOKUP(Table7[[#This Row],[Date]],Database!$A:$C,MATCH($B$1,Database!$A$1:$C$1,),))</f>
        <v/>
      </c>
      <c r="C5797">
        <f>IF(VLOOKUP(Table7[[#This Row],[Date]],Database!$A:$C,MATCH($C$1,Database!$A$1:$C$1,),)=0,#N/A,VLOOKUP(Table7[[#This Row],[Date]],Database!$A:$C,MATCH($C$1,Database!$A$1:$C$1,),))</f>
        <v/>
      </c>
      <c r="D5797">
        <f>IFERROR(Table7[[#This Row],[United States 10y]]-Table7[[#This Row],[United States 3y]],#N/A)</f>
        <v/>
      </c>
    </row>
    <row r="5798">
      <c r="A5798" s="6">
        <f>Database!$A7883</f>
        <v/>
      </c>
      <c r="B5798">
        <f>IF(VLOOKUP(Table7[[#This Row],[Date]],Database!$A:$C,MATCH($B$1,Database!$A$1:$C$1,),)=0,#N/A,VLOOKUP(Table7[[#This Row],[Date]],Database!$A:$C,MATCH($B$1,Database!$A$1:$C$1,),))</f>
        <v/>
      </c>
      <c r="C5798">
        <f>IF(VLOOKUP(Table7[[#This Row],[Date]],Database!$A:$C,MATCH($C$1,Database!$A$1:$C$1,),)=0,#N/A,VLOOKUP(Table7[[#This Row],[Date]],Database!$A:$C,MATCH($C$1,Database!$A$1:$C$1,),))</f>
        <v/>
      </c>
      <c r="D5798">
        <f>IFERROR(Table7[[#This Row],[United States 10y]]-Table7[[#This Row],[United States 3y]],#N/A)</f>
        <v/>
      </c>
    </row>
    <row r="5799">
      <c r="A5799" s="6">
        <f>Database!$A7884</f>
        <v/>
      </c>
      <c r="B5799">
        <f>IF(VLOOKUP(Table7[[#This Row],[Date]],Database!$A:$C,MATCH($B$1,Database!$A$1:$C$1,),)=0,#N/A,VLOOKUP(Table7[[#This Row],[Date]],Database!$A:$C,MATCH($B$1,Database!$A$1:$C$1,),))</f>
        <v/>
      </c>
      <c r="C5799">
        <f>IF(VLOOKUP(Table7[[#This Row],[Date]],Database!$A:$C,MATCH($C$1,Database!$A$1:$C$1,),)=0,#N/A,VLOOKUP(Table7[[#This Row],[Date]],Database!$A:$C,MATCH($C$1,Database!$A$1:$C$1,),))</f>
        <v/>
      </c>
      <c r="D5799">
        <f>IFERROR(Table7[[#This Row],[United States 10y]]-Table7[[#This Row],[United States 3y]],#N/A)</f>
        <v/>
      </c>
    </row>
    <row r="5800">
      <c r="A5800" s="6">
        <f>Database!$A7885</f>
        <v/>
      </c>
      <c r="B5800">
        <f>IF(VLOOKUP(Table7[[#This Row],[Date]],Database!$A:$C,MATCH($B$1,Database!$A$1:$C$1,),)=0,#N/A,VLOOKUP(Table7[[#This Row],[Date]],Database!$A:$C,MATCH($B$1,Database!$A$1:$C$1,),))</f>
        <v/>
      </c>
      <c r="C5800">
        <f>IF(VLOOKUP(Table7[[#This Row],[Date]],Database!$A:$C,MATCH($C$1,Database!$A$1:$C$1,),)=0,#N/A,VLOOKUP(Table7[[#This Row],[Date]],Database!$A:$C,MATCH($C$1,Database!$A$1:$C$1,),))</f>
        <v/>
      </c>
      <c r="D5800">
        <f>IFERROR(Table7[[#This Row],[United States 10y]]-Table7[[#This Row],[United States 3y]],#N/A)</f>
        <v/>
      </c>
    </row>
    <row r="5801">
      <c r="A5801" s="6">
        <f>Database!$A7886</f>
        <v/>
      </c>
      <c r="B5801">
        <f>IF(VLOOKUP(Table7[[#This Row],[Date]],Database!$A:$C,MATCH($B$1,Database!$A$1:$C$1,),)=0,#N/A,VLOOKUP(Table7[[#This Row],[Date]],Database!$A:$C,MATCH($B$1,Database!$A$1:$C$1,),))</f>
        <v/>
      </c>
      <c r="C5801">
        <f>IF(VLOOKUP(Table7[[#This Row],[Date]],Database!$A:$C,MATCH($C$1,Database!$A$1:$C$1,),)=0,#N/A,VLOOKUP(Table7[[#This Row],[Date]],Database!$A:$C,MATCH($C$1,Database!$A$1:$C$1,),))</f>
        <v/>
      </c>
      <c r="D5801">
        <f>IFERROR(Table7[[#This Row],[United States 10y]]-Table7[[#This Row],[United States 3y]],#N/A)</f>
        <v/>
      </c>
    </row>
    <row r="5802">
      <c r="A5802" s="6">
        <f>Database!$A7887</f>
        <v/>
      </c>
      <c r="B5802">
        <f>IF(VLOOKUP(Table7[[#This Row],[Date]],Database!$A:$C,MATCH($B$1,Database!$A$1:$C$1,),)=0,#N/A,VLOOKUP(Table7[[#This Row],[Date]],Database!$A:$C,MATCH($B$1,Database!$A$1:$C$1,),))</f>
        <v/>
      </c>
      <c r="C5802">
        <f>IF(VLOOKUP(Table7[[#This Row],[Date]],Database!$A:$C,MATCH($C$1,Database!$A$1:$C$1,),)=0,#N/A,VLOOKUP(Table7[[#This Row],[Date]],Database!$A:$C,MATCH($C$1,Database!$A$1:$C$1,),))</f>
        <v/>
      </c>
      <c r="D5802">
        <f>IFERROR(Table7[[#This Row],[United States 10y]]-Table7[[#This Row],[United States 3y]],#N/A)</f>
        <v/>
      </c>
    </row>
    <row r="5803">
      <c r="A5803" s="6">
        <f>Database!$A7888</f>
        <v/>
      </c>
      <c r="B5803">
        <f>IF(VLOOKUP(Table7[[#This Row],[Date]],Database!$A:$C,MATCH($B$1,Database!$A$1:$C$1,),)=0,#N/A,VLOOKUP(Table7[[#This Row],[Date]],Database!$A:$C,MATCH($B$1,Database!$A$1:$C$1,),))</f>
        <v/>
      </c>
      <c r="C5803">
        <f>IF(VLOOKUP(Table7[[#This Row],[Date]],Database!$A:$C,MATCH($C$1,Database!$A$1:$C$1,),)=0,#N/A,VLOOKUP(Table7[[#This Row],[Date]],Database!$A:$C,MATCH($C$1,Database!$A$1:$C$1,),))</f>
        <v/>
      </c>
      <c r="D5803">
        <f>IFERROR(Table7[[#This Row],[United States 10y]]-Table7[[#This Row],[United States 3y]],#N/A)</f>
        <v/>
      </c>
    </row>
    <row r="5804">
      <c r="A5804" s="6">
        <f>Database!$A7889</f>
        <v/>
      </c>
      <c r="B5804">
        <f>IF(VLOOKUP(Table7[[#This Row],[Date]],Database!$A:$C,MATCH($B$1,Database!$A$1:$C$1,),)=0,#N/A,VLOOKUP(Table7[[#This Row],[Date]],Database!$A:$C,MATCH($B$1,Database!$A$1:$C$1,),))</f>
        <v/>
      </c>
      <c r="C5804">
        <f>IF(VLOOKUP(Table7[[#This Row],[Date]],Database!$A:$C,MATCH($C$1,Database!$A$1:$C$1,),)=0,#N/A,VLOOKUP(Table7[[#This Row],[Date]],Database!$A:$C,MATCH($C$1,Database!$A$1:$C$1,),))</f>
        <v/>
      </c>
      <c r="D5804">
        <f>IFERROR(Table7[[#This Row],[United States 10y]]-Table7[[#This Row],[United States 3y]],#N/A)</f>
        <v/>
      </c>
    </row>
    <row r="5805">
      <c r="A5805" s="6">
        <f>Database!$A7890</f>
        <v/>
      </c>
      <c r="B5805">
        <f>IF(VLOOKUP(Table7[[#This Row],[Date]],Database!$A:$C,MATCH($B$1,Database!$A$1:$C$1,),)=0,#N/A,VLOOKUP(Table7[[#This Row],[Date]],Database!$A:$C,MATCH($B$1,Database!$A$1:$C$1,),))</f>
        <v/>
      </c>
      <c r="C5805">
        <f>IF(VLOOKUP(Table7[[#This Row],[Date]],Database!$A:$C,MATCH($C$1,Database!$A$1:$C$1,),)=0,#N/A,VLOOKUP(Table7[[#This Row],[Date]],Database!$A:$C,MATCH($C$1,Database!$A$1:$C$1,),))</f>
        <v/>
      </c>
      <c r="D5805">
        <f>IFERROR(Table7[[#This Row],[United States 10y]]-Table7[[#This Row],[United States 3y]],#N/A)</f>
        <v/>
      </c>
    </row>
    <row r="5806">
      <c r="A5806" s="6">
        <f>Database!$A7891</f>
        <v/>
      </c>
      <c r="B5806">
        <f>IF(VLOOKUP(Table7[[#This Row],[Date]],Database!$A:$C,MATCH($B$1,Database!$A$1:$C$1,),)=0,#N/A,VLOOKUP(Table7[[#This Row],[Date]],Database!$A:$C,MATCH($B$1,Database!$A$1:$C$1,),))</f>
        <v/>
      </c>
      <c r="C5806">
        <f>IF(VLOOKUP(Table7[[#This Row],[Date]],Database!$A:$C,MATCH($C$1,Database!$A$1:$C$1,),)=0,#N/A,VLOOKUP(Table7[[#This Row],[Date]],Database!$A:$C,MATCH($C$1,Database!$A$1:$C$1,),))</f>
        <v/>
      </c>
      <c r="D5806">
        <f>IFERROR(Table7[[#This Row],[United States 10y]]-Table7[[#This Row],[United States 3y]],#N/A)</f>
        <v/>
      </c>
    </row>
    <row r="5807">
      <c r="A5807" s="6">
        <f>Database!$A7892</f>
        <v/>
      </c>
      <c r="B5807">
        <f>IF(VLOOKUP(Table7[[#This Row],[Date]],Database!$A:$C,MATCH($B$1,Database!$A$1:$C$1,),)=0,#N/A,VLOOKUP(Table7[[#This Row],[Date]],Database!$A:$C,MATCH($B$1,Database!$A$1:$C$1,),))</f>
        <v/>
      </c>
      <c r="C5807">
        <f>IF(VLOOKUP(Table7[[#This Row],[Date]],Database!$A:$C,MATCH($C$1,Database!$A$1:$C$1,),)=0,#N/A,VLOOKUP(Table7[[#This Row],[Date]],Database!$A:$C,MATCH($C$1,Database!$A$1:$C$1,),))</f>
        <v/>
      </c>
      <c r="D5807">
        <f>IFERROR(Table7[[#This Row],[United States 10y]]-Table7[[#This Row],[United States 3y]],#N/A)</f>
        <v/>
      </c>
    </row>
    <row r="5808">
      <c r="A5808" s="6">
        <f>Database!$A7893</f>
        <v/>
      </c>
      <c r="B5808">
        <f>IF(VLOOKUP(Table7[[#This Row],[Date]],Database!$A:$C,MATCH($B$1,Database!$A$1:$C$1,),)=0,#N/A,VLOOKUP(Table7[[#This Row],[Date]],Database!$A:$C,MATCH($B$1,Database!$A$1:$C$1,),))</f>
        <v/>
      </c>
      <c r="C5808">
        <f>IF(VLOOKUP(Table7[[#This Row],[Date]],Database!$A:$C,MATCH($C$1,Database!$A$1:$C$1,),)=0,#N/A,VLOOKUP(Table7[[#This Row],[Date]],Database!$A:$C,MATCH($C$1,Database!$A$1:$C$1,),))</f>
        <v/>
      </c>
      <c r="D5808">
        <f>IFERROR(Table7[[#This Row],[United States 10y]]-Table7[[#This Row],[United States 3y]],#N/A)</f>
        <v/>
      </c>
    </row>
    <row r="5809">
      <c r="A5809" s="6">
        <f>Database!$A7894</f>
        <v/>
      </c>
      <c r="B5809">
        <f>IF(VLOOKUP(Table7[[#This Row],[Date]],Database!$A:$C,MATCH($B$1,Database!$A$1:$C$1,),)=0,#N/A,VLOOKUP(Table7[[#This Row],[Date]],Database!$A:$C,MATCH($B$1,Database!$A$1:$C$1,),))</f>
        <v/>
      </c>
      <c r="C5809">
        <f>IF(VLOOKUP(Table7[[#This Row],[Date]],Database!$A:$C,MATCH($C$1,Database!$A$1:$C$1,),)=0,#N/A,VLOOKUP(Table7[[#This Row],[Date]],Database!$A:$C,MATCH($C$1,Database!$A$1:$C$1,),))</f>
        <v/>
      </c>
      <c r="D5809">
        <f>IFERROR(Table7[[#This Row],[United States 10y]]-Table7[[#This Row],[United States 3y]],#N/A)</f>
        <v/>
      </c>
    </row>
    <row r="5810">
      <c r="A5810" s="6">
        <f>Database!$A7895</f>
        <v/>
      </c>
      <c r="B5810">
        <f>IF(VLOOKUP(Table7[[#This Row],[Date]],Database!$A:$C,MATCH($B$1,Database!$A$1:$C$1,),)=0,#N/A,VLOOKUP(Table7[[#This Row],[Date]],Database!$A:$C,MATCH($B$1,Database!$A$1:$C$1,),))</f>
        <v/>
      </c>
      <c r="C5810">
        <f>IF(VLOOKUP(Table7[[#This Row],[Date]],Database!$A:$C,MATCH($C$1,Database!$A$1:$C$1,),)=0,#N/A,VLOOKUP(Table7[[#This Row],[Date]],Database!$A:$C,MATCH($C$1,Database!$A$1:$C$1,),))</f>
        <v/>
      </c>
      <c r="D5810">
        <f>IFERROR(Table7[[#This Row],[United States 10y]]-Table7[[#This Row],[United States 3y]],#N/A)</f>
        <v/>
      </c>
    </row>
    <row r="5811">
      <c r="A5811" s="6">
        <f>Database!$A7896</f>
        <v/>
      </c>
      <c r="B5811">
        <f>IF(VLOOKUP(Table7[[#This Row],[Date]],Database!$A:$C,MATCH($B$1,Database!$A$1:$C$1,),)=0,#N/A,VLOOKUP(Table7[[#This Row],[Date]],Database!$A:$C,MATCH($B$1,Database!$A$1:$C$1,),))</f>
        <v/>
      </c>
      <c r="C5811">
        <f>IF(VLOOKUP(Table7[[#This Row],[Date]],Database!$A:$C,MATCH($C$1,Database!$A$1:$C$1,),)=0,#N/A,VLOOKUP(Table7[[#This Row],[Date]],Database!$A:$C,MATCH($C$1,Database!$A$1:$C$1,),))</f>
        <v/>
      </c>
      <c r="D5811">
        <f>IFERROR(Table7[[#This Row],[United States 10y]]-Table7[[#This Row],[United States 3y]],#N/A)</f>
        <v/>
      </c>
    </row>
    <row r="5812">
      <c r="A5812" s="6">
        <f>Database!$A7897</f>
        <v/>
      </c>
      <c r="B5812">
        <f>IF(VLOOKUP(Table7[[#This Row],[Date]],Database!$A:$C,MATCH($B$1,Database!$A$1:$C$1,),)=0,#N/A,VLOOKUP(Table7[[#This Row],[Date]],Database!$A:$C,MATCH($B$1,Database!$A$1:$C$1,),))</f>
        <v/>
      </c>
      <c r="C5812">
        <f>IF(VLOOKUP(Table7[[#This Row],[Date]],Database!$A:$C,MATCH($C$1,Database!$A$1:$C$1,),)=0,#N/A,VLOOKUP(Table7[[#This Row],[Date]],Database!$A:$C,MATCH($C$1,Database!$A$1:$C$1,),))</f>
        <v/>
      </c>
      <c r="D5812">
        <f>IFERROR(Table7[[#This Row],[United States 10y]]-Table7[[#This Row],[United States 3y]],#N/A)</f>
        <v/>
      </c>
    </row>
    <row r="5813">
      <c r="A5813" s="6">
        <f>Database!$A7898</f>
        <v/>
      </c>
      <c r="B5813">
        <f>IF(VLOOKUP(Table7[[#This Row],[Date]],Database!$A:$C,MATCH($B$1,Database!$A$1:$C$1,),)=0,#N/A,VLOOKUP(Table7[[#This Row],[Date]],Database!$A:$C,MATCH($B$1,Database!$A$1:$C$1,),))</f>
        <v/>
      </c>
      <c r="C5813">
        <f>IF(VLOOKUP(Table7[[#This Row],[Date]],Database!$A:$C,MATCH($C$1,Database!$A$1:$C$1,),)=0,#N/A,VLOOKUP(Table7[[#This Row],[Date]],Database!$A:$C,MATCH($C$1,Database!$A$1:$C$1,),))</f>
        <v/>
      </c>
      <c r="D5813">
        <f>IFERROR(Table7[[#This Row],[United States 10y]]-Table7[[#This Row],[United States 3y]],#N/A)</f>
        <v/>
      </c>
    </row>
    <row r="5814">
      <c r="A5814" s="6">
        <f>Database!$A7899</f>
        <v/>
      </c>
      <c r="B5814">
        <f>IF(VLOOKUP(Table7[[#This Row],[Date]],Database!$A:$C,MATCH($B$1,Database!$A$1:$C$1,),)=0,#N/A,VLOOKUP(Table7[[#This Row],[Date]],Database!$A:$C,MATCH($B$1,Database!$A$1:$C$1,),))</f>
        <v/>
      </c>
      <c r="C5814">
        <f>IF(VLOOKUP(Table7[[#This Row],[Date]],Database!$A:$C,MATCH($C$1,Database!$A$1:$C$1,),)=0,#N/A,VLOOKUP(Table7[[#This Row],[Date]],Database!$A:$C,MATCH($C$1,Database!$A$1:$C$1,),))</f>
        <v/>
      </c>
      <c r="D5814">
        <f>IFERROR(Table7[[#This Row],[United States 10y]]-Table7[[#This Row],[United States 3y]],#N/A)</f>
        <v/>
      </c>
    </row>
    <row r="5815">
      <c r="A5815" s="6">
        <f>Database!$A7900</f>
        <v/>
      </c>
      <c r="B5815">
        <f>IF(VLOOKUP(Table7[[#This Row],[Date]],Database!$A:$C,MATCH($B$1,Database!$A$1:$C$1,),)=0,#N/A,VLOOKUP(Table7[[#This Row],[Date]],Database!$A:$C,MATCH($B$1,Database!$A$1:$C$1,),))</f>
        <v/>
      </c>
      <c r="C5815">
        <f>IF(VLOOKUP(Table7[[#This Row],[Date]],Database!$A:$C,MATCH($C$1,Database!$A$1:$C$1,),)=0,#N/A,VLOOKUP(Table7[[#This Row],[Date]],Database!$A:$C,MATCH($C$1,Database!$A$1:$C$1,),))</f>
        <v/>
      </c>
      <c r="D5815">
        <f>IFERROR(Table7[[#This Row],[United States 10y]]-Table7[[#This Row],[United States 3y]],#N/A)</f>
        <v/>
      </c>
    </row>
    <row r="5816">
      <c r="A5816" s="6">
        <f>Database!$A7901</f>
        <v/>
      </c>
      <c r="B5816">
        <f>IF(VLOOKUP(Table7[[#This Row],[Date]],Database!$A:$C,MATCH($B$1,Database!$A$1:$C$1,),)=0,#N/A,VLOOKUP(Table7[[#This Row],[Date]],Database!$A:$C,MATCH($B$1,Database!$A$1:$C$1,),))</f>
        <v/>
      </c>
      <c r="C5816">
        <f>IF(VLOOKUP(Table7[[#This Row],[Date]],Database!$A:$C,MATCH($C$1,Database!$A$1:$C$1,),)=0,#N/A,VLOOKUP(Table7[[#This Row],[Date]],Database!$A:$C,MATCH($C$1,Database!$A$1:$C$1,),))</f>
        <v/>
      </c>
      <c r="D5816">
        <f>IFERROR(Table7[[#This Row],[United States 10y]]-Table7[[#This Row],[United States 3y]],#N/A)</f>
        <v/>
      </c>
    </row>
    <row r="5817">
      <c r="A5817" s="6">
        <f>Database!$A7902</f>
        <v/>
      </c>
      <c r="B5817">
        <f>IF(VLOOKUP(Table7[[#This Row],[Date]],Database!$A:$C,MATCH($B$1,Database!$A$1:$C$1,),)=0,#N/A,VLOOKUP(Table7[[#This Row],[Date]],Database!$A:$C,MATCH($B$1,Database!$A$1:$C$1,),))</f>
        <v/>
      </c>
      <c r="C5817">
        <f>IF(VLOOKUP(Table7[[#This Row],[Date]],Database!$A:$C,MATCH($C$1,Database!$A$1:$C$1,),)=0,#N/A,VLOOKUP(Table7[[#This Row],[Date]],Database!$A:$C,MATCH($C$1,Database!$A$1:$C$1,),))</f>
        <v/>
      </c>
      <c r="D5817">
        <f>IFERROR(Table7[[#This Row],[United States 10y]]-Table7[[#This Row],[United States 3y]],#N/A)</f>
        <v/>
      </c>
    </row>
    <row r="5818">
      <c r="A5818" s="6">
        <f>Database!$A7903</f>
        <v/>
      </c>
      <c r="B5818">
        <f>IF(VLOOKUP(Table7[[#This Row],[Date]],Database!$A:$C,MATCH($B$1,Database!$A$1:$C$1,),)=0,#N/A,VLOOKUP(Table7[[#This Row],[Date]],Database!$A:$C,MATCH($B$1,Database!$A$1:$C$1,),))</f>
        <v/>
      </c>
      <c r="C5818">
        <f>IF(VLOOKUP(Table7[[#This Row],[Date]],Database!$A:$C,MATCH($C$1,Database!$A$1:$C$1,),)=0,#N/A,VLOOKUP(Table7[[#This Row],[Date]],Database!$A:$C,MATCH($C$1,Database!$A$1:$C$1,),))</f>
        <v/>
      </c>
      <c r="D5818">
        <f>IFERROR(Table7[[#This Row],[United States 10y]]-Table7[[#This Row],[United States 3y]],#N/A)</f>
        <v/>
      </c>
    </row>
    <row r="5819">
      <c r="A5819" s="6">
        <f>Database!$A7904</f>
        <v/>
      </c>
      <c r="B5819">
        <f>IF(VLOOKUP(Table7[[#This Row],[Date]],Database!$A:$C,MATCH($B$1,Database!$A$1:$C$1,),)=0,#N/A,VLOOKUP(Table7[[#This Row],[Date]],Database!$A:$C,MATCH($B$1,Database!$A$1:$C$1,),))</f>
        <v/>
      </c>
      <c r="C5819">
        <f>IF(VLOOKUP(Table7[[#This Row],[Date]],Database!$A:$C,MATCH($C$1,Database!$A$1:$C$1,),)=0,#N/A,VLOOKUP(Table7[[#This Row],[Date]],Database!$A:$C,MATCH($C$1,Database!$A$1:$C$1,),))</f>
        <v/>
      </c>
      <c r="D5819">
        <f>IFERROR(Table7[[#This Row],[United States 10y]]-Table7[[#This Row],[United States 3y]],#N/A)</f>
        <v/>
      </c>
    </row>
    <row r="5820">
      <c r="A5820" s="6">
        <f>Database!$A7905</f>
        <v/>
      </c>
      <c r="B5820">
        <f>IF(VLOOKUP(Table7[[#This Row],[Date]],Database!$A:$C,MATCH($B$1,Database!$A$1:$C$1,),)=0,#N/A,VLOOKUP(Table7[[#This Row],[Date]],Database!$A:$C,MATCH($B$1,Database!$A$1:$C$1,),))</f>
        <v/>
      </c>
      <c r="C5820">
        <f>IF(VLOOKUP(Table7[[#This Row],[Date]],Database!$A:$C,MATCH($C$1,Database!$A$1:$C$1,),)=0,#N/A,VLOOKUP(Table7[[#This Row],[Date]],Database!$A:$C,MATCH($C$1,Database!$A$1:$C$1,),))</f>
        <v/>
      </c>
      <c r="D5820">
        <f>IFERROR(Table7[[#This Row],[United States 10y]]-Table7[[#This Row],[United States 3y]],#N/A)</f>
        <v/>
      </c>
    </row>
    <row r="5821">
      <c r="A5821" s="6">
        <f>Database!$A7906</f>
        <v/>
      </c>
      <c r="B5821">
        <f>IF(VLOOKUP(Table7[[#This Row],[Date]],Database!$A:$C,MATCH($B$1,Database!$A$1:$C$1,),)=0,#N/A,VLOOKUP(Table7[[#This Row],[Date]],Database!$A:$C,MATCH($B$1,Database!$A$1:$C$1,),))</f>
        <v/>
      </c>
      <c r="C5821">
        <f>IF(VLOOKUP(Table7[[#This Row],[Date]],Database!$A:$C,MATCH($C$1,Database!$A$1:$C$1,),)=0,#N/A,VLOOKUP(Table7[[#This Row],[Date]],Database!$A:$C,MATCH($C$1,Database!$A$1:$C$1,),))</f>
        <v/>
      </c>
      <c r="D5821">
        <f>IFERROR(Table7[[#This Row],[United States 10y]]-Table7[[#This Row],[United States 3y]],#N/A)</f>
        <v/>
      </c>
    </row>
    <row r="5822">
      <c r="A5822" s="6">
        <f>Database!$A7907</f>
        <v/>
      </c>
      <c r="B5822">
        <f>IF(VLOOKUP(Table7[[#This Row],[Date]],Database!$A:$C,MATCH($B$1,Database!$A$1:$C$1,),)=0,#N/A,VLOOKUP(Table7[[#This Row],[Date]],Database!$A:$C,MATCH($B$1,Database!$A$1:$C$1,),))</f>
        <v/>
      </c>
      <c r="C5822">
        <f>IF(VLOOKUP(Table7[[#This Row],[Date]],Database!$A:$C,MATCH($C$1,Database!$A$1:$C$1,),)=0,#N/A,VLOOKUP(Table7[[#This Row],[Date]],Database!$A:$C,MATCH($C$1,Database!$A$1:$C$1,),))</f>
        <v/>
      </c>
      <c r="D5822">
        <f>IFERROR(Table7[[#This Row],[United States 10y]]-Table7[[#This Row],[United States 3y]],#N/A)</f>
        <v/>
      </c>
    </row>
    <row r="5823">
      <c r="A5823" s="6">
        <f>Database!$A7908</f>
        <v/>
      </c>
      <c r="B5823">
        <f>IF(VLOOKUP(Table7[[#This Row],[Date]],Database!$A:$C,MATCH($B$1,Database!$A$1:$C$1,),)=0,#N/A,VLOOKUP(Table7[[#This Row],[Date]],Database!$A:$C,MATCH($B$1,Database!$A$1:$C$1,),))</f>
        <v/>
      </c>
      <c r="C5823">
        <f>IF(VLOOKUP(Table7[[#This Row],[Date]],Database!$A:$C,MATCH($C$1,Database!$A$1:$C$1,),)=0,#N/A,VLOOKUP(Table7[[#This Row],[Date]],Database!$A:$C,MATCH($C$1,Database!$A$1:$C$1,),))</f>
        <v/>
      </c>
      <c r="D5823">
        <f>IFERROR(Table7[[#This Row],[United States 10y]]-Table7[[#This Row],[United States 3y]],#N/A)</f>
        <v/>
      </c>
    </row>
    <row r="5824">
      <c r="A5824" s="6">
        <f>Database!$A7909</f>
        <v/>
      </c>
      <c r="B5824">
        <f>IF(VLOOKUP(Table7[[#This Row],[Date]],Database!$A:$C,MATCH($B$1,Database!$A$1:$C$1,),)=0,#N/A,VLOOKUP(Table7[[#This Row],[Date]],Database!$A:$C,MATCH($B$1,Database!$A$1:$C$1,),))</f>
        <v/>
      </c>
      <c r="C5824">
        <f>IF(VLOOKUP(Table7[[#This Row],[Date]],Database!$A:$C,MATCH($C$1,Database!$A$1:$C$1,),)=0,#N/A,VLOOKUP(Table7[[#This Row],[Date]],Database!$A:$C,MATCH($C$1,Database!$A$1:$C$1,),))</f>
        <v/>
      </c>
      <c r="D5824">
        <f>IFERROR(Table7[[#This Row],[United States 10y]]-Table7[[#This Row],[United States 3y]],#N/A)</f>
        <v/>
      </c>
    </row>
    <row r="5825">
      <c r="A5825" s="6">
        <f>Database!$A7910</f>
        <v/>
      </c>
      <c r="B5825">
        <f>IF(VLOOKUP(Table7[[#This Row],[Date]],Database!$A:$C,MATCH($B$1,Database!$A$1:$C$1,),)=0,#N/A,VLOOKUP(Table7[[#This Row],[Date]],Database!$A:$C,MATCH($B$1,Database!$A$1:$C$1,),))</f>
        <v/>
      </c>
      <c r="C5825">
        <f>IF(VLOOKUP(Table7[[#This Row],[Date]],Database!$A:$C,MATCH($C$1,Database!$A$1:$C$1,),)=0,#N/A,VLOOKUP(Table7[[#This Row],[Date]],Database!$A:$C,MATCH($C$1,Database!$A$1:$C$1,),))</f>
        <v/>
      </c>
      <c r="D5825">
        <f>IFERROR(Table7[[#This Row],[United States 10y]]-Table7[[#This Row],[United States 3y]],#N/A)</f>
        <v/>
      </c>
    </row>
    <row r="5826">
      <c r="A5826" s="6">
        <f>Database!$A7911</f>
        <v/>
      </c>
      <c r="B5826">
        <f>IF(VLOOKUP(Table7[[#This Row],[Date]],Database!$A:$C,MATCH($B$1,Database!$A$1:$C$1,),)=0,#N/A,VLOOKUP(Table7[[#This Row],[Date]],Database!$A:$C,MATCH($B$1,Database!$A$1:$C$1,),))</f>
        <v/>
      </c>
      <c r="C5826">
        <f>IF(VLOOKUP(Table7[[#This Row],[Date]],Database!$A:$C,MATCH($C$1,Database!$A$1:$C$1,),)=0,#N/A,VLOOKUP(Table7[[#This Row],[Date]],Database!$A:$C,MATCH($C$1,Database!$A$1:$C$1,),))</f>
        <v/>
      </c>
      <c r="D5826">
        <f>IFERROR(Table7[[#This Row],[United States 10y]]-Table7[[#This Row],[United States 3y]],#N/A)</f>
        <v/>
      </c>
    </row>
    <row r="5827">
      <c r="A5827" s="6">
        <f>Database!$A7912</f>
        <v/>
      </c>
      <c r="B5827">
        <f>IF(VLOOKUP(Table7[[#This Row],[Date]],Database!$A:$C,MATCH($B$1,Database!$A$1:$C$1,),)=0,#N/A,VLOOKUP(Table7[[#This Row],[Date]],Database!$A:$C,MATCH($B$1,Database!$A$1:$C$1,),))</f>
        <v/>
      </c>
      <c r="C5827">
        <f>IF(VLOOKUP(Table7[[#This Row],[Date]],Database!$A:$C,MATCH($C$1,Database!$A$1:$C$1,),)=0,#N/A,VLOOKUP(Table7[[#This Row],[Date]],Database!$A:$C,MATCH($C$1,Database!$A$1:$C$1,),))</f>
        <v/>
      </c>
      <c r="D5827">
        <f>IFERROR(Table7[[#This Row],[United States 10y]]-Table7[[#This Row],[United States 3y]],#N/A)</f>
        <v/>
      </c>
    </row>
    <row r="5828">
      <c r="A5828" s="6">
        <f>Database!$A7913</f>
        <v/>
      </c>
      <c r="B5828">
        <f>IF(VLOOKUP(Table7[[#This Row],[Date]],Database!$A:$C,MATCH($B$1,Database!$A$1:$C$1,),)=0,#N/A,VLOOKUP(Table7[[#This Row],[Date]],Database!$A:$C,MATCH($B$1,Database!$A$1:$C$1,),))</f>
        <v/>
      </c>
      <c r="C5828">
        <f>IF(VLOOKUP(Table7[[#This Row],[Date]],Database!$A:$C,MATCH($C$1,Database!$A$1:$C$1,),)=0,#N/A,VLOOKUP(Table7[[#This Row],[Date]],Database!$A:$C,MATCH($C$1,Database!$A$1:$C$1,),))</f>
        <v/>
      </c>
      <c r="D5828">
        <f>IFERROR(Table7[[#This Row],[United States 10y]]-Table7[[#This Row],[United States 3y]],#N/A)</f>
        <v/>
      </c>
    </row>
    <row r="5829">
      <c r="A5829" s="6">
        <f>Database!$A7914</f>
        <v/>
      </c>
      <c r="B5829">
        <f>IF(VLOOKUP(Table7[[#This Row],[Date]],Database!$A:$C,MATCH($B$1,Database!$A$1:$C$1,),)=0,#N/A,VLOOKUP(Table7[[#This Row],[Date]],Database!$A:$C,MATCH($B$1,Database!$A$1:$C$1,),))</f>
        <v/>
      </c>
      <c r="C5829">
        <f>IF(VLOOKUP(Table7[[#This Row],[Date]],Database!$A:$C,MATCH($C$1,Database!$A$1:$C$1,),)=0,#N/A,VLOOKUP(Table7[[#This Row],[Date]],Database!$A:$C,MATCH($C$1,Database!$A$1:$C$1,),))</f>
        <v/>
      </c>
      <c r="D5829">
        <f>IFERROR(Table7[[#This Row],[United States 10y]]-Table7[[#This Row],[United States 3y]],#N/A)</f>
        <v/>
      </c>
    </row>
    <row r="5830">
      <c r="A5830" s="6">
        <f>Database!$A7915</f>
        <v/>
      </c>
      <c r="B5830">
        <f>IF(VLOOKUP(Table7[[#This Row],[Date]],Database!$A:$C,MATCH($B$1,Database!$A$1:$C$1,),)=0,#N/A,VLOOKUP(Table7[[#This Row],[Date]],Database!$A:$C,MATCH($B$1,Database!$A$1:$C$1,),))</f>
        <v/>
      </c>
      <c r="C5830">
        <f>IF(VLOOKUP(Table7[[#This Row],[Date]],Database!$A:$C,MATCH($C$1,Database!$A$1:$C$1,),)=0,#N/A,VLOOKUP(Table7[[#This Row],[Date]],Database!$A:$C,MATCH($C$1,Database!$A$1:$C$1,),))</f>
        <v/>
      </c>
      <c r="D5830">
        <f>IFERROR(Table7[[#This Row],[United States 10y]]-Table7[[#This Row],[United States 3y]],#N/A)</f>
        <v/>
      </c>
    </row>
    <row r="5831">
      <c r="A5831" s="6">
        <f>Database!$A7916</f>
        <v/>
      </c>
      <c r="B5831">
        <f>IF(VLOOKUP(Table7[[#This Row],[Date]],Database!$A:$C,MATCH($B$1,Database!$A$1:$C$1,),)=0,#N/A,VLOOKUP(Table7[[#This Row],[Date]],Database!$A:$C,MATCH($B$1,Database!$A$1:$C$1,),))</f>
        <v/>
      </c>
      <c r="C5831">
        <f>IF(VLOOKUP(Table7[[#This Row],[Date]],Database!$A:$C,MATCH($C$1,Database!$A$1:$C$1,),)=0,#N/A,VLOOKUP(Table7[[#This Row],[Date]],Database!$A:$C,MATCH($C$1,Database!$A$1:$C$1,),))</f>
        <v/>
      </c>
      <c r="D5831">
        <f>IFERROR(Table7[[#This Row],[United States 10y]]-Table7[[#This Row],[United States 3y]],#N/A)</f>
        <v/>
      </c>
    </row>
    <row r="5832">
      <c r="A5832" s="6">
        <f>Database!$A7917</f>
        <v/>
      </c>
      <c r="B5832">
        <f>IF(VLOOKUP(Table7[[#This Row],[Date]],Database!$A:$C,MATCH($B$1,Database!$A$1:$C$1,),)=0,#N/A,VLOOKUP(Table7[[#This Row],[Date]],Database!$A:$C,MATCH($B$1,Database!$A$1:$C$1,),))</f>
        <v/>
      </c>
      <c r="C5832">
        <f>IF(VLOOKUP(Table7[[#This Row],[Date]],Database!$A:$C,MATCH($C$1,Database!$A$1:$C$1,),)=0,#N/A,VLOOKUP(Table7[[#This Row],[Date]],Database!$A:$C,MATCH($C$1,Database!$A$1:$C$1,),))</f>
        <v/>
      </c>
      <c r="D5832">
        <f>IFERROR(Table7[[#This Row],[United States 10y]]-Table7[[#This Row],[United States 3y]],#N/A)</f>
        <v/>
      </c>
    </row>
    <row r="5833">
      <c r="A5833" s="6">
        <f>Database!$A7918</f>
        <v/>
      </c>
      <c r="B5833">
        <f>IF(VLOOKUP(Table7[[#This Row],[Date]],Database!$A:$C,MATCH($B$1,Database!$A$1:$C$1,),)=0,#N/A,VLOOKUP(Table7[[#This Row],[Date]],Database!$A:$C,MATCH($B$1,Database!$A$1:$C$1,),))</f>
        <v/>
      </c>
      <c r="C5833">
        <f>IF(VLOOKUP(Table7[[#This Row],[Date]],Database!$A:$C,MATCH($C$1,Database!$A$1:$C$1,),)=0,#N/A,VLOOKUP(Table7[[#This Row],[Date]],Database!$A:$C,MATCH($C$1,Database!$A$1:$C$1,),))</f>
        <v/>
      </c>
      <c r="D5833">
        <f>IFERROR(Table7[[#This Row],[United States 10y]]-Table7[[#This Row],[United States 3y]],#N/A)</f>
        <v/>
      </c>
    </row>
    <row r="5834">
      <c r="A5834" s="6">
        <f>Database!$A7919</f>
        <v/>
      </c>
      <c r="B5834">
        <f>IF(VLOOKUP(Table7[[#This Row],[Date]],Database!$A:$C,MATCH($B$1,Database!$A$1:$C$1,),)=0,#N/A,VLOOKUP(Table7[[#This Row],[Date]],Database!$A:$C,MATCH($B$1,Database!$A$1:$C$1,),))</f>
        <v/>
      </c>
      <c r="C5834">
        <f>IF(VLOOKUP(Table7[[#This Row],[Date]],Database!$A:$C,MATCH($C$1,Database!$A$1:$C$1,),)=0,#N/A,VLOOKUP(Table7[[#This Row],[Date]],Database!$A:$C,MATCH($C$1,Database!$A$1:$C$1,),))</f>
        <v/>
      </c>
      <c r="D5834">
        <f>IFERROR(Table7[[#This Row],[United States 10y]]-Table7[[#This Row],[United States 3y]],#N/A)</f>
        <v/>
      </c>
    </row>
    <row r="5835">
      <c r="A5835" s="6">
        <f>Database!$A7920</f>
        <v/>
      </c>
      <c r="B5835">
        <f>IF(VLOOKUP(Table7[[#This Row],[Date]],Database!$A:$C,MATCH($B$1,Database!$A$1:$C$1,),)=0,#N/A,VLOOKUP(Table7[[#This Row],[Date]],Database!$A:$C,MATCH($B$1,Database!$A$1:$C$1,),))</f>
        <v/>
      </c>
      <c r="C5835">
        <f>IF(VLOOKUP(Table7[[#This Row],[Date]],Database!$A:$C,MATCH($C$1,Database!$A$1:$C$1,),)=0,#N/A,VLOOKUP(Table7[[#This Row],[Date]],Database!$A:$C,MATCH($C$1,Database!$A$1:$C$1,),))</f>
        <v/>
      </c>
      <c r="D5835">
        <f>IFERROR(Table7[[#This Row],[United States 10y]]-Table7[[#This Row],[United States 3y]],#N/A)</f>
        <v/>
      </c>
    </row>
    <row r="5836">
      <c r="A5836" s="6">
        <f>Database!$A7921</f>
        <v/>
      </c>
      <c r="B5836">
        <f>IF(VLOOKUP(Table7[[#This Row],[Date]],Database!$A:$C,MATCH($B$1,Database!$A$1:$C$1,),)=0,#N/A,VLOOKUP(Table7[[#This Row],[Date]],Database!$A:$C,MATCH($B$1,Database!$A$1:$C$1,),))</f>
        <v/>
      </c>
      <c r="C5836">
        <f>IF(VLOOKUP(Table7[[#This Row],[Date]],Database!$A:$C,MATCH($C$1,Database!$A$1:$C$1,),)=0,#N/A,VLOOKUP(Table7[[#This Row],[Date]],Database!$A:$C,MATCH($C$1,Database!$A$1:$C$1,),))</f>
        <v/>
      </c>
      <c r="D5836">
        <f>IFERROR(Table7[[#This Row],[United States 10y]]-Table7[[#This Row],[United States 3y]],#N/A)</f>
        <v/>
      </c>
    </row>
    <row r="5837">
      <c r="A5837" s="6">
        <f>Database!$A7922</f>
        <v/>
      </c>
      <c r="B5837">
        <f>IF(VLOOKUP(Table7[[#This Row],[Date]],Database!$A:$C,MATCH($B$1,Database!$A$1:$C$1,),)=0,#N/A,VLOOKUP(Table7[[#This Row],[Date]],Database!$A:$C,MATCH($B$1,Database!$A$1:$C$1,),))</f>
        <v/>
      </c>
      <c r="C5837">
        <f>IF(VLOOKUP(Table7[[#This Row],[Date]],Database!$A:$C,MATCH($C$1,Database!$A$1:$C$1,),)=0,#N/A,VLOOKUP(Table7[[#This Row],[Date]],Database!$A:$C,MATCH($C$1,Database!$A$1:$C$1,),))</f>
        <v/>
      </c>
      <c r="D5837">
        <f>IFERROR(Table7[[#This Row],[United States 10y]]-Table7[[#This Row],[United States 3y]],#N/A)</f>
        <v/>
      </c>
    </row>
    <row r="5838">
      <c r="A5838" s="6">
        <f>Database!$A7923</f>
        <v/>
      </c>
      <c r="B5838">
        <f>IF(VLOOKUP(Table7[[#This Row],[Date]],Database!$A:$C,MATCH($B$1,Database!$A$1:$C$1,),)=0,#N/A,VLOOKUP(Table7[[#This Row],[Date]],Database!$A:$C,MATCH($B$1,Database!$A$1:$C$1,),))</f>
        <v/>
      </c>
      <c r="C5838">
        <f>IF(VLOOKUP(Table7[[#This Row],[Date]],Database!$A:$C,MATCH($C$1,Database!$A$1:$C$1,),)=0,#N/A,VLOOKUP(Table7[[#This Row],[Date]],Database!$A:$C,MATCH($C$1,Database!$A$1:$C$1,),))</f>
        <v/>
      </c>
      <c r="D5838">
        <f>IFERROR(Table7[[#This Row],[United States 10y]]-Table7[[#This Row],[United States 3y]],#N/A)</f>
        <v/>
      </c>
    </row>
    <row r="5839">
      <c r="A5839" s="6">
        <f>Database!$A7924</f>
        <v/>
      </c>
      <c r="B5839">
        <f>IF(VLOOKUP(Table7[[#This Row],[Date]],Database!$A:$C,MATCH($B$1,Database!$A$1:$C$1,),)=0,#N/A,VLOOKUP(Table7[[#This Row],[Date]],Database!$A:$C,MATCH($B$1,Database!$A$1:$C$1,),))</f>
        <v/>
      </c>
      <c r="C5839">
        <f>IF(VLOOKUP(Table7[[#This Row],[Date]],Database!$A:$C,MATCH($C$1,Database!$A$1:$C$1,),)=0,#N/A,VLOOKUP(Table7[[#This Row],[Date]],Database!$A:$C,MATCH($C$1,Database!$A$1:$C$1,),))</f>
        <v/>
      </c>
      <c r="D5839">
        <f>IFERROR(Table7[[#This Row],[United States 10y]]-Table7[[#This Row],[United States 3y]],#N/A)</f>
        <v/>
      </c>
    </row>
    <row r="5840">
      <c r="A5840" s="6">
        <f>Database!$A7925</f>
        <v/>
      </c>
      <c r="B5840">
        <f>IF(VLOOKUP(Table7[[#This Row],[Date]],Database!$A:$C,MATCH($B$1,Database!$A$1:$C$1,),)=0,#N/A,VLOOKUP(Table7[[#This Row],[Date]],Database!$A:$C,MATCH($B$1,Database!$A$1:$C$1,),))</f>
        <v/>
      </c>
      <c r="C5840">
        <f>IF(VLOOKUP(Table7[[#This Row],[Date]],Database!$A:$C,MATCH($C$1,Database!$A$1:$C$1,),)=0,#N/A,VLOOKUP(Table7[[#This Row],[Date]],Database!$A:$C,MATCH($C$1,Database!$A$1:$C$1,),))</f>
        <v/>
      </c>
      <c r="D5840">
        <f>IFERROR(Table7[[#This Row],[United States 10y]]-Table7[[#This Row],[United States 3y]],#N/A)</f>
        <v/>
      </c>
    </row>
    <row r="5841">
      <c r="A5841" s="6">
        <f>Database!$A7926</f>
        <v/>
      </c>
      <c r="B5841">
        <f>IF(VLOOKUP(Table7[[#This Row],[Date]],Database!$A:$C,MATCH($B$1,Database!$A$1:$C$1,),)=0,#N/A,VLOOKUP(Table7[[#This Row],[Date]],Database!$A:$C,MATCH($B$1,Database!$A$1:$C$1,),))</f>
        <v/>
      </c>
      <c r="C5841">
        <f>IF(VLOOKUP(Table7[[#This Row],[Date]],Database!$A:$C,MATCH($C$1,Database!$A$1:$C$1,),)=0,#N/A,VLOOKUP(Table7[[#This Row],[Date]],Database!$A:$C,MATCH($C$1,Database!$A$1:$C$1,),))</f>
        <v/>
      </c>
      <c r="D5841">
        <f>IFERROR(Table7[[#This Row],[United States 10y]]-Table7[[#This Row],[United States 3y]],#N/A)</f>
        <v/>
      </c>
    </row>
    <row r="5842">
      <c r="A5842" s="6">
        <f>Database!$A7927</f>
        <v/>
      </c>
      <c r="B5842">
        <f>IF(VLOOKUP(Table7[[#This Row],[Date]],Database!$A:$C,MATCH($B$1,Database!$A$1:$C$1,),)=0,#N/A,VLOOKUP(Table7[[#This Row],[Date]],Database!$A:$C,MATCH($B$1,Database!$A$1:$C$1,),))</f>
        <v/>
      </c>
      <c r="C5842">
        <f>IF(VLOOKUP(Table7[[#This Row],[Date]],Database!$A:$C,MATCH($C$1,Database!$A$1:$C$1,),)=0,#N/A,VLOOKUP(Table7[[#This Row],[Date]],Database!$A:$C,MATCH($C$1,Database!$A$1:$C$1,),))</f>
        <v/>
      </c>
      <c r="D5842">
        <f>IFERROR(Table7[[#This Row],[United States 10y]]-Table7[[#This Row],[United States 3y]],#N/A)</f>
        <v/>
      </c>
    </row>
    <row r="5843">
      <c r="A5843" s="6">
        <f>Database!$A7928</f>
        <v/>
      </c>
      <c r="B5843">
        <f>IF(VLOOKUP(Table7[[#This Row],[Date]],Database!$A:$C,MATCH($B$1,Database!$A$1:$C$1,),)=0,#N/A,VLOOKUP(Table7[[#This Row],[Date]],Database!$A:$C,MATCH($B$1,Database!$A$1:$C$1,),))</f>
        <v/>
      </c>
      <c r="C5843">
        <f>IF(VLOOKUP(Table7[[#This Row],[Date]],Database!$A:$C,MATCH($C$1,Database!$A$1:$C$1,),)=0,#N/A,VLOOKUP(Table7[[#This Row],[Date]],Database!$A:$C,MATCH($C$1,Database!$A$1:$C$1,),))</f>
        <v/>
      </c>
      <c r="D5843">
        <f>IFERROR(Table7[[#This Row],[United States 10y]]-Table7[[#This Row],[United States 3y]],#N/A)</f>
        <v/>
      </c>
    </row>
    <row r="5844">
      <c r="A5844" s="6">
        <f>Database!$A7929</f>
        <v/>
      </c>
      <c r="B5844">
        <f>IF(VLOOKUP(Table7[[#This Row],[Date]],Database!$A:$C,MATCH($B$1,Database!$A$1:$C$1,),)=0,#N/A,VLOOKUP(Table7[[#This Row],[Date]],Database!$A:$C,MATCH($B$1,Database!$A$1:$C$1,),))</f>
        <v/>
      </c>
      <c r="C5844">
        <f>IF(VLOOKUP(Table7[[#This Row],[Date]],Database!$A:$C,MATCH($C$1,Database!$A$1:$C$1,),)=0,#N/A,VLOOKUP(Table7[[#This Row],[Date]],Database!$A:$C,MATCH($C$1,Database!$A$1:$C$1,),))</f>
        <v/>
      </c>
      <c r="D5844">
        <f>IFERROR(Table7[[#This Row],[United States 10y]]-Table7[[#This Row],[United States 3y]],#N/A)</f>
        <v/>
      </c>
    </row>
    <row r="5845">
      <c r="A5845" s="6">
        <f>Database!$A7930</f>
        <v/>
      </c>
      <c r="B5845">
        <f>IF(VLOOKUP(Table7[[#This Row],[Date]],Database!$A:$C,MATCH($B$1,Database!$A$1:$C$1,),)=0,#N/A,VLOOKUP(Table7[[#This Row],[Date]],Database!$A:$C,MATCH($B$1,Database!$A$1:$C$1,),))</f>
        <v/>
      </c>
      <c r="C5845">
        <f>IF(VLOOKUP(Table7[[#This Row],[Date]],Database!$A:$C,MATCH($C$1,Database!$A$1:$C$1,),)=0,#N/A,VLOOKUP(Table7[[#This Row],[Date]],Database!$A:$C,MATCH($C$1,Database!$A$1:$C$1,),))</f>
        <v/>
      </c>
      <c r="D5845">
        <f>IFERROR(Table7[[#This Row],[United States 10y]]-Table7[[#This Row],[United States 3y]],#N/A)</f>
        <v/>
      </c>
    </row>
    <row r="5846">
      <c r="A5846" s="6">
        <f>Database!$A7931</f>
        <v/>
      </c>
      <c r="B5846">
        <f>IF(VLOOKUP(Table7[[#This Row],[Date]],Database!$A:$C,MATCH($B$1,Database!$A$1:$C$1,),)=0,#N/A,VLOOKUP(Table7[[#This Row],[Date]],Database!$A:$C,MATCH($B$1,Database!$A$1:$C$1,),))</f>
        <v/>
      </c>
      <c r="C5846">
        <f>IF(VLOOKUP(Table7[[#This Row],[Date]],Database!$A:$C,MATCH($C$1,Database!$A$1:$C$1,),)=0,#N/A,VLOOKUP(Table7[[#This Row],[Date]],Database!$A:$C,MATCH($C$1,Database!$A$1:$C$1,),))</f>
        <v/>
      </c>
      <c r="D5846">
        <f>IFERROR(Table7[[#This Row],[United States 10y]]-Table7[[#This Row],[United States 3y]],#N/A)</f>
        <v/>
      </c>
    </row>
    <row r="5847">
      <c r="A5847" s="6">
        <f>Database!$A7932</f>
        <v/>
      </c>
      <c r="B5847">
        <f>IF(VLOOKUP(Table7[[#This Row],[Date]],Database!$A:$C,MATCH($B$1,Database!$A$1:$C$1,),)=0,#N/A,VLOOKUP(Table7[[#This Row],[Date]],Database!$A:$C,MATCH($B$1,Database!$A$1:$C$1,),))</f>
        <v/>
      </c>
      <c r="C5847">
        <f>IF(VLOOKUP(Table7[[#This Row],[Date]],Database!$A:$C,MATCH($C$1,Database!$A$1:$C$1,),)=0,#N/A,VLOOKUP(Table7[[#This Row],[Date]],Database!$A:$C,MATCH($C$1,Database!$A$1:$C$1,),))</f>
        <v/>
      </c>
      <c r="D5847">
        <f>IFERROR(Table7[[#This Row],[United States 10y]]-Table7[[#This Row],[United States 3y]],#N/A)</f>
        <v/>
      </c>
    </row>
    <row r="5848">
      <c r="A5848" s="6">
        <f>Database!$A7933</f>
        <v/>
      </c>
      <c r="B5848">
        <f>IF(VLOOKUP(Table7[[#This Row],[Date]],Database!$A:$C,MATCH($B$1,Database!$A$1:$C$1,),)=0,#N/A,VLOOKUP(Table7[[#This Row],[Date]],Database!$A:$C,MATCH($B$1,Database!$A$1:$C$1,),))</f>
        <v/>
      </c>
      <c r="C5848">
        <f>IF(VLOOKUP(Table7[[#This Row],[Date]],Database!$A:$C,MATCH($C$1,Database!$A$1:$C$1,),)=0,#N/A,VLOOKUP(Table7[[#This Row],[Date]],Database!$A:$C,MATCH($C$1,Database!$A$1:$C$1,),))</f>
        <v/>
      </c>
      <c r="D5848">
        <f>IFERROR(Table7[[#This Row],[United States 10y]]-Table7[[#This Row],[United States 3y]],#N/A)</f>
        <v/>
      </c>
    </row>
    <row r="5849">
      <c r="A5849" s="6">
        <f>Database!$A7934</f>
        <v/>
      </c>
      <c r="B5849">
        <f>IF(VLOOKUP(Table7[[#This Row],[Date]],Database!$A:$C,MATCH($B$1,Database!$A$1:$C$1,),)=0,#N/A,VLOOKUP(Table7[[#This Row],[Date]],Database!$A:$C,MATCH($B$1,Database!$A$1:$C$1,),))</f>
        <v/>
      </c>
      <c r="C5849">
        <f>IF(VLOOKUP(Table7[[#This Row],[Date]],Database!$A:$C,MATCH($C$1,Database!$A$1:$C$1,),)=0,#N/A,VLOOKUP(Table7[[#This Row],[Date]],Database!$A:$C,MATCH($C$1,Database!$A$1:$C$1,),))</f>
        <v/>
      </c>
      <c r="D5849">
        <f>IFERROR(Table7[[#This Row],[United States 10y]]-Table7[[#This Row],[United States 3y]],#N/A)</f>
        <v/>
      </c>
    </row>
    <row r="5850">
      <c r="A5850" s="6">
        <f>Database!$A7935</f>
        <v/>
      </c>
      <c r="B5850">
        <f>IF(VLOOKUP(Table7[[#This Row],[Date]],Database!$A:$C,MATCH($B$1,Database!$A$1:$C$1,),)=0,#N/A,VLOOKUP(Table7[[#This Row],[Date]],Database!$A:$C,MATCH($B$1,Database!$A$1:$C$1,),))</f>
        <v/>
      </c>
      <c r="C5850">
        <f>IF(VLOOKUP(Table7[[#This Row],[Date]],Database!$A:$C,MATCH($C$1,Database!$A$1:$C$1,),)=0,#N/A,VLOOKUP(Table7[[#This Row],[Date]],Database!$A:$C,MATCH($C$1,Database!$A$1:$C$1,),))</f>
        <v/>
      </c>
      <c r="D5850">
        <f>IFERROR(Table7[[#This Row],[United States 10y]]-Table7[[#This Row],[United States 3y]],#N/A)</f>
        <v/>
      </c>
    </row>
    <row r="5851">
      <c r="A5851" s="6">
        <f>Database!$A7936</f>
        <v/>
      </c>
      <c r="B5851">
        <f>IF(VLOOKUP(Table7[[#This Row],[Date]],Database!$A:$C,MATCH($B$1,Database!$A$1:$C$1,),)=0,#N/A,VLOOKUP(Table7[[#This Row],[Date]],Database!$A:$C,MATCH($B$1,Database!$A$1:$C$1,),))</f>
        <v/>
      </c>
      <c r="C5851">
        <f>IF(VLOOKUP(Table7[[#This Row],[Date]],Database!$A:$C,MATCH($C$1,Database!$A$1:$C$1,),)=0,#N/A,VLOOKUP(Table7[[#This Row],[Date]],Database!$A:$C,MATCH($C$1,Database!$A$1:$C$1,),))</f>
        <v/>
      </c>
      <c r="D5851">
        <f>IFERROR(Table7[[#This Row],[United States 10y]]-Table7[[#This Row],[United States 3y]],#N/A)</f>
        <v/>
      </c>
    </row>
    <row r="5852">
      <c r="A5852" s="6">
        <f>Database!$A7937</f>
        <v/>
      </c>
      <c r="B5852">
        <f>IF(VLOOKUP(Table7[[#This Row],[Date]],Database!$A:$C,MATCH($B$1,Database!$A$1:$C$1,),)=0,#N/A,VLOOKUP(Table7[[#This Row],[Date]],Database!$A:$C,MATCH($B$1,Database!$A$1:$C$1,),))</f>
        <v/>
      </c>
      <c r="C5852">
        <f>IF(VLOOKUP(Table7[[#This Row],[Date]],Database!$A:$C,MATCH($C$1,Database!$A$1:$C$1,),)=0,#N/A,VLOOKUP(Table7[[#This Row],[Date]],Database!$A:$C,MATCH($C$1,Database!$A$1:$C$1,),))</f>
        <v/>
      </c>
      <c r="D5852">
        <f>IFERROR(Table7[[#This Row],[United States 10y]]-Table7[[#This Row],[United States 3y]],#N/A)</f>
        <v/>
      </c>
    </row>
    <row r="5853">
      <c r="A5853" s="6">
        <f>Database!$A7938</f>
        <v/>
      </c>
      <c r="B5853">
        <f>IF(VLOOKUP(Table7[[#This Row],[Date]],Database!$A:$C,MATCH($B$1,Database!$A$1:$C$1,),)=0,#N/A,VLOOKUP(Table7[[#This Row],[Date]],Database!$A:$C,MATCH($B$1,Database!$A$1:$C$1,),))</f>
        <v/>
      </c>
      <c r="C5853">
        <f>IF(VLOOKUP(Table7[[#This Row],[Date]],Database!$A:$C,MATCH($C$1,Database!$A$1:$C$1,),)=0,#N/A,VLOOKUP(Table7[[#This Row],[Date]],Database!$A:$C,MATCH($C$1,Database!$A$1:$C$1,),))</f>
        <v/>
      </c>
      <c r="D5853">
        <f>IFERROR(Table7[[#This Row],[United States 10y]]-Table7[[#This Row],[United States 3y]],#N/A)</f>
        <v/>
      </c>
    </row>
    <row r="5854">
      <c r="A5854" s="6">
        <f>Database!$A7939</f>
        <v/>
      </c>
      <c r="B5854">
        <f>IF(VLOOKUP(Table7[[#This Row],[Date]],Database!$A:$C,MATCH($B$1,Database!$A$1:$C$1,),)=0,#N/A,VLOOKUP(Table7[[#This Row],[Date]],Database!$A:$C,MATCH($B$1,Database!$A$1:$C$1,),))</f>
        <v/>
      </c>
      <c r="C5854">
        <f>IF(VLOOKUP(Table7[[#This Row],[Date]],Database!$A:$C,MATCH($C$1,Database!$A$1:$C$1,),)=0,#N/A,VLOOKUP(Table7[[#This Row],[Date]],Database!$A:$C,MATCH($C$1,Database!$A$1:$C$1,),))</f>
        <v/>
      </c>
      <c r="D5854">
        <f>IFERROR(Table7[[#This Row],[United States 10y]]-Table7[[#This Row],[United States 3y]],#N/A)</f>
        <v/>
      </c>
    </row>
    <row r="5855">
      <c r="A5855" s="6">
        <f>Database!$A7940</f>
        <v/>
      </c>
      <c r="B5855">
        <f>IF(VLOOKUP(Table7[[#This Row],[Date]],Database!$A:$C,MATCH($B$1,Database!$A$1:$C$1,),)=0,#N/A,VLOOKUP(Table7[[#This Row],[Date]],Database!$A:$C,MATCH($B$1,Database!$A$1:$C$1,),))</f>
        <v/>
      </c>
      <c r="C5855">
        <f>IF(VLOOKUP(Table7[[#This Row],[Date]],Database!$A:$C,MATCH($C$1,Database!$A$1:$C$1,),)=0,#N/A,VLOOKUP(Table7[[#This Row],[Date]],Database!$A:$C,MATCH($C$1,Database!$A$1:$C$1,),))</f>
        <v/>
      </c>
      <c r="D5855">
        <f>IFERROR(Table7[[#This Row],[United States 10y]]-Table7[[#This Row],[United States 3y]],#N/A)</f>
        <v/>
      </c>
    </row>
    <row r="5856">
      <c r="A5856" s="6">
        <f>Database!$A7941</f>
        <v/>
      </c>
      <c r="B5856">
        <f>IF(VLOOKUP(Table7[[#This Row],[Date]],Database!$A:$C,MATCH($B$1,Database!$A$1:$C$1,),)=0,#N/A,VLOOKUP(Table7[[#This Row],[Date]],Database!$A:$C,MATCH($B$1,Database!$A$1:$C$1,),))</f>
        <v/>
      </c>
      <c r="C5856">
        <f>IF(VLOOKUP(Table7[[#This Row],[Date]],Database!$A:$C,MATCH($C$1,Database!$A$1:$C$1,),)=0,#N/A,VLOOKUP(Table7[[#This Row],[Date]],Database!$A:$C,MATCH($C$1,Database!$A$1:$C$1,),))</f>
        <v/>
      </c>
      <c r="D5856">
        <f>IFERROR(Table7[[#This Row],[United States 10y]]-Table7[[#This Row],[United States 3y]],#N/A)</f>
        <v/>
      </c>
    </row>
    <row r="5857">
      <c r="A5857" s="6">
        <f>Database!$A7942</f>
        <v/>
      </c>
      <c r="B5857">
        <f>IF(VLOOKUP(Table7[[#This Row],[Date]],Database!$A:$C,MATCH($B$1,Database!$A$1:$C$1,),)=0,#N/A,VLOOKUP(Table7[[#This Row],[Date]],Database!$A:$C,MATCH($B$1,Database!$A$1:$C$1,),))</f>
        <v/>
      </c>
      <c r="C5857">
        <f>IF(VLOOKUP(Table7[[#This Row],[Date]],Database!$A:$C,MATCH($C$1,Database!$A$1:$C$1,),)=0,#N/A,VLOOKUP(Table7[[#This Row],[Date]],Database!$A:$C,MATCH($C$1,Database!$A$1:$C$1,),))</f>
        <v/>
      </c>
      <c r="D5857">
        <f>IFERROR(Table7[[#This Row],[United States 10y]]-Table7[[#This Row],[United States 3y]],#N/A)</f>
        <v/>
      </c>
    </row>
    <row r="5858">
      <c r="A5858" s="6">
        <f>Database!$A7943</f>
        <v/>
      </c>
      <c r="B5858">
        <f>IF(VLOOKUP(Table7[[#This Row],[Date]],Database!$A:$C,MATCH($B$1,Database!$A$1:$C$1,),)=0,#N/A,VLOOKUP(Table7[[#This Row],[Date]],Database!$A:$C,MATCH($B$1,Database!$A$1:$C$1,),))</f>
        <v/>
      </c>
      <c r="C5858">
        <f>IF(VLOOKUP(Table7[[#This Row],[Date]],Database!$A:$C,MATCH($C$1,Database!$A$1:$C$1,),)=0,#N/A,VLOOKUP(Table7[[#This Row],[Date]],Database!$A:$C,MATCH($C$1,Database!$A$1:$C$1,),))</f>
        <v/>
      </c>
      <c r="D5858">
        <f>IFERROR(Table7[[#This Row],[United States 10y]]-Table7[[#This Row],[United States 3y]],#N/A)</f>
        <v/>
      </c>
    </row>
    <row r="5859">
      <c r="A5859" s="6">
        <f>Database!$A7944</f>
        <v/>
      </c>
      <c r="B5859">
        <f>IF(VLOOKUP(Table7[[#This Row],[Date]],Database!$A:$C,MATCH($B$1,Database!$A$1:$C$1,),)=0,#N/A,VLOOKUP(Table7[[#This Row],[Date]],Database!$A:$C,MATCH($B$1,Database!$A$1:$C$1,),))</f>
        <v/>
      </c>
      <c r="C5859">
        <f>IF(VLOOKUP(Table7[[#This Row],[Date]],Database!$A:$C,MATCH($C$1,Database!$A$1:$C$1,),)=0,#N/A,VLOOKUP(Table7[[#This Row],[Date]],Database!$A:$C,MATCH($C$1,Database!$A$1:$C$1,),))</f>
        <v/>
      </c>
      <c r="D5859">
        <f>IFERROR(Table7[[#This Row],[United States 10y]]-Table7[[#This Row],[United States 3y]],#N/A)</f>
        <v/>
      </c>
    </row>
    <row r="5860">
      <c r="A5860" s="6">
        <f>Database!$A7945</f>
        <v/>
      </c>
      <c r="B5860">
        <f>IF(VLOOKUP(Table7[[#This Row],[Date]],Database!$A:$C,MATCH($B$1,Database!$A$1:$C$1,),)=0,#N/A,VLOOKUP(Table7[[#This Row],[Date]],Database!$A:$C,MATCH($B$1,Database!$A$1:$C$1,),))</f>
        <v/>
      </c>
      <c r="C5860">
        <f>IF(VLOOKUP(Table7[[#This Row],[Date]],Database!$A:$C,MATCH($C$1,Database!$A$1:$C$1,),)=0,#N/A,VLOOKUP(Table7[[#This Row],[Date]],Database!$A:$C,MATCH($C$1,Database!$A$1:$C$1,),))</f>
        <v/>
      </c>
      <c r="D5860">
        <f>IFERROR(Table7[[#This Row],[United States 10y]]-Table7[[#This Row],[United States 3y]],#N/A)</f>
        <v/>
      </c>
    </row>
    <row r="5861">
      <c r="A5861" s="6">
        <f>Database!$A7946</f>
        <v/>
      </c>
      <c r="B5861">
        <f>IF(VLOOKUP(Table7[[#This Row],[Date]],Database!$A:$C,MATCH($B$1,Database!$A$1:$C$1,),)=0,#N/A,VLOOKUP(Table7[[#This Row],[Date]],Database!$A:$C,MATCH($B$1,Database!$A$1:$C$1,),))</f>
        <v/>
      </c>
      <c r="C5861">
        <f>IF(VLOOKUP(Table7[[#This Row],[Date]],Database!$A:$C,MATCH($C$1,Database!$A$1:$C$1,),)=0,#N/A,VLOOKUP(Table7[[#This Row],[Date]],Database!$A:$C,MATCH($C$1,Database!$A$1:$C$1,),))</f>
        <v/>
      </c>
      <c r="D5861">
        <f>IFERROR(Table7[[#This Row],[United States 10y]]-Table7[[#This Row],[United States 3y]],#N/A)</f>
        <v/>
      </c>
    </row>
    <row r="5862">
      <c r="A5862" s="6">
        <f>Database!$A7947</f>
        <v/>
      </c>
      <c r="B5862">
        <f>IF(VLOOKUP(Table7[[#This Row],[Date]],Database!$A:$C,MATCH($B$1,Database!$A$1:$C$1,),)=0,#N/A,VLOOKUP(Table7[[#This Row],[Date]],Database!$A:$C,MATCH($B$1,Database!$A$1:$C$1,),))</f>
        <v/>
      </c>
      <c r="C5862">
        <f>IF(VLOOKUP(Table7[[#This Row],[Date]],Database!$A:$C,MATCH($C$1,Database!$A$1:$C$1,),)=0,#N/A,VLOOKUP(Table7[[#This Row],[Date]],Database!$A:$C,MATCH($C$1,Database!$A$1:$C$1,),))</f>
        <v/>
      </c>
      <c r="D5862">
        <f>IFERROR(Table7[[#This Row],[United States 10y]]-Table7[[#This Row],[United States 3y]],#N/A)</f>
        <v/>
      </c>
    </row>
    <row r="5863">
      <c r="A5863" s="6">
        <f>Database!$A7948</f>
        <v/>
      </c>
      <c r="B5863">
        <f>IF(VLOOKUP(Table7[[#This Row],[Date]],Database!$A:$C,MATCH($B$1,Database!$A$1:$C$1,),)=0,#N/A,VLOOKUP(Table7[[#This Row],[Date]],Database!$A:$C,MATCH($B$1,Database!$A$1:$C$1,),))</f>
        <v/>
      </c>
      <c r="C5863">
        <f>IF(VLOOKUP(Table7[[#This Row],[Date]],Database!$A:$C,MATCH($C$1,Database!$A$1:$C$1,),)=0,#N/A,VLOOKUP(Table7[[#This Row],[Date]],Database!$A:$C,MATCH($C$1,Database!$A$1:$C$1,),))</f>
        <v/>
      </c>
      <c r="D5863">
        <f>IFERROR(Table7[[#This Row],[United States 10y]]-Table7[[#This Row],[United States 3y]],#N/A)</f>
        <v/>
      </c>
    </row>
    <row r="5864">
      <c r="A5864" s="6">
        <f>Database!$A7949</f>
        <v/>
      </c>
      <c r="B5864">
        <f>IF(VLOOKUP(Table7[[#This Row],[Date]],Database!$A:$C,MATCH($B$1,Database!$A$1:$C$1,),)=0,#N/A,VLOOKUP(Table7[[#This Row],[Date]],Database!$A:$C,MATCH($B$1,Database!$A$1:$C$1,),))</f>
        <v/>
      </c>
      <c r="C5864">
        <f>IF(VLOOKUP(Table7[[#This Row],[Date]],Database!$A:$C,MATCH($C$1,Database!$A$1:$C$1,),)=0,#N/A,VLOOKUP(Table7[[#This Row],[Date]],Database!$A:$C,MATCH($C$1,Database!$A$1:$C$1,),))</f>
        <v/>
      </c>
      <c r="D5864">
        <f>IFERROR(Table7[[#This Row],[United States 10y]]-Table7[[#This Row],[United States 3y]],#N/A)</f>
        <v/>
      </c>
    </row>
    <row r="5865">
      <c r="A5865" s="6">
        <f>Database!$A7950</f>
        <v/>
      </c>
      <c r="B5865">
        <f>IF(VLOOKUP(Table7[[#This Row],[Date]],Database!$A:$C,MATCH($B$1,Database!$A$1:$C$1,),)=0,#N/A,VLOOKUP(Table7[[#This Row],[Date]],Database!$A:$C,MATCH($B$1,Database!$A$1:$C$1,),))</f>
        <v/>
      </c>
      <c r="C5865">
        <f>IF(VLOOKUP(Table7[[#This Row],[Date]],Database!$A:$C,MATCH($C$1,Database!$A$1:$C$1,),)=0,#N/A,VLOOKUP(Table7[[#This Row],[Date]],Database!$A:$C,MATCH($C$1,Database!$A$1:$C$1,),))</f>
        <v/>
      </c>
      <c r="D5865">
        <f>IFERROR(Table7[[#This Row],[United States 10y]]-Table7[[#This Row],[United States 3y]],#N/A)</f>
        <v/>
      </c>
    </row>
    <row r="5866">
      <c r="A5866" s="6">
        <f>Database!$A7951</f>
        <v/>
      </c>
      <c r="B5866">
        <f>IF(VLOOKUP(Table7[[#This Row],[Date]],Database!$A:$C,MATCH($B$1,Database!$A$1:$C$1,),)=0,#N/A,VLOOKUP(Table7[[#This Row],[Date]],Database!$A:$C,MATCH($B$1,Database!$A$1:$C$1,),))</f>
        <v/>
      </c>
      <c r="C5866">
        <f>IF(VLOOKUP(Table7[[#This Row],[Date]],Database!$A:$C,MATCH($C$1,Database!$A$1:$C$1,),)=0,#N/A,VLOOKUP(Table7[[#This Row],[Date]],Database!$A:$C,MATCH($C$1,Database!$A$1:$C$1,),))</f>
        <v/>
      </c>
      <c r="D5866">
        <f>IFERROR(Table7[[#This Row],[United States 10y]]-Table7[[#This Row],[United States 3y]],#N/A)</f>
        <v/>
      </c>
    </row>
    <row r="5867">
      <c r="A5867" s="6">
        <f>Database!$A7952</f>
        <v/>
      </c>
      <c r="B5867">
        <f>IF(VLOOKUP(Table7[[#This Row],[Date]],Database!$A:$C,MATCH($B$1,Database!$A$1:$C$1,),)=0,#N/A,VLOOKUP(Table7[[#This Row],[Date]],Database!$A:$C,MATCH($B$1,Database!$A$1:$C$1,),))</f>
        <v/>
      </c>
      <c r="C5867">
        <f>IF(VLOOKUP(Table7[[#This Row],[Date]],Database!$A:$C,MATCH($C$1,Database!$A$1:$C$1,),)=0,#N/A,VLOOKUP(Table7[[#This Row],[Date]],Database!$A:$C,MATCH($C$1,Database!$A$1:$C$1,),))</f>
        <v/>
      </c>
      <c r="D5867">
        <f>IFERROR(Table7[[#This Row],[United States 10y]]-Table7[[#This Row],[United States 3y]],#N/A)</f>
        <v/>
      </c>
    </row>
    <row r="5868">
      <c r="A5868" s="6">
        <f>Database!$A7953</f>
        <v/>
      </c>
      <c r="B5868">
        <f>IF(VLOOKUP(Table7[[#This Row],[Date]],Database!$A:$C,MATCH($B$1,Database!$A$1:$C$1,),)=0,#N/A,VLOOKUP(Table7[[#This Row],[Date]],Database!$A:$C,MATCH($B$1,Database!$A$1:$C$1,),))</f>
        <v/>
      </c>
      <c r="C5868">
        <f>IF(VLOOKUP(Table7[[#This Row],[Date]],Database!$A:$C,MATCH($C$1,Database!$A$1:$C$1,),)=0,#N/A,VLOOKUP(Table7[[#This Row],[Date]],Database!$A:$C,MATCH($C$1,Database!$A$1:$C$1,),))</f>
        <v/>
      </c>
      <c r="D5868">
        <f>IFERROR(Table7[[#This Row],[United States 10y]]-Table7[[#This Row],[United States 3y]],#N/A)</f>
        <v/>
      </c>
    </row>
    <row r="5869">
      <c r="A5869" s="6">
        <f>Database!$A7954</f>
        <v/>
      </c>
      <c r="B5869">
        <f>IF(VLOOKUP(Table7[[#This Row],[Date]],Database!$A:$C,MATCH($B$1,Database!$A$1:$C$1,),)=0,#N/A,VLOOKUP(Table7[[#This Row],[Date]],Database!$A:$C,MATCH($B$1,Database!$A$1:$C$1,),))</f>
        <v/>
      </c>
      <c r="C5869">
        <f>IF(VLOOKUP(Table7[[#This Row],[Date]],Database!$A:$C,MATCH($C$1,Database!$A$1:$C$1,),)=0,#N/A,VLOOKUP(Table7[[#This Row],[Date]],Database!$A:$C,MATCH($C$1,Database!$A$1:$C$1,),))</f>
        <v/>
      </c>
      <c r="D5869">
        <f>IFERROR(Table7[[#This Row],[United States 10y]]-Table7[[#This Row],[United States 3y]],#N/A)</f>
        <v/>
      </c>
    </row>
    <row r="5870">
      <c r="A5870" s="6">
        <f>Database!$A7955</f>
        <v/>
      </c>
      <c r="B5870">
        <f>IF(VLOOKUP(Table7[[#This Row],[Date]],Database!$A:$C,MATCH($B$1,Database!$A$1:$C$1,),)=0,#N/A,VLOOKUP(Table7[[#This Row],[Date]],Database!$A:$C,MATCH($B$1,Database!$A$1:$C$1,),))</f>
        <v/>
      </c>
      <c r="C5870">
        <f>IF(VLOOKUP(Table7[[#This Row],[Date]],Database!$A:$C,MATCH($C$1,Database!$A$1:$C$1,),)=0,#N/A,VLOOKUP(Table7[[#This Row],[Date]],Database!$A:$C,MATCH($C$1,Database!$A$1:$C$1,),))</f>
        <v/>
      </c>
      <c r="D5870">
        <f>IFERROR(Table7[[#This Row],[United States 10y]]-Table7[[#This Row],[United States 3y]],#N/A)</f>
        <v/>
      </c>
    </row>
    <row r="5871">
      <c r="A5871" s="6">
        <f>Database!$A7956</f>
        <v/>
      </c>
      <c r="B5871">
        <f>IF(VLOOKUP(Table7[[#This Row],[Date]],Database!$A:$C,MATCH($B$1,Database!$A$1:$C$1,),)=0,#N/A,VLOOKUP(Table7[[#This Row],[Date]],Database!$A:$C,MATCH($B$1,Database!$A$1:$C$1,),))</f>
        <v/>
      </c>
      <c r="C5871">
        <f>IF(VLOOKUP(Table7[[#This Row],[Date]],Database!$A:$C,MATCH($C$1,Database!$A$1:$C$1,),)=0,#N/A,VLOOKUP(Table7[[#This Row],[Date]],Database!$A:$C,MATCH($C$1,Database!$A$1:$C$1,),))</f>
        <v/>
      </c>
      <c r="D5871">
        <f>IFERROR(Table7[[#This Row],[United States 10y]]-Table7[[#This Row],[United States 3y]],#N/A)</f>
        <v/>
      </c>
    </row>
    <row r="5872">
      <c r="A5872" s="6">
        <f>Database!$A7957</f>
        <v/>
      </c>
      <c r="B5872">
        <f>IF(VLOOKUP(Table7[[#This Row],[Date]],Database!$A:$C,MATCH($B$1,Database!$A$1:$C$1,),)=0,#N/A,VLOOKUP(Table7[[#This Row],[Date]],Database!$A:$C,MATCH($B$1,Database!$A$1:$C$1,),))</f>
        <v/>
      </c>
      <c r="C5872">
        <f>IF(VLOOKUP(Table7[[#This Row],[Date]],Database!$A:$C,MATCH($C$1,Database!$A$1:$C$1,),)=0,#N/A,VLOOKUP(Table7[[#This Row],[Date]],Database!$A:$C,MATCH($C$1,Database!$A$1:$C$1,),))</f>
        <v/>
      </c>
      <c r="D5872">
        <f>IFERROR(Table7[[#This Row],[United States 10y]]-Table7[[#This Row],[United States 3y]],#N/A)</f>
        <v/>
      </c>
    </row>
    <row r="5873">
      <c r="A5873" s="6">
        <f>Database!$A7958</f>
        <v/>
      </c>
      <c r="B5873">
        <f>IF(VLOOKUP(Table7[[#This Row],[Date]],Database!$A:$C,MATCH($B$1,Database!$A$1:$C$1,),)=0,#N/A,VLOOKUP(Table7[[#This Row],[Date]],Database!$A:$C,MATCH($B$1,Database!$A$1:$C$1,),))</f>
        <v/>
      </c>
      <c r="C5873">
        <f>IF(VLOOKUP(Table7[[#This Row],[Date]],Database!$A:$C,MATCH($C$1,Database!$A$1:$C$1,),)=0,#N/A,VLOOKUP(Table7[[#This Row],[Date]],Database!$A:$C,MATCH($C$1,Database!$A$1:$C$1,),))</f>
        <v/>
      </c>
      <c r="D5873">
        <f>IFERROR(Table7[[#This Row],[United States 10y]]-Table7[[#This Row],[United States 3y]],#N/A)</f>
        <v/>
      </c>
    </row>
    <row r="5874">
      <c r="A5874" s="6">
        <f>Database!$A7959</f>
        <v/>
      </c>
      <c r="B5874">
        <f>IF(VLOOKUP(Table7[[#This Row],[Date]],Database!$A:$C,MATCH($B$1,Database!$A$1:$C$1,),)=0,#N/A,VLOOKUP(Table7[[#This Row],[Date]],Database!$A:$C,MATCH($B$1,Database!$A$1:$C$1,),))</f>
        <v/>
      </c>
      <c r="C5874">
        <f>IF(VLOOKUP(Table7[[#This Row],[Date]],Database!$A:$C,MATCH($C$1,Database!$A$1:$C$1,),)=0,#N/A,VLOOKUP(Table7[[#This Row],[Date]],Database!$A:$C,MATCH($C$1,Database!$A$1:$C$1,),))</f>
        <v/>
      </c>
      <c r="D5874">
        <f>IFERROR(Table7[[#This Row],[United States 10y]]-Table7[[#This Row],[United States 3y]],#N/A)</f>
        <v/>
      </c>
    </row>
    <row r="5875">
      <c r="A5875" s="6">
        <f>Database!$A7960</f>
        <v/>
      </c>
      <c r="B5875">
        <f>IF(VLOOKUP(Table7[[#This Row],[Date]],Database!$A:$C,MATCH($B$1,Database!$A$1:$C$1,),)=0,#N/A,VLOOKUP(Table7[[#This Row],[Date]],Database!$A:$C,MATCH($B$1,Database!$A$1:$C$1,),))</f>
        <v/>
      </c>
      <c r="C5875">
        <f>IF(VLOOKUP(Table7[[#This Row],[Date]],Database!$A:$C,MATCH($C$1,Database!$A$1:$C$1,),)=0,#N/A,VLOOKUP(Table7[[#This Row],[Date]],Database!$A:$C,MATCH($C$1,Database!$A$1:$C$1,),))</f>
        <v/>
      </c>
      <c r="D5875">
        <f>IFERROR(Table7[[#This Row],[United States 10y]]-Table7[[#This Row],[United States 3y]],#N/A)</f>
        <v/>
      </c>
    </row>
    <row r="5876">
      <c r="A5876" s="6">
        <f>Database!$A7961</f>
        <v/>
      </c>
      <c r="B5876">
        <f>IF(VLOOKUP(Table7[[#This Row],[Date]],Database!$A:$C,MATCH($B$1,Database!$A$1:$C$1,),)=0,#N/A,VLOOKUP(Table7[[#This Row],[Date]],Database!$A:$C,MATCH($B$1,Database!$A$1:$C$1,),))</f>
        <v/>
      </c>
      <c r="C5876">
        <f>IF(VLOOKUP(Table7[[#This Row],[Date]],Database!$A:$C,MATCH($C$1,Database!$A$1:$C$1,),)=0,#N/A,VLOOKUP(Table7[[#This Row],[Date]],Database!$A:$C,MATCH($C$1,Database!$A$1:$C$1,),))</f>
        <v/>
      </c>
      <c r="D5876">
        <f>IFERROR(Table7[[#This Row],[United States 10y]]-Table7[[#This Row],[United States 3y]],#N/A)</f>
        <v/>
      </c>
    </row>
    <row r="5877">
      <c r="A5877" s="6">
        <f>Database!$A7962</f>
        <v/>
      </c>
      <c r="B5877">
        <f>IF(VLOOKUP(Table7[[#This Row],[Date]],Database!$A:$C,MATCH($B$1,Database!$A$1:$C$1,),)=0,#N/A,VLOOKUP(Table7[[#This Row],[Date]],Database!$A:$C,MATCH($B$1,Database!$A$1:$C$1,),))</f>
        <v/>
      </c>
      <c r="C5877">
        <f>IF(VLOOKUP(Table7[[#This Row],[Date]],Database!$A:$C,MATCH($C$1,Database!$A$1:$C$1,),)=0,#N/A,VLOOKUP(Table7[[#This Row],[Date]],Database!$A:$C,MATCH($C$1,Database!$A$1:$C$1,),))</f>
        <v/>
      </c>
      <c r="D5877">
        <f>IFERROR(Table7[[#This Row],[United States 10y]]-Table7[[#This Row],[United States 3y]],#N/A)</f>
        <v/>
      </c>
    </row>
    <row r="5878">
      <c r="A5878" s="6">
        <f>Database!$A7963</f>
        <v/>
      </c>
      <c r="B5878">
        <f>IF(VLOOKUP(Table7[[#This Row],[Date]],Database!$A:$C,MATCH($B$1,Database!$A$1:$C$1,),)=0,#N/A,VLOOKUP(Table7[[#This Row],[Date]],Database!$A:$C,MATCH($B$1,Database!$A$1:$C$1,),))</f>
        <v/>
      </c>
      <c r="C5878">
        <f>IF(VLOOKUP(Table7[[#This Row],[Date]],Database!$A:$C,MATCH($C$1,Database!$A$1:$C$1,),)=0,#N/A,VLOOKUP(Table7[[#This Row],[Date]],Database!$A:$C,MATCH($C$1,Database!$A$1:$C$1,),))</f>
        <v/>
      </c>
      <c r="D5878">
        <f>IFERROR(Table7[[#This Row],[United States 10y]]-Table7[[#This Row],[United States 3y]],#N/A)</f>
        <v/>
      </c>
    </row>
    <row r="5879">
      <c r="A5879" s="6">
        <f>Database!$A7964</f>
        <v/>
      </c>
      <c r="B5879">
        <f>IF(VLOOKUP(Table7[[#This Row],[Date]],Database!$A:$C,MATCH($B$1,Database!$A$1:$C$1,),)=0,#N/A,VLOOKUP(Table7[[#This Row],[Date]],Database!$A:$C,MATCH($B$1,Database!$A$1:$C$1,),))</f>
        <v/>
      </c>
      <c r="C5879">
        <f>IF(VLOOKUP(Table7[[#This Row],[Date]],Database!$A:$C,MATCH($C$1,Database!$A$1:$C$1,),)=0,#N/A,VLOOKUP(Table7[[#This Row],[Date]],Database!$A:$C,MATCH($C$1,Database!$A$1:$C$1,),))</f>
        <v/>
      </c>
      <c r="D5879">
        <f>IFERROR(Table7[[#This Row],[United States 10y]]-Table7[[#This Row],[United States 3y]],#N/A)</f>
        <v/>
      </c>
    </row>
    <row r="5880">
      <c r="A5880" s="6">
        <f>Database!$A7965</f>
        <v/>
      </c>
      <c r="B5880">
        <f>IF(VLOOKUP(Table7[[#This Row],[Date]],Database!$A:$C,MATCH($B$1,Database!$A$1:$C$1,),)=0,#N/A,VLOOKUP(Table7[[#This Row],[Date]],Database!$A:$C,MATCH($B$1,Database!$A$1:$C$1,),))</f>
        <v/>
      </c>
      <c r="C5880">
        <f>IF(VLOOKUP(Table7[[#This Row],[Date]],Database!$A:$C,MATCH($C$1,Database!$A$1:$C$1,),)=0,#N/A,VLOOKUP(Table7[[#This Row],[Date]],Database!$A:$C,MATCH($C$1,Database!$A$1:$C$1,),))</f>
        <v/>
      </c>
      <c r="D5880">
        <f>IFERROR(Table7[[#This Row],[United States 10y]]-Table7[[#This Row],[United States 3y]],#N/A)</f>
        <v/>
      </c>
    </row>
    <row r="5881">
      <c r="A5881" s="6">
        <f>Database!$A7966</f>
        <v/>
      </c>
      <c r="B5881">
        <f>IF(VLOOKUP(Table7[[#This Row],[Date]],Database!$A:$C,MATCH($B$1,Database!$A$1:$C$1,),)=0,#N/A,VLOOKUP(Table7[[#This Row],[Date]],Database!$A:$C,MATCH($B$1,Database!$A$1:$C$1,),))</f>
        <v/>
      </c>
      <c r="C5881">
        <f>IF(VLOOKUP(Table7[[#This Row],[Date]],Database!$A:$C,MATCH($C$1,Database!$A$1:$C$1,),)=0,#N/A,VLOOKUP(Table7[[#This Row],[Date]],Database!$A:$C,MATCH($C$1,Database!$A$1:$C$1,),))</f>
        <v/>
      </c>
      <c r="D5881">
        <f>IFERROR(Table7[[#This Row],[United States 10y]]-Table7[[#This Row],[United States 3y]],#N/A)</f>
        <v/>
      </c>
    </row>
    <row r="5882">
      <c r="A5882" s="6">
        <f>Database!$A7967</f>
        <v/>
      </c>
      <c r="B5882">
        <f>IF(VLOOKUP(Table7[[#This Row],[Date]],Database!$A:$C,MATCH($B$1,Database!$A$1:$C$1,),)=0,#N/A,VLOOKUP(Table7[[#This Row],[Date]],Database!$A:$C,MATCH($B$1,Database!$A$1:$C$1,),))</f>
        <v/>
      </c>
      <c r="C5882">
        <f>IF(VLOOKUP(Table7[[#This Row],[Date]],Database!$A:$C,MATCH($C$1,Database!$A$1:$C$1,),)=0,#N/A,VLOOKUP(Table7[[#This Row],[Date]],Database!$A:$C,MATCH($C$1,Database!$A$1:$C$1,),))</f>
        <v/>
      </c>
      <c r="D5882">
        <f>IFERROR(Table7[[#This Row],[United States 10y]]-Table7[[#This Row],[United States 3y]],#N/A)</f>
        <v/>
      </c>
    </row>
    <row r="5883">
      <c r="A5883" s="6">
        <f>Database!$A7968</f>
        <v/>
      </c>
      <c r="B5883">
        <f>IF(VLOOKUP(Table7[[#This Row],[Date]],Database!$A:$C,MATCH($B$1,Database!$A$1:$C$1,),)=0,#N/A,VLOOKUP(Table7[[#This Row],[Date]],Database!$A:$C,MATCH($B$1,Database!$A$1:$C$1,),))</f>
        <v/>
      </c>
      <c r="C5883">
        <f>IF(VLOOKUP(Table7[[#This Row],[Date]],Database!$A:$C,MATCH($C$1,Database!$A$1:$C$1,),)=0,#N/A,VLOOKUP(Table7[[#This Row],[Date]],Database!$A:$C,MATCH($C$1,Database!$A$1:$C$1,),))</f>
        <v/>
      </c>
      <c r="D5883">
        <f>IFERROR(Table7[[#This Row],[United States 10y]]-Table7[[#This Row],[United States 3y]],#N/A)</f>
        <v/>
      </c>
    </row>
    <row r="5884">
      <c r="A5884" s="6">
        <f>Database!$A7969</f>
        <v/>
      </c>
      <c r="B5884">
        <f>IF(VLOOKUP(Table7[[#This Row],[Date]],Database!$A:$C,MATCH($B$1,Database!$A$1:$C$1,),)=0,#N/A,VLOOKUP(Table7[[#This Row],[Date]],Database!$A:$C,MATCH($B$1,Database!$A$1:$C$1,),))</f>
        <v/>
      </c>
      <c r="C5884">
        <f>IF(VLOOKUP(Table7[[#This Row],[Date]],Database!$A:$C,MATCH($C$1,Database!$A$1:$C$1,),)=0,#N/A,VLOOKUP(Table7[[#This Row],[Date]],Database!$A:$C,MATCH($C$1,Database!$A$1:$C$1,),))</f>
        <v/>
      </c>
      <c r="D5884">
        <f>IFERROR(Table7[[#This Row],[United States 10y]]-Table7[[#This Row],[United States 3y]],#N/A)</f>
        <v/>
      </c>
    </row>
    <row r="5885">
      <c r="A5885" s="6">
        <f>Database!$A7970</f>
        <v/>
      </c>
      <c r="B5885">
        <f>IF(VLOOKUP(Table7[[#This Row],[Date]],Database!$A:$C,MATCH($B$1,Database!$A$1:$C$1,),)=0,#N/A,VLOOKUP(Table7[[#This Row],[Date]],Database!$A:$C,MATCH($B$1,Database!$A$1:$C$1,),))</f>
        <v/>
      </c>
      <c r="C5885">
        <f>IF(VLOOKUP(Table7[[#This Row],[Date]],Database!$A:$C,MATCH($C$1,Database!$A$1:$C$1,),)=0,#N/A,VLOOKUP(Table7[[#This Row],[Date]],Database!$A:$C,MATCH($C$1,Database!$A$1:$C$1,),))</f>
        <v/>
      </c>
      <c r="D5885">
        <f>IFERROR(Table7[[#This Row],[United States 10y]]-Table7[[#This Row],[United States 3y]],#N/A)</f>
        <v/>
      </c>
    </row>
    <row r="5886">
      <c r="A5886" s="6">
        <f>Database!$A7971</f>
        <v/>
      </c>
      <c r="B5886">
        <f>IF(VLOOKUP(Table7[[#This Row],[Date]],Database!$A:$C,MATCH($B$1,Database!$A$1:$C$1,),)=0,#N/A,VLOOKUP(Table7[[#This Row],[Date]],Database!$A:$C,MATCH($B$1,Database!$A$1:$C$1,),))</f>
        <v/>
      </c>
      <c r="C5886">
        <f>IF(VLOOKUP(Table7[[#This Row],[Date]],Database!$A:$C,MATCH($C$1,Database!$A$1:$C$1,),)=0,#N/A,VLOOKUP(Table7[[#This Row],[Date]],Database!$A:$C,MATCH($C$1,Database!$A$1:$C$1,),))</f>
        <v/>
      </c>
      <c r="D5886">
        <f>IFERROR(Table7[[#This Row],[United States 10y]]-Table7[[#This Row],[United States 3y]],#N/A)</f>
        <v/>
      </c>
    </row>
    <row r="5887">
      <c r="A5887" s="6">
        <f>Database!$A7972</f>
        <v/>
      </c>
      <c r="B5887">
        <f>IF(VLOOKUP(Table7[[#This Row],[Date]],Database!$A:$C,MATCH($B$1,Database!$A$1:$C$1,),)=0,#N/A,VLOOKUP(Table7[[#This Row],[Date]],Database!$A:$C,MATCH($B$1,Database!$A$1:$C$1,),))</f>
        <v/>
      </c>
      <c r="C5887">
        <f>IF(VLOOKUP(Table7[[#This Row],[Date]],Database!$A:$C,MATCH($C$1,Database!$A$1:$C$1,),)=0,#N/A,VLOOKUP(Table7[[#This Row],[Date]],Database!$A:$C,MATCH($C$1,Database!$A$1:$C$1,),))</f>
        <v/>
      </c>
      <c r="D5887">
        <f>IFERROR(Table7[[#This Row],[United States 10y]]-Table7[[#This Row],[United States 3y]],#N/A)</f>
        <v/>
      </c>
    </row>
    <row r="5888">
      <c r="A5888" s="6">
        <f>Database!$A7973</f>
        <v/>
      </c>
      <c r="B5888">
        <f>IF(VLOOKUP(Table7[[#This Row],[Date]],Database!$A:$C,MATCH($B$1,Database!$A$1:$C$1,),)=0,#N/A,VLOOKUP(Table7[[#This Row],[Date]],Database!$A:$C,MATCH($B$1,Database!$A$1:$C$1,),))</f>
        <v/>
      </c>
      <c r="C5888">
        <f>IF(VLOOKUP(Table7[[#This Row],[Date]],Database!$A:$C,MATCH($C$1,Database!$A$1:$C$1,),)=0,#N/A,VLOOKUP(Table7[[#This Row],[Date]],Database!$A:$C,MATCH($C$1,Database!$A$1:$C$1,),))</f>
        <v/>
      </c>
      <c r="D5888">
        <f>IFERROR(Table7[[#This Row],[United States 10y]]-Table7[[#This Row],[United States 3y]],#N/A)</f>
        <v/>
      </c>
    </row>
    <row r="5889">
      <c r="A5889" s="6">
        <f>Database!$A7974</f>
        <v/>
      </c>
      <c r="B5889">
        <f>IF(VLOOKUP(Table7[[#This Row],[Date]],Database!$A:$C,MATCH($B$1,Database!$A$1:$C$1,),)=0,#N/A,VLOOKUP(Table7[[#This Row],[Date]],Database!$A:$C,MATCH($B$1,Database!$A$1:$C$1,),))</f>
        <v/>
      </c>
      <c r="C5889">
        <f>IF(VLOOKUP(Table7[[#This Row],[Date]],Database!$A:$C,MATCH($C$1,Database!$A$1:$C$1,),)=0,#N/A,VLOOKUP(Table7[[#This Row],[Date]],Database!$A:$C,MATCH($C$1,Database!$A$1:$C$1,),))</f>
        <v/>
      </c>
      <c r="D5889">
        <f>IFERROR(Table7[[#This Row],[United States 10y]]-Table7[[#This Row],[United States 3y]],#N/A)</f>
        <v/>
      </c>
    </row>
    <row r="5890">
      <c r="A5890" s="6">
        <f>Database!$A7975</f>
        <v/>
      </c>
      <c r="B5890">
        <f>IF(VLOOKUP(Table7[[#This Row],[Date]],Database!$A:$C,MATCH($B$1,Database!$A$1:$C$1,),)=0,#N/A,VLOOKUP(Table7[[#This Row],[Date]],Database!$A:$C,MATCH($B$1,Database!$A$1:$C$1,),))</f>
        <v/>
      </c>
      <c r="C5890">
        <f>IF(VLOOKUP(Table7[[#This Row],[Date]],Database!$A:$C,MATCH($C$1,Database!$A$1:$C$1,),)=0,#N/A,VLOOKUP(Table7[[#This Row],[Date]],Database!$A:$C,MATCH($C$1,Database!$A$1:$C$1,),))</f>
        <v/>
      </c>
      <c r="D5890">
        <f>IFERROR(Table7[[#This Row],[United States 10y]]-Table7[[#This Row],[United States 3y]],#N/A)</f>
        <v/>
      </c>
    </row>
    <row r="5891">
      <c r="A5891" s="6">
        <f>Database!$A7976</f>
        <v/>
      </c>
      <c r="B5891">
        <f>IF(VLOOKUP(Table7[[#This Row],[Date]],Database!$A:$C,MATCH($B$1,Database!$A$1:$C$1,),)=0,#N/A,VLOOKUP(Table7[[#This Row],[Date]],Database!$A:$C,MATCH($B$1,Database!$A$1:$C$1,),))</f>
        <v/>
      </c>
      <c r="C5891">
        <f>IF(VLOOKUP(Table7[[#This Row],[Date]],Database!$A:$C,MATCH($C$1,Database!$A$1:$C$1,),)=0,#N/A,VLOOKUP(Table7[[#This Row],[Date]],Database!$A:$C,MATCH($C$1,Database!$A$1:$C$1,),))</f>
        <v/>
      </c>
      <c r="D5891">
        <f>IFERROR(Table7[[#This Row],[United States 10y]]-Table7[[#This Row],[United States 3y]],#N/A)</f>
        <v/>
      </c>
    </row>
    <row r="5892">
      <c r="A5892" s="6">
        <f>Database!$A7977</f>
        <v/>
      </c>
      <c r="B5892">
        <f>IF(VLOOKUP(Table7[[#This Row],[Date]],Database!$A:$C,MATCH($B$1,Database!$A$1:$C$1,),)=0,#N/A,VLOOKUP(Table7[[#This Row],[Date]],Database!$A:$C,MATCH($B$1,Database!$A$1:$C$1,),))</f>
        <v/>
      </c>
      <c r="C5892">
        <f>IF(VLOOKUP(Table7[[#This Row],[Date]],Database!$A:$C,MATCH($C$1,Database!$A$1:$C$1,),)=0,#N/A,VLOOKUP(Table7[[#This Row],[Date]],Database!$A:$C,MATCH($C$1,Database!$A$1:$C$1,),))</f>
        <v/>
      </c>
      <c r="D5892">
        <f>IFERROR(Table7[[#This Row],[United States 10y]]-Table7[[#This Row],[United States 3y]],#N/A)</f>
        <v/>
      </c>
    </row>
    <row r="5893">
      <c r="A5893" s="6">
        <f>Database!$A7978</f>
        <v/>
      </c>
      <c r="B5893">
        <f>IF(VLOOKUP(Table7[[#This Row],[Date]],Database!$A:$C,MATCH($B$1,Database!$A$1:$C$1,),)=0,#N/A,VLOOKUP(Table7[[#This Row],[Date]],Database!$A:$C,MATCH($B$1,Database!$A$1:$C$1,),))</f>
        <v/>
      </c>
      <c r="C5893">
        <f>IF(VLOOKUP(Table7[[#This Row],[Date]],Database!$A:$C,MATCH($C$1,Database!$A$1:$C$1,),)=0,#N/A,VLOOKUP(Table7[[#This Row],[Date]],Database!$A:$C,MATCH($C$1,Database!$A$1:$C$1,),))</f>
        <v/>
      </c>
      <c r="D5893">
        <f>IFERROR(Table7[[#This Row],[United States 10y]]-Table7[[#This Row],[United States 3y]],#N/A)</f>
        <v/>
      </c>
    </row>
    <row r="5894">
      <c r="A5894" s="6">
        <f>Database!$A7979</f>
        <v/>
      </c>
      <c r="B5894">
        <f>IF(VLOOKUP(Table7[[#This Row],[Date]],Database!$A:$C,MATCH($B$1,Database!$A$1:$C$1,),)=0,#N/A,VLOOKUP(Table7[[#This Row],[Date]],Database!$A:$C,MATCH($B$1,Database!$A$1:$C$1,),))</f>
        <v/>
      </c>
      <c r="C5894">
        <f>IF(VLOOKUP(Table7[[#This Row],[Date]],Database!$A:$C,MATCH($C$1,Database!$A$1:$C$1,),)=0,#N/A,VLOOKUP(Table7[[#This Row],[Date]],Database!$A:$C,MATCH($C$1,Database!$A$1:$C$1,),))</f>
        <v/>
      </c>
      <c r="D5894">
        <f>IFERROR(Table7[[#This Row],[United States 10y]]-Table7[[#This Row],[United States 3y]],#N/A)</f>
        <v/>
      </c>
    </row>
    <row r="5895">
      <c r="A5895" s="6">
        <f>Database!$A7980</f>
        <v/>
      </c>
      <c r="B5895">
        <f>IF(VLOOKUP(Table7[[#This Row],[Date]],Database!$A:$C,MATCH($B$1,Database!$A$1:$C$1,),)=0,#N/A,VLOOKUP(Table7[[#This Row],[Date]],Database!$A:$C,MATCH($B$1,Database!$A$1:$C$1,),))</f>
        <v/>
      </c>
      <c r="C5895">
        <f>IF(VLOOKUP(Table7[[#This Row],[Date]],Database!$A:$C,MATCH($C$1,Database!$A$1:$C$1,),)=0,#N/A,VLOOKUP(Table7[[#This Row],[Date]],Database!$A:$C,MATCH($C$1,Database!$A$1:$C$1,),))</f>
        <v/>
      </c>
      <c r="D5895">
        <f>IFERROR(Table7[[#This Row],[United States 10y]]-Table7[[#This Row],[United States 3y]],#N/A)</f>
        <v/>
      </c>
    </row>
    <row r="5896">
      <c r="A5896" s="6">
        <f>Database!$A7981</f>
        <v/>
      </c>
      <c r="B5896">
        <f>IF(VLOOKUP(Table7[[#This Row],[Date]],Database!$A:$C,MATCH($B$1,Database!$A$1:$C$1,),)=0,#N/A,VLOOKUP(Table7[[#This Row],[Date]],Database!$A:$C,MATCH($B$1,Database!$A$1:$C$1,),))</f>
        <v/>
      </c>
      <c r="C5896">
        <f>IF(VLOOKUP(Table7[[#This Row],[Date]],Database!$A:$C,MATCH($C$1,Database!$A$1:$C$1,),)=0,#N/A,VLOOKUP(Table7[[#This Row],[Date]],Database!$A:$C,MATCH($C$1,Database!$A$1:$C$1,),))</f>
        <v/>
      </c>
      <c r="D5896">
        <f>IFERROR(Table7[[#This Row],[United States 10y]]-Table7[[#This Row],[United States 3y]],#N/A)</f>
        <v/>
      </c>
    </row>
    <row r="5897">
      <c r="A5897" s="6">
        <f>Database!$A7982</f>
        <v/>
      </c>
      <c r="B5897">
        <f>IF(VLOOKUP(Table7[[#This Row],[Date]],Database!$A:$C,MATCH($B$1,Database!$A$1:$C$1,),)=0,#N/A,VLOOKUP(Table7[[#This Row],[Date]],Database!$A:$C,MATCH($B$1,Database!$A$1:$C$1,),))</f>
        <v/>
      </c>
      <c r="C5897">
        <f>IF(VLOOKUP(Table7[[#This Row],[Date]],Database!$A:$C,MATCH($C$1,Database!$A$1:$C$1,),)=0,#N/A,VLOOKUP(Table7[[#This Row],[Date]],Database!$A:$C,MATCH($C$1,Database!$A$1:$C$1,),))</f>
        <v/>
      </c>
      <c r="D5897">
        <f>IFERROR(Table7[[#This Row],[United States 10y]]-Table7[[#This Row],[United States 3y]],#N/A)</f>
        <v/>
      </c>
    </row>
    <row r="5898">
      <c r="A5898" s="6">
        <f>Database!$A7983</f>
        <v/>
      </c>
      <c r="B5898">
        <f>IF(VLOOKUP(Table7[[#This Row],[Date]],Database!$A:$C,MATCH($B$1,Database!$A$1:$C$1,),)=0,#N/A,VLOOKUP(Table7[[#This Row],[Date]],Database!$A:$C,MATCH($B$1,Database!$A$1:$C$1,),))</f>
        <v/>
      </c>
      <c r="C5898">
        <f>IF(VLOOKUP(Table7[[#This Row],[Date]],Database!$A:$C,MATCH($C$1,Database!$A$1:$C$1,),)=0,#N/A,VLOOKUP(Table7[[#This Row],[Date]],Database!$A:$C,MATCH($C$1,Database!$A$1:$C$1,),))</f>
        <v/>
      </c>
      <c r="D5898">
        <f>IFERROR(Table7[[#This Row],[United States 10y]]-Table7[[#This Row],[United States 3y]],#N/A)</f>
        <v/>
      </c>
    </row>
    <row r="5899">
      <c r="A5899" s="6">
        <f>Database!$A7984</f>
        <v/>
      </c>
      <c r="B5899">
        <f>IF(VLOOKUP(Table7[[#This Row],[Date]],Database!$A:$C,MATCH($B$1,Database!$A$1:$C$1,),)=0,#N/A,VLOOKUP(Table7[[#This Row],[Date]],Database!$A:$C,MATCH($B$1,Database!$A$1:$C$1,),))</f>
        <v/>
      </c>
      <c r="C5899">
        <f>IF(VLOOKUP(Table7[[#This Row],[Date]],Database!$A:$C,MATCH($C$1,Database!$A$1:$C$1,),)=0,#N/A,VLOOKUP(Table7[[#This Row],[Date]],Database!$A:$C,MATCH($C$1,Database!$A$1:$C$1,),))</f>
        <v/>
      </c>
      <c r="D5899">
        <f>IFERROR(Table7[[#This Row],[United States 10y]]-Table7[[#This Row],[United States 3y]],#N/A)</f>
        <v/>
      </c>
    </row>
    <row r="5900">
      <c r="A5900" s="6">
        <f>Database!$A7985</f>
        <v/>
      </c>
      <c r="B5900">
        <f>IF(VLOOKUP(Table7[[#This Row],[Date]],Database!$A:$C,MATCH($B$1,Database!$A$1:$C$1,),)=0,#N/A,VLOOKUP(Table7[[#This Row],[Date]],Database!$A:$C,MATCH($B$1,Database!$A$1:$C$1,),))</f>
        <v/>
      </c>
      <c r="C5900">
        <f>IF(VLOOKUP(Table7[[#This Row],[Date]],Database!$A:$C,MATCH($C$1,Database!$A$1:$C$1,),)=0,#N/A,VLOOKUP(Table7[[#This Row],[Date]],Database!$A:$C,MATCH($C$1,Database!$A$1:$C$1,),))</f>
        <v/>
      </c>
      <c r="D5900">
        <f>IFERROR(Table7[[#This Row],[United States 10y]]-Table7[[#This Row],[United States 3y]],#N/A)</f>
        <v/>
      </c>
    </row>
    <row r="5901">
      <c r="A5901" s="6">
        <f>Database!$A7986</f>
        <v/>
      </c>
      <c r="B5901">
        <f>IF(VLOOKUP(Table7[[#This Row],[Date]],Database!$A:$C,MATCH($B$1,Database!$A$1:$C$1,),)=0,#N/A,VLOOKUP(Table7[[#This Row],[Date]],Database!$A:$C,MATCH($B$1,Database!$A$1:$C$1,),))</f>
        <v/>
      </c>
      <c r="C5901">
        <f>IF(VLOOKUP(Table7[[#This Row],[Date]],Database!$A:$C,MATCH($C$1,Database!$A$1:$C$1,),)=0,#N/A,VLOOKUP(Table7[[#This Row],[Date]],Database!$A:$C,MATCH($C$1,Database!$A$1:$C$1,),))</f>
        <v/>
      </c>
      <c r="D5901">
        <f>IFERROR(Table7[[#This Row],[United States 10y]]-Table7[[#This Row],[United States 3y]],#N/A)</f>
        <v/>
      </c>
    </row>
    <row r="5902">
      <c r="A5902" s="6">
        <f>Database!$A7987</f>
        <v/>
      </c>
      <c r="B5902">
        <f>IF(VLOOKUP(Table7[[#This Row],[Date]],Database!$A:$C,MATCH($B$1,Database!$A$1:$C$1,),)=0,#N/A,VLOOKUP(Table7[[#This Row],[Date]],Database!$A:$C,MATCH($B$1,Database!$A$1:$C$1,),))</f>
        <v/>
      </c>
      <c r="C5902">
        <f>IF(VLOOKUP(Table7[[#This Row],[Date]],Database!$A:$C,MATCH($C$1,Database!$A$1:$C$1,),)=0,#N/A,VLOOKUP(Table7[[#This Row],[Date]],Database!$A:$C,MATCH($C$1,Database!$A$1:$C$1,),))</f>
        <v/>
      </c>
      <c r="D5902">
        <f>IFERROR(Table7[[#This Row],[United States 10y]]-Table7[[#This Row],[United States 3y]],#N/A)</f>
        <v/>
      </c>
    </row>
    <row r="5903">
      <c r="A5903" s="6">
        <f>Database!$A7988</f>
        <v/>
      </c>
      <c r="B5903">
        <f>IF(VLOOKUP(Table7[[#This Row],[Date]],Database!$A:$C,MATCH($B$1,Database!$A$1:$C$1,),)=0,#N/A,VLOOKUP(Table7[[#This Row],[Date]],Database!$A:$C,MATCH($B$1,Database!$A$1:$C$1,),))</f>
        <v/>
      </c>
      <c r="C5903">
        <f>IF(VLOOKUP(Table7[[#This Row],[Date]],Database!$A:$C,MATCH($C$1,Database!$A$1:$C$1,),)=0,#N/A,VLOOKUP(Table7[[#This Row],[Date]],Database!$A:$C,MATCH($C$1,Database!$A$1:$C$1,),))</f>
        <v/>
      </c>
      <c r="D5903">
        <f>IFERROR(Table7[[#This Row],[United States 10y]]-Table7[[#This Row],[United States 3y]],#N/A)</f>
        <v/>
      </c>
    </row>
    <row r="5904">
      <c r="A5904" s="6">
        <f>Database!$A7989</f>
        <v/>
      </c>
      <c r="B5904">
        <f>IF(VLOOKUP(Table7[[#This Row],[Date]],Database!$A:$C,MATCH($B$1,Database!$A$1:$C$1,),)=0,#N/A,VLOOKUP(Table7[[#This Row],[Date]],Database!$A:$C,MATCH($B$1,Database!$A$1:$C$1,),))</f>
        <v/>
      </c>
      <c r="C5904">
        <f>IF(VLOOKUP(Table7[[#This Row],[Date]],Database!$A:$C,MATCH($C$1,Database!$A$1:$C$1,),)=0,#N/A,VLOOKUP(Table7[[#This Row],[Date]],Database!$A:$C,MATCH($C$1,Database!$A$1:$C$1,),))</f>
        <v/>
      </c>
      <c r="D5904">
        <f>IFERROR(Table7[[#This Row],[United States 10y]]-Table7[[#This Row],[United States 3y]],#N/A)</f>
        <v/>
      </c>
    </row>
    <row r="5905">
      <c r="A5905" s="6">
        <f>Database!$A7990</f>
        <v/>
      </c>
      <c r="B5905">
        <f>IF(VLOOKUP(Table7[[#This Row],[Date]],Database!$A:$C,MATCH($B$1,Database!$A$1:$C$1,),)=0,#N/A,VLOOKUP(Table7[[#This Row],[Date]],Database!$A:$C,MATCH($B$1,Database!$A$1:$C$1,),))</f>
        <v/>
      </c>
      <c r="C5905">
        <f>IF(VLOOKUP(Table7[[#This Row],[Date]],Database!$A:$C,MATCH($C$1,Database!$A$1:$C$1,),)=0,#N/A,VLOOKUP(Table7[[#This Row],[Date]],Database!$A:$C,MATCH($C$1,Database!$A$1:$C$1,),))</f>
        <v/>
      </c>
      <c r="D5905">
        <f>IFERROR(Table7[[#This Row],[United States 10y]]-Table7[[#This Row],[United States 3y]],#N/A)</f>
        <v/>
      </c>
    </row>
    <row r="5906">
      <c r="A5906" s="6">
        <f>Database!$A7991</f>
        <v/>
      </c>
      <c r="B5906">
        <f>IF(VLOOKUP(Table7[[#This Row],[Date]],Database!$A:$C,MATCH($B$1,Database!$A$1:$C$1,),)=0,#N/A,VLOOKUP(Table7[[#This Row],[Date]],Database!$A:$C,MATCH($B$1,Database!$A$1:$C$1,),))</f>
        <v/>
      </c>
      <c r="C5906">
        <f>IF(VLOOKUP(Table7[[#This Row],[Date]],Database!$A:$C,MATCH($C$1,Database!$A$1:$C$1,),)=0,#N/A,VLOOKUP(Table7[[#This Row],[Date]],Database!$A:$C,MATCH($C$1,Database!$A$1:$C$1,),))</f>
        <v/>
      </c>
      <c r="D5906">
        <f>IFERROR(Table7[[#This Row],[United States 10y]]-Table7[[#This Row],[United States 3y]],#N/A)</f>
        <v/>
      </c>
    </row>
    <row r="5907">
      <c r="A5907" s="6">
        <f>Database!$A7992</f>
        <v/>
      </c>
      <c r="B5907">
        <f>IF(VLOOKUP(Table7[[#This Row],[Date]],Database!$A:$C,MATCH($B$1,Database!$A$1:$C$1,),)=0,#N/A,VLOOKUP(Table7[[#This Row],[Date]],Database!$A:$C,MATCH($B$1,Database!$A$1:$C$1,),))</f>
        <v/>
      </c>
      <c r="C5907">
        <f>IF(VLOOKUP(Table7[[#This Row],[Date]],Database!$A:$C,MATCH($C$1,Database!$A$1:$C$1,),)=0,#N/A,VLOOKUP(Table7[[#This Row],[Date]],Database!$A:$C,MATCH($C$1,Database!$A$1:$C$1,),))</f>
        <v/>
      </c>
      <c r="D5907">
        <f>IFERROR(Table7[[#This Row],[United States 10y]]-Table7[[#This Row],[United States 3y]],#N/A)</f>
        <v/>
      </c>
    </row>
    <row r="5908">
      <c r="A5908" s="6">
        <f>Database!$A7993</f>
        <v/>
      </c>
      <c r="B5908">
        <f>IF(VLOOKUP(Table7[[#This Row],[Date]],Database!$A:$C,MATCH($B$1,Database!$A$1:$C$1,),)=0,#N/A,VLOOKUP(Table7[[#This Row],[Date]],Database!$A:$C,MATCH($B$1,Database!$A$1:$C$1,),))</f>
        <v/>
      </c>
      <c r="C5908">
        <f>IF(VLOOKUP(Table7[[#This Row],[Date]],Database!$A:$C,MATCH($C$1,Database!$A$1:$C$1,),)=0,#N/A,VLOOKUP(Table7[[#This Row],[Date]],Database!$A:$C,MATCH($C$1,Database!$A$1:$C$1,),))</f>
        <v/>
      </c>
      <c r="D5908">
        <f>IFERROR(Table7[[#This Row],[United States 10y]]-Table7[[#This Row],[United States 3y]],#N/A)</f>
        <v/>
      </c>
    </row>
    <row r="5909">
      <c r="A5909" s="6">
        <f>Database!$A7994</f>
        <v/>
      </c>
      <c r="B5909">
        <f>IF(VLOOKUP(Table7[[#This Row],[Date]],Database!$A:$C,MATCH($B$1,Database!$A$1:$C$1,),)=0,#N/A,VLOOKUP(Table7[[#This Row],[Date]],Database!$A:$C,MATCH($B$1,Database!$A$1:$C$1,),))</f>
        <v/>
      </c>
      <c r="C5909">
        <f>IF(VLOOKUP(Table7[[#This Row],[Date]],Database!$A:$C,MATCH($C$1,Database!$A$1:$C$1,),)=0,#N/A,VLOOKUP(Table7[[#This Row],[Date]],Database!$A:$C,MATCH($C$1,Database!$A$1:$C$1,),))</f>
        <v/>
      </c>
      <c r="D5909">
        <f>IFERROR(Table7[[#This Row],[United States 10y]]-Table7[[#This Row],[United States 3y]],#N/A)</f>
        <v/>
      </c>
    </row>
    <row r="5910">
      <c r="A5910" s="6">
        <f>Database!$A7995</f>
        <v/>
      </c>
      <c r="B5910">
        <f>IF(VLOOKUP(Table7[[#This Row],[Date]],Database!$A:$C,MATCH($B$1,Database!$A$1:$C$1,),)=0,#N/A,VLOOKUP(Table7[[#This Row],[Date]],Database!$A:$C,MATCH($B$1,Database!$A$1:$C$1,),))</f>
        <v/>
      </c>
      <c r="C5910">
        <f>IF(VLOOKUP(Table7[[#This Row],[Date]],Database!$A:$C,MATCH($C$1,Database!$A$1:$C$1,),)=0,#N/A,VLOOKUP(Table7[[#This Row],[Date]],Database!$A:$C,MATCH($C$1,Database!$A$1:$C$1,),))</f>
        <v/>
      </c>
      <c r="D5910">
        <f>IFERROR(Table7[[#This Row],[United States 10y]]-Table7[[#This Row],[United States 3y]],#N/A)</f>
        <v/>
      </c>
    </row>
    <row r="5911">
      <c r="A5911" s="6">
        <f>Database!$A7996</f>
        <v/>
      </c>
      <c r="B5911">
        <f>IF(VLOOKUP(Table7[[#This Row],[Date]],Database!$A:$C,MATCH($B$1,Database!$A$1:$C$1,),)=0,#N/A,VLOOKUP(Table7[[#This Row],[Date]],Database!$A:$C,MATCH($B$1,Database!$A$1:$C$1,),))</f>
        <v/>
      </c>
      <c r="C5911">
        <f>IF(VLOOKUP(Table7[[#This Row],[Date]],Database!$A:$C,MATCH($C$1,Database!$A$1:$C$1,),)=0,#N/A,VLOOKUP(Table7[[#This Row],[Date]],Database!$A:$C,MATCH($C$1,Database!$A$1:$C$1,),))</f>
        <v/>
      </c>
      <c r="D5911">
        <f>IFERROR(Table7[[#This Row],[United States 10y]]-Table7[[#This Row],[United States 3y]],#N/A)</f>
        <v/>
      </c>
    </row>
    <row r="5912">
      <c r="A5912" s="6">
        <f>Database!$A7997</f>
        <v/>
      </c>
      <c r="B5912">
        <f>IF(VLOOKUP(Table7[[#This Row],[Date]],Database!$A:$C,MATCH($B$1,Database!$A$1:$C$1,),)=0,#N/A,VLOOKUP(Table7[[#This Row],[Date]],Database!$A:$C,MATCH($B$1,Database!$A$1:$C$1,),))</f>
        <v/>
      </c>
      <c r="C5912">
        <f>IF(VLOOKUP(Table7[[#This Row],[Date]],Database!$A:$C,MATCH($C$1,Database!$A$1:$C$1,),)=0,#N/A,VLOOKUP(Table7[[#This Row],[Date]],Database!$A:$C,MATCH($C$1,Database!$A$1:$C$1,),))</f>
        <v/>
      </c>
      <c r="D5912">
        <f>IFERROR(Table7[[#This Row],[United States 10y]]-Table7[[#This Row],[United States 3y]],#N/A)</f>
        <v/>
      </c>
    </row>
    <row r="5913">
      <c r="A5913" s="6">
        <f>Database!$A7998</f>
        <v/>
      </c>
      <c r="B5913">
        <f>IF(VLOOKUP(Table7[[#This Row],[Date]],Database!$A:$C,MATCH($B$1,Database!$A$1:$C$1,),)=0,#N/A,VLOOKUP(Table7[[#This Row],[Date]],Database!$A:$C,MATCH($B$1,Database!$A$1:$C$1,),))</f>
        <v/>
      </c>
      <c r="C5913">
        <f>IF(VLOOKUP(Table7[[#This Row],[Date]],Database!$A:$C,MATCH($C$1,Database!$A$1:$C$1,),)=0,#N/A,VLOOKUP(Table7[[#This Row],[Date]],Database!$A:$C,MATCH($C$1,Database!$A$1:$C$1,),))</f>
        <v/>
      </c>
      <c r="D5913">
        <f>IFERROR(Table7[[#This Row],[United States 10y]]-Table7[[#This Row],[United States 3y]],#N/A)</f>
        <v/>
      </c>
    </row>
    <row r="5914">
      <c r="A5914" s="6">
        <f>Database!$A7999</f>
        <v/>
      </c>
      <c r="B5914">
        <f>IF(VLOOKUP(Table7[[#This Row],[Date]],Database!$A:$C,MATCH($B$1,Database!$A$1:$C$1,),)=0,#N/A,VLOOKUP(Table7[[#This Row],[Date]],Database!$A:$C,MATCH($B$1,Database!$A$1:$C$1,),))</f>
        <v/>
      </c>
      <c r="C5914">
        <f>IF(VLOOKUP(Table7[[#This Row],[Date]],Database!$A:$C,MATCH($C$1,Database!$A$1:$C$1,),)=0,#N/A,VLOOKUP(Table7[[#This Row],[Date]],Database!$A:$C,MATCH($C$1,Database!$A$1:$C$1,),))</f>
        <v/>
      </c>
      <c r="D5914">
        <f>IFERROR(Table7[[#This Row],[United States 10y]]-Table7[[#This Row],[United States 3y]],#N/A)</f>
        <v/>
      </c>
    </row>
    <row r="5915">
      <c r="A5915" s="6">
        <f>Database!$A8000</f>
        <v/>
      </c>
      <c r="B5915">
        <f>IF(VLOOKUP(Table7[[#This Row],[Date]],Database!$A:$C,MATCH($B$1,Database!$A$1:$C$1,),)=0,#N/A,VLOOKUP(Table7[[#This Row],[Date]],Database!$A:$C,MATCH($B$1,Database!$A$1:$C$1,),))</f>
        <v/>
      </c>
      <c r="C5915">
        <f>IF(VLOOKUP(Table7[[#This Row],[Date]],Database!$A:$C,MATCH($C$1,Database!$A$1:$C$1,),)=0,#N/A,VLOOKUP(Table7[[#This Row],[Date]],Database!$A:$C,MATCH($C$1,Database!$A$1:$C$1,),))</f>
        <v/>
      </c>
      <c r="D5915">
        <f>IFERROR(Table7[[#This Row],[United States 10y]]-Table7[[#This Row],[United States 3y]],#N/A)</f>
        <v/>
      </c>
    </row>
    <row r="5916">
      <c r="A5916" s="6">
        <f>Database!$A8001</f>
        <v/>
      </c>
      <c r="B5916">
        <f>IF(VLOOKUP(Table7[[#This Row],[Date]],Database!$A:$C,MATCH($B$1,Database!$A$1:$C$1,),)=0,#N/A,VLOOKUP(Table7[[#This Row],[Date]],Database!$A:$C,MATCH($B$1,Database!$A$1:$C$1,),))</f>
        <v/>
      </c>
      <c r="C5916">
        <f>IF(VLOOKUP(Table7[[#This Row],[Date]],Database!$A:$C,MATCH($C$1,Database!$A$1:$C$1,),)=0,#N/A,VLOOKUP(Table7[[#This Row],[Date]],Database!$A:$C,MATCH($C$1,Database!$A$1:$C$1,),))</f>
        <v/>
      </c>
      <c r="D5916">
        <f>IFERROR(Table7[[#This Row],[United States 10y]]-Table7[[#This Row],[United States 3y]],#N/A)</f>
        <v/>
      </c>
    </row>
    <row r="5917">
      <c r="A5917" s="6">
        <f>Database!$A8002</f>
        <v/>
      </c>
      <c r="B5917">
        <f>IF(VLOOKUP(Table7[[#This Row],[Date]],Database!$A:$C,MATCH($B$1,Database!$A$1:$C$1,),)=0,#N/A,VLOOKUP(Table7[[#This Row],[Date]],Database!$A:$C,MATCH($B$1,Database!$A$1:$C$1,),))</f>
        <v/>
      </c>
      <c r="C5917">
        <f>IF(VLOOKUP(Table7[[#This Row],[Date]],Database!$A:$C,MATCH($C$1,Database!$A$1:$C$1,),)=0,#N/A,VLOOKUP(Table7[[#This Row],[Date]],Database!$A:$C,MATCH($C$1,Database!$A$1:$C$1,),))</f>
        <v/>
      </c>
      <c r="D5917">
        <f>IFERROR(Table7[[#This Row],[United States 10y]]-Table7[[#This Row],[United States 3y]],#N/A)</f>
        <v/>
      </c>
    </row>
    <row r="5918">
      <c r="A5918" s="6">
        <f>Database!$A8003</f>
        <v/>
      </c>
      <c r="B5918">
        <f>IF(VLOOKUP(Table7[[#This Row],[Date]],Database!$A:$C,MATCH($B$1,Database!$A$1:$C$1,),)=0,#N/A,VLOOKUP(Table7[[#This Row],[Date]],Database!$A:$C,MATCH($B$1,Database!$A$1:$C$1,),))</f>
        <v/>
      </c>
      <c r="C5918">
        <f>IF(VLOOKUP(Table7[[#This Row],[Date]],Database!$A:$C,MATCH($C$1,Database!$A$1:$C$1,),)=0,#N/A,VLOOKUP(Table7[[#This Row],[Date]],Database!$A:$C,MATCH($C$1,Database!$A$1:$C$1,),))</f>
        <v/>
      </c>
      <c r="D5918">
        <f>IFERROR(Table7[[#This Row],[United States 10y]]-Table7[[#This Row],[United States 3y]],#N/A)</f>
        <v/>
      </c>
    </row>
    <row r="5919">
      <c r="A5919" s="6">
        <f>Database!$A8004</f>
        <v/>
      </c>
      <c r="B5919">
        <f>IF(VLOOKUP(Table7[[#This Row],[Date]],Database!$A:$C,MATCH($B$1,Database!$A$1:$C$1,),)=0,#N/A,VLOOKUP(Table7[[#This Row],[Date]],Database!$A:$C,MATCH($B$1,Database!$A$1:$C$1,),))</f>
        <v/>
      </c>
      <c r="C5919">
        <f>IF(VLOOKUP(Table7[[#This Row],[Date]],Database!$A:$C,MATCH($C$1,Database!$A$1:$C$1,),)=0,#N/A,VLOOKUP(Table7[[#This Row],[Date]],Database!$A:$C,MATCH($C$1,Database!$A$1:$C$1,),))</f>
        <v/>
      </c>
      <c r="D5919">
        <f>IFERROR(Table7[[#This Row],[United States 10y]]-Table7[[#This Row],[United States 3y]],#N/A)</f>
        <v/>
      </c>
    </row>
    <row r="5920">
      <c r="A5920" s="6">
        <f>Database!$A8005</f>
        <v/>
      </c>
      <c r="B5920">
        <f>IF(VLOOKUP(Table7[[#This Row],[Date]],Database!$A:$C,MATCH($B$1,Database!$A$1:$C$1,),)=0,#N/A,VLOOKUP(Table7[[#This Row],[Date]],Database!$A:$C,MATCH($B$1,Database!$A$1:$C$1,),))</f>
        <v/>
      </c>
      <c r="C5920">
        <f>IF(VLOOKUP(Table7[[#This Row],[Date]],Database!$A:$C,MATCH($C$1,Database!$A$1:$C$1,),)=0,#N/A,VLOOKUP(Table7[[#This Row],[Date]],Database!$A:$C,MATCH($C$1,Database!$A$1:$C$1,),))</f>
        <v/>
      </c>
      <c r="D5920">
        <f>IFERROR(Table7[[#This Row],[United States 10y]]-Table7[[#This Row],[United States 3y]],#N/A)</f>
        <v/>
      </c>
    </row>
    <row r="5921">
      <c r="A5921" s="6">
        <f>Database!$A8006</f>
        <v/>
      </c>
      <c r="B5921">
        <f>IF(VLOOKUP(Table7[[#This Row],[Date]],Database!$A:$C,MATCH($B$1,Database!$A$1:$C$1,),)=0,#N/A,VLOOKUP(Table7[[#This Row],[Date]],Database!$A:$C,MATCH($B$1,Database!$A$1:$C$1,),))</f>
        <v/>
      </c>
      <c r="C5921">
        <f>IF(VLOOKUP(Table7[[#This Row],[Date]],Database!$A:$C,MATCH($C$1,Database!$A$1:$C$1,),)=0,#N/A,VLOOKUP(Table7[[#This Row],[Date]],Database!$A:$C,MATCH($C$1,Database!$A$1:$C$1,),))</f>
        <v/>
      </c>
      <c r="D5921">
        <f>IFERROR(Table7[[#This Row],[United States 10y]]-Table7[[#This Row],[United States 3y]],#N/A)</f>
        <v/>
      </c>
    </row>
    <row r="5922">
      <c r="A5922" s="6">
        <f>Database!$A8007</f>
        <v/>
      </c>
      <c r="B5922">
        <f>IF(VLOOKUP(Table7[[#This Row],[Date]],Database!$A:$C,MATCH($B$1,Database!$A$1:$C$1,),)=0,#N/A,VLOOKUP(Table7[[#This Row],[Date]],Database!$A:$C,MATCH($B$1,Database!$A$1:$C$1,),))</f>
        <v/>
      </c>
      <c r="C5922">
        <f>IF(VLOOKUP(Table7[[#This Row],[Date]],Database!$A:$C,MATCH($C$1,Database!$A$1:$C$1,),)=0,#N/A,VLOOKUP(Table7[[#This Row],[Date]],Database!$A:$C,MATCH($C$1,Database!$A$1:$C$1,),))</f>
        <v/>
      </c>
      <c r="D5922">
        <f>IFERROR(Table7[[#This Row],[United States 10y]]-Table7[[#This Row],[United States 3y]],#N/A)</f>
        <v/>
      </c>
    </row>
    <row r="5923">
      <c r="A5923" s="6">
        <f>Database!$A8008</f>
        <v/>
      </c>
      <c r="B5923">
        <f>IF(VLOOKUP(Table7[[#This Row],[Date]],Database!$A:$C,MATCH($B$1,Database!$A$1:$C$1,),)=0,#N/A,VLOOKUP(Table7[[#This Row],[Date]],Database!$A:$C,MATCH($B$1,Database!$A$1:$C$1,),))</f>
        <v/>
      </c>
      <c r="C5923">
        <f>IF(VLOOKUP(Table7[[#This Row],[Date]],Database!$A:$C,MATCH($C$1,Database!$A$1:$C$1,),)=0,#N/A,VLOOKUP(Table7[[#This Row],[Date]],Database!$A:$C,MATCH($C$1,Database!$A$1:$C$1,),))</f>
        <v/>
      </c>
      <c r="D5923">
        <f>IFERROR(Table7[[#This Row],[United States 10y]]-Table7[[#This Row],[United States 3y]],#N/A)</f>
        <v/>
      </c>
    </row>
    <row r="5924">
      <c r="A5924" s="6">
        <f>Database!$A8009</f>
        <v/>
      </c>
      <c r="B5924">
        <f>IF(VLOOKUP(Table7[[#This Row],[Date]],Database!$A:$C,MATCH($B$1,Database!$A$1:$C$1,),)=0,#N/A,VLOOKUP(Table7[[#This Row],[Date]],Database!$A:$C,MATCH($B$1,Database!$A$1:$C$1,),))</f>
        <v/>
      </c>
      <c r="C5924">
        <f>IF(VLOOKUP(Table7[[#This Row],[Date]],Database!$A:$C,MATCH($C$1,Database!$A$1:$C$1,),)=0,#N/A,VLOOKUP(Table7[[#This Row],[Date]],Database!$A:$C,MATCH($C$1,Database!$A$1:$C$1,),))</f>
        <v/>
      </c>
      <c r="D5924">
        <f>IFERROR(Table7[[#This Row],[United States 10y]]-Table7[[#This Row],[United States 3y]],#N/A)</f>
        <v/>
      </c>
    </row>
    <row r="5925">
      <c r="A5925" s="6">
        <f>Database!$A8010</f>
        <v/>
      </c>
      <c r="B5925">
        <f>IF(VLOOKUP(Table7[[#This Row],[Date]],Database!$A:$C,MATCH($B$1,Database!$A$1:$C$1,),)=0,#N/A,VLOOKUP(Table7[[#This Row],[Date]],Database!$A:$C,MATCH($B$1,Database!$A$1:$C$1,),))</f>
        <v/>
      </c>
      <c r="C5925">
        <f>IF(VLOOKUP(Table7[[#This Row],[Date]],Database!$A:$C,MATCH($C$1,Database!$A$1:$C$1,),)=0,#N/A,VLOOKUP(Table7[[#This Row],[Date]],Database!$A:$C,MATCH($C$1,Database!$A$1:$C$1,),))</f>
        <v/>
      </c>
      <c r="D5925">
        <f>IFERROR(Table7[[#This Row],[United States 10y]]-Table7[[#This Row],[United States 3y]],#N/A)</f>
        <v/>
      </c>
    </row>
    <row r="5926">
      <c r="A5926" s="6">
        <f>Database!$A8011</f>
        <v/>
      </c>
      <c r="B5926">
        <f>IF(VLOOKUP(Table7[[#This Row],[Date]],Database!$A:$C,MATCH($B$1,Database!$A$1:$C$1,),)=0,#N/A,VLOOKUP(Table7[[#This Row],[Date]],Database!$A:$C,MATCH($B$1,Database!$A$1:$C$1,),))</f>
        <v/>
      </c>
      <c r="C5926">
        <f>IF(VLOOKUP(Table7[[#This Row],[Date]],Database!$A:$C,MATCH($C$1,Database!$A$1:$C$1,),)=0,#N/A,VLOOKUP(Table7[[#This Row],[Date]],Database!$A:$C,MATCH($C$1,Database!$A$1:$C$1,),))</f>
        <v/>
      </c>
      <c r="D5926">
        <f>IFERROR(Table7[[#This Row],[United States 10y]]-Table7[[#This Row],[United States 3y]],#N/A)</f>
        <v/>
      </c>
    </row>
    <row r="5927">
      <c r="A5927" s="6">
        <f>Database!$A8012</f>
        <v/>
      </c>
      <c r="B5927">
        <f>IF(VLOOKUP(Table7[[#This Row],[Date]],Database!$A:$C,MATCH($B$1,Database!$A$1:$C$1,),)=0,#N/A,VLOOKUP(Table7[[#This Row],[Date]],Database!$A:$C,MATCH($B$1,Database!$A$1:$C$1,),))</f>
        <v/>
      </c>
      <c r="C5927">
        <f>IF(VLOOKUP(Table7[[#This Row],[Date]],Database!$A:$C,MATCH($C$1,Database!$A$1:$C$1,),)=0,#N/A,VLOOKUP(Table7[[#This Row],[Date]],Database!$A:$C,MATCH($C$1,Database!$A$1:$C$1,),))</f>
        <v/>
      </c>
      <c r="D5927">
        <f>IFERROR(Table7[[#This Row],[United States 10y]]-Table7[[#This Row],[United States 3y]],#N/A)</f>
        <v/>
      </c>
    </row>
    <row r="5928">
      <c r="A5928" s="6">
        <f>Database!$A8013</f>
        <v/>
      </c>
      <c r="B5928">
        <f>IF(VLOOKUP(Table7[[#This Row],[Date]],Database!$A:$C,MATCH($B$1,Database!$A$1:$C$1,),)=0,#N/A,VLOOKUP(Table7[[#This Row],[Date]],Database!$A:$C,MATCH($B$1,Database!$A$1:$C$1,),))</f>
        <v/>
      </c>
      <c r="C5928">
        <f>IF(VLOOKUP(Table7[[#This Row],[Date]],Database!$A:$C,MATCH($C$1,Database!$A$1:$C$1,),)=0,#N/A,VLOOKUP(Table7[[#This Row],[Date]],Database!$A:$C,MATCH($C$1,Database!$A$1:$C$1,),))</f>
        <v/>
      </c>
      <c r="D5928">
        <f>IFERROR(Table7[[#This Row],[United States 10y]]-Table7[[#This Row],[United States 3y]],#N/A)</f>
        <v/>
      </c>
    </row>
    <row r="5929">
      <c r="A5929" s="6">
        <f>Database!$A8014</f>
        <v/>
      </c>
      <c r="B5929">
        <f>IF(VLOOKUP(Table7[[#This Row],[Date]],Database!$A:$C,MATCH($B$1,Database!$A$1:$C$1,),)=0,#N/A,VLOOKUP(Table7[[#This Row],[Date]],Database!$A:$C,MATCH($B$1,Database!$A$1:$C$1,),))</f>
        <v/>
      </c>
      <c r="C5929">
        <f>IF(VLOOKUP(Table7[[#This Row],[Date]],Database!$A:$C,MATCH($C$1,Database!$A$1:$C$1,),)=0,#N/A,VLOOKUP(Table7[[#This Row],[Date]],Database!$A:$C,MATCH($C$1,Database!$A$1:$C$1,),))</f>
        <v/>
      </c>
      <c r="D5929">
        <f>IFERROR(Table7[[#This Row],[United States 10y]]-Table7[[#This Row],[United States 3y]],#N/A)</f>
        <v/>
      </c>
    </row>
    <row r="5930">
      <c r="A5930" s="6">
        <f>Database!$A8015</f>
        <v/>
      </c>
      <c r="B5930">
        <f>IF(VLOOKUP(Table7[[#This Row],[Date]],Database!$A:$C,MATCH($B$1,Database!$A$1:$C$1,),)=0,#N/A,VLOOKUP(Table7[[#This Row],[Date]],Database!$A:$C,MATCH($B$1,Database!$A$1:$C$1,),))</f>
        <v/>
      </c>
      <c r="C5930">
        <f>IF(VLOOKUP(Table7[[#This Row],[Date]],Database!$A:$C,MATCH($C$1,Database!$A$1:$C$1,),)=0,#N/A,VLOOKUP(Table7[[#This Row],[Date]],Database!$A:$C,MATCH($C$1,Database!$A$1:$C$1,),))</f>
        <v/>
      </c>
      <c r="D5930">
        <f>IFERROR(Table7[[#This Row],[United States 10y]]-Table7[[#This Row],[United States 3y]],#N/A)</f>
        <v/>
      </c>
    </row>
    <row r="5931">
      <c r="A5931" s="6">
        <f>Database!$A8016</f>
        <v/>
      </c>
      <c r="B5931">
        <f>IF(VLOOKUP(Table7[[#This Row],[Date]],Database!$A:$C,MATCH($B$1,Database!$A$1:$C$1,),)=0,#N/A,VLOOKUP(Table7[[#This Row],[Date]],Database!$A:$C,MATCH($B$1,Database!$A$1:$C$1,),))</f>
        <v/>
      </c>
      <c r="C5931">
        <f>IF(VLOOKUP(Table7[[#This Row],[Date]],Database!$A:$C,MATCH($C$1,Database!$A$1:$C$1,),)=0,#N/A,VLOOKUP(Table7[[#This Row],[Date]],Database!$A:$C,MATCH($C$1,Database!$A$1:$C$1,),))</f>
        <v/>
      </c>
      <c r="D5931">
        <f>IFERROR(Table7[[#This Row],[United States 10y]]-Table7[[#This Row],[United States 3y]],#N/A)</f>
        <v/>
      </c>
    </row>
    <row r="5932">
      <c r="A5932" s="6">
        <f>Database!$A8017</f>
        <v/>
      </c>
      <c r="B5932">
        <f>IF(VLOOKUP(Table7[[#This Row],[Date]],Database!$A:$C,MATCH($B$1,Database!$A$1:$C$1,),)=0,#N/A,VLOOKUP(Table7[[#This Row],[Date]],Database!$A:$C,MATCH($B$1,Database!$A$1:$C$1,),))</f>
        <v/>
      </c>
      <c r="C5932">
        <f>IF(VLOOKUP(Table7[[#This Row],[Date]],Database!$A:$C,MATCH($C$1,Database!$A$1:$C$1,),)=0,#N/A,VLOOKUP(Table7[[#This Row],[Date]],Database!$A:$C,MATCH($C$1,Database!$A$1:$C$1,),))</f>
        <v/>
      </c>
      <c r="D5932">
        <f>IFERROR(Table7[[#This Row],[United States 10y]]-Table7[[#This Row],[United States 3y]],#N/A)</f>
        <v/>
      </c>
    </row>
    <row r="5933">
      <c r="A5933" s="6">
        <f>Database!$A8018</f>
        <v/>
      </c>
      <c r="B5933">
        <f>IF(VLOOKUP(Table7[[#This Row],[Date]],Database!$A:$C,MATCH($B$1,Database!$A$1:$C$1,),)=0,#N/A,VLOOKUP(Table7[[#This Row],[Date]],Database!$A:$C,MATCH($B$1,Database!$A$1:$C$1,),))</f>
        <v/>
      </c>
      <c r="C5933">
        <f>IF(VLOOKUP(Table7[[#This Row],[Date]],Database!$A:$C,MATCH($C$1,Database!$A$1:$C$1,),)=0,#N/A,VLOOKUP(Table7[[#This Row],[Date]],Database!$A:$C,MATCH($C$1,Database!$A$1:$C$1,),))</f>
        <v/>
      </c>
      <c r="D5933">
        <f>IFERROR(Table7[[#This Row],[United States 10y]]-Table7[[#This Row],[United States 3y]],#N/A)</f>
        <v/>
      </c>
    </row>
    <row r="5934">
      <c r="A5934" s="6">
        <f>Database!$A8019</f>
        <v/>
      </c>
      <c r="B5934">
        <f>IF(VLOOKUP(Table7[[#This Row],[Date]],Database!$A:$C,MATCH($B$1,Database!$A$1:$C$1,),)=0,#N/A,VLOOKUP(Table7[[#This Row],[Date]],Database!$A:$C,MATCH($B$1,Database!$A$1:$C$1,),))</f>
        <v/>
      </c>
      <c r="C5934">
        <f>IF(VLOOKUP(Table7[[#This Row],[Date]],Database!$A:$C,MATCH($C$1,Database!$A$1:$C$1,),)=0,#N/A,VLOOKUP(Table7[[#This Row],[Date]],Database!$A:$C,MATCH($C$1,Database!$A$1:$C$1,),))</f>
        <v/>
      </c>
      <c r="D5934">
        <f>IFERROR(Table7[[#This Row],[United States 10y]]-Table7[[#This Row],[United States 3y]],#N/A)</f>
        <v/>
      </c>
    </row>
    <row r="5935">
      <c r="A5935" s="6">
        <f>Database!$A8020</f>
        <v/>
      </c>
      <c r="B5935">
        <f>IF(VLOOKUP(Table7[[#This Row],[Date]],Database!$A:$C,MATCH($B$1,Database!$A$1:$C$1,),)=0,#N/A,VLOOKUP(Table7[[#This Row],[Date]],Database!$A:$C,MATCH($B$1,Database!$A$1:$C$1,),))</f>
        <v/>
      </c>
      <c r="C5935">
        <f>IF(VLOOKUP(Table7[[#This Row],[Date]],Database!$A:$C,MATCH($C$1,Database!$A$1:$C$1,),)=0,#N/A,VLOOKUP(Table7[[#This Row],[Date]],Database!$A:$C,MATCH($C$1,Database!$A$1:$C$1,),))</f>
        <v/>
      </c>
      <c r="D5935">
        <f>IFERROR(Table7[[#This Row],[United States 10y]]-Table7[[#This Row],[United States 3y]],#N/A)</f>
        <v/>
      </c>
    </row>
    <row r="5936">
      <c r="A5936" s="6">
        <f>Database!$A8021</f>
        <v/>
      </c>
      <c r="B5936">
        <f>IF(VLOOKUP(Table7[[#This Row],[Date]],Database!$A:$C,MATCH($B$1,Database!$A$1:$C$1,),)=0,#N/A,VLOOKUP(Table7[[#This Row],[Date]],Database!$A:$C,MATCH($B$1,Database!$A$1:$C$1,),))</f>
        <v/>
      </c>
      <c r="C5936">
        <f>IF(VLOOKUP(Table7[[#This Row],[Date]],Database!$A:$C,MATCH($C$1,Database!$A$1:$C$1,),)=0,#N/A,VLOOKUP(Table7[[#This Row],[Date]],Database!$A:$C,MATCH($C$1,Database!$A$1:$C$1,),))</f>
        <v/>
      </c>
      <c r="D5936">
        <f>IFERROR(Table7[[#This Row],[United States 10y]]-Table7[[#This Row],[United States 3y]],#N/A)</f>
        <v/>
      </c>
    </row>
    <row r="5937">
      <c r="A5937" s="6">
        <f>Database!$A8022</f>
        <v/>
      </c>
      <c r="B5937">
        <f>IF(VLOOKUP(Table7[[#This Row],[Date]],Database!$A:$C,MATCH($B$1,Database!$A$1:$C$1,),)=0,#N/A,VLOOKUP(Table7[[#This Row],[Date]],Database!$A:$C,MATCH($B$1,Database!$A$1:$C$1,),))</f>
        <v/>
      </c>
      <c r="C5937">
        <f>IF(VLOOKUP(Table7[[#This Row],[Date]],Database!$A:$C,MATCH($C$1,Database!$A$1:$C$1,),)=0,#N/A,VLOOKUP(Table7[[#This Row],[Date]],Database!$A:$C,MATCH($C$1,Database!$A$1:$C$1,),))</f>
        <v/>
      </c>
      <c r="D5937">
        <f>IFERROR(Table7[[#This Row],[United States 10y]]-Table7[[#This Row],[United States 3y]],#N/A)</f>
        <v/>
      </c>
    </row>
    <row r="5938">
      <c r="A5938" s="6">
        <f>Database!$A8023</f>
        <v/>
      </c>
      <c r="B5938">
        <f>IF(VLOOKUP(Table7[[#This Row],[Date]],Database!$A:$C,MATCH($B$1,Database!$A$1:$C$1,),)=0,#N/A,VLOOKUP(Table7[[#This Row],[Date]],Database!$A:$C,MATCH($B$1,Database!$A$1:$C$1,),))</f>
        <v/>
      </c>
      <c r="C5938">
        <f>IF(VLOOKUP(Table7[[#This Row],[Date]],Database!$A:$C,MATCH($C$1,Database!$A$1:$C$1,),)=0,#N/A,VLOOKUP(Table7[[#This Row],[Date]],Database!$A:$C,MATCH($C$1,Database!$A$1:$C$1,),))</f>
        <v/>
      </c>
      <c r="D5938">
        <f>IFERROR(Table7[[#This Row],[United States 10y]]-Table7[[#This Row],[United States 3y]],#N/A)</f>
        <v/>
      </c>
    </row>
    <row r="5939">
      <c r="A5939" s="6">
        <f>Database!$A8024</f>
        <v/>
      </c>
      <c r="B5939">
        <f>IF(VLOOKUP(Table7[[#This Row],[Date]],Database!$A:$C,MATCH($B$1,Database!$A$1:$C$1,),)=0,#N/A,VLOOKUP(Table7[[#This Row],[Date]],Database!$A:$C,MATCH($B$1,Database!$A$1:$C$1,),))</f>
        <v/>
      </c>
      <c r="C5939">
        <f>IF(VLOOKUP(Table7[[#This Row],[Date]],Database!$A:$C,MATCH($C$1,Database!$A$1:$C$1,),)=0,#N/A,VLOOKUP(Table7[[#This Row],[Date]],Database!$A:$C,MATCH($C$1,Database!$A$1:$C$1,),))</f>
        <v/>
      </c>
      <c r="D5939">
        <f>IFERROR(Table7[[#This Row],[United States 10y]]-Table7[[#This Row],[United States 3y]],#N/A)</f>
        <v/>
      </c>
    </row>
    <row r="5940">
      <c r="A5940" s="6">
        <f>Database!$A8025</f>
        <v/>
      </c>
      <c r="B5940">
        <f>IF(VLOOKUP(Table7[[#This Row],[Date]],Database!$A:$C,MATCH($B$1,Database!$A$1:$C$1,),)=0,#N/A,VLOOKUP(Table7[[#This Row],[Date]],Database!$A:$C,MATCH($B$1,Database!$A$1:$C$1,),))</f>
        <v/>
      </c>
      <c r="C5940">
        <f>IF(VLOOKUP(Table7[[#This Row],[Date]],Database!$A:$C,MATCH($C$1,Database!$A$1:$C$1,),)=0,#N/A,VLOOKUP(Table7[[#This Row],[Date]],Database!$A:$C,MATCH($C$1,Database!$A$1:$C$1,),))</f>
        <v/>
      </c>
      <c r="D5940">
        <f>IFERROR(Table7[[#This Row],[United States 10y]]-Table7[[#This Row],[United States 3y]],#N/A)</f>
        <v/>
      </c>
    </row>
    <row r="5941">
      <c r="A5941" s="6">
        <f>Database!$A8026</f>
        <v/>
      </c>
      <c r="B5941">
        <f>IF(VLOOKUP(Table7[[#This Row],[Date]],Database!$A:$C,MATCH($B$1,Database!$A$1:$C$1,),)=0,#N/A,VLOOKUP(Table7[[#This Row],[Date]],Database!$A:$C,MATCH($B$1,Database!$A$1:$C$1,),))</f>
        <v/>
      </c>
      <c r="C5941">
        <f>IF(VLOOKUP(Table7[[#This Row],[Date]],Database!$A:$C,MATCH($C$1,Database!$A$1:$C$1,),)=0,#N/A,VLOOKUP(Table7[[#This Row],[Date]],Database!$A:$C,MATCH($C$1,Database!$A$1:$C$1,),))</f>
        <v/>
      </c>
      <c r="D5941">
        <f>IFERROR(Table7[[#This Row],[United States 10y]]-Table7[[#This Row],[United States 3y]],#N/A)</f>
        <v/>
      </c>
    </row>
    <row r="5942">
      <c r="A5942" s="6">
        <f>Database!$A8027</f>
        <v/>
      </c>
      <c r="B5942">
        <f>IF(VLOOKUP(Table7[[#This Row],[Date]],Database!$A:$C,MATCH($B$1,Database!$A$1:$C$1,),)=0,#N/A,VLOOKUP(Table7[[#This Row],[Date]],Database!$A:$C,MATCH($B$1,Database!$A$1:$C$1,),))</f>
        <v/>
      </c>
      <c r="C5942">
        <f>IF(VLOOKUP(Table7[[#This Row],[Date]],Database!$A:$C,MATCH($C$1,Database!$A$1:$C$1,),)=0,#N/A,VLOOKUP(Table7[[#This Row],[Date]],Database!$A:$C,MATCH($C$1,Database!$A$1:$C$1,),))</f>
        <v/>
      </c>
      <c r="D5942">
        <f>IFERROR(Table7[[#This Row],[United States 10y]]-Table7[[#This Row],[United States 3y]],#N/A)</f>
        <v/>
      </c>
    </row>
    <row r="5943">
      <c r="A5943" s="6">
        <f>Database!$A8028</f>
        <v/>
      </c>
      <c r="B5943">
        <f>IF(VLOOKUP(Table7[[#This Row],[Date]],Database!$A:$C,MATCH($B$1,Database!$A$1:$C$1,),)=0,#N/A,VLOOKUP(Table7[[#This Row],[Date]],Database!$A:$C,MATCH($B$1,Database!$A$1:$C$1,),))</f>
        <v/>
      </c>
      <c r="C5943">
        <f>IF(VLOOKUP(Table7[[#This Row],[Date]],Database!$A:$C,MATCH($C$1,Database!$A$1:$C$1,),)=0,#N/A,VLOOKUP(Table7[[#This Row],[Date]],Database!$A:$C,MATCH($C$1,Database!$A$1:$C$1,),))</f>
        <v/>
      </c>
      <c r="D5943">
        <f>IFERROR(Table7[[#This Row],[United States 10y]]-Table7[[#This Row],[United States 3y]],#N/A)</f>
        <v/>
      </c>
    </row>
    <row r="5944">
      <c r="A5944" s="6">
        <f>Database!$A8029</f>
        <v/>
      </c>
      <c r="B5944">
        <f>IF(VLOOKUP(Table7[[#This Row],[Date]],Database!$A:$C,MATCH($B$1,Database!$A$1:$C$1,),)=0,#N/A,VLOOKUP(Table7[[#This Row],[Date]],Database!$A:$C,MATCH($B$1,Database!$A$1:$C$1,),))</f>
        <v/>
      </c>
      <c r="C5944">
        <f>IF(VLOOKUP(Table7[[#This Row],[Date]],Database!$A:$C,MATCH($C$1,Database!$A$1:$C$1,),)=0,#N/A,VLOOKUP(Table7[[#This Row],[Date]],Database!$A:$C,MATCH($C$1,Database!$A$1:$C$1,),))</f>
        <v/>
      </c>
      <c r="D5944">
        <f>IFERROR(Table7[[#This Row],[United States 10y]]-Table7[[#This Row],[United States 3y]],#N/A)</f>
        <v/>
      </c>
    </row>
    <row r="5945">
      <c r="A5945" s="6">
        <f>Database!$A8030</f>
        <v/>
      </c>
      <c r="B5945">
        <f>IF(VLOOKUP(Table7[[#This Row],[Date]],Database!$A:$C,MATCH($B$1,Database!$A$1:$C$1,),)=0,#N/A,VLOOKUP(Table7[[#This Row],[Date]],Database!$A:$C,MATCH($B$1,Database!$A$1:$C$1,),))</f>
        <v/>
      </c>
      <c r="C5945">
        <f>IF(VLOOKUP(Table7[[#This Row],[Date]],Database!$A:$C,MATCH($C$1,Database!$A$1:$C$1,),)=0,#N/A,VLOOKUP(Table7[[#This Row],[Date]],Database!$A:$C,MATCH($C$1,Database!$A$1:$C$1,),))</f>
        <v/>
      </c>
      <c r="D5945">
        <f>IFERROR(Table7[[#This Row],[United States 10y]]-Table7[[#This Row],[United States 3y]],#N/A)</f>
        <v/>
      </c>
    </row>
    <row r="5946">
      <c r="A5946" s="6">
        <f>Database!$A8031</f>
        <v/>
      </c>
      <c r="B5946">
        <f>IF(VLOOKUP(Table7[[#This Row],[Date]],Database!$A:$C,MATCH($B$1,Database!$A$1:$C$1,),)=0,#N/A,VLOOKUP(Table7[[#This Row],[Date]],Database!$A:$C,MATCH($B$1,Database!$A$1:$C$1,),))</f>
        <v/>
      </c>
      <c r="C5946">
        <f>IF(VLOOKUP(Table7[[#This Row],[Date]],Database!$A:$C,MATCH($C$1,Database!$A$1:$C$1,),)=0,#N/A,VLOOKUP(Table7[[#This Row],[Date]],Database!$A:$C,MATCH($C$1,Database!$A$1:$C$1,),))</f>
        <v/>
      </c>
      <c r="D5946">
        <f>IFERROR(Table7[[#This Row],[United States 10y]]-Table7[[#This Row],[United States 3y]],#N/A)</f>
        <v/>
      </c>
    </row>
    <row r="5947">
      <c r="A5947" s="6">
        <f>Database!$A8032</f>
        <v/>
      </c>
      <c r="B5947">
        <f>IF(VLOOKUP(Table7[[#This Row],[Date]],Database!$A:$C,MATCH($B$1,Database!$A$1:$C$1,),)=0,#N/A,VLOOKUP(Table7[[#This Row],[Date]],Database!$A:$C,MATCH($B$1,Database!$A$1:$C$1,),))</f>
        <v/>
      </c>
      <c r="C5947">
        <f>IF(VLOOKUP(Table7[[#This Row],[Date]],Database!$A:$C,MATCH($C$1,Database!$A$1:$C$1,),)=0,#N/A,VLOOKUP(Table7[[#This Row],[Date]],Database!$A:$C,MATCH($C$1,Database!$A$1:$C$1,),))</f>
        <v/>
      </c>
      <c r="D5947">
        <f>IFERROR(Table7[[#This Row],[United States 10y]]-Table7[[#This Row],[United States 3y]],#N/A)</f>
        <v/>
      </c>
    </row>
    <row r="5948">
      <c r="A5948" s="6">
        <f>Database!$A8033</f>
        <v/>
      </c>
      <c r="B5948">
        <f>IF(VLOOKUP(Table7[[#This Row],[Date]],Database!$A:$C,MATCH($B$1,Database!$A$1:$C$1,),)=0,#N/A,VLOOKUP(Table7[[#This Row],[Date]],Database!$A:$C,MATCH($B$1,Database!$A$1:$C$1,),))</f>
        <v/>
      </c>
      <c r="C5948">
        <f>IF(VLOOKUP(Table7[[#This Row],[Date]],Database!$A:$C,MATCH($C$1,Database!$A$1:$C$1,),)=0,#N/A,VLOOKUP(Table7[[#This Row],[Date]],Database!$A:$C,MATCH($C$1,Database!$A$1:$C$1,),))</f>
        <v/>
      </c>
      <c r="D5948">
        <f>IFERROR(Table7[[#This Row],[United States 10y]]-Table7[[#This Row],[United States 3y]],#N/A)</f>
        <v/>
      </c>
    </row>
    <row r="5949">
      <c r="A5949" s="6">
        <f>Database!$A8034</f>
        <v/>
      </c>
      <c r="B5949">
        <f>IF(VLOOKUP(Table7[[#This Row],[Date]],Database!$A:$C,MATCH($B$1,Database!$A$1:$C$1,),)=0,#N/A,VLOOKUP(Table7[[#This Row],[Date]],Database!$A:$C,MATCH($B$1,Database!$A$1:$C$1,),))</f>
        <v/>
      </c>
      <c r="C5949">
        <f>IF(VLOOKUP(Table7[[#This Row],[Date]],Database!$A:$C,MATCH($C$1,Database!$A$1:$C$1,),)=0,#N/A,VLOOKUP(Table7[[#This Row],[Date]],Database!$A:$C,MATCH($C$1,Database!$A$1:$C$1,),))</f>
        <v/>
      </c>
      <c r="D5949">
        <f>IFERROR(Table7[[#This Row],[United States 10y]]-Table7[[#This Row],[United States 3y]],#N/A)</f>
        <v/>
      </c>
    </row>
    <row r="5950">
      <c r="A5950" s="6">
        <f>Database!$A8035</f>
        <v/>
      </c>
      <c r="B5950">
        <f>IF(VLOOKUP(Table7[[#This Row],[Date]],Database!$A:$C,MATCH($B$1,Database!$A$1:$C$1,),)=0,#N/A,VLOOKUP(Table7[[#This Row],[Date]],Database!$A:$C,MATCH($B$1,Database!$A$1:$C$1,),))</f>
        <v/>
      </c>
      <c r="C5950">
        <f>IF(VLOOKUP(Table7[[#This Row],[Date]],Database!$A:$C,MATCH($C$1,Database!$A$1:$C$1,),)=0,#N/A,VLOOKUP(Table7[[#This Row],[Date]],Database!$A:$C,MATCH($C$1,Database!$A$1:$C$1,),))</f>
        <v/>
      </c>
      <c r="D5950">
        <f>IFERROR(Table7[[#This Row],[United States 10y]]-Table7[[#This Row],[United States 3y]],#N/A)</f>
        <v/>
      </c>
    </row>
    <row r="5951">
      <c r="A5951" s="6">
        <f>Database!$A8036</f>
        <v/>
      </c>
      <c r="B5951">
        <f>IF(VLOOKUP(Table7[[#This Row],[Date]],Database!$A:$C,MATCH($B$1,Database!$A$1:$C$1,),)=0,#N/A,VLOOKUP(Table7[[#This Row],[Date]],Database!$A:$C,MATCH($B$1,Database!$A$1:$C$1,),))</f>
        <v/>
      </c>
      <c r="C5951">
        <f>IF(VLOOKUP(Table7[[#This Row],[Date]],Database!$A:$C,MATCH($C$1,Database!$A$1:$C$1,),)=0,#N/A,VLOOKUP(Table7[[#This Row],[Date]],Database!$A:$C,MATCH($C$1,Database!$A$1:$C$1,),))</f>
        <v/>
      </c>
      <c r="D5951">
        <f>IFERROR(Table7[[#This Row],[United States 10y]]-Table7[[#This Row],[United States 3y]],#N/A)</f>
        <v/>
      </c>
    </row>
    <row r="5952">
      <c r="A5952" s="6">
        <f>Database!$A8037</f>
        <v/>
      </c>
      <c r="B5952">
        <f>IF(VLOOKUP(Table7[[#This Row],[Date]],Database!$A:$C,MATCH($B$1,Database!$A$1:$C$1,),)=0,#N/A,VLOOKUP(Table7[[#This Row],[Date]],Database!$A:$C,MATCH($B$1,Database!$A$1:$C$1,),))</f>
        <v/>
      </c>
      <c r="C5952">
        <f>IF(VLOOKUP(Table7[[#This Row],[Date]],Database!$A:$C,MATCH($C$1,Database!$A$1:$C$1,),)=0,#N/A,VLOOKUP(Table7[[#This Row],[Date]],Database!$A:$C,MATCH($C$1,Database!$A$1:$C$1,),))</f>
        <v/>
      </c>
      <c r="D5952">
        <f>IFERROR(Table7[[#This Row],[United States 10y]]-Table7[[#This Row],[United States 3y]],#N/A)</f>
        <v/>
      </c>
    </row>
    <row r="5953">
      <c r="A5953" s="6">
        <f>Database!$A8038</f>
        <v/>
      </c>
      <c r="B5953">
        <f>IF(VLOOKUP(Table7[[#This Row],[Date]],Database!$A:$C,MATCH($B$1,Database!$A$1:$C$1,),)=0,#N/A,VLOOKUP(Table7[[#This Row],[Date]],Database!$A:$C,MATCH($B$1,Database!$A$1:$C$1,),))</f>
        <v/>
      </c>
      <c r="C5953">
        <f>IF(VLOOKUP(Table7[[#This Row],[Date]],Database!$A:$C,MATCH($C$1,Database!$A$1:$C$1,),)=0,#N/A,VLOOKUP(Table7[[#This Row],[Date]],Database!$A:$C,MATCH($C$1,Database!$A$1:$C$1,),))</f>
        <v/>
      </c>
      <c r="D5953">
        <f>IFERROR(Table7[[#This Row],[United States 10y]]-Table7[[#This Row],[United States 3y]],#N/A)</f>
        <v/>
      </c>
    </row>
    <row r="5954">
      <c r="A5954" s="6">
        <f>Database!$A8039</f>
        <v/>
      </c>
      <c r="B5954">
        <f>IF(VLOOKUP(Table7[[#This Row],[Date]],Database!$A:$C,MATCH($B$1,Database!$A$1:$C$1,),)=0,#N/A,VLOOKUP(Table7[[#This Row],[Date]],Database!$A:$C,MATCH($B$1,Database!$A$1:$C$1,),))</f>
        <v/>
      </c>
      <c r="C5954">
        <f>IF(VLOOKUP(Table7[[#This Row],[Date]],Database!$A:$C,MATCH($C$1,Database!$A$1:$C$1,),)=0,#N/A,VLOOKUP(Table7[[#This Row],[Date]],Database!$A:$C,MATCH($C$1,Database!$A$1:$C$1,),))</f>
        <v/>
      </c>
      <c r="D5954">
        <f>IFERROR(Table7[[#This Row],[United States 10y]]-Table7[[#This Row],[United States 3y]],#N/A)</f>
        <v/>
      </c>
    </row>
    <row r="5955">
      <c r="A5955" s="6">
        <f>Database!$A8040</f>
        <v/>
      </c>
      <c r="B5955">
        <f>IF(VLOOKUP(Table7[[#This Row],[Date]],Database!$A:$C,MATCH($B$1,Database!$A$1:$C$1,),)=0,#N/A,VLOOKUP(Table7[[#This Row],[Date]],Database!$A:$C,MATCH($B$1,Database!$A$1:$C$1,),))</f>
        <v/>
      </c>
      <c r="C5955">
        <f>IF(VLOOKUP(Table7[[#This Row],[Date]],Database!$A:$C,MATCH($C$1,Database!$A$1:$C$1,),)=0,#N/A,VLOOKUP(Table7[[#This Row],[Date]],Database!$A:$C,MATCH($C$1,Database!$A$1:$C$1,),))</f>
        <v/>
      </c>
      <c r="D5955">
        <f>IFERROR(Table7[[#This Row],[United States 10y]]-Table7[[#This Row],[United States 3y]],#N/A)</f>
        <v/>
      </c>
    </row>
    <row r="5956">
      <c r="A5956" s="6">
        <f>Database!$A8041</f>
        <v/>
      </c>
      <c r="B5956">
        <f>IF(VLOOKUP(Table7[[#This Row],[Date]],Database!$A:$C,MATCH($B$1,Database!$A$1:$C$1,),)=0,#N/A,VLOOKUP(Table7[[#This Row],[Date]],Database!$A:$C,MATCH($B$1,Database!$A$1:$C$1,),))</f>
        <v/>
      </c>
      <c r="C5956">
        <f>IF(VLOOKUP(Table7[[#This Row],[Date]],Database!$A:$C,MATCH($C$1,Database!$A$1:$C$1,),)=0,#N/A,VLOOKUP(Table7[[#This Row],[Date]],Database!$A:$C,MATCH($C$1,Database!$A$1:$C$1,),))</f>
        <v/>
      </c>
      <c r="D5956">
        <f>IFERROR(Table7[[#This Row],[United States 10y]]-Table7[[#This Row],[United States 3y]],#N/A)</f>
        <v/>
      </c>
    </row>
    <row r="5957">
      <c r="A5957" s="6">
        <f>Database!$A8042</f>
        <v/>
      </c>
      <c r="B5957">
        <f>IF(VLOOKUP(Table7[[#This Row],[Date]],Database!$A:$C,MATCH($B$1,Database!$A$1:$C$1,),)=0,#N/A,VLOOKUP(Table7[[#This Row],[Date]],Database!$A:$C,MATCH($B$1,Database!$A$1:$C$1,),))</f>
        <v/>
      </c>
      <c r="C5957">
        <f>IF(VLOOKUP(Table7[[#This Row],[Date]],Database!$A:$C,MATCH($C$1,Database!$A$1:$C$1,),)=0,#N/A,VLOOKUP(Table7[[#This Row],[Date]],Database!$A:$C,MATCH($C$1,Database!$A$1:$C$1,),))</f>
        <v/>
      </c>
      <c r="D5957">
        <f>IFERROR(Table7[[#This Row],[United States 10y]]-Table7[[#This Row],[United States 3y]],#N/A)</f>
        <v/>
      </c>
    </row>
    <row r="5958">
      <c r="A5958" s="6">
        <f>Database!$A8043</f>
        <v/>
      </c>
      <c r="B5958">
        <f>IF(VLOOKUP(Table7[[#This Row],[Date]],Database!$A:$C,MATCH($B$1,Database!$A$1:$C$1,),)=0,#N/A,VLOOKUP(Table7[[#This Row],[Date]],Database!$A:$C,MATCH($B$1,Database!$A$1:$C$1,),))</f>
        <v/>
      </c>
      <c r="C5958">
        <f>IF(VLOOKUP(Table7[[#This Row],[Date]],Database!$A:$C,MATCH($C$1,Database!$A$1:$C$1,),)=0,#N/A,VLOOKUP(Table7[[#This Row],[Date]],Database!$A:$C,MATCH($C$1,Database!$A$1:$C$1,),))</f>
        <v/>
      </c>
      <c r="D5958">
        <f>IFERROR(Table7[[#This Row],[United States 10y]]-Table7[[#This Row],[United States 3y]],#N/A)</f>
        <v/>
      </c>
    </row>
    <row r="5959">
      <c r="A5959" s="6">
        <f>Database!$A8044</f>
        <v/>
      </c>
      <c r="B5959">
        <f>IF(VLOOKUP(Table7[[#This Row],[Date]],Database!$A:$C,MATCH($B$1,Database!$A$1:$C$1,),)=0,#N/A,VLOOKUP(Table7[[#This Row],[Date]],Database!$A:$C,MATCH($B$1,Database!$A$1:$C$1,),))</f>
        <v/>
      </c>
      <c r="C5959">
        <f>IF(VLOOKUP(Table7[[#This Row],[Date]],Database!$A:$C,MATCH($C$1,Database!$A$1:$C$1,),)=0,#N/A,VLOOKUP(Table7[[#This Row],[Date]],Database!$A:$C,MATCH($C$1,Database!$A$1:$C$1,),))</f>
        <v/>
      </c>
      <c r="D5959">
        <f>IFERROR(Table7[[#This Row],[United States 10y]]-Table7[[#This Row],[United States 3y]],#N/A)</f>
        <v/>
      </c>
    </row>
    <row r="5960">
      <c r="A5960" s="6">
        <f>Database!$A8045</f>
        <v/>
      </c>
      <c r="B5960">
        <f>IF(VLOOKUP(Table7[[#This Row],[Date]],Database!$A:$C,MATCH($B$1,Database!$A$1:$C$1,),)=0,#N/A,VLOOKUP(Table7[[#This Row],[Date]],Database!$A:$C,MATCH($B$1,Database!$A$1:$C$1,),))</f>
        <v/>
      </c>
      <c r="C5960">
        <f>IF(VLOOKUP(Table7[[#This Row],[Date]],Database!$A:$C,MATCH($C$1,Database!$A$1:$C$1,),)=0,#N/A,VLOOKUP(Table7[[#This Row],[Date]],Database!$A:$C,MATCH($C$1,Database!$A$1:$C$1,),))</f>
        <v/>
      </c>
      <c r="D5960">
        <f>IFERROR(Table7[[#This Row],[United States 10y]]-Table7[[#This Row],[United States 3y]],#N/A)</f>
        <v/>
      </c>
    </row>
    <row r="5961">
      <c r="A5961" s="6">
        <f>Database!$A8046</f>
        <v/>
      </c>
      <c r="B5961">
        <f>IF(VLOOKUP(Table7[[#This Row],[Date]],Database!$A:$C,MATCH($B$1,Database!$A$1:$C$1,),)=0,#N/A,VLOOKUP(Table7[[#This Row],[Date]],Database!$A:$C,MATCH($B$1,Database!$A$1:$C$1,),))</f>
        <v/>
      </c>
      <c r="C5961">
        <f>IF(VLOOKUP(Table7[[#This Row],[Date]],Database!$A:$C,MATCH($C$1,Database!$A$1:$C$1,),)=0,#N/A,VLOOKUP(Table7[[#This Row],[Date]],Database!$A:$C,MATCH($C$1,Database!$A$1:$C$1,),))</f>
        <v/>
      </c>
      <c r="D5961">
        <f>IFERROR(Table7[[#This Row],[United States 10y]]-Table7[[#This Row],[United States 3y]],#N/A)</f>
        <v/>
      </c>
    </row>
    <row r="5962">
      <c r="A5962" s="6">
        <f>Database!$A8047</f>
        <v/>
      </c>
      <c r="B5962">
        <f>IF(VLOOKUP(Table7[[#This Row],[Date]],Database!$A:$C,MATCH($B$1,Database!$A$1:$C$1,),)=0,#N/A,VLOOKUP(Table7[[#This Row],[Date]],Database!$A:$C,MATCH($B$1,Database!$A$1:$C$1,),))</f>
        <v/>
      </c>
      <c r="C5962">
        <f>IF(VLOOKUP(Table7[[#This Row],[Date]],Database!$A:$C,MATCH($C$1,Database!$A$1:$C$1,),)=0,#N/A,VLOOKUP(Table7[[#This Row],[Date]],Database!$A:$C,MATCH($C$1,Database!$A$1:$C$1,),))</f>
        <v/>
      </c>
      <c r="D5962">
        <f>IFERROR(Table7[[#This Row],[United States 10y]]-Table7[[#This Row],[United States 3y]],#N/A)</f>
        <v/>
      </c>
    </row>
    <row r="5963">
      <c r="A5963" s="6">
        <f>Database!$A8048</f>
        <v/>
      </c>
      <c r="B5963">
        <f>IF(VLOOKUP(Table7[[#This Row],[Date]],Database!$A:$C,MATCH($B$1,Database!$A$1:$C$1,),)=0,#N/A,VLOOKUP(Table7[[#This Row],[Date]],Database!$A:$C,MATCH($B$1,Database!$A$1:$C$1,),))</f>
        <v/>
      </c>
      <c r="C5963">
        <f>IF(VLOOKUP(Table7[[#This Row],[Date]],Database!$A:$C,MATCH($C$1,Database!$A$1:$C$1,),)=0,#N/A,VLOOKUP(Table7[[#This Row],[Date]],Database!$A:$C,MATCH($C$1,Database!$A$1:$C$1,),))</f>
        <v/>
      </c>
      <c r="D5963">
        <f>IFERROR(Table7[[#This Row],[United States 10y]]-Table7[[#This Row],[United States 3y]],#N/A)</f>
        <v/>
      </c>
    </row>
    <row r="5964">
      <c r="A5964" s="6">
        <f>Database!$A8049</f>
        <v/>
      </c>
      <c r="B5964">
        <f>IF(VLOOKUP(Table7[[#This Row],[Date]],Database!$A:$C,MATCH($B$1,Database!$A$1:$C$1,),)=0,#N/A,VLOOKUP(Table7[[#This Row],[Date]],Database!$A:$C,MATCH($B$1,Database!$A$1:$C$1,),))</f>
        <v/>
      </c>
      <c r="C5964">
        <f>IF(VLOOKUP(Table7[[#This Row],[Date]],Database!$A:$C,MATCH($C$1,Database!$A$1:$C$1,),)=0,#N/A,VLOOKUP(Table7[[#This Row],[Date]],Database!$A:$C,MATCH($C$1,Database!$A$1:$C$1,),))</f>
        <v/>
      </c>
      <c r="D5964">
        <f>IFERROR(Table7[[#This Row],[United States 10y]]-Table7[[#This Row],[United States 3y]],#N/A)</f>
        <v/>
      </c>
    </row>
    <row r="5965">
      <c r="A5965" s="6">
        <f>Database!$A8050</f>
        <v/>
      </c>
      <c r="B5965">
        <f>IF(VLOOKUP(Table7[[#This Row],[Date]],Database!$A:$C,MATCH($B$1,Database!$A$1:$C$1,),)=0,#N/A,VLOOKUP(Table7[[#This Row],[Date]],Database!$A:$C,MATCH($B$1,Database!$A$1:$C$1,),))</f>
        <v/>
      </c>
      <c r="C5965">
        <f>IF(VLOOKUP(Table7[[#This Row],[Date]],Database!$A:$C,MATCH($C$1,Database!$A$1:$C$1,),)=0,#N/A,VLOOKUP(Table7[[#This Row],[Date]],Database!$A:$C,MATCH($C$1,Database!$A$1:$C$1,),))</f>
        <v/>
      </c>
      <c r="D5965">
        <f>IFERROR(Table7[[#This Row],[United States 10y]]-Table7[[#This Row],[United States 3y]],#N/A)</f>
        <v/>
      </c>
    </row>
    <row r="5966">
      <c r="A5966" s="6">
        <f>Database!$A8051</f>
        <v/>
      </c>
      <c r="B5966">
        <f>IF(VLOOKUP(Table7[[#This Row],[Date]],Database!$A:$C,MATCH($B$1,Database!$A$1:$C$1,),)=0,#N/A,VLOOKUP(Table7[[#This Row],[Date]],Database!$A:$C,MATCH($B$1,Database!$A$1:$C$1,),))</f>
        <v/>
      </c>
      <c r="C5966">
        <f>IF(VLOOKUP(Table7[[#This Row],[Date]],Database!$A:$C,MATCH($C$1,Database!$A$1:$C$1,),)=0,#N/A,VLOOKUP(Table7[[#This Row],[Date]],Database!$A:$C,MATCH($C$1,Database!$A$1:$C$1,),))</f>
        <v/>
      </c>
      <c r="D5966">
        <f>IFERROR(Table7[[#This Row],[United States 10y]]-Table7[[#This Row],[United States 3y]],#N/A)</f>
        <v/>
      </c>
    </row>
    <row r="5967">
      <c r="A5967" s="6">
        <f>Database!$A8052</f>
        <v/>
      </c>
      <c r="B5967">
        <f>IF(VLOOKUP(Table7[[#This Row],[Date]],Database!$A:$C,MATCH($B$1,Database!$A$1:$C$1,),)=0,#N/A,VLOOKUP(Table7[[#This Row],[Date]],Database!$A:$C,MATCH($B$1,Database!$A$1:$C$1,),))</f>
        <v/>
      </c>
      <c r="C5967">
        <f>IF(VLOOKUP(Table7[[#This Row],[Date]],Database!$A:$C,MATCH($C$1,Database!$A$1:$C$1,),)=0,#N/A,VLOOKUP(Table7[[#This Row],[Date]],Database!$A:$C,MATCH($C$1,Database!$A$1:$C$1,),))</f>
        <v/>
      </c>
      <c r="D5967">
        <f>IFERROR(Table7[[#This Row],[United States 10y]]-Table7[[#This Row],[United States 3y]],#N/A)</f>
        <v/>
      </c>
    </row>
    <row r="5968">
      <c r="A5968" s="6">
        <f>Database!$A8053</f>
        <v/>
      </c>
      <c r="B5968">
        <f>IF(VLOOKUP(Table7[[#This Row],[Date]],Database!$A:$C,MATCH($B$1,Database!$A$1:$C$1,),)=0,#N/A,VLOOKUP(Table7[[#This Row],[Date]],Database!$A:$C,MATCH($B$1,Database!$A$1:$C$1,),))</f>
        <v/>
      </c>
      <c r="C5968">
        <f>IF(VLOOKUP(Table7[[#This Row],[Date]],Database!$A:$C,MATCH($C$1,Database!$A$1:$C$1,),)=0,#N/A,VLOOKUP(Table7[[#This Row],[Date]],Database!$A:$C,MATCH($C$1,Database!$A$1:$C$1,),))</f>
        <v/>
      </c>
      <c r="D5968">
        <f>IFERROR(Table7[[#This Row],[United States 10y]]-Table7[[#This Row],[United States 3y]],#N/A)</f>
        <v/>
      </c>
    </row>
    <row r="5969">
      <c r="A5969" s="6">
        <f>Database!$A8054</f>
        <v/>
      </c>
      <c r="B5969">
        <f>IF(VLOOKUP(Table7[[#This Row],[Date]],Database!$A:$C,MATCH($B$1,Database!$A$1:$C$1,),)=0,#N/A,VLOOKUP(Table7[[#This Row],[Date]],Database!$A:$C,MATCH($B$1,Database!$A$1:$C$1,),))</f>
        <v/>
      </c>
      <c r="C5969">
        <f>IF(VLOOKUP(Table7[[#This Row],[Date]],Database!$A:$C,MATCH($C$1,Database!$A$1:$C$1,),)=0,#N/A,VLOOKUP(Table7[[#This Row],[Date]],Database!$A:$C,MATCH($C$1,Database!$A$1:$C$1,),))</f>
        <v/>
      </c>
      <c r="D5969">
        <f>IFERROR(Table7[[#This Row],[United States 10y]]-Table7[[#This Row],[United States 3y]],#N/A)</f>
        <v/>
      </c>
    </row>
    <row r="5970">
      <c r="A5970" s="6">
        <f>Database!$A8055</f>
        <v/>
      </c>
      <c r="B5970">
        <f>IF(VLOOKUP(Table7[[#This Row],[Date]],Database!$A:$C,MATCH($B$1,Database!$A$1:$C$1,),)=0,#N/A,VLOOKUP(Table7[[#This Row],[Date]],Database!$A:$C,MATCH($B$1,Database!$A$1:$C$1,),))</f>
        <v/>
      </c>
      <c r="C5970">
        <f>IF(VLOOKUP(Table7[[#This Row],[Date]],Database!$A:$C,MATCH($C$1,Database!$A$1:$C$1,),)=0,#N/A,VLOOKUP(Table7[[#This Row],[Date]],Database!$A:$C,MATCH($C$1,Database!$A$1:$C$1,),))</f>
        <v/>
      </c>
      <c r="D5970">
        <f>IFERROR(Table7[[#This Row],[United States 10y]]-Table7[[#This Row],[United States 3y]],#N/A)</f>
        <v/>
      </c>
    </row>
    <row r="5971">
      <c r="A5971" s="6">
        <f>Database!$A8056</f>
        <v/>
      </c>
      <c r="B5971">
        <f>IF(VLOOKUP(Table7[[#This Row],[Date]],Database!$A:$C,MATCH($B$1,Database!$A$1:$C$1,),)=0,#N/A,VLOOKUP(Table7[[#This Row],[Date]],Database!$A:$C,MATCH($B$1,Database!$A$1:$C$1,),))</f>
        <v/>
      </c>
      <c r="C5971">
        <f>IF(VLOOKUP(Table7[[#This Row],[Date]],Database!$A:$C,MATCH($C$1,Database!$A$1:$C$1,),)=0,#N/A,VLOOKUP(Table7[[#This Row],[Date]],Database!$A:$C,MATCH($C$1,Database!$A$1:$C$1,),))</f>
        <v/>
      </c>
      <c r="D5971">
        <f>IFERROR(Table7[[#This Row],[United States 10y]]-Table7[[#This Row],[United States 3y]],#N/A)</f>
        <v/>
      </c>
    </row>
    <row r="5972">
      <c r="A5972" s="6">
        <f>Database!$A8057</f>
        <v/>
      </c>
      <c r="B5972">
        <f>IF(VLOOKUP(Table7[[#This Row],[Date]],Database!$A:$C,MATCH($B$1,Database!$A$1:$C$1,),)=0,#N/A,VLOOKUP(Table7[[#This Row],[Date]],Database!$A:$C,MATCH($B$1,Database!$A$1:$C$1,),))</f>
        <v/>
      </c>
      <c r="C5972">
        <f>IF(VLOOKUP(Table7[[#This Row],[Date]],Database!$A:$C,MATCH($C$1,Database!$A$1:$C$1,),)=0,#N/A,VLOOKUP(Table7[[#This Row],[Date]],Database!$A:$C,MATCH($C$1,Database!$A$1:$C$1,),))</f>
        <v/>
      </c>
      <c r="D5972">
        <f>IFERROR(Table7[[#This Row],[United States 10y]]-Table7[[#This Row],[United States 3y]],#N/A)</f>
        <v/>
      </c>
    </row>
    <row r="5973">
      <c r="A5973" s="6">
        <f>Database!$A8058</f>
        <v/>
      </c>
      <c r="B5973">
        <f>IF(VLOOKUP(Table7[[#This Row],[Date]],Database!$A:$C,MATCH($B$1,Database!$A$1:$C$1,),)=0,#N/A,VLOOKUP(Table7[[#This Row],[Date]],Database!$A:$C,MATCH($B$1,Database!$A$1:$C$1,),))</f>
        <v/>
      </c>
      <c r="C5973">
        <f>IF(VLOOKUP(Table7[[#This Row],[Date]],Database!$A:$C,MATCH($C$1,Database!$A$1:$C$1,),)=0,#N/A,VLOOKUP(Table7[[#This Row],[Date]],Database!$A:$C,MATCH($C$1,Database!$A$1:$C$1,),))</f>
        <v/>
      </c>
      <c r="D5973">
        <f>IFERROR(Table7[[#This Row],[United States 10y]]-Table7[[#This Row],[United States 3y]],#N/A)</f>
        <v/>
      </c>
    </row>
    <row r="5974">
      <c r="A5974" s="6">
        <f>Database!$A8059</f>
        <v/>
      </c>
      <c r="B5974">
        <f>IF(VLOOKUP(Table7[[#This Row],[Date]],Database!$A:$C,MATCH($B$1,Database!$A$1:$C$1,),)=0,#N/A,VLOOKUP(Table7[[#This Row],[Date]],Database!$A:$C,MATCH($B$1,Database!$A$1:$C$1,),))</f>
        <v/>
      </c>
      <c r="C5974">
        <f>IF(VLOOKUP(Table7[[#This Row],[Date]],Database!$A:$C,MATCH($C$1,Database!$A$1:$C$1,),)=0,#N/A,VLOOKUP(Table7[[#This Row],[Date]],Database!$A:$C,MATCH($C$1,Database!$A$1:$C$1,),))</f>
        <v/>
      </c>
      <c r="D5974">
        <f>IFERROR(Table7[[#This Row],[United States 10y]]-Table7[[#This Row],[United States 3y]],#N/A)</f>
        <v/>
      </c>
    </row>
    <row r="5975">
      <c r="A5975" s="6">
        <f>Database!$A8060</f>
        <v/>
      </c>
      <c r="B5975">
        <f>IF(VLOOKUP(Table7[[#This Row],[Date]],Database!$A:$C,MATCH($B$1,Database!$A$1:$C$1,),)=0,#N/A,VLOOKUP(Table7[[#This Row],[Date]],Database!$A:$C,MATCH($B$1,Database!$A$1:$C$1,),))</f>
        <v/>
      </c>
      <c r="C5975">
        <f>IF(VLOOKUP(Table7[[#This Row],[Date]],Database!$A:$C,MATCH($C$1,Database!$A$1:$C$1,),)=0,#N/A,VLOOKUP(Table7[[#This Row],[Date]],Database!$A:$C,MATCH($C$1,Database!$A$1:$C$1,),))</f>
        <v/>
      </c>
      <c r="D5975">
        <f>IFERROR(Table7[[#This Row],[United States 10y]]-Table7[[#This Row],[United States 3y]],#N/A)</f>
        <v/>
      </c>
    </row>
    <row r="5976">
      <c r="A5976" s="6">
        <f>Database!$A8061</f>
        <v/>
      </c>
      <c r="B5976">
        <f>IF(VLOOKUP(Table7[[#This Row],[Date]],Database!$A:$C,MATCH($B$1,Database!$A$1:$C$1,),)=0,#N/A,VLOOKUP(Table7[[#This Row],[Date]],Database!$A:$C,MATCH($B$1,Database!$A$1:$C$1,),))</f>
        <v/>
      </c>
      <c r="C5976">
        <f>IF(VLOOKUP(Table7[[#This Row],[Date]],Database!$A:$C,MATCH($C$1,Database!$A$1:$C$1,),)=0,#N/A,VLOOKUP(Table7[[#This Row],[Date]],Database!$A:$C,MATCH($C$1,Database!$A$1:$C$1,),))</f>
        <v/>
      </c>
      <c r="D5976">
        <f>IFERROR(Table7[[#This Row],[United States 10y]]-Table7[[#This Row],[United States 3y]],#N/A)</f>
        <v/>
      </c>
    </row>
    <row r="5977">
      <c r="A5977" s="6">
        <f>Database!$A8062</f>
        <v/>
      </c>
      <c r="B5977">
        <f>IF(VLOOKUP(Table7[[#This Row],[Date]],Database!$A:$C,MATCH($B$1,Database!$A$1:$C$1,),)=0,#N/A,VLOOKUP(Table7[[#This Row],[Date]],Database!$A:$C,MATCH($B$1,Database!$A$1:$C$1,),))</f>
        <v/>
      </c>
      <c r="C5977">
        <f>IF(VLOOKUP(Table7[[#This Row],[Date]],Database!$A:$C,MATCH($C$1,Database!$A$1:$C$1,),)=0,#N/A,VLOOKUP(Table7[[#This Row],[Date]],Database!$A:$C,MATCH($C$1,Database!$A$1:$C$1,),))</f>
        <v/>
      </c>
      <c r="D5977">
        <f>IFERROR(Table7[[#This Row],[United States 10y]]-Table7[[#This Row],[United States 3y]],#N/A)</f>
        <v/>
      </c>
    </row>
    <row r="5978">
      <c r="A5978" s="6">
        <f>Database!$A8063</f>
        <v/>
      </c>
      <c r="B5978">
        <f>IF(VLOOKUP(Table7[[#This Row],[Date]],Database!$A:$C,MATCH($B$1,Database!$A$1:$C$1,),)=0,#N/A,VLOOKUP(Table7[[#This Row],[Date]],Database!$A:$C,MATCH($B$1,Database!$A$1:$C$1,),))</f>
        <v/>
      </c>
      <c r="C5978">
        <f>IF(VLOOKUP(Table7[[#This Row],[Date]],Database!$A:$C,MATCH($C$1,Database!$A$1:$C$1,),)=0,#N/A,VLOOKUP(Table7[[#This Row],[Date]],Database!$A:$C,MATCH($C$1,Database!$A$1:$C$1,),))</f>
        <v/>
      </c>
      <c r="D5978">
        <f>IFERROR(Table7[[#This Row],[United States 10y]]-Table7[[#This Row],[United States 3y]],#N/A)</f>
        <v/>
      </c>
    </row>
    <row r="5979">
      <c r="A5979" s="6">
        <f>Database!$A8064</f>
        <v/>
      </c>
      <c r="B5979">
        <f>IF(VLOOKUP(Table7[[#This Row],[Date]],Database!$A:$C,MATCH($B$1,Database!$A$1:$C$1,),)=0,#N/A,VLOOKUP(Table7[[#This Row],[Date]],Database!$A:$C,MATCH($B$1,Database!$A$1:$C$1,),))</f>
        <v/>
      </c>
      <c r="C5979">
        <f>IF(VLOOKUP(Table7[[#This Row],[Date]],Database!$A:$C,MATCH($C$1,Database!$A$1:$C$1,),)=0,#N/A,VLOOKUP(Table7[[#This Row],[Date]],Database!$A:$C,MATCH($C$1,Database!$A$1:$C$1,),))</f>
        <v/>
      </c>
      <c r="D5979">
        <f>IFERROR(Table7[[#This Row],[United States 10y]]-Table7[[#This Row],[United States 3y]],#N/A)</f>
        <v/>
      </c>
    </row>
    <row r="5980">
      <c r="A5980" s="6">
        <f>Database!$A8065</f>
        <v/>
      </c>
      <c r="B5980">
        <f>IF(VLOOKUP(Table7[[#This Row],[Date]],Database!$A:$C,MATCH($B$1,Database!$A$1:$C$1,),)=0,#N/A,VLOOKUP(Table7[[#This Row],[Date]],Database!$A:$C,MATCH($B$1,Database!$A$1:$C$1,),))</f>
        <v/>
      </c>
      <c r="C5980">
        <f>IF(VLOOKUP(Table7[[#This Row],[Date]],Database!$A:$C,MATCH($C$1,Database!$A$1:$C$1,),)=0,#N/A,VLOOKUP(Table7[[#This Row],[Date]],Database!$A:$C,MATCH($C$1,Database!$A$1:$C$1,),))</f>
        <v/>
      </c>
      <c r="D5980">
        <f>IFERROR(Table7[[#This Row],[United States 10y]]-Table7[[#This Row],[United States 3y]],#N/A)</f>
        <v/>
      </c>
    </row>
    <row r="5981">
      <c r="A5981" s="6">
        <f>Database!$A8066</f>
        <v/>
      </c>
      <c r="B5981">
        <f>IF(VLOOKUP(Table7[[#This Row],[Date]],Database!$A:$C,MATCH($B$1,Database!$A$1:$C$1,),)=0,#N/A,VLOOKUP(Table7[[#This Row],[Date]],Database!$A:$C,MATCH($B$1,Database!$A$1:$C$1,),))</f>
        <v/>
      </c>
      <c r="C5981">
        <f>IF(VLOOKUP(Table7[[#This Row],[Date]],Database!$A:$C,MATCH($C$1,Database!$A$1:$C$1,),)=0,#N/A,VLOOKUP(Table7[[#This Row],[Date]],Database!$A:$C,MATCH($C$1,Database!$A$1:$C$1,),))</f>
        <v/>
      </c>
      <c r="D5981">
        <f>IFERROR(Table7[[#This Row],[United States 10y]]-Table7[[#This Row],[United States 3y]],#N/A)</f>
        <v/>
      </c>
    </row>
    <row r="5982">
      <c r="A5982" s="6">
        <f>Database!$A8067</f>
        <v/>
      </c>
      <c r="B5982">
        <f>IF(VLOOKUP(Table7[[#This Row],[Date]],Database!$A:$C,MATCH($B$1,Database!$A$1:$C$1,),)=0,#N/A,VLOOKUP(Table7[[#This Row],[Date]],Database!$A:$C,MATCH($B$1,Database!$A$1:$C$1,),))</f>
        <v/>
      </c>
      <c r="C5982">
        <f>IF(VLOOKUP(Table7[[#This Row],[Date]],Database!$A:$C,MATCH($C$1,Database!$A$1:$C$1,),)=0,#N/A,VLOOKUP(Table7[[#This Row],[Date]],Database!$A:$C,MATCH($C$1,Database!$A$1:$C$1,),))</f>
        <v/>
      </c>
      <c r="D5982">
        <f>IFERROR(Table7[[#This Row],[United States 10y]]-Table7[[#This Row],[United States 3y]],#N/A)</f>
        <v/>
      </c>
    </row>
    <row r="5983">
      <c r="A5983" s="6">
        <f>Database!$A8068</f>
        <v/>
      </c>
      <c r="B5983">
        <f>IF(VLOOKUP(Table7[[#This Row],[Date]],Database!$A:$C,MATCH($B$1,Database!$A$1:$C$1,),)=0,#N/A,VLOOKUP(Table7[[#This Row],[Date]],Database!$A:$C,MATCH($B$1,Database!$A$1:$C$1,),))</f>
        <v/>
      </c>
      <c r="C5983">
        <f>IF(VLOOKUP(Table7[[#This Row],[Date]],Database!$A:$C,MATCH($C$1,Database!$A$1:$C$1,),)=0,#N/A,VLOOKUP(Table7[[#This Row],[Date]],Database!$A:$C,MATCH($C$1,Database!$A$1:$C$1,),))</f>
        <v/>
      </c>
      <c r="D5983">
        <f>IFERROR(Table7[[#This Row],[United States 10y]]-Table7[[#This Row],[United States 3y]],#N/A)</f>
        <v/>
      </c>
    </row>
    <row r="5984">
      <c r="A5984" s="6">
        <f>Database!$A8069</f>
        <v/>
      </c>
      <c r="B5984">
        <f>IF(VLOOKUP(Table7[[#This Row],[Date]],Database!$A:$C,MATCH($B$1,Database!$A$1:$C$1,),)=0,#N/A,VLOOKUP(Table7[[#This Row],[Date]],Database!$A:$C,MATCH($B$1,Database!$A$1:$C$1,),))</f>
        <v/>
      </c>
      <c r="C5984">
        <f>IF(VLOOKUP(Table7[[#This Row],[Date]],Database!$A:$C,MATCH($C$1,Database!$A$1:$C$1,),)=0,#N/A,VLOOKUP(Table7[[#This Row],[Date]],Database!$A:$C,MATCH($C$1,Database!$A$1:$C$1,),))</f>
        <v/>
      </c>
      <c r="D5984">
        <f>IFERROR(Table7[[#This Row],[United States 10y]]-Table7[[#This Row],[United States 3y]],#N/A)</f>
        <v/>
      </c>
    </row>
    <row r="5985">
      <c r="A5985" s="6">
        <f>Database!$A8070</f>
        <v/>
      </c>
      <c r="B5985">
        <f>IF(VLOOKUP(Table7[[#This Row],[Date]],Database!$A:$C,MATCH($B$1,Database!$A$1:$C$1,),)=0,#N/A,VLOOKUP(Table7[[#This Row],[Date]],Database!$A:$C,MATCH($B$1,Database!$A$1:$C$1,),))</f>
        <v/>
      </c>
      <c r="C5985">
        <f>IF(VLOOKUP(Table7[[#This Row],[Date]],Database!$A:$C,MATCH($C$1,Database!$A$1:$C$1,),)=0,#N/A,VLOOKUP(Table7[[#This Row],[Date]],Database!$A:$C,MATCH($C$1,Database!$A$1:$C$1,),))</f>
        <v/>
      </c>
      <c r="D5985">
        <f>IFERROR(Table7[[#This Row],[United States 10y]]-Table7[[#This Row],[United States 3y]],#N/A)</f>
        <v/>
      </c>
    </row>
    <row r="5986">
      <c r="A5986" s="6">
        <f>Database!$A8071</f>
        <v/>
      </c>
      <c r="B5986">
        <f>IF(VLOOKUP(Table7[[#This Row],[Date]],Database!$A:$C,MATCH($B$1,Database!$A$1:$C$1,),)=0,#N/A,VLOOKUP(Table7[[#This Row],[Date]],Database!$A:$C,MATCH($B$1,Database!$A$1:$C$1,),))</f>
        <v/>
      </c>
      <c r="C5986">
        <f>IF(VLOOKUP(Table7[[#This Row],[Date]],Database!$A:$C,MATCH($C$1,Database!$A$1:$C$1,),)=0,#N/A,VLOOKUP(Table7[[#This Row],[Date]],Database!$A:$C,MATCH($C$1,Database!$A$1:$C$1,),))</f>
        <v/>
      </c>
      <c r="D5986">
        <f>IFERROR(Table7[[#This Row],[United States 10y]]-Table7[[#This Row],[United States 3y]],#N/A)</f>
        <v/>
      </c>
    </row>
    <row r="5987">
      <c r="A5987" s="6">
        <f>Database!$A8072</f>
        <v/>
      </c>
      <c r="B5987">
        <f>IF(VLOOKUP(Table7[[#This Row],[Date]],Database!$A:$C,MATCH($B$1,Database!$A$1:$C$1,),)=0,#N/A,VLOOKUP(Table7[[#This Row],[Date]],Database!$A:$C,MATCH($B$1,Database!$A$1:$C$1,),))</f>
        <v/>
      </c>
      <c r="C5987">
        <f>IF(VLOOKUP(Table7[[#This Row],[Date]],Database!$A:$C,MATCH($C$1,Database!$A$1:$C$1,),)=0,#N/A,VLOOKUP(Table7[[#This Row],[Date]],Database!$A:$C,MATCH($C$1,Database!$A$1:$C$1,),))</f>
        <v/>
      </c>
      <c r="D5987">
        <f>IFERROR(Table7[[#This Row],[United States 10y]]-Table7[[#This Row],[United States 3y]],#N/A)</f>
        <v/>
      </c>
    </row>
    <row r="5988">
      <c r="A5988" s="6">
        <f>Database!$A8073</f>
        <v/>
      </c>
      <c r="B5988">
        <f>IF(VLOOKUP(Table7[[#This Row],[Date]],Database!$A:$C,MATCH($B$1,Database!$A$1:$C$1,),)=0,#N/A,VLOOKUP(Table7[[#This Row],[Date]],Database!$A:$C,MATCH($B$1,Database!$A$1:$C$1,),))</f>
        <v/>
      </c>
      <c r="C5988">
        <f>IF(VLOOKUP(Table7[[#This Row],[Date]],Database!$A:$C,MATCH($C$1,Database!$A$1:$C$1,),)=0,#N/A,VLOOKUP(Table7[[#This Row],[Date]],Database!$A:$C,MATCH($C$1,Database!$A$1:$C$1,),))</f>
        <v/>
      </c>
      <c r="D5988">
        <f>IFERROR(Table7[[#This Row],[United States 10y]]-Table7[[#This Row],[United States 3y]],#N/A)</f>
        <v/>
      </c>
    </row>
    <row r="5989">
      <c r="A5989" s="6">
        <f>Database!$A8074</f>
        <v/>
      </c>
      <c r="B5989">
        <f>IF(VLOOKUP(Table7[[#This Row],[Date]],Database!$A:$C,MATCH($B$1,Database!$A$1:$C$1,),)=0,#N/A,VLOOKUP(Table7[[#This Row],[Date]],Database!$A:$C,MATCH($B$1,Database!$A$1:$C$1,),))</f>
        <v/>
      </c>
      <c r="C5989">
        <f>IF(VLOOKUP(Table7[[#This Row],[Date]],Database!$A:$C,MATCH($C$1,Database!$A$1:$C$1,),)=0,#N/A,VLOOKUP(Table7[[#This Row],[Date]],Database!$A:$C,MATCH($C$1,Database!$A$1:$C$1,),))</f>
        <v/>
      </c>
      <c r="D5989">
        <f>IFERROR(Table7[[#This Row],[United States 10y]]-Table7[[#This Row],[United States 3y]],#N/A)</f>
        <v/>
      </c>
    </row>
    <row r="5990">
      <c r="A5990" s="6">
        <f>Database!$A8075</f>
        <v/>
      </c>
      <c r="B5990">
        <f>IF(VLOOKUP(Table7[[#This Row],[Date]],Database!$A:$C,MATCH($B$1,Database!$A$1:$C$1,),)=0,#N/A,VLOOKUP(Table7[[#This Row],[Date]],Database!$A:$C,MATCH($B$1,Database!$A$1:$C$1,),))</f>
        <v/>
      </c>
      <c r="C5990">
        <f>IF(VLOOKUP(Table7[[#This Row],[Date]],Database!$A:$C,MATCH($C$1,Database!$A$1:$C$1,),)=0,#N/A,VLOOKUP(Table7[[#This Row],[Date]],Database!$A:$C,MATCH($C$1,Database!$A$1:$C$1,),))</f>
        <v/>
      </c>
      <c r="D5990">
        <f>IFERROR(Table7[[#This Row],[United States 10y]]-Table7[[#This Row],[United States 3y]],#N/A)</f>
        <v/>
      </c>
    </row>
    <row r="5991">
      <c r="A5991" s="6">
        <f>Database!$A8076</f>
        <v/>
      </c>
      <c r="B5991">
        <f>IF(VLOOKUP(Table7[[#This Row],[Date]],Database!$A:$C,MATCH($B$1,Database!$A$1:$C$1,),)=0,#N/A,VLOOKUP(Table7[[#This Row],[Date]],Database!$A:$C,MATCH($B$1,Database!$A$1:$C$1,),))</f>
        <v/>
      </c>
      <c r="C5991">
        <f>IF(VLOOKUP(Table7[[#This Row],[Date]],Database!$A:$C,MATCH($C$1,Database!$A$1:$C$1,),)=0,#N/A,VLOOKUP(Table7[[#This Row],[Date]],Database!$A:$C,MATCH($C$1,Database!$A$1:$C$1,),))</f>
        <v/>
      </c>
      <c r="D5991">
        <f>IFERROR(Table7[[#This Row],[United States 10y]]-Table7[[#This Row],[United States 3y]],#N/A)</f>
        <v/>
      </c>
    </row>
    <row r="5992">
      <c r="A5992" s="6">
        <f>Database!$A8077</f>
        <v/>
      </c>
      <c r="B5992">
        <f>IF(VLOOKUP(Table7[[#This Row],[Date]],Database!$A:$C,MATCH($B$1,Database!$A$1:$C$1,),)=0,#N/A,VLOOKUP(Table7[[#This Row],[Date]],Database!$A:$C,MATCH($B$1,Database!$A$1:$C$1,),))</f>
        <v/>
      </c>
      <c r="C5992">
        <f>IF(VLOOKUP(Table7[[#This Row],[Date]],Database!$A:$C,MATCH($C$1,Database!$A$1:$C$1,),)=0,#N/A,VLOOKUP(Table7[[#This Row],[Date]],Database!$A:$C,MATCH($C$1,Database!$A$1:$C$1,),))</f>
        <v/>
      </c>
      <c r="D5992">
        <f>IFERROR(Table7[[#This Row],[United States 10y]]-Table7[[#This Row],[United States 3y]],#N/A)</f>
        <v/>
      </c>
    </row>
    <row r="5993">
      <c r="A5993" s="6">
        <f>Database!$A8078</f>
        <v/>
      </c>
      <c r="B5993">
        <f>IF(VLOOKUP(Table7[[#This Row],[Date]],Database!$A:$C,MATCH($B$1,Database!$A$1:$C$1,),)=0,#N/A,VLOOKUP(Table7[[#This Row],[Date]],Database!$A:$C,MATCH($B$1,Database!$A$1:$C$1,),))</f>
        <v/>
      </c>
      <c r="C5993">
        <f>IF(VLOOKUP(Table7[[#This Row],[Date]],Database!$A:$C,MATCH($C$1,Database!$A$1:$C$1,),)=0,#N/A,VLOOKUP(Table7[[#This Row],[Date]],Database!$A:$C,MATCH($C$1,Database!$A$1:$C$1,),))</f>
        <v/>
      </c>
      <c r="D5993">
        <f>IFERROR(Table7[[#This Row],[United States 10y]]-Table7[[#This Row],[United States 3y]],#N/A)</f>
        <v/>
      </c>
    </row>
    <row r="5994">
      <c r="A5994" s="6">
        <f>Database!$A8079</f>
        <v/>
      </c>
      <c r="B5994">
        <f>IF(VLOOKUP(Table7[[#This Row],[Date]],Database!$A:$C,MATCH($B$1,Database!$A$1:$C$1,),)=0,#N/A,VLOOKUP(Table7[[#This Row],[Date]],Database!$A:$C,MATCH($B$1,Database!$A$1:$C$1,),))</f>
        <v/>
      </c>
      <c r="C5994">
        <f>IF(VLOOKUP(Table7[[#This Row],[Date]],Database!$A:$C,MATCH($C$1,Database!$A$1:$C$1,),)=0,#N/A,VLOOKUP(Table7[[#This Row],[Date]],Database!$A:$C,MATCH($C$1,Database!$A$1:$C$1,),))</f>
        <v/>
      </c>
      <c r="D5994">
        <f>IFERROR(Table7[[#This Row],[United States 10y]]-Table7[[#This Row],[United States 3y]],#N/A)</f>
        <v/>
      </c>
    </row>
    <row r="5995">
      <c r="A5995" s="6">
        <f>Database!$A8080</f>
        <v/>
      </c>
      <c r="B5995">
        <f>IF(VLOOKUP(Table7[[#This Row],[Date]],Database!$A:$C,MATCH($B$1,Database!$A$1:$C$1,),)=0,#N/A,VLOOKUP(Table7[[#This Row],[Date]],Database!$A:$C,MATCH($B$1,Database!$A$1:$C$1,),))</f>
        <v/>
      </c>
      <c r="C5995">
        <f>IF(VLOOKUP(Table7[[#This Row],[Date]],Database!$A:$C,MATCH($C$1,Database!$A$1:$C$1,),)=0,#N/A,VLOOKUP(Table7[[#This Row],[Date]],Database!$A:$C,MATCH($C$1,Database!$A$1:$C$1,),))</f>
        <v/>
      </c>
      <c r="D5995">
        <f>IFERROR(Table7[[#This Row],[United States 10y]]-Table7[[#This Row],[United States 3y]],#N/A)</f>
        <v/>
      </c>
    </row>
    <row r="5996">
      <c r="A5996" s="6">
        <f>Database!$A8081</f>
        <v/>
      </c>
      <c r="B5996">
        <f>IF(VLOOKUP(Table7[[#This Row],[Date]],Database!$A:$C,MATCH($B$1,Database!$A$1:$C$1,),)=0,#N/A,VLOOKUP(Table7[[#This Row],[Date]],Database!$A:$C,MATCH($B$1,Database!$A$1:$C$1,),))</f>
        <v/>
      </c>
      <c r="C5996">
        <f>IF(VLOOKUP(Table7[[#This Row],[Date]],Database!$A:$C,MATCH($C$1,Database!$A$1:$C$1,),)=0,#N/A,VLOOKUP(Table7[[#This Row],[Date]],Database!$A:$C,MATCH($C$1,Database!$A$1:$C$1,),))</f>
        <v/>
      </c>
      <c r="D5996">
        <f>IFERROR(Table7[[#This Row],[United States 10y]]-Table7[[#This Row],[United States 3y]],#N/A)</f>
        <v/>
      </c>
    </row>
    <row r="5997">
      <c r="A5997" s="6">
        <f>Database!$A8082</f>
        <v/>
      </c>
      <c r="B5997">
        <f>IF(VLOOKUP(Table7[[#This Row],[Date]],Database!$A:$C,MATCH($B$1,Database!$A$1:$C$1,),)=0,#N/A,VLOOKUP(Table7[[#This Row],[Date]],Database!$A:$C,MATCH($B$1,Database!$A$1:$C$1,),))</f>
        <v/>
      </c>
      <c r="C5997">
        <f>IF(VLOOKUP(Table7[[#This Row],[Date]],Database!$A:$C,MATCH($C$1,Database!$A$1:$C$1,),)=0,#N/A,VLOOKUP(Table7[[#This Row],[Date]],Database!$A:$C,MATCH($C$1,Database!$A$1:$C$1,),))</f>
        <v/>
      </c>
      <c r="D5997">
        <f>IFERROR(Table7[[#This Row],[United States 10y]]-Table7[[#This Row],[United States 3y]],#N/A)</f>
        <v/>
      </c>
    </row>
    <row r="5998">
      <c r="A5998" s="6">
        <f>Database!$A8083</f>
        <v/>
      </c>
      <c r="B5998">
        <f>IF(VLOOKUP(Table7[[#This Row],[Date]],Database!$A:$C,MATCH($B$1,Database!$A$1:$C$1,),)=0,#N/A,VLOOKUP(Table7[[#This Row],[Date]],Database!$A:$C,MATCH($B$1,Database!$A$1:$C$1,),))</f>
        <v/>
      </c>
      <c r="C5998">
        <f>IF(VLOOKUP(Table7[[#This Row],[Date]],Database!$A:$C,MATCH($C$1,Database!$A$1:$C$1,),)=0,#N/A,VLOOKUP(Table7[[#This Row],[Date]],Database!$A:$C,MATCH($C$1,Database!$A$1:$C$1,),))</f>
        <v/>
      </c>
      <c r="D5998">
        <f>IFERROR(Table7[[#This Row],[United States 10y]]-Table7[[#This Row],[United States 3y]],#N/A)</f>
        <v/>
      </c>
    </row>
    <row r="5999">
      <c r="A5999" s="6">
        <f>Database!$A8084</f>
        <v/>
      </c>
      <c r="B5999">
        <f>IF(VLOOKUP(Table7[[#This Row],[Date]],Database!$A:$C,MATCH($B$1,Database!$A$1:$C$1,),)=0,#N/A,VLOOKUP(Table7[[#This Row],[Date]],Database!$A:$C,MATCH($B$1,Database!$A$1:$C$1,),))</f>
        <v/>
      </c>
      <c r="C5999">
        <f>IF(VLOOKUP(Table7[[#This Row],[Date]],Database!$A:$C,MATCH($C$1,Database!$A$1:$C$1,),)=0,#N/A,VLOOKUP(Table7[[#This Row],[Date]],Database!$A:$C,MATCH($C$1,Database!$A$1:$C$1,),))</f>
        <v/>
      </c>
      <c r="D5999">
        <f>IFERROR(Table7[[#This Row],[United States 10y]]-Table7[[#This Row],[United States 3y]],#N/A)</f>
        <v/>
      </c>
    </row>
    <row r="6000">
      <c r="A6000" s="6">
        <f>Database!$A8085</f>
        <v/>
      </c>
      <c r="B6000">
        <f>IF(VLOOKUP(Table7[[#This Row],[Date]],Database!$A:$C,MATCH($B$1,Database!$A$1:$C$1,),)=0,#N/A,VLOOKUP(Table7[[#This Row],[Date]],Database!$A:$C,MATCH($B$1,Database!$A$1:$C$1,),))</f>
        <v/>
      </c>
      <c r="C6000">
        <f>IF(VLOOKUP(Table7[[#This Row],[Date]],Database!$A:$C,MATCH($C$1,Database!$A$1:$C$1,),)=0,#N/A,VLOOKUP(Table7[[#This Row],[Date]],Database!$A:$C,MATCH($C$1,Database!$A$1:$C$1,),))</f>
        <v/>
      </c>
      <c r="D6000">
        <f>IFERROR(Table7[[#This Row],[United States 10y]]-Table7[[#This Row],[United States 3y]],#N/A)</f>
        <v/>
      </c>
    </row>
    <row r="6001">
      <c r="A6001" s="6">
        <f>Database!$A8086</f>
        <v/>
      </c>
      <c r="B6001">
        <f>IF(VLOOKUP(Table7[[#This Row],[Date]],Database!$A:$C,MATCH($B$1,Database!$A$1:$C$1,),)=0,#N/A,VLOOKUP(Table7[[#This Row],[Date]],Database!$A:$C,MATCH($B$1,Database!$A$1:$C$1,),))</f>
        <v/>
      </c>
      <c r="C6001">
        <f>IF(VLOOKUP(Table7[[#This Row],[Date]],Database!$A:$C,MATCH($C$1,Database!$A$1:$C$1,),)=0,#N/A,VLOOKUP(Table7[[#This Row],[Date]],Database!$A:$C,MATCH($C$1,Database!$A$1:$C$1,),))</f>
        <v/>
      </c>
      <c r="D6001">
        <f>IFERROR(Table7[[#This Row],[United States 10y]]-Table7[[#This Row],[United States 3y]],#N/A)</f>
        <v/>
      </c>
    </row>
    <row r="6002">
      <c r="A6002" s="6">
        <f>Database!$A8087</f>
        <v/>
      </c>
      <c r="B6002">
        <f>IF(VLOOKUP(Table7[[#This Row],[Date]],Database!$A:$C,MATCH($B$1,Database!$A$1:$C$1,),)=0,#N/A,VLOOKUP(Table7[[#This Row],[Date]],Database!$A:$C,MATCH($B$1,Database!$A$1:$C$1,),))</f>
        <v/>
      </c>
      <c r="C6002">
        <f>IF(VLOOKUP(Table7[[#This Row],[Date]],Database!$A:$C,MATCH($C$1,Database!$A$1:$C$1,),)=0,#N/A,VLOOKUP(Table7[[#This Row],[Date]],Database!$A:$C,MATCH($C$1,Database!$A$1:$C$1,),))</f>
        <v/>
      </c>
      <c r="D6002">
        <f>IFERROR(Table7[[#This Row],[United States 10y]]-Table7[[#This Row],[United States 3y]],#N/A)</f>
        <v/>
      </c>
    </row>
    <row r="6003">
      <c r="A6003" s="6">
        <f>Database!$A8088</f>
        <v/>
      </c>
      <c r="B6003">
        <f>IF(VLOOKUP(Table7[[#This Row],[Date]],Database!$A:$C,MATCH($B$1,Database!$A$1:$C$1,),)=0,#N/A,VLOOKUP(Table7[[#This Row],[Date]],Database!$A:$C,MATCH($B$1,Database!$A$1:$C$1,),))</f>
        <v/>
      </c>
      <c r="C6003">
        <f>IF(VLOOKUP(Table7[[#This Row],[Date]],Database!$A:$C,MATCH($C$1,Database!$A$1:$C$1,),)=0,#N/A,VLOOKUP(Table7[[#This Row],[Date]],Database!$A:$C,MATCH($C$1,Database!$A$1:$C$1,),))</f>
        <v/>
      </c>
      <c r="D6003">
        <f>IFERROR(Table7[[#This Row],[United States 10y]]-Table7[[#This Row],[United States 3y]],#N/A)</f>
        <v/>
      </c>
    </row>
    <row r="6004">
      <c r="A6004" s="6">
        <f>Database!$A8089</f>
        <v/>
      </c>
      <c r="B6004">
        <f>IF(VLOOKUP(Table7[[#This Row],[Date]],Database!$A:$C,MATCH($B$1,Database!$A$1:$C$1,),)=0,#N/A,VLOOKUP(Table7[[#This Row],[Date]],Database!$A:$C,MATCH($B$1,Database!$A$1:$C$1,),))</f>
        <v/>
      </c>
      <c r="C6004">
        <f>IF(VLOOKUP(Table7[[#This Row],[Date]],Database!$A:$C,MATCH($C$1,Database!$A$1:$C$1,),)=0,#N/A,VLOOKUP(Table7[[#This Row],[Date]],Database!$A:$C,MATCH($C$1,Database!$A$1:$C$1,),))</f>
        <v/>
      </c>
      <c r="D6004">
        <f>IFERROR(Table7[[#This Row],[United States 10y]]-Table7[[#This Row],[United States 3y]],#N/A)</f>
        <v/>
      </c>
    </row>
    <row r="6005">
      <c r="A6005" s="6">
        <f>Database!$A8090</f>
        <v/>
      </c>
      <c r="B6005">
        <f>IF(VLOOKUP(Table7[[#This Row],[Date]],Database!$A:$C,MATCH($B$1,Database!$A$1:$C$1,),)=0,#N/A,VLOOKUP(Table7[[#This Row],[Date]],Database!$A:$C,MATCH($B$1,Database!$A$1:$C$1,),))</f>
        <v/>
      </c>
      <c r="C6005">
        <f>IF(VLOOKUP(Table7[[#This Row],[Date]],Database!$A:$C,MATCH($C$1,Database!$A$1:$C$1,),)=0,#N/A,VLOOKUP(Table7[[#This Row],[Date]],Database!$A:$C,MATCH($C$1,Database!$A$1:$C$1,),))</f>
        <v/>
      </c>
      <c r="D6005">
        <f>IFERROR(Table7[[#This Row],[United States 10y]]-Table7[[#This Row],[United States 3y]],#N/A)</f>
        <v/>
      </c>
    </row>
    <row r="6006">
      <c r="A6006" s="6">
        <f>Database!$A8091</f>
        <v/>
      </c>
      <c r="B6006">
        <f>IF(VLOOKUP(Table7[[#This Row],[Date]],Database!$A:$C,MATCH($B$1,Database!$A$1:$C$1,),)=0,#N/A,VLOOKUP(Table7[[#This Row],[Date]],Database!$A:$C,MATCH($B$1,Database!$A$1:$C$1,),))</f>
        <v/>
      </c>
      <c r="C6006">
        <f>IF(VLOOKUP(Table7[[#This Row],[Date]],Database!$A:$C,MATCH($C$1,Database!$A$1:$C$1,),)=0,#N/A,VLOOKUP(Table7[[#This Row],[Date]],Database!$A:$C,MATCH($C$1,Database!$A$1:$C$1,),))</f>
        <v/>
      </c>
      <c r="D6006">
        <f>IFERROR(Table7[[#This Row],[United States 10y]]-Table7[[#This Row],[United States 3y]],#N/A)</f>
        <v/>
      </c>
    </row>
    <row r="6007">
      <c r="A6007" s="6">
        <f>Database!$A8092</f>
        <v/>
      </c>
      <c r="B6007">
        <f>IF(VLOOKUP(Table7[[#This Row],[Date]],Database!$A:$C,MATCH($B$1,Database!$A$1:$C$1,),)=0,#N/A,VLOOKUP(Table7[[#This Row],[Date]],Database!$A:$C,MATCH($B$1,Database!$A$1:$C$1,),))</f>
        <v/>
      </c>
      <c r="C6007">
        <f>IF(VLOOKUP(Table7[[#This Row],[Date]],Database!$A:$C,MATCH($C$1,Database!$A$1:$C$1,),)=0,#N/A,VLOOKUP(Table7[[#This Row],[Date]],Database!$A:$C,MATCH($C$1,Database!$A$1:$C$1,),))</f>
        <v/>
      </c>
      <c r="D6007">
        <f>IFERROR(Table7[[#This Row],[United States 10y]]-Table7[[#This Row],[United States 3y]],#N/A)</f>
        <v/>
      </c>
    </row>
    <row r="6008">
      <c r="A6008" s="6">
        <f>Database!$A8093</f>
        <v/>
      </c>
      <c r="B6008">
        <f>IF(VLOOKUP(Table7[[#This Row],[Date]],Database!$A:$C,MATCH($B$1,Database!$A$1:$C$1,),)=0,#N/A,VLOOKUP(Table7[[#This Row],[Date]],Database!$A:$C,MATCH($B$1,Database!$A$1:$C$1,),))</f>
        <v/>
      </c>
      <c r="C6008">
        <f>IF(VLOOKUP(Table7[[#This Row],[Date]],Database!$A:$C,MATCH($C$1,Database!$A$1:$C$1,),)=0,#N/A,VLOOKUP(Table7[[#This Row],[Date]],Database!$A:$C,MATCH($C$1,Database!$A$1:$C$1,),))</f>
        <v/>
      </c>
      <c r="D6008">
        <f>IFERROR(Table7[[#This Row],[United States 10y]]-Table7[[#This Row],[United States 3y]],#N/A)</f>
        <v/>
      </c>
    </row>
    <row r="6009">
      <c r="A6009" s="6">
        <f>Database!$A8094</f>
        <v/>
      </c>
      <c r="B6009">
        <f>IF(VLOOKUP(Table7[[#This Row],[Date]],Database!$A:$C,MATCH($B$1,Database!$A$1:$C$1,),)=0,#N/A,VLOOKUP(Table7[[#This Row],[Date]],Database!$A:$C,MATCH($B$1,Database!$A$1:$C$1,),))</f>
        <v/>
      </c>
      <c r="C6009">
        <f>IF(VLOOKUP(Table7[[#This Row],[Date]],Database!$A:$C,MATCH($C$1,Database!$A$1:$C$1,),)=0,#N/A,VLOOKUP(Table7[[#This Row],[Date]],Database!$A:$C,MATCH($C$1,Database!$A$1:$C$1,),))</f>
        <v/>
      </c>
      <c r="D6009">
        <f>IFERROR(Table7[[#This Row],[United States 10y]]-Table7[[#This Row],[United States 3y]],#N/A)</f>
        <v/>
      </c>
    </row>
    <row r="6010">
      <c r="A6010" s="6">
        <f>Database!$A8095</f>
        <v/>
      </c>
      <c r="B6010">
        <f>IF(VLOOKUP(Table7[[#This Row],[Date]],Database!$A:$C,MATCH($B$1,Database!$A$1:$C$1,),)=0,#N/A,VLOOKUP(Table7[[#This Row],[Date]],Database!$A:$C,MATCH($B$1,Database!$A$1:$C$1,),))</f>
        <v/>
      </c>
      <c r="C6010">
        <f>IF(VLOOKUP(Table7[[#This Row],[Date]],Database!$A:$C,MATCH($C$1,Database!$A$1:$C$1,),)=0,#N/A,VLOOKUP(Table7[[#This Row],[Date]],Database!$A:$C,MATCH($C$1,Database!$A$1:$C$1,),))</f>
        <v/>
      </c>
      <c r="D6010">
        <f>IFERROR(Table7[[#This Row],[United States 10y]]-Table7[[#This Row],[United States 3y]],#N/A)</f>
        <v/>
      </c>
    </row>
    <row r="6011">
      <c r="A6011" s="6">
        <f>Database!$A8096</f>
        <v/>
      </c>
      <c r="B6011">
        <f>IF(VLOOKUP(Table7[[#This Row],[Date]],Database!$A:$C,MATCH($B$1,Database!$A$1:$C$1,),)=0,#N/A,VLOOKUP(Table7[[#This Row],[Date]],Database!$A:$C,MATCH($B$1,Database!$A$1:$C$1,),))</f>
        <v/>
      </c>
      <c r="C6011">
        <f>IF(VLOOKUP(Table7[[#This Row],[Date]],Database!$A:$C,MATCH($C$1,Database!$A$1:$C$1,),)=0,#N/A,VLOOKUP(Table7[[#This Row],[Date]],Database!$A:$C,MATCH($C$1,Database!$A$1:$C$1,),))</f>
        <v/>
      </c>
      <c r="D6011">
        <f>IFERROR(Table7[[#This Row],[United States 10y]]-Table7[[#This Row],[United States 3y]],#N/A)</f>
        <v/>
      </c>
    </row>
    <row r="6012">
      <c r="A6012" s="6">
        <f>Database!$A8097</f>
        <v/>
      </c>
      <c r="B6012">
        <f>IF(VLOOKUP(Table7[[#This Row],[Date]],Database!$A:$C,MATCH($B$1,Database!$A$1:$C$1,),)=0,#N/A,VLOOKUP(Table7[[#This Row],[Date]],Database!$A:$C,MATCH($B$1,Database!$A$1:$C$1,),))</f>
        <v/>
      </c>
      <c r="C6012">
        <f>IF(VLOOKUP(Table7[[#This Row],[Date]],Database!$A:$C,MATCH($C$1,Database!$A$1:$C$1,),)=0,#N/A,VLOOKUP(Table7[[#This Row],[Date]],Database!$A:$C,MATCH($C$1,Database!$A$1:$C$1,),))</f>
        <v/>
      </c>
      <c r="D6012">
        <f>IFERROR(Table7[[#This Row],[United States 10y]]-Table7[[#This Row],[United States 3y]],#N/A)</f>
        <v/>
      </c>
    </row>
    <row r="6013">
      <c r="A6013" s="6">
        <f>Database!$A8098</f>
        <v/>
      </c>
      <c r="B6013">
        <f>IF(VLOOKUP(Table7[[#This Row],[Date]],Database!$A:$C,MATCH($B$1,Database!$A$1:$C$1,),)=0,#N/A,VLOOKUP(Table7[[#This Row],[Date]],Database!$A:$C,MATCH($B$1,Database!$A$1:$C$1,),))</f>
        <v/>
      </c>
      <c r="C6013">
        <f>IF(VLOOKUP(Table7[[#This Row],[Date]],Database!$A:$C,MATCH($C$1,Database!$A$1:$C$1,),)=0,#N/A,VLOOKUP(Table7[[#This Row],[Date]],Database!$A:$C,MATCH($C$1,Database!$A$1:$C$1,),))</f>
        <v/>
      </c>
      <c r="D6013">
        <f>IFERROR(Table7[[#This Row],[United States 10y]]-Table7[[#This Row],[United States 3y]],#N/A)</f>
        <v/>
      </c>
    </row>
    <row r="6014">
      <c r="A6014" s="6">
        <f>Database!$A8099</f>
        <v/>
      </c>
      <c r="B6014">
        <f>IF(VLOOKUP(Table7[[#This Row],[Date]],Database!$A:$C,MATCH($B$1,Database!$A$1:$C$1,),)=0,#N/A,VLOOKUP(Table7[[#This Row],[Date]],Database!$A:$C,MATCH($B$1,Database!$A$1:$C$1,),))</f>
        <v/>
      </c>
      <c r="C6014">
        <f>IF(VLOOKUP(Table7[[#This Row],[Date]],Database!$A:$C,MATCH($C$1,Database!$A$1:$C$1,),)=0,#N/A,VLOOKUP(Table7[[#This Row],[Date]],Database!$A:$C,MATCH($C$1,Database!$A$1:$C$1,),))</f>
        <v/>
      </c>
      <c r="D6014">
        <f>IFERROR(Table7[[#This Row],[United States 10y]]-Table7[[#This Row],[United States 3y]],#N/A)</f>
        <v/>
      </c>
    </row>
    <row r="6015">
      <c r="A6015" s="6">
        <f>Database!$A8100</f>
        <v/>
      </c>
      <c r="B6015">
        <f>IF(VLOOKUP(Table7[[#This Row],[Date]],Database!$A:$C,MATCH($B$1,Database!$A$1:$C$1,),)=0,#N/A,VLOOKUP(Table7[[#This Row],[Date]],Database!$A:$C,MATCH($B$1,Database!$A$1:$C$1,),))</f>
        <v/>
      </c>
      <c r="C6015">
        <f>IF(VLOOKUP(Table7[[#This Row],[Date]],Database!$A:$C,MATCH($C$1,Database!$A$1:$C$1,),)=0,#N/A,VLOOKUP(Table7[[#This Row],[Date]],Database!$A:$C,MATCH($C$1,Database!$A$1:$C$1,),))</f>
        <v/>
      </c>
      <c r="D6015">
        <f>IFERROR(Table7[[#This Row],[United States 10y]]-Table7[[#This Row],[United States 3y]],#N/A)</f>
        <v/>
      </c>
    </row>
    <row r="6016">
      <c r="A6016" s="6">
        <f>Database!$A8101</f>
        <v/>
      </c>
      <c r="B6016">
        <f>IF(VLOOKUP(Table7[[#This Row],[Date]],Database!$A:$C,MATCH($B$1,Database!$A$1:$C$1,),)=0,#N/A,VLOOKUP(Table7[[#This Row],[Date]],Database!$A:$C,MATCH($B$1,Database!$A$1:$C$1,),))</f>
        <v/>
      </c>
      <c r="C6016">
        <f>IF(VLOOKUP(Table7[[#This Row],[Date]],Database!$A:$C,MATCH($C$1,Database!$A$1:$C$1,),)=0,#N/A,VLOOKUP(Table7[[#This Row],[Date]],Database!$A:$C,MATCH($C$1,Database!$A$1:$C$1,),))</f>
        <v/>
      </c>
      <c r="D6016">
        <f>IFERROR(Table7[[#This Row],[United States 10y]]-Table7[[#This Row],[United States 3y]],#N/A)</f>
        <v/>
      </c>
    </row>
    <row r="6017">
      <c r="A6017" s="6">
        <f>Database!$A8102</f>
        <v/>
      </c>
      <c r="B6017">
        <f>IF(VLOOKUP(Table7[[#This Row],[Date]],Database!$A:$C,MATCH($B$1,Database!$A$1:$C$1,),)=0,#N/A,VLOOKUP(Table7[[#This Row],[Date]],Database!$A:$C,MATCH($B$1,Database!$A$1:$C$1,),))</f>
        <v/>
      </c>
      <c r="C6017">
        <f>IF(VLOOKUP(Table7[[#This Row],[Date]],Database!$A:$C,MATCH($C$1,Database!$A$1:$C$1,),)=0,#N/A,VLOOKUP(Table7[[#This Row],[Date]],Database!$A:$C,MATCH($C$1,Database!$A$1:$C$1,),))</f>
        <v/>
      </c>
      <c r="D6017">
        <f>IFERROR(Table7[[#This Row],[United States 10y]]-Table7[[#This Row],[United States 3y]],#N/A)</f>
        <v/>
      </c>
    </row>
    <row r="6018">
      <c r="A6018" s="6">
        <f>Database!$A8103</f>
        <v/>
      </c>
      <c r="B6018">
        <f>IF(VLOOKUP(Table7[[#This Row],[Date]],Database!$A:$C,MATCH($B$1,Database!$A$1:$C$1,),)=0,#N/A,VLOOKUP(Table7[[#This Row],[Date]],Database!$A:$C,MATCH($B$1,Database!$A$1:$C$1,),))</f>
        <v/>
      </c>
      <c r="C6018">
        <f>IF(VLOOKUP(Table7[[#This Row],[Date]],Database!$A:$C,MATCH($C$1,Database!$A$1:$C$1,),)=0,#N/A,VLOOKUP(Table7[[#This Row],[Date]],Database!$A:$C,MATCH($C$1,Database!$A$1:$C$1,),))</f>
        <v/>
      </c>
      <c r="D6018">
        <f>IFERROR(Table7[[#This Row],[United States 10y]]-Table7[[#This Row],[United States 3y]],#N/A)</f>
        <v/>
      </c>
    </row>
    <row r="6019">
      <c r="A6019" s="6">
        <f>Database!$A8104</f>
        <v/>
      </c>
      <c r="B6019">
        <f>IF(VLOOKUP(Table7[[#This Row],[Date]],Database!$A:$C,MATCH($B$1,Database!$A$1:$C$1,),)=0,#N/A,VLOOKUP(Table7[[#This Row],[Date]],Database!$A:$C,MATCH($B$1,Database!$A$1:$C$1,),))</f>
        <v/>
      </c>
      <c r="C6019">
        <f>IF(VLOOKUP(Table7[[#This Row],[Date]],Database!$A:$C,MATCH($C$1,Database!$A$1:$C$1,),)=0,#N/A,VLOOKUP(Table7[[#This Row],[Date]],Database!$A:$C,MATCH($C$1,Database!$A$1:$C$1,),))</f>
        <v/>
      </c>
      <c r="D6019">
        <f>IFERROR(Table7[[#This Row],[United States 10y]]-Table7[[#This Row],[United States 3y]],#N/A)</f>
        <v/>
      </c>
    </row>
    <row r="6020">
      <c r="A6020" s="6">
        <f>Database!$A8105</f>
        <v/>
      </c>
      <c r="B6020">
        <f>IF(VLOOKUP(Table7[[#This Row],[Date]],Database!$A:$C,MATCH($B$1,Database!$A$1:$C$1,),)=0,#N/A,VLOOKUP(Table7[[#This Row],[Date]],Database!$A:$C,MATCH($B$1,Database!$A$1:$C$1,),))</f>
        <v/>
      </c>
      <c r="C6020">
        <f>IF(VLOOKUP(Table7[[#This Row],[Date]],Database!$A:$C,MATCH($C$1,Database!$A$1:$C$1,),)=0,#N/A,VLOOKUP(Table7[[#This Row],[Date]],Database!$A:$C,MATCH($C$1,Database!$A$1:$C$1,),))</f>
        <v/>
      </c>
      <c r="D6020">
        <f>IFERROR(Table7[[#This Row],[United States 10y]]-Table7[[#This Row],[United States 3y]],#N/A)</f>
        <v/>
      </c>
    </row>
    <row r="6021">
      <c r="A6021" s="6">
        <f>Database!$A8106</f>
        <v/>
      </c>
      <c r="B6021">
        <f>IF(VLOOKUP(Table7[[#This Row],[Date]],Database!$A:$C,MATCH($B$1,Database!$A$1:$C$1,),)=0,#N/A,VLOOKUP(Table7[[#This Row],[Date]],Database!$A:$C,MATCH($B$1,Database!$A$1:$C$1,),))</f>
        <v/>
      </c>
      <c r="C6021">
        <f>IF(VLOOKUP(Table7[[#This Row],[Date]],Database!$A:$C,MATCH($C$1,Database!$A$1:$C$1,),)=0,#N/A,VLOOKUP(Table7[[#This Row],[Date]],Database!$A:$C,MATCH($C$1,Database!$A$1:$C$1,),))</f>
        <v/>
      </c>
      <c r="D6021">
        <f>IFERROR(Table7[[#This Row],[United States 10y]]-Table7[[#This Row],[United States 3y]],#N/A)</f>
        <v/>
      </c>
    </row>
    <row r="6022">
      <c r="A6022" s="6">
        <f>Database!$A8107</f>
        <v/>
      </c>
      <c r="B6022">
        <f>IF(VLOOKUP(Table7[[#This Row],[Date]],Database!$A:$C,MATCH($B$1,Database!$A$1:$C$1,),)=0,#N/A,VLOOKUP(Table7[[#This Row],[Date]],Database!$A:$C,MATCH($B$1,Database!$A$1:$C$1,),))</f>
        <v/>
      </c>
      <c r="C6022">
        <f>IF(VLOOKUP(Table7[[#This Row],[Date]],Database!$A:$C,MATCH($C$1,Database!$A$1:$C$1,),)=0,#N/A,VLOOKUP(Table7[[#This Row],[Date]],Database!$A:$C,MATCH($C$1,Database!$A$1:$C$1,),))</f>
        <v/>
      </c>
      <c r="D6022">
        <f>IFERROR(Table7[[#This Row],[United States 10y]]-Table7[[#This Row],[United States 3y]],#N/A)</f>
        <v/>
      </c>
    </row>
    <row r="6023">
      <c r="A6023" s="6">
        <f>Database!$A8108</f>
        <v/>
      </c>
      <c r="B6023">
        <f>IF(VLOOKUP(Table7[[#This Row],[Date]],Database!$A:$C,MATCH($B$1,Database!$A$1:$C$1,),)=0,#N/A,VLOOKUP(Table7[[#This Row],[Date]],Database!$A:$C,MATCH($B$1,Database!$A$1:$C$1,),))</f>
        <v/>
      </c>
      <c r="C6023">
        <f>IF(VLOOKUP(Table7[[#This Row],[Date]],Database!$A:$C,MATCH($C$1,Database!$A$1:$C$1,),)=0,#N/A,VLOOKUP(Table7[[#This Row],[Date]],Database!$A:$C,MATCH($C$1,Database!$A$1:$C$1,),))</f>
        <v/>
      </c>
      <c r="D6023">
        <f>IFERROR(Table7[[#This Row],[United States 10y]]-Table7[[#This Row],[United States 3y]],#N/A)</f>
        <v/>
      </c>
    </row>
    <row r="6024">
      <c r="A6024" s="6">
        <f>Database!$A8109</f>
        <v/>
      </c>
      <c r="B6024">
        <f>IF(VLOOKUP(Table7[[#This Row],[Date]],Database!$A:$C,MATCH($B$1,Database!$A$1:$C$1,),)=0,#N/A,VLOOKUP(Table7[[#This Row],[Date]],Database!$A:$C,MATCH($B$1,Database!$A$1:$C$1,),))</f>
        <v/>
      </c>
      <c r="C6024">
        <f>IF(VLOOKUP(Table7[[#This Row],[Date]],Database!$A:$C,MATCH($C$1,Database!$A$1:$C$1,),)=0,#N/A,VLOOKUP(Table7[[#This Row],[Date]],Database!$A:$C,MATCH($C$1,Database!$A$1:$C$1,),))</f>
        <v/>
      </c>
      <c r="D6024">
        <f>IFERROR(Table7[[#This Row],[United States 10y]]-Table7[[#This Row],[United States 3y]],#N/A)</f>
        <v/>
      </c>
    </row>
    <row r="6025">
      <c r="A6025" s="6">
        <f>Database!$A8110</f>
        <v/>
      </c>
      <c r="B6025">
        <f>IF(VLOOKUP(Table7[[#This Row],[Date]],Database!$A:$C,MATCH($B$1,Database!$A$1:$C$1,),)=0,#N/A,VLOOKUP(Table7[[#This Row],[Date]],Database!$A:$C,MATCH($B$1,Database!$A$1:$C$1,),))</f>
        <v/>
      </c>
      <c r="C6025">
        <f>IF(VLOOKUP(Table7[[#This Row],[Date]],Database!$A:$C,MATCH($C$1,Database!$A$1:$C$1,),)=0,#N/A,VLOOKUP(Table7[[#This Row],[Date]],Database!$A:$C,MATCH($C$1,Database!$A$1:$C$1,),))</f>
        <v/>
      </c>
      <c r="D6025">
        <f>IFERROR(Table7[[#This Row],[United States 10y]]-Table7[[#This Row],[United States 3y]],#N/A)</f>
        <v/>
      </c>
    </row>
    <row r="6026">
      <c r="A6026" s="6">
        <f>Database!$A8111</f>
        <v/>
      </c>
      <c r="B6026">
        <f>IF(VLOOKUP(Table7[[#This Row],[Date]],Database!$A:$C,MATCH($B$1,Database!$A$1:$C$1,),)=0,#N/A,VLOOKUP(Table7[[#This Row],[Date]],Database!$A:$C,MATCH($B$1,Database!$A$1:$C$1,),))</f>
        <v/>
      </c>
      <c r="C6026">
        <f>IF(VLOOKUP(Table7[[#This Row],[Date]],Database!$A:$C,MATCH($C$1,Database!$A$1:$C$1,),)=0,#N/A,VLOOKUP(Table7[[#This Row],[Date]],Database!$A:$C,MATCH($C$1,Database!$A$1:$C$1,),))</f>
        <v/>
      </c>
      <c r="D6026">
        <f>IFERROR(Table7[[#This Row],[United States 10y]]-Table7[[#This Row],[United States 3y]],#N/A)</f>
        <v/>
      </c>
    </row>
    <row r="6027">
      <c r="A6027" s="6">
        <f>Database!$A8112</f>
        <v/>
      </c>
      <c r="B6027">
        <f>IF(VLOOKUP(Table7[[#This Row],[Date]],Database!$A:$C,MATCH($B$1,Database!$A$1:$C$1,),)=0,#N/A,VLOOKUP(Table7[[#This Row],[Date]],Database!$A:$C,MATCH($B$1,Database!$A$1:$C$1,),))</f>
        <v/>
      </c>
      <c r="C6027">
        <f>IF(VLOOKUP(Table7[[#This Row],[Date]],Database!$A:$C,MATCH($C$1,Database!$A$1:$C$1,),)=0,#N/A,VLOOKUP(Table7[[#This Row],[Date]],Database!$A:$C,MATCH($C$1,Database!$A$1:$C$1,),))</f>
        <v/>
      </c>
      <c r="D6027">
        <f>IFERROR(Table7[[#This Row],[United States 10y]]-Table7[[#This Row],[United States 3y]],#N/A)</f>
        <v/>
      </c>
    </row>
    <row r="6028">
      <c r="A6028" s="6">
        <f>Database!$A8113</f>
        <v/>
      </c>
      <c r="B6028">
        <f>IF(VLOOKUP(Table7[[#This Row],[Date]],Database!$A:$C,MATCH($B$1,Database!$A$1:$C$1,),)=0,#N/A,VLOOKUP(Table7[[#This Row],[Date]],Database!$A:$C,MATCH($B$1,Database!$A$1:$C$1,),))</f>
        <v/>
      </c>
      <c r="C6028">
        <f>IF(VLOOKUP(Table7[[#This Row],[Date]],Database!$A:$C,MATCH($C$1,Database!$A$1:$C$1,),)=0,#N/A,VLOOKUP(Table7[[#This Row],[Date]],Database!$A:$C,MATCH($C$1,Database!$A$1:$C$1,),))</f>
        <v/>
      </c>
      <c r="D6028">
        <f>IFERROR(Table7[[#This Row],[United States 10y]]-Table7[[#This Row],[United States 3y]],#N/A)</f>
        <v/>
      </c>
    </row>
    <row r="6029">
      <c r="A6029" s="6">
        <f>Database!$A8114</f>
        <v/>
      </c>
      <c r="B6029">
        <f>IF(VLOOKUP(Table7[[#This Row],[Date]],Database!$A:$C,MATCH($B$1,Database!$A$1:$C$1,),)=0,#N/A,VLOOKUP(Table7[[#This Row],[Date]],Database!$A:$C,MATCH($B$1,Database!$A$1:$C$1,),))</f>
        <v/>
      </c>
      <c r="C6029">
        <f>IF(VLOOKUP(Table7[[#This Row],[Date]],Database!$A:$C,MATCH($C$1,Database!$A$1:$C$1,),)=0,#N/A,VLOOKUP(Table7[[#This Row],[Date]],Database!$A:$C,MATCH($C$1,Database!$A$1:$C$1,),))</f>
        <v/>
      </c>
      <c r="D6029">
        <f>IFERROR(Table7[[#This Row],[United States 10y]]-Table7[[#This Row],[United States 3y]],#N/A)</f>
        <v/>
      </c>
    </row>
    <row r="6030">
      <c r="A6030" s="6">
        <f>Database!$A8115</f>
        <v/>
      </c>
      <c r="B6030">
        <f>IF(VLOOKUP(Table7[[#This Row],[Date]],Database!$A:$C,MATCH($B$1,Database!$A$1:$C$1,),)=0,#N/A,VLOOKUP(Table7[[#This Row],[Date]],Database!$A:$C,MATCH($B$1,Database!$A$1:$C$1,),))</f>
        <v/>
      </c>
      <c r="C6030">
        <f>IF(VLOOKUP(Table7[[#This Row],[Date]],Database!$A:$C,MATCH($C$1,Database!$A$1:$C$1,),)=0,#N/A,VLOOKUP(Table7[[#This Row],[Date]],Database!$A:$C,MATCH($C$1,Database!$A$1:$C$1,),))</f>
        <v/>
      </c>
      <c r="D6030">
        <f>IFERROR(Table7[[#This Row],[United States 10y]]-Table7[[#This Row],[United States 3y]],#N/A)</f>
        <v/>
      </c>
    </row>
    <row r="6031">
      <c r="A6031" s="6">
        <f>Database!$A8116</f>
        <v/>
      </c>
      <c r="B6031">
        <f>IF(VLOOKUP(Table7[[#This Row],[Date]],Database!$A:$C,MATCH($B$1,Database!$A$1:$C$1,),)=0,#N/A,VLOOKUP(Table7[[#This Row],[Date]],Database!$A:$C,MATCH($B$1,Database!$A$1:$C$1,),))</f>
        <v/>
      </c>
      <c r="C6031">
        <f>IF(VLOOKUP(Table7[[#This Row],[Date]],Database!$A:$C,MATCH($C$1,Database!$A$1:$C$1,),)=0,#N/A,VLOOKUP(Table7[[#This Row],[Date]],Database!$A:$C,MATCH($C$1,Database!$A$1:$C$1,),))</f>
        <v/>
      </c>
      <c r="D6031">
        <f>IFERROR(Table7[[#This Row],[United States 10y]]-Table7[[#This Row],[United States 3y]],#N/A)</f>
        <v/>
      </c>
    </row>
    <row r="6032">
      <c r="A6032" s="6">
        <f>Database!$A8117</f>
        <v/>
      </c>
      <c r="B6032">
        <f>IF(VLOOKUP(Table7[[#This Row],[Date]],Database!$A:$C,MATCH($B$1,Database!$A$1:$C$1,),)=0,#N/A,VLOOKUP(Table7[[#This Row],[Date]],Database!$A:$C,MATCH($B$1,Database!$A$1:$C$1,),))</f>
        <v/>
      </c>
      <c r="C6032">
        <f>IF(VLOOKUP(Table7[[#This Row],[Date]],Database!$A:$C,MATCH($C$1,Database!$A$1:$C$1,),)=0,#N/A,VLOOKUP(Table7[[#This Row],[Date]],Database!$A:$C,MATCH($C$1,Database!$A$1:$C$1,),))</f>
        <v/>
      </c>
      <c r="D6032">
        <f>IFERROR(Table7[[#This Row],[United States 10y]]-Table7[[#This Row],[United States 3y]],#N/A)</f>
        <v/>
      </c>
    </row>
    <row r="6033">
      <c r="A6033" s="6">
        <f>Database!$A8118</f>
        <v/>
      </c>
      <c r="B6033">
        <f>IF(VLOOKUP(Table7[[#This Row],[Date]],Database!$A:$C,MATCH($B$1,Database!$A$1:$C$1,),)=0,#N/A,VLOOKUP(Table7[[#This Row],[Date]],Database!$A:$C,MATCH($B$1,Database!$A$1:$C$1,),))</f>
        <v/>
      </c>
      <c r="C6033">
        <f>IF(VLOOKUP(Table7[[#This Row],[Date]],Database!$A:$C,MATCH($C$1,Database!$A$1:$C$1,),)=0,#N/A,VLOOKUP(Table7[[#This Row],[Date]],Database!$A:$C,MATCH($C$1,Database!$A$1:$C$1,),))</f>
        <v/>
      </c>
      <c r="D6033">
        <f>IFERROR(Table7[[#This Row],[United States 10y]]-Table7[[#This Row],[United States 3y]],#N/A)</f>
        <v/>
      </c>
    </row>
    <row r="6034">
      <c r="A6034" s="6">
        <f>Database!$A8119</f>
        <v/>
      </c>
      <c r="B6034">
        <f>IF(VLOOKUP(Table7[[#This Row],[Date]],Database!$A:$C,MATCH($B$1,Database!$A$1:$C$1,),)=0,#N/A,VLOOKUP(Table7[[#This Row],[Date]],Database!$A:$C,MATCH($B$1,Database!$A$1:$C$1,),))</f>
        <v/>
      </c>
      <c r="C6034">
        <f>IF(VLOOKUP(Table7[[#This Row],[Date]],Database!$A:$C,MATCH($C$1,Database!$A$1:$C$1,),)=0,#N/A,VLOOKUP(Table7[[#This Row],[Date]],Database!$A:$C,MATCH($C$1,Database!$A$1:$C$1,),))</f>
        <v/>
      </c>
      <c r="D6034">
        <f>IFERROR(Table7[[#This Row],[United States 10y]]-Table7[[#This Row],[United States 3y]],#N/A)</f>
        <v/>
      </c>
    </row>
    <row r="6035">
      <c r="A6035" s="6">
        <f>Database!$A8120</f>
        <v/>
      </c>
      <c r="B6035">
        <f>IF(VLOOKUP(Table7[[#This Row],[Date]],Database!$A:$C,MATCH($B$1,Database!$A$1:$C$1,),)=0,#N/A,VLOOKUP(Table7[[#This Row],[Date]],Database!$A:$C,MATCH($B$1,Database!$A$1:$C$1,),))</f>
        <v/>
      </c>
      <c r="C6035">
        <f>IF(VLOOKUP(Table7[[#This Row],[Date]],Database!$A:$C,MATCH($C$1,Database!$A$1:$C$1,),)=0,#N/A,VLOOKUP(Table7[[#This Row],[Date]],Database!$A:$C,MATCH($C$1,Database!$A$1:$C$1,),))</f>
        <v/>
      </c>
      <c r="D6035">
        <f>IFERROR(Table7[[#This Row],[United States 10y]]-Table7[[#This Row],[United States 3y]],#N/A)</f>
        <v/>
      </c>
    </row>
    <row r="6036">
      <c r="A6036" s="6">
        <f>Database!$A8121</f>
        <v/>
      </c>
      <c r="B6036">
        <f>IF(VLOOKUP(Table7[[#This Row],[Date]],Database!$A:$C,MATCH($B$1,Database!$A$1:$C$1,),)=0,#N/A,VLOOKUP(Table7[[#This Row],[Date]],Database!$A:$C,MATCH($B$1,Database!$A$1:$C$1,),))</f>
        <v/>
      </c>
      <c r="C6036">
        <f>IF(VLOOKUP(Table7[[#This Row],[Date]],Database!$A:$C,MATCH($C$1,Database!$A$1:$C$1,),)=0,#N/A,VLOOKUP(Table7[[#This Row],[Date]],Database!$A:$C,MATCH($C$1,Database!$A$1:$C$1,),))</f>
        <v/>
      </c>
      <c r="D6036">
        <f>IFERROR(Table7[[#This Row],[United States 10y]]-Table7[[#This Row],[United States 3y]],#N/A)</f>
        <v/>
      </c>
    </row>
    <row r="6037">
      <c r="A6037" s="6">
        <f>Database!$A8122</f>
        <v/>
      </c>
      <c r="B6037">
        <f>IF(VLOOKUP(Table7[[#This Row],[Date]],Database!$A:$C,MATCH($B$1,Database!$A$1:$C$1,),)=0,#N/A,VLOOKUP(Table7[[#This Row],[Date]],Database!$A:$C,MATCH($B$1,Database!$A$1:$C$1,),))</f>
        <v/>
      </c>
      <c r="C6037">
        <f>IF(VLOOKUP(Table7[[#This Row],[Date]],Database!$A:$C,MATCH($C$1,Database!$A$1:$C$1,),)=0,#N/A,VLOOKUP(Table7[[#This Row],[Date]],Database!$A:$C,MATCH($C$1,Database!$A$1:$C$1,),))</f>
        <v/>
      </c>
      <c r="D6037">
        <f>IFERROR(Table7[[#This Row],[United States 10y]]-Table7[[#This Row],[United States 3y]],#N/A)</f>
        <v/>
      </c>
    </row>
    <row r="6038">
      <c r="A6038" s="6">
        <f>Database!$A8123</f>
        <v/>
      </c>
      <c r="B6038">
        <f>IF(VLOOKUP(Table7[[#This Row],[Date]],Database!$A:$C,MATCH($B$1,Database!$A$1:$C$1,),)=0,#N/A,VLOOKUP(Table7[[#This Row],[Date]],Database!$A:$C,MATCH($B$1,Database!$A$1:$C$1,),))</f>
        <v/>
      </c>
      <c r="C6038">
        <f>IF(VLOOKUP(Table7[[#This Row],[Date]],Database!$A:$C,MATCH($C$1,Database!$A$1:$C$1,),)=0,#N/A,VLOOKUP(Table7[[#This Row],[Date]],Database!$A:$C,MATCH($C$1,Database!$A$1:$C$1,),))</f>
        <v/>
      </c>
      <c r="D6038">
        <f>IFERROR(Table7[[#This Row],[United States 10y]]-Table7[[#This Row],[United States 3y]],#N/A)</f>
        <v/>
      </c>
    </row>
    <row r="6039">
      <c r="A6039" s="6">
        <f>Database!$A8124</f>
        <v/>
      </c>
      <c r="B6039">
        <f>IF(VLOOKUP(Table7[[#This Row],[Date]],Database!$A:$C,MATCH($B$1,Database!$A$1:$C$1,),)=0,#N/A,VLOOKUP(Table7[[#This Row],[Date]],Database!$A:$C,MATCH($B$1,Database!$A$1:$C$1,),))</f>
        <v/>
      </c>
      <c r="C6039">
        <f>IF(VLOOKUP(Table7[[#This Row],[Date]],Database!$A:$C,MATCH($C$1,Database!$A$1:$C$1,),)=0,#N/A,VLOOKUP(Table7[[#This Row],[Date]],Database!$A:$C,MATCH($C$1,Database!$A$1:$C$1,),))</f>
        <v/>
      </c>
      <c r="D6039">
        <f>IFERROR(Table7[[#This Row],[United States 10y]]-Table7[[#This Row],[United States 3y]],#N/A)</f>
        <v/>
      </c>
    </row>
    <row r="6040">
      <c r="A6040" s="6">
        <f>Database!$A8125</f>
        <v/>
      </c>
      <c r="B6040">
        <f>IF(VLOOKUP(Table7[[#This Row],[Date]],Database!$A:$C,MATCH($B$1,Database!$A$1:$C$1,),)=0,#N/A,VLOOKUP(Table7[[#This Row],[Date]],Database!$A:$C,MATCH($B$1,Database!$A$1:$C$1,),))</f>
        <v/>
      </c>
      <c r="C6040">
        <f>IF(VLOOKUP(Table7[[#This Row],[Date]],Database!$A:$C,MATCH($C$1,Database!$A$1:$C$1,),)=0,#N/A,VLOOKUP(Table7[[#This Row],[Date]],Database!$A:$C,MATCH($C$1,Database!$A$1:$C$1,),))</f>
        <v/>
      </c>
      <c r="D6040">
        <f>IFERROR(Table7[[#This Row],[United States 10y]]-Table7[[#This Row],[United States 3y]],#N/A)</f>
        <v/>
      </c>
    </row>
    <row r="6041">
      <c r="A6041" s="6">
        <f>Database!$A8126</f>
        <v/>
      </c>
      <c r="B6041">
        <f>IF(VLOOKUP(Table7[[#This Row],[Date]],Database!$A:$C,MATCH($B$1,Database!$A$1:$C$1,),)=0,#N/A,VLOOKUP(Table7[[#This Row],[Date]],Database!$A:$C,MATCH($B$1,Database!$A$1:$C$1,),))</f>
        <v/>
      </c>
      <c r="C6041">
        <f>IF(VLOOKUP(Table7[[#This Row],[Date]],Database!$A:$C,MATCH($C$1,Database!$A$1:$C$1,),)=0,#N/A,VLOOKUP(Table7[[#This Row],[Date]],Database!$A:$C,MATCH($C$1,Database!$A$1:$C$1,),))</f>
        <v/>
      </c>
      <c r="D6041">
        <f>IFERROR(Table7[[#This Row],[United States 10y]]-Table7[[#This Row],[United States 3y]],#N/A)</f>
        <v/>
      </c>
    </row>
    <row r="6042">
      <c r="A6042" s="6">
        <f>Database!$A8127</f>
        <v/>
      </c>
      <c r="B6042">
        <f>IF(VLOOKUP(Table7[[#This Row],[Date]],Database!$A:$C,MATCH($B$1,Database!$A$1:$C$1,),)=0,#N/A,VLOOKUP(Table7[[#This Row],[Date]],Database!$A:$C,MATCH($B$1,Database!$A$1:$C$1,),))</f>
        <v/>
      </c>
      <c r="C6042">
        <f>IF(VLOOKUP(Table7[[#This Row],[Date]],Database!$A:$C,MATCH($C$1,Database!$A$1:$C$1,),)=0,#N/A,VLOOKUP(Table7[[#This Row],[Date]],Database!$A:$C,MATCH($C$1,Database!$A$1:$C$1,),))</f>
        <v/>
      </c>
      <c r="D6042">
        <f>IFERROR(Table7[[#This Row],[United States 10y]]-Table7[[#This Row],[United States 3y]],#N/A)</f>
        <v/>
      </c>
    </row>
    <row r="6043">
      <c r="A6043" s="6">
        <f>Database!$A8128</f>
        <v/>
      </c>
      <c r="B6043">
        <f>IF(VLOOKUP(Table7[[#This Row],[Date]],Database!$A:$C,MATCH($B$1,Database!$A$1:$C$1,),)=0,#N/A,VLOOKUP(Table7[[#This Row],[Date]],Database!$A:$C,MATCH($B$1,Database!$A$1:$C$1,),))</f>
        <v/>
      </c>
      <c r="C6043">
        <f>IF(VLOOKUP(Table7[[#This Row],[Date]],Database!$A:$C,MATCH($C$1,Database!$A$1:$C$1,),)=0,#N/A,VLOOKUP(Table7[[#This Row],[Date]],Database!$A:$C,MATCH($C$1,Database!$A$1:$C$1,),))</f>
        <v/>
      </c>
      <c r="D6043">
        <f>IFERROR(Table7[[#This Row],[United States 10y]]-Table7[[#This Row],[United States 3y]],#N/A)</f>
        <v/>
      </c>
    </row>
    <row r="6044">
      <c r="A6044" s="6">
        <f>Database!$A8129</f>
        <v/>
      </c>
      <c r="B6044">
        <f>IF(VLOOKUP(Table7[[#This Row],[Date]],Database!$A:$C,MATCH($B$1,Database!$A$1:$C$1,),)=0,#N/A,VLOOKUP(Table7[[#This Row],[Date]],Database!$A:$C,MATCH($B$1,Database!$A$1:$C$1,),))</f>
        <v/>
      </c>
      <c r="C6044">
        <f>IF(VLOOKUP(Table7[[#This Row],[Date]],Database!$A:$C,MATCH($C$1,Database!$A$1:$C$1,),)=0,#N/A,VLOOKUP(Table7[[#This Row],[Date]],Database!$A:$C,MATCH($C$1,Database!$A$1:$C$1,),))</f>
        <v/>
      </c>
      <c r="D6044">
        <f>IFERROR(Table7[[#This Row],[United States 10y]]-Table7[[#This Row],[United States 3y]],#N/A)</f>
        <v/>
      </c>
    </row>
    <row r="6045">
      <c r="A6045" s="6">
        <f>Database!$A8130</f>
        <v/>
      </c>
      <c r="B6045">
        <f>IF(VLOOKUP(Table7[[#This Row],[Date]],Database!$A:$C,MATCH($B$1,Database!$A$1:$C$1,),)=0,#N/A,VLOOKUP(Table7[[#This Row],[Date]],Database!$A:$C,MATCH($B$1,Database!$A$1:$C$1,),))</f>
        <v/>
      </c>
      <c r="C6045">
        <f>IF(VLOOKUP(Table7[[#This Row],[Date]],Database!$A:$C,MATCH($C$1,Database!$A$1:$C$1,),)=0,#N/A,VLOOKUP(Table7[[#This Row],[Date]],Database!$A:$C,MATCH($C$1,Database!$A$1:$C$1,),))</f>
        <v/>
      </c>
      <c r="D6045">
        <f>IFERROR(Table7[[#This Row],[United States 10y]]-Table7[[#This Row],[United States 3y]],#N/A)</f>
        <v/>
      </c>
    </row>
    <row r="6046">
      <c r="A6046" s="6">
        <f>Database!$A8131</f>
        <v/>
      </c>
      <c r="B6046">
        <f>IF(VLOOKUP(Table7[[#This Row],[Date]],Database!$A:$C,MATCH($B$1,Database!$A$1:$C$1,),)=0,#N/A,VLOOKUP(Table7[[#This Row],[Date]],Database!$A:$C,MATCH($B$1,Database!$A$1:$C$1,),))</f>
        <v/>
      </c>
      <c r="C6046">
        <f>IF(VLOOKUP(Table7[[#This Row],[Date]],Database!$A:$C,MATCH($C$1,Database!$A$1:$C$1,),)=0,#N/A,VLOOKUP(Table7[[#This Row],[Date]],Database!$A:$C,MATCH($C$1,Database!$A$1:$C$1,),))</f>
        <v/>
      </c>
      <c r="D6046">
        <f>IFERROR(Table7[[#This Row],[United States 10y]]-Table7[[#This Row],[United States 3y]],#N/A)</f>
        <v/>
      </c>
    </row>
    <row r="6047">
      <c r="A6047" s="6">
        <f>Database!$A8132</f>
        <v/>
      </c>
      <c r="B6047">
        <f>IF(VLOOKUP(Table7[[#This Row],[Date]],Database!$A:$C,MATCH($B$1,Database!$A$1:$C$1,),)=0,#N/A,VLOOKUP(Table7[[#This Row],[Date]],Database!$A:$C,MATCH($B$1,Database!$A$1:$C$1,),))</f>
        <v/>
      </c>
      <c r="C6047">
        <f>IF(VLOOKUP(Table7[[#This Row],[Date]],Database!$A:$C,MATCH($C$1,Database!$A$1:$C$1,),)=0,#N/A,VLOOKUP(Table7[[#This Row],[Date]],Database!$A:$C,MATCH($C$1,Database!$A$1:$C$1,),))</f>
        <v/>
      </c>
      <c r="D6047">
        <f>IFERROR(Table7[[#This Row],[United States 10y]]-Table7[[#This Row],[United States 3y]],#N/A)</f>
        <v/>
      </c>
    </row>
    <row r="6048">
      <c r="A6048" s="6">
        <f>Database!$A8133</f>
        <v/>
      </c>
      <c r="B6048">
        <f>IF(VLOOKUP(Table7[[#This Row],[Date]],Database!$A:$C,MATCH($B$1,Database!$A$1:$C$1,),)=0,#N/A,VLOOKUP(Table7[[#This Row],[Date]],Database!$A:$C,MATCH($B$1,Database!$A$1:$C$1,),))</f>
        <v/>
      </c>
      <c r="C6048">
        <f>IF(VLOOKUP(Table7[[#This Row],[Date]],Database!$A:$C,MATCH($C$1,Database!$A$1:$C$1,),)=0,#N/A,VLOOKUP(Table7[[#This Row],[Date]],Database!$A:$C,MATCH($C$1,Database!$A$1:$C$1,),))</f>
        <v/>
      </c>
      <c r="D6048">
        <f>IFERROR(Table7[[#This Row],[United States 10y]]-Table7[[#This Row],[United States 3y]],#N/A)</f>
        <v/>
      </c>
    </row>
    <row r="6049">
      <c r="A6049" s="6">
        <f>Database!$A8134</f>
        <v/>
      </c>
      <c r="B6049">
        <f>IF(VLOOKUP(Table7[[#This Row],[Date]],Database!$A:$C,MATCH($B$1,Database!$A$1:$C$1,),)=0,#N/A,VLOOKUP(Table7[[#This Row],[Date]],Database!$A:$C,MATCH($B$1,Database!$A$1:$C$1,),))</f>
        <v/>
      </c>
      <c r="C6049">
        <f>IF(VLOOKUP(Table7[[#This Row],[Date]],Database!$A:$C,MATCH($C$1,Database!$A$1:$C$1,),)=0,#N/A,VLOOKUP(Table7[[#This Row],[Date]],Database!$A:$C,MATCH($C$1,Database!$A$1:$C$1,),))</f>
        <v/>
      </c>
      <c r="D6049">
        <f>IFERROR(Table7[[#This Row],[United States 10y]]-Table7[[#This Row],[United States 3y]],#N/A)</f>
        <v/>
      </c>
    </row>
    <row r="6050">
      <c r="A6050" s="6">
        <f>Database!$A8135</f>
        <v/>
      </c>
      <c r="B6050">
        <f>IF(VLOOKUP(Table7[[#This Row],[Date]],Database!$A:$C,MATCH($B$1,Database!$A$1:$C$1,),)=0,#N/A,VLOOKUP(Table7[[#This Row],[Date]],Database!$A:$C,MATCH($B$1,Database!$A$1:$C$1,),))</f>
        <v/>
      </c>
      <c r="C6050">
        <f>IF(VLOOKUP(Table7[[#This Row],[Date]],Database!$A:$C,MATCH($C$1,Database!$A$1:$C$1,),)=0,#N/A,VLOOKUP(Table7[[#This Row],[Date]],Database!$A:$C,MATCH($C$1,Database!$A$1:$C$1,),))</f>
        <v/>
      </c>
      <c r="D6050">
        <f>IFERROR(Table7[[#This Row],[United States 10y]]-Table7[[#This Row],[United States 3y]],#N/A)</f>
        <v/>
      </c>
    </row>
    <row r="6051">
      <c r="A6051" s="6">
        <f>Database!$A8136</f>
        <v/>
      </c>
      <c r="B6051">
        <f>IF(VLOOKUP(Table7[[#This Row],[Date]],Database!$A:$C,MATCH($B$1,Database!$A$1:$C$1,),)=0,#N/A,VLOOKUP(Table7[[#This Row],[Date]],Database!$A:$C,MATCH($B$1,Database!$A$1:$C$1,),))</f>
        <v/>
      </c>
      <c r="C6051">
        <f>IF(VLOOKUP(Table7[[#This Row],[Date]],Database!$A:$C,MATCH($C$1,Database!$A$1:$C$1,),)=0,#N/A,VLOOKUP(Table7[[#This Row],[Date]],Database!$A:$C,MATCH($C$1,Database!$A$1:$C$1,),))</f>
        <v/>
      </c>
      <c r="D6051">
        <f>IFERROR(Table7[[#This Row],[United States 10y]]-Table7[[#This Row],[United States 3y]],#N/A)</f>
        <v/>
      </c>
    </row>
    <row r="6052">
      <c r="A6052" s="6">
        <f>Database!$A8137</f>
        <v/>
      </c>
      <c r="B6052">
        <f>IF(VLOOKUP(Table7[[#This Row],[Date]],Database!$A:$C,MATCH($B$1,Database!$A$1:$C$1,),)=0,#N/A,VLOOKUP(Table7[[#This Row],[Date]],Database!$A:$C,MATCH($B$1,Database!$A$1:$C$1,),))</f>
        <v/>
      </c>
      <c r="C6052">
        <f>IF(VLOOKUP(Table7[[#This Row],[Date]],Database!$A:$C,MATCH($C$1,Database!$A$1:$C$1,),)=0,#N/A,VLOOKUP(Table7[[#This Row],[Date]],Database!$A:$C,MATCH($C$1,Database!$A$1:$C$1,),))</f>
        <v/>
      </c>
      <c r="D6052">
        <f>IFERROR(Table7[[#This Row],[United States 10y]]-Table7[[#This Row],[United States 3y]],#N/A)</f>
        <v/>
      </c>
    </row>
    <row r="6053">
      <c r="A6053" s="6">
        <f>Database!$A8138</f>
        <v/>
      </c>
      <c r="B6053">
        <f>IF(VLOOKUP(Table7[[#This Row],[Date]],Database!$A:$C,MATCH($B$1,Database!$A$1:$C$1,),)=0,#N/A,VLOOKUP(Table7[[#This Row],[Date]],Database!$A:$C,MATCH($B$1,Database!$A$1:$C$1,),))</f>
        <v/>
      </c>
      <c r="C6053">
        <f>IF(VLOOKUP(Table7[[#This Row],[Date]],Database!$A:$C,MATCH($C$1,Database!$A$1:$C$1,),)=0,#N/A,VLOOKUP(Table7[[#This Row],[Date]],Database!$A:$C,MATCH($C$1,Database!$A$1:$C$1,),))</f>
        <v/>
      </c>
      <c r="D6053">
        <f>IFERROR(Table7[[#This Row],[United States 10y]]-Table7[[#This Row],[United States 3y]],#N/A)</f>
        <v/>
      </c>
    </row>
    <row r="6054">
      <c r="A6054" s="6">
        <f>Database!$A8139</f>
        <v/>
      </c>
      <c r="B6054">
        <f>IF(VLOOKUP(Table7[[#This Row],[Date]],Database!$A:$C,MATCH($B$1,Database!$A$1:$C$1,),)=0,#N/A,VLOOKUP(Table7[[#This Row],[Date]],Database!$A:$C,MATCH($B$1,Database!$A$1:$C$1,),))</f>
        <v/>
      </c>
      <c r="C6054">
        <f>IF(VLOOKUP(Table7[[#This Row],[Date]],Database!$A:$C,MATCH($C$1,Database!$A$1:$C$1,),)=0,#N/A,VLOOKUP(Table7[[#This Row],[Date]],Database!$A:$C,MATCH($C$1,Database!$A$1:$C$1,),))</f>
        <v/>
      </c>
      <c r="D6054">
        <f>IFERROR(Table7[[#This Row],[United States 10y]]-Table7[[#This Row],[United States 3y]],#N/A)</f>
        <v/>
      </c>
    </row>
    <row r="6055">
      <c r="A6055" s="6">
        <f>Database!$A8140</f>
        <v/>
      </c>
      <c r="B6055">
        <f>IF(VLOOKUP(Table7[[#This Row],[Date]],Database!$A:$C,MATCH($B$1,Database!$A$1:$C$1,),)=0,#N/A,VLOOKUP(Table7[[#This Row],[Date]],Database!$A:$C,MATCH($B$1,Database!$A$1:$C$1,),))</f>
        <v/>
      </c>
      <c r="C6055">
        <f>IF(VLOOKUP(Table7[[#This Row],[Date]],Database!$A:$C,MATCH($C$1,Database!$A$1:$C$1,),)=0,#N/A,VLOOKUP(Table7[[#This Row],[Date]],Database!$A:$C,MATCH($C$1,Database!$A$1:$C$1,),))</f>
        <v/>
      </c>
      <c r="D6055">
        <f>IFERROR(Table7[[#This Row],[United States 10y]]-Table7[[#This Row],[United States 3y]],#N/A)</f>
        <v/>
      </c>
    </row>
    <row r="6056">
      <c r="A6056" s="6">
        <f>Database!$A8141</f>
        <v/>
      </c>
      <c r="B6056">
        <f>IF(VLOOKUP(Table7[[#This Row],[Date]],Database!$A:$C,MATCH($B$1,Database!$A$1:$C$1,),)=0,#N/A,VLOOKUP(Table7[[#This Row],[Date]],Database!$A:$C,MATCH($B$1,Database!$A$1:$C$1,),))</f>
        <v/>
      </c>
      <c r="C6056">
        <f>IF(VLOOKUP(Table7[[#This Row],[Date]],Database!$A:$C,MATCH($C$1,Database!$A$1:$C$1,),)=0,#N/A,VLOOKUP(Table7[[#This Row],[Date]],Database!$A:$C,MATCH($C$1,Database!$A$1:$C$1,),))</f>
        <v/>
      </c>
      <c r="D6056">
        <f>IFERROR(Table7[[#This Row],[United States 10y]]-Table7[[#This Row],[United States 3y]],#N/A)</f>
        <v/>
      </c>
    </row>
    <row r="6057">
      <c r="A6057" s="6">
        <f>Database!$A8142</f>
        <v/>
      </c>
      <c r="B6057">
        <f>IF(VLOOKUP(Table7[[#This Row],[Date]],Database!$A:$C,MATCH($B$1,Database!$A$1:$C$1,),)=0,#N/A,VLOOKUP(Table7[[#This Row],[Date]],Database!$A:$C,MATCH($B$1,Database!$A$1:$C$1,),))</f>
        <v/>
      </c>
      <c r="C6057">
        <f>IF(VLOOKUP(Table7[[#This Row],[Date]],Database!$A:$C,MATCH($C$1,Database!$A$1:$C$1,),)=0,#N/A,VLOOKUP(Table7[[#This Row],[Date]],Database!$A:$C,MATCH($C$1,Database!$A$1:$C$1,),))</f>
        <v/>
      </c>
      <c r="D6057">
        <f>IFERROR(Table7[[#This Row],[United States 10y]]-Table7[[#This Row],[United States 3y]],#N/A)</f>
        <v/>
      </c>
    </row>
    <row r="6058">
      <c r="A6058" s="6">
        <f>Database!$A8143</f>
        <v/>
      </c>
      <c r="B6058">
        <f>IF(VLOOKUP(Table7[[#This Row],[Date]],Database!$A:$C,MATCH($B$1,Database!$A$1:$C$1,),)=0,#N/A,VLOOKUP(Table7[[#This Row],[Date]],Database!$A:$C,MATCH($B$1,Database!$A$1:$C$1,),))</f>
        <v/>
      </c>
      <c r="C6058">
        <f>IF(VLOOKUP(Table7[[#This Row],[Date]],Database!$A:$C,MATCH($C$1,Database!$A$1:$C$1,),)=0,#N/A,VLOOKUP(Table7[[#This Row],[Date]],Database!$A:$C,MATCH($C$1,Database!$A$1:$C$1,),))</f>
        <v/>
      </c>
      <c r="D6058">
        <f>IFERROR(Table7[[#This Row],[United States 10y]]-Table7[[#This Row],[United States 3y]],#N/A)</f>
        <v/>
      </c>
    </row>
    <row r="6059">
      <c r="A6059" s="6">
        <f>Database!$A8144</f>
        <v/>
      </c>
      <c r="B6059">
        <f>IF(VLOOKUP(Table7[[#This Row],[Date]],Database!$A:$C,MATCH($B$1,Database!$A$1:$C$1,),)=0,#N/A,VLOOKUP(Table7[[#This Row],[Date]],Database!$A:$C,MATCH($B$1,Database!$A$1:$C$1,),))</f>
        <v/>
      </c>
      <c r="C6059">
        <f>IF(VLOOKUP(Table7[[#This Row],[Date]],Database!$A:$C,MATCH($C$1,Database!$A$1:$C$1,),)=0,#N/A,VLOOKUP(Table7[[#This Row],[Date]],Database!$A:$C,MATCH($C$1,Database!$A$1:$C$1,),))</f>
        <v/>
      </c>
      <c r="D6059">
        <f>IFERROR(Table7[[#This Row],[United States 10y]]-Table7[[#This Row],[United States 3y]],#N/A)</f>
        <v/>
      </c>
    </row>
    <row r="6060">
      <c r="A6060" s="6">
        <f>Database!$A8145</f>
        <v/>
      </c>
      <c r="B6060">
        <f>IF(VLOOKUP(Table7[[#This Row],[Date]],Database!$A:$C,MATCH($B$1,Database!$A$1:$C$1,),)=0,#N/A,VLOOKUP(Table7[[#This Row],[Date]],Database!$A:$C,MATCH($B$1,Database!$A$1:$C$1,),))</f>
        <v/>
      </c>
      <c r="C6060">
        <f>IF(VLOOKUP(Table7[[#This Row],[Date]],Database!$A:$C,MATCH($C$1,Database!$A$1:$C$1,),)=0,#N/A,VLOOKUP(Table7[[#This Row],[Date]],Database!$A:$C,MATCH($C$1,Database!$A$1:$C$1,),))</f>
        <v/>
      </c>
      <c r="D6060">
        <f>IFERROR(Table7[[#This Row],[United States 10y]]-Table7[[#This Row],[United States 3y]],#N/A)</f>
        <v/>
      </c>
    </row>
    <row r="6061">
      <c r="A6061" s="6">
        <f>Database!$A8146</f>
        <v/>
      </c>
      <c r="B6061">
        <f>IF(VLOOKUP(Table7[[#This Row],[Date]],Database!$A:$C,MATCH($B$1,Database!$A$1:$C$1,),)=0,#N/A,VLOOKUP(Table7[[#This Row],[Date]],Database!$A:$C,MATCH($B$1,Database!$A$1:$C$1,),))</f>
        <v/>
      </c>
      <c r="C6061">
        <f>IF(VLOOKUP(Table7[[#This Row],[Date]],Database!$A:$C,MATCH($C$1,Database!$A$1:$C$1,),)=0,#N/A,VLOOKUP(Table7[[#This Row],[Date]],Database!$A:$C,MATCH($C$1,Database!$A$1:$C$1,),))</f>
        <v/>
      </c>
      <c r="D6061">
        <f>IFERROR(Table7[[#This Row],[United States 10y]]-Table7[[#This Row],[United States 3y]],#N/A)</f>
        <v/>
      </c>
    </row>
    <row r="6062">
      <c r="A6062" s="6">
        <f>Database!$A8147</f>
        <v/>
      </c>
      <c r="B6062">
        <f>IF(VLOOKUP(Table7[[#This Row],[Date]],Database!$A:$C,MATCH($B$1,Database!$A$1:$C$1,),)=0,#N/A,VLOOKUP(Table7[[#This Row],[Date]],Database!$A:$C,MATCH($B$1,Database!$A$1:$C$1,),))</f>
        <v/>
      </c>
      <c r="C6062">
        <f>IF(VLOOKUP(Table7[[#This Row],[Date]],Database!$A:$C,MATCH($C$1,Database!$A$1:$C$1,),)=0,#N/A,VLOOKUP(Table7[[#This Row],[Date]],Database!$A:$C,MATCH($C$1,Database!$A$1:$C$1,),))</f>
        <v/>
      </c>
      <c r="D6062">
        <f>IFERROR(Table7[[#This Row],[United States 10y]]-Table7[[#This Row],[United States 3y]],#N/A)</f>
        <v/>
      </c>
    </row>
    <row r="6063">
      <c r="A6063" s="6">
        <f>Database!$A8148</f>
        <v/>
      </c>
      <c r="B6063">
        <f>IF(VLOOKUP(Table7[[#This Row],[Date]],Database!$A:$C,MATCH($B$1,Database!$A$1:$C$1,),)=0,#N/A,VLOOKUP(Table7[[#This Row],[Date]],Database!$A:$C,MATCH($B$1,Database!$A$1:$C$1,),))</f>
        <v/>
      </c>
      <c r="C6063">
        <f>IF(VLOOKUP(Table7[[#This Row],[Date]],Database!$A:$C,MATCH($C$1,Database!$A$1:$C$1,),)=0,#N/A,VLOOKUP(Table7[[#This Row],[Date]],Database!$A:$C,MATCH($C$1,Database!$A$1:$C$1,),))</f>
        <v/>
      </c>
      <c r="D6063">
        <f>IFERROR(Table7[[#This Row],[United States 10y]]-Table7[[#This Row],[United States 3y]],#N/A)</f>
        <v/>
      </c>
    </row>
    <row r="6064">
      <c r="A6064" s="6">
        <f>Database!$A8149</f>
        <v/>
      </c>
      <c r="B6064">
        <f>IF(VLOOKUP(Table7[[#This Row],[Date]],Database!$A:$C,MATCH($B$1,Database!$A$1:$C$1,),)=0,#N/A,VLOOKUP(Table7[[#This Row],[Date]],Database!$A:$C,MATCH($B$1,Database!$A$1:$C$1,),))</f>
        <v/>
      </c>
      <c r="C6064">
        <f>IF(VLOOKUP(Table7[[#This Row],[Date]],Database!$A:$C,MATCH($C$1,Database!$A$1:$C$1,),)=0,#N/A,VLOOKUP(Table7[[#This Row],[Date]],Database!$A:$C,MATCH($C$1,Database!$A$1:$C$1,),))</f>
        <v/>
      </c>
      <c r="D6064">
        <f>IFERROR(Table7[[#This Row],[United States 10y]]-Table7[[#This Row],[United States 3y]],#N/A)</f>
        <v/>
      </c>
    </row>
    <row r="6065">
      <c r="A6065" s="6">
        <f>Database!$A8150</f>
        <v/>
      </c>
      <c r="B6065">
        <f>IF(VLOOKUP(Table7[[#This Row],[Date]],Database!$A:$C,MATCH($B$1,Database!$A$1:$C$1,),)=0,#N/A,VLOOKUP(Table7[[#This Row],[Date]],Database!$A:$C,MATCH($B$1,Database!$A$1:$C$1,),))</f>
        <v/>
      </c>
      <c r="C6065">
        <f>IF(VLOOKUP(Table7[[#This Row],[Date]],Database!$A:$C,MATCH($C$1,Database!$A$1:$C$1,),)=0,#N/A,VLOOKUP(Table7[[#This Row],[Date]],Database!$A:$C,MATCH($C$1,Database!$A$1:$C$1,),))</f>
        <v/>
      </c>
      <c r="D6065">
        <f>IFERROR(Table7[[#This Row],[United States 10y]]-Table7[[#This Row],[United States 3y]],#N/A)</f>
        <v/>
      </c>
    </row>
    <row r="6066">
      <c r="A6066" s="6">
        <f>Database!$A8151</f>
        <v/>
      </c>
      <c r="B6066">
        <f>IF(VLOOKUP(Table7[[#This Row],[Date]],Database!$A:$C,MATCH($B$1,Database!$A$1:$C$1,),)=0,#N/A,VLOOKUP(Table7[[#This Row],[Date]],Database!$A:$C,MATCH($B$1,Database!$A$1:$C$1,),))</f>
        <v/>
      </c>
      <c r="C6066">
        <f>IF(VLOOKUP(Table7[[#This Row],[Date]],Database!$A:$C,MATCH($C$1,Database!$A$1:$C$1,),)=0,#N/A,VLOOKUP(Table7[[#This Row],[Date]],Database!$A:$C,MATCH($C$1,Database!$A$1:$C$1,),))</f>
        <v/>
      </c>
      <c r="D6066">
        <f>IFERROR(Table7[[#This Row],[United States 10y]]-Table7[[#This Row],[United States 3y]],#N/A)</f>
        <v/>
      </c>
    </row>
    <row r="6067">
      <c r="A6067" s="6">
        <f>Database!$A8152</f>
        <v/>
      </c>
      <c r="B6067">
        <f>IF(VLOOKUP(Table7[[#This Row],[Date]],Database!$A:$C,MATCH($B$1,Database!$A$1:$C$1,),)=0,#N/A,VLOOKUP(Table7[[#This Row],[Date]],Database!$A:$C,MATCH($B$1,Database!$A$1:$C$1,),))</f>
        <v/>
      </c>
      <c r="C6067">
        <f>IF(VLOOKUP(Table7[[#This Row],[Date]],Database!$A:$C,MATCH($C$1,Database!$A$1:$C$1,),)=0,#N/A,VLOOKUP(Table7[[#This Row],[Date]],Database!$A:$C,MATCH($C$1,Database!$A$1:$C$1,),))</f>
        <v/>
      </c>
      <c r="D6067">
        <f>IFERROR(Table7[[#This Row],[United States 10y]]-Table7[[#This Row],[United States 3y]],#N/A)</f>
        <v/>
      </c>
    </row>
    <row r="6068">
      <c r="A6068" s="6">
        <f>Database!$A8153</f>
        <v/>
      </c>
      <c r="B6068">
        <f>IF(VLOOKUP(Table7[[#This Row],[Date]],Database!$A:$C,MATCH($B$1,Database!$A$1:$C$1,),)=0,#N/A,VLOOKUP(Table7[[#This Row],[Date]],Database!$A:$C,MATCH($B$1,Database!$A$1:$C$1,),))</f>
        <v/>
      </c>
      <c r="C6068">
        <f>IF(VLOOKUP(Table7[[#This Row],[Date]],Database!$A:$C,MATCH($C$1,Database!$A$1:$C$1,),)=0,#N/A,VLOOKUP(Table7[[#This Row],[Date]],Database!$A:$C,MATCH($C$1,Database!$A$1:$C$1,),))</f>
        <v/>
      </c>
      <c r="D6068">
        <f>IFERROR(Table7[[#This Row],[United States 10y]]-Table7[[#This Row],[United States 3y]],#N/A)</f>
        <v/>
      </c>
    </row>
    <row r="6069">
      <c r="A6069" s="6">
        <f>Database!$A8154</f>
        <v/>
      </c>
      <c r="B6069">
        <f>IF(VLOOKUP(Table7[[#This Row],[Date]],Database!$A:$C,MATCH($B$1,Database!$A$1:$C$1,),)=0,#N/A,VLOOKUP(Table7[[#This Row],[Date]],Database!$A:$C,MATCH($B$1,Database!$A$1:$C$1,),))</f>
        <v/>
      </c>
      <c r="C6069">
        <f>IF(VLOOKUP(Table7[[#This Row],[Date]],Database!$A:$C,MATCH($C$1,Database!$A$1:$C$1,),)=0,#N/A,VLOOKUP(Table7[[#This Row],[Date]],Database!$A:$C,MATCH($C$1,Database!$A$1:$C$1,),))</f>
        <v/>
      </c>
      <c r="D6069">
        <f>IFERROR(Table7[[#This Row],[United States 10y]]-Table7[[#This Row],[United States 3y]],#N/A)</f>
        <v/>
      </c>
    </row>
    <row r="6070">
      <c r="A6070" s="6">
        <f>Database!$A8155</f>
        <v/>
      </c>
      <c r="B6070">
        <f>IF(VLOOKUP(Table7[[#This Row],[Date]],Database!$A:$C,MATCH($B$1,Database!$A$1:$C$1,),)=0,#N/A,VLOOKUP(Table7[[#This Row],[Date]],Database!$A:$C,MATCH($B$1,Database!$A$1:$C$1,),))</f>
        <v/>
      </c>
      <c r="C6070">
        <f>IF(VLOOKUP(Table7[[#This Row],[Date]],Database!$A:$C,MATCH($C$1,Database!$A$1:$C$1,),)=0,#N/A,VLOOKUP(Table7[[#This Row],[Date]],Database!$A:$C,MATCH($C$1,Database!$A$1:$C$1,),))</f>
        <v/>
      </c>
      <c r="D6070">
        <f>IFERROR(Table7[[#This Row],[United States 10y]]-Table7[[#This Row],[United States 3y]],#N/A)</f>
        <v/>
      </c>
    </row>
    <row r="6071">
      <c r="A6071" s="6">
        <f>Database!$A8156</f>
        <v/>
      </c>
      <c r="B6071">
        <f>IF(VLOOKUP(Table7[[#This Row],[Date]],Database!$A:$C,MATCH($B$1,Database!$A$1:$C$1,),)=0,#N/A,VLOOKUP(Table7[[#This Row],[Date]],Database!$A:$C,MATCH($B$1,Database!$A$1:$C$1,),))</f>
        <v/>
      </c>
      <c r="C6071">
        <f>IF(VLOOKUP(Table7[[#This Row],[Date]],Database!$A:$C,MATCH($C$1,Database!$A$1:$C$1,),)=0,#N/A,VLOOKUP(Table7[[#This Row],[Date]],Database!$A:$C,MATCH($C$1,Database!$A$1:$C$1,),))</f>
        <v/>
      </c>
      <c r="D6071">
        <f>IFERROR(Table7[[#This Row],[United States 10y]]-Table7[[#This Row],[United States 3y]],#N/A)</f>
        <v/>
      </c>
    </row>
    <row r="6072">
      <c r="A6072" s="6">
        <f>Database!$A8157</f>
        <v/>
      </c>
      <c r="B6072">
        <f>IF(VLOOKUP(Table7[[#This Row],[Date]],Database!$A:$C,MATCH($B$1,Database!$A$1:$C$1,),)=0,#N/A,VLOOKUP(Table7[[#This Row],[Date]],Database!$A:$C,MATCH($B$1,Database!$A$1:$C$1,),))</f>
        <v/>
      </c>
      <c r="C6072">
        <f>IF(VLOOKUP(Table7[[#This Row],[Date]],Database!$A:$C,MATCH($C$1,Database!$A$1:$C$1,),)=0,#N/A,VLOOKUP(Table7[[#This Row],[Date]],Database!$A:$C,MATCH($C$1,Database!$A$1:$C$1,),))</f>
        <v/>
      </c>
      <c r="D6072">
        <f>IFERROR(Table7[[#This Row],[United States 10y]]-Table7[[#This Row],[United States 3y]],#N/A)</f>
        <v/>
      </c>
    </row>
    <row r="6073">
      <c r="A6073" s="6">
        <f>Database!$A8158</f>
        <v/>
      </c>
      <c r="B6073">
        <f>IF(VLOOKUP(Table7[[#This Row],[Date]],Database!$A:$C,MATCH($B$1,Database!$A$1:$C$1,),)=0,#N/A,VLOOKUP(Table7[[#This Row],[Date]],Database!$A:$C,MATCH($B$1,Database!$A$1:$C$1,),))</f>
        <v/>
      </c>
      <c r="C6073">
        <f>IF(VLOOKUP(Table7[[#This Row],[Date]],Database!$A:$C,MATCH($C$1,Database!$A$1:$C$1,),)=0,#N/A,VLOOKUP(Table7[[#This Row],[Date]],Database!$A:$C,MATCH($C$1,Database!$A$1:$C$1,),))</f>
        <v/>
      </c>
      <c r="D6073">
        <f>IFERROR(Table7[[#This Row],[United States 10y]]-Table7[[#This Row],[United States 3y]],#N/A)</f>
        <v/>
      </c>
    </row>
    <row r="6074">
      <c r="A6074" s="6">
        <f>Database!$A8159</f>
        <v/>
      </c>
      <c r="B6074">
        <f>IF(VLOOKUP(Table7[[#This Row],[Date]],Database!$A:$C,MATCH($B$1,Database!$A$1:$C$1,),)=0,#N/A,VLOOKUP(Table7[[#This Row],[Date]],Database!$A:$C,MATCH($B$1,Database!$A$1:$C$1,),))</f>
        <v/>
      </c>
      <c r="C6074">
        <f>IF(VLOOKUP(Table7[[#This Row],[Date]],Database!$A:$C,MATCH($C$1,Database!$A$1:$C$1,),)=0,#N/A,VLOOKUP(Table7[[#This Row],[Date]],Database!$A:$C,MATCH($C$1,Database!$A$1:$C$1,),))</f>
        <v/>
      </c>
      <c r="D6074">
        <f>IFERROR(Table7[[#This Row],[United States 10y]]-Table7[[#This Row],[United States 3y]],#N/A)</f>
        <v/>
      </c>
    </row>
    <row r="6075">
      <c r="A6075" s="6">
        <f>Database!$A8160</f>
        <v/>
      </c>
      <c r="B6075">
        <f>IF(VLOOKUP(Table7[[#This Row],[Date]],Database!$A:$C,MATCH($B$1,Database!$A$1:$C$1,),)=0,#N/A,VLOOKUP(Table7[[#This Row],[Date]],Database!$A:$C,MATCH($B$1,Database!$A$1:$C$1,),))</f>
        <v/>
      </c>
      <c r="C6075">
        <f>IF(VLOOKUP(Table7[[#This Row],[Date]],Database!$A:$C,MATCH($C$1,Database!$A$1:$C$1,),)=0,#N/A,VLOOKUP(Table7[[#This Row],[Date]],Database!$A:$C,MATCH($C$1,Database!$A$1:$C$1,),))</f>
        <v/>
      </c>
      <c r="D6075">
        <f>IFERROR(Table7[[#This Row],[United States 10y]]-Table7[[#This Row],[United States 3y]],#N/A)</f>
        <v/>
      </c>
    </row>
    <row r="6076">
      <c r="A6076" s="6">
        <f>Database!$A8161</f>
        <v/>
      </c>
      <c r="B6076">
        <f>IF(VLOOKUP(Table7[[#This Row],[Date]],Database!$A:$C,MATCH($B$1,Database!$A$1:$C$1,),)=0,#N/A,VLOOKUP(Table7[[#This Row],[Date]],Database!$A:$C,MATCH($B$1,Database!$A$1:$C$1,),))</f>
        <v/>
      </c>
      <c r="C6076">
        <f>IF(VLOOKUP(Table7[[#This Row],[Date]],Database!$A:$C,MATCH($C$1,Database!$A$1:$C$1,),)=0,#N/A,VLOOKUP(Table7[[#This Row],[Date]],Database!$A:$C,MATCH($C$1,Database!$A$1:$C$1,),))</f>
        <v/>
      </c>
      <c r="D6076">
        <f>IFERROR(Table7[[#This Row],[United States 10y]]-Table7[[#This Row],[United States 3y]],#N/A)</f>
        <v/>
      </c>
    </row>
    <row r="6077">
      <c r="A6077" s="6">
        <f>Database!$A8162</f>
        <v/>
      </c>
      <c r="B6077">
        <f>IF(VLOOKUP(Table7[[#This Row],[Date]],Database!$A:$C,MATCH($B$1,Database!$A$1:$C$1,),)=0,#N/A,VLOOKUP(Table7[[#This Row],[Date]],Database!$A:$C,MATCH($B$1,Database!$A$1:$C$1,),))</f>
        <v/>
      </c>
      <c r="C6077">
        <f>IF(VLOOKUP(Table7[[#This Row],[Date]],Database!$A:$C,MATCH($C$1,Database!$A$1:$C$1,),)=0,#N/A,VLOOKUP(Table7[[#This Row],[Date]],Database!$A:$C,MATCH($C$1,Database!$A$1:$C$1,),))</f>
        <v/>
      </c>
      <c r="D6077">
        <f>IFERROR(Table7[[#This Row],[United States 10y]]-Table7[[#This Row],[United States 3y]],#N/A)</f>
        <v/>
      </c>
    </row>
    <row r="6078">
      <c r="A6078" s="6">
        <f>Database!$A8163</f>
        <v/>
      </c>
      <c r="B6078">
        <f>IF(VLOOKUP(Table7[[#This Row],[Date]],Database!$A:$C,MATCH($B$1,Database!$A$1:$C$1,),)=0,#N/A,VLOOKUP(Table7[[#This Row],[Date]],Database!$A:$C,MATCH($B$1,Database!$A$1:$C$1,),))</f>
        <v/>
      </c>
      <c r="C6078">
        <f>IF(VLOOKUP(Table7[[#This Row],[Date]],Database!$A:$C,MATCH($C$1,Database!$A$1:$C$1,),)=0,#N/A,VLOOKUP(Table7[[#This Row],[Date]],Database!$A:$C,MATCH($C$1,Database!$A$1:$C$1,),))</f>
        <v/>
      </c>
      <c r="D6078">
        <f>IFERROR(Table7[[#This Row],[United States 10y]]-Table7[[#This Row],[United States 3y]],#N/A)</f>
        <v/>
      </c>
    </row>
    <row r="6079">
      <c r="A6079" s="6">
        <f>Database!$A8164</f>
        <v/>
      </c>
      <c r="B6079">
        <f>IF(VLOOKUP(Table7[[#This Row],[Date]],Database!$A:$C,MATCH($B$1,Database!$A$1:$C$1,),)=0,#N/A,VLOOKUP(Table7[[#This Row],[Date]],Database!$A:$C,MATCH($B$1,Database!$A$1:$C$1,),))</f>
        <v/>
      </c>
      <c r="C6079">
        <f>IF(VLOOKUP(Table7[[#This Row],[Date]],Database!$A:$C,MATCH($C$1,Database!$A$1:$C$1,),)=0,#N/A,VLOOKUP(Table7[[#This Row],[Date]],Database!$A:$C,MATCH($C$1,Database!$A$1:$C$1,),))</f>
        <v/>
      </c>
      <c r="D6079">
        <f>IFERROR(Table7[[#This Row],[United States 10y]]-Table7[[#This Row],[United States 3y]],#N/A)</f>
        <v/>
      </c>
    </row>
    <row r="6080">
      <c r="A6080" s="6">
        <f>Database!$A8165</f>
        <v/>
      </c>
      <c r="B6080">
        <f>IF(VLOOKUP(Table7[[#This Row],[Date]],Database!$A:$C,MATCH($B$1,Database!$A$1:$C$1,),)=0,#N/A,VLOOKUP(Table7[[#This Row],[Date]],Database!$A:$C,MATCH($B$1,Database!$A$1:$C$1,),))</f>
        <v/>
      </c>
      <c r="C6080">
        <f>IF(VLOOKUP(Table7[[#This Row],[Date]],Database!$A:$C,MATCH($C$1,Database!$A$1:$C$1,),)=0,#N/A,VLOOKUP(Table7[[#This Row],[Date]],Database!$A:$C,MATCH($C$1,Database!$A$1:$C$1,),))</f>
        <v/>
      </c>
      <c r="D6080">
        <f>IFERROR(Table7[[#This Row],[United States 10y]]-Table7[[#This Row],[United States 3y]],#N/A)</f>
        <v/>
      </c>
    </row>
    <row r="6081">
      <c r="A6081" s="6">
        <f>Database!$A8166</f>
        <v/>
      </c>
      <c r="B6081">
        <f>IF(VLOOKUP(Table7[[#This Row],[Date]],Database!$A:$C,MATCH($B$1,Database!$A$1:$C$1,),)=0,#N/A,VLOOKUP(Table7[[#This Row],[Date]],Database!$A:$C,MATCH($B$1,Database!$A$1:$C$1,),))</f>
        <v/>
      </c>
      <c r="C6081">
        <f>IF(VLOOKUP(Table7[[#This Row],[Date]],Database!$A:$C,MATCH($C$1,Database!$A$1:$C$1,),)=0,#N/A,VLOOKUP(Table7[[#This Row],[Date]],Database!$A:$C,MATCH($C$1,Database!$A$1:$C$1,),))</f>
        <v/>
      </c>
      <c r="D6081">
        <f>IFERROR(Table7[[#This Row],[United States 10y]]-Table7[[#This Row],[United States 3y]],#N/A)</f>
        <v/>
      </c>
    </row>
    <row r="6082">
      <c r="A6082" s="6">
        <f>Database!$A8167</f>
        <v/>
      </c>
      <c r="B6082">
        <f>IF(VLOOKUP(Table7[[#This Row],[Date]],Database!$A:$C,MATCH($B$1,Database!$A$1:$C$1,),)=0,#N/A,VLOOKUP(Table7[[#This Row],[Date]],Database!$A:$C,MATCH($B$1,Database!$A$1:$C$1,),))</f>
        <v/>
      </c>
      <c r="C6082">
        <f>IF(VLOOKUP(Table7[[#This Row],[Date]],Database!$A:$C,MATCH($C$1,Database!$A$1:$C$1,),)=0,#N/A,VLOOKUP(Table7[[#This Row],[Date]],Database!$A:$C,MATCH($C$1,Database!$A$1:$C$1,),))</f>
        <v/>
      </c>
      <c r="D6082">
        <f>IFERROR(Table7[[#This Row],[United States 10y]]-Table7[[#This Row],[United States 3y]],#N/A)</f>
        <v/>
      </c>
    </row>
    <row r="6083">
      <c r="A6083" s="6">
        <f>Database!$A8168</f>
        <v/>
      </c>
      <c r="B6083">
        <f>IF(VLOOKUP(Table7[[#This Row],[Date]],Database!$A:$C,MATCH($B$1,Database!$A$1:$C$1,),)=0,#N/A,VLOOKUP(Table7[[#This Row],[Date]],Database!$A:$C,MATCH($B$1,Database!$A$1:$C$1,),))</f>
        <v/>
      </c>
      <c r="C6083">
        <f>IF(VLOOKUP(Table7[[#This Row],[Date]],Database!$A:$C,MATCH($C$1,Database!$A$1:$C$1,),)=0,#N/A,VLOOKUP(Table7[[#This Row],[Date]],Database!$A:$C,MATCH($C$1,Database!$A$1:$C$1,),))</f>
        <v/>
      </c>
      <c r="D6083">
        <f>IFERROR(Table7[[#This Row],[United States 10y]]-Table7[[#This Row],[United States 3y]],#N/A)</f>
        <v/>
      </c>
    </row>
    <row r="6084">
      <c r="A6084" s="6">
        <f>Database!$A8169</f>
        <v/>
      </c>
      <c r="B6084">
        <f>IF(VLOOKUP(Table7[[#This Row],[Date]],Database!$A:$C,MATCH($B$1,Database!$A$1:$C$1,),)=0,#N/A,VLOOKUP(Table7[[#This Row],[Date]],Database!$A:$C,MATCH($B$1,Database!$A$1:$C$1,),))</f>
        <v/>
      </c>
      <c r="C6084">
        <f>IF(VLOOKUP(Table7[[#This Row],[Date]],Database!$A:$C,MATCH($C$1,Database!$A$1:$C$1,),)=0,#N/A,VLOOKUP(Table7[[#This Row],[Date]],Database!$A:$C,MATCH($C$1,Database!$A$1:$C$1,),))</f>
        <v/>
      </c>
      <c r="D6084">
        <f>IFERROR(Table7[[#This Row],[United States 10y]]-Table7[[#This Row],[United States 3y]],#N/A)</f>
        <v/>
      </c>
    </row>
    <row r="6085">
      <c r="A6085" s="6">
        <f>Database!$A8170</f>
        <v/>
      </c>
      <c r="B6085">
        <f>IF(VLOOKUP(Table7[[#This Row],[Date]],Database!$A:$C,MATCH($B$1,Database!$A$1:$C$1,),)=0,#N/A,VLOOKUP(Table7[[#This Row],[Date]],Database!$A:$C,MATCH($B$1,Database!$A$1:$C$1,),))</f>
        <v/>
      </c>
      <c r="C6085">
        <f>IF(VLOOKUP(Table7[[#This Row],[Date]],Database!$A:$C,MATCH($C$1,Database!$A$1:$C$1,),)=0,#N/A,VLOOKUP(Table7[[#This Row],[Date]],Database!$A:$C,MATCH($C$1,Database!$A$1:$C$1,),))</f>
        <v/>
      </c>
      <c r="D6085">
        <f>IFERROR(Table7[[#This Row],[United States 10y]]-Table7[[#This Row],[United States 3y]],#N/A)</f>
        <v/>
      </c>
    </row>
    <row r="6086">
      <c r="A6086" s="6">
        <f>Database!$A8171</f>
        <v/>
      </c>
      <c r="B6086">
        <f>IF(VLOOKUP(Table7[[#This Row],[Date]],Database!$A:$C,MATCH($B$1,Database!$A$1:$C$1,),)=0,#N/A,VLOOKUP(Table7[[#This Row],[Date]],Database!$A:$C,MATCH($B$1,Database!$A$1:$C$1,),))</f>
        <v/>
      </c>
      <c r="C6086">
        <f>IF(VLOOKUP(Table7[[#This Row],[Date]],Database!$A:$C,MATCH($C$1,Database!$A$1:$C$1,),)=0,#N/A,VLOOKUP(Table7[[#This Row],[Date]],Database!$A:$C,MATCH($C$1,Database!$A$1:$C$1,),))</f>
        <v/>
      </c>
      <c r="D6086">
        <f>IFERROR(Table7[[#This Row],[United States 10y]]-Table7[[#This Row],[United States 3y]],#N/A)</f>
        <v/>
      </c>
    </row>
    <row r="6087">
      <c r="A6087" s="6">
        <f>Database!$A8172</f>
        <v/>
      </c>
      <c r="B6087">
        <f>IF(VLOOKUP(Table7[[#This Row],[Date]],Database!$A:$C,MATCH($B$1,Database!$A$1:$C$1,),)=0,#N/A,VLOOKUP(Table7[[#This Row],[Date]],Database!$A:$C,MATCH($B$1,Database!$A$1:$C$1,),))</f>
        <v/>
      </c>
      <c r="C6087">
        <f>IF(VLOOKUP(Table7[[#This Row],[Date]],Database!$A:$C,MATCH($C$1,Database!$A$1:$C$1,),)=0,#N/A,VLOOKUP(Table7[[#This Row],[Date]],Database!$A:$C,MATCH($C$1,Database!$A$1:$C$1,),))</f>
        <v/>
      </c>
      <c r="D6087">
        <f>IFERROR(Table7[[#This Row],[United States 10y]]-Table7[[#This Row],[United States 3y]],#N/A)</f>
        <v/>
      </c>
    </row>
    <row r="6088">
      <c r="A6088" s="6">
        <f>Database!$A8173</f>
        <v/>
      </c>
      <c r="B6088">
        <f>IF(VLOOKUP(Table7[[#This Row],[Date]],Database!$A:$C,MATCH($B$1,Database!$A$1:$C$1,),)=0,#N/A,VLOOKUP(Table7[[#This Row],[Date]],Database!$A:$C,MATCH($B$1,Database!$A$1:$C$1,),))</f>
        <v/>
      </c>
      <c r="C6088">
        <f>IF(VLOOKUP(Table7[[#This Row],[Date]],Database!$A:$C,MATCH($C$1,Database!$A$1:$C$1,),)=0,#N/A,VLOOKUP(Table7[[#This Row],[Date]],Database!$A:$C,MATCH($C$1,Database!$A$1:$C$1,),))</f>
        <v/>
      </c>
      <c r="D6088">
        <f>IFERROR(Table7[[#This Row],[United States 10y]]-Table7[[#This Row],[United States 3y]],#N/A)</f>
        <v/>
      </c>
    </row>
    <row r="6089">
      <c r="A6089" s="6">
        <f>Database!$A8174</f>
        <v/>
      </c>
      <c r="B6089">
        <f>IF(VLOOKUP(Table7[[#This Row],[Date]],Database!$A:$C,MATCH($B$1,Database!$A$1:$C$1,),)=0,#N/A,VLOOKUP(Table7[[#This Row],[Date]],Database!$A:$C,MATCH($B$1,Database!$A$1:$C$1,),))</f>
        <v/>
      </c>
      <c r="C6089">
        <f>IF(VLOOKUP(Table7[[#This Row],[Date]],Database!$A:$C,MATCH($C$1,Database!$A$1:$C$1,),)=0,#N/A,VLOOKUP(Table7[[#This Row],[Date]],Database!$A:$C,MATCH($C$1,Database!$A$1:$C$1,),))</f>
        <v/>
      </c>
      <c r="D6089">
        <f>IFERROR(Table7[[#This Row],[United States 10y]]-Table7[[#This Row],[United States 3y]],#N/A)</f>
        <v/>
      </c>
    </row>
    <row r="6090">
      <c r="A6090" s="6">
        <f>Database!$A8175</f>
        <v/>
      </c>
      <c r="B6090">
        <f>IF(VLOOKUP(Table7[[#This Row],[Date]],Database!$A:$C,MATCH($B$1,Database!$A$1:$C$1,),)=0,#N/A,VLOOKUP(Table7[[#This Row],[Date]],Database!$A:$C,MATCH($B$1,Database!$A$1:$C$1,),))</f>
        <v/>
      </c>
      <c r="C6090">
        <f>IF(VLOOKUP(Table7[[#This Row],[Date]],Database!$A:$C,MATCH($C$1,Database!$A$1:$C$1,),)=0,#N/A,VLOOKUP(Table7[[#This Row],[Date]],Database!$A:$C,MATCH($C$1,Database!$A$1:$C$1,),))</f>
        <v/>
      </c>
      <c r="D6090">
        <f>IFERROR(Table7[[#This Row],[United States 10y]]-Table7[[#This Row],[United States 3y]],#N/A)</f>
        <v/>
      </c>
    </row>
    <row r="6091">
      <c r="A6091" s="6">
        <f>Database!$A8176</f>
        <v/>
      </c>
      <c r="B6091">
        <f>IF(VLOOKUP(Table7[[#This Row],[Date]],Database!$A:$C,MATCH($B$1,Database!$A$1:$C$1,),)=0,#N/A,VLOOKUP(Table7[[#This Row],[Date]],Database!$A:$C,MATCH($B$1,Database!$A$1:$C$1,),))</f>
        <v/>
      </c>
      <c r="C6091">
        <f>IF(VLOOKUP(Table7[[#This Row],[Date]],Database!$A:$C,MATCH($C$1,Database!$A$1:$C$1,),)=0,#N/A,VLOOKUP(Table7[[#This Row],[Date]],Database!$A:$C,MATCH($C$1,Database!$A$1:$C$1,),))</f>
        <v/>
      </c>
      <c r="D6091">
        <f>IFERROR(Table7[[#This Row],[United States 10y]]-Table7[[#This Row],[United States 3y]],#N/A)</f>
        <v/>
      </c>
    </row>
    <row r="6092">
      <c r="A6092" s="6">
        <f>Database!$A8177</f>
        <v/>
      </c>
      <c r="B6092">
        <f>IF(VLOOKUP(Table7[[#This Row],[Date]],Database!$A:$C,MATCH($B$1,Database!$A$1:$C$1,),)=0,#N/A,VLOOKUP(Table7[[#This Row],[Date]],Database!$A:$C,MATCH($B$1,Database!$A$1:$C$1,),))</f>
        <v/>
      </c>
      <c r="C6092">
        <f>IF(VLOOKUP(Table7[[#This Row],[Date]],Database!$A:$C,MATCH($C$1,Database!$A$1:$C$1,),)=0,#N/A,VLOOKUP(Table7[[#This Row],[Date]],Database!$A:$C,MATCH($C$1,Database!$A$1:$C$1,),))</f>
        <v/>
      </c>
      <c r="D6092">
        <f>IFERROR(Table7[[#This Row],[United States 10y]]-Table7[[#This Row],[United States 3y]],#N/A)</f>
        <v/>
      </c>
    </row>
    <row r="6093">
      <c r="A6093" s="6">
        <f>Database!$A8178</f>
        <v/>
      </c>
      <c r="B6093">
        <f>IF(VLOOKUP(Table7[[#This Row],[Date]],Database!$A:$C,MATCH($B$1,Database!$A$1:$C$1,),)=0,#N/A,VLOOKUP(Table7[[#This Row],[Date]],Database!$A:$C,MATCH($B$1,Database!$A$1:$C$1,),))</f>
        <v/>
      </c>
      <c r="C6093">
        <f>IF(VLOOKUP(Table7[[#This Row],[Date]],Database!$A:$C,MATCH($C$1,Database!$A$1:$C$1,),)=0,#N/A,VLOOKUP(Table7[[#This Row],[Date]],Database!$A:$C,MATCH($C$1,Database!$A$1:$C$1,),))</f>
        <v/>
      </c>
      <c r="D6093">
        <f>IFERROR(Table7[[#This Row],[United States 10y]]-Table7[[#This Row],[United States 3y]],#N/A)</f>
        <v/>
      </c>
    </row>
    <row r="6094">
      <c r="A6094" s="6">
        <f>Database!$A8179</f>
        <v/>
      </c>
      <c r="B6094">
        <f>IF(VLOOKUP(Table7[[#This Row],[Date]],Database!$A:$C,MATCH($B$1,Database!$A$1:$C$1,),)=0,#N/A,VLOOKUP(Table7[[#This Row],[Date]],Database!$A:$C,MATCH($B$1,Database!$A$1:$C$1,),))</f>
        <v/>
      </c>
      <c r="C6094">
        <f>IF(VLOOKUP(Table7[[#This Row],[Date]],Database!$A:$C,MATCH($C$1,Database!$A$1:$C$1,),)=0,#N/A,VLOOKUP(Table7[[#This Row],[Date]],Database!$A:$C,MATCH($C$1,Database!$A$1:$C$1,),))</f>
        <v/>
      </c>
      <c r="D6094">
        <f>IFERROR(Table7[[#This Row],[United States 10y]]-Table7[[#This Row],[United States 3y]],#N/A)</f>
        <v/>
      </c>
    </row>
    <row r="6095">
      <c r="A6095" s="6">
        <f>Database!$A8180</f>
        <v/>
      </c>
      <c r="B6095">
        <f>IF(VLOOKUP(Table7[[#This Row],[Date]],Database!$A:$C,MATCH($B$1,Database!$A$1:$C$1,),)=0,#N/A,VLOOKUP(Table7[[#This Row],[Date]],Database!$A:$C,MATCH($B$1,Database!$A$1:$C$1,),))</f>
        <v/>
      </c>
      <c r="C6095">
        <f>IF(VLOOKUP(Table7[[#This Row],[Date]],Database!$A:$C,MATCH($C$1,Database!$A$1:$C$1,),)=0,#N/A,VLOOKUP(Table7[[#This Row],[Date]],Database!$A:$C,MATCH($C$1,Database!$A$1:$C$1,),))</f>
        <v/>
      </c>
      <c r="D6095">
        <f>IFERROR(Table7[[#This Row],[United States 10y]]-Table7[[#This Row],[United States 3y]],#N/A)</f>
        <v/>
      </c>
    </row>
    <row r="6096">
      <c r="A6096" s="6">
        <f>Database!$A8181</f>
        <v/>
      </c>
      <c r="B6096">
        <f>IF(VLOOKUP(Table7[[#This Row],[Date]],Database!$A:$C,MATCH($B$1,Database!$A$1:$C$1,),)=0,#N/A,VLOOKUP(Table7[[#This Row],[Date]],Database!$A:$C,MATCH($B$1,Database!$A$1:$C$1,),))</f>
        <v/>
      </c>
      <c r="C6096">
        <f>IF(VLOOKUP(Table7[[#This Row],[Date]],Database!$A:$C,MATCH($C$1,Database!$A$1:$C$1,),)=0,#N/A,VLOOKUP(Table7[[#This Row],[Date]],Database!$A:$C,MATCH($C$1,Database!$A$1:$C$1,),))</f>
        <v/>
      </c>
      <c r="D6096">
        <f>IFERROR(Table7[[#This Row],[United States 10y]]-Table7[[#This Row],[United States 3y]],#N/A)</f>
        <v/>
      </c>
    </row>
    <row r="6097">
      <c r="A6097" s="6">
        <f>Database!$A8182</f>
        <v/>
      </c>
      <c r="B6097">
        <f>IF(VLOOKUP(Table7[[#This Row],[Date]],Database!$A:$C,MATCH($B$1,Database!$A$1:$C$1,),)=0,#N/A,VLOOKUP(Table7[[#This Row],[Date]],Database!$A:$C,MATCH($B$1,Database!$A$1:$C$1,),))</f>
        <v/>
      </c>
      <c r="C6097">
        <f>IF(VLOOKUP(Table7[[#This Row],[Date]],Database!$A:$C,MATCH($C$1,Database!$A$1:$C$1,),)=0,#N/A,VLOOKUP(Table7[[#This Row],[Date]],Database!$A:$C,MATCH($C$1,Database!$A$1:$C$1,),))</f>
        <v/>
      </c>
      <c r="D6097">
        <f>IFERROR(Table7[[#This Row],[United States 10y]]-Table7[[#This Row],[United States 3y]],#N/A)</f>
        <v/>
      </c>
    </row>
    <row r="6098">
      <c r="A6098" s="6">
        <f>Database!$A8183</f>
        <v/>
      </c>
      <c r="B6098">
        <f>IF(VLOOKUP(Table7[[#This Row],[Date]],Database!$A:$C,MATCH($B$1,Database!$A$1:$C$1,),)=0,#N/A,VLOOKUP(Table7[[#This Row],[Date]],Database!$A:$C,MATCH($B$1,Database!$A$1:$C$1,),))</f>
        <v/>
      </c>
      <c r="C6098">
        <f>IF(VLOOKUP(Table7[[#This Row],[Date]],Database!$A:$C,MATCH($C$1,Database!$A$1:$C$1,),)=0,#N/A,VLOOKUP(Table7[[#This Row],[Date]],Database!$A:$C,MATCH($C$1,Database!$A$1:$C$1,),))</f>
        <v/>
      </c>
      <c r="D6098">
        <f>IFERROR(Table7[[#This Row],[United States 10y]]-Table7[[#This Row],[United States 3y]],#N/A)</f>
        <v/>
      </c>
    </row>
    <row r="6099">
      <c r="A6099" s="6">
        <f>Database!$A8184</f>
        <v/>
      </c>
      <c r="B6099">
        <f>IF(VLOOKUP(Table7[[#This Row],[Date]],Database!$A:$C,MATCH($B$1,Database!$A$1:$C$1,),)=0,#N/A,VLOOKUP(Table7[[#This Row],[Date]],Database!$A:$C,MATCH($B$1,Database!$A$1:$C$1,),))</f>
        <v/>
      </c>
      <c r="C6099">
        <f>IF(VLOOKUP(Table7[[#This Row],[Date]],Database!$A:$C,MATCH($C$1,Database!$A$1:$C$1,),)=0,#N/A,VLOOKUP(Table7[[#This Row],[Date]],Database!$A:$C,MATCH($C$1,Database!$A$1:$C$1,),))</f>
        <v/>
      </c>
      <c r="D6099">
        <f>IFERROR(Table7[[#This Row],[United States 10y]]-Table7[[#This Row],[United States 3y]],#N/A)</f>
        <v/>
      </c>
    </row>
    <row r="6100">
      <c r="A6100" s="6">
        <f>Database!$A8185</f>
        <v/>
      </c>
      <c r="B6100">
        <f>IF(VLOOKUP(Table7[[#This Row],[Date]],Database!$A:$C,MATCH($B$1,Database!$A$1:$C$1,),)=0,#N/A,VLOOKUP(Table7[[#This Row],[Date]],Database!$A:$C,MATCH($B$1,Database!$A$1:$C$1,),))</f>
        <v/>
      </c>
      <c r="C6100">
        <f>IF(VLOOKUP(Table7[[#This Row],[Date]],Database!$A:$C,MATCH($C$1,Database!$A$1:$C$1,),)=0,#N/A,VLOOKUP(Table7[[#This Row],[Date]],Database!$A:$C,MATCH($C$1,Database!$A$1:$C$1,),))</f>
        <v/>
      </c>
      <c r="D6100">
        <f>IFERROR(Table7[[#This Row],[United States 10y]]-Table7[[#This Row],[United States 3y]],#N/A)</f>
        <v/>
      </c>
    </row>
    <row r="6101">
      <c r="A6101" s="6">
        <f>Database!$A8186</f>
        <v/>
      </c>
      <c r="B6101">
        <f>IF(VLOOKUP(Table7[[#This Row],[Date]],Database!$A:$C,MATCH($B$1,Database!$A$1:$C$1,),)=0,#N/A,VLOOKUP(Table7[[#This Row],[Date]],Database!$A:$C,MATCH($B$1,Database!$A$1:$C$1,),))</f>
        <v/>
      </c>
      <c r="C6101">
        <f>IF(VLOOKUP(Table7[[#This Row],[Date]],Database!$A:$C,MATCH($C$1,Database!$A$1:$C$1,),)=0,#N/A,VLOOKUP(Table7[[#This Row],[Date]],Database!$A:$C,MATCH($C$1,Database!$A$1:$C$1,),))</f>
        <v/>
      </c>
      <c r="D6101">
        <f>IFERROR(Table7[[#This Row],[United States 10y]]-Table7[[#This Row],[United States 3y]],#N/A)</f>
        <v/>
      </c>
    </row>
    <row r="6102">
      <c r="A6102" s="6">
        <f>Database!$A8187</f>
        <v/>
      </c>
      <c r="B6102">
        <f>IF(VLOOKUP(Table7[[#This Row],[Date]],Database!$A:$C,MATCH($B$1,Database!$A$1:$C$1,),)=0,#N/A,VLOOKUP(Table7[[#This Row],[Date]],Database!$A:$C,MATCH($B$1,Database!$A$1:$C$1,),))</f>
        <v/>
      </c>
      <c r="C6102">
        <f>IF(VLOOKUP(Table7[[#This Row],[Date]],Database!$A:$C,MATCH($C$1,Database!$A$1:$C$1,),)=0,#N/A,VLOOKUP(Table7[[#This Row],[Date]],Database!$A:$C,MATCH($C$1,Database!$A$1:$C$1,),))</f>
        <v/>
      </c>
      <c r="D6102">
        <f>IFERROR(Table7[[#This Row],[United States 10y]]-Table7[[#This Row],[United States 3y]],#N/A)</f>
        <v/>
      </c>
    </row>
    <row r="6103">
      <c r="A6103" s="6">
        <f>Database!$A8188</f>
        <v/>
      </c>
      <c r="B6103">
        <f>IF(VLOOKUP(Table7[[#This Row],[Date]],Database!$A:$C,MATCH($B$1,Database!$A$1:$C$1,),)=0,#N/A,VLOOKUP(Table7[[#This Row],[Date]],Database!$A:$C,MATCH($B$1,Database!$A$1:$C$1,),))</f>
        <v/>
      </c>
      <c r="C6103">
        <f>IF(VLOOKUP(Table7[[#This Row],[Date]],Database!$A:$C,MATCH($C$1,Database!$A$1:$C$1,),)=0,#N/A,VLOOKUP(Table7[[#This Row],[Date]],Database!$A:$C,MATCH($C$1,Database!$A$1:$C$1,),))</f>
        <v/>
      </c>
      <c r="D6103">
        <f>IFERROR(Table7[[#This Row],[United States 10y]]-Table7[[#This Row],[United States 3y]],#N/A)</f>
        <v/>
      </c>
    </row>
    <row r="6104">
      <c r="A6104" s="6">
        <f>Database!$A8189</f>
        <v/>
      </c>
      <c r="B6104">
        <f>IF(VLOOKUP(Table7[[#This Row],[Date]],Database!$A:$C,MATCH($B$1,Database!$A$1:$C$1,),)=0,#N/A,VLOOKUP(Table7[[#This Row],[Date]],Database!$A:$C,MATCH($B$1,Database!$A$1:$C$1,),))</f>
        <v/>
      </c>
      <c r="C6104">
        <f>IF(VLOOKUP(Table7[[#This Row],[Date]],Database!$A:$C,MATCH($C$1,Database!$A$1:$C$1,),)=0,#N/A,VLOOKUP(Table7[[#This Row],[Date]],Database!$A:$C,MATCH($C$1,Database!$A$1:$C$1,),))</f>
        <v/>
      </c>
      <c r="D6104">
        <f>IFERROR(Table7[[#This Row],[United States 10y]]-Table7[[#This Row],[United States 3y]],#N/A)</f>
        <v/>
      </c>
    </row>
    <row r="6105">
      <c r="A6105" s="6">
        <f>Database!$A8190</f>
        <v/>
      </c>
      <c r="B6105">
        <f>IF(VLOOKUP(Table7[[#This Row],[Date]],Database!$A:$C,MATCH($B$1,Database!$A$1:$C$1,),)=0,#N/A,VLOOKUP(Table7[[#This Row],[Date]],Database!$A:$C,MATCH($B$1,Database!$A$1:$C$1,),))</f>
        <v/>
      </c>
      <c r="C6105">
        <f>IF(VLOOKUP(Table7[[#This Row],[Date]],Database!$A:$C,MATCH($C$1,Database!$A$1:$C$1,),)=0,#N/A,VLOOKUP(Table7[[#This Row],[Date]],Database!$A:$C,MATCH($C$1,Database!$A$1:$C$1,),))</f>
        <v/>
      </c>
      <c r="D6105">
        <f>IFERROR(Table7[[#This Row],[United States 10y]]-Table7[[#This Row],[United States 3y]],#N/A)</f>
        <v/>
      </c>
    </row>
    <row r="6106">
      <c r="A6106" s="6">
        <f>Database!$A8191</f>
        <v/>
      </c>
      <c r="B6106">
        <f>IF(VLOOKUP(Table7[[#This Row],[Date]],Database!$A:$C,MATCH($B$1,Database!$A$1:$C$1,),)=0,#N/A,VLOOKUP(Table7[[#This Row],[Date]],Database!$A:$C,MATCH($B$1,Database!$A$1:$C$1,),))</f>
        <v/>
      </c>
      <c r="C6106">
        <f>IF(VLOOKUP(Table7[[#This Row],[Date]],Database!$A:$C,MATCH($C$1,Database!$A$1:$C$1,),)=0,#N/A,VLOOKUP(Table7[[#This Row],[Date]],Database!$A:$C,MATCH($C$1,Database!$A$1:$C$1,),))</f>
        <v/>
      </c>
      <c r="D6106">
        <f>IFERROR(Table7[[#This Row],[United States 10y]]-Table7[[#This Row],[United States 3y]],#N/A)</f>
        <v/>
      </c>
    </row>
    <row r="6107">
      <c r="A6107" s="6">
        <f>Database!$A8192</f>
        <v/>
      </c>
      <c r="B6107">
        <f>IF(VLOOKUP(Table7[[#This Row],[Date]],Database!$A:$C,MATCH($B$1,Database!$A$1:$C$1,),)=0,#N/A,VLOOKUP(Table7[[#This Row],[Date]],Database!$A:$C,MATCH($B$1,Database!$A$1:$C$1,),))</f>
        <v/>
      </c>
      <c r="C6107">
        <f>IF(VLOOKUP(Table7[[#This Row],[Date]],Database!$A:$C,MATCH($C$1,Database!$A$1:$C$1,),)=0,#N/A,VLOOKUP(Table7[[#This Row],[Date]],Database!$A:$C,MATCH($C$1,Database!$A$1:$C$1,),))</f>
        <v/>
      </c>
      <c r="D6107">
        <f>IFERROR(Table7[[#This Row],[United States 10y]]-Table7[[#This Row],[United States 3y]],#N/A)</f>
        <v/>
      </c>
    </row>
    <row r="6108">
      <c r="A6108" s="6">
        <f>Database!$A8193</f>
        <v/>
      </c>
      <c r="B6108">
        <f>IF(VLOOKUP(Table7[[#This Row],[Date]],Database!$A:$C,MATCH($B$1,Database!$A$1:$C$1,),)=0,#N/A,VLOOKUP(Table7[[#This Row],[Date]],Database!$A:$C,MATCH($B$1,Database!$A$1:$C$1,),))</f>
        <v/>
      </c>
      <c r="C6108">
        <f>IF(VLOOKUP(Table7[[#This Row],[Date]],Database!$A:$C,MATCH($C$1,Database!$A$1:$C$1,),)=0,#N/A,VLOOKUP(Table7[[#This Row],[Date]],Database!$A:$C,MATCH($C$1,Database!$A$1:$C$1,),))</f>
        <v/>
      </c>
      <c r="D6108">
        <f>IFERROR(Table7[[#This Row],[United States 10y]]-Table7[[#This Row],[United States 3y]],#N/A)</f>
        <v/>
      </c>
    </row>
    <row r="6109">
      <c r="A6109" s="6">
        <f>Database!$A8194</f>
        <v/>
      </c>
      <c r="B6109">
        <f>IF(VLOOKUP(Table7[[#This Row],[Date]],Database!$A:$C,MATCH($B$1,Database!$A$1:$C$1,),)=0,#N/A,VLOOKUP(Table7[[#This Row],[Date]],Database!$A:$C,MATCH($B$1,Database!$A$1:$C$1,),))</f>
        <v/>
      </c>
      <c r="C6109">
        <f>IF(VLOOKUP(Table7[[#This Row],[Date]],Database!$A:$C,MATCH($C$1,Database!$A$1:$C$1,),)=0,#N/A,VLOOKUP(Table7[[#This Row],[Date]],Database!$A:$C,MATCH($C$1,Database!$A$1:$C$1,),))</f>
        <v/>
      </c>
      <c r="D6109">
        <f>IFERROR(Table7[[#This Row],[United States 10y]]-Table7[[#This Row],[United States 3y]],#N/A)</f>
        <v/>
      </c>
    </row>
    <row r="6110">
      <c r="A6110" s="6">
        <f>Database!$A8195</f>
        <v/>
      </c>
      <c r="B6110">
        <f>IF(VLOOKUP(Table7[[#This Row],[Date]],Database!$A:$C,MATCH($B$1,Database!$A$1:$C$1,),)=0,#N/A,VLOOKUP(Table7[[#This Row],[Date]],Database!$A:$C,MATCH($B$1,Database!$A$1:$C$1,),))</f>
        <v/>
      </c>
      <c r="C6110">
        <f>IF(VLOOKUP(Table7[[#This Row],[Date]],Database!$A:$C,MATCH($C$1,Database!$A$1:$C$1,),)=0,#N/A,VLOOKUP(Table7[[#This Row],[Date]],Database!$A:$C,MATCH($C$1,Database!$A$1:$C$1,),))</f>
        <v/>
      </c>
      <c r="D6110">
        <f>IFERROR(Table7[[#This Row],[United States 10y]]-Table7[[#This Row],[United States 3y]],#N/A)</f>
        <v/>
      </c>
    </row>
    <row r="6111">
      <c r="A6111" s="6">
        <f>Database!$A8196</f>
        <v/>
      </c>
      <c r="B6111">
        <f>IF(VLOOKUP(Table7[[#This Row],[Date]],Database!$A:$C,MATCH($B$1,Database!$A$1:$C$1,),)=0,#N/A,VLOOKUP(Table7[[#This Row],[Date]],Database!$A:$C,MATCH($B$1,Database!$A$1:$C$1,),))</f>
        <v/>
      </c>
      <c r="C6111">
        <f>IF(VLOOKUP(Table7[[#This Row],[Date]],Database!$A:$C,MATCH($C$1,Database!$A$1:$C$1,),)=0,#N/A,VLOOKUP(Table7[[#This Row],[Date]],Database!$A:$C,MATCH($C$1,Database!$A$1:$C$1,),))</f>
        <v/>
      </c>
      <c r="D6111">
        <f>IFERROR(Table7[[#This Row],[United States 10y]]-Table7[[#This Row],[United States 3y]],#N/A)</f>
        <v/>
      </c>
    </row>
    <row r="6112">
      <c r="A6112" s="6">
        <f>Database!$A8197</f>
        <v/>
      </c>
      <c r="B6112">
        <f>IF(VLOOKUP(Table7[[#This Row],[Date]],Database!$A:$C,MATCH($B$1,Database!$A$1:$C$1,),)=0,#N/A,VLOOKUP(Table7[[#This Row],[Date]],Database!$A:$C,MATCH($B$1,Database!$A$1:$C$1,),))</f>
        <v/>
      </c>
      <c r="C6112">
        <f>IF(VLOOKUP(Table7[[#This Row],[Date]],Database!$A:$C,MATCH($C$1,Database!$A$1:$C$1,),)=0,#N/A,VLOOKUP(Table7[[#This Row],[Date]],Database!$A:$C,MATCH($C$1,Database!$A$1:$C$1,),))</f>
        <v/>
      </c>
      <c r="D6112">
        <f>IFERROR(Table7[[#This Row],[United States 10y]]-Table7[[#This Row],[United States 3y]],#N/A)</f>
        <v/>
      </c>
    </row>
    <row r="6113">
      <c r="A6113" s="6">
        <f>Database!$A8198</f>
        <v/>
      </c>
      <c r="B6113">
        <f>IF(VLOOKUP(Table7[[#This Row],[Date]],Database!$A:$C,MATCH($B$1,Database!$A$1:$C$1,),)=0,#N/A,VLOOKUP(Table7[[#This Row],[Date]],Database!$A:$C,MATCH($B$1,Database!$A$1:$C$1,),))</f>
        <v/>
      </c>
      <c r="C6113">
        <f>IF(VLOOKUP(Table7[[#This Row],[Date]],Database!$A:$C,MATCH($C$1,Database!$A$1:$C$1,),)=0,#N/A,VLOOKUP(Table7[[#This Row],[Date]],Database!$A:$C,MATCH($C$1,Database!$A$1:$C$1,),))</f>
        <v/>
      </c>
      <c r="D6113">
        <f>IFERROR(Table7[[#This Row],[United States 10y]]-Table7[[#This Row],[United States 3y]],#N/A)</f>
        <v/>
      </c>
    </row>
    <row r="6114">
      <c r="A6114" s="6">
        <f>Database!$A8199</f>
        <v/>
      </c>
      <c r="B6114">
        <f>IF(VLOOKUP(Table7[[#This Row],[Date]],Database!$A:$C,MATCH($B$1,Database!$A$1:$C$1,),)=0,#N/A,VLOOKUP(Table7[[#This Row],[Date]],Database!$A:$C,MATCH($B$1,Database!$A$1:$C$1,),))</f>
        <v/>
      </c>
      <c r="C6114">
        <f>IF(VLOOKUP(Table7[[#This Row],[Date]],Database!$A:$C,MATCH($C$1,Database!$A$1:$C$1,),)=0,#N/A,VLOOKUP(Table7[[#This Row],[Date]],Database!$A:$C,MATCH($C$1,Database!$A$1:$C$1,),))</f>
        <v/>
      </c>
      <c r="D6114">
        <f>IFERROR(Table7[[#This Row],[United States 10y]]-Table7[[#This Row],[United States 3y]],#N/A)</f>
        <v/>
      </c>
    </row>
    <row r="6115">
      <c r="A6115" s="6">
        <f>Database!$A8200</f>
        <v/>
      </c>
      <c r="B6115">
        <f>IF(VLOOKUP(Table7[[#This Row],[Date]],Database!$A:$C,MATCH($B$1,Database!$A$1:$C$1,),)=0,#N/A,VLOOKUP(Table7[[#This Row],[Date]],Database!$A:$C,MATCH($B$1,Database!$A$1:$C$1,),))</f>
        <v/>
      </c>
      <c r="C6115">
        <f>IF(VLOOKUP(Table7[[#This Row],[Date]],Database!$A:$C,MATCH($C$1,Database!$A$1:$C$1,),)=0,#N/A,VLOOKUP(Table7[[#This Row],[Date]],Database!$A:$C,MATCH($C$1,Database!$A$1:$C$1,),))</f>
        <v/>
      </c>
      <c r="D6115">
        <f>IFERROR(Table7[[#This Row],[United States 10y]]-Table7[[#This Row],[United States 3y]],#N/A)</f>
        <v/>
      </c>
    </row>
    <row r="6116">
      <c r="A6116" s="6">
        <f>Database!$A8201</f>
        <v/>
      </c>
      <c r="B6116">
        <f>IF(VLOOKUP(Table7[[#This Row],[Date]],Database!$A:$C,MATCH($B$1,Database!$A$1:$C$1,),)=0,#N/A,VLOOKUP(Table7[[#This Row],[Date]],Database!$A:$C,MATCH($B$1,Database!$A$1:$C$1,),))</f>
        <v/>
      </c>
      <c r="C6116">
        <f>IF(VLOOKUP(Table7[[#This Row],[Date]],Database!$A:$C,MATCH($C$1,Database!$A$1:$C$1,),)=0,#N/A,VLOOKUP(Table7[[#This Row],[Date]],Database!$A:$C,MATCH($C$1,Database!$A$1:$C$1,),))</f>
        <v/>
      </c>
      <c r="D6116">
        <f>IFERROR(Table7[[#This Row],[United States 10y]]-Table7[[#This Row],[United States 3y]],#N/A)</f>
        <v/>
      </c>
    </row>
    <row r="6117">
      <c r="A6117" s="6">
        <f>Database!$A8202</f>
        <v/>
      </c>
      <c r="B6117">
        <f>IF(VLOOKUP(Table7[[#This Row],[Date]],Database!$A:$C,MATCH($B$1,Database!$A$1:$C$1,),)=0,#N/A,VLOOKUP(Table7[[#This Row],[Date]],Database!$A:$C,MATCH($B$1,Database!$A$1:$C$1,),))</f>
        <v/>
      </c>
      <c r="C6117">
        <f>IF(VLOOKUP(Table7[[#This Row],[Date]],Database!$A:$C,MATCH($C$1,Database!$A$1:$C$1,),)=0,#N/A,VLOOKUP(Table7[[#This Row],[Date]],Database!$A:$C,MATCH($C$1,Database!$A$1:$C$1,),))</f>
        <v/>
      </c>
      <c r="D6117">
        <f>IFERROR(Table7[[#This Row],[United States 10y]]-Table7[[#This Row],[United States 3y]],#N/A)</f>
        <v/>
      </c>
    </row>
    <row r="6118">
      <c r="A6118" s="6">
        <f>Database!$A8203</f>
        <v/>
      </c>
      <c r="B6118">
        <f>IF(VLOOKUP(Table7[[#This Row],[Date]],Database!$A:$C,MATCH($B$1,Database!$A$1:$C$1,),)=0,#N/A,VLOOKUP(Table7[[#This Row],[Date]],Database!$A:$C,MATCH($B$1,Database!$A$1:$C$1,),))</f>
        <v/>
      </c>
      <c r="C6118">
        <f>IF(VLOOKUP(Table7[[#This Row],[Date]],Database!$A:$C,MATCH($C$1,Database!$A$1:$C$1,),)=0,#N/A,VLOOKUP(Table7[[#This Row],[Date]],Database!$A:$C,MATCH($C$1,Database!$A$1:$C$1,),))</f>
        <v/>
      </c>
      <c r="D6118">
        <f>IFERROR(Table7[[#This Row],[United States 10y]]-Table7[[#This Row],[United States 3y]],#N/A)</f>
        <v/>
      </c>
    </row>
    <row r="6119">
      <c r="A6119" s="6">
        <f>Database!$A8204</f>
        <v/>
      </c>
      <c r="B6119">
        <f>IF(VLOOKUP(Table7[[#This Row],[Date]],Database!$A:$C,MATCH($B$1,Database!$A$1:$C$1,),)=0,#N/A,VLOOKUP(Table7[[#This Row],[Date]],Database!$A:$C,MATCH($B$1,Database!$A$1:$C$1,),))</f>
        <v/>
      </c>
      <c r="C6119">
        <f>IF(VLOOKUP(Table7[[#This Row],[Date]],Database!$A:$C,MATCH($C$1,Database!$A$1:$C$1,),)=0,#N/A,VLOOKUP(Table7[[#This Row],[Date]],Database!$A:$C,MATCH($C$1,Database!$A$1:$C$1,),))</f>
        <v/>
      </c>
      <c r="D6119">
        <f>IFERROR(Table7[[#This Row],[United States 10y]]-Table7[[#This Row],[United States 3y]],#N/A)</f>
        <v/>
      </c>
    </row>
    <row r="6120">
      <c r="A6120" s="6">
        <f>Database!$A8205</f>
        <v/>
      </c>
      <c r="B6120">
        <f>IF(VLOOKUP(Table7[[#This Row],[Date]],Database!$A:$C,MATCH($B$1,Database!$A$1:$C$1,),)=0,#N/A,VLOOKUP(Table7[[#This Row],[Date]],Database!$A:$C,MATCH($B$1,Database!$A$1:$C$1,),))</f>
        <v/>
      </c>
      <c r="C6120">
        <f>IF(VLOOKUP(Table7[[#This Row],[Date]],Database!$A:$C,MATCH($C$1,Database!$A$1:$C$1,),)=0,#N/A,VLOOKUP(Table7[[#This Row],[Date]],Database!$A:$C,MATCH($C$1,Database!$A$1:$C$1,),))</f>
        <v/>
      </c>
      <c r="D6120">
        <f>IFERROR(Table7[[#This Row],[United States 10y]]-Table7[[#This Row],[United States 3y]],#N/A)</f>
        <v/>
      </c>
    </row>
    <row r="6121">
      <c r="A6121" s="6">
        <f>Database!$A8206</f>
        <v/>
      </c>
      <c r="B6121">
        <f>IF(VLOOKUP(Table7[[#This Row],[Date]],Database!$A:$C,MATCH($B$1,Database!$A$1:$C$1,),)=0,#N/A,VLOOKUP(Table7[[#This Row],[Date]],Database!$A:$C,MATCH($B$1,Database!$A$1:$C$1,),))</f>
        <v/>
      </c>
      <c r="C6121">
        <f>IF(VLOOKUP(Table7[[#This Row],[Date]],Database!$A:$C,MATCH($C$1,Database!$A$1:$C$1,),)=0,#N/A,VLOOKUP(Table7[[#This Row],[Date]],Database!$A:$C,MATCH($C$1,Database!$A$1:$C$1,),))</f>
        <v/>
      </c>
      <c r="D6121">
        <f>IFERROR(Table7[[#This Row],[United States 10y]]-Table7[[#This Row],[United States 3y]],#N/A)</f>
        <v/>
      </c>
    </row>
    <row r="6122">
      <c r="A6122" s="6">
        <f>Database!$A8207</f>
        <v/>
      </c>
      <c r="B6122">
        <f>IF(VLOOKUP(Table7[[#This Row],[Date]],Database!$A:$C,MATCH($B$1,Database!$A$1:$C$1,),)=0,#N/A,VLOOKUP(Table7[[#This Row],[Date]],Database!$A:$C,MATCH($B$1,Database!$A$1:$C$1,),))</f>
        <v/>
      </c>
      <c r="C6122">
        <f>IF(VLOOKUP(Table7[[#This Row],[Date]],Database!$A:$C,MATCH($C$1,Database!$A$1:$C$1,),)=0,#N/A,VLOOKUP(Table7[[#This Row],[Date]],Database!$A:$C,MATCH($C$1,Database!$A$1:$C$1,),))</f>
        <v/>
      </c>
      <c r="D6122">
        <f>IFERROR(Table7[[#This Row],[United States 10y]]-Table7[[#This Row],[United States 3y]],#N/A)</f>
        <v/>
      </c>
    </row>
    <row r="6123">
      <c r="A6123" s="6">
        <f>Database!$A8208</f>
        <v/>
      </c>
      <c r="B6123">
        <f>IF(VLOOKUP(Table7[[#This Row],[Date]],Database!$A:$C,MATCH($B$1,Database!$A$1:$C$1,),)=0,#N/A,VLOOKUP(Table7[[#This Row],[Date]],Database!$A:$C,MATCH($B$1,Database!$A$1:$C$1,),))</f>
        <v/>
      </c>
      <c r="C6123">
        <f>IF(VLOOKUP(Table7[[#This Row],[Date]],Database!$A:$C,MATCH($C$1,Database!$A$1:$C$1,),)=0,#N/A,VLOOKUP(Table7[[#This Row],[Date]],Database!$A:$C,MATCH($C$1,Database!$A$1:$C$1,),))</f>
        <v/>
      </c>
      <c r="D6123">
        <f>IFERROR(Table7[[#This Row],[United States 10y]]-Table7[[#This Row],[United States 3y]],#N/A)</f>
        <v/>
      </c>
    </row>
    <row r="6124">
      <c r="A6124" s="6">
        <f>Database!$A8209</f>
        <v/>
      </c>
      <c r="B6124">
        <f>IF(VLOOKUP(Table7[[#This Row],[Date]],Database!$A:$C,MATCH($B$1,Database!$A$1:$C$1,),)=0,#N/A,VLOOKUP(Table7[[#This Row],[Date]],Database!$A:$C,MATCH($B$1,Database!$A$1:$C$1,),))</f>
        <v/>
      </c>
      <c r="C6124">
        <f>IF(VLOOKUP(Table7[[#This Row],[Date]],Database!$A:$C,MATCH($C$1,Database!$A$1:$C$1,),)=0,#N/A,VLOOKUP(Table7[[#This Row],[Date]],Database!$A:$C,MATCH($C$1,Database!$A$1:$C$1,),))</f>
        <v/>
      </c>
      <c r="D6124">
        <f>IFERROR(Table7[[#This Row],[United States 10y]]-Table7[[#This Row],[United States 3y]],#N/A)</f>
        <v/>
      </c>
    </row>
    <row r="6125">
      <c r="A6125" s="6">
        <f>Database!$A8210</f>
        <v/>
      </c>
      <c r="B6125">
        <f>IF(VLOOKUP(Table7[[#This Row],[Date]],Database!$A:$C,MATCH($B$1,Database!$A$1:$C$1,),)=0,#N/A,VLOOKUP(Table7[[#This Row],[Date]],Database!$A:$C,MATCH($B$1,Database!$A$1:$C$1,),))</f>
        <v/>
      </c>
      <c r="C6125">
        <f>IF(VLOOKUP(Table7[[#This Row],[Date]],Database!$A:$C,MATCH($C$1,Database!$A$1:$C$1,),)=0,#N/A,VLOOKUP(Table7[[#This Row],[Date]],Database!$A:$C,MATCH($C$1,Database!$A$1:$C$1,),))</f>
        <v/>
      </c>
      <c r="D6125">
        <f>IFERROR(Table7[[#This Row],[United States 10y]]-Table7[[#This Row],[United States 3y]],#N/A)</f>
        <v/>
      </c>
    </row>
    <row r="6126">
      <c r="A6126" s="6">
        <f>Database!$A8211</f>
        <v/>
      </c>
      <c r="B6126">
        <f>IF(VLOOKUP(Table7[[#This Row],[Date]],Database!$A:$C,MATCH($B$1,Database!$A$1:$C$1,),)=0,#N/A,VLOOKUP(Table7[[#This Row],[Date]],Database!$A:$C,MATCH($B$1,Database!$A$1:$C$1,),))</f>
        <v/>
      </c>
      <c r="C6126">
        <f>IF(VLOOKUP(Table7[[#This Row],[Date]],Database!$A:$C,MATCH($C$1,Database!$A$1:$C$1,),)=0,#N/A,VLOOKUP(Table7[[#This Row],[Date]],Database!$A:$C,MATCH($C$1,Database!$A$1:$C$1,),))</f>
        <v/>
      </c>
      <c r="D6126">
        <f>IFERROR(Table7[[#This Row],[United States 10y]]-Table7[[#This Row],[United States 3y]],#N/A)</f>
        <v/>
      </c>
    </row>
    <row r="6127">
      <c r="A6127" s="6">
        <f>Database!$A8212</f>
        <v/>
      </c>
      <c r="B6127">
        <f>IF(VLOOKUP(Table7[[#This Row],[Date]],Database!$A:$C,MATCH($B$1,Database!$A$1:$C$1,),)=0,#N/A,VLOOKUP(Table7[[#This Row],[Date]],Database!$A:$C,MATCH($B$1,Database!$A$1:$C$1,),))</f>
        <v/>
      </c>
      <c r="C6127">
        <f>IF(VLOOKUP(Table7[[#This Row],[Date]],Database!$A:$C,MATCH($C$1,Database!$A$1:$C$1,),)=0,#N/A,VLOOKUP(Table7[[#This Row],[Date]],Database!$A:$C,MATCH($C$1,Database!$A$1:$C$1,),))</f>
        <v/>
      </c>
      <c r="D6127">
        <f>IFERROR(Table7[[#This Row],[United States 10y]]-Table7[[#This Row],[United States 3y]],#N/A)</f>
        <v/>
      </c>
    </row>
    <row r="6128">
      <c r="A6128" s="6">
        <f>Database!$A8213</f>
        <v/>
      </c>
      <c r="B6128">
        <f>IF(VLOOKUP(Table7[[#This Row],[Date]],Database!$A:$C,MATCH($B$1,Database!$A$1:$C$1,),)=0,#N/A,VLOOKUP(Table7[[#This Row],[Date]],Database!$A:$C,MATCH($B$1,Database!$A$1:$C$1,),))</f>
        <v/>
      </c>
      <c r="C6128">
        <f>IF(VLOOKUP(Table7[[#This Row],[Date]],Database!$A:$C,MATCH($C$1,Database!$A$1:$C$1,),)=0,#N/A,VLOOKUP(Table7[[#This Row],[Date]],Database!$A:$C,MATCH($C$1,Database!$A$1:$C$1,),))</f>
        <v/>
      </c>
      <c r="D6128">
        <f>IFERROR(Table7[[#This Row],[United States 10y]]-Table7[[#This Row],[United States 3y]],#N/A)</f>
        <v/>
      </c>
    </row>
    <row r="6129">
      <c r="A6129" s="6">
        <f>Database!$A8214</f>
        <v/>
      </c>
      <c r="B6129">
        <f>IF(VLOOKUP(Table7[[#This Row],[Date]],Database!$A:$C,MATCH($B$1,Database!$A$1:$C$1,),)=0,#N/A,VLOOKUP(Table7[[#This Row],[Date]],Database!$A:$C,MATCH($B$1,Database!$A$1:$C$1,),))</f>
        <v/>
      </c>
      <c r="C6129">
        <f>IF(VLOOKUP(Table7[[#This Row],[Date]],Database!$A:$C,MATCH($C$1,Database!$A$1:$C$1,),)=0,#N/A,VLOOKUP(Table7[[#This Row],[Date]],Database!$A:$C,MATCH($C$1,Database!$A$1:$C$1,),))</f>
        <v/>
      </c>
      <c r="D6129">
        <f>IFERROR(Table7[[#This Row],[United States 10y]]-Table7[[#This Row],[United States 3y]],#N/A)</f>
        <v/>
      </c>
    </row>
    <row r="6130">
      <c r="A6130" s="6">
        <f>Database!$A8215</f>
        <v/>
      </c>
      <c r="B6130">
        <f>IF(VLOOKUP(Table7[[#This Row],[Date]],Database!$A:$C,MATCH($B$1,Database!$A$1:$C$1,),)=0,#N/A,VLOOKUP(Table7[[#This Row],[Date]],Database!$A:$C,MATCH($B$1,Database!$A$1:$C$1,),))</f>
        <v/>
      </c>
      <c r="C6130">
        <f>IF(VLOOKUP(Table7[[#This Row],[Date]],Database!$A:$C,MATCH($C$1,Database!$A$1:$C$1,),)=0,#N/A,VLOOKUP(Table7[[#This Row],[Date]],Database!$A:$C,MATCH($C$1,Database!$A$1:$C$1,),))</f>
        <v/>
      </c>
      <c r="D6130">
        <f>IFERROR(Table7[[#This Row],[United States 10y]]-Table7[[#This Row],[United States 3y]],#N/A)</f>
        <v/>
      </c>
    </row>
    <row r="6131">
      <c r="A6131" s="6">
        <f>Database!$A8216</f>
        <v/>
      </c>
      <c r="B6131">
        <f>IF(VLOOKUP(Table7[[#This Row],[Date]],Database!$A:$C,MATCH($B$1,Database!$A$1:$C$1,),)=0,#N/A,VLOOKUP(Table7[[#This Row],[Date]],Database!$A:$C,MATCH($B$1,Database!$A$1:$C$1,),))</f>
        <v/>
      </c>
      <c r="C6131">
        <f>IF(VLOOKUP(Table7[[#This Row],[Date]],Database!$A:$C,MATCH($C$1,Database!$A$1:$C$1,),)=0,#N/A,VLOOKUP(Table7[[#This Row],[Date]],Database!$A:$C,MATCH($C$1,Database!$A$1:$C$1,),))</f>
        <v/>
      </c>
      <c r="D6131">
        <f>IFERROR(Table7[[#This Row],[United States 10y]]-Table7[[#This Row],[United States 3y]],#N/A)</f>
        <v/>
      </c>
    </row>
    <row r="6132">
      <c r="A6132" s="6">
        <f>Database!$A8217</f>
        <v/>
      </c>
      <c r="B6132">
        <f>IF(VLOOKUP(Table7[[#This Row],[Date]],Database!$A:$C,MATCH($B$1,Database!$A$1:$C$1,),)=0,#N/A,VLOOKUP(Table7[[#This Row],[Date]],Database!$A:$C,MATCH($B$1,Database!$A$1:$C$1,),))</f>
        <v/>
      </c>
      <c r="C6132">
        <f>IF(VLOOKUP(Table7[[#This Row],[Date]],Database!$A:$C,MATCH($C$1,Database!$A$1:$C$1,),)=0,#N/A,VLOOKUP(Table7[[#This Row],[Date]],Database!$A:$C,MATCH($C$1,Database!$A$1:$C$1,),))</f>
        <v/>
      </c>
      <c r="D6132">
        <f>IFERROR(Table7[[#This Row],[United States 10y]]-Table7[[#This Row],[United States 3y]],#N/A)</f>
        <v/>
      </c>
    </row>
    <row r="6133">
      <c r="A6133" s="6">
        <f>Database!$A8218</f>
        <v/>
      </c>
      <c r="B6133">
        <f>IF(VLOOKUP(Table7[[#This Row],[Date]],Database!$A:$C,MATCH($B$1,Database!$A$1:$C$1,),)=0,#N/A,VLOOKUP(Table7[[#This Row],[Date]],Database!$A:$C,MATCH($B$1,Database!$A$1:$C$1,),))</f>
        <v/>
      </c>
      <c r="C6133">
        <f>IF(VLOOKUP(Table7[[#This Row],[Date]],Database!$A:$C,MATCH($C$1,Database!$A$1:$C$1,),)=0,#N/A,VLOOKUP(Table7[[#This Row],[Date]],Database!$A:$C,MATCH($C$1,Database!$A$1:$C$1,),))</f>
        <v/>
      </c>
      <c r="D6133">
        <f>IFERROR(Table7[[#This Row],[United States 10y]]-Table7[[#This Row],[United States 3y]],#N/A)</f>
        <v/>
      </c>
    </row>
    <row r="6134">
      <c r="A6134" s="6">
        <f>Database!$A8219</f>
        <v/>
      </c>
      <c r="B6134">
        <f>IF(VLOOKUP(Table7[[#This Row],[Date]],Database!$A:$C,MATCH($B$1,Database!$A$1:$C$1,),)=0,#N/A,VLOOKUP(Table7[[#This Row],[Date]],Database!$A:$C,MATCH($B$1,Database!$A$1:$C$1,),))</f>
        <v/>
      </c>
      <c r="C6134">
        <f>IF(VLOOKUP(Table7[[#This Row],[Date]],Database!$A:$C,MATCH($C$1,Database!$A$1:$C$1,),)=0,#N/A,VLOOKUP(Table7[[#This Row],[Date]],Database!$A:$C,MATCH($C$1,Database!$A$1:$C$1,),))</f>
        <v/>
      </c>
      <c r="D6134">
        <f>IFERROR(Table7[[#This Row],[United States 10y]]-Table7[[#This Row],[United States 3y]],#N/A)</f>
        <v/>
      </c>
    </row>
    <row r="6135">
      <c r="A6135" s="6">
        <f>Database!$A8220</f>
        <v/>
      </c>
      <c r="B6135">
        <f>IF(VLOOKUP(Table7[[#This Row],[Date]],Database!$A:$C,MATCH($B$1,Database!$A$1:$C$1,),)=0,#N/A,VLOOKUP(Table7[[#This Row],[Date]],Database!$A:$C,MATCH($B$1,Database!$A$1:$C$1,),))</f>
        <v/>
      </c>
      <c r="C6135">
        <f>IF(VLOOKUP(Table7[[#This Row],[Date]],Database!$A:$C,MATCH($C$1,Database!$A$1:$C$1,),)=0,#N/A,VLOOKUP(Table7[[#This Row],[Date]],Database!$A:$C,MATCH($C$1,Database!$A$1:$C$1,),))</f>
        <v/>
      </c>
      <c r="D6135">
        <f>IFERROR(Table7[[#This Row],[United States 10y]]-Table7[[#This Row],[United States 3y]],#N/A)</f>
        <v/>
      </c>
    </row>
    <row r="6136">
      <c r="A6136" s="6">
        <f>Database!$A8221</f>
        <v/>
      </c>
      <c r="B6136">
        <f>IF(VLOOKUP(Table7[[#This Row],[Date]],Database!$A:$C,MATCH($B$1,Database!$A$1:$C$1,),)=0,#N/A,VLOOKUP(Table7[[#This Row],[Date]],Database!$A:$C,MATCH($B$1,Database!$A$1:$C$1,),))</f>
        <v/>
      </c>
      <c r="C6136">
        <f>IF(VLOOKUP(Table7[[#This Row],[Date]],Database!$A:$C,MATCH($C$1,Database!$A$1:$C$1,),)=0,#N/A,VLOOKUP(Table7[[#This Row],[Date]],Database!$A:$C,MATCH($C$1,Database!$A$1:$C$1,),))</f>
        <v/>
      </c>
      <c r="D6136">
        <f>IFERROR(Table7[[#This Row],[United States 10y]]-Table7[[#This Row],[United States 3y]],#N/A)</f>
        <v/>
      </c>
    </row>
    <row r="6137">
      <c r="A6137" s="6">
        <f>Database!$A8222</f>
        <v/>
      </c>
      <c r="B6137">
        <f>IF(VLOOKUP(Table7[[#This Row],[Date]],Database!$A:$C,MATCH($B$1,Database!$A$1:$C$1,),)=0,#N/A,VLOOKUP(Table7[[#This Row],[Date]],Database!$A:$C,MATCH($B$1,Database!$A$1:$C$1,),))</f>
        <v/>
      </c>
      <c r="C6137">
        <f>IF(VLOOKUP(Table7[[#This Row],[Date]],Database!$A:$C,MATCH($C$1,Database!$A$1:$C$1,),)=0,#N/A,VLOOKUP(Table7[[#This Row],[Date]],Database!$A:$C,MATCH($C$1,Database!$A$1:$C$1,),))</f>
        <v/>
      </c>
      <c r="D6137">
        <f>IFERROR(Table7[[#This Row],[United States 10y]]-Table7[[#This Row],[United States 3y]],#N/A)</f>
        <v/>
      </c>
    </row>
    <row r="6138">
      <c r="A6138" s="6">
        <f>Database!$A8223</f>
        <v/>
      </c>
      <c r="B6138">
        <f>IF(VLOOKUP(Table7[[#This Row],[Date]],Database!$A:$C,MATCH($B$1,Database!$A$1:$C$1,),)=0,#N/A,VLOOKUP(Table7[[#This Row],[Date]],Database!$A:$C,MATCH($B$1,Database!$A$1:$C$1,),))</f>
        <v/>
      </c>
      <c r="C6138">
        <f>IF(VLOOKUP(Table7[[#This Row],[Date]],Database!$A:$C,MATCH($C$1,Database!$A$1:$C$1,),)=0,#N/A,VLOOKUP(Table7[[#This Row],[Date]],Database!$A:$C,MATCH($C$1,Database!$A$1:$C$1,),))</f>
        <v/>
      </c>
      <c r="D6138">
        <f>IFERROR(Table7[[#This Row],[United States 10y]]-Table7[[#This Row],[United States 3y]],#N/A)</f>
        <v/>
      </c>
    </row>
    <row r="6139">
      <c r="A6139" s="6">
        <f>Database!$A8224</f>
        <v/>
      </c>
      <c r="B6139">
        <f>IF(VLOOKUP(Table7[[#This Row],[Date]],Database!$A:$C,MATCH($B$1,Database!$A$1:$C$1,),)=0,#N/A,VLOOKUP(Table7[[#This Row],[Date]],Database!$A:$C,MATCH($B$1,Database!$A$1:$C$1,),))</f>
        <v/>
      </c>
      <c r="C6139">
        <f>IF(VLOOKUP(Table7[[#This Row],[Date]],Database!$A:$C,MATCH($C$1,Database!$A$1:$C$1,),)=0,#N/A,VLOOKUP(Table7[[#This Row],[Date]],Database!$A:$C,MATCH($C$1,Database!$A$1:$C$1,),))</f>
        <v/>
      </c>
      <c r="D6139">
        <f>IFERROR(Table7[[#This Row],[United States 10y]]-Table7[[#This Row],[United States 3y]],#N/A)</f>
        <v/>
      </c>
    </row>
    <row r="6140">
      <c r="A6140" s="6">
        <f>Database!$A8225</f>
        <v/>
      </c>
      <c r="B6140">
        <f>IF(VLOOKUP(Table7[[#This Row],[Date]],Database!$A:$C,MATCH($B$1,Database!$A$1:$C$1,),)=0,#N/A,VLOOKUP(Table7[[#This Row],[Date]],Database!$A:$C,MATCH($B$1,Database!$A$1:$C$1,),))</f>
        <v/>
      </c>
      <c r="C6140">
        <f>IF(VLOOKUP(Table7[[#This Row],[Date]],Database!$A:$C,MATCH($C$1,Database!$A$1:$C$1,),)=0,#N/A,VLOOKUP(Table7[[#This Row],[Date]],Database!$A:$C,MATCH($C$1,Database!$A$1:$C$1,),))</f>
        <v/>
      </c>
      <c r="D6140">
        <f>IFERROR(Table7[[#This Row],[United States 10y]]-Table7[[#This Row],[United States 3y]],#N/A)</f>
        <v/>
      </c>
    </row>
    <row r="6141">
      <c r="A6141" s="6">
        <f>Database!$A8226</f>
        <v/>
      </c>
      <c r="B6141">
        <f>IF(VLOOKUP(Table7[[#This Row],[Date]],Database!$A:$C,MATCH($B$1,Database!$A$1:$C$1,),)=0,#N/A,VLOOKUP(Table7[[#This Row],[Date]],Database!$A:$C,MATCH($B$1,Database!$A$1:$C$1,),))</f>
        <v/>
      </c>
      <c r="C6141">
        <f>IF(VLOOKUP(Table7[[#This Row],[Date]],Database!$A:$C,MATCH($C$1,Database!$A$1:$C$1,),)=0,#N/A,VLOOKUP(Table7[[#This Row],[Date]],Database!$A:$C,MATCH($C$1,Database!$A$1:$C$1,),))</f>
        <v/>
      </c>
      <c r="D6141">
        <f>IFERROR(Table7[[#This Row],[United States 10y]]-Table7[[#This Row],[United States 3y]],#N/A)</f>
        <v/>
      </c>
    </row>
    <row r="6142">
      <c r="A6142" s="6">
        <f>Database!$A8227</f>
        <v/>
      </c>
      <c r="B6142">
        <f>IF(VLOOKUP(Table7[[#This Row],[Date]],Database!$A:$C,MATCH($B$1,Database!$A$1:$C$1,),)=0,#N/A,VLOOKUP(Table7[[#This Row],[Date]],Database!$A:$C,MATCH($B$1,Database!$A$1:$C$1,),))</f>
        <v/>
      </c>
      <c r="C6142">
        <f>IF(VLOOKUP(Table7[[#This Row],[Date]],Database!$A:$C,MATCH($C$1,Database!$A$1:$C$1,),)=0,#N/A,VLOOKUP(Table7[[#This Row],[Date]],Database!$A:$C,MATCH($C$1,Database!$A$1:$C$1,),))</f>
        <v/>
      </c>
      <c r="D6142">
        <f>IFERROR(Table7[[#This Row],[United States 10y]]-Table7[[#This Row],[United States 3y]],#N/A)</f>
        <v/>
      </c>
    </row>
    <row r="6143">
      <c r="A6143" s="6">
        <f>Database!$A8228</f>
        <v/>
      </c>
      <c r="B6143">
        <f>IF(VLOOKUP(Table7[[#This Row],[Date]],Database!$A:$C,MATCH($B$1,Database!$A$1:$C$1,),)=0,#N/A,VLOOKUP(Table7[[#This Row],[Date]],Database!$A:$C,MATCH($B$1,Database!$A$1:$C$1,),))</f>
        <v/>
      </c>
      <c r="C6143">
        <f>IF(VLOOKUP(Table7[[#This Row],[Date]],Database!$A:$C,MATCH($C$1,Database!$A$1:$C$1,),)=0,#N/A,VLOOKUP(Table7[[#This Row],[Date]],Database!$A:$C,MATCH($C$1,Database!$A$1:$C$1,),))</f>
        <v/>
      </c>
      <c r="D6143">
        <f>IFERROR(Table7[[#This Row],[United States 10y]]-Table7[[#This Row],[United States 3y]],#N/A)</f>
        <v/>
      </c>
    </row>
    <row r="6144">
      <c r="A6144" s="6">
        <f>Database!$A8229</f>
        <v/>
      </c>
      <c r="B6144">
        <f>IF(VLOOKUP(Table7[[#This Row],[Date]],Database!$A:$C,MATCH($B$1,Database!$A$1:$C$1,),)=0,#N/A,VLOOKUP(Table7[[#This Row],[Date]],Database!$A:$C,MATCH($B$1,Database!$A$1:$C$1,),))</f>
        <v/>
      </c>
      <c r="C6144">
        <f>IF(VLOOKUP(Table7[[#This Row],[Date]],Database!$A:$C,MATCH($C$1,Database!$A$1:$C$1,),)=0,#N/A,VLOOKUP(Table7[[#This Row],[Date]],Database!$A:$C,MATCH($C$1,Database!$A$1:$C$1,),))</f>
        <v/>
      </c>
      <c r="D6144">
        <f>IFERROR(Table7[[#This Row],[United States 10y]]-Table7[[#This Row],[United States 3y]],#N/A)</f>
        <v/>
      </c>
    </row>
    <row r="6145">
      <c r="A6145" s="6">
        <f>Database!$A8230</f>
        <v/>
      </c>
      <c r="B6145">
        <f>IF(VLOOKUP(Table7[[#This Row],[Date]],Database!$A:$C,MATCH($B$1,Database!$A$1:$C$1,),)=0,#N/A,VLOOKUP(Table7[[#This Row],[Date]],Database!$A:$C,MATCH($B$1,Database!$A$1:$C$1,),))</f>
        <v/>
      </c>
      <c r="C6145">
        <f>IF(VLOOKUP(Table7[[#This Row],[Date]],Database!$A:$C,MATCH($C$1,Database!$A$1:$C$1,),)=0,#N/A,VLOOKUP(Table7[[#This Row],[Date]],Database!$A:$C,MATCH($C$1,Database!$A$1:$C$1,),))</f>
        <v/>
      </c>
      <c r="D6145">
        <f>IFERROR(Table7[[#This Row],[United States 10y]]-Table7[[#This Row],[United States 3y]],#N/A)</f>
        <v/>
      </c>
    </row>
    <row r="6146">
      <c r="A6146" s="6">
        <f>Database!$A8231</f>
        <v/>
      </c>
      <c r="B6146">
        <f>IF(VLOOKUP(Table7[[#This Row],[Date]],Database!$A:$C,MATCH($B$1,Database!$A$1:$C$1,),)=0,#N/A,VLOOKUP(Table7[[#This Row],[Date]],Database!$A:$C,MATCH($B$1,Database!$A$1:$C$1,),))</f>
        <v/>
      </c>
      <c r="C6146">
        <f>IF(VLOOKUP(Table7[[#This Row],[Date]],Database!$A:$C,MATCH($C$1,Database!$A$1:$C$1,),)=0,#N/A,VLOOKUP(Table7[[#This Row],[Date]],Database!$A:$C,MATCH($C$1,Database!$A$1:$C$1,),))</f>
        <v/>
      </c>
      <c r="D6146">
        <f>IFERROR(Table7[[#This Row],[United States 10y]]-Table7[[#This Row],[United States 3y]],#N/A)</f>
        <v/>
      </c>
    </row>
    <row r="6147">
      <c r="A6147" s="6">
        <f>Database!$A8232</f>
        <v/>
      </c>
      <c r="B6147">
        <f>IF(VLOOKUP(Table7[[#This Row],[Date]],Database!$A:$C,MATCH($B$1,Database!$A$1:$C$1,),)=0,#N/A,VLOOKUP(Table7[[#This Row],[Date]],Database!$A:$C,MATCH($B$1,Database!$A$1:$C$1,),))</f>
        <v/>
      </c>
      <c r="C6147">
        <f>IF(VLOOKUP(Table7[[#This Row],[Date]],Database!$A:$C,MATCH($C$1,Database!$A$1:$C$1,),)=0,#N/A,VLOOKUP(Table7[[#This Row],[Date]],Database!$A:$C,MATCH($C$1,Database!$A$1:$C$1,),))</f>
        <v/>
      </c>
      <c r="D6147">
        <f>IFERROR(Table7[[#This Row],[United States 10y]]-Table7[[#This Row],[United States 3y]],#N/A)</f>
        <v/>
      </c>
    </row>
    <row r="6148">
      <c r="A6148" s="6">
        <f>Database!$A8233</f>
        <v/>
      </c>
      <c r="B6148">
        <f>IF(VLOOKUP(Table7[[#This Row],[Date]],Database!$A:$C,MATCH($B$1,Database!$A$1:$C$1,),)=0,#N/A,VLOOKUP(Table7[[#This Row],[Date]],Database!$A:$C,MATCH($B$1,Database!$A$1:$C$1,),))</f>
        <v/>
      </c>
      <c r="C6148">
        <f>IF(VLOOKUP(Table7[[#This Row],[Date]],Database!$A:$C,MATCH($C$1,Database!$A$1:$C$1,),)=0,#N/A,VLOOKUP(Table7[[#This Row],[Date]],Database!$A:$C,MATCH($C$1,Database!$A$1:$C$1,),))</f>
        <v/>
      </c>
      <c r="D6148">
        <f>IFERROR(Table7[[#This Row],[United States 10y]]-Table7[[#This Row],[United States 3y]],#N/A)</f>
        <v/>
      </c>
    </row>
    <row r="6149">
      <c r="A6149" s="6">
        <f>Database!$A8234</f>
        <v/>
      </c>
      <c r="B6149">
        <f>IF(VLOOKUP(Table7[[#This Row],[Date]],Database!$A:$C,MATCH($B$1,Database!$A$1:$C$1,),)=0,#N/A,VLOOKUP(Table7[[#This Row],[Date]],Database!$A:$C,MATCH($B$1,Database!$A$1:$C$1,),))</f>
        <v/>
      </c>
      <c r="C6149">
        <f>IF(VLOOKUP(Table7[[#This Row],[Date]],Database!$A:$C,MATCH($C$1,Database!$A$1:$C$1,),)=0,#N/A,VLOOKUP(Table7[[#This Row],[Date]],Database!$A:$C,MATCH($C$1,Database!$A$1:$C$1,),))</f>
        <v/>
      </c>
      <c r="D6149">
        <f>IFERROR(Table7[[#This Row],[United States 10y]]-Table7[[#This Row],[United States 3y]],#N/A)</f>
        <v/>
      </c>
    </row>
    <row r="6150">
      <c r="A6150" s="6">
        <f>Database!$A8235</f>
        <v/>
      </c>
      <c r="B6150">
        <f>IF(VLOOKUP(Table7[[#This Row],[Date]],Database!$A:$C,MATCH($B$1,Database!$A$1:$C$1,),)=0,#N/A,VLOOKUP(Table7[[#This Row],[Date]],Database!$A:$C,MATCH($B$1,Database!$A$1:$C$1,),))</f>
        <v/>
      </c>
      <c r="C6150">
        <f>IF(VLOOKUP(Table7[[#This Row],[Date]],Database!$A:$C,MATCH($C$1,Database!$A$1:$C$1,),)=0,#N/A,VLOOKUP(Table7[[#This Row],[Date]],Database!$A:$C,MATCH($C$1,Database!$A$1:$C$1,),))</f>
        <v/>
      </c>
      <c r="D6150">
        <f>IFERROR(Table7[[#This Row],[United States 10y]]-Table7[[#This Row],[United States 3y]],#N/A)</f>
        <v/>
      </c>
    </row>
    <row r="6151">
      <c r="A6151" s="6">
        <f>Database!$A8236</f>
        <v/>
      </c>
      <c r="B6151">
        <f>IF(VLOOKUP(Table7[[#This Row],[Date]],Database!$A:$C,MATCH($B$1,Database!$A$1:$C$1,),)=0,#N/A,VLOOKUP(Table7[[#This Row],[Date]],Database!$A:$C,MATCH($B$1,Database!$A$1:$C$1,),))</f>
        <v/>
      </c>
      <c r="C6151">
        <f>IF(VLOOKUP(Table7[[#This Row],[Date]],Database!$A:$C,MATCH($C$1,Database!$A$1:$C$1,),)=0,#N/A,VLOOKUP(Table7[[#This Row],[Date]],Database!$A:$C,MATCH($C$1,Database!$A$1:$C$1,),))</f>
        <v/>
      </c>
      <c r="D6151">
        <f>IFERROR(Table7[[#This Row],[United States 10y]]-Table7[[#This Row],[United States 3y]],#N/A)</f>
        <v/>
      </c>
    </row>
    <row r="6152">
      <c r="A6152" s="6">
        <f>Database!$A8237</f>
        <v/>
      </c>
      <c r="B6152">
        <f>IF(VLOOKUP(Table7[[#This Row],[Date]],Database!$A:$C,MATCH($B$1,Database!$A$1:$C$1,),)=0,#N/A,VLOOKUP(Table7[[#This Row],[Date]],Database!$A:$C,MATCH($B$1,Database!$A$1:$C$1,),))</f>
        <v/>
      </c>
      <c r="C6152">
        <f>IF(VLOOKUP(Table7[[#This Row],[Date]],Database!$A:$C,MATCH($C$1,Database!$A$1:$C$1,),)=0,#N/A,VLOOKUP(Table7[[#This Row],[Date]],Database!$A:$C,MATCH($C$1,Database!$A$1:$C$1,),))</f>
        <v/>
      </c>
      <c r="D6152">
        <f>IFERROR(Table7[[#This Row],[United States 10y]]-Table7[[#This Row],[United States 3y]],#N/A)</f>
        <v/>
      </c>
    </row>
    <row r="6153">
      <c r="A6153" s="6">
        <f>Database!$A8238</f>
        <v/>
      </c>
      <c r="B6153">
        <f>IF(VLOOKUP(Table7[[#This Row],[Date]],Database!$A:$C,MATCH($B$1,Database!$A$1:$C$1,),)=0,#N/A,VLOOKUP(Table7[[#This Row],[Date]],Database!$A:$C,MATCH($B$1,Database!$A$1:$C$1,),))</f>
        <v/>
      </c>
      <c r="C6153">
        <f>IF(VLOOKUP(Table7[[#This Row],[Date]],Database!$A:$C,MATCH($C$1,Database!$A$1:$C$1,),)=0,#N/A,VLOOKUP(Table7[[#This Row],[Date]],Database!$A:$C,MATCH($C$1,Database!$A$1:$C$1,),))</f>
        <v/>
      </c>
      <c r="D6153">
        <f>IFERROR(Table7[[#This Row],[United States 10y]]-Table7[[#This Row],[United States 3y]],#N/A)</f>
        <v/>
      </c>
    </row>
    <row r="6154">
      <c r="A6154" s="6">
        <f>Database!$A8239</f>
        <v/>
      </c>
      <c r="B6154">
        <f>IF(VLOOKUP(Table7[[#This Row],[Date]],Database!$A:$C,MATCH($B$1,Database!$A$1:$C$1,),)=0,#N/A,VLOOKUP(Table7[[#This Row],[Date]],Database!$A:$C,MATCH($B$1,Database!$A$1:$C$1,),))</f>
        <v/>
      </c>
      <c r="C6154">
        <f>IF(VLOOKUP(Table7[[#This Row],[Date]],Database!$A:$C,MATCH($C$1,Database!$A$1:$C$1,),)=0,#N/A,VLOOKUP(Table7[[#This Row],[Date]],Database!$A:$C,MATCH($C$1,Database!$A$1:$C$1,),))</f>
        <v/>
      </c>
      <c r="D6154">
        <f>IFERROR(Table7[[#This Row],[United States 10y]]-Table7[[#This Row],[United States 3y]],#N/A)</f>
        <v/>
      </c>
    </row>
    <row r="6155">
      <c r="A6155" s="6">
        <f>Database!$A8240</f>
        <v/>
      </c>
      <c r="B6155">
        <f>IF(VLOOKUP(Table7[[#This Row],[Date]],Database!$A:$C,MATCH($B$1,Database!$A$1:$C$1,),)=0,#N/A,VLOOKUP(Table7[[#This Row],[Date]],Database!$A:$C,MATCH($B$1,Database!$A$1:$C$1,),))</f>
        <v/>
      </c>
      <c r="C6155">
        <f>IF(VLOOKUP(Table7[[#This Row],[Date]],Database!$A:$C,MATCH($C$1,Database!$A$1:$C$1,),)=0,#N/A,VLOOKUP(Table7[[#This Row],[Date]],Database!$A:$C,MATCH($C$1,Database!$A$1:$C$1,),))</f>
        <v/>
      </c>
      <c r="D6155">
        <f>IFERROR(Table7[[#This Row],[United States 10y]]-Table7[[#This Row],[United States 3y]],#N/A)</f>
        <v/>
      </c>
    </row>
    <row r="6156">
      <c r="A6156" s="6">
        <f>Database!$A8241</f>
        <v/>
      </c>
      <c r="B6156">
        <f>IF(VLOOKUP(Table7[[#This Row],[Date]],Database!$A:$C,MATCH($B$1,Database!$A$1:$C$1,),)=0,#N/A,VLOOKUP(Table7[[#This Row],[Date]],Database!$A:$C,MATCH($B$1,Database!$A$1:$C$1,),))</f>
        <v/>
      </c>
      <c r="C6156">
        <f>IF(VLOOKUP(Table7[[#This Row],[Date]],Database!$A:$C,MATCH($C$1,Database!$A$1:$C$1,),)=0,#N/A,VLOOKUP(Table7[[#This Row],[Date]],Database!$A:$C,MATCH($C$1,Database!$A$1:$C$1,),))</f>
        <v/>
      </c>
      <c r="D6156">
        <f>IFERROR(Table7[[#This Row],[United States 10y]]-Table7[[#This Row],[United States 3y]],#N/A)</f>
        <v/>
      </c>
    </row>
    <row r="6157">
      <c r="A6157" s="6">
        <f>Database!$A8242</f>
        <v/>
      </c>
      <c r="B6157">
        <f>IF(VLOOKUP(Table7[[#This Row],[Date]],Database!$A:$C,MATCH($B$1,Database!$A$1:$C$1,),)=0,#N/A,VLOOKUP(Table7[[#This Row],[Date]],Database!$A:$C,MATCH($B$1,Database!$A$1:$C$1,),))</f>
        <v/>
      </c>
      <c r="C6157">
        <f>IF(VLOOKUP(Table7[[#This Row],[Date]],Database!$A:$C,MATCH($C$1,Database!$A$1:$C$1,),)=0,#N/A,VLOOKUP(Table7[[#This Row],[Date]],Database!$A:$C,MATCH($C$1,Database!$A$1:$C$1,),))</f>
        <v/>
      </c>
      <c r="D6157">
        <f>IFERROR(Table7[[#This Row],[United States 10y]]-Table7[[#This Row],[United States 3y]],#N/A)</f>
        <v/>
      </c>
    </row>
    <row r="6158">
      <c r="A6158" s="6">
        <f>Database!$A8243</f>
        <v/>
      </c>
      <c r="B6158">
        <f>IF(VLOOKUP(Table7[[#This Row],[Date]],Database!$A:$C,MATCH($B$1,Database!$A$1:$C$1,),)=0,#N/A,VLOOKUP(Table7[[#This Row],[Date]],Database!$A:$C,MATCH($B$1,Database!$A$1:$C$1,),))</f>
        <v/>
      </c>
      <c r="C6158">
        <f>IF(VLOOKUP(Table7[[#This Row],[Date]],Database!$A:$C,MATCH($C$1,Database!$A$1:$C$1,),)=0,#N/A,VLOOKUP(Table7[[#This Row],[Date]],Database!$A:$C,MATCH($C$1,Database!$A$1:$C$1,),))</f>
        <v/>
      </c>
      <c r="D6158">
        <f>IFERROR(Table7[[#This Row],[United States 10y]]-Table7[[#This Row],[United States 3y]],#N/A)</f>
        <v/>
      </c>
    </row>
    <row r="6159">
      <c r="A6159" s="6">
        <f>Database!$A8244</f>
        <v/>
      </c>
      <c r="B6159">
        <f>IF(VLOOKUP(Table7[[#This Row],[Date]],Database!$A:$C,MATCH($B$1,Database!$A$1:$C$1,),)=0,#N/A,VLOOKUP(Table7[[#This Row],[Date]],Database!$A:$C,MATCH($B$1,Database!$A$1:$C$1,),))</f>
        <v/>
      </c>
      <c r="C6159">
        <f>IF(VLOOKUP(Table7[[#This Row],[Date]],Database!$A:$C,MATCH($C$1,Database!$A$1:$C$1,),)=0,#N/A,VLOOKUP(Table7[[#This Row],[Date]],Database!$A:$C,MATCH($C$1,Database!$A$1:$C$1,),))</f>
        <v/>
      </c>
      <c r="D6159">
        <f>IFERROR(Table7[[#This Row],[United States 10y]]-Table7[[#This Row],[United States 3y]],#N/A)</f>
        <v/>
      </c>
    </row>
    <row r="6160">
      <c r="A6160" s="6">
        <f>Database!$A8245</f>
        <v/>
      </c>
      <c r="B6160">
        <f>IF(VLOOKUP(Table7[[#This Row],[Date]],Database!$A:$C,MATCH($B$1,Database!$A$1:$C$1,),)=0,#N/A,VLOOKUP(Table7[[#This Row],[Date]],Database!$A:$C,MATCH($B$1,Database!$A$1:$C$1,),))</f>
        <v/>
      </c>
      <c r="C6160">
        <f>IF(VLOOKUP(Table7[[#This Row],[Date]],Database!$A:$C,MATCH($C$1,Database!$A$1:$C$1,),)=0,#N/A,VLOOKUP(Table7[[#This Row],[Date]],Database!$A:$C,MATCH($C$1,Database!$A$1:$C$1,),))</f>
        <v/>
      </c>
      <c r="D6160">
        <f>IFERROR(Table7[[#This Row],[United States 10y]]-Table7[[#This Row],[United States 3y]],#N/A)</f>
        <v/>
      </c>
    </row>
    <row r="6161">
      <c r="A6161" s="6">
        <f>Database!$A8246</f>
        <v/>
      </c>
      <c r="B6161">
        <f>IF(VLOOKUP(Table7[[#This Row],[Date]],Database!$A:$C,MATCH($B$1,Database!$A$1:$C$1,),)=0,#N/A,VLOOKUP(Table7[[#This Row],[Date]],Database!$A:$C,MATCH($B$1,Database!$A$1:$C$1,),))</f>
        <v/>
      </c>
      <c r="C6161">
        <f>IF(VLOOKUP(Table7[[#This Row],[Date]],Database!$A:$C,MATCH($C$1,Database!$A$1:$C$1,),)=0,#N/A,VLOOKUP(Table7[[#This Row],[Date]],Database!$A:$C,MATCH($C$1,Database!$A$1:$C$1,),))</f>
        <v/>
      </c>
      <c r="D6161">
        <f>IFERROR(Table7[[#This Row],[United States 10y]]-Table7[[#This Row],[United States 3y]],#N/A)</f>
        <v/>
      </c>
    </row>
    <row r="6162">
      <c r="A6162" s="6">
        <f>Database!$A8247</f>
        <v/>
      </c>
      <c r="B6162">
        <f>IF(VLOOKUP(Table7[[#This Row],[Date]],Database!$A:$C,MATCH($B$1,Database!$A$1:$C$1,),)=0,#N/A,VLOOKUP(Table7[[#This Row],[Date]],Database!$A:$C,MATCH($B$1,Database!$A$1:$C$1,),))</f>
        <v/>
      </c>
      <c r="C6162">
        <f>IF(VLOOKUP(Table7[[#This Row],[Date]],Database!$A:$C,MATCH($C$1,Database!$A$1:$C$1,),)=0,#N/A,VLOOKUP(Table7[[#This Row],[Date]],Database!$A:$C,MATCH($C$1,Database!$A$1:$C$1,),))</f>
        <v/>
      </c>
      <c r="D6162">
        <f>IFERROR(Table7[[#This Row],[United States 10y]]-Table7[[#This Row],[United States 3y]],#N/A)</f>
        <v/>
      </c>
    </row>
    <row r="6163">
      <c r="A6163" s="6">
        <f>Database!$A8248</f>
        <v/>
      </c>
      <c r="B6163">
        <f>IF(VLOOKUP(Table7[[#This Row],[Date]],Database!$A:$C,MATCH($B$1,Database!$A$1:$C$1,),)=0,#N/A,VLOOKUP(Table7[[#This Row],[Date]],Database!$A:$C,MATCH($B$1,Database!$A$1:$C$1,),))</f>
        <v/>
      </c>
      <c r="C6163">
        <f>IF(VLOOKUP(Table7[[#This Row],[Date]],Database!$A:$C,MATCH($C$1,Database!$A$1:$C$1,),)=0,#N/A,VLOOKUP(Table7[[#This Row],[Date]],Database!$A:$C,MATCH($C$1,Database!$A$1:$C$1,),))</f>
        <v/>
      </c>
      <c r="D6163">
        <f>IFERROR(Table7[[#This Row],[United States 10y]]-Table7[[#This Row],[United States 3y]],#N/A)</f>
        <v/>
      </c>
    </row>
    <row r="6164">
      <c r="A6164" s="6">
        <f>Database!$A8249</f>
        <v/>
      </c>
      <c r="B6164">
        <f>IF(VLOOKUP(Table7[[#This Row],[Date]],Database!$A:$C,MATCH($B$1,Database!$A$1:$C$1,),)=0,#N/A,VLOOKUP(Table7[[#This Row],[Date]],Database!$A:$C,MATCH($B$1,Database!$A$1:$C$1,),))</f>
        <v/>
      </c>
      <c r="C6164">
        <f>IF(VLOOKUP(Table7[[#This Row],[Date]],Database!$A:$C,MATCH($C$1,Database!$A$1:$C$1,),)=0,#N/A,VLOOKUP(Table7[[#This Row],[Date]],Database!$A:$C,MATCH($C$1,Database!$A$1:$C$1,),))</f>
        <v/>
      </c>
      <c r="D6164">
        <f>IFERROR(Table7[[#This Row],[United States 10y]]-Table7[[#This Row],[United States 3y]],#N/A)</f>
        <v/>
      </c>
    </row>
    <row r="6165">
      <c r="A6165" s="6">
        <f>Database!$A8250</f>
        <v/>
      </c>
      <c r="B6165">
        <f>IF(VLOOKUP(Table7[[#This Row],[Date]],Database!$A:$C,MATCH($B$1,Database!$A$1:$C$1,),)=0,#N/A,VLOOKUP(Table7[[#This Row],[Date]],Database!$A:$C,MATCH($B$1,Database!$A$1:$C$1,),))</f>
        <v/>
      </c>
      <c r="C6165">
        <f>IF(VLOOKUP(Table7[[#This Row],[Date]],Database!$A:$C,MATCH($C$1,Database!$A$1:$C$1,),)=0,#N/A,VLOOKUP(Table7[[#This Row],[Date]],Database!$A:$C,MATCH($C$1,Database!$A$1:$C$1,),))</f>
        <v/>
      </c>
      <c r="D6165">
        <f>IFERROR(Table7[[#This Row],[United States 10y]]-Table7[[#This Row],[United States 3y]],#N/A)</f>
        <v/>
      </c>
    </row>
    <row r="6166">
      <c r="A6166" s="6">
        <f>Database!$A8251</f>
        <v/>
      </c>
      <c r="B6166">
        <f>IF(VLOOKUP(Table7[[#This Row],[Date]],Database!$A:$C,MATCH($B$1,Database!$A$1:$C$1,),)=0,#N/A,VLOOKUP(Table7[[#This Row],[Date]],Database!$A:$C,MATCH($B$1,Database!$A$1:$C$1,),))</f>
        <v/>
      </c>
      <c r="C6166">
        <f>IF(VLOOKUP(Table7[[#This Row],[Date]],Database!$A:$C,MATCH($C$1,Database!$A$1:$C$1,),)=0,#N/A,VLOOKUP(Table7[[#This Row],[Date]],Database!$A:$C,MATCH($C$1,Database!$A$1:$C$1,),))</f>
        <v/>
      </c>
      <c r="D6166">
        <f>IFERROR(Table7[[#This Row],[United States 10y]]-Table7[[#This Row],[United States 3y]],#N/A)</f>
        <v/>
      </c>
    </row>
    <row r="6167">
      <c r="A6167" s="6">
        <f>Database!$A8252</f>
        <v/>
      </c>
      <c r="B6167">
        <f>IF(VLOOKUP(Table7[[#This Row],[Date]],Database!$A:$C,MATCH($B$1,Database!$A$1:$C$1,),)=0,#N/A,VLOOKUP(Table7[[#This Row],[Date]],Database!$A:$C,MATCH($B$1,Database!$A$1:$C$1,),))</f>
        <v/>
      </c>
      <c r="C6167">
        <f>IF(VLOOKUP(Table7[[#This Row],[Date]],Database!$A:$C,MATCH($C$1,Database!$A$1:$C$1,),)=0,#N/A,VLOOKUP(Table7[[#This Row],[Date]],Database!$A:$C,MATCH($C$1,Database!$A$1:$C$1,),))</f>
        <v/>
      </c>
      <c r="D6167">
        <f>IFERROR(Table7[[#This Row],[United States 10y]]-Table7[[#This Row],[United States 3y]],#N/A)</f>
        <v/>
      </c>
    </row>
    <row r="6168">
      <c r="A6168" s="6">
        <f>Database!$A8253</f>
        <v/>
      </c>
      <c r="B6168">
        <f>IF(VLOOKUP(Table7[[#This Row],[Date]],Database!$A:$C,MATCH($B$1,Database!$A$1:$C$1,),)=0,#N/A,VLOOKUP(Table7[[#This Row],[Date]],Database!$A:$C,MATCH($B$1,Database!$A$1:$C$1,),))</f>
        <v/>
      </c>
      <c r="C6168">
        <f>IF(VLOOKUP(Table7[[#This Row],[Date]],Database!$A:$C,MATCH($C$1,Database!$A$1:$C$1,),)=0,#N/A,VLOOKUP(Table7[[#This Row],[Date]],Database!$A:$C,MATCH($C$1,Database!$A$1:$C$1,),))</f>
        <v/>
      </c>
      <c r="D6168">
        <f>IFERROR(Table7[[#This Row],[United States 10y]]-Table7[[#This Row],[United States 3y]],#N/A)</f>
        <v/>
      </c>
    </row>
    <row r="6169">
      <c r="A6169" s="6">
        <f>Database!$A8254</f>
        <v/>
      </c>
      <c r="B6169">
        <f>IF(VLOOKUP(Table7[[#This Row],[Date]],Database!$A:$C,MATCH($B$1,Database!$A$1:$C$1,),)=0,#N/A,VLOOKUP(Table7[[#This Row],[Date]],Database!$A:$C,MATCH($B$1,Database!$A$1:$C$1,),))</f>
        <v/>
      </c>
      <c r="C6169">
        <f>IF(VLOOKUP(Table7[[#This Row],[Date]],Database!$A:$C,MATCH($C$1,Database!$A$1:$C$1,),)=0,#N/A,VLOOKUP(Table7[[#This Row],[Date]],Database!$A:$C,MATCH($C$1,Database!$A$1:$C$1,),))</f>
        <v/>
      </c>
      <c r="D6169">
        <f>IFERROR(Table7[[#This Row],[United States 10y]]-Table7[[#This Row],[United States 3y]],#N/A)</f>
        <v/>
      </c>
    </row>
    <row r="6170">
      <c r="A6170" s="6">
        <f>Database!$A8255</f>
        <v/>
      </c>
      <c r="B6170">
        <f>IF(VLOOKUP(Table7[[#This Row],[Date]],Database!$A:$C,MATCH($B$1,Database!$A$1:$C$1,),)=0,#N/A,VLOOKUP(Table7[[#This Row],[Date]],Database!$A:$C,MATCH($B$1,Database!$A$1:$C$1,),))</f>
        <v/>
      </c>
      <c r="C6170">
        <f>IF(VLOOKUP(Table7[[#This Row],[Date]],Database!$A:$C,MATCH($C$1,Database!$A$1:$C$1,),)=0,#N/A,VLOOKUP(Table7[[#This Row],[Date]],Database!$A:$C,MATCH($C$1,Database!$A$1:$C$1,),))</f>
        <v/>
      </c>
      <c r="D6170">
        <f>IFERROR(Table7[[#This Row],[United States 10y]]-Table7[[#This Row],[United States 3y]],#N/A)</f>
        <v/>
      </c>
    </row>
    <row r="6171">
      <c r="A6171" s="6">
        <f>Database!$A8256</f>
        <v/>
      </c>
      <c r="B6171">
        <f>IF(VLOOKUP(Table7[[#This Row],[Date]],Database!$A:$C,MATCH($B$1,Database!$A$1:$C$1,),)=0,#N/A,VLOOKUP(Table7[[#This Row],[Date]],Database!$A:$C,MATCH($B$1,Database!$A$1:$C$1,),))</f>
        <v/>
      </c>
      <c r="C6171">
        <f>IF(VLOOKUP(Table7[[#This Row],[Date]],Database!$A:$C,MATCH($C$1,Database!$A$1:$C$1,),)=0,#N/A,VLOOKUP(Table7[[#This Row],[Date]],Database!$A:$C,MATCH($C$1,Database!$A$1:$C$1,),))</f>
        <v/>
      </c>
      <c r="D6171">
        <f>IFERROR(Table7[[#This Row],[United States 10y]]-Table7[[#This Row],[United States 3y]],#N/A)</f>
        <v/>
      </c>
    </row>
    <row r="6172">
      <c r="A6172" s="6">
        <f>Database!$A8257</f>
        <v/>
      </c>
      <c r="B6172">
        <f>IF(VLOOKUP(Table7[[#This Row],[Date]],Database!$A:$C,MATCH($B$1,Database!$A$1:$C$1,),)=0,#N/A,VLOOKUP(Table7[[#This Row],[Date]],Database!$A:$C,MATCH($B$1,Database!$A$1:$C$1,),))</f>
        <v/>
      </c>
      <c r="C6172">
        <f>IF(VLOOKUP(Table7[[#This Row],[Date]],Database!$A:$C,MATCH($C$1,Database!$A$1:$C$1,),)=0,#N/A,VLOOKUP(Table7[[#This Row],[Date]],Database!$A:$C,MATCH($C$1,Database!$A$1:$C$1,),))</f>
        <v/>
      </c>
      <c r="D6172">
        <f>IFERROR(Table7[[#This Row],[United States 10y]]-Table7[[#This Row],[United States 3y]],#N/A)</f>
        <v/>
      </c>
    </row>
    <row r="6173">
      <c r="A6173" s="6">
        <f>Database!$A8258</f>
        <v/>
      </c>
      <c r="B6173">
        <f>IF(VLOOKUP(Table7[[#This Row],[Date]],Database!$A:$C,MATCH($B$1,Database!$A$1:$C$1,),)=0,#N/A,VLOOKUP(Table7[[#This Row],[Date]],Database!$A:$C,MATCH($B$1,Database!$A$1:$C$1,),))</f>
        <v/>
      </c>
      <c r="C6173">
        <f>IF(VLOOKUP(Table7[[#This Row],[Date]],Database!$A:$C,MATCH($C$1,Database!$A$1:$C$1,),)=0,#N/A,VLOOKUP(Table7[[#This Row],[Date]],Database!$A:$C,MATCH($C$1,Database!$A$1:$C$1,),))</f>
        <v/>
      </c>
      <c r="D6173">
        <f>IFERROR(Table7[[#This Row],[United States 10y]]-Table7[[#This Row],[United States 3y]],#N/A)</f>
        <v/>
      </c>
    </row>
    <row r="6174">
      <c r="A6174" s="6">
        <f>Database!$A8259</f>
        <v/>
      </c>
      <c r="B6174">
        <f>IF(VLOOKUP(Table7[[#This Row],[Date]],Database!$A:$C,MATCH($B$1,Database!$A$1:$C$1,),)=0,#N/A,VLOOKUP(Table7[[#This Row],[Date]],Database!$A:$C,MATCH($B$1,Database!$A$1:$C$1,),))</f>
        <v/>
      </c>
      <c r="C6174">
        <f>IF(VLOOKUP(Table7[[#This Row],[Date]],Database!$A:$C,MATCH($C$1,Database!$A$1:$C$1,),)=0,#N/A,VLOOKUP(Table7[[#This Row],[Date]],Database!$A:$C,MATCH($C$1,Database!$A$1:$C$1,),))</f>
        <v/>
      </c>
      <c r="D6174">
        <f>IFERROR(Table7[[#This Row],[United States 10y]]-Table7[[#This Row],[United States 3y]],#N/A)</f>
        <v/>
      </c>
    </row>
    <row r="6175">
      <c r="A6175" s="6">
        <f>Database!$A8260</f>
        <v/>
      </c>
      <c r="B6175">
        <f>IF(VLOOKUP(Table7[[#This Row],[Date]],Database!$A:$C,MATCH($B$1,Database!$A$1:$C$1,),)=0,#N/A,VLOOKUP(Table7[[#This Row],[Date]],Database!$A:$C,MATCH($B$1,Database!$A$1:$C$1,),))</f>
        <v/>
      </c>
      <c r="C6175">
        <f>IF(VLOOKUP(Table7[[#This Row],[Date]],Database!$A:$C,MATCH($C$1,Database!$A$1:$C$1,),)=0,#N/A,VLOOKUP(Table7[[#This Row],[Date]],Database!$A:$C,MATCH($C$1,Database!$A$1:$C$1,),))</f>
        <v/>
      </c>
      <c r="D6175">
        <f>IFERROR(Table7[[#This Row],[United States 10y]]-Table7[[#This Row],[United States 3y]],#N/A)</f>
        <v/>
      </c>
    </row>
    <row r="6176">
      <c r="A6176" s="6">
        <f>Database!$A8261</f>
        <v/>
      </c>
      <c r="B6176">
        <f>IF(VLOOKUP(Table7[[#This Row],[Date]],Database!$A:$C,MATCH($B$1,Database!$A$1:$C$1,),)=0,#N/A,VLOOKUP(Table7[[#This Row],[Date]],Database!$A:$C,MATCH($B$1,Database!$A$1:$C$1,),))</f>
        <v/>
      </c>
      <c r="C6176">
        <f>IF(VLOOKUP(Table7[[#This Row],[Date]],Database!$A:$C,MATCH($C$1,Database!$A$1:$C$1,),)=0,#N/A,VLOOKUP(Table7[[#This Row],[Date]],Database!$A:$C,MATCH($C$1,Database!$A$1:$C$1,),))</f>
        <v/>
      </c>
      <c r="D6176">
        <f>IFERROR(Table7[[#This Row],[United States 10y]]-Table7[[#This Row],[United States 3y]],#N/A)</f>
        <v/>
      </c>
    </row>
    <row r="6177">
      <c r="A6177" s="6">
        <f>Database!$A8262</f>
        <v/>
      </c>
      <c r="B6177">
        <f>IF(VLOOKUP(Table7[[#This Row],[Date]],Database!$A:$C,MATCH($B$1,Database!$A$1:$C$1,),)=0,#N/A,VLOOKUP(Table7[[#This Row],[Date]],Database!$A:$C,MATCH($B$1,Database!$A$1:$C$1,),))</f>
        <v/>
      </c>
      <c r="C6177">
        <f>IF(VLOOKUP(Table7[[#This Row],[Date]],Database!$A:$C,MATCH($C$1,Database!$A$1:$C$1,),)=0,#N/A,VLOOKUP(Table7[[#This Row],[Date]],Database!$A:$C,MATCH($C$1,Database!$A$1:$C$1,),))</f>
        <v/>
      </c>
      <c r="D6177">
        <f>IFERROR(Table7[[#This Row],[United States 10y]]-Table7[[#This Row],[United States 3y]],#N/A)</f>
        <v/>
      </c>
    </row>
    <row r="6178">
      <c r="A6178" s="6">
        <f>Database!$A8263</f>
        <v/>
      </c>
      <c r="B6178">
        <f>IF(VLOOKUP(Table7[[#This Row],[Date]],Database!$A:$C,MATCH($B$1,Database!$A$1:$C$1,),)=0,#N/A,VLOOKUP(Table7[[#This Row],[Date]],Database!$A:$C,MATCH($B$1,Database!$A$1:$C$1,),))</f>
        <v/>
      </c>
      <c r="C6178">
        <f>IF(VLOOKUP(Table7[[#This Row],[Date]],Database!$A:$C,MATCH($C$1,Database!$A$1:$C$1,),)=0,#N/A,VLOOKUP(Table7[[#This Row],[Date]],Database!$A:$C,MATCH($C$1,Database!$A$1:$C$1,),))</f>
        <v/>
      </c>
      <c r="D6178">
        <f>IFERROR(Table7[[#This Row],[United States 10y]]-Table7[[#This Row],[United States 3y]],#N/A)</f>
        <v/>
      </c>
    </row>
    <row r="6179">
      <c r="A6179" s="6">
        <f>Database!$A8264</f>
        <v/>
      </c>
      <c r="B6179">
        <f>IF(VLOOKUP(Table7[[#This Row],[Date]],Database!$A:$C,MATCH($B$1,Database!$A$1:$C$1,),)=0,#N/A,VLOOKUP(Table7[[#This Row],[Date]],Database!$A:$C,MATCH($B$1,Database!$A$1:$C$1,),))</f>
        <v/>
      </c>
      <c r="C6179">
        <f>IF(VLOOKUP(Table7[[#This Row],[Date]],Database!$A:$C,MATCH($C$1,Database!$A$1:$C$1,),)=0,#N/A,VLOOKUP(Table7[[#This Row],[Date]],Database!$A:$C,MATCH($C$1,Database!$A$1:$C$1,),))</f>
        <v/>
      </c>
      <c r="D6179">
        <f>IFERROR(Table7[[#This Row],[United States 10y]]-Table7[[#This Row],[United States 3y]],#N/A)</f>
        <v/>
      </c>
    </row>
    <row r="6180">
      <c r="A6180" s="6">
        <f>Database!$A8265</f>
        <v/>
      </c>
      <c r="B6180">
        <f>IF(VLOOKUP(Table7[[#This Row],[Date]],Database!$A:$C,MATCH($B$1,Database!$A$1:$C$1,),)=0,#N/A,VLOOKUP(Table7[[#This Row],[Date]],Database!$A:$C,MATCH($B$1,Database!$A$1:$C$1,),))</f>
        <v/>
      </c>
      <c r="C6180">
        <f>IF(VLOOKUP(Table7[[#This Row],[Date]],Database!$A:$C,MATCH($C$1,Database!$A$1:$C$1,),)=0,#N/A,VLOOKUP(Table7[[#This Row],[Date]],Database!$A:$C,MATCH($C$1,Database!$A$1:$C$1,),))</f>
        <v/>
      </c>
      <c r="D6180">
        <f>IFERROR(Table7[[#This Row],[United States 10y]]-Table7[[#This Row],[United States 3y]],#N/A)</f>
        <v/>
      </c>
    </row>
    <row r="6181">
      <c r="A6181" s="6">
        <f>Database!$A8266</f>
        <v/>
      </c>
      <c r="B6181">
        <f>IF(VLOOKUP(Table7[[#This Row],[Date]],Database!$A:$C,MATCH($B$1,Database!$A$1:$C$1,),)=0,#N/A,VLOOKUP(Table7[[#This Row],[Date]],Database!$A:$C,MATCH($B$1,Database!$A$1:$C$1,),))</f>
        <v/>
      </c>
      <c r="C6181">
        <f>IF(VLOOKUP(Table7[[#This Row],[Date]],Database!$A:$C,MATCH($C$1,Database!$A$1:$C$1,),)=0,#N/A,VLOOKUP(Table7[[#This Row],[Date]],Database!$A:$C,MATCH($C$1,Database!$A$1:$C$1,),))</f>
        <v/>
      </c>
      <c r="D6181">
        <f>IFERROR(Table7[[#This Row],[United States 10y]]-Table7[[#This Row],[United States 3y]],#N/A)</f>
        <v/>
      </c>
    </row>
    <row r="6182">
      <c r="A6182" s="6">
        <f>Database!$A8267</f>
        <v/>
      </c>
      <c r="B6182">
        <f>IF(VLOOKUP(Table7[[#This Row],[Date]],Database!$A:$C,MATCH($B$1,Database!$A$1:$C$1,),)=0,#N/A,VLOOKUP(Table7[[#This Row],[Date]],Database!$A:$C,MATCH($B$1,Database!$A$1:$C$1,),))</f>
        <v/>
      </c>
      <c r="C6182">
        <f>IF(VLOOKUP(Table7[[#This Row],[Date]],Database!$A:$C,MATCH($C$1,Database!$A$1:$C$1,),)=0,#N/A,VLOOKUP(Table7[[#This Row],[Date]],Database!$A:$C,MATCH($C$1,Database!$A$1:$C$1,),))</f>
        <v/>
      </c>
      <c r="D6182">
        <f>IFERROR(Table7[[#This Row],[United States 10y]]-Table7[[#This Row],[United States 3y]],#N/A)</f>
        <v/>
      </c>
    </row>
    <row r="6183">
      <c r="A6183" s="6">
        <f>Database!$A8268</f>
        <v/>
      </c>
      <c r="B6183">
        <f>IF(VLOOKUP(Table7[[#This Row],[Date]],Database!$A:$C,MATCH($B$1,Database!$A$1:$C$1,),)=0,#N/A,VLOOKUP(Table7[[#This Row],[Date]],Database!$A:$C,MATCH($B$1,Database!$A$1:$C$1,),))</f>
        <v/>
      </c>
      <c r="C6183">
        <f>IF(VLOOKUP(Table7[[#This Row],[Date]],Database!$A:$C,MATCH($C$1,Database!$A$1:$C$1,),)=0,#N/A,VLOOKUP(Table7[[#This Row],[Date]],Database!$A:$C,MATCH($C$1,Database!$A$1:$C$1,),))</f>
        <v/>
      </c>
      <c r="D6183">
        <f>IFERROR(Table7[[#This Row],[United States 10y]]-Table7[[#This Row],[United States 3y]],#N/A)</f>
        <v/>
      </c>
    </row>
    <row r="6184">
      <c r="A6184" s="6">
        <f>Database!$A8269</f>
        <v/>
      </c>
      <c r="B6184">
        <f>IF(VLOOKUP(Table7[[#This Row],[Date]],Database!$A:$C,MATCH($B$1,Database!$A$1:$C$1,),)=0,#N/A,VLOOKUP(Table7[[#This Row],[Date]],Database!$A:$C,MATCH($B$1,Database!$A$1:$C$1,),))</f>
        <v/>
      </c>
      <c r="C6184">
        <f>IF(VLOOKUP(Table7[[#This Row],[Date]],Database!$A:$C,MATCH($C$1,Database!$A$1:$C$1,),)=0,#N/A,VLOOKUP(Table7[[#This Row],[Date]],Database!$A:$C,MATCH($C$1,Database!$A$1:$C$1,),))</f>
        <v/>
      </c>
      <c r="D6184">
        <f>IFERROR(Table7[[#This Row],[United States 10y]]-Table7[[#This Row],[United States 3y]],#N/A)</f>
        <v/>
      </c>
    </row>
    <row r="6185">
      <c r="A6185" s="6">
        <f>Database!$A8270</f>
        <v/>
      </c>
      <c r="B6185">
        <f>IF(VLOOKUP(Table7[[#This Row],[Date]],Database!$A:$C,MATCH($B$1,Database!$A$1:$C$1,),)=0,#N/A,VLOOKUP(Table7[[#This Row],[Date]],Database!$A:$C,MATCH($B$1,Database!$A$1:$C$1,),))</f>
        <v/>
      </c>
      <c r="C6185">
        <f>IF(VLOOKUP(Table7[[#This Row],[Date]],Database!$A:$C,MATCH($C$1,Database!$A$1:$C$1,),)=0,#N/A,VLOOKUP(Table7[[#This Row],[Date]],Database!$A:$C,MATCH($C$1,Database!$A$1:$C$1,),))</f>
        <v/>
      </c>
      <c r="D6185">
        <f>IFERROR(Table7[[#This Row],[United States 10y]]-Table7[[#This Row],[United States 3y]],#N/A)</f>
        <v/>
      </c>
    </row>
    <row r="6186">
      <c r="A6186" s="6">
        <f>Database!$A8271</f>
        <v/>
      </c>
      <c r="B6186">
        <f>IF(VLOOKUP(Table7[[#This Row],[Date]],Database!$A:$C,MATCH($B$1,Database!$A$1:$C$1,),)=0,#N/A,VLOOKUP(Table7[[#This Row],[Date]],Database!$A:$C,MATCH($B$1,Database!$A$1:$C$1,),))</f>
        <v/>
      </c>
      <c r="C6186">
        <f>IF(VLOOKUP(Table7[[#This Row],[Date]],Database!$A:$C,MATCH($C$1,Database!$A$1:$C$1,),)=0,#N/A,VLOOKUP(Table7[[#This Row],[Date]],Database!$A:$C,MATCH($C$1,Database!$A$1:$C$1,),))</f>
        <v/>
      </c>
      <c r="D6186">
        <f>IFERROR(Table7[[#This Row],[United States 10y]]-Table7[[#This Row],[United States 3y]],#N/A)</f>
        <v/>
      </c>
    </row>
    <row r="6187">
      <c r="A6187" s="6">
        <f>Database!$A8272</f>
        <v/>
      </c>
      <c r="B6187">
        <f>IF(VLOOKUP(Table7[[#This Row],[Date]],Database!$A:$C,MATCH($B$1,Database!$A$1:$C$1,),)=0,#N/A,VLOOKUP(Table7[[#This Row],[Date]],Database!$A:$C,MATCH($B$1,Database!$A$1:$C$1,),))</f>
        <v/>
      </c>
      <c r="C6187">
        <f>IF(VLOOKUP(Table7[[#This Row],[Date]],Database!$A:$C,MATCH($C$1,Database!$A$1:$C$1,),)=0,#N/A,VLOOKUP(Table7[[#This Row],[Date]],Database!$A:$C,MATCH($C$1,Database!$A$1:$C$1,),))</f>
        <v/>
      </c>
      <c r="D6187">
        <f>IFERROR(Table7[[#This Row],[United States 10y]]-Table7[[#This Row],[United States 3y]],#N/A)</f>
        <v/>
      </c>
    </row>
    <row r="6188">
      <c r="A6188" s="6">
        <f>Database!$A8273</f>
        <v/>
      </c>
      <c r="B6188">
        <f>IF(VLOOKUP(Table7[[#This Row],[Date]],Database!$A:$C,MATCH($B$1,Database!$A$1:$C$1,),)=0,#N/A,VLOOKUP(Table7[[#This Row],[Date]],Database!$A:$C,MATCH($B$1,Database!$A$1:$C$1,),))</f>
        <v/>
      </c>
      <c r="C6188">
        <f>IF(VLOOKUP(Table7[[#This Row],[Date]],Database!$A:$C,MATCH($C$1,Database!$A$1:$C$1,),)=0,#N/A,VLOOKUP(Table7[[#This Row],[Date]],Database!$A:$C,MATCH($C$1,Database!$A$1:$C$1,),))</f>
        <v/>
      </c>
      <c r="D6188">
        <f>IFERROR(Table7[[#This Row],[United States 10y]]-Table7[[#This Row],[United States 3y]],#N/A)</f>
        <v/>
      </c>
    </row>
    <row r="6189">
      <c r="A6189" s="6">
        <f>Database!$A8274</f>
        <v/>
      </c>
      <c r="B6189">
        <f>IF(VLOOKUP(Table7[[#This Row],[Date]],Database!$A:$C,MATCH($B$1,Database!$A$1:$C$1,),)=0,#N/A,VLOOKUP(Table7[[#This Row],[Date]],Database!$A:$C,MATCH($B$1,Database!$A$1:$C$1,),))</f>
        <v/>
      </c>
      <c r="C6189">
        <f>IF(VLOOKUP(Table7[[#This Row],[Date]],Database!$A:$C,MATCH($C$1,Database!$A$1:$C$1,),)=0,#N/A,VLOOKUP(Table7[[#This Row],[Date]],Database!$A:$C,MATCH($C$1,Database!$A$1:$C$1,),))</f>
        <v/>
      </c>
      <c r="D6189">
        <f>IFERROR(Table7[[#This Row],[United States 10y]]-Table7[[#This Row],[United States 3y]],#N/A)</f>
        <v/>
      </c>
    </row>
    <row r="6190">
      <c r="A6190" s="6">
        <f>Database!$A8275</f>
        <v/>
      </c>
      <c r="B6190">
        <f>IF(VLOOKUP(Table7[[#This Row],[Date]],Database!$A:$C,MATCH($B$1,Database!$A$1:$C$1,),)=0,#N/A,VLOOKUP(Table7[[#This Row],[Date]],Database!$A:$C,MATCH($B$1,Database!$A$1:$C$1,),))</f>
        <v/>
      </c>
      <c r="C6190">
        <f>IF(VLOOKUP(Table7[[#This Row],[Date]],Database!$A:$C,MATCH($C$1,Database!$A$1:$C$1,),)=0,#N/A,VLOOKUP(Table7[[#This Row],[Date]],Database!$A:$C,MATCH($C$1,Database!$A$1:$C$1,),))</f>
        <v/>
      </c>
      <c r="D6190">
        <f>IFERROR(Table7[[#This Row],[United States 10y]]-Table7[[#This Row],[United States 3y]],#N/A)</f>
        <v/>
      </c>
    </row>
    <row r="6191">
      <c r="A6191" s="6">
        <f>Database!$A8276</f>
        <v/>
      </c>
      <c r="B6191">
        <f>IF(VLOOKUP(Table7[[#This Row],[Date]],Database!$A:$C,MATCH($B$1,Database!$A$1:$C$1,),)=0,#N/A,VLOOKUP(Table7[[#This Row],[Date]],Database!$A:$C,MATCH($B$1,Database!$A$1:$C$1,),))</f>
        <v/>
      </c>
      <c r="C6191">
        <f>IF(VLOOKUP(Table7[[#This Row],[Date]],Database!$A:$C,MATCH($C$1,Database!$A$1:$C$1,),)=0,#N/A,VLOOKUP(Table7[[#This Row],[Date]],Database!$A:$C,MATCH($C$1,Database!$A$1:$C$1,),))</f>
        <v/>
      </c>
      <c r="D6191">
        <f>IFERROR(Table7[[#This Row],[United States 10y]]-Table7[[#This Row],[United States 3y]],#N/A)</f>
        <v/>
      </c>
    </row>
    <row r="6192">
      <c r="A6192" s="6">
        <f>Database!$A8277</f>
        <v/>
      </c>
      <c r="B6192">
        <f>IF(VLOOKUP(Table7[[#This Row],[Date]],Database!$A:$C,MATCH($B$1,Database!$A$1:$C$1,),)=0,#N/A,VLOOKUP(Table7[[#This Row],[Date]],Database!$A:$C,MATCH($B$1,Database!$A$1:$C$1,),))</f>
        <v/>
      </c>
      <c r="C6192">
        <f>IF(VLOOKUP(Table7[[#This Row],[Date]],Database!$A:$C,MATCH($C$1,Database!$A$1:$C$1,),)=0,#N/A,VLOOKUP(Table7[[#This Row],[Date]],Database!$A:$C,MATCH($C$1,Database!$A$1:$C$1,),))</f>
        <v/>
      </c>
      <c r="D6192">
        <f>IFERROR(Table7[[#This Row],[United States 10y]]-Table7[[#This Row],[United States 3y]],#N/A)</f>
        <v/>
      </c>
    </row>
    <row r="6193">
      <c r="A6193" s="6">
        <f>Database!$A8278</f>
        <v/>
      </c>
      <c r="B6193">
        <f>IF(VLOOKUP(Table7[[#This Row],[Date]],Database!$A:$C,MATCH($B$1,Database!$A$1:$C$1,),)=0,#N/A,VLOOKUP(Table7[[#This Row],[Date]],Database!$A:$C,MATCH($B$1,Database!$A$1:$C$1,),))</f>
        <v/>
      </c>
      <c r="C6193">
        <f>IF(VLOOKUP(Table7[[#This Row],[Date]],Database!$A:$C,MATCH($C$1,Database!$A$1:$C$1,),)=0,#N/A,VLOOKUP(Table7[[#This Row],[Date]],Database!$A:$C,MATCH($C$1,Database!$A$1:$C$1,),))</f>
        <v/>
      </c>
      <c r="D6193">
        <f>IFERROR(Table7[[#This Row],[United States 10y]]-Table7[[#This Row],[United States 3y]],#N/A)</f>
        <v/>
      </c>
    </row>
    <row r="6194">
      <c r="A6194" s="6">
        <f>Database!$A8279</f>
        <v/>
      </c>
      <c r="B6194">
        <f>IF(VLOOKUP(Table7[[#This Row],[Date]],Database!$A:$C,MATCH($B$1,Database!$A$1:$C$1,),)=0,#N/A,VLOOKUP(Table7[[#This Row],[Date]],Database!$A:$C,MATCH($B$1,Database!$A$1:$C$1,),))</f>
        <v/>
      </c>
      <c r="C6194">
        <f>IF(VLOOKUP(Table7[[#This Row],[Date]],Database!$A:$C,MATCH($C$1,Database!$A$1:$C$1,),)=0,#N/A,VLOOKUP(Table7[[#This Row],[Date]],Database!$A:$C,MATCH($C$1,Database!$A$1:$C$1,),))</f>
        <v/>
      </c>
      <c r="D6194">
        <f>IFERROR(Table7[[#This Row],[United States 10y]]-Table7[[#This Row],[United States 3y]],#N/A)</f>
        <v/>
      </c>
    </row>
    <row r="6195">
      <c r="A6195" s="6">
        <f>Database!$A8280</f>
        <v/>
      </c>
      <c r="B6195">
        <f>IF(VLOOKUP(Table7[[#This Row],[Date]],Database!$A:$C,MATCH($B$1,Database!$A$1:$C$1,),)=0,#N/A,VLOOKUP(Table7[[#This Row],[Date]],Database!$A:$C,MATCH($B$1,Database!$A$1:$C$1,),))</f>
        <v/>
      </c>
      <c r="C6195">
        <f>IF(VLOOKUP(Table7[[#This Row],[Date]],Database!$A:$C,MATCH($C$1,Database!$A$1:$C$1,),)=0,#N/A,VLOOKUP(Table7[[#This Row],[Date]],Database!$A:$C,MATCH($C$1,Database!$A$1:$C$1,),))</f>
        <v/>
      </c>
      <c r="D6195">
        <f>IFERROR(Table7[[#This Row],[United States 10y]]-Table7[[#This Row],[United States 3y]],#N/A)</f>
        <v/>
      </c>
    </row>
    <row r="6196">
      <c r="A6196" s="6">
        <f>Database!$A8281</f>
        <v/>
      </c>
      <c r="B6196">
        <f>IF(VLOOKUP(Table7[[#This Row],[Date]],Database!$A:$C,MATCH($B$1,Database!$A$1:$C$1,),)=0,#N/A,VLOOKUP(Table7[[#This Row],[Date]],Database!$A:$C,MATCH($B$1,Database!$A$1:$C$1,),))</f>
        <v/>
      </c>
      <c r="C6196">
        <f>IF(VLOOKUP(Table7[[#This Row],[Date]],Database!$A:$C,MATCH($C$1,Database!$A$1:$C$1,),)=0,#N/A,VLOOKUP(Table7[[#This Row],[Date]],Database!$A:$C,MATCH($C$1,Database!$A$1:$C$1,),))</f>
        <v/>
      </c>
      <c r="D6196">
        <f>IFERROR(Table7[[#This Row],[United States 10y]]-Table7[[#This Row],[United States 3y]],#N/A)</f>
        <v/>
      </c>
    </row>
    <row r="6197">
      <c r="A6197" s="6">
        <f>Database!$A8282</f>
        <v/>
      </c>
      <c r="B6197">
        <f>IF(VLOOKUP(Table7[[#This Row],[Date]],Database!$A:$C,MATCH($B$1,Database!$A$1:$C$1,),)=0,#N/A,VLOOKUP(Table7[[#This Row],[Date]],Database!$A:$C,MATCH($B$1,Database!$A$1:$C$1,),))</f>
        <v/>
      </c>
      <c r="C6197">
        <f>IF(VLOOKUP(Table7[[#This Row],[Date]],Database!$A:$C,MATCH($C$1,Database!$A$1:$C$1,),)=0,#N/A,VLOOKUP(Table7[[#This Row],[Date]],Database!$A:$C,MATCH($C$1,Database!$A$1:$C$1,),))</f>
        <v/>
      </c>
      <c r="D6197">
        <f>IFERROR(Table7[[#This Row],[United States 10y]]-Table7[[#This Row],[United States 3y]],#N/A)</f>
        <v/>
      </c>
    </row>
    <row r="6198">
      <c r="A6198" s="6">
        <f>Database!$A8283</f>
        <v/>
      </c>
      <c r="B6198">
        <f>IF(VLOOKUP(Table7[[#This Row],[Date]],Database!$A:$C,MATCH($B$1,Database!$A$1:$C$1,),)=0,#N/A,VLOOKUP(Table7[[#This Row],[Date]],Database!$A:$C,MATCH($B$1,Database!$A$1:$C$1,),))</f>
        <v/>
      </c>
      <c r="C6198">
        <f>IF(VLOOKUP(Table7[[#This Row],[Date]],Database!$A:$C,MATCH($C$1,Database!$A$1:$C$1,),)=0,#N/A,VLOOKUP(Table7[[#This Row],[Date]],Database!$A:$C,MATCH($C$1,Database!$A$1:$C$1,),))</f>
        <v/>
      </c>
      <c r="D6198">
        <f>IFERROR(Table7[[#This Row],[United States 10y]]-Table7[[#This Row],[United States 3y]],#N/A)</f>
        <v/>
      </c>
    </row>
    <row r="6199">
      <c r="A6199" s="6">
        <f>Database!$A8284</f>
        <v/>
      </c>
      <c r="B6199">
        <f>IF(VLOOKUP(Table7[[#This Row],[Date]],Database!$A:$C,MATCH($B$1,Database!$A$1:$C$1,),)=0,#N/A,VLOOKUP(Table7[[#This Row],[Date]],Database!$A:$C,MATCH($B$1,Database!$A$1:$C$1,),))</f>
        <v/>
      </c>
      <c r="C6199">
        <f>IF(VLOOKUP(Table7[[#This Row],[Date]],Database!$A:$C,MATCH($C$1,Database!$A$1:$C$1,),)=0,#N/A,VLOOKUP(Table7[[#This Row],[Date]],Database!$A:$C,MATCH($C$1,Database!$A$1:$C$1,),))</f>
        <v/>
      </c>
      <c r="D6199">
        <f>IFERROR(Table7[[#This Row],[United States 10y]]-Table7[[#This Row],[United States 3y]],#N/A)</f>
        <v/>
      </c>
    </row>
    <row r="6200">
      <c r="A6200" s="6">
        <f>Database!$A8285</f>
        <v/>
      </c>
      <c r="B6200">
        <f>IF(VLOOKUP(Table7[[#This Row],[Date]],Database!$A:$C,MATCH($B$1,Database!$A$1:$C$1,),)=0,#N/A,VLOOKUP(Table7[[#This Row],[Date]],Database!$A:$C,MATCH($B$1,Database!$A$1:$C$1,),))</f>
        <v/>
      </c>
      <c r="C6200">
        <f>IF(VLOOKUP(Table7[[#This Row],[Date]],Database!$A:$C,MATCH($C$1,Database!$A$1:$C$1,),)=0,#N/A,VLOOKUP(Table7[[#This Row],[Date]],Database!$A:$C,MATCH($C$1,Database!$A$1:$C$1,),))</f>
        <v/>
      </c>
      <c r="D6200">
        <f>IFERROR(Table7[[#This Row],[United States 10y]]-Table7[[#This Row],[United States 3y]],#N/A)</f>
        <v/>
      </c>
    </row>
    <row r="6201">
      <c r="A6201" s="6">
        <f>Database!$A8286</f>
        <v/>
      </c>
      <c r="B6201">
        <f>IF(VLOOKUP(Table7[[#This Row],[Date]],Database!$A:$C,MATCH($B$1,Database!$A$1:$C$1,),)=0,#N/A,VLOOKUP(Table7[[#This Row],[Date]],Database!$A:$C,MATCH($B$1,Database!$A$1:$C$1,),))</f>
        <v/>
      </c>
      <c r="C6201">
        <f>IF(VLOOKUP(Table7[[#This Row],[Date]],Database!$A:$C,MATCH($C$1,Database!$A$1:$C$1,),)=0,#N/A,VLOOKUP(Table7[[#This Row],[Date]],Database!$A:$C,MATCH($C$1,Database!$A$1:$C$1,),))</f>
        <v/>
      </c>
      <c r="D6201">
        <f>IFERROR(Table7[[#This Row],[United States 10y]]-Table7[[#This Row],[United States 3y]],#N/A)</f>
        <v/>
      </c>
    </row>
    <row r="6202">
      <c r="A6202" s="6">
        <f>Database!$A8287</f>
        <v/>
      </c>
      <c r="B6202">
        <f>IF(VLOOKUP(Table7[[#This Row],[Date]],Database!$A:$C,MATCH($B$1,Database!$A$1:$C$1,),)=0,#N/A,VLOOKUP(Table7[[#This Row],[Date]],Database!$A:$C,MATCH($B$1,Database!$A$1:$C$1,),))</f>
        <v/>
      </c>
      <c r="C6202">
        <f>IF(VLOOKUP(Table7[[#This Row],[Date]],Database!$A:$C,MATCH($C$1,Database!$A$1:$C$1,),)=0,#N/A,VLOOKUP(Table7[[#This Row],[Date]],Database!$A:$C,MATCH($C$1,Database!$A$1:$C$1,),))</f>
        <v/>
      </c>
      <c r="D6202">
        <f>IFERROR(Table7[[#This Row],[United States 10y]]-Table7[[#This Row],[United States 3y]],#N/A)</f>
        <v/>
      </c>
    </row>
    <row r="6203">
      <c r="A6203" s="6">
        <f>Database!$A8288</f>
        <v/>
      </c>
      <c r="B6203">
        <f>IF(VLOOKUP(Table7[[#This Row],[Date]],Database!$A:$C,MATCH($B$1,Database!$A$1:$C$1,),)=0,#N/A,VLOOKUP(Table7[[#This Row],[Date]],Database!$A:$C,MATCH($B$1,Database!$A$1:$C$1,),))</f>
        <v/>
      </c>
      <c r="C6203">
        <f>IF(VLOOKUP(Table7[[#This Row],[Date]],Database!$A:$C,MATCH($C$1,Database!$A$1:$C$1,),)=0,#N/A,VLOOKUP(Table7[[#This Row],[Date]],Database!$A:$C,MATCH($C$1,Database!$A$1:$C$1,),))</f>
        <v/>
      </c>
      <c r="D6203">
        <f>IFERROR(Table7[[#This Row],[United States 10y]]-Table7[[#This Row],[United States 3y]],#N/A)</f>
        <v/>
      </c>
    </row>
    <row r="6204">
      <c r="A6204" s="6">
        <f>Database!$A8289</f>
        <v/>
      </c>
      <c r="B6204">
        <f>IF(VLOOKUP(Table7[[#This Row],[Date]],Database!$A:$C,MATCH($B$1,Database!$A$1:$C$1,),)=0,#N/A,VLOOKUP(Table7[[#This Row],[Date]],Database!$A:$C,MATCH($B$1,Database!$A$1:$C$1,),))</f>
        <v/>
      </c>
      <c r="C6204">
        <f>IF(VLOOKUP(Table7[[#This Row],[Date]],Database!$A:$C,MATCH($C$1,Database!$A$1:$C$1,),)=0,#N/A,VLOOKUP(Table7[[#This Row],[Date]],Database!$A:$C,MATCH($C$1,Database!$A$1:$C$1,),))</f>
        <v/>
      </c>
      <c r="D6204">
        <f>IFERROR(Table7[[#This Row],[United States 10y]]-Table7[[#This Row],[United States 3y]],#N/A)</f>
        <v/>
      </c>
    </row>
    <row r="6205">
      <c r="A6205" s="6">
        <f>Database!$A8290</f>
        <v/>
      </c>
      <c r="B6205">
        <f>IF(VLOOKUP(Table7[[#This Row],[Date]],Database!$A:$C,MATCH($B$1,Database!$A$1:$C$1,),)=0,#N/A,VLOOKUP(Table7[[#This Row],[Date]],Database!$A:$C,MATCH($B$1,Database!$A$1:$C$1,),))</f>
        <v/>
      </c>
      <c r="C6205">
        <f>IF(VLOOKUP(Table7[[#This Row],[Date]],Database!$A:$C,MATCH($C$1,Database!$A$1:$C$1,),)=0,#N/A,VLOOKUP(Table7[[#This Row],[Date]],Database!$A:$C,MATCH($C$1,Database!$A$1:$C$1,),))</f>
        <v/>
      </c>
      <c r="D6205">
        <f>IFERROR(Table7[[#This Row],[United States 10y]]-Table7[[#This Row],[United States 3y]],#N/A)</f>
        <v/>
      </c>
    </row>
    <row r="6206">
      <c r="A6206" s="6">
        <f>Database!$A8291</f>
        <v/>
      </c>
      <c r="B6206">
        <f>IF(VLOOKUP(Table7[[#This Row],[Date]],Database!$A:$C,MATCH($B$1,Database!$A$1:$C$1,),)=0,#N/A,VLOOKUP(Table7[[#This Row],[Date]],Database!$A:$C,MATCH($B$1,Database!$A$1:$C$1,),))</f>
        <v/>
      </c>
      <c r="C6206">
        <f>IF(VLOOKUP(Table7[[#This Row],[Date]],Database!$A:$C,MATCH($C$1,Database!$A$1:$C$1,),)=0,#N/A,VLOOKUP(Table7[[#This Row],[Date]],Database!$A:$C,MATCH($C$1,Database!$A$1:$C$1,),))</f>
        <v/>
      </c>
      <c r="D6206">
        <f>IFERROR(Table7[[#This Row],[United States 10y]]-Table7[[#This Row],[United States 3y]],#N/A)</f>
        <v/>
      </c>
    </row>
    <row r="6207">
      <c r="A6207" s="6">
        <f>Database!$A8292</f>
        <v/>
      </c>
      <c r="B6207">
        <f>IF(VLOOKUP(Table7[[#This Row],[Date]],Database!$A:$C,MATCH($B$1,Database!$A$1:$C$1,),)=0,#N/A,VLOOKUP(Table7[[#This Row],[Date]],Database!$A:$C,MATCH($B$1,Database!$A$1:$C$1,),))</f>
        <v/>
      </c>
      <c r="C6207">
        <f>IF(VLOOKUP(Table7[[#This Row],[Date]],Database!$A:$C,MATCH($C$1,Database!$A$1:$C$1,),)=0,#N/A,VLOOKUP(Table7[[#This Row],[Date]],Database!$A:$C,MATCH($C$1,Database!$A$1:$C$1,),))</f>
        <v/>
      </c>
      <c r="D6207">
        <f>IFERROR(Table7[[#This Row],[United States 10y]]-Table7[[#This Row],[United States 3y]],#N/A)</f>
        <v/>
      </c>
    </row>
    <row r="6208">
      <c r="A6208" s="6">
        <f>Database!$A8293</f>
        <v/>
      </c>
      <c r="B6208">
        <f>IF(VLOOKUP(Table7[[#This Row],[Date]],Database!$A:$C,MATCH($B$1,Database!$A$1:$C$1,),)=0,#N/A,VLOOKUP(Table7[[#This Row],[Date]],Database!$A:$C,MATCH($B$1,Database!$A$1:$C$1,),))</f>
        <v/>
      </c>
      <c r="C6208">
        <f>IF(VLOOKUP(Table7[[#This Row],[Date]],Database!$A:$C,MATCH($C$1,Database!$A$1:$C$1,),)=0,#N/A,VLOOKUP(Table7[[#This Row],[Date]],Database!$A:$C,MATCH($C$1,Database!$A$1:$C$1,),))</f>
        <v/>
      </c>
      <c r="D6208">
        <f>IFERROR(Table7[[#This Row],[United States 10y]]-Table7[[#This Row],[United States 3y]],#N/A)</f>
        <v/>
      </c>
    </row>
    <row r="6209">
      <c r="A6209" s="6">
        <f>Database!$A8294</f>
        <v/>
      </c>
      <c r="B6209">
        <f>IF(VLOOKUP(Table7[[#This Row],[Date]],Database!$A:$C,MATCH($B$1,Database!$A$1:$C$1,),)=0,#N/A,VLOOKUP(Table7[[#This Row],[Date]],Database!$A:$C,MATCH($B$1,Database!$A$1:$C$1,),))</f>
        <v/>
      </c>
      <c r="C6209">
        <f>IF(VLOOKUP(Table7[[#This Row],[Date]],Database!$A:$C,MATCH($C$1,Database!$A$1:$C$1,),)=0,#N/A,VLOOKUP(Table7[[#This Row],[Date]],Database!$A:$C,MATCH($C$1,Database!$A$1:$C$1,),))</f>
        <v/>
      </c>
      <c r="D6209">
        <f>IFERROR(Table7[[#This Row],[United States 10y]]-Table7[[#This Row],[United States 3y]],#N/A)</f>
        <v/>
      </c>
    </row>
    <row r="6210">
      <c r="A6210" s="6">
        <f>Database!$A8295</f>
        <v/>
      </c>
      <c r="B6210">
        <f>IF(VLOOKUP(Table7[[#This Row],[Date]],Database!$A:$C,MATCH($B$1,Database!$A$1:$C$1,),)=0,#N/A,VLOOKUP(Table7[[#This Row],[Date]],Database!$A:$C,MATCH($B$1,Database!$A$1:$C$1,),))</f>
        <v/>
      </c>
      <c r="C6210">
        <f>IF(VLOOKUP(Table7[[#This Row],[Date]],Database!$A:$C,MATCH($C$1,Database!$A$1:$C$1,),)=0,#N/A,VLOOKUP(Table7[[#This Row],[Date]],Database!$A:$C,MATCH($C$1,Database!$A$1:$C$1,),))</f>
        <v/>
      </c>
      <c r="D6210">
        <f>IFERROR(Table7[[#This Row],[United States 10y]]-Table7[[#This Row],[United States 3y]],#N/A)</f>
        <v/>
      </c>
    </row>
    <row r="6211">
      <c r="A6211" s="6">
        <f>Database!$A8296</f>
        <v/>
      </c>
      <c r="B6211">
        <f>IF(VLOOKUP(Table7[[#This Row],[Date]],Database!$A:$C,MATCH($B$1,Database!$A$1:$C$1,),)=0,#N/A,VLOOKUP(Table7[[#This Row],[Date]],Database!$A:$C,MATCH($B$1,Database!$A$1:$C$1,),))</f>
        <v/>
      </c>
      <c r="C6211">
        <f>IF(VLOOKUP(Table7[[#This Row],[Date]],Database!$A:$C,MATCH($C$1,Database!$A$1:$C$1,),)=0,#N/A,VLOOKUP(Table7[[#This Row],[Date]],Database!$A:$C,MATCH($C$1,Database!$A$1:$C$1,),))</f>
        <v/>
      </c>
      <c r="D6211">
        <f>IFERROR(Table7[[#This Row],[United States 10y]]-Table7[[#This Row],[United States 3y]],#N/A)</f>
        <v/>
      </c>
    </row>
    <row r="6212">
      <c r="A6212" s="6">
        <f>Database!$A8297</f>
        <v/>
      </c>
      <c r="B6212">
        <f>IF(VLOOKUP(Table7[[#This Row],[Date]],Database!$A:$C,MATCH($B$1,Database!$A$1:$C$1,),)=0,#N/A,VLOOKUP(Table7[[#This Row],[Date]],Database!$A:$C,MATCH($B$1,Database!$A$1:$C$1,),))</f>
        <v/>
      </c>
      <c r="C6212">
        <f>IF(VLOOKUP(Table7[[#This Row],[Date]],Database!$A:$C,MATCH($C$1,Database!$A$1:$C$1,),)=0,#N/A,VLOOKUP(Table7[[#This Row],[Date]],Database!$A:$C,MATCH($C$1,Database!$A$1:$C$1,),))</f>
        <v/>
      </c>
      <c r="D6212">
        <f>IFERROR(Table7[[#This Row],[United States 10y]]-Table7[[#This Row],[United States 3y]],#N/A)</f>
        <v/>
      </c>
    </row>
    <row r="6213">
      <c r="A6213" s="6">
        <f>Database!$A8298</f>
        <v/>
      </c>
      <c r="B6213">
        <f>IF(VLOOKUP(Table7[[#This Row],[Date]],Database!$A:$C,MATCH($B$1,Database!$A$1:$C$1,),)=0,#N/A,VLOOKUP(Table7[[#This Row],[Date]],Database!$A:$C,MATCH($B$1,Database!$A$1:$C$1,),))</f>
        <v/>
      </c>
      <c r="C6213">
        <f>IF(VLOOKUP(Table7[[#This Row],[Date]],Database!$A:$C,MATCH($C$1,Database!$A$1:$C$1,),)=0,#N/A,VLOOKUP(Table7[[#This Row],[Date]],Database!$A:$C,MATCH($C$1,Database!$A$1:$C$1,),))</f>
        <v/>
      </c>
      <c r="D6213">
        <f>IFERROR(Table7[[#This Row],[United States 10y]]-Table7[[#This Row],[United States 3y]],#N/A)</f>
        <v/>
      </c>
    </row>
    <row r="6214">
      <c r="A6214" s="6">
        <f>Database!$A8299</f>
        <v/>
      </c>
      <c r="B6214">
        <f>IF(VLOOKUP(Table7[[#This Row],[Date]],Database!$A:$C,MATCH($B$1,Database!$A$1:$C$1,),)=0,#N/A,VLOOKUP(Table7[[#This Row],[Date]],Database!$A:$C,MATCH($B$1,Database!$A$1:$C$1,),))</f>
        <v/>
      </c>
      <c r="C6214">
        <f>IF(VLOOKUP(Table7[[#This Row],[Date]],Database!$A:$C,MATCH($C$1,Database!$A$1:$C$1,),)=0,#N/A,VLOOKUP(Table7[[#This Row],[Date]],Database!$A:$C,MATCH($C$1,Database!$A$1:$C$1,),))</f>
        <v/>
      </c>
      <c r="D6214">
        <f>IFERROR(Table7[[#This Row],[United States 10y]]-Table7[[#This Row],[United States 3y]],#N/A)</f>
        <v/>
      </c>
    </row>
    <row r="6215">
      <c r="A6215" s="6">
        <f>Database!$A8300</f>
        <v/>
      </c>
      <c r="B6215">
        <f>IF(VLOOKUP(Table7[[#This Row],[Date]],Database!$A:$C,MATCH($B$1,Database!$A$1:$C$1,),)=0,#N/A,VLOOKUP(Table7[[#This Row],[Date]],Database!$A:$C,MATCH($B$1,Database!$A$1:$C$1,),))</f>
        <v/>
      </c>
      <c r="C6215">
        <f>IF(VLOOKUP(Table7[[#This Row],[Date]],Database!$A:$C,MATCH($C$1,Database!$A$1:$C$1,),)=0,#N/A,VLOOKUP(Table7[[#This Row],[Date]],Database!$A:$C,MATCH($C$1,Database!$A$1:$C$1,),))</f>
        <v/>
      </c>
      <c r="D6215">
        <f>IFERROR(Table7[[#This Row],[United States 10y]]-Table7[[#This Row],[United States 3y]],#N/A)</f>
        <v/>
      </c>
    </row>
    <row r="6216">
      <c r="A6216" s="6">
        <f>Database!$A8301</f>
        <v/>
      </c>
      <c r="B6216">
        <f>IF(VLOOKUP(Table7[[#This Row],[Date]],Database!$A:$C,MATCH($B$1,Database!$A$1:$C$1,),)=0,#N/A,VLOOKUP(Table7[[#This Row],[Date]],Database!$A:$C,MATCH($B$1,Database!$A$1:$C$1,),))</f>
        <v/>
      </c>
      <c r="C6216">
        <f>IF(VLOOKUP(Table7[[#This Row],[Date]],Database!$A:$C,MATCH($C$1,Database!$A$1:$C$1,),)=0,#N/A,VLOOKUP(Table7[[#This Row],[Date]],Database!$A:$C,MATCH($C$1,Database!$A$1:$C$1,),))</f>
        <v/>
      </c>
      <c r="D6216">
        <f>IFERROR(Table7[[#This Row],[United States 10y]]-Table7[[#This Row],[United States 3y]],#N/A)</f>
        <v/>
      </c>
    </row>
    <row r="6217">
      <c r="A6217" s="6">
        <f>Database!$A8302</f>
        <v/>
      </c>
      <c r="B6217">
        <f>IF(VLOOKUP(Table7[[#This Row],[Date]],Database!$A:$C,MATCH($B$1,Database!$A$1:$C$1,),)=0,#N/A,VLOOKUP(Table7[[#This Row],[Date]],Database!$A:$C,MATCH($B$1,Database!$A$1:$C$1,),))</f>
        <v/>
      </c>
      <c r="C6217">
        <f>IF(VLOOKUP(Table7[[#This Row],[Date]],Database!$A:$C,MATCH($C$1,Database!$A$1:$C$1,),)=0,#N/A,VLOOKUP(Table7[[#This Row],[Date]],Database!$A:$C,MATCH($C$1,Database!$A$1:$C$1,),))</f>
        <v/>
      </c>
      <c r="D6217">
        <f>IFERROR(Table7[[#This Row],[United States 10y]]-Table7[[#This Row],[United States 3y]],#N/A)</f>
        <v/>
      </c>
    </row>
    <row r="6218">
      <c r="A6218" s="6">
        <f>Database!$A8303</f>
        <v/>
      </c>
      <c r="B6218">
        <f>IF(VLOOKUP(Table7[[#This Row],[Date]],Database!$A:$C,MATCH($B$1,Database!$A$1:$C$1,),)=0,#N/A,VLOOKUP(Table7[[#This Row],[Date]],Database!$A:$C,MATCH($B$1,Database!$A$1:$C$1,),))</f>
        <v/>
      </c>
      <c r="C6218">
        <f>IF(VLOOKUP(Table7[[#This Row],[Date]],Database!$A:$C,MATCH($C$1,Database!$A$1:$C$1,),)=0,#N/A,VLOOKUP(Table7[[#This Row],[Date]],Database!$A:$C,MATCH($C$1,Database!$A$1:$C$1,),))</f>
        <v/>
      </c>
      <c r="D6218">
        <f>IFERROR(Table7[[#This Row],[United States 10y]]-Table7[[#This Row],[United States 3y]],#N/A)</f>
        <v/>
      </c>
    </row>
    <row r="6219">
      <c r="A6219" s="6">
        <f>Database!$A8304</f>
        <v/>
      </c>
      <c r="B6219">
        <f>IF(VLOOKUP(Table7[[#This Row],[Date]],Database!$A:$C,MATCH($B$1,Database!$A$1:$C$1,),)=0,#N/A,VLOOKUP(Table7[[#This Row],[Date]],Database!$A:$C,MATCH($B$1,Database!$A$1:$C$1,),))</f>
        <v/>
      </c>
      <c r="C6219">
        <f>IF(VLOOKUP(Table7[[#This Row],[Date]],Database!$A:$C,MATCH($C$1,Database!$A$1:$C$1,),)=0,#N/A,VLOOKUP(Table7[[#This Row],[Date]],Database!$A:$C,MATCH($C$1,Database!$A$1:$C$1,),))</f>
        <v/>
      </c>
      <c r="D6219">
        <f>IFERROR(Table7[[#This Row],[United States 10y]]-Table7[[#This Row],[United States 3y]],#N/A)</f>
        <v/>
      </c>
    </row>
    <row r="6220">
      <c r="A6220" s="6">
        <f>Database!$A8305</f>
        <v/>
      </c>
      <c r="B6220">
        <f>IF(VLOOKUP(Table7[[#This Row],[Date]],Database!$A:$C,MATCH($B$1,Database!$A$1:$C$1,),)=0,#N/A,VLOOKUP(Table7[[#This Row],[Date]],Database!$A:$C,MATCH($B$1,Database!$A$1:$C$1,),))</f>
        <v/>
      </c>
      <c r="C6220">
        <f>IF(VLOOKUP(Table7[[#This Row],[Date]],Database!$A:$C,MATCH($C$1,Database!$A$1:$C$1,),)=0,#N/A,VLOOKUP(Table7[[#This Row],[Date]],Database!$A:$C,MATCH($C$1,Database!$A$1:$C$1,),))</f>
        <v/>
      </c>
      <c r="D6220">
        <f>IFERROR(Table7[[#This Row],[United States 10y]]-Table7[[#This Row],[United States 3y]],#N/A)</f>
        <v/>
      </c>
    </row>
    <row r="6221">
      <c r="A6221" s="6">
        <f>Database!$A8306</f>
        <v/>
      </c>
      <c r="B6221">
        <f>IF(VLOOKUP(Table7[[#This Row],[Date]],Database!$A:$C,MATCH($B$1,Database!$A$1:$C$1,),)=0,#N/A,VLOOKUP(Table7[[#This Row],[Date]],Database!$A:$C,MATCH($B$1,Database!$A$1:$C$1,),))</f>
        <v/>
      </c>
      <c r="C6221">
        <f>IF(VLOOKUP(Table7[[#This Row],[Date]],Database!$A:$C,MATCH($C$1,Database!$A$1:$C$1,),)=0,#N/A,VLOOKUP(Table7[[#This Row],[Date]],Database!$A:$C,MATCH($C$1,Database!$A$1:$C$1,),))</f>
        <v/>
      </c>
      <c r="D6221">
        <f>IFERROR(Table7[[#This Row],[United States 10y]]-Table7[[#This Row],[United States 3y]],#N/A)</f>
        <v/>
      </c>
    </row>
    <row r="6222">
      <c r="A6222" s="6">
        <f>Database!$A8307</f>
        <v/>
      </c>
      <c r="B6222">
        <f>IF(VLOOKUP(Table7[[#This Row],[Date]],Database!$A:$C,MATCH($B$1,Database!$A$1:$C$1,),)=0,#N/A,VLOOKUP(Table7[[#This Row],[Date]],Database!$A:$C,MATCH($B$1,Database!$A$1:$C$1,),))</f>
        <v/>
      </c>
      <c r="C6222">
        <f>IF(VLOOKUP(Table7[[#This Row],[Date]],Database!$A:$C,MATCH($C$1,Database!$A$1:$C$1,),)=0,#N/A,VLOOKUP(Table7[[#This Row],[Date]],Database!$A:$C,MATCH($C$1,Database!$A$1:$C$1,),))</f>
        <v/>
      </c>
      <c r="D6222">
        <f>IFERROR(Table7[[#This Row],[United States 10y]]-Table7[[#This Row],[United States 3y]],#N/A)</f>
        <v/>
      </c>
    </row>
    <row r="6223">
      <c r="A6223" s="6">
        <f>Database!$A8308</f>
        <v/>
      </c>
      <c r="B6223">
        <f>IF(VLOOKUP(Table7[[#This Row],[Date]],Database!$A:$C,MATCH($B$1,Database!$A$1:$C$1,),)=0,#N/A,VLOOKUP(Table7[[#This Row],[Date]],Database!$A:$C,MATCH($B$1,Database!$A$1:$C$1,),))</f>
        <v/>
      </c>
      <c r="C6223">
        <f>IF(VLOOKUP(Table7[[#This Row],[Date]],Database!$A:$C,MATCH($C$1,Database!$A$1:$C$1,),)=0,#N/A,VLOOKUP(Table7[[#This Row],[Date]],Database!$A:$C,MATCH($C$1,Database!$A$1:$C$1,),))</f>
        <v/>
      </c>
      <c r="D6223">
        <f>IFERROR(Table7[[#This Row],[United States 10y]]-Table7[[#This Row],[United States 3y]],#N/A)</f>
        <v/>
      </c>
    </row>
    <row r="6224">
      <c r="A6224" s="6">
        <f>Database!$A8309</f>
        <v/>
      </c>
      <c r="B6224">
        <f>IF(VLOOKUP(Table7[[#This Row],[Date]],Database!$A:$C,MATCH($B$1,Database!$A$1:$C$1,),)=0,#N/A,VLOOKUP(Table7[[#This Row],[Date]],Database!$A:$C,MATCH($B$1,Database!$A$1:$C$1,),))</f>
        <v/>
      </c>
      <c r="C6224">
        <f>IF(VLOOKUP(Table7[[#This Row],[Date]],Database!$A:$C,MATCH($C$1,Database!$A$1:$C$1,),)=0,#N/A,VLOOKUP(Table7[[#This Row],[Date]],Database!$A:$C,MATCH($C$1,Database!$A$1:$C$1,),))</f>
        <v/>
      </c>
      <c r="D6224">
        <f>IFERROR(Table7[[#This Row],[United States 10y]]-Table7[[#This Row],[United States 3y]],#N/A)</f>
        <v/>
      </c>
    </row>
    <row r="6225">
      <c r="A6225" s="6">
        <f>Database!$A8310</f>
        <v/>
      </c>
      <c r="B6225">
        <f>IF(VLOOKUP(Table7[[#This Row],[Date]],Database!$A:$C,MATCH($B$1,Database!$A$1:$C$1,),)=0,#N/A,VLOOKUP(Table7[[#This Row],[Date]],Database!$A:$C,MATCH($B$1,Database!$A$1:$C$1,),))</f>
        <v/>
      </c>
      <c r="C6225">
        <f>IF(VLOOKUP(Table7[[#This Row],[Date]],Database!$A:$C,MATCH($C$1,Database!$A$1:$C$1,),)=0,#N/A,VLOOKUP(Table7[[#This Row],[Date]],Database!$A:$C,MATCH($C$1,Database!$A$1:$C$1,),))</f>
        <v/>
      </c>
      <c r="D6225">
        <f>IFERROR(Table7[[#This Row],[United States 10y]]-Table7[[#This Row],[United States 3y]],#N/A)</f>
        <v/>
      </c>
    </row>
    <row r="6226">
      <c r="A6226" s="6">
        <f>Database!$A8311</f>
        <v/>
      </c>
      <c r="B6226">
        <f>IF(VLOOKUP(Table7[[#This Row],[Date]],Database!$A:$C,MATCH($B$1,Database!$A$1:$C$1,),)=0,#N/A,VLOOKUP(Table7[[#This Row],[Date]],Database!$A:$C,MATCH($B$1,Database!$A$1:$C$1,),))</f>
        <v/>
      </c>
      <c r="C6226">
        <f>IF(VLOOKUP(Table7[[#This Row],[Date]],Database!$A:$C,MATCH($C$1,Database!$A$1:$C$1,),)=0,#N/A,VLOOKUP(Table7[[#This Row],[Date]],Database!$A:$C,MATCH($C$1,Database!$A$1:$C$1,),))</f>
        <v/>
      </c>
      <c r="D6226">
        <f>IFERROR(Table7[[#This Row],[United States 10y]]-Table7[[#This Row],[United States 3y]],#N/A)</f>
        <v/>
      </c>
    </row>
    <row r="6227">
      <c r="A6227" s="6">
        <f>Database!$A8312</f>
        <v/>
      </c>
      <c r="B6227">
        <f>IF(VLOOKUP(Table7[[#This Row],[Date]],Database!$A:$C,MATCH($B$1,Database!$A$1:$C$1,),)=0,#N/A,VLOOKUP(Table7[[#This Row],[Date]],Database!$A:$C,MATCH($B$1,Database!$A$1:$C$1,),))</f>
        <v/>
      </c>
      <c r="C6227">
        <f>IF(VLOOKUP(Table7[[#This Row],[Date]],Database!$A:$C,MATCH($C$1,Database!$A$1:$C$1,),)=0,#N/A,VLOOKUP(Table7[[#This Row],[Date]],Database!$A:$C,MATCH($C$1,Database!$A$1:$C$1,),))</f>
        <v/>
      </c>
      <c r="D6227">
        <f>IFERROR(Table7[[#This Row],[United States 10y]]-Table7[[#This Row],[United States 3y]],#N/A)</f>
        <v/>
      </c>
    </row>
    <row r="6228">
      <c r="A6228" s="6">
        <f>Database!$A8313</f>
        <v/>
      </c>
      <c r="B6228">
        <f>IF(VLOOKUP(Table7[[#This Row],[Date]],Database!$A:$C,MATCH($B$1,Database!$A$1:$C$1,),)=0,#N/A,VLOOKUP(Table7[[#This Row],[Date]],Database!$A:$C,MATCH($B$1,Database!$A$1:$C$1,),))</f>
        <v/>
      </c>
      <c r="C6228">
        <f>IF(VLOOKUP(Table7[[#This Row],[Date]],Database!$A:$C,MATCH($C$1,Database!$A$1:$C$1,),)=0,#N/A,VLOOKUP(Table7[[#This Row],[Date]],Database!$A:$C,MATCH($C$1,Database!$A$1:$C$1,),))</f>
        <v/>
      </c>
      <c r="D6228">
        <f>IFERROR(Table7[[#This Row],[United States 10y]]-Table7[[#This Row],[United States 3y]],#N/A)</f>
        <v/>
      </c>
    </row>
    <row r="6229">
      <c r="A6229" s="6">
        <f>Database!$A8314</f>
        <v/>
      </c>
      <c r="B6229">
        <f>IF(VLOOKUP(Table7[[#This Row],[Date]],Database!$A:$C,MATCH($B$1,Database!$A$1:$C$1,),)=0,#N/A,VLOOKUP(Table7[[#This Row],[Date]],Database!$A:$C,MATCH($B$1,Database!$A$1:$C$1,),))</f>
        <v/>
      </c>
      <c r="C6229">
        <f>IF(VLOOKUP(Table7[[#This Row],[Date]],Database!$A:$C,MATCH($C$1,Database!$A$1:$C$1,),)=0,#N/A,VLOOKUP(Table7[[#This Row],[Date]],Database!$A:$C,MATCH($C$1,Database!$A$1:$C$1,),))</f>
        <v/>
      </c>
      <c r="D6229">
        <f>IFERROR(Table7[[#This Row],[United States 10y]]-Table7[[#This Row],[United States 3y]],#N/A)</f>
        <v/>
      </c>
    </row>
    <row r="6230">
      <c r="A6230" s="6">
        <f>Database!$A8315</f>
        <v/>
      </c>
      <c r="B6230">
        <f>IF(VLOOKUP(Table7[[#This Row],[Date]],Database!$A:$C,MATCH($B$1,Database!$A$1:$C$1,),)=0,#N/A,VLOOKUP(Table7[[#This Row],[Date]],Database!$A:$C,MATCH($B$1,Database!$A$1:$C$1,),))</f>
        <v/>
      </c>
      <c r="C6230">
        <f>IF(VLOOKUP(Table7[[#This Row],[Date]],Database!$A:$C,MATCH($C$1,Database!$A$1:$C$1,),)=0,#N/A,VLOOKUP(Table7[[#This Row],[Date]],Database!$A:$C,MATCH($C$1,Database!$A$1:$C$1,),))</f>
        <v/>
      </c>
      <c r="D6230">
        <f>IFERROR(Table7[[#This Row],[United States 10y]]-Table7[[#This Row],[United States 3y]],#N/A)</f>
        <v/>
      </c>
    </row>
    <row r="6231">
      <c r="A6231" s="6">
        <f>Database!$A8316</f>
        <v/>
      </c>
      <c r="B6231">
        <f>IF(VLOOKUP(Table7[[#This Row],[Date]],Database!$A:$C,MATCH($B$1,Database!$A$1:$C$1,),)=0,#N/A,VLOOKUP(Table7[[#This Row],[Date]],Database!$A:$C,MATCH($B$1,Database!$A$1:$C$1,),))</f>
        <v/>
      </c>
      <c r="C6231">
        <f>IF(VLOOKUP(Table7[[#This Row],[Date]],Database!$A:$C,MATCH($C$1,Database!$A$1:$C$1,),)=0,#N/A,VLOOKUP(Table7[[#This Row],[Date]],Database!$A:$C,MATCH($C$1,Database!$A$1:$C$1,),))</f>
        <v/>
      </c>
      <c r="D6231">
        <f>IFERROR(Table7[[#This Row],[United States 10y]]-Table7[[#This Row],[United States 3y]],#N/A)</f>
        <v/>
      </c>
    </row>
    <row r="6232">
      <c r="A6232" s="6">
        <f>Database!$A8317</f>
        <v/>
      </c>
      <c r="B6232">
        <f>IF(VLOOKUP(Table7[[#This Row],[Date]],Database!$A:$C,MATCH($B$1,Database!$A$1:$C$1,),)=0,#N/A,VLOOKUP(Table7[[#This Row],[Date]],Database!$A:$C,MATCH($B$1,Database!$A$1:$C$1,),))</f>
        <v/>
      </c>
      <c r="C6232">
        <f>IF(VLOOKUP(Table7[[#This Row],[Date]],Database!$A:$C,MATCH($C$1,Database!$A$1:$C$1,),)=0,#N/A,VLOOKUP(Table7[[#This Row],[Date]],Database!$A:$C,MATCH($C$1,Database!$A$1:$C$1,),))</f>
        <v/>
      </c>
      <c r="D6232">
        <f>IFERROR(Table7[[#This Row],[United States 10y]]-Table7[[#This Row],[United States 3y]],#N/A)</f>
        <v/>
      </c>
    </row>
    <row r="6233">
      <c r="A6233" s="6">
        <f>Database!$A8318</f>
        <v/>
      </c>
      <c r="B6233">
        <f>IF(VLOOKUP(Table7[[#This Row],[Date]],Database!$A:$C,MATCH($B$1,Database!$A$1:$C$1,),)=0,#N/A,VLOOKUP(Table7[[#This Row],[Date]],Database!$A:$C,MATCH($B$1,Database!$A$1:$C$1,),))</f>
        <v/>
      </c>
      <c r="C6233">
        <f>IF(VLOOKUP(Table7[[#This Row],[Date]],Database!$A:$C,MATCH($C$1,Database!$A$1:$C$1,),)=0,#N/A,VLOOKUP(Table7[[#This Row],[Date]],Database!$A:$C,MATCH($C$1,Database!$A$1:$C$1,),))</f>
        <v/>
      </c>
      <c r="D6233">
        <f>IFERROR(Table7[[#This Row],[United States 10y]]-Table7[[#This Row],[United States 3y]],#N/A)</f>
        <v/>
      </c>
    </row>
    <row r="6234">
      <c r="A6234" s="6">
        <f>Database!$A8319</f>
        <v/>
      </c>
      <c r="B6234">
        <f>IF(VLOOKUP(Table7[[#This Row],[Date]],Database!$A:$C,MATCH($B$1,Database!$A$1:$C$1,),)=0,#N/A,VLOOKUP(Table7[[#This Row],[Date]],Database!$A:$C,MATCH($B$1,Database!$A$1:$C$1,),))</f>
        <v/>
      </c>
      <c r="C6234">
        <f>IF(VLOOKUP(Table7[[#This Row],[Date]],Database!$A:$C,MATCH($C$1,Database!$A$1:$C$1,),)=0,#N/A,VLOOKUP(Table7[[#This Row],[Date]],Database!$A:$C,MATCH($C$1,Database!$A$1:$C$1,),))</f>
        <v/>
      </c>
      <c r="D6234">
        <f>IFERROR(Table7[[#This Row],[United States 10y]]-Table7[[#This Row],[United States 3y]],#N/A)</f>
        <v/>
      </c>
    </row>
    <row r="6235">
      <c r="A6235" s="6">
        <f>Database!$A8320</f>
        <v/>
      </c>
      <c r="B6235">
        <f>IF(VLOOKUP(Table7[[#This Row],[Date]],Database!$A:$C,MATCH($B$1,Database!$A$1:$C$1,),)=0,#N/A,VLOOKUP(Table7[[#This Row],[Date]],Database!$A:$C,MATCH($B$1,Database!$A$1:$C$1,),))</f>
        <v/>
      </c>
      <c r="C6235">
        <f>IF(VLOOKUP(Table7[[#This Row],[Date]],Database!$A:$C,MATCH($C$1,Database!$A$1:$C$1,),)=0,#N/A,VLOOKUP(Table7[[#This Row],[Date]],Database!$A:$C,MATCH($C$1,Database!$A$1:$C$1,),))</f>
        <v/>
      </c>
      <c r="D6235">
        <f>IFERROR(Table7[[#This Row],[United States 10y]]-Table7[[#This Row],[United States 3y]],#N/A)</f>
        <v/>
      </c>
    </row>
    <row r="6236">
      <c r="A6236" s="6">
        <f>Database!$A8321</f>
        <v/>
      </c>
      <c r="B6236">
        <f>IF(VLOOKUP(Table7[[#This Row],[Date]],Database!$A:$C,MATCH($B$1,Database!$A$1:$C$1,),)=0,#N/A,VLOOKUP(Table7[[#This Row],[Date]],Database!$A:$C,MATCH($B$1,Database!$A$1:$C$1,),))</f>
        <v/>
      </c>
      <c r="C6236">
        <f>IF(VLOOKUP(Table7[[#This Row],[Date]],Database!$A:$C,MATCH($C$1,Database!$A$1:$C$1,),)=0,#N/A,VLOOKUP(Table7[[#This Row],[Date]],Database!$A:$C,MATCH($C$1,Database!$A$1:$C$1,),))</f>
        <v/>
      </c>
      <c r="D6236">
        <f>IFERROR(Table7[[#This Row],[United States 10y]]-Table7[[#This Row],[United States 3y]],#N/A)</f>
        <v/>
      </c>
    </row>
    <row r="6237">
      <c r="A6237" s="6">
        <f>Database!$A8322</f>
        <v/>
      </c>
      <c r="B6237">
        <f>IF(VLOOKUP(Table7[[#This Row],[Date]],Database!$A:$C,MATCH($B$1,Database!$A$1:$C$1,),)=0,#N/A,VLOOKUP(Table7[[#This Row],[Date]],Database!$A:$C,MATCH($B$1,Database!$A$1:$C$1,),))</f>
        <v/>
      </c>
      <c r="C6237">
        <f>IF(VLOOKUP(Table7[[#This Row],[Date]],Database!$A:$C,MATCH($C$1,Database!$A$1:$C$1,),)=0,#N/A,VLOOKUP(Table7[[#This Row],[Date]],Database!$A:$C,MATCH($C$1,Database!$A$1:$C$1,),))</f>
        <v/>
      </c>
      <c r="D6237">
        <f>IFERROR(Table7[[#This Row],[United States 10y]]-Table7[[#This Row],[United States 3y]],#N/A)</f>
        <v/>
      </c>
    </row>
    <row r="6238">
      <c r="A6238" s="6">
        <f>Database!$A8323</f>
        <v/>
      </c>
      <c r="B6238">
        <f>IF(VLOOKUP(Table7[[#This Row],[Date]],Database!$A:$C,MATCH($B$1,Database!$A$1:$C$1,),)=0,#N/A,VLOOKUP(Table7[[#This Row],[Date]],Database!$A:$C,MATCH($B$1,Database!$A$1:$C$1,),))</f>
        <v/>
      </c>
      <c r="C6238">
        <f>IF(VLOOKUP(Table7[[#This Row],[Date]],Database!$A:$C,MATCH($C$1,Database!$A$1:$C$1,),)=0,#N/A,VLOOKUP(Table7[[#This Row],[Date]],Database!$A:$C,MATCH($C$1,Database!$A$1:$C$1,),))</f>
        <v/>
      </c>
      <c r="D6238">
        <f>IFERROR(Table7[[#This Row],[United States 10y]]-Table7[[#This Row],[United States 3y]],#N/A)</f>
        <v/>
      </c>
    </row>
    <row r="6239">
      <c r="A6239" s="6">
        <f>Database!$A8324</f>
        <v/>
      </c>
      <c r="B6239">
        <f>IF(VLOOKUP(Table7[[#This Row],[Date]],Database!$A:$C,MATCH($B$1,Database!$A$1:$C$1,),)=0,#N/A,VLOOKUP(Table7[[#This Row],[Date]],Database!$A:$C,MATCH($B$1,Database!$A$1:$C$1,),))</f>
        <v/>
      </c>
      <c r="C6239">
        <f>IF(VLOOKUP(Table7[[#This Row],[Date]],Database!$A:$C,MATCH($C$1,Database!$A$1:$C$1,),)=0,#N/A,VLOOKUP(Table7[[#This Row],[Date]],Database!$A:$C,MATCH($C$1,Database!$A$1:$C$1,),))</f>
        <v/>
      </c>
      <c r="D6239">
        <f>IFERROR(Table7[[#This Row],[United States 10y]]-Table7[[#This Row],[United States 3y]],#N/A)</f>
        <v/>
      </c>
    </row>
    <row r="6240">
      <c r="A6240" s="6">
        <f>Database!$A8325</f>
        <v/>
      </c>
      <c r="B6240">
        <f>IF(VLOOKUP(Table7[[#This Row],[Date]],Database!$A:$C,MATCH($B$1,Database!$A$1:$C$1,),)=0,#N/A,VLOOKUP(Table7[[#This Row],[Date]],Database!$A:$C,MATCH($B$1,Database!$A$1:$C$1,),))</f>
        <v/>
      </c>
      <c r="C6240">
        <f>IF(VLOOKUP(Table7[[#This Row],[Date]],Database!$A:$C,MATCH($C$1,Database!$A$1:$C$1,),)=0,#N/A,VLOOKUP(Table7[[#This Row],[Date]],Database!$A:$C,MATCH($C$1,Database!$A$1:$C$1,),))</f>
        <v/>
      </c>
      <c r="D6240">
        <f>IFERROR(Table7[[#This Row],[United States 10y]]-Table7[[#This Row],[United States 3y]],#N/A)</f>
        <v/>
      </c>
    </row>
    <row r="6241">
      <c r="A6241" s="6">
        <f>Database!$A8326</f>
        <v/>
      </c>
      <c r="B6241">
        <f>IF(VLOOKUP(Table7[[#This Row],[Date]],Database!$A:$C,MATCH($B$1,Database!$A$1:$C$1,),)=0,#N/A,VLOOKUP(Table7[[#This Row],[Date]],Database!$A:$C,MATCH($B$1,Database!$A$1:$C$1,),))</f>
        <v/>
      </c>
      <c r="C6241">
        <f>IF(VLOOKUP(Table7[[#This Row],[Date]],Database!$A:$C,MATCH($C$1,Database!$A$1:$C$1,),)=0,#N/A,VLOOKUP(Table7[[#This Row],[Date]],Database!$A:$C,MATCH($C$1,Database!$A$1:$C$1,),))</f>
        <v/>
      </c>
      <c r="D6241">
        <f>IFERROR(Table7[[#This Row],[United States 10y]]-Table7[[#This Row],[United States 3y]],#N/A)</f>
        <v/>
      </c>
    </row>
    <row r="6242">
      <c r="A6242" s="6">
        <f>Database!$A8327</f>
        <v/>
      </c>
      <c r="B6242">
        <f>IF(VLOOKUP(Table7[[#This Row],[Date]],Database!$A:$C,MATCH($B$1,Database!$A$1:$C$1,),)=0,#N/A,VLOOKUP(Table7[[#This Row],[Date]],Database!$A:$C,MATCH($B$1,Database!$A$1:$C$1,),))</f>
        <v/>
      </c>
      <c r="C6242">
        <f>IF(VLOOKUP(Table7[[#This Row],[Date]],Database!$A:$C,MATCH($C$1,Database!$A$1:$C$1,),)=0,#N/A,VLOOKUP(Table7[[#This Row],[Date]],Database!$A:$C,MATCH($C$1,Database!$A$1:$C$1,),))</f>
        <v/>
      </c>
      <c r="D6242">
        <f>IFERROR(Table7[[#This Row],[United States 10y]]-Table7[[#This Row],[United States 3y]],#N/A)</f>
        <v/>
      </c>
    </row>
    <row r="6243">
      <c r="A6243" s="6">
        <f>Database!$A8328</f>
        <v/>
      </c>
      <c r="B6243">
        <f>IF(VLOOKUP(Table7[[#This Row],[Date]],Database!$A:$C,MATCH($B$1,Database!$A$1:$C$1,),)=0,#N/A,VLOOKUP(Table7[[#This Row],[Date]],Database!$A:$C,MATCH($B$1,Database!$A$1:$C$1,),))</f>
        <v/>
      </c>
      <c r="C6243">
        <f>IF(VLOOKUP(Table7[[#This Row],[Date]],Database!$A:$C,MATCH($C$1,Database!$A$1:$C$1,),)=0,#N/A,VLOOKUP(Table7[[#This Row],[Date]],Database!$A:$C,MATCH($C$1,Database!$A$1:$C$1,),))</f>
        <v/>
      </c>
      <c r="D6243">
        <f>IFERROR(Table7[[#This Row],[United States 10y]]-Table7[[#This Row],[United States 3y]],#N/A)</f>
        <v/>
      </c>
    </row>
    <row r="6244">
      <c r="A6244" s="6">
        <f>Database!$A8329</f>
        <v/>
      </c>
      <c r="B6244">
        <f>IF(VLOOKUP(Table7[[#This Row],[Date]],Database!$A:$C,MATCH($B$1,Database!$A$1:$C$1,),)=0,#N/A,VLOOKUP(Table7[[#This Row],[Date]],Database!$A:$C,MATCH($B$1,Database!$A$1:$C$1,),))</f>
        <v/>
      </c>
      <c r="C6244">
        <f>IF(VLOOKUP(Table7[[#This Row],[Date]],Database!$A:$C,MATCH($C$1,Database!$A$1:$C$1,),)=0,#N/A,VLOOKUP(Table7[[#This Row],[Date]],Database!$A:$C,MATCH($C$1,Database!$A$1:$C$1,),))</f>
        <v/>
      </c>
      <c r="D6244">
        <f>IFERROR(Table7[[#This Row],[United States 10y]]-Table7[[#This Row],[United States 3y]],#N/A)</f>
        <v/>
      </c>
    </row>
    <row r="6245">
      <c r="A6245" s="6">
        <f>Database!$A8330</f>
        <v/>
      </c>
      <c r="B6245">
        <f>IF(VLOOKUP(Table7[[#This Row],[Date]],Database!$A:$C,MATCH($B$1,Database!$A$1:$C$1,),)=0,#N/A,VLOOKUP(Table7[[#This Row],[Date]],Database!$A:$C,MATCH($B$1,Database!$A$1:$C$1,),))</f>
        <v/>
      </c>
      <c r="C6245">
        <f>IF(VLOOKUP(Table7[[#This Row],[Date]],Database!$A:$C,MATCH($C$1,Database!$A$1:$C$1,),)=0,#N/A,VLOOKUP(Table7[[#This Row],[Date]],Database!$A:$C,MATCH($C$1,Database!$A$1:$C$1,),))</f>
        <v/>
      </c>
      <c r="D6245">
        <f>IFERROR(Table7[[#This Row],[United States 10y]]-Table7[[#This Row],[United States 3y]],#N/A)</f>
        <v/>
      </c>
    </row>
    <row r="6246">
      <c r="A6246" s="6">
        <f>Database!$A8331</f>
        <v/>
      </c>
      <c r="B6246">
        <f>IF(VLOOKUP(Table7[[#This Row],[Date]],Database!$A:$C,MATCH($B$1,Database!$A$1:$C$1,),)=0,#N/A,VLOOKUP(Table7[[#This Row],[Date]],Database!$A:$C,MATCH($B$1,Database!$A$1:$C$1,),))</f>
        <v/>
      </c>
      <c r="C6246">
        <f>IF(VLOOKUP(Table7[[#This Row],[Date]],Database!$A:$C,MATCH($C$1,Database!$A$1:$C$1,),)=0,#N/A,VLOOKUP(Table7[[#This Row],[Date]],Database!$A:$C,MATCH($C$1,Database!$A$1:$C$1,),))</f>
        <v/>
      </c>
      <c r="D6246">
        <f>IFERROR(Table7[[#This Row],[United States 10y]]-Table7[[#This Row],[United States 3y]],#N/A)</f>
        <v/>
      </c>
    </row>
    <row r="6247">
      <c r="A6247" s="6">
        <f>Database!$A8332</f>
        <v/>
      </c>
      <c r="B6247">
        <f>IF(VLOOKUP(Table7[[#This Row],[Date]],Database!$A:$C,MATCH($B$1,Database!$A$1:$C$1,),)=0,#N/A,VLOOKUP(Table7[[#This Row],[Date]],Database!$A:$C,MATCH($B$1,Database!$A$1:$C$1,),))</f>
        <v/>
      </c>
      <c r="C6247">
        <f>IF(VLOOKUP(Table7[[#This Row],[Date]],Database!$A:$C,MATCH($C$1,Database!$A$1:$C$1,),)=0,#N/A,VLOOKUP(Table7[[#This Row],[Date]],Database!$A:$C,MATCH($C$1,Database!$A$1:$C$1,),))</f>
        <v/>
      </c>
      <c r="D6247">
        <f>IFERROR(Table7[[#This Row],[United States 10y]]-Table7[[#This Row],[United States 3y]],#N/A)</f>
        <v/>
      </c>
    </row>
    <row r="6248">
      <c r="A6248" s="6">
        <f>Database!$A8333</f>
        <v/>
      </c>
      <c r="B6248">
        <f>IF(VLOOKUP(Table7[[#This Row],[Date]],Database!$A:$C,MATCH($B$1,Database!$A$1:$C$1,),)=0,#N/A,VLOOKUP(Table7[[#This Row],[Date]],Database!$A:$C,MATCH($B$1,Database!$A$1:$C$1,),))</f>
        <v/>
      </c>
      <c r="C6248">
        <f>IF(VLOOKUP(Table7[[#This Row],[Date]],Database!$A:$C,MATCH($C$1,Database!$A$1:$C$1,),)=0,#N/A,VLOOKUP(Table7[[#This Row],[Date]],Database!$A:$C,MATCH($C$1,Database!$A$1:$C$1,),))</f>
        <v/>
      </c>
      <c r="D6248">
        <f>IFERROR(Table7[[#This Row],[United States 10y]]-Table7[[#This Row],[United States 3y]],#N/A)</f>
        <v/>
      </c>
    </row>
    <row r="6249">
      <c r="A6249" s="6">
        <f>Database!$A8334</f>
        <v/>
      </c>
      <c r="B6249">
        <f>IF(VLOOKUP(Table7[[#This Row],[Date]],Database!$A:$C,MATCH($B$1,Database!$A$1:$C$1,),)=0,#N/A,VLOOKUP(Table7[[#This Row],[Date]],Database!$A:$C,MATCH($B$1,Database!$A$1:$C$1,),))</f>
        <v/>
      </c>
      <c r="C6249">
        <f>IF(VLOOKUP(Table7[[#This Row],[Date]],Database!$A:$C,MATCH($C$1,Database!$A$1:$C$1,),)=0,#N/A,VLOOKUP(Table7[[#This Row],[Date]],Database!$A:$C,MATCH($C$1,Database!$A$1:$C$1,),))</f>
        <v/>
      </c>
      <c r="D6249">
        <f>IFERROR(Table7[[#This Row],[United States 10y]]-Table7[[#This Row],[United States 3y]],#N/A)</f>
        <v/>
      </c>
    </row>
    <row r="6250">
      <c r="A6250" s="6">
        <f>Database!$A8335</f>
        <v/>
      </c>
      <c r="B6250">
        <f>IF(VLOOKUP(Table7[[#This Row],[Date]],Database!$A:$C,MATCH($B$1,Database!$A$1:$C$1,),)=0,#N/A,VLOOKUP(Table7[[#This Row],[Date]],Database!$A:$C,MATCH($B$1,Database!$A$1:$C$1,),))</f>
        <v/>
      </c>
      <c r="C6250">
        <f>IF(VLOOKUP(Table7[[#This Row],[Date]],Database!$A:$C,MATCH($C$1,Database!$A$1:$C$1,),)=0,#N/A,VLOOKUP(Table7[[#This Row],[Date]],Database!$A:$C,MATCH($C$1,Database!$A$1:$C$1,),))</f>
        <v/>
      </c>
      <c r="D6250">
        <f>IFERROR(Table7[[#This Row],[United States 10y]]-Table7[[#This Row],[United States 3y]],#N/A)</f>
        <v/>
      </c>
    </row>
    <row r="6251">
      <c r="A6251" s="6">
        <f>Database!$A8336</f>
        <v/>
      </c>
      <c r="B6251">
        <f>IF(VLOOKUP(Table7[[#This Row],[Date]],Database!$A:$C,MATCH($B$1,Database!$A$1:$C$1,),)=0,#N/A,VLOOKUP(Table7[[#This Row],[Date]],Database!$A:$C,MATCH($B$1,Database!$A$1:$C$1,),))</f>
        <v/>
      </c>
      <c r="C6251">
        <f>IF(VLOOKUP(Table7[[#This Row],[Date]],Database!$A:$C,MATCH($C$1,Database!$A$1:$C$1,),)=0,#N/A,VLOOKUP(Table7[[#This Row],[Date]],Database!$A:$C,MATCH($C$1,Database!$A$1:$C$1,),))</f>
        <v/>
      </c>
      <c r="D6251">
        <f>IFERROR(Table7[[#This Row],[United States 10y]]-Table7[[#This Row],[United States 3y]],#N/A)</f>
        <v/>
      </c>
    </row>
    <row r="6252">
      <c r="A6252" s="6">
        <f>Database!$A8337</f>
        <v/>
      </c>
      <c r="B6252">
        <f>IF(VLOOKUP(Table7[[#This Row],[Date]],Database!$A:$C,MATCH($B$1,Database!$A$1:$C$1,),)=0,#N/A,VLOOKUP(Table7[[#This Row],[Date]],Database!$A:$C,MATCH($B$1,Database!$A$1:$C$1,),))</f>
        <v/>
      </c>
      <c r="C6252">
        <f>IF(VLOOKUP(Table7[[#This Row],[Date]],Database!$A:$C,MATCH($C$1,Database!$A$1:$C$1,),)=0,#N/A,VLOOKUP(Table7[[#This Row],[Date]],Database!$A:$C,MATCH($C$1,Database!$A$1:$C$1,),))</f>
        <v/>
      </c>
      <c r="D6252">
        <f>IFERROR(Table7[[#This Row],[United States 10y]]-Table7[[#This Row],[United States 3y]],#N/A)</f>
        <v/>
      </c>
    </row>
    <row r="6253">
      <c r="A6253" s="6">
        <f>Database!$A8338</f>
        <v/>
      </c>
      <c r="B6253">
        <f>IF(VLOOKUP(Table7[[#This Row],[Date]],Database!$A:$C,MATCH($B$1,Database!$A$1:$C$1,),)=0,#N/A,VLOOKUP(Table7[[#This Row],[Date]],Database!$A:$C,MATCH($B$1,Database!$A$1:$C$1,),))</f>
        <v/>
      </c>
      <c r="C6253">
        <f>IF(VLOOKUP(Table7[[#This Row],[Date]],Database!$A:$C,MATCH($C$1,Database!$A$1:$C$1,),)=0,#N/A,VLOOKUP(Table7[[#This Row],[Date]],Database!$A:$C,MATCH($C$1,Database!$A$1:$C$1,),))</f>
        <v/>
      </c>
      <c r="D6253">
        <f>IFERROR(Table7[[#This Row],[United States 10y]]-Table7[[#This Row],[United States 3y]],#N/A)</f>
        <v/>
      </c>
    </row>
    <row r="6254">
      <c r="A6254" s="6">
        <f>Database!$A8339</f>
        <v/>
      </c>
      <c r="B6254">
        <f>IF(VLOOKUP(Table7[[#This Row],[Date]],Database!$A:$C,MATCH($B$1,Database!$A$1:$C$1,),)=0,#N/A,VLOOKUP(Table7[[#This Row],[Date]],Database!$A:$C,MATCH($B$1,Database!$A$1:$C$1,),))</f>
        <v/>
      </c>
      <c r="C6254">
        <f>IF(VLOOKUP(Table7[[#This Row],[Date]],Database!$A:$C,MATCH($C$1,Database!$A$1:$C$1,),)=0,#N/A,VLOOKUP(Table7[[#This Row],[Date]],Database!$A:$C,MATCH($C$1,Database!$A$1:$C$1,),))</f>
        <v/>
      </c>
      <c r="D6254">
        <f>IFERROR(Table7[[#This Row],[United States 10y]]-Table7[[#This Row],[United States 3y]],#N/A)</f>
        <v/>
      </c>
    </row>
    <row r="6255">
      <c r="A6255" s="6">
        <f>Database!$A8340</f>
        <v/>
      </c>
      <c r="B6255">
        <f>IF(VLOOKUP(Table7[[#This Row],[Date]],Database!$A:$C,MATCH($B$1,Database!$A$1:$C$1,),)=0,#N/A,VLOOKUP(Table7[[#This Row],[Date]],Database!$A:$C,MATCH($B$1,Database!$A$1:$C$1,),))</f>
        <v/>
      </c>
      <c r="C6255">
        <f>IF(VLOOKUP(Table7[[#This Row],[Date]],Database!$A:$C,MATCH($C$1,Database!$A$1:$C$1,),)=0,#N/A,VLOOKUP(Table7[[#This Row],[Date]],Database!$A:$C,MATCH($C$1,Database!$A$1:$C$1,),))</f>
        <v/>
      </c>
      <c r="D6255">
        <f>IFERROR(Table7[[#This Row],[United States 10y]]-Table7[[#This Row],[United States 3y]],#N/A)</f>
        <v/>
      </c>
    </row>
    <row r="6256">
      <c r="A6256" s="6">
        <f>Database!$A8341</f>
        <v/>
      </c>
      <c r="B6256">
        <f>IF(VLOOKUP(Table7[[#This Row],[Date]],Database!$A:$C,MATCH($B$1,Database!$A$1:$C$1,),)=0,#N/A,VLOOKUP(Table7[[#This Row],[Date]],Database!$A:$C,MATCH($B$1,Database!$A$1:$C$1,),))</f>
        <v/>
      </c>
      <c r="C6256">
        <f>IF(VLOOKUP(Table7[[#This Row],[Date]],Database!$A:$C,MATCH($C$1,Database!$A$1:$C$1,),)=0,#N/A,VLOOKUP(Table7[[#This Row],[Date]],Database!$A:$C,MATCH($C$1,Database!$A$1:$C$1,),))</f>
        <v/>
      </c>
      <c r="D6256">
        <f>IFERROR(Table7[[#This Row],[United States 10y]]-Table7[[#This Row],[United States 3y]],#N/A)</f>
        <v/>
      </c>
    </row>
    <row r="6257">
      <c r="A6257" s="6">
        <f>Database!$A8342</f>
        <v/>
      </c>
      <c r="B6257">
        <f>IF(VLOOKUP(Table7[[#This Row],[Date]],Database!$A:$C,MATCH($B$1,Database!$A$1:$C$1,),)=0,#N/A,VLOOKUP(Table7[[#This Row],[Date]],Database!$A:$C,MATCH($B$1,Database!$A$1:$C$1,),))</f>
        <v/>
      </c>
      <c r="C6257">
        <f>IF(VLOOKUP(Table7[[#This Row],[Date]],Database!$A:$C,MATCH($C$1,Database!$A$1:$C$1,),)=0,#N/A,VLOOKUP(Table7[[#This Row],[Date]],Database!$A:$C,MATCH($C$1,Database!$A$1:$C$1,),))</f>
        <v/>
      </c>
      <c r="D6257">
        <f>IFERROR(Table7[[#This Row],[United States 10y]]-Table7[[#This Row],[United States 3y]],#N/A)</f>
        <v/>
      </c>
    </row>
    <row r="6258">
      <c r="A6258" s="6">
        <f>Database!$A8343</f>
        <v/>
      </c>
      <c r="B6258">
        <f>IF(VLOOKUP(Table7[[#This Row],[Date]],Database!$A:$C,MATCH($B$1,Database!$A$1:$C$1,),)=0,#N/A,VLOOKUP(Table7[[#This Row],[Date]],Database!$A:$C,MATCH($B$1,Database!$A$1:$C$1,),))</f>
        <v/>
      </c>
      <c r="C6258">
        <f>IF(VLOOKUP(Table7[[#This Row],[Date]],Database!$A:$C,MATCH($C$1,Database!$A$1:$C$1,),)=0,#N/A,VLOOKUP(Table7[[#This Row],[Date]],Database!$A:$C,MATCH($C$1,Database!$A$1:$C$1,),))</f>
        <v/>
      </c>
      <c r="D6258">
        <f>IFERROR(Table7[[#This Row],[United States 10y]]-Table7[[#This Row],[United States 3y]],#N/A)</f>
        <v/>
      </c>
    </row>
    <row r="6259">
      <c r="A6259" s="6">
        <f>Database!$A8344</f>
        <v/>
      </c>
      <c r="B6259">
        <f>IF(VLOOKUP(Table7[[#This Row],[Date]],Database!$A:$C,MATCH($B$1,Database!$A$1:$C$1,),)=0,#N/A,VLOOKUP(Table7[[#This Row],[Date]],Database!$A:$C,MATCH($B$1,Database!$A$1:$C$1,),))</f>
        <v/>
      </c>
      <c r="C6259">
        <f>IF(VLOOKUP(Table7[[#This Row],[Date]],Database!$A:$C,MATCH($C$1,Database!$A$1:$C$1,),)=0,#N/A,VLOOKUP(Table7[[#This Row],[Date]],Database!$A:$C,MATCH($C$1,Database!$A$1:$C$1,),))</f>
        <v/>
      </c>
      <c r="D6259">
        <f>IFERROR(Table7[[#This Row],[United States 10y]]-Table7[[#This Row],[United States 3y]],#N/A)</f>
        <v/>
      </c>
    </row>
    <row r="6260">
      <c r="A6260" s="6">
        <f>Database!$A8345</f>
        <v/>
      </c>
      <c r="B6260">
        <f>IF(VLOOKUP(Table7[[#This Row],[Date]],Database!$A:$C,MATCH($B$1,Database!$A$1:$C$1,),)=0,#N/A,VLOOKUP(Table7[[#This Row],[Date]],Database!$A:$C,MATCH($B$1,Database!$A$1:$C$1,),))</f>
        <v/>
      </c>
      <c r="C6260">
        <f>IF(VLOOKUP(Table7[[#This Row],[Date]],Database!$A:$C,MATCH($C$1,Database!$A$1:$C$1,),)=0,#N/A,VLOOKUP(Table7[[#This Row],[Date]],Database!$A:$C,MATCH($C$1,Database!$A$1:$C$1,),))</f>
        <v/>
      </c>
      <c r="D6260">
        <f>IFERROR(Table7[[#This Row],[United States 10y]]-Table7[[#This Row],[United States 3y]],#N/A)</f>
        <v/>
      </c>
    </row>
    <row r="6261">
      <c r="A6261" s="6">
        <f>Database!$A8346</f>
        <v/>
      </c>
      <c r="B6261">
        <f>IF(VLOOKUP(Table7[[#This Row],[Date]],Database!$A:$C,MATCH($B$1,Database!$A$1:$C$1,),)=0,#N/A,VLOOKUP(Table7[[#This Row],[Date]],Database!$A:$C,MATCH($B$1,Database!$A$1:$C$1,),))</f>
        <v/>
      </c>
      <c r="C6261">
        <f>IF(VLOOKUP(Table7[[#This Row],[Date]],Database!$A:$C,MATCH($C$1,Database!$A$1:$C$1,),)=0,#N/A,VLOOKUP(Table7[[#This Row],[Date]],Database!$A:$C,MATCH($C$1,Database!$A$1:$C$1,),))</f>
        <v/>
      </c>
      <c r="D6261">
        <f>IFERROR(Table7[[#This Row],[United States 10y]]-Table7[[#This Row],[United States 3y]],#N/A)</f>
        <v/>
      </c>
    </row>
    <row r="6262">
      <c r="A6262" s="6">
        <f>Database!$A8347</f>
        <v/>
      </c>
      <c r="B6262">
        <f>IF(VLOOKUP(Table7[[#This Row],[Date]],Database!$A:$C,MATCH($B$1,Database!$A$1:$C$1,),)=0,#N/A,VLOOKUP(Table7[[#This Row],[Date]],Database!$A:$C,MATCH($B$1,Database!$A$1:$C$1,),))</f>
        <v/>
      </c>
      <c r="C6262">
        <f>IF(VLOOKUP(Table7[[#This Row],[Date]],Database!$A:$C,MATCH($C$1,Database!$A$1:$C$1,),)=0,#N/A,VLOOKUP(Table7[[#This Row],[Date]],Database!$A:$C,MATCH($C$1,Database!$A$1:$C$1,),))</f>
        <v/>
      </c>
      <c r="D6262">
        <f>IFERROR(Table7[[#This Row],[United States 10y]]-Table7[[#This Row],[United States 3y]],#N/A)</f>
        <v/>
      </c>
    </row>
    <row r="6263">
      <c r="A6263" s="6">
        <f>Database!$A8348</f>
        <v/>
      </c>
      <c r="B6263">
        <f>IF(VLOOKUP(Table7[[#This Row],[Date]],Database!$A:$C,MATCH($B$1,Database!$A$1:$C$1,),)=0,#N/A,VLOOKUP(Table7[[#This Row],[Date]],Database!$A:$C,MATCH($B$1,Database!$A$1:$C$1,),))</f>
        <v/>
      </c>
      <c r="C6263">
        <f>IF(VLOOKUP(Table7[[#This Row],[Date]],Database!$A:$C,MATCH($C$1,Database!$A$1:$C$1,),)=0,#N/A,VLOOKUP(Table7[[#This Row],[Date]],Database!$A:$C,MATCH($C$1,Database!$A$1:$C$1,),))</f>
        <v/>
      </c>
      <c r="D6263">
        <f>IFERROR(Table7[[#This Row],[United States 10y]]-Table7[[#This Row],[United States 3y]],#N/A)</f>
        <v/>
      </c>
    </row>
    <row r="6264">
      <c r="A6264" s="6">
        <f>Database!$A8349</f>
        <v/>
      </c>
      <c r="B6264">
        <f>IF(VLOOKUP(Table7[[#This Row],[Date]],Database!$A:$C,MATCH($B$1,Database!$A$1:$C$1,),)=0,#N/A,VLOOKUP(Table7[[#This Row],[Date]],Database!$A:$C,MATCH($B$1,Database!$A$1:$C$1,),))</f>
        <v/>
      </c>
      <c r="C6264">
        <f>IF(VLOOKUP(Table7[[#This Row],[Date]],Database!$A:$C,MATCH($C$1,Database!$A$1:$C$1,),)=0,#N/A,VLOOKUP(Table7[[#This Row],[Date]],Database!$A:$C,MATCH($C$1,Database!$A$1:$C$1,),))</f>
        <v/>
      </c>
      <c r="D6264">
        <f>IFERROR(Table7[[#This Row],[United States 10y]]-Table7[[#This Row],[United States 3y]],#N/A)</f>
        <v/>
      </c>
    </row>
    <row r="6265">
      <c r="A6265" s="6">
        <f>Database!$A8350</f>
        <v/>
      </c>
      <c r="B6265">
        <f>IF(VLOOKUP(Table7[[#This Row],[Date]],Database!$A:$C,MATCH($B$1,Database!$A$1:$C$1,),)=0,#N/A,VLOOKUP(Table7[[#This Row],[Date]],Database!$A:$C,MATCH($B$1,Database!$A$1:$C$1,),))</f>
        <v/>
      </c>
      <c r="C6265">
        <f>IF(VLOOKUP(Table7[[#This Row],[Date]],Database!$A:$C,MATCH($C$1,Database!$A$1:$C$1,),)=0,#N/A,VLOOKUP(Table7[[#This Row],[Date]],Database!$A:$C,MATCH($C$1,Database!$A$1:$C$1,),))</f>
        <v/>
      </c>
      <c r="D6265">
        <f>IFERROR(Table7[[#This Row],[United States 10y]]-Table7[[#This Row],[United States 3y]],#N/A)</f>
        <v/>
      </c>
    </row>
    <row r="6266">
      <c r="A6266" s="6">
        <f>Database!$A8351</f>
        <v/>
      </c>
      <c r="B6266">
        <f>IF(VLOOKUP(Table7[[#This Row],[Date]],Database!$A:$C,MATCH($B$1,Database!$A$1:$C$1,),)=0,#N/A,VLOOKUP(Table7[[#This Row],[Date]],Database!$A:$C,MATCH($B$1,Database!$A$1:$C$1,),))</f>
        <v/>
      </c>
      <c r="C6266">
        <f>IF(VLOOKUP(Table7[[#This Row],[Date]],Database!$A:$C,MATCH($C$1,Database!$A$1:$C$1,),)=0,#N/A,VLOOKUP(Table7[[#This Row],[Date]],Database!$A:$C,MATCH($C$1,Database!$A$1:$C$1,),))</f>
        <v/>
      </c>
      <c r="D6266">
        <f>IFERROR(Table7[[#This Row],[United States 10y]]-Table7[[#This Row],[United States 3y]],#N/A)</f>
        <v/>
      </c>
    </row>
    <row r="6267">
      <c r="A6267" s="6">
        <f>Database!$A8352</f>
        <v/>
      </c>
      <c r="B6267">
        <f>IF(VLOOKUP(Table7[[#This Row],[Date]],Database!$A:$C,MATCH($B$1,Database!$A$1:$C$1,),)=0,#N/A,VLOOKUP(Table7[[#This Row],[Date]],Database!$A:$C,MATCH($B$1,Database!$A$1:$C$1,),))</f>
        <v/>
      </c>
      <c r="C6267">
        <f>IF(VLOOKUP(Table7[[#This Row],[Date]],Database!$A:$C,MATCH($C$1,Database!$A$1:$C$1,),)=0,#N/A,VLOOKUP(Table7[[#This Row],[Date]],Database!$A:$C,MATCH($C$1,Database!$A$1:$C$1,),))</f>
        <v/>
      </c>
      <c r="D6267">
        <f>IFERROR(Table7[[#This Row],[United States 10y]]-Table7[[#This Row],[United States 3y]],#N/A)</f>
        <v/>
      </c>
    </row>
    <row r="6268">
      <c r="A6268" s="6">
        <f>Database!$A8353</f>
        <v/>
      </c>
      <c r="B6268">
        <f>IF(VLOOKUP(Table7[[#This Row],[Date]],Database!$A:$C,MATCH($B$1,Database!$A$1:$C$1,),)=0,#N/A,VLOOKUP(Table7[[#This Row],[Date]],Database!$A:$C,MATCH($B$1,Database!$A$1:$C$1,),))</f>
        <v/>
      </c>
      <c r="C6268">
        <f>IF(VLOOKUP(Table7[[#This Row],[Date]],Database!$A:$C,MATCH($C$1,Database!$A$1:$C$1,),)=0,#N/A,VLOOKUP(Table7[[#This Row],[Date]],Database!$A:$C,MATCH($C$1,Database!$A$1:$C$1,),))</f>
        <v/>
      </c>
      <c r="D6268">
        <f>IFERROR(Table7[[#This Row],[United States 10y]]-Table7[[#This Row],[United States 3y]],#N/A)</f>
        <v/>
      </c>
    </row>
    <row r="6269">
      <c r="A6269" s="6">
        <f>Database!$A8354</f>
        <v/>
      </c>
      <c r="B6269">
        <f>IF(VLOOKUP(Table7[[#This Row],[Date]],Database!$A:$C,MATCH($B$1,Database!$A$1:$C$1,),)=0,#N/A,VLOOKUP(Table7[[#This Row],[Date]],Database!$A:$C,MATCH($B$1,Database!$A$1:$C$1,),))</f>
        <v/>
      </c>
      <c r="C6269">
        <f>IF(VLOOKUP(Table7[[#This Row],[Date]],Database!$A:$C,MATCH($C$1,Database!$A$1:$C$1,),)=0,#N/A,VLOOKUP(Table7[[#This Row],[Date]],Database!$A:$C,MATCH($C$1,Database!$A$1:$C$1,),))</f>
        <v/>
      </c>
      <c r="D6269">
        <f>IFERROR(Table7[[#This Row],[United States 10y]]-Table7[[#This Row],[United States 3y]],#N/A)</f>
        <v/>
      </c>
    </row>
    <row r="6270">
      <c r="A6270" s="6">
        <f>Database!$A8355</f>
        <v/>
      </c>
      <c r="B6270">
        <f>IF(VLOOKUP(Table7[[#This Row],[Date]],Database!$A:$C,MATCH($B$1,Database!$A$1:$C$1,),)=0,#N/A,VLOOKUP(Table7[[#This Row],[Date]],Database!$A:$C,MATCH($B$1,Database!$A$1:$C$1,),))</f>
        <v/>
      </c>
      <c r="C6270">
        <f>IF(VLOOKUP(Table7[[#This Row],[Date]],Database!$A:$C,MATCH($C$1,Database!$A$1:$C$1,),)=0,#N/A,VLOOKUP(Table7[[#This Row],[Date]],Database!$A:$C,MATCH($C$1,Database!$A$1:$C$1,),))</f>
        <v/>
      </c>
      <c r="D6270">
        <f>IFERROR(Table7[[#This Row],[United States 10y]]-Table7[[#This Row],[United States 3y]],#N/A)</f>
        <v/>
      </c>
    </row>
    <row r="6271">
      <c r="A6271" s="6">
        <f>Database!$A8356</f>
        <v/>
      </c>
      <c r="B6271">
        <f>IF(VLOOKUP(Table7[[#This Row],[Date]],Database!$A:$C,MATCH($B$1,Database!$A$1:$C$1,),)=0,#N/A,VLOOKUP(Table7[[#This Row],[Date]],Database!$A:$C,MATCH($B$1,Database!$A$1:$C$1,),))</f>
        <v/>
      </c>
      <c r="C6271">
        <f>IF(VLOOKUP(Table7[[#This Row],[Date]],Database!$A:$C,MATCH($C$1,Database!$A$1:$C$1,),)=0,#N/A,VLOOKUP(Table7[[#This Row],[Date]],Database!$A:$C,MATCH($C$1,Database!$A$1:$C$1,),))</f>
        <v/>
      </c>
      <c r="D6271">
        <f>IFERROR(Table7[[#This Row],[United States 10y]]-Table7[[#This Row],[United States 3y]],#N/A)</f>
        <v/>
      </c>
    </row>
    <row r="6272">
      <c r="A6272" s="6">
        <f>Database!$A8357</f>
        <v/>
      </c>
      <c r="B6272">
        <f>IF(VLOOKUP(Table7[[#This Row],[Date]],Database!$A:$C,MATCH($B$1,Database!$A$1:$C$1,),)=0,#N/A,VLOOKUP(Table7[[#This Row],[Date]],Database!$A:$C,MATCH($B$1,Database!$A$1:$C$1,),))</f>
        <v/>
      </c>
      <c r="C6272">
        <f>IF(VLOOKUP(Table7[[#This Row],[Date]],Database!$A:$C,MATCH($C$1,Database!$A$1:$C$1,),)=0,#N/A,VLOOKUP(Table7[[#This Row],[Date]],Database!$A:$C,MATCH($C$1,Database!$A$1:$C$1,),))</f>
        <v/>
      </c>
      <c r="D6272">
        <f>IFERROR(Table7[[#This Row],[United States 10y]]-Table7[[#This Row],[United States 3y]],#N/A)</f>
        <v/>
      </c>
    </row>
    <row r="6273">
      <c r="A6273" s="6">
        <f>Database!$A8358</f>
        <v/>
      </c>
      <c r="B6273">
        <f>IF(VLOOKUP(Table7[[#This Row],[Date]],Database!$A:$C,MATCH($B$1,Database!$A$1:$C$1,),)=0,#N/A,VLOOKUP(Table7[[#This Row],[Date]],Database!$A:$C,MATCH($B$1,Database!$A$1:$C$1,),))</f>
        <v/>
      </c>
      <c r="C6273">
        <f>IF(VLOOKUP(Table7[[#This Row],[Date]],Database!$A:$C,MATCH($C$1,Database!$A$1:$C$1,),)=0,#N/A,VLOOKUP(Table7[[#This Row],[Date]],Database!$A:$C,MATCH($C$1,Database!$A$1:$C$1,),))</f>
        <v/>
      </c>
      <c r="D6273">
        <f>IFERROR(Table7[[#This Row],[United States 10y]]-Table7[[#This Row],[United States 3y]],#N/A)</f>
        <v/>
      </c>
    </row>
    <row r="6274">
      <c r="A6274" s="6">
        <f>Database!$A8359</f>
        <v/>
      </c>
      <c r="B6274">
        <f>IF(VLOOKUP(Table7[[#This Row],[Date]],Database!$A:$C,MATCH($B$1,Database!$A$1:$C$1,),)=0,#N/A,VLOOKUP(Table7[[#This Row],[Date]],Database!$A:$C,MATCH($B$1,Database!$A$1:$C$1,),))</f>
        <v/>
      </c>
      <c r="C6274">
        <f>IF(VLOOKUP(Table7[[#This Row],[Date]],Database!$A:$C,MATCH($C$1,Database!$A$1:$C$1,),)=0,#N/A,VLOOKUP(Table7[[#This Row],[Date]],Database!$A:$C,MATCH($C$1,Database!$A$1:$C$1,),))</f>
        <v/>
      </c>
      <c r="D6274">
        <f>IFERROR(Table7[[#This Row],[United States 10y]]-Table7[[#This Row],[United States 3y]],#N/A)</f>
        <v/>
      </c>
    </row>
    <row r="6275">
      <c r="A6275" s="6">
        <f>Database!$A8360</f>
        <v/>
      </c>
      <c r="B6275">
        <f>IF(VLOOKUP(Table7[[#This Row],[Date]],Database!$A:$C,MATCH($B$1,Database!$A$1:$C$1,),)=0,#N/A,VLOOKUP(Table7[[#This Row],[Date]],Database!$A:$C,MATCH($B$1,Database!$A$1:$C$1,),))</f>
        <v/>
      </c>
      <c r="C6275">
        <f>IF(VLOOKUP(Table7[[#This Row],[Date]],Database!$A:$C,MATCH($C$1,Database!$A$1:$C$1,),)=0,#N/A,VLOOKUP(Table7[[#This Row],[Date]],Database!$A:$C,MATCH($C$1,Database!$A$1:$C$1,),))</f>
        <v/>
      </c>
      <c r="D6275">
        <f>IFERROR(Table7[[#This Row],[United States 10y]]-Table7[[#This Row],[United States 3y]],#N/A)</f>
        <v/>
      </c>
    </row>
    <row r="6276">
      <c r="A6276" s="6">
        <f>Database!$A8361</f>
        <v/>
      </c>
      <c r="B6276">
        <f>IF(VLOOKUP(Table7[[#This Row],[Date]],Database!$A:$C,MATCH($B$1,Database!$A$1:$C$1,),)=0,#N/A,VLOOKUP(Table7[[#This Row],[Date]],Database!$A:$C,MATCH($B$1,Database!$A$1:$C$1,),))</f>
        <v/>
      </c>
      <c r="C6276">
        <f>IF(VLOOKUP(Table7[[#This Row],[Date]],Database!$A:$C,MATCH($C$1,Database!$A$1:$C$1,),)=0,#N/A,VLOOKUP(Table7[[#This Row],[Date]],Database!$A:$C,MATCH($C$1,Database!$A$1:$C$1,),))</f>
        <v/>
      </c>
      <c r="D6276">
        <f>IFERROR(Table7[[#This Row],[United States 10y]]-Table7[[#This Row],[United States 3y]],#N/A)</f>
        <v/>
      </c>
    </row>
    <row r="6277">
      <c r="A6277" s="6">
        <f>Database!$A8362</f>
        <v/>
      </c>
      <c r="B6277">
        <f>IF(VLOOKUP(Table7[[#This Row],[Date]],Database!$A:$C,MATCH($B$1,Database!$A$1:$C$1,),)=0,#N/A,VLOOKUP(Table7[[#This Row],[Date]],Database!$A:$C,MATCH($B$1,Database!$A$1:$C$1,),))</f>
        <v/>
      </c>
      <c r="C6277">
        <f>IF(VLOOKUP(Table7[[#This Row],[Date]],Database!$A:$C,MATCH($C$1,Database!$A$1:$C$1,),)=0,#N/A,VLOOKUP(Table7[[#This Row],[Date]],Database!$A:$C,MATCH($C$1,Database!$A$1:$C$1,),))</f>
        <v/>
      </c>
      <c r="D6277">
        <f>IFERROR(Table7[[#This Row],[United States 10y]]-Table7[[#This Row],[United States 3y]],#N/A)</f>
        <v/>
      </c>
    </row>
    <row r="6278">
      <c r="A6278" s="6">
        <f>Database!$A8363</f>
        <v/>
      </c>
      <c r="B6278">
        <f>IF(VLOOKUP(Table7[[#This Row],[Date]],Database!$A:$C,MATCH($B$1,Database!$A$1:$C$1,),)=0,#N/A,VLOOKUP(Table7[[#This Row],[Date]],Database!$A:$C,MATCH($B$1,Database!$A$1:$C$1,),))</f>
        <v/>
      </c>
      <c r="C6278">
        <f>IF(VLOOKUP(Table7[[#This Row],[Date]],Database!$A:$C,MATCH($C$1,Database!$A$1:$C$1,),)=0,#N/A,VLOOKUP(Table7[[#This Row],[Date]],Database!$A:$C,MATCH($C$1,Database!$A$1:$C$1,),))</f>
        <v/>
      </c>
      <c r="D6278">
        <f>IFERROR(Table7[[#This Row],[United States 10y]]-Table7[[#This Row],[United States 3y]],#N/A)</f>
        <v/>
      </c>
    </row>
    <row r="6279">
      <c r="A6279" s="6">
        <f>Database!$A8364</f>
        <v/>
      </c>
      <c r="B6279">
        <f>IF(VLOOKUP(Table7[[#This Row],[Date]],Database!$A:$C,MATCH($B$1,Database!$A$1:$C$1,),)=0,#N/A,VLOOKUP(Table7[[#This Row],[Date]],Database!$A:$C,MATCH($B$1,Database!$A$1:$C$1,),))</f>
        <v/>
      </c>
      <c r="C6279">
        <f>IF(VLOOKUP(Table7[[#This Row],[Date]],Database!$A:$C,MATCH($C$1,Database!$A$1:$C$1,),)=0,#N/A,VLOOKUP(Table7[[#This Row],[Date]],Database!$A:$C,MATCH($C$1,Database!$A$1:$C$1,),))</f>
        <v/>
      </c>
      <c r="D6279">
        <f>IFERROR(Table7[[#This Row],[United States 10y]]-Table7[[#This Row],[United States 3y]],#N/A)</f>
        <v/>
      </c>
    </row>
    <row r="6280">
      <c r="A6280" s="6">
        <f>Database!$A8365</f>
        <v/>
      </c>
      <c r="B6280">
        <f>IF(VLOOKUP(Table7[[#This Row],[Date]],Database!$A:$C,MATCH($B$1,Database!$A$1:$C$1,),)=0,#N/A,VLOOKUP(Table7[[#This Row],[Date]],Database!$A:$C,MATCH($B$1,Database!$A$1:$C$1,),))</f>
        <v/>
      </c>
      <c r="C6280">
        <f>IF(VLOOKUP(Table7[[#This Row],[Date]],Database!$A:$C,MATCH($C$1,Database!$A$1:$C$1,),)=0,#N/A,VLOOKUP(Table7[[#This Row],[Date]],Database!$A:$C,MATCH($C$1,Database!$A$1:$C$1,),))</f>
        <v/>
      </c>
      <c r="D6280">
        <f>IFERROR(Table7[[#This Row],[United States 10y]]-Table7[[#This Row],[United States 3y]],#N/A)</f>
        <v/>
      </c>
    </row>
    <row r="6281">
      <c r="A6281" s="6">
        <f>Database!$A8366</f>
        <v/>
      </c>
      <c r="B6281">
        <f>IF(VLOOKUP(Table7[[#This Row],[Date]],Database!$A:$C,MATCH($B$1,Database!$A$1:$C$1,),)=0,#N/A,VLOOKUP(Table7[[#This Row],[Date]],Database!$A:$C,MATCH($B$1,Database!$A$1:$C$1,),))</f>
        <v/>
      </c>
      <c r="C6281">
        <f>IF(VLOOKUP(Table7[[#This Row],[Date]],Database!$A:$C,MATCH($C$1,Database!$A$1:$C$1,),)=0,#N/A,VLOOKUP(Table7[[#This Row],[Date]],Database!$A:$C,MATCH($C$1,Database!$A$1:$C$1,),))</f>
        <v/>
      </c>
      <c r="D6281">
        <f>IFERROR(Table7[[#This Row],[United States 10y]]-Table7[[#This Row],[United States 3y]],#N/A)</f>
        <v/>
      </c>
    </row>
    <row r="6282">
      <c r="A6282" s="6">
        <f>Database!$A8367</f>
        <v/>
      </c>
      <c r="B6282">
        <f>IF(VLOOKUP(Table7[[#This Row],[Date]],Database!$A:$C,MATCH($B$1,Database!$A$1:$C$1,),)=0,#N/A,VLOOKUP(Table7[[#This Row],[Date]],Database!$A:$C,MATCH($B$1,Database!$A$1:$C$1,),))</f>
        <v/>
      </c>
      <c r="C6282">
        <f>IF(VLOOKUP(Table7[[#This Row],[Date]],Database!$A:$C,MATCH($C$1,Database!$A$1:$C$1,),)=0,#N/A,VLOOKUP(Table7[[#This Row],[Date]],Database!$A:$C,MATCH($C$1,Database!$A$1:$C$1,),))</f>
        <v/>
      </c>
      <c r="D6282">
        <f>IFERROR(Table7[[#This Row],[United States 10y]]-Table7[[#This Row],[United States 3y]],#N/A)</f>
        <v/>
      </c>
    </row>
    <row r="6283">
      <c r="A6283" s="6">
        <f>Database!$A8368</f>
        <v/>
      </c>
      <c r="B6283">
        <f>IF(VLOOKUP(Table7[[#This Row],[Date]],Database!$A:$C,MATCH($B$1,Database!$A$1:$C$1,),)=0,#N/A,VLOOKUP(Table7[[#This Row],[Date]],Database!$A:$C,MATCH($B$1,Database!$A$1:$C$1,),))</f>
        <v/>
      </c>
      <c r="C6283">
        <f>IF(VLOOKUP(Table7[[#This Row],[Date]],Database!$A:$C,MATCH($C$1,Database!$A$1:$C$1,),)=0,#N/A,VLOOKUP(Table7[[#This Row],[Date]],Database!$A:$C,MATCH($C$1,Database!$A$1:$C$1,),))</f>
        <v/>
      </c>
      <c r="D6283">
        <f>IFERROR(Table7[[#This Row],[United States 10y]]-Table7[[#This Row],[United States 3y]],#N/A)</f>
        <v/>
      </c>
    </row>
    <row r="6284">
      <c r="A6284" s="6">
        <f>Database!$A8369</f>
        <v/>
      </c>
      <c r="B6284">
        <f>IF(VLOOKUP(Table7[[#This Row],[Date]],Database!$A:$C,MATCH($B$1,Database!$A$1:$C$1,),)=0,#N/A,VLOOKUP(Table7[[#This Row],[Date]],Database!$A:$C,MATCH($B$1,Database!$A$1:$C$1,),))</f>
        <v/>
      </c>
      <c r="C6284">
        <f>IF(VLOOKUP(Table7[[#This Row],[Date]],Database!$A:$C,MATCH($C$1,Database!$A$1:$C$1,),)=0,#N/A,VLOOKUP(Table7[[#This Row],[Date]],Database!$A:$C,MATCH($C$1,Database!$A$1:$C$1,),))</f>
        <v/>
      </c>
      <c r="D6284">
        <f>IFERROR(Table7[[#This Row],[United States 10y]]-Table7[[#This Row],[United States 3y]],#N/A)</f>
        <v/>
      </c>
    </row>
    <row r="6285">
      <c r="A6285" s="6">
        <f>Database!$A8370</f>
        <v/>
      </c>
      <c r="B6285">
        <f>IF(VLOOKUP(Table7[[#This Row],[Date]],Database!$A:$C,MATCH($B$1,Database!$A$1:$C$1,),)=0,#N/A,VLOOKUP(Table7[[#This Row],[Date]],Database!$A:$C,MATCH($B$1,Database!$A$1:$C$1,),))</f>
        <v/>
      </c>
      <c r="C6285">
        <f>IF(VLOOKUP(Table7[[#This Row],[Date]],Database!$A:$C,MATCH($C$1,Database!$A$1:$C$1,),)=0,#N/A,VLOOKUP(Table7[[#This Row],[Date]],Database!$A:$C,MATCH($C$1,Database!$A$1:$C$1,),))</f>
        <v/>
      </c>
      <c r="D6285">
        <f>IFERROR(Table7[[#This Row],[United States 10y]]-Table7[[#This Row],[United States 3y]],#N/A)</f>
        <v/>
      </c>
    </row>
    <row r="6286">
      <c r="A6286" s="6">
        <f>Database!$A8371</f>
        <v/>
      </c>
      <c r="B6286">
        <f>IF(VLOOKUP(Table7[[#This Row],[Date]],Database!$A:$C,MATCH($B$1,Database!$A$1:$C$1,),)=0,#N/A,VLOOKUP(Table7[[#This Row],[Date]],Database!$A:$C,MATCH($B$1,Database!$A$1:$C$1,),))</f>
        <v/>
      </c>
      <c r="C6286">
        <f>IF(VLOOKUP(Table7[[#This Row],[Date]],Database!$A:$C,MATCH($C$1,Database!$A$1:$C$1,),)=0,#N/A,VLOOKUP(Table7[[#This Row],[Date]],Database!$A:$C,MATCH($C$1,Database!$A$1:$C$1,),))</f>
        <v/>
      </c>
      <c r="D6286">
        <f>IFERROR(Table7[[#This Row],[United States 10y]]-Table7[[#This Row],[United States 3y]],#N/A)</f>
        <v/>
      </c>
    </row>
    <row r="6287">
      <c r="A6287" s="6">
        <f>Database!$A8372</f>
        <v/>
      </c>
      <c r="B6287">
        <f>IF(VLOOKUP(Table7[[#This Row],[Date]],Database!$A:$C,MATCH($B$1,Database!$A$1:$C$1,),)=0,#N/A,VLOOKUP(Table7[[#This Row],[Date]],Database!$A:$C,MATCH($B$1,Database!$A$1:$C$1,),))</f>
        <v/>
      </c>
      <c r="C6287">
        <f>IF(VLOOKUP(Table7[[#This Row],[Date]],Database!$A:$C,MATCH($C$1,Database!$A$1:$C$1,),)=0,#N/A,VLOOKUP(Table7[[#This Row],[Date]],Database!$A:$C,MATCH($C$1,Database!$A$1:$C$1,),))</f>
        <v/>
      </c>
      <c r="D6287">
        <f>IFERROR(Table7[[#This Row],[United States 10y]]-Table7[[#This Row],[United States 3y]],#N/A)</f>
        <v/>
      </c>
    </row>
    <row r="6288">
      <c r="A6288" s="6">
        <f>Database!$A8373</f>
        <v/>
      </c>
      <c r="B6288">
        <f>IF(VLOOKUP(Table7[[#This Row],[Date]],Database!$A:$C,MATCH($B$1,Database!$A$1:$C$1,),)=0,#N/A,VLOOKUP(Table7[[#This Row],[Date]],Database!$A:$C,MATCH($B$1,Database!$A$1:$C$1,),))</f>
        <v/>
      </c>
      <c r="C6288">
        <f>IF(VLOOKUP(Table7[[#This Row],[Date]],Database!$A:$C,MATCH($C$1,Database!$A$1:$C$1,),)=0,#N/A,VLOOKUP(Table7[[#This Row],[Date]],Database!$A:$C,MATCH($C$1,Database!$A$1:$C$1,),))</f>
        <v/>
      </c>
      <c r="D6288">
        <f>IFERROR(Table7[[#This Row],[United States 10y]]-Table7[[#This Row],[United States 3y]],#N/A)</f>
        <v/>
      </c>
    </row>
    <row r="6289">
      <c r="A6289" s="6">
        <f>Database!$A8374</f>
        <v/>
      </c>
      <c r="B6289">
        <f>IF(VLOOKUP(Table7[[#This Row],[Date]],Database!$A:$C,MATCH($B$1,Database!$A$1:$C$1,),)=0,#N/A,VLOOKUP(Table7[[#This Row],[Date]],Database!$A:$C,MATCH($B$1,Database!$A$1:$C$1,),))</f>
        <v/>
      </c>
      <c r="C6289">
        <f>IF(VLOOKUP(Table7[[#This Row],[Date]],Database!$A:$C,MATCH($C$1,Database!$A$1:$C$1,),)=0,#N/A,VLOOKUP(Table7[[#This Row],[Date]],Database!$A:$C,MATCH($C$1,Database!$A$1:$C$1,),))</f>
        <v/>
      </c>
      <c r="D6289">
        <f>IFERROR(Table7[[#This Row],[United States 10y]]-Table7[[#This Row],[United States 3y]],#N/A)</f>
        <v/>
      </c>
    </row>
    <row r="6290">
      <c r="A6290" s="6">
        <f>Database!$A8375</f>
        <v/>
      </c>
      <c r="B6290">
        <f>IF(VLOOKUP(Table7[[#This Row],[Date]],Database!$A:$C,MATCH($B$1,Database!$A$1:$C$1,),)=0,#N/A,VLOOKUP(Table7[[#This Row],[Date]],Database!$A:$C,MATCH($B$1,Database!$A$1:$C$1,),))</f>
        <v/>
      </c>
      <c r="C6290">
        <f>IF(VLOOKUP(Table7[[#This Row],[Date]],Database!$A:$C,MATCH($C$1,Database!$A$1:$C$1,),)=0,#N/A,VLOOKUP(Table7[[#This Row],[Date]],Database!$A:$C,MATCH($C$1,Database!$A$1:$C$1,),))</f>
        <v/>
      </c>
      <c r="D6290">
        <f>IFERROR(Table7[[#This Row],[United States 10y]]-Table7[[#This Row],[United States 3y]],#N/A)</f>
        <v/>
      </c>
    </row>
    <row r="6291">
      <c r="A6291" s="6">
        <f>Database!$A8376</f>
        <v/>
      </c>
      <c r="B6291">
        <f>IF(VLOOKUP(Table7[[#This Row],[Date]],Database!$A:$C,MATCH($B$1,Database!$A$1:$C$1,),)=0,#N/A,VLOOKUP(Table7[[#This Row],[Date]],Database!$A:$C,MATCH($B$1,Database!$A$1:$C$1,),))</f>
        <v/>
      </c>
      <c r="C6291">
        <f>IF(VLOOKUP(Table7[[#This Row],[Date]],Database!$A:$C,MATCH($C$1,Database!$A$1:$C$1,),)=0,#N/A,VLOOKUP(Table7[[#This Row],[Date]],Database!$A:$C,MATCH($C$1,Database!$A$1:$C$1,),))</f>
        <v/>
      </c>
      <c r="D6291">
        <f>IFERROR(Table7[[#This Row],[United States 10y]]-Table7[[#This Row],[United States 3y]],#N/A)</f>
        <v/>
      </c>
    </row>
    <row r="6292">
      <c r="A6292" s="6">
        <f>Database!$A8377</f>
        <v/>
      </c>
      <c r="B6292">
        <f>IF(VLOOKUP(Table7[[#This Row],[Date]],Database!$A:$C,MATCH($B$1,Database!$A$1:$C$1,),)=0,#N/A,VLOOKUP(Table7[[#This Row],[Date]],Database!$A:$C,MATCH($B$1,Database!$A$1:$C$1,),))</f>
        <v/>
      </c>
      <c r="C6292">
        <f>IF(VLOOKUP(Table7[[#This Row],[Date]],Database!$A:$C,MATCH($C$1,Database!$A$1:$C$1,),)=0,#N/A,VLOOKUP(Table7[[#This Row],[Date]],Database!$A:$C,MATCH($C$1,Database!$A$1:$C$1,),))</f>
        <v/>
      </c>
      <c r="D6292">
        <f>IFERROR(Table7[[#This Row],[United States 10y]]-Table7[[#This Row],[United States 3y]],#N/A)</f>
        <v/>
      </c>
    </row>
    <row r="6293">
      <c r="A6293" s="6">
        <f>Database!$A8378</f>
        <v/>
      </c>
      <c r="B6293">
        <f>IF(VLOOKUP(Table7[[#This Row],[Date]],Database!$A:$C,MATCH($B$1,Database!$A$1:$C$1,),)=0,#N/A,VLOOKUP(Table7[[#This Row],[Date]],Database!$A:$C,MATCH($B$1,Database!$A$1:$C$1,),))</f>
        <v/>
      </c>
      <c r="C6293">
        <f>IF(VLOOKUP(Table7[[#This Row],[Date]],Database!$A:$C,MATCH($C$1,Database!$A$1:$C$1,),)=0,#N/A,VLOOKUP(Table7[[#This Row],[Date]],Database!$A:$C,MATCH($C$1,Database!$A$1:$C$1,),))</f>
        <v/>
      </c>
      <c r="D6293">
        <f>IFERROR(Table7[[#This Row],[United States 10y]]-Table7[[#This Row],[United States 3y]],#N/A)</f>
        <v/>
      </c>
    </row>
    <row r="6294">
      <c r="A6294" s="6">
        <f>Database!$A8379</f>
        <v/>
      </c>
      <c r="B6294">
        <f>IF(VLOOKUP(Table7[[#This Row],[Date]],Database!$A:$C,MATCH($B$1,Database!$A$1:$C$1,),)=0,#N/A,VLOOKUP(Table7[[#This Row],[Date]],Database!$A:$C,MATCH($B$1,Database!$A$1:$C$1,),))</f>
        <v/>
      </c>
      <c r="C6294">
        <f>IF(VLOOKUP(Table7[[#This Row],[Date]],Database!$A:$C,MATCH($C$1,Database!$A$1:$C$1,),)=0,#N/A,VLOOKUP(Table7[[#This Row],[Date]],Database!$A:$C,MATCH($C$1,Database!$A$1:$C$1,),))</f>
        <v/>
      </c>
      <c r="D6294">
        <f>IFERROR(Table7[[#This Row],[United States 10y]]-Table7[[#This Row],[United States 3y]],#N/A)</f>
        <v/>
      </c>
    </row>
    <row r="6295">
      <c r="A6295" s="6">
        <f>Database!$A8380</f>
        <v/>
      </c>
      <c r="B6295">
        <f>IF(VLOOKUP(Table7[[#This Row],[Date]],Database!$A:$C,MATCH($B$1,Database!$A$1:$C$1,),)=0,#N/A,VLOOKUP(Table7[[#This Row],[Date]],Database!$A:$C,MATCH($B$1,Database!$A$1:$C$1,),))</f>
        <v/>
      </c>
      <c r="C6295">
        <f>IF(VLOOKUP(Table7[[#This Row],[Date]],Database!$A:$C,MATCH($C$1,Database!$A$1:$C$1,),)=0,#N/A,VLOOKUP(Table7[[#This Row],[Date]],Database!$A:$C,MATCH($C$1,Database!$A$1:$C$1,),))</f>
        <v/>
      </c>
      <c r="D6295">
        <f>IFERROR(Table7[[#This Row],[United States 10y]]-Table7[[#This Row],[United States 3y]],#N/A)</f>
        <v/>
      </c>
    </row>
    <row r="6296">
      <c r="A6296" s="6">
        <f>Database!$A8381</f>
        <v/>
      </c>
      <c r="B6296">
        <f>IF(VLOOKUP(Table7[[#This Row],[Date]],Database!$A:$C,MATCH($B$1,Database!$A$1:$C$1,),)=0,#N/A,VLOOKUP(Table7[[#This Row],[Date]],Database!$A:$C,MATCH($B$1,Database!$A$1:$C$1,),))</f>
        <v/>
      </c>
      <c r="C6296">
        <f>IF(VLOOKUP(Table7[[#This Row],[Date]],Database!$A:$C,MATCH($C$1,Database!$A$1:$C$1,),)=0,#N/A,VLOOKUP(Table7[[#This Row],[Date]],Database!$A:$C,MATCH($C$1,Database!$A$1:$C$1,),))</f>
        <v/>
      </c>
      <c r="D6296">
        <f>IFERROR(Table7[[#This Row],[United States 10y]]-Table7[[#This Row],[United States 3y]],#N/A)</f>
        <v/>
      </c>
    </row>
    <row r="6297">
      <c r="A6297" s="6">
        <f>Database!$A8382</f>
        <v/>
      </c>
      <c r="B6297">
        <f>IF(VLOOKUP(Table7[[#This Row],[Date]],Database!$A:$C,MATCH($B$1,Database!$A$1:$C$1,),)=0,#N/A,VLOOKUP(Table7[[#This Row],[Date]],Database!$A:$C,MATCH($B$1,Database!$A$1:$C$1,),))</f>
        <v/>
      </c>
      <c r="C6297">
        <f>IF(VLOOKUP(Table7[[#This Row],[Date]],Database!$A:$C,MATCH($C$1,Database!$A$1:$C$1,),)=0,#N/A,VLOOKUP(Table7[[#This Row],[Date]],Database!$A:$C,MATCH($C$1,Database!$A$1:$C$1,),))</f>
        <v/>
      </c>
      <c r="D6297">
        <f>IFERROR(Table7[[#This Row],[United States 10y]]-Table7[[#This Row],[United States 3y]],#N/A)</f>
        <v/>
      </c>
    </row>
    <row r="6298">
      <c r="A6298" s="6">
        <f>Database!$A8383</f>
        <v/>
      </c>
      <c r="B6298">
        <f>IF(VLOOKUP(Table7[[#This Row],[Date]],Database!$A:$C,MATCH($B$1,Database!$A$1:$C$1,),)=0,#N/A,VLOOKUP(Table7[[#This Row],[Date]],Database!$A:$C,MATCH($B$1,Database!$A$1:$C$1,),))</f>
        <v/>
      </c>
      <c r="C6298">
        <f>IF(VLOOKUP(Table7[[#This Row],[Date]],Database!$A:$C,MATCH($C$1,Database!$A$1:$C$1,),)=0,#N/A,VLOOKUP(Table7[[#This Row],[Date]],Database!$A:$C,MATCH($C$1,Database!$A$1:$C$1,),))</f>
        <v/>
      </c>
      <c r="D6298">
        <f>IFERROR(Table7[[#This Row],[United States 10y]]-Table7[[#This Row],[United States 3y]],#N/A)</f>
        <v/>
      </c>
    </row>
    <row r="6299">
      <c r="A6299" s="6">
        <f>Database!$A8384</f>
        <v/>
      </c>
      <c r="B6299">
        <f>IF(VLOOKUP(Table7[[#This Row],[Date]],Database!$A:$C,MATCH($B$1,Database!$A$1:$C$1,),)=0,#N/A,VLOOKUP(Table7[[#This Row],[Date]],Database!$A:$C,MATCH($B$1,Database!$A$1:$C$1,),))</f>
        <v/>
      </c>
      <c r="C6299">
        <f>IF(VLOOKUP(Table7[[#This Row],[Date]],Database!$A:$C,MATCH($C$1,Database!$A$1:$C$1,),)=0,#N/A,VLOOKUP(Table7[[#This Row],[Date]],Database!$A:$C,MATCH($C$1,Database!$A$1:$C$1,),))</f>
        <v/>
      </c>
      <c r="D6299">
        <f>IFERROR(Table7[[#This Row],[United States 10y]]-Table7[[#This Row],[United States 3y]],#N/A)</f>
        <v/>
      </c>
    </row>
    <row r="6300">
      <c r="A6300" s="6">
        <f>Database!$A8385</f>
        <v/>
      </c>
      <c r="B6300">
        <f>IF(VLOOKUP(Table7[[#This Row],[Date]],Database!$A:$C,MATCH($B$1,Database!$A$1:$C$1,),)=0,#N/A,VLOOKUP(Table7[[#This Row],[Date]],Database!$A:$C,MATCH($B$1,Database!$A$1:$C$1,),))</f>
        <v/>
      </c>
      <c r="C6300">
        <f>IF(VLOOKUP(Table7[[#This Row],[Date]],Database!$A:$C,MATCH($C$1,Database!$A$1:$C$1,),)=0,#N/A,VLOOKUP(Table7[[#This Row],[Date]],Database!$A:$C,MATCH($C$1,Database!$A$1:$C$1,),))</f>
        <v/>
      </c>
      <c r="D6300">
        <f>IFERROR(Table7[[#This Row],[United States 10y]]-Table7[[#This Row],[United States 3y]],#N/A)</f>
        <v/>
      </c>
    </row>
    <row r="6301">
      <c r="A6301" s="6">
        <f>Database!$A8386</f>
        <v/>
      </c>
      <c r="B6301">
        <f>IF(VLOOKUP(Table7[[#This Row],[Date]],Database!$A:$C,MATCH($B$1,Database!$A$1:$C$1,),)=0,#N/A,VLOOKUP(Table7[[#This Row],[Date]],Database!$A:$C,MATCH($B$1,Database!$A$1:$C$1,),))</f>
        <v/>
      </c>
      <c r="C6301">
        <f>IF(VLOOKUP(Table7[[#This Row],[Date]],Database!$A:$C,MATCH($C$1,Database!$A$1:$C$1,),)=0,#N/A,VLOOKUP(Table7[[#This Row],[Date]],Database!$A:$C,MATCH($C$1,Database!$A$1:$C$1,),))</f>
        <v/>
      </c>
      <c r="D6301">
        <f>IFERROR(Table7[[#This Row],[United States 10y]]-Table7[[#This Row],[United States 3y]],#N/A)</f>
        <v/>
      </c>
    </row>
    <row r="6302">
      <c r="A6302" s="6">
        <f>Database!$A8387</f>
        <v/>
      </c>
      <c r="B6302">
        <f>IF(VLOOKUP(Table7[[#This Row],[Date]],Database!$A:$C,MATCH($B$1,Database!$A$1:$C$1,),)=0,#N/A,VLOOKUP(Table7[[#This Row],[Date]],Database!$A:$C,MATCH($B$1,Database!$A$1:$C$1,),))</f>
        <v/>
      </c>
      <c r="C6302">
        <f>IF(VLOOKUP(Table7[[#This Row],[Date]],Database!$A:$C,MATCH($C$1,Database!$A$1:$C$1,),)=0,#N/A,VLOOKUP(Table7[[#This Row],[Date]],Database!$A:$C,MATCH($C$1,Database!$A$1:$C$1,),))</f>
        <v/>
      </c>
      <c r="D6302">
        <f>IFERROR(Table7[[#This Row],[United States 10y]]-Table7[[#This Row],[United States 3y]],#N/A)</f>
        <v/>
      </c>
    </row>
    <row r="6303">
      <c r="A6303" s="6">
        <f>Database!$A8388</f>
        <v/>
      </c>
      <c r="B6303">
        <f>IF(VLOOKUP(Table7[[#This Row],[Date]],Database!$A:$C,MATCH($B$1,Database!$A$1:$C$1,),)=0,#N/A,VLOOKUP(Table7[[#This Row],[Date]],Database!$A:$C,MATCH($B$1,Database!$A$1:$C$1,),))</f>
        <v/>
      </c>
      <c r="C6303">
        <f>IF(VLOOKUP(Table7[[#This Row],[Date]],Database!$A:$C,MATCH($C$1,Database!$A$1:$C$1,),)=0,#N/A,VLOOKUP(Table7[[#This Row],[Date]],Database!$A:$C,MATCH($C$1,Database!$A$1:$C$1,),))</f>
        <v/>
      </c>
      <c r="D6303">
        <f>IFERROR(Table7[[#This Row],[United States 10y]]-Table7[[#This Row],[United States 3y]],#N/A)</f>
        <v/>
      </c>
    </row>
    <row r="6304">
      <c r="A6304" s="6">
        <f>Database!$A8389</f>
        <v/>
      </c>
      <c r="B6304">
        <f>IF(VLOOKUP(Table7[[#This Row],[Date]],Database!$A:$C,MATCH($B$1,Database!$A$1:$C$1,),)=0,#N/A,VLOOKUP(Table7[[#This Row],[Date]],Database!$A:$C,MATCH($B$1,Database!$A$1:$C$1,),))</f>
        <v/>
      </c>
      <c r="C6304">
        <f>IF(VLOOKUP(Table7[[#This Row],[Date]],Database!$A:$C,MATCH($C$1,Database!$A$1:$C$1,),)=0,#N/A,VLOOKUP(Table7[[#This Row],[Date]],Database!$A:$C,MATCH($C$1,Database!$A$1:$C$1,),))</f>
        <v/>
      </c>
      <c r="D6304">
        <f>IFERROR(Table7[[#This Row],[United States 10y]]-Table7[[#This Row],[United States 3y]],#N/A)</f>
        <v/>
      </c>
    </row>
    <row r="6305">
      <c r="A6305" s="6">
        <f>Database!$A8390</f>
        <v/>
      </c>
      <c r="B6305">
        <f>IF(VLOOKUP(Table7[[#This Row],[Date]],Database!$A:$C,MATCH($B$1,Database!$A$1:$C$1,),)=0,#N/A,VLOOKUP(Table7[[#This Row],[Date]],Database!$A:$C,MATCH($B$1,Database!$A$1:$C$1,),))</f>
        <v/>
      </c>
      <c r="C6305">
        <f>IF(VLOOKUP(Table7[[#This Row],[Date]],Database!$A:$C,MATCH($C$1,Database!$A$1:$C$1,),)=0,#N/A,VLOOKUP(Table7[[#This Row],[Date]],Database!$A:$C,MATCH($C$1,Database!$A$1:$C$1,),))</f>
        <v/>
      </c>
      <c r="D6305">
        <f>IFERROR(Table7[[#This Row],[United States 10y]]-Table7[[#This Row],[United States 3y]],#N/A)</f>
        <v/>
      </c>
    </row>
    <row r="6306">
      <c r="A6306" s="6">
        <f>Database!$A8391</f>
        <v/>
      </c>
      <c r="B6306">
        <f>IF(VLOOKUP(Table7[[#This Row],[Date]],Database!$A:$C,MATCH($B$1,Database!$A$1:$C$1,),)=0,#N/A,VLOOKUP(Table7[[#This Row],[Date]],Database!$A:$C,MATCH($B$1,Database!$A$1:$C$1,),))</f>
        <v/>
      </c>
      <c r="C6306">
        <f>IF(VLOOKUP(Table7[[#This Row],[Date]],Database!$A:$C,MATCH($C$1,Database!$A$1:$C$1,),)=0,#N/A,VLOOKUP(Table7[[#This Row],[Date]],Database!$A:$C,MATCH($C$1,Database!$A$1:$C$1,),))</f>
        <v/>
      </c>
      <c r="D6306">
        <f>IFERROR(Table7[[#This Row],[United States 10y]]-Table7[[#This Row],[United States 3y]],#N/A)</f>
        <v/>
      </c>
    </row>
    <row r="6307">
      <c r="A6307" s="6">
        <f>Database!$A8392</f>
        <v/>
      </c>
      <c r="B6307">
        <f>IF(VLOOKUP(Table7[[#This Row],[Date]],Database!$A:$C,MATCH($B$1,Database!$A$1:$C$1,),)=0,#N/A,VLOOKUP(Table7[[#This Row],[Date]],Database!$A:$C,MATCH($B$1,Database!$A$1:$C$1,),))</f>
        <v/>
      </c>
      <c r="C6307">
        <f>IF(VLOOKUP(Table7[[#This Row],[Date]],Database!$A:$C,MATCH($C$1,Database!$A$1:$C$1,),)=0,#N/A,VLOOKUP(Table7[[#This Row],[Date]],Database!$A:$C,MATCH($C$1,Database!$A$1:$C$1,),))</f>
        <v/>
      </c>
      <c r="D6307">
        <f>IFERROR(Table7[[#This Row],[United States 10y]]-Table7[[#This Row],[United States 3y]],#N/A)</f>
        <v/>
      </c>
    </row>
    <row r="6308">
      <c r="A6308" s="6">
        <f>Database!$A8393</f>
        <v/>
      </c>
      <c r="B6308">
        <f>IF(VLOOKUP(Table7[[#This Row],[Date]],Database!$A:$C,MATCH($B$1,Database!$A$1:$C$1,),)=0,#N/A,VLOOKUP(Table7[[#This Row],[Date]],Database!$A:$C,MATCH($B$1,Database!$A$1:$C$1,),))</f>
        <v/>
      </c>
      <c r="C6308">
        <f>IF(VLOOKUP(Table7[[#This Row],[Date]],Database!$A:$C,MATCH($C$1,Database!$A$1:$C$1,),)=0,#N/A,VLOOKUP(Table7[[#This Row],[Date]],Database!$A:$C,MATCH($C$1,Database!$A$1:$C$1,),))</f>
        <v/>
      </c>
      <c r="D6308">
        <f>IFERROR(Table7[[#This Row],[United States 10y]]-Table7[[#This Row],[United States 3y]],#N/A)</f>
        <v/>
      </c>
    </row>
    <row r="6309">
      <c r="A6309" s="6">
        <f>Database!$A8394</f>
        <v/>
      </c>
      <c r="B6309">
        <f>IF(VLOOKUP(Table7[[#This Row],[Date]],Database!$A:$C,MATCH($B$1,Database!$A$1:$C$1,),)=0,#N/A,VLOOKUP(Table7[[#This Row],[Date]],Database!$A:$C,MATCH($B$1,Database!$A$1:$C$1,),))</f>
        <v/>
      </c>
      <c r="C6309">
        <f>IF(VLOOKUP(Table7[[#This Row],[Date]],Database!$A:$C,MATCH($C$1,Database!$A$1:$C$1,),)=0,#N/A,VLOOKUP(Table7[[#This Row],[Date]],Database!$A:$C,MATCH($C$1,Database!$A$1:$C$1,),))</f>
        <v/>
      </c>
      <c r="D6309">
        <f>IFERROR(Table7[[#This Row],[United States 10y]]-Table7[[#This Row],[United States 3y]],#N/A)</f>
        <v/>
      </c>
    </row>
    <row r="6310">
      <c r="A6310" s="6">
        <f>Database!$A8395</f>
        <v/>
      </c>
      <c r="B6310">
        <f>IF(VLOOKUP(Table7[[#This Row],[Date]],Database!$A:$C,MATCH($B$1,Database!$A$1:$C$1,),)=0,#N/A,VLOOKUP(Table7[[#This Row],[Date]],Database!$A:$C,MATCH($B$1,Database!$A$1:$C$1,),))</f>
        <v/>
      </c>
      <c r="C6310">
        <f>IF(VLOOKUP(Table7[[#This Row],[Date]],Database!$A:$C,MATCH($C$1,Database!$A$1:$C$1,),)=0,#N/A,VLOOKUP(Table7[[#This Row],[Date]],Database!$A:$C,MATCH($C$1,Database!$A$1:$C$1,),))</f>
        <v/>
      </c>
      <c r="D6310">
        <f>IFERROR(Table7[[#This Row],[United States 10y]]-Table7[[#This Row],[United States 3y]],#N/A)</f>
        <v/>
      </c>
    </row>
    <row r="6311">
      <c r="A6311" s="6">
        <f>Database!$A8396</f>
        <v/>
      </c>
      <c r="B6311">
        <f>IF(VLOOKUP(Table7[[#This Row],[Date]],Database!$A:$C,MATCH($B$1,Database!$A$1:$C$1,),)=0,#N/A,VLOOKUP(Table7[[#This Row],[Date]],Database!$A:$C,MATCH($B$1,Database!$A$1:$C$1,),))</f>
        <v/>
      </c>
      <c r="C6311">
        <f>IF(VLOOKUP(Table7[[#This Row],[Date]],Database!$A:$C,MATCH($C$1,Database!$A$1:$C$1,),)=0,#N/A,VLOOKUP(Table7[[#This Row],[Date]],Database!$A:$C,MATCH($C$1,Database!$A$1:$C$1,),))</f>
        <v/>
      </c>
      <c r="D6311">
        <f>IFERROR(Table7[[#This Row],[United States 10y]]-Table7[[#This Row],[United States 3y]],#N/A)</f>
        <v/>
      </c>
    </row>
    <row r="6312">
      <c r="A6312" s="6">
        <f>Database!$A8397</f>
        <v/>
      </c>
      <c r="B6312">
        <f>IF(VLOOKUP(Table7[[#This Row],[Date]],Database!$A:$C,MATCH($B$1,Database!$A$1:$C$1,),)=0,#N/A,VLOOKUP(Table7[[#This Row],[Date]],Database!$A:$C,MATCH($B$1,Database!$A$1:$C$1,),))</f>
        <v/>
      </c>
      <c r="C6312">
        <f>IF(VLOOKUP(Table7[[#This Row],[Date]],Database!$A:$C,MATCH($C$1,Database!$A$1:$C$1,),)=0,#N/A,VLOOKUP(Table7[[#This Row],[Date]],Database!$A:$C,MATCH($C$1,Database!$A$1:$C$1,),))</f>
        <v/>
      </c>
      <c r="D6312">
        <f>IFERROR(Table7[[#This Row],[United States 10y]]-Table7[[#This Row],[United States 3y]],#N/A)</f>
        <v/>
      </c>
    </row>
    <row r="6313">
      <c r="A6313" s="6">
        <f>Database!$A8398</f>
        <v/>
      </c>
      <c r="B6313">
        <f>IF(VLOOKUP(Table7[[#This Row],[Date]],Database!$A:$C,MATCH($B$1,Database!$A$1:$C$1,),)=0,#N/A,VLOOKUP(Table7[[#This Row],[Date]],Database!$A:$C,MATCH($B$1,Database!$A$1:$C$1,),))</f>
        <v/>
      </c>
      <c r="C6313">
        <f>IF(VLOOKUP(Table7[[#This Row],[Date]],Database!$A:$C,MATCH($C$1,Database!$A$1:$C$1,),)=0,#N/A,VLOOKUP(Table7[[#This Row],[Date]],Database!$A:$C,MATCH($C$1,Database!$A$1:$C$1,),))</f>
        <v/>
      </c>
      <c r="D6313">
        <f>IFERROR(Table7[[#This Row],[United States 10y]]-Table7[[#This Row],[United States 3y]],#N/A)</f>
        <v/>
      </c>
    </row>
    <row r="6314">
      <c r="A6314" s="6">
        <f>Database!$A8399</f>
        <v/>
      </c>
      <c r="B6314">
        <f>IF(VLOOKUP(Table7[[#This Row],[Date]],Database!$A:$C,MATCH($B$1,Database!$A$1:$C$1,),)=0,#N/A,VLOOKUP(Table7[[#This Row],[Date]],Database!$A:$C,MATCH($B$1,Database!$A$1:$C$1,),))</f>
        <v/>
      </c>
      <c r="C6314">
        <f>IF(VLOOKUP(Table7[[#This Row],[Date]],Database!$A:$C,MATCH($C$1,Database!$A$1:$C$1,),)=0,#N/A,VLOOKUP(Table7[[#This Row],[Date]],Database!$A:$C,MATCH($C$1,Database!$A$1:$C$1,),))</f>
        <v/>
      </c>
      <c r="D6314">
        <f>IFERROR(Table7[[#This Row],[United States 10y]]-Table7[[#This Row],[United States 3y]],#N/A)</f>
        <v/>
      </c>
    </row>
    <row r="6315">
      <c r="A6315" s="6">
        <f>Database!$A8400</f>
        <v/>
      </c>
      <c r="B6315">
        <f>IF(VLOOKUP(Table7[[#This Row],[Date]],Database!$A:$C,MATCH($B$1,Database!$A$1:$C$1,),)=0,#N/A,VLOOKUP(Table7[[#This Row],[Date]],Database!$A:$C,MATCH($B$1,Database!$A$1:$C$1,),))</f>
        <v/>
      </c>
      <c r="C6315">
        <f>IF(VLOOKUP(Table7[[#This Row],[Date]],Database!$A:$C,MATCH($C$1,Database!$A$1:$C$1,),)=0,#N/A,VLOOKUP(Table7[[#This Row],[Date]],Database!$A:$C,MATCH($C$1,Database!$A$1:$C$1,),))</f>
        <v/>
      </c>
      <c r="D6315">
        <f>IFERROR(Table7[[#This Row],[United States 10y]]-Table7[[#This Row],[United States 3y]],#N/A)</f>
        <v/>
      </c>
    </row>
    <row r="6316">
      <c r="A6316" s="6">
        <f>Database!$A8401</f>
        <v/>
      </c>
      <c r="B6316">
        <f>IF(VLOOKUP(Table7[[#This Row],[Date]],Database!$A:$C,MATCH($B$1,Database!$A$1:$C$1,),)=0,#N/A,VLOOKUP(Table7[[#This Row],[Date]],Database!$A:$C,MATCH($B$1,Database!$A$1:$C$1,),))</f>
        <v/>
      </c>
      <c r="C6316">
        <f>IF(VLOOKUP(Table7[[#This Row],[Date]],Database!$A:$C,MATCH($C$1,Database!$A$1:$C$1,),)=0,#N/A,VLOOKUP(Table7[[#This Row],[Date]],Database!$A:$C,MATCH($C$1,Database!$A$1:$C$1,),))</f>
        <v/>
      </c>
      <c r="D6316">
        <f>IFERROR(Table7[[#This Row],[United States 10y]]-Table7[[#This Row],[United States 3y]],#N/A)</f>
        <v/>
      </c>
    </row>
    <row r="6317">
      <c r="A6317" s="6">
        <f>Database!$A8402</f>
        <v/>
      </c>
      <c r="B6317">
        <f>IF(VLOOKUP(Table7[[#This Row],[Date]],Database!$A:$C,MATCH($B$1,Database!$A$1:$C$1,),)=0,#N/A,VLOOKUP(Table7[[#This Row],[Date]],Database!$A:$C,MATCH($B$1,Database!$A$1:$C$1,),))</f>
        <v/>
      </c>
      <c r="C6317">
        <f>IF(VLOOKUP(Table7[[#This Row],[Date]],Database!$A:$C,MATCH($C$1,Database!$A$1:$C$1,),)=0,#N/A,VLOOKUP(Table7[[#This Row],[Date]],Database!$A:$C,MATCH($C$1,Database!$A$1:$C$1,),))</f>
        <v/>
      </c>
      <c r="D6317">
        <f>IFERROR(Table7[[#This Row],[United States 10y]]-Table7[[#This Row],[United States 3y]],#N/A)</f>
        <v/>
      </c>
    </row>
    <row r="6318">
      <c r="A6318" s="6">
        <f>Database!$A8403</f>
        <v/>
      </c>
      <c r="B6318">
        <f>IF(VLOOKUP(Table7[[#This Row],[Date]],Database!$A:$C,MATCH($B$1,Database!$A$1:$C$1,),)=0,#N/A,VLOOKUP(Table7[[#This Row],[Date]],Database!$A:$C,MATCH($B$1,Database!$A$1:$C$1,),))</f>
        <v/>
      </c>
      <c r="C6318">
        <f>IF(VLOOKUP(Table7[[#This Row],[Date]],Database!$A:$C,MATCH($C$1,Database!$A$1:$C$1,),)=0,#N/A,VLOOKUP(Table7[[#This Row],[Date]],Database!$A:$C,MATCH($C$1,Database!$A$1:$C$1,),))</f>
        <v/>
      </c>
      <c r="D6318">
        <f>IFERROR(Table7[[#This Row],[United States 10y]]-Table7[[#This Row],[United States 3y]],#N/A)</f>
        <v/>
      </c>
    </row>
    <row r="6319">
      <c r="A6319" s="6">
        <f>Database!$A8404</f>
        <v/>
      </c>
      <c r="B6319">
        <f>IF(VLOOKUP(Table7[[#This Row],[Date]],Database!$A:$C,MATCH($B$1,Database!$A$1:$C$1,),)=0,#N/A,VLOOKUP(Table7[[#This Row],[Date]],Database!$A:$C,MATCH($B$1,Database!$A$1:$C$1,),))</f>
        <v/>
      </c>
      <c r="C6319">
        <f>IF(VLOOKUP(Table7[[#This Row],[Date]],Database!$A:$C,MATCH($C$1,Database!$A$1:$C$1,),)=0,#N/A,VLOOKUP(Table7[[#This Row],[Date]],Database!$A:$C,MATCH($C$1,Database!$A$1:$C$1,),))</f>
        <v/>
      </c>
      <c r="D6319">
        <f>IFERROR(Table7[[#This Row],[United States 10y]]-Table7[[#This Row],[United States 3y]],#N/A)</f>
        <v/>
      </c>
    </row>
    <row r="6320">
      <c r="A6320" s="6">
        <f>Database!$A8405</f>
        <v/>
      </c>
      <c r="B6320">
        <f>IF(VLOOKUP(Table7[[#This Row],[Date]],Database!$A:$C,MATCH($B$1,Database!$A$1:$C$1,),)=0,#N/A,VLOOKUP(Table7[[#This Row],[Date]],Database!$A:$C,MATCH($B$1,Database!$A$1:$C$1,),))</f>
        <v/>
      </c>
      <c r="C6320">
        <f>IF(VLOOKUP(Table7[[#This Row],[Date]],Database!$A:$C,MATCH($C$1,Database!$A$1:$C$1,),)=0,#N/A,VLOOKUP(Table7[[#This Row],[Date]],Database!$A:$C,MATCH($C$1,Database!$A$1:$C$1,),))</f>
        <v/>
      </c>
      <c r="D6320">
        <f>IFERROR(Table7[[#This Row],[United States 10y]]-Table7[[#This Row],[United States 3y]],#N/A)</f>
        <v/>
      </c>
    </row>
    <row r="6321">
      <c r="A6321" s="6">
        <f>Database!$A8406</f>
        <v/>
      </c>
      <c r="B6321">
        <f>IF(VLOOKUP(Table7[[#This Row],[Date]],Database!$A:$C,MATCH($B$1,Database!$A$1:$C$1,),)=0,#N/A,VLOOKUP(Table7[[#This Row],[Date]],Database!$A:$C,MATCH($B$1,Database!$A$1:$C$1,),))</f>
        <v/>
      </c>
      <c r="C6321">
        <f>IF(VLOOKUP(Table7[[#This Row],[Date]],Database!$A:$C,MATCH($C$1,Database!$A$1:$C$1,),)=0,#N/A,VLOOKUP(Table7[[#This Row],[Date]],Database!$A:$C,MATCH($C$1,Database!$A$1:$C$1,),))</f>
        <v/>
      </c>
      <c r="D6321">
        <f>IFERROR(Table7[[#This Row],[United States 10y]]-Table7[[#This Row],[United States 3y]],#N/A)</f>
        <v/>
      </c>
    </row>
    <row r="6322">
      <c r="A6322" s="6">
        <f>Database!$A8407</f>
        <v/>
      </c>
      <c r="B6322">
        <f>IF(VLOOKUP(Table7[[#This Row],[Date]],Database!$A:$C,MATCH($B$1,Database!$A$1:$C$1,),)=0,#N/A,VLOOKUP(Table7[[#This Row],[Date]],Database!$A:$C,MATCH($B$1,Database!$A$1:$C$1,),))</f>
        <v/>
      </c>
      <c r="C6322">
        <f>IF(VLOOKUP(Table7[[#This Row],[Date]],Database!$A:$C,MATCH($C$1,Database!$A$1:$C$1,),)=0,#N/A,VLOOKUP(Table7[[#This Row],[Date]],Database!$A:$C,MATCH($C$1,Database!$A$1:$C$1,),))</f>
        <v/>
      </c>
      <c r="D6322">
        <f>IFERROR(Table7[[#This Row],[United States 10y]]-Table7[[#This Row],[United States 3y]],#N/A)</f>
        <v/>
      </c>
    </row>
    <row r="6323">
      <c r="A6323" s="6">
        <f>Database!$A8408</f>
        <v/>
      </c>
      <c r="B6323">
        <f>IF(VLOOKUP(Table7[[#This Row],[Date]],Database!$A:$C,MATCH($B$1,Database!$A$1:$C$1,),)=0,#N/A,VLOOKUP(Table7[[#This Row],[Date]],Database!$A:$C,MATCH($B$1,Database!$A$1:$C$1,),))</f>
        <v/>
      </c>
      <c r="C6323">
        <f>IF(VLOOKUP(Table7[[#This Row],[Date]],Database!$A:$C,MATCH($C$1,Database!$A$1:$C$1,),)=0,#N/A,VLOOKUP(Table7[[#This Row],[Date]],Database!$A:$C,MATCH($C$1,Database!$A$1:$C$1,),))</f>
        <v/>
      </c>
      <c r="D6323">
        <f>IFERROR(Table7[[#This Row],[United States 10y]]-Table7[[#This Row],[United States 3y]],#N/A)</f>
        <v/>
      </c>
    </row>
    <row r="6324">
      <c r="A6324" s="6">
        <f>Database!$A8409</f>
        <v/>
      </c>
      <c r="B6324">
        <f>IF(VLOOKUP(Table7[[#This Row],[Date]],Database!$A:$C,MATCH($B$1,Database!$A$1:$C$1,),)=0,#N/A,VLOOKUP(Table7[[#This Row],[Date]],Database!$A:$C,MATCH($B$1,Database!$A$1:$C$1,),))</f>
        <v/>
      </c>
      <c r="C6324">
        <f>IF(VLOOKUP(Table7[[#This Row],[Date]],Database!$A:$C,MATCH($C$1,Database!$A$1:$C$1,),)=0,#N/A,VLOOKUP(Table7[[#This Row],[Date]],Database!$A:$C,MATCH($C$1,Database!$A$1:$C$1,),))</f>
        <v/>
      </c>
      <c r="D6324">
        <f>IFERROR(Table7[[#This Row],[United States 10y]]-Table7[[#This Row],[United States 3y]],#N/A)</f>
        <v/>
      </c>
    </row>
    <row r="6325">
      <c r="A6325" s="6">
        <f>Database!$A8410</f>
        <v/>
      </c>
      <c r="B6325">
        <f>IF(VLOOKUP(Table7[[#This Row],[Date]],Database!$A:$C,MATCH($B$1,Database!$A$1:$C$1,),)=0,#N/A,VLOOKUP(Table7[[#This Row],[Date]],Database!$A:$C,MATCH($B$1,Database!$A$1:$C$1,),))</f>
        <v/>
      </c>
      <c r="C6325">
        <f>IF(VLOOKUP(Table7[[#This Row],[Date]],Database!$A:$C,MATCH($C$1,Database!$A$1:$C$1,),)=0,#N/A,VLOOKUP(Table7[[#This Row],[Date]],Database!$A:$C,MATCH($C$1,Database!$A$1:$C$1,),))</f>
        <v/>
      </c>
      <c r="D6325">
        <f>IFERROR(Table7[[#This Row],[United States 10y]]-Table7[[#This Row],[United States 3y]],#N/A)</f>
        <v/>
      </c>
    </row>
    <row r="6326">
      <c r="A6326" s="6">
        <f>Database!$A8411</f>
        <v/>
      </c>
      <c r="B6326">
        <f>IF(VLOOKUP(Table7[[#This Row],[Date]],Database!$A:$C,MATCH($B$1,Database!$A$1:$C$1,),)=0,#N/A,VLOOKUP(Table7[[#This Row],[Date]],Database!$A:$C,MATCH($B$1,Database!$A$1:$C$1,),))</f>
        <v/>
      </c>
      <c r="C6326">
        <f>IF(VLOOKUP(Table7[[#This Row],[Date]],Database!$A:$C,MATCH($C$1,Database!$A$1:$C$1,),)=0,#N/A,VLOOKUP(Table7[[#This Row],[Date]],Database!$A:$C,MATCH($C$1,Database!$A$1:$C$1,),))</f>
        <v/>
      </c>
      <c r="D6326">
        <f>IFERROR(Table7[[#This Row],[United States 10y]]-Table7[[#This Row],[United States 3y]],#N/A)</f>
        <v/>
      </c>
    </row>
    <row r="6327">
      <c r="A6327" s="6">
        <f>Database!$A8412</f>
        <v/>
      </c>
      <c r="B6327">
        <f>IF(VLOOKUP(Table7[[#This Row],[Date]],Database!$A:$C,MATCH($B$1,Database!$A$1:$C$1,),)=0,#N/A,VLOOKUP(Table7[[#This Row],[Date]],Database!$A:$C,MATCH($B$1,Database!$A$1:$C$1,),))</f>
        <v/>
      </c>
      <c r="C6327">
        <f>IF(VLOOKUP(Table7[[#This Row],[Date]],Database!$A:$C,MATCH($C$1,Database!$A$1:$C$1,),)=0,#N/A,VLOOKUP(Table7[[#This Row],[Date]],Database!$A:$C,MATCH($C$1,Database!$A$1:$C$1,),))</f>
        <v/>
      </c>
      <c r="D6327">
        <f>IFERROR(Table7[[#This Row],[United States 10y]]-Table7[[#This Row],[United States 3y]],#N/A)</f>
        <v/>
      </c>
    </row>
    <row r="6328">
      <c r="A6328" s="6">
        <f>Database!$A8413</f>
        <v/>
      </c>
      <c r="B6328">
        <f>IF(VLOOKUP(Table7[[#This Row],[Date]],Database!$A:$C,MATCH($B$1,Database!$A$1:$C$1,),)=0,#N/A,VLOOKUP(Table7[[#This Row],[Date]],Database!$A:$C,MATCH($B$1,Database!$A$1:$C$1,),))</f>
        <v/>
      </c>
      <c r="C6328">
        <f>IF(VLOOKUP(Table7[[#This Row],[Date]],Database!$A:$C,MATCH($C$1,Database!$A$1:$C$1,),)=0,#N/A,VLOOKUP(Table7[[#This Row],[Date]],Database!$A:$C,MATCH($C$1,Database!$A$1:$C$1,),))</f>
        <v/>
      </c>
      <c r="D6328">
        <f>IFERROR(Table7[[#This Row],[United States 10y]]-Table7[[#This Row],[United States 3y]],#N/A)</f>
        <v/>
      </c>
    </row>
    <row r="6329">
      <c r="A6329" s="6">
        <f>Database!$A8414</f>
        <v/>
      </c>
      <c r="B6329">
        <f>IF(VLOOKUP(Table7[[#This Row],[Date]],Database!$A:$C,MATCH($B$1,Database!$A$1:$C$1,),)=0,#N/A,VLOOKUP(Table7[[#This Row],[Date]],Database!$A:$C,MATCH($B$1,Database!$A$1:$C$1,),))</f>
        <v/>
      </c>
      <c r="C6329">
        <f>IF(VLOOKUP(Table7[[#This Row],[Date]],Database!$A:$C,MATCH($C$1,Database!$A$1:$C$1,),)=0,#N/A,VLOOKUP(Table7[[#This Row],[Date]],Database!$A:$C,MATCH($C$1,Database!$A$1:$C$1,),))</f>
        <v/>
      </c>
      <c r="D6329">
        <f>IFERROR(Table7[[#This Row],[United States 10y]]-Table7[[#This Row],[United States 3y]],#N/A)</f>
        <v/>
      </c>
    </row>
    <row r="6330">
      <c r="A6330" s="6">
        <f>Database!$A8415</f>
        <v/>
      </c>
      <c r="B6330">
        <f>IF(VLOOKUP(Table7[[#This Row],[Date]],Database!$A:$C,MATCH($B$1,Database!$A$1:$C$1,),)=0,#N/A,VLOOKUP(Table7[[#This Row],[Date]],Database!$A:$C,MATCH($B$1,Database!$A$1:$C$1,),))</f>
        <v/>
      </c>
      <c r="C6330">
        <f>IF(VLOOKUP(Table7[[#This Row],[Date]],Database!$A:$C,MATCH($C$1,Database!$A$1:$C$1,),)=0,#N/A,VLOOKUP(Table7[[#This Row],[Date]],Database!$A:$C,MATCH($C$1,Database!$A$1:$C$1,),))</f>
        <v/>
      </c>
      <c r="D6330">
        <f>IFERROR(Table7[[#This Row],[United States 10y]]-Table7[[#This Row],[United States 3y]],#N/A)</f>
        <v/>
      </c>
    </row>
    <row r="6331">
      <c r="A6331" s="6">
        <f>Database!$A8416</f>
        <v/>
      </c>
      <c r="B6331">
        <f>IF(VLOOKUP(Table7[[#This Row],[Date]],Database!$A:$C,MATCH($B$1,Database!$A$1:$C$1,),)=0,#N/A,VLOOKUP(Table7[[#This Row],[Date]],Database!$A:$C,MATCH($B$1,Database!$A$1:$C$1,),))</f>
        <v/>
      </c>
      <c r="C6331">
        <f>IF(VLOOKUP(Table7[[#This Row],[Date]],Database!$A:$C,MATCH($C$1,Database!$A$1:$C$1,),)=0,#N/A,VLOOKUP(Table7[[#This Row],[Date]],Database!$A:$C,MATCH($C$1,Database!$A$1:$C$1,),))</f>
        <v/>
      </c>
      <c r="D6331">
        <f>IFERROR(Table7[[#This Row],[United States 10y]]-Table7[[#This Row],[United States 3y]],#N/A)</f>
        <v/>
      </c>
    </row>
    <row r="6332">
      <c r="A6332" s="6">
        <f>Database!$A8417</f>
        <v/>
      </c>
      <c r="B6332">
        <f>IF(VLOOKUP(Table7[[#This Row],[Date]],Database!$A:$C,MATCH($B$1,Database!$A$1:$C$1,),)=0,#N/A,VLOOKUP(Table7[[#This Row],[Date]],Database!$A:$C,MATCH($B$1,Database!$A$1:$C$1,),))</f>
        <v/>
      </c>
      <c r="C6332">
        <f>IF(VLOOKUP(Table7[[#This Row],[Date]],Database!$A:$C,MATCH($C$1,Database!$A$1:$C$1,),)=0,#N/A,VLOOKUP(Table7[[#This Row],[Date]],Database!$A:$C,MATCH($C$1,Database!$A$1:$C$1,),))</f>
        <v/>
      </c>
      <c r="D6332">
        <f>IFERROR(Table7[[#This Row],[United States 10y]]-Table7[[#This Row],[United States 3y]],#N/A)</f>
        <v/>
      </c>
    </row>
    <row r="6333">
      <c r="A6333" s="6">
        <f>Database!$A8418</f>
        <v/>
      </c>
      <c r="B6333">
        <f>IF(VLOOKUP(Table7[[#This Row],[Date]],Database!$A:$C,MATCH($B$1,Database!$A$1:$C$1,),)=0,#N/A,VLOOKUP(Table7[[#This Row],[Date]],Database!$A:$C,MATCH($B$1,Database!$A$1:$C$1,),))</f>
        <v/>
      </c>
      <c r="C6333">
        <f>IF(VLOOKUP(Table7[[#This Row],[Date]],Database!$A:$C,MATCH($C$1,Database!$A$1:$C$1,),)=0,#N/A,VLOOKUP(Table7[[#This Row],[Date]],Database!$A:$C,MATCH($C$1,Database!$A$1:$C$1,),))</f>
        <v/>
      </c>
      <c r="D6333">
        <f>IFERROR(Table7[[#This Row],[United States 10y]]-Table7[[#This Row],[United States 3y]],#N/A)</f>
        <v/>
      </c>
    </row>
    <row r="6334">
      <c r="A6334" s="6">
        <f>Database!$A8419</f>
        <v/>
      </c>
      <c r="B6334">
        <f>IF(VLOOKUP(Table7[[#This Row],[Date]],Database!$A:$C,MATCH($B$1,Database!$A$1:$C$1,),)=0,#N/A,VLOOKUP(Table7[[#This Row],[Date]],Database!$A:$C,MATCH($B$1,Database!$A$1:$C$1,),))</f>
        <v/>
      </c>
      <c r="C6334">
        <f>IF(VLOOKUP(Table7[[#This Row],[Date]],Database!$A:$C,MATCH($C$1,Database!$A$1:$C$1,),)=0,#N/A,VLOOKUP(Table7[[#This Row],[Date]],Database!$A:$C,MATCH($C$1,Database!$A$1:$C$1,),))</f>
        <v/>
      </c>
      <c r="D6334">
        <f>IFERROR(Table7[[#This Row],[United States 10y]]-Table7[[#This Row],[United States 3y]],#N/A)</f>
        <v/>
      </c>
    </row>
    <row r="6335">
      <c r="A6335" s="6">
        <f>Database!$A8420</f>
        <v/>
      </c>
      <c r="B6335">
        <f>IF(VLOOKUP(Table7[[#This Row],[Date]],Database!$A:$C,MATCH($B$1,Database!$A$1:$C$1,),)=0,#N/A,VLOOKUP(Table7[[#This Row],[Date]],Database!$A:$C,MATCH($B$1,Database!$A$1:$C$1,),))</f>
        <v/>
      </c>
      <c r="C6335">
        <f>IF(VLOOKUP(Table7[[#This Row],[Date]],Database!$A:$C,MATCH($C$1,Database!$A$1:$C$1,),)=0,#N/A,VLOOKUP(Table7[[#This Row],[Date]],Database!$A:$C,MATCH($C$1,Database!$A$1:$C$1,),))</f>
        <v/>
      </c>
      <c r="D6335">
        <f>IFERROR(Table7[[#This Row],[United States 10y]]-Table7[[#This Row],[United States 3y]],#N/A)</f>
        <v/>
      </c>
    </row>
    <row r="6336">
      <c r="A6336" s="6">
        <f>Database!$A8421</f>
        <v/>
      </c>
      <c r="B6336">
        <f>IF(VLOOKUP(Table7[[#This Row],[Date]],Database!$A:$C,MATCH($B$1,Database!$A$1:$C$1,),)=0,#N/A,VLOOKUP(Table7[[#This Row],[Date]],Database!$A:$C,MATCH($B$1,Database!$A$1:$C$1,),))</f>
        <v/>
      </c>
      <c r="C6336">
        <f>IF(VLOOKUP(Table7[[#This Row],[Date]],Database!$A:$C,MATCH($C$1,Database!$A$1:$C$1,),)=0,#N/A,VLOOKUP(Table7[[#This Row],[Date]],Database!$A:$C,MATCH($C$1,Database!$A$1:$C$1,),))</f>
        <v/>
      </c>
      <c r="D6336">
        <f>IFERROR(Table7[[#This Row],[United States 10y]]-Table7[[#This Row],[United States 3y]],#N/A)</f>
        <v/>
      </c>
    </row>
    <row r="6337">
      <c r="A6337" s="6">
        <f>Database!$A8422</f>
        <v/>
      </c>
      <c r="B6337">
        <f>IF(VLOOKUP(Table7[[#This Row],[Date]],Database!$A:$C,MATCH($B$1,Database!$A$1:$C$1,),)=0,#N/A,VLOOKUP(Table7[[#This Row],[Date]],Database!$A:$C,MATCH($B$1,Database!$A$1:$C$1,),))</f>
        <v/>
      </c>
      <c r="C6337">
        <f>IF(VLOOKUP(Table7[[#This Row],[Date]],Database!$A:$C,MATCH($C$1,Database!$A$1:$C$1,),)=0,#N/A,VLOOKUP(Table7[[#This Row],[Date]],Database!$A:$C,MATCH($C$1,Database!$A$1:$C$1,),))</f>
        <v/>
      </c>
      <c r="D6337">
        <f>IFERROR(Table7[[#This Row],[United States 10y]]-Table7[[#This Row],[United States 3y]],#N/A)</f>
        <v/>
      </c>
    </row>
    <row r="6338">
      <c r="A6338" s="6">
        <f>Database!$A8423</f>
        <v/>
      </c>
      <c r="B6338">
        <f>IF(VLOOKUP(Table7[[#This Row],[Date]],Database!$A:$C,MATCH($B$1,Database!$A$1:$C$1,),)=0,#N/A,VLOOKUP(Table7[[#This Row],[Date]],Database!$A:$C,MATCH($B$1,Database!$A$1:$C$1,),))</f>
        <v/>
      </c>
      <c r="C6338">
        <f>IF(VLOOKUP(Table7[[#This Row],[Date]],Database!$A:$C,MATCH($C$1,Database!$A$1:$C$1,),)=0,#N/A,VLOOKUP(Table7[[#This Row],[Date]],Database!$A:$C,MATCH($C$1,Database!$A$1:$C$1,),))</f>
        <v/>
      </c>
      <c r="D6338">
        <f>IFERROR(Table7[[#This Row],[United States 10y]]-Table7[[#This Row],[United States 3y]],#N/A)</f>
        <v/>
      </c>
    </row>
    <row r="6339">
      <c r="A6339" s="6">
        <f>Database!$A8424</f>
        <v/>
      </c>
      <c r="B6339">
        <f>IF(VLOOKUP(Table7[[#This Row],[Date]],Database!$A:$C,MATCH($B$1,Database!$A$1:$C$1,),)=0,#N/A,VLOOKUP(Table7[[#This Row],[Date]],Database!$A:$C,MATCH($B$1,Database!$A$1:$C$1,),))</f>
        <v/>
      </c>
      <c r="C6339">
        <f>IF(VLOOKUP(Table7[[#This Row],[Date]],Database!$A:$C,MATCH($C$1,Database!$A$1:$C$1,),)=0,#N/A,VLOOKUP(Table7[[#This Row],[Date]],Database!$A:$C,MATCH($C$1,Database!$A$1:$C$1,),))</f>
        <v/>
      </c>
      <c r="D6339">
        <f>IFERROR(Table7[[#This Row],[United States 10y]]-Table7[[#This Row],[United States 3y]],#N/A)</f>
        <v/>
      </c>
    </row>
    <row r="6340">
      <c r="A6340" s="6">
        <f>Database!$A8425</f>
        <v/>
      </c>
      <c r="B6340">
        <f>IF(VLOOKUP(Table7[[#This Row],[Date]],Database!$A:$C,MATCH($B$1,Database!$A$1:$C$1,),)=0,#N/A,VLOOKUP(Table7[[#This Row],[Date]],Database!$A:$C,MATCH($B$1,Database!$A$1:$C$1,),))</f>
        <v/>
      </c>
      <c r="C6340">
        <f>IF(VLOOKUP(Table7[[#This Row],[Date]],Database!$A:$C,MATCH($C$1,Database!$A$1:$C$1,),)=0,#N/A,VLOOKUP(Table7[[#This Row],[Date]],Database!$A:$C,MATCH($C$1,Database!$A$1:$C$1,),))</f>
        <v/>
      </c>
      <c r="D6340">
        <f>IFERROR(Table7[[#This Row],[United States 10y]]-Table7[[#This Row],[United States 3y]],#N/A)</f>
        <v/>
      </c>
    </row>
    <row r="6341">
      <c r="A6341" s="6">
        <f>Database!$A8426</f>
        <v/>
      </c>
      <c r="B6341">
        <f>IF(VLOOKUP(Table7[[#This Row],[Date]],Database!$A:$C,MATCH($B$1,Database!$A$1:$C$1,),)=0,#N/A,VLOOKUP(Table7[[#This Row],[Date]],Database!$A:$C,MATCH($B$1,Database!$A$1:$C$1,),))</f>
        <v/>
      </c>
      <c r="C6341">
        <f>IF(VLOOKUP(Table7[[#This Row],[Date]],Database!$A:$C,MATCH($C$1,Database!$A$1:$C$1,),)=0,#N/A,VLOOKUP(Table7[[#This Row],[Date]],Database!$A:$C,MATCH($C$1,Database!$A$1:$C$1,),))</f>
        <v/>
      </c>
      <c r="D6341">
        <f>IFERROR(Table7[[#This Row],[United States 10y]]-Table7[[#This Row],[United States 3y]],#N/A)</f>
        <v/>
      </c>
    </row>
    <row r="6342">
      <c r="A6342" s="6">
        <f>Database!$A8427</f>
        <v/>
      </c>
      <c r="B6342">
        <f>IF(VLOOKUP(Table7[[#This Row],[Date]],Database!$A:$C,MATCH($B$1,Database!$A$1:$C$1,),)=0,#N/A,VLOOKUP(Table7[[#This Row],[Date]],Database!$A:$C,MATCH($B$1,Database!$A$1:$C$1,),))</f>
        <v/>
      </c>
      <c r="C6342">
        <f>IF(VLOOKUP(Table7[[#This Row],[Date]],Database!$A:$C,MATCH($C$1,Database!$A$1:$C$1,),)=0,#N/A,VLOOKUP(Table7[[#This Row],[Date]],Database!$A:$C,MATCH($C$1,Database!$A$1:$C$1,),))</f>
        <v/>
      </c>
      <c r="D6342">
        <f>IFERROR(Table7[[#This Row],[United States 10y]]-Table7[[#This Row],[United States 3y]],#N/A)</f>
        <v/>
      </c>
    </row>
    <row r="6343">
      <c r="A6343" s="6">
        <f>Database!$A8428</f>
        <v/>
      </c>
      <c r="B6343">
        <f>IF(VLOOKUP(Table7[[#This Row],[Date]],Database!$A:$C,MATCH($B$1,Database!$A$1:$C$1,),)=0,#N/A,VLOOKUP(Table7[[#This Row],[Date]],Database!$A:$C,MATCH($B$1,Database!$A$1:$C$1,),))</f>
        <v/>
      </c>
      <c r="C6343">
        <f>IF(VLOOKUP(Table7[[#This Row],[Date]],Database!$A:$C,MATCH($C$1,Database!$A$1:$C$1,),)=0,#N/A,VLOOKUP(Table7[[#This Row],[Date]],Database!$A:$C,MATCH($C$1,Database!$A$1:$C$1,),))</f>
        <v/>
      </c>
      <c r="D6343">
        <f>IFERROR(Table7[[#This Row],[United States 10y]]-Table7[[#This Row],[United States 3y]],#N/A)</f>
        <v/>
      </c>
    </row>
    <row r="6344">
      <c r="A6344" s="6">
        <f>Database!$A8429</f>
        <v/>
      </c>
      <c r="B6344">
        <f>IF(VLOOKUP(Table7[[#This Row],[Date]],Database!$A:$C,MATCH($B$1,Database!$A$1:$C$1,),)=0,#N/A,VLOOKUP(Table7[[#This Row],[Date]],Database!$A:$C,MATCH($B$1,Database!$A$1:$C$1,),))</f>
        <v/>
      </c>
      <c r="C6344">
        <f>IF(VLOOKUP(Table7[[#This Row],[Date]],Database!$A:$C,MATCH($C$1,Database!$A$1:$C$1,),)=0,#N/A,VLOOKUP(Table7[[#This Row],[Date]],Database!$A:$C,MATCH($C$1,Database!$A$1:$C$1,),))</f>
        <v/>
      </c>
      <c r="D6344">
        <f>IFERROR(Table7[[#This Row],[United States 10y]]-Table7[[#This Row],[United States 3y]],#N/A)</f>
        <v/>
      </c>
    </row>
    <row r="6345">
      <c r="A6345" s="6">
        <f>Database!$A8430</f>
        <v/>
      </c>
      <c r="B6345">
        <f>IF(VLOOKUP(Table7[[#This Row],[Date]],Database!$A:$C,MATCH($B$1,Database!$A$1:$C$1,),)=0,#N/A,VLOOKUP(Table7[[#This Row],[Date]],Database!$A:$C,MATCH($B$1,Database!$A$1:$C$1,),))</f>
        <v/>
      </c>
      <c r="C6345">
        <f>IF(VLOOKUP(Table7[[#This Row],[Date]],Database!$A:$C,MATCH($C$1,Database!$A$1:$C$1,),)=0,#N/A,VLOOKUP(Table7[[#This Row],[Date]],Database!$A:$C,MATCH($C$1,Database!$A$1:$C$1,),))</f>
        <v/>
      </c>
      <c r="D6345">
        <f>IFERROR(Table7[[#This Row],[United States 10y]]-Table7[[#This Row],[United States 3y]],#N/A)</f>
        <v/>
      </c>
    </row>
    <row r="6346">
      <c r="A6346" s="6">
        <f>Database!$A8431</f>
        <v/>
      </c>
      <c r="B6346">
        <f>IF(VLOOKUP(Table7[[#This Row],[Date]],Database!$A:$C,MATCH($B$1,Database!$A$1:$C$1,),)=0,#N/A,VLOOKUP(Table7[[#This Row],[Date]],Database!$A:$C,MATCH($B$1,Database!$A$1:$C$1,),))</f>
        <v/>
      </c>
      <c r="C6346">
        <f>IF(VLOOKUP(Table7[[#This Row],[Date]],Database!$A:$C,MATCH($C$1,Database!$A$1:$C$1,),)=0,#N/A,VLOOKUP(Table7[[#This Row],[Date]],Database!$A:$C,MATCH($C$1,Database!$A$1:$C$1,),))</f>
        <v/>
      </c>
      <c r="D6346">
        <f>IFERROR(Table7[[#This Row],[United States 10y]]-Table7[[#This Row],[United States 3y]],#N/A)</f>
        <v/>
      </c>
    </row>
    <row r="6347">
      <c r="A6347" s="6">
        <f>Database!$A8432</f>
        <v/>
      </c>
      <c r="B6347">
        <f>IF(VLOOKUP(Table7[[#This Row],[Date]],Database!$A:$C,MATCH($B$1,Database!$A$1:$C$1,),)=0,#N/A,VLOOKUP(Table7[[#This Row],[Date]],Database!$A:$C,MATCH($B$1,Database!$A$1:$C$1,),))</f>
        <v/>
      </c>
      <c r="C6347">
        <f>IF(VLOOKUP(Table7[[#This Row],[Date]],Database!$A:$C,MATCH($C$1,Database!$A$1:$C$1,),)=0,#N/A,VLOOKUP(Table7[[#This Row],[Date]],Database!$A:$C,MATCH($C$1,Database!$A$1:$C$1,),))</f>
        <v/>
      </c>
      <c r="D6347">
        <f>IFERROR(Table7[[#This Row],[United States 10y]]-Table7[[#This Row],[United States 3y]],#N/A)</f>
        <v/>
      </c>
    </row>
    <row r="6348">
      <c r="A6348" s="6">
        <f>Database!$A8433</f>
        <v/>
      </c>
      <c r="B6348">
        <f>IF(VLOOKUP(Table7[[#This Row],[Date]],Database!$A:$C,MATCH($B$1,Database!$A$1:$C$1,),)=0,#N/A,VLOOKUP(Table7[[#This Row],[Date]],Database!$A:$C,MATCH($B$1,Database!$A$1:$C$1,),))</f>
        <v/>
      </c>
      <c r="C6348">
        <f>IF(VLOOKUP(Table7[[#This Row],[Date]],Database!$A:$C,MATCH($C$1,Database!$A$1:$C$1,),)=0,#N/A,VLOOKUP(Table7[[#This Row],[Date]],Database!$A:$C,MATCH($C$1,Database!$A$1:$C$1,),))</f>
        <v/>
      </c>
      <c r="D6348">
        <f>IFERROR(Table7[[#This Row],[United States 10y]]-Table7[[#This Row],[United States 3y]],#N/A)</f>
        <v/>
      </c>
    </row>
    <row r="6349">
      <c r="A6349" s="6">
        <f>Database!$A8434</f>
        <v/>
      </c>
      <c r="B6349">
        <f>IF(VLOOKUP(Table7[[#This Row],[Date]],Database!$A:$C,MATCH($B$1,Database!$A$1:$C$1,),)=0,#N/A,VLOOKUP(Table7[[#This Row],[Date]],Database!$A:$C,MATCH($B$1,Database!$A$1:$C$1,),))</f>
        <v/>
      </c>
      <c r="C6349">
        <f>IF(VLOOKUP(Table7[[#This Row],[Date]],Database!$A:$C,MATCH($C$1,Database!$A$1:$C$1,),)=0,#N/A,VLOOKUP(Table7[[#This Row],[Date]],Database!$A:$C,MATCH($C$1,Database!$A$1:$C$1,),))</f>
        <v/>
      </c>
      <c r="D6349">
        <f>IFERROR(Table7[[#This Row],[United States 10y]]-Table7[[#This Row],[United States 3y]],#N/A)</f>
        <v/>
      </c>
    </row>
    <row r="6350">
      <c r="A6350" s="6">
        <f>Database!$A8435</f>
        <v/>
      </c>
      <c r="B6350">
        <f>IF(VLOOKUP(Table7[[#This Row],[Date]],Database!$A:$C,MATCH($B$1,Database!$A$1:$C$1,),)=0,#N/A,VLOOKUP(Table7[[#This Row],[Date]],Database!$A:$C,MATCH($B$1,Database!$A$1:$C$1,),))</f>
        <v/>
      </c>
      <c r="C6350">
        <f>IF(VLOOKUP(Table7[[#This Row],[Date]],Database!$A:$C,MATCH($C$1,Database!$A$1:$C$1,),)=0,#N/A,VLOOKUP(Table7[[#This Row],[Date]],Database!$A:$C,MATCH($C$1,Database!$A$1:$C$1,),))</f>
        <v/>
      </c>
      <c r="D6350">
        <f>IFERROR(Table7[[#This Row],[United States 10y]]-Table7[[#This Row],[United States 3y]],#N/A)</f>
        <v/>
      </c>
    </row>
    <row r="6351">
      <c r="A6351" s="6">
        <f>Database!$A8436</f>
        <v/>
      </c>
      <c r="B6351">
        <f>IF(VLOOKUP(Table7[[#This Row],[Date]],Database!$A:$C,MATCH($B$1,Database!$A$1:$C$1,),)=0,#N/A,VLOOKUP(Table7[[#This Row],[Date]],Database!$A:$C,MATCH($B$1,Database!$A$1:$C$1,),))</f>
        <v/>
      </c>
      <c r="C6351">
        <f>IF(VLOOKUP(Table7[[#This Row],[Date]],Database!$A:$C,MATCH($C$1,Database!$A$1:$C$1,),)=0,#N/A,VLOOKUP(Table7[[#This Row],[Date]],Database!$A:$C,MATCH($C$1,Database!$A$1:$C$1,),))</f>
        <v/>
      </c>
      <c r="D6351">
        <f>IFERROR(Table7[[#This Row],[United States 10y]]-Table7[[#This Row],[United States 3y]],#N/A)</f>
        <v/>
      </c>
    </row>
    <row r="6352">
      <c r="A6352" s="6">
        <f>Database!$A8437</f>
        <v/>
      </c>
      <c r="B6352">
        <f>IF(VLOOKUP(Table7[[#This Row],[Date]],Database!$A:$C,MATCH($B$1,Database!$A$1:$C$1,),)=0,#N/A,VLOOKUP(Table7[[#This Row],[Date]],Database!$A:$C,MATCH($B$1,Database!$A$1:$C$1,),))</f>
        <v/>
      </c>
      <c r="C6352">
        <f>IF(VLOOKUP(Table7[[#This Row],[Date]],Database!$A:$C,MATCH($C$1,Database!$A$1:$C$1,),)=0,#N/A,VLOOKUP(Table7[[#This Row],[Date]],Database!$A:$C,MATCH($C$1,Database!$A$1:$C$1,),))</f>
        <v/>
      </c>
      <c r="D6352">
        <f>IFERROR(Table7[[#This Row],[United States 10y]]-Table7[[#This Row],[United States 3y]],#N/A)</f>
        <v/>
      </c>
    </row>
    <row r="6353">
      <c r="A6353" s="6">
        <f>Database!$A8438</f>
        <v/>
      </c>
      <c r="B6353">
        <f>IF(VLOOKUP(Table7[[#This Row],[Date]],Database!$A:$C,MATCH($B$1,Database!$A$1:$C$1,),)=0,#N/A,VLOOKUP(Table7[[#This Row],[Date]],Database!$A:$C,MATCH($B$1,Database!$A$1:$C$1,),))</f>
        <v/>
      </c>
      <c r="C6353">
        <f>IF(VLOOKUP(Table7[[#This Row],[Date]],Database!$A:$C,MATCH($C$1,Database!$A$1:$C$1,),)=0,#N/A,VLOOKUP(Table7[[#This Row],[Date]],Database!$A:$C,MATCH($C$1,Database!$A$1:$C$1,),))</f>
        <v/>
      </c>
      <c r="D6353">
        <f>IFERROR(Table7[[#This Row],[United States 10y]]-Table7[[#This Row],[United States 3y]],#N/A)</f>
        <v/>
      </c>
    </row>
    <row r="6354">
      <c r="A6354" s="6">
        <f>Database!$A8439</f>
        <v/>
      </c>
      <c r="B6354">
        <f>IF(VLOOKUP(Table7[[#This Row],[Date]],Database!$A:$C,MATCH($B$1,Database!$A$1:$C$1,),)=0,#N/A,VLOOKUP(Table7[[#This Row],[Date]],Database!$A:$C,MATCH($B$1,Database!$A$1:$C$1,),))</f>
        <v/>
      </c>
      <c r="C6354">
        <f>IF(VLOOKUP(Table7[[#This Row],[Date]],Database!$A:$C,MATCH($C$1,Database!$A$1:$C$1,),)=0,#N/A,VLOOKUP(Table7[[#This Row],[Date]],Database!$A:$C,MATCH($C$1,Database!$A$1:$C$1,),))</f>
        <v/>
      </c>
      <c r="D6354">
        <f>IFERROR(Table7[[#This Row],[United States 10y]]-Table7[[#This Row],[United States 3y]],#N/A)</f>
        <v/>
      </c>
    </row>
    <row r="6355">
      <c r="A6355" s="6">
        <f>Database!$A8440</f>
        <v/>
      </c>
      <c r="B6355">
        <f>IF(VLOOKUP(Table7[[#This Row],[Date]],Database!$A:$C,MATCH($B$1,Database!$A$1:$C$1,),)=0,#N/A,VLOOKUP(Table7[[#This Row],[Date]],Database!$A:$C,MATCH($B$1,Database!$A$1:$C$1,),))</f>
        <v/>
      </c>
      <c r="C6355">
        <f>IF(VLOOKUP(Table7[[#This Row],[Date]],Database!$A:$C,MATCH($C$1,Database!$A$1:$C$1,),)=0,#N/A,VLOOKUP(Table7[[#This Row],[Date]],Database!$A:$C,MATCH($C$1,Database!$A$1:$C$1,),))</f>
        <v/>
      </c>
      <c r="D6355">
        <f>IFERROR(Table7[[#This Row],[United States 10y]]-Table7[[#This Row],[United States 3y]],#N/A)</f>
        <v/>
      </c>
    </row>
    <row r="6356">
      <c r="A6356" s="6">
        <f>Database!$A8441</f>
        <v/>
      </c>
      <c r="B6356">
        <f>IF(VLOOKUP(Table7[[#This Row],[Date]],Database!$A:$C,MATCH($B$1,Database!$A$1:$C$1,),)=0,#N/A,VLOOKUP(Table7[[#This Row],[Date]],Database!$A:$C,MATCH($B$1,Database!$A$1:$C$1,),))</f>
        <v/>
      </c>
      <c r="C6356">
        <f>IF(VLOOKUP(Table7[[#This Row],[Date]],Database!$A:$C,MATCH($C$1,Database!$A$1:$C$1,),)=0,#N/A,VLOOKUP(Table7[[#This Row],[Date]],Database!$A:$C,MATCH($C$1,Database!$A$1:$C$1,),))</f>
        <v/>
      </c>
      <c r="D6356">
        <f>IFERROR(Table7[[#This Row],[United States 10y]]-Table7[[#This Row],[United States 3y]],#N/A)</f>
        <v/>
      </c>
    </row>
    <row r="6357">
      <c r="A6357" s="6">
        <f>Database!$A8442</f>
        <v/>
      </c>
      <c r="B6357">
        <f>IF(VLOOKUP(Table7[[#This Row],[Date]],Database!$A:$C,MATCH($B$1,Database!$A$1:$C$1,),)=0,#N/A,VLOOKUP(Table7[[#This Row],[Date]],Database!$A:$C,MATCH($B$1,Database!$A$1:$C$1,),))</f>
        <v/>
      </c>
      <c r="C6357">
        <f>IF(VLOOKUP(Table7[[#This Row],[Date]],Database!$A:$C,MATCH($C$1,Database!$A$1:$C$1,),)=0,#N/A,VLOOKUP(Table7[[#This Row],[Date]],Database!$A:$C,MATCH($C$1,Database!$A$1:$C$1,),))</f>
        <v/>
      </c>
      <c r="D6357">
        <f>IFERROR(Table7[[#This Row],[United States 10y]]-Table7[[#This Row],[United States 3y]],#N/A)</f>
        <v/>
      </c>
    </row>
    <row r="6358">
      <c r="A6358" s="6">
        <f>Database!$A8443</f>
        <v/>
      </c>
      <c r="B6358">
        <f>IF(VLOOKUP(Table7[[#This Row],[Date]],Database!$A:$C,MATCH($B$1,Database!$A$1:$C$1,),)=0,#N/A,VLOOKUP(Table7[[#This Row],[Date]],Database!$A:$C,MATCH($B$1,Database!$A$1:$C$1,),))</f>
        <v/>
      </c>
      <c r="C6358">
        <f>IF(VLOOKUP(Table7[[#This Row],[Date]],Database!$A:$C,MATCH($C$1,Database!$A$1:$C$1,),)=0,#N/A,VLOOKUP(Table7[[#This Row],[Date]],Database!$A:$C,MATCH($C$1,Database!$A$1:$C$1,),))</f>
        <v/>
      </c>
      <c r="D6358">
        <f>IFERROR(Table7[[#This Row],[United States 10y]]-Table7[[#This Row],[United States 3y]],#N/A)</f>
        <v/>
      </c>
    </row>
    <row r="6359">
      <c r="A6359" s="6">
        <f>Database!$A8444</f>
        <v/>
      </c>
      <c r="B6359">
        <f>IF(VLOOKUP(Table7[[#This Row],[Date]],Database!$A:$C,MATCH($B$1,Database!$A$1:$C$1,),)=0,#N/A,VLOOKUP(Table7[[#This Row],[Date]],Database!$A:$C,MATCH($B$1,Database!$A$1:$C$1,),))</f>
        <v/>
      </c>
      <c r="C6359">
        <f>IF(VLOOKUP(Table7[[#This Row],[Date]],Database!$A:$C,MATCH($C$1,Database!$A$1:$C$1,),)=0,#N/A,VLOOKUP(Table7[[#This Row],[Date]],Database!$A:$C,MATCH($C$1,Database!$A$1:$C$1,),))</f>
        <v/>
      </c>
      <c r="D6359">
        <f>IFERROR(Table7[[#This Row],[United States 10y]]-Table7[[#This Row],[United States 3y]],#N/A)</f>
        <v/>
      </c>
    </row>
    <row r="6360">
      <c r="A6360" s="6">
        <f>Database!$A8445</f>
        <v/>
      </c>
      <c r="B6360">
        <f>IF(VLOOKUP(Table7[[#This Row],[Date]],Database!$A:$C,MATCH($B$1,Database!$A$1:$C$1,),)=0,#N/A,VLOOKUP(Table7[[#This Row],[Date]],Database!$A:$C,MATCH($B$1,Database!$A$1:$C$1,),))</f>
        <v/>
      </c>
      <c r="C6360">
        <f>IF(VLOOKUP(Table7[[#This Row],[Date]],Database!$A:$C,MATCH($C$1,Database!$A$1:$C$1,),)=0,#N/A,VLOOKUP(Table7[[#This Row],[Date]],Database!$A:$C,MATCH($C$1,Database!$A$1:$C$1,),))</f>
        <v/>
      </c>
      <c r="D6360">
        <f>IFERROR(Table7[[#This Row],[United States 10y]]-Table7[[#This Row],[United States 3y]],#N/A)</f>
        <v/>
      </c>
    </row>
    <row r="6361">
      <c r="A6361" s="6">
        <f>Database!$A8446</f>
        <v/>
      </c>
      <c r="B6361">
        <f>IF(VLOOKUP(Table7[[#This Row],[Date]],Database!$A:$C,MATCH($B$1,Database!$A$1:$C$1,),)=0,#N/A,VLOOKUP(Table7[[#This Row],[Date]],Database!$A:$C,MATCH($B$1,Database!$A$1:$C$1,),))</f>
        <v/>
      </c>
      <c r="C6361">
        <f>IF(VLOOKUP(Table7[[#This Row],[Date]],Database!$A:$C,MATCH($C$1,Database!$A$1:$C$1,),)=0,#N/A,VLOOKUP(Table7[[#This Row],[Date]],Database!$A:$C,MATCH($C$1,Database!$A$1:$C$1,),))</f>
        <v/>
      </c>
      <c r="D6361">
        <f>IFERROR(Table7[[#This Row],[United States 10y]]-Table7[[#This Row],[United States 3y]],#N/A)</f>
        <v/>
      </c>
    </row>
    <row r="6362">
      <c r="A6362" s="6">
        <f>Database!$A8447</f>
        <v/>
      </c>
      <c r="B6362">
        <f>IF(VLOOKUP(Table7[[#This Row],[Date]],Database!$A:$C,MATCH($B$1,Database!$A$1:$C$1,),)=0,#N/A,VLOOKUP(Table7[[#This Row],[Date]],Database!$A:$C,MATCH($B$1,Database!$A$1:$C$1,),))</f>
        <v/>
      </c>
      <c r="C6362">
        <f>IF(VLOOKUP(Table7[[#This Row],[Date]],Database!$A:$C,MATCH($C$1,Database!$A$1:$C$1,),)=0,#N/A,VLOOKUP(Table7[[#This Row],[Date]],Database!$A:$C,MATCH($C$1,Database!$A$1:$C$1,),))</f>
        <v/>
      </c>
      <c r="D6362">
        <f>IFERROR(Table7[[#This Row],[United States 10y]]-Table7[[#This Row],[United States 3y]],#N/A)</f>
        <v/>
      </c>
    </row>
    <row r="6363">
      <c r="A6363" s="6">
        <f>Database!$A8448</f>
        <v/>
      </c>
      <c r="B6363">
        <f>IF(VLOOKUP(Table7[[#This Row],[Date]],Database!$A:$C,MATCH($B$1,Database!$A$1:$C$1,),)=0,#N/A,VLOOKUP(Table7[[#This Row],[Date]],Database!$A:$C,MATCH($B$1,Database!$A$1:$C$1,),))</f>
        <v/>
      </c>
      <c r="C6363">
        <f>IF(VLOOKUP(Table7[[#This Row],[Date]],Database!$A:$C,MATCH($C$1,Database!$A$1:$C$1,),)=0,#N/A,VLOOKUP(Table7[[#This Row],[Date]],Database!$A:$C,MATCH($C$1,Database!$A$1:$C$1,),))</f>
        <v/>
      </c>
      <c r="D6363">
        <f>IFERROR(Table7[[#This Row],[United States 10y]]-Table7[[#This Row],[United States 3y]],#N/A)</f>
        <v/>
      </c>
    </row>
    <row r="6364">
      <c r="A6364" s="6">
        <f>Database!$A8449</f>
        <v/>
      </c>
      <c r="B6364">
        <f>IF(VLOOKUP(Table7[[#This Row],[Date]],Database!$A:$C,MATCH($B$1,Database!$A$1:$C$1,),)=0,#N/A,VLOOKUP(Table7[[#This Row],[Date]],Database!$A:$C,MATCH($B$1,Database!$A$1:$C$1,),))</f>
        <v/>
      </c>
      <c r="C6364">
        <f>IF(VLOOKUP(Table7[[#This Row],[Date]],Database!$A:$C,MATCH($C$1,Database!$A$1:$C$1,),)=0,#N/A,VLOOKUP(Table7[[#This Row],[Date]],Database!$A:$C,MATCH($C$1,Database!$A$1:$C$1,),))</f>
        <v/>
      </c>
      <c r="D6364">
        <f>IFERROR(Table7[[#This Row],[United States 10y]]-Table7[[#This Row],[United States 3y]],#N/A)</f>
        <v/>
      </c>
    </row>
    <row r="6365">
      <c r="A6365" s="6">
        <f>Database!$A8450</f>
        <v/>
      </c>
      <c r="B6365">
        <f>IF(VLOOKUP(Table7[[#This Row],[Date]],Database!$A:$C,MATCH($B$1,Database!$A$1:$C$1,),)=0,#N/A,VLOOKUP(Table7[[#This Row],[Date]],Database!$A:$C,MATCH($B$1,Database!$A$1:$C$1,),))</f>
        <v/>
      </c>
      <c r="C6365">
        <f>IF(VLOOKUP(Table7[[#This Row],[Date]],Database!$A:$C,MATCH($C$1,Database!$A$1:$C$1,),)=0,#N/A,VLOOKUP(Table7[[#This Row],[Date]],Database!$A:$C,MATCH($C$1,Database!$A$1:$C$1,),))</f>
        <v/>
      </c>
      <c r="D6365">
        <f>IFERROR(Table7[[#This Row],[United States 10y]]-Table7[[#This Row],[United States 3y]],#N/A)</f>
        <v/>
      </c>
    </row>
    <row r="6366">
      <c r="A6366" s="6">
        <f>Database!$A8451</f>
        <v/>
      </c>
      <c r="B6366">
        <f>IF(VLOOKUP(Table7[[#This Row],[Date]],Database!$A:$C,MATCH($B$1,Database!$A$1:$C$1,),)=0,#N/A,VLOOKUP(Table7[[#This Row],[Date]],Database!$A:$C,MATCH($B$1,Database!$A$1:$C$1,),))</f>
        <v/>
      </c>
      <c r="C6366">
        <f>IF(VLOOKUP(Table7[[#This Row],[Date]],Database!$A:$C,MATCH($C$1,Database!$A$1:$C$1,),)=0,#N/A,VLOOKUP(Table7[[#This Row],[Date]],Database!$A:$C,MATCH($C$1,Database!$A$1:$C$1,),))</f>
        <v/>
      </c>
      <c r="D6366">
        <f>IFERROR(Table7[[#This Row],[United States 10y]]-Table7[[#This Row],[United States 3y]],#N/A)</f>
        <v/>
      </c>
    </row>
    <row r="6367">
      <c r="A6367" s="6">
        <f>Database!$A8452</f>
        <v/>
      </c>
      <c r="B6367">
        <f>IF(VLOOKUP(Table7[[#This Row],[Date]],Database!$A:$C,MATCH($B$1,Database!$A$1:$C$1,),)=0,#N/A,VLOOKUP(Table7[[#This Row],[Date]],Database!$A:$C,MATCH($B$1,Database!$A$1:$C$1,),))</f>
        <v/>
      </c>
      <c r="C6367">
        <f>IF(VLOOKUP(Table7[[#This Row],[Date]],Database!$A:$C,MATCH($C$1,Database!$A$1:$C$1,),)=0,#N/A,VLOOKUP(Table7[[#This Row],[Date]],Database!$A:$C,MATCH($C$1,Database!$A$1:$C$1,),))</f>
        <v/>
      </c>
      <c r="D6367">
        <f>IFERROR(Table7[[#This Row],[United States 10y]]-Table7[[#This Row],[United States 3y]],#N/A)</f>
        <v/>
      </c>
    </row>
    <row r="6368">
      <c r="A6368" s="6">
        <f>Database!$A8453</f>
        <v/>
      </c>
      <c r="B6368">
        <f>IF(VLOOKUP(Table7[[#This Row],[Date]],Database!$A:$C,MATCH($B$1,Database!$A$1:$C$1,),)=0,#N/A,VLOOKUP(Table7[[#This Row],[Date]],Database!$A:$C,MATCH($B$1,Database!$A$1:$C$1,),))</f>
        <v/>
      </c>
      <c r="C6368">
        <f>IF(VLOOKUP(Table7[[#This Row],[Date]],Database!$A:$C,MATCH($C$1,Database!$A$1:$C$1,),)=0,#N/A,VLOOKUP(Table7[[#This Row],[Date]],Database!$A:$C,MATCH($C$1,Database!$A$1:$C$1,),))</f>
        <v/>
      </c>
      <c r="D6368">
        <f>IFERROR(Table7[[#This Row],[United States 10y]]-Table7[[#This Row],[United States 3y]],#N/A)</f>
        <v/>
      </c>
    </row>
    <row r="6369">
      <c r="A6369" s="6">
        <f>Database!$A8454</f>
        <v/>
      </c>
      <c r="B6369">
        <f>IF(VLOOKUP(Table7[[#This Row],[Date]],Database!$A:$C,MATCH($B$1,Database!$A$1:$C$1,),)=0,#N/A,VLOOKUP(Table7[[#This Row],[Date]],Database!$A:$C,MATCH($B$1,Database!$A$1:$C$1,),))</f>
        <v/>
      </c>
      <c r="C6369">
        <f>IF(VLOOKUP(Table7[[#This Row],[Date]],Database!$A:$C,MATCH($C$1,Database!$A$1:$C$1,),)=0,#N/A,VLOOKUP(Table7[[#This Row],[Date]],Database!$A:$C,MATCH($C$1,Database!$A$1:$C$1,),))</f>
        <v/>
      </c>
      <c r="D6369">
        <f>IFERROR(Table7[[#This Row],[United States 10y]]-Table7[[#This Row],[United States 3y]],#N/A)</f>
        <v/>
      </c>
    </row>
    <row r="6370">
      <c r="A6370" s="6">
        <f>Database!$A8455</f>
        <v/>
      </c>
      <c r="B6370">
        <f>IF(VLOOKUP(Table7[[#This Row],[Date]],Database!$A:$C,MATCH($B$1,Database!$A$1:$C$1,),)=0,#N/A,VLOOKUP(Table7[[#This Row],[Date]],Database!$A:$C,MATCH($B$1,Database!$A$1:$C$1,),))</f>
        <v/>
      </c>
      <c r="C6370">
        <f>IF(VLOOKUP(Table7[[#This Row],[Date]],Database!$A:$C,MATCH($C$1,Database!$A$1:$C$1,),)=0,#N/A,VLOOKUP(Table7[[#This Row],[Date]],Database!$A:$C,MATCH($C$1,Database!$A$1:$C$1,),))</f>
        <v/>
      </c>
      <c r="D6370">
        <f>IFERROR(Table7[[#This Row],[United States 10y]]-Table7[[#This Row],[United States 3y]],#N/A)</f>
        <v/>
      </c>
    </row>
    <row r="6371">
      <c r="A6371" s="6">
        <f>Database!$A8456</f>
        <v/>
      </c>
      <c r="B6371">
        <f>IF(VLOOKUP(Table7[[#This Row],[Date]],Database!$A:$C,MATCH($B$1,Database!$A$1:$C$1,),)=0,#N/A,VLOOKUP(Table7[[#This Row],[Date]],Database!$A:$C,MATCH($B$1,Database!$A$1:$C$1,),))</f>
        <v/>
      </c>
      <c r="C6371">
        <f>IF(VLOOKUP(Table7[[#This Row],[Date]],Database!$A:$C,MATCH($C$1,Database!$A$1:$C$1,),)=0,#N/A,VLOOKUP(Table7[[#This Row],[Date]],Database!$A:$C,MATCH($C$1,Database!$A$1:$C$1,),))</f>
        <v/>
      </c>
      <c r="D6371">
        <f>IFERROR(Table7[[#This Row],[United States 10y]]-Table7[[#This Row],[United States 3y]],#N/A)</f>
        <v/>
      </c>
    </row>
    <row r="6372">
      <c r="A6372" s="6">
        <f>Database!$A8457</f>
        <v/>
      </c>
      <c r="B6372">
        <f>IF(VLOOKUP(Table7[[#This Row],[Date]],Database!$A:$C,MATCH($B$1,Database!$A$1:$C$1,),)=0,#N/A,VLOOKUP(Table7[[#This Row],[Date]],Database!$A:$C,MATCH($B$1,Database!$A$1:$C$1,),))</f>
        <v/>
      </c>
      <c r="C6372">
        <f>IF(VLOOKUP(Table7[[#This Row],[Date]],Database!$A:$C,MATCH($C$1,Database!$A$1:$C$1,),)=0,#N/A,VLOOKUP(Table7[[#This Row],[Date]],Database!$A:$C,MATCH($C$1,Database!$A$1:$C$1,),))</f>
        <v/>
      </c>
      <c r="D6372">
        <f>IFERROR(Table7[[#This Row],[United States 10y]]-Table7[[#This Row],[United States 3y]],#N/A)</f>
        <v/>
      </c>
    </row>
    <row r="6373">
      <c r="A6373" s="6">
        <f>Database!$A8458</f>
        <v/>
      </c>
      <c r="B6373">
        <f>IF(VLOOKUP(Table7[[#This Row],[Date]],Database!$A:$C,MATCH($B$1,Database!$A$1:$C$1,),)=0,#N/A,VLOOKUP(Table7[[#This Row],[Date]],Database!$A:$C,MATCH($B$1,Database!$A$1:$C$1,),))</f>
        <v/>
      </c>
      <c r="C6373">
        <f>IF(VLOOKUP(Table7[[#This Row],[Date]],Database!$A:$C,MATCH($C$1,Database!$A$1:$C$1,),)=0,#N/A,VLOOKUP(Table7[[#This Row],[Date]],Database!$A:$C,MATCH($C$1,Database!$A$1:$C$1,),))</f>
        <v/>
      </c>
      <c r="D6373">
        <f>IFERROR(Table7[[#This Row],[United States 10y]]-Table7[[#This Row],[United States 3y]],#N/A)</f>
        <v/>
      </c>
    </row>
    <row r="6374">
      <c r="A6374" s="6">
        <f>Database!$A8459</f>
        <v/>
      </c>
      <c r="B6374">
        <f>IF(VLOOKUP(Table7[[#This Row],[Date]],Database!$A:$C,MATCH($B$1,Database!$A$1:$C$1,),)=0,#N/A,VLOOKUP(Table7[[#This Row],[Date]],Database!$A:$C,MATCH($B$1,Database!$A$1:$C$1,),))</f>
        <v/>
      </c>
      <c r="C6374">
        <f>IF(VLOOKUP(Table7[[#This Row],[Date]],Database!$A:$C,MATCH($C$1,Database!$A$1:$C$1,),)=0,#N/A,VLOOKUP(Table7[[#This Row],[Date]],Database!$A:$C,MATCH($C$1,Database!$A$1:$C$1,),))</f>
        <v/>
      </c>
      <c r="D6374">
        <f>IFERROR(Table7[[#This Row],[United States 10y]]-Table7[[#This Row],[United States 3y]],#N/A)</f>
        <v/>
      </c>
    </row>
    <row r="6375">
      <c r="A6375" s="6">
        <f>Database!$A8460</f>
        <v/>
      </c>
      <c r="B6375">
        <f>IF(VLOOKUP(Table7[[#This Row],[Date]],Database!$A:$C,MATCH($B$1,Database!$A$1:$C$1,),)=0,#N/A,VLOOKUP(Table7[[#This Row],[Date]],Database!$A:$C,MATCH($B$1,Database!$A$1:$C$1,),))</f>
        <v/>
      </c>
      <c r="C6375">
        <f>IF(VLOOKUP(Table7[[#This Row],[Date]],Database!$A:$C,MATCH($C$1,Database!$A$1:$C$1,),)=0,#N/A,VLOOKUP(Table7[[#This Row],[Date]],Database!$A:$C,MATCH($C$1,Database!$A$1:$C$1,),))</f>
        <v/>
      </c>
      <c r="D6375">
        <f>IFERROR(Table7[[#This Row],[United States 10y]]-Table7[[#This Row],[United States 3y]],#N/A)</f>
        <v/>
      </c>
    </row>
    <row r="6376">
      <c r="A6376" s="6">
        <f>Database!$A8461</f>
        <v/>
      </c>
      <c r="B6376">
        <f>IF(VLOOKUP(Table7[[#This Row],[Date]],Database!$A:$C,MATCH($B$1,Database!$A$1:$C$1,),)=0,#N/A,VLOOKUP(Table7[[#This Row],[Date]],Database!$A:$C,MATCH($B$1,Database!$A$1:$C$1,),))</f>
        <v/>
      </c>
      <c r="C6376">
        <f>IF(VLOOKUP(Table7[[#This Row],[Date]],Database!$A:$C,MATCH($C$1,Database!$A$1:$C$1,),)=0,#N/A,VLOOKUP(Table7[[#This Row],[Date]],Database!$A:$C,MATCH($C$1,Database!$A$1:$C$1,),))</f>
        <v/>
      </c>
      <c r="D6376">
        <f>IFERROR(Table7[[#This Row],[United States 10y]]-Table7[[#This Row],[United States 3y]],#N/A)</f>
        <v/>
      </c>
    </row>
    <row r="6377">
      <c r="A6377" s="6">
        <f>Database!$A8462</f>
        <v/>
      </c>
      <c r="B6377">
        <f>IF(VLOOKUP(Table7[[#This Row],[Date]],Database!$A:$C,MATCH($B$1,Database!$A$1:$C$1,),)=0,#N/A,VLOOKUP(Table7[[#This Row],[Date]],Database!$A:$C,MATCH($B$1,Database!$A$1:$C$1,),))</f>
        <v/>
      </c>
      <c r="C6377">
        <f>IF(VLOOKUP(Table7[[#This Row],[Date]],Database!$A:$C,MATCH($C$1,Database!$A$1:$C$1,),)=0,#N/A,VLOOKUP(Table7[[#This Row],[Date]],Database!$A:$C,MATCH($C$1,Database!$A$1:$C$1,),))</f>
        <v/>
      </c>
      <c r="D6377">
        <f>IFERROR(Table7[[#This Row],[United States 10y]]-Table7[[#This Row],[United States 3y]],#N/A)</f>
        <v/>
      </c>
    </row>
    <row r="6378">
      <c r="A6378" s="6">
        <f>Database!$A8463</f>
        <v/>
      </c>
      <c r="B6378">
        <f>IF(VLOOKUP(Table7[[#This Row],[Date]],Database!$A:$C,MATCH($B$1,Database!$A$1:$C$1,),)=0,#N/A,VLOOKUP(Table7[[#This Row],[Date]],Database!$A:$C,MATCH($B$1,Database!$A$1:$C$1,),))</f>
        <v/>
      </c>
      <c r="C6378">
        <f>IF(VLOOKUP(Table7[[#This Row],[Date]],Database!$A:$C,MATCH($C$1,Database!$A$1:$C$1,),)=0,#N/A,VLOOKUP(Table7[[#This Row],[Date]],Database!$A:$C,MATCH($C$1,Database!$A$1:$C$1,),))</f>
        <v/>
      </c>
      <c r="D6378">
        <f>IFERROR(Table7[[#This Row],[United States 10y]]-Table7[[#This Row],[United States 3y]],#N/A)</f>
        <v/>
      </c>
    </row>
    <row r="6379">
      <c r="A6379" s="6">
        <f>Database!$A8464</f>
        <v/>
      </c>
      <c r="B6379">
        <f>IF(VLOOKUP(Table7[[#This Row],[Date]],Database!$A:$C,MATCH($B$1,Database!$A$1:$C$1,),)=0,#N/A,VLOOKUP(Table7[[#This Row],[Date]],Database!$A:$C,MATCH($B$1,Database!$A$1:$C$1,),))</f>
        <v/>
      </c>
      <c r="C6379">
        <f>IF(VLOOKUP(Table7[[#This Row],[Date]],Database!$A:$C,MATCH($C$1,Database!$A$1:$C$1,),)=0,#N/A,VLOOKUP(Table7[[#This Row],[Date]],Database!$A:$C,MATCH($C$1,Database!$A$1:$C$1,),))</f>
        <v/>
      </c>
      <c r="D6379">
        <f>IFERROR(Table7[[#This Row],[United States 10y]]-Table7[[#This Row],[United States 3y]],#N/A)</f>
        <v/>
      </c>
    </row>
    <row r="6380">
      <c r="A6380" s="6">
        <f>Database!$A8465</f>
        <v/>
      </c>
      <c r="B6380">
        <f>IF(VLOOKUP(Table7[[#This Row],[Date]],Database!$A:$C,MATCH($B$1,Database!$A$1:$C$1,),)=0,#N/A,VLOOKUP(Table7[[#This Row],[Date]],Database!$A:$C,MATCH($B$1,Database!$A$1:$C$1,),))</f>
        <v/>
      </c>
      <c r="C6380">
        <f>IF(VLOOKUP(Table7[[#This Row],[Date]],Database!$A:$C,MATCH($C$1,Database!$A$1:$C$1,),)=0,#N/A,VLOOKUP(Table7[[#This Row],[Date]],Database!$A:$C,MATCH($C$1,Database!$A$1:$C$1,),))</f>
        <v/>
      </c>
      <c r="D6380">
        <f>IFERROR(Table7[[#This Row],[United States 10y]]-Table7[[#This Row],[United States 3y]],#N/A)</f>
        <v/>
      </c>
    </row>
    <row r="6381">
      <c r="A6381" s="6">
        <f>Database!$A8466</f>
        <v/>
      </c>
      <c r="B6381">
        <f>IF(VLOOKUP(Table7[[#This Row],[Date]],Database!$A:$C,MATCH($B$1,Database!$A$1:$C$1,),)=0,#N/A,VLOOKUP(Table7[[#This Row],[Date]],Database!$A:$C,MATCH($B$1,Database!$A$1:$C$1,),))</f>
        <v/>
      </c>
      <c r="C6381">
        <f>IF(VLOOKUP(Table7[[#This Row],[Date]],Database!$A:$C,MATCH($C$1,Database!$A$1:$C$1,),)=0,#N/A,VLOOKUP(Table7[[#This Row],[Date]],Database!$A:$C,MATCH($C$1,Database!$A$1:$C$1,),))</f>
        <v/>
      </c>
      <c r="D6381">
        <f>IFERROR(Table7[[#This Row],[United States 10y]]-Table7[[#This Row],[United States 3y]],#N/A)</f>
        <v/>
      </c>
    </row>
    <row r="6382">
      <c r="A6382" s="6">
        <f>Database!$A8467</f>
        <v/>
      </c>
      <c r="B6382">
        <f>IF(VLOOKUP(Table7[[#This Row],[Date]],Database!$A:$C,MATCH($B$1,Database!$A$1:$C$1,),)=0,#N/A,VLOOKUP(Table7[[#This Row],[Date]],Database!$A:$C,MATCH($B$1,Database!$A$1:$C$1,),))</f>
        <v/>
      </c>
      <c r="C6382">
        <f>IF(VLOOKUP(Table7[[#This Row],[Date]],Database!$A:$C,MATCH($C$1,Database!$A$1:$C$1,),)=0,#N/A,VLOOKUP(Table7[[#This Row],[Date]],Database!$A:$C,MATCH($C$1,Database!$A$1:$C$1,),))</f>
        <v/>
      </c>
      <c r="D6382">
        <f>IFERROR(Table7[[#This Row],[United States 10y]]-Table7[[#This Row],[United States 3y]],#N/A)</f>
        <v/>
      </c>
    </row>
    <row r="6383">
      <c r="A6383" s="6">
        <f>Database!$A8468</f>
        <v/>
      </c>
      <c r="B6383">
        <f>IF(VLOOKUP(Table7[[#This Row],[Date]],Database!$A:$C,MATCH($B$1,Database!$A$1:$C$1,),)=0,#N/A,VLOOKUP(Table7[[#This Row],[Date]],Database!$A:$C,MATCH($B$1,Database!$A$1:$C$1,),))</f>
        <v/>
      </c>
      <c r="C6383">
        <f>IF(VLOOKUP(Table7[[#This Row],[Date]],Database!$A:$C,MATCH($C$1,Database!$A$1:$C$1,),)=0,#N/A,VLOOKUP(Table7[[#This Row],[Date]],Database!$A:$C,MATCH($C$1,Database!$A$1:$C$1,),))</f>
        <v/>
      </c>
      <c r="D6383">
        <f>IFERROR(Table7[[#This Row],[United States 10y]]-Table7[[#This Row],[United States 3y]],#N/A)</f>
        <v/>
      </c>
    </row>
    <row r="6384">
      <c r="A6384" s="6">
        <f>Database!$A8469</f>
        <v/>
      </c>
      <c r="B6384">
        <f>IF(VLOOKUP(Table7[[#This Row],[Date]],Database!$A:$C,MATCH($B$1,Database!$A$1:$C$1,),)=0,#N/A,VLOOKUP(Table7[[#This Row],[Date]],Database!$A:$C,MATCH($B$1,Database!$A$1:$C$1,),))</f>
        <v/>
      </c>
      <c r="C6384">
        <f>IF(VLOOKUP(Table7[[#This Row],[Date]],Database!$A:$C,MATCH($C$1,Database!$A$1:$C$1,),)=0,#N/A,VLOOKUP(Table7[[#This Row],[Date]],Database!$A:$C,MATCH($C$1,Database!$A$1:$C$1,),))</f>
        <v/>
      </c>
      <c r="D6384">
        <f>IFERROR(Table7[[#This Row],[United States 10y]]-Table7[[#This Row],[United States 3y]],#N/A)</f>
        <v/>
      </c>
    </row>
    <row r="6385">
      <c r="A6385" s="6">
        <f>Database!$A8470</f>
        <v/>
      </c>
      <c r="B6385">
        <f>IF(VLOOKUP(Table7[[#This Row],[Date]],Database!$A:$C,MATCH($B$1,Database!$A$1:$C$1,),)=0,#N/A,VLOOKUP(Table7[[#This Row],[Date]],Database!$A:$C,MATCH($B$1,Database!$A$1:$C$1,),))</f>
        <v/>
      </c>
      <c r="C6385">
        <f>IF(VLOOKUP(Table7[[#This Row],[Date]],Database!$A:$C,MATCH($C$1,Database!$A$1:$C$1,),)=0,#N/A,VLOOKUP(Table7[[#This Row],[Date]],Database!$A:$C,MATCH($C$1,Database!$A$1:$C$1,),))</f>
        <v/>
      </c>
      <c r="D6385">
        <f>IFERROR(Table7[[#This Row],[United States 10y]]-Table7[[#This Row],[United States 3y]],#N/A)</f>
        <v/>
      </c>
    </row>
    <row r="6386">
      <c r="A6386" s="6">
        <f>Database!$A8471</f>
        <v/>
      </c>
      <c r="B6386">
        <f>IF(VLOOKUP(Table7[[#This Row],[Date]],Database!$A:$C,MATCH($B$1,Database!$A$1:$C$1,),)=0,#N/A,VLOOKUP(Table7[[#This Row],[Date]],Database!$A:$C,MATCH($B$1,Database!$A$1:$C$1,),))</f>
        <v/>
      </c>
      <c r="C6386">
        <f>IF(VLOOKUP(Table7[[#This Row],[Date]],Database!$A:$C,MATCH($C$1,Database!$A$1:$C$1,),)=0,#N/A,VLOOKUP(Table7[[#This Row],[Date]],Database!$A:$C,MATCH($C$1,Database!$A$1:$C$1,),))</f>
        <v/>
      </c>
      <c r="D6386">
        <f>IFERROR(Table7[[#This Row],[United States 10y]]-Table7[[#This Row],[United States 3y]],#N/A)</f>
        <v/>
      </c>
    </row>
    <row r="6387">
      <c r="A6387" s="6">
        <f>Database!$A8472</f>
        <v/>
      </c>
      <c r="B6387">
        <f>IF(VLOOKUP(Table7[[#This Row],[Date]],Database!$A:$C,MATCH($B$1,Database!$A$1:$C$1,),)=0,#N/A,VLOOKUP(Table7[[#This Row],[Date]],Database!$A:$C,MATCH($B$1,Database!$A$1:$C$1,),))</f>
        <v/>
      </c>
      <c r="C6387">
        <f>IF(VLOOKUP(Table7[[#This Row],[Date]],Database!$A:$C,MATCH($C$1,Database!$A$1:$C$1,),)=0,#N/A,VLOOKUP(Table7[[#This Row],[Date]],Database!$A:$C,MATCH($C$1,Database!$A$1:$C$1,),))</f>
        <v/>
      </c>
      <c r="D6387">
        <f>IFERROR(Table7[[#This Row],[United States 10y]]-Table7[[#This Row],[United States 3y]],#N/A)</f>
        <v/>
      </c>
    </row>
    <row r="6388">
      <c r="A6388" s="6">
        <f>Database!$A8473</f>
        <v/>
      </c>
      <c r="B6388">
        <f>IF(VLOOKUP(Table7[[#This Row],[Date]],Database!$A:$C,MATCH($B$1,Database!$A$1:$C$1,),)=0,#N/A,VLOOKUP(Table7[[#This Row],[Date]],Database!$A:$C,MATCH($B$1,Database!$A$1:$C$1,),))</f>
        <v/>
      </c>
      <c r="C6388">
        <f>IF(VLOOKUP(Table7[[#This Row],[Date]],Database!$A:$C,MATCH($C$1,Database!$A$1:$C$1,),)=0,#N/A,VLOOKUP(Table7[[#This Row],[Date]],Database!$A:$C,MATCH($C$1,Database!$A$1:$C$1,),))</f>
        <v/>
      </c>
      <c r="D6388">
        <f>IFERROR(Table7[[#This Row],[United States 10y]]-Table7[[#This Row],[United States 3y]],#N/A)</f>
        <v/>
      </c>
    </row>
    <row r="6389">
      <c r="A6389" s="6">
        <f>Database!$A8474</f>
        <v/>
      </c>
      <c r="B6389">
        <f>IF(VLOOKUP(Table7[[#This Row],[Date]],Database!$A:$C,MATCH($B$1,Database!$A$1:$C$1,),)=0,#N/A,VLOOKUP(Table7[[#This Row],[Date]],Database!$A:$C,MATCH($B$1,Database!$A$1:$C$1,),))</f>
        <v/>
      </c>
      <c r="C6389">
        <f>IF(VLOOKUP(Table7[[#This Row],[Date]],Database!$A:$C,MATCH($C$1,Database!$A$1:$C$1,),)=0,#N/A,VLOOKUP(Table7[[#This Row],[Date]],Database!$A:$C,MATCH($C$1,Database!$A$1:$C$1,),))</f>
        <v/>
      </c>
      <c r="D6389">
        <f>IFERROR(Table7[[#This Row],[United States 10y]]-Table7[[#This Row],[United States 3y]],#N/A)</f>
        <v/>
      </c>
    </row>
    <row r="6390">
      <c r="A6390" s="6">
        <f>Database!$A8475</f>
        <v/>
      </c>
      <c r="B6390">
        <f>IF(VLOOKUP(Table7[[#This Row],[Date]],Database!$A:$C,MATCH($B$1,Database!$A$1:$C$1,),)=0,#N/A,VLOOKUP(Table7[[#This Row],[Date]],Database!$A:$C,MATCH($B$1,Database!$A$1:$C$1,),))</f>
        <v/>
      </c>
      <c r="C6390">
        <f>IF(VLOOKUP(Table7[[#This Row],[Date]],Database!$A:$C,MATCH($C$1,Database!$A$1:$C$1,),)=0,#N/A,VLOOKUP(Table7[[#This Row],[Date]],Database!$A:$C,MATCH($C$1,Database!$A$1:$C$1,),))</f>
        <v/>
      </c>
      <c r="D6390">
        <f>IFERROR(Table7[[#This Row],[United States 10y]]-Table7[[#This Row],[United States 3y]],#N/A)</f>
        <v/>
      </c>
    </row>
    <row r="6391">
      <c r="A6391" s="6">
        <f>Database!$A8476</f>
        <v/>
      </c>
      <c r="B6391">
        <f>IF(VLOOKUP(Table7[[#This Row],[Date]],Database!$A:$C,MATCH($B$1,Database!$A$1:$C$1,),)=0,#N/A,VLOOKUP(Table7[[#This Row],[Date]],Database!$A:$C,MATCH($B$1,Database!$A$1:$C$1,),))</f>
        <v/>
      </c>
      <c r="C6391">
        <f>IF(VLOOKUP(Table7[[#This Row],[Date]],Database!$A:$C,MATCH($C$1,Database!$A$1:$C$1,),)=0,#N/A,VLOOKUP(Table7[[#This Row],[Date]],Database!$A:$C,MATCH($C$1,Database!$A$1:$C$1,),))</f>
        <v/>
      </c>
      <c r="D6391">
        <f>IFERROR(Table7[[#This Row],[United States 10y]]-Table7[[#This Row],[United States 3y]],#N/A)</f>
        <v/>
      </c>
    </row>
    <row r="6392">
      <c r="A6392" s="6">
        <f>Database!$A8477</f>
        <v/>
      </c>
      <c r="B6392">
        <f>IF(VLOOKUP(Table7[[#This Row],[Date]],Database!$A:$C,MATCH($B$1,Database!$A$1:$C$1,),)=0,#N/A,VLOOKUP(Table7[[#This Row],[Date]],Database!$A:$C,MATCH($B$1,Database!$A$1:$C$1,),))</f>
        <v/>
      </c>
      <c r="C6392">
        <f>IF(VLOOKUP(Table7[[#This Row],[Date]],Database!$A:$C,MATCH($C$1,Database!$A$1:$C$1,),)=0,#N/A,VLOOKUP(Table7[[#This Row],[Date]],Database!$A:$C,MATCH($C$1,Database!$A$1:$C$1,),))</f>
        <v/>
      </c>
      <c r="D6392">
        <f>IFERROR(Table7[[#This Row],[United States 10y]]-Table7[[#This Row],[United States 3y]],#N/A)</f>
        <v/>
      </c>
    </row>
    <row r="6393">
      <c r="A6393" s="6">
        <f>Database!$A8478</f>
        <v/>
      </c>
      <c r="B6393">
        <f>IF(VLOOKUP(Table7[[#This Row],[Date]],Database!$A:$C,MATCH($B$1,Database!$A$1:$C$1,),)=0,#N/A,VLOOKUP(Table7[[#This Row],[Date]],Database!$A:$C,MATCH($B$1,Database!$A$1:$C$1,),))</f>
        <v/>
      </c>
      <c r="C6393">
        <f>IF(VLOOKUP(Table7[[#This Row],[Date]],Database!$A:$C,MATCH($C$1,Database!$A$1:$C$1,),)=0,#N/A,VLOOKUP(Table7[[#This Row],[Date]],Database!$A:$C,MATCH($C$1,Database!$A$1:$C$1,),))</f>
        <v/>
      </c>
      <c r="D6393">
        <f>IFERROR(Table7[[#This Row],[United States 10y]]-Table7[[#This Row],[United States 3y]],#N/A)</f>
        <v/>
      </c>
    </row>
    <row r="6394">
      <c r="A6394" s="6">
        <f>Database!$A8479</f>
        <v/>
      </c>
      <c r="B6394">
        <f>IF(VLOOKUP(Table7[[#This Row],[Date]],Database!$A:$C,MATCH($B$1,Database!$A$1:$C$1,),)=0,#N/A,VLOOKUP(Table7[[#This Row],[Date]],Database!$A:$C,MATCH($B$1,Database!$A$1:$C$1,),))</f>
        <v/>
      </c>
      <c r="C6394">
        <f>IF(VLOOKUP(Table7[[#This Row],[Date]],Database!$A:$C,MATCH($C$1,Database!$A$1:$C$1,),)=0,#N/A,VLOOKUP(Table7[[#This Row],[Date]],Database!$A:$C,MATCH($C$1,Database!$A$1:$C$1,),))</f>
        <v/>
      </c>
      <c r="D6394">
        <f>IFERROR(Table7[[#This Row],[United States 10y]]-Table7[[#This Row],[United States 3y]],#N/A)</f>
        <v/>
      </c>
    </row>
    <row r="6395">
      <c r="A6395" s="6">
        <f>Database!$A8480</f>
        <v/>
      </c>
      <c r="B6395">
        <f>IF(VLOOKUP(Table7[[#This Row],[Date]],Database!$A:$C,MATCH($B$1,Database!$A$1:$C$1,),)=0,#N/A,VLOOKUP(Table7[[#This Row],[Date]],Database!$A:$C,MATCH($B$1,Database!$A$1:$C$1,),))</f>
        <v/>
      </c>
      <c r="C6395">
        <f>IF(VLOOKUP(Table7[[#This Row],[Date]],Database!$A:$C,MATCH($C$1,Database!$A$1:$C$1,),)=0,#N/A,VLOOKUP(Table7[[#This Row],[Date]],Database!$A:$C,MATCH($C$1,Database!$A$1:$C$1,),))</f>
        <v/>
      </c>
      <c r="D6395">
        <f>IFERROR(Table7[[#This Row],[United States 10y]]-Table7[[#This Row],[United States 3y]],#N/A)</f>
        <v/>
      </c>
    </row>
    <row r="6396">
      <c r="A6396" s="6">
        <f>Database!$A8481</f>
        <v/>
      </c>
      <c r="B6396">
        <f>IF(VLOOKUP(Table7[[#This Row],[Date]],Database!$A:$C,MATCH($B$1,Database!$A$1:$C$1,),)=0,#N/A,VLOOKUP(Table7[[#This Row],[Date]],Database!$A:$C,MATCH($B$1,Database!$A$1:$C$1,),))</f>
        <v/>
      </c>
      <c r="C6396">
        <f>IF(VLOOKUP(Table7[[#This Row],[Date]],Database!$A:$C,MATCH($C$1,Database!$A$1:$C$1,),)=0,#N/A,VLOOKUP(Table7[[#This Row],[Date]],Database!$A:$C,MATCH($C$1,Database!$A$1:$C$1,),))</f>
        <v/>
      </c>
      <c r="D6396">
        <f>IFERROR(Table7[[#This Row],[United States 10y]]-Table7[[#This Row],[United States 3y]],#N/A)</f>
        <v/>
      </c>
    </row>
    <row r="6397">
      <c r="A6397" s="6">
        <f>Database!$A8482</f>
        <v/>
      </c>
      <c r="B6397">
        <f>IF(VLOOKUP(Table7[[#This Row],[Date]],Database!$A:$C,MATCH($B$1,Database!$A$1:$C$1,),)=0,#N/A,VLOOKUP(Table7[[#This Row],[Date]],Database!$A:$C,MATCH($B$1,Database!$A$1:$C$1,),))</f>
        <v/>
      </c>
      <c r="C6397">
        <f>IF(VLOOKUP(Table7[[#This Row],[Date]],Database!$A:$C,MATCH($C$1,Database!$A$1:$C$1,),)=0,#N/A,VLOOKUP(Table7[[#This Row],[Date]],Database!$A:$C,MATCH($C$1,Database!$A$1:$C$1,),))</f>
        <v/>
      </c>
      <c r="D6397">
        <f>IFERROR(Table7[[#This Row],[United States 10y]]-Table7[[#This Row],[United States 3y]],#N/A)</f>
        <v/>
      </c>
    </row>
    <row r="6398">
      <c r="A6398" s="6">
        <f>Database!$A8483</f>
        <v/>
      </c>
      <c r="B6398">
        <f>IF(VLOOKUP(Table7[[#This Row],[Date]],Database!$A:$C,MATCH($B$1,Database!$A$1:$C$1,),)=0,#N/A,VLOOKUP(Table7[[#This Row],[Date]],Database!$A:$C,MATCH($B$1,Database!$A$1:$C$1,),))</f>
        <v/>
      </c>
      <c r="C6398">
        <f>IF(VLOOKUP(Table7[[#This Row],[Date]],Database!$A:$C,MATCH($C$1,Database!$A$1:$C$1,),)=0,#N/A,VLOOKUP(Table7[[#This Row],[Date]],Database!$A:$C,MATCH($C$1,Database!$A$1:$C$1,),))</f>
        <v/>
      </c>
      <c r="D6398">
        <f>IFERROR(Table7[[#This Row],[United States 10y]]-Table7[[#This Row],[United States 3y]],#N/A)</f>
        <v/>
      </c>
    </row>
    <row r="6399">
      <c r="A6399" s="6">
        <f>Database!$A8484</f>
        <v/>
      </c>
      <c r="B6399">
        <f>IF(VLOOKUP(Table7[[#This Row],[Date]],Database!$A:$C,MATCH($B$1,Database!$A$1:$C$1,),)=0,#N/A,VLOOKUP(Table7[[#This Row],[Date]],Database!$A:$C,MATCH($B$1,Database!$A$1:$C$1,),))</f>
        <v/>
      </c>
      <c r="C6399">
        <f>IF(VLOOKUP(Table7[[#This Row],[Date]],Database!$A:$C,MATCH($C$1,Database!$A$1:$C$1,),)=0,#N/A,VLOOKUP(Table7[[#This Row],[Date]],Database!$A:$C,MATCH($C$1,Database!$A$1:$C$1,),))</f>
        <v/>
      </c>
      <c r="D6399">
        <f>IFERROR(Table7[[#This Row],[United States 10y]]-Table7[[#This Row],[United States 3y]],#N/A)</f>
        <v/>
      </c>
    </row>
    <row r="6400">
      <c r="A6400" s="6">
        <f>Database!$A8485</f>
        <v/>
      </c>
      <c r="B6400">
        <f>IF(VLOOKUP(Table7[[#This Row],[Date]],Database!$A:$C,MATCH($B$1,Database!$A$1:$C$1,),)=0,#N/A,VLOOKUP(Table7[[#This Row],[Date]],Database!$A:$C,MATCH($B$1,Database!$A$1:$C$1,),))</f>
        <v/>
      </c>
      <c r="C6400">
        <f>IF(VLOOKUP(Table7[[#This Row],[Date]],Database!$A:$C,MATCH($C$1,Database!$A$1:$C$1,),)=0,#N/A,VLOOKUP(Table7[[#This Row],[Date]],Database!$A:$C,MATCH($C$1,Database!$A$1:$C$1,),))</f>
        <v/>
      </c>
      <c r="D6400">
        <f>IFERROR(Table7[[#This Row],[United States 10y]]-Table7[[#This Row],[United States 3y]],#N/A)</f>
        <v/>
      </c>
    </row>
    <row r="6401">
      <c r="A6401" s="6">
        <f>Database!$A8486</f>
        <v/>
      </c>
      <c r="B6401">
        <f>IF(VLOOKUP(Table7[[#This Row],[Date]],Database!$A:$C,MATCH($B$1,Database!$A$1:$C$1,),)=0,#N/A,VLOOKUP(Table7[[#This Row],[Date]],Database!$A:$C,MATCH($B$1,Database!$A$1:$C$1,),))</f>
        <v/>
      </c>
      <c r="C6401">
        <f>IF(VLOOKUP(Table7[[#This Row],[Date]],Database!$A:$C,MATCH($C$1,Database!$A$1:$C$1,),)=0,#N/A,VLOOKUP(Table7[[#This Row],[Date]],Database!$A:$C,MATCH($C$1,Database!$A$1:$C$1,),))</f>
        <v/>
      </c>
      <c r="D6401">
        <f>IFERROR(Table7[[#This Row],[United States 10y]]-Table7[[#This Row],[United States 3y]],#N/A)</f>
        <v/>
      </c>
    </row>
    <row r="6402">
      <c r="A6402" s="6">
        <f>Database!$A8487</f>
        <v/>
      </c>
      <c r="B6402">
        <f>IF(VLOOKUP(Table7[[#This Row],[Date]],Database!$A:$C,MATCH($B$1,Database!$A$1:$C$1,),)=0,#N/A,VLOOKUP(Table7[[#This Row],[Date]],Database!$A:$C,MATCH($B$1,Database!$A$1:$C$1,),))</f>
        <v/>
      </c>
      <c r="C6402">
        <f>IF(VLOOKUP(Table7[[#This Row],[Date]],Database!$A:$C,MATCH($C$1,Database!$A$1:$C$1,),)=0,#N/A,VLOOKUP(Table7[[#This Row],[Date]],Database!$A:$C,MATCH($C$1,Database!$A$1:$C$1,),))</f>
        <v/>
      </c>
      <c r="D6402">
        <f>IFERROR(Table7[[#This Row],[United States 10y]]-Table7[[#This Row],[United States 3y]],#N/A)</f>
        <v/>
      </c>
    </row>
    <row r="6403">
      <c r="A6403" s="6">
        <f>Database!$A8488</f>
        <v/>
      </c>
      <c r="B6403">
        <f>IF(VLOOKUP(Table7[[#This Row],[Date]],Database!$A:$C,MATCH($B$1,Database!$A$1:$C$1,),)=0,#N/A,VLOOKUP(Table7[[#This Row],[Date]],Database!$A:$C,MATCH($B$1,Database!$A$1:$C$1,),))</f>
        <v/>
      </c>
      <c r="C6403">
        <f>IF(VLOOKUP(Table7[[#This Row],[Date]],Database!$A:$C,MATCH($C$1,Database!$A$1:$C$1,),)=0,#N/A,VLOOKUP(Table7[[#This Row],[Date]],Database!$A:$C,MATCH($C$1,Database!$A$1:$C$1,),))</f>
        <v/>
      </c>
      <c r="D6403">
        <f>IFERROR(Table7[[#This Row],[United States 10y]]-Table7[[#This Row],[United States 3y]],#N/A)</f>
        <v/>
      </c>
    </row>
    <row r="6404">
      <c r="A6404" s="6">
        <f>Database!$A8489</f>
        <v/>
      </c>
      <c r="B6404">
        <f>IF(VLOOKUP(Table7[[#This Row],[Date]],Database!$A:$C,MATCH($B$1,Database!$A$1:$C$1,),)=0,#N/A,VLOOKUP(Table7[[#This Row],[Date]],Database!$A:$C,MATCH($B$1,Database!$A$1:$C$1,),))</f>
        <v/>
      </c>
      <c r="C6404">
        <f>IF(VLOOKUP(Table7[[#This Row],[Date]],Database!$A:$C,MATCH($C$1,Database!$A$1:$C$1,),)=0,#N/A,VLOOKUP(Table7[[#This Row],[Date]],Database!$A:$C,MATCH($C$1,Database!$A$1:$C$1,),))</f>
        <v/>
      </c>
      <c r="D6404">
        <f>IFERROR(Table7[[#This Row],[United States 10y]]-Table7[[#This Row],[United States 3y]],#N/A)</f>
        <v/>
      </c>
    </row>
    <row r="6405">
      <c r="A6405" s="6">
        <f>Database!$A8490</f>
        <v/>
      </c>
      <c r="B6405">
        <f>IF(VLOOKUP(Table7[[#This Row],[Date]],Database!$A:$C,MATCH($B$1,Database!$A$1:$C$1,),)=0,#N/A,VLOOKUP(Table7[[#This Row],[Date]],Database!$A:$C,MATCH($B$1,Database!$A$1:$C$1,),))</f>
        <v/>
      </c>
      <c r="C6405">
        <f>IF(VLOOKUP(Table7[[#This Row],[Date]],Database!$A:$C,MATCH($C$1,Database!$A$1:$C$1,),)=0,#N/A,VLOOKUP(Table7[[#This Row],[Date]],Database!$A:$C,MATCH($C$1,Database!$A$1:$C$1,),))</f>
        <v/>
      </c>
      <c r="D6405">
        <f>IFERROR(Table7[[#This Row],[United States 10y]]-Table7[[#This Row],[United States 3y]],#N/A)</f>
        <v/>
      </c>
    </row>
    <row r="6406">
      <c r="A6406" s="6">
        <f>Database!$A8491</f>
        <v/>
      </c>
      <c r="B6406">
        <f>IF(VLOOKUP(Table7[[#This Row],[Date]],Database!$A:$C,MATCH($B$1,Database!$A$1:$C$1,),)=0,#N/A,VLOOKUP(Table7[[#This Row],[Date]],Database!$A:$C,MATCH($B$1,Database!$A$1:$C$1,),))</f>
        <v/>
      </c>
      <c r="C6406">
        <f>IF(VLOOKUP(Table7[[#This Row],[Date]],Database!$A:$C,MATCH($C$1,Database!$A$1:$C$1,),)=0,#N/A,VLOOKUP(Table7[[#This Row],[Date]],Database!$A:$C,MATCH($C$1,Database!$A$1:$C$1,),))</f>
        <v/>
      </c>
      <c r="D6406">
        <f>IFERROR(Table7[[#This Row],[United States 10y]]-Table7[[#This Row],[United States 3y]],#N/A)</f>
        <v/>
      </c>
    </row>
    <row r="6407">
      <c r="A6407" s="6">
        <f>Database!$A8492</f>
        <v/>
      </c>
      <c r="B6407">
        <f>IF(VLOOKUP(Table7[[#This Row],[Date]],Database!$A:$C,MATCH($B$1,Database!$A$1:$C$1,),)=0,#N/A,VLOOKUP(Table7[[#This Row],[Date]],Database!$A:$C,MATCH($B$1,Database!$A$1:$C$1,),))</f>
        <v/>
      </c>
      <c r="C6407">
        <f>IF(VLOOKUP(Table7[[#This Row],[Date]],Database!$A:$C,MATCH($C$1,Database!$A$1:$C$1,),)=0,#N/A,VLOOKUP(Table7[[#This Row],[Date]],Database!$A:$C,MATCH($C$1,Database!$A$1:$C$1,),))</f>
        <v/>
      </c>
      <c r="D6407">
        <f>IFERROR(Table7[[#This Row],[United States 10y]]-Table7[[#This Row],[United States 3y]],#N/A)</f>
        <v/>
      </c>
    </row>
    <row r="6408">
      <c r="A6408" s="6">
        <f>Database!$A8493</f>
        <v/>
      </c>
      <c r="B6408">
        <f>IF(VLOOKUP(Table7[[#This Row],[Date]],Database!$A:$C,MATCH($B$1,Database!$A$1:$C$1,),)=0,#N/A,VLOOKUP(Table7[[#This Row],[Date]],Database!$A:$C,MATCH($B$1,Database!$A$1:$C$1,),))</f>
        <v/>
      </c>
      <c r="C6408">
        <f>IF(VLOOKUP(Table7[[#This Row],[Date]],Database!$A:$C,MATCH($C$1,Database!$A$1:$C$1,),)=0,#N/A,VLOOKUP(Table7[[#This Row],[Date]],Database!$A:$C,MATCH($C$1,Database!$A$1:$C$1,),))</f>
        <v/>
      </c>
      <c r="D6408">
        <f>IFERROR(Table7[[#This Row],[United States 10y]]-Table7[[#This Row],[United States 3y]],#N/A)</f>
        <v/>
      </c>
    </row>
    <row r="6409">
      <c r="A6409" s="6">
        <f>Database!$A8494</f>
        <v/>
      </c>
      <c r="B6409">
        <f>IF(VLOOKUP(Table7[[#This Row],[Date]],Database!$A:$C,MATCH($B$1,Database!$A$1:$C$1,),)=0,#N/A,VLOOKUP(Table7[[#This Row],[Date]],Database!$A:$C,MATCH($B$1,Database!$A$1:$C$1,),))</f>
        <v/>
      </c>
      <c r="C6409">
        <f>IF(VLOOKUP(Table7[[#This Row],[Date]],Database!$A:$C,MATCH($C$1,Database!$A$1:$C$1,),)=0,#N/A,VLOOKUP(Table7[[#This Row],[Date]],Database!$A:$C,MATCH($C$1,Database!$A$1:$C$1,),))</f>
        <v/>
      </c>
      <c r="D6409">
        <f>IFERROR(Table7[[#This Row],[United States 10y]]-Table7[[#This Row],[United States 3y]],#N/A)</f>
        <v/>
      </c>
    </row>
    <row r="6410">
      <c r="A6410" s="6">
        <f>Database!$A8495</f>
        <v/>
      </c>
      <c r="B6410">
        <f>IF(VLOOKUP(Table7[[#This Row],[Date]],Database!$A:$C,MATCH($B$1,Database!$A$1:$C$1,),)=0,#N/A,VLOOKUP(Table7[[#This Row],[Date]],Database!$A:$C,MATCH($B$1,Database!$A$1:$C$1,),))</f>
        <v/>
      </c>
      <c r="C6410">
        <f>IF(VLOOKUP(Table7[[#This Row],[Date]],Database!$A:$C,MATCH($C$1,Database!$A$1:$C$1,),)=0,#N/A,VLOOKUP(Table7[[#This Row],[Date]],Database!$A:$C,MATCH($C$1,Database!$A$1:$C$1,),))</f>
        <v/>
      </c>
      <c r="D6410">
        <f>IFERROR(Table7[[#This Row],[United States 10y]]-Table7[[#This Row],[United States 3y]],#N/A)</f>
        <v/>
      </c>
    </row>
    <row r="6411">
      <c r="A6411" s="6">
        <f>Database!$A8496</f>
        <v/>
      </c>
      <c r="B6411">
        <f>IF(VLOOKUP(Table7[[#This Row],[Date]],Database!$A:$C,MATCH($B$1,Database!$A$1:$C$1,),)=0,#N/A,VLOOKUP(Table7[[#This Row],[Date]],Database!$A:$C,MATCH($B$1,Database!$A$1:$C$1,),))</f>
        <v/>
      </c>
      <c r="C6411">
        <f>IF(VLOOKUP(Table7[[#This Row],[Date]],Database!$A:$C,MATCH($C$1,Database!$A$1:$C$1,),)=0,#N/A,VLOOKUP(Table7[[#This Row],[Date]],Database!$A:$C,MATCH($C$1,Database!$A$1:$C$1,),))</f>
        <v/>
      </c>
      <c r="D6411">
        <f>IFERROR(Table7[[#This Row],[United States 10y]]-Table7[[#This Row],[United States 3y]],#N/A)</f>
        <v/>
      </c>
    </row>
    <row r="6412">
      <c r="A6412" s="6">
        <f>Database!$A8497</f>
        <v/>
      </c>
      <c r="B6412">
        <f>IF(VLOOKUP(Table7[[#This Row],[Date]],Database!$A:$C,MATCH($B$1,Database!$A$1:$C$1,),)=0,#N/A,VLOOKUP(Table7[[#This Row],[Date]],Database!$A:$C,MATCH($B$1,Database!$A$1:$C$1,),))</f>
        <v/>
      </c>
      <c r="C6412">
        <f>IF(VLOOKUP(Table7[[#This Row],[Date]],Database!$A:$C,MATCH($C$1,Database!$A$1:$C$1,),)=0,#N/A,VLOOKUP(Table7[[#This Row],[Date]],Database!$A:$C,MATCH($C$1,Database!$A$1:$C$1,),))</f>
        <v/>
      </c>
      <c r="D6412">
        <f>IFERROR(Table7[[#This Row],[United States 10y]]-Table7[[#This Row],[United States 3y]],#N/A)</f>
        <v/>
      </c>
    </row>
    <row r="6413">
      <c r="A6413" s="6">
        <f>Database!$A8498</f>
        <v/>
      </c>
      <c r="B6413">
        <f>IF(VLOOKUP(Table7[[#This Row],[Date]],Database!$A:$C,MATCH($B$1,Database!$A$1:$C$1,),)=0,#N/A,VLOOKUP(Table7[[#This Row],[Date]],Database!$A:$C,MATCH($B$1,Database!$A$1:$C$1,),))</f>
        <v/>
      </c>
      <c r="C6413">
        <f>IF(VLOOKUP(Table7[[#This Row],[Date]],Database!$A:$C,MATCH($C$1,Database!$A$1:$C$1,),)=0,#N/A,VLOOKUP(Table7[[#This Row],[Date]],Database!$A:$C,MATCH($C$1,Database!$A$1:$C$1,),))</f>
        <v/>
      </c>
      <c r="D6413">
        <f>IFERROR(Table7[[#This Row],[United States 10y]]-Table7[[#This Row],[United States 3y]],#N/A)</f>
        <v/>
      </c>
    </row>
    <row r="6414">
      <c r="A6414" s="6">
        <f>Database!$A8499</f>
        <v/>
      </c>
      <c r="B6414">
        <f>IF(VLOOKUP(Table7[[#This Row],[Date]],Database!$A:$C,MATCH($B$1,Database!$A$1:$C$1,),)=0,#N/A,VLOOKUP(Table7[[#This Row],[Date]],Database!$A:$C,MATCH($B$1,Database!$A$1:$C$1,),))</f>
        <v/>
      </c>
      <c r="C6414">
        <f>IF(VLOOKUP(Table7[[#This Row],[Date]],Database!$A:$C,MATCH($C$1,Database!$A$1:$C$1,),)=0,#N/A,VLOOKUP(Table7[[#This Row],[Date]],Database!$A:$C,MATCH($C$1,Database!$A$1:$C$1,),))</f>
        <v/>
      </c>
      <c r="D6414">
        <f>IFERROR(Table7[[#This Row],[United States 10y]]-Table7[[#This Row],[United States 3y]],#N/A)</f>
        <v/>
      </c>
    </row>
    <row r="6415">
      <c r="A6415" s="6">
        <f>Database!$A8500</f>
        <v/>
      </c>
      <c r="B6415">
        <f>IF(VLOOKUP(Table7[[#This Row],[Date]],Database!$A:$C,MATCH($B$1,Database!$A$1:$C$1,),)=0,#N/A,VLOOKUP(Table7[[#This Row],[Date]],Database!$A:$C,MATCH($B$1,Database!$A$1:$C$1,),))</f>
        <v/>
      </c>
      <c r="C6415">
        <f>IF(VLOOKUP(Table7[[#This Row],[Date]],Database!$A:$C,MATCH($C$1,Database!$A$1:$C$1,),)=0,#N/A,VLOOKUP(Table7[[#This Row],[Date]],Database!$A:$C,MATCH($C$1,Database!$A$1:$C$1,),))</f>
        <v/>
      </c>
      <c r="D6415">
        <f>IFERROR(Table7[[#This Row],[United States 10y]]-Table7[[#This Row],[United States 3y]],#N/A)</f>
        <v/>
      </c>
    </row>
    <row r="6416">
      <c r="A6416" s="6">
        <f>Database!$A8501</f>
        <v/>
      </c>
      <c r="B6416">
        <f>IF(VLOOKUP(Table7[[#This Row],[Date]],Database!$A:$C,MATCH($B$1,Database!$A$1:$C$1,),)=0,#N/A,VLOOKUP(Table7[[#This Row],[Date]],Database!$A:$C,MATCH($B$1,Database!$A$1:$C$1,),))</f>
        <v/>
      </c>
      <c r="C6416">
        <f>IF(VLOOKUP(Table7[[#This Row],[Date]],Database!$A:$C,MATCH($C$1,Database!$A$1:$C$1,),)=0,#N/A,VLOOKUP(Table7[[#This Row],[Date]],Database!$A:$C,MATCH($C$1,Database!$A$1:$C$1,),))</f>
        <v/>
      </c>
      <c r="D6416">
        <f>IFERROR(Table7[[#This Row],[United States 10y]]-Table7[[#This Row],[United States 3y]],#N/A)</f>
        <v/>
      </c>
    </row>
    <row r="6417">
      <c r="A6417" s="6">
        <f>Database!$A8502</f>
        <v/>
      </c>
      <c r="B6417">
        <f>IF(VLOOKUP(Table7[[#This Row],[Date]],Database!$A:$C,MATCH($B$1,Database!$A$1:$C$1,),)=0,#N/A,VLOOKUP(Table7[[#This Row],[Date]],Database!$A:$C,MATCH($B$1,Database!$A$1:$C$1,),))</f>
        <v/>
      </c>
      <c r="C6417">
        <f>IF(VLOOKUP(Table7[[#This Row],[Date]],Database!$A:$C,MATCH($C$1,Database!$A$1:$C$1,),)=0,#N/A,VLOOKUP(Table7[[#This Row],[Date]],Database!$A:$C,MATCH($C$1,Database!$A$1:$C$1,),))</f>
        <v/>
      </c>
      <c r="D6417">
        <f>IFERROR(Table7[[#This Row],[United States 10y]]-Table7[[#This Row],[United States 3y]],#N/A)</f>
        <v/>
      </c>
    </row>
    <row r="6418">
      <c r="A6418" s="6">
        <f>Database!$A8503</f>
        <v/>
      </c>
      <c r="B6418">
        <f>IF(VLOOKUP(Table7[[#This Row],[Date]],Database!$A:$C,MATCH($B$1,Database!$A$1:$C$1,),)=0,#N/A,VLOOKUP(Table7[[#This Row],[Date]],Database!$A:$C,MATCH($B$1,Database!$A$1:$C$1,),))</f>
        <v/>
      </c>
      <c r="C6418">
        <f>IF(VLOOKUP(Table7[[#This Row],[Date]],Database!$A:$C,MATCH($C$1,Database!$A$1:$C$1,),)=0,#N/A,VLOOKUP(Table7[[#This Row],[Date]],Database!$A:$C,MATCH($C$1,Database!$A$1:$C$1,),))</f>
        <v/>
      </c>
      <c r="D6418">
        <f>IFERROR(Table7[[#This Row],[United States 10y]]-Table7[[#This Row],[United States 3y]],#N/A)</f>
        <v/>
      </c>
    </row>
    <row r="6419">
      <c r="A6419" s="6">
        <f>Database!$A8504</f>
        <v/>
      </c>
      <c r="B6419">
        <f>IF(VLOOKUP(Table7[[#This Row],[Date]],Database!$A:$C,MATCH($B$1,Database!$A$1:$C$1,),)=0,#N/A,VLOOKUP(Table7[[#This Row],[Date]],Database!$A:$C,MATCH($B$1,Database!$A$1:$C$1,),))</f>
        <v/>
      </c>
      <c r="C6419">
        <f>IF(VLOOKUP(Table7[[#This Row],[Date]],Database!$A:$C,MATCH($C$1,Database!$A$1:$C$1,),)=0,#N/A,VLOOKUP(Table7[[#This Row],[Date]],Database!$A:$C,MATCH($C$1,Database!$A$1:$C$1,),))</f>
        <v/>
      </c>
      <c r="D6419">
        <f>IFERROR(Table7[[#This Row],[United States 10y]]-Table7[[#This Row],[United States 3y]],#N/A)</f>
        <v/>
      </c>
    </row>
    <row r="6420">
      <c r="A6420" s="6">
        <f>Database!$A8505</f>
        <v/>
      </c>
      <c r="B6420">
        <f>IF(VLOOKUP(Table7[[#This Row],[Date]],Database!$A:$C,MATCH($B$1,Database!$A$1:$C$1,),)=0,#N/A,VLOOKUP(Table7[[#This Row],[Date]],Database!$A:$C,MATCH($B$1,Database!$A$1:$C$1,),))</f>
        <v/>
      </c>
      <c r="C6420">
        <f>IF(VLOOKUP(Table7[[#This Row],[Date]],Database!$A:$C,MATCH($C$1,Database!$A$1:$C$1,),)=0,#N/A,VLOOKUP(Table7[[#This Row],[Date]],Database!$A:$C,MATCH($C$1,Database!$A$1:$C$1,),))</f>
        <v/>
      </c>
      <c r="D6420">
        <f>IFERROR(Table7[[#This Row],[United States 10y]]-Table7[[#This Row],[United States 3y]],#N/A)</f>
        <v/>
      </c>
    </row>
    <row r="6421">
      <c r="A6421" s="6">
        <f>Database!$A8506</f>
        <v/>
      </c>
      <c r="B6421">
        <f>IF(VLOOKUP(Table7[[#This Row],[Date]],Database!$A:$C,MATCH($B$1,Database!$A$1:$C$1,),)=0,#N/A,VLOOKUP(Table7[[#This Row],[Date]],Database!$A:$C,MATCH($B$1,Database!$A$1:$C$1,),))</f>
        <v/>
      </c>
      <c r="C6421">
        <f>IF(VLOOKUP(Table7[[#This Row],[Date]],Database!$A:$C,MATCH($C$1,Database!$A$1:$C$1,),)=0,#N/A,VLOOKUP(Table7[[#This Row],[Date]],Database!$A:$C,MATCH($C$1,Database!$A$1:$C$1,),))</f>
        <v/>
      </c>
      <c r="D6421">
        <f>IFERROR(Table7[[#This Row],[United States 10y]]-Table7[[#This Row],[United States 3y]],#N/A)</f>
        <v/>
      </c>
    </row>
    <row r="6422">
      <c r="A6422" s="6">
        <f>Database!$A8507</f>
        <v/>
      </c>
      <c r="B6422">
        <f>IF(VLOOKUP(Table7[[#This Row],[Date]],Database!$A:$C,MATCH($B$1,Database!$A$1:$C$1,),)=0,#N/A,VLOOKUP(Table7[[#This Row],[Date]],Database!$A:$C,MATCH($B$1,Database!$A$1:$C$1,),))</f>
        <v/>
      </c>
      <c r="C6422">
        <f>IF(VLOOKUP(Table7[[#This Row],[Date]],Database!$A:$C,MATCH($C$1,Database!$A$1:$C$1,),)=0,#N/A,VLOOKUP(Table7[[#This Row],[Date]],Database!$A:$C,MATCH($C$1,Database!$A$1:$C$1,),))</f>
        <v/>
      </c>
      <c r="D6422">
        <f>IFERROR(Table7[[#This Row],[United States 10y]]-Table7[[#This Row],[United States 3y]],#N/A)</f>
        <v/>
      </c>
    </row>
    <row r="6423">
      <c r="A6423" s="6">
        <f>Database!$A8508</f>
        <v/>
      </c>
      <c r="B6423">
        <f>IF(VLOOKUP(Table7[[#This Row],[Date]],Database!$A:$C,MATCH($B$1,Database!$A$1:$C$1,),)=0,#N/A,VLOOKUP(Table7[[#This Row],[Date]],Database!$A:$C,MATCH($B$1,Database!$A$1:$C$1,),))</f>
        <v/>
      </c>
      <c r="C6423">
        <f>IF(VLOOKUP(Table7[[#This Row],[Date]],Database!$A:$C,MATCH($C$1,Database!$A$1:$C$1,),)=0,#N/A,VLOOKUP(Table7[[#This Row],[Date]],Database!$A:$C,MATCH($C$1,Database!$A$1:$C$1,),))</f>
        <v/>
      </c>
      <c r="D6423">
        <f>IFERROR(Table7[[#This Row],[United States 10y]]-Table7[[#This Row],[United States 3y]],#N/A)</f>
        <v/>
      </c>
    </row>
    <row r="6424">
      <c r="A6424" s="6">
        <f>Database!$A8509</f>
        <v/>
      </c>
      <c r="B6424">
        <f>IF(VLOOKUP(Table7[[#This Row],[Date]],Database!$A:$C,MATCH($B$1,Database!$A$1:$C$1,),)=0,#N/A,VLOOKUP(Table7[[#This Row],[Date]],Database!$A:$C,MATCH($B$1,Database!$A$1:$C$1,),))</f>
        <v/>
      </c>
      <c r="C6424">
        <f>IF(VLOOKUP(Table7[[#This Row],[Date]],Database!$A:$C,MATCH($C$1,Database!$A$1:$C$1,),)=0,#N/A,VLOOKUP(Table7[[#This Row],[Date]],Database!$A:$C,MATCH($C$1,Database!$A$1:$C$1,),))</f>
        <v/>
      </c>
      <c r="D6424">
        <f>IFERROR(Table7[[#This Row],[United States 10y]]-Table7[[#This Row],[United States 3y]],#N/A)</f>
        <v/>
      </c>
    </row>
    <row r="6425">
      <c r="A6425" s="6">
        <f>Database!$A8510</f>
        <v/>
      </c>
      <c r="B6425">
        <f>IF(VLOOKUP(Table7[[#This Row],[Date]],Database!$A:$C,MATCH($B$1,Database!$A$1:$C$1,),)=0,#N/A,VLOOKUP(Table7[[#This Row],[Date]],Database!$A:$C,MATCH($B$1,Database!$A$1:$C$1,),))</f>
        <v/>
      </c>
      <c r="C6425">
        <f>IF(VLOOKUP(Table7[[#This Row],[Date]],Database!$A:$C,MATCH($C$1,Database!$A$1:$C$1,),)=0,#N/A,VLOOKUP(Table7[[#This Row],[Date]],Database!$A:$C,MATCH($C$1,Database!$A$1:$C$1,),))</f>
        <v/>
      </c>
      <c r="D6425">
        <f>IFERROR(Table7[[#This Row],[United States 10y]]-Table7[[#This Row],[United States 3y]],#N/A)</f>
        <v/>
      </c>
    </row>
    <row r="6426">
      <c r="A6426" s="6">
        <f>Database!$A8511</f>
        <v/>
      </c>
      <c r="B6426">
        <f>IF(VLOOKUP(Table7[[#This Row],[Date]],Database!$A:$C,MATCH($B$1,Database!$A$1:$C$1,),)=0,#N/A,VLOOKUP(Table7[[#This Row],[Date]],Database!$A:$C,MATCH($B$1,Database!$A$1:$C$1,),))</f>
        <v/>
      </c>
      <c r="C6426">
        <f>IF(VLOOKUP(Table7[[#This Row],[Date]],Database!$A:$C,MATCH($C$1,Database!$A$1:$C$1,),)=0,#N/A,VLOOKUP(Table7[[#This Row],[Date]],Database!$A:$C,MATCH($C$1,Database!$A$1:$C$1,),))</f>
        <v/>
      </c>
      <c r="D6426">
        <f>IFERROR(Table7[[#This Row],[United States 10y]]-Table7[[#This Row],[United States 3y]],#N/A)</f>
        <v/>
      </c>
    </row>
    <row r="6427">
      <c r="A6427" s="6">
        <f>Database!$A8512</f>
        <v/>
      </c>
      <c r="B6427">
        <f>IF(VLOOKUP(Table7[[#This Row],[Date]],Database!$A:$C,MATCH($B$1,Database!$A$1:$C$1,),)=0,#N/A,VLOOKUP(Table7[[#This Row],[Date]],Database!$A:$C,MATCH($B$1,Database!$A$1:$C$1,),))</f>
        <v/>
      </c>
      <c r="C6427">
        <f>IF(VLOOKUP(Table7[[#This Row],[Date]],Database!$A:$C,MATCH($C$1,Database!$A$1:$C$1,),)=0,#N/A,VLOOKUP(Table7[[#This Row],[Date]],Database!$A:$C,MATCH($C$1,Database!$A$1:$C$1,),))</f>
        <v/>
      </c>
      <c r="D6427">
        <f>IFERROR(Table7[[#This Row],[United States 10y]]-Table7[[#This Row],[United States 3y]],#N/A)</f>
        <v/>
      </c>
    </row>
    <row r="6428">
      <c r="A6428" s="6">
        <f>Database!$A8513</f>
        <v/>
      </c>
      <c r="B6428">
        <f>IF(VLOOKUP(Table7[[#This Row],[Date]],Database!$A:$C,MATCH($B$1,Database!$A$1:$C$1,),)=0,#N/A,VLOOKUP(Table7[[#This Row],[Date]],Database!$A:$C,MATCH($B$1,Database!$A$1:$C$1,),))</f>
        <v/>
      </c>
      <c r="C6428">
        <f>IF(VLOOKUP(Table7[[#This Row],[Date]],Database!$A:$C,MATCH($C$1,Database!$A$1:$C$1,),)=0,#N/A,VLOOKUP(Table7[[#This Row],[Date]],Database!$A:$C,MATCH($C$1,Database!$A$1:$C$1,),))</f>
        <v/>
      </c>
      <c r="D6428">
        <f>IFERROR(Table7[[#This Row],[United States 10y]]-Table7[[#This Row],[United States 3y]],#N/A)</f>
        <v/>
      </c>
    </row>
    <row r="6429">
      <c r="A6429" s="6">
        <f>Database!$A8514</f>
        <v/>
      </c>
      <c r="B6429">
        <f>IF(VLOOKUP(Table7[[#This Row],[Date]],Database!$A:$C,MATCH($B$1,Database!$A$1:$C$1,),)=0,#N/A,VLOOKUP(Table7[[#This Row],[Date]],Database!$A:$C,MATCH($B$1,Database!$A$1:$C$1,),))</f>
        <v/>
      </c>
      <c r="C6429">
        <f>IF(VLOOKUP(Table7[[#This Row],[Date]],Database!$A:$C,MATCH($C$1,Database!$A$1:$C$1,),)=0,#N/A,VLOOKUP(Table7[[#This Row],[Date]],Database!$A:$C,MATCH($C$1,Database!$A$1:$C$1,),))</f>
        <v/>
      </c>
      <c r="D6429">
        <f>IFERROR(Table7[[#This Row],[United States 10y]]-Table7[[#This Row],[United States 3y]],#N/A)</f>
        <v/>
      </c>
    </row>
    <row r="6430">
      <c r="A6430" s="6">
        <f>Database!$A8515</f>
        <v/>
      </c>
      <c r="B6430">
        <f>IF(VLOOKUP(Table7[[#This Row],[Date]],Database!$A:$C,MATCH($B$1,Database!$A$1:$C$1,),)=0,#N/A,VLOOKUP(Table7[[#This Row],[Date]],Database!$A:$C,MATCH($B$1,Database!$A$1:$C$1,),))</f>
        <v/>
      </c>
      <c r="C6430">
        <f>IF(VLOOKUP(Table7[[#This Row],[Date]],Database!$A:$C,MATCH($C$1,Database!$A$1:$C$1,),)=0,#N/A,VLOOKUP(Table7[[#This Row],[Date]],Database!$A:$C,MATCH($C$1,Database!$A$1:$C$1,),))</f>
        <v/>
      </c>
      <c r="D6430">
        <f>IFERROR(Table7[[#This Row],[United States 10y]]-Table7[[#This Row],[United States 3y]],#N/A)</f>
        <v/>
      </c>
    </row>
    <row r="6431">
      <c r="A6431" s="6">
        <f>Database!$A8516</f>
        <v/>
      </c>
      <c r="B6431">
        <f>IF(VLOOKUP(Table7[[#This Row],[Date]],Database!$A:$C,MATCH($B$1,Database!$A$1:$C$1,),)=0,#N/A,VLOOKUP(Table7[[#This Row],[Date]],Database!$A:$C,MATCH($B$1,Database!$A$1:$C$1,),))</f>
        <v/>
      </c>
      <c r="C6431">
        <f>IF(VLOOKUP(Table7[[#This Row],[Date]],Database!$A:$C,MATCH($C$1,Database!$A$1:$C$1,),)=0,#N/A,VLOOKUP(Table7[[#This Row],[Date]],Database!$A:$C,MATCH($C$1,Database!$A$1:$C$1,),))</f>
        <v/>
      </c>
      <c r="D6431">
        <f>IFERROR(Table7[[#This Row],[United States 10y]]-Table7[[#This Row],[United States 3y]],#N/A)</f>
        <v/>
      </c>
    </row>
    <row r="6432">
      <c r="A6432" s="6">
        <f>Database!$A8517</f>
        <v/>
      </c>
      <c r="B6432">
        <f>IF(VLOOKUP(Table7[[#This Row],[Date]],Database!$A:$C,MATCH($B$1,Database!$A$1:$C$1,),)=0,#N/A,VLOOKUP(Table7[[#This Row],[Date]],Database!$A:$C,MATCH($B$1,Database!$A$1:$C$1,),))</f>
        <v/>
      </c>
      <c r="C6432">
        <f>IF(VLOOKUP(Table7[[#This Row],[Date]],Database!$A:$C,MATCH($C$1,Database!$A$1:$C$1,),)=0,#N/A,VLOOKUP(Table7[[#This Row],[Date]],Database!$A:$C,MATCH($C$1,Database!$A$1:$C$1,),))</f>
        <v/>
      </c>
      <c r="D6432">
        <f>IFERROR(Table7[[#This Row],[United States 10y]]-Table7[[#This Row],[United States 3y]],#N/A)</f>
        <v/>
      </c>
    </row>
    <row r="6433">
      <c r="A6433" s="6">
        <f>Database!$A8518</f>
        <v/>
      </c>
      <c r="B6433">
        <f>IF(VLOOKUP(Table7[[#This Row],[Date]],Database!$A:$C,MATCH($B$1,Database!$A$1:$C$1,),)=0,#N/A,VLOOKUP(Table7[[#This Row],[Date]],Database!$A:$C,MATCH($B$1,Database!$A$1:$C$1,),))</f>
        <v/>
      </c>
      <c r="C6433">
        <f>IF(VLOOKUP(Table7[[#This Row],[Date]],Database!$A:$C,MATCH($C$1,Database!$A$1:$C$1,),)=0,#N/A,VLOOKUP(Table7[[#This Row],[Date]],Database!$A:$C,MATCH($C$1,Database!$A$1:$C$1,),))</f>
        <v/>
      </c>
      <c r="D6433">
        <f>IFERROR(Table7[[#This Row],[United States 10y]]-Table7[[#This Row],[United States 3y]],#N/A)</f>
        <v/>
      </c>
    </row>
    <row r="6434">
      <c r="A6434" s="6">
        <f>Database!$A8519</f>
        <v/>
      </c>
      <c r="B6434">
        <f>IF(VLOOKUP(Table7[[#This Row],[Date]],Database!$A:$C,MATCH($B$1,Database!$A$1:$C$1,),)=0,#N/A,VLOOKUP(Table7[[#This Row],[Date]],Database!$A:$C,MATCH($B$1,Database!$A$1:$C$1,),))</f>
        <v/>
      </c>
      <c r="C6434">
        <f>IF(VLOOKUP(Table7[[#This Row],[Date]],Database!$A:$C,MATCH($C$1,Database!$A$1:$C$1,),)=0,#N/A,VLOOKUP(Table7[[#This Row],[Date]],Database!$A:$C,MATCH($C$1,Database!$A$1:$C$1,),))</f>
        <v/>
      </c>
      <c r="D6434">
        <f>IFERROR(Table7[[#This Row],[United States 10y]]-Table7[[#This Row],[United States 3y]],#N/A)</f>
        <v/>
      </c>
    </row>
    <row r="6435">
      <c r="A6435" s="6">
        <f>Database!$A8520</f>
        <v/>
      </c>
      <c r="B6435">
        <f>IF(VLOOKUP(Table7[[#This Row],[Date]],Database!$A:$C,MATCH($B$1,Database!$A$1:$C$1,),)=0,#N/A,VLOOKUP(Table7[[#This Row],[Date]],Database!$A:$C,MATCH($B$1,Database!$A$1:$C$1,),))</f>
        <v/>
      </c>
      <c r="C6435">
        <f>IF(VLOOKUP(Table7[[#This Row],[Date]],Database!$A:$C,MATCH($C$1,Database!$A$1:$C$1,),)=0,#N/A,VLOOKUP(Table7[[#This Row],[Date]],Database!$A:$C,MATCH($C$1,Database!$A$1:$C$1,),))</f>
        <v/>
      </c>
      <c r="D6435">
        <f>IFERROR(Table7[[#This Row],[United States 10y]]-Table7[[#This Row],[United States 3y]],#N/A)</f>
        <v/>
      </c>
    </row>
    <row r="6436">
      <c r="A6436" s="6">
        <f>Database!$A8521</f>
        <v/>
      </c>
      <c r="B6436">
        <f>IF(VLOOKUP(Table7[[#This Row],[Date]],Database!$A:$C,MATCH($B$1,Database!$A$1:$C$1,),)=0,#N/A,VLOOKUP(Table7[[#This Row],[Date]],Database!$A:$C,MATCH($B$1,Database!$A$1:$C$1,),))</f>
        <v/>
      </c>
      <c r="C6436">
        <f>IF(VLOOKUP(Table7[[#This Row],[Date]],Database!$A:$C,MATCH($C$1,Database!$A$1:$C$1,),)=0,#N/A,VLOOKUP(Table7[[#This Row],[Date]],Database!$A:$C,MATCH($C$1,Database!$A$1:$C$1,),))</f>
        <v/>
      </c>
      <c r="D6436">
        <f>IFERROR(Table7[[#This Row],[United States 10y]]-Table7[[#This Row],[United States 3y]],#N/A)</f>
        <v/>
      </c>
    </row>
    <row r="6437">
      <c r="A6437" s="6">
        <f>Database!$A8522</f>
        <v/>
      </c>
      <c r="B6437">
        <f>IF(VLOOKUP(Table7[[#This Row],[Date]],Database!$A:$C,MATCH($B$1,Database!$A$1:$C$1,),)=0,#N/A,VLOOKUP(Table7[[#This Row],[Date]],Database!$A:$C,MATCH($B$1,Database!$A$1:$C$1,),))</f>
        <v/>
      </c>
      <c r="C6437">
        <f>IF(VLOOKUP(Table7[[#This Row],[Date]],Database!$A:$C,MATCH($C$1,Database!$A$1:$C$1,),)=0,#N/A,VLOOKUP(Table7[[#This Row],[Date]],Database!$A:$C,MATCH($C$1,Database!$A$1:$C$1,),))</f>
        <v/>
      </c>
      <c r="D6437">
        <f>IFERROR(Table7[[#This Row],[United States 10y]]-Table7[[#This Row],[United States 3y]],#N/A)</f>
        <v/>
      </c>
    </row>
    <row r="6438">
      <c r="A6438" s="6">
        <f>Database!$A8523</f>
        <v/>
      </c>
      <c r="B6438">
        <f>IF(VLOOKUP(Table7[[#This Row],[Date]],Database!$A:$C,MATCH($B$1,Database!$A$1:$C$1,),)=0,#N/A,VLOOKUP(Table7[[#This Row],[Date]],Database!$A:$C,MATCH($B$1,Database!$A$1:$C$1,),))</f>
        <v/>
      </c>
      <c r="C6438">
        <f>IF(VLOOKUP(Table7[[#This Row],[Date]],Database!$A:$C,MATCH($C$1,Database!$A$1:$C$1,),)=0,#N/A,VLOOKUP(Table7[[#This Row],[Date]],Database!$A:$C,MATCH($C$1,Database!$A$1:$C$1,),))</f>
        <v/>
      </c>
      <c r="D6438">
        <f>IFERROR(Table7[[#This Row],[United States 10y]]-Table7[[#This Row],[United States 3y]],#N/A)</f>
        <v/>
      </c>
    </row>
    <row r="6439">
      <c r="A6439" s="6">
        <f>Database!$A8524</f>
        <v/>
      </c>
      <c r="B6439">
        <f>IF(VLOOKUP(Table7[[#This Row],[Date]],Database!$A:$C,MATCH($B$1,Database!$A$1:$C$1,),)=0,#N/A,VLOOKUP(Table7[[#This Row],[Date]],Database!$A:$C,MATCH($B$1,Database!$A$1:$C$1,),))</f>
        <v/>
      </c>
      <c r="C6439">
        <f>IF(VLOOKUP(Table7[[#This Row],[Date]],Database!$A:$C,MATCH($C$1,Database!$A$1:$C$1,),)=0,#N/A,VLOOKUP(Table7[[#This Row],[Date]],Database!$A:$C,MATCH($C$1,Database!$A$1:$C$1,),))</f>
        <v/>
      </c>
      <c r="D6439">
        <f>IFERROR(Table7[[#This Row],[United States 10y]]-Table7[[#This Row],[United States 3y]],#N/A)</f>
        <v/>
      </c>
    </row>
    <row r="6440">
      <c r="A6440" s="6">
        <f>Database!$A8525</f>
        <v/>
      </c>
      <c r="B6440">
        <f>IF(VLOOKUP(Table7[[#This Row],[Date]],Database!$A:$C,MATCH($B$1,Database!$A$1:$C$1,),)=0,#N/A,VLOOKUP(Table7[[#This Row],[Date]],Database!$A:$C,MATCH($B$1,Database!$A$1:$C$1,),))</f>
        <v/>
      </c>
      <c r="C6440">
        <f>IF(VLOOKUP(Table7[[#This Row],[Date]],Database!$A:$C,MATCH($C$1,Database!$A$1:$C$1,),)=0,#N/A,VLOOKUP(Table7[[#This Row],[Date]],Database!$A:$C,MATCH($C$1,Database!$A$1:$C$1,),))</f>
        <v/>
      </c>
      <c r="D6440">
        <f>IFERROR(Table7[[#This Row],[United States 10y]]-Table7[[#This Row],[United States 3y]],#N/A)</f>
        <v/>
      </c>
    </row>
    <row r="6441">
      <c r="A6441" s="6">
        <f>Database!$A8526</f>
        <v/>
      </c>
      <c r="B6441">
        <f>IF(VLOOKUP(Table7[[#This Row],[Date]],Database!$A:$C,MATCH($B$1,Database!$A$1:$C$1,),)=0,#N/A,VLOOKUP(Table7[[#This Row],[Date]],Database!$A:$C,MATCH($B$1,Database!$A$1:$C$1,),))</f>
        <v/>
      </c>
      <c r="C6441">
        <f>IF(VLOOKUP(Table7[[#This Row],[Date]],Database!$A:$C,MATCH($C$1,Database!$A$1:$C$1,),)=0,#N/A,VLOOKUP(Table7[[#This Row],[Date]],Database!$A:$C,MATCH($C$1,Database!$A$1:$C$1,),))</f>
        <v/>
      </c>
      <c r="D6441">
        <f>IFERROR(Table7[[#This Row],[United States 10y]]-Table7[[#This Row],[United States 3y]],#N/A)</f>
        <v/>
      </c>
    </row>
    <row r="6442">
      <c r="A6442" s="6">
        <f>Database!$A8527</f>
        <v/>
      </c>
      <c r="B6442">
        <f>IF(VLOOKUP(Table7[[#This Row],[Date]],Database!$A:$C,MATCH($B$1,Database!$A$1:$C$1,),)=0,#N/A,VLOOKUP(Table7[[#This Row],[Date]],Database!$A:$C,MATCH($B$1,Database!$A$1:$C$1,),))</f>
        <v/>
      </c>
      <c r="C6442">
        <f>IF(VLOOKUP(Table7[[#This Row],[Date]],Database!$A:$C,MATCH($C$1,Database!$A$1:$C$1,),)=0,#N/A,VLOOKUP(Table7[[#This Row],[Date]],Database!$A:$C,MATCH($C$1,Database!$A$1:$C$1,),))</f>
        <v/>
      </c>
      <c r="D6442">
        <f>IFERROR(Table7[[#This Row],[United States 10y]]-Table7[[#This Row],[United States 3y]],#N/A)</f>
        <v/>
      </c>
    </row>
    <row r="6443">
      <c r="A6443" s="6">
        <f>Database!$A8528</f>
        <v/>
      </c>
      <c r="B6443">
        <f>IF(VLOOKUP(Table7[[#This Row],[Date]],Database!$A:$C,MATCH($B$1,Database!$A$1:$C$1,),)=0,#N/A,VLOOKUP(Table7[[#This Row],[Date]],Database!$A:$C,MATCH($B$1,Database!$A$1:$C$1,),))</f>
        <v/>
      </c>
      <c r="C6443">
        <f>IF(VLOOKUP(Table7[[#This Row],[Date]],Database!$A:$C,MATCH($C$1,Database!$A$1:$C$1,),)=0,#N/A,VLOOKUP(Table7[[#This Row],[Date]],Database!$A:$C,MATCH($C$1,Database!$A$1:$C$1,),))</f>
        <v/>
      </c>
      <c r="D6443">
        <f>IFERROR(Table7[[#This Row],[United States 10y]]-Table7[[#This Row],[United States 3y]],#N/A)</f>
        <v/>
      </c>
    </row>
    <row r="6444">
      <c r="A6444" s="6">
        <f>Database!$A8529</f>
        <v/>
      </c>
      <c r="B6444">
        <f>IF(VLOOKUP(Table7[[#This Row],[Date]],Database!$A:$C,MATCH($B$1,Database!$A$1:$C$1,),)=0,#N/A,VLOOKUP(Table7[[#This Row],[Date]],Database!$A:$C,MATCH($B$1,Database!$A$1:$C$1,),))</f>
        <v/>
      </c>
      <c r="C6444">
        <f>IF(VLOOKUP(Table7[[#This Row],[Date]],Database!$A:$C,MATCH($C$1,Database!$A$1:$C$1,),)=0,#N/A,VLOOKUP(Table7[[#This Row],[Date]],Database!$A:$C,MATCH($C$1,Database!$A$1:$C$1,),))</f>
        <v/>
      </c>
      <c r="D6444">
        <f>IFERROR(Table7[[#This Row],[United States 10y]]-Table7[[#This Row],[United States 3y]],#N/A)</f>
        <v/>
      </c>
    </row>
    <row r="6445">
      <c r="A6445" s="6">
        <f>Database!$A8530</f>
        <v/>
      </c>
      <c r="B6445">
        <f>IF(VLOOKUP(Table7[[#This Row],[Date]],Database!$A:$C,MATCH($B$1,Database!$A$1:$C$1,),)=0,#N/A,VLOOKUP(Table7[[#This Row],[Date]],Database!$A:$C,MATCH($B$1,Database!$A$1:$C$1,),))</f>
        <v/>
      </c>
      <c r="C6445">
        <f>IF(VLOOKUP(Table7[[#This Row],[Date]],Database!$A:$C,MATCH($C$1,Database!$A$1:$C$1,),)=0,#N/A,VLOOKUP(Table7[[#This Row],[Date]],Database!$A:$C,MATCH($C$1,Database!$A$1:$C$1,),))</f>
        <v/>
      </c>
      <c r="D6445">
        <f>IFERROR(Table7[[#This Row],[United States 10y]]-Table7[[#This Row],[United States 3y]],#N/A)</f>
        <v/>
      </c>
    </row>
    <row r="6446">
      <c r="A6446" s="6">
        <f>Database!$A8531</f>
        <v/>
      </c>
      <c r="B6446">
        <f>IF(VLOOKUP(Table7[[#This Row],[Date]],Database!$A:$C,MATCH($B$1,Database!$A$1:$C$1,),)=0,#N/A,VLOOKUP(Table7[[#This Row],[Date]],Database!$A:$C,MATCH($B$1,Database!$A$1:$C$1,),))</f>
        <v/>
      </c>
      <c r="C6446">
        <f>IF(VLOOKUP(Table7[[#This Row],[Date]],Database!$A:$C,MATCH($C$1,Database!$A$1:$C$1,),)=0,#N/A,VLOOKUP(Table7[[#This Row],[Date]],Database!$A:$C,MATCH($C$1,Database!$A$1:$C$1,),))</f>
        <v/>
      </c>
      <c r="D6446">
        <f>IFERROR(Table7[[#This Row],[United States 10y]]-Table7[[#This Row],[United States 3y]],#N/A)</f>
        <v/>
      </c>
    </row>
    <row r="6447">
      <c r="A6447" s="6">
        <f>Database!$A8532</f>
        <v/>
      </c>
      <c r="B6447">
        <f>IF(VLOOKUP(Table7[[#This Row],[Date]],Database!$A:$C,MATCH($B$1,Database!$A$1:$C$1,),)=0,#N/A,VLOOKUP(Table7[[#This Row],[Date]],Database!$A:$C,MATCH($B$1,Database!$A$1:$C$1,),))</f>
        <v/>
      </c>
      <c r="C6447">
        <f>IF(VLOOKUP(Table7[[#This Row],[Date]],Database!$A:$C,MATCH($C$1,Database!$A$1:$C$1,),)=0,#N/A,VLOOKUP(Table7[[#This Row],[Date]],Database!$A:$C,MATCH($C$1,Database!$A$1:$C$1,),))</f>
        <v/>
      </c>
      <c r="D6447">
        <f>IFERROR(Table7[[#This Row],[United States 10y]]-Table7[[#This Row],[United States 3y]],#N/A)</f>
        <v/>
      </c>
    </row>
    <row r="6448">
      <c r="A6448" s="6">
        <f>Database!$A8533</f>
        <v/>
      </c>
      <c r="B6448">
        <f>IF(VLOOKUP(Table7[[#This Row],[Date]],Database!$A:$C,MATCH($B$1,Database!$A$1:$C$1,),)=0,#N/A,VLOOKUP(Table7[[#This Row],[Date]],Database!$A:$C,MATCH($B$1,Database!$A$1:$C$1,),))</f>
        <v/>
      </c>
      <c r="C6448">
        <f>IF(VLOOKUP(Table7[[#This Row],[Date]],Database!$A:$C,MATCH($C$1,Database!$A$1:$C$1,),)=0,#N/A,VLOOKUP(Table7[[#This Row],[Date]],Database!$A:$C,MATCH($C$1,Database!$A$1:$C$1,),))</f>
        <v/>
      </c>
      <c r="D6448">
        <f>IFERROR(Table7[[#This Row],[United States 10y]]-Table7[[#This Row],[United States 3y]],#N/A)</f>
        <v/>
      </c>
    </row>
    <row r="6449">
      <c r="A6449" s="6">
        <f>Database!$A8534</f>
        <v/>
      </c>
      <c r="B6449">
        <f>IF(VLOOKUP(Table7[[#This Row],[Date]],Database!$A:$C,MATCH($B$1,Database!$A$1:$C$1,),)=0,#N/A,VLOOKUP(Table7[[#This Row],[Date]],Database!$A:$C,MATCH($B$1,Database!$A$1:$C$1,),))</f>
        <v/>
      </c>
      <c r="C6449">
        <f>IF(VLOOKUP(Table7[[#This Row],[Date]],Database!$A:$C,MATCH($C$1,Database!$A$1:$C$1,),)=0,#N/A,VLOOKUP(Table7[[#This Row],[Date]],Database!$A:$C,MATCH($C$1,Database!$A$1:$C$1,),))</f>
        <v/>
      </c>
      <c r="D6449">
        <f>IFERROR(Table7[[#This Row],[United States 10y]]-Table7[[#This Row],[United States 3y]],#N/A)</f>
        <v/>
      </c>
    </row>
    <row r="6450">
      <c r="A6450" s="6">
        <f>Database!$A8535</f>
        <v/>
      </c>
      <c r="B6450">
        <f>IF(VLOOKUP(Table7[[#This Row],[Date]],Database!$A:$C,MATCH($B$1,Database!$A$1:$C$1,),)=0,#N/A,VLOOKUP(Table7[[#This Row],[Date]],Database!$A:$C,MATCH($B$1,Database!$A$1:$C$1,),))</f>
        <v/>
      </c>
      <c r="C6450">
        <f>IF(VLOOKUP(Table7[[#This Row],[Date]],Database!$A:$C,MATCH($C$1,Database!$A$1:$C$1,),)=0,#N/A,VLOOKUP(Table7[[#This Row],[Date]],Database!$A:$C,MATCH($C$1,Database!$A$1:$C$1,),))</f>
        <v/>
      </c>
      <c r="D6450">
        <f>IFERROR(Table7[[#This Row],[United States 10y]]-Table7[[#This Row],[United States 3y]],#N/A)</f>
        <v/>
      </c>
    </row>
    <row r="6451">
      <c r="A6451" s="6">
        <f>Database!$A8536</f>
        <v/>
      </c>
      <c r="B6451">
        <f>IF(VLOOKUP(Table7[[#This Row],[Date]],Database!$A:$C,MATCH($B$1,Database!$A$1:$C$1,),)=0,#N/A,VLOOKUP(Table7[[#This Row],[Date]],Database!$A:$C,MATCH($B$1,Database!$A$1:$C$1,),))</f>
        <v/>
      </c>
      <c r="C6451">
        <f>IF(VLOOKUP(Table7[[#This Row],[Date]],Database!$A:$C,MATCH($C$1,Database!$A$1:$C$1,),)=0,#N/A,VLOOKUP(Table7[[#This Row],[Date]],Database!$A:$C,MATCH($C$1,Database!$A$1:$C$1,),))</f>
        <v/>
      </c>
      <c r="D6451">
        <f>IFERROR(Table7[[#This Row],[United States 10y]]-Table7[[#This Row],[United States 3y]],#N/A)</f>
        <v/>
      </c>
    </row>
    <row r="6452">
      <c r="A6452" s="6">
        <f>Database!$A8537</f>
        <v/>
      </c>
      <c r="B6452">
        <f>IF(VLOOKUP(Table7[[#This Row],[Date]],Database!$A:$C,MATCH($B$1,Database!$A$1:$C$1,),)=0,#N/A,VLOOKUP(Table7[[#This Row],[Date]],Database!$A:$C,MATCH($B$1,Database!$A$1:$C$1,),))</f>
        <v/>
      </c>
      <c r="C6452">
        <f>IF(VLOOKUP(Table7[[#This Row],[Date]],Database!$A:$C,MATCH($C$1,Database!$A$1:$C$1,),)=0,#N/A,VLOOKUP(Table7[[#This Row],[Date]],Database!$A:$C,MATCH($C$1,Database!$A$1:$C$1,),))</f>
        <v/>
      </c>
      <c r="D6452">
        <f>IFERROR(Table7[[#This Row],[United States 10y]]-Table7[[#This Row],[United States 3y]],#N/A)</f>
        <v/>
      </c>
    </row>
    <row r="6453">
      <c r="A6453" s="6">
        <f>Database!$A8538</f>
        <v/>
      </c>
      <c r="B6453">
        <f>IF(VLOOKUP(Table7[[#This Row],[Date]],Database!$A:$C,MATCH($B$1,Database!$A$1:$C$1,),)=0,#N/A,VLOOKUP(Table7[[#This Row],[Date]],Database!$A:$C,MATCH($B$1,Database!$A$1:$C$1,),))</f>
        <v/>
      </c>
      <c r="C6453">
        <f>IF(VLOOKUP(Table7[[#This Row],[Date]],Database!$A:$C,MATCH($C$1,Database!$A$1:$C$1,),)=0,#N/A,VLOOKUP(Table7[[#This Row],[Date]],Database!$A:$C,MATCH($C$1,Database!$A$1:$C$1,),))</f>
        <v/>
      </c>
      <c r="D6453">
        <f>IFERROR(Table7[[#This Row],[United States 10y]]-Table7[[#This Row],[United States 3y]],#N/A)</f>
        <v/>
      </c>
    </row>
    <row r="6454">
      <c r="A6454" s="6">
        <f>Database!$A8539</f>
        <v/>
      </c>
      <c r="B6454">
        <f>IF(VLOOKUP(Table7[[#This Row],[Date]],Database!$A:$C,MATCH($B$1,Database!$A$1:$C$1,),)=0,#N/A,VLOOKUP(Table7[[#This Row],[Date]],Database!$A:$C,MATCH($B$1,Database!$A$1:$C$1,),))</f>
        <v/>
      </c>
      <c r="C6454">
        <f>IF(VLOOKUP(Table7[[#This Row],[Date]],Database!$A:$C,MATCH($C$1,Database!$A$1:$C$1,),)=0,#N/A,VLOOKUP(Table7[[#This Row],[Date]],Database!$A:$C,MATCH($C$1,Database!$A$1:$C$1,),))</f>
        <v/>
      </c>
      <c r="D6454">
        <f>IFERROR(Table7[[#This Row],[United States 10y]]-Table7[[#This Row],[United States 3y]],#N/A)</f>
        <v/>
      </c>
    </row>
    <row r="6455">
      <c r="A6455" s="6">
        <f>Database!$A8540</f>
        <v/>
      </c>
      <c r="B6455">
        <f>IF(VLOOKUP(Table7[[#This Row],[Date]],Database!$A:$C,MATCH($B$1,Database!$A$1:$C$1,),)=0,#N/A,VLOOKUP(Table7[[#This Row],[Date]],Database!$A:$C,MATCH($B$1,Database!$A$1:$C$1,),))</f>
        <v/>
      </c>
      <c r="C6455">
        <f>IF(VLOOKUP(Table7[[#This Row],[Date]],Database!$A:$C,MATCH($C$1,Database!$A$1:$C$1,),)=0,#N/A,VLOOKUP(Table7[[#This Row],[Date]],Database!$A:$C,MATCH($C$1,Database!$A$1:$C$1,),))</f>
        <v/>
      </c>
      <c r="D6455">
        <f>IFERROR(Table7[[#This Row],[United States 10y]]-Table7[[#This Row],[United States 3y]],#N/A)</f>
        <v/>
      </c>
    </row>
    <row r="6456">
      <c r="A6456" s="6">
        <f>Database!$A8541</f>
        <v/>
      </c>
      <c r="B6456">
        <f>IF(VLOOKUP(Table7[[#This Row],[Date]],Database!$A:$C,MATCH($B$1,Database!$A$1:$C$1,),)=0,#N/A,VLOOKUP(Table7[[#This Row],[Date]],Database!$A:$C,MATCH($B$1,Database!$A$1:$C$1,),))</f>
        <v/>
      </c>
      <c r="C6456">
        <f>IF(VLOOKUP(Table7[[#This Row],[Date]],Database!$A:$C,MATCH($C$1,Database!$A$1:$C$1,),)=0,#N/A,VLOOKUP(Table7[[#This Row],[Date]],Database!$A:$C,MATCH($C$1,Database!$A$1:$C$1,),))</f>
        <v/>
      </c>
      <c r="D6456">
        <f>IFERROR(Table7[[#This Row],[United States 10y]]-Table7[[#This Row],[United States 3y]],#N/A)</f>
        <v/>
      </c>
    </row>
    <row r="6457">
      <c r="A6457" s="6">
        <f>Database!$A8542</f>
        <v/>
      </c>
      <c r="B6457">
        <f>IF(VLOOKUP(Table7[[#This Row],[Date]],Database!$A:$C,MATCH($B$1,Database!$A$1:$C$1,),)=0,#N/A,VLOOKUP(Table7[[#This Row],[Date]],Database!$A:$C,MATCH($B$1,Database!$A$1:$C$1,),))</f>
        <v/>
      </c>
      <c r="C6457">
        <f>IF(VLOOKUP(Table7[[#This Row],[Date]],Database!$A:$C,MATCH($C$1,Database!$A$1:$C$1,),)=0,#N/A,VLOOKUP(Table7[[#This Row],[Date]],Database!$A:$C,MATCH($C$1,Database!$A$1:$C$1,),))</f>
        <v/>
      </c>
      <c r="D6457">
        <f>IFERROR(Table7[[#This Row],[United States 10y]]-Table7[[#This Row],[United States 3y]],#N/A)</f>
        <v/>
      </c>
    </row>
    <row r="6458">
      <c r="A6458" s="6">
        <f>Database!$A8543</f>
        <v/>
      </c>
      <c r="B6458">
        <f>IF(VLOOKUP(Table7[[#This Row],[Date]],Database!$A:$C,MATCH($B$1,Database!$A$1:$C$1,),)=0,#N/A,VLOOKUP(Table7[[#This Row],[Date]],Database!$A:$C,MATCH($B$1,Database!$A$1:$C$1,),))</f>
        <v/>
      </c>
      <c r="C6458">
        <f>IF(VLOOKUP(Table7[[#This Row],[Date]],Database!$A:$C,MATCH($C$1,Database!$A$1:$C$1,),)=0,#N/A,VLOOKUP(Table7[[#This Row],[Date]],Database!$A:$C,MATCH($C$1,Database!$A$1:$C$1,),))</f>
        <v/>
      </c>
      <c r="D6458">
        <f>IFERROR(Table7[[#This Row],[United States 10y]]-Table7[[#This Row],[United States 3y]],#N/A)</f>
        <v/>
      </c>
    </row>
    <row r="6459">
      <c r="A6459" s="6">
        <f>Database!$A8544</f>
        <v/>
      </c>
      <c r="B6459">
        <f>IF(VLOOKUP(Table7[[#This Row],[Date]],Database!$A:$C,MATCH($B$1,Database!$A$1:$C$1,),)=0,#N/A,VLOOKUP(Table7[[#This Row],[Date]],Database!$A:$C,MATCH($B$1,Database!$A$1:$C$1,),))</f>
        <v/>
      </c>
      <c r="C6459">
        <f>IF(VLOOKUP(Table7[[#This Row],[Date]],Database!$A:$C,MATCH($C$1,Database!$A$1:$C$1,),)=0,#N/A,VLOOKUP(Table7[[#This Row],[Date]],Database!$A:$C,MATCH($C$1,Database!$A$1:$C$1,),))</f>
        <v/>
      </c>
      <c r="D6459">
        <f>IFERROR(Table7[[#This Row],[United States 10y]]-Table7[[#This Row],[United States 3y]],#N/A)</f>
        <v/>
      </c>
    </row>
    <row r="6460">
      <c r="A6460" s="6">
        <f>Database!$A8545</f>
        <v/>
      </c>
      <c r="B6460">
        <f>IF(VLOOKUP(Table7[[#This Row],[Date]],Database!$A:$C,MATCH($B$1,Database!$A$1:$C$1,),)=0,#N/A,VLOOKUP(Table7[[#This Row],[Date]],Database!$A:$C,MATCH($B$1,Database!$A$1:$C$1,),))</f>
        <v/>
      </c>
      <c r="C6460">
        <f>IF(VLOOKUP(Table7[[#This Row],[Date]],Database!$A:$C,MATCH($C$1,Database!$A$1:$C$1,),)=0,#N/A,VLOOKUP(Table7[[#This Row],[Date]],Database!$A:$C,MATCH($C$1,Database!$A$1:$C$1,),))</f>
        <v/>
      </c>
      <c r="D6460">
        <f>IFERROR(Table7[[#This Row],[United States 10y]]-Table7[[#This Row],[United States 3y]],#N/A)</f>
        <v/>
      </c>
    </row>
    <row r="6461">
      <c r="A6461" s="6">
        <f>Database!$A8546</f>
        <v/>
      </c>
      <c r="B6461">
        <f>IF(VLOOKUP(Table7[[#This Row],[Date]],Database!$A:$C,MATCH($B$1,Database!$A$1:$C$1,),)=0,#N/A,VLOOKUP(Table7[[#This Row],[Date]],Database!$A:$C,MATCH($B$1,Database!$A$1:$C$1,),))</f>
        <v/>
      </c>
      <c r="C6461">
        <f>IF(VLOOKUP(Table7[[#This Row],[Date]],Database!$A:$C,MATCH($C$1,Database!$A$1:$C$1,),)=0,#N/A,VLOOKUP(Table7[[#This Row],[Date]],Database!$A:$C,MATCH($C$1,Database!$A$1:$C$1,),))</f>
        <v/>
      </c>
      <c r="D6461">
        <f>IFERROR(Table7[[#This Row],[United States 10y]]-Table7[[#This Row],[United States 3y]],#N/A)</f>
        <v/>
      </c>
    </row>
    <row r="6462">
      <c r="A6462" s="6">
        <f>Database!$A8547</f>
        <v/>
      </c>
      <c r="B6462">
        <f>IF(VLOOKUP(Table7[[#This Row],[Date]],Database!$A:$C,MATCH($B$1,Database!$A$1:$C$1,),)=0,#N/A,VLOOKUP(Table7[[#This Row],[Date]],Database!$A:$C,MATCH($B$1,Database!$A$1:$C$1,),))</f>
        <v/>
      </c>
      <c r="C6462">
        <f>IF(VLOOKUP(Table7[[#This Row],[Date]],Database!$A:$C,MATCH($C$1,Database!$A$1:$C$1,),)=0,#N/A,VLOOKUP(Table7[[#This Row],[Date]],Database!$A:$C,MATCH($C$1,Database!$A$1:$C$1,),))</f>
        <v/>
      </c>
      <c r="D6462">
        <f>IFERROR(Table7[[#This Row],[United States 10y]]-Table7[[#This Row],[United States 3y]],#N/A)</f>
        <v/>
      </c>
    </row>
    <row r="6463">
      <c r="A6463" s="6">
        <f>Database!$A8548</f>
        <v/>
      </c>
      <c r="B6463">
        <f>IF(VLOOKUP(Table7[[#This Row],[Date]],Database!$A:$C,MATCH($B$1,Database!$A$1:$C$1,),)=0,#N/A,VLOOKUP(Table7[[#This Row],[Date]],Database!$A:$C,MATCH($B$1,Database!$A$1:$C$1,),))</f>
        <v/>
      </c>
      <c r="C6463">
        <f>IF(VLOOKUP(Table7[[#This Row],[Date]],Database!$A:$C,MATCH($C$1,Database!$A$1:$C$1,),)=0,#N/A,VLOOKUP(Table7[[#This Row],[Date]],Database!$A:$C,MATCH($C$1,Database!$A$1:$C$1,),))</f>
        <v/>
      </c>
      <c r="D6463">
        <f>IFERROR(Table7[[#This Row],[United States 10y]]-Table7[[#This Row],[United States 3y]],#N/A)</f>
        <v/>
      </c>
    </row>
    <row r="6464">
      <c r="A6464" s="6">
        <f>Database!$A8549</f>
        <v/>
      </c>
      <c r="B6464">
        <f>IF(VLOOKUP(Table7[[#This Row],[Date]],Database!$A:$C,MATCH($B$1,Database!$A$1:$C$1,),)=0,#N/A,VLOOKUP(Table7[[#This Row],[Date]],Database!$A:$C,MATCH($B$1,Database!$A$1:$C$1,),))</f>
        <v/>
      </c>
      <c r="C6464">
        <f>IF(VLOOKUP(Table7[[#This Row],[Date]],Database!$A:$C,MATCH($C$1,Database!$A$1:$C$1,),)=0,#N/A,VLOOKUP(Table7[[#This Row],[Date]],Database!$A:$C,MATCH($C$1,Database!$A$1:$C$1,),))</f>
        <v/>
      </c>
      <c r="D6464">
        <f>IFERROR(Table7[[#This Row],[United States 10y]]-Table7[[#This Row],[United States 3y]],#N/A)</f>
        <v/>
      </c>
    </row>
    <row r="6465">
      <c r="A6465" s="6">
        <f>Database!$A8550</f>
        <v/>
      </c>
      <c r="B6465">
        <f>IF(VLOOKUP(Table7[[#This Row],[Date]],Database!$A:$C,MATCH($B$1,Database!$A$1:$C$1,),)=0,#N/A,VLOOKUP(Table7[[#This Row],[Date]],Database!$A:$C,MATCH($B$1,Database!$A$1:$C$1,),))</f>
        <v/>
      </c>
      <c r="C6465">
        <f>IF(VLOOKUP(Table7[[#This Row],[Date]],Database!$A:$C,MATCH($C$1,Database!$A$1:$C$1,),)=0,#N/A,VLOOKUP(Table7[[#This Row],[Date]],Database!$A:$C,MATCH($C$1,Database!$A$1:$C$1,),))</f>
        <v/>
      </c>
      <c r="D6465">
        <f>IFERROR(Table7[[#This Row],[United States 10y]]-Table7[[#This Row],[United States 3y]],#N/A)</f>
        <v/>
      </c>
    </row>
    <row r="6466">
      <c r="A6466" s="6">
        <f>Database!$A8551</f>
        <v/>
      </c>
      <c r="B6466">
        <f>IF(VLOOKUP(Table7[[#This Row],[Date]],Database!$A:$C,MATCH($B$1,Database!$A$1:$C$1,),)=0,#N/A,VLOOKUP(Table7[[#This Row],[Date]],Database!$A:$C,MATCH($B$1,Database!$A$1:$C$1,),))</f>
        <v/>
      </c>
      <c r="C6466">
        <f>IF(VLOOKUP(Table7[[#This Row],[Date]],Database!$A:$C,MATCH($C$1,Database!$A$1:$C$1,),)=0,#N/A,VLOOKUP(Table7[[#This Row],[Date]],Database!$A:$C,MATCH($C$1,Database!$A$1:$C$1,),))</f>
        <v/>
      </c>
      <c r="D6466">
        <f>IFERROR(Table7[[#This Row],[United States 10y]]-Table7[[#This Row],[United States 3y]],#N/A)</f>
        <v/>
      </c>
    </row>
    <row r="6467">
      <c r="A6467" s="6">
        <f>Database!$A8552</f>
        <v/>
      </c>
      <c r="B6467">
        <f>IF(VLOOKUP(Table7[[#This Row],[Date]],Database!$A:$C,MATCH($B$1,Database!$A$1:$C$1,),)=0,#N/A,VLOOKUP(Table7[[#This Row],[Date]],Database!$A:$C,MATCH($B$1,Database!$A$1:$C$1,),))</f>
        <v/>
      </c>
      <c r="C6467">
        <f>IF(VLOOKUP(Table7[[#This Row],[Date]],Database!$A:$C,MATCH($C$1,Database!$A$1:$C$1,),)=0,#N/A,VLOOKUP(Table7[[#This Row],[Date]],Database!$A:$C,MATCH($C$1,Database!$A$1:$C$1,),))</f>
        <v/>
      </c>
      <c r="D6467">
        <f>IFERROR(Table7[[#This Row],[United States 10y]]-Table7[[#This Row],[United States 3y]],#N/A)</f>
        <v/>
      </c>
    </row>
    <row r="6468">
      <c r="A6468" s="6">
        <f>Database!$A8553</f>
        <v/>
      </c>
      <c r="B6468">
        <f>IF(VLOOKUP(Table7[[#This Row],[Date]],Database!$A:$C,MATCH($B$1,Database!$A$1:$C$1,),)=0,#N/A,VLOOKUP(Table7[[#This Row],[Date]],Database!$A:$C,MATCH($B$1,Database!$A$1:$C$1,),))</f>
        <v/>
      </c>
      <c r="C6468">
        <f>IF(VLOOKUP(Table7[[#This Row],[Date]],Database!$A:$C,MATCH($C$1,Database!$A$1:$C$1,),)=0,#N/A,VLOOKUP(Table7[[#This Row],[Date]],Database!$A:$C,MATCH($C$1,Database!$A$1:$C$1,),))</f>
        <v/>
      </c>
      <c r="D6468">
        <f>IFERROR(Table7[[#This Row],[United States 10y]]-Table7[[#This Row],[United States 3y]],#N/A)</f>
        <v/>
      </c>
    </row>
    <row r="6469">
      <c r="A6469" s="6">
        <f>Database!$A8554</f>
        <v/>
      </c>
      <c r="B6469">
        <f>IF(VLOOKUP(Table7[[#This Row],[Date]],Database!$A:$C,MATCH($B$1,Database!$A$1:$C$1,),)=0,#N/A,VLOOKUP(Table7[[#This Row],[Date]],Database!$A:$C,MATCH($B$1,Database!$A$1:$C$1,),))</f>
        <v/>
      </c>
      <c r="C6469">
        <f>IF(VLOOKUP(Table7[[#This Row],[Date]],Database!$A:$C,MATCH($C$1,Database!$A$1:$C$1,),)=0,#N/A,VLOOKUP(Table7[[#This Row],[Date]],Database!$A:$C,MATCH($C$1,Database!$A$1:$C$1,),))</f>
        <v/>
      </c>
      <c r="D6469">
        <f>IFERROR(Table7[[#This Row],[United States 10y]]-Table7[[#This Row],[United States 3y]],#N/A)</f>
        <v/>
      </c>
    </row>
    <row r="6470">
      <c r="A6470" s="6">
        <f>Database!$A8555</f>
        <v/>
      </c>
      <c r="B6470">
        <f>IF(VLOOKUP(Table7[[#This Row],[Date]],Database!$A:$C,MATCH($B$1,Database!$A$1:$C$1,),)=0,#N/A,VLOOKUP(Table7[[#This Row],[Date]],Database!$A:$C,MATCH($B$1,Database!$A$1:$C$1,),))</f>
        <v/>
      </c>
      <c r="C6470">
        <f>IF(VLOOKUP(Table7[[#This Row],[Date]],Database!$A:$C,MATCH($C$1,Database!$A$1:$C$1,),)=0,#N/A,VLOOKUP(Table7[[#This Row],[Date]],Database!$A:$C,MATCH($C$1,Database!$A$1:$C$1,),))</f>
        <v/>
      </c>
      <c r="D6470">
        <f>IFERROR(Table7[[#This Row],[United States 10y]]-Table7[[#This Row],[United States 3y]],#N/A)</f>
        <v/>
      </c>
    </row>
    <row r="6471">
      <c r="A6471" s="6">
        <f>Database!$A8556</f>
        <v/>
      </c>
      <c r="B6471">
        <f>IF(VLOOKUP(Table7[[#This Row],[Date]],Database!$A:$C,MATCH($B$1,Database!$A$1:$C$1,),)=0,#N/A,VLOOKUP(Table7[[#This Row],[Date]],Database!$A:$C,MATCH($B$1,Database!$A$1:$C$1,),))</f>
        <v/>
      </c>
      <c r="C6471">
        <f>IF(VLOOKUP(Table7[[#This Row],[Date]],Database!$A:$C,MATCH($C$1,Database!$A$1:$C$1,),)=0,#N/A,VLOOKUP(Table7[[#This Row],[Date]],Database!$A:$C,MATCH($C$1,Database!$A$1:$C$1,),))</f>
        <v/>
      </c>
      <c r="D6471">
        <f>IFERROR(Table7[[#This Row],[United States 10y]]-Table7[[#This Row],[United States 3y]],#N/A)</f>
        <v/>
      </c>
    </row>
    <row r="6472">
      <c r="A6472" s="6">
        <f>Database!$A8557</f>
        <v/>
      </c>
      <c r="B6472">
        <f>IF(VLOOKUP(Table7[[#This Row],[Date]],Database!$A:$C,MATCH($B$1,Database!$A$1:$C$1,),)=0,#N/A,VLOOKUP(Table7[[#This Row],[Date]],Database!$A:$C,MATCH($B$1,Database!$A$1:$C$1,),))</f>
        <v/>
      </c>
      <c r="C6472">
        <f>IF(VLOOKUP(Table7[[#This Row],[Date]],Database!$A:$C,MATCH($C$1,Database!$A$1:$C$1,),)=0,#N/A,VLOOKUP(Table7[[#This Row],[Date]],Database!$A:$C,MATCH($C$1,Database!$A$1:$C$1,),))</f>
        <v/>
      </c>
      <c r="D6472">
        <f>IFERROR(Table7[[#This Row],[United States 10y]]-Table7[[#This Row],[United States 3y]],#N/A)</f>
        <v/>
      </c>
    </row>
    <row r="6473">
      <c r="A6473" s="6">
        <f>Database!$A8558</f>
        <v/>
      </c>
      <c r="B6473">
        <f>IF(VLOOKUP(Table7[[#This Row],[Date]],Database!$A:$C,MATCH($B$1,Database!$A$1:$C$1,),)=0,#N/A,VLOOKUP(Table7[[#This Row],[Date]],Database!$A:$C,MATCH($B$1,Database!$A$1:$C$1,),))</f>
        <v/>
      </c>
      <c r="C6473">
        <f>IF(VLOOKUP(Table7[[#This Row],[Date]],Database!$A:$C,MATCH($C$1,Database!$A$1:$C$1,),)=0,#N/A,VLOOKUP(Table7[[#This Row],[Date]],Database!$A:$C,MATCH($C$1,Database!$A$1:$C$1,),))</f>
        <v/>
      </c>
      <c r="D6473">
        <f>IFERROR(Table7[[#This Row],[United States 10y]]-Table7[[#This Row],[United States 3y]],#N/A)</f>
        <v/>
      </c>
    </row>
    <row r="6474">
      <c r="A6474" s="6">
        <f>Database!$A8559</f>
        <v/>
      </c>
      <c r="B6474">
        <f>IF(VLOOKUP(Table7[[#This Row],[Date]],Database!$A:$C,MATCH($B$1,Database!$A$1:$C$1,),)=0,#N/A,VLOOKUP(Table7[[#This Row],[Date]],Database!$A:$C,MATCH($B$1,Database!$A$1:$C$1,),))</f>
        <v/>
      </c>
      <c r="C6474">
        <f>IF(VLOOKUP(Table7[[#This Row],[Date]],Database!$A:$C,MATCH($C$1,Database!$A$1:$C$1,),)=0,#N/A,VLOOKUP(Table7[[#This Row],[Date]],Database!$A:$C,MATCH($C$1,Database!$A$1:$C$1,),))</f>
        <v/>
      </c>
      <c r="D6474">
        <f>IFERROR(Table7[[#This Row],[United States 10y]]-Table7[[#This Row],[United States 3y]],#N/A)</f>
        <v/>
      </c>
    </row>
    <row r="6475">
      <c r="A6475" s="6">
        <f>Database!$A8560</f>
        <v/>
      </c>
      <c r="B6475">
        <f>IF(VLOOKUP(Table7[[#This Row],[Date]],Database!$A:$C,MATCH($B$1,Database!$A$1:$C$1,),)=0,#N/A,VLOOKUP(Table7[[#This Row],[Date]],Database!$A:$C,MATCH($B$1,Database!$A$1:$C$1,),))</f>
        <v/>
      </c>
      <c r="C6475">
        <f>IF(VLOOKUP(Table7[[#This Row],[Date]],Database!$A:$C,MATCH($C$1,Database!$A$1:$C$1,),)=0,#N/A,VLOOKUP(Table7[[#This Row],[Date]],Database!$A:$C,MATCH($C$1,Database!$A$1:$C$1,),))</f>
        <v/>
      </c>
      <c r="D6475">
        <f>IFERROR(Table7[[#This Row],[United States 10y]]-Table7[[#This Row],[United States 3y]],#N/A)</f>
        <v/>
      </c>
    </row>
    <row r="6476">
      <c r="A6476" s="6">
        <f>Database!$A8561</f>
        <v/>
      </c>
      <c r="B6476">
        <f>IF(VLOOKUP(Table7[[#This Row],[Date]],Database!$A:$C,MATCH($B$1,Database!$A$1:$C$1,),)=0,#N/A,VLOOKUP(Table7[[#This Row],[Date]],Database!$A:$C,MATCH($B$1,Database!$A$1:$C$1,),))</f>
        <v/>
      </c>
      <c r="C6476">
        <f>IF(VLOOKUP(Table7[[#This Row],[Date]],Database!$A:$C,MATCH($C$1,Database!$A$1:$C$1,),)=0,#N/A,VLOOKUP(Table7[[#This Row],[Date]],Database!$A:$C,MATCH($C$1,Database!$A$1:$C$1,),))</f>
        <v/>
      </c>
      <c r="D6476">
        <f>IFERROR(Table7[[#This Row],[United States 10y]]-Table7[[#This Row],[United States 3y]],#N/A)</f>
        <v/>
      </c>
    </row>
    <row r="6477">
      <c r="A6477" s="6">
        <f>Database!$A8562</f>
        <v/>
      </c>
      <c r="B6477">
        <f>IF(VLOOKUP(Table7[[#This Row],[Date]],Database!$A:$C,MATCH($B$1,Database!$A$1:$C$1,),)=0,#N/A,VLOOKUP(Table7[[#This Row],[Date]],Database!$A:$C,MATCH($B$1,Database!$A$1:$C$1,),))</f>
        <v/>
      </c>
      <c r="C6477">
        <f>IF(VLOOKUP(Table7[[#This Row],[Date]],Database!$A:$C,MATCH($C$1,Database!$A$1:$C$1,),)=0,#N/A,VLOOKUP(Table7[[#This Row],[Date]],Database!$A:$C,MATCH($C$1,Database!$A$1:$C$1,),))</f>
        <v/>
      </c>
      <c r="D6477">
        <f>IFERROR(Table7[[#This Row],[United States 10y]]-Table7[[#This Row],[United States 3y]],#N/A)</f>
        <v/>
      </c>
    </row>
    <row r="6478">
      <c r="A6478" s="6">
        <f>Database!$A8563</f>
        <v/>
      </c>
      <c r="B6478">
        <f>IF(VLOOKUP(Table7[[#This Row],[Date]],Database!$A:$C,MATCH($B$1,Database!$A$1:$C$1,),)=0,#N/A,VLOOKUP(Table7[[#This Row],[Date]],Database!$A:$C,MATCH($B$1,Database!$A$1:$C$1,),))</f>
        <v/>
      </c>
      <c r="C6478">
        <f>IF(VLOOKUP(Table7[[#This Row],[Date]],Database!$A:$C,MATCH($C$1,Database!$A$1:$C$1,),)=0,#N/A,VLOOKUP(Table7[[#This Row],[Date]],Database!$A:$C,MATCH($C$1,Database!$A$1:$C$1,),))</f>
        <v/>
      </c>
      <c r="D6478">
        <f>IFERROR(Table7[[#This Row],[United States 10y]]-Table7[[#This Row],[United States 3y]],#N/A)</f>
        <v/>
      </c>
    </row>
    <row r="6479">
      <c r="A6479" s="6">
        <f>Database!$A8564</f>
        <v/>
      </c>
      <c r="B6479">
        <f>IF(VLOOKUP(Table7[[#This Row],[Date]],Database!$A:$C,MATCH($B$1,Database!$A$1:$C$1,),)=0,#N/A,VLOOKUP(Table7[[#This Row],[Date]],Database!$A:$C,MATCH($B$1,Database!$A$1:$C$1,),))</f>
        <v/>
      </c>
      <c r="C6479">
        <f>IF(VLOOKUP(Table7[[#This Row],[Date]],Database!$A:$C,MATCH($C$1,Database!$A$1:$C$1,),)=0,#N/A,VLOOKUP(Table7[[#This Row],[Date]],Database!$A:$C,MATCH($C$1,Database!$A$1:$C$1,),))</f>
        <v/>
      </c>
      <c r="D6479">
        <f>IFERROR(Table7[[#This Row],[United States 10y]]-Table7[[#This Row],[United States 3y]],#N/A)</f>
        <v/>
      </c>
    </row>
    <row r="6480">
      <c r="A6480" s="6">
        <f>Database!$A8565</f>
        <v/>
      </c>
      <c r="B6480">
        <f>IF(VLOOKUP(Table7[[#This Row],[Date]],Database!$A:$C,MATCH($B$1,Database!$A$1:$C$1,),)=0,#N/A,VLOOKUP(Table7[[#This Row],[Date]],Database!$A:$C,MATCH($B$1,Database!$A$1:$C$1,),))</f>
        <v/>
      </c>
      <c r="C6480">
        <f>IF(VLOOKUP(Table7[[#This Row],[Date]],Database!$A:$C,MATCH($C$1,Database!$A$1:$C$1,),)=0,#N/A,VLOOKUP(Table7[[#This Row],[Date]],Database!$A:$C,MATCH($C$1,Database!$A$1:$C$1,),))</f>
        <v/>
      </c>
      <c r="D6480">
        <f>IFERROR(Table7[[#This Row],[United States 10y]]-Table7[[#This Row],[United States 3y]],#N/A)</f>
        <v/>
      </c>
    </row>
    <row r="6481">
      <c r="A6481" s="6">
        <f>Database!$A8566</f>
        <v/>
      </c>
      <c r="B6481">
        <f>IF(VLOOKUP(Table7[[#This Row],[Date]],Database!$A:$C,MATCH($B$1,Database!$A$1:$C$1,),)=0,#N/A,VLOOKUP(Table7[[#This Row],[Date]],Database!$A:$C,MATCH($B$1,Database!$A$1:$C$1,),))</f>
        <v/>
      </c>
      <c r="C6481">
        <f>IF(VLOOKUP(Table7[[#This Row],[Date]],Database!$A:$C,MATCH($C$1,Database!$A$1:$C$1,),)=0,#N/A,VLOOKUP(Table7[[#This Row],[Date]],Database!$A:$C,MATCH($C$1,Database!$A$1:$C$1,),))</f>
        <v/>
      </c>
      <c r="D6481">
        <f>IFERROR(Table7[[#This Row],[United States 10y]]-Table7[[#This Row],[United States 3y]],#N/A)</f>
        <v/>
      </c>
    </row>
    <row r="6482">
      <c r="A6482" s="6">
        <f>Database!$A8567</f>
        <v/>
      </c>
      <c r="B6482">
        <f>IF(VLOOKUP(Table7[[#This Row],[Date]],Database!$A:$C,MATCH($B$1,Database!$A$1:$C$1,),)=0,#N/A,VLOOKUP(Table7[[#This Row],[Date]],Database!$A:$C,MATCH($B$1,Database!$A$1:$C$1,),))</f>
        <v/>
      </c>
      <c r="C6482">
        <f>IF(VLOOKUP(Table7[[#This Row],[Date]],Database!$A:$C,MATCH($C$1,Database!$A$1:$C$1,),)=0,#N/A,VLOOKUP(Table7[[#This Row],[Date]],Database!$A:$C,MATCH($C$1,Database!$A$1:$C$1,),))</f>
        <v/>
      </c>
      <c r="D6482">
        <f>IFERROR(Table7[[#This Row],[United States 10y]]-Table7[[#This Row],[United States 3y]],#N/A)</f>
        <v/>
      </c>
    </row>
    <row r="6483">
      <c r="A6483" s="6">
        <f>Database!$A8568</f>
        <v/>
      </c>
      <c r="B6483">
        <f>IF(VLOOKUP(Table7[[#This Row],[Date]],Database!$A:$C,MATCH($B$1,Database!$A$1:$C$1,),)=0,#N/A,VLOOKUP(Table7[[#This Row],[Date]],Database!$A:$C,MATCH($B$1,Database!$A$1:$C$1,),))</f>
        <v/>
      </c>
      <c r="C6483">
        <f>IF(VLOOKUP(Table7[[#This Row],[Date]],Database!$A:$C,MATCH($C$1,Database!$A$1:$C$1,),)=0,#N/A,VLOOKUP(Table7[[#This Row],[Date]],Database!$A:$C,MATCH($C$1,Database!$A$1:$C$1,),))</f>
        <v/>
      </c>
      <c r="D6483">
        <f>IFERROR(Table7[[#This Row],[United States 10y]]-Table7[[#This Row],[United States 3y]],#N/A)</f>
        <v/>
      </c>
    </row>
    <row r="6484">
      <c r="A6484" s="6">
        <f>Database!$A8569</f>
        <v/>
      </c>
      <c r="B6484">
        <f>IF(VLOOKUP(Table7[[#This Row],[Date]],Database!$A:$C,MATCH($B$1,Database!$A$1:$C$1,),)=0,#N/A,VLOOKUP(Table7[[#This Row],[Date]],Database!$A:$C,MATCH($B$1,Database!$A$1:$C$1,),))</f>
        <v/>
      </c>
      <c r="C6484">
        <f>IF(VLOOKUP(Table7[[#This Row],[Date]],Database!$A:$C,MATCH($C$1,Database!$A$1:$C$1,),)=0,#N/A,VLOOKUP(Table7[[#This Row],[Date]],Database!$A:$C,MATCH($C$1,Database!$A$1:$C$1,),))</f>
        <v/>
      </c>
      <c r="D6484">
        <f>IFERROR(Table7[[#This Row],[United States 10y]]-Table7[[#This Row],[United States 3y]],#N/A)</f>
        <v/>
      </c>
    </row>
    <row r="6485">
      <c r="A6485" s="6">
        <f>Database!$A8570</f>
        <v/>
      </c>
      <c r="B6485">
        <f>IF(VLOOKUP(Table7[[#This Row],[Date]],Database!$A:$C,MATCH($B$1,Database!$A$1:$C$1,),)=0,#N/A,VLOOKUP(Table7[[#This Row],[Date]],Database!$A:$C,MATCH($B$1,Database!$A$1:$C$1,),))</f>
        <v/>
      </c>
      <c r="C6485">
        <f>IF(VLOOKUP(Table7[[#This Row],[Date]],Database!$A:$C,MATCH($C$1,Database!$A$1:$C$1,),)=0,#N/A,VLOOKUP(Table7[[#This Row],[Date]],Database!$A:$C,MATCH($C$1,Database!$A$1:$C$1,),))</f>
        <v/>
      </c>
      <c r="D6485">
        <f>IFERROR(Table7[[#This Row],[United States 10y]]-Table7[[#This Row],[United States 3y]],#N/A)</f>
        <v/>
      </c>
    </row>
    <row r="6486">
      <c r="A6486" s="6">
        <f>Database!$A8571</f>
        <v/>
      </c>
      <c r="B6486">
        <f>IF(VLOOKUP(Table7[[#This Row],[Date]],Database!$A:$C,MATCH($B$1,Database!$A$1:$C$1,),)=0,#N/A,VLOOKUP(Table7[[#This Row],[Date]],Database!$A:$C,MATCH($B$1,Database!$A$1:$C$1,),))</f>
        <v/>
      </c>
      <c r="C6486">
        <f>IF(VLOOKUP(Table7[[#This Row],[Date]],Database!$A:$C,MATCH($C$1,Database!$A$1:$C$1,),)=0,#N/A,VLOOKUP(Table7[[#This Row],[Date]],Database!$A:$C,MATCH($C$1,Database!$A$1:$C$1,),))</f>
        <v/>
      </c>
      <c r="D6486">
        <f>IFERROR(Table7[[#This Row],[United States 10y]]-Table7[[#This Row],[United States 3y]],#N/A)</f>
        <v/>
      </c>
    </row>
    <row r="6487">
      <c r="A6487" s="6">
        <f>Database!$A8572</f>
        <v/>
      </c>
      <c r="B6487">
        <f>IF(VLOOKUP(Table7[[#This Row],[Date]],Database!$A:$C,MATCH($B$1,Database!$A$1:$C$1,),)=0,#N/A,VLOOKUP(Table7[[#This Row],[Date]],Database!$A:$C,MATCH($B$1,Database!$A$1:$C$1,),))</f>
        <v/>
      </c>
      <c r="C6487">
        <f>IF(VLOOKUP(Table7[[#This Row],[Date]],Database!$A:$C,MATCH($C$1,Database!$A$1:$C$1,),)=0,#N/A,VLOOKUP(Table7[[#This Row],[Date]],Database!$A:$C,MATCH($C$1,Database!$A$1:$C$1,),))</f>
        <v/>
      </c>
      <c r="D6487">
        <f>IFERROR(Table7[[#This Row],[United States 10y]]-Table7[[#This Row],[United States 3y]],#N/A)</f>
        <v/>
      </c>
    </row>
    <row r="6488">
      <c r="A6488" s="6">
        <f>Database!$A8573</f>
        <v/>
      </c>
      <c r="B6488">
        <f>IF(VLOOKUP(Table7[[#This Row],[Date]],Database!$A:$C,MATCH($B$1,Database!$A$1:$C$1,),)=0,#N/A,VLOOKUP(Table7[[#This Row],[Date]],Database!$A:$C,MATCH($B$1,Database!$A$1:$C$1,),))</f>
        <v/>
      </c>
      <c r="C6488">
        <f>IF(VLOOKUP(Table7[[#This Row],[Date]],Database!$A:$C,MATCH($C$1,Database!$A$1:$C$1,),)=0,#N/A,VLOOKUP(Table7[[#This Row],[Date]],Database!$A:$C,MATCH($C$1,Database!$A$1:$C$1,),))</f>
        <v/>
      </c>
      <c r="D6488">
        <f>IFERROR(Table7[[#This Row],[United States 10y]]-Table7[[#This Row],[United States 3y]],#N/A)</f>
        <v/>
      </c>
    </row>
    <row r="6489">
      <c r="A6489" s="6">
        <f>Database!$A8574</f>
        <v/>
      </c>
      <c r="B6489">
        <f>IF(VLOOKUP(Table7[[#This Row],[Date]],Database!$A:$C,MATCH($B$1,Database!$A$1:$C$1,),)=0,#N/A,VLOOKUP(Table7[[#This Row],[Date]],Database!$A:$C,MATCH($B$1,Database!$A$1:$C$1,),))</f>
        <v/>
      </c>
      <c r="C6489">
        <f>IF(VLOOKUP(Table7[[#This Row],[Date]],Database!$A:$C,MATCH($C$1,Database!$A$1:$C$1,),)=0,#N/A,VLOOKUP(Table7[[#This Row],[Date]],Database!$A:$C,MATCH($C$1,Database!$A$1:$C$1,),))</f>
        <v/>
      </c>
      <c r="D6489">
        <f>IFERROR(Table7[[#This Row],[United States 10y]]-Table7[[#This Row],[United States 3y]],#N/A)</f>
        <v/>
      </c>
    </row>
    <row r="6490">
      <c r="A6490" s="6">
        <f>Database!$A8575</f>
        <v/>
      </c>
      <c r="B6490">
        <f>IF(VLOOKUP(Table7[[#This Row],[Date]],Database!$A:$C,MATCH($B$1,Database!$A$1:$C$1,),)=0,#N/A,VLOOKUP(Table7[[#This Row],[Date]],Database!$A:$C,MATCH($B$1,Database!$A$1:$C$1,),))</f>
        <v/>
      </c>
      <c r="C6490">
        <f>IF(VLOOKUP(Table7[[#This Row],[Date]],Database!$A:$C,MATCH($C$1,Database!$A$1:$C$1,),)=0,#N/A,VLOOKUP(Table7[[#This Row],[Date]],Database!$A:$C,MATCH($C$1,Database!$A$1:$C$1,),))</f>
        <v/>
      </c>
      <c r="D6490">
        <f>IFERROR(Table7[[#This Row],[United States 10y]]-Table7[[#This Row],[United States 3y]],#N/A)</f>
        <v/>
      </c>
    </row>
    <row r="6491">
      <c r="A6491" s="6">
        <f>Database!$A8576</f>
        <v/>
      </c>
      <c r="B6491">
        <f>IF(VLOOKUP(Table7[[#This Row],[Date]],Database!$A:$C,MATCH($B$1,Database!$A$1:$C$1,),)=0,#N/A,VLOOKUP(Table7[[#This Row],[Date]],Database!$A:$C,MATCH($B$1,Database!$A$1:$C$1,),))</f>
        <v/>
      </c>
      <c r="C6491">
        <f>IF(VLOOKUP(Table7[[#This Row],[Date]],Database!$A:$C,MATCH($C$1,Database!$A$1:$C$1,),)=0,#N/A,VLOOKUP(Table7[[#This Row],[Date]],Database!$A:$C,MATCH($C$1,Database!$A$1:$C$1,),))</f>
        <v/>
      </c>
      <c r="D6491">
        <f>IFERROR(Table7[[#This Row],[United States 10y]]-Table7[[#This Row],[United States 3y]],#N/A)</f>
        <v/>
      </c>
    </row>
    <row r="6492">
      <c r="A6492" s="6">
        <f>Database!$A8577</f>
        <v/>
      </c>
      <c r="B6492">
        <f>IF(VLOOKUP(Table7[[#This Row],[Date]],Database!$A:$C,MATCH($B$1,Database!$A$1:$C$1,),)=0,#N/A,VLOOKUP(Table7[[#This Row],[Date]],Database!$A:$C,MATCH($B$1,Database!$A$1:$C$1,),))</f>
        <v/>
      </c>
      <c r="C6492">
        <f>IF(VLOOKUP(Table7[[#This Row],[Date]],Database!$A:$C,MATCH($C$1,Database!$A$1:$C$1,),)=0,#N/A,VLOOKUP(Table7[[#This Row],[Date]],Database!$A:$C,MATCH($C$1,Database!$A$1:$C$1,),))</f>
        <v/>
      </c>
      <c r="D6492">
        <f>IFERROR(Table7[[#This Row],[United States 10y]]-Table7[[#This Row],[United States 3y]],#N/A)</f>
        <v/>
      </c>
    </row>
    <row r="6493">
      <c r="A6493" s="6">
        <f>Database!$A8578</f>
        <v/>
      </c>
      <c r="B6493">
        <f>IF(VLOOKUP(Table7[[#This Row],[Date]],Database!$A:$C,MATCH($B$1,Database!$A$1:$C$1,),)=0,#N/A,VLOOKUP(Table7[[#This Row],[Date]],Database!$A:$C,MATCH($B$1,Database!$A$1:$C$1,),))</f>
        <v/>
      </c>
      <c r="C6493">
        <f>IF(VLOOKUP(Table7[[#This Row],[Date]],Database!$A:$C,MATCH($C$1,Database!$A$1:$C$1,),)=0,#N/A,VLOOKUP(Table7[[#This Row],[Date]],Database!$A:$C,MATCH($C$1,Database!$A$1:$C$1,),))</f>
        <v/>
      </c>
      <c r="D6493">
        <f>IFERROR(Table7[[#This Row],[United States 10y]]-Table7[[#This Row],[United States 3y]],#N/A)</f>
        <v/>
      </c>
    </row>
    <row r="6494">
      <c r="A6494" s="6">
        <f>Database!$A8579</f>
        <v/>
      </c>
      <c r="B6494">
        <f>IF(VLOOKUP(Table7[[#This Row],[Date]],Database!$A:$C,MATCH($B$1,Database!$A$1:$C$1,),)=0,#N/A,VLOOKUP(Table7[[#This Row],[Date]],Database!$A:$C,MATCH($B$1,Database!$A$1:$C$1,),))</f>
        <v/>
      </c>
      <c r="C6494">
        <f>IF(VLOOKUP(Table7[[#This Row],[Date]],Database!$A:$C,MATCH($C$1,Database!$A$1:$C$1,),)=0,#N/A,VLOOKUP(Table7[[#This Row],[Date]],Database!$A:$C,MATCH($C$1,Database!$A$1:$C$1,),))</f>
        <v/>
      </c>
      <c r="D6494">
        <f>IFERROR(Table7[[#This Row],[United States 10y]]-Table7[[#This Row],[United States 3y]],#N/A)</f>
        <v/>
      </c>
    </row>
    <row r="6495">
      <c r="A6495" s="6">
        <f>Database!$A8580</f>
        <v/>
      </c>
      <c r="B6495">
        <f>IF(VLOOKUP(Table7[[#This Row],[Date]],Database!$A:$C,MATCH($B$1,Database!$A$1:$C$1,),)=0,#N/A,VLOOKUP(Table7[[#This Row],[Date]],Database!$A:$C,MATCH($B$1,Database!$A$1:$C$1,),))</f>
        <v/>
      </c>
      <c r="C6495">
        <f>IF(VLOOKUP(Table7[[#This Row],[Date]],Database!$A:$C,MATCH($C$1,Database!$A$1:$C$1,),)=0,#N/A,VLOOKUP(Table7[[#This Row],[Date]],Database!$A:$C,MATCH($C$1,Database!$A$1:$C$1,),))</f>
        <v/>
      </c>
      <c r="D6495">
        <f>IFERROR(Table7[[#This Row],[United States 10y]]-Table7[[#This Row],[United States 3y]],#N/A)</f>
        <v/>
      </c>
    </row>
    <row r="6496">
      <c r="A6496" s="6">
        <f>Database!$A8581</f>
        <v/>
      </c>
      <c r="B6496">
        <f>IF(VLOOKUP(Table7[[#This Row],[Date]],Database!$A:$C,MATCH($B$1,Database!$A$1:$C$1,),)=0,#N/A,VLOOKUP(Table7[[#This Row],[Date]],Database!$A:$C,MATCH($B$1,Database!$A$1:$C$1,),))</f>
        <v/>
      </c>
      <c r="C6496">
        <f>IF(VLOOKUP(Table7[[#This Row],[Date]],Database!$A:$C,MATCH($C$1,Database!$A$1:$C$1,),)=0,#N/A,VLOOKUP(Table7[[#This Row],[Date]],Database!$A:$C,MATCH($C$1,Database!$A$1:$C$1,),))</f>
        <v/>
      </c>
      <c r="D6496">
        <f>IFERROR(Table7[[#This Row],[United States 10y]]-Table7[[#This Row],[United States 3y]],#N/A)</f>
        <v/>
      </c>
    </row>
    <row r="6497">
      <c r="A6497" s="6">
        <f>Database!$A8582</f>
        <v/>
      </c>
      <c r="B6497">
        <f>IF(VLOOKUP(Table7[[#This Row],[Date]],Database!$A:$C,MATCH($B$1,Database!$A$1:$C$1,),)=0,#N/A,VLOOKUP(Table7[[#This Row],[Date]],Database!$A:$C,MATCH($B$1,Database!$A$1:$C$1,),))</f>
        <v/>
      </c>
      <c r="C6497">
        <f>IF(VLOOKUP(Table7[[#This Row],[Date]],Database!$A:$C,MATCH($C$1,Database!$A$1:$C$1,),)=0,#N/A,VLOOKUP(Table7[[#This Row],[Date]],Database!$A:$C,MATCH($C$1,Database!$A$1:$C$1,),))</f>
        <v/>
      </c>
      <c r="D6497">
        <f>IFERROR(Table7[[#This Row],[United States 10y]]-Table7[[#This Row],[United States 3y]],#N/A)</f>
        <v/>
      </c>
    </row>
    <row r="6498">
      <c r="A6498" s="6">
        <f>Database!$A8583</f>
        <v/>
      </c>
      <c r="B6498">
        <f>IF(VLOOKUP(Table7[[#This Row],[Date]],Database!$A:$C,MATCH($B$1,Database!$A$1:$C$1,),)=0,#N/A,VLOOKUP(Table7[[#This Row],[Date]],Database!$A:$C,MATCH($B$1,Database!$A$1:$C$1,),))</f>
        <v/>
      </c>
      <c r="C6498">
        <f>IF(VLOOKUP(Table7[[#This Row],[Date]],Database!$A:$C,MATCH($C$1,Database!$A$1:$C$1,),)=0,#N/A,VLOOKUP(Table7[[#This Row],[Date]],Database!$A:$C,MATCH($C$1,Database!$A$1:$C$1,),))</f>
        <v/>
      </c>
      <c r="D6498">
        <f>IFERROR(Table7[[#This Row],[United States 10y]]-Table7[[#This Row],[United States 3y]],#N/A)</f>
        <v/>
      </c>
    </row>
    <row r="6499">
      <c r="A6499" s="6">
        <f>Database!$A8584</f>
        <v/>
      </c>
      <c r="B6499">
        <f>IF(VLOOKUP(Table7[[#This Row],[Date]],Database!$A:$C,MATCH($B$1,Database!$A$1:$C$1,),)=0,#N/A,VLOOKUP(Table7[[#This Row],[Date]],Database!$A:$C,MATCH($B$1,Database!$A$1:$C$1,),))</f>
        <v/>
      </c>
      <c r="C6499">
        <f>IF(VLOOKUP(Table7[[#This Row],[Date]],Database!$A:$C,MATCH($C$1,Database!$A$1:$C$1,),)=0,#N/A,VLOOKUP(Table7[[#This Row],[Date]],Database!$A:$C,MATCH($C$1,Database!$A$1:$C$1,),))</f>
        <v/>
      </c>
      <c r="D6499">
        <f>IFERROR(Table7[[#This Row],[United States 10y]]-Table7[[#This Row],[United States 3y]],#N/A)</f>
        <v/>
      </c>
    </row>
    <row r="6500">
      <c r="A6500" s="6">
        <f>Database!$A8585</f>
        <v/>
      </c>
      <c r="B6500">
        <f>IF(VLOOKUP(Table7[[#This Row],[Date]],Database!$A:$C,MATCH($B$1,Database!$A$1:$C$1,),)=0,#N/A,VLOOKUP(Table7[[#This Row],[Date]],Database!$A:$C,MATCH($B$1,Database!$A$1:$C$1,),))</f>
        <v/>
      </c>
      <c r="C6500">
        <f>IF(VLOOKUP(Table7[[#This Row],[Date]],Database!$A:$C,MATCH($C$1,Database!$A$1:$C$1,),)=0,#N/A,VLOOKUP(Table7[[#This Row],[Date]],Database!$A:$C,MATCH($C$1,Database!$A$1:$C$1,),))</f>
        <v/>
      </c>
      <c r="D6500">
        <f>IFERROR(Table7[[#This Row],[United States 10y]]-Table7[[#This Row],[United States 3y]],#N/A)</f>
        <v/>
      </c>
    </row>
    <row r="6501">
      <c r="A6501" s="6">
        <f>Database!$A8586</f>
        <v/>
      </c>
      <c r="B6501">
        <f>IF(VLOOKUP(Table7[[#This Row],[Date]],Database!$A:$C,MATCH($B$1,Database!$A$1:$C$1,),)=0,#N/A,VLOOKUP(Table7[[#This Row],[Date]],Database!$A:$C,MATCH($B$1,Database!$A$1:$C$1,),))</f>
        <v/>
      </c>
      <c r="C6501">
        <f>IF(VLOOKUP(Table7[[#This Row],[Date]],Database!$A:$C,MATCH($C$1,Database!$A$1:$C$1,),)=0,#N/A,VLOOKUP(Table7[[#This Row],[Date]],Database!$A:$C,MATCH($C$1,Database!$A$1:$C$1,),))</f>
        <v/>
      </c>
      <c r="D6501">
        <f>IFERROR(Table7[[#This Row],[United States 10y]]-Table7[[#This Row],[United States 3y]],#N/A)</f>
        <v/>
      </c>
    </row>
    <row r="6502">
      <c r="A6502" s="6">
        <f>Database!$A8587</f>
        <v/>
      </c>
      <c r="B6502">
        <f>IF(VLOOKUP(Table7[[#This Row],[Date]],Database!$A:$C,MATCH($B$1,Database!$A$1:$C$1,),)=0,#N/A,VLOOKUP(Table7[[#This Row],[Date]],Database!$A:$C,MATCH($B$1,Database!$A$1:$C$1,),))</f>
        <v/>
      </c>
      <c r="C6502">
        <f>IF(VLOOKUP(Table7[[#This Row],[Date]],Database!$A:$C,MATCH($C$1,Database!$A$1:$C$1,),)=0,#N/A,VLOOKUP(Table7[[#This Row],[Date]],Database!$A:$C,MATCH($C$1,Database!$A$1:$C$1,),))</f>
        <v/>
      </c>
      <c r="D6502">
        <f>IFERROR(Table7[[#This Row],[United States 10y]]-Table7[[#This Row],[United States 3y]],#N/A)</f>
        <v/>
      </c>
    </row>
    <row r="6503">
      <c r="A6503" s="6">
        <f>Database!$A8588</f>
        <v/>
      </c>
      <c r="B6503">
        <f>IF(VLOOKUP(Table7[[#This Row],[Date]],Database!$A:$C,MATCH($B$1,Database!$A$1:$C$1,),)=0,#N/A,VLOOKUP(Table7[[#This Row],[Date]],Database!$A:$C,MATCH($B$1,Database!$A$1:$C$1,),))</f>
        <v/>
      </c>
      <c r="C6503">
        <f>IF(VLOOKUP(Table7[[#This Row],[Date]],Database!$A:$C,MATCH($C$1,Database!$A$1:$C$1,),)=0,#N/A,VLOOKUP(Table7[[#This Row],[Date]],Database!$A:$C,MATCH($C$1,Database!$A$1:$C$1,),))</f>
        <v/>
      </c>
      <c r="D6503">
        <f>IFERROR(Table7[[#This Row],[United States 10y]]-Table7[[#This Row],[United States 3y]],#N/A)</f>
        <v/>
      </c>
    </row>
    <row r="6504">
      <c r="A6504" s="6">
        <f>Database!$A8589</f>
        <v/>
      </c>
      <c r="B6504">
        <f>IF(VLOOKUP(Table7[[#This Row],[Date]],Database!$A:$C,MATCH($B$1,Database!$A$1:$C$1,),)=0,#N/A,VLOOKUP(Table7[[#This Row],[Date]],Database!$A:$C,MATCH($B$1,Database!$A$1:$C$1,),))</f>
        <v/>
      </c>
      <c r="C6504">
        <f>IF(VLOOKUP(Table7[[#This Row],[Date]],Database!$A:$C,MATCH($C$1,Database!$A$1:$C$1,),)=0,#N/A,VLOOKUP(Table7[[#This Row],[Date]],Database!$A:$C,MATCH($C$1,Database!$A$1:$C$1,),))</f>
        <v/>
      </c>
      <c r="D6504">
        <f>IFERROR(Table7[[#This Row],[United States 10y]]-Table7[[#This Row],[United States 3y]],#N/A)</f>
        <v/>
      </c>
    </row>
    <row r="6505">
      <c r="A6505" s="6">
        <f>Database!$A8590</f>
        <v/>
      </c>
      <c r="B6505">
        <f>IF(VLOOKUP(Table7[[#This Row],[Date]],Database!$A:$C,MATCH($B$1,Database!$A$1:$C$1,),)=0,#N/A,VLOOKUP(Table7[[#This Row],[Date]],Database!$A:$C,MATCH($B$1,Database!$A$1:$C$1,),))</f>
        <v/>
      </c>
      <c r="C6505">
        <f>IF(VLOOKUP(Table7[[#This Row],[Date]],Database!$A:$C,MATCH($C$1,Database!$A$1:$C$1,),)=0,#N/A,VLOOKUP(Table7[[#This Row],[Date]],Database!$A:$C,MATCH($C$1,Database!$A$1:$C$1,),))</f>
        <v/>
      </c>
      <c r="D6505">
        <f>IFERROR(Table7[[#This Row],[United States 10y]]-Table7[[#This Row],[United States 3y]],#N/A)</f>
        <v/>
      </c>
    </row>
    <row r="6506">
      <c r="A6506" s="6">
        <f>Database!$A8591</f>
        <v/>
      </c>
      <c r="B6506">
        <f>IF(VLOOKUP(Table7[[#This Row],[Date]],Database!$A:$C,MATCH($B$1,Database!$A$1:$C$1,),)=0,#N/A,VLOOKUP(Table7[[#This Row],[Date]],Database!$A:$C,MATCH($B$1,Database!$A$1:$C$1,),))</f>
        <v/>
      </c>
      <c r="C6506">
        <f>IF(VLOOKUP(Table7[[#This Row],[Date]],Database!$A:$C,MATCH($C$1,Database!$A$1:$C$1,),)=0,#N/A,VLOOKUP(Table7[[#This Row],[Date]],Database!$A:$C,MATCH($C$1,Database!$A$1:$C$1,),))</f>
        <v/>
      </c>
      <c r="D6506">
        <f>IFERROR(Table7[[#This Row],[United States 10y]]-Table7[[#This Row],[United States 3y]],#N/A)</f>
        <v/>
      </c>
    </row>
    <row r="6507">
      <c r="A6507" s="6">
        <f>Database!$A8592</f>
        <v/>
      </c>
      <c r="B6507">
        <f>IF(VLOOKUP(Table7[[#This Row],[Date]],Database!$A:$C,MATCH($B$1,Database!$A$1:$C$1,),)=0,#N/A,VLOOKUP(Table7[[#This Row],[Date]],Database!$A:$C,MATCH($B$1,Database!$A$1:$C$1,),))</f>
        <v/>
      </c>
      <c r="C6507">
        <f>IF(VLOOKUP(Table7[[#This Row],[Date]],Database!$A:$C,MATCH($C$1,Database!$A$1:$C$1,),)=0,#N/A,VLOOKUP(Table7[[#This Row],[Date]],Database!$A:$C,MATCH($C$1,Database!$A$1:$C$1,),))</f>
        <v/>
      </c>
      <c r="D6507">
        <f>IFERROR(Table7[[#This Row],[United States 10y]]-Table7[[#This Row],[United States 3y]],#N/A)</f>
        <v/>
      </c>
    </row>
    <row r="6508">
      <c r="A6508" s="6">
        <f>Database!$A8593</f>
        <v/>
      </c>
      <c r="B6508">
        <f>IF(VLOOKUP(Table7[[#This Row],[Date]],Database!$A:$C,MATCH($B$1,Database!$A$1:$C$1,),)=0,#N/A,VLOOKUP(Table7[[#This Row],[Date]],Database!$A:$C,MATCH($B$1,Database!$A$1:$C$1,),))</f>
        <v/>
      </c>
      <c r="C6508">
        <f>IF(VLOOKUP(Table7[[#This Row],[Date]],Database!$A:$C,MATCH($C$1,Database!$A$1:$C$1,),)=0,#N/A,VLOOKUP(Table7[[#This Row],[Date]],Database!$A:$C,MATCH($C$1,Database!$A$1:$C$1,),))</f>
        <v/>
      </c>
      <c r="D6508">
        <f>IFERROR(Table7[[#This Row],[United States 10y]]-Table7[[#This Row],[United States 3y]],#N/A)</f>
        <v/>
      </c>
    </row>
    <row r="6509">
      <c r="A6509" s="6">
        <f>Database!$A8594</f>
        <v/>
      </c>
      <c r="B6509">
        <f>IF(VLOOKUP(Table7[[#This Row],[Date]],Database!$A:$C,MATCH($B$1,Database!$A$1:$C$1,),)=0,#N/A,VLOOKUP(Table7[[#This Row],[Date]],Database!$A:$C,MATCH($B$1,Database!$A$1:$C$1,),))</f>
        <v/>
      </c>
      <c r="C6509">
        <f>IF(VLOOKUP(Table7[[#This Row],[Date]],Database!$A:$C,MATCH($C$1,Database!$A$1:$C$1,),)=0,#N/A,VLOOKUP(Table7[[#This Row],[Date]],Database!$A:$C,MATCH($C$1,Database!$A$1:$C$1,),))</f>
        <v/>
      </c>
      <c r="D6509">
        <f>IFERROR(Table7[[#This Row],[United States 10y]]-Table7[[#This Row],[United States 3y]],#N/A)</f>
        <v/>
      </c>
    </row>
    <row r="6510">
      <c r="A6510" s="6">
        <f>Database!$A8595</f>
        <v/>
      </c>
      <c r="B6510">
        <f>IF(VLOOKUP(Table7[[#This Row],[Date]],Database!$A:$C,MATCH($B$1,Database!$A$1:$C$1,),)=0,#N/A,VLOOKUP(Table7[[#This Row],[Date]],Database!$A:$C,MATCH($B$1,Database!$A$1:$C$1,),))</f>
        <v/>
      </c>
      <c r="C6510">
        <f>IF(VLOOKUP(Table7[[#This Row],[Date]],Database!$A:$C,MATCH($C$1,Database!$A$1:$C$1,),)=0,#N/A,VLOOKUP(Table7[[#This Row],[Date]],Database!$A:$C,MATCH($C$1,Database!$A$1:$C$1,),))</f>
        <v/>
      </c>
      <c r="D6510">
        <f>IFERROR(Table7[[#This Row],[United States 10y]]-Table7[[#This Row],[United States 3y]],#N/A)</f>
        <v/>
      </c>
    </row>
    <row r="6511">
      <c r="A6511" s="6">
        <f>Database!$A8596</f>
        <v/>
      </c>
      <c r="B6511">
        <f>IF(VLOOKUP(Table7[[#This Row],[Date]],Database!$A:$C,MATCH($B$1,Database!$A$1:$C$1,),)=0,#N/A,VLOOKUP(Table7[[#This Row],[Date]],Database!$A:$C,MATCH($B$1,Database!$A$1:$C$1,),))</f>
        <v/>
      </c>
      <c r="C6511">
        <f>IF(VLOOKUP(Table7[[#This Row],[Date]],Database!$A:$C,MATCH($C$1,Database!$A$1:$C$1,),)=0,#N/A,VLOOKUP(Table7[[#This Row],[Date]],Database!$A:$C,MATCH($C$1,Database!$A$1:$C$1,),))</f>
        <v/>
      </c>
      <c r="D6511">
        <f>IFERROR(Table7[[#This Row],[United States 10y]]-Table7[[#This Row],[United States 3y]],#N/A)</f>
        <v/>
      </c>
    </row>
    <row r="6512">
      <c r="A6512" s="6">
        <f>Database!$A8597</f>
        <v/>
      </c>
      <c r="B6512">
        <f>IF(VLOOKUP(Table7[[#This Row],[Date]],Database!$A:$C,MATCH($B$1,Database!$A$1:$C$1,),)=0,#N/A,VLOOKUP(Table7[[#This Row],[Date]],Database!$A:$C,MATCH($B$1,Database!$A$1:$C$1,),))</f>
        <v/>
      </c>
      <c r="C6512">
        <f>IF(VLOOKUP(Table7[[#This Row],[Date]],Database!$A:$C,MATCH($C$1,Database!$A$1:$C$1,),)=0,#N/A,VLOOKUP(Table7[[#This Row],[Date]],Database!$A:$C,MATCH($C$1,Database!$A$1:$C$1,),))</f>
        <v/>
      </c>
      <c r="D6512">
        <f>IFERROR(Table7[[#This Row],[United States 10y]]-Table7[[#This Row],[United States 3y]],#N/A)</f>
        <v/>
      </c>
    </row>
    <row r="6513">
      <c r="A6513" s="6">
        <f>Database!$A8598</f>
        <v/>
      </c>
      <c r="B6513">
        <f>IF(VLOOKUP(Table7[[#This Row],[Date]],Database!$A:$C,MATCH($B$1,Database!$A$1:$C$1,),)=0,#N/A,VLOOKUP(Table7[[#This Row],[Date]],Database!$A:$C,MATCH($B$1,Database!$A$1:$C$1,),))</f>
        <v/>
      </c>
      <c r="C6513">
        <f>IF(VLOOKUP(Table7[[#This Row],[Date]],Database!$A:$C,MATCH($C$1,Database!$A$1:$C$1,),)=0,#N/A,VLOOKUP(Table7[[#This Row],[Date]],Database!$A:$C,MATCH($C$1,Database!$A$1:$C$1,),))</f>
        <v/>
      </c>
      <c r="D6513">
        <f>IFERROR(Table7[[#This Row],[United States 10y]]-Table7[[#This Row],[United States 3y]],#N/A)</f>
        <v/>
      </c>
    </row>
    <row r="6514">
      <c r="A6514" s="6">
        <f>Database!$A8599</f>
        <v/>
      </c>
      <c r="B6514">
        <f>IF(VLOOKUP(Table7[[#This Row],[Date]],Database!$A:$C,MATCH($B$1,Database!$A$1:$C$1,),)=0,#N/A,VLOOKUP(Table7[[#This Row],[Date]],Database!$A:$C,MATCH($B$1,Database!$A$1:$C$1,),))</f>
        <v/>
      </c>
      <c r="C6514">
        <f>IF(VLOOKUP(Table7[[#This Row],[Date]],Database!$A:$C,MATCH($C$1,Database!$A$1:$C$1,),)=0,#N/A,VLOOKUP(Table7[[#This Row],[Date]],Database!$A:$C,MATCH($C$1,Database!$A$1:$C$1,),))</f>
        <v/>
      </c>
      <c r="D6514">
        <f>IFERROR(Table7[[#This Row],[United States 10y]]-Table7[[#This Row],[United States 3y]],#N/A)</f>
        <v/>
      </c>
    </row>
    <row r="6515">
      <c r="A6515" s="6">
        <f>Database!$A8600</f>
        <v/>
      </c>
      <c r="B6515">
        <f>IF(VLOOKUP(Table7[[#This Row],[Date]],Database!$A:$C,MATCH($B$1,Database!$A$1:$C$1,),)=0,#N/A,VLOOKUP(Table7[[#This Row],[Date]],Database!$A:$C,MATCH($B$1,Database!$A$1:$C$1,),))</f>
        <v/>
      </c>
      <c r="C6515">
        <f>IF(VLOOKUP(Table7[[#This Row],[Date]],Database!$A:$C,MATCH($C$1,Database!$A$1:$C$1,),)=0,#N/A,VLOOKUP(Table7[[#This Row],[Date]],Database!$A:$C,MATCH($C$1,Database!$A$1:$C$1,),))</f>
        <v/>
      </c>
      <c r="D6515">
        <f>IFERROR(Table7[[#This Row],[United States 10y]]-Table7[[#This Row],[United States 3y]],#N/A)</f>
        <v/>
      </c>
    </row>
    <row r="6516">
      <c r="A6516" s="6">
        <f>Database!$A8601</f>
        <v/>
      </c>
      <c r="B6516">
        <f>IF(VLOOKUP(Table7[[#This Row],[Date]],Database!$A:$C,MATCH($B$1,Database!$A$1:$C$1,),)=0,#N/A,VLOOKUP(Table7[[#This Row],[Date]],Database!$A:$C,MATCH($B$1,Database!$A$1:$C$1,),))</f>
        <v/>
      </c>
      <c r="C6516">
        <f>IF(VLOOKUP(Table7[[#This Row],[Date]],Database!$A:$C,MATCH($C$1,Database!$A$1:$C$1,),)=0,#N/A,VLOOKUP(Table7[[#This Row],[Date]],Database!$A:$C,MATCH($C$1,Database!$A$1:$C$1,),))</f>
        <v/>
      </c>
      <c r="D6516">
        <f>IFERROR(Table7[[#This Row],[United States 10y]]-Table7[[#This Row],[United States 3y]],#N/A)</f>
        <v/>
      </c>
    </row>
    <row r="6517">
      <c r="A6517" s="6">
        <f>Database!$A8602</f>
        <v/>
      </c>
      <c r="B6517">
        <f>IF(VLOOKUP(Table7[[#This Row],[Date]],Database!$A:$C,MATCH($B$1,Database!$A$1:$C$1,),)=0,#N/A,VLOOKUP(Table7[[#This Row],[Date]],Database!$A:$C,MATCH($B$1,Database!$A$1:$C$1,),))</f>
        <v/>
      </c>
      <c r="C6517">
        <f>IF(VLOOKUP(Table7[[#This Row],[Date]],Database!$A:$C,MATCH($C$1,Database!$A$1:$C$1,),)=0,#N/A,VLOOKUP(Table7[[#This Row],[Date]],Database!$A:$C,MATCH($C$1,Database!$A$1:$C$1,),))</f>
        <v/>
      </c>
      <c r="D6517">
        <f>IFERROR(Table7[[#This Row],[United States 10y]]-Table7[[#This Row],[United States 3y]],#N/A)</f>
        <v/>
      </c>
    </row>
    <row r="6518">
      <c r="A6518" s="6">
        <f>Database!$A8603</f>
        <v/>
      </c>
      <c r="B6518">
        <f>IF(VLOOKUP(Table7[[#This Row],[Date]],Database!$A:$C,MATCH($B$1,Database!$A$1:$C$1,),)=0,#N/A,VLOOKUP(Table7[[#This Row],[Date]],Database!$A:$C,MATCH($B$1,Database!$A$1:$C$1,),))</f>
        <v/>
      </c>
      <c r="C6518">
        <f>IF(VLOOKUP(Table7[[#This Row],[Date]],Database!$A:$C,MATCH($C$1,Database!$A$1:$C$1,),)=0,#N/A,VLOOKUP(Table7[[#This Row],[Date]],Database!$A:$C,MATCH($C$1,Database!$A$1:$C$1,),))</f>
        <v/>
      </c>
      <c r="D6518">
        <f>IFERROR(Table7[[#This Row],[United States 10y]]-Table7[[#This Row],[United States 3y]],#N/A)</f>
        <v/>
      </c>
    </row>
    <row r="6519">
      <c r="A6519" s="6">
        <f>Database!$A8604</f>
        <v/>
      </c>
      <c r="B6519">
        <f>IF(VLOOKUP(Table7[[#This Row],[Date]],Database!$A:$C,MATCH($B$1,Database!$A$1:$C$1,),)=0,#N/A,VLOOKUP(Table7[[#This Row],[Date]],Database!$A:$C,MATCH($B$1,Database!$A$1:$C$1,),))</f>
        <v/>
      </c>
      <c r="C6519">
        <f>IF(VLOOKUP(Table7[[#This Row],[Date]],Database!$A:$C,MATCH($C$1,Database!$A$1:$C$1,),)=0,#N/A,VLOOKUP(Table7[[#This Row],[Date]],Database!$A:$C,MATCH($C$1,Database!$A$1:$C$1,),))</f>
        <v/>
      </c>
      <c r="D6519">
        <f>IFERROR(Table7[[#This Row],[United States 10y]]-Table7[[#This Row],[United States 3y]],#N/A)</f>
        <v/>
      </c>
    </row>
    <row r="6520">
      <c r="A6520" s="6">
        <f>Database!$A8605</f>
        <v/>
      </c>
      <c r="B6520">
        <f>IF(VLOOKUP(Table7[[#This Row],[Date]],Database!$A:$C,MATCH($B$1,Database!$A$1:$C$1,),)=0,#N/A,VLOOKUP(Table7[[#This Row],[Date]],Database!$A:$C,MATCH($B$1,Database!$A$1:$C$1,),))</f>
        <v/>
      </c>
      <c r="C6520">
        <f>IF(VLOOKUP(Table7[[#This Row],[Date]],Database!$A:$C,MATCH($C$1,Database!$A$1:$C$1,),)=0,#N/A,VLOOKUP(Table7[[#This Row],[Date]],Database!$A:$C,MATCH($C$1,Database!$A$1:$C$1,),))</f>
        <v/>
      </c>
      <c r="D6520">
        <f>IFERROR(Table7[[#This Row],[United States 10y]]-Table7[[#This Row],[United States 3y]],#N/A)</f>
        <v/>
      </c>
    </row>
    <row r="6521">
      <c r="A6521" s="6">
        <f>Database!$A8606</f>
        <v/>
      </c>
      <c r="B6521">
        <f>IF(VLOOKUP(Table7[[#This Row],[Date]],Database!$A:$C,MATCH($B$1,Database!$A$1:$C$1,),)=0,#N/A,VLOOKUP(Table7[[#This Row],[Date]],Database!$A:$C,MATCH($B$1,Database!$A$1:$C$1,),))</f>
        <v/>
      </c>
      <c r="C6521">
        <f>IF(VLOOKUP(Table7[[#This Row],[Date]],Database!$A:$C,MATCH($C$1,Database!$A$1:$C$1,),)=0,#N/A,VLOOKUP(Table7[[#This Row],[Date]],Database!$A:$C,MATCH($C$1,Database!$A$1:$C$1,),))</f>
        <v/>
      </c>
      <c r="D6521">
        <f>IFERROR(Table7[[#This Row],[United States 10y]]-Table7[[#This Row],[United States 3y]],#N/A)</f>
        <v/>
      </c>
    </row>
    <row r="6522">
      <c r="A6522" s="6">
        <f>Database!$A8607</f>
        <v/>
      </c>
      <c r="B6522">
        <f>IF(VLOOKUP(Table7[[#This Row],[Date]],Database!$A:$C,MATCH($B$1,Database!$A$1:$C$1,),)=0,#N/A,VLOOKUP(Table7[[#This Row],[Date]],Database!$A:$C,MATCH($B$1,Database!$A$1:$C$1,),))</f>
        <v/>
      </c>
      <c r="C6522">
        <f>IF(VLOOKUP(Table7[[#This Row],[Date]],Database!$A:$C,MATCH($C$1,Database!$A$1:$C$1,),)=0,#N/A,VLOOKUP(Table7[[#This Row],[Date]],Database!$A:$C,MATCH($C$1,Database!$A$1:$C$1,),))</f>
        <v/>
      </c>
      <c r="D6522">
        <f>IFERROR(Table7[[#This Row],[United States 10y]]-Table7[[#This Row],[United States 3y]],#N/A)</f>
        <v/>
      </c>
    </row>
    <row r="6523">
      <c r="A6523" s="6">
        <f>Database!$A8608</f>
        <v/>
      </c>
      <c r="B6523">
        <f>IF(VLOOKUP(Table7[[#This Row],[Date]],Database!$A:$C,MATCH($B$1,Database!$A$1:$C$1,),)=0,#N/A,VLOOKUP(Table7[[#This Row],[Date]],Database!$A:$C,MATCH($B$1,Database!$A$1:$C$1,),))</f>
        <v/>
      </c>
      <c r="C6523">
        <f>IF(VLOOKUP(Table7[[#This Row],[Date]],Database!$A:$C,MATCH($C$1,Database!$A$1:$C$1,),)=0,#N/A,VLOOKUP(Table7[[#This Row],[Date]],Database!$A:$C,MATCH($C$1,Database!$A$1:$C$1,),))</f>
        <v/>
      </c>
      <c r="D6523">
        <f>IFERROR(Table7[[#This Row],[United States 10y]]-Table7[[#This Row],[United States 3y]],#N/A)</f>
        <v/>
      </c>
    </row>
    <row r="6524">
      <c r="A6524" s="6">
        <f>Database!$A8609</f>
        <v/>
      </c>
      <c r="B6524">
        <f>IF(VLOOKUP(Table7[[#This Row],[Date]],Database!$A:$C,MATCH($B$1,Database!$A$1:$C$1,),)=0,#N/A,VLOOKUP(Table7[[#This Row],[Date]],Database!$A:$C,MATCH($B$1,Database!$A$1:$C$1,),))</f>
        <v/>
      </c>
      <c r="C6524">
        <f>IF(VLOOKUP(Table7[[#This Row],[Date]],Database!$A:$C,MATCH($C$1,Database!$A$1:$C$1,),)=0,#N/A,VLOOKUP(Table7[[#This Row],[Date]],Database!$A:$C,MATCH($C$1,Database!$A$1:$C$1,),))</f>
        <v/>
      </c>
      <c r="D6524">
        <f>IFERROR(Table7[[#This Row],[United States 10y]]-Table7[[#This Row],[United States 3y]],#N/A)</f>
        <v/>
      </c>
    </row>
    <row r="6525">
      <c r="A6525" s="6">
        <f>Database!$A8610</f>
        <v/>
      </c>
      <c r="B6525">
        <f>IF(VLOOKUP(Table7[[#This Row],[Date]],Database!$A:$C,MATCH($B$1,Database!$A$1:$C$1,),)=0,#N/A,VLOOKUP(Table7[[#This Row],[Date]],Database!$A:$C,MATCH($B$1,Database!$A$1:$C$1,),))</f>
        <v/>
      </c>
      <c r="C6525">
        <f>IF(VLOOKUP(Table7[[#This Row],[Date]],Database!$A:$C,MATCH($C$1,Database!$A$1:$C$1,),)=0,#N/A,VLOOKUP(Table7[[#This Row],[Date]],Database!$A:$C,MATCH($C$1,Database!$A$1:$C$1,),))</f>
        <v/>
      </c>
      <c r="D6525">
        <f>IFERROR(Table7[[#This Row],[United States 10y]]-Table7[[#This Row],[United States 3y]],#N/A)</f>
        <v/>
      </c>
    </row>
    <row r="6526">
      <c r="A6526" s="6">
        <f>Database!$A8611</f>
        <v/>
      </c>
      <c r="B6526">
        <f>IF(VLOOKUP(Table7[[#This Row],[Date]],Database!$A:$C,MATCH($B$1,Database!$A$1:$C$1,),)=0,#N/A,VLOOKUP(Table7[[#This Row],[Date]],Database!$A:$C,MATCH($B$1,Database!$A$1:$C$1,),))</f>
        <v/>
      </c>
      <c r="C6526">
        <f>IF(VLOOKUP(Table7[[#This Row],[Date]],Database!$A:$C,MATCH($C$1,Database!$A$1:$C$1,),)=0,#N/A,VLOOKUP(Table7[[#This Row],[Date]],Database!$A:$C,MATCH($C$1,Database!$A$1:$C$1,),))</f>
        <v/>
      </c>
      <c r="D6526">
        <f>IFERROR(Table7[[#This Row],[United States 10y]]-Table7[[#This Row],[United States 3y]],#N/A)</f>
        <v/>
      </c>
    </row>
    <row r="6527">
      <c r="A6527" s="6">
        <f>Database!$A8612</f>
        <v/>
      </c>
      <c r="B6527">
        <f>IF(VLOOKUP(Table7[[#This Row],[Date]],Database!$A:$C,MATCH($B$1,Database!$A$1:$C$1,),)=0,#N/A,VLOOKUP(Table7[[#This Row],[Date]],Database!$A:$C,MATCH($B$1,Database!$A$1:$C$1,),))</f>
        <v/>
      </c>
      <c r="C6527">
        <f>IF(VLOOKUP(Table7[[#This Row],[Date]],Database!$A:$C,MATCH($C$1,Database!$A$1:$C$1,),)=0,#N/A,VLOOKUP(Table7[[#This Row],[Date]],Database!$A:$C,MATCH($C$1,Database!$A$1:$C$1,),))</f>
        <v/>
      </c>
      <c r="D6527">
        <f>IFERROR(Table7[[#This Row],[United States 10y]]-Table7[[#This Row],[United States 3y]],#N/A)</f>
        <v/>
      </c>
    </row>
    <row r="6528">
      <c r="A6528" s="6">
        <f>Database!$A8613</f>
        <v/>
      </c>
      <c r="B6528">
        <f>IF(VLOOKUP(Table7[[#This Row],[Date]],Database!$A:$C,MATCH($B$1,Database!$A$1:$C$1,),)=0,#N/A,VLOOKUP(Table7[[#This Row],[Date]],Database!$A:$C,MATCH($B$1,Database!$A$1:$C$1,),))</f>
        <v/>
      </c>
      <c r="C6528">
        <f>IF(VLOOKUP(Table7[[#This Row],[Date]],Database!$A:$C,MATCH($C$1,Database!$A$1:$C$1,),)=0,#N/A,VLOOKUP(Table7[[#This Row],[Date]],Database!$A:$C,MATCH($C$1,Database!$A$1:$C$1,),))</f>
        <v/>
      </c>
      <c r="D6528">
        <f>IFERROR(Table7[[#This Row],[United States 10y]]-Table7[[#This Row],[United States 3y]],#N/A)</f>
        <v/>
      </c>
    </row>
    <row r="6529">
      <c r="A6529" s="6">
        <f>Database!$A8614</f>
        <v/>
      </c>
      <c r="B6529">
        <f>IF(VLOOKUP(Table7[[#This Row],[Date]],Database!$A:$C,MATCH($B$1,Database!$A$1:$C$1,),)=0,#N/A,VLOOKUP(Table7[[#This Row],[Date]],Database!$A:$C,MATCH($B$1,Database!$A$1:$C$1,),))</f>
        <v/>
      </c>
      <c r="C6529">
        <f>IF(VLOOKUP(Table7[[#This Row],[Date]],Database!$A:$C,MATCH($C$1,Database!$A$1:$C$1,),)=0,#N/A,VLOOKUP(Table7[[#This Row],[Date]],Database!$A:$C,MATCH($C$1,Database!$A$1:$C$1,),))</f>
        <v/>
      </c>
      <c r="D6529">
        <f>IFERROR(Table7[[#This Row],[United States 10y]]-Table7[[#This Row],[United States 3y]],#N/A)</f>
        <v/>
      </c>
    </row>
    <row r="6530">
      <c r="A6530" s="6">
        <f>Database!$A8615</f>
        <v/>
      </c>
      <c r="B6530">
        <f>IF(VLOOKUP(Table7[[#This Row],[Date]],Database!$A:$C,MATCH($B$1,Database!$A$1:$C$1,),)=0,#N/A,VLOOKUP(Table7[[#This Row],[Date]],Database!$A:$C,MATCH($B$1,Database!$A$1:$C$1,),))</f>
        <v/>
      </c>
      <c r="C6530">
        <f>IF(VLOOKUP(Table7[[#This Row],[Date]],Database!$A:$C,MATCH($C$1,Database!$A$1:$C$1,),)=0,#N/A,VLOOKUP(Table7[[#This Row],[Date]],Database!$A:$C,MATCH($C$1,Database!$A$1:$C$1,),))</f>
        <v/>
      </c>
      <c r="D6530">
        <f>IFERROR(Table7[[#This Row],[United States 10y]]-Table7[[#This Row],[United States 3y]],#N/A)</f>
        <v/>
      </c>
    </row>
    <row r="6531">
      <c r="A6531" s="6">
        <f>Database!$A8616</f>
        <v/>
      </c>
      <c r="B6531">
        <f>IF(VLOOKUP(Table7[[#This Row],[Date]],Database!$A:$C,MATCH($B$1,Database!$A$1:$C$1,),)=0,#N/A,VLOOKUP(Table7[[#This Row],[Date]],Database!$A:$C,MATCH($B$1,Database!$A$1:$C$1,),))</f>
        <v/>
      </c>
      <c r="C6531">
        <f>IF(VLOOKUP(Table7[[#This Row],[Date]],Database!$A:$C,MATCH($C$1,Database!$A$1:$C$1,),)=0,#N/A,VLOOKUP(Table7[[#This Row],[Date]],Database!$A:$C,MATCH($C$1,Database!$A$1:$C$1,),))</f>
        <v/>
      </c>
      <c r="D6531">
        <f>IFERROR(Table7[[#This Row],[United States 10y]]-Table7[[#This Row],[United States 3y]],#N/A)</f>
        <v/>
      </c>
    </row>
    <row r="6532">
      <c r="A6532" s="6">
        <f>Database!$A8617</f>
        <v/>
      </c>
      <c r="B6532">
        <f>IF(VLOOKUP(Table7[[#This Row],[Date]],Database!$A:$C,MATCH($B$1,Database!$A$1:$C$1,),)=0,#N/A,VLOOKUP(Table7[[#This Row],[Date]],Database!$A:$C,MATCH($B$1,Database!$A$1:$C$1,),))</f>
        <v/>
      </c>
      <c r="C6532">
        <f>IF(VLOOKUP(Table7[[#This Row],[Date]],Database!$A:$C,MATCH($C$1,Database!$A$1:$C$1,),)=0,#N/A,VLOOKUP(Table7[[#This Row],[Date]],Database!$A:$C,MATCH($C$1,Database!$A$1:$C$1,),))</f>
        <v/>
      </c>
      <c r="D6532">
        <f>IFERROR(Table7[[#This Row],[United States 10y]]-Table7[[#This Row],[United States 3y]],#N/A)</f>
        <v/>
      </c>
    </row>
    <row r="6533">
      <c r="A6533" s="6">
        <f>Database!$A8618</f>
        <v/>
      </c>
      <c r="B6533">
        <f>IF(VLOOKUP(Table7[[#This Row],[Date]],Database!$A:$C,MATCH($B$1,Database!$A$1:$C$1,),)=0,#N/A,VLOOKUP(Table7[[#This Row],[Date]],Database!$A:$C,MATCH($B$1,Database!$A$1:$C$1,),))</f>
        <v/>
      </c>
      <c r="C6533">
        <f>IF(VLOOKUP(Table7[[#This Row],[Date]],Database!$A:$C,MATCH($C$1,Database!$A$1:$C$1,),)=0,#N/A,VLOOKUP(Table7[[#This Row],[Date]],Database!$A:$C,MATCH($C$1,Database!$A$1:$C$1,),))</f>
        <v/>
      </c>
      <c r="D6533">
        <f>IFERROR(Table7[[#This Row],[United States 10y]]-Table7[[#This Row],[United States 3y]],#N/A)</f>
        <v/>
      </c>
    </row>
    <row r="6534">
      <c r="A6534" s="6">
        <f>Database!$A8619</f>
        <v/>
      </c>
      <c r="B6534">
        <f>IF(VLOOKUP(Table7[[#This Row],[Date]],Database!$A:$C,MATCH($B$1,Database!$A$1:$C$1,),)=0,#N/A,VLOOKUP(Table7[[#This Row],[Date]],Database!$A:$C,MATCH($B$1,Database!$A$1:$C$1,),))</f>
        <v/>
      </c>
      <c r="C6534">
        <f>IF(VLOOKUP(Table7[[#This Row],[Date]],Database!$A:$C,MATCH($C$1,Database!$A$1:$C$1,),)=0,#N/A,VLOOKUP(Table7[[#This Row],[Date]],Database!$A:$C,MATCH($C$1,Database!$A$1:$C$1,),))</f>
        <v/>
      </c>
      <c r="D6534">
        <f>IFERROR(Table7[[#This Row],[United States 10y]]-Table7[[#This Row],[United States 3y]],#N/A)</f>
        <v/>
      </c>
    </row>
    <row r="6535">
      <c r="A6535" s="6">
        <f>Database!$A8620</f>
        <v/>
      </c>
      <c r="B6535">
        <f>IF(VLOOKUP(Table7[[#This Row],[Date]],Database!$A:$C,MATCH($B$1,Database!$A$1:$C$1,),)=0,#N/A,VLOOKUP(Table7[[#This Row],[Date]],Database!$A:$C,MATCH($B$1,Database!$A$1:$C$1,),))</f>
        <v/>
      </c>
      <c r="C6535">
        <f>IF(VLOOKUP(Table7[[#This Row],[Date]],Database!$A:$C,MATCH($C$1,Database!$A$1:$C$1,),)=0,#N/A,VLOOKUP(Table7[[#This Row],[Date]],Database!$A:$C,MATCH($C$1,Database!$A$1:$C$1,),))</f>
        <v/>
      </c>
      <c r="D6535">
        <f>IFERROR(Table7[[#This Row],[United States 10y]]-Table7[[#This Row],[United States 3y]],#N/A)</f>
        <v/>
      </c>
    </row>
    <row r="6536">
      <c r="A6536" s="6">
        <f>Database!$A8621</f>
        <v/>
      </c>
      <c r="B6536">
        <f>IF(VLOOKUP(Table7[[#This Row],[Date]],Database!$A:$C,MATCH($B$1,Database!$A$1:$C$1,),)=0,#N/A,VLOOKUP(Table7[[#This Row],[Date]],Database!$A:$C,MATCH($B$1,Database!$A$1:$C$1,),))</f>
        <v/>
      </c>
      <c r="C6536">
        <f>IF(VLOOKUP(Table7[[#This Row],[Date]],Database!$A:$C,MATCH($C$1,Database!$A$1:$C$1,),)=0,#N/A,VLOOKUP(Table7[[#This Row],[Date]],Database!$A:$C,MATCH($C$1,Database!$A$1:$C$1,),))</f>
        <v/>
      </c>
      <c r="D6536">
        <f>IFERROR(Table7[[#This Row],[United States 10y]]-Table7[[#This Row],[United States 3y]],#N/A)</f>
        <v/>
      </c>
    </row>
    <row r="6537">
      <c r="A6537" s="6">
        <f>Database!$A8622</f>
        <v/>
      </c>
      <c r="B6537">
        <f>IF(VLOOKUP(Table7[[#This Row],[Date]],Database!$A:$C,MATCH($B$1,Database!$A$1:$C$1,),)=0,#N/A,VLOOKUP(Table7[[#This Row],[Date]],Database!$A:$C,MATCH($B$1,Database!$A$1:$C$1,),))</f>
        <v/>
      </c>
      <c r="C6537">
        <f>IF(VLOOKUP(Table7[[#This Row],[Date]],Database!$A:$C,MATCH($C$1,Database!$A$1:$C$1,),)=0,#N/A,VLOOKUP(Table7[[#This Row],[Date]],Database!$A:$C,MATCH($C$1,Database!$A$1:$C$1,),))</f>
        <v/>
      </c>
      <c r="D6537">
        <f>IFERROR(Table7[[#This Row],[United States 10y]]-Table7[[#This Row],[United States 3y]],#N/A)</f>
        <v/>
      </c>
    </row>
    <row r="6538">
      <c r="A6538" s="6">
        <f>Database!$A8623</f>
        <v/>
      </c>
      <c r="B6538">
        <f>IF(VLOOKUP(Table7[[#This Row],[Date]],Database!$A:$C,MATCH($B$1,Database!$A$1:$C$1,),)=0,#N/A,VLOOKUP(Table7[[#This Row],[Date]],Database!$A:$C,MATCH($B$1,Database!$A$1:$C$1,),))</f>
        <v/>
      </c>
      <c r="C6538">
        <f>IF(VLOOKUP(Table7[[#This Row],[Date]],Database!$A:$C,MATCH($C$1,Database!$A$1:$C$1,),)=0,#N/A,VLOOKUP(Table7[[#This Row],[Date]],Database!$A:$C,MATCH($C$1,Database!$A$1:$C$1,),))</f>
        <v/>
      </c>
      <c r="D6538">
        <f>IFERROR(Table7[[#This Row],[United States 10y]]-Table7[[#This Row],[United States 3y]],#N/A)</f>
        <v/>
      </c>
    </row>
    <row r="6539">
      <c r="A6539" s="6">
        <f>Database!$A8624</f>
        <v/>
      </c>
      <c r="B6539">
        <f>IF(VLOOKUP(Table7[[#This Row],[Date]],Database!$A:$C,MATCH($B$1,Database!$A$1:$C$1,),)=0,#N/A,VLOOKUP(Table7[[#This Row],[Date]],Database!$A:$C,MATCH($B$1,Database!$A$1:$C$1,),))</f>
        <v/>
      </c>
      <c r="C6539">
        <f>IF(VLOOKUP(Table7[[#This Row],[Date]],Database!$A:$C,MATCH($C$1,Database!$A$1:$C$1,),)=0,#N/A,VLOOKUP(Table7[[#This Row],[Date]],Database!$A:$C,MATCH($C$1,Database!$A$1:$C$1,),))</f>
        <v/>
      </c>
      <c r="D6539">
        <f>IFERROR(Table7[[#This Row],[United States 10y]]-Table7[[#This Row],[United States 3y]],#N/A)</f>
        <v/>
      </c>
    </row>
    <row r="6540">
      <c r="A6540" s="6">
        <f>Database!$A8625</f>
        <v/>
      </c>
      <c r="B6540">
        <f>IF(VLOOKUP(Table7[[#This Row],[Date]],Database!$A:$C,MATCH($B$1,Database!$A$1:$C$1,),)=0,#N/A,VLOOKUP(Table7[[#This Row],[Date]],Database!$A:$C,MATCH($B$1,Database!$A$1:$C$1,),))</f>
        <v/>
      </c>
      <c r="C6540">
        <f>IF(VLOOKUP(Table7[[#This Row],[Date]],Database!$A:$C,MATCH($C$1,Database!$A$1:$C$1,),)=0,#N/A,VLOOKUP(Table7[[#This Row],[Date]],Database!$A:$C,MATCH($C$1,Database!$A$1:$C$1,),))</f>
        <v/>
      </c>
      <c r="D6540">
        <f>IFERROR(Table7[[#This Row],[United States 10y]]-Table7[[#This Row],[United States 3y]],#N/A)</f>
        <v/>
      </c>
    </row>
    <row r="6541">
      <c r="A6541" s="6">
        <f>Database!$A8626</f>
        <v/>
      </c>
      <c r="B6541">
        <f>IF(VLOOKUP(Table7[[#This Row],[Date]],Database!$A:$C,MATCH($B$1,Database!$A$1:$C$1,),)=0,#N/A,VLOOKUP(Table7[[#This Row],[Date]],Database!$A:$C,MATCH($B$1,Database!$A$1:$C$1,),))</f>
        <v/>
      </c>
      <c r="C6541">
        <f>IF(VLOOKUP(Table7[[#This Row],[Date]],Database!$A:$C,MATCH($C$1,Database!$A$1:$C$1,),)=0,#N/A,VLOOKUP(Table7[[#This Row],[Date]],Database!$A:$C,MATCH($C$1,Database!$A$1:$C$1,),))</f>
        <v/>
      </c>
      <c r="D6541">
        <f>IFERROR(Table7[[#This Row],[United States 10y]]-Table7[[#This Row],[United States 3y]],#N/A)</f>
        <v/>
      </c>
    </row>
    <row r="6542">
      <c r="A6542" s="6">
        <f>Database!$A8627</f>
        <v/>
      </c>
      <c r="B6542">
        <f>IF(VLOOKUP(Table7[[#This Row],[Date]],Database!$A:$C,MATCH($B$1,Database!$A$1:$C$1,),)=0,#N/A,VLOOKUP(Table7[[#This Row],[Date]],Database!$A:$C,MATCH($B$1,Database!$A$1:$C$1,),))</f>
        <v/>
      </c>
      <c r="C6542">
        <f>IF(VLOOKUP(Table7[[#This Row],[Date]],Database!$A:$C,MATCH($C$1,Database!$A$1:$C$1,),)=0,#N/A,VLOOKUP(Table7[[#This Row],[Date]],Database!$A:$C,MATCH($C$1,Database!$A$1:$C$1,),))</f>
        <v/>
      </c>
      <c r="D6542">
        <f>IFERROR(Table7[[#This Row],[United States 10y]]-Table7[[#This Row],[United States 3y]],#N/A)</f>
        <v/>
      </c>
    </row>
    <row r="6543">
      <c r="A6543" s="6">
        <f>Database!$A8628</f>
        <v/>
      </c>
      <c r="B6543">
        <f>IF(VLOOKUP(Table7[[#This Row],[Date]],Database!$A:$C,MATCH($B$1,Database!$A$1:$C$1,),)=0,#N/A,VLOOKUP(Table7[[#This Row],[Date]],Database!$A:$C,MATCH($B$1,Database!$A$1:$C$1,),))</f>
        <v/>
      </c>
      <c r="C6543">
        <f>IF(VLOOKUP(Table7[[#This Row],[Date]],Database!$A:$C,MATCH($C$1,Database!$A$1:$C$1,),)=0,#N/A,VLOOKUP(Table7[[#This Row],[Date]],Database!$A:$C,MATCH($C$1,Database!$A$1:$C$1,),))</f>
        <v/>
      </c>
      <c r="D6543">
        <f>IFERROR(Table7[[#This Row],[United States 10y]]-Table7[[#This Row],[United States 3y]],#N/A)</f>
        <v/>
      </c>
    </row>
    <row r="6544">
      <c r="A6544" s="6">
        <f>Database!$A8629</f>
        <v/>
      </c>
      <c r="B6544">
        <f>IF(VLOOKUP(Table7[[#This Row],[Date]],Database!$A:$C,MATCH($B$1,Database!$A$1:$C$1,),)=0,#N/A,VLOOKUP(Table7[[#This Row],[Date]],Database!$A:$C,MATCH($B$1,Database!$A$1:$C$1,),))</f>
        <v/>
      </c>
      <c r="C6544">
        <f>IF(VLOOKUP(Table7[[#This Row],[Date]],Database!$A:$C,MATCH($C$1,Database!$A$1:$C$1,),)=0,#N/A,VLOOKUP(Table7[[#This Row],[Date]],Database!$A:$C,MATCH($C$1,Database!$A$1:$C$1,),))</f>
        <v/>
      </c>
      <c r="D6544">
        <f>IFERROR(Table7[[#This Row],[United States 10y]]-Table7[[#This Row],[United States 3y]],#N/A)</f>
        <v/>
      </c>
    </row>
    <row r="6545">
      <c r="A6545" s="6">
        <f>Database!$A8630</f>
        <v/>
      </c>
      <c r="B6545">
        <f>IF(VLOOKUP(Table7[[#This Row],[Date]],Database!$A:$C,MATCH($B$1,Database!$A$1:$C$1,),)=0,#N/A,VLOOKUP(Table7[[#This Row],[Date]],Database!$A:$C,MATCH($B$1,Database!$A$1:$C$1,),))</f>
        <v/>
      </c>
      <c r="C6545">
        <f>IF(VLOOKUP(Table7[[#This Row],[Date]],Database!$A:$C,MATCH($C$1,Database!$A$1:$C$1,),)=0,#N/A,VLOOKUP(Table7[[#This Row],[Date]],Database!$A:$C,MATCH($C$1,Database!$A$1:$C$1,),))</f>
        <v/>
      </c>
      <c r="D6545">
        <f>IFERROR(Table7[[#This Row],[United States 10y]]-Table7[[#This Row],[United States 3y]],#N/A)</f>
        <v/>
      </c>
    </row>
    <row r="6546">
      <c r="A6546" s="6">
        <f>Database!$A8631</f>
        <v/>
      </c>
      <c r="B6546">
        <f>IF(VLOOKUP(Table7[[#This Row],[Date]],Database!$A:$C,MATCH($B$1,Database!$A$1:$C$1,),)=0,#N/A,VLOOKUP(Table7[[#This Row],[Date]],Database!$A:$C,MATCH($B$1,Database!$A$1:$C$1,),))</f>
        <v/>
      </c>
      <c r="C6546">
        <f>IF(VLOOKUP(Table7[[#This Row],[Date]],Database!$A:$C,MATCH($C$1,Database!$A$1:$C$1,),)=0,#N/A,VLOOKUP(Table7[[#This Row],[Date]],Database!$A:$C,MATCH($C$1,Database!$A$1:$C$1,),))</f>
        <v/>
      </c>
      <c r="D6546">
        <f>IFERROR(Table7[[#This Row],[United States 10y]]-Table7[[#This Row],[United States 3y]],#N/A)</f>
        <v/>
      </c>
    </row>
    <row r="6547">
      <c r="A6547" s="6">
        <f>Database!$A8632</f>
        <v/>
      </c>
      <c r="B6547">
        <f>IF(VLOOKUP(Table7[[#This Row],[Date]],Database!$A:$C,MATCH($B$1,Database!$A$1:$C$1,),)=0,#N/A,VLOOKUP(Table7[[#This Row],[Date]],Database!$A:$C,MATCH($B$1,Database!$A$1:$C$1,),))</f>
        <v/>
      </c>
      <c r="C6547">
        <f>IF(VLOOKUP(Table7[[#This Row],[Date]],Database!$A:$C,MATCH($C$1,Database!$A$1:$C$1,),)=0,#N/A,VLOOKUP(Table7[[#This Row],[Date]],Database!$A:$C,MATCH($C$1,Database!$A$1:$C$1,),))</f>
        <v/>
      </c>
      <c r="D6547">
        <f>IFERROR(Table7[[#This Row],[United States 10y]]-Table7[[#This Row],[United States 3y]],#N/A)</f>
        <v/>
      </c>
    </row>
    <row r="6548">
      <c r="A6548" s="6">
        <f>Database!$A8633</f>
        <v/>
      </c>
      <c r="B6548">
        <f>IF(VLOOKUP(Table7[[#This Row],[Date]],Database!$A:$C,MATCH($B$1,Database!$A$1:$C$1,),)=0,#N/A,VLOOKUP(Table7[[#This Row],[Date]],Database!$A:$C,MATCH($B$1,Database!$A$1:$C$1,),))</f>
        <v/>
      </c>
      <c r="C6548">
        <f>IF(VLOOKUP(Table7[[#This Row],[Date]],Database!$A:$C,MATCH($C$1,Database!$A$1:$C$1,),)=0,#N/A,VLOOKUP(Table7[[#This Row],[Date]],Database!$A:$C,MATCH($C$1,Database!$A$1:$C$1,),))</f>
        <v/>
      </c>
      <c r="D6548">
        <f>IFERROR(Table7[[#This Row],[United States 10y]]-Table7[[#This Row],[United States 3y]],#N/A)</f>
        <v/>
      </c>
    </row>
    <row r="6549">
      <c r="A6549" s="6">
        <f>Database!$A8634</f>
        <v/>
      </c>
      <c r="B6549">
        <f>IF(VLOOKUP(Table7[[#This Row],[Date]],Database!$A:$C,MATCH($B$1,Database!$A$1:$C$1,),)=0,#N/A,VLOOKUP(Table7[[#This Row],[Date]],Database!$A:$C,MATCH($B$1,Database!$A$1:$C$1,),))</f>
        <v/>
      </c>
      <c r="C6549">
        <f>IF(VLOOKUP(Table7[[#This Row],[Date]],Database!$A:$C,MATCH($C$1,Database!$A$1:$C$1,),)=0,#N/A,VLOOKUP(Table7[[#This Row],[Date]],Database!$A:$C,MATCH($C$1,Database!$A$1:$C$1,),))</f>
        <v/>
      </c>
      <c r="D6549">
        <f>IFERROR(Table7[[#This Row],[United States 10y]]-Table7[[#This Row],[United States 3y]],#N/A)</f>
        <v/>
      </c>
    </row>
    <row r="6550">
      <c r="A6550" s="6">
        <f>Database!$A8635</f>
        <v/>
      </c>
      <c r="B6550">
        <f>IF(VLOOKUP(Table7[[#This Row],[Date]],Database!$A:$C,MATCH($B$1,Database!$A$1:$C$1,),)=0,#N/A,VLOOKUP(Table7[[#This Row],[Date]],Database!$A:$C,MATCH($B$1,Database!$A$1:$C$1,),))</f>
        <v/>
      </c>
      <c r="C6550">
        <f>IF(VLOOKUP(Table7[[#This Row],[Date]],Database!$A:$C,MATCH($C$1,Database!$A$1:$C$1,),)=0,#N/A,VLOOKUP(Table7[[#This Row],[Date]],Database!$A:$C,MATCH($C$1,Database!$A$1:$C$1,),))</f>
        <v/>
      </c>
      <c r="D6550">
        <f>IFERROR(Table7[[#This Row],[United States 10y]]-Table7[[#This Row],[United States 3y]],#N/A)</f>
        <v/>
      </c>
    </row>
    <row r="6551">
      <c r="A6551" s="6">
        <f>Database!$A8636</f>
        <v/>
      </c>
      <c r="B6551">
        <f>IF(VLOOKUP(Table7[[#This Row],[Date]],Database!$A:$C,MATCH($B$1,Database!$A$1:$C$1,),)=0,#N/A,VLOOKUP(Table7[[#This Row],[Date]],Database!$A:$C,MATCH($B$1,Database!$A$1:$C$1,),))</f>
        <v/>
      </c>
      <c r="C6551">
        <f>IF(VLOOKUP(Table7[[#This Row],[Date]],Database!$A:$C,MATCH($C$1,Database!$A$1:$C$1,),)=0,#N/A,VLOOKUP(Table7[[#This Row],[Date]],Database!$A:$C,MATCH($C$1,Database!$A$1:$C$1,),))</f>
        <v/>
      </c>
      <c r="D6551">
        <f>IFERROR(Table7[[#This Row],[United States 10y]]-Table7[[#This Row],[United States 3y]],#N/A)</f>
        <v/>
      </c>
    </row>
    <row r="6552">
      <c r="A6552" s="6">
        <f>Database!$A8637</f>
        <v/>
      </c>
      <c r="B6552">
        <f>IF(VLOOKUP(Table7[[#This Row],[Date]],Database!$A:$C,MATCH($B$1,Database!$A$1:$C$1,),)=0,#N/A,VLOOKUP(Table7[[#This Row],[Date]],Database!$A:$C,MATCH($B$1,Database!$A$1:$C$1,),))</f>
        <v/>
      </c>
      <c r="C6552">
        <f>IF(VLOOKUP(Table7[[#This Row],[Date]],Database!$A:$C,MATCH($C$1,Database!$A$1:$C$1,),)=0,#N/A,VLOOKUP(Table7[[#This Row],[Date]],Database!$A:$C,MATCH($C$1,Database!$A$1:$C$1,),))</f>
        <v/>
      </c>
      <c r="D6552">
        <f>IFERROR(Table7[[#This Row],[United States 10y]]-Table7[[#This Row],[United States 3y]],#N/A)</f>
        <v/>
      </c>
    </row>
    <row r="6553">
      <c r="A6553" s="6">
        <f>Database!$A8638</f>
        <v/>
      </c>
      <c r="B6553">
        <f>IF(VLOOKUP(Table7[[#This Row],[Date]],Database!$A:$C,MATCH($B$1,Database!$A$1:$C$1,),)=0,#N/A,VLOOKUP(Table7[[#This Row],[Date]],Database!$A:$C,MATCH($B$1,Database!$A$1:$C$1,),))</f>
        <v/>
      </c>
      <c r="C6553">
        <f>IF(VLOOKUP(Table7[[#This Row],[Date]],Database!$A:$C,MATCH($C$1,Database!$A$1:$C$1,),)=0,#N/A,VLOOKUP(Table7[[#This Row],[Date]],Database!$A:$C,MATCH($C$1,Database!$A$1:$C$1,),))</f>
        <v/>
      </c>
      <c r="D6553">
        <f>IFERROR(Table7[[#This Row],[United States 10y]]-Table7[[#This Row],[United States 3y]],#N/A)</f>
        <v/>
      </c>
    </row>
    <row r="6554">
      <c r="A6554" s="6">
        <f>Database!$A8639</f>
        <v/>
      </c>
      <c r="B6554">
        <f>IF(VLOOKUP(Table7[[#This Row],[Date]],Database!$A:$C,MATCH($B$1,Database!$A$1:$C$1,),)=0,#N/A,VLOOKUP(Table7[[#This Row],[Date]],Database!$A:$C,MATCH($B$1,Database!$A$1:$C$1,),))</f>
        <v/>
      </c>
      <c r="C6554">
        <f>IF(VLOOKUP(Table7[[#This Row],[Date]],Database!$A:$C,MATCH($C$1,Database!$A$1:$C$1,),)=0,#N/A,VLOOKUP(Table7[[#This Row],[Date]],Database!$A:$C,MATCH($C$1,Database!$A$1:$C$1,),))</f>
        <v/>
      </c>
      <c r="D6554">
        <f>IFERROR(Table7[[#This Row],[United States 10y]]-Table7[[#This Row],[United States 3y]],#N/A)</f>
        <v/>
      </c>
    </row>
    <row r="6555">
      <c r="A6555" s="6">
        <f>Database!$A8640</f>
        <v/>
      </c>
      <c r="B6555">
        <f>IF(VLOOKUP(Table7[[#This Row],[Date]],Database!$A:$C,MATCH($B$1,Database!$A$1:$C$1,),)=0,#N/A,VLOOKUP(Table7[[#This Row],[Date]],Database!$A:$C,MATCH($B$1,Database!$A$1:$C$1,),))</f>
        <v/>
      </c>
      <c r="C6555">
        <f>IF(VLOOKUP(Table7[[#This Row],[Date]],Database!$A:$C,MATCH($C$1,Database!$A$1:$C$1,),)=0,#N/A,VLOOKUP(Table7[[#This Row],[Date]],Database!$A:$C,MATCH($C$1,Database!$A$1:$C$1,),))</f>
        <v/>
      </c>
      <c r="D6555">
        <f>IFERROR(Table7[[#This Row],[United States 10y]]-Table7[[#This Row],[United States 3y]],#N/A)</f>
        <v/>
      </c>
    </row>
    <row r="6556">
      <c r="A6556" s="6">
        <f>Database!$A8641</f>
        <v/>
      </c>
      <c r="B6556">
        <f>IF(VLOOKUP(Table7[[#This Row],[Date]],Database!$A:$C,MATCH($B$1,Database!$A$1:$C$1,),)=0,#N/A,VLOOKUP(Table7[[#This Row],[Date]],Database!$A:$C,MATCH($B$1,Database!$A$1:$C$1,),))</f>
        <v/>
      </c>
      <c r="C6556">
        <f>IF(VLOOKUP(Table7[[#This Row],[Date]],Database!$A:$C,MATCH($C$1,Database!$A$1:$C$1,),)=0,#N/A,VLOOKUP(Table7[[#This Row],[Date]],Database!$A:$C,MATCH($C$1,Database!$A$1:$C$1,),))</f>
        <v/>
      </c>
      <c r="D6556">
        <f>IFERROR(Table7[[#This Row],[United States 10y]]-Table7[[#This Row],[United States 3y]],#N/A)</f>
        <v/>
      </c>
    </row>
    <row r="6557">
      <c r="A6557" s="6">
        <f>Database!$A8642</f>
        <v/>
      </c>
      <c r="B6557">
        <f>IF(VLOOKUP(Table7[[#This Row],[Date]],Database!$A:$C,MATCH($B$1,Database!$A$1:$C$1,),)=0,#N/A,VLOOKUP(Table7[[#This Row],[Date]],Database!$A:$C,MATCH($B$1,Database!$A$1:$C$1,),))</f>
        <v/>
      </c>
      <c r="C6557">
        <f>IF(VLOOKUP(Table7[[#This Row],[Date]],Database!$A:$C,MATCH($C$1,Database!$A$1:$C$1,),)=0,#N/A,VLOOKUP(Table7[[#This Row],[Date]],Database!$A:$C,MATCH($C$1,Database!$A$1:$C$1,),))</f>
        <v/>
      </c>
      <c r="D6557">
        <f>IFERROR(Table7[[#This Row],[United States 10y]]-Table7[[#This Row],[United States 3y]],#N/A)</f>
        <v/>
      </c>
    </row>
    <row r="6558">
      <c r="A6558" s="6">
        <f>Database!$A8643</f>
        <v/>
      </c>
      <c r="B6558">
        <f>IF(VLOOKUP(Table7[[#This Row],[Date]],Database!$A:$C,MATCH($B$1,Database!$A$1:$C$1,),)=0,#N/A,VLOOKUP(Table7[[#This Row],[Date]],Database!$A:$C,MATCH($B$1,Database!$A$1:$C$1,),))</f>
        <v/>
      </c>
      <c r="C6558">
        <f>IF(VLOOKUP(Table7[[#This Row],[Date]],Database!$A:$C,MATCH($C$1,Database!$A$1:$C$1,),)=0,#N/A,VLOOKUP(Table7[[#This Row],[Date]],Database!$A:$C,MATCH($C$1,Database!$A$1:$C$1,),))</f>
        <v/>
      </c>
      <c r="D6558">
        <f>IFERROR(Table7[[#This Row],[United States 10y]]-Table7[[#This Row],[United States 3y]],#N/A)</f>
        <v/>
      </c>
    </row>
    <row r="6559">
      <c r="A6559" s="6">
        <f>Database!$A8644</f>
        <v/>
      </c>
      <c r="B6559">
        <f>IF(VLOOKUP(Table7[[#This Row],[Date]],Database!$A:$C,MATCH($B$1,Database!$A$1:$C$1,),)=0,#N/A,VLOOKUP(Table7[[#This Row],[Date]],Database!$A:$C,MATCH($B$1,Database!$A$1:$C$1,),))</f>
        <v/>
      </c>
      <c r="C6559">
        <f>IF(VLOOKUP(Table7[[#This Row],[Date]],Database!$A:$C,MATCH($C$1,Database!$A$1:$C$1,),)=0,#N/A,VLOOKUP(Table7[[#This Row],[Date]],Database!$A:$C,MATCH($C$1,Database!$A$1:$C$1,),))</f>
        <v/>
      </c>
      <c r="D6559">
        <f>IFERROR(Table7[[#This Row],[United States 10y]]-Table7[[#This Row],[United States 3y]],#N/A)</f>
        <v/>
      </c>
    </row>
    <row r="6560">
      <c r="A6560" s="6">
        <f>Database!$A8645</f>
        <v/>
      </c>
      <c r="B6560">
        <f>IF(VLOOKUP(Table7[[#This Row],[Date]],Database!$A:$C,MATCH($B$1,Database!$A$1:$C$1,),)=0,#N/A,VLOOKUP(Table7[[#This Row],[Date]],Database!$A:$C,MATCH($B$1,Database!$A$1:$C$1,),))</f>
        <v/>
      </c>
      <c r="C6560">
        <f>IF(VLOOKUP(Table7[[#This Row],[Date]],Database!$A:$C,MATCH($C$1,Database!$A$1:$C$1,),)=0,#N/A,VLOOKUP(Table7[[#This Row],[Date]],Database!$A:$C,MATCH($C$1,Database!$A$1:$C$1,),))</f>
        <v/>
      </c>
      <c r="D6560">
        <f>IFERROR(Table7[[#This Row],[United States 10y]]-Table7[[#This Row],[United States 3y]],#N/A)</f>
        <v/>
      </c>
    </row>
    <row r="6561">
      <c r="A6561" s="6">
        <f>Database!$A8646</f>
        <v/>
      </c>
      <c r="B6561">
        <f>IF(VLOOKUP(Table7[[#This Row],[Date]],Database!$A:$C,MATCH($B$1,Database!$A$1:$C$1,),)=0,#N/A,VLOOKUP(Table7[[#This Row],[Date]],Database!$A:$C,MATCH($B$1,Database!$A$1:$C$1,),))</f>
        <v/>
      </c>
      <c r="C6561">
        <f>IF(VLOOKUP(Table7[[#This Row],[Date]],Database!$A:$C,MATCH($C$1,Database!$A$1:$C$1,),)=0,#N/A,VLOOKUP(Table7[[#This Row],[Date]],Database!$A:$C,MATCH($C$1,Database!$A$1:$C$1,),))</f>
        <v/>
      </c>
      <c r="D6561">
        <f>IFERROR(Table7[[#This Row],[United States 10y]]-Table7[[#This Row],[United States 3y]],#N/A)</f>
        <v/>
      </c>
    </row>
    <row r="6562">
      <c r="A6562" s="6">
        <f>Database!$A8647</f>
        <v/>
      </c>
      <c r="B6562">
        <f>IF(VLOOKUP(Table7[[#This Row],[Date]],Database!$A:$C,MATCH($B$1,Database!$A$1:$C$1,),)=0,#N/A,VLOOKUP(Table7[[#This Row],[Date]],Database!$A:$C,MATCH($B$1,Database!$A$1:$C$1,),))</f>
        <v/>
      </c>
      <c r="C6562">
        <f>IF(VLOOKUP(Table7[[#This Row],[Date]],Database!$A:$C,MATCH($C$1,Database!$A$1:$C$1,),)=0,#N/A,VLOOKUP(Table7[[#This Row],[Date]],Database!$A:$C,MATCH($C$1,Database!$A$1:$C$1,),))</f>
        <v/>
      </c>
      <c r="D6562">
        <f>IFERROR(Table7[[#This Row],[United States 10y]]-Table7[[#This Row],[United States 3y]],#N/A)</f>
        <v/>
      </c>
    </row>
    <row r="6563">
      <c r="A6563" s="6">
        <f>Database!$A8648</f>
        <v/>
      </c>
      <c r="B6563">
        <f>IF(VLOOKUP(Table7[[#This Row],[Date]],Database!$A:$C,MATCH($B$1,Database!$A$1:$C$1,),)=0,#N/A,VLOOKUP(Table7[[#This Row],[Date]],Database!$A:$C,MATCH($B$1,Database!$A$1:$C$1,),))</f>
        <v/>
      </c>
      <c r="C6563">
        <f>IF(VLOOKUP(Table7[[#This Row],[Date]],Database!$A:$C,MATCH($C$1,Database!$A$1:$C$1,),)=0,#N/A,VLOOKUP(Table7[[#This Row],[Date]],Database!$A:$C,MATCH($C$1,Database!$A$1:$C$1,),))</f>
        <v/>
      </c>
      <c r="D6563">
        <f>IFERROR(Table7[[#This Row],[United States 10y]]-Table7[[#This Row],[United States 3y]],#N/A)</f>
        <v/>
      </c>
    </row>
    <row r="6564">
      <c r="A6564" s="6">
        <f>Database!$A8649</f>
        <v/>
      </c>
      <c r="B6564">
        <f>IF(VLOOKUP(Table7[[#This Row],[Date]],Database!$A:$C,MATCH($B$1,Database!$A$1:$C$1,),)=0,#N/A,VLOOKUP(Table7[[#This Row],[Date]],Database!$A:$C,MATCH($B$1,Database!$A$1:$C$1,),))</f>
        <v/>
      </c>
      <c r="C6564">
        <f>IF(VLOOKUP(Table7[[#This Row],[Date]],Database!$A:$C,MATCH($C$1,Database!$A$1:$C$1,),)=0,#N/A,VLOOKUP(Table7[[#This Row],[Date]],Database!$A:$C,MATCH($C$1,Database!$A$1:$C$1,),))</f>
        <v/>
      </c>
      <c r="D6564">
        <f>IFERROR(Table7[[#This Row],[United States 10y]]-Table7[[#This Row],[United States 3y]],#N/A)</f>
        <v/>
      </c>
    </row>
    <row r="6565">
      <c r="A6565" s="6">
        <f>Database!$A8650</f>
        <v/>
      </c>
      <c r="B6565">
        <f>IF(VLOOKUP(Table7[[#This Row],[Date]],Database!$A:$C,MATCH($B$1,Database!$A$1:$C$1,),)=0,#N/A,VLOOKUP(Table7[[#This Row],[Date]],Database!$A:$C,MATCH($B$1,Database!$A$1:$C$1,),))</f>
        <v/>
      </c>
      <c r="C6565">
        <f>IF(VLOOKUP(Table7[[#This Row],[Date]],Database!$A:$C,MATCH($C$1,Database!$A$1:$C$1,),)=0,#N/A,VLOOKUP(Table7[[#This Row],[Date]],Database!$A:$C,MATCH($C$1,Database!$A$1:$C$1,),))</f>
        <v/>
      </c>
      <c r="D6565">
        <f>IFERROR(Table7[[#This Row],[United States 10y]]-Table7[[#This Row],[United States 3y]],#N/A)</f>
        <v/>
      </c>
    </row>
    <row r="6566">
      <c r="A6566" s="6">
        <f>Database!$A8651</f>
        <v/>
      </c>
      <c r="B6566">
        <f>IF(VLOOKUP(Table7[[#This Row],[Date]],Database!$A:$C,MATCH($B$1,Database!$A$1:$C$1,),)=0,#N/A,VLOOKUP(Table7[[#This Row],[Date]],Database!$A:$C,MATCH($B$1,Database!$A$1:$C$1,),))</f>
        <v/>
      </c>
      <c r="C6566">
        <f>IF(VLOOKUP(Table7[[#This Row],[Date]],Database!$A:$C,MATCH($C$1,Database!$A$1:$C$1,),)=0,#N/A,VLOOKUP(Table7[[#This Row],[Date]],Database!$A:$C,MATCH($C$1,Database!$A$1:$C$1,),))</f>
        <v/>
      </c>
      <c r="D6566">
        <f>IFERROR(Table7[[#This Row],[United States 10y]]-Table7[[#This Row],[United States 3y]],#N/A)</f>
        <v/>
      </c>
    </row>
    <row r="6567">
      <c r="A6567" s="6">
        <f>Database!$A8652</f>
        <v/>
      </c>
      <c r="B6567">
        <f>IF(VLOOKUP(Table7[[#This Row],[Date]],Database!$A:$C,MATCH($B$1,Database!$A$1:$C$1,),)=0,#N/A,VLOOKUP(Table7[[#This Row],[Date]],Database!$A:$C,MATCH($B$1,Database!$A$1:$C$1,),))</f>
        <v/>
      </c>
      <c r="C6567">
        <f>IF(VLOOKUP(Table7[[#This Row],[Date]],Database!$A:$C,MATCH($C$1,Database!$A$1:$C$1,),)=0,#N/A,VLOOKUP(Table7[[#This Row],[Date]],Database!$A:$C,MATCH($C$1,Database!$A$1:$C$1,),))</f>
        <v/>
      </c>
      <c r="D6567">
        <f>IFERROR(Table7[[#This Row],[United States 10y]]-Table7[[#This Row],[United States 3y]],#N/A)</f>
        <v/>
      </c>
    </row>
    <row r="6568">
      <c r="A6568" s="6">
        <f>Database!$A8653</f>
        <v/>
      </c>
      <c r="B6568">
        <f>IF(VLOOKUP(Table7[[#This Row],[Date]],Database!$A:$C,MATCH($B$1,Database!$A$1:$C$1,),)=0,#N/A,VLOOKUP(Table7[[#This Row],[Date]],Database!$A:$C,MATCH($B$1,Database!$A$1:$C$1,),))</f>
        <v/>
      </c>
      <c r="C6568">
        <f>IF(VLOOKUP(Table7[[#This Row],[Date]],Database!$A:$C,MATCH($C$1,Database!$A$1:$C$1,),)=0,#N/A,VLOOKUP(Table7[[#This Row],[Date]],Database!$A:$C,MATCH($C$1,Database!$A$1:$C$1,),))</f>
        <v/>
      </c>
      <c r="D6568">
        <f>IFERROR(Table7[[#This Row],[United States 10y]]-Table7[[#This Row],[United States 3y]],#N/A)</f>
        <v/>
      </c>
    </row>
    <row r="6569">
      <c r="A6569" s="6">
        <f>Database!$A8654</f>
        <v/>
      </c>
      <c r="B6569">
        <f>IF(VLOOKUP(Table7[[#This Row],[Date]],Database!$A:$C,MATCH($B$1,Database!$A$1:$C$1,),)=0,#N/A,VLOOKUP(Table7[[#This Row],[Date]],Database!$A:$C,MATCH($B$1,Database!$A$1:$C$1,),))</f>
        <v/>
      </c>
      <c r="C6569">
        <f>IF(VLOOKUP(Table7[[#This Row],[Date]],Database!$A:$C,MATCH($C$1,Database!$A$1:$C$1,),)=0,#N/A,VLOOKUP(Table7[[#This Row],[Date]],Database!$A:$C,MATCH($C$1,Database!$A$1:$C$1,),))</f>
        <v/>
      </c>
      <c r="D6569">
        <f>IFERROR(Table7[[#This Row],[United States 10y]]-Table7[[#This Row],[United States 3y]],#N/A)</f>
        <v/>
      </c>
    </row>
    <row r="6570">
      <c r="A6570" s="6">
        <f>Database!$A8655</f>
        <v/>
      </c>
      <c r="B6570">
        <f>IF(VLOOKUP(Table7[[#This Row],[Date]],Database!$A:$C,MATCH($B$1,Database!$A$1:$C$1,),)=0,#N/A,VLOOKUP(Table7[[#This Row],[Date]],Database!$A:$C,MATCH($B$1,Database!$A$1:$C$1,),))</f>
        <v/>
      </c>
      <c r="C6570">
        <f>IF(VLOOKUP(Table7[[#This Row],[Date]],Database!$A:$C,MATCH($C$1,Database!$A$1:$C$1,),)=0,#N/A,VLOOKUP(Table7[[#This Row],[Date]],Database!$A:$C,MATCH($C$1,Database!$A$1:$C$1,),))</f>
        <v/>
      </c>
      <c r="D6570">
        <f>IFERROR(Table7[[#This Row],[United States 10y]]-Table7[[#This Row],[United States 3y]],#N/A)</f>
        <v/>
      </c>
    </row>
    <row r="6571">
      <c r="A6571" s="6">
        <f>Database!$A8656</f>
        <v/>
      </c>
      <c r="B6571">
        <f>IF(VLOOKUP(Table7[[#This Row],[Date]],Database!$A:$C,MATCH($B$1,Database!$A$1:$C$1,),)=0,#N/A,VLOOKUP(Table7[[#This Row],[Date]],Database!$A:$C,MATCH($B$1,Database!$A$1:$C$1,),))</f>
        <v/>
      </c>
      <c r="C6571">
        <f>IF(VLOOKUP(Table7[[#This Row],[Date]],Database!$A:$C,MATCH($C$1,Database!$A$1:$C$1,),)=0,#N/A,VLOOKUP(Table7[[#This Row],[Date]],Database!$A:$C,MATCH($C$1,Database!$A$1:$C$1,),))</f>
        <v/>
      </c>
      <c r="D6571">
        <f>IFERROR(Table7[[#This Row],[United States 10y]]-Table7[[#This Row],[United States 3y]],#N/A)</f>
        <v/>
      </c>
    </row>
    <row r="6572">
      <c r="A6572" s="6">
        <f>Database!$A8657</f>
        <v/>
      </c>
      <c r="B6572">
        <f>IF(VLOOKUP(Table7[[#This Row],[Date]],Database!$A:$C,MATCH($B$1,Database!$A$1:$C$1,),)=0,#N/A,VLOOKUP(Table7[[#This Row],[Date]],Database!$A:$C,MATCH($B$1,Database!$A$1:$C$1,),))</f>
        <v/>
      </c>
      <c r="C6572">
        <f>IF(VLOOKUP(Table7[[#This Row],[Date]],Database!$A:$C,MATCH($C$1,Database!$A$1:$C$1,),)=0,#N/A,VLOOKUP(Table7[[#This Row],[Date]],Database!$A:$C,MATCH($C$1,Database!$A$1:$C$1,),))</f>
        <v/>
      </c>
      <c r="D6572">
        <f>IFERROR(Table7[[#This Row],[United States 10y]]-Table7[[#This Row],[United States 3y]],#N/A)</f>
        <v/>
      </c>
    </row>
    <row r="6573">
      <c r="A6573" s="6">
        <f>Database!$A8658</f>
        <v/>
      </c>
      <c r="B6573">
        <f>IF(VLOOKUP(Table7[[#This Row],[Date]],Database!$A:$C,MATCH($B$1,Database!$A$1:$C$1,),)=0,#N/A,VLOOKUP(Table7[[#This Row],[Date]],Database!$A:$C,MATCH($B$1,Database!$A$1:$C$1,),))</f>
        <v/>
      </c>
      <c r="C6573">
        <f>IF(VLOOKUP(Table7[[#This Row],[Date]],Database!$A:$C,MATCH($C$1,Database!$A$1:$C$1,),)=0,#N/A,VLOOKUP(Table7[[#This Row],[Date]],Database!$A:$C,MATCH($C$1,Database!$A$1:$C$1,),))</f>
        <v/>
      </c>
      <c r="D6573">
        <f>IFERROR(Table7[[#This Row],[United States 10y]]-Table7[[#This Row],[United States 3y]],#N/A)</f>
        <v/>
      </c>
    </row>
    <row r="6574">
      <c r="A6574" s="6">
        <f>Database!$A8659</f>
        <v/>
      </c>
      <c r="B6574">
        <f>IF(VLOOKUP(Table7[[#This Row],[Date]],Database!$A:$C,MATCH($B$1,Database!$A$1:$C$1,),)=0,#N/A,VLOOKUP(Table7[[#This Row],[Date]],Database!$A:$C,MATCH($B$1,Database!$A$1:$C$1,),))</f>
        <v/>
      </c>
      <c r="C6574">
        <f>IF(VLOOKUP(Table7[[#This Row],[Date]],Database!$A:$C,MATCH($C$1,Database!$A$1:$C$1,),)=0,#N/A,VLOOKUP(Table7[[#This Row],[Date]],Database!$A:$C,MATCH($C$1,Database!$A$1:$C$1,),))</f>
        <v/>
      </c>
      <c r="D6574">
        <f>IFERROR(Table7[[#This Row],[United States 10y]]-Table7[[#This Row],[United States 3y]],#N/A)</f>
        <v/>
      </c>
    </row>
    <row r="6575">
      <c r="A6575" s="6">
        <f>Database!$A8660</f>
        <v/>
      </c>
      <c r="B6575">
        <f>IF(VLOOKUP(Table7[[#This Row],[Date]],Database!$A:$C,MATCH($B$1,Database!$A$1:$C$1,),)=0,#N/A,VLOOKUP(Table7[[#This Row],[Date]],Database!$A:$C,MATCH($B$1,Database!$A$1:$C$1,),))</f>
        <v/>
      </c>
      <c r="C6575">
        <f>IF(VLOOKUP(Table7[[#This Row],[Date]],Database!$A:$C,MATCH($C$1,Database!$A$1:$C$1,),)=0,#N/A,VLOOKUP(Table7[[#This Row],[Date]],Database!$A:$C,MATCH($C$1,Database!$A$1:$C$1,),))</f>
        <v/>
      </c>
      <c r="D6575">
        <f>IFERROR(Table7[[#This Row],[United States 10y]]-Table7[[#This Row],[United States 3y]],#N/A)</f>
        <v/>
      </c>
    </row>
    <row r="6576">
      <c r="A6576" s="6">
        <f>Database!$A8661</f>
        <v/>
      </c>
      <c r="B6576">
        <f>IF(VLOOKUP(Table7[[#This Row],[Date]],Database!$A:$C,MATCH($B$1,Database!$A$1:$C$1,),)=0,#N/A,VLOOKUP(Table7[[#This Row],[Date]],Database!$A:$C,MATCH($B$1,Database!$A$1:$C$1,),))</f>
        <v/>
      </c>
      <c r="C6576">
        <f>IF(VLOOKUP(Table7[[#This Row],[Date]],Database!$A:$C,MATCH($C$1,Database!$A$1:$C$1,),)=0,#N/A,VLOOKUP(Table7[[#This Row],[Date]],Database!$A:$C,MATCH($C$1,Database!$A$1:$C$1,),))</f>
        <v/>
      </c>
      <c r="D6576">
        <f>IFERROR(Table7[[#This Row],[United States 10y]]-Table7[[#This Row],[United States 3y]],#N/A)</f>
        <v/>
      </c>
    </row>
    <row r="6577">
      <c r="A6577" s="6">
        <f>Database!$A8662</f>
        <v/>
      </c>
      <c r="B6577">
        <f>IF(VLOOKUP(Table7[[#This Row],[Date]],Database!$A:$C,MATCH($B$1,Database!$A$1:$C$1,),)=0,#N/A,VLOOKUP(Table7[[#This Row],[Date]],Database!$A:$C,MATCH($B$1,Database!$A$1:$C$1,),))</f>
        <v/>
      </c>
      <c r="C6577">
        <f>IF(VLOOKUP(Table7[[#This Row],[Date]],Database!$A:$C,MATCH($C$1,Database!$A$1:$C$1,),)=0,#N/A,VLOOKUP(Table7[[#This Row],[Date]],Database!$A:$C,MATCH($C$1,Database!$A$1:$C$1,),))</f>
        <v/>
      </c>
      <c r="D6577">
        <f>IFERROR(Table7[[#This Row],[United States 10y]]-Table7[[#This Row],[United States 3y]],#N/A)</f>
        <v/>
      </c>
    </row>
    <row r="6578">
      <c r="A6578" s="6">
        <f>Database!$A8663</f>
        <v/>
      </c>
      <c r="B6578">
        <f>IF(VLOOKUP(Table7[[#This Row],[Date]],Database!$A:$C,MATCH($B$1,Database!$A$1:$C$1,),)=0,#N/A,VLOOKUP(Table7[[#This Row],[Date]],Database!$A:$C,MATCH($B$1,Database!$A$1:$C$1,),))</f>
        <v/>
      </c>
      <c r="C6578">
        <f>IF(VLOOKUP(Table7[[#This Row],[Date]],Database!$A:$C,MATCH($C$1,Database!$A$1:$C$1,),)=0,#N/A,VLOOKUP(Table7[[#This Row],[Date]],Database!$A:$C,MATCH($C$1,Database!$A$1:$C$1,),))</f>
        <v/>
      </c>
      <c r="D6578">
        <f>IFERROR(Table7[[#This Row],[United States 10y]]-Table7[[#This Row],[United States 3y]],#N/A)</f>
        <v/>
      </c>
    </row>
    <row r="6579">
      <c r="A6579" s="6">
        <f>Database!$A8664</f>
        <v/>
      </c>
      <c r="B6579">
        <f>IF(VLOOKUP(Table7[[#This Row],[Date]],Database!$A:$C,MATCH($B$1,Database!$A$1:$C$1,),)=0,#N/A,VLOOKUP(Table7[[#This Row],[Date]],Database!$A:$C,MATCH($B$1,Database!$A$1:$C$1,),))</f>
        <v/>
      </c>
      <c r="C6579">
        <f>IF(VLOOKUP(Table7[[#This Row],[Date]],Database!$A:$C,MATCH($C$1,Database!$A$1:$C$1,),)=0,#N/A,VLOOKUP(Table7[[#This Row],[Date]],Database!$A:$C,MATCH($C$1,Database!$A$1:$C$1,),))</f>
        <v/>
      </c>
      <c r="D6579">
        <f>IFERROR(Table7[[#This Row],[United States 10y]]-Table7[[#This Row],[United States 3y]],#N/A)</f>
        <v/>
      </c>
    </row>
    <row r="6580">
      <c r="A6580" s="6">
        <f>Database!$A8665</f>
        <v/>
      </c>
      <c r="B6580">
        <f>IF(VLOOKUP(Table7[[#This Row],[Date]],Database!$A:$C,MATCH($B$1,Database!$A$1:$C$1,),)=0,#N/A,VLOOKUP(Table7[[#This Row],[Date]],Database!$A:$C,MATCH($B$1,Database!$A$1:$C$1,),))</f>
        <v/>
      </c>
      <c r="C6580">
        <f>IF(VLOOKUP(Table7[[#This Row],[Date]],Database!$A:$C,MATCH($C$1,Database!$A$1:$C$1,),)=0,#N/A,VLOOKUP(Table7[[#This Row],[Date]],Database!$A:$C,MATCH($C$1,Database!$A$1:$C$1,),))</f>
        <v/>
      </c>
      <c r="D6580">
        <f>IFERROR(Table7[[#This Row],[United States 10y]]-Table7[[#This Row],[United States 3y]],#N/A)</f>
        <v/>
      </c>
    </row>
    <row r="6581">
      <c r="A6581" s="6">
        <f>Database!$A8666</f>
        <v/>
      </c>
      <c r="B6581">
        <f>IF(VLOOKUP(Table7[[#This Row],[Date]],Database!$A:$C,MATCH($B$1,Database!$A$1:$C$1,),)=0,#N/A,VLOOKUP(Table7[[#This Row],[Date]],Database!$A:$C,MATCH($B$1,Database!$A$1:$C$1,),))</f>
        <v/>
      </c>
      <c r="C6581">
        <f>IF(VLOOKUP(Table7[[#This Row],[Date]],Database!$A:$C,MATCH($C$1,Database!$A$1:$C$1,),)=0,#N/A,VLOOKUP(Table7[[#This Row],[Date]],Database!$A:$C,MATCH($C$1,Database!$A$1:$C$1,),))</f>
        <v/>
      </c>
      <c r="D6581">
        <f>IFERROR(Table7[[#This Row],[United States 10y]]-Table7[[#This Row],[United States 3y]],#N/A)</f>
        <v/>
      </c>
    </row>
    <row r="6582">
      <c r="A6582" s="6">
        <f>Database!$A8667</f>
        <v/>
      </c>
      <c r="B6582">
        <f>IF(VLOOKUP(Table7[[#This Row],[Date]],Database!$A:$C,MATCH($B$1,Database!$A$1:$C$1,),)=0,#N/A,VLOOKUP(Table7[[#This Row],[Date]],Database!$A:$C,MATCH($B$1,Database!$A$1:$C$1,),))</f>
        <v/>
      </c>
      <c r="C6582">
        <f>IF(VLOOKUP(Table7[[#This Row],[Date]],Database!$A:$C,MATCH($C$1,Database!$A$1:$C$1,),)=0,#N/A,VLOOKUP(Table7[[#This Row],[Date]],Database!$A:$C,MATCH($C$1,Database!$A$1:$C$1,),))</f>
        <v/>
      </c>
      <c r="D6582">
        <f>IFERROR(Table7[[#This Row],[United States 10y]]-Table7[[#This Row],[United States 3y]],#N/A)</f>
        <v/>
      </c>
    </row>
    <row r="6583">
      <c r="A6583" s="6">
        <f>Database!$A8668</f>
        <v/>
      </c>
      <c r="B6583">
        <f>IF(VLOOKUP(Table7[[#This Row],[Date]],Database!$A:$C,MATCH($B$1,Database!$A$1:$C$1,),)=0,#N/A,VLOOKUP(Table7[[#This Row],[Date]],Database!$A:$C,MATCH($B$1,Database!$A$1:$C$1,),))</f>
        <v/>
      </c>
      <c r="C6583">
        <f>IF(VLOOKUP(Table7[[#This Row],[Date]],Database!$A:$C,MATCH($C$1,Database!$A$1:$C$1,),)=0,#N/A,VLOOKUP(Table7[[#This Row],[Date]],Database!$A:$C,MATCH($C$1,Database!$A$1:$C$1,),))</f>
        <v/>
      </c>
      <c r="D6583">
        <f>IFERROR(Table7[[#This Row],[United States 10y]]-Table7[[#This Row],[United States 3y]],#N/A)</f>
        <v/>
      </c>
    </row>
    <row r="6584">
      <c r="A6584" s="6">
        <f>Database!$A8669</f>
        <v/>
      </c>
      <c r="B6584">
        <f>IF(VLOOKUP(Table7[[#This Row],[Date]],Database!$A:$C,MATCH($B$1,Database!$A$1:$C$1,),)=0,#N/A,VLOOKUP(Table7[[#This Row],[Date]],Database!$A:$C,MATCH($B$1,Database!$A$1:$C$1,),))</f>
        <v/>
      </c>
      <c r="C6584">
        <f>IF(VLOOKUP(Table7[[#This Row],[Date]],Database!$A:$C,MATCH($C$1,Database!$A$1:$C$1,),)=0,#N/A,VLOOKUP(Table7[[#This Row],[Date]],Database!$A:$C,MATCH($C$1,Database!$A$1:$C$1,),))</f>
        <v/>
      </c>
      <c r="D6584">
        <f>IFERROR(Table7[[#This Row],[United States 10y]]-Table7[[#This Row],[United States 3y]],#N/A)</f>
        <v/>
      </c>
    </row>
    <row r="6585">
      <c r="A6585" s="6">
        <f>Database!$A8670</f>
        <v/>
      </c>
      <c r="B6585">
        <f>IF(VLOOKUP(Table7[[#This Row],[Date]],Database!$A:$C,MATCH($B$1,Database!$A$1:$C$1,),)=0,#N/A,VLOOKUP(Table7[[#This Row],[Date]],Database!$A:$C,MATCH($B$1,Database!$A$1:$C$1,),))</f>
        <v/>
      </c>
      <c r="C6585">
        <f>IF(VLOOKUP(Table7[[#This Row],[Date]],Database!$A:$C,MATCH($C$1,Database!$A$1:$C$1,),)=0,#N/A,VLOOKUP(Table7[[#This Row],[Date]],Database!$A:$C,MATCH($C$1,Database!$A$1:$C$1,),))</f>
        <v/>
      </c>
      <c r="D6585">
        <f>IFERROR(Table7[[#This Row],[United States 10y]]-Table7[[#This Row],[United States 3y]],#N/A)</f>
        <v/>
      </c>
    </row>
    <row r="6586">
      <c r="A6586" s="6">
        <f>Database!$A8671</f>
        <v/>
      </c>
      <c r="B6586">
        <f>IF(VLOOKUP(Table7[[#This Row],[Date]],Database!$A:$C,MATCH($B$1,Database!$A$1:$C$1,),)=0,#N/A,VLOOKUP(Table7[[#This Row],[Date]],Database!$A:$C,MATCH($B$1,Database!$A$1:$C$1,),))</f>
        <v/>
      </c>
      <c r="C6586">
        <f>IF(VLOOKUP(Table7[[#This Row],[Date]],Database!$A:$C,MATCH($C$1,Database!$A$1:$C$1,),)=0,#N/A,VLOOKUP(Table7[[#This Row],[Date]],Database!$A:$C,MATCH($C$1,Database!$A$1:$C$1,),))</f>
        <v/>
      </c>
      <c r="D6586">
        <f>IFERROR(Table7[[#This Row],[United States 10y]]-Table7[[#This Row],[United States 3y]],#N/A)</f>
        <v/>
      </c>
    </row>
    <row r="6587">
      <c r="A6587" s="6">
        <f>Database!$A8672</f>
        <v/>
      </c>
      <c r="B6587">
        <f>IF(VLOOKUP(Table7[[#This Row],[Date]],Database!$A:$C,MATCH($B$1,Database!$A$1:$C$1,),)=0,#N/A,VLOOKUP(Table7[[#This Row],[Date]],Database!$A:$C,MATCH($B$1,Database!$A$1:$C$1,),))</f>
        <v/>
      </c>
      <c r="C6587">
        <f>IF(VLOOKUP(Table7[[#This Row],[Date]],Database!$A:$C,MATCH($C$1,Database!$A$1:$C$1,),)=0,#N/A,VLOOKUP(Table7[[#This Row],[Date]],Database!$A:$C,MATCH($C$1,Database!$A$1:$C$1,),))</f>
        <v/>
      </c>
      <c r="D6587">
        <f>IFERROR(Table7[[#This Row],[United States 10y]]-Table7[[#This Row],[United States 3y]],#N/A)</f>
        <v/>
      </c>
    </row>
    <row r="6588">
      <c r="A6588" s="6">
        <f>Database!$A8673</f>
        <v/>
      </c>
      <c r="B6588">
        <f>IF(VLOOKUP(Table7[[#This Row],[Date]],Database!$A:$C,MATCH($B$1,Database!$A$1:$C$1,),)=0,#N/A,VLOOKUP(Table7[[#This Row],[Date]],Database!$A:$C,MATCH($B$1,Database!$A$1:$C$1,),))</f>
        <v/>
      </c>
      <c r="C6588">
        <f>IF(VLOOKUP(Table7[[#This Row],[Date]],Database!$A:$C,MATCH($C$1,Database!$A$1:$C$1,),)=0,#N/A,VLOOKUP(Table7[[#This Row],[Date]],Database!$A:$C,MATCH($C$1,Database!$A$1:$C$1,),))</f>
        <v/>
      </c>
      <c r="D6588">
        <f>IFERROR(Table7[[#This Row],[United States 10y]]-Table7[[#This Row],[United States 3y]],#N/A)</f>
        <v/>
      </c>
    </row>
    <row r="6589">
      <c r="A6589" s="6">
        <f>Database!$A8674</f>
        <v/>
      </c>
      <c r="B6589">
        <f>IF(VLOOKUP(Table7[[#This Row],[Date]],Database!$A:$C,MATCH($B$1,Database!$A$1:$C$1,),)=0,#N/A,VLOOKUP(Table7[[#This Row],[Date]],Database!$A:$C,MATCH($B$1,Database!$A$1:$C$1,),))</f>
        <v/>
      </c>
      <c r="C6589">
        <f>IF(VLOOKUP(Table7[[#This Row],[Date]],Database!$A:$C,MATCH($C$1,Database!$A$1:$C$1,),)=0,#N/A,VLOOKUP(Table7[[#This Row],[Date]],Database!$A:$C,MATCH($C$1,Database!$A$1:$C$1,),))</f>
        <v/>
      </c>
      <c r="D6589">
        <f>IFERROR(Table7[[#This Row],[United States 10y]]-Table7[[#This Row],[United States 3y]],#N/A)</f>
        <v/>
      </c>
    </row>
    <row r="6590">
      <c r="A6590" s="6">
        <f>Database!$A8675</f>
        <v/>
      </c>
      <c r="B6590">
        <f>IF(VLOOKUP(Table7[[#This Row],[Date]],Database!$A:$C,MATCH($B$1,Database!$A$1:$C$1,),)=0,#N/A,VLOOKUP(Table7[[#This Row],[Date]],Database!$A:$C,MATCH($B$1,Database!$A$1:$C$1,),))</f>
        <v/>
      </c>
      <c r="C6590">
        <f>IF(VLOOKUP(Table7[[#This Row],[Date]],Database!$A:$C,MATCH($C$1,Database!$A$1:$C$1,),)=0,#N/A,VLOOKUP(Table7[[#This Row],[Date]],Database!$A:$C,MATCH($C$1,Database!$A$1:$C$1,),))</f>
        <v/>
      </c>
      <c r="D6590">
        <f>IFERROR(Table7[[#This Row],[United States 10y]]-Table7[[#This Row],[United States 3y]],#N/A)</f>
        <v/>
      </c>
    </row>
    <row r="6591">
      <c r="A6591" s="6">
        <f>Database!$A8676</f>
        <v/>
      </c>
      <c r="B6591">
        <f>IF(VLOOKUP(Table7[[#This Row],[Date]],Database!$A:$C,MATCH($B$1,Database!$A$1:$C$1,),)=0,#N/A,VLOOKUP(Table7[[#This Row],[Date]],Database!$A:$C,MATCH($B$1,Database!$A$1:$C$1,),))</f>
        <v/>
      </c>
      <c r="C6591">
        <f>IF(VLOOKUP(Table7[[#This Row],[Date]],Database!$A:$C,MATCH($C$1,Database!$A$1:$C$1,),)=0,#N/A,VLOOKUP(Table7[[#This Row],[Date]],Database!$A:$C,MATCH($C$1,Database!$A$1:$C$1,),))</f>
        <v/>
      </c>
      <c r="D6591">
        <f>IFERROR(Table7[[#This Row],[United States 10y]]-Table7[[#This Row],[United States 3y]],#N/A)</f>
        <v/>
      </c>
    </row>
    <row r="6592">
      <c r="A6592" s="6">
        <f>Database!$A8677</f>
        <v/>
      </c>
      <c r="B6592">
        <f>IF(VLOOKUP(Table7[[#This Row],[Date]],Database!$A:$C,MATCH($B$1,Database!$A$1:$C$1,),)=0,#N/A,VLOOKUP(Table7[[#This Row],[Date]],Database!$A:$C,MATCH($B$1,Database!$A$1:$C$1,),))</f>
        <v/>
      </c>
      <c r="C6592">
        <f>IF(VLOOKUP(Table7[[#This Row],[Date]],Database!$A:$C,MATCH($C$1,Database!$A$1:$C$1,),)=0,#N/A,VLOOKUP(Table7[[#This Row],[Date]],Database!$A:$C,MATCH($C$1,Database!$A$1:$C$1,),))</f>
        <v/>
      </c>
      <c r="D6592">
        <f>IFERROR(Table7[[#This Row],[United States 10y]]-Table7[[#This Row],[United States 3y]],#N/A)</f>
        <v/>
      </c>
    </row>
    <row r="6593">
      <c r="A6593" s="6">
        <f>Database!$A8678</f>
        <v/>
      </c>
      <c r="B6593">
        <f>IF(VLOOKUP(Table7[[#This Row],[Date]],Database!$A:$C,MATCH($B$1,Database!$A$1:$C$1,),)=0,#N/A,VLOOKUP(Table7[[#This Row],[Date]],Database!$A:$C,MATCH($B$1,Database!$A$1:$C$1,),))</f>
        <v/>
      </c>
      <c r="C6593">
        <f>IF(VLOOKUP(Table7[[#This Row],[Date]],Database!$A:$C,MATCH($C$1,Database!$A$1:$C$1,),)=0,#N/A,VLOOKUP(Table7[[#This Row],[Date]],Database!$A:$C,MATCH($C$1,Database!$A$1:$C$1,),))</f>
        <v/>
      </c>
      <c r="D6593">
        <f>IFERROR(Table7[[#This Row],[United States 10y]]-Table7[[#This Row],[United States 3y]],#N/A)</f>
        <v/>
      </c>
    </row>
    <row r="6594">
      <c r="A6594" s="6">
        <f>Database!$A8679</f>
        <v/>
      </c>
      <c r="B6594">
        <f>IF(VLOOKUP(Table7[[#This Row],[Date]],Database!$A:$C,MATCH($B$1,Database!$A$1:$C$1,),)=0,#N/A,VLOOKUP(Table7[[#This Row],[Date]],Database!$A:$C,MATCH($B$1,Database!$A$1:$C$1,),))</f>
        <v/>
      </c>
      <c r="C6594">
        <f>IF(VLOOKUP(Table7[[#This Row],[Date]],Database!$A:$C,MATCH($C$1,Database!$A$1:$C$1,),)=0,#N/A,VLOOKUP(Table7[[#This Row],[Date]],Database!$A:$C,MATCH($C$1,Database!$A$1:$C$1,),))</f>
        <v/>
      </c>
      <c r="D6594">
        <f>IFERROR(Table7[[#This Row],[United States 10y]]-Table7[[#This Row],[United States 3y]],#N/A)</f>
        <v/>
      </c>
    </row>
    <row r="6595">
      <c r="A6595" s="6">
        <f>Database!$A8680</f>
        <v/>
      </c>
      <c r="B6595">
        <f>IF(VLOOKUP(Table7[[#This Row],[Date]],Database!$A:$C,MATCH($B$1,Database!$A$1:$C$1,),)=0,#N/A,VLOOKUP(Table7[[#This Row],[Date]],Database!$A:$C,MATCH($B$1,Database!$A$1:$C$1,),))</f>
        <v/>
      </c>
      <c r="C6595">
        <f>IF(VLOOKUP(Table7[[#This Row],[Date]],Database!$A:$C,MATCH($C$1,Database!$A$1:$C$1,),)=0,#N/A,VLOOKUP(Table7[[#This Row],[Date]],Database!$A:$C,MATCH($C$1,Database!$A$1:$C$1,),))</f>
        <v/>
      </c>
      <c r="D6595">
        <f>IFERROR(Table7[[#This Row],[United States 10y]]-Table7[[#This Row],[United States 3y]],#N/A)</f>
        <v/>
      </c>
    </row>
    <row r="6596">
      <c r="A6596" s="6">
        <f>Database!$A8681</f>
        <v/>
      </c>
      <c r="B6596">
        <f>IF(VLOOKUP(Table7[[#This Row],[Date]],Database!$A:$C,MATCH($B$1,Database!$A$1:$C$1,),)=0,#N/A,VLOOKUP(Table7[[#This Row],[Date]],Database!$A:$C,MATCH($B$1,Database!$A$1:$C$1,),))</f>
        <v/>
      </c>
      <c r="C6596">
        <f>IF(VLOOKUP(Table7[[#This Row],[Date]],Database!$A:$C,MATCH($C$1,Database!$A$1:$C$1,),)=0,#N/A,VLOOKUP(Table7[[#This Row],[Date]],Database!$A:$C,MATCH($C$1,Database!$A$1:$C$1,),))</f>
        <v/>
      </c>
      <c r="D6596">
        <f>IFERROR(Table7[[#This Row],[United States 10y]]-Table7[[#This Row],[United States 3y]],#N/A)</f>
        <v/>
      </c>
    </row>
    <row r="6597">
      <c r="A6597" s="6">
        <f>Database!$A8682</f>
        <v/>
      </c>
      <c r="B6597">
        <f>IF(VLOOKUP(Table7[[#This Row],[Date]],Database!$A:$C,MATCH($B$1,Database!$A$1:$C$1,),)=0,#N/A,VLOOKUP(Table7[[#This Row],[Date]],Database!$A:$C,MATCH($B$1,Database!$A$1:$C$1,),))</f>
        <v/>
      </c>
      <c r="C6597">
        <f>IF(VLOOKUP(Table7[[#This Row],[Date]],Database!$A:$C,MATCH($C$1,Database!$A$1:$C$1,),)=0,#N/A,VLOOKUP(Table7[[#This Row],[Date]],Database!$A:$C,MATCH($C$1,Database!$A$1:$C$1,),))</f>
        <v/>
      </c>
      <c r="D6597">
        <f>IFERROR(Table7[[#This Row],[United States 10y]]-Table7[[#This Row],[United States 3y]],#N/A)</f>
        <v/>
      </c>
    </row>
    <row r="6598">
      <c r="A6598" s="6">
        <f>Database!$A8683</f>
        <v/>
      </c>
      <c r="B6598">
        <f>IF(VLOOKUP(Table7[[#This Row],[Date]],Database!$A:$C,MATCH($B$1,Database!$A$1:$C$1,),)=0,#N/A,VLOOKUP(Table7[[#This Row],[Date]],Database!$A:$C,MATCH($B$1,Database!$A$1:$C$1,),))</f>
        <v/>
      </c>
      <c r="C6598">
        <f>IF(VLOOKUP(Table7[[#This Row],[Date]],Database!$A:$C,MATCH($C$1,Database!$A$1:$C$1,),)=0,#N/A,VLOOKUP(Table7[[#This Row],[Date]],Database!$A:$C,MATCH($C$1,Database!$A$1:$C$1,),))</f>
        <v/>
      </c>
      <c r="D6598">
        <f>IFERROR(Table7[[#This Row],[United States 10y]]-Table7[[#This Row],[United States 3y]],#N/A)</f>
        <v/>
      </c>
    </row>
    <row r="6599">
      <c r="A6599" s="6">
        <f>Database!$A8684</f>
        <v/>
      </c>
      <c r="B6599">
        <f>IF(VLOOKUP(Table7[[#This Row],[Date]],Database!$A:$C,MATCH($B$1,Database!$A$1:$C$1,),)=0,#N/A,VLOOKUP(Table7[[#This Row],[Date]],Database!$A:$C,MATCH($B$1,Database!$A$1:$C$1,),))</f>
        <v/>
      </c>
      <c r="C6599">
        <f>IF(VLOOKUP(Table7[[#This Row],[Date]],Database!$A:$C,MATCH($C$1,Database!$A$1:$C$1,),)=0,#N/A,VLOOKUP(Table7[[#This Row],[Date]],Database!$A:$C,MATCH($C$1,Database!$A$1:$C$1,),))</f>
        <v/>
      </c>
      <c r="D6599">
        <f>IFERROR(Table7[[#This Row],[United States 10y]]-Table7[[#This Row],[United States 3y]],#N/A)</f>
        <v/>
      </c>
    </row>
    <row r="6600">
      <c r="A6600" s="6">
        <f>Database!$A8685</f>
        <v/>
      </c>
      <c r="B6600">
        <f>IF(VLOOKUP(Table7[[#This Row],[Date]],Database!$A:$C,MATCH($B$1,Database!$A$1:$C$1,),)=0,#N/A,VLOOKUP(Table7[[#This Row],[Date]],Database!$A:$C,MATCH($B$1,Database!$A$1:$C$1,),))</f>
        <v/>
      </c>
      <c r="C6600">
        <f>IF(VLOOKUP(Table7[[#This Row],[Date]],Database!$A:$C,MATCH($C$1,Database!$A$1:$C$1,),)=0,#N/A,VLOOKUP(Table7[[#This Row],[Date]],Database!$A:$C,MATCH($C$1,Database!$A$1:$C$1,),))</f>
        <v/>
      </c>
      <c r="D6600">
        <f>IFERROR(Table7[[#This Row],[United States 10y]]-Table7[[#This Row],[United States 3y]],#N/A)</f>
        <v/>
      </c>
    </row>
    <row r="6601">
      <c r="A6601" s="6">
        <f>Database!$A8686</f>
        <v/>
      </c>
      <c r="B6601">
        <f>IF(VLOOKUP(Table7[[#This Row],[Date]],Database!$A:$C,MATCH($B$1,Database!$A$1:$C$1,),)=0,#N/A,VLOOKUP(Table7[[#This Row],[Date]],Database!$A:$C,MATCH($B$1,Database!$A$1:$C$1,),))</f>
        <v/>
      </c>
      <c r="C6601">
        <f>IF(VLOOKUP(Table7[[#This Row],[Date]],Database!$A:$C,MATCH($C$1,Database!$A$1:$C$1,),)=0,#N/A,VLOOKUP(Table7[[#This Row],[Date]],Database!$A:$C,MATCH($C$1,Database!$A$1:$C$1,),))</f>
        <v/>
      </c>
      <c r="D6601">
        <f>IFERROR(Table7[[#This Row],[United States 10y]]-Table7[[#This Row],[United States 3y]],#N/A)</f>
        <v/>
      </c>
    </row>
    <row r="6602">
      <c r="A6602" s="6">
        <f>Database!$A8687</f>
        <v/>
      </c>
      <c r="B6602">
        <f>IF(VLOOKUP(Table7[[#This Row],[Date]],Database!$A:$C,MATCH($B$1,Database!$A$1:$C$1,),)=0,#N/A,VLOOKUP(Table7[[#This Row],[Date]],Database!$A:$C,MATCH($B$1,Database!$A$1:$C$1,),))</f>
        <v/>
      </c>
      <c r="C6602">
        <f>IF(VLOOKUP(Table7[[#This Row],[Date]],Database!$A:$C,MATCH($C$1,Database!$A$1:$C$1,),)=0,#N/A,VLOOKUP(Table7[[#This Row],[Date]],Database!$A:$C,MATCH($C$1,Database!$A$1:$C$1,),))</f>
        <v/>
      </c>
      <c r="D6602">
        <f>IFERROR(Table7[[#This Row],[United States 10y]]-Table7[[#This Row],[United States 3y]],#N/A)</f>
        <v/>
      </c>
    </row>
    <row r="6603">
      <c r="A6603" s="6">
        <f>Database!$A8688</f>
        <v/>
      </c>
      <c r="B6603">
        <f>IF(VLOOKUP(Table7[[#This Row],[Date]],Database!$A:$C,MATCH($B$1,Database!$A$1:$C$1,),)=0,#N/A,VLOOKUP(Table7[[#This Row],[Date]],Database!$A:$C,MATCH($B$1,Database!$A$1:$C$1,),))</f>
        <v/>
      </c>
      <c r="C6603">
        <f>IF(VLOOKUP(Table7[[#This Row],[Date]],Database!$A:$C,MATCH($C$1,Database!$A$1:$C$1,),)=0,#N/A,VLOOKUP(Table7[[#This Row],[Date]],Database!$A:$C,MATCH($C$1,Database!$A$1:$C$1,),))</f>
        <v/>
      </c>
      <c r="D6603">
        <f>IFERROR(Table7[[#This Row],[United States 10y]]-Table7[[#This Row],[United States 3y]],#N/A)</f>
        <v/>
      </c>
    </row>
    <row r="6604">
      <c r="A6604" s="6">
        <f>Database!$A8689</f>
        <v/>
      </c>
      <c r="B6604">
        <f>IF(VLOOKUP(Table7[[#This Row],[Date]],Database!$A:$C,MATCH($B$1,Database!$A$1:$C$1,),)=0,#N/A,VLOOKUP(Table7[[#This Row],[Date]],Database!$A:$C,MATCH($B$1,Database!$A$1:$C$1,),))</f>
        <v/>
      </c>
      <c r="C6604">
        <f>IF(VLOOKUP(Table7[[#This Row],[Date]],Database!$A:$C,MATCH($C$1,Database!$A$1:$C$1,),)=0,#N/A,VLOOKUP(Table7[[#This Row],[Date]],Database!$A:$C,MATCH($C$1,Database!$A$1:$C$1,),))</f>
        <v/>
      </c>
      <c r="D6604">
        <f>IFERROR(Table7[[#This Row],[United States 10y]]-Table7[[#This Row],[United States 3y]],#N/A)</f>
        <v/>
      </c>
    </row>
    <row r="6605">
      <c r="A6605" s="6">
        <f>Database!$A8690</f>
        <v/>
      </c>
      <c r="B6605">
        <f>IF(VLOOKUP(Table7[[#This Row],[Date]],Database!$A:$C,MATCH($B$1,Database!$A$1:$C$1,),)=0,#N/A,VLOOKUP(Table7[[#This Row],[Date]],Database!$A:$C,MATCH($B$1,Database!$A$1:$C$1,),))</f>
        <v/>
      </c>
      <c r="C6605">
        <f>IF(VLOOKUP(Table7[[#This Row],[Date]],Database!$A:$C,MATCH($C$1,Database!$A$1:$C$1,),)=0,#N/A,VLOOKUP(Table7[[#This Row],[Date]],Database!$A:$C,MATCH($C$1,Database!$A$1:$C$1,),))</f>
        <v/>
      </c>
      <c r="D6605">
        <f>IFERROR(Table7[[#This Row],[United States 10y]]-Table7[[#This Row],[United States 3y]],#N/A)</f>
        <v/>
      </c>
    </row>
    <row r="6606">
      <c r="A6606" s="6">
        <f>Database!$A8691</f>
        <v/>
      </c>
      <c r="B6606">
        <f>IF(VLOOKUP(Table7[[#This Row],[Date]],Database!$A:$C,MATCH($B$1,Database!$A$1:$C$1,),)=0,#N/A,VLOOKUP(Table7[[#This Row],[Date]],Database!$A:$C,MATCH($B$1,Database!$A$1:$C$1,),))</f>
        <v/>
      </c>
      <c r="C6606">
        <f>IF(VLOOKUP(Table7[[#This Row],[Date]],Database!$A:$C,MATCH($C$1,Database!$A$1:$C$1,),)=0,#N/A,VLOOKUP(Table7[[#This Row],[Date]],Database!$A:$C,MATCH($C$1,Database!$A$1:$C$1,),))</f>
        <v/>
      </c>
      <c r="D6606">
        <f>IFERROR(Table7[[#This Row],[United States 10y]]-Table7[[#This Row],[United States 3y]],#N/A)</f>
        <v/>
      </c>
    </row>
    <row r="6607">
      <c r="A6607" s="6">
        <f>Database!$A8692</f>
        <v/>
      </c>
      <c r="B6607">
        <f>IF(VLOOKUP(Table7[[#This Row],[Date]],Database!$A:$C,MATCH($B$1,Database!$A$1:$C$1,),)=0,#N/A,VLOOKUP(Table7[[#This Row],[Date]],Database!$A:$C,MATCH($B$1,Database!$A$1:$C$1,),))</f>
        <v/>
      </c>
      <c r="C6607">
        <f>IF(VLOOKUP(Table7[[#This Row],[Date]],Database!$A:$C,MATCH($C$1,Database!$A$1:$C$1,),)=0,#N/A,VLOOKUP(Table7[[#This Row],[Date]],Database!$A:$C,MATCH($C$1,Database!$A$1:$C$1,),))</f>
        <v/>
      </c>
      <c r="D6607">
        <f>IFERROR(Table7[[#This Row],[United States 10y]]-Table7[[#This Row],[United States 3y]],#N/A)</f>
        <v/>
      </c>
    </row>
    <row r="6608">
      <c r="A6608" s="6">
        <f>Database!$A8693</f>
        <v/>
      </c>
      <c r="B6608">
        <f>IF(VLOOKUP(Table7[[#This Row],[Date]],Database!$A:$C,MATCH($B$1,Database!$A$1:$C$1,),)=0,#N/A,VLOOKUP(Table7[[#This Row],[Date]],Database!$A:$C,MATCH($B$1,Database!$A$1:$C$1,),))</f>
        <v/>
      </c>
      <c r="C6608">
        <f>IF(VLOOKUP(Table7[[#This Row],[Date]],Database!$A:$C,MATCH($C$1,Database!$A$1:$C$1,),)=0,#N/A,VLOOKUP(Table7[[#This Row],[Date]],Database!$A:$C,MATCH($C$1,Database!$A$1:$C$1,),))</f>
        <v/>
      </c>
      <c r="D6608">
        <f>IFERROR(Table7[[#This Row],[United States 10y]]-Table7[[#This Row],[United States 3y]],#N/A)</f>
        <v/>
      </c>
    </row>
    <row r="6609">
      <c r="A6609" s="6">
        <f>Database!$A8694</f>
        <v/>
      </c>
      <c r="B6609">
        <f>IF(VLOOKUP(Table7[[#This Row],[Date]],Database!$A:$C,MATCH($B$1,Database!$A$1:$C$1,),)=0,#N/A,VLOOKUP(Table7[[#This Row],[Date]],Database!$A:$C,MATCH($B$1,Database!$A$1:$C$1,),))</f>
        <v/>
      </c>
      <c r="C6609">
        <f>IF(VLOOKUP(Table7[[#This Row],[Date]],Database!$A:$C,MATCH($C$1,Database!$A$1:$C$1,),)=0,#N/A,VLOOKUP(Table7[[#This Row],[Date]],Database!$A:$C,MATCH($C$1,Database!$A$1:$C$1,),))</f>
        <v/>
      </c>
      <c r="D6609">
        <f>IFERROR(Table7[[#This Row],[United States 10y]]-Table7[[#This Row],[United States 3y]],#N/A)</f>
        <v/>
      </c>
    </row>
    <row r="6610">
      <c r="A6610" s="6">
        <f>Database!$A8695</f>
        <v/>
      </c>
      <c r="B6610">
        <f>IF(VLOOKUP(Table7[[#This Row],[Date]],Database!$A:$C,MATCH($B$1,Database!$A$1:$C$1,),)=0,#N/A,VLOOKUP(Table7[[#This Row],[Date]],Database!$A:$C,MATCH($B$1,Database!$A$1:$C$1,),))</f>
        <v/>
      </c>
      <c r="C6610">
        <f>IF(VLOOKUP(Table7[[#This Row],[Date]],Database!$A:$C,MATCH($C$1,Database!$A$1:$C$1,),)=0,#N/A,VLOOKUP(Table7[[#This Row],[Date]],Database!$A:$C,MATCH($C$1,Database!$A$1:$C$1,),))</f>
        <v/>
      </c>
      <c r="D6610">
        <f>IFERROR(Table7[[#This Row],[United States 10y]]-Table7[[#This Row],[United States 3y]],#N/A)</f>
        <v/>
      </c>
    </row>
    <row r="6611">
      <c r="A6611" s="6">
        <f>Database!$A8696</f>
        <v/>
      </c>
      <c r="B6611">
        <f>IF(VLOOKUP(Table7[[#This Row],[Date]],Database!$A:$C,MATCH($B$1,Database!$A$1:$C$1,),)=0,#N/A,VLOOKUP(Table7[[#This Row],[Date]],Database!$A:$C,MATCH($B$1,Database!$A$1:$C$1,),))</f>
        <v/>
      </c>
      <c r="C6611">
        <f>IF(VLOOKUP(Table7[[#This Row],[Date]],Database!$A:$C,MATCH($C$1,Database!$A$1:$C$1,),)=0,#N/A,VLOOKUP(Table7[[#This Row],[Date]],Database!$A:$C,MATCH($C$1,Database!$A$1:$C$1,),))</f>
        <v/>
      </c>
      <c r="D6611">
        <f>IFERROR(Table7[[#This Row],[United States 10y]]-Table7[[#This Row],[United States 3y]],#N/A)</f>
        <v/>
      </c>
    </row>
    <row r="6612">
      <c r="A6612" s="6">
        <f>Database!$A8697</f>
        <v/>
      </c>
      <c r="B6612">
        <f>IF(VLOOKUP(Table7[[#This Row],[Date]],Database!$A:$C,MATCH($B$1,Database!$A$1:$C$1,),)=0,#N/A,VLOOKUP(Table7[[#This Row],[Date]],Database!$A:$C,MATCH($B$1,Database!$A$1:$C$1,),))</f>
        <v/>
      </c>
      <c r="C6612">
        <f>IF(VLOOKUP(Table7[[#This Row],[Date]],Database!$A:$C,MATCH($C$1,Database!$A$1:$C$1,),)=0,#N/A,VLOOKUP(Table7[[#This Row],[Date]],Database!$A:$C,MATCH($C$1,Database!$A$1:$C$1,),))</f>
        <v/>
      </c>
      <c r="D6612">
        <f>IFERROR(Table7[[#This Row],[United States 10y]]-Table7[[#This Row],[United States 3y]],#N/A)</f>
        <v/>
      </c>
    </row>
    <row r="6613">
      <c r="A6613" s="6">
        <f>Database!$A8698</f>
        <v/>
      </c>
      <c r="B6613">
        <f>IF(VLOOKUP(Table7[[#This Row],[Date]],Database!$A:$C,MATCH($B$1,Database!$A$1:$C$1,),)=0,#N/A,VLOOKUP(Table7[[#This Row],[Date]],Database!$A:$C,MATCH($B$1,Database!$A$1:$C$1,),))</f>
        <v/>
      </c>
      <c r="C6613">
        <f>IF(VLOOKUP(Table7[[#This Row],[Date]],Database!$A:$C,MATCH($C$1,Database!$A$1:$C$1,),)=0,#N/A,VLOOKUP(Table7[[#This Row],[Date]],Database!$A:$C,MATCH($C$1,Database!$A$1:$C$1,),))</f>
        <v/>
      </c>
      <c r="D6613">
        <f>IFERROR(Table7[[#This Row],[United States 10y]]-Table7[[#This Row],[United States 3y]],#N/A)</f>
        <v/>
      </c>
    </row>
    <row r="6614">
      <c r="A6614" s="6">
        <f>Database!$A8699</f>
        <v/>
      </c>
      <c r="B6614">
        <f>IF(VLOOKUP(Table7[[#This Row],[Date]],Database!$A:$C,MATCH($B$1,Database!$A$1:$C$1,),)=0,#N/A,VLOOKUP(Table7[[#This Row],[Date]],Database!$A:$C,MATCH($B$1,Database!$A$1:$C$1,),))</f>
        <v/>
      </c>
      <c r="C6614">
        <f>IF(VLOOKUP(Table7[[#This Row],[Date]],Database!$A:$C,MATCH($C$1,Database!$A$1:$C$1,),)=0,#N/A,VLOOKUP(Table7[[#This Row],[Date]],Database!$A:$C,MATCH($C$1,Database!$A$1:$C$1,),))</f>
        <v/>
      </c>
      <c r="D6614">
        <f>IFERROR(Table7[[#This Row],[United States 10y]]-Table7[[#This Row],[United States 3y]],#N/A)</f>
        <v/>
      </c>
    </row>
    <row r="6615">
      <c r="A6615" s="6">
        <f>Database!$A8700</f>
        <v/>
      </c>
      <c r="B6615">
        <f>IF(VLOOKUP(Table7[[#This Row],[Date]],Database!$A:$C,MATCH($B$1,Database!$A$1:$C$1,),)=0,#N/A,VLOOKUP(Table7[[#This Row],[Date]],Database!$A:$C,MATCH($B$1,Database!$A$1:$C$1,),))</f>
        <v/>
      </c>
      <c r="C6615">
        <f>IF(VLOOKUP(Table7[[#This Row],[Date]],Database!$A:$C,MATCH($C$1,Database!$A$1:$C$1,),)=0,#N/A,VLOOKUP(Table7[[#This Row],[Date]],Database!$A:$C,MATCH($C$1,Database!$A$1:$C$1,),))</f>
        <v/>
      </c>
      <c r="D6615">
        <f>IFERROR(Table7[[#This Row],[United States 10y]]-Table7[[#This Row],[United States 3y]],#N/A)</f>
        <v/>
      </c>
    </row>
    <row r="6616">
      <c r="A6616" s="6">
        <f>Database!$A8701</f>
        <v/>
      </c>
      <c r="B6616">
        <f>IF(VLOOKUP(Table7[[#This Row],[Date]],Database!$A:$C,MATCH($B$1,Database!$A$1:$C$1,),)=0,#N/A,VLOOKUP(Table7[[#This Row],[Date]],Database!$A:$C,MATCH($B$1,Database!$A$1:$C$1,),))</f>
        <v/>
      </c>
      <c r="C6616">
        <f>IF(VLOOKUP(Table7[[#This Row],[Date]],Database!$A:$C,MATCH($C$1,Database!$A$1:$C$1,),)=0,#N/A,VLOOKUP(Table7[[#This Row],[Date]],Database!$A:$C,MATCH($C$1,Database!$A$1:$C$1,),))</f>
        <v/>
      </c>
      <c r="D6616">
        <f>IFERROR(Table7[[#This Row],[United States 10y]]-Table7[[#This Row],[United States 3y]],#N/A)</f>
        <v/>
      </c>
    </row>
    <row r="6617">
      <c r="A6617" s="6">
        <f>Database!$A8702</f>
        <v/>
      </c>
      <c r="B6617">
        <f>IF(VLOOKUP(Table7[[#This Row],[Date]],Database!$A:$C,MATCH($B$1,Database!$A$1:$C$1,),)=0,#N/A,VLOOKUP(Table7[[#This Row],[Date]],Database!$A:$C,MATCH($B$1,Database!$A$1:$C$1,),))</f>
        <v/>
      </c>
      <c r="C6617">
        <f>IF(VLOOKUP(Table7[[#This Row],[Date]],Database!$A:$C,MATCH($C$1,Database!$A$1:$C$1,),)=0,#N/A,VLOOKUP(Table7[[#This Row],[Date]],Database!$A:$C,MATCH($C$1,Database!$A$1:$C$1,),))</f>
        <v/>
      </c>
      <c r="D6617">
        <f>IFERROR(Table7[[#This Row],[United States 10y]]-Table7[[#This Row],[United States 3y]],#N/A)</f>
        <v/>
      </c>
    </row>
    <row r="6618">
      <c r="A6618" s="6">
        <f>Database!$A8703</f>
        <v/>
      </c>
      <c r="B6618">
        <f>IF(VLOOKUP(Table7[[#This Row],[Date]],Database!$A:$C,MATCH($B$1,Database!$A$1:$C$1,),)=0,#N/A,VLOOKUP(Table7[[#This Row],[Date]],Database!$A:$C,MATCH($B$1,Database!$A$1:$C$1,),))</f>
        <v/>
      </c>
      <c r="C6618">
        <f>IF(VLOOKUP(Table7[[#This Row],[Date]],Database!$A:$C,MATCH($C$1,Database!$A$1:$C$1,),)=0,#N/A,VLOOKUP(Table7[[#This Row],[Date]],Database!$A:$C,MATCH($C$1,Database!$A$1:$C$1,),))</f>
        <v/>
      </c>
      <c r="D6618">
        <f>IFERROR(Table7[[#This Row],[United States 10y]]-Table7[[#This Row],[United States 3y]],#N/A)</f>
        <v/>
      </c>
    </row>
    <row r="6619">
      <c r="A6619" s="6">
        <f>Database!$A8704</f>
        <v/>
      </c>
      <c r="B6619">
        <f>IF(VLOOKUP(Table7[[#This Row],[Date]],Database!$A:$C,MATCH($B$1,Database!$A$1:$C$1,),)=0,#N/A,VLOOKUP(Table7[[#This Row],[Date]],Database!$A:$C,MATCH($B$1,Database!$A$1:$C$1,),))</f>
        <v/>
      </c>
      <c r="C6619">
        <f>IF(VLOOKUP(Table7[[#This Row],[Date]],Database!$A:$C,MATCH($C$1,Database!$A$1:$C$1,),)=0,#N/A,VLOOKUP(Table7[[#This Row],[Date]],Database!$A:$C,MATCH($C$1,Database!$A$1:$C$1,),))</f>
        <v/>
      </c>
      <c r="D6619">
        <f>IFERROR(Table7[[#This Row],[United States 10y]]-Table7[[#This Row],[United States 3y]],#N/A)</f>
        <v/>
      </c>
    </row>
    <row r="6620">
      <c r="A6620" s="6">
        <f>Database!$A8705</f>
        <v/>
      </c>
      <c r="B6620">
        <f>IF(VLOOKUP(Table7[[#This Row],[Date]],Database!$A:$C,MATCH($B$1,Database!$A$1:$C$1,),)=0,#N/A,VLOOKUP(Table7[[#This Row],[Date]],Database!$A:$C,MATCH($B$1,Database!$A$1:$C$1,),))</f>
        <v/>
      </c>
      <c r="C6620">
        <f>IF(VLOOKUP(Table7[[#This Row],[Date]],Database!$A:$C,MATCH($C$1,Database!$A$1:$C$1,),)=0,#N/A,VLOOKUP(Table7[[#This Row],[Date]],Database!$A:$C,MATCH($C$1,Database!$A$1:$C$1,),))</f>
        <v/>
      </c>
      <c r="D6620">
        <f>IFERROR(Table7[[#This Row],[United States 10y]]-Table7[[#This Row],[United States 3y]],#N/A)</f>
        <v/>
      </c>
    </row>
    <row r="6621">
      <c r="A6621" s="6">
        <f>Database!$A8706</f>
        <v/>
      </c>
      <c r="B6621">
        <f>IF(VLOOKUP(Table7[[#This Row],[Date]],Database!$A:$C,MATCH($B$1,Database!$A$1:$C$1,),)=0,#N/A,VLOOKUP(Table7[[#This Row],[Date]],Database!$A:$C,MATCH($B$1,Database!$A$1:$C$1,),))</f>
        <v/>
      </c>
      <c r="C6621">
        <f>IF(VLOOKUP(Table7[[#This Row],[Date]],Database!$A:$C,MATCH($C$1,Database!$A$1:$C$1,),)=0,#N/A,VLOOKUP(Table7[[#This Row],[Date]],Database!$A:$C,MATCH($C$1,Database!$A$1:$C$1,),))</f>
        <v/>
      </c>
      <c r="D6621">
        <f>IFERROR(Table7[[#This Row],[United States 10y]]-Table7[[#This Row],[United States 3y]],#N/A)</f>
        <v/>
      </c>
    </row>
    <row r="6622">
      <c r="A6622" s="6">
        <f>Database!$A8707</f>
        <v/>
      </c>
      <c r="B6622">
        <f>IF(VLOOKUP(Table7[[#This Row],[Date]],Database!$A:$C,MATCH($B$1,Database!$A$1:$C$1,),)=0,#N/A,VLOOKUP(Table7[[#This Row],[Date]],Database!$A:$C,MATCH($B$1,Database!$A$1:$C$1,),))</f>
        <v/>
      </c>
      <c r="C6622">
        <f>IF(VLOOKUP(Table7[[#This Row],[Date]],Database!$A:$C,MATCH($C$1,Database!$A$1:$C$1,),)=0,#N/A,VLOOKUP(Table7[[#This Row],[Date]],Database!$A:$C,MATCH($C$1,Database!$A$1:$C$1,),))</f>
        <v/>
      </c>
      <c r="D6622">
        <f>IFERROR(Table7[[#This Row],[United States 10y]]-Table7[[#This Row],[United States 3y]],#N/A)</f>
        <v/>
      </c>
    </row>
    <row r="6623">
      <c r="A6623" s="6">
        <f>Database!$A8708</f>
        <v/>
      </c>
      <c r="B6623">
        <f>IF(VLOOKUP(Table7[[#This Row],[Date]],Database!$A:$C,MATCH($B$1,Database!$A$1:$C$1,),)=0,#N/A,VLOOKUP(Table7[[#This Row],[Date]],Database!$A:$C,MATCH($B$1,Database!$A$1:$C$1,),))</f>
        <v/>
      </c>
      <c r="C6623">
        <f>IF(VLOOKUP(Table7[[#This Row],[Date]],Database!$A:$C,MATCH($C$1,Database!$A$1:$C$1,),)=0,#N/A,VLOOKUP(Table7[[#This Row],[Date]],Database!$A:$C,MATCH($C$1,Database!$A$1:$C$1,),))</f>
        <v/>
      </c>
      <c r="D6623">
        <f>IFERROR(Table7[[#This Row],[United States 10y]]-Table7[[#This Row],[United States 3y]],#N/A)</f>
        <v/>
      </c>
    </row>
    <row r="6624">
      <c r="A6624" s="6">
        <f>Database!$A8709</f>
        <v/>
      </c>
      <c r="B6624">
        <f>IF(VLOOKUP(Table7[[#This Row],[Date]],Database!$A:$C,MATCH($B$1,Database!$A$1:$C$1,),)=0,#N/A,VLOOKUP(Table7[[#This Row],[Date]],Database!$A:$C,MATCH($B$1,Database!$A$1:$C$1,),))</f>
        <v/>
      </c>
      <c r="C6624">
        <f>IF(VLOOKUP(Table7[[#This Row],[Date]],Database!$A:$C,MATCH($C$1,Database!$A$1:$C$1,),)=0,#N/A,VLOOKUP(Table7[[#This Row],[Date]],Database!$A:$C,MATCH($C$1,Database!$A$1:$C$1,),))</f>
        <v/>
      </c>
      <c r="D6624">
        <f>IFERROR(Table7[[#This Row],[United States 10y]]-Table7[[#This Row],[United States 3y]],#N/A)</f>
        <v/>
      </c>
    </row>
    <row r="6625">
      <c r="A6625" s="6">
        <f>Database!$A8710</f>
        <v/>
      </c>
      <c r="B6625">
        <f>IF(VLOOKUP(Table7[[#This Row],[Date]],Database!$A:$C,MATCH($B$1,Database!$A$1:$C$1,),)=0,#N/A,VLOOKUP(Table7[[#This Row],[Date]],Database!$A:$C,MATCH($B$1,Database!$A$1:$C$1,),))</f>
        <v/>
      </c>
      <c r="C6625">
        <f>IF(VLOOKUP(Table7[[#This Row],[Date]],Database!$A:$C,MATCH($C$1,Database!$A$1:$C$1,),)=0,#N/A,VLOOKUP(Table7[[#This Row],[Date]],Database!$A:$C,MATCH($C$1,Database!$A$1:$C$1,),))</f>
        <v/>
      </c>
      <c r="D6625">
        <f>IFERROR(Table7[[#This Row],[United States 10y]]-Table7[[#This Row],[United States 3y]],#N/A)</f>
        <v/>
      </c>
    </row>
    <row r="6626">
      <c r="A6626" s="6">
        <f>Database!$A8711</f>
        <v/>
      </c>
      <c r="B6626">
        <f>IF(VLOOKUP(Table7[[#This Row],[Date]],Database!$A:$C,MATCH($B$1,Database!$A$1:$C$1,),)=0,#N/A,VLOOKUP(Table7[[#This Row],[Date]],Database!$A:$C,MATCH($B$1,Database!$A$1:$C$1,),))</f>
        <v/>
      </c>
      <c r="C6626">
        <f>IF(VLOOKUP(Table7[[#This Row],[Date]],Database!$A:$C,MATCH($C$1,Database!$A$1:$C$1,),)=0,#N/A,VLOOKUP(Table7[[#This Row],[Date]],Database!$A:$C,MATCH($C$1,Database!$A$1:$C$1,),))</f>
        <v/>
      </c>
      <c r="D6626">
        <f>IFERROR(Table7[[#This Row],[United States 10y]]-Table7[[#This Row],[United States 3y]],#N/A)</f>
        <v/>
      </c>
    </row>
    <row r="6627">
      <c r="A6627" s="6">
        <f>Database!$A8712</f>
        <v/>
      </c>
      <c r="B6627">
        <f>IF(VLOOKUP(Table7[[#This Row],[Date]],Database!$A:$C,MATCH($B$1,Database!$A$1:$C$1,),)=0,#N/A,VLOOKUP(Table7[[#This Row],[Date]],Database!$A:$C,MATCH($B$1,Database!$A$1:$C$1,),))</f>
        <v/>
      </c>
      <c r="C6627">
        <f>IF(VLOOKUP(Table7[[#This Row],[Date]],Database!$A:$C,MATCH($C$1,Database!$A$1:$C$1,),)=0,#N/A,VLOOKUP(Table7[[#This Row],[Date]],Database!$A:$C,MATCH($C$1,Database!$A$1:$C$1,),))</f>
        <v/>
      </c>
      <c r="D6627">
        <f>IFERROR(Table7[[#This Row],[United States 10y]]-Table7[[#This Row],[United States 3y]],#N/A)</f>
        <v/>
      </c>
    </row>
    <row r="6628">
      <c r="A6628" s="6">
        <f>Database!$A8713</f>
        <v/>
      </c>
      <c r="B6628">
        <f>IF(VLOOKUP(Table7[[#This Row],[Date]],Database!$A:$C,MATCH($B$1,Database!$A$1:$C$1,),)=0,#N/A,VLOOKUP(Table7[[#This Row],[Date]],Database!$A:$C,MATCH($B$1,Database!$A$1:$C$1,),))</f>
        <v/>
      </c>
      <c r="C6628">
        <f>IF(VLOOKUP(Table7[[#This Row],[Date]],Database!$A:$C,MATCH($C$1,Database!$A$1:$C$1,),)=0,#N/A,VLOOKUP(Table7[[#This Row],[Date]],Database!$A:$C,MATCH($C$1,Database!$A$1:$C$1,),))</f>
        <v/>
      </c>
      <c r="D6628">
        <f>IFERROR(Table7[[#This Row],[United States 10y]]-Table7[[#This Row],[United States 3y]],#N/A)</f>
        <v/>
      </c>
    </row>
    <row r="6629">
      <c r="A6629" s="6">
        <f>Database!$A8714</f>
        <v/>
      </c>
      <c r="B6629">
        <f>IF(VLOOKUP(Table7[[#This Row],[Date]],Database!$A:$C,MATCH($B$1,Database!$A$1:$C$1,),)=0,#N/A,VLOOKUP(Table7[[#This Row],[Date]],Database!$A:$C,MATCH($B$1,Database!$A$1:$C$1,),))</f>
        <v/>
      </c>
      <c r="C6629">
        <f>IF(VLOOKUP(Table7[[#This Row],[Date]],Database!$A:$C,MATCH($C$1,Database!$A$1:$C$1,),)=0,#N/A,VLOOKUP(Table7[[#This Row],[Date]],Database!$A:$C,MATCH($C$1,Database!$A$1:$C$1,),))</f>
        <v/>
      </c>
      <c r="D6629">
        <f>IFERROR(Table7[[#This Row],[United States 10y]]-Table7[[#This Row],[United States 3y]],#N/A)</f>
        <v/>
      </c>
    </row>
    <row r="6630">
      <c r="A6630" s="6">
        <f>Database!$A8715</f>
        <v/>
      </c>
      <c r="B6630">
        <f>IF(VLOOKUP(Table7[[#This Row],[Date]],Database!$A:$C,MATCH($B$1,Database!$A$1:$C$1,),)=0,#N/A,VLOOKUP(Table7[[#This Row],[Date]],Database!$A:$C,MATCH($B$1,Database!$A$1:$C$1,),))</f>
        <v/>
      </c>
      <c r="C6630">
        <f>IF(VLOOKUP(Table7[[#This Row],[Date]],Database!$A:$C,MATCH($C$1,Database!$A$1:$C$1,),)=0,#N/A,VLOOKUP(Table7[[#This Row],[Date]],Database!$A:$C,MATCH($C$1,Database!$A$1:$C$1,),))</f>
        <v/>
      </c>
      <c r="D6630">
        <f>IFERROR(Table7[[#This Row],[United States 10y]]-Table7[[#This Row],[United States 3y]],#N/A)</f>
        <v/>
      </c>
    </row>
    <row r="6631">
      <c r="A6631" s="6">
        <f>Database!$A8716</f>
        <v/>
      </c>
      <c r="B6631">
        <f>IF(VLOOKUP(Table7[[#This Row],[Date]],Database!$A:$C,MATCH($B$1,Database!$A$1:$C$1,),)=0,#N/A,VLOOKUP(Table7[[#This Row],[Date]],Database!$A:$C,MATCH($B$1,Database!$A$1:$C$1,),))</f>
        <v/>
      </c>
      <c r="C6631">
        <f>IF(VLOOKUP(Table7[[#This Row],[Date]],Database!$A:$C,MATCH($C$1,Database!$A$1:$C$1,),)=0,#N/A,VLOOKUP(Table7[[#This Row],[Date]],Database!$A:$C,MATCH($C$1,Database!$A$1:$C$1,),))</f>
        <v/>
      </c>
      <c r="D6631">
        <f>IFERROR(Table7[[#This Row],[United States 10y]]-Table7[[#This Row],[United States 3y]],#N/A)</f>
        <v/>
      </c>
    </row>
    <row r="6632">
      <c r="A6632" s="6">
        <f>Database!$A8717</f>
        <v/>
      </c>
      <c r="B6632">
        <f>IF(VLOOKUP(Table7[[#This Row],[Date]],Database!$A:$C,MATCH($B$1,Database!$A$1:$C$1,),)=0,#N/A,VLOOKUP(Table7[[#This Row],[Date]],Database!$A:$C,MATCH($B$1,Database!$A$1:$C$1,),))</f>
        <v/>
      </c>
      <c r="C6632">
        <f>IF(VLOOKUP(Table7[[#This Row],[Date]],Database!$A:$C,MATCH($C$1,Database!$A$1:$C$1,),)=0,#N/A,VLOOKUP(Table7[[#This Row],[Date]],Database!$A:$C,MATCH($C$1,Database!$A$1:$C$1,),))</f>
        <v/>
      </c>
      <c r="D6632">
        <f>IFERROR(Table7[[#This Row],[United States 10y]]-Table7[[#This Row],[United States 3y]],#N/A)</f>
        <v/>
      </c>
    </row>
    <row r="6633">
      <c r="A6633" s="6">
        <f>Database!$A8718</f>
        <v/>
      </c>
      <c r="B6633">
        <f>IF(VLOOKUP(Table7[[#This Row],[Date]],Database!$A:$C,MATCH($B$1,Database!$A$1:$C$1,),)=0,#N/A,VLOOKUP(Table7[[#This Row],[Date]],Database!$A:$C,MATCH($B$1,Database!$A$1:$C$1,),))</f>
        <v/>
      </c>
      <c r="C6633">
        <f>IF(VLOOKUP(Table7[[#This Row],[Date]],Database!$A:$C,MATCH($C$1,Database!$A$1:$C$1,),)=0,#N/A,VLOOKUP(Table7[[#This Row],[Date]],Database!$A:$C,MATCH($C$1,Database!$A$1:$C$1,),))</f>
        <v/>
      </c>
      <c r="D6633">
        <f>IFERROR(Table7[[#This Row],[United States 10y]]-Table7[[#This Row],[United States 3y]],#N/A)</f>
        <v/>
      </c>
    </row>
    <row r="6634">
      <c r="A6634" s="6">
        <f>Database!$A8719</f>
        <v/>
      </c>
      <c r="B6634">
        <f>IF(VLOOKUP(Table7[[#This Row],[Date]],Database!$A:$C,MATCH($B$1,Database!$A$1:$C$1,),)=0,#N/A,VLOOKUP(Table7[[#This Row],[Date]],Database!$A:$C,MATCH($B$1,Database!$A$1:$C$1,),))</f>
        <v/>
      </c>
      <c r="C6634">
        <f>IF(VLOOKUP(Table7[[#This Row],[Date]],Database!$A:$C,MATCH($C$1,Database!$A$1:$C$1,),)=0,#N/A,VLOOKUP(Table7[[#This Row],[Date]],Database!$A:$C,MATCH($C$1,Database!$A$1:$C$1,),))</f>
        <v/>
      </c>
      <c r="D6634">
        <f>IFERROR(Table7[[#This Row],[United States 10y]]-Table7[[#This Row],[United States 3y]],#N/A)</f>
        <v/>
      </c>
    </row>
    <row r="6635">
      <c r="A6635" s="6">
        <f>Database!$A8720</f>
        <v/>
      </c>
      <c r="B6635">
        <f>IF(VLOOKUP(Table7[[#This Row],[Date]],Database!$A:$C,MATCH($B$1,Database!$A$1:$C$1,),)=0,#N/A,VLOOKUP(Table7[[#This Row],[Date]],Database!$A:$C,MATCH($B$1,Database!$A$1:$C$1,),))</f>
        <v/>
      </c>
      <c r="C6635">
        <f>IF(VLOOKUP(Table7[[#This Row],[Date]],Database!$A:$C,MATCH($C$1,Database!$A$1:$C$1,),)=0,#N/A,VLOOKUP(Table7[[#This Row],[Date]],Database!$A:$C,MATCH($C$1,Database!$A$1:$C$1,),))</f>
        <v/>
      </c>
      <c r="D6635">
        <f>IFERROR(Table7[[#This Row],[United States 10y]]-Table7[[#This Row],[United States 3y]],#N/A)</f>
        <v/>
      </c>
    </row>
    <row r="6636">
      <c r="A6636" s="6">
        <f>Database!$A8721</f>
        <v/>
      </c>
      <c r="B6636">
        <f>IF(VLOOKUP(Table7[[#This Row],[Date]],Database!$A:$C,MATCH($B$1,Database!$A$1:$C$1,),)=0,#N/A,VLOOKUP(Table7[[#This Row],[Date]],Database!$A:$C,MATCH($B$1,Database!$A$1:$C$1,),))</f>
        <v/>
      </c>
      <c r="C6636">
        <f>IF(VLOOKUP(Table7[[#This Row],[Date]],Database!$A:$C,MATCH($C$1,Database!$A$1:$C$1,),)=0,#N/A,VLOOKUP(Table7[[#This Row],[Date]],Database!$A:$C,MATCH($C$1,Database!$A$1:$C$1,),))</f>
        <v/>
      </c>
      <c r="D6636">
        <f>IFERROR(Table7[[#This Row],[United States 10y]]-Table7[[#This Row],[United States 3y]],#N/A)</f>
        <v/>
      </c>
    </row>
    <row r="6637">
      <c r="A6637" s="6">
        <f>Database!$A8722</f>
        <v/>
      </c>
      <c r="B6637">
        <f>IF(VLOOKUP(Table7[[#This Row],[Date]],Database!$A:$C,MATCH($B$1,Database!$A$1:$C$1,),)=0,#N/A,VLOOKUP(Table7[[#This Row],[Date]],Database!$A:$C,MATCH($B$1,Database!$A$1:$C$1,),))</f>
        <v/>
      </c>
      <c r="C6637">
        <f>IF(VLOOKUP(Table7[[#This Row],[Date]],Database!$A:$C,MATCH($C$1,Database!$A$1:$C$1,),)=0,#N/A,VLOOKUP(Table7[[#This Row],[Date]],Database!$A:$C,MATCH($C$1,Database!$A$1:$C$1,),))</f>
        <v/>
      </c>
      <c r="D6637">
        <f>IFERROR(Table7[[#This Row],[United States 10y]]-Table7[[#This Row],[United States 3y]],#N/A)</f>
        <v/>
      </c>
    </row>
    <row r="6638">
      <c r="A6638" s="6">
        <f>Database!$A8723</f>
        <v/>
      </c>
      <c r="B6638">
        <f>IF(VLOOKUP(Table7[[#This Row],[Date]],Database!$A:$C,MATCH($B$1,Database!$A$1:$C$1,),)=0,#N/A,VLOOKUP(Table7[[#This Row],[Date]],Database!$A:$C,MATCH($B$1,Database!$A$1:$C$1,),))</f>
        <v/>
      </c>
      <c r="C6638">
        <f>IF(VLOOKUP(Table7[[#This Row],[Date]],Database!$A:$C,MATCH($C$1,Database!$A$1:$C$1,),)=0,#N/A,VLOOKUP(Table7[[#This Row],[Date]],Database!$A:$C,MATCH($C$1,Database!$A$1:$C$1,),))</f>
        <v/>
      </c>
      <c r="D6638">
        <f>IFERROR(Table7[[#This Row],[United States 10y]]-Table7[[#This Row],[United States 3y]],#N/A)</f>
        <v/>
      </c>
    </row>
    <row r="6639">
      <c r="A6639" s="6">
        <f>Database!$A8724</f>
        <v/>
      </c>
      <c r="B6639">
        <f>IF(VLOOKUP(Table7[[#This Row],[Date]],Database!$A:$C,MATCH($B$1,Database!$A$1:$C$1,),)=0,#N/A,VLOOKUP(Table7[[#This Row],[Date]],Database!$A:$C,MATCH($B$1,Database!$A$1:$C$1,),))</f>
        <v/>
      </c>
      <c r="C6639">
        <f>IF(VLOOKUP(Table7[[#This Row],[Date]],Database!$A:$C,MATCH($C$1,Database!$A$1:$C$1,),)=0,#N/A,VLOOKUP(Table7[[#This Row],[Date]],Database!$A:$C,MATCH($C$1,Database!$A$1:$C$1,),))</f>
        <v/>
      </c>
      <c r="D6639">
        <f>IFERROR(Table7[[#This Row],[United States 10y]]-Table7[[#This Row],[United States 3y]],#N/A)</f>
        <v/>
      </c>
    </row>
    <row r="6640">
      <c r="A6640" s="6">
        <f>Database!$A8725</f>
        <v/>
      </c>
      <c r="B6640">
        <f>IF(VLOOKUP(Table7[[#This Row],[Date]],Database!$A:$C,MATCH($B$1,Database!$A$1:$C$1,),)=0,#N/A,VLOOKUP(Table7[[#This Row],[Date]],Database!$A:$C,MATCH($B$1,Database!$A$1:$C$1,),))</f>
        <v/>
      </c>
      <c r="C6640">
        <f>IF(VLOOKUP(Table7[[#This Row],[Date]],Database!$A:$C,MATCH($C$1,Database!$A$1:$C$1,),)=0,#N/A,VLOOKUP(Table7[[#This Row],[Date]],Database!$A:$C,MATCH($C$1,Database!$A$1:$C$1,),))</f>
        <v/>
      </c>
      <c r="D6640">
        <f>IFERROR(Table7[[#This Row],[United States 10y]]-Table7[[#This Row],[United States 3y]],#N/A)</f>
        <v/>
      </c>
    </row>
    <row r="6641">
      <c r="A6641" s="6">
        <f>Database!$A8726</f>
        <v/>
      </c>
      <c r="B6641">
        <f>IF(VLOOKUP(Table7[[#This Row],[Date]],Database!$A:$C,MATCH($B$1,Database!$A$1:$C$1,),)=0,#N/A,VLOOKUP(Table7[[#This Row],[Date]],Database!$A:$C,MATCH($B$1,Database!$A$1:$C$1,),))</f>
        <v/>
      </c>
      <c r="C6641">
        <f>IF(VLOOKUP(Table7[[#This Row],[Date]],Database!$A:$C,MATCH($C$1,Database!$A$1:$C$1,),)=0,#N/A,VLOOKUP(Table7[[#This Row],[Date]],Database!$A:$C,MATCH($C$1,Database!$A$1:$C$1,),))</f>
        <v/>
      </c>
      <c r="D6641">
        <f>IFERROR(Table7[[#This Row],[United States 10y]]-Table7[[#This Row],[United States 3y]],#N/A)</f>
        <v/>
      </c>
    </row>
    <row r="6642">
      <c r="A6642" s="6">
        <f>Database!$A8727</f>
        <v/>
      </c>
      <c r="B6642">
        <f>IF(VLOOKUP(Table7[[#This Row],[Date]],Database!$A:$C,MATCH($B$1,Database!$A$1:$C$1,),)=0,#N/A,VLOOKUP(Table7[[#This Row],[Date]],Database!$A:$C,MATCH($B$1,Database!$A$1:$C$1,),))</f>
        <v/>
      </c>
      <c r="C6642">
        <f>IF(VLOOKUP(Table7[[#This Row],[Date]],Database!$A:$C,MATCH($C$1,Database!$A$1:$C$1,),)=0,#N/A,VLOOKUP(Table7[[#This Row],[Date]],Database!$A:$C,MATCH($C$1,Database!$A$1:$C$1,),))</f>
        <v/>
      </c>
      <c r="D6642">
        <f>IFERROR(Table7[[#This Row],[United States 10y]]-Table7[[#This Row],[United States 3y]],#N/A)</f>
        <v/>
      </c>
    </row>
    <row r="6643">
      <c r="A6643" s="6">
        <f>Database!$A8728</f>
        <v/>
      </c>
      <c r="B6643">
        <f>IF(VLOOKUP(Table7[[#This Row],[Date]],Database!$A:$C,MATCH($B$1,Database!$A$1:$C$1,),)=0,#N/A,VLOOKUP(Table7[[#This Row],[Date]],Database!$A:$C,MATCH($B$1,Database!$A$1:$C$1,),))</f>
        <v/>
      </c>
      <c r="C6643">
        <f>IF(VLOOKUP(Table7[[#This Row],[Date]],Database!$A:$C,MATCH($C$1,Database!$A$1:$C$1,),)=0,#N/A,VLOOKUP(Table7[[#This Row],[Date]],Database!$A:$C,MATCH($C$1,Database!$A$1:$C$1,),))</f>
        <v/>
      </c>
      <c r="D6643">
        <f>IFERROR(Table7[[#This Row],[United States 10y]]-Table7[[#This Row],[United States 3y]],#N/A)</f>
        <v/>
      </c>
    </row>
    <row r="6644">
      <c r="A6644" s="6">
        <f>Database!$A8729</f>
        <v/>
      </c>
      <c r="B6644">
        <f>IF(VLOOKUP(Table7[[#This Row],[Date]],Database!$A:$C,MATCH($B$1,Database!$A$1:$C$1,),)=0,#N/A,VLOOKUP(Table7[[#This Row],[Date]],Database!$A:$C,MATCH($B$1,Database!$A$1:$C$1,),))</f>
        <v/>
      </c>
      <c r="C6644">
        <f>IF(VLOOKUP(Table7[[#This Row],[Date]],Database!$A:$C,MATCH($C$1,Database!$A$1:$C$1,),)=0,#N/A,VLOOKUP(Table7[[#This Row],[Date]],Database!$A:$C,MATCH($C$1,Database!$A$1:$C$1,),))</f>
        <v/>
      </c>
      <c r="D6644">
        <f>IFERROR(Table7[[#This Row],[United States 10y]]-Table7[[#This Row],[United States 3y]],#N/A)</f>
        <v/>
      </c>
    </row>
    <row r="6645">
      <c r="A6645" s="6">
        <f>Database!$A8730</f>
        <v/>
      </c>
      <c r="B6645">
        <f>IF(VLOOKUP(Table7[[#This Row],[Date]],Database!$A:$C,MATCH($B$1,Database!$A$1:$C$1,),)=0,#N/A,VLOOKUP(Table7[[#This Row],[Date]],Database!$A:$C,MATCH($B$1,Database!$A$1:$C$1,),))</f>
        <v/>
      </c>
      <c r="C6645">
        <f>IF(VLOOKUP(Table7[[#This Row],[Date]],Database!$A:$C,MATCH($C$1,Database!$A$1:$C$1,),)=0,#N/A,VLOOKUP(Table7[[#This Row],[Date]],Database!$A:$C,MATCH($C$1,Database!$A$1:$C$1,),))</f>
        <v/>
      </c>
      <c r="D6645">
        <f>IFERROR(Table7[[#This Row],[United States 10y]]-Table7[[#This Row],[United States 3y]],#N/A)</f>
        <v/>
      </c>
    </row>
    <row r="6646">
      <c r="A6646" s="6">
        <f>Database!$A8731</f>
        <v/>
      </c>
      <c r="B6646">
        <f>IF(VLOOKUP(Table7[[#This Row],[Date]],Database!$A:$C,MATCH($B$1,Database!$A$1:$C$1,),)=0,#N/A,VLOOKUP(Table7[[#This Row],[Date]],Database!$A:$C,MATCH($B$1,Database!$A$1:$C$1,),))</f>
        <v/>
      </c>
      <c r="C6646">
        <f>IF(VLOOKUP(Table7[[#This Row],[Date]],Database!$A:$C,MATCH($C$1,Database!$A$1:$C$1,),)=0,#N/A,VLOOKUP(Table7[[#This Row],[Date]],Database!$A:$C,MATCH($C$1,Database!$A$1:$C$1,),))</f>
        <v/>
      </c>
      <c r="D6646">
        <f>IFERROR(Table7[[#This Row],[United States 10y]]-Table7[[#This Row],[United States 3y]],#N/A)</f>
        <v/>
      </c>
    </row>
    <row r="6647">
      <c r="A6647" s="6">
        <f>Database!$A8732</f>
        <v/>
      </c>
      <c r="B6647">
        <f>IF(VLOOKUP(Table7[[#This Row],[Date]],Database!$A:$C,MATCH($B$1,Database!$A$1:$C$1,),)=0,#N/A,VLOOKUP(Table7[[#This Row],[Date]],Database!$A:$C,MATCH($B$1,Database!$A$1:$C$1,),))</f>
        <v/>
      </c>
      <c r="C6647">
        <f>IF(VLOOKUP(Table7[[#This Row],[Date]],Database!$A:$C,MATCH($C$1,Database!$A$1:$C$1,),)=0,#N/A,VLOOKUP(Table7[[#This Row],[Date]],Database!$A:$C,MATCH($C$1,Database!$A$1:$C$1,),))</f>
        <v/>
      </c>
      <c r="D6647">
        <f>IFERROR(Table7[[#This Row],[United States 10y]]-Table7[[#This Row],[United States 3y]],#N/A)</f>
        <v/>
      </c>
    </row>
    <row r="6648">
      <c r="A6648" s="6">
        <f>Database!$A8733</f>
        <v/>
      </c>
      <c r="B6648">
        <f>IF(VLOOKUP(Table7[[#This Row],[Date]],Database!$A:$C,MATCH($B$1,Database!$A$1:$C$1,),)=0,#N/A,VLOOKUP(Table7[[#This Row],[Date]],Database!$A:$C,MATCH($B$1,Database!$A$1:$C$1,),))</f>
        <v/>
      </c>
      <c r="C6648">
        <f>IF(VLOOKUP(Table7[[#This Row],[Date]],Database!$A:$C,MATCH($C$1,Database!$A$1:$C$1,),)=0,#N/A,VLOOKUP(Table7[[#This Row],[Date]],Database!$A:$C,MATCH($C$1,Database!$A$1:$C$1,),))</f>
        <v/>
      </c>
      <c r="D6648">
        <f>IFERROR(Table7[[#This Row],[United States 10y]]-Table7[[#This Row],[United States 3y]],#N/A)</f>
        <v/>
      </c>
    </row>
    <row r="6649">
      <c r="A6649" s="6">
        <f>Database!$A8734</f>
        <v/>
      </c>
      <c r="B6649">
        <f>IF(VLOOKUP(Table7[[#This Row],[Date]],Database!$A:$C,MATCH($B$1,Database!$A$1:$C$1,),)=0,#N/A,VLOOKUP(Table7[[#This Row],[Date]],Database!$A:$C,MATCH($B$1,Database!$A$1:$C$1,),))</f>
        <v/>
      </c>
      <c r="C6649">
        <f>IF(VLOOKUP(Table7[[#This Row],[Date]],Database!$A:$C,MATCH($C$1,Database!$A$1:$C$1,),)=0,#N/A,VLOOKUP(Table7[[#This Row],[Date]],Database!$A:$C,MATCH($C$1,Database!$A$1:$C$1,),))</f>
        <v/>
      </c>
      <c r="D6649">
        <f>IFERROR(Table7[[#This Row],[United States 10y]]-Table7[[#This Row],[United States 3y]],#N/A)</f>
        <v/>
      </c>
    </row>
    <row r="6650">
      <c r="A6650" s="6">
        <f>Database!$A8735</f>
        <v/>
      </c>
      <c r="B6650">
        <f>IF(VLOOKUP(Table7[[#This Row],[Date]],Database!$A:$C,MATCH($B$1,Database!$A$1:$C$1,),)=0,#N/A,VLOOKUP(Table7[[#This Row],[Date]],Database!$A:$C,MATCH($B$1,Database!$A$1:$C$1,),))</f>
        <v/>
      </c>
      <c r="C6650">
        <f>IF(VLOOKUP(Table7[[#This Row],[Date]],Database!$A:$C,MATCH($C$1,Database!$A$1:$C$1,),)=0,#N/A,VLOOKUP(Table7[[#This Row],[Date]],Database!$A:$C,MATCH($C$1,Database!$A$1:$C$1,),))</f>
        <v/>
      </c>
      <c r="D6650">
        <f>IFERROR(Table7[[#This Row],[United States 10y]]-Table7[[#This Row],[United States 3y]],#N/A)</f>
        <v/>
      </c>
    </row>
    <row r="6651">
      <c r="A6651" s="6">
        <f>Database!$A8736</f>
        <v/>
      </c>
      <c r="B6651">
        <f>IF(VLOOKUP(Table7[[#This Row],[Date]],Database!$A:$C,MATCH($B$1,Database!$A$1:$C$1,),)=0,#N/A,VLOOKUP(Table7[[#This Row],[Date]],Database!$A:$C,MATCH($B$1,Database!$A$1:$C$1,),))</f>
        <v/>
      </c>
      <c r="C6651">
        <f>IF(VLOOKUP(Table7[[#This Row],[Date]],Database!$A:$C,MATCH($C$1,Database!$A$1:$C$1,),)=0,#N/A,VLOOKUP(Table7[[#This Row],[Date]],Database!$A:$C,MATCH($C$1,Database!$A$1:$C$1,),))</f>
        <v/>
      </c>
      <c r="D6651">
        <f>IFERROR(Table7[[#This Row],[United States 10y]]-Table7[[#This Row],[United States 3y]],#N/A)</f>
        <v/>
      </c>
    </row>
    <row r="6652">
      <c r="A6652" s="6">
        <f>Database!$A8737</f>
        <v/>
      </c>
      <c r="B6652">
        <f>IF(VLOOKUP(Table7[[#This Row],[Date]],Database!$A:$C,MATCH($B$1,Database!$A$1:$C$1,),)=0,#N/A,VLOOKUP(Table7[[#This Row],[Date]],Database!$A:$C,MATCH($B$1,Database!$A$1:$C$1,),))</f>
        <v/>
      </c>
      <c r="C6652">
        <f>IF(VLOOKUP(Table7[[#This Row],[Date]],Database!$A:$C,MATCH($C$1,Database!$A$1:$C$1,),)=0,#N/A,VLOOKUP(Table7[[#This Row],[Date]],Database!$A:$C,MATCH($C$1,Database!$A$1:$C$1,),))</f>
        <v/>
      </c>
      <c r="D6652">
        <f>IFERROR(Table7[[#This Row],[United States 10y]]-Table7[[#This Row],[United States 3y]],#N/A)</f>
        <v/>
      </c>
    </row>
    <row r="6653">
      <c r="A6653" s="6">
        <f>Database!$A8738</f>
        <v/>
      </c>
      <c r="B6653">
        <f>IF(VLOOKUP(Table7[[#This Row],[Date]],Database!$A:$C,MATCH($B$1,Database!$A$1:$C$1,),)=0,#N/A,VLOOKUP(Table7[[#This Row],[Date]],Database!$A:$C,MATCH($B$1,Database!$A$1:$C$1,),))</f>
        <v/>
      </c>
      <c r="C6653">
        <f>IF(VLOOKUP(Table7[[#This Row],[Date]],Database!$A:$C,MATCH($C$1,Database!$A$1:$C$1,),)=0,#N/A,VLOOKUP(Table7[[#This Row],[Date]],Database!$A:$C,MATCH($C$1,Database!$A$1:$C$1,),))</f>
        <v/>
      </c>
      <c r="D6653">
        <f>IFERROR(Table7[[#This Row],[United States 10y]]-Table7[[#This Row],[United States 3y]],#N/A)</f>
        <v/>
      </c>
    </row>
    <row r="6654">
      <c r="A6654" s="6">
        <f>Database!$A8739</f>
        <v/>
      </c>
      <c r="B6654">
        <f>IF(VLOOKUP(Table7[[#This Row],[Date]],Database!$A:$C,MATCH($B$1,Database!$A$1:$C$1,),)=0,#N/A,VLOOKUP(Table7[[#This Row],[Date]],Database!$A:$C,MATCH($B$1,Database!$A$1:$C$1,),))</f>
        <v/>
      </c>
      <c r="C6654">
        <f>IF(VLOOKUP(Table7[[#This Row],[Date]],Database!$A:$C,MATCH($C$1,Database!$A$1:$C$1,),)=0,#N/A,VLOOKUP(Table7[[#This Row],[Date]],Database!$A:$C,MATCH($C$1,Database!$A$1:$C$1,),))</f>
        <v/>
      </c>
      <c r="D6654">
        <f>IFERROR(Table7[[#This Row],[United States 10y]]-Table7[[#This Row],[United States 3y]],#N/A)</f>
        <v/>
      </c>
    </row>
    <row r="6655">
      <c r="A6655" s="6">
        <f>Database!$A8740</f>
        <v/>
      </c>
      <c r="B6655">
        <f>IF(VLOOKUP(Table7[[#This Row],[Date]],Database!$A:$C,MATCH($B$1,Database!$A$1:$C$1,),)=0,#N/A,VLOOKUP(Table7[[#This Row],[Date]],Database!$A:$C,MATCH($B$1,Database!$A$1:$C$1,),))</f>
        <v/>
      </c>
      <c r="C6655">
        <f>IF(VLOOKUP(Table7[[#This Row],[Date]],Database!$A:$C,MATCH($C$1,Database!$A$1:$C$1,),)=0,#N/A,VLOOKUP(Table7[[#This Row],[Date]],Database!$A:$C,MATCH($C$1,Database!$A$1:$C$1,),))</f>
        <v/>
      </c>
      <c r="D6655">
        <f>IFERROR(Table7[[#This Row],[United States 10y]]-Table7[[#This Row],[United States 3y]],#N/A)</f>
        <v/>
      </c>
    </row>
    <row r="6656">
      <c r="A6656" s="6">
        <f>Database!$A8741</f>
        <v/>
      </c>
      <c r="B6656">
        <f>IF(VLOOKUP(Table7[[#This Row],[Date]],Database!$A:$C,MATCH($B$1,Database!$A$1:$C$1,),)=0,#N/A,VLOOKUP(Table7[[#This Row],[Date]],Database!$A:$C,MATCH($B$1,Database!$A$1:$C$1,),))</f>
        <v/>
      </c>
      <c r="C6656">
        <f>IF(VLOOKUP(Table7[[#This Row],[Date]],Database!$A:$C,MATCH($C$1,Database!$A$1:$C$1,),)=0,#N/A,VLOOKUP(Table7[[#This Row],[Date]],Database!$A:$C,MATCH($C$1,Database!$A$1:$C$1,),))</f>
        <v/>
      </c>
      <c r="D6656">
        <f>IFERROR(Table7[[#This Row],[United States 10y]]-Table7[[#This Row],[United States 3y]],#N/A)</f>
        <v/>
      </c>
    </row>
    <row r="6657">
      <c r="A6657" s="6">
        <f>Database!$A8742</f>
        <v/>
      </c>
      <c r="B6657">
        <f>IF(VLOOKUP(Table7[[#This Row],[Date]],Database!$A:$C,MATCH($B$1,Database!$A$1:$C$1,),)=0,#N/A,VLOOKUP(Table7[[#This Row],[Date]],Database!$A:$C,MATCH($B$1,Database!$A$1:$C$1,),))</f>
        <v/>
      </c>
      <c r="C6657">
        <f>IF(VLOOKUP(Table7[[#This Row],[Date]],Database!$A:$C,MATCH($C$1,Database!$A$1:$C$1,),)=0,#N/A,VLOOKUP(Table7[[#This Row],[Date]],Database!$A:$C,MATCH($C$1,Database!$A$1:$C$1,),))</f>
        <v/>
      </c>
      <c r="D6657">
        <f>IFERROR(Table7[[#This Row],[United States 10y]]-Table7[[#This Row],[United States 3y]],#N/A)</f>
        <v/>
      </c>
    </row>
    <row r="6658">
      <c r="A6658" s="6">
        <f>Database!$A8743</f>
        <v/>
      </c>
      <c r="B6658">
        <f>IF(VLOOKUP(Table7[[#This Row],[Date]],Database!$A:$C,MATCH($B$1,Database!$A$1:$C$1,),)=0,#N/A,VLOOKUP(Table7[[#This Row],[Date]],Database!$A:$C,MATCH($B$1,Database!$A$1:$C$1,),))</f>
        <v/>
      </c>
      <c r="C6658">
        <f>IF(VLOOKUP(Table7[[#This Row],[Date]],Database!$A:$C,MATCH($C$1,Database!$A$1:$C$1,),)=0,#N/A,VLOOKUP(Table7[[#This Row],[Date]],Database!$A:$C,MATCH($C$1,Database!$A$1:$C$1,),))</f>
        <v/>
      </c>
      <c r="D6658">
        <f>IFERROR(Table7[[#This Row],[United States 10y]]-Table7[[#This Row],[United States 3y]],#N/A)</f>
        <v/>
      </c>
    </row>
    <row r="6659">
      <c r="A6659" s="6">
        <f>Database!$A8744</f>
        <v/>
      </c>
      <c r="B6659">
        <f>IF(VLOOKUP(Table7[[#This Row],[Date]],Database!$A:$C,MATCH($B$1,Database!$A$1:$C$1,),)=0,#N/A,VLOOKUP(Table7[[#This Row],[Date]],Database!$A:$C,MATCH($B$1,Database!$A$1:$C$1,),))</f>
        <v/>
      </c>
      <c r="C6659">
        <f>IF(VLOOKUP(Table7[[#This Row],[Date]],Database!$A:$C,MATCH($C$1,Database!$A$1:$C$1,),)=0,#N/A,VLOOKUP(Table7[[#This Row],[Date]],Database!$A:$C,MATCH($C$1,Database!$A$1:$C$1,),))</f>
        <v/>
      </c>
      <c r="D6659">
        <f>IFERROR(Table7[[#This Row],[United States 10y]]-Table7[[#This Row],[United States 3y]],#N/A)</f>
        <v/>
      </c>
    </row>
    <row r="6660">
      <c r="A6660" s="6">
        <f>Database!$A8745</f>
        <v/>
      </c>
      <c r="B6660">
        <f>IF(VLOOKUP(Table7[[#This Row],[Date]],Database!$A:$C,MATCH($B$1,Database!$A$1:$C$1,),)=0,#N/A,VLOOKUP(Table7[[#This Row],[Date]],Database!$A:$C,MATCH($B$1,Database!$A$1:$C$1,),))</f>
        <v/>
      </c>
      <c r="C6660">
        <f>IF(VLOOKUP(Table7[[#This Row],[Date]],Database!$A:$C,MATCH($C$1,Database!$A$1:$C$1,),)=0,#N/A,VLOOKUP(Table7[[#This Row],[Date]],Database!$A:$C,MATCH($C$1,Database!$A$1:$C$1,),))</f>
        <v/>
      </c>
      <c r="D6660">
        <f>IFERROR(Table7[[#This Row],[United States 10y]]-Table7[[#This Row],[United States 3y]],#N/A)</f>
        <v/>
      </c>
    </row>
    <row r="6661">
      <c r="A6661" s="6">
        <f>Database!$A8746</f>
        <v/>
      </c>
      <c r="B6661">
        <f>IF(VLOOKUP(Table7[[#This Row],[Date]],Database!$A:$C,MATCH($B$1,Database!$A$1:$C$1,),)=0,#N/A,VLOOKUP(Table7[[#This Row],[Date]],Database!$A:$C,MATCH($B$1,Database!$A$1:$C$1,),))</f>
        <v/>
      </c>
      <c r="C6661">
        <f>IF(VLOOKUP(Table7[[#This Row],[Date]],Database!$A:$C,MATCH($C$1,Database!$A$1:$C$1,),)=0,#N/A,VLOOKUP(Table7[[#This Row],[Date]],Database!$A:$C,MATCH($C$1,Database!$A$1:$C$1,),))</f>
        <v/>
      </c>
      <c r="D6661">
        <f>IFERROR(Table7[[#This Row],[United States 10y]]-Table7[[#This Row],[United States 3y]],#N/A)</f>
        <v/>
      </c>
    </row>
    <row r="6662">
      <c r="A6662" s="6">
        <f>Database!$A8747</f>
        <v/>
      </c>
      <c r="B6662">
        <f>IF(VLOOKUP(Table7[[#This Row],[Date]],Database!$A:$C,MATCH($B$1,Database!$A$1:$C$1,),)=0,#N/A,VLOOKUP(Table7[[#This Row],[Date]],Database!$A:$C,MATCH($B$1,Database!$A$1:$C$1,),))</f>
        <v/>
      </c>
      <c r="C6662">
        <f>IF(VLOOKUP(Table7[[#This Row],[Date]],Database!$A:$C,MATCH($C$1,Database!$A$1:$C$1,),)=0,#N/A,VLOOKUP(Table7[[#This Row],[Date]],Database!$A:$C,MATCH($C$1,Database!$A$1:$C$1,),))</f>
        <v/>
      </c>
      <c r="D6662">
        <f>IFERROR(Table7[[#This Row],[United States 10y]]-Table7[[#This Row],[United States 3y]],#N/A)</f>
        <v/>
      </c>
    </row>
    <row r="6663">
      <c r="A6663" s="6">
        <f>Database!$A8748</f>
        <v/>
      </c>
      <c r="B6663">
        <f>IF(VLOOKUP(Table7[[#This Row],[Date]],Database!$A:$C,MATCH($B$1,Database!$A$1:$C$1,),)=0,#N/A,VLOOKUP(Table7[[#This Row],[Date]],Database!$A:$C,MATCH($B$1,Database!$A$1:$C$1,),))</f>
        <v/>
      </c>
      <c r="C6663">
        <f>IF(VLOOKUP(Table7[[#This Row],[Date]],Database!$A:$C,MATCH($C$1,Database!$A$1:$C$1,),)=0,#N/A,VLOOKUP(Table7[[#This Row],[Date]],Database!$A:$C,MATCH($C$1,Database!$A$1:$C$1,),))</f>
        <v/>
      </c>
      <c r="D6663">
        <f>IFERROR(Table7[[#This Row],[United States 10y]]-Table7[[#This Row],[United States 3y]],#N/A)</f>
        <v/>
      </c>
    </row>
    <row r="6664">
      <c r="A6664" s="6">
        <f>Database!$A8749</f>
        <v/>
      </c>
      <c r="B6664">
        <f>IF(VLOOKUP(Table7[[#This Row],[Date]],Database!$A:$C,MATCH($B$1,Database!$A$1:$C$1,),)=0,#N/A,VLOOKUP(Table7[[#This Row],[Date]],Database!$A:$C,MATCH($B$1,Database!$A$1:$C$1,),))</f>
        <v/>
      </c>
      <c r="C6664">
        <f>IF(VLOOKUP(Table7[[#This Row],[Date]],Database!$A:$C,MATCH($C$1,Database!$A$1:$C$1,),)=0,#N/A,VLOOKUP(Table7[[#This Row],[Date]],Database!$A:$C,MATCH($C$1,Database!$A$1:$C$1,),))</f>
        <v/>
      </c>
      <c r="D6664">
        <f>IFERROR(Table7[[#This Row],[United States 10y]]-Table7[[#This Row],[United States 3y]],#N/A)</f>
        <v/>
      </c>
    </row>
    <row r="6665">
      <c r="A6665" s="6">
        <f>Database!$A8750</f>
        <v/>
      </c>
      <c r="B6665">
        <f>IF(VLOOKUP(Table7[[#This Row],[Date]],Database!$A:$C,MATCH($B$1,Database!$A$1:$C$1,),)=0,#N/A,VLOOKUP(Table7[[#This Row],[Date]],Database!$A:$C,MATCH($B$1,Database!$A$1:$C$1,),))</f>
        <v/>
      </c>
      <c r="C6665">
        <f>IF(VLOOKUP(Table7[[#This Row],[Date]],Database!$A:$C,MATCH($C$1,Database!$A$1:$C$1,),)=0,#N/A,VLOOKUP(Table7[[#This Row],[Date]],Database!$A:$C,MATCH($C$1,Database!$A$1:$C$1,),))</f>
        <v/>
      </c>
      <c r="D6665">
        <f>IFERROR(Table7[[#This Row],[United States 10y]]-Table7[[#This Row],[United States 3y]],#N/A)</f>
        <v/>
      </c>
    </row>
    <row r="6666">
      <c r="A6666" s="6">
        <f>Database!$A8751</f>
        <v/>
      </c>
      <c r="B6666">
        <f>IF(VLOOKUP(Table7[[#This Row],[Date]],Database!$A:$C,MATCH($B$1,Database!$A$1:$C$1,),)=0,#N/A,VLOOKUP(Table7[[#This Row],[Date]],Database!$A:$C,MATCH($B$1,Database!$A$1:$C$1,),))</f>
        <v/>
      </c>
      <c r="C6666">
        <f>IF(VLOOKUP(Table7[[#This Row],[Date]],Database!$A:$C,MATCH($C$1,Database!$A$1:$C$1,),)=0,#N/A,VLOOKUP(Table7[[#This Row],[Date]],Database!$A:$C,MATCH($C$1,Database!$A$1:$C$1,),))</f>
        <v/>
      </c>
      <c r="D6666">
        <f>IFERROR(Table7[[#This Row],[United States 10y]]-Table7[[#This Row],[United States 3y]],#N/A)</f>
        <v/>
      </c>
    </row>
    <row r="6667">
      <c r="A6667" s="6">
        <f>Database!$A8752</f>
        <v/>
      </c>
      <c r="B6667">
        <f>IF(VLOOKUP(Table7[[#This Row],[Date]],Database!$A:$C,MATCH($B$1,Database!$A$1:$C$1,),)=0,#N/A,VLOOKUP(Table7[[#This Row],[Date]],Database!$A:$C,MATCH($B$1,Database!$A$1:$C$1,),))</f>
        <v/>
      </c>
      <c r="C6667">
        <f>IF(VLOOKUP(Table7[[#This Row],[Date]],Database!$A:$C,MATCH($C$1,Database!$A$1:$C$1,),)=0,#N/A,VLOOKUP(Table7[[#This Row],[Date]],Database!$A:$C,MATCH($C$1,Database!$A$1:$C$1,),))</f>
        <v/>
      </c>
      <c r="D6667">
        <f>IFERROR(Table7[[#This Row],[United States 10y]]-Table7[[#This Row],[United States 3y]],#N/A)</f>
        <v/>
      </c>
    </row>
    <row r="6668">
      <c r="A6668" s="6">
        <f>Database!$A8753</f>
        <v/>
      </c>
      <c r="B6668">
        <f>IF(VLOOKUP(Table7[[#This Row],[Date]],Database!$A:$C,MATCH($B$1,Database!$A$1:$C$1,),)=0,#N/A,VLOOKUP(Table7[[#This Row],[Date]],Database!$A:$C,MATCH($B$1,Database!$A$1:$C$1,),))</f>
        <v/>
      </c>
      <c r="C6668">
        <f>IF(VLOOKUP(Table7[[#This Row],[Date]],Database!$A:$C,MATCH($C$1,Database!$A$1:$C$1,),)=0,#N/A,VLOOKUP(Table7[[#This Row],[Date]],Database!$A:$C,MATCH($C$1,Database!$A$1:$C$1,),))</f>
        <v/>
      </c>
      <c r="D6668">
        <f>IFERROR(Table7[[#This Row],[United States 10y]]-Table7[[#This Row],[United States 3y]],#N/A)</f>
        <v/>
      </c>
    </row>
    <row r="6669">
      <c r="A6669" s="6">
        <f>Database!$A8754</f>
        <v/>
      </c>
      <c r="B6669">
        <f>IF(VLOOKUP(Table7[[#This Row],[Date]],Database!$A:$C,MATCH($B$1,Database!$A$1:$C$1,),)=0,#N/A,VLOOKUP(Table7[[#This Row],[Date]],Database!$A:$C,MATCH($B$1,Database!$A$1:$C$1,),))</f>
        <v/>
      </c>
      <c r="C6669">
        <f>IF(VLOOKUP(Table7[[#This Row],[Date]],Database!$A:$C,MATCH($C$1,Database!$A$1:$C$1,),)=0,#N/A,VLOOKUP(Table7[[#This Row],[Date]],Database!$A:$C,MATCH($C$1,Database!$A$1:$C$1,),))</f>
        <v/>
      </c>
      <c r="D6669">
        <f>IFERROR(Table7[[#This Row],[United States 10y]]-Table7[[#This Row],[United States 3y]],#N/A)</f>
        <v/>
      </c>
    </row>
    <row r="6670">
      <c r="A6670" s="6">
        <f>Database!$A8755</f>
        <v/>
      </c>
      <c r="B6670">
        <f>IF(VLOOKUP(Table7[[#This Row],[Date]],Database!$A:$C,MATCH($B$1,Database!$A$1:$C$1,),)=0,#N/A,VLOOKUP(Table7[[#This Row],[Date]],Database!$A:$C,MATCH($B$1,Database!$A$1:$C$1,),))</f>
        <v/>
      </c>
      <c r="C6670">
        <f>IF(VLOOKUP(Table7[[#This Row],[Date]],Database!$A:$C,MATCH($C$1,Database!$A$1:$C$1,),)=0,#N/A,VLOOKUP(Table7[[#This Row],[Date]],Database!$A:$C,MATCH($C$1,Database!$A$1:$C$1,),))</f>
        <v/>
      </c>
      <c r="D6670">
        <f>IFERROR(Table7[[#This Row],[United States 10y]]-Table7[[#This Row],[United States 3y]],#N/A)</f>
        <v/>
      </c>
    </row>
    <row r="6671">
      <c r="A6671" s="6">
        <f>Database!$A8756</f>
        <v/>
      </c>
      <c r="B6671">
        <f>IF(VLOOKUP(Table7[[#This Row],[Date]],Database!$A:$C,MATCH($B$1,Database!$A$1:$C$1,),)=0,#N/A,VLOOKUP(Table7[[#This Row],[Date]],Database!$A:$C,MATCH($B$1,Database!$A$1:$C$1,),))</f>
        <v/>
      </c>
      <c r="C6671">
        <f>IF(VLOOKUP(Table7[[#This Row],[Date]],Database!$A:$C,MATCH($C$1,Database!$A$1:$C$1,),)=0,#N/A,VLOOKUP(Table7[[#This Row],[Date]],Database!$A:$C,MATCH($C$1,Database!$A$1:$C$1,),))</f>
        <v/>
      </c>
      <c r="D6671">
        <f>IFERROR(Table7[[#This Row],[United States 10y]]-Table7[[#This Row],[United States 3y]],#N/A)</f>
        <v/>
      </c>
    </row>
    <row r="6672">
      <c r="A6672" s="6">
        <f>Database!$A8757</f>
        <v/>
      </c>
      <c r="B6672">
        <f>IF(VLOOKUP(Table7[[#This Row],[Date]],Database!$A:$C,MATCH($B$1,Database!$A$1:$C$1,),)=0,#N/A,VLOOKUP(Table7[[#This Row],[Date]],Database!$A:$C,MATCH($B$1,Database!$A$1:$C$1,),))</f>
        <v/>
      </c>
      <c r="C6672">
        <f>IF(VLOOKUP(Table7[[#This Row],[Date]],Database!$A:$C,MATCH($C$1,Database!$A$1:$C$1,),)=0,#N/A,VLOOKUP(Table7[[#This Row],[Date]],Database!$A:$C,MATCH($C$1,Database!$A$1:$C$1,),))</f>
        <v/>
      </c>
      <c r="D6672">
        <f>IFERROR(Table7[[#This Row],[United States 10y]]-Table7[[#This Row],[United States 3y]],#N/A)</f>
        <v/>
      </c>
    </row>
    <row r="6673">
      <c r="A6673" s="6">
        <f>Database!$A8758</f>
        <v/>
      </c>
      <c r="B6673">
        <f>IF(VLOOKUP(Table7[[#This Row],[Date]],Database!$A:$C,MATCH($B$1,Database!$A$1:$C$1,),)=0,#N/A,VLOOKUP(Table7[[#This Row],[Date]],Database!$A:$C,MATCH($B$1,Database!$A$1:$C$1,),))</f>
        <v/>
      </c>
      <c r="C6673">
        <f>IF(VLOOKUP(Table7[[#This Row],[Date]],Database!$A:$C,MATCH($C$1,Database!$A$1:$C$1,),)=0,#N/A,VLOOKUP(Table7[[#This Row],[Date]],Database!$A:$C,MATCH($C$1,Database!$A$1:$C$1,),))</f>
        <v/>
      </c>
      <c r="D6673">
        <f>IFERROR(Table7[[#This Row],[United States 10y]]-Table7[[#This Row],[United States 3y]],#N/A)</f>
        <v/>
      </c>
    </row>
    <row r="6674">
      <c r="A6674" s="6">
        <f>Database!$A8759</f>
        <v/>
      </c>
      <c r="B6674">
        <f>IF(VLOOKUP(Table7[[#This Row],[Date]],Database!$A:$C,MATCH($B$1,Database!$A$1:$C$1,),)=0,#N/A,VLOOKUP(Table7[[#This Row],[Date]],Database!$A:$C,MATCH($B$1,Database!$A$1:$C$1,),))</f>
        <v/>
      </c>
      <c r="C6674">
        <f>IF(VLOOKUP(Table7[[#This Row],[Date]],Database!$A:$C,MATCH($C$1,Database!$A$1:$C$1,),)=0,#N/A,VLOOKUP(Table7[[#This Row],[Date]],Database!$A:$C,MATCH($C$1,Database!$A$1:$C$1,),))</f>
        <v/>
      </c>
      <c r="D6674">
        <f>IFERROR(Table7[[#This Row],[United States 10y]]-Table7[[#This Row],[United States 3y]],#N/A)</f>
        <v/>
      </c>
    </row>
    <row r="6675">
      <c r="A6675" s="6">
        <f>Database!$A8760</f>
        <v/>
      </c>
      <c r="B6675">
        <f>IF(VLOOKUP(Table7[[#This Row],[Date]],Database!$A:$C,MATCH($B$1,Database!$A$1:$C$1,),)=0,#N/A,VLOOKUP(Table7[[#This Row],[Date]],Database!$A:$C,MATCH($B$1,Database!$A$1:$C$1,),))</f>
        <v/>
      </c>
      <c r="C6675">
        <f>IF(VLOOKUP(Table7[[#This Row],[Date]],Database!$A:$C,MATCH($C$1,Database!$A$1:$C$1,),)=0,#N/A,VLOOKUP(Table7[[#This Row],[Date]],Database!$A:$C,MATCH($C$1,Database!$A$1:$C$1,),))</f>
        <v/>
      </c>
      <c r="D6675">
        <f>IFERROR(Table7[[#This Row],[United States 10y]]-Table7[[#This Row],[United States 3y]],#N/A)</f>
        <v/>
      </c>
    </row>
    <row r="6676">
      <c r="A6676" s="6">
        <f>Database!$A8761</f>
        <v/>
      </c>
      <c r="B6676">
        <f>IF(VLOOKUP(Table7[[#This Row],[Date]],Database!$A:$C,MATCH($B$1,Database!$A$1:$C$1,),)=0,#N/A,VLOOKUP(Table7[[#This Row],[Date]],Database!$A:$C,MATCH($B$1,Database!$A$1:$C$1,),))</f>
        <v/>
      </c>
      <c r="C6676">
        <f>IF(VLOOKUP(Table7[[#This Row],[Date]],Database!$A:$C,MATCH($C$1,Database!$A$1:$C$1,),)=0,#N/A,VLOOKUP(Table7[[#This Row],[Date]],Database!$A:$C,MATCH($C$1,Database!$A$1:$C$1,),))</f>
        <v/>
      </c>
      <c r="D6676">
        <f>IFERROR(Table7[[#This Row],[United States 10y]]-Table7[[#This Row],[United States 3y]],#N/A)</f>
        <v/>
      </c>
    </row>
    <row r="6677">
      <c r="A6677" s="6">
        <f>Database!$A8762</f>
        <v/>
      </c>
      <c r="B6677">
        <f>IF(VLOOKUP(Table7[[#This Row],[Date]],Database!$A:$C,MATCH($B$1,Database!$A$1:$C$1,),)=0,#N/A,VLOOKUP(Table7[[#This Row],[Date]],Database!$A:$C,MATCH($B$1,Database!$A$1:$C$1,),))</f>
        <v/>
      </c>
      <c r="C6677">
        <f>IF(VLOOKUP(Table7[[#This Row],[Date]],Database!$A:$C,MATCH($C$1,Database!$A$1:$C$1,),)=0,#N/A,VLOOKUP(Table7[[#This Row],[Date]],Database!$A:$C,MATCH($C$1,Database!$A$1:$C$1,),))</f>
        <v/>
      </c>
      <c r="D6677">
        <f>IFERROR(Table7[[#This Row],[United States 10y]]-Table7[[#This Row],[United States 3y]],#N/A)</f>
        <v/>
      </c>
    </row>
    <row r="6678">
      <c r="A6678" s="6">
        <f>Database!$A8763</f>
        <v/>
      </c>
      <c r="B6678">
        <f>IF(VLOOKUP(Table7[[#This Row],[Date]],Database!$A:$C,MATCH($B$1,Database!$A$1:$C$1,),)=0,#N/A,VLOOKUP(Table7[[#This Row],[Date]],Database!$A:$C,MATCH($B$1,Database!$A$1:$C$1,),))</f>
        <v/>
      </c>
      <c r="C6678">
        <f>IF(VLOOKUP(Table7[[#This Row],[Date]],Database!$A:$C,MATCH($C$1,Database!$A$1:$C$1,),)=0,#N/A,VLOOKUP(Table7[[#This Row],[Date]],Database!$A:$C,MATCH($C$1,Database!$A$1:$C$1,),))</f>
        <v/>
      </c>
      <c r="D6678">
        <f>IFERROR(Table7[[#This Row],[United States 10y]]-Table7[[#This Row],[United States 3y]],#N/A)</f>
        <v/>
      </c>
    </row>
    <row r="6679">
      <c r="A6679" s="6">
        <f>Database!$A8764</f>
        <v/>
      </c>
      <c r="B6679">
        <f>IF(VLOOKUP(Table7[[#This Row],[Date]],Database!$A:$C,MATCH($B$1,Database!$A$1:$C$1,),)=0,#N/A,VLOOKUP(Table7[[#This Row],[Date]],Database!$A:$C,MATCH($B$1,Database!$A$1:$C$1,),))</f>
        <v/>
      </c>
      <c r="C6679">
        <f>IF(VLOOKUP(Table7[[#This Row],[Date]],Database!$A:$C,MATCH($C$1,Database!$A$1:$C$1,),)=0,#N/A,VLOOKUP(Table7[[#This Row],[Date]],Database!$A:$C,MATCH($C$1,Database!$A$1:$C$1,),))</f>
        <v/>
      </c>
      <c r="D6679">
        <f>IFERROR(Table7[[#This Row],[United States 10y]]-Table7[[#This Row],[United States 3y]],#N/A)</f>
        <v/>
      </c>
    </row>
    <row r="6680">
      <c r="A6680" s="6">
        <f>Database!$A8765</f>
        <v/>
      </c>
      <c r="B6680">
        <f>IF(VLOOKUP(Table7[[#This Row],[Date]],Database!$A:$C,MATCH($B$1,Database!$A$1:$C$1,),)=0,#N/A,VLOOKUP(Table7[[#This Row],[Date]],Database!$A:$C,MATCH($B$1,Database!$A$1:$C$1,),))</f>
        <v/>
      </c>
      <c r="C6680">
        <f>IF(VLOOKUP(Table7[[#This Row],[Date]],Database!$A:$C,MATCH($C$1,Database!$A$1:$C$1,),)=0,#N/A,VLOOKUP(Table7[[#This Row],[Date]],Database!$A:$C,MATCH($C$1,Database!$A$1:$C$1,),))</f>
        <v/>
      </c>
      <c r="D6680">
        <f>IFERROR(Table7[[#This Row],[United States 10y]]-Table7[[#This Row],[United States 3y]],#N/A)</f>
        <v/>
      </c>
    </row>
    <row r="6681">
      <c r="A6681" s="6">
        <f>Database!$A8766</f>
        <v/>
      </c>
      <c r="B6681">
        <f>IF(VLOOKUP(Table7[[#This Row],[Date]],Database!$A:$C,MATCH($B$1,Database!$A$1:$C$1,),)=0,#N/A,VLOOKUP(Table7[[#This Row],[Date]],Database!$A:$C,MATCH($B$1,Database!$A$1:$C$1,),))</f>
        <v/>
      </c>
      <c r="C6681">
        <f>IF(VLOOKUP(Table7[[#This Row],[Date]],Database!$A:$C,MATCH($C$1,Database!$A$1:$C$1,),)=0,#N/A,VLOOKUP(Table7[[#This Row],[Date]],Database!$A:$C,MATCH($C$1,Database!$A$1:$C$1,),))</f>
        <v/>
      </c>
      <c r="D6681">
        <f>IFERROR(Table7[[#This Row],[United States 10y]]-Table7[[#This Row],[United States 3y]],#N/A)</f>
        <v/>
      </c>
    </row>
    <row r="6682">
      <c r="A6682" s="6">
        <f>Database!$A8767</f>
        <v/>
      </c>
      <c r="B6682">
        <f>IF(VLOOKUP(Table7[[#This Row],[Date]],Database!$A:$C,MATCH($B$1,Database!$A$1:$C$1,),)=0,#N/A,VLOOKUP(Table7[[#This Row],[Date]],Database!$A:$C,MATCH($B$1,Database!$A$1:$C$1,),))</f>
        <v/>
      </c>
      <c r="C6682">
        <f>IF(VLOOKUP(Table7[[#This Row],[Date]],Database!$A:$C,MATCH($C$1,Database!$A$1:$C$1,),)=0,#N/A,VLOOKUP(Table7[[#This Row],[Date]],Database!$A:$C,MATCH($C$1,Database!$A$1:$C$1,),))</f>
        <v/>
      </c>
      <c r="D6682">
        <f>IFERROR(Table7[[#This Row],[United States 10y]]-Table7[[#This Row],[United States 3y]],#N/A)</f>
        <v/>
      </c>
    </row>
    <row r="6683">
      <c r="A6683" s="6">
        <f>Database!$A8768</f>
        <v/>
      </c>
      <c r="B6683">
        <f>IF(VLOOKUP(Table7[[#This Row],[Date]],Database!$A:$C,MATCH($B$1,Database!$A$1:$C$1,),)=0,#N/A,VLOOKUP(Table7[[#This Row],[Date]],Database!$A:$C,MATCH($B$1,Database!$A$1:$C$1,),))</f>
        <v/>
      </c>
      <c r="C6683">
        <f>IF(VLOOKUP(Table7[[#This Row],[Date]],Database!$A:$C,MATCH($C$1,Database!$A$1:$C$1,),)=0,#N/A,VLOOKUP(Table7[[#This Row],[Date]],Database!$A:$C,MATCH($C$1,Database!$A$1:$C$1,),))</f>
        <v/>
      </c>
      <c r="D6683">
        <f>IFERROR(Table7[[#This Row],[United States 10y]]-Table7[[#This Row],[United States 3y]],#N/A)</f>
        <v/>
      </c>
    </row>
    <row r="6684">
      <c r="A6684" s="6">
        <f>Database!$A8769</f>
        <v/>
      </c>
      <c r="B6684">
        <f>IF(VLOOKUP(Table7[[#This Row],[Date]],Database!$A:$C,MATCH($B$1,Database!$A$1:$C$1,),)=0,#N/A,VLOOKUP(Table7[[#This Row],[Date]],Database!$A:$C,MATCH($B$1,Database!$A$1:$C$1,),))</f>
        <v/>
      </c>
      <c r="C6684">
        <f>IF(VLOOKUP(Table7[[#This Row],[Date]],Database!$A:$C,MATCH($C$1,Database!$A$1:$C$1,),)=0,#N/A,VLOOKUP(Table7[[#This Row],[Date]],Database!$A:$C,MATCH($C$1,Database!$A$1:$C$1,),))</f>
        <v/>
      </c>
      <c r="D6684">
        <f>IFERROR(Table7[[#This Row],[United States 10y]]-Table7[[#This Row],[United States 3y]],#N/A)</f>
        <v/>
      </c>
    </row>
    <row r="6685">
      <c r="A6685" s="6">
        <f>Database!$A8770</f>
        <v/>
      </c>
      <c r="B6685">
        <f>IF(VLOOKUP(Table7[[#This Row],[Date]],Database!$A:$C,MATCH($B$1,Database!$A$1:$C$1,),)=0,#N/A,VLOOKUP(Table7[[#This Row],[Date]],Database!$A:$C,MATCH($B$1,Database!$A$1:$C$1,),))</f>
        <v/>
      </c>
      <c r="C6685">
        <f>IF(VLOOKUP(Table7[[#This Row],[Date]],Database!$A:$C,MATCH($C$1,Database!$A$1:$C$1,),)=0,#N/A,VLOOKUP(Table7[[#This Row],[Date]],Database!$A:$C,MATCH($C$1,Database!$A$1:$C$1,),))</f>
        <v/>
      </c>
      <c r="D6685">
        <f>IFERROR(Table7[[#This Row],[United States 10y]]-Table7[[#This Row],[United States 3y]],#N/A)</f>
        <v/>
      </c>
    </row>
    <row r="6686">
      <c r="A6686" s="6">
        <f>Database!$A8771</f>
        <v/>
      </c>
      <c r="B6686">
        <f>IF(VLOOKUP(Table7[[#This Row],[Date]],Database!$A:$C,MATCH($B$1,Database!$A$1:$C$1,),)=0,#N/A,VLOOKUP(Table7[[#This Row],[Date]],Database!$A:$C,MATCH($B$1,Database!$A$1:$C$1,),))</f>
        <v/>
      </c>
      <c r="C6686">
        <f>IF(VLOOKUP(Table7[[#This Row],[Date]],Database!$A:$C,MATCH($C$1,Database!$A$1:$C$1,),)=0,#N/A,VLOOKUP(Table7[[#This Row],[Date]],Database!$A:$C,MATCH($C$1,Database!$A$1:$C$1,),))</f>
        <v/>
      </c>
      <c r="D6686">
        <f>IFERROR(Table7[[#This Row],[United States 10y]]-Table7[[#This Row],[United States 3y]],#N/A)</f>
        <v/>
      </c>
    </row>
    <row r="6687">
      <c r="A6687" s="6">
        <f>Database!$A8772</f>
        <v/>
      </c>
      <c r="B6687">
        <f>IF(VLOOKUP(Table7[[#This Row],[Date]],Database!$A:$C,MATCH($B$1,Database!$A$1:$C$1,),)=0,#N/A,VLOOKUP(Table7[[#This Row],[Date]],Database!$A:$C,MATCH($B$1,Database!$A$1:$C$1,),))</f>
        <v/>
      </c>
      <c r="C6687">
        <f>IF(VLOOKUP(Table7[[#This Row],[Date]],Database!$A:$C,MATCH($C$1,Database!$A$1:$C$1,),)=0,#N/A,VLOOKUP(Table7[[#This Row],[Date]],Database!$A:$C,MATCH($C$1,Database!$A$1:$C$1,),))</f>
        <v/>
      </c>
      <c r="D6687">
        <f>IFERROR(Table7[[#This Row],[United States 10y]]-Table7[[#This Row],[United States 3y]],#N/A)</f>
        <v/>
      </c>
    </row>
    <row r="6688">
      <c r="A6688" s="6">
        <f>Database!$A8773</f>
        <v/>
      </c>
      <c r="B6688">
        <f>IF(VLOOKUP(Table7[[#This Row],[Date]],Database!$A:$C,MATCH($B$1,Database!$A$1:$C$1,),)=0,#N/A,VLOOKUP(Table7[[#This Row],[Date]],Database!$A:$C,MATCH($B$1,Database!$A$1:$C$1,),))</f>
        <v/>
      </c>
      <c r="C6688">
        <f>IF(VLOOKUP(Table7[[#This Row],[Date]],Database!$A:$C,MATCH($C$1,Database!$A$1:$C$1,),)=0,#N/A,VLOOKUP(Table7[[#This Row],[Date]],Database!$A:$C,MATCH($C$1,Database!$A$1:$C$1,),))</f>
        <v/>
      </c>
      <c r="D6688">
        <f>IFERROR(Table7[[#This Row],[United States 10y]]-Table7[[#This Row],[United States 3y]],#N/A)</f>
        <v/>
      </c>
    </row>
    <row r="6689">
      <c r="A6689" s="6">
        <f>Database!$A8774</f>
        <v/>
      </c>
      <c r="B6689">
        <f>IF(VLOOKUP(Table7[[#This Row],[Date]],Database!$A:$C,MATCH($B$1,Database!$A$1:$C$1,),)=0,#N/A,VLOOKUP(Table7[[#This Row],[Date]],Database!$A:$C,MATCH($B$1,Database!$A$1:$C$1,),))</f>
        <v/>
      </c>
      <c r="C6689">
        <f>IF(VLOOKUP(Table7[[#This Row],[Date]],Database!$A:$C,MATCH($C$1,Database!$A$1:$C$1,),)=0,#N/A,VLOOKUP(Table7[[#This Row],[Date]],Database!$A:$C,MATCH($C$1,Database!$A$1:$C$1,),))</f>
        <v/>
      </c>
      <c r="D6689">
        <f>IFERROR(Table7[[#This Row],[United States 10y]]-Table7[[#This Row],[United States 3y]],#N/A)</f>
        <v/>
      </c>
    </row>
    <row r="6690">
      <c r="A6690" s="6">
        <f>Database!$A8775</f>
        <v/>
      </c>
      <c r="B6690">
        <f>IF(VLOOKUP(Table7[[#This Row],[Date]],Database!$A:$C,MATCH($B$1,Database!$A$1:$C$1,),)=0,#N/A,VLOOKUP(Table7[[#This Row],[Date]],Database!$A:$C,MATCH($B$1,Database!$A$1:$C$1,),))</f>
        <v/>
      </c>
      <c r="C6690">
        <f>IF(VLOOKUP(Table7[[#This Row],[Date]],Database!$A:$C,MATCH($C$1,Database!$A$1:$C$1,),)=0,#N/A,VLOOKUP(Table7[[#This Row],[Date]],Database!$A:$C,MATCH($C$1,Database!$A$1:$C$1,),))</f>
        <v/>
      </c>
      <c r="D6690">
        <f>IFERROR(Table7[[#This Row],[United States 10y]]-Table7[[#This Row],[United States 3y]],#N/A)</f>
        <v/>
      </c>
    </row>
    <row r="6691">
      <c r="A6691" s="6">
        <f>Database!$A8776</f>
        <v/>
      </c>
      <c r="B6691">
        <f>IF(VLOOKUP(Table7[[#This Row],[Date]],Database!$A:$C,MATCH($B$1,Database!$A$1:$C$1,),)=0,#N/A,VLOOKUP(Table7[[#This Row],[Date]],Database!$A:$C,MATCH($B$1,Database!$A$1:$C$1,),))</f>
        <v/>
      </c>
      <c r="C6691">
        <f>IF(VLOOKUP(Table7[[#This Row],[Date]],Database!$A:$C,MATCH($C$1,Database!$A$1:$C$1,),)=0,#N/A,VLOOKUP(Table7[[#This Row],[Date]],Database!$A:$C,MATCH($C$1,Database!$A$1:$C$1,),))</f>
        <v/>
      </c>
      <c r="D6691">
        <f>IFERROR(Table7[[#This Row],[United States 10y]]-Table7[[#This Row],[United States 3y]],#N/A)</f>
        <v/>
      </c>
    </row>
    <row r="6692">
      <c r="A6692" s="6">
        <f>Database!$A8777</f>
        <v/>
      </c>
      <c r="B6692">
        <f>IF(VLOOKUP(Table7[[#This Row],[Date]],Database!$A:$C,MATCH($B$1,Database!$A$1:$C$1,),)=0,#N/A,VLOOKUP(Table7[[#This Row],[Date]],Database!$A:$C,MATCH($B$1,Database!$A$1:$C$1,),))</f>
        <v/>
      </c>
      <c r="C6692">
        <f>IF(VLOOKUP(Table7[[#This Row],[Date]],Database!$A:$C,MATCH($C$1,Database!$A$1:$C$1,),)=0,#N/A,VLOOKUP(Table7[[#This Row],[Date]],Database!$A:$C,MATCH($C$1,Database!$A$1:$C$1,),))</f>
        <v/>
      </c>
      <c r="D6692">
        <f>IFERROR(Table7[[#This Row],[United States 10y]]-Table7[[#This Row],[United States 3y]],#N/A)</f>
        <v/>
      </c>
    </row>
    <row r="6693">
      <c r="A6693" s="6">
        <f>Database!$A8778</f>
        <v/>
      </c>
      <c r="B6693">
        <f>IF(VLOOKUP(Table7[[#This Row],[Date]],Database!$A:$C,MATCH($B$1,Database!$A$1:$C$1,),)=0,#N/A,VLOOKUP(Table7[[#This Row],[Date]],Database!$A:$C,MATCH($B$1,Database!$A$1:$C$1,),))</f>
        <v/>
      </c>
      <c r="C6693">
        <f>IF(VLOOKUP(Table7[[#This Row],[Date]],Database!$A:$C,MATCH($C$1,Database!$A$1:$C$1,),)=0,#N/A,VLOOKUP(Table7[[#This Row],[Date]],Database!$A:$C,MATCH($C$1,Database!$A$1:$C$1,),))</f>
        <v/>
      </c>
      <c r="D6693">
        <f>IFERROR(Table7[[#This Row],[United States 10y]]-Table7[[#This Row],[United States 3y]],#N/A)</f>
        <v/>
      </c>
    </row>
    <row r="6694">
      <c r="A6694" s="6">
        <f>Database!$A8779</f>
        <v/>
      </c>
      <c r="B6694">
        <f>IF(VLOOKUP(Table7[[#This Row],[Date]],Database!$A:$C,MATCH($B$1,Database!$A$1:$C$1,),)=0,#N/A,VLOOKUP(Table7[[#This Row],[Date]],Database!$A:$C,MATCH($B$1,Database!$A$1:$C$1,),))</f>
        <v/>
      </c>
      <c r="C6694">
        <f>IF(VLOOKUP(Table7[[#This Row],[Date]],Database!$A:$C,MATCH($C$1,Database!$A$1:$C$1,),)=0,#N/A,VLOOKUP(Table7[[#This Row],[Date]],Database!$A:$C,MATCH($C$1,Database!$A$1:$C$1,),))</f>
        <v/>
      </c>
      <c r="D6694">
        <f>IFERROR(Table7[[#This Row],[United States 10y]]-Table7[[#This Row],[United States 3y]],#N/A)</f>
        <v/>
      </c>
    </row>
    <row r="6695">
      <c r="A6695" s="6">
        <f>Database!$A8780</f>
        <v/>
      </c>
      <c r="B6695">
        <f>IF(VLOOKUP(Table7[[#This Row],[Date]],Database!$A:$C,MATCH($B$1,Database!$A$1:$C$1,),)=0,#N/A,VLOOKUP(Table7[[#This Row],[Date]],Database!$A:$C,MATCH($B$1,Database!$A$1:$C$1,),))</f>
        <v/>
      </c>
      <c r="C6695">
        <f>IF(VLOOKUP(Table7[[#This Row],[Date]],Database!$A:$C,MATCH($C$1,Database!$A$1:$C$1,),)=0,#N/A,VLOOKUP(Table7[[#This Row],[Date]],Database!$A:$C,MATCH($C$1,Database!$A$1:$C$1,),))</f>
        <v/>
      </c>
      <c r="D6695">
        <f>IFERROR(Table7[[#This Row],[United States 10y]]-Table7[[#This Row],[United States 3y]],#N/A)</f>
        <v/>
      </c>
    </row>
    <row r="6696">
      <c r="A6696" s="6">
        <f>Database!$A8781</f>
        <v/>
      </c>
      <c r="B6696">
        <f>IF(VLOOKUP(Table7[[#This Row],[Date]],Database!$A:$C,MATCH($B$1,Database!$A$1:$C$1,),)=0,#N/A,VLOOKUP(Table7[[#This Row],[Date]],Database!$A:$C,MATCH($B$1,Database!$A$1:$C$1,),))</f>
        <v/>
      </c>
      <c r="C6696">
        <f>IF(VLOOKUP(Table7[[#This Row],[Date]],Database!$A:$C,MATCH($C$1,Database!$A$1:$C$1,),)=0,#N/A,VLOOKUP(Table7[[#This Row],[Date]],Database!$A:$C,MATCH($C$1,Database!$A$1:$C$1,),))</f>
        <v/>
      </c>
      <c r="D6696">
        <f>IFERROR(Table7[[#This Row],[United States 10y]]-Table7[[#This Row],[United States 3y]],#N/A)</f>
        <v/>
      </c>
    </row>
    <row r="6697">
      <c r="A6697" s="6">
        <f>Database!$A8782</f>
        <v/>
      </c>
      <c r="B6697">
        <f>IF(VLOOKUP(Table7[[#This Row],[Date]],Database!$A:$C,MATCH($B$1,Database!$A$1:$C$1,),)=0,#N/A,VLOOKUP(Table7[[#This Row],[Date]],Database!$A:$C,MATCH($B$1,Database!$A$1:$C$1,),))</f>
        <v/>
      </c>
      <c r="C6697">
        <f>IF(VLOOKUP(Table7[[#This Row],[Date]],Database!$A:$C,MATCH($C$1,Database!$A$1:$C$1,),)=0,#N/A,VLOOKUP(Table7[[#This Row],[Date]],Database!$A:$C,MATCH($C$1,Database!$A$1:$C$1,),))</f>
        <v/>
      </c>
      <c r="D6697">
        <f>IFERROR(Table7[[#This Row],[United States 10y]]-Table7[[#This Row],[United States 3y]],#N/A)</f>
        <v/>
      </c>
    </row>
    <row r="6698">
      <c r="A6698" s="6">
        <f>Database!$A8783</f>
        <v/>
      </c>
      <c r="B6698">
        <f>IF(VLOOKUP(Table7[[#This Row],[Date]],Database!$A:$C,MATCH($B$1,Database!$A$1:$C$1,),)=0,#N/A,VLOOKUP(Table7[[#This Row],[Date]],Database!$A:$C,MATCH($B$1,Database!$A$1:$C$1,),))</f>
        <v/>
      </c>
      <c r="C6698">
        <f>IF(VLOOKUP(Table7[[#This Row],[Date]],Database!$A:$C,MATCH($C$1,Database!$A$1:$C$1,),)=0,#N/A,VLOOKUP(Table7[[#This Row],[Date]],Database!$A:$C,MATCH($C$1,Database!$A$1:$C$1,),))</f>
        <v/>
      </c>
      <c r="D6698">
        <f>IFERROR(Table7[[#This Row],[United States 10y]]-Table7[[#This Row],[United States 3y]],#N/A)</f>
        <v/>
      </c>
    </row>
    <row r="6699">
      <c r="A6699" s="6">
        <f>Database!$A8784</f>
        <v/>
      </c>
      <c r="B6699">
        <f>IF(VLOOKUP(Table7[[#This Row],[Date]],Database!$A:$C,MATCH($B$1,Database!$A$1:$C$1,),)=0,#N/A,VLOOKUP(Table7[[#This Row],[Date]],Database!$A:$C,MATCH($B$1,Database!$A$1:$C$1,),))</f>
        <v/>
      </c>
      <c r="C6699">
        <f>IF(VLOOKUP(Table7[[#This Row],[Date]],Database!$A:$C,MATCH($C$1,Database!$A$1:$C$1,),)=0,#N/A,VLOOKUP(Table7[[#This Row],[Date]],Database!$A:$C,MATCH($C$1,Database!$A$1:$C$1,),))</f>
        <v/>
      </c>
      <c r="D6699">
        <f>IFERROR(Table7[[#This Row],[United States 10y]]-Table7[[#This Row],[United States 3y]],#N/A)</f>
        <v/>
      </c>
    </row>
    <row r="6700">
      <c r="A6700" s="6">
        <f>Database!$A8785</f>
        <v/>
      </c>
      <c r="B6700">
        <f>IF(VLOOKUP(Table7[[#This Row],[Date]],Database!$A:$C,MATCH($B$1,Database!$A$1:$C$1,),)=0,#N/A,VLOOKUP(Table7[[#This Row],[Date]],Database!$A:$C,MATCH($B$1,Database!$A$1:$C$1,),))</f>
        <v/>
      </c>
      <c r="C6700">
        <f>IF(VLOOKUP(Table7[[#This Row],[Date]],Database!$A:$C,MATCH($C$1,Database!$A$1:$C$1,),)=0,#N/A,VLOOKUP(Table7[[#This Row],[Date]],Database!$A:$C,MATCH($C$1,Database!$A$1:$C$1,),))</f>
        <v/>
      </c>
      <c r="D6700">
        <f>IFERROR(Table7[[#This Row],[United States 10y]]-Table7[[#This Row],[United States 3y]],#N/A)</f>
        <v/>
      </c>
    </row>
    <row r="6701">
      <c r="A6701" s="6">
        <f>Database!$A8786</f>
        <v/>
      </c>
      <c r="B6701">
        <f>IF(VLOOKUP(Table7[[#This Row],[Date]],Database!$A:$C,MATCH($B$1,Database!$A$1:$C$1,),)=0,#N/A,VLOOKUP(Table7[[#This Row],[Date]],Database!$A:$C,MATCH($B$1,Database!$A$1:$C$1,),))</f>
        <v/>
      </c>
      <c r="C6701">
        <f>IF(VLOOKUP(Table7[[#This Row],[Date]],Database!$A:$C,MATCH($C$1,Database!$A$1:$C$1,),)=0,#N/A,VLOOKUP(Table7[[#This Row],[Date]],Database!$A:$C,MATCH($C$1,Database!$A$1:$C$1,),))</f>
        <v/>
      </c>
      <c r="D6701">
        <f>IFERROR(Table7[[#This Row],[United States 10y]]-Table7[[#This Row],[United States 3y]],#N/A)</f>
        <v/>
      </c>
    </row>
    <row r="6702">
      <c r="A6702" s="6">
        <f>Database!$A8787</f>
        <v/>
      </c>
      <c r="B6702">
        <f>IF(VLOOKUP(Table7[[#This Row],[Date]],Database!$A:$C,MATCH($B$1,Database!$A$1:$C$1,),)=0,#N/A,VLOOKUP(Table7[[#This Row],[Date]],Database!$A:$C,MATCH($B$1,Database!$A$1:$C$1,),))</f>
        <v/>
      </c>
      <c r="C6702">
        <f>IF(VLOOKUP(Table7[[#This Row],[Date]],Database!$A:$C,MATCH($C$1,Database!$A$1:$C$1,),)=0,#N/A,VLOOKUP(Table7[[#This Row],[Date]],Database!$A:$C,MATCH($C$1,Database!$A$1:$C$1,),))</f>
        <v/>
      </c>
      <c r="D6702">
        <f>IFERROR(Table7[[#This Row],[United States 10y]]-Table7[[#This Row],[United States 3y]],#N/A)</f>
        <v/>
      </c>
    </row>
    <row r="6703">
      <c r="A6703" s="6">
        <f>Database!$A8788</f>
        <v/>
      </c>
      <c r="B6703">
        <f>IF(VLOOKUP(Table7[[#This Row],[Date]],Database!$A:$C,MATCH($B$1,Database!$A$1:$C$1,),)=0,#N/A,VLOOKUP(Table7[[#This Row],[Date]],Database!$A:$C,MATCH($B$1,Database!$A$1:$C$1,),))</f>
        <v/>
      </c>
      <c r="C6703">
        <f>IF(VLOOKUP(Table7[[#This Row],[Date]],Database!$A:$C,MATCH($C$1,Database!$A$1:$C$1,),)=0,#N/A,VLOOKUP(Table7[[#This Row],[Date]],Database!$A:$C,MATCH($C$1,Database!$A$1:$C$1,),))</f>
        <v/>
      </c>
      <c r="D6703">
        <f>IFERROR(Table7[[#This Row],[United States 10y]]-Table7[[#This Row],[United States 3y]],#N/A)</f>
        <v/>
      </c>
    </row>
    <row r="6704">
      <c r="A6704" s="6">
        <f>Database!$A8789</f>
        <v/>
      </c>
      <c r="B6704">
        <f>IF(VLOOKUP(Table7[[#This Row],[Date]],Database!$A:$C,MATCH($B$1,Database!$A$1:$C$1,),)=0,#N/A,VLOOKUP(Table7[[#This Row],[Date]],Database!$A:$C,MATCH($B$1,Database!$A$1:$C$1,),))</f>
        <v/>
      </c>
      <c r="C6704">
        <f>IF(VLOOKUP(Table7[[#This Row],[Date]],Database!$A:$C,MATCH($C$1,Database!$A$1:$C$1,),)=0,#N/A,VLOOKUP(Table7[[#This Row],[Date]],Database!$A:$C,MATCH($C$1,Database!$A$1:$C$1,),))</f>
        <v/>
      </c>
      <c r="D6704">
        <f>IFERROR(Table7[[#This Row],[United States 10y]]-Table7[[#This Row],[United States 3y]],#N/A)</f>
        <v/>
      </c>
    </row>
    <row r="6705">
      <c r="A6705" s="6">
        <f>Database!$A8790</f>
        <v/>
      </c>
      <c r="B6705">
        <f>IF(VLOOKUP(Table7[[#This Row],[Date]],Database!$A:$C,MATCH($B$1,Database!$A$1:$C$1,),)=0,#N/A,VLOOKUP(Table7[[#This Row],[Date]],Database!$A:$C,MATCH($B$1,Database!$A$1:$C$1,),))</f>
        <v/>
      </c>
      <c r="C6705">
        <f>IF(VLOOKUP(Table7[[#This Row],[Date]],Database!$A:$C,MATCH($C$1,Database!$A$1:$C$1,),)=0,#N/A,VLOOKUP(Table7[[#This Row],[Date]],Database!$A:$C,MATCH($C$1,Database!$A$1:$C$1,),))</f>
        <v/>
      </c>
      <c r="D6705">
        <f>IFERROR(Table7[[#This Row],[United States 10y]]-Table7[[#This Row],[United States 3y]],#N/A)</f>
        <v/>
      </c>
    </row>
    <row r="6706">
      <c r="A6706" s="6">
        <f>Database!$A8791</f>
        <v/>
      </c>
      <c r="B6706">
        <f>IF(VLOOKUP(Table7[[#This Row],[Date]],Database!$A:$C,MATCH($B$1,Database!$A$1:$C$1,),)=0,#N/A,VLOOKUP(Table7[[#This Row],[Date]],Database!$A:$C,MATCH($B$1,Database!$A$1:$C$1,),))</f>
        <v/>
      </c>
      <c r="C6706">
        <f>IF(VLOOKUP(Table7[[#This Row],[Date]],Database!$A:$C,MATCH($C$1,Database!$A$1:$C$1,),)=0,#N/A,VLOOKUP(Table7[[#This Row],[Date]],Database!$A:$C,MATCH($C$1,Database!$A$1:$C$1,),))</f>
        <v/>
      </c>
      <c r="D6706">
        <f>IFERROR(Table7[[#This Row],[United States 10y]]-Table7[[#This Row],[United States 3y]],#N/A)</f>
        <v/>
      </c>
    </row>
    <row r="6707">
      <c r="A6707" s="6">
        <f>Database!$A8792</f>
        <v/>
      </c>
      <c r="B6707">
        <f>IF(VLOOKUP(Table7[[#This Row],[Date]],Database!$A:$C,MATCH($B$1,Database!$A$1:$C$1,),)=0,#N/A,VLOOKUP(Table7[[#This Row],[Date]],Database!$A:$C,MATCH($B$1,Database!$A$1:$C$1,),))</f>
        <v/>
      </c>
      <c r="C6707">
        <f>IF(VLOOKUP(Table7[[#This Row],[Date]],Database!$A:$C,MATCH($C$1,Database!$A$1:$C$1,),)=0,#N/A,VLOOKUP(Table7[[#This Row],[Date]],Database!$A:$C,MATCH($C$1,Database!$A$1:$C$1,),))</f>
        <v/>
      </c>
      <c r="D6707">
        <f>IFERROR(Table7[[#This Row],[United States 10y]]-Table7[[#This Row],[United States 3y]],#N/A)</f>
        <v/>
      </c>
    </row>
    <row r="6708">
      <c r="A6708" s="6">
        <f>Database!$A8793</f>
        <v/>
      </c>
      <c r="B6708">
        <f>IF(VLOOKUP(Table7[[#This Row],[Date]],Database!$A:$C,MATCH($B$1,Database!$A$1:$C$1,),)=0,#N/A,VLOOKUP(Table7[[#This Row],[Date]],Database!$A:$C,MATCH($B$1,Database!$A$1:$C$1,),))</f>
        <v/>
      </c>
      <c r="C6708">
        <f>IF(VLOOKUP(Table7[[#This Row],[Date]],Database!$A:$C,MATCH($C$1,Database!$A$1:$C$1,),)=0,#N/A,VLOOKUP(Table7[[#This Row],[Date]],Database!$A:$C,MATCH($C$1,Database!$A$1:$C$1,),))</f>
        <v/>
      </c>
      <c r="D6708">
        <f>IFERROR(Table7[[#This Row],[United States 10y]]-Table7[[#This Row],[United States 3y]],#N/A)</f>
        <v/>
      </c>
    </row>
    <row r="6709">
      <c r="A6709" s="6">
        <f>Database!$A8794</f>
        <v/>
      </c>
      <c r="B6709">
        <f>IF(VLOOKUP(Table7[[#This Row],[Date]],Database!$A:$C,MATCH($B$1,Database!$A$1:$C$1,),)=0,#N/A,VLOOKUP(Table7[[#This Row],[Date]],Database!$A:$C,MATCH($B$1,Database!$A$1:$C$1,),))</f>
        <v/>
      </c>
      <c r="C6709">
        <f>IF(VLOOKUP(Table7[[#This Row],[Date]],Database!$A:$C,MATCH($C$1,Database!$A$1:$C$1,),)=0,#N/A,VLOOKUP(Table7[[#This Row],[Date]],Database!$A:$C,MATCH($C$1,Database!$A$1:$C$1,),))</f>
        <v/>
      </c>
      <c r="D6709">
        <f>IFERROR(Table7[[#This Row],[United States 10y]]-Table7[[#This Row],[United States 3y]],#N/A)</f>
        <v/>
      </c>
    </row>
    <row r="6710">
      <c r="A6710" s="6">
        <f>Database!$A8795</f>
        <v/>
      </c>
      <c r="B6710">
        <f>IF(VLOOKUP(Table7[[#This Row],[Date]],Database!$A:$C,MATCH($B$1,Database!$A$1:$C$1,),)=0,#N/A,VLOOKUP(Table7[[#This Row],[Date]],Database!$A:$C,MATCH($B$1,Database!$A$1:$C$1,),))</f>
        <v/>
      </c>
      <c r="C6710">
        <f>IF(VLOOKUP(Table7[[#This Row],[Date]],Database!$A:$C,MATCH($C$1,Database!$A$1:$C$1,),)=0,#N/A,VLOOKUP(Table7[[#This Row],[Date]],Database!$A:$C,MATCH($C$1,Database!$A$1:$C$1,),))</f>
        <v/>
      </c>
      <c r="D6710">
        <f>IFERROR(Table7[[#This Row],[United States 10y]]-Table7[[#This Row],[United States 3y]],#N/A)</f>
        <v/>
      </c>
    </row>
    <row r="6711">
      <c r="A6711" s="6">
        <f>Database!$A8796</f>
        <v/>
      </c>
      <c r="B6711">
        <f>IF(VLOOKUP(Table7[[#This Row],[Date]],Database!$A:$C,MATCH($B$1,Database!$A$1:$C$1,),)=0,#N/A,VLOOKUP(Table7[[#This Row],[Date]],Database!$A:$C,MATCH($B$1,Database!$A$1:$C$1,),))</f>
        <v/>
      </c>
      <c r="C6711">
        <f>IF(VLOOKUP(Table7[[#This Row],[Date]],Database!$A:$C,MATCH($C$1,Database!$A$1:$C$1,),)=0,#N/A,VLOOKUP(Table7[[#This Row],[Date]],Database!$A:$C,MATCH($C$1,Database!$A$1:$C$1,),))</f>
        <v/>
      </c>
      <c r="D6711">
        <f>IFERROR(Table7[[#This Row],[United States 10y]]-Table7[[#This Row],[United States 3y]],#N/A)</f>
        <v/>
      </c>
    </row>
    <row r="6712">
      <c r="A6712" s="6">
        <f>Database!$A8797</f>
        <v/>
      </c>
      <c r="B6712">
        <f>IF(VLOOKUP(Table7[[#This Row],[Date]],Database!$A:$C,MATCH($B$1,Database!$A$1:$C$1,),)=0,#N/A,VLOOKUP(Table7[[#This Row],[Date]],Database!$A:$C,MATCH($B$1,Database!$A$1:$C$1,),))</f>
        <v/>
      </c>
      <c r="C6712">
        <f>IF(VLOOKUP(Table7[[#This Row],[Date]],Database!$A:$C,MATCH($C$1,Database!$A$1:$C$1,),)=0,#N/A,VLOOKUP(Table7[[#This Row],[Date]],Database!$A:$C,MATCH($C$1,Database!$A$1:$C$1,),))</f>
        <v/>
      </c>
      <c r="D6712">
        <f>IFERROR(Table7[[#This Row],[United States 10y]]-Table7[[#This Row],[United States 3y]],#N/A)</f>
        <v/>
      </c>
    </row>
    <row r="6713">
      <c r="A6713" s="6">
        <f>Database!$A8798</f>
        <v/>
      </c>
      <c r="B6713">
        <f>IF(VLOOKUP(Table7[[#This Row],[Date]],Database!$A:$C,MATCH($B$1,Database!$A$1:$C$1,),)=0,#N/A,VLOOKUP(Table7[[#This Row],[Date]],Database!$A:$C,MATCH($B$1,Database!$A$1:$C$1,),))</f>
        <v/>
      </c>
      <c r="C6713">
        <f>IF(VLOOKUP(Table7[[#This Row],[Date]],Database!$A:$C,MATCH($C$1,Database!$A$1:$C$1,),)=0,#N/A,VLOOKUP(Table7[[#This Row],[Date]],Database!$A:$C,MATCH($C$1,Database!$A$1:$C$1,),))</f>
        <v/>
      </c>
      <c r="D6713">
        <f>IFERROR(Table7[[#This Row],[United States 10y]]-Table7[[#This Row],[United States 3y]],#N/A)</f>
        <v/>
      </c>
    </row>
    <row r="6714">
      <c r="A6714" s="6">
        <f>Database!$A8799</f>
        <v/>
      </c>
      <c r="B6714">
        <f>IF(VLOOKUP(Table7[[#This Row],[Date]],Database!$A:$C,MATCH($B$1,Database!$A$1:$C$1,),)=0,#N/A,VLOOKUP(Table7[[#This Row],[Date]],Database!$A:$C,MATCH($B$1,Database!$A$1:$C$1,),))</f>
        <v/>
      </c>
      <c r="C6714">
        <f>IF(VLOOKUP(Table7[[#This Row],[Date]],Database!$A:$C,MATCH($C$1,Database!$A$1:$C$1,),)=0,#N/A,VLOOKUP(Table7[[#This Row],[Date]],Database!$A:$C,MATCH($C$1,Database!$A$1:$C$1,),))</f>
        <v/>
      </c>
      <c r="D6714">
        <f>IFERROR(Table7[[#This Row],[United States 10y]]-Table7[[#This Row],[United States 3y]],#N/A)</f>
        <v/>
      </c>
    </row>
    <row r="6715">
      <c r="A6715" s="6">
        <f>Database!$A8800</f>
        <v/>
      </c>
      <c r="B6715">
        <f>IF(VLOOKUP(Table7[[#This Row],[Date]],Database!$A:$C,MATCH($B$1,Database!$A$1:$C$1,),)=0,#N/A,VLOOKUP(Table7[[#This Row],[Date]],Database!$A:$C,MATCH($B$1,Database!$A$1:$C$1,),))</f>
        <v/>
      </c>
      <c r="C6715">
        <f>IF(VLOOKUP(Table7[[#This Row],[Date]],Database!$A:$C,MATCH($C$1,Database!$A$1:$C$1,),)=0,#N/A,VLOOKUP(Table7[[#This Row],[Date]],Database!$A:$C,MATCH($C$1,Database!$A$1:$C$1,),))</f>
        <v/>
      </c>
      <c r="D6715">
        <f>IFERROR(Table7[[#This Row],[United States 10y]]-Table7[[#This Row],[United States 3y]],#N/A)</f>
        <v/>
      </c>
    </row>
    <row r="6716">
      <c r="A6716" s="6">
        <f>Database!$A8801</f>
        <v/>
      </c>
      <c r="B6716">
        <f>IF(VLOOKUP(Table7[[#This Row],[Date]],Database!$A:$C,MATCH($B$1,Database!$A$1:$C$1,),)=0,#N/A,VLOOKUP(Table7[[#This Row],[Date]],Database!$A:$C,MATCH($B$1,Database!$A$1:$C$1,),))</f>
        <v/>
      </c>
      <c r="C6716">
        <f>IF(VLOOKUP(Table7[[#This Row],[Date]],Database!$A:$C,MATCH($C$1,Database!$A$1:$C$1,),)=0,#N/A,VLOOKUP(Table7[[#This Row],[Date]],Database!$A:$C,MATCH($C$1,Database!$A$1:$C$1,),))</f>
        <v/>
      </c>
      <c r="D6716">
        <f>IFERROR(Table7[[#This Row],[United States 10y]]-Table7[[#This Row],[United States 3y]],#N/A)</f>
        <v/>
      </c>
    </row>
    <row r="6717">
      <c r="A6717" s="6">
        <f>Database!$A8802</f>
        <v/>
      </c>
      <c r="B6717">
        <f>IF(VLOOKUP(Table7[[#This Row],[Date]],Database!$A:$C,MATCH($B$1,Database!$A$1:$C$1,),)=0,#N/A,VLOOKUP(Table7[[#This Row],[Date]],Database!$A:$C,MATCH($B$1,Database!$A$1:$C$1,),))</f>
        <v/>
      </c>
      <c r="C6717">
        <f>IF(VLOOKUP(Table7[[#This Row],[Date]],Database!$A:$C,MATCH($C$1,Database!$A$1:$C$1,),)=0,#N/A,VLOOKUP(Table7[[#This Row],[Date]],Database!$A:$C,MATCH($C$1,Database!$A$1:$C$1,),))</f>
        <v/>
      </c>
      <c r="D6717">
        <f>IFERROR(Table7[[#This Row],[United States 10y]]-Table7[[#This Row],[United States 3y]],#N/A)</f>
        <v/>
      </c>
    </row>
    <row r="6718">
      <c r="A6718" s="6">
        <f>Database!$A8803</f>
        <v/>
      </c>
      <c r="B6718">
        <f>IF(VLOOKUP(Table7[[#This Row],[Date]],Database!$A:$C,MATCH($B$1,Database!$A$1:$C$1,),)=0,#N/A,VLOOKUP(Table7[[#This Row],[Date]],Database!$A:$C,MATCH($B$1,Database!$A$1:$C$1,),))</f>
        <v/>
      </c>
      <c r="C6718">
        <f>IF(VLOOKUP(Table7[[#This Row],[Date]],Database!$A:$C,MATCH($C$1,Database!$A$1:$C$1,),)=0,#N/A,VLOOKUP(Table7[[#This Row],[Date]],Database!$A:$C,MATCH($C$1,Database!$A$1:$C$1,),))</f>
        <v/>
      </c>
      <c r="D6718">
        <f>IFERROR(Table7[[#This Row],[United States 10y]]-Table7[[#This Row],[United States 3y]],#N/A)</f>
        <v/>
      </c>
    </row>
    <row r="6719">
      <c r="A6719" s="6">
        <f>Database!$A8804</f>
        <v/>
      </c>
      <c r="B6719">
        <f>IF(VLOOKUP(Table7[[#This Row],[Date]],Database!$A:$C,MATCH($B$1,Database!$A$1:$C$1,),)=0,#N/A,VLOOKUP(Table7[[#This Row],[Date]],Database!$A:$C,MATCH($B$1,Database!$A$1:$C$1,),))</f>
        <v/>
      </c>
      <c r="C6719">
        <f>IF(VLOOKUP(Table7[[#This Row],[Date]],Database!$A:$C,MATCH($C$1,Database!$A$1:$C$1,),)=0,#N/A,VLOOKUP(Table7[[#This Row],[Date]],Database!$A:$C,MATCH($C$1,Database!$A$1:$C$1,),))</f>
        <v/>
      </c>
      <c r="D6719">
        <f>IFERROR(Table7[[#This Row],[United States 10y]]-Table7[[#This Row],[United States 3y]],#N/A)</f>
        <v/>
      </c>
    </row>
    <row r="6720">
      <c r="A6720" s="6">
        <f>Database!$A8805</f>
        <v/>
      </c>
      <c r="B6720">
        <f>IF(VLOOKUP(Table7[[#This Row],[Date]],Database!$A:$C,MATCH($B$1,Database!$A$1:$C$1,),)=0,#N/A,VLOOKUP(Table7[[#This Row],[Date]],Database!$A:$C,MATCH($B$1,Database!$A$1:$C$1,),))</f>
        <v/>
      </c>
      <c r="C6720">
        <f>IF(VLOOKUP(Table7[[#This Row],[Date]],Database!$A:$C,MATCH($C$1,Database!$A$1:$C$1,),)=0,#N/A,VLOOKUP(Table7[[#This Row],[Date]],Database!$A:$C,MATCH($C$1,Database!$A$1:$C$1,),))</f>
        <v/>
      </c>
      <c r="D6720">
        <f>IFERROR(Table7[[#This Row],[United States 10y]]-Table7[[#This Row],[United States 3y]],#N/A)</f>
        <v/>
      </c>
    </row>
    <row r="6721">
      <c r="A6721" s="6">
        <f>Database!$A8806</f>
        <v/>
      </c>
      <c r="B6721">
        <f>IF(VLOOKUP(Table7[[#This Row],[Date]],Database!$A:$C,MATCH($B$1,Database!$A$1:$C$1,),)=0,#N/A,VLOOKUP(Table7[[#This Row],[Date]],Database!$A:$C,MATCH($B$1,Database!$A$1:$C$1,),))</f>
        <v/>
      </c>
      <c r="C6721">
        <f>IF(VLOOKUP(Table7[[#This Row],[Date]],Database!$A:$C,MATCH($C$1,Database!$A$1:$C$1,),)=0,#N/A,VLOOKUP(Table7[[#This Row],[Date]],Database!$A:$C,MATCH($C$1,Database!$A$1:$C$1,),))</f>
        <v/>
      </c>
      <c r="D6721">
        <f>IFERROR(Table7[[#This Row],[United States 10y]]-Table7[[#This Row],[United States 3y]],#N/A)</f>
        <v/>
      </c>
    </row>
    <row r="6722">
      <c r="A6722" s="6">
        <f>Database!$A8807</f>
        <v/>
      </c>
      <c r="B6722">
        <f>IF(VLOOKUP(Table7[[#This Row],[Date]],Database!$A:$C,MATCH($B$1,Database!$A$1:$C$1,),)=0,#N/A,VLOOKUP(Table7[[#This Row],[Date]],Database!$A:$C,MATCH($B$1,Database!$A$1:$C$1,),))</f>
        <v/>
      </c>
      <c r="C6722">
        <f>IF(VLOOKUP(Table7[[#This Row],[Date]],Database!$A:$C,MATCH($C$1,Database!$A$1:$C$1,),)=0,#N/A,VLOOKUP(Table7[[#This Row],[Date]],Database!$A:$C,MATCH($C$1,Database!$A$1:$C$1,),))</f>
        <v/>
      </c>
      <c r="D6722">
        <f>IFERROR(Table7[[#This Row],[United States 10y]]-Table7[[#This Row],[United States 3y]],#N/A)</f>
        <v/>
      </c>
    </row>
    <row r="6723">
      <c r="A6723" s="6">
        <f>Database!$A8808</f>
        <v/>
      </c>
      <c r="B6723">
        <f>IF(VLOOKUP(Table7[[#This Row],[Date]],Database!$A:$C,MATCH($B$1,Database!$A$1:$C$1,),)=0,#N/A,VLOOKUP(Table7[[#This Row],[Date]],Database!$A:$C,MATCH($B$1,Database!$A$1:$C$1,),))</f>
        <v/>
      </c>
      <c r="C6723">
        <f>IF(VLOOKUP(Table7[[#This Row],[Date]],Database!$A:$C,MATCH($C$1,Database!$A$1:$C$1,),)=0,#N/A,VLOOKUP(Table7[[#This Row],[Date]],Database!$A:$C,MATCH($C$1,Database!$A$1:$C$1,),))</f>
        <v/>
      </c>
      <c r="D6723">
        <f>IFERROR(Table7[[#This Row],[United States 10y]]-Table7[[#This Row],[United States 3y]],#N/A)</f>
        <v/>
      </c>
    </row>
    <row r="6724">
      <c r="A6724" s="6">
        <f>Database!$A8809</f>
        <v/>
      </c>
      <c r="B6724">
        <f>IF(VLOOKUP(Table7[[#This Row],[Date]],Database!$A:$C,MATCH($B$1,Database!$A$1:$C$1,),)=0,#N/A,VLOOKUP(Table7[[#This Row],[Date]],Database!$A:$C,MATCH($B$1,Database!$A$1:$C$1,),))</f>
        <v/>
      </c>
      <c r="C6724">
        <f>IF(VLOOKUP(Table7[[#This Row],[Date]],Database!$A:$C,MATCH($C$1,Database!$A$1:$C$1,),)=0,#N/A,VLOOKUP(Table7[[#This Row],[Date]],Database!$A:$C,MATCH($C$1,Database!$A$1:$C$1,),))</f>
        <v/>
      </c>
      <c r="D6724">
        <f>IFERROR(Table7[[#This Row],[United States 10y]]-Table7[[#This Row],[United States 3y]],#N/A)</f>
        <v/>
      </c>
    </row>
    <row r="6725">
      <c r="A6725" s="6">
        <f>Database!$A8810</f>
        <v/>
      </c>
      <c r="B6725">
        <f>IF(VLOOKUP(Table7[[#This Row],[Date]],Database!$A:$C,MATCH($B$1,Database!$A$1:$C$1,),)=0,#N/A,VLOOKUP(Table7[[#This Row],[Date]],Database!$A:$C,MATCH($B$1,Database!$A$1:$C$1,),))</f>
        <v/>
      </c>
      <c r="C6725">
        <f>IF(VLOOKUP(Table7[[#This Row],[Date]],Database!$A:$C,MATCH($C$1,Database!$A$1:$C$1,),)=0,#N/A,VLOOKUP(Table7[[#This Row],[Date]],Database!$A:$C,MATCH($C$1,Database!$A$1:$C$1,),))</f>
        <v/>
      </c>
      <c r="D6725">
        <f>IFERROR(Table7[[#This Row],[United States 10y]]-Table7[[#This Row],[United States 3y]],#N/A)</f>
        <v/>
      </c>
    </row>
    <row r="6726">
      <c r="A6726" s="6">
        <f>Database!$A8811</f>
        <v/>
      </c>
      <c r="B6726">
        <f>IF(VLOOKUP(Table7[[#This Row],[Date]],Database!$A:$C,MATCH($B$1,Database!$A$1:$C$1,),)=0,#N/A,VLOOKUP(Table7[[#This Row],[Date]],Database!$A:$C,MATCH($B$1,Database!$A$1:$C$1,),))</f>
        <v/>
      </c>
      <c r="C6726">
        <f>IF(VLOOKUP(Table7[[#This Row],[Date]],Database!$A:$C,MATCH($C$1,Database!$A$1:$C$1,),)=0,#N/A,VLOOKUP(Table7[[#This Row],[Date]],Database!$A:$C,MATCH($C$1,Database!$A$1:$C$1,),))</f>
        <v/>
      </c>
      <c r="D6726">
        <f>IFERROR(Table7[[#This Row],[United States 10y]]-Table7[[#This Row],[United States 3y]],#N/A)</f>
        <v/>
      </c>
    </row>
    <row r="6727">
      <c r="A6727" s="6">
        <f>Database!$A8812</f>
        <v/>
      </c>
      <c r="B6727">
        <f>IF(VLOOKUP(Table7[[#This Row],[Date]],Database!$A:$C,MATCH($B$1,Database!$A$1:$C$1,),)=0,#N/A,VLOOKUP(Table7[[#This Row],[Date]],Database!$A:$C,MATCH($B$1,Database!$A$1:$C$1,),))</f>
        <v/>
      </c>
      <c r="C6727">
        <f>IF(VLOOKUP(Table7[[#This Row],[Date]],Database!$A:$C,MATCH($C$1,Database!$A$1:$C$1,),)=0,#N/A,VLOOKUP(Table7[[#This Row],[Date]],Database!$A:$C,MATCH($C$1,Database!$A$1:$C$1,),))</f>
        <v/>
      </c>
      <c r="D6727">
        <f>IFERROR(Table7[[#This Row],[United States 10y]]-Table7[[#This Row],[United States 3y]],#N/A)</f>
        <v/>
      </c>
    </row>
    <row r="6728">
      <c r="A6728" s="6">
        <f>Database!$A8813</f>
        <v/>
      </c>
      <c r="B6728">
        <f>IF(VLOOKUP(Table7[[#This Row],[Date]],Database!$A:$C,MATCH($B$1,Database!$A$1:$C$1,),)=0,#N/A,VLOOKUP(Table7[[#This Row],[Date]],Database!$A:$C,MATCH($B$1,Database!$A$1:$C$1,),))</f>
        <v/>
      </c>
      <c r="C6728">
        <f>IF(VLOOKUP(Table7[[#This Row],[Date]],Database!$A:$C,MATCH($C$1,Database!$A$1:$C$1,),)=0,#N/A,VLOOKUP(Table7[[#This Row],[Date]],Database!$A:$C,MATCH($C$1,Database!$A$1:$C$1,),))</f>
        <v/>
      </c>
      <c r="D6728">
        <f>IFERROR(Table7[[#This Row],[United States 10y]]-Table7[[#This Row],[United States 3y]],#N/A)</f>
        <v/>
      </c>
    </row>
    <row r="6729">
      <c r="A6729" s="6">
        <f>Database!$A8814</f>
        <v/>
      </c>
      <c r="B6729">
        <f>IF(VLOOKUP(Table7[[#This Row],[Date]],Database!$A:$C,MATCH($B$1,Database!$A$1:$C$1,),)=0,#N/A,VLOOKUP(Table7[[#This Row],[Date]],Database!$A:$C,MATCH($B$1,Database!$A$1:$C$1,),))</f>
        <v/>
      </c>
      <c r="C6729">
        <f>IF(VLOOKUP(Table7[[#This Row],[Date]],Database!$A:$C,MATCH($C$1,Database!$A$1:$C$1,),)=0,#N/A,VLOOKUP(Table7[[#This Row],[Date]],Database!$A:$C,MATCH($C$1,Database!$A$1:$C$1,),))</f>
        <v/>
      </c>
      <c r="D6729">
        <f>IFERROR(Table7[[#This Row],[United States 10y]]-Table7[[#This Row],[United States 3y]],#N/A)</f>
        <v/>
      </c>
    </row>
    <row r="6730">
      <c r="A6730" s="6">
        <f>Database!$A8815</f>
        <v/>
      </c>
      <c r="B6730">
        <f>IF(VLOOKUP(Table7[[#This Row],[Date]],Database!$A:$C,MATCH($B$1,Database!$A$1:$C$1,),)=0,#N/A,VLOOKUP(Table7[[#This Row],[Date]],Database!$A:$C,MATCH($B$1,Database!$A$1:$C$1,),))</f>
        <v/>
      </c>
      <c r="C6730">
        <f>IF(VLOOKUP(Table7[[#This Row],[Date]],Database!$A:$C,MATCH($C$1,Database!$A$1:$C$1,),)=0,#N/A,VLOOKUP(Table7[[#This Row],[Date]],Database!$A:$C,MATCH($C$1,Database!$A$1:$C$1,),))</f>
        <v/>
      </c>
      <c r="D6730">
        <f>IFERROR(Table7[[#This Row],[United States 10y]]-Table7[[#This Row],[United States 3y]],#N/A)</f>
        <v/>
      </c>
    </row>
    <row r="6731">
      <c r="A6731" s="6">
        <f>Database!$A8816</f>
        <v/>
      </c>
      <c r="B6731">
        <f>IF(VLOOKUP(Table7[[#This Row],[Date]],Database!$A:$C,MATCH($B$1,Database!$A$1:$C$1,),)=0,#N/A,VLOOKUP(Table7[[#This Row],[Date]],Database!$A:$C,MATCH($B$1,Database!$A$1:$C$1,),))</f>
        <v/>
      </c>
      <c r="C6731">
        <f>IF(VLOOKUP(Table7[[#This Row],[Date]],Database!$A:$C,MATCH($C$1,Database!$A$1:$C$1,),)=0,#N/A,VLOOKUP(Table7[[#This Row],[Date]],Database!$A:$C,MATCH($C$1,Database!$A$1:$C$1,),))</f>
        <v/>
      </c>
      <c r="D6731">
        <f>IFERROR(Table7[[#This Row],[United States 10y]]-Table7[[#This Row],[United States 3y]],#N/A)</f>
        <v/>
      </c>
    </row>
    <row r="6732">
      <c r="A6732" s="6">
        <f>Database!$A8817</f>
        <v/>
      </c>
      <c r="B6732">
        <f>IF(VLOOKUP(Table7[[#This Row],[Date]],Database!$A:$C,MATCH($B$1,Database!$A$1:$C$1,),)=0,#N/A,VLOOKUP(Table7[[#This Row],[Date]],Database!$A:$C,MATCH($B$1,Database!$A$1:$C$1,),))</f>
        <v/>
      </c>
      <c r="C6732">
        <f>IF(VLOOKUP(Table7[[#This Row],[Date]],Database!$A:$C,MATCH($C$1,Database!$A$1:$C$1,),)=0,#N/A,VLOOKUP(Table7[[#This Row],[Date]],Database!$A:$C,MATCH($C$1,Database!$A$1:$C$1,),))</f>
        <v/>
      </c>
      <c r="D6732">
        <f>IFERROR(Table7[[#This Row],[United States 10y]]-Table7[[#This Row],[United States 3y]],#N/A)</f>
        <v/>
      </c>
    </row>
    <row r="6733">
      <c r="A6733" s="6">
        <f>Database!$A8818</f>
        <v/>
      </c>
      <c r="B6733">
        <f>IF(VLOOKUP(Table7[[#This Row],[Date]],Database!$A:$C,MATCH($B$1,Database!$A$1:$C$1,),)=0,#N/A,VLOOKUP(Table7[[#This Row],[Date]],Database!$A:$C,MATCH($B$1,Database!$A$1:$C$1,),))</f>
        <v/>
      </c>
      <c r="C6733">
        <f>IF(VLOOKUP(Table7[[#This Row],[Date]],Database!$A:$C,MATCH($C$1,Database!$A$1:$C$1,),)=0,#N/A,VLOOKUP(Table7[[#This Row],[Date]],Database!$A:$C,MATCH($C$1,Database!$A$1:$C$1,),))</f>
        <v/>
      </c>
      <c r="D6733">
        <f>IFERROR(Table7[[#This Row],[United States 10y]]-Table7[[#This Row],[United States 3y]],#N/A)</f>
        <v/>
      </c>
    </row>
    <row r="6734">
      <c r="A6734" s="6">
        <f>Database!$A8819</f>
        <v/>
      </c>
      <c r="B6734">
        <f>IF(VLOOKUP(Table7[[#This Row],[Date]],Database!$A:$C,MATCH($B$1,Database!$A$1:$C$1,),)=0,#N/A,VLOOKUP(Table7[[#This Row],[Date]],Database!$A:$C,MATCH($B$1,Database!$A$1:$C$1,),))</f>
        <v/>
      </c>
      <c r="C6734">
        <f>IF(VLOOKUP(Table7[[#This Row],[Date]],Database!$A:$C,MATCH($C$1,Database!$A$1:$C$1,),)=0,#N/A,VLOOKUP(Table7[[#This Row],[Date]],Database!$A:$C,MATCH($C$1,Database!$A$1:$C$1,),))</f>
        <v/>
      </c>
      <c r="D6734">
        <f>IFERROR(Table7[[#This Row],[United States 10y]]-Table7[[#This Row],[United States 3y]],#N/A)</f>
        <v/>
      </c>
    </row>
    <row r="6735">
      <c r="A6735" s="6">
        <f>Database!$A8820</f>
        <v/>
      </c>
      <c r="B6735">
        <f>IF(VLOOKUP(Table7[[#This Row],[Date]],Database!$A:$C,MATCH($B$1,Database!$A$1:$C$1,),)=0,#N/A,VLOOKUP(Table7[[#This Row],[Date]],Database!$A:$C,MATCH($B$1,Database!$A$1:$C$1,),))</f>
        <v/>
      </c>
      <c r="C6735">
        <f>IF(VLOOKUP(Table7[[#This Row],[Date]],Database!$A:$C,MATCH($C$1,Database!$A$1:$C$1,),)=0,#N/A,VLOOKUP(Table7[[#This Row],[Date]],Database!$A:$C,MATCH($C$1,Database!$A$1:$C$1,),))</f>
        <v/>
      </c>
      <c r="D6735">
        <f>IFERROR(Table7[[#This Row],[United States 10y]]-Table7[[#This Row],[United States 3y]],#N/A)</f>
        <v/>
      </c>
    </row>
    <row r="6736">
      <c r="A6736" s="6">
        <f>Database!$A8821</f>
        <v/>
      </c>
      <c r="B6736">
        <f>IF(VLOOKUP(Table7[[#This Row],[Date]],Database!$A:$C,MATCH($B$1,Database!$A$1:$C$1,),)=0,#N/A,VLOOKUP(Table7[[#This Row],[Date]],Database!$A:$C,MATCH($B$1,Database!$A$1:$C$1,),))</f>
        <v/>
      </c>
      <c r="C6736">
        <f>IF(VLOOKUP(Table7[[#This Row],[Date]],Database!$A:$C,MATCH($C$1,Database!$A$1:$C$1,),)=0,#N/A,VLOOKUP(Table7[[#This Row],[Date]],Database!$A:$C,MATCH($C$1,Database!$A$1:$C$1,),))</f>
        <v/>
      </c>
      <c r="D6736">
        <f>IFERROR(Table7[[#This Row],[United States 10y]]-Table7[[#This Row],[United States 3y]],#N/A)</f>
        <v/>
      </c>
    </row>
    <row r="6737">
      <c r="A6737" s="6">
        <f>Database!$A8822</f>
        <v/>
      </c>
      <c r="B6737">
        <f>IF(VLOOKUP(Table7[[#This Row],[Date]],Database!$A:$C,MATCH($B$1,Database!$A$1:$C$1,),)=0,#N/A,VLOOKUP(Table7[[#This Row],[Date]],Database!$A:$C,MATCH($B$1,Database!$A$1:$C$1,),))</f>
        <v/>
      </c>
      <c r="C6737">
        <f>IF(VLOOKUP(Table7[[#This Row],[Date]],Database!$A:$C,MATCH($C$1,Database!$A$1:$C$1,),)=0,#N/A,VLOOKUP(Table7[[#This Row],[Date]],Database!$A:$C,MATCH($C$1,Database!$A$1:$C$1,),))</f>
        <v/>
      </c>
      <c r="D6737">
        <f>IFERROR(Table7[[#This Row],[United States 10y]]-Table7[[#This Row],[United States 3y]],#N/A)</f>
        <v/>
      </c>
    </row>
    <row r="6738">
      <c r="A6738" s="6">
        <f>Database!$A8823</f>
        <v/>
      </c>
      <c r="B6738">
        <f>IF(VLOOKUP(Table7[[#This Row],[Date]],Database!$A:$C,MATCH($B$1,Database!$A$1:$C$1,),)=0,#N/A,VLOOKUP(Table7[[#This Row],[Date]],Database!$A:$C,MATCH($B$1,Database!$A$1:$C$1,),))</f>
        <v/>
      </c>
      <c r="C6738">
        <f>IF(VLOOKUP(Table7[[#This Row],[Date]],Database!$A:$C,MATCH($C$1,Database!$A$1:$C$1,),)=0,#N/A,VLOOKUP(Table7[[#This Row],[Date]],Database!$A:$C,MATCH($C$1,Database!$A$1:$C$1,),))</f>
        <v/>
      </c>
      <c r="D6738">
        <f>IFERROR(Table7[[#This Row],[United States 10y]]-Table7[[#This Row],[United States 3y]],#N/A)</f>
        <v/>
      </c>
    </row>
    <row r="6739">
      <c r="A6739" s="6">
        <f>Database!$A8824</f>
        <v/>
      </c>
      <c r="B6739">
        <f>IF(VLOOKUP(Table7[[#This Row],[Date]],Database!$A:$C,MATCH($B$1,Database!$A$1:$C$1,),)=0,#N/A,VLOOKUP(Table7[[#This Row],[Date]],Database!$A:$C,MATCH($B$1,Database!$A$1:$C$1,),))</f>
        <v/>
      </c>
      <c r="C6739">
        <f>IF(VLOOKUP(Table7[[#This Row],[Date]],Database!$A:$C,MATCH($C$1,Database!$A$1:$C$1,),)=0,#N/A,VLOOKUP(Table7[[#This Row],[Date]],Database!$A:$C,MATCH($C$1,Database!$A$1:$C$1,),))</f>
        <v/>
      </c>
      <c r="D6739">
        <f>IFERROR(Table7[[#This Row],[United States 10y]]-Table7[[#This Row],[United States 3y]],#N/A)</f>
        <v/>
      </c>
    </row>
    <row r="6740">
      <c r="A6740" s="6">
        <f>Database!$A8825</f>
        <v/>
      </c>
      <c r="B6740">
        <f>IF(VLOOKUP(Table7[[#This Row],[Date]],Database!$A:$C,MATCH($B$1,Database!$A$1:$C$1,),)=0,#N/A,VLOOKUP(Table7[[#This Row],[Date]],Database!$A:$C,MATCH($B$1,Database!$A$1:$C$1,),))</f>
        <v/>
      </c>
      <c r="C6740">
        <f>IF(VLOOKUP(Table7[[#This Row],[Date]],Database!$A:$C,MATCH($C$1,Database!$A$1:$C$1,),)=0,#N/A,VLOOKUP(Table7[[#This Row],[Date]],Database!$A:$C,MATCH($C$1,Database!$A$1:$C$1,),))</f>
        <v/>
      </c>
      <c r="D6740">
        <f>IFERROR(Table7[[#This Row],[United States 10y]]-Table7[[#This Row],[United States 3y]],#N/A)</f>
        <v/>
      </c>
    </row>
    <row r="6741">
      <c r="A6741" s="6">
        <f>Database!$A8826</f>
        <v/>
      </c>
      <c r="B6741">
        <f>IF(VLOOKUP(Table7[[#This Row],[Date]],Database!$A:$C,MATCH($B$1,Database!$A$1:$C$1,),)=0,#N/A,VLOOKUP(Table7[[#This Row],[Date]],Database!$A:$C,MATCH($B$1,Database!$A$1:$C$1,),))</f>
        <v/>
      </c>
      <c r="C6741">
        <f>IF(VLOOKUP(Table7[[#This Row],[Date]],Database!$A:$C,MATCH($C$1,Database!$A$1:$C$1,),)=0,#N/A,VLOOKUP(Table7[[#This Row],[Date]],Database!$A:$C,MATCH($C$1,Database!$A$1:$C$1,),))</f>
        <v/>
      </c>
      <c r="D6741">
        <f>IFERROR(Table7[[#This Row],[United States 10y]]-Table7[[#This Row],[United States 3y]],#N/A)</f>
        <v/>
      </c>
    </row>
    <row r="6742">
      <c r="A6742" s="6">
        <f>Database!$A8827</f>
        <v/>
      </c>
      <c r="B6742">
        <f>IF(VLOOKUP(Table7[[#This Row],[Date]],Database!$A:$C,MATCH($B$1,Database!$A$1:$C$1,),)=0,#N/A,VLOOKUP(Table7[[#This Row],[Date]],Database!$A:$C,MATCH($B$1,Database!$A$1:$C$1,),))</f>
        <v/>
      </c>
      <c r="C6742">
        <f>IF(VLOOKUP(Table7[[#This Row],[Date]],Database!$A:$C,MATCH($C$1,Database!$A$1:$C$1,),)=0,#N/A,VLOOKUP(Table7[[#This Row],[Date]],Database!$A:$C,MATCH($C$1,Database!$A$1:$C$1,),))</f>
        <v/>
      </c>
      <c r="D6742">
        <f>IFERROR(Table7[[#This Row],[United States 10y]]-Table7[[#This Row],[United States 3y]],#N/A)</f>
        <v/>
      </c>
    </row>
    <row r="6743">
      <c r="A6743" s="6">
        <f>Database!$A8828</f>
        <v/>
      </c>
      <c r="B6743">
        <f>IF(VLOOKUP(Table7[[#This Row],[Date]],Database!$A:$C,MATCH($B$1,Database!$A$1:$C$1,),)=0,#N/A,VLOOKUP(Table7[[#This Row],[Date]],Database!$A:$C,MATCH($B$1,Database!$A$1:$C$1,),))</f>
        <v/>
      </c>
      <c r="C6743">
        <f>IF(VLOOKUP(Table7[[#This Row],[Date]],Database!$A:$C,MATCH($C$1,Database!$A$1:$C$1,),)=0,#N/A,VLOOKUP(Table7[[#This Row],[Date]],Database!$A:$C,MATCH($C$1,Database!$A$1:$C$1,),))</f>
        <v/>
      </c>
      <c r="D6743">
        <f>IFERROR(Table7[[#This Row],[United States 10y]]-Table7[[#This Row],[United States 3y]],#N/A)</f>
        <v/>
      </c>
    </row>
    <row r="6744">
      <c r="A6744" s="6">
        <f>Database!$A8829</f>
        <v/>
      </c>
      <c r="B6744">
        <f>IF(VLOOKUP(Table7[[#This Row],[Date]],Database!$A:$C,MATCH($B$1,Database!$A$1:$C$1,),)=0,#N/A,VLOOKUP(Table7[[#This Row],[Date]],Database!$A:$C,MATCH($B$1,Database!$A$1:$C$1,),))</f>
        <v/>
      </c>
      <c r="C6744">
        <f>IF(VLOOKUP(Table7[[#This Row],[Date]],Database!$A:$C,MATCH($C$1,Database!$A$1:$C$1,),)=0,#N/A,VLOOKUP(Table7[[#This Row],[Date]],Database!$A:$C,MATCH($C$1,Database!$A$1:$C$1,),))</f>
        <v/>
      </c>
      <c r="D6744">
        <f>IFERROR(Table7[[#This Row],[United States 10y]]-Table7[[#This Row],[United States 3y]],#N/A)</f>
        <v/>
      </c>
    </row>
    <row r="6745">
      <c r="A6745" s="6">
        <f>Database!$A8830</f>
        <v/>
      </c>
      <c r="B6745">
        <f>IF(VLOOKUP(Table7[[#This Row],[Date]],Database!$A:$C,MATCH($B$1,Database!$A$1:$C$1,),)=0,#N/A,VLOOKUP(Table7[[#This Row],[Date]],Database!$A:$C,MATCH($B$1,Database!$A$1:$C$1,),))</f>
        <v/>
      </c>
      <c r="C6745">
        <f>IF(VLOOKUP(Table7[[#This Row],[Date]],Database!$A:$C,MATCH($C$1,Database!$A$1:$C$1,),)=0,#N/A,VLOOKUP(Table7[[#This Row],[Date]],Database!$A:$C,MATCH($C$1,Database!$A$1:$C$1,),))</f>
        <v/>
      </c>
      <c r="D6745">
        <f>IFERROR(Table7[[#This Row],[United States 10y]]-Table7[[#This Row],[United States 3y]],#N/A)</f>
        <v/>
      </c>
    </row>
    <row r="6746">
      <c r="A6746" s="6">
        <f>Database!$A8831</f>
        <v/>
      </c>
      <c r="B6746">
        <f>IF(VLOOKUP(Table7[[#This Row],[Date]],Database!$A:$C,MATCH($B$1,Database!$A$1:$C$1,),)=0,#N/A,VLOOKUP(Table7[[#This Row],[Date]],Database!$A:$C,MATCH($B$1,Database!$A$1:$C$1,),))</f>
        <v/>
      </c>
      <c r="C6746">
        <f>IF(VLOOKUP(Table7[[#This Row],[Date]],Database!$A:$C,MATCH($C$1,Database!$A$1:$C$1,),)=0,#N/A,VLOOKUP(Table7[[#This Row],[Date]],Database!$A:$C,MATCH($C$1,Database!$A$1:$C$1,),))</f>
        <v/>
      </c>
      <c r="D6746">
        <f>IFERROR(Table7[[#This Row],[United States 10y]]-Table7[[#This Row],[United States 3y]],#N/A)</f>
        <v/>
      </c>
    </row>
    <row r="6747">
      <c r="A6747" s="6">
        <f>Database!$A8832</f>
        <v/>
      </c>
      <c r="B6747">
        <f>IF(VLOOKUP(Table7[[#This Row],[Date]],Database!$A:$C,MATCH($B$1,Database!$A$1:$C$1,),)=0,#N/A,VLOOKUP(Table7[[#This Row],[Date]],Database!$A:$C,MATCH($B$1,Database!$A$1:$C$1,),))</f>
        <v/>
      </c>
      <c r="C6747">
        <f>IF(VLOOKUP(Table7[[#This Row],[Date]],Database!$A:$C,MATCH($C$1,Database!$A$1:$C$1,),)=0,#N/A,VLOOKUP(Table7[[#This Row],[Date]],Database!$A:$C,MATCH($C$1,Database!$A$1:$C$1,),))</f>
        <v/>
      </c>
      <c r="D6747">
        <f>IFERROR(Table7[[#This Row],[United States 10y]]-Table7[[#This Row],[United States 3y]],#N/A)</f>
        <v/>
      </c>
    </row>
    <row r="6748">
      <c r="A6748" s="6">
        <f>Database!$A8833</f>
        <v/>
      </c>
      <c r="B6748">
        <f>IF(VLOOKUP(Table7[[#This Row],[Date]],Database!$A:$C,MATCH($B$1,Database!$A$1:$C$1,),)=0,#N/A,VLOOKUP(Table7[[#This Row],[Date]],Database!$A:$C,MATCH($B$1,Database!$A$1:$C$1,),))</f>
        <v/>
      </c>
      <c r="C6748">
        <f>IF(VLOOKUP(Table7[[#This Row],[Date]],Database!$A:$C,MATCH($C$1,Database!$A$1:$C$1,),)=0,#N/A,VLOOKUP(Table7[[#This Row],[Date]],Database!$A:$C,MATCH($C$1,Database!$A$1:$C$1,),))</f>
        <v/>
      </c>
      <c r="D6748">
        <f>IFERROR(Table7[[#This Row],[United States 10y]]-Table7[[#This Row],[United States 3y]],#N/A)</f>
        <v/>
      </c>
    </row>
    <row r="6749">
      <c r="A6749" s="6">
        <f>Database!$A8834</f>
        <v/>
      </c>
      <c r="B6749">
        <f>IF(VLOOKUP(Table7[[#This Row],[Date]],Database!$A:$C,MATCH($B$1,Database!$A$1:$C$1,),)=0,#N/A,VLOOKUP(Table7[[#This Row],[Date]],Database!$A:$C,MATCH($B$1,Database!$A$1:$C$1,),))</f>
        <v/>
      </c>
      <c r="C6749">
        <f>IF(VLOOKUP(Table7[[#This Row],[Date]],Database!$A:$C,MATCH($C$1,Database!$A$1:$C$1,),)=0,#N/A,VLOOKUP(Table7[[#This Row],[Date]],Database!$A:$C,MATCH($C$1,Database!$A$1:$C$1,),))</f>
        <v/>
      </c>
      <c r="D6749">
        <f>IFERROR(Table7[[#This Row],[United States 10y]]-Table7[[#This Row],[United States 3y]],#N/A)</f>
        <v/>
      </c>
    </row>
    <row r="6750">
      <c r="A6750" s="6">
        <f>Database!$A8835</f>
        <v/>
      </c>
      <c r="B6750">
        <f>IF(VLOOKUP(Table7[[#This Row],[Date]],Database!$A:$C,MATCH($B$1,Database!$A$1:$C$1,),)=0,#N/A,VLOOKUP(Table7[[#This Row],[Date]],Database!$A:$C,MATCH($B$1,Database!$A$1:$C$1,),))</f>
        <v/>
      </c>
      <c r="C6750">
        <f>IF(VLOOKUP(Table7[[#This Row],[Date]],Database!$A:$C,MATCH($C$1,Database!$A$1:$C$1,),)=0,#N/A,VLOOKUP(Table7[[#This Row],[Date]],Database!$A:$C,MATCH($C$1,Database!$A$1:$C$1,),))</f>
        <v/>
      </c>
      <c r="D6750">
        <f>IFERROR(Table7[[#This Row],[United States 10y]]-Table7[[#This Row],[United States 3y]],#N/A)</f>
        <v/>
      </c>
    </row>
    <row r="6751">
      <c r="A6751" s="6">
        <f>Database!$A8836</f>
        <v/>
      </c>
      <c r="B6751">
        <f>IF(VLOOKUP(Table7[[#This Row],[Date]],Database!$A:$C,MATCH($B$1,Database!$A$1:$C$1,),)=0,#N/A,VLOOKUP(Table7[[#This Row],[Date]],Database!$A:$C,MATCH($B$1,Database!$A$1:$C$1,),))</f>
        <v/>
      </c>
      <c r="C6751">
        <f>IF(VLOOKUP(Table7[[#This Row],[Date]],Database!$A:$C,MATCH($C$1,Database!$A$1:$C$1,),)=0,#N/A,VLOOKUP(Table7[[#This Row],[Date]],Database!$A:$C,MATCH($C$1,Database!$A$1:$C$1,),))</f>
        <v/>
      </c>
      <c r="D6751">
        <f>IFERROR(Table7[[#This Row],[United States 10y]]-Table7[[#This Row],[United States 3y]],#N/A)</f>
        <v/>
      </c>
    </row>
    <row r="6752">
      <c r="A6752" s="6">
        <f>Database!$A8837</f>
        <v/>
      </c>
      <c r="B6752">
        <f>IF(VLOOKUP(Table7[[#This Row],[Date]],Database!$A:$C,MATCH($B$1,Database!$A$1:$C$1,),)=0,#N/A,VLOOKUP(Table7[[#This Row],[Date]],Database!$A:$C,MATCH($B$1,Database!$A$1:$C$1,),))</f>
        <v/>
      </c>
      <c r="C6752">
        <f>IF(VLOOKUP(Table7[[#This Row],[Date]],Database!$A:$C,MATCH($C$1,Database!$A$1:$C$1,),)=0,#N/A,VLOOKUP(Table7[[#This Row],[Date]],Database!$A:$C,MATCH($C$1,Database!$A$1:$C$1,),))</f>
        <v/>
      </c>
      <c r="D6752">
        <f>IFERROR(Table7[[#This Row],[United States 10y]]-Table7[[#This Row],[United States 3y]],#N/A)</f>
        <v/>
      </c>
    </row>
    <row r="6753">
      <c r="A6753" s="6">
        <f>Database!$A8838</f>
        <v/>
      </c>
      <c r="B6753">
        <f>IF(VLOOKUP(Table7[[#This Row],[Date]],Database!$A:$C,MATCH($B$1,Database!$A$1:$C$1,),)=0,#N/A,VLOOKUP(Table7[[#This Row],[Date]],Database!$A:$C,MATCH($B$1,Database!$A$1:$C$1,),))</f>
        <v/>
      </c>
      <c r="C6753">
        <f>IF(VLOOKUP(Table7[[#This Row],[Date]],Database!$A:$C,MATCH($C$1,Database!$A$1:$C$1,),)=0,#N/A,VLOOKUP(Table7[[#This Row],[Date]],Database!$A:$C,MATCH($C$1,Database!$A$1:$C$1,),))</f>
        <v/>
      </c>
      <c r="D6753">
        <f>IFERROR(Table7[[#This Row],[United States 10y]]-Table7[[#This Row],[United States 3y]],#N/A)</f>
        <v/>
      </c>
    </row>
    <row r="6754">
      <c r="A6754" s="6">
        <f>Database!$A8839</f>
        <v/>
      </c>
      <c r="B6754">
        <f>IF(VLOOKUP(Table7[[#This Row],[Date]],Database!$A:$C,MATCH($B$1,Database!$A$1:$C$1,),)=0,#N/A,VLOOKUP(Table7[[#This Row],[Date]],Database!$A:$C,MATCH($B$1,Database!$A$1:$C$1,),))</f>
        <v/>
      </c>
      <c r="C6754">
        <f>IF(VLOOKUP(Table7[[#This Row],[Date]],Database!$A:$C,MATCH($C$1,Database!$A$1:$C$1,),)=0,#N/A,VLOOKUP(Table7[[#This Row],[Date]],Database!$A:$C,MATCH($C$1,Database!$A$1:$C$1,),))</f>
        <v/>
      </c>
      <c r="D6754">
        <f>IFERROR(Table7[[#This Row],[United States 10y]]-Table7[[#This Row],[United States 3y]],#N/A)</f>
        <v/>
      </c>
    </row>
    <row r="6755">
      <c r="A6755" s="6">
        <f>Database!$A8840</f>
        <v/>
      </c>
      <c r="B6755">
        <f>IF(VLOOKUP(Table7[[#This Row],[Date]],Database!$A:$C,MATCH($B$1,Database!$A$1:$C$1,),)=0,#N/A,VLOOKUP(Table7[[#This Row],[Date]],Database!$A:$C,MATCH($B$1,Database!$A$1:$C$1,),))</f>
        <v/>
      </c>
      <c r="C6755">
        <f>IF(VLOOKUP(Table7[[#This Row],[Date]],Database!$A:$C,MATCH($C$1,Database!$A$1:$C$1,),)=0,#N/A,VLOOKUP(Table7[[#This Row],[Date]],Database!$A:$C,MATCH($C$1,Database!$A$1:$C$1,),))</f>
        <v/>
      </c>
      <c r="D6755">
        <f>IFERROR(Table7[[#This Row],[United States 10y]]-Table7[[#This Row],[United States 3y]],#N/A)</f>
        <v/>
      </c>
    </row>
    <row r="6756">
      <c r="A6756" s="6">
        <f>Database!$A8841</f>
        <v/>
      </c>
      <c r="B6756">
        <f>IF(VLOOKUP(Table7[[#This Row],[Date]],Database!$A:$C,MATCH($B$1,Database!$A$1:$C$1,),)=0,#N/A,VLOOKUP(Table7[[#This Row],[Date]],Database!$A:$C,MATCH($B$1,Database!$A$1:$C$1,),))</f>
        <v/>
      </c>
      <c r="C6756">
        <f>IF(VLOOKUP(Table7[[#This Row],[Date]],Database!$A:$C,MATCH($C$1,Database!$A$1:$C$1,),)=0,#N/A,VLOOKUP(Table7[[#This Row],[Date]],Database!$A:$C,MATCH($C$1,Database!$A$1:$C$1,),))</f>
        <v/>
      </c>
      <c r="D6756">
        <f>IFERROR(Table7[[#This Row],[United States 10y]]-Table7[[#This Row],[United States 3y]],#N/A)</f>
        <v/>
      </c>
    </row>
    <row r="6757">
      <c r="A6757" s="6">
        <f>Database!$A8842</f>
        <v/>
      </c>
      <c r="B6757">
        <f>IF(VLOOKUP(Table7[[#This Row],[Date]],Database!$A:$C,MATCH($B$1,Database!$A$1:$C$1,),)=0,#N/A,VLOOKUP(Table7[[#This Row],[Date]],Database!$A:$C,MATCH($B$1,Database!$A$1:$C$1,),))</f>
        <v/>
      </c>
      <c r="C6757">
        <f>IF(VLOOKUP(Table7[[#This Row],[Date]],Database!$A:$C,MATCH($C$1,Database!$A$1:$C$1,),)=0,#N/A,VLOOKUP(Table7[[#This Row],[Date]],Database!$A:$C,MATCH($C$1,Database!$A$1:$C$1,),))</f>
        <v/>
      </c>
      <c r="D6757">
        <f>IFERROR(Table7[[#This Row],[United States 10y]]-Table7[[#This Row],[United States 3y]],#N/A)</f>
        <v/>
      </c>
    </row>
    <row r="6758">
      <c r="A6758" s="6">
        <f>Database!$A8843</f>
        <v/>
      </c>
      <c r="B6758">
        <f>IF(VLOOKUP(Table7[[#This Row],[Date]],Database!$A:$C,MATCH($B$1,Database!$A$1:$C$1,),)=0,#N/A,VLOOKUP(Table7[[#This Row],[Date]],Database!$A:$C,MATCH($B$1,Database!$A$1:$C$1,),))</f>
        <v/>
      </c>
      <c r="C6758">
        <f>IF(VLOOKUP(Table7[[#This Row],[Date]],Database!$A:$C,MATCH($C$1,Database!$A$1:$C$1,),)=0,#N/A,VLOOKUP(Table7[[#This Row],[Date]],Database!$A:$C,MATCH($C$1,Database!$A$1:$C$1,),))</f>
        <v/>
      </c>
      <c r="D6758">
        <f>IFERROR(Table7[[#This Row],[United States 10y]]-Table7[[#This Row],[United States 3y]],#N/A)</f>
        <v/>
      </c>
    </row>
    <row r="6759">
      <c r="A6759" s="6">
        <f>Database!$A8844</f>
        <v/>
      </c>
      <c r="B6759">
        <f>IF(VLOOKUP(Table7[[#This Row],[Date]],Database!$A:$C,MATCH($B$1,Database!$A$1:$C$1,),)=0,#N/A,VLOOKUP(Table7[[#This Row],[Date]],Database!$A:$C,MATCH($B$1,Database!$A$1:$C$1,),))</f>
        <v/>
      </c>
      <c r="C6759">
        <f>IF(VLOOKUP(Table7[[#This Row],[Date]],Database!$A:$C,MATCH($C$1,Database!$A$1:$C$1,),)=0,#N/A,VLOOKUP(Table7[[#This Row],[Date]],Database!$A:$C,MATCH($C$1,Database!$A$1:$C$1,),))</f>
        <v/>
      </c>
      <c r="D6759">
        <f>IFERROR(Table7[[#This Row],[United States 10y]]-Table7[[#This Row],[United States 3y]],#N/A)</f>
        <v/>
      </c>
    </row>
    <row r="6760">
      <c r="A6760" s="6">
        <f>Database!$A8845</f>
        <v/>
      </c>
      <c r="B6760">
        <f>IF(VLOOKUP(Table7[[#This Row],[Date]],Database!$A:$C,MATCH($B$1,Database!$A$1:$C$1,),)=0,#N/A,VLOOKUP(Table7[[#This Row],[Date]],Database!$A:$C,MATCH($B$1,Database!$A$1:$C$1,),))</f>
        <v/>
      </c>
      <c r="C6760">
        <f>IF(VLOOKUP(Table7[[#This Row],[Date]],Database!$A:$C,MATCH($C$1,Database!$A$1:$C$1,),)=0,#N/A,VLOOKUP(Table7[[#This Row],[Date]],Database!$A:$C,MATCH($C$1,Database!$A$1:$C$1,),))</f>
        <v/>
      </c>
      <c r="D6760">
        <f>IFERROR(Table7[[#This Row],[United States 10y]]-Table7[[#This Row],[United States 3y]],#N/A)</f>
        <v/>
      </c>
    </row>
    <row r="6761">
      <c r="A6761" s="6">
        <f>Database!$A8846</f>
        <v/>
      </c>
      <c r="B6761">
        <f>IF(VLOOKUP(Table7[[#This Row],[Date]],Database!$A:$C,MATCH($B$1,Database!$A$1:$C$1,),)=0,#N/A,VLOOKUP(Table7[[#This Row],[Date]],Database!$A:$C,MATCH($B$1,Database!$A$1:$C$1,),))</f>
        <v/>
      </c>
      <c r="C6761">
        <f>IF(VLOOKUP(Table7[[#This Row],[Date]],Database!$A:$C,MATCH($C$1,Database!$A$1:$C$1,),)=0,#N/A,VLOOKUP(Table7[[#This Row],[Date]],Database!$A:$C,MATCH($C$1,Database!$A$1:$C$1,),))</f>
        <v/>
      </c>
      <c r="D6761">
        <f>IFERROR(Table7[[#This Row],[United States 10y]]-Table7[[#This Row],[United States 3y]],#N/A)</f>
        <v/>
      </c>
    </row>
    <row r="6762">
      <c r="A6762" s="6">
        <f>Database!$A8847</f>
        <v/>
      </c>
      <c r="B6762">
        <f>IF(VLOOKUP(Table7[[#This Row],[Date]],Database!$A:$C,MATCH($B$1,Database!$A$1:$C$1,),)=0,#N/A,VLOOKUP(Table7[[#This Row],[Date]],Database!$A:$C,MATCH($B$1,Database!$A$1:$C$1,),))</f>
        <v/>
      </c>
      <c r="C6762">
        <f>IF(VLOOKUP(Table7[[#This Row],[Date]],Database!$A:$C,MATCH($C$1,Database!$A$1:$C$1,),)=0,#N/A,VLOOKUP(Table7[[#This Row],[Date]],Database!$A:$C,MATCH($C$1,Database!$A$1:$C$1,),))</f>
        <v/>
      </c>
      <c r="D6762">
        <f>IFERROR(Table7[[#This Row],[United States 10y]]-Table7[[#This Row],[United States 3y]],#N/A)</f>
        <v/>
      </c>
    </row>
    <row r="6763">
      <c r="A6763" s="6">
        <f>Database!$A8848</f>
        <v/>
      </c>
      <c r="B6763">
        <f>IF(VLOOKUP(Table7[[#This Row],[Date]],Database!$A:$C,MATCH($B$1,Database!$A$1:$C$1,),)=0,#N/A,VLOOKUP(Table7[[#This Row],[Date]],Database!$A:$C,MATCH($B$1,Database!$A$1:$C$1,),))</f>
        <v/>
      </c>
      <c r="C6763">
        <f>IF(VLOOKUP(Table7[[#This Row],[Date]],Database!$A:$C,MATCH($C$1,Database!$A$1:$C$1,),)=0,#N/A,VLOOKUP(Table7[[#This Row],[Date]],Database!$A:$C,MATCH($C$1,Database!$A$1:$C$1,),))</f>
        <v/>
      </c>
      <c r="D6763">
        <f>IFERROR(Table7[[#This Row],[United States 10y]]-Table7[[#This Row],[United States 3y]],#N/A)</f>
        <v/>
      </c>
    </row>
    <row r="6764">
      <c r="A6764" s="6">
        <f>Database!$A8849</f>
        <v/>
      </c>
      <c r="B6764">
        <f>IF(VLOOKUP(Table7[[#This Row],[Date]],Database!$A:$C,MATCH($B$1,Database!$A$1:$C$1,),)=0,#N/A,VLOOKUP(Table7[[#This Row],[Date]],Database!$A:$C,MATCH($B$1,Database!$A$1:$C$1,),))</f>
        <v/>
      </c>
      <c r="C6764">
        <f>IF(VLOOKUP(Table7[[#This Row],[Date]],Database!$A:$C,MATCH($C$1,Database!$A$1:$C$1,),)=0,#N/A,VLOOKUP(Table7[[#This Row],[Date]],Database!$A:$C,MATCH($C$1,Database!$A$1:$C$1,),))</f>
        <v/>
      </c>
      <c r="D6764">
        <f>IFERROR(Table7[[#This Row],[United States 10y]]-Table7[[#This Row],[United States 3y]],#N/A)</f>
        <v/>
      </c>
    </row>
    <row r="6765">
      <c r="A6765" s="6">
        <f>Database!$A8850</f>
        <v/>
      </c>
      <c r="B6765">
        <f>IF(VLOOKUP(Table7[[#This Row],[Date]],Database!$A:$C,MATCH($B$1,Database!$A$1:$C$1,),)=0,#N/A,VLOOKUP(Table7[[#This Row],[Date]],Database!$A:$C,MATCH($B$1,Database!$A$1:$C$1,),))</f>
        <v/>
      </c>
      <c r="C6765">
        <f>IF(VLOOKUP(Table7[[#This Row],[Date]],Database!$A:$C,MATCH($C$1,Database!$A$1:$C$1,),)=0,#N/A,VLOOKUP(Table7[[#This Row],[Date]],Database!$A:$C,MATCH($C$1,Database!$A$1:$C$1,),))</f>
        <v/>
      </c>
      <c r="D6765">
        <f>IFERROR(Table7[[#This Row],[United States 10y]]-Table7[[#This Row],[United States 3y]],#N/A)</f>
        <v/>
      </c>
    </row>
    <row r="6766">
      <c r="A6766" s="6">
        <f>Database!$A8851</f>
        <v/>
      </c>
      <c r="B6766">
        <f>IF(VLOOKUP(Table7[[#This Row],[Date]],Database!$A:$C,MATCH($B$1,Database!$A$1:$C$1,),)=0,#N/A,VLOOKUP(Table7[[#This Row],[Date]],Database!$A:$C,MATCH($B$1,Database!$A$1:$C$1,),))</f>
        <v/>
      </c>
      <c r="C6766">
        <f>IF(VLOOKUP(Table7[[#This Row],[Date]],Database!$A:$C,MATCH($C$1,Database!$A$1:$C$1,),)=0,#N/A,VLOOKUP(Table7[[#This Row],[Date]],Database!$A:$C,MATCH($C$1,Database!$A$1:$C$1,),))</f>
        <v/>
      </c>
      <c r="D6766">
        <f>IFERROR(Table7[[#This Row],[United States 10y]]-Table7[[#This Row],[United States 3y]],#N/A)</f>
        <v/>
      </c>
    </row>
    <row r="6767">
      <c r="A6767" s="6">
        <f>Database!$A8852</f>
        <v/>
      </c>
      <c r="B6767">
        <f>IF(VLOOKUP(Table7[[#This Row],[Date]],Database!$A:$C,MATCH($B$1,Database!$A$1:$C$1,),)=0,#N/A,VLOOKUP(Table7[[#This Row],[Date]],Database!$A:$C,MATCH($B$1,Database!$A$1:$C$1,),))</f>
        <v/>
      </c>
      <c r="C6767">
        <f>IF(VLOOKUP(Table7[[#This Row],[Date]],Database!$A:$C,MATCH($C$1,Database!$A$1:$C$1,),)=0,#N/A,VLOOKUP(Table7[[#This Row],[Date]],Database!$A:$C,MATCH($C$1,Database!$A$1:$C$1,),))</f>
        <v/>
      </c>
      <c r="D6767">
        <f>IFERROR(Table7[[#This Row],[United States 10y]]-Table7[[#This Row],[United States 3y]],#N/A)</f>
        <v/>
      </c>
    </row>
    <row r="6768">
      <c r="A6768" s="6">
        <f>Database!$A8853</f>
        <v/>
      </c>
      <c r="B6768">
        <f>IF(VLOOKUP(Table7[[#This Row],[Date]],Database!$A:$C,MATCH($B$1,Database!$A$1:$C$1,),)=0,#N/A,VLOOKUP(Table7[[#This Row],[Date]],Database!$A:$C,MATCH($B$1,Database!$A$1:$C$1,),))</f>
        <v/>
      </c>
      <c r="C6768">
        <f>IF(VLOOKUP(Table7[[#This Row],[Date]],Database!$A:$C,MATCH($C$1,Database!$A$1:$C$1,),)=0,#N/A,VLOOKUP(Table7[[#This Row],[Date]],Database!$A:$C,MATCH($C$1,Database!$A$1:$C$1,),))</f>
        <v/>
      </c>
      <c r="D6768">
        <f>IFERROR(Table7[[#This Row],[United States 10y]]-Table7[[#This Row],[United States 3y]],#N/A)</f>
        <v/>
      </c>
    </row>
    <row r="6769">
      <c r="A6769" s="6">
        <f>Database!$A8854</f>
        <v/>
      </c>
      <c r="B6769">
        <f>IF(VLOOKUP(Table7[[#This Row],[Date]],Database!$A:$C,MATCH($B$1,Database!$A$1:$C$1,),)=0,#N/A,VLOOKUP(Table7[[#This Row],[Date]],Database!$A:$C,MATCH($B$1,Database!$A$1:$C$1,),))</f>
        <v/>
      </c>
      <c r="C6769">
        <f>IF(VLOOKUP(Table7[[#This Row],[Date]],Database!$A:$C,MATCH($C$1,Database!$A$1:$C$1,),)=0,#N/A,VLOOKUP(Table7[[#This Row],[Date]],Database!$A:$C,MATCH($C$1,Database!$A$1:$C$1,),))</f>
        <v/>
      </c>
      <c r="D6769">
        <f>IFERROR(Table7[[#This Row],[United States 10y]]-Table7[[#This Row],[United States 3y]],#N/A)</f>
        <v/>
      </c>
    </row>
    <row r="6770">
      <c r="A6770" s="6">
        <f>Database!$A8855</f>
        <v/>
      </c>
      <c r="B6770">
        <f>IF(VLOOKUP(Table7[[#This Row],[Date]],Database!$A:$C,MATCH($B$1,Database!$A$1:$C$1,),)=0,#N/A,VLOOKUP(Table7[[#This Row],[Date]],Database!$A:$C,MATCH($B$1,Database!$A$1:$C$1,),))</f>
        <v/>
      </c>
      <c r="C6770">
        <f>IF(VLOOKUP(Table7[[#This Row],[Date]],Database!$A:$C,MATCH($C$1,Database!$A$1:$C$1,),)=0,#N/A,VLOOKUP(Table7[[#This Row],[Date]],Database!$A:$C,MATCH($C$1,Database!$A$1:$C$1,),))</f>
        <v/>
      </c>
      <c r="D6770">
        <f>IFERROR(Table7[[#This Row],[United States 10y]]-Table7[[#This Row],[United States 3y]],#N/A)</f>
        <v/>
      </c>
    </row>
    <row r="6771">
      <c r="A6771" s="6">
        <f>Database!$A8856</f>
        <v/>
      </c>
      <c r="B6771">
        <f>IF(VLOOKUP(Table7[[#This Row],[Date]],Database!$A:$C,MATCH($B$1,Database!$A$1:$C$1,),)=0,#N/A,VLOOKUP(Table7[[#This Row],[Date]],Database!$A:$C,MATCH($B$1,Database!$A$1:$C$1,),))</f>
        <v/>
      </c>
      <c r="C6771">
        <f>IF(VLOOKUP(Table7[[#This Row],[Date]],Database!$A:$C,MATCH($C$1,Database!$A$1:$C$1,),)=0,#N/A,VLOOKUP(Table7[[#This Row],[Date]],Database!$A:$C,MATCH($C$1,Database!$A$1:$C$1,),))</f>
        <v/>
      </c>
      <c r="D6771">
        <f>IFERROR(Table7[[#This Row],[United States 10y]]-Table7[[#This Row],[United States 3y]],#N/A)</f>
        <v/>
      </c>
    </row>
    <row r="6772">
      <c r="A6772" s="6">
        <f>Database!$A8857</f>
        <v/>
      </c>
      <c r="B6772">
        <f>IF(VLOOKUP(Table7[[#This Row],[Date]],Database!$A:$C,MATCH($B$1,Database!$A$1:$C$1,),)=0,#N/A,VLOOKUP(Table7[[#This Row],[Date]],Database!$A:$C,MATCH($B$1,Database!$A$1:$C$1,),))</f>
        <v/>
      </c>
      <c r="C6772">
        <f>IF(VLOOKUP(Table7[[#This Row],[Date]],Database!$A:$C,MATCH($C$1,Database!$A$1:$C$1,),)=0,#N/A,VLOOKUP(Table7[[#This Row],[Date]],Database!$A:$C,MATCH($C$1,Database!$A$1:$C$1,),))</f>
        <v/>
      </c>
      <c r="D6772">
        <f>IFERROR(Table7[[#This Row],[United States 10y]]-Table7[[#This Row],[United States 3y]],#N/A)</f>
        <v/>
      </c>
    </row>
    <row r="6773">
      <c r="A6773" s="6">
        <f>Database!$A8858</f>
        <v/>
      </c>
      <c r="B6773">
        <f>IF(VLOOKUP(Table7[[#This Row],[Date]],Database!$A:$C,MATCH($B$1,Database!$A$1:$C$1,),)=0,#N/A,VLOOKUP(Table7[[#This Row],[Date]],Database!$A:$C,MATCH($B$1,Database!$A$1:$C$1,),))</f>
        <v/>
      </c>
      <c r="C6773">
        <f>IF(VLOOKUP(Table7[[#This Row],[Date]],Database!$A:$C,MATCH($C$1,Database!$A$1:$C$1,),)=0,#N/A,VLOOKUP(Table7[[#This Row],[Date]],Database!$A:$C,MATCH($C$1,Database!$A$1:$C$1,),))</f>
        <v/>
      </c>
      <c r="D6773">
        <f>IFERROR(Table7[[#This Row],[United States 10y]]-Table7[[#This Row],[United States 3y]],#N/A)</f>
        <v/>
      </c>
    </row>
    <row r="6774">
      <c r="A6774" s="6">
        <f>Database!$A8859</f>
        <v/>
      </c>
      <c r="B6774">
        <f>IF(VLOOKUP(Table7[[#This Row],[Date]],Database!$A:$C,MATCH($B$1,Database!$A$1:$C$1,),)=0,#N/A,VLOOKUP(Table7[[#This Row],[Date]],Database!$A:$C,MATCH($B$1,Database!$A$1:$C$1,),))</f>
        <v/>
      </c>
      <c r="C6774">
        <f>IF(VLOOKUP(Table7[[#This Row],[Date]],Database!$A:$C,MATCH($C$1,Database!$A$1:$C$1,),)=0,#N/A,VLOOKUP(Table7[[#This Row],[Date]],Database!$A:$C,MATCH($C$1,Database!$A$1:$C$1,),))</f>
        <v/>
      </c>
      <c r="D6774">
        <f>IFERROR(Table7[[#This Row],[United States 10y]]-Table7[[#This Row],[United States 3y]],#N/A)</f>
        <v/>
      </c>
    </row>
    <row r="6775">
      <c r="A6775" s="6">
        <f>Database!$A8860</f>
        <v/>
      </c>
      <c r="B6775">
        <f>IF(VLOOKUP(Table7[[#This Row],[Date]],Database!$A:$C,MATCH($B$1,Database!$A$1:$C$1,),)=0,#N/A,VLOOKUP(Table7[[#This Row],[Date]],Database!$A:$C,MATCH($B$1,Database!$A$1:$C$1,),))</f>
        <v/>
      </c>
      <c r="C6775">
        <f>IF(VLOOKUP(Table7[[#This Row],[Date]],Database!$A:$C,MATCH($C$1,Database!$A$1:$C$1,),)=0,#N/A,VLOOKUP(Table7[[#This Row],[Date]],Database!$A:$C,MATCH($C$1,Database!$A$1:$C$1,),))</f>
        <v/>
      </c>
      <c r="D6775">
        <f>IFERROR(Table7[[#This Row],[United States 10y]]-Table7[[#This Row],[United States 3y]],#N/A)</f>
        <v/>
      </c>
    </row>
    <row r="6776">
      <c r="A6776" s="6">
        <f>Database!$A8861</f>
        <v/>
      </c>
      <c r="B6776">
        <f>IF(VLOOKUP(Table7[[#This Row],[Date]],Database!$A:$C,MATCH($B$1,Database!$A$1:$C$1,),)=0,#N/A,VLOOKUP(Table7[[#This Row],[Date]],Database!$A:$C,MATCH($B$1,Database!$A$1:$C$1,),))</f>
        <v/>
      </c>
      <c r="C6776">
        <f>IF(VLOOKUP(Table7[[#This Row],[Date]],Database!$A:$C,MATCH($C$1,Database!$A$1:$C$1,),)=0,#N/A,VLOOKUP(Table7[[#This Row],[Date]],Database!$A:$C,MATCH($C$1,Database!$A$1:$C$1,),))</f>
        <v/>
      </c>
      <c r="D6776">
        <f>IFERROR(Table7[[#This Row],[United States 10y]]-Table7[[#This Row],[United States 3y]],#N/A)</f>
        <v/>
      </c>
    </row>
    <row r="6777">
      <c r="A6777" s="6">
        <f>Database!$A8862</f>
        <v/>
      </c>
      <c r="B6777">
        <f>IF(VLOOKUP(Table7[[#This Row],[Date]],Database!$A:$C,MATCH($B$1,Database!$A$1:$C$1,),)=0,#N/A,VLOOKUP(Table7[[#This Row],[Date]],Database!$A:$C,MATCH($B$1,Database!$A$1:$C$1,),))</f>
        <v/>
      </c>
      <c r="C6777">
        <f>IF(VLOOKUP(Table7[[#This Row],[Date]],Database!$A:$C,MATCH($C$1,Database!$A$1:$C$1,),)=0,#N/A,VLOOKUP(Table7[[#This Row],[Date]],Database!$A:$C,MATCH($C$1,Database!$A$1:$C$1,),))</f>
        <v/>
      </c>
      <c r="D6777">
        <f>IFERROR(Table7[[#This Row],[United States 10y]]-Table7[[#This Row],[United States 3y]],#N/A)</f>
        <v/>
      </c>
    </row>
    <row r="6778">
      <c r="A6778" s="6">
        <f>Database!$A8863</f>
        <v/>
      </c>
      <c r="B6778">
        <f>IF(VLOOKUP(Table7[[#This Row],[Date]],Database!$A:$C,MATCH($B$1,Database!$A$1:$C$1,),)=0,#N/A,VLOOKUP(Table7[[#This Row],[Date]],Database!$A:$C,MATCH($B$1,Database!$A$1:$C$1,),))</f>
        <v/>
      </c>
      <c r="C6778">
        <f>IF(VLOOKUP(Table7[[#This Row],[Date]],Database!$A:$C,MATCH($C$1,Database!$A$1:$C$1,),)=0,#N/A,VLOOKUP(Table7[[#This Row],[Date]],Database!$A:$C,MATCH($C$1,Database!$A$1:$C$1,),))</f>
        <v/>
      </c>
      <c r="D6778">
        <f>IFERROR(Table7[[#This Row],[United States 10y]]-Table7[[#This Row],[United States 3y]],#N/A)</f>
        <v/>
      </c>
    </row>
    <row r="6779">
      <c r="A6779" s="6">
        <f>Database!$A8864</f>
        <v/>
      </c>
      <c r="B6779">
        <f>IF(VLOOKUP(Table7[[#This Row],[Date]],Database!$A:$C,MATCH($B$1,Database!$A$1:$C$1,),)=0,#N/A,VLOOKUP(Table7[[#This Row],[Date]],Database!$A:$C,MATCH($B$1,Database!$A$1:$C$1,),))</f>
        <v/>
      </c>
      <c r="C6779">
        <f>IF(VLOOKUP(Table7[[#This Row],[Date]],Database!$A:$C,MATCH($C$1,Database!$A$1:$C$1,),)=0,#N/A,VLOOKUP(Table7[[#This Row],[Date]],Database!$A:$C,MATCH($C$1,Database!$A$1:$C$1,),))</f>
        <v/>
      </c>
      <c r="D6779">
        <f>IFERROR(Table7[[#This Row],[United States 10y]]-Table7[[#This Row],[United States 3y]],#N/A)</f>
        <v/>
      </c>
    </row>
    <row r="6780">
      <c r="A6780" s="6">
        <f>Database!$A8865</f>
        <v/>
      </c>
      <c r="B6780">
        <f>IF(VLOOKUP(Table7[[#This Row],[Date]],Database!$A:$C,MATCH($B$1,Database!$A$1:$C$1,),)=0,#N/A,VLOOKUP(Table7[[#This Row],[Date]],Database!$A:$C,MATCH($B$1,Database!$A$1:$C$1,),))</f>
        <v/>
      </c>
      <c r="C6780">
        <f>IF(VLOOKUP(Table7[[#This Row],[Date]],Database!$A:$C,MATCH($C$1,Database!$A$1:$C$1,),)=0,#N/A,VLOOKUP(Table7[[#This Row],[Date]],Database!$A:$C,MATCH($C$1,Database!$A$1:$C$1,),))</f>
        <v/>
      </c>
      <c r="D6780">
        <f>IFERROR(Table7[[#This Row],[United States 10y]]-Table7[[#This Row],[United States 3y]],#N/A)</f>
        <v/>
      </c>
    </row>
    <row r="6781">
      <c r="A6781" s="6">
        <f>Database!$A8866</f>
        <v/>
      </c>
      <c r="B6781">
        <f>IF(VLOOKUP(Table7[[#This Row],[Date]],Database!$A:$C,MATCH($B$1,Database!$A$1:$C$1,),)=0,#N/A,VLOOKUP(Table7[[#This Row],[Date]],Database!$A:$C,MATCH($B$1,Database!$A$1:$C$1,),))</f>
        <v/>
      </c>
      <c r="C6781">
        <f>IF(VLOOKUP(Table7[[#This Row],[Date]],Database!$A:$C,MATCH($C$1,Database!$A$1:$C$1,),)=0,#N/A,VLOOKUP(Table7[[#This Row],[Date]],Database!$A:$C,MATCH($C$1,Database!$A$1:$C$1,),))</f>
        <v/>
      </c>
      <c r="D6781">
        <f>IFERROR(Table7[[#This Row],[United States 10y]]-Table7[[#This Row],[United States 3y]],#N/A)</f>
        <v/>
      </c>
    </row>
    <row r="6782">
      <c r="A6782" s="6">
        <f>Database!$A8867</f>
        <v/>
      </c>
      <c r="B6782">
        <f>IF(VLOOKUP(Table7[[#This Row],[Date]],Database!$A:$C,MATCH($B$1,Database!$A$1:$C$1,),)=0,#N/A,VLOOKUP(Table7[[#This Row],[Date]],Database!$A:$C,MATCH($B$1,Database!$A$1:$C$1,),))</f>
        <v/>
      </c>
      <c r="C6782">
        <f>IF(VLOOKUP(Table7[[#This Row],[Date]],Database!$A:$C,MATCH($C$1,Database!$A$1:$C$1,),)=0,#N/A,VLOOKUP(Table7[[#This Row],[Date]],Database!$A:$C,MATCH($C$1,Database!$A$1:$C$1,),))</f>
        <v/>
      </c>
      <c r="D6782">
        <f>IFERROR(Table7[[#This Row],[United States 10y]]-Table7[[#This Row],[United States 3y]],#N/A)</f>
        <v/>
      </c>
    </row>
    <row r="6783">
      <c r="A6783" s="6">
        <f>Database!$A8868</f>
        <v/>
      </c>
      <c r="B6783">
        <f>IF(VLOOKUP(Table7[[#This Row],[Date]],Database!$A:$C,MATCH($B$1,Database!$A$1:$C$1,),)=0,#N/A,VLOOKUP(Table7[[#This Row],[Date]],Database!$A:$C,MATCH($B$1,Database!$A$1:$C$1,),))</f>
        <v/>
      </c>
      <c r="C6783">
        <f>IF(VLOOKUP(Table7[[#This Row],[Date]],Database!$A:$C,MATCH($C$1,Database!$A$1:$C$1,),)=0,#N/A,VLOOKUP(Table7[[#This Row],[Date]],Database!$A:$C,MATCH($C$1,Database!$A$1:$C$1,),))</f>
        <v/>
      </c>
      <c r="D6783">
        <f>IFERROR(Table7[[#This Row],[United States 10y]]-Table7[[#This Row],[United States 3y]],#N/A)</f>
        <v/>
      </c>
    </row>
    <row r="6784">
      <c r="A6784" s="6">
        <f>Database!$A8869</f>
        <v/>
      </c>
      <c r="B6784">
        <f>IF(VLOOKUP(Table7[[#This Row],[Date]],Database!$A:$C,MATCH($B$1,Database!$A$1:$C$1,),)=0,#N/A,VLOOKUP(Table7[[#This Row],[Date]],Database!$A:$C,MATCH($B$1,Database!$A$1:$C$1,),))</f>
        <v/>
      </c>
      <c r="C6784">
        <f>IF(VLOOKUP(Table7[[#This Row],[Date]],Database!$A:$C,MATCH($C$1,Database!$A$1:$C$1,),)=0,#N/A,VLOOKUP(Table7[[#This Row],[Date]],Database!$A:$C,MATCH($C$1,Database!$A$1:$C$1,),))</f>
        <v/>
      </c>
      <c r="D6784">
        <f>IFERROR(Table7[[#This Row],[United States 10y]]-Table7[[#This Row],[United States 3y]],#N/A)</f>
        <v/>
      </c>
    </row>
    <row r="6785">
      <c r="A6785" s="6">
        <f>Database!$A8870</f>
        <v/>
      </c>
      <c r="B6785">
        <f>IF(VLOOKUP(Table7[[#This Row],[Date]],Database!$A:$C,MATCH($B$1,Database!$A$1:$C$1,),)=0,#N/A,VLOOKUP(Table7[[#This Row],[Date]],Database!$A:$C,MATCH($B$1,Database!$A$1:$C$1,),))</f>
        <v/>
      </c>
      <c r="C6785">
        <f>IF(VLOOKUP(Table7[[#This Row],[Date]],Database!$A:$C,MATCH($C$1,Database!$A$1:$C$1,),)=0,#N/A,VLOOKUP(Table7[[#This Row],[Date]],Database!$A:$C,MATCH($C$1,Database!$A$1:$C$1,),))</f>
        <v/>
      </c>
      <c r="D6785">
        <f>IFERROR(Table7[[#This Row],[United States 10y]]-Table7[[#This Row],[United States 3y]],#N/A)</f>
        <v/>
      </c>
    </row>
    <row r="6786">
      <c r="A6786" s="6">
        <f>Database!$A8871</f>
        <v/>
      </c>
      <c r="B6786">
        <f>IF(VLOOKUP(Table7[[#This Row],[Date]],Database!$A:$C,MATCH($B$1,Database!$A$1:$C$1,),)=0,#N/A,VLOOKUP(Table7[[#This Row],[Date]],Database!$A:$C,MATCH($B$1,Database!$A$1:$C$1,),))</f>
        <v/>
      </c>
      <c r="C6786">
        <f>IF(VLOOKUP(Table7[[#This Row],[Date]],Database!$A:$C,MATCH($C$1,Database!$A$1:$C$1,),)=0,#N/A,VLOOKUP(Table7[[#This Row],[Date]],Database!$A:$C,MATCH($C$1,Database!$A$1:$C$1,),))</f>
        <v/>
      </c>
      <c r="D6786">
        <f>IFERROR(Table7[[#This Row],[United States 10y]]-Table7[[#This Row],[United States 3y]],#N/A)</f>
        <v/>
      </c>
    </row>
    <row r="6787">
      <c r="A6787" s="6">
        <f>Database!$A8872</f>
        <v/>
      </c>
      <c r="B6787">
        <f>IF(VLOOKUP(Table7[[#This Row],[Date]],Database!$A:$C,MATCH($B$1,Database!$A$1:$C$1,),)=0,#N/A,VLOOKUP(Table7[[#This Row],[Date]],Database!$A:$C,MATCH($B$1,Database!$A$1:$C$1,),))</f>
        <v/>
      </c>
      <c r="C6787">
        <f>IF(VLOOKUP(Table7[[#This Row],[Date]],Database!$A:$C,MATCH($C$1,Database!$A$1:$C$1,),)=0,#N/A,VLOOKUP(Table7[[#This Row],[Date]],Database!$A:$C,MATCH($C$1,Database!$A$1:$C$1,),))</f>
        <v/>
      </c>
      <c r="D6787">
        <f>IFERROR(Table7[[#This Row],[United States 10y]]-Table7[[#This Row],[United States 3y]],#N/A)</f>
        <v/>
      </c>
    </row>
    <row r="6788">
      <c r="A6788" s="6">
        <f>Database!$A8873</f>
        <v/>
      </c>
      <c r="B6788">
        <f>IF(VLOOKUP(Table7[[#This Row],[Date]],Database!$A:$C,MATCH($B$1,Database!$A$1:$C$1,),)=0,#N/A,VLOOKUP(Table7[[#This Row],[Date]],Database!$A:$C,MATCH($B$1,Database!$A$1:$C$1,),))</f>
        <v/>
      </c>
      <c r="C6788">
        <f>IF(VLOOKUP(Table7[[#This Row],[Date]],Database!$A:$C,MATCH($C$1,Database!$A$1:$C$1,),)=0,#N/A,VLOOKUP(Table7[[#This Row],[Date]],Database!$A:$C,MATCH($C$1,Database!$A$1:$C$1,),))</f>
        <v/>
      </c>
      <c r="D6788">
        <f>IFERROR(Table7[[#This Row],[United States 10y]]-Table7[[#This Row],[United States 3y]],#N/A)</f>
        <v/>
      </c>
    </row>
    <row r="6789">
      <c r="A6789" s="6">
        <f>Database!$A8874</f>
        <v/>
      </c>
      <c r="B6789">
        <f>IF(VLOOKUP(Table7[[#This Row],[Date]],Database!$A:$C,MATCH($B$1,Database!$A$1:$C$1,),)=0,#N/A,VLOOKUP(Table7[[#This Row],[Date]],Database!$A:$C,MATCH($B$1,Database!$A$1:$C$1,),))</f>
        <v/>
      </c>
      <c r="C6789">
        <f>IF(VLOOKUP(Table7[[#This Row],[Date]],Database!$A:$C,MATCH($C$1,Database!$A$1:$C$1,),)=0,#N/A,VLOOKUP(Table7[[#This Row],[Date]],Database!$A:$C,MATCH($C$1,Database!$A$1:$C$1,),))</f>
        <v/>
      </c>
      <c r="D6789">
        <f>IFERROR(Table7[[#This Row],[United States 10y]]-Table7[[#This Row],[United States 3y]],#N/A)</f>
        <v/>
      </c>
    </row>
    <row r="6790">
      <c r="A6790" s="6">
        <f>Database!$A8875</f>
        <v/>
      </c>
      <c r="B6790">
        <f>IF(VLOOKUP(Table7[[#This Row],[Date]],Database!$A:$C,MATCH($B$1,Database!$A$1:$C$1,),)=0,#N/A,VLOOKUP(Table7[[#This Row],[Date]],Database!$A:$C,MATCH($B$1,Database!$A$1:$C$1,),))</f>
        <v/>
      </c>
      <c r="C6790">
        <f>IF(VLOOKUP(Table7[[#This Row],[Date]],Database!$A:$C,MATCH($C$1,Database!$A$1:$C$1,),)=0,#N/A,VLOOKUP(Table7[[#This Row],[Date]],Database!$A:$C,MATCH($C$1,Database!$A$1:$C$1,),))</f>
        <v/>
      </c>
      <c r="D6790">
        <f>IFERROR(Table7[[#This Row],[United States 10y]]-Table7[[#This Row],[United States 3y]],#N/A)</f>
        <v/>
      </c>
    </row>
    <row r="6791">
      <c r="A6791" s="6">
        <f>Database!$A8876</f>
        <v/>
      </c>
      <c r="B6791">
        <f>IF(VLOOKUP(Table7[[#This Row],[Date]],Database!$A:$C,MATCH($B$1,Database!$A$1:$C$1,),)=0,#N/A,VLOOKUP(Table7[[#This Row],[Date]],Database!$A:$C,MATCH($B$1,Database!$A$1:$C$1,),))</f>
        <v/>
      </c>
      <c r="C6791">
        <f>IF(VLOOKUP(Table7[[#This Row],[Date]],Database!$A:$C,MATCH($C$1,Database!$A$1:$C$1,),)=0,#N/A,VLOOKUP(Table7[[#This Row],[Date]],Database!$A:$C,MATCH($C$1,Database!$A$1:$C$1,),))</f>
        <v/>
      </c>
      <c r="D6791">
        <f>IFERROR(Table7[[#This Row],[United States 10y]]-Table7[[#This Row],[United States 3y]],#N/A)</f>
        <v/>
      </c>
    </row>
    <row r="6792">
      <c r="A6792" s="6">
        <f>Database!$A8877</f>
        <v/>
      </c>
      <c r="B6792">
        <f>IF(VLOOKUP(Table7[[#This Row],[Date]],Database!$A:$C,MATCH($B$1,Database!$A$1:$C$1,),)=0,#N/A,VLOOKUP(Table7[[#This Row],[Date]],Database!$A:$C,MATCH($B$1,Database!$A$1:$C$1,),))</f>
        <v/>
      </c>
      <c r="C6792">
        <f>IF(VLOOKUP(Table7[[#This Row],[Date]],Database!$A:$C,MATCH($C$1,Database!$A$1:$C$1,),)=0,#N/A,VLOOKUP(Table7[[#This Row],[Date]],Database!$A:$C,MATCH($C$1,Database!$A$1:$C$1,),))</f>
        <v/>
      </c>
      <c r="D6792">
        <f>IFERROR(Table7[[#This Row],[United States 10y]]-Table7[[#This Row],[United States 3y]],#N/A)</f>
        <v/>
      </c>
    </row>
    <row r="6793">
      <c r="A6793" s="6">
        <f>Database!$A8878</f>
        <v/>
      </c>
      <c r="B6793">
        <f>IF(VLOOKUP(Table7[[#This Row],[Date]],Database!$A:$C,MATCH($B$1,Database!$A$1:$C$1,),)=0,#N/A,VLOOKUP(Table7[[#This Row],[Date]],Database!$A:$C,MATCH($B$1,Database!$A$1:$C$1,),))</f>
        <v/>
      </c>
      <c r="C6793">
        <f>IF(VLOOKUP(Table7[[#This Row],[Date]],Database!$A:$C,MATCH($C$1,Database!$A$1:$C$1,),)=0,#N/A,VLOOKUP(Table7[[#This Row],[Date]],Database!$A:$C,MATCH($C$1,Database!$A$1:$C$1,),))</f>
        <v/>
      </c>
      <c r="D6793">
        <f>IFERROR(Table7[[#This Row],[United States 10y]]-Table7[[#This Row],[United States 3y]],#N/A)</f>
        <v/>
      </c>
    </row>
    <row r="6794">
      <c r="A6794" s="6">
        <f>Database!$A8879</f>
        <v/>
      </c>
      <c r="B6794">
        <f>IF(VLOOKUP(Table7[[#This Row],[Date]],Database!$A:$C,MATCH($B$1,Database!$A$1:$C$1,),)=0,#N/A,VLOOKUP(Table7[[#This Row],[Date]],Database!$A:$C,MATCH($B$1,Database!$A$1:$C$1,),))</f>
        <v/>
      </c>
      <c r="C6794">
        <f>IF(VLOOKUP(Table7[[#This Row],[Date]],Database!$A:$C,MATCH($C$1,Database!$A$1:$C$1,),)=0,#N/A,VLOOKUP(Table7[[#This Row],[Date]],Database!$A:$C,MATCH($C$1,Database!$A$1:$C$1,),))</f>
        <v/>
      </c>
      <c r="D6794">
        <f>IFERROR(Table7[[#This Row],[United States 10y]]-Table7[[#This Row],[United States 3y]],#N/A)</f>
        <v/>
      </c>
    </row>
    <row r="6795">
      <c r="A6795" s="6">
        <f>Database!$A8880</f>
        <v/>
      </c>
      <c r="B6795">
        <f>IF(VLOOKUP(Table7[[#This Row],[Date]],Database!$A:$C,MATCH($B$1,Database!$A$1:$C$1,),)=0,#N/A,VLOOKUP(Table7[[#This Row],[Date]],Database!$A:$C,MATCH($B$1,Database!$A$1:$C$1,),))</f>
        <v/>
      </c>
      <c r="C6795">
        <f>IF(VLOOKUP(Table7[[#This Row],[Date]],Database!$A:$C,MATCH($C$1,Database!$A$1:$C$1,),)=0,#N/A,VLOOKUP(Table7[[#This Row],[Date]],Database!$A:$C,MATCH($C$1,Database!$A$1:$C$1,),))</f>
        <v/>
      </c>
      <c r="D6795">
        <f>IFERROR(Table7[[#This Row],[United States 10y]]-Table7[[#This Row],[United States 3y]],#N/A)</f>
        <v/>
      </c>
    </row>
    <row r="6796">
      <c r="A6796" s="6">
        <f>Database!$A8881</f>
        <v/>
      </c>
      <c r="B6796">
        <f>IF(VLOOKUP(Table7[[#This Row],[Date]],Database!$A:$C,MATCH($B$1,Database!$A$1:$C$1,),)=0,#N/A,VLOOKUP(Table7[[#This Row],[Date]],Database!$A:$C,MATCH($B$1,Database!$A$1:$C$1,),))</f>
        <v/>
      </c>
      <c r="C6796">
        <f>IF(VLOOKUP(Table7[[#This Row],[Date]],Database!$A:$C,MATCH($C$1,Database!$A$1:$C$1,),)=0,#N/A,VLOOKUP(Table7[[#This Row],[Date]],Database!$A:$C,MATCH($C$1,Database!$A$1:$C$1,),))</f>
        <v/>
      </c>
      <c r="D6796">
        <f>IFERROR(Table7[[#This Row],[United States 10y]]-Table7[[#This Row],[United States 3y]],#N/A)</f>
        <v/>
      </c>
    </row>
    <row r="6797">
      <c r="A6797" s="6">
        <f>Database!$A8882</f>
        <v/>
      </c>
      <c r="B6797">
        <f>IF(VLOOKUP(Table7[[#This Row],[Date]],Database!$A:$C,MATCH($B$1,Database!$A$1:$C$1,),)=0,#N/A,VLOOKUP(Table7[[#This Row],[Date]],Database!$A:$C,MATCH($B$1,Database!$A$1:$C$1,),))</f>
        <v/>
      </c>
      <c r="C6797">
        <f>IF(VLOOKUP(Table7[[#This Row],[Date]],Database!$A:$C,MATCH($C$1,Database!$A$1:$C$1,),)=0,#N/A,VLOOKUP(Table7[[#This Row],[Date]],Database!$A:$C,MATCH($C$1,Database!$A$1:$C$1,),))</f>
        <v/>
      </c>
      <c r="D6797">
        <f>IFERROR(Table7[[#This Row],[United States 10y]]-Table7[[#This Row],[United States 3y]],#N/A)</f>
        <v/>
      </c>
    </row>
    <row r="6798">
      <c r="A6798" s="6">
        <f>Database!$A8883</f>
        <v/>
      </c>
      <c r="B6798">
        <f>IF(VLOOKUP(Table7[[#This Row],[Date]],Database!$A:$C,MATCH($B$1,Database!$A$1:$C$1,),)=0,#N/A,VLOOKUP(Table7[[#This Row],[Date]],Database!$A:$C,MATCH($B$1,Database!$A$1:$C$1,),))</f>
        <v/>
      </c>
      <c r="C6798">
        <f>IF(VLOOKUP(Table7[[#This Row],[Date]],Database!$A:$C,MATCH($C$1,Database!$A$1:$C$1,),)=0,#N/A,VLOOKUP(Table7[[#This Row],[Date]],Database!$A:$C,MATCH($C$1,Database!$A$1:$C$1,),))</f>
        <v/>
      </c>
      <c r="D6798">
        <f>IFERROR(Table7[[#This Row],[United States 10y]]-Table7[[#This Row],[United States 3y]],#N/A)</f>
        <v/>
      </c>
    </row>
    <row r="6799">
      <c r="A6799" s="6">
        <f>Database!$A8884</f>
        <v/>
      </c>
      <c r="B6799">
        <f>IF(VLOOKUP(Table7[[#This Row],[Date]],Database!$A:$C,MATCH($B$1,Database!$A$1:$C$1,),)=0,#N/A,VLOOKUP(Table7[[#This Row],[Date]],Database!$A:$C,MATCH($B$1,Database!$A$1:$C$1,),))</f>
        <v/>
      </c>
      <c r="C6799">
        <f>IF(VLOOKUP(Table7[[#This Row],[Date]],Database!$A:$C,MATCH($C$1,Database!$A$1:$C$1,),)=0,#N/A,VLOOKUP(Table7[[#This Row],[Date]],Database!$A:$C,MATCH($C$1,Database!$A$1:$C$1,),))</f>
        <v/>
      </c>
      <c r="D6799">
        <f>IFERROR(Table7[[#This Row],[United States 10y]]-Table7[[#This Row],[United States 3y]],#N/A)</f>
        <v/>
      </c>
    </row>
    <row r="6800">
      <c r="A6800" s="6">
        <f>Database!$A8885</f>
        <v/>
      </c>
      <c r="B6800">
        <f>IF(VLOOKUP(Table7[[#This Row],[Date]],Database!$A:$C,MATCH($B$1,Database!$A$1:$C$1,),)=0,#N/A,VLOOKUP(Table7[[#This Row],[Date]],Database!$A:$C,MATCH($B$1,Database!$A$1:$C$1,),))</f>
        <v/>
      </c>
      <c r="C6800">
        <f>IF(VLOOKUP(Table7[[#This Row],[Date]],Database!$A:$C,MATCH($C$1,Database!$A$1:$C$1,),)=0,#N/A,VLOOKUP(Table7[[#This Row],[Date]],Database!$A:$C,MATCH($C$1,Database!$A$1:$C$1,),))</f>
        <v/>
      </c>
      <c r="D6800">
        <f>IFERROR(Table7[[#This Row],[United States 10y]]-Table7[[#This Row],[United States 3y]],#N/A)</f>
        <v/>
      </c>
    </row>
    <row r="6801">
      <c r="A6801" s="6">
        <f>Database!$A8886</f>
        <v/>
      </c>
      <c r="B6801">
        <f>IF(VLOOKUP(Table7[[#This Row],[Date]],Database!$A:$C,MATCH($B$1,Database!$A$1:$C$1,),)=0,#N/A,VLOOKUP(Table7[[#This Row],[Date]],Database!$A:$C,MATCH($B$1,Database!$A$1:$C$1,),))</f>
        <v/>
      </c>
      <c r="C6801">
        <f>IF(VLOOKUP(Table7[[#This Row],[Date]],Database!$A:$C,MATCH($C$1,Database!$A$1:$C$1,),)=0,#N/A,VLOOKUP(Table7[[#This Row],[Date]],Database!$A:$C,MATCH($C$1,Database!$A$1:$C$1,),))</f>
        <v/>
      </c>
      <c r="D6801">
        <f>IFERROR(Table7[[#This Row],[United States 10y]]-Table7[[#This Row],[United States 3y]],#N/A)</f>
        <v/>
      </c>
    </row>
    <row r="6802">
      <c r="A6802" s="6">
        <f>Database!$A8887</f>
        <v/>
      </c>
      <c r="B6802">
        <f>IF(VLOOKUP(Table7[[#This Row],[Date]],Database!$A:$C,MATCH($B$1,Database!$A$1:$C$1,),)=0,#N/A,VLOOKUP(Table7[[#This Row],[Date]],Database!$A:$C,MATCH($B$1,Database!$A$1:$C$1,),))</f>
        <v/>
      </c>
      <c r="C6802">
        <f>IF(VLOOKUP(Table7[[#This Row],[Date]],Database!$A:$C,MATCH($C$1,Database!$A$1:$C$1,),)=0,#N/A,VLOOKUP(Table7[[#This Row],[Date]],Database!$A:$C,MATCH($C$1,Database!$A$1:$C$1,),))</f>
        <v/>
      </c>
      <c r="D6802">
        <f>IFERROR(Table7[[#This Row],[United States 10y]]-Table7[[#This Row],[United States 3y]],#N/A)</f>
        <v/>
      </c>
    </row>
    <row r="6803">
      <c r="A6803" s="6">
        <f>Database!$A8888</f>
        <v/>
      </c>
      <c r="B6803">
        <f>IF(VLOOKUP(Table7[[#This Row],[Date]],Database!$A:$C,MATCH($B$1,Database!$A$1:$C$1,),)=0,#N/A,VLOOKUP(Table7[[#This Row],[Date]],Database!$A:$C,MATCH($B$1,Database!$A$1:$C$1,),))</f>
        <v/>
      </c>
      <c r="C6803">
        <f>IF(VLOOKUP(Table7[[#This Row],[Date]],Database!$A:$C,MATCH($C$1,Database!$A$1:$C$1,),)=0,#N/A,VLOOKUP(Table7[[#This Row],[Date]],Database!$A:$C,MATCH($C$1,Database!$A$1:$C$1,),))</f>
        <v/>
      </c>
      <c r="D6803">
        <f>IFERROR(Table7[[#This Row],[United States 10y]]-Table7[[#This Row],[United States 3y]],#N/A)</f>
        <v/>
      </c>
    </row>
    <row r="6804">
      <c r="A6804" s="6">
        <f>Database!$A8889</f>
        <v/>
      </c>
      <c r="B6804">
        <f>IF(VLOOKUP(Table7[[#This Row],[Date]],Database!$A:$C,MATCH($B$1,Database!$A$1:$C$1,),)=0,#N/A,VLOOKUP(Table7[[#This Row],[Date]],Database!$A:$C,MATCH($B$1,Database!$A$1:$C$1,),))</f>
        <v/>
      </c>
      <c r="C6804">
        <f>IF(VLOOKUP(Table7[[#This Row],[Date]],Database!$A:$C,MATCH($C$1,Database!$A$1:$C$1,),)=0,#N/A,VLOOKUP(Table7[[#This Row],[Date]],Database!$A:$C,MATCH($C$1,Database!$A$1:$C$1,),))</f>
        <v/>
      </c>
      <c r="D6804">
        <f>IFERROR(Table7[[#This Row],[United States 10y]]-Table7[[#This Row],[United States 3y]],#N/A)</f>
        <v/>
      </c>
    </row>
    <row r="6805">
      <c r="A6805" s="6">
        <f>Database!$A8890</f>
        <v/>
      </c>
      <c r="B6805">
        <f>IF(VLOOKUP(Table7[[#This Row],[Date]],Database!$A:$C,MATCH($B$1,Database!$A$1:$C$1,),)=0,#N/A,VLOOKUP(Table7[[#This Row],[Date]],Database!$A:$C,MATCH($B$1,Database!$A$1:$C$1,),))</f>
        <v/>
      </c>
      <c r="C6805">
        <f>IF(VLOOKUP(Table7[[#This Row],[Date]],Database!$A:$C,MATCH($C$1,Database!$A$1:$C$1,),)=0,#N/A,VLOOKUP(Table7[[#This Row],[Date]],Database!$A:$C,MATCH($C$1,Database!$A$1:$C$1,),))</f>
        <v/>
      </c>
      <c r="D6805">
        <f>IFERROR(Table7[[#This Row],[United States 10y]]-Table7[[#This Row],[United States 3y]],#N/A)</f>
        <v/>
      </c>
    </row>
    <row r="6806">
      <c r="A6806" s="6">
        <f>Database!$A8891</f>
        <v/>
      </c>
      <c r="B6806">
        <f>IF(VLOOKUP(Table7[[#This Row],[Date]],Database!$A:$C,MATCH($B$1,Database!$A$1:$C$1,),)=0,#N/A,VLOOKUP(Table7[[#This Row],[Date]],Database!$A:$C,MATCH($B$1,Database!$A$1:$C$1,),))</f>
        <v/>
      </c>
      <c r="C6806">
        <f>IF(VLOOKUP(Table7[[#This Row],[Date]],Database!$A:$C,MATCH($C$1,Database!$A$1:$C$1,),)=0,#N/A,VLOOKUP(Table7[[#This Row],[Date]],Database!$A:$C,MATCH($C$1,Database!$A$1:$C$1,),))</f>
        <v/>
      </c>
      <c r="D6806">
        <f>IFERROR(Table7[[#This Row],[United States 10y]]-Table7[[#This Row],[United States 3y]],#N/A)</f>
        <v/>
      </c>
    </row>
    <row r="6807">
      <c r="A6807" s="6">
        <f>Database!$A8892</f>
        <v/>
      </c>
      <c r="B6807">
        <f>IF(VLOOKUP(Table7[[#This Row],[Date]],Database!$A:$C,MATCH($B$1,Database!$A$1:$C$1,),)=0,#N/A,VLOOKUP(Table7[[#This Row],[Date]],Database!$A:$C,MATCH($B$1,Database!$A$1:$C$1,),))</f>
        <v/>
      </c>
      <c r="C6807">
        <f>IF(VLOOKUP(Table7[[#This Row],[Date]],Database!$A:$C,MATCH($C$1,Database!$A$1:$C$1,),)=0,#N/A,VLOOKUP(Table7[[#This Row],[Date]],Database!$A:$C,MATCH($C$1,Database!$A$1:$C$1,),))</f>
        <v/>
      </c>
      <c r="D6807">
        <f>IFERROR(Table7[[#This Row],[United States 10y]]-Table7[[#This Row],[United States 3y]],#N/A)</f>
        <v/>
      </c>
    </row>
    <row r="6808">
      <c r="A6808" s="6">
        <f>Database!$A8893</f>
        <v/>
      </c>
      <c r="B6808">
        <f>IF(VLOOKUP(Table7[[#This Row],[Date]],Database!$A:$C,MATCH($B$1,Database!$A$1:$C$1,),)=0,#N/A,VLOOKUP(Table7[[#This Row],[Date]],Database!$A:$C,MATCH($B$1,Database!$A$1:$C$1,),))</f>
        <v/>
      </c>
      <c r="C6808">
        <f>IF(VLOOKUP(Table7[[#This Row],[Date]],Database!$A:$C,MATCH($C$1,Database!$A$1:$C$1,),)=0,#N/A,VLOOKUP(Table7[[#This Row],[Date]],Database!$A:$C,MATCH($C$1,Database!$A$1:$C$1,),))</f>
        <v/>
      </c>
      <c r="D6808">
        <f>IFERROR(Table7[[#This Row],[United States 10y]]-Table7[[#This Row],[United States 3y]],#N/A)</f>
        <v/>
      </c>
    </row>
    <row r="6809">
      <c r="A6809" s="6">
        <f>Database!$A8894</f>
        <v/>
      </c>
      <c r="B6809">
        <f>IF(VLOOKUP(Table7[[#This Row],[Date]],Database!$A:$C,MATCH($B$1,Database!$A$1:$C$1,),)=0,#N/A,VLOOKUP(Table7[[#This Row],[Date]],Database!$A:$C,MATCH($B$1,Database!$A$1:$C$1,),))</f>
        <v/>
      </c>
      <c r="C6809">
        <f>IF(VLOOKUP(Table7[[#This Row],[Date]],Database!$A:$C,MATCH($C$1,Database!$A$1:$C$1,),)=0,#N/A,VLOOKUP(Table7[[#This Row],[Date]],Database!$A:$C,MATCH($C$1,Database!$A$1:$C$1,),))</f>
        <v/>
      </c>
      <c r="D6809">
        <f>IFERROR(Table7[[#This Row],[United States 10y]]-Table7[[#This Row],[United States 3y]],#N/A)</f>
        <v/>
      </c>
    </row>
    <row r="6810">
      <c r="A6810" s="6">
        <f>Database!$A8895</f>
        <v/>
      </c>
      <c r="B6810">
        <f>IF(VLOOKUP(Table7[[#This Row],[Date]],Database!$A:$C,MATCH($B$1,Database!$A$1:$C$1,),)=0,#N/A,VLOOKUP(Table7[[#This Row],[Date]],Database!$A:$C,MATCH($B$1,Database!$A$1:$C$1,),))</f>
        <v/>
      </c>
      <c r="C6810">
        <f>IF(VLOOKUP(Table7[[#This Row],[Date]],Database!$A:$C,MATCH($C$1,Database!$A$1:$C$1,),)=0,#N/A,VLOOKUP(Table7[[#This Row],[Date]],Database!$A:$C,MATCH($C$1,Database!$A$1:$C$1,),))</f>
        <v/>
      </c>
      <c r="D6810">
        <f>IFERROR(Table7[[#This Row],[United States 10y]]-Table7[[#This Row],[United States 3y]],#N/A)</f>
        <v/>
      </c>
    </row>
    <row r="6811">
      <c r="A6811" s="6">
        <f>Database!$A8896</f>
        <v/>
      </c>
      <c r="B6811">
        <f>IF(VLOOKUP(Table7[[#This Row],[Date]],Database!$A:$C,MATCH($B$1,Database!$A$1:$C$1,),)=0,#N/A,VLOOKUP(Table7[[#This Row],[Date]],Database!$A:$C,MATCH($B$1,Database!$A$1:$C$1,),))</f>
        <v/>
      </c>
      <c r="C6811">
        <f>IF(VLOOKUP(Table7[[#This Row],[Date]],Database!$A:$C,MATCH($C$1,Database!$A$1:$C$1,),)=0,#N/A,VLOOKUP(Table7[[#This Row],[Date]],Database!$A:$C,MATCH($C$1,Database!$A$1:$C$1,),))</f>
        <v/>
      </c>
      <c r="D6811">
        <f>IFERROR(Table7[[#This Row],[United States 10y]]-Table7[[#This Row],[United States 3y]],#N/A)</f>
        <v/>
      </c>
    </row>
    <row r="6812">
      <c r="A6812" s="6">
        <f>Database!$A8897</f>
        <v/>
      </c>
      <c r="B6812">
        <f>IF(VLOOKUP(Table7[[#This Row],[Date]],Database!$A:$C,MATCH($B$1,Database!$A$1:$C$1,),)=0,#N/A,VLOOKUP(Table7[[#This Row],[Date]],Database!$A:$C,MATCH($B$1,Database!$A$1:$C$1,),))</f>
        <v/>
      </c>
      <c r="C6812">
        <f>IF(VLOOKUP(Table7[[#This Row],[Date]],Database!$A:$C,MATCH($C$1,Database!$A$1:$C$1,),)=0,#N/A,VLOOKUP(Table7[[#This Row],[Date]],Database!$A:$C,MATCH($C$1,Database!$A$1:$C$1,),))</f>
        <v/>
      </c>
      <c r="D6812">
        <f>IFERROR(Table7[[#This Row],[United States 10y]]-Table7[[#This Row],[United States 3y]],#N/A)</f>
        <v/>
      </c>
    </row>
    <row r="6813">
      <c r="A6813" s="6">
        <f>Database!$A8898</f>
        <v/>
      </c>
      <c r="B6813">
        <f>IF(VLOOKUP(Table7[[#This Row],[Date]],Database!$A:$C,MATCH($B$1,Database!$A$1:$C$1,),)=0,#N/A,VLOOKUP(Table7[[#This Row],[Date]],Database!$A:$C,MATCH($B$1,Database!$A$1:$C$1,),))</f>
        <v/>
      </c>
      <c r="C6813">
        <f>IF(VLOOKUP(Table7[[#This Row],[Date]],Database!$A:$C,MATCH($C$1,Database!$A$1:$C$1,),)=0,#N/A,VLOOKUP(Table7[[#This Row],[Date]],Database!$A:$C,MATCH($C$1,Database!$A$1:$C$1,),))</f>
        <v/>
      </c>
      <c r="D6813">
        <f>IFERROR(Table7[[#This Row],[United States 10y]]-Table7[[#This Row],[United States 3y]],#N/A)</f>
        <v/>
      </c>
    </row>
    <row r="6814">
      <c r="A6814" s="6">
        <f>Database!$A8899</f>
        <v/>
      </c>
      <c r="B6814">
        <f>IF(VLOOKUP(Table7[[#This Row],[Date]],Database!$A:$C,MATCH($B$1,Database!$A$1:$C$1,),)=0,#N/A,VLOOKUP(Table7[[#This Row],[Date]],Database!$A:$C,MATCH($B$1,Database!$A$1:$C$1,),))</f>
        <v/>
      </c>
      <c r="C6814">
        <f>IF(VLOOKUP(Table7[[#This Row],[Date]],Database!$A:$C,MATCH($C$1,Database!$A$1:$C$1,),)=0,#N/A,VLOOKUP(Table7[[#This Row],[Date]],Database!$A:$C,MATCH($C$1,Database!$A$1:$C$1,),))</f>
        <v/>
      </c>
      <c r="D6814">
        <f>IFERROR(Table7[[#This Row],[United States 10y]]-Table7[[#This Row],[United States 3y]],#N/A)</f>
        <v/>
      </c>
    </row>
    <row r="6815">
      <c r="A6815" s="6">
        <f>Database!$A8900</f>
        <v/>
      </c>
      <c r="B6815">
        <f>IF(VLOOKUP(Table7[[#This Row],[Date]],Database!$A:$C,MATCH($B$1,Database!$A$1:$C$1,),)=0,#N/A,VLOOKUP(Table7[[#This Row],[Date]],Database!$A:$C,MATCH($B$1,Database!$A$1:$C$1,),))</f>
        <v/>
      </c>
      <c r="C6815">
        <f>IF(VLOOKUP(Table7[[#This Row],[Date]],Database!$A:$C,MATCH($C$1,Database!$A$1:$C$1,),)=0,#N/A,VLOOKUP(Table7[[#This Row],[Date]],Database!$A:$C,MATCH($C$1,Database!$A$1:$C$1,),))</f>
        <v/>
      </c>
      <c r="D6815">
        <f>IFERROR(Table7[[#This Row],[United States 10y]]-Table7[[#This Row],[United States 3y]],#N/A)</f>
        <v/>
      </c>
    </row>
    <row r="6816">
      <c r="A6816" s="6">
        <f>Database!$A8901</f>
        <v/>
      </c>
      <c r="B6816">
        <f>IF(VLOOKUP(Table7[[#This Row],[Date]],Database!$A:$C,MATCH($B$1,Database!$A$1:$C$1,),)=0,#N/A,VLOOKUP(Table7[[#This Row],[Date]],Database!$A:$C,MATCH($B$1,Database!$A$1:$C$1,),))</f>
        <v/>
      </c>
      <c r="C6816">
        <f>IF(VLOOKUP(Table7[[#This Row],[Date]],Database!$A:$C,MATCH($C$1,Database!$A$1:$C$1,),)=0,#N/A,VLOOKUP(Table7[[#This Row],[Date]],Database!$A:$C,MATCH($C$1,Database!$A$1:$C$1,),))</f>
        <v/>
      </c>
      <c r="D6816">
        <f>IFERROR(Table7[[#This Row],[United States 10y]]-Table7[[#This Row],[United States 3y]],#N/A)</f>
        <v/>
      </c>
    </row>
    <row r="6817">
      <c r="A6817" s="6">
        <f>Database!$A8902</f>
        <v/>
      </c>
      <c r="B6817">
        <f>IF(VLOOKUP(Table7[[#This Row],[Date]],Database!$A:$C,MATCH($B$1,Database!$A$1:$C$1,),)=0,#N/A,VLOOKUP(Table7[[#This Row],[Date]],Database!$A:$C,MATCH($B$1,Database!$A$1:$C$1,),))</f>
        <v/>
      </c>
      <c r="C6817">
        <f>IF(VLOOKUP(Table7[[#This Row],[Date]],Database!$A:$C,MATCH($C$1,Database!$A$1:$C$1,),)=0,#N/A,VLOOKUP(Table7[[#This Row],[Date]],Database!$A:$C,MATCH($C$1,Database!$A$1:$C$1,),))</f>
        <v/>
      </c>
      <c r="D6817">
        <f>IFERROR(Table7[[#This Row],[United States 10y]]-Table7[[#This Row],[United States 3y]],#N/A)</f>
        <v/>
      </c>
    </row>
    <row r="6818">
      <c r="A6818" s="6">
        <f>Database!$A8903</f>
        <v/>
      </c>
      <c r="B6818">
        <f>IF(VLOOKUP(Table7[[#This Row],[Date]],Database!$A:$C,MATCH($B$1,Database!$A$1:$C$1,),)=0,#N/A,VLOOKUP(Table7[[#This Row],[Date]],Database!$A:$C,MATCH($B$1,Database!$A$1:$C$1,),))</f>
        <v/>
      </c>
      <c r="C6818">
        <f>IF(VLOOKUP(Table7[[#This Row],[Date]],Database!$A:$C,MATCH($C$1,Database!$A$1:$C$1,),)=0,#N/A,VLOOKUP(Table7[[#This Row],[Date]],Database!$A:$C,MATCH($C$1,Database!$A$1:$C$1,),))</f>
        <v/>
      </c>
      <c r="D6818">
        <f>IFERROR(Table7[[#This Row],[United States 10y]]-Table7[[#This Row],[United States 3y]],#N/A)</f>
        <v/>
      </c>
    </row>
    <row r="6819">
      <c r="A6819" s="6">
        <f>Database!$A8904</f>
        <v/>
      </c>
      <c r="B6819">
        <f>IF(VLOOKUP(Table7[[#This Row],[Date]],Database!$A:$C,MATCH($B$1,Database!$A$1:$C$1,),)=0,#N/A,VLOOKUP(Table7[[#This Row],[Date]],Database!$A:$C,MATCH($B$1,Database!$A$1:$C$1,),))</f>
        <v/>
      </c>
      <c r="C6819">
        <f>IF(VLOOKUP(Table7[[#This Row],[Date]],Database!$A:$C,MATCH($C$1,Database!$A$1:$C$1,),)=0,#N/A,VLOOKUP(Table7[[#This Row],[Date]],Database!$A:$C,MATCH($C$1,Database!$A$1:$C$1,),))</f>
        <v/>
      </c>
      <c r="D6819">
        <f>IFERROR(Table7[[#This Row],[United States 10y]]-Table7[[#This Row],[United States 3y]],#N/A)</f>
        <v/>
      </c>
    </row>
    <row r="6820">
      <c r="A6820" s="6">
        <f>Database!$A8905</f>
        <v/>
      </c>
      <c r="B6820">
        <f>IF(VLOOKUP(Table7[[#This Row],[Date]],Database!$A:$C,MATCH($B$1,Database!$A$1:$C$1,),)=0,#N/A,VLOOKUP(Table7[[#This Row],[Date]],Database!$A:$C,MATCH($B$1,Database!$A$1:$C$1,),))</f>
        <v/>
      </c>
      <c r="C6820">
        <f>IF(VLOOKUP(Table7[[#This Row],[Date]],Database!$A:$C,MATCH($C$1,Database!$A$1:$C$1,),)=0,#N/A,VLOOKUP(Table7[[#This Row],[Date]],Database!$A:$C,MATCH($C$1,Database!$A$1:$C$1,),))</f>
        <v/>
      </c>
      <c r="D6820">
        <f>IFERROR(Table7[[#This Row],[United States 10y]]-Table7[[#This Row],[United States 3y]],#N/A)</f>
        <v/>
      </c>
    </row>
    <row r="6821">
      <c r="A6821" s="6">
        <f>Database!$A8906</f>
        <v/>
      </c>
      <c r="B6821">
        <f>IF(VLOOKUP(Table7[[#This Row],[Date]],Database!$A:$C,MATCH($B$1,Database!$A$1:$C$1,),)=0,#N/A,VLOOKUP(Table7[[#This Row],[Date]],Database!$A:$C,MATCH($B$1,Database!$A$1:$C$1,),))</f>
        <v/>
      </c>
      <c r="C6821">
        <f>IF(VLOOKUP(Table7[[#This Row],[Date]],Database!$A:$C,MATCH($C$1,Database!$A$1:$C$1,),)=0,#N/A,VLOOKUP(Table7[[#This Row],[Date]],Database!$A:$C,MATCH($C$1,Database!$A$1:$C$1,),))</f>
        <v/>
      </c>
      <c r="D6821">
        <f>IFERROR(Table7[[#This Row],[United States 10y]]-Table7[[#This Row],[United States 3y]],#N/A)</f>
        <v/>
      </c>
    </row>
    <row r="6822">
      <c r="A6822" s="6">
        <f>Database!$A8907</f>
        <v/>
      </c>
      <c r="B6822">
        <f>IF(VLOOKUP(Table7[[#This Row],[Date]],Database!$A:$C,MATCH($B$1,Database!$A$1:$C$1,),)=0,#N/A,VLOOKUP(Table7[[#This Row],[Date]],Database!$A:$C,MATCH($B$1,Database!$A$1:$C$1,),))</f>
        <v/>
      </c>
      <c r="C6822">
        <f>IF(VLOOKUP(Table7[[#This Row],[Date]],Database!$A:$C,MATCH($C$1,Database!$A$1:$C$1,),)=0,#N/A,VLOOKUP(Table7[[#This Row],[Date]],Database!$A:$C,MATCH($C$1,Database!$A$1:$C$1,),))</f>
        <v/>
      </c>
      <c r="D6822">
        <f>IFERROR(Table7[[#This Row],[United States 10y]]-Table7[[#This Row],[United States 3y]],#N/A)</f>
        <v/>
      </c>
    </row>
    <row r="6823">
      <c r="A6823" s="6">
        <f>Database!$A8908</f>
        <v/>
      </c>
      <c r="B6823">
        <f>IF(VLOOKUP(Table7[[#This Row],[Date]],Database!$A:$C,MATCH($B$1,Database!$A$1:$C$1,),)=0,#N/A,VLOOKUP(Table7[[#This Row],[Date]],Database!$A:$C,MATCH($B$1,Database!$A$1:$C$1,),))</f>
        <v/>
      </c>
      <c r="C6823">
        <f>IF(VLOOKUP(Table7[[#This Row],[Date]],Database!$A:$C,MATCH($C$1,Database!$A$1:$C$1,),)=0,#N/A,VLOOKUP(Table7[[#This Row],[Date]],Database!$A:$C,MATCH($C$1,Database!$A$1:$C$1,),))</f>
        <v/>
      </c>
      <c r="D6823">
        <f>IFERROR(Table7[[#This Row],[United States 10y]]-Table7[[#This Row],[United States 3y]],#N/A)</f>
        <v/>
      </c>
    </row>
    <row r="6824">
      <c r="A6824" s="6">
        <f>Database!$A8909</f>
        <v/>
      </c>
      <c r="B6824">
        <f>IF(VLOOKUP(Table7[[#This Row],[Date]],Database!$A:$C,MATCH($B$1,Database!$A$1:$C$1,),)=0,#N/A,VLOOKUP(Table7[[#This Row],[Date]],Database!$A:$C,MATCH($B$1,Database!$A$1:$C$1,),))</f>
        <v/>
      </c>
      <c r="C6824">
        <f>IF(VLOOKUP(Table7[[#This Row],[Date]],Database!$A:$C,MATCH($C$1,Database!$A$1:$C$1,),)=0,#N/A,VLOOKUP(Table7[[#This Row],[Date]],Database!$A:$C,MATCH($C$1,Database!$A$1:$C$1,),))</f>
        <v/>
      </c>
      <c r="D6824">
        <f>IFERROR(Table7[[#This Row],[United States 10y]]-Table7[[#This Row],[United States 3y]],#N/A)</f>
        <v/>
      </c>
    </row>
    <row r="6825">
      <c r="A6825" s="6">
        <f>Database!$A8910</f>
        <v/>
      </c>
      <c r="B6825">
        <f>IF(VLOOKUP(Table7[[#This Row],[Date]],Database!$A:$C,MATCH($B$1,Database!$A$1:$C$1,),)=0,#N/A,VLOOKUP(Table7[[#This Row],[Date]],Database!$A:$C,MATCH($B$1,Database!$A$1:$C$1,),))</f>
        <v/>
      </c>
      <c r="C6825">
        <f>IF(VLOOKUP(Table7[[#This Row],[Date]],Database!$A:$C,MATCH($C$1,Database!$A$1:$C$1,),)=0,#N/A,VLOOKUP(Table7[[#This Row],[Date]],Database!$A:$C,MATCH($C$1,Database!$A$1:$C$1,),))</f>
        <v/>
      </c>
      <c r="D6825">
        <f>IFERROR(Table7[[#This Row],[United States 10y]]-Table7[[#This Row],[United States 3y]],#N/A)</f>
        <v/>
      </c>
    </row>
    <row r="6826">
      <c r="A6826" s="6">
        <f>Database!$A8911</f>
        <v/>
      </c>
      <c r="B6826">
        <f>IF(VLOOKUP(Table7[[#This Row],[Date]],Database!$A:$C,MATCH($B$1,Database!$A$1:$C$1,),)=0,#N/A,VLOOKUP(Table7[[#This Row],[Date]],Database!$A:$C,MATCH($B$1,Database!$A$1:$C$1,),))</f>
        <v/>
      </c>
      <c r="C6826">
        <f>IF(VLOOKUP(Table7[[#This Row],[Date]],Database!$A:$C,MATCH($C$1,Database!$A$1:$C$1,),)=0,#N/A,VLOOKUP(Table7[[#This Row],[Date]],Database!$A:$C,MATCH($C$1,Database!$A$1:$C$1,),))</f>
        <v/>
      </c>
      <c r="D6826">
        <f>IFERROR(Table7[[#This Row],[United States 10y]]-Table7[[#This Row],[United States 3y]],#N/A)</f>
        <v/>
      </c>
    </row>
    <row r="6827">
      <c r="A6827" s="6">
        <f>Database!$A8912</f>
        <v/>
      </c>
      <c r="B6827">
        <f>IF(VLOOKUP(Table7[[#This Row],[Date]],Database!$A:$C,MATCH($B$1,Database!$A$1:$C$1,),)=0,#N/A,VLOOKUP(Table7[[#This Row],[Date]],Database!$A:$C,MATCH($B$1,Database!$A$1:$C$1,),))</f>
        <v/>
      </c>
      <c r="C6827">
        <f>IF(VLOOKUP(Table7[[#This Row],[Date]],Database!$A:$C,MATCH($C$1,Database!$A$1:$C$1,),)=0,#N/A,VLOOKUP(Table7[[#This Row],[Date]],Database!$A:$C,MATCH($C$1,Database!$A$1:$C$1,),))</f>
        <v/>
      </c>
      <c r="D6827">
        <f>IFERROR(Table7[[#This Row],[United States 10y]]-Table7[[#This Row],[United States 3y]],#N/A)</f>
        <v/>
      </c>
    </row>
    <row r="6828">
      <c r="A6828" s="6">
        <f>Database!$A8913</f>
        <v/>
      </c>
      <c r="B6828">
        <f>IF(VLOOKUP(Table7[[#This Row],[Date]],Database!$A:$C,MATCH($B$1,Database!$A$1:$C$1,),)=0,#N/A,VLOOKUP(Table7[[#This Row],[Date]],Database!$A:$C,MATCH($B$1,Database!$A$1:$C$1,),))</f>
        <v/>
      </c>
      <c r="C6828">
        <f>IF(VLOOKUP(Table7[[#This Row],[Date]],Database!$A:$C,MATCH($C$1,Database!$A$1:$C$1,),)=0,#N/A,VLOOKUP(Table7[[#This Row],[Date]],Database!$A:$C,MATCH($C$1,Database!$A$1:$C$1,),))</f>
        <v/>
      </c>
      <c r="D6828">
        <f>IFERROR(Table7[[#This Row],[United States 10y]]-Table7[[#This Row],[United States 3y]],#N/A)</f>
        <v/>
      </c>
    </row>
    <row r="6829">
      <c r="A6829" s="6">
        <f>Database!$A8914</f>
        <v/>
      </c>
      <c r="B6829">
        <f>IF(VLOOKUP(Table7[[#This Row],[Date]],Database!$A:$C,MATCH($B$1,Database!$A$1:$C$1,),)=0,#N/A,VLOOKUP(Table7[[#This Row],[Date]],Database!$A:$C,MATCH($B$1,Database!$A$1:$C$1,),))</f>
        <v/>
      </c>
      <c r="C6829">
        <f>IF(VLOOKUP(Table7[[#This Row],[Date]],Database!$A:$C,MATCH($C$1,Database!$A$1:$C$1,),)=0,#N/A,VLOOKUP(Table7[[#This Row],[Date]],Database!$A:$C,MATCH($C$1,Database!$A$1:$C$1,),))</f>
        <v/>
      </c>
      <c r="D6829">
        <f>IFERROR(Table7[[#This Row],[United States 10y]]-Table7[[#This Row],[United States 3y]],#N/A)</f>
        <v/>
      </c>
    </row>
    <row r="6830">
      <c r="A6830" s="6">
        <f>Database!$A8915</f>
        <v/>
      </c>
      <c r="B6830">
        <f>IF(VLOOKUP(Table7[[#This Row],[Date]],Database!$A:$C,MATCH($B$1,Database!$A$1:$C$1,),)=0,#N/A,VLOOKUP(Table7[[#This Row],[Date]],Database!$A:$C,MATCH($B$1,Database!$A$1:$C$1,),))</f>
        <v/>
      </c>
      <c r="C6830">
        <f>IF(VLOOKUP(Table7[[#This Row],[Date]],Database!$A:$C,MATCH($C$1,Database!$A$1:$C$1,),)=0,#N/A,VLOOKUP(Table7[[#This Row],[Date]],Database!$A:$C,MATCH($C$1,Database!$A$1:$C$1,),))</f>
        <v/>
      </c>
      <c r="D6830">
        <f>IFERROR(Table7[[#This Row],[United States 10y]]-Table7[[#This Row],[United States 3y]],#N/A)</f>
        <v/>
      </c>
    </row>
    <row r="6831">
      <c r="A6831" s="6">
        <f>Database!$A8916</f>
        <v/>
      </c>
      <c r="B6831">
        <f>IF(VLOOKUP(Table7[[#This Row],[Date]],Database!$A:$C,MATCH($B$1,Database!$A$1:$C$1,),)=0,#N/A,VLOOKUP(Table7[[#This Row],[Date]],Database!$A:$C,MATCH($B$1,Database!$A$1:$C$1,),))</f>
        <v/>
      </c>
      <c r="C6831">
        <f>IF(VLOOKUP(Table7[[#This Row],[Date]],Database!$A:$C,MATCH($C$1,Database!$A$1:$C$1,),)=0,#N/A,VLOOKUP(Table7[[#This Row],[Date]],Database!$A:$C,MATCH($C$1,Database!$A$1:$C$1,),))</f>
        <v/>
      </c>
      <c r="D6831">
        <f>IFERROR(Table7[[#This Row],[United States 10y]]-Table7[[#This Row],[United States 3y]],#N/A)</f>
        <v/>
      </c>
    </row>
    <row r="6832">
      <c r="A6832" s="6">
        <f>Database!$A8917</f>
        <v/>
      </c>
      <c r="B6832">
        <f>IF(VLOOKUP(Table7[[#This Row],[Date]],Database!$A:$C,MATCH($B$1,Database!$A$1:$C$1,),)=0,#N/A,VLOOKUP(Table7[[#This Row],[Date]],Database!$A:$C,MATCH($B$1,Database!$A$1:$C$1,),))</f>
        <v/>
      </c>
      <c r="C6832">
        <f>IF(VLOOKUP(Table7[[#This Row],[Date]],Database!$A:$C,MATCH($C$1,Database!$A$1:$C$1,),)=0,#N/A,VLOOKUP(Table7[[#This Row],[Date]],Database!$A:$C,MATCH($C$1,Database!$A$1:$C$1,),))</f>
        <v/>
      </c>
      <c r="D6832">
        <f>IFERROR(Table7[[#This Row],[United States 10y]]-Table7[[#This Row],[United States 3y]],#N/A)</f>
        <v/>
      </c>
    </row>
    <row r="6833">
      <c r="A6833" s="6">
        <f>Database!$A8918</f>
        <v/>
      </c>
      <c r="B6833">
        <f>IF(VLOOKUP(Table7[[#This Row],[Date]],Database!$A:$C,MATCH($B$1,Database!$A$1:$C$1,),)=0,#N/A,VLOOKUP(Table7[[#This Row],[Date]],Database!$A:$C,MATCH($B$1,Database!$A$1:$C$1,),))</f>
        <v/>
      </c>
      <c r="C6833">
        <f>IF(VLOOKUP(Table7[[#This Row],[Date]],Database!$A:$C,MATCH($C$1,Database!$A$1:$C$1,),)=0,#N/A,VLOOKUP(Table7[[#This Row],[Date]],Database!$A:$C,MATCH($C$1,Database!$A$1:$C$1,),))</f>
        <v/>
      </c>
      <c r="D6833">
        <f>IFERROR(Table7[[#This Row],[United States 10y]]-Table7[[#This Row],[United States 3y]],#N/A)</f>
        <v/>
      </c>
    </row>
    <row r="6834">
      <c r="A6834" s="6">
        <f>Database!$A8919</f>
        <v/>
      </c>
      <c r="B6834">
        <f>IF(VLOOKUP(Table7[[#This Row],[Date]],Database!$A:$C,MATCH($B$1,Database!$A$1:$C$1,),)=0,#N/A,VLOOKUP(Table7[[#This Row],[Date]],Database!$A:$C,MATCH($B$1,Database!$A$1:$C$1,),))</f>
        <v/>
      </c>
      <c r="C6834">
        <f>IF(VLOOKUP(Table7[[#This Row],[Date]],Database!$A:$C,MATCH($C$1,Database!$A$1:$C$1,),)=0,#N/A,VLOOKUP(Table7[[#This Row],[Date]],Database!$A:$C,MATCH($C$1,Database!$A$1:$C$1,),))</f>
        <v/>
      </c>
      <c r="D6834">
        <f>IFERROR(Table7[[#This Row],[United States 10y]]-Table7[[#This Row],[United States 3y]],#N/A)</f>
        <v/>
      </c>
    </row>
    <row r="6835">
      <c r="A6835" s="6">
        <f>Database!$A8920</f>
        <v/>
      </c>
      <c r="B6835">
        <f>IF(VLOOKUP(Table7[[#This Row],[Date]],Database!$A:$C,MATCH($B$1,Database!$A$1:$C$1,),)=0,#N/A,VLOOKUP(Table7[[#This Row],[Date]],Database!$A:$C,MATCH($B$1,Database!$A$1:$C$1,),))</f>
        <v/>
      </c>
      <c r="C6835">
        <f>IF(VLOOKUP(Table7[[#This Row],[Date]],Database!$A:$C,MATCH($C$1,Database!$A$1:$C$1,),)=0,#N/A,VLOOKUP(Table7[[#This Row],[Date]],Database!$A:$C,MATCH($C$1,Database!$A$1:$C$1,),))</f>
        <v/>
      </c>
      <c r="D6835">
        <f>IFERROR(Table7[[#This Row],[United States 10y]]-Table7[[#This Row],[United States 3y]],#N/A)</f>
        <v/>
      </c>
    </row>
    <row r="6836">
      <c r="A6836" s="6">
        <f>Database!$A8921</f>
        <v/>
      </c>
      <c r="B6836">
        <f>IF(VLOOKUP(Table7[[#This Row],[Date]],Database!$A:$C,MATCH($B$1,Database!$A$1:$C$1,),)=0,#N/A,VLOOKUP(Table7[[#This Row],[Date]],Database!$A:$C,MATCH($B$1,Database!$A$1:$C$1,),))</f>
        <v/>
      </c>
      <c r="C6836">
        <f>IF(VLOOKUP(Table7[[#This Row],[Date]],Database!$A:$C,MATCH($C$1,Database!$A$1:$C$1,),)=0,#N/A,VLOOKUP(Table7[[#This Row],[Date]],Database!$A:$C,MATCH($C$1,Database!$A$1:$C$1,),))</f>
        <v/>
      </c>
      <c r="D6836">
        <f>IFERROR(Table7[[#This Row],[United States 10y]]-Table7[[#This Row],[United States 3y]],#N/A)</f>
        <v/>
      </c>
    </row>
    <row r="6837">
      <c r="A6837" s="6">
        <f>Database!$A8922</f>
        <v/>
      </c>
      <c r="B6837">
        <f>IF(VLOOKUP(Table7[[#This Row],[Date]],Database!$A:$C,MATCH($B$1,Database!$A$1:$C$1,),)=0,#N/A,VLOOKUP(Table7[[#This Row],[Date]],Database!$A:$C,MATCH($B$1,Database!$A$1:$C$1,),))</f>
        <v/>
      </c>
      <c r="C6837">
        <f>IF(VLOOKUP(Table7[[#This Row],[Date]],Database!$A:$C,MATCH($C$1,Database!$A$1:$C$1,),)=0,#N/A,VLOOKUP(Table7[[#This Row],[Date]],Database!$A:$C,MATCH($C$1,Database!$A$1:$C$1,),))</f>
        <v/>
      </c>
      <c r="D6837">
        <f>IFERROR(Table7[[#This Row],[United States 10y]]-Table7[[#This Row],[United States 3y]],#N/A)</f>
        <v/>
      </c>
    </row>
    <row r="6838">
      <c r="A6838" s="6">
        <f>Database!$A8923</f>
        <v/>
      </c>
      <c r="B6838">
        <f>IF(VLOOKUP(Table7[[#This Row],[Date]],Database!$A:$C,MATCH($B$1,Database!$A$1:$C$1,),)=0,#N/A,VLOOKUP(Table7[[#This Row],[Date]],Database!$A:$C,MATCH($B$1,Database!$A$1:$C$1,),))</f>
        <v/>
      </c>
      <c r="C6838">
        <f>IF(VLOOKUP(Table7[[#This Row],[Date]],Database!$A:$C,MATCH($C$1,Database!$A$1:$C$1,),)=0,#N/A,VLOOKUP(Table7[[#This Row],[Date]],Database!$A:$C,MATCH($C$1,Database!$A$1:$C$1,),))</f>
        <v/>
      </c>
      <c r="D6838">
        <f>IFERROR(Table7[[#This Row],[United States 10y]]-Table7[[#This Row],[United States 3y]],#N/A)</f>
        <v/>
      </c>
    </row>
    <row r="6839">
      <c r="A6839" s="6">
        <f>Database!$A8924</f>
        <v/>
      </c>
      <c r="B6839">
        <f>IF(VLOOKUP(Table7[[#This Row],[Date]],Database!$A:$C,MATCH($B$1,Database!$A$1:$C$1,),)=0,#N/A,VLOOKUP(Table7[[#This Row],[Date]],Database!$A:$C,MATCH($B$1,Database!$A$1:$C$1,),))</f>
        <v/>
      </c>
      <c r="C6839">
        <f>IF(VLOOKUP(Table7[[#This Row],[Date]],Database!$A:$C,MATCH($C$1,Database!$A$1:$C$1,),)=0,#N/A,VLOOKUP(Table7[[#This Row],[Date]],Database!$A:$C,MATCH($C$1,Database!$A$1:$C$1,),))</f>
        <v/>
      </c>
      <c r="D6839">
        <f>IFERROR(Table7[[#This Row],[United States 10y]]-Table7[[#This Row],[United States 3y]],#N/A)</f>
        <v/>
      </c>
    </row>
    <row r="6840">
      <c r="A6840" s="6">
        <f>Database!$A8925</f>
        <v/>
      </c>
      <c r="B6840">
        <f>IF(VLOOKUP(Table7[[#This Row],[Date]],Database!$A:$C,MATCH($B$1,Database!$A$1:$C$1,),)=0,#N/A,VLOOKUP(Table7[[#This Row],[Date]],Database!$A:$C,MATCH($B$1,Database!$A$1:$C$1,),))</f>
        <v/>
      </c>
      <c r="C6840">
        <f>IF(VLOOKUP(Table7[[#This Row],[Date]],Database!$A:$C,MATCH($C$1,Database!$A$1:$C$1,),)=0,#N/A,VLOOKUP(Table7[[#This Row],[Date]],Database!$A:$C,MATCH($C$1,Database!$A$1:$C$1,),))</f>
        <v/>
      </c>
      <c r="D6840">
        <f>IFERROR(Table7[[#This Row],[United States 10y]]-Table7[[#This Row],[United States 3y]],#N/A)</f>
        <v/>
      </c>
    </row>
    <row r="6841">
      <c r="A6841" s="6">
        <f>Database!$A8926</f>
        <v/>
      </c>
      <c r="B6841">
        <f>IF(VLOOKUP(Table7[[#This Row],[Date]],Database!$A:$C,MATCH($B$1,Database!$A$1:$C$1,),)=0,#N/A,VLOOKUP(Table7[[#This Row],[Date]],Database!$A:$C,MATCH($B$1,Database!$A$1:$C$1,),))</f>
        <v/>
      </c>
      <c r="C6841">
        <f>IF(VLOOKUP(Table7[[#This Row],[Date]],Database!$A:$C,MATCH($C$1,Database!$A$1:$C$1,),)=0,#N/A,VLOOKUP(Table7[[#This Row],[Date]],Database!$A:$C,MATCH($C$1,Database!$A$1:$C$1,),))</f>
        <v/>
      </c>
      <c r="D6841">
        <f>IFERROR(Table7[[#This Row],[United States 10y]]-Table7[[#This Row],[United States 3y]],#N/A)</f>
        <v/>
      </c>
    </row>
    <row r="6842">
      <c r="A6842" s="6">
        <f>Database!$A8927</f>
        <v/>
      </c>
      <c r="B6842">
        <f>IF(VLOOKUP(Table7[[#This Row],[Date]],Database!$A:$C,MATCH($B$1,Database!$A$1:$C$1,),)=0,#N/A,VLOOKUP(Table7[[#This Row],[Date]],Database!$A:$C,MATCH($B$1,Database!$A$1:$C$1,),))</f>
        <v/>
      </c>
      <c r="C6842">
        <f>IF(VLOOKUP(Table7[[#This Row],[Date]],Database!$A:$C,MATCH($C$1,Database!$A$1:$C$1,),)=0,#N/A,VLOOKUP(Table7[[#This Row],[Date]],Database!$A:$C,MATCH($C$1,Database!$A$1:$C$1,),))</f>
        <v/>
      </c>
      <c r="D6842">
        <f>IFERROR(Table7[[#This Row],[United States 10y]]-Table7[[#This Row],[United States 3y]],#N/A)</f>
        <v/>
      </c>
    </row>
    <row r="6843">
      <c r="A6843" s="6">
        <f>Database!$A8928</f>
        <v/>
      </c>
      <c r="B6843">
        <f>IF(VLOOKUP(Table7[[#This Row],[Date]],Database!$A:$C,MATCH($B$1,Database!$A$1:$C$1,),)=0,#N/A,VLOOKUP(Table7[[#This Row],[Date]],Database!$A:$C,MATCH($B$1,Database!$A$1:$C$1,),))</f>
        <v/>
      </c>
      <c r="C6843">
        <f>IF(VLOOKUP(Table7[[#This Row],[Date]],Database!$A:$C,MATCH($C$1,Database!$A$1:$C$1,),)=0,#N/A,VLOOKUP(Table7[[#This Row],[Date]],Database!$A:$C,MATCH($C$1,Database!$A$1:$C$1,),))</f>
        <v/>
      </c>
      <c r="D6843">
        <f>IFERROR(Table7[[#This Row],[United States 10y]]-Table7[[#This Row],[United States 3y]],#N/A)</f>
        <v/>
      </c>
    </row>
    <row r="6844">
      <c r="A6844" s="6">
        <f>Database!$A8929</f>
        <v/>
      </c>
      <c r="B6844">
        <f>IF(VLOOKUP(Table7[[#This Row],[Date]],Database!$A:$C,MATCH($B$1,Database!$A$1:$C$1,),)=0,#N/A,VLOOKUP(Table7[[#This Row],[Date]],Database!$A:$C,MATCH($B$1,Database!$A$1:$C$1,),))</f>
        <v/>
      </c>
      <c r="C6844">
        <f>IF(VLOOKUP(Table7[[#This Row],[Date]],Database!$A:$C,MATCH($C$1,Database!$A$1:$C$1,),)=0,#N/A,VLOOKUP(Table7[[#This Row],[Date]],Database!$A:$C,MATCH($C$1,Database!$A$1:$C$1,),))</f>
        <v/>
      </c>
      <c r="D6844">
        <f>IFERROR(Table7[[#This Row],[United States 10y]]-Table7[[#This Row],[United States 3y]],#N/A)</f>
        <v/>
      </c>
    </row>
    <row r="6845">
      <c r="A6845" s="6">
        <f>Database!$A8930</f>
        <v/>
      </c>
      <c r="B6845">
        <f>IF(VLOOKUP(Table7[[#This Row],[Date]],Database!$A:$C,MATCH($B$1,Database!$A$1:$C$1,),)=0,#N/A,VLOOKUP(Table7[[#This Row],[Date]],Database!$A:$C,MATCH($B$1,Database!$A$1:$C$1,),))</f>
        <v/>
      </c>
      <c r="C6845">
        <f>IF(VLOOKUP(Table7[[#This Row],[Date]],Database!$A:$C,MATCH($C$1,Database!$A$1:$C$1,),)=0,#N/A,VLOOKUP(Table7[[#This Row],[Date]],Database!$A:$C,MATCH($C$1,Database!$A$1:$C$1,),))</f>
        <v/>
      </c>
      <c r="D6845">
        <f>IFERROR(Table7[[#This Row],[United States 10y]]-Table7[[#This Row],[United States 3y]],#N/A)</f>
        <v/>
      </c>
    </row>
    <row r="6846">
      <c r="A6846" s="6">
        <f>Database!$A8931</f>
        <v/>
      </c>
      <c r="B6846">
        <f>IF(VLOOKUP(Table7[[#This Row],[Date]],Database!$A:$C,MATCH($B$1,Database!$A$1:$C$1,),)=0,#N/A,VLOOKUP(Table7[[#This Row],[Date]],Database!$A:$C,MATCH($B$1,Database!$A$1:$C$1,),))</f>
        <v/>
      </c>
      <c r="C6846">
        <f>IF(VLOOKUP(Table7[[#This Row],[Date]],Database!$A:$C,MATCH($C$1,Database!$A$1:$C$1,),)=0,#N/A,VLOOKUP(Table7[[#This Row],[Date]],Database!$A:$C,MATCH($C$1,Database!$A$1:$C$1,),))</f>
        <v/>
      </c>
      <c r="D6846">
        <f>IFERROR(Table7[[#This Row],[United States 10y]]-Table7[[#This Row],[United States 3y]],#N/A)</f>
        <v/>
      </c>
    </row>
    <row r="6847">
      <c r="A6847" s="6">
        <f>Database!$A8932</f>
        <v/>
      </c>
      <c r="B6847">
        <f>IF(VLOOKUP(Table7[[#This Row],[Date]],Database!$A:$C,MATCH($B$1,Database!$A$1:$C$1,),)=0,#N/A,VLOOKUP(Table7[[#This Row],[Date]],Database!$A:$C,MATCH($B$1,Database!$A$1:$C$1,),))</f>
        <v/>
      </c>
      <c r="C6847">
        <f>IF(VLOOKUP(Table7[[#This Row],[Date]],Database!$A:$C,MATCH($C$1,Database!$A$1:$C$1,),)=0,#N/A,VLOOKUP(Table7[[#This Row],[Date]],Database!$A:$C,MATCH($C$1,Database!$A$1:$C$1,),))</f>
        <v/>
      </c>
      <c r="D6847">
        <f>IFERROR(Table7[[#This Row],[United States 10y]]-Table7[[#This Row],[United States 3y]],#N/A)</f>
        <v/>
      </c>
    </row>
    <row r="6848">
      <c r="A6848" s="6">
        <f>Database!$A8933</f>
        <v/>
      </c>
      <c r="B6848">
        <f>IF(VLOOKUP(Table7[[#This Row],[Date]],Database!$A:$C,MATCH($B$1,Database!$A$1:$C$1,),)=0,#N/A,VLOOKUP(Table7[[#This Row],[Date]],Database!$A:$C,MATCH($B$1,Database!$A$1:$C$1,),))</f>
        <v/>
      </c>
      <c r="C6848">
        <f>IF(VLOOKUP(Table7[[#This Row],[Date]],Database!$A:$C,MATCH($C$1,Database!$A$1:$C$1,),)=0,#N/A,VLOOKUP(Table7[[#This Row],[Date]],Database!$A:$C,MATCH($C$1,Database!$A$1:$C$1,),))</f>
        <v/>
      </c>
      <c r="D6848">
        <f>IFERROR(Table7[[#This Row],[United States 10y]]-Table7[[#This Row],[United States 3y]],#N/A)</f>
        <v/>
      </c>
    </row>
    <row r="6849">
      <c r="A6849" s="6">
        <f>Database!$A8934</f>
        <v/>
      </c>
      <c r="B6849">
        <f>IF(VLOOKUP(Table7[[#This Row],[Date]],Database!$A:$C,MATCH($B$1,Database!$A$1:$C$1,),)=0,#N/A,VLOOKUP(Table7[[#This Row],[Date]],Database!$A:$C,MATCH($B$1,Database!$A$1:$C$1,),))</f>
        <v/>
      </c>
      <c r="C6849">
        <f>IF(VLOOKUP(Table7[[#This Row],[Date]],Database!$A:$C,MATCH($C$1,Database!$A$1:$C$1,),)=0,#N/A,VLOOKUP(Table7[[#This Row],[Date]],Database!$A:$C,MATCH($C$1,Database!$A$1:$C$1,),))</f>
        <v/>
      </c>
      <c r="D6849">
        <f>IFERROR(Table7[[#This Row],[United States 10y]]-Table7[[#This Row],[United States 3y]],#N/A)</f>
        <v/>
      </c>
    </row>
    <row r="6850">
      <c r="A6850" s="6">
        <f>Database!$A8935</f>
        <v/>
      </c>
      <c r="B6850">
        <f>IF(VLOOKUP(Table7[[#This Row],[Date]],Database!$A:$C,MATCH($B$1,Database!$A$1:$C$1,),)=0,#N/A,VLOOKUP(Table7[[#This Row],[Date]],Database!$A:$C,MATCH($B$1,Database!$A$1:$C$1,),))</f>
        <v/>
      </c>
      <c r="C6850">
        <f>IF(VLOOKUP(Table7[[#This Row],[Date]],Database!$A:$C,MATCH($C$1,Database!$A$1:$C$1,),)=0,#N/A,VLOOKUP(Table7[[#This Row],[Date]],Database!$A:$C,MATCH($C$1,Database!$A$1:$C$1,),))</f>
        <v/>
      </c>
      <c r="D6850">
        <f>IFERROR(Table7[[#This Row],[United States 10y]]-Table7[[#This Row],[United States 3y]],#N/A)</f>
        <v/>
      </c>
    </row>
    <row r="6851">
      <c r="A6851" s="6">
        <f>Database!$A8936</f>
        <v/>
      </c>
      <c r="B6851">
        <f>IF(VLOOKUP(Table7[[#This Row],[Date]],Database!$A:$C,MATCH($B$1,Database!$A$1:$C$1,),)=0,#N/A,VLOOKUP(Table7[[#This Row],[Date]],Database!$A:$C,MATCH($B$1,Database!$A$1:$C$1,),))</f>
        <v/>
      </c>
      <c r="C6851">
        <f>IF(VLOOKUP(Table7[[#This Row],[Date]],Database!$A:$C,MATCH($C$1,Database!$A$1:$C$1,),)=0,#N/A,VLOOKUP(Table7[[#This Row],[Date]],Database!$A:$C,MATCH($C$1,Database!$A$1:$C$1,),))</f>
        <v/>
      </c>
      <c r="D6851">
        <f>IFERROR(Table7[[#This Row],[United States 10y]]-Table7[[#This Row],[United States 3y]],#N/A)</f>
        <v/>
      </c>
    </row>
    <row r="6852">
      <c r="A6852" s="6">
        <f>Database!$A8937</f>
        <v/>
      </c>
      <c r="B6852">
        <f>IF(VLOOKUP(Table7[[#This Row],[Date]],Database!$A:$C,MATCH($B$1,Database!$A$1:$C$1,),)=0,#N/A,VLOOKUP(Table7[[#This Row],[Date]],Database!$A:$C,MATCH($B$1,Database!$A$1:$C$1,),))</f>
        <v/>
      </c>
      <c r="C6852">
        <f>IF(VLOOKUP(Table7[[#This Row],[Date]],Database!$A:$C,MATCH($C$1,Database!$A$1:$C$1,),)=0,#N/A,VLOOKUP(Table7[[#This Row],[Date]],Database!$A:$C,MATCH($C$1,Database!$A$1:$C$1,),))</f>
        <v/>
      </c>
      <c r="D6852">
        <f>IFERROR(Table7[[#This Row],[United States 10y]]-Table7[[#This Row],[United States 3y]],#N/A)</f>
        <v/>
      </c>
    </row>
    <row r="6853">
      <c r="A6853" s="6">
        <f>Database!$A8938</f>
        <v/>
      </c>
      <c r="B6853">
        <f>IF(VLOOKUP(Table7[[#This Row],[Date]],Database!$A:$C,MATCH($B$1,Database!$A$1:$C$1,),)=0,#N/A,VLOOKUP(Table7[[#This Row],[Date]],Database!$A:$C,MATCH($B$1,Database!$A$1:$C$1,),))</f>
        <v/>
      </c>
      <c r="C6853">
        <f>IF(VLOOKUP(Table7[[#This Row],[Date]],Database!$A:$C,MATCH($C$1,Database!$A$1:$C$1,),)=0,#N/A,VLOOKUP(Table7[[#This Row],[Date]],Database!$A:$C,MATCH($C$1,Database!$A$1:$C$1,),))</f>
        <v/>
      </c>
      <c r="D6853">
        <f>IFERROR(Table7[[#This Row],[United States 10y]]-Table7[[#This Row],[United States 3y]],#N/A)</f>
        <v/>
      </c>
    </row>
    <row r="6854">
      <c r="A6854" s="6">
        <f>Database!$A8939</f>
        <v/>
      </c>
      <c r="B6854">
        <f>IF(VLOOKUP(Table7[[#This Row],[Date]],Database!$A:$C,MATCH($B$1,Database!$A$1:$C$1,),)=0,#N/A,VLOOKUP(Table7[[#This Row],[Date]],Database!$A:$C,MATCH($B$1,Database!$A$1:$C$1,),))</f>
        <v/>
      </c>
      <c r="C6854">
        <f>IF(VLOOKUP(Table7[[#This Row],[Date]],Database!$A:$C,MATCH($C$1,Database!$A$1:$C$1,),)=0,#N/A,VLOOKUP(Table7[[#This Row],[Date]],Database!$A:$C,MATCH($C$1,Database!$A$1:$C$1,),))</f>
        <v/>
      </c>
      <c r="D6854">
        <f>IFERROR(Table7[[#This Row],[United States 10y]]-Table7[[#This Row],[United States 3y]],#N/A)</f>
        <v/>
      </c>
    </row>
    <row r="6855">
      <c r="A6855" s="6">
        <f>Database!$A8940</f>
        <v/>
      </c>
      <c r="B6855">
        <f>IF(VLOOKUP(Table7[[#This Row],[Date]],Database!$A:$C,MATCH($B$1,Database!$A$1:$C$1,),)=0,#N/A,VLOOKUP(Table7[[#This Row],[Date]],Database!$A:$C,MATCH($B$1,Database!$A$1:$C$1,),))</f>
        <v/>
      </c>
      <c r="C6855">
        <f>IF(VLOOKUP(Table7[[#This Row],[Date]],Database!$A:$C,MATCH($C$1,Database!$A$1:$C$1,),)=0,#N/A,VLOOKUP(Table7[[#This Row],[Date]],Database!$A:$C,MATCH($C$1,Database!$A$1:$C$1,),))</f>
        <v/>
      </c>
      <c r="D6855">
        <f>IFERROR(Table7[[#This Row],[United States 10y]]-Table7[[#This Row],[United States 3y]],#N/A)</f>
        <v/>
      </c>
    </row>
    <row r="6856">
      <c r="A6856" s="6">
        <f>Database!$A8941</f>
        <v/>
      </c>
      <c r="B6856">
        <f>IF(VLOOKUP(Table7[[#This Row],[Date]],Database!$A:$C,MATCH($B$1,Database!$A$1:$C$1,),)=0,#N/A,VLOOKUP(Table7[[#This Row],[Date]],Database!$A:$C,MATCH($B$1,Database!$A$1:$C$1,),))</f>
        <v/>
      </c>
      <c r="C6856">
        <f>IF(VLOOKUP(Table7[[#This Row],[Date]],Database!$A:$C,MATCH($C$1,Database!$A$1:$C$1,),)=0,#N/A,VLOOKUP(Table7[[#This Row],[Date]],Database!$A:$C,MATCH($C$1,Database!$A$1:$C$1,),))</f>
        <v/>
      </c>
      <c r="D6856">
        <f>IFERROR(Table7[[#This Row],[United States 10y]]-Table7[[#This Row],[United States 3y]],#N/A)</f>
        <v/>
      </c>
    </row>
    <row r="6857">
      <c r="A6857" s="6">
        <f>Database!$A8942</f>
        <v/>
      </c>
      <c r="B6857">
        <f>IF(VLOOKUP(Table7[[#This Row],[Date]],Database!$A:$C,MATCH($B$1,Database!$A$1:$C$1,),)=0,#N/A,VLOOKUP(Table7[[#This Row],[Date]],Database!$A:$C,MATCH($B$1,Database!$A$1:$C$1,),))</f>
        <v/>
      </c>
      <c r="C6857">
        <f>IF(VLOOKUP(Table7[[#This Row],[Date]],Database!$A:$C,MATCH($C$1,Database!$A$1:$C$1,),)=0,#N/A,VLOOKUP(Table7[[#This Row],[Date]],Database!$A:$C,MATCH($C$1,Database!$A$1:$C$1,),))</f>
        <v/>
      </c>
      <c r="D6857">
        <f>IFERROR(Table7[[#This Row],[United States 10y]]-Table7[[#This Row],[United States 3y]],#N/A)</f>
        <v/>
      </c>
    </row>
    <row r="6858">
      <c r="A6858" s="6">
        <f>Database!$A8943</f>
        <v/>
      </c>
      <c r="B6858">
        <f>IF(VLOOKUP(Table7[[#This Row],[Date]],Database!$A:$C,MATCH($B$1,Database!$A$1:$C$1,),)=0,#N/A,VLOOKUP(Table7[[#This Row],[Date]],Database!$A:$C,MATCH($B$1,Database!$A$1:$C$1,),))</f>
        <v/>
      </c>
      <c r="C6858">
        <f>IF(VLOOKUP(Table7[[#This Row],[Date]],Database!$A:$C,MATCH($C$1,Database!$A$1:$C$1,),)=0,#N/A,VLOOKUP(Table7[[#This Row],[Date]],Database!$A:$C,MATCH($C$1,Database!$A$1:$C$1,),))</f>
        <v/>
      </c>
      <c r="D6858">
        <f>IFERROR(Table7[[#This Row],[United States 10y]]-Table7[[#This Row],[United States 3y]],#N/A)</f>
        <v/>
      </c>
    </row>
    <row r="6859">
      <c r="A6859" s="6">
        <f>Database!$A8944</f>
        <v/>
      </c>
      <c r="B6859">
        <f>IF(VLOOKUP(Table7[[#This Row],[Date]],Database!$A:$C,MATCH($B$1,Database!$A$1:$C$1,),)=0,#N/A,VLOOKUP(Table7[[#This Row],[Date]],Database!$A:$C,MATCH($B$1,Database!$A$1:$C$1,),))</f>
        <v/>
      </c>
      <c r="C6859">
        <f>IF(VLOOKUP(Table7[[#This Row],[Date]],Database!$A:$C,MATCH($C$1,Database!$A$1:$C$1,),)=0,#N/A,VLOOKUP(Table7[[#This Row],[Date]],Database!$A:$C,MATCH($C$1,Database!$A$1:$C$1,),))</f>
        <v/>
      </c>
      <c r="D6859">
        <f>IFERROR(Table7[[#This Row],[United States 10y]]-Table7[[#This Row],[United States 3y]],#N/A)</f>
        <v/>
      </c>
    </row>
    <row r="6860">
      <c r="A6860" s="6">
        <f>Database!$A8945</f>
        <v/>
      </c>
      <c r="B6860">
        <f>IF(VLOOKUP(Table7[[#This Row],[Date]],Database!$A:$C,MATCH($B$1,Database!$A$1:$C$1,),)=0,#N/A,VLOOKUP(Table7[[#This Row],[Date]],Database!$A:$C,MATCH($B$1,Database!$A$1:$C$1,),))</f>
        <v/>
      </c>
      <c r="C6860">
        <f>IF(VLOOKUP(Table7[[#This Row],[Date]],Database!$A:$C,MATCH($C$1,Database!$A$1:$C$1,),)=0,#N/A,VLOOKUP(Table7[[#This Row],[Date]],Database!$A:$C,MATCH($C$1,Database!$A$1:$C$1,),))</f>
        <v/>
      </c>
      <c r="D6860">
        <f>IFERROR(Table7[[#This Row],[United States 10y]]-Table7[[#This Row],[United States 3y]],#N/A)</f>
        <v/>
      </c>
    </row>
    <row r="6861">
      <c r="A6861" s="6">
        <f>Database!$A8946</f>
        <v/>
      </c>
      <c r="B6861">
        <f>IF(VLOOKUP(Table7[[#This Row],[Date]],Database!$A:$C,MATCH($B$1,Database!$A$1:$C$1,),)=0,#N/A,VLOOKUP(Table7[[#This Row],[Date]],Database!$A:$C,MATCH($B$1,Database!$A$1:$C$1,),))</f>
        <v/>
      </c>
      <c r="C6861">
        <f>IF(VLOOKUP(Table7[[#This Row],[Date]],Database!$A:$C,MATCH($C$1,Database!$A$1:$C$1,),)=0,#N/A,VLOOKUP(Table7[[#This Row],[Date]],Database!$A:$C,MATCH($C$1,Database!$A$1:$C$1,),))</f>
        <v/>
      </c>
      <c r="D6861">
        <f>IFERROR(Table7[[#This Row],[United States 10y]]-Table7[[#This Row],[United States 3y]],#N/A)</f>
        <v/>
      </c>
    </row>
    <row r="6862">
      <c r="A6862" s="6">
        <f>Database!$A8947</f>
        <v/>
      </c>
      <c r="B6862">
        <f>IF(VLOOKUP(Table7[[#This Row],[Date]],Database!$A:$C,MATCH($B$1,Database!$A$1:$C$1,),)=0,#N/A,VLOOKUP(Table7[[#This Row],[Date]],Database!$A:$C,MATCH($B$1,Database!$A$1:$C$1,),))</f>
        <v/>
      </c>
      <c r="C6862">
        <f>IF(VLOOKUP(Table7[[#This Row],[Date]],Database!$A:$C,MATCH($C$1,Database!$A$1:$C$1,),)=0,#N/A,VLOOKUP(Table7[[#This Row],[Date]],Database!$A:$C,MATCH($C$1,Database!$A$1:$C$1,),))</f>
        <v/>
      </c>
      <c r="D6862">
        <f>IFERROR(Table7[[#This Row],[United States 10y]]-Table7[[#This Row],[United States 3y]],#N/A)</f>
        <v/>
      </c>
    </row>
    <row r="6863">
      <c r="A6863" s="6">
        <f>Database!$A8948</f>
        <v/>
      </c>
      <c r="B6863">
        <f>IF(VLOOKUP(Table7[[#This Row],[Date]],Database!$A:$C,MATCH($B$1,Database!$A$1:$C$1,),)=0,#N/A,VLOOKUP(Table7[[#This Row],[Date]],Database!$A:$C,MATCH($B$1,Database!$A$1:$C$1,),))</f>
        <v/>
      </c>
      <c r="C6863">
        <f>IF(VLOOKUP(Table7[[#This Row],[Date]],Database!$A:$C,MATCH($C$1,Database!$A$1:$C$1,),)=0,#N/A,VLOOKUP(Table7[[#This Row],[Date]],Database!$A:$C,MATCH($C$1,Database!$A$1:$C$1,),))</f>
        <v/>
      </c>
      <c r="D6863">
        <f>IFERROR(Table7[[#This Row],[United States 10y]]-Table7[[#This Row],[United States 3y]],#N/A)</f>
        <v/>
      </c>
    </row>
    <row r="6864">
      <c r="A6864" s="6">
        <f>Database!$A8949</f>
        <v/>
      </c>
      <c r="B6864">
        <f>IF(VLOOKUP(Table7[[#This Row],[Date]],Database!$A:$C,MATCH($B$1,Database!$A$1:$C$1,),)=0,#N/A,VLOOKUP(Table7[[#This Row],[Date]],Database!$A:$C,MATCH($B$1,Database!$A$1:$C$1,),))</f>
        <v/>
      </c>
      <c r="C6864">
        <f>IF(VLOOKUP(Table7[[#This Row],[Date]],Database!$A:$C,MATCH($C$1,Database!$A$1:$C$1,),)=0,#N/A,VLOOKUP(Table7[[#This Row],[Date]],Database!$A:$C,MATCH($C$1,Database!$A$1:$C$1,),))</f>
        <v/>
      </c>
      <c r="D6864">
        <f>IFERROR(Table7[[#This Row],[United States 10y]]-Table7[[#This Row],[United States 3y]],#N/A)</f>
        <v/>
      </c>
    </row>
    <row r="6865">
      <c r="A6865" s="6">
        <f>Database!$A8950</f>
        <v/>
      </c>
      <c r="B6865">
        <f>IF(VLOOKUP(Table7[[#This Row],[Date]],Database!$A:$C,MATCH($B$1,Database!$A$1:$C$1,),)=0,#N/A,VLOOKUP(Table7[[#This Row],[Date]],Database!$A:$C,MATCH($B$1,Database!$A$1:$C$1,),))</f>
        <v/>
      </c>
      <c r="C6865">
        <f>IF(VLOOKUP(Table7[[#This Row],[Date]],Database!$A:$C,MATCH($C$1,Database!$A$1:$C$1,),)=0,#N/A,VLOOKUP(Table7[[#This Row],[Date]],Database!$A:$C,MATCH($C$1,Database!$A$1:$C$1,),))</f>
        <v/>
      </c>
      <c r="D6865">
        <f>IFERROR(Table7[[#This Row],[United States 10y]]-Table7[[#This Row],[United States 3y]],#N/A)</f>
        <v/>
      </c>
    </row>
    <row r="6866">
      <c r="A6866" s="6">
        <f>Database!$A8951</f>
        <v/>
      </c>
      <c r="B6866">
        <f>IF(VLOOKUP(Table7[[#This Row],[Date]],Database!$A:$C,MATCH($B$1,Database!$A$1:$C$1,),)=0,#N/A,VLOOKUP(Table7[[#This Row],[Date]],Database!$A:$C,MATCH($B$1,Database!$A$1:$C$1,),))</f>
        <v/>
      </c>
      <c r="C6866">
        <f>IF(VLOOKUP(Table7[[#This Row],[Date]],Database!$A:$C,MATCH($C$1,Database!$A$1:$C$1,),)=0,#N/A,VLOOKUP(Table7[[#This Row],[Date]],Database!$A:$C,MATCH($C$1,Database!$A$1:$C$1,),))</f>
        <v/>
      </c>
      <c r="D6866">
        <f>IFERROR(Table7[[#This Row],[United States 10y]]-Table7[[#This Row],[United States 3y]],#N/A)</f>
        <v/>
      </c>
    </row>
    <row r="6867">
      <c r="A6867" s="6">
        <f>Database!$A8952</f>
        <v/>
      </c>
      <c r="B6867">
        <f>IF(VLOOKUP(Table7[[#This Row],[Date]],Database!$A:$C,MATCH($B$1,Database!$A$1:$C$1,),)=0,#N/A,VLOOKUP(Table7[[#This Row],[Date]],Database!$A:$C,MATCH($B$1,Database!$A$1:$C$1,),))</f>
        <v/>
      </c>
      <c r="C6867">
        <f>IF(VLOOKUP(Table7[[#This Row],[Date]],Database!$A:$C,MATCH($C$1,Database!$A$1:$C$1,),)=0,#N/A,VLOOKUP(Table7[[#This Row],[Date]],Database!$A:$C,MATCH($C$1,Database!$A$1:$C$1,),))</f>
        <v/>
      </c>
      <c r="D6867">
        <f>IFERROR(Table7[[#This Row],[United States 10y]]-Table7[[#This Row],[United States 3y]],#N/A)</f>
        <v/>
      </c>
    </row>
    <row r="6868">
      <c r="A6868" s="6">
        <f>Database!$A8953</f>
        <v/>
      </c>
      <c r="B6868">
        <f>IF(VLOOKUP(Table7[[#This Row],[Date]],Database!$A:$C,MATCH($B$1,Database!$A$1:$C$1,),)=0,#N/A,VLOOKUP(Table7[[#This Row],[Date]],Database!$A:$C,MATCH($B$1,Database!$A$1:$C$1,),))</f>
        <v/>
      </c>
      <c r="C6868">
        <f>IF(VLOOKUP(Table7[[#This Row],[Date]],Database!$A:$C,MATCH($C$1,Database!$A$1:$C$1,),)=0,#N/A,VLOOKUP(Table7[[#This Row],[Date]],Database!$A:$C,MATCH($C$1,Database!$A$1:$C$1,),))</f>
        <v/>
      </c>
      <c r="D6868">
        <f>IFERROR(Table7[[#This Row],[United States 10y]]-Table7[[#This Row],[United States 3y]],#N/A)</f>
        <v/>
      </c>
    </row>
    <row r="6869">
      <c r="A6869" s="6">
        <f>Database!$A8954</f>
        <v/>
      </c>
      <c r="B6869">
        <f>IF(VLOOKUP(Table7[[#This Row],[Date]],Database!$A:$C,MATCH($B$1,Database!$A$1:$C$1,),)=0,#N/A,VLOOKUP(Table7[[#This Row],[Date]],Database!$A:$C,MATCH($B$1,Database!$A$1:$C$1,),))</f>
        <v/>
      </c>
      <c r="C6869">
        <f>IF(VLOOKUP(Table7[[#This Row],[Date]],Database!$A:$C,MATCH($C$1,Database!$A$1:$C$1,),)=0,#N/A,VLOOKUP(Table7[[#This Row],[Date]],Database!$A:$C,MATCH($C$1,Database!$A$1:$C$1,),))</f>
        <v/>
      </c>
      <c r="D6869">
        <f>IFERROR(Table7[[#This Row],[United States 10y]]-Table7[[#This Row],[United States 3y]],#N/A)</f>
        <v/>
      </c>
    </row>
    <row r="6870">
      <c r="A6870" s="6">
        <f>Database!$A8955</f>
        <v/>
      </c>
      <c r="B6870">
        <f>IF(VLOOKUP(Table7[[#This Row],[Date]],Database!$A:$C,MATCH($B$1,Database!$A$1:$C$1,),)=0,#N/A,VLOOKUP(Table7[[#This Row],[Date]],Database!$A:$C,MATCH($B$1,Database!$A$1:$C$1,),))</f>
        <v/>
      </c>
      <c r="C6870">
        <f>IF(VLOOKUP(Table7[[#This Row],[Date]],Database!$A:$C,MATCH($C$1,Database!$A$1:$C$1,),)=0,#N/A,VLOOKUP(Table7[[#This Row],[Date]],Database!$A:$C,MATCH($C$1,Database!$A$1:$C$1,),))</f>
        <v/>
      </c>
      <c r="D6870">
        <f>IFERROR(Table7[[#This Row],[United States 10y]]-Table7[[#This Row],[United States 3y]],#N/A)</f>
        <v/>
      </c>
    </row>
    <row r="6871">
      <c r="A6871" s="6">
        <f>Database!$A8956</f>
        <v/>
      </c>
      <c r="B6871">
        <f>IF(VLOOKUP(Table7[[#This Row],[Date]],Database!$A:$C,MATCH($B$1,Database!$A$1:$C$1,),)=0,#N/A,VLOOKUP(Table7[[#This Row],[Date]],Database!$A:$C,MATCH($B$1,Database!$A$1:$C$1,),))</f>
        <v/>
      </c>
      <c r="C6871">
        <f>IF(VLOOKUP(Table7[[#This Row],[Date]],Database!$A:$C,MATCH($C$1,Database!$A$1:$C$1,),)=0,#N/A,VLOOKUP(Table7[[#This Row],[Date]],Database!$A:$C,MATCH($C$1,Database!$A$1:$C$1,),))</f>
        <v/>
      </c>
      <c r="D6871">
        <f>IFERROR(Table7[[#This Row],[United States 10y]]-Table7[[#This Row],[United States 3y]],#N/A)</f>
        <v/>
      </c>
    </row>
    <row r="6872">
      <c r="A6872" s="6">
        <f>Database!$A8957</f>
        <v/>
      </c>
      <c r="B6872">
        <f>IF(VLOOKUP(Table7[[#This Row],[Date]],Database!$A:$C,MATCH($B$1,Database!$A$1:$C$1,),)=0,#N/A,VLOOKUP(Table7[[#This Row],[Date]],Database!$A:$C,MATCH($B$1,Database!$A$1:$C$1,),))</f>
        <v/>
      </c>
      <c r="C6872">
        <f>IF(VLOOKUP(Table7[[#This Row],[Date]],Database!$A:$C,MATCH($C$1,Database!$A$1:$C$1,),)=0,#N/A,VLOOKUP(Table7[[#This Row],[Date]],Database!$A:$C,MATCH($C$1,Database!$A$1:$C$1,),))</f>
        <v/>
      </c>
      <c r="D6872">
        <f>IFERROR(Table7[[#This Row],[United States 10y]]-Table7[[#This Row],[United States 3y]],#N/A)</f>
        <v/>
      </c>
    </row>
    <row r="6873">
      <c r="A6873" s="6">
        <f>Database!$A8958</f>
        <v/>
      </c>
      <c r="B6873">
        <f>IF(VLOOKUP(Table7[[#This Row],[Date]],Database!$A:$C,MATCH($B$1,Database!$A$1:$C$1,),)=0,#N/A,VLOOKUP(Table7[[#This Row],[Date]],Database!$A:$C,MATCH($B$1,Database!$A$1:$C$1,),))</f>
        <v/>
      </c>
      <c r="C6873">
        <f>IF(VLOOKUP(Table7[[#This Row],[Date]],Database!$A:$C,MATCH($C$1,Database!$A$1:$C$1,),)=0,#N/A,VLOOKUP(Table7[[#This Row],[Date]],Database!$A:$C,MATCH($C$1,Database!$A$1:$C$1,),))</f>
        <v/>
      </c>
      <c r="D6873">
        <f>IFERROR(Table7[[#This Row],[United States 10y]]-Table7[[#This Row],[United States 3y]],#N/A)</f>
        <v/>
      </c>
    </row>
    <row r="6874">
      <c r="A6874" s="6">
        <f>Database!$A8959</f>
        <v/>
      </c>
      <c r="B6874">
        <f>IF(VLOOKUP(Table7[[#This Row],[Date]],Database!$A:$C,MATCH($B$1,Database!$A$1:$C$1,),)=0,#N/A,VLOOKUP(Table7[[#This Row],[Date]],Database!$A:$C,MATCH($B$1,Database!$A$1:$C$1,),))</f>
        <v/>
      </c>
      <c r="C6874">
        <f>IF(VLOOKUP(Table7[[#This Row],[Date]],Database!$A:$C,MATCH($C$1,Database!$A$1:$C$1,),)=0,#N/A,VLOOKUP(Table7[[#This Row],[Date]],Database!$A:$C,MATCH($C$1,Database!$A$1:$C$1,),))</f>
        <v/>
      </c>
      <c r="D6874">
        <f>IFERROR(Table7[[#This Row],[United States 10y]]-Table7[[#This Row],[United States 3y]],#N/A)</f>
        <v/>
      </c>
    </row>
    <row r="6875">
      <c r="A6875" s="6">
        <f>Database!$A8960</f>
        <v/>
      </c>
      <c r="B6875">
        <f>IF(VLOOKUP(Table7[[#This Row],[Date]],Database!$A:$C,MATCH($B$1,Database!$A$1:$C$1,),)=0,#N/A,VLOOKUP(Table7[[#This Row],[Date]],Database!$A:$C,MATCH($B$1,Database!$A$1:$C$1,),))</f>
        <v/>
      </c>
      <c r="C6875">
        <f>IF(VLOOKUP(Table7[[#This Row],[Date]],Database!$A:$C,MATCH($C$1,Database!$A$1:$C$1,),)=0,#N/A,VLOOKUP(Table7[[#This Row],[Date]],Database!$A:$C,MATCH($C$1,Database!$A$1:$C$1,),))</f>
        <v/>
      </c>
      <c r="D6875">
        <f>IFERROR(Table7[[#This Row],[United States 10y]]-Table7[[#This Row],[United States 3y]],#N/A)</f>
        <v/>
      </c>
    </row>
    <row r="6876">
      <c r="A6876" s="6">
        <f>Database!$A8961</f>
        <v/>
      </c>
      <c r="B6876">
        <f>IF(VLOOKUP(Table7[[#This Row],[Date]],Database!$A:$C,MATCH($B$1,Database!$A$1:$C$1,),)=0,#N/A,VLOOKUP(Table7[[#This Row],[Date]],Database!$A:$C,MATCH($B$1,Database!$A$1:$C$1,),))</f>
        <v/>
      </c>
      <c r="C6876">
        <f>IF(VLOOKUP(Table7[[#This Row],[Date]],Database!$A:$C,MATCH($C$1,Database!$A$1:$C$1,),)=0,#N/A,VLOOKUP(Table7[[#This Row],[Date]],Database!$A:$C,MATCH($C$1,Database!$A$1:$C$1,),))</f>
        <v/>
      </c>
      <c r="D6876">
        <f>IFERROR(Table7[[#This Row],[United States 10y]]-Table7[[#This Row],[United States 3y]],#N/A)</f>
        <v/>
      </c>
    </row>
    <row r="6877">
      <c r="A6877" s="6">
        <f>Database!$A8962</f>
        <v/>
      </c>
      <c r="B6877">
        <f>IF(VLOOKUP(Table7[[#This Row],[Date]],Database!$A:$C,MATCH($B$1,Database!$A$1:$C$1,),)=0,#N/A,VLOOKUP(Table7[[#This Row],[Date]],Database!$A:$C,MATCH($B$1,Database!$A$1:$C$1,),))</f>
        <v/>
      </c>
      <c r="C6877">
        <f>IF(VLOOKUP(Table7[[#This Row],[Date]],Database!$A:$C,MATCH($C$1,Database!$A$1:$C$1,),)=0,#N/A,VLOOKUP(Table7[[#This Row],[Date]],Database!$A:$C,MATCH($C$1,Database!$A$1:$C$1,),))</f>
        <v/>
      </c>
      <c r="D6877">
        <f>IFERROR(Table7[[#This Row],[United States 10y]]-Table7[[#This Row],[United States 3y]],#N/A)</f>
        <v/>
      </c>
    </row>
    <row r="6878">
      <c r="A6878" s="6">
        <f>Database!$A8963</f>
        <v/>
      </c>
      <c r="B6878">
        <f>IF(VLOOKUP(Table7[[#This Row],[Date]],Database!$A:$C,MATCH($B$1,Database!$A$1:$C$1,),)=0,#N/A,VLOOKUP(Table7[[#This Row],[Date]],Database!$A:$C,MATCH($B$1,Database!$A$1:$C$1,),))</f>
        <v/>
      </c>
      <c r="C6878">
        <f>IF(VLOOKUP(Table7[[#This Row],[Date]],Database!$A:$C,MATCH($C$1,Database!$A$1:$C$1,),)=0,#N/A,VLOOKUP(Table7[[#This Row],[Date]],Database!$A:$C,MATCH($C$1,Database!$A$1:$C$1,),))</f>
        <v/>
      </c>
      <c r="D6878">
        <f>IFERROR(Table7[[#This Row],[United States 10y]]-Table7[[#This Row],[United States 3y]],#N/A)</f>
        <v/>
      </c>
    </row>
    <row r="6879">
      <c r="A6879" s="6">
        <f>Database!$A8964</f>
        <v/>
      </c>
      <c r="B6879">
        <f>IF(VLOOKUP(Table7[[#This Row],[Date]],Database!$A:$C,MATCH($B$1,Database!$A$1:$C$1,),)=0,#N/A,VLOOKUP(Table7[[#This Row],[Date]],Database!$A:$C,MATCH($B$1,Database!$A$1:$C$1,),))</f>
        <v/>
      </c>
      <c r="C6879">
        <f>IF(VLOOKUP(Table7[[#This Row],[Date]],Database!$A:$C,MATCH($C$1,Database!$A$1:$C$1,),)=0,#N/A,VLOOKUP(Table7[[#This Row],[Date]],Database!$A:$C,MATCH($C$1,Database!$A$1:$C$1,),))</f>
        <v/>
      </c>
      <c r="D6879">
        <f>IFERROR(Table7[[#This Row],[United States 10y]]-Table7[[#This Row],[United States 3y]],#N/A)</f>
        <v/>
      </c>
    </row>
    <row r="6880">
      <c r="A6880" s="6">
        <f>Database!$A8965</f>
        <v/>
      </c>
      <c r="B6880">
        <f>IF(VLOOKUP(Table7[[#This Row],[Date]],Database!$A:$C,MATCH($B$1,Database!$A$1:$C$1,),)=0,#N/A,VLOOKUP(Table7[[#This Row],[Date]],Database!$A:$C,MATCH($B$1,Database!$A$1:$C$1,),))</f>
        <v/>
      </c>
      <c r="C6880">
        <f>IF(VLOOKUP(Table7[[#This Row],[Date]],Database!$A:$C,MATCH($C$1,Database!$A$1:$C$1,),)=0,#N/A,VLOOKUP(Table7[[#This Row],[Date]],Database!$A:$C,MATCH($C$1,Database!$A$1:$C$1,),))</f>
        <v/>
      </c>
      <c r="D6880">
        <f>IFERROR(Table7[[#This Row],[United States 10y]]-Table7[[#This Row],[United States 3y]],#N/A)</f>
        <v/>
      </c>
    </row>
    <row r="6881">
      <c r="A6881" s="6">
        <f>Database!$A8966</f>
        <v/>
      </c>
      <c r="B6881">
        <f>IF(VLOOKUP(Table7[[#This Row],[Date]],Database!$A:$C,MATCH($B$1,Database!$A$1:$C$1,),)=0,#N/A,VLOOKUP(Table7[[#This Row],[Date]],Database!$A:$C,MATCH($B$1,Database!$A$1:$C$1,),))</f>
        <v/>
      </c>
      <c r="C6881">
        <f>IF(VLOOKUP(Table7[[#This Row],[Date]],Database!$A:$C,MATCH($C$1,Database!$A$1:$C$1,),)=0,#N/A,VLOOKUP(Table7[[#This Row],[Date]],Database!$A:$C,MATCH($C$1,Database!$A$1:$C$1,),))</f>
        <v/>
      </c>
      <c r="D6881">
        <f>IFERROR(Table7[[#This Row],[United States 10y]]-Table7[[#This Row],[United States 3y]],#N/A)</f>
        <v/>
      </c>
    </row>
    <row r="6882">
      <c r="A6882" s="6">
        <f>Database!$A8967</f>
        <v/>
      </c>
      <c r="B6882">
        <f>IF(VLOOKUP(Table7[[#This Row],[Date]],Database!$A:$C,MATCH($B$1,Database!$A$1:$C$1,),)=0,#N/A,VLOOKUP(Table7[[#This Row],[Date]],Database!$A:$C,MATCH($B$1,Database!$A$1:$C$1,),))</f>
        <v/>
      </c>
      <c r="C6882">
        <f>IF(VLOOKUP(Table7[[#This Row],[Date]],Database!$A:$C,MATCH($C$1,Database!$A$1:$C$1,),)=0,#N/A,VLOOKUP(Table7[[#This Row],[Date]],Database!$A:$C,MATCH($C$1,Database!$A$1:$C$1,),))</f>
        <v/>
      </c>
      <c r="D6882">
        <f>IFERROR(Table7[[#This Row],[United States 10y]]-Table7[[#This Row],[United States 3y]],#N/A)</f>
        <v/>
      </c>
    </row>
    <row r="6883">
      <c r="A6883" s="6">
        <f>Database!$A8968</f>
        <v/>
      </c>
      <c r="B6883">
        <f>IF(VLOOKUP(Table7[[#This Row],[Date]],Database!$A:$C,MATCH($B$1,Database!$A$1:$C$1,),)=0,#N/A,VLOOKUP(Table7[[#This Row],[Date]],Database!$A:$C,MATCH($B$1,Database!$A$1:$C$1,),))</f>
        <v/>
      </c>
      <c r="C6883">
        <f>IF(VLOOKUP(Table7[[#This Row],[Date]],Database!$A:$C,MATCH($C$1,Database!$A$1:$C$1,),)=0,#N/A,VLOOKUP(Table7[[#This Row],[Date]],Database!$A:$C,MATCH($C$1,Database!$A$1:$C$1,),))</f>
        <v/>
      </c>
      <c r="D6883">
        <f>IFERROR(Table7[[#This Row],[United States 10y]]-Table7[[#This Row],[United States 3y]],#N/A)</f>
        <v/>
      </c>
    </row>
    <row r="6884">
      <c r="A6884" s="6">
        <f>Database!$A8969</f>
        <v/>
      </c>
      <c r="B6884">
        <f>IF(VLOOKUP(Table7[[#This Row],[Date]],Database!$A:$C,MATCH($B$1,Database!$A$1:$C$1,),)=0,#N/A,VLOOKUP(Table7[[#This Row],[Date]],Database!$A:$C,MATCH($B$1,Database!$A$1:$C$1,),))</f>
        <v/>
      </c>
      <c r="C6884">
        <f>IF(VLOOKUP(Table7[[#This Row],[Date]],Database!$A:$C,MATCH($C$1,Database!$A$1:$C$1,),)=0,#N/A,VLOOKUP(Table7[[#This Row],[Date]],Database!$A:$C,MATCH($C$1,Database!$A$1:$C$1,),))</f>
        <v/>
      </c>
      <c r="D6884">
        <f>IFERROR(Table7[[#This Row],[United States 10y]]-Table7[[#This Row],[United States 3y]],#N/A)</f>
        <v/>
      </c>
    </row>
    <row r="6885">
      <c r="A6885" s="6">
        <f>Database!$A8970</f>
        <v/>
      </c>
      <c r="B6885">
        <f>IF(VLOOKUP(Table7[[#This Row],[Date]],Database!$A:$C,MATCH($B$1,Database!$A$1:$C$1,),)=0,#N/A,VLOOKUP(Table7[[#This Row],[Date]],Database!$A:$C,MATCH($B$1,Database!$A$1:$C$1,),))</f>
        <v/>
      </c>
      <c r="C6885">
        <f>IF(VLOOKUP(Table7[[#This Row],[Date]],Database!$A:$C,MATCH($C$1,Database!$A$1:$C$1,),)=0,#N/A,VLOOKUP(Table7[[#This Row],[Date]],Database!$A:$C,MATCH($C$1,Database!$A$1:$C$1,),))</f>
        <v/>
      </c>
      <c r="D6885">
        <f>IFERROR(Table7[[#This Row],[United States 10y]]-Table7[[#This Row],[United States 3y]],#N/A)</f>
        <v/>
      </c>
    </row>
    <row r="6886">
      <c r="A6886" s="6">
        <f>Database!$A8971</f>
        <v/>
      </c>
      <c r="B6886">
        <f>IF(VLOOKUP(Table7[[#This Row],[Date]],Database!$A:$C,MATCH($B$1,Database!$A$1:$C$1,),)=0,#N/A,VLOOKUP(Table7[[#This Row],[Date]],Database!$A:$C,MATCH($B$1,Database!$A$1:$C$1,),))</f>
        <v/>
      </c>
      <c r="C6886">
        <f>IF(VLOOKUP(Table7[[#This Row],[Date]],Database!$A:$C,MATCH($C$1,Database!$A$1:$C$1,),)=0,#N/A,VLOOKUP(Table7[[#This Row],[Date]],Database!$A:$C,MATCH($C$1,Database!$A$1:$C$1,),))</f>
        <v/>
      </c>
      <c r="D6886">
        <f>IFERROR(Table7[[#This Row],[United States 10y]]-Table7[[#This Row],[United States 3y]],#N/A)</f>
        <v/>
      </c>
    </row>
    <row r="6887">
      <c r="A6887" s="6">
        <f>Database!$A8972</f>
        <v/>
      </c>
      <c r="B6887">
        <f>IF(VLOOKUP(Table7[[#This Row],[Date]],Database!$A:$C,MATCH($B$1,Database!$A$1:$C$1,),)=0,#N/A,VLOOKUP(Table7[[#This Row],[Date]],Database!$A:$C,MATCH($B$1,Database!$A$1:$C$1,),))</f>
        <v/>
      </c>
      <c r="C6887">
        <f>IF(VLOOKUP(Table7[[#This Row],[Date]],Database!$A:$C,MATCH($C$1,Database!$A$1:$C$1,),)=0,#N/A,VLOOKUP(Table7[[#This Row],[Date]],Database!$A:$C,MATCH($C$1,Database!$A$1:$C$1,),))</f>
        <v/>
      </c>
      <c r="D6887">
        <f>IFERROR(Table7[[#This Row],[United States 10y]]-Table7[[#This Row],[United States 3y]],#N/A)</f>
        <v/>
      </c>
    </row>
    <row r="6888">
      <c r="A6888" s="6">
        <f>Database!$A8973</f>
        <v/>
      </c>
      <c r="B6888">
        <f>IF(VLOOKUP(Table7[[#This Row],[Date]],Database!$A:$C,MATCH($B$1,Database!$A$1:$C$1,),)=0,#N/A,VLOOKUP(Table7[[#This Row],[Date]],Database!$A:$C,MATCH($B$1,Database!$A$1:$C$1,),))</f>
        <v/>
      </c>
      <c r="C6888">
        <f>IF(VLOOKUP(Table7[[#This Row],[Date]],Database!$A:$C,MATCH($C$1,Database!$A$1:$C$1,),)=0,#N/A,VLOOKUP(Table7[[#This Row],[Date]],Database!$A:$C,MATCH($C$1,Database!$A$1:$C$1,),))</f>
        <v/>
      </c>
      <c r="D6888">
        <f>IFERROR(Table7[[#This Row],[United States 10y]]-Table7[[#This Row],[United States 3y]],#N/A)</f>
        <v/>
      </c>
    </row>
    <row r="6889">
      <c r="A6889" s="6">
        <f>Database!$A8974</f>
        <v/>
      </c>
      <c r="B6889">
        <f>IF(VLOOKUP(Table7[[#This Row],[Date]],Database!$A:$C,MATCH($B$1,Database!$A$1:$C$1,),)=0,#N/A,VLOOKUP(Table7[[#This Row],[Date]],Database!$A:$C,MATCH($B$1,Database!$A$1:$C$1,),))</f>
        <v/>
      </c>
      <c r="C6889">
        <f>IF(VLOOKUP(Table7[[#This Row],[Date]],Database!$A:$C,MATCH($C$1,Database!$A$1:$C$1,),)=0,#N/A,VLOOKUP(Table7[[#This Row],[Date]],Database!$A:$C,MATCH($C$1,Database!$A$1:$C$1,),))</f>
        <v/>
      </c>
      <c r="D6889">
        <f>IFERROR(Table7[[#This Row],[United States 10y]]-Table7[[#This Row],[United States 3y]],#N/A)</f>
        <v/>
      </c>
    </row>
    <row r="6890">
      <c r="A6890" s="6">
        <f>Database!$A8975</f>
        <v/>
      </c>
      <c r="B6890">
        <f>IF(VLOOKUP(Table7[[#This Row],[Date]],Database!$A:$C,MATCH($B$1,Database!$A$1:$C$1,),)=0,#N/A,VLOOKUP(Table7[[#This Row],[Date]],Database!$A:$C,MATCH($B$1,Database!$A$1:$C$1,),))</f>
        <v/>
      </c>
      <c r="C6890">
        <f>IF(VLOOKUP(Table7[[#This Row],[Date]],Database!$A:$C,MATCH($C$1,Database!$A$1:$C$1,),)=0,#N/A,VLOOKUP(Table7[[#This Row],[Date]],Database!$A:$C,MATCH($C$1,Database!$A$1:$C$1,),))</f>
        <v/>
      </c>
      <c r="D6890">
        <f>IFERROR(Table7[[#This Row],[United States 10y]]-Table7[[#This Row],[United States 3y]],#N/A)</f>
        <v/>
      </c>
    </row>
    <row r="6891">
      <c r="A6891" s="6">
        <f>Database!$A8976</f>
        <v/>
      </c>
      <c r="B6891">
        <f>IF(VLOOKUP(Table7[[#This Row],[Date]],Database!$A:$C,MATCH($B$1,Database!$A$1:$C$1,),)=0,#N/A,VLOOKUP(Table7[[#This Row],[Date]],Database!$A:$C,MATCH($B$1,Database!$A$1:$C$1,),))</f>
        <v/>
      </c>
      <c r="C6891">
        <f>IF(VLOOKUP(Table7[[#This Row],[Date]],Database!$A:$C,MATCH($C$1,Database!$A$1:$C$1,),)=0,#N/A,VLOOKUP(Table7[[#This Row],[Date]],Database!$A:$C,MATCH($C$1,Database!$A$1:$C$1,),))</f>
        <v/>
      </c>
      <c r="D6891">
        <f>IFERROR(Table7[[#This Row],[United States 10y]]-Table7[[#This Row],[United States 3y]],#N/A)</f>
        <v/>
      </c>
    </row>
    <row r="6892">
      <c r="A6892" s="6">
        <f>Database!$A8977</f>
        <v/>
      </c>
      <c r="B6892">
        <f>IF(VLOOKUP(Table7[[#This Row],[Date]],Database!$A:$C,MATCH($B$1,Database!$A$1:$C$1,),)=0,#N/A,VLOOKUP(Table7[[#This Row],[Date]],Database!$A:$C,MATCH($B$1,Database!$A$1:$C$1,),))</f>
        <v/>
      </c>
      <c r="C6892">
        <f>IF(VLOOKUP(Table7[[#This Row],[Date]],Database!$A:$C,MATCH($C$1,Database!$A$1:$C$1,),)=0,#N/A,VLOOKUP(Table7[[#This Row],[Date]],Database!$A:$C,MATCH($C$1,Database!$A$1:$C$1,),))</f>
        <v/>
      </c>
      <c r="D6892">
        <f>IFERROR(Table7[[#This Row],[United States 10y]]-Table7[[#This Row],[United States 3y]],#N/A)</f>
        <v/>
      </c>
    </row>
    <row r="6893">
      <c r="A6893" s="6">
        <f>Database!$A8978</f>
        <v/>
      </c>
      <c r="B6893">
        <f>IF(VLOOKUP(Table7[[#This Row],[Date]],Database!$A:$C,MATCH($B$1,Database!$A$1:$C$1,),)=0,#N/A,VLOOKUP(Table7[[#This Row],[Date]],Database!$A:$C,MATCH($B$1,Database!$A$1:$C$1,),))</f>
        <v/>
      </c>
      <c r="C6893">
        <f>IF(VLOOKUP(Table7[[#This Row],[Date]],Database!$A:$C,MATCH($C$1,Database!$A$1:$C$1,),)=0,#N/A,VLOOKUP(Table7[[#This Row],[Date]],Database!$A:$C,MATCH($C$1,Database!$A$1:$C$1,),))</f>
        <v/>
      </c>
      <c r="D6893">
        <f>IFERROR(Table7[[#This Row],[United States 10y]]-Table7[[#This Row],[United States 3y]],#N/A)</f>
        <v/>
      </c>
    </row>
    <row r="6894">
      <c r="A6894" s="6">
        <f>Database!$A8979</f>
        <v/>
      </c>
      <c r="B6894">
        <f>IF(VLOOKUP(Table7[[#This Row],[Date]],Database!$A:$C,MATCH($B$1,Database!$A$1:$C$1,),)=0,#N/A,VLOOKUP(Table7[[#This Row],[Date]],Database!$A:$C,MATCH($B$1,Database!$A$1:$C$1,),))</f>
        <v/>
      </c>
      <c r="C6894">
        <f>IF(VLOOKUP(Table7[[#This Row],[Date]],Database!$A:$C,MATCH($C$1,Database!$A$1:$C$1,),)=0,#N/A,VLOOKUP(Table7[[#This Row],[Date]],Database!$A:$C,MATCH($C$1,Database!$A$1:$C$1,),))</f>
        <v/>
      </c>
      <c r="D6894">
        <f>IFERROR(Table7[[#This Row],[United States 10y]]-Table7[[#This Row],[United States 3y]],#N/A)</f>
        <v/>
      </c>
    </row>
    <row r="6895">
      <c r="A6895" s="6">
        <f>Database!$A8980</f>
        <v/>
      </c>
      <c r="B6895">
        <f>IF(VLOOKUP(Table7[[#This Row],[Date]],Database!$A:$C,MATCH($B$1,Database!$A$1:$C$1,),)=0,#N/A,VLOOKUP(Table7[[#This Row],[Date]],Database!$A:$C,MATCH($B$1,Database!$A$1:$C$1,),))</f>
        <v/>
      </c>
      <c r="C6895">
        <f>IF(VLOOKUP(Table7[[#This Row],[Date]],Database!$A:$C,MATCH($C$1,Database!$A$1:$C$1,),)=0,#N/A,VLOOKUP(Table7[[#This Row],[Date]],Database!$A:$C,MATCH($C$1,Database!$A$1:$C$1,),))</f>
        <v/>
      </c>
      <c r="D6895">
        <f>IFERROR(Table7[[#This Row],[United States 10y]]-Table7[[#This Row],[United States 3y]],#N/A)</f>
        <v/>
      </c>
    </row>
    <row r="6896">
      <c r="A6896" s="6">
        <f>Database!$A8981</f>
        <v/>
      </c>
      <c r="B6896">
        <f>IF(VLOOKUP(Table7[[#This Row],[Date]],Database!$A:$C,MATCH($B$1,Database!$A$1:$C$1,),)=0,#N/A,VLOOKUP(Table7[[#This Row],[Date]],Database!$A:$C,MATCH($B$1,Database!$A$1:$C$1,),))</f>
        <v/>
      </c>
      <c r="C6896">
        <f>IF(VLOOKUP(Table7[[#This Row],[Date]],Database!$A:$C,MATCH($C$1,Database!$A$1:$C$1,),)=0,#N/A,VLOOKUP(Table7[[#This Row],[Date]],Database!$A:$C,MATCH($C$1,Database!$A$1:$C$1,),))</f>
        <v/>
      </c>
      <c r="D6896">
        <f>IFERROR(Table7[[#This Row],[United States 10y]]-Table7[[#This Row],[United States 3y]],#N/A)</f>
        <v/>
      </c>
    </row>
    <row r="6897">
      <c r="A6897" s="6">
        <f>Database!$A8982</f>
        <v/>
      </c>
      <c r="B6897">
        <f>IF(VLOOKUP(Table7[[#This Row],[Date]],Database!$A:$C,MATCH($B$1,Database!$A$1:$C$1,),)=0,#N/A,VLOOKUP(Table7[[#This Row],[Date]],Database!$A:$C,MATCH($B$1,Database!$A$1:$C$1,),))</f>
        <v/>
      </c>
      <c r="C6897">
        <f>IF(VLOOKUP(Table7[[#This Row],[Date]],Database!$A:$C,MATCH($C$1,Database!$A$1:$C$1,),)=0,#N/A,VLOOKUP(Table7[[#This Row],[Date]],Database!$A:$C,MATCH($C$1,Database!$A$1:$C$1,),))</f>
        <v/>
      </c>
      <c r="D6897">
        <f>IFERROR(Table7[[#This Row],[United States 10y]]-Table7[[#This Row],[United States 3y]],#N/A)</f>
        <v/>
      </c>
    </row>
    <row r="6898">
      <c r="A6898" s="6">
        <f>Database!$A8983</f>
        <v/>
      </c>
      <c r="B6898">
        <f>IF(VLOOKUP(Table7[[#This Row],[Date]],Database!$A:$C,MATCH($B$1,Database!$A$1:$C$1,),)=0,#N/A,VLOOKUP(Table7[[#This Row],[Date]],Database!$A:$C,MATCH($B$1,Database!$A$1:$C$1,),))</f>
        <v/>
      </c>
      <c r="C6898">
        <f>IF(VLOOKUP(Table7[[#This Row],[Date]],Database!$A:$C,MATCH($C$1,Database!$A$1:$C$1,),)=0,#N/A,VLOOKUP(Table7[[#This Row],[Date]],Database!$A:$C,MATCH($C$1,Database!$A$1:$C$1,),))</f>
        <v/>
      </c>
      <c r="D6898">
        <f>IFERROR(Table7[[#This Row],[United States 10y]]-Table7[[#This Row],[United States 3y]],#N/A)</f>
        <v/>
      </c>
    </row>
    <row r="6899">
      <c r="A6899" s="6">
        <f>Database!$A8984</f>
        <v/>
      </c>
      <c r="B6899">
        <f>IF(VLOOKUP(Table7[[#This Row],[Date]],Database!$A:$C,MATCH($B$1,Database!$A$1:$C$1,),)=0,#N/A,VLOOKUP(Table7[[#This Row],[Date]],Database!$A:$C,MATCH($B$1,Database!$A$1:$C$1,),))</f>
        <v/>
      </c>
      <c r="C6899">
        <f>IF(VLOOKUP(Table7[[#This Row],[Date]],Database!$A:$C,MATCH($C$1,Database!$A$1:$C$1,),)=0,#N/A,VLOOKUP(Table7[[#This Row],[Date]],Database!$A:$C,MATCH($C$1,Database!$A$1:$C$1,),))</f>
        <v/>
      </c>
      <c r="D6899">
        <f>IFERROR(Table7[[#This Row],[United States 10y]]-Table7[[#This Row],[United States 3y]],#N/A)</f>
        <v/>
      </c>
    </row>
    <row r="6900">
      <c r="A6900" s="6">
        <f>Database!$A8985</f>
        <v/>
      </c>
      <c r="B6900">
        <f>IF(VLOOKUP(Table7[[#This Row],[Date]],Database!$A:$C,MATCH($B$1,Database!$A$1:$C$1,),)=0,#N/A,VLOOKUP(Table7[[#This Row],[Date]],Database!$A:$C,MATCH($B$1,Database!$A$1:$C$1,),))</f>
        <v/>
      </c>
      <c r="C6900">
        <f>IF(VLOOKUP(Table7[[#This Row],[Date]],Database!$A:$C,MATCH($C$1,Database!$A$1:$C$1,),)=0,#N/A,VLOOKUP(Table7[[#This Row],[Date]],Database!$A:$C,MATCH($C$1,Database!$A$1:$C$1,),))</f>
        <v/>
      </c>
      <c r="D6900">
        <f>IFERROR(Table7[[#This Row],[United States 10y]]-Table7[[#This Row],[United States 3y]],#N/A)</f>
        <v/>
      </c>
    </row>
    <row r="6901">
      <c r="A6901" s="6">
        <f>Database!$A8986</f>
        <v/>
      </c>
      <c r="B6901">
        <f>IF(VLOOKUP(Table7[[#This Row],[Date]],Database!$A:$C,MATCH($B$1,Database!$A$1:$C$1,),)=0,#N/A,VLOOKUP(Table7[[#This Row],[Date]],Database!$A:$C,MATCH($B$1,Database!$A$1:$C$1,),))</f>
        <v/>
      </c>
      <c r="C6901">
        <f>IF(VLOOKUP(Table7[[#This Row],[Date]],Database!$A:$C,MATCH($C$1,Database!$A$1:$C$1,),)=0,#N/A,VLOOKUP(Table7[[#This Row],[Date]],Database!$A:$C,MATCH($C$1,Database!$A$1:$C$1,),))</f>
        <v/>
      </c>
      <c r="D6901">
        <f>IFERROR(Table7[[#This Row],[United States 10y]]-Table7[[#This Row],[United States 3y]],#N/A)</f>
        <v/>
      </c>
    </row>
    <row r="6902">
      <c r="A6902" s="6">
        <f>Database!$A8987</f>
        <v/>
      </c>
      <c r="B6902">
        <f>IF(VLOOKUP(Table7[[#This Row],[Date]],Database!$A:$C,MATCH($B$1,Database!$A$1:$C$1,),)=0,#N/A,VLOOKUP(Table7[[#This Row],[Date]],Database!$A:$C,MATCH($B$1,Database!$A$1:$C$1,),))</f>
        <v/>
      </c>
      <c r="C6902">
        <f>IF(VLOOKUP(Table7[[#This Row],[Date]],Database!$A:$C,MATCH($C$1,Database!$A$1:$C$1,),)=0,#N/A,VLOOKUP(Table7[[#This Row],[Date]],Database!$A:$C,MATCH($C$1,Database!$A$1:$C$1,),))</f>
        <v/>
      </c>
      <c r="D6902">
        <f>IFERROR(Table7[[#This Row],[United States 10y]]-Table7[[#This Row],[United States 3y]],#N/A)</f>
        <v/>
      </c>
    </row>
    <row r="6903">
      <c r="A6903" s="6">
        <f>Database!$A8988</f>
        <v/>
      </c>
      <c r="B6903">
        <f>IF(VLOOKUP(Table7[[#This Row],[Date]],Database!$A:$C,MATCH($B$1,Database!$A$1:$C$1,),)=0,#N/A,VLOOKUP(Table7[[#This Row],[Date]],Database!$A:$C,MATCH($B$1,Database!$A$1:$C$1,),))</f>
        <v/>
      </c>
      <c r="C6903">
        <f>IF(VLOOKUP(Table7[[#This Row],[Date]],Database!$A:$C,MATCH($C$1,Database!$A$1:$C$1,),)=0,#N/A,VLOOKUP(Table7[[#This Row],[Date]],Database!$A:$C,MATCH($C$1,Database!$A$1:$C$1,),))</f>
        <v/>
      </c>
      <c r="D6903">
        <f>IFERROR(Table7[[#This Row],[United States 10y]]-Table7[[#This Row],[United States 3y]],#N/A)</f>
        <v/>
      </c>
    </row>
    <row r="6904">
      <c r="A6904" s="6">
        <f>Database!$A8989</f>
        <v/>
      </c>
      <c r="B6904">
        <f>IF(VLOOKUP(Table7[[#This Row],[Date]],Database!$A:$C,MATCH($B$1,Database!$A$1:$C$1,),)=0,#N/A,VLOOKUP(Table7[[#This Row],[Date]],Database!$A:$C,MATCH($B$1,Database!$A$1:$C$1,),))</f>
        <v/>
      </c>
      <c r="C6904">
        <f>IF(VLOOKUP(Table7[[#This Row],[Date]],Database!$A:$C,MATCH($C$1,Database!$A$1:$C$1,),)=0,#N/A,VLOOKUP(Table7[[#This Row],[Date]],Database!$A:$C,MATCH($C$1,Database!$A$1:$C$1,),))</f>
        <v/>
      </c>
      <c r="D6904">
        <f>IFERROR(Table7[[#This Row],[United States 10y]]-Table7[[#This Row],[United States 3y]],#N/A)</f>
        <v/>
      </c>
    </row>
    <row r="6905">
      <c r="A6905" s="6">
        <f>Database!$A8990</f>
        <v/>
      </c>
      <c r="B6905">
        <f>IF(VLOOKUP(Table7[[#This Row],[Date]],Database!$A:$C,MATCH($B$1,Database!$A$1:$C$1,),)=0,#N/A,VLOOKUP(Table7[[#This Row],[Date]],Database!$A:$C,MATCH($B$1,Database!$A$1:$C$1,),))</f>
        <v/>
      </c>
      <c r="C6905">
        <f>IF(VLOOKUP(Table7[[#This Row],[Date]],Database!$A:$C,MATCH($C$1,Database!$A$1:$C$1,),)=0,#N/A,VLOOKUP(Table7[[#This Row],[Date]],Database!$A:$C,MATCH($C$1,Database!$A$1:$C$1,),))</f>
        <v/>
      </c>
      <c r="D6905">
        <f>IFERROR(Table7[[#This Row],[United States 10y]]-Table7[[#This Row],[United States 3y]],#N/A)</f>
        <v/>
      </c>
    </row>
    <row r="6906">
      <c r="A6906" s="6">
        <f>Database!$A8991</f>
        <v/>
      </c>
      <c r="B6906">
        <f>IF(VLOOKUP(Table7[[#This Row],[Date]],Database!$A:$C,MATCH($B$1,Database!$A$1:$C$1,),)=0,#N/A,VLOOKUP(Table7[[#This Row],[Date]],Database!$A:$C,MATCH($B$1,Database!$A$1:$C$1,),))</f>
        <v/>
      </c>
      <c r="C6906">
        <f>IF(VLOOKUP(Table7[[#This Row],[Date]],Database!$A:$C,MATCH($C$1,Database!$A$1:$C$1,),)=0,#N/A,VLOOKUP(Table7[[#This Row],[Date]],Database!$A:$C,MATCH($C$1,Database!$A$1:$C$1,),))</f>
        <v/>
      </c>
      <c r="D6906">
        <f>IFERROR(Table7[[#This Row],[United States 10y]]-Table7[[#This Row],[United States 3y]],#N/A)</f>
        <v/>
      </c>
    </row>
    <row r="6907">
      <c r="A6907" s="6">
        <f>Database!$A8992</f>
        <v/>
      </c>
      <c r="B6907">
        <f>IF(VLOOKUP(Table7[[#This Row],[Date]],Database!$A:$C,MATCH($B$1,Database!$A$1:$C$1,),)=0,#N/A,VLOOKUP(Table7[[#This Row],[Date]],Database!$A:$C,MATCH($B$1,Database!$A$1:$C$1,),))</f>
        <v/>
      </c>
      <c r="C6907">
        <f>IF(VLOOKUP(Table7[[#This Row],[Date]],Database!$A:$C,MATCH($C$1,Database!$A$1:$C$1,),)=0,#N/A,VLOOKUP(Table7[[#This Row],[Date]],Database!$A:$C,MATCH($C$1,Database!$A$1:$C$1,),))</f>
        <v/>
      </c>
      <c r="D6907">
        <f>IFERROR(Table7[[#This Row],[United States 10y]]-Table7[[#This Row],[United States 3y]],#N/A)</f>
        <v/>
      </c>
    </row>
    <row r="6908">
      <c r="A6908" s="6">
        <f>Database!$A8993</f>
        <v/>
      </c>
      <c r="B6908">
        <f>IF(VLOOKUP(Table7[[#This Row],[Date]],Database!$A:$C,MATCH($B$1,Database!$A$1:$C$1,),)=0,#N/A,VLOOKUP(Table7[[#This Row],[Date]],Database!$A:$C,MATCH($B$1,Database!$A$1:$C$1,),))</f>
        <v/>
      </c>
      <c r="C6908">
        <f>IF(VLOOKUP(Table7[[#This Row],[Date]],Database!$A:$C,MATCH($C$1,Database!$A$1:$C$1,),)=0,#N/A,VLOOKUP(Table7[[#This Row],[Date]],Database!$A:$C,MATCH($C$1,Database!$A$1:$C$1,),))</f>
        <v/>
      </c>
      <c r="D6908">
        <f>IFERROR(Table7[[#This Row],[United States 10y]]-Table7[[#This Row],[United States 3y]],#N/A)</f>
        <v/>
      </c>
    </row>
    <row r="6909">
      <c r="A6909" s="6">
        <f>Database!$A8994</f>
        <v/>
      </c>
      <c r="B6909">
        <f>IF(VLOOKUP(Table7[[#This Row],[Date]],Database!$A:$C,MATCH($B$1,Database!$A$1:$C$1,),)=0,#N/A,VLOOKUP(Table7[[#This Row],[Date]],Database!$A:$C,MATCH($B$1,Database!$A$1:$C$1,),))</f>
        <v/>
      </c>
      <c r="C6909">
        <f>IF(VLOOKUP(Table7[[#This Row],[Date]],Database!$A:$C,MATCH($C$1,Database!$A$1:$C$1,),)=0,#N/A,VLOOKUP(Table7[[#This Row],[Date]],Database!$A:$C,MATCH($C$1,Database!$A$1:$C$1,),))</f>
        <v/>
      </c>
      <c r="D6909">
        <f>IFERROR(Table7[[#This Row],[United States 10y]]-Table7[[#This Row],[United States 3y]],#N/A)</f>
        <v/>
      </c>
    </row>
    <row r="6910">
      <c r="A6910" s="6">
        <f>Database!$A8995</f>
        <v/>
      </c>
      <c r="B6910">
        <f>IF(VLOOKUP(Table7[[#This Row],[Date]],Database!$A:$C,MATCH($B$1,Database!$A$1:$C$1,),)=0,#N/A,VLOOKUP(Table7[[#This Row],[Date]],Database!$A:$C,MATCH($B$1,Database!$A$1:$C$1,),))</f>
        <v/>
      </c>
      <c r="C6910">
        <f>IF(VLOOKUP(Table7[[#This Row],[Date]],Database!$A:$C,MATCH($C$1,Database!$A$1:$C$1,),)=0,#N/A,VLOOKUP(Table7[[#This Row],[Date]],Database!$A:$C,MATCH($C$1,Database!$A$1:$C$1,),))</f>
        <v/>
      </c>
      <c r="D6910">
        <f>IFERROR(Table7[[#This Row],[United States 10y]]-Table7[[#This Row],[United States 3y]],#N/A)</f>
        <v/>
      </c>
    </row>
    <row r="6911">
      <c r="A6911" s="6">
        <f>Database!$A8996</f>
        <v/>
      </c>
      <c r="B6911">
        <f>IF(VLOOKUP(Table7[[#This Row],[Date]],Database!$A:$C,MATCH($B$1,Database!$A$1:$C$1,),)=0,#N/A,VLOOKUP(Table7[[#This Row],[Date]],Database!$A:$C,MATCH($B$1,Database!$A$1:$C$1,),))</f>
        <v/>
      </c>
      <c r="C6911">
        <f>IF(VLOOKUP(Table7[[#This Row],[Date]],Database!$A:$C,MATCH($C$1,Database!$A$1:$C$1,),)=0,#N/A,VLOOKUP(Table7[[#This Row],[Date]],Database!$A:$C,MATCH($C$1,Database!$A$1:$C$1,),))</f>
        <v/>
      </c>
      <c r="D6911">
        <f>IFERROR(Table7[[#This Row],[United States 10y]]-Table7[[#This Row],[United States 3y]],#N/A)</f>
        <v/>
      </c>
    </row>
    <row r="6912">
      <c r="A6912" s="6">
        <f>Database!$A8997</f>
        <v/>
      </c>
      <c r="B6912">
        <f>IF(VLOOKUP(Table7[[#This Row],[Date]],Database!$A:$C,MATCH($B$1,Database!$A$1:$C$1,),)=0,#N/A,VLOOKUP(Table7[[#This Row],[Date]],Database!$A:$C,MATCH($B$1,Database!$A$1:$C$1,),))</f>
        <v/>
      </c>
      <c r="C6912">
        <f>IF(VLOOKUP(Table7[[#This Row],[Date]],Database!$A:$C,MATCH($C$1,Database!$A$1:$C$1,),)=0,#N/A,VLOOKUP(Table7[[#This Row],[Date]],Database!$A:$C,MATCH($C$1,Database!$A$1:$C$1,),))</f>
        <v/>
      </c>
      <c r="D6912">
        <f>IFERROR(Table7[[#This Row],[United States 10y]]-Table7[[#This Row],[United States 3y]],#N/A)</f>
        <v/>
      </c>
    </row>
    <row r="6913">
      <c r="A6913" s="6">
        <f>Database!$A8998</f>
        <v/>
      </c>
      <c r="B6913">
        <f>IF(VLOOKUP(Table7[[#This Row],[Date]],Database!$A:$C,MATCH($B$1,Database!$A$1:$C$1,),)=0,#N/A,VLOOKUP(Table7[[#This Row],[Date]],Database!$A:$C,MATCH($B$1,Database!$A$1:$C$1,),))</f>
        <v/>
      </c>
      <c r="C6913">
        <f>IF(VLOOKUP(Table7[[#This Row],[Date]],Database!$A:$C,MATCH($C$1,Database!$A$1:$C$1,),)=0,#N/A,VLOOKUP(Table7[[#This Row],[Date]],Database!$A:$C,MATCH($C$1,Database!$A$1:$C$1,),))</f>
        <v/>
      </c>
      <c r="D6913">
        <f>IFERROR(Table7[[#This Row],[United States 10y]]-Table7[[#This Row],[United States 3y]],#N/A)</f>
        <v/>
      </c>
    </row>
    <row r="6914">
      <c r="A6914" s="6">
        <f>Database!$A8999</f>
        <v/>
      </c>
      <c r="B6914">
        <f>IF(VLOOKUP(Table7[[#This Row],[Date]],Database!$A:$C,MATCH($B$1,Database!$A$1:$C$1,),)=0,#N/A,VLOOKUP(Table7[[#This Row],[Date]],Database!$A:$C,MATCH($B$1,Database!$A$1:$C$1,),))</f>
        <v/>
      </c>
      <c r="C6914">
        <f>IF(VLOOKUP(Table7[[#This Row],[Date]],Database!$A:$C,MATCH($C$1,Database!$A$1:$C$1,),)=0,#N/A,VLOOKUP(Table7[[#This Row],[Date]],Database!$A:$C,MATCH($C$1,Database!$A$1:$C$1,),))</f>
        <v/>
      </c>
      <c r="D6914">
        <f>IFERROR(Table7[[#This Row],[United States 10y]]-Table7[[#This Row],[United States 3y]],#N/A)</f>
        <v/>
      </c>
    </row>
    <row r="6915">
      <c r="A6915" s="6">
        <f>Database!$A9000</f>
        <v/>
      </c>
      <c r="B6915">
        <f>IF(VLOOKUP(Table7[[#This Row],[Date]],Database!$A:$C,MATCH($B$1,Database!$A$1:$C$1,),)=0,#N/A,VLOOKUP(Table7[[#This Row],[Date]],Database!$A:$C,MATCH($B$1,Database!$A$1:$C$1,),))</f>
        <v/>
      </c>
      <c r="C6915">
        <f>IF(VLOOKUP(Table7[[#This Row],[Date]],Database!$A:$C,MATCH($C$1,Database!$A$1:$C$1,),)=0,#N/A,VLOOKUP(Table7[[#This Row],[Date]],Database!$A:$C,MATCH($C$1,Database!$A$1:$C$1,),))</f>
        <v/>
      </c>
      <c r="D6915">
        <f>IFERROR(Table7[[#This Row],[United States 10y]]-Table7[[#This Row],[United States 3y]],#N/A)</f>
        <v/>
      </c>
    </row>
    <row r="6916">
      <c r="A6916" s="6">
        <f>Database!$A9001</f>
        <v/>
      </c>
      <c r="B6916">
        <f>IF(VLOOKUP(Table7[[#This Row],[Date]],Database!$A:$C,MATCH($B$1,Database!$A$1:$C$1,),)=0,#N/A,VLOOKUP(Table7[[#This Row],[Date]],Database!$A:$C,MATCH($B$1,Database!$A$1:$C$1,),))</f>
        <v/>
      </c>
      <c r="C6916">
        <f>IF(VLOOKUP(Table7[[#This Row],[Date]],Database!$A:$C,MATCH($C$1,Database!$A$1:$C$1,),)=0,#N/A,VLOOKUP(Table7[[#This Row],[Date]],Database!$A:$C,MATCH($C$1,Database!$A$1:$C$1,),))</f>
        <v/>
      </c>
      <c r="D6916">
        <f>IFERROR(Table7[[#This Row],[United States 10y]]-Table7[[#This Row],[United States 3y]],#N/A)</f>
        <v/>
      </c>
    </row>
    <row r="6917">
      <c r="A6917" s="6">
        <f>Database!$A9002</f>
        <v/>
      </c>
      <c r="B6917">
        <f>IF(VLOOKUP(Table7[[#This Row],[Date]],Database!$A:$C,MATCH($B$1,Database!$A$1:$C$1,),)=0,#N/A,VLOOKUP(Table7[[#This Row],[Date]],Database!$A:$C,MATCH($B$1,Database!$A$1:$C$1,),))</f>
        <v/>
      </c>
      <c r="C6917">
        <f>IF(VLOOKUP(Table7[[#This Row],[Date]],Database!$A:$C,MATCH($C$1,Database!$A$1:$C$1,),)=0,#N/A,VLOOKUP(Table7[[#This Row],[Date]],Database!$A:$C,MATCH($C$1,Database!$A$1:$C$1,),))</f>
        <v/>
      </c>
      <c r="D6917">
        <f>IFERROR(Table7[[#This Row],[United States 10y]]-Table7[[#This Row],[United States 3y]],#N/A)</f>
        <v/>
      </c>
    </row>
    <row r="6918">
      <c r="A6918" s="6">
        <f>Database!$A9003</f>
        <v/>
      </c>
      <c r="B6918">
        <f>IF(VLOOKUP(Table7[[#This Row],[Date]],Database!$A:$C,MATCH($B$1,Database!$A$1:$C$1,),)=0,#N/A,VLOOKUP(Table7[[#This Row],[Date]],Database!$A:$C,MATCH($B$1,Database!$A$1:$C$1,),))</f>
        <v/>
      </c>
      <c r="C6918">
        <f>IF(VLOOKUP(Table7[[#This Row],[Date]],Database!$A:$C,MATCH($C$1,Database!$A$1:$C$1,),)=0,#N/A,VLOOKUP(Table7[[#This Row],[Date]],Database!$A:$C,MATCH($C$1,Database!$A$1:$C$1,),))</f>
        <v/>
      </c>
      <c r="D6918">
        <f>IFERROR(Table7[[#This Row],[United States 10y]]-Table7[[#This Row],[United States 3y]],#N/A)</f>
        <v/>
      </c>
    </row>
    <row r="6919">
      <c r="A6919" s="6">
        <f>Database!$A9004</f>
        <v/>
      </c>
      <c r="B6919">
        <f>IF(VLOOKUP(Table7[[#This Row],[Date]],Database!$A:$C,MATCH($B$1,Database!$A$1:$C$1,),)=0,#N/A,VLOOKUP(Table7[[#This Row],[Date]],Database!$A:$C,MATCH($B$1,Database!$A$1:$C$1,),))</f>
        <v/>
      </c>
      <c r="C6919">
        <f>IF(VLOOKUP(Table7[[#This Row],[Date]],Database!$A:$C,MATCH($C$1,Database!$A$1:$C$1,),)=0,#N/A,VLOOKUP(Table7[[#This Row],[Date]],Database!$A:$C,MATCH($C$1,Database!$A$1:$C$1,),))</f>
        <v/>
      </c>
      <c r="D6919">
        <f>IFERROR(Table7[[#This Row],[United States 10y]]-Table7[[#This Row],[United States 3y]],#N/A)</f>
        <v/>
      </c>
    </row>
    <row r="6920">
      <c r="A6920" s="6">
        <f>Database!$A9005</f>
        <v/>
      </c>
      <c r="B6920">
        <f>IF(VLOOKUP(Table7[[#This Row],[Date]],Database!$A:$C,MATCH($B$1,Database!$A$1:$C$1,),)=0,#N/A,VLOOKUP(Table7[[#This Row],[Date]],Database!$A:$C,MATCH($B$1,Database!$A$1:$C$1,),))</f>
        <v/>
      </c>
      <c r="C6920">
        <f>IF(VLOOKUP(Table7[[#This Row],[Date]],Database!$A:$C,MATCH($C$1,Database!$A$1:$C$1,),)=0,#N/A,VLOOKUP(Table7[[#This Row],[Date]],Database!$A:$C,MATCH($C$1,Database!$A$1:$C$1,),))</f>
        <v/>
      </c>
      <c r="D6920">
        <f>IFERROR(Table7[[#This Row],[United States 10y]]-Table7[[#This Row],[United States 3y]],#N/A)</f>
        <v/>
      </c>
    </row>
    <row r="6921">
      <c r="A6921" s="6">
        <f>Database!$A9006</f>
        <v/>
      </c>
      <c r="B6921">
        <f>IF(VLOOKUP(Table7[[#This Row],[Date]],Database!$A:$C,MATCH($B$1,Database!$A$1:$C$1,),)=0,#N/A,VLOOKUP(Table7[[#This Row],[Date]],Database!$A:$C,MATCH($B$1,Database!$A$1:$C$1,),))</f>
        <v/>
      </c>
      <c r="C6921">
        <f>IF(VLOOKUP(Table7[[#This Row],[Date]],Database!$A:$C,MATCH($C$1,Database!$A$1:$C$1,),)=0,#N/A,VLOOKUP(Table7[[#This Row],[Date]],Database!$A:$C,MATCH($C$1,Database!$A$1:$C$1,),))</f>
        <v/>
      </c>
      <c r="D6921">
        <f>IFERROR(Table7[[#This Row],[United States 10y]]-Table7[[#This Row],[United States 3y]],#N/A)</f>
        <v/>
      </c>
    </row>
    <row r="6922">
      <c r="A6922" s="6">
        <f>Database!$A9007</f>
        <v/>
      </c>
      <c r="B6922">
        <f>IF(VLOOKUP(Table7[[#This Row],[Date]],Database!$A:$C,MATCH($B$1,Database!$A$1:$C$1,),)=0,#N/A,VLOOKUP(Table7[[#This Row],[Date]],Database!$A:$C,MATCH($B$1,Database!$A$1:$C$1,),))</f>
        <v/>
      </c>
      <c r="C6922">
        <f>IF(VLOOKUP(Table7[[#This Row],[Date]],Database!$A:$C,MATCH($C$1,Database!$A$1:$C$1,),)=0,#N/A,VLOOKUP(Table7[[#This Row],[Date]],Database!$A:$C,MATCH($C$1,Database!$A$1:$C$1,),))</f>
        <v/>
      </c>
      <c r="D6922">
        <f>IFERROR(Table7[[#This Row],[United States 10y]]-Table7[[#This Row],[United States 3y]],#N/A)</f>
        <v/>
      </c>
    </row>
    <row r="6923">
      <c r="A6923" s="6">
        <f>Database!$A9008</f>
        <v/>
      </c>
      <c r="B6923">
        <f>IF(VLOOKUP(Table7[[#This Row],[Date]],Database!$A:$C,MATCH($B$1,Database!$A$1:$C$1,),)=0,#N/A,VLOOKUP(Table7[[#This Row],[Date]],Database!$A:$C,MATCH($B$1,Database!$A$1:$C$1,),))</f>
        <v/>
      </c>
      <c r="C6923">
        <f>IF(VLOOKUP(Table7[[#This Row],[Date]],Database!$A:$C,MATCH($C$1,Database!$A$1:$C$1,),)=0,#N/A,VLOOKUP(Table7[[#This Row],[Date]],Database!$A:$C,MATCH($C$1,Database!$A$1:$C$1,),))</f>
        <v/>
      </c>
      <c r="D6923">
        <f>IFERROR(Table7[[#This Row],[United States 10y]]-Table7[[#This Row],[United States 3y]],#N/A)</f>
        <v/>
      </c>
    </row>
    <row r="6924">
      <c r="A6924" s="6">
        <f>Database!$A9009</f>
        <v/>
      </c>
      <c r="B6924">
        <f>IF(VLOOKUP(Table7[[#This Row],[Date]],Database!$A:$C,MATCH($B$1,Database!$A$1:$C$1,),)=0,#N/A,VLOOKUP(Table7[[#This Row],[Date]],Database!$A:$C,MATCH($B$1,Database!$A$1:$C$1,),))</f>
        <v/>
      </c>
      <c r="C6924">
        <f>IF(VLOOKUP(Table7[[#This Row],[Date]],Database!$A:$C,MATCH($C$1,Database!$A$1:$C$1,),)=0,#N/A,VLOOKUP(Table7[[#This Row],[Date]],Database!$A:$C,MATCH($C$1,Database!$A$1:$C$1,),))</f>
        <v/>
      </c>
      <c r="D6924">
        <f>IFERROR(Table7[[#This Row],[United States 10y]]-Table7[[#This Row],[United States 3y]],#N/A)</f>
        <v/>
      </c>
    </row>
    <row r="6925">
      <c r="A6925" s="6">
        <f>Database!$A9010</f>
        <v/>
      </c>
      <c r="B6925">
        <f>IF(VLOOKUP(Table7[[#This Row],[Date]],Database!$A:$C,MATCH($B$1,Database!$A$1:$C$1,),)=0,#N/A,VLOOKUP(Table7[[#This Row],[Date]],Database!$A:$C,MATCH($B$1,Database!$A$1:$C$1,),))</f>
        <v/>
      </c>
      <c r="C6925">
        <f>IF(VLOOKUP(Table7[[#This Row],[Date]],Database!$A:$C,MATCH($C$1,Database!$A$1:$C$1,),)=0,#N/A,VLOOKUP(Table7[[#This Row],[Date]],Database!$A:$C,MATCH($C$1,Database!$A$1:$C$1,),))</f>
        <v/>
      </c>
      <c r="D6925">
        <f>IFERROR(Table7[[#This Row],[United States 10y]]-Table7[[#This Row],[United States 3y]],#N/A)</f>
        <v/>
      </c>
    </row>
    <row r="6926">
      <c r="A6926" s="6">
        <f>Database!$A9011</f>
        <v/>
      </c>
      <c r="B6926">
        <f>IF(VLOOKUP(Table7[[#This Row],[Date]],Database!$A:$C,MATCH($B$1,Database!$A$1:$C$1,),)=0,#N/A,VLOOKUP(Table7[[#This Row],[Date]],Database!$A:$C,MATCH($B$1,Database!$A$1:$C$1,),))</f>
        <v/>
      </c>
      <c r="C6926">
        <f>IF(VLOOKUP(Table7[[#This Row],[Date]],Database!$A:$C,MATCH($C$1,Database!$A$1:$C$1,),)=0,#N/A,VLOOKUP(Table7[[#This Row],[Date]],Database!$A:$C,MATCH($C$1,Database!$A$1:$C$1,),))</f>
        <v/>
      </c>
      <c r="D6926">
        <f>IFERROR(Table7[[#This Row],[United States 10y]]-Table7[[#This Row],[United States 3y]],#N/A)</f>
        <v/>
      </c>
    </row>
    <row r="6927">
      <c r="A6927" s="6">
        <f>Database!$A9012</f>
        <v/>
      </c>
      <c r="B6927">
        <f>IF(VLOOKUP(Table7[[#This Row],[Date]],Database!$A:$C,MATCH($B$1,Database!$A$1:$C$1,),)=0,#N/A,VLOOKUP(Table7[[#This Row],[Date]],Database!$A:$C,MATCH($B$1,Database!$A$1:$C$1,),))</f>
        <v/>
      </c>
      <c r="C6927">
        <f>IF(VLOOKUP(Table7[[#This Row],[Date]],Database!$A:$C,MATCH($C$1,Database!$A$1:$C$1,),)=0,#N/A,VLOOKUP(Table7[[#This Row],[Date]],Database!$A:$C,MATCH($C$1,Database!$A$1:$C$1,),))</f>
        <v/>
      </c>
      <c r="D6927">
        <f>IFERROR(Table7[[#This Row],[United States 10y]]-Table7[[#This Row],[United States 3y]],#N/A)</f>
        <v/>
      </c>
    </row>
    <row r="6928">
      <c r="A6928" s="6">
        <f>Database!$A9013</f>
        <v/>
      </c>
      <c r="B6928">
        <f>IF(VLOOKUP(Table7[[#This Row],[Date]],Database!$A:$C,MATCH($B$1,Database!$A$1:$C$1,),)=0,#N/A,VLOOKUP(Table7[[#This Row],[Date]],Database!$A:$C,MATCH($B$1,Database!$A$1:$C$1,),))</f>
        <v/>
      </c>
      <c r="C6928">
        <f>IF(VLOOKUP(Table7[[#This Row],[Date]],Database!$A:$C,MATCH($C$1,Database!$A$1:$C$1,),)=0,#N/A,VLOOKUP(Table7[[#This Row],[Date]],Database!$A:$C,MATCH($C$1,Database!$A$1:$C$1,),))</f>
        <v/>
      </c>
      <c r="D6928">
        <f>IFERROR(Table7[[#This Row],[United States 10y]]-Table7[[#This Row],[United States 3y]],#N/A)</f>
        <v/>
      </c>
    </row>
    <row r="6929">
      <c r="A6929" s="6">
        <f>Database!$A9014</f>
        <v/>
      </c>
      <c r="B6929">
        <f>IF(VLOOKUP(Table7[[#This Row],[Date]],Database!$A:$C,MATCH($B$1,Database!$A$1:$C$1,),)=0,#N/A,VLOOKUP(Table7[[#This Row],[Date]],Database!$A:$C,MATCH($B$1,Database!$A$1:$C$1,),))</f>
        <v/>
      </c>
      <c r="C6929">
        <f>IF(VLOOKUP(Table7[[#This Row],[Date]],Database!$A:$C,MATCH($C$1,Database!$A$1:$C$1,),)=0,#N/A,VLOOKUP(Table7[[#This Row],[Date]],Database!$A:$C,MATCH($C$1,Database!$A$1:$C$1,),))</f>
        <v/>
      </c>
      <c r="D6929">
        <f>IFERROR(Table7[[#This Row],[United States 10y]]-Table7[[#This Row],[United States 3y]],#N/A)</f>
        <v/>
      </c>
    </row>
    <row r="6930">
      <c r="A6930" s="6">
        <f>Database!$A9015</f>
        <v/>
      </c>
      <c r="B6930">
        <f>IF(VLOOKUP(Table7[[#This Row],[Date]],Database!$A:$C,MATCH($B$1,Database!$A$1:$C$1,),)=0,#N/A,VLOOKUP(Table7[[#This Row],[Date]],Database!$A:$C,MATCH($B$1,Database!$A$1:$C$1,),))</f>
        <v/>
      </c>
      <c r="C6930">
        <f>IF(VLOOKUP(Table7[[#This Row],[Date]],Database!$A:$C,MATCH($C$1,Database!$A$1:$C$1,),)=0,#N/A,VLOOKUP(Table7[[#This Row],[Date]],Database!$A:$C,MATCH($C$1,Database!$A$1:$C$1,),))</f>
        <v/>
      </c>
      <c r="D6930">
        <f>IFERROR(Table7[[#This Row],[United States 10y]]-Table7[[#This Row],[United States 3y]],#N/A)</f>
        <v/>
      </c>
    </row>
    <row r="6931">
      <c r="A6931" s="6">
        <f>Database!$A9016</f>
        <v/>
      </c>
      <c r="B6931">
        <f>IF(VLOOKUP(Table7[[#This Row],[Date]],Database!$A:$C,MATCH($B$1,Database!$A$1:$C$1,),)=0,#N/A,VLOOKUP(Table7[[#This Row],[Date]],Database!$A:$C,MATCH($B$1,Database!$A$1:$C$1,),))</f>
        <v/>
      </c>
      <c r="C6931">
        <f>IF(VLOOKUP(Table7[[#This Row],[Date]],Database!$A:$C,MATCH($C$1,Database!$A$1:$C$1,),)=0,#N/A,VLOOKUP(Table7[[#This Row],[Date]],Database!$A:$C,MATCH($C$1,Database!$A$1:$C$1,),))</f>
        <v/>
      </c>
      <c r="D6931">
        <f>IFERROR(Table7[[#This Row],[United States 10y]]-Table7[[#This Row],[United States 3y]],#N/A)</f>
        <v/>
      </c>
    </row>
    <row r="6932">
      <c r="A6932" s="6">
        <f>Database!$A9017</f>
        <v/>
      </c>
      <c r="B6932">
        <f>IF(VLOOKUP(Table7[[#This Row],[Date]],Database!$A:$C,MATCH($B$1,Database!$A$1:$C$1,),)=0,#N/A,VLOOKUP(Table7[[#This Row],[Date]],Database!$A:$C,MATCH($B$1,Database!$A$1:$C$1,),))</f>
        <v/>
      </c>
      <c r="C6932">
        <f>IF(VLOOKUP(Table7[[#This Row],[Date]],Database!$A:$C,MATCH($C$1,Database!$A$1:$C$1,),)=0,#N/A,VLOOKUP(Table7[[#This Row],[Date]],Database!$A:$C,MATCH($C$1,Database!$A$1:$C$1,),))</f>
        <v/>
      </c>
      <c r="D6932">
        <f>IFERROR(Table7[[#This Row],[United States 10y]]-Table7[[#This Row],[United States 3y]],#N/A)</f>
        <v/>
      </c>
    </row>
    <row r="6933">
      <c r="A6933" s="6">
        <f>Database!$A9018</f>
        <v/>
      </c>
      <c r="B6933">
        <f>IF(VLOOKUP(Table7[[#This Row],[Date]],Database!$A:$C,MATCH($B$1,Database!$A$1:$C$1,),)=0,#N/A,VLOOKUP(Table7[[#This Row],[Date]],Database!$A:$C,MATCH($B$1,Database!$A$1:$C$1,),))</f>
        <v/>
      </c>
      <c r="C6933">
        <f>IF(VLOOKUP(Table7[[#This Row],[Date]],Database!$A:$C,MATCH($C$1,Database!$A$1:$C$1,),)=0,#N/A,VLOOKUP(Table7[[#This Row],[Date]],Database!$A:$C,MATCH($C$1,Database!$A$1:$C$1,),))</f>
        <v/>
      </c>
      <c r="D6933">
        <f>IFERROR(Table7[[#This Row],[United States 10y]]-Table7[[#This Row],[United States 3y]],#N/A)</f>
        <v/>
      </c>
    </row>
    <row r="6934">
      <c r="A6934" s="6">
        <f>Database!$A9019</f>
        <v/>
      </c>
      <c r="B6934">
        <f>IF(VLOOKUP(Table7[[#This Row],[Date]],Database!$A:$C,MATCH($B$1,Database!$A$1:$C$1,),)=0,#N/A,VLOOKUP(Table7[[#This Row],[Date]],Database!$A:$C,MATCH($B$1,Database!$A$1:$C$1,),))</f>
        <v/>
      </c>
      <c r="C6934">
        <f>IF(VLOOKUP(Table7[[#This Row],[Date]],Database!$A:$C,MATCH($C$1,Database!$A$1:$C$1,),)=0,#N/A,VLOOKUP(Table7[[#This Row],[Date]],Database!$A:$C,MATCH($C$1,Database!$A$1:$C$1,),))</f>
        <v/>
      </c>
      <c r="D6934">
        <f>IFERROR(Table7[[#This Row],[United States 10y]]-Table7[[#This Row],[United States 3y]],#N/A)</f>
        <v/>
      </c>
    </row>
    <row r="6935">
      <c r="A6935" s="6">
        <f>Database!$A9020</f>
        <v/>
      </c>
      <c r="B6935">
        <f>IF(VLOOKUP(Table7[[#This Row],[Date]],Database!$A:$C,MATCH($B$1,Database!$A$1:$C$1,),)=0,#N/A,VLOOKUP(Table7[[#This Row],[Date]],Database!$A:$C,MATCH($B$1,Database!$A$1:$C$1,),))</f>
        <v/>
      </c>
      <c r="C6935">
        <f>IF(VLOOKUP(Table7[[#This Row],[Date]],Database!$A:$C,MATCH($C$1,Database!$A$1:$C$1,),)=0,#N/A,VLOOKUP(Table7[[#This Row],[Date]],Database!$A:$C,MATCH($C$1,Database!$A$1:$C$1,),))</f>
        <v/>
      </c>
      <c r="D6935">
        <f>IFERROR(Table7[[#This Row],[United States 10y]]-Table7[[#This Row],[United States 3y]],#N/A)</f>
        <v/>
      </c>
    </row>
    <row r="6936">
      <c r="A6936" s="6">
        <f>Database!$A9021</f>
        <v/>
      </c>
      <c r="B6936">
        <f>IF(VLOOKUP(Table7[[#This Row],[Date]],Database!$A:$C,MATCH($B$1,Database!$A$1:$C$1,),)=0,#N/A,VLOOKUP(Table7[[#This Row],[Date]],Database!$A:$C,MATCH($B$1,Database!$A$1:$C$1,),))</f>
        <v/>
      </c>
      <c r="C6936">
        <f>IF(VLOOKUP(Table7[[#This Row],[Date]],Database!$A:$C,MATCH($C$1,Database!$A$1:$C$1,),)=0,#N/A,VLOOKUP(Table7[[#This Row],[Date]],Database!$A:$C,MATCH($C$1,Database!$A$1:$C$1,),))</f>
        <v/>
      </c>
      <c r="D6936">
        <f>IFERROR(Table7[[#This Row],[United States 10y]]-Table7[[#This Row],[United States 3y]],#N/A)</f>
        <v/>
      </c>
    </row>
    <row r="6937">
      <c r="A6937" s="6">
        <f>Database!$A9022</f>
        <v/>
      </c>
      <c r="B6937">
        <f>IF(VLOOKUP(Table7[[#This Row],[Date]],Database!$A:$C,MATCH($B$1,Database!$A$1:$C$1,),)=0,#N/A,VLOOKUP(Table7[[#This Row],[Date]],Database!$A:$C,MATCH($B$1,Database!$A$1:$C$1,),))</f>
        <v/>
      </c>
      <c r="C6937">
        <f>IF(VLOOKUP(Table7[[#This Row],[Date]],Database!$A:$C,MATCH($C$1,Database!$A$1:$C$1,),)=0,#N/A,VLOOKUP(Table7[[#This Row],[Date]],Database!$A:$C,MATCH($C$1,Database!$A$1:$C$1,),))</f>
        <v/>
      </c>
      <c r="D6937">
        <f>IFERROR(Table7[[#This Row],[United States 10y]]-Table7[[#This Row],[United States 3y]],#N/A)</f>
        <v/>
      </c>
    </row>
    <row r="6938">
      <c r="A6938" s="6">
        <f>Database!$A9023</f>
        <v/>
      </c>
      <c r="B6938">
        <f>IF(VLOOKUP(Table7[[#This Row],[Date]],Database!$A:$C,MATCH($B$1,Database!$A$1:$C$1,),)=0,#N/A,VLOOKUP(Table7[[#This Row],[Date]],Database!$A:$C,MATCH($B$1,Database!$A$1:$C$1,),))</f>
        <v/>
      </c>
      <c r="C6938">
        <f>IF(VLOOKUP(Table7[[#This Row],[Date]],Database!$A:$C,MATCH($C$1,Database!$A$1:$C$1,),)=0,#N/A,VLOOKUP(Table7[[#This Row],[Date]],Database!$A:$C,MATCH($C$1,Database!$A$1:$C$1,),))</f>
        <v/>
      </c>
      <c r="D6938">
        <f>IFERROR(Table7[[#This Row],[United States 10y]]-Table7[[#This Row],[United States 3y]],#N/A)</f>
        <v/>
      </c>
    </row>
    <row r="6939">
      <c r="A6939" s="6">
        <f>Database!$A9024</f>
        <v/>
      </c>
      <c r="B6939">
        <f>IF(VLOOKUP(Table7[[#This Row],[Date]],Database!$A:$C,MATCH($B$1,Database!$A$1:$C$1,),)=0,#N/A,VLOOKUP(Table7[[#This Row],[Date]],Database!$A:$C,MATCH($B$1,Database!$A$1:$C$1,),))</f>
        <v/>
      </c>
      <c r="C6939">
        <f>IF(VLOOKUP(Table7[[#This Row],[Date]],Database!$A:$C,MATCH($C$1,Database!$A$1:$C$1,),)=0,#N/A,VLOOKUP(Table7[[#This Row],[Date]],Database!$A:$C,MATCH($C$1,Database!$A$1:$C$1,),))</f>
        <v/>
      </c>
      <c r="D6939">
        <f>IFERROR(Table7[[#This Row],[United States 10y]]-Table7[[#This Row],[United States 3y]],#N/A)</f>
        <v/>
      </c>
    </row>
    <row r="6940">
      <c r="A6940" s="6">
        <f>Database!$A9025</f>
        <v/>
      </c>
      <c r="B6940">
        <f>IF(VLOOKUP(Table7[[#This Row],[Date]],Database!$A:$C,MATCH($B$1,Database!$A$1:$C$1,),)=0,#N/A,VLOOKUP(Table7[[#This Row],[Date]],Database!$A:$C,MATCH($B$1,Database!$A$1:$C$1,),))</f>
        <v/>
      </c>
      <c r="C6940">
        <f>IF(VLOOKUP(Table7[[#This Row],[Date]],Database!$A:$C,MATCH($C$1,Database!$A$1:$C$1,),)=0,#N/A,VLOOKUP(Table7[[#This Row],[Date]],Database!$A:$C,MATCH($C$1,Database!$A$1:$C$1,),))</f>
        <v/>
      </c>
      <c r="D6940">
        <f>IFERROR(Table7[[#This Row],[United States 10y]]-Table7[[#This Row],[United States 3y]],#N/A)</f>
        <v/>
      </c>
    </row>
    <row r="6941">
      <c r="A6941" s="6">
        <f>Database!$A9026</f>
        <v/>
      </c>
      <c r="B6941">
        <f>IF(VLOOKUP(Table7[[#This Row],[Date]],Database!$A:$C,MATCH($B$1,Database!$A$1:$C$1,),)=0,#N/A,VLOOKUP(Table7[[#This Row],[Date]],Database!$A:$C,MATCH($B$1,Database!$A$1:$C$1,),))</f>
        <v/>
      </c>
      <c r="C6941">
        <f>IF(VLOOKUP(Table7[[#This Row],[Date]],Database!$A:$C,MATCH($C$1,Database!$A$1:$C$1,),)=0,#N/A,VLOOKUP(Table7[[#This Row],[Date]],Database!$A:$C,MATCH($C$1,Database!$A$1:$C$1,),))</f>
        <v/>
      </c>
      <c r="D6941">
        <f>IFERROR(Table7[[#This Row],[United States 10y]]-Table7[[#This Row],[United States 3y]],#N/A)</f>
        <v/>
      </c>
    </row>
    <row r="6942">
      <c r="A6942" s="6">
        <f>Database!$A9027</f>
        <v/>
      </c>
      <c r="B6942">
        <f>IF(VLOOKUP(Table7[[#This Row],[Date]],Database!$A:$C,MATCH($B$1,Database!$A$1:$C$1,),)=0,#N/A,VLOOKUP(Table7[[#This Row],[Date]],Database!$A:$C,MATCH($B$1,Database!$A$1:$C$1,),))</f>
        <v/>
      </c>
      <c r="C6942">
        <f>IF(VLOOKUP(Table7[[#This Row],[Date]],Database!$A:$C,MATCH($C$1,Database!$A$1:$C$1,),)=0,#N/A,VLOOKUP(Table7[[#This Row],[Date]],Database!$A:$C,MATCH($C$1,Database!$A$1:$C$1,),))</f>
        <v/>
      </c>
      <c r="D6942">
        <f>IFERROR(Table7[[#This Row],[United States 10y]]-Table7[[#This Row],[United States 3y]],#N/A)</f>
        <v/>
      </c>
    </row>
    <row r="6943">
      <c r="A6943" s="6">
        <f>Database!$A9028</f>
        <v/>
      </c>
      <c r="B6943">
        <f>IF(VLOOKUP(Table7[[#This Row],[Date]],Database!$A:$C,MATCH($B$1,Database!$A$1:$C$1,),)=0,#N/A,VLOOKUP(Table7[[#This Row],[Date]],Database!$A:$C,MATCH($B$1,Database!$A$1:$C$1,),))</f>
        <v/>
      </c>
      <c r="C6943">
        <f>IF(VLOOKUP(Table7[[#This Row],[Date]],Database!$A:$C,MATCH($C$1,Database!$A$1:$C$1,),)=0,#N/A,VLOOKUP(Table7[[#This Row],[Date]],Database!$A:$C,MATCH($C$1,Database!$A$1:$C$1,),))</f>
        <v/>
      </c>
      <c r="D6943">
        <f>IFERROR(Table7[[#This Row],[United States 10y]]-Table7[[#This Row],[United States 3y]],#N/A)</f>
        <v/>
      </c>
    </row>
    <row r="6944">
      <c r="A6944" s="6">
        <f>Database!$A9029</f>
        <v/>
      </c>
      <c r="B6944">
        <f>IF(VLOOKUP(Table7[[#This Row],[Date]],Database!$A:$C,MATCH($B$1,Database!$A$1:$C$1,),)=0,#N/A,VLOOKUP(Table7[[#This Row],[Date]],Database!$A:$C,MATCH($B$1,Database!$A$1:$C$1,),))</f>
        <v/>
      </c>
      <c r="C6944">
        <f>IF(VLOOKUP(Table7[[#This Row],[Date]],Database!$A:$C,MATCH($C$1,Database!$A$1:$C$1,),)=0,#N/A,VLOOKUP(Table7[[#This Row],[Date]],Database!$A:$C,MATCH($C$1,Database!$A$1:$C$1,),))</f>
        <v/>
      </c>
      <c r="D6944">
        <f>IFERROR(Table7[[#This Row],[United States 10y]]-Table7[[#This Row],[United States 3y]],#N/A)</f>
        <v/>
      </c>
    </row>
    <row r="6945">
      <c r="A6945" s="6">
        <f>Database!$A9030</f>
        <v/>
      </c>
      <c r="B6945">
        <f>IF(VLOOKUP(Table7[[#This Row],[Date]],Database!$A:$C,MATCH($B$1,Database!$A$1:$C$1,),)=0,#N/A,VLOOKUP(Table7[[#This Row],[Date]],Database!$A:$C,MATCH($B$1,Database!$A$1:$C$1,),))</f>
        <v/>
      </c>
      <c r="C6945">
        <f>IF(VLOOKUP(Table7[[#This Row],[Date]],Database!$A:$C,MATCH($C$1,Database!$A$1:$C$1,),)=0,#N/A,VLOOKUP(Table7[[#This Row],[Date]],Database!$A:$C,MATCH($C$1,Database!$A$1:$C$1,),))</f>
        <v/>
      </c>
      <c r="D6945">
        <f>IFERROR(Table7[[#This Row],[United States 10y]]-Table7[[#This Row],[United States 3y]],#N/A)</f>
        <v/>
      </c>
    </row>
    <row r="6946">
      <c r="A6946" s="6">
        <f>Database!$A9031</f>
        <v/>
      </c>
      <c r="B6946">
        <f>IF(VLOOKUP(Table7[[#This Row],[Date]],Database!$A:$C,MATCH($B$1,Database!$A$1:$C$1,),)=0,#N/A,VLOOKUP(Table7[[#This Row],[Date]],Database!$A:$C,MATCH($B$1,Database!$A$1:$C$1,),))</f>
        <v/>
      </c>
      <c r="C6946">
        <f>IF(VLOOKUP(Table7[[#This Row],[Date]],Database!$A:$C,MATCH($C$1,Database!$A$1:$C$1,),)=0,#N/A,VLOOKUP(Table7[[#This Row],[Date]],Database!$A:$C,MATCH($C$1,Database!$A$1:$C$1,),))</f>
        <v/>
      </c>
      <c r="D6946">
        <f>IFERROR(Table7[[#This Row],[United States 10y]]-Table7[[#This Row],[United States 3y]],#N/A)</f>
        <v/>
      </c>
    </row>
    <row r="6947">
      <c r="A6947" s="6">
        <f>Database!$A9032</f>
        <v/>
      </c>
      <c r="B6947">
        <f>IF(VLOOKUP(Table7[[#This Row],[Date]],Database!$A:$C,MATCH($B$1,Database!$A$1:$C$1,),)=0,#N/A,VLOOKUP(Table7[[#This Row],[Date]],Database!$A:$C,MATCH($B$1,Database!$A$1:$C$1,),))</f>
        <v/>
      </c>
      <c r="C6947">
        <f>IF(VLOOKUP(Table7[[#This Row],[Date]],Database!$A:$C,MATCH($C$1,Database!$A$1:$C$1,),)=0,#N/A,VLOOKUP(Table7[[#This Row],[Date]],Database!$A:$C,MATCH($C$1,Database!$A$1:$C$1,),))</f>
        <v/>
      </c>
      <c r="D6947">
        <f>IFERROR(Table7[[#This Row],[United States 10y]]-Table7[[#This Row],[United States 3y]],#N/A)</f>
        <v/>
      </c>
    </row>
    <row r="6948">
      <c r="A6948" s="6">
        <f>Database!$A9033</f>
        <v/>
      </c>
      <c r="B6948">
        <f>IF(VLOOKUP(Table7[[#This Row],[Date]],Database!$A:$C,MATCH($B$1,Database!$A$1:$C$1,),)=0,#N/A,VLOOKUP(Table7[[#This Row],[Date]],Database!$A:$C,MATCH($B$1,Database!$A$1:$C$1,),))</f>
        <v/>
      </c>
      <c r="C6948">
        <f>IF(VLOOKUP(Table7[[#This Row],[Date]],Database!$A:$C,MATCH($C$1,Database!$A$1:$C$1,),)=0,#N/A,VLOOKUP(Table7[[#This Row],[Date]],Database!$A:$C,MATCH($C$1,Database!$A$1:$C$1,),))</f>
        <v/>
      </c>
      <c r="D6948">
        <f>IFERROR(Table7[[#This Row],[United States 10y]]-Table7[[#This Row],[United States 3y]],#N/A)</f>
        <v/>
      </c>
    </row>
    <row r="6949">
      <c r="A6949" s="6">
        <f>Database!$A9034</f>
        <v/>
      </c>
      <c r="B6949">
        <f>IF(VLOOKUP(Table7[[#This Row],[Date]],Database!$A:$C,MATCH($B$1,Database!$A$1:$C$1,),)=0,#N/A,VLOOKUP(Table7[[#This Row],[Date]],Database!$A:$C,MATCH($B$1,Database!$A$1:$C$1,),))</f>
        <v/>
      </c>
      <c r="C6949">
        <f>IF(VLOOKUP(Table7[[#This Row],[Date]],Database!$A:$C,MATCH($C$1,Database!$A$1:$C$1,),)=0,#N/A,VLOOKUP(Table7[[#This Row],[Date]],Database!$A:$C,MATCH($C$1,Database!$A$1:$C$1,),))</f>
        <v/>
      </c>
      <c r="D6949">
        <f>IFERROR(Table7[[#This Row],[United States 10y]]-Table7[[#This Row],[United States 3y]],#N/A)</f>
        <v/>
      </c>
    </row>
    <row r="6950">
      <c r="A6950" s="6">
        <f>Database!$A9035</f>
        <v/>
      </c>
      <c r="B6950">
        <f>IF(VLOOKUP(Table7[[#This Row],[Date]],Database!$A:$C,MATCH($B$1,Database!$A$1:$C$1,),)=0,#N/A,VLOOKUP(Table7[[#This Row],[Date]],Database!$A:$C,MATCH($B$1,Database!$A$1:$C$1,),))</f>
        <v/>
      </c>
      <c r="C6950">
        <f>IF(VLOOKUP(Table7[[#This Row],[Date]],Database!$A:$C,MATCH($C$1,Database!$A$1:$C$1,),)=0,#N/A,VLOOKUP(Table7[[#This Row],[Date]],Database!$A:$C,MATCH($C$1,Database!$A$1:$C$1,),))</f>
        <v/>
      </c>
      <c r="D6950">
        <f>IFERROR(Table7[[#This Row],[United States 10y]]-Table7[[#This Row],[United States 3y]],#N/A)</f>
        <v/>
      </c>
    </row>
    <row r="6951">
      <c r="A6951" s="6">
        <f>Database!$A9036</f>
        <v/>
      </c>
      <c r="B6951">
        <f>IF(VLOOKUP(Table7[[#This Row],[Date]],Database!$A:$C,MATCH($B$1,Database!$A$1:$C$1,),)=0,#N/A,VLOOKUP(Table7[[#This Row],[Date]],Database!$A:$C,MATCH($B$1,Database!$A$1:$C$1,),))</f>
        <v/>
      </c>
      <c r="C6951">
        <f>IF(VLOOKUP(Table7[[#This Row],[Date]],Database!$A:$C,MATCH($C$1,Database!$A$1:$C$1,),)=0,#N/A,VLOOKUP(Table7[[#This Row],[Date]],Database!$A:$C,MATCH($C$1,Database!$A$1:$C$1,),))</f>
        <v/>
      </c>
      <c r="D6951">
        <f>IFERROR(Table7[[#This Row],[United States 10y]]-Table7[[#This Row],[United States 3y]],#N/A)</f>
        <v/>
      </c>
    </row>
    <row r="6952">
      <c r="A6952" s="6">
        <f>Database!$A9037</f>
        <v/>
      </c>
      <c r="B6952">
        <f>IF(VLOOKUP(Table7[[#This Row],[Date]],Database!$A:$C,MATCH($B$1,Database!$A$1:$C$1,),)=0,#N/A,VLOOKUP(Table7[[#This Row],[Date]],Database!$A:$C,MATCH($B$1,Database!$A$1:$C$1,),))</f>
        <v/>
      </c>
      <c r="C6952">
        <f>IF(VLOOKUP(Table7[[#This Row],[Date]],Database!$A:$C,MATCH($C$1,Database!$A$1:$C$1,),)=0,#N/A,VLOOKUP(Table7[[#This Row],[Date]],Database!$A:$C,MATCH($C$1,Database!$A$1:$C$1,),))</f>
        <v/>
      </c>
      <c r="D6952">
        <f>IFERROR(Table7[[#This Row],[United States 10y]]-Table7[[#This Row],[United States 3y]],#N/A)</f>
        <v/>
      </c>
    </row>
    <row r="6953">
      <c r="A6953" s="6">
        <f>Database!$A9038</f>
        <v/>
      </c>
      <c r="B6953">
        <f>IF(VLOOKUP(Table7[[#This Row],[Date]],Database!$A:$C,MATCH($B$1,Database!$A$1:$C$1,),)=0,#N/A,VLOOKUP(Table7[[#This Row],[Date]],Database!$A:$C,MATCH($B$1,Database!$A$1:$C$1,),))</f>
        <v/>
      </c>
      <c r="C6953">
        <f>IF(VLOOKUP(Table7[[#This Row],[Date]],Database!$A:$C,MATCH($C$1,Database!$A$1:$C$1,),)=0,#N/A,VLOOKUP(Table7[[#This Row],[Date]],Database!$A:$C,MATCH($C$1,Database!$A$1:$C$1,),))</f>
        <v/>
      </c>
      <c r="D6953">
        <f>IFERROR(Table7[[#This Row],[United States 10y]]-Table7[[#This Row],[United States 3y]],#N/A)</f>
        <v/>
      </c>
    </row>
    <row r="6954">
      <c r="A6954" s="6">
        <f>Database!$A9039</f>
        <v/>
      </c>
      <c r="B6954">
        <f>IF(VLOOKUP(Table7[[#This Row],[Date]],Database!$A:$C,MATCH($B$1,Database!$A$1:$C$1,),)=0,#N/A,VLOOKUP(Table7[[#This Row],[Date]],Database!$A:$C,MATCH($B$1,Database!$A$1:$C$1,),))</f>
        <v/>
      </c>
      <c r="C6954">
        <f>IF(VLOOKUP(Table7[[#This Row],[Date]],Database!$A:$C,MATCH($C$1,Database!$A$1:$C$1,),)=0,#N/A,VLOOKUP(Table7[[#This Row],[Date]],Database!$A:$C,MATCH($C$1,Database!$A$1:$C$1,),))</f>
        <v/>
      </c>
      <c r="D6954">
        <f>IFERROR(Table7[[#This Row],[United States 10y]]-Table7[[#This Row],[United States 3y]],#N/A)</f>
        <v/>
      </c>
    </row>
    <row r="6955">
      <c r="A6955" s="6">
        <f>Database!$A9040</f>
        <v/>
      </c>
      <c r="B6955">
        <f>IF(VLOOKUP(Table7[[#This Row],[Date]],Database!$A:$C,MATCH($B$1,Database!$A$1:$C$1,),)=0,#N/A,VLOOKUP(Table7[[#This Row],[Date]],Database!$A:$C,MATCH($B$1,Database!$A$1:$C$1,),))</f>
        <v/>
      </c>
      <c r="C6955">
        <f>IF(VLOOKUP(Table7[[#This Row],[Date]],Database!$A:$C,MATCH($C$1,Database!$A$1:$C$1,),)=0,#N/A,VLOOKUP(Table7[[#This Row],[Date]],Database!$A:$C,MATCH($C$1,Database!$A$1:$C$1,),))</f>
        <v/>
      </c>
      <c r="D6955">
        <f>IFERROR(Table7[[#This Row],[United States 10y]]-Table7[[#This Row],[United States 3y]],#N/A)</f>
        <v/>
      </c>
    </row>
    <row r="6956">
      <c r="A6956" s="6">
        <f>Database!$A9041</f>
        <v/>
      </c>
      <c r="B6956">
        <f>IF(VLOOKUP(Table7[[#This Row],[Date]],Database!$A:$C,MATCH($B$1,Database!$A$1:$C$1,),)=0,#N/A,VLOOKUP(Table7[[#This Row],[Date]],Database!$A:$C,MATCH($B$1,Database!$A$1:$C$1,),))</f>
        <v/>
      </c>
      <c r="C6956">
        <f>IF(VLOOKUP(Table7[[#This Row],[Date]],Database!$A:$C,MATCH($C$1,Database!$A$1:$C$1,),)=0,#N/A,VLOOKUP(Table7[[#This Row],[Date]],Database!$A:$C,MATCH($C$1,Database!$A$1:$C$1,),))</f>
        <v/>
      </c>
      <c r="D6956">
        <f>IFERROR(Table7[[#This Row],[United States 10y]]-Table7[[#This Row],[United States 3y]],#N/A)</f>
        <v/>
      </c>
    </row>
    <row r="6957">
      <c r="A6957" s="6">
        <f>Database!$A9042</f>
        <v/>
      </c>
      <c r="B6957">
        <f>IF(VLOOKUP(Table7[[#This Row],[Date]],Database!$A:$C,MATCH($B$1,Database!$A$1:$C$1,),)=0,#N/A,VLOOKUP(Table7[[#This Row],[Date]],Database!$A:$C,MATCH($B$1,Database!$A$1:$C$1,),))</f>
        <v/>
      </c>
      <c r="C6957">
        <f>IF(VLOOKUP(Table7[[#This Row],[Date]],Database!$A:$C,MATCH($C$1,Database!$A$1:$C$1,),)=0,#N/A,VLOOKUP(Table7[[#This Row],[Date]],Database!$A:$C,MATCH($C$1,Database!$A$1:$C$1,),))</f>
        <v/>
      </c>
      <c r="D6957">
        <f>IFERROR(Table7[[#This Row],[United States 10y]]-Table7[[#This Row],[United States 3y]],#N/A)</f>
        <v/>
      </c>
    </row>
    <row r="6958">
      <c r="A6958" s="6">
        <f>Database!$A9043</f>
        <v/>
      </c>
      <c r="B6958">
        <f>IF(VLOOKUP(Table7[[#This Row],[Date]],Database!$A:$C,MATCH($B$1,Database!$A$1:$C$1,),)=0,#N/A,VLOOKUP(Table7[[#This Row],[Date]],Database!$A:$C,MATCH($B$1,Database!$A$1:$C$1,),))</f>
        <v/>
      </c>
      <c r="C6958">
        <f>IF(VLOOKUP(Table7[[#This Row],[Date]],Database!$A:$C,MATCH($C$1,Database!$A$1:$C$1,),)=0,#N/A,VLOOKUP(Table7[[#This Row],[Date]],Database!$A:$C,MATCH($C$1,Database!$A$1:$C$1,),))</f>
        <v/>
      </c>
      <c r="D6958">
        <f>IFERROR(Table7[[#This Row],[United States 10y]]-Table7[[#This Row],[United States 3y]],#N/A)</f>
        <v/>
      </c>
    </row>
    <row r="6959">
      <c r="A6959" s="6">
        <f>Database!$A9044</f>
        <v/>
      </c>
      <c r="B6959">
        <f>IF(VLOOKUP(Table7[[#This Row],[Date]],Database!$A:$C,MATCH($B$1,Database!$A$1:$C$1,),)=0,#N/A,VLOOKUP(Table7[[#This Row],[Date]],Database!$A:$C,MATCH($B$1,Database!$A$1:$C$1,),))</f>
        <v/>
      </c>
      <c r="C6959">
        <f>IF(VLOOKUP(Table7[[#This Row],[Date]],Database!$A:$C,MATCH($C$1,Database!$A$1:$C$1,),)=0,#N/A,VLOOKUP(Table7[[#This Row],[Date]],Database!$A:$C,MATCH($C$1,Database!$A$1:$C$1,),))</f>
        <v/>
      </c>
      <c r="D6959">
        <f>IFERROR(Table7[[#This Row],[United States 10y]]-Table7[[#This Row],[United States 3y]],#N/A)</f>
        <v/>
      </c>
    </row>
    <row r="6960">
      <c r="A6960" s="6">
        <f>Database!$A9045</f>
        <v/>
      </c>
      <c r="B6960">
        <f>IF(VLOOKUP(Table7[[#This Row],[Date]],Database!$A:$C,MATCH($B$1,Database!$A$1:$C$1,),)=0,#N/A,VLOOKUP(Table7[[#This Row],[Date]],Database!$A:$C,MATCH($B$1,Database!$A$1:$C$1,),))</f>
        <v/>
      </c>
      <c r="C6960">
        <f>IF(VLOOKUP(Table7[[#This Row],[Date]],Database!$A:$C,MATCH($C$1,Database!$A$1:$C$1,),)=0,#N/A,VLOOKUP(Table7[[#This Row],[Date]],Database!$A:$C,MATCH($C$1,Database!$A$1:$C$1,),))</f>
        <v/>
      </c>
      <c r="D6960">
        <f>IFERROR(Table7[[#This Row],[United States 10y]]-Table7[[#This Row],[United States 3y]],#N/A)</f>
        <v/>
      </c>
    </row>
    <row r="6961">
      <c r="A6961" s="6">
        <f>Database!$A9046</f>
        <v/>
      </c>
      <c r="B6961">
        <f>IF(VLOOKUP(Table7[[#This Row],[Date]],Database!$A:$C,MATCH($B$1,Database!$A$1:$C$1,),)=0,#N/A,VLOOKUP(Table7[[#This Row],[Date]],Database!$A:$C,MATCH($B$1,Database!$A$1:$C$1,),))</f>
        <v/>
      </c>
      <c r="C6961">
        <f>IF(VLOOKUP(Table7[[#This Row],[Date]],Database!$A:$C,MATCH($C$1,Database!$A$1:$C$1,),)=0,#N/A,VLOOKUP(Table7[[#This Row],[Date]],Database!$A:$C,MATCH($C$1,Database!$A$1:$C$1,),))</f>
        <v/>
      </c>
      <c r="D6961">
        <f>IFERROR(Table7[[#This Row],[United States 10y]]-Table7[[#This Row],[United States 3y]],#N/A)</f>
        <v/>
      </c>
    </row>
    <row r="6962">
      <c r="A6962" s="6">
        <f>Database!$A9047</f>
        <v/>
      </c>
      <c r="B6962">
        <f>IF(VLOOKUP(Table7[[#This Row],[Date]],Database!$A:$C,MATCH($B$1,Database!$A$1:$C$1,),)=0,#N/A,VLOOKUP(Table7[[#This Row],[Date]],Database!$A:$C,MATCH($B$1,Database!$A$1:$C$1,),))</f>
        <v/>
      </c>
      <c r="C6962">
        <f>IF(VLOOKUP(Table7[[#This Row],[Date]],Database!$A:$C,MATCH($C$1,Database!$A$1:$C$1,),)=0,#N/A,VLOOKUP(Table7[[#This Row],[Date]],Database!$A:$C,MATCH($C$1,Database!$A$1:$C$1,),))</f>
        <v/>
      </c>
      <c r="D6962">
        <f>IFERROR(Table7[[#This Row],[United States 10y]]-Table7[[#This Row],[United States 3y]],#N/A)</f>
        <v/>
      </c>
    </row>
    <row r="6963">
      <c r="A6963" s="6">
        <f>Database!$A9048</f>
        <v/>
      </c>
      <c r="B6963">
        <f>IF(VLOOKUP(Table7[[#This Row],[Date]],Database!$A:$C,MATCH($B$1,Database!$A$1:$C$1,),)=0,#N/A,VLOOKUP(Table7[[#This Row],[Date]],Database!$A:$C,MATCH($B$1,Database!$A$1:$C$1,),))</f>
        <v/>
      </c>
      <c r="C6963">
        <f>IF(VLOOKUP(Table7[[#This Row],[Date]],Database!$A:$C,MATCH($C$1,Database!$A$1:$C$1,),)=0,#N/A,VLOOKUP(Table7[[#This Row],[Date]],Database!$A:$C,MATCH($C$1,Database!$A$1:$C$1,),))</f>
        <v/>
      </c>
      <c r="D6963">
        <f>IFERROR(Table7[[#This Row],[United States 10y]]-Table7[[#This Row],[United States 3y]],#N/A)</f>
        <v/>
      </c>
    </row>
    <row r="6964">
      <c r="A6964" s="6">
        <f>Database!$A9049</f>
        <v/>
      </c>
      <c r="B6964">
        <f>IF(VLOOKUP(Table7[[#This Row],[Date]],Database!$A:$C,MATCH($B$1,Database!$A$1:$C$1,),)=0,#N/A,VLOOKUP(Table7[[#This Row],[Date]],Database!$A:$C,MATCH($B$1,Database!$A$1:$C$1,),))</f>
        <v/>
      </c>
      <c r="C6964">
        <f>IF(VLOOKUP(Table7[[#This Row],[Date]],Database!$A:$C,MATCH($C$1,Database!$A$1:$C$1,),)=0,#N/A,VLOOKUP(Table7[[#This Row],[Date]],Database!$A:$C,MATCH($C$1,Database!$A$1:$C$1,),))</f>
        <v/>
      </c>
      <c r="D6964">
        <f>IFERROR(Table7[[#This Row],[United States 10y]]-Table7[[#This Row],[United States 3y]],#N/A)</f>
        <v/>
      </c>
    </row>
    <row r="6965">
      <c r="A6965" s="6">
        <f>Database!$A9050</f>
        <v/>
      </c>
      <c r="B6965">
        <f>IF(VLOOKUP(Table7[[#This Row],[Date]],Database!$A:$C,MATCH($B$1,Database!$A$1:$C$1,),)=0,#N/A,VLOOKUP(Table7[[#This Row],[Date]],Database!$A:$C,MATCH($B$1,Database!$A$1:$C$1,),))</f>
        <v/>
      </c>
      <c r="C6965">
        <f>IF(VLOOKUP(Table7[[#This Row],[Date]],Database!$A:$C,MATCH($C$1,Database!$A$1:$C$1,),)=0,#N/A,VLOOKUP(Table7[[#This Row],[Date]],Database!$A:$C,MATCH($C$1,Database!$A$1:$C$1,),))</f>
        <v/>
      </c>
      <c r="D6965">
        <f>IFERROR(Table7[[#This Row],[United States 10y]]-Table7[[#This Row],[United States 3y]],#N/A)</f>
        <v/>
      </c>
    </row>
    <row r="6966">
      <c r="A6966" s="6">
        <f>Database!$A9051</f>
        <v/>
      </c>
      <c r="B6966">
        <f>IF(VLOOKUP(Table7[[#This Row],[Date]],Database!$A:$C,MATCH($B$1,Database!$A$1:$C$1,),)=0,#N/A,VLOOKUP(Table7[[#This Row],[Date]],Database!$A:$C,MATCH($B$1,Database!$A$1:$C$1,),))</f>
        <v/>
      </c>
      <c r="C6966">
        <f>IF(VLOOKUP(Table7[[#This Row],[Date]],Database!$A:$C,MATCH($C$1,Database!$A$1:$C$1,),)=0,#N/A,VLOOKUP(Table7[[#This Row],[Date]],Database!$A:$C,MATCH($C$1,Database!$A$1:$C$1,),))</f>
        <v/>
      </c>
      <c r="D6966">
        <f>IFERROR(Table7[[#This Row],[United States 10y]]-Table7[[#This Row],[United States 3y]],#N/A)</f>
        <v/>
      </c>
    </row>
    <row r="6967">
      <c r="A6967" s="6">
        <f>Database!$A9052</f>
        <v/>
      </c>
      <c r="B6967">
        <f>IF(VLOOKUP(Table7[[#This Row],[Date]],Database!$A:$C,MATCH($B$1,Database!$A$1:$C$1,),)=0,#N/A,VLOOKUP(Table7[[#This Row],[Date]],Database!$A:$C,MATCH($B$1,Database!$A$1:$C$1,),))</f>
        <v/>
      </c>
      <c r="C6967">
        <f>IF(VLOOKUP(Table7[[#This Row],[Date]],Database!$A:$C,MATCH($C$1,Database!$A$1:$C$1,),)=0,#N/A,VLOOKUP(Table7[[#This Row],[Date]],Database!$A:$C,MATCH($C$1,Database!$A$1:$C$1,),))</f>
        <v/>
      </c>
      <c r="D6967">
        <f>IFERROR(Table7[[#This Row],[United States 10y]]-Table7[[#This Row],[United States 3y]],#N/A)</f>
        <v/>
      </c>
    </row>
    <row r="6968">
      <c r="A6968" s="6">
        <f>Database!$A9053</f>
        <v/>
      </c>
      <c r="B6968">
        <f>IF(VLOOKUP(Table7[[#This Row],[Date]],Database!$A:$C,MATCH($B$1,Database!$A$1:$C$1,),)=0,#N/A,VLOOKUP(Table7[[#This Row],[Date]],Database!$A:$C,MATCH($B$1,Database!$A$1:$C$1,),))</f>
        <v/>
      </c>
      <c r="C6968">
        <f>IF(VLOOKUP(Table7[[#This Row],[Date]],Database!$A:$C,MATCH($C$1,Database!$A$1:$C$1,),)=0,#N/A,VLOOKUP(Table7[[#This Row],[Date]],Database!$A:$C,MATCH($C$1,Database!$A$1:$C$1,),))</f>
        <v/>
      </c>
      <c r="D6968">
        <f>IFERROR(Table7[[#This Row],[United States 10y]]-Table7[[#This Row],[United States 3y]],#N/A)</f>
        <v/>
      </c>
    </row>
    <row r="6969">
      <c r="A6969" s="6">
        <f>Database!$A9054</f>
        <v/>
      </c>
      <c r="B6969">
        <f>IF(VLOOKUP(Table7[[#This Row],[Date]],Database!$A:$C,MATCH($B$1,Database!$A$1:$C$1,),)=0,#N/A,VLOOKUP(Table7[[#This Row],[Date]],Database!$A:$C,MATCH($B$1,Database!$A$1:$C$1,),))</f>
        <v/>
      </c>
      <c r="C6969">
        <f>IF(VLOOKUP(Table7[[#This Row],[Date]],Database!$A:$C,MATCH($C$1,Database!$A$1:$C$1,),)=0,#N/A,VLOOKUP(Table7[[#This Row],[Date]],Database!$A:$C,MATCH($C$1,Database!$A$1:$C$1,),))</f>
        <v/>
      </c>
      <c r="D6969">
        <f>IFERROR(Table7[[#This Row],[United States 10y]]-Table7[[#This Row],[United States 3y]],#N/A)</f>
        <v/>
      </c>
    </row>
    <row r="6970">
      <c r="A6970" s="6">
        <f>Database!$A9055</f>
        <v/>
      </c>
      <c r="B6970">
        <f>IF(VLOOKUP(Table7[[#This Row],[Date]],Database!$A:$C,MATCH($B$1,Database!$A$1:$C$1,),)=0,#N/A,VLOOKUP(Table7[[#This Row],[Date]],Database!$A:$C,MATCH($B$1,Database!$A$1:$C$1,),))</f>
        <v/>
      </c>
      <c r="C6970">
        <f>IF(VLOOKUP(Table7[[#This Row],[Date]],Database!$A:$C,MATCH($C$1,Database!$A$1:$C$1,),)=0,#N/A,VLOOKUP(Table7[[#This Row],[Date]],Database!$A:$C,MATCH($C$1,Database!$A$1:$C$1,),))</f>
        <v/>
      </c>
      <c r="D6970">
        <f>IFERROR(Table7[[#This Row],[United States 10y]]-Table7[[#This Row],[United States 3y]],#N/A)</f>
        <v/>
      </c>
    </row>
    <row r="6971">
      <c r="A6971" s="6">
        <f>Database!$A9056</f>
        <v/>
      </c>
      <c r="B6971">
        <f>IF(VLOOKUP(Table7[[#This Row],[Date]],Database!$A:$C,MATCH($B$1,Database!$A$1:$C$1,),)=0,#N/A,VLOOKUP(Table7[[#This Row],[Date]],Database!$A:$C,MATCH($B$1,Database!$A$1:$C$1,),))</f>
        <v/>
      </c>
      <c r="C6971">
        <f>IF(VLOOKUP(Table7[[#This Row],[Date]],Database!$A:$C,MATCH($C$1,Database!$A$1:$C$1,),)=0,#N/A,VLOOKUP(Table7[[#This Row],[Date]],Database!$A:$C,MATCH($C$1,Database!$A$1:$C$1,),))</f>
        <v/>
      </c>
      <c r="D6971">
        <f>IFERROR(Table7[[#This Row],[United States 10y]]-Table7[[#This Row],[United States 3y]],#N/A)</f>
        <v/>
      </c>
    </row>
    <row r="6972">
      <c r="A6972" s="6">
        <f>Database!$A9057</f>
        <v/>
      </c>
      <c r="B6972">
        <f>IF(VLOOKUP(Table7[[#This Row],[Date]],Database!$A:$C,MATCH($B$1,Database!$A$1:$C$1,),)=0,#N/A,VLOOKUP(Table7[[#This Row],[Date]],Database!$A:$C,MATCH($B$1,Database!$A$1:$C$1,),))</f>
        <v/>
      </c>
      <c r="C6972">
        <f>IF(VLOOKUP(Table7[[#This Row],[Date]],Database!$A:$C,MATCH($C$1,Database!$A$1:$C$1,),)=0,#N/A,VLOOKUP(Table7[[#This Row],[Date]],Database!$A:$C,MATCH($C$1,Database!$A$1:$C$1,),))</f>
        <v/>
      </c>
      <c r="D6972">
        <f>IFERROR(Table7[[#This Row],[United States 10y]]-Table7[[#This Row],[United States 3y]],#N/A)</f>
        <v/>
      </c>
    </row>
    <row r="6973">
      <c r="A6973" s="6">
        <f>Database!$A9058</f>
        <v/>
      </c>
      <c r="B6973">
        <f>IF(VLOOKUP(Table7[[#This Row],[Date]],Database!$A:$C,MATCH($B$1,Database!$A$1:$C$1,),)=0,#N/A,VLOOKUP(Table7[[#This Row],[Date]],Database!$A:$C,MATCH($B$1,Database!$A$1:$C$1,),))</f>
        <v/>
      </c>
      <c r="C6973">
        <f>IF(VLOOKUP(Table7[[#This Row],[Date]],Database!$A:$C,MATCH($C$1,Database!$A$1:$C$1,),)=0,#N/A,VLOOKUP(Table7[[#This Row],[Date]],Database!$A:$C,MATCH($C$1,Database!$A$1:$C$1,),))</f>
        <v/>
      </c>
      <c r="D6973">
        <f>IFERROR(Table7[[#This Row],[United States 10y]]-Table7[[#This Row],[United States 3y]],#N/A)</f>
        <v/>
      </c>
    </row>
    <row r="6974">
      <c r="A6974" s="6">
        <f>Database!$A9059</f>
        <v/>
      </c>
      <c r="B6974">
        <f>IF(VLOOKUP(Table7[[#This Row],[Date]],Database!$A:$C,MATCH($B$1,Database!$A$1:$C$1,),)=0,#N/A,VLOOKUP(Table7[[#This Row],[Date]],Database!$A:$C,MATCH($B$1,Database!$A$1:$C$1,),))</f>
        <v/>
      </c>
      <c r="C6974">
        <f>IF(VLOOKUP(Table7[[#This Row],[Date]],Database!$A:$C,MATCH($C$1,Database!$A$1:$C$1,),)=0,#N/A,VLOOKUP(Table7[[#This Row],[Date]],Database!$A:$C,MATCH($C$1,Database!$A$1:$C$1,),))</f>
        <v/>
      </c>
      <c r="D6974">
        <f>IFERROR(Table7[[#This Row],[United States 10y]]-Table7[[#This Row],[United States 3y]],#N/A)</f>
        <v/>
      </c>
    </row>
    <row r="6975">
      <c r="A6975" s="6">
        <f>Database!$A9060</f>
        <v/>
      </c>
      <c r="B6975">
        <f>IF(VLOOKUP(Table7[[#This Row],[Date]],Database!$A:$C,MATCH($B$1,Database!$A$1:$C$1,),)=0,#N/A,VLOOKUP(Table7[[#This Row],[Date]],Database!$A:$C,MATCH($B$1,Database!$A$1:$C$1,),))</f>
        <v/>
      </c>
      <c r="C6975">
        <f>IF(VLOOKUP(Table7[[#This Row],[Date]],Database!$A:$C,MATCH($C$1,Database!$A$1:$C$1,),)=0,#N/A,VLOOKUP(Table7[[#This Row],[Date]],Database!$A:$C,MATCH($C$1,Database!$A$1:$C$1,),))</f>
        <v/>
      </c>
      <c r="D6975">
        <f>IFERROR(Table7[[#This Row],[United States 10y]]-Table7[[#This Row],[United States 3y]],#N/A)</f>
        <v/>
      </c>
    </row>
    <row r="6976">
      <c r="A6976" s="6">
        <f>Database!$A9061</f>
        <v/>
      </c>
      <c r="B6976">
        <f>IF(VLOOKUP(Table7[[#This Row],[Date]],Database!$A:$C,MATCH($B$1,Database!$A$1:$C$1,),)=0,#N/A,VLOOKUP(Table7[[#This Row],[Date]],Database!$A:$C,MATCH($B$1,Database!$A$1:$C$1,),))</f>
        <v/>
      </c>
      <c r="C6976">
        <f>IF(VLOOKUP(Table7[[#This Row],[Date]],Database!$A:$C,MATCH($C$1,Database!$A$1:$C$1,),)=0,#N/A,VLOOKUP(Table7[[#This Row],[Date]],Database!$A:$C,MATCH($C$1,Database!$A$1:$C$1,),))</f>
        <v/>
      </c>
      <c r="D6976">
        <f>IFERROR(Table7[[#This Row],[United States 10y]]-Table7[[#This Row],[United States 3y]],#N/A)</f>
        <v/>
      </c>
    </row>
    <row r="6977">
      <c r="A6977" s="6">
        <f>Database!$A9062</f>
        <v/>
      </c>
      <c r="B6977">
        <f>IF(VLOOKUP(Table7[[#This Row],[Date]],Database!$A:$C,MATCH($B$1,Database!$A$1:$C$1,),)=0,#N/A,VLOOKUP(Table7[[#This Row],[Date]],Database!$A:$C,MATCH($B$1,Database!$A$1:$C$1,),))</f>
        <v/>
      </c>
      <c r="C6977">
        <f>IF(VLOOKUP(Table7[[#This Row],[Date]],Database!$A:$C,MATCH($C$1,Database!$A$1:$C$1,),)=0,#N/A,VLOOKUP(Table7[[#This Row],[Date]],Database!$A:$C,MATCH($C$1,Database!$A$1:$C$1,),))</f>
        <v/>
      </c>
      <c r="D6977">
        <f>IFERROR(Table7[[#This Row],[United States 10y]]-Table7[[#This Row],[United States 3y]],#N/A)</f>
        <v/>
      </c>
    </row>
    <row r="6978">
      <c r="A6978" s="6">
        <f>Database!$A9063</f>
        <v/>
      </c>
      <c r="B6978">
        <f>IF(VLOOKUP(Table7[[#This Row],[Date]],Database!$A:$C,MATCH($B$1,Database!$A$1:$C$1,),)=0,#N/A,VLOOKUP(Table7[[#This Row],[Date]],Database!$A:$C,MATCH($B$1,Database!$A$1:$C$1,),))</f>
        <v/>
      </c>
      <c r="C6978">
        <f>IF(VLOOKUP(Table7[[#This Row],[Date]],Database!$A:$C,MATCH($C$1,Database!$A$1:$C$1,),)=0,#N/A,VLOOKUP(Table7[[#This Row],[Date]],Database!$A:$C,MATCH($C$1,Database!$A$1:$C$1,),))</f>
        <v/>
      </c>
      <c r="D6978">
        <f>IFERROR(Table7[[#This Row],[United States 10y]]-Table7[[#This Row],[United States 3y]],#N/A)</f>
        <v/>
      </c>
    </row>
    <row r="6979">
      <c r="A6979" s="6">
        <f>Database!$A9064</f>
        <v/>
      </c>
      <c r="B6979">
        <f>IF(VLOOKUP(Table7[[#This Row],[Date]],Database!$A:$C,MATCH($B$1,Database!$A$1:$C$1,),)=0,#N/A,VLOOKUP(Table7[[#This Row],[Date]],Database!$A:$C,MATCH($B$1,Database!$A$1:$C$1,),))</f>
        <v/>
      </c>
      <c r="C6979">
        <f>IF(VLOOKUP(Table7[[#This Row],[Date]],Database!$A:$C,MATCH($C$1,Database!$A$1:$C$1,),)=0,#N/A,VLOOKUP(Table7[[#This Row],[Date]],Database!$A:$C,MATCH($C$1,Database!$A$1:$C$1,),))</f>
        <v/>
      </c>
      <c r="D6979">
        <f>IFERROR(Table7[[#This Row],[United States 10y]]-Table7[[#This Row],[United States 3y]],#N/A)</f>
        <v/>
      </c>
    </row>
    <row r="6980">
      <c r="A6980" s="6">
        <f>Database!$A9065</f>
        <v/>
      </c>
      <c r="B6980">
        <f>IF(VLOOKUP(Table7[[#This Row],[Date]],Database!$A:$C,MATCH($B$1,Database!$A$1:$C$1,),)=0,#N/A,VLOOKUP(Table7[[#This Row],[Date]],Database!$A:$C,MATCH($B$1,Database!$A$1:$C$1,),))</f>
        <v/>
      </c>
      <c r="C6980">
        <f>IF(VLOOKUP(Table7[[#This Row],[Date]],Database!$A:$C,MATCH($C$1,Database!$A$1:$C$1,),)=0,#N/A,VLOOKUP(Table7[[#This Row],[Date]],Database!$A:$C,MATCH($C$1,Database!$A$1:$C$1,),))</f>
        <v/>
      </c>
      <c r="D6980">
        <f>IFERROR(Table7[[#This Row],[United States 10y]]-Table7[[#This Row],[United States 3y]],#N/A)</f>
        <v/>
      </c>
    </row>
    <row r="6981">
      <c r="A6981" s="6">
        <f>Database!$A9066</f>
        <v/>
      </c>
      <c r="B6981">
        <f>IF(VLOOKUP(Table7[[#This Row],[Date]],Database!$A:$C,MATCH($B$1,Database!$A$1:$C$1,),)=0,#N/A,VLOOKUP(Table7[[#This Row],[Date]],Database!$A:$C,MATCH($B$1,Database!$A$1:$C$1,),))</f>
        <v/>
      </c>
      <c r="C6981">
        <f>IF(VLOOKUP(Table7[[#This Row],[Date]],Database!$A:$C,MATCH($C$1,Database!$A$1:$C$1,),)=0,#N/A,VLOOKUP(Table7[[#This Row],[Date]],Database!$A:$C,MATCH($C$1,Database!$A$1:$C$1,),))</f>
        <v/>
      </c>
      <c r="D6981">
        <f>IFERROR(Table7[[#This Row],[United States 10y]]-Table7[[#This Row],[United States 3y]],#N/A)</f>
        <v/>
      </c>
    </row>
    <row r="6982">
      <c r="A6982" s="6">
        <f>Database!$A9067</f>
        <v/>
      </c>
      <c r="B6982">
        <f>IF(VLOOKUP(Table7[[#This Row],[Date]],Database!$A:$C,MATCH($B$1,Database!$A$1:$C$1,),)=0,#N/A,VLOOKUP(Table7[[#This Row],[Date]],Database!$A:$C,MATCH($B$1,Database!$A$1:$C$1,),))</f>
        <v/>
      </c>
      <c r="C6982">
        <f>IF(VLOOKUP(Table7[[#This Row],[Date]],Database!$A:$C,MATCH($C$1,Database!$A$1:$C$1,),)=0,#N/A,VLOOKUP(Table7[[#This Row],[Date]],Database!$A:$C,MATCH($C$1,Database!$A$1:$C$1,),))</f>
        <v/>
      </c>
      <c r="D6982">
        <f>IFERROR(Table7[[#This Row],[United States 10y]]-Table7[[#This Row],[United States 3y]],#N/A)</f>
        <v/>
      </c>
    </row>
    <row r="6983">
      <c r="A6983" s="6">
        <f>Database!$A9068</f>
        <v/>
      </c>
      <c r="B6983">
        <f>IF(VLOOKUP(Table7[[#This Row],[Date]],Database!$A:$C,MATCH($B$1,Database!$A$1:$C$1,),)=0,#N/A,VLOOKUP(Table7[[#This Row],[Date]],Database!$A:$C,MATCH($B$1,Database!$A$1:$C$1,),))</f>
        <v/>
      </c>
      <c r="C6983">
        <f>IF(VLOOKUP(Table7[[#This Row],[Date]],Database!$A:$C,MATCH($C$1,Database!$A$1:$C$1,),)=0,#N/A,VLOOKUP(Table7[[#This Row],[Date]],Database!$A:$C,MATCH($C$1,Database!$A$1:$C$1,),))</f>
        <v/>
      </c>
      <c r="D6983">
        <f>IFERROR(Table7[[#This Row],[United States 10y]]-Table7[[#This Row],[United States 3y]],#N/A)</f>
        <v/>
      </c>
    </row>
    <row r="6984">
      <c r="A6984" s="6">
        <f>Database!$A9069</f>
        <v/>
      </c>
      <c r="B6984">
        <f>IF(VLOOKUP(Table7[[#This Row],[Date]],Database!$A:$C,MATCH($B$1,Database!$A$1:$C$1,),)=0,#N/A,VLOOKUP(Table7[[#This Row],[Date]],Database!$A:$C,MATCH($B$1,Database!$A$1:$C$1,),))</f>
        <v/>
      </c>
      <c r="C6984">
        <f>IF(VLOOKUP(Table7[[#This Row],[Date]],Database!$A:$C,MATCH($C$1,Database!$A$1:$C$1,),)=0,#N/A,VLOOKUP(Table7[[#This Row],[Date]],Database!$A:$C,MATCH($C$1,Database!$A$1:$C$1,),))</f>
        <v/>
      </c>
      <c r="D6984">
        <f>IFERROR(Table7[[#This Row],[United States 10y]]-Table7[[#This Row],[United States 3y]],#N/A)</f>
        <v/>
      </c>
    </row>
    <row r="6985">
      <c r="A6985" s="6">
        <f>Database!$A9070</f>
        <v/>
      </c>
      <c r="B6985">
        <f>IF(VLOOKUP(Table7[[#This Row],[Date]],Database!$A:$C,MATCH($B$1,Database!$A$1:$C$1,),)=0,#N/A,VLOOKUP(Table7[[#This Row],[Date]],Database!$A:$C,MATCH($B$1,Database!$A$1:$C$1,),))</f>
        <v/>
      </c>
      <c r="C6985">
        <f>IF(VLOOKUP(Table7[[#This Row],[Date]],Database!$A:$C,MATCH($C$1,Database!$A$1:$C$1,),)=0,#N/A,VLOOKUP(Table7[[#This Row],[Date]],Database!$A:$C,MATCH($C$1,Database!$A$1:$C$1,),))</f>
        <v/>
      </c>
      <c r="D6985">
        <f>IFERROR(Table7[[#This Row],[United States 10y]]-Table7[[#This Row],[United States 3y]],#N/A)</f>
        <v/>
      </c>
    </row>
    <row r="6986">
      <c r="A6986" s="6">
        <f>Database!$A9071</f>
        <v/>
      </c>
      <c r="B6986">
        <f>IF(VLOOKUP(Table7[[#This Row],[Date]],Database!$A:$C,MATCH($B$1,Database!$A$1:$C$1,),)=0,#N/A,VLOOKUP(Table7[[#This Row],[Date]],Database!$A:$C,MATCH($B$1,Database!$A$1:$C$1,),))</f>
        <v/>
      </c>
      <c r="C6986">
        <f>IF(VLOOKUP(Table7[[#This Row],[Date]],Database!$A:$C,MATCH($C$1,Database!$A$1:$C$1,),)=0,#N/A,VLOOKUP(Table7[[#This Row],[Date]],Database!$A:$C,MATCH($C$1,Database!$A$1:$C$1,),))</f>
        <v/>
      </c>
      <c r="D6986">
        <f>IFERROR(Table7[[#This Row],[United States 10y]]-Table7[[#This Row],[United States 3y]],#N/A)</f>
        <v/>
      </c>
    </row>
    <row r="6987">
      <c r="A6987" s="6">
        <f>Database!$A9072</f>
        <v/>
      </c>
      <c r="B6987">
        <f>IF(VLOOKUP(Table7[[#This Row],[Date]],Database!$A:$C,MATCH($B$1,Database!$A$1:$C$1,),)=0,#N/A,VLOOKUP(Table7[[#This Row],[Date]],Database!$A:$C,MATCH($B$1,Database!$A$1:$C$1,),))</f>
        <v/>
      </c>
      <c r="C6987">
        <f>IF(VLOOKUP(Table7[[#This Row],[Date]],Database!$A:$C,MATCH($C$1,Database!$A$1:$C$1,),)=0,#N/A,VLOOKUP(Table7[[#This Row],[Date]],Database!$A:$C,MATCH($C$1,Database!$A$1:$C$1,),))</f>
        <v/>
      </c>
      <c r="D6987">
        <f>IFERROR(Table7[[#This Row],[United States 10y]]-Table7[[#This Row],[United States 3y]],#N/A)</f>
        <v/>
      </c>
    </row>
    <row r="6988">
      <c r="A6988" s="6">
        <f>Database!$A9073</f>
        <v/>
      </c>
      <c r="B6988">
        <f>IF(VLOOKUP(Table7[[#This Row],[Date]],Database!$A:$C,MATCH($B$1,Database!$A$1:$C$1,),)=0,#N/A,VLOOKUP(Table7[[#This Row],[Date]],Database!$A:$C,MATCH($B$1,Database!$A$1:$C$1,),))</f>
        <v/>
      </c>
      <c r="C6988">
        <f>IF(VLOOKUP(Table7[[#This Row],[Date]],Database!$A:$C,MATCH($C$1,Database!$A$1:$C$1,),)=0,#N/A,VLOOKUP(Table7[[#This Row],[Date]],Database!$A:$C,MATCH($C$1,Database!$A$1:$C$1,),))</f>
        <v/>
      </c>
      <c r="D6988">
        <f>IFERROR(Table7[[#This Row],[United States 10y]]-Table7[[#This Row],[United States 3y]],#N/A)</f>
        <v/>
      </c>
    </row>
    <row r="6989">
      <c r="A6989" s="6">
        <f>Database!$A9074</f>
        <v/>
      </c>
      <c r="B6989">
        <f>IF(VLOOKUP(Table7[[#This Row],[Date]],Database!$A:$C,MATCH($B$1,Database!$A$1:$C$1,),)=0,#N/A,VLOOKUP(Table7[[#This Row],[Date]],Database!$A:$C,MATCH($B$1,Database!$A$1:$C$1,),))</f>
        <v/>
      </c>
      <c r="C6989">
        <f>IF(VLOOKUP(Table7[[#This Row],[Date]],Database!$A:$C,MATCH($C$1,Database!$A$1:$C$1,),)=0,#N/A,VLOOKUP(Table7[[#This Row],[Date]],Database!$A:$C,MATCH($C$1,Database!$A$1:$C$1,),))</f>
        <v/>
      </c>
      <c r="D6989">
        <f>IFERROR(Table7[[#This Row],[United States 10y]]-Table7[[#This Row],[United States 3y]],#N/A)</f>
        <v/>
      </c>
    </row>
    <row r="6990">
      <c r="A6990" s="6">
        <f>Database!$A9075</f>
        <v/>
      </c>
      <c r="B6990">
        <f>IF(VLOOKUP(Table7[[#This Row],[Date]],Database!$A:$C,MATCH($B$1,Database!$A$1:$C$1,),)=0,#N/A,VLOOKUP(Table7[[#This Row],[Date]],Database!$A:$C,MATCH($B$1,Database!$A$1:$C$1,),))</f>
        <v/>
      </c>
      <c r="C6990">
        <f>IF(VLOOKUP(Table7[[#This Row],[Date]],Database!$A:$C,MATCH($C$1,Database!$A$1:$C$1,),)=0,#N/A,VLOOKUP(Table7[[#This Row],[Date]],Database!$A:$C,MATCH($C$1,Database!$A$1:$C$1,),))</f>
        <v/>
      </c>
      <c r="D6990">
        <f>IFERROR(Table7[[#This Row],[United States 10y]]-Table7[[#This Row],[United States 3y]],#N/A)</f>
        <v/>
      </c>
    </row>
    <row r="6991">
      <c r="A6991" s="6">
        <f>Database!$A9076</f>
        <v/>
      </c>
      <c r="B6991">
        <f>IF(VLOOKUP(Table7[[#This Row],[Date]],Database!$A:$C,MATCH($B$1,Database!$A$1:$C$1,),)=0,#N/A,VLOOKUP(Table7[[#This Row],[Date]],Database!$A:$C,MATCH($B$1,Database!$A$1:$C$1,),))</f>
        <v/>
      </c>
      <c r="C6991">
        <f>IF(VLOOKUP(Table7[[#This Row],[Date]],Database!$A:$C,MATCH($C$1,Database!$A$1:$C$1,),)=0,#N/A,VLOOKUP(Table7[[#This Row],[Date]],Database!$A:$C,MATCH($C$1,Database!$A$1:$C$1,),))</f>
        <v/>
      </c>
      <c r="D6991">
        <f>IFERROR(Table7[[#This Row],[United States 10y]]-Table7[[#This Row],[United States 3y]],#N/A)</f>
        <v/>
      </c>
    </row>
    <row r="6992">
      <c r="A6992" s="6">
        <f>Database!$A9077</f>
        <v/>
      </c>
      <c r="B6992">
        <f>IF(VLOOKUP(Table7[[#This Row],[Date]],Database!$A:$C,MATCH($B$1,Database!$A$1:$C$1,),)=0,#N/A,VLOOKUP(Table7[[#This Row],[Date]],Database!$A:$C,MATCH($B$1,Database!$A$1:$C$1,),))</f>
        <v/>
      </c>
      <c r="C6992">
        <f>IF(VLOOKUP(Table7[[#This Row],[Date]],Database!$A:$C,MATCH($C$1,Database!$A$1:$C$1,),)=0,#N/A,VLOOKUP(Table7[[#This Row],[Date]],Database!$A:$C,MATCH($C$1,Database!$A$1:$C$1,),))</f>
        <v/>
      </c>
      <c r="D6992">
        <f>IFERROR(Table7[[#This Row],[United States 10y]]-Table7[[#This Row],[United States 3y]],#N/A)</f>
        <v/>
      </c>
    </row>
    <row r="6993">
      <c r="A6993" s="6">
        <f>Database!$A9078</f>
        <v/>
      </c>
      <c r="B6993">
        <f>IF(VLOOKUP(Table7[[#This Row],[Date]],Database!$A:$C,MATCH($B$1,Database!$A$1:$C$1,),)=0,#N/A,VLOOKUP(Table7[[#This Row],[Date]],Database!$A:$C,MATCH($B$1,Database!$A$1:$C$1,),))</f>
        <v/>
      </c>
      <c r="C6993">
        <f>IF(VLOOKUP(Table7[[#This Row],[Date]],Database!$A:$C,MATCH($C$1,Database!$A$1:$C$1,),)=0,#N/A,VLOOKUP(Table7[[#This Row],[Date]],Database!$A:$C,MATCH($C$1,Database!$A$1:$C$1,),))</f>
        <v/>
      </c>
      <c r="D6993">
        <f>IFERROR(Table7[[#This Row],[United States 10y]]-Table7[[#This Row],[United States 3y]],#N/A)</f>
        <v/>
      </c>
    </row>
    <row r="6994">
      <c r="A6994" s="6">
        <f>Database!$A9079</f>
        <v/>
      </c>
      <c r="B6994">
        <f>IF(VLOOKUP(Table7[[#This Row],[Date]],Database!$A:$C,MATCH($B$1,Database!$A$1:$C$1,),)=0,#N/A,VLOOKUP(Table7[[#This Row],[Date]],Database!$A:$C,MATCH($B$1,Database!$A$1:$C$1,),))</f>
        <v/>
      </c>
      <c r="C6994">
        <f>IF(VLOOKUP(Table7[[#This Row],[Date]],Database!$A:$C,MATCH($C$1,Database!$A$1:$C$1,),)=0,#N/A,VLOOKUP(Table7[[#This Row],[Date]],Database!$A:$C,MATCH($C$1,Database!$A$1:$C$1,),))</f>
        <v/>
      </c>
      <c r="D6994">
        <f>IFERROR(Table7[[#This Row],[United States 10y]]-Table7[[#This Row],[United States 3y]],#N/A)</f>
        <v/>
      </c>
    </row>
    <row r="6995">
      <c r="A6995" s="6">
        <f>Database!$A9080</f>
        <v/>
      </c>
      <c r="B6995">
        <f>IF(VLOOKUP(Table7[[#This Row],[Date]],Database!$A:$C,MATCH($B$1,Database!$A$1:$C$1,),)=0,#N/A,VLOOKUP(Table7[[#This Row],[Date]],Database!$A:$C,MATCH($B$1,Database!$A$1:$C$1,),))</f>
        <v/>
      </c>
      <c r="C6995">
        <f>IF(VLOOKUP(Table7[[#This Row],[Date]],Database!$A:$C,MATCH($C$1,Database!$A$1:$C$1,),)=0,#N/A,VLOOKUP(Table7[[#This Row],[Date]],Database!$A:$C,MATCH($C$1,Database!$A$1:$C$1,),))</f>
        <v/>
      </c>
      <c r="D6995">
        <f>IFERROR(Table7[[#This Row],[United States 10y]]-Table7[[#This Row],[United States 3y]],#N/A)</f>
        <v/>
      </c>
    </row>
    <row r="6996">
      <c r="A6996" s="6">
        <f>Database!$A9081</f>
        <v/>
      </c>
      <c r="B6996">
        <f>IF(VLOOKUP(Table7[[#This Row],[Date]],Database!$A:$C,MATCH($B$1,Database!$A$1:$C$1,),)=0,#N/A,VLOOKUP(Table7[[#This Row],[Date]],Database!$A:$C,MATCH($B$1,Database!$A$1:$C$1,),))</f>
        <v/>
      </c>
      <c r="C6996">
        <f>IF(VLOOKUP(Table7[[#This Row],[Date]],Database!$A:$C,MATCH($C$1,Database!$A$1:$C$1,),)=0,#N/A,VLOOKUP(Table7[[#This Row],[Date]],Database!$A:$C,MATCH($C$1,Database!$A$1:$C$1,),))</f>
        <v/>
      </c>
      <c r="D6996">
        <f>IFERROR(Table7[[#This Row],[United States 10y]]-Table7[[#This Row],[United States 3y]],#N/A)</f>
        <v/>
      </c>
    </row>
    <row r="6997">
      <c r="A6997" s="6">
        <f>Database!$A9082</f>
        <v/>
      </c>
      <c r="B6997">
        <f>IF(VLOOKUP(Table7[[#This Row],[Date]],Database!$A:$C,MATCH($B$1,Database!$A$1:$C$1,),)=0,#N/A,VLOOKUP(Table7[[#This Row],[Date]],Database!$A:$C,MATCH($B$1,Database!$A$1:$C$1,),))</f>
        <v/>
      </c>
      <c r="C6997">
        <f>IF(VLOOKUP(Table7[[#This Row],[Date]],Database!$A:$C,MATCH($C$1,Database!$A$1:$C$1,),)=0,#N/A,VLOOKUP(Table7[[#This Row],[Date]],Database!$A:$C,MATCH($C$1,Database!$A$1:$C$1,),))</f>
        <v/>
      </c>
      <c r="D6997">
        <f>IFERROR(Table7[[#This Row],[United States 10y]]-Table7[[#This Row],[United States 3y]],#N/A)</f>
        <v/>
      </c>
    </row>
    <row r="6998">
      <c r="A6998" s="6">
        <f>Database!$A9083</f>
        <v/>
      </c>
      <c r="B6998">
        <f>IF(VLOOKUP(Table7[[#This Row],[Date]],Database!$A:$C,MATCH($B$1,Database!$A$1:$C$1,),)=0,#N/A,VLOOKUP(Table7[[#This Row],[Date]],Database!$A:$C,MATCH($B$1,Database!$A$1:$C$1,),))</f>
        <v/>
      </c>
      <c r="C6998">
        <f>IF(VLOOKUP(Table7[[#This Row],[Date]],Database!$A:$C,MATCH($C$1,Database!$A$1:$C$1,),)=0,#N/A,VLOOKUP(Table7[[#This Row],[Date]],Database!$A:$C,MATCH($C$1,Database!$A$1:$C$1,),))</f>
        <v/>
      </c>
      <c r="D6998">
        <f>IFERROR(Table7[[#This Row],[United States 10y]]-Table7[[#This Row],[United States 3y]],#N/A)</f>
        <v/>
      </c>
    </row>
    <row r="6999">
      <c r="A6999" s="6">
        <f>Database!$A9084</f>
        <v/>
      </c>
      <c r="B6999">
        <f>IF(VLOOKUP(Table7[[#This Row],[Date]],Database!$A:$C,MATCH($B$1,Database!$A$1:$C$1,),)=0,#N/A,VLOOKUP(Table7[[#This Row],[Date]],Database!$A:$C,MATCH($B$1,Database!$A$1:$C$1,),))</f>
        <v/>
      </c>
      <c r="C6999">
        <f>IF(VLOOKUP(Table7[[#This Row],[Date]],Database!$A:$C,MATCH($C$1,Database!$A$1:$C$1,),)=0,#N/A,VLOOKUP(Table7[[#This Row],[Date]],Database!$A:$C,MATCH($C$1,Database!$A$1:$C$1,),))</f>
        <v/>
      </c>
      <c r="D6999">
        <f>IFERROR(Table7[[#This Row],[United States 10y]]-Table7[[#This Row],[United States 3y]],#N/A)</f>
        <v/>
      </c>
    </row>
    <row r="7000">
      <c r="A7000" s="6">
        <f>Database!$A9085</f>
        <v/>
      </c>
      <c r="B7000">
        <f>IF(VLOOKUP(Table7[[#This Row],[Date]],Database!$A:$C,MATCH($B$1,Database!$A$1:$C$1,),)=0,#N/A,VLOOKUP(Table7[[#This Row],[Date]],Database!$A:$C,MATCH($B$1,Database!$A$1:$C$1,),))</f>
        <v/>
      </c>
      <c r="C7000">
        <f>IF(VLOOKUP(Table7[[#This Row],[Date]],Database!$A:$C,MATCH($C$1,Database!$A$1:$C$1,),)=0,#N/A,VLOOKUP(Table7[[#This Row],[Date]],Database!$A:$C,MATCH($C$1,Database!$A$1:$C$1,),))</f>
        <v/>
      </c>
      <c r="D7000">
        <f>IFERROR(Table7[[#This Row],[United States 10y]]-Table7[[#This Row],[United States 3y]],#N/A)</f>
        <v/>
      </c>
    </row>
    <row r="7001">
      <c r="A7001" s="6">
        <f>Database!$A9086</f>
        <v/>
      </c>
      <c r="B7001">
        <f>IF(VLOOKUP(Table7[[#This Row],[Date]],Database!$A:$C,MATCH($B$1,Database!$A$1:$C$1,),)=0,#N/A,VLOOKUP(Table7[[#This Row],[Date]],Database!$A:$C,MATCH($B$1,Database!$A$1:$C$1,),))</f>
        <v/>
      </c>
      <c r="C7001">
        <f>IF(VLOOKUP(Table7[[#This Row],[Date]],Database!$A:$C,MATCH($C$1,Database!$A$1:$C$1,),)=0,#N/A,VLOOKUP(Table7[[#This Row],[Date]],Database!$A:$C,MATCH($C$1,Database!$A$1:$C$1,),))</f>
        <v/>
      </c>
      <c r="D7001">
        <f>IFERROR(Table7[[#This Row],[United States 10y]]-Table7[[#This Row],[United States 3y]],#N/A)</f>
        <v/>
      </c>
    </row>
    <row r="7002">
      <c r="A7002" s="6">
        <f>Database!$A9087</f>
        <v/>
      </c>
      <c r="B7002">
        <f>IF(VLOOKUP(Table7[[#This Row],[Date]],Database!$A:$C,MATCH($B$1,Database!$A$1:$C$1,),)=0,#N/A,VLOOKUP(Table7[[#This Row],[Date]],Database!$A:$C,MATCH($B$1,Database!$A$1:$C$1,),))</f>
        <v/>
      </c>
      <c r="C7002">
        <f>IF(VLOOKUP(Table7[[#This Row],[Date]],Database!$A:$C,MATCH($C$1,Database!$A$1:$C$1,),)=0,#N/A,VLOOKUP(Table7[[#This Row],[Date]],Database!$A:$C,MATCH($C$1,Database!$A$1:$C$1,),))</f>
        <v/>
      </c>
      <c r="D7002">
        <f>IFERROR(Table7[[#This Row],[United States 10y]]-Table7[[#This Row],[United States 3y]],#N/A)</f>
        <v/>
      </c>
    </row>
    <row r="7003">
      <c r="A7003" s="6">
        <f>Database!$A9088</f>
        <v/>
      </c>
      <c r="B7003">
        <f>IF(VLOOKUP(Table7[[#This Row],[Date]],Database!$A:$C,MATCH($B$1,Database!$A$1:$C$1,),)=0,#N/A,VLOOKUP(Table7[[#This Row],[Date]],Database!$A:$C,MATCH($B$1,Database!$A$1:$C$1,),))</f>
        <v/>
      </c>
      <c r="C7003">
        <f>IF(VLOOKUP(Table7[[#This Row],[Date]],Database!$A:$C,MATCH($C$1,Database!$A$1:$C$1,),)=0,#N/A,VLOOKUP(Table7[[#This Row],[Date]],Database!$A:$C,MATCH($C$1,Database!$A$1:$C$1,),))</f>
        <v/>
      </c>
      <c r="D7003">
        <f>IFERROR(Table7[[#This Row],[United States 10y]]-Table7[[#This Row],[United States 3y]],#N/A)</f>
        <v/>
      </c>
    </row>
    <row r="7004">
      <c r="A7004" s="6">
        <f>Database!$A9089</f>
        <v/>
      </c>
      <c r="B7004">
        <f>IF(VLOOKUP(Table7[[#This Row],[Date]],Database!$A:$C,MATCH($B$1,Database!$A$1:$C$1,),)=0,#N/A,VLOOKUP(Table7[[#This Row],[Date]],Database!$A:$C,MATCH($B$1,Database!$A$1:$C$1,),))</f>
        <v/>
      </c>
      <c r="C7004">
        <f>IF(VLOOKUP(Table7[[#This Row],[Date]],Database!$A:$C,MATCH($C$1,Database!$A$1:$C$1,),)=0,#N/A,VLOOKUP(Table7[[#This Row],[Date]],Database!$A:$C,MATCH($C$1,Database!$A$1:$C$1,),))</f>
        <v/>
      </c>
      <c r="D7004">
        <f>IFERROR(Table7[[#This Row],[United States 10y]]-Table7[[#This Row],[United States 3y]],#N/A)</f>
        <v/>
      </c>
    </row>
    <row r="7005">
      <c r="A7005" s="6">
        <f>Database!$A9090</f>
        <v/>
      </c>
      <c r="B7005">
        <f>IF(VLOOKUP(Table7[[#This Row],[Date]],Database!$A:$C,MATCH($B$1,Database!$A$1:$C$1,),)=0,#N/A,VLOOKUP(Table7[[#This Row],[Date]],Database!$A:$C,MATCH($B$1,Database!$A$1:$C$1,),))</f>
        <v/>
      </c>
      <c r="C7005">
        <f>IF(VLOOKUP(Table7[[#This Row],[Date]],Database!$A:$C,MATCH($C$1,Database!$A$1:$C$1,),)=0,#N/A,VLOOKUP(Table7[[#This Row],[Date]],Database!$A:$C,MATCH($C$1,Database!$A$1:$C$1,),))</f>
        <v/>
      </c>
      <c r="D7005">
        <f>IFERROR(Table7[[#This Row],[United States 10y]]-Table7[[#This Row],[United States 3y]],#N/A)</f>
        <v/>
      </c>
    </row>
    <row r="7006">
      <c r="A7006" s="6">
        <f>Database!$A9091</f>
        <v/>
      </c>
      <c r="B7006">
        <f>IF(VLOOKUP(Table7[[#This Row],[Date]],Database!$A:$C,MATCH($B$1,Database!$A$1:$C$1,),)=0,#N/A,VLOOKUP(Table7[[#This Row],[Date]],Database!$A:$C,MATCH($B$1,Database!$A$1:$C$1,),))</f>
        <v/>
      </c>
      <c r="C7006">
        <f>IF(VLOOKUP(Table7[[#This Row],[Date]],Database!$A:$C,MATCH($C$1,Database!$A$1:$C$1,),)=0,#N/A,VLOOKUP(Table7[[#This Row],[Date]],Database!$A:$C,MATCH($C$1,Database!$A$1:$C$1,),))</f>
        <v/>
      </c>
      <c r="D7006">
        <f>IFERROR(Table7[[#This Row],[United States 10y]]-Table7[[#This Row],[United States 3y]],#N/A)</f>
        <v/>
      </c>
    </row>
    <row r="7007">
      <c r="A7007" s="6">
        <f>Database!$A9092</f>
        <v/>
      </c>
      <c r="B7007">
        <f>IF(VLOOKUP(Table7[[#This Row],[Date]],Database!$A:$C,MATCH($B$1,Database!$A$1:$C$1,),)=0,#N/A,VLOOKUP(Table7[[#This Row],[Date]],Database!$A:$C,MATCH($B$1,Database!$A$1:$C$1,),))</f>
        <v/>
      </c>
      <c r="C7007">
        <f>IF(VLOOKUP(Table7[[#This Row],[Date]],Database!$A:$C,MATCH($C$1,Database!$A$1:$C$1,),)=0,#N/A,VLOOKUP(Table7[[#This Row],[Date]],Database!$A:$C,MATCH($C$1,Database!$A$1:$C$1,),))</f>
        <v/>
      </c>
      <c r="D7007">
        <f>IFERROR(Table7[[#This Row],[United States 10y]]-Table7[[#This Row],[United States 3y]],#N/A)</f>
        <v/>
      </c>
    </row>
    <row r="7008">
      <c r="A7008" s="6">
        <f>Database!$A9093</f>
        <v/>
      </c>
      <c r="B7008">
        <f>IF(VLOOKUP(Table7[[#This Row],[Date]],Database!$A:$C,MATCH($B$1,Database!$A$1:$C$1,),)=0,#N/A,VLOOKUP(Table7[[#This Row],[Date]],Database!$A:$C,MATCH($B$1,Database!$A$1:$C$1,),))</f>
        <v/>
      </c>
      <c r="C7008">
        <f>IF(VLOOKUP(Table7[[#This Row],[Date]],Database!$A:$C,MATCH($C$1,Database!$A$1:$C$1,),)=0,#N/A,VLOOKUP(Table7[[#This Row],[Date]],Database!$A:$C,MATCH($C$1,Database!$A$1:$C$1,),))</f>
        <v/>
      </c>
      <c r="D7008">
        <f>IFERROR(Table7[[#This Row],[United States 10y]]-Table7[[#This Row],[United States 3y]],#N/A)</f>
        <v/>
      </c>
    </row>
    <row r="7009">
      <c r="A7009" s="6">
        <f>Database!$A9094</f>
        <v/>
      </c>
      <c r="B7009">
        <f>IF(VLOOKUP(Table7[[#This Row],[Date]],Database!$A:$C,MATCH($B$1,Database!$A$1:$C$1,),)=0,#N/A,VLOOKUP(Table7[[#This Row],[Date]],Database!$A:$C,MATCH($B$1,Database!$A$1:$C$1,),))</f>
        <v/>
      </c>
      <c r="C7009">
        <f>IF(VLOOKUP(Table7[[#This Row],[Date]],Database!$A:$C,MATCH($C$1,Database!$A$1:$C$1,),)=0,#N/A,VLOOKUP(Table7[[#This Row],[Date]],Database!$A:$C,MATCH($C$1,Database!$A$1:$C$1,),))</f>
        <v/>
      </c>
      <c r="D7009">
        <f>IFERROR(Table7[[#This Row],[United States 10y]]-Table7[[#This Row],[United States 3y]],#N/A)</f>
        <v/>
      </c>
    </row>
    <row r="7010">
      <c r="A7010" s="6">
        <f>Database!$A9095</f>
        <v/>
      </c>
      <c r="B7010">
        <f>IF(VLOOKUP(Table7[[#This Row],[Date]],Database!$A:$C,MATCH($B$1,Database!$A$1:$C$1,),)=0,#N/A,VLOOKUP(Table7[[#This Row],[Date]],Database!$A:$C,MATCH($B$1,Database!$A$1:$C$1,),))</f>
        <v/>
      </c>
      <c r="C7010">
        <f>IF(VLOOKUP(Table7[[#This Row],[Date]],Database!$A:$C,MATCH($C$1,Database!$A$1:$C$1,),)=0,#N/A,VLOOKUP(Table7[[#This Row],[Date]],Database!$A:$C,MATCH($C$1,Database!$A$1:$C$1,),))</f>
        <v/>
      </c>
      <c r="D7010">
        <f>IFERROR(Table7[[#This Row],[United States 10y]]-Table7[[#This Row],[United States 3y]],#N/A)</f>
        <v/>
      </c>
    </row>
    <row r="7011">
      <c r="A7011" s="6">
        <f>Database!$A9096</f>
        <v/>
      </c>
      <c r="B7011">
        <f>IF(VLOOKUP(Table7[[#This Row],[Date]],Database!$A:$C,MATCH($B$1,Database!$A$1:$C$1,),)=0,#N/A,VLOOKUP(Table7[[#This Row],[Date]],Database!$A:$C,MATCH($B$1,Database!$A$1:$C$1,),))</f>
        <v/>
      </c>
      <c r="C7011">
        <f>IF(VLOOKUP(Table7[[#This Row],[Date]],Database!$A:$C,MATCH($C$1,Database!$A$1:$C$1,),)=0,#N/A,VLOOKUP(Table7[[#This Row],[Date]],Database!$A:$C,MATCH($C$1,Database!$A$1:$C$1,),))</f>
        <v/>
      </c>
      <c r="D7011">
        <f>IFERROR(Table7[[#This Row],[United States 10y]]-Table7[[#This Row],[United States 3y]],#N/A)</f>
        <v/>
      </c>
    </row>
    <row r="7012">
      <c r="A7012" s="6">
        <f>Database!$A9097</f>
        <v/>
      </c>
      <c r="B7012">
        <f>IF(VLOOKUP(Table7[[#This Row],[Date]],Database!$A:$C,MATCH($B$1,Database!$A$1:$C$1,),)=0,#N/A,VLOOKUP(Table7[[#This Row],[Date]],Database!$A:$C,MATCH($B$1,Database!$A$1:$C$1,),))</f>
        <v/>
      </c>
      <c r="C7012">
        <f>IF(VLOOKUP(Table7[[#This Row],[Date]],Database!$A:$C,MATCH($C$1,Database!$A$1:$C$1,),)=0,#N/A,VLOOKUP(Table7[[#This Row],[Date]],Database!$A:$C,MATCH($C$1,Database!$A$1:$C$1,),))</f>
        <v/>
      </c>
      <c r="D7012">
        <f>IFERROR(Table7[[#This Row],[United States 10y]]-Table7[[#This Row],[United States 3y]],#N/A)</f>
        <v/>
      </c>
    </row>
    <row r="7013">
      <c r="A7013" s="6">
        <f>Database!$A9098</f>
        <v/>
      </c>
      <c r="B7013">
        <f>IF(VLOOKUP(Table7[[#This Row],[Date]],Database!$A:$C,MATCH($B$1,Database!$A$1:$C$1,),)=0,#N/A,VLOOKUP(Table7[[#This Row],[Date]],Database!$A:$C,MATCH($B$1,Database!$A$1:$C$1,),))</f>
        <v/>
      </c>
      <c r="C7013">
        <f>IF(VLOOKUP(Table7[[#This Row],[Date]],Database!$A:$C,MATCH($C$1,Database!$A$1:$C$1,),)=0,#N/A,VLOOKUP(Table7[[#This Row],[Date]],Database!$A:$C,MATCH($C$1,Database!$A$1:$C$1,),))</f>
        <v/>
      </c>
      <c r="D7013">
        <f>IFERROR(Table7[[#This Row],[United States 10y]]-Table7[[#This Row],[United States 3y]],#N/A)</f>
        <v/>
      </c>
    </row>
    <row r="7014">
      <c r="A7014" s="6">
        <f>Database!$A9099</f>
        <v/>
      </c>
      <c r="B7014">
        <f>IF(VLOOKUP(Table7[[#This Row],[Date]],Database!$A:$C,MATCH($B$1,Database!$A$1:$C$1,),)=0,#N/A,VLOOKUP(Table7[[#This Row],[Date]],Database!$A:$C,MATCH($B$1,Database!$A$1:$C$1,),))</f>
        <v/>
      </c>
      <c r="C7014">
        <f>IF(VLOOKUP(Table7[[#This Row],[Date]],Database!$A:$C,MATCH($C$1,Database!$A$1:$C$1,),)=0,#N/A,VLOOKUP(Table7[[#This Row],[Date]],Database!$A:$C,MATCH($C$1,Database!$A$1:$C$1,),))</f>
        <v/>
      </c>
      <c r="D7014">
        <f>IFERROR(Table7[[#This Row],[United States 10y]]-Table7[[#This Row],[United States 3y]],#N/A)</f>
        <v/>
      </c>
    </row>
    <row r="7015">
      <c r="A7015" s="6">
        <f>Database!$A9100</f>
        <v/>
      </c>
      <c r="B7015">
        <f>IF(VLOOKUP(Table7[[#This Row],[Date]],Database!$A:$C,MATCH($B$1,Database!$A$1:$C$1,),)=0,#N/A,VLOOKUP(Table7[[#This Row],[Date]],Database!$A:$C,MATCH($B$1,Database!$A$1:$C$1,),))</f>
        <v/>
      </c>
      <c r="C7015">
        <f>IF(VLOOKUP(Table7[[#This Row],[Date]],Database!$A:$C,MATCH($C$1,Database!$A$1:$C$1,),)=0,#N/A,VLOOKUP(Table7[[#This Row],[Date]],Database!$A:$C,MATCH($C$1,Database!$A$1:$C$1,),))</f>
        <v/>
      </c>
      <c r="D7015">
        <f>IFERROR(Table7[[#This Row],[United States 10y]]-Table7[[#This Row],[United States 3y]],#N/A)</f>
        <v/>
      </c>
    </row>
    <row r="7016">
      <c r="A7016" s="6">
        <f>Database!$A9101</f>
        <v/>
      </c>
      <c r="B7016">
        <f>IF(VLOOKUP(Table7[[#This Row],[Date]],Database!$A:$C,MATCH($B$1,Database!$A$1:$C$1,),)=0,#N/A,VLOOKUP(Table7[[#This Row],[Date]],Database!$A:$C,MATCH($B$1,Database!$A$1:$C$1,),))</f>
        <v/>
      </c>
      <c r="C7016">
        <f>IF(VLOOKUP(Table7[[#This Row],[Date]],Database!$A:$C,MATCH($C$1,Database!$A$1:$C$1,),)=0,#N/A,VLOOKUP(Table7[[#This Row],[Date]],Database!$A:$C,MATCH($C$1,Database!$A$1:$C$1,),))</f>
        <v/>
      </c>
      <c r="D7016">
        <f>IFERROR(Table7[[#This Row],[United States 10y]]-Table7[[#This Row],[United States 3y]],#N/A)</f>
        <v/>
      </c>
    </row>
    <row r="7017">
      <c r="A7017" s="6">
        <f>Database!$A9102</f>
        <v/>
      </c>
      <c r="B7017">
        <f>IF(VLOOKUP(Table7[[#This Row],[Date]],Database!$A:$C,MATCH($B$1,Database!$A$1:$C$1,),)=0,#N/A,VLOOKUP(Table7[[#This Row],[Date]],Database!$A:$C,MATCH($B$1,Database!$A$1:$C$1,),))</f>
        <v/>
      </c>
      <c r="C7017">
        <f>IF(VLOOKUP(Table7[[#This Row],[Date]],Database!$A:$C,MATCH($C$1,Database!$A$1:$C$1,),)=0,#N/A,VLOOKUP(Table7[[#This Row],[Date]],Database!$A:$C,MATCH($C$1,Database!$A$1:$C$1,),))</f>
        <v/>
      </c>
      <c r="D7017">
        <f>IFERROR(Table7[[#This Row],[United States 10y]]-Table7[[#This Row],[United States 3y]],#N/A)</f>
        <v/>
      </c>
    </row>
    <row r="7018">
      <c r="A7018" s="6">
        <f>Database!$A9103</f>
        <v/>
      </c>
      <c r="B7018">
        <f>IF(VLOOKUP(Table7[[#This Row],[Date]],Database!$A:$C,MATCH($B$1,Database!$A$1:$C$1,),)=0,#N/A,VLOOKUP(Table7[[#This Row],[Date]],Database!$A:$C,MATCH($B$1,Database!$A$1:$C$1,),))</f>
        <v/>
      </c>
      <c r="C7018">
        <f>IF(VLOOKUP(Table7[[#This Row],[Date]],Database!$A:$C,MATCH($C$1,Database!$A$1:$C$1,),)=0,#N/A,VLOOKUP(Table7[[#This Row],[Date]],Database!$A:$C,MATCH($C$1,Database!$A$1:$C$1,),))</f>
        <v/>
      </c>
      <c r="D7018">
        <f>IFERROR(Table7[[#This Row],[United States 10y]]-Table7[[#This Row],[United States 3y]],#N/A)</f>
        <v/>
      </c>
    </row>
    <row r="7019">
      <c r="A7019" s="6">
        <f>Database!$A9104</f>
        <v/>
      </c>
      <c r="B7019">
        <f>IF(VLOOKUP(Table7[[#This Row],[Date]],Database!$A:$C,MATCH($B$1,Database!$A$1:$C$1,),)=0,#N/A,VLOOKUP(Table7[[#This Row],[Date]],Database!$A:$C,MATCH($B$1,Database!$A$1:$C$1,),))</f>
        <v/>
      </c>
      <c r="C7019">
        <f>IF(VLOOKUP(Table7[[#This Row],[Date]],Database!$A:$C,MATCH($C$1,Database!$A$1:$C$1,),)=0,#N/A,VLOOKUP(Table7[[#This Row],[Date]],Database!$A:$C,MATCH($C$1,Database!$A$1:$C$1,),))</f>
        <v/>
      </c>
      <c r="D7019">
        <f>IFERROR(Table7[[#This Row],[United States 10y]]-Table7[[#This Row],[United States 3y]],#N/A)</f>
        <v/>
      </c>
    </row>
    <row r="7020">
      <c r="A7020" s="6">
        <f>Database!$A9105</f>
        <v/>
      </c>
      <c r="B7020">
        <f>IF(VLOOKUP(Table7[[#This Row],[Date]],Database!$A:$C,MATCH($B$1,Database!$A$1:$C$1,),)=0,#N/A,VLOOKUP(Table7[[#This Row],[Date]],Database!$A:$C,MATCH($B$1,Database!$A$1:$C$1,),))</f>
        <v/>
      </c>
      <c r="C7020">
        <f>IF(VLOOKUP(Table7[[#This Row],[Date]],Database!$A:$C,MATCH($C$1,Database!$A$1:$C$1,),)=0,#N/A,VLOOKUP(Table7[[#This Row],[Date]],Database!$A:$C,MATCH($C$1,Database!$A$1:$C$1,),))</f>
        <v/>
      </c>
      <c r="D7020">
        <f>IFERROR(Table7[[#This Row],[United States 10y]]-Table7[[#This Row],[United States 3y]],#N/A)</f>
        <v/>
      </c>
    </row>
    <row r="7021">
      <c r="A7021" s="6">
        <f>Database!$A9106</f>
        <v/>
      </c>
      <c r="B7021">
        <f>IF(VLOOKUP(Table7[[#This Row],[Date]],Database!$A:$C,MATCH($B$1,Database!$A$1:$C$1,),)=0,#N/A,VLOOKUP(Table7[[#This Row],[Date]],Database!$A:$C,MATCH($B$1,Database!$A$1:$C$1,),))</f>
        <v/>
      </c>
      <c r="C7021">
        <f>IF(VLOOKUP(Table7[[#This Row],[Date]],Database!$A:$C,MATCH($C$1,Database!$A$1:$C$1,),)=0,#N/A,VLOOKUP(Table7[[#This Row],[Date]],Database!$A:$C,MATCH($C$1,Database!$A$1:$C$1,),))</f>
        <v/>
      </c>
      <c r="D7021">
        <f>IFERROR(Table7[[#This Row],[United States 10y]]-Table7[[#This Row],[United States 3y]],#N/A)</f>
        <v/>
      </c>
    </row>
    <row r="7022">
      <c r="A7022" s="6">
        <f>Database!$A9107</f>
        <v/>
      </c>
      <c r="B7022">
        <f>IF(VLOOKUP(Table7[[#This Row],[Date]],Database!$A:$C,MATCH($B$1,Database!$A$1:$C$1,),)=0,#N/A,VLOOKUP(Table7[[#This Row],[Date]],Database!$A:$C,MATCH($B$1,Database!$A$1:$C$1,),))</f>
        <v/>
      </c>
      <c r="C7022">
        <f>IF(VLOOKUP(Table7[[#This Row],[Date]],Database!$A:$C,MATCH($C$1,Database!$A$1:$C$1,),)=0,#N/A,VLOOKUP(Table7[[#This Row],[Date]],Database!$A:$C,MATCH($C$1,Database!$A$1:$C$1,),))</f>
        <v/>
      </c>
      <c r="D7022">
        <f>IFERROR(Table7[[#This Row],[United States 10y]]-Table7[[#This Row],[United States 3y]],#N/A)</f>
        <v/>
      </c>
    </row>
    <row r="7023">
      <c r="A7023" s="6">
        <f>Database!$A9108</f>
        <v/>
      </c>
      <c r="B7023">
        <f>IF(VLOOKUP(Table7[[#This Row],[Date]],Database!$A:$C,MATCH($B$1,Database!$A$1:$C$1,),)=0,#N/A,VLOOKUP(Table7[[#This Row],[Date]],Database!$A:$C,MATCH($B$1,Database!$A$1:$C$1,),))</f>
        <v/>
      </c>
      <c r="C7023">
        <f>IF(VLOOKUP(Table7[[#This Row],[Date]],Database!$A:$C,MATCH($C$1,Database!$A$1:$C$1,),)=0,#N/A,VLOOKUP(Table7[[#This Row],[Date]],Database!$A:$C,MATCH($C$1,Database!$A$1:$C$1,),))</f>
        <v/>
      </c>
      <c r="D7023">
        <f>IFERROR(Table7[[#This Row],[United States 10y]]-Table7[[#This Row],[United States 3y]],#N/A)</f>
        <v/>
      </c>
    </row>
    <row r="7024">
      <c r="A7024" s="6">
        <f>Database!$A9109</f>
        <v/>
      </c>
      <c r="B7024">
        <f>IF(VLOOKUP(Table7[[#This Row],[Date]],Database!$A:$C,MATCH($B$1,Database!$A$1:$C$1,),)=0,#N/A,VLOOKUP(Table7[[#This Row],[Date]],Database!$A:$C,MATCH($B$1,Database!$A$1:$C$1,),))</f>
        <v/>
      </c>
      <c r="C7024">
        <f>IF(VLOOKUP(Table7[[#This Row],[Date]],Database!$A:$C,MATCH($C$1,Database!$A$1:$C$1,),)=0,#N/A,VLOOKUP(Table7[[#This Row],[Date]],Database!$A:$C,MATCH($C$1,Database!$A$1:$C$1,),))</f>
        <v/>
      </c>
      <c r="D7024">
        <f>IFERROR(Table7[[#This Row],[United States 10y]]-Table7[[#This Row],[United States 3y]],#N/A)</f>
        <v/>
      </c>
    </row>
    <row r="7025">
      <c r="A7025" s="6">
        <f>Database!$A9110</f>
        <v/>
      </c>
      <c r="B7025">
        <f>IF(VLOOKUP(Table7[[#This Row],[Date]],Database!$A:$C,MATCH($B$1,Database!$A$1:$C$1,),)=0,#N/A,VLOOKUP(Table7[[#This Row],[Date]],Database!$A:$C,MATCH($B$1,Database!$A$1:$C$1,),))</f>
        <v/>
      </c>
      <c r="C7025">
        <f>IF(VLOOKUP(Table7[[#This Row],[Date]],Database!$A:$C,MATCH($C$1,Database!$A$1:$C$1,),)=0,#N/A,VLOOKUP(Table7[[#This Row],[Date]],Database!$A:$C,MATCH($C$1,Database!$A$1:$C$1,),))</f>
        <v/>
      </c>
      <c r="D7025">
        <f>IFERROR(Table7[[#This Row],[United States 10y]]-Table7[[#This Row],[United States 3y]],#N/A)</f>
        <v/>
      </c>
    </row>
    <row r="7026">
      <c r="A7026" s="6">
        <f>Database!$A9111</f>
        <v/>
      </c>
      <c r="B7026">
        <f>IF(VLOOKUP(Table7[[#This Row],[Date]],Database!$A:$C,MATCH($B$1,Database!$A$1:$C$1,),)=0,#N/A,VLOOKUP(Table7[[#This Row],[Date]],Database!$A:$C,MATCH($B$1,Database!$A$1:$C$1,),))</f>
        <v/>
      </c>
      <c r="C7026">
        <f>IF(VLOOKUP(Table7[[#This Row],[Date]],Database!$A:$C,MATCH($C$1,Database!$A$1:$C$1,),)=0,#N/A,VLOOKUP(Table7[[#This Row],[Date]],Database!$A:$C,MATCH($C$1,Database!$A$1:$C$1,),))</f>
        <v/>
      </c>
      <c r="D7026">
        <f>IFERROR(Table7[[#This Row],[United States 10y]]-Table7[[#This Row],[United States 3y]],#N/A)</f>
        <v/>
      </c>
    </row>
    <row r="7027">
      <c r="A7027" s="6">
        <f>Database!$A9112</f>
        <v/>
      </c>
      <c r="B7027">
        <f>IF(VLOOKUP(Table7[[#This Row],[Date]],Database!$A:$C,MATCH($B$1,Database!$A$1:$C$1,),)=0,#N/A,VLOOKUP(Table7[[#This Row],[Date]],Database!$A:$C,MATCH($B$1,Database!$A$1:$C$1,),))</f>
        <v/>
      </c>
      <c r="C7027">
        <f>IF(VLOOKUP(Table7[[#This Row],[Date]],Database!$A:$C,MATCH($C$1,Database!$A$1:$C$1,),)=0,#N/A,VLOOKUP(Table7[[#This Row],[Date]],Database!$A:$C,MATCH($C$1,Database!$A$1:$C$1,),))</f>
        <v/>
      </c>
      <c r="D7027">
        <f>IFERROR(Table7[[#This Row],[United States 10y]]-Table7[[#This Row],[United States 3y]],#N/A)</f>
        <v/>
      </c>
    </row>
    <row r="7028">
      <c r="A7028" s="6">
        <f>Database!$A9113</f>
        <v/>
      </c>
      <c r="B7028">
        <f>IF(VLOOKUP(Table7[[#This Row],[Date]],Database!$A:$C,MATCH($B$1,Database!$A$1:$C$1,),)=0,#N/A,VLOOKUP(Table7[[#This Row],[Date]],Database!$A:$C,MATCH($B$1,Database!$A$1:$C$1,),))</f>
        <v/>
      </c>
      <c r="C7028">
        <f>IF(VLOOKUP(Table7[[#This Row],[Date]],Database!$A:$C,MATCH($C$1,Database!$A$1:$C$1,),)=0,#N/A,VLOOKUP(Table7[[#This Row],[Date]],Database!$A:$C,MATCH($C$1,Database!$A$1:$C$1,),))</f>
        <v/>
      </c>
      <c r="D7028">
        <f>IFERROR(Table7[[#This Row],[United States 10y]]-Table7[[#This Row],[United States 3y]],#N/A)</f>
        <v/>
      </c>
    </row>
    <row r="7029">
      <c r="A7029" s="6">
        <f>Database!$A9114</f>
        <v/>
      </c>
      <c r="B7029">
        <f>IF(VLOOKUP(Table7[[#This Row],[Date]],Database!$A:$C,MATCH($B$1,Database!$A$1:$C$1,),)=0,#N/A,VLOOKUP(Table7[[#This Row],[Date]],Database!$A:$C,MATCH($B$1,Database!$A$1:$C$1,),))</f>
        <v/>
      </c>
      <c r="C7029">
        <f>IF(VLOOKUP(Table7[[#This Row],[Date]],Database!$A:$C,MATCH($C$1,Database!$A$1:$C$1,),)=0,#N/A,VLOOKUP(Table7[[#This Row],[Date]],Database!$A:$C,MATCH($C$1,Database!$A$1:$C$1,),))</f>
        <v/>
      </c>
      <c r="D7029">
        <f>IFERROR(Table7[[#This Row],[United States 10y]]-Table7[[#This Row],[United States 3y]],#N/A)</f>
        <v/>
      </c>
    </row>
    <row r="7030">
      <c r="A7030" s="6">
        <f>Database!$A9115</f>
        <v/>
      </c>
      <c r="B7030">
        <f>IF(VLOOKUP(Table7[[#This Row],[Date]],Database!$A:$C,MATCH($B$1,Database!$A$1:$C$1,),)=0,#N/A,VLOOKUP(Table7[[#This Row],[Date]],Database!$A:$C,MATCH($B$1,Database!$A$1:$C$1,),))</f>
        <v/>
      </c>
      <c r="C7030">
        <f>IF(VLOOKUP(Table7[[#This Row],[Date]],Database!$A:$C,MATCH($C$1,Database!$A$1:$C$1,),)=0,#N/A,VLOOKUP(Table7[[#This Row],[Date]],Database!$A:$C,MATCH($C$1,Database!$A$1:$C$1,),))</f>
        <v/>
      </c>
      <c r="D7030">
        <f>IFERROR(Table7[[#This Row],[United States 10y]]-Table7[[#This Row],[United States 3y]],#N/A)</f>
        <v/>
      </c>
    </row>
    <row r="7031">
      <c r="A7031" s="6">
        <f>Database!$A9116</f>
        <v/>
      </c>
      <c r="B7031">
        <f>IF(VLOOKUP(Table7[[#This Row],[Date]],Database!$A:$C,MATCH($B$1,Database!$A$1:$C$1,),)=0,#N/A,VLOOKUP(Table7[[#This Row],[Date]],Database!$A:$C,MATCH($B$1,Database!$A$1:$C$1,),))</f>
        <v/>
      </c>
      <c r="C7031">
        <f>IF(VLOOKUP(Table7[[#This Row],[Date]],Database!$A:$C,MATCH($C$1,Database!$A$1:$C$1,),)=0,#N/A,VLOOKUP(Table7[[#This Row],[Date]],Database!$A:$C,MATCH($C$1,Database!$A$1:$C$1,),))</f>
        <v/>
      </c>
      <c r="D7031">
        <f>IFERROR(Table7[[#This Row],[United States 10y]]-Table7[[#This Row],[United States 3y]],#N/A)</f>
        <v/>
      </c>
    </row>
    <row r="7032">
      <c r="A7032" s="6">
        <f>Database!$A9117</f>
        <v/>
      </c>
      <c r="B7032">
        <f>IF(VLOOKUP(Table7[[#This Row],[Date]],Database!$A:$C,MATCH($B$1,Database!$A$1:$C$1,),)=0,#N/A,VLOOKUP(Table7[[#This Row],[Date]],Database!$A:$C,MATCH($B$1,Database!$A$1:$C$1,),))</f>
        <v/>
      </c>
      <c r="C7032">
        <f>IF(VLOOKUP(Table7[[#This Row],[Date]],Database!$A:$C,MATCH($C$1,Database!$A$1:$C$1,),)=0,#N/A,VLOOKUP(Table7[[#This Row],[Date]],Database!$A:$C,MATCH($C$1,Database!$A$1:$C$1,),))</f>
        <v/>
      </c>
      <c r="D7032">
        <f>IFERROR(Table7[[#This Row],[United States 10y]]-Table7[[#This Row],[United States 3y]],#N/A)</f>
        <v/>
      </c>
    </row>
    <row r="7033">
      <c r="A7033" s="6">
        <f>Database!$A9118</f>
        <v/>
      </c>
      <c r="B7033">
        <f>IF(VLOOKUP(Table7[[#This Row],[Date]],Database!$A:$C,MATCH($B$1,Database!$A$1:$C$1,),)=0,#N/A,VLOOKUP(Table7[[#This Row],[Date]],Database!$A:$C,MATCH($B$1,Database!$A$1:$C$1,),))</f>
        <v/>
      </c>
      <c r="C7033">
        <f>IF(VLOOKUP(Table7[[#This Row],[Date]],Database!$A:$C,MATCH($C$1,Database!$A$1:$C$1,),)=0,#N/A,VLOOKUP(Table7[[#This Row],[Date]],Database!$A:$C,MATCH($C$1,Database!$A$1:$C$1,),))</f>
        <v/>
      </c>
      <c r="D7033">
        <f>IFERROR(Table7[[#This Row],[United States 10y]]-Table7[[#This Row],[United States 3y]],#N/A)</f>
        <v/>
      </c>
    </row>
    <row r="7034">
      <c r="A7034" s="6">
        <f>Database!$A9119</f>
        <v/>
      </c>
      <c r="B7034">
        <f>IF(VLOOKUP(Table7[[#This Row],[Date]],Database!$A:$C,MATCH($B$1,Database!$A$1:$C$1,),)=0,#N/A,VLOOKUP(Table7[[#This Row],[Date]],Database!$A:$C,MATCH($B$1,Database!$A$1:$C$1,),))</f>
        <v/>
      </c>
      <c r="C7034">
        <f>IF(VLOOKUP(Table7[[#This Row],[Date]],Database!$A:$C,MATCH($C$1,Database!$A$1:$C$1,),)=0,#N/A,VLOOKUP(Table7[[#This Row],[Date]],Database!$A:$C,MATCH($C$1,Database!$A$1:$C$1,),))</f>
        <v/>
      </c>
      <c r="D7034">
        <f>IFERROR(Table7[[#This Row],[United States 10y]]-Table7[[#This Row],[United States 3y]],#N/A)</f>
        <v/>
      </c>
    </row>
    <row r="7035">
      <c r="A7035" s="6">
        <f>Database!$A9120</f>
        <v/>
      </c>
      <c r="B7035">
        <f>IF(VLOOKUP(Table7[[#This Row],[Date]],Database!$A:$C,MATCH($B$1,Database!$A$1:$C$1,),)=0,#N/A,VLOOKUP(Table7[[#This Row],[Date]],Database!$A:$C,MATCH($B$1,Database!$A$1:$C$1,),))</f>
        <v/>
      </c>
      <c r="C7035">
        <f>IF(VLOOKUP(Table7[[#This Row],[Date]],Database!$A:$C,MATCH($C$1,Database!$A$1:$C$1,),)=0,#N/A,VLOOKUP(Table7[[#This Row],[Date]],Database!$A:$C,MATCH($C$1,Database!$A$1:$C$1,),))</f>
        <v/>
      </c>
      <c r="D7035">
        <f>IFERROR(Table7[[#This Row],[United States 10y]]-Table7[[#This Row],[United States 3y]],#N/A)</f>
        <v/>
      </c>
    </row>
    <row r="7036">
      <c r="A7036" s="6">
        <f>Database!$A9121</f>
        <v/>
      </c>
      <c r="B7036">
        <f>IF(VLOOKUP(Table7[[#This Row],[Date]],Database!$A:$C,MATCH($B$1,Database!$A$1:$C$1,),)=0,#N/A,VLOOKUP(Table7[[#This Row],[Date]],Database!$A:$C,MATCH($B$1,Database!$A$1:$C$1,),))</f>
        <v/>
      </c>
      <c r="C7036">
        <f>IF(VLOOKUP(Table7[[#This Row],[Date]],Database!$A:$C,MATCH($C$1,Database!$A$1:$C$1,),)=0,#N/A,VLOOKUP(Table7[[#This Row],[Date]],Database!$A:$C,MATCH($C$1,Database!$A$1:$C$1,),))</f>
        <v/>
      </c>
      <c r="D7036">
        <f>IFERROR(Table7[[#This Row],[United States 10y]]-Table7[[#This Row],[United States 3y]],#N/A)</f>
        <v/>
      </c>
    </row>
    <row r="7037">
      <c r="A7037" s="6">
        <f>Database!$A9122</f>
        <v/>
      </c>
      <c r="B7037">
        <f>IF(VLOOKUP(Table7[[#This Row],[Date]],Database!$A:$C,MATCH($B$1,Database!$A$1:$C$1,),)=0,#N/A,VLOOKUP(Table7[[#This Row],[Date]],Database!$A:$C,MATCH($B$1,Database!$A$1:$C$1,),))</f>
        <v/>
      </c>
      <c r="C7037">
        <f>IF(VLOOKUP(Table7[[#This Row],[Date]],Database!$A:$C,MATCH($C$1,Database!$A$1:$C$1,),)=0,#N/A,VLOOKUP(Table7[[#This Row],[Date]],Database!$A:$C,MATCH($C$1,Database!$A$1:$C$1,),))</f>
        <v/>
      </c>
      <c r="D7037">
        <f>IFERROR(Table7[[#This Row],[United States 10y]]-Table7[[#This Row],[United States 3y]],#N/A)</f>
        <v/>
      </c>
    </row>
    <row r="7038">
      <c r="A7038" s="6">
        <f>Database!$A9123</f>
        <v/>
      </c>
      <c r="B7038">
        <f>IF(VLOOKUP(Table7[[#This Row],[Date]],Database!$A:$C,MATCH($B$1,Database!$A$1:$C$1,),)=0,#N/A,VLOOKUP(Table7[[#This Row],[Date]],Database!$A:$C,MATCH($B$1,Database!$A$1:$C$1,),))</f>
        <v/>
      </c>
      <c r="C7038">
        <f>IF(VLOOKUP(Table7[[#This Row],[Date]],Database!$A:$C,MATCH($C$1,Database!$A$1:$C$1,),)=0,#N/A,VLOOKUP(Table7[[#This Row],[Date]],Database!$A:$C,MATCH($C$1,Database!$A$1:$C$1,),))</f>
        <v/>
      </c>
      <c r="D7038">
        <f>IFERROR(Table7[[#This Row],[United States 10y]]-Table7[[#This Row],[United States 3y]],#N/A)</f>
        <v/>
      </c>
    </row>
    <row r="7039">
      <c r="A7039" s="6">
        <f>Database!$A9124</f>
        <v/>
      </c>
      <c r="B7039">
        <f>IF(VLOOKUP(Table7[[#This Row],[Date]],Database!$A:$C,MATCH($B$1,Database!$A$1:$C$1,),)=0,#N/A,VLOOKUP(Table7[[#This Row],[Date]],Database!$A:$C,MATCH($B$1,Database!$A$1:$C$1,),))</f>
        <v/>
      </c>
      <c r="C7039">
        <f>IF(VLOOKUP(Table7[[#This Row],[Date]],Database!$A:$C,MATCH($C$1,Database!$A$1:$C$1,),)=0,#N/A,VLOOKUP(Table7[[#This Row],[Date]],Database!$A:$C,MATCH($C$1,Database!$A$1:$C$1,),))</f>
        <v/>
      </c>
      <c r="D7039">
        <f>IFERROR(Table7[[#This Row],[United States 10y]]-Table7[[#This Row],[United States 3y]],#N/A)</f>
        <v/>
      </c>
    </row>
    <row r="7040">
      <c r="A7040" s="6">
        <f>Database!$A9125</f>
        <v/>
      </c>
      <c r="B7040">
        <f>IF(VLOOKUP(Table7[[#This Row],[Date]],Database!$A:$C,MATCH($B$1,Database!$A$1:$C$1,),)=0,#N/A,VLOOKUP(Table7[[#This Row],[Date]],Database!$A:$C,MATCH($B$1,Database!$A$1:$C$1,),))</f>
        <v/>
      </c>
      <c r="C7040">
        <f>IF(VLOOKUP(Table7[[#This Row],[Date]],Database!$A:$C,MATCH($C$1,Database!$A$1:$C$1,),)=0,#N/A,VLOOKUP(Table7[[#This Row],[Date]],Database!$A:$C,MATCH($C$1,Database!$A$1:$C$1,),))</f>
        <v/>
      </c>
      <c r="D7040">
        <f>IFERROR(Table7[[#This Row],[United States 10y]]-Table7[[#This Row],[United States 3y]],#N/A)</f>
        <v/>
      </c>
    </row>
    <row r="7041">
      <c r="A7041" s="6">
        <f>Database!$A9126</f>
        <v/>
      </c>
      <c r="B7041">
        <f>IF(VLOOKUP(Table7[[#This Row],[Date]],Database!$A:$C,MATCH($B$1,Database!$A$1:$C$1,),)=0,#N/A,VLOOKUP(Table7[[#This Row],[Date]],Database!$A:$C,MATCH($B$1,Database!$A$1:$C$1,),))</f>
        <v/>
      </c>
      <c r="C7041">
        <f>IF(VLOOKUP(Table7[[#This Row],[Date]],Database!$A:$C,MATCH($C$1,Database!$A$1:$C$1,),)=0,#N/A,VLOOKUP(Table7[[#This Row],[Date]],Database!$A:$C,MATCH($C$1,Database!$A$1:$C$1,),))</f>
        <v/>
      </c>
      <c r="D7041">
        <f>IFERROR(Table7[[#This Row],[United States 10y]]-Table7[[#This Row],[United States 3y]],#N/A)</f>
        <v/>
      </c>
    </row>
    <row r="7042">
      <c r="A7042" s="6">
        <f>Database!$A9127</f>
        <v/>
      </c>
      <c r="B7042">
        <f>IF(VLOOKUP(Table7[[#This Row],[Date]],Database!$A:$C,MATCH($B$1,Database!$A$1:$C$1,),)=0,#N/A,VLOOKUP(Table7[[#This Row],[Date]],Database!$A:$C,MATCH($B$1,Database!$A$1:$C$1,),))</f>
        <v/>
      </c>
      <c r="C7042">
        <f>IF(VLOOKUP(Table7[[#This Row],[Date]],Database!$A:$C,MATCH($C$1,Database!$A$1:$C$1,),)=0,#N/A,VLOOKUP(Table7[[#This Row],[Date]],Database!$A:$C,MATCH($C$1,Database!$A$1:$C$1,),))</f>
        <v/>
      </c>
      <c r="D7042">
        <f>IFERROR(Table7[[#This Row],[United States 10y]]-Table7[[#This Row],[United States 3y]],#N/A)</f>
        <v/>
      </c>
    </row>
    <row r="7043">
      <c r="A7043" s="6">
        <f>Database!$A9128</f>
        <v/>
      </c>
      <c r="B7043">
        <f>IF(VLOOKUP(Table7[[#This Row],[Date]],Database!$A:$C,MATCH($B$1,Database!$A$1:$C$1,),)=0,#N/A,VLOOKUP(Table7[[#This Row],[Date]],Database!$A:$C,MATCH($B$1,Database!$A$1:$C$1,),))</f>
        <v/>
      </c>
      <c r="C7043">
        <f>IF(VLOOKUP(Table7[[#This Row],[Date]],Database!$A:$C,MATCH($C$1,Database!$A$1:$C$1,),)=0,#N/A,VLOOKUP(Table7[[#This Row],[Date]],Database!$A:$C,MATCH($C$1,Database!$A$1:$C$1,),))</f>
        <v/>
      </c>
      <c r="D7043">
        <f>IFERROR(Table7[[#This Row],[United States 10y]]-Table7[[#This Row],[United States 3y]],#N/A)</f>
        <v/>
      </c>
    </row>
    <row r="7044">
      <c r="A7044" s="6">
        <f>Database!$A9129</f>
        <v/>
      </c>
      <c r="B7044">
        <f>IF(VLOOKUP(Table7[[#This Row],[Date]],Database!$A:$C,MATCH($B$1,Database!$A$1:$C$1,),)=0,#N/A,VLOOKUP(Table7[[#This Row],[Date]],Database!$A:$C,MATCH($B$1,Database!$A$1:$C$1,),))</f>
        <v/>
      </c>
      <c r="C7044">
        <f>IF(VLOOKUP(Table7[[#This Row],[Date]],Database!$A:$C,MATCH($C$1,Database!$A$1:$C$1,),)=0,#N/A,VLOOKUP(Table7[[#This Row],[Date]],Database!$A:$C,MATCH($C$1,Database!$A$1:$C$1,),))</f>
        <v/>
      </c>
      <c r="D7044">
        <f>IFERROR(Table7[[#This Row],[United States 10y]]-Table7[[#This Row],[United States 3y]],#N/A)</f>
        <v/>
      </c>
    </row>
    <row r="7045">
      <c r="A7045" s="6">
        <f>Database!$A9130</f>
        <v/>
      </c>
      <c r="B7045">
        <f>IF(VLOOKUP(Table7[[#This Row],[Date]],Database!$A:$C,MATCH($B$1,Database!$A$1:$C$1,),)=0,#N/A,VLOOKUP(Table7[[#This Row],[Date]],Database!$A:$C,MATCH($B$1,Database!$A$1:$C$1,),))</f>
        <v/>
      </c>
      <c r="C7045">
        <f>IF(VLOOKUP(Table7[[#This Row],[Date]],Database!$A:$C,MATCH($C$1,Database!$A$1:$C$1,),)=0,#N/A,VLOOKUP(Table7[[#This Row],[Date]],Database!$A:$C,MATCH($C$1,Database!$A$1:$C$1,),))</f>
        <v/>
      </c>
      <c r="D7045">
        <f>IFERROR(Table7[[#This Row],[United States 10y]]-Table7[[#This Row],[United States 3y]],#N/A)</f>
        <v/>
      </c>
    </row>
    <row r="7046">
      <c r="A7046" s="6">
        <f>Database!$A9131</f>
        <v/>
      </c>
      <c r="B7046">
        <f>IF(VLOOKUP(Table7[[#This Row],[Date]],Database!$A:$C,MATCH($B$1,Database!$A$1:$C$1,),)=0,#N/A,VLOOKUP(Table7[[#This Row],[Date]],Database!$A:$C,MATCH($B$1,Database!$A$1:$C$1,),))</f>
        <v/>
      </c>
      <c r="C7046">
        <f>IF(VLOOKUP(Table7[[#This Row],[Date]],Database!$A:$C,MATCH($C$1,Database!$A$1:$C$1,),)=0,#N/A,VLOOKUP(Table7[[#This Row],[Date]],Database!$A:$C,MATCH($C$1,Database!$A$1:$C$1,),))</f>
        <v/>
      </c>
      <c r="D7046">
        <f>IFERROR(Table7[[#This Row],[United States 10y]]-Table7[[#This Row],[United States 3y]],#N/A)</f>
        <v/>
      </c>
    </row>
    <row r="7047">
      <c r="A7047" s="6">
        <f>Database!$A9132</f>
        <v/>
      </c>
      <c r="B7047">
        <f>IF(VLOOKUP(Table7[[#This Row],[Date]],Database!$A:$C,MATCH($B$1,Database!$A$1:$C$1,),)=0,#N/A,VLOOKUP(Table7[[#This Row],[Date]],Database!$A:$C,MATCH($B$1,Database!$A$1:$C$1,),))</f>
        <v/>
      </c>
      <c r="C7047">
        <f>IF(VLOOKUP(Table7[[#This Row],[Date]],Database!$A:$C,MATCH($C$1,Database!$A$1:$C$1,),)=0,#N/A,VLOOKUP(Table7[[#This Row],[Date]],Database!$A:$C,MATCH($C$1,Database!$A$1:$C$1,),))</f>
        <v/>
      </c>
      <c r="D7047">
        <f>IFERROR(Table7[[#This Row],[United States 10y]]-Table7[[#This Row],[United States 3y]],#N/A)</f>
        <v/>
      </c>
    </row>
    <row r="7048">
      <c r="A7048" s="6">
        <f>Database!$A9133</f>
        <v/>
      </c>
      <c r="B7048">
        <f>IF(VLOOKUP(Table7[[#This Row],[Date]],Database!$A:$C,MATCH($B$1,Database!$A$1:$C$1,),)=0,#N/A,VLOOKUP(Table7[[#This Row],[Date]],Database!$A:$C,MATCH($B$1,Database!$A$1:$C$1,),))</f>
        <v/>
      </c>
      <c r="C7048">
        <f>IF(VLOOKUP(Table7[[#This Row],[Date]],Database!$A:$C,MATCH($C$1,Database!$A$1:$C$1,),)=0,#N/A,VLOOKUP(Table7[[#This Row],[Date]],Database!$A:$C,MATCH($C$1,Database!$A$1:$C$1,),))</f>
        <v/>
      </c>
      <c r="D7048">
        <f>IFERROR(Table7[[#This Row],[United States 10y]]-Table7[[#This Row],[United States 3y]],#N/A)</f>
        <v/>
      </c>
    </row>
    <row r="7049">
      <c r="A7049" s="6">
        <f>Database!$A9134</f>
        <v/>
      </c>
      <c r="B7049">
        <f>IF(VLOOKUP(Table7[[#This Row],[Date]],Database!$A:$C,MATCH($B$1,Database!$A$1:$C$1,),)=0,#N/A,VLOOKUP(Table7[[#This Row],[Date]],Database!$A:$C,MATCH($B$1,Database!$A$1:$C$1,),))</f>
        <v/>
      </c>
      <c r="C7049">
        <f>IF(VLOOKUP(Table7[[#This Row],[Date]],Database!$A:$C,MATCH($C$1,Database!$A$1:$C$1,),)=0,#N/A,VLOOKUP(Table7[[#This Row],[Date]],Database!$A:$C,MATCH($C$1,Database!$A$1:$C$1,),))</f>
        <v/>
      </c>
      <c r="D7049">
        <f>IFERROR(Table7[[#This Row],[United States 10y]]-Table7[[#This Row],[United States 3y]],#N/A)</f>
        <v/>
      </c>
    </row>
    <row r="7050">
      <c r="A7050" s="6">
        <f>Database!$A9135</f>
        <v/>
      </c>
      <c r="B7050">
        <f>IF(VLOOKUP(Table7[[#This Row],[Date]],Database!$A:$C,MATCH($B$1,Database!$A$1:$C$1,),)=0,#N/A,VLOOKUP(Table7[[#This Row],[Date]],Database!$A:$C,MATCH($B$1,Database!$A$1:$C$1,),))</f>
        <v/>
      </c>
      <c r="C7050">
        <f>IF(VLOOKUP(Table7[[#This Row],[Date]],Database!$A:$C,MATCH($C$1,Database!$A$1:$C$1,),)=0,#N/A,VLOOKUP(Table7[[#This Row],[Date]],Database!$A:$C,MATCH($C$1,Database!$A$1:$C$1,),))</f>
        <v/>
      </c>
      <c r="D7050">
        <f>IFERROR(Table7[[#This Row],[United States 10y]]-Table7[[#This Row],[United States 3y]],#N/A)</f>
        <v/>
      </c>
    </row>
    <row r="7051">
      <c r="A7051" s="6">
        <f>Database!$A9136</f>
        <v/>
      </c>
      <c r="B7051">
        <f>IF(VLOOKUP(Table7[[#This Row],[Date]],Database!$A:$C,MATCH($B$1,Database!$A$1:$C$1,),)=0,#N/A,VLOOKUP(Table7[[#This Row],[Date]],Database!$A:$C,MATCH($B$1,Database!$A$1:$C$1,),))</f>
        <v/>
      </c>
      <c r="C7051">
        <f>IF(VLOOKUP(Table7[[#This Row],[Date]],Database!$A:$C,MATCH($C$1,Database!$A$1:$C$1,),)=0,#N/A,VLOOKUP(Table7[[#This Row],[Date]],Database!$A:$C,MATCH($C$1,Database!$A$1:$C$1,),))</f>
        <v/>
      </c>
      <c r="D7051">
        <f>IFERROR(Table7[[#This Row],[United States 10y]]-Table7[[#This Row],[United States 3y]],#N/A)</f>
        <v/>
      </c>
    </row>
    <row r="7052">
      <c r="A7052" s="6">
        <f>Database!$A9137</f>
        <v/>
      </c>
      <c r="B7052">
        <f>IF(VLOOKUP(Table7[[#This Row],[Date]],Database!$A:$C,MATCH($B$1,Database!$A$1:$C$1,),)=0,#N/A,VLOOKUP(Table7[[#This Row],[Date]],Database!$A:$C,MATCH($B$1,Database!$A$1:$C$1,),))</f>
        <v/>
      </c>
      <c r="C7052">
        <f>IF(VLOOKUP(Table7[[#This Row],[Date]],Database!$A:$C,MATCH($C$1,Database!$A$1:$C$1,),)=0,#N/A,VLOOKUP(Table7[[#This Row],[Date]],Database!$A:$C,MATCH($C$1,Database!$A$1:$C$1,),))</f>
        <v/>
      </c>
      <c r="D7052">
        <f>IFERROR(Table7[[#This Row],[United States 10y]]-Table7[[#This Row],[United States 3y]],#N/A)</f>
        <v/>
      </c>
    </row>
    <row r="7053">
      <c r="A7053" s="6">
        <f>Database!$A9138</f>
        <v/>
      </c>
      <c r="B7053">
        <f>IF(VLOOKUP(Table7[[#This Row],[Date]],Database!$A:$C,MATCH($B$1,Database!$A$1:$C$1,),)=0,#N/A,VLOOKUP(Table7[[#This Row],[Date]],Database!$A:$C,MATCH($B$1,Database!$A$1:$C$1,),))</f>
        <v/>
      </c>
      <c r="C7053">
        <f>IF(VLOOKUP(Table7[[#This Row],[Date]],Database!$A:$C,MATCH($C$1,Database!$A$1:$C$1,),)=0,#N/A,VLOOKUP(Table7[[#This Row],[Date]],Database!$A:$C,MATCH($C$1,Database!$A$1:$C$1,),))</f>
        <v/>
      </c>
      <c r="D7053">
        <f>IFERROR(Table7[[#This Row],[United States 10y]]-Table7[[#This Row],[United States 3y]],#N/A)</f>
        <v/>
      </c>
    </row>
    <row r="7054">
      <c r="A7054" s="6">
        <f>Database!$A9139</f>
        <v/>
      </c>
      <c r="B7054">
        <f>IF(VLOOKUP(Table7[[#This Row],[Date]],Database!$A:$C,MATCH($B$1,Database!$A$1:$C$1,),)=0,#N/A,VLOOKUP(Table7[[#This Row],[Date]],Database!$A:$C,MATCH($B$1,Database!$A$1:$C$1,),))</f>
        <v/>
      </c>
      <c r="C7054">
        <f>IF(VLOOKUP(Table7[[#This Row],[Date]],Database!$A:$C,MATCH($C$1,Database!$A$1:$C$1,),)=0,#N/A,VLOOKUP(Table7[[#This Row],[Date]],Database!$A:$C,MATCH($C$1,Database!$A$1:$C$1,),))</f>
        <v/>
      </c>
      <c r="D7054">
        <f>IFERROR(Table7[[#This Row],[United States 10y]]-Table7[[#This Row],[United States 3y]],#N/A)</f>
        <v/>
      </c>
    </row>
    <row r="7055">
      <c r="A7055" s="6">
        <f>Database!$A9140</f>
        <v/>
      </c>
      <c r="B7055">
        <f>IF(VLOOKUP(Table7[[#This Row],[Date]],Database!$A:$C,MATCH($B$1,Database!$A$1:$C$1,),)=0,#N/A,VLOOKUP(Table7[[#This Row],[Date]],Database!$A:$C,MATCH($B$1,Database!$A$1:$C$1,),))</f>
        <v/>
      </c>
      <c r="C7055">
        <f>IF(VLOOKUP(Table7[[#This Row],[Date]],Database!$A:$C,MATCH($C$1,Database!$A$1:$C$1,),)=0,#N/A,VLOOKUP(Table7[[#This Row],[Date]],Database!$A:$C,MATCH($C$1,Database!$A$1:$C$1,),))</f>
        <v/>
      </c>
      <c r="D7055">
        <f>IFERROR(Table7[[#This Row],[United States 10y]]-Table7[[#This Row],[United States 3y]],#N/A)</f>
        <v/>
      </c>
    </row>
    <row r="7056">
      <c r="A7056" s="6">
        <f>Database!$A9141</f>
        <v/>
      </c>
      <c r="B7056">
        <f>IF(VLOOKUP(Table7[[#This Row],[Date]],Database!$A:$C,MATCH($B$1,Database!$A$1:$C$1,),)=0,#N/A,VLOOKUP(Table7[[#This Row],[Date]],Database!$A:$C,MATCH($B$1,Database!$A$1:$C$1,),))</f>
        <v/>
      </c>
      <c r="C7056">
        <f>IF(VLOOKUP(Table7[[#This Row],[Date]],Database!$A:$C,MATCH($C$1,Database!$A$1:$C$1,),)=0,#N/A,VLOOKUP(Table7[[#This Row],[Date]],Database!$A:$C,MATCH($C$1,Database!$A$1:$C$1,),))</f>
        <v/>
      </c>
      <c r="D7056">
        <f>IFERROR(Table7[[#This Row],[United States 10y]]-Table7[[#This Row],[United States 3y]],#N/A)</f>
        <v/>
      </c>
    </row>
    <row r="7057">
      <c r="A7057" s="6">
        <f>Database!$A9142</f>
        <v/>
      </c>
      <c r="B7057">
        <f>IF(VLOOKUP(Table7[[#This Row],[Date]],Database!$A:$C,MATCH($B$1,Database!$A$1:$C$1,),)=0,#N/A,VLOOKUP(Table7[[#This Row],[Date]],Database!$A:$C,MATCH($B$1,Database!$A$1:$C$1,),))</f>
        <v/>
      </c>
      <c r="C7057">
        <f>IF(VLOOKUP(Table7[[#This Row],[Date]],Database!$A:$C,MATCH($C$1,Database!$A$1:$C$1,),)=0,#N/A,VLOOKUP(Table7[[#This Row],[Date]],Database!$A:$C,MATCH($C$1,Database!$A$1:$C$1,),))</f>
        <v/>
      </c>
      <c r="D7057">
        <f>IFERROR(Table7[[#This Row],[United States 10y]]-Table7[[#This Row],[United States 3y]],#N/A)</f>
        <v/>
      </c>
    </row>
    <row r="7058">
      <c r="A7058" s="6">
        <f>Database!$A9143</f>
        <v/>
      </c>
      <c r="B7058">
        <f>IF(VLOOKUP(Table7[[#This Row],[Date]],Database!$A:$C,MATCH($B$1,Database!$A$1:$C$1,),)=0,#N/A,VLOOKUP(Table7[[#This Row],[Date]],Database!$A:$C,MATCH($B$1,Database!$A$1:$C$1,),))</f>
        <v/>
      </c>
      <c r="C7058">
        <f>IF(VLOOKUP(Table7[[#This Row],[Date]],Database!$A:$C,MATCH($C$1,Database!$A$1:$C$1,),)=0,#N/A,VLOOKUP(Table7[[#This Row],[Date]],Database!$A:$C,MATCH($C$1,Database!$A$1:$C$1,),))</f>
        <v/>
      </c>
      <c r="D7058">
        <f>IFERROR(Table7[[#This Row],[United States 10y]]-Table7[[#This Row],[United States 3y]],#N/A)</f>
        <v/>
      </c>
    </row>
    <row r="7059">
      <c r="A7059" s="6">
        <f>Database!$A9144</f>
        <v/>
      </c>
      <c r="B7059">
        <f>IF(VLOOKUP(Table7[[#This Row],[Date]],Database!$A:$C,MATCH($B$1,Database!$A$1:$C$1,),)=0,#N/A,VLOOKUP(Table7[[#This Row],[Date]],Database!$A:$C,MATCH($B$1,Database!$A$1:$C$1,),))</f>
        <v/>
      </c>
      <c r="C7059">
        <f>IF(VLOOKUP(Table7[[#This Row],[Date]],Database!$A:$C,MATCH($C$1,Database!$A$1:$C$1,),)=0,#N/A,VLOOKUP(Table7[[#This Row],[Date]],Database!$A:$C,MATCH($C$1,Database!$A$1:$C$1,),))</f>
        <v/>
      </c>
      <c r="D7059">
        <f>IFERROR(Table7[[#This Row],[United States 10y]]-Table7[[#This Row],[United States 3y]],#N/A)</f>
        <v/>
      </c>
    </row>
    <row r="7060">
      <c r="A7060" s="6">
        <f>Database!$A9145</f>
        <v/>
      </c>
      <c r="B7060">
        <f>IF(VLOOKUP(Table7[[#This Row],[Date]],Database!$A:$C,MATCH($B$1,Database!$A$1:$C$1,),)=0,#N/A,VLOOKUP(Table7[[#This Row],[Date]],Database!$A:$C,MATCH($B$1,Database!$A$1:$C$1,),))</f>
        <v/>
      </c>
      <c r="C7060">
        <f>IF(VLOOKUP(Table7[[#This Row],[Date]],Database!$A:$C,MATCH($C$1,Database!$A$1:$C$1,),)=0,#N/A,VLOOKUP(Table7[[#This Row],[Date]],Database!$A:$C,MATCH($C$1,Database!$A$1:$C$1,),))</f>
        <v/>
      </c>
      <c r="D7060">
        <f>IFERROR(Table7[[#This Row],[United States 10y]]-Table7[[#This Row],[United States 3y]],#N/A)</f>
        <v/>
      </c>
    </row>
    <row r="7061">
      <c r="A7061" s="6">
        <f>Database!$A9146</f>
        <v/>
      </c>
      <c r="B7061">
        <f>IF(VLOOKUP(Table7[[#This Row],[Date]],Database!$A:$C,MATCH($B$1,Database!$A$1:$C$1,),)=0,#N/A,VLOOKUP(Table7[[#This Row],[Date]],Database!$A:$C,MATCH($B$1,Database!$A$1:$C$1,),))</f>
        <v/>
      </c>
      <c r="C7061">
        <f>IF(VLOOKUP(Table7[[#This Row],[Date]],Database!$A:$C,MATCH($C$1,Database!$A$1:$C$1,),)=0,#N/A,VLOOKUP(Table7[[#This Row],[Date]],Database!$A:$C,MATCH($C$1,Database!$A$1:$C$1,),))</f>
        <v/>
      </c>
      <c r="D7061">
        <f>IFERROR(Table7[[#This Row],[United States 10y]]-Table7[[#This Row],[United States 3y]],#N/A)</f>
        <v/>
      </c>
    </row>
    <row r="7062">
      <c r="A7062" s="6">
        <f>Database!$A9147</f>
        <v/>
      </c>
      <c r="B7062">
        <f>IF(VLOOKUP(Table7[[#This Row],[Date]],Database!$A:$C,MATCH($B$1,Database!$A$1:$C$1,),)=0,#N/A,VLOOKUP(Table7[[#This Row],[Date]],Database!$A:$C,MATCH($B$1,Database!$A$1:$C$1,),))</f>
        <v/>
      </c>
      <c r="C7062">
        <f>IF(VLOOKUP(Table7[[#This Row],[Date]],Database!$A:$C,MATCH($C$1,Database!$A$1:$C$1,),)=0,#N/A,VLOOKUP(Table7[[#This Row],[Date]],Database!$A:$C,MATCH($C$1,Database!$A$1:$C$1,),))</f>
        <v/>
      </c>
      <c r="D7062">
        <f>IFERROR(Table7[[#This Row],[United States 10y]]-Table7[[#This Row],[United States 3y]],#N/A)</f>
        <v/>
      </c>
    </row>
    <row r="7063">
      <c r="A7063" s="6">
        <f>Database!$A9148</f>
        <v/>
      </c>
      <c r="B7063">
        <f>IF(VLOOKUP(Table7[[#This Row],[Date]],Database!$A:$C,MATCH($B$1,Database!$A$1:$C$1,),)=0,#N/A,VLOOKUP(Table7[[#This Row],[Date]],Database!$A:$C,MATCH($B$1,Database!$A$1:$C$1,),))</f>
        <v/>
      </c>
      <c r="C7063">
        <f>IF(VLOOKUP(Table7[[#This Row],[Date]],Database!$A:$C,MATCH($C$1,Database!$A$1:$C$1,),)=0,#N/A,VLOOKUP(Table7[[#This Row],[Date]],Database!$A:$C,MATCH($C$1,Database!$A$1:$C$1,),))</f>
        <v/>
      </c>
      <c r="D7063">
        <f>IFERROR(Table7[[#This Row],[United States 10y]]-Table7[[#This Row],[United States 3y]],#N/A)</f>
        <v/>
      </c>
    </row>
    <row r="7064">
      <c r="A7064" s="6">
        <f>Database!$A9149</f>
        <v/>
      </c>
      <c r="B7064">
        <f>IF(VLOOKUP(Table7[[#This Row],[Date]],Database!$A:$C,MATCH($B$1,Database!$A$1:$C$1,),)=0,#N/A,VLOOKUP(Table7[[#This Row],[Date]],Database!$A:$C,MATCH($B$1,Database!$A$1:$C$1,),))</f>
        <v/>
      </c>
      <c r="C7064">
        <f>IF(VLOOKUP(Table7[[#This Row],[Date]],Database!$A:$C,MATCH($C$1,Database!$A$1:$C$1,),)=0,#N/A,VLOOKUP(Table7[[#This Row],[Date]],Database!$A:$C,MATCH($C$1,Database!$A$1:$C$1,),))</f>
        <v/>
      </c>
      <c r="D7064">
        <f>IFERROR(Table7[[#This Row],[United States 10y]]-Table7[[#This Row],[United States 3y]],#N/A)</f>
        <v/>
      </c>
    </row>
    <row r="7065">
      <c r="A7065" s="6">
        <f>Database!$A9150</f>
        <v/>
      </c>
      <c r="B7065">
        <f>IF(VLOOKUP(Table7[[#This Row],[Date]],Database!$A:$C,MATCH($B$1,Database!$A$1:$C$1,),)=0,#N/A,VLOOKUP(Table7[[#This Row],[Date]],Database!$A:$C,MATCH($B$1,Database!$A$1:$C$1,),))</f>
        <v/>
      </c>
      <c r="C7065">
        <f>IF(VLOOKUP(Table7[[#This Row],[Date]],Database!$A:$C,MATCH($C$1,Database!$A$1:$C$1,),)=0,#N/A,VLOOKUP(Table7[[#This Row],[Date]],Database!$A:$C,MATCH($C$1,Database!$A$1:$C$1,),))</f>
        <v/>
      </c>
      <c r="D7065">
        <f>IFERROR(Table7[[#This Row],[United States 10y]]-Table7[[#This Row],[United States 3y]],#N/A)</f>
        <v/>
      </c>
    </row>
    <row r="7066">
      <c r="A7066" s="6">
        <f>Database!$A9151</f>
        <v/>
      </c>
      <c r="B7066">
        <f>IF(VLOOKUP(Table7[[#This Row],[Date]],Database!$A:$C,MATCH($B$1,Database!$A$1:$C$1,),)=0,#N/A,VLOOKUP(Table7[[#This Row],[Date]],Database!$A:$C,MATCH($B$1,Database!$A$1:$C$1,),))</f>
        <v/>
      </c>
      <c r="C7066">
        <f>IF(VLOOKUP(Table7[[#This Row],[Date]],Database!$A:$C,MATCH($C$1,Database!$A$1:$C$1,),)=0,#N/A,VLOOKUP(Table7[[#This Row],[Date]],Database!$A:$C,MATCH($C$1,Database!$A$1:$C$1,),))</f>
        <v/>
      </c>
      <c r="D7066">
        <f>IFERROR(Table7[[#This Row],[United States 10y]]-Table7[[#This Row],[United States 3y]],#N/A)</f>
        <v/>
      </c>
    </row>
    <row r="7067">
      <c r="A7067" s="6">
        <f>Database!$A9152</f>
        <v/>
      </c>
      <c r="B7067">
        <f>IF(VLOOKUP(Table7[[#This Row],[Date]],Database!$A:$C,MATCH($B$1,Database!$A$1:$C$1,),)=0,#N/A,VLOOKUP(Table7[[#This Row],[Date]],Database!$A:$C,MATCH($B$1,Database!$A$1:$C$1,),))</f>
        <v/>
      </c>
      <c r="C7067">
        <f>IF(VLOOKUP(Table7[[#This Row],[Date]],Database!$A:$C,MATCH($C$1,Database!$A$1:$C$1,),)=0,#N/A,VLOOKUP(Table7[[#This Row],[Date]],Database!$A:$C,MATCH($C$1,Database!$A$1:$C$1,),))</f>
        <v/>
      </c>
      <c r="D7067">
        <f>IFERROR(Table7[[#This Row],[United States 10y]]-Table7[[#This Row],[United States 3y]],#N/A)</f>
        <v/>
      </c>
    </row>
    <row r="7068">
      <c r="A7068" s="6">
        <f>Database!$A9153</f>
        <v/>
      </c>
      <c r="B7068">
        <f>IF(VLOOKUP(Table7[[#This Row],[Date]],Database!$A:$C,MATCH($B$1,Database!$A$1:$C$1,),)=0,#N/A,VLOOKUP(Table7[[#This Row],[Date]],Database!$A:$C,MATCH($B$1,Database!$A$1:$C$1,),))</f>
        <v/>
      </c>
      <c r="C7068">
        <f>IF(VLOOKUP(Table7[[#This Row],[Date]],Database!$A:$C,MATCH($C$1,Database!$A$1:$C$1,),)=0,#N/A,VLOOKUP(Table7[[#This Row],[Date]],Database!$A:$C,MATCH($C$1,Database!$A$1:$C$1,),))</f>
        <v/>
      </c>
      <c r="D7068">
        <f>IFERROR(Table7[[#This Row],[United States 10y]]-Table7[[#This Row],[United States 3y]],#N/A)</f>
        <v/>
      </c>
    </row>
    <row r="7069">
      <c r="A7069" s="6">
        <f>Database!$A9154</f>
        <v/>
      </c>
      <c r="B7069">
        <f>IF(VLOOKUP(Table7[[#This Row],[Date]],Database!$A:$C,MATCH($B$1,Database!$A$1:$C$1,),)=0,#N/A,VLOOKUP(Table7[[#This Row],[Date]],Database!$A:$C,MATCH($B$1,Database!$A$1:$C$1,),))</f>
        <v/>
      </c>
      <c r="C7069">
        <f>IF(VLOOKUP(Table7[[#This Row],[Date]],Database!$A:$C,MATCH($C$1,Database!$A$1:$C$1,),)=0,#N/A,VLOOKUP(Table7[[#This Row],[Date]],Database!$A:$C,MATCH($C$1,Database!$A$1:$C$1,),))</f>
        <v/>
      </c>
      <c r="D7069">
        <f>IFERROR(Table7[[#This Row],[United States 10y]]-Table7[[#This Row],[United States 3y]],#N/A)</f>
        <v/>
      </c>
    </row>
    <row r="7070">
      <c r="A7070" s="6">
        <f>Database!$A9155</f>
        <v/>
      </c>
      <c r="B7070">
        <f>IF(VLOOKUP(Table7[[#This Row],[Date]],Database!$A:$C,MATCH($B$1,Database!$A$1:$C$1,),)=0,#N/A,VLOOKUP(Table7[[#This Row],[Date]],Database!$A:$C,MATCH($B$1,Database!$A$1:$C$1,),))</f>
        <v/>
      </c>
      <c r="C7070">
        <f>IF(VLOOKUP(Table7[[#This Row],[Date]],Database!$A:$C,MATCH($C$1,Database!$A$1:$C$1,),)=0,#N/A,VLOOKUP(Table7[[#This Row],[Date]],Database!$A:$C,MATCH($C$1,Database!$A$1:$C$1,),))</f>
        <v/>
      </c>
      <c r="D7070">
        <f>IFERROR(Table7[[#This Row],[United States 10y]]-Table7[[#This Row],[United States 3y]],#N/A)</f>
        <v/>
      </c>
    </row>
    <row r="7071">
      <c r="A7071" s="6">
        <f>Database!$A9156</f>
        <v/>
      </c>
      <c r="B7071">
        <f>IF(VLOOKUP(Table7[[#This Row],[Date]],Database!$A:$C,MATCH($B$1,Database!$A$1:$C$1,),)=0,#N/A,VLOOKUP(Table7[[#This Row],[Date]],Database!$A:$C,MATCH($B$1,Database!$A$1:$C$1,),))</f>
        <v/>
      </c>
      <c r="C7071">
        <f>IF(VLOOKUP(Table7[[#This Row],[Date]],Database!$A:$C,MATCH($C$1,Database!$A$1:$C$1,),)=0,#N/A,VLOOKUP(Table7[[#This Row],[Date]],Database!$A:$C,MATCH($C$1,Database!$A$1:$C$1,),))</f>
        <v/>
      </c>
      <c r="D7071">
        <f>IFERROR(Table7[[#This Row],[United States 10y]]-Table7[[#This Row],[United States 3y]],#N/A)</f>
        <v/>
      </c>
    </row>
    <row r="7072">
      <c r="A7072" s="6">
        <f>Database!$A9157</f>
        <v/>
      </c>
      <c r="B7072">
        <f>IF(VLOOKUP(Table7[[#This Row],[Date]],Database!$A:$C,MATCH($B$1,Database!$A$1:$C$1,),)=0,#N/A,VLOOKUP(Table7[[#This Row],[Date]],Database!$A:$C,MATCH($B$1,Database!$A$1:$C$1,),))</f>
        <v/>
      </c>
      <c r="C7072">
        <f>IF(VLOOKUP(Table7[[#This Row],[Date]],Database!$A:$C,MATCH($C$1,Database!$A$1:$C$1,),)=0,#N/A,VLOOKUP(Table7[[#This Row],[Date]],Database!$A:$C,MATCH($C$1,Database!$A$1:$C$1,),))</f>
        <v/>
      </c>
      <c r="D7072">
        <f>IFERROR(Table7[[#This Row],[United States 10y]]-Table7[[#This Row],[United States 3y]],#N/A)</f>
        <v/>
      </c>
    </row>
    <row r="7073">
      <c r="A7073" s="6">
        <f>Database!$A9158</f>
        <v/>
      </c>
      <c r="B7073">
        <f>IF(VLOOKUP(Table7[[#This Row],[Date]],Database!$A:$C,MATCH($B$1,Database!$A$1:$C$1,),)=0,#N/A,VLOOKUP(Table7[[#This Row],[Date]],Database!$A:$C,MATCH($B$1,Database!$A$1:$C$1,),))</f>
        <v/>
      </c>
      <c r="C7073">
        <f>IF(VLOOKUP(Table7[[#This Row],[Date]],Database!$A:$C,MATCH($C$1,Database!$A$1:$C$1,),)=0,#N/A,VLOOKUP(Table7[[#This Row],[Date]],Database!$A:$C,MATCH($C$1,Database!$A$1:$C$1,),))</f>
        <v/>
      </c>
      <c r="D7073">
        <f>IFERROR(Table7[[#This Row],[United States 10y]]-Table7[[#This Row],[United States 3y]],#N/A)</f>
        <v/>
      </c>
    </row>
    <row r="7074">
      <c r="A7074" s="6">
        <f>Database!$A9159</f>
        <v/>
      </c>
      <c r="B7074">
        <f>IF(VLOOKUP(Table7[[#This Row],[Date]],Database!$A:$C,MATCH($B$1,Database!$A$1:$C$1,),)=0,#N/A,VLOOKUP(Table7[[#This Row],[Date]],Database!$A:$C,MATCH($B$1,Database!$A$1:$C$1,),))</f>
        <v/>
      </c>
      <c r="C7074">
        <f>IF(VLOOKUP(Table7[[#This Row],[Date]],Database!$A:$C,MATCH($C$1,Database!$A$1:$C$1,),)=0,#N/A,VLOOKUP(Table7[[#This Row],[Date]],Database!$A:$C,MATCH($C$1,Database!$A$1:$C$1,),))</f>
        <v/>
      </c>
      <c r="D7074">
        <f>IFERROR(Table7[[#This Row],[United States 10y]]-Table7[[#This Row],[United States 3y]],#N/A)</f>
        <v/>
      </c>
    </row>
    <row r="7075">
      <c r="A7075" s="6">
        <f>Database!$A9160</f>
        <v/>
      </c>
      <c r="B7075">
        <f>IF(VLOOKUP(Table7[[#This Row],[Date]],Database!$A:$C,MATCH($B$1,Database!$A$1:$C$1,),)=0,#N/A,VLOOKUP(Table7[[#This Row],[Date]],Database!$A:$C,MATCH($B$1,Database!$A$1:$C$1,),))</f>
        <v/>
      </c>
      <c r="C7075">
        <f>IF(VLOOKUP(Table7[[#This Row],[Date]],Database!$A:$C,MATCH($C$1,Database!$A$1:$C$1,),)=0,#N/A,VLOOKUP(Table7[[#This Row],[Date]],Database!$A:$C,MATCH($C$1,Database!$A$1:$C$1,),))</f>
        <v/>
      </c>
      <c r="D7075">
        <f>IFERROR(Table7[[#This Row],[United States 10y]]-Table7[[#This Row],[United States 3y]],#N/A)</f>
        <v/>
      </c>
    </row>
    <row r="7076">
      <c r="A7076" s="6">
        <f>Database!$A9161</f>
        <v/>
      </c>
      <c r="B7076">
        <f>IF(VLOOKUP(Table7[[#This Row],[Date]],Database!$A:$C,MATCH($B$1,Database!$A$1:$C$1,),)=0,#N/A,VLOOKUP(Table7[[#This Row],[Date]],Database!$A:$C,MATCH($B$1,Database!$A$1:$C$1,),))</f>
        <v/>
      </c>
      <c r="C7076">
        <f>IF(VLOOKUP(Table7[[#This Row],[Date]],Database!$A:$C,MATCH($C$1,Database!$A$1:$C$1,),)=0,#N/A,VLOOKUP(Table7[[#This Row],[Date]],Database!$A:$C,MATCH($C$1,Database!$A$1:$C$1,),))</f>
        <v/>
      </c>
      <c r="D7076">
        <f>IFERROR(Table7[[#This Row],[United States 10y]]-Table7[[#This Row],[United States 3y]],#N/A)</f>
        <v/>
      </c>
    </row>
    <row r="7077">
      <c r="A7077" s="6">
        <f>Database!$A9162</f>
        <v/>
      </c>
      <c r="B7077">
        <f>IF(VLOOKUP(Table7[[#This Row],[Date]],Database!$A:$C,MATCH($B$1,Database!$A$1:$C$1,),)=0,#N/A,VLOOKUP(Table7[[#This Row],[Date]],Database!$A:$C,MATCH($B$1,Database!$A$1:$C$1,),))</f>
        <v/>
      </c>
      <c r="C7077">
        <f>IF(VLOOKUP(Table7[[#This Row],[Date]],Database!$A:$C,MATCH($C$1,Database!$A$1:$C$1,),)=0,#N/A,VLOOKUP(Table7[[#This Row],[Date]],Database!$A:$C,MATCH($C$1,Database!$A$1:$C$1,),))</f>
        <v/>
      </c>
      <c r="D7077">
        <f>IFERROR(Table7[[#This Row],[United States 10y]]-Table7[[#This Row],[United States 3y]],#N/A)</f>
        <v/>
      </c>
    </row>
    <row r="7078">
      <c r="A7078" s="6">
        <f>Database!$A9163</f>
        <v/>
      </c>
      <c r="B7078">
        <f>IF(VLOOKUP(Table7[[#This Row],[Date]],Database!$A:$C,MATCH($B$1,Database!$A$1:$C$1,),)=0,#N/A,VLOOKUP(Table7[[#This Row],[Date]],Database!$A:$C,MATCH($B$1,Database!$A$1:$C$1,),))</f>
        <v/>
      </c>
      <c r="C7078">
        <f>IF(VLOOKUP(Table7[[#This Row],[Date]],Database!$A:$C,MATCH($C$1,Database!$A$1:$C$1,),)=0,#N/A,VLOOKUP(Table7[[#This Row],[Date]],Database!$A:$C,MATCH($C$1,Database!$A$1:$C$1,),))</f>
        <v/>
      </c>
      <c r="D7078">
        <f>IFERROR(Table7[[#This Row],[United States 10y]]-Table7[[#This Row],[United States 3y]],#N/A)</f>
        <v/>
      </c>
    </row>
    <row r="7079">
      <c r="A7079" s="6">
        <f>Database!$A9164</f>
        <v/>
      </c>
      <c r="B7079">
        <f>IF(VLOOKUP(Table7[[#This Row],[Date]],Database!$A:$C,MATCH($B$1,Database!$A$1:$C$1,),)=0,#N/A,VLOOKUP(Table7[[#This Row],[Date]],Database!$A:$C,MATCH($B$1,Database!$A$1:$C$1,),))</f>
        <v/>
      </c>
      <c r="C7079">
        <f>IF(VLOOKUP(Table7[[#This Row],[Date]],Database!$A:$C,MATCH($C$1,Database!$A$1:$C$1,),)=0,#N/A,VLOOKUP(Table7[[#This Row],[Date]],Database!$A:$C,MATCH($C$1,Database!$A$1:$C$1,),))</f>
        <v/>
      </c>
      <c r="D7079">
        <f>IFERROR(Table7[[#This Row],[United States 10y]]-Table7[[#This Row],[United States 3y]],#N/A)</f>
        <v/>
      </c>
    </row>
    <row r="7080">
      <c r="A7080" s="6">
        <f>Database!$A9165</f>
        <v/>
      </c>
      <c r="B7080">
        <f>IF(VLOOKUP(Table7[[#This Row],[Date]],Database!$A:$C,MATCH($B$1,Database!$A$1:$C$1,),)=0,#N/A,VLOOKUP(Table7[[#This Row],[Date]],Database!$A:$C,MATCH($B$1,Database!$A$1:$C$1,),))</f>
        <v/>
      </c>
      <c r="C7080">
        <f>IF(VLOOKUP(Table7[[#This Row],[Date]],Database!$A:$C,MATCH($C$1,Database!$A$1:$C$1,),)=0,#N/A,VLOOKUP(Table7[[#This Row],[Date]],Database!$A:$C,MATCH($C$1,Database!$A$1:$C$1,),))</f>
        <v/>
      </c>
      <c r="D7080">
        <f>IFERROR(Table7[[#This Row],[United States 10y]]-Table7[[#This Row],[United States 3y]],#N/A)</f>
        <v/>
      </c>
    </row>
    <row r="7081">
      <c r="A7081" s="6">
        <f>Database!$A9166</f>
        <v/>
      </c>
      <c r="B7081">
        <f>IF(VLOOKUP(Table7[[#This Row],[Date]],Database!$A:$C,MATCH($B$1,Database!$A$1:$C$1,),)=0,#N/A,VLOOKUP(Table7[[#This Row],[Date]],Database!$A:$C,MATCH($B$1,Database!$A$1:$C$1,),))</f>
        <v/>
      </c>
      <c r="C7081">
        <f>IF(VLOOKUP(Table7[[#This Row],[Date]],Database!$A:$C,MATCH($C$1,Database!$A$1:$C$1,),)=0,#N/A,VLOOKUP(Table7[[#This Row],[Date]],Database!$A:$C,MATCH($C$1,Database!$A$1:$C$1,),))</f>
        <v/>
      </c>
      <c r="D7081">
        <f>IFERROR(Table7[[#This Row],[United States 10y]]-Table7[[#This Row],[United States 3y]],#N/A)</f>
        <v/>
      </c>
    </row>
    <row r="7082">
      <c r="A7082" s="6">
        <f>Database!$A9167</f>
        <v/>
      </c>
      <c r="B7082">
        <f>IF(VLOOKUP(Table7[[#This Row],[Date]],Database!$A:$C,MATCH($B$1,Database!$A$1:$C$1,),)=0,#N/A,VLOOKUP(Table7[[#This Row],[Date]],Database!$A:$C,MATCH($B$1,Database!$A$1:$C$1,),))</f>
        <v/>
      </c>
      <c r="C7082">
        <f>IF(VLOOKUP(Table7[[#This Row],[Date]],Database!$A:$C,MATCH($C$1,Database!$A$1:$C$1,),)=0,#N/A,VLOOKUP(Table7[[#This Row],[Date]],Database!$A:$C,MATCH($C$1,Database!$A$1:$C$1,),))</f>
        <v/>
      </c>
      <c r="D7082">
        <f>IFERROR(Table7[[#This Row],[United States 10y]]-Table7[[#This Row],[United States 3y]],#N/A)</f>
        <v/>
      </c>
    </row>
    <row r="7083">
      <c r="A7083" s="6">
        <f>Database!$A9168</f>
        <v/>
      </c>
      <c r="B7083">
        <f>IF(VLOOKUP(Table7[[#This Row],[Date]],Database!$A:$C,MATCH($B$1,Database!$A$1:$C$1,),)=0,#N/A,VLOOKUP(Table7[[#This Row],[Date]],Database!$A:$C,MATCH($B$1,Database!$A$1:$C$1,),))</f>
        <v/>
      </c>
      <c r="C7083">
        <f>IF(VLOOKUP(Table7[[#This Row],[Date]],Database!$A:$C,MATCH($C$1,Database!$A$1:$C$1,),)=0,#N/A,VLOOKUP(Table7[[#This Row],[Date]],Database!$A:$C,MATCH($C$1,Database!$A$1:$C$1,),))</f>
        <v/>
      </c>
      <c r="D7083">
        <f>IFERROR(Table7[[#This Row],[United States 10y]]-Table7[[#This Row],[United States 3y]],#N/A)</f>
        <v/>
      </c>
    </row>
    <row r="7084">
      <c r="A7084" s="6">
        <f>Database!$A9169</f>
        <v/>
      </c>
      <c r="B7084">
        <f>IF(VLOOKUP(Table7[[#This Row],[Date]],Database!$A:$C,MATCH($B$1,Database!$A$1:$C$1,),)=0,#N/A,VLOOKUP(Table7[[#This Row],[Date]],Database!$A:$C,MATCH($B$1,Database!$A$1:$C$1,),))</f>
        <v/>
      </c>
      <c r="C7084">
        <f>IF(VLOOKUP(Table7[[#This Row],[Date]],Database!$A:$C,MATCH($C$1,Database!$A$1:$C$1,),)=0,#N/A,VLOOKUP(Table7[[#This Row],[Date]],Database!$A:$C,MATCH($C$1,Database!$A$1:$C$1,),))</f>
        <v/>
      </c>
      <c r="D7084">
        <f>IFERROR(Table7[[#This Row],[United States 10y]]-Table7[[#This Row],[United States 3y]],#N/A)</f>
        <v/>
      </c>
    </row>
    <row r="7085">
      <c r="A7085" s="6">
        <f>Database!$A9170</f>
        <v/>
      </c>
      <c r="B7085">
        <f>IF(VLOOKUP(Table7[[#This Row],[Date]],Database!$A:$C,MATCH($B$1,Database!$A$1:$C$1,),)=0,#N/A,VLOOKUP(Table7[[#This Row],[Date]],Database!$A:$C,MATCH($B$1,Database!$A$1:$C$1,),))</f>
        <v/>
      </c>
      <c r="C7085">
        <f>IF(VLOOKUP(Table7[[#This Row],[Date]],Database!$A:$C,MATCH($C$1,Database!$A$1:$C$1,),)=0,#N/A,VLOOKUP(Table7[[#This Row],[Date]],Database!$A:$C,MATCH($C$1,Database!$A$1:$C$1,),))</f>
        <v/>
      </c>
      <c r="D7085">
        <f>IFERROR(Table7[[#This Row],[United States 10y]]-Table7[[#This Row],[United States 3y]],#N/A)</f>
        <v/>
      </c>
    </row>
    <row r="7086">
      <c r="A7086" s="6">
        <f>Database!$A9171</f>
        <v/>
      </c>
      <c r="B7086">
        <f>IF(VLOOKUP(Table7[[#This Row],[Date]],Database!$A:$C,MATCH($B$1,Database!$A$1:$C$1,),)=0,#N/A,VLOOKUP(Table7[[#This Row],[Date]],Database!$A:$C,MATCH($B$1,Database!$A$1:$C$1,),))</f>
        <v/>
      </c>
      <c r="C7086">
        <f>IF(VLOOKUP(Table7[[#This Row],[Date]],Database!$A:$C,MATCH($C$1,Database!$A$1:$C$1,),)=0,#N/A,VLOOKUP(Table7[[#This Row],[Date]],Database!$A:$C,MATCH($C$1,Database!$A$1:$C$1,),))</f>
        <v/>
      </c>
      <c r="D7086">
        <f>IFERROR(Table7[[#This Row],[United States 10y]]-Table7[[#This Row],[United States 3y]],#N/A)</f>
        <v/>
      </c>
    </row>
    <row r="7087">
      <c r="A7087" s="6">
        <f>Database!$A9172</f>
        <v/>
      </c>
      <c r="B7087">
        <f>IF(VLOOKUP(Table7[[#This Row],[Date]],Database!$A:$C,MATCH($B$1,Database!$A$1:$C$1,),)=0,#N/A,VLOOKUP(Table7[[#This Row],[Date]],Database!$A:$C,MATCH($B$1,Database!$A$1:$C$1,),))</f>
        <v/>
      </c>
      <c r="C7087">
        <f>IF(VLOOKUP(Table7[[#This Row],[Date]],Database!$A:$C,MATCH($C$1,Database!$A$1:$C$1,),)=0,#N/A,VLOOKUP(Table7[[#This Row],[Date]],Database!$A:$C,MATCH($C$1,Database!$A$1:$C$1,),))</f>
        <v/>
      </c>
      <c r="D7087">
        <f>IFERROR(Table7[[#This Row],[United States 10y]]-Table7[[#This Row],[United States 3y]],#N/A)</f>
        <v/>
      </c>
    </row>
    <row r="7088">
      <c r="A7088" s="6">
        <f>Database!$A9173</f>
        <v/>
      </c>
      <c r="B7088">
        <f>IF(VLOOKUP(Table7[[#This Row],[Date]],Database!$A:$C,MATCH($B$1,Database!$A$1:$C$1,),)=0,#N/A,VLOOKUP(Table7[[#This Row],[Date]],Database!$A:$C,MATCH($B$1,Database!$A$1:$C$1,),))</f>
        <v/>
      </c>
      <c r="C7088">
        <f>IF(VLOOKUP(Table7[[#This Row],[Date]],Database!$A:$C,MATCH($C$1,Database!$A$1:$C$1,),)=0,#N/A,VLOOKUP(Table7[[#This Row],[Date]],Database!$A:$C,MATCH($C$1,Database!$A$1:$C$1,),))</f>
        <v/>
      </c>
      <c r="D7088">
        <f>IFERROR(Table7[[#This Row],[United States 10y]]-Table7[[#This Row],[United States 3y]],#N/A)</f>
        <v/>
      </c>
    </row>
    <row r="7089">
      <c r="A7089" s="6">
        <f>Database!$A9174</f>
        <v/>
      </c>
      <c r="B7089">
        <f>IF(VLOOKUP(Table7[[#This Row],[Date]],Database!$A:$C,MATCH($B$1,Database!$A$1:$C$1,),)=0,#N/A,VLOOKUP(Table7[[#This Row],[Date]],Database!$A:$C,MATCH($B$1,Database!$A$1:$C$1,),))</f>
        <v/>
      </c>
      <c r="C7089">
        <f>IF(VLOOKUP(Table7[[#This Row],[Date]],Database!$A:$C,MATCH($C$1,Database!$A$1:$C$1,),)=0,#N/A,VLOOKUP(Table7[[#This Row],[Date]],Database!$A:$C,MATCH($C$1,Database!$A$1:$C$1,),))</f>
        <v/>
      </c>
      <c r="D7089">
        <f>IFERROR(Table7[[#This Row],[United States 10y]]-Table7[[#This Row],[United States 3y]],#N/A)</f>
        <v/>
      </c>
    </row>
    <row r="7090">
      <c r="A7090" s="6">
        <f>Database!$A9175</f>
        <v/>
      </c>
      <c r="B7090">
        <f>IF(VLOOKUP(Table7[[#This Row],[Date]],Database!$A:$C,MATCH($B$1,Database!$A$1:$C$1,),)=0,#N/A,VLOOKUP(Table7[[#This Row],[Date]],Database!$A:$C,MATCH($B$1,Database!$A$1:$C$1,),))</f>
        <v/>
      </c>
      <c r="C7090">
        <f>IF(VLOOKUP(Table7[[#This Row],[Date]],Database!$A:$C,MATCH($C$1,Database!$A$1:$C$1,),)=0,#N/A,VLOOKUP(Table7[[#This Row],[Date]],Database!$A:$C,MATCH($C$1,Database!$A$1:$C$1,),))</f>
        <v/>
      </c>
      <c r="D7090">
        <f>IFERROR(Table7[[#This Row],[United States 10y]]-Table7[[#This Row],[United States 3y]],#N/A)</f>
        <v/>
      </c>
    </row>
    <row r="7091">
      <c r="A7091" s="6">
        <f>Database!$A9176</f>
        <v/>
      </c>
      <c r="B7091">
        <f>IF(VLOOKUP(Table7[[#This Row],[Date]],Database!$A:$C,MATCH($B$1,Database!$A$1:$C$1,),)=0,#N/A,VLOOKUP(Table7[[#This Row],[Date]],Database!$A:$C,MATCH($B$1,Database!$A$1:$C$1,),))</f>
        <v/>
      </c>
      <c r="C7091">
        <f>IF(VLOOKUP(Table7[[#This Row],[Date]],Database!$A:$C,MATCH($C$1,Database!$A$1:$C$1,),)=0,#N/A,VLOOKUP(Table7[[#This Row],[Date]],Database!$A:$C,MATCH($C$1,Database!$A$1:$C$1,),))</f>
        <v/>
      </c>
      <c r="D7091">
        <f>IFERROR(Table7[[#This Row],[United States 10y]]-Table7[[#This Row],[United States 3y]],#N/A)</f>
        <v/>
      </c>
    </row>
    <row r="7092">
      <c r="A7092" s="6">
        <f>Database!$A9177</f>
        <v/>
      </c>
      <c r="B7092">
        <f>IF(VLOOKUP(Table7[[#This Row],[Date]],Database!$A:$C,MATCH($B$1,Database!$A$1:$C$1,),)=0,#N/A,VLOOKUP(Table7[[#This Row],[Date]],Database!$A:$C,MATCH($B$1,Database!$A$1:$C$1,),))</f>
        <v/>
      </c>
      <c r="C7092">
        <f>IF(VLOOKUP(Table7[[#This Row],[Date]],Database!$A:$C,MATCH($C$1,Database!$A$1:$C$1,),)=0,#N/A,VLOOKUP(Table7[[#This Row],[Date]],Database!$A:$C,MATCH($C$1,Database!$A$1:$C$1,),))</f>
        <v/>
      </c>
      <c r="D7092">
        <f>IFERROR(Table7[[#This Row],[United States 10y]]-Table7[[#This Row],[United States 3y]],#N/A)</f>
        <v/>
      </c>
    </row>
    <row r="7093">
      <c r="A7093" s="6">
        <f>Database!$A9178</f>
        <v/>
      </c>
      <c r="B7093">
        <f>IF(VLOOKUP(Table7[[#This Row],[Date]],Database!$A:$C,MATCH($B$1,Database!$A$1:$C$1,),)=0,#N/A,VLOOKUP(Table7[[#This Row],[Date]],Database!$A:$C,MATCH($B$1,Database!$A$1:$C$1,),))</f>
        <v/>
      </c>
      <c r="C7093">
        <f>IF(VLOOKUP(Table7[[#This Row],[Date]],Database!$A:$C,MATCH($C$1,Database!$A$1:$C$1,),)=0,#N/A,VLOOKUP(Table7[[#This Row],[Date]],Database!$A:$C,MATCH($C$1,Database!$A$1:$C$1,),))</f>
        <v/>
      </c>
      <c r="D7093">
        <f>IFERROR(Table7[[#This Row],[United States 10y]]-Table7[[#This Row],[United States 3y]],#N/A)</f>
        <v/>
      </c>
    </row>
    <row r="7094">
      <c r="A7094" s="6">
        <f>Database!$A9179</f>
        <v/>
      </c>
      <c r="B7094">
        <f>IF(VLOOKUP(Table7[[#This Row],[Date]],Database!$A:$C,MATCH($B$1,Database!$A$1:$C$1,),)=0,#N/A,VLOOKUP(Table7[[#This Row],[Date]],Database!$A:$C,MATCH($B$1,Database!$A$1:$C$1,),))</f>
        <v/>
      </c>
      <c r="C7094">
        <f>IF(VLOOKUP(Table7[[#This Row],[Date]],Database!$A:$C,MATCH($C$1,Database!$A$1:$C$1,),)=0,#N/A,VLOOKUP(Table7[[#This Row],[Date]],Database!$A:$C,MATCH($C$1,Database!$A$1:$C$1,),))</f>
        <v/>
      </c>
      <c r="D7094">
        <f>IFERROR(Table7[[#This Row],[United States 10y]]-Table7[[#This Row],[United States 3y]],#N/A)</f>
        <v/>
      </c>
    </row>
    <row r="7095">
      <c r="A7095" s="6">
        <f>Database!$A9180</f>
        <v/>
      </c>
      <c r="B7095">
        <f>IF(VLOOKUP(Table7[[#This Row],[Date]],Database!$A:$C,MATCH($B$1,Database!$A$1:$C$1,),)=0,#N/A,VLOOKUP(Table7[[#This Row],[Date]],Database!$A:$C,MATCH($B$1,Database!$A$1:$C$1,),))</f>
        <v/>
      </c>
      <c r="C7095">
        <f>IF(VLOOKUP(Table7[[#This Row],[Date]],Database!$A:$C,MATCH($C$1,Database!$A$1:$C$1,),)=0,#N/A,VLOOKUP(Table7[[#This Row],[Date]],Database!$A:$C,MATCH($C$1,Database!$A$1:$C$1,),))</f>
        <v/>
      </c>
      <c r="D7095">
        <f>IFERROR(Table7[[#This Row],[United States 10y]]-Table7[[#This Row],[United States 3y]],#N/A)</f>
        <v/>
      </c>
    </row>
    <row r="7096">
      <c r="A7096" s="6">
        <f>Database!$A9181</f>
        <v/>
      </c>
      <c r="B7096">
        <f>IF(VLOOKUP(Table7[[#This Row],[Date]],Database!$A:$C,MATCH($B$1,Database!$A$1:$C$1,),)=0,#N/A,VLOOKUP(Table7[[#This Row],[Date]],Database!$A:$C,MATCH($B$1,Database!$A$1:$C$1,),))</f>
        <v/>
      </c>
      <c r="C7096">
        <f>IF(VLOOKUP(Table7[[#This Row],[Date]],Database!$A:$C,MATCH($C$1,Database!$A$1:$C$1,),)=0,#N/A,VLOOKUP(Table7[[#This Row],[Date]],Database!$A:$C,MATCH($C$1,Database!$A$1:$C$1,),))</f>
        <v/>
      </c>
      <c r="D7096">
        <f>IFERROR(Table7[[#This Row],[United States 10y]]-Table7[[#This Row],[United States 3y]],#N/A)</f>
        <v/>
      </c>
    </row>
    <row r="7097">
      <c r="A7097" s="6">
        <f>Database!$A9182</f>
        <v/>
      </c>
      <c r="B7097">
        <f>IF(VLOOKUP(Table7[[#This Row],[Date]],Database!$A:$C,MATCH($B$1,Database!$A$1:$C$1,),)=0,#N/A,VLOOKUP(Table7[[#This Row],[Date]],Database!$A:$C,MATCH($B$1,Database!$A$1:$C$1,),))</f>
        <v/>
      </c>
      <c r="C7097">
        <f>IF(VLOOKUP(Table7[[#This Row],[Date]],Database!$A:$C,MATCH($C$1,Database!$A$1:$C$1,),)=0,#N/A,VLOOKUP(Table7[[#This Row],[Date]],Database!$A:$C,MATCH($C$1,Database!$A$1:$C$1,),))</f>
        <v/>
      </c>
      <c r="D7097">
        <f>IFERROR(Table7[[#This Row],[United States 10y]]-Table7[[#This Row],[United States 3y]],#N/A)</f>
        <v/>
      </c>
    </row>
    <row r="7098">
      <c r="A7098" s="6">
        <f>Database!$A9183</f>
        <v/>
      </c>
      <c r="B7098">
        <f>IF(VLOOKUP(Table7[[#This Row],[Date]],Database!$A:$C,MATCH($B$1,Database!$A$1:$C$1,),)=0,#N/A,VLOOKUP(Table7[[#This Row],[Date]],Database!$A:$C,MATCH($B$1,Database!$A$1:$C$1,),))</f>
        <v/>
      </c>
      <c r="C7098">
        <f>IF(VLOOKUP(Table7[[#This Row],[Date]],Database!$A:$C,MATCH($C$1,Database!$A$1:$C$1,),)=0,#N/A,VLOOKUP(Table7[[#This Row],[Date]],Database!$A:$C,MATCH($C$1,Database!$A$1:$C$1,),))</f>
        <v/>
      </c>
      <c r="D7098">
        <f>IFERROR(Table7[[#This Row],[United States 10y]]-Table7[[#This Row],[United States 3y]],#N/A)</f>
        <v/>
      </c>
    </row>
    <row r="7099">
      <c r="A7099" s="6">
        <f>Database!$A9184</f>
        <v/>
      </c>
      <c r="B7099">
        <f>IF(VLOOKUP(Table7[[#This Row],[Date]],Database!$A:$C,MATCH($B$1,Database!$A$1:$C$1,),)=0,#N/A,VLOOKUP(Table7[[#This Row],[Date]],Database!$A:$C,MATCH($B$1,Database!$A$1:$C$1,),))</f>
        <v/>
      </c>
      <c r="C7099">
        <f>IF(VLOOKUP(Table7[[#This Row],[Date]],Database!$A:$C,MATCH($C$1,Database!$A$1:$C$1,),)=0,#N/A,VLOOKUP(Table7[[#This Row],[Date]],Database!$A:$C,MATCH($C$1,Database!$A$1:$C$1,),))</f>
        <v/>
      </c>
      <c r="D7099">
        <f>IFERROR(Table7[[#This Row],[United States 10y]]-Table7[[#This Row],[United States 3y]],#N/A)</f>
        <v/>
      </c>
    </row>
    <row r="7100">
      <c r="A7100" s="6">
        <f>Database!$A9185</f>
        <v/>
      </c>
      <c r="B7100">
        <f>IF(VLOOKUP(Table7[[#This Row],[Date]],Database!$A:$C,MATCH($B$1,Database!$A$1:$C$1,),)=0,#N/A,VLOOKUP(Table7[[#This Row],[Date]],Database!$A:$C,MATCH($B$1,Database!$A$1:$C$1,),))</f>
        <v/>
      </c>
      <c r="C7100">
        <f>IF(VLOOKUP(Table7[[#This Row],[Date]],Database!$A:$C,MATCH($C$1,Database!$A$1:$C$1,),)=0,#N/A,VLOOKUP(Table7[[#This Row],[Date]],Database!$A:$C,MATCH($C$1,Database!$A$1:$C$1,),))</f>
        <v/>
      </c>
      <c r="D7100">
        <f>IFERROR(Table7[[#This Row],[United States 10y]]-Table7[[#This Row],[United States 3y]],#N/A)</f>
        <v/>
      </c>
    </row>
    <row r="7101">
      <c r="A7101" s="6">
        <f>Database!$A9186</f>
        <v/>
      </c>
      <c r="B7101">
        <f>IF(VLOOKUP(Table7[[#This Row],[Date]],Database!$A:$C,MATCH($B$1,Database!$A$1:$C$1,),)=0,#N/A,VLOOKUP(Table7[[#This Row],[Date]],Database!$A:$C,MATCH($B$1,Database!$A$1:$C$1,),))</f>
        <v/>
      </c>
      <c r="C7101">
        <f>IF(VLOOKUP(Table7[[#This Row],[Date]],Database!$A:$C,MATCH($C$1,Database!$A$1:$C$1,),)=0,#N/A,VLOOKUP(Table7[[#This Row],[Date]],Database!$A:$C,MATCH($C$1,Database!$A$1:$C$1,),))</f>
        <v/>
      </c>
      <c r="D7101">
        <f>IFERROR(Table7[[#This Row],[United States 10y]]-Table7[[#This Row],[United States 3y]],#N/A)</f>
        <v/>
      </c>
    </row>
    <row r="7102">
      <c r="A7102" s="6">
        <f>Database!$A9187</f>
        <v/>
      </c>
      <c r="B7102">
        <f>IF(VLOOKUP(Table7[[#This Row],[Date]],Database!$A:$C,MATCH($B$1,Database!$A$1:$C$1,),)=0,#N/A,VLOOKUP(Table7[[#This Row],[Date]],Database!$A:$C,MATCH($B$1,Database!$A$1:$C$1,),))</f>
        <v/>
      </c>
      <c r="C7102">
        <f>IF(VLOOKUP(Table7[[#This Row],[Date]],Database!$A:$C,MATCH($C$1,Database!$A$1:$C$1,),)=0,#N/A,VLOOKUP(Table7[[#This Row],[Date]],Database!$A:$C,MATCH($C$1,Database!$A$1:$C$1,),))</f>
        <v/>
      </c>
      <c r="D7102">
        <f>IFERROR(Table7[[#This Row],[United States 10y]]-Table7[[#This Row],[United States 3y]],#N/A)</f>
        <v/>
      </c>
    </row>
    <row r="7103">
      <c r="A7103" s="6">
        <f>Database!$A9188</f>
        <v/>
      </c>
      <c r="B7103">
        <f>IF(VLOOKUP(Table7[[#This Row],[Date]],Database!$A:$C,MATCH($B$1,Database!$A$1:$C$1,),)=0,#N/A,VLOOKUP(Table7[[#This Row],[Date]],Database!$A:$C,MATCH($B$1,Database!$A$1:$C$1,),))</f>
        <v/>
      </c>
      <c r="C7103">
        <f>IF(VLOOKUP(Table7[[#This Row],[Date]],Database!$A:$C,MATCH($C$1,Database!$A$1:$C$1,),)=0,#N/A,VLOOKUP(Table7[[#This Row],[Date]],Database!$A:$C,MATCH($C$1,Database!$A$1:$C$1,),))</f>
        <v/>
      </c>
      <c r="D7103">
        <f>IFERROR(Table7[[#This Row],[United States 10y]]-Table7[[#This Row],[United States 3y]],#N/A)</f>
        <v/>
      </c>
    </row>
    <row r="7104">
      <c r="A7104" s="6">
        <f>Database!$A9189</f>
        <v/>
      </c>
      <c r="B7104">
        <f>IF(VLOOKUP(Table7[[#This Row],[Date]],Database!$A:$C,MATCH($B$1,Database!$A$1:$C$1,),)=0,#N/A,VLOOKUP(Table7[[#This Row],[Date]],Database!$A:$C,MATCH($B$1,Database!$A$1:$C$1,),))</f>
        <v/>
      </c>
      <c r="C7104">
        <f>IF(VLOOKUP(Table7[[#This Row],[Date]],Database!$A:$C,MATCH($C$1,Database!$A$1:$C$1,),)=0,#N/A,VLOOKUP(Table7[[#This Row],[Date]],Database!$A:$C,MATCH($C$1,Database!$A$1:$C$1,),))</f>
        <v/>
      </c>
      <c r="D7104">
        <f>IFERROR(Table7[[#This Row],[United States 10y]]-Table7[[#This Row],[United States 3y]],#N/A)</f>
        <v/>
      </c>
    </row>
    <row r="7105">
      <c r="A7105" s="6">
        <f>Database!$A9190</f>
        <v/>
      </c>
      <c r="B7105">
        <f>IF(VLOOKUP(Table7[[#This Row],[Date]],Database!$A:$C,MATCH($B$1,Database!$A$1:$C$1,),)=0,#N/A,VLOOKUP(Table7[[#This Row],[Date]],Database!$A:$C,MATCH($B$1,Database!$A$1:$C$1,),))</f>
        <v/>
      </c>
      <c r="C7105">
        <f>IF(VLOOKUP(Table7[[#This Row],[Date]],Database!$A:$C,MATCH($C$1,Database!$A$1:$C$1,),)=0,#N/A,VLOOKUP(Table7[[#This Row],[Date]],Database!$A:$C,MATCH($C$1,Database!$A$1:$C$1,),))</f>
        <v/>
      </c>
      <c r="D7105">
        <f>IFERROR(Table7[[#This Row],[United States 10y]]-Table7[[#This Row],[United States 3y]],#N/A)</f>
        <v/>
      </c>
    </row>
    <row r="7106">
      <c r="A7106" s="6">
        <f>Database!$A9191</f>
        <v/>
      </c>
      <c r="B7106">
        <f>IF(VLOOKUP(Table7[[#This Row],[Date]],Database!$A:$C,MATCH($B$1,Database!$A$1:$C$1,),)=0,#N/A,VLOOKUP(Table7[[#This Row],[Date]],Database!$A:$C,MATCH($B$1,Database!$A$1:$C$1,),))</f>
        <v/>
      </c>
      <c r="C7106">
        <f>IF(VLOOKUP(Table7[[#This Row],[Date]],Database!$A:$C,MATCH($C$1,Database!$A$1:$C$1,),)=0,#N/A,VLOOKUP(Table7[[#This Row],[Date]],Database!$A:$C,MATCH($C$1,Database!$A$1:$C$1,),))</f>
        <v/>
      </c>
      <c r="D7106">
        <f>IFERROR(Table7[[#This Row],[United States 10y]]-Table7[[#This Row],[United States 3y]],#N/A)</f>
        <v/>
      </c>
    </row>
    <row r="7107">
      <c r="A7107" s="6">
        <f>Database!$A9192</f>
        <v/>
      </c>
      <c r="B7107">
        <f>IF(VLOOKUP(Table7[[#This Row],[Date]],Database!$A:$C,MATCH($B$1,Database!$A$1:$C$1,),)=0,#N/A,VLOOKUP(Table7[[#This Row],[Date]],Database!$A:$C,MATCH($B$1,Database!$A$1:$C$1,),))</f>
        <v/>
      </c>
      <c r="C7107">
        <f>IF(VLOOKUP(Table7[[#This Row],[Date]],Database!$A:$C,MATCH($C$1,Database!$A$1:$C$1,),)=0,#N/A,VLOOKUP(Table7[[#This Row],[Date]],Database!$A:$C,MATCH($C$1,Database!$A$1:$C$1,),))</f>
        <v/>
      </c>
      <c r="D7107">
        <f>IFERROR(Table7[[#This Row],[United States 10y]]-Table7[[#This Row],[United States 3y]],#N/A)</f>
        <v/>
      </c>
    </row>
    <row r="7108">
      <c r="A7108" s="6">
        <f>Database!$A9193</f>
        <v/>
      </c>
      <c r="B7108">
        <f>IF(VLOOKUP(Table7[[#This Row],[Date]],Database!$A:$C,MATCH($B$1,Database!$A$1:$C$1,),)=0,#N/A,VLOOKUP(Table7[[#This Row],[Date]],Database!$A:$C,MATCH($B$1,Database!$A$1:$C$1,),))</f>
        <v/>
      </c>
      <c r="C7108">
        <f>IF(VLOOKUP(Table7[[#This Row],[Date]],Database!$A:$C,MATCH($C$1,Database!$A$1:$C$1,),)=0,#N/A,VLOOKUP(Table7[[#This Row],[Date]],Database!$A:$C,MATCH($C$1,Database!$A$1:$C$1,),))</f>
        <v/>
      </c>
      <c r="D7108">
        <f>IFERROR(Table7[[#This Row],[United States 10y]]-Table7[[#This Row],[United States 3y]],#N/A)</f>
        <v/>
      </c>
    </row>
    <row r="7109">
      <c r="A7109" s="6">
        <f>Database!$A9194</f>
        <v/>
      </c>
      <c r="B7109">
        <f>IF(VLOOKUP(Table7[[#This Row],[Date]],Database!$A:$C,MATCH($B$1,Database!$A$1:$C$1,),)=0,#N/A,VLOOKUP(Table7[[#This Row],[Date]],Database!$A:$C,MATCH($B$1,Database!$A$1:$C$1,),))</f>
        <v/>
      </c>
      <c r="C7109">
        <f>IF(VLOOKUP(Table7[[#This Row],[Date]],Database!$A:$C,MATCH($C$1,Database!$A$1:$C$1,),)=0,#N/A,VLOOKUP(Table7[[#This Row],[Date]],Database!$A:$C,MATCH($C$1,Database!$A$1:$C$1,),))</f>
        <v/>
      </c>
      <c r="D7109">
        <f>IFERROR(Table7[[#This Row],[United States 10y]]-Table7[[#This Row],[United States 3y]],#N/A)</f>
        <v/>
      </c>
    </row>
    <row r="7110">
      <c r="A7110" s="6">
        <f>Database!$A9195</f>
        <v/>
      </c>
      <c r="B7110">
        <f>IF(VLOOKUP(Table7[[#This Row],[Date]],Database!$A:$C,MATCH($B$1,Database!$A$1:$C$1,),)=0,#N/A,VLOOKUP(Table7[[#This Row],[Date]],Database!$A:$C,MATCH($B$1,Database!$A$1:$C$1,),))</f>
        <v/>
      </c>
      <c r="C7110">
        <f>IF(VLOOKUP(Table7[[#This Row],[Date]],Database!$A:$C,MATCH($C$1,Database!$A$1:$C$1,),)=0,#N/A,VLOOKUP(Table7[[#This Row],[Date]],Database!$A:$C,MATCH($C$1,Database!$A$1:$C$1,),))</f>
        <v/>
      </c>
      <c r="D7110">
        <f>IFERROR(Table7[[#This Row],[United States 10y]]-Table7[[#This Row],[United States 3y]],#N/A)</f>
        <v/>
      </c>
    </row>
    <row r="7111">
      <c r="A7111" s="6">
        <f>Database!$A9196</f>
        <v/>
      </c>
      <c r="B7111">
        <f>IF(VLOOKUP(Table7[[#This Row],[Date]],Database!$A:$C,MATCH($B$1,Database!$A$1:$C$1,),)=0,#N/A,VLOOKUP(Table7[[#This Row],[Date]],Database!$A:$C,MATCH($B$1,Database!$A$1:$C$1,),))</f>
        <v/>
      </c>
      <c r="C7111">
        <f>IF(VLOOKUP(Table7[[#This Row],[Date]],Database!$A:$C,MATCH($C$1,Database!$A$1:$C$1,),)=0,#N/A,VLOOKUP(Table7[[#This Row],[Date]],Database!$A:$C,MATCH($C$1,Database!$A$1:$C$1,),))</f>
        <v/>
      </c>
      <c r="D7111">
        <f>IFERROR(Table7[[#This Row],[United States 10y]]-Table7[[#This Row],[United States 3y]],#N/A)</f>
        <v/>
      </c>
    </row>
    <row r="7112">
      <c r="A7112" s="6">
        <f>Database!$A9197</f>
        <v/>
      </c>
      <c r="B7112">
        <f>IF(VLOOKUP(Table7[[#This Row],[Date]],Database!$A:$C,MATCH($B$1,Database!$A$1:$C$1,),)=0,#N/A,VLOOKUP(Table7[[#This Row],[Date]],Database!$A:$C,MATCH($B$1,Database!$A$1:$C$1,),))</f>
        <v/>
      </c>
      <c r="C7112">
        <f>IF(VLOOKUP(Table7[[#This Row],[Date]],Database!$A:$C,MATCH($C$1,Database!$A$1:$C$1,),)=0,#N/A,VLOOKUP(Table7[[#This Row],[Date]],Database!$A:$C,MATCH($C$1,Database!$A$1:$C$1,),))</f>
        <v/>
      </c>
      <c r="D7112">
        <f>IFERROR(Table7[[#This Row],[United States 10y]]-Table7[[#This Row],[United States 3y]],#N/A)</f>
        <v/>
      </c>
    </row>
    <row r="7113">
      <c r="A7113" s="6">
        <f>Database!$A9198</f>
        <v/>
      </c>
      <c r="B7113">
        <f>IF(VLOOKUP(Table7[[#This Row],[Date]],Database!$A:$C,MATCH($B$1,Database!$A$1:$C$1,),)=0,#N/A,VLOOKUP(Table7[[#This Row],[Date]],Database!$A:$C,MATCH($B$1,Database!$A$1:$C$1,),))</f>
        <v/>
      </c>
      <c r="C7113">
        <f>IF(VLOOKUP(Table7[[#This Row],[Date]],Database!$A:$C,MATCH($C$1,Database!$A$1:$C$1,),)=0,#N/A,VLOOKUP(Table7[[#This Row],[Date]],Database!$A:$C,MATCH($C$1,Database!$A$1:$C$1,),))</f>
        <v/>
      </c>
      <c r="D7113">
        <f>IFERROR(Table7[[#This Row],[United States 10y]]-Table7[[#This Row],[United States 3y]],#N/A)</f>
        <v/>
      </c>
    </row>
    <row r="7114">
      <c r="A7114" s="6">
        <f>Database!$A9199</f>
        <v/>
      </c>
      <c r="B7114">
        <f>IF(VLOOKUP(Table7[[#This Row],[Date]],Database!$A:$C,MATCH($B$1,Database!$A$1:$C$1,),)=0,#N/A,VLOOKUP(Table7[[#This Row],[Date]],Database!$A:$C,MATCH($B$1,Database!$A$1:$C$1,),))</f>
        <v/>
      </c>
      <c r="C7114">
        <f>IF(VLOOKUP(Table7[[#This Row],[Date]],Database!$A:$C,MATCH($C$1,Database!$A$1:$C$1,),)=0,#N/A,VLOOKUP(Table7[[#This Row],[Date]],Database!$A:$C,MATCH($C$1,Database!$A$1:$C$1,),))</f>
        <v/>
      </c>
      <c r="D7114">
        <f>IFERROR(Table7[[#This Row],[United States 10y]]-Table7[[#This Row],[United States 3y]],#N/A)</f>
        <v/>
      </c>
    </row>
    <row r="7115">
      <c r="A7115" s="6">
        <f>Database!$A9200</f>
        <v/>
      </c>
      <c r="B7115">
        <f>IF(VLOOKUP(Table7[[#This Row],[Date]],Database!$A:$C,MATCH($B$1,Database!$A$1:$C$1,),)=0,#N/A,VLOOKUP(Table7[[#This Row],[Date]],Database!$A:$C,MATCH($B$1,Database!$A$1:$C$1,),))</f>
        <v/>
      </c>
      <c r="C7115">
        <f>IF(VLOOKUP(Table7[[#This Row],[Date]],Database!$A:$C,MATCH($C$1,Database!$A$1:$C$1,),)=0,#N/A,VLOOKUP(Table7[[#This Row],[Date]],Database!$A:$C,MATCH($C$1,Database!$A$1:$C$1,),))</f>
        <v/>
      </c>
      <c r="D7115">
        <f>IFERROR(Table7[[#This Row],[United States 10y]]-Table7[[#This Row],[United States 3y]],#N/A)</f>
        <v/>
      </c>
    </row>
    <row r="7116">
      <c r="A7116" s="6">
        <f>Database!$A9201</f>
        <v/>
      </c>
      <c r="B7116">
        <f>IF(VLOOKUP(Table7[[#This Row],[Date]],Database!$A:$C,MATCH($B$1,Database!$A$1:$C$1,),)=0,#N/A,VLOOKUP(Table7[[#This Row],[Date]],Database!$A:$C,MATCH($B$1,Database!$A$1:$C$1,),))</f>
        <v/>
      </c>
      <c r="C7116">
        <f>IF(VLOOKUP(Table7[[#This Row],[Date]],Database!$A:$C,MATCH($C$1,Database!$A$1:$C$1,),)=0,#N/A,VLOOKUP(Table7[[#This Row],[Date]],Database!$A:$C,MATCH($C$1,Database!$A$1:$C$1,),))</f>
        <v/>
      </c>
      <c r="D7116">
        <f>IFERROR(Table7[[#This Row],[United States 10y]]-Table7[[#This Row],[United States 3y]],#N/A)</f>
        <v/>
      </c>
    </row>
    <row r="7117">
      <c r="A7117" s="6">
        <f>Database!$A9202</f>
        <v/>
      </c>
      <c r="B7117">
        <f>IF(VLOOKUP(Table7[[#This Row],[Date]],Database!$A:$C,MATCH($B$1,Database!$A$1:$C$1,),)=0,#N/A,VLOOKUP(Table7[[#This Row],[Date]],Database!$A:$C,MATCH($B$1,Database!$A$1:$C$1,),))</f>
        <v/>
      </c>
      <c r="C7117">
        <f>IF(VLOOKUP(Table7[[#This Row],[Date]],Database!$A:$C,MATCH($C$1,Database!$A$1:$C$1,),)=0,#N/A,VLOOKUP(Table7[[#This Row],[Date]],Database!$A:$C,MATCH($C$1,Database!$A$1:$C$1,),))</f>
        <v/>
      </c>
      <c r="D7117">
        <f>IFERROR(Table7[[#This Row],[United States 10y]]-Table7[[#This Row],[United States 3y]],#N/A)</f>
        <v/>
      </c>
    </row>
    <row r="7118">
      <c r="A7118" s="6">
        <f>Database!$A9203</f>
        <v/>
      </c>
      <c r="B7118">
        <f>IF(VLOOKUP(Table7[[#This Row],[Date]],Database!$A:$C,MATCH($B$1,Database!$A$1:$C$1,),)=0,#N/A,VLOOKUP(Table7[[#This Row],[Date]],Database!$A:$C,MATCH($B$1,Database!$A$1:$C$1,),))</f>
        <v/>
      </c>
      <c r="C7118">
        <f>IF(VLOOKUP(Table7[[#This Row],[Date]],Database!$A:$C,MATCH($C$1,Database!$A$1:$C$1,),)=0,#N/A,VLOOKUP(Table7[[#This Row],[Date]],Database!$A:$C,MATCH($C$1,Database!$A$1:$C$1,),))</f>
        <v/>
      </c>
      <c r="D7118">
        <f>IFERROR(Table7[[#This Row],[United States 10y]]-Table7[[#This Row],[United States 3y]],#N/A)</f>
        <v/>
      </c>
    </row>
    <row r="7119">
      <c r="A7119" s="6">
        <f>Database!$A9204</f>
        <v/>
      </c>
      <c r="B7119">
        <f>IF(VLOOKUP(Table7[[#This Row],[Date]],Database!$A:$C,MATCH($B$1,Database!$A$1:$C$1,),)=0,#N/A,VLOOKUP(Table7[[#This Row],[Date]],Database!$A:$C,MATCH($B$1,Database!$A$1:$C$1,),))</f>
        <v/>
      </c>
      <c r="C7119">
        <f>IF(VLOOKUP(Table7[[#This Row],[Date]],Database!$A:$C,MATCH($C$1,Database!$A$1:$C$1,),)=0,#N/A,VLOOKUP(Table7[[#This Row],[Date]],Database!$A:$C,MATCH($C$1,Database!$A$1:$C$1,),))</f>
        <v/>
      </c>
      <c r="D7119">
        <f>IFERROR(Table7[[#This Row],[United States 10y]]-Table7[[#This Row],[United States 3y]],#N/A)</f>
        <v/>
      </c>
    </row>
    <row r="7120">
      <c r="A7120" s="6">
        <f>Database!$A9205</f>
        <v/>
      </c>
      <c r="B7120">
        <f>IF(VLOOKUP(Table7[[#This Row],[Date]],Database!$A:$C,MATCH($B$1,Database!$A$1:$C$1,),)=0,#N/A,VLOOKUP(Table7[[#This Row],[Date]],Database!$A:$C,MATCH($B$1,Database!$A$1:$C$1,),))</f>
        <v/>
      </c>
      <c r="C7120">
        <f>IF(VLOOKUP(Table7[[#This Row],[Date]],Database!$A:$C,MATCH($C$1,Database!$A$1:$C$1,),)=0,#N/A,VLOOKUP(Table7[[#This Row],[Date]],Database!$A:$C,MATCH($C$1,Database!$A$1:$C$1,),))</f>
        <v/>
      </c>
      <c r="D7120">
        <f>IFERROR(Table7[[#This Row],[United States 10y]]-Table7[[#This Row],[United States 3y]],#N/A)</f>
        <v/>
      </c>
    </row>
    <row r="7121">
      <c r="A7121" s="6">
        <f>Database!$A9206</f>
        <v/>
      </c>
      <c r="B7121">
        <f>IF(VLOOKUP(Table7[[#This Row],[Date]],Database!$A:$C,MATCH($B$1,Database!$A$1:$C$1,),)=0,#N/A,VLOOKUP(Table7[[#This Row],[Date]],Database!$A:$C,MATCH($B$1,Database!$A$1:$C$1,),))</f>
        <v/>
      </c>
      <c r="C7121">
        <f>IF(VLOOKUP(Table7[[#This Row],[Date]],Database!$A:$C,MATCH($C$1,Database!$A$1:$C$1,),)=0,#N/A,VLOOKUP(Table7[[#This Row],[Date]],Database!$A:$C,MATCH($C$1,Database!$A$1:$C$1,),))</f>
        <v/>
      </c>
      <c r="D7121">
        <f>IFERROR(Table7[[#This Row],[United States 10y]]-Table7[[#This Row],[United States 3y]],#N/A)</f>
        <v/>
      </c>
    </row>
    <row r="7122">
      <c r="A7122" s="6">
        <f>Database!$A9207</f>
        <v/>
      </c>
      <c r="B7122">
        <f>IF(VLOOKUP(Table7[[#This Row],[Date]],Database!$A:$C,MATCH($B$1,Database!$A$1:$C$1,),)=0,#N/A,VLOOKUP(Table7[[#This Row],[Date]],Database!$A:$C,MATCH($B$1,Database!$A$1:$C$1,),))</f>
        <v/>
      </c>
      <c r="C7122">
        <f>IF(VLOOKUP(Table7[[#This Row],[Date]],Database!$A:$C,MATCH($C$1,Database!$A$1:$C$1,),)=0,#N/A,VLOOKUP(Table7[[#This Row],[Date]],Database!$A:$C,MATCH($C$1,Database!$A$1:$C$1,),))</f>
        <v/>
      </c>
      <c r="D7122">
        <f>IFERROR(Table7[[#This Row],[United States 10y]]-Table7[[#This Row],[United States 3y]],#N/A)</f>
        <v/>
      </c>
    </row>
    <row r="7123">
      <c r="A7123" s="6">
        <f>Database!$A9208</f>
        <v/>
      </c>
      <c r="B7123">
        <f>IF(VLOOKUP(Table7[[#This Row],[Date]],Database!$A:$C,MATCH($B$1,Database!$A$1:$C$1,),)=0,#N/A,VLOOKUP(Table7[[#This Row],[Date]],Database!$A:$C,MATCH($B$1,Database!$A$1:$C$1,),))</f>
        <v/>
      </c>
      <c r="C7123">
        <f>IF(VLOOKUP(Table7[[#This Row],[Date]],Database!$A:$C,MATCH($C$1,Database!$A$1:$C$1,),)=0,#N/A,VLOOKUP(Table7[[#This Row],[Date]],Database!$A:$C,MATCH($C$1,Database!$A$1:$C$1,),))</f>
        <v/>
      </c>
      <c r="D7123">
        <f>IFERROR(Table7[[#This Row],[United States 10y]]-Table7[[#This Row],[United States 3y]],#N/A)</f>
        <v/>
      </c>
    </row>
    <row r="7124">
      <c r="A7124" s="6">
        <f>Database!$A9209</f>
        <v/>
      </c>
      <c r="B7124">
        <f>IF(VLOOKUP(Table7[[#This Row],[Date]],Database!$A:$C,MATCH($B$1,Database!$A$1:$C$1,),)=0,#N/A,VLOOKUP(Table7[[#This Row],[Date]],Database!$A:$C,MATCH($B$1,Database!$A$1:$C$1,),))</f>
        <v/>
      </c>
      <c r="C7124">
        <f>IF(VLOOKUP(Table7[[#This Row],[Date]],Database!$A:$C,MATCH($C$1,Database!$A$1:$C$1,),)=0,#N/A,VLOOKUP(Table7[[#This Row],[Date]],Database!$A:$C,MATCH($C$1,Database!$A$1:$C$1,),))</f>
        <v/>
      </c>
      <c r="D7124">
        <f>IFERROR(Table7[[#This Row],[United States 10y]]-Table7[[#This Row],[United States 3y]],#N/A)</f>
        <v/>
      </c>
    </row>
    <row r="7125">
      <c r="A7125" s="6">
        <f>Database!$A9210</f>
        <v/>
      </c>
      <c r="B7125">
        <f>IF(VLOOKUP(Table7[[#This Row],[Date]],Database!$A:$C,MATCH($B$1,Database!$A$1:$C$1,),)=0,#N/A,VLOOKUP(Table7[[#This Row],[Date]],Database!$A:$C,MATCH($B$1,Database!$A$1:$C$1,),))</f>
        <v/>
      </c>
      <c r="C7125">
        <f>IF(VLOOKUP(Table7[[#This Row],[Date]],Database!$A:$C,MATCH($C$1,Database!$A$1:$C$1,),)=0,#N/A,VLOOKUP(Table7[[#This Row],[Date]],Database!$A:$C,MATCH($C$1,Database!$A$1:$C$1,),))</f>
        <v/>
      </c>
      <c r="D7125">
        <f>IFERROR(Table7[[#This Row],[United States 10y]]-Table7[[#This Row],[United States 3y]],#N/A)</f>
        <v/>
      </c>
    </row>
    <row r="7126">
      <c r="A7126" s="6">
        <f>Database!$A9211</f>
        <v/>
      </c>
      <c r="B7126">
        <f>IF(VLOOKUP(Table7[[#This Row],[Date]],Database!$A:$C,MATCH($B$1,Database!$A$1:$C$1,),)=0,#N/A,VLOOKUP(Table7[[#This Row],[Date]],Database!$A:$C,MATCH($B$1,Database!$A$1:$C$1,),))</f>
        <v/>
      </c>
      <c r="C7126">
        <f>IF(VLOOKUP(Table7[[#This Row],[Date]],Database!$A:$C,MATCH($C$1,Database!$A$1:$C$1,),)=0,#N/A,VLOOKUP(Table7[[#This Row],[Date]],Database!$A:$C,MATCH($C$1,Database!$A$1:$C$1,),))</f>
        <v/>
      </c>
      <c r="D7126">
        <f>IFERROR(Table7[[#This Row],[United States 10y]]-Table7[[#This Row],[United States 3y]],#N/A)</f>
        <v/>
      </c>
    </row>
    <row r="7127">
      <c r="A7127" s="6">
        <f>Database!$A9212</f>
        <v/>
      </c>
      <c r="B7127">
        <f>IF(VLOOKUP(Table7[[#This Row],[Date]],Database!$A:$C,MATCH($B$1,Database!$A$1:$C$1,),)=0,#N/A,VLOOKUP(Table7[[#This Row],[Date]],Database!$A:$C,MATCH($B$1,Database!$A$1:$C$1,),))</f>
        <v/>
      </c>
      <c r="C7127">
        <f>IF(VLOOKUP(Table7[[#This Row],[Date]],Database!$A:$C,MATCH($C$1,Database!$A$1:$C$1,),)=0,#N/A,VLOOKUP(Table7[[#This Row],[Date]],Database!$A:$C,MATCH($C$1,Database!$A$1:$C$1,),))</f>
        <v/>
      </c>
      <c r="D7127">
        <f>IFERROR(Table7[[#This Row],[United States 10y]]-Table7[[#This Row],[United States 3y]],#N/A)</f>
        <v/>
      </c>
    </row>
    <row r="7128">
      <c r="A7128" s="6">
        <f>Database!$A9213</f>
        <v/>
      </c>
      <c r="B7128">
        <f>IF(VLOOKUP(Table7[[#This Row],[Date]],Database!$A:$C,MATCH($B$1,Database!$A$1:$C$1,),)=0,#N/A,VLOOKUP(Table7[[#This Row],[Date]],Database!$A:$C,MATCH($B$1,Database!$A$1:$C$1,),))</f>
        <v/>
      </c>
      <c r="C7128">
        <f>IF(VLOOKUP(Table7[[#This Row],[Date]],Database!$A:$C,MATCH($C$1,Database!$A$1:$C$1,),)=0,#N/A,VLOOKUP(Table7[[#This Row],[Date]],Database!$A:$C,MATCH($C$1,Database!$A$1:$C$1,),))</f>
        <v/>
      </c>
      <c r="D7128">
        <f>IFERROR(Table7[[#This Row],[United States 10y]]-Table7[[#This Row],[United States 3y]],#N/A)</f>
        <v/>
      </c>
    </row>
    <row r="7129">
      <c r="A7129" s="6">
        <f>Database!$A9214</f>
        <v/>
      </c>
      <c r="B7129">
        <f>IF(VLOOKUP(Table7[[#This Row],[Date]],Database!$A:$C,MATCH($B$1,Database!$A$1:$C$1,),)=0,#N/A,VLOOKUP(Table7[[#This Row],[Date]],Database!$A:$C,MATCH($B$1,Database!$A$1:$C$1,),))</f>
        <v/>
      </c>
      <c r="C7129">
        <f>IF(VLOOKUP(Table7[[#This Row],[Date]],Database!$A:$C,MATCH($C$1,Database!$A$1:$C$1,),)=0,#N/A,VLOOKUP(Table7[[#This Row],[Date]],Database!$A:$C,MATCH($C$1,Database!$A$1:$C$1,),))</f>
        <v/>
      </c>
      <c r="D7129">
        <f>IFERROR(Table7[[#This Row],[United States 10y]]-Table7[[#This Row],[United States 3y]],#N/A)</f>
        <v/>
      </c>
    </row>
    <row r="7130">
      <c r="A7130" s="6">
        <f>Database!$A9215</f>
        <v/>
      </c>
      <c r="B7130">
        <f>IF(VLOOKUP(Table7[[#This Row],[Date]],Database!$A:$C,MATCH($B$1,Database!$A$1:$C$1,),)=0,#N/A,VLOOKUP(Table7[[#This Row],[Date]],Database!$A:$C,MATCH($B$1,Database!$A$1:$C$1,),))</f>
        <v/>
      </c>
      <c r="C7130">
        <f>IF(VLOOKUP(Table7[[#This Row],[Date]],Database!$A:$C,MATCH($C$1,Database!$A$1:$C$1,),)=0,#N/A,VLOOKUP(Table7[[#This Row],[Date]],Database!$A:$C,MATCH($C$1,Database!$A$1:$C$1,),))</f>
        <v/>
      </c>
      <c r="D7130">
        <f>IFERROR(Table7[[#This Row],[United States 10y]]-Table7[[#This Row],[United States 3y]],#N/A)</f>
        <v/>
      </c>
    </row>
    <row r="7131">
      <c r="A7131" s="6">
        <f>Database!$A9216</f>
        <v/>
      </c>
      <c r="B7131">
        <f>IF(VLOOKUP(Table7[[#This Row],[Date]],Database!$A:$C,MATCH($B$1,Database!$A$1:$C$1,),)=0,#N/A,VLOOKUP(Table7[[#This Row],[Date]],Database!$A:$C,MATCH($B$1,Database!$A$1:$C$1,),))</f>
        <v/>
      </c>
      <c r="C7131">
        <f>IF(VLOOKUP(Table7[[#This Row],[Date]],Database!$A:$C,MATCH($C$1,Database!$A$1:$C$1,),)=0,#N/A,VLOOKUP(Table7[[#This Row],[Date]],Database!$A:$C,MATCH($C$1,Database!$A$1:$C$1,),))</f>
        <v/>
      </c>
      <c r="D7131">
        <f>IFERROR(Table7[[#This Row],[United States 10y]]-Table7[[#This Row],[United States 3y]],#N/A)</f>
        <v/>
      </c>
    </row>
    <row r="7132">
      <c r="A7132" s="6">
        <f>Database!$A9217</f>
        <v/>
      </c>
      <c r="B7132">
        <f>IF(VLOOKUP(Table7[[#This Row],[Date]],Database!$A:$C,MATCH($B$1,Database!$A$1:$C$1,),)=0,#N/A,VLOOKUP(Table7[[#This Row],[Date]],Database!$A:$C,MATCH($B$1,Database!$A$1:$C$1,),))</f>
        <v/>
      </c>
      <c r="C7132">
        <f>IF(VLOOKUP(Table7[[#This Row],[Date]],Database!$A:$C,MATCH($C$1,Database!$A$1:$C$1,),)=0,#N/A,VLOOKUP(Table7[[#This Row],[Date]],Database!$A:$C,MATCH($C$1,Database!$A$1:$C$1,),))</f>
        <v/>
      </c>
      <c r="D7132">
        <f>IFERROR(Table7[[#This Row],[United States 10y]]-Table7[[#This Row],[United States 3y]],#N/A)</f>
        <v/>
      </c>
    </row>
    <row r="7133">
      <c r="A7133" s="6">
        <f>Database!$A9218</f>
        <v/>
      </c>
      <c r="B7133">
        <f>IF(VLOOKUP(Table7[[#This Row],[Date]],Database!$A:$C,MATCH($B$1,Database!$A$1:$C$1,),)=0,#N/A,VLOOKUP(Table7[[#This Row],[Date]],Database!$A:$C,MATCH($B$1,Database!$A$1:$C$1,),))</f>
        <v/>
      </c>
      <c r="C7133">
        <f>IF(VLOOKUP(Table7[[#This Row],[Date]],Database!$A:$C,MATCH($C$1,Database!$A$1:$C$1,),)=0,#N/A,VLOOKUP(Table7[[#This Row],[Date]],Database!$A:$C,MATCH($C$1,Database!$A$1:$C$1,),))</f>
        <v/>
      </c>
      <c r="D7133">
        <f>IFERROR(Table7[[#This Row],[United States 10y]]-Table7[[#This Row],[United States 3y]],#N/A)</f>
        <v/>
      </c>
    </row>
    <row r="7134">
      <c r="A7134" s="6">
        <f>Database!$A9219</f>
        <v/>
      </c>
      <c r="B7134">
        <f>IF(VLOOKUP(Table7[[#This Row],[Date]],Database!$A:$C,MATCH($B$1,Database!$A$1:$C$1,),)=0,#N/A,VLOOKUP(Table7[[#This Row],[Date]],Database!$A:$C,MATCH($B$1,Database!$A$1:$C$1,),))</f>
        <v/>
      </c>
      <c r="C7134">
        <f>IF(VLOOKUP(Table7[[#This Row],[Date]],Database!$A:$C,MATCH($C$1,Database!$A$1:$C$1,),)=0,#N/A,VLOOKUP(Table7[[#This Row],[Date]],Database!$A:$C,MATCH($C$1,Database!$A$1:$C$1,),))</f>
        <v/>
      </c>
      <c r="D7134">
        <f>IFERROR(Table7[[#This Row],[United States 10y]]-Table7[[#This Row],[United States 3y]],#N/A)</f>
        <v/>
      </c>
    </row>
    <row r="7135">
      <c r="A7135" s="6">
        <f>Database!$A9220</f>
        <v/>
      </c>
      <c r="B7135">
        <f>IF(VLOOKUP(Table7[[#This Row],[Date]],Database!$A:$C,MATCH($B$1,Database!$A$1:$C$1,),)=0,#N/A,VLOOKUP(Table7[[#This Row],[Date]],Database!$A:$C,MATCH($B$1,Database!$A$1:$C$1,),))</f>
        <v/>
      </c>
      <c r="C7135">
        <f>IF(VLOOKUP(Table7[[#This Row],[Date]],Database!$A:$C,MATCH($C$1,Database!$A$1:$C$1,),)=0,#N/A,VLOOKUP(Table7[[#This Row],[Date]],Database!$A:$C,MATCH($C$1,Database!$A$1:$C$1,),))</f>
        <v/>
      </c>
      <c r="D7135">
        <f>IFERROR(Table7[[#This Row],[United States 10y]]-Table7[[#This Row],[United States 3y]],#N/A)</f>
        <v/>
      </c>
    </row>
    <row r="7136">
      <c r="A7136" s="6">
        <f>Database!$A9221</f>
        <v/>
      </c>
      <c r="B7136">
        <f>IF(VLOOKUP(Table7[[#This Row],[Date]],Database!$A:$C,MATCH($B$1,Database!$A$1:$C$1,),)=0,#N/A,VLOOKUP(Table7[[#This Row],[Date]],Database!$A:$C,MATCH($B$1,Database!$A$1:$C$1,),))</f>
        <v/>
      </c>
      <c r="C7136">
        <f>IF(VLOOKUP(Table7[[#This Row],[Date]],Database!$A:$C,MATCH($C$1,Database!$A$1:$C$1,),)=0,#N/A,VLOOKUP(Table7[[#This Row],[Date]],Database!$A:$C,MATCH($C$1,Database!$A$1:$C$1,),))</f>
        <v/>
      </c>
      <c r="D7136">
        <f>IFERROR(Table7[[#This Row],[United States 10y]]-Table7[[#This Row],[United States 3y]],#N/A)</f>
        <v/>
      </c>
    </row>
    <row r="7137">
      <c r="A7137" s="6">
        <f>Database!$A9222</f>
        <v/>
      </c>
      <c r="B7137">
        <f>IF(VLOOKUP(Table7[[#This Row],[Date]],Database!$A:$C,MATCH($B$1,Database!$A$1:$C$1,),)=0,#N/A,VLOOKUP(Table7[[#This Row],[Date]],Database!$A:$C,MATCH($B$1,Database!$A$1:$C$1,),))</f>
        <v/>
      </c>
      <c r="C7137">
        <f>IF(VLOOKUP(Table7[[#This Row],[Date]],Database!$A:$C,MATCH($C$1,Database!$A$1:$C$1,),)=0,#N/A,VLOOKUP(Table7[[#This Row],[Date]],Database!$A:$C,MATCH($C$1,Database!$A$1:$C$1,),))</f>
        <v/>
      </c>
      <c r="D7137">
        <f>IFERROR(Table7[[#This Row],[United States 10y]]-Table7[[#This Row],[United States 3y]],#N/A)</f>
        <v/>
      </c>
    </row>
    <row r="7138">
      <c r="A7138" s="6">
        <f>Database!$A9223</f>
        <v/>
      </c>
      <c r="B7138">
        <f>IF(VLOOKUP(Table7[[#This Row],[Date]],Database!$A:$C,MATCH($B$1,Database!$A$1:$C$1,),)=0,#N/A,VLOOKUP(Table7[[#This Row],[Date]],Database!$A:$C,MATCH($B$1,Database!$A$1:$C$1,),))</f>
        <v/>
      </c>
      <c r="C7138">
        <f>IF(VLOOKUP(Table7[[#This Row],[Date]],Database!$A:$C,MATCH($C$1,Database!$A$1:$C$1,),)=0,#N/A,VLOOKUP(Table7[[#This Row],[Date]],Database!$A:$C,MATCH($C$1,Database!$A$1:$C$1,),))</f>
        <v/>
      </c>
      <c r="D7138">
        <f>IFERROR(Table7[[#This Row],[United States 10y]]-Table7[[#This Row],[United States 3y]],#N/A)</f>
        <v/>
      </c>
    </row>
    <row r="7139">
      <c r="A7139" s="6">
        <f>Database!$A9224</f>
        <v/>
      </c>
      <c r="B7139">
        <f>IF(VLOOKUP(Table7[[#This Row],[Date]],Database!$A:$C,MATCH($B$1,Database!$A$1:$C$1,),)=0,#N/A,VLOOKUP(Table7[[#This Row],[Date]],Database!$A:$C,MATCH($B$1,Database!$A$1:$C$1,),))</f>
        <v/>
      </c>
      <c r="C7139">
        <f>IF(VLOOKUP(Table7[[#This Row],[Date]],Database!$A:$C,MATCH($C$1,Database!$A$1:$C$1,),)=0,#N/A,VLOOKUP(Table7[[#This Row],[Date]],Database!$A:$C,MATCH($C$1,Database!$A$1:$C$1,),))</f>
        <v/>
      </c>
      <c r="D7139">
        <f>IFERROR(Table7[[#This Row],[United States 10y]]-Table7[[#This Row],[United States 3y]],#N/A)</f>
        <v/>
      </c>
    </row>
    <row r="7140">
      <c r="A7140" s="6">
        <f>Database!$A9225</f>
        <v/>
      </c>
      <c r="B7140">
        <f>IF(VLOOKUP(Table7[[#This Row],[Date]],Database!$A:$C,MATCH($B$1,Database!$A$1:$C$1,),)=0,#N/A,VLOOKUP(Table7[[#This Row],[Date]],Database!$A:$C,MATCH($B$1,Database!$A$1:$C$1,),))</f>
        <v/>
      </c>
      <c r="C7140">
        <f>IF(VLOOKUP(Table7[[#This Row],[Date]],Database!$A:$C,MATCH($C$1,Database!$A$1:$C$1,),)=0,#N/A,VLOOKUP(Table7[[#This Row],[Date]],Database!$A:$C,MATCH($C$1,Database!$A$1:$C$1,),))</f>
        <v/>
      </c>
      <c r="D7140">
        <f>IFERROR(Table7[[#This Row],[United States 10y]]-Table7[[#This Row],[United States 3y]],#N/A)</f>
        <v/>
      </c>
    </row>
    <row r="7141">
      <c r="A7141" s="6">
        <f>Database!$A9226</f>
        <v/>
      </c>
      <c r="B7141">
        <f>IF(VLOOKUP(Table7[[#This Row],[Date]],Database!$A:$C,MATCH($B$1,Database!$A$1:$C$1,),)=0,#N/A,VLOOKUP(Table7[[#This Row],[Date]],Database!$A:$C,MATCH($B$1,Database!$A$1:$C$1,),))</f>
        <v/>
      </c>
      <c r="C7141">
        <f>IF(VLOOKUP(Table7[[#This Row],[Date]],Database!$A:$C,MATCH($C$1,Database!$A$1:$C$1,),)=0,#N/A,VLOOKUP(Table7[[#This Row],[Date]],Database!$A:$C,MATCH($C$1,Database!$A$1:$C$1,),))</f>
        <v/>
      </c>
      <c r="D7141">
        <f>IFERROR(Table7[[#This Row],[United States 10y]]-Table7[[#This Row],[United States 3y]],#N/A)</f>
        <v/>
      </c>
    </row>
    <row r="7142">
      <c r="A7142" s="6">
        <f>Database!$A9227</f>
        <v/>
      </c>
      <c r="B7142">
        <f>IF(VLOOKUP(Table7[[#This Row],[Date]],Database!$A:$C,MATCH($B$1,Database!$A$1:$C$1,),)=0,#N/A,VLOOKUP(Table7[[#This Row],[Date]],Database!$A:$C,MATCH($B$1,Database!$A$1:$C$1,),))</f>
        <v/>
      </c>
      <c r="C7142">
        <f>IF(VLOOKUP(Table7[[#This Row],[Date]],Database!$A:$C,MATCH($C$1,Database!$A$1:$C$1,),)=0,#N/A,VLOOKUP(Table7[[#This Row],[Date]],Database!$A:$C,MATCH($C$1,Database!$A$1:$C$1,),))</f>
        <v/>
      </c>
      <c r="D7142">
        <f>IFERROR(Table7[[#This Row],[United States 10y]]-Table7[[#This Row],[United States 3y]],#N/A)</f>
        <v/>
      </c>
    </row>
    <row r="7143">
      <c r="A7143" s="6">
        <f>Database!$A9228</f>
        <v/>
      </c>
      <c r="B7143">
        <f>IF(VLOOKUP(Table7[[#This Row],[Date]],Database!$A:$C,MATCH($B$1,Database!$A$1:$C$1,),)=0,#N/A,VLOOKUP(Table7[[#This Row],[Date]],Database!$A:$C,MATCH($B$1,Database!$A$1:$C$1,),))</f>
        <v/>
      </c>
      <c r="C7143">
        <f>IF(VLOOKUP(Table7[[#This Row],[Date]],Database!$A:$C,MATCH($C$1,Database!$A$1:$C$1,),)=0,#N/A,VLOOKUP(Table7[[#This Row],[Date]],Database!$A:$C,MATCH($C$1,Database!$A$1:$C$1,),))</f>
        <v/>
      </c>
      <c r="D7143">
        <f>IFERROR(Table7[[#This Row],[United States 10y]]-Table7[[#This Row],[United States 3y]],#N/A)</f>
        <v/>
      </c>
    </row>
    <row r="7144">
      <c r="A7144" s="6">
        <f>Database!$A9229</f>
        <v/>
      </c>
      <c r="B7144">
        <f>IF(VLOOKUP(Table7[[#This Row],[Date]],Database!$A:$C,MATCH($B$1,Database!$A$1:$C$1,),)=0,#N/A,VLOOKUP(Table7[[#This Row],[Date]],Database!$A:$C,MATCH($B$1,Database!$A$1:$C$1,),))</f>
        <v/>
      </c>
      <c r="C7144">
        <f>IF(VLOOKUP(Table7[[#This Row],[Date]],Database!$A:$C,MATCH($C$1,Database!$A$1:$C$1,),)=0,#N/A,VLOOKUP(Table7[[#This Row],[Date]],Database!$A:$C,MATCH($C$1,Database!$A$1:$C$1,),))</f>
        <v/>
      </c>
      <c r="D7144">
        <f>IFERROR(Table7[[#This Row],[United States 10y]]-Table7[[#This Row],[United States 3y]],#N/A)</f>
        <v/>
      </c>
    </row>
    <row r="7145">
      <c r="A7145" s="6">
        <f>Database!$A9230</f>
        <v/>
      </c>
      <c r="B7145">
        <f>IF(VLOOKUP(Table7[[#This Row],[Date]],Database!$A:$C,MATCH($B$1,Database!$A$1:$C$1,),)=0,#N/A,VLOOKUP(Table7[[#This Row],[Date]],Database!$A:$C,MATCH($B$1,Database!$A$1:$C$1,),))</f>
        <v/>
      </c>
      <c r="C7145">
        <f>IF(VLOOKUP(Table7[[#This Row],[Date]],Database!$A:$C,MATCH($C$1,Database!$A$1:$C$1,),)=0,#N/A,VLOOKUP(Table7[[#This Row],[Date]],Database!$A:$C,MATCH($C$1,Database!$A$1:$C$1,),))</f>
        <v/>
      </c>
      <c r="D7145">
        <f>IFERROR(Table7[[#This Row],[United States 10y]]-Table7[[#This Row],[United States 3y]],#N/A)</f>
        <v/>
      </c>
    </row>
    <row r="7146">
      <c r="A7146" s="6">
        <f>Database!$A9231</f>
        <v/>
      </c>
      <c r="B7146">
        <f>IF(VLOOKUP(Table7[[#This Row],[Date]],Database!$A:$C,MATCH($B$1,Database!$A$1:$C$1,),)=0,#N/A,VLOOKUP(Table7[[#This Row],[Date]],Database!$A:$C,MATCH($B$1,Database!$A$1:$C$1,),))</f>
        <v/>
      </c>
      <c r="C7146">
        <f>IF(VLOOKUP(Table7[[#This Row],[Date]],Database!$A:$C,MATCH($C$1,Database!$A$1:$C$1,),)=0,#N/A,VLOOKUP(Table7[[#This Row],[Date]],Database!$A:$C,MATCH($C$1,Database!$A$1:$C$1,),))</f>
        <v/>
      </c>
      <c r="D7146">
        <f>IFERROR(Table7[[#This Row],[United States 10y]]-Table7[[#This Row],[United States 3y]],#N/A)</f>
        <v/>
      </c>
    </row>
    <row r="7147">
      <c r="A7147" s="6">
        <f>Database!$A9232</f>
        <v/>
      </c>
      <c r="B7147">
        <f>IF(VLOOKUP(Table7[[#This Row],[Date]],Database!$A:$C,MATCH($B$1,Database!$A$1:$C$1,),)=0,#N/A,VLOOKUP(Table7[[#This Row],[Date]],Database!$A:$C,MATCH($B$1,Database!$A$1:$C$1,),))</f>
        <v/>
      </c>
      <c r="C7147">
        <f>IF(VLOOKUP(Table7[[#This Row],[Date]],Database!$A:$C,MATCH($C$1,Database!$A$1:$C$1,),)=0,#N/A,VLOOKUP(Table7[[#This Row],[Date]],Database!$A:$C,MATCH($C$1,Database!$A$1:$C$1,),))</f>
        <v/>
      </c>
      <c r="D7147">
        <f>IFERROR(Table7[[#This Row],[United States 10y]]-Table7[[#This Row],[United States 3y]],#N/A)</f>
        <v/>
      </c>
    </row>
    <row r="7148">
      <c r="A7148" s="6">
        <f>Database!$A9233</f>
        <v/>
      </c>
      <c r="B7148">
        <f>IF(VLOOKUP(Table7[[#This Row],[Date]],Database!$A:$C,MATCH($B$1,Database!$A$1:$C$1,),)=0,#N/A,VLOOKUP(Table7[[#This Row],[Date]],Database!$A:$C,MATCH($B$1,Database!$A$1:$C$1,),))</f>
        <v/>
      </c>
      <c r="C7148">
        <f>IF(VLOOKUP(Table7[[#This Row],[Date]],Database!$A:$C,MATCH($C$1,Database!$A$1:$C$1,),)=0,#N/A,VLOOKUP(Table7[[#This Row],[Date]],Database!$A:$C,MATCH($C$1,Database!$A$1:$C$1,),))</f>
        <v/>
      </c>
      <c r="D7148">
        <f>IFERROR(Table7[[#This Row],[United States 10y]]-Table7[[#This Row],[United States 3y]],#N/A)</f>
        <v/>
      </c>
    </row>
    <row r="7149">
      <c r="A7149" s="6">
        <f>Database!$A9234</f>
        <v/>
      </c>
      <c r="B7149">
        <f>IF(VLOOKUP(Table7[[#This Row],[Date]],Database!$A:$C,MATCH($B$1,Database!$A$1:$C$1,),)=0,#N/A,VLOOKUP(Table7[[#This Row],[Date]],Database!$A:$C,MATCH($B$1,Database!$A$1:$C$1,),))</f>
        <v/>
      </c>
      <c r="C7149">
        <f>IF(VLOOKUP(Table7[[#This Row],[Date]],Database!$A:$C,MATCH($C$1,Database!$A$1:$C$1,),)=0,#N/A,VLOOKUP(Table7[[#This Row],[Date]],Database!$A:$C,MATCH($C$1,Database!$A$1:$C$1,),))</f>
        <v/>
      </c>
      <c r="D7149">
        <f>IFERROR(Table7[[#This Row],[United States 10y]]-Table7[[#This Row],[United States 3y]],#N/A)</f>
        <v/>
      </c>
    </row>
    <row r="7150">
      <c r="A7150" s="6">
        <f>Database!$A9235</f>
        <v/>
      </c>
      <c r="B7150">
        <f>IF(VLOOKUP(Table7[[#This Row],[Date]],Database!$A:$C,MATCH($B$1,Database!$A$1:$C$1,),)=0,#N/A,VLOOKUP(Table7[[#This Row],[Date]],Database!$A:$C,MATCH($B$1,Database!$A$1:$C$1,),))</f>
        <v/>
      </c>
      <c r="C7150">
        <f>IF(VLOOKUP(Table7[[#This Row],[Date]],Database!$A:$C,MATCH($C$1,Database!$A$1:$C$1,),)=0,#N/A,VLOOKUP(Table7[[#This Row],[Date]],Database!$A:$C,MATCH($C$1,Database!$A$1:$C$1,),))</f>
        <v/>
      </c>
      <c r="D7150">
        <f>IFERROR(Table7[[#This Row],[United States 10y]]-Table7[[#This Row],[United States 3y]],#N/A)</f>
        <v/>
      </c>
    </row>
    <row r="7151">
      <c r="A7151" s="6">
        <f>Database!$A9236</f>
        <v/>
      </c>
      <c r="B7151">
        <f>IF(VLOOKUP(Table7[[#This Row],[Date]],Database!$A:$C,MATCH($B$1,Database!$A$1:$C$1,),)=0,#N/A,VLOOKUP(Table7[[#This Row],[Date]],Database!$A:$C,MATCH($B$1,Database!$A$1:$C$1,),))</f>
        <v/>
      </c>
      <c r="C7151">
        <f>IF(VLOOKUP(Table7[[#This Row],[Date]],Database!$A:$C,MATCH($C$1,Database!$A$1:$C$1,),)=0,#N/A,VLOOKUP(Table7[[#This Row],[Date]],Database!$A:$C,MATCH($C$1,Database!$A$1:$C$1,),))</f>
        <v/>
      </c>
      <c r="D7151">
        <f>IFERROR(Table7[[#This Row],[United States 10y]]-Table7[[#This Row],[United States 3y]],#N/A)</f>
        <v/>
      </c>
    </row>
    <row r="7152">
      <c r="A7152" s="6">
        <f>Database!$A9237</f>
        <v/>
      </c>
      <c r="B7152">
        <f>IF(VLOOKUP(Table7[[#This Row],[Date]],Database!$A:$C,MATCH($B$1,Database!$A$1:$C$1,),)=0,#N/A,VLOOKUP(Table7[[#This Row],[Date]],Database!$A:$C,MATCH($B$1,Database!$A$1:$C$1,),))</f>
        <v/>
      </c>
      <c r="C7152">
        <f>IF(VLOOKUP(Table7[[#This Row],[Date]],Database!$A:$C,MATCH($C$1,Database!$A$1:$C$1,),)=0,#N/A,VLOOKUP(Table7[[#This Row],[Date]],Database!$A:$C,MATCH($C$1,Database!$A$1:$C$1,),))</f>
        <v/>
      </c>
      <c r="D7152">
        <f>IFERROR(Table7[[#This Row],[United States 10y]]-Table7[[#This Row],[United States 3y]],#N/A)</f>
        <v/>
      </c>
    </row>
    <row r="7153">
      <c r="A7153" s="6">
        <f>Database!$A9238</f>
        <v/>
      </c>
      <c r="B7153">
        <f>IF(VLOOKUP(Table7[[#This Row],[Date]],Database!$A:$C,MATCH($B$1,Database!$A$1:$C$1,),)=0,#N/A,VLOOKUP(Table7[[#This Row],[Date]],Database!$A:$C,MATCH($B$1,Database!$A$1:$C$1,),))</f>
        <v/>
      </c>
      <c r="C7153">
        <f>IF(VLOOKUP(Table7[[#This Row],[Date]],Database!$A:$C,MATCH($C$1,Database!$A$1:$C$1,),)=0,#N/A,VLOOKUP(Table7[[#This Row],[Date]],Database!$A:$C,MATCH($C$1,Database!$A$1:$C$1,),))</f>
        <v/>
      </c>
      <c r="D7153">
        <f>IFERROR(Table7[[#This Row],[United States 10y]]-Table7[[#This Row],[United States 3y]],#N/A)</f>
        <v/>
      </c>
    </row>
    <row r="7154">
      <c r="A7154" s="6">
        <f>Database!$A9239</f>
        <v/>
      </c>
      <c r="B7154">
        <f>IF(VLOOKUP(Table7[[#This Row],[Date]],Database!$A:$C,MATCH($B$1,Database!$A$1:$C$1,),)=0,#N/A,VLOOKUP(Table7[[#This Row],[Date]],Database!$A:$C,MATCH($B$1,Database!$A$1:$C$1,),))</f>
        <v/>
      </c>
      <c r="C7154">
        <f>IF(VLOOKUP(Table7[[#This Row],[Date]],Database!$A:$C,MATCH($C$1,Database!$A$1:$C$1,),)=0,#N/A,VLOOKUP(Table7[[#This Row],[Date]],Database!$A:$C,MATCH($C$1,Database!$A$1:$C$1,),))</f>
        <v/>
      </c>
      <c r="D7154">
        <f>IFERROR(Table7[[#This Row],[United States 10y]]-Table7[[#This Row],[United States 3y]],#N/A)</f>
        <v/>
      </c>
    </row>
    <row r="7155">
      <c r="A7155" s="6">
        <f>Database!$A9240</f>
        <v/>
      </c>
      <c r="B7155">
        <f>IF(VLOOKUP(Table7[[#This Row],[Date]],Database!$A:$C,MATCH($B$1,Database!$A$1:$C$1,),)=0,#N/A,VLOOKUP(Table7[[#This Row],[Date]],Database!$A:$C,MATCH($B$1,Database!$A$1:$C$1,),))</f>
        <v/>
      </c>
      <c r="C7155">
        <f>IF(VLOOKUP(Table7[[#This Row],[Date]],Database!$A:$C,MATCH($C$1,Database!$A$1:$C$1,),)=0,#N/A,VLOOKUP(Table7[[#This Row],[Date]],Database!$A:$C,MATCH($C$1,Database!$A$1:$C$1,),))</f>
        <v/>
      </c>
      <c r="D7155">
        <f>IFERROR(Table7[[#This Row],[United States 10y]]-Table7[[#This Row],[United States 3y]],#N/A)</f>
        <v/>
      </c>
    </row>
    <row r="7156">
      <c r="A7156" s="6">
        <f>Database!$A9241</f>
        <v/>
      </c>
      <c r="B7156">
        <f>IF(VLOOKUP(Table7[[#This Row],[Date]],Database!$A:$C,MATCH($B$1,Database!$A$1:$C$1,),)=0,#N/A,VLOOKUP(Table7[[#This Row],[Date]],Database!$A:$C,MATCH($B$1,Database!$A$1:$C$1,),))</f>
        <v/>
      </c>
      <c r="C7156">
        <f>IF(VLOOKUP(Table7[[#This Row],[Date]],Database!$A:$C,MATCH($C$1,Database!$A$1:$C$1,),)=0,#N/A,VLOOKUP(Table7[[#This Row],[Date]],Database!$A:$C,MATCH($C$1,Database!$A$1:$C$1,),))</f>
        <v/>
      </c>
      <c r="D7156">
        <f>IFERROR(Table7[[#This Row],[United States 10y]]-Table7[[#This Row],[United States 3y]],#N/A)</f>
        <v/>
      </c>
    </row>
    <row r="7157">
      <c r="A7157" s="6">
        <f>Database!$A9242</f>
        <v/>
      </c>
      <c r="B7157">
        <f>IF(VLOOKUP(Table7[[#This Row],[Date]],Database!$A:$C,MATCH($B$1,Database!$A$1:$C$1,),)=0,#N/A,VLOOKUP(Table7[[#This Row],[Date]],Database!$A:$C,MATCH($B$1,Database!$A$1:$C$1,),))</f>
        <v/>
      </c>
      <c r="C7157">
        <f>IF(VLOOKUP(Table7[[#This Row],[Date]],Database!$A:$C,MATCH($C$1,Database!$A$1:$C$1,),)=0,#N/A,VLOOKUP(Table7[[#This Row],[Date]],Database!$A:$C,MATCH($C$1,Database!$A$1:$C$1,),))</f>
        <v/>
      </c>
      <c r="D7157">
        <f>IFERROR(Table7[[#This Row],[United States 10y]]-Table7[[#This Row],[United States 3y]],#N/A)</f>
        <v/>
      </c>
    </row>
    <row r="7158">
      <c r="A7158" s="6">
        <f>Database!$A9243</f>
        <v/>
      </c>
      <c r="B7158">
        <f>IF(VLOOKUP(Table7[[#This Row],[Date]],Database!$A:$C,MATCH($B$1,Database!$A$1:$C$1,),)=0,#N/A,VLOOKUP(Table7[[#This Row],[Date]],Database!$A:$C,MATCH($B$1,Database!$A$1:$C$1,),))</f>
        <v/>
      </c>
      <c r="C7158">
        <f>IF(VLOOKUP(Table7[[#This Row],[Date]],Database!$A:$C,MATCH($C$1,Database!$A$1:$C$1,),)=0,#N/A,VLOOKUP(Table7[[#This Row],[Date]],Database!$A:$C,MATCH($C$1,Database!$A$1:$C$1,),))</f>
        <v/>
      </c>
      <c r="D7158">
        <f>IFERROR(Table7[[#This Row],[United States 10y]]-Table7[[#This Row],[United States 3y]],#N/A)</f>
        <v/>
      </c>
    </row>
    <row r="7159">
      <c r="A7159" s="6">
        <f>Database!$A9244</f>
        <v/>
      </c>
      <c r="B7159">
        <f>IF(VLOOKUP(Table7[[#This Row],[Date]],Database!$A:$C,MATCH($B$1,Database!$A$1:$C$1,),)=0,#N/A,VLOOKUP(Table7[[#This Row],[Date]],Database!$A:$C,MATCH($B$1,Database!$A$1:$C$1,),))</f>
        <v/>
      </c>
      <c r="C7159">
        <f>IF(VLOOKUP(Table7[[#This Row],[Date]],Database!$A:$C,MATCH($C$1,Database!$A$1:$C$1,),)=0,#N/A,VLOOKUP(Table7[[#This Row],[Date]],Database!$A:$C,MATCH($C$1,Database!$A$1:$C$1,),))</f>
        <v/>
      </c>
      <c r="D7159">
        <f>IFERROR(Table7[[#This Row],[United States 10y]]-Table7[[#This Row],[United States 3y]],#N/A)</f>
        <v/>
      </c>
    </row>
    <row r="7160">
      <c r="A7160" s="6">
        <f>Database!$A9245</f>
        <v/>
      </c>
      <c r="B7160">
        <f>IF(VLOOKUP(Table7[[#This Row],[Date]],Database!$A:$C,MATCH($B$1,Database!$A$1:$C$1,),)=0,#N/A,VLOOKUP(Table7[[#This Row],[Date]],Database!$A:$C,MATCH($B$1,Database!$A$1:$C$1,),))</f>
        <v/>
      </c>
      <c r="C7160">
        <f>IF(VLOOKUP(Table7[[#This Row],[Date]],Database!$A:$C,MATCH($C$1,Database!$A$1:$C$1,),)=0,#N/A,VLOOKUP(Table7[[#This Row],[Date]],Database!$A:$C,MATCH($C$1,Database!$A$1:$C$1,),))</f>
        <v/>
      </c>
      <c r="D7160">
        <f>IFERROR(Table7[[#This Row],[United States 10y]]-Table7[[#This Row],[United States 3y]],#N/A)</f>
        <v/>
      </c>
    </row>
    <row r="7161">
      <c r="A7161" s="6">
        <f>Database!$A9246</f>
        <v/>
      </c>
      <c r="B7161">
        <f>IF(VLOOKUP(Table7[[#This Row],[Date]],Database!$A:$C,MATCH($B$1,Database!$A$1:$C$1,),)=0,#N/A,VLOOKUP(Table7[[#This Row],[Date]],Database!$A:$C,MATCH($B$1,Database!$A$1:$C$1,),))</f>
        <v/>
      </c>
      <c r="C7161">
        <f>IF(VLOOKUP(Table7[[#This Row],[Date]],Database!$A:$C,MATCH($C$1,Database!$A$1:$C$1,),)=0,#N/A,VLOOKUP(Table7[[#This Row],[Date]],Database!$A:$C,MATCH($C$1,Database!$A$1:$C$1,),))</f>
        <v/>
      </c>
      <c r="D7161">
        <f>IFERROR(Table7[[#This Row],[United States 10y]]-Table7[[#This Row],[United States 3y]],#N/A)</f>
        <v/>
      </c>
    </row>
    <row r="7162">
      <c r="A7162" s="6">
        <f>Database!$A9247</f>
        <v/>
      </c>
      <c r="B7162">
        <f>IF(VLOOKUP(Table7[[#This Row],[Date]],Database!$A:$C,MATCH($B$1,Database!$A$1:$C$1,),)=0,#N/A,VLOOKUP(Table7[[#This Row],[Date]],Database!$A:$C,MATCH($B$1,Database!$A$1:$C$1,),))</f>
        <v/>
      </c>
      <c r="C7162">
        <f>IF(VLOOKUP(Table7[[#This Row],[Date]],Database!$A:$C,MATCH($C$1,Database!$A$1:$C$1,),)=0,#N/A,VLOOKUP(Table7[[#This Row],[Date]],Database!$A:$C,MATCH($C$1,Database!$A$1:$C$1,),))</f>
        <v/>
      </c>
      <c r="D7162">
        <f>IFERROR(Table7[[#This Row],[United States 10y]]-Table7[[#This Row],[United States 3y]],#N/A)</f>
        <v/>
      </c>
    </row>
    <row r="7163">
      <c r="A7163" s="6">
        <f>Database!$A9248</f>
        <v/>
      </c>
      <c r="B7163">
        <f>IF(VLOOKUP(Table7[[#This Row],[Date]],Database!$A:$C,MATCH($B$1,Database!$A$1:$C$1,),)=0,#N/A,VLOOKUP(Table7[[#This Row],[Date]],Database!$A:$C,MATCH($B$1,Database!$A$1:$C$1,),))</f>
        <v/>
      </c>
      <c r="C7163">
        <f>IF(VLOOKUP(Table7[[#This Row],[Date]],Database!$A:$C,MATCH($C$1,Database!$A$1:$C$1,),)=0,#N/A,VLOOKUP(Table7[[#This Row],[Date]],Database!$A:$C,MATCH($C$1,Database!$A$1:$C$1,),))</f>
        <v/>
      </c>
      <c r="D7163">
        <f>IFERROR(Table7[[#This Row],[United States 10y]]-Table7[[#This Row],[United States 3y]],#N/A)</f>
        <v/>
      </c>
    </row>
    <row r="7164">
      <c r="A7164" s="6">
        <f>Database!$A9249</f>
        <v/>
      </c>
      <c r="B7164">
        <f>IF(VLOOKUP(Table7[[#This Row],[Date]],Database!$A:$C,MATCH($B$1,Database!$A$1:$C$1,),)=0,#N/A,VLOOKUP(Table7[[#This Row],[Date]],Database!$A:$C,MATCH($B$1,Database!$A$1:$C$1,),))</f>
        <v/>
      </c>
      <c r="C7164">
        <f>IF(VLOOKUP(Table7[[#This Row],[Date]],Database!$A:$C,MATCH($C$1,Database!$A$1:$C$1,),)=0,#N/A,VLOOKUP(Table7[[#This Row],[Date]],Database!$A:$C,MATCH($C$1,Database!$A$1:$C$1,),))</f>
        <v/>
      </c>
      <c r="D7164">
        <f>IFERROR(Table7[[#This Row],[United States 10y]]-Table7[[#This Row],[United States 3y]],#N/A)</f>
        <v/>
      </c>
    </row>
    <row r="7165">
      <c r="A7165" s="6">
        <f>Database!$A9250</f>
        <v/>
      </c>
      <c r="B7165">
        <f>IF(VLOOKUP(Table7[[#This Row],[Date]],Database!$A:$C,MATCH($B$1,Database!$A$1:$C$1,),)=0,#N/A,VLOOKUP(Table7[[#This Row],[Date]],Database!$A:$C,MATCH($B$1,Database!$A$1:$C$1,),))</f>
        <v/>
      </c>
      <c r="C7165">
        <f>IF(VLOOKUP(Table7[[#This Row],[Date]],Database!$A:$C,MATCH($C$1,Database!$A$1:$C$1,),)=0,#N/A,VLOOKUP(Table7[[#This Row],[Date]],Database!$A:$C,MATCH($C$1,Database!$A$1:$C$1,),))</f>
        <v/>
      </c>
      <c r="D7165">
        <f>IFERROR(Table7[[#This Row],[United States 10y]]-Table7[[#This Row],[United States 3y]],#N/A)</f>
        <v/>
      </c>
    </row>
    <row r="7166">
      <c r="A7166" s="6">
        <f>Database!$A9251</f>
        <v/>
      </c>
      <c r="B7166">
        <f>IF(VLOOKUP(Table7[[#This Row],[Date]],Database!$A:$C,MATCH($B$1,Database!$A$1:$C$1,),)=0,#N/A,VLOOKUP(Table7[[#This Row],[Date]],Database!$A:$C,MATCH($B$1,Database!$A$1:$C$1,),))</f>
        <v/>
      </c>
      <c r="C7166">
        <f>IF(VLOOKUP(Table7[[#This Row],[Date]],Database!$A:$C,MATCH($C$1,Database!$A$1:$C$1,),)=0,#N/A,VLOOKUP(Table7[[#This Row],[Date]],Database!$A:$C,MATCH($C$1,Database!$A$1:$C$1,),))</f>
        <v/>
      </c>
      <c r="D7166">
        <f>IFERROR(Table7[[#This Row],[United States 10y]]-Table7[[#This Row],[United States 3y]],#N/A)</f>
        <v/>
      </c>
    </row>
    <row r="7167">
      <c r="A7167" s="6">
        <f>Database!$A9252</f>
        <v/>
      </c>
      <c r="B7167">
        <f>IF(VLOOKUP(Table7[[#This Row],[Date]],Database!$A:$C,MATCH($B$1,Database!$A$1:$C$1,),)=0,#N/A,VLOOKUP(Table7[[#This Row],[Date]],Database!$A:$C,MATCH($B$1,Database!$A$1:$C$1,),))</f>
        <v/>
      </c>
      <c r="C7167">
        <f>IF(VLOOKUP(Table7[[#This Row],[Date]],Database!$A:$C,MATCH($C$1,Database!$A$1:$C$1,),)=0,#N/A,VLOOKUP(Table7[[#This Row],[Date]],Database!$A:$C,MATCH($C$1,Database!$A$1:$C$1,),))</f>
        <v/>
      </c>
      <c r="D7167">
        <f>IFERROR(Table7[[#This Row],[United States 10y]]-Table7[[#This Row],[United States 3y]],#N/A)</f>
        <v/>
      </c>
    </row>
    <row r="7168">
      <c r="A7168" s="6">
        <f>Database!$A9253</f>
        <v/>
      </c>
      <c r="B7168">
        <f>IF(VLOOKUP(Table7[[#This Row],[Date]],Database!$A:$C,MATCH($B$1,Database!$A$1:$C$1,),)=0,#N/A,VLOOKUP(Table7[[#This Row],[Date]],Database!$A:$C,MATCH($B$1,Database!$A$1:$C$1,),))</f>
        <v/>
      </c>
      <c r="C7168">
        <f>IF(VLOOKUP(Table7[[#This Row],[Date]],Database!$A:$C,MATCH($C$1,Database!$A$1:$C$1,),)=0,#N/A,VLOOKUP(Table7[[#This Row],[Date]],Database!$A:$C,MATCH($C$1,Database!$A$1:$C$1,),))</f>
        <v/>
      </c>
      <c r="D7168">
        <f>IFERROR(Table7[[#This Row],[United States 10y]]-Table7[[#This Row],[United States 3y]],#N/A)</f>
        <v/>
      </c>
    </row>
    <row r="7169">
      <c r="A7169" s="6">
        <f>Database!$A9254</f>
        <v/>
      </c>
      <c r="B7169">
        <f>IF(VLOOKUP(Table7[[#This Row],[Date]],Database!$A:$C,MATCH($B$1,Database!$A$1:$C$1,),)=0,#N/A,VLOOKUP(Table7[[#This Row],[Date]],Database!$A:$C,MATCH($B$1,Database!$A$1:$C$1,),))</f>
        <v/>
      </c>
      <c r="C7169">
        <f>IF(VLOOKUP(Table7[[#This Row],[Date]],Database!$A:$C,MATCH($C$1,Database!$A$1:$C$1,),)=0,#N/A,VLOOKUP(Table7[[#This Row],[Date]],Database!$A:$C,MATCH($C$1,Database!$A$1:$C$1,),))</f>
        <v/>
      </c>
      <c r="D7169">
        <f>IFERROR(Table7[[#This Row],[United States 10y]]-Table7[[#This Row],[United States 3y]],#N/A)</f>
        <v/>
      </c>
    </row>
    <row r="7170">
      <c r="A7170" s="6">
        <f>Database!$A9255</f>
        <v/>
      </c>
      <c r="B7170">
        <f>IF(VLOOKUP(Table7[[#This Row],[Date]],Database!$A:$C,MATCH($B$1,Database!$A$1:$C$1,),)=0,#N/A,VLOOKUP(Table7[[#This Row],[Date]],Database!$A:$C,MATCH($B$1,Database!$A$1:$C$1,),))</f>
        <v/>
      </c>
      <c r="C7170">
        <f>IF(VLOOKUP(Table7[[#This Row],[Date]],Database!$A:$C,MATCH($C$1,Database!$A$1:$C$1,),)=0,#N/A,VLOOKUP(Table7[[#This Row],[Date]],Database!$A:$C,MATCH($C$1,Database!$A$1:$C$1,),))</f>
        <v/>
      </c>
      <c r="D7170">
        <f>IFERROR(Table7[[#This Row],[United States 10y]]-Table7[[#This Row],[United States 3y]],#N/A)</f>
        <v/>
      </c>
    </row>
    <row r="7171">
      <c r="A7171" s="6">
        <f>Database!$A9256</f>
        <v/>
      </c>
      <c r="B7171">
        <f>IF(VLOOKUP(Table7[[#This Row],[Date]],Database!$A:$C,MATCH($B$1,Database!$A$1:$C$1,),)=0,#N/A,VLOOKUP(Table7[[#This Row],[Date]],Database!$A:$C,MATCH($B$1,Database!$A$1:$C$1,),))</f>
        <v/>
      </c>
      <c r="C7171">
        <f>IF(VLOOKUP(Table7[[#This Row],[Date]],Database!$A:$C,MATCH($C$1,Database!$A$1:$C$1,),)=0,#N/A,VLOOKUP(Table7[[#This Row],[Date]],Database!$A:$C,MATCH($C$1,Database!$A$1:$C$1,),))</f>
        <v/>
      </c>
      <c r="D7171">
        <f>IFERROR(Table7[[#This Row],[United States 10y]]-Table7[[#This Row],[United States 3y]],#N/A)</f>
        <v/>
      </c>
    </row>
    <row r="7172">
      <c r="A7172" s="6">
        <f>Database!$A9257</f>
        <v/>
      </c>
      <c r="B7172">
        <f>IF(VLOOKUP(Table7[[#This Row],[Date]],Database!$A:$C,MATCH($B$1,Database!$A$1:$C$1,),)=0,#N/A,VLOOKUP(Table7[[#This Row],[Date]],Database!$A:$C,MATCH($B$1,Database!$A$1:$C$1,),))</f>
        <v/>
      </c>
      <c r="C7172">
        <f>IF(VLOOKUP(Table7[[#This Row],[Date]],Database!$A:$C,MATCH($C$1,Database!$A$1:$C$1,),)=0,#N/A,VLOOKUP(Table7[[#This Row],[Date]],Database!$A:$C,MATCH($C$1,Database!$A$1:$C$1,),))</f>
        <v/>
      </c>
      <c r="D7172">
        <f>IFERROR(Table7[[#This Row],[United States 10y]]-Table7[[#This Row],[United States 3y]],#N/A)</f>
        <v/>
      </c>
    </row>
    <row r="7173">
      <c r="A7173" s="6">
        <f>Database!$A9258</f>
        <v/>
      </c>
      <c r="B7173">
        <f>IF(VLOOKUP(Table7[[#This Row],[Date]],Database!$A:$C,MATCH($B$1,Database!$A$1:$C$1,),)=0,#N/A,VLOOKUP(Table7[[#This Row],[Date]],Database!$A:$C,MATCH($B$1,Database!$A$1:$C$1,),))</f>
        <v/>
      </c>
      <c r="C7173">
        <f>IF(VLOOKUP(Table7[[#This Row],[Date]],Database!$A:$C,MATCH($C$1,Database!$A$1:$C$1,),)=0,#N/A,VLOOKUP(Table7[[#This Row],[Date]],Database!$A:$C,MATCH($C$1,Database!$A$1:$C$1,),))</f>
        <v/>
      </c>
      <c r="D7173">
        <f>IFERROR(Table7[[#This Row],[United States 10y]]-Table7[[#This Row],[United States 3y]],#N/A)</f>
        <v/>
      </c>
    </row>
    <row r="7174">
      <c r="A7174" s="6">
        <f>Database!$A9259</f>
        <v/>
      </c>
      <c r="B7174">
        <f>IF(VLOOKUP(Table7[[#This Row],[Date]],Database!$A:$C,MATCH($B$1,Database!$A$1:$C$1,),)=0,#N/A,VLOOKUP(Table7[[#This Row],[Date]],Database!$A:$C,MATCH($B$1,Database!$A$1:$C$1,),))</f>
        <v/>
      </c>
      <c r="C7174">
        <f>IF(VLOOKUP(Table7[[#This Row],[Date]],Database!$A:$C,MATCH($C$1,Database!$A$1:$C$1,),)=0,#N/A,VLOOKUP(Table7[[#This Row],[Date]],Database!$A:$C,MATCH($C$1,Database!$A$1:$C$1,),))</f>
        <v/>
      </c>
      <c r="D7174">
        <f>IFERROR(Table7[[#This Row],[United States 10y]]-Table7[[#This Row],[United States 3y]],#N/A)</f>
        <v/>
      </c>
    </row>
    <row r="7175">
      <c r="A7175" s="6">
        <f>Database!$A9260</f>
        <v/>
      </c>
      <c r="B7175">
        <f>IF(VLOOKUP(Table7[[#This Row],[Date]],Database!$A:$C,MATCH($B$1,Database!$A$1:$C$1,),)=0,#N/A,VLOOKUP(Table7[[#This Row],[Date]],Database!$A:$C,MATCH($B$1,Database!$A$1:$C$1,),))</f>
        <v/>
      </c>
      <c r="C7175">
        <f>IF(VLOOKUP(Table7[[#This Row],[Date]],Database!$A:$C,MATCH($C$1,Database!$A$1:$C$1,),)=0,#N/A,VLOOKUP(Table7[[#This Row],[Date]],Database!$A:$C,MATCH($C$1,Database!$A$1:$C$1,),))</f>
        <v/>
      </c>
      <c r="D7175">
        <f>IFERROR(Table7[[#This Row],[United States 10y]]-Table7[[#This Row],[United States 3y]],#N/A)</f>
        <v/>
      </c>
    </row>
    <row r="7176">
      <c r="A7176" s="6">
        <f>Database!$A9261</f>
        <v/>
      </c>
      <c r="B7176">
        <f>IF(VLOOKUP(Table7[[#This Row],[Date]],Database!$A:$C,MATCH($B$1,Database!$A$1:$C$1,),)=0,#N/A,VLOOKUP(Table7[[#This Row],[Date]],Database!$A:$C,MATCH($B$1,Database!$A$1:$C$1,),))</f>
        <v/>
      </c>
      <c r="C7176">
        <f>IF(VLOOKUP(Table7[[#This Row],[Date]],Database!$A:$C,MATCH($C$1,Database!$A$1:$C$1,),)=0,#N/A,VLOOKUP(Table7[[#This Row],[Date]],Database!$A:$C,MATCH($C$1,Database!$A$1:$C$1,),))</f>
        <v/>
      </c>
      <c r="D7176">
        <f>IFERROR(Table7[[#This Row],[United States 10y]]-Table7[[#This Row],[United States 3y]],#N/A)</f>
        <v/>
      </c>
    </row>
    <row r="7177">
      <c r="A7177" s="6">
        <f>Database!$A9262</f>
        <v/>
      </c>
      <c r="B7177">
        <f>IF(VLOOKUP(Table7[[#This Row],[Date]],Database!$A:$C,MATCH($B$1,Database!$A$1:$C$1,),)=0,#N/A,VLOOKUP(Table7[[#This Row],[Date]],Database!$A:$C,MATCH($B$1,Database!$A$1:$C$1,),))</f>
        <v/>
      </c>
      <c r="C7177">
        <f>IF(VLOOKUP(Table7[[#This Row],[Date]],Database!$A:$C,MATCH($C$1,Database!$A$1:$C$1,),)=0,#N/A,VLOOKUP(Table7[[#This Row],[Date]],Database!$A:$C,MATCH($C$1,Database!$A$1:$C$1,),))</f>
        <v/>
      </c>
      <c r="D7177">
        <f>IFERROR(Table7[[#This Row],[United States 10y]]-Table7[[#This Row],[United States 3y]],#N/A)</f>
        <v/>
      </c>
    </row>
    <row r="7178">
      <c r="A7178" s="6">
        <f>Database!$A9263</f>
        <v/>
      </c>
      <c r="B7178">
        <f>IF(VLOOKUP(Table7[[#This Row],[Date]],Database!$A:$C,MATCH($B$1,Database!$A$1:$C$1,),)=0,#N/A,VLOOKUP(Table7[[#This Row],[Date]],Database!$A:$C,MATCH($B$1,Database!$A$1:$C$1,),))</f>
        <v/>
      </c>
      <c r="C7178">
        <f>IF(VLOOKUP(Table7[[#This Row],[Date]],Database!$A:$C,MATCH($C$1,Database!$A$1:$C$1,),)=0,#N/A,VLOOKUP(Table7[[#This Row],[Date]],Database!$A:$C,MATCH($C$1,Database!$A$1:$C$1,),))</f>
        <v/>
      </c>
      <c r="D7178">
        <f>IFERROR(Table7[[#This Row],[United States 10y]]-Table7[[#This Row],[United States 3y]],#N/A)</f>
        <v/>
      </c>
    </row>
    <row r="7179">
      <c r="A7179" s="6">
        <f>Database!$A9264</f>
        <v/>
      </c>
      <c r="B7179">
        <f>IF(VLOOKUP(Table7[[#This Row],[Date]],Database!$A:$C,MATCH($B$1,Database!$A$1:$C$1,),)=0,#N/A,VLOOKUP(Table7[[#This Row],[Date]],Database!$A:$C,MATCH($B$1,Database!$A$1:$C$1,),))</f>
        <v/>
      </c>
      <c r="C7179">
        <f>IF(VLOOKUP(Table7[[#This Row],[Date]],Database!$A:$C,MATCH($C$1,Database!$A$1:$C$1,),)=0,#N/A,VLOOKUP(Table7[[#This Row],[Date]],Database!$A:$C,MATCH($C$1,Database!$A$1:$C$1,),))</f>
        <v/>
      </c>
      <c r="D7179">
        <f>IFERROR(Table7[[#This Row],[United States 10y]]-Table7[[#This Row],[United States 3y]],#N/A)</f>
        <v/>
      </c>
    </row>
    <row r="7180">
      <c r="A7180" s="6">
        <f>Database!$A9265</f>
        <v/>
      </c>
      <c r="B7180">
        <f>IF(VLOOKUP(Table7[[#This Row],[Date]],Database!$A:$C,MATCH($B$1,Database!$A$1:$C$1,),)=0,#N/A,VLOOKUP(Table7[[#This Row],[Date]],Database!$A:$C,MATCH($B$1,Database!$A$1:$C$1,),))</f>
        <v/>
      </c>
      <c r="C7180">
        <f>IF(VLOOKUP(Table7[[#This Row],[Date]],Database!$A:$C,MATCH($C$1,Database!$A$1:$C$1,),)=0,#N/A,VLOOKUP(Table7[[#This Row],[Date]],Database!$A:$C,MATCH($C$1,Database!$A$1:$C$1,),))</f>
        <v/>
      </c>
      <c r="D7180">
        <f>IFERROR(Table7[[#This Row],[United States 10y]]-Table7[[#This Row],[United States 3y]],#N/A)</f>
        <v/>
      </c>
    </row>
    <row r="7181">
      <c r="A7181" s="6">
        <f>Database!$A9266</f>
        <v/>
      </c>
      <c r="B7181">
        <f>IF(VLOOKUP(Table7[[#This Row],[Date]],Database!$A:$C,MATCH($B$1,Database!$A$1:$C$1,),)=0,#N/A,VLOOKUP(Table7[[#This Row],[Date]],Database!$A:$C,MATCH($B$1,Database!$A$1:$C$1,),))</f>
        <v/>
      </c>
      <c r="C7181">
        <f>IF(VLOOKUP(Table7[[#This Row],[Date]],Database!$A:$C,MATCH($C$1,Database!$A$1:$C$1,),)=0,#N/A,VLOOKUP(Table7[[#This Row],[Date]],Database!$A:$C,MATCH($C$1,Database!$A$1:$C$1,),))</f>
        <v/>
      </c>
      <c r="D7181">
        <f>IFERROR(Table7[[#This Row],[United States 10y]]-Table7[[#This Row],[United States 3y]],#N/A)</f>
        <v/>
      </c>
    </row>
    <row r="7182">
      <c r="A7182" s="6">
        <f>Database!$A9267</f>
        <v/>
      </c>
      <c r="B7182">
        <f>IF(VLOOKUP(Table7[[#This Row],[Date]],Database!$A:$C,MATCH($B$1,Database!$A$1:$C$1,),)=0,#N/A,VLOOKUP(Table7[[#This Row],[Date]],Database!$A:$C,MATCH($B$1,Database!$A$1:$C$1,),))</f>
        <v/>
      </c>
      <c r="C7182">
        <f>IF(VLOOKUP(Table7[[#This Row],[Date]],Database!$A:$C,MATCH($C$1,Database!$A$1:$C$1,),)=0,#N/A,VLOOKUP(Table7[[#This Row],[Date]],Database!$A:$C,MATCH($C$1,Database!$A$1:$C$1,),))</f>
        <v/>
      </c>
      <c r="D7182">
        <f>IFERROR(Table7[[#This Row],[United States 10y]]-Table7[[#This Row],[United States 3y]],#N/A)</f>
        <v/>
      </c>
    </row>
    <row r="7183">
      <c r="A7183" s="6">
        <f>Database!$A9268</f>
        <v/>
      </c>
      <c r="B7183">
        <f>IF(VLOOKUP(Table7[[#This Row],[Date]],Database!$A:$C,MATCH($B$1,Database!$A$1:$C$1,),)=0,#N/A,VLOOKUP(Table7[[#This Row],[Date]],Database!$A:$C,MATCH($B$1,Database!$A$1:$C$1,),))</f>
        <v/>
      </c>
      <c r="C7183">
        <f>IF(VLOOKUP(Table7[[#This Row],[Date]],Database!$A:$C,MATCH($C$1,Database!$A$1:$C$1,),)=0,#N/A,VLOOKUP(Table7[[#This Row],[Date]],Database!$A:$C,MATCH($C$1,Database!$A$1:$C$1,),))</f>
        <v/>
      </c>
      <c r="D7183">
        <f>IFERROR(Table7[[#This Row],[United States 10y]]-Table7[[#This Row],[United States 3y]],#N/A)</f>
        <v/>
      </c>
    </row>
    <row r="7184">
      <c r="A7184" s="6">
        <f>Database!$A9269</f>
        <v/>
      </c>
      <c r="B7184">
        <f>IF(VLOOKUP(Table7[[#This Row],[Date]],Database!$A:$C,MATCH($B$1,Database!$A$1:$C$1,),)=0,#N/A,VLOOKUP(Table7[[#This Row],[Date]],Database!$A:$C,MATCH($B$1,Database!$A$1:$C$1,),))</f>
        <v/>
      </c>
      <c r="C7184">
        <f>IF(VLOOKUP(Table7[[#This Row],[Date]],Database!$A:$C,MATCH($C$1,Database!$A$1:$C$1,),)=0,#N/A,VLOOKUP(Table7[[#This Row],[Date]],Database!$A:$C,MATCH($C$1,Database!$A$1:$C$1,),))</f>
        <v/>
      </c>
      <c r="D7184">
        <f>IFERROR(Table7[[#This Row],[United States 10y]]-Table7[[#This Row],[United States 3y]],#N/A)</f>
        <v/>
      </c>
    </row>
    <row r="7185">
      <c r="A7185" s="6">
        <f>Database!$A9270</f>
        <v/>
      </c>
      <c r="B7185">
        <f>IF(VLOOKUP(Table7[[#This Row],[Date]],Database!$A:$C,MATCH($B$1,Database!$A$1:$C$1,),)=0,#N/A,VLOOKUP(Table7[[#This Row],[Date]],Database!$A:$C,MATCH($B$1,Database!$A$1:$C$1,),))</f>
        <v/>
      </c>
      <c r="C7185">
        <f>IF(VLOOKUP(Table7[[#This Row],[Date]],Database!$A:$C,MATCH($C$1,Database!$A$1:$C$1,),)=0,#N/A,VLOOKUP(Table7[[#This Row],[Date]],Database!$A:$C,MATCH($C$1,Database!$A$1:$C$1,),))</f>
        <v/>
      </c>
      <c r="D7185">
        <f>IFERROR(Table7[[#This Row],[United States 10y]]-Table7[[#This Row],[United States 3y]],#N/A)</f>
        <v/>
      </c>
    </row>
    <row r="7186">
      <c r="A7186" s="6">
        <f>Database!$A9271</f>
        <v/>
      </c>
      <c r="B7186">
        <f>IF(VLOOKUP(Table7[[#This Row],[Date]],Database!$A:$C,MATCH($B$1,Database!$A$1:$C$1,),)=0,#N/A,VLOOKUP(Table7[[#This Row],[Date]],Database!$A:$C,MATCH($B$1,Database!$A$1:$C$1,),))</f>
        <v/>
      </c>
      <c r="C7186">
        <f>IF(VLOOKUP(Table7[[#This Row],[Date]],Database!$A:$C,MATCH($C$1,Database!$A$1:$C$1,),)=0,#N/A,VLOOKUP(Table7[[#This Row],[Date]],Database!$A:$C,MATCH($C$1,Database!$A$1:$C$1,),))</f>
        <v/>
      </c>
      <c r="D7186">
        <f>IFERROR(Table7[[#This Row],[United States 10y]]-Table7[[#This Row],[United States 3y]],#N/A)</f>
        <v/>
      </c>
    </row>
    <row r="7187">
      <c r="A7187" s="6">
        <f>Database!$A9272</f>
        <v/>
      </c>
      <c r="B7187">
        <f>IF(VLOOKUP(Table7[[#This Row],[Date]],Database!$A:$C,MATCH($B$1,Database!$A$1:$C$1,),)=0,#N/A,VLOOKUP(Table7[[#This Row],[Date]],Database!$A:$C,MATCH($B$1,Database!$A$1:$C$1,),))</f>
        <v/>
      </c>
      <c r="C7187">
        <f>IF(VLOOKUP(Table7[[#This Row],[Date]],Database!$A:$C,MATCH($C$1,Database!$A$1:$C$1,),)=0,#N/A,VLOOKUP(Table7[[#This Row],[Date]],Database!$A:$C,MATCH($C$1,Database!$A$1:$C$1,),))</f>
        <v/>
      </c>
      <c r="D7187">
        <f>IFERROR(Table7[[#This Row],[United States 10y]]-Table7[[#This Row],[United States 3y]],#N/A)</f>
        <v/>
      </c>
    </row>
    <row r="7188">
      <c r="A7188" s="6">
        <f>Database!$A9273</f>
        <v/>
      </c>
      <c r="B7188">
        <f>IF(VLOOKUP(Table7[[#This Row],[Date]],Database!$A:$C,MATCH($B$1,Database!$A$1:$C$1,),)=0,#N/A,VLOOKUP(Table7[[#This Row],[Date]],Database!$A:$C,MATCH($B$1,Database!$A$1:$C$1,),))</f>
        <v/>
      </c>
      <c r="C7188">
        <f>IF(VLOOKUP(Table7[[#This Row],[Date]],Database!$A:$C,MATCH($C$1,Database!$A$1:$C$1,),)=0,#N/A,VLOOKUP(Table7[[#This Row],[Date]],Database!$A:$C,MATCH($C$1,Database!$A$1:$C$1,),))</f>
        <v/>
      </c>
      <c r="D7188">
        <f>IFERROR(Table7[[#This Row],[United States 10y]]-Table7[[#This Row],[United States 3y]],#N/A)</f>
        <v/>
      </c>
    </row>
    <row r="7189">
      <c r="A7189" s="6">
        <f>Database!$A9274</f>
        <v/>
      </c>
      <c r="B7189">
        <f>IF(VLOOKUP(Table7[[#This Row],[Date]],Database!$A:$C,MATCH($B$1,Database!$A$1:$C$1,),)=0,#N/A,VLOOKUP(Table7[[#This Row],[Date]],Database!$A:$C,MATCH($B$1,Database!$A$1:$C$1,),))</f>
        <v/>
      </c>
      <c r="C7189">
        <f>IF(VLOOKUP(Table7[[#This Row],[Date]],Database!$A:$C,MATCH($C$1,Database!$A$1:$C$1,),)=0,#N/A,VLOOKUP(Table7[[#This Row],[Date]],Database!$A:$C,MATCH($C$1,Database!$A$1:$C$1,),))</f>
        <v/>
      </c>
      <c r="D7189">
        <f>IFERROR(Table7[[#This Row],[United States 10y]]-Table7[[#This Row],[United States 3y]],#N/A)</f>
        <v/>
      </c>
    </row>
    <row r="7190">
      <c r="A7190" s="6">
        <f>Database!$A9275</f>
        <v/>
      </c>
      <c r="B7190">
        <f>IF(VLOOKUP(Table7[[#This Row],[Date]],Database!$A:$C,MATCH($B$1,Database!$A$1:$C$1,),)=0,#N/A,VLOOKUP(Table7[[#This Row],[Date]],Database!$A:$C,MATCH($B$1,Database!$A$1:$C$1,),))</f>
        <v/>
      </c>
      <c r="C7190">
        <f>IF(VLOOKUP(Table7[[#This Row],[Date]],Database!$A:$C,MATCH($C$1,Database!$A$1:$C$1,),)=0,#N/A,VLOOKUP(Table7[[#This Row],[Date]],Database!$A:$C,MATCH($C$1,Database!$A$1:$C$1,),))</f>
        <v/>
      </c>
      <c r="D7190">
        <f>IFERROR(Table7[[#This Row],[United States 10y]]-Table7[[#This Row],[United States 3y]],#N/A)</f>
        <v/>
      </c>
    </row>
    <row r="7191">
      <c r="A7191" s="6">
        <f>Database!$A9276</f>
        <v/>
      </c>
      <c r="B7191">
        <f>IF(VLOOKUP(Table7[[#This Row],[Date]],Database!$A:$C,MATCH($B$1,Database!$A$1:$C$1,),)=0,#N/A,VLOOKUP(Table7[[#This Row],[Date]],Database!$A:$C,MATCH($B$1,Database!$A$1:$C$1,),))</f>
        <v/>
      </c>
      <c r="C7191">
        <f>IF(VLOOKUP(Table7[[#This Row],[Date]],Database!$A:$C,MATCH($C$1,Database!$A$1:$C$1,),)=0,#N/A,VLOOKUP(Table7[[#This Row],[Date]],Database!$A:$C,MATCH($C$1,Database!$A$1:$C$1,),))</f>
        <v/>
      </c>
      <c r="D7191">
        <f>IFERROR(Table7[[#This Row],[United States 10y]]-Table7[[#This Row],[United States 3y]],#N/A)</f>
        <v/>
      </c>
    </row>
    <row r="7192">
      <c r="A7192" s="6">
        <f>Database!$A9277</f>
        <v/>
      </c>
      <c r="B7192">
        <f>IF(VLOOKUP(Table7[[#This Row],[Date]],Database!$A:$C,MATCH($B$1,Database!$A$1:$C$1,),)=0,#N/A,VLOOKUP(Table7[[#This Row],[Date]],Database!$A:$C,MATCH($B$1,Database!$A$1:$C$1,),))</f>
        <v/>
      </c>
      <c r="C7192">
        <f>IF(VLOOKUP(Table7[[#This Row],[Date]],Database!$A:$C,MATCH($C$1,Database!$A$1:$C$1,),)=0,#N/A,VLOOKUP(Table7[[#This Row],[Date]],Database!$A:$C,MATCH($C$1,Database!$A$1:$C$1,),))</f>
        <v/>
      </c>
      <c r="D7192">
        <f>IFERROR(Table7[[#This Row],[United States 10y]]-Table7[[#This Row],[United States 3y]],#N/A)</f>
        <v/>
      </c>
    </row>
    <row r="7193">
      <c r="A7193" s="6">
        <f>Database!$A9278</f>
        <v/>
      </c>
      <c r="B7193">
        <f>IF(VLOOKUP(Table7[[#This Row],[Date]],Database!$A:$C,MATCH($B$1,Database!$A$1:$C$1,),)=0,#N/A,VLOOKUP(Table7[[#This Row],[Date]],Database!$A:$C,MATCH($B$1,Database!$A$1:$C$1,),))</f>
        <v/>
      </c>
      <c r="C7193">
        <f>IF(VLOOKUP(Table7[[#This Row],[Date]],Database!$A:$C,MATCH($C$1,Database!$A$1:$C$1,),)=0,#N/A,VLOOKUP(Table7[[#This Row],[Date]],Database!$A:$C,MATCH($C$1,Database!$A$1:$C$1,),))</f>
        <v/>
      </c>
      <c r="D7193">
        <f>IFERROR(Table7[[#This Row],[United States 10y]]-Table7[[#This Row],[United States 3y]],#N/A)</f>
        <v/>
      </c>
    </row>
    <row r="7194">
      <c r="A7194" s="6">
        <f>Database!$A9279</f>
        <v/>
      </c>
      <c r="B7194">
        <f>IF(VLOOKUP(Table7[[#This Row],[Date]],Database!$A:$C,MATCH($B$1,Database!$A$1:$C$1,),)=0,#N/A,VLOOKUP(Table7[[#This Row],[Date]],Database!$A:$C,MATCH($B$1,Database!$A$1:$C$1,),))</f>
        <v/>
      </c>
      <c r="C7194">
        <f>IF(VLOOKUP(Table7[[#This Row],[Date]],Database!$A:$C,MATCH($C$1,Database!$A$1:$C$1,),)=0,#N/A,VLOOKUP(Table7[[#This Row],[Date]],Database!$A:$C,MATCH($C$1,Database!$A$1:$C$1,),))</f>
        <v/>
      </c>
      <c r="D7194">
        <f>IFERROR(Table7[[#This Row],[United States 10y]]-Table7[[#This Row],[United States 3y]],#N/A)</f>
        <v/>
      </c>
    </row>
    <row r="7195">
      <c r="A7195" s="6">
        <f>Database!$A9280</f>
        <v/>
      </c>
      <c r="B7195">
        <f>IF(VLOOKUP(Table7[[#This Row],[Date]],Database!$A:$C,MATCH($B$1,Database!$A$1:$C$1,),)=0,#N/A,VLOOKUP(Table7[[#This Row],[Date]],Database!$A:$C,MATCH($B$1,Database!$A$1:$C$1,),))</f>
        <v/>
      </c>
      <c r="C7195">
        <f>IF(VLOOKUP(Table7[[#This Row],[Date]],Database!$A:$C,MATCH($C$1,Database!$A$1:$C$1,),)=0,#N/A,VLOOKUP(Table7[[#This Row],[Date]],Database!$A:$C,MATCH($C$1,Database!$A$1:$C$1,),))</f>
        <v/>
      </c>
      <c r="D7195">
        <f>IFERROR(Table7[[#This Row],[United States 10y]]-Table7[[#This Row],[United States 3y]],#N/A)</f>
        <v/>
      </c>
    </row>
    <row r="7196">
      <c r="A7196" s="6">
        <f>Database!$A9281</f>
        <v/>
      </c>
      <c r="B7196">
        <f>IF(VLOOKUP(Table7[[#This Row],[Date]],Database!$A:$C,MATCH($B$1,Database!$A$1:$C$1,),)=0,#N/A,VLOOKUP(Table7[[#This Row],[Date]],Database!$A:$C,MATCH($B$1,Database!$A$1:$C$1,),))</f>
        <v/>
      </c>
      <c r="C7196">
        <f>IF(VLOOKUP(Table7[[#This Row],[Date]],Database!$A:$C,MATCH($C$1,Database!$A$1:$C$1,),)=0,#N/A,VLOOKUP(Table7[[#This Row],[Date]],Database!$A:$C,MATCH($C$1,Database!$A$1:$C$1,),))</f>
        <v/>
      </c>
      <c r="D7196">
        <f>IFERROR(Table7[[#This Row],[United States 10y]]-Table7[[#This Row],[United States 3y]],#N/A)</f>
        <v/>
      </c>
    </row>
    <row r="7197">
      <c r="A7197" s="6">
        <f>Database!$A9282</f>
        <v/>
      </c>
      <c r="B7197">
        <f>IF(VLOOKUP(Table7[[#This Row],[Date]],Database!$A:$C,MATCH($B$1,Database!$A$1:$C$1,),)=0,#N/A,VLOOKUP(Table7[[#This Row],[Date]],Database!$A:$C,MATCH($B$1,Database!$A$1:$C$1,),))</f>
        <v/>
      </c>
      <c r="C7197">
        <f>IF(VLOOKUP(Table7[[#This Row],[Date]],Database!$A:$C,MATCH($C$1,Database!$A$1:$C$1,),)=0,#N/A,VLOOKUP(Table7[[#This Row],[Date]],Database!$A:$C,MATCH($C$1,Database!$A$1:$C$1,),))</f>
        <v/>
      </c>
      <c r="D7197">
        <f>IFERROR(Table7[[#This Row],[United States 10y]]-Table7[[#This Row],[United States 3y]],#N/A)</f>
        <v/>
      </c>
    </row>
    <row r="7198">
      <c r="A7198" s="6">
        <f>Database!$A9283</f>
        <v/>
      </c>
      <c r="B7198">
        <f>IF(VLOOKUP(Table7[[#This Row],[Date]],Database!$A:$C,MATCH($B$1,Database!$A$1:$C$1,),)=0,#N/A,VLOOKUP(Table7[[#This Row],[Date]],Database!$A:$C,MATCH($B$1,Database!$A$1:$C$1,),))</f>
        <v/>
      </c>
      <c r="C7198">
        <f>IF(VLOOKUP(Table7[[#This Row],[Date]],Database!$A:$C,MATCH($C$1,Database!$A$1:$C$1,),)=0,#N/A,VLOOKUP(Table7[[#This Row],[Date]],Database!$A:$C,MATCH($C$1,Database!$A$1:$C$1,),))</f>
        <v/>
      </c>
      <c r="D7198">
        <f>IFERROR(Table7[[#This Row],[United States 10y]]-Table7[[#This Row],[United States 3y]],#N/A)</f>
        <v/>
      </c>
    </row>
    <row r="7199">
      <c r="A7199" s="6">
        <f>Database!$A9284</f>
        <v/>
      </c>
      <c r="B7199">
        <f>IF(VLOOKUP(Table7[[#This Row],[Date]],Database!$A:$C,MATCH($B$1,Database!$A$1:$C$1,),)=0,#N/A,VLOOKUP(Table7[[#This Row],[Date]],Database!$A:$C,MATCH($B$1,Database!$A$1:$C$1,),))</f>
        <v/>
      </c>
      <c r="C7199">
        <f>IF(VLOOKUP(Table7[[#This Row],[Date]],Database!$A:$C,MATCH($C$1,Database!$A$1:$C$1,),)=0,#N/A,VLOOKUP(Table7[[#This Row],[Date]],Database!$A:$C,MATCH($C$1,Database!$A$1:$C$1,),))</f>
        <v/>
      </c>
      <c r="D7199">
        <f>IFERROR(Table7[[#This Row],[United States 10y]]-Table7[[#This Row],[United States 3y]],#N/A)</f>
        <v/>
      </c>
    </row>
    <row r="7200">
      <c r="A7200" s="6">
        <f>Database!$A9285</f>
        <v/>
      </c>
      <c r="B7200">
        <f>IF(VLOOKUP(Table7[[#This Row],[Date]],Database!$A:$C,MATCH($B$1,Database!$A$1:$C$1,),)=0,#N/A,VLOOKUP(Table7[[#This Row],[Date]],Database!$A:$C,MATCH($B$1,Database!$A$1:$C$1,),))</f>
        <v/>
      </c>
      <c r="C7200">
        <f>IF(VLOOKUP(Table7[[#This Row],[Date]],Database!$A:$C,MATCH($C$1,Database!$A$1:$C$1,),)=0,#N/A,VLOOKUP(Table7[[#This Row],[Date]],Database!$A:$C,MATCH($C$1,Database!$A$1:$C$1,),))</f>
        <v/>
      </c>
      <c r="D7200">
        <f>IFERROR(Table7[[#This Row],[United States 10y]]-Table7[[#This Row],[United States 3y]],#N/A)</f>
        <v/>
      </c>
    </row>
    <row r="7201">
      <c r="A7201" s="6">
        <f>Database!$A9286</f>
        <v/>
      </c>
      <c r="B7201">
        <f>IF(VLOOKUP(Table7[[#This Row],[Date]],Database!$A:$C,MATCH($B$1,Database!$A$1:$C$1,),)=0,#N/A,VLOOKUP(Table7[[#This Row],[Date]],Database!$A:$C,MATCH($B$1,Database!$A$1:$C$1,),))</f>
        <v/>
      </c>
      <c r="C7201">
        <f>IF(VLOOKUP(Table7[[#This Row],[Date]],Database!$A:$C,MATCH($C$1,Database!$A$1:$C$1,),)=0,#N/A,VLOOKUP(Table7[[#This Row],[Date]],Database!$A:$C,MATCH($C$1,Database!$A$1:$C$1,),))</f>
        <v/>
      </c>
      <c r="D7201">
        <f>IFERROR(Table7[[#This Row],[United States 10y]]-Table7[[#This Row],[United States 3y]],#N/A)</f>
        <v/>
      </c>
    </row>
    <row r="7202">
      <c r="A7202" s="6">
        <f>Database!$A9287</f>
        <v/>
      </c>
      <c r="B7202">
        <f>IF(VLOOKUP(Table7[[#This Row],[Date]],Database!$A:$C,MATCH($B$1,Database!$A$1:$C$1,),)=0,#N/A,VLOOKUP(Table7[[#This Row],[Date]],Database!$A:$C,MATCH($B$1,Database!$A$1:$C$1,),))</f>
        <v/>
      </c>
      <c r="C7202">
        <f>IF(VLOOKUP(Table7[[#This Row],[Date]],Database!$A:$C,MATCH($C$1,Database!$A$1:$C$1,),)=0,#N/A,VLOOKUP(Table7[[#This Row],[Date]],Database!$A:$C,MATCH($C$1,Database!$A$1:$C$1,),))</f>
        <v/>
      </c>
      <c r="D7202">
        <f>IFERROR(Table7[[#This Row],[United States 10y]]-Table7[[#This Row],[United States 3y]],#N/A)</f>
        <v/>
      </c>
    </row>
    <row r="7203">
      <c r="A7203" s="6">
        <f>Database!$A9288</f>
        <v/>
      </c>
      <c r="B7203">
        <f>IF(VLOOKUP(Table7[[#This Row],[Date]],Database!$A:$C,MATCH($B$1,Database!$A$1:$C$1,),)=0,#N/A,VLOOKUP(Table7[[#This Row],[Date]],Database!$A:$C,MATCH($B$1,Database!$A$1:$C$1,),))</f>
        <v/>
      </c>
      <c r="C7203">
        <f>IF(VLOOKUP(Table7[[#This Row],[Date]],Database!$A:$C,MATCH($C$1,Database!$A$1:$C$1,),)=0,#N/A,VLOOKUP(Table7[[#This Row],[Date]],Database!$A:$C,MATCH($C$1,Database!$A$1:$C$1,),))</f>
        <v/>
      </c>
      <c r="D7203">
        <f>IFERROR(Table7[[#This Row],[United States 10y]]-Table7[[#This Row],[United States 3y]],#N/A)</f>
        <v/>
      </c>
    </row>
    <row r="7204">
      <c r="A7204" s="6">
        <f>Database!$A9289</f>
        <v/>
      </c>
      <c r="B7204">
        <f>IF(VLOOKUP(Table7[[#This Row],[Date]],Database!$A:$C,MATCH($B$1,Database!$A$1:$C$1,),)=0,#N/A,VLOOKUP(Table7[[#This Row],[Date]],Database!$A:$C,MATCH($B$1,Database!$A$1:$C$1,),))</f>
        <v/>
      </c>
      <c r="C7204">
        <f>IF(VLOOKUP(Table7[[#This Row],[Date]],Database!$A:$C,MATCH($C$1,Database!$A$1:$C$1,),)=0,#N/A,VLOOKUP(Table7[[#This Row],[Date]],Database!$A:$C,MATCH($C$1,Database!$A$1:$C$1,),))</f>
        <v/>
      </c>
      <c r="D7204">
        <f>IFERROR(Table7[[#This Row],[United States 10y]]-Table7[[#This Row],[United States 3y]],#N/A)</f>
        <v/>
      </c>
    </row>
    <row r="7205">
      <c r="A7205" s="6">
        <f>Database!$A9290</f>
        <v/>
      </c>
      <c r="B7205">
        <f>IF(VLOOKUP(Table7[[#This Row],[Date]],Database!$A:$C,MATCH($B$1,Database!$A$1:$C$1,),)=0,#N/A,VLOOKUP(Table7[[#This Row],[Date]],Database!$A:$C,MATCH($B$1,Database!$A$1:$C$1,),))</f>
        <v/>
      </c>
      <c r="C7205">
        <f>IF(VLOOKUP(Table7[[#This Row],[Date]],Database!$A:$C,MATCH($C$1,Database!$A$1:$C$1,),)=0,#N/A,VLOOKUP(Table7[[#This Row],[Date]],Database!$A:$C,MATCH($C$1,Database!$A$1:$C$1,),))</f>
        <v/>
      </c>
      <c r="D7205">
        <f>IFERROR(Table7[[#This Row],[United States 10y]]-Table7[[#This Row],[United States 3y]],#N/A)</f>
        <v/>
      </c>
    </row>
    <row r="7206">
      <c r="A7206" s="6">
        <f>Database!$A9291</f>
        <v/>
      </c>
      <c r="B7206">
        <f>IF(VLOOKUP(Table7[[#This Row],[Date]],Database!$A:$C,MATCH($B$1,Database!$A$1:$C$1,),)=0,#N/A,VLOOKUP(Table7[[#This Row],[Date]],Database!$A:$C,MATCH($B$1,Database!$A$1:$C$1,),))</f>
        <v/>
      </c>
      <c r="C7206">
        <f>IF(VLOOKUP(Table7[[#This Row],[Date]],Database!$A:$C,MATCH($C$1,Database!$A$1:$C$1,),)=0,#N/A,VLOOKUP(Table7[[#This Row],[Date]],Database!$A:$C,MATCH($C$1,Database!$A$1:$C$1,),))</f>
        <v/>
      </c>
      <c r="D7206">
        <f>IFERROR(Table7[[#This Row],[United States 10y]]-Table7[[#This Row],[United States 3y]],#N/A)</f>
        <v/>
      </c>
    </row>
    <row r="7207">
      <c r="A7207" s="6">
        <f>Database!$A9292</f>
        <v/>
      </c>
      <c r="B7207">
        <f>IF(VLOOKUP(Table7[[#This Row],[Date]],Database!$A:$C,MATCH($B$1,Database!$A$1:$C$1,),)=0,#N/A,VLOOKUP(Table7[[#This Row],[Date]],Database!$A:$C,MATCH($B$1,Database!$A$1:$C$1,),))</f>
        <v/>
      </c>
      <c r="C7207">
        <f>IF(VLOOKUP(Table7[[#This Row],[Date]],Database!$A:$C,MATCH($C$1,Database!$A$1:$C$1,),)=0,#N/A,VLOOKUP(Table7[[#This Row],[Date]],Database!$A:$C,MATCH($C$1,Database!$A$1:$C$1,),))</f>
        <v/>
      </c>
      <c r="D7207">
        <f>IFERROR(Table7[[#This Row],[United States 10y]]-Table7[[#This Row],[United States 3y]],#N/A)</f>
        <v/>
      </c>
    </row>
    <row r="7208">
      <c r="A7208" s="6">
        <f>Database!$A9293</f>
        <v/>
      </c>
      <c r="B7208">
        <f>IF(VLOOKUP(Table7[[#This Row],[Date]],Database!$A:$C,MATCH($B$1,Database!$A$1:$C$1,),)=0,#N/A,VLOOKUP(Table7[[#This Row],[Date]],Database!$A:$C,MATCH($B$1,Database!$A$1:$C$1,),))</f>
        <v/>
      </c>
      <c r="C7208">
        <f>IF(VLOOKUP(Table7[[#This Row],[Date]],Database!$A:$C,MATCH($C$1,Database!$A$1:$C$1,),)=0,#N/A,VLOOKUP(Table7[[#This Row],[Date]],Database!$A:$C,MATCH($C$1,Database!$A$1:$C$1,),))</f>
        <v/>
      </c>
      <c r="D7208">
        <f>IFERROR(Table7[[#This Row],[United States 10y]]-Table7[[#This Row],[United States 3y]],#N/A)</f>
        <v/>
      </c>
    </row>
    <row r="7209">
      <c r="A7209" s="6">
        <f>Database!$A9294</f>
        <v/>
      </c>
      <c r="B7209">
        <f>IF(VLOOKUP(Table7[[#This Row],[Date]],Database!$A:$C,MATCH($B$1,Database!$A$1:$C$1,),)=0,#N/A,VLOOKUP(Table7[[#This Row],[Date]],Database!$A:$C,MATCH($B$1,Database!$A$1:$C$1,),))</f>
        <v/>
      </c>
      <c r="C7209">
        <f>IF(VLOOKUP(Table7[[#This Row],[Date]],Database!$A:$C,MATCH($C$1,Database!$A$1:$C$1,),)=0,#N/A,VLOOKUP(Table7[[#This Row],[Date]],Database!$A:$C,MATCH($C$1,Database!$A$1:$C$1,),))</f>
        <v/>
      </c>
      <c r="D7209">
        <f>IFERROR(Table7[[#This Row],[United States 10y]]-Table7[[#This Row],[United States 3y]],#N/A)</f>
        <v/>
      </c>
    </row>
    <row r="7210">
      <c r="A7210" s="6">
        <f>Database!$A9295</f>
        <v/>
      </c>
      <c r="B7210">
        <f>IF(VLOOKUP(Table7[[#This Row],[Date]],Database!$A:$C,MATCH($B$1,Database!$A$1:$C$1,),)=0,#N/A,VLOOKUP(Table7[[#This Row],[Date]],Database!$A:$C,MATCH($B$1,Database!$A$1:$C$1,),))</f>
        <v/>
      </c>
      <c r="C7210">
        <f>IF(VLOOKUP(Table7[[#This Row],[Date]],Database!$A:$C,MATCH($C$1,Database!$A$1:$C$1,),)=0,#N/A,VLOOKUP(Table7[[#This Row],[Date]],Database!$A:$C,MATCH($C$1,Database!$A$1:$C$1,),))</f>
        <v/>
      </c>
      <c r="D7210">
        <f>IFERROR(Table7[[#This Row],[United States 10y]]-Table7[[#This Row],[United States 3y]],#N/A)</f>
        <v/>
      </c>
    </row>
    <row r="7211">
      <c r="A7211" s="6">
        <f>Database!$A9296</f>
        <v/>
      </c>
      <c r="B7211">
        <f>IF(VLOOKUP(Table7[[#This Row],[Date]],Database!$A:$C,MATCH($B$1,Database!$A$1:$C$1,),)=0,#N/A,VLOOKUP(Table7[[#This Row],[Date]],Database!$A:$C,MATCH($B$1,Database!$A$1:$C$1,),))</f>
        <v/>
      </c>
      <c r="C7211">
        <f>IF(VLOOKUP(Table7[[#This Row],[Date]],Database!$A:$C,MATCH($C$1,Database!$A$1:$C$1,),)=0,#N/A,VLOOKUP(Table7[[#This Row],[Date]],Database!$A:$C,MATCH($C$1,Database!$A$1:$C$1,),))</f>
        <v/>
      </c>
      <c r="D7211">
        <f>IFERROR(Table7[[#This Row],[United States 10y]]-Table7[[#This Row],[United States 3y]],#N/A)</f>
        <v/>
      </c>
    </row>
    <row r="7212">
      <c r="A7212" s="6">
        <f>Database!$A9297</f>
        <v/>
      </c>
      <c r="B7212">
        <f>IF(VLOOKUP(Table7[[#This Row],[Date]],Database!$A:$C,MATCH($B$1,Database!$A$1:$C$1,),)=0,#N/A,VLOOKUP(Table7[[#This Row],[Date]],Database!$A:$C,MATCH($B$1,Database!$A$1:$C$1,),))</f>
        <v/>
      </c>
      <c r="C7212">
        <f>IF(VLOOKUP(Table7[[#This Row],[Date]],Database!$A:$C,MATCH($C$1,Database!$A$1:$C$1,),)=0,#N/A,VLOOKUP(Table7[[#This Row],[Date]],Database!$A:$C,MATCH($C$1,Database!$A$1:$C$1,),))</f>
        <v/>
      </c>
      <c r="D7212">
        <f>IFERROR(Table7[[#This Row],[United States 10y]]-Table7[[#This Row],[United States 3y]],#N/A)</f>
        <v/>
      </c>
    </row>
    <row r="7213">
      <c r="A7213" s="6">
        <f>Database!$A9298</f>
        <v/>
      </c>
      <c r="B7213">
        <f>IF(VLOOKUP(Table7[[#This Row],[Date]],Database!$A:$C,MATCH($B$1,Database!$A$1:$C$1,),)=0,#N/A,VLOOKUP(Table7[[#This Row],[Date]],Database!$A:$C,MATCH($B$1,Database!$A$1:$C$1,),))</f>
        <v/>
      </c>
      <c r="C7213">
        <f>IF(VLOOKUP(Table7[[#This Row],[Date]],Database!$A:$C,MATCH($C$1,Database!$A$1:$C$1,),)=0,#N/A,VLOOKUP(Table7[[#This Row],[Date]],Database!$A:$C,MATCH($C$1,Database!$A$1:$C$1,),))</f>
        <v/>
      </c>
      <c r="D7213">
        <f>IFERROR(Table7[[#This Row],[United States 10y]]-Table7[[#This Row],[United States 3y]],#N/A)</f>
        <v/>
      </c>
    </row>
    <row r="7214">
      <c r="A7214" s="6">
        <f>Database!$A9299</f>
        <v/>
      </c>
      <c r="B7214">
        <f>IF(VLOOKUP(Table7[[#This Row],[Date]],Database!$A:$C,MATCH($B$1,Database!$A$1:$C$1,),)=0,#N/A,VLOOKUP(Table7[[#This Row],[Date]],Database!$A:$C,MATCH($B$1,Database!$A$1:$C$1,),))</f>
        <v/>
      </c>
      <c r="C7214">
        <f>IF(VLOOKUP(Table7[[#This Row],[Date]],Database!$A:$C,MATCH($C$1,Database!$A$1:$C$1,),)=0,#N/A,VLOOKUP(Table7[[#This Row],[Date]],Database!$A:$C,MATCH($C$1,Database!$A$1:$C$1,),))</f>
        <v/>
      </c>
      <c r="D7214">
        <f>IFERROR(Table7[[#This Row],[United States 10y]]-Table7[[#This Row],[United States 3y]],#N/A)</f>
        <v/>
      </c>
    </row>
    <row r="7215">
      <c r="A7215" s="6">
        <f>Database!$A9300</f>
        <v/>
      </c>
      <c r="B7215">
        <f>IF(VLOOKUP(Table7[[#This Row],[Date]],Database!$A:$C,MATCH($B$1,Database!$A$1:$C$1,),)=0,#N/A,VLOOKUP(Table7[[#This Row],[Date]],Database!$A:$C,MATCH($B$1,Database!$A$1:$C$1,),))</f>
        <v/>
      </c>
      <c r="C7215">
        <f>IF(VLOOKUP(Table7[[#This Row],[Date]],Database!$A:$C,MATCH($C$1,Database!$A$1:$C$1,),)=0,#N/A,VLOOKUP(Table7[[#This Row],[Date]],Database!$A:$C,MATCH($C$1,Database!$A$1:$C$1,),))</f>
        <v/>
      </c>
      <c r="D7215">
        <f>IFERROR(Table7[[#This Row],[United States 10y]]-Table7[[#This Row],[United States 3y]],#N/A)</f>
        <v/>
      </c>
    </row>
    <row r="7216">
      <c r="A7216" s="6">
        <f>Database!$A9301</f>
        <v/>
      </c>
      <c r="B7216">
        <f>IF(VLOOKUP(Table7[[#This Row],[Date]],Database!$A:$C,MATCH($B$1,Database!$A$1:$C$1,),)=0,#N/A,VLOOKUP(Table7[[#This Row],[Date]],Database!$A:$C,MATCH($B$1,Database!$A$1:$C$1,),))</f>
        <v/>
      </c>
      <c r="C7216">
        <f>IF(VLOOKUP(Table7[[#This Row],[Date]],Database!$A:$C,MATCH($C$1,Database!$A$1:$C$1,),)=0,#N/A,VLOOKUP(Table7[[#This Row],[Date]],Database!$A:$C,MATCH($C$1,Database!$A$1:$C$1,),))</f>
        <v/>
      </c>
      <c r="D7216">
        <f>IFERROR(Table7[[#This Row],[United States 10y]]-Table7[[#This Row],[United States 3y]],#N/A)</f>
        <v/>
      </c>
    </row>
    <row r="7217">
      <c r="A7217" s="6">
        <f>Database!$A9302</f>
        <v/>
      </c>
      <c r="B7217">
        <f>IF(VLOOKUP(Table7[[#This Row],[Date]],Database!$A:$C,MATCH($B$1,Database!$A$1:$C$1,),)=0,#N/A,VLOOKUP(Table7[[#This Row],[Date]],Database!$A:$C,MATCH($B$1,Database!$A$1:$C$1,),))</f>
        <v/>
      </c>
      <c r="C7217">
        <f>IF(VLOOKUP(Table7[[#This Row],[Date]],Database!$A:$C,MATCH($C$1,Database!$A$1:$C$1,),)=0,#N/A,VLOOKUP(Table7[[#This Row],[Date]],Database!$A:$C,MATCH($C$1,Database!$A$1:$C$1,),))</f>
        <v/>
      </c>
      <c r="D7217">
        <f>IFERROR(Table7[[#This Row],[United States 10y]]-Table7[[#This Row],[United States 3y]],#N/A)</f>
        <v/>
      </c>
    </row>
    <row r="7218">
      <c r="A7218" s="6">
        <f>Database!$A9303</f>
        <v/>
      </c>
      <c r="B7218">
        <f>IF(VLOOKUP(Table7[[#This Row],[Date]],Database!$A:$C,MATCH($B$1,Database!$A$1:$C$1,),)=0,#N/A,VLOOKUP(Table7[[#This Row],[Date]],Database!$A:$C,MATCH($B$1,Database!$A$1:$C$1,),))</f>
        <v/>
      </c>
      <c r="C7218">
        <f>IF(VLOOKUP(Table7[[#This Row],[Date]],Database!$A:$C,MATCH($C$1,Database!$A$1:$C$1,),)=0,#N/A,VLOOKUP(Table7[[#This Row],[Date]],Database!$A:$C,MATCH($C$1,Database!$A$1:$C$1,),))</f>
        <v/>
      </c>
      <c r="D7218">
        <f>IFERROR(Table7[[#This Row],[United States 10y]]-Table7[[#This Row],[United States 3y]],#N/A)</f>
        <v/>
      </c>
    </row>
    <row r="7219">
      <c r="A7219" s="6">
        <f>Database!$A9304</f>
        <v/>
      </c>
      <c r="B7219">
        <f>IF(VLOOKUP(Table7[[#This Row],[Date]],Database!$A:$C,MATCH($B$1,Database!$A$1:$C$1,),)=0,#N/A,VLOOKUP(Table7[[#This Row],[Date]],Database!$A:$C,MATCH($B$1,Database!$A$1:$C$1,),))</f>
        <v/>
      </c>
      <c r="C7219">
        <f>IF(VLOOKUP(Table7[[#This Row],[Date]],Database!$A:$C,MATCH($C$1,Database!$A$1:$C$1,),)=0,#N/A,VLOOKUP(Table7[[#This Row],[Date]],Database!$A:$C,MATCH($C$1,Database!$A$1:$C$1,),))</f>
        <v/>
      </c>
      <c r="D7219">
        <f>IFERROR(Table7[[#This Row],[United States 10y]]-Table7[[#This Row],[United States 3y]],#N/A)</f>
        <v/>
      </c>
    </row>
    <row r="7220">
      <c r="A7220" s="6">
        <f>Database!$A9305</f>
        <v/>
      </c>
      <c r="B7220">
        <f>IF(VLOOKUP(Table7[[#This Row],[Date]],Database!$A:$C,MATCH($B$1,Database!$A$1:$C$1,),)=0,#N/A,VLOOKUP(Table7[[#This Row],[Date]],Database!$A:$C,MATCH($B$1,Database!$A$1:$C$1,),))</f>
        <v/>
      </c>
      <c r="C7220">
        <f>IF(VLOOKUP(Table7[[#This Row],[Date]],Database!$A:$C,MATCH($C$1,Database!$A$1:$C$1,),)=0,#N/A,VLOOKUP(Table7[[#This Row],[Date]],Database!$A:$C,MATCH($C$1,Database!$A$1:$C$1,),))</f>
        <v/>
      </c>
      <c r="D7220">
        <f>IFERROR(Table7[[#This Row],[United States 10y]]-Table7[[#This Row],[United States 3y]],#N/A)</f>
        <v/>
      </c>
    </row>
    <row r="7221">
      <c r="A7221" s="6">
        <f>Database!$A9306</f>
        <v/>
      </c>
      <c r="B7221">
        <f>IF(VLOOKUP(Table7[[#This Row],[Date]],Database!$A:$C,MATCH($B$1,Database!$A$1:$C$1,),)=0,#N/A,VLOOKUP(Table7[[#This Row],[Date]],Database!$A:$C,MATCH($B$1,Database!$A$1:$C$1,),))</f>
        <v/>
      </c>
      <c r="C7221">
        <f>IF(VLOOKUP(Table7[[#This Row],[Date]],Database!$A:$C,MATCH($C$1,Database!$A$1:$C$1,),)=0,#N/A,VLOOKUP(Table7[[#This Row],[Date]],Database!$A:$C,MATCH($C$1,Database!$A$1:$C$1,),))</f>
        <v/>
      </c>
      <c r="D7221">
        <f>IFERROR(Table7[[#This Row],[United States 10y]]-Table7[[#This Row],[United States 3y]],#N/A)</f>
        <v/>
      </c>
    </row>
    <row r="7222">
      <c r="A7222" s="6">
        <f>Database!$A9307</f>
        <v/>
      </c>
      <c r="B7222">
        <f>IF(VLOOKUP(Table7[[#This Row],[Date]],Database!$A:$C,MATCH($B$1,Database!$A$1:$C$1,),)=0,#N/A,VLOOKUP(Table7[[#This Row],[Date]],Database!$A:$C,MATCH($B$1,Database!$A$1:$C$1,),))</f>
        <v/>
      </c>
      <c r="C7222">
        <f>IF(VLOOKUP(Table7[[#This Row],[Date]],Database!$A:$C,MATCH($C$1,Database!$A$1:$C$1,),)=0,#N/A,VLOOKUP(Table7[[#This Row],[Date]],Database!$A:$C,MATCH($C$1,Database!$A$1:$C$1,),))</f>
        <v/>
      </c>
      <c r="D7222">
        <f>IFERROR(Table7[[#This Row],[United States 10y]]-Table7[[#This Row],[United States 3y]],#N/A)</f>
        <v/>
      </c>
    </row>
    <row r="7223">
      <c r="A7223" s="6">
        <f>Database!$A9308</f>
        <v/>
      </c>
      <c r="B7223">
        <f>IF(VLOOKUP(Table7[[#This Row],[Date]],Database!$A:$C,MATCH($B$1,Database!$A$1:$C$1,),)=0,#N/A,VLOOKUP(Table7[[#This Row],[Date]],Database!$A:$C,MATCH($B$1,Database!$A$1:$C$1,),))</f>
        <v/>
      </c>
      <c r="C7223">
        <f>IF(VLOOKUP(Table7[[#This Row],[Date]],Database!$A:$C,MATCH($C$1,Database!$A$1:$C$1,),)=0,#N/A,VLOOKUP(Table7[[#This Row],[Date]],Database!$A:$C,MATCH($C$1,Database!$A$1:$C$1,),))</f>
        <v/>
      </c>
      <c r="D7223">
        <f>IFERROR(Table7[[#This Row],[United States 10y]]-Table7[[#This Row],[United States 3y]],#N/A)</f>
        <v/>
      </c>
    </row>
    <row r="7224">
      <c r="A7224" s="6">
        <f>Database!$A9309</f>
        <v/>
      </c>
      <c r="B7224">
        <f>IF(VLOOKUP(Table7[[#This Row],[Date]],Database!$A:$C,MATCH($B$1,Database!$A$1:$C$1,),)=0,#N/A,VLOOKUP(Table7[[#This Row],[Date]],Database!$A:$C,MATCH($B$1,Database!$A$1:$C$1,),))</f>
        <v/>
      </c>
      <c r="C7224">
        <f>IF(VLOOKUP(Table7[[#This Row],[Date]],Database!$A:$C,MATCH($C$1,Database!$A$1:$C$1,),)=0,#N/A,VLOOKUP(Table7[[#This Row],[Date]],Database!$A:$C,MATCH($C$1,Database!$A$1:$C$1,),))</f>
        <v/>
      </c>
      <c r="D7224">
        <f>IFERROR(Table7[[#This Row],[United States 10y]]-Table7[[#This Row],[United States 3y]],#N/A)</f>
        <v/>
      </c>
    </row>
    <row r="7225">
      <c r="A7225" s="6">
        <f>Database!$A9310</f>
        <v/>
      </c>
      <c r="B7225">
        <f>IF(VLOOKUP(Table7[[#This Row],[Date]],Database!$A:$C,MATCH($B$1,Database!$A$1:$C$1,),)=0,#N/A,VLOOKUP(Table7[[#This Row],[Date]],Database!$A:$C,MATCH($B$1,Database!$A$1:$C$1,),))</f>
        <v/>
      </c>
      <c r="C7225">
        <f>IF(VLOOKUP(Table7[[#This Row],[Date]],Database!$A:$C,MATCH($C$1,Database!$A$1:$C$1,),)=0,#N/A,VLOOKUP(Table7[[#This Row],[Date]],Database!$A:$C,MATCH($C$1,Database!$A$1:$C$1,),))</f>
        <v/>
      </c>
      <c r="D7225">
        <f>IFERROR(Table7[[#This Row],[United States 10y]]-Table7[[#This Row],[United States 3y]],#N/A)</f>
        <v/>
      </c>
    </row>
    <row r="7226">
      <c r="A7226" s="6">
        <f>Database!$A9311</f>
        <v/>
      </c>
      <c r="B7226">
        <f>IF(VLOOKUP(Table7[[#This Row],[Date]],Database!$A:$C,MATCH($B$1,Database!$A$1:$C$1,),)=0,#N/A,VLOOKUP(Table7[[#This Row],[Date]],Database!$A:$C,MATCH($B$1,Database!$A$1:$C$1,),))</f>
        <v/>
      </c>
      <c r="C7226">
        <f>IF(VLOOKUP(Table7[[#This Row],[Date]],Database!$A:$C,MATCH($C$1,Database!$A$1:$C$1,),)=0,#N/A,VLOOKUP(Table7[[#This Row],[Date]],Database!$A:$C,MATCH($C$1,Database!$A$1:$C$1,),))</f>
        <v/>
      </c>
      <c r="D7226">
        <f>IFERROR(Table7[[#This Row],[United States 10y]]-Table7[[#This Row],[United States 3y]],#N/A)</f>
        <v/>
      </c>
    </row>
    <row r="7227">
      <c r="A7227" s="6">
        <f>Database!$A9312</f>
        <v/>
      </c>
      <c r="B7227">
        <f>IF(VLOOKUP(Table7[[#This Row],[Date]],Database!$A:$C,MATCH($B$1,Database!$A$1:$C$1,),)=0,#N/A,VLOOKUP(Table7[[#This Row],[Date]],Database!$A:$C,MATCH($B$1,Database!$A$1:$C$1,),))</f>
        <v/>
      </c>
      <c r="C7227">
        <f>IF(VLOOKUP(Table7[[#This Row],[Date]],Database!$A:$C,MATCH($C$1,Database!$A$1:$C$1,),)=0,#N/A,VLOOKUP(Table7[[#This Row],[Date]],Database!$A:$C,MATCH($C$1,Database!$A$1:$C$1,),))</f>
        <v/>
      </c>
      <c r="D7227">
        <f>IFERROR(Table7[[#This Row],[United States 10y]]-Table7[[#This Row],[United States 3y]],#N/A)</f>
        <v/>
      </c>
    </row>
    <row r="7228">
      <c r="A7228" s="6">
        <f>Database!$A9313</f>
        <v/>
      </c>
      <c r="B7228">
        <f>IF(VLOOKUP(Table7[[#This Row],[Date]],Database!$A:$C,MATCH($B$1,Database!$A$1:$C$1,),)=0,#N/A,VLOOKUP(Table7[[#This Row],[Date]],Database!$A:$C,MATCH($B$1,Database!$A$1:$C$1,),))</f>
        <v/>
      </c>
      <c r="C7228">
        <f>IF(VLOOKUP(Table7[[#This Row],[Date]],Database!$A:$C,MATCH($C$1,Database!$A$1:$C$1,),)=0,#N/A,VLOOKUP(Table7[[#This Row],[Date]],Database!$A:$C,MATCH($C$1,Database!$A$1:$C$1,),))</f>
        <v/>
      </c>
      <c r="D7228">
        <f>IFERROR(Table7[[#This Row],[United States 10y]]-Table7[[#This Row],[United States 3y]],#N/A)</f>
        <v/>
      </c>
    </row>
    <row r="7229">
      <c r="A7229" s="6">
        <f>Database!$A9314</f>
        <v/>
      </c>
      <c r="B7229">
        <f>IF(VLOOKUP(Table7[[#This Row],[Date]],Database!$A:$C,MATCH($B$1,Database!$A$1:$C$1,),)=0,#N/A,VLOOKUP(Table7[[#This Row],[Date]],Database!$A:$C,MATCH($B$1,Database!$A$1:$C$1,),))</f>
        <v/>
      </c>
      <c r="C7229">
        <f>IF(VLOOKUP(Table7[[#This Row],[Date]],Database!$A:$C,MATCH($C$1,Database!$A$1:$C$1,),)=0,#N/A,VLOOKUP(Table7[[#This Row],[Date]],Database!$A:$C,MATCH($C$1,Database!$A$1:$C$1,),))</f>
        <v/>
      </c>
      <c r="D7229">
        <f>IFERROR(Table7[[#This Row],[United States 10y]]-Table7[[#This Row],[United States 3y]],#N/A)</f>
        <v/>
      </c>
    </row>
    <row r="7230">
      <c r="A7230" s="6">
        <f>Database!$A9315</f>
        <v/>
      </c>
      <c r="B7230">
        <f>IF(VLOOKUP(Table7[[#This Row],[Date]],Database!$A:$C,MATCH($B$1,Database!$A$1:$C$1,),)=0,#N/A,VLOOKUP(Table7[[#This Row],[Date]],Database!$A:$C,MATCH($B$1,Database!$A$1:$C$1,),))</f>
        <v/>
      </c>
      <c r="C7230">
        <f>IF(VLOOKUP(Table7[[#This Row],[Date]],Database!$A:$C,MATCH($C$1,Database!$A$1:$C$1,),)=0,#N/A,VLOOKUP(Table7[[#This Row],[Date]],Database!$A:$C,MATCH($C$1,Database!$A$1:$C$1,),))</f>
        <v/>
      </c>
      <c r="D7230">
        <f>IFERROR(Table7[[#This Row],[United States 10y]]-Table7[[#This Row],[United States 3y]],#N/A)</f>
        <v/>
      </c>
    </row>
    <row r="7231">
      <c r="A7231" s="6">
        <f>Database!$A9316</f>
        <v/>
      </c>
      <c r="B7231">
        <f>IF(VLOOKUP(Table7[[#This Row],[Date]],Database!$A:$C,MATCH($B$1,Database!$A$1:$C$1,),)=0,#N/A,VLOOKUP(Table7[[#This Row],[Date]],Database!$A:$C,MATCH($B$1,Database!$A$1:$C$1,),))</f>
        <v/>
      </c>
      <c r="C7231">
        <f>IF(VLOOKUP(Table7[[#This Row],[Date]],Database!$A:$C,MATCH($C$1,Database!$A$1:$C$1,),)=0,#N/A,VLOOKUP(Table7[[#This Row],[Date]],Database!$A:$C,MATCH($C$1,Database!$A$1:$C$1,),))</f>
        <v/>
      </c>
      <c r="D7231">
        <f>IFERROR(Table7[[#This Row],[United States 10y]]-Table7[[#This Row],[United States 3y]],#N/A)</f>
        <v/>
      </c>
    </row>
    <row r="7232">
      <c r="A7232" s="6">
        <f>Database!$A9317</f>
        <v/>
      </c>
      <c r="B7232">
        <f>IF(VLOOKUP(Table7[[#This Row],[Date]],Database!$A:$C,MATCH($B$1,Database!$A$1:$C$1,),)=0,#N/A,VLOOKUP(Table7[[#This Row],[Date]],Database!$A:$C,MATCH($B$1,Database!$A$1:$C$1,),))</f>
        <v/>
      </c>
      <c r="C7232">
        <f>IF(VLOOKUP(Table7[[#This Row],[Date]],Database!$A:$C,MATCH($C$1,Database!$A$1:$C$1,),)=0,#N/A,VLOOKUP(Table7[[#This Row],[Date]],Database!$A:$C,MATCH($C$1,Database!$A$1:$C$1,),))</f>
        <v/>
      </c>
      <c r="D7232">
        <f>IFERROR(Table7[[#This Row],[United States 10y]]-Table7[[#This Row],[United States 3y]],#N/A)</f>
        <v/>
      </c>
    </row>
    <row r="7233">
      <c r="A7233" s="6">
        <f>Database!$A9318</f>
        <v/>
      </c>
      <c r="B7233">
        <f>IF(VLOOKUP(Table7[[#This Row],[Date]],Database!$A:$C,MATCH($B$1,Database!$A$1:$C$1,),)=0,#N/A,VLOOKUP(Table7[[#This Row],[Date]],Database!$A:$C,MATCH($B$1,Database!$A$1:$C$1,),))</f>
        <v/>
      </c>
      <c r="C7233">
        <f>IF(VLOOKUP(Table7[[#This Row],[Date]],Database!$A:$C,MATCH($C$1,Database!$A$1:$C$1,),)=0,#N/A,VLOOKUP(Table7[[#This Row],[Date]],Database!$A:$C,MATCH($C$1,Database!$A$1:$C$1,),))</f>
        <v/>
      </c>
      <c r="D7233">
        <f>IFERROR(Table7[[#This Row],[United States 10y]]-Table7[[#This Row],[United States 3y]],#N/A)</f>
        <v/>
      </c>
    </row>
    <row r="7234">
      <c r="A7234" s="6">
        <f>Database!$A9319</f>
        <v/>
      </c>
      <c r="B7234">
        <f>IF(VLOOKUP(Table7[[#This Row],[Date]],Database!$A:$C,MATCH($B$1,Database!$A$1:$C$1,),)=0,#N/A,VLOOKUP(Table7[[#This Row],[Date]],Database!$A:$C,MATCH($B$1,Database!$A$1:$C$1,),))</f>
        <v/>
      </c>
      <c r="C7234">
        <f>IF(VLOOKUP(Table7[[#This Row],[Date]],Database!$A:$C,MATCH($C$1,Database!$A$1:$C$1,),)=0,#N/A,VLOOKUP(Table7[[#This Row],[Date]],Database!$A:$C,MATCH($C$1,Database!$A$1:$C$1,),))</f>
        <v/>
      </c>
      <c r="D7234">
        <f>IFERROR(Table7[[#This Row],[United States 10y]]-Table7[[#This Row],[United States 3y]],#N/A)</f>
        <v/>
      </c>
    </row>
    <row r="7235">
      <c r="A7235" s="6">
        <f>Database!$A9320</f>
        <v/>
      </c>
      <c r="B7235">
        <f>IF(VLOOKUP(Table7[[#This Row],[Date]],Database!$A:$C,MATCH($B$1,Database!$A$1:$C$1,),)=0,#N/A,VLOOKUP(Table7[[#This Row],[Date]],Database!$A:$C,MATCH($B$1,Database!$A$1:$C$1,),))</f>
        <v/>
      </c>
      <c r="C7235">
        <f>IF(VLOOKUP(Table7[[#This Row],[Date]],Database!$A:$C,MATCH($C$1,Database!$A$1:$C$1,),)=0,#N/A,VLOOKUP(Table7[[#This Row],[Date]],Database!$A:$C,MATCH($C$1,Database!$A$1:$C$1,),))</f>
        <v/>
      </c>
      <c r="D7235">
        <f>IFERROR(Table7[[#This Row],[United States 10y]]-Table7[[#This Row],[United States 3y]],#N/A)</f>
        <v/>
      </c>
    </row>
    <row r="7236">
      <c r="A7236" s="6">
        <f>Database!$A9321</f>
        <v/>
      </c>
      <c r="B7236">
        <f>IF(VLOOKUP(Table7[[#This Row],[Date]],Database!$A:$C,MATCH($B$1,Database!$A$1:$C$1,),)=0,#N/A,VLOOKUP(Table7[[#This Row],[Date]],Database!$A:$C,MATCH($B$1,Database!$A$1:$C$1,),))</f>
        <v/>
      </c>
      <c r="C7236">
        <f>IF(VLOOKUP(Table7[[#This Row],[Date]],Database!$A:$C,MATCH($C$1,Database!$A$1:$C$1,),)=0,#N/A,VLOOKUP(Table7[[#This Row],[Date]],Database!$A:$C,MATCH($C$1,Database!$A$1:$C$1,),))</f>
        <v/>
      </c>
      <c r="D7236">
        <f>IFERROR(Table7[[#This Row],[United States 10y]]-Table7[[#This Row],[United States 3y]],#N/A)</f>
        <v/>
      </c>
    </row>
    <row r="7237">
      <c r="A7237" s="6">
        <f>Database!$A9322</f>
        <v/>
      </c>
      <c r="B7237">
        <f>IF(VLOOKUP(Table7[[#This Row],[Date]],Database!$A:$C,MATCH($B$1,Database!$A$1:$C$1,),)=0,#N/A,VLOOKUP(Table7[[#This Row],[Date]],Database!$A:$C,MATCH($B$1,Database!$A$1:$C$1,),))</f>
        <v/>
      </c>
      <c r="C7237">
        <f>IF(VLOOKUP(Table7[[#This Row],[Date]],Database!$A:$C,MATCH($C$1,Database!$A$1:$C$1,),)=0,#N/A,VLOOKUP(Table7[[#This Row],[Date]],Database!$A:$C,MATCH($C$1,Database!$A$1:$C$1,),))</f>
        <v/>
      </c>
      <c r="D7237">
        <f>IFERROR(Table7[[#This Row],[United States 10y]]-Table7[[#This Row],[United States 3y]],#N/A)</f>
        <v/>
      </c>
    </row>
    <row r="7238">
      <c r="A7238" s="6">
        <f>Database!$A9323</f>
        <v/>
      </c>
      <c r="B7238">
        <f>IF(VLOOKUP(Table7[[#This Row],[Date]],Database!$A:$C,MATCH($B$1,Database!$A$1:$C$1,),)=0,#N/A,VLOOKUP(Table7[[#This Row],[Date]],Database!$A:$C,MATCH($B$1,Database!$A$1:$C$1,),))</f>
        <v/>
      </c>
      <c r="C7238">
        <f>IF(VLOOKUP(Table7[[#This Row],[Date]],Database!$A:$C,MATCH($C$1,Database!$A$1:$C$1,),)=0,#N/A,VLOOKUP(Table7[[#This Row],[Date]],Database!$A:$C,MATCH($C$1,Database!$A$1:$C$1,),))</f>
        <v/>
      </c>
      <c r="D7238">
        <f>IFERROR(Table7[[#This Row],[United States 10y]]-Table7[[#This Row],[United States 3y]],#N/A)</f>
        <v/>
      </c>
    </row>
    <row r="7239">
      <c r="A7239" s="6">
        <f>Database!$A9324</f>
        <v/>
      </c>
      <c r="B7239">
        <f>IF(VLOOKUP(Table7[[#This Row],[Date]],Database!$A:$C,MATCH($B$1,Database!$A$1:$C$1,),)=0,#N/A,VLOOKUP(Table7[[#This Row],[Date]],Database!$A:$C,MATCH($B$1,Database!$A$1:$C$1,),))</f>
        <v/>
      </c>
      <c r="C7239">
        <f>IF(VLOOKUP(Table7[[#This Row],[Date]],Database!$A:$C,MATCH($C$1,Database!$A$1:$C$1,),)=0,#N/A,VLOOKUP(Table7[[#This Row],[Date]],Database!$A:$C,MATCH($C$1,Database!$A$1:$C$1,),))</f>
        <v/>
      </c>
      <c r="D7239">
        <f>IFERROR(Table7[[#This Row],[United States 10y]]-Table7[[#This Row],[United States 3y]],#N/A)</f>
        <v/>
      </c>
    </row>
    <row r="7240">
      <c r="A7240" s="6">
        <f>Database!$A9325</f>
        <v/>
      </c>
      <c r="B7240">
        <f>IF(VLOOKUP(Table7[[#This Row],[Date]],Database!$A:$C,MATCH($B$1,Database!$A$1:$C$1,),)=0,#N/A,VLOOKUP(Table7[[#This Row],[Date]],Database!$A:$C,MATCH($B$1,Database!$A$1:$C$1,),))</f>
        <v/>
      </c>
      <c r="C7240">
        <f>IF(VLOOKUP(Table7[[#This Row],[Date]],Database!$A:$C,MATCH($C$1,Database!$A$1:$C$1,),)=0,#N/A,VLOOKUP(Table7[[#This Row],[Date]],Database!$A:$C,MATCH($C$1,Database!$A$1:$C$1,),))</f>
        <v/>
      </c>
      <c r="D7240">
        <f>IFERROR(Table7[[#This Row],[United States 10y]]-Table7[[#This Row],[United States 3y]],#N/A)</f>
        <v/>
      </c>
    </row>
    <row r="7241">
      <c r="A7241" s="6">
        <f>Database!$A9326</f>
        <v/>
      </c>
      <c r="B7241">
        <f>IF(VLOOKUP(Table7[[#This Row],[Date]],Database!$A:$C,MATCH($B$1,Database!$A$1:$C$1,),)=0,#N/A,VLOOKUP(Table7[[#This Row],[Date]],Database!$A:$C,MATCH($B$1,Database!$A$1:$C$1,),))</f>
        <v/>
      </c>
      <c r="C7241">
        <f>IF(VLOOKUP(Table7[[#This Row],[Date]],Database!$A:$C,MATCH($C$1,Database!$A$1:$C$1,),)=0,#N/A,VLOOKUP(Table7[[#This Row],[Date]],Database!$A:$C,MATCH($C$1,Database!$A$1:$C$1,),))</f>
        <v/>
      </c>
      <c r="D7241">
        <f>IFERROR(Table7[[#This Row],[United States 10y]]-Table7[[#This Row],[United States 3y]],#N/A)</f>
        <v/>
      </c>
    </row>
    <row r="7242">
      <c r="A7242" s="6">
        <f>Database!$A9327</f>
        <v/>
      </c>
      <c r="B7242">
        <f>IF(VLOOKUP(Table7[[#This Row],[Date]],Database!$A:$C,MATCH($B$1,Database!$A$1:$C$1,),)=0,#N/A,VLOOKUP(Table7[[#This Row],[Date]],Database!$A:$C,MATCH($B$1,Database!$A$1:$C$1,),))</f>
        <v/>
      </c>
      <c r="C7242">
        <f>IF(VLOOKUP(Table7[[#This Row],[Date]],Database!$A:$C,MATCH($C$1,Database!$A$1:$C$1,),)=0,#N/A,VLOOKUP(Table7[[#This Row],[Date]],Database!$A:$C,MATCH($C$1,Database!$A$1:$C$1,),))</f>
        <v/>
      </c>
      <c r="D7242">
        <f>IFERROR(Table7[[#This Row],[United States 10y]]-Table7[[#This Row],[United States 3y]],#N/A)</f>
        <v/>
      </c>
    </row>
    <row r="7243">
      <c r="A7243" s="6">
        <f>Database!$A9328</f>
        <v/>
      </c>
      <c r="B7243">
        <f>IF(VLOOKUP(Table7[[#This Row],[Date]],Database!$A:$C,MATCH($B$1,Database!$A$1:$C$1,),)=0,#N/A,VLOOKUP(Table7[[#This Row],[Date]],Database!$A:$C,MATCH($B$1,Database!$A$1:$C$1,),))</f>
        <v/>
      </c>
      <c r="C7243">
        <f>IF(VLOOKUP(Table7[[#This Row],[Date]],Database!$A:$C,MATCH($C$1,Database!$A$1:$C$1,),)=0,#N/A,VLOOKUP(Table7[[#This Row],[Date]],Database!$A:$C,MATCH($C$1,Database!$A$1:$C$1,),))</f>
        <v/>
      </c>
      <c r="D7243">
        <f>IFERROR(Table7[[#This Row],[United States 10y]]-Table7[[#This Row],[United States 3y]],#N/A)</f>
        <v/>
      </c>
    </row>
    <row r="7244">
      <c r="A7244" s="6">
        <f>Database!$A9329</f>
        <v/>
      </c>
      <c r="B7244">
        <f>IF(VLOOKUP(Table7[[#This Row],[Date]],Database!$A:$C,MATCH($B$1,Database!$A$1:$C$1,),)=0,#N/A,VLOOKUP(Table7[[#This Row],[Date]],Database!$A:$C,MATCH($B$1,Database!$A$1:$C$1,),))</f>
        <v/>
      </c>
      <c r="C7244">
        <f>IF(VLOOKUP(Table7[[#This Row],[Date]],Database!$A:$C,MATCH($C$1,Database!$A$1:$C$1,),)=0,#N/A,VLOOKUP(Table7[[#This Row],[Date]],Database!$A:$C,MATCH($C$1,Database!$A$1:$C$1,),))</f>
        <v/>
      </c>
      <c r="D7244">
        <f>IFERROR(Table7[[#This Row],[United States 10y]]-Table7[[#This Row],[United States 3y]],#N/A)</f>
        <v/>
      </c>
    </row>
    <row r="7245">
      <c r="A7245" s="6">
        <f>Database!$A9330</f>
        <v/>
      </c>
      <c r="B7245">
        <f>IF(VLOOKUP(Table7[[#This Row],[Date]],Database!$A:$C,MATCH($B$1,Database!$A$1:$C$1,),)=0,#N/A,VLOOKUP(Table7[[#This Row],[Date]],Database!$A:$C,MATCH($B$1,Database!$A$1:$C$1,),))</f>
        <v/>
      </c>
      <c r="C7245">
        <f>IF(VLOOKUP(Table7[[#This Row],[Date]],Database!$A:$C,MATCH($C$1,Database!$A$1:$C$1,),)=0,#N/A,VLOOKUP(Table7[[#This Row],[Date]],Database!$A:$C,MATCH($C$1,Database!$A$1:$C$1,),))</f>
        <v/>
      </c>
      <c r="D7245">
        <f>IFERROR(Table7[[#This Row],[United States 10y]]-Table7[[#This Row],[United States 3y]],#N/A)</f>
        <v/>
      </c>
    </row>
    <row r="7246">
      <c r="A7246" s="6">
        <f>Database!$A9331</f>
        <v/>
      </c>
      <c r="B7246">
        <f>IF(VLOOKUP(Table7[[#This Row],[Date]],Database!$A:$C,MATCH($B$1,Database!$A$1:$C$1,),)=0,#N/A,VLOOKUP(Table7[[#This Row],[Date]],Database!$A:$C,MATCH($B$1,Database!$A$1:$C$1,),))</f>
        <v/>
      </c>
      <c r="C7246">
        <f>IF(VLOOKUP(Table7[[#This Row],[Date]],Database!$A:$C,MATCH($C$1,Database!$A$1:$C$1,),)=0,#N/A,VLOOKUP(Table7[[#This Row],[Date]],Database!$A:$C,MATCH($C$1,Database!$A$1:$C$1,),))</f>
        <v/>
      </c>
      <c r="D7246">
        <f>IFERROR(Table7[[#This Row],[United States 10y]]-Table7[[#This Row],[United States 3y]],#N/A)</f>
        <v/>
      </c>
    </row>
    <row r="7247">
      <c r="A7247" s="6">
        <f>Database!$A9332</f>
        <v/>
      </c>
      <c r="B7247">
        <f>IF(VLOOKUP(Table7[[#This Row],[Date]],Database!$A:$C,MATCH($B$1,Database!$A$1:$C$1,),)=0,#N/A,VLOOKUP(Table7[[#This Row],[Date]],Database!$A:$C,MATCH($B$1,Database!$A$1:$C$1,),))</f>
        <v/>
      </c>
      <c r="C7247">
        <f>IF(VLOOKUP(Table7[[#This Row],[Date]],Database!$A:$C,MATCH($C$1,Database!$A$1:$C$1,),)=0,#N/A,VLOOKUP(Table7[[#This Row],[Date]],Database!$A:$C,MATCH($C$1,Database!$A$1:$C$1,),))</f>
        <v/>
      </c>
      <c r="D7247">
        <f>IFERROR(Table7[[#This Row],[United States 10y]]-Table7[[#This Row],[United States 3y]],#N/A)</f>
        <v/>
      </c>
    </row>
    <row r="7248">
      <c r="A7248" s="6">
        <f>Database!$A9333</f>
        <v/>
      </c>
      <c r="B7248">
        <f>IF(VLOOKUP(Table7[[#This Row],[Date]],Database!$A:$C,MATCH($B$1,Database!$A$1:$C$1,),)=0,#N/A,VLOOKUP(Table7[[#This Row],[Date]],Database!$A:$C,MATCH($B$1,Database!$A$1:$C$1,),))</f>
        <v/>
      </c>
      <c r="C7248">
        <f>IF(VLOOKUP(Table7[[#This Row],[Date]],Database!$A:$C,MATCH($C$1,Database!$A$1:$C$1,),)=0,#N/A,VLOOKUP(Table7[[#This Row],[Date]],Database!$A:$C,MATCH($C$1,Database!$A$1:$C$1,),))</f>
        <v/>
      </c>
      <c r="D7248">
        <f>IFERROR(Table7[[#This Row],[United States 10y]]-Table7[[#This Row],[United States 3y]],#N/A)</f>
        <v/>
      </c>
    </row>
    <row r="7249">
      <c r="A7249" s="6">
        <f>Database!$A9334</f>
        <v/>
      </c>
      <c r="B7249">
        <f>IF(VLOOKUP(Table7[[#This Row],[Date]],Database!$A:$C,MATCH($B$1,Database!$A$1:$C$1,),)=0,#N/A,VLOOKUP(Table7[[#This Row],[Date]],Database!$A:$C,MATCH($B$1,Database!$A$1:$C$1,),))</f>
        <v/>
      </c>
      <c r="C7249">
        <f>IF(VLOOKUP(Table7[[#This Row],[Date]],Database!$A:$C,MATCH($C$1,Database!$A$1:$C$1,),)=0,#N/A,VLOOKUP(Table7[[#This Row],[Date]],Database!$A:$C,MATCH($C$1,Database!$A$1:$C$1,),))</f>
        <v/>
      </c>
      <c r="D7249">
        <f>IFERROR(Table7[[#This Row],[United States 10y]]-Table7[[#This Row],[United States 3y]],#N/A)</f>
        <v/>
      </c>
    </row>
    <row r="7250">
      <c r="A7250" s="6">
        <f>Database!$A9335</f>
        <v/>
      </c>
      <c r="B7250">
        <f>IF(VLOOKUP(Table7[[#This Row],[Date]],Database!$A:$C,MATCH($B$1,Database!$A$1:$C$1,),)=0,#N/A,VLOOKUP(Table7[[#This Row],[Date]],Database!$A:$C,MATCH($B$1,Database!$A$1:$C$1,),))</f>
        <v/>
      </c>
      <c r="C7250">
        <f>IF(VLOOKUP(Table7[[#This Row],[Date]],Database!$A:$C,MATCH($C$1,Database!$A$1:$C$1,),)=0,#N/A,VLOOKUP(Table7[[#This Row],[Date]],Database!$A:$C,MATCH($C$1,Database!$A$1:$C$1,),))</f>
        <v/>
      </c>
      <c r="D7250">
        <f>IFERROR(Table7[[#This Row],[United States 10y]]-Table7[[#This Row],[United States 3y]],#N/A)</f>
        <v/>
      </c>
    </row>
    <row r="7251">
      <c r="A7251" s="6">
        <f>Database!$A9336</f>
        <v/>
      </c>
      <c r="B7251">
        <f>IF(VLOOKUP(Table7[[#This Row],[Date]],Database!$A:$C,MATCH($B$1,Database!$A$1:$C$1,),)=0,#N/A,VLOOKUP(Table7[[#This Row],[Date]],Database!$A:$C,MATCH($B$1,Database!$A$1:$C$1,),))</f>
        <v/>
      </c>
      <c r="C7251">
        <f>IF(VLOOKUP(Table7[[#This Row],[Date]],Database!$A:$C,MATCH($C$1,Database!$A$1:$C$1,),)=0,#N/A,VLOOKUP(Table7[[#This Row],[Date]],Database!$A:$C,MATCH($C$1,Database!$A$1:$C$1,),))</f>
        <v/>
      </c>
      <c r="D7251">
        <f>IFERROR(Table7[[#This Row],[United States 10y]]-Table7[[#This Row],[United States 3y]],#N/A)</f>
        <v/>
      </c>
    </row>
    <row r="7252">
      <c r="A7252" s="6">
        <f>Database!$A9337</f>
        <v/>
      </c>
      <c r="B7252">
        <f>IF(VLOOKUP(Table7[[#This Row],[Date]],Database!$A:$C,MATCH($B$1,Database!$A$1:$C$1,),)=0,#N/A,VLOOKUP(Table7[[#This Row],[Date]],Database!$A:$C,MATCH($B$1,Database!$A$1:$C$1,),))</f>
        <v/>
      </c>
      <c r="C7252">
        <f>IF(VLOOKUP(Table7[[#This Row],[Date]],Database!$A:$C,MATCH($C$1,Database!$A$1:$C$1,),)=0,#N/A,VLOOKUP(Table7[[#This Row],[Date]],Database!$A:$C,MATCH($C$1,Database!$A$1:$C$1,),))</f>
        <v/>
      </c>
      <c r="D7252">
        <f>IFERROR(Table7[[#This Row],[United States 10y]]-Table7[[#This Row],[United States 3y]],#N/A)</f>
        <v/>
      </c>
    </row>
    <row r="7253">
      <c r="A7253" s="6">
        <f>Database!$A9338</f>
        <v/>
      </c>
      <c r="B7253">
        <f>IF(VLOOKUP(Table7[[#This Row],[Date]],Database!$A:$C,MATCH($B$1,Database!$A$1:$C$1,),)=0,#N/A,VLOOKUP(Table7[[#This Row],[Date]],Database!$A:$C,MATCH($B$1,Database!$A$1:$C$1,),))</f>
        <v/>
      </c>
      <c r="C7253">
        <f>IF(VLOOKUP(Table7[[#This Row],[Date]],Database!$A:$C,MATCH($C$1,Database!$A$1:$C$1,),)=0,#N/A,VLOOKUP(Table7[[#This Row],[Date]],Database!$A:$C,MATCH($C$1,Database!$A$1:$C$1,),))</f>
        <v/>
      </c>
      <c r="D7253">
        <f>IFERROR(Table7[[#This Row],[United States 10y]]-Table7[[#This Row],[United States 3y]],#N/A)</f>
        <v/>
      </c>
    </row>
    <row r="7254">
      <c r="A7254" s="6">
        <f>Database!$A9339</f>
        <v/>
      </c>
      <c r="B7254">
        <f>IF(VLOOKUP(Table7[[#This Row],[Date]],Database!$A:$C,MATCH($B$1,Database!$A$1:$C$1,),)=0,#N/A,VLOOKUP(Table7[[#This Row],[Date]],Database!$A:$C,MATCH($B$1,Database!$A$1:$C$1,),))</f>
        <v/>
      </c>
      <c r="C7254">
        <f>IF(VLOOKUP(Table7[[#This Row],[Date]],Database!$A:$C,MATCH($C$1,Database!$A$1:$C$1,),)=0,#N/A,VLOOKUP(Table7[[#This Row],[Date]],Database!$A:$C,MATCH($C$1,Database!$A$1:$C$1,),))</f>
        <v/>
      </c>
      <c r="D7254">
        <f>IFERROR(Table7[[#This Row],[United States 10y]]-Table7[[#This Row],[United States 3y]],#N/A)</f>
        <v/>
      </c>
    </row>
    <row r="7255">
      <c r="A7255" s="6">
        <f>Database!$A9340</f>
        <v/>
      </c>
      <c r="B7255">
        <f>IF(VLOOKUP(Table7[[#This Row],[Date]],Database!$A:$C,MATCH($B$1,Database!$A$1:$C$1,),)=0,#N/A,VLOOKUP(Table7[[#This Row],[Date]],Database!$A:$C,MATCH($B$1,Database!$A$1:$C$1,),))</f>
        <v/>
      </c>
      <c r="C7255">
        <f>IF(VLOOKUP(Table7[[#This Row],[Date]],Database!$A:$C,MATCH($C$1,Database!$A$1:$C$1,),)=0,#N/A,VLOOKUP(Table7[[#This Row],[Date]],Database!$A:$C,MATCH($C$1,Database!$A$1:$C$1,),))</f>
        <v/>
      </c>
      <c r="D7255">
        <f>IFERROR(Table7[[#This Row],[United States 10y]]-Table7[[#This Row],[United States 3y]],#N/A)</f>
        <v/>
      </c>
    </row>
    <row r="7256">
      <c r="A7256" s="6">
        <f>Database!$A9341</f>
        <v/>
      </c>
      <c r="B7256">
        <f>IF(VLOOKUP(Table7[[#This Row],[Date]],Database!$A:$C,MATCH($B$1,Database!$A$1:$C$1,),)=0,#N/A,VLOOKUP(Table7[[#This Row],[Date]],Database!$A:$C,MATCH($B$1,Database!$A$1:$C$1,),))</f>
        <v/>
      </c>
      <c r="C7256">
        <f>IF(VLOOKUP(Table7[[#This Row],[Date]],Database!$A:$C,MATCH($C$1,Database!$A$1:$C$1,),)=0,#N/A,VLOOKUP(Table7[[#This Row],[Date]],Database!$A:$C,MATCH($C$1,Database!$A$1:$C$1,),))</f>
        <v/>
      </c>
      <c r="D7256">
        <f>IFERROR(Table7[[#This Row],[United States 10y]]-Table7[[#This Row],[United States 3y]],#N/A)</f>
        <v/>
      </c>
    </row>
    <row r="7257">
      <c r="A7257" s="6">
        <f>Database!$A9342</f>
        <v/>
      </c>
      <c r="B7257">
        <f>IF(VLOOKUP(Table7[[#This Row],[Date]],Database!$A:$C,MATCH($B$1,Database!$A$1:$C$1,),)=0,#N/A,VLOOKUP(Table7[[#This Row],[Date]],Database!$A:$C,MATCH($B$1,Database!$A$1:$C$1,),))</f>
        <v/>
      </c>
      <c r="C7257">
        <f>IF(VLOOKUP(Table7[[#This Row],[Date]],Database!$A:$C,MATCH($C$1,Database!$A$1:$C$1,),)=0,#N/A,VLOOKUP(Table7[[#This Row],[Date]],Database!$A:$C,MATCH($C$1,Database!$A$1:$C$1,),))</f>
        <v/>
      </c>
      <c r="D7257">
        <f>IFERROR(Table7[[#This Row],[United States 10y]]-Table7[[#This Row],[United States 3y]],#N/A)</f>
        <v/>
      </c>
    </row>
    <row r="7258">
      <c r="A7258" s="6">
        <f>Database!$A9343</f>
        <v/>
      </c>
      <c r="B7258">
        <f>IF(VLOOKUP(Table7[[#This Row],[Date]],Database!$A:$C,MATCH($B$1,Database!$A$1:$C$1,),)=0,#N/A,VLOOKUP(Table7[[#This Row],[Date]],Database!$A:$C,MATCH($B$1,Database!$A$1:$C$1,),))</f>
        <v/>
      </c>
      <c r="C7258">
        <f>IF(VLOOKUP(Table7[[#This Row],[Date]],Database!$A:$C,MATCH($C$1,Database!$A$1:$C$1,),)=0,#N/A,VLOOKUP(Table7[[#This Row],[Date]],Database!$A:$C,MATCH($C$1,Database!$A$1:$C$1,),))</f>
        <v/>
      </c>
      <c r="D7258">
        <f>IFERROR(Table7[[#This Row],[United States 10y]]-Table7[[#This Row],[United States 3y]],#N/A)</f>
        <v/>
      </c>
    </row>
    <row r="7259">
      <c r="A7259" s="6">
        <f>Database!$A9344</f>
        <v/>
      </c>
      <c r="B7259">
        <f>IF(VLOOKUP(Table7[[#This Row],[Date]],Database!$A:$C,MATCH($B$1,Database!$A$1:$C$1,),)=0,#N/A,VLOOKUP(Table7[[#This Row],[Date]],Database!$A:$C,MATCH($B$1,Database!$A$1:$C$1,),))</f>
        <v/>
      </c>
      <c r="C7259">
        <f>IF(VLOOKUP(Table7[[#This Row],[Date]],Database!$A:$C,MATCH($C$1,Database!$A$1:$C$1,),)=0,#N/A,VLOOKUP(Table7[[#This Row],[Date]],Database!$A:$C,MATCH($C$1,Database!$A$1:$C$1,),))</f>
        <v/>
      </c>
      <c r="D7259">
        <f>IFERROR(Table7[[#This Row],[United States 10y]]-Table7[[#This Row],[United States 3y]],#N/A)</f>
        <v/>
      </c>
    </row>
    <row r="7260">
      <c r="A7260" s="6">
        <f>Database!$A9345</f>
        <v/>
      </c>
      <c r="B7260">
        <f>IF(VLOOKUP(Table7[[#This Row],[Date]],Database!$A:$C,MATCH($B$1,Database!$A$1:$C$1,),)=0,#N/A,VLOOKUP(Table7[[#This Row],[Date]],Database!$A:$C,MATCH($B$1,Database!$A$1:$C$1,),))</f>
        <v/>
      </c>
      <c r="C7260">
        <f>IF(VLOOKUP(Table7[[#This Row],[Date]],Database!$A:$C,MATCH($C$1,Database!$A$1:$C$1,),)=0,#N/A,VLOOKUP(Table7[[#This Row],[Date]],Database!$A:$C,MATCH($C$1,Database!$A$1:$C$1,),))</f>
        <v/>
      </c>
      <c r="D7260">
        <f>IFERROR(Table7[[#This Row],[United States 10y]]-Table7[[#This Row],[United States 3y]],#N/A)</f>
        <v/>
      </c>
    </row>
    <row r="7261">
      <c r="A7261" s="6">
        <f>Database!$A9346</f>
        <v/>
      </c>
      <c r="B7261">
        <f>IF(VLOOKUP(Table7[[#This Row],[Date]],Database!$A:$C,MATCH($B$1,Database!$A$1:$C$1,),)=0,#N/A,VLOOKUP(Table7[[#This Row],[Date]],Database!$A:$C,MATCH($B$1,Database!$A$1:$C$1,),))</f>
        <v/>
      </c>
      <c r="C7261">
        <f>IF(VLOOKUP(Table7[[#This Row],[Date]],Database!$A:$C,MATCH($C$1,Database!$A$1:$C$1,),)=0,#N/A,VLOOKUP(Table7[[#This Row],[Date]],Database!$A:$C,MATCH($C$1,Database!$A$1:$C$1,),))</f>
        <v/>
      </c>
      <c r="D7261">
        <f>IFERROR(Table7[[#This Row],[United States 10y]]-Table7[[#This Row],[United States 3y]],#N/A)</f>
        <v/>
      </c>
    </row>
    <row r="7262">
      <c r="A7262" s="6">
        <f>Database!$A9347</f>
        <v/>
      </c>
      <c r="B7262">
        <f>IF(VLOOKUP(Table7[[#This Row],[Date]],Database!$A:$C,MATCH($B$1,Database!$A$1:$C$1,),)=0,#N/A,VLOOKUP(Table7[[#This Row],[Date]],Database!$A:$C,MATCH($B$1,Database!$A$1:$C$1,),))</f>
        <v/>
      </c>
      <c r="C7262">
        <f>IF(VLOOKUP(Table7[[#This Row],[Date]],Database!$A:$C,MATCH($C$1,Database!$A$1:$C$1,),)=0,#N/A,VLOOKUP(Table7[[#This Row],[Date]],Database!$A:$C,MATCH($C$1,Database!$A$1:$C$1,),))</f>
        <v/>
      </c>
      <c r="D7262">
        <f>IFERROR(Table7[[#This Row],[United States 10y]]-Table7[[#This Row],[United States 3y]],#N/A)</f>
        <v/>
      </c>
    </row>
    <row r="7263">
      <c r="A7263" s="6">
        <f>Database!$A9348</f>
        <v/>
      </c>
      <c r="B7263">
        <f>IF(VLOOKUP(Table7[[#This Row],[Date]],Database!$A:$C,MATCH($B$1,Database!$A$1:$C$1,),)=0,#N/A,VLOOKUP(Table7[[#This Row],[Date]],Database!$A:$C,MATCH($B$1,Database!$A$1:$C$1,),))</f>
        <v/>
      </c>
      <c r="C7263">
        <f>IF(VLOOKUP(Table7[[#This Row],[Date]],Database!$A:$C,MATCH($C$1,Database!$A$1:$C$1,),)=0,#N/A,VLOOKUP(Table7[[#This Row],[Date]],Database!$A:$C,MATCH($C$1,Database!$A$1:$C$1,),))</f>
        <v/>
      </c>
      <c r="D7263">
        <f>IFERROR(Table7[[#This Row],[United States 10y]]-Table7[[#This Row],[United States 3y]],#N/A)</f>
        <v/>
      </c>
    </row>
    <row r="7264">
      <c r="A7264" s="6">
        <f>Database!$A9349</f>
        <v/>
      </c>
      <c r="B7264">
        <f>IF(VLOOKUP(Table7[[#This Row],[Date]],Database!$A:$C,MATCH($B$1,Database!$A$1:$C$1,),)=0,#N/A,VLOOKUP(Table7[[#This Row],[Date]],Database!$A:$C,MATCH($B$1,Database!$A$1:$C$1,),))</f>
        <v/>
      </c>
      <c r="C7264">
        <f>IF(VLOOKUP(Table7[[#This Row],[Date]],Database!$A:$C,MATCH($C$1,Database!$A$1:$C$1,),)=0,#N/A,VLOOKUP(Table7[[#This Row],[Date]],Database!$A:$C,MATCH($C$1,Database!$A$1:$C$1,),))</f>
        <v/>
      </c>
      <c r="D7264">
        <f>IFERROR(Table7[[#This Row],[United States 10y]]-Table7[[#This Row],[United States 3y]],#N/A)</f>
        <v/>
      </c>
    </row>
    <row r="7265">
      <c r="A7265" s="6">
        <f>Database!$A9350</f>
        <v/>
      </c>
      <c r="B7265">
        <f>IF(VLOOKUP(Table7[[#This Row],[Date]],Database!$A:$C,MATCH($B$1,Database!$A$1:$C$1,),)=0,#N/A,VLOOKUP(Table7[[#This Row],[Date]],Database!$A:$C,MATCH($B$1,Database!$A$1:$C$1,),))</f>
        <v/>
      </c>
      <c r="C7265">
        <f>IF(VLOOKUP(Table7[[#This Row],[Date]],Database!$A:$C,MATCH($C$1,Database!$A$1:$C$1,),)=0,#N/A,VLOOKUP(Table7[[#This Row],[Date]],Database!$A:$C,MATCH($C$1,Database!$A$1:$C$1,),))</f>
        <v/>
      </c>
      <c r="D7265">
        <f>IFERROR(Table7[[#This Row],[United States 10y]]-Table7[[#This Row],[United States 3y]],#N/A)</f>
        <v/>
      </c>
    </row>
    <row r="7266">
      <c r="A7266" s="6">
        <f>Database!$A9351</f>
        <v/>
      </c>
      <c r="B7266">
        <f>IF(VLOOKUP(Table7[[#This Row],[Date]],Database!$A:$C,MATCH($B$1,Database!$A$1:$C$1,),)=0,#N/A,VLOOKUP(Table7[[#This Row],[Date]],Database!$A:$C,MATCH($B$1,Database!$A$1:$C$1,),))</f>
        <v/>
      </c>
      <c r="C7266">
        <f>IF(VLOOKUP(Table7[[#This Row],[Date]],Database!$A:$C,MATCH($C$1,Database!$A$1:$C$1,),)=0,#N/A,VLOOKUP(Table7[[#This Row],[Date]],Database!$A:$C,MATCH($C$1,Database!$A$1:$C$1,),))</f>
        <v/>
      </c>
      <c r="D7266">
        <f>IFERROR(Table7[[#This Row],[United States 10y]]-Table7[[#This Row],[United States 3y]],#N/A)</f>
        <v/>
      </c>
    </row>
    <row r="7267">
      <c r="A7267" s="6">
        <f>Database!$A9352</f>
        <v/>
      </c>
      <c r="B7267">
        <f>IF(VLOOKUP(Table7[[#This Row],[Date]],Database!$A:$C,MATCH($B$1,Database!$A$1:$C$1,),)=0,#N/A,VLOOKUP(Table7[[#This Row],[Date]],Database!$A:$C,MATCH($B$1,Database!$A$1:$C$1,),))</f>
        <v/>
      </c>
      <c r="C7267">
        <f>IF(VLOOKUP(Table7[[#This Row],[Date]],Database!$A:$C,MATCH($C$1,Database!$A$1:$C$1,),)=0,#N/A,VLOOKUP(Table7[[#This Row],[Date]],Database!$A:$C,MATCH($C$1,Database!$A$1:$C$1,),))</f>
        <v/>
      </c>
      <c r="D7267">
        <f>IFERROR(Table7[[#This Row],[United States 10y]]-Table7[[#This Row],[United States 3y]],#N/A)</f>
        <v/>
      </c>
    </row>
    <row r="7268">
      <c r="A7268" s="6">
        <f>Database!$A9353</f>
        <v/>
      </c>
      <c r="B7268">
        <f>IF(VLOOKUP(Table7[[#This Row],[Date]],Database!$A:$C,MATCH($B$1,Database!$A$1:$C$1,),)=0,#N/A,VLOOKUP(Table7[[#This Row],[Date]],Database!$A:$C,MATCH($B$1,Database!$A$1:$C$1,),))</f>
        <v/>
      </c>
      <c r="C7268">
        <f>IF(VLOOKUP(Table7[[#This Row],[Date]],Database!$A:$C,MATCH($C$1,Database!$A$1:$C$1,),)=0,#N/A,VLOOKUP(Table7[[#This Row],[Date]],Database!$A:$C,MATCH($C$1,Database!$A$1:$C$1,),))</f>
        <v/>
      </c>
      <c r="D7268">
        <f>IFERROR(Table7[[#This Row],[United States 10y]]-Table7[[#This Row],[United States 3y]],#N/A)</f>
        <v/>
      </c>
    </row>
    <row r="7269">
      <c r="A7269" s="6">
        <f>Database!$A9354</f>
        <v/>
      </c>
      <c r="B7269">
        <f>IF(VLOOKUP(Table7[[#This Row],[Date]],Database!$A:$C,MATCH($B$1,Database!$A$1:$C$1,),)=0,#N/A,VLOOKUP(Table7[[#This Row],[Date]],Database!$A:$C,MATCH($B$1,Database!$A$1:$C$1,),))</f>
        <v/>
      </c>
      <c r="C7269">
        <f>IF(VLOOKUP(Table7[[#This Row],[Date]],Database!$A:$C,MATCH($C$1,Database!$A$1:$C$1,),)=0,#N/A,VLOOKUP(Table7[[#This Row],[Date]],Database!$A:$C,MATCH($C$1,Database!$A$1:$C$1,),))</f>
        <v/>
      </c>
      <c r="D7269">
        <f>IFERROR(Table7[[#This Row],[United States 10y]]-Table7[[#This Row],[United States 3y]],#N/A)</f>
        <v/>
      </c>
    </row>
    <row r="7270">
      <c r="A7270" s="6">
        <f>Database!$A9355</f>
        <v/>
      </c>
      <c r="B7270">
        <f>IF(VLOOKUP(Table7[[#This Row],[Date]],Database!$A:$C,MATCH($B$1,Database!$A$1:$C$1,),)=0,#N/A,VLOOKUP(Table7[[#This Row],[Date]],Database!$A:$C,MATCH($B$1,Database!$A$1:$C$1,),))</f>
        <v/>
      </c>
      <c r="C7270">
        <f>IF(VLOOKUP(Table7[[#This Row],[Date]],Database!$A:$C,MATCH($C$1,Database!$A$1:$C$1,),)=0,#N/A,VLOOKUP(Table7[[#This Row],[Date]],Database!$A:$C,MATCH($C$1,Database!$A$1:$C$1,),))</f>
        <v/>
      </c>
      <c r="D7270">
        <f>IFERROR(Table7[[#This Row],[United States 10y]]-Table7[[#This Row],[United States 3y]],#N/A)</f>
        <v/>
      </c>
    </row>
    <row r="7271">
      <c r="A7271" s="6">
        <f>Database!$A9356</f>
        <v/>
      </c>
      <c r="B7271">
        <f>IF(VLOOKUP(Table7[[#This Row],[Date]],Database!$A:$C,MATCH($B$1,Database!$A$1:$C$1,),)=0,#N/A,VLOOKUP(Table7[[#This Row],[Date]],Database!$A:$C,MATCH($B$1,Database!$A$1:$C$1,),))</f>
        <v/>
      </c>
      <c r="C7271">
        <f>IF(VLOOKUP(Table7[[#This Row],[Date]],Database!$A:$C,MATCH($C$1,Database!$A$1:$C$1,),)=0,#N/A,VLOOKUP(Table7[[#This Row],[Date]],Database!$A:$C,MATCH($C$1,Database!$A$1:$C$1,),))</f>
        <v/>
      </c>
      <c r="D7271">
        <f>IFERROR(Table7[[#This Row],[United States 10y]]-Table7[[#This Row],[United States 3y]],#N/A)</f>
        <v/>
      </c>
    </row>
    <row r="7272">
      <c r="A7272" s="6">
        <f>Database!$A9357</f>
        <v/>
      </c>
      <c r="B7272">
        <f>IF(VLOOKUP(Table7[[#This Row],[Date]],Database!$A:$C,MATCH($B$1,Database!$A$1:$C$1,),)=0,#N/A,VLOOKUP(Table7[[#This Row],[Date]],Database!$A:$C,MATCH($B$1,Database!$A$1:$C$1,),))</f>
        <v/>
      </c>
      <c r="C7272">
        <f>IF(VLOOKUP(Table7[[#This Row],[Date]],Database!$A:$C,MATCH($C$1,Database!$A$1:$C$1,),)=0,#N/A,VLOOKUP(Table7[[#This Row],[Date]],Database!$A:$C,MATCH($C$1,Database!$A$1:$C$1,),))</f>
        <v/>
      </c>
      <c r="D7272">
        <f>IFERROR(Table7[[#This Row],[United States 10y]]-Table7[[#This Row],[United States 3y]],#N/A)</f>
        <v/>
      </c>
    </row>
    <row r="7273">
      <c r="A7273" s="6">
        <f>Database!$A9358</f>
        <v/>
      </c>
      <c r="B7273">
        <f>IF(VLOOKUP(Table7[[#This Row],[Date]],Database!$A:$C,MATCH($B$1,Database!$A$1:$C$1,),)=0,#N/A,VLOOKUP(Table7[[#This Row],[Date]],Database!$A:$C,MATCH($B$1,Database!$A$1:$C$1,),))</f>
        <v/>
      </c>
      <c r="C7273">
        <f>IF(VLOOKUP(Table7[[#This Row],[Date]],Database!$A:$C,MATCH($C$1,Database!$A$1:$C$1,),)=0,#N/A,VLOOKUP(Table7[[#This Row],[Date]],Database!$A:$C,MATCH($C$1,Database!$A$1:$C$1,),))</f>
        <v/>
      </c>
      <c r="D7273">
        <f>IFERROR(Table7[[#This Row],[United States 10y]]-Table7[[#This Row],[United States 3y]],#N/A)</f>
        <v/>
      </c>
    </row>
    <row r="7274">
      <c r="A7274" s="6">
        <f>Database!$A9359</f>
        <v/>
      </c>
      <c r="B7274">
        <f>IF(VLOOKUP(Table7[[#This Row],[Date]],Database!$A:$C,MATCH($B$1,Database!$A$1:$C$1,),)=0,#N/A,VLOOKUP(Table7[[#This Row],[Date]],Database!$A:$C,MATCH($B$1,Database!$A$1:$C$1,),))</f>
        <v/>
      </c>
      <c r="C7274">
        <f>IF(VLOOKUP(Table7[[#This Row],[Date]],Database!$A:$C,MATCH($C$1,Database!$A$1:$C$1,),)=0,#N/A,VLOOKUP(Table7[[#This Row],[Date]],Database!$A:$C,MATCH($C$1,Database!$A$1:$C$1,),))</f>
        <v/>
      </c>
      <c r="D7274">
        <f>IFERROR(Table7[[#This Row],[United States 10y]]-Table7[[#This Row],[United States 3y]],#N/A)</f>
        <v/>
      </c>
    </row>
    <row r="7275">
      <c r="A7275" s="6">
        <f>Database!$A9360</f>
        <v/>
      </c>
      <c r="B7275">
        <f>IF(VLOOKUP(Table7[[#This Row],[Date]],Database!$A:$C,MATCH($B$1,Database!$A$1:$C$1,),)=0,#N/A,VLOOKUP(Table7[[#This Row],[Date]],Database!$A:$C,MATCH($B$1,Database!$A$1:$C$1,),))</f>
        <v/>
      </c>
      <c r="C7275">
        <f>IF(VLOOKUP(Table7[[#This Row],[Date]],Database!$A:$C,MATCH($C$1,Database!$A$1:$C$1,),)=0,#N/A,VLOOKUP(Table7[[#This Row],[Date]],Database!$A:$C,MATCH($C$1,Database!$A$1:$C$1,),))</f>
        <v/>
      </c>
      <c r="D7275">
        <f>IFERROR(Table7[[#This Row],[United States 10y]]-Table7[[#This Row],[United States 3y]],#N/A)</f>
        <v/>
      </c>
    </row>
    <row r="7276">
      <c r="A7276" s="6">
        <f>Database!$A9361</f>
        <v/>
      </c>
      <c r="B7276">
        <f>IF(VLOOKUP(Table7[[#This Row],[Date]],Database!$A:$C,MATCH($B$1,Database!$A$1:$C$1,),)=0,#N/A,VLOOKUP(Table7[[#This Row],[Date]],Database!$A:$C,MATCH($B$1,Database!$A$1:$C$1,),))</f>
        <v/>
      </c>
      <c r="C7276">
        <f>IF(VLOOKUP(Table7[[#This Row],[Date]],Database!$A:$C,MATCH($C$1,Database!$A$1:$C$1,),)=0,#N/A,VLOOKUP(Table7[[#This Row],[Date]],Database!$A:$C,MATCH($C$1,Database!$A$1:$C$1,),))</f>
        <v/>
      </c>
      <c r="D7276">
        <f>IFERROR(Table7[[#This Row],[United States 10y]]-Table7[[#This Row],[United States 3y]],#N/A)</f>
        <v/>
      </c>
    </row>
    <row r="7277">
      <c r="A7277" s="6">
        <f>Database!$A9362</f>
        <v/>
      </c>
      <c r="B7277">
        <f>IF(VLOOKUP(Table7[[#This Row],[Date]],Database!$A:$C,MATCH($B$1,Database!$A$1:$C$1,),)=0,#N/A,VLOOKUP(Table7[[#This Row],[Date]],Database!$A:$C,MATCH($B$1,Database!$A$1:$C$1,),))</f>
        <v/>
      </c>
      <c r="C7277">
        <f>IF(VLOOKUP(Table7[[#This Row],[Date]],Database!$A:$C,MATCH($C$1,Database!$A$1:$C$1,),)=0,#N/A,VLOOKUP(Table7[[#This Row],[Date]],Database!$A:$C,MATCH($C$1,Database!$A$1:$C$1,),))</f>
        <v/>
      </c>
      <c r="D7277">
        <f>IFERROR(Table7[[#This Row],[United States 10y]]-Table7[[#This Row],[United States 3y]],#N/A)</f>
        <v/>
      </c>
    </row>
    <row r="7278">
      <c r="A7278" s="6">
        <f>Database!$A9363</f>
        <v/>
      </c>
      <c r="B7278">
        <f>IF(VLOOKUP(Table7[[#This Row],[Date]],Database!$A:$C,MATCH($B$1,Database!$A$1:$C$1,),)=0,#N/A,VLOOKUP(Table7[[#This Row],[Date]],Database!$A:$C,MATCH($B$1,Database!$A$1:$C$1,),))</f>
        <v/>
      </c>
      <c r="C7278">
        <f>IF(VLOOKUP(Table7[[#This Row],[Date]],Database!$A:$C,MATCH($C$1,Database!$A$1:$C$1,),)=0,#N/A,VLOOKUP(Table7[[#This Row],[Date]],Database!$A:$C,MATCH($C$1,Database!$A$1:$C$1,),))</f>
        <v/>
      </c>
      <c r="D7278">
        <f>IFERROR(Table7[[#This Row],[United States 10y]]-Table7[[#This Row],[United States 3y]],#N/A)</f>
        <v/>
      </c>
    </row>
    <row r="7279">
      <c r="A7279" s="6">
        <f>Database!$A9364</f>
        <v/>
      </c>
      <c r="B7279">
        <f>IF(VLOOKUP(Table7[[#This Row],[Date]],Database!$A:$C,MATCH($B$1,Database!$A$1:$C$1,),)=0,#N/A,VLOOKUP(Table7[[#This Row],[Date]],Database!$A:$C,MATCH($B$1,Database!$A$1:$C$1,),))</f>
        <v/>
      </c>
      <c r="C7279">
        <f>IF(VLOOKUP(Table7[[#This Row],[Date]],Database!$A:$C,MATCH($C$1,Database!$A$1:$C$1,),)=0,#N/A,VLOOKUP(Table7[[#This Row],[Date]],Database!$A:$C,MATCH($C$1,Database!$A$1:$C$1,),))</f>
        <v/>
      </c>
      <c r="D7279">
        <f>IFERROR(Table7[[#This Row],[United States 10y]]-Table7[[#This Row],[United States 3y]],#N/A)</f>
        <v/>
      </c>
    </row>
    <row r="7280">
      <c r="A7280" s="6">
        <f>Database!$A9365</f>
        <v/>
      </c>
      <c r="B7280">
        <f>IF(VLOOKUP(Table7[[#This Row],[Date]],Database!$A:$C,MATCH($B$1,Database!$A$1:$C$1,),)=0,#N/A,VLOOKUP(Table7[[#This Row],[Date]],Database!$A:$C,MATCH($B$1,Database!$A$1:$C$1,),))</f>
        <v/>
      </c>
      <c r="C7280">
        <f>IF(VLOOKUP(Table7[[#This Row],[Date]],Database!$A:$C,MATCH($C$1,Database!$A$1:$C$1,),)=0,#N/A,VLOOKUP(Table7[[#This Row],[Date]],Database!$A:$C,MATCH($C$1,Database!$A$1:$C$1,),))</f>
        <v/>
      </c>
      <c r="D7280">
        <f>IFERROR(Table7[[#This Row],[United States 10y]]-Table7[[#This Row],[United States 3y]],#N/A)</f>
        <v/>
      </c>
    </row>
    <row r="7281">
      <c r="A7281" s="6">
        <f>Database!$A9366</f>
        <v/>
      </c>
      <c r="B7281">
        <f>IF(VLOOKUP(Table7[[#This Row],[Date]],Database!$A:$C,MATCH($B$1,Database!$A$1:$C$1,),)=0,#N/A,VLOOKUP(Table7[[#This Row],[Date]],Database!$A:$C,MATCH($B$1,Database!$A$1:$C$1,),))</f>
        <v/>
      </c>
      <c r="C7281">
        <f>IF(VLOOKUP(Table7[[#This Row],[Date]],Database!$A:$C,MATCH($C$1,Database!$A$1:$C$1,),)=0,#N/A,VLOOKUP(Table7[[#This Row],[Date]],Database!$A:$C,MATCH($C$1,Database!$A$1:$C$1,),))</f>
        <v/>
      </c>
      <c r="D7281">
        <f>IFERROR(Table7[[#This Row],[United States 10y]]-Table7[[#This Row],[United States 3y]],#N/A)</f>
        <v/>
      </c>
    </row>
    <row r="7282">
      <c r="A7282" s="6">
        <f>Database!$A9367</f>
        <v/>
      </c>
      <c r="B7282">
        <f>IF(VLOOKUP(Table7[[#This Row],[Date]],Database!$A:$C,MATCH($B$1,Database!$A$1:$C$1,),)=0,#N/A,VLOOKUP(Table7[[#This Row],[Date]],Database!$A:$C,MATCH($B$1,Database!$A$1:$C$1,),))</f>
        <v/>
      </c>
      <c r="C7282">
        <f>IF(VLOOKUP(Table7[[#This Row],[Date]],Database!$A:$C,MATCH($C$1,Database!$A$1:$C$1,),)=0,#N/A,VLOOKUP(Table7[[#This Row],[Date]],Database!$A:$C,MATCH($C$1,Database!$A$1:$C$1,),))</f>
        <v/>
      </c>
      <c r="D7282">
        <f>IFERROR(Table7[[#This Row],[United States 10y]]-Table7[[#This Row],[United States 3y]],#N/A)</f>
        <v/>
      </c>
    </row>
    <row r="7283">
      <c r="A7283" s="6">
        <f>Database!$A9368</f>
        <v/>
      </c>
      <c r="B7283">
        <f>IF(VLOOKUP(Table7[[#This Row],[Date]],Database!$A:$C,MATCH($B$1,Database!$A$1:$C$1,),)=0,#N/A,VLOOKUP(Table7[[#This Row],[Date]],Database!$A:$C,MATCH($B$1,Database!$A$1:$C$1,),))</f>
        <v/>
      </c>
      <c r="C7283">
        <f>IF(VLOOKUP(Table7[[#This Row],[Date]],Database!$A:$C,MATCH($C$1,Database!$A$1:$C$1,),)=0,#N/A,VLOOKUP(Table7[[#This Row],[Date]],Database!$A:$C,MATCH($C$1,Database!$A$1:$C$1,),))</f>
        <v/>
      </c>
      <c r="D7283">
        <f>IFERROR(Table7[[#This Row],[United States 10y]]-Table7[[#This Row],[United States 3y]],#N/A)</f>
        <v/>
      </c>
    </row>
    <row r="7284">
      <c r="A7284" s="6">
        <f>Database!$A9369</f>
        <v/>
      </c>
      <c r="B7284">
        <f>IF(VLOOKUP(Table7[[#This Row],[Date]],Database!$A:$C,MATCH($B$1,Database!$A$1:$C$1,),)=0,#N/A,VLOOKUP(Table7[[#This Row],[Date]],Database!$A:$C,MATCH($B$1,Database!$A$1:$C$1,),))</f>
        <v/>
      </c>
      <c r="C7284">
        <f>IF(VLOOKUP(Table7[[#This Row],[Date]],Database!$A:$C,MATCH($C$1,Database!$A$1:$C$1,),)=0,#N/A,VLOOKUP(Table7[[#This Row],[Date]],Database!$A:$C,MATCH($C$1,Database!$A$1:$C$1,),))</f>
        <v/>
      </c>
      <c r="D7284">
        <f>IFERROR(Table7[[#This Row],[United States 10y]]-Table7[[#This Row],[United States 3y]],#N/A)</f>
        <v/>
      </c>
    </row>
    <row r="7285">
      <c r="A7285" s="6">
        <f>Database!$A9370</f>
        <v/>
      </c>
      <c r="B7285">
        <f>IF(VLOOKUP(Table7[[#This Row],[Date]],Database!$A:$C,MATCH($B$1,Database!$A$1:$C$1,),)=0,#N/A,VLOOKUP(Table7[[#This Row],[Date]],Database!$A:$C,MATCH($B$1,Database!$A$1:$C$1,),))</f>
        <v/>
      </c>
      <c r="C7285">
        <f>IF(VLOOKUP(Table7[[#This Row],[Date]],Database!$A:$C,MATCH($C$1,Database!$A$1:$C$1,),)=0,#N/A,VLOOKUP(Table7[[#This Row],[Date]],Database!$A:$C,MATCH($C$1,Database!$A$1:$C$1,),))</f>
        <v/>
      </c>
      <c r="D7285">
        <f>IFERROR(Table7[[#This Row],[United States 10y]]-Table7[[#This Row],[United States 3y]],#N/A)</f>
        <v/>
      </c>
    </row>
    <row r="7286">
      <c r="A7286" s="6">
        <f>Database!$A9371</f>
        <v/>
      </c>
      <c r="B7286">
        <f>IF(VLOOKUP(Table7[[#This Row],[Date]],Database!$A:$C,MATCH($B$1,Database!$A$1:$C$1,),)=0,#N/A,VLOOKUP(Table7[[#This Row],[Date]],Database!$A:$C,MATCH($B$1,Database!$A$1:$C$1,),))</f>
        <v/>
      </c>
      <c r="C7286">
        <f>IF(VLOOKUP(Table7[[#This Row],[Date]],Database!$A:$C,MATCH($C$1,Database!$A$1:$C$1,),)=0,#N/A,VLOOKUP(Table7[[#This Row],[Date]],Database!$A:$C,MATCH($C$1,Database!$A$1:$C$1,),))</f>
        <v/>
      </c>
      <c r="D7286">
        <f>IFERROR(Table7[[#This Row],[United States 10y]]-Table7[[#This Row],[United States 3y]],#N/A)</f>
        <v/>
      </c>
    </row>
    <row r="7287">
      <c r="A7287" s="6">
        <f>Database!$A9372</f>
        <v/>
      </c>
      <c r="B7287">
        <f>IF(VLOOKUP(Table7[[#This Row],[Date]],Database!$A:$C,MATCH($B$1,Database!$A$1:$C$1,),)=0,#N/A,VLOOKUP(Table7[[#This Row],[Date]],Database!$A:$C,MATCH($B$1,Database!$A$1:$C$1,),))</f>
        <v/>
      </c>
      <c r="C7287">
        <f>IF(VLOOKUP(Table7[[#This Row],[Date]],Database!$A:$C,MATCH($C$1,Database!$A$1:$C$1,),)=0,#N/A,VLOOKUP(Table7[[#This Row],[Date]],Database!$A:$C,MATCH($C$1,Database!$A$1:$C$1,),))</f>
        <v/>
      </c>
      <c r="D7287">
        <f>IFERROR(Table7[[#This Row],[United States 10y]]-Table7[[#This Row],[United States 3y]],#N/A)</f>
        <v/>
      </c>
    </row>
    <row r="7288">
      <c r="A7288" s="6">
        <f>Database!$A9373</f>
        <v/>
      </c>
      <c r="B7288">
        <f>IF(VLOOKUP(Table7[[#This Row],[Date]],Database!$A:$C,MATCH($B$1,Database!$A$1:$C$1,),)=0,#N/A,VLOOKUP(Table7[[#This Row],[Date]],Database!$A:$C,MATCH($B$1,Database!$A$1:$C$1,),))</f>
        <v/>
      </c>
      <c r="C7288">
        <f>IF(VLOOKUP(Table7[[#This Row],[Date]],Database!$A:$C,MATCH($C$1,Database!$A$1:$C$1,),)=0,#N/A,VLOOKUP(Table7[[#This Row],[Date]],Database!$A:$C,MATCH($C$1,Database!$A$1:$C$1,),))</f>
        <v/>
      </c>
      <c r="D7288">
        <f>IFERROR(Table7[[#This Row],[United States 10y]]-Table7[[#This Row],[United States 3y]],#N/A)</f>
        <v/>
      </c>
    </row>
    <row r="7289">
      <c r="A7289" s="6">
        <f>Database!$A9374</f>
        <v/>
      </c>
      <c r="B7289">
        <f>IF(VLOOKUP(Table7[[#This Row],[Date]],Database!$A:$C,MATCH($B$1,Database!$A$1:$C$1,),)=0,#N/A,VLOOKUP(Table7[[#This Row],[Date]],Database!$A:$C,MATCH($B$1,Database!$A$1:$C$1,),))</f>
        <v/>
      </c>
      <c r="C7289">
        <f>IF(VLOOKUP(Table7[[#This Row],[Date]],Database!$A:$C,MATCH($C$1,Database!$A$1:$C$1,),)=0,#N/A,VLOOKUP(Table7[[#This Row],[Date]],Database!$A:$C,MATCH($C$1,Database!$A$1:$C$1,),))</f>
        <v/>
      </c>
      <c r="D7289">
        <f>IFERROR(Table7[[#This Row],[United States 10y]]-Table7[[#This Row],[United States 3y]],#N/A)</f>
        <v/>
      </c>
    </row>
    <row r="7290">
      <c r="A7290" s="6">
        <f>Database!$A9375</f>
        <v/>
      </c>
      <c r="B7290">
        <f>IF(VLOOKUP(Table7[[#This Row],[Date]],Database!$A:$C,MATCH($B$1,Database!$A$1:$C$1,),)=0,#N/A,VLOOKUP(Table7[[#This Row],[Date]],Database!$A:$C,MATCH($B$1,Database!$A$1:$C$1,),))</f>
        <v/>
      </c>
      <c r="C7290">
        <f>IF(VLOOKUP(Table7[[#This Row],[Date]],Database!$A:$C,MATCH($C$1,Database!$A$1:$C$1,),)=0,#N/A,VLOOKUP(Table7[[#This Row],[Date]],Database!$A:$C,MATCH($C$1,Database!$A$1:$C$1,),))</f>
        <v/>
      </c>
      <c r="D7290">
        <f>IFERROR(Table7[[#This Row],[United States 10y]]-Table7[[#This Row],[United States 3y]],#N/A)</f>
        <v/>
      </c>
    </row>
    <row r="7291">
      <c r="A7291" s="6">
        <f>Database!$A9376</f>
        <v/>
      </c>
      <c r="B7291">
        <f>IF(VLOOKUP(Table7[[#This Row],[Date]],Database!$A:$C,MATCH($B$1,Database!$A$1:$C$1,),)=0,#N/A,VLOOKUP(Table7[[#This Row],[Date]],Database!$A:$C,MATCH($B$1,Database!$A$1:$C$1,),))</f>
        <v/>
      </c>
      <c r="C7291">
        <f>IF(VLOOKUP(Table7[[#This Row],[Date]],Database!$A:$C,MATCH($C$1,Database!$A$1:$C$1,),)=0,#N/A,VLOOKUP(Table7[[#This Row],[Date]],Database!$A:$C,MATCH($C$1,Database!$A$1:$C$1,),))</f>
        <v/>
      </c>
      <c r="D7291">
        <f>IFERROR(Table7[[#This Row],[United States 10y]]-Table7[[#This Row],[United States 3y]],#N/A)</f>
        <v/>
      </c>
    </row>
    <row r="7292">
      <c r="A7292" s="6">
        <f>Database!$A9377</f>
        <v/>
      </c>
      <c r="B7292">
        <f>IF(VLOOKUP(Table7[[#This Row],[Date]],Database!$A:$C,MATCH($B$1,Database!$A$1:$C$1,),)=0,#N/A,VLOOKUP(Table7[[#This Row],[Date]],Database!$A:$C,MATCH($B$1,Database!$A$1:$C$1,),))</f>
        <v/>
      </c>
      <c r="C7292">
        <f>IF(VLOOKUP(Table7[[#This Row],[Date]],Database!$A:$C,MATCH($C$1,Database!$A$1:$C$1,),)=0,#N/A,VLOOKUP(Table7[[#This Row],[Date]],Database!$A:$C,MATCH($C$1,Database!$A$1:$C$1,),))</f>
        <v/>
      </c>
      <c r="D7292">
        <f>IFERROR(Table7[[#This Row],[United States 10y]]-Table7[[#This Row],[United States 3y]],#N/A)</f>
        <v/>
      </c>
    </row>
    <row r="7293">
      <c r="A7293" s="6">
        <f>Database!$A9378</f>
        <v/>
      </c>
      <c r="B7293">
        <f>IF(VLOOKUP(Table7[[#This Row],[Date]],Database!$A:$C,MATCH($B$1,Database!$A$1:$C$1,),)=0,#N/A,VLOOKUP(Table7[[#This Row],[Date]],Database!$A:$C,MATCH($B$1,Database!$A$1:$C$1,),))</f>
        <v/>
      </c>
      <c r="C7293">
        <f>IF(VLOOKUP(Table7[[#This Row],[Date]],Database!$A:$C,MATCH($C$1,Database!$A$1:$C$1,),)=0,#N/A,VLOOKUP(Table7[[#This Row],[Date]],Database!$A:$C,MATCH($C$1,Database!$A$1:$C$1,),))</f>
        <v/>
      </c>
      <c r="D7293">
        <f>IFERROR(Table7[[#This Row],[United States 10y]]-Table7[[#This Row],[United States 3y]],#N/A)</f>
        <v/>
      </c>
    </row>
    <row r="7294">
      <c r="A7294" s="6">
        <f>Database!$A9379</f>
        <v/>
      </c>
      <c r="B7294">
        <f>IF(VLOOKUP(Table7[[#This Row],[Date]],Database!$A:$C,MATCH($B$1,Database!$A$1:$C$1,),)=0,#N/A,VLOOKUP(Table7[[#This Row],[Date]],Database!$A:$C,MATCH($B$1,Database!$A$1:$C$1,),))</f>
        <v/>
      </c>
      <c r="C7294">
        <f>IF(VLOOKUP(Table7[[#This Row],[Date]],Database!$A:$C,MATCH($C$1,Database!$A$1:$C$1,),)=0,#N/A,VLOOKUP(Table7[[#This Row],[Date]],Database!$A:$C,MATCH($C$1,Database!$A$1:$C$1,),))</f>
        <v/>
      </c>
      <c r="D7294">
        <f>IFERROR(Table7[[#This Row],[United States 10y]]-Table7[[#This Row],[United States 3y]],#N/A)</f>
        <v/>
      </c>
    </row>
    <row r="7295">
      <c r="A7295" s="6">
        <f>Database!$A9380</f>
        <v/>
      </c>
      <c r="B7295">
        <f>IF(VLOOKUP(Table7[[#This Row],[Date]],Database!$A:$C,MATCH($B$1,Database!$A$1:$C$1,),)=0,#N/A,VLOOKUP(Table7[[#This Row],[Date]],Database!$A:$C,MATCH($B$1,Database!$A$1:$C$1,),))</f>
        <v/>
      </c>
      <c r="C7295">
        <f>IF(VLOOKUP(Table7[[#This Row],[Date]],Database!$A:$C,MATCH($C$1,Database!$A$1:$C$1,),)=0,#N/A,VLOOKUP(Table7[[#This Row],[Date]],Database!$A:$C,MATCH($C$1,Database!$A$1:$C$1,),))</f>
        <v/>
      </c>
      <c r="D7295">
        <f>IFERROR(Table7[[#This Row],[United States 10y]]-Table7[[#This Row],[United States 3y]],#N/A)</f>
        <v/>
      </c>
    </row>
    <row r="7296">
      <c r="A7296" s="6">
        <f>Database!$A9381</f>
        <v/>
      </c>
      <c r="B7296">
        <f>IF(VLOOKUP(Table7[[#This Row],[Date]],Database!$A:$C,MATCH($B$1,Database!$A$1:$C$1,),)=0,#N/A,VLOOKUP(Table7[[#This Row],[Date]],Database!$A:$C,MATCH($B$1,Database!$A$1:$C$1,),))</f>
        <v/>
      </c>
      <c r="C7296">
        <f>IF(VLOOKUP(Table7[[#This Row],[Date]],Database!$A:$C,MATCH($C$1,Database!$A$1:$C$1,),)=0,#N/A,VLOOKUP(Table7[[#This Row],[Date]],Database!$A:$C,MATCH($C$1,Database!$A$1:$C$1,),))</f>
        <v/>
      </c>
      <c r="D7296">
        <f>IFERROR(Table7[[#This Row],[United States 10y]]-Table7[[#This Row],[United States 3y]],#N/A)</f>
        <v/>
      </c>
    </row>
    <row r="7297">
      <c r="A7297" s="6">
        <f>Database!$A9382</f>
        <v/>
      </c>
      <c r="B7297">
        <f>IF(VLOOKUP(Table7[[#This Row],[Date]],Database!$A:$C,MATCH($B$1,Database!$A$1:$C$1,),)=0,#N/A,VLOOKUP(Table7[[#This Row],[Date]],Database!$A:$C,MATCH($B$1,Database!$A$1:$C$1,),))</f>
        <v/>
      </c>
      <c r="C7297">
        <f>IF(VLOOKUP(Table7[[#This Row],[Date]],Database!$A:$C,MATCH($C$1,Database!$A$1:$C$1,),)=0,#N/A,VLOOKUP(Table7[[#This Row],[Date]],Database!$A:$C,MATCH($C$1,Database!$A$1:$C$1,),))</f>
        <v/>
      </c>
      <c r="D7297">
        <f>IFERROR(Table7[[#This Row],[United States 10y]]-Table7[[#This Row],[United States 3y]],#N/A)</f>
        <v/>
      </c>
    </row>
    <row r="7298">
      <c r="A7298" s="6">
        <f>Database!$A9383</f>
        <v/>
      </c>
      <c r="B7298">
        <f>IF(VLOOKUP(Table7[[#This Row],[Date]],Database!$A:$C,MATCH($B$1,Database!$A$1:$C$1,),)=0,#N/A,VLOOKUP(Table7[[#This Row],[Date]],Database!$A:$C,MATCH($B$1,Database!$A$1:$C$1,),))</f>
        <v/>
      </c>
      <c r="C7298">
        <f>IF(VLOOKUP(Table7[[#This Row],[Date]],Database!$A:$C,MATCH($C$1,Database!$A$1:$C$1,),)=0,#N/A,VLOOKUP(Table7[[#This Row],[Date]],Database!$A:$C,MATCH($C$1,Database!$A$1:$C$1,),))</f>
        <v/>
      </c>
      <c r="D7298">
        <f>IFERROR(Table7[[#This Row],[United States 10y]]-Table7[[#This Row],[United States 3y]],#N/A)</f>
        <v/>
      </c>
    </row>
    <row r="7299">
      <c r="A7299" s="6">
        <f>Database!$A9384</f>
        <v/>
      </c>
      <c r="B7299">
        <f>IF(VLOOKUP(Table7[[#This Row],[Date]],Database!$A:$C,MATCH($B$1,Database!$A$1:$C$1,),)=0,#N/A,VLOOKUP(Table7[[#This Row],[Date]],Database!$A:$C,MATCH($B$1,Database!$A$1:$C$1,),))</f>
        <v/>
      </c>
      <c r="C7299">
        <f>IF(VLOOKUP(Table7[[#This Row],[Date]],Database!$A:$C,MATCH($C$1,Database!$A$1:$C$1,),)=0,#N/A,VLOOKUP(Table7[[#This Row],[Date]],Database!$A:$C,MATCH($C$1,Database!$A$1:$C$1,),))</f>
        <v/>
      </c>
      <c r="D7299">
        <f>IFERROR(Table7[[#This Row],[United States 10y]]-Table7[[#This Row],[United States 3y]],#N/A)</f>
        <v/>
      </c>
    </row>
    <row r="7300">
      <c r="A7300" s="6">
        <f>Database!$A9385</f>
        <v/>
      </c>
      <c r="B7300">
        <f>IF(VLOOKUP(Table7[[#This Row],[Date]],Database!$A:$C,MATCH($B$1,Database!$A$1:$C$1,),)=0,#N/A,VLOOKUP(Table7[[#This Row],[Date]],Database!$A:$C,MATCH($B$1,Database!$A$1:$C$1,),))</f>
        <v/>
      </c>
      <c r="C7300">
        <f>IF(VLOOKUP(Table7[[#This Row],[Date]],Database!$A:$C,MATCH($C$1,Database!$A$1:$C$1,),)=0,#N/A,VLOOKUP(Table7[[#This Row],[Date]],Database!$A:$C,MATCH($C$1,Database!$A$1:$C$1,),))</f>
        <v/>
      </c>
      <c r="D7300">
        <f>IFERROR(Table7[[#This Row],[United States 10y]]-Table7[[#This Row],[United States 3y]],#N/A)</f>
        <v/>
      </c>
    </row>
    <row r="7301">
      <c r="A7301" s="6">
        <f>Database!$A9386</f>
        <v/>
      </c>
      <c r="B7301">
        <f>IF(VLOOKUP(Table7[[#This Row],[Date]],Database!$A:$C,MATCH($B$1,Database!$A$1:$C$1,),)=0,#N/A,VLOOKUP(Table7[[#This Row],[Date]],Database!$A:$C,MATCH($B$1,Database!$A$1:$C$1,),))</f>
        <v/>
      </c>
      <c r="C7301">
        <f>IF(VLOOKUP(Table7[[#This Row],[Date]],Database!$A:$C,MATCH($C$1,Database!$A$1:$C$1,),)=0,#N/A,VLOOKUP(Table7[[#This Row],[Date]],Database!$A:$C,MATCH($C$1,Database!$A$1:$C$1,),))</f>
        <v/>
      </c>
      <c r="D7301">
        <f>IFERROR(Table7[[#This Row],[United States 10y]]-Table7[[#This Row],[United States 3y]],#N/A)</f>
        <v/>
      </c>
    </row>
    <row r="7302">
      <c r="A7302" s="6">
        <f>Database!$A9387</f>
        <v/>
      </c>
      <c r="B7302">
        <f>IF(VLOOKUP(Table7[[#This Row],[Date]],Database!$A:$C,MATCH($B$1,Database!$A$1:$C$1,),)=0,#N/A,VLOOKUP(Table7[[#This Row],[Date]],Database!$A:$C,MATCH($B$1,Database!$A$1:$C$1,),))</f>
        <v/>
      </c>
      <c r="C7302">
        <f>IF(VLOOKUP(Table7[[#This Row],[Date]],Database!$A:$C,MATCH($C$1,Database!$A$1:$C$1,),)=0,#N/A,VLOOKUP(Table7[[#This Row],[Date]],Database!$A:$C,MATCH($C$1,Database!$A$1:$C$1,),))</f>
        <v/>
      </c>
      <c r="D7302">
        <f>IFERROR(Table7[[#This Row],[United States 10y]]-Table7[[#This Row],[United States 3y]],#N/A)</f>
        <v/>
      </c>
    </row>
    <row r="7303">
      <c r="A7303" s="6">
        <f>Database!$A9388</f>
        <v/>
      </c>
      <c r="B7303">
        <f>IF(VLOOKUP(Table7[[#This Row],[Date]],Database!$A:$C,MATCH($B$1,Database!$A$1:$C$1,),)=0,#N/A,VLOOKUP(Table7[[#This Row],[Date]],Database!$A:$C,MATCH($B$1,Database!$A$1:$C$1,),))</f>
        <v/>
      </c>
      <c r="C7303">
        <f>IF(VLOOKUP(Table7[[#This Row],[Date]],Database!$A:$C,MATCH($C$1,Database!$A$1:$C$1,),)=0,#N/A,VLOOKUP(Table7[[#This Row],[Date]],Database!$A:$C,MATCH($C$1,Database!$A$1:$C$1,),))</f>
        <v/>
      </c>
      <c r="D7303">
        <f>IFERROR(Table7[[#This Row],[United States 10y]]-Table7[[#This Row],[United States 3y]],#N/A)</f>
        <v/>
      </c>
    </row>
    <row r="7304">
      <c r="A7304" s="6">
        <f>Database!$A9389</f>
        <v/>
      </c>
      <c r="B7304">
        <f>IF(VLOOKUP(Table7[[#This Row],[Date]],Database!$A:$C,MATCH($B$1,Database!$A$1:$C$1,),)=0,#N/A,VLOOKUP(Table7[[#This Row],[Date]],Database!$A:$C,MATCH($B$1,Database!$A$1:$C$1,),))</f>
        <v/>
      </c>
      <c r="C7304">
        <f>IF(VLOOKUP(Table7[[#This Row],[Date]],Database!$A:$C,MATCH($C$1,Database!$A$1:$C$1,),)=0,#N/A,VLOOKUP(Table7[[#This Row],[Date]],Database!$A:$C,MATCH($C$1,Database!$A$1:$C$1,),))</f>
        <v/>
      </c>
      <c r="D7304">
        <f>IFERROR(Table7[[#This Row],[United States 10y]]-Table7[[#This Row],[United States 3y]],#N/A)</f>
        <v/>
      </c>
    </row>
    <row r="7305">
      <c r="A7305" s="6">
        <f>Database!$A9390</f>
        <v/>
      </c>
      <c r="B7305">
        <f>IF(VLOOKUP(Table7[[#This Row],[Date]],Database!$A:$C,MATCH($B$1,Database!$A$1:$C$1,),)=0,#N/A,VLOOKUP(Table7[[#This Row],[Date]],Database!$A:$C,MATCH($B$1,Database!$A$1:$C$1,),))</f>
        <v/>
      </c>
      <c r="C7305">
        <f>IF(VLOOKUP(Table7[[#This Row],[Date]],Database!$A:$C,MATCH($C$1,Database!$A$1:$C$1,),)=0,#N/A,VLOOKUP(Table7[[#This Row],[Date]],Database!$A:$C,MATCH($C$1,Database!$A$1:$C$1,),))</f>
        <v/>
      </c>
      <c r="D7305">
        <f>IFERROR(Table7[[#This Row],[United States 10y]]-Table7[[#This Row],[United States 3y]],#N/A)</f>
        <v/>
      </c>
    </row>
    <row r="7306">
      <c r="A7306" s="6">
        <f>Database!$A9391</f>
        <v/>
      </c>
      <c r="B7306">
        <f>IF(VLOOKUP(Table7[[#This Row],[Date]],Database!$A:$C,MATCH($B$1,Database!$A$1:$C$1,),)=0,#N/A,VLOOKUP(Table7[[#This Row],[Date]],Database!$A:$C,MATCH($B$1,Database!$A$1:$C$1,),))</f>
        <v/>
      </c>
      <c r="C7306">
        <f>IF(VLOOKUP(Table7[[#This Row],[Date]],Database!$A:$C,MATCH($C$1,Database!$A$1:$C$1,),)=0,#N/A,VLOOKUP(Table7[[#This Row],[Date]],Database!$A:$C,MATCH($C$1,Database!$A$1:$C$1,),))</f>
        <v/>
      </c>
      <c r="D7306">
        <f>IFERROR(Table7[[#This Row],[United States 10y]]-Table7[[#This Row],[United States 3y]],#N/A)</f>
        <v/>
      </c>
    </row>
    <row r="7307">
      <c r="A7307" s="6">
        <f>Database!$A9392</f>
        <v/>
      </c>
      <c r="B7307">
        <f>IF(VLOOKUP(Table7[[#This Row],[Date]],Database!$A:$C,MATCH($B$1,Database!$A$1:$C$1,),)=0,#N/A,VLOOKUP(Table7[[#This Row],[Date]],Database!$A:$C,MATCH($B$1,Database!$A$1:$C$1,),))</f>
        <v/>
      </c>
      <c r="C7307">
        <f>IF(VLOOKUP(Table7[[#This Row],[Date]],Database!$A:$C,MATCH($C$1,Database!$A$1:$C$1,),)=0,#N/A,VLOOKUP(Table7[[#This Row],[Date]],Database!$A:$C,MATCH($C$1,Database!$A$1:$C$1,),))</f>
        <v/>
      </c>
      <c r="D7307">
        <f>IFERROR(Table7[[#This Row],[United States 10y]]-Table7[[#This Row],[United States 3y]],#N/A)</f>
        <v/>
      </c>
    </row>
    <row r="7308">
      <c r="A7308" s="6">
        <f>Database!$A9393</f>
        <v/>
      </c>
      <c r="B7308">
        <f>IF(VLOOKUP(Table7[[#This Row],[Date]],Database!$A:$C,MATCH($B$1,Database!$A$1:$C$1,),)=0,#N/A,VLOOKUP(Table7[[#This Row],[Date]],Database!$A:$C,MATCH($B$1,Database!$A$1:$C$1,),))</f>
        <v/>
      </c>
      <c r="C7308">
        <f>IF(VLOOKUP(Table7[[#This Row],[Date]],Database!$A:$C,MATCH($C$1,Database!$A$1:$C$1,),)=0,#N/A,VLOOKUP(Table7[[#This Row],[Date]],Database!$A:$C,MATCH($C$1,Database!$A$1:$C$1,),))</f>
        <v/>
      </c>
      <c r="D7308">
        <f>IFERROR(Table7[[#This Row],[United States 10y]]-Table7[[#This Row],[United States 3y]],#N/A)</f>
        <v/>
      </c>
    </row>
    <row r="7309">
      <c r="A7309" s="6">
        <f>Database!$A9394</f>
        <v/>
      </c>
      <c r="B7309">
        <f>IF(VLOOKUP(Table7[[#This Row],[Date]],Database!$A:$C,MATCH($B$1,Database!$A$1:$C$1,),)=0,#N/A,VLOOKUP(Table7[[#This Row],[Date]],Database!$A:$C,MATCH($B$1,Database!$A$1:$C$1,),))</f>
        <v/>
      </c>
      <c r="C7309">
        <f>IF(VLOOKUP(Table7[[#This Row],[Date]],Database!$A:$C,MATCH($C$1,Database!$A$1:$C$1,),)=0,#N/A,VLOOKUP(Table7[[#This Row],[Date]],Database!$A:$C,MATCH($C$1,Database!$A$1:$C$1,),))</f>
        <v/>
      </c>
      <c r="D7309">
        <f>IFERROR(Table7[[#This Row],[United States 10y]]-Table7[[#This Row],[United States 3y]],#N/A)</f>
        <v/>
      </c>
    </row>
    <row r="7310">
      <c r="A7310" s="6">
        <f>Database!$A9395</f>
        <v/>
      </c>
      <c r="B7310">
        <f>IF(VLOOKUP(Table7[[#This Row],[Date]],Database!$A:$C,MATCH($B$1,Database!$A$1:$C$1,),)=0,#N/A,VLOOKUP(Table7[[#This Row],[Date]],Database!$A:$C,MATCH($B$1,Database!$A$1:$C$1,),))</f>
        <v/>
      </c>
      <c r="C7310">
        <f>IF(VLOOKUP(Table7[[#This Row],[Date]],Database!$A:$C,MATCH($C$1,Database!$A$1:$C$1,),)=0,#N/A,VLOOKUP(Table7[[#This Row],[Date]],Database!$A:$C,MATCH($C$1,Database!$A$1:$C$1,),))</f>
        <v/>
      </c>
      <c r="D7310">
        <f>IFERROR(Table7[[#This Row],[United States 10y]]-Table7[[#This Row],[United States 3y]],#N/A)</f>
        <v/>
      </c>
    </row>
    <row r="7311">
      <c r="A7311" s="6">
        <f>Database!$A9396</f>
        <v/>
      </c>
      <c r="B7311">
        <f>IF(VLOOKUP(Table7[[#This Row],[Date]],Database!$A:$C,MATCH($B$1,Database!$A$1:$C$1,),)=0,#N/A,VLOOKUP(Table7[[#This Row],[Date]],Database!$A:$C,MATCH($B$1,Database!$A$1:$C$1,),))</f>
        <v/>
      </c>
      <c r="C7311">
        <f>IF(VLOOKUP(Table7[[#This Row],[Date]],Database!$A:$C,MATCH($C$1,Database!$A$1:$C$1,),)=0,#N/A,VLOOKUP(Table7[[#This Row],[Date]],Database!$A:$C,MATCH($C$1,Database!$A$1:$C$1,),))</f>
        <v/>
      </c>
      <c r="D7311">
        <f>IFERROR(Table7[[#This Row],[United States 10y]]-Table7[[#This Row],[United States 3y]],#N/A)</f>
        <v/>
      </c>
    </row>
    <row r="7312">
      <c r="A7312" s="6">
        <f>Database!$A9397</f>
        <v/>
      </c>
      <c r="B7312">
        <f>IF(VLOOKUP(Table7[[#This Row],[Date]],Database!$A:$C,MATCH($B$1,Database!$A$1:$C$1,),)=0,#N/A,VLOOKUP(Table7[[#This Row],[Date]],Database!$A:$C,MATCH($B$1,Database!$A$1:$C$1,),))</f>
        <v/>
      </c>
      <c r="C7312">
        <f>IF(VLOOKUP(Table7[[#This Row],[Date]],Database!$A:$C,MATCH($C$1,Database!$A$1:$C$1,),)=0,#N/A,VLOOKUP(Table7[[#This Row],[Date]],Database!$A:$C,MATCH($C$1,Database!$A$1:$C$1,),))</f>
        <v/>
      </c>
      <c r="D7312">
        <f>IFERROR(Table7[[#This Row],[United States 10y]]-Table7[[#This Row],[United States 3y]],#N/A)</f>
        <v/>
      </c>
    </row>
    <row r="7313">
      <c r="A7313" s="6">
        <f>Database!$A9398</f>
        <v/>
      </c>
      <c r="B7313">
        <f>IF(VLOOKUP(Table7[[#This Row],[Date]],Database!$A:$C,MATCH($B$1,Database!$A$1:$C$1,),)=0,#N/A,VLOOKUP(Table7[[#This Row],[Date]],Database!$A:$C,MATCH($B$1,Database!$A$1:$C$1,),))</f>
        <v/>
      </c>
      <c r="C7313">
        <f>IF(VLOOKUP(Table7[[#This Row],[Date]],Database!$A:$C,MATCH($C$1,Database!$A$1:$C$1,),)=0,#N/A,VLOOKUP(Table7[[#This Row],[Date]],Database!$A:$C,MATCH($C$1,Database!$A$1:$C$1,),))</f>
        <v/>
      </c>
      <c r="D7313">
        <f>IFERROR(Table7[[#This Row],[United States 10y]]-Table7[[#This Row],[United States 3y]],#N/A)</f>
        <v/>
      </c>
    </row>
    <row r="7314">
      <c r="A7314" s="6">
        <f>Database!$A9399</f>
        <v/>
      </c>
      <c r="B7314">
        <f>IF(VLOOKUP(Table7[[#This Row],[Date]],Database!$A:$C,MATCH($B$1,Database!$A$1:$C$1,),)=0,#N/A,VLOOKUP(Table7[[#This Row],[Date]],Database!$A:$C,MATCH($B$1,Database!$A$1:$C$1,),))</f>
        <v/>
      </c>
      <c r="C7314">
        <f>IF(VLOOKUP(Table7[[#This Row],[Date]],Database!$A:$C,MATCH($C$1,Database!$A$1:$C$1,),)=0,#N/A,VLOOKUP(Table7[[#This Row],[Date]],Database!$A:$C,MATCH($C$1,Database!$A$1:$C$1,),))</f>
        <v/>
      </c>
      <c r="D7314">
        <f>IFERROR(Table7[[#This Row],[United States 10y]]-Table7[[#This Row],[United States 3y]],#N/A)</f>
        <v/>
      </c>
    </row>
    <row r="7315">
      <c r="A7315" s="6">
        <f>Database!$A9400</f>
        <v/>
      </c>
      <c r="B7315">
        <f>IF(VLOOKUP(Table7[[#This Row],[Date]],Database!$A:$C,MATCH($B$1,Database!$A$1:$C$1,),)=0,#N/A,VLOOKUP(Table7[[#This Row],[Date]],Database!$A:$C,MATCH($B$1,Database!$A$1:$C$1,),))</f>
        <v/>
      </c>
      <c r="C7315">
        <f>IF(VLOOKUP(Table7[[#This Row],[Date]],Database!$A:$C,MATCH($C$1,Database!$A$1:$C$1,),)=0,#N/A,VLOOKUP(Table7[[#This Row],[Date]],Database!$A:$C,MATCH($C$1,Database!$A$1:$C$1,),))</f>
        <v/>
      </c>
      <c r="D7315">
        <f>IFERROR(Table7[[#This Row],[United States 10y]]-Table7[[#This Row],[United States 3y]],#N/A)</f>
        <v/>
      </c>
    </row>
    <row r="7316">
      <c r="A7316" s="6">
        <f>Database!$A9401</f>
        <v/>
      </c>
      <c r="B7316">
        <f>IF(VLOOKUP(Table7[[#This Row],[Date]],Database!$A:$C,MATCH($B$1,Database!$A$1:$C$1,),)=0,#N/A,VLOOKUP(Table7[[#This Row],[Date]],Database!$A:$C,MATCH($B$1,Database!$A$1:$C$1,),))</f>
        <v/>
      </c>
      <c r="C7316">
        <f>IF(VLOOKUP(Table7[[#This Row],[Date]],Database!$A:$C,MATCH($C$1,Database!$A$1:$C$1,),)=0,#N/A,VLOOKUP(Table7[[#This Row],[Date]],Database!$A:$C,MATCH($C$1,Database!$A$1:$C$1,),))</f>
        <v/>
      </c>
      <c r="D7316">
        <f>IFERROR(Table7[[#This Row],[United States 10y]]-Table7[[#This Row],[United States 3y]],#N/A)</f>
        <v/>
      </c>
    </row>
    <row r="7317">
      <c r="A7317" s="6">
        <f>Database!$A9402</f>
        <v/>
      </c>
      <c r="B7317">
        <f>IF(VLOOKUP(Table7[[#This Row],[Date]],Database!$A:$C,MATCH($B$1,Database!$A$1:$C$1,),)=0,#N/A,VLOOKUP(Table7[[#This Row],[Date]],Database!$A:$C,MATCH($B$1,Database!$A$1:$C$1,),))</f>
        <v/>
      </c>
      <c r="C7317">
        <f>IF(VLOOKUP(Table7[[#This Row],[Date]],Database!$A:$C,MATCH($C$1,Database!$A$1:$C$1,),)=0,#N/A,VLOOKUP(Table7[[#This Row],[Date]],Database!$A:$C,MATCH($C$1,Database!$A$1:$C$1,),))</f>
        <v/>
      </c>
      <c r="D7317">
        <f>IFERROR(Table7[[#This Row],[United States 10y]]-Table7[[#This Row],[United States 3y]],#N/A)</f>
        <v/>
      </c>
    </row>
    <row r="7318">
      <c r="A7318" s="6">
        <f>Database!$A9403</f>
        <v/>
      </c>
      <c r="B7318">
        <f>IF(VLOOKUP(Table7[[#This Row],[Date]],Database!$A:$C,MATCH($B$1,Database!$A$1:$C$1,),)=0,#N/A,VLOOKUP(Table7[[#This Row],[Date]],Database!$A:$C,MATCH($B$1,Database!$A$1:$C$1,),))</f>
        <v/>
      </c>
      <c r="C7318">
        <f>IF(VLOOKUP(Table7[[#This Row],[Date]],Database!$A:$C,MATCH($C$1,Database!$A$1:$C$1,),)=0,#N/A,VLOOKUP(Table7[[#This Row],[Date]],Database!$A:$C,MATCH($C$1,Database!$A$1:$C$1,),))</f>
        <v/>
      </c>
      <c r="D7318">
        <f>IFERROR(Table7[[#This Row],[United States 10y]]-Table7[[#This Row],[United States 3y]],#N/A)</f>
        <v/>
      </c>
    </row>
    <row r="7319">
      <c r="A7319" s="6">
        <f>Database!$A9404</f>
        <v/>
      </c>
      <c r="B7319">
        <f>IF(VLOOKUP(Table7[[#This Row],[Date]],Database!$A:$C,MATCH($B$1,Database!$A$1:$C$1,),)=0,#N/A,VLOOKUP(Table7[[#This Row],[Date]],Database!$A:$C,MATCH($B$1,Database!$A$1:$C$1,),))</f>
        <v/>
      </c>
      <c r="C7319">
        <f>IF(VLOOKUP(Table7[[#This Row],[Date]],Database!$A:$C,MATCH($C$1,Database!$A$1:$C$1,),)=0,#N/A,VLOOKUP(Table7[[#This Row],[Date]],Database!$A:$C,MATCH($C$1,Database!$A$1:$C$1,),))</f>
        <v/>
      </c>
      <c r="D7319">
        <f>IFERROR(Table7[[#This Row],[United States 10y]]-Table7[[#This Row],[United States 3y]],#N/A)</f>
        <v/>
      </c>
    </row>
    <row r="7320">
      <c r="A7320" s="6">
        <f>Database!$A9405</f>
        <v/>
      </c>
      <c r="B7320">
        <f>IF(VLOOKUP(Table7[[#This Row],[Date]],Database!$A:$C,MATCH($B$1,Database!$A$1:$C$1,),)=0,#N/A,VLOOKUP(Table7[[#This Row],[Date]],Database!$A:$C,MATCH($B$1,Database!$A$1:$C$1,),))</f>
        <v/>
      </c>
      <c r="C7320">
        <f>IF(VLOOKUP(Table7[[#This Row],[Date]],Database!$A:$C,MATCH($C$1,Database!$A$1:$C$1,),)=0,#N/A,VLOOKUP(Table7[[#This Row],[Date]],Database!$A:$C,MATCH($C$1,Database!$A$1:$C$1,),))</f>
        <v/>
      </c>
      <c r="D7320">
        <f>IFERROR(Table7[[#This Row],[United States 10y]]-Table7[[#This Row],[United States 3y]],#N/A)</f>
        <v/>
      </c>
    </row>
    <row r="7321">
      <c r="A7321" s="6">
        <f>Database!$A9406</f>
        <v/>
      </c>
      <c r="B7321">
        <f>IF(VLOOKUP(Table7[[#This Row],[Date]],Database!$A:$C,MATCH($B$1,Database!$A$1:$C$1,),)=0,#N/A,VLOOKUP(Table7[[#This Row],[Date]],Database!$A:$C,MATCH($B$1,Database!$A$1:$C$1,),))</f>
        <v/>
      </c>
      <c r="C7321">
        <f>IF(VLOOKUP(Table7[[#This Row],[Date]],Database!$A:$C,MATCH($C$1,Database!$A$1:$C$1,),)=0,#N/A,VLOOKUP(Table7[[#This Row],[Date]],Database!$A:$C,MATCH($C$1,Database!$A$1:$C$1,),))</f>
        <v/>
      </c>
      <c r="D7321">
        <f>IFERROR(Table7[[#This Row],[United States 10y]]-Table7[[#This Row],[United States 3y]],#N/A)</f>
        <v/>
      </c>
    </row>
    <row r="7322">
      <c r="A7322" s="6">
        <f>Database!$A9407</f>
        <v/>
      </c>
      <c r="B7322">
        <f>IF(VLOOKUP(Table7[[#This Row],[Date]],Database!$A:$C,MATCH($B$1,Database!$A$1:$C$1,),)=0,#N/A,VLOOKUP(Table7[[#This Row],[Date]],Database!$A:$C,MATCH($B$1,Database!$A$1:$C$1,),))</f>
        <v/>
      </c>
      <c r="C7322">
        <f>IF(VLOOKUP(Table7[[#This Row],[Date]],Database!$A:$C,MATCH($C$1,Database!$A$1:$C$1,),)=0,#N/A,VLOOKUP(Table7[[#This Row],[Date]],Database!$A:$C,MATCH($C$1,Database!$A$1:$C$1,),))</f>
        <v/>
      </c>
      <c r="D7322">
        <f>IFERROR(Table7[[#This Row],[United States 10y]]-Table7[[#This Row],[United States 3y]],#N/A)</f>
        <v/>
      </c>
    </row>
    <row r="7323">
      <c r="A7323" s="6">
        <f>Database!$A9408</f>
        <v/>
      </c>
      <c r="B7323">
        <f>IF(VLOOKUP(Table7[[#This Row],[Date]],Database!$A:$C,MATCH($B$1,Database!$A$1:$C$1,),)=0,#N/A,VLOOKUP(Table7[[#This Row],[Date]],Database!$A:$C,MATCH($B$1,Database!$A$1:$C$1,),))</f>
        <v/>
      </c>
      <c r="C7323">
        <f>IF(VLOOKUP(Table7[[#This Row],[Date]],Database!$A:$C,MATCH($C$1,Database!$A$1:$C$1,),)=0,#N/A,VLOOKUP(Table7[[#This Row],[Date]],Database!$A:$C,MATCH($C$1,Database!$A$1:$C$1,),))</f>
        <v/>
      </c>
      <c r="D7323">
        <f>IFERROR(Table7[[#This Row],[United States 10y]]-Table7[[#This Row],[United States 3y]],#N/A)</f>
        <v/>
      </c>
    </row>
    <row r="7324">
      <c r="A7324" s="6">
        <f>Database!$A9409</f>
        <v/>
      </c>
      <c r="B7324">
        <f>IF(VLOOKUP(Table7[[#This Row],[Date]],Database!$A:$C,MATCH($B$1,Database!$A$1:$C$1,),)=0,#N/A,VLOOKUP(Table7[[#This Row],[Date]],Database!$A:$C,MATCH($B$1,Database!$A$1:$C$1,),))</f>
        <v/>
      </c>
      <c r="C7324">
        <f>IF(VLOOKUP(Table7[[#This Row],[Date]],Database!$A:$C,MATCH($C$1,Database!$A$1:$C$1,),)=0,#N/A,VLOOKUP(Table7[[#This Row],[Date]],Database!$A:$C,MATCH($C$1,Database!$A$1:$C$1,),))</f>
        <v/>
      </c>
      <c r="D7324">
        <f>IFERROR(Table7[[#This Row],[United States 10y]]-Table7[[#This Row],[United States 3y]],#N/A)</f>
        <v/>
      </c>
    </row>
    <row r="7325">
      <c r="A7325" s="6">
        <f>Database!$A9410</f>
        <v/>
      </c>
      <c r="B7325">
        <f>IF(VLOOKUP(Table7[[#This Row],[Date]],Database!$A:$C,MATCH($B$1,Database!$A$1:$C$1,),)=0,#N/A,VLOOKUP(Table7[[#This Row],[Date]],Database!$A:$C,MATCH($B$1,Database!$A$1:$C$1,),))</f>
        <v/>
      </c>
      <c r="C7325">
        <f>IF(VLOOKUP(Table7[[#This Row],[Date]],Database!$A:$C,MATCH($C$1,Database!$A$1:$C$1,),)=0,#N/A,VLOOKUP(Table7[[#This Row],[Date]],Database!$A:$C,MATCH($C$1,Database!$A$1:$C$1,),))</f>
        <v/>
      </c>
      <c r="D7325">
        <f>IFERROR(Table7[[#This Row],[United States 10y]]-Table7[[#This Row],[United States 3y]],#N/A)</f>
        <v/>
      </c>
    </row>
    <row r="7326">
      <c r="A7326" s="6">
        <f>Database!$A9411</f>
        <v/>
      </c>
      <c r="B7326">
        <f>IF(VLOOKUP(Table7[[#This Row],[Date]],Database!$A:$C,MATCH($B$1,Database!$A$1:$C$1,),)=0,#N/A,VLOOKUP(Table7[[#This Row],[Date]],Database!$A:$C,MATCH($B$1,Database!$A$1:$C$1,),))</f>
        <v/>
      </c>
      <c r="C7326">
        <f>IF(VLOOKUP(Table7[[#This Row],[Date]],Database!$A:$C,MATCH($C$1,Database!$A$1:$C$1,),)=0,#N/A,VLOOKUP(Table7[[#This Row],[Date]],Database!$A:$C,MATCH($C$1,Database!$A$1:$C$1,),))</f>
        <v/>
      </c>
      <c r="D7326">
        <f>IFERROR(Table7[[#This Row],[United States 10y]]-Table7[[#This Row],[United States 3y]],#N/A)</f>
        <v/>
      </c>
    </row>
    <row r="7327">
      <c r="A7327" s="6">
        <f>Database!$A9412</f>
        <v/>
      </c>
      <c r="B7327">
        <f>IF(VLOOKUP(Table7[[#This Row],[Date]],Database!$A:$C,MATCH($B$1,Database!$A$1:$C$1,),)=0,#N/A,VLOOKUP(Table7[[#This Row],[Date]],Database!$A:$C,MATCH($B$1,Database!$A$1:$C$1,),))</f>
        <v/>
      </c>
      <c r="C7327">
        <f>IF(VLOOKUP(Table7[[#This Row],[Date]],Database!$A:$C,MATCH($C$1,Database!$A$1:$C$1,),)=0,#N/A,VLOOKUP(Table7[[#This Row],[Date]],Database!$A:$C,MATCH($C$1,Database!$A$1:$C$1,),))</f>
        <v/>
      </c>
      <c r="D7327">
        <f>IFERROR(Table7[[#This Row],[United States 10y]]-Table7[[#This Row],[United States 3y]],#N/A)</f>
        <v/>
      </c>
    </row>
    <row r="7328">
      <c r="A7328" s="6">
        <f>Database!$A9413</f>
        <v/>
      </c>
      <c r="B7328">
        <f>IF(VLOOKUP(Table7[[#This Row],[Date]],Database!$A:$C,MATCH($B$1,Database!$A$1:$C$1,),)=0,#N/A,VLOOKUP(Table7[[#This Row],[Date]],Database!$A:$C,MATCH($B$1,Database!$A$1:$C$1,),))</f>
        <v/>
      </c>
      <c r="C7328">
        <f>IF(VLOOKUP(Table7[[#This Row],[Date]],Database!$A:$C,MATCH($C$1,Database!$A$1:$C$1,),)=0,#N/A,VLOOKUP(Table7[[#This Row],[Date]],Database!$A:$C,MATCH($C$1,Database!$A$1:$C$1,),))</f>
        <v/>
      </c>
      <c r="D7328">
        <f>IFERROR(Table7[[#This Row],[United States 10y]]-Table7[[#This Row],[United States 3y]],#N/A)</f>
        <v/>
      </c>
    </row>
    <row r="7329">
      <c r="A7329" s="6">
        <f>Database!$A9414</f>
        <v/>
      </c>
      <c r="B7329">
        <f>IF(VLOOKUP(Table7[[#This Row],[Date]],Database!$A:$C,MATCH($B$1,Database!$A$1:$C$1,),)=0,#N/A,VLOOKUP(Table7[[#This Row],[Date]],Database!$A:$C,MATCH($B$1,Database!$A$1:$C$1,),))</f>
        <v/>
      </c>
      <c r="C7329">
        <f>IF(VLOOKUP(Table7[[#This Row],[Date]],Database!$A:$C,MATCH($C$1,Database!$A$1:$C$1,),)=0,#N/A,VLOOKUP(Table7[[#This Row],[Date]],Database!$A:$C,MATCH($C$1,Database!$A$1:$C$1,),))</f>
        <v/>
      </c>
      <c r="D7329">
        <f>IFERROR(Table7[[#This Row],[United States 10y]]-Table7[[#This Row],[United States 3y]],#N/A)</f>
        <v/>
      </c>
    </row>
    <row r="7330">
      <c r="A7330" s="6">
        <f>Database!$A9415</f>
        <v/>
      </c>
      <c r="B7330">
        <f>IF(VLOOKUP(Table7[[#This Row],[Date]],Database!$A:$C,MATCH($B$1,Database!$A$1:$C$1,),)=0,#N/A,VLOOKUP(Table7[[#This Row],[Date]],Database!$A:$C,MATCH($B$1,Database!$A$1:$C$1,),))</f>
        <v/>
      </c>
      <c r="C7330">
        <f>IF(VLOOKUP(Table7[[#This Row],[Date]],Database!$A:$C,MATCH($C$1,Database!$A$1:$C$1,),)=0,#N/A,VLOOKUP(Table7[[#This Row],[Date]],Database!$A:$C,MATCH($C$1,Database!$A$1:$C$1,),))</f>
        <v/>
      </c>
      <c r="D7330">
        <f>IFERROR(Table7[[#This Row],[United States 10y]]-Table7[[#This Row],[United States 3y]],#N/A)</f>
        <v/>
      </c>
    </row>
    <row r="7331">
      <c r="A7331" s="6">
        <f>Database!$A9416</f>
        <v/>
      </c>
      <c r="B7331">
        <f>IF(VLOOKUP(Table7[[#This Row],[Date]],Database!$A:$C,MATCH($B$1,Database!$A$1:$C$1,),)=0,#N/A,VLOOKUP(Table7[[#This Row],[Date]],Database!$A:$C,MATCH($B$1,Database!$A$1:$C$1,),))</f>
        <v/>
      </c>
      <c r="C7331">
        <f>IF(VLOOKUP(Table7[[#This Row],[Date]],Database!$A:$C,MATCH($C$1,Database!$A$1:$C$1,),)=0,#N/A,VLOOKUP(Table7[[#This Row],[Date]],Database!$A:$C,MATCH($C$1,Database!$A$1:$C$1,),))</f>
        <v/>
      </c>
      <c r="D7331">
        <f>IFERROR(Table7[[#This Row],[United States 10y]]-Table7[[#This Row],[United States 3y]],#N/A)</f>
        <v/>
      </c>
    </row>
    <row r="7332">
      <c r="A7332" s="6">
        <f>Database!$A9417</f>
        <v/>
      </c>
      <c r="B7332">
        <f>IF(VLOOKUP(Table7[[#This Row],[Date]],Database!$A:$C,MATCH($B$1,Database!$A$1:$C$1,),)=0,#N/A,VLOOKUP(Table7[[#This Row],[Date]],Database!$A:$C,MATCH($B$1,Database!$A$1:$C$1,),))</f>
        <v/>
      </c>
      <c r="C7332">
        <f>IF(VLOOKUP(Table7[[#This Row],[Date]],Database!$A:$C,MATCH($C$1,Database!$A$1:$C$1,),)=0,#N/A,VLOOKUP(Table7[[#This Row],[Date]],Database!$A:$C,MATCH($C$1,Database!$A$1:$C$1,),))</f>
        <v/>
      </c>
      <c r="D7332">
        <f>IFERROR(Table7[[#This Row],[United States 10y]]-Table7[[#This Row],[United States 3y]],#N/A)</f>
        <v/>
      </c>
    </row>
    <row r="7333">
      <c r="A7333" s="6">
        <f>Database!$A9418</f>
        <v/>
      </c>
      <c r="B7333">
        <f>IF(VLOOKUP(Table7[[#This Row],[Date]],Database!$A:$C,MATCH($B$1,Database!$A$1:$C$1,),)=0,#N/A,VLOOKUP(Table7[[#This Row],[Date]],Database!$A:$C,MATCH($B$1,Database!$A$1:$C$1,),))</f>
        <v/>
      </c>
      <c r="C7333">
        <f>IF(VLOOKUP(Table7[[#This Row],[Date]],Database!$A:$C,MATCH($C$1,Database!$A$1:$C$1,),)=0,#N/A,VLOOKUP(Table7[[#This Row],[Date]],Database!$A:$C,MATCH($C$1,Database!$A$1:$C$1,),))</f>
        <v/>
      </c>
      <c r="D7333">
        <f>IFERROR(Table7[[#This Row],[United States 10y]]-Table7[[#This Row],[United States 3y]],#N/A)</f>
        <v/>
      </c>
    </row>
    <row r="7334">
      <c r="A7334" s="6">
        <f>Database!$A9419</f>
        <v/>
      </c>
      <c r="B7334">
        <f>IF(VLOOKUP(Table7[[#This Row],[Date]],Database!$A:$C,MATCH($B$1,Database!$A$1:$C$1,),)=0,#N/A,VLOOKUP(Table7[[#This Row],[Date]],Database!$A:$C,MATCH($B$1,Database!$A$1:$C$1,),))</f>
        <v/>
      </c>
      <c r="C7334">
        <f>IF(VLOOKUP(Table7[[#This Row],[Date]],Database!$A:$C,MATCH($C$1,Database!$A$1:$C$1,),)=0,#N/A,VLOOKUP(Table7[[#This Row],[Date]],Database!$A:$C,MATCH($C$1,Database!$A$1:$C$1,),))</f>
        <v/>
      </c>
      <c r="D7334">
        <f>IFERROR(Table7[[#This Row],[United States 10y]]-Table7[[#This Row],[United States 3y]],#N/A)</f>
        <v/>
      </c>
    </row>
    <row r="7335">
      <c r="A7335" s="6">
        <f>Database!$A9420</f>
        <v/>
      </c>
      <c r="B7335">
        <f>IF(VLOOKUP(Table7[[#This Row],[Date]],Database!$A:$C,MATCH($B$1,Database!$A$1:$C$1,),)=0,#N/A,VLOOKUP(Table7[[#This Row],[Date]],Database!$A:$C,MATCH($B$1,Database!$A$1:$C$1,),))</f>
        <v/>
      </c>
      <c r="C7335">
        <f>IF(VLOOKUP(Table7[[#This Row],[Date]],Database!$A:$C,MATCH($C$1,Database!$A$1:$C$1,),)=0,#N/A,VLOOKUP(Table7[[#This Row],[Date]],Database!$A:$C,MATCH($C$1,Database!$A$1:$C$1,),))</f>
        <v/>
      </c>
      <c r="D7335">
        <f>IFERROR(Table7[[#This Row],[United States 10y]]-Table7[[#This Row],[United States 3y]],#N/A)</f>
        <v/>
      </c>
    </row>
    <row r="7336">
      <c r="A7336" s="6">
        <f>Database!$A9421</f>
        <v/>
      </c>
      <c r="B7336">
        <f>IF(VLOOKUP(Table7[[#This Row],[Date]],Database!$A:$C,MATCH($B$1,Database!$A$1:$C$1,),)=0,#N/A,VLOOKUP(Table7[[#This Row],[Date]],Database!$A:$C,MATCH($B$1,Database!$A$1:$C$1,),))</f>
        <v/>
      </c>
      <c r="C7336">
        <f>IF(VLOOKUP(Table7[[#This Row],[Date]],Database!$A:$C,MATCH($C$1,Database!$A$1:$C$1,),)=0,#N/A,VLOOKUP(Table7[[#This Row],[Date]],Database!$A:$C,MATCH($C$1,Database!$A$1:$C$1,),))</f>
        <v/>
      </c>
      <c r="D7336">
        <f>IFERROR(Table7[[#This Row],[United States 10y]]-Table7[[#This Row],[United States 3y]],#N/A)</f>
        <v/>
      </c>
    </row>
    <row r="7337">
      <c r="A7337" s="6">
        <f>Database!$A9422</f>
        <v/>
      </c>
      <c r="B7337">
        <f>IF(VLOOKUP(Table7[[#This Row],[Date]],Database!$A:$C,MATCH($B$1,Database!$A$1:$C$1,),)=0,#N/A,VLOOKUP(Table7[[#This Row],[Date]],Database!$A:$C,MATCH($B$1,Database!$A$1:$C$1,),))</f>
        <v/>
      </c>
      <c r="C7337">
        <f>IF(VLOOKUP(Table7[[#This Row],[Date]],Database!$A:$C,MATCH($C$1,Database!$A$1:$C$1,),)=0,#N/A,VLOOKUP(Table7[[#This Row],[Date]],Database!$A:$C,MATCH($C$1,Database!$A$1:$C$1,),))</f>
        <v/>
      </c>
      <c r="D7337">
        <f>IFERROR(Table7[[#This Row],[United States 10y]]-Table7[[#This Row],[United States 3y]],#N/A)</f>
        <v/>
      </c>
    </row>
    <row r="7338">
      <c r="A7338" s="6">
        <f>Database!$A9423</f>
        <v/>
      </c>
      <c r="B7338">
        <f>IF(VLOOKUP(Table7[[#This Row],[Date]],Database!$A:$C,MATCH($B$1,Database!$A$1:$C$1,),)=0,#N/A,VLOOKUP(Table7[[#This Row],[Date]],Database!$A:$C,MATCH($B$1,Database!$A$1:$C$1,),))</f>
        <v/>
      </c>
      <c r="C7338">
        <f>IF(VLOOKUP(Table7[[#This Row],[Date]],Database!$A:$C,MATCH($C$1,Database!$A$1:$C$1,),)=0,#N/A,VLOOKUP(Table7[[#This Row],[Date]],Database!$A:$C,MATCH($C$1,Database!$A$1:$C$1,),))</f>
        <v/>
      </c>
      <c r="D7338">
        <f>IFERROR(Table7[[#This Row],[United States 10y]]-Table7[[#This Row],[United States 3y]],#N/A)</f>
        <v/>
      </c>
    </row>
    <row r="7339">
      <c r="A7339" s="6">
        <f>Database!$A9424</f>
        <v/>
      </c>
      <c r="B7339">
        <f>IF(VLOOKUP(Table7[[#This Row],[Date]],Database!$A:$C,MATCH($B$1,Database!$A$1:$C$1,),)=0,#N/A,VLOOKUP(Table7[[#This Row],[Date]],Database!$A:$C,MATCH($B$1,Database!$A$1:$C$1,),))</f>
        <v/>
      </c>
      <c r="C7339">
        <f>IF(VLOOKUP(Table7[[#This Row],[Date]],Database!$A:$C,MATCH($C$1,Database!$A$1:$C$1,),)=0,#N/A,VLOOKUP(Table7[[#This Row],[Date]],Database!$A:$C,MATCH($C$1,Database!$A$1:$C$1,),))</f>
        <v/>
      </c>
      <c r="D7339">
        <f>IFERROR(Table7[[#This Row],[United States 10y]]-Table7[[#This Row],[United States 3y]],#N/A)</f>
        <v/>
      </c>
    </row>
    <row r="7340">
      <c r="A7340" s="6">
        <f>Database!$A9425</f>
        <v/>
      </c>
      <c r="B7340">
        <f>IF(VLOOKUP(Table7[[#This Row],[Date]],Database!$A:$C,MATCH($B$1,Database!$A$1:$C$1,),)=0,#N/A,VLOOKUP(Table7[[#This Row],[Date]],Database!$A:$C,MATCH($B$1,Database!$A$1:$C$1,),))</f>
        <v/>
      </c>
      <c r="C7340">
        <f>IF(VLOOKUP(Table7[[#This Row],[Date]],Database!$A:$C,MATCH($C$1,Database!$A$1:$C$1,),)=0,#N/A,VLOOKUP(Table7[[#This Row],[Date]],Database!$A:$C,MATCH($C$1,Database!$A$1:$C$1,),))</f>
        <v/>
      </c>
      <c r="D7340">
        <f>IFERROR(Table7[[#This Row],[United States 10y]]-Table7[[#This Row],[United States 3y]],#N/A)</f>
        <v/>
      </c>
    </row>
    <row r="7341">
      <c r="A7341" s="6">
        <f>Database!$A9426</f>
        <v/>
      </c>
      <c r="B7341">
        <f>IF(VLOOKUP(Table7[[#This Row],[Date]],Database!$A:$C,MATCH($B$1,Database!$A$1:$C$1,),)=0,#N/A,VLOOKUP(Table7[[#This Row],[Date]],Database!$A:$C,MATCH($B$1,Database!$A$1:$C$1,),))</f>
        <v/>
      </c>
      <c r="C7341">
        <f>IF(VLOOKUP(Table7[[#This Row],[Date]],Database!$A:$C,MATCH($C$1,Database!$A$1:$C$1,),)=0,#N/A,VLOOKUP(Table7[[#This Row],[Date]],Database!$A:$C,MATCH($C$1,Database!$A$1:$C$1,),))</f>
        <v/>
      </c>
      <c r="D7341">
        <f>IFERROR(Table7[[#This Row],[United States 10y]]-Table7[[#This Row],[United States 3y]],#N/A)</f>
        <v/>
      </c>
    </row>
    <row r="7342">
      <c r="A7342" s="6">
        <f>Database!$A9427</f>
        <v/>
      </c>
      <c r="B7342">
        <f>IF(VLOOKUP(Table7[[#This Row],[Date]],Database!$A:$C,MATCH($B$1,Database!$A$1:$C$1,),)=0,#N/A,VLOOKUP(Table7[[#This Row],[Date]],Database!$A:$C,MATCH($B$1,Database!$A$1:$C$1,),))</f>
        <v/>
      </c>
      <c r="C7342">
        <f>IF(VLOOKUP(Table7[[#This Row],[Date]],Database!$A:$C,MATCH($C$1,Database!$A$1:$C$1,),)=0,#N/A,VLOOKUP(Table7[[#This Row],[Date]],Database!$A:$C,MATCH($C$1,Database!$A$1:$C$1,),))</f>
        <v/>
      </c>
      <c r="D7342">
        <f>IFERROR(Table7[[#This Row],[United States 10y]]-Table7[[#This Row],[United States 3y]],#N/A)</f>
        <v/>
      </c>
    </row>
    <row r="7343">
      <c r="A7343" s="6">
        <f>Database!$A9428</f>
        <v/>
      </c>
      <c r="B7343">
        <f>IF(VLOOKUP(Table7[[#This Row],[Date]],Database!$A:$C,MATCH($B$1,Database!$A$1:$C$1,),)=0,#N/A,VLOOKUP(Table7[[#This Row],[Date]],Database!$A:$C,MATCH($B$1,Database!$A$1:$C$1,),))</f>
        <v/>
      </c>
      <c r="C7343">
        <f>IF(VLOOKUP(Table7[[#This Row],[Date]],Database!$A:$C,MATCH($C$1,Database!$A$1:$C$1,),)=0,#N/A,VLOOKUP(Table7[[#This Row],[Date]],Database!$A:$C,MATCH($C$1,Database!$A$1:$C$1,),))</f>
        <v/>
      </c>
      <c r="D7343">
        <f>IFERROR(Table7[[#This Row],[United States 10y]]-Table7[[#This Row],[United States 3y]],#N/A)</f>
        <v/>
      </c>
    </row>
    <row r="7344">
      <c r="A7344" s="6">
        <f>Database!$A9429</f>
        <v/>
      </c>
      <c r="B7344">
        <f>IF(VLOOKUP(Table7[[#This Row],[Date]],Database!$A:$C,MATCH($B$1,Database!$A$1:$C$1,),)=0,#N/A,VLOOKUP(Table7[[#This Row],[Date]],Database!$A:$C,MATCH($B$1,Database!$A$1:$C$1,),))</f>
        <v/>
      </c>
      <c r="C7344">
        <f>IF(VLOOKUP(Table7[[#This Row],[Date]],Database!$A:$C,MATCH($C$1,Database!$A$1:$C$1,),)=0,#N/A,VLOOKUP(Table7[[#This Row],[Date]],Database!$A:$C,MATCH($C$1,Database!$A$1:$C$1,),))</f>
        <v/>
      </c>
      <c r="D7344">
        <f>IFERROR(Table7[[#This Row],[United States 10y]]-Table7[[#This Row],[United States 3y]],#N/A)</f>
        <v/>
      </c>
    </row>
    <row r="7345">
      <c r="A7345" s="6">
        <f>Database!$A9430</f>
        <v/>
      </c>
      <c r="B7345">
        <f>IF(VLOOKUP(Table7[[#This Row],[Date]],Database!$A:$C,MATCH($B$1,Database!$A$1:$C$1,),)=0,#N/A,VLOOKUP(Table7[[#This Row],[Date]],Database!$A:$C,MATCH($B$1,Database!$A$1:$C$1,),))</f>
        <v/>
      </c>
      <c r="C7345">
        <f>IF(VLOOKUP(Table7[[#This Row],[Date]],Database!$A:$C,MATCH($C$1,Database!$A$1:$C$1,),)=0,#N/A,VLOOKUP(Table7[[#This Row],[Date]],Database!$A:$C,MATCH($C$1,Database!$A$1:$C$1,),))</f>
        <v/>
      </c>
      <c r="D7345">
        <f>IFERROR(Table7[[#This Row],[United States 10y]]-Table7[[#This Row],[United States 3y]],#N/A)</f>
        <v/>
      </c>
    </row>
    <row r="7346">
      <c r="A7346" s="6">
        <f>Database!$A9431</f>
        <v/>
      </c>
      <c r="B7346">
        <f>IF(VLOOKUP(Table7[[#This Row],[Date]],Database!$A:$C,MATCH($B$1,Database!$A$1:$C$1,),)=0,#N/A,VLOOKUP(Table7[[#This Row],[Date]],Database!$A:$C,MATCH($B$1,Database!$A$1:$C$1,),))</f>
        <v/>
      </c>
      <c r="C7346">
        <f>IF(VLOOKUP(Table7[[#This Row],[Date]],Database!$A:$C,MATCH($C$1,Database!$A$1:$C$1,),)=0,#N/A,VLOOKUP(Table7[[#This Row],[Date]],Database!$A:$C,MATCH($C$1,Database!$A$1:$C$1,),))</f>
        <v/>
      </c>
      <c r="D7346">
        <f>IFERROR(Table7[[#This Row],[United States 10y]]-Table7[[#This Row],[United States 3y]],#N/A)</f>
        <v/>
      </c>
    </row>
    <row r="7347">
      <c r="A7347" s="6">
        <f>Database!$A9432</f>
        <v/>
      </c>
      <c r="B7347">
        <f>IF(VLOOKUP(Table7[[#This Row],[Date]],Database!$A:$C,MATCH($B$1,Database!$A$1:$C$1,),)=0,#N/A,VLOOKUP(Table7[[#This Row],[Date]],Database!$A:$C,MATCH($B$1,Database!$A$1:$C$1,),))</f>
        <v/>
      </c>
      <c r="C7347">
        <f>IF(VLOOKUP(Table7[[#This Row],[Date]],Database!$A:$C,MATCH($C$1,Database!$A$1:$C$1,),)=0,#N/A,VLOOKUP(Table7[[#This Row],[Date]],Database!$A:$C,MATCH($C$1,Database!$A$1:$C$1,),))</f>
        <v/>
      </c>
      <c r="D7347">
        <f>IFERROR(Table7[[#This Row],[United States 10y]]-Table7[[#This Row],[United States 3y]],#N/A)</f>
        <v/>
      </c>
    </row>
    <row r="7348">
      <c r="A7348" s="6">
        <f>Database!$A9433</f>
        <v/>
      </c>
      <c r="B7348">
        <f>IF(VLOOKUP(Table7[[#This Row],[Date]],Database!$A:$C,MATCH($B$1,Database!$A$1:$C$1,),)=0,#N/A,VLOOKUP(Table7[[#This Row],[Date]],Database!$A:$C,MATCH($B$1,Database!$A$1:$C$1,),))</f>
        <v/>
      </c>
      <c r="C7348">
        <f>IF(VLOOKUP(Table7[[#This Row],[Date]],Database!$A:$C,MATCH($C$1,Database!$A$1:$C$1,),)=0,#N/A,VLOOKUP(Table7[[#This Row],[Date]],Database!$A:$C,MATCH($C$1,Database!$A$1:$C$1,),))</f>
        <v/>
      </c>
      <c r="D7348">
        <f>IFERROR(Table7[[#This Row],[United States 10y]]-Table7[[#This Row],[United States 3y]],#N/A)</f>
        <v/>
      </c>
    </row>
    <row r="7349">
      <c r="A7349" s="6">
        <f>Database!$A9434</f>
        <v/>
      </c>
      <c r="B7349">
        <f>IF(VLOOKUP(Table7[[#This Row],[Date]],Database!$A:$C,MATCH($B$1,Database!$A$1:$C$1,),)=0,#N/A,VLOOKUP(Table7[[#This Row],[Date]],Database!$A:$C,MATCH($B$1,Database!$A$1:$C$1,),))</f>
        <v/>
      </c>
      <c r="C7349">
        <f>IF(VLOOKUP(Table7[[#This Row],[Date]],Database!$A:$C,MATCH($C$1,Database!$A$1:$C$1,),)=0,#N/A,VLOOKUP(Table7[[#This Row],[Date]],Database!$A:$C,MATCH($C$1,Database!$A$1:$C$1,),))</f>
        <v/>
      </c>
      <c r="D7349">
        <f>IFERROR(Table7[[#This Row],[United States 10y]]-Table7[[#This Row],[United States 3y]],#N/A)</f>
        <v/>
      </c>
    </row>
    <row r="7350">
      <c r="A7350" s="6">
        <f>Database!$A9435</f>
        <v/>
      </c>
      <c r="B7350">
        <f>IF(VLOOKUP(Table7[[#This Row],[Date]],Database!$A:$C,MATCH($B$1,Database!$A$1:$C$1,),)=0,#N/A,VLOOKUP(Table7[[#This Row],[Date]],Database!$A:$C,MATCH($B$1,Database!$A$1:$C$1,),))</f>
        <v/>
      </c>
      <c r="C7350">
        <f>IF(VLOOKUP(Table7[[#This Row],[Date]],Database!$A:$C,MATCH($C$1,Database!$A$1:$C$1,),)=0,#N/A,VLOOKUP(Table7[[#This Row],[Date]],Database!$A:$C,MATCH($C$1,Database!$A$1:$C$1,),))</f>
        <v/>
      </c>
      <c r="D7350">
        <f>IFERROR(Table7[[#This Row],[United States 10y]]-Table7[[#This Row],[United States 3y]],#N/A)</f>
        <v/>
      </c>
    </row>
    <row r="7351">
      <c r="A7351" s="6">
        <f>Database!$A9436</f>
        <v/>
      </c>
      <c r="B7351">
        <f>IF(VLOOKUP(Table7[[#This Row],[Date]],Database!$A:$C,MATCH($B$1,Database!$A$1:$C$1,),)=0,#N/A,VLOOKUP(Table7[[#This Row],[Date]],Database!$A:$C,MATCH($B$1,Database!$A$1:$C$1,),))</f>
        <v/>
      </c>
      <c r="C7351">
        <f>IF(VLOOKUP(Table7[[#This Row],[Date]],Database!$A:$C,MATCH($C$1,Database!$A$1:$C$1,),)=0,#N/A,VLOOKUP(Table7[[#This Row],[Date]],Database!$A:$C,MATCH($C$1,Database!$A$1:$C$1,),))</f>
        <v/>
      </c>
      <c r="D7351">
        <f>IFERROR(Table7[[#This Row],[United States 10y]]-Table7[[#This Row],[United States 3y]],#N/A)</f>
        <v/>
      </c>
    </row>
    <row r="7352">
      <c r="A7352" s="6">
        <f>Database!$A9437</f>
        <v/>
      </c>
      <c r="B7352">
        <f>IF(VLOOKUP(Table7[[#This Row],[Date]],Database!$A:$C,MATCH($B$1,Database!$A$1:$C$1,),)=0,#N/A,VLOOKUP(Table7[[#This Row],[Date]],Database!$A:$C,MATCH($B$1,Database!$A$1:$C$1,),))</f>
        <v/>
      </c>
      <c r="C7352">
        <f>IF(VLOOKUP(Table7[[#This Row],[Date]],Database!$A:$C,MATCH($C$1,Database!$A$1:$C$1,),)=0,#N/A,VLOOKUP(Table7[[#This Row],[Date]],Database!$A:$C,MATCH($C$1,Database!$A$1:$C$1,),))</f>
        <v/>
      </c>
      <c r="D7352">
        <f>IFERROR(Table7[[#This Row],[United States 10y]]-Table7[[#This Row],[United States 3y]],#N/A)</f>
        <v/>
      </c>
    </row>
    <row r="7353">
      <c r="A7353" s="6">
        <f>Database!$A9438</f>
        <v/>
      </c>
      <c r="B7353">
        <f>IF(VLOOKUP(Table7[[#This Row],[Date]],Database!$A:$C,MATCH($B$1,Database!$A$1:$C$1,),)=0,#N/A,VLOOKUP(Table7[[#This Row],[Date]],Database!$A:$C,MATCH($B$1,Database!$A$1:$C$1,),))</f>
        <v/>
      </c>
      <c r="C7353">
        <f>IF(VLOOKUP(Table7[[#This Row],[Date]],Database!$A:$C,MATCH($C$1,Database!$A$1:$C$1,),)=0,#N/A,VLOOKUP(Table7[[#This Row],[Date]],Database!$A:$C,MATCH($C$1,Database!$A$1:$C$1,),))</f>
        <v/>
      </c>
      <c r="D7353">
        <f>IFERROR(Table7[[#This Row],[United States 10y]]-Table7[[#This Row],[United States 3y]],#N/A)</f>
        <v/>
      </c>
    </row>
    <row r="7354">
      <c r="A7354" s="6">
        <f>Database!$A9439</f>
        <v/>
      </c>
      <c r="B7354">
        <f>IF(VLOOKUP(Table7[[#This Row],[Date]],Database!$A:$C,MATCH($B$1,Database!$A$1:$C$1,),)=0,#N/A,VLOOKUP(Table7[[#This Row],[Date]],Database!$A:$C,MATCH($B$1,Database!$A$1:$C$1,),))</f>
        <v/>
      </c>
      <c r="C7354">
        <f>IF(VLOOKUP(Table7[[#This Row],[Date]],Database!$A:$C,MATCH($C$1,Database!$A$1:$C$1,),)=0,#N/A,VLOOKUP(Table7[[#This Row],[Date]],Database!$A:$C,MATCH($C$1,Database!$A$1:$C$1,),))</f>
        <v/>
      </c>
      <c r="D7354">
        <f>IFERROR(Table7[[#This Row],[United States 10y]]-Table7[[#This Row],[United States 3y]],#N/A)</f>
        <v/>
      </c>
    </row>
    <row r="7355">
      <c r="A7355" s="6">
        <f>Database!$A9440</f>
        <v/>
      </c>
      <c r="B7355">
        <f>IF(VLOOKUP(Table7[[#This Row],[Date]],Database!$A:$C,MATCH($B$1,Database!$A$1:$C$1,),)=0,#N/A,VLOOKUP(Table7[[#This Row],[Date]],Database!$A:$C,MATCH($B$1,Database!$A$1:$C$1,),))</f>
        <v/>
      </c>
      <c r="C7355">
        <f>IF(VLOOKUP(Table7[[#This Row],[Date]],Database!$A:$C,MATCH($C$1,Database!$A$1:$C$1,),)=0,#N/A,VLOOKUP(Table7[[#This Row],[Date]],Database!$A:$C,MATCH($C$1,Database!$A$1:$C$1,),))</f>
        <v/>
      </c>
      <c r="D7355">
        <f>IFERROR(Table7[[#This Row],[United States 10y]]-Table7[[#This Row],[United States 3y]],#N/A)</f>
        <v/>
      </c>
    </row>
    <row r="7356">
      <c r="A7356" s="6">
        <f>Database!$A9441</f>
        <v/>
      </c>
      <c r="B7356">
        <f>IF(VLOOKUP(Table7[[#This Row],[Date]],Database!$A:$C,MATCH($B$1,Database!$A$1:$C$1,),)=0,#N/A,VLOOKUP(Table7[[#This Row],[Date]],Database!$A:$C,MATCH($B$1,Database!$A$1:$C$1,),))</f>
        <v/>
      </c>
      <c r="C7356">
        <f>IF(VLOOKUP(Table7[[#This Row],[Date]],Database!$A:$C,MATCH($C$1,Database!$A$1:$C$1,),)=0,#N/A,VLOOKUP(Table7[[#This Row],[Date]],Database!$A:$C,MATCH($C$1,Database!$A$1:$C$1,),))</f>
        <v/>
      </c>
      <c r="D7356">
        <f>IFERROR(Table7[[#This Row],[United States 10y]]-Table7[[#This Row],[United States 3y]],#N/A)</f>
        <v/>
      </c>
    </row>
    <row r="7357">
      <c r="A7357" s="6">
        <f>Database!$A9442</f>
        <v/>
      </c>
      <c r="B7357">
        <f>IF(VLOOKUP(Table7[[#This Row],[Date]],Database!$A:$C,MATCH($B$1,Database!$A$1:$C$1,),)=0,#N/A,VLOOKUP(Table7[[#This Row],[Date]],Database!$A:$C,MATCH($B$1,Database!$A$1:$C$1,),))</f>
        <v/>
      </c>
      <c r="C7357">
        <f>IF(VLOOKUP(Table7[[#This Row],[Date]],Database!$A:$C,MATCH($C$1,Database!$A$1:$C$1,),)=0,#N/A,VLOOKUP(Table7[[#This Row],[Date]],Database!$A:$C,MATCH($C$1,Database!$A$1:$C$1,),))</f>
        <v/>
      </c>
      <c r="D7357">
        <f>IFERROR(Table7[[#This Row],[United States 10y]]-Table7[[#This Row],[United States 3y]],#N/A)</f>
        <v/>
      </c>
    </row>
    <row r="7358">
      <c r="A7358" s="6">
        <f>Database!$A9443</f>
        <v/>
      </c>
      <c r="B7358">
        <f>IF(VLOOKUP(Table7[[#This Row],[Date]],Database!$A:$C,MATCH($B$1,Database!$A$1:$C$1,),)=0,#N/A,VLOOKUP(Table7[[#This Row],[Date]],Database!$A:$C,MATCH($B$1,Database!$A$1:$C$1,),))</f>
        <v/>
      </c>
      <c r="C7358">
        <f>IF(VLOOKUP(Table7[[#This Row],[Date]],Database!$A:$C,MATCH($C$1,Database!$A$1:$C$1,),)=0,#N/A,VLOOKUP(Table7[[#This Row],[Date]],Database!$A:$C,MATCH($C$1,Database!$A$1:$C$1,),))</f>
        <v/>
      </c>
      <c r="D7358">
        <f>IFERROR(Table7[[#This Row],[United States 10y]]-Table7[[#This Row],[United States 3y]],#N/A)</f>
        <v/>
      </c>
    </row>
    <row r="7359">
      <c r="A7359" s="6">
        <f>Database!$A9444</f>
        <v/>
      </c>
      <c r="B7359">
        <f>IF(VLOOKUP(Table7[[#This Row],[Date]],Database!$A:$C,MATCH($B$1,Database!$A$1:$C$1,),)=0,#N/A,VLOOKUP(Table7[[#This Row],[Date]],Database!$A:$C,MATCH($B$1,Database!$A$1:$C$1,),))</f>
        <v/>
      </c>
      <c r="C7359">
        <f>IF(VLOOKUP(Table7[[#This Row],[Date]],Database!$A:$C,MATCH($C$1,Database!$A$1:$C$1,),)=0,#N/A,VLOOKUP(Table7[[#This Row],[Date]],Database!$A:$C,MATCH($C$1,Database!$A$1:$C$1,),))</f>
        <v/>
      </c>
      <c r="D7359">
        <f>IFERROR(Table7[[#This Row],[United States 10y]]-Table7[[#This Row],[United States 3y]],#N/A)</f>
        <v/>
      </c>
    </row>
    <row r="7360">
      <c r="A7360" s="6">
        <f>Database!$A9445</f>
        <v/>
      </c>
      <c r="B7360">
        <f>IF(VLOOKUP(Table7[[#This Row],[Date]],Database!$A:$C,MATCH($B$1,Database!$A$1:$C$1,),)=0,#N/A,VLOOKUP(Table7[[#This Row],[Date]],Database!$A:$C,MATCH($B$1,Database!$A$1:$C$1,),))</f>
        <v/>
      </c>
      <c r="C7360">
        <f>IF(VLOOKUP(Table7[[#This Row],[Date]],Database!$A:$C,MATCH($C$1,Database!$A$1:$C$1,),)=0,#N/A,VLOOKUP(Table7[[#This Row],[Date]],Database!$A:$C,MATCH($C$1,Database!$A$1:$C$1,),))</f>
        <v/>
      </c>
      <c r="D7360">
        <f>IFERROR(Table7[[#This Row],[United States 10y]]-Table7[[#This Row],[United States 3y]],#N/A)</f>
        <v/>
      </c>
    </row>
    <row r="7361">
      <c r="A7361" s="6">
        <f>Database!$A9446</f>
        <v/>
      </c>
      <c r="B7361">
        <f>IF(VLOOKUP(Table7[[#This Row],[Date]],Database!$A:$C,MATCH($B$1,Database!$A$1:$C$1,),)=0,#N/A,VLOOKUP(Table7[[#This Row],[Date]],Database!$A:$C,MATCH($B$1,Database!$A$1:$C$1,),))</f>
        <v/>
      </c>
      <c r="C7361">
        <f>IF(VLOOKUP(Table7[[#This Row],[Date]],Database!$A:$C,MATCH($C$1,Database!$A$1:$C$1,),)=0,#N/A,VLOOKUP(Table7[[#This Row],[Date]],Database!$A:$C,MATCH($C$1,Database!$A$1:$C$1,),))</f>
        <v/>
      </c>
      <c r="D7361">
        <f>IFERROR(Table7[[#This Row],[United States 10y]]-Table7[[#This Row],[United States 3y]],#N/A)</f>
        <v/>
      </c>
    </row>
    <row r="7362">
      <c r="A7362" s="6">
        <f>Database!$A9447</f>
        <v/>
      </c>
      <c r="B7362">
        <f>IF(VLOOKUP(Table7[[#This Row],[Date]],Database!$A:$C,MATCH($B$1,Database!$A$1:$C$1,),)=0,#N/A,VLOOKUP(Table7[[#This Row],[Date]],Database!$A:$C,MATCH($B$1,Database!$A$1:$C$1,),))</f>
        <v/>
      </c>
      <c r="C7362">
        <f>IF(VLOOKUP(Table7[[#This Row],[Date]],Database!$A:$C,MATCH($C$1,Database!$A$1:$C$1,),)=0,#N/A,VLOOKUP(Table7[[#This Row],[Date]],Database!$A:$C,MATCH($C$1,Database!$A$1:$C$1,),))</f>
        <v/>
      </c>
      <c r="D7362">
        <f>IFERROR(Table7[[#This Row],[United States 10y]]-Table7[[#This Row],[United States 3y]],#N/A)</f>
        <v/>
      </c>
    </row>
    <row r="7363">
      <c r="A7363" s="6">
        <f>Database!$A9448</f>
        <v/>
      </c>
      <c r="B7363">
        <f>IF(VLOOKUP(Table7[[#This Row],[Date]],Database!$A:$C,MATCH($B$1,Database!$A$1:$C$1,),)=0,#N/A,VLOOKUP(Table7[[#This Row],[Date]],Database!$A:$C,MATCH($B$1,Database!$A$1:$C$1,),))</f>
        <v/>
      </c>
      <c r="C7363">
        <f>IF(VLOOKUP(Table7[[#This Row],[Date]],Database!$A:$C,MATCH($C$1,Database!$A$1:$C$1,),)=0,#N/A,VLOOKUP(Table7[[#This Row],[Date]],Database!$A:$C,MATCH($C$1,Database!$A$1:$C$1,),))</f>
        <v/>
      </c>
      <c r="D7363">
        <f>IFERROR(Table7[[#This Row],[United States 10y]]-Table7[[#This Row],[United States 3y]],#N/A)</f>
        <v/>
      </c>
    </row>
    <row r="7364">
      <c r="A7364" s="6">
        <f>Database!$A9449</f>
        <v/>
      </c>
      <c r="B7364">
        <f>IF(VLOOKUP(Table7[[#This Row],[Date]],Database!$A:$C,MATCH($B$1,Database!$A$1:$C$1,),)=0,#N/A,VLOOKUP(Table7[[#This Row],[Date]],Database!$A:$C,MATCH($B$1,Database!$A$1:$C$1,),))</f>
        <v/>
      </c>
      <c r="C7364">
        <f>IF(VLOOKUP(Table7[[#This Row],[Date]],Database!$A:$C,MATCH($C$1,Database!$A$1:$C$1,),)=0,#N/A,VLOOKUP(Table7[[#This Row],[Date]],Database!$A:$C,MATCH($C$1,Database!$A$1:$C$1,),))</f>
        <v/>
      </c>
      <c r="D7364">
        <f>IFERROR(Table7[[#This Row],[United States 10y]]-Table7[[#This Row],[United States 3y]],#N/A)</f>
        <v/>
      </c>
    </row>
    <row r="7365">
      <c r="A7365" s="6">
        <f>Database!$A9450</f>
        <v/>
      </c>
      <c r="B7365">
        <f>IF(VLOOKUP(Table7[[#This Row],[Date]],Database!$A:$C,MATCH($B$1,Database!$A$1:$C$1,),)=0,#N/A,VLOOKUP(Table7[[#This Row],[Date]],Database!$A:$C,MATCH($B$1,Database!$A$1:$C$1,),))</f>
        <v/>
      </c>
      <c r="C7365">
        <f>IF(VLOOKUP(Table7[[#This Row],[Date]],Database!$A:$C,MATCH($C$1,Database!$A$1:$C$1,),)=0,#N/A,VLOOKUP(Table7[[#This Row],[Date]],Database!$A:$C,MATCH($C$1,Database!$A$1:$C$1,),))</f>
        <v/>
      </c>
      <c r="D7365">
        <f>IFERROR(Table7[[#This Row],[United States 10y]]-Table7[[#This Row],[United States 3y]],#N/A)</f>
        <v/>
      </c>
    </row>
    <row r="7366">
      <c r="A7366" s="6">
        <f>Database!$A9451</f>
        <v/>
      </c>
      <c r="B7366">
        <f>IF(VLOOKUP(Table7[[#This Row],[Date]],Database!$A:$C,MATCH($B$1,Database!$A$1:$C$1,),)=0,#N/A,VLOOKUP(Table7[[#This Row],[Date]],Database!$A:$C,MATCH($B$1,Database!$A$1:$C$1,),))</f>
        <v/>
      </c>
      <c r="C7366">
        <f>IF(VLOOKUP(Table7[[#This Row],[Date]],Database!$A:$C,MATCH($C$1,Database!$A$1:$C$1,),)=0,#N/A,VLOOKUP(Table7[[#This Row],[Date]],Database!$A:$C,MATCH($C$1,Database!$A$1:$C$1,),))</f>
        <v/>
      </c>
      <c r="D7366">
        <f>IFERROR(Table7[[#This Row],[United States 10y]]-Table7[[#This Row],[United States 3y]],#N/A)</f>
        <v/>
      </c>
    </row>
    <row r="7367">
      <c r="A7367" s="6">
        <f>Database!$A9452</f>
        <v/>
      </c>
      <c r="B7367">
        <f>IF(VLOOKUP(Table7[[#This Row],[Date]],Database!$A:$C,MATCH($B$1,Database!$A$1:$C$1,),)=0,#N/A,VLOOKUP(Table7[[#This Row],[Date]],Database!$A:$C,MATCH($B$1,Database!$A$1:$C$1,),))</f>
        <v/>
      </c>
      <c r="C7367">
        <f>IF(VLOOKUP(Table7[[#This Row],[Date]],Database!$A:$C,MATCH($C$1,Database!$A$1:$C$1,),)=0,#N/A,VLOOKUP(Table7[[#This Row],[Date]],Database!$A:$C,MATCH($C$1,Database!$A$1:$C$1,),))</f>
        <v/>
      </c>
      <c r="D7367">
        <f>IFERROR(Table7[[#This Row],[United States 10y]]-Table7[[#This Row],[United States 3y]],#N/A)</f>
        <v/>
      </c>
    </row>
    <row r="7368">
      <c r="A7368" s="6">
        <f>Database!$A9453</f>
        <v/>
      </c>
      <c r="B7368">
        <f>IF(VLOOKUP(Table7[[#This Row],[Date]],Database!$A:$C,MATCH($B$1,Database!$A$1:$C$1,),)=0,#N/A,VLOOKUP(Table7[[#This Row],[Date]],Database!$A:$C,MATCH($B$1,Database!$A$1:$C$1,),))</f>
        <v/>
      </c>
      <c r="C7368">
        <f>IF(VLOOKUP(Table7[[#This Row],[Date]],Database!$A:$C,MATCH($C$1,Database!$A$1:$C$1,),)=0,#N/A,VLOOKUP(Table7[[#This Row],[Date]],Database!$A:$C,MATCH($C$1,Database!$A$1:$C$1,),))</f>
        <v/>
      </c>
      <c r="D7368">
        <f>IFERROR(Table7[[#This Row],[United States 10y]]-Table7[[#This Row],[United States 3y]],#N/A)</f>
        <v/>
      </c>
    </row>
    <row r="7369">
      <c r="A7369" s="6">
        <f>Database!$A9454</f>
        <v/>
      </c>
      <c r="B7369">
        <f>IF(VLOOKUP(Table7[[#This Row],[Date]],Database!$A:$C,MATCH($B$1,Database!$A$1:$C$1,),)=0,#N/A,VLOOKUP(Table7[[#This Row],[Date]],Database!$A:$C,MATCH($B$1,Database!$A$1:$C$1,),))</f>
        <v/>
      </c>
      <c r="C7369">
        <f>IF(VLOOKUP(Table7[[#This Row],[Date]],Database!$A:$C,MATCH($C$1,Database!$A$1:$C$1,),)=0,#N/A,VLOOKUP(Table7[[#This Row],[Date]],Database!$A:$C,MATCH($C$1,Database!$A$1:$C$1,),))</f>
        <v/>
      </c>
      <c r="D7369">
        <f>IFERROR(Table7[[#This Row],[United States 10y]]-Table7[[#This Row],[United States 3y]],#N/A)</f>
        <v/>
      </c>
    </row>
    <row r="7370">
      <c r="A7370" s="6">
        <f>Database!$A9455</f>
        <v/>
      </c>
      <c r="B7370">
        <f>IF(VLOOKUP(Table7[[#This Row],[Date]],Database!$A:$C,MATCH($B$1,Database!$A$1:$C$1,),)=0,#N/A,VLOOKUP(Table7[[#This Row],[Date]],Database!$A:$C,MATCH($B$1,Database!$A$1:$C$1,),))</f>
        <v/>
      </c>
      <c r="C7370">
        <f>IF(VLOOKUP(Table7[[#This Row],[Date]],Database!$A:$C,MATCH($C$1,Database!$A$1:$C$1,),)=0,#N/A,VLOOKUP(Table7[[#This Row],[Date]],Database!$A:$C,MATCH($C$1,Database!$A$1:$C$1,),))</f>
        <v/>
      </c>
      <c r="D7370">
        <f>IFERROR(Table7[[#This Row],[United States 10y]]-Table7[[#This Row],[United States 3y]],#N/A)</f>
        <v/>
      </c>
    </row>
    <row r="7371">
      <c r="A7371" s="6">
        <f>Database!$A9456</f>
        <v/>
      </c>
      <c r="B7371">
        <f>IF(VLOOKUP(Table7[[#This Row],[Date]],Database!$A:$C,MATCH($B$1,Database!$A$1:$C$1,),)=0,#N/A,VLOOKUP(Table7[[#This Row],[Date]],Database!$A:$C,MATCH($B$1,Database!$A$1:$C$1,),))</f>
        <v/>
      </c>
      <c r="C7371">
        <f>IF(VLOOKUP(Table7[[#This Row],[Date]],Database!$A:$C,MATCH($C$1,Database!$A$1:$C$1,),)=0,#N/A,VLOOKUP(Table7[[#This Row],[Date]],Database!$A:$C,MATCH($C$1,Database!$A$1:$C$1,),))</f>
        <v/>
      </c>
      <c r="D7371">
        <f>IFERROR(Table7[[#This Row],[United States 10y]]-Table7[[#This Row],[United States 3y]],#N/A)</f>
        <v/>
      </c>
    </row>
    <row r="7372">
      <c r="A7372" s="6">
        <f>Database!$A9457</f>
        <v/>
      </c>
      <c r="B7372">
        <f>IF(VLOOKUP(Table7[[#This Row],[Date]],Database!$A:$C,MATCH($B$1,Database!$A$1:$C$1,),)=0,#N/A,VLOOKUP(Table7[[#This Row],[Date]],Database!$A:$C,MATCH($B$1,Database!$A$1:$C$1,),))</f>
        <v/>
      </c>
      <c r="C7372">
        <f>IF(VLOOKUP(Table7[[#This Row],[Date]],Database!$A:$C,MATCH($C$1,Database!$A$1:$C$1,),)=0,#N/A,VLOOKUP(Table7[[#This Row],[Date]],Database!$A:$C,MATCH($C$1,Database!$A$1:$C$1,),))</f>
        <v/>
      </c>
      <c r="D7372">
        <f>IFERROR(Table7[[#This Row],[United States 10y]]-Table7[[#This Row],[United States 3y]],#N/A)</f>
        <v/>
      </c>
    </row>
    <row r="7373">
      <c r="A7373" s="6">
        <f>Database!$A9458</f>
        <v/>
      </c>
      <c r="B7373">
        <f>IF(VLOOKUP(Table7[[#This Row],[Date]],Database!$A:$C,MATCH($B$1,Database!$A$1:$C$1,),)=0,#N/A,VLOOKUP(Table7[[#This Row],[Date]],Database!$A:$C,MATCH($B$1,Database!$A$1:$C$1,),))</f>
        <v/>
      </c>
      <c r="C7373">
        <f>IF(VLOOKUP(Table7[[#This Row],[Date]],Database!$A:$C,MATCH($C$1,Database!$A$1:$C$1,),)=0,#N/A,VLOOKUP(Table7[[#This Row],[Date]],Database!$A:$C,MATCH($C$1,Database!$A$1:$C$1,),))</f>
        <v/>
      </c>
      <c r="D7373">
        <f>IFERROR(Table7[[#This Row],[United States 10y]]-Table7[[#This Row],[United States 3y]],#N/A)</f>
        <v/>
      </c>
    </row>
    <row r="7374">
      <c r="A7374" s="6">
        <f>Database!$A9459</f>
        <v/>
      </c>
      <c r="B7374">
        <f>IF(VLOOKUP(Table7[[#This Row],[Date]],Database!$A:$C,MATCH($B$1,Database!$A$1:$C$1,),)=0,#N/A,VLOOKUP(Table7[[#This Row],[Date]],Database!$A:$C,MATCH($B$1,Database!$A$1:$C$1,),))</f>
        <v/>
      </c>
      <c r="C7374">
        <f>IF(VLOOKUP(Table7[[#This Row],[Date]],Database!$A:$C,MATCH($C$1,Database!$A$1:$C$1,),)=0,#N/A,VLOOKUP(Table7[[#This Row],[Date]],Database!$A:$C,MATCH($C$1,Database!$A$1:$C$1,),))</f>
        <v/>
      </c>
      <c r="D7374">
        <f>IFERROR(Table7[[#This Row],[United States 10y]]-Table7[[#This Row],[United States 3y]],#N/A)</f>
        <v/>
      </c>
    </row>
    <row r="7375">
      <c r="A7375" s="6">
        <f>Database!$A9460</f>
        <v/>
      </c>
      <c r="B7375">
        <f>IF(VLOOKUP(Table7[[#This Row],[Date]],Database!$A:$C,MATCH($B$1,Database!$A$1:$C$1,),)=0,#N/A,VLOOKUP(Table7[[#This Row],[Date]],Database!$A:$C,MATCH($B$1,Database!$A$1:$C$1,),))</f>
        <v/>
      </c>
      <c r="C7375">
        <f>IF(VLOOKUP(Table7[[#This Row],[Date]],Database!$A:$C,MATCH($C$1,Database!$A$1:$C$1,),)=0,#N/A,VLOOKUP(Table7[[#This Row],[Date]],Database!$A:$C,MATCH($C$1,Database!$A$1:$C$1,),))</f>
        <v/>
      </c>
      <c r="D7375">
        <f>IFERROR(Table7[[#This Row],[United States 10y]]-Table7[[#This Row],[United States 3y]],#N/A)</f>
        <v/>
      </c>
    </row>
    <row r="7376">
      <c r="A7376" s="6">
        <f>Database!$A9461</f>
        <v/>
      </c>
      <c r="B7376">
        <f>IF(VLOOKUP(Table7[[#This Row],[Date]],Database!$A:$C,MATCH($B$1,Database!$A$1:$C$1,),)=0,#N/A,VLOOKUP(Table7[[#This Row],[Date]],Database!$A:$C,MATCH($B$1,Database!$A$1:$C$1,),))</f>
        <v/>
      </c>
      <c r="C7376">
        <f>IF(VLOOKUP(Table7[[#This Row],[Date]],Database!$A:$C,MATCH($C$1,Database!$A$1:$C$1,),)=0,#N/A,VLOOKUP(Table7[[#This Row],[Date]],Database!$A:$C,MATCH($C$1,Database!$A$1:$C$1,),))</f>
        <v/>
      </c>
      <c r="D7376">
        <f>IFERROR(Table7[[#This Row],[United States 10y]]-Table7[[#This Row],[United States 3y]],#N/A)</f>
        <v/>
      </c>
    </row>
    <row r="7377">
      <c r="A7377" s="6">
        <f>Database!$A9462</f>
        <v/>
      </c>
      <c r="B7377">
        <f>IF(VLOOKUP(Table7[[#This Row],[Date]],Database!$A:$C,MATCH($B$1,Database!$A$1:$C$1,),)=0,#N/A,VLOOKUP(Table7[[#This Row],[Date]],Database!$A:$C,MATCH($B$1,Database!$A$1:$C$1,),))</f>
        <v/>
      </c>
      <c r="C7377">
        <f>IF(VLOOKUP(Table7[[#This Row],[Date]],Database!$A:$C,MATCH($C$1,Database!$A$1:$C$1,),)=0,#N/A,VLOOKUP(Table7[[#This Row],[Date]],Database!$A:$C,MATCH($C$1,Database!$A$1:$C$1,),))</f>
        <v/>
      </c>
      <c r="D7377">
        <f>IFERROR(Table7[[#This Row],[United States 10y]]-Table7[[#This Row],[United States 3y]],#N/A)</f>
        <v/>
      </c>
    </row>
    <row r="7378">
      <c r="A7378" s="6">
        <f>Database!$A9463</f>
        <v/>
      </c>
      <c r="B7378">
        <f>IF(VLOOKUP(Table7[[#This Row],[Date]],Database!$A:$C,MATCH($B$1,Database!$A$1:$C$1,),)=0,#N/A,VLOOKUP(Table7[[#This Row],[Date]],Database!$A:$C,MATCH($B$1,Database!$A$1:$C$1,),))</f>
        <v/>
      </c>
      <c r="C7378">
        <f>IF(VLOOKUP(Table7[[#This Row],[Date]],Database!$A:$C,MATCH($C$1,Database!$A$1:$C$1,),)=0,#N/A,VLOOKUP(Table7[[#This Row],[Date]],Database!$A:$C,MATCH($C$1,Database!$A$1:$C$1,),))</f>
        <v/>
      </c>
      <c r="D7378">
        <f>IFERROR(Table7[[#This Row],[United States 10y]]-Table7[[#This Row],[United States 3y]],#N/A)</f>
        <v/>
      </c>
    </row>
    <row r="7379">
      <c r="A7379" s="6">
        <f>Database!$A9464</f>
        <v/>
      </c>
      <c r="B7379">
        <f>IF(VLOOKUP(Table7[[#This Row],[Date]],Database!$A:$C,MATCH($B$1,Database!$A$1:$C$1,),)=0,#N/A,VLOOKUP(Table7[[#This Row],[Date]],Database!$A:$C,MATCH($B$1,Database!$A$1:$C$1,),))</f>
        <v/>
      </c>
      <c r="C7379">
        <f>IF(VLOOKUP(Table7[[#This Row],[Date]],Database!$A:$C,MATCH($C$1,Database!$A$1:$C$1,),)=0,#N/A,VLOOKUP(Table7[[#This Row],[Date]],Database!$A:$C,MATCH($C$1,Database!$A$1:$C$1,),))</f>
        <v/>
      </c>
      <c r="D7379">
        <f>IFERROR(Table7[[#This Row],[United States 10y]]-Table7[[#This Row],[United States 3y]],#N/A)</f>
        <v/>
      </c>
    </row>
    <row r="7380">
      <c r="A7380" s="6">
        <f>Database!$A9465</f>
        <v/>
      </c>
      <c r="B7380">
        <f>IF(VLOOKUP(Table7[[#This Row],[Date]],Database!$A:$C,MATCH($B$1,Database!$A$1:$C$1,),)=0,#N/A,VLOOKUP(Table7[[#This Row],[Date]],Database!$A:$C,MATCH($B$1,Database!$A$1:$C$1,),))</f>
        <v/>
      </c>
      <c r="C7380">
        <f>IF(VLOOKUP(Table7[[#This Row],[Date]],Database!$A:$C,MATCH($C$1,Database!$A$1:$C$1,),)=0,#N/A,VLOOKUP(Table7[[#This Row],[Date]],Database!$A:$C,MATCH($C$1,Database!$A$1:$C$1,),))</f>
        <v/>
      </c>
      <c r="D7380">
        <f>IFERROR(Table7[[#This Row],[United States 10y]]-Table7[[#This Row],[United States 3y]],#N/A)</f>
        <v/>
      </c>
    </row>
    <row r="7381">
      <c r="A7381" s="6">
        <f>Database!$A9466</f>
        <v/>
      </c>
      <c r="B7381">
        <f>IF(VLOOKUP(Table7[[#This Row],[Date]],Database!$A:$C,MATCH($B$1,Database!$A$1:$C$1,),)=0,#N/A,VLOOKUP(Table7[[#This Row],[Date]],Database!$A:$C,MATCH($B$1,Database!$A$1:$C$1,),))</f>
        <v/>
      </c>
      <c r="C7381">
        <f>IF(VLOOKUP(Table7[[#This Row],[Date]],Database!$A:$C,MATCH($C$1,Database!$A$1:$C$1,),)=0,#N/A,VLOOKUP(Table7[[#This Row],[Date]],Database!$A:$C,MATCH($C$1,Database!$A$1:$C$1,),))</f>
        <v/>
      </c>
      <c r="D7381">
        <f>IFERROR(Table7[[#This Row],[United States 10y]]-Table7[[#This Row],[United States 3y]],#N/A)</f>
        <v/>
      </c>
    </row>
    <row r="7382">
      <c r="A7382" s="6">
        <f>Database!$A9467</f>
        <v/>
      </c>
      <c r="B7382">
        <f>IF(VLOOKUP(Table7[[#This Row],[Date]],Database!$A:$C,MATCH($B$1,Database!$A$1:$C$1,),)=0,#N/A,VLOOKUP(Table7[[#This Row],[Date]],Database!$A:$C,MATCH($B$1,Database!$A$1:$C$1,),))</f>
        <v/>
      </c>
      <c r="C7382">
        <f>IF(VLOOKUP(Table7[[#This Row],[Date]],Database!$A:$C,MATCH($C$1,Database!$A$1:$C$1,),)=0,#N/A,VLOOKUP(Table7[[#This Row],[Date]],Database!$A:$C,MATCH($C$1,Database!$A$1:$C$1,),))</f>
        <v/>
      </c>
      <c r="D7382">
        <f>IFERROR(Table7[[#This Row],[United States 10y]]-Table7[[#This Row],[United States 3y]],#N/A)</f>
        <v/>
      </c>
    </row>
    <row r="7383">
      <c r="A7383" s="6">
        <f>Database!$A9468</f>
        <v/>
      </c>
      <c r="B7383">
        <f>IF(VLOOKUP(Table7[[#This Row],[Date]],Database!$A:$C,MATCH($B$1,Database!$A$1:$C$1,),)=0,#N/A,VLOOKUP(Table7[[#This Row],[Date]],Database!$A:$C,MATCH($B$1,Database!$A$1:$C$1,),))</f>
        <v/>
      </c>
      <c r="C7383">
        <f>IF(VLOOKUP(Table7[[#This Row],[Date]],Database!$A:$C,MATCH($C$1,Database!$A$1:$C$1,),)=0,#N/A,VLOOKUP(Table7[[#This Row],[Date]],Database!$A:$C,MATCH($C$1,Database!$A$1:$C$1,),))</f>
        <v/>
      </c>
      <c r="D7383">
        <f>IFERROR(Table7[[#This Row],[United States 10y]]-Table7[[#This Row],[United States 3y]],#N/A)</f>
        <v/>
      </c>
    </row>
    <row r="7384">
      <c r="A7384" s="6">
        <f>Database!$A9469</f>
        <v/>
      </c>
      <c r="B7384">
        <f>IF(VLOOKUP(Table7[[#This Row],[Date]],Database!$A:$C,MATCH($B$1,Database!$A$1:$C$1,),)=0,#N/A,VLOOKUP(Table7[[#This Row],[Date]],Database!$A:$C,MATCH($B$1,Database!$A$1:$C$1,),))</f>
        <v/>
      </c>
      <c r="C7384">
        <f>IF(VLOOKUP(Table7[[#This Row],[Date]],Database!$A:$C,MATCH($C$1,Database!$A$1:$C$1,),)=0,#N/A,VLOOKUP(Table7[[#This Row],[Date]],Database!$A:$C,MATCH($C$1,Database!$A$1:$C$1,),))</f>
        <v/>
      </c>
      <c r="D7384">
        <f>IFERROR(Table7[[#This Row],[United States 10y]]-Table7[[#This Row],[United States 3y]],#N/A)</f>
        <v/>
      </c>
    </row>
    <row r="7385">
      <c r="A7385" s="6">
        <f>Database!$A9470</f>
        <v/>
      </c>
      <c r="B7385">
        <f>IF(VLOOKUP(Table7[[#This Row],[Date]],Database!$A:$C,MATCH($B$1,Database!$A$1:$C$1,),)=0,#N/A,VLOOKUP(Table7[[#This Row],[Date]],Database!$A:$C,MATCH($B$1,Database!$A$1:$C$1,),))</f>
        <v/>
      </c>
      <c r="C7385">
        <f>IF(VLOOKUP(Table7[[#This Row],[Date]],Database!$A:$C,MATCH($C$1,Database!$A$1:$C$1,),)=0,#N/A,VLOOKUP(Table7[[#This Row],[Date]],Database!$A:$C,MATCH($C$1,Database!$A$1:$C$1,),))</f>
        <v/>
      </c>
      <c r="D7385">
        <f>IFERROR(Table7[[#This Row],[United States 10y]]-Table7[[#This Row],[United States 3y]],#N/A)</f>
        <v/>
      </c>
    </row>
    <row r="7386">
      <c r="A7386" s="6">
        <f>Database!$A9471</f>
        <v/>
      </c>
      <c r="B7386">
        <f>IF(VLOOKUP(Table7[[#This Row],[Date]],Database!$A:$C,MATCH($B$1,Database!$A$1:$C$1,),)=0,#N/A,VLOOKUP(Table7[[#This Row],[Date]],Database!$A:$C,MATCH($B$1,Database!$A$1:$C$1,),))</f>
        <v/>
      </c>
      <c r="C7386">
        <f>IF(VLOOKUP(Table7[[#This Row],[Date]],Database!$A:$C,MATCH($C$1,Database!$A$1:$C$1,),)=0,#N/A,VLOOKUP(Table7[[#This Row],[Date]],Database!$A:$C,MATCH($C$1,Database!$A$1:$C$1,),))</f>
        <v/>
      </c>
      <c r="D7386">
        <f>IFERROR(Table7[[#This Row],[United States 10y]]-Table7[[#This Row],[United States 3y]],#N/A)</f>
        <v/>
      </c>
    </row>
    <row r="7387">
      <c r="A7387" s="6">
        <f>Database!$A9472</f>
        <v/>
      </c>
      <c r="B7387">
        <f>IF(VLOOKUP(Table7[[#This Row],[Date]],Database!$A:$C,MATCH($B$1,Database!$A$1:$C$1,),)=0,#N/A,VLOOKUP(Table7[[#This Row],[Date]],Database!$A:$C,MATCH($B$1,Database!$A$1:$C$1,),))</f>
        <v/>
      </c>
      <c r="C7387">
        <f>IF(VLOOKUP(Table7[[#This Row],[Date]],Database!$A:$C,MATCH($C$1,Database!$A$1:$C$1,),)=0,#N/A,VLOOKUP(Table7[[#This Row],[Date]],Database!$A:$C,MATCH($C$1,Database!$A$1:$C$1,),))</f>
        <v/>
      </c>
      <c r="D7387">
        <f>IFERROR(Table7[[#This Row],[United States 10y]]-Table7[[#This Row],[United States 3y]],#N/A)</f>
        <v/>
      </c>
    </row>
    <row r="7388">
      <c r="A7388" s="6">
        <f>Database!$A9473</f>
        <v/>
      </c>
      <c r="B7388">
        <f>IF(VLOOKUP(Table7[[#This Row],[Date]],Database!$A:$C,MATCH($B$1,Database!$A$1:$C$1,),)=0,#N/A,VLOOKUP(Table7[[#This Row],[Date]],Database!$A:$C,MATCH($B$1,Database!$A$1:$C$1,),))</f>
        <v/>
      </c>
      <c r="C7388">
        <f>IF(VLOOKUP(Table7[[#This Row],[Date]],Database!$A:$C,MATCH($C$1,Database!$A$1:$C$1,),)=0,#N/A,VLOOKUP(Table7[[#This Row],[Date]],Database!$A:$C,MATCH($C$1,Database!$A$1:$C$1,),))</f>
        <v/>
      </c>
      <c r="D7388">
        <f>IFERROR(Table7[[#This Row],[United States 10y]]-Table7[[#This Row],[United States 3y]],#N/A)</f>
        <v/>
      </c>
    </row>
    <row r="7389">
      <c r="A7389" s="6">
        <f>Database!$A9474</f>
        <v/>
      </c>
      <c r="B7389">
        <f>IF(VLOOKUP(Table7[[#This Row],[Date]],Database!$A:$C,MATCH($B$1,Database!$A$1:$C$1,),)=0,#N/A,VLOOKUP(Table7[[#This Row],[Date]],Database!$A:$C,MATCH($B$1,Database!$A$1:$C$1,),))</f>
        <v/>
      </c>
      <c r="C7389">
        <f>IF(VLOOKUP(Table7[[#This Row],[Date]],Database!$A:$C,MATCH($C$1,Database!$A$1:$C$1,),)=0,#N/A,VLOOKUP(Table7[[#This Row],[Date]],Database!$A:$C,MATCH($C$1,Database!$A$1:$C$1,),))</f>
        <v/>
      </c>
      <c r="D7389">
        <f>IFERROR(Table7[[#This Row],[United States 10y]]-Table7[[#This Row],[United States 3y]],#N/A)</f>
        <v/>
      </c>
    </row>
    <row r="7390">
      <c r="A7390" s="6">
        <f>Database!$A9475</f>
        <v/>
      </c>
      <c r="B7390">
        <f>IF(VLOOKUP(Table7[[#This Row],[Date]],Database!$A:$C,MATCH($B$1,Database!$A$1:$C$1,),)=0,#N/A,VLOOKUP(Table7[[#This Row],[Date]],Database!$A:$C,MATCH($B$1,Database!$A$1:$C$1,),))</f>
        <v/>
      </c>
      <c r="C7390">
        <f>IF(VLOOKUP(Table7[[#This Row],[Date]],Database!$A:$C,MATCH($C$1,Database!$A$1:$C$1,),)=0,#N/A,VLOOKUP(Table7[[#This Row],[Date]],Database!$A:$C,MATCH($C$1,Database!$A$1:$C$1,),))</f>
        <v/>
      </c>
      <c r="D7390">
        <f>IFERROR(Table7[[#This Row],[United States 10y]]-Table7[[#This Row],[United States 3y]],#N/A)</f>
        <v/>
      </c>
    </row>
    <row r="7391">
      <c r="A7391" s="6">
        <f>Database!$A9476</f>
        <v/>
      </c>
      <c r="B7391">
        <f>IF(VLOOKUP(Table7[[#This Row],[Date]],Database!$A:$C,MATCH($B$1,Database!$A$1:$C$1,),)=0,#N/A,VLOOKUP(Table7[[#This Row],[Date]],Database!$A:$C,MATCH($B$1,Database!$A$1:$C$1,),))</f>
        <v/>
      </c>
      <c r="C7391">
        <f>IF(VLOOKUP(Table7[[#This Row],[Date]],Database!$A:$C,MATCH($C$1,Database!$A$1:$C$1,),)=0,#N/A,VLOOKUP(Table7[[#This Row],[Date]],Database!$A:$C,MATCH($C$1,Database!$A$1:$C$1,),))</f>
        <v/>
      </c>
      <c r="D7391">
        <f>IFERROR(Table7[[#This Row],[United States 10y]]-Table7[[#This Row],[United States 3y]],#N/A)</f>
        <v/>
      </c>
    </row>
    <row r="7392">
      <c r="A7392" s="6">
        <f>Database!$A9477</f>
        <v/>
      </c>
      <c r="B7392">
        <f>IF(VLOOKUP(Table7[[#This Row],[Date]],Database!$A:$C,MATCH($B$1,Database!$A$1:$C$1,),)=0,#N/A,VLOOKUP(Table7[[#This Row],[Date]],Database!$A:$C,MATCH($B$1,Database!$A$1:$C$1,),))</f>
        <v/>
      </c>
      <c r="C7392">
        <f>IF(VLOOKUP(Table7[[#This Row],[Date]],Database!$A:$C,MATCH($C$1,Database!$A$1:$C$1,),)=0,#N/A,VLOOKUP(Table7[[#This Row],[Date]],Database!$A:$C,MATCH($C$1,Database!$A$1:$C$1,),))</f>
        <v/>
      </c>
      <c r="D7392">
        <f>IFERROR(Table7[[#This Row],[United States 10y]]-Table7[[#This Row],[United States 3y]],#N/A)</f>
        <v/>
      </c>
    </row>
    <row r="7393">
      <c r="A7393" s="6">
        <f>Database!$A9478</f>
        <v/>
      </c>
      <c r="B7393">
        <f>IF(VLOOKUP(Table7[[#This Row],[Date]],Database!$A:$C,MATCH($B$1,Database!$A$1:$C$1,),)=0,#N/A,VLOOKUP(Table7[[#This Row],[Date]],Database!$A:$C,MATCH($B$1,Database!$A$1:$C$1,),))</f>
        <v/>
      </c>
      <c r="C7393">
        <f>IF(VLOOKUP(Table7[[#This Row],[Date]],Database!$A:$C,MATCH($C$1,Database!$A$1:$C$1,),)=0,#N/A,VLOOKUP(Table7[[#This Row],[Date]],Database!$A:$C,MATCH($C$1,Database!$A$1:$C$1,),))</f>
        <v/>
      </c>
      <c r="D7393">
        <f>IFERROR(Table7[[#This Row],[United States 10y]]-Table7[[#This Row],[United States 3y]],#N/A)</f>
        <v/>
      </c>
    </row>
    <row r="7394">
      <c r="A7394" s="6">
        <f>Database!$A9479</f>
        <v/>
      </c>
      <c r="B7394">
        <f>IF(VLOOKUP(Table7[[#This Row],[Date]],Database!$A:$C,MATCH($B$1,Database!$A$1:$C$1,),)=0,#N/A,VLOOKUP(Table7[[#This Row],[Date]],Database!$A:$C,MATCH($B$1,Database!$A$1:$C$1,),))</f>
        <v/>
      </c>
      <c r="C7394">
        <f>IF(VLOOKUP(Table7[[#This Row],[Date]],Database!$A:$C,MATCH($C$1,Database!$A$1:$C$1,),)=0,#N/A,VLOOKUP(Table7[[#This Row],[Date]],Database!$A:$C,MATCH($C$1,Database!$A$1:$C$1,),))</f>
        <v/>
      </c>
      <c r="D7394">
        <f>IFERROR(Table7[[#This Row],[United States 10y]]-Table7[[#This Row],[United States 3y]],#N/A)</f>
        <v/>
      </c>
    </row>
    <row r="7395">
      <c r="A7395" s="6">
        <f>Database!$A9480</f>
        <v/>
      </c>
      <c r="B7395">
        <f>IF(VLOOKUP(Table7[[#This Row],[Date]],Database!$A:$C,MATCH($B$1,Database!$A$1:$C$1,),)=0,#N/A,VLOOKUP(Table7[[#This Row],[Date]],Database!$A:$C,MATCH($B$1,Database!$A$1:$C$1,),))</f>
        <v/>
      </c>
      <c r="C7395">
        <f>IF(VLOOKUP(Table7[[#This Row],[Date]],Database!$A:$C,MATCH($C$1,Database!$A$1:$C$1,),)=0,#N/A,VLOOKUP(Table7[[#This Row],[Date]],Database!$A:$C,MATCH($C$1,Database!$A$1:$C$1,),))</f>
        <v/>
      </c>
      <c r="D7395">
        <f>IFERROR(Table7[[#This Row],[United States 10y]]-Table7[[#This Row],[United States 3y]],#N/A)</f>
        <v/>
      </c>
    </row>
    <row r="7396">
      <c r="A7396" s="6">
        <f>Database!$A9481</f>
        <v/>
      </c>
      <c r="B7396">
        <f>IF(VLOOKUP(Table7[[#This Row],[Date]],Database!$A:$C,MATCH($B$1,Database!$A$1:$C$1,),)=0,#N/A,VLOOKUP(Table7[[#This Row],[Date]],Database!$A:$C,MATCH($B$1,Database!$A$1:$C$1,),))</f>
        <v/>
      </c>
      <c r="C7396">
        <f>IF(VLOOKUP(Table7[[#This Row],[Date]],Database!$A:$C,MATCH($C$1,Database!$A$1:$C$1,),)=0,#N/A,VLOOKUP(Table7[[#This Row],[Date]],Database!$A:$C,MATCH($C$1,Database!$A$1:$C$1,),))</f>
        <v/>
      </c>
      <c r="D7396">
        <f>IFERROR(Table7[[#This Row],[United States 10y]]-Table7[[#This Row],[United States 3y]],#N/A)</f>
        <v/>
      </c>
    </row>
    <row r="7397">
      <c r="A7397" s="6">
        <f>Database!$A9482</f>
        <v/>
      </c>
      <c r="B7397">
        <f>IF(VLOOKUP(Table7[[#This Row],[Date]],Database!$A:$C,MATCH($B$1,Database!$A$1:$C$1,),)=0,#N/A,VLOOKUP(Table7[[#This Row],[Date]],Database!$A:$C,MATCH($B$1,Database!$A$1:$C$1,),))</f>
        <v/>
      </c>
      <c r="C7397">
        <f>IF(VLOOKUP(Table7[[#This Row],[Date]],Database!$A:$C,MATCH($C$1,Database!$A$1:$C$1,),)=0,#N/A,VLOOKUP(Table7[[#This Row],[Date]],Database!$A:$C,MATCH($C$1,Database!$A$1:$C$1,),))</f>
        <v/>
      </c>
      <c r="D7397">
        <f>IFERROR(Table7[[#This Row],[United States 10y]]-Table7[[#This Row],[United States 3y]],#N/A)</f>
        <v/>
      </c>
    </row>
    <row r="7398">
      <c r="A7398" s="6">
        <f>Database!$A9483</f>
        <v/>
      </c>
      <c r="B7398">
        <f>IF(VLOOKUP(Table7[[#This Row],[Date]],Database!$A:$C,MATCH($B$1,Database!$A$1:$C$1,),)=0,#N/A,VLOOKUP(Table7[[#This Row],[Date]],Database!$A:$C,MATCH($B$1,Database!$A$1:$C$1,),))</f>
        <v/>
      </c>
      <c r="C7398">
        <f>IF(VLOOKUP(Table7[[#This Row],[Date]],Database!$A:$C,MATCH($C$1,Database!$A$1:$C$1,),)=0,#N/A,VLOOKUP(Table7[[#This Row],[Date]],Database!$A:$C,MATCH($C$1,Database!$A$1:$C$1,),))</f>
        <v/>
      </c>
      <c r="D7398">
        <f>IFERROR(Table7[[#This Row],[United States 10y]]-Table7[[#This Row],[United States 3y]],#N/A)</f>
        <v/>
      </c>
    </row>
    <row r="7399">
      <c r="A7399" s="6">
        <f>Database!$A9484</f>
        <v/>
      </c>
      <c r="B7399">
        <f>IF(VLOOKUP(Table7[[#This Row],[Date]],Database!$A:$C,MATCH($B$1,Database!$A$1:$C$1,),)=0,#N/A,VLOOKUP(Table7[[#This Row],[Date]],Database!$A:$C,MATCH($B$1,Database!$A$1:$C$1,),))</f>
        <v/>
      </c>
      <c r="C7399">
        <f>IF(VLOOKUP(Table7[[#This Row],[Date]],Database!$A:$C,MATCH($C$1,Database!$A$1:$C$1,),)=0,#N/A,VLOOKUP(Table7[[#This Row],[Date]],Database!$A:$C,MATCH($C$1,Database!$A$1:$C$1,),))</f>
        <v/>
      </c>
      <c r="D7399">
        <f>IFERROR(Table7[[#This Row],[United States 10y]]-Table7[[#This Row],[United States 3y]],#N/A)</f>
        <v/>
      </c>
    </row>
    <row r="7400">
      <c r="A7400" s="6">
        <f>Database!$A9485</f>
        <v/>
      </c>
      <c r="B7400">
        <f>IF(VLOOKUP(Table7[[#This Row],[Date]],Database!$A:$C,MATCH($B$1,Database!$A$1:$C$1,),)=0,#N/A,VLOOKUP(Table7[[#This Row],[Date]],Database!$A:$C,MATCH($B$1,Database!$A$1:$C$1,),))</f>
        <v/>
      </c>
      <c r="C7400">
        <f>IF(VLOOKUP(Table7[[#This Row],[Date]],Database!$A:$C,MATCH($C$1,Database!$A$1:$C$1,),)=0,#N/A,VLOOKUP(Table7[[#This Row],[Date]],Database!$A:$C,MATCH($C$1,Database!$A$1:$C$1,),))</f>
        <v/>
      </c>
      <c r="D7400">
        <f>IFERROR(Table7[[#This Row],[United States 10y]]-Table7[[#This Row],[United States 3y]],#N/A)</f>
        <v/>
      </c>
    </row>
    <row r="7401">
      <c r="A7401" s="6">
        <f>Database!$A9486</f>
        <v/>
      </c>
      <c r="B7401">
        <f>IF(VLOOKUP(Table7[[#This Row],[Date]],Database!$A:$C,MATCH($B$1,Database!$A$1:$C$1,),)=0,#N/A,VLOOKUP(Table7[[#This Row],[Date]],Database!$A:$C,MATCH($B$1,Database!$A$1:$C$1,),))</f>
        <v/>
      </c>
      <c r="C7401">
        <f>IF(VLOOKUP(Table7[[#This Row],[Date]],Database!$A:$C,MATCH($C$1,Database!$A$1:$C$1,),)=0,#N/A,VLOOKUP(Table7[[#This Row],[Date]],Database!$A:$C,MATCH($C$1,Database!$A$1:$C$1,),))</f>
        <v/>
      </c>
      <c r="D7401">
        <f>IFERROR(Table7[[#This Row],[United States 10y]]-Table7[[#This Row],[United States 3y]],#N/A)</f>
        <v/>
      </c>
    </row>
    <row r="7402">
      <c r="A7402" s="6">
        <f>Database!$A9487</f>
        <v/>
      </c>
      <c r="B7402">
        <f>IF(VLOOKUP(Table7[[#This Row],[Date]],Database!$A:$C,MATCH($B$1,Database!$A$1:$C$1,),)=0,#N/A,VLOOKUP(Table7[[#This Row],[Date]],Database!$A:$C,MATCH($B$1,Database!$A$1:$C$1,),))</f>
        <v/>
      </c>
      <c r="C7402">
        <f>IF(VLOOKUP(Table7[[#This Row],[Date]],Database!$A:$C,MATCH($C$1,Database!$A$1:$C$1,),)=0,#N/A,VLOOKUP(Table7[[#This Row],[Date]],Database!$A:$C,MATCH($C$1,Database!$A$1:$C$1,),))</f>
        <v/>
      </c>
      <c r="D7402">
        <f>IFERROR(Table7[[#This Row],[United States 10y]]-Table7[[#This Row],[United States 3y]],#N/A)</f>
        <v/>
      </c>
    </row>
    <row r="7403">
      <c r="A7403" s="6">
        <f>Database!$A9488</f>
        <v/>
      </c>
      <c r="B7403">
        <f>IF(VLOOKUP(Table7[[#This Row],[Date]],Database!$A:$C,MATCH($B$1,Database!$A$1:$C$1,),)=0,#N/A,VLOOKUP(Table7[[#This Row],[Date]],Database!$A:$C,MATCH($B$1,Database!$A$1:$C$1,),))</f>
        <v/>
      </c>
      <c r="C7403">
        <f>IF(VLOOKUP(Table7[[#This Row],[Date]],Database!$A:$C,MATCH($C$1,Database!$A$1:$C$1,),)=0,#N/A,VLOOKUP(Table7[[#This Row],[Date]],Database!$A:$C,MATCH($C$1,Database!$A$1:$C$1,),))</f>
        <v/>
      </c>
      <c r="D7403">
        <f>IFERROR(Table7[[#This Row],[United States 10y]]-Table7[[#This Row],[United States 3y]],#N/A)</f>
        <v/>
      </c>
    </row>
    <row r="7404">
      <c r="A7404" s="6">
        <f>Database!$A9489</f>
        <v/>
      </c>
      <c r="B7404">
        <f>IF(VLOOKUP(Table7[[#This Row],[Date]],Database!$A:$C,MATCH($B$1,Database!$A$1:$C$1,),)=0,#N/A,VLOOKUP(Table7[[#This Row],[Date]],Database!$A:$C,MATCH($B$1,Database!$A$1:$C$1,),))</f>
        <v/>
      </c>
      <c r="C7404">
        <f>IF(VLOOKUP(Table7[[#This Row],[Date]],Database!$A:$C,MATCH($C$1,Database!$A$1:$C$1,),)=0,#N/A,VLOOKUP(Table7[[#This Row],[Date]],Database!$A:$C,MATCH($C$1,Database!$A$1:$C$1,),))</f>
        <v/>
      </c>
      <c r="D7404">
        <f>IFERROR(Table7[[#This Row],[United States 10y]]-Table7[[#This Row],[United States 3y]],#N/A)</f>
        <v/>
      </c>
    </row>
    <row r="7405">
      <c r="A7405" s="6">
        <f>Database!$A9490</f>
        <v/>
      </c>
      <c r="B7405">
        <f>IF(VLOOKUP(Table7[[#This Row],[Date]],Database!$A:$C,MATCH($B$1,Database!$A$1:$C$1,),)=0,#N/A,VLOOKUP(Table7[[#This Row],[Date]],Database!$A:$C,MATCH($B$1,Database!$A$1:$C$1,),))</f>
        <v/>
      </c>
      <c r="C7405">
        <f>IF(VLOOKUP(Table7[[#This Row],[Date]],Database!$A:$C,MATCH($C$1,Database!$A$1:$C$1,),)=0,#N/A,VLOOKUP(Table7[[#This Row],[Date]],Database!$A:$C,MATCH($C$1,Database!$A$1:$C$1,),))</f>
        <v/>
      </c>
      <c r="D7405">
        <f>IFERROR(Table7[[#This Row],[United States 10y]]-Table7[[#This Row],[United States 3y]],#N/A)</f>
        <v/>
      </c>
    </row>
    <row r="7406">
      <c r="A7406" s="6">
        <f>Database!$A9491</f>
        <v/>
      </c>
      <c r="B7406">
        <f>IF(VLOOKUP(Table7[[#This Row],[Date]],Database!$A:$C,MATCH($B$1,Database!$A$1:$C$1,),)=0,#N/A,VLOOKUP(Table7[[#This Row],[Date]],Database!$A:$C,MATCH($B$1,Database!$A$1:$C$1,),))</f>
        <v/>
      </c>
      <c r="C7406">
        <f>IF(VLOOKUP(Table7[[#This Row],[Date]],Database!$A:$C,MATCH($C$1,Database!$A$1:$C$1,),)=0,#N/A,VLOOKUP(Table7[[#This Row],[Date]],Database!$A:$C,MATCH($C$1,Database!$A$1:$C$1,),))</f>
        <v/>
      </c>
      <c r="D7406">
        <f>IFERROR(Table7[[#This Row],[United States 10y]]-Table7[[#This Row],[United States 3y]],#N/A)</f>
        <v/>
      </c>
    </row>
    <row r="7407">
      <c r="A7407" s="6">
        <f>Database!$A9492</f>
        <v/>
      </c>
      <c r="B7407">
        <f>IF(VLOOKUP(Table7[[#This Row],[Date]],Database!$A:$C,MATCH($B$1,Database!$A$1:$C$1,),)=0,#N/A,VLOOKUP(Table7[[#This Row],[Date]],Database!$A:$C,MATCH($B$1,Database!$A$1:$C$1,),))</f>
        <v/>
      </c>
      <c r="C7407">
        <f>IF(VLOOKUP(Table7[[#This Row],[Date]],Database!$A:$C,MATCH($C$1,Database!$A$1:$C$1,),)=0,#N/A,VLOOKUP(Table7[[#This Row],[Date]],Database!$A:$C,MATCH($C$1,Database!$A$1:$C$1,),))</f>
        <v/>
      </c>
      <c r="D7407">
        <f>IFERROR(Table7[[#This Row],[United States 10y]]-Table7[[#This Row],[United States 3y]],#N/A)</f>
        <v/>
      </c>
    </row>
    <row r="7408">
      <c r="A7408" s="6">
        <f>Database!$A9493</f>
        <v/>
      </c>
      <c r="B7408">
        <f>IF(VLOOKUP(Table7[[#This Row],[Date]],Database!$A:$C,MATCH($B$1,Database!$A$1:$C$1,),)=0,#N/A,VLOOKUP(Table7[[#This Row],[Date]],Database!$A:$C,MATCH($B$1,Database!$A$1:$C$1,),))</f>
        <v/>
      </c>
      <c r="C7408">
        <f>IF(VLOOKUP(Table7[[#This Row],[Date]],Database!$A:$C,MATCH($C$1,Database!$A$1:$C$1,),)=0,#N/A,VLOOKUP(Table7[[#This Row],[Date]],Database!$A:$C,MATCH($C$1,Database!$A$1:$C$1,),))</f>
        <v/>
      </c>
      <c r="D7408">
        <f>IFERROR(Table7[[#This Row],[United States 10y]]-Table7[[#This Row],[United States 3y]],#N/A)</f>
        <v/>
      </c>
    </row>
    <row r="7409">
      <c r="A7409" s="6">
        <f>Database!$A9494</f>
        <v/>
      </c>
      <c r="B7409">
        <f>IF(VLOOKUP(Table7[[#This Row],[Date]],Database!$A:$C,MATCH($B$1,Database!$A$1:$C$1,),)=0,#N/A,VLOOKUP(Table7[[#This Row],[Date]],Database!$A:$C,MATCH($B$1,Database!$A$1:$C$1,),))</f>
        <v/>
      </c>
      <c r="C7409">
        <f>IF(VLOOKUP(Table7[[#This Row],[Date]],Database!$A:$C,MATCH($C$1,Database!$A$1:$C$1,),)=0,#N/A,VLOOKUP(Table7[[#This Row],[Date]],Database!$A:$C,MATCH($C$1,Database!$A$1:$C$1,),))</f>
        <v/>
      </c>
      <c r="D7409">
        <f>IFERROR(Table7[[#This Row],[United States 10y]]-Table7[[#This Row],[United States 3y]],#N/A)</f>
        <v/>
      </c>
    </row>
    <row r="7410">
      <c r="A7410" s="6">
        <f>Database!$A9495</f>
        <v/>
      </c>
      <c r="B7410">
        <f>IF(VLOOKUP(Table7[[#This Row],[Date]],Database!$A:$C,MATCH($B$1,Database!$A$1:$C$1,),)=0,#N/A,VLOOKUP(Table7[[#This Row],[Date]],Database!$A:$C,MATCH($B$1,Database!$A$1:$C$1,),))</f>
        <v/>
      </c>
      <c r="C7410">
        <f>IF(VLOOKUP(Table7[[#This Row],[Date]],Database!$A:$C,MATCH($C$1,Database!$A$1:$C$1,),)=0,#N/A,VLOOKUP(Table7[[#This Row],[Date]],Database!$A:$C,MATCH($C$1,Database!$A$1:$C$1,),))</f>
        <v/>
      </c>
      <c r="D7410">
        <f>IFERROR(Table7[[#This Row],[United States 10y]]-Table7[[#This Row],[United States 3y]],#N/A)</f>
        <v/>
      </c>
    </row>
    <row r="7411">
      <c r="A7411" s="6">
        <f>Database!$A9496</f>
        <v/>
      </c>
      <c r="B7411">
        <f>IF(VLOOKUP(Table7[[#This Row],[Date]],Database!$A:$C,MATCH($B$1,Database!$A$1:$C$1,),)=0,#N/A,VLOOKUP(Table7[[#This Row],[Date]],Database!$A:$C,MATCH($B$1,Database!$A$1:$C$1,),))</f>
        <v/>
      </c>
      <c r="C7411">
        <f>IF(VLOOKUP(Table7[[#This Row],[Date]],Database!$A:$C,MATCH($C$1,Database!$A$1:$C$1,),)=0,#N/A,VLOOKUP(Table7[[#This Row],[Date]],Database!$A:$C,MATCH($C$1,Database!$A$1:$C$1,),))</f>
        <v/>
      </c>
      <c r="D7411">
        <f>IFERROR(Table7[[#This Row],[United States 10y]]-Table7[[#This Row],[United States 3y]],#N/A)</f>
        <v/>
      </c>
    </row>
    <row r="7412">
      <c r="A7412" s="6">
        <f>Database!$A9497</f>
        <v/>
      </c>
      <c r="B7412">
        <f>IF(VLOOKUP(Table7[[#This Row],[Date]],Database!$A:$C,MATCH($B$1,Database!$A$1:$C$1,),)=0,#N/A,VLOOKUP(Table7[[#This Row],[Date]],Database!$A:$C,MATCH($B$1,Database!$A$1:$C$1,),))</f>
        <v/>
      </c>
      <c r="C7412">
        <f>IF(VLOOKUP(Table7[[#This Row],[Date]],Database!$A:$C,MATCH($C$1,Database!$A$1:$C$1,),)=0,#N/A,VLOOKUP(Table7[[#This Row],[Date]],Database!$A:$C,MATCH($C$1,Database!$A$1:$C$1,),))</f>
        <v/>
      </c>
      <c r="D7412">
        <f>IFERROR(Table7[[#This Row],[United States 10y]]-Table7[[#This Row],[United States 3y]],#N/A)</f>
        <v/>
      </c>
    </row>
    <row r="7413">
      <c r="A7413" s="6">
        <f>Database!$A9498</f>
        <v/>
      </c>
      <c r="B7413">
        <f>IF(VLOOKUP(Table7[[#This Row],[Date]],Database!$A:$C,MATCH($B$1,Database!$A$1:$C$1,),)=0,#N/A,VLOOKUP(Table7[[#This Row],[Date]],Database!$A:$C,MATCH($B$1,Database!$A$1:$C$1,),))</f>
        <v/>
      </c>
      <c r="C7413">
        <f>IF(VLOOKUP(Table7[[#This Row],[Date]],Database!$A:$C,MATCH($C$1,Database!$A$1:$C$1,),)=0,#N/A,VLOOKUP(Table7[[#This Row],[Date]],Database!$A:$C,MATCH($C$1,Database!$A$1:$C$1,),))</f>
        <v/>
      </c>
      <c r="D7413">
        <f>IFERROR(Table7[[#This Row],[United States 10y]]-Table7[[#This Row],[United States 3y]],#N/A)</f>
        <v/>
      </c>
    </row>
    <row r="7414">
      <c r="A7414" s="6">
        <f>Database!$A9499</f>
        <v/>
      </c>
      <c r="B7414">
        <f>IF(VLOOKUP(Table7[[#This Row],[Date]],Database!$A:$C,MATCH($B$1,Database!$A$1:$C$1,),)=0,#N/A,VLOOKUP(Table7[[#This Row],[Date]],Database!$A:$C,MATCH($B$1,Database!$A$1:$C$1,),))</f>
        <v/>
      </c>
      <c r="C7414">
        <f>IF(VLOOKUP(Table7[[#This Row],[Date]],Database!$A:$C,MATCH($C$1,Database!$A$1:$C$1,),)=0,#N/A,VLOOKUP(Table7[[#This Row],[Date]],Database!$A:$C,MATCH($C$1,Database!$A$1:$C$1,),))</f>
        <v/>
      </c>
      <c r="D7414">
        <f>IFERROR(Table7[[#This Row],[United States 10y]]-Table7[[#This Row],[United States 3y]],#N/A)</f>
        <v/>
      </c>
    </row>
    <row r="7415">
      <c r="A7415" s="6">
        <f>Database!$A9500</f>
        <v/>
      </c>
      <c r="B7415">
        <f>IF(VLOOKUP(Table7[[#This Row],[Date]],Database!$A:$C,MATCH($B$1,Database!$A$1:$C$1,),)=0,#N/A,VLOOKUP(Table7[[#This Row],[Date]],Database!$A:$C,MATCH($B$1,Database!$A$1:$C$1,),))</f>
        <v/>
      </c>
      <c r="C7415">
        <f>IF(VLOOKUP(Table7[[#This Row],[Date]],Database!$A:$C,MATCH($C$1,Database!$A$1:$C$1,),)=0,#N/A,VLOOKUP(Table7[[#This Row],[Date]],Database!$A:$C,MATCH($C$1,Database!$A$1:$C$1,),))</f>
        <v/>
      </c>
      <c r="D7415">
        <f>IFERROR(Table7[[#This Row],[United States 10y]]-Table7[[#This Row],[United States 3y]],#N/A)</f>
        <v/>
      </c>
    </row>
    <row r="7416">
      <c r="A7416" s="6">
        <f>Database!$A9501</f>
        <v/>
      </c>
      <c r="B7416">
        <f>IF(VLOOKUP(Table7[[#This Row],[Date]],Database!$A:$C,MATCH($B$1,Database!$A$1:$C$1,),)=0,#N/A,VLOOKUP(Table7[[#This Row],[Date]],Database!$A:$C,MATCH($B$1,Database!$A$1:$C$1,),))</f>
        <v/>
      </c>
      <c r="C7416">
        <f>IF(VLOOKUP(Table7[[#This Row],[Date]],Database!$A:$C,MATCH($C$1,Database!$A$1:$C$1,),)=0,#N/A,VLOOKUP(Table7[[#This Row],[Date]],Database!$A:$C,MATCH($C$1,Database!$A$1:$C$1,),))</f>
        <v/>
      </c>
      <c r="D7416">
        <f>IFERROR(Table7[[#This Row],[United States 10y]]-Table7[[#This Row],[United States 3y]],#N/A)</f>
        <v/>
      </c>
    </row>
    <row r="7417">
      <c r="A7417" s="6">
        <f>Database!$A9502</f>
        <v/>
      </c>
      <c r="B7417">
        <f>IF(VLOOKUP(Table7[[#This Row],[Date]],Database!$A:$C,MATCH($B$1,Database!$A$1:$C$1,),)=0,#N/A,VLOOKUP(Table7[[#This Row],[Date]],Database!$A:$C,MATCH($B$1,Database!$A$1:$C$1,),))</f>
        <v/>
      </c>
      <c r="C7417">
        <f>IF(VLOOKUP(Table7[[#This Row],[Date]],Database!$A:$C,MATCH($C$1,Database!$A$1:$C$1,),)=0,#N/A,VLOOKUP(Table7[[#This Row],[Date]],Database!$A:$C,MATCH($C$1,Database!$A$1:$C$1,),))</f>
        <v/>
      </c>
      <c r="D7417">
        <f>IFERROR(Table7[[#This Row],[United States 10y]]-Table7[[#This Row],[United States 3y]],#N/A)</f>
        <v/>
      </c>
    </row>
    <row r="7418">
      <c r="A7418" s="6">
        <f>Database!$A9503</f>
        <v/>
      </c>
      <c r="B7418">
        <f>IF(VLOOKUP(Table7[[#This Row],[Date]],Database!$A:$C,MATCH($B$1,Database!$A$1:$C$1,),)=0,#N/A,VLOOKUP(Table7[[#This Row],[Date]],Database!$A:$C,MATCH($B$1,Database!$A$1:$C$1,),))</f>
        <v/>
      </c>
      <c r="C7418">
        <f>IF(VLOOKUP(Table7[[#This Row],[Date]],Database!$A:$C,MATCH($C$1,Database!$A$1:$C$1,),)=0,#N/A,VLOOKUP(Table7[[#This Row],[Date]],Database!$A:$C,MATCH($C$1,Database!$A$1:$C$1,),))</f>
        <v/>
      </c>
      <c r="D7418">
        <f>IFERROR(Table7[[#This Row],[United States 10y]]-Table7[[#This Row],[United States 3y]],#N/A)</f>
        <v/>
      </c>
    </row>
    <row r="7419">
      <c r="A7419" s="6">
        <f>Database!$A9504</f>
        <v/>
      </c>
      <c r="B7419">
        <f>IF(VLOOKUP(Table7[[#This Row],[Date]],Database!$A:$C,MATCH($B$1,Database!$A$1:$C$1,),)=0,#N/A,VLOOKUP(Table7[[#This Row],[Date]],Database!$A:$C,MATCH($B$1,Database!$A$1:$C$1,),))</f>
        <v/>
      </c>
      <c r="C7419">
        <f>IF(VLOOKUP(Table7[[#This Row],[Date]],Database!$A:$C,MATCH($C$1,Database!$A$1:$C$1,),)=0,#N/A,VLOOKUP(Table7[[#This Row],[Date]],Database!$A:$C,MATCH($C$1,Database!$A$1:$C$1,),))</f>
        <v/>
      </c>
      <c r="D7419">
        <f>IFERROR(Table7[[#This Row],[United States 10y]]-Table7[[#This Row],[United States 3y]],#N/A)</f>
        <v/>
      </c>
    </row>
    <row r="7420">
      <c r="A7420" s="6">
        <f>Database!$A9505</f>
        <v/>
      </c>
      <c r="B7420">
        <f>IF(VLOOKUP(Table7[[#This Row],[Date]],Database!$A:$C,MATCH($B$1,Database!$A$1:$C$1,),)=0,#N/A,VLOOKUP(Table7[[#This Row],[Date]],Database!$A:$C,MATCH($B$1,Database!$A$1:$C$1,),))</f>
        <v/>
      </c>
      <c r="C7420">
        <f>IF(VLOOKUP(Table7[[#This Row],[Date]],Database!$A:$C,MATCH($C$1,Database!$A$1:$C$1,),)=0,#N/A,VLOOKUP(Table7[[#This Row],[Date]],Database!$A:$C,MATCH($C$1,Database!$A$1:$C$1,),))</f>
        <v/>
      </c>
      <c r="D7420">
        <f>IFERROR(Table7[[#This Row],[United States 10y]]-Table7[[#This Row],[United States 3y]],#N/A)</f>
        <v/>
      </c>
    </row>
    <row r="7421">
      <c r="A7421" s="6">
        <f>Database!$A9506</f>
        <v/>
      </c>
      <c r="B7421">
        <f>IF(VLOOKUP(Table7[[#This Row],[Date]],Database!$A:$C,MATCH($B$1,Database!$A$1:$C$1,),)=0,#N/A,VLOOKUP(Table7[[#This Row],[Date]],Database!$A:$C,MATCH($B$1,Database!$A$1:$C$1,),))</f>
        <v/>
      </c>
      <c r="C7421">
        <f>IF(VLOOKUP(Table7[[#This Row],[Date]],Database!$A:$C,MATCH($C$1,Database!$A$1:$C$1,),)=0,#N/A,VLOOKUP(Table7[[#This Row],[Date]],Database!$A:$C,MATCH($C$1,Database!$A$1:$C$1,),))</f>
        <v/>
      </c>
      <c r="D7421">
        <f>IFERROR(Table7[[#This Row],[United States 10y]]-Table7[[#This Row],[United States 3y]],#N/A)</f>
        <v/>
      </c>
    </row>
    <row r="7422">
      <c r="A7422" s="6">
        <f>Database!$A9507</f>
        <v/>
      </c>
      <c r="B7422">
        <f>IF(VLOOKUP(Table7[[#This Row],[Date]],Database!$A:$C,MATCH($B$1,Database!$A$1:$C$1,),)=0,#N/A,VLOOKUP(Table7[[#This Row],[Date]],Database!$A:$C,MATCH($B$1,Database!$A$1:$C$1,),))</f>
        <v/>
      </c>
      <c r="C7422">
        <f>IF(VLOOKUP(Table7[[#This Row],[Date]],Database!$A:$C,MATCH($C$1,Database!$A$1:$C$1,),)=0,#N/A,VLOOKUP(Table7[[#This Row],[Date]],Database!$A:$C,MATCH($C$1,Database!$A$1:$C$1,),))</f>
        <v/>
      </c>
      <c r="D7422">
        <f>IFERROR(Table7[[#This Row],[United States 10y]]-Table7[[#This Row],[United States 3y]],#N/A)</f>
        <v/>
      </c>
    </row>
    <row r="7423">
      <c r="A7423" s="6">
        <f>Database!$A9508</f>
        <v/>
      </c>
      <c r="B7423">
        <f>IF(VLOOKUP(Table7[[#This Row],[Date]],Database!$A:$C,MATCH($B$1,Database!$A$1:$C$1,),)=0,#N/A,VLOOKUP(Table7[[#This Row],[Date]],Database!$A:$C,MATCH($B$1,Database!$A$1:$C$1,),))</f>
        <v/>
      </c>
      <c r="C7423">
        <f>IF(VLOOKUP(Table7[[#This Row],[Date]],Database!$A:$C,MATCH($C$1,Database!$A$1:$C$1,),)=0,#N/A,VLOOKUP(Table7[[#This Row],[Date]],Database!$A:$C,MATCH($C$1,Database!$A$1:$C$1,),))</f>
        <v/>
      </c>
      <c r="D7423">
        <f>IFERROR(Table7[[#This Row],[United States 10y]]-Table7[[#This Row],[United States 3y]],#N/A)</f>
        <v/>
      </c>
    </row>
    <row r="7424">
      <c r="A7424" s="6">
        <f>Database!$A9509</f>
        <v/>
      </c>
      <c r="B7424">
        <f>IF(VLOOKUP(Table7[[#This Row],[Date]],Database!$A:$C,MATCH($B$1,Database!$A$1:$C$1,),)=0,#N/A,VLOOKUP(Table7[[#This Row],[Date]],Database!$A:$C,MATCH($B$1,Database!$A$1:$C$1,),))</f>
        <v/>
      </c>
      <c r="C7424">
        <f>IF(VLOOKUP(Table7[[#This Row],[Date]],Database!$A:$C,MATCH($C$1,Database!$A$1:$C$1,),)=0,#N/A,VLOOKUP(Table7[[#This Row],[Date]],Database!$A:$C,MATCH($C$1,Database!$A$1:$C$1,),))</f>
        <v/>
      </c>
      <c r="D7424">
        <f>IFERROR(Table7[[#This Row],[United States 10y]]-Table7[[#This Row],[United States 3y]],#N/A)</f>
        <v/>
      </c>
    </row>
    <row r="7425">
      <c r="A7425" s="6">
        <f>Database!$A9510</f>
        <v/>
      </c>
      <c r="B7425">
        <f>IF(VLOOKUP(Table7[[#This Row],[Date]],Database!$A:$C,MATCH($B$1,Database!$A$1:$C$1,),)=0,#N/A,VLOOKUP(Table7[[#This Row],[Date]],Database!$A:$C,MATCH($B$1,Database!$A$1:$C$1,),))</f>
        <v/>
      </c>
      <c r="C7425">
        <f>IF(VLOOKUP(Table7[[#This Row],[Date]],Database!$A:$C,MATCH($C$1,Database!$A$1:$C$1,),)=0,#N/A,VLOOKUP(Table7[[#This Row],[Date]],Database!$A:$C,MATCH($C$1,Database!$A$1:$C$1,),))</f>
        <v/>
      </c>
      <c r="D7425">
        <f>IFERROR(Table7[[#This Row],[United States 10y]]-Table7[[#This Row],[United States 3y]],#N/A)</f>
        <v/>
      </c>
    </row>
    <row r="7426">
      <c r="A7426" s="6">
        <f>Database!$A9511</f>
        <v/>
      </c>
      <c r="B7426">
        <f>IF(VLOOKUP(Table7[[#This Row],[Date]],Database!$A:$C,MATCH($B$1,Database!$A$1:$C$1,),)=0,#N/A,VLOOKUP(Table7[[#This Row],[Date]],Database!$A:$C,MATCH($B$1,Database!$A$1:$C$1,),))</f>
        <v/>
      </c>
      <c r="C7426">
        <f>IF(VLOOKUP(Table7[[#This Row],[Date]],Database!$A:$C,MATCH($C$1,Database!$A$1:$C$1,),)=0,#N/A,VLOOKUP(Table7[[#This Row],[Date]],Database!$A:$C,MATCH($C$1,Database!$A$1:$C$1,),))</f>
        <v/>
      </c>
      <c r="D7426">
        <f>IFERROR(Table7[[#This Row],[United States 10y]]-Table7[[#This Row],[United States 3y]],#N/A)</f>
        <v/>
      </c>
    </row>
    <row r="7427">
      <c r="A7427" s="6">
        <f>Database!$A9512</f>
        <v/>
      </c>
      <c r="B7427">
        <f>IF(VLOOKUP(Table7[[#This Row],[Date]],Database!$A:$C,MATCH($B$1,Database!$A$1:$C$1,),)=0,#N/A,VLOOKUP(Table7[[#This Row],[Date]],Database!$A:$C,MATCH($B$1,Database!$A$1:$C$1,),))</f>
        <v/>
      </c>
      <c r="C7427">
        <f>IF(VLOOKUP(Table7[[#This Row],[Date]],Database!$A:$C,MATCH($C$1,Database!$A$1:$C$1,),)=0,#N/A,VLOOKUP(Table7[[#This Row],[Date]],Database!$A:$C,MATCH($C$1,Database!$A$1:$C$1,),))</f>
        <v/>
      </c>
      <c r="D7427">
        <f>IFERROR(Table7[[#This Row],[United States 10y]]-Table7[[#This Row],[United States 3y]],#N/A)</f>
        <v/>
      </c>
    </row>
    <row r="7428">
      <c r="A7428" s="6">
        <f>Database!$A9513</f>
        <v/>
      </c>
      <c r="B7428">
        <f>IF(VLOOKUP(Table7[[#This Row],[Date]],Database!$A:$C,MATCH($B$1,Database!$A$1:$C$1,),)=0,#N/A,VLOOKUP(Table7[[#This Row],[Date]],Database!$A:$C,MATCH($B$1,Database!$A$1:$C$1,),))</f>
        <v/>
      </c>
      <c r="C7428">
        <f>IF(VLOOKUP(Table7[[#This Row],[Date]],Database!$A:$C,MATCH($C$1,Database!$A$1:$C$1,),)=0,#N/A,VLOOKUP(Table7[[#This Row],[Date]],Database!$A:$C,MATCH($C$1,Database!$A$1:$C$1,),))</f>
        <v/>
      </c>
      <c r="D7428">
        <f>IFERROR(Table7[[#This Row],[United States 10y]]-Table7[[#This Row],[United States 3y]],#N/A)</f>
        <v/>
      </c>
    </row>
    <row r="7429">
      <c r="A7429" s="6">
        <f>Database!$A9514</f>
        <v/>
      </c>
      <c r="B7429">
        <f>IF(VLOOKUP(Table7[[#This Row],[Date]],Database!$A:$C,MATCH($B$1,Database!$A$1:$C$1,),)=0,#N/A,VLOOKUP(Table7[[#This Row],[Date]],Database!$A:$C,MATCH($B$1,Database!$A$1:$C$1,),))</f>
        <v/>
      </c>
      <c r="C7429">
        <f>IF(VLOOKUP(Table7[[#This Row],[Date]],Database!$A:$C,MATCH($C$1,Database!$A$1:$C$1,),)=0,#N/A,VLOOKUP(Table7[[#This Row],[Date]],Database!$A:$C,MATCH($C$1,Database!$A$1:$C$1,),))</f>
        <v/>
      </c>
      <c r="D7429">
        <f>IFERROR(Table7[[#This Row],[United States 10y]]-Table7[[#This Row],[United States 3y]],#N/A)</f>
        <v/>
      </c>
    </row>
    <row r="7430">
      <c r="A7430" s="6">
        <f>Database!$A9515</f>
        <v/>
      </c>
      <c r="B7430">
        <f>IF(VLOOKUP(Table7[[#This Row],[Date]],Database!$A:$C,MATCH($B$1,Database!$A$1:$C$1,),)=0,#N/A,VLOOKUP(Table7[[#This Row],[Date]],Database!$A:$C,MATCH($B$1,Database!$A$1:$C$1,),))</f>
        <v/>
      </c>
      <c r="C7430">
        <f>IF(VLOOKUP(Table7[[#This Row],[Date]],Database!$A:$C,MATCH($C$1,Database!$A$1:$C$1,),)=0,#N/A,VLOOKUP(Table7[[#This Row],[Date]],Database!$A:$C,MATCH($C$1,Database!$A$1:$C$1,),))</f>
        <v/>
      </c>
      <c r="D7430">
        <f>IFERROR(Table7[[#This Row],[United States 10y]]-Table7[[#This Row],[United States 3y]],#N/A)</f>
        <v/>
      </c>
    </row>
    <row r="7431">
      <c r="A7431" s="6">
        <f>Database!$A9516</f>
        <v/>
      </c>
      <c r="B7431">
        <f>IF(VLOOKUP(Table7[[#This Row],[Date]],Database!$A:$C,MATCH($B$1,Database!$A$1:$C$1,),)=0,#N/A,VLOOKUP(Table7[[#This Row],[Date]],Database!$A:$C,MATCH($B$1,Database!$A$1:$C$1,),))</f>
        <v/>
      </c>
      <c r="C7431">
        <f>IF(VLOOKUP(Table7[[#This Row],[Date]],Database!$A:$C,MATCH($C$1,Database!$A$1:$C$1,),)=0,#N/A,VLOOKUP(Table7[[#This Row],[Date]],Database!$A:$C,MATCH($C$1,Database!$A$1:$C$1,),))</f>
        <v/>
      </c>
      <c r="D7431">
        <f>IFERROR(Table7[[#This Row],[United States 10y]]-Table7[[#This Row],[United States 3y]],#N/A)</f>
        <v/>
      </c>
    </row>
    <row r="7432">
      <c r="A7432" s="6">
        <f>Database!$A9517</f>
        <v/>
      </c>
      <c r="B7432">
        <f>IF(VLOOKUP(Table7[[#This Row],[Date]],Database!$A:$C,MATCH($B$1,Database!$A$1:$C$1,),)=0,#N/A,VLOOKUP(Table7[[#This Row],[Date]],Database!$A:$C,MATCH($B$1,Database!$A$1:$C$1,),))</f>
        <v/>
      </c>
      <c r="C7432">
        <f>IF(VLOOKUP(Table7[[#This Row],[Date]],Database!$A:$C,MATCH($C$1,Database!$A$1:$C$1,),)=0,#N/A,VLOOKUP(Table7[[#This Row],[Date]],Database!$A:$C,MATCH($C$1,Database!$A$1:$C$1,),))</f>
        <v/>
      </c>
      <c r="D7432">
        <f>IFERROR(Table7[[#This Row],[United States 10y]]-Table7[[#This Row],[United States 3y]],#N/A)</f>
        <v/>
      </c>
    </row>
    <row r="7433">
      <c r="A7433" s="6">
        <f>Database!$A9518</f>
        <v/>
      </c>
      <c r="B7433">
        <f>IF(VLOOKUP(Table7[[#This Row],[Date]],Database!$A:$C,MATCH($B$1,Database!$A$1:$C$1,),)=0,#N/A,VLOOKUP(Table7[[#This Row],[Date]],Database!$A:$C,MATCH($B$1,Database!$A$1:$C$1,),))</f>
        <v/>
      </c>
      <c r="C7433">
        <f>IF(VLOOKUP(Table7[[#This Row],[Date]],Database!$A:$C,MATCH($C$1,Database!$A$1:$C$1,),)=0,#N/A,VLOOKUP(Table7[[#This Row],[Date]],Database!$A:$C,MATCH($C$1,Database!$A$1:$C$1,),))</f>
        <v/>
      </c>
      <c r="D7433">
        <f>IFERROR(Table7[[#This Row],[United States 10y]]-Table7[[#This Row],[United States 3y]],#N/A)</f>
        <v/>
      </c>
    </row>
    <row r="7434">
      <c r="A7434" s="6">
        <f>Database!$A9519</f>
        <v/>
      </c>
      <c r="B7434">
        <f>IF(VLOOKUP(Table7[[#This Row],[Date]],Database!$A:$C,MATCH($B$1,Database!$A$1:$C$1,),)=0,#N/A,VLOOKUP(Table7[[#This Row],[Date]],Database!$A:$C,MATCH($B$1,Database!$A$1:$C$1,),))</f>
        <v/>
      </c>
      <c r="C7434">
        <f>IF(VLOOKUP(Table7[[#This Row],[Date]],Database!$A:$C,MATCH($C$1,Database!$A$1:$C$1,),)=0,#N/A,VLOOKUP(Table7[[#This Row],[Date]],Database!$A:$C,MATCH($C$1,Database!$A$1:$C$1,),))</f>
        <v/>
      </c>
      <c r="D7434">
        <f>IFERROR(Table7[[#This Row],[United States 10y]]-Table7[[#This Row],[United States 3y]],#N/A)</f>
        <v/>
      </c>
    </row>
    <row r="7435">
      <c r="A7435" s="6">
        <f>Database!$A9520</f>
        <v/>
      </c>
      <c r="B7435">
        <f>IF(VLOOKUP(Table7[[#This Row],[Date]],Database!$A:$C,MATCH($B$1,Database!$A$1:$C$1,),)=0,#N/A,VLOOKUP(Table7[[#This Row],[Date]],Database!$A:$C,MATCH($B$1,Database!$A$1:$C$1,),))</f>
        <v/>
      </c>
      <c r="C7435">
        <f>IF(VLOOKUP(Table7[[#This Row],[Date]],Database!$A:$C,MATCH($C$1,Database!$A$1:$C$1,),)=0,#N/A,VLOOKUP(Table7[[#This Row],[Date]],Database!$A:$C,MATCH($C$1,Database!$A$1:$C$1,),))</f>
        <v/>
      </c>
      <c r="D7435">
        <f>IFERROR(Table7[[#This Row],[United States 10y]]-Table7[[#This Row],[United States 3y]],#N/A)</f>
        <v/>
      </c>
    </row>
    <row r="7436">
      <c r="A7436" s="6">
        <f>Database!$A9521</f>
        <v/>
      </c>
      <c r="B7436">
        <f>IF(VLOOKUP(Table7[[#This Row],[Date]],Database!$A:$C,MATCH($B$1,Database!$A$1:$C$1,),)=0,#N/A,VLOOKUP(Table7[[#This Row],[Date]],Database!$A:$C,MATCH($B$1,Database!$A$1:$C$1,),))</f>
        <v/>
      </c>
      <c r="C7436">
        <f>IF(VLOOKUP(Table7[[#This Row],[Date]],Database!$A:$C,MATCH($C$1,Database!$A$1:$C$1,),)=0,#N/A,VLOOKUP(Table7[[#This Row],[Date]],Database!$A:$C,MATCH($C$1,Database!$A$1:$C$1,),))</f>
        <v/>
      </c>
      <c r="D7436">
        <f>IFERROR(Table7[[#This Row],[United States 10y]]-Table7[[#This Row],[United States 3y]],#N/A)</f>
        <v/>
      </c>
    </row>
    <row r="7437">
      <c r="A7437" s="6">
        <f>Database!$A9522</f>
        <v/>
      </c>
      <c r="B7437">
        <f>IF(VLOOKUP(Table7[[#This Row],[Date]],Database!$A:$C,MATCH($B$1,Database!$A$1:$C$1,),)=0,#N/A,VLOOKUP(Table7[[#This Row],[Date]],Database!$A:$C,MATCH($B$1,Database!$A$1:$C$1,),))</f>
        <v/>
      </c>
      <c r="C7437">
        <f>IF(VLOOKUP(Table7[[#This Row],[Date]],Database!$A:$C,MATCH($C$1,Database!$A$1:$C$1,),)=0,#N/A,VLOOKUP(Table7[[#This Row],[Date]],Database!$A:$C,MATCH($C$1,Database!$A$1:$C$1,),))</f>
        <v/>
      </c>
      <c r="D7437">
        <f>IFERROR(Table7[[#This Row],[United States 10y]]-Table7[[#This Row],[United States 3y]],#N/A)</f>
        <v/>
      </c>
    </row>
    <row r="7438">
      <c r="A7438" s="6">
        <f>Database!$A9523</f>
        <v/>
      </c>
      <c r="B7438">
        <f>IF(VLOOKUP(Table7[[#This Row],[Date]],Database!$A:$C,MATCH($B$1,Database!$A$1:$C$1,),)=0,#N/A,VLOOKUP(Table7[[#This Row],[Date]],Database!$A:$C,MATCH($B$1,Database!$A$1:$C$1,),))</f>
        <v/>
      </c>
      <c r="C7438">
        <f>IF(VLOOKUP(Table7[[#This Row],[Date]],Database!$A:$C,MATCH($C$1,Database!$A$1:$C$1,),)=0,#N/A,VLOOKUP(Table7[[#This Row],[Date]],Database!$A:$C,MATCH($C$1,Database!$A$1:$C$1,),))</f>
        <v/>
      </c>
      <c r="D7438">
        <f>IFERROR(Table7[[#This Row],[United States 10y]]-Table7[[#This Row],[United States 3y]],#N/A)</f>
        <v/>
      </c>
    </row>
    <row r="7439">
      <c r="A7439" s="6">
        <f>Database!$A9524</f>
        <v/>
      </c>
      <c r="B7439">
        <f>IF(VLOOKUP(Table7[[#This Row],[Date]],Database!$A:$C,MATCH($B$1,Database!$A$1:$C$1,),)=0,#N/A,VLOOKUP(Table7[[#This Row],[Date]],Database!$A:$C,MATCH($B$1,Database!$A$1:$C$1,),))</f>
        <v/>
      </c>
      <c r="C7439">
        <f>IF(VLOOKUP(Table7[[#This Row],[Date]],Database!$A:$C,MATCH($C$1,Database!$A$1:$C$1,),)=0,#N/A,VLOOKUP(Table7[[#This Row],[Date]],Database!$A:$C,MATCH($C$1,Database!$A$1:$C$1,),))</f>
        <v/>
      </c>
      <c r="D7439">
        <f>IFERROR(Table7[[#This Row],[United States 10y]]-Table7[[#This Row],[United States 3y]],#N/A)</f>
        <v/>
      </c>
    </row>
    <row r="7440">
      <c r="A7440" s="6">
        <f>Database!$A9525</f>
        <v/>
      </c>
      <c r="B7440">
        <f>IF(VLOOKUP(Table7[[#This Row],[Date]],Database!$A:$C,MATCH($B$1,Database!$A$1:$C$1,),)=0,#N/A,VLOOKUP(Table7[[#This Row],[Date]],Database!$A:$C,MATCH($B$1,Database!$A$1:$C$1,),))</f>
        <v/>
      </c>
      <c r="C7440">
        <f>IF(VLOOKUP(Table7[[#This Row],[Date]],Database!$A:$C,MATCH($C$1,Database!$A$1:$C$1,),)=0,#N/A,VLOOKUP(Table7[[#This Row],[Date]],Database!$A:$C,MATCH($C$1,Database!$A$1:$C$1,),))</f>
        <v/>
      </c>
      <c r="D7440">
        <f>IFERROR(Table7[[#This Row],[United States 10y]]-Table7[[#This Row],[United States 3y]],#N/A)</f>
        <v/>
      </c>
    </row>
    <row r="7441">
      <c r="A7441" s="6">
        <f>Database!$A9526</f>
        <v/>
      </c>
      <c r="B7441">
        <f>IF(VLOOKUP(Table7[[#This Row],[Date]],Database!$A:$C,MATCH($B$1,Database!$A$1:$C$1,),)=0,#N/A,VLOOKUP(Table7[[#This Row],[Date]],Database!$A:$C,MATCH($B$1,Database!$A$1:$C$1,),))</f>
        <v/>
      </c>
      <c r="C7441">
        <f>IF(VLOOKUP(Table7[[#This Row],[Date]],Database!$A:$C,MATCH($C$1,Database!$A$1:$C$1,),)=0,#N/A,VLOOKUP(Table7[[#This Row],[Date]],Database!$A:$C,MATCH($C$1,Database!$A$1:$C$1,),))</f>
        <v/>
      </c>
      <c r="D7441">
        <f>IFERROR(Table7[[#This Row],[United States 10y]]-Table7[[#This Row],[United States 3y]],#N/A)</f>
        <v/>
      </c>
    </row>
    <row r="7442">
      <c r="A7442" s="6">
        <f>Database!$A9527</f>
        <v/>
      </c>
      <c r="B7442">
        <f>IF(VLOOKUP(Table7[[#This Row],[Date]],Database!$A:$C,MATCH($B$1,Database!$A$1:$C$1,),)=0,#N/A,VLOOKUP(Table7[[#This Row],[Date]],Database!$A:$C,MATCH($B$1,Database!$A$1:$C$1,),))</f>
        <v/>
      </c>
      <c r="C7442">
        <f>IF(VLOOKUP(Table7[[#This Row],[Date]],Database!$A:$C,MATCH($C$1,Database!$A$1:$C$1,),)=0,#N/A,VLOOKUP(Table7[[#This Row],[Date]],Database!$A:$C,MATCH($C$1,Database!$A$1:$C$1,),))</f>
        <v/>
      </c>
      <c r="D7442">
        <f>IFERROR(Table7[[#This Row],[United States 10y]]-Table7[[#This Row],[United States 3y]],#N/A)</f>
        <v/>
      </c>
    </row>
    <row r="7443">
      <c r="A7443" s="6">
        <f>Database!$A9528</f>
        <v/>
      </c>
      <c r="B7443">
        <f>IF(VLOOKUP(Table7[[#This Row],[Date]],Database!$A:$C,MATCH($B$1,Database!$A$1:$C$1,),)=0,#N/A,VLOOKUP(Table7[[#This Row],[Date]],Database!$A:$C,MATCH($B$1,Database!$A$1:$C$1,),))</f>
        <v/>
      </c>
      <c r="C7443">
        <f>IF(VLOOKUP(Table7[[#This Row],[Date]],Database!$A:$C,MATCH($C$1,Database!$A$1:$C$1,),)=0,#N/A,VLOOKUP(Table7[[#This Row],[Date]],Database!$A:$C,MATCH($C$1,Database!$A$1:$C$1,),))</f>
        <v/>
      </c>
      <c r="D7443">
        <f>IFERROR(Table7[[#This Row],[United States 10y]]-Table7[[#This Row],[United States 3y]],#N/A)</f>
        <v/>
      </c>
    </row>
    <row r="7444">
      <c r="A7444" s="6">
        <f>Database!$A9529</f>
        <v/>
      </c>
      <c r="B7444">
        <f>IF(VLOOKUP(Table7[[#This Row],[Date]],Database!$A:$C,MATCH($B$1,Database!$A$1:$C$1,),)=0,#N/A,VLOOKUP(Table7[[#This Row],[Date]],Database!$A:$C,MATCH($B$1,Database!$A$1:$C$1,),))</f>
        <v/>
      </c>
      <c r="C7444">
        <f>IF(VLOOKUP(Table7[[#This Row],[Date]],Database!$A:$C,MATCH($C$1,Database!$A$1:$C$1,),)=0,#N/A,VLOOKUP(Table7[[#This Row],[Date]],Database!$A:$C,MATCH($C$1,Database!$A$1:$C$1,),))</f>
        <v/>
      </c>
      <c r="D7444">
        <f>IFERROR(Table7[[#This Row],[United States 10y]]-Table7[[#This Row],[United States 3y]],#N/A)</f>
        <v/>
      </c>
    </row>
    <row r="7445">
      <c r="A7445" s="6">
        <f>Database!$A9530</f>
        <v/>
      </c>
      <c r="B7445">
        <f>IF(VLOOKUP(Table7[[#This Row],[Date]],Database!$A:$C,MATCH($B$1,Database!$A$1:$C$1,),)=0,#N/A,VLOOKUP(Table7[[#This Row],[Date]],Database!$A:$C,MATCH($B$1,Database!$A$1:$C$1,),))</f>
        <v/>
      </c>
      <c r="C7445">
        <f>IF(VLOOKUP(Table7[[#This Row],[Date]],Database!$A:$C,MATCH($C$1,Database!$A$1:$C$1,),)=0,#N/A,VLOOKUP(Table7[[#This Row],[Date]],Database!$A:$C,MATCH($C$1,Database!$A$1:$C$1,),))</f>
        <v/>
      </c>
      <c r="D7445">
        <f>IFERROR(Table7[[#This Row],[United States 10y]]-Table7[[#This Row],[United States 3y]],#N/A)</f>
        <v/>
      </c>
    </row>
    <row r="7446">
      <c r="A7446" s="6">
        <f>Database!$A9531</f>
        <v/>
      </c>
      <c r="B7446">
        <f>IF(VLOOKUP(Table7[[#This Row],[Date]],Database!$A:$C,MATCH($B$1,Database!$A$1:$C$1,),)=0,#N/A,VLOOKUP(Table7[[#This Row],[Date]],Database!$A:$C,MATCH($B$1,Database!$A$1:$C$1,),))</f>
        <v/>
      </c>
      <c r="C7446">
        <f>IF(VLOOKUP(Table7[[#This Row],[Date]],Database!$A:$C,MATCH($C$1,Database!$A$1:$C$1,),)=0,#N/A,VLOOKUP(Table7[[#This Row],[Date]],Database!$A:$C,MATCH($C$1,Database!$A$1:$C$1,),))</f>
        <v/>
      </c>
      <c r="D7446">
        <f>IFERROR(Table7[[#This Row],[United States 10y]]-Table7[[#This Row],[United States 3y]],#N/A)</f>
        <v/>
      </c>
    </row>
    <row r="7447">
      <c r="A7447" s="6">
        <f>Database!$A9532</f>
        <v/>
      </c>
      <c r="B7447">
        <f>IF(VLOOKUP(Table7[[#This Row],[Date]],Database!$A:$C,MATCH($B$1,Database!$A$1:$C$1,),)=0,#N/A,VLOOKUP(Table7[[#This Row],[Date]],Database!$A:$C,MATCH($B$1,Database!$A$1:$C$1,),))</f>
        <v/>
      </c>
      <c r="C7447">
        <f>IF(VLOOKUP(Table7[[#This Row],[Date]],Database!$A:$C,MATCH($C$1,Database!$A$1:$C$1,),)=0,#N/A,VLOOKUP(Table7[[#This Row],[Date]],Database!$A:$C,MATCH($C$1,Database!$A$1:$C$1,),))</f>
        <v/>
      </c>
      <c r="D7447">
        <f>IFERROR(Table7[[#This Row],[United States 10y]]-Table7[[#This Row],[United States 3y]],#N/A)</f>
        <v/>
      </c>
    </row>
    <row r="7448">
      <c r="A7448" s="6">
        <f>Database!$A9533</f>
        <v/>
      </c>
      <c r="B7448">
        <f>IF(VLOOKUP(Table7[[#This Row],[Date]],Database!$A:$C,MATCH($B$1,Database!$A$1:$C$1,),)=0,#N/A,VLOOKUP(Table7[[#This Row],[Date]],Database!$A:$C,MATCH($B$1,Database!$A$1:$C$1,),))</f>
        <v/>
      </c>
      <c r="C7448">
        <f>IF(VLOOKUP(Table7[[#This Row],[Date]],Database!$A:$C,MATCH($C$1,Database!$A$1:$C$1,),)=0,#N/A,VLOOKUP(Table7[[#This Row],[Date]],Database!$A:$C,MATCH($C$1,Database!$A$1:$C$1,),))</f>
        <v/>
      </c>
      <c r="D7448">
        <f>IFERROR(Table7[[#This Row],[United States 10y]]-Table7[[#This Row],[United States 3y]],#N/A)</f>
        <v/>
      </c>
    </row>
    <row r="7449">
      <c r="A7449" s="6">
        <f>Database!$A9534</f>
        <v/>
      </c>
      <c r="B7449">
        <f>IF(VLOOKUP(Table7[[#This Row],[Date]],Database!$A:$C,MATCH($B$1,Database!$A$1:$C$1,),)=0,#N/A,VLOOKUP(Table7[[#This Row],[Date]],Database!$A:$C,MATCH($B$1,Database!$A$1:$C$1,),))</f>
        <v/>
      </c>
      <c r="C7449">
        <f>IF(VLOOKUP(Table7[[#This Row],[Date]],Database!$A:$C,MATCH($C$1,Database!$A$1:$C$1,),)=0,#N/A,VLOOKUP(Table7[[#This Row],[Date]],Database!$A:$C,MATCH($C$1,Database!$A$1:$C$1,),))</f>
        <v/>
      </c>
      <c r="D7449">
        <f>IFERROR(Table7[[#This Row],[United States 10y]]-Table7[[#This Row],[United States 3y]],#N/A)</f>
        <v/>
      </c>
    </row>
    <row r="7450">
      <c r="A7450" s="6">
        <f>Database!$A9535</f>
        <v/>
      </c>
      <c r="B7450">
        <f>IF(VLOOKUP(Table7[[#This Row],[Date]],Database!$A:$C,MATCH($B$1,Database!$A$1:$C$1,),)=0,#N/A,VLOOKUP(Table7[[#This Row],[Date]],Database!$A:$C,MATCH($B$1,Database!$A$1:$C$1,),))</f>
        <v/>
      </c>
      <c r="C7450">
        <f>IF(VLOOKUP(Table7[[#This Row],[Date]],Database!$A:$C,MATCH($C$1,Database!$A$1:$C$1,),)=0,#N/A,VLOOKUP(Table7[[#This Row],[Date]],Database!$A:$C,MATCH($C$1,Database!$A$1:$C$1,),))</f>
        <v/>
      </c>
      <c r="D7450">
        <f>IFERROR(Table7[[#This Row],[United States 10y]]-Table7[[#This Row],[United States 3y]],#N/A)</f>
        <v/>
      </c>
    </row>
    <row r="7451">
      <c r="A7451" s="6">
        <f>Database!$A9536</f>
        <v/>
      </c>
      <c r="B7451">
        <f>IF(VLOOKUP(Table7[[#This Row],[Date]],Database!$A:$C,MATCH($B$1,Database!$A$1:$C$1,),)=0,#N/A,VLOOKUP(Table7[[#This Row],[Date]],Database!$A:$C,MATCH($B$1,Database!$A$1:$C$1,),))</f>
        <v/>
      </c>
      <c r="C7451">
        <f>IF(VLOOKUP(Table7[[#This Row],[Date]],Database!$A:$C,MATCH($C$1,Database!$A$1:$C$1,),)=0,#N/A,VLOOKUP(Table7[[#This Row],[Date]],Database!$A:$C,MATCH($C$1,Database!$A$1:$C$1,),))</f>
        <v/>
      </c>
      <c r="D7451">
        <f>IFERROR(Table7[[#This Row],[United States 10y]]-Table7[[#This Row],[United States 3y]],#N/A)</f>
        <v/>
      </c>
    </row>
    <row r="7452">
      <c r="A7452" s="6">
        <f>Database!$A9537</f>
        <v/>
      </c>
      <c r="B7452">
        <f>IF(VLOOKUP(Table7[[#This Row],[Date]],Database!$A:$C,MATCH($B$1,Database!$A$1:$C$1,),)=0,#N/A,VLOOKUP(Table7[[#This Row],[Date]],Database!$A:$C,MATCH($B$1,Database!$A$1:$C$1,),))</f>
        <v/>
      </c>
      <c r="C7452">
        <f>IF(VLOOKUP(Table7[[#This Row],[Date]],Database!$A:$C,MATCH($C$1,Database!$A$1:$C$1,),)=0,#N/A,VLOOKUP(Table7[[#This Row],[Date]],Database!$A:$C,MATCH($C$1,Database!$A$1:$C$1,),))</f>
        <v/>
      </c>
      <c r="D7452">
        <f>IFERROR(Table7[[#This Row],[United States 10y]]-Table7[[#This Row],[United States 3y]],#N/A)</f>
        <v/>
      </c>
    </row>
    <row r="7453">
      <c r="A7453" s="6">
        <f>Database!$A9538</f>
        <v/>
      </c>
      <c r="B7453">
        <f>IF(VLOOKUP(Table7[[#This Row],[Date]],Database!$A:$C,MATCH($B$1,Database!$A$1:$C$1,),)=0,#N/A,VLOOKUP(Table7[[#This Row],[Date]],Database!$A:$C,MATCH($B$1,Database!$A$1:$C$1,),))</f>
        <v/>
      </c>
      <c r="C7453">
        <f>IF(VLOOKUP(Table7[[#This Row],[Date]],Database!$A:$C,MATCH($C$1,Database!$A$1:$C$1,),)=0,#N/A,VLOOKUP(Table7[[#This Row],[Date]],Database!$A:$C,MATCH($C$1,Database!$A$1:$C$1,),))</f>
        <v/>
      </c>
      <c r="D7453">
        <f>IFERROR(Table7[[#This Row],[United States 10y]]-Table7[[#This Row],[United States 3y]],#N/A)</f>
        <v/>
      </c>
    </row>
    <row r="7454">
      <c r="A7454" s="6">
        <f>Database!$A9539</f>
        <v/>
      </c>
      <c r="B7454">
        <f>IF(VLOOKUP(Table7[[#This Row],[Date]],Database!$A:$C,MATCH($B$1,Database!$A$1:$C$1,),)=0,#N/A,VLOOKUP(Table7[[#This Row],[Date]],Database!$A:$C,MATCH($B$1,Database!$A$1:$C$1,),))</f>
        <v/>
      </c>
      <c r="C7454">
        <f>IF(VLOOKUP(Table7[[#This Row],[Date]],Database!$A:$C,MATCH($C$1,Database!$A$1:$C$1,),)=0,#N/A,VLOOKUP(Table7[[#This Row],[Date]],Database!$A:$C,MATCH($C$1,Database!$A$1:$C$1,),))</f>
        <v/>
      </c>
      <c r="D7454">
        <f>IFERROR(Table7[[#This Row],[United States 10y]]-Table7[[#This Row],[United States 3y]],#N/A)</f>
        <v/>
      </c>
    </row>
    <row r="7455">
      <c r="A7455" s="6">
        <f>Database!$A9540</f>
        <v/>
      </c>
      <c r="B7455">
        <f>IF(VLOOKUP(Table7[[#This Row],[Date]],Database!$A:$C,MATCH($B$1,Database!$A$1:$C$1,),)=0,#N/A,VLOOKUP(Table7[[#This Row],[Date]],Database!$A:$C,MATCH($B$1,Database!$A$1:$C$1,),))</f>
        <v/>
      </c>
      <c r="C7455">
        <f>IF(VLOOKUP(Table7[[#This Row],[Date]],Database!$A:$C,MATCH($C$1,Database!$A$1:$C$1,),)=0,#N/A,VLOOKUP(Table7[[#This Row],[Date]],Database!$A:$C,MATCH($C$1,Database!$A$1:$C$1,),))</f>
        <v/>
      </c>
      <c r="D7455">
        <f>IFERROR(Table7[[#This Row],[United States 10y]]-Table7[[#This Row],[United States 3y]],#N/A)</f>
        <v/>
      </c>
    </row>
    <row r="7456">
      <c r="A7456" s="6">
        <f>Database!$A9541</f>
        <v/>
      </c>
      <c r="B7456">
        <f>IF(VLOOKUP(Table7[[#This Row],[Date]],Database!$A:$C,MATCH($B$1,Database!$A$1:$C$1,),)=0,#N/A,VLOOKUP(Table7[[#This Row],[Date]],Database!$A:$C,MATCH($B$1,Database!$A$1:$C$1,),))</f>
        <v/>
      </c>
      <c r="C7456">
        <f>IF(VLOOKUP(Table7[[#This Row],[Date]],Database!$A:$C,MATCH($C$1,Database!$A$1:$C$1,),)=0,#N/A,VLOOKUP(Table7[[#This Row],[Date]],Database!$A:$C,MATCH($C$1,Database!$A$1:$C$1,),))</f>
        <v/>
      </c>
      <c r="D7456">
        <f>IFERROR(Table7[[#This Row],[United States 10y]]-Table7[[#This Row],[United States 3y]],#N/A)</f>
        <v/>
      </c>
    </row>
    <row r="7457">
      <c r="A7457" s="6">
        <f>Database!$A9542</f>
        <v/>
      </c>
      <c r="B7457">
        <f>IF(VLOOKUP(Table7[[#This Row],[Date]],Database!$A:$C,MATCH($B$1,Database!$A$1:$C$1,),)=0,#N/A,VLOOKUP(Table7[[#This Row],[Date]],Database!$A:$C,MATCH($B$1,Database!$A$1:$C$1,),))</f>
        <v/>
      </c>
      <c r="C7457">
        <f>IF(VLOOKUP(Table7[[#This Row],[Date]],Database!$A:$C,MATCH($C$1,Database!$A$1:$C$1,),)=0,#N/A,VLOOKUP(Table7[[#This Row],[Date]],Database!$A:$C,MATCH($C$1,Database!$A$1:$C$1,),))</f>
        <v/>
      </c>
      <c r="D7457">
        <f>IFERROR(Table7[[#This Row],[United States 10y]]-Table7[[#This Row],[United States 3y]],#N/A)</f>
        <v/>
      </c>
    </row>
    <row r="7458">
      <c r="A7458" s="6">
        <f>Database!$A9543</f>
        <v/>
      </c>
      <c r="B7458">
        <f>IF(VLOOKUP(Table7[[#This Row],[Date]],Database!$A:$C,MATCH($B$1,Database!$A$1:$C$1,),)=0,#N/A,VLOOKUP(Table7[[#This Row],[Date]],Database!$A:$C,MATCH($B$1,Database!$A$1:$C$1,),))</f>
        <v/>
      </c>
      <c r="C7458">
        <f>IF(VLOOKUP(Table7[[#This Row],[Date]],Database!$A:$C,MATCH($C$1,Database!$A$1:$C$1,),)=0,#N/A,VLOOKUP(Table7[[#This Row],[Date]],Database!$A:$C,MATCH($C$1,Database!$A$1:$C$1,),))</f>
        <v/>
      </c>
      <c r="D7458">
        <f>IFERROR(Table7[[#This Row],[United States 10y]]-Table7[[#This Row],[United States 3y]],#N/A)</f>
        <v/>
      </c>
    </row>
    <row r="7459">
      <c r="A7459" s="6">
        <f>Database!$A9544</f>
        <v/>
      </c>
      <c r="B7459">
        <f>IF(VLOOKUP(Table7[[#This Row],[Date]],Database!$A:$C,MATCH($B$1,Database!$A$1:$C$1,),)=0,#N/A,VLOOKUP(Table7[[#This Row],[Date]],Database!$A:$C,MATCH($B$1,Database!$A$1:$C$1,),))</f>
        <v/>
      </c>
      <c r="C7459">
        <f>IF(VLOOKUP(Table7[[#This Row],[Date]],Database!$A:$C,MATCH($C$1,Database!$A$1:$C$1,),)=0,#N/A,VLOOKUP(Table7[[#This Row],[Date]],Database!$A:$C,MATCH($C$1,Database!$A$1:$C$1,),))</f>
        <v/>
      </c>
      <c r="D7459">
        <f>IFERROR(Table7[[#This Row],[United States 10y]]-Table7[[#This Row],[United States 3y]],#N/A)</f>
        <v/>
      </c>
    </row>
    <row r="7460">
      <c r="A7460" s="6">
        <f>Database!$A9545</f>
        <v/>
      </c>
      <c r="B7460">
        <f>IF(VLOOKUP(Table7[[#This Row],[Date]],Database!$A:$C,MATCH($B$1,Database!$A$1:$C$1,),)=0,#N/A,VLOOKUP(Table7[[#This Row],[Date]],Database!$A:$C,MATCH($B$1,Database!$A$1:$C$1,),))</f>
        <v/>
      </c>
      <c r="C7460">
        <f>IF(VLOOKUP(Table7[[#This Row],[Date]],Database!$A:$C,MATCH($C$1,Database!$A$1:$C$1,),)=0,#N/A,VLOOKUP(Table7[[#This Row],[Date]],Database!$A:$C,MATCH($C$1,Database!$A$1:$C$1,),))</f>
        <v/>
      </c>
      <c r="D7460">
        <f>IFERROR(Table7[[#This Row],[United States 10y]]-Table7[[#This Row],[United States 3y]],#N/A)</f>
        <v/>
      </c>
    </row>
    <row r="7461">
      <c r="A7461" s="6">
        <f>Database!$A9546</f>
        <v/>
      </c>
      <c r="B7461">
        <f>IF(VLOOKUP(Table7[[#This Row],[Date]],Database!$A:$C,MATCH($B$1,Database!$A$1:$C$1,),)=0,#N/A,VLOOKUP(Table7[[#This Row],[Date]],Database!$A:$C,MATCH($B$1,Database!$A$1:$C$1,),))</f>
        <v/>
      </c>
      <c r="C7461">
        <f>IF(VLOOKUP(Table7[[#This Row],[Date]],Database!$A:$C,MATCH($C$1,Database!$A$1:$C$1,),)=0,#N/A,VLOOKUP(Table7[[#This Row],[Date]],Database!$A:$C,MATCH($C$1,Database!$A$1:$C$1,),))</f>
        <v/>
      </c>
      <c r="D7461">
        <f>IFERROR(Table7[[#This Row],[United States 10y]]-Table7[[#This Row],[United States 3y]],#N/A)</f>
        <v/>
      </c>
    </row>
    <row r="7462">
      <c r="A7462" s="6">
        <f>Database!$A9547</f>
        <v/>
      </c>
      <c r="B7462">
        <f>IF(VLOOKUP(Table7[[#This Row],[Date]],Database!$A:$C,MATCH($B$1,Database!$A$1:$C$1,),)=0,#N/A,VLOOKUP(Table7[[#This Row],[Date]],Database!$A:$C,MATCH($B$1,Database!$A$1:$C$1,),))</f>
        <v/>
      </c>
      <c r="C7462">
        <f>IF(VLOOKUP(Table7[[#This Row],[Date]],Database!$A:$C,MATCH($C$1,Database!$A$1:$C$1,),)=0,#N/A,VLOOKUP(Table7[[#This Row],[Date]],Database!$A:$C,MATCH($C$1,Database!$A$1:$C$1,),))</f>
        <v/>
      </c>
      <c r="D7462">
        <f>IFERROR(Table7[[#This Row],[United States 10y]]-Table7[[#This Row],[United States 3y]],#N/A)</f>
        <v/>
      </c>
    </row>
    <row r="7463">
      <c r="A7463" s="6">
        <f>Database!$A9548</f>
        <v/>
      </c>
      <c r="B7463">
        <f>IF(VLOOKUP(Table7[[#This Row],[Date]],Database!$A:$C,MATCH($B$1,Database!$A$1:$C$1,),)=0,#N/A,VLOOKUP(Table7[[#This Row],[Date]],Database!$A:$C,MATCH($B$1,Database!$A$1:$C$1,),))</f>
        <v/>
      </c>
      <c r="C7463">
        <f>IF(VLOOKUP(Table7[[#This Row],[Date]],Database!$A:$C,MATCH($C$1,Database!$A$1:$C$1,),)=0,#N/A,VLOOKUP(Table7[[#This Row],[Date]],Database!$A:$C,MATCH($C$1,Database!$A$1:$C$1,),))</f>
        <v/>
      </c>
      <c r="D7463">
        <f>IFERROR(Table7[[#This Row],[United States 10y]]-Table7[[#This Row],[United States 3y]],#N/A)</f>
        <v/>
      </c>
    </row>
    <row r="7464">
      <c r="A7464" s="6">
        <f>Database!$A9549</f>
        <v/>
      </c>
      <c r="B7464">
        <f>IF(VLOOKUP(Table7[[#This Row],[Date]],Database!$A:$C,MATCH($B$1,Database!$A$1:$C$1,),)=0,#N/A,VLOOKUP(Table7[[#This Row],[Date]],Database!$A:$C,MATCH($B$1,Database!$A$1:$C$1,),))</f>
        <v/>
      </c>
      <c r="C7464">
        <f>IF(VLOOKUP(Table7[[#This Row],[Date]],Database!$A:$C,MATCH($C$1,Database!$A$1:$C$1,),)=0,#N/A,VLOOKUP(Table7[[#This Row],[Date]],Database!$A:$C,MATCH($C$1,Database!$A$1:$C$1,),))</f>
        <v/>
      </c>
      <c r="D7464">
        <f>IFERROR(Table7[[#This Row],[United States 10y]]-Table7[[#This Row],[United States 3y]],#N/A)</f>
        <v/>
      </c>
    </row>
    <row r="7465">
      <c r="A7465" s="6">
        <f>Database!$A9550</f>
        <v/>
      </c>
      <c r="B7465">
        <f>IF(VLOOKUP(Table7[[#This Row],[Date]],Database!$A:$C,MATCH($B$1,Database!$A$1:$C$1,),)=0,#N/A,VLOOKUP(Table7[[#This Row],[Date]],Database!$A:$C,MATCH($B$1,Database!$A$1:$C$1,),))</f>
        <v/>
      </c>
      <c r="C7465">
        <f>IF(VLOOKUP(Table7[[#This Row],[Date]],Database!$A:$C,MATCH($C$1,Database!$A$1:$C$1,),)=0,#N/A,VLOOKUP(Table7[[#This Row],[Date]],Database!$A:$C,MATCH($C$1,Database!$A$1:$C$1,),))</f>
        <v/>
      </c>
      <c r="D7465">
        <f>IFERROR(Table7[[#This Row],[United States 10y]]-Table7[[#This Row],[United States 3y]],#N/A)</f>
        <v/>
      </c>
    </row>
    <row r="7466">
      <c r="A7466" s="6">
        <f>Database!$A9551</f>
        <v/>
      </c>
      <c r="B7466">
        <f>IF(VLOOKUP(Table7[[#This Row],[Date]],Database!$A:$C,MATCH($B$1,Database!$A$1:$C$1,),)=0,#N/A,VLOOKUP(Table7[[#This Row],[Date]],Database!$A:$C,MATCH($B$1,Database!$A$1:$C$1,),))</f>
        <v/>
      </c>
      <c r="C7466">
        <f>IF(VLOOKUP(Table7[[#This Row],[Date]],Database!$A:$C,MATCH($C$1,Database!$A$1:$C$1,),)=0,#N/A,VLOOKUP(Table7[[#This Row],[Date]],Database!$A:$C,MATCH($C$1,Database!$A$1:$C$1,),))</f>
        <v/>
      </c>
      <c r="D7466">
        <f>IFERROR(Table7[[#This Row],[United States 10y]]-Table7[[#This Row],[United States 3y]],#N/A)</f>
        <v/>
      </c>
    </row>
    <row r="7467">
      <c r="A7467" s="6">
        <f>Database!$A9552</f>
        <v/>
      </c>
      <c r="B7467">
        <f>IF(VLOOKUP(Table7[[#This Row],[Date]],Database!$A:$C,MATCH($B$1,Database!$A$1:$C$1,),)=0,#N/A,VLOOKUP(Table7[[#This Row],[Date]],Database!$A:$C,MATCH($B$1,Database!$A$1:$C$1,),))</f>
        <v/>
      </c>
      <c r="C7467">
        <f>IF(VLOOKUP(Table7[[#This Row],[Date]],Database!$A:$C,MATCH($C$1,Database!$A$1:$C$1,),)=0,#N/A,VLOOKUP(Table7[[#This Row],[Date]],Database!$A:$C,MATCH($C$1,Database!$A$1:$C$1,),))</f>
        <v/>
      </c>
      <c r="D7467">
        <f>IFERROR(Table7[[#This Row],[United States 10y]]-Table7[[#This Row],[United States 3y]],#N/A)</f>
        <v/>
      </c>
    </row>
    <row r="7468">
      <c r="A7468" s="6">
        <f>Database!$A9553</f>
        <v/>
      </c>
      <c r="B7468">
        <f>IF(VLOOKUP(Table7[[#This Row],[Date]],Database!$A:$C,MATCH($B$1,Database!$A$1:$C$1,),)=0,#N/A,VLOOKUP(Table7[[#This Row],[Date]],Database!$A:$C,MATCH($B$1,Database!$A$1:$C$1,),))</f>
        <v/>
      </c>
      <c r="C7468">
        <f>IF(VLOOKUP(Table7[[#This Row],[Date]],Database!$A:$C,MATCH($C$1,Database!$A$1:$C$1,),)=0,#N/A,VLOOKUP(Table7[[#This Row],[Date]],Database!$A:$C,MATCH($C$1,Database!$A$1:$C$1,),))</f>
        <v/>
      </c>
      <c r="D7468">
        <f>IFERROR(Table7[[#This Row],[United States 10y]]-Table7[[#This Row],[United States 3y]],#N/A)</f>
        <v/>
      </c>
    </row>
    <row r="7469">
      <c r="A7469" s="6">
        <f>Database!$A9554</f>
        <v/>
      </c>
      <c r="B7469">
        <f>IF(VLOOKUP(Table7[[#This Row],[Date]],Database!$A:$C,MATCH($B$1,Database!$A$1:$C$1,),)=0,#N/A,VLOOKUP(Table7[[#This Row],[Date]],Database!$A:$C,MATCH($B$1,Database!$A$1:$C$1,),))</f>
        <v/>
      </c>
      <c r="C7469">
        <f>IF(VLOOKUP(Table7[[#This Row],[Date]],Database!$A:$C,MATCH($C$1,Database!$A$1:$C$1,),)=0,#N/A,VLOOKUP(Table7[[#This Row],[Date]],Database!$A:$C,MATCH($C$1,Database!$A$1:$C$1,),))</f>
        <v/>
      </c>
      <c r="D7469">
        <f>IFERROR(Table7[[#This Row],[United States 10y]]-Table7[[#This Row],[United States 3y]],#N/A)</f>
        <v/>
      </c>
    </row>
    <row r="7470">
      <c r="A7470" s="6">
        <f>Database!$A9555</f>
        <v/>
      </c>
      <c r="B7470">
        <f>IF(VLOOKUP(Table7[[#This Row],[Date]],Database!$A:$C,MATCH($B$1,Database!$A$1:$C$1,),)=0,#N/A,VLOOKUP(Table7[[#This Row],[Date]],Database!$A:$C,MATCH($B$1,Database!$A$1:$C$1,),))</f>
        <v/>
      </c>
      <c r="C7470">
        <f>IF(VLOOKUP(Table7[[#This Row],[Date]],Database!$A:$C,MATCH($C$1,Database!$A$1:$C$1,),)=0,#N/A,VLOOKUP(Table7[[#This Row],[Date]],Database!$A:$C,MATCH($C$1,Database!$A$1:$C$1,),))</f>
        <v/>
      </c>
      <c r="D7470">
        <f>IFERROR(Table7[[#This Row],[United States 10y]]-Table7[[#This Row],[United States 3y]],#N/A)</f>
        <v/>
      </c>
    </row>
    <row r="7471">
      <c r="A7471" s="6">
        <f>Database!$A9556</f>
        <v/>
      </c>
      <c r="B7471">
        <f>IF(VLOOKUP(Table7[[#This Row],[Date]],Database!$A:$C,MATCH($B$1,Database!$A$1:$C$1,),)=0,#N/A,VLOOKUP(Table7[[#This Row],[Date]],Database!$A:$C,MATCH($B$1,Database!$A$1:$C$1,),))</f>
        <v/>
      </c>
      <c r="C7471">
        <f>IF(VLOOKUP(Table7[[#This Row],[Date]],Database!$A:$C,MATCH($C$1,Database!$A$1:$C$1,),)=0,#N/A,VLOOKUP(Table7[[#This Row],[Date]],Database!$A:$C,MATCH($C$1,Database!$A$1:$C$1,),))</f>
        <v/>
      </c>
      <c r="D7471">
        <f>IFERROR(Table7[[#This Row],[United States 10y]]-Table7[[#This Row],[United States 3y]],#N/A)</f>
        <v/>
      </c>
    </row>
    <row r="7472">
      <c r="A7472" s="6">
        <f>Database!$A9557</f>
        <v/>
      </c>
      <c r="B7472">
        <f>IF(VLOOKUP(Table7[[#This Row],[Date]],Database!$A:$C,MATCH($B$1,Database!$A$1:$C$1,),)=0,#N/A,VLOOKUP(Table7[[#This Row],[Date]],Database!$A:$C,MATCH($B$1,Database!$A$1:$C$1,),))</f>
        <v/>
      </c>
      <c r="C7472">
        <f>IF(VLOOKUP(Table7[[#This Row],[Date]],Database!$A:$C,MATCH($C$1,Database!$A$1:$C$1,),)=0,#N/A,VLOOKUP(Table7[[#This Row],[Date]],Database!$A:$C,MATCH($C$1,Database!$A$1:$C$1,),))</f>
        <v/>
      </c>
      <c r="D7472">
        <f>IFERROR(Table7[[#This Row],[United States 10y]]-Table7[[#This Row],[United States 3y]],#N/A)</f>
        <v/>
      </c>
    </row>
    <row r="7473">
      <c r="A7473" s="6">
        <f>Database!$A9558</f>
        <v/>
      </c>
      <c r="B7473">
        <f>IF(VLOOKUP(Table7[[#This Row],[Date]],Database!$A:$C,MATCH($B$1,Database!$A$1:$C$1,),)=0,#N/A,VLOOKUP(Table7[[#This Row],[Date]],Database!$A:$C,MATCH($B$1,Database!$A$1:$C$1,),))</f>
        <v/>
      </c>
      <c r="C7473">
        <f>IF(VLOOKUP(Table7[[#This Row],[Date]],Database!$A:$C,MATCH($C$1,Database!$A$1:$C$1,),)=0,#N/A,VLOOKUP(Table7[[#This Row],[Date]],Database!$A:$C,MATCH($C$1,Database!$A$1:$C$1,),))</f>
        <v/>
      </c>
      <c r="D7473">
        <f>IFERROR(Table7[[#This Row],[United States 10y]]-Table7[[#This Row],[United States 3y]],#N/A)</f>
        <v/>
      </c>
    </row>
    <row r="7474">
      <c r="A7474" s="6">
        <f>Database!$A9559</f>
        <v/>
      </c>
      <c r="B7474">
        <f>IF(VLOOKUP(Table7[[#This Row],[Date]],Database!$A:$C,MATCH($B$1,Database!$A$1:$C$1,),)=0,#N/A,VLOOKUP(Table7[[#This Row],[Date]],Database!$A:$C,MATCH($B$1,Database!$A$1:$C$1,),))</f>
        <v/>
      </c>
      <c r="C7474">
        <f>IF(VLOOKUP(Table7[[#This Row],[Date]],Database!$A:$C,MATCH($C$1,Database!$A$1:$C$1,),)=0,#N/A,VLOOKUP(Table7[[#This Row],[Date]],Database!$A:$C,MATCH($C$1,Database!$A$1:$C$1,),))</f>
        <v/>
      </c>
      <c r="D7474">
        <f>IFERROR(Table7[[#This Row],[United States 10y]]-Table7[[#This Row],[United States 3y]],#N/A)</f>
        <v/>
      </c>
    </row>
    <row r="7475">
      <c r="A7475" s="6">
        <f>Database!$A9560</f>
        <v/>
      </c>
      <c r="B7475">
        <f>IF(VLOOKUP(Table7[[#This Row],[Date]],Database!$A:$C,MATCH($B$1,Database!$A$1:$C$1,),)=0,#N/A,VLOOKUP(Table7[[#This Row],[Date]],Database!$A:$C,MATCH($B$1,Database!$A$1:$C$1,),))</f>
        <v/>
      </c>
      <c r="C7475">
        <f>IF(VLOOKUP(Table7[[#This Row],[Date]],Database!$A:$C,MATCH($C$1,Database!$A$1:$C$1,),)=0,#N/A,VLOOKUP(Table7[[#This Row],[Date]],Database!$A:$C,MATCH($C$1,Database!$A$1:$C$1,),))</f>
        <v/>
      </c>
      <c r="D7475">
        <f>IFERROR(Table7[[#This Row],[United States 10y]]-Table7[[#This Row],[United States 3y]],#N/A)</f>
        <v/>
      </c>
    </row>
    <row r="7476">
      <c r="A7476" s="6">
        <f>Database!$A9561</f>
        <v/>
      </c>
      <c r="B7476">
        <f>IF(VLOOKUP(Table7[[#This Row],[Date]],Database!$A:$C,MATCH($B$1,Database!$A$1:$C$1,),)=0,#N/A,VLOOKUP(Table7[[#This Row],[Date]],Database!$A:$C,MATCH($B$1,Database!$A$1:$C$1,),))</f>
        <v/>
      </c>
      <c r="C7476">
        <f>IF(VLOOKUP(Table7[[#This Row],[Date]],Database!$A:$C,MATCH($C$1,Database!$A$1:$C$1,),)=0,#N/A,VLOOKUP(Table7[[#This Row],[Date]],Database!$A:$C,MATCH($C$1,Database!$A$1:$C$1,),))</f>
        <v/>
      </c>
      <c r="D7476">
        <f>IFERROR(Table7[[#This Row],[United States 10y]]-Table7[[#This Row],[United States 3y]],#N/A)</f>
        <v/>
      </c>
    </row>
    <row r="7477">
      <c r="A7477" s="6">
        <f>Database!$A9562</f>
        <v/>
      </c>
      <c r="B7477">
        <f>IF(VLOOKUP(Table7[[#This Row],[Date]],Database!$A:$C,MATCH($B$1,Database!$A$1:$C$1,),)=0,#N/A,VLOOKUP(Table7[[#This Row],[Date]],Database!$A:$C,MATCH($B$1,Database!$A$1:$C$1,),))</f>
        <v/>
      </c>
      <c r="C7477">
        <f>IF(VLOOKUP(Table7[[#This Row],[Date]],Database!$A:$C,MATCH($C$1,Database!$A$1:$C$1,),)=0,#N/A,VLOOKUP(Table7[[#This Row],[Date]],Database!$A:$C,MATCH($C$1,Database!$A$1:$C$1,),))</f>
        <v/>
      </c>
      <c r="D7477">
        <f>IFERROR(Table7[[#This Row],[United States 10y]]-Table7[[#This Row],[United States 3y]],#N/A)</f>
        <v/>
      </c>
    </row>
    <row r="7478">
      <c r="A7478" s="6">
        <f>Database!$A9563</f>
        <v/>
      </c>
      <c r="B7478">
        <f>IF(VLOOKUP(Table7[[#This Row],[Date]],Database!$A:$C,MATCH($B$1,Database!$A$1:$C$1,),)=0,#N/A,VLOOKUP(Table7[[#This Row],[Date]],Database!$A:$C,MATCH($B$1,Database!$A$1:$C$1,),))</f>
        <v/>
      </c>
      <c r="C7478">
        <f>IF(VLOOKUP(Table7[[#This Row],[Date]],Database!$A:$C,MATCH($C$1,Database!$A$1:$C$1,),)=0,#N/A,VLOOKUP(Table7[[#This Row],[Date]],Database!$A:$C,MATCH($C$1,Database!$A$1:$C$1,),))</f>
        <v/>
      </c>
      <c r="D7478">
        <f>IFERROR(Table7[[#This Row],[United States 10y]]-Table7[[#This Row],[United States 3y]],#N/A)</f>
        <v/>
      </c>
    </row>
    <row r="7479">
      <c r="A7479" s="6">
        <f>Database!$A9564</f>
        <v/>
      </c>
      <c r="B7479">
        <f>IF(VLOOKUP(Table7[[#This Row],[Date]],Database!$A:$C,MATCH($B$1,Database!$A$1:$C$1,),)=0,#N/A,VLOOKUP(Table7[[#This Row],[Date]],Database!$A:$C,MATCH($B$1,Database!$A$1:$C$1,),))</f>
        <v/>
      </c>
      <c r="C7479">
        <f>IF(VLOOKUP(Table7[[#This Row],[Date]],Database!$A:$C,MATCH($C$1,Database!$A$1:$C$1,),)=0,#N/A,VLOOKUP(Table7[[#This Row],[Date]],Database!$A:$C,MATCH($C$1,Database!$A$1:$C$1,),))</f>
        <v/>
      </c>
      <c r="D7479">
        <f>IFERROR(Table7[[#This Row],[United States 10y]]-Table7[[#This Row],[United States 3y]],#N/A)</f>
        <v/>
      </c>
    </row>
    <row r="7480">
      <c r="A7480" s="6">
        <f>Database!$A9565</f>
        <v/>
      </c>
      <c r="B7480">
        <f>IF(VLOOKUP(Table7[[#This Row],[Date]],Database!$A:$C,MATCH($B$1,Database!$A$1:$C$1,),)=0,#N/A,VLOOKUP(Table7[[#This Row],[Date]],Database!$A:$C,MATCH($B$1,Database!$A$1:$C$1,),))</f>
        <v/>
      </c>
      <c r="C7480">
        <f>IF(VLOOKUP(Table7[[#This Row],[Date]],Database!$A:$C,MATCH($C$1,Database!$A$1:$C$1,),)=0,#N/A,VLOOKUP(Table7[[#This Row],[Date]],Database!$A:$C,MATCH($C$1,Database!$A$1:$C$1,),))</f>
        <v/>
      </c>
      <c r="D7480">
        <f>IFERROR(Table7[[#This Row],[United States 10y]]-Table7[[#This Row],[United States 3y]],#N/A)</f>
        <v/>
      </c>
    </row>
    <row r="7481">
      <c r="A7481" s="6">
        <f>Database!$A9566</f>
        <v/>
      </c>
      <c r="B7481">
        <f>IF(VLOOKUP(Table7[[#This Row],[Date]],Database!$A:$C,MATCH($B$1,Database!$A$1:$C$1,),)=0,#N/A,VLOOKUP(Table7[[#This Row],[Date]],Database!$A:$C,MATCH($B$1,Database!$A$1:$C$1,),))</f>
        <v/>
      </c>
      <c r="C7481">
        <f>IF(VLOOKUP(Table7[[#This Row],[Date]],Database!$A:$C,MATCH($C$1,Database!$A$1:$C$1,),)=0,#N/A,VLOOKUP(Table7[[#This Row],[Date]],Database!$A:$C,MATCH($C$1,Database!$A$1:$C$1,),))</f>
        <v/>
      </c>
      <c r="D7481">
        <f>IFERROR(Table7[[#This Row],[United States 10y]]-Table7[[#This Row],[United States 3y]],#N/A)</f>
        <v/>
      </c>
    </row>
    <row r="7482">
      <c r="A7482" s="6">
        <f>Database!$A9567</f>
        <v/>
      </c>
      <c r="B7482">
        <f>IF(VLOOKUP(Table7[[#This Row],[Date]],Database!$A:$C,MATCH($B$1,Database!$A$1:$C$1,),)=0,#N/A,VLOOKUP(Table7[[#This Row],[Date]],Database!$A:$C,MATCH($B$1,Database!$A$1:$C$1,),))</f>
        <v/>
      </c>
      <c r="C7482">
        <f>IF(VLOOKUP(Table7[[#This Row],[Date]],Database!$A:$C,MATCH($C$1,Database!$A$1:$C$1,),)=0,#N/A,VLOOKUP(Table7[[#This Row],[Date]],Database!$A:$C,MATCH($C$1,Database!$A$1:$C$1,),))</f>
        <v/>
      </c>
      <c r="D7482">
        <f>IFERROR(Table7[[#This Row],[United States 10y]]-Table7[[#This Row],[United States 3y]],#N/A)</f>
        <v/>
      </c>
    </row>
    <row r="7483">
      <c r="A7483" s="6">
        <f>Database!$A9568</f>
        <v/>
      </c>
      <c r="B7483">
        <f>IF(VLOOKUP(Table7[[#This Row],[Date]],Database!$A:$C,MATCH($B$1,Database!$A$1:$C$1,),)=0,#N/A,VLOOKUP(Table7[[#This Row],[Date]],Database!$A:$C,MATCH($B$1,Database!$A$1:$C$1,),))</f>
        <v/>
      </c>
      <c r="C7483">
        <f>IF(VLOOKUP(Table7[[#This Row],[Date]],Database!$A:$C,MATCH($C$1,Database!$A$1:$C$1,),)=0,#N/A,VLOOKUP(Table7[[#This Row],[Date]],Database!$A:$C,MATCH($C$1,Database!$A$1:$C$1,),))</f>
        <v/>
      </c>
      <c r="D7483">
        <f>IFERROR(Table7[[#This Row],[United States 10y]]-Table7[[#This Row],[United States 3y]],#N/A)</f>
        <v/>
      </c>
    </row>
    <row r="7484">
      <c r="A7484" s="6">
        <f>Database!$A9569</f>
        <v/>
      </c>
      <c r="B7484">
        <f>IF(VLOOKUP(Table7[[#This Row],[Date]],Database!$A:$C,MATCH($B$1,Database!$A$1:$C$1,),)=0,#N/A,VLOOKUP(Table7[[#This Row],[Date]],Database!$A:$C,MATCH($B$1,Database!$A$1:$C$1,),))</f>
        <v/>
      </c>
      <c r="C7484">
        <f>IF(VLOOKUP(Table7[[#This Row],[Date]],Database!$A:$C,MATCH($C$1,Database!$A$1:$C$1,),)=0,#N/A,VLOOKUP(Table7[[#This Row],[Date]],Database!$A:$C,MATCH($C$1,Database!$A$1:$C$1,),))</f>
        <v/>
      </c>
      <c r="D7484">
        <f>IFERROR(Table7[[#This Row],[United States 10y]]-Table7[[#This Row],[United States 3y]],#N/A)</f>
        <v/>
      </c>
    </row>
    <row r="7485">
      <c r="A7485" s="6">
        <f>Database!$A9570</f>
        <v/>
      </c>
      <c r="B7485">
        <f>IF(VLOOKUP(Table7[[#This Row],[Date]],Database!$A:$C,MATCH($B$1,Database!$A$1:$C$1,),)=0,#N/A,VLOOKUP(Table7[[#This Row],[Date]],Database!$A:$C,MATCH($B$1,Database!$A$1:$C$1,),))</f>
        <v/>
      </c>
      <c r="C7485">
        <f>IF(VLOOKUP(Table7[[#This Row],[Date]],Database!$A:$C,MATCH($C$1,Database!$A$1:$C$1,),)=0,#N/A,VLOOKUP(Table7[[#This Row],[Date]],Database!$A:$C,MATCH($C$1,Database!$A$1:$C$1,),))</f>
        <v/>
      </c>
      <c r="D7485">
        <f>IFERROR(Table7[[#This Row],[United States 10y]]-Table7[[#This Row],[United States 3y]],#N/A)</f>
        <v/>
      </c>
    </row>
    <row r="7486">
      <c r="A7486" s="6">
        <f>Database!$A9571</f>
        <v/>
      </c>
      <c r="B7486">
        <f>IF(VLOOKUP(Table7[[#This Row],[Date]],Database!$A:$C,MATCH($B$1,Database!$A$1:$C$1,),)=0,#N/A,VLOOKUP(Table7[[#This Row],[Date]],Database!$A:$C,MATCH($B$1,Database!$A$1:$C$1,),))</f>
        <v/>
      </c>
      <c r="C7486">
        <f>IF(VLOOKUP(Table7[[#This Row],[Date]],Database!$A:$C,MATCH($C$1,Database!$A$1:$C$1,),)=0,#N/A,VLOOKUP(Table7[[#This Row],[Date]],Database!$A:$C,MATCH($C$1,Database!$A$1:$C$1,),))</f>
        <v/>
      </c>
      <c r="D7486">
        <f>IFERROR(Table7[[#This Row],[United States 10y]]-Table7[[#This Row],[United States 3y]],#N/A)</f>
        <v/>
      </c>
    </row>
    <row r="7487">
      <c r="A7487" s="6">
        <f>Database!$A9572</f>
        <v/>
      </c>
      <c r="B7487">
        <f>IF(VLOOKUP(Table7[[#This Row],[Date]],Database!$A:$C,MATCH($B$1,Database!$A$1:$C$1,),)=0,#N/A,VLOOKUP(Table7[[#This Row],[Date]],Database!$A:$C,MATCH($B$1,Database!$A$1:$C$1,),))</f>
        <v/>
      </c>
      <c r="C7487">
        <f>IF(VLOOKUP(Table7[[#This Row],[Date]],Database!$A:$C,MATCH($C$1,Database!$A$1:$C$1,),)=0,#N/A,VLOOKUP(Table7[[#This Row],[Date]],Database!$A:$C,MATCH($C$1,Database!$A$1:$C$1,),))</f>
        <v/>
      </c>
      <c r="D7487">
        <f>IFERROR(Table7[[#This Row],[United States 10y]]-Table7[[#This Row],[United States 3y]],#N/A)</f>
        <v/>
      </c>
    </row>
    <row r="7488">
      <c r="A7488" s="6">
        <f>Database!$A9573</f>
        <v/>
      </c>
      <c r="B7488">
        <f>IF(VLOOKUP(Table7[[#This Row],[Date]],Database!$A:$C,MATCH($B$1,Database!$A$1:$C$1,),)=0,#N/A,VLOOKUP(Table7[[#This Row],[Date]],Database!$A:$C,MATCH($B$1,Database!$A$1:$C$1,),))</f>
        <v/>
      </c>
      <c r="C7488">
        <f>IF(VLOOKUP(Table7[[#This Row],[Date]],Database!$A:$C,MATCH($C$1,Database!$A$1:$C$1,),)=0,#N/A,VLOOKUP(Table7[[#This Row],[Date]],Database!$A:$C,MATCH($C$1,Database!$A$1:$C$1,),))</f>
        <v/>
      </c>
      <c r="D7488">
        <f>IFERROR(Table7[[#This Row],[United States 10y]]-Table7[[#This Row],[United States 3y]],#N/A)</f>
        <v/>
      </c>
    </row>
    <row r="7489">
      <c r="A7489" s="6">
        <f>Database!$A9574</f>
        <v/>
      </c>
      <c r="B7489">
        <f>IF(VLOOKUP(Table7[[#This Row],[Date]],Database!$A:$C,MATCH($B$1,Database!$A$1:$C$1,),)=0,#N/A,VLOOKUP(Table7[[#This Row],[Date]],Database!$A:$C,MATCH($B$1,Database!$A$1:$C$1,),))</f>
        <v/>
      </c>
      <c r="C7489">
        <f>IF(VLOOKUP(Table7[[#This Row],[Date]],Database!$A:$C,MATCH($C$1,Database!$A$1:$C$1,),)=0,#N/A,VLOOKUP(Table7[[#This Row],[Date]],Database!$A:$C,MATCH($C$1,Database!$A$1:$C$1,),))</f>
        <v/>
      </c>
      <c r="D7489">
        <f>IFERROR(Table7[[#This Row],[United States 10y]]-Table7[[#This Row],[United States 3y]],#N/A)</f>
        <v/>
      </c>
    </row>
    <row r="7490">
      <c r="A7490" s="6">
        <f>Database!$A9575</f>
        <v/>
      </c>
      <c r="B7490">
        <f>IF(VLOOKUP(Table7[[#This Row],[Date]],Database!$A:$C,MATCH($B$1,Database!$A$1:$C$1,),)=0,#N/A,VLOOKUP(Table7[[#This Row],[Date]],Database!$A:$C,MATCH($B$1,Database!$A$1:$C$1,),))</f>
        <v/>
      </c>
      <c r="C7490">
        <f>IF(VLOOKUP(Table7[[#This Row],[Date]],Database!$A:$C,MATCH($C$1,Database!$A$1:$C$1,),)=0,#N/A,VLOOKUP(Table7[[#This Row],[Date]],Database!$A:$C,MATCH($C$1,Database!$A$1:$C$1,),))</f>
        <v/>
      </c>
      <c r="D7490">
        <f>IFERROR(Table7[[#This Row],[United States 10y]]-Table7[[#This Row],[United States 3y]],#N/A)</f>
        <v/>
      </c>
    </row>
    <row r="7491">
      <c r="A7491" s="6">
        <f>Database!$A9576</f>
        <v/>
      </c>
      <c r="B7491">
        <f>IF(VLOOKUP(Table7[[#This Row],[Date]],Database!$A:$C,MATCH($B$1,Database!$A$1:$C$1,),)=0,#N/A,VLOOKUP(Table7[[#This Row],[Date]],Database!$A:$C,MATCH($B$1,Database!$A$1:$C$1,),))</f>
        <v/>
      </c>
      <c r="C7491">
        <f>IF(VLOOKUP(Table7[[#This Row],[Date]],Database!$A:$C,MATCH($C$1,Database!$A$1:$C$1,),)=0,#N/A,VLOOKUP(Table7[[#This Row],[Date]],Database!$A:$C,MATCH($C$1,Database!$A$1:$C$1,),))</f>
        <v/>
      </c>
      <c r="D7491">
        <f>IFERROR(Table7[[#This Row],[United States 10y]]-Table7[[#This Row],[United States 3y]],#N/A)</f>
        <v/>
      </c>
    </row>
    <row r="7492">
      <c r="A7492" s="6">
        <f>Database!$A9577</f>
        <v/>
      </c>
      <c r="B7492">
        <f>IF(VLOOKUP(Table7[[#This Row],[Date]],Database!$A:$C,MATCH($B$1,Database!$A$1:$C$1,),)=0,#N/A,VLOOKUP(Table7[[#This Row],[Date]],Database!$A:$C,MATCH($B$1,Database!$A$1:$C$1,),))</f>
        <v/>
      </c>
      <c r="C7492">
        <f>IF(VLOOKUP(Table7[[#This Row],[Date]],Database!$A:$C,MATCH($C$1,Database!$A$1:$C$1,),)=0,#N/A,VLOOKUP(Table7[[#This Row],[Date]],Database!$A:$C,MATCH($C$1,Database!$A$1:$C$1,),))</f>
        <v/>
      </c>
      <c r="D7492">
        <f>IFERROR(Table7[[#This Row],[United States 10y]]-Table7[[#This Row],[United States 3y]],#N/A)</f>
        <v/>
      </c>
    </row>
    <row r="7493">
      <c r="A7493" s="6">
        <f>Database!$A9578</f>
        <v/>
      </c>
      <c r="B7493">
        <f>IF(VLOOKUP(Table7[[#This Row],[Date]],Database!$A:$C,MATCH($B$1,Database!$A$1:$C$1,),)=0,#N/A,VLOOKUP(Table7[[#This Row],[Date]],Database!$A:$C,MATCH($B$1,Database!$A$1:$C$1,),))</f>
        <v/>
      </c>
      <c r="C7493">
        <f>IF(VLOOKUP(Table7[[#This Row],[Date]],Database!$A:$C,MATCH($C$1,Database!$A$1:$C$1,),)=0,#N/A,VLOOKUP(Table7[[#This Row],[Date]],Database!$A:$C,MATCH($C$1,Database!$A$1:$C$1,),))</f>
        <v/>
      </c>
      <c r="D7493">
        <f>IFERROR(Table7[[#This Row],[United States 10y]]-Table7[[#This Row],[United States 3y]],#N/A)</f>
        <v/>
      </c>
    </row>
    <row r="7494">
      <c r="A7494" s="6">
        <f>Database!$A9579</f>
        <v/>
      </c>
      <c r="B7494">
        <f>IF(VLOOKUP(Table7[[#This Row],[Date]],Database!$A:$C,MATCH($B$1,Database!$A$1:$C$1,),)=0,#N/A,VLOOKUP(Table7[[#This Row],[Date]],Database!$A:$C,MATCH($B$1,Database!$A$1:$C$1,),))</f>
        <v/>
      </c>
      <c r="C7494">
        <f>IF(VLOOKUP(Table7[[#This Row],[Date]],Database!$A:$C,MATCH($C$1,Database!$A$1:$C$1,),)=0,#N/A,VLOOKUP(Table7[[#This Row],[Date]],Database!$A:$C,MATCH($C$1,Database!$A$1:$C$1,),))</f>
        <v/>
      </c>
      <c r="D7494">
        <f>IFERROR(Table7[[#This Row],[United States 10y]]-Table7[[#This Row],[United States 3y]],#N/A)</f>
        <v/>
      </c>
    </row>
    <row r="7495">
      <c r="A7495" s="6">
        <f>Database!$A9580</f>
        <v/>
      </c>
      <c r="B7495">
        <f>IF(VLOOKUP(Table7[[#This Row],[Date]],Database!$A:$C,MATCH($B$1,Database!$A$1:$C$1,),)=0,#N/A,VLOOKUP(Table7[[#This Row],[Date]],Database!$A:$C,MATCH($B$1,Database!$A$1:$C$1,),))</f>
        <v/>
      </c>
      <c r="C7495">
        <f>IF(VLOOKUP(Table7[[#This Row],[Date]],Database!$A:$C,MATCH($C$1,Database!$A$1:$C$1,),)=0,#N/A,VLOOKUP(Table7[[#This Row],[Date]],Database!$A:$C,MATCH($C$1,Database!$A$1:$C$1,),))</f>
        <v/>
      </c>
      <c r="D7495">
        <f>IFERROR(Table7[[#This Row],[United States 10y]]-Table7[[#This Row],[United States 3y]],#N/A)</f>
        <v/>
      </c>
    </row>
    <row r="7496">
      <c r="A7496" s="6">
        <f>Database!$A9581</f>
        <v/>
      </c>
      <c r="B7496">
        <f>IF(VLOOKUP(Table7[[#This Row],[Date]],Database!$A:$C,MATCH($B$1,Database!$A$1:$C$1,),)=0,#N/A,VLOOKUP(Table7[[#This Row],[Date]],Database!$A:$C,MATCH($B$1,Database!$A$1:$C$1,),))</f>
        <v/>
      </c>
      <c r="C7496">
        <f>IF(VLOOKUP(Table7[[#This Row],[Date]],Database!$A:$C,MATCH($C$1,Database!$A$1:$C$1,),)=0,#N/A,VLOOKUP(Table7[[#This Row],[Date]],Database!$A:$C,MATCH($C$1,Database!$A$1:$C$1,),))</f>
        <v/>
      </c>
      <c r="D7496">
        <f>IFERROR(Table7[[#This Row],[United States 10y]]-Table7[[#This Row],[United States 3y]],#N/A)</f>
        <v/>
      </c>
    </row>
    <row r="7497">
      <c r="A7497" s="6">
        <f>Database!$A9582</f>
        <v/>
      </c>
      <c r="B7497">
        <f>IF(VLOOKUP(Table7[[#This Row],[Date]],Database!$A:$C,MATCH($B$1,Database!$A$1:$C$1,),)=0,#N/A,VLOOKUP(Table7[[#This Row],[Date]],Database!$A:$C,MATCH($B$1,Database!$A$1:$C$1,),))</f>
        <v/>
      </c>
      <c r="C7497">
        <f>IF(VLOOKUP(Table7[[#This Row],[Date]],Database!$A:$C,MATCH($C$1,Database!$A$1:$C$1,),)=0,#N/A,VLOOKUP(Table7[[#This Row],[Date]],Database!$A:$C,MATCH($C$1,Database!$A$1:$C$1,),))</f>
        <v/>
      </c>
      <c r="D7497">
        <f>IFERROR(Table7[[#This Row],[United States 10y]]-Table7[[#This Row],[United States 3y]],#N/A)</f>
        <v/>
      </c>
    </row>
    <row r="7498">
      <c r="A7498" s="6">
        <f>Database!$A9583</f>
        <v/>
      </c>
      <c r="B7498">
        <f>IF(VLOOKUP(Table7[[#This Row],[Date]],Database!$A:$C,MATCH($B$1,Database!$A$1:$C$1,),)=0,#N/A,VLOOKUP(Table7[[#This Row],[Date]],Database!$A:$C,MATCH($B$1,Database!$A$1:$C$1,),))</f>
        <v/>
      </c>
      <c r="C7498">
        <f>IF(VLOOKUP(Table7[[#This Row],[Date]],Database!$A:$C,MATCH($C$1,Database!$A$1:$C$1,),)=0,#N/A,VLOOKUP(Table7[[#This Row],[Date]],Database!$A:$C,MATCH($C$1,Database!$A$1:$C$1,),))</f>
        <v/>
      </c>
      <c r="D7498">
        <f>IFERROR(Table7[[#This Row],[United States 10y]]-Table7[[#This Row],[United States 3y]],#N/A)</f>
        <v/>
      </c>
    </row>
    <row r="7499">
      <c r="A7499" s="6">
        <f>Database!$A9584</f>
        <v/>
      </c>
      <c r="B7499">
        <f>IF(VLOOKUP(Table7[[#This Row],[Date]],Database!$A:$C,MATCH($B$1,Database!$A$1:$C$1,),)=0,#N/A,VLOOKUP(Table7[[#This Row],[Date]],Database!$A:$C,MATCH($B$1,Database!$A$1:$C$1,),))</f>
        <v/>
      </c>
      <c r="C7499">
        <f>IF(VLOOKUP(Table7[[#This Row],[Date]],Database!$A:$C,MATCH($C$1,Database!$A$1:$C$1,),)=0,#N/A,VLOOKUP(Table7[[#This Row],[Date]],Database!$A:$C,MATCH($C$1,Database!$A$1:$C$1,),))</f>
        <v/>
      </c>
      <c r="D7499">
        <f>IFERROR(Table7[[#This Row],[United States 10y]]-Table7[[#This Row],[United States 3y]],#N/A)</f>
        <v/>
      </c>
    </row>
    <row r="7500">
      <c r="A7500" s="6">
        <f>Database!$A9585</f>
        <v/>
      </c>
      <c r="B7500">
        <f>IF(VLOOKUP(Table7[[#This Row],[Date]],Database!$A:$C,MATCH($B$1,Database!$A$1:$C$1,),)=0,#N/A,VLOOKUP(Table7[[#This Row],[Date]],Database!$A:$C,MATCH($B$1,Database!$A$1:$C$1,),))</f>
        <v/>
      </c>
      <c r="C7500">
        <f>IF(VLOOKUP(Table7[[#This Row],[Date]],Database!$A:$C,MATCH($C$1,Database!$A$1:$C$1,),)=0,#N/A,VLOOKUP(Table7[[#This Row],[Date]],Database!$A:$C,MATCH($C$1,Database!$A$1:$C$1,),))</f>
        <v/>
      </c>
      <c r="D7500">
        <f>IFERROR(Table7[[#This Row],[United States 10y]]-Table7[[#This Row],[United States 3y]],#N/A)</f>
        <v/>
      </c>
    </row>
    <row r="7501">
      <c r="A7501" s="6">
        <f>Database!$A9586</f>
        <v/>
      </c>
      <c r="B7501">
        <f>IF(VLOOKUP(Table7[[#This Row],[Date]],Database!$A:$C,MATCH($B$1,Database!$A$1:$C$1,),)=0,#N/A,VLOOKUP(Table7[[#This Row],[Date]],Database!$A:$C,MATCH($B$1,Database!$A$1:$C$1,),))</f>
        <v/>
      </c>
      <c r="C7501">
        <f>IF(VLOOKUP(Table7[[#This Row],[Date]],Database!$A:$C,MATCH($C$1,Database!$A$1:$C$1,),)=0,#N/A,VLOOKUP(Table7[[#This Row],[Date]],Database!$A:$C,MATCH($C$1,Database!$A$1:$C$1,),))</f>
        <v/>
      </c>
      <c r="D7501">
        <f>IFERROR(Table7[[#This Row],[United States 10y]]-Table7[[#This Row],[United States 3y]],#N/A)</f>
        <v/>
      </c>
    </row>
    <row r="7502">
      <c r="A7502" s="6">
        <f>Database!$A9587</f>
        <v/>
      </c>
      <c r="B7502">
        <f>IF(VLOOKUP(Table7[[#This Row],[Date]],Database!$A:$C,MATCH($B$1,Database!$A$1:$C$1,),)=0,#N/A,VLOOKUP(Table7[[#This Row],[Date]],Database!$A:$C,MATCH($B$1,Database!$A$1:$C$1,),))</f>
        <v/>
      </c>
      <c r="C7502">
        <f>IF(VLOOKUP(Table7[[#This Row],[Date]],Database!$A:$C,MATCH($C$1,Database!$A$1:$C$1,),)=0,#N/A,VLOOKUP(Table7[[#This Row],[Date]],Database!$A:$C,MATCH($C$1,Database!$A$1:$C$1,),))</f>
        <v/>
      </c>
      <c r="D7502">
        <f>IFERROR(Table7[[#This Row],[United States 10y]]-Table7[[#This Row],[United States 3y]],#N/A)</f>
        <v/>
      </c>
    </row>
    <row r="7503">
      <c r="A7503" s="6">
        <f>Database!$A9588</f>
        <v/>
      </c>
      <c r="B7503">
        <f>IF(VLOOKUP(Table7[[#This Row],[Date]],Database!$A:$C,MATCH($B$1,Database!$A$1:$C$1,),)=0,#N/A,VLOOKUP(Table7[[#This Row],[Date]],Database!$A:$C,MATCH($B$1,Database!$A$1:$C$1,),))</f>
        <v/>
      </c>
      <c r="C7503">
        <f>IF(VLOOKUP(Table7[[#This Row],[Date]],Database!$A:$C,MATCH($C$1,Database!$A$1:$C$1,),)=0,#N/A,VLOOKUP(Table7[[#This Row],[Date]],Database!$A:$C,MATCH($C$1,Database!$A$1:$C$1,),))</f>
        <v/>
      </c>
      <c r="D7503">
        <f>IFERROR(Table7[[#This Row],[United States 10y]]-Table7[[#This Row],[United States 3y]],#N/A)</f>
        <v/>
      </c>
    </row>
    <row r="7504">
      <c r="A7504" s="6">
        <f>Database!$A9589</f>
        <v/>
      </c>
      <c r="B7504">
        <f>IF(VLOOKUP(Table7[[#This Row],[Date]],Database!$A:$C,MATCH($B$1,Database!$A$1:$C$1,),)=0,#N/A,VLOOKUP(Table7[[#This Row],[Date]],Database!$A:$C,MATCH($B$1,Database!$A$1:$C$1,),))</f>
        <v/>
      </c>
      <c r="C7504">
        <f>IF(VLOOKUP(Table7[[#This Row],[Date]],Database!$A:$C,MATCH($C$1,Database!$A$1:$C$1,),)=0,#N/A,VLOOKUP(Table7[[#This Row],[Date]],Database!$A:$C,MATCH($C$1,Database!$A$1:$C$1,),))</f>
        <v/>
      </c>
      <c r="D7504">
        <f>IFERROR(Table7[[#This Row],[United States 10y]]-Table7[[#This Row],[United States 3y]],#N/A)</f>
        <v/>
      </c>
    </row>
    <row r="7505">
      <c r="A7505" s="6">
        <f>Database!$A9590</f>
        <v/>
      </c>
      <c r="B7505">
        <f>IF(VLOOKUP(Table7[[#This Row],[Date]],Database!$A:$C,MATCH($B$1,Database!$A$1:$C$1,),)=0,#N/A,VLOOKUP(Table7[[#This Row],[Date]],Database!$A:$C,MATCH($B$1,Database!$A$1:$C$1,),))</f>
        <v/>
      </c>
      <c r="C7505">
        <f>IF(VLOOKUP(Table7[[#This Row],[Date]],Database!$A:$C,MATCH($C$1,Database!$A$1:$C$1,),)=0,#N/A,VLOOKUP(Table7[[#This Row],[Date]],Database!$A:$C,MATCH($C$1,Database!$A$1:$C$1,),))</f>
        <v/>
      </c>
      <c r="D7505">
        <f>IFERROR(Table7[[#This Row],[United States 10y]]-Table7[[#This Row],[United States 3y]],#N/A)</f>
        <v/>
      </c>
    </row>
    <row r="7506">
      <c r="A7506" s="6">
        <f>Database!$A9591</f>
        <v/>
      </c>
      <c r="B7506">
        <f>IF(VLOOKUP(Table7[[#This Row],[Date]],Database!$A:$C,MATCH($B$1,Database!$A$1:$C$1,),)=0,#N/A,VLOOKUP(Table7[[#This Row],[Date]],Database!$A:$C,MATCH($B$1,Database!$A$1:$C$1,),))</f>
        <v/>
      </c>
      <c r="C7506">
        <f>IF(VLOOKUP(Table7[[#This Row],[Date]],Database!$A:$C,MATCH($C$1,Database!$A$1:$C$1,),)=0,#N/A,VLOOKUP(Table7[[#This Row],[Date]],Database!$A:$C,MATCH($C$1,Database!$A$1:$C$1,),))</f>
        <v/>
      </c>
      <c r="D7506">
        <f>IFERROR(Table7[[#This Row],[United States 10y]]-Table7[[#This Row],[United States 3y]],#N/A)</f>
        <v/>
      </c>
    </row>
    <row r="7507">
      <c r="A7507" s="6">
        <f>Database!$A9592</f>
        <v/>
      </c>
      <c r="B7507">
        <f>IF(VLOOKUP(Table7[[#This Row],[Date]],Database!$A:$C,MATCH($B$1,Database!$A$1:$C$1,),)=0,#N/A,VLOOKUP(Table7[[#This Row],[Date]],Database!$A:$C,MATCH($B$1,Database!$A$1:$C$1,),))</f>
        <v/>
      </c>
      <c r="C7507">
        <f>IF(VLOOKUP(Table7[[#This Row],[Date]],Database!$A:$C,MATCH($C$1,Database!$A$1:$C$1,),)=0,#N/A,VLOOKUP(Table7[[#This Row],[Date]],Database!$A:$C,MATCH($C$1,Database!$A$1:$C$1,),))</f>
        <v/>
      </c>
      <c r="D7507">
        <f>IFERROR(Table7[[#This Row],[United States 10y]]-Table7[[#This Row],[United States 3y]],#N/A)</f>
        <v/>
      </c>
    </row>
    <row r="7508">
      <c r="A7508" s="6">
        <f>Database!$A9593</f>
        <v/>
      </c>
      <c r="B7508">
        <f>IF(VLOOKUP(Table7[[#This Row],[Date]],Database!$A:$C,MATCH($B$1,Database!$A$1:$C$1,),)=0,#N/A,VLOOKUP(Table7[[#This Row],[Date]],Database!$A:$C,MATCH($B$1,Database!$A$1:$C$1,),))</f>
        <v/>
      </c>
      <c r="C7508">
        <f>IF(VLOOKUP(Table7[[#This Row],[Date]],Database!$A:$C,MATCH($C$1,Database!$A$1:$C$1,),)=0,#N/A,VLOOKUP(Table7[[#This Row],[Date]],Database!$A:$C,MATCH($C$1,Database!$A$1:$C$1,),))</f>
        <v/>
      </c>
      <c r="D7508">
        <f>IFERROR(Table7[[#This Row],[United States 10y]]-Table7[[#This Row],[United States 3y]],#N/A)</f>
        <v/>
      </c>
    </row>
    <row r="7509">
      <c r="A7509" s="6">
        <f>Database!$A9594</f>
        <v/>
      </c>
      <c r="B7509">
        <f>IF(VLOOKUP(Table7[[#This Row],[Date]],Database!$A:$C,MATCH($B$1,Database!$A$1:$C$1,),)=0,#N/A,VLOOKUP(Table7[[#This Row],[Date]],Database!$A:$C,MATCH($B$1,Database!$A$1:$C$1,),))</f>
        <v/>
      </c>
      <c r="C7509">
        <f>IF(VLOOKUP(Table7[[#This Row],[Date]],Database!$A:$C,MATCH($C$1,Database!$A$1:$C$1,),)=0,#N/A,VLOOKUP(Table7[[#This Row],[Date]],Database!$A:$C,MATCH($C$1,Database!$A$1:$C$1,),))</f>
        <v/>
      </c>
      <c r="D7509">
        <f>IFERROR(Table7[[#This Row],[United States 10y]]-Table7[[#This Row],[United States 3y]],#N/A)</f>
        <v/>
      </c>
    </row>
    <row r="7510">
      <c r="A7510" s="6">
        <f>Database!$A9595</f>
        <v/>
      </c>
      <c r="B7510">
        <f>IF(VLOOKUP(Table7[[#This Row],[Date]],Database!$A:$C,MATCH($B$1,Database!$A$1:$C$1,),)=0,#N/A,VLOOKUP(Table7[[#This Row],[Date]],Database!$A:$C,MATCH($B$1,Database!$A$1:$C$1,),))</f>
        <v/>
      </c>
      <c r="C7510">
        <f>IF(VLOOKUP(Table7[[#This Row],[Date]],Database!$A:$C,MATCH($C$1,Database!$A$1:$C$1,),)=0,#N/A,VLOOKUP(Table7[[#This Row],[Date]],Database!$A:$C,MATCH($C$1,Database!$A$1:$C$1,),))</f>
        <v/>
      </c>
      <c r="D7510">
        <f>IFERROR(Table7[[#This Row],[United States 10y]]-Table7[[#This Row],[United States 3y]],#N/A)</f>
        <v/>
      </c>
    </row>
    <row r="7511">
      <c r="A7511" s="6">
        <f>Database!$A9596</f>
        <v/>
      </c>
      <c r="B7511">
        <f>IF(VLOOKUP(Table7[[#This Row],[Date]],Database!$A:$C,MATCH($B$1,Database!$A$1:$C$1,),)=0,#N/A,VLOOKUP(Table7[[#This Row],[Date]],Database!$A:$C,MATCH($B$1,Database!$A$1:$C$1,),))</f>
        <v/>
      </c>
      <c r="C7511">
        <f>IF(VLOOKUP(Table7[[#This Row],[Date]],Database!$A:$C,MATCH($C$1,Database!$A$1:$C$1,),)=0,#N/A,VLOOKUP(Table7[[#This Row],[Date]],Database!$A:$C,MATCH($C$1,Database!$A$1:$C$1,),))</f>
        <v/>
      </c>
      <c r="D7511">
        <f>IFERROR(Table7[[#This Row],[United States 10y]]-Table7[[#This Row],[United States 3y]],#N/A)</f>
        <v/>
      </c>
    </row>
    <row r="7512">
      <c r="A7512" s="6">
        <f>Database!$A9597</f>
        <v/>
      </c>
      <c r="B7512">
        <f>IF(VLOOKUP(Table7[[#This Row],[Date]],Database!$A:$C,MATCH($B$1,Database!$A$1:$C$1,),)=0,#N/A,VLOOKUP(Table7[[#This Row],[Date]],Database!$A:$C,MATCH($B$1,Database!$A$1:$C$1,),))</f>
        <v/>
      </c>
      <c r="C7512">
        <f>IF(VLOOKUP(Table7[[#This Row],[Date]],Database!$A:$C,MATCH($C$1,Database!$A$1:$C$1,),)=0,#N/A,VLOOKUP(Table7[[#This Row],[Date]],Database!$A:$C,MATCH($C$1,Database!$A$1:$C$1,),))</f>
        <v/>
      </c>
      <c r="D7512">
        <f>IFERROR(Table7[[#This Row],[United States 10y]]-Table7[[#This Row],[United States 3y]],#N/A)</f>
        <v/>
      </c>
    </row>
    <row r="7513">
      <c r="A7513" s="6">
        <f>Database!$A9598</f>
        <v/>
      </c>
      <c r="B7513">
        <f>IF(VLOOKUP(Table7[[#This Row],[Date]],Database!$A:$C,MATCH($B$1,Database!$A$1:$C$1,),)=0,#N/A,VLOOKUP(Table7[[#This Row],[Date]],Database!$A:$C,MATCH($B$1,Database!$A$1:$C$1,),))</f>
        <v/>
      </c>
      <c r="C7513">
        <f>IF(VLOOKUP(Table7[[#This Row],[Date]],Database!$A:$C,MATCH($C$1,Database!$A$1:$C$1,),)=0,#N/A,VLOOKUP(Table7[[#This Row],[Date]],Database!$A:$C,MATCH($C$1,Database!$A$1:$C$1,),))</f>
        <v/>
      </c>
      <c r="D7513">
        <f>IFERROR(Table7[[#This Row],[United States 10y]]-Table7[[#This Row],[United States 3y]],#N/A)</f>
        <v/>
      </c>
    </row>
    <row r="7514">
      <c r="A7514" s="6">
        <f>Database!$A9599</f>
        <v/>
      </c>
      <c r="B7514">
        <f>IF(VLOOKUP(Table7[[#This Row],[Date]],Database!$A:$C,MATCH($B$1,Database!$A$1:$C$1,),)=0,#N/A,VLOOKUP(Table7[[#This Row],[Date]],Database!$A:$C,MATCH($B$1,Database!$A$1:$C$1,),))</f>
        <v/>
      </c>
      <c r="C7514">
        <f>IF(VLOOKUP(Table7[[#This Row],[Date]],Database!$A:$C,MATCH($C$1,Database!$A$1:$C$1,),)=0,#N/A,VLOOKUP(Table7[[#This Row],[Date]],Database!$A:$C,MATCH($C$1,Database!$A$1:$C$1,),))</f>
        <v/>
      </c>
      <c r="D7514">
        <f>IFERROR(Table7[[#This Row],[United States 10y]]-Table7[[#This Row],[United States 3y]],#N/A)</f>
        <v/>
      </c>
    </row>
    <row r="7515">
      <c r="A7515" s="6">
        <f>Database!$A9600</f>
        <v/>
      </c>
      <c r="B7515">
        <f>IF(VLOOKUP(Table7[[#This Row],[Date]],Database!$A:$C,MATCH($B$1,Database!$A$1:$C$1,),)=0,#N/A,VLOOKUP(Table7[[#This Row],[Date]],Database!$A:$C,MATCH($B$1,Database!$A$1:$C$1,),))</f>
        <v/>
      </c>
      <c r="C7515">
        <f>IF(VLOOKUP(Table7[[#This Row],[Date]],Database!$A:$C,MATCH($C$1,Database!$A$1:$C$1,),)=0,#N/A,VLOOKUP(Table7[[#This Row],[Date]],Database!$A:$C,MATCH($C$1,Database!$A$1:$C$1,),))</f>
        <v/>
      </c>
      <c r="D7515">
        <f>IFERROR(Table7[[#This Row],[United States 10y]]-Table7[[#This Row],[United States 3y]],#N/A)</f>
        <v/>
      </c>
    </row>
    <row r="7516">
      <c r="A7516" s="6">
        <f>Database!$A9601</f>
        <v/>
      </c>
      <c r="B7516">
        <f>IF(VLOOKUP(Table7[[#This Row],[Date]],Database!$A:$C,MATCH($B$1,Database!$A$1:$C$1,),)=0,#N/A,VLOOKUP(Table7[[#This Row],[Date]],Database!$A:$C,MATCH($B$1,Database!$A$1:$C$1,),))</f>
        <v/>
      </c>
      <c r="C7516">
        <f>IF(VLOOKUP(Table7[[#This Row],[Date]],Database!$A:$C,MATCH($C$1,Database!$A$1:$C$1,),)=0,#N/A,VLOOKUP(Table7[[#This Row],[Date]],Database!$A:$C,MATCH($C$1,Database!$A$1:$C$1,),))</f>
        <v/>
      </c>
      <c r="D7516">
        <f>IFERROR(Table7[[#This Row],[United States 10y]]-Table7[[#This Row],[United States 3y]],#N/A)</f>
        <v/>
      </c>
    </row>
    <row r="7517">
      <c r="A7517" s="6">
        <f>Database!$A9602</f>
        <v/>
      </c>
      <c r="B7517">
        <f>IF(VLOOKUP(Table7[[#This Row],[Date]],Database!$A:$C,MATCH($B$1,Database!$A$1:$C$1,),)=0,#N/A,VLOOKUP(Table7[[#This Row],[Date]],Database!$A:$C,MATCH($B$1,Database!$A$1:$C$1,),))</f>
        <v/>
      </c>
      <c r="C7517">
        <f>IF(VLOOKUP(Table7[[#This Row],[Date]],Database!$A:$C,MATCH($C$1,Database!$A$1:$C$1,),)=0,#N/A,VLOOKUP(Table7[[#This Row],[Date]],Database!$A:$C,MATCH($C$1,Database!$A$1:$C$1,),))</f>
        <v/>
      </c>
      <c r="D7517">
        <f>IFERROR(Table7[[#This Row],[United States 10y]]-Table7[[#This Row],[United States 3y]],#N/A)</f>
        <v/>
      </c>
    </row>
    <row r="7518">
      <c r="A7518" s="6">
        <f>Database!$A9603</f>
        <v/>
      </c>
      <c r="B7518">
        <f>IF(VLOOKUP(Table7[[#This Row],[Date]],Database!$A:$C,MATCH($B$1,Database!$A$1:$C$1,),)=0,#N/A,VLOOKUP(Table7[[#This Row],[Date]],Database!$A:$C,MATCH($B$1,Database!$A$1:$C$1,),))</f>
        <v/>
      </c>
      <c r="C7518">
        <f>IF(VLOOKUP(Table7[[#This Row],[Date]],Database!$A:$C,MATCH($C$1,Database!$A$1:$C$1,),)=0,#N/A,VLOOKUP(Table7[[#This Row],[Date]],Database!$A:$C,MATCH($C$1,Database!$A$1:$C$1,),))</f>
        <v/>
      </c>
      <c r="D7518">
        <f>IFERROR(Table7[[#This Row],[United States 10y]]-Table7[[#This Row],[United States 3y]],#N/A)</f>
        <v/>
      </c>
    </row>
    <row r="7519">
      <c r="A7519" s="6">
        <f>Database!$A9604</f>
        <v/>
      </c>
      <c r="B7519">
        <f>IF(VLOOKUP(Table7[[#This Row],[Date]],Database!$A:$C,MATCH($B$1,Database!$A$1:$C$1,),)=0,#N/A,VLOOKUP(Table7[[#This Row],[Date]],Database!$A:$C,MATCH($B$1,Database!$A$1:$C$1,),))</f>
        <v/>
      </c>
      <c r="C7519">
        <f>IF(VLOOKUP(Table7[[#This Row],[Date]],Database!$A:$C,MATCH($C$1,Database!$A$1:$C$1,),)=0,#N/A,VLOOKUP(Table7[[#This Row],[Date]],Database!$A:$C,MATCH($C$1,Database!$A$1:$C$1,),))</f>
        <v/>
      </c>
      <c r="D7519">
        <f>IFERROR(Table7[[#This Row],[United States 10y]]-Table7[[#This Row],[United States 3y]],#N/A)</f>
        <v/>
      </c>
    </row>
    <row r="7520">
      <c r="A7520" s="6">
        <f>Database!$A9605</f>
        <v/>
      </c>
      <c r="B7520">
        <f>IF(VLOOKUP(Table7[[#This Row],[Date]],Database!$A:$C,MATCH($B$1,Database!$A$1:$C$1,),)=0,#N/A,VLOOKUP(Table7[[#This Row],[Date]],Database!$A:$C,MATCH($B$1,Database!$A$1:$C$1,),))</f>
        <v/>
      </c>
      <c r="C7520">
        <f>IF(VLOOKUP(Table7[[#This Row],[Date]],Database!$A:$C,MATCH($C$1,Database!$A$1:$C$1,),)=0,#N/A,VLOOKUP(Table7[[#This Row],[Date]],Database!$A:$C,MATCH($C$1,Database!$A$1:$C$1,),))</f>
        <v/>
      </c>
      <c r="D7520">
        <f>IFERROR(Table7[[#This Row],[United States 10y]]-Table7[[#This Row],[United States 3y]],#N/A)</f>
        <v/>
      </c>
    </row>
    <row r="7521">
      <c r="A7521" s="6">
        <f>Database!$A9606</f>
        <v/>
      </c>
      <c r="B7521">
        <f>IF(VLOOKUP(Table7[[#This Row],[Date]],Database!$A:$C,MATCH($B$1,Database!$A$1:$C$1,),)=0,#N/A,VLOOKUP(Table7[[#This Row],[Date]],Database!$A:$C,MATCH($B$1,Database!$A$1:$C$1,),))</f>
        <v/>
      </c>
      <c r="C7521">
        <f>IF(VLOOKUP(Table7[[#This Row],[Date]],Database!$A:$C,MATCH($C$1,Database!$A$1:$C$1,),)=0,#N/A,VLOOKUP(Table7[[#This Row],[Date]],Database!$A:$C,MATCH($C$1,Database!$A$1:$C$1,),))</f>
        <v/>
      </c>
      <c r="D7521">
        <f>IFERROR(Table7[[#This Row],[United States 10y]]-Table7[[#This Row],[United States 3y]],#N/A)</f>
        <v/>
      </c>
    </row>
    <row r="7522">
      <c r="A7522" s="6">
        <f>Database!$A9607</f>
        <v/>
      </c>
      <c r="B7522">
        <f>IF(VLOOKUP(Table7[[#This Row],[Date]],Database!$A:$C,MATCH($B$1,Database!$A$1:$C$1,),)=0,#N/A,VLOOKUP(Table7[[#This Row],[Date]],Database!$A:$C,MATCH($B$1,Database!$A$1:$C$1,),))</f>
        <v/>
      </c>
      <c r="C7522">
        <f>IF(VLOOKUP(Table7[[#This Row],[Date]],Database!$A:$C,MATCH($C$1,Database!$A$1:$C$1,),)=0,#N/A,VLOOKUP(Table7[[#This Row],[Date]],Database!$A:$C,MATCH($C$1,Database!$A$1:$C$1,),))</f>
        <v/>
      </c>
      <c r="D7522">
        <f>IFERROR(Table7[[#This Row],[United States 10y]]-Table7[[#This Row],[United States 3y]],#N/A)</f>
        <v/>
      </c>
    </row>
    <row r="7523">
      <c r="A7523" s="6">
        <f>Database!$A9608</f>
        <v/>
      </c>
      <c r="B7523">
        <f>IF(VLOOKUP(Table7[[#This Row],[Date]],Database!$A:$C,MATCH($B$1,Database!$A$1:$C$1,),)=0,#N/A,VLOOKUP(Table7[[#This Row],[Date]],Database!$A:$C,MATCH($B$1,Database!$A$1:$C$1,),))</f>
        <v/>
      </c>
      <c r="C7523">
        <f>IF(VLOOKUP(Table7[[#This Row],[Date]],Database!$A:$C,MATCH($C$1,Database!$A$1:$C$1,),)=0,#N/A,VLOOKUP(Table7[[#This Row],[Date]],Database!$A:$C,MATCH($C$1,Database!$A$1:$C$1,),))</f>
        <v/>
      </c>
      <c r="D7523">
        <f>IFERROR(Table7[[#This Row],[United States 10y]]-Table7[[#This Row],[United States 3y]],#N/A)</f>
        <v/>
      </c>
    </row>
    <row r="7524">
      <c r="A7524" s="6">
        <f>Database!$A9609</f>
        <v/>
      </c>
      <c r="B7524">
        <f>IF(VLOOKUP(Table7[[#This Row],[Date]],Database!$A:$C,MATCH($B$1,Database!$A$1:$C$1,),)=0,#N/A,VLOOKUP(Table7[[#This Row],[Date]],Database!$A:$C,MATCH($B$1,Database!$A$1:$C$1,),))</f>
        <v/>
      </c>
      <c r="C7524">
        <f>IF(VLOOKUP(Table7[[#This Row],[Date]],Database!$A:$C,MATCH($C$1,Database!$A$1:$C$1,),)=0,#N/A,VLOOKUP(Table7[[#This Row],[Date]],Database!$A:$C,MATCH($C$1,Database!$A$1:$C$1,),))</f>
        <v/>
      </c>
      <c r="D7524">
        <f>IFERROR(Table7[[#This Row],[United States 10y]]-Table7[[#This Row],[United States 3y]],#N/A)</f>
        <v/>
      </c>
    </row>
    <row r="7525">
      <c r="A7525" s="6">
        <f>Database!$A9610</f>
        <v/>
      </c>
      <c r="B7525">
        <f>IF(VLOOKUP(Table7[[#This Row],[Date]],Database!$A:$C,MATCH($B$1,Database!$A$1:$C$1,),)=0,#N/A,VLOOKUP(Table7[[#This Row],[Date]],Database!$A:$C,MATCH($B$1,Database!$A$1:$C$1,),))</f>
        <v/>
      </c>
      <c r="C7525">
        <f>IF(VLOOKUP(Table7[[#This Row],[Date]],Database!$A:$C,MATCH($C$1,Database!$A$1:$C$1,),)=0,#N/A,VLOOKUP(Table7[[#This Row],[Date]],Database!$A:$C,MATCH($C$1,Database!$A$1:$C$1,),))</f>
        <v/>
      </c>
      <c r="D7525">
        <f>IFERROR(Table7[[#This Row],[United States 10y]]-Table7[[#This Row],[United States 3y]],#N/A)</f>
        <v/>
      </c>
    </row>
    <row r="7526">
      <c r="A7526" s="6">
        <f>Database!$A9611</f>
        <v/>
      </c>
      <c r="B7526">
        <f>IF(VLOOKUP(Table7[[#This Row],[Date]],Database!$A:$C,MATCH($B$1,Database!$A$1:$C$1,),)=0,#N/A,VLOOKUP(Table7[[#This Row],[Date]],Database!$A:$C,MATCH($B$1,Database!$A$1:$C$1,),))</f>
        <v/>
      </c>
      <c r="C7526">
        <f>IF(VLOOKUP(Table7[[#This Row],[Date]],Database!$A:$C,MATCH($C$1,Database!$A$1:$C$1,),)=0,#N/A,VLOOKUP(Table7[[#This Row],[Date]],Database!$A:$C,MATCH($C$1,Database!$A$1:$C$1,),))</f>
        <v/>
      </c>
      <c r="D7526">
        <f>IFERROR(Table7[[#This Row],[United States 10y]]-Table7[[#This Row],[United States 3y]],#N/A)</f>
        <v/>
      </c>
    </row>
    <row r="7527">
      <c r="A7527" s="6">
        <f>Database!$A9612</f>
        <v/>
      </c>
      <c r="B7527">
        <f>IF(VLOOKUP(Table7[[#This Row],[Date]],Database!$A:$C,MATCH($B$1,Database!$A$1:$C$1,),)=0,#N/A,VLOOKUP(Table7[[#This Row],[Date]],Database!$A:$C,MATCH($B$1,Database!$A$1:$C$1,),))</f>
        <v/>
      </c>
      <c r="C7527">
        <f>IF(VLOOKUP(Table7[[#This Row],[Date]],Database!$A:$C,MATCH($C$1,Database!$A$1:$C$1,),)=0,#N/A,VLOOKUP(Table7[[#This Row],[Date]],Database!$A:$C,MATCH($C$1,Database!$A$1:$C$1,),))</f>
        <v/>
      </c>
      <c r="D7527">
        <f>IFERROR(Table7[[#This Row],[United States 10y]]-Table7[[#This Row],[United States 3y]],#N/A)</f>
        <v/>
      </c>
    </row>
    <row r="7528">
      <c r="A7528" s="6">
        <f>Database!$A9613</f>
        <v/>
      </c>
      <c r="B7528">
        <f>IF(VLOOKUP(Table7[[#This Row],[Date]],Database!$A:$C,MATCH($B$1,Database!$A$1:$C$1,),)=0,#N/A,VLOOKUP(Table7[[#This Row],[Date]],Database!$A:$C,MATCH($B$1,Database!$A$1:$C$1,),))</f>
        <v/>
      </c>
      <c r="C7528">
        <f>IF(VLOOKUP(Table7[[#This Row],[Date]],Database!$A:$C,MATCH($C$1,Database!$A$1:$C$1,),)=0,#N/A,VLOOKUP(Table7[[#This Row],[Date]],Database!$A:$C,MATCH($C$1,Database!$A$1:$C$1,),))</f>
        <v/>
      </c>
      <c r="D7528">
        <f>IFERROR(Table7[[#This Row],[United States 10y]]-Table7[[#This Row],[United States 3y]],#N/A)</f>
        <v/>
      </c>
    </row>
    <row r="7529">
      <c r="A7529" s="6">
        <f>Database!$A9614</f>
        <v/>
      </c>
      <c r="B7529">
        <f>IF(VLOOKUP(Table7[[#This Row],[Date]],Database!$A:$C,MATCH($B$1,Database!$A$1:$C$1,),)=0,#N/A,VLOOKUP(Table7[[#This Row],[Date]],Database!$A:$C,MATCH($B$1,Database!$A$1:$C$1,),))</f>
        <v/>
      </c>
      <c r="C7529">
        <f>IF(VLOOKUP(Table7[[#This Row],[Date]],Database!$A:$C,MATCH($C$1,Database!$A$1:$C$1,),)=0,#N/A,VLOOKUP(Table7[[#This Row],[Date]],Database!$A:$C,MATCH($C$1,Database!$A$1:$C$1,),))</f>
        <v/>
      </c>
      <c r="D7529">
        <f>IFERROR(Table7[[#This Row],[United States 10y]]-Table7[[#This Row],[United States 3y]],#N/A)</f>
        <v/>
      </c>
    </row>
    <row r="7530">
      <c r="A7530" s="6">
        <f>Database!$A9615</f>
        <v/>
      </c>
      <c r="B7530">
        <f>IF(VLOOKUP(Table7[[#This Row],[Date]],Database!$A:$C,MATCH($B$1,Database!$A$1:$C$1,),)=0,#N/A,VLOOKUP(Table7[[#This Row],[Date]],Database!$A:$C,MATCH($B$1,Database!$A$1:$C$1,),))</f>
        <v/>
      </c>
      <c r="C7530">
        <f>IF(VLOOKUP(Table7[[#This Row],[Date]],Database!$A:$C,MATCH($C$1,Database!$A$1:$C$1,),)=0,#N/A,VLOOKUP(Table7[[#This Row],[Date]],Database!$A:$C,MATCH($C$1,Database!$A$1:$C$1,),))</f>
        <v/>
      </c>
      <c r="D7530">
        <f>IFERROR(Table7[[#This Row],[United States 10y]]-Table7[[#This Row],[United States 3y]],#N/A)</f>
        <v/>
      </c>
    </row>
    <row r="7531">
      <c r="A7531" s="6">
        <f>Database!$A9616</f>
        <v/>
      </c>
      <c r="B7531">
        <f>IF(VLOOKUP(Table7[[#This Row],[Date]],Database!$A:$C,MATCH($B$1,Database!$A$1:$C$1,),)=0,#N/A,VLOOKUP(Table7[[#This Row],[Date]],Database!$A:$C,MATCH($B$1,Database!$A$1:$C$1,),))</f>
        <v/>
      </c>
      <c r="C7531">
        <f>IF(VLOOKUP(Table7[[#This Row],[Date]],Database!$A:$C,MATCH($C$1,Database!$A$1:$C$1,),)=0,#N/A,VLOOKUP(Table7[[#This Row],[Date]],Database!$A:$C,MATCH($C$1,Database!$A$1:$C$1,),))</f>
        <v/>
      </c>
      <c r="D7531">
        <f>IFERROR(Table7[[#This Row],[United States 10y]]-Table7[[#This Row],[United States 3y]],#N/A)</f>
        <v/>
      </c>
    </row>
    <row r="7532">
      <c r="A7532" s="6">
        <f>Database!$A9617</f>
        <v/>
      </c>
      <c r="B7532">
        <f>IF(VLOOKUP(Table7[[#This Row],[Date]],Database!$A:$C,MATCH($B$1,Database!$A$1:$C$1,),)=0,#N/A,VLOOKUP(Table7[[#This Row],[Date]],Database!$A:$C,MATCH($B$1,Database!$A$1:$C$1,),))</f>
        <v/>
      </c>
      <c r="C7532">
        <f>IF(VLOOKUP(Table7[[#This Row],[Date]],Database!$A:$C,MATCH($C$1,Database!$A$1:$C$1,),)=0,#N/A,VLOOKUP(Table7[[#This Row],[Date]],Database!$A:$C,MATCH($C$1,Database!$A$1:$C$1,),))</f>
        <v/>
      </c>
      <c r="D7532">
        <f>IFERROR(Table7[[#This Row],[United States 10y]]-Table7[[#This Row],[United States 3y]],#N/A)</f>
        <v/>
      </c>
    </row>
    <row r="7533">
      <c r="A7533" s="6">
        <f>Database!$A9618</f>
        <v/>
      </c>
      <c r="B7533">
        <f>IF(VLOOKUP(Table7[[#This Row],[Date]],Database!$A:$C,MATCH($B$1,Database!$A$1:$C$1,),)=0,#N/A,VLOOKUP(Table7[[#This Row],[Date]],Database!$A:$C,MATCH($B$1,Database!$A$1:$C$1,),))</f>
        <v/>
      </c>
      <c r="C7533">
        <f>IF(VLOOKUP(Table7[[#This Row],[Date]],Database!$A:$C,MATCH($C$1,Database!$A$1:$C$1,),)=0,#N/A,VLOOKUP(Table7[[#This Row],[Date]],Database!$A:$C,MATCH($C$1,Database!$A$1:$C$1,),))</f>
        <v/>
      </c>
      <c r="D7533">
        <f>IFERROR(Table7[[#This Row],[United States 10y]]-Table7[[#This Row],[United States 3y]],#N/A)</f>
        <v/>
      </c>
    </row>
    <row r="7534">
      <c r="A7534" s="6">
        <f>Database!$A9619</f>
        <v/>
      </c>
      <c r="B7534">
        <f>IF(VLOOKUP(Table7[[#This Row],[Date]],Database!$A:$C,MATCH($B$1,Database!$A$1:$C$1,),)=0,#N/A,VLOOKUP(Table7[[#This Row],[Date]],Database!$A:$C,MATCH($B$1,Database!$A$1:$C$1,),))</f>
        <v/>
      </c>
      <c r="C7534">
        <f>IF(VLOOKUP(Table7[[#This Row],[Date]],Database!$A:$C,MATCH($C$1,Database!$A$1:$C$1,),)=0,#N/A,VLOOKUP(Table7[[#This Row],[Date]],Database!$A:$C,MATCH($C$1,Database!$A$1:$C$1,),))</f>
        <v/>
      </c>
      <c r="D7534">
        <f>IFERROR(Table7[[#This Row],[United States 10y]]-Table7[[#This Row],[United States 3y]],#N/A)</f>
        <v/>
      </c>
    </row>
    <row r="7535">
      <c r="A7535" s="6">
        <f>Database!$A9620</f>
        <v/>
      </c>
      <c r="B7535">
        <f>IF(VLOOKUP(Table7[[#This Row],[Date]],Database!$A:$C,MATCH($B$1,Database!$A$1:$C$1,),)=0,#N/A,VLOOKUP(Table7[[#This Row],[Date]],Database!$A:$C,MATCH($B$1,Database!$A$1:$C$1,),))</f>
        <v/>
      </c>
      <c r="C7535">
        <f>IF(VLOOKUP(Table7[[#This Row],[Date]],Database!$A:$C,MATCH($C$1,Database!$A$1:$C$1,),)=0,#N/A,VLOOKUP(Table7[[#This Row],[Date]],Database!$A:$C,MATCH($C$1,Database!$A$1:$C$1,),))</f>
        <v/>
      </c>
      <c r="D7535">
        <f>IFERROR(Table7[[#This Row],[United States 10y]]-Table7[[#This Row],[United States 3y]],#N/A)</f>
        <v/>
      </c>
    </row>
    <row r="7536">
      <c r="A7536" s="6">
        <f>Database!$A9621</f>
        <v/>
      </c>
      <c r="B7536">
        <f>IF(VLOOKUP(Table7[[#This Row],[Date]],Database!$A:$C,MATCH($B$1,Database!$A$1:$C$1,),)=0,#N/A,VLOOKUP(Table7[[#This Row],[Date]],Database!$A:$C,MATCH($B$1,Database!$A$1:$C$1,),))</f>
        <v/>
      </c>
      <c r="C7536">
        <f>IF(VLOOKUP(Table7[[#This Row],[Date]],Database!$A:$C,MATCH($C$1,Database!$A$1:$C$1,),)=0,#N/A,VLOOKUP(Table7[[#This Row],[Date]],Database!$A:$C,MATCH($C$1,Database!$A$1:$C$1,),))</f>
        <v/>
      </c>
      <c r="D7536">
        <f>IFERROR(Table7[[#This Row],[United States 10y]]-Table7[[#This Row],[United States 3y]],#N/A)</f>
        <v/>
      </c>
    </row>
    <row r="7537">
      <c r="A7537" s="6">
        <f>Database!$A9622</f>
        <v/>
      </c>
      <c r="B7537">
        <f>IF(VLOOKUP(Table7[[#This Row],[Date]],Database!$A:$C,MATCH($B$1,Database!$A$1:$C$1,),)=0,#N/A,VLOOKUP(Table7[[#This Row],[Date]],Database!$A:$C,MATCH($B$1,Database!$A$1:$C$1,),))</f>
        <v/>
      </c>
      <c r="C7537">
        <f>IF(VLOOKUP(Table7[[#This Row],[Date]],Database!$A:$C,MATCH($C$1,Database!$A$1:$C$1,),)=0,#N/A,VLOOKUP(Table7[[#This Row],[Date]],Database!$A:$C,MATCH($C$1,Database!$A$1:$C$1,),))</f>
        <v/>
      </c>
      <c r="D7537">
        <f>IFERROR(Table7[[#This Row],[United States 10y]]-Table7[[#This Row],[United States 3y]],#N/A)</f>
        <v/>
      </c>
    </row>
    <row r="7538">
      <c r="A7538" s="6">
        <f>Database!$A9623</f>
        <v/>
      </c>
      <c r="B7538">
        <f>IF(VLOOKUP(Table7[[#This Row],[Date]],Database!$A:$C,MATCH($B$1,Database!$A$1:$C$1,),)=0,#N/A,VLOOKUP(Table7[[#This Row],[Date]],Database!$A:$C,MATCH($B$1,Database!$A$1:$C$1,),))</f>
        <v/>
      </c>
      <c r="C7538">
        <f>IF(VLOOKUP(Table7[[#This Row],[Date]],Database!$A:$C,MATCH($C$1,Database!$A$1:$C$1,),)=0,#N/A,VLOOKUP(Table7[[#This Row],[Date]],Database!$A:$C,MATCH($C$1,Database!$A$1:$C$1,),))</f>
        <v/>
      </c>
      <c r="D7538">
        <f>IFERROR(Table7[[#This Row],[United States 10y]]-Table7[[#This Row],[United States 3y]],#N/A)</f>
        <v/>
      </c>
    </row>
    <row r="7539">
      <c r="A7539" s="6">
        <f>Database!$A9624</f>
        <v/>
      </c>
      <c r="B7539">
        <f>IF(VLOOKUP(Table7[[#This Row],[Date]],Database!$A:$C,MATCH($B$1,Database!$A$1:$C$1,),)=0,#N/A,VLOOKUP(Table7[[#This Row],[Date]],Database!$A:$C,MATCH($B$1,Database!$A$1:$C$1,),))</f>
        <v/>
      </c>
      <c r="C7539">
        <f>IF(VLOOKUP(Table7[[#This Row],[Date]],Database!$A:$C,MATCH($C$1,Database!$A$1:$C$1,),)=0,#N/A,VLOOKUP(Table7[[#This Row],[Date]],Database!$A:$C,MATCH($C$1,Database!$A$1:$C$1,),))</f>
        <v/>
      </c>
      <c r="D7539">
        <f>IFERROR(Table7[[#This Row],[United States 10y]]-Table7[[#This Row],[United States 3y]],#N/A)</f>
        <v/>
      </c>
    </row>
    <row r="7540">
      <c r="A7540" s="6">
        <f>Database!$A9625</f>
        <v/>
      </c>
      <c r="B7540">
        <f>IF(VLOOKUP(Table7[[#This Row],[Date]],Database!$A:$C,MATCH($B$1,Database!$A$1:$C$1,),)=0,#N/A,VLOOKUP(Table7[[#This Row],[Date]],Database!$A:$C,MATCH($B$1,Database!$A$1:$C$1,),))</f>
        <v/>
      </c>
      <c r="C7540">
        <f>IF(VLOOKUP(Table7[[#This Row],[Date]],Database!$A:$C,MATCH($C$1,Database!$A$1:$C$1,),)=0,#N/A,VLOOKUP(Table7[[#This Row],[Date]],Database!$A:$C,MATCH($C$1,Database!$A$1:$C$1,),))</f>
        <v/>
      </c>
      <c r="D7540">
        <f>IFERROR(Table7[[#This Row],[United States 10y]]-Table7[[#This Row],[United States 3y]],#N/A)</f>
        <v/>
      </c>
    </row>
    <row r="7541">
      <c r="A7541" s="6">
        <f>Database!$A9626</f>
        <v/>
      </c>
      <c r="B7541">
        <f>IF(VLOOKUP(Table7[[#This Row],[Date]],Database!$A:$C,MATCH($B$1,Database!$A$1:$C$1,),)=0,#N/A,VLOOKUP(Table7[[#This Row],[Date]],Database!$A:$C,MATCH($B$1,Database!$A$1:$C$1,),))</f>
        <v/>
      </c>
      <c r="C7541">
        <f>IF(VLOOKUP(Table7[[#This Row],[Date]],Database!$A:$C,MATCH($C$1,Database!$A$1:$C$1,),)=0,#N/A,VLOOKUP(Table7[[#This Row],[Date]],Database!$A:$C,MATCH($C$1,Database!$A$1:$C$1,),))</f>
        <v/>
      </c>
      <c r="D7541">
        <f>IFERROR(Table7[[#This Row],[United States 10y]]-Table7[[#This Row],[United States 3y]],#N/A)</f>
        <v/>
      </c>
    </row>
    <row r="7542">
      <c r="A7542" s="6">
        <f>Database!$A9627</f>
        <v/>
      </c>
      <c r="B7542">
        <f>IF(VLOOKUP(Table7[[#This Row],[Date]],Database!$A:$C,MATCH($B$1,Database!$A$1:$C$1,),)=0,#N/A,VLOOKUP(Table7[[#This Row],[Date]],Database!$A:$C,MATCH($B$1,Database!$A$1:$C$1,),))</f>
        <v/>
      </c>
      <c r="C7542">
        <f>IF(VLOOKUP(Table7[[#This Row],[Date]],Database!$A:$C,MATCH($C$1,Database!$A$1:$C$1,),)=0,#N/A,VLOOKUP(Table7[[#This Row],[Date]],Database!$A:$C,MATCH($C$1,Database!$A$1:$C$1,),))</f>
        <v/>
      </c>
      <c r="D7542">
        <f>IFERROR(Table7[[#This Row],[United States 10y]]-Table7[[#This Row],[United States 3y]],#N/A)</f>
        <v/>
      </c>
    </row>
    <row r="7543">
      <c r="A7543" s="6">
        <f>Database!$A9628</f>
        <v/>
      </c>
      <c r="B7543">
        <f>IF(VLOOKUP(Table7[[#This Row],[Date]],Database!$A:$C,MATCH($B$1,Database!$A$1:$C$1,),)=0,#N/A,VLOOKUP(Table7[[#This Row],[Date]],Database!$A:$C,MATCH($B$1,Database!$A$1:$C$1,),))</f>
        <v/>
      </c>
      <c r="C7543">
        <f>IF(VLOOKUP(Table7[[#This Row],[Date]],Database!$A:$C,MATCH($C$1,Database!$A$1:$C$1,),)=0,#N/A,VLOOKUP(Table7[[#This Row],[Date]],Database!$A:$C,MATCH($C$1,Database!$A$1:$C$1,),))</f>
        <v/>
      </c>
      <c r="D7543">
        <f>IFERROR(Table7[[#This Row],[United States 10y]]-Table7[[#This Row],[United States 3y]],#N/A)</f>
        <v/>
      </c>
    </row>
    <row r="7544">
      <c r="A7544" s="6">
        <f>Database!$A9629</f>
        <v/>
      </c>
      <c r="B7544">
        <f>IF(VLOOKUP(Table7[[#This Row],[Date]],Database!$A:$C,MATCH($B$1,Database!$A$1:$C$1,),)=0,#N/A,VLOOKUP(Table7[[#This Row],[Date]],Database!$A:$C,MATCH($B$1,Database!$A$1:$C$1,),))</f>
        <v/>
      </c>
      <c r="C7544">
        <f>IF(VLOOKUP(Table7[[#This Row],[Date]],Database!$A:$C,MATCH($C$1,Database!$A$1:$C$1,),)=0,#N/A,VLOOKUP(Table7[[#This Row],[Date]],Database!$A:$C,MATCH($C$1,Database!$A$1:$C$1,),))</f>
        <v/>
      </c>
      <c r="D7544">
        <f>IFERROR(Table7[[#This Row],[United States 10y]]-Table7[[#This Row],[United States 3y]],#N/A)</f>
        <v/>
      </c>
    </row>
    <row r="7545">
      <c r="A7545" s="6">
        <f>Database!$A9630</f>
        <v/>
      </c>
      <c r="B7545">
        <f>IF(VLOOKUP(Table7[[#This Row],[Date]],Database!$A:$C,MATCH($B$1,Database!$A$1:$C$1,),)=0,#N/A,VLOOKUP(Table7[[#This Row],[Date]],Database!$A:$C,MATCH($B$1,Database!$A$1:$C$1,),))</f>
        <v/>
      </c>
      <c r="C7545">
        <f>IF(VLOOKUP(Table7[[#This Row],[Date]],Database!$A:$C,MATCH($C$1,Database!$A$1:$C$1,),)=0,#N/A,VLOOKUP(Table7[[#This Row],[Date]],Database!$A:$C,MATCH($C$1,Database!$A$1:$C$1,),))</f>
        <v/>
      </c>
      <c r="D7545">
        <f>IFERROR(Table7[[#This Row],[United States 10y]]-Table7[[#This Row],[United States 3y]],#N/A)</f>
        <v/>
      </c>
    </row>
    <row r="7546">
      <c r="A7546" s="6">
        <f>Database!$A9631</f>
        <v/>
      </c>
      <c r="B7546">
        <f>IF(VLOOKUP(Table7[[#This Row],[Date]],Database!$A:$C,MATCH($B$1,Database!$A$1:$C$1,),)=0,#N/A,VLOOKUP(Table7[[#This Row],[Date]],Database!$A:$C,MATCH($B$1,Database!$A$1:$C$1,),))</f>
        <v/>
      </c>
      <c r="C7546">
        <f>IF(VLOOKUP(Table7[[#This Row],[Date]],Database!$A:$C,MATCH($C$1,Database!$A$1:$C$1,),)=0,#N/A,VLOOKUP(Table7[[#This Row],[Date]],Database!$A:$C,MATCH($C$1,Database!$A$1:$C$1,),))</f>
        <v/>
      </c>
      <c r="D7546">
        <f>IFERROR(Table7[[#This Row],[United States 10y]]-Table7[[#This Row],[United States 3y]],#N/A)</f>
        <v/>
      </c>
    </row>
    <row r="7547">
      <c r="A7547" s="6">
        <f>Database!$A9632</f>
        <v/>
      </c>
      <c r="B7547">
        <f>IF(VLOOKUP(Table7[[#This Row],[Date]],Database!$A:$C,MATCH($B$1,Database!$A$1:$C$1,),)=0,#N/A,VLOOKUP(Table7[[#This Row],[Date]],Database!$A:$C,MATCH($B$1,Database!$A$1:$C$1,),))</f>
        <v/>
      </c>
      <c r="C7547">
        <f>IF(VLOOKUP(Table7[[#This Row],[Date]],Database!$A:$C,MATCH($C$1,Database!$A$1:$C$1,),)=0,#N/A,VLOOKUP(Table7[[#This Row],[Date]],Database!$A:$C,MATCH($C$1,Database!$A$1:$C$1,),))</f>
        <v/>
      </c>
      <c r="D7547">
        <f>IFERROR(Table7[[#This Row],[United States 10y]]-Table7[[#This Row],[United States 3y]],#N/A)</f>
        <v/>
      </c>
    </row>
    <row r="7548">
      <c r="A7548" s="6">
        <f>Database!$A9633</f>
        <v/>
      </c>
      <c r="B7548">
        <f>IF(VLOOKUP(Table7[[#This Row],[Date]],Database!$A:$C,MATCH($B$1,Database!$A$1:$C$1,),)=0,#N/A,VLOOKUP(Table7[[#This Row],[Date]],Database!$A:$C,MATCH($B$1,Database!$A$1:$C$1,),))</f>
        <v/>
      </c>
      <c r="C7548">
        <f>IF(VLOOKUP(Table7[[#This Row],[Date]],Database!$A:$C,MATCH($C$1,Database!$A$1:$C$1,),)=0,#N/A,VLOOKUP(Table7[[#This Row],[Date]],Database!$A:$C,MATCH($C$1,Database!$A$1:$C$1,),))</f>
        <v/>
      </c>
      <c r="D7548">
        <f>IFERROR(Table7[[#This Row],[United States 10y]]-Table7[[#This Row],[United States 3y]],#N/A)</f>
        <v/>
      </c>
    </row>
    <row r="7549">
      <c r="A7549" s="6">
        <f>Database!$A9634</f>
        <v/>
      </c>
      <c r="B7549">
        <f>IF(VLOOKUP(Table7[[#This Row],[Date]],Database!$A:$C,MATCH($B$1,Database!$A$1:$C$1,),)=0,#N/A,VLOOKUP(Table7[[#This Row],[Date]],Database!$A:$C,MATCH($B$1,Database!$A$1:$C$1,),))</f>
        <v/>
      </c>
      <c r="C7549">
        <f>IF(VLOOKUP(Table7[[#This Row],[Date]],Database!$A:$C,MATCH($C$1,Database!$A$1:$C$1,),)=0,#N/A,VLOOKUP(Table7[[#This Row],[Date]],Database!$A:$C,MATCH($C$1,Database!$A$1:$C$1,),))</f>
        <v/>
      </c>
      <c r="D7549">
        <f>IFERROR(Table7[[#This Row],[United States 10y]]-Table7[[#This Row],[United States 3y]],#N/A)</f>
        <v/>
      </c>
    </row>
    <row r="7550">
      <c r="A7550" s="6">
        <f>Database!$A9635</f>
        <v/>
      </c>
      <c r="B7550">
        <f>IF(VLOOKUP(Table7[[#This Row],[Date]],Database!$A:$C,MATCH($B$1,Database!$A$1:$C$1,),)=0,#N/A,VLOOKUP(Table7[[#This Row],[Date]],Database!$A:$C,MATCH($B$1,Database!$A$1:$C$1,),))</f>
        <v/>
      </c>
      <c r="C7550">
        <f>IF(VLOOKUP(Table7[[#This Row],[Date]],Database!$A:$C,MATCH($C$1,Database!$A$1:$C$1,),)=0,#N/A,VLOOKUP(Table7[[#This Row],[Date]],Database!$A:$C,MATCH($C$1,Database!$A$1:$C$1,),))</f>
        <v/>
      </c>
      <c r="D7550">
        <f>IFERROR(Table7[[#This Row],[United States 10y]]-Table7[[#This Row],[United States 3y]],#N/A)</f>
        <v/>
      </c>
    </row>
    <row r="7551">
      <c r="A7551" s="6">
        <f>Database!$A9636</f>
        <v/>
      </c>
      <c r="B7551">
        <f>IF(VLOOKUP(Table7[[#This Row],[Date]],Database!$A:$C,MATCH($B$1,Database!$A$1:$C$1,),)=0,#N/A,VLOOKUP(Table7[[#This Row],[Date]],Database!$A:$C,MATCH($B$1,Database!$A$1:$C$1,),))</f>
        <v/>
      </c>
      <c r="C7551">
        <f>IF(VLOOKUP(Table7[[#This Row],[Date]],Database!$A:$C,MATCH($C$1,Database!$A$1:$C$1,),)=0,#N/A,VLOOKUP(Table7[[#This Row],[Date]],Database!$A:$C,MATCH($C$1,Database!$A$1:$C$1,),))</f>
        <v/>
      </c>
      <c r="D7551">
        <f>IFERROR(Table7[[#This Row],[United States 10y]]-Table7[[#This Row],[United States 3y]],#N/A)</f>
        <v/>
      </c>
    </row>
    <row r="7552">
      <c r="A7552" s="6">
        <f>Database!$A9637</f>
        <v/>
      </c>
      <c r="B7552">
        <f>IF(VLOOKUP(Table7[[#This Row],[Date]],Database!$A:$C,MATCH($B$1,Database!$A$1:$C$1,),)=0,#N/A,VLOOKUP(Table7[[#This Row],[Date]],Database!$A:$C,MATCH($B$1,Database!$A$1:$C$1,),))</f>
        <v/>
      </c>
      <c r="C7552">
        <f>IF(VLOOKUP(Table7[[#This Row],[Date]],Database!$A:$C,MATCH($C$1,Database!$A$1:$C$1,),)=0,#N/A,VLOOKUP(Table7[[#This Row],[Date]],Database!$A:$C,MATCH($C$1,Database!$A$1:$C$1,),))</f>
        <v/>
      </c>
      <c r="D7552">
        <f>IFERROR(Table7[[#This Row],[United States 10y]]-Table7[[#This Row],[United States 3y]],#N/A)</f>
        <v/>
      </c>
    </row>
    <row r="7553">
      <c r="A7553" s="6">
        <f>Database!$A9638</f>
        <v/>
      </c>
      <c r="B7553">
        <f>IF(VLOOKUP(Table7[[#This Row],[Date]],Database!$A:$C,MATCH($B$1,Database!$A$1:$C$1,),)=0,#N/A,VLOOKUP(Table7[[#This Row],[Date]],Database!$A:$C,MATCH($B$1,Database!$A$1:$C$1,),))</f>
        <v/>
      </c>
      <c r="C7553">
        <f>IF(VLOOKUP(Table7[[#This Row],[Date]],Database!$A:$C,MATCH($C$1,Database!$A$1:$C$1,),)=0,#N/A,VLOOKUP(Table7[[#This Row],[Date]],Database!$A:$C,MATCH($C$1,Database!$A$1:$C$1,),))</f>
        <v/>
      </c>
      <c r="D7553">
        <f>IFERROR(Table7[[#This Row],[United States 10y]]-Table7[[#This Row],[United States 3y]],#N/A)</f>
        <v/>
      </c>
    </row>
    <row r="7554">
      <c r="A7554" s="6">
        <f>Database!$A9639</f>
        <v/>
      </c>
      <c r="B7554">
        <f>IF(VLOOKUP(Table7[[#This Row],[Date]],Database!$A:$C,MATCH($B$1,Database!$A$1:$C$1,),)=0,#N/A,VLOOKUP(Table7[[#This Row],[Date]],Database!$A:$C,MATCH($B$1,Database!$A$1:$C$1,),))</f>
        <v/>
      </c>
      <c r="C7554">
        <f>IF(VLOOKUP(Table7[[#This Row],[Date]],Database!$A:$C,MATCH($C$1,Database!$A$1:$C$1,),)=0,#N/A,VLOOKUP(Table7[[#This Row],[Date]],Database!$A:$C,MATCH($C$1,Database!$A$1:$C$1,),))</f>
        <v/>
      </c>
      <c r="D7554">
        <f>IFERROR(Table7[[#This Row],[United States 10y]]-Table7[[#This Row],[United States 3y]],#N/A)</f>
        <v/>
      </c>
    </row>
    <row r="7555">
      <c r="A7555" s="6">
        <f>Database!$A9640</f>
        <v/>
      </c>
      <c r="B7555">
        <f>IF(VLOOKUP(Table7[[#This Row],[Date]],Database!$A:$C,MATCH($B$1,Database!$A$1:$C$1,),)=0,#N/A,VLOOKUP(Table7[[#This Row],[Date]],Database!$A:$C,MATCH($B$1,Database!$A$1:$C$1,),))</f>
        <v/>
      </c>
      <c r="C7555">
        <f>IF(VLOOKUP(Table7[[#This Row],[Date]],Database!$A:$C,MATCH($C$1,Database!$A$1:$C$1,),)=0,#N/A,VLOOKUP(Table7[[#This Row],[Date]],Database!$A:$C,MATCH($C$1,Database!$A$1:$C$1,),))</f>
        <v/>
      </c>
      <c r="D7555">
        <f>IFERROR(Table7[[#This Row],[United States 10y]]-Table7[[#This Row],[United States 3y]],#N/A)</f>
        <v/>
      </c>
    </row>
    <row r="7556">
      <c r="A7556" s="6">
        <f>Database!$A9641</f>
        <v/>
      </c>
      <c r="B7556">
        <f>IF(VLOOKUP(Table7[[#This Row],[Date]],Database!$A:$C,MATCH($B$1,Database!$A$1:$C$1,),)=0,#N/A,VLOOKUP(Table7[[#This Row],[Date]],Database!$A:$C,MATCH($B$1,Database!$A$1:$C$1,),))</f>
        <v/>
      </c>
      <c r="C7556">
        <f>IF(VLOOKUP(Table7[[#This Row],[Date]],Database!$A:$C,MATCH($C$1,Database!$A$1:$C$1,),)=0,#N/A,VLOOKUP(Table7[[#This Row],[Date]],Database!$A:$C,MATCH($C$1,Database!$A$1:$C$1,),))</f>
        <v/>
      </c>
      <c r="D7556">
        <f>IFERROR(Table7[[#This Row],[United States 10y]]-Table7[[#This Row],[United States 3y]],#N/A)</f>
        <v/>
      </c>
    </row>
    <row r="7557">
      <c r="A7557" s="6">
        <f>Database!$A9642</f>
        <v/>
      </c>
      <c r="B7557">
        <f>IF(VLOOKUP(Table7[[#This Row],[Date]],Database!$A:$C,MATCH($B$1,Database!$A$1:$C$1,),)=0,#N/A,VLOOKUP(Table7[[#This Row],[Date]],Database!$A:$C,MATCH($B$1,Database!$A$1:$C$1,),))</f>
        <v/>
      </c>
      <c r="C7557">
        <f>IF(VLOOKUP(Table7[[#This Row],[Date]],Database!$A:$C,MATCH($C$1,Database!$A$1:$C$1,),)=0,#N/A,VLOOKUP(Table7[[#This Row],[Date]],Database!$A:$C,MATCH($C$1,Database!$A$1:$C$1,),))</f>
        <v/>
      </c>
      <c r="D7557">
        <f>IFERROR(Table7[[#This Row],[United States 10y]]-Table7[[#This Row],[United States 3y]],#N/A)</f>
        <v/>
      </c>
    </row>
    <row r="7558">
      <c r="A7558" s="6">
        <f>Database!$A9643</f>
        <v/>
      </c>
      <c r="B7558">
        <f>IF(VLOOKUP(Table7[[#This Row],[Date]],Database!$A:$C,MATCH($B$1,Database!$A$1:$C$1,),)=0,#N/A,VLOOKUP(Table7[[#This Row],[Date]],Database!$A:$C,MATCH($B$1,Database!$A$1:$C$1,),))</f>
        <v/>
      </c>
      <c r="C7558">
        <f>IF(VLOOKUP(Table7[[#This Row],[Date]],Database!$A:$C,MATCH($C$1,Database!$A$1:$C$1,),)=0,#N/A,VLOOKUP(Table7[[#This Row],[Date]],Database!$A:$C,MATCH($C$1,Database!$A$1:$C$1,),))</f>
        <v/>
      </c>
      <c r="D7558">
        <f>IFERROR(Table7[[#This Row],[United States 10y]]-Table7[[#This Row],[United States 3y]],#N/A)</f>
        <v/>
      </c>
    </row>
    <row r="7559">
      <c r="A7559" s="6">
        <f>Database!$A9644</f>
        <v/>
      </c>
      <c r="B7559">
        <f>IF(VLOOKUP(Table7[[#This Row],[Date]],Database!$A:$C,MATCH($B$1,Database!$A$1:$C$1,),)=0,#N/A,VLOOKUP(Table7[[#This Row],[Date]],Database!$A:$C,MATCH($B$1,Database!$A$1:$C$1,),))</f>
        <v/>
      </c>
      <c r="C7559">
        <f>IF(VLOOKUP(Table7[[#This Row],[Date]],Database!$A:$C,MATCH($C$1,Database!$A$1:$C$1,),)=0,#N/A,VLOOKUP(Table7[[#This Row],[Date]],Database!$A:$C,MATCH($C$1,Database!$A$1:$C$1,),))</f>
        <v/>
      </c>
      <c r="D7559">
        <f>IFERROR(Table7[[#This Row],[United States 10y]]-Table7[[#This Row],[United States 3y]],#N/A)</f>
        <v/>
      </c>
    </row>
    <row r="7560">
      <c r="A7560" s="6">
        <f>Database!$A9645</f>
        <v/>
      </c>
      <c r="B7560">
        <f>IF(VLOOKUP(Table7[[#This Row],[Date]],Database!$A:$C,MATCH($B$1,Database!$A$1:$C$1,),)=0,#N/A,VLOOKUP(Table7[[#This Row],[Date]],Database!$A:$C,MATCH($B$1,Database!$A$1:$C$1,),))</f>
        <v/>
      </c>
      <c r="C7560">
        <f>IF(VLOOKUP(Table7[[#This Row],[Date]],Database!$A:$C,MATCH($C$1,Database!$A$1:$C$1,),)=0,#N/A,VLOOKUP(Table7[[#This Row],[Date]],Database!$A:$C,MATCH($C$1,Database!$A$1:$C$1,),))</f>
        <v/>
      </c>
      <c r="D7560">
        <f>IFERROR(Table7[[#This Row],[United States 10y]]-Table7[[#This Row],[United States 3y]],#N/A)</f>
        <v/>
      </c>
    </row>
    <row r="7561">
      <c r="A7561" s="6">
        <f>Database!$A9646</f>
        <v/>
      </c>
      <c r="B7561">
        <f>IF(VLOOKUP(Table7[[#This Row],[Date]],Database!$A:$C,MATCH($B$1,Database!$A$1:$C$1,),)=0,#N/A,VLOOKUP(Table7[[#This Row],[Date]],Database!$A:$C,MATCH($B$1,Database!$A$1:$C$1,),))</f>
        <v/>
      </c>
      <c r="C7561">
        <f>IF(VLOOKUP(Table7[[#This Row],[Date]],Database!$A:$C,MATCH($C$1,Database!$A$1:$C$1,),)=0,#N/A,VLOOKUP(Table7[[#This Row],[Date]],Database!$A:$C,MATCH($C$1,Database!$A$1:$C$1,),))</f>
        <v/>
      </c>
      <c r="D7561">
        <f>IFERROR(Table7[[#This Row],[United States 10y]]-Table7[[#This Row],[United States 3y]],#N/A)</f>
        <v/>
      </c>
    </row>
    <row r="7562">
      <c r="A7562" s="6">
        <f>Database!$A9647</f>
        <v/>
      </c>
      <c r="B7562">
        <f>IF(VLOOKUP(Table7[[#This Row],[Date]],Database!$A:$C,MATCH($B$1,Database!$A$1:$C$1,),)=0,#N/A,VLOOKUP(Table7[[#This Row],[Date]],Database!$A:$C,MATCH($B$1,Database!$A$1:$C$1,),))</f>
        <v/>
      </c>
      <c r="C7562">
        <f>IF(VLOOKUP(Table7[[#This Row],[Date]],Database!$A:$C,MATCH($C$1,Database!$A$1:$C$1,),)=0,#N/A,VLOOKUP(Table7[[#This Row],[Date]],Database!$A:$C,MATCH($C$1,Database!$A$1:$C$1,),))</f>
        <v/>
      </c>
      <c r="D7562">
        <f>IFERROR(Table7[[#This Row],[United States 10y]]-Table7[[#This Row],[United States 3y]],#N/A)</f>
        <v/>
      </c>
    </row>
    <row r="7563">
      <c r="A7563" s="6">
        <f>Database!$A9648</f>
        <v/>
      </c>
      <c r="B7563">
        <f>IF(VLOOKUP(Table7[[#This Row],[Date]],Database!$A:$C,MATCH($B$1,Database!$A$1:$C$1,),)=0,#N/A,VLOOKUP(Table7[[#This Row],[Date]],Database!$A:$C,MATCH($B$1,Database!$A$1:$C$1,),))</f>
        <v/>
      </c>
      <c r="C7563">
        <f>IF(VLOOKUP(Table7[[#This Row],[Date]],Database!$A:$C,MATCH($C$1,Database!$A$1:$C$1,),)=0,#N/A,VLOOKUP(Table7[[#This Row],[Date]],Database!$A:$C,MATCH($C$1,Database!$A$1:$C$1,),))</f>
        <v/>
      </c>
      <c r="D7563">
        <f>IFERROR(Table7[[#This Row],[United States 10y]]-Table7[[#This Row],[United States 3y]],#N/A)</f>
        <v/>
      </c>
    </row>
    <row r="7564">
      <c r="A7564" s="6">
        <f>Database!$A9649</f>
        <v/>
      </c>
      <c r="B7564">
        <f>IF(VLOOKUP(Table7[[#This Row],[Date]],Database!$A:$C,MATCH($B$1,Database!$A$1:$C$1,),)=0,#N/A,VLOOKUP(Table7[[#This Row],[Date]],Database!$A:$C,MATCH($B$1,Database!$A$1:$C$1,),))</f>
        <v/>
      </c>
      <c r="C7564">
        <f>IF(VLOOKUP(Table7[[#This Row],[Date]],Database!$A:$C,MATCH($C$1,Database!$A$1:$C$1,),)=0,#N/A,VLOOKUP(Table7[[#This Row],[Date]],Database!$A:$C,MATCH($C$1,Database!$A$1:$C$1,),))</f>
        <v/>
      </c>
      <c r="D7564">
        <f>IFERROR(Table7[[#This Row],[United States 10y]]-Table7[[#This Row],[United States 3y]],#N/A)</f>
        <v/>
      </c>
    </row>
    <row r="7565">
      <c r="A7565" s="6">
        <f>Database!$A9650</f>
        <v/>
      </c>
      <c r="B7565">
        <f>IF(VLOOKUP(Table7[[#This Row],[Date]],Database!$A:$C,MATCH($B$1,Database!$A$1:$C$1,),)=0,#N/A,VLOOKUP(Table7[[#This Row],[Date]],Database!$A:$C,MATCH($B$1,Database!$A$1:$C$1,),))</f>
        <v/>
      </c>
      <c r="C7565">
        <f>IF(VLOOKUP(Table7[[#This Row],[Date]],Database!$A:$C,MATCH($C$1,Database!$A$1:$C$1,),)=0,#N/A,VLOOKUP(Table7[[#This Row],[Date]],Database!$A:$C,MATCH($C$1,Database!$A$1:$C$1,),))</f>
        <v/>
      </c>
      <c r="D7565">
        <f>IFERROR(Table7[[#This Row],[United States 10y]]-Table7[[#This Row],[United States 3y]],#N/A)</f>
        <v/>
      </c>
    </row>
    <row r="7566">
      <c r="A7566" s="6">
        <f>Database!$A9651</f>
        <v/>
      </c>
      <c r="B7566">
        <f>IF(VLOOKUP(Table7[[#This Row],[Date]],Database!$A:$C,MATCH($B$1,Database!$A$1:$C$1,),)=0,#N/A,VLOOKUP(Table7[[#This Row],[Date]],Database!$A:$C,MATCH($B$1,Database!$A$1:$C$1,),))</f>
        <v/>
      </c>
      <c r="C7566">
        <f>IF(VLOOKUP(Table7[[#This Row],[Date]],Database!$A:$C,MATCH($C$1,Database!$A$1:$C$1,),)=0,#N/A,VLOOKUP(Table7[[#This Row],[Date]],Database!$A:$C,MATCH($C$1,Database!$A$1:$C$1,),))</f>
        <v/>
      </c>
      <c r="D7566">
        <f>IFERROR(Table7[[#This Row],[United States 10y]]-Table7[[#This Row],[United States 3y]],#N/A)</f>
        <v/>
      </c>
    </row>
    <row r="7567">
      <c r="A7567" s="6">
        <f>Database!$A9652</f>
        <v/>
      </c>
      <c r="B7567">
        <f>IF(VLOOKUP(Table7[[#This Row],[Date]],Database!$A:$C,MATCH($B$1,Database!$A$1:$C$1,),)=0,#N/A,VLOOKUP(Table7[[#This Row],[Date]],Database!$A:$C,MATCH($B$1,Database!$A$1:$C$1,),))</f>
        <v/>
      </c>
      <c r="C7567">
        <f>IF(VLOOKUP(Table7[[#This Row],[Date]],Database!$A:$C,MATCH($C$1,Database!$A$1:$C$1,),)=0,#N/A,VLOOKUP(Table7[[#This Row],[Date]],Database!$A:$C,MATCH($C$1,Database!$A$1:$C$1,),))</f>
        <v/>
      </c>
      <c r="D7567">
        <f>IFERROR(Table7[[#This Row],[United States 10y]]-Table7[[#This Row],[United States 3y]],#N/A)</f>
        <v/>
      </c>
    </row>
    <row r="7568">
      <c r="A7568" s="6">
        <f>Database!$A9653</f>
        <v/>
      </c>
      <c r="B7568">
        <f>IF(VLOOKUP(Table7[[#This Row],[Date]],Database!$A:$C,MATCH($B$1,Database!$A$1:$C$1,),)=0,#N/A,VLOOKUP(Table7[[#This Row],[Date]],Database!$A:$C,MATCH($B$1,Database!$A$1:$C$1,),))</f>
        <v/>
      </c>
      <c r="C7568">
        <f>IF(VLOOKUP(Table7[[#This Row],[Date]],Database!$A:$C,MATCH($C$1,Database!$A$1:$C$1,),)=0,#N/A,VLOOKUP(Table7[[#This Row],[Date]],Database!$A:$C,MATCH($C$1,Database!$A$1:$C$1,),))</f>
        <v/>
      </c>
      <c r="D7568">
        <f>IFERROR(Table7[[#This Row],[United States 10y]]-Table7[[#This Row],[United States 3y]],#N/A)</f>
        <v/>
      </c>
    </row>
    <row r="7569">
      <c r="A7569" s="6">
        <f>Database!$A9654</f>
        <v/>
      </c>
      <c r="B7569">
        <f>IF(VLOOKUP(Table7[[#This Row],[Date]],Database!$A:$C,MATCH($B$1,Database!$A$1:$C$1,),)=0,#N/A,VLOOKUP(Table7[[#This Row],[Date]],Database!$A:$C,MATCH($B$1,Database!$A$1:$C$1,),))</f>
        <v/>
      </c>
      <c r="C7569">
        <f>IF(VLOOKUP(Table7[[#This Row],[Date]],Database!$A:$C,MATCH($C$1,Database!$A$1:$C$1,),)=0,#N/A,VLOOKUP(Table7[[#This Row],[Date]],Database!$A:$C,MATCH($C$1,Database!$A$1:$C$1,),))</f>
        <v/>
      </c>
      <c r="D7569">
        <f>IFERROR(Table7[[#This Row],[United States 10y]]-Table7[[#This Row],[United States 3y]],#N/A)</f>
        <v/>
      </c>
    </row>
    <row r="7570">
      <c r="A7570" s="6">
        <f>Database!$A9655</f>
        <v/>
      </c>
      <c r="B7570">
        <f>IF(VLOOKUP(Table7[[#This Row],[Date]],Database!$A:$C,MATCH($B$1,Database!$A$1:$C$1,),)=0,#N/A,VLOOKUP(Table7[[#This Row],[Date]],Database!$A:$C,MATCH($B$1,Database!$A$1:$C$1,),))</f>
        <v/>
      </c>
      <c r="C7570">
        <f>IF(VLOOKUP(Table7[[#This Row],[Date]],Database!$A:$C,MATCH($C$1,Database!$A$1:$C$1,),)=0,#N/A,VLOOKUP(Table7[[#This Row],[Date]],Database!$A:$C,MATCH($C$1,Database!$A$1:$C$1,),))</f>
        <v/>
      </c>
      <c r="D7570">
        <f>IFERROR(Table7[[#This Row],[United States 10y]]-Table7[[#This Row],[United States 3y]],#N/A)</f>
        <v/>
      </c>
    </row>
    <row r="7571">
      <c r="A7571" s="6">
        <f>Database!$A9656</f>
        <v/>
      </c>
      <c r="B7571">
        <f>IF(VLOOKUP(Table7[[#This Row],[Date]],Database!$A:$C,MATCH($B$1,Database!$A$1:$C$1,),)=0,#N/A,VLOOKUP(Table7[[#This Row],[Date]],Database!$A:$C,MATCH($B$1,Database!$A$1:$C$1,),))</f>
        <v/>
      </c>
      <c r="C7571">
        <f>IF(VLOOKUP(Table7[[#This Row],[Date]],Database!$A:$C,MATCH($C$1,Database!$A$1:$C$1,),)=0,#N/A,VLOOKUP(Table7[[#This Row],[Date]],Database!$A:$C,MATCH($C$1,Database!$A$1:$C$1,),))</f>
        <v/>
      </c>
      <c r="D7571">
        <f>IFERROR(Table7[[#This Row],[United States 10y]]-Table7[[#This Row],[United States 3y]],#N/A)</f>
        <v/>
      </c>
    </row>
    <row r="7572">
      <c r="A7572" s="6">
        <f>Database!$A9657</f>
        <v/>
      </c>
      <c r="B7572">
        <f>IF(VLOOKUP(Table7[[#This Row],[Date]],Database!$A:$C,MATCH($B$1,Database!$A$1:$C$1,),)=0,#N/A,VLOOKUP(Table7[[#This Row],[Date]],Database!$A:$C,MATCH($B$1,Database!$A$1:$C$1,),))</f>
        <v/>
      </c>
      <c r="C7572">
        <f>IF(VLOOKUP(Table7[[#This Row],[Date]],Database!$A:$C,MATCH($C$1,Database!$A$1:$C$1,),)=0,#N/A,VLOOKUP(Table7[[#This Row],[Date]],Database!$A:$C,MATCH($C$1,Database!$A$1:$C$1,),))</f>
        <v/>
      </c>
      <c r="D7572">
        <f>IFERROR(Table7[[#This Row],[United States 10y]]-Table7[[#This Row],[United States 3y]],#N/A)</f>
        <v/>
      </c>
    </row>
    <row r="7573">
      <c r="A7573" s="6">
        <f>Database!$A9658</f>
        <v/>
      </c>
      <c r="B7573">
        <f>IF(VLOOKUP(Table7[[#This Row],[Date]],Database!$A:$C,MATCH($B$1,Database!$A$1:$C$1,),)=0,#N/A,VLOOKUP(Table7[[#This Row],[Date]],Database!$A:$C,MATCH($B$1,Database!$A$1:$C$1,),))</f>
        <v/>
      </c>
      <c r="C7573">
        <f>IF(VLOOKUP(Table7[[#This Row],[Date]],Database!$A:$C,MATCH($C$1,Database!$A$1:$C$1,),)=0,#N/A,VLOOKUP(Table7[[#This Row],[Date]],Database!$A:$C,MATCH($C$1,Database!$A$1:$C$1,),))</f>
        <v/>
      </c>
      <c r="D7573">
        <f>IFERROR(Table7[[#This Row],[United States 10y]]-Table7[[#This Row],[United States 3y]],#N/A)</f>
        <v/>
      </c>
    </row>
    <row r="7574">
      <c r="A7574" s="6">
        <f>Database!$A9659</f>
        <v/>
      </c>
      <c r="B7574">
        <f>IF(VLOOKUP(Table7[[#This Row],[Date]],Database!$A:$C,MATCH($B$1,Database!$A$1:$C$1,),)=0,#N/A,VLOOKUP(Table7[[#This Row],[Date]],Database!$A:$C,MATCH($B$1,Database!$A$1:$C$1,),))</f>
        <v/>
      </c>
      <c r="C7574">
        <f>IF(VLOOKUP(Table7[[#This Row],[Date]],Database!$A:$C,MATCH($C$1,Database!$A$1:$C$1,),)=0,#N/A,VLOOKUP(Table7[[#This Row],[Date]],Database!$A:$C,MATCH($C$1,Database!$A$1:$C$1,),))</f>
        <v/>
      </c>
      <c r="D7574">
        <f>IFERROR(Table7[[#This Row],[United States 10y]]-Table7[[#This Row],[United States 3y]],#N/A)</f>
        <v/>
      </c>
    </row>
    <row r="7575">
      <c r="A7575" s="6">
        <f>Database!$A9660</f>
        <v/>
      </c>
      <c r="B7575">
        <f>IF(VLOOKUP(Table7[[#This Row],[Date]],Database!$A:$C,MATCH($B$1,Database!$A$1:$C$1,),)=0,#N/A,VLOOKUP(Table7[[#This Row],[Date]],Database!$A:$C,MATCH($B$1,Database!$A$1:$C$1,),))</f>
        <v/>
      </c>
      <c r="C7575">
        <f>IF(VLOOKUP(Table7[[#This Row],[Date]],Database!$A:$C,MATCH($C$1,Database!$A$1:$C$1,),)=0,#N/A,VLOOKUP(Table7[[#This Row],[Date]],Database!$A:$C,MATCH($C$1,Database!$A$1:$C$1,),))</f>
        <v/>
      </c>
      <c r="D7575">
        <f>IFERROR(Table7[[#This Row],[United States 10y]]-Table7[[#This Row],[United States 3y]],#N/A)</f>
        <v/>
      </c>
    </row>
    <row r="7576">
      <c r="A7576" s="6">
        <f>Database!$A9661</f>
        <v/>
      </c>
      <c r="B7576">
        <f>IF(VLOOKUP(Table7[[#This Row],[Date]],Database!$A:$C,MATCH($B$1,Database!$A$1:$C$1,),)=0,#N/A,VLOOKUP(Table7[[#This Row],[Date]],Database!$A:$C,MATCH($B$1,Database!$A$1:$C$1,),))</f>
        <v/>
      </c>
      <c r="C7576">
        <f>IF(VLOOKUP(Table7[[#This Row],[Date]],Database!$A:$C,MATCH($C$1,Database!$A$1:$C$1,),)=0,#N/A,VLOOKUP(Table7[[#This Row],[Date]],Database!$A:$C,MATCH($C$1,Database!$A$1:$C$1,),))</f>
        <v/>
      </c>
      <c r="D7576">
        <f>IFERROR(Table7[[#This Row],[United States 10y]]-Table7[[#This Row],[United States 3y]],#N/A)</f>
        <v/>
      </c>
    </row>
    <row r="7577">
      <c r="A7577" s="6">
        <f>Database!$A9662</f>
        <v/>
      </c>
      <c r="B7577">
        <f>IF(VLOOKUP(Table7[[#This Row],[Date]],Database!$A:$C,MATCH($B$1,Database!$A$1:$C$1,),)=0,#N/A,VLOOKUP(Table7[[#This Row],[Date]],Database!$A:$C,MATCH($B$1,Database!$A$1:$C$1,),))</f>
        <v/>
      </c>
      <c r="C7577">
        <f>IF(VLOOKUP(Table7[[#This Row],[Date]],Database!$A:$C,MATCH($C$1,Database!$A$1:$C$1,),)=0,#N/A,VLOOKUP(Table7[[#This Row],[Date]],Database!$A:$C,MATCH($C$1,Database!$A$1:$C$1,),))</f>
        <v/>
      </c>
      <c r="D7577">
        <f>IFERROR(Table7[[#This Row],[United States 10y]]-Table7[[#This Row],[United States 3y]],#N/A)</f>
        <v/>
      </c>
    </row>
    <row r="7578">
      <c r="A7578" s="6">
        <f>Database!$A9663</f>
        <v/>
      </c>
      <c r="B7578">
        <f>IF(VLOOKUP(Table7[[#This Row],[Date]],Database!$A:$C,MATCH($B$1,Database!$A$1:$C$1,),)=0,#N/A,VLOOKUP(Table7[[#This Row],[Date]],Database!$A:$C,MATCH($B$1,Database!$A$1:$C$1,),))</f>
        <v/>
      </c>
      <c r="C7578">
        <f>IF(VLOOKUP(Table7[[#This Row],[Date]],Database!$A:$C,MATCH($C$1,Database!$A$1:$C$1,),)=0,#N/A,VLOOKUP(Table7[[#This Row],[Date]],Database!$A:$C,MATCH($C$1,Database!$A$1:$C$1,),))</f>
        <v/>
      </c>
      <c r="D7578">
        <f>IFERROR(Table7[[#This Row],[United States 10y]]-Table7[[#This Row],[United States 3y]],#N/A)</f>
        <v/>
      </c>
    </row>
    <row r="7579">
      <c r="A7579" s="6">
        <f>Database!$A9664</f>
        <v/>
      </c>
      <c r="B7579">
        <f>IF(VLOOKUP(Table7[[#This Row],[Date]],Database!$A:$C,MATCH($B$1,Database!$A$1:$C$1,),)=0,#N/A,VLOOKUP(Table7[[#This Row],[Date]],Database!$A:$C,MATCH($B$1,Database!$A$1:$C$1,),))</f>
        <v/>
      </c>
      <c r="C7579">
        <f>IF(VLOOKUP(Table7[[#This Row],[Date]],Database!$A:$C,MATCH($C$1,Database!$A$1:$C$1,),)=0,#N/A,VLOOKUP(Table7[[#This Row],[Date]],Database!$A:$C,MATCH($C$1,Database!$A$1:$C$1,),))</f>
        <v/>
      </c>
      <c r="D7579">
        <f>IFERROR(Table7[[#This Row],[United States 10y]]-Table7[[#This Row],[United States 3y]],#N/A)</f>
        <v/>
      </c>
    </row>
    <row r="7580">
      <c r="A7580" s="6">
        <f>Database!$A9665</f>
        <v/>
      </c>
      <c r="B7580">
        <f>IF(VLOOKUP(Table7[[#This Row],[Date]],Database!$A:$C,MATCH($B$1,Database!$A$1:$C$1,),)=0,#N/A,VLOOKUP(Table7[[#This Row],[Date]],Database!$A:$C,MATCH($B$1,Database!$A$1:$C$1,),))</f>
        <v/>
      </c>
      <c r="C7580">
        <f>IF(VLOOKUP(Table7[[#This Row],[Date]],Database!$A:$C,MATCH($C$1,Database!$A$1:$C$1,),)=0,#N/A,VLOOKUP(Table7[[#This Row],[Date]],Database!$A:$C,MATCH($C$1,Database!$A$1:$C$1,),))</f>
        <v/>
      </c>
      <c r="D7580">
        <f>IFERROR(Table7[[#This Row],[United States 10y]]-Table7[[#This Row],[United States 3y]],#N/A)</f>
        <v/>
      </c>
    </row>
    <row r="7581">
      <c r="A7581" s="6">
        <f>Database!$A9666</f>
        <v/>
      </c>
      <c r="B7581">
        <f>IF(VLOOKUP(Table7[[#This Row],[Date]],Database!$A:$C,MATCH($B$1,Database!$A$1:$C$1,),)=0,#N/A,VLOOKUP(Table7[[#This Row],[Date]],Database!$A:$C,MATCH($B$1,Database!$A$1:$C$1,),))</f>
        <v/>
      </c>
      <c r="C7581">
        <f>IF(VLOOKUP(Table7[[#This Row],[Date]],Database!$A:$C,MATCH($C$1,Database!$A$1:$C$1,),)=0,#N/A,VLOOKUP(Table7[[#This Row],[Date]],Database!$A:$C,MATCH($C$1,Database!$A$1:$C$1,),))</f>
        <v/>
      </c>
      <c r="D7581">
        <f>IFERROR(Table7[[#This Row],[United States 10y]]-Table7[[#This Row],[United States 3y]],#N/A)</f>
        <v/>
      </c>
    </row>
    <row r="7582">
      <c r="A7582" s="6">
        <f>Database!$A9667</f>
        <v/>
      </c>
      <c r="B7582">
        <f>IF(VLOOKUP(Table7[[#This Row],[Date]],Database!$A:$C,MATCH($B$1,Database!$A$1:$C$1,),)=0,#N/A,VLOOKUP(Table7[[#This Row],[Date]],Database!$A:$C,MATCH($B$1,Database!$A$1:$C$1,),))</f>
        <v/>
      </c>
      <c r="C7582">
        <f>IF(VLOOKUP(Table7[[#This Row],[Date]],Database!$A:$C,MATCH($C$1,Database!$A$1:$C$1,),)=0,#N/A,VLOOKUP(Table7[[#This Row],[Date]],Database!$A:$C,MATCH($C$1,Database!$A$1:$C$1,),))</f>
        <v/>
      </c>
      <c r="D7582">
        <f>IFERROR(Table7[[#This Row],[United States 10y]]-Table7[[#This Row],[United States 3y]],#N/A)</f>
        <v/>
      </c>
    </row>
    <row r="7583">
      <c r="A7583" s="6">
        <f>Database!$A9668</f>
        <v/>
      </c>
      <c r="B7583">
        <f>IF(VLOOKUP(Table7[[#This Row],[Date]],Database!$A:$C,MATCH($B$1,Database!$A$1:$C$1,),)=0,#N/A,VLOOKUP(Table7[[#This Row],[Date]],Database!$A:$C,MATCH($B$1,Database!$A$1:$C$1,),))</f>
        <v/>
      </c>
      <c r="C7583">
        <f>IF(VLOOKUP(Table7[[#This Row],[Date]],Database!$A:$C,MATCH($C$1,Database!$A$1:$C$1,),)=0,#N/A,VLOOKUP(Table7[[#This Row],[Date]],Database!$A:$C,MATCH($C$1,Database!$A$1:$C$1,),))</f>
        <v/>
      </c>
      <c r="D7583">
        <f>IFERROR(Table7[[#This Row],[United States 10y]]-Table7[[#This Row],[United States 3y]],#N/A)</f>
        <v/>
      </c>
    </row>
    <row r="7584">
      <c r="A7584" s="6">
        <f>Database!$A9669</f>
        <v/>
      </c>
      <c r="B7584">
        <f>IF(VLOOKUP(Table7[[#This Row],[Date]],Database!$A:$C,MATCH($B$1,Database!$A$1:$C$1,),)=0,#N/A,VLOOKUP(Table7[[#This Row],[Date]],Database!$A:$C,MATCH($B$1,Database!$A$1:$C$1,),))</f>
        <v/>
      </c>
      <c r="C7584">
        <f>IF(VLOOKUP(Table7[[#This Row],[Date]],Database!$A:$C,MATCH($C$1,Database!$A$1:$C$1,),)=0,#N/A,VLOOKUP(Table7[[#This Row],[Date]],Database!$A:$C,MATCH($C$1,Database!$A$1:$C$1,),))</f>
        <v/>
      </c>
      <c r="D7584">
        <f>IFERROR(Table7[[#This Row],[United States 10y]]-Table7[[#This Row],[United States 3y]],#N/A)</f>
        <v/>
      </c>
    </row>
    <row r="7585">
      <c r="A7585" s="6">
        <f>Database!$A9670</f>
        <v/>
      </c>
      <c r="B7585">
        <f>IF(VLOOKUP(Table7[[#This Row],[Date]],Database!$A:$C,MATCH($B$1,Database!$A$1:$C$1,),)=0,#N/A,VLOOKUP(Table7[[#This Row],[Date]],Database!$A:$C,MATCH($B$1,Database!$A$1:$C$1,),))</f>
        <v/>
      </c>
      <c r="C7585">
        <f>IF(VLOOKUP(Table7[[#This Row],[Date]],Database!$A:$C,MATCH($C$1,Database!$A$1:$C$1,),)=0,#N/A,VLOOKUP(Table7[[#This Row],[Date]],Database!$A:$C,MATCH($C$1,Database!$A$1:$C$1,),))</f>
        <v/>
      </c>
      <c r="D7585">
        <f>IFERROR(Table7[[#This Row],[United States 10y]]-Table7[[#This Row],[United States 3y]],#N/A)</f>
        <v/>
      </c>
    </row>
    <row r="7586">
      <c r="A7586" s="6">
        <f>Database!$A9671</f>
        <v/>
      </c>
      <c r="B7586">
        <f>IF(VLOOKUP(Table7[[#This Row],[Date]],Database!$A:$C,MATCH($B$1,Database!$A$1:$C$1,),)=0,#N/A,VLOOKUP(Table7[[#This Row],[Date]],Database!$A:$C,MATCH($B$1,Database!$A$1:$C$1,),))</f>
        <v/>
      </c>
      <c r="C7586">
        <f>IF(VLOOKUP(Table7[[#This Row],[Date]],Database!$A:$C,MATCH($C$1,Database!$A$1:$C$1,),)=0,#N/A,VLOOKUP(Table7[[#This Row],[Date]],Database!$A:$C,MATCH($C$1,Database!$A$1:$C$1,),))</f>
        <v/>
      </c>
      <c r="D7586">
        <f>IFERROR(Table7[[#This Row],[United States 10y]]-Table7[[#This Row],[United States 3y]],#N/A)</f>
        <v/>
      </c>
    </row>
    <row r="7587">
      <c r="A7587" s="6">
        <f>Database!$A9672</f>
        <v/>
      </c>
      <c r="B7587">
        <f>IF(VLOOKUP(Table7[[#This Row],[Date]],Database!$A:$C,MATCH($B$1,Database!$A$1:$C$1,),)=0,#N/A,VLOOKUP(Table7[[#This Row],[Date]],Database!$A:$C,MATCH($B$1,Database!$A$1:$C$1,),))</f>
        <v/>
      </c>
      <c r="C7587">
        <f>IF(VLOOKUP(Table7[[#This Row],[Date]],Database!$A:$C,MATCH($C$1,Database!$A$1:$C$1,),)=0,#N/A,VLOOKUP(Table7[[#This Row],[Date]],Database!$A:$C,MATCH($C$1,Database!$A$1:$C$1,),))</f>
        <v/>
      </c>
      <c r="D7587">
        <f>IFERROR(Table7[[#This Row],[United States 10y]]-Table7[[#This Row],[United States 3y]],#N/A)</f>
        <v/>
      </c>
    </row>
    <row r="7588">
      <c r="A7588" s="6">
        <f>Database!$A9673</f>
        <v/>
      </c>
      <c r="B7588">
        <f>IF(VLOOKUP(Table7[[#This Row],[Date]],Database!$A:$C,MATCH($B$1,Database!$A$1:$C$1,),)=0,#N/A,VLOOKUP(Table7[[#This Row],[Date]],Database!$A:$C,MATCH($B$1,Database!$A$1:$C$1,),))</f>
        <v/>
      </c>
      <c r="C7588">
        <f>IF(VLOOKUP(Table7[[#This Row],[Date]],Database!$A:$C,MATCH($C$1,Database!$A$1:$C$1,),)=0,#N/A,VLOOKUP(Table7[[#This Row],[Date]],Database!$A:$C,MATCH($C$1,Database!$A$1:$C$1,),))</f>
        <v/>
      </c>
      <c r="D7588">
        <f>IFERROR(Table7[[#This Row],[United States 10y]]-Table7[[#This Row],[United States 3y]],#N/A)</f>
        <v/>
      </c>
    </row>
    <row r="7589">
      <c r="A7589" s="6">
        <f>Database!$A9674</f>
        <v/>
      </c>
      <c r="B7589">
        <f>IF(VLOOKUP(Table7[[#This Row],[Date]],Database!$A:$C,MATCH($B$1,Database!$A$1:$C$1,),)=0,#N/A,VLOOKUP(Table7[[#This Row],[Date]],Database!$A:$C,MATCH($B$1,Database!$A$1:$C$1,),))</f>
        <v/>
      </c>
      <c r="C7589">
        <f>IF(VLOOKUP(Table7[[#This Row],[Date]],Database!$A:$C,MATCH($C$1,Database!$A$1:$C$1,),)=0,#N/A,VLOOKUP(Table7[[#This Row],[Date]],Database!$A:$C,MATCH($C$1,Database!$A$1:$C$1,),))</f>
        <v/>
      </c>
      <c r="D7589">
        <f>IFERROR(Table7[[#This Row],[United States 10y]]-Table7[[#This Row],[United States 3y]],#N/A)</f>
        <v/>
      </c>
    </row>
    <row r="7590">
      <c r="A7590" s="6">
        <f>Database!$A9675</f>
        <v/>
      </c>
      <c r="B7590">
        <f>IF(VLOOKUP(Table7[[#This Row],[Date]],Database!$A:$C,MATCH($B$1,Database!$A$1:$C$1,),)=0,#N/A,VLOOKUP(Table7[[#This Row],[Date]],Database!$A:$C,MATCH($B$1,Database!$A$1:$C$1,),))</f>
        <v/>
      </c>
      <c r="C7590">
        <f>IF(VLOOKUP(Table7[[#This Row],[Date]],Database!$A:$C,MATCH($C$1,Database!$A$1:$C$1,),)=0,#N/A,VLOOKUP(Table7[[#This Row],[Date]],Database!$A:$C,MATCH($C$1,Database!$A$1:$C$1,),))</f>
        <v/>
      </c>
      <c r="D7590">
        <f>IFERROR(Table7[[#This Row],[United States 10y]]-Table7[[#This Row],[United States 3y]],#N/A)</f>
        <v/>
      </c>
    </row>
    <row r="7591">
      <c r="A7591" s="6">
        <f>Database!$A9676</f>
        <v/>
      </c>
      <c r="B7591">
        <f>IF(VLOOKUP(Table7[[#This Row],[Date]],Database!$A:$C,MATCH($B$1,Database!$A$1:$C$1,),)=0,#N/A,VLOOKUP(Table7[[#This Row],[Date]],Database!$A:$C,MATCH($B$1,Database!$A$1:$C$1,),))</f>
        <v/>
      </c>
      <c r="C7591">
        <f>IF(VLOOKUP(Table7[[#This Row],[Date]],Database!$A:$C,MATCH($C$1,Database!$A$1:$C$1,),)=0,#N/A,VLOOKUP(Table7[[#This Row],[Date]],Database!$A:$C,MATCH($C$1,Database!$A$1:$C$1,),))</f>
        <v/>
      </c>
      <c r="D7591">
        <f>IFERROR(Table7[[#This Row],[United States 10y]]-Table7[[#This Row],[United States 3y]],#N/A)</f>
        <v/>
      </c>
    </row>
    <row r="7592">
      <c r="A7592" s="6">
        <f>Database!$A9677</f>
        <v/>
      </c>
      <c r="B7592">
        <f>IF(VLOOKUP(Table7[[#This Row],[Date]],Database!$A:$C,MATCH($B$1,Database!$A$1:$C$1,),)=0,#N/A,VLOOKUP(Table7[[#This Row],[Date]],Database!$A:$C,MATCH($B$1,Database!$A$1:$C$1,),))</f>
        <v/>
      </c>
      <c r="C7592">
        <f>IF(VLOOKUP(Table7[[#This Row],[Date]],Database!$A:$C,MATCH($C$1,Database!$A$1:$C$1,),)=0,#N/A,VLOOKUP(Table7[[#This Row],[Date]],Database!$A:$C,MATCH($C$1,Database!$A$1:$C$1,),))</f>
        <v/>
      </c>
      <c r="D7592">
        <f>IFERROR(Table7[[#This Row],[United States 10y]]-Table7[[#This Row],[United States 3y]],#N/A)</f>
        <v/>
      </c>
    </row>
    <row r="7593">
      <c r="A7593" s="6">
        <f>Database!$A9678</f>
        <v/>
      </c>
      <c r="B7593">
        <f>IF(VLOOKUP(Table7[[#This Row],[Date]],Database!$A:$C,MATCH($B$1,Database!$A$1:$C$1,),)=0,#N/A,VLOOKUP(Table7[[#This Row],[Date]],Database!$A:$C,MATCH($B$1,Database!$A$1:$C$1,),))</f>
        <v/>
      </c>
      <c r="C7593">
        <f>IF(VLOOKUP(Table7[[#This Row],[Date]],Database!$A:$C,MATCH($C$1,Database!$A$1:$C$1,),)=0,#N/A,VLOOKUP(Table7[[#This Row],[Date]],Database!$A:$C,MATCH($C$1,Database!$A$1:$C$1,),))</f>
        <v/>
      </c>
      <c r="D7593">
        <f>IFERROR(Table7[[#This Row],[United States 10y]]-Table7[[#This Row],[United States 3y]],#N/A)</f>
        <v/>
      </c>
    </row>
    <row r="7594">
      <c r="A7594" s="6">
        <f>Database!$A9679</f>
        <v/>
      </c>
      <c r="B7594">
        <f>IF(VLOOKUP(Table7[[#This Row],[Date]],Database!$A:$C,MATCH($B$1,Database!$A$1:$C$1,),)=0,#N/A,VLOOKUP(Table7[[#This Row],[Date]],Database!$A:$C,MATCH($B$1,Database!$A$1:$C$1,),))</f>
        <v/>
      </c>
      <c r="C7594">
        <f>IF(VLOOKUP(Table7[[#This Row],[Date]],Database!$A:$C,MATCH($C$1,Database!$A$1:$C$1,),)=0,#N/A,VLOOKUP(Table7[[#This Row],[Date]],Database!$A:$C,MATCH($C$1,Database!$A$1:$C$1,),))</f>
        <v/>
      </c>
      <c r="D7594">
        <f>IFERROR(Table7[[#This Row],[United States 10y]]-Table7[[#This Row],[United States 3y]],#N/A)</f>
        <v/>
      </c>
    </row>
    <row r="7595">
      <c r="A7595" s="6">
        <f>Database!$A9680</f>
        <v/>
      </c>
      <c r="B7595">
        <f>IF(VLOOKUP(Table7[[#This Row],[Date]],Database!$A:$C,MATCH($B$1,Database!$A$1:$C$1,),)=0,#N/A,VLOOKUP(Table7[[#This Row],[Date]],Database!$A:$C,MATCH($B$1,Database!$A$1:$C$1,),))</f>
        <v/>
      </c>
      <c r="C7595">
        <f>IF(VLOOKUP(Table7[[#This Row],[Date]],Database!$A:$C,MATCH($C$1,Database!$A$1:$C$1,),)=0,#N/A,VLOOKUP(Table7[[#This Row],[Date]],Database!$A:$C,MATCH($C$1,Database!$A$1:$C$1,),))</f>
        <v/>
      </c>
      <c r="D7595">
        <f>IFERROR(Table7[[#This Row],[United States 10y]]-Table7[[#This Row],[United States 3y]],#N/A)</f>
        <v/>
      </c>
    </row>
    <row r="7596">
      <c r="A7596" s="6">
        <f>Database!$A9681</f>
        <v/>
      </c>
      <c r="B7596">
        <f>IF(VLOOKUP(Table7[[#This Row],[Date]],Database!$A:$C,MATCH($B$1,Database!$A$1:$C$1,),)=0,#N/A,VLOOKUP(Table7[[#This Row],[Date]],Database!$A:$C,MATCH($B$1,Database!$A$1:$C$1,),))</f>
        <v/>
      </c>
      <c r="C7596">
        <f>IF(VLOOKUP(Table7[[#This Row],[Date]],Database!$A:$C,MATCH($C$1,Database!$A$1:$C$1,),)=0,#N/A,VLOOKUP(Table7[[#This Row],[Date]],Database!$A:$C,MATCH($C$1,Database!$A$1:$C$1,),))</f>
        <v/>
      </c>
      <c r="D7596">
        <f>IFERROR(Table7[[#This Row],[United States 10y]]-Table7[[#This Row],[United States 3y]],#N/A)</f>
        <v/>
      </c>
    </row>
    <row r="7597">
      <c r="A7597" s="6">
        <f>Database!$A9682</f>
        <v/>
      </c>
      <c r="B7597">
        <f>IF(VLOOKUP(Table7[[#This Row],[Date]],Database!$A:$C,MATCH($B$1,Database!$A$1:$C$1,),)=0,#N/A,VLOOKUP(Table7[[#This Row],[Date]],Database!$A:$C,MATCH($B$1,Database!$A$1:$C$1,),))</f>
        <v/>
      </c>
      <c r="C7597">
        <f>IF(VLOOKUP(Table7[[#This Row],[Date]],Database!$A:$C,MATCH($C$1,Database!$A$1:$C$1,),)=0,#N/A,VLOOKUP(Table7[[#This Row],[Date]],Database!$A:$C,MATCH($C$1,Database!$A$1:$C$1,),))</f>
        <v/>
      </c>
      <c r="D7597">
        <f>IFERROR(Table7[[#This Row],[United States 10y]]-Table7[[#This Row],[United States 3y]],#N/A)</f>
        <v/>
      </c>
    </row>
    <row r="7598">
      <c r="A7598" s="6">
        <f>Database!$A9683</f>
        <v/>
      </c>
      <c r="B7598">
        <f>IF(VLOOKUP(Table7[[#This Row],[Date]],Database!$A:$C,MATCH($B$1,Database!$A$1:$C$1,),)=0,#N/A,VLOOKUP(Table7[[#This Row],[Date]],Database!$A:$C,MATCH($B$1,Database!$A$1:$C$1,),))</f>
        <v/>
      </c>
      <c r="C7598">
        <f>IF(VLOOKUP(Table7[[#This Row],[Date]],Database!$A:$C,MATCH($C$1,Database!$A$1:$C$1,),)=0,#N/A,VLOOKUP(Table7[[#This Row],[Date]],Database!$A:$C,MATCH($C$1,Database!$A$1:$C$1,),))</f>
        <v/>
      </c>
      <c r="D7598">
        <f>IFERROR(Table7[[#This Row],[United States 10y]]-Table7[[#This Row],[United States 3y]],#N/A)</f>
        <v/>
      </c>
    </row>
    <row r="7599">
      <c r="A7599" s="6">
        <f>Database!$A9684</f>
        <v/>
      </c>
      <c r="B7599">
        <f>IF(VLOOKUP(Table7[[#This Row],[Date]],Database!$A:$C,MATCH($B$1,Database!$A$1:$C$1,),)=0,#N/A,VLOOKUP(Table7[[#This Row],[Date]],Database!$A:$C,MATCH($B$1,Database!$A$1:$C$1,),))</f>
        <v/>
      </c>
      <c r="C7599">
        <f>IF(VLOOKUP(Table7[[#This Row],[Date]],Database!$A:$C,MATCH($C$1,Database!$A$1:$C$1,),)=0,#N/A,VLOOKUP(Table7[[#This Row],[Date]],Database!$A:$C,MATCH($C$1,Database!$A$1:$C$1,),))</f>
        <v/>
      </c>
      <c r="D7599">
        <f>IFERROR(Table7[[#This Row],[United States 10y]]-Table7[[#This Row],[United States 3y]],#N/A)</f>
        <v/>
      </c>
    </row>
    <row r="7600">
      <c r="A7600" s="6">
        <f>Database!$A9685</f>
        <v/>
      </c>
      <c r="B7600">
        <f>IF(VLOOKUP(Table7[[#This Row],[Date]],Database!$A:$C,MATCH($B$1,Database!$A$1:$C$1,),)=0,#N/A,VLOOKUP(Table7[[#This Row],[Date]],Database!$A:$C,MATCH($B$1,Database!$A$1:$C$1,),))</f>
        <v/>
      </c>
      <c r="C7600">
        <f>IF(VLOOKUP(Table7[[#This Row],[Date]],Database!$A:$C,MATCH($C$1,Database!$A$1:$C$1,),)=0,#N/A,VLOOKUP(Table7[[#This Row],[Date]],Database!$A:$C,MATCH($C$1,Database!$A$1:$C$1,),))</f>
        <v/>
      </c>
      <c r="D7600">
        <f>IFERROR(Table7[[#This Row],[United States 10y]]-Table7[[#This Row],[United States 3y]],#N/A)</f>
        <v/>
      </c>
    </row>
    <row r="7601">
      <c r="A7601" s="6">
        <f>Database!$A9686</f>
        <v/>
      </c>
      <c r="B7601">
        <f>IF(VLOOKUP(Table7[[#This Row],[Date]],Database!$A:$C,MATCH($B$1,Database!$A$1:$C$1,),)=0,#N/A,VLOOKUP(Table7[[#This Row],[Date]],Database!$A:$C,MATCH($B$1,Database!$A$1:$C$1,),))</f>
        <v/>
      </c>
      <c r="C7601">
        <f>IF(VLOOKUP(Table7[[#This Row],[Date]],Database!$A:$C,MATCH($C$1,Database!$A$1:$C$1,),)=0,#N/A,VLOOKUP(Table7[[#This Row],[Date]],Database!$A:$C,MATCH($C$1,Database!$A$1:$C$1,),))</f>
        <v/>
      </c>
      <c r="D7601">
        <f>IFERROR(Table7[[#This Row],[United States 10y]]-Table7[[#This Row],[United States 3y]],#N/A)</f>
        <v/>
      </c>
    </row>
    <row r="7602">
      <c r="A7602" s="6">
        <f>Database!$A9687</f>
        <v/>
      </c>
      <c r="B7602">
        <f>IF(VLOOKUP(Table7[[#This Row],[Date]],Database!$A:$C,MATCH($B$1,Database!$A$1:$C$1,),)=0,#N/A,VLOOKUP(Table7[[#This Row],[Date]],Database!$A:$C,MATCH($B$1,Database!$A$1:$C$1,),))</f>
        <v/>
      </c>
      <c r="C7602">
        <f>IF(VLOOKUP(Table7[[#This Row],[Date]],Database!$A:$C,MATCH($C$1,Database!$A$1:$C$1,),)=0,#N/A,VLOOKUP(Table7[[#This Row],[Date]],Database!$A:$C,MATCH($C$1,Database!$A$1:$C$1,),))</f>
        <v/>
      </c>
      <c r="D7602">
        <f>IFERROR(Table7[[#This Row],[United States 10y]]-Table7[[#This Row],[United States 3y]],#N/A)</f>
        <v/>
      </c>
    </row>
    <row r="7603">
      <c r="A7603" s="6">
        <f>Database!$A9688</f>
        <v/>
      </c>
      <c r="B7603">
        <f>IF(VLOOKUP(Table7[[#This Row],[Date]],Database!$A:$C,MATCH($B$1,Database!$A$1:$C$1,),)=0,#N/A,VLOOKUP(Table7[[#This Row],[Date]],Database!$A:$C,MATCH($B$1,Database!$A$1:$C$1,),))</f>
        <v/>
      </c>
      <c r="C7603">
        <f>IF(VLOOKUP(Table7[[#This Row],[Date]],Database!$A:$C,MATCH($C$1,Database!$A$1:$C$1,),)=0,#N/A,VLOOKUP(Table7[[#This Row],[Date]],Database!$A:$C,MATCH($C$1,Database!$A$1:$C$1,),))</f>
        <v/>
      </c>
      <c r="D7603">
        <f>IFERROR(Table7[[#This Row],[United States 10y]]-Table7[[#This Row],[United States 3y]],#N/A)</f>
        <v/>
      </c>
    </row>
    <row r="7604">
      <c r="A7604" s="6">
        <f>Database!$A9689</f>
        <v/>
      </c>
      <c r="B7604">
        <f>IF(VLOOKUP(Table7[[#This Row],[Date]],Database!$A:$C,MATCH($B$1,Database!$A$1:$C$1,),)=0,#N/A,VLOOKUP(Table7[[#This Row],[Date]],Database!$A:$C,MATCH($B$1,Database!$A$1:$C$1,),))</f>
        <v/>
      </c>
      <c r="C7604">
        <f>IF(VLOOKUP(Table7[[#This Row],[Date]],Database!$A:$C,MATCH($C$1,Database!$A$1:$C$1,),)=0,#N/A,VLOOKUP(Table7[[#This Row],[Date]],Database!$A:$C,MATCH($C$1,Database!$A$1:$C$1,),))</f>
        <v/>
      </c>
      <c r="D7604">
        <f>IFERROR(Table7[[#This Row],[United States 10y]]-Table7[[#This Row],[United States 3y]],#N/A)</f>
        <v/>
      </c>
    </row>
    <row r="7605">
      <c r="A7605" s="6">
        <f>Database!$A9690</f>
        <v/>
      </c>
      <c r="B7605">
        <f>IF(VLOOKUP(Table7[[#This Row],[Date]],Database!$A:$C,MATCH($B$1,Database!$A$1:$C$1,),)=0,#N/A,VLOOKUP(Table7[[#This Row],[Date]],Database!$A:$C,MATCH($B$1,Database!$A$1:$C$1,),))</f>
        <v/>
      </c>
      <c r="C7605">
        <f>IF(VLOOKUP(Table7[[#This Row],[Date]],Database!$A:$C,MATCH($C$1,Database!$A$1:$C$1,),)=0,#N/A,VLOOKUP(Table7[[#This Row],[Date]],Database!$A:$C,MATCH($C$1,Database!$A$1:$C$1,),))</f>
        <v/>
      </c>
      <c r="D7605">
        <f>IFERROR(Table7[[#This Row],[United States 10y]]-Table7[[#This Row],[United States 3y]],#N/A)</f>
        <v/>
      </c>
    </row>
    <row r="7606">
      <c r="A7606" s="6">
        <f>Database!$A9691</f>
        <v/>
      </c>
      <c r="B7606">
        <f>IF(VLOOKUP(Table7[[#This Row],[Date]],Database!$A:$C,MATCH($B$1,Database!$A$1:$C$1,),)=0,#N/A,VLOOKUP(Table7[[#This Row],[Date]],Database!$A:$C,MATCH($B$1,Database!$A$1:$C$1,),))</f>
        <v/>
      </c>
      <c r="C7606">
        <f>IF(VLOOKUP(Table7[[#This Row],[Date]],Database!$A:$C,MATCH($C$1,Database!$A$1:$C$1,),)=0,#N/A,VLOOKUP(Table7[[#This Row],[Date]],Database!$A:$C,MATCH($C$1,Database!$A$1:$C$1,),))</f>
        <v/>
      </c>
      <c r="D7606">
        <f>IFERROR(Table7[[#This Row],[United States 10y]]-Table7[[#This Row],[United States 3y]],#N/A)</f>
        <v/>
      </c>
    </row>
    <row r="7607">
      <c r="A7607" s="6">
        <f>Database!$A9692</f>
        <v/>
      </c>
      <c r="B7607">
        <f>IF(VLOOKUP(Table7[[#This Row],[Date]],Database!$A:$C,MATCH($B$1,Database!$A$1:$C$1,),)=0,#N/A,VLOOKUP(Table7[[#This Row],[Date]],Database!$A:$C,MATCH($B$1,Database!$A$1:$C$1,),))</f>
        <v/>
      </c>
      <c r="C7607">
        <f>IF(VLOOKUP(Table7[[#This Row],[Date]],Database!$A:$C,MATCH($C$1,Database!$A$1:$C$1,),)=0,#N/A,VLOOKUP(Table7[[#This Row],[Date]],Database!$A:$C,MATCH($C$1,Database!$A$1:$C$1,),))</f>
        <v/>
      </c>
      <c r="D7607">
        <f>IFERROR(Table7[[#This Row],[United States 10y]]-Table7[[#This Row],[United States 3y]],#N/A)</f>
        <v/>
      </c>
    </row>
    <row r="7608">
      <c r="A7608" s="6">
        <f>Database!$A9693</f>
        <v/>
      </c>
      <c r="B7608">
        <f>IF(VLOOKUP(Table7[[#This Row],[Date]],Database!$A:$C,MATCH($B$1,Database!$A$1:$C$1,),)=0,#N/A,VLOOKUP(Table7[[#This Row],[Date]],Database!$A:$C,MATCH($B$1,Database!$A$1:$C$1,),))</f>
        <v/>
      </c>
      <c r="C7608">
        <f>IF(VLOOKUP(Table7[[#This Row],[Date]],Database!$A:$C,MATCH($C$1,Database!$A$1:$C$1,),)=0,#N/A,VLOOKUP(Table7[[#This Row],[Date]],Database!$A:$C,MATCH($C$1,Database!$A$1:$C$1,),))</f>
        <v/>
      </c>
      <c r="D7608">
        <f>IFERROR(Table7[[#This Row],[United States 10y]]-Table7[[#This Row],[United States 3y]],#N/A)</f>
        <v/>
      </c>
    </row>
    <row r="7609">
      <c r="A7609" s="6">
        <f>Database!$A9694</f>
        <v/>
      </c>
      <c r="B7609">
        <f>IF(VLOOKUP(Table7[[#This Row],[Date]],Database!$A:$C,MATCH($B$1,Database!$A$1:$C$1,),)=0,#N/A,VLOOKUP(Table7[[#This Row],[Date]],Database!$A:$C,MATCH($B$1,Database!$A$1:$C$1,),))</f>
        <v/>
      </c>
      <c r="C7609">
        <f>IF(VLOOKUP(Table7[[#This Row],[Date]],Database!$A:$C,MATCH($C$1,Database!$A$1:$C$1,),)=0,#N/A,VLOOKUP(Table7[[#This Row],[Date]],Database!$A:$C,MATCH($C$1,Database!$A$1:$C$1,),))</f>
        <v/>
      </c>
      <c r="D7609">
        <f>IFERROR(Table7[[#This Row],[United States 10y]]-Table7[[#This Row],[United States 3y]],#N/A)</f>
        <v/>
      </c>
    </row>
    <row r="7610">
      <c r="A7610" s="6">
        <f>Database!$A9695</f>
        <v/>
      </c>
      <c r="B7610">
        <f>IF(VLOOKUP(Table7[[#This Row],[Date]],Database!$A:$C,MATCH($B$1,Database!$A$1:$C$1,),)=0,#N/A,VLOOKUP(Table7[[#This Row],[Date]],Database!$A:$C,MATCH($B$1,Database!$A$1:$C$1,),))</f>
        <v/>
      </c>
      <c r="C7610">
        <f>IF(VLOOKUP(Table7[[#This Row],[Date]],Database!$A:$C,MATCH($C$1,Database!$A$1:$C$1,),)=0,#N/A,VLOOKUP(Table7[[#This Row],[Date]],Database!$A:$C,MATCH($C$1,Database!$A$1:$C$1,),))</f>
        <v/>
      </c>
      <c r="D7610">
        <f>IFERROR(Table7[[#This Row],[United States 10y]]-Table7[[#This Row],[United States 3y]],#N/A)</f>
        <v/>
      </c>
    </row>
    <row r="7611">
      <c r="A7611" s="6">
        <f>Database!$A9696</f>
        <v/>
      </c>
      <c r="B7611">
        <f>IF(VLOOKUP(Table7[[#This Row],[Date]],Database!$A:$C,MATCH($B$1,Database!$A$1:$C$1,),)=0,#N/A,VLOOKUP(Table7[[#This Row],[Date]],Database!$A:$C,MATCH($B$1,Database!$A$1:$C$1,),))</f>
        <v/>
      </c>
      <c r="C7611">
        <f>IF(VLOOKUP(Table7[[#This Row],[Date]],Database!$A:$C,MATCH($C$1,Database!$A$1:$C$1,),)=0,#N/A,VLOOKUP(Table7[[#This Row],[Date]],Database!$A:$C,MATCH($C$1,Database!$A$1:$C$1,),))</f>
        <v/>
      </c>
      <c r="D7611">
        <f>IFERROR(Table7[[#This Row],[United States 10y]]-Table7[[#This Row],[United States 3y]],#N/A)</f>
        <v/>
      </c>
    </row>
    <row r="7612">
      <c r="A7612" s="6">
        <f>Database!$A9697</f>
        <v/>
      </c>
      <c r="B7612">
        <f>IF(VLOOKUP(Table7[[#This Row],[Date]],Database!$A:$C,MATCH($B$1,Database!$A$1:$C$1,),)=0,#N/A,VLOOKUP(Table7[[#This Row],[Date]],Database!$A:$C,MATCH($B$1,Database!$A$1:$C$1,),))</f>
        <v/>
      </c>
      <c r="C7612">
        <f>IF(VLOOKUP(Table7[[#This Row],[Date]],Database!$A:$C,MATCH($C$1,Database!$A$1:$C$1,),)=0,#N/A,VLOOKUP(Table7[[#This Row],[Date]],Database!$A:$C,MATCH($C$1,Database!$A$1:$C$1,),))</f>
        <v/>
      </c>
      <c r="D7612">
        <f>IFERROR(Table7[[#This Row],[United States 10y]]-Table7[[#This Row],[United States 3y]],#N/A)</f>
        <v/>
      </c>
    </row>
    <row r="7613">
      <c r="A7613" s="6">
        <f>Database!$A9698</f>
        <v/>
      </c>
      <c r="B7613">
        <f>IF(VLOOKUP(Table7[[#This Row],[Date]],Database!$A:$C,MATCH($B$1,Database!$A$1:$C$1,),)=0,#N/A,VLOOKUP(Table7[[#This Row],[Date]],Database!$A:$C,MATCH($B$1,Database!$A$1:$C$1,),))</f>
        <v/>
      </c>
      <c r="C7613">
        <f>IF(VLOOKUP(Table7[[#This Row],[Date]],Database!$A:$C,MATCH($C$1,Database!$A$1:$C$1,),)=0,#N/A,VLOOKUP(Table7[[#This Row],[Date]],Database!$A:$C,MATCH($C$1,Database!$A$1:$C$1,),))</f>
        <v/>
      </c>
      <c r="D7613">
        <f>IFERROR(Table7[[#This Row],[United States 10y]]-Table7[[#This Row],[United States 3y]],#N/A)</f>
        <v/>
      </c>
    </row>
    <row r="7614">
      <c r="A7614" s="6">
        <f>Database!$A9699</f>
        <v/>
      </c>
      <c r="B7614">
        <f>IF(VLOOKUP(Table7[[#This Row],[Date]],Database!$A:$C,MATCH($B$1,Database!$A$1:$C$1,),)=0,#N/A,VLOOKUP(Table7[[#This Row],[Date]],Database!$A:$C,MATCH($B$1,Database!$A$1:$C$1,),))</f>
        <v/>
      </c>
      <c r="C7614">
        <f>IF(VLOOKUP(Table7[[#This Row],[Date]],Database!$A:$C,MATCH($C$1,Database!$A$1:$C$1,),)=0,#N/A,VLOOKUP(Table7[[#This Row],[Date]],Database!$A:$C,MATCH($C$1,Database!$A$1:$C$1,),))</f>
        <v/>
      </c>
      <c r="D7614">
        <f>IFERROR(Table7[[#This Row],[United States 10y]]-Table7[[#This Row],[United States 3y]],#N/A)</f>
        <v/>
      </c>
    </row>
    <row r="7615">
      <c r="A7615" s="6">
        <f>Database!$A9700</f>
        <v/>
      </c>
      <c r="B7615">
        <f>IF(VLOOKUP(Table7[[#This Row],[Date]],Database!$A:$C,MATCH($B$1,Database!$A$1:$C$1,),)=0,#N/A,VLOOKUP(Table7[[#This Row],[Date]],Database!$A:$C,MATCH($B$1,Database!$A$1:$C$1,),))</f>
        <v/>
      </c>
      <c r="C7615">
        <f>IF(VLOOKUP(Table7[[#This Row],[Date]],Database!$A:$C,MATCH($C$1,Database!$A$1:$C$1,),)=0,#N/A,VLOOKUP(Table7[[#This Row],[Date]],Database!$A:$C,MATCH($C$1,Database!$A$1:$C$1,),))</f>
        <v/>
      </c>
      <c r="D7615">
        <f>IFERROR(Table7[[#This Row],[United States 10y]]-Table7[[#This Row],[United States 3y]],#N/A)</f>
        <v/>
      </c>
    </row>
    <row r="7616">
      <c r="A7616" s="6">
        <f>Database!$A9701</f>
        <v/>
      </c>
      <c r="B7616">
        <f>IF(VLOOKUP(Table7[[#This Row],[Date]],Database!$A:$C,MATCH($B$1,Database!$A$1:$C$1,),)=0,#N/A,VLOOKUP(Table7[[#This Row],[Date]],Database!$A:$C,MATCH($B$1,Database!$A$1:$C$1,),))</f>
        <v/>
      </c>
      <c r="C7616">
        <f>IF(VLOOKUP(Table7[[#This Row],[Date]],Database!$A:$C,MATCH($C$1,Database!$A$1:$C$1,),)=0,#N/A,VLOOKUP(Table7[[#This Row],[Date]],Database!$A:$C,MATCH($C$1,Database!$A$1:$C$1,),))</f>
        <v/>
      </c>
      <c r="D7616">
        <f>IFERROR(Table7[[#This Row],[United States 10y]]-Table7[[#This Row],[United States 3y]],#N/A)</f>
        <v/>
      </c>
    </row>
    <row r="7617">
      <c r="A7617" s="6">
        <f>Database!$A9702</f>
        <v/>
      </c>
      <c r="B7617">
        <f>IF(VLOOKUP(Table7[[#This Row],[Date]],Database!$A:$C,MATCH($B$1,Database!$A$1:$C$1,),)=0,#N/A,VLOOKUP(Table7[[#This Row],[Date]],Database!$A:$C,MATCH($B$1,Database!$A$1:$C$1,),))</f>
        <v/>
      </c>
      <c r="C7617">
        <f>IF(VLOOKUP(Table7[[#This Row],[Date]],Database!$A:$C,MATCH($C$1,Database!$A$1:$C$1,),)=0,#N/A,VLOOKUP(Table7[[#This Row],[Date]],Database!$A:$C,MATCH($C$1,Database!$A$1:$C$1,),))</f>
        <v/>
      </c>
      <c r="D7617">
        <f>IFERROR(Table7[[#This Row],[United States 10y]]-Table7[[#This Row],[United States 3y]],#N/A)</f>
        <v/>
      </c>
    </row>
    <row r="7618">
      <c r="A7618" s="6">
        <f>Database!$A9703</f>
        <v/>
      </c>
      <c r="B7618">
        <f>IF(VLOOKUP(Table7[[#This Row],[Date]],Database!$A:$C,MATCH($B$1,Database!$A$1:$C$1,),)=0,#N/A,VLOOKUP(Table7[[#This Row],[Date]],Database!$A:$C,MATCH($B$1,Database!$A$1:$C$1,),))</f>
        <v/>
      </c>
      <c r="C7618">
        <f>IF(VLOOKUP(Table7[[#This Row],[Date]],Database!$A:$C,MATCH($C$1,Database!$A$1:$C$1,),)=0,#N/A,VLOOKUP(Table7[[#This Row],[Date]],Database!$A:$C,MATCH($C$1,Database!$A$1:$C$1,),))</f>
        <v/>
      </c>
      <c r="D7618">
        <f>IFERROR(Table7[[#This Row],[United States 10y]]-Table7[[#This Row],[United States 3y]],#N/A)</f>
        <v/>
      </c>
    </row>
    <row r="7619">
      <c r="A7619" s="6">
        <f>Database!$A9704</f>
        <v/>
      </c>
      <c r="B7619">
        <f>IF(VLOOKUP(Table7[[#This Row],[Date]],Database!$A:$C,MATCH($B$1,Database!$A$1:$C$1,),)=0,#N/A,VLOOKUP(Table7[[#This Row],[Date]],Database!$A:$C,MATCH($B$1,Database!$A$1:$C$1,),))</f>
        <v/>
      </c>
      <c r="C7619">
        <f>IF(VLOOKUP(Table7[[#This Row],[Date]],Database!$A:$C,MATCH($C$1,Database!$A$1:$C$1,),)=0,#N/A,VLOOKUP(Table7[[#This Row],[Date]],Database!$A:$C,MATCH($C$1,Database!$A$1:$C$1,),))</f>
        <v/>
      </c>
      <c r="D7619">
        <f>IFERROR(Table7[[#This Row],[United States 10y]]-Table7[[#This Row],[United States 3y]],#N/A)</f>
        <v/>
      </c>
    </row>
    <row r="7620">
      <c r="A7620" s="6">
        <f>Database!$A9705</f>
        <v/>
      </c>
      <c r="B7620">
        <f>IF(VLOOKUP(Table7[[#This Row],[Date]],Database!$A:$C,MATCH($B$1,Database!$A$1:$C$1,),)=0,#N/A,VLOOKUP(Table7[[#This Row],[Date]],Database!$A:$C,MATCH($B$1,Database!$A$1:$C$1,),))</f>
        <v/>
      </c>
      <c r="C7620">
        <f>IF(VLOOKUP(Table7[[#This Row],[Date]],Database!$A:$C,MATCH($C$1,Database!$A$1:$C$1,),)=0,#N/A,VLOOKUP(Table7[[#This Row],[Date]],Database!$A:$C,MATCH($C$1,Database!$A$1:$C$1,),))</f>
        <v/>
      </c>
      <c r="D7620">
        <f>IFERROR(Table7[[#This Row],[United States 10y]]-Table7[[#This Row],[United States 3y]],#N/A)</f>
        <v/>
      </c>
    </row>
    <row r="7621">
      <c r="A7621" s="6">
        <f>Database!$A9706</f>
        <v/>
      </c>
      <c r="B7621">
        <f>IF(VLOOKUP(Table7[[#This Row],[Date]],Database!$A:$C,MATCH($B$1,Database!$A$1:$C$1,),)=0,#N/A,VLOOKUP(Table7[[#This Row],[Date]],Database!$A:$C,MATCH($B$1,Database!$A$1:$C$1,),))</f>
        <v/>
      </c>
      <c r="C7621">
        <f>IF(VLOOKUP(Table7[[#This Row],[Date]],Database!$A:$C,MATCH($C$1,Database!$A$1:$C$1,),)=0,#N/A,VLOOKUP(Table7[[#This Row],[Date]],Database!$A:$C,MATCH($C$1,Database!$A$1:$C$1,),))</f>
        <v/>
      </c>
      <c r="D7621">
        <f>IFERROR(Table7[[#This Row],[United States 10y]]-Table7[[#This Row],[United States 3y]],#N/A)</f>
        <v/>
      </c>
    </row>
    <row r="7622">
      <c r="A7622" s="6">
        <f>Database!$A9707</f>
        <v/>
      </c>
      <c r="B7622">
        <f>IF(VLOOKUP(Table7[[#This Row],[Date]],Database!$A:$C,MATCH($B$1,Database!$A$1:$C$1,),)=0,#N/A,VLOOKUP(Table7[[#This Row],[Date]],Database!$A:$C,MATCH($B$1,Database!$A$1:$C$1,),))</f>
        <v/>
      </c>
      <c r="C7622">
        <f>IF(VLOOKUP(Table7[[#This Row],[Date]],Database!$A:$C,MATCH($C$1,Database!$A$1:$C$1,),)=0,#N/A,VLOOKUP(Table7[[#This Row],[Date]],Database!$A:$C,MATCH($C$1,Database!$A$1:$C$1,),))</f>
        <v/>
      </c>
      <c r="D7622">
        <f>IFERROR(Table7[[#This Row],[United States 10y]]-Table7[[#This Row],[United States 3y]],#N/A)</f>
        <v/>
      </c>
    </row>
    <row r="7623">
      <c r="A7623" s="6">
        <f>Database!$A9708</f>
        <v/>
      </c>
      <c r="B7623">
        <f>IF(VLOOKUP(Table7[[#This Row],[Date]],Database!$A:$C,MATCH($B$1,Database!$A$1:$C$1,),)=0,#N/A,VLOOKUP(Table7[[#This Row],[Date]],Database!$A:$C,MATCH($B$1,Database!$A$1:$C$1,),))</f>
        <v/>
      </c>
      <c r="C7623">
        <f>IF(VLOOKUP(Table7[[#This Row],[Date]],Database!$A:$C,MATCH($C$1,Database!$A$1:$C$1,),)=0,#N/A,VLOOKUP(Table7[[#This Row],[Date]],Database!$A:$C,MATCH($C$1,Database!$A$1:$C$1,),))</f>
        <v/>
      </c>
      <c r="D7623">
        <f>IFERROR(Table7[[#This Row],[United States 10y]]-Table7[[#This Row],[United States 3y]],#N/A)</f>
        <v/>
      </c>
    </row>
    <row r="7624">
      <c r="A7624" s="6">
        <f>Database!$A9709</f>
        <v/>
      </c>
      <c r="B7624">
        <f>IF(VLOOKUP(Table7[[#This Row],[Date]],Database!$A:$C,MATCH($B$1,Database!$A$1:$C$1,),)=0,#N/A,VLOOKUP(Table7[[#This Row],[Date]],Database!$A:$C,MATCH($B$1,Database!$A$1:$C$1,),))</f>
        <v/>
      </c>
      <c r="C7624">
        <f>IF(VLOOKUP(Table7[[#This Row],[Date]],Database!$A:$C,MATCH($C$1,Database!$A$1:$C$1,),)=0,#N/A,VLOOKUP(Table7[[#This Row],[Date]],Database!$A:$C,MATCH($C$1,Database!$A$1:$C$1,),))</f>
        <v/>
      </c>
      <c r="D7624">
        <f>IFERROR(Table7[[#This Row],[United States 10y]]-Table7[[#This Row],[United States 3y]],#N/A)</f>
        <v/>
      </c>
    </row>
    <row r="7625">
      <c r="A7625" s="6">
        <f>Database!$A9710</f>
        <v/>
      </c>
      <c r="B7625">
        <f>IF(VLOOKUP(Table7[[#This Row],[Date]],Database!$A:$C,MATCH($B$1,Database!$A$1:$C$1,),)=0,#N/A,VLOOKUP(Table7[[#This Row],[Date]],Database!$A:$C,MATCH($B$1,Database!$A$1:$C$1,),))</f>
        <v/>
      </c>
      <c r="C7625">
        <f>IF(VLOOKUP(Table7[[#This Row],[Date]],Database!$A:$C,MATCH($C$1,Database!$A$1:$C$1,),)=0,#N/A,VLOOKUP(Table7[[#This Row],[Date]],Database!$A:$C,MATCH($C$1,Database!$A$1:$C$1,),))</f>
        <v/>
      </c>
      <c r="D7625">
        <f>IFERROR(Table7[[#This Row],[United States 10y]]-Table7[[#This Row],[United States 3y]],#N/A)</f>
        <v/>
      </c>
    </row>
    <row r="7626">
      <c r="A7626" s="6">
        <f>Database!$A9711</f>
        <v/>
      </c>
      <c r="B7626">
        <f>IF(VLOOKUP(Table7[[#This Row],[Date]],Database!$A:$C,MATCH($B$1,Database!$A$1:$C$1,),)=0,#N/A,VLOOKUP(Table7[[#This Row],[Date]],Database!$A:$C,MATCH($B$1,Database!$A$1:$C$1,),))</f>
        <v/>
      </c>
      <c r="C7626">
        <f>IF(VLOOKUP(Table7[[#This Row],[Date]],Database!$A:$C,MATCH($C$1,Database!$A$1:$C$1,),)=0,#N/A,VLOOKUP(Table7[[#This Row],[Date]],Database!$A:$C,MATCH($C$1,Database!$A$1:$C$1,),))</f>
        <v/>
      </c>
      <c r="D7626">
        <f>IFERROR(Table7[[#This Row],[United States 10y]]-Table7[[#This Row],[United States 3y]],#N/A)</f>
        <v/>
      </c>
    </row>
    <row r="7627">
      <c r="A7627" s="6">
        <f>Database!$A9712</f>
        <v/>
      </c>
      <c r="B7627">
        <f>IF(VLOOKUP(Table7[[#This Row],[Date]],Database!$A:$C,MATCH($B$1,Database!$A$1:$C$1,),)=0,#N/A,VLOOKUP(Table7[[#This Row],[Date]],Database!$A:$C,MATCH($B$1,Database!$A$1:$C$1,),))</f>
        <v/>
      </c>
      <c r="C7627">
        <f>IF(VLOOKUP(Table7[[#This Row],[Date]],Database!$A:$C,MATCH($C$1,Database!$A$1:$C$1,),)=0,#N/A,VLOOKUP(Table7[[#This Row],[Date]],Database!$A:$C,MATCH($C$1,Database!$A$1:$C$1,),))</f>
        <v/>
      </c>
      <c r="D7627">
        <f>IFERROR(Table7[[#This Row],[United States 10y]]-Table7[[#This Row],[United States 3y]],#N/A)</f>
        <v/>
      </c>
    </row>
    <row r="7628">
      <c r="A7628" s="6">
        <f>Database!$A9713</f>
        <v/>
      </c>
      <c r="B7628">
        <f>IF(VLOOKUP(Table7[[#This Row],[Date]],Database!$A:$C,MATCH($B$1,Database!$A$1:$C$1,),)=0,#N/A,VLOOKUP(Table7[[#This Row],[Date]],Database!$A:$C,MATCH($B$1,Database!$A$1:$C$1,),))</f>
        <v/>
      </c>
      <c r="C7628">
        <f>IF(VLOOKUP(Table7[[#This Row],[Date]],Database!$A:$C,MATCH($C$1,Database!$A$1:$C$1,),)=0,#N/A,VLOOKUP(Table7[[#This Row],[Date]],Database!$A:$C,MATCH($C$1,Database!$A$1:$C$1,),))</f>
        <v/>
      </c>
      <c r="D7628">
        <f>IFERROR(Table7[[#This Row],[United States 10y]]-Table7[[#This Row],[United States 3y]],#N/A)</f>
        <v/>
      </c>
    </row>
    <row r="7629">
      <c r="A7629" s="6">
        <f>Database!$A9714</f>
        <v/>
      </c>
      <c r="B7629">
        <f>IF(VLOOKUP(Table7[[#This Row],[Date]],Database!$A:$C,MATCH($B$1,Database!$A$1:$C$1,),)=0,#N/A,VLOOKUP(Table7[[#This Row],[Date]],Database!$A:$C,MATCH($B$1,Database!$A$1:$C$1,),))</f>
        <v/>
      </c>
      <c r="C7629">
        <f>IF(VLOOKUP(Table7[[#This Row],[Date]],Database!$A:$C,MATCH($C$1,Database!$A$1:$C$1,),)=0,#N/A,VLOOKUP(Table7[[#This Row],[Date]],Database!$A:$C,MATCH($C$1,Database!$A$1:$C$1,),))</f>
        <v/>
      </c>
      <c r="D7629">
        <f>IFERROR(Table7[[#This Row],[United States 10y]]-Table7[[#This Row],[United States 3y]],#N/A)</f>
        <v/>
      </c>
    </row>
    <row r="7630">
      <c r="A7630" s="6">
        <f>Database!$A9715</f>
        <v/>
      </c>
      <c r="B7630">
        <f>IF(VLOOKUP(Table7[[#This Row],[Date]],Database!$A:$C,MATCH($B$1,Database!$A$1:$C$1,),)=0,#N/A,VLOOKUP(Table7[[#This Row],[Date]],Database!$A:$C,MATCH($B$1,Database!$A$1:$C$1,),))</f>
        <v/>
      </c>
      <c r="C7630">
        <f>IF(VLOOKUP(Table7[[#This Row],[Date]],Database!$A:$C,MATCH($C$1,Database!$A$1:$C$1,),)=0,#N/A,VLOOKUP(Table7[[#This Row],[Date]],Database!$A:$C,MATCH($C$1,Database!$A$1:$C$1,),))</f>
        <v/>
      </c>
      <c r="D7630">
        <f>IFERROR(Table7[[#This Row],[United States 10y]]-Table7[[#This Row],[United States 3y]],#N/A)</f>
        <v/>
      </c>
    </row>
    <row r="7631">
      <c r="A7631" s="6">
        <f>Database!$A9716</f>
        <v/>
      </c>
      <c r="B7631">
        <f>IF(VLOOKUP(Table7[[#This Row],[Date]],Database!$A:$C,MATCH($B$1,Database!$A$1:$C$1,),)=0,#N/A,VLOOKUP(Table7[[#This Row],[Date]],Database!$A:$C,MATCH($B$1,Database!$A$1:$C$1,),))</f>
        <v/>
      </c>
      <c r="C7631">
        <f>IF(VLOOKUP(Table7[[#This Row],[Date]],Database!$A:$C,MATCH($C$1,Database!$A$1:$C$1,),)=0,#N/A,VLOOKUP(Table7[[#This Row],[Date]],Database!$A:$C,MATCH($C$1,Database!$A$1:$C$1,),))</f>
        <v/>
      </c>
      <c r="D7631">
        <f>IFERROR(Table7[[#This Row],[United States 10y]]-Table7[[#This Row],[United States 3y]],#N/A)</f>
        <v/>
      </c>
    </row>
    <row r="7632">
      <c r="A7632" s="6">
        <f>Database!$A9717</f>
        <v/>
      </c>
      <c r="B7632">
        <f>IF(VLOOKUP(Table7[[#This Row],[Date]],Database!$A:$C,MATCH($B$1,Database!$A$1:$C$1,),)=0,#N/A,VLOOKUP(Table7[[#This Row],[Date]],Database!$A:$C,MATCH($B$1,Database!$A$1:$C$1,),))</f>
        <v/>
      </c>
      <c r="C7632">
        <f>IF(VLOOKUP(Table7[[#This Row],[Date]],Database!$A:$C,MATCH($C$1,Database!$A$1:$C$1,),)=0,#N/A,VLOOKUP(Table7[[#This Row],[Date]],Database!$A:$C,MATCH($C$1,Database!$A$1:$C$1,),))</f>
        <v/>
      </c>
      <c r="D7632">
        <f>IFERROR(Table7[[#This Row],[United States 10y]]-Table7[[#This Row],[United States 3y]],#N/A)</f>
        <v/>
      </c>
    </row>
    <row r="7633">
      <c r="A7633" s="6">
        <f>Database!$A9718</f>
        <v/>
      </c>
      <c r="B7633">
        <f>IF(VLOOKUP(Table7[[#This Row],[Date]],Database!$A:$C,MATCH($B$1,Database!$A$1:$C$1,),)=0,#N/A,VLOOKUP(Table7[[#This Row],[Date]],Database!$A:$C,MATCH($B$1,Database!$A$1:$C$1,),))</f>
        <v/>
      </c>
      <c r="C7633">
        <f>IF(VLOOKUP(Table7[[#This Row],[Date]],Database!$A:$C,MATCH($C$1,Database!$A$1:$C$1,),)=0,#N/A,VLOOKUP(Table7[[#This Row],[Date]],Database!$A:$C,MATCH($C$1,Database!$A$1:$C$1,),))</f>
        <v/>
      </c>
      <c r="D7633">
        <f>IFERROR(Table7[[#This Row],[United States 10y]]-Table7[[#This Row],[United States 3y]],#N/A)</f>
        <v/>
      </c>
    </row>
    <row r="7634">
      <c r="A7634" s="6">
        <f>Database!$A9719</f>
        <v/>
      </c>
      <c r="B7634">
        <f>IF(VLOOKUP(Table7[[#This Row],[Date]],Database!$A:$C,MATCH($B$1,Database!$A$1:$C$1,),)=0,#N/A,VLOOKUP(Table7[[#This Row],[Date]],Database!$A:$C,MATCH($B$1,Database!$A$1:$C$1,),))</f>
        <v/>
      </c>
      <c r="C7634">
        <f>IF(VLOOKUP(Table7[[#This Row],[Date]],Database!$A:$C,MATCH($C$1,Database!$A$1:$C$1,),)=0,#N/A,VLOOKUP(Table7[[#This Row],[Date]],Database!$A:$C,MATCH($C$1,Database!$A$1:$C$1,),))</f>
        <v/>
      </c>
      <c r="D7634">
        <f>IFERROR(Table7[[#This Row],[United States 10y]]-Table7[[#This Row],[United States 3y]],#N/A)</f>
        <v/>
      </c>
    </row>
    <row r="7635">
      <c r="A7635" s="6">
        <f>Database!$A9720</f>
        <v/>
      </c>
      <c r="B7635">
        <f>IF(VLOOKUP(Table7[[#This Row],[Date]],Database!$A:$C,MATCH($B$1,Database!$A$1:$C$1,),)=0,#N/A,VLOOKUP(Table7[[#This Row],[Date]],Database!$A:$C,MATCH($B$1,Database!$A$1:$C$1,),))</f>
        <v/>
      </c>
      <c r="C7635">
        <f>IF(VLOOKUP(Table7[[#This Row],[Date]],Database!$A:$C,MATCH($C$1,Database!$A$1:$C$1,),)=0,#N/A,VLOOKUP(Table7[[#This Row],[Date]],Database!$A:$C,MATCH($C$1,Database!$A$1:$C$1,),))</f>
        <v/>
      </c>
      <c r="D7635">
        <f>IFERROR(Table7[[#This Row],[United States 10y]]-Table7[[#This Row],[United States 3y]],#N/A)</f>
        <v/>
      </c>
    </row>
    <row r="7636">
      <c r="A7636" s="6">
        <f>Database!$A9721</f>
        <v/>
      </c>
      <c r="B7636">
        <f>IF(VLOOKUP(Table7[[#This Row],[Date]],Database!$A:$C,MATCH($B$1,Database!$A$1:$C$1,),)=0,#N/A,VLOOKUP(Table7[[#This Row],[Date]],Database!$A:$C,MATCH($B$1,Database!$A$1:$C$1,),))</f>
        <v/>
      </c>
      <c r="C7636">
        <f>IF(VLOOKUP(Table7[[#This Row],[Date]],Database!$A:$C,MATCH($C$1,Database!$A$1:$C$1,),)=0,#N/A,VLOOKUP(Table7[[#This Row],[Date]],Database!$A:$C,MATCH($C$1,Database!$A$1:$C$1,),))</f>
        <v/>
      </c>
      <c r="D7636">
        <f>IFERROR(Table7[[#This Row],[United States 10y]]-Table7[[#This Row],[United States 3y]],#N/A)</f>
        <v/>
      </c>
    </row>
    <row r="7637">
      <c r="A7637" s="6">
        <f>Database!$A9722</f>
        <v/>
      </c>
      <c r="B7637">
        <f>IF(VLOOKUP(Table7[[#This Row],[Date]],Database!$A:$C,MATCH($B$1,Database!$A$1:$C$1,),)=0,#N/A,VLOOKUP(Table7[[#This Row],[Date]],Database!$A:$C,MATCH($B$1,Database!$A$1:$C$1,),))</f>
        <v/>
      </c>
      <c r="C7637">
        <f>IF(VLOOKUP(Table7[[#This Row],[Date]],Database!$A:$C,MATCH($C$1,Database!$A$1:$C$1,),)=0,#N/A,VLOOKUP(Table7[[#This Row],[Date]],Database!$A:$C,MATCH($C$1,Database!$A$1:$C$1,),))</f>
        <v/>
      </c>
      <c r="D7637">
        <f>IFERROR(Table7[[#This Row],[United States 10y]]-Table7[[#This Row],[United States 3y]],#N/A)</f>
        <v/>
      </c>
    </row>
    <row r="7638">
      <c r="A7638" s="6">
        <f>Database!$A9723</f>
        <v/>
      </c>
      <c r="B7638">
        <f>IF(VLOOKUP(Table7[[#This Row],[Date]],Database!$A:$C,MATCH($B$1,Database!$A$1:$C$1,),)=0,#N/A,VLOOKUP(Table7[[#This Row],[Date]],Database!$A:$C,MATCH($B$1,Database!$A$1:$C$1,),))</f>
        <v/>
      </c>
      <c r="C7638">
        <f>IF(VLOOKUP(Table7[[#This Row],[Date]],Database!$A:$C,MATCH($C$1,Database!$A$1:$C$1,),)=0,#N/A,VLOOKUP(Table7[[#This Row],[Date]],Database!$A:$C,MATCH($C$1,Database!$A$1:$C$1,),))</f>
        <v/>
      </c>
      <c r="D7638">
        <f>IFERROR(Table7[[#This Row],[United States 10y]]-Table7[[#This Row],[United States 3y]],#N/A)</f>
        <v/>
      </c>
    </row>
    <row r="7639">
      <c r="A7639" s="6">
        <f>Database!$A9724</f>
        <v/>
      </c>
      <c r="B7639">
        <f>IF(VLOOKUP(Table7[[#This Row],[Date]],Database!$A:$C,MATCH($B$1,Database!$A$1:$C$1,),)=0,#N/A,VLOOKUP(Table7[[#This Row],[Date]],Database!$A:$C,MATCH($B$1,Database!$A$1:$C$1,),))</f>
        <v/>
      </c>
      <c r="C7639">
        <f>IF(VLOOKUP(Table7[[#This Row],[Date]],Database!$A:$C,MATCH($C$1,Database!$A$1:$C$1,),)=0,#N/A,VLOOKUP(Table7[[#This Row],[Date]],Database!$A:$C,MATCH($C$1,Database!$A$1:$C$1,),))</f>
        <v/>
      </c>
      <c r="D7639">
        <f>IFERROR(Table7[[#This Row],[United States 10y]]-Table7[[#This Row],[United States 3y]],#N/A)</f>
        <v/>
      </c>
    </row>
    <row r="7640">
      <c r="A7640" s="6">
        <f>Database!$A9725</f>
        <v/>
      </c>
      <c r="B7640">
        <f>IF(VLOOKUP(Table7[[#This Row],[Date]],Database!$A:$C,MATCH($B$1,Database!$A$1:$C$1,),)=0,#N/A,VLOOKUP(Table7[[#This Row],[Date]],Database!$A:$C,MATCH($B$1,Database!$A$1:$C$1,),))</f>
        <v/>
      </c>
      <c r="C7640">
        <f>IF(VLOOKUP(Table7[[#This Row],[Date]],Database!$A:$C,MATCH($C$1,Database!$A$1:$C$1,),)=0,#N/A,VLOOKUP(Table7[[#This Row],[Date]],Database!$A:$C,MATCH($C$1,Database!$A$1:$C$1,),))</f>
        <v/>
      </c>
      <c r="D7640">
        <f>IFERROR(Table7[[#This Row],[United States 10y]]-Table7[[#This Row],[United States 3y]],#N/A)</f>
        <v/>
      </c>
    </row>
    <row r="7641">
      <c r="A7641" s="6">
        <f>Database!$A9726</f>
        <v/>
      </c>
      <c r="B7641">
        <f>IF(VLOOKUP(Table7[[#This Row],[Date]],Database!$A:$C,MATCH($B$1,Database!$A$1:$C$1,),)=0,#N/A,VLOOKUP(Table7[[#This Row],[Date]],Database!$A:$C,MATCH($B$1,Database!$A$1:$C$1,),))</f>
        <v/>
      </c>
      <c r="C7641">
        <f>IF(VLOOKUP(Table7[[#This Row],[Date]],Database!$A:$C,MATCH($C$1,Database!$A$1:$C$1,),)=0,#N/A,VLOOKUP(Table7[[#This Row],[Date]],Database!$A:$C,MATCH($C$1,Database!$A$1:$C$1,),))</f>
        <v/>
      </c>
      <c r="D7641">
        <f>IFERROR(Table7[[#This Row],[United States 10y]]-Table7[[#This Row],[United States 3y]],#N/A)</f>
        <v/>
      </c>
    </row>
    <row r="7642">
      <c r="A7642" s="6">
        <f>Database!$A9727</f>
        <v/>
      </c>
      <c r="B7642">
        <f>IF(VLOOKUP(Table7[[#This Row],[Date]],Database!$A:$C,MATCH($B$1,Database!$A$1:$C$1,),)=0,#N/A,VLOOKUP(Table7[[#This Row],[Date]],Database!$A:$C,MATCH($B$1,Database!$A$1:$C$1,),))</f>
        <v/>
      </c>
      <c r="C7642">
        <f>IF(VLOOKUP(Table7[[#This Row],[Date]],Database!$A:$C,MATCH($C$1,Database!$A$1:$C$1,),)=0,#N/A,VLOOKUP(Table7[[#This Row],[Date]],Database!$A:$C,MATCH($C$1,Database!$A$1:$C$1,),))</f>
        <v/>
      </c>
      <c r="D7642">
        <f>IFERROR(Table7[[#This Row],[United States 10y]]-Table7[[#This Row],[United States 3y]],#N/A)</f>
        <v/>
      </c>
    </row>
    <row r="7643">
      <c r="A7643" s="6">
        <f>Database!$A9728</f>
        <v/>
      </c>
      <c r="B7643">
        <f>IF(VLOOKUP(Table7[[#This Row],[Date]],Database!$A:$C,MATCH($B$1,Database!$A$1:$C$1,),)=0,#N/A,VLOOKUP(Table7[[#This Row],[Date]],Database!$A:$C,MATCH($B$1,Database!$A$1:$C$1,),))</f>
        <v/>
      </c>
      <c r="C7643">
        <f>IF(VLOOKUP(Table7[[#This Row],[Date]],Database!$A:$C,MATCH($C$1,Database!$A$1:$C$1,),)=0,#N/A,VLOOKUP(Table7[[#This Row],[Date]],Database!$A:$C,MATCH($C$1,Database!$A$1:$C$1,),))</f>
        <v/>
      </c>
      <c r="D7643">
        <f>IFERROR(Table7[[#This Row],[United States 10y]]-Table7[[#This Row],[United States 3y]],#N/A)</f>
        <v/>
      </c>
    </row>
    <row r="7644">
      <c r="A7644" s="6">
        <f>Database!$A9729</f>
        <v/>
      </c>
      <c r="B7644">
        <f>IF(VLOOKUP(Table7[[#This Row],[Date]],Database!$A:$C,MATCH($B$1,Database!$A$1:$C$1,),)=0,#N/A,VLOOKUP(Table7[[#This Row],[Date]],Database!$A:$C,MATCH($B$1,Database!$A$1:$C$1,),))</f>
        <v/>
      </c>
      <c r="C7644">
        <f>IF(VLOOKUP(Table7[[#This Row],[Date]],Database!$A:$C,MATCH($C$1,Database!$A$1:$C$1,),)=0,#N/A,VLOOKUP(Table7[[#This Row],[Date]],Database!$A:$C,MATCH($C$1,Database!$A$1:$C$1,),))</f>
        <v/>
      </c>
      <c r="D7644">
        <f>IFERROR(Table7[[#This Row],[United States 10y]]-Table7[[#This Row],[United States 3y]],#N/A)</f>
        <v/>
      </c>
    </row>
    <row r="7645">
      <c r="A7645" s="6">
        <f>Database!$A9730</f>
        <v/>
      </c>
      <c r="B7645">
        <f>IF(VLOOKUP(Table7[[#This Row],[Date]],Database!$A:$C,MATCH($B$1,Database!$A$1:$C$1,),)=0,#N/A,VLOOKUP(Table7[[#This Row],[Date]],Database!$A:$C,MATCH($B$1,Database!$A$1:$C$1,),))</f>
        <v/>
      </c>
      <c r="C7645">
        <f>IF(VLOOKUP(Table7[[#This Row],[Date]],Database!$A:$C,MATCH($C$1,Database!$A$1:$C$1,),)=0,#N/A,VLOOKUP(Table7[[#This Row],[Date]],Database!$A:$C,MATCH($C$1,Database!$A$1:$C$1,),))</f>
        <v/>
      </c>
      <c r="D7645">
        <f>IFERROR(Table7[[#This Row],[United States 10y]]-Table7[[#This Row],[United States 3y]],#N/A)</f>
        <v/>
      </c>
    </row>
    <row r="7646">
      <c r="A7646" s="6">
        <f>Database!$A9731</f>
        <v/>
      </c>
      <c r="B7646">
        <f>IF(VLOOKUP(Table7[[#This Row],[Date]],Database!$A:$C,MATCH($B$1,Database!$A$1:$C$1,),)=0,#N/A,VLOOKUP(Table7[[#This Row],[Date]],Database!$A:$C,MATCH($B$1,Database!$A$1:$C$1,),))</f>
        <v/>
      </c>
      <c r="C7646">
        <f>IF(VLOOKUP(Table7[[#This Row],[Date]],Database!$A:$C,MATCH($C$1,Database!$A$1:$C$1,),)=0,#N/A,VLOOKUP(Table7[[#This Row],[Date]],Database!$A:$C,MATCH($C$1,Database!$A$1:$C$1,),))</f>
        <v/>
      </c>
      <c r="D7646">
        <f>IFERROR(Table7[[#This Row],[United States 10y]]-Table7[[#This Row],[United States 3y]],#N/A)</f>
        <v/>
      </c>
    </row>
    <row r="7647">
      <c r="A7647" s="6">
        <f>Database!$A9732</f>
        <v/>
      </c>
      <c r="B7647">
        <f>IF(VLOOKUP(Table7[[#This Row],[Date]],Database!$A:$C,MATCH($B$1,Database!$A$1:$C$1,),)=0,#N/A,VLOOKUP(Table7[[#This Row],[Date]],Database!$A:$C,MATCH($B$1,Database!$A$1:$C$1,),))</f>
        <v/>
      </c>
      <c r="C7647">
        <f>IF(VLOOKUP(Table7[[#This Row],[Date]],Database!$A:$C,MATCH($C$1,Database!$A$1:$C$1,),)=0,#N/A,VLOOKUP(Table7[[#This Row],[Date]],Database!$A:$C,MATCH($C$1,Database!$A$1:$C$1,),))</f>
        <v/>
      </c>
      <c r="D7647">
        <f>IFERROR(Table7[[#This Row],[United States 10y]]-Table7[[#This Row],[United States 3y]],#N/A)</f>
        <v/>
      </c>
    </row>
    <row r="7648">
      <c r="A7648" s="6">
        <f>Database!$A9733</f>
        <v/>
      </c>
      <c r="B7648">
        <f>IF(VLOOKUP(Table7[[#This Row],[Date]],Database!$A:$C,MATCH($B$1,Database!$A$1:$C$1,),)=0,#N/A,VLOOKUP(Table7[[#This Row],[Date]],Database!$A:$C,MATCH($B$1,Database!$A$1:$C$1,),))</f>
        <v/>
      </c>
      <c r="C7648">
        <f>IF(VLOOKUP(Table7[[#This Row],[Date]],Database!$A:$C,MATCH($C$1,Database!$A$1:$C$1,),)=0,#N/A,VLOOKUP(Table7[[#This Row],[Date]],Database!$A:$C,MATCH($C$1,Database!$A$1:$C$1,),))</f>
        <v/>
      </c>
      <c r="D7648">
        <f>IFERROR(Table7[[#This Row],[United States 10y]]-Table7[[#This Row],[United States 3y]],#N/A)</f>
        <v/>
      </c>
    </row>
    <row r="7649">
      <c r="A7649" s="6">
        <f>Database!$A9734</f>
        <v/>
      </c>
      <c r="B7649">
        <f>IF(VLOOKUP(Table7[[#This Row],[Date]],Database!$A:$C,MATCH($B$1,Database!$A$1:$C$1,),)=0,#N/A,VLOOKUP(Table7[[#This Row],[Date]],Database!$A:$C,MATCH($B$1,Database!$A$1:$C$1,),))</f>
        <v/>
      </c>
      <c r="C7649">
        <f>IF(VLOOKUP(Table7[[#This Row],[Date]],Database!$A:$C,MATCH($C$1,Database!$A$1:$C$1,),)=0,#N/A,VLOOKUP(Table7[[#This Row],[Date]],Database!$A:$C,MATCH($C$1,Database!$A$1:$C$1,),))</f>
        <v/>
      </c>
      <c r="D7649">
        <f>IFERROR(Table7[[#This Row],[United States 10y]]-Table7[[#This Row],[United States 3y]],#N/A)</f>
        <v/>
      </c>
    </row>
    <row r="7650">
      <c r="A7650" s="6">
        <f>Database!$A9735</f>
        <v/>
      </c>
      <c r="B7650">
        <f>IF(VLOOKUP(Table7[[#This Row],[Date]],Database!$A:$C,MATCH($B$1,Database!$A$1:$C$1,),)=0,#N/A,VLOOKUP(Table7[[#This Row],[Date]],Database!$A:$C,MATCH($B$1,Database!$A$1:$C$1,),))</f>
        <v/>
      </c>
      <c r="C7650">
        <f>IF(VLOOKUP(Table7[[#This Row],[Date]],Database!$A:$C,MATCH($C$1,Database!$A$1:$C$1,),)=0,#N/A,VLOOKUP(Table7[[#This Row],[Date]],Database!$A:$C,MATCH($C$1,Database!$A$1:$C$1,),))</f>
        <v/>
      </c>
      <c r="D7650">
        <f>IFERROR(Table7[[#This Row],[United States 10y]]-Table7[[#This Row],[United States 3y]],#N/A)</f>
        <v/>
      </c>
    </row>
    <row r="7651">
      <c r="A7651" s="6">
        <f>Database!$A9736</f>
        <v/>
      </c>
      <c r="B7651">
        <f>IF(VLOOKUP(Table7[[#This Row],[Date]],Database!$A:$C,MATCH($B$1,Database!$A$1:$C$1,),)=0,#N/A,VLOOKUP(Table7[[#This Row],[Date]],Database!$A:$C,MATCH($B$1,Database!$A$1:$C$1,),))</f>
        <v/>
      </c>
      <c r="C7651">
        <f>IF(VLOOKUP(Table7[[#This Row],[Date]],Database!$A:$C,MATCH($C$1,Database!$A$1:$C$1,),)=0,#N/A,VLOOKUP(Table7[[#This Row],[Date]],Database!$A:$C,MATCH($C$1,Database!$A$1:$C$1,),))</f>
        <v/>
      </c>
      <c r="D7651">
        <f>IFERROR(Table7[[#This Row],[United States 10y]]-Table7[[#This Row],[United States 3y]],#N/A)</f>
        <v/>
      </c>
    </row>
    <row r="7652">
      <c r="A7652" s="6">
        <f>Database!$A9737</f>
        <v/>
      </c>
      <c r="B7652">
        <f>IF(VLOOKUP(Table7[[#This Row],[Date]],Database!$A:$C,MATCH($B$1,Database!$A$1:$C$1,),)=0,#N/A,VLOOKUP(Table7[[#This Row],[Date]],Database!$A:$C,MATCH($B$1,Database!$A$1:$C$1,),))</f>
        <v/>
      </c>
      <c r="C7652">
        <f>IF(VLOOKUP(Table7[[#This Row],[Date]],Database!$A:$C,MATCH($C$1,Database!$A$1:$C$1,),)=0,#N/A,VLOOKUP(Table7[[#This Row],[Date]],Database!$A:$C,MATCH($C$1,Database!$A$1:$C$1,),))</f>
        <v/>
      </c>
      <c r="D7652">
        <f>IFERROR(Table7[[#This Row],[United States 10y]]-Table7[[#This Row],[United States 3y]],#N/A)</f>
        <v/>
      </c>
    </row>
    <row r="7653">
      <c r="A7653" s="6">
        <f>Database!$A9738</f>
        <v/>
      </c>
      <c r="B7653">
        <f>IF(VLOOKUP(Table7[[#This Row],[Date]],Database!$A:$C,MATCH($B$1,Database!$A$1:$C$1,),)=0,#N/A,VLOOKUP(Table7[[#This Row],[Date]],Database!$A:$C,MATCH($B$1,Database!$A$1:$C$1,),))</f>
        <v/>
      </c>
      <c r="C7653">
        <f>IF(VLOOKUP(Table7[[#This Row],[Date]],Database!$A:$C,MATCH($C$1,Database!$A$1:$C$1,),)=0,#N/A,VLOOKUP(Table7[[#This Row],[Date]],Database!$A:$C,MATCH($C$1,Database!$A$1:$C$1,),))</f>
        <v/>
      </c>
      <c r="D7653">
        <f>IFERROR(Table7[[#This Row],[United States 10y]]-Table7[[#This Row],[United States 3y]],#N/A)</f>
        <v/>
      </c>
    </row>
    <row r="7654">
      <c r="A7654" s="6">
        <f>Database!$A9739</f>
        <v/>
      </c>
      <c r="B7654">
        <f>IF(VLOOKUP(Table7[[#This Row],[Date]],Database!$A:$C,MATCH($B$1,Database!$A$1:$C$1,),)=0,#N/A,VLOOKUP(Table7[[#This Row],[Date]],Database!$A:$C,MATCH($B$1,Database!$A$1:$C$1,),))</f>
        <v/>
      </c>
      <c r="C7654">
        <f>IF(VLOOKUP(Table7[[#This Row],[Date]],Database!$A:$C,MATCH($C$1,Database!$A$1:$C$1,),)=0,#N/A,VLOOKUP(Table7[[#This Row],[Date]],Database!$A:$C,MATCH($C$1,Database!$A$1:$C$1,),))</f>
        <v/>
      </c>
      <c r="D7654">
        <f>IFERROR(Table7[[#This Row],[United States 10y]]-Table7[[#This Row],[United States 3y]],#N/A)</f>
        <v/>
      </c>
    </row>
    <row r="7655">
      <c r="A7655" s="6">
        <f>Database!$A9740</f>
        <v/>
      </c>
      <c r="B7655">
        <f>IF(VLOOKUP(Table7[[#This Row],[Date]],Database!$A:$C,MATCH($B$1,Database!$A$1:$C$1,),)=0,#N/A,VLOOKUP(Table7[[#This Row],[Date]],Database!$A:$C,MATCH($B$1,Database!$A$1:$C$1,),))</f>
        <v/>
      </c>
      <c r="C7655">
        <f>IF(VLOOKUP(Table7[[#This Row],[Date]],Database!$A:$C,MATCH($C$1,Database!$A$1:$C$1,),)=0,#N/A,VLOOKUP(Table7[[#This Row],[Date]],Database!$A:$C,MATCH($C$1,Database!$A$1:$C$1,),))</f>
        <v/>
      </c>
      <c r="D7655">
        <f>IFERROR(Table7[[#This Row],[United States 10y]]-Table7[[#This Row],[United States 3y]],#N/A)</f>
        <v/>
      </c>
    </row>
    <row r="7656">
      <c r="A7656" s="6">
        <f>Database!$A9741</f>
        <v/>
      </c>
      <c r="B7656">
        <f>IF(VLOOKUP(Table7[[#This Row],[Date]],Database!$A:$C,MATCH($B$1,Database!$A$1:$C$1,),)=0,#N/A,VLOOKUP(Table7[[#This Row],[Date]],Database!$A:$C,MATCH($B$1,Database!$A$1:$C$1,),))</f>
        <v/>
      </c>
      <c r="C7656">
        <f>IF(VLOOKUP(Table7[[#This Row],[Date]],Database!$A:$C,MATCH($C$1,Database!$A$1:$C$1,),)=0,#N/A,VLOOKUP(Table7[[#This Row],[Date]],Database!$A:$C,MATCH($C$1,Database!$A$1:$C$1,),))</f>
        <v/>
      </c>
      <c r="D7656">
        <f>IFERROR(Table7[[#This Row],[United States 10y]]-Table7[[#This Row],[United States 3y]],#N/A)</f>
        <v/>
      </c>
    </row>
    <row r="7657">
      <c r="A7657" s="6">
        <f>Database!$A9742</f>
        <v/>
      </c>
      <c r="B7657">
        <f>IF(VLOOKUP(Table7[[#This Row],[Date]],Database!$A:$C,MATCH($B$1,Database!$A$1:$C$1,),)=0,#N/A,VLOOKUP(Table7[[#This Row],[Date]],Database!$A:$C,MATCH($B$1,Database!$A$1:$C$1,),))</f>
        <v/>
      </c>
      <c r="C7657">
        <f>IF(VLOOKUP(Table7[[#This Row],[Date]],Database!$A:$C,MATCH($C$1,Database!$A$1:$C$1,),)=0,#N/A,VLOOKUP(Table7[[#This Row],[Date]],Database!$A:$C,MATCH($C$1,Database!$A$1:$C$1,),))</f>
        <v/>
      </c>
      <c r="D7657">
        <f>IFERROR(Table7[[#This Row],[United States 10y]]-Table7[[#This Row],[United States 3y]],#N/A)</f>
        <v/>
      </c>
    </row>
    <row r="7658">
      <c r="A7658" s="6">
        <f>Database!$A9743</f>
        <v/>
      </c>
      <c r="B7658">
        <f>IF(VLOOKUP(Table7[[#This Row],[Date]],Database!$A:$C,MATCH($B$1,Database!$A$1:$C$1,),)=0,#N/A,VLOOKUP(Table7[[#This Row],[Date]],Database!$A:$C,MATCH($B$1,Database!$A$1:$C$1,),))</f>
        <v/>
      </c>
      <c r="C7658">
        <f>IF(VLOOKUP(Table7[[#This Row],[Date]],Database!$A:$C,MATCH($C$1,Database!$A$1:$C$1,),)=0,#N/A,VLOOKUP(Table7[[#This Row],[Date]],Database!$A:$C,MATCH($C$1,Database!$A$1:$C$1,),))</f>
        <v/>
      </c>
      <c r="D7658">
        <f>IFERROR(Table7[[#This Row],[United States 10y]]-Table7[[#This Row],[United States 3y]],#N/A)</f>
        <v/>
      </c>
    </row>
    <row r="7659">
      <c r="A7659" s="6">
        <f>Database!$A9744</f>
        <v/>
      </c>
      <c r="B7659">
        <f>IF(VLOOKUP(Table7[[#This Row],[Date]],Database!$A:$C,MATCH($B$1,Database!$A$1:$C$1,),)=0,#N/A,VLOOKUP(Table7[[#This Row],[Date]],Database!$A:$C,MATCH($B$1,Database!$A$1:$C$1,),))</f>
        <v/>
      </c>
      <c r="C7659">
        <f>IF(VLOOKUP(Table7[[#This Row],[Date]],Database!$A:$C,MATCH($C$1,Database!$A$1:$C$1,),)=0,#N/A,VLOOKUP(Table7[[#This Row],[Date]],Database!$A:$C,MATCH($C$1,Database!$A$1:$C$1,),))</f>
        <v/>
      </c>
      <c r="D7659">
        <f>IFERROR(Table7[[#This Row],[United States 10y]]-Table7[[#This Row],[United States 3y]],#N/A)</f>
        <v/>
      </c>
    </row>
    <row r="7660">
      <c r="A7660" s="6">
        <f>Database!$A9745</f>
        <v/>
      </c>
      <c r="B7660">
        <f>IF(VLOOKUP(Table7[[#This Row],[Date]],Database!$A:$C,MATCH($B$1,Database!$A$1:$C$1,),)=0,#N/A,VLOOKUP(Table7[[#This Row],[Date]],Database!$A:$C,MATCH($B$1,Database!$A$1:$C$1,),))</f>
        <v/>
      </c>
      <c r="C7660">
        <f>IF(VLOOKUP(Table7[[#This Row],[Date]],Database!$A:$C,MATCH($C$1,Database!$A$1:$C$1,),)=0,#N/A,VLOOKUP(Table7[[#This Row],[Date]],Database!$A:$C,MATCH($C$1,Database!$A$1:$C$1,),))</f>
        <v/>
      </c>
      <c r="D7660">
        <f>IFERROR(Table7[[#This Row],[United States 10y]]-Table7[[#This Row],[United States 3y]],#N/A)</f>
        <v/>
      </c>
    </row>
    <row r="7661">
      <c r="A7661" s="6">
        <f>Database!$A9746</f>
        <v/>
      </c>
      <c r="B7661">
        <f>IF(VLOOKUP(Table7[[#This Row],[Date]],Database!$A:$C,MATCH($B$1,Database!$A$1:$C$1,),)=0,#N/A,VLOOKUP(Table7[[#This Row],[Date]],Database!$A:$C,MATCH($B$1,Database!$A$1:$C$1,),))</f>
        <v/>
      </c>
      <c r="C7661">
        <f>IF(VLOOKUP(Table7[[#This Row],[Date]],Database!$A:$C,MATCH($C$1,Database!$A$1:$C$1,),)=0,#N/A,VLOOKUP(Table7[[#This Row],[Date]],Database!$A:$C,MATCH($C$1,Database!$A$1:$C$1,),))</f>
        <v/>
      </c>
      <c r="D7661">
        <f>IFERROR(Table7[[#This Row],[United States 10y]]-Table7[[#This Row],[United States 3y]],#N/A)</f>
        <v/>
      </c>
    </row>
    <row r="7662">
      <c r="A7662" s="6">
        <f>Database!$A9747</f>
        <v/>
      </c>
      <c r="B7662">
        <f>IF(VLOOKUP(Table7[[#This Row],[Date]],Database!$A:$C,MATCH($B$1,Database!$A$1:$C$1,),)=0,#N/A,VLOOKUP(Table7[[#This Row],[Date]],Database!$A:$C,MATCH($B$1,Database!$A$1:$C$1,),))</f>
        <v/>
      </c>
      <c r="C7662">
        <f>IF(VLOOKUP(Table7[[#This Row],[Date]],Database!$A:$C,MATCH($C$1,Database!$A$1:$C$1,),)=0,#N/A,VLOOKUP(Table7[[#This Row],[Date]],Database!$A:$C,MATCH($C$1,Database!$A$1:$C$1,),))</f>
        <v/>
      </c>
      <c r="D7662">
        <f>IFERROR(Table7[[#This Row],[United States 10y]]-Table7[[#This Row],[United States 3y]],#N/A)</f>
        <v/>
      </c>
    </row>
    <row r="7663">
      <c r="A7663" s="6">
        <f>Database!$A9748</f>
        <v/>
      </c>
      <c r="B7663">
        <f>IF(VLOOKUP(Table7[[#This Row],[Date]],Database!$A:$C,MATCH($B$1,Database!$A$1:$C$1,),)=0,#N/A,VLOOKUP(Table7[[#This Row],[Date]],Database!$A:$C,MATCH($B$1,Database!$A$1:$C$1,),))</f>
        <v/>
      </c>
      <c r="C7663">
        <f>IF(VLOOKUP(Table7[[#This Row],[Date]],Database!$A:$C,MATCH($C$1,Database!$A$1:$C$1,),)=0,#N/A,VLOOKUP(Table7[[#This Row],[Date]],Database!$A:$C,MATCH($C$1,Database!$A$1:$C$1,),))</f>
        <v/>
      </c>
      <c r="D7663">
        <f>IFERROR(Table7[[#This Row],[United States 10y]]-Table7[[#This Row],[United States 3y]],#N/A)</f>
        <v/>
      </c>
    </row>
    <row r="7664">
      <c r="A7664" s="6">
        <f>Database!$A9749</f>
        <v/>
      </c>
      <c r="B7664">
        <f>IF(VLOOKUP(Table7[[#This Row],[Date]],Database!$A:$C,MATCH($B$1,Database!$A$1:$C$1,),)=0,#N/A,VLOOKUP(Table7[[#This Row],[Date]],Database!$A:$C,MATCH($B$1,Database!$A$1:$C$1,),))</f>
        <v/>
      </c>
      <c r="C7664">
        <f>IF(VLOOKUP(Table7[[#This Row],[Date]],Database!$A:$C,MATCH($C$1,Database!$A$1:$C$1,),)=0,#N/A,VLOOKUP(Table7[[#This Row],[Date]],Database!$A:$C,MATCH($C$1,Database!$A$1:$C$1,),))</f>
        <v/>
      </c>
      <c r="D7664">
        <f>IFERROR(Table7[[#This Row],[United States 10y]]-Table7[[#This Row],[United States 3y]],#N/A)</f>
        <v/>
      </c>
    </row>
    <row r="7665">
      <c r="A7665" s="6">
        <f>Database!$A9750</f>
        <v/>
      </c>
      <c r="B7665">
        <f>IF(VLOOKUP(Table7[[#This Row],[Date]],Database!$A:$C,MATCH($B$1,Database!$A$1:$C$1,),)=0,#N/A,VLOOKUP(Table7[[#This Row],[Date]],Database!$A:$C,MATCH($B$1,Database!$A$1:$C$1,),))</f>
        <v/>
      </c>
      <c r="C7665">
        <f>IF(VLOOKUP(Table7[[#This Row],[Date]],Database!$A:$C,MATCH($C$1,Database!$A$1:$C$1,),)=0,#N/A,VLOOKUP(Table7[[#This Row],[Date]],Database!$A:$C,MATCH($C$1,Database!$A$1:$C$1,),))</f>
        <v/>
      </c>
      <c r="D7665">
        <f>IFERROR(Table7[[#This Row],[United States 10y]]-Table7[[#This Row],[United States 3y]],#N/A)</f>
        <v/>
      </c>
    </row>
    <row r="7666">
      <c r="A7666" s="6">
        <f>Database!$A9751</f>
        <v/>
      </c>
      <c r="B7666">
        <f>IF(VLOOKUP(Table7[[#This Row],[Date]],Database!$A:$C,MATCH($B$1,Database!$A$1:$C$1,),)=0,#N/A,VLOOKUP(Table7[[#This Row],[Date]],Database!$A:$C,MATCH($B$1,Database!$A$1:$C$1,),))</f>
        <v/>
      </c>
      <c r="C7666">
        <f>IF(VLOOKUP(Table7[[#This Row],[Date]],Database!$A:$C,MATCH($C$1,Database!$A$1:$C$1,),)=0,#N/A,VLOOKUP(Table7[[#This Row],[Date]],Database!$A:$C,MATCH($C$1,Database!$A$1:$C$1,),))</f>
        <v/>
      </c>
      <c r="D7666">
        <f>IFERROR(Table7[[#This Row],[United States 10y]]-Table7[[#This Row],[United States 3y]],#N/A)</f>
        <v/>
      </c>
    </row>
    <row r="7667">
      <c r="A7667" s="6">
        <f>Database!$A9752</f>
        <v/>
      </c>
      <c r="B7667">
        <f>IF(VLOOKUP(Table7[[#This Row],[Date]],Database!$A:$C,MATCH($B$1,Database!$A$1:$C$1,),)=0,#N/A,VLOOKUP(Table7[[#This Row],[Date]],Database!$A:$C,MATCH($B$1,Database!$A$1:$C$1,),))</f>
        <v/>
      </c>
      <c r="C7667">
        <f>IF(VLOOKUP(Table7[[#This Row],[Date]],Database!$A:$C,MATCH($C$1,Database!$A$1:$C$1,),)=0,#N/A,VLOOKUP(Table7[[#This Row],[Date]],Database!$A:$C,MATCH($C$1,Database!$A$1:$C$1,),))</f>
        <v/>
      </c>
      <c r="D7667">
        <f>IFERROR(Table7[[#This Row],[United States 10y]]-Table7[[#This Row],[United States 3y]],#N/A)</f>
        <v/>
      </c>
    </row>
    <row r="7668">
      <c r="A7668" s="6">
        <f>Database!$A9753</f>
        <v/>
      </c>
      <c r="B7668">
        <f>IF(VLOOKUP(Table7[[#This Row],[Date]],Database!$A:$C,MATCH($B$1,Database!$A$1:$C$1,),)=0,#N/A,VLOOKUP(Table7[[#This Row],[Date]],Database!$A:$C,MATCH($B$1,Database!$A$1:$C$1,),))</f>
        <v/>
      </c>
      <c r="C7668">
        <f>IF(VLOOKUP(Table7[[#This Row],[Date]],Database!$A:$C,MATCH($C$1,Database!$A$1:$C$1,),)=0,#N/A,VLOOKUP(Table7[[#This Row],[Date]],Database!$A:$C,MATCH($C$1,Database!$A$1:$C$1,),))</f>
        <v/>
      </c>
      <c r="D7668">
        <f>IFERROR(Table7[[#This Row],[United States 10y]]-Table7[[#This Row],[United States 3y]],#N/A)</f>
        <v/>
      </c>
    </row>
    <row r="7669">
      <c r="A7669" s="6">
        <f>Database!$A9754</f>
        <v/>
      </c>
      <c r="B7669">
        <f>IF(VLOOKUP(Table7[[#This Row],[Date]],Database!$A:$C,MATCH($B$1,Database!$A$1:$C$1,),)=0,#N/A,VLOOKUP(Table7[[#This Row],[Date]],Database!$A:$C,MATCH($B$1,Database!$A$1:$C$1,),))</f>
        <v/>
      </c>
      <c r="C7669">
        <f>IF(VLOOKUP(Table7[[#This Row],[Date]],Database!$A:$C,MATCH($C$1,Database!$A$1:$C$1,),)=0,#N/A,VLOOKUP(Table7[[#This Row],[Date]],Database!$A:$C,MATCH($C$1,Database!$A$1:$C$1,),))</f>
        <v/>
      </c>
      <c r="D7669">
        <f>IFERROR(Table7[[#This Row],[United States 10y]]-Table7[[#This Row],[United States 3y]],#N/A)</f>
        <v/>
      </c>
    </row>
    <row r="7670">
      <c r="A7670" s="6">
        <f>Database!$A9755</f>
        <v/>
      </c>
      <c r="B7670">
        <f>IF(VLOOKUP(Table7[[#This Row],[Date]],Database!$A:$C,MATCH($B$1,Database!$A$1:$C$1,),)=0,#N/A,VLOOKUP(Table7[[#This Row],[Date]],Database!$A:$C,MATCH($B$1,Database!$A$1:$C$1,),))</f>
        <v/>
      </c>
      <c r="C7670">
        <f>IF(VLOOKUP(Table7[[#This Row],[Date]],Database!$A:$C,MATCH($C$1,Database!$A$1:$C$1,),)=0,#N/A,VLOOKUP(Table7[[#This Row],[Date]],Database!$A:$C,MATCH($C$1,Database!$A$1:$C$1,),))</f>
        <v/>
      </c>
      <c r="D7670">
        <f>IFERROR(Table7[[#This Row],[United States 10y]]-Table7[[#This Row],[United States 3y]],#N/A)</f>
        <v/>
      </c>
    </row>
    <row r="7671">
      <c r="A7671" s="6">
        <f>Database!$A9756</f>
        <v/>
      </c>
      <c r="B7671">
        <f>IF(VLOOKUP(Table7[[#This Row],[Date]],Database!$A:$C,MATCH($B$1,Database!$A$1:$C$1,),)=0,#N/A,VLOOKUP(Table7[[#This Row],[Date]],Database!$A:$C,MATCH($B$1,Database!$A$1:$C$1,),))</f>
        <v/>
      </c>
      <c r="C7671">
        <f>IF(VLOOKUP(Table7[[#This Row],[Date]],Database!$A:$C,MATCH($C$1,Database!$A$1:$C$1,),)=0,#N/A,VLOOKUP(Table7[[#This Row],[Date]],Database!$A:$C,MATCH($C$1,Database!$A$1:$C$1,),))</f>
        <v/>
      </c>
      <c r="D7671">
        <f>IFERROR(Table7[[#This Row],[United States 10y]]-Table7[[#This Row],[United States 3y]],#N/A)</f>
        <v/>
      </c>
    </row>
    <row r="7672">
      <c r="A7672" s="6">
        <f>Database!$A9757</f>
        <v/>
      </c>
      <c r="B7672">
        <f>IF(VLOOKUP(Table7[[#This Row],[Date]],Database!$A:$C,MATCH($B$1,Database!$A$1:$C$1,),)=0,#N/A,VLOOKUP(Table7[[#This Row],[Date]],Database!$A:$C,MATCH($B$1,Database!$A$1:$C$1,),))</f>
        <v/>
      </c>
      <c r="C7672">
        <f>IF(VLOOKUP(Table7[[#This Row],[Date]],Database!$A:$C,MATCH($C$1,Database!$A$1:$C$1,),)=0,#N/A,VLOOKUP(Table7[[#This Row],[Date]],Database!$A:$C,MATCH($C$1,Database!$A$1:$C$1,),))</f>
        <v/>
      </c>
      <c r="D7672">
        <f>IFERROR(Table7[[#This Row],[United States 10y]]-Table7[[#This Row],[United States 3y]],#N/A)</f>
        <v/>
      </c>
    </row>
    <row r="7673">
      <c r="A7673" s="6">
        <f>Database!$A9758</f>
        <v/>
      </c>
      <c r="B7673">
        <f>IF(VLOOKUP(Table7[[#This Row],[Date]],Database!$A:$C,MATCH($B$1,Database!$A$1:$C$1,),)=0,#N/A,VLOOKUP(Table7[[#This Row],[Date]],Database!$A:$C,MATCH($B$1,Database!$A$1:$C$1,),))</f>
        <v/>
      </c>
      <c r="C7673">
        <f>IF(VLOOKUP(Table7[[#This Row],[Date]],Database!$A:$C,MATCH($C$1,Database!$A$1:$C$1,),)=0,#N/A,VLOOKUP(Table7[[#This Row],[Date]],Database!$A:$C,MATCH($C$1,Database!$A$1:$C$1,),))</f>
        <v/>
      </c>
      <c r="D7673">
        <f>IFERROR(Table7[[#This Row],[United States 10y]]-Table7[[#This Row],[United States 3y]],#N/A)</f>
        <v/>
      </c>
    </row>
    <row r="7674">
      <c r="A7674" s="6">
        <f>Database!$A9759</f>
        <v/>
      </c>
      <c r="B7674">
        <f>IF(VLOOKUP(Table7[[#This Row],[Date]],Database!$A:$C,MATCH($B$1,Database!$A$1:$C$1,),)=0,#N/A,VLOOKUP(Table7[[#This Row],[Date]],Database!$A:$C,MATCH($B$1,Database!$A$1:$C$1,),))</f>
        <v/>
      </c>
      <c r="C7674">
        <f>IF(VLOOKUP(Table7[[#This Row],[Date]],Database!$A:$C,MATCH($C$1,Database!$A$1:$C$1,),)=0,#N/A,VLOOKUP(Table7[[#This Row],[Date]],Database!$A:$C,MATCH($C$1,Database!$A$1:$C$1,),))</f>
        <v/>
      </c>
      <c r="D7674">
        <f>IFERROR(Table7[[#This Row],[United States 10y]]-Table7[[#This Row],[United States 3y]],#N/A)</f>
        <v/>
      </c>
    </row>
    <row r="7675">
      <c r="A7675" s="6">
        <f>Database!$A9760</f>
        <v/>
      </c>
      <c r="B7675">
        <f>IF(VLOOKUP(Table7[[#This Row],[Date]],Database!$A:$C,MATCH($B$1,Database!$A$1:$C$1,),)=0,#N/A,VLOOKUP(Table7[[#This Row],[Date]],Database!$A:$C,MATCH($B$1,Database!$A$1:$C$1,),))</f>
        <v/>
      </c>
      <c r="C7675">
        <f>IF(VLOOKUP(Table7[[#This Row],[Date]],Database!$A:$C,MATCH($C$1,Database!$A$1:$C$1,),)=0,#N/A,VLOOKUP(Table7[[#This Row],[Date]],Database!$A:$C,MATCH($C$1,Database!$A$1:$C$1,),))</f>
        <v/>
      </c>
      <c r="D7675">
        <f>IFERROR(Table7[[#This Row],[United States 10y]]-Table7[[#This Row],[United States 3y]],#N/A)</f>
        <v/>
      </c>
    </row>
    <row r="7676">
      <c r="A7676" s="6">
        <f>Database!$A9761</f>
        <v/>
      </c>
      <c r="B7676">
        <f>IF(VLOOKUP(Table7[[#This Row],[Date]],Database!$A:$C,MATCH($B$1,Database!$A$1:$C$1,),)=0,#N/A,VLOOKUP(Table7[[#This Row],[Date]],Database!$A:$C,MATCH($B$1,Database!$A$1:$C$1,),))</f>
        <v/>
      </c>
      <c r="C7676">
        <f>IF(VLOOKUP(Table7[[#This Row],[Date]],Database!$A:$C,MATCH($C$1,Database!$A$1:$C$1,),)=0,#N/A,VLOOKUP(Table7[[#This Row],[Date]],Database!$A:$C,MATCH($C$1,Database!$A$1:$C$1,),))</f>
        <v/>
      </c>
      <c r="D7676">
        <f>IFERROR(Table7[[#This Row],[United States 10y]]-Table7[[#This Row],[United States 3y]],#N/A)</f>
        <v/>
      </c>
    </row>
    <row r="7677">
      <c r="A7677" s="6">
        <f>Database!$A9762</f>
        <v/>
      </c>
      <c r="B7677">
        <f>IF(VLOOKUP(Table7[[#This Row],[Date]],Database!$A:$C,MATCH($B$1,Database!$A$1:$C$1,),)=0,#N/A,VLOOKUP(Table7[[#This Row],[Date]],Database!$A:$C,MATCH($B$1,Database!$A$1:$C$1,),))</f>
        <v/>
      </c>
      <c r="C7677">
        <f>IF(VLOOKUP(Table7[[#This Row],[Date]],Database!$A:$C,MATCH($C$1,Database!$A$1:$C$1,),)=0,#N/A,VLOOKUP(Table7[[#This Row],[Date]],Database!$A:$C,MATCH($C$1,Database!$A$1:$C$1,),))</f>
        <v/>
      </c>
      <c r="D7677">
        <f>IFERROR(Table7[[#This Row],[United States 10y]]-Table7[[#This Row],[United States 3y]],#N/A)</f>
        <v/>
      </c>
    </row>
    <row r="7678">
      <c r="A7678" s="6">
        <f>Database!$A9763</f>
        <v/>
      </c>
      <c r="B7678">
        <f>IF(VLOOKUP(Table7[[#This Row],[Date]],Database!$A:$C,MATCH($B$1,Database!$A$1:$C$1,),)=0,#N/A,VLOOKUP(Table7[[#This Row],[Date]],Database!$A:$C,MATCH($B$1,Database!$A$1:$C$1,),))</f>
        <v/>
      </c>
      <c r="C7678">
        <f>IF(VLOOKUP(Table7[[#This Row],[Date]],Database!$A:$C,MATCH($C$1,Database!$A$1:$C$1,),)=0,#N/A,VLOOKUP(Table7[[#This Row],[Date]],Database!$A:$C,MATCH($C$1,Database!$A$1:$C$1,),))</f>
        <v/>
      </c>
      <c r="D7678">
        <f>IFERROR(Table7[[#This Row],[United States 10y]]-Table7[[#This Row],[United States 3y]],#N/A)</f>
        <v/>
      </c>
    </row>
    <row r="7679">
      <c r="A7679" s="6">
        <f>Database!$A9764</f>
        <v/>
      </c>
      <c r="B7679">
        <f>IF(VLOOKUP(Table7[[#This Row],[Date]],Database!$A:$C,MATCH($B$1,Database!$A$1:$C$1,),)=0,#N/A,VLOOKUP(Table7[[#This Row],[Date]],Database!$A:$C,MATCH($B$1,Database!$A$1:$C$1,),))</f>
        <v/>
      </c>
      <c r="C7679">
        <f>IF(VLOOKUP(Table7[[#This Row],[Date]],Database!$A:$C,MATCH($C$1,Database!$A$1:$C$1,),)=0,#N/A,VLOOKUP(Table7[[#This Row],[Date]],Database!$A:$C,MATCH($C$1,Database!$A$1:$C$1,),))</f>
        <v/>
      </c>
      <c r="D7679">
        <f>IFERROR(Table7[[#This Row],[United States 10y]]-Table7[[#This Row],[United States 3y]],#N/A)</f>
        <v/>
      </c>
    </row>
    <row r="7680">
      <c r="A7680" s="6">
        <f>Database!$A9765</f>
        <v/>
      </c>
      <c r="B7680">
        <f>IF(VLOOKUP(Table7[[#This Row],[Date]],Database!$A:$C,MATCH($B$1,Database!$A$1:$C$1,),)=0,#N/A,VLOOKUP(Table7[[#This Row],[Date]],Database!$A:$C,MATCH($B$1,Database!$A$1:$C$1,),))</f>
        <v/>
      </c>
      <c r="C7680">
        <f>IF(VLOOKUP(Table7[[#This Row],[Date]],Database!$A:$C,MATCH($C$1,Database!$A$1:$C$1,),)=0,#N/A,VLOOKUP(Table7[[#This Row],[Date]],Database!$A:$C,MATCH($C$1,Database!$A$1:$C$1,),))</f>
        <v/>
      </c>
      <c r="D7680">
        <f>IFERROR(Table7[[#This Row],[United States 10y]]-Table7[[#This Row],[United States 3y]],#N/A)</f>
        <v/>
      </c>
    </row>
    <row r="7681">
      <c r="A7681" s="6">
        <f>Database!$A9766</f>
        <v/>
      </c>
      <c r="B7681">
        <f>IF(VLOOKUP(Table7[[#This Row],[Date]],Database!$A:$C,MATCH($B$1,Database!$A$1:$C$1,),)=0,#N/A,VLOOKUP(Table7[[#This Row],[Date]],Database!$A:$C,MATCH($B$1,Database!$A$1:$C$1,),))</f>
        <v/>
      </c>
      <c r="C7681">
        <f>IF(VLOOKUP(Table7[[#This Row],[Date]],Database!$A:$C,MATCH($C$1,Database!$A$1:$C$1,),)=0,#N/A,VLOOKUP(Table7[[#This Row],[Date]],Database!$A:$C,MATCH($C$1,Database!$A$1:$C$1,),))</f>
        <v/>
      </c>
      <c r="D7681">
        <f>IFERROR(Table7[[#This Row],[United States 10y]]-Table7[[#This Row],[United States 3y]],#N/A)</f>
        <v/>
      </c>
    </row>
    <row r="7682">
      <c r="A7682" s="6">
        <f>Database!$A9767</f>
        <v/>
      </c>
      <c r="B7682">
        <f>IF(VLOOKUP(Table7[[#This Row],[Date]],Database!$A:$C,MATCH($B$1,Database!$A$1:$C$1,),)=0,#N/A,VLOOKUP(Table7[[#This Row],[Date]],Database!$A:$C,MATCH($B$1,Database!$A$1:$C$1,),))</f>
        <v/>
      </c>
      <c r="C7682">
        <f>IF(VLOOKUP(Table7[[#This Row],[Date]],Database!$A:$C,MATCH($C$1,Database!$A$1:$C$1,),)=0,#N/A,VLOOKUP(Table7[[#This Row],[Date]],Database!$A:$C,MATCH($C$1,Database!$A$1:$C$1,),))</f>
        <v/>
      </c>
      <c r="D7682">
        <f>IFERROR(Table7[[#This Row],[United States 10y]]-Table7[[#This Row],[United States 3y]],#N/A)</f>
        <v/>
      </c>
    </row>
    <row r="7683">
      <c r="A7683" s="6">
        <f>Database!$A9768</f>
        <v/>
      </c>
      <c r="B7683">
        <f>IF(VLOOKUP(Table7[[#This Row],[Date]],Database!$A:$C,MATCH($B$1,Database!$A$1:$C$1,),)=0,#N/A,VLOOKUP(Table7[[#This Row],[Date]],Database!$A:$C,MATCH($B$1,Database!$A$1:$C$1,),))</f>
        <v/>
      </c>
      <c r="C7683">
        <f>IF(VLOOKUP(Table7[[#This Row],[Date]],Database!$A:$C,MATCH($C$1,Database!$A$1:$C$1,),)=0,#N/A,VLOOKUP(Table7[[#This Row],[Date]],Database!$A:$C,MATCH($C$1,Database!$A$1:$C$1,),))</f>
        <v/>
      </c>
      <c r="D7683">
        <f>IFERROR(Table7[[#This Row],[United States 10y]]-Table7[[#This Row],[United States 3y]],#N/A)</f>
        <v/>
      </c>
    </row>
    <row r="7684">
      <c r="A7684" s="6">
        <f>Database!$A9769</f>
        <v/>
      </c>
      <c r="B7684">
        <f>IF(VLOOKUP(Table7[[#This Row],[Date]],Database!$A:$C,MATCH($B$1,Database!$A$1:$C$1,),)=0,#N/A,VLOOKUP(Table7[[#This Row],[Date]],Database!$A:$C,MATCH($B$1,Database!$A$1:$C$1,),))</f>
        <v/>
      </c>
      <c r="C7684">
        <f>IF(VLOOKUP(Table7[[#This Row],[Date]],Database!$A:$C,MATCH($C$1,Database!$A$1:$C$1,),)=0,#N/A,VLOOKUP(Table7[[#This Row],[Date]],Database!$A:$C,MATCH($C$1,Database!$A$1:$C$1,),))</f>
        <v/>
      </c>
      <c r="D7684">
        <f>IFERROR(Table7[[#This Row],[United States 10y]]-Table7[[#This Row],[United States 3y]],#N/A)</f>
        <v/>
      </c>
    </row>
    <row r="7685">
      <c r="A7685" s="6">
        <f>Database!$A9770</f>
        <v/>
      </c>
      <c r="B7685">
        <f>IF(VLOOKUP(Table7[[#This Row],[Date]],Database!$A:$C,MATCH($B$1,Database!$A$1:$C$1,),)=0,#N/A,VLOOKUP(Table7[[#This Row],[Date]],Database!$A:$C,MATCH($B$1,Database!$A$1:$C$1,),))</f>
        <v/>
      </c>
      <c r="C7685">
        <f>IF(VLOOKUP(Table7[[#This Row],[Date]],Database!$A:$C,MATCH($C$1,Database!$A$1:$C$1,),)=0,#N/A,VLOOKUP(Table7[[#This Row],[Date]],Database!$A:$C,MATCH($C$1,Database!$A$1:$C$1,),))</f>
        <v/>
      </c>
      <c r="D7685">
        <f>IFERROR(Table7[[#This Row],[United States 10y]]-Table7[[#This Row],[United States 3y]],#N/A)</f>
        <v/>
      </c>
    </row>
    <row r="7686">
      <c r="A7686" s="6">
        <f>Database!$A9771</f>
        <v/>
      </c>
      <c r="B7686">
        <f>IF(VLOOKUP(Table7[[#This Row],[Date]],Database!$A:$C,MATCH($B$1,Database!$A$1:$C$1,),)=0,#N/A,VLOOKUP(Table7[[#This Row],[Date]],Database!$A:$C,MATCH($B$1,Database!$A$1:$C$1,),))</f>
        <v/>
      </c>
      <c r="C7686">
        <f>IF(VLOOKUP(Table7[[#This Row],[Date]],Database!$A:$C,MATCH($C$1,Database!$A$1:$C$1,),)=0,#N/A,VLOOKUP(Table7[[#This Row],[Date]],Database!$A:$C,MATCH($C$1,Database!$A$1:$C$1,),))</f>
        <v/>
      </c>
      <c r="D7686">
        <f>IFERROR(Table7[[#This Row],[United States 10y]]-Table7[[#This Row],[United States 3y]],#N/A)</f>
        <v/>
      </c>
    </row>
    <row r="7687">
      <c r="A7687" s="6">
        <f>Database!$A9772</f>
        <v/>
      </c>
      <c r="B7687">
        <f>IF(VLOOKUP(Table7[[#This Row],[Date]],Database!$A:$C,MATCH($B$1,Database!$A$1:$C$1,),)=0,#N/A,VLOOKUP(Table7[[#This Row],[Date]],Database!$A:$C,MATCH($B$1,Database!$A$1:$C$1,),))</f>
        <v/>
      </c>
      <c r="C7687">
        <f>IF(VLOOKUP(Table7[[#This Row],[Date]],Database!$A:$C,MATCH($C$1,Database!$A$1:$C$1,),)=0,#N/A,VLOOKUP(Table7[[#This Row],[Date]],Database!$A:$C,MATCH($C$1,Database!$A$1:$C$1,),))</f>
        <v/>
      </c>
      <c r="D7687">
        <f>IFERROR(Table7[[#This Row],[United States 10y]]-Table7[[#This Row],[United States 3y]],#N/A)</f>
        <v/>
      </c>
    </row>
    <row r="7688">
      <c r="A7688" s="6">
        <f>Database!$A9773</f>
        <v/>
      </c>
      <c r="B7688">
        <f>IF(VLOOKUP(Table7[[#This Row],[Date]],Database!$A:$C,MATCH($B$1,Database!$A$1:$C$1,),)=0,#N/A,VLOOKUP(Table7[[#This Row],[Date]],Database!$A:$C,MATCH($B$1,Database!$A$1:$C$1,),))</f>
        <v/>
      </c>
      <c r="C7688">
        <f>IF(VLOOKUP(Table7[[#This Row],[Date]],Database!$A:$C,MATCH($C$1,Database!$A$1:$C$1,),)=0,#N/A,VLOOKUP(Table7[[#This Row],[Date]],Database!$A:$C,MATCH($C$1,Database!$A$1:$C$1,),))</f>
        <v/>
      </c>
      <c r="D7688">
        <f>IFERROR(Table7[[#This Row],[United States 10y]]-Table7[[#This Row],[United States 3y]],#N/A)</f>
        <v/>
      </c>
    </row>
    <row r="7689">
      <c r="A7689" s="6">
        <f>Database!$A9774</f>
        <v/>
      </c>
      <c r="B7689">
        <f>IF(VLOOKUP(Table7[[#This Row],[Date]],Database!$A:$C,MATCH($B$1,Database!$A$1:$C$1,),)=0,#N/A,VLOOKUP(Table7[[#This Row],[Date]],Database!$A:$C,MATCH($B$1,Database!$A$1:$C$1,),))</f>
        <v/>
      </c>
      <c r="C7689">
        <f>IF(VLOOKUP(Table7[[#This Row],[Date]],Database!$A:$C,MATCH($C$1,Database!$A$1:$C$1,),)=0,#N/A,VLOOKUP(Table7[[#This Row],[Date]],Database!$A:$C,MATCH($C$1,Database!$A$1:$C$1,),))</f>
        <v/>
      </c>
      <c r="D7689">
        <f>IFERROR(Table7[[#This Row],[United States 10y]]-Table7[[#This Row],[United States 3y]],#N/A)</f>
        <v/>
      </c>
    </row>
    <row r="7690">
      <c r="A7690" s="6">
        <f>Database!$A9775</f>
        <v/>
      </c>
      <c r="B7690">
        <f>IF(VLOOKUP(Table7[[#This Row],[Date]],Database!$A:$C,MATCH($B$1,Database!$A$1:$C$1,),)=0,#N/A,VLOOKUP(Table7[[#This Row],[Date]],Database!$A:$C,MATCH($B$1,Database!$A$1:$C$1,),))</f>
        <v/>
      </c>
      <c r="C7690">
        <f>IF(VLOOKUP(Table7[[#This Row],[Date]],Database!$A:$C,MATCH($C$1,Database!$A$1:$C$1,),)=0,#N/A,VLOOKUP(Table7[[#This Row],[Date]],Database!$A:$C,MATCH($C$1,Database!$A$1:$C$1,),))</f>
        <v/>
      </c>
      <c r="D7690">
        <f>IFERROR(Table7[[#This Row],[United States 10y]]-Table7[[#This Row],[United States 3y]],#N/A)</f>
        <v/>
      </c>
    </row>
    <row r="7691">
      <c r="A7691" s="6">
        <f>Database!$A9776</f>
        <v/>
      </c>
      <c r="B7691">
        <f>IF(VLOOKUP(Table7[[#This Row],[Date]],Database!$A:$C,MATCH($B$1,Database!$A$1:$C$1,),)=0,#N/A,VLOOKUP(Table7[[#This Row],[Date]],Database!$A:$C,MATCH($B$1,Database!$A$1:$C$1,),))</f>
        <v/>
      </c>
      <c r="C7691">
        <f>IF(VLOOKUP(Table7[[#This Row],[Date]],Database!$A:$C,MATCH($C$1,Database!$A$1:$C$1,),)=0,#N/A,VLOOKUP(Table7[[#This Row],[Date]],Database!$A:$C,MATCH($C$1,Database!$A$1:$C$1,),))</f>
        <v/>
      </c>
      <c r="D7691">
        <f>IFERROR(Table7[[#This Row],[United States 10y]]-Table7[[#This Row],[United States 3y]],#N/A)</f>
        <v/>
      </c>
    </row>
    <row r="7692">
      <c r="A7692" s="6">
        <f>Database!$A9777</f>
        <v/>
      </c>
      <c r="B7692">
        <f>IF(VLOOKUP(Table7[[#This Row],[Date]],Database!$A:$C,MATCH($B$1,Database!$A$1:$C$1,),)=0,#N/A,VLOOKUP(Table7[[#This Row],[Date]],Database!$A:$C,MATCH($B$1,Database!$A$1:$C$1,),))</f>
        <v/>
      </c>
      <c r="C7692">
        <f>IF(VLOOKUP(Table7[[#This Row],[Date]],Database!$A:$C,MATCH($C$1,Database!$A$1:$C$1,),)=0,#N/A,VLOOKUP(Table7[[#This Row],[Date]],Database!$A:$C,MATCH($C$1,Database!$A$1:$C$1,),))</f>
        <v/>
      </c>
      <c r="D7692">
        <f>IFERROR(Table7[[#This Row],[United States 10y]]-Table7[[#This Row],[United States 3y]],#N/A)</f>
        <v/>
      </c>
    </row>
    <row r="7693">
      <c r="A7693" s="6">
        <f>Database!$A9778</f>
        <v/>
      </c>
      <c r="B7693">
        <f>IF(VLOOKUP(Table7[[#This Row],[Date]],Database!$A:$C,MATCH($B$1,Database!$A$1:$C$1,),)=0,#N/A,VLOOKUP(Table7[[#This Row],[Date]],Database!$A:$C,MATCH($B$1,Database!$A$1:$C$1,),))</f>
        <v/>
      </c>
      <c r="C7693">
        <f>IF(VLOOKUP(Table7[[#This Row],[Date]],Database!$A:$C,MATCH($C$1,Database!$A$1:$C$1,),)=0,#N/A,VLOOKUP(Table7[[#This Row],[Date]],Database!$A:$C,MATCH($C$1,Database!$A$1:$C$1,),))</f>
        <v/>
      </c>
      <c r="D7693">
        <f>IFERROR(Table7[[#This Row],[United States 10y]]-Table7[[#This Row],[United States 3y]],#N/A)</f>
        <v/>
      </c>
    </row>
    <row r="7694">
      <c r="A7694" s="6">
        <f>Database!$A9779</f>
        <v/>
      </c>
      <c r="B7694">
        <f>IF(VLOOKUP(Table7[[#This Row],[Date]],Database!$A:$C,MATCH($B$1,Database!$A$1:$C$1,),)=0,#N/A,VLOOKUP(Table7[[#This Row],[Date]],Database!$A:$C,MATCH($B$1,Database!$A$1:$C$1,),))</f>
        <v/>
      </c>
      <c r="C7694">
        <f>IF(VLOOKUP(Table7[[#This Row],[Date]],Database!$A:$C,MATCH($C$1,Database!$A$1:$C$1,),)=0,#N/A,VLOOKUP(Table7[[#This Row],[Date]],Database!$A:$C,MATCH($C$1,Database!$A$1:$C$1,),))</f>
        <v/>
      </c>
      <c r="D7694">
        <f>IFERROR(Table7[[#This Row],[United States 10y]]-Table7[[#This Row],[United States 3y]],#N/A)</f>
        <v/>
      </c>
    </row>
    <row r="7695">
      <c r="A7695" s="6">
        <f>Database!$A9780</f>
        <v/>
      </c>
      <c r="B7695">
        <f>IF(VLOOKUP(Table7[[#This Row],[Date]],Database!$A:$C,MATCH($B$1,Database!$A$1:$C$1,),)=0,#N/A,VLOOKUP(Table7[[#This Row],[Date]],Database!$A:$C,MATCH($B$1,Database!$A$1:$C$1,),))</f>
        <v/>
      </c>
      <c r="C7695">
        <f>IF(VLOOKUP(Table7[[#This Row],[Date]],Database!$A:$C,MATCH($C$1,Database!$A$1:$C$1,),)=0,#N/A,VLOOKUP(Table7[[#This Row],[Date]],Database!$A:$C,MATCH($C$1,Database!$A$1:$C$1,),))</f>
        <v/>
      </c>
      <c r="D7695">
        <f>IFERROR(Table7[[#This Row],[United States 10y]]-Table7[[#This Row],[United States 3y]],#N/A)</f>
        <v/>
      </c>
    </row>
    <row r="7696">
      <c r="A7696" s="6">
        <f>Database!$A9781</f>
        <v/>
      </c>
      <c r="B7696">
        <f>IF(VLOOKUP(Table7[[#This Row],[Date]],Database!$A:$C,MATCH($B$1,Database!$A$1:$C$1,),)=0,#N/A,VLOOKUP(Table7[[#This Row],[Date]],Database!$A:$C,MATCH($B$1,Database!$A$1:$C$1,),))</f>
        <v/>
      </c>
      <c r="C7696">
        <f>IF(VLOOKUP(Table7[[#This Row],[Date]],Database!$A:$C,MATCH($C$1,Database!$A$1:$C$1,),)=0,#N/A,VLOOKUP(Table7[[#This Row],[Date]],Database!$A:$C,MATCH($C$1,Database!$A$1:$C$1,),))</f>
        <v/>
      </c>
      <c r="D7696">
        <f>IFERROR(Table7[[#This Row],[United States 10y]]-Table7[[#This Row],[United States 3y]],#N/A)</f>
        <v/>
      </c>
    </row>
    <row r="7697">
      <c r="A7697" s="6">
        <f>Database!$A9782</f>
        <v/>
      </c>
      <c r="B7697">
        <f>IF(VLOOKUP(Table7[[#This Row],[Date]],Database!$A:$C,MATCH($B$1,Database!$A$1:$C$1,),)=0,#N/A,VLOOKUP(Table7[[#This Row],[Date]],Database!$A:$C,MATCH($B$1,Database!$A$1:$C$1,),))</f>
        <v/>
      </c>
      <c r="C7697">
        <f>IF(VLOOKUP(Table7[[#This Row],[Date]],Database!$A:$C,MATCH($C$1,Database!$A$1:$C$1,),)=0,#N/A,VLOOKUP(Table7[[#This Row],[Date]],Database!$A:$C,MATCH($C$1,Database!$A$1:$C$1,),))</f>
        <v/>
      </c>
      <c r="D7697">
        <f>IFERROR(Table7[[#This Row],[United States 10y]]-Table7[[#This Row],[United States 3y]],#N/A)</f>
        <v/>
      </c>
    </row>
    <row r="7698">
      <c r="A7698" s="6">
        <f>Database!$A9783</f>
        <v/>
      </c>
      <c r="B7698">
        <f>IF(VLOOKUP(Table7[[#This Row],[Date]],Database!$A:$C,MATCH($B$1,Database!$A$1:$C$1,),)=0,#N/A,VLOOKUP(Table7[[#This Row],[Date]],Database!$A:$C,MATCH($B$1,Database!$A$1:$C$1,),))</f>
        <v/>
      </c>
      <c r="C7698">
        <f>IF(VLOOKUP(Table7[[#This Row],[Date]],Database!$A:$C,MATCH($C$1,Database!$A$1:$C$1,),)=0,#N/A,VLOOKUP(Table7[[#This Row],[Date]],Database!$A:$C,MATCH($C$1,Database!$A$1:$C$1,),))</f>
        <v/>
      </c>
      <c r="D7698">
        <f>IFERROR(Table7[[#This Row],[United States 10y]]-Table7[[#This Row],[United States 3y]],#N/A)</f>
        <v/>
      </c>
    </row>
    <row r="7699">
      <c r="A7699" s="6">
        <f>Database!$A9784</f>
        <v/>
      </c>
      <c r="B7699">
        <f>IF(VLOOKUP(Table7[[#This Row],[Date]],Database!$A:$C,MATCH($B$1,Database!$A$1:$C$1,),)=0,#N/A,VLOOKUP(Table7[[#This Row],[Date]],Database!$A:$C,MATCH($B$1,Database!$A$1:$C$1,),))</f>
        <v/>
      </c>
      <c r="C7699">
        <f>IF(VLOOKUP(Table7[[#This Row],[Date]],Database!$A:$C,MATCH($C$1,Database!$A$1:$C$1,),)=0,#N/A,VLOOKUP(Table7[[#This Row],[Date]],Database!$A:$C,MATCH($C$1,Database!$A$1:$C$1,),))</f>
        <v/>
      </c>
      <c r="D7699">
        <f>IFERROR(Table7[[#This Row],[United States 10y]]-Table7[[#This Row],[United States 3y]],#N/A)</f>
        <v/>
      </c>
    </row>
    <row r="7700">
      <c r="A7700" s="6">
        <f>Database!$A9785</f>
        <v/>
      </c>
      <c r="B7700">
        <f>IF(VLOOKUP(Table7[[#This Row],[Date]],Database!$A:$C,MATCH($B$1,Database!$A$1:$C$1,),)=0,#N/A,VLOOKUP(Table7[[#This Row],[Date]],Database!$A:$C,MATCH($B$1,Database!$A$1:$C$1,),))</f>
        <v/>
      </c>
      <c r="C7700">
        <f>IF(VLOOKUP(Table7[[#This Row],[Date]],Database!$A:$C,MATCH($C$1,Database!$A$1:$C$1,),)=0,#N/A,VLOOKUP(Table7[[#This Row],[Date]],Database!$A:$C,MATCH($C$1,Database!$A$1:$C$1,),))</f>
        <v/>
      </c>
      <c r="D7700">
        <f>IFERROR(Table7[[#This Row],[United States 10y]]-Table7[[#This Row],[United States 3y]],#N/A)</f>
        <v/>
      </c>
    </row>
    <row r="7701">
      <c r="A7701" s="6">
        <f>Database!$A9786</f>
        <v/>
      </c>
      <c r="B7701">
        <f>IF(VLOOKUP(Table7[[#This Row],[Date]],Database!$A:$C,MATCH($B$1,Database!$A$1:$C$1,),)=0,#N/A,VLOOKUP(Table7[[#This Row],[Date]],Database!$A:$C,MATCH($B$1,Database!$A$1:$C$1,),))</f>
        <v/>
      </c>
      <c r="C7701">
        <f>IF(VLOOKUP(Table7[[#This Row],[Date]],Database!$A:$C,MATCH($C$1,Database!$A$1:$C$1,),)=0,#N/A,VLOOKUP(Table7[[#This Row],[Date]],Database!$A:$C,MATCH($C$1,Database!$A$1:$C$1,),))</f>
        <v/>
      </c>
      <c r="D7701">
        <f>IFERROR(Table7[[#This Row],[United States 10y]]-Table7[[#This Row],[United States 3y]],#N/A)</f>
        <v/>
      </c>
    </row>
    <row r="7702">
      <c r="A7702" s="6">
        <f>Database!$A9787</f>
        <v/>
      </c>
      <c r="B7702">
        <f>IF(VLOOKUP(Table7[[#This Row],[Date]],Database!$A:$C,MATCH($B$1,Database!$A$1:$C$1,),)=0,#N/A,VLOOKUP(Table7[[#This Row],[Date]],Database!$A:$C,MATCH($B$1,Database!$A$1:$C$1,),))</f>
        <v/>
      </c>
      <c r="C7702">
        <f>IF(VLOOKUP(Table7[[#This Row],[Date]],Database!$A:$C,MATCH($C$1,Database!$A$1:$C$1,),)=0,#N/A,VLOOKUP(Table7[[#This Row],[Date]],Database!$A:$C,MATCH($C$1,Database!$A$1:$C$1,),))</f>
        <v/>
      </c>
      <c r="D7702">
        <f>IFERROR(Table7[[#This Row],[United States 10y]]-Table7[[#This Row],[United States 3y]],#N/A)</f>
        <v/>
      </c>
    </row>
    <row r="7703">
      <c r="A7703" s="6">
        <f>Database!$A9788</f>
        <v/>
      </c>
      <c r="B7703">
        <f>IF(VLOOKUP(Table7[[#This Row],[Date]],Database!$A:$C,MATCH($B$1,Database!$A$1:$C$1,),)=0,#N/A,VLOOKUP(Table7[[#This Row],[Date]],Database!$A:$C,MATCH($B$1,Database!$A$1:$C$1,),))</f>
        <v/>
      </c>
      <c r="C7703">
        <f>IF(VLOOKUP(Table7[[#This Row],[Date]],Database!$A:$C,MATCH($C$1,Database!$A$1:$C$1,),)=0,#N/A,VLOOKUP(Table7[[#This Row],[Date]],Database!$A:$C,MATCH($C$1,Database!$A$1:$C$1,),))</f>
        <v/>
      </c>
      <c r="D7703">
        <f>IFERROR(Table7[[#This Row],[United States 10y]]-Table7[[#This Row],[United States 3y]],#N/A)</f>
        <v/>
      </c>
    </row>
    <row r="7704">
      <c r="A7704" s="6">
        <f>Database!$A9789</f>
        <v/>
      </c>
      <c r="B7704">
        <f>IF(VLOOKUP(Table7[[#This Row],[Date]],Database!$A:$C,MATCH($B$1,Database!$A$1:$C$1,),)=0,#N/A,VLOOKUP(Table7[[#This Row],[Date]],Database!$A:$C,MATCH($B$1,Database!$A$1:$C$1,),))</f>
        <v/>
      </c>
      <c r="C7704">
        <f>IF(VLOOKUP(Table7[[#This Row],[Date]],Database!$A:$C,MATCH($C$1,Database!$A$1:$C$1,),)=0,#N/A,VLOOKUP(Table7[[#This Row],[Date]],Database!$A:$C,MATCH($C$1,Database!$A$1:$C$1,),))</f>
        <v/>
      </c>
      <c r="D7704">
        <f>IFERROR(Table7[[#This Row],[United States 10y]]-Table7[[#This Row],[United States 3y]],#N/A)</f>
        <v/>
      </c>
    </row>
    <row r="7705">
      <c r="A7705" s="6">
        <f>Database!$A9790</f>
        <v/>
      </c>
      <c r="B7705">
        <f>IF(VLOOKUP(Table7[[#This Row],[Date]],Database!$A:$C,MATCH($B$1,Database!$A$1:$C$1,),)=0,#N/A,VLOOKUP(Table7[[#This Row],[Date]],Database!$A:$C,MATCH($B$1,Database!$A$1:$C$1,),))</f>
        <v/>
      </c>
      <c r="C7705">
        <f>IF(VLOOKUP(Table7[[#This Row],[Date]],Database!$A:$C,MATCH($C$1,Database!$A$1:$C$1,),)=0,#N/A,VLOOKUP(Table7[[#This Row],[Date]],Database!$A:$C,MATCH($C$1,Database!$A$1:$C$1,),))</f>
        <v/>
      </c>
      <c r="D7705">
        <f>IFERROR(Table7[[#This Row],[United States 10y]]-Table7[[#This Row],[United States 3y]],#N/A)</f>
        <v/>
      </c>
    </row>
    <row r="7706">
      <c r="A7706" s="6">
        <f>Database!$A9791</f>
        <v/>
      </c>
      <c r="B7706">
        <f>IF(VLOOKUP(Table7[[#This Row],[Date]],Database!$A:$C,MATCH($B$1,Database!$A$1:$C$1,),)=0,#N/A,VLOOKUP(Table7[[#This Row],[Date]],Database!$A:$C,MATCH($B$1,Database!$A$1:$C$1,),))</f>
        <v/>
      </c>
      <c r="C7706">
        <f>IF(VLOOKUP(Table7[[#This Row],[Date]],Database!$A:$C,MATCH($C$1,Database!$A$1:$C$1,),)=0,#N/A,VLOOKUP(Table7[[#This Row],[Date]],Database!$A:$C,MATCH($C$1,Database!$A$1:$C$1,),))</f>
        <v/>
      </c>
      <c r="D7706">
        <f>IFERROR(Table7[[#This Row],[United States 10y]]-Table7[[#This Row],[United States 3y]],#N/A)</f>
        <v/>
      </c>
    </row>
    <row r="7707">
      <c r="A7707" s="6">
        <f>Database!$A9792</f>
        <v/>
      </c>
      <c r="B7707">
        <f>IF(VLOOKUP(Table7[[#This Row],[Date]],Database!$A:$C,MATCH($B$1,Database!$A$1:$C$1,),)=0,#N/A,VLOOKUP(Table7[[#This Row],[Date]],Database!$A:$C,MATCH($B$1,Database!$A$1:$C$1,),))</f>
        <v/>
      </c>
      <c r="C7707">
        <f>IF(VLOOKUP(Table7[[#This Row],[Date]],Database!$A:$C,MATCH($C$1,Database!$A$1:$C$1,),)=0,#N/A,VLOOKUP(Table7[[#This Row],[Date]],Database!$A:$C,MATCH($C$1,Database!$A$1:$C$1,),))</f>
        <v/>
      </c>
      <c r="D7707">
        <f>IFERROR(Table7[[#This Row],[United States 10y]]-Table7[[#This Row],[United States 3y]],#N/A)</f>
        <v/>
      </c>
    </row>
    <row r="7708">
      <c r="A7708" s="6">
        <f>Database!$A9793</f>
        <v/>
      </c>
      <c r="B7708">
        <f>IF(VLOOKUP(Table7[[#This Row],[Date]],Database!$A:$C,MATCH($B$1,Database!$A$1:$C$1,),)=0,#N/A,VLOOKUP(Table7[[#This Row],[Date]],Database!$A:$C,MATCH($B$1,Database!$A$1:$C$1,),))</f>
        <v/>
      </c>
      <c r="C7708">
        <f>IF(VLOOKUP(Table7[[#This Row],[Date]],Database!$A:$C,MATCH($C$1,Database!$A$1:$C$1,),)=0,#N/A,VLOOKUP(Table7[[#This Row],[Date]],Database!$A:$C,MATCH($C$1,Database!$A$1:$C$1,),))</f>
        <v/>
      </c>
      <c r="D7708">
        <f>IFERROR(Table7[[#This Row],[United States 10y]]-Table7[[#This Row],[United States 3y]],#N/A)</f>
        <v/>
      </c>
    </row>
    <row r="7709">
      <c r="A7709" s="6">
        <f>Database!$A9794</f>
        <v/>
      </c>
      <c r="B7709">
        <f>IF(VLOOKUP(Table7[[#This Row],[Date]],Database!$A:$C,MATCH($B$1,Database!$A$1:$C$1,),)=0,#N/A,VLOOKUP(Table7[[#This Row],[Date]],Database!$A:$C,MATCH($B$1,Database!$A$1:$C$1,),))</f>
        <v/>
      </c>
      <c r="C7709">
        <f>IF(VLOOKUP(Table7[[#This Row],[Date]],Database!$A:$C,MATCH($C$1,Database!$A$1:$C$1,),)=0,#N/A,VLOOKUP(Table7[[#This Row],[Date]],Database!$A:$C,MATCH($C$1,Database!$A$1:$C$1,),))</f>
        <v/>
      </c>
      <c r="D7709">
        <f>IFERROR(Table7[[#This Row],[United States 10y]]-Table7[[#This Row],[United States 3y]],#N/A)</f>
        <v/>
      </c>
    </row>
    <row r="7710">
      <c r="A7710" s="6">
        <f>Database!$A9795</f>
        <v/>
      </c>
      <c r="B7710">
        <f>IF(VLOOKUP(Table7[[#This Row],[Date]],Database!$A:$C,MATCH($B$1,Database!$A$1:$C$1,),)=0,#N/A,VLOOKUP(Table7[[#This Row],[Date]],Database!$A:$C,MATCH($B$1,Database!$A$1:$C$1,),))</f>
        <v/>
      </c>
      <c r="C7710">
        <f>IF(VLOOKUP(Table7[[#This Row],[Date]],Database!$A:$C,MATCH($C$1,Database!$A$1:$C$1,),)=0,#N/A,VLOOKUP(Table7[[#This Row],[Date]],Database!$A:$C,MATCH($C$1,Database!$A$1:$C$1,),))</f>
        <v/>
      </c>
      <c r="D7710">
        <f>IFERROR(Table7[[#This Row],[United States 10y]]-Table7[[#This Row],[United States 3y]],#N/A)</f>
        <v/>
      </c>
    </row>
    <row r="7711">
      <c r="A7711" s="6">
        <f>Database!$A9796</f>
        <v/>
      </c>
      <c r="B7711">
        <f>IF(VLOOKUP(Table7[[#This Row],[Date]],Database!$A:$C,MATCH($B$1,Database!$A$1:$C$1,),)=0,#N/A,VLOOKUP(Table7[[#This Row],[Date]],Database!$A:$C,MATCH($B$1,Database!$A$1:$C$1,),))</f>
        <v/>
      </c>
      <c r="C7711">
        <f>IF(VLOOKUP(Table7[[#This Row],[Date]],Database!$A:$C,MATCH($C$1,Database!$A$1:$C$1,),)=0,#N/A,VLOOKUP(Table7[[#This Row],[Date]],Database!$A:$C,MATCH($C$1,Database!$A$1:$C$1,),))</f>
        <v/>
      </c>
      <c r="D7711">
        <f>IFERROR(Table7[[#This Row],[United States 10y]]-Table7[[#This Row],[United States 3y]],#N/A)</f>
        <v/>
      </c>
    </row>
    <row r="7712">
      <c r="A7712" s="6">
        <f>Database!$A9797</f>
        <v/>
      </c>
      <c r="B7712">
        <f>IF(VLOOKUP(Table7[[#This Row],[Date]],Database!$A:$C,MATCH($B$1,Database!$A$1:$C$1,),)=0,#N/A,VLOOKUP(Table7[[#This Row],[Date]],Database!$A:$C,MATCH($B$1,Database!$A$1:$C$1,),))</f>
        <v/>
      </c>
      <c r="C7712">
        <f>IF(VLOOKUP(Table7[[#This Row],[Date]],Database!$A:$C,MATCH($C$1,Database!$A$1:$C$1,),)=0,#N/A,VLOOKUP(Table7[[#This Row],[Date]],Database!$A:$C,MATCH($C$1,Database!$A$1:$C$1,),))</f>
        <v/>
      </c>
      <c r="D7712">
        <f>IFERROR(Table7[[#This Row],[United States 10y]]-Table7[[#This Row],[United States 3y]],#N/A)</f>
        <v/>
      </c>
    </row>
    <row r="7713">
      <c r="A7713" s="6">
        <f>Database!$A9798</f>
        <v/>
      </c>
      <c r="B7713">
        <f>IF(VLOOKUP(Table7[[#This Row],[Date]],Database!$A:$C,MATCH($B$1,Database!$A$1:$C$1,),)=0,#N/A,VLOOKUP(Table7[[#This Row],[Date]],Database!$A:$C,MATCH($B$1,Database!$A$1:$C$1,),))</f>
        <v/>
      </c>
      <c r="C7713">
        <f>IF(VLOOKUP(Table7[[#This Row],[Date]],Database!$A:$C,MATCH($C$1,Database!$A$1:$C$1,),)=0,#N/A,VLOOKUP(Table7[[#This Row],[Date]],Database!$A:$C,MATCH($C$1,Database!$A$1:$C$1,),))</f>
        <v/>
      </c>
      <c r="D7713">
        <f>IFERROR(Table7[[#This Row],[United States 10y]]-Table7[[#This Row],[United States 3y]],#N/A)</f>
        <v/>
      </c>
    </row>
    <row r="7714">
      <c r="A7714" s="6">
        <f>Database!$A9799</f>
        <v/>
      </c>
      <c r="B7714">
        <f>IF(VLOOKUP(Table7[[#This Row],[Date]],Database!$A:$C,MATCH($B$1,Database!$A$1:$C$1,),)=0,#N/A,VLOOKUP(Table7[[#This Row],[Date]],Database!$A:$C,MATCH($B$1,Database!$A$1:$C$1,),))</f>
        <v/>
      </c>
      <c r="C7714">
        <f>IF(VLOOKUP(Table7[[#This Row],[Date]],Database!$A:$C,MATCH($C$1,Database!$A$1:$C$1,),)=0,#N/A,VLOOKUP(Table7[[#This Row],[Date]],Database!$A:$C,MATCH($C$1,Database!$A$1:$C$1,),))</f>
        <v/>
      </c>
      <c r="D7714">
        <f>IFERROR(Table7[[#This Row],[United States 10y]]-Table7[[#This Row],[United States 3y]],#N/A)</f>
        <v/>
      </c>
    </row>
    <row r="7715">
      <c r="A7715" s="6">
        <f>Database!$A9800</f>
        <v/>
      </c>
      <c r="B7715">
        <f>IF(VLOOKUP(Table7[[#This Row],[Date]],Database!$A:$C,MATCH($B$1,Database!$A$1:$C$1,),)=0,#N/A,VLOOKUP(Table7[[#This Row],[Date]],Database!$A:$C,MATCH($B$1,Database!$A$1:$C$1,),))</f>
        <v/>
      </c>
      <c r="C7715">
        <f>IF(VLOOKUP(Table7[[#This Row],[Date]],Database!$A:$C,MATCH($C$1,Database!$A$1:$C$1,),)=0,#N/A,VLOOKUP(Table7[[#This Row],[Date]],Database!$A:$C,MATCH($C$1,Database!$A$1:$C$1,),))</f>
        <v/>
      </c>
      <c r="D7715">
        <f>IFERROR(Table7[[#This Row],[United States 10y]]-Table7[[#This Row],[United States 3y]],#N/A)</f>
        <v/>
      </c>
    </row>
    <row r="7716">
      <c r="A7716" s="6">
        <f>Database!$A9801</f>
        <v/>
      </c>
      <c r="B7716">
        <f>IF(VLOOKUP(Table7[[#This Row],[Date]],Database!$A:$C,MATCH($B$1,Database!$A$1:$C$1,),)=0,#N/A,VLOOKUP(Table7[[#This Row],[Date]],Database!$A:$C,MATCH($B$1,Database!$A$1:$C$1,),))</f>
        <v/>
      </c>
      <c r="C7716">
        <f>IF(VLOOKUP(Table7[[#This Row],[Date]],Database!$A:$C,MATCH($C$1,Database!$A$1:$C$1,),)=0,#N/A,VLOOKUP(Table7[[#This Row],[Date]],Database!$A:$C,MATCH($C$1,Database!$A$1:$C$1,),))</f>
        <v/>
      </c>
      <c r="D7716">
        <f>IFERROR(Table7[[#This Row],[United States 10y]]-Table7[[#This Row],[United States 3y]],#N/A)</f>
        <v/>
      </c>
    </row>
    <row r="7717">
      <c r="A7717" s="6">
        <f>Database!$A9802</f>
        <v/>
      </c>
      <c r="B7717">
        <f>IF(VLOOKUP(Table7[[#This Row],[Date]],Database!$A:$C,MATCH($B$1,Database!$A$1:$C$1,),)=0,#N/A,VLOOKUP(Table7[[#This Row],[Date]],Database!$A:$C,MATCH($B$1,Database!$A$1:$C$1,),))</f>
        <v/>
      </c>
      <c r="C7717">
        <f>IF(VLOOKUP(Table7[[#This Row],[Date]],Database!$A:$C,MATCH($C$1,Database!$A$1:$C$1,),)=0,#N/A,VLOOKUP(Table7[[#This Row],[Date]],Database!$A:$C,MATCH($C$1,Database!$A$1:$C$1,),))</f>
        <v/>
      </c>
      <c r="D7717">
        <f>IFERROR(Table7[[#This Row],[United States 10y]]-Table7[[#This Row],[United States 3y]],#N/A)</f>
        <v/>
      </c>
    </row>
    <row r="7718">
      <c r="A7718" s="6">
        <f>Database!$A9803</f>
        <v/>
      </c>
      <c r="B7718">
        <f>IF(VLOOKUP(Table7[[#This Row],[Date]],Database!$A:$C,MATCH($B$1,Database!$A$1:$C$1,),)=0,#N/A,VLOOKUP(Table7[[#This Row],[Date]],Database!$A:$C,MATCH($B$1,Database!$A$1:$C$1,),))</f>
        <v/>
      </c>
      <c r="C7718">
        <f>IF(VLOOKUP(Table7[[#This Row],[Date]],Database!$A:$C,MATCH($C$1,Database!$A$1:$C$1,),)=0,#N/A,VLOOKUP(Table7[[#This Row],[Date]],Database!$A:$C,MATCH($C$1,Database!$A$1:$C$1,),))</f>
        <v/>
      </c>
      <c r="D7718">
        <f>IFERROR(Table7[[#This Row],[United States 10y]]-Table7[[#This Row],[United States 3y]],#N/A)</f>
        <v/>
      </c>
    </row>
    <row r="7719">
      <c r="A7719" s="6">
        <f>Database!$A9804</f>
        <v/>
      </c>
      <c r="B7719">
        <f>IF(VLOOKUP(Table7[[#This Row],[Date]],Database!$A:$C,MATCH($B$1,Database!$A$1:$C$1,),)=0,#N/A,VLOOKUP(Table7[[#This Row],[Date]],Database!$A:$C,MATCH($B$1,Database!$A$1:$C$1,),))</f>
        <v/>
      </c>
      <c r="C7719">
        <f>IF(VLOOKUP(Table7[[#This Row],[Date]],Database!$A:$C,MATCH($C$1,Database!$A$1:$C$1,),)=0,#N/A,VLOOKUP(Table7[[#This Row],[Date]],Database!$A:$C,MATCH($C$1,Database!$A$1:$C$1,),))</f>
        <v/>
      </c>
      <c r="D7719">
        <f>IFERROR(Table7[[#This Row],[United States 10y]]-Table7[[#This Row],[United States 3y]],#N/A)</f>
        <v/>
      </c>
    </row>
    <row r="7720">
      <c r="A7720" s="6">
        <f>Database!$A9805</f>
        <v/>
      </c>
      <c r="B7720">
        <f>IF(VLOOKUP(Table7[[#This Row],[Date]],Database!$A:$C,MATCH($B$1,Database!$A$1:$C$1,),)=0,#N/A,VLOOKUP(Table7[[#This Row],[Date]],Database!$A:$C,MATCH($B$1,Database!$A$1:$C$1,),))</f>
        <v/>
      </c>
      <c r="C7720">
        <f>IF(VLOOKUP(Table7[[#This Row],[Date]],Database!$A:$C,MATCH($C$1,Database!$A$1:$C$1,),)=0,#N/A,VLOOKUP(Table7[[#This Row],[Date]],Database!$A:$C,MATCH($C$1,Database!$A$1:$C$1,),))</f>
        <v/>
      </c>
      <c r="D7720">
        <f>IFERROR(Table7[[#This Row],[United States 10y]]-Table7[[#This Row],[United States 3y]],#N/A)</f>
        <v/>
      </c>
    </row>
    <row r="7721">
      <c r="A7721" s="6">
        <f>Database!$A9806</f>
        <v/>
      </c>
      <c r="B7721">
        <f>IF(VLOOKUP(Table7[[#This Row],[Date]],Database!$A:$C,MATCH($B$1,Database!$A$1:$C$1,),)=0,#N/A,VLOOKUP(Table7[[#This Row],[Date]],Database!$A:$C,MATCH($B$1,Database!$A$1:$C$1,),))</f>
        <v/>
      </c>
      <c r="C7721">
        <f>IF(VLOOKUP(Table7[[#This Row],[Date]],Database!$A:$C,MATCH($C$1,Database!$A$1:$C$1,),)=0,#N/A,VLOOKUP(Table7[[#This Row],[Date]],Database!$A:$C,MATCH($C$1,Database!$A$1:$C$1,),))</f>
        <v/>
      </c>
      <c r="D7721">
        <f>IFERROR(Table7[[#This Row],[United States 10y]]-Table7[[#This Row],[United States 3y]],#N/A)</f>
        <v/>
      </c>
    </row>
    <row r="7722">
      <c r="A7722" s="6">
        <f>Database!$A9807</f>
        <v/>
      </c>
      <c r="B7722">
        <f>IF(VLOOKUP(Table7[[#This Row],[Date]],Database!$A:$C,MATCH($B$1,Database!$A$1:$C$1,),)=0,#N/A,VLOOKUP(Table7[[#This Row],[Date]],Database!$A:$C,MATCH($B$1,Database!$A$1:$C$1,),))</f>
        <v/>
      </c>
      <c r="C7722">
        <f>IF(VLOOKUP(Table7[[#This Row],[Date]],Database!$A:$C,MATCH($C$1,Database!$A$1:$C$1,),)=0,#N/A,VLOOKUP(Table7[[#This Row],[Date]],Database!$A:$C,MATCH($C$1,Database!$A$1:$C$1,),))</f>
        <v/>
      </c>
      <c r="D7722">
        <f>IFERROR(Table7[[#This Row],[United States 10y]]-Table7[[#This Row],[United States 3y]],#N/A)</f>
        <v/>
      </c>
    </row>
    <row r="7723">
      <c r="A7723" s="6">
        <f>Database!$A9808</f>
        <v/>
      </c>
      <c r="B7723">
        <f>IF(VLOOKUP(Table7[[#This Row],[Date]],Database!$A:$C,MATCH($B$1,Database!$A$1:$C$1,),)=0,#N/A,VLOOKUP(Table7[[#This Row],[Date]],Database!$A:$C,MATCH($B$1,Database!$A$1:$C$1,),))</f>
        <v/>
      </c>
      <c r="C7723">
        <f>IF(VLOOKUP(Table7[[#This Row],[Date]],Database!$A:$C,MATCH($C$1,Database!$A$1:$C$1,),)=0,#N/A,VLOOKUP(Table7[[#This Row],[Date]],Database!$A:$C,MATCH($C$1,Database!$A$1:$C$1,),))</f>
        <v/>
      </c>
      <c r="D7723">
        <f>IFERROR(Table7[[#This Row],[United States 10y]]-Table7[[#This Row],[United States 3y]],#N/A)</f>
        <v/>
      </c>
    </row>
    <row r="7724">
      <c r="A7724" s="6">
        <f>Database!$A9809</f>
        <v/>
      </c>
      <c r="B7724">
        <f>IF(VLOOKUP(Table7[[#This Row],[Date]],Database!$A:$C,MATCH($B$1,Database!$A$1:$C$1,),)=0,#N/A,VLOOKUP(Table7[[#This Row],[Date]],Database!$A:$C,MATCH($B$1,Database!$A$1:$C$1,),))</f>
        <v/>
      </c>
      <c r="C7724">
        <f>IF(VLOOKUP(Table7[[#This Row],[Date]],Database!$A:$C,MATCH($C$1,Database!$A$1:$C$1,),)=0,#N/A,VLOOKUP(Table7[[#This Row],[Date]],Database!$A:$C,MATCH($C$1,Database!$A$1:$C$1,),))</f>
        <v/>
      </c>
      <c r="D7724">
        <f>IFERROR(Table7[[#This Row],[United States 10y]]-Table7[[#This Row],[United States 3y]],#N/A)</f>
        <v/>
      </c>
    </row>
    <row r="7725">
      <c r="A7725" s="6">
        <f>Database!$A9810</f>
        <v/>
      </c>
      <c r="B7725">
        <f>IF(VLOOKUP(Table7[[#This Row],[Date]],Database!$A:$C,MATCH($B$1,Database!$A$1:$C$1,),)=0,#N/A,VLOOKUP(Table7[[#This Row],[Date]],Database!$A:$C,MATCH($B$1,Database!$A$1:$C$1,),))</f>
        <v/>
      </c>
      <c r="C7725">
        <f>IF(VLOOKUP(Table7[[#This Row],[Date]],Database!$A:$C,MATCH($C$1,Database!$A$1:$C$1,),)=0,#N/A,VLOOKUP(Table7[[#This Row],[Date]],Database!$A:$C,MATCH($C$1,Database!$A$1:$C$1,),))</f>
        <v/>
      </c>
      <c r="D7725">
        <f>IFERROR(Table7[[#This Row],[United States 10y]]-Table7[[#This Row],[United States 3y]],#N/A)</f>
        <v/>
      </c>
    </row>
    <row r="7726">
      <c r="A7726" s="6">
        <f>Database!$A9811</f>
        <v/>
      </c>
      <c r="B7726">
        <f>IF(VLOOKUP(Table7[[#This Row],[Date]],Database!$A:$C,MATCH($B$1,Database!$A$1:$C$1,),)=0,#N/A,VLOOKUP(Table7[[#This Row],[Date]],Database!$A:$C,MATCH($B$1,Database!$A$1:$C$1,),))</f>
        <v/>
      </c>
      <c r="C7726">
        <f>IF(VLOOKUP(Table7[[#This Row],[Date]],Database!$A:$C,MATCH($C$1,Database!$A$1:$C$1,),)=0,#N/A,VLOOKUP(Table7[[#This Row],[Date]],Database!$A:$C,MATCH($C$1,Database!$A$1:$C$1,),))</f>
        <v/>
      </c>
      <c r="D7726">
        <f>IFERROR(Table7[[#This Row],[United States 10y]]-Table7[[#This Row],[United States 3y]],#N/A)</f>
        <v/>
      </c>
    </row>
    <row r="7727">
      <c r="A7727" s="6">
        <f>Database!$A9812</f>
        <v/>
      </c>
      <c r="B7727">
        <f>IF(VLOOKUP(Table7[[#This Row],[Date]],Database!$A:$C,MATCH($B$1,Database!$A$1:$C$1,),)=0,#N/A,VLOOKUP(Table7[[#This Row],[Date]],Database!$A:$C,MATCH($B$1,Database!$A$1:$C$1,),))</f>
        <v/>
      </c>
      <c r="C7727">
        <f>IF(VLOOKUP(Table7[[#This Row],[Date]],Database!$A:$C,MATCH($C$1,Database!$A$1:$C$1,),)=0,#N/A,VLOOKUP(Table7[[#This Row],[Date]],Database!$A:$C,MATCH($C$1,Database!$A$1:$C$1,),))</f>
        <v/>
      </c>
      <c r="D7727">
        <f>IFERROR(Table7[[#This Row],[United States 10y]]-Table7[[#This Row],[United States 3y]],#N/A)</f>
        <v/>
      </c>
    </row>
    <row r="7728">
      <c r="A7728" s="6">
        <f>Database!$A9813</f>
        <v/>
      </c>
      <c r="B7728">
        <f>IF(VLOOKUP(Table7[[#This Row],[Date]],Database!$A:$C,MATCH($B$1,Database!$A$1:$C$1,),)=0,#N/A,VLOOKUP(Table7[[#This Row],[Date]],Database!$A:$C,MATCH($B$1,Database!$A$1:$C$1,),))</f>
        <v/>
      </c>
      <c r="C7728">
        <f>IF(VLOOKUP(Table7[[#This Row],[Date]],Database!$A:$C,MATCH($C$1,Database!$A$1:$C$1,),)=0,#N/A,VLOOKUP(Table7[[#This Row],[Date]],Database!$A:$C,MATCH($C$1,Database!$A$1:$C$1,),))</f>
        <v/>
      </c>
      <c r="D7728">
        <f>IFERROR(Table7[[#This Row],[United States 10y]]-Table7[[#This Row],[United States 3y]],#N/A)</f>
        <v/>
      </c>
    </row>
    <row r="7729">
      <c r="A7729" s="6">
        <f>Database!$A9814</f>
        <v/>
      </c>
      <c r="B7729">
        <f>IF(VLOOKUP(Table7[[#This Row],[Date]],Database!$A:$C,MATCH($B$1,Database!$A$1:$C$1,),)=0,#N/A,VLOOKUP(Table7[[#This Row],[Date]],Database!$A:$C,MATCH($B$1,Database!$A$1:$C$1,),))</f>
        <v/>
      </c>
      <c r="C7729">
        <f>IF(VLOOKUP(Table7[[#This Row],[Date]],Database!$A:$C,MATCH($C$1,Database!$A$1:$C$1,),)=0,#N/A,VLOOKUP(Table7[[#This Row],[Date]],Database!$A:$C,MATCH($C$1,Database!$A$1:$C$1,),))</f>
        <v/>
      </c>
      <c r="D7729">
        <f>IFERROR(Table7[[#This Row],[United States 10y]]-Table7[[#This Row],[United States 3y]],#N/A)</f>
        <v/>
      </c>
    </row>
    <row r="7730">
      <c r="A7730" s="6">
        <f>Database!$A9815</f>
        <v/>
      </c>
      <c r="B7730">
        <f>IF(VLOOKUP(Table7[[#This Row],[Date]],Database!$A:$C,MATCH($B$1,Database!$A$1:$C$1,),)=0,#N/A,VLOOKUP(Table7[[#This Row],[Date]],Database!$A:$C,MATCH($B$1,Database!$A$1:$C$1,),))</f>
        <v/>
      </c>
      <c r="C7730">
        <f>IF(VLOOKUP(Table7[[#This Row],[Date]],Database!$A:$C,MATCH($C$1,Database!$A$1:$C$1,),)=0,#N/A,VLOOKUP(Table7[[#This Row],[Date]],Database!$A:$C,MATCH($C$1,Database!$A$1:$C$1,),))</f>
        <v/>
      </c>
      <c r="D7730">
        <f>IFERROR(Table7[[#This Row],[United States 10y]]-Table7[[#This Row],[United States 3y]],#N/A)</f>
        <v/>
      </c>
    </row>
    <row r="7731">
      <c r="A7731" s="6">
        <f>Database!$A9816</f>
        <v/>
      </c>
      <c r="B7731">
        <f>IF(VLOOKUP(Table7[[#This Row],[Date]],Database!$A:$C,MATCH($B$1,Database!$A$1:$C$1,),)=0,#N/A,VLOOKUP(Table7[[#This Row],[Date]],Database!$A:$C,MATCH($B$1,Database!$A$1:$C$1,),))</f>
        <v/>
      </c>
      <c r="C7731">
        <f>IF(VLOOKUP(Table7[[#This Row],[Date]],Database!$A:$C,MATCH($C$1,Database!$A$1:$C$1,),)=0,#N/A,VLOOKUP(Table7[[#This Row],[Date]],Database!$A:$C,MATCH($C$1,Database!$A$1:$C$1,),))</f>
        <v/>
      </c>
      <c r="D7731">
        <f>IFERROR(Table7[[#This Row],[United States 10y]]-Table7[[#This Row],[United States 3y]],#N/A)</f>
        <v/>
      </c>
    </row>
    <row r="7732">
      <c r="A7732" s="6">
        <f>Database!$A9817</f>
        <v/>
      </c>
      <c r="B7732">
        <f>IF(VLOOKUP(Table7[[#This Row],[Date]],Database!$A:$C,MATCH($B$1,Database!$A$1:$C$1,),)=0,#N/A,VLOOKUP(Table7[[#This Row],[Date]],Database!$A:$C,MATCH($B$1,Database!$A$1:$C$1,),))</f>
        <v/>
      </c>
      <c r="C7732">
        <f>IF(VLOOKUP(Table7[[#This Row],[Date]],Database!$A:$C,MATCH($C$1,Database!$A$1:$C$1,),)=0,#N/A,VLOOKUP(Table7[[#This Row],[Date]],Database!$A:$C,MATCH($C$1,Database!$A$1:$C$1,),))</f>
        <v/>
      </c>
      <c r="D7732">
        <f>IFERROR(Table7[[#This Row],[United States 10y]]-Table7[[#This Row],[United States 3y]],#N/A)</f>
        <v/>
      </c>
    </row>
    <row r="7733">
      <c r="A7733" s="6">
        <f>Database!$A9818</f>
        <v/>
      </c>
      <c r="B7733">
        <f>IF(VLOOKUP(Table7[[#This Row],[Date]],Database!$A:$C,MATCH($B$1,Database!$A$1:$C$1,),)=0,#N/A,VLOOKUP(Table7[[#This Row],[Date]],Database!$A:$C,MATCH($B$1,Database!$A$1:$C$1,),))</f>
        <v/>
      </c>
      <c r="C7733">
        <f>IF(VLOOKUP(Table7[[#This Row],[Date]],Database!$A:$C,MATCH($C$1,Database!$A$1:$C$1,),)=0,#N/A,VLOOKUP(Table7[[#This Row],[Date]],Database!$A:$C,MATCH($C$1,Database!$A$1:$C$1,),))</f>
        <v/>
      </c>
      <c r="D7733">
        <f>IFERROR(Table7[[#This Row],[United States 10y]]-Table7[[#This Row],[United States 3y]],#N/A)</f>
        <v/>
      </c>
    </row>
    <row r="7734">
      <c r="A7734" s="6">
        <f>Database!$A9819</f>
        <v/>
      </c>
      <c r="B7734">
        <f>IF(VLOOKUP(Table7[[#This Row],[Date]],Database!$A:$C,MATCH($B$1,Database!$A$1:$C$1,),)=0,#N/A,VLOOKUP(Table7[[#This Row],[Date]],Database!$A:$C,MATCH($B$1,Database!$A$1:$C$1,),))</f>
        <v/>
      </c>
      <c r="C7734">
        <f>IF(VLOOKUP(Table7[[#This Row],[Date]],Database!$A:$C,MATCH($C$1,Database!$A$1:$C$1,),)=0,#N/A,VLOOKUP(Table7[[#This Row],[Date]],Database!$A:$C,MATCH($C$1,Database!$A$1:$C$1,),))</f>
        <v/>
      </c>
      <c r="D7734">
        <f>IFERROR(Table7[[#This Row],[United States 10y]]-Table7[[#This Row],[United States 3y]],#N/A)</f>
        <v/>
      </c>
    </row>
    <row r="7735">
      <c r="A7735" s="6">
        <f>Database!$A9820</f>
        <v/>
      </c>
      <c r="B7735">
        <f>IF(VLOOKUP(Table7[[#This Row],[Date]],Database!$A:$C,MATCH($B$1,Database!$A$1:$C$1,),)=0,#N/A,VLOOKUP(Table7[[#This Row],[Date]],Database!$A:$C,MATCH($B$1,Database!$A$1:$C$1,),))</f>
        <v/>
      </c>
      <c r="C7735">
        <f>IF(VLOOKUP(Table7[[#This Row],[Date]],Database!$A:$C,MATCH($C$1,Database!$A$1:$C$1,),)=0,#N/A,VLOOKUP(Table7[[#This Row],[Date]],Database!$A:$C,MATCH($C$1,Database!$A$1:$C$1,),))</f>
        <v/>
      </c>
      <c r="D7735">
        <f>IFERROR(Table7[[#This Row],[United States 10y]]-Table7[[#This Row],[United States 3y]],#N/A)</f>
        <v/>
      </c>
    </row>
    <row r="7736">
      <c r="A7736" s="6">
        <f>Database!$A9821</f>
        <v/>
      </c>
      <c r="B7736">
        <f>IF(VLOOKUP(Table7[[#This Row],[Date]],Database!$A:$C,MATCH($B$1,Database!$A$1:$C$1,),)=0,#N/A,VLOOKUP(Table7[[#This Row],[Date]],Database!$A:$C,MATCH($B$1,Database!$A$1:$C$1,),))</f>
        <v/>
      </c>
      <c r="C7736">
        <f>IF(VLOOKUP(Table7[[#This Row],[Date]],Database!$A:$C,MATCH($C$1,Database!$A$1:$C$1,),)=0,#N/A,VLOOKUP(Table7[[#This Row],[Date]],Database!$A:$C,MATCH($C$1,Database!$A$1:$C$1,),))</f>
        <v/>
      </c>
      <c r="D7736">
        <f>IFERROR(Table7[[#This Row],[United States 10y]]-Table7[[#This Row],[United States 3y]],#N/A)</f>
        <v/>
      </c>
    </row>
    <row r="7737">
      <c r="A7737" s="6">
        <f>Database!$A9822</f>
        <v/>
      </c>
      <c r="B7737">
        <f>IF(VLOOKUP(Table7[[#This Row],[Date]],Database!$A:$C,MATCH($B$1,Database!$A$1:$C$1,),)=0,#N/A,VLOOKUP(Table7[[#This Row],[Date]],Database!$A:$C,MATCH($B$1,Database!$A$1:$C$1,),))</f>
        <v/>
      </c>
      <c r="C7737">
        <f>IF(VLOOKUP(Table7[[#This Row],[Date]],Database!$A:$C,MATCH($C$1,Database!$A$1:$C$1,),)=0,#N/A,VLOOKUP(Table7[[#This Row],[Date]],Database!$A:$C,MATCH($C$1,Database!$A$1:$C$1,),))</f>
        <v/>
      </c>
      <c r="D7737">
        <f>IFERROR(Table7[[#This Row],[United States 10y]]-Table7[[#This Row],[United States 3y]],#N/A)</f>
        <v/>
      </c>
    </row>
    <row r="7738">
      <c r="A7738" s="6">
        <f>Database!$A9823</f>
        <v/>
      </c>
      <c r="B7738">
        <f>IF(VLOOKUP(Table7[[#This Row],[Date]],Database!$A:$C,MATCH($B$1,Database!$A$1:$C$1,),)=0,#N/A,VLOOKUP(Table7[[#This Row],[Date]],Database!$A:$C,MATCH($B$1,Database!$A$1:$C$1,),))</f>
        <v/>
      </c>
      <c r="C7738">
        <f>IF(VLOOKUP(Table7[[#This Row],[Date]],Database!$A:$C,MATCH($C$1,Database!$A$1:$C$1,),)=0,#N/A,VLOOKUP(Table7[[#This Row],[Date]],Database!$A:$C,MATCH($C$1,Database!$A$1:$C$1,),))</f>
        <v/>
      </c>
      <c r="D7738">
        <f>IFERROR(Table7[[#This Row],[United States 10y]]-Table7[[#This Row],[United States 3y]],#N/A)</f>
        <v/>
      </c>
    </row>
    <row r="7739">
      <c r="A7739" s="6">
        <f>Database!$A9824</f>
        <v/>
      </c>
      <c r="B7739">
        <f>IF(VLOOKUP(Table7[[#This Row],[Date]],Database!$A:$C,MATCH($B$1,Database!$A$1:$C$1,),)=0,#N/A,VLOOKUP(Table7[[#This Row],[Date]],Database!$A:$C,MATCH($B$1,Database!$A$1:$C$1,),))</f>
        <v/>
      </c>
      <c r="C7739">
        <f>IF(VLOOKUP(Table7[[#This Row],[Date]],Database!$A:$C,MATCH($C$1,Database!$A$1:$C$1,),)=0,#N/A,VLOOKUP(Table7[[#This Row],[Date]],Database!$A:$C,MATCH($C$1,Database!$A$1:$C$1,),))</f>
        <v/>
      </c>
      <c r="D7739">
        <f>IFERROR(Table7[[#This Row],[United States 10y]]-Table7[[#This Row],[United States 3y]],#N/A)</f>
        <v/>
      </c>
    </row>
    <row r="7740">
      <c r="A7740" s="6">
        <f>Database!$A9825</f>
        <v/>
      </c>
      <c r="B7740">
        <f>IF(VLOOKUP(Table7[[#This Row],[Date]],Database!$A:$C,MATCH($B$1,Database!$A$1:$C$1,),)=0,#N/A,VLOOKUP(Table7[[#This Row],[Date]],Database!$A:$C,MATCH($B$1,Database!$A$1:$C$1,),))</f>
        <v/>
      </c>
      <c r="C7740">
        <f>IF(VLOOKUP(Table7[[#This Row],[Date]],Database!$A:$C,MATCH($C$1,Database!$A$1:$C$1,),)=0,#N/A,VLOOKUP(Table7[[#This Row],[Date]],Database!$A:$C,MATCH($C$1,Database!$A$1:$C$1,),))</f>
        <v/>
      </c>
      <c r="D7740">
        <f>IFERROR(Table7[[#This Row],[United States 10y]]-Table7[[#This Row],[United States 3y]],#N/A)</f>
        <v/>
      </c>
    </row>
    <row r="7741">
      <c r="A7741" s="6">
        <f>Database!$A9826</f>
        <v/>
      </c>
      <c r="B7741">
        <f>IF(VLOOKUP(Table7[[#This Row],[Date]],Database!$A:$C,MATCH($B$1,Database!$A$1:$C$1,),)=0,#N/A,VLOOKUP(Table7[[#This Row],[Date]],Database!$A:$C,MATCH($B$1,Database!$A$1:$C$1,),))</f>
        <v/>
      </c>
      <c r="C7741">
        <f>IF(VLOOKUP(Table7[[#This Row],[Date]],Database!$A:$C,MATCH($C$1,Database!$A$1:$C$1,),)=0,#N/A,VLOOKUP(Table7[[#This Row],[Date]],Database!$A:$C,MATCH($C$1,Database!$A$1:$C$1,),))</f>
        <v/>
      </c>
      <c r="D7741">
        <f>IFERROR(Table7[[#This Row],[United States 10y]]-Table7[[#This Row],[United States 3y]],#N/A)</f>
        <v/>
      </c>
    </row>
    <row r="7742">
      <c r="A7742" s="6">
        <f>Database!$A9827</f>
        <v/>
      </c>
      <c r="B7742">
        <f>IF(VLOOKUP(Table7[[#This Row],[Date]],Database!$A:$C,MATCH($B$1,Database!$A$1:$C$1,),)=0,#N/A,VLOOKUP(Table7[[#This Row],[Date]],Database!$A:$C,MATCH($B$1,Database!$A$1:$C$1,),))</f>
        <v/>
      </c>
      <c r="C7742">
        <f>IF(VLOOKUP(Table7[[#This Row],[Date]],Database!$A:$C,MATCH($C$1,Database!$A$1:$C$1,),)=0,#N/A,VLOOKUP(Table7[[#This Row],[Date]],Database!$A:$C,MATCH($C$1,Database!$A$1:$C$1,),))</f>
        <v/>
      </c>
      <c r="D7742">
        <f>IFERROR(Table7[[#This Row],[United States 10y]]-Table7[[#This Row],[United States 3y]],#N/A)</f>
        <v/>
      </c>
    </row>
    <row r="7743">
      <c r="A7743" s="6">
        <f>Database!$A9828</f>
        <v/>
      </c>
      <c r="B7743">
        <f>IF(VLOOKUP(Table7[[#This Row],[Date]],Database!$A:$C,MATCH($B$1,Database!$A$1:$C$1,),)=0,#N/A,VLOOKUP(Table7[[#This Row],[Date]],Database!$A:$C,MATCH($B$1,Database!$A$1:$C$1,),))</f>
        <v/>
      </c>
      <c r="C7743">
        <f>IF(VLOOKUP(Table7[[#This Row],[Date]],Database!$A:$C,MATCH($C$1,Database!$A$1:$C$1,),)=0,#N/A,VLOOKUP(Table7[[#This Row],[Date]],Database!$A:$C,MATCH($C$1,Database!$A$1:$C$1,),))</f>
        <v/>
      </c>
      <c r="D7743">
        <f>IFERROR(Table7[[#This Row],[United States 10y]]-Table7[[#This Row],[United States 3y]],#N/A)</f>
        <v/>
      </c>
    </row>
    <row r="7744">
      <c r="A7744" s="6">
        <f>Database!$A9829</f>
        <v/>
      </c>
      <c r="B7744">
        <f>IF(VLOOKUP(Table7[[#This Row],[Date]],Database!$A:$C,MATCH($B$1,Database!$A$1:$C$1,),)=0,#N/A,VLOOKUP(Table7[[#This Row],[Date]],Database!$A:$C,MATCH($B$1,Database!$A$1:$C$1,),))</f>
        <v/>
      </c>
      <c r="C7744">
        <f>IF(VLOOKUP(Table7[[#This Row],[Date]],Database!$A:$C,MATCH($C$1,Database!$A$1:$C$1,),)=0,#N/A,VLOOKUP(Table7[[#This Row],[Date]],Database!$A:$C,MATCH($C$1,Database!$A$1:$C$1,),))</f>
        <v/>
      </c>
      <c r="D7744">
        <f>IFERROR(Table7[[#This Row],[United States 10y]]-Table7[[#This Row],[United States 3y]],#N/A)</f>
        <v/>
      </c>
    </row>
    <row r="7745">
      <c r="A7745" s="6">
        <f>Database!$A9830</f>
        <v/>
      </c>
      <c r="B7745">
        <f>IF(VLOOKUP(Table7[[#This Row],[Date]],Database!$A:$C,MATCH($B$1,Database!$A$1:$C$1,),)=0,#N/A,VLOOKUP(Table7[[#This Row],[Date]],Database!$A:$C,MATCH($B$1,Database!$A$1:$C$1,),))</f>
        <v/>
      </c>
      <c r="C7745">
        <f>IF(VLOOKUP(Table7[[#This Row],[Date]],Database!$A:$C,MATCH($C$1,Database!$A$1:$C$1,),)=0,#N/A,VLOOKUP(Table7[[#This Row],[Date]],Database!$A:$C,MATCH($C$1,Database!$A$1:$C$1,),))</f>
        <v/>
      </c>
      <c r="D7745">
        <f>IFERROR(Table7[[#This Row],[United States 10y]]-Table7[[#This Row],[United States 3y]],#N/A)</f>
        <v/>
      </c>
    </row>
    <row r="7746">
      <c r="A7746" s="6">
        <f>Database!$A9831</f>
        <v/>
      </c>
      <c r="B7746">
        <f>IF(VLOOKUP(Table7[[#This Row],[Date]],Database!$A:$C,MATCH($B$1,Database!$A$1:$C$1,),)=0,#N/A,VLOOKUP(Table7[[#This Row],[Date]],Database!$A:$C,MATCH($B$1,Database!$A$1:$C$1,),))</f>
        <v/>
      </c>
      <c r="C7746">
        <f>IF(VLOOKUP(Table7[[#This Row],[Date]],Database!$A:$C,MATCH($C$1,Database!$A$1:$C$1,),)=0,#N/A,VLOOKUP(Table7[[#This Row],[Date]],Database!$A:$C,MATCH($C$1,Database!$A$1:$C$1,),))</f>
        <v/>
      </c>
      <c r="D7746">
        <f>IFERROR(Table7[[#This Row],[United States 10y]]-Table7[[#This Row],[United States 3y]],#N/A)</f>
        <v/>
      </c>
    </row>
    <row r="7747">
      <c r="A7747" s="6">
        <f>Database!$A9832</f>
        <v/>
      </c>
      <c r="B7747">
        <f>IF(VLOOKUP(Table7[[#This Row],[Date]],Database!$A:$C,MATCH($B$1,Database!$A$1:$C$1,),)=0,#N/A,VLOOKUP(Table7[[#This Row],[Date]],Database!$A:$C,MATCH($B$1,Database!$A$1:$C$1,),))</f>
        <v/>
      </c>
      <c r="C7747">
        <f>IF(VLOOKUP(Table7[[#This Row],[Date]],Database!$A:$C,MATCH($C$1,Database!$A$1:$C$1,),)=0,#N/A,VLOOKUP(Table7[[#This Row],[Date]],Database!$A:$C,MATCH($C$1,Database!$A$1:$C$1,),))</f>
        <v/>
      </c>
      <c r="D7747">
        <f>IFERROR(Table7[[#This Row],[United States 10y]]-Table7[[#This Row],[United States 3y]],#N/A)</f>
        <v/>
      </c>
    </row>
    <row r="7748">
      <c r="A7748" s="6">
        <f>Database!$A9833</f>
        <v/>
      </c>
      <c r="B7748">
        <f>IF(VLOOKUP(Table7[[#This Row],[Date]],Database!$A:$C,MATCH($B$1,Database!$A$1:$C$1,),)=0,#N/A,VLOOKUP(Table7[[#This Row],[Date]],Database!$A:$C,MATCH($B$1,Database!$A$1:$C$1,),))</f>
        <v/>
      </c>
      <c r="C7748">
        <f>IF(VLOOKUP(Table7[[#This Row],[Date]],Database!$A:$C,MATCH($C$1,Database!$A$1:$C$1,),)=0,#N/A,VLOOKUP(Table7[[#This Row],[Date]],Database!$A:$C,MATCH($C$1,Database!$A$1:$C$1,),))</f>
        <v/>
      </c>
      <c r="D7748">
        <f>IFERROR(Table7[[#This Row],[United States 10y]]-Table7[[#This Row],[United States 3y]],#N/A)</f>
        <v/>
      </c>
    </row>
    <row r="7749">
      <c r="A7749" s="6">
        <f>Database!$A9834</f>
        <v/>
      </c>
      <c r="B7749">
        <f>IF(VLOOKUP(Table7[[#This Row],[Date]],Database!$A:$C,MATCH($B$1,Database!$A$1:$C$1,),)=0,#N/A,VLOOKUP(Table7[[#This Row],[Date]],Database!$A:$C,MATCH($B$1,Database!$A$1:$C$1,),))</f>
        <v/>
      </c>
      <c r="C7749">
        <f>IF(VLOOKUP(Table7[[#This Row],[Date]],Database!$A:$C,MATCH($C$1,Database!$A$1:$C$1,),)=0,#N/A,VLOOKUP(Table7[[#This Row],[Date]],Database!$A:$C,MATCH($C$1,Database!$A$1:$C$1,),))</f>
        <v/>
      </c>
      <c r="D7749">
        <f>IFERROR(Table7[[#This Row],[United States 10y]]-Table7[[#This Row],[United States 3y]],#N/A)</f>
        <v/>
      </c>
    </row>
    <row r="7750">
      <c r="A7750" s="6">
        <f>Database!$A9835</f>
        <v/>
      </c>
      <c r="B7750">
        <f>IF(VLOOKUP(Table7[[#This Row],[Date]],Database!$A:$C,MATCH($B$1,Database!$A$1:$C$1,),)=0,#N/A,VLOOKUP(Table7[[#This Row],[Date]],Database!$A:$C,MATCH($B$1,Database!$A$1:$C$1,),))</f>
        <v/>
      </c>
      <c r="C7750">
        <f>IF(VLOOKUP(Table7[[#This Row],[Date]],Database!$A:$C,MATCH($C$1,Database!$A$1:$C$1,),)=0,#N/A,VLOOKUP(Table7[[#This Row],[Date]],Database!$A:$C,MATCH($C$1,Database!$A$1:$C$1,),))</f>
        <v/>
      </c>
      <c r="D7750">
        <f>IFERROR(Table7[[#This Row],[United States 10y]]-Table7[[#This Row],[United States 3y]],#N/A)</f>
        <v/>
      </c>
    </row>
    <row r="7751">
      <c r="A7751" s="6">
        <f>Database!$A9836</f>
        <v/>
      </c>
      <c r="B7751">
        <f>IF(VLOOKUP(Table7[[#This Row],[Date]],Database!$A:$C,MATCH($B$1,Database!$A$1:$C$1,),)=0,#N/A,VLOOKUP(Table7[[#This Row],[Date]],Database!$A:$C,MATCH($B$1,Database!$A$1:$C$1,),))</f>
        <v/>
      </c>
      <c r="C7751">
        <f>IF(VLOOKUP(Table7[[#This Row],[Date]],Database!$A:$C,MATCH($C$1,Database!$A$1:$C$1,),)=0,#N/A,VLOOKUP(Table7[[#This Row],[Date]],Database!$A:$C,MATCH($C$1,Database!$A$1:$C$1,),))</f>
        <v/>
      </c>
      <c r="D7751">
        <f>IFERROR(Table7[[#This Row],[United States 10y]]-Table7[[#This Row],[United States 3y]],#N/A)</f>
        <v/>
      </c>
    </row>
    <row r="7752">
      <c r="A7752" s="6">
        <f>Database!$A9837</f>
        <v/>
      </c>
      <c r="B7752">
        <f>IF(VLOOKUP(Table7[[#This Row],[Date]],Database!$A:$C,MATCH($B$1,Database!$A$1:$C$1,),)=0,#N/A,VLOOKUP(Table7[[#This Row],[Date]],Database!$A:$C,MATCH($B$1,Database!$A$1:$C$1,),))</f>
        <v/>
      </c>
      <c r="C7752">
        <f>IF(VLOOKUP(Table7[[#This Row],[Date]],Database!$A:$C,MATCH($C$1,Database!$A$1:$C$1,),)=0,#N/A,VLOOKUP(Table7[[#This Row],[Date]],Database!$A:$C,MATCH($C$1,Database!$A$1:$C$1,),))</f>
        <v/>
      </c>
      <c r="D7752">
        <f>IFERROR(Table7[[#This Row],[United States 10y]]-Table7[[#This Row],[United States 3y]],#N/A)</f>
        <v/>
      </c>
    </row>
    <row r="7753">
      <c r="A7753" s="6">
        <f>Database!$A9838</f>
        <v/>
      </c>
      <c r="B7753">
        <f>IF(VLOOKUP(Table7[[#This Row],[Date]],Database!$A:$C,MATCH($B$1,Database!$A$1:$C$1,),)=0,#N/A,VLOOKUP(Table7[[#This Row],[Date]],Database!$A:$C,MATCH($B$1,Database!$A$1:$C$1,),))</f>
        <v/>
      </c>
      <c r="C7753">
        <f>IF(VLOOKUP(Table7[[#This Row],[Date]],Database!$A:$C,MATCH($C$1,Database!$A$1:$C$1,),)=0,#N/A,VLOOKUP(Table7[[#This Row],[Date]],Database!$A:$C,MATCH($C$1,Database!$A$1:$C$1,),))</f>
        <v/>
      </c>
      <c r="D7753">
        <f>IFERROR(Table7[[#This Row],[United States 10y]]-Table7[[#This Row],[United States 3y]],#N/A)</f>
        <v/>
      </c>
    </row>
    <row r="7754">
      <c r="A7754" s="6">
        <f>Database!$A9839</f>
        <v/>
      </c>
      <c r="B7754">
        <f>IF(VLOOKUP(Table7[[#This Row],[Date]],Database!$A:$C,MATCH($B$1,Database!$A$1:$C$1,),)=0,#N/A,VLOOKUP(Table7[[#This Row],[Date]],Database!$A:$C,MATCH($B$1,Database!$A$1:$C$1,),))</f>
        <v/>
      </c>
      <c r="C7754">
        <f>IF(VLOOKUP(Table7[[#This Row],[Date]],Database!$A:$C,MATCH($C$1,Database!$A$1:$C$1,),)=0,#N/A,VLOOKUP(Table7[[#This Row],[Date]],Database!$A:$C,MATCH($C$1,Database!$A$1:$C$1,),))</f>
        <v/>
      </c>
      <c r="D7754">
        <f>IFERROR(Table7[[#This Row],[United States 10y]]-Table7[[#This Row],[United States 3y]],#N/A)</f>
        <v/>
      </c>
    </row>
    <row r="7755">
      <c r="A7755" s="6">
        <f>Database!$A9840</f>
        <v/>
      </c>
      <c r="B7755">
        <f>IF(VLOOKUP(Table7[[#This Row],[Date]],Database!$A:$C,MATCH($B$1,Database!$A$1:$C$1,),)=0,#N/A,VLOOKUP(Table7[[#This Row],[Date]],Database!$A:$C,MATCH($B$1,Database!$A$1:$C$1,),))</f>
        <v/>
      </c>
      <c r="C7755">
        <f>IF(VLOOKUP(Table7[[#This Row],[Date]],Database!$A:$C,MATCH($C$1,Database!$A$1:$C$1,),)=0,#N/A,VLOOKUP(Table7[[#This Row],[Date]],Database!$A:$C,MATCH($C$1,Database!$A$1:$C$1,),))</f>
        <v/>
      </c>
      <c r="D7755">
        <f>IFERROR(Table7[[#This Row],[United States 10y]]-Table7[[#This Row],[United States 3y]],#N/A)</f>
        <v/>
      </c>
    </row>
    <row r="7756">
      <c r="A7756" s="6">
        <f>Database!$A9841</f>
        <v/>
      </c>
      <c r="B7756">
        <f>IF(VLOOKUP(Table7[[#This Row],[Date]],Database!$A:$C,MATCH($B$1,Database!$A$1:$C$1,),)=0,#N/A,VLOOKUP(Table7[[#This Row],[Date]],Database!$A:$C,MATCH($B$1,Database!$A$1:$C$1,),))</f>
        <v/>
      </c>
      <c r="C7756">
        <f>IF(VLOOKUP(Table7[[#This Row],[Date]],Database!$A:$C,MATCH($C$1,Database!$A$1:$C$1,),)=0,#N/A,VLOOKUP(Table7[[#This Row],[Date]],Database!$A:$C,MATCH($C$1,Database!$A$1:$C$1,),))</f>
        <v/>
      </c>
      <c r="D7756">
        <f>IFERROR(Table7[[#This Row],[United States 10y]]-Table7[[#This Row],[United States 3y]],#N/A)</f>
        <v/>
      </c>
    </row>
    <row r="7757">
      <c r="A7757" s="6">
        <f>Database!$A9842</f>
        <v/>
      </c>
      <c r="B7757">
        <f>IF(VLOOKUP(Table7[[#This Row],[Date]],Database!$A:$C,MATCH($B$1,Database!$A$1:$C$1,),)=0,#N/A,VLOOKUP(Table7[[#This Row],[Date]],Database!$A:$C,MATCH($B$1,Database!$A$1:$C$1,),))</f>
        <v/>
      </c>
      <c r="C7757">
        <f>IF(VLOOKUP(Table7[[#This Row],[Date]],Database!$A:$C,MATCH($C$1,Database!$A$1:$C$1,),)=0,#N/A,VLOOKUP(Table7[[#This Row],[Date]],Database!$A:$C,MATCH($C$1,Database!$A$1:$C$1,),))</f>
        <v/>
      </c>
      <c r="D7757">
        <f>IFERROR(Table7[[#This Row],[United States 10y]]-Table7[[#This Row],[United States 3y]],#N/A)</f>
        <v/>
      </c>
    </row>
    <row r="7758">
      <c r="A7758" s="6">
        <f>Database!$A9843</f>
        <v/>
      </c>
      <c r="B7758">
        <f>IF(VLOOKUP(Table7[[#This Row],[Date]],Database!$A:$C,MATCH($B$1,Database!$A$1:$C$1,),)=0,#N/A,VLOOKUP(Table7[[#This Row],[Date]],Database!$A:$C,MATCH($B$1,Database!$A$1:$C$1,),))</f>
        <v/>
      </c>
      <c r="C7758">
        <f>IF(VLOOKUP(Table7[[#This Row],[Date]],Database!$A:$C,MATCH($C$1,Database!$A$1:$C$1,),)=0,#N/A,VLOOKUP(Table7[[#This Row],[Date]],Database!$A:$C,MATCH($C$1,Database!$A$1:$C$1,),))</f>
        <v/>
      </c>
      <c r="D7758">
        <f>IFERROR(Table7[[#This Row],[United States 10y]]-Table7[[#This Row],[United States 3y]],#N/A)</f>
        <v/>
      </c>
    </row>
    <row r="7759">
      <c r="A7759" s="6">
        <f>Database!$A9844</f>
        <v/>
      </c>
      <c r="B7759">
        <f>IF(VLOOKUP(Table7[[#This Row],[Date]],Database!$A:$C,MATCH($B$1,Database!$A$1:$C$1,),)=0,#N/A,VLOOKUP(Table7[[#This Row],[Date]],Database!$A:$C,MATCH($B$1,Database!$A$1:$C$1,),))</f>
        <v/>
      </c>
      <c r="C7759">
        <f>IF(VLOOKUP(Table7[[#This Row],[Date]],Database!$A:$C,MATCH($C$1,Database!$A$1:$C$1,),)=0,#N/A,VLOOKUP(Table7[[#This Row],[Date]],Database!$A:$C,MATCH($C$1,Database!$A$1:$C$1,),))</f>
        <v/>
      </c>
      <c r="D7759">
        <f>IFERROR(Table7[[#This Row],[United States 10y]]-Table7[[#This Row],[United States 3y]],#N/A)</f>
        <v/>
      </c>
    </row>
    <row r="7760">
      <c r="A7760" s="6">
        <f>Database!$A9845</f>
        <v/>
      </c>
      <c r="B7760">
        <f>IF(VLOOKUP(Table7[[#This Row],[Date]],Database!$A:$C,MATCH($B$1,Database!$A$1:$C$1,),)=0,#N/A,VLOOKUP(Table7[[#This Row],[Date]],Database!$A:$C,MATCH($B$1,Database!$A$1:$C$1,),))</f>
        <v/>
      </c>
      <c r="C7760">
        <f>IF(VLOOKUP(Table7[[#This Row],[Date]],Database!$A:$C,MATCH($C$1,Database!$A$1:$C$1,),)=0,#N/A,VLOOKUP(Table7[[#This Row],[Date]],Database!$A:$C,MATCH($C$1,Database!$A$1:$C$1,),))</f>
        <v/>
      </c>
      <c r="D7760">
        <f>IFERROR(Table7[[#This Row],[United States 10y]]-Table7[[#This Row],[United States 3y]],#N/A)</f>
        <v/>
      </c>
    </row>
    <row r="7761">
      <c r="A7761" s="6">
        <f>Database!$A9846</f>
        <v/>
      </c>
      <c r="B7761">
        <f>IF(VLOOKUP(Table7[[#This Row],[Date]],Database!$A:$C,MATCH($B$1,Database!$A$1:$C$1,),)=0,#N/A,VLOOKUP(Table7[[#This Row],[Date]],Database!$A:$C,MATCH($B$1,Database!$A$1:$C$1,),))</f>
        <v/>
      </c>
      <c r="C7761">
        <f>IF(VLOOKUP(Table7[[#This Row],[Date]],Database!$A:$C,MATCH($C$1,Database!$A$1:$C$1,),)=0,#N/A,VLOOKUP(Table7[[#This Row],[Date]],Database!$A:$C,MATCH($C$1,Database!$A$1:$C$1,),))</f>
        <v/>
      </c>
      <c r="D7761">
        <f>IFERROR(Table7[[#This Row],[United States 10y]]-Table7[[#This Row],[United States 3y]],#N/A)</f>
        <v/>
      </c>
    </row>
    <row r="7762">
      <c r="A7762" s="6">
        <f>Database!$A9847</f>
        <v/>
      </c>
      <c r="B7762">
        <f>IF(VLOOKUP(Table7[[#This Row],[Date]],Database!$A:$C,MATCH($B$1,Database!$A$1:$C$1,),)=0,#N/A,VLOOKUP(Table7[[#This Row],[Date]],Database!$A:$C,MATCH($B$1,Database!$A$1:$C$1,),))</f>
        <v/>
      </c>
      <c r="C7762">
        <f>IF(VLOOKUP(Table7[[#This Row],[Date]],Database!$A:$C,MATCH($C$1,Database!$A$1:$C$1,),)=0,#N/A,VLOOKUP(Table7[[#This Row],[Date]],Database!$A:$C,MATCH($C$1,Database!$A$1:$C$1,),))</f>
        <v/>
      </c>
      <c r="D7762">
        <f>IFERROR(Table7[[#This Row],[United States 10y]]-Table7[[#This Row],[United States 3y]],#N/A)</f>
        <v/>
      </c>
    </row>
    <row r="7763">
      <c r="A7763" s="6">
        <f>Database!$A9848</f>
        <v/>
      </c>
      <c r="B7763">
        <f>IF(VLOOKUP(Table7[[#This Row],[Date]],Database!$A:$C,MATCH($B$1,Database!$A$1:$C$1,),)=0,#N/A,VLOOKUP(Table7[[#This Row],[Date]],Database!$A:$C,MATCH($B$1,Database!$A$1:$C$1,),))</f>
        <v/>
      </c>
      <c r="C7763">
        <f>IF(VLOOKUP(Table7[[#This Row],[Date]],Database!$A:$C,MATCH($C$1,Database!$A$1:$C$1,),)=0,#N/A,VLOOKUP(Table7[[#This Row],[Date]],Database!$A:$C,MATCH($C$1,Database!$A$1:$C$1,),))</f>
        <v/>
      </c>
      <c r="D7763">
        <f>IFERROR(Table7[[#This Row],[United States 10y]]-Table7[[#This Row],[United States 3y]],#N/A)</f>
        <v/>
      </c>
    </row>
    <row r="7764">
      <c r="A7764" s="6">
        <f>Database!$A9849</f>
        <v/>
      </c>
      <c r="B7764">
        <f>IF(VLOOKUP(Table7[[#This Row],[Date]],Database!$A:$C,MATCH($B$1,Database!$A$1:$C$1,),)=0,#N/A,VLOOKUP(Table7[[#This Row],[Date]],Database!$A:$C,MATCH($B$1,Database!$A$1:$C$1,),))</f>
        <v/>
      </c>
      <c r="C7764">
        <f>IF(VLOOKUP(Table7[[#This Row],[Date]],Database!$A:$C,MATCH($C$1,Database!$A$1:$C$1,),)=0,#N/A,VLOOKUP(Table7[[#This Row],[Date]],Database!$A:$C,MATCH($C$1,Database!$A$1:$C$1,),))</f>
        <v/>
      </c>
      <c r="D7764">
        <f>IFERROR(Table7[[#This Row],[United States 10y]]-Table7[[#This Row],[United States 3y]],#N/A)</f>
        <v/>
      </c>
    </row>
    <row r="7765">
      <c r="A7765" s="6">
        <f>Database!$A9850</f>
        <v/>
      </c>
      <c r="B7765">
        <f>IF(VLOOKUP(Table7[[#This Row],[Date]],Database!$A:$C,MATCH($B$1,Database!$A$1:$C$1,),)=0,#N/A,VLOOKUP(Table7[[#This Row],[Date]],Database!$A:$C,MATCH($B$1,Database!$A$1:$C$1,),))</f>
        <v/>
      </c>
      <c r="C7765">
        <f>IF(VLOOKUP(Table7[[#This Row],[Date]],Database!$A:$C,MATCH($C$1,Database!$A$1:$C$1,),)=0,#N/A,VLOOKUP(Table7[[#This Row],[Date]],Database!$A:$C,MATCH($C$1,Database!$A$1:$C$1,),))</f>
        <v/>
      </c>
      <c r="D7765">
        <f>IFERROR(Table7[[#This Row],[United States 10y]]-Table7[[#This Row],[United States 3y]],#N/A)</f>
        <v/>
      </c>
    </row>
    <row r="7766">
      <c r="A7766" s="6">
        <f>Database!$A9851</f>
        <v/>
      </c>
      <c r="B7766">
        <f>IF(VLOOKUP(Table7[[#This Row],[Date]],Database!$A:$C,MATCH($B$1,Database!$A$1:$C$1,),)=0,#N/A,VLOOKUP(Table7[[#This Row],[Date]],Database!$A:$C,MATCH($B$1,Database!$A$1:$C$1,),))</f>
        <v/>
      </c>
      <c r="C7766">
        <f>IF(VLOOKUP(Table7[[#This Row],[Date]],Database!$A:$C,MATCH($C$1,Database!$A$1:$C$1,),)=0,#N/A,VLOOKUP(Table7[[#This Row],[Date]],Database!$A:$C,MATCH($C$1,Database!$A$1:$C$1,),))</f>
        <v/>
      </c>
      <c r="D7766">
        <f>IFERROR(Table7[[#This Row],[United States 10y]]-Table7[[#This Row],[United States 3y]],#N/A)</f>
        <v/>
      </c>
    </row>
    <row r="7767">
      <c r="A7767" s="6">
        <f>Database!$A9852</f>
        <v/>
      </c>
      <c r="B7767">
        <f>IF(VLOOKUP(Table7[[#This Row],[Date]],Database!$A:$C,MATCH($B$1,Database!$A$1:$C$1,),)=0,#N/A,VLOOKUP(Table7[[#This Row],[Date]],Database!$A:$C,MATCH($B$1,Database!$A$1:$C$1,),))</f>
        <v/>
      </c>
      <c r="C7767">
        <f>IF(VLOOKUP(Table7[[#This Row],[Date]],Database!$A:$C,MATCH($C$1,Database!$A$1:$C$1,),)=0,#N/A,VLOOKUP(Table7[[#This Row],[Date]],Database!$A:$C,MATCH($C$1,Database!$A$1:$C$1,),))</f>
        <v/>
      </c>
      <c r="D7767">
        <f>IFERROR(Table7[[#This Row],[United States 10y]]-Table7[[#This Row],[United States 3y]],#N/A)</f>
        <v/>
      </c>
    </row>
    <row r="7768">
      <c r="A7768" s="6">
        <f>Database!$A9853</f>
        <v/>
      </c>
      <c r="B7768">
        <f>IF(VLOOKUP(Table7[[#This Row],[Date]],Database!$A:$C,MATCH($B$1,Database!$A$1:$C$1,),)=0,#N/A,VLOOKUP(Table7[[#This Row],[Date]],Database!$A:$C,MATCH($B$1,Database!$A$1:$C$1,),))</f>
        <v/>
      </c>
      <c r="C7768">
        <f>IF(VLOOKUP(Table7[[#This Row],[Date]],Database!$A:$C,MATCH($C$1,Database!$A$1:$C$1,),)=0,#N/A,VLOOKUP(Table7[[#This Row],[Date]],Database!$A:$C,MATCH($C$1,Database!$A$1:$C$1,),))</f>
        <v/>
      </c>
      <c r="D7768">
        <f>IFERROR(Table7[[#This Row],[United States 10y]]-Table7[[#This Row],[United States 3y]],#N/A)</f>
        <v/>
      </c>
    </row>
    <row r="7769">
      <c r="A7769" s="6">
        <f>Database!$A9854</f>
        <v/>
      </c>
      <c r="B7769">
        <f>IF(VLOOKUP(Table7[[#This Row],[Date]],Database!$A:$C,MATCH($B$1,Database!$A$1:$C$1,),)=0,#N/A,VLOOKUP(Table7[[#This Row],[Date]],Database!$A:$C,MATCH($B$1,Database!$A$1:$C$1,),))</f>
        <v/>
      </c>
      <c r="C7769">
        <f>IF(VLOOKUP(Table7[[#This Row],[Date]],Database!$A:$C,MATCH($C$1,Database!$A$1:$C$1,),)=0,#N/A,VLOOKUP(Table7[[#This Row],[Date]],Database!$A:$C,MATCH($C$1,Database!$A$1:$C$1,),))</f>
        <v/>
      </c>
      <c r="D7769">
        <f>IFERROR(Table7[[#This Row],[United States 10y]]-Table7[[#This Row],[United States 3y]],#N/A)</f>
        <v/>
      </c>
    </row>
    <row r="7770">
      <c r="A7770" s="6">
        <f>Database!$A9855</f>
        <v/>
      </c>
      <c r="B7770">
        <f>IF(VLOOKUP(Table7[[#This Row],[Date]],Database!$A:$C,MATCH($B$1,Database!$A$1:$C$1,),)=0,#N/A,VLOOKUP(Table7[[#This Row],[Date]],Database!$A:$C,MATCH($B$1,Database!$A$1:$C$1,),))</f>
        <v/>
      </c>
      <c r="C7770">
        <f>IF(VLOOKUP(Table7[[#This Row],[Date]],Database!$A:$C,MATCH($C$1,Database!$A$1:$C$1,),)=0,#N/A,VLOOKUP(Table7[[#This Row],[Date]],Database!$A:$C,MATCH($C$1,Database!$A$1:$C$1,),))</f>
        <v/>
      </c>
      <c r="D7770">
        <f>IFERROR(Table7[[#This Row],[United States 10y]]-Table7[[#This Row],[United States 3y]],#N/A)</f>
        <v/>
      </c>
    </row>
    <row r="7771">
      <c r="A7771" s="6">
        <f>Database!$A9856</f>
        <v/>
      </c>
      <c r="B7771">
        <f>IF(VLOOKUP(Table7[[#This Row],[Date]],Database!$A:$C,MATCH($B$1,Database!$A$1:$C$1,),)=0,#N/A,VLOOKUP(Table7[[#This Row],[Date]],Database!$A:$C,MATCH($B$1,Database!$A$1:$C$1,),))</f>
        <v/>
      </c>
      <c r="C7771">
        <f>IF(VLOOKUP(Table7[[#This Row],[Date]],Database!$A:$C,MATCH($C$1,Database!$A$1:$C$1,),)=0,#N/A,VLOOKUP(Table7[[#This Row],[Date]],Database!$A:$C,MATCH($C$1,Database!$A$1:$C$1,),))</f>
        <v/>
      </c>
      <c r="D7771">
        <f>IFERROR(Table7[[#This Row],[United States 10y]]-Table7[[#This Row],[United States 3y]],#N/A)</f>
        <v/>
      </c>
    </row>
    <row r="7772">
      <c r="A7772" s="6">
        <f>Database!$A9857</f>
        <v/>
      </c>
      <c r="B7772">
        <f>IF(VLOOKUP(Table7[[#This Row],[Date]],Database!$A:$C,MATCH($B$1,Database!$A$1:$C$1,),)=0,#N/A,VLOOKUP(Table7[[#This Row],[Date]],Database!$A:$C,MATCH($B$1,Database!$A$1:$C$1,),))</f>
        <v/>
      </c>
      <c r="C7772">
        <f>IF(VLOOKUP(Table7[[#This Row],[Date]],Database!$A:$C,MATCH($C$1,Database!$A$1:$C$1,),)=0,#N/A,VLOOKUP(Table7[[#This Row],[Date]],Database!$A:$C,MATCH($C$1,Database!$A$1:$C$1,),))</f>
        <v/>
      </c>
      <c r="D7772">
        <f>IFERROR(Table7[[#This Row],[United States 10y]]-Table7[[#This Row],[United States 3y]],#N/A)</f>
        <v/>
      </c>
    </row>
    <row r="7773">
      <c r="A7773" s="6">
        <f>Database!$A9858</f>
        <v/>
      </c>
      <c r="B7773">
        <f>IF(VLOOKUP(Table7[[#This Row],[Date]],Database!$A:$C,MATCH($B$1,Database!$A$1:$C$1,),)=0,#N/A,VLOOKUP(Table7[[#This Row],[Date]],Database!$A:$C,MATCH($B$1,Database!$A$1:$C$1,),))</f>
        <v/>
      </c>
      <c r="C7773">
        <f>IF(VLOOKUP(Table7[[#This Row],[Date]],Database!$A:$C,MATCH($C$1,Database!$A$1:$C$1,),)=0,#N/A,VLOOKUP(Table7[[#This Row],[Date]],Database!$A:$C,MATCH($C$1,Database!$A$1:$C$1,),))</f>
        <v/>
      </c>
      <c r="D7773">
        <f>IFERROR(Table7[[#This Row],[United States 10y]]-Table7[[#This Row],[United States 3y]],#N/A)</f>
        <v/>
      </c>
    </row>
    <row r="7774">
      <c r="A7774" s="6">
        <f>Database!$A9859</f>
        <v/>
      </c>
      <c r="B7774">
        <f>IF(VLOOKUP(Table7[[#This Row],[Date]],Database!$A:$C,MATCH($B$1,Database!$A$1:$C$1,),)=0,#N/A,VLOOKUP(Table7[[#This Row],[Date]],Database!$A:$C,MATCH($B$1,Database!$A$1:$C$1,),))</f>
        <v/>
      </c>
      <c r="C7774">
        <f>IF(VLOOKUP(Table7[[#This Row],[Date]],Database!$A:$C,MATCH($C$1,Database!$A$1:$C$1,),)=0,#N/A,VLOOKUP(Table7[[#This Row],[Date]],Database!$A:$C,MATCH($C$1,Database!$A$1:$C$1,),))</f>
        <v/>
      </c>
      <c r="D7774">
        <f>IFERROR(Table7[[#This Row],[United States 10y]]-Table7[[#This Row],[United States 3y]],#N/A)</f>
        <v/>
      </c>
    </row>
    <row r="7775">
      <c r="A7775" s="6">
        <f>Database!$A9860</f>
        <v/>
      </c>
      <c r="B7775">
        <f>IF(VLOOKUP(Table7[[#This Row],[Date]],Database!$A:$C,MATCH($B$1,Database!$A$1:$C$1,),)=0,#N/A,VLOOKUP(Table7[[#This Row],[Date]],Database!$A:$C,MATCH($B$1,Database!$A$1:$C$1,),))</f>
        <v/>
      </c>
      <c r="C7775">
        <f>IF(VLOOKUP(Table7[[#This Row],[Date]],Database!$A:$C,MATCH($C$1,Database!$A$1:$C$1,),)=0,#N/A,VLOOKUP(Table7[[#This Row],[Date]],Database!$A:$C,MATCH($C$1,Database!$A$1:$C$1,),))</f>
        <v/>
      </c>
      <c r="D7775">
        <f>IFERROR(Table7[[#This Row],[United States 10y]]-Table7[[#This Row],[United States 3y]],#N/A)</f>
        <v/>
      </c>
    </row>
    <row r="7776">
      <c r="A7776" s="6">
        <f>Database!$A9861</f>
        <v/>
      </c>
      <c r="B7776">
        <f>IF(VLOOKUP(Table7[[#This Row],[Date]],Database!$A:$C,MATCH($B$1,Database!$A$1:$C$1,),)=0,#N/A,VLOOKUP(Table7[[#This Row],[Date]],Database!$A:$C,MATCH($B$1,Database!$A$1:$C$1,),))</f>
        <v/>
      </c>
      <c r="C7776">
        <f>IF(VLOOKUP(Table7[[#This Row],[Date]],Database!$A:$C,MATCH($C$1,Database!$A$1:$C$1,),)=0,#N/A,VLOOKUP(Table7[[#This Row],[Date]],Database!$A:$C,MATCH($C$1,Database!$A$1:$C$1,),))</f>
        <v/>
      </c>
      <c r="D7776">
        <f>IFERROR(Table7[[#This Row],[United States 10y]]-Table7[[#This Row],[United States 3y]],#N/A)</f>
        <v/>
      </c>
    </row>
    <row r="7777">
      <c r="A7777" s="6">
        <f>Database!$A9862</f>
        <v/>
      </c>
      <c r="B7777">
        <f>IF(VLOOKUP(Table7[[#This Row],[Date]],Database!$A:$C,MATCH($B$1,Database!$A$1:$C$1,),)=0,#N/A,VLOOKUP(Table7[[#This Row],[Date]],Database!$A:$C,MATCH($B$1,Database!$A$1:$C$1,),))</f>
        <v/>
      </c>
      <c r="C7777">
        <f>IF(VLOOKUP(Table7[[#This Row],[Date]],Database!$A:$C,MATCH($C$1,Database!$A$1:$C$1,),)=0,#N/A,VLOOKUP(Table7[[#This Row],[Date]],Database!$A:$C,MATCH($C$1,Database!$A$1:$C$1,),))</f>
        <v/>
      </c>
      <c r="D7777">
        <f>IFERROR(Table7[[#This Row],[United States 10y]]-Table7[[#This Row],[United States 3y]],#N/A)</f>
        <v/>
      </c>
    </row>
    <row r="7778">
      <c r="A7778" s="6">
        <f>Database!$A9863</f>
        <v/>
      </c>
      <c r="B7778">
        <f>IF(VLOOKUP(Table7[[#This Row],[Date]],Database!$A:$C,MATCH($B$1,Database!$A$1:$C$1,),)=0,#N/A,VLOOKUP(Table7[[#This Row],[Date]],Database!$A:$C,MATCH($B$1,Database!$A$1:$C$1,),))</f>
        <v/>
      </c>
      <c r="C7778">
        <f>IF(VLOOKUP(Table7[[#This Row],[Date]],Database!$A:$C,MATCH($C$1,Database!$A$1:$C$1,),)=0,#N/A,VLOOKUP(Table7[[#This Row],[Date]],Database!$A:$C,MATCH($C$1,Database!$A$1:$C$1,),))</f>
        <v/>
      </c>
      <c r="D7778">
        <f>IFERROR(Table7[[#This Row],[United States 10y]]-Table7[[#This Row],[United States 3y]],#N/A)</f>
        <v/>
      </c>
    </row>
    <row r="7779">
      <c r="A7779" s="6">
        <f>Database!$A9864</f>
        <v/>
      </c>
      <c r="B7779">
        <f>IF(VLOOKUP(Table7[[#This Row],[Date]],Database!$A:$C,MATCH($B$1,Database!$A$1:$C$1,),)=0,#N/A,VLOOKUP(Table7[[#This Row],[Date]],Database!$A:$C,MATCH($B$1,Database!$A$1:$C$1,),))</f>
        <v/>
      </c>
      <c r="C7779">
        <f>IF(VLOOKUP(Table7[[#This Row],[Date]],Database!$A:$C,MATCH($C$1,Database!$A$1:$C$1,),)=0,#N/A,VLOOKUP(Table7[[#This Row],[Date]],Database!$A:$C,MATCH($C$1,Database!$A$1:$C$1,),))</f>
        <v/>
      </c>
      <c r="D7779">
        <f>IFERROR(Table7[[#This Row],[United States 10y]]-Table7[[#This Row],[United States 3y]],#N/A)</f>
        <v/>
      </c>
    </row>
    <row r="7780">
      <c r="A7780" s="6">
        <f>Database!$A9865</f>
        <v/>
      </c>
      <c r="B7780">
        <f>IF(VLOOKUP(Table7[[#This Row],[Date]],Database!$A:$C,MATCH($B$1,Database!$A$1:$C$1,),)=0,#N/A,VLOOKUP(Table7[[#This Row],[Date]],Database!$A:$C,MATCH($B$1,Database!$A$1:$C$1,),))</f>
        <v/>
      </c>
      <c r="C7780">
        <f>IF(VLOOKUP(Table7[[#This Row],[Date]],Database!$A:$C,MATCH($C$1,Database!$A$1:$C$1,),)=0,#N/A,VLOOKUP(Table7[[#This Row],[Date]],Database!$A:$C,MATCH($C$1,Database!$A$1:$C$1,),))</f>
        <v/>
      </c>
      <c r="D7780">
        <f>IFERROR(Table7[[#This Row],[United States 10y]]-Table7[[#This Row],[United States 3y]],#N/A)</f>
        <v/>
      </c>
    </row>
    <row r="7781">
      <c r="A7781" s="6">
        <f>Database!$A9866</f>
        <v/>
      </c>
      <c r="B7781">
        <f>IF(VLOOKUP(Table7[[#This Row],[Date]],Database!$A:$C,MATCH($B$1,Database!$A$1:$C$1,),)=0,#N/A,VLOOKUP(Table7[[#This Row],[Date]],Database!$A:$C,MATCH($B$1,Database!$A$1:$C$1,),))</f>
        <v/>
      </c>
      <c r="C7781">
        <f>IF(VLOOKUP(Table7[[#This Row],[Date]],Database!$A:$C,MATCH($C$1,Database!$A$1:$C$1,),)=0,#N/A,VLOOKUP(Table7[[#This Row],[Date]],Database!$A:$C,MATCH($C$1,Database!$A$1:$C$1,),))</f>
        <v/>
      </c>
      <c r="D7781">
        <f>IFERROR(Table7[[#This Row],[United States 10y]]-Table7[[#This Row],[United States 3y]],#N/A)</f>
        <v/>
      </c>
    </row>
    <row r="7782">
      <c r="A7782" s="6">
        <f>Database!$A9867</f>
        <v/>
      </c>
      <c r="B7782">
        <f>IF(VLOOKUP(Table7[[#This Row],[Date]],Database!$A:$C,MATCH($B$1,Database!$A$1:$C$1,),)=0,#N/A,VLOOKUP(Table7[[#This Row],[Date]],Database!$A:$C,MATCH($B$1,Database!$A$1:$C$1,),))</f>
        <v/>
      </c>
      <c r="C7782">
        <f>IF(VLOOKUP(Table7[[#This Row],[Date]],Database!$A:$C,MATCH($C$1,Database!$A$1:$C$1,),)=0,#N/A,VLOOKUP(Table7[[#This Row],[Date]],Database!$A:$C,MATCH($C$1,Database!$A$1:$C$1,),))</f>
        <v/>
      </c>
      <c r="D7782">
        <f>IFERROR(Table7[[#This Row],[United States 10y]]-Table7[[#This Row],[United States 3y]],#N/A)</f>
        <v/>
      </c>
    </row>
    <row r="7783">
      <c r="A7783" s="6">
        <f>Database!$A9868</f>
        <v/>
      </c>
      <c r="B7783">
        <f>IF(VLOOKUP(Table7[[#This Row],[Date]],Database!$A:$C,MATCH($B$1,Database!$A$1:$C$1,),)=0,#N/A,VLOOKUP(Table7[[#This Row],[Date]],Database!$A:$C,MATCH($B$1,Database!$A$1:$C$1,),))</f>
        <v/>
      </c>
      <c r="C7783">
        <f>IF(VLOOKUP(Table7[[#This Row],[Date]],Database!$A:$C,MATCH($C$1,Database!$A$1:$C$1,),)=0,#N/A,VLOOKUP(Table7[[#This Row],[Date]],Database!$A:$C,MATCH($C$1,Database!$A$1:$C$1,),))</f>
        <v/>
      </c>
      <c r="D7783">
        <f>IFERROR(Table7[[#This Row],[United States 10y]]-Table7[[#This Row],[United States 3y]],#N/A)</f>
        <v/>
      </c>
    </row>
    <row r="7784">
      <c r="A7784" s="6">
        <f>Database!$A9869</f>
        <v/>
      </c>
      <c r="B7784">
        <f>IF(VLOOKUP(Table7[[#This Row],[Date]],Database!$A:$C,MATCH($B$1,Database!$A$1:$C$1,),)=0,#N/A,VLOOKUP(Table7[[#This Row],[Date]],Database!$A:$C,MATCH($B$1,Database!$A$1:$C$1,),))</f>
        <v/>
      </c>
      <c r="C7784">
        <f>IF(VLOOKUP(Table7[[#This Row],[Date]],Database!$A:$C,MATCH($C$1,Database!$A$1:$C$1,),)=0,#N/A,VLOOKUP(Table7[[#This Row],[Date]],Database!$A:$C,MATCH($C$1,Database!$A$1:$C$1,),))</f>
        <v/>
      </c>
      <c r="D7784">
        <f>IFERROR(Table7[[#This Row],[United States 10y]]-Table7[[#This Row],[United States 3y]],#N/A)</f>
        <v/>
      </c>
    </row>
    <row r="7785">
      <c r="A7785" s="6">
        <f>Database!$A9870</f>
        <v/>
      </c>
      <c r="B7785">
        <f>IF(VLOOKUP(Table7[[#This Row],[Date]],Database!$A:$C,MATCH($B$1,Database!$A$1:$C$1,),)=0,#N/A,VLOOKUP(Table7[[#This Row],[Date]],Database!$A:$C,MATCH($B$1,Database!$A$1:$C$1,),))</f>
        <v/>
      </c>
      <c r="C7785">
        <f>IF(VLOOKUP(Table7[[#This Row],[Date]],Database!$A:$C,MATCH($C$1,Database!$A$1:$C$1,),)=0,#N/A,VLOOKUP(Table7[[#This Row],[Date]],Database!$A:$C,MATCH($C$1,Database!$A$1:$C$1,),))</f>
        <v/>
      </c>
      <c r="D7785">
        <f>IFERROR(Table7[[#This Row],[United States 10y]]-Table7[[#This Row],[United States 3y]],#N/A)</f>
        <v/>
      </c>
    </row>
    <row r="7786">
      <c r="A7786" s="6">
        <f>Database!$A9871</f>
        <v/>
      </c>
      <c r="B7786">
        <f>IF(VLOOKUP(Table7[[#This Row],[Date]],Database!$A:$C,MATCH($B$1,Database!$A$1:$C$1,),)=0,#N/A,VLOOKUP(Table7[[#This Row],[Date]],Database!$A:$C,MATCH($B$1,Database!$A$1:$C$1,),))</f>
        <v/>
      </c>
      <c r="C7786">
        <f>IF(VLOOKUP(Table7[[#This Row],[Date]],Database!$A:$C,MATCH($C$1,Database!$A$1:$C$1,),)=0,#N/A,VLOOKUP(Table7[[#This Row],[Date]],Database!$A:$C,MATCH($C$1,Database!$A$1:$C$1,),))</f>
        <v/>
      </c>
      <c r="D7786">
        <f>IFERROR(Table7[[#This Row],[United States 10y]]-Table7[[#This Row],[United States 3y]],#N/A)</f>
        <v/>
      </c>
    </row>
    <row r="7787">
      <c r="A7787" s="6">
        <f>Database!$A9872</f>
        <v/>
      </c>
      <c r="B7787">
        <f>IF(VLOOKUP(Table7[[#This Row],[Date]],Database!$A:$C,MATCH($B$1,Database!$A$1:$C$1,),)=0,#N/A,VLOOKUP(Table7[[#This Row],[Date]],Database!$A:$C,MATCH($B$1,Database!$A$1:$C$1,),))</f>
        <v/>
      </c>
      <c r="C7787">
        <f>IF(VLOOKUP(Table7[[#This Row],[Date]],Database!$A:$C,MATCH($C$1,Database!$A$1:$C$1,),)=0,#N/A,VLOOKUP(Table7[[#This Row],[Date]],Database!$A:$C,MATCH($C$1,Database!$A$1:$C$1,),))</f>
        <v/>
      </c>
      <c r="D7787">
        <f>IFERROR(Table7[[#This Row],[United States 10y]]-Table7[[#This Row],[United States 3y]],#N/A)</f>
        <v/>
      </c>
    </row>
    <row r="7788">
      <c r="A7788" s="6">
        <f>Database!$A9873</f>
        <v/>
      </c>
      <c r="B7788">
        <f>IF(VLOOKUP(Table7[[#This Row],[Date]],Database!$A:$C,MATCH($B$1,Database!$A$1:$C$1,),)=0,#N/A,VLOOKUP(Table7[[#This Row],[Date]],Database!$A:$C,MATCH($B$1,Database!$A$1:$C$1,),))</f>
        <v/>
      </c>
      <c r="C7788">
        <f>IF(VLOOKUP(Table7[[#This Row],[Date]],Database!$A:$C,MATCH($C$1,Database!$A$1:$C$1,),)=0,#N/A,VLOOKUP(Table7[[#This Row],[Date]],Database!$A:$C,MATCH($C$1,Database!$A$1:$C$1,),))</f>
        <v/>
      </c>
      <c r="D7788">
        <f>IFERROR(Table7[[#This Row],[United States 10y]]-Table7[[#This Row],[United States 3y]],#N/A)</f>
        <v/>
      </c>
    </row>
    <row r="7789">
      <c r="A7789" s="6">
        <f>Database!$A9874</f>
        <v/>
      </c>
      <c r="B7789">
        <f>IF(VLOOKUP(Table7[[#This Row],[Date]],Database!$A:$C,MATCH($B$1,Database!$A$1:$C$1,),)=0,#N/A,VLOOKUP(Table7[[#This Row],[Date]],Database!$A:$C,MATCH($B$1,Database!$A$1:$C$1,),))</f>
        <v/>
      </c>
      <c r="C7789">
        <f>IF(VLOOKUP(Table7[[#This Row],[Date]],Database!$A:$C,MATCH($C$1,Database!$A$1:$C$1,),)=0,#N/A,VLOOKUP(Table7[[#This Row],[Date]],Database!$A:$C,MATCH($C$1,Database!$A$1:$C$1,),))</f>
        <v/>
      </c>
      <c r="D7789">
        <f>IFERROR(Table7[[#This Row],[United States 10y]]-Table7[[#This Row],[United States 3y]],#N/A)</f>
        <v/>
      </c>
    </row>
    <row r="7790">
      <c r="A7790" s="6">
        <f>Database!$A9875</f>
        <v/>
      </c>
      <c r="B7790">
        <f>IF(VLOOKUP(Table7[[#This Row],[Date]],Database!$A:$C,MATCH($B$1,Database!$A$1:$C$1,),)=0,#N/A,VLOOKUP(Table7[[#This Row],[Date]],Database!$A:$C,MATCH($B$1,Database!$A$1:$C$1,),))</f>
        <v/>
      </c>
      <c r="C7790">
        <f>IF(VLOOKUP(Table7[[#This Row],[Date]],Database!$A:$C,MATCH($C$1,Database!$A$1:$C$1,),)=0,#N/A,VLOOKUP(Table7[[#This Row],[Date]],Database!$A:$C,MATCH($C$1,Database!$A$1:$C$1,),))</f>
        <v/>
      </c>
      <c r="D7790">
        <f>IFERROR(Table7[[#This Row],[United States 10y]]-Table7[[#This Row],[United States 3y]],#N/A)</f>
        <v/>
      </c>
    </row>
    <row r="7791">
      <c r="A7791" s="6">
        <f>Database!$A9876</f>
        <v/>
      </c>
      <c r="B7791">
        <f>IF(VLOOKUP(Table7[[#This Row],[Date]],Database!$A:$C,MATCH($B$1,Database!$A$1:$C$1,),)=0,#N/A,VLOOKUP(Table7[[#This Row],[Date]],Database!$A:$C,MATCH($B$1,Database!$A$1:$C$1,),))</f>
        <v/>
      </c>
      <c r="C7791">
        <f>IF(VLOOKUP(Table7[[#This Row],[Date]],Database!$A:$C,MATCH($C$1,Database!$A$1:$C$1,),)=0,#N/A,VLOOKUP(Table7[[#This Row],[Date]],Database!$A:$C,MATCH($C$1,Database!$A$1:$C$1,),))</f>
        <v/>
      </c>
      <c r="D7791">
        <f>IFERROR(Table7[[#This Row],[United States 10y]]-Table7[[#This Row],[United States 3y]],#N/A)</f>
        <v/>
      </c>
    </row>
    <row r="7792">
      <c r="A7792" s="6">
        <f>Database!$A9877</f>
        <v/>
      </c>
      <c r="B7792">
        <f>IF(VLOOKUP(Table7[[#This Row],[Date]],Database!$A:$C,MATCH($B$1,Database!$A$1:$C$1,),)=0,#N/A,VLOOKUP(Table7[[#This Row],[Date]],Database!$A:$C,MATCH($B$1,Database!$A$1:$C$1,),))</f>
        <v/>
      </c>
      <c r="C7792">
        <f>IF(VLOOKUP(Table7[[#This Row],[Date]],Database!$A:$C,MATCH($C$1,Database!$A$1:$C$1,),)=0,#N/A,VLOOKUP(Table7[[#This Row],[Date]],Database!$A:$C,MATCH($C$1,Database!$A$1:$C$1,),))</f>
        <v/>
      </c>
      <c r="D7792">
        <f>IFERROR(Table7[[#This Row],[United States 10y]]-Table7[[#This Row],[United States 3y]],#N/A)</f>
        <v/>
      </c>
    </row>
    <row r="7793">
      <c r="A7793" s="6">
        <f>Database!$A9878</f>
        <v/>
      </c>
      <c r="B7793">
        <f>IF(VLOOKUP(Table7[[#This Row],[Date]],Database!$A:$C,MATCH($B$1,Database!$A$1:$C$1,),)=0,#N/A,VLOOKUP(Table7[[#This Row],[Date]],Database!$A:$C,MATCH($B$1,Database!$A$1:$C$1,),))</f>
        <v/>
      </c>
      <c r="C7793">
        <f>IF(VLOOKUP(Table7[[#This Row],[Date]],Database!$A:$C,MATCH($C$1,Database!$A$1:$C$1,),)=0,#N/A,VLOOKUP(Table7[[#This Row],[Date]],Database!$A:$C,MATCH($C$1,Database!$A$1:$C$1,),))</f>
        <v/>
      </c>
      <c r="D7793">
        <f>IFERROR(Table7[[#This Row],[United States 10y]]-Table7[[#This Row],[United States 3y]],#N/A)</f>
        <v/>
      </c>
    </row>
    <row r="7794">
      <c r="A7794" s="6">
        <f>Database!$A9879</f>
        <v/>
      </c>
      <c r="B7794">
        <f>IF(VLOOKUP(Table7[[#This Row],[Date]],Database!$A:$C,MATCH($B$1,Database!$A$1:$C$1,),)=0,#N/A,VLOOKUP(Table7[[#This Row],[Date]],Database!$A:$C,MATCH($B$1,Database!$A$1:$C$1,),))</f>
        <v/>
      </c>
      <c r="C7794">
        <f>IF(VLOOKUP(Table7[[#This Row],[Date]],Database!$A:$C,MATCH($C$1,Database!$A$1:$C$1,),)=0,#N/A,VLOOKUP(Table7[[#This Row],[Date]],Database!$A:$C,MATCH($C$1,Database!$A$1:$C$1,),))</f>
        <v/>
      </c>
      <c r="D7794">
        <f>IFERROR(Table7[[#This Row],[United States 10y]]-Table7[[#This Row],[United States 3y]],#N/A)</f>
        <v/>
      </c>
    </row>
    <row r="7795">
      <c r="A7795" s="6">
        <f>Database!$A9880</f>
        <v/>
      </c>
      <c r="B7795">
        <f>IF(VLOOKUP(Table7[[#This Row],[Date]],Database!$A:$C,MATCH($B$1,Database!$A$1:$C$1,),)=0,#N/A,VLOOKUP(Table7[[#This Row],[Date]],Database!$A:$C,MATCH($B$1,Database!$A$1:$C$1,),))</f>
        <v/>
      </c>
      <c r="C7795">
        <f>IF(VLOOKUP(Table7[[#This Row],[Date]],Database!$A:$C,MATCH($C$1,Database!$A$1:$C$1,),)=0,#N/A,VLOOKUP(Table7[[#This Row],[Date]],Database!$A:$C,MATCH($C$1,Database!$A$1:$C$1,),))</f>
        <v/>
      </c>
      <c r="D7795">
        <f>IFERROR(Table7[[#This Row],[United States 10y]]-Table7[[#This Row],[United States 3y]],#N/A)</f>
        <v/>
      </c>
    </row>
    <row r="7796">
      <c r="A7796" s="6">
        <f>Database!$A9881</f>
        <v/>
      </c>
      <c r="B7796">
        <f>IF(VLOOKUP(Table7[[#This Row],[Date]],Database!$A:$C,MATCH($B$1,Database!$A$1:$C$1,),)=0,#N/A,VLOOKUP(Table7[[#This Row],[Date]],Database!$A:$C,MATCH($B$1,Database!$A$1:$C$1,),))</f>
        <v/>
      </c>
      <c r="C7796">
        <f>IF(VLOOKUP(Table7[[#This Row],[Date]],Database!$A:$C,MATCH($C$1,Database!$A$1:$C$1,),)=0,#N/A,VLOOKUP(Table7[[#This Row],[Date]],Database!$A:$C,MATCH($C$1,Database!$A$1:$C$1,),))</f>
        <v/>
      </c>
      <c r="D7796">
        <f>IFERROR(Table7[[#This Row],[United States 10y]]-Table7[[#This Row],[United States 3y]],#N/A)</f>
        <v/>
      </c>
    </row>
    <row r="7797">
      <c r="A7797" s="6">
        <f>Database!$A9882</f>
        <v/>
      </c>
      <c r="B7797">
        <f>IF(VLOOKUP(Table7[[#This Row],[Date]],Database!$A:$C,MATCH($B$1,Database!$A$1:$C$1,),)=0,#N/A,VLOOKUP(Table7[[#This Row],[Date]],Database!$A:$C,MATCH($B$1,Database!$A$1:$C$1,),))</f>
        <v/>
      </c>
      <c r="C7797">
        <f>IF(VLOOKUP(Table7[[#This Row],[Date]],Database!$A:$C,MATCH($C$1,Database!$A$1:$C$1,),)=0,#N/A,VLOOKUP(Table7[[#This Row],[Date]],Database!$A:$C,MATCH($C$1,Database!$A$1:$C$1,),))</f>
        <v/>
      </c>
      <c r="D7797">
        <f>IFERROR(Table7[[#This Row],[United States 10y]]-Table7[[#This Row],[United States 3y]],#N/A)</f>
        <v/>
      </c>
    </row>
    <row r="7798">
      <c r="A7798" s="6">
        <f>Database!$A9883</f>
        <v/>
      </c>
      <c r="B7798">
        <f>IF(VLOOKUP(Table7[[#This Row],[Date]],Database!$A:$C,MATCH($B$1,Database!$A$1:$C$1,),)=0,#N/A,VLOOKUP(Table7[[#This Row],[Date]],Database!$A:$C,MATCH($B$1,Database!$A$1:$C$1,),))</f>
        <v/>
      </c>
      <c r="C7798">
        <f>IF(VLOOKUP(Table7[[#This Row],[Date]],Database!$A:$C,MATCH($C$1,Database!$A$1:$C$1,),)=0,#N/A,VLOOKUP(Table7[[#This Row],[Date]],Database!$A:$C,MATCH($C$1,Database!$A$1:$C$1,),))</f>
        <v/>
      </c>
      <c r="D7798">
        <f>IFERROR(Table7[[#This Row],[United States 10y]]-Table7[[#This Row],[United States 3y]],#N/A)</f>
        <v/>
      </c>
    </row>
    <row r="7799">
      <c r="A7799" s="6">
        <f>Database!$A9884</f>
        <v/>
      </c>
      <c r="B7799">
        <f>IF(VLOOKUP(Table7[[#This Row],[Date]],Database!$A:$C,MATCH($B$1,Database!$A$1:$C$1,),)=0,#N/A,VLOOKUP(Table7[[#This Row],[Date]],Database!$A:$C,MATCH($B$1,Database!$A$1:$C$1,),))</f>
        <v/>
      </c>
      <c r="C7799">
        <f>IF(VLOOKUP(Table7[[#This Row],[Date]],Database!$A:$C,MATCH($C$1,Database!$A$1:$C$1,),)=0,#N/A,VLOOKUP(Table7[[#This Row],[Date]],Database!$A:$C,MATCH($C$1,Database!$A$1:$C$1,),))</f>
        <v/>
      </c>
      <c r="D7799">
        <f>IFERROR(Table7[[#This Row],[United States 10y]]-Table7[[#This Row],[United States 3y]],#N/A)</f>
        <v/>
      </c>
    </row>
    <row r="7800">
      <c r="A7800" s="6">
        <f>Database!$A9885</f>
        <v/>
      </c>
      <c r="B7800">
        <f>IF(VLOOKUP(Table7[[#This Row],[Date]],Database!$A:$C,MATCH($B$1,Database!$A$1:$C$1,),)=0,#N/A,VLOOKUP(Table7[[#This Row],[Date]],Database!$A:$C,MATCH($B$1,Database!$A$1:$C$1,),))</f>
        <v/>
      </c>
      <c r="C7800">
        <f>IF(VLOOKUP(Table7[[#This Row],[Date]],Database!$A:$C,MATCH($C$1,Database!$A$1:$C$1,),)=0,#N/A,VLOOKUP(Table7[[#This Row],[Date]],Database!$A:$C,MATCH($C$1,Database!$A$1:$C$1,),))</f>
        <v/>
      </c>
      <c r="D7800">
        <f>IFERROR(Table7[[#This Row],[United States 10y]]-Table7[[#This Row],[United States 3y]],#N/A)</f>
        <v/>
      </c>
    </row>
    <row r="7801">
      <c r="A7801" s="6">
        <f>Database!$A9886</f>
        <v/>
      </c>
      <c r="B7801">
        <f>IF(VLOOKUP(Table7[[#This Row],[Date]],Database!$A:$C,MATCH($B$1,Database!$A$1:$C$1,),)=0,#N/A,VLOOKUP(Table7[[#This Row],[Date]],Database!$A:$C,MATCH($B$1,Database!$A$1:$C$1,),))</f>
        <v/>
      </c>
      <c r="C7801">
        <f>IF(VLOOKUP(Table7[[#This Row],[Date]],Database!$A:$C,MATCH($C$1,Database!$A$1:$C$1,),)=0,#N/A,VLOOKUP(Table7[[#This Row],[Date]],Database!$A:$C,MATCH($C$1,Database!$A$1:$C$1,),))</f>
        <v/>
      </c>
      <c r="D7801">
        <f>IFERROR(Table7[[#This Row],[United States 10y]]-Table7[[#This Row],[United States 3y]],#N/A)</f>
        <v/>
      </c>
    </row>
    <row r="7802">
      <c r="A7802" s="6">
        <f>Database!$A9887</f>
        <v/>
      </c>
      <c r="B7802">
        <f>IF(VLOOKUP(Table7[[#This Row],[Date]],Database!$A:$C,MATCH($B$1,Database!$A$1:$C$1,),)=0,#N/A,VLOOKUP(Table7[[#This Row],[Date]],Database!$A:$C,MATCH($B$1,Database!$A$1:$C$1,),))</f>
        <v/>
      </c>
      <c r="C7802">
        <f>IF(VLOOKUP(Table7[[#This Row],[Date]],Database!$A:$C,MATCH($C$1,Database!$A$1:$C$1,),)=0,#N/A,VLOOKUP(Table7[[#This Row],[Date]],Database!$A:$C,MATCH($C$1,Database!$A$1:$C$1,),))</f>
        <v/>
      </c>
      <c r="D7802">
        <f>IFERROR(Table7[[#This Row],[United States 10y]]-Table7[[#This Row],[United States 3y]],#N/A)</f>
        <v/>
      </c>
    </row>
    <row r="7803">
      <c r="A7803" s="6">
        <f>Database!$A9888</f>
        <v/>
      </c>
      <c r="B7803">
        <f>IF(VLOOKUP(Table7[[#This Row],[Date]],Database!$A:$C,MATCH($B$1,Database!$A$1:$C$1,),)=0,#N/A,VLOOKUP(Table7[[#This Row],[Date]],Database!$A:$C,MATCH($B$1,Database!$A$1:$C$1,),))</f>
        <v/>
      </c>
      <c r="C7803">
        <f>IF(VLOOKUP(Table7[[#This Row],[Date]],Database!$A:$C,MATCH($C$1,Database!$A$1:$C$1,),)=0,#N/A,VLOOKUP(Table7[[#This Row],[Date]],Database!$A:$C,MATCH($C$1,Database!$A$1:$C$1,),))</f>
        <v/>
      </c>
      <c r="D7803">
        <f>IFERROR(Table7[[#This Row],[United States 10y]]-Table7[[#This Row],[United States 3y]],#N/A)</f>
        <v/>
      </c>
    </row>
    <row r="7804">
      <c r="A7804" s="6">
        <f>Database!$A9889</f>
        <v/>
      </c>
      <c r="B7804">
        <f>IF(VLOOKUP(Table7[[#This Row],[Date]],Database!$A:$C,MATCH($B$1,Database!$A$1:$C$1,),)=0,#N/A,VLOOKUP(Table7[[#This Row],[Date]],Database!$A:$C,MATCH($B$1,Database!$A$1:$C$1,),))</f>
        <v/>
      </c>
      <c r="C7804">
        <f>IF(VLOOKUP(Table7[[#This Row],[Date]],Database!$A:$C,MATCH($C$1,Database!$A$1:$C$1,),)=0,#N/A,VLOOKUP(Table7[[#This Row],[Date]],Database!$A:$C,MATCH($C$1,Database!$A$1:$C$1,),))</f>
        <v/>
      </c>
      <c r="D7804">
        <f>IFERROR(Table7[[#This Row],[United States 10y]]-Table7[[#This Row],[United States 3y]],#N/A)</f>
        <v/>
      </c>
    </row>
    <row r="7805">
      <c r="A7805" s="6">
        <f>Database!$A9890</f>
        <v/>
      </c>
      <c r="B7805">
        <f>IF(VLOOKUP(Table7[[#This Row],[Date]],Database!$A:$C,MATCH($B$1,Database!$A$1:$C$1,),)=0,#N/A,VLOOKUP(Table7[[#This Row],[Date]],Database!$A:$C,MATCH($B$1,Database!$A$1:$C$1,),))</f>
        <v/>
      </c>
      <c r="C7805">
        <f>IF(VLOOKUP(Table7[[#This Row],[Date]],Database!$A:$C,MATCH($C$1,Database!$A$1:$C$1,),)=0,#N/A,VLOOKUP(Table7[[#This Row],[Date]],Database!$A:$C,MATCH($C$1,Database!$A$1:$C$1,),))</f>
        <v/>
      </c>
      <c r="D7805">
        <f>IFERROR(Table7[[#This Row],[United States 10y]]-Table7[[#This Row],[United States 3y]],#N/A)</f>
        <v/>
      </c>
    </row>
    <row r="7806">
      <c r="A7806" s="6">
        <f>Database!$A9891</f>
        <v/>
      </c>
      <c r="B7806">
        <f>IF(VLOOKUP(Table7[[#This Row],[Date]],Database!$A:$C,MATCH($B$1,Database!$A$1:$C$1,),)=0,#N/A,VLOOKUP(Table7[[#This Row],[Date]],Database!$A:$C,MATCH($B$1,Database!$A$1:$C$1,),))</f>
        <v/>
      </c>
      <c r="C7806">
        <f>IF(VLOOKUP(Table7[[#This Row],[Date]],Database!$A:$C,MATCH($C$1,Database!$A$1:$C$1,),)=0,#N/A,VLOOKUP(Table7[[#This Row],[Date]],Database!$A:$C,MATCH($C$1,Database!$A$1:$C$1,),))</f>
        <v/>
      </c>
      <c r="D7806">
        <f>IFERROR(Table7[[#This Row],[United States 10y]]-Table7[[#This Row],[United States 3y]],#N/A)</f>
        <v/>
      </c>
    </row>
    <row r="7807">
      <c r="A7807" s="6">
        <f>Database!$A9892</f>
        <v/>
      </c>
      <c r="B7807">
        <f>IF(VLOOKUP(Table7[[#This Row],[Date]],Database!$A:$C,MATCH($B$1,Database!$A$1:$C$1,),)=0,#N/A,VLOOKUP(Table7[[#This Row],[Date]],Database!$A:$C,MATCH($B$1,Database!$A$1:$C$1,),))</f>
        <v/>
      </c>
      <c r="C7807">
        <f>IF(VLOOKUP(Table7[[#This Row],[Date]],Database!$A:$C,MATCH($C$1,Database!$A$1:$C$1,),)=0,#N/A,VLOOKUP(Table7[[#This Row],[Date]],Database!$A:$C,MATCH($C$1,Database!$A$1:$C$1,),))</f>
        <v/>
      </c>
      <c r="D7807">
        <f>IFERROR(Table7[[#This Row],[United States 10y]]-Table7[[#This Row],[United States 3y]],#N/A)</f>
        <v/>
      </c>
    </row>
    <row r="7808">
      <c r="A7808" s="6">
        <f>Database!$A9893</f>
        <v/>
      </c>
      <c r="B7808">
        <f>IF(VLOOKUP(Table7[[#This Row],[Date]],Database!$A:$C,MATCH($B$1,Database!$A$1:$C$1,),)=0,#N/A,VLOOKUP(Table7[[#This Row],[Date]],Database!$A:$C,MATCH($B$1,Database!$A$1:$C$1,),))</f>
        <v/>
      </c>
      <c r="C7808">
        <f>IF(VLOOKUP(Table7[[#This Row],[Date]],Database!$A:$C,MATCH($C$1,Database!$A$1:$C$1,),)=0,#N/A,VLOOKUP(Table7[[#This Row],[Date]],Database!$A:$C,MATCH($C$1,Database!$A$1:$C$1,),))</f>
        <v/>
      </c>
      <c r="D7808">
        <f>IFERROR(Table7[[#This Row],[United States 10y]]-Table7[[#This Row],[United States 3y]],#N/A)</f>
        <v/>
      </c>
    </row>
    <row r="7809">
      <c r="A7809" s="6">
        <f>Database!$A9894</f>
        <v/>
      </c>
      <c r="B7809">
        <f>IF(VLOOKUP(Table7[[#This Row],[Date]],Database!$A:$C,MATCH($B$1,Database!$A$1:$C$1,),)=0,#N/A,VLOOKUP(Table7[[#This Row],[Date]],Database!$A:$C,MATCH($B$1,Database!$A$1:$C$1,),))</f>
        <v/>
      </c>
      <c r="C7809">
        <f>IF(VLOOKUP(Table7[[#This Row],[Date]],Database!$A:$C,MATCH($C$1,Database!$A$1:$C$1,),)=0,#N/A,VLOOKUP(Table7[[#This Row],[Date]],Database!$A:$C,MATCH($C$1,Database!$A$1:$C$1,),))</f>
        <v/>
      </c>
      <c r="D7809">
        <f>IFERROR(Table7[[#This Row],[United States 10y]]-Table7[[#This Row],[United States 3y]],#N/A)</f>
        <v/>
      </c>
    </row>
    <row r="7810">
      <c r="A7810" s="6">
        <f>Database!$A9895</f>
        <v/>
      </c>
      <c r="B7810">
        <f>IF(VLOOKUP(Table7[[#This Row],[Date]],Database!$A:$C,MATCH($B$1,Database!$A$1:$C$1,),)=0,#N/A,VLOOKUP(Table7[[#This Row],[Date]],Database!$A:$C,MATCH($B$1,Database!$A$1:$C$1,),))</f>
        <v/>
      </c>
      <c r="C7810">
        <f>IF(VLOOKUP(Table7[[#This Row],[Date]],Database!$A:$C,MATCH($C$1,Database!$A$1:$C$1,),)=0,#N/A,VLOOKUP(Table7[[#This Row],[Date]],Database!$A:$C,MATCH($C$1,Database!$A$1:$C$1,),))</f>
        <v/>
      </c>
      <c r="D7810">
        <f>IFERROR(Table7[[#This Row],[United States 10y]]-Table7[[#This Row],[United States 3y]],#N/A)</f>
        <v/>
      </c>
    </row>
    <row r="7811">
      <c r="A7811" s="6">
        <f>Database!$A9896</f>
        <v/>
      </c>
      <c r="B7811">
        <f>IF(VLOOKUP(Table7[[#This Row],[Date]],Database!$A:$C,MATCH($B$1,Database!$A$1:$C$1,),)=0,#N/A,VLOOKUP(Table7[[#This Row],[Date]],Database!$A:$C,MATCH($B$1,Database!$A$1:$C$1,),))</f>
        <v/>
      </c>
      <c r="C7811">
        <f>IF(VLOOKUP(Table7[[#This Row],[Date]],Database!$A:$C,MATCH($C$1,Database!$A$1:$C$1,),)=0,#N/A,VLOOKUP(Table7[[#This Row],[Date]],Database!$A:$C,MATCH($C$1,Database!$A$1:$C$1,),))</f>
        <v/>
      </c>
      <c r="D7811">
        <f>IFERROR(Table7[[#This Row],[United States 10y]]-Table7[[#This Row],[United States 3y]],#N/A)</f>
        <v/>
      </c>
    </row>
    <row r="7812">
      <c r="A7812" s="6">
        <f>Database!$A9897</f>
        <v/>
      </c>
      <c r="B7812">
        <f>IF(VLOOKUP(Table7[[#This Row],[Date]],Database!$A:$C,MATCH($B$1,Database!$A$1:$C$1,),)=0,#N/A,VLOOKUP(Table7[[#This Row],[Date]],Database!$A:$C,MATCH($B$1,Database!$A$1:$C$1,),))</f>
        <v/>
      </c>
      <c r="C7812">
        <f>IF(VLOOKUP(Table7[[#This Row],[Date]],Database!$A:$C,MATCH($C$1,Database!$A$1:$C$1,),)=0,#N/A,VLOOKUP(Table7[[#This Row],[Date]],Database!$A:$C,MATCH($C$1,Database!$A$1:$C$1,),))</f>
        <v/>
      </c>
      <c r="D7812">
        <f>IFERROR(Table7[[#This Row],[United States 10y]]-Table7[[#This Row],[United States 3y]],#N/A)</f>
        <v/>
      </c>
    </row>
    <row r="7813">
      <c r="A7813" s="6">
        <f>Database!$A9898</f>
        <v/>
      </c>
      <c r="B7813">
        <f>IF(VLOOKUP(Table7[[#This Row],[Date]],Database!$A:$C,MATCH($B$1,Database!$A$1:$C$1,),)=0,#N/A,VLOOKUP(Table7[[#This Row],[Date]],Database!$A:$C,MATCH($B$1,Database!$A$1:$C$1,),))</f>
        <v/>
      </c>
      <c r="C7813">
        <f>IF(VLOOKUP(Table7[[#This Row],[Date]],Database!$A:$C,MATCH($C$1,Database!$A$1:$C$1,),)=0,#N/A,VLOOKUP(Table7[[#This Row],[Date]],Database!$A:$C,MATCH($C$1,Database!$A$1:$C$1,),))</f>
        <v/>
      </c>
      <c r="D7813">
        <f>IFERROR(Table7[[#This Row],[United States 10y]]-Table7[[#This Row],[United States 3y]],#N/A)</f>
        <v/>
      </c>
    </row>
    <row r="7814">
      <c r="A7814" s="6">
        <f>Database!$A9899</f>
        <v/>
      </c>
      <c r="B7814">
        <f>IF(VLOOKUP(Table7[[#This Row],[Date]],Database!$A:$C,MATCH($B$1,Database!$A$1:$C$1,),)=0,#N/A,VLOOKUP(Table7[[#This Row],[Date]],Database!$A:$C,MATCH($B$1,Database!$A$1:$C$1,),))</f>
        <v/>
      </c>
      <c r="C7814">
        <f>IF(VLOOKUP(Table7[[#This Row],[Date]],Database!$A:$C,MATCH($C$1,Database!$A$1:$C$1,),)=0,#N/A,VLOOKUP(Table7[[#This Row],[Date]],Database!$A:$C,MATCH($C$1,Database!$A$1:$C$1,),))</f>
        <v/>
      </c>
      <c r="D7814">
        <f>IFERROR(Table7[[#This Row],[United States 10y]]-Table7[[#This Row],[United States 3y]],#N/A)</f>
        <v/>
      </c>
    </row>
    <row r="7815">
      <c r="A7815" s="6">
        <f>Database!$A9900</f>
        <v/>
      </c>
      <c r="B7815">
        <f>IF(VLOOKUP(Table7[[#This Row],[Date]],Database!$A:$C,MATCH($B$1,Database!$A$1:$C$1,),)=0,#N/A,VLOOKUP(Table7[[#This Row],[Date]],Database!$A:$C,MATCH($B$1,Database!$A$1:$C$1,),))</f>
        <v/>
      </c>
      <c r="C7815">
        <f>IF(VLOOKUP(Table7[[#This Row],[Date]],Database!$A:$C,MATCH($C$1,Database!$A$1:$C$1,),)=0,#N/A,VLOOKUP(Table7[[#This Row],[Date]],Database!$A:$C,MATCH($C$1,Database!$A$1:$C$1,),))</f>
        <v/>
      </c>
      <c r="D7815">
        <f>IFERROR(Table7[[#This Row],[United States 10y]]-Table7[[#This Row],[United States 3y]],#N/A)</f>
        <v/>
      </c>
    </row>
    <row r="7816">
      <c r="A7816" s="6">
        <f>Database!$A9901</f>
        <v/>
      </c>
      <c r="B7816">
        <f>IF(VLOOKUP(Table7[[#This Row],[Date]],Database!$A:$C,MATCH($B$1,Database!$A$1:$C$1,),)=0,#N/A,VLOOKUP(Table7[[#This Row],[Date]],Database!$A:$C,MATCH($B$1,Database!$A$1:$C$1,),))</f>
        <v/>
      </c>
      <c r="C7816">
        <f>IF(VLOOKUP(Table7[[#This Row],[Date]],Database!$A:$C,MATCH($C$1,Database!$A$1:$C$1,),)=0,#N/A,VLOOKUP(Table7[[#This Row],[Date]],Database!$A:$C,MATCH($C$1,Database!$A$1:$C$1,),))</f>
        <v/>
      </c>
      <c r="D7816">
        <f>IFERROR(Table7[[#This Row],[United States 10y]]-Table7[[#This Row],[United States 3y]],#N/A)</f>
        <v/>
      </c>
    </row>
    <row r="7817">
      <c r="A7817" s="6">
        <f>Database!$A9902</f>
        <v/>
      </c>
      <c r="B7817">
        <f>IF(VLOOKUP(Table7[[#This Row],[Date]],Database!$A:$C,MATCH($B$1,Database!$A$1:$C$1,),)=0,#N/A,VLOOKUP(Table7[[#This Row],[Date]],Database!$A:$C,MATCH($B$1,Database!$A$1:$C$1,),))</f>
        <v/>
      </c>
      <c r="C7817">
        <f>IF(VLOOKUP(Table7[[#This Row],[Date]],Database!$A:$C,MATCH($C$1,Database!$A$1:$C$1,),)=0,#N/A,VLOOKUP(Table7[[#This Row],[Date]],Database!$A:$C,MATCH($C$1,Database!$A$1:$C$1,),))</f>
        <v/>
      </c>
      <c r="D7817">
        <f>IFERROR(Table7[[#This Row],[United States 10y]]-Table7[[#This Row],[United States 3y]],#N/A)</f>
        <v/>
      </c>
    </row>
    <row r="7818">
      <c r="A7818" s="6">
        <f>Database!$A9903</f>
        <v/>
      </c>
      <c r="B7818">
        <f>IF(VLOOKUP(Table7[[#This Row],[Date]],Database!$A:$C,MATCH($B$1,Database!$A$1:$C$1,),)=0,#N/A,VLOOKUP(Table7[[#This Row],[Date]],Database!$A:$C,MATCH($B$1,Database!$A$1:$C$1,),))</f>
        <v/>
      </c>
      <c r="C7818">
        <f>IF(VLOOKUP(Table7[[#This Row],[Date]],Database!$A:$C,MATCH($C$1,Database!$A$1:$C$1,),)=0,#N/A,VLOOKUP(Table7[[#This Row],[Date]],Database!$A:$C,MATCH($C$1,Database!$A$1:$C$1,),))</f>
        <v/>
      </c>
      <c r="D7818">
        <f>IFERROR(Table7[[#This Row],[United States 10y]]-Table7[[#This Row],[United States 3y]],#N/A)</f>
        <v/>
      </c>
    </row>
    <row r="7819">
      <c r="A7819" s="6">
        <f>Database!$A9904</f>
        <v/>
      </c>
      <c r="B7819">
        <f>IF(VLOOKUP(Table7[[#This Row],[Date]],Database!$A:$C,MATCH($B$1,Database!$A$1:$C$1,),)=0,#N/A,VLOOKUP(Table7[[#This Row],[Date]],Database!$A:$C,MATCH($B$1,Database!$A$1:$C$1,),))</f>
        <v/>
      </c>
      <c r="C7819">
        <f>IF(VLOOKUP(Table7[[#This Row],[Date]],Database!$A:$C,MATCH($C$1,Database!$A$1:$C$1,),)=0,#N/A,VLOOKUP(Table7[[#This Row],[Date]],Database!$A:$C,MATCH($C$1,Database!$A$1:$C$1,),))</f>
        <v/>
      </c>
      <c r="D7819">
        <f>IFERROR(Table7[[#This Row],[United States 10y]]-Table7[[#This Row],[United States 3y]],#N/A)</f>
        <v/>
      </c>
    </row>
    <row r="7820">
      <c r="A7820" s="6">
        <f>Database!$A9905</f>
        <v/>
      </c>
      <c r="B7820">
        <f>IF(VLOOKUP(Table7[[#This Row],[Date]],Database!$A:$C,MATCH($B$1,Database!$A$1:$C$1,),)=0,#N/A,VLOOKUP(Table7[[#This Row],[Date]],Database!$A:$C,MATCH($B$1,Database!$A$1:$C$1,),))</f>
        <v/>
      </c>
      <c r="C7820">
        <f>IF(VLOOKUP(Table7[[#This Row],[Date]],Database!$A:$C,MATCH($C$1,Database!$A$1:$C$1,),)=0,#N/A,VLOOKUP(Table7[[#This Row],[Date]],Database!$A:$C,MATCH($C$1,Database!$A$1:$C$1,),))</f>
        <v/>
      </c>
      <c r="D7820">
        <f>IFERROR(Table7[[#This Row],[United States 10y]]-Table7[[#This Row],[United States 3y]],#N/A)</f>
        <v/>
      </c>
    </row>
    <row r="7821">
      <c r="A7821" s="6">
        <f>Database!$A9906</f>
        <v/>
      </c>
      <c r="B7821">
        <f>IF(VLOOKUP(Table7[[#This Row],[Date]],Database!$A:$C,MATCH($B$1,Database!$A$1:$C$1,),)=0,#N/A,VLOOKUP(Table7[[#This Row],[Date]],Database!$A:$C,MATCH($B$1,Database!$A$1:$C$1,),))</f>
        <v/>
      </c>
      <c r="C7821">
        <f>IF(VLOOKUP(Table7[[#This Row],[Date]],Database!$A:$C,MATCH($C$1,Database!$A$1:$C$1,),)=0,#N/A,VLOOKUP(Table7[[#This Row],[Date]],Database!$A:$C,MATCH($C$1,Database!$A$1:$C$1,),))</f>
        <v/>
      </c>
      <c r="D7821">
        <f>IFERROR(Table7[[#This Row],[United States 10y]]-Table7[[#This Row],[United States 3y]],#N/A)</f>
        <v/>
      </c>
    </row>
    <row r="7822">
      <c r="A7822" s="6">
        <f>Database!$A9907</f>
        <v/>
      </c>
      <c r="B7822">
        <f>IF(VLOOKUP(Table7[[#This Row],[Date]],Database!$A:$C,MATCH($B$1,Database!$A$1:$C$1,),)=0,#N/A,VLOOKUP(Table7[[#This Row],[Date]],Database!$A:$C,MATCH($B$1,Database!$A$1:$C$1,),))</f>
        <v/>
      </c>
      <c r="C7822">
        <f>IF(VLOOKUP(Table7[[#This Row],[Date]],Database!$A:$C,MATCH($C$1,Database!$A$1:$C$1,),)=0,#N/A,VLOOKUP(Table7[[#This Row],[Date]],Database!$A:$C,MATCH($C$1,Database!$A$1:$C$1,),))</f>
        <v/>
      </c>
      <c r="D7822">
        <f>IFERROR(Table7[[#This Row],[United States 10y]]-Table7[[#This Row],[United States 3y]],#N/A)</f>
        <v/>
      </c>
    </row>
    <row r="7823">
      <c r="A7823" s="6">
        <f>Database!$A9908</f>
        <v/>
      </c>
      <c r="B7823">
        <f>IF(VLOOKUP(Table7[[#This Row],[Date]],Database!$A:$C,MATCH($B$1,Database!$A$1:$C$1,),)=0,#N/A,VLOOKUP(Table7[[#This Row],[Date]],Database!$A:$C,MATCH($B$1,Database!$A$1:$C$1,),))</f>
        <v/>
      </c>
      <c r="C7823">
        <f>IF(VLOOKUP(Table7[[#This Row],[Date]],Database!$A:$C,MATCH($C$1,Database!$A$1:$C$1,),)=0,#N/A,VLOOKUP(Table7[[#This Row],[Date]],Database!$A:$C,MATCH($C$1,Database!$A$1:$C$1,),))</f>
        <v/>
      </c>
      <c r="D7823">
        <f>IFERROR(Table7[[#This Row],[United States 10y]]-Table7[[#This Row],[United States 3y]],#N/A)</f>
        <v/>
      </c>
    </row>
    <row r="7824">
      <c r="A7824" s="6">
        <f>Database!$A9909</f>
        <v/>
      </c>
      <c r="B7824">
        <f>IF(VLOOKUP(Table7[[#This Row],[Date]],Database!$A:$C,MATCH($B$1,Database!$A$1:$C$1,),)=0,#N/A,VLOOKUP(Table7[[#This Row],[Date]],Database!$A:$C,MATCH($B$1,Database!$A$1:$C$1,),))</f>
        <v/>
      </c>
      <c r="C7824">
        <f>IF(VLOOKUP(Table7[[#This Row],[Date]],Database!$A:$C,MATCH($C$1,Database!$A$1:$C$1,),)=0,#N/A,VLOOKUP(Table7[[#This Row],[Date]],Database!$A:$C,MATCH($C$1,Database!$A$1:$C$1,),))</f>
        <v/>
      </c>
      <c r="D7824">
        <f>IFERROR(Table7[[#This Row],[United States 10y]]-Table7[[#This Row],[United States 3y]],#N/A)</f>
        <v/>
      </c>
    </row>
    <row r="7825">
      <c r="A7825" s="6">
        <f>Database!$A9910</f>
        <v/>
      </c>
      <c r="B7825">
        <f>IF(VLOOKUP(Table7[[#This Row],[Date]],Database!$A:$C,MATCH($B$1,Database!$A$1:$C$1,),)=0,#N/A,VLOOKUP(Table7[[#This Row],[Date]],Database!$A:$C,MATCH($B$1,Database!$A$1:$C$1,),))</f>
        <v/>
      </c>
      <c r="C7825">
        <f>IF(VLOOKUP(Table7[[#This Row],[Date]],Database!$A:$C,MATCH($C$1,Database!$A$1:$C$1,),)=0,#N/A,VLOOKUP(Table7[[#This Row],[Date]],Database!$A:$C,MATCH($C$1,Database!$A$1:$C$1,),))</f>
        <v/>
      </c>
      <c r="D7825">
        <f>IFERROR(Table7[[#This Row],[United States 10y]]-Table7[[#This Row],[United States 3y]],#N/A)</f>
        <v/>
      </c>
    </row>
    <row r="7826">
      <c r="A7826" s="6">
        <f>Database!$A9911</f>
        <v/>
      </c>
      <c r="B7826">
        <f>IF(VLOOKUP(Table7[[#This Row],[Date]],Database!$A:$C,MATCH($B$1,Database!$A$1:$C$1,),)=0,#N/A,VLOOKUP(Table7[[#This Row],[Date]],Database!$A:$C,MATCH($B$1,Database!$A$1:$C$1,),))</f>
        <v/>
      </c>
      <c r="C7826">
        <f>IF(VLOOKUP(Table7[[#This Row],[Date]],Database!$A:$C,MATCH($C$1,Database!$A$1:$C$1,),)=0,#N/A,VLOOKUP(Table7[[#This Row],[Date]],Database!$A:$C,MATCH($C$1,Database!$A$1:$C$1,),))</f>
        <v/>
      </c>
      <c r="D7826">
        <f>IFERROR(Table7[[#This Row],[United States 10y]]-Table7[[#This Row],[United States 3y]],#N/A)</f>
        <v/>
      </c>
    </row>
    <row r="7827">
      <c r="A7827" s="6">
        <f>Database!$A9912</f>
        <v/>
      </c>
      <c r="B7827">
        <f>IF(VLOOKUP(Table7[[#This Row],[Date]],Database!$A:$C,MATCH($B$1,Database!$A$1:$C$1,),)=0,#N/A,VLOOKUP(Table7[[#This Row],[Date]],Database!$A:$C,MATCH($B$1,Database!$A$1:$C$1,),))</f>
        <v/>
      </c>
      <c r="C7827">
        <f>IF(VLOOKUP(Table7[[#This Row],[Date]],Database!$A:$C,MATCH($C$1,Database!$A$1:$C$1,),)=0,#N/A,VLOOKUP(Table7[[#This Row],[Date]],Database!$A:$C,MATCH($C$1,Database!$A$1:$C$1,),))</f>
        <v/>
      </c>
      <c r="D7827">
        <f>IFERROR(Table7[[#This Row],[United States 10y]]-Table7[[#This Row],[United States 3y]],#N/A)</f>
        <v/>
      </c>
    </row>
    <row r="7828">
      <c r="A7828" s="6">
        <f>Database!$A9913</f>
        <v/>
      </c>
      <c r="B7828">
        <f>IF(VLOOKUP(Table7[[#This Row],[Date]],Database!$A:$C,MATCH($B$1,Database!$A$1:$C$1,),)=0,#N/A,VLOOKUP(Table7[[#This Row],[Date]],Database!$A:$C,MATCH($B$1,Database!$A$1:$C$1,),))</f>
        <v/>
      </c>
      <c r="C7828">
        <f>IF(VLOOKUP(Table7[[#This Row],[Date]],Database!$A:$C,MATCH($C$1,Database!$A$1:$C$1,),)=0,#N/A,VLOOKUP(Table7[[#This Row],[Date]],Database!$A:$C,MATCH($C$1,Database!$A$1:$C$1,),))</f>
        <v/>
      </c>
      <c r="D7828">
        <f>IFERROR(Table7[[#This Row],[United States 10y]]-Table7[[#This Row],[United States 3y]],#N/A)</f>
        <v/>
      </c>
    </row>
    <row r="7829">
      <c r="A7829" s="6">
        <f>Database!$A9914</f>
        <v/>
      </c>
      <c r="B7829">
        <f>IF(VLOOKUP(Table7[[#This Row],[Date]],Database!$A:$C,MATCH($B$1,Database!$A$1:$C$1,),)=0,#N/A,VLOOKUP(Table7[[#This Row],[Date]],Database!$A:$C,MATCH($B$1,Database!$A$1:$C$1,),))</f>
        <v/>
      </c>
      <c r="C7829">
        <f>IF(VLOOKUP(Table7[[#This Row],[Date]],Database!$A:$C,MATCH($C$1,Database!$A$1:$C$1,),)=0,#N/A,VLOOKUP(Table7[[#This Row],[Date]],Database!$A:$C,MATCH($C$1,Database!$A$1:$C$1,),))</f>
        <v/>
      </c>
      <c r="D7829">
        <f>IFERROR(Table7[[#This Row],[United States 10y]]-Table7[[#This Row],[United States 3y]],#N/A)</f>
        <v/>
      </c>
    </row>
    <row r="7830">
      <c r="A7830" s="6">
        <f>Database!$A9915</f>
        <v/>
      </c>
      <c r="B7830">
        <f>IF(VLOOKUP(Table7[[#This Row],[Date]],Database!$A:$C,MATCH($B$1,Database!$A$1:$C$1,),)=0,#N/A,VLOOKUP(Table7[[#This Row],[Date]],Database!$A:$C,MATCH($B$1,Database!$A$1:$C$1,),))</f>
        <v/>
      </c>
      <c r="C7830">
        <f>IF(VLOOKUP(Table7[[#This Row],[Date]],Database!$A:$C,MATCH($C$1,Database!$A$1:$C$1,),)=0,#N/A,VLOOKUP(Table7[[#This Row],[Date]],Database!$A:$C,MATCH($C$1,Database!$A$1:$C$1,),))</f>
        <v/>
      </c>
      <c r="D7830">
        <f>IFERROR(Table7[[#This Row],[United States 10y]]-Table7[[#This Row],[United States 3y]],#N/A)</f>
        <v/>
      </c>
    </row>
    <row r="7831">
      <c r="A7831" s="6">
        <f>Database!$A9916</f>
        <v/>
      </c>
      <c r="B7831">
        <f>IF(VLOOKUP(Table7[[#This Row],[Date]],Database!$A:$C,MATCH($B$1,Database!$A$1:$C$1,),)=0,#N/A,VLOOKUP(Table7[[#This Row],[Date]],Database!$A:$C,MATCH($B$1,Database!$A$1:$C$1,),))</f>
        <v/>
      </c>
      <c r="C7831">
        <f>IF(VLOOKUP(Table7[[#This Row],[Date]],Database!$A:$C,MATCH($C$1,Database!$A$1:$C$1,),)=0,#N/A,VLOOKUP(Table7[[#This Row],[Date]],Database!$A:$C,MATCH($C$1,Database!$A$1:$C$1,),))</f>
        <v/>
      </c>
      <c r="D7831">
        <f>IFERROR(Table7[[#This Row],[United States 10y]]-Table7[[#This Row],[United States 3y]],#N/A)</f>
        <v/>
      </c>
    </row>
    <row r="7832">
      <c r="A7832" s="6">
        <f>Database!$A9917</f>
        <v/>
      </c>
      <c r="B7832">
        <f>IF(VLOOKUP(Table7[[#This Row],[Date]],Database!$A:$C,MATCH($B$1,Database!$A$1:$C$1,),)=0,#N/A,VLOOKUP(Table7[[#This Row],[Date]],Database!$A:$C,MATCH($B$1,Database!$A$1:$C$1,),))</f>
        <v/>
      </c>
      <c r="C7832">
        <f>IF(VLOOKUP(Table7[[#This Row],[Date]],Database!$A:$C,MATCH($C$1,Database!$A$1:$C$1,),)=0,#N/A,VLOOKUP(Table7[[#This Row],[Date]],Database!$A:$C,MATCH($C$1,Database!$A$1:$C$1,),))</f>
        <v/>
      </c>
      <c r="D7832">
        <f>IFERROR(Table7[[#This Row],[United States 10y]]-Table7[[#This Row],[United States 3y]],#N/A)</f>
        <v/>
      </c>
    </row>
    <row r="7833">
      <c r="A7833" s="6">
        <f>Database!$A9918</f>
        <v/>
      </c>
      <c r="B7833">
        <f>IF(VLOOKUP(Table7[[#This Row],[Date]],Database!$A:$C,MATCH($B$1,Database!$A$1:$C$1,),)=0,#N/A,VLOOKUP(Table7[[#This Row],[Date]],Database!$A:$C,MATCH($B$1,Database!$A$1:$C$1,),))</f>
        <v/>
      </c>
      <c r="C7833">
        <f>IF(VLOOKUP(Table7[[#This Row],[Date]],Database!$A:$C,MATCH($C$1,Database!$A$1:$C$1,),)=0,#N/A,VLOOKUP(Table7[[#This Row],[Date]],Database!$A:$C,MATCH($C$1,Database!$A$1:$C$1,),))</f>
        <v/>
      </c>
      <c r="D7833">
        <f>IFERROR(Table7[[#This Row],[United States 10y]]-Table7[[#This Row],[United States 3y]],#N/A)</f>
        <v/>
      </c>
    </row>
    <row r="7834">
      <c r="A7834" s="6">
        <f>Database!$A9919</f>
        <v/>
      </c>
      <c r="B7834">
        <f>IF(VLOOKUP(Table7[[#This Row],[Date]],Database!$A:$C,MATCH($B$1,Database!$A$1:$C$1,),)=0,#N/A,VLOOKUP(Table7[[#This Row],[Date]],Database!$A:$C,MATCH($B$1,Database!$A$1:$C$1,),))</f>
        <v/>
      </c>
      <c r="C7834">
        <f>IF(VLOOKUP(Table7[[#This Row],[Date]],Database!$A:$C,MATCH($C$1,Database!$A$1:$C$1,),)=0,#N/A,VLOOKUP(Table7[[#This Row],[Date]],Database!$A:$C,MATCH($C$1,Database!$A$1:$C$1,),))</f>
        <v/>
      </c>
      <c r="D7834">
        <f>IFERROR(Table7[[#This Row],[United States 10y]]-Table7[[#This Row],[United States 3y]],#N/A)</f>
        <v/>
      </c>
    </row>
    <row r="7835">
      <c r="A7835" s="6">
        <f>Database!$A9920</f>
        <v/>
      </c>
      <c r="B7835">
        <f>IF(VLOOKUP(Table7[[#This Row],[Date]],Database!$A:$C,MATCH($B$1,Database!$A$1:$C$1,),)=0,#N/A,VLOOKUP(Table7[[#This Row],[Date]],Database!$A:$C,MATCH($B$1,Database!$A$1:$C$1,),))</f>
        <v/>
      </c>
      <c r="C7835">
        <f>IF(VLOOKUP(Table7[[#This Row],[Date]],Database!$A:$C,MATCH($C$1,Database!$A$1:$C$1,),)=0,#N/A,VLOOKUP(Table7[[#This Row],[Date]],Database!$A:$C,MATCH($C$1,Database!$A$1:$C$1,),))</f>
        <v/>
      </c>
      <c r="D7835">
        <f>IFERROR(Table7[[#This Row],[United States 10y]]-Table7[[#This Row],[United States 3y]],#N/A)</f>
        <v/>
      </c>
    </row>
    <row r="7836">
      <c r="A7836" s="6">
        <f>Database!$A9921</f>
        <v/>
      </c>
      <c r="B7836">
        <f>IF(VLOOKUP(Table7[[#This Row],[Date]],Database!$A:$C,MATCH($B$1,Database!$A$1:$C$1,),)=0,#N/A,VLOOKUP(Table7[[#This Row],[Date]],Database!$A:$C,MATCH($B$1,Database!$A$1:$C$1,),))</f>
        <v/>
      </c>
      <c r="C7836">
        <f>IF(VLOOKUP(Table7[[#This Row],[Date]],Database!$A:$C,MATCH($C$1,Database!$A$1:$C$1,),)=0,#N/A,VLOOKUP(Table7[[#This Row],[Date]],Database!$A:$C,MATCH($C$1,Database!$A$1:$C$1,),))</f>
        <v/>
      </c>
      <c r="D7836">
        <f>IFERROR(Table7[[#This Row],[United States 10y]]-Table7[[#This Row],[United States 3y]],#N/A)</f>
        <v/>
      </c>
    </row>
    <row r="7837">
      <c r="A7837" s="6">
        <f>Database!$A9922</f>
        <v/>
      </c>
      <c r="B7837">
        <f>IF(VLOOKUP(Table7[[#This Row],[Date]],Database!$A:$C,MATCH($B$1,Database!$A$1:$C$1,),)=0,#N/A,VLOOKUP(Table7[[#This Row],[Date]],Database!$A:$C,MATCH($B$1,Database!$A$1:$C$1,),))</f>
        <v/>
      </c>
      <c r="C7837">
        <f>IF(VLOOKUP(Table7[[#This Row],[Date]],Database!$A:$C,MATCH($C$1,Database!$A$1:$C$1,),)=0,#N/A,VLOOKUP(Table7[[#This Row],[Date]],Database!$A:$C,MATCH($C$1,Database!$A$1:$C$1,),))</f>
        <v/>
      </c>
      <c r="D7837">
        <f>IFERROR(Table7[[#This Row],[United States 10y]]-Table7[[#This Row],[United States 3y]],#N/A)</f>
        <v/>
      </c>
    </row>
    <row r="7838">
      <c r="A7838" s="6">
        <f>Database!$A9923</f>
        <v/>
      </c>
      <c r="B7838">
        <f>IF(VLOOKUP(Table7[[#This Row],[Date]],Database!$A:$C,MATCH($B$1,Database!$A$1:$C$1,),)=0,#N/A,VLOOKUP(Table7[[#This Row],[Date]],Database!$A:$C,MATCH($B$1,Database!$A$1:$C$1,),))</f>
        <v/>
      </c>
      <c r="C7838">
        <f>IF(VLOOKUP(Table7[[#This Row],[Date]],Database!$A:$C,MATCH($C$1,Database!$A$1:$C$1,),)=0,#N/A,VLOOKUP(Table7[[#This Row],[Date]],Database!$A:$C,MATCH($C$1,Database!$A$1:$C$1,),))</f>
        <v/>
      </c>
      <c r="D7838">
        <f>IFERROR(Table7[[#This Row],[United States 10y]]-Table7[[#This Row],[United States 3y]],#N/A)</f>
        <v/>
      </c>
    </row>
    <row r="7839">
      <c r="A7839" s="6">
        <f>Database!$A9924</f>
        <v/>
      </c>
      <c r="B7839">
        <f>IF(VLOOKUP(Table7[[#This Row],[Date]],Database!$A:$C,MATCH($B$1,Database!$A$1:$C$1,),)=0,#N/A,VLOOKUP(Table7[[#This Row],[Date]],Database!$A:$C,MATCH($B$1,Database!$A$1:$C$1,),))</f>
        <v/>
      </c>
      <c r="C7839">
        <f>IF(VLOOKUP(Table7[[#This Row],[Date]],Database!$A:$C,MATCH($C$1,Database!$A$1:$C$1,),)=0,#N/A,VLOOKUP(Table7[[#This Row],[Date]],Database!$A:$C,MATCH($C$1,Database!$A$1:$C$1,),))</f>
        <v/>
      </c>
      <c r="D7839">
        <f>IFERROR(Table7[[#This Row],[United States 10y]]-Table7[[#This Row],[United States 3y]],#N/A)</f>
        <v/>
      </c>
    </row>
    <row r="7840">
      <c r="A7840" s="6">
        <f>Database!$A9925</f>
        <v/>
      </c>
      <c r="B7840">
        <f>IF(VLOOKUP(Table7[[#This Row],[Date]],Database!$A:$C,MATCH($B$1,Database!$A$1:$C$1,),)=0,#N/A,VLOOKUP(Table7[[#This Row],[Date]],Database!$A:$C,MATCH($B$1,Database!$A$1:$C$1,),))</f>
        <v/>
      </c>
      <c r="C7840">
        <f>IF(VLOOKUP(Table7[[#This Row],[Date]],Database!$A:$C,MATCH($C$1,Database!$A$1:$C$1,),)=0,#N/A,VLOOKUP(Table7[[#This Row],[Date]],Database!$A:$C,MATCH($C$1,Database!$A$1:$C$1,),))</f>
        <v/>
      </c>
      <c r="D7840">
        <f>IFERROR(Table7[[#This Row],[United States 10y]]-Table7[[#This Row],[United States 3y]],#N/A)</f>
        <v/>
      </c>
    </row>
    <row r="7841">
      <c r="A7841" s="6">
        <f>Database!$A9926</f>
        <v/>
      </c>
      <c r="B7841">
        <f>IF(VLOOKUP(Table7[[#This Row],[Date]],Database!$A:$C,MATCH($B$1,Database!$A$1:$C$1,),)=0,#N/A,VLOOKUP(Table7[[#This Row],[Date]],Database!$A:$C,MATCH($B$1,Database!$A$1:$C$1,),))</f>
        <v/>
      </c>
      <c r="C7841">
        <f>IF(VLOOKUP(Table7[[#This Row],[Date]],Database!$A:$C,MATCH($C$1,Database!$A$1:$C$1,),)=0,#N/A,VLOOKUP(Table7[[#This Row],[Date]],Database!$A:$C,MATCH($C$1,Database!$A$1:$C$1,),))</f>
        <v/>
      </c>
      <c r="D7841">
        <f>IFERROR(Table7[[#This Row],[United States 10y]]-Table7[[#This Row],[United States 3y]],#N/A)</f>
        <v/>
      </c>
    </row>
    <row r="7842">
      <c r="A7842" s="6">
        <f>Database!$A9927</f>
        <v/>
      </c>
      <c r="B7842">
        <f>IF(VLOOKUP(Table7[[#This Row],[Date]],Database!$A:$C,MATCH($B$1,Database!$A$1:$C$1,),)=0,#N/A,VLOOKUP(Table7[[#This Row],[Date]],Database!$A:$C,MATCH($B$1,Database!$A$1:$C$1,),))</f>
        <v/>
      </c>
      <c r="C7842">
        <f>IF(VLOOKUP(Table7[[#This Row],[Date]],Database!$A:$C,MATCH($C$1,Database!$A$1:$C$1,),)=0,#N/A,VLOOKUP(Table7[[#This Row],[Date]],Database!$A:$C,MATCH($C$1,Database!$A$1:$C$1,),))</f>
        <v/>
      </c>
      <c r="D7842">
        <f>IFERROR(Table7[[#This Row],[United States 10y]]-Table7[[#This Row],[United States 3y]],#N/A)</f>
        <v/>
      </c>
    </row>
    <row r="7843">
      <c r="A7843" s="6">
        <f>Database!$A9928</f>
        <v/>
      </c>
      <c r="B7843">
        <f>IF(VLOOKUP(Table7[[#This Row],[Date]],Database!$A:$C,MATCH($B$1,Database!$A$1:$C$1,),)=0,#N/A,VLOOKUP(Table7[[#This Row],[Date]],Database!$A:$C,MATCH($B$1,Database!$A$1:$C$1,),))</f>
        <v/>
      </c>
      <c r="C7843">
        <f>IF(VLOOKUP(Table7[[#This Row],[Date]],Database!$A:$C,MATCH($C$1,Database!$A$1:$C$1,),)=0,#N/A,VLOOKUP(Table7[[#This Row],[Date]],Database!$A:$C,MATCH($C$1,Database!$A$1:$C$1,),))</f>
        <v/>
      </c>
      <c r="D7843">
        <f>IFERROR(Table7[[#This Row],[United States 10y]]-Table7[[#This Row],[United States 3y]],#N/A)</f>
        <v/>
      </c>
    </row>
    <row r="7844">
      <c r="A7844" s="6">
        <f>Database!$A9929</f>
        <v/>
      </c>
      <c r="B7844">
        <f>IF(VLOOKUP(Table7[[#This Row],[Date]],Database!$A:$C,MATCH($B$1,Database!$A$1:$C$1,),)=0,#N/A,VLOOKUP(Table7[[#This Row],[Date]],Database!$A:$C,MATCH($B$1,Database!$A$1:$C$1,),))</f>
        <v/>
      </c>
      <c r="C7844">
        <f>IF(VLOOKUP(Table7[[#This Row],[Date]],Database!$A:$C,MATCH($C$1,Database!$A$1:$C$1,),)=0,#N/A,VLOOKUP(Table7[[#This Row],[Date]],Database!$A:$C,MATCH($C$1,Database!$A$1:$C$1,),))</f>
        <v/>
      </c>
      <c r="D7844">
        <f>IFERROR(Table7[[#This Row],[United States 10y]]-Table7[[#This Row],[United States 3y]],#N/A)</f>
        <v/>
      </c>
    </row>
    <row r="7845">
      <c r="A7845" s="6">
        <f>Database!$A9930</f>
        <v/>
      </c>
      <c r="B7845">
        <f>IF(VLOOKUP(Table7[[#This Row],[Date]],Database!$A:$C,MATCH($B$1,Database!$A$1:$C$1,),)=0,#N/A,VLOOKUP(Table7[[#This Row],[Date]],Database!$A:$C,MATCH($B$1,Database!$A$1:$C$1,),))</f>
        <v/>
      </c>
      <c r="C7845">
        <f>IF(VLOOKUP(Table7[[#This Row],[Date]],Database!$A:$C,MATCH($C$1,Database!$A$1:$C$1,),)=0,#N/A,VLOOKUP(Table7[[#This Row],[Date]],Database!$A:$C,MATCH($C$1,Database!$A$1:$C$1,),))</f>
        <v/>
      </c>
      <c r="D7845">
        <f>IFERROR(Table7[[#This Row],[United States 10y]]-Table7[[#This Row],[United States 3y]],#N/A)</f>
        <v/>
      </c>
    </row>
    <row r="7846">
      <c r="A7846" s="6">
        <f>Database!$A9931</f>
        <v/>
      </c>
      <c r="B7846">
        <f>IF(VLOOKUP(Table7[[#This Row],[Date]],Database!$A:$C,MATCH($B$1,Database!$A$1:$C$1,),)=0,#N/A,VLOOKUP(Table7[[#This Row],[Date]],Database!$A:$C,MATCH($B$1,Database!$A$1:$C$1,),))</f>
        <v/>
      </c>
      <c r="C7846">
        <f>IF(VLOOKUP(Table7[[#This Row],[Date]],Database!$A:$C,MATCH($C$1,Database!$A$1:$C$1,),)=0,#N/A,VLOOKUP(Table7[[#This Row],[Date]],Database!$A:$C,MATCH($C$1,Database!$A$1:$C$1,),))</f>
        <v/>
      </c>
      <c r="D7846">
        <f>IFERROR(Table7[[#This Row],[United States 10y]]-Table7[[#This Row],[United States 3y]],#N/A)</f>
        <v/>
      </c>
    </row>
    <row r="7847">
      <c r="A7847" s="6">
        <f>Database!$A9932</f>
        <v/>
      </c>
      <c r="B7847">
        <f>IF(VLOOKUP(Table7[[#This Row],[Date]],Database!$A:$C,MATCH($B$1,Database!$A$1:$C$1,),)=0,#N/A,VLOOKUP(Table7[[#This Row],[Date]],Database!$A:$C,MATCH($B$1,Database!$A$1:$C$1,),))</f>
        <v/>
      </c>
      <c r="C7847">
        <f>IF(VLOOKUP(Table7[[#This Row],[Date]],Database!$A:$C,MATCH($C$1,Database!$A$1:$C$1,),)=0,#N/A,VLOOKUP(Table7[[#This Row],[Date]],Database!$A:$C,MATCH($C$1,Database!$A$1:$C$1,),))</f>
        <v/>
      </c>
      <c r="D7847">
        <f>IFERROR(Table7[[#This Row],[United States 10y]]-Table7[[#This Row],[United States 3y]],#N/A)</f>
        <v/>
      </c>
    </row>
    <row r="7848">
      <c r="A7848" s="6">
        <f>Database!$A9933</f>
        <v/>
      </c>
      <c r="B7848">
        <f>IF(VLOOKUP(Table7[[#This Row],[Date]],Database!$A:$C,MATCH($B$1,Database!$A$1:$C$1,),)=0,#N/A,VLOOKUP(Table7[[#This Row],[Date]],Database!$A:$C,MATCH($B$1,Database!$A$1:$C$1,),))</f>
        <v/>
      </c>
      <c r="C7848">
        <f>IF(VLOOKUP(Table7[[#This Row],[Date]],Database!$A:$C,MATCH($C$1,Database!$A$1:$C$1,),)=0,#N/A,VLOOKUP(Table7[[#This Row],[Date]],Database!$A:$C,MATCH($C$1,Database!$A$1:$C$1,),))</f>
        <v/>
      </c>
      <c r="D7848">
        <f>IFERROR(Table7[[#This Row],[United States 10y]]-Table7[[#This Row],[United States 3y]],#N/A)</f>
        <v/>
      </c>
    </row>
    <row r="7849">
      <c r="A7849" s="6">
        <f>Database!$A9934</f>
        <v/>
      </c>
      <c r="B7849">
        <f>IF(VLOOKUP(Table7[[#This Row],[Date]],Database!$A:$C,MATCH($B$1,Database!$A$1:$C$1,),)=0,#N/A,VLOOKUP(Table7[[#This Row],[Date]],Database!$A:$C,MATCH($B$1,Database!$A$1:$C$1,),))</f>
        <v/>
      </c>
      <c r="C7849">
        <f>IF(VLOOKUP(Table7[[#This Row],[Date]],Database!$A:$C,MATCH($C$1,Database!$A$1:$C$1,),)=0,#N/A,VLOOKUP(Table7[[#This Row],[Date]],Database!$A:$C,MATCH($C$1,Database!$A$1:$C$1,),))</f>
        <v/>
      </c>
      <c r="D7849">
        <f>IFERROR(Table7[[#This Row],[United States 10y]]-Table7[[#This Row],[United States 3y]],#N/A)</f>
        <v/>
      </c>
    </row>
    <row r="7850">
      <c r="A7850" s="6">
        <f>Database!$A9935</f>
        <v/>
      </c>
      <c r="B7850">
        <f>IF(VLOOKUP(Table7[[#This Row],[Date]],Database!$A:$C,MATCH($B$1,Database!$A$1:$C$1,),)=0,#N/A,VLOOKUP(Table7[[#This Row],[Date]],Database!$A:$C,MATCH($B$1,Database!$A$1:$C$1,),))</f>
        <v/>
      </c>
      <c r="C7850">
        <f>IF(VLOOKUP(Table7[[#This Row],[Date]],Database!$A:$C,MATCH($C$1,Database!$A$1:$C$1,),)=0,#N/A,VLOOKUP(Table7[[#This Row],[Date]],Database!$A:$C,MATCH($C$1,Database!$A$1:$C$1,),))</f>
        <v/>
      </c>
      <c r="D7850">
        <f>IFERROR(Table7[[#This Row],[United States 10y]]-Table7[[#This Row],[United States 3y]],#N/A)</f>
        <v/>
      </c>
    </row>
    <row r="7851">
      <c r="A7851" s="6">
        <f>Database!$A9936</f>
        <v/>
      </c>
      <c r="B7851">
        <f>IF(VLOOKUP(Table7[[#This Row],[Date]],Database!$A:$C,MATCH($B$1,Database!$A$1:$C$1,),)=0,#N/A,VLOOKUP(Table7[[#This Row],[Date]],Database!$A:$C,MATCH($B$1,Database!$A$1:$C$1,),))</f>
        <v/>
      </c>
      <c r="C7851">
        <f>IF(VLOOKUP(Table7[[#This Row],[Date]],Database!$A:$C,MATCH($C$1,Database!$A$1:$C$1,),)=0,#N/A,VLOOKUP(Table7[[#This Row],[Date]],Database!$A:$C,MATCH($C$1,Database!$A$1:$C$1,),))</f>
        <v/>
      </c>
      <c r="D7851">
        <f>IFERROR(Table7[[#This Row],[United States 10y]]-Table7[[#This Row],[United States 3y]],#N/A)</f>
        <v/>
      </c>
    </row>
    <row r="7852">
      <c r="A7852" s="6">
        <f>Database!$A9937</f>
        <v/>
      </c>
      <c r="B7852">
        <f>IF(VLOOKUP(Table7[[#This Row],[Date]],Database!$A:$C,MATCH($B$1,Database!$A$1:$C$1,),)=0,#N/A,VLOOKUP(Table7[[#This Row],[Date]],Database!$A:$C,MATCH($B$1,Database!$A$1:$C$1,),))</f>
        <v/>
      </c>
      <c r="C7852">
        <f>IF(VLOOKUP(Table7[[#This Row],[Date]],Database!$A:$C,MATCH($C$1,Database!$A$1:$C$1,),)=0,#N/A,VLOOKUP(Table7[[#This Row],[Date]],Database!$A:$C,MATCH($C$1,Database!$A$1:$C$1,),))</f>
        <v/>
      </c>
      <c r="D7852">
        <f>IFERROR(Table7[[#This Row],[United States 10y]]-Table7[[#This Row],[United States 3y]],#N/A)</f>
        <v/>
      </c>
    </row>
    <row r="7853">
      <c r="A7853" s="6">
        <f>Database!$A9938</f>
        <v/>
      </c>
      <c r="B7853">
        <f>IF(VLOOKUP(Table7[[#This Row],[Date]],Database!$A:$C,MATCH($B$1,Database!$A$1:$C$1,),)=0,#N/A,VLOOKUP(Table7[[#This Row],[Date]],Database!$A:$C,MATCH($B$1,Database!$A$1:$C$1,),))</f>
        <v/>
      </c>
      <c r="C7853">
        <f>IF(VLOOKUP(Table7[[#This Row],[Date]],Database!$A:$C,MATCH($C$1,Database!$A$1:$C$1,),)=0,#N/A,VLOOKUP(Table7[[#This Row],[Date]],Database!$A:$C,MATCH($C$1,Database!$A$1:$C$1,),))</f>
        <v/>
      </c>
      <c r="D7853">
        <f>IFERROR(Table7[[#This Row],[United States 10y]]-Table7[[#This Row],[United States 3y]],#N/A)</f>
        <v/>
      </c>
    </row>
    <row r="7854">
      <c r="A7854" s="6">
        <f>Database!$A9939</f>
        <v/>
      </c>
      <c r="B7854">
        <f>IF(VLOOKUP(Table7[[#This Row],[Date]],Database!$A:$C,MATCH($B$1,Database!$A$1:$C$1,),)=0,#N/A,VLOOKUP(Table7[[#This Row],[Date]],Database!$A:$C,MATCH($B$1,Database!$A$1:$C$1,),))</f>
        <v/>
      </c>
      <c r="C7854">
        <f>IF(VLOOKUP(Table7[[#This Row],[Date]],Database!$A:$C,MATCH($C$1,Database!$A$1:$C$1,),)=0,#N/A,VLOOKUP(Table7[[#This Row],[Date]],Database!$A:$C,MATCH($C$1,Database!$A$1:$C$1,),))</f>
        <v/>
      </c>
      <c r="D7854">
        <f>IFERROR(Table7[[#This Row],[United States 10y]]-Table7[[#This Row],[United States 3y]],#N/A)</f>
        <v/>
      </c>
    </row>
    <row r="7855">
      <c r="A7855" s="6">
        <f>Database!$A9940</f>
        <v/>
      </c>
      <c r="B7855">
        <f>IF(VLOOKUP(Table7[[#This Row],[Date]],Database!$A:$C,MATCH($B$1,Database!$A$1:$C$1,),)=0,#N/A,VLOOKUP(Table7[[#This Row],[Date]],Database!$A:$C,MATCH($B$1,Database!$A$1:$C$1,),))</f>
        <v/>
      </c>
      <c r="C7855">
        <f>IF(VLOOKUP(Table7[[#This Row],[Date]],Database!$A:$C,MATCH($C$1,Database!$A$1:$C$1,),)=0,#N/A,VLOOKUP(Table7[[#This Row],[Date]],Database!$A:$C,MATCH($C$1,Database!$A$1:$C$1,),))</f>
        <v/>
      </c>
      <c r="D7855">
        <f>IFERROR(Table7[[#This Row],[United States 10y]]-Table7[[#This Row],[United States 3y]],#N/A)</f>
        <v/>
      </c>
    </row>
    <row r="7856">
      <c r="A7856" s="6">
        <f>Database!$A9941</f>
        <v/>
      </c>
      <c r="B7856">
        <f>IF(VLOOKUP(Table7[[#This Row],[Date]],Database!$A:$C,MATCH($B$1,Database!$A$1:$C$1,),)=0,#N/A,VLOOKUP(Table7[[#This Row],[Date]],Database!$A:$C,MATCH($B$1,Database!$A$1:$C$1,),))</f>
        <v/>
      </c>
      <c r="C7856">
        <f>IF(VLOOKUP(Table7[[#This Row],[Date]],Database!$A:$C,MATCH($C$1,Database!$A$1:$C$1,),)=0,#N/A,VLOOKUP(Table7[[#This Row],[Date]],Database!$A:$C,MATCH($C$1,Database!$A$1:$C$1,),))</f>
        <v/>
      </c>
      <c r="D7856">
        <f>IFERROR(Table7[[#This Row],[United States 10y]]-Table7[[#This Row],[United States 3y]],#N/A)</f>
        <v/>
      </c>
    </row>
    <row r="7857">
      <c r="A7857" s="6">
        <f>Database!$A9942</f>
        <v/>
      </c>
      <c r="B7857">
        <f>IF(VLOOKUP(Table7[[#This Row],[Date]],Database!$A:$C,MATCH($B$1,Database!$A$1:$C$1,),)=0,#N/A,VLOOKUP(Table7[[#This Row],[Date]],Database!$A:$C,MATCH($B$1,Database!$A$1:$C$1,),))</f>
        <v/>
      </c>
      <c r="C7857">
        <f>IF(VLOOKUP(Table7[[#This Row],[Date]],Database!$A:$C,MATCH($C$1,Database!$A$1:$C$1,),)=0,#N/A,VLOOKUP(Table7[[#This Row],[Date]],Database!$A:$C,MATCH($C$1,Database!$A$1:$C$1,),))</f>
        <v/>
      </c>
      <c r="D7857">
        <f>IFERROR(Table7[[#This Row],[United States 10y]]-Table7[[#This Row],[United States 3y]],#N/A)</f>
        <v/>
      </c>
    </row>
    <row r="7858">
      <c r="A7858" s="6">
        <f>Database!$A9943</f>
        <v/>
      </c>
      <c r="B7858">
        <f>IF(VLOOKUP(Table7[[#This Row],[Date]],Database!$A:$C,MATCH($B$1,Database!$A$1:$C$1,),)=0,#N/A,VLOOKUP(Table7[[#This Row],[Date]],Database!$A:$C,MATCH($B$1,Database!$A$1:$C$1,),))</f>
        <v/>
      </c>
      <c r="C7858">
        <f>IF(VLOOKUP(Table7[[#This Row],[Date]],Database!$A:$C,MATCH($C$1,Database!$A$1:$C$1,),)=0,#N/A,VLOOKUP(Table7[[#This Row],[Date]],Database!$A:$C,MATCH($C$1,Database!$A$1:$C$1,),))</f>
        <v/>
      </c>
      <c r="D7858">
        <f>IFERROR(Table7[[#This Row],[United States 10y]]-Table7[[#This Row],[United States 3y]],#N/A)</f>
        <v/>
      </c>
    </row>
    <row r="7859">
      <c r="A7859" s="6">
        <f>Database!$A9944</f>
        <v/>
      </c>
      <c r="B7859">
        <f>IF(VLOOKUP(Table7[[#This Row],[Date]],Database!$A:$C,MATCH($B$1,Database!$A$1:$C$1,),)=0,#N/A,VLOOKUP(Table7[[#This Row],[Date]],Database!$A:$C,MATCH($B$1,Database!$A$1:$C$1,),))</f>
        <v/>
      </c>
      <c r="C7859">
        <f>IF(VLOOKUP(Table7[[#This Row],[Date]],Database!$A:$C,MATCH($C$1,Database!$A$1:$C$1,),)=0,#N/A,VLOOKUP(Table7[[#This Row],[Date]],Database!$A:$C,MATCH($C$1,Database!$A$1:$C$1,),))</f>
        <v/>
      </c>
      <c r="D7859">
        <f>IFERROR(Table7[[#This Row],[United States 10y]]-Table7[[#This Row],[United States 3y]],#N/A)</f>
        <v/>
      </c>
    </row>
    <row r="7860">
      <c r="A7860" s="6">
        <f>Database!$A9945</f>
        <v/>
      </c>
      <c r="B7860">
        <f>IF(VLOOKUP(Table7[[#This Row],[Date]],Database!$A:$C,MATCH($B$1,Database!$A$1:$C$1,),)=0,#N/A,VLOOKUP(Table7[[#This Row],[Date]],Database!$A:$C,MATCH($B$1,Database!$A$1:$C$1,),))</f>
        <v/>
      </c>
      <c r="C7860">
        <f>IF(VLOOKUP(Table7[[#This Row],[Date]],Database!$A:$C,MATCH($C$1,Database!$A$1:$C$1,),)=0,#N/A,VLOOKUP(Table7[[#This Row],[Date]],Database!$A:$C,MATCH($C$1,Database!$A$1:$C$1,),))</f>
        <v/>
      </c>
      <c r="D7860">
        <f>IFERROR(Table7[[#This Row],[United States 10y]]-Table7[[#This Row],[United States 3y]],#N/A)</f>
        <v/>
      </c>
    </row>
    <row r="7861">
      <c r="A7861" s="6">
        <f>Database!$A9946</f>
        <v/>
      </c>
      <c r="B7861">
        <f>IF(VLOOKUP(Table7[[#This Row],[Date]],Database!$A:$C,MATCH($B$1,Database!$A$1:$C$1,),)=0,#N/A,VLOOKUP(Table7[[#This Row],[Date]],Database!$A:$C,MATCH($B$1,Database!$A$1:$C$1,),))</f>
        <v/>
      </c>
      <c r="C7861">
        <f>IF(VLOOKUP(Table7[[#This Row],[Date]],Database!$A:$C,MATCH($C$1,Database!$A$1:$C$1,),)=0,#N/A,VLOOKUP(Table7[[#This Row],[Date]],Database!$A:$C,MATCH($C$1,Database!$A$1:$C$1,),))</f>
        <v/>
      </c>
      <c r="D7861">
        <f>IFERROR(Table7[[#This Row],[United States 10y]]-Table7[[#This Row],[United States 3y]],#N/A)</f>
        <v/>
      </c>
    </row>
    <row r="7862">
      <c r="A7862" s="6">
        <f>Database!$A9947</f>
        <v/>
      </c>
      <c r="B7862">
        <f>IF(VLOOKUP(Table7[[#This Row],[Date]],Database!$A:$C,MATCH($B$1,Database!$A$1:$C$1,),)=0,#N/A,VLOOKUP(Table7[[#This Row],[Date]],Database!$A:$C,MATCH($B$1,Database!$A$1:$C$1,),))</f>
        <v/>
      </c>
      <c r="C7862">
        <f>IF(VLOOKUP(Table7[[#This Row],[Date]],Database!$A:$C,MATCH($C$1,Database!$A$1:$C$1,),)=0,#N/A,VLOOKUP(Table7[[#This Row],[Date]],Database!$A:$C,MATCH($C$1,Database!$A$1:$C$1,),))</f>
        <v/>
      </c>
      <c r="D7862">
        <f>IFERROR(Table7[[#This Row],[United States 10y]]-Table7[[#This Row],[United States 3y]],#N/A)</f>
        <v/>
      </c>
    </row>
    <row r="7863">
      <c r="A7863" s="6">
        <f>Database!$A9948</f>
        <v/>
      </c>
      <c r="B7863">
        <f>IF(VLOOKUP(Table7[[#This Row],[Date]],Database!$A:$C,MATCH($B$1,Database!$A$1:$C$1,),)=0,#N/A,VLOOKUP(Table7[[#This Row],[Date]],Database!$A:$C,MATCH($B$1,Database!$A$1:$C$1,),))</f>
        <v/>
      </c>
      <c r="C7863">
        <f>IF(VLOOKUP(Table7[[#This Row],[Date]],Database!$A:$C,MATCH($C$1,Database!$A$1:$C$1,),)=0,#N/A,VLOOKUP(Table7[[#This Row],[Date]],Database!$A:$C,MATCH($C$1,Database!$A$1:$C$1,),))</f>
        <v/>
      </c>
      <c r="D7863">
        <f>IFERROR(Table7[[#This Row],[United States 10y]]-Table7[[#This Row],[United States 3y]],#N/A)</f>
        <v/>
      </c>
    </row>
    <row r="7864">
      <c r="A7864" s="6">
        <f>Database!$A9949</f>
        <v/>
      </c>
      <c r="B7864">
        <f>IF(VLOOKUP(Table7[[#This Row],[Date]],Database!$A:$C,MATCH($B$1,Database!$A$1:$C$1,),)=0,#N/A,VLOOKUP(Table7[[#This Row],[Date]],Database!$A:$C,MATCH($B$1,Database!$A$1:$C$1,),))</f>
        <v/>
      </c>
      <c r="C7864">
        <f>IF(VLOOKUP(Table7[[#This Row],[Date]],Database!$A:$C,MATCH($C$1,Database!$A$1:$C$1,),)=0,#N/A,VLOOKUP(Table7[[#This Row],[Date]],Database!$A:$C,MATCH($C$1,Database!$A$1:$C$1,),))</f>
        <v/>
      </c>
      <c r="D7864">
        <f>IFERROR(Table7[[#This Row],[United States 10y]]-Table7[[#This Row],[United States 3y]],#N/A)</f>
        <v/>
      </c>
    </row>
    <row r="7865">
      <c r="A7865" s="6">
        <f>Database!$A9950</f>
        <v/>
      </c>
      <c r="B7865">
        <f>IF(VLOOKUP(Table7[[#This Row],[Date]],Database!$A:$C,MATCH($B$1,Database!$A$1:$C$1,),)=0,#N/A,VLOOKUP(Table7[[#This Row],[Date]],Database!$A:$C,MATCH($B$1,Database!$A$1:$C$1,),))</f>
        <v/>
      </c>
      <c r="C7865">
        <f>IF(VLOOKUP(Table7[[#This Row],[Date]],Database!$A:$C,MATCH($C$1,Database!$A$1:$C$1,),)=0,#N/A,VLOOKUP(Table7[[#This Row],[Date]],Database!$A:$C,MATCH($C$1,Database!$A$1:$C$1,),))</f>
        <v/>
      </c>
      <c r="D7865">
        <f>IFERROR(Table7[[#This Row],[United States 10y]]-Table7[[#This Row],[United States 3y]],#N/A)</f>
        <v/>
      </c>
    </row>
    <row r="7866">
      <c r="A7866" s="6">
        <f>Database!$A9951</f>
        <v/>
      </c>
      <c r="B7866">
        <f>IF(VLOOKUP(Table7[[#This Row],[Date]],Database!$A:$C,MATCH($B$1,Database!$A$1:$C$1,),)=0,#N/A,VLOOKUP(Table7[[#This Row],[Date]],Database!$A:$C,MATCH($B$1,Database!$A$1:$C$1,),))</f>
        <v/>
      </c>
      <c r="C7866">
        <f>IF(VLOOKUP(Table7[[#This Row],[Date]],Database!$A:$C,MATCH($C$1,Database!$A$1:$C$1,),)=0,#N/A,VLOOKUP(Table7[[#This Row],[Date]],Database!$A:$C,MATCH($C$1,Database!$A$1:$C$1,),))</f>
        <v/>
      </c>
      <c r="D7866">
        <f>IFERROR(Table7[[#This Row],[United States 10y]]-Table7[[#This Row],[United States 3y]],#N/A)</f>
        <v/>
      </c>
    </row>
    <row r="7867">
      <c r="A7867" s="6">
        <f>Database!$A9952</f>
        <v/>
      </c>
      <c r="B7867">
        <f>IF(VLOOKUP(Table7[[#This Row],[Date]],Database!$A:$C,MATCH($B$1,Database!$A$1:$C$1,),)=0,#N/A,VLOOKUP(Table7[[#This Row],[Date]],Database!$A:$C,MATCH($B$1,Database!$A$1:$C$1,),))</f>
        <v/>
      </c>
      <c r="C7867">
        <f>IF(VLOOKUP(Table7[[#This Row],[Date]],Database!$A:$C,MATCH($C$1,Database!$A$1:$C$1,),)=0,#N/A,VLOOKUP(Table7[[#This Row],[Date]],Database!$A:$C,MATCH($C$1,Database!$A$1:$C$1,),))</f>
        <v/>
      </c>
      <c r="D7867">
        <f>IFERROR(Table7[[#This Row],[United States 10y]]-Table7[[#This Row],[United States 3y]],#N/A)</f>
        <v/>
      </c>
    </row>
    <row r="7868">
      <c r="A7868" s="6">
        <f>Database!$A9953</f>
        <v/>
      </c>
      <c r="B7868">
        <f>IF(VLOOKUP(Table7[[#This Row],[Date]],Database!$A:$C,MATCH($B$1,Database!$A$1:$C$1,),)=0,#N/A,VLOOKUP(Table7[[#This Row],[Date]],Database!$A:$C,MATCH($B$1,Database!$A$1:$C$1,),))</f>
        <v/>
      </c>
      <c r="C7868">
        <f>IF(VLOOKUP(Table7[[#This Row],[Date]],Database!$A:$C,MATCH($C$1,Database!$A$1:$C$1,),)=0,#N/A,VLOOKUP(Table7[[#This Row],[Date]],Database!$A:$C,MATCH($C$1,Database!$A$1:$C$1,),))</f>
        <v/>
      </c>
      <c r="D7868">
        <f>IFERROR(Table7[[#This Row],[United States 10y]]-Table7[[#This Row],[United States 3y]],#N/A)</f>
        <v/>
      </c>
    </row>
    <row r="7869">
      <c r="A7869" s="6">
        <f>Database!$A9954</f>
        <v/>
      </c>
      <c r="B7869">
        <f>IF(VLOOKUP(Table7[[#This Row],[Date]],Database!$A:$C,MATCH($B$1,Database!$A$1:$C$1,),)=0,#N/A,VLOOKUP(Table7[[#This Row],[Date]],Database!$A:$C,MATCH($B$1,Database!$A$1:$C$1,),))</f>
        <v/>
      </c>
      <c r="C7869">
        <f>IF(VLOOKUP(Table7[[#This Row],[Date]],Database!$A:$C,MATCH($C$1,Database!$A$1:$C$1,),)=0,#N/A,VLOOKUP(Table7[[#This Row],[Date]],Database!$A:$C,MATCH($C$1,Database!$A$1:$C$1,),))</f>
        <v/>
      </c>
      <c r="D7869">
        <f>IFERROR(Table7[[#This Row],[United States 10y]]-Table7[[#This Row],[United States 3y]],#N/A)</f>
        <v/>
      </c>
    </row>
    <row r="7870">
      <c r="A7870" s="6">
        <f>Database!$A9955</f>
        <v/>
      </c>
      <c r="B7870">
        <f>IF(VLOOKUP(Table7[[#This Row],[Date]],Database!$A:$C,MATCH($B$1,Database!$A$1:$C$1,),)=0,#N/A,VLOOKUP(Table7[[#This Row],[Date]],Database!$A:$C,MATCH($B$1,Database!$A$1:$C$1,),))</f>
        <v/>
      </c>
      <c r="C7870">
        <f>IF(VLOOKUP(Table7[[#This Row],[Date]],Database!$A:$C,MATCH($C$1,Database!$A$1:$C$1,),)=0,#N/A,VLOOKUP(Table7[[#This Row],[Date]],Database!$A:$C,MATCH($C$1,Database!$A$1:$C$1,),))</f>
        <v/>
      </c>
      <c r="D7870">
        <f>IFERROR(Table7[[#This Row],[United States 10y]]-Table7[[#This Row],[United States 3y]],#N/A)</f>
        <v/>
      </c>
    </row>
    <row r="7871">
      <c r="A7871" s="6">
        <f>Database!$A9956</f>
        <v/>
      </c>
      <c r="B7871">
        <f>IF(VLOOKUP(Table7[[#This Row],[Date]],Database!$A:$C,MATCH($B$1,Database!$A$1:$C$1,),)=0,#N/A,VLOOKUP(Table7[[#This Row],[Date]],Database!$A:$C,MATCH($B$1,Database!$A$1:$C$1,),))</f>
        <v/>
      </c>
      <c r="C7871">
        <f>IF(VLOOKUP(Table7[[#This Row],[Date]],Database!$A:$C,MATCH($C$1,Database!$A$1:$C$1,),)=0,#N/A,VLOOKUP(Table7[[#This Row],[Date]],Database!$A:$C,MATCH($C$1,Database!$A$1:$C$1,),))</f>
        <v/>
      </c>
      <c r="D7871">
        <f>IFERROR(Table7[[#This Row],[United States 10y]]-Table7[[#This Row],[United States 3y]],#N/A)</f>
        <v/>
      </c>
    </row>
    <row r="7872">
      <c r="A7872" s="6">
        <f>Database!$A9957</f>
        <v/>
      </c>
      <c r="B7872">
        <f>IF(VLOOKUP(Table7[[#This Row],[Date]],Database!$A:$C,MATCH($B$1,Database!$A$1:$C$1,),)=0,#N/A,VLOOKUP(Table7[[#This Row],[Date]],Database!$A:$C,MATCH($B$1,Database!$A$1:$C$1,),))</f>
        <v/>
      </c>
      <c r="C7872">
        <f>IF(VLOOKUP(Table7[[#This Row],[Date]],Database!$A:$C,MATCH($C$1,Database!$A$1:$C$1,),)=0,#N/A,VLOOKUP(Table7[[#This Row],[Date]],Database!$A:$C,MATCH($C$1,Database!$A$1:$C$1,),))</f>
        <v/>
      </c>
      <c r="D7872">
        <f>IFERROR(Table7[[#This Row],[United States 10y]]-Table7[[#This Row],[United States 3y]],#N/A)</f>
        <v/>
      </c>
    </row>
    <row r="7873">
      <c r="A7873" s="6">
        <f>Database!$A9958</f>
        <v/>
      </c>
      <c r="B7873">
        <f>IF(VLOOKUP(Table7[[#This Row],[Date]],Database!$A:$C,MATCH($B$1,Database!$A$1:$C$1,),)=0,#N/A,VLOOKUP(Table7[[#This Row],[Date]],Database!$A:$C,MATCH($B$1,Database!$A$1:$C$1,),))</f>
        <v/>
      </c>
      <c r="C7873">
        <f>IF(VLOOKUP(Table7[[#This Row],[Date]],Database!$A:$C,MATCH($C$1,Database!$A$1:$C$1,),)=0,#N/A,VLOOKUP(Table7[[#This Row],[Date]],Database!$A:$C,MATCH($C$1,Database!$A$1:$C$1,),))</f>
        <v/>
      </c>
      <c r="D7873">
        <f>IFERROR(Table7[[#This Row],[United States 10y]]-Table7[[#This Row],[United States 3y]],#N/A)</f>
        <v/>
      </c>
    </row>
    <row r="7874">
      <c r="A7874" s="6">
        <f>Database!$A9959</f>
        <v/>
      </c>
      <c r="B7874">
        <f>IF(VLOOKUP(Table7[[#This Row],[Date]],Database!$A:$C,MATCH($B$1,Database!$A$1:$C$1,),)=0,#N/A,VLOOKUP(Table7[[#This Row],[Date]],Database!$A:$C,MATCH($B$1,Database!$A$1:$C$1,),))</f>
        <v/>
      </c>
      <c r="C7874">
        <f>IF(VLOOKUP(Table7[[#This Row],[Date]],Database!$A:$C,MATCH($C$1,Database!$A$1:$C$1,),)=0,#N/A,VLOOKUP(Table7[[#This Row],[Date]],Database!$A:$C,MATCH($C$1,Database!$A$1:$C$1,),))</f>
        <v/>
      </c>
      <c r="D7874">
        <f>IFERROR(Table7[[#This Row],[United States 10y]]-Table7[[#This Row],[United States 3y]],#N/A)</f>
        <v/>
      </c>
    </row>
    <row r="7875">
      <c r="A7875" s="6">
        <f>Database!$A9960</f>
        <v/>
      </c>
      <c r="B7875">
        <f>IF(VLOOKUP(Table7[[#This Row],[Date]],Database!$A:$C,MATCH($B$1,Database!$A$1:$C$1,),)=0,#N/A,VLOOKUP(Table7[[#This Row],[Date]],Database!$A:$C,MATCH($B$1,Database!$A$1:$C$1,),))</f>
        <v/>
      </c>
      <c r="C7875">
        <f>IF(VLOOKUP(Table7[[#This Row],[Date]],Database!$A:$C,MATCH($C$1,Database!$A$1:$C$1,),)=0,#N/A,VLOOKUP(Table7[[#This Row],[Date]],Database!$A:$C,MATCH($C$1,Database!$A$1:$C$1,),))</f>
        <v/>
      </c>
      <c r="D7875">
        <f>IFERROR(Table7[[#This Row],[United States 10y]]-Table7[[#This Row],[United States 3y]],#N/A)</f>
        <v/>
      </c>
    </row>
    <row r="7876">
      <c r="A7876" s="6">
        <f>Database!$A9961</f>
        <v/>
      </c>
      <c r="B7876">
        <f>IF(VLOOKUP(Table7[[#This Row],[Date]],Database!$A:$C,MATCH($B$1,Database!$A$1:$C$1,),)=0,#N/A,VLOOKUP(Table7[[#This Row],[Date]],Database!$A:$C,MATCH($B$1,Database!$A$1:$C$1,),))</f>
        <v/>
      </c>
      <c r="C7876">
        <f>IF(VLOOKUP(Table7[[#This Row],[Date]],Database!$A:$C,MATCH($C$1,Database!$A$1:$C$1,),)=0,#N/A,VLOOKUP(Table7[[#This Row],[Date]],Database!$A:$C,MATCH($C$1,Database!$A$1:$C$1,),))</f>
        <v/>
      </c>
      <c r="D7876">
        <f>IFERROR(Table7[[#This Row],[United States 10y]]-Table7[[#This Row],[United States 3y]],#N/A)</f>
        <v/>
      </c>
    </row>
    <row r="7877">
      <c r="A7877" s="6">
        <f>Database!$A9962</f>
        <v/>
      </c>
      <c r="B7877">
        <f>IF(VLOOKUP(Table7[[#This Row],[Date]],Database!$A:$C,MATCH($B$1,Database!$A$1:$C$1,),)=0,#N/A,VLOOKUP(Table7[[#This Row],[Date]],Database!$A:$C,MATCH($B$1,Database!$A$1:$C$1,),))</f>
        <v/>
      </c>
      <c r="C7877">
        <f>IF(VLOOKUP(Table7[[#This Row],[Date]],Database!$A:$C,MATCH($C$1,Database!$A$1:$C$1,),)=0,#N/A,VLOOKUP(Table7[[#This Row],[Date]],Database!$A:$C,MATCH($C$1,Database!$A$1:$C$1,),))</f>
        <v/>
      </c>
      <c r="D7877">
        <f>IFERROR(Table7[[#This Row],[United States 10y]]-Table7[[#This Row],[United States 3y]],#N/A)</f>
        <v/>
      </c>
    </row>
    <row r="7878">
      <c r="A7878" s="6">
        <f>Database!$A9963</f>
        <v/>
      </c>
      <c r="B7878">
        <f>IF(VLOOKUP(Table7[[#This Row],[Date]],Database!$A:$C,MATCH($B$1,Database!$A$1:$C$1,),)=0,#N/A,VLOOKUP(Table7[[#This Row],[Date]],Database!$A:$C,MATCH($B$1,Database!$A$1:$C$1,),))</f>
        <v/>
      </c>
      <c r="C7878">
        <f>IF(VLOOKUP(Table7[[#This Row],[Date]],Database!$A:$C,MATCH($C$1,Database!$A$1:$C$1,),)=0,#N/A,VLOOKUP(Table7[[#This Row],[Date]],Database!$A:$C,MATCH($C$1,Database!$A$1:$C$1,),))</f>
        <v/>
      </c>
      <c r="D7878">
        <f>IFERROR(Table7[[#This Row],[United States 10y]]-Table7[[#This Row],[United States 3y]],#N/A)</f>
        <v/>
      </c>
    </row>
    <row r="7879">
      <c r="A7879" s="6">
        <f>Database!$A9964</f>
        <v/>
      </c>
      <c r="B7879">
        <f>IF(VLOOKUP(Table7[[#This Row],[Date]],Database!$A:$C,MATCH($B$1,Database!$A$1:$C$1,),)=0,#N/A,VLOOKUP(Table7[[#This Row],[Date]],Database!$A:$C,MATCH($B$1,Database!$A$1:$C$1,),))</f>
        <v/>
      </c>
      <c r="C7879">
        <f>IF(VLOOKUP(Table7[[#This Row],[Date]],Database!$A:$C,MATCH($C$1,Database!$A$1:$C$1,),)=0,#N/A,VLOOKUP(Table7[[#This Row],[Date]],Database!$A:$C,MATCH($C$1,Database!$A$1:$C$1,),))</f>
        <v/>
      </c>
      <c r="D7879">
        <f>IFERROR(Table7[[#This Row],[United States 10y]]-Table7[[#This Row],[United States 3y]],#N/A)</f>
        <v/>
      </c>
    </row>
    <row r="7880">
      <c r="A7880" s="6">
        <f>Database!$A9965</f>
        <v/>
      </c>
      <c r="B7880">
        <f>IF(VLOOKUP(Table7[[#This Row],[Date]],Database!$A:$C,MATCH($B$1,Database!$A$1:$C$1,),)=0,#N/A,VLOOKUP(Table7[[#This Row],[Date]],Database!$A:$C,MATCH($B$1,Database!$A$1:$C$1,),))</f>
        <v/>
      </c>
      <c r="C7880">
        <f>IF(VLOOKUP(Table7[[#This Row],[Date]],Database!$A:$C,MATCH($C$1,Database!$A$1:$C$1,),)=0,#N/A,VLOOKUP(Table7[[#This Row],[Date]],Database!$A:$C,MATCH($C$1,Database!$A$1:$C$1,),))</f>
        <v/>
      </c>
      <c r="D7880">
        <f>IFERROR(Table7[[#This Row],[United States 10y]]-Table7[[#This Row],[United States 3y]],#N/A)</f>
        <v/>
      </c>
    </row>
    <row r="7881">
      <c r="A7881" s="6">
        <f>Database!$A9966</f>
        <v/>
      </c>
      <c r="B7881">
        <f>IF(VLOOKUP(Table7[[#This Row],[Date]],Database!$A:$C,MATCH($B$1,Database!$A$1:$C$1,),)=0,#N/A,VLOOKUP(Table7[[#This Row],[Date]],Database!$A:$C,MATCH($B$1,Database!$A$1:$C$1,),))</f>
        <v/>
      </c>
      <c r="C7881">
        <f>IF(VLOOKUP(Table7[[#This Row],[Date]],Database!$A:$C,MATCH($C$1,Database!$A$1:$C$1,),)=0,#N/A,VLOOKUP(Table7[[#This Row],[Date]],Database!$A:$C,MATCH($C$1,Database!$A$1:$C$1,),))</f>
        <v/>
      </c>
      <c r="D7881">
        <f>IFERROR(Table7[[#This Row],[United States 10y]]-Table7[[#This Row],[United States 3y]],#N/A)</f>
        <v/>
      </c>
    </row>
    <row r="7882">
      <c r="A7882" s="6">
        <f>Database!$A9967</f>
        <v/>
      </c>
      <c r="B7882">
        <f>IF(VLOOKUP(Table7[[#This Row],[Date]],Database!$A:$C,MATCH($B$1,Database!$A$1:$C$1,),)=0,#N/A,VLOOKUP(Table7[[#This Row],[Date]],Database!$A:$C,MATCH($B$1,Database!$A$1:$C$1,),))</f>
        <v/>
      </c>
      <c r="C7882">
        <f>IF(VLOOKUP(Table7[[#This Row],[Date]],Database!$A:$C,MATCH($C$1,Database!$A$1:$C$1,),)=0,#N/A,VLOOKUP(Table7[[#This Row],[Date]],Database!$A:$C,MATCH($C$1,Database!$A$1:$C$1,),))</f>
        <v/>
      </c>
      <c r="D7882">
        <f>IFERROR(Table7[[#This Row],[United States 10y]]-Table7[[#This Row],[United States 3y]],#N/A)</f>
        <v/>
      </c>
    </row>
    <row r="7883">
      <c r="A7883" s="6">
        <f>Database!$A9968</f>
        <v/>
      </c>
      <c r="B7883">
        <f>IF(VLOOKUP(Table7[[#This Row],[Date]],Database!$A:$C,MATCH($B$1,Database!$A$1:$C$1,),)=0,#N/A,VLOOKUP(Table7[[#This Row],[Date]],Database!$A:$C,MATCH($B$1,Database!$A$1:$C$1,),))</f>
        <v/>
      </c>
      <c r="C7883">
        <f>IF(VLOOKUP(Table7[[#This Row],[Date]],Database!$A:$C,MATCH($C$1,Database!$A$1:$C$1,),)=0,#N/A,VLOOKUP(Table7[[#This Row],[Date]],Database!$A:$C,MATCH($C$1,Database!$A$1:$C$1,),))</f>
        <v/>
      </c>
      <c r="D7883">
        <f>IFERROR(Table7[[#This Row],[United States 10y]]-Table7[[#This Row],[United States 3y]],#N/A)</f>
        <v/>
      </c>
    </row>
    <row r="7884">
      <c r="A7884" s="6">
        <f>Database!$A9969</f>
        <v/>
      </c>
      <c r="B7884">
        <f>IF(VLOOKUP(Table7[[#This Row],[Date]],Database!$A:$C,MATCH($B$1,Database!$A$1:$C$1,),)=0,#N/A,VLOOKUP(Table7[[#This Row],[Date]],Database!$A:$C,MATCH($B$1,Database!$A$1:$C$1,),))</f>
        <v/>
      </c>
      <c r="C7884">
        <f>IF(VLOOKUP(Table7[[#This Row],[Date]],Database!$A:$C,MATCH($C$1,Database!$A$1:$C$1,),)=0,#N/A,VLOOKUP(Table7[[#This Row],[Date]],Database!$A:$C,MATCH($C$1,Database!$A$1:$C$1,),))</f>
        <v/>
      </c>
      <c r="D7884">
        <f>IFERROR(Table7[[#This Row],[United States 10y]]-Table7[[#This Row],[United States 3y]],#N/A)</f>
        <v/>
      </c>
    </row>
    <row r="7885">
      <c r="A7885" s="6">
        <f>Database!$A9970</f>
        <v/>
      </c>
      <c r="B7885">
        <f>IF(VLOOKUP(Table7[[#This Row],[Date]],Database!$A:$C,MATCH($B$1,Database!$A$1:$C$1,),)=0,#N/A,VLOOKUP(Table7[[#This Row],[Date]],Database!$A:$C,MATCH($B$1,Database!$A$1:$C$1,),))</f>
        <v/>
      </c>
      <c r="C7885">
        <f>IF(VLOOKUP(Table7[[#This Row],[Date]],Database!$A:$C,MATCH($C$1,Database!$A$1:$C$1,),)=0,#N/A,VLOOKUP(Table7[[#This Row],[Date]],Database!$A:$C,MATCH($C$1,Database!$A$1:$C$1,),))</f>
        <v/>
      </c>
      <c r="D7885">
        <f>IFERROR(Table7[[#This Row],[United States 10y]]-Table7[[#This Row],[United States 3y]],#N/A)</f>
        <v/>
      </c>
    </row>
    <row r="7886">
      <c r="A7886" s="6">
        <f>Database!$A9971</f>
        <v/>
      </c>
      <c r="B7886">
        <f>IF(VLOOKUP(Table7[[#This Row],[Date]],Database!$A:$C,MATCH($B$1,Database!$A$1:$C$1,),)=0,#N/A,VLOOKUP(Table7[[#This Row],[Date]],Database!$A:$C,MATCH($B$1,Database!$A$1:$C$1,),))</f>
        <v/>
      </c>
      <c r="C7886">
        <f>IF(VLOOKUP(Table7[[#This Row],[Date]],Database!$A:$C,MATCH($C$1,Database!$A$1:$C$1,),)=0,#N/A,VLOOKUP(Table7[[#This Row],[Date]],Database!$A:$C,MATCH($C$1,Database!$A$1:$C$1,),))</f>
        <v/>
      </c>
      <c r="D7886">
        <f>IFERROR(Table7[[#This Row],[United States 10y]]-Table7[[#This Row],[United States 3y]],#N/A)</f>
        <v/>
      </c>
    </row>
    <row r="7887">
      <c r="A7887" s="6">
        <f>Database!$A9972</f>
        <v/>
      </c>
      <c r="B7887">
        <f>IF(VLOOKUP(Table7[[#This Row],[Date]],Database!$A:$C,MATCH($B$1,Database!$A$1:$C$1,),)=0,#N/A,VLOOKUP(Table7[[#This Row],[Date]],Database!$A:$C,MATCH($B$1,Database!$A$1:$C$1,),))</f>
        <v/>
      </c>
      <c r="C7887">
        <f>IF(VLOOKUP(Table7[[#This Row],[Date]],Database!$A:$C,MATCH($C$1,Database!$A$1:$C$1,),)=0,#N/A,VLOOKUP(Table7[[#This Row],[Date]],Database!$A:$C,MATCH($C$1,Database!$A$1:$C$1,),))</f>
        <v/>
      </c>
      <c r="D7887">
        <f>IFERROR(Table7[[#This Row],[United States 10y]]-Table7[[#This Row],[United States 3y]],#N/A)</f>
        <v/>
      </c>
    </row>
    <row r="7888">
      <c r="A7888" s="6">
        <f>Database!$A9973</f>
        <v/>
      </c>
      <c r="B7888">
        <f>IF(VLOOKUP(Table7[[#This Row],[Date]],Database!$A:$C,MATCH($B$1,Database!$A$1:$C$1,),)=0,#N/A,VLOOKUP(Table7[[#This Row],[Date]],Database!$A:$C,MATCH($B$1,Database!$A$1:$C$1,),))</f>
        <v/>
      </c>
      <c r="C7888">
        <f>IF(VLOOKUP(Table7[[#This Row],[Date]],Database!$A:$C,MATCH($C$1,Database!$A$1:$C$1,),)=0,#N/A,VLOOKUP(Table7[[#This Row],[Date]],Database!$A:$C,MATCH($C$1,Database!$A$1:$C$1,),))</f>
        <v/>
      </c>
      <c r="D7888">
        <f>IFERROR(Table7[[#This Row],[United States 10y]]-Table7[[#This Row],[United States 3y]],#N/A)</f>
        <v/>
      </c>
    </row>
    <row r="7889">
      <c r="A7889" s="6">
        <f>Database!$A9974</f>
        <v/>
      </c>
      <c r="B7889">
        <f>IF(VLOOKUP(Table7[[#This Row],[Date]],Database!$A:$C,MATCH($B$1,Database!$A$1:$C$1,),)=0,#N/A,VLOOKUP(Table7[[#This Row],[Date]],Database!$A:$C,MATCH($B$1,Database!$A$1:$C$1,),))</f>
        <v/>
      </c>
      <c r="C7889">
        <f>IF(VLOOKUP(Table7[[#This Row],[Date]],Database!$A:$C,MATCH($C$1,Database!$A$1:$C$1,),)=0,#N/A,VLOOKUP(Table7[[#This Row],[Date]],Database!$A:$C,MATCH($C$1,Database!$A$1:$C$1,),))</f>
        <v/>
      </c>
      <c r="D7889">
        <f>IFERROR(Table7[[#This Row],[United States 10y]]-Table7[[#This Row],[United States 3y]],#N/A)</f>
        <v/>
      </c>
    </row>
    <row r="7890">
      <c r="A7890" s="6">
        <f>Database!$A9975</f>
        <v/>
      </c>
      <c r="B7890">
        <f>IF(VLOOKUP(Table7[[#This Row],[Date]],Database!$A:$C,MATCH($B$1,Database!$A$1:$C$1,),)=0,#N/A,VLOOKUP(Table7[[#This Row],[Date]],Database!$A:$C,MATCH($B$1,Database!$A$1:$C$1,),))</f>
        <v/>
      </c>
      <c r="C7890">
        <f>IF(VLOOKUP(Table7[[#This Row],[Date]],Database!$A:$C,MATCH($C$1,Database!$A$1:$C$1,),)=0,#N/A,VLOOKUP(Table7[[#This Row],[Date]],Database!$A:$C,MATCH($C$1,Database!$A$1:$C$1,),))</f>
        <v/>
      </c>
      <c r="D7890">
        <f>IFERROR(Table7[[#This Row],[United States 10y]]-Table7[[#This Row],[United States 3y]],#N/A)</f>
        <v/>
      </c>
    </row>
    <row r="7891">
      <c r="A7891" s="6">
        <f>Database!$A9976</f>
        <v/>
      </c>
      <c r="B7891">
        <f>IF(VLOOKUP(Table7[[#This Row],[Date]],Database!$A:$C,MATCH($B$1,Database!$A$1:$C$1,),)=0,#N/A,VLOOKUP(Table7[[#This Row],[Date]],Database!$A:$C,MATCH($B$1,Database!$A$1:$C$1,),))</f>
        <v/>
      </c>
      <c r="C7891">
        <f>IF(VLOOKUP(Table7[[#This Row],[Date]],Database!$A:$C,MATCH($C$1,Database!$A$1:$C$1,),)=0,#N/A,VLOOKUP(Table7[[#This Row],[Date]],Database!$A:$C,MATCH($C$1,Database!$A$1:$C$1,),))</f>
        <v/>
      </c>
      <c r="D7891">
        <f>IFERROR(Table7[[#This Row],[United States 10y]]-Table7[[#This Row],[United States 3y]],#N/A)</f>
        <v/>
      </c>
    </row>
    <row r="7892">
      <c r="A7892" s="6">
        <f>Database!$A9977</f>
        <v/>
      </c>
      <c r="B7892">
        <f>IF(VLOOKUP(Table7[[#This Row],[Date]],Database!$A:$C,MATCH($B$1,Database!$A$1:$C$1,),)=0,#N/A,VLOOKUP(Table7[[#This Row],[Date]],Database!$A:$C,MATCH($B$1,Database!$A$1:$C$1,),))</f>
        <v/>
      </c>
      <c r="C7892">
        <f>IF(VLOOKUP(Table7[[#This Row],[Date]],Database!$A:$C,MATCH($C$1,Database!$A$1:$C$1,),)=0,#N/A,VLOOKUP(Table7[[#This Row],[Date]],Database!$A:$C,MATCH($C$1,Database!$A$1:$C$1,),))</f>
        <v/>
      </c>
      <c r="D7892">
        <f>IFERROR(Table7[[#This Row],[United States 10y]]-Table7[[#This Row],[United States 3y]],#N/A)</f>
        <v/>
      </c>
    </row>
    <row r="7893">
      <c r="A7893" s="6">
        <f>Database!$A9978</f>
        <v/>
      </c>
      <c r="B7893">
        <f>IF(VLOOKUP(Table7[[#This Row],[Date]],Database!$A:$C,MATCH($B$1,Database!$A$1:$C$1,),)=0,#N/A,VLOOKUP(Table7[[#This Row],[Date]],Database!$A:$C,MATCH($B$1,Database!$A$1:$C$1,),))</f>
        <v/>
      </c>
      <c r="C7893">
        <f>IF(VLOOKUP(Table7[[#This Row],[Date]],Database!$A:$C,MATCH($C$1,Database!$A$1:$C$1,),)=0,#N/A,VLOOKUP(Table7[[#This Row],[Date]],Database!$A:$C,MATCH($C$1,Database!$A$1:$C$1,),))</f>
        <v/>
      </c>
      <c r="D7893">
        <f>IFERROR(Table7[[#This Row],[United States 10y]]-Table7[[#This Row],[United States 3y]],#N/A)</f>
        <v/>
      </c>
    </row>
    <row r="7894">
      <c r="A7894" s="6">
        <f>Database!$A9979</f>
        <v/>
      </c>
      <c r="B7894">
        <f>IF(VLOOKUP(Table7[[#This Row],[Date]],Database!$A:$C,MATCH($B$1,Database!$A$1:$C$1,),)=0,#N/A,VLOOKUP(Table7[[#This Row],[Date]],Database!$A:$C,MATCH($B$1,Database!$A$1:$C$1,),))</f>
        <v/>
      </c>
      <c r="C7894">
        <f>IF(VLOOKUP(Table7[[#This Row],[Date]],Database!$A:$C,MATCH($C$1,Database!$A$1:$C$1,),)=0,#N/A,VLOOKUP(Table7[[#This Row],[Date]],Database!$A:$C,MATCH($C$1,Database!$A$1:$C$1,),))</f>
        <v/>
      </c>
      <c r="D7894">
        <f>IFERROR(Table7[[#This Row],[United States 10y]]-Table7[[#This Row],[United States 3y]],#N/A)</f>
        <v/>
      </c>
    </row>
    <row r="7895">
      <c r="A7895" s="6">
        <f>Database!$A9980</f>
        <v/>
      </c>
      <c r="B7895">
        <f>IF(VLOOKUP(Table7[[#This Row],[Date]],Database!$A:$C,MATCH($B$1,Database!$A$1:$C$1,),)=0,#N/A,VLOOKUP(Table7[[#This Row],[Date]],Database!$A:$C,MATCH($B$1,Database!$A$1:$C$1,),))</f>
        <v/>
      </c>
      <c r="C7895">
        <f>IF(VLOOKUP(Table7[[#This Row],[Date]],Database!$A:$C,MATCH($C$1,Database!$A$1:$C$1,),)=0,#N/A,VLOOKUP(Table7[[#This Row],[Date]],Database!$A:$C,MATCH($C$1,Database!$A$1:$C$1,),))</f>
        <v/>
      </c>
      <c r="D7895">
        <f>IFERROR(Table7[[#This Row],[United States 10y]]-Table7[[#This Row],[United States 3y]],#N/A)</f>
        <v/>
      </c>
    </row>
    <row r="7896">
      <c r="A7896" s="6">
        <f>Database!$A9981</f>
        <v/>
      </c>
      <c r="B7896">
        <f>IF(VLOOKUP(Table7[[#This Row],[Date]],Database!$A:$C,MATCH($B$1,Database!$A$1:$C$1,),)=0,#N/A,VLOOKUP(Table7[[#This Row],[Date]],Database!$A:$C,MATCH($B$1,Database!$A$1:$C$1,),))</f>
        <v/>
      </c>
      <c r="C7896">
        <f>IF(VLOOKUP(Table7[[#This Row],[Date]],Database!$A:$C,MATCH($C$1,Database!$A$1:$C$1,),)=0,#N/A,VLOOKUP(Table7[[#This Row],[Date]],Database!$A:$C,MATCH($C$1,Database!$A$1:$C$1,),))</f>
        <v/>
      </c>
      <c r="D7896">
        <f>IFERROR(Table7[[#This Row],[United States 10y]]-Table7[[#This Row],[United States 3y]],#N/A)</f>
        <v/>
      </c>
    </row>
    <row r="7897">
      <c r="A7897" s="6">
        <f>Database!$A9982</f>
        <v/>
      </c>
      <c r="B7897">
        <f>IF(VLOOKUP(Table7[[#This Row],[Date]],Database!$A:$C,MATCH($B$1,Database!$A$1:$C$1,),)=0,#N/A,VLOOKUP(Table7[[#This Row],[Date]],Database!$A:$C,MATCH($B$1,Database!$A$1:$C$1,),))</f>
        <v/>
      </c>
      <c r="C7897">
        <f>IF(VLOOKUP(Table7[[#This Row],[Date]],Database!$A:$C,MATCH($C$1,Database!$A$1:$C$1,),)=0,#N/A,VLOOKUP(Table7[[#This Row],[Date]],Database!$A:$C,MATCH($C$1,Database!$A$1:$C$1,),))</f>
        <v/>
      </c>
      <c r="D7897">
        <f>IFERROR(Table7[[#This Row],[United States 10y]]-Table7[[#This Row],[United States 3y]],#N/A)</f>
        <v/>
      </c>
    </row>
    <row r="7898">
      <c r="A7898" s="6">
        <f>Database!$A9983</f>
        <v/>
      </c>
      <c r="B7898">
        <f>IF(VLOOKUP(Table7[[#This Row],[Date]],Database!$A:$C,MATCH($B$1,Database!$A$1:$C$1,),)=0,#N/A,VLOOKUP(Table7[[#This Row],[Date]],Database!$A:$C,MATCH($B$1,Database!$A$1:$C$1,),))</f>
        <v/>
      </c>
      <c r="C7898">
        <f>IF(VLOOKUP(Table7[[#This Row],[Date]],Database!$A:$C,MATCH($C$1,Database!$A$1:$C$1,),)=0,#N/A,VLOOKUP(Table7[[#This Row],[Date]],Database!$A:$C,MATCH($C$1,Database!$A$1:$C$1,),))</f>
        <v/>
      </c>
      <c r="D7898">
        <f>IFERROR(Table7[[#This Row],[United States 10y]]-Table7[[#This Row],[United States 3y]],#N/A)</f>
        <v/>
      </c>
    </row>
    <row r="7899">
      <c r="A7899" s="6">
        <f>Database!$A9984</f>
        <v/>
      </c>
      <c r="B7899">
        <f>IF(VLOOKUP(Table7[[#This Row],[Date]],Database!$A:$C,MATCH($B$1,Database!$A$1:$C$1,),)=0,#N/A,VLOOKUP(Table7[[#This Row],[Date]],Database!$A:$C,MATCH($B$1,Database!$A$1:$C$1,),))</f>
        <v/>
      </c>
      <c r="C7899">
        <f>IF(VLOOKUP(Table7[[#This Row],[Date]],Database!$A:$C,MATCH($C$1,Database!$A$1:$C$1,),)=0,#N/A,VLOOKUP(Table7[[#This Row],[Date]],Database!$A:$C,MATCH($C$1,Database!$A$1:$C$1,),))</f>
        <v/>
      </c>
      <c r="D7899">
        <f>IFERROR(Table7[[#This Row],[United States 10y]]-Table7[[#This Row],[United States 3y]],#N/A)</f>
        <v/>
      </c>
    </row>
    <row r="7900">
      <c r="A7900" s="6">
        <f>Database!$A9985</f>
        <v/>
      </c>
      <c r="B7900">
        <f>IF(VLOOKUP(Table7[[#This Row],[Date]],Database!$A:$C,MATCH($B$1,Database!$A$1:$C$1,),)=0,#N/A,VLOOKUP(Table7[[#This Row],[Date]],Database!$A:$C,MATCH($B$1,Database!$A$1:$C$1,),))</f>
        <v/>
      </c>
      <c r="C7900">
        <f>IF(VLOOKUP(Table7[[#This Row],[Date]],Database!$A:$C,MATCH($C$1,Database!$A$1:$C$1,),)=0,#N/A,VLOOKUP(Table7[[#This Row],[Date]],Database!$A:$C,MATCH($C$1,Database!$A$1:$C$1,),))</f>
        <v/>
      </c>
      <c r="D7900">
        <f>IFERROR(Table7[[#This Row],[United States 10y]]-Table7[[#This Row],[United States 3y]],#N/A)</f>
        <v/>
      </c>
    </row>
    <row r="7901">
      <c r="A7901" s="6">
        <f>Database!$A9986</f>
        <v/>
      </c>
      <c r="B7901">
        <f>IF(VLOOKUP(Table7[[#This Row],[Date]],Database!$A:$C,MATCH($B$1,Database!$A$1:$C$1,),)=0,#N/A,VLOOKUP(Table7[[#This Row],[Date]],Database!$A:$C,MATCH($B$1,Database!$A$1:$C$1,),))</f>
        <v/>
      </c>
      <c r="C7901">
        <f>IF(VLOOKUP(Table7[[#This Row],[Date]],Database!$A:$C,MATCH($C$1,Database!$A$1:$C$1,),)=0,#N/A,VLOOKUP(Table7[[#This Row],[Date]],Database!$A:$C,MATCH($C$1,Database!$A$1:$C$1,),))</f>
        <v/>
      </c>
      <c r="D7901">
        <f>IFERROR(Table7[[#This Row],[United States 10y]]-Table7[[#This Row],[United States 3y]],#N/A)</f>
        <v/>
      </c>
    </row>
    <row r="7902">
      <c r="A7902" s="6">
        <f>Database!$A9987</f>
        <v/>
      </c>
      <c r="B7902">
        <f>IF(VLOOKUP(Table7[[#This Row],[Date]],Database!$A:$C,MATCH($B$1,Database!$A$1:$C$1,),)=0,#N/A,VLOOKUP(Table7[[#This Row],[Date]],Database!$A:$C,MATCH($B$1,Database!$A$1:$C$1,),))</f>
        <v/>
      </c>
      <c r="C7902">
        <f>IF(VLOOKUP(Table7[[#This Row],[Date]],Database!$A:$C,MATCH($C$1,Database!$A$1:$C$1,),)=0,#N/A,VLOOKUP(Table7[[#This Row],[Date]],Database!$A:$C,MATCH($C$1,Database!$A$1:$C$1,),))</f>
        <v/>
      </c>
      <c r="D7902">
        <f>IFERROR(Table7[[#This Row],[United States 10y]]-Table7[[#This Row],[United States 3y]],#N/A)</f>
        <v/>
      </c>
    </row>
    <row r="7903">
      <c r="A7903" s="6">
        <f>Database!$A9988</f>
        <v/>
      </c>
      <c r="B7903">
        <f>IF(VLOOKUP(Table7[[#This Row],[Date]],Database!$A:$C,MATCH($B$1,Database!$A$1:$C$1,),)=0,#N/A,VLOOKUP(Table7[[#This Row],[Date]],Database!$A:$C,MATCH($B$1,Database!$A$1:$C$1,),))</f>
        <v/>
      </c>
      <c r="C7903">
        <f>IF(VLOOKUP(Table7[[#This Row],[Date]],Database!$A:$C,MATCH($C$1,Database!$A$1:$C$1,),)=0,#N/A,VLOOKUP(Table7[[#This Row],[Date]],Database!$A:$C,MATCH($C$1,Database!$A$1:$C$1,),))</f>
        <v/>
      </c>
      <c r="D7903">
        <f>IFERROR(Table7[[#This Row],[United States 10y]]-Table7[[#This Row],[United States 3y]],#N/A)</f>
        <v/>
      </c>
    </row>
    <row r="7904">
      <c r="A7904" s="6">
        <f>Database!$A9989</f>
        <v/>
      </c>
      <c r="B7904">
        <f>IF(VLOOKUP(Table7[[#This Row],[Date]],Database!$A:$C,MATCH($B$1,Database!$A$1:$C$1,),)=0,#N/A,VLOOKUP(Table7[[#This Row],[Date]],Database!$A:$C,MATCH($B$1,Database!$A$1:$C$1,),))</f>
        <v/>
      </c>
      <c r="C7904">
        <f>IF(VLOOKUP(Table7[[#This Row],[Date]],Database!$A:$C,MATCH($C$1,Database!$A$1:$C$1,),)=0,#N/A,VLOOKUP(Table7[[#This Row],[Date]],Database!$A:$C,MATCH($C$1,Database!$A$1:$C$1,),))</f>
        <v/>
      </c>
      <c r="D7904">
        <f>IFERROR(Table7[[#This Row],[United States 10y]]-Table7[[#This Row],[United States 3y]],#N/A)</f>
        <v/>
      </c>
    </row>
    <row r="7905">
      <c r="A7905" s="6">
        <f>Database!$A9990</f>
        <v/>
      </c>
      <c r="B7905">
        <f>IF(VLOOKUP(Table7[[#This Row],[Date]],Database!$A:$C,MATCH($B$1,Database!$A$1:$C$1,),)=0,#N/A,VLOOKUP(Table7[[#This Row],[Date]],Database!$A:$C,MATCH($B$1,Database!$A$1:$C$1,),))</f>
        <v/>
      </c>
      <c r="C7905">
        <f>IF(VLOOKUP(Table7[[#This Row],[Date]],Database!$A:$C,MATCH($C$1,Database!$A$1:$C$1,),)=0,#N/A,VLOOKUP(Table7[[#This Row],[Date]],Database!$A:$C,MATCH($C$1,Database!$A$1:$C$1,),))</f>
        <v/>
      </c>
      <c r="D7905">
        <f>IFERROR(Table7[[#This Row],[United States 10y]]-Table7[[#This Row],[United States 3y]],#N/A)</f>
        <v/>
      </c>
    </row>
    <row r="7906">
      <c r="A7906" s="6">
        <f>Database!$A9991</f>
        <v/>
      </c>
      <c r="B7906">
        <f>IF(VLOOKUP(Table7[[#This Row],[Date]],Database!$A:$C,MATCH($B$1,Database!$A$1:$C$1,),)=0,#N/A,VLOOKUP(Table7[[#This Row],[Date]],Database!$A:$C,MATCH($B$1,Database!$A$1:$C$1,),))</f>
        <v/>
      </c>
      <c r="C7906">
        <f>IF(VLOOKUP(Table7[[#This Row],[Date]],Database!$A:$C,MATCH($C$1,Database!$A$1:$C$1,),)=0,#N/A,VLOOKUP(Table7[[#This Row],[Date]],Database!$A:$C,MATCH($C$1,Database!$A$1:$C$1,),))</f>
        <v/>
      </c>
      <c r="D7906">
        <f>IFERROR(Table7[[#This Row],[United States 10y]]-Table7[[#This Row],[United States 3y]],#N/A)</f>
        <v/>
      </c>
    </row>
    <row r="7907">
      <c r="A7907" s="6">
        <f>Database!$A9992</f>
        <v/>
      </c>
      <c r="B7907">
        <f>IF(VLOOKUP(Table7[[#This Row],[Date]],Database!$A:$C,MATCH($B$1,Database!$A$1:$C$1,),)=0,#N/A,VLOOKUP(Table7[[#This Row],[Date]],Database!$A:$C,MATCH($B$1,Database!$A$1:$C$1,),))</f>
        <v/>
      </c>
      <c r="C7907">
        <f>IF(VLOOKUP(Table7[[#This Row],[Date]],Database!$A:$C,MATCH($C$1,Database!$A$1:$C$1,),)=0,#N/A,VLOOKUP(Table7[[#This Row],[Date]],Database!$A:$C,MATCH($C$1,Database!$A$1:$C$1,),))</f>
        <v/>
      </c>
      <c r="D7907">
        <f>IFERROR(Table7[[#This Row],[United States 10y]]-Table7[[#This Row],[United States 3y]],#N/A)</f>
        <v/>
      </c>
    </row>
    <row r="7908">
      <c r="A7908" s="6">
        <f>Database!$A9993</f>
        <v/>
      </c>
      <c r="B7908">
        <f>IF(VLOOKUP(Table7[[#This Row],[Date]],Database!$A:$C,MATCH($B$1,Database!$A$1:$C$1,),)=0,#N/A,VLOOKUP(Table7[[#This Row],[Date]],Database!$A:$C,MATCH($B$1,Database!$A$1:$C$1,),))</f>
        <v/>
      </c>
      <c r="C7908">
        <f>IF(VLOOKUP(Table7[[#This Row],[Date]],Database!$A:$C,MATCH($C$1,Database!$A$1:$C$1,),)=0,#N/A,VLOOKUP(Table7[[#This Row],[Date]],Database!$A:$C,MATCH($C$1,Database!$A$1:$C$1,),))</f>
        <v/>
      </c>
      <c r="D7908">
        <f>IFERROR(Table7[[#This Row],[United States 10y]]-Table7[[#This Row],[United States 3y]],#N/A)</f>
        <v/>
      </c>
    </row>
    <row r="7909">
      <c r="A7909" s="6">
        <f>Database!$A9994</f>
        <v/>
      </c>
      <c r="B7909">
        <f>IF(VLOOKUP(Table7[[#This Row],[Date]],Database!$A:$C,MATCH($B$1,Database!$A$1:$C$1,),)=0,#N/A,VLOOKUP(Table7[[#This Row],[Date]],Database!$A:$C,MATCH($B$1,Database!$A$1:$C$1,),))</f>
        <v/>
      </c>
      <c r="C7909">
        <f>IF(VLOOKUP(Table7[[#This Row],[Date]],Database!$A:$C,MATCH($C$1,Database!$A$1:$C$1,),)=0,#N/A,VLOOKUP(Table7[[#This Row],[Date]],Database!$A:$C,MATCH($C$1,Database!$A$1:$C$1,),))</f>
        <v/>
      </c>
      <c r="D7909">
        <f>IFERROR(Table7[[#This Row],[United States 10y]]-Table7[[#This Row],[United States 3y]],#N/A)</f>
        <v/>
      </c>
    </row>
    <row r="7910">
      <c r="A7910" s="6">
        <f>Database!$A9995</f>
        <v/>
      </c>
      <c r="B7910">
        <f>IF(VLOOKUP(Table7[[#This Row],[Date]],Database!$A:$C,MATCH($B$1,Database!$A$1:$C$1,),)=0,#N/A,VLOOKUP(Table7[[#This Row],[Date]],Database!$A:$C,MATCH($B$1,Database!$A$1:$C$1,),))</f>
        <v/>
      </c>
      <c r="C7910">
        <f>IF(VLOOKUP(Table7[[#This Row],[Date]],Database!$A:$C,MATCH($C$1,Database!$A$1:$C$1,),)=0,#N/A,VLOOKUP(Table7[[#This Row],[Date]],Database!$A:$C,MATCH($C$1,Database!$A$1:$C$1,),))</f>
        <v/>
      </c>
      <c r="D7910">
        <f>IFERROR(Table7[[#This Row],[United States 10y]]-Table7[[#This Row],[United States 3y]],#N/A)</f>
        <v/>
      </c>
    </row>
    <row r="7911">
      <c r="A7911" s="6">
        <f>Database!$A9996</f>
        <v/>
      </c>
      <c r="B7911">
        <f>IF(VLOOKUP(Table7[[#This Row],[Date]],Database!$A:$C,MATCH($B$1,Database!$A$1:$C$1,),)=0,#N/A,VLOOKUP(Table7[[#This Row],[Date]],Database!$A:$C,MATCH($B$1,Database!$A$1:$C$1,),))</f>
        <v/>
      </c>
      <c r="C7911">
        <f>IF(VLOOKUP(Table7[[#This Row],[Date]],Database!$A:$C,MATCH($C$1,Database!$A$1:$C$1,),)=0,#N/A,VLOOKUP(Table7[[#This Row],[Date]],Database!$A:$C,MATCH($C$1,Database!$A$1:$C$1,),))</f>
        <v/>
      </c>
      <c r="D7911">
        <f>IFERROR(Table7[[#This Row],[United States 10y]]-Table7[[#This Row],[United States 3y]],#N/A)</f>
        <v/>
      </c>
    </row>
    <row r="7912">
      <c r="A7912" s="6">
        <f>Database!$A9997</f>
        <v/>
      </c>
      <c r="B7912">
        <f>IF(VLOOKUP(Table7[[#This Row],[Date]],Database!$A:$C,MATCH($B$1,Database!$A$1:$C$1,),)=0,#N/A,VLOOKUP(Table7[[#This Row],[Date]],Database!$A:$C,MATCH($B$1,Database!$A$1:$C$1,),))</f>
        <v/>
      </c>
      <c r="C7912">
        <f>IF(VLOOKUP(Table7[[#This Row],[Date]],Database!$A:$C,MATCH($C$1,Database!$A$1:$C$1,),)=0,#N/A,VLOOKUP(Table7[[#This Row],[Date]],Database!$A:$C,MATCH($C$1,Database!$A$1:$C$1,),))</f>
        <v/>
      </c>
      <c r="D7912">
        <f>IFERROR(Table7[[#This Row],[United States 10y]]-Table7[[#This Row],[United States 3y]],#N/A)</f>
        <v/>
      </c>
    </row>
    <row r="7913">
      <c r="A7913" s="6">
        <f>Database!$A9998</f>
        <v/>
      </c>
      <c r="B7913">
        <f>IF(VLOOKUP(Table7[[#This Row],[Date]],Database!$A:$C,MATCH($B$1,Database!$A$1:$C$1,),)=0,#N/A,VLOOKUP(Table7[[#This Row],[Date]],Database!$A:$C,MATCH($B$1,Database!$A$1:$C$1,),))</f>
        <v/>
      </c>
      <c r="C7913">
        <f>IF(VLOOKUP(Table7[[#This Row],[Date]],Database!$A:$C,MATCH($C$1,Database!$A$1:$C$1,),)=0,#N/A,VLOOKUP(Table7[[#This Row],[Date]],Database!$A:$C,MATCH($C$1,Database!$A$1:$C$1,),))</f>
        <v/>
      </c>
      <c r="D7913">
        <f>IFERROR(Table7[[#This Row],[United States 10y]]-Table7[[#This Row],[United States 3y]],#N/A)</f>
        <v/>
      </c>
    </row>
    <row r="7914">
      <c r="A7914" s="6">
        <f>Database!$A9999</f>
        <v/>
      </c>
      <c r="B7914">
        <f>IF(VLOOKUP(Table7[[#This Row],[Date]],Database!$A:$C,MATCH($B$1,Database!$A$1:$C$1,),)=0,#N/A,VLOOKUP(Table7[[#This Row],[Date]],Database!$A:$C,MATCH($B$1,Database!$A$1:$C$1,),))</f>
        <v/>
      </c>
      <c r="C7914">
        <f>IF(VLOOKUP(Table7[[#This Row],[Date]],Database!$A:$C,MATCH($C$1,Database!$A$1:$C$1,),)=0,#N/A,VLOOKUP(Table7[[#This Row],[Date]],Database!$A:$C,MATCH($C$1,Database!$A$1:$C$1,),))</f>
        <v/>
      </c>
      <c r="D7914">
        <f>IFERROR(Table7[[#This Row],[United States 10y]]-Table7[[#This Row],[United States 3y]],#N/A)</f>
        <v/>
      </c>
    </row>
    <row r="7915">
      <c r="A7915" s="6">
        <f>Database!$A10000</f>
        <v/>
      </c>
      <c r="B7915">
        <f>IF(VLOOKUP(Table7[[#This Row],[Date]],Database!$A:$C,MATCH($B$1,Database!$A$1:$C$1,),)=0,#N/A,VLOOKUP(Table7[[#This Row],[Date]],Database!$A:$C,MATCH($B$1,Database!$A$1:$C$1,),))</f>
        <v/>
      </c>
      <c r="C7915">
        <f>IF(VLOOKUP(Table7[[#This Row],[Date]],Database!$A:$C,MATCH($C$1,Database!$A$1:$C$1,),)=0,#N/A,VLOOKUP(Table7[[#This Row],[Date]],Database!$A:$C,MATCH($C$1,Database!$A$1:$C$1,),))</f>
        <v/>
      </c>
      <c r="D7915">
        <f>IFERROR(Table7[[#This Row],[United States 10y]]-Table7[[#This Row],[United States 3y]],#N/A)</f>
        <v/>
      </c>
    </row>
    <row r="7916">
      <c r="A7916" s="6">
        <f>Database!$A10001</f>
        <v/>
      </c>
      <c r="B7916">
        <f>IF(VLOOKUP(Table7[[#This Row],[Date]],Database!$A:$C,MATCH($B$1,Database!$A$1:$C$1,),)=0,#N/A,VLOOKUP(Table7[[#This Row],[Date]],Database!$A:$C,MATCH($B$1,Database!$A$1:$C$1,),))</f>
        <v/>
      </c>
      <c r="C7916">
        <f>IF(VLOOKUP(Table7[[#This Row],[Date]],Database!$A:$C,MATCH($C$1,Database!$A$1:$C$1,),)=0,#N/A,VLOOKUP(Table7[[#This Row],[Date]],Database!$A:$C,MATCH($C$1,Database!$A$1:$C$1,),))</f>
        <v/>
      </c>
      <c r="D7916">
        <f>IFERROR(Table7[[#This Row],[United States 10y]]-Table7[[#This Row],[United States 3y]],#N/A)</f>
        <v/>
      </c>
    </row>
    <row r="7917">
      <c r="A7917" s="6">
        <f>Database!$A10002</f>
        <v/>
      </c>
      <c r="B7917">
        <f>IF(VLOOKUP(Table7[[#This Row],[Date]],Database!$A:$C,MATCH($B$1,Database!$A$1:$C$1,),)=0,#N/A,VLOOKUP(Table7[[#This Row],[Date]],Database!$A:$C,MATCH($B$1,Database!$A$1:$C$1,),))</f>
        <v/>
      </c>
      <c r="C7917">
        <f>IF(VLOOKUP(Table7[[#This Row],[Date]],Database!$A:$C,MATCH($C$1,Database!$A$1:$C$1,),)=0,#N/A,VLOOKUP(Table7[[#This Row],[Date]],Database!$A:$C,MATCH($C$1,Database!$A$1:$C$1,),))</f>
        <v/>
      </c>
      <c r="D7917">
        <f>IFERROR(Table7[[#This Row],[United States 10y]]-Table7[[#This Row],[United States 3y]],#N/A)</f>
        <v/>
      </c>
    </row>
    <row r="7918">
      <c r="A7918" s="6">
        <f>Database!$A10003</f>
        <v/>
      </c>
      <c r="B7918">
        <f>IF(VLOOKUP(Table7[[#This Row],[Date]],Database!$A:$C,MATCH($B$1,Database!$A$1:$C$1,),)=0,#N/A,VLOOKUP(Table7[[#This Row],[Date]],Database!$A:$C,MATCH($B$1,Database!$A$1:$C$1,),))</f>
        <v/>
      </c>
      <c r="C7918">
        <f>IF(VLOOKUP(Table7[[#This Row],[Date]],Database!$A:$C,MATCH($C$1,Database!$A$1:$C$1,),)=0,#N/A,VLOOKUP(Table7[[#This Row],[Date]],Database!$A:$C,MATCH($C$1,Database!$A$1:$C$1,),))</f>
        <v/>
      </c>
      <c r="D7918">
        <f>IFERROR(Table7[[#This Row],[United States 10y]]-Table7[[#This Row],[United States 3y]],#N/A)</f>
        <v/>
      </c>
    </row>
    <row r="7919">
      <c r="A7919" s="6">
        <f>Database!$A10004</f>
        <v/>
      </c>
      <c r="B7919">
        <f>IF(VLOOKUP(Table7[[#This Row],[Date]],Database!$A:$C,MATCH($B$1,Database!$A$1:$C$1,),)=0,#N/A,VLOOKUP(Table7[[#This Row],[Date]],Database!$A:$C,MATCH($B$1,Database!$A$1:$C$1,),))</f>
        <v/>
      </c>
      <c r="C7919">
        <f>IF(VLOOKUP(Table7[[#This Row],[Date]],Database!$A:$C,MATCH($C$1,Database!$A$1:$C$1,),)=0,#N/A,VLOOKUP(Table7[[#This Row],[Date]],Database!$A:$C,MATCH($C$1,Database!$A$1:$C$1,),))</f>
        <v/>
      </c>
      <c r="D7919">
        <f>IFERROR(Table7[[#This Row],[United States 10y]]-Table7[[#This Row],[United States 3y]],#N/A)</f>
        <v/>
      </c>
    </row>
    <row r="7920">
      <c r="A7920" s="6">
        <f>Database!$A10005</f>
        <v/>
      </c>
      <c r="B7920">
        <f>IF(VLOOKUP(Table7[[#This Row],[Date]],Database!$A:$C,MATCH($B$1,Database!$A$1:$C$1,),)=0,#N/A,VLOOKUP(Table7[[#This Row],[Date]],Database!$A:$C,MATCH($B$1,Database!$A$1:$C$1,),))</f>
        <v/>
      </c>
      <c r="C7920">
        <f>IF(VLOOKUP(Table7[[#This Row],[Date]],Database!$A:$C,MATCH($C$1,Database!$A$1:$C$1,),)=0,#N/A,VLOOKUP(Table7[[#This Row],[Date]],Database!$A:$C,MATCH($C$1,Database!$A$1:$C$1,),))</f>
        <v/>
      </c>
      <c r="D7920">
        <f>IFERROR(Table7[[#This Row],[United States 10y]]-Table7[[#This Row],[United States 3y]],#N/A)</f>
        <v/>
      </c>
    </row>
    <row r="7921">
      <c r="A7921" s="6">
        <f>Database!$A10006</f>
        <v/>
      </c>
      <c r="B7921">
        <f>IF(VLOOKUP(Table7[[#This Row],[Date]],Database!$A:$C,MATCH($B$1,Database!$A$1:$C$1,),)=0,#N/A,VLOOKUP(Table7[[#This Row],[Date]],Database!$A:$C,MATCH($B$1,Database!$A$1:$C$1,),))</f>
        <v/>
      </c>
      <c r="C7921">
        <f>IF(VLOOKUP(Table7[[#This Row],[Date]],Database!$A:$C,MATCH($C$1,Database!$A$1:$C$1,),)=0,#N/A,VLOOKUP(Table7[[#This Row],[Date]],Database!$A:$C,MATCH($C$1,Database!$A$1:$C$1,),))</f>
        <v/>
      </c>
      <c r="D7921">
        <f>IFERROR(Table7[[#This Row],[United States 10y]]-Table7[[#This Row],[United States 3y]],#N/A)</f>
        <v/>
      </c>
    </row>
    <row r="7922">
      <c r="A7922" s="6">
        <f>Database!$A10007</f>
        <v/>
      </c>
      <c r="B7922">
        <f>IF(VLOOKUP(Table7[[#This Row],[Date]],Database!$A:$C,MATCH($B$1,Database!$A$1:$C$1,),)=0,#N/A,VLOOKUP(Table7[[#This Row],[Date]],Database!$A:$C,MATCH($B$1,Database!$A$1:$C$1,),))</f>
        <v/>
      </c>
      <c r="C7922">
        <f>IF(VLOOKUP(Table7[[#This Row],[Date]],Database!$A:$C,MATCH($C$1,Database!$A$1:$C$1,),)=0,#N/A,VLOOKUP(Table7[[#This Row],[Date]],Database!$A:$C,MATCH($C$1,Database!$A$1:$C$1,),))</f>
        <v/>
      </c>
      <c r="D7922">
        <f>IFERROR(Table7[[#This Row],[United States 10y]]-Table7[[#This Row],[United States 3y]],#N/A)</f>
        <v/>
      </c>
    </row>
    <row r="7923">
      <c r="A7923" s="6">
        <f>Database!$A10008</f>
        <v/>
      </c>
      <c r="B7923">
        <f>IF(VLOOKUP(Table7[[#This Row],[Date]],Database!$A:$C,MATCH($B$1,Database!$A$1:$C$1,),)=0,#N/A,VLOOKUP(Table7[[#This Row],[Date]],Database!$A:$C,MATCH($B$1,Database!$A$1:$C$1,),))</f>
        <v/>
      </c>
      <c r="C7923">
        <f>IF(VLOOKUP(Table7[[#This Row],[Date]],Database!$A:$C,MATCH($C$1,Database!$A$1:$C$1,),)=0,#N/A,VLOOKUP(Table7[[#This Row],[Date]],Database!$A:$C,MATCH($C$1,Database!$A$1:$C$1,),))</f>
        <v/>
      </c>
      <c r="D7923">
        <f>IFERROR(Table7[[#This Row],[United States 10y]]-Table7[[#This Row],[United States 3y]],#N/A)</f>
        <v/>
      </c>
    </row>
    <row r="7924">
      <c r="A7924" s="6">
        <f>Database!$A10009</f>
        <v/>
      </c>
      <c r="B7924">
        <f>IF(VLOOKUP(Table7[[#This Row],[Date]],Database!$A:$C,MATCH($B$1,Database!$A$1:$C$1,),)=0,#N/A,VLOOKUP(Table7[[#This Row],[Date]],Database!$A:$C,MATCH($B$1,Database!$A$1:$C$1,),))</f>
        <v/>
      </c>
      <c r="C7924">
        <f>IF(VLOOKUP(Table7[[#This Row],[Date]],Database!$A:$C,MATCH($C$1,Database!$A$1:$C$1,),)=0,#N/A,VLOOKUP(Table7[[#This Row],[Date]],Database!$A:$C,MATCH($C$1,Database!$A$1:$C$1,),))</f>
        <v/>
      </c>
      <c r="D7924">
        <f>IFERROR(Table7[[#This Row],[United States 10y]]-Table7[[#This Row],[United States 3y]],#N/A)</f>
        <v/>
      </c>
    </row>
    <row r="7925">
      <c r="A7925" s="6">
        <f>Database!$A10010</f>
        <v/>
      </c>
      <c r="B7925">
        <f>IF(VLOOKUP(Table7[[#This Row],[Date]],Database!$A:$C,MATCH($B$1,Database!$A$1:$C$1,),)=0,#N/A,VLOOKUP(Table7[[#This Row],[Date]],Database!$A:$C,MATCH($B$1,Database!$A$1:$C$1,),))</f>
        <v/>
      </c>
      <c r="C7925">
        <f>IF(VLOOKUP(Table7[[#This Row],[Date]],Database!$A:$C,MATCH($C$1,Database!$A$1:$C$1,),)=0,#N/A,VLOOKUP(Table7[[#This Row],[Date]],Database!$A:$C,MATCH($C$1,Database!$A$1:$C$1,),))</f>
        <v/>
      </c>
      <c r="D7925">
        <f>IFERROR(Table7[[#This Row],[United States 10y]]-Table7[[#This Row],[United States 3y]],#N/A)</f>
        <v/>
      </c>
    </row>
    <row r="7926">
      <c r="A7926" s="6">
        <f>Database!$A10011</f>
        <v/>
      </c>
      <c r="B7926">
        <f>IF(VLOOKUP(Table7[[#This Row],[Date]],Database!$A:$C,MATCH($B$1,Database!$A$1:$C$1,),)=0,#N/A,VLOOKUP(Table7[[#This Row],[Date]],Database!$A:$C,MATCH($B$1,Database!$A$1:$C$1,),))</f>
        <v/>
      </c>
      <c r="C7926">
        <f>IF(VLOOKUP(Table7[[#This Row],[Date]],Database!$A:$C,MATCH($C$1,Database!$A$1:$C$1,),)=0,#N/A,VLOOKUP(Table7[[#This Row],[Date]],Database!$A:$C,MATCH($C$1,Database!$A$1:$C$1,),))</f>
        <v/>
      </c>
      <c r="D7926">
        <f>IFERROR(Table7[[#This Row],[United States 10y]]-Table7[[#This Row],[United States 3y]],#N/A)</f>
        <v/>
      </c>
    </row>
    <row r="7927">
      <c r="A7927" s="6">
        <f>Database!$A10012</f>
        <v/>
      </c>
      <c r="B7927">
        <f>IF(VLOOKUP(Table7[[#This Row],[Date]],Database!$A:$C,MATCH($B$1,Database!$A$1:$C$1,),)=0,#N/A,VLOOKUP(Table7[[#This Row],[Date]],Database!$A:$C,MATCH($B$1,Database!$A$1:$C$1,),))</f>
        <v/>
      </c>
      <c r="C7927">
        <f>IF(VLOOKUP(Table7[[#This Row],[Date]],Database!$A:$C,MATCH($C$1,Database!$A$1:$C$1,),)=0,#N/A,VLOOKUP(Table7[[#This Row],[Date]],Database!$A:$C,MATCH($C$1,Database!$A$1:$C$1,),))</f>
        <v/>
      </c>
      <c r="D7927">
        <f>IFERROR(Table7[[#This Row],[United States 10y]]-Table7[[#This Row],[United States 3y]],#N/A)</f>
        <v/>
      </c>
    </row>
    <row r="7928">
      <c r="A7928" s="6">
        <f>Database!$A10013</f>
        <v/>
      </c>
      <c r="B7928">
        <f>IF(VLOOKUP(Table7[[#This Row],[Date]],Database!$A:$C,MATCH($B$1,Database!$A$1:$C$1,),)=0,#N/A,VLOOKUP(Table7[[#This Row],[Date]],Database!$A:$C,MATCH($B$1,Database!$A$1:$C$1,),))</f>
        <v/>
      </c>
      <c r="C7928">
        <f>IF(VLOOKUP(Table7[[#This Row],[Date]],Database!$A:$C,MATCH($C$1,Database!$A$1:$C$1,),)=0,#N/A,VLOOKUP(Table7[[#This Row],[Date]],Database!$A:$C,MATCH($C$1,Database!$A$1:$C$1,),))</f>
        <v/>
      </c>
      <c r="D7928">
        <f>IFERROR(Table7[[#This Row],[United States 10y]]-Table7[[#This Row],[United States 3y]],#N/A)</f>
        <v/>
      </c>
    </row>
    <row r="7929">
      <c r="A7929" s="6">
        <f>Database!$A10014</f>
        <v/>
      </c>
      <c r="B7929">
        <f>IF(VLOOKUP(Table7[[#This Row],[Date]],Database!$A:$C,MATCH($B$1,Database!$A$1:$C$1,),)=0,#N/A,VLOOKUP(Table7[[#This Row],[Date]],Database!$A:$C,MATCH($B$1,Database!$A$1:$C$1,),))</f>
        <v/>
      </c>
      <c r="C7929">
        <f>IF(VLOOKUP(Table7[[#This Row],[Date]],Database!$A:$C,MATCH($C$1,Database!$A$1:$C$1,),)=0,#N/A,VLOOKUP(Table7[[#This Row],[Date]],Database!$A:$C,MATCH($C$1,Database!$A$1:$C$1,),))</f>
        <v/>
      </c>
      <c r="D7929">
        <f>IFERROR(Table7[[#This Row],[United States 10y]]-Table7[[#This Row],[United States 3y]],#N/A)</f>
        <v/>
      </c>
    </row>
    <row r="7930">
      <c r="A7930" s="6">
        <f>Database!$A10015</f>
        <v/>
      </c>
      <c r="B7930">
        <f>IF(VLOOKUP(Table7[[#This Row],[Date]],Database!$A:$C,MATCH($B$1,Database!$A$1:$C$1,),)=0,#N/A,VLOOKUP(Table7[[#This Row],[Date]],Database!$A:$C,MATCH($B$1,Database!$A$1:$C$1,),))</f>
        <v/>
      </c>
      <c r="C7930">
        <f>IF(VLOOKUP(Table7[[#This Row],[Date]],Database!$A:$C,MATCH($C$1,Database!$A$1:$C$1,),)=0,#N/A,VLOOKUP(Table7[[#This Row],[Date]],Database!$A:$C,MATCH($C$1,Database!$A$1:$C$1,),))</f>
        <v/>
      </c>
      <c r="D7930">
        <f>IFERROR(Table7[[#This Row],[United States 10y]]-Table7[[#This Row],[United States 3y]],#N/A)</f>
        <v/>
      </c>
    </row>
    <row r="7931">
      <c r="A7931" s="6">
        <f>Database!$A10016</f>
        <v/>
      </c>
      <c r="B7931">
        <f>IF(VLOOKUP(Table7[[#This Row],[Date]],Database!$A:$C,MATCH($B$1,Database!$A$1:$C$1,),)=0,#N/A,VLOOKUP(Table7[[#This Row],[Date]],Database!$A:$C,MATCH($B$1,Database!$A$1:$C$1,),))</f>
        <v/>
      </c>
      <c r="C7931">
        <f>IF(VLOOKUP(Table7[[#This Row],[Date]],Database!$A:$C,MATCH($C$1,Database!$A$1:$C$1,),)=0,#N/A,VLOOKUP(Table7[[#This Row],[Date]],Database!$A:$C,MATCH($C$1,Database!$A$1:$C$1,),))</f>
        <v/>
      </c>
      <c r="D7931">
        <f>IFERROR(Table7[[#This Row],[United States 10y]]-Table7[[#This Row],[United States 3y]],#N/A)</f>
        <v/>
      </c>
    </row>
    <row r="7932">
      <c r="A7932" s="6">
        <f>Database!$A10017</f>
        <v/>
      </c>
      <c r="B7932">
        <f>IF(VLOOKUP(Table7[[#This Row],[Date]],Database!$A:$C,MATCH($B$1,Database!$A$1:$C$1,),)=0,#N/A,VLOOKUP(Table7[[#This Row],[Date]],Database!$A:$C,MATCH($B$1,Database!$A$1:$C$1,),))</f>
        <v/>
      </c>
      <c r="C7932">
        <f>IF(VLOOKUP(Table7[[#This Row],[Date]],Database!$A:$C,MATCH($C$1,Database!$A$1:$C$1,),)=0,#N/A,VLOOKUP(Table7[[#This Row],[Date]],Database!$A:$C,MATCH($C$1,Database!$A$1:$C$1,),))</f>
        <v/>
      </c>
      <c r="D7932">
        <f>IFERROR(Table7[[#This Row],[United States 10y]]-Table7[[#This Row],[United States 3y]],#N/A)</f>
        <v/>
      </c>
    </row>
    <row r="7933">
      <c r="A7933" s="6">
        <f>Database!$A10018</f>
        <v/>
      </c>
      <c r="B7933">
        <f>IF(VLOOKUP(Table7[[#This Row],[Date]],Database!$A:$C,MATCH($B$1,Database!$A$1:$C$1,),)=0,#N/A,VLOOKUP(Table7[[#This Row],[Date]],Database!$A:$C,MATCH($B$1,Database!$A$1:$C$1,),))</f>
        <v/>
      </c>
      <c r="C7933">
        <f>IF(VLOOKUP(Table7[[#This Row],[Date]],Database!$A:$C,MATCH($C$1,Database!$A$1:$C$1,),)=0,#N/A,VLOOKUP(Table7[[#This Row],[Date]],Database!$A:$C,MATCH($C$1,Database!$A$1:$C$1,),))</f>
        <v/>
      </c>
      <c r="D7933">
        <f>IFERROR(Table7[[#This Row],[United States 10y]]-Table7[[#This Row],[United States 3y]],#N/A)</f>
        <v/>
      </c>
    </row>
    <row r="7934">
      <c r="A7934" s="6">
        <f>Database!$A10019</f>
        <v/>
      </c>
      <c r="B7934">
        <f>IF(VLOOKUP(Table7[[#This Row],[Date]],Database!$A:$C,MATCH($B$1,Database!$A$1:$C$1,),)=0,#N/A,VLOOKUP(Table7[[#This Row],[Date]],Database!$A:$C,MATCH($B$1,Database!$A$1:$C$1,),))</f>
        <v/>
      </c>
      <c r="C7934">
        <f>IF(VLOOKUP(Table7[[#This Row],[Date]],Database!$A:$C,MATCH($C$1,Database!$A$1:$C$1,),)=0,#N/A,VLOOKUP(Table7[[#This Row],[Date]],Database!$A:$C,MATCH($C$1,Database!$A$1:$C$1,),))</f>
        <v/>
      </c>
      <c r="D7934">
        <f>IFERROR(Table7[[#This Row],[United States 10y]]-Table7[[#This Row],[United States 3y]],#N/A)</f>
        <v/>
      </c>
    </row>
    <row r="7935">
      <c r="A7935" s="6">
        <f>Database!$A10020</f>
        <v/>
      </c>
      <c r="B7935">
        <f>IF(VLOOKUP(Table7[[#This Row],[Date]],Database!$A:$C,MATCH($B$1,Database!$A$1:$C$1,),)=0,#N/A,VLOOKUP(Table7[[#This Row],[Date]],Database!$A:$C,MATCH($B$1,Database!$A$1:$C$1,),))</f>
        <v/>
      </c>
      <c r="C7935">
        <f>IF(VLOOKUP(Table7[[#This Row],[Date]],Database!$A:$C,MATCH($C$1,Database!$A$1:$C$1,),)=0,#N/A,VLOOKUP(Table7[[#This Row],[Date]],Database!$A:$C,MATCH($C$1,Database!$A$1:$C$1,),))</f>
        <v/>
      </c>
      <c r="D7935">
        <f>IFERROR(Table7[[#This Row],[United States 10y]]-Table7[[#This Row],[United States 3y]],#N/A)</f>
        <v/>
      </c>
    </row>
    <row r="7936">
      <c r="A7936" s="6">
        <f>Database!$A10021</f>
        <v/>
      </c>
      <c r="B7936">
        <f>IF(VLOOKUP(Table7[[#This Row],[Date]],Database!$A:$C,MATCH($B$1,Database!$A$1:$C$1,),)=0,#N/A,VLOOKUP(Table7[[#This Row],[Date]],Database!$A:$C,MATCH($B$1,Database!$A$1:$C$1,),))</f>
        <v/>
      </c>
      <c r="C7936">
        <f>IF(VLOOKUP(Table7[[#This Row],[Date]],Database!$A:$C,MATCH($C$1,Database!$A$1:$C$1,),)=0,#N/A,VLOOKUP(Table7[[#This Row],[Date]],Database!$A:$C,MATCH($C$1,Database!$A$1:$C$1,),))</f>
        <v/>
      </c>
      <c r="D7936">
        <f>IFERROR(Table7[[#This Row],[United States 10y]]-Table7[[#This Row],[United States 3y]],#N/A)</f>
        <v/>
      </c>
    </row>
    <row r="7937">
      <c r="A7937" s="6">
        <f>Database!$A10022</f>
        <v/>
      </c>
      <c r="B7937">
        <f>IF(VLOOKUP(Table7[[#This Row],[Date]],Database!$A:$C,MATCH($B$1,Database!$A$1:$C$1,),)=0,#N/A,VLOOKUP(Table7[[#This Row],[Date]],Database!$A:$C,MATCH($B$1,Database!$A$1:$C$1,),))</f>
        <v/>
      </c>
      <c r="C7937">
        <f>IF(VLOOKUP(Table7[[#This Row],[Date]],Database!$A:$C,MATCH($C$1,Database!$A$1:$C$1,),)=0,#N/A,VLOOKUP(Table7[[#This Row],[Date]],Database!$A:$C,MATCH($C$1,Database!$A$1:$C$1,),))</f>
        <v/>
      </c>
      <c r="D7937">
        <f>IFERROR(Table7[[#This Row],[United States 10y]]-Table7[[#This Row],[United States 3y]],#N/A)</f>
        <v/>
      </c>
    </row>
    <row r="7938">
      <c r="A7938" s="6">
        <f>Database!$A10023</f>
        <v/>
      </c>
      <c r="B7938">
        <f>IF(VLOOKUP(Table7[[#This Row],[Date]],Database!$A:$C,MATCH($B$1,Database!$A$1:$C$1,),)=0,#N/A,VLOOKUP(Table7[[#This Row],[Date]],Database!$A:$C,MATCH($B$1,Database!$A$1:$C$1,),))</f>
        <v/>
      </c>
      <c r="C7938">
        <f>IF(VLOOKUP(Table7[[#This Row],[Date]],Database!$A:$C,MATCH($C$1,Database!$A$1:$C$1,),)=0,#N/A,VLOOKUP(Table7[[#This Row],[Date]],Database!$A:$C,MATCH($C$1,Database!$A$1:$C$1,),))</f>
        <v/>
      </c>
      <c r="D7938">
        <f>IFERROR(Table7[[#This Row],[United States 10y]]-Table7[[#This Row],[United States 3y]],#N/A)</f>
        <v/>
      </c>
    </row>
    <row r="7939">
      <c r="A7939" s="6">
        <f>Database!$A10024</f>
        <v/>
      </c>
      <c r="B7939">
        <f>IF(VLOOKUP(Table7[[#This Row],[Date]],Database!$A:$C,MATCH($B$1,Database!$A$1:$C$1,),)=0,#N/A,VLOOKUP(Table7[[#This Row],[Date]],Database!$A:$C,MATCH($B$1,Database!$A$1:$C$1,),))</f>
        <v/>
      </c>
      <c r="C7939">
        <f>IF(VLOOKUP(Table7[[#This Row],[Date]],Database!$A:$C,MATCH($C$1,Database!$A$1:$C$1,),)=0,#N/A,VLOOKUP(Table7[[#This Row],[Date]],Database!$A:$C,MATCH($C$1,Database!$A$1:$C$1,),))</f>
        <v/>
      </c>
      <c r="D7939">
        <f>IFERROR(Table7[[#This Row],[United States 10y]]-Table7[[#This Row],[United States 3y]],#N/A)</f>
        <v/>
      </c>
    </row>
    <row r="7940">
      <c r="A7940" s="6">
        <f>Database!$A10025</f>
        <v/>
      </c>
      <c r="B7940">
        <f>IF(VLOOKUP(Table7[[#This Row],[Date]],Database!$A:$C,MATCH($B$1,Database!$A$1:$C$1,),)=0,#N/A,VLOOKUP(Table7[[#This Row],[Date]],Database!$A:$C,MATCH($B$1,Database!$A$1:$C$1,),))</f>
        <v/>
      </c>
      <c r="C7940">
        <f>IF(VLOOKUP(Table7[[#This Row],[Date]],Database!$A:$C,MATCH($C$1,Database!$A$1:$C$1,),)=0,#N/A,VLOOKUP(Table7[[#This Row],[Date]],Database!$A:$C,MATCH($C$1,Database!$A$1:$C$1,),))</f>
        <v/>
      </c>
      <c r="D7940">
        <f>IFERROR(Table7[[#This Row],[United States 10y]]-Table7[[#This Row],[United States 3y]],#N/A)</f>
        <v/>
      </c>
    </row>
    <row r="7941">
      <c r="A7941" s="6">
        <f>Database!$A10026</f>
        <v/>
      </c>
      <c r="B7941">
        <f>IF(VLOOKUP(Table7[[#This Row],[Date]],Database!$A:$C,MATCH($B$1,Database!$A$1:$C$1,),)=0,#N/A,VLOOKUP(Table7[[#This Row],[Date]],Database!$A:$C,MATCH($B$1,Database!$A$1:$C$1,),))</f>
        <v/>
      </c>
      <c r="C7941">
        <f>IF(VLOOKUP(Table7[[#This Row],[Date]],Database!$A:$C,MATCH($C$1,Database!$A$1:$C$1,),)=0,#N/A,VLOOKUP(Table7[[#This Row],[Date]],Database!$A:$C,MATCH($C$1,Database!$A$1:$C$1,),))</f>
        <v/>
      </c>
      <c r="D7941">
        <f>IFERROR(Table7[[#This Row],[United States 10y]]-Table7[[#This Row],[United States 3y]],#N/A)</f>
        <v/>
      </c>
    </row>
    <row r="7942">
      <c r="A7942" s="6">
        <f>Database!$A10027</f>
        <v/>
      </c>
      <c r="B7942">
        <f>IF(VLOOKUP(Table7[[#This Row],[Date]],Database!$A:$C,MATCH($B$1,Database!$A$1:$C$1,),)=0,#N/A,VLOOKUP(Table7[[#This Row],[Date]],Database!$A:$C,MATCH($B$1,Database!$A$1:$C$1,),))</f>
        <v/>
      </c>
      <c r="C7942">
        <f>IF(VLOOKUP(Table7[[#This Row],[Date]],Database!$A:$C,MATCH($C$1,Database!$A$1:$C$1,),)=0,#N/A,VLOOKUP(Table7[[#This Row],[Date]],Database!$A:$C,MATCH($C$1,Database!$A$1:$C$1,),))</f>
        <v/>
      </c>
      <c r="D7942">
        <f>IFERROR(Table7[[#This Row],[United States 10y]]-Table7[[#This Row],[United States 3y]],#N/A)</f>
        <v/>
      </c>
    </row>
    <row r="7943">
      <c r="A7943" s="6">
        <f>Database!$A10028</f>
        <v/>
      </c>
      <c r="B7943">
        <f>IF(VLOOKUP(Table7[[#This Row],[Date]],Database!$A:$C,MATCH($B$1,Database!$A$1:$C$1,),)=0,#N/A,VLOOKUP(Table7[[#This Row],[Date]],Database!$A:$C,MATCH($B$1,Database!$A$1:$C$1,),))</f>
        <v/>
      </c>
      <c r="C7943">
        <f>IF(VLOOKUP(Table7[[#This Row],[Date]],Database!$A:$C,MATCH($C$1,Database!$A$1:$C$1,),)=0,#N/A,VLOOKUP(Table7[[#This Row],[Date]],Database!$A:$C,MATCH($C$1,Database!$A$1:$C$1,),))</f>
        <v/>
      </c>
      <c r="D7943">
        <f>IFERROR(Table7[[#This Row],[United States 10y]]-Table7[[#This Row],[United States 3y]],#N/A)</f>
        <v/>
      </c>
    </row>
    <row r="7944">
      <c r="A7944" s="6">
        <f>Database!$A10029</f>
        <v/>
      </c>
      <c r="B7944">
        <f>IF(VLOOKUP(Table7[[#This Row],[Date]],Database!$A:$C,MATCH($B$1,Database!$A$1:$C$1,),)=0,#N/A,VLOOKUP(Table7[[#This Row],[Date]],Database!$A:$C,MATCH($B$1,Database!$A$1:$C$1,),))</f>
        <v/>
      </c>
      <c r="C7944">
        <f>IF(VLOOKUP(Table7[[#This Row],[Date]],Database!$A:$C,MATCH($C$1,Database!$A$1:$C$1,),)=0,#N/A,VLOOKUP(Table7[[#This Row],[Date]],Database!$A:$C,MATCH($C$1,Database!$A$1:$C$1,),))</f>
        <v/>
      </c>
      <c r="D7944">
        <f>IFERROR(Table7[[#This Row],[United States 10y]]-Table7[[#This Row],[United States 3y]],#N/A)</f>
        <v/>
      </c>
    </row>
    <row r="7945">
      <c r="A7945" s="6">
        <f>Database!$A10030</f>
        <v/>
      </c>
      <c r="B7945">
        <f>IF(VLOOKUP(Table7[[#This Row],[Date]],Database!$A:$C,MATCH($B$1,Database!$A$1:$C$1,),)=0,#N/A,VLOOKUP(Table7[[#This Row],[Date]],Database!$A:$C,MATCH($B$1,Database!$A$1:$C$1,),))</f>
        <v/>
      </c>
      <c r="C7945">
        <f>IF(VLOOKUP(Table7[[#This Row],[Date]],Database!$A:$C,MATCH($C$1,Database!$A$1:$C$1,),)=0,#N/A,VLOOKUP(Table7[[#This Row],[Date]],Database!$A:$C,MATCH($C$1,Database!$A$1:$C$1,),))</f>
        <v/>
      </c>
      <c r="D7945">
        <f>IFERROR(Table7[[#This Row],[United States 10y]]-Table7[[#This Row],[United States 3y]],#N/A)</f>
        <v/>
      </c>
    </row>
    <row r="7946">
      <c r="A7946" s="6">
        <f>Database!$A10031</f>
        <v/>
      </c>
      <c r="B7946">
        <f>IF(VLOOKUP(Table7[[#This Row],[Date]],Database!$A:$C,MATCH($B$1,Database!$A$1:$C$1,),)=0,#N/A,VLOOKUP(Table7[[#This Row],[Date]],Database!$A:$C,MATCH($B$1,Database!$A$1:$C$1,),))</f>
        <v/>
      </c>
      <c r="C7946">
        <f>IF(VLOOKUP(Table7[[#This Row],[Date]],Database!$A:$C,MATCH($C$1,Database!$A$1:$C$1,),)=0,#N/A,VLOOKUP(Table7[[#This Row],[Date]],Database!$A:$C,MATCH($C$1,Database!$A$1:$C$1,),))</f>
        <v/>
      </c>
      <c r="D7946">
        <f>IFERROR(Table7[[#This Row],[United States 10y]]-Table7[[#This Row],[United States 3y]],#N/A)</f>
        <v/>
      </c>
    </row>
    <row r="7947">
      <c r="A7947" s="6">
        <f>Database!$A10032</f>
        <v/>
      </c>
      <c r="B7947">
        <f>IF(VLOOKUP(Table7[[#This Row],[Date]],Database!$A:$C,MATCH($B$1,Database!$A$1:$C$1,),)=0,#N/A,VLOOKUP(Table7[[#This Row],[Date]],Database!$A:$C,MATCH($B$1,Database!$A$1:$C$1,),))</f>
        <v/>
      </c>
      <c r="C7947">
        <f>IF(VLOOKUP(Table7[[#This Row],[Date]],Database!$A:$C,MATCH($C$1,Database!$A$1:$C$1,),)=0,#N/A,VLOOKUP(Table7[[#This Row],[Date]],Database!$A:$C,MATCH($C$1,Database!$A$1:$C$1,),))</f>
        <v/>
      </c>
      <c r="D7947">
        <f>IFERROR(Table7[[#This Row],[United States 10y]]-Table7[[#This Row],[United States 3y]],#N/A)</f>
        <v/>
      </c>
    </row>
    <row r="7948">
      <c r="A7948" s="6">
        <f>Database!$A10033</f>
        <v/>
      </c>
      <c r="B7948">
        <f>IF(VLOOKUP(Table7[[#This Row],[Date]],Database!$A:$C,MATCH($B$1,Database!$A$1:$C$1,),)=0,#N/A,VLOOKUP(Table7[[#This Row],[Date]],Database!$A:$C,MATCH($B$1,Database!$A$1:$C$1,),))</f>
        <v/>
      </c>
      <c r="C7948">
        <f>IF(VLOOKUP(Table7[[#This Row],[Date]],Database!$A:$C,MATCH($C$1,Database!$A$1:$C$1,),)=0,#N/A,VLOOKUP(Table7[[#This Row],[Date]],Database!$A:$C,MATCH($C$1,Database!$A$1:$C$1,),))</f>
        <v/>
      </c>
      <c r="D7948">
        <f>IFERROR(Table7[[#This Row],[United States 10y]]-Table7[[#This Row],[United States 3y]],#N/A)</f>
        <v/>
      </c>
    </row>
    <row r="7949">
      <c r="A7949" s="6">
        <f>Database!$A10034</f>
        <v/>
      </c>
      <c r="B7949">
        <f>IF(VLOOKUP(Table7[[#This Row],[Date]],Database!$A:$C,MATCH($B$1,Database!$A$1:$C$1,),)=0,#N/A,VLOOKUP(Table7[[#This Row],[Date]],Database!$A:$C,MATCH($B$1,Database!$A$1:$C$1,),))</f>
        <v/>
      </c>
      <c r="C7949">
        <f>IF(VLOOKUP(Table7[[#This Row],[Date]],Database!$A:$C,MATCH($C$1,Database!$A$1:$C$1,),)=0,#N/A,VLOOKUP(Table7[[#This Row],[Date]],Database!$A:$C,MATCH($C$1,Database!$A$1:$C$1,),))</f>
        <v/>
      </c>
      <c r="D7949">
        <f>IFERROR(Table7[[#This Row],[United States 10y]]-Table7[[#This Row],[United States 3y]],#N/A)</f>
        <v/>
      </c>
    </row>
    <row r="7950">
      <c r="A7950" s="6">
        <f>Database!$A10035</f>
        <v/>
      </c>
      <c r="B7950">
        <f>IF(VLOOKUP(Table7[[#This Row],[Date]],Database!$A:$C,MATCH($B$1,Database!$A$1:$C$1,),)=0,#N/A,VLOOKUP(Table7[[#This Row],[Date]],Database!$A:$C,MATCH($B$1,Database!$A$1:$C$1,),))</f>
        <v/>
      </c>
      <c r="C7950">
        <f>IF(VLOOKUP(Table7[[#This Row],[Date]],Database!$A:$C,MATCH($C$1,Database!$A$1:$C$1,),)=0,#N/A,VLOOKUP(Table7[[#This Row],[Date]],Database!$A:$C,MATCH($C$1,Database!$A$1:$C$1,),))</f>
        <v/>
      </c>
      <c r="D7950">
        <f>IFERROR(Table7[[#This Row],[United States 10y]]-Table7[[#This Row],[United States 3y]],#N/A)</f>
        <v/>
      </c>
    </row>
    <row r="7951">
      <c r="A7951" s="6">
        <f>Database!$A10036</f>
        <v/>
      </c>
      <c r="B7951">
        <f>IF(VLOOKUP(Table7[[#This Row],[Date]],Database!$A:$C,MATCH($B$1,Database!$A$1:$C$1,),)=0,#N/A,VLOOKUP(Table7[[#This Row],[Date]],Database!$A:$C,MATCH($B$1,Database!$A$1:$C$1,),))</f>
        <v/>
      </c>
      <c r="C7951">
        <f>IF(VLOOKUP(Table7[[#This Row],[Date]],Database!$A:$C,MATCH($C$1,Database!$A$1:$C$1,),)=0,#N/A,VLOOKUP(Table7[[#This Row],[Date]],Database!$A:$C,MATCH($C$1,Database!$A$1:$C$1,),))</f>
        <v/>
      </c>
      <c r="D7951">
        <f>IFERROR(Table7[[#This Row],[United States 10y]]-Table7[[#This Row],[United States 3y]],#N/A)</f>
        <v/>
      </c>
    </row>
    <row r="7952">
      <c r="A7952" s="6">
        <f>Database!$A10037</f>
        <v/>
      </c>
      <c r="B7952">
        <f>IF(VLOOKUP(Table7[[#This Row],[Date]],Database!$A:$C,MATCH($B$1,Database!$A$1:$C$1,),)=0,#N/A,VLOOKUP(Table7[[#This Row],[Date]],Database!$A:$C,MATCH($B$1,Database!$A$1:$C$1,),))</f>
        <v/>
      </c>
      <c r="C7952">
        <f>IF(VLOOKUP(Table7[[#This Row],[Date]],Database!$A:$C,MATCH($C$1,Database!$A$1:$C$1,),)=0,#N/A,VLOOKUP(Table7[[#This Row],[Date]],Database!$A:$C,MATCH($C$1,Database!$A$1:$C$1,),))</f>
        <v/>
      </c>
      <c r="D7952">
        <f>IFERROR(Table7[[#This Row],[United States 10y]]-Table7[[#This Row],[United States 3y]],#N/A)</f>
        <v/>
      </c>
    </row>
    <row r="7953">
      <c r="A7953" s="6">
        <f>Database!$A10038</f>
        <v/>
      </c>
      <c r="B7953">
        <f>IF(VLOOKUP(Table7[[#This Row],[Date]],Database!$A:$C,MATCH($B$1,Database!$A$1:$C$1,),)=0,#N/A,VLOOKUP(Table7[[#This Row],[Date]],Database!$A:$C,MATCH($B$1,Database!$A$1:$C$1,),))</f>
        <v/>
      </c>
      <c r="C7953">
        <f>IF(VLOOKUP(Table7[[#This Row],[Date]],Database!$A:$C,MATCH($C$1,Database!$A$1:$C$1,),)=0,#N/A,VLOOKUP(Table7[[#This Row],[Date]],Database!$A:$C,MATCH($C$1,Database!$A$1:$C$1,),))</f>
        <v/>
      </c>
      <c r="D7953">
        <f>IFERROR(Table7[[#This Row],[United States 10y]]-Table7[[#This Row],[United States 3y]],#N/A)</f>
        <v/>
      </c>
    </row>
    <row r="7954">
      <c r="A7954" s="6">
        <f>Database!$A10039</f>
        <v/>
      </c>
      <c r="B7954">
        <f>IF(VLOOKUP(Table7[[#This Row],[Date]],Database!$A:$C,MATCH($B$1,Database!$A$1:$C$1,),)=0,#N/A,VLOOKUP(Table7[[#This Row],[Date]],Database!$A:$C,MATCH($B$1,Database!$A$1:$C$1,),))</f>
        <v/>
      </c>
      <c r="C7954">
        <f>IF(VLOOKUP(Table7[[#This Row],[Date]],Database!$A:$C,MATCH($C$1,Database!$A$1:$C$1,),)=0,#N/A,VLOOKUP(Table7[[#This Row],[Date]],Database!$A:$C,MATCH($C$1,Database!$A$1:$C$1,),))</f>
        <v/>
      </c>
      <c r="D7954">
        <f>IFERROR(Table7[[#This Row],[United States 10y]]-Table7[[#This Row],[United States 3y]],#N/A)</f>
        <v/>
      </c>
    </row>
    <row r="7955">
      <c r="A7955" s="6">
        <f>Database!$A10040</f>
        <v/>
      </c>
      <c r="B7955">
        <f>IF(VLOOKUP(Table7[[#This Row],[Date]],Database!$A:$C,MATCH($B$1,Database!$A$1:$C$1,),)=0,#N/A,VLOOKUP(Table7[[#This Row],[Date]],Database!$A:$C,MATCH($B$1,Database!$A$1:$C$1,),))</f>
        <v/>
      </c>
      <c r="C7955">
        <f>IF(VLOOKUP(Table7[[#This Row],[Date]],Database!$A:$C,MATCH($C$1,Database!$A$1:$C$1,),)=0,#N/A,VLOOKUP(Table7[[#This Row],[Date]],Database!$A:$C,MATCH($C$1,Database!$A$1:$C$1,),))</f>
        <v/>
      </c>
      <c r="D7955">
        <f>IFERROR(Table7[[#This Row],[United States 10y]]-Table7[[#This Row],[United States 3y]],#N/A)</f>
        <v/>
      </c>
    </row>
    <row r="7956">
      <c r="A7956" s="6">
        <f>Database!$A10041</f>
        <v/>
      </c>
      <c r="B7956">
        <f>IF(VLOOKUP(Table7[[#This Row],[Date]],Database!$A:$C,MATCH($B$1,Database!$A$1:$C$1,),)=0,#N/A,VLOOKUP(Table7[[#This Row],[Date]],Database!$A:$C,MATCH($B$1,Database!$A$1:$C$1,),))</f>
        <v/>
      </c>
      <c r="C7956">
        <f>IF(VLOOKUP(Table7[[#This Row],[Date]],Database!$A:$C,MATCH($C$1,Database!$A$1:$C$1,),)=0,#N/A,VLOOKUP(Table7[[#This Row],[Date]],Database!$A:$C,MATCH($C$1,Database!$A$1:$C$1,),))</f>
        <v/>
      </c>
      <c r="D7956">
        <f>IFERROR(Table7[[#This Row],[United States 10y]]-Table7[[#This Row],[United States 3y]],#N/A)</f>
        <v/>
      </c>
    </row>
    <row r="7957">
      <c r="A7957" s="6">
        <f>Database!$A10042</f>
        <v/>
      </c>
      <c r="B7957">
        <f>IF(VLOOKUP(Table7[[#This Row],[Date]],Database!$A:$C,MATCH($B$1,Database!$A$1:$C$1,),)=0,#N/A,VLOOKUP(Table7[[#This Row],[Date]],Database!$A:$C,MATCH($B$1,Database!$A$1:$C$1,),))</f>
        <v/>
      </c>
      <c r="C7957">
        <f>IF(VLOOKUP(Table7[[#This Row],[Date]],Database!$A:$C,MATCH($C$1,Database!$A$1:$C$1,),)=0,#N/A,VLOOKUP(Table7[[#This Row],[Date]],Database!$A:$C,MATCH($C$1,Database!$A$1:$C$1,),))</f>
        <v/>
      </c>
      <c r="D7957">
        <f>IFERROR(Table7[[#This Row],[United States 10y]]-Table7[[#This Row],[United States 3y]],#N/A)</f>
        <v/>
      </c>
    </row>
    <row r="7958">
      <c r="A7958" s="6">
        <f>Database!$A10043</f>
        <v/>
      </c>
      <c r="B7958">
        <f>IF(VLOOKUP(Table7[[#This Row],[Date]],Database!$A:$C,MATCH($B$1,Database!$A$1:$C$1,),)=0,#N/A,VLOOKUP(Table7[[#This Row],[Date]],Database!$A:$C,MATCH($B$1,Database!$A$1:$C$1,),))</f>
        <v/>
      </c>
      <c r="C7958">
        <f>IF(VLOOKUP(Table7[[#This Row],[Date]],Database!$A:$C,MATCH($C$1,Database!$A$1:$C$1,),)=0,#N/A,VLOOKUP(Table7[[#This Row],[Date]],Database!$A:$C,MATCH($C$1,Database!$A$1:$C$1,),))</f>
        <v/>
      </c>
      <c r="D7958">
        <f>IFERROR(Table7[[#This Row],[United States 10y]]-Table7[[#This Row],[United States 3y]],#N/A)</f>
        <v/>
      </c>
    </row>
    <row r="7959">
      <c r="A7959" s="6">
        <f>Database!$A10044</f>
        <v/>
      </c>
      <c r="B7959">
        <f>IF(VLOOKUP(Table7[[#This Row],[Date]],Database!$A:$C,MATCH($B$1,Database!$A$1:$C$1,),)=0,#N/A,VLOOKUP(Table7[[#This Row],[Date]],Database!$A:$C,MATCH($B$1,Database!$A$1:$C$1,),))</f>
        <v/>
      </c>
      <c r="C7959">
        <f>IF(VLOOKUP(Table7[[#This Row],[Date]],Database!$A:$C,MATCH($C$1,Database!$A$1:$C$1,),)=0,#N/A,VLOOKUP(Table7[[#This Row],[Date]],Database!$A:$C,MATCH($C$1,Database!$A$1:$C$1,),))</f>
        <v/>
      </c>
      <c r="D7959">
        <f>IFERROR(Table7[[#This Row],[United States 10y]]-Table7[[#This Row],[United States 3y]],#N/A)</f>
        <v/>
      </c>
    </row>
    <row r="7960">
      <c r="A7960" s="6">
        <f>Database!$A10045</f>
        <v/>
      </c>
      <c r="B7960">
        <f>IF(VLOOKUP(Table7[[#This Row],[Date]],Database!$A:$C,MATCH($B$1,Database!$A$1:$C$1,),)=0,#N/A,VLOOKUP(Table7[[#This Row],[Date]],Database!$A:$C,MATCH($B$1,Database!$A$1:$C$1,),))</f>
        <v/>
      </c>
      <c r="C7960">
        <f>IF(VLOOKUP(Table7[[#This Row],[Date]],Database!$A:$C,MATCH($C$1,Database!$A$1:$C$1,),)=0,#N/A,VLOOKUP(Table7[[#This Row],[Date]],Database!$A:$C,MATCH($C$1,Database!$A$1:$C$1,),))</f>
        <v/>
      </c>
      <c r="D7960">
        <f>IFERROR(Table7[[#This Row],[United States 10y]]-Table7[[#This Row],[United States 3y]],#N/A)</f>
        <v/>
      </c>
    </row>
    <row r="7961">
      <c r="A7961" s="6">
        <f>Database!$A10046</f>
        <v/>
      </c>
      <c r="B7961">
        <f>IF(VLOOKUP(Table7[[#This Row],[Date]],Database!$A:$C,MATCH($B$1,Database!$A$1:$C$1,),)=0,#N/A,VLOOKUP(Table7[[#This Row],[Date]],Database!$A:$C,MATCH($B$1,Database!$A$1:$C$1,),))</f>
        <v/>
      </c>
      <c r="C7961">
        <f>IF(VLOOKUP(Table7[[#This Row],[Date]],Database!$A:$C,MATCH($C$1,Database!$A$1:$C$1,),)=0,#N/A,VLOOKUP(Table7[[#This Row],[Date]],Database!$A:$C,MATCH($C$1,Database!$A$1:$C$1,),))</f>
        <v/>
      </c>
      <c r="D7961">
        <f>IFERROR(Table7[[#This Row],[United States 10y]]-Table7[[#This Row],[United States 3y]],#N/A)</f>
        <v/>
      </c>
    </row>
    <row r="7962">
      <c r="A7962" s="6">
        <f>Database!$A10047</f>
        <v/>
      </c>
      <c r="B7962">
        <f>IF(VLOOKUP(Table7[[#This Row],[Date]],Database!$A:$C,MATCH($B$1,Database!$A$1:$C$1,),)=0,#N/A,VLOOKUP(Table7[[#This Row],[Date]],Database!$A:$C,MATCH($B$1,Database!$A$1:$C$1,),))</f>
        <v/>
      </c>
      <c r="C7962">
        <f>IF(VLOOKUP(Table7[[#This Row],[Date]],Database!$A:$C,MATCH($C$1,Database!$A$1:$C$1,),)=0,#N/A,VLOOKUP(Table7[[#This Row],[Date]],Database!$A:$C,MATCH($C$1,Database!$A$1:$C$1,),))</f>
        <v/>
      </c>
      <c r="D7962">
        <f>IFERROR(Table7[[#This Row],[United States 10y]]-Table7[[#This Row],[United States 3y]],#N/A)</f>
        <v/>
      </c>
    </row>
    <row r="7963">
      <c r="A7963" s="6">
        <f>Database!$A10048</f>
        <v/>
      </c>
      <c r="B7963">
        <f>IF(VLOOKUP(Table7[[#This Row],[Date]],Database!$A:$C,MATCH($B$1,Database!$A$1:$C$1,),)=0,#N/A,VLOOKUP(Table7[[#This Row],[Date]],Database!$A:$C,MATCH($B$1,Database!$A$1:$C$1,),))</f>
        <v/>
      </c>
      <c r="C7963">
        <f>IF(VLOOKUP(Table7[[#This Row],[Date]],Database!$A:$C,MATCH($C$1,Database!$A$1:$C$1,),)=0,#N/A,VLOOKUP(Table7[[#This Row],[Date]],Database!$A:$C,MATCH($C$1,Database!$A$1:$C$1,),))</f>
        <v/>
      </c>
      <c r="D7963">
        <f>IFERROR(Table7[[#This Row],[United States 10y]]-Table7[[#This Row],[United States 3y]],#N/A)</f>
        <v/>
      </c>
    </row>
    <row r="7964">
      <c r="A7964" s="6">
        <f>Database!$A10049</f>
        <v/>
      </c>
      <c r="B7964">
        <f>IF(VLOOKUP(Table7[[#This Row],[Date]],Database!$A:$C,MATCH($B$1,Database!$A$1:$C$1,),)=0,#N/A,VLOOKUP(Table7[[#This Row],[Date]],Database!$A:$C,MATCH($B$1,Database!$A$1:$C$1,),))</f>
        <v/>
      </c>
      <c r="C7964">
        <f>IF(VLOOKUP(Table7[[#This Row],[Date]],Database!$A:$C,MATCH($C$1,Database!$A$1:$C$1,),)=0,#N/A,VLOOKUP(Table7[[#This Row],[Date]],Database!$A:$C,MATCH($C$1,Database!$A$1:$C$1,),))</f>
        <v/>
      </c>
      <c r="D7964">
        <f>IFERROR(Table7[[#This Row],[United States 10y]]-Table7[[#This Row],[United States 3y]],#N/A)</f>
        <v/>
      </c>
    </row>
    <row r="7965">
      <c r="A7965" s="6">
        <f>Database!$A10050</f>
        <v/>
      </c>
      <c r="B7965">
        <f>IF(VLOOKUP(Table7[[#This Row],[Date]],Database!$A:$C,MATCH($B$1,Database!$A$1:$C$1,),)=0,#N/A,VLOOKUP(Table7[[#This Row],[Date]],Database!$A:$C,MATCH($B$1,Database!$A$1:$C$1,),))</f>
        <v/>
      </c>
      <c r="C7965">
        <f>IF(VLOOKUP(Table7[[#This Row],[Date]],Database!$A:$C,MATCH($C$1,Database!$A$1:$C$1,),)=0,#N/A,VLOOKUP(Table7[[#This Row],[Date]],Database!$A:$C,MATCH($C$1,Database!$A$1:$C$1,),))</f>
        <v/>
      </c>
      <c r="D7965">
        <f>IFERROR(Table7[[#This Row],[United States 10y]]-Table7[[#This Row],[United States 3y]],#N/A)</f>
        <v/>
      </c>
    </row>
    <row r="7966">
      <c r="A7966" s="6">
        <f>Database!$A10051</f>
        <v/>
      </c>
      <c r="B7966">
        <f>IF(VLOOKUP(Table7[[#This Row],[Date]],Database!$A:$C,MATCH($B$1,Database!$A$1:$C$1,),)=0,#N/A,VLOOKUP(Table7[[#This Row],[Date]],Database!$A:$C,MATCH($B$1,Database!$A$1:$C$1,),))</f>
        <v/>
      </c>
      <c r="C7966">
        <f>IF(VLOOKUP(Table7[[#This Row],[Date]],Database!$A:$C,MATCH($C$1,Database!$A$1:$C$1,),)=0,#N/A,VLOOKUP(Table7[[#This Row],[Date]],Database!$A:$C,MATCH($C$1,Database!$A$1:$C$1,),))</f>
        <v/>
      </c>
      <c r="D7966">
        <f>IFERROR(Table7[[#This Row],[United States 10y]]-Table7[[#This Row],[United States 3y]],#N/A)</f>
        <v/>
      </c>
    </row>
    <row r="7967">
      <c r="A7967" s="6">
        <f>Database!$A10052</f>
        <v/>
      </c>
      <c r="B7967">
        <f>IF(VLOOKUP(Table7[[#This Row],[Date]],Database!$A:$C,MATCH($B$1,Database!$A$1:$C$1,),)=0,#N/A,VLOOKUP(Table7[[#This Row],[Date]],Database!$A:$C,MATCH($B$1,Database!$A$1:$C$1,),))</f>
        <v/>
      </c>
      <c r="C7967">
        <f>IF(VLOOKUP(Table7[[#This Row],[Date]],Database!$A:$C,MATCH($C$1,Database!$A$1:$C$1,),)=0,#N/A,VLOOKUP(Table7[[#This Row],[Date]],Database!$A:$C,MATCH($C$1,Database!$A$1:$C$1,),))</f>
        <v/>
      </c>
      <c r="D7967">
        <f>IFERROR(Table7[[#This Row],[United States 10y]]-Table7[[#This Row],[United States 3y]],#N/A)</f>
        <v/>
      </c>
    </row>
    <row r="7968">
      <c r="A7968" s="6">
        <f>Database!$A10053</f>
        <v/>
      </c>
      <c r="B7968">
        <f>IF(VLOOKUP(Table7[[#This Row],[Date]],Database!$A:$C,MATCH($B$1,Database!$A$1:$C$1,),)=0,#N/A,VLOOKUP(Table7[[#This Row],[Date]],Database!$A:$C,MATCH($B$1,Database!$A$1:$C$1,),))</f>
        <v/>
      </c>
      <c r="C7968">
        <f>IF(VLOOKUP(Table7[[#This Row],[Date]],Database!$A:$C,MATCH($C$1,Database!$A$1:$C$1,),)=0,#N/A,VLOOKUP(Table7[[#This Row],[Date]],Database!$A:$C,MATCH($C$1,Database!$A$1:$C$1,),))</f>
        <v/>
      </c>
      <c r="D7968">
        <f>IFERROR(Table7[[#This Row],[United States 10y]]-Table7[[#This Row],[United States 3y]],#N/A)</f>
        <v/>
      </c>
    </row>
    <row r="7969">
      <c r="A7969" s="6">
        <f>Database!$A10054</f>
        <v/>
      </c>
      <c r="B7969">
        <f>IF(VLOOKUP(Table7[[#This Row],[Date]],Database!$A:$C,MATCH($B$1,Database!$A$1:$C$1,),)=0,#N/A,VLOOKUP(Table7[[#This Row],[Date]],Database!$A:$C,MATCH($B$1,Database!$A$1:$C$1,),))</f>
        <v/>
      </c>
      <c r="C7969">
        <f>IF(VLOOKUP(Table7[[#This Row],[Date]],Database!$A:$C,MATCH($C$1,Database!$A$1:$C$1,),)=0,#N/A,VLOOKUP(Table7[[#This Row],[Date]],Database!$A:$C,MATCH($C$1,Database!$A$1:$C$1,),))</f>
        <v/>
      </c>
      <c r="D7969">
        <f>IFERROR(Table7[[#This Row],[United States 10y]]-Table7[[#This Row],[United States 3y]],#N/A)</f>
        <v/>
      </c>
    </row>
    <row r="7970">
      <c r="A7970" s="6">
        <f>Database!$A10055</f>
        <v/>
      </c>
      <c r="B7970">
        <f>IF(VLOOKUP(Table7[[#This Row],[Date]],Database!$A:$C,MATCH($B$1,Database!$A$1:$C$1,),)=0,#N/A,VLOOKUP(Table7[[#This Row],[Date]],Database!$A:$C,MATCH($B$1,Database!$A$1:$C$1,),))</f>
        <v/>
      </c>
      <c r="C7970">
        <f>IF(VLOOKUP(Table7[[#This Row],[Date]],Database!$A:$C,MATCH($C$1,Database!$A$1:$C$1,),)=0,#N/A,VLOOKUP(Table7[[#This Row],[Date]],Database!$A:$C,MATCH($C$1,Database!$A$1:$C$1,),))</f>
        <v/>
      </c>
      <c r="D7970">
        <f>IFERROR(Table7[[#This Row],[United States 10y]]-Table7[[#This Row],[United States 3y]],#N/A)</f>
        <v/>
      </c>
    </row>
    <row r="7971">
      <c r="A7971" s="6">
        <f>Database!$A10056</f>
        <v/>
      </c>
      <c r="B7971">
        <f>IF(VLOOKUP(Table7[[#This Row],[Date]],Database!$A:$C,MATCH($B$1,Database!$A$1:$C$1,),)=0,#N/A,VLOOKUP(Table7[[#This Row],[Date]],Database!$A:$C,MATCH($B$1,Database!$A$1:$C$1,),))</f>
        <v/>
      </c>
      <c r="C7971">
        <f>IF(VLOOKUP(Table7[[#This Row],[Date]],Database!$A:$C,MATCH($C$1,Database!$A$1:$C$1,),)=0,#N/A,VLOOKUP(Table7[[#This Row],[Date]],Database!$A:$C,MATCH($C$1,Database!$A$1:$C$1,),))</f>
        <v/>
      </c>
      <c r="D7971">
        <f>IFERROR(Table7[[#This Row],[United States 10y]]-Table7[[#This Row],[United States 3y]],#N/A)</f>
        <v/>
      </c>
    </row>
    <row r="7972">
      <c r="A7972" s="6">
        <f>Database!$A10057</f>
        <v/>
      </c>
      <c r="B7972">
        <f>IF(VLOOKUP(Table7[[#This Row],[Date]],Database!$A:$C,MATCH($B$1,Database!$A$1:$C$1,),)=0,#N/A,VLOOKUP(Table7[[#This Row],[Date]],Database!$A:$C,MATCH($B$1,Database!$A$1:$C$1,),))</f>
        <v/>
      </c>
      <c r="C7972">
        <f>IF(VLOOKUP(Table7[[#This Row],[Date]],Database!$A:$C,MATCH($C$1,Database!$A$1:$C$1,),)=0,#N/A,VLOOKUP(Table7[[#This Row],[Date]],Database!$A:$C,MATCH($C$1,Database!$A$1:$C$1,),))</f>
        <v/>
      </c>
      <c r="D7972">
        <f>IFERROR(Table7[[#This Row],[United States 10y]]-Table7[[#This Row],[United States 3y]],#N/A)</f>
        <v/>
      </c>
    </row>
    <row r="7973">
      <c r="A7973" s="6">
        <f>Database!$A10058</f>
        <v/>
      </c>
      <c r="B7973">
        <f>IF(VLOOKUP(Table7[[#This Row],[Date]],Database!$A:$C,MATCH($B$1,Database!$A$1:$C$1,),)=0,#N/A,VLOOKUP(Table7[[#This Row],[Date]],Database!$A:$C,MATCH($B$1,Database!$A$1:$C$1,),))</f>
        <v/>
      </c>
      <c r="C7973">
        <f>IF(VLOOKUP(Table7[[#This Row],[Date]],Database!$A:$C,MATCH($C$1,Database!$A$1:$C$1,),)=0,#N/A,VLOOKUP(Table7[[#This Row],[Date]],Database!$A:$C,MATCH($C$1,Database!$A$1:$C$1,),))</f>
        <v/>
      </c>
      <c r="D7973">
        <f>IFERROR(Table7[[#This Row],[United States 10y]]-Table7[[#This Row],[United States 3y]],#N/A)</f>
        <v/>
      </c>
    </row>
    <row r="7974">
      <c r="A7974" s="6">
        <f>Database!$A10059</f>
        <v/>
      </c>
      <c r="B7974">
        <f>IF(VLOOKUP(Table7[[#This Row],[Date]],Database!$A:$C,MATCH($B$1,Database!$A$1:$C$1,),)=0,#N/A,VLOOKUP(Table7[[#This Row],[Date]],Database!$A:$C,MATCH($B$1,Database!$A$1:$C$1,),))</f>
        <v/>
      </c>
      <c r="C7974">
        <f>IF(VLOOKUP(Table7[[#This Row],[Date]],Database!$A:$C,MATCH($C$1,Database!$A$1:$C$1,),)=0,#N/A,VLOOKUP(Table7[[#This Row],[Date]],Database!$A:$C,MATCH($C$1,Database!$A$1:$C$1,),))</f>
        <v/>
      </c>
      <c r="D7974">
        <f>IFERROR(Table7[[#This Row],[United States 10y]]-Table7[[#This Row],[United States 3y]],#N/A)</f>
        <v/>
      </c>
    </row>
    <row r="7975">
      <c r="A7975" s="6">
        <f>Database!$A10060</f>
        <v/>
      </c>
      <c r="B7975">
        <f>IF(VLOOKUP(Table7[[#This Row],[Date]],Database!$A:$C,MATCH($B$1,Database!$A$1:$C$1,),)=0,#N/A,VLOOKUP(Table7[[#This Row],[Date]],Database!$A:$C,MATCH($B$1,Database!$A$1:$C$1,),))</f>
        <v/>
      </c>
      <c r="C7975">
        <f>IF(VLOOKUP(Table7[[#This Row],[Date]],Database!$A:$C,MATCH($C$1,Database!$A$1:$C$1,),)=0,#N/A,VLOOKUP(Table7[[#This Row],[Date]],Database!$A:$C,MATCH($C$1,Database!$A$1:$C$1,),))</f>
        <v/>
      </c>
      <c r="D7975">
        <f>IFERROR(Table7[[#This Row],[United States 10y]]-Table7[[#This Row],[United States 3y]],#N/A)</f>
        <v/>
      </c>
    </row>
    <row r="7976">
      <c r="A7976" s="6">
        <f>Database!$A10061</f>
        <v/>
      </c>
      <c r="B7976">
        <f>IF(VLOOKUP(Table7[[#This Row],[Date]],Database!$A:$C,MATCH($B$1,Database!$A$1:$C$1,),)=0,#N/A,VLOOKUP(Table7[[#This Row],[Date]],Database!$A:$C,MATCH($B$1,Database!$A$1:$C$1,),))</f>
        <v/>
      </c>
      <c r="C7976">
        <f>IF(VLOOKUP(Table7[[#This Row],[Date]],Database!$A:$C,MATCH($C$1,Database!$A$1:$C$1,),)=0,#N/A,VLOOKUP(Table7[[#This Row],[Date]],Database!$A:$C,MATCH($C$1,Database!$A$1:$C$1,),))</f>
        <v/>
      </c>
      <c r="D7976">
        <f>IFERROR(Table7[[#This Row],[United States 10y]]-Table7[[#This Row],[United States 3y]],#N/A)</f>
        <v/>
      </c>
    </row>
    <row r="7977">
      <c r="A7977" s="6">
        <f>Database!$A10062</f>
        <v/>
      </c>
      <c r="B7977">
        <f>IF(VLOOKUP(Table7[[#This Row],[Date]],Database!$A:$C,MATCH($B$1,Database!$A$1:$C$1,),)=0,#N/A,VLOOKUP(Table7[[#This Row],[Date]],Database!$A:$C,MATCH($B$1,Database!$A$1:$C$1,),))</f>
        <v/>
      </c>
      <c r="C7977">
        <f>IF(VLOOKUP(Table7[[#This Row],[Date]],Database!$A:$C,MATCH($C$1,Database!$A$1:$C$1,),)=0,#N/A,VLOOKUP(Table7[[#This Row],[Date]],Database!$A:$C,MATCH($C$1,Database!$A$1:$C$1,),))</f>
        <v/>
      </c>
      <c r="D7977">
        <f>IFERROR(Table7[[#This Row],[United States 10y]]-Table7[[#This Row],[United States 3y]],#N/A)</f>
        <v/>
      </c>
    </row>
    <row r="7978">
      <c r="A7978" s="6">
        <f>Database!$A10063</f>
        <v/>
      </c>
      <c r="B7978">
        <f>IF(VLOOKUP(Table7[[#This Row],[Date]],Database!$A:$C,MATCH($B$1,Database!$A$1:$C$1,),)=0,#N/A,VLOOKUP(Table7[[#This Row],[Date]],Database!$A:$C,MATCH($B$1,Database!$A$1:$C$1,),))</f>
        <v/>
      </c>
      <c r="C7978">
        <f>IF(VLOOKUP(Table7[[#This Row],[Date]],Database!$A:$C,MATCH($C$1,Database!$A$1:$C$1,),)=0,#N/A,VLOOKUP(Table7[[#This Row],[Date]],Database!$A:$C,MATCH($C$1,Database!$A$1:$C$1,),))</f>
        <v/>
      </c>
      <c r="D7978">
        <f>IFERROR(Table7[[#This Row],[United States 10y]]-Table7[[#This Row],[United States 3y]],#N/A)</f>
        <v/>
      </c>
    </row>
    <row r="7979">
      <c r="A7979" s="6">
        <f>Database!$A10064</f>
        <v/>
      </c>
      <c r="B7979">
        <f>IF(VLOOKUP(Table7[[#This Row],[Date]],Database!$A:$C,MATCH($B$1,Database!$A$1:$C$1,),)=0,#N/A,VLOOKUP(Table7[[#This Row],[Date]],Database!$A:$C,MATCH($B$1,Database!$A$1:$C$1,),))</f>
        <v/>
      </c>
      <c r="C7979">
        <f>IF(VLOOKUP(Table7[[#This Row],[Date]],Database!$A:$C,MATCH($C$1,Database!$A$1:$C$1,),)=0,#N/A,VLOOKUP(Table7[[#This Row],[Date]],Database!$A:$C,MATCH($C$1,Database!$A$1:$C$1,),))</f>
        <v/>
      </c>
      <c r="D7979">
        <f>IFERROR(Table7[[#This Row],[United States 10y]]-Table7[[#This Row],[United States 3y]],#N/A)</f>
        <v/>
      </c>
    </row>
    <row r="7980">
      <c r="A7980" s="6">
        <f>Database!$A10065</f>
        <v/>
      </c>
      <c r="B7980">
        <f>IF(VLOOKUP(Table7[[#This Row],[Date]],Database!$A:$C,MATCH($B$1,Database!$A$1:$C$1,),)=0,#N/A,VLOOKUP(Table7[[#This Row],[Date]],Database!$A:$C,MATCH($B$1,Database!$A$1:$C$1,),))</f>
        <v/>
      </c>
      <c r="C7980">
        <f>IF(VLOOKUP(Table7[[#This Row],[Date]],Database!$A:$C,MATCH($C$1,Database!$A$1:$C$1,),)=0,#N/A,VLOOKUP(Table7[[#This Row],[Date]],Database!$A:$C,MATCH($C$1,Database!$A$1:$C$1,),))</f>
        <v/>
      </c>
      <c r="D7980">
        <f>IFERROR(Table7[[#This Row],[United States 10y]]-Table7[[#This Row],[United States 3y]],#N/A)</f>
        <v/>
      </c>
    </row>
    <row r="7981">
      <c r="A7981" s="6">
        <f>Database!$A10066</f>
        <v/>
      </c>
      <c r="B7981">
        <f>IF(VLOOKUP(Table7[[#This Row],[Date]],Database!$A:$C,MATCH($B$1,Database!$A$1:$C$1,),)=0,#N/A,VLOOKUP(Table7[[#This Row],[Date]],Database!$A:$C,MATCH($B$1,Database!$A$1:$C$1,),))</f>
        <v/>
      </c>
      <c r="C7981">
        <f>IF(VLOOKUP(Table7[[#This Row],[Date]],Database!$A:$C,MATCH($C$1,Database!$A$1:$C$1,),)=0,#N/A,VLOOKUP(Table7[[#This Row],[Date]],Database!$A:$C,MATCH($C$1,Database!$A$1:$C$1,),))</f>
        <v/>
      </c>
      <c r="D7981">
        <f>IFERROR(Table7[[#This Row],[United States 10y]]-Table7[[#This Row],[United States 3y]],#N/A)</f>
        <v/>
      </c>
    </row>
    <row r="7982">
      <c r="A7982" s="6">
        <f>Database!$A10067</f>
        <v/>
      </c>
      <c r="B7982">
        <f>IF(VLOOKUP(Table7[[#This Row],[Date]],Database!$A:$C,MATCH($B$1,Database!$A$1:$C$1,),)=0,#N/A,VLOOKUP(Table7[[#This Row],[Date]],Database!$A:$C,MATCH($B$1,Database!$A$1:$C$1,),))</f>
        <v/>
      </c>
      <c r="C7982">
        <f>IF(VLOOKUP(Table7[[#This Row],[Date]],Database!$A:$C,MATCH($C$1,Database!$A$1:$C$1,),)=0,#N/A,VLOOKUP(Table7[[#This Row],[Date]],Database!$A:$C,MATCH($C$1,Database!$A$1:$C$1,),))</f>
        <v/>
      </c>
      <c r="D7982">
        <f>IFERROR(Table7[[#This Row],[United States 10y]]-Table7[[#This Row],[United States 3y]],#N/A)</f>
        <v/>
      </c>
    </row>
    <row r="7983">
      <c r="A7983" s="6">
        <f>Database!$A10068</f>
        <v/>
      </c>
      <c r="B7983">
        <f>IF(VLOOKUP(Table7[[#This Row],[Date]],Database!$A:$C,MATCH($B$1,Database!$A$1:$C$1,),)=0,#N/A,VLOOKUP(Table7[[#This Row],[Date]],Database!$A:$C,MATCH($B$1,Database!$A$1:$C$1,),))</f>
        <v/>
      </c>
      <c r="C7983">
        <f>IF(VLOOKUP(Table7[[#This Row],[Date]],Database!$A:$C,MATCH($C$1,Database!$A$1:$C$1,),)=0,#N/A,VLOOKUP(Table7[[#This Row],[Date]],Database!$A:$C,MATCH($C$1,Database!$A$1:$C$1,),))</f>
        <v/>
      </c>
      <c r="D7983">
        <f>IFERROR(Table7[[#This Row],[United States 10y]]-Table7[[#This Row],[United States 3y]],#N/A)</f>
        <v/>
      </c>
    </row>
    <row r="7984">
      <c r="A7984" s="6">
        <f>Database!$A10069</f>
        <v/>
      </c>
      <c r="B7984">
        <f>IF(VLOOKUP(Table7[[#This Row],[Date]],Database!$A:$C,MATCH($B$1,Database!$A$1:$C$1,),)=0,#N/A,VLOOKUP(Table7[[#This Row],[Date]],Database!$A:$C,MATCH($B$1,Database!$A$1:$C$1,),))</f>
        <v/>
      </c>
      <c r="C7984">
        <f>IF(VLOOKUP(Table7[[#This Row],[Date]],Database!$A:$C,MATCH($C$1,Database!$A$1:$C$1,),)=0,#N/A,VLOOKUP(Table7[[#This Row],[Date]],Database!$A:$C,MATCH($C$1,Database!$A$1:$C$1,),))</f>
        <v/>
      </c>
      <c r="D7984">
        <f>IFERROR(Table7[[#This Row],[United States 10y]]-Table7[[#This Row],[United States 3y]],#N/A)</f>
        <v/>
      </c>
    </row>
    <row r="7985">
      <c r="A7985" s="6">
        <f>Database!$A10070</f>
        <v/>
      </c>
      <c r="B7985">
        <f>IF(VLOOKUP(Table7[[#This Row],[Date]],Database!$A:$C,MATCH($B$1,Database!$A$1:$C$1,),)=0,#N/A,VLOOKUP(Table7[[#This Row],[Date]],Database!$A:$C,MATCH($B$1,Database!$A$1:$C$1,),))</f>
        <v/>
      </c>
      <c r="C7985">
        <f>IF(VLOOKUP(Table7[[#This Row],[Date]],Database!$A:$C,MATCH($C$1,Database!$A$1:$C$1,),)=0,#N/A,VLOOKUP(Table7[[#This Row],[Date]],Database!$A:$C,MATCH($C$1,Database!$A$1:$C$1,),))</f>
        <v/>
      </c>
      <c r="D7985">
        <f>IFERROR(Table7[[#This Row],[United States 10y]]-Table7[[#This Row],[United States 3y]],#N/A)</f>
        <v/>
      </c>
    </row>
    <row r="7986">
      <c r="A7986" s="6">
        <f>Database!$A10071</f>
        <v/>
      </c>
      <c r="B7986">
        <f>IF(VLOOKUP(Table7[[#This Row],[Date]],Database!$A:$C,MATCH($B$1,Database!$A$1:$C$1,),)=0,#N/A,VLOOKUP(Table7[[#This Row],[Date]],Database!$A:$C,MATCH($B$1,Database!$A$1:$C$1,),))</f>
        <v/>
      </c>
      <c r="C7986">
        <f>IF(VLOOKUP(Table7[[#This Row],[Date]],Database!$A:$C,MATCH($C$1,Database!$A$1:$C$1,),)=0,#N/A,VLOOKUP(Table7[[#This Row],[Date]],Database!$A:$C,MATCH($C$1,Database!$A$1:$C$1,),))</f>
        <v/>
      </c>
      <c r="D7986">
        <f>IFERROR(Table7[[#This Row],[United States 10y]]-Table7[[#This Row],[United States 3y]],#N/A)</f>
        <v/>
      </c>
    </row>
    <row r="7987">
      <c r="A7987" s="6">
        <f>Database!$A10072</f>
        <v/>
      </c>
      <c r="B7987">
        <f>IF(VLOOKUP(Table7[[#This Row],[Date]],Database!$A:$C,MATCH($B$1,Database!$A$1:$C$1,),)=0,#N/A,VLOOKUP(Table7[[#This Row],[Date]],Database!$A:$C,MATCH($B$1,Database!$A$1:$C$1,),))</f>
        <v/>
      </c>
      <c r="C7987">
        <f>IF(VLOOKUP(Table7[[#This Row],[Date]],Database!$A:$C,MATCH($C$1,Database!$A$1:$C$1,),)=0,#N/A,VLOOKUP(Table7[[#This Row],[Date]],Database!$A:$C,MATCH($C$1,Database!$A$1:$C$1,),))</f>
        <v/>
      </c>
      <c r="D7987">
        <f>IFERROR(Table7[[#This Row],[United States 10y]]-Table7[[#This Row],[United States 3y]],#N/A)</f>
        <v/>
      </c>
    </row>
    <row r="7988">
      <c r="A7988" s="6">
        <f>Database!$A10073</f>
        <v/>
      </c>
      <c r="B7988">
        <f>IF(VLOOKUP(Table7[[#This Row],[Date]],Database!$A:$C,MATCH($B$1,Database!$A$1:$C$1,),)=0,#N/A,VLOOKUP(Table7[[#This Row],[Date]],Database!$A:$C,MATCH($B$1,Database!$A$1:$C$1,),))</f>
        <v/>
      </c>
      <c r="C7988">
        <f>IF(VLOOKUP(Table7[[#This Row],[Date]],Database!$A:$C,MATCH($C$1,Database!$A$1:$C$1,),)=0,#N/A,VLOOKUP(Table7[[#This Row],[Date]],Database!$A:$C,MATCH($C$1,Database!$A$1:$C$1,),))</f>
        <v/>
      </c>
      <c r="D7988">
        <f>IFERROR(Table7[[#This Row],[United States 10y]]-Table7[[#This Row],[United States 3y]],#N/A)</f>
        <v/>
      </c>
    </row>
    <row r="7989">
      <c r="A7989" s="6">
        <f>Database!$A10074</f>
        <v/>
      </c>
      <c r="B7989">
        <f>IF(VLOOKUP(Table7[[#This Row],[Date]],Database!$A:$C,MATCH($B$1,Database!$A$1:$C$1,),)=0,#N/A,VLOOKUP(Table7[[#This Row],[Date]],Database!$A:$C,MATCH($B$1,Database!$A$1:$C$1,),))</f>
        <v/>
      </c>
      <c r="C7989">
        <f>IF(VLOOKUP(Table7[[#This Row],[Date]],Database!$A:$C,MATCH($C$1,Database!$A$1:$C$1,),)=0,#N/A,VLOOKUP(Table7[[#This Row],[Date]],Database!$A:$C,MATCH($C$1,Database!$A$1:$C$1,),))</f>
        <v/>
      </c>
      <c r="D7989">
        <f>IFERROR(Table7[[#This Row],[United States 10y]]-Table7[[#This Row],[United States 3y]],#N/A)</f>
        <v/>
      </c>
    </row>
    <row r="7990">
      <c r="A7990" s="6">
        <f>Database!$A10075</f>
        <v/>
      </c>
      <c r="B7990">
        <f>IF(VLOOKUP(Table7[[#This Row],[Date]],Database!$A:$C,MATCH($B$1,Database!$A$1:$C$1,),)=0,#N/A,VLOOKUP(Table7[[#This Row],[Date]],Database!$A:$C,MATCH($B$1,Database!$A$1:$C$1,),))</f>
        <v/>
      </c>
      <c r="C7990">
        <f>IF(VLOOKUP(Table7[[#This Row],[Date]],Database!$A:$C,MATCH($C$1,Database!$A$1:$C$1,),)=0,#N/A,VLOOKUP(Table7[[#This Row],[Date]],Database!$A:$C,MATCH($C$1,Database!$A$1:$C$1,),))</f>
        <v/>
      </c>
      <c r="D7990">
        <f>IFERROR(Table7[[#This Row],[United States 10y]]-Table7[[#This Row],[United States 3y]],#N/A)</f>
        <v/>
      </c>
    </row>
    <row r="7991">
      <c r="A7991" s="6">
        <f>Database!$A10076</f>
        <v/>
      </c>
      <c r="B7991">
        <f>IF(VLOOKUP(Table7[[#This Row],[Date]],Database!$A:$C,MATCH($B$1,Database!$A$1:$C$1,),)=0,#N/A,VLOOKUP(Table7[[#This Row],[Date]],Database!$A:$C,MATCH($B$1,Database!$A$1:$C$1,),))</f>
        <v/>
      </c>
      <c r="C7991">
        <f>IF(VLOOKUP(Table7[[#This Row],[Date]],Database!$A:$C,MATCH($C$1,Database!$A$1:$C$1,),)=0,#N/A,VLOOKUP(Table7[[#This Row],[Date]],Database!$A:$C,MATCH($C$1,Database!$A$1:$C$1,),))</f>
        <v/>
      </c>
      <c r="D7991">
        <f>IFERROR(Table7[[#This Row],[United States 10y]]-Table7[[#This Row],[United States 3y]],#N/A)</f>
        <v/>
      </c>
    </row>
    <row r="7992">
      <c r="A7992" s="6">
        <f>Database!$A10077</f>
        <v/>
      </c>
      <c r="B7992">
        <f>IF(VLOOKUP(Table7[[#This Row],[Date]],Database!$A:$C,MATCH($B$1,Database!$A$1:$C$1,),)=0,#N/A,VLOOKUP(Table7[[#This Row],[Date]],Database!$A:$C,MATCH($B$1,Database!$A$1:$C$1,),))</f>
        <v/>
      </c>
      <c r="C7992">
        <f>IF(VLOOKUP(Table7[[#This Row],[Date]],Database!$A:$C,MATCH($C$1,Database!$A$1:$C$1,),)=0,#N/A,VLOOKUP(Table7[[#This Row],[Date]],Database!$A:$C,MATCH($C$1,Database!$A$1:$C$1,),))</f>
        <v/>
      </c>
      <c r="D7992">
        <f>IFERROR(Table7[[#This Row],[United States 10y]]-Table7[[#This Row],[United States 3y]],#N/A)</f>
        <v/>
      </c>
    </row>
    <row r="7993">
      <c r="A7993" s="6">
        <f>Database!$A10078</f>
        <v/>
      </c>
      <c r="B7993">
        <f>IF(VLOOKUP(Table7[[#This Row],[Date]],Database!$A:$C,MATCH($B$1,Database!$A$1:$C$1,),)=0,#N/A,VLOOKUP(Table7[[#This Row],[Date]],Database!$A:$C,MATCH($B$1,Database!$A$1:$C$1,),))</f>
        <v/>
      </c>
      <c r="C7993">
        <f>IF(VLOOKUP(Table7[[#This Row],[Date]],Database!$A:$C,MATCH($C$1,Database!$A$1:$C$1,),)=0,#N/A,VLOOKUP(Table7[[#This Row],[Date]],Database!$A:$C,MATCH($C$1,Database!$A$1:$C$1,),))</f>
        <v/>
      </c>
      <c r="D7993">
        <f>IFERROR(Table7[[#This Row],[United States 10y]]-Table7[[#This Row],[United States 3y]],#N/A)</f>
        <v/>
      </c>
    </row>
    <row r="7994">
      <c r="A7994" s="6">
        <f>Database!$A10079</f>
        <v/>
      </c>
      <c r="B7994">
        <f>IF(VLOOKUP(Table7[[#This Row],[Date]],Database!$A:$C,MATCH($B$1,Database!$A$1:$C$1,),)=0,#N/A,VLOOKUP(Table7[[#This Row],[Date]],Database!$A:$C,MATCH($B$1,Database!$A$1:$C$1,),))</f>
        <v/>
      </c>
      <c r="C7994">
        <f>IF(VLOOKUP(Table7[[#This Row],[Date]],Database!$A:$C,MATCH($C$1,Database!$A$1:$C$1,),)=0,#N/A,VLOOKUP(Table7[[#This Row],[Date]],Database!$A:$C,MATCH($C$1,Database!$A$1:$C$1,),))</f>
        <v/>
      </c>
      <c r="D7994">
        <f>IFERROR(Table7[[#This Row],[United States 10y]]-Table7[[#This Row],[United States 3y]],#N/A)</f>
        <v/>
      </c>
    </row>
    <row r="7995">
      <c r="A7995" s="6">
        <f>Database!$A10080</f>
        <v/>
      </c>
      <c r="B7995">
        <f>IF(VLOOKUP(Table7[[#This Row],[Date]],Database!$A:$C,MATCH($B$1,Database!$A$1:$C$1,),)=0,#N/A,VLOOKUP(Table7[[#This Row],[Date]],Database!$A:$C,MATCH($B$1,Database!$A$1:$C$1,),))</f>
        <v/>
      </c>
      <c r="C7995">
        <f>IF(VLOOKUP(Table7[[#This Row],[Date]],Database!$A:$C,MATCH($C$1,Database!$A$1:$C$1,),)=0,#N/A,VLOOKUP(Table7[[#This Row],[Date]],Database!$A:$C,MATCH($C$1,Database!$A$1:$C$1,),))</f>
        <v/>
      </c>
      <c r="D7995">
        <f>IFERROR(Table7[[#This Row],[United States 10y]]-Table7[[#This Row],[United States 3y]],#N/A)</f>
        <v/>
      </c>
    </row>
    <row r="7996">
      <c r="A7996" s="6">
        <f>Database!$A10081</f>
        <v/>
      </c>
      <c r="B7996">
        <f>IF(VLOOKUP(Table7[[#This Row],[Date]],Database!$A:$C,MATCH($B$1,Database!$A$1:$C$1,),)=0,#N/A,VLOOKUP(Table7[[#This Row],[Date]],Database!$A:$C,MATCH($B$1,Database!$A$1:$C$1,),))</f>
        <v/>
      </c>
      <c r="C7996">
        <f>IF(VLOOKUP(Table7[[#This Row],[Date]],Database!$A:$C,MATCH($C$1,Database!$A$1:$C$1,),)=0,#N/A,VLOOKUP(Table7[[#This Row],[Date]],Database!$A:$C,MATCH($C$1,Database!$A$1:$C$1,),))</f>
        <v/>
      </c>
      <c r="D7996">
        <f>IFERROR(Table7[[#This Row],[United States 10y]]-Table7[[#This Row],[United States 3y]],#N/A)</f>
        <v/>
      </c>
    </row>
    <row r="7997">
      <c r="A7997" s="6">
        <f>Database!$A10082</f>
        <v/>
      </c>
      <c r="B7997">
        <f>IF(VLOOKUP(Table7[[#This Row],[Date]],Database!$A:$C,MATCH($B$1,Database!$A$1:$C$1,),)=0,#N/A,VLOOKUP(Table7[[#This Row],[Date]],Database!$A:$C,MATCH($B$1,Database!$A$1:$C$1,),))</f>
        <v/>
      </c>
      <c r="C7997">
        <f>IF(VLOOKUP(Table7[[#This Row],[Date]],Database!$A:$C,MATCH($C$1,Database!$A$1:$C$1,),)=0,#N/A,VLOOKUP(Table7[[#This Row],[Date]],Database!$A:$C,MATCH($C$1,Database!$A$1:$C$1,),))</f>
        <v/>
      </c>
      <c r="D7997">
        <f>IFERROR(Table7[[#This Row],[United States 10y]]-Table7[[#This Row],[United States 3y]],#N/A)</f>
        <v/>
      </c>
    </row>
    <row r="7998">
      <c r="A7998" s="6">
        <f>Database!$A10083</f>
        <v/>
      </c>
      <c r="B7998">
        <f>IF(VLOOKUP(Table7[[#This Row],[Date]],Database!$A:$C,MATCH($B$1,Database!$A$1:$C$1,),)=0,#N/A,VLOOKUP(Table7[[#This Row],[Date]],Database!$A:$C,MATCH($B$1,Database!$A$1:$C$1,),))</f>
        <v/>
      </c>
      <c r="C7998">
        <f>IF(VLOOKUP(Table7[[#This Row],[Date]],Database!$A:$C,MATCH($C$1,Database!$A$1:$C$1,),)=0,#N/A,VLOOKUP(Table7[[#This Row],[Date]],Database!$A:$C,MATCH($C$1,Database!$A$1:$C$1,),))</f>
        <v/>
      </c>
      <c r="D7998">
        <f>IFERROR(Table7[[#This Row],[United States 10y]]-Table7[[#This Row],[United States 3y]],#N/A)</f>
        <v/>
      </c>
    </row>
    <row r="7999">
      <c r="A7999" s="6">
        <f>Database!$A10084</f>
        <v/>
      </c>
      <c r="B7999">
        <f>IF(VLOOKUP(Table7[[#This Row],[Date]],Database!$A:$C,MATCH($B$1,Database!$A$1:$C$1,),)=0,#N/A,VLOOKUP(Table7[[#This Row],[Date]],Database!$A:$C,MATCH($B$1,Database!$A$1:$C$1,),))</f>
        <v/>
      </c>
      <c r="C7999">
        <f>IF(VLOOKUP(Table7[[#This Row],[Date]],Database!$A:$C,MATCH($C$1,Database!$A$1:$C$1,),)=0,#N/A,VLOOKUP(Table7[[#This Row],[Date]],Database!$A:$C,MATCH($C$1,Database!$A$1:$C$1,),))</f>
        <v/>
      </c>
      <c r="D7999">
        <f>IFERROR(Table7[[#This Row],[United States 10y]]-Table7[[#This Row],[United States 3y]],#N/A)</f>
        <v/>
      </c>
    </row>
    <row r="8000">
      <c r="A8000" s="6">
        <f>Database!$A10085</f>
        <v/>
      </c>
      <c r="B8000">
        <f>IF(VLOOKUP(Table7[[#This Row],[Date]],Database!$A:$C,MATCH($B$1,Database!$A$1:$C$1,),)=0,#N/A,VLOOKUP(Table7[[#This Row],[Date]],Database!$A:$C,MATCH($B$1,Database!$A$1:$C$1,),))</f>
        <v/>
      </c>
      <c r="C8000">
        <f>IF(VLOOKUP(Table7[[#This Row],[Date]],Database!$A:$C,MATCH($C$1,Database!$A$1:$C$1,),)=0,#N/A,VLOOKUP(Table7[[#This Row],[Date]],Database!$A:$C,MATCH($C$1,Database!$A$1:$C$1,),))</f>
        <v/>
      </c>
      <c r="D8000">
        <f>IFERROR(Table7[[#This Row],[United States 10y]]-Table7[[#This Row],[United States 3y]],#N/A)</f>
        <v/>
      </c>
    </row>
    <row r="8001">
      <c r="A8001" s="6">
        <f>Database!$A10086</f>
        <v/>
      </c>
      <c r="B8001">
        <f>IF(VLOOKUP(Table7[[#This Row],[Date]],Database!$A:$C,MATCH($B$1,Database!$A$1:$C$1,),)=0,#N/A,VLOOKUP(Table7[[#This Row],[Date]],Database!$A:$C,MATCH($B$1,Database!$A$1:$C$1,),))</f>
        <v/>
      </c>
      <c r="C8001">
        <f>IF(VLOOKUP(Table7[[#This Row],[Date]],Database!$A:$C,MATCH($C$1,Database!$A$1:$C$1,),)=0,#N/A,VLOOKUP(Table7[[#This Row],[Date]],Database!$A:$C,MATCH($C$1,Database!$A$1:$C$1,),))</f>
        <v/>
      </c>
      <c r="D8001">
        <f>IFERROR(Table7[[#This Row],[United States 10y]]-Table7[[#This Row],[United States 3y]],#N/A)</f>
        <v/>
      </c>
    </row>
    <row r="8002">
      <c r="A8002" s="6">
        <f>Database!$A10087</f>
        <v/>
      </c>
      <c r="B8002">
        <f>IF(VLOOKUP(Table7[[#This Row],[Date]],Database!$A:$C,MATCH($B$1,Database!$A$1:$C$1,),)=0,#N/A,VLOOKUP(Table7[[#This Row],[Date]],Database!$A:$C,MATCH($B$1,Database!$A$1:$C$1,),))</f>
        <v/>
      </c>
      <c r="C8002">
        <f>IF(VLOOKUP(Table7[[#This Row],[Date]],Database!$A:$C,MATCH($C$1,Database!$A$1:$C$1,),)=0,#N/A,VLOOKUP(Table7[[#This Row],[Date]],Database!$A:$C,MATCH($C$1,Database!$A$1:$C$1,),))</f>
        <v/>
      </c>
      <c r="D8002">
        <f>IFERROR(Table7[[#This Row],[United States 10y]]-Table7[[#This Row],[United States 3y]],#N/A)</f>
        <v/>
      </c>
    </row>
    <row r="8003">
      <c r="A8003" s="6">
        <f>Database!$A10088</f>
        <v/>
      </c>
      <c r="B8003">
        <f>IF(VLOOKUP(Table7[[#This Row],[Date]],Database!$A:$C,MATCH($B$1,Database!$A$1:$C$1,),)=0,#N/A,VLOOKUP(Table7[[#This Row],[Date]],Database!$A:$C,MATCH($B$1,Database!$A$1:$C$1,),))</f>
        <v/>
      </c>
      <c r="C8003">
        <f>IF(VLOOKUP(Table7[[#This Row],[Date]],Database!$A:$C,MATCH($C$1,Database!$A$1:$C$1,),)=0,#N/A,VLOOKUP(Table7[[#This Row],[Date]],Database!$A:$C,MATCH($C$1,Database!$A$1:$C$1,),))</f>
        <v/>
      </c>
      <c r="D8003">
        <f>IFERROR(Table7[[#This Row],[United States 10y]]-Table7[[#This Row],[United States 3y]],#N/A)</f>
        <v/>
      </c>
    </row>
    <row r="8004">
      <c r="A8004" s="6">
        <f>Database!$A10089</f>
        <v/>
      </c>
      <c r="B8004">
        <f>IF(VLOOKUP(Table7[[#This Row],[Date]],Database!$A:$C,MATCH($B$1,Database!$A$1:$C$1,),)=0,#N/A,VLOOKUP(Table7[[#This Row],[Date]],Database!$A:$C,MATCH($B$1,Database!$A$1:$C$1,),))</f>
        <v/>
      </c>
      <c r="C8004">
        <f>IF(VLOOKUP(Table7[[#This Row],[Date]],Database!$A:$C,MATCH($C$1,Database!$A$1:$C$1,),)=0,#N/A,VLOOKUP(Table7[[#This Row],[Date]],Database!$A:$C,MATCH($C$1,Database!$A$1:$C$1,),))</f>
        <v/>
      </c>
      <c r="D8004">
        <f>IFERROR(Table7[[#This Row],[United States 10y]]-Table7[[#This Row],[United States 3y]],#N/A)</f>
        <v/>
      </c>
    </row>
    <row r="8005">
      <c r="A8005" s="6">
        <f>Database!$A10090</f>
        <v/>
      </c>
      <c r="B8005">
        <f>IF(VLOOKUP(Table7[[#This Row],[Date]],Database!$A:$C,MATCH($B$1,Database!$A$1:$C$1,),)=0,#N/A,VLOOKUP(Table7[[#This Row],[Date]],Database!$A:$C,MATCH($B$1,Database!$A$1:$C$1,),))</f>
        <v/>
      </c>
      <c r="C8005">
        <f>IF(VLOOKUP(Table7[[#This Row],[Date]],Database!$A:$C,MATCH($C$1,Database!$A$1:$C$1,),)=0,#N/A,VLOOKUP(Table7[[#This Row],[Date]],Database!$A:$C,MATCH($C$1,Database!$A$1:$C$1,),))</f>
        <v/>
      </c>
      <c r="D8005">
        <f>IFERROR(Table7[[#This Row],[United States 10y]]-Table7[[#This Row],[United States 3y]],#N/A)</f>
        <v/>
      </c>
    </row>
    <row r="8006">
      <c r="A8006" s="6">
        <f>Database!$A10091</f>
        <v/>
      </c>
      <c r="B8006">
        <f>IF(VLOOKUP(Table7[[#This Row],[Date]],Database!$A:$C,MATCH($B$1,Database!$A$1:$C$1,),)=0,#N/A,VLOOKUP(Table7[[#This Row],[Date]],Database!$A:$C,MATCH($B$1,Database!$A$1:$C$1,),))</f>
        <v/>
      </c>
      <c r="C8006">
        <f>IF(VLOOKUP(Table7[[#This Row],[Date]],Database!$A:$C,MATCH($C$1,Database!$A$1:$C$1,),)=0,#N/A,VLOOKUP(Table7[[#This Row],[Date]],Database!$A:$C,MATCH($C$1,Database!$A$1:$C$1,),))</f>
        <v/>
      </c>
      <c r="D8006">
        <f>IFERROR(Table7[[#This Row],[United States 10y]]-Table7[[#This Row],[United States 3y]],#N/A)</f>
        <v/>
      </c>
    </row>
    <row r="8007">
      <c r="A8007" s="6">
        <f>Database!$A10092</f>
        <v/>
      </c>
      <c r="B8007">
        <f>IF(VLOOKUP(Table7[[#This Row],[Date]],Database!$A:$C,MATCH($B$1,Database!$A$1:$C$1,),)=0,#N/A,VLOOKUP(Table7[[#This Row],[Date]],Database!$A:$C,MATCH($B$1,Database!$A$1:$C$1,),))</f>
        <v/>
      </c>
      <c r="C8007">
        <f>IF(VLOOKUP(Table7[[#This Row],[Date]],Database!$A:$C,MATCH($C$1,Database!$A$1:$C$1,),)=0,#N/A,VLOOKUP(Table7[[#This Row],[Date]],Database!$A:$C,MATCH($C$1,Database!$A$1:$C$1,),))</f>
        <v/>
      </c>
      <c r="D8007">
        <f>IFERROR(Table7[[#This Row],[United States 10y]]-Table7[[#This Row],[United States 3y]],#N/A)</f>
        <v/>
      </c>
    </row>
    <row r="8008">
      <c r="A8008" s="6">
        <f>Database!$A10093</f>
        <v/>
      </c>
      <c r="B8008">
        <f>IF(VLOOKUP(Table7[[#This Row],[Date]],Database!$A:$C,MATCH($B$1,Database!$A$1:$C$1,),)=0,#N/A,VLOOKUP(Table7[[#This Row],[Date]],Database!$A:$C,MATCH($B$1,Database!$A$1:$C$1,),))</f>
        <v/>
      </c>
      <c r="C8008">
        <f>IF(VLOOKUP(Table7[[#This Row],[Date]],Database!$A:$C,MATCH($C$1,Database!$A$1:$C$1,),)=0,#N/A,VLOOKUP(Table7[[#This Row],[Date]],Database!$A:$C,MATCH($C$1,Database!$A$1:$C$1,),))</f>
        <v/>
      </c>
      <c r="D8008">
        <f>IFERROR(Table7[[#This Row],[United States 10y]]-Table7[[#This Row],[United States 3y]],#N/A)</f>
        <v/>
      </c>
    </row>
    <row r="8009">
      <c r="A8009" s="6">
        <f>Database!$A10094</f>
        <v/>
      </c>
      <c r="B8009">
        <f>IF(VLOOKUP(Table7[[#This Row],[Date]],Database!$A:$C,MATCH($B$1,Database!$A$1:$C$1,),)=0,#N/A,VLOOKUP(Table7[[#This Row],[Date]],Database!$A:$C,MATCH($B$1,Database!$A$1:$C$1,),))</f>
        <v/>
      </c>
      <c r="C8009">
        <f>IF(VLOOKUP(Table7[[#This Row],[Date]],Database!$A:$C,MATCH($C$1,Database!$A$1:$C$1,),)=0,#N/A,VLOOKUP(Table7[[#This Row],[Date]],Database!$A:$C,MATCH($C$1,Database!$A$1:$C$1,),))</f>
        <v/>
      </c>
      <c r="D8009">
        <f>IFERROR(Table7[[#This Row],[United States 10y]]-Table7[[#This Row],[United States 3y]],#N/A)</f>
        <v/>
      </c>
    </row>
    <row r="8010">
      <c r="A8010" s="6">
        <f>Database!$A10095</f>
        <v/>
      </c>
      <c r="B8010">
        <f>IF(VLOOKUP(Table7[[#This Row],[Date]],Database!$A:$C,MATCH($B$1,Database!$A$1:$C$1,),)=0,#N/A,VLOOKUP(Table7[[#This Row],[Date]],Database!$A:$C,MATCH($B$1,Database!$A$1:$C$1,),))</f>
        <v/>
      </c>
      <c r="C8010">
        <f>IF(VLOOKUP(Table7[[#This Row],[Date]],Database!$A:$C,MATCH($C$1,Database!$A$1:$C$1,),)=0,#N/A,VLOOKUP(Table7[[#This Row],[Date]],Database!$A:$C,MATCH($C$1,Database!$A$1:$C$1,),))</f>
        <v/>
      </c>
      <c r="D8010">
        <f>IFERROR(Table7[[#This Row],[United States 10y]]-Table7[[#This Row],[United States 3y]],#N/A)</f>
        <v/>
      </c>
    </row>
    <row r="8011">
      <c r="A8011" s="6">
        <f>Database!$A10096</f>
        <v/>
      </c>
      <c r="B8011">
        <f>IF(VLOOKUP(Table7[[#This Row],[Date]],Database!$A:$C,MATCH($B$1,Database!$A$1:$C$1,),)=0,#N/A,VLOOKUP(Table7[[#This Row],[Date]],Database!$A:$C,MATCH($B$1,Database!$A$1:$C$1,),))</f>
        <v/>
      </c>
      <c r="C8011">
        <f>IF(VLOOKUP(Table7[[#This Row],[Date]],Database!$A:$C,MATCH($C$1,Database!$A$1:$C$1,),)=0,#N/A,VLOOKUP(Table7[[#This Row],[Date]],Database!$A:$C,MATCH($C$1,Database!$A$1:$C$1,),))</f>
        <v/>
      </c>
      <c r="D8011">
        <f>IFERROR(Table7[[#This Row],[United States 10y]]-Table7[[#This Row],[United States 3y]],#N/A)</f>
        <v/>
      </c>
    </row>
    <row r="8012">
      <c r="A8012" s="6">
        <f>Database!$A10097</f>
        <v/>
      </c>
      <c r="B8012">
        <f>IF(VLOOKUP(Table7[[#This Row],[Date]],Database!$A:$C,MATCH($B$1,Database!$A$1:$C$1,),)=0,#N/A,VLOOKUP(Table7[[#This Row],[Date]],Database!$A:$C,MATCH($B$1,Database!$A$1:$C$1,),))</f>
        <v/>
      </c>
      <c r="C8012">
        <f>IF(VLOOKUP(Table7[[#This Row],[Date]],Database!$A:$C,MATCH($C$1,Database!$A$1:$C$1,),)=0,#N/A,VLOOKUP(Table7[[#This Row],[Date]],Database!$A:$C,MATCH($C$1,Database!$A$1:$C$1,),))</f>
        <v/>
      </c>
      <c r="D8012">
        <f>IFERROR(Table7[[#This Row],[United States 10y]]-Table7[[#This Row],[United States 3y]],#N/A)</f>
        <v/>
      </c>
    </row>
    <row r="8013">
      <c r="A8013" s="6">
        <f>Database!$A10098</f>
        <v/>
      </c>
      <c r="B8013">
        <f>IF(VLOOKUP(Table7[[#This Row],[Date]],Database!$A:$C,MATCH($B$1,Database!$A$1:$C$1,),)=0,#N/A,VLOOKUP(Table7[[#This Row],[Date]],Database!$A:$C,MATCH($B$1,Database!$A$1:$C$1,),))</f>
        <v/>
      </c>
      <c r="C8013">
        <f>IF(VLOOKUP(Table7[[#This Row],[Date]],Database!$A:$C,MATCH($C$1,Database!$A$1:$C$1,),)=0,#N/A,VLOOKUP(Table7[[#This Row],[Date]],Database!$A:$C,MATCH($C$1,Database!$A$1:$C$1,),))</f>
        <v/>
      </c>
      <c r="D8013">
        <f>IFERROR(Table7[[#This Row],[United States 10y]]-Table7[[#This Row],[United States 3y]],#N/A)</f>
        <v/>
      </c>
    </row>
    <row r="8014">
      <c r="A8014" s="6">
        <f>Database!$A10099</f>
        <v/>
      </c>
      <c r="B8014">
        <f>IF(VLOOKUP(Table7[[#This Row],[Date]],Database!$A:$C,MATCH($B$1,Database!$A$1:$C$1,),)=0,#N/A,VLOOKUP(Table7[[#This Row],[Date]],Database!$A:$C,MATCH($B$1,Database!$A$1:$C$1,),))</f>
        <v/>
      </c>
      <c r="C8014">
        <f>IF(VLOOKUP(Table7[[#This Row],[Date]],Database!$A:$C,MATCH($C$1,Database!$A$1:$C$1,),)=0,#N/A,VLOOKUP(Table7[[#This Row],[Date]],Database!$A:$C,MATCH($C$1,Database!$A$1:$C$1,),))</f>
        <v/>
      </c>
      <c r="D8014">
        <f>IFERROR(Table7[[#This Row],[United States 10y]]-Table7[[#This Row],[United States 3y]],#N/A)</f>
        <v/>
      </c>
    </row>
    <row r="8015">
      <c r="A8015" s="6">
        <f>Database!$A10100</f>
        <v/>
      </c>
      <c r="B8015">
        <f>IF(VLOOKUP(Table7[[#This Row],[Date]],Database!$A:$C,MATCH($B$1,Database!$A$1:$C$1,),)=0,#N/A,VLOOKUP(Table7[[#This Row],[Date]],Database!$A:$C,MATCH($B$1,Database!$A$1:$C$1,),))</f>
        <v/>
      </c>
      <c r="C8015">
        <f>IF(VLOOKUP(Table7[[#This Row],[Date]],Database!$A:$C,MATCH($C$1,Database!$A$1:$C$1,),)=0,#N/A,VLOOKUP(Table7[[#This Row],[Date]],Database!$A:$C,MATCH($C$1,Database!$A$1:$C$1,),))</f>
        <v/>
      </c>
      <c r="D8015">
        <f>IFERROR(Table7[[#This Row],[United States 10y]]-Table7[[#This Row],[United States 3y]],#N/A)</f>
        <v/>
      </c>
    </row>
    <row r="8016">
      <c r="A8016" s="6">
        <f>Database!$A10101</f>
        <v/>
      </c>
      <c r="B8016">
        <f>IF(VLOOKUP(Table7[[#This Row],[Date]],Database!$A:$C,MATCH($B$1,Database!$A$1:$C$1,),)=0,#N/A,VLOOKUP(Table7[[#This Row],[Date]],Database!$A:$C,MATCH($B$1,Database!$A$1:$C$1,),))</f>
        <v/>
      </c>
      <c r="C8016">
        <f>IF(VLOOKUP(Table7[[#This Row],[Date]],Database!$A:$C,MATCH($C$1,Database!$A$1:$C$1,),)=0,#N/A,VLOOKUP(Table7[[#This Row],[Date]],Database!$A:$C,MATCH($C$1,Database!$A$1:$C$1,),))</f>
        <v/>
      </c>
      <c r="D8016">
        <f>IFERROR(Table7[[#This Row],[United States 10y]]-Table7[[#This Row],[United States 3y]],#N/A)</f>
        <v/>
      </c>
    </row>
    <row r="8017">
      <c r="A8017" s="6">
        <f>Database!$A10102</f>
        <v/>
      </c>
      <c r="B8017">
        <f>IF(VLOOKUP(Table7[[#This Row],[Date]],Database!$A:$C,MATCH($B$1,Database!$A$1:$C$1,),)=0,#N/A,VLOOKUP(Table7[[#This Row],[Date]],Database!$A:$C,MATCH($B$1,Database!$A$1:$C$1,),))</f>
        <v/>
      </c>
      <c r="C8017">
        <f>IF(VLOOKUP(Table7[[#This Row],[Date]],Database!$A:$C,MATCH($C$1,Database!$A$1:$C$1,),)=0,#N/A,VLOOKUP(Table7[[#This Row],[Date]],Database!$A:$C,MATCH($C$1,Database!$A$1:$C$1,),))</f>
        <v/>
      </c>
      <c r="D8017">
        <f>IFERROR(Table7[[#This Row],[United States 10y]]-Table7[[#This Row],[United States 3y]],#N/A)</f>
        <v/>
      </c>
    </row>
    <row r="8018">
      <c r="A8018" s="6">
        <f>Database!$A10103</f>
        <v/>
      </c>
      <c r="B8018">
        <f>IF(VLOOKUP(Table7[[#This Row],[Date]],Database!$A:$C,MATCH($B$1,Database!$A$1:$C$1,),)=0,#N/A,VLOOKUP(Table7[[#This Row],[Date]],Database!$A:$C,MATCH($B$1,Database!$A$1:$C$1,),))</f>
        <v/>
      </c>
      <c r="C8018">
        <f>IF(VLOOKUP(Table7[[#This Row],[Date]],Database!$A:$C,MATCH($C$1,Database!$A$1:$C$1,),)=0,#N/A,VLOOKUP(Table7[[#This Row],[Date]],Database!$A:$C,MATCH($C$1,Database!$A$1:$C$1,),))</f>
        <v/>
      </c>
      <c r="D8018">
        <f>IFERROR(Table7[[#This Row],[United States 10y]]-Table7[[#This Row],[United States 3y]],#N/A)</f>
        <v/>
      </c>
    </row>
    <row r="8019">
      <c r="A8019" s="6">
        <f>Database!$A10104</f>
        <v/>
      </c>
      <c r="B8019">
        <f>IF(VLOOKUP(Table7[[#This Row],[Date]],Database!$A:$C,MATCH($B$1,Database!$A$1:$C$1,),)=0,#N/A,VLOOKUP(Table7[[#This Row],[Date]],Database!$A:$C,MATCH($B$1,Database!$A$1:$C$1,),))</f>
        <v/>
      </c>
      <c r="C8019">
        <f>IF(VLOOKUP(Table7[[#This Row],[Date]],Database!$A:$C,MATCH($C$1,Database!$A$1:$C$1,),)=0,#N/A,VLOOKUP(Table7[[#This Row],[Date]],Database!$A:$C,MATCH($C$1,Database!$A$1:$C$1,),))</f>
        <v/>
      </c>
      <c r="D8019">
        <f>IFERROR(Table7[[#This Row],[United States 10y]]-Table7[[#This Row],[United States 3y]],#N/A)</f>
        <v/>
      </c>
    </row>
    <row r="8020">
      <c r="A8020" s="6">
        <f>Database!$A10105</f>
        <v/>
      </c>
      <c r="B8020">
        <f>IF(VLOOKUP(Table7[[#This Row],[Date]],Database!$A:$C,MATCH($B$1,Database!$A$1:$C$1,),)=0,#N/A,VLOOKUP(Table7[[#This Row],[Date]],Database!$A:$C,MATCH($B$1,Database!$A$1:$C$1,),))</f>
        <v/>
      </c>
      <c r="C8020">
        <f>IF(VLOOKUP(Table7[[#This Row],[Date]],Database!$A:$C,MATCH($C$1,Database!$A$1:$C$1,),)=0,#N/A,VLOOKUP(Table7[[#This Row],[Date]],Database!$A:$C,MATCH($C$1,Database!$A$1:$C$1,),))</f>
        <v/>
      </c>
      <c r="D8020">
        <f>IFERROR(Table7[[#This Row],[United States 10y]]-Table7[[#This Row],[United States 3y]],#N/A)</f>
        <v/>
      </c>
    </row>
    <row r="8021">
      <c r="A8021" s="6">
        <f>Database!$A10106</f>
        <v/>
      </c>
      <c r="B8021">
        <f>IF(VLOOKUP(Table7[[#This Row],[Date]],Database!$A:$C,MATCH($B$1,Database!$A$1:$C$1,),)=0,#N/A,VLOOKUP(Table7[[#This Row],[Date]],Database!$A:$C,MATCH($B$1,Database!$A$1:$C$1,),))</f>
        <v/>
      </c>
      <c r="C8021">
        <f>IF(VLOOKUP(Table7[[#This Row],[Date]],Database!$A:$C,MATCH($C$1,Database!$A$1:$C$1,),)=0,#N/A,VLOOKUP(Table7[[#This Row],[Date]],Database!$A:$C,MATCH($C$1,Database!$A$1:$C$1,),))</f>
        <v/>
      </c>
      <c r="D8021">
        <f>IFERROR(Table7[[#This Row],[United States 10y]]-Table7[[#This Row],[United States 3y]],#N/A)</f>
        <v/>
      </c>
    </row>
    <row r="8022">
      <c r="A8022" s="6">
        <f>Database!$A10107</f>
        <v/>
      </c>
      <c r="B8022">
        <f>IF(VLOOKUP(Table7[[#This Row],[Date]],Database!$A:$C,MATCH($B$1,Database!$A$1:$C$1,),)=0,#N/A,VLOOKUP(Table7[[#This Row],[Date]],Database!$A:$C,MATCH($B$1,Database!$A$1:$C$1,),))</f>
        <v/>
      </c>
      <c r="C8022">
        <f>IF(VLOOKUP(Table7[[#This Row],[Date]],Database!$A:$C,MATCH($C$1,Database!$A$1:$C$1,),)=0,#N/A,VLOOKUP(Table7[[#This Row],[Date]],Database!$A:$C,MATCH($C$1,Database!$A$1:$C$1,),))</f>
        <v/>
      </c>
      <c r="D8022">
        <f>IFERROR(Table7[[#This Row],[United States 10y]]-Table7[[#This Row],[United States 3y]],#N/A)</f>
        <v/>
      </c>
    </row>
    <row r="8023">
      <c r="A8023" s="6">
        <f>Database!$A10108</f>
        <v/>
      </c>
      <c r="B8023">
        <f>IF(VLOOKUP(Table7[[#This Row],[Date]],Database!$A:$C,MATCH($B$1,Database!$A$1:$C$1,),)=0,#N/A,VLOOKUP(Table7[[#This Row],[Date]],Database!$A:$C,MATCH($B$1,Database!$A$1:$C$1,),))</f>
        <v/>
      </c>
      <c r="C8023">
        <f>IF(VLOOKUP(Table7[[#This Row],[Date]],Database!$A:$C,MATCH($C$1,Database!$A$1:$C$1,),)=0,#N/A,VLOOKUP(Table7[[#This Row],[Date]],Database!$A:$C,MATCH($C$1,Database!$A$1:$C$1,),))</f>
        <v/>
      </c>
      <c r="D8023">
        <f>IFERROR(Table7[[#This Row],[United States 10y]]-Table7[[#This Row],[United States 3y]],#N/A)</f>
        <v/>
      </c>
    </row>
    <row r="8024">
      <c r="A8024" s="6">
        <f>Database!$A10109</f>
        <v/>
      </c>
      <c r="B8024">
        <f>IF(VLOOKUP(Table7[[#This Row],[Date]],Database!$A:$C,MATCH($B$1,Database!$A$1:$C$1,),)=0,#N/A,VLOOKUP(Table7[[#This Row],[Date]],Database!$A:$C,MATCH($B$1,Database!$A$1:$C$1,),))</f>
        <v/>
      </c>
      <c r="C8024">
        <f>IF(VLOOKUP(Table7[[#This Row],[Date]],Database!$A:$C,MATCH($C$1,Database!$A$1:$C$1,),)=0,#N/A,VLOOKUP(Table7[[#This Row],[Date]],Database!$A:$C,MATCH($C$1,Database!$A$1:$C$1,),))</f>
        <v/>
      </c>
      <c r="D8024">
        <f>IFERROR(Table7[[#This Row],[United States 10y]]-Table7[[#This Row],[United States 3y]],#N/A)</f>
        <v/>
      </c>
    </row>
    <row r="8025">
      <c r="A8025" s="6">
        <f>Database!$A10110</f>
        <v/>
      </c>
      <c r="B8025">
        <f>IF(VLOOKUP(Table7[[#This Row],[Date]],Database!$A:$C,MATCH($B$1,Database!$A$1:$C$1,),)=0,#N/A,VLOOKUP(Table7[[#This Row],[Date]],Database!$A:$C,MATCH($B$1,Database!$A$1:$C$1,),))</f>
        <v/>
      </c>
      <c r="C8025">
        <f>IF(VLOOKUP(Table7[[#This Row],[Date]],Database!$A:$C,MATCH($C$1,Database!$A$1:$C$1,),)=0,#N/A,VLOOKUP(Table7[[#This Row],[Date]],Database!$A:$C,MATCH($C$1,Database!$A$1:$C$1,),))</f>
        <v/>
      </c>
      <c r="D8025">
        <f>IFERROR(Table7[[#This Row],[United States 10y]]-Table7[[#This Row],[United States 3y]],#N/A)</f>
        <v/>
      </c>
    </row>
    <row r="8026">
      <c r="A8026" s="6">
        <f>Database!$A10111</f>
        <v/>
      </c>
      <c r="B8026">
        <f>IF(VLOOKUP(Table7[[#This Row],[Date]],Database!$A:$C,MATCH($B$1,Database!$A$1:$C$1,),)=0,#N/A,VLOOKUP(Table7[[#This Row],[Date]],Database!$A:$C,MATCH($B$1,Database!$A$1:$C$1,),))</f>
        <v/>
      </c>
      <c r="C8026">
        <f>IF(VLOOKUP(Table7[[#This Row],[Date]],Database!$A:$C,MATCH($C$1,Database!$A$1:$C$1,),)=0,#N/A,VLOOKUP(Table7[[#This Row],[Date]],Database!$A:$C,MATCH($C$1,Database!$A$1:$C$1,),))</f>
        <v/>
      </c>
      <c r="D8026">
        <f>IFERROR(Table7[[#This Row],[United States 10y]]-Table7[[#This Row],[United States 3y]],#N/A)</f>
        <v/>
      </c>
    </row>
    <row r="8027">
      <c r="A8027" s="6">
        <f>Database!$A10112</f>
        <v/>
      </c>
      <c r="B8027">
        <f>IF(VLOOKUP(Table7[[#This Row],[Date]],Database!$A:$C,MATCH($B$1,Database!$A$1:$C$1,),)=0,#N/A,VLOOKUP(Table7[[#This Row],[Date]],Database!$A:$C,MATCH($B$1,Database!$A$1:$C$1,),))</f>
        <v/>
      </c>
      <c r="C8027">
        <f>IF(VLOOKUP(Table7[[#This Row],[Date]],Database!$A:$C,MATCH($C$1,Database!$A$1:$C$1,),)=0,#N/A,VLOOKUP(Table7[[#This Row],[Date]],Database!$A:$C,MATCH($C$1,Database!$A$1:$C$1,),))</f>
        <v/>
      </c>
      <c r="D8027">
        <f>IFERROR(Table7[[#This Row],[United States 10y]]-Table7[[#This Row],[United States 3y]],#N/A)</f>
        <v/>
      </c>
    </row>
    <row r="8028">
      <c r="A8028" s="6">
        <f>Database!$A10113</f>
        <v/>
      </c>
      <c r="B8028">
        <f>IF(VLOOKUP(Table7[[#This Row],[Date]],Database!$A:$C,MATCH($B$1,Database!$A$1:$C$1,),)=0,#N/A,VLOOKUP(Table7[[#This Row],[Date]],Database!$A:$C,MATCH($B$1,Database!$A$1:$C$1,),))</f>
        <v/>
      </c>
      <c r="C8028">
        <f>IF(VLOOKUP(Table7[[#This Row],[Date]],Database!$A:$C,MATCH($C$1,Database!$A$1:$C$1,),)=0,#N/A,VLOOKUP(Table7[[#This Row],[Date]],Database!$A:$C,MATCH($C$1,Database!$A$1:$C$1,),))</f>
        <v/>
      </c>
      <c r="D8028">
        <f>IFERROR(Table7[[#This Row],[United States 10y]]-Table7[[#This Row],[United States 3y]],#N/A)</f>
        <v/>
      </c>
    </row>
    <row r="8029">
      <c r="A8029" s="6">
        <f>Database!$A10114</f>
        <v/>
      </c>
      <c r="B8029">
        <f>IF(VLOOKUP(Table7[[#This Row],[Date]],Database!$A:$C,MATCH($B$1,Database!$A$1:$C$1,),)=0,#N/A,VLOOKUP(Table7[[#This Row],[Date]],Database!$A:$C,MATCH($B$1,Database!$A$1:$C$1,),))</f>
        <v/>
      </c>
      <c r="C8029">
        <f>IF(VLOOKUP(Table7[[#This Row],[Date]],Database!$A:$C,MATCH($C$1,Database!$A$1:$C$1,),)=0,#N/A,VLOOKUP(Table7[[#This Row],[Date]],Database!$A:$C,MATCH($C$1,Database!$A$1:$C$1,),))</f>
        <v/>
      </c>
      <c r="D8029">
        <f>IFERROR(Table7[[#This Row],[United States 10y]]-Table7[[#This Row],[United States 3y]],#N/A)</f>
        <v/>
      </c>
    </row>
    <row r="8030">
      <c r="A8030" s="6">
        <f>Database!$A10115</f>
        <v/>
      </c>
      <c r="B8030">
        <f>IF(VLOOKUP(Table7[[#This Row],[Date]],Database!$A:$C,MATCH($B$1,Database!$A$1:$C$1,),)=0,#N/A,VLOOKUP(Table7[[#This Row],[Date]],Database!$A:$C,MATCH($B$1,Database!$A$1:$C$1,),))</f>
        <v/>
      </c>
      <c r="C8030">
        <f>IF(VLOOKUP(Table7[[#This Row],[Date]],Database!$A:$C,MATCH($C$1,Database!$A$1:$C$1,),)=0,#N/A,VLOOKUP(Table7[[#This Row],[Date]],Database!$A:$C,MATCH($C$1,Database!$A$1:$C$1,),))</f>
        <v/>
      </c>
      <c r="D8030">
        <f>IFERROR(Table7[[#This Row],[United States 10y]]-Table7[[#This Row],[United States 3y]],#N/A)</f>
        <v/>
      </c>
    </row>
    <row r="8031">
      <c r="A8031" s="6">
        <f>Database!$A10116</f>
        <v/>
      </c>
      <c r="B8031">
        <f>IF(VLOOKUP(Table7[[#This Row],[Date]],Database!$A:$C,MATCH($B$1,Database!$A$1:$C$1,),)=0,#N/A,VLOOKUP(Table7[[#This Row],[Date]],Database!$A:$C,MATCH($B$1,Database!$A$1:$C$1,),))</f>
        <v/>
      </c>
      <c r="C8031">
        <f>IF(VLOOKUP(Table7[[#This Row],[Date]],Database!$A:$C,MATCH($C$1,Database!$A$1:$C$1,),)=0,#N/A,VLOOKUP(Table7[[#This Row],[Date]],Database!$A:$C,MATCH($C$1,Database!$A$1:$C$1,),))</f>
        <v/>
      </c>
      <c r="D8031">
        <f>IFERROR(Table7[[#This Row],[United States 10y]]-Table7[[#This Row],[United States 3y]],#N/A)</f>
        <v/>
      </c>
    </row>
    <row r="8032">
      <c r="A8032" s="6">
        <f>Database!$A10117</f>
        <v/>
      </c>
      <c r="B8032">
        <f>IF(VLOOKUP(Table7[[#This Row],[Date]],Database!$A:$C,MATCH($B$1,Database!$A$1:$C$1,),)=0,#N/A,VLOOKUP(Table7[[#This Row],[Date]],Database!$A:$C,MATCH($B$1,Database!$A$1:$C$1,),))</f>
        <v/>
      </c>
      <c r="C8032">
        <f>IF(VLOOKUP(Table7[[#This Row],[Date]],Database!$A:$C,MATCH($C$1,Database!$A$1:$C$1,),)=0,#N/A,VLOOKUP(Table7[[#This Row],[Date]],Database!$A:$C,MATCH($C$1,Database!$A$1:$C$1,),))</f>
        <v/>
      </c>
      <c r="D8032">
        <f>IFERROR(Table7[[#This Row],[United States 10y]]-Table7[[#This Row],[United States 3y]],#N/A)</f>
        <v/>
      </c>
    </row>
    <row r="8033">
      <c r="A8033" s="6">
        <f>Database!$A10118</f>
        <v/>
      </c>
      <c r="B8033">
        <f>IF(VLOOKUP(Table7[[#This Row],[Date]],Database!$A:$C,MATCH($B$1,Database!$A$1:$C$1,),)=0,#N/A,VLOOKUP(Table7[[#This Row],[Date]],Database!$A:$C,MATCH($B$1,Database!$A$1:$C$1,),))</f>
        <v/>
      </c>
      <c r="C8033">
        <f>IF(VLOOKUP(Table7[[#This Row],[Date]],Database!$A:$C,MATCH($C$1,Database!$A$1:$C$1,),)=0,#N/A,VLOOKUP(Table7[[#This Row],[Date]],Database!$A:$C,MATCH($C$1,Database!$A$1:$C$1,),))</f>
        <v/>
      </c>
      <c r="D8033">
        <f>IFERROR(Table7[[#This Row],[United States 10y]]-Table7[[#This Row],[United States 3y]],#N/A)</f>
        <v/>
      </c>
    </row>
    <row r="8034">
      <c r="A8034" s="6">
        <f>Database!$A10119</f>
        <v/>
      </c>
      <c r="B8034">
        <f>IF(VLOOKUP(Table7[[#This Row],[Date]],Database!$A:$C,MATCH($B$1,Database!$A$1:$C$1,),)=0,#N/A,VLOOKUP(Table7[[#This Row],[Date]],Database!$A:$C,MATCH($B$1,Database!$A$1:$C$1,),))</f>
        <v/>
      </c>
      <c r="C8034">
        <f>IF(VLOOKUP(Table7[[#This Row],[Date]],Database!$A:$C,MATCH($C$1,Database!$A$1:$C$1,),)=0,#N/A,VLOOKUP(Table7[[#This Row],[Date]],Database!$A:$C,MATCH($C$1,Database!$A$1:$C$1,),))</f>
        <v/>
      </c>
      <c r="D8034">
        <f>IFERROR(Table7[[#This Row],[United States 10y]]-Table7[[#This Row],[United States 3y]],#N/A)</f>
        <v/>
      </c>
    </row>
    <row r="8035">
      <c r="A8035" s="6">
        <f>Database!$A10120</f>
        <v/>
      </c>
      <c r="B8035">
        <f>IF(VLOOKUP(Table7[[#This Row],[Date]],Database!$A:$C,MATCH($B$1,Database!$A$1:$C$1,),)=0,#N/A,VLOOKUP(Table7[[#This Row],[Date]],Database!$A:$C,MATCH($B$1,Database!$A$1:$C$1,),))</f>
        <v/>
      </c>
      <c r="C8035">
        <f>IF(VLOOKUP(Table7[[#This Row],[Date]],Database!$A:$C,MATCH($C$1,Database!$A$1:$C$1,),)=0,#N/A,VLOOKUP(Table7[[#This Row],[Date]],Database!$A:$C,MATCH($C$1,Database!$A$1:$C$1,),))</f>
        <v/>
      </c>
      <c r="D8035">
        <f>IFERROR(Table7[[#This Row],[United States 10y]]-Table7[[#This Row],[United States 3y]],#N/A)</f>
        <v/>
      </c>
    </row>
    <row r="8036">
      <c r="A8036" s="6">
        <f>Database!$A10121</f>
        <v/>
      </c>
      <c r="B8036">
        <f>IF(VLOOKUP(Table7[[#This Row],[Date]],Database!$A:$C,MATCH($B$1,Database!$A$1:$C$1,),)=0,#N/A,VLOOKUP(Table7[[#This Row],[Date]],Database!$A:$C,MATCH($B$1,Database!$A$1:$C$1,),))</f>
        <v/>
      </c>
      <c r="C8036">
        <f>IF(VLOOKUP(Table7[[#This Row],[Date]],Database!$A:$C,MATCH($C$1,Database!$A$1:$C$1,),)=0,#N/A,VLOOKUP(Table7[[#This Row],[Date]],Database!$A:$C,MATCH($C$1,Database!$A$1:$C$1,),))</f>
        <v/>
      </c>
      <c r="D8036">
        <f>IFERROR(Table7[[#This Row],[United States 10y]]-Table7[[#This Row],[United States 3y]],#N/A)</f>
        <v/>
      </c>
    </row>
    <row r="8037">
      <c r="A8037" s="6">
        <f>Database!$A10122</f>
        <v/>
      </c>
      <c r="B8037">
        <f>IF(VLOOKUP(Table7[[#This Row],[Date]],Database!$A:$C,MATCH($B$1,Database!$A$1:$C$1,),)=0,#N/A,VLOOKUP(Table7[[#This Row],[Date]],Database!$A:$C,MATCH($B$1,Database!$A$1:$C$1,),))</f>
        <v/>
      </c>
      <c r="C8037">
        <f>IF(VLOOKUP(Table7[[#This Row],[Date]],Database!$A:$C,MATCH($C$1,Database!$A$1:$C$1,),)=0,#N/A,VLOOKUP(Table7[[#This Row],[Date]],Database!$A:$C,MATCH($C$1,Database!$A$1:$C$1,),))</f>
        <v/>
      </c>
      <c r="D8037">
        <f>IFERROR(Table7[[#This Row],[United States 10y]]-Table7[[#This Row],[United States 3y]],#N/A)</f>
        <v/>
      </c>
    </row>
    <row r="8038">
      <c r="A8038" s="6">
        <f>Database!$A10123</f>
        <v/>
      </c>
      <c r="B8038">
        <f>IF(VLOOKUP(Table7[[#This Row],[Date]],Database!$A:$C,MATCH($B$1,Database!$A$1:$C$1,),)=0,#N/A,VLOOKUP(Table7[[#This Row],[Date]],Database!$A:$C,MATCH($B$1,Database!$A$1:$C$1,),))</f>
        <v/>
      </c>
      <c r="C8038">
        <f>IF(VLOOKUP(Table7[[#This Row],[Date]],Database!$A:$C,MATCH($C$1,Database!$A$1:$C$1,),)=0,#N/A,VLOOKUP(Table7[[#This Row],[Date]],Database!$A:$C,MATCH($C$1,Database!$A$1:$C$1,),))</f>
        <v/>
      </c>
      <c r="D8038">
        <f>IFERROR(Table7[[#This Row],[United States 10y]]-Table7[[#This Row],[United States 3y]],#N/A)</f>
        <v/>
      </c>
    </row>
    <row r="8039">
      <c r="A8039" s="6">
        <f>Database!$A10124</f>
        <v/>
      </c>
      <c r="B8039">
        <f>IF(VLOOKUP(Table7[[#This Row],[Date]],Database!$A:$C,MATCH($B$1,Database!$A$1:$C$1,),)=0,#N/A,VLOOKUP(Table7[[#This Row],[Date]],Database!$A:$C,MATCH($B$1,Database!$A$1:$C$1,),))</f>
        <v/>
      </c>
      <c r="C8039">
        <f>IF(VLOOKUP(Table7[[#This Row],[Date]],Database!$A:$C,MATCH($C$1,Database!$A$1:$C$1,),)=0,#N/A,VLOOKUP(Table7[[#This Row],[Date]],Database!$A:$C,MATCH($C$1,Database!$A$1:$C$1,),))</f>
        <v/>
      </c>
      <c r="D8039">
        <f>IFERROR(Table7[[#This Row],[United States 10y]]-Table7[[#This Row],[United States 3y]],#N/A)</f>
        <v/>
      </c>
    </row>
    <row r="8040">
      <c r="A8040" s="6">
        <f>Database!$A10125</f>
        <v/>
      </c>
      <c r="B8040">
        <f>IF(VLOOKUP(Table7[[#This Row],[Date]],Database!$A:$C,MATCH($B$1,Database!$A$1:$C$1,),)=0,#N/A,VLOOKUP(Table7[[#This Row],[Date]],Database!$A:$C,MATCH($B$1,Database!$A$1:$C$1,),))</f>
        <v/>
      </c>
      <c r="C8040">
        <f>IF(VLOOKUP(Table7[[#This Row],[Date]],Database!$A:$C,MATCH($C$1,Database!$A$1:$C$1,),)=0,#N/A,VLOOKUP(Table7[[#This Row],[Date]],Database!$A:$C,MATCH($C$1,Database!$A$1:$C$1,),))</f>
        <v/>
      </c>
      <c r="D8040">
        <f>IFERROR(Table7[[#This Row],[United States 10y]]-Table7[[#This Row],[United States 3y]],#N/A)</f>
        <v/>
      </c>
    </row>
    <row r="8041">
      <c r="A8041" s="6">
        <f>Database!$A10126</f>
        <v/>
      </c>
      <c r="B8041">
        <f>IF(VLOOKUP(Table7[[#This Row],[Date]],Database!$A:$C,MATCH($B$1,Database!$A$1:$C$1,),)=0,#N/A,VLOOKUP(Table7[[#This Row],[Date]],Database!$A:$C,MATCH($B$1,Database!$A$1:$C$1,),))</f>
        <v/>
      </c>
      <c r="C8041">
        <f>IF(VLOOKUP(Table7[[#This Row],[Date]],Database!$A:$C,MATCH($C$1,Database!$A$1:$C$1,),)=0,#N/A,VLOOKUP(Table7[[#This Row],[Date]],Database!$A:$C,MATCH($C$1,Database!$A$1:$C$1,),))</f>
        <v/>
      </c>
      <c r="D8041">
        <f>IFERROR(Table7[[#This Row],[United States 10y]]-Table7[[#This Row],[United States 3y]],#N/A)</f>
        <v/>
      </c>
    </row>
    <row r="8042">
      <c r="A8042" s="6">
        <f>Database!$A10127</f>
        <v/>
      </c>
      <c r="B8042">
        <f>IF(VLOOKUP(Table7[[#This Row],[Date]],Database!$A:$C,MATCH($B$1,Database!$A$1:$C$1,),)=0,#N/A,VLOOKUP(Table7[[#This Row],[Date]],Database!$A:$C,MATCH($B$1,Database!$A$1:$C$1,),))</f>
        <v/>
      </c>
      <c r="C8042">
        <f>IF(VLOOKUP(Table7[[#This Row],[Date]],Database!$A:$C,MATCH($C$1,Database!$A$1:$C$1,),)=0,#N/A,VLOOKUP(Table7[[#This Row],[Date]],Database!$A:$C,MATCH($C$1,Database!$A$1:$C$1,),))</f>
        <v/>
      </c>
      <c r="D8042">
        <f>IFERROR(Table7[[#This Row],[United States 10y]]-Table7[[#This Row],[United States 3y]],#N/A)</f>
        <v/>
      </c>
    </row>
    <row r="8043">
      <c r="A8043" s="6">
        <f>Database!$A10128</f>
        <v/>
      </c>
      <c r="B8043">
        <f>IF(VLOOKUP(Table7[[#This Row],[Date]],Database!$A:$C,MATCH($B$1,Database!$A$1:$C$1,),)=0,#N/A,VLOOKUP(Table7[[#This Row],[Date]],Database!$A:$C,MATCH($B$1,Database!$A$1:$C$1,),))</f>
        <v/>
      </c>
      <c r="C8043">
        <f>IF(VLOOKUP(Table7[[#This Row],[Date]],Database!$A:$C,MATCH($C$1,Database!$A$1:$C$1,),)=0,#N/A,VLOOKUP(Table7[[#This Row],[Date]],Database!$A:$C,MATCH($C$1,Database!$A$1:$C$1,),))</f>
        <v/>
      </c>
      <c r="D8043">
        <f>IFERROR(Table7[[#This Row],[United States 10y]]-Table7[[#This Row],[United States 3y]],#N/A)</f>
        <v/>
      </c>
    </row>
    <row r="8044">
      <c r="A8044" s="6">
        <f>Database!$A10129</f>
        <v/>
      </c>
      <c r="B8044">
        <f>IF(VLOOKUP(Table7[[#This Row],[Date]],Database!$A:$C,MATCH($B$1,Database!$A$1:$C$1,),)=0,#N/A,VLOOKUP(Table7[[#This Row],[Date]],Database!$A:$C,MATCH($B$1,Database!$A$1:$C$1,),))</f>
        <v/>
      </c>
      <c r="C8044">
        <f>IF(VLOOKUP(Table7[[#This Row],[Date]],Database!$A:$C,MATCH($C$1,Database!$A$1:$C$1,),)=0,#N/A,VLOOKUP(Table7[[#This Row],[Date]],Database!$A:$C,MATCH($C$1,Database!$A$1:$C$1,),))</f>
        <v/>
      </c>
      <c r="D8044">
        <f>IFERROR(Table7[[#This Row],[United States 10y]]-Table7[[#This Row],[United States 3y]],#N/A)</f>
        <v/>
      </c>
    </row>
    <row r="8045">
      <c r="A8045" s="6">
        <f>Database!$A10130</f>
        <v/>
      </c>
      <c r="B8045">
        <f>IF(VLOOKUP(Table7[[#This Row],[Date]],Database!$A:$C,MATCH($B$1,Database!$A$1:$C$1,),)=0,#N/A,VLOOKUP(Table7[[#This Row],[Date]],Database!$A:$C,MATCH($B$1,Database!$A$1:$C$1,),))</f>
        <v/>
      </c>
      <c r="C8045">
        <f>IF(VLOOKUP(Table7[[#This Row],[Date]],Database!$A:$C,MATCH($C$1,Database!$A$1:$C$1,),)=0,#N/A,VLOOKUP(Table7[[#This Row],[Date]],Database!$A:$C,MATCH($C$1,Database!$A$1:$C$1,),))</f>
        <v/>
      </c>
      <c r="D8045">
        <f>IFERROR(Table7[[#This Row],[United States 10y]]-Table7[[#This Row],[United States 3y]],#N/A)</f>
        <v/>
      </c>
    </row>
    <row r="8046">
      <c r="A8046" s="6">
        <f>Database!$A10131</f>
        <v/>
      </c>
      <c r="B8046">
        <f>IF(VLOOKUP(Table7[[#This Row],[Date]],Database!$A:$C,MATCH($B$1,Database!$A$1:$C$1,),)=0,#N/A,VLOOKUP(Table7[[#This Row],[Date]],Database!$A:$C,MATCH($B$1,Database!$A$1:$C$1,),))</f>
        <v/>
      </c>
      <c r="C8046">
        <f>IF(VLOOKUP(Table7[[#This Row],[Date]],Database!$A:$C,MATCH($C$1,Database!$A$1:$C$1,),)=0,#N/A,VLOOKUP(Table7[[#This Row],[Date]],Database!$A:$C,MATCH($C$1,Database!$A$1:$C$1,),))</f>
        <v/>
      </c>
      <c r="D8046">
        <f>IFERROR(Table7[[#This Row],[United States 10y]]-Table7[[#This Row],[United States 3y]],#N/A)</f>
        <v/>
      </c>
    </row>
    <row r="8047">
      <c r="A8047" s="6">
        <f>Database!$A10132</f>
        <v/>
      </c>
      <c r="B8047">
        <f>IF(VLOOKUP(Table7[[#This Row],[Date]],Database!$A:$C,MATCH($B$1,Database!$A$1:$C$1,),)=0,#N/A,VLOOKUP(Table7[[#This Row],[Date]],Database!$A:$C,MATCH($B$1,Database!$A$1:$C$1,),))</f>
        <v/>
      </c>
      <c r="C8047">
        <f>IF(VLOOKUP(Table7[[#This Row],[Date]],Database!$A:$C,MATCH($C$1,Database!$A$1:$C$1,),)=0,#N/A,VLOOKUP(Table7[[#This Row],[Date]],Database!$A:$C,MATCH($C$1,Database!$A$1:$C$1,),))</f>
        <v/>
      </c>
      <c r="D8047">
        <f>IFERROR(Table7[[#This Row],[United States 10y]]-Table7[[#This Row],[United States 3y]],#N/A)</f>
        <v/>
      </c>
    </row>
    <row r="8048">
      <c r="A8048" s="6">
        <f>Database!$A10133</f>
        <v/>
      </c>
      <c r="B8048">
        <f>IF(VLOOKUP(Table7[[#This Row],[Date]],Database!$A:$C,MATCH($B$1,Database!$A$1:$C$1,),)=0,#N/A,VLOOKUP(Table7[[#This Row],[Date]],Database!$A:$C,MATCH($B$1,Database!$A$1:$C$1,),))</f>
        <v/>
      </c>
      <c r="C8048">
        <f>IF(VLOOKUP(Table7[[#This Row],[Date]],Database!$A:$C,MATCH($C$1,Database!$A$1:$C$1,),)=0,#N/A,VLOOKUP(Table7[[#This Row],[Date]],Database!$A:$C,MATCH($C$1,Database!$A$1:$C$1,),))</f>
        <v/>
      </c>
      <c r="D8048">
        <f>IFERROR(Table7[[#This Row],[United States 10y]]-Table7[[#This Row],[United States 3y]],#N/A)</f>
        <v/>
      </c>
    </row>
    <row r="8049">
      <c r="A8049" s="6">
        <f>Database!$A10134</f>
        <v/>
      </c>
      <c r="B8049">
        <f>IF(VLOOKUP(Table7[[#This Row],[Date]],Database!$A:$C,MATCH($B$1,Database!$A$1:$C$1,),)=0,#N/A,VLOOKUP(Table7[[#This Row],[Date]],Database!$A:$C,MATCH($B$1,Database!$A$1:$C$1,),))</f>
        <v/>
      </c>
      <c r="C8049">
        <f>IF(VLOOKUP(Table7[[#This Row],[Date]],Database!$A:$C,MATCH($C$1,Database!$A$1:$C$1,),)=0,#N/A,VLOOKUP(Table7[[#This Row],[Date]],Database!$A:$C,MATCH($C$1,Database!$A$1:$C$1,),))</f>
        <v/>
      </c>
      <c r="D8049">
        <f>IFERROR(Table7[[#This Row],[United States 10y]]-Table7[[#This Row],[United States 3y]],#N/A)</f>
        <v/>
      </c>
    </row>
    <row r="8050">
      <c r="A8050" s="6">
        <f>Database!$A10135</f>
        <v/>
      </c>
      <c r="B8050">
        <f>IF(VLOOKUP(Table7[[#This Row],[Date]],Database!$A:$C,MATCH($B$1,Database!$A$1:$C$1,),)=0,#N/A,VLOOKUP(Table7[[#This Row],[Date]],Database!$A:$C,MATCH($B$1,Database!$A$1:$C$1,),))</f>
        <v/>
      </c>
      <c r="C8050">
        <f>IF(VLOOKUP(Table7[[#This Row],[Date]],Database!$A:$C,MATCH($C$1,Database!$A$1:$C$1,),)=0,#N/A,VLOOKUP(Table7[[#This Row],[Date]],Database!$A:$C,MATCH($C$1,Database!$A$1:$C$1,),))</f>
        <v/>
      </c>
      <c r="D8050">
        <f>IFERROR(Table7[[#This Row],[United States 10y]]-Table7[[#This Row],[United States 3y]],#N/A)</f>
        <v/>
      </c>
    </row>
    <row r="8051">
      <c r="A8051" s="6">
        <f>Database!$A10136</f>
        <v/>
      </c>
      <c r="B8051">
        <f>IF(VLOOKUP(Table7[[#This Row],[Date]],Database!$A:$C,MATCH($B$1,Database!$A$1:$C$1,),)=0,#N/A,VLOOKUP(Table7[[#This Row],[Date]],Database!$A:$C,MATCH($B$1,Database!$A$1:$C$1,),))</f>
        <v/>
      </c>
      <c r="C8051">
        <f>IF(VLOOKUP(Table7[[#This Row],[Date]],Database!$A:$C,MATCH($C$1,Database!$A$1:$C$1,),)=0,#N/A,VLOOKUP(Table7[[#This Row],[Date]],Database!$A:$C,MATCH($C$1,Database!$A$1:$C$1,),))</f>
        <v/>
      </c>
      <c r="D8051">
        <f>IFERROR(Table7[[#This Row],[United States 10y]]-Table7[[#This Row],[United States 3y]],#N/A)</f>
        <v/>
      </c>
    </row>
    <row r="8052">
      <c r="A8052" s="6">
        <f>Database!$A10137</f>
        <v/>
      </c>
      <c r="B8052">
        <f>IF(VLOOKUP(Table7[[#This Row],[Date]],Database!$A:$C,MATCH($B$1,Database!$A$1:$C$1,),)=0,#N/A,VLOOKUP(Table7[[#This Row],[Date]],Database!$A:$C,MATCH($B$1,Database!$A$1:$C$1,),))</f>
        <v/>
      </c>
      <c r="C8052">
        <f>IF(VLOOKUP(Table7[[#This Row],[Date]],Database!$A:$C,MATCH($C$1,Database!$A$1:$C$1,),)=0,#N/A,VLOOKUP(Table7[[#This Row],[Date]],Database!$A:$C,MATCH($C$1,Database!$A$1:$C$1,),))</f>
        <v/>
      </c>
      <c r="D8052">
        <f>IFERROR(Table7[[#This Row],[United States 10y]]-Table7[[#This Row],[United States 3y]],#N/A)</f>
        <v/>
      </c>
    </row>
    <row r="8053">
      <c r="A8053" s="6">
        <f>Database!$A10138</f>
        <v/>
      </c>
      <c r="B8053">
        <f>IF(VLOOKUP(Table7[[#This Row],[Date]],Database!$A:$C,MATCH($B$1,Database!$A$1:$C$1,),)=0,#N/A,VLOOKUP(Table7[[#This Row],[Date]],Database!$A:$C,MATCH($B$1,Database!$A$1:$C$1,),))</f>
        <v/>
      </c>
      <c r="C8053">
        <f>IF(VLOOKUP(Table7[[#This Row],[Date]],Database!$A:$C,MATCH($C$1,Database!$A$1:$C$1,),)=0,#N/A,VLOOKUP(Table7[[#This Row],[Date]],Database!$A:$C,MATCH($C$1,Database!$A$1:$C$1,),))</f>
        <v/>
      </c>
      <c r="D8053">
        <f>IFERROR(Table7[[#This Row],[United States 10y]]-Table7[[#This Row],[United States 3y]],#N/A)</f>
        <v/>
      </c>
    </row>
    <row r="8054">
      <c r="A8054" s="6">
        <f>Database!$A10139</f>
        <v/>
      </c>
      <c r="B8054">
        <f>IF(VLOOKUP(Table7[[#This Row],[Date]],Database!$A:$C,MATCH($B$1,Database!$A$1:$C$1,),)=0,#N/A,VLOOKUP(Table7[[#This Row],[Date]],Database!$A:$C,MATCH($B$1,Database!$A$1:$C$1,),))</f>
        <v/>
      </c>
      <c r="C8054">
        <f>IF(VLOOKUP(Table7[[#This Row],[Date]],Database!$A:$C,MATCH($C$1,Database!$A$1:$C$1,),)=0,#N/A,VLOOKUP(Table7[[#This Row],[Date]],Database!$A:$C,MATCH($C$1,Database!$A$1:$C$1,),))</f>
        <v/>
      </c>
      <c r="D8054">
        <f>IFERROR(Table7[[#This Row],[United States 10y]]-Table7[[#This Row],[United States 3y]],#N/A)</f>
        <v/>
      </c>
    </row>
    <row r="8055">
      <c r="A8055" s="6">
        <f>Database!$A10140</f>
        <v/>
      </c>
      <c r="B8055">
        <f>IF(VLOOKUP(Table7[[#This Row],[Date]],Database!$A:$C,MATCH($B$1,Database!$A$1:$C$1,),)=0,#N/A,VLOOKUP(Table7[[#This Row],[Date]],Database!$A:$C,MATCH($B$1,Database!$A$1:$C$1,),))</f>
        <v/>
      </c>
      <c r="C8055">
        <f>IF(VLOOKUP(Table7[[#This Row],[Date]],Database!$A:$C,MATCH($C$1,Database!$A$1:$C$1,),)=0,#N/A,VLOOKUP(Table7[[#This Row],[Date]],Database!$A:$C,MATCH($C$1,Database!$A$1:$C$1,),))</f>
        <v/>
      </c>
      <c r="D8055">
        <f>IFERROR(Table7[[#This Row],[United States 10y]]-Table7[[#This Row],[United States 3y]],#N/A)</f>
        <v/>
      </c>
    </row>
    <row r="8056">
      <c r="A8056" s="6">
        <f>Database!$A10141</f>
        <v/>
      </c>
      <c r="B8056">
        <f>IF(VLOOKUP(Table7[[#This Row],[Date]],Database!$A:$C,MATCH($B$1,Database!$A$1:$C$1,),)=0,#N/A,VLOOKUP(Table7[[#This Row],[Date]],Database!$A:$C,MATCH($B$1,Database!$A$1:$C$1,),))</f>
        <v/>
      </c>
      <c r="C8056">
        <f>IF(VLOOKUP(Table7[[#This Row],[Date]],Database!$A:$C,MATCH($C$1,Database!$A$1:$C$1,),)=0,#N/A,VLOOKUP(Table7[[#This Row],[Date]],Database!$A:$C,MATCH($C$1,Database!$A$1:$C$1,),))</f>
        <v/>
      </c>
      <c r="D8056">
        <f>IFERROR(Table7[[#This Row],[United States 10y]]-Table7[[#This Row],[United States 3y]],#N/A)</f>
        <v/>
      </c>
    </row>
    <row r="8057">
      <c r="A8057" s="6">
        <f>Database!$A10142</f>
        <v/>
      </c>
      <c r="B8057">
        <f>IF(VLOOKUP(Table7[[#This Row],[Date]],Database!$A:$C,MATCH($B$1,Database!$A$1:$C$1,),)=0,#N/A,VLOOKUP(Table7[[#This Row],[Date]],Database!$A:$C,MATCH($B$1,Database!$A$1:$C$1,),))</f>
        <v/>
      </c>
      <c r="C8057">
        <f>IF(VLOOKUP(Table7[[#This Row],[Date]],Database!$A:$C,MATCH($C$1,Database!$A$1:$C$1,),)=0,#N/A,VLOOKUP(Table7[[#This Row],[Date]],Database!$A:$C,MATCH($C$1,Database!$A$1:$C$1,),))</f>
        <v/>
      </c>
      <c r="D8057">
        <f>IFERROR(Table7[[#This Row],[United States 10y]]-Table7[[#This Row],[United States 3y]],#N/A)</f>
        <v/>
      </c>
    </row>
    <row r="8058">
      <c r="A8058" s="6">
        <f>Database!$A10143</f>
        <v/>
      </c>
      <c r="B8058">
        <f>IF(VLOOKUP(Table7[[#This Row],[Date]],Database!$A:$C,MATCH($B$1,Database!$A$1:$C$1,),)=0,#N/A,VLOOKUP(Table7[[#This Row],[Date]],Database!$A:$C,MATCH($B$1,Database!$A$1:$C$1,),))</f>
        <v/>
      </c>
      <c r="C8058">
        <f>IF(VLOOKUP(Table7[[#This Row],[Date]],Database!$A:$C,MATCH($C$1,Database!$A$1:$C$1,),)=0,#N/A,VLOOKUP(Table7[[#This Row],[Date]],Database!$A:$C,MATCH($C$1,Database!$A$1:$C$1,),))</f>
        <v/>
      </c>
      <c r="D8058">
        <f>IFERROR(Table7[[#This Row],[United States 10y]]-Table7[[#This Row],[United States 3y]],#N/A)</f>
        <v/>
      </c>
    </row>
    <row r="8059">
      <c r="A8059" s="6">
        <f>Database!$A10144</f>
        <v/>
      </c>
      <c r="B8059">
        <f>IF(VLOOKUP(Table7[[#This Row],[Date]],Database!$A:$C,MATCH($B$1,Database!$A$1:$C$1,),)=0,#N/A,VLOOKUP(Table7[[#This Row],[Date]],Database!$A:$C,MATCH($B$1,Database!$A$1:$C$1,),))</f>
        <v/>
      </c>
      <c r="C8059">
        <f>IF(VLOOKUP(Table7[[#This Row],[Date]],Database!$A:$C,MATCH($C$1,Database!$A$1:$C$1,),)=0,#N/A,VLOOKUP(Table7[[#This Row],[Date]],Database!$A:$C,MATCH($C$1,Database!$A$1:$C$1,),))</f>
        <v/>
      </c>
      <c r="D8059">
        <f>IFERROR(Table7[[#This Row],[United States 10y]]-Table7[[#This Row],[United States 3y]],#N/A)</f>
        <v/>
      </c>
    </row>
    <row r="8060">
      <c r="A8060" s="6">
        <f>Database!$A10145</f>
        <v/>
      </c>
      <c r="B8060">
        <f>IF(VLOOKUP(Table7[[#This Row],[Date]],Database!$A:$C,MATCH($B$1,Database!$A$1:$C$1,),)=0,#N/A,VLOOKUP(Table7[[#This Row],[Date]],Database!$A:$C,MATCH($B$1,Database!$A$1:$C$1,),))</f>
        <v/>
      </c>
      <c r="C8060">
        <f>IF(VLOOKUP(Table7[[#This Row],[Date]],Database!$A:$C,MATCH($C$1,Database!$A$1:$C$1,),)=0,#N/A,VLOOKUP(Table7[[#This Row],[Date]],Database!$A:$C,MATCH($C$1,Database!$A$1:$C$1,),))</f>
        <v/>
      </c>
      <c r="D8060">
        <f>IFERROR(Table7[[#This Row],[United States 10y]]-Table7[[#This Row],[United States 3y]],#N/A)</f>
        <v/>
      </c>
    </row>
    <row r="8061">
      <c r="A8061" s="6">
        <f>Database!$A10146</f>
        <v/>
      </c>
      <c r="B8061">
        <f>IF(VLOOKUP(Table7[[#This Row],[Date]],Database!$A:$C,MATCH($B$1,Database!$A$1:$C$1,),)=0,#N/A,VLOOKUP(Table7[[#This Row],[Date]],Database!$A:$C,MATCH($B$1,Database!$A$1:$C$1,),))</f>
        <v/>
      </c>
      <c r="C8061">
        <f>IF(VLOOKUP(Table7[[#This Row],[Date]],Database!$A:$C,MATCH($C$1,Database!$A$1:$C$1,),)=0,#N/A,VLOOKUP(Table7[[#This Row],[Date]],Database!$A:$C,MATCH($C$1,Database!$A$1:$C$1,),))</f>
        <v/>
      </c>
      <c r="D8061">
        <f>IFERROR(Table7[[#This Row],[United States 10y]]-Table7[[#This Row],[United States 3y]],#N/A)</f>
        <v/>
      </c>
    </row>
    <row r="8062">
      <c r="A8062" s="6">
        <f>Database!$A10147</f>
        <v/>
      </c>
      <c r="B8062">
        <f>IF(VLOOKUP(Table7[[#This Row],[Date]],Database!$A:$C,MATCH($B$1,Database!$A$1:$C$1,),)=0,#N/A,VLOOKUP(Table7[[#This Row],[Date]],Database!$A:$C,MATCH($B$1,Database!$A$1:$C$1,),))</f>
        <v/>
      </c>
      <c r="C8062">
        <f>IF(VLOOKUP(Table7[[#This Row],[Date]],Database!$A:$C,MATCH($C$1,Database!$A$1:$C$1,),)=0,#N/A,VLOOKUP(Table7[[#This Row],[Date]],Database!$A:$C,MATCH($C$1,Database!$A$1:$C$1,),))</f>
        <v/>
      </c>
      <c r="D8062">
        <f>IFERROR(Table7[[#This Row],[United States 10y]]-Table7[[#This Row],[United States 3y]],#N/A)</f>
        <v/>
      </c>
    </row>
    <row r="8063">
      <c r="A8063" s="6">
        <f>Database!$A10148</f>
        <v/>
      </c>
      <c r="B8063">
        <f>IF(VLOOKUP(Table7[[#This Row],[Date]],Database!$A:$C,MATCH($B$1,Database!$A$1:$C$1,),)=0,#N/A,VLOOKUP(Table7[[#This Row],[Date]],Database!$A:$C,MATCH($B$1,Database!$A$1:$C$1,),))</f>
        <v/>
      </c>
      <c r="C8063">
        <f>IF(VLOOKUP(Table7[[#This Row],[Date]],Database!$A:$C,MATCH($C$1,Database!$A$1:$C$1,),)=0,#N/A,VLOOKUP(Table7[[#This Row],[Date]],Database!$A:$C,MATCH($C$1,Database!$A$1:$C$1,),))</f>
        <v/>
      </c>
      <c r="D8063">
        <f>IFERROR(Table7[[#This Row],[United States 10y]]-Table7[[#This Row],[United States 3y]],#N/A)</f>
        <v/>
      </c>
    </row>
    <row r="8064">
      <c r="A8064" s="6">
        <f>Database!$A10149</f>
        <v/>
      </c>
      <c r="B8064">
        <f>IF(VLOOKUP(Table7[[#This Row],[Date]],Database!$A:$C,MATCH($B$1,Database!$A$1:$C$1,),)=0,#N/A,VLOOKUP(Table7[[#This Row],[Date]],Database!$A:$C,MATCH($B$1,Database!$A$1:$C$1,),))</f>
        <v/>
      </c>
      <c r="C8064">
        <f>IF(VLOOKUP(Table7[[#This Row],[Date]],Database!$A:$C,MATCH($C$1,Database!$A$1:$C$1,),)=0,#N/A,VLOOKUP(Table7[[#This Row],[Date]],Database!$A:$C,MATCH($C$1,Database!$A$1:$C$1,),))</f>
        <v/>
      </c>
      <c r="D8064">
        <f>IFERROR(Table7[[#This Row],[United States 10y]]-Table7[[#This Row],[United States 3y]],#N/A)</f>
        <v/>
      </c>
    </row>
    <row r="8065">
      <c r="A8065" s="6">
        <f>Database!$A10150</f>
        <v/>
      </c>
      <c r="B8065">
        <f>IF(VLOOKUP(Table7[[#This Row],[Date]],Database!$A:$C,MATCH($B$1,Database!$A$1:$C$1,),)=0,#N/A,VLOOKUP(Table7[[#This Row],[Date]],Database!$A:$C,MATCH($B$1,Database!$A$1:$C$1,),))</f>
        <v/>
      </c>
      <c r="C8065">
        <f>IF(VLOOKUP(Table7[[#This Row],[Date]],Database!$A:$C,MATCH($C$1,Database!$A$1:$C$1,),)=0,#N/A,VLOOKUP(Table7[[#This Row],[Date]],Database!$A:$C,MATCH($C$1,Database!$A$1:$C$1,),))</f>
        <v/>
      </c>
      <c r="D8065">
        <f>IFERROR(Table7[[#This Row],[United States 10y]]-Table7[[#This Row],[United States 3y]],#N/A)</f>
        <v/>
      </c>
    </row>
    <row r="8066">
      <c r="A8066" s="6">
        <f>Database!$A10151</f>
        <v/>
      </c>
      <c r="B8066">
        <f>IF(VLOOKUP(Table7[[#This Row],[Date]],Database!$A:$C,MATCH($B$1,Database!$A$1:$C$1,),)=0,#N/A,VLOOKUP(Table7[[#This Row],[Date]],Database!$A:$C,MATCH($B$1,Database!$A$1:$C$1,),))</f>
        <v/>
      </c>
      <c r="C8066">
        <f>IF(VLOOKUP(Table7[[#This Row],[Date]],Database!$A:$C,MATCH($C$1,Database!$A$1:$C$1,),)=0,#N/A,VLOOKUP(Table7[[#This Row],[Date]],Database!$A:$C,MATCH($C$1,Database!$A$1:$C$1,),))</f>
        <v/>
      </c>
      <c r="D8066">
        <f>IFERROR(Table7[[#This Row],[United States 10y]]-Table7[[#This Row],[United States 3y]],#N/A)</f>
        <v/>
      </c>
    </row>
    <row r="8067">
      <c r="A8067" s="6">
        <f>Database!$A10152</f>
        <v/>
      </c>
      <c r="B8067">
        <f>IF(VLOOKUP(Table7[[#This Row],[Date]],Database!$A:$C,MATCH($B$1,Database!$A$1:$C$1,),)=0,#N/A,VLOOKUP(Table7[[#This Row],[Date]],Database!$A:$C,MATCH($B$1,Database!$A$1:$C$1,),))</f>
        <v/>
      </c>
      <c r="C8067">
        <f>IF(VLOOKUP(Table7[[#This Row],[Date]],Database!$A:$C,MATCH($C$1,Database!$A$1:$C$1,),)=0,#N/A,VLOOKUP(Table7[[#This Row],[Date]],Database!$A:$C,MATCH($C$1,Database!$A$1:$C$1,),))</f>
        <v/>
      </c>
      <c r="D8067">
        <f>IFERROR(Table7[[#This Row],[United States 10y]]-Table7[[#This Row],[United States 3y]],#N/A)</f>
        <v/>
      </c>
    </row>
    <row r="8068">
      <c r="A8068" s="6">
        <f>Database!$A10153</f>
        <v/>
      </c>
      <c r="B8068">
        <f>IF(VLOOKUP(Table7[[#This Row],[Date]],Database!$A:$C,MATCH($B$1,Database!$A$1:$C$1,),)=0,#N/A,VLOOKUP(Table7[[#This Row],[Date]],Database!$A:$C,MATCH($B$1,Database!$A$1:$C$1,),))</f>
        <v/>
      </c>
      <c r="C8068">
        <f>IF(VLOOKUP(Table7[[#This Row],[Date]],Database!$A:$C,MATCH($C$1,Database!$A$1:$C$1,),)=0,#N/A,VLOOKUP(Table7[[#This Row],[Date]],Database!$A:$C,MATCH($C$1,Database!$A$1:$C$1,),))</f>
        <v/>
      </c>
      <c r="D8068">
        <f>IFERROR(Table7[[#This Row],[United States 10y]]-Table7[[#This Row],[United States 3y]],#N/A)</f>
        <v/>
      </c>
    </row>
    <row r="8069">
      <c r="A8069" s="6">
        <f>Database!$A10154</f>
        <v/>
      </c>
      <c r="B8069">
        <f>IF(VLOOKUP(Table7[[#This Row],[Date]],Database!$A:$C,MATCH($B$1,Database!$A$1:$C$1,),)=0,#N/A,VLOOKUP(Table7[[#This Row],[Date]],Database!$A:$C,MATCH($B$1,Database!$A$1:$C$1,),))</f>
        <v/>
      </c>
      <c r="C8069">
        <f>IF(VLOOKUP(Table7[[#This Row],[Date]],Database!$A:$C,MATCH($C$1,Database!$A$1:$C$1,),)=0,#N/A,VLOOKUP(Table7[[#This Row],[Date]],Database!$A:$C,MATCH($C$1,Database!$A$1:$C$1,),))</f>
        <v/>
      </c>
      <c r="D8069">
        <f>IFERROR(Table7[[#This Row],[United States 10y]]-Table7[[#This Row],[United States 3y]],#N/A)</f>
        <v/>
      </c>
    </row>
    <row r="8070">
      <c r="A8070" s="6">
        <f>Database!$A10155</f>
        <v/>
      </c>
      <c r="B8070">
        <f>IF(VLOOKUP(Table7[[#This Row],[Date]],Database!$A:$C,MATCH($B$1,Database!$A$1:$C$1,),)=0,#N/A,VLOOKUP(Table7[[#This Row],[Date]],Database!$A:$C,MATCH($B$1,Database!$A$1:$C$1,),))</f>
        <v/>
      </c>
      <c r="C8070">
        <f>IF(VLOOKUP(Table7[[#This Row],[Date]],Database!$A:$C,MATCH($C$1,Database!$A$1:$C$1,),)=0,#N/A,VLOOKUP(Table7[[#This Row],[Date]],Database!$A:$C,MATCH($C$1,Database!$A$1:$C$1,),))</f>
        <v/>
      </c>
      <c r="D8070">
        <f>IFERROR(Table7[[#This Row],[United States 10y]]-Table7[[#This Row],[United States 3y]],#N/A)</f>
        <v/>
      </c>
    </row>
    <row r="8071">
      <c r="A8071" s="6">
        <f>Database!$A10156</f>
        <v/>
      </c>
      <c r="B8071">
        <f>IF(VLOOKUP(Table7[[#This Row],[Date]],Database!$A:$C,MATCH($B$1,Database!$A$1:$C$1,),)=0,#N/A,VLOOKUP(Table7[[#This Row],[Date]],Database!$A:$C,MATCH($B$1,Database!$A$1:$C$1,),))</f>
        <v/>
      </c>
      <c r="C8071">
        <f>IF(VLOOKUP(Table7[[#This Row],[Date]],Database!$A:$C,MATCH($C$1,Database!$A$1:$C$1,),)=0,#N/A,VLOOKUP(Table7[[#This Row],[Date]],Database!$A:$C,MATCH($C$1,Database!$A$1:$C$1,),))</f>
        <v/>
      </c>
      <c r="D8071">
        <f>IFERROR(Table7[[#This Row],[United States 10y]]-Table7[[#This Row],[United States 3y]],#N/A)</f>
        <v/>
      </c>
    </row>
    <row r="8072">
      <c r="A8072" s="6">
        <f>Database!$A10157</f>
        <v/>
      </c>
      <c r="B8072">
        <f>IF(VLOOKUP(Table7[[#This Row],[Date]],Database!$A:$C,MATCH($B$1,Database!$A$1:$C$1,),)=0,#N/A,VLOOKUP(Table7[[#This Row],[Date]],Database!$A:$C,MATCH($B$1,Database!$A$1:$C$1,),))</f>
        <v/>
      </c>
      <c r="C8072">
        <f>IF(VLOOKUP(Table7[[#This Row],[Date]],Database!$A:$C,MATCH($C$1,Database!$A$1:$C$1,),)=0,#N/A,VLOOKUP(Table7[[#This Row],[Date]],Database!$A:$C,MATCH($C$1,Database!$A$1:$C$1,),))</f>
        <v/>
      </c>
      <c r="D8072">
        <f>IFERROR(Table7[[#This Row],[United States 10y]]-Table7[[#This Row],[United States 3y]],#N/A)</f>
        <v/>
      </c>
    </row>
    <row r="8073">
      <c r="A8073" s="6">
        <f>Database!$A10158</f>
        <v/>
      </c>
      <c r="B8073">
        <f>IF(VLOOKUP(Table7[[#This Row],[Date]],Database!$A:$C,MATCH($B$1,Database!$A$1:$C$1,),)=0,#N/A,VLOOKUP(Table7[[#This Row],[Date]],Database!$A:$C,MATCH($B$1,Database!$A$1:$C$1,),))</f>
        <v/>
      </c>
      <c r="C8073">
        <f>IF(VLOOKUP(Table7[[#This Row],[Date]],Database!$A:$C,MATCH($C$1,Database!$A$1:$C$1,),)=0,#N/A,VLOOKUP(Table7[[#This Row],[Date]],Database!$A:$C,MATCH($C$1,Database!$A$1:$C$1,),))</f>
        <v/>
      </c>
      <c r="D8073">
        <f>IFERROR(Table7[[#This Row],[United States 10y]]-Table7[[#This Row],[United States 3y]],#N/A)</f>
        <v/>
      </c>
    </row>
    <row r="8074">
      <c r="A8074" s="6">
        <f>Database!$A10159</f>
        <v/>
      </c>
      <c r="B8074">
        <f>IF(VLOOKUP(Table7[[#This Row],[Date]],Database!$A:$C,MATCH($B$1,Database!$A$1:$C$1,),)=0,#N/A,VLOOKUP(Table7[[#This Row],[Date]],Database!$A:$C,MATCH($B$1,Database!$A$1:$C$1,),))</f>
        <v/>
      </c>
      <c r="C8074">
        <f>IF(VLOOKUP(Table7[[#This Row],[Date]],Database!$A:$C,MATCH($C$1,Database!$A$1:$C$1,),)=0,#N/A,VLOOKUP(Table7[[#This Row],[Date]],Database!$A:$C,MATCH($C$1,Database!$A$1:$C$1,),))</f>
        <v/>
      </c>
      <c r="D8074">
        <f>IFERROR(Table7[[#This Row],[United States 10y]]-Table7[[#This Row],[United States 3y]],#N/A)</f>
        <v/>
      </c>
    </row>
    <row r="8075">
      <c r="A8075" s="6">
        <f>Database!$A10160</f>
        <v/>
      </c>
      <c r="B8075">
        <f>IF(VLOOKUP(Table7[[#This Row],[Date]],Database!$A:$C,MATCH($B$1,Database!$A$1:$C$1,),)=0,#N/A,VLOOKUP(Table7[[#This Row],[Date]],Database!$A:$C,MATCH($B$1,Database!$A$1:$C$1,),))</f>
        <v/>
      </c>
      <c r="C8075">
        <f>IF(VLOOKUP(Table7[[#This Row],[Date]],Database!$A:$C,MATCH($C$1,Database!$A$1:$C$1,),)=0,#N/A,VLOOKUP(Table7[[#This Row],[Date]],Database!$A:$C,MATCH($C$1,Database!$A$1:$C$1,),))</f>
        <v/>
      </c>
      <c r="D8075">
        <f>IFERROR(Table7[[#This Row],[United States 10y]]-Table7[[#This Row],[United States 3y]],#N/A)</f>
        <v/>
      </c>
    </row>
    <row r="8076">
      <c r="A8076" s="6">
        <f>Database!$A10161</f>
        <v/>
      </c>
      <c r="B8076">
        <f>IF(VLOOKUP(Table7[[#This Row],[Date]],Database!$A:$C,MATCH($B$1,Database!$A$1:$C$1,),)=0,#N/A,VLOOKUP(Table7[[#This Row],[Date]],Database!$A:$C,MATCH($B$1,Database!$A$1:$C$1,),))</f>
        <v/>
      </c>
      <c r="C8076">
        <f>IF(VLOOKUP(Table7[[#This Row],[Date]],Database!$A:$C,MATCH($C$1,Database!$A$1:$C$1,),)=0,#N/A,VLOOKUP(Table7[[#This Row],[Date]],Database!$A:$C,MATCH($C$1,Database!$A$1:$C$1,),))</f>
        <v/>
      </c>
      <c r="D8076">
        <f>IFERROR(Table7[[#This Row],[United States 10y]]-Table7[[#This Row],[United States 3y]],#N/A)</f>
        <v/>
      </c>
    </row>
    <row r="8077">
      <c r="A8077" s="6">
        <f>Database!$A10162</f>
        <v/>
      </c>
      <c r="B8077">
        <f>IF(VLOOKUP(Table7[[#This Row],[Date]],Database!$A:$C,MATCH($B$1,Database!$A$1:$C$1,),)=0,#N/A,VLOOKUP(Table7[[#This Row],[Date]],Database!$A:$C,MATCH($B$1,Database!$A$1:$C$1,),))</f>
        <v/>
      </c>
      <c r="C8077">
        <f>IF(VLOOKUP(Table7[[#This Row],[Date]],Database!$A:$C,MATCH($C$1,Database!$A$1:$C$1,),)=0,#N/A,VLOOKUP(Table7[[#This Row],[Date]],Database!$A:$C,MATCH($C$1,Database!$A$1:$C$1,),))</f>
        <v/>
      </c>
      <c r="D8077">
        <f>IFERROR(Table7[[#This Row],[United States 10y]]-Table7[[#This Row],[United States 3y]],#N/A)</f>
        <v/>
      </c>
    </row>
    <row r="8078">
      <c r="A8078" s="6">
        <f>Database!$A10163</f>
        <v/>
      </c>
      <c r="B8078">
        <f>IF(VLOOKUP(Table7[[#This Row],[Date]],Database!$A:$C,MATCH($B$1,Database!$A$1:$C$1,),)=0,#N/A,VLOOKUP(Table7[[#This Row],[Date]],Database!$A:$C,MATCH($B$1,Database!$A$1:$C$1,),))</f>
        <v/>
      </c>
      <c r="C8078">
        <f>IF(VLOOKUP(Table7[[#This Row],[Date]],Database!$A:$C,MATCH($C$1,Database!$A$1:$C$1,),)=0,#N/A,VLOOKUP(Table7[[#This Row],[Date]],Database!$A:$C,MATCH($C$1,Database!$A$1:$C$1,),))</f>
        <v/>
      </c>
      <c r="D8078">
        <f>IFERROR(Table7[[#This Row],[United States 10y]]-Table7[[#This Row],[United States 3y]],#N/A)</f>
        <v/>
      </c>
    </row>
    <row r="8079">
      <c r="A8079" s="6">
        <f>Database!$A10164</f>
        <v/>
      </c>
      <c r="B8079">
        <f>IF(VLOOKUP(Table7[[#This Row],[Date]],Database!$A:$C,MATCH($B$1,Database!$A$1:$C$1,),)=0,#N/A,VLOOKUP(Table7[[#This Row],[Date]],Database!$A:$C,MATCH($B$1,Database!$A$1:$C$1,),))</f>
        <v/>
      </c>
      <c r="C8079">
        <f>IF(VLOOKUP(Table7[[#This Row],[Date]],Database!$A:$C,MATCH($C$1,Database!$A$1:$C$1,),)=0,#N/A,VLOOKUP(Table7[[#This Row],[Date]],Database!$A:$C,MATCH($C$1,Database!$A$1:$C$1,),))</f>
        <v/>
      </c>
      <c r="D8079">
        <f>IFERROR(Table7[[#This Row],[United States 10y]]-Table7[[#This Row],[United States 3y]],#N/A)</f>
        <v/>
      </c>
    </row>
    <row r="8080">
      <c r="A8080" s="6">
        <f>Database!$A10165</f>
        <v/>
      </c>
      <c r="B8080">
        <f>IF(VLOOKUP(Table7[[#This Row],[Date]],Database!$A:$C,MATCH($B$1,Database!$A$1:$C$1,),)=0,#N/A,VLOOKUP(Table7[[#This Row],[Date]],Database!$A:$C,MATCH($B$1,Database!$A$1:$C$1,),))</f>
        <v/>
      </c>
      <c r="C8080">
        <f>IF(VLOOKUP(Table7[[#This Row],[Date]],Database!$A:$C,MATCH($C$1,Database!$A$1:$C$1,),)=0,#N/A,VLOOKUP(Table7[[#This Row],[Date]],Database!$A:$C,MATCH($C$1,Database!$A$1:$C$1,),))</f>
        <v/>
      </c>
      <c r="D8080">
        <f>IFERROR(Table7[[#This Row],[United States 10y]]-Table7[[#This Row],[United States 3y]],#N/A)</f>
        <v/>
      </c>
    </row>
    <row r="8081">
      <c r="A8081" s="6">
        <f>Database!$A10166</f>
        <v/>
      </c>
      <c r="B8081">
        <f>IF(VLOOKUP(Table7[[#This Row],[Date]],Database!$A:$C,MATCH($B$1,Database!$A$1:$C$1,),)=0,#N/A,VLOOKUP(Table7[[#This Row],[Date]],Database!$A:$C,MATCH($B$1,Database!$A$1:$C$1,),))</f>
        <v/>
      </c>
      <c r="C8081">
        <f>IF(VLOOKUP(Table7[[#This Row],[Date]],Database!$A:$C,MATCH($C$1,Database!$A$1:$C$1,),)=0,#N/A,VLOOKUP(Table7[[#This Row],[Date]],Database!$A:$C,MATCH($C$1,Database!$A$1:$C$1,),))</f>
        <v/>
      </c>
      <c r="D8081">
        <f>IFERROR(Table7[[#This Row],[United States 10y]]-Table7[[#This Row],[United States 3y]],#N/A)</f>
        <v/>
      </c>
    </row>
    <row r="8082">
      <c r="A8082" s="6">
        <f>Database!$A10167</f>
        <v/>
      </c>
      <c r="B8082">
        <f>IF(VLOOKUP(Table7[[#This Row],[Date]],Database!$A:$C,MATCH($B$1,Database!$A$1:$C$1,),)=0,#N/A,VLOOKUP(Table7[[#This Row],[Date]],Database!$A:$C,MATCH($B$1,Database!$A$1:$C$1,),))</f>
        <v/>
      </c>
      <c r="C8082">
        <f>IF(VLOOKUP(Table7[[#This Row],[Date]],Database!$A:$C,MATCH($C$1,Database!$A$1:$C$1,),)=0,#N/A,VLOOKUP(Table7[[#This Row],[Date]],Database!$A:$C,MATCH($C$1,Database!$A$1:$C$1,),))</f>
        <v/>
      </c>
      <c r="D8082">
        <f>IFERROR(Table7[[#This Row],[United States 10y]]-Table7[[#This Row],[United States 3y]],#N/A)</f>
        <v/>
      </c>
    </row>
    <row r="8083">
      <c r="A8083" s="6">
        <f>Database!$A10168</f>
        <v/>
      </c>
      <c r="B8083">
        <f>IF(VLOOKUP(Table7[[#This Row],[Date]],Database!$A:$C,MATCH($B$1,Database!$A$1:$C$1,),)=0,#N/A,VLOOKUP(Table7[[#This Row],[Date]],Database!$A:$C,MATCH($B$1,Database!$A$1:$C$1,),))</f>
        <v/>
      </c>
      <c r="C8083">
        <f>IF(VLOOKUP(Table7[[#This Row],[Date]],Database!$A:$C,MATCH($C$1,Database!$A$1:$C$1,),)=0,#N/A,VLOOKUP(Table7[[#This Row],[Date]],Database!$A:$C,MATCH($C$1,Database!$A$1:$C$1,),))</f>
        <v/>
      </c>
      <c r="D8083">
        <f>IFERROR(Table7[[#This Row],[United States 10y]]-Table7[[#This Row],[United States 3y]],#N/A)</f>
        <v/>
      </c>
    </row>
    <row r="8084">
      <c r="A8084" s="6">
        <f>Database!$A10169</f>
        <v/>
      </c>
      <c r="B8084">
        <f>IF(VLOOKUP(Table7[[#This Row],[Date]],Database!$A:$C,MATCH($B$1,Database!$A$1:$C$1,),)=0,#N/A,VLOOKUP(Table7[[#This Row],[Date]],Database!$A:$C,MATCH($B$1,Database!$A$1:$C$1,),))</f>
        <v/>
      </c>
      <c r="C8084">
        <f>IF(VLOOKUP(Table7[[#This Row],[Date]],Database!$A:$C,MATCH($C$1,Database!$A$1:$C$1,),)=0,#N/A,VLOOKUP(Table7[[#This Row],[Date]],Database!$A:$C,MATCH($C$1,Database!$A$1:$C$1,),))</f>
        <v/>
      </c>
      <c r="D8084">
        <f>IFERROR(Table7[[#This Row],[United States 10y]]-Table7[[#This Row],[United States 3y]],#N/A)</f>
        <v/>
      </c>
    </row>
    <row r="8085">
      <c r="A8085" s="6">
        <f>Database!$A10170</f>
        <v/>
      </c>
      <c r="B8085">
        <f>IF(VLOOKUP(Table7[[#This Row],[Date]],Database!$A:$C,MATCH($B$1,Database!$A$1:$C$1,),)=0,#N/A,VLOOKUP(Table7[[#This Row],[Date]],Database!$A:$C,MATCH($B$1,Database!$A$1:$C$1,),))</f>
        <v/>
      </c>
      <c r="C8085">
        <f>IF(VLOOKUP(Table7[[#This Row],[Date]],Database!$A:$C,MATCH($C$1,Database!$A$1:$C$1,),)=0,#N/A,VLOOKUP(Table7[[#This Row],[Date]],Database!$A:$C,MATCH($C$1,Database!$A$1:$C$1,),))</f>
        <v/>
      </c>
      <c r="D8085">
        <f>IFERROR(Table7[[#This Row],[United States 10y]]-Table7[[#This Row],[United States 3y]],#N/A)</f>
        <v/>
      </c>
    </row>
    <row r="8086">
      <c r="A8086" s="6">
        <f>Database!$A10171</f>
        <v/>
      </c>
      <c r="B8086">
        <f>IF(VLOOKUP(Table7[[#This Row],[Date]],Database!$A:$C,MATCH($B$1,Database!$A$1:$C$1,),)=0,#N/A,VLOOKUP(Table7[[#This Row],[Date]],Database!$A:$C,MATCH($B$1,Database!$A$1:$C$1,),))</f>
        <v/>
      </c>
      <c r="C8086">
        <f>IF(VLOOKUP(Table7[[#This Row],[Date]],Database!$A:$C,MATCH($C$1,Database!$A$1:$C$1,),)=0,#N/A,VLOOKUP(Table7[[#This Row],[Date]],Database!$A:$C,MATCH($C$1,Database!$A$1:$C$1,),))</f>
        <v/>
      </c>
      <c r="D8086">
        <f>IFERROR(Table7[[#This Row],[United States 10y]]-Table7[[#This Row],[United States 3y]],#N/A)</f>
        <v/>
      </c>
    </row>
    <row r="8087">
      <c r="A8087" s="6">
        <f>Database!$A10172</f>
        <v/>
      </c>
      <c r="B8087">
        <f>IF(VLOOKUP(Table7[[#This Row],[Date]],Database!$A:$C,MATCH($B$1,Database!$A$1:$C$1,),)=0,#N/A,VLOOKUP(Table7[[#This Row],[Date]],Database!$A:$C,MATCH($B$1,Database!$A$1:$C$1,),))</f>
        <v/>
      </c>
      <c r="C8087">
        <f>IF(VLOOKUP(Table7[[#This Row],[Date]],Database!$A:$C,MATCH($C$1,Database!$A$1:$C$1,),)=0,#N/A,VLOOKUP(Table7[[#This Row],[Date]],Database!$A:$C,MATCH($C$1,Database!$A$1:$C$1,),))</f>
        <v/>
      </c>
      <c r="D8087">
        <f>IFERROR(Table7[[#This Row],[United States 10y]]-Table7[[#This Row],[United States 3y]],#N/A)</f>
        <v/>
      </c>
    </row>
    <row r="8088">
      <c r="A8088" s="6">
        <f>Database!$A10173</f>
        <v/>
      </c>
      <c r="B8088">
        <f>IF(VLOOKUP(Table7[[#This Row],[Date]],Database!$A:$C,MATCH($B$1,Database!$A$1:$C$1,),)=0,#N/A,VLOOKUP(Table7[[#This Row],[Date]],Database!$A:$C,MATCH($B$1,Database!$A$1:$C$1,),))</f>
        <v/>
      </c>
      <c r="C8088">
        <f>IF(VLOOKUP(Table7[[#This Row],[Date]],Database!$A:$C,MATCH($C$1,Database!$A$1:$C$1,),)=0,#N/A,VLOOKUP(Table7[[#This Row],[Date]],Database!$A:$C,MATCH($C$1,Database!$A$1:$C$1,),))</f>
        <v/>
      </c>
      <c r="D8088">
        <f>IFERROR(Table7[[#This Row],[United States 10y]]-Table7[[#This Row],[United States 3y]],#N/A)</f>
        <v/>
      </c>
    </row>
    <row r="8089">
      <c r="A8089" s="6">
        <f>Database!$A10174</f>
        <v/>
      </c>
      <c r="B8089">
        <f>IF(VLOOKUP(Table7[[#This Row],[Date]],Database!$A:$C,MATCH($B$1,Database!$A$1:$C$1,),)=0,#N/A,VLOOKUP(Table7[[#This Row],[Date]],Database!$A:$C,MATCH($B$1,Database!$A$1:$C$1,),))</f>
        <v/>
      </c>
      <c r="C8089">
        <f>IF(VLOOKUP(Table7[[#This Row],[Date]],Database!$A:$C,MATCH($C$1,Database!$A$1:$C$1,),)=0,#N/A,VLOOKUP(Table7[[#This Row],[Date]],Database!$A:$C,MATCH($C$1,Database!$A$1:$C$1,),))</f>
        <v/>
      </c>
      <c r="D8089">
        <f>IFERROR(Table7[[#This Row],[United States 10y]]-Table7[[#This Row],[United States 3y]],#N/A)</f>
        <v/>
      </c>
    </row>
    <row r="8090">
      <c r="A8090" s="6">
        <f>Database!$A10175</f>
        <v/>
      </c>
      <c r="B8090">
        <f>IF(VLOOKUP(Table7[[#This Row],[Date]],Database!$A:$C,MATCH($B$1,Database!$A$1:$C$1,),)=0,#N/A,VLOOKUP(Table7[[#This Row],[Date]],Database!$A:$C,MATCH($B$1,Database!$A$1:$C$1,),))</f>
        <v/>
      </c>
      <c r="C8090">
        <f>IF(VLOOKUP(Table7[[#This Row],[Date]],Database!$A:$C,MATCH($C$1,Database!$A$1:$C$1,),)=0,#N/A,VLOOKUP(Table7[[#This Row],[Date]],Database!$A:$C,MATCH($C$1,Database!$A$1:$C$1,),))</f>
        <v/>
      </c>
      <c r="D8090">
        <f>IFERROR(Table7[[#This Row],[United States 10y]]-Table7[[#This Row],[United States 3y]],#N/A)</f>
        <v/>
      </c>
    </row>
    <row r="8091">
      <c r="A8091" s="6">
        <f>Database!$A10176</f>
        <v/>
      </c>
      <c r="B8091">
        <f>IF(VLOOKUP(Table7[[#This Row],[Date]],Database!$A:$C,MATCH($B$1,Database!$A$1:$C$1,),)=0,#N/A,VLOOKUP(Table7[[#This Row],[Date]],Database!$A:$C,MATCH($B$1,Database!$A$1:$C$1,),))</f>
        <v/>
      </c>
      <c r="C8091">
        <f>IF(VLOOKUP(Table7[[#This Row],[Date]],Database!$A:$C,MATCH($C$1,Database!$A$1:$C$1,),)=0,#N/A,VLOOKUP(Table7[[#This Row],[Date]],Database!$A:$C,MATCH($C$1,Database!$A$1:$C$1,),))</f>
        <v/>
      </c>
      <c r="D8091">
        <f>IFERROR(Table7[[#This Row],[United States 10y]]-Table7[[#This Row],[United States 3y]],#N/A)</f>
        <v/>
      </c>
    </row>
    <row r="8092">
      <c r="A8092" s="6">
        <f>Database!$A10177</f>
        <v/>
      </c>
      <c r="B8092">
        <f>IF(VLOOKUP(Table7[[#This Row],[Date]],Database!$A:$C,MATCH($B$1,Database!$A$1:$C$1,),)=0,#N/A,VLOOKUP(Table7[[#This Row],[Date]],Database!$A:$C,MATCH($B$1,Database!$A$1:$C$1,),))</f>
        <v/>
      </c>
      <c r="C8092">
        <f>IF(VLOOKUP(Table7[[#This Row],[Date]],Database!$A:$C,MATCH($C$1,Database!$A$1:$C$1,),)=0,#N/A,VLOOKUP(Table7[[#This Row],[Date]],Database!$A:$C,MATCH($C$1,Database!$A$1:$C$1,),))</f>
        <v/>
      </c>
      <c r="D8092">
        <f>IFERROR(Table7[[#This Row],[United States 10y]]-Table7[[#This Row],[United States 3y]],#N/A)</f>
        <v/>
      </c>
    </row>
    <row r="8093">
      <c r="A8093" s="6">
        <f>Database!$A10178</f>
        <v/>
      </c>
      <c r="B8093">
        <f>IF(VLOOKUP(Table7[[#This Row],[Date]],Database!$A:$C,MATCH($B$1,Database!$A$1:$C$1,),)=0,#N/A,VLOOKUP(Table7[[#This Row],[Date]],Database!$A:$C,MATCH($B$1,Database!$A$1:$C$1,),))</f>
        <v/>
      </c>
      <c r="C8093">
        <f>IF(VLOOKUP(Table7[[#This Row],[Date]],Database!$A:$C,MATCH($C$1,Database!$A$1:$C$1,),)=0,#N/A,VLOOKUP(Table7[[#This Row],[Date]],Database!$A:$C,MATCH($C$1,Database!$A$1:$C$1,),))</f>
        <v/>
      </c>
      <c r="D8093">
        <f>IFERROR(Table7[[#This Row],[United States 10y]]-Table7[[#This Row],[United States 3y]],#N/A)</f>
        <v/>
      </c>
    </row>
    <row r="8094">
      <c r="A8094" s="6">
        <f>Database!$A10179</f>
        <v/>
      </c>
      <c r="B8094">
        <f>IF(VLOOKUP(Table7[[#This Row],[Date]],Database!$A:$C,MATCH($B$1,Database!$A$1:$C$1,),)=0,#N/A,VLOOKUP(Table7[[#This Row],[Date]],Database!$A:$C,MATCH($B$1,Database!$A$1:$C$1,),))</f>
        <v/>
      </c>
      <c r="C8094">
        <f>IF(VLOOKUP(Table7[[#This Row],[Date]],Database!$A:$C,MATCH($C$1,Database!$A$1:$C$1,),)=0,#N/A,VLOOKUP(Table7[[#This Row],[Date]],Database!$A:$C,MATCH($C$1,Database!$A$1:$C$1,),))</f>
        <v/>
      </c>
      <c r="D8094">
        <f>IFERROR(Table7[[#This Row],[United States 10y]]-Table7[[#This Row],[United States 3y]],#N/A)</f>
        <v/>
      </c>
    </row>
    <row r="8095">
      <c r="A8095" s="6">
        <f>Database!$A10180</f>
        <v/>
      </c>
      <c r="B8095">
        <f>IF(VLOOKUP(Table7[[#This Row],[Date]],Database!$A:$C,MATCH($B$1,Database!$A$1:$C$1,),)=0,#N/A,VLOOKUP(Table7[[#This Row],[Date]],Database!$A:$C,MATCH($B$1,Database!$A$1:$C$1,),))</f>
        <v/>
      </c>
      <c r="C8095">
        <f>IF(VLOOKUP(Table7[[#This Row],[Date]],Database!$A:$C,MATCH($C$1,Database!$A$1:$C$1,),)=0,#N/A,VLOOKUP(Table7[[#This Row],[Date]],Database!$A:$C,MATCH($C$1,Database!$A$1:$C$1,),))</f>
        <v/>
      </c>
      <c r="D8095">
        <f>IFERROR(Table7[[#This Row],[United States 10y]]-Table7[[#This Row],[United States 3y]],#N/A)</f>
        <v/>
      </c>
    </row>
    <row r="8096">
      <c r="A8096" s="6">
        <f>Database!$A10181</f>
        <v/>
      </c>
      <c r="B8096">
        <f>IF(VLOOKUP(Table7[[#This Row],[Date]],Database!$A:$C,MATCH($B$1,Database!$A$1:$C$1,),)=0,#N/A,VLOOKUP(Table7[[#This Row],[Date]],Database!$A:$C,MATCH($B$1,Database!$A$1:$C$1,),))</f>
        <v/>
      </c>
      <c r="C8096">
        <f>IF(VLOOKUP(Table7[[#This Row],[Date]],Database!$A:$C,MATCH($C$1,Database!$A$1:$C$1,),)=0,#N/A,VLOOKUP(Table7[[#This Row],[Date]],Database!$A:$C,MATCH($C$1,Database!$A$1:$C$1,),))</f>
        <v/>
      </c>
      <c r="D8096">
        <f>IFERROR(Table7[[#This Row],[United States 10y]]-Table7[[#This Row],[United States 3y]],#N/A)</f>
        <v/>
      </c>
    </row>
    <row r="8097">
      <c r="A8097" s="6">
        <f>Database!$A10182</f>
        <v/>
      </c>
      <c r="B8097">
        <f>IF(VLOOKUP(Table7[[#This Row],[Date]],Database!$A:$C,MATCH($B$1,Database!$A$1:$C$1,),)=0,#N/A,VLOOKUP(Table7[[#This Row],[Date]],Database!$A:$C,MATCH($B$1,Database!$A$1:$C$1,),))</f>
        <v/>
      </c>
      <c r="C8097">
        <f>IF(VLOOKUP(Table7[[#This Row],[Date]],Database!$A:$C,MATCH($C$1,Database!$A$1:$C$1,),)=0,#N/A,VLOOKUP(Table7[[#This Row],[Date]],Database!$A:$C,MATCH($C$1,Database!$A$1:$C$1,),))</f>
        <v/>
      </c>
      <c r="D8097">
        <f>IFERROR(Table7[[#This Row],[United States 10y]]-Table7[[#This Row],[United States 3y]],#N/A)</f>
        <v/>
      </c>
    </row>
    <row r="8098">
      <c r="A8098" s="6">
        <f>Database!$A10183</f>
        <v/>
      </c>
      <c r="B8098">
        <f>IF(VLOOKUP(Table7[[#This Row],[Date]],Database!$A:$C,MATCH($B$1,Database!$A$1:$C$1,),)=0,#N/A,VLOOKUP(Table7[[#This Row],[Date]],Database!$A:$C,MATCH($B$1,Database!$A$1:$C$1,),))</f>
        <v/>
      </c>
      <c r="C8098">
        <f>IF(VLOOKUP(Table7[[#This Row],[Date]],Database!$A:$C,MATCH($C$1,Database!$A$1:$C$1,),)=0,#N/A,VLOOKUP(Table7[[#This Row],[Date]],Database!$A:$C,MATCH($C$1,Database!$A$1:$C$1,),))</f>
        <v/>
      </c>
      <c r="D8098">
        <f>IFERROR(Table7[[#This Row],[United States 10y]]-Table7[[#This Row],[United States 3y]],#N/A)</f>
        <v/>
      </c>
    </row>
    <row r="8099">
      <c r="A8099" s="6">
        <f>Database!$A10184</f>
        <v/>
      </c>
      <c r="B8099">
        <f>IF(VLOOKUP(Table7[[#This Row],[Date]],Database!$A:$C,MATCH($B$1,Database!$A$1:$C$1,),)=0,#N/A,VLOOKUP(Table7[[#This Row],[Date]],Database!$A:$C,MATCH($B$1,Database!$A$1:$C$1,),))</f>
        <v/>
      </c>
      <c r="C8099">
        <f>IF(VLOOKUP(Table7[[#This Row],[Date]],Database!$A:$C,MATCH($C$1,Database!$A$1:$C$1,),)=0,#N/A,VLOOKUP(Table7[[#This Row],[Date]],Database!$A:$C,MATCH($C$1,Database!$A$1:$C$1,),))</f>
        <v/>
      </c>
      <c r="D8099">
        <f>IFERROR(Table7[[#This Row],[United States 10y]]-Table7[[#This Row],[United States 3y]],#N/A)</f>
        <v/>
      </c>
    </row>
    <row r="8100">
      <c r="A8100" s="6">
        <f>Database!$A10185</f>
        <v/>
      </c>
      <c r="B8100">
        <f>IF(VLOOKUP(Table7[[#This Row],[Date]],Database!$A:$C,MATCH($B$1,Database!$A$1:$C$1,),)=0,#N/A,VLOOKUP(Table7[[#This Row],[Date]],Database!$A:$C,MATCH($B$1,Database!$A$1:$C$1,),))</f>
        <v/>
      </c>
      <c r="C8100">
        <f>IF(VLOOKUP(Table7[[#This Row],[Date]],Database!$A:$C,MATCH($C$1,Database!$A$1:$C$1,),)=0,#N/A,VLOOKUP(Table7[[#This Row],[Date]],Database!$A:$C,MATCH($C$1,Database!$A$1:$C$1,),))</f>
        <v/>
      </c>
      <c r="D8100">
        <f>IFERROR(Table7[[#This Row],[United States 10y]]-Table7[[#This Row],[United States 3y]],#N/A)</f>
        <v/>
      </c>
    </row>
    <row r="8101">
      <c r="A8101" s="6">
        <f>Database!$A10186</f>
        <v/>
      </c>
      <c r="B8101">
        <f>IF(VLOOKUP(Table7[[#This Row],[Date]],Database!$A:$C,MATCH($B$1,Database!$A$1:$C$1,),)=0,#N/A,VLOOKUP(Table7[[#This Row],[Date]],Database!$A:$C,MATCH($B$1,Database!$A$1:$C$1,),))</f>
        <v/>
      </c>
      <c r="C8101">
        <f>IF(VLOOKUP(Table7[[#This Row],[Date]],Database!$A:$C,MATCH($C$1,Database!$A$1:$C$1,),)=0,#N/A,VLOOKUP(Table7[[#This Row],[Date]],Database!$A:$C,MATCH($C$1,Database!$A$1:$C$1,),))</f>
        <v/>
      </c>
      <c r="D8101">
        <f>IFERROR(Table7[[#This Row],[United States 10y]]-Table7[[#This Row],[United States 3y]],#N/A)</f>
        <v/>
      </c>
    </row>
    <row r="8102">
      <c r="A8102" s="6">
        <f>Database!$A10187</f>
        <v/>
      </c>
      <c r="B8102">
        <f>IF(VLOOKUP(Table7[[#This Row],[Date]],Database!$A:$C,MATCH($B$1,Database!$A$1:$C$1,),)=0,#N/A,VLOOKUP(Table7[[#This Row],[Date]],Database!$A:$C,MATCH($B$1,Database!$A$1:$C$1,),))</f>
        <v/>
      </c>
      <c r="C8102">
        <f>IF(VLOOKUP(Table7[[#This Row],[Date]],Database!$A:$C,MATCH($C$1,Database!$A$1:$C$1,),)=0,#N/A,VLOOKUP(Table7[[#This Row],[Date]],Database!$A:$C,MATCH($C$1,Database!$A$1:$C$1,),))</f>
        <v/>
      </c>
      <c r="D8102">
        <f>IFERROR(Table7[[#This Row],[United States 10y]]-Table7[[#This Row],[United States 3y]],#N/A)</f>
        <v/>
      </c>
    </row>
    <row r="8103">
      <c r="A8103" s="6">
        <f>Database!$A10188</f>
        <v/>
      </c>
      <c r="B8103">
        <f>IF(VLOOKUP(Table7[[#This Row],[Date]],Database!$A:$C,MATCH($B$1,Database!$A$1:$C$1,),)=0,#N/A,VLOOKUP(Table7[[#This Row],[Date]],Database!$A:$C,MATCH($B$1,Database!$A$1:$C$1,),))</f>
        <v/>
      </c>
      <c r="C8103">
        <f>IF(VLOOKUP(Table7[[#This Row],[Date]],Database!$A:$C,MATCH($C$1,Database!$A$1:$C$1,),)=0,#N/A,VLOOKUP(Table7[[#This Row],[Date]],Database!$A:$C,MATCH($C$1,Database!$A$1:$C$1,),))</f>
        <v/>
      </c>
      <c r="D8103">
        <f>IFERROR(Table7[[#This Row],[United States 10y]]-Table7[[#This Row],[United States 3y]],#N/A)</f>
        <v/>
      </c>
    </row>
    <row r="8104">
      <c r="A8104" s="6">
        <f>Database!$A10189</f>
        <v/>
      </c>
      <c r="B8104">
        <f>IF(VLOOKUP(Table7[[#This Row],[Date]],Database!$A:$C,MATCH($B$1,Database!$A$1:$C$1,),)=0,#N/A,VLOOKUP(Table7[[#This Row],[Date]],Database!$A:$C,MATCH($B$1,Database!$A$1:$C$1,),))</f>
        <v/>
      </c>
      <c r="C8104">
        <f>IF(VLOOKUP(Table7[[#This Row],[Date]],Database!$A:$C,MATCH($C$1,Database!$A$1:$C$1,),)=0,#N/A,VLOOKUP(Table7[[#This Row],[Date]],Database!$A:$C,MATCH($C$1,Database!$A$1:$C$1,),))</f>
        <v/>
      </c>
      <c r="D8104">
        <f>IFERROR(Table7[[#This Row],[United States 10y]]-Table7[[#This Row],[United States 3y]],#N/A)</f>
        <v/>
      </c>
    </row>
    <row r="8105">
      <c r="A8105" s="6">
        <f>Database!$A10190</f>
        <v/>
      </c>
      <c r="B8105">
        <f>IF(VLOOKUP(Table7[[#This Row],[Date]],Database!$A:$C,MATCH($B$1,Database!$A$1:$C$1,),)=0,#N/A,VLOOKUP(Table7[[#This Row],[Date]],Database!$A:$C,MATCH($B$1,Database!$A$1:$C$1,),))</f>
        <v/>
      </c>
      <c r="C8105">
        <f>IF(VLOOKUP(Table7[[#This Row],[Date]],Database!$A:$C,MATCH($C$1,Database!$A$1:$C$1,),)=0,#N/A,VLOOKUP(Table7[[#This Row],[Date]],Database!$A:$C,MATCH($C$1,Database!$A$1:$C$1,),))</f>
        <v/>
      </c>
      <c r="D8105">
        <f>IFERROR(Table7[[#This Row],[United States 10y]]-Table7[[#This Row],[United States 3y]],#N/A)</f>
        <v/>
      </c>
    </row>
    <row r="8106">
      <c r="A8106" s="6">
        <f>Database!$A10191</f>
        <v/>
      </c>
      <c r="B8106">
        <f>IF(VLOOKUP(Table7[[#This Row],[Date]],Database!$A:$C,MATCH($B$1,Database!$A$1:$C$1,),)=0,#N/A,VLOOKUP(Table7[[#This Row],[Date]],Database!$A:$C,MATCH($B$1,Database!$A$1:$C$1,),))</f>
        <v/>
      </c>
      <c r="C8106">
        <f>IF(VLOOKUP(Table7[[#This Row],[Date]],Database!$A:$C,MATCH($C$1,Database!$A$1:$C$1,),)=0,#N/A,VLOOKUP(Table7[[#This Row],[Date]],Database!$A:$C,MATCH($C$1,Database!$A$1:$C$1,),))</f>
        <v/>
      </c>
      <c r="D8106">
        <f>IFERROR(Table7[[#This Row],[United States 10y]]-Table7[[#This Row],[United States 3y]],#N/A)</f>
        <v/>
      </c>
    </row>
    <row r="8107">
      <c r="A8107" s="6">
        <f>Database!$A10192</f>
        <v/>
      </c>
      <c r="B8107">
        <f>IF(VLOOKUP(Table7[[#This Row],[Date]],Database!$A:$C,MATCH($B$1,Database!$A$1:$C$1,),)=0,#N/A,VLOOKUP(Table7[[#This Row],[Date]],Database!$A:$C,MATCH($B$1,Database!$A$1:$C$1,),))</f>
        <v/>
      </c>
      <c r="C8107">
        <f>IF(VLOOKUP(Table7[[#This Row],[Date]],Database!$A:$C,MATCH($C$1,Database!$A$1:$C$1,),)=0,#N/A,VLOOKUP(Table7[[#This Row],[Date]],Database!$A:$C,MATCH($C$1,Database!$A$1:$C$1,),))</f>
        <v/>
      </c>
      <c r="D8107">
        <f>IFERROR(Table7[[#This Row],[United States 10y]]-Table7[[#This Row],[United States 3y]],#N/A)</f>
        <v/>
      </c>
    </row>
    <row r="8108">
      <c r="A8108" s="6">
        <f>Database!$A10193</f>
        <v/>
      </c>
      <c r="B8108">
        <f>IF(VLOOKUP(Table7[[#This Row],[Date]],Database!$A:$C,MATCH($B$1,Database!$A$1:$C$1,),)=0,#N/A,VLOOKUP(Table7[[#This Row],[Date]],Database!$A:$C,MATCH($B$1,Database!$A$1:$C$1,),))</f>
        <v/>
      </c>
      <c r="C8108">
        <f>IF(VLOOKUP(Table7[[#This Row],[Date]],Database!$A:$C,MATCH($C$1,Database!$A$1:$C$1,),)=0,#N/A,VLOOKUP(Table7[[#This Row],[Date]],Database!$A:$C,MATCH($C$1,Database!$A$1:$C$1,),))</f>
        <v/>
      </c>
      <c r="D8108">
        <f>IFERROR(Table7[[#This Row],[United States 10y]]-Table7[[#This Row],[United States 3y]],#N/A)</f>
        <v/>
      </c>
    </row>
    <row r="8109">
      <c r="A8109" s="6">
        <f>Database!$A10194</f>
        <v/>
      </c>
      <c r="B8109">
        <f>IF(VLOOKUP(Table7[[#This Row],[Date]],Database!$A:$C,MATCH($B$1,Database!$A$1:$C$1,),)=0,#N/A,VLOOKUP(Table7[[#This Row],[Date]],Database!$A:$C,MATCH($B$1,Database!$A$1:$C$1,),))</f>
        <v/>
      </c>
      <c r="C8109">
        <f>IF(VLOOKUP(Table7[[#This Row],[Date]],Database!$A:$C,MATCH($C$1,Database!$A$1:$C$1,),)=0,#N/A,VLOOKUP(Table7[[#This Row],[Date]],Database!$A:$C,MATCH($C$1,Database!$A$1:$C$1,),))</f>
        <v/>
      </c>
      <c r="D8109">
        <f>IFERROR(Table7[[#This Row],[United States 10y]]-Table7[[#This Row],[United States 3y]],#N/A)</f>
        <v/>
      </c>
    </row>
    <row r="8110">
      <c r="A8110" s="6">
        <f>Database!$A10195</f>
        <v/>
      </c>
      <c r="B8110">
        <f>IF(VLOOKUP(Table7[[#This Row],[Date]],Database!$A:$C,MATCH($B$1,Database!$A$1:$C$1,),)=0,#N/A,VLOOKUP(Table7[[#This Row],[Date]],Database!$A:$C,MATCH($B$1,Database!$A$1:$C$1,),))</f>
        <v/>
      </c>
      <c r="C8110">
        <f>IF(VLOOKUP(Table7[[#This Row],[Date]],Database!$A:$C,MATCH($C$1,Database!$A$1:$C$1,),)=0,#N/A,VLOOKUP(Table7[[#This Row],[Date]],Database!$A:$C,MATCH($C$1,Database!$A$1:$C$1,),))</f>
        <v/>
      </c>
      <c r="D8110">
        <f>IFERROR(Table7[[#This Row],[United States 10y]]-Table7[[#This Row],[United States 3y]],#N/A)</f>
        <v/>
      </c>
    </row>
    <row r="8111">
      <c r="A8111" s="6">
        <f>Database!$A10196</f>
        <v/>
      </c>
      <c r="B8111">
        <f>IF(VLOOKUP(Table7[[#This Row],[Date]],Database!$A:$C,MATCH($B$1,Database!$A$1:$C$1,),)=0,#N/A,VLOOKUP(Table7[[#This Row],[Date]],Database!$A:$C,MATCH($B$1,Database!$A$1:$C$1,),))</f>
        <v/>
      </c>
      <c r="C8111">
        <f>IF(VLOOKUP(Table7[[#This Row],[Date]],Database!$A:$C,MATCH($C$1,Database!$A$1:$C$1,),)=0,#N/A,VLOOKUP(Table7[[#This Row],[Date]],Database!$A:$C,MATCH($C$1,Database!$A$1:$C$1,),))</f>
        <v/>
      </c>
      <c r="D8111">
        <f>IFERROR(Table7[[#This Row],[United States 10y]]-Table7[[#This Row],[United States 3y]],#N/A)</f>
        <v/>
      </c>
    </row>
    <row r="8112">
      <c r="A8112" s="6">
        <f>Database!$A10197</f>
        <v/>
      </c>
      <c r="B8112">
        <f>IF(VLOOKUP(Table7[[#This Row],[Date]],Database!$A:$C,MATCH($B$1,Database!$A$1:$C$1,),)=0,#N/A,VLOOKUP(Table7[[#This Row],[Date]],Database!$A:$C,MATCH($B$1,Database!$A$1:$C$1,),))</f>
        <v/>
      </c>
      <c r="C8112">
        <f>IF(VLOOKUP(Table7[[#This Row],[Date]],Database!$A:$C,MATCH($C$1,Database!$A$1:$C$1,),)=0,#N/A,VLOOKUP(Table7[[#This Row],[Date]],Database!$A:$C,MATCH($C$1,Database!$A$1:$C$1,),))</f>
        <v/>
      </c>
      <c r="D8112">
        <f>IFERROR(Table7[[#This Row],[United States 10y]]-Table7[[#This Row],[United States 3y]],#N/A)</f>
        <v/>
      </c>
    </row>
    <row r="8113">
      <c r="A8113" s="6">
        <f>Database!$A10198</f>
        <v/>
      </c>
      <c r="B8113">
        <f>IF(VLOOKUP(Table7[[#This Row],[Date]],Database!$A:$C,MATCH($B$1,Database!$A$1:$C$1,),)=0,#N/A,VLOOKUP(Table7[[#This Row],[Date]],Database!$A:$C,MATCH($B$1,Database!$A$1:$C$1,),))</f>
        <v/>
      </c>
      <c r="C8113">
        <f>IF(VLOOKUP(Table7[[#This Row],[Date]],Database!$A:$C,MATCH($C$1,Database!$A$1:$C$1,),)=0,#N/A,VLOOKUP(Table7[[#This Row],[Date]],Database!$A:$C,MATCH($C$1,Database!$A$1:$C$1,),))</f>
        <v/>
      </c>
      <c r="D8113">
        <f>IFERROR(Table7[[#This Row],[United States 10y]]-Table7[[#This Row],[United States 3y]],#N/A)</f>
        <v/>
      </c>
    </row>
    <row r="8114">
      <c r="A8114" s="6">
        <f>Database!$A10199</f>
        <v/>
      </c>
      <c r="B8114">
        <f>IF(VLOOKUP(Table7[[#This Row],[Date]],Database!$A:$C,MATCH($B$1,Database!$A$1:$C$1,),)=0,#N/A,VLOOKUP(Table7[[#This Row],[Date]],Database!$A:$C,MATCH($B$1,Database!$A$1:$C$1,),))</f>
        <v/>
      </c>
      <c r="C8114">
        <f>IF(VLOOKUP(Table7[[#This Row],[Date]],Database!$A:$C,MATCH($C$1,Database!$A$1:$C$1,),)=0,#N/A,VLOOKUP(Table7[[#This Row],[Date]],Database!$A:$C,MATCH($C$1,Database!$A$1:$C$1,),))</f>
        <v/>
      </c>
      <c r="D8114">
        <f>IFERROR(Table7[[#This Row],[United States 10y]]-Table7[[#This Row],[United States 3y]],#N/A)</f>
        <v/>
      </c>
    </row>
    <row r="8115">
      <c r="A8115" s="6">
        <f>Database!$A10200</f>
        <v/>
      </c>
      <c r="B8115">
        <f>IF(VLOOKUP(Table7[[#This Row],[Date]],Database!$A:$C,MATCH($B$1,Database!$A$1:$C$1,),)=0,#N/A,VLOOKUP(Table7[[#This Row],[Date]],Database!$A:$C,MATCH($B$1,Database!$A$1:$C$1,),))</f>
        <v/>
      </c>
      <c r="C8115">
        <f>IF(VLOOKUP(Table7[[#This Row],[Date]],Database!$A:$C,MATCH($C$1,Database!$A$1:$C$1,),)=0,#N/A,VLOOKUP(Table7[[#This Row],[Date]],Database!$A:$C,MATCH($C$1,Database!$A$1:$C$1,),))</f>
        <v/>
      </c>
      <c r="D8115">
        <f>IFERROR(Table7[[#This Row],[United States 10y]]-Table7[[#This Row],[United States 3y]],#N/A)</f>
        <v/>
      </c>
    </row>
    <row r="8116">
      <c r="A8116" s="6">
        <f>Database!$A10201</f>
        <v/>
      </c>
      <c r="B8116">
        <f>IF(VLOOKUP(Table7[[#This Row],[Date]],Database!$A:$C,MATCH($B$1,Database!$A$1:$C$1,),)=0,#N/A,VLOOKUP(Table7[[#This Row],[Date]],Database!$A:$C,MATCH($B$1,Database!$A$1:$C$1,),))</f>
        <v/>
      </c>
      <c r="C8116">
        <f>IF(VLOOKUP(Table7[[#This Row],[Date]],Database!$A:$C,MATCH($C$1,Database!$A$1:$C$1,),)=0,#N/A,VLOOKUP(Table7[[#This Row],[Date]],Database!$A:$C,MATCH($C$1,Database!$A$1:$C$1,),))</f>
        <v/>
      </c>
      <c r="D8116">
        <f>IFERROR(Table7[[#This Row],[United States 10y]]-Table7[[#This Row],[United States 3y]],#N/A)</f>
        <v/>
      </c>
    </row>
    <row r="8117">
      <c r="A8117" s="6">
        <f>Database!$A10202</f>
        <v/>
      </c>
      <c r="B8117">
        <f>IF(VLOOKUP(Table7[[#This Row],[Date]],Database!$A:$C,MATCH($B$1,Database!$A$1:$C$1,),)=0,#N/A,VLOOKUP(Table7[[#This Row],[Date]],Database!$A:$C,MATCH($B$1,Database!$A$1:$C$1,),))</f>
        <v/>
      </c>
      <c r="C8117">
        <f>IF(VLOOKUP(Table7[[#This Row],[Date]],Database!$A:$C,MATCH($C$1,Database!$A$1:$C$1,),)=0,#N/A,VLOOKUP(Table7[[#This Row],[Date]],Database!$A:$C,MATCH($C$1,Database!$A$1:$C$1,),))</f>
        <v/>
      </c>
      <c r="D8117">
        <f>IFERROR(Table7[[#This Row],[United States 10y]]-Table7[[#This Row],[United States 3y]],#N/A)</f>
        <v/>
      </c>
    </row>
    <row r="8118">
      <c r="A8118" s="6">
        <f>Database!$A10203</f>
        <v/>
      </c>
      <c r="B8118">
        <f>IF(VLOOKUP(Table7[[#This Row],[Date]],Database!$A:$C,MATCH($B$1,Database!$A$1:$C$1,),)=0,#N/A,VLOOKUP(Table7[[#This Row],[Date]],Database!$A:$C,MATCH($B$1,Database!$A$1:$C$1,),))</f>
        <v/>
      </c>
      <c r="C8118">
        <f>IF(VLOOKUP(Table7[[#This Row],[Date]],Database!$A:$C,MATCH($C$1,Database!$A$1:$C$1,),)=0,#N/A,VLOOKUP(Table7[[#This Row],[Date]],Database!$A:$C,MATCH($C$1,Database!$A$1:$C$1,),))</f>
        <v/>
      </c>
      <c r="D8118">
        <f>IFERROR(Table7[[#This Row],[United States 10y]]-Table7[[#This Row],[United States 3y]],#N/A)</f>
        <v/>
      </c>
    </row>
    <row r="8119">
      <c r="A8119" s="6">
        <f>Database!$A10204</f>
        <v/>
      </c>
      <c r="B8119">
        <f>IF(VLOOKUP(Table7[[#This Row],[Date]],Database!$A:$C,MATCH($B$1,Database!$A$1:$C$1,),)=0,#N/A,VLOOKUP(Table7[[#This Row],[Date]],Database!$A:$C,MATCH($B$1,Database!$A$1:$C$1,),))</f>
        <v/>
      </c>
      <c r="C8119">
        <f>IF(VLOOKUP(Table7[[#This Row],[Date]],Database!$A:$C,MATCH($C$1,Database!$A$1:$C$1,),)=0,#N/A,VLOOKUP(Table7[[#This Row],[Date]],Database!$A:$C,MATCH($C$1,Database!$A$1:$C$1,),))</f>
        <v/>
      </c>
      <c r="D8119">
        <f>IFERROR(Table7[[#This Row],[United States 10y]]-Table7[[#This Row],[United States 3y]],#N/A)</f>
        <v/>
      </c>
    </row>
    <row r="8120">
      <c r="A8120" s="6">
        <f>Database!$A10205</f>
        <v/>
      </c>
      <c r="B8120">
        <f>IF(VLOOKUP(Table7[[#This Row],[Date]],Database!$A:$C,MATCH($B$1,Database!$A$1:$C$1,),)=0,#N/A,VLOOKUP(Table7[[#This Row],[Date]],Database!$A:$C,MATCH($B$1,Database!$A$1:$C$1,),))</f>
        <v/>
      </c>
      <c r="C8120">
        <f>IF(VLOOKUP(Table7[[#This Row],[Date]],Database!$A:$C,MATCH($C$1,Database!$A$1:$C$1,),)=0,#N/A,VLOOKUP(Table7[[#This Row],[Date]],Database!$A:$C,MATCH($C$1,Database!$A$1:$C$1,),))</f>
        <v/>
      </c>
      <c r="D8120">
        <f>IFERROR(Table7[[#This Row],[United States 10y]]-Table7[[#This Row],[United States 3y]],#N/A)</f>
        <v/>
      </c>
    </row>
    <row r="8121">
      <c r="A8121" s="6">
        <f>Database!$A10206</f>
        <v/>
      </c>
      <c r="B8121">
        <f>IF(VLOOKUP(Table7[[#This Row],[Date]],Database!$A:$C,MATCH($B$1,Database!$A$1:$C$1,),)=0,#N/A,VLOOKUP(Table7[[#This Row],[Date]],Database!$A:$C,MATCH($B$1,Database!$A$1:$C$1,),))</f>
        <v/>
      </c>
      <c r="C8121">
        <f>IF(VLOOKUP(Table7[[#This Row],[Date]],Database!$A:$C,MATCH($C$1,Database!$A$1:$C$1,),)=0,#N/A,VLOOKUP(Table7[[#This Row],[Date]],Database!$A:$C,MATCH($C$1,Database!$A$1:$C$1,),))</f>
        <v/>
      </c>
      <c r="D8121">
        <f>IFERROR(Table7[[#This Row],[United States 10y]]-Table7[[#This Row],[United States 3y]],#N/A)</f>
        <v/>
      </c>
    </row>
    <row r="8122">
      <c r="A8122" s="6">
        <f>Database!$A10207</f>
        <v/>
      </c>
      <c r="B8122">
        <f>IF(VLOOKUP(Table7[[#This Row],[Date]],Database!$A:$C,MATCH($B$1,Database!$A$1:$C$1,),)=0,#N/A,VLOOKUP(Table7[[#This Row],[Date]],Database!$A:$C,MATCH($B$1,Database!$A$1:$C$1,),))</f>
        <v/>
      </c>
      <c r="C8122">
        <f>IF(VLOOKUP(Table7[[#This Row],[Date]],Database!$A:$C,MATCH($C$1,Database!$A$1:$C$1,),)=0,#N/A,VLOOKUP(Table7[[#This Row],[Date]],Database!$A:$C,MATCH($C$1,Database!$A$1:$C$1,),))</f>
        <v/>
      </c>
      <c r="D8122">
        <f>IFERROR(Table7[[#This Row],[United States 10y]]-Table7[[#This Row],[United States 3y]],#N/A)</f>
        <v/>
      </c>
    </row>
    <row r="8123">
      <c r="A8123" s="6">
        <f>Database!$A10208</f>
        <v/>
      </c>
      <c r="B8123">
        <f>IF(VLOOKUP(Table7[[#This Row],[Date]],Database!$A:$C,MATCH($B$1,Database!$A$1:$C$1,),)=0,#N/A,VLOOKUP(Table7[[#This Row],[Date]],Database!$A:$C,MATCH($B$1,Database!$A$1:$C$1,),))</f>
        <v/>
      </c>
      <c r="C8123">
        <f>IF(VLOOKUP(Table7[[#This Row],[Date]],Database!$A:$C,MATCH($C$1,Database!$A$1:$C$1,),)=0,#N/A,VLOOKUP(Table7[[#This Row],[Date]],Database!$A:$C,MATCH($C$1,Database!$A$1:$C$1,),))</f>
        <v/>
      </c>
      <c r="D8123">
        <f>IFERROR(Table7[[#This Row],[United States 10y]]-Table7[[#This Row],[United States 3y]],#N/A)</f>
        <v/>
      </c>
    </row>
    <row r="8124">
      <c r="A8124" s="6">
        <f>Database!$A10209</f>
        <v/>
      </c>
      <c r="B8124">
        <f>IF(VLOOKUP(Table7[[#This Row],[Date]],Database!$A:$C,MATCH($B$1,Database!$A$1:$C$1,),)=0,#N/A,VLOOKUP(Table7[[#This Row],[Date]],Database!$A:$C,MATCH($B$1,Database!$A$1:$C$1,),))</f>
        <v/>
      </c>
      <c r="C8124">
        <f>IF(VLOOKUP(Table7[[#This Row],[Date]],Database!$A:$C,MATCH($C$1,Database!$A$1:$C$1,),)=0,#N/A,VLOOKUP(Table7[[#This Row],[Date]],Database!$A:$C,MATCH($C$1,Database!$A$1:$C$1,),))</f>
        <v/>
      </c>
      <c r="D8124">
        <f>IFERROR(Table7[[#This Row],[United States 10y]]-Table7[[#This Row],[United States 3y]],#N/A)</f>
        <v/>
      </c>
    </row>
    <row r="8125">
      <c r="A8125" s="6">
        <f>Database!$A10210</f>
        <v/>
      </c>
      <c r="B8125">
        <f>IF(VLOOKUP(Table7[[#This Row],[Date]],Database!$A:$C,MATCH($B$1,Database!$A$1:$C$1,),)=0,#N/A,VLOOKUP(Table7[[#This Row],[Date]],Database!$A:$C,MATCH($B$1,Database!$A$1:$C$1,),))</f>
        <v/>
      </c>
      <c r="C8125">
        <f>IF(VLOOKUP(Table7[[#This Row],[Date]],Database!$A:$C,MATCH($C$1,Database!$A$1:$C$1,),)=0,#N/A,VLOOKUP(Table7[[#This Row],[Date]],Database!$A:$C,MATCH($C$1,Database!$A$1:$C$1,),))</f>
        <v/>
      </c>
      <c r="D8125">
        <f>IFERROR(Table7[[#This Row],[United States 10y]]-Table7[[#This Row],[United States 3y]],#N/A)</f>
        <v/>
      </c>
    </row>
    <row r="8126">
      <c r="A8126" s="6">
        <f>Database!$A10211</f>
        <v/>
      </c>
      <c r="B8126">
        <f>IF(VLOOKUP(Table7[[#This Row],[Date]],Database!$A:$C,MATCH($B$1,Database!$A$1:$C$1,),)=0,#N/A,VLOOKUP(Table7[[#This Row],[Date]],Database!$A:$C,MATCH($B$1,Database!$A$1:$C$1,),))</f>
        <v/>
      </c>
      <c r="C8126">
        <f>IF(VLOOKUP(Table7[[#This Row],[Date]],Database!$A:$C,MATCH($C$1,Database!$A$1:$C$1,),)=0,#N/A,VLOOKUP(Table7[[#This Row],[Date]],Database!$A:$C,MATCH($C$1,Database!$A$1:$C$1,),))</f>
        <v/>
      </c>
      <c r="D8126">
        <f>IFERROR(Table7[[#This Row],[United States 10y]]-Table7[[#This Row],[United States 3y]],#N/A)</f>
        <v/>
      </c>
    </row>
    <row r="8127">
      <c r="A8127" s="6">
        <f>Database!$A10212</f>
        <v/>
      </c>
      <c r="B8127">
        <f>IF(VLOOKUP(Table7[[#This Row],[Date]],Database!$A:$C,MATCH($B$1,Database!$A$1:$C$1,),)=0,#N/A,VLOOKUP(Table7[[#This Row],[Date]],Database!$A:$C,MATCH($B$1,Database!$A$1:$C$1,),))</f>
        <v/>
      </c>
      <c r="C8127">
        <f>IF(VLOOKUP(Table7[[#This Row],[Date]],Database!$A:$C,MATCH($C$1,Database!$A$1:$C$1,),)=0,#N/A,VLOOKUP(Table7[[#This Row],[Date]],Database!$A:$C,MATCH($C$1,Database!$A$1:$C$1,),))</f>
        <v/>
      </c>
      <c r="D8127">
        <f>IFERROR(Table7[[#This Row],[United States 10y]]-Table7[[#This Row],[United States 3y]],#N/A)</f>
        <v/>
      </c>
    </row>
    <row r="8128">
      <c r="A8128" s="6">
        <f>Database!$A10213</f>
        <v/>
      </c>
      <c r="B8128">
        <f>IF(VLOOKUP(Table7[[#This Row],[Date]],Database!$A:$C,MATCH($B$1,Database!$A$1:$C$1,),)=0,#N/A,VLOOKUP(Table7[[#This Row],[Date]],Database!$A:$C,MATCH($B$1,Database!$A$1:$C$1,),))</f>
        <v/>
      </c>
      <c r="C8128">
        <f>IF(VLOOKUP(Table7[[#This Row],[Date]],Database!$A:$C,MATCH($C$1,Database!$A$1:$C$1,),)=0,#N/A,VLOOKUP(Table7[[#This Row],[Date]],Database!$A:$C,MATCH($C$1,Database!$A$1:$C$1,),))</f>
        <v/>
      </c>
      <c r="D8128">
        <f>IFERROR(Table7[[#This Row],[United States 10y]]-Table7[[#This Row],[United States 3y]],#N/A)</f>
        <v/>
      </c>
    </row>
    <row r="8129">
      <c r="A8129" s="6">
        <f>Database!$A10214</f>
        <v/>
      </c>
      <c r="B8129">
        <f>IF(VLOOKUP(Table7[[#This Row],[Date]],Database!$A:$C,MATCH($B$1,Database!$A$1:$C$1,),)=0,#N/A,VLOOKUP(Table7[[#This Row],[Date]],Database!$A:$C,MATCH($B$1,Database!$A$1:$C$1,),))</f>
        <v/>
      </c>
      <c r="C8129">
        <f>IF(VLOOKUP(Table7[[#This Row],[Date]],Database!$A:$C,MATCH($C$1,Database!$A$1:$C$1,),)=0,#N/A,VLOOKUP(Table7[[#This Row],[Date]],Database!$A:$C,MATCH($C$1,Database!$A$1:$C$1,),))</f>
        <v/>
      </c>
      <c r="D8129">
        <f>IFERROR(Table7[[#This Row],[United States 10y]]-Table7[[#This Row],[United States 3y]],#N/A)</f>
        <v/>
      </c>
    </row>
    <row r="8130">
      <c r="A8130" s="6">
        <f>Database!$A10215</f>
        <v/>
      </c>
      <c r="B8130">
        <f>IF(VLOOKUP(Table7[[#This Row],[Date]],Database!$A:$C,MATCH($B$1,Database!$A$1:$C$1,),)=0,#N/A,VLOOKUP(Table7[[#This Row],[Date]],Database!$A:$C,MATCH($B$1,Database!$A$1:$C$1,),))</f>
        <v/>
      </c>
      <c r="C8130">
        <f>IF(VLOOKUP(Table7[[#This Row],[Date]],Database!$A:$C,MATCH($C$1,Database!$A$1:$C$1,),)=0,#N/A,VLOOKUP(Table7[[#This Row],[Date]],Database!$A:$C,MATCH($C$1,Database!$A$1:$C$1,),))</f>
        <v/>
      </c>
      <c r="D8130">
        <f>IFERROR(Table7[[#This Row],[United States 10y]]-Table7[[#This Row],[United States 3y]],#N/A)</f>
        <v/>
      </c>
    </row>
    <row r="8131">
      <c r="A8131" s="6">
        <f>Database!$A10216</f>
        <v/>
      </c>
      <c r="B8131">
        <f>IF(VLOOKUP(Table7[[#This Row],[Date]],Database!$A:$C,MATCH($B$1,Database!$A$1:$C$1,),)=0,#N/A,VLOOKUP(Table7[[#This Row],[Date]],Database!$A:$C,MATCH($B$1,Database!$A$1:$C$1,),))</f>
        <v/>
      </c>
      <c r="C8131">
        <f>IF(VLOOKUP(Table7[[#This Row],[Date]],Database!$A:$C,MATCH($C$1,Database!$A$1:$C$1,),)=0,#N/A,VLOOKUP(Table7[[#This Row],[Date]],Database!$A:$C,MATCH($C$1,Database!$A$1:$C$1,),))</f>
        <v/>
      </c>
      <c r="D8131">
        <f>IFERROR(Table7[[#This Row],[United States 10y]]-Table7[[#This Row],[United States 3y]],#N/A)</f>
        <v/>
      </c>
    </row>
    <row r="8132">
      <c r="A8132" s="6">
        <f>Database!$A10217</f>
        <v/>
      </c>
      <c r="B8132">
        <f>IF(VLOOKUP(Table7[[#This Row],[Date]],Database!$A:$C,MATCH($B$1,Database!$A$1:$C$1,),)=0,#N/A,VLOOKUP(Table7[[#This Row],[Date]],Database!$A:$C,MATCH($B$1,Database!$A$1:$C$1,),))</f>
        <v/>
      </c>
      <c r="C8132">
        <f>IF(VLOOKUP(Table7[[#This Row],[Date]],Database!$A:$C,MATCH($C$1,Database!$A$1:$C$1,),)=0,#N/A,VLOOKUP(Table7[[#This Row],[Date]],Database!$A:$C,MATCH($C$1,Database!$A$1:$C$1,),))</f>
        <v/>
      </c>
      <c r="D8132">
        <f>IFERROR(Table7[[#This Row],[United States 10y]]-Table7[[#This Row],[United States 3y]],#N/A)</f>
        <v/>
      </c>
    </row>
    <row r="8133">
      <c r="A8133" s="6">
        <f>Database!$A10218</f>
        <v/>
      </c>
      <c r="B8133">
        <f>IF(VLOOKUP(Table7[[#This Row],[Date]],Database!$A:$C,MATCH($B$1,Database!$A$1:$C$1,),)=0,#N/A,VLOOKUP(Table7[[#This Row],[Date]],Database!$A:$C,MATCH($B$1,Database!$A$1:$C$1,),))</f>
        <v/>
      </c>
      <c r="C8133">
        <f>IF(VLOOKUP(Table7[[#This Row],[Date]],Database!$A:$C,MATCH($C$1,Database!$A$1:$C$1,),)=0,#N/A,VLOOKUP(Table7[[#This Row],[Date]],Database!$A:$C,MATCH($C$1,Database!$A$1:$C$1,),))</f>
        <v/>
      </c>
      <c r="D8133">
        <f>IFERROR(Table7[[#This Row],[United States 10y]]-Table7[[#This Row],[United States 3y]],#N/A)</f>
        <v/>
      </c>
    </row>
    <row r="8134">
      <c r="A8134" s="6">
        <f>Database!$A10219</f>
        <v/>
      </c>
      <c r="B8134">
        <f>IF(VLOOKUP(Table7[[#This Row],[Date]],Database!$A:$C,MATCH($B$1,Database!$A$1:$C$1,),)=0,#N/A,VLOOKUP(Table7[[#This Row],[Date]],Database!$A:$C,MATCH($B$1,Database!$A$1:$C$1,),))</f>
        <v/>
      </c>
      <c r="C8134">
        <f>IF(VLOOKUP(Table7[[#This Row],[Date]],Database!$A:$C,MATCH($C$1,Database!$A$1:$C$1,),)=0,#N/A,VLOOKUP(Table7[[#This Row],[Date]],Database!$A:$C,MATCH($C$1,Database!$A$1:$C$1,),))</f>
        <v/>
      </c>
      <c r="D8134">
        <f>IFERROR(Table7[[#This Row],[United States 10y]]-Table7[[#This Row],[United States 3y]],#N/A)</f>
        <v/>
      </c>
    </row>
    <row r="8135">
      <c r="A8135" s="6">
        <f>Database!$A10220</f>
        <v/>
      </c>
      <c r="B8135">
        <f>IF(VLOOKUP(Table7[[#This Row],[Date]],Database!$A:$C,MATCH($B$1,Database!$A$1:$C$1,),)=0,#N/A,VLOOKUP(Table7[[#This Row],[Date]],Database!$A:$C,MATCH($B$1,Database!$A$1:$C$1,),))</f>
        <v/>
      </c>
      <c r="C8135">
        <f>IF(VLOOKUP(Table7[[#This Row],[Date]],Database!$A:$C,MATCH($C$1,Database!$A$1:$C$1,),)=0,#N/A,VLOOKUP(Table7[[#This Row],[Date]],Database!$A:$C,MATCH($C$1,Database!$A$1:$C$1,),))</f>
        <v/>
      </c>
      <c r="D8135">
        <f>IFERROR(Table7[[#This Row],[United States 10y]]-Table7[[#This Row],[United States 3y]],#N/A)</f>
        <v/>
      </c>
    </row>
    <row r="8136">
      <c r="A8136" s="6">
        <f>Database!$A10221</f>
        <v/>
      </c>
      <c r="B8136">
        <f>IF(VLOOKUP(Table7[[#This Row],[Date]],Database!$A:$C,MATCH($B$1,Database!$A$1:$C$1,),)=0,#N/A,VLOOKUP(Table7[[#This Row],[Date]],Database!$A:$C,MATCH($B$1,Database!$A$1:$C$1,),))</f>
        <v/>
      </c>
      <c r="C8136">
        <f>IF(VLOOKUP(Table7[[#This Row],[Date]],Database!$A:$C,MATCH($C$1,Database!$A$1:$C$1,),)=0,#N/A,VLOOKUP(Table7[[#This Row],[Date]],Database!$A:$C,MATCH($C$1,Database!$A$1:$C$1,),))</f>
        <v/>
      </c>
      <c r="D8136">
        <f>IFERROR(Table7[[#This Row],[United States 10y]]-Table7[[#This Row],[United States 3y]],#N/A)</f>
        <v/>
      </c>
    </row>
    <row r="8137">
      <c r="A8137" s="6">
        <f>Database!$A10222</f>
        <v/>
      </c>
      <c r="B8137">
        <f>IF(VLOOKUP(Table7[[#This Row],[Date]],Database!$A:$C,MATCH($B$1,Database!$A$1:$C$1,),)=0,#N/A,VLOOKUP(Table7[[#This Row],[Date]],Database!$A:$C,MATCH($B$1,Database!$A$1:$C$1,),))</f>
        <v/>
      </c>
      <c r="C8137">
        <f>IF(VLOOKUP(Table7[[#This Row],[Date]],Database!$A:$C,MATCH($C$1,Database!$A$1:$C$1,),)=0,#N/A,VLOOKUP(Table7[[#This Row],[Date]],Database!$A:$C,MATCH($C$1,Database!$A$1:$C$1,),))</f>
        <v/>
      </c>
      <c r="D8137">
        <f>IFERROR(Table7[[#This Row],[United States 10y]]-Table7[[#This Row],[United States 3y]],#N/A)</f>
        <v/>
      </c>
    </row>
    <row r="8138">
      <c r="A8138" s="6">
        <f>Database!$A10223</f>
        <v/>
      </c>
      <c r="B8138">
        <f>IF(VLOOKUP(Table7[[#This Row],[Date]],Database!$A:$C,MATCH($B$1,Database!$A$1:$C$1,),)=0,#N/A,VLOOKUP(Table7[[#This Row],[Date]],Database!$A:$C,MATCH($B$1,Database!$A$1:$C$1,),))</f>
        <v/>
      </c>
      <c r="C8138">
        <f>IF(VLOOKUP(Table7[[#This Row],[Date]],Database!$A:$C,MATCH($C$1,Database!$A$1:$C$1,),)=0,#N/A,VLOOKUP(Table7[[#This Row],[Date]],Database!$A:$C,MATCH($C$1,Database!$A$1:$C$1,),))</f>
        <v/>
      </c>
      <c r="D8138">
        <f>IFERROR(Table7[[#This Row],[United States 10y]]-Table7[[#This Row],[United States 3y]],#N/A)</f>
        <v/>
      </c>
    </row>
    <row r="8139">
      <c r="A8139" s="6">
        <f>Database!$A10224</f>
        <v/>
      </c>
      <c r="B8139">
        <f>IF(VLOOKUP(Table7[[#This Row],[Date]],Database!$A:$C,MATCH($B$1,Database!$A$1:$C$1,),)=0,#N/A,VLOOKUP(Table7[[#This Row],[Date]],Database!$A:$C,MATCH($B$1,Database!$A$1:$C$1,),))</f>
        <v/>
      </c>
      <c r="C8139">
        <f>IF(VLOOKUP(Table7[[#This Row],[Date]],Database!$A:$C,MATCH($C$1,Database!$A$1:$C$1,),)=0,#N/A,VLOOKUP(Table7[[#This Row],[Date]],Database!$A:$C,MATCH($C$1,Database!$A$1:$C$1,),))</f>
        <v/>
      </c>
      <c r="D8139">
        <f>IFERROR(Table7[[#This Row],[United States 10y]]-Table7[[#This Row],[United States 3y]],#N/A)</f>
        <v/>
      </c>
    </row>
    <row r="8140">
      <c r="A8140" s="6">
        <f>Database!$A10225</f>
        <v/>
      </c>
      <c r="B8140">
        <f>IF(VLOOKUP(Table7[[#This Row],[Date]],Database!$A:$C,MATCH($B$1,Database!$A$1:$C$1,),)=0,#N/A,VLOOKUP(Table7[[#This Row],[Date]],Database!$A:$C,MATCH($B$1,Database!$A$1:$C$1,),))</f>
        <v/>
      </c>
      <c r="C8140">
        <f>IF(VLOOKUP(Table7[[#This Row],[Date]],Database!$A:$C,MATCH($C$1,Database!$A$1:$C$1,),)=0,#N/A,VLOOKUP(Table7[[#This Row],[Date]],Database!$A:$C,MATCH($C$1,Database!$A$1:$C$1,),))</f>
        <v/>
      </c>
      <c r="D8140">
        <f>IFERROR(Table7[[#This Row],[United States 10y]]-Table7[[#This Row],[United States 3y]],#N/A)</f>
        <v/>
      </c>
    </row>
    <row r="8141">
      <c r="A8141" s="6">
        <f>Database!$A10226</f>
        <v/>
      </c>
      <c r="B8141">
        <f>IF(VLOOKUP(Table7[[#This Row],[Date]],Database!$A:$C,MATCH($B$1,Database!$A$1:$C$1,),)=0,#N/A,VLOOKUP(Table7[[#This Row],[Date]],Database!$A:$C,MATCH($B$1,Database!$A$1:$C$1,),))</f>
        <v/>
      </c>
      <c r="C8141">
        <f>IF(VLOOKUP(Table7[[#This Row],[Date]],Database!$A:$C,MATCH($C$1,Database!$A$1:$C$1,),)=0,#N/A,VLOOKUP(Table7[[#This Row],[Date]],Database!$A:$C,MATCH($C$1,Database!$A$1:$C$1,),))</f>
        <v/>
      </c>
      <c r="D8141">
        <f>IFERROR(Table7[[#This Row],[United States 10y]]-Table7[[#This Row],[United States 3y]],#N/A)</f>
        <v/>
      </c>
    </row>
    <row r="8142">
      <c r="A8142" s="6">
        <f>Database!$A10227</f>
        <v/>
      </c>
      <c r="B8142">
        <f>IF(VLOOKUP(Table7[[#This Row],[Date]],Database!$A:$C,MATCH($B$1,Database!$A$1:$C$1,),)=0,#N/A,VLOOKUP(Table7[[#This Row],[Date]],Database!$A:$C,MATCH($B$1,Database!$A$1:$C$1,),))</f>
        <v/>
      </c>
      <c r="C8142">
        <f>IF(VLOOKUP(Table7[[#This Row],[Date]],Database!$A:$C,MATCH($C$1,Database!$A$1:$C$1,),)=0,#N/A,VLOOKUP(Table7[[#This Row],[Date]],Database!$A:$C,MATCH($C$1,Database!$A$1:$C$1,),))</f>
        <v/>
      </c>
      <c r="D8142">
        <f>IFERROR(Table7[[#This Row],[United States 10y]]-Table7[[#This Row],[United States 3y]],#N/A)</f>
        <v/>
      </c>
    </row>
    <row r="8143">
      <c r="A8143" s="6">
        <f>Database!$A10228</f>
        <v/>
      </c>
      <c r="B8143">
        <f>IF(VLOOKUP(Table7[[#This Row],[Date]],Database!$A:$C,MATCH($B$1,Database!$A$1:$C$1,),)=0,#N/A,VLOOKUP(Table7[[#This Row],[Date]],Database!$A:$C,MATCH($B$1,Database!$A$1:$C$1,),))</f>
        <v/>
      </c>
      <c r="C8143">
        <f>IF(VLOOKUP(Table7[[#This Row],[Date]],Database!$A:$C,MATCH($C$1,Database!$A$1:$C$1,),)=0,#N/A,VLOOKUP(Table7[[#This Row],[Date]],Database!$A:$C,MATCH($C$1,Database!$A$1:$C$1,),))</f>
        <v/>
      </c>
      <c r="D8143">
        <f>IFERROR(Table7[[#This Row],[United States 10y]]-Table7[[#This Row],[United States 3y]],#N/A)</f>
        <v/>
      </c>
    </row>
    <row r="8144">
      <c r="A8144" s="6">
        <f>Database!$A10229</f>
        <v/>
      </c>
      <c r="B8144">
        <f>IF(VLOOKUP(Table7[[#This Row],[Date]],Database!$A:$C,MATCH($B$1,Database!$A$1:$C$1,),)=0,#N/A,VLOOKUP(Table7[[#This Row],[Date]],Database!$A:$C,MATCH($B$1,Database!$A$1:$C$1,),))</f>
        <v/>
      </c>
      <c r="C8144">
        <f>IF(VLOOKUP(Table7[[#This Row],[Date]],Database!$A:$C,MATCH($C$1,Database!$A$1:$C$1,),)=0,#N/A,VLOOKUP(Table7[[#This Row],[Date]],Database!$A:$C,MATCH($C$1,Database!$A$1:$C$1,),))</f>
        <v/>
      </c>
      <c r="D8144">
        <f>IFERROR(Table7[[#This Row],[United States 10y]]-Table7[[#This Row],[United States 3y]],#N/A)</f>
        <v/>
      </c>
    </row>
    <row r="8145">
      <c r="A8145" s="6">
        <f>Database!$A10230</f>
        <v/>
      </c>
      <c r="B8145">
        <f>IF(VLOOKUP(Table7[[#This Row],[Date]],Database!$A:$C,MATCH($B$1,Database!$A$1:$C$1,),)=0,#N/A,VLOOKUP(Table7[[#This Row],[Date]],Database!$A:$C,MATCH($B$1,Database!$A$1:$C$1,),))</f>
        <v/>
      </c>
      <c r="C8145">
        <f>IF(VLOOKUP(Table7[[#This Row],[Date]],Database!$A:$C,MATCH($C$1,Database!$A$1:$C$1,),)=0,#N/A,VLOOKUP(Table7[[#This Row],[Date]],Database!$A:$C,MATCH($C$1,Database!$A$1:$C$1,),))</f>
        <v/>
      </c>
      <c r="D8145">
        <f>IFERROR(Table7[[#This Row],[United States 10y]]-Table7[[#This Row],[United States 3y]],#N/A)</f>
        <v/>
      </c>
    </row>
    <row r="8146">
      <c r="A8146" s="6">
        <f>Database!$A10231</f>
        <v/>
      </c>
      <c r="B8146">
        <f>IF(VLOOKUP(Table7[[#This Row],[Date]],Database!$A:$C,MATCH($B$1,Database!$A$1:$C$1,),)=0,#N/A,VLOOKUP(Table7[[#This Row],[Date]],Database!$A:$C,MATCH($B$1,Database!$A$1:$C$1,),))</f>
        <v/>
      </c>
      <c r="C8146">
        <f>IF(VLOOKUP(Table7[[#This Row],[Date]],Database!$A:$C,MATCH($C$1,Database!$A$1:$C$1,),)=0,#N/A,VLOOKUP(Table7[[#This Row],[Date]],Database!$A:$C,MATCH($C$1,Database!$A$1:$C$1,),))</f>
        <v/>
      </c>
      <c r="D8146">
        <f>IFERROR(Table7[[#This Row],[United States 10y]]-Table7[[#This Row],[United States 3y]],#N/A)</f>
        <v/>
      </c>
    </row>
    <row r="8147">
      <c r="A8147" s="6">
        <f>Database!$A10232</f>
        <v/>
      </c>
      <c r="B8147">
        <f>IF(VLOOKUP(Table7[[#This Row],[Date]],Database!$A:$C,MATCH($B$1,Database!$A$1:$C$1,),)=0,#N/A,VLOOKUP(Table7[[#This Row],[Date]],Database!$A:$C,MATCH($B$1,Database!$A$1:$C$1,),))</f>
        <v/>
      </c>
      <c r="C8147">
        <f>IF(VLOOKUP(Table7[[#This Row],[Date]],Database!$A:$C,MATCH($C$1,Database!$A$1:$C$1,),)=0,#N/A,VLOOKUP(Table7[[#This Row],[Date]],Database!$A:$C,MATCH($C$1,Database!$A$1:$C$1,),))</f>
        <v/>
      </c>
      <c r="D8147">
        <f>IFERROR(Table7[[#This Row],[United States 10y]]-Table7[[#This Row],[United States 3y]],#N/A)</f>
        <v/>
      </c>
    </row>
    <row r="8148">
      <c r="A8148" s="6">
        <f>Database!$A10233</f>
        <v/>
      </c>
      <c r="B8148">
        <f>IF(VLOOKUP(Table7[[#This Row],[Date]],Database!$A:$C,MATCH($B$1,Database!$A$1:$C$1,),)=0,#N/A,VLOOKUP(Table7[[#This Row],[Date]],Database!$A:$C,MATCH($B$1,Database!$A$1:$C$1,),))</f>
        <v/>
      </c>
      <c r="C8148">
        <f>IF(VLOOKUP(Table7[[#This Row],[Date]],Database!$A:$C,MATCH($C$1,Database!$A$1:$C$1,),)=0,#N/A,VLOOKUP(Table7[[#This Row],[Date]],Database!$A:$C,MATCH($C$1,Database!$A$1:$C$1,),))</f>
        <v/>
      </c>
      <c r="D8148">
        <f>IFERROR(Table7[[#This Row],[United States 10y]]-Table7[[#This Row],[United States 3y]],#N/A)</f>
        <v/>
      </c>
    </row>
    <row r="8149">
      <c r="A8149" s="6">
        <f>Database!$A10234</f>
        <v/>
      </c>
      <c r="B8149">
        <f>IF(VLOOKUP(Table7[[#This Row],[Date]],Database!$A:$C,MATCH($B$1,Database!$A$1:$C$1,),)=0,#N/A,VLOOKUP(Table7[[#This Row],[Date]],Database!$A:$C,MATCH($B$1,Database!$A$1:$C$1,),))</f>
        <v/>
      </c>
      <c r="C8149">
        <f>IF(VLOOKUP(Table7[[#This Row],[Date]],Database!$A:$C,MATCH($C$1,Database!$A$1:$C$1,),)=0,#N/A,VLOOKUP(Table7[[#This Row],[Date]],Database!$A:$C,MATCH($C$1,Database!$A$1:$C$1,),))</f>
        <v/>
      </c>
      <c r="D8149">
        <f>IFERROR(Table7[[#This Row],[United States 10y]]-Table7[[#This Row],[United States 3y]],#N/A)</f>
        <v/>
      </c>
    </row>
    <row r="8150">
      <c r="A8150" s="6">
        <f>Database!$A10235</f>
        <v/>
      </c>
      <c r="B8150">
        <f>IF(VLOOKUP(Table7[[#This Row],[Date]],Database!$A:$C,MATCH($B$1,Database!$A$1:$C$1,),)=0,#N/A,VLOOKUP(Table7[[#This Row],[Date]],Database!$A:$C,MATCH($B$1,Database!$A$1:$C$1,),))</f>
        <v/>
      </c>
      <c r="C8150">
        <f>IF(VLOOKUP(Table7[[#This Row],[Date]],Database!$A:$C,MATCH($C$1,Database!$A$1:$C$1,),)=0,#N/A,VLOOKUP(Table7[[#This Row],[Date]],Database!$A:$C,MATCH($C$1,Database!$A$1:$C$1,),))</f>
        <v/>
      </c>
      <c r="D8150">
        <f>IFERROR(Table7[[#This Row],[United States 10y]]-Table7[[#This Row],[United States 3y]],#N/A)</f>
        <v/>
      </c>
    </row>
    <row r="8151">
      <c r="A8151" s="6">
        <f>Database!$A10236</f>
        <v/>
      </c>
      <c r="B8151">
        <f>IF(VLOOKUP(Table7[[#This Row],[Date]],Database!$A:$C,MATCH($B$1,Database!$A$1:$C$1,),)=0,#N/A,VLOOKUP(Table7[[#This Row],[Date]],Database!$A:$C,MATCH($B$1,Database!$A$1:$C$1,),))</f>
        <v/>
      </c>
      <c r="C8151">
        <f>IF(VLOOKUP(Table7[[#This Row],[Date]],Database!$A:$C,MATCH($C$1,Database!$A$1:$C$1,),)=0,#N/A,VLOOKUP(Table7[[#This Row],[Date]],Database!$A:$C,MATCH($C$1,Database!$A$1:$C$1,),))</f>
        <v/>
      </c>
      <c r="D8151">
        <f>IFERROR(Table7[[#This Row],[United States 10y]]-Table7[[#This Row],[United States 3y]],#N/A)</f>
        <v/>
      </c>
    </row>
    <row r="8152">
      <c r="A8152" s="6">
        <f>Database!$A10237</f>
        <v/>
      </c>
      <c r="B8152">
        <f>IF(VLOOKUP(Table7[[#This Row],[Date]],Database!$A:$C,MATCH($B$1,Database!$A$1:$C$1,),)=0,#N/A,VLOOKUP(Table7[[#This Row],[Date]],Database!$A:$C,MATCH($B$1,Database!$A$1:$C$1,),))</f>
        <v/>
      </c>
      <c r="C8152">
        <f>IF(VLOOKUP(Table7[[#This Row],[Date]],Database!$A:$C,MATCH($C$1,Database!$A$1:$C$1,),)=0,#N/A,VLOOKUP(Table7[[#This Row],[Date]],Database!$A:$C,MATCH($C$1,Database!$A$1:$C$1,),))</f>
        <v/>
      </c>
      <c r="D8152">
        <f>IFERROR(Table7[[#This Row],[United States 10y]]-Table7[[#This Row],[United States 3y]],#N/A)</f>
        <v/>
      </c>
    </row>
    <row r="8153">
      <c r="A8153" s="6">
        <f>Database!$A10238</f>
        <v/>
      </c>
      <c r="B8153">
        <f>IF(VLOOKUP(Table7[[#This Row],[Date]],Database!$A:$C,MATCH($B$1,Database!$A$1:$C$1,),)=0,#N/A,VLOOKUP(Table7[[#This Row],[Date]],Database!$A:$C,MATCH($B$1,Database!$A$1:$C$1,),))</f>
        <v/>
      </c>
      <c r="C8153">
        <f>IF(VLOOKUP(Table7[[#This Row],[Date]],Database!$A:$C,MATCH($C$1,Database!$A$1:$C$1,),)=0,#N/A,VLOOKUP(Table7[[#This Row],[Date]],Database!$A:$C,MATCH($C$1,Database!$A$1:$C$1,),))</f>
        <v/>
      </c>
      <c r="D8153">
        <f>IFERROR(Table7[[#This Row],[United States 10y]]-Table7[[#This Row],[United States 3y]],#N/A)</f>
        <v/>
      </c>
    </row>
    <row r="8154">
      <c r="A8154" s="6">
        <f>Database!$A10239</f>
        <v/>
      </c>
      <c r="B8154">
        <f>IF(VLOOKUP(Table7[[#This Row],[Date]],Database!$A:$C,MATCH($B$1,Database!$A$1:$C$1,),)=0,#N/A,VLOOKUP(Table7[[#This Row],[Date]],Database!$A:$C,MATCH($B$1,Database!$A$1:$C$1,),))</f>
        <v/>
      </c>
      <c r="C8154">
        <f>IF(VLOOKUP(Table7[[#This Row],[Date]],Database!$A:$C,MATCH($C$1,Database!$A$1:$C$1,),)=0,#N/A,VLOOKUP(Table7[[#This Row],[Date]],Database!$A:$C,MATCH($C$1,Database!$A$1:$C$1,),))</f>
        <v/>
      </c>
      <c r="D8154">
        <f>IFERROR(Table7[[#This Row],[United States 10y]]-Table7[[#This Row],[United States 3y]],#N/A)</f>
        <v/>
      </c>
    </row>
    <row r="8155">
      <c r="A8155" s="6">
        <f>Database!$A10240</f>
        <v/>
      </c>
      <c r="B8155">
        <f>IF(VLOOKUP(Table7[[#This Row],[Date]],Database!$A:$C,MATCH($B$1,Database!$A$1:$C$1,),)=0,#N/A,VLOOKUP(Table7[[#This Row],[Date]],Database!$A:$C,MATCH($B$1,Database!$A$1:$C$1,),))</f>
        <v/>
      </c>
      <c r="C8155">
        <f>IF(VLOOKUP(Table7[[#This Row],[Date]],Database!$A:$C,MATCH($C$1,Database!$A$1:$C$1,),)=0,#N/A,VLOOKUP(Table7[[#This Row],[Date]],Database!$A:$C,MATCH($C$1,Database!$A$1:$C$1,),))</f>
        <v/>
      </c>
      <c r="D8155">
        <f>IFERROR(Table7[[#This Row],[United States 10y]]-Table7[[#This Row],[United States 3y]],#N/A)</f>
        <v/>
      </c>
    </row>
    <row r="8156">
      <c r="A8156" s="6">
        <f>Database!$A10241</f>
        <v/>
      </c>
      <c r="B8156">
        <f>IF(VLOOKUP(Table7[[#This Row],[Date]],Database!$A:$C,MATCH($B$1,Database!$A$1:$C$1,),)=0,#N/A,VLOOKUP(Table7[[#This Row],[Date]],Database!$A:$C,MATCH($B$1,Database!$A$1:$C$1,),))</f>
        <v/>
      </c>
      <c r="C8156">
        <f>IF(VLOOKUP(Table7[[#This Row],[Date]],Database!$A:$C,MATCH($C$1,Database!$A$1:$C$1,),)=0,#N/A,VLOOKUP(Table7[[#This Row],[Date]],Database!$A:$C,MATCH($C$1,Database!$A$1:$C$1,),))</f>
        <v/>
      </c>
      <c r="D8156">
        <f>IFERROR(Table7[[#This Row],[United States 10y]]-Table7[[#This Row],[United States 3y]],#N/A)</f>
        <v/>
      </c>
    </row>
    <row r="8157">
      <c r="A8157" s="6">
        <f>Database!$A10242</f>
        <v/>
      </c>
      <c r="B8157">
        <f>IF(VLOOKUP(Table7[[#This Row],[Date]],Database!$A:$C,MATCH($B$1,Database!$A$1:$C$1,),)=0,#N/A,VLOOKUP(Table7[[#This Row],[Date]],Database!$A:$C,MATCH($B$1,Database!$A$1:$C$1,),))</f>
        <v/>
      </c>
      <c r="C8157">
        <f>IF(VLOOKUP(Table7[[#This Row],[Date]],Database!$A:$C,MATCH($C$1,Database!$A$1:$C$1,),)=0,#N/A,VLOOKUP(Table7[[#This Row],[Date]],Database!$A:$C,MATCH($C$1,Database!$A$1:$C$1,),))</f>
        <v/>
      </c>
      <c r="D8157">
        <f>IFERROR(Table7[[#This Row],[United States 10y]]-Table7[[#This Row],[United States 3y]],#N/A)</f>
        <v/>
      </c>
    </row>
    <row r="8158">
      <c r="A8158" s="6">
        <f>Database!$A10243</f>
        <v/>
      </c>
      <c r="B8158">
        <f>IF(VLOOKUP(Table7[[#This Row],[Date]],Database!$A:$C,MATCH($B$1,Database!$A$1:$C$1,),)=0,#N/A,VLOOKUP(Table7[[#This Row],[Date]],Database!$A:$C,MATCH($B$1,Database!$A$1:$C$1,),))</f>
        <v/>
      </c>
      <c r="C8158">
        <f>IF(VLOOKUP(Table7[[#This Row],[Date]],Database!$A:$C,MATCH($C$1,Database!$A$1:$C$1,),)=0,#N/A,VLOOKUP(Table7[[#This Row],[Date]],Database!$A:$C,MATCH($C$1,Database!$A$1:$C$1,),))</f>
        <v/>
      </c>
      <c r="D8158">
        <f>IFERROR(Table7[[#This Row],[United States 10y]]-Table7[[#This Row],[United States 3y]],#N/A)</f>
        <v/>
      </c>
    </row>
    <row r="8159">
      <c r="A8159" s="6">
        <f>Database!$A10244</f>
        <v/>
      </c>
      <c r="B8159">
        <f>IF(VLOOKUP(Table7[[#This Row],[Date]],Database!$A:$C,MATCH($B$1,Database!$A$1:$C$1,),)=0,#N/A,VLOOKUP(Table7[[#This Row],[Date]],Database!$A:$C,MATCH($B$1,Database!$A$1:$C$1,),))</f>
        <v/>
      </c>
      <c r="C8159">
        <f>IF(VLOOKUP(Table7[[#This Row],[Date]],Database!$A:$C,MATCH($C$1,Database!$A$1:$C$1,),)=0,#N/A,VLOOKUP(Table7[[#This Row],[Date]],Database!$A:$C,MATCH($C$1,Database!$A$1:$C$1,),))</f>
        <v/>
      </c>
      <c r="D8159">
        <f>IFERROR(Table7[[#This Row],[United States 10y]]-Table7[[#This Row],[United States 3y]],#N/A)</f>
        <v/>
      </c>
    </row>
    <row r="8160">
      <c r="A8160" s="6">
        <f>Database!$A10245</f>
        <v/>
      </c>
      <c r="B8160">
        <f>IF(VLOOKUP(Table7[[#This Row],[Date]],Database!$A:$C,MATCH($B$1,Database!$A$1:$C$1,),)=0,#N/A,VLOOKUP(Table7[[#This Row],[Date]],Database!$A:$C,MATCH($B$1,Database!$A$1:$C$1,),))</f>
        <v/>
      </c>
      <c r="C8160">
        <f>IF(VLOOKUP(Table7[[#This Row],[Date]],Database!$A:$C,MATCH($C$1,Database!$A$1:$C$1,),)=0,#N/A,VLOOKUP(Table7[[#This Row],[Date]],Database!$A:$C,MATCH($C$1,Database!$A$1:$C$1,),))</f>
        <v/>
      </c>
      <c r="D8160">
        <f>IFERROR(Table7[[#This Row],[United States 10y]]-Table7[[#This Row],[United States 3y]],#N/A)</f>
        <v/>
      </c>
    </row>
    <row r="8161">
      <c r="A8161" s="6">
        <f>Database!$A10246</f>
        <v/>
      </c>
      <c r="B8161">
        <f>IF(VLOOKUP(Table7[[#This Row],[Date]],Database!$A:$C,MATCH($B$1,Database!$A$1:$C$1,),)=0,#N/A,VLOOKUP(Table7[[#This Row],[Date]],Database!$A:$C,MATCH($B$1,Database!$A$1:$C$1,),))</f>
        <v/>
      </c>
      <c r="C8161">
        <f>IF(VLOOKUP(Table7[[#This Row],[Date]],Database!$A:$C,MATCH($C$1,Database!$A$1:$C$1,),)=0,#N/A,VLOOKUP(Table7[[#This Row],[Date]],Database!$A:$C,MATCH($C$1,Database!$A$1:$C$1,),))</f>
        <v/>
      </c>
      <c r="D8161">
        <f>IFERROR(Table7[[#This Row],[United States 10y]]-Table7[[#This Row],[United States 3y]],#N/A)</f>
        <v/>
      </c>
    </row>
    <row r="8162">
      <c r="A8162" s="6">
        <f>Database!$A10247</f>
        <v/>
      </c>
      <c r="B8162">
        <f>IF(VLOOKUP(Table7[[#This Row],[Date]],Database!$A:$C,MATCH($B$1,Database!$A$1:$C$1,),)=0,#N/A,VLOOKUP(Table7[[#This Row],[Date]],Database!$A:$C,MATCH($B$1,Database!$A$1:$C$1,),))</f>
        <v/>
      </c>
      <c r="C8162">
        <f>IF(VLOOKUP(Table7[[#This Row],[Date]],Database!$A:$C,MATCH($C$1,Database!$A$1:$C$1,),)=0,#N/A,VLOOKUP(Table7[[#This Row],[Date]],Database!$A:$C,MATCH($C$1,Database!$A$1:$C$1,),))</f>
        <v/>
      </c>
      <c r="D8162">
        <f>IFERROR(Table7[[#This Row],[United States 10y]]-Table7[[#This Row],[United States 3y]],#N/A)</f>
        <v/>
      </c>
    </row>
    <row r="8163">
      <c r="A8163" s="6">
        <f>Database!$A10248</f>
        <v/>
      </c>
      <c r="B8163">
        <f>IF(VLOOKUP(Table7[[#This Row],[Date]],Database!$A:$C,MATCH($B$1,Database!$A$1:$C$1,),)=0,#N/A,VLOOKUP(Table7[[#This Row],[Date]],Database!$A:$C,MATCH($B$1,Database!$A$1:$C$1,),))</f>
        <v/>
      </c>
      <c r="C8163">
        <f>IF(VLOOKUP(Table7[[#This Row],[Date]],Database!$A:$C,MATCH($C$1,Database!$A$1:$C$1,),)=0,#N/A,VLOOKUP(Table7[[#This Row],[Date]],Database!$A:$C,MATCH($C$1,Database!$A$1:$C$1,),))</f>
        <v/>
      </c>
      <c r="D8163">
        <f>IFERROR(Table7[[#This Row],[United States 10y]]-Table7[[#This Row],[United States 3y]],#N/A)</f>
        <v/>
      </c>
    </row>
    <row r="8164">
      <c r="A8164" s="6">
        <f>Database!$A10249</f>
        <v/>
      </c>
      <c r="B8164">
        <f>IF(VLOOKUP(Table7[[#This Row],[Date]],Database!$A:$C,MATCH($B$1,Database!$A$1:$C$1,),)=0,#N/A,VLOOKUP(Table7[[#This Row],[Date]],Database!$A:$C,MATCH($B$1,Database!$A$1:$C$1,),))</f>
        <v/>
      </c>
      <c r="C8164">
        <f>IF(VLOOKUP(Table7[[#This Row],[Date]],Database!$A:$C,MATCH($C$1,Database!$A$1:$C$1,),)=0,#N/A,VLOOKUP(Table7[[#This Row],[Date]],Database!$A:$C,MATCH($C$1,Database!$A$1:$C$1,),))</f>
        <v/>
      </c>
      <c r="D8164">
        <f>IFERROR(Table7[[#This Row],[United States 10y]]-Table7[[#This Row],[United States 3y]],#N/A)</f>
        <v/>
      </c>
    </row>
    <row r="8165">
      <c r="A8165" s="6">
        <f>Database!$A10250</f>
        <v/>
      </c>
      <c r="B8165">
        <f>IF(VLOOKUP(Table7[[#This Row],[Date]],Database!$A:$C,MATCH($B$1,Database!$A$1:$C$1,),)=0,#N/A,VLOOKUP(Table7[[#This Row],[Date]],Database!$A:$C,MATCH($B$1,Database!$A$1:$C$1,),))</f>
        <v/>
      </c>
      <c r="C8165">
        <f>IF(VLOOKUP(Table7[[#This Row],[Date]],Database!$A:$C,MATCH($C$1,Database!$A$1:$C$1,),)=0,#N/A,VLOOKUP(Table7[[#This Row],[Date]],Database!$A:$C,MATCH($C$1,Database!$A$1:$C$1,),))</f>
        <v/>
      </c>
      <c r="D8165">
        <f>IFERROR(Table7[[#This Row],[United States 10y]]-Table7[[#This Row],[United States 3y]],#N/A)</f>
        <v/>
      </c>
    </row>
    <row r="8166">
      <c r="A8166" s="6">
        <f>Database!$A10251</f>
        <v/>
      </c>
      <c r="B8166">
        <f>IF(VLOOKUP(Table7[[#This Row],[Date]],Database!$A:$C,MATCH($B$1,Database!$A$1:$C$1,),)=0,#N/A,VLOOKUP(Table7[[#This Row],[Date]],Database!$A:$C,MATCH($B$1,Database!$A$1:$C$1,),))</f>
        <v/>
      </c>
      <c r="C8166">
        <f>IF(VLOOKUP(Table7[[#This Row],[Date]],Database!$A:$C,MATCH($C$1,Database!$A$1:$C$1,),)=0,#N/A,VLOOKUP(Table7[[#This Row],[Date]],Database!$A:$C,MATCH($C$1,Database!$A$1:$C$1,),))</f>
        <v/>
      </c>
      <c r="D8166">
        <f>IFERROR(Table7[[#This Row],[United States 10y]]-Table7[[#This Row],[United States 3y]],#N/A)</f>
        <v/>
      </c>
    </row>
    <row r="8167">
      <c r="A8167" s="6">
        <f>Database!$A10252</f>
        <v/>
      </c>
      <c r="B8167">
        <f>IF(VLOOKUP(Table7[[#This Row],[Date]],Database!$A:$C,MATCH($B$1,Database!$A$1:$C$1,),)=0,#N/A,VLOOKUP(Table7[[#This Row],[Date]],Database!$A:$C,MATCH($B$1,Database!$A$1:$C$1,),))</f>
        <v/>
      </c>
      <c r="C8167">
        <f>IF(VLOOKUP(Table7[[#This Row],[Date]],Database!$A:$C,MATCH($C$1,Database!$A$1:$C$1,),)=0,#N/A,VLOOKUP(Table7[[#This Row],[Date]],Database!$A:$C,MATCH($C$1,Database!$A$1:$C$1,),))</f>
        <v/>
      </c>
      <c r="D8167">
        <f>IFERROR(Table7[[#This Row],[United States 10y]]-Table7[[#This Row],[United States 3y]],#N/A)</f>
        <v/>
      </c>
    </row>
    <row r="8168">
      <c r="A8168" s="6">
        <f>Database!$A10253</f>
        <v/>
      </c>
      <c r="B8168">
        <f>IF(VLOOKUP(Table7[[#This Row],[Date]],Database!$A:$C,MATCH($B$1,Database!$A$1:$C$1,),)=0,#N/A,VLOOKUP(Table7[[#This Row],[Date]],Database!$A:$C,MATCH($B$1,Database!$A$1:$C$1,),))</f>
        <v/>
      </c>
      <c r="C8168">
        <f>IF(VLOOKUP(Table7[[#This Row],[Date]],Database!$A:$C,MATCH($C$1,Database!$A$1:$C$1,),)=0,#N/A,VLOOKUP(Table7[[#This Row],[Date]],Database!$A:$C,MATCH($C$1,Database!$A$1:$C$1,),))</f>
        <v/>
      </c>
      <c r="D8168">
        <f>IFERROR(Table7[[#This Row],[United States 10y]]-Table7[[#This Row],[United States 3y]],#N/A)</f>
        <v/>
      </c>
    </row>
    <row r="8169">
      <c r="A8169" s="6">
        <f>Database!$A10254</f>
        <v/>
      </c>
      <c r="B8169">
        <f>IF(VLOOKUP(Table7[[#This Row],[Date]],Database!$A:$C,MATCH($B$1,Database!$A$1:$C$1,),)=0,#N/A,VLOOKUP(Table7[[#This Row],[Date]],Database!$A:$C,MATCH($B$1,Database!$A$1:$C$1,),))</f>
        <v/>
      </c>
      <c r="C8169">
        <f>IF(VLOOKUP(Table7[[#This Row],[Date]],Database!$A:$C,MATCH($C$1,Database!$A$1:$C$1,),)=0,#N/A,VLOOKUP(Table7[[#This Row],[Date]],Database!$A:$C,MATCH($C$1,Database!$A$1:$C$1,),))</f>
        <v/>
      </c>
      <c r="D8169">
        <f>IFERROR(Table7[[#This Row],[United States 10y]]-Table7[[#This Row],[United States 3y]],#N/A)</f>
        <v/>
      </c>
    </row>
    <row r="8170">
      <c r="A8170" s="6">
        <f>Database!$A10255</f>
        <v/>
      </c>
      <c r="B8170">
        <f>IF(VLOOKUP(Table7[[#This Row],[Date]],Database!$A:$C,MATCH($B$1,Database!$A$1:$C$1,),)=0,#N/A,VLOOKUP(Table7[[#This Row],[Date]],Database!$A:$C,MATCH($B$1,Database!$A$1:$C$1,),))</f>
        <v/>
      </c>
      <c r="C8170">
        <f>IF(VLOOKUP(Table7[[#This Row],[Date]],Database!$A:$C,MATCH($C$1,Database!$A$1:$C$1,),)=0,#N/A,VLOOKUP(Table7[[#This Row],[Date]],Database!$A:$C,MATCH($C$1,Database!$A$1:$C$1,),))</f>
        <v/>
      </c>
      <c r="D8170">
        <f>IFERROR(Table7[[#This Row],[United States 10y]]-Table7[[#This Row],[United States 3y]],#N/A)</f>
        <v/>
      </c>
    </row>
    <row r="8171">
      <c r="A8171" s="6">
        <f>Database!$A10256</f>
        <v/>
      </c>
      <c r="B8171">
        <f>IF(VLOOKUP(Table7[[#This Row],[Date]],Database!$A:$C,MATCH($B$1,Database!$A$1:$C$1,),)=0,#N/A,VLOOKUP(Table7[[#This Row],[Date]],Database!$A:$C,MATCH($B$1,Database!$A$1:$C$1,),))</f>
        <v/>
      </c>
      <c r="C8171">
        <f>IF(VLOOKUP(Table7[[#This Row],[Date]],Database!$A:$C,MATCH($C$1,Database!$A$1:$C$1,),)=0,#N/A,VLOOKUP(Table7[[#This Row],[Date]],Database!$A:$C,MATCH($C$1,Database!$A$1:$C$1,),))</f>
        <v/>
      </c>
      <c r="D8171">
        <f>IFERROR(Table7[[#This Row],[United States 10y]]-Table7[[#This Row],[United States 3y]],#N/A)</f>
        <v/>
      </c>
    </row>
    <row r="8172">
      <c r="A8172" s="6">
        <f>Database!$A10257</f>
        <v/>
      </c>
      <c r="B8172">
        <f>IF(VLOOKUP(Table7[[#This Row],[Date]],Database!$A:$C,MATCH($B$1,Database!$A$1:$C$1,),)=0,#N/A,VLOOKUP(Table7[[#This Row],[Date]],Database!$A:$C,MATCH($B$1,Database!$A$1:$C$1,),))</f>
        <v/>
      </c>
      <c r="C8172">
        <f>IF(VLOOKUP(Table7[[#This Row],[Date]],Database!$A:$C,MATCH($C$1,Database!$A$1:$C$1,),)=0,#N/A,VLOOKUP(Table7[[#This Row],[Date]],Database!$A:$C,MATCH($C$1,Database!$A$1:$C$1,),))</f>
        <v/>
      </c>
      <c r="D8172">
        <f>IFERROR(Table7[[#This Row],[United States 10y]]-Table7[[#This Row],[United States 3y]],#N/A)</f>
        <v/>
      </c>
    </row>
    <row r="8173">
      <c r="A8173" s="6">
        <f>Database!$A10258</f>
        <v/>
      </c>
      <c r="B8173">
        <f>IF(VLOOKUP(Table7[[#This Row],[Date]],Database!$A:$C,MATCH($B$1,Database!$A$1:$C$1,),)=0,#N/A,VLOOKUP(Table7[[#This Row],[Date]],Database!$A:$C,MATCH($B$1,Database!$A$1:$C$1,),))</f>
        <v/>
      </c>
      <c r="C8173">
        <f>IF(VLOOKUP(Table7[[#This Row],[Date]],Database!$A:$C,MATCH($C$1,Database!$A$1:$C$1,),)=0,#N/A,VLOOKUP(Table7[[#This Row],[Date]],Database!$A:$C,MATCH($C$1,Database!$A$1:$C$1,),))</f>
        <v/>
      </c>
      <c r="D8173">
        <f>IFERROR(Table7[[#This Row],[United States 10y]]-Table7[[#This Row],[United States 3y]],#N/A)</f>
        <v/>
      </c>
    </row>
    <row r="8174">
      <c r="A8174" s="6">
        <f>Database!$A10259</f>
        <v/>
      </c>
      <c r="B8174">
        <f>IF(VLOOKUP(Table7[[#This Row],[Date]],Database!$A:$C,MATCH($B$1,Database!$A$1:$C$1,),)=0,#N/A,VLOOKUP(Table7[[#This Row],[Date]],Database!$A:$C,MATCH($B$1,Database!$A$1:$C$1,),))</f>
        <v/>
      </c>
      <c r="C8174">
        <f>IF(VLOOKUP(Table7[[#This Row],[Date]],Database!$A:$C,MATCH($C$1,Database!$A$1:$C$1,),)=0,#N/A,VLOOKUP(Table7[[#This Row],[Date]],Database!$A:$C,MATCH($C$1,Database!$A$1:$C$1,),))</f>
        <v/>
      </c>
      <c r="D8174">
        <f>IFERROR(Table7[[#This Row],[United States 10y]]-Table7[[#This Row],[United States 3y]],#N/A)</f>
        <v/>
      </c>
    </row>
    <row r="8175">
      <c r="A8175" s="6">
        <f>Database!$A10260</f>
        <v/>
      </c>
      <c r="B8175">
        <f>IF(VLOOKUP(Table7[[#This Row],[Date]],Database!$A:$C,MATCH($B$1,Database!$A$1:$C$1,),)=0,#N/A,VLOOKUP(Table7[[#This Row],[Date]],Database!$A:$C,MATCH($B$1,Database!$A$1:$C$1,),))</f>
        <v/>
      </c>
      <c r="C8175">
        <f>IF(VLOOKUP(Table7[[#This Row],[Date]],Database!$A:$C,MATCH($C$1,Database!$A$1:$C$1,),)=0,#N/A,VLOOKUP(Table7[[#This Row],[Date]],Database!$A:$C,MATCH($C$1,Database!$A$1:$C$1,),))</f>
        <v/>
      </c>
      <c r="D8175">
        <f>IFERROR(Table7[[#This Row],[United States 10y]]-Table7[[#This Row],[United States 3y]],#N/A)</f>
        <v/>
      </c>
    </row>
    <row r="8176">
      <c r="A8176" s="6">
        <f>Database!$A10261</f>
        <v/>
      </c>
      <c r="B8176">
        <f>IF(VLOOKUP(Table7[[#This Row],[Date]],Database!$A:$C,MATCH($B$1,Database!$A$1:$C$1,),)=0,#N/A,VLOOKUP(Table7[[#This Row],[Date]],Database!$A:$C,MATCH($B$1,Database!$A$1:$C$1,),))</f>
        <v/>
      </c>
      <c r="C8176">
        <f>IF(VLOOKUP(Table7[[#This Row],[Date]],Database!$A:$C,MATCH($C$1,Database!$A$1:$C$1,),)=0,#N/A,VLOOKUP(Table7[[#This Row],[Date]],Database!$A:$C,MATCH($C$1,Database!$A$1:$C$1,),))</f>
        <v/>
      </c>
      <c r="D8176">
        <f>IFERROR(Table7[[#This Row],[United States 10y]]-Table7[[#This Row],[United States 3y]],#N/A)</f>
        <v/>
      </c>
    </row>
    <row r="8177">
      <c r="A8177" s="6">
        <f>Database!$A10262</f>
        <v/>
      </c>
      <c r="B8177">
        <f>IF(VLOOKUP(Table7[[#This Row],[Date]],Database!$A:$C,MATCH($B$1,Database!$A$1:$C$1,),)=0,#N/A,VLOOKUP(Table7[[#This Row],[Date]],Database!$A:$C,MATCH($B$1,Database!$A$1:$C$1,),))</f>
        <v/>
      </c>
      <c r="C8177">
        <f>IF(VLOOKUP(Table7[[#This Row],[Date]],Database!$A:$C,MATCH($C$1,Database!$A$1:$C$1,),)=0,#N/A,VLOOKUP(Table7[[#This Row],[Date]],Database!$A:$C,MATCH($C$1,Database!$A$1:$C$1,),))</f>
        <v/>
      </c>
      <c r="D8177">
        <f>IFERROR(Table7[[#This Row],[United States 10y]]-Table7[[#This Row],[United States 3y]],#N/A)</f>
        <v/>
      </c>
    </row>
    <row r="8178">
      <c r="A8178" s="6">
        <f>Database!$A10263</f>
        <v/>
      </c>
      <c r="B8178">
        <f>IF(VLOOKUP(Table7[[#This Row],[Date]],Database!$A:$C,MATCH($B$1,Database!$A$1:$C$1,),)=0,#N/A,VLOOKUP(Table7[[#This Row],[Date]],Database!$A:$C,MATCH($B$1,Database!$A$1:$C$1,),))</f>
        <v/>
      </c>
      <c r="C8178">
        <f>IF(VLOOKUP(Table7[[#This Row],[Date]],Database!$A:$C,MATCH($C$1,Database!$A$1:$C$1,),)=0,#N/A,VLOOKUP(Table7[[#This Row],[Date]],Database!$A:$C,MATCH($C$1,Database!$A$1:$C$1,),))</f>
        <v/>
      </c>
      <c r="D8178">
        <f>IFERROR(Table7[[#This Row],[United States 10y]]-Table7[[#This Row],[United States 3y]],#N/A)</f>
        <v/>
      </c>
    </row>
    <row r="8179">
      <c r="A8179" s="6">
        <f>Database!$A10264</f>
        <v/>
      </c>
      <c r="B8179">
        <f>IF(VLOOKUP(Table7[[#This Row],[Date]],Database!$A:$C,MATCH($B$1,Database!$A$1:$C$1,),)=0,#N/A,VLOOKUP(Table7[[#This Row],[Date]],Database!$A:$C,MATCH($B$1,Database!$A$1:$C$1,),))</f>
        <v/>
      </c>
      <c r="C8179">
        <f>IF(VLOOKUP(Table7[[#This Row],[Date]],Database!$A:$C,MATCH($C$1,Database!$A$1:$C$1,),)=0,#N/A,VLOOKUP(Table7[[#This Row],[Date]],Database!$A:$C,MATCH($C$1,Database!$A$1:$C$1,),))</f>
        <v/>
      </c>
      <c r="D8179">
        <f>IFERROR(Table7[[#This Row],[United States 10y]]-Table7[[#This Row],[United States 3y]],#N/A)</f>
        <v/>
      </c>
    </row>
    <row r="8180">
      <c r="A8180" s="6">
        <f>Database!$A10265</f>
        <v/>
      </c>
      <c r="B8180">
        <f>IF(VLOOKUP(Table7[[#This Row],[Date]],Database!$A:$C,MATCH($B$1,Database!$A$1:$C$1,),)=0,#N/A,VLOOKUP(Table7[[#This Row],[Date]],Database!$A:$C,MATCH($B$1,Database!$A$1:$C$1,),))</f>
        <v/>
      </c>
      <c r="C8180">
        <f>IF(VLOOKUP(Table7[[#This Row],[Date]],Database!$A:$C,MATCH($C$1,Database!$A$1:$C$1,),)=0,#N/A,VLOOKUP(Table7[[#This Row],[Date]],Database!$A:$C,MATCH($C$1,Database!$A$1:$C$1,),))</f>
        <v/>
      </c>
      <c r="D8180">
        <f>IFERROR(Table7[[#This Row],[United States 10y]]-Table7[[#This Row],[United States 3y]],#N/A)</f>
        <v/>
      </c>
    </row>
    <row r="8181">
      <c r="A8181" s="6">
        <f>Database!$A10266</f>
        <v/>
      </c>
      <c r="B8181">
        <f>IF(VLOOKUP(Table7[[#This Row],[Date]],Database!$A:$C,MATCH($B$1,Database!$A$1:$C$1,),)=0,#N/A,VLOOKUP(Table7[[#This Row],[Date]],Database!$A:$C,MATCH($B$1,Database!$A$1:$C$1,),))</f>
        <v/>
      </c>
      <c r="C8181">
        <f>IF(VLOOKUP(Table7[[#This Row],[Date]],Database!$A:$C,MATCH($C$1,Database!$A$1:$C$1,),)=0,#N/A,VLOOKUP(Table7[[#This Row],[Date]],Database!$A:$C,MATCH($C$1,Database!$A$1:$C$1,),))</f>
        <v/>
      </c>
      <c r="D8181">
        <f>IFERROR(Table7[[#This Row],[United States 10y]]-Table7[[#This Row],[United States 3y]],#N/A)</f>
        <v/>
      </c>
    </row>
    <row r="8182">
      <c r="A8182" s="6">
        <f>Database!$A10267</f>
        <v/>
      </c>
      <c r="B8182">
        <f>IF(VLOOKUP(Table7[[#This Row],[Date]],Database!$A:$C,MATCH($B$1,Database!$A$1:$C$1,),)=0,#N/A,VLOOKUP(Table7[[#This Row],[Date]],Database!$A:$C,MATCH($B$1,Database!$A$1:$C$1,),))</f>
        <v/>
      </c>
      <c r="C8182">
        <f>IF(VLOOKUP(Table7[[#This Row],[Date]],Database!$A:$C,MATCH($C$1,Database!$A$1:$C$1,),)=0,#N/A,VLOOKUP(Table7[[#This Row],[Date]],Database!$A:$C,MATCH($C$1,Database!$A$1:$C$1,),))</f>
        <v/>
      </c>
      <c r="D8182">
        <f>IFERROR(Table7[[#This Row],[United States 10y]]-Table7[[#This Row],[United States 3y]],#N/A)</f>
        <v/>
      </c>
    </row>
    <row r="8183">
      <c r="A8183" s="6">
        <f>Database!$A10268</f>
        <v/>
      </c>
      <c r="B8183">
        <f>IF(VLOOKUP(Table7[[#This Row],[Date]],Database!$A:$C,MATCH($B$1,Database!$A$1:$C$1,),)=0,#N/A,VLOOKUP(Table7[[#This Row],[Date]],Database!$A:$C,MATCH($B$1,Database!$A$1:$C$1,),))</f>
        <v/>
      </c>
      <c r="C8183">
        <f>IF(VLOOKUP(Table7[[#This Row],[Date]],Database!$A:$C,MATCH($C$1,Database!$A$1:$C$1,),)=0,#N/A,VLOOKUP(Table7[[#This Row],[Date]],Database!$A:$C,MATCH($C$1,Database!$A$1:$C$1,),))</f>
        <v/>
      </c>
      <c r="D8183">
        <f>IFERROR(Table7[[#This Row],[United States 10y]]-Table7[[#This Row],[United States 3y]],#N/A)</f>
        <v/>
      </c>
    </row>
    <row r="8184">
      <c r="A8184" s="6">
        <f>Database!$A10269</f>
        <v/>
      </c>
      <c r="B8184">
        <f>IF(VLOOKUP(Table7[[#This Row],[Date]],Database!$A:$C,MATCH($B$1,Database!$A$1:$C$1,),)=0,#N/A,VLOOKUP(Table7[[#This Row],[Date]],Database!$A:$C,MATCH($B$1,Database!$A$1:$C$1,),))</f>
        <v/>
      </c>
      <c r="C8184">
        <f>IF(VLOOKUP(Table7[[#This Row],[Date]],Database!$A:$C,MATCH($C$1,Database!$A$1:$C$1,),)=0,#N/A,VLOOKUP(Table7[[#This Row],[Date]],Database!$A:$C,MATCH($C$1,Database!$A$1:$C$1,),))</f>
        <v/>
      </c>
      <c r="D8184">
        <f>IFERROR(Table7[[#This Row],[United States 10y]]-Table7[[#This Row],[United States 3y]],#N/A)</f>
        <v/>
      </c>
    </row>
    <row r="8185">
      <c r="A8185" s="6">
        <f>Database!$A10270</f>
        <v/>
      </c>
      <c r="B8185">
        <f>IF(VLOOKUP(Table7[[#This Row],[Date]],Database!$A:$C,MATCH($B$1,Database!$A$1:$C$1,),)=0,#N/A,VLOOKUP(Table7[[#This Row],[Date]],Database!$A:$C,MATCH($B$1,Database!$A$1:$C$1,),))</f>
        <v/>
      </c>
      <c r="C8185">
        <f>IF(VLOOKUP(Table7[[#This Row],[Date]],Database!$A:$C,MATCH($C$1,Database!$A$1:$C$1,),)=0,#N/A,VLOOKUP(Table7[[#This Row],[Date]],Database!$A:$C,MATCH($C$1,Database!$A$1:$C$1,),))</f>
        <v/>
      </c>
      <c r="D8185">
        <f>IFERROR(Table7[[#This Row],[United States 10y]]-Table7[[#This Row],[United States 3y]],#N/A)</f>
        <v/>
      </c>
    </row>
    <row r="8186">
      <c r="A8186" s="6">
        <f>Database!$A10271</f>
        <v/>
      </c>
      <c r="B8186">
        <f>IF(VLOOKUP(Table7[[#This Row],[Date]],Database!$A:$C,MATCH($B$1,Database!$A$1:$C$1,),)=0,#N/A,VLOOKUP(Table7[[#This Row],[Date]],Database!$A:$C,MATCH($B$1,Database!$A$1:$C$1,),))</f>
        <v/>
      </c>
      <c r="C8186">
        <f>IF(VLOOKUP(Table7[[#This Row],[Date]],Database!$A:$C,MATCH($C$1,Database!$A$1:$C$1,),)=0,#N/A,VLOOKUP(Table7[[#This Row],[Date]],Database!$A:$C,MATCH($C$1,Database!$A$1:$C$1,),))</f>
        <v/>
      </c>
      <c r="D8186">
        <f>IFERROR(Table7[[#This Row],[United States 10y]]-Table7[[#This Row],[United States 3y]],#N/A)</f>
        <v/>
      </c>
    </row>
    <row r="8187">
      <c r="A8187" s="6">
        <f>Database!$A10272</f>
        <v/>
      </c>
      <c r="B8187">
        <f>IF(VLOOKUP(Table7[[#This Row],[Date]],Database!$A:$C,MATCH($B$1,Database!$A$1:$C$1,),)=0,#N/A,VLOOKUP(Table7[[#This Row],[Date]],Database!$A:$C,MATCH($B$1,Database!$A$1:$C$1,),))</f>
        <v/>
      </c>
      <c r="C8187">
        <f>IF(VLOOKUP(Table7[[#This Row],[Date]],Database!$A:$C,MATCH($C$1,Database!$A$1:$C$1,),)=0,#N/A,VLOOKUP(Table7[[#This Row],[Date]],Database!$A:$C,MATCH($C$1,Database!$A$1:$C$1,),))</f>
        <v/>
      </c>
      <c r="D8187">
        <f>IFERROR(Table7[[#This Row],[United States 10y]]-Table7[[#This Row],[United States 3y]],#N/A)</f>
        <v/>
      </c>
    </row>
    <row r="8188">
      <c r="A8188" s="6">
        <f>Database!$A10273</f>
        <v/>
      </c>
      <c r="B8188">
        <f>IF(VLOOKUP(Table7[[#This Row],[Date]],Database!$A:$C,MATCH($B$1,Database!$A$1:$C$1,),)=0,#N/A,VLOOKUP(Table7[[#This Row],[Date]],Database!$A:$C,MATCH($B$1,Database!$A$1:$C$1,),))</f>
        <v/>
      </c>
      <c r="C8188">
        <f>IF(VLOOKUP(Table7[[#This Row],[Date]],Database!$A:$C,MATCH($C$1,Database!$A$1:$C$1,),)=0,#N/A,VLOOKUP(Table7[[#This Row],[Date]],Database!$A:$C,MATCH($C$1,Database!$A$1:$C$1,),))</f>
        <v/>
      </c>
      <c r="D8188">
        <f>IFERROR(Table7[[#This Row],[United States 10y]]-Table7[[#This Row],[United States 3y]],#N/A)</f>
        <v/>
      </c>
    </row>
    <row r="8189">
      <c r="A8189" s="6">
        <f>Database!$A10274</f>
        <v/>
      </c>
      <c r="B8189">
        <f>IF(VLOOKUP(Table7[[#This Row],[Date]],Database!$A:$C,MATCH($B$1,Database!$A$1:$C$1,),)=0,#N/A,VLOOKUP(Table7[[#This Row],[Date]],Database!$A:$C,MATCH($B$1,Database!$A$1:$C$1,),))</f>
        <v/>
      </c>
      <c r="C8189">
        <f>IF(VLOOKUP(Table7[[#This Row],[Date]],Database!$A:$C,MATCH($C$1,Database!$A$1:$C$1,),)=0,#N/A,VLOOKUP(Table7[[#This Row],[Date]],Database!$A:$C,MATCH($C$1,Database!$A$1:$C$1,),))</f>
        <v/>
      </c>
      <c r="D8189">
        <f>IFERROR(Table7[[#This Row],[United States 10y]]-Table7[[#This Row],[United States 3y]],#N/A)</f>
        <v/>
      </c>
    </row>
    <row r="8190">
      <c r="A8190" s="6">
        <f>Database!$A10275</f>
        <v/>
      </c>
      <c r="B8190">
        <f>IF(VLOOKUP(Table7[[#This Row],[Date]],Database!$A:$C,MATCH($B$1,Database!$A$1:$C$1,),)=0,#N/A,VLOOKUP(Table7[[#This Row],[Date]],Database!$A:$C,MATCH($B$1,Database!$A$1:$C$1,),))</f>
        <v/>
      </c>
      <c r="C8190">
        <f>IF(VLOOKUP(Table7[[#This Row],[Date]],Database!$A:$C,MATCH($C$1,Database!$A$1:$C$1,),)=0,#N/A,VLOOKUP(Table7[[#This Row],[Date]],Database!$A:$C,MATCH($C$1,Database!$A$1:$C$1,),))</f>
        <v/>
      </c>
      <c r="D8190">
        <f>IFERROR(Table7[[#This Row],[United States 10y]]-Table7[[#This Row],[United States 3y]],#N/A)</f>
        <v/>
      </c>
    </row>
    <row r="8191">
      <c r="A8191" s="6">
        <f>Database!$A10276</f>
        <v/>
      </c>
      <c r="B8191">
        <f>IF(VLOOKUP(Table7[[#This Row],[Date]],Database!$A:$C,MATCH($B$1,Database!$A$1:$C$1,),)=0,#N/A,VLOOKUP(Table7[[#This Row],[Date]],Database!$A:$C,MATCH($B$1,Database!$A$1:$C$1,),))</f>
        <v/>
      </c>
      <c r="C8191">
        <f>IF(VLOOKUP(Table7[[#This Row],[Date]],Database!$A:$C,MATCH($C$1,Database!$A$1:$C$1,),)=0,#N/A,VLOOKUP(Table7[[#This Row],[Date]],Database!$A:$C,MATCH($C$1,Database!$A$1:$C$1,),))</f>
        <v/>
      </c>
      <c r="D8191">
        <f>IFERROR(Table7[[#This Row],[United States 10y]]-Table7[[#This Row],[United States 3y]],#N/A)</f>
        <v/>
      </c>
    </row>
    <row r="8192">
      <c r="A8192" s="6">
        <f>Database!$A10277</f>
        <v/>
      </c>
      <c r="B8192">
        <f>IF(VLOOKUP(Table7[[#This Row],[Date]],Database!$A:$C,MATCH($B$1,Database!$A$1:$C$1,),)=0,#N/A,VLOOKUP(Table7[[#This Row],[Date]],Database!$A:$C,MATCH($B$1,Database!$A$1:$C$1,),))</f>
        <v/>
      </c>
      <c r="C8192">
        <f>IF(VLOOKUP(Table7[[#This Row],[Date]],Database!$A:$C,MATCH($C$1,Database!$A$1:$C$1,),)=0,#N/A,VLOOKUP(Table7[[#This Row],[Date]],Database!$A:$C,MATCH($C$1,Database!$A$1:$C$1,),))</f>
        <v/>
      </c>
      <c r="D8192">
        <f>IFERROR(Table7[[#This Row],[United States 10y]]-Table7[[#This Row],[United States 3y]],#N/A)</f>
        <v/>
      </c>
    </row>
    <row r="8193">
      <c r="A8193" s="6">
        <f>Database!$A10278</f>
        <v/>
      </c>
      <c r="B8193">
        <f>IF(VLOOKUP(Table7[[#This Row],[Date]],Database!$A:$C,MATCH($B$1,Database!$A$1:$C$1,),)=0,#N/A,VLOOKUP(Table7[[#This Row],[Date]],Database!$A:$C,MATCH($B$1,Database!$A$1:$C$1,),))</f>
        <v/>
      </c>
      <c r="C8193">
        <f>IF(VLOOKUP(Table7[[#This Row],[Date]],Database!$A:$C,MATCH($C$1,Database!$A$1:$C$1,),)=0,#N/A,VLOOKUP(Table7[[#This Row],[Date]],Database!$A:$C,MATCH($C$1,Database!$A$1:$C$1,),))</f>
        <v/>
      </c>
      <c r="D8193">
        <f>IFERROR(Table7[[#This Row],[United States 10y]]-Table7[[#This Row],[United States 3y]],#N/A)</f>
        <v/>
      </c>
    </row>
    <row r="8194">
      <c r="A8194" s="6">
        <f>Database!$A10279</f>
        <v/>
      </c>
      <c r="B8194">
        <f>IF(VLOOKUP(Table7[[#This Row],[Date]],Database!$A:$C,MATCH($B$1,Database!$A$1:$C$1,),)=0,#N/A,VLOOKUP(Table7[[#This Row],[Date]],Database!$A:$C,MATCH($B$1,Database!$A$1:$C$1,),))</f>
        <v/>
      </c>
      <c r="C8194">
        <f>IF(VLOOKUP(Table7[[#This Row],[Date]],Database!$A:$C,MATCH($C$1,Database!$A$1:$C$1,),)=0,#N/A,VLOOKUP(Table7[[#This Row],[Date]],Database!$A:$C,MATCH($C$1,Database!$A$1:$C$1,),))</f>
        <v/>
      </c>
      <c r="D8194">
        <f>IFERROR(Table7[[#This Row],[United States 10y]]-Table7[[#This Row],[United States 3y]],#N/A)</f>
        <v/>
      </c>
    </row>
    <row r="8195">
      <c r="A8195" s="6">
        <f>Database!$A10280</f>
        <v/>
      </c>
      <c r="B8195">
        <f>IF(VLOOKUP(Table7[[#This Row],[Date]],Database!$A:$C,MATCH($B$1,Database!$A$1:$C$1,),)=0,#N/A,VLOOKUP(Table7[[#This Row],[Date]],Database!$A:$C,MATCH($B$1,Database!$A$1:$C$1,),))</f>
        <v/>
      </c>
      <c r="C8195">
        <f>IF(VLOOKUP(Table7[[#This Row],[Date]],Database!$A:$C,MATCH($C$1,Database!$A$1:$C$1,),)=0,#N/A,VLOOKUP(Table7[[#This Row],[Date]],Database!$A:$C,MATCH($C$1,Database!$A$1:$C$1,),))</f>
        <v/>
      </c>
      <c r="D8195">
        <f>IFERROR(Table7[[#This Row],[United States 10y]]-Table7[[#This Row],[United States 3y]],#N/A)</f>
        <v/>
      </c>
    </row>
    <row r="8196">
      <c r="A8196" s="6">
        <f>Database!$A10281</f>
        <v/>
      </c>
      <c r="B8196">
        <f>IF(VLOOKUP(Table7[[#This Row],[Date]],Database!$A:$C,MATCH($B$1,Database!$A$1:$C$1,),)=0,#N/A,VLOOKUP(Table7[[#This Row],[Date]],Database!$A:$C,MATCH($B$1,Database!$A$1:$C$1,),))</f>
        <v/>
      </c>
      <c r="C8196">
        <f>IF(VLOOKUP(Table7[[#This Row],[Date]],Database!$A:$C,MATCH($C$1,Database!$A$1:$C$1,),)=0,#N/A,VLOOKUP(Table7[[#This Row],[Date]],Database!$A:$C,MATCH($C$1,Database!$A$1:$C$1,),))</f>
        <v/>
      </c>
      <c r="D8196">
        <f>IFERROR(Table7[[#This Row],[United States 10y]]-Table7[[#This Row],[United States 3y]],#N/A)</f>
        <v/>
      </c>
    </row>
    <row r="8197">
      <c r="A8197" s="6">
        <f>Database!$A10282</f>
        <v/>
      </c>
      <c r="B8197">
        <f>IF(VLOOKUP(Table7[[#This Row],[Date]],Database!$A:$C,MATCH($B$1,Database!$A$1:$C$1,),)=0,#N/A,VLOOKUP(Table7[[#This Row],[Date]],Database!$A:$C,MATCH($B$1,Database!$A$1:$C$1,),))</f>
        <v/>
      </c>
      <c r="C8197">
        <f>IF(VLOOKUP(Table7[[#This Row],[Date]],Database!$A:$C,MATCH($C$1,Database!$A$1:$C$1,),)=0,#N/A,VLOOKUP(Table7[[#This Row],[Date]],Database!$A:$C,MATCH($C$1,Database!$A$1:$C$1,),))</f>
        <v/>
      </c>
      <c r="D8197">
        <f>IFERROR(Table7[[#This Row],[United States 10y]]-Table7[[#This Row],[United States 3y]],#N/A)</f>
        <v/>
      </c>
    </row>
    <row r="8198">
      <c r="A8198" s="6">
        <f>Database!$A10283</f>
        <v/>
      </c>
      <c r="B8198">
        <f>IF(VLOOKUP(Table7[[#This Row],[Date]],Database!$A:$C,MATCH($B$1,Database!$A$1:$C$1,),)=0,#N/A,VLOOKUP(Table7[[#This Row],[Date]],Database!$A:$C,MATCH($B$1,Database!$A$1:$C$1,),))</f>
        <v/>
      </c>
      <c r="C8198">
        <f>IF(VLOOKUP(Table7[[#This Row],[Date]],Database!$A:$C,MATCH($C$1,Database!$A$1:$C$1,),)=0,#N/A,VLOOKUP(Table7[[#This Row],[Date]],Database!$A:$C,MATCH($C$1,Database!$A$1:$C$1,),))</f>
        <v/>
      </c>
      <c r="D8198">
        <f>IFERROR(Table7[[#This Row],[United States 10y]]-Table7[[#This Row],[United States 3y]],#N/A)</f>
        <v/>
      </c>
    </row>
    <row r="8199">
      <c r="A8199" s="6">
        <f>Database!$A10284</f>
        <v/>
      </c>
      <c r="B8199">
        <f>IF(VLOOKUP(Table7[[#This Row],[Date]],Database!$A:$C,MATCH($B$1,Database!$A$1:$C$1,),)=0,#N/A,VLOOKUP(Table7[[#This Row],[Date]],Database!$A:$C,MATCH($B$1,Database!$A$1:$C$1,),))</f>
        <v/>
      </c>
      <c r="C8199">
        <f>IF(VLOOKUP(Table7[[#This Row],[Date]],Database!$A:$C,MATCH($C$1,Database!$A$1:$C$1,),)=0,#N/A,VLOOKUP(Table7[[#This Row],[Date]],Database!$A:$C,MATCH($C$1,Database!$A$1:$C$1,),))</f>
        <v/>
      </c>
      <c r="D8199">
        <f>IFERROR(Table7[[#This Row],[United States 10y]]-Table7[[#This Row],[United States 3y]],#N/A)</f>
        <v/>
      </c>
    </row>
    <row r="8200">
      <c r="A8200" s="6">
        <f>Database!$A10285</f>
        <v/>
      </c>
      <c r="B8200">
        <f>IF(VLOOKUP(Table7[[#This Row],[Date]],Database!$A:$C,MATCH($B$1,Database!$A$1:$C$1,),)=0,#N/A,VLOOKUP(Table7[[#This Row],[Date]],Database!$A:$C,MATCH($B$1,Database!$A$1:$C$1,),))</f>
        <v/>
      </c>
      <c r="C8200">
        <f>IF(VLOOKUP(Table7[[#This Row],[Date]],Database!$A:$C,MATCH($C$1,Database!$A$1:$C$1,),)=0,#N/A,VLOOKUP(Table7[[#This Row],[Date]],Database!$A:$C,MATCH($C$1,Database!$A$1:$C$1,),))</f>
        <v/>
      </c>
      <c r="D8200">
        <f>IFERROR(Table7[[#This Row],[United States 10y]]-Table7[[#This Row],[United States 3y]],#N/A)</f>
        <v/>
      </c>
    </row>
    <row r="8201">
      <c r="A8201" s="6">
        <f>Database!$A10286</f>
        <v/>
      </c>
      <c r="B8201">
        <f>IF(VLOOKUP(Table7[[#This Row],[Date]],Database!$A:$C,MATCH($B$1,Database!$A$1:$C$1,),)=0,#N/A,VLOOKUP(Table7[[#This Row],[Date]],Database!$A:$C,MATCH($B$1,Database!$A$1:$C$1,),))</f>
        <v/>
      </c>
      <c r="C8201">
        <f>IF(VLOOKUP(Table7[[#This Row],[Date]],Database!$A:$C,MATCH($C$1,Database!$A$1:$C$1,),)=0,#N/A,VLOOKUP(Table7[[#This Row],[Date]],Database!$A:$C,MATCH($C$1,Database!$A$1:$C$1,),))</f>
        <v/>
      </c>
      <c r="D8201">
        <f>IFERROR(Table7[[#This Row],[United States 10y]]-Table7[[#This Row],[United States 3y]],#N/A)</f>
        <v/>
      </c>
    </row>
    <row r="8202">
      <c r="A8202" s="6">
        <f>Database!$A10287</f>
        <v/>
      </c>
      <c r="B8202">
        <f>IF(VLOOKUP(Table7[[#This Row],[Date]],Database!$A:$C,MATCH($B$1,Database!$A$1:$C$1,),)=0,#N/A,VLOOKUP(Table7[[#This Row],[Date]],Database!$A:$C,MATCH($B$1,Database!$A$1:$C$1,),))</f>
        <v/>
      </c>
      <c r="C8202">
        <f>IF(VLOOKUP(Table7[[#This Row],[Date]],Database!$A:$C,MATCH($C$1,Database!$A$1:$C$1,),)=0,#N/A,VLOOKUP(Table7[[#This Row],[Date]],Database!$A:$C,MATCH($C$1,Database!$A$1:$C$1,),))</f>
        <v/>
      </c>
      <c r="D8202">
        <f>IFERROR(Table7[[#This Row],[United States 10y]]-Table7[[#This Row],[United States 3y]],#N/A)</f>
        <v/>
      </c>
    </row>
    <row r="8203">
      <c r="A8203" s="6">
        <f>Database!$A10288</f>
        <v/>
      </c>
      <c r="B8203">
        <f>IF(VLOOKUP(Table7[[#This Row],[Date]],Database!$A:$C,MATCH($B$1,Database!$A$1:$C$1,),)=0,#N/A,VLOOKUP(Table7[[#This Row],[Date]],Database!$A:$C,MATCH($B$1,Database!$A$1:$C$1,),))</f>
        <v/>
      </c>
      <c r="C8203">
        <f>IF(VLOOKUP(Table7[[#This Row],[Date]],Database!$A:$C,MATCH($C$1,Database!$A$1:$C$1,),)=0,#N/A,VLOOKUP(Table7[[#This Row],[Date]],Database!$A:$C,MATCH($C$1,Database!$A$1:$C$1,),))</f>
        <v/>
      </c>
      <c r="D8203">
        <f>IFERROR(Table7[[#This Row],[United States 10y]]-Table7[[#This Row],[United States 3y]],#N/A)</f>
        <v/>
      </c>
    </row>
    <row r="8204">
      <c r="A8204" s="6">
        <f>Database!$A10289</f>
        <v/>
      </c>
      <c r="B8204">
        <f>IF(VLOOKUP(Table7[[#This Row],[Date]],Database!$A:$C,MATCH($B$1,Database!$A$1:$C$1,),)=0,#N/A,VLOOKUP(Table7[[#This Row],[Date]],Database!$A:$C,MATCH($B$1,Database!$A$1:$C$1,),))</f>
        <v/>
      </c>
      <c r="C8204">
        <f>IF(VLOOKUP(Table7[[#This Row],[Date]],Database!$A:$C,MATCH($C$1,Database!$A$1:$C$1,),)=0,#N/A,VLOOKUP(Table7[[#This Row],[Date]],Database!$A:$C,MATCH($C$1,Database!$A$1:$C$1,),))</f>
        <v/>
      </c>
      <c r="D8204">
        <f>IFERROR(Table7[[#This Row],[United States 10y]]-Table7[[#This Row],[United States 3y]],#N/A)</f>
        <v/>
      </c>
    </row>
    <row r="8205">
      <c r="A8205" s="6">
        <f>Database!$A10290</f>
        <v/>
      </c>
      <c r="B8205">
        <f>IF(VLOOKUP(Table7[[#This Row],[Date]],Database!$A:$C,MATCH($B$1,Database!$A$1:$C$1,),)=0,#N/A,VLOOKUP(Table7[[#This Row],[Date]],Database!$A:$C,MATCH($B$1,Database!$A$1:$C$1,),))</f>
        <v/>
      </c>
      <c r="C8205">
        <f>IF(VLOOKUP(Table7[[#This Row],[Date]],Database!$A:$C,MATCH($C$1,Database!$A$1:$C$1,),)=0,#N/A,VLOOKUP(Table7[[#This Row],[Date]],Database!$A:$C,MATCH($C$1,Database!$A$1:$C$1,),))</f>
        <v/>
      </c>
      <c r="D8205">
        <f>IFERROR(Table7[[#This Row],[United States 10y]]-Table7[[#This Row],[United States 3y]],#N/A)</f>
        <v/>
      </c>
    </row>
    <row r="8206">
      <c r="A8206" s="6">
        <f>Database!$A10291</f>
        <v/>
      </c>
      <c r="B8206">
        <f>IF(VLOOKUP(Table7[[#This Row],[Date]],Database!$A:$C,MATCH($B$1,Database!$A$1:$C$1,),)=0,#N/A,VLOOKUP(Table7[[#This Row],[Date]],Database!$A:$C,MATCH($B$1,Database!$A$1:$C$1,),))</f>
        <v/>
      </c>
      <c r="C8206">
        <f>IF(VLOOKUP(Table7[[#This Row],[Date]],Database!$A:$C,MATCH($C$1,Database!$A$1:$C$1,),)=0,#N/A,VLOOKUP(Table7[[#This Row],[Date]],Database!$A:$C,MATCH($C$1,Database!$A$1:$C$1,),))</f>
        <v/>
      </c>
      <c r="D8206">
        <f>IFERROR(Table7[[#This Row],[United States 10y]]-Table7[[#This Row],[United States 3y]],#N/A)</f>
        <v/>
      </c>
    </row>
    <row r="8207">
      <c r="A8207" s="6">
        <f>Database!$A10292</f>
        <v/>
      </c>
      <c r="B8207">
        <f>IF(VLOOKUP(Table7[[#This Row],[Date]],Database!$A:$C,MATCH($B$1,Database!$A$1:$C$1,),)=0,#N/A,VLOOKUP(Table7[[#This Row],[Date]],Database!$A:$C,MATCH($B$1,Database!$A$1:$C$1,),))</f>
        <v/>
      </c>
      <c r="C8207">
        <f>IF(VLOOKUP(Table7[[#This Row],[Date]],Database!$A:$C,MATCH($C$1,Database!$A$1:$C$1,),)=0,#N/A,VLOOKUP(Table7[[#This Row],[Date]],Database!$A:$C,MATCH($C$1,Database!$A$1:$C$1,),))</f>
        <v/>
      </c>
      <c r="D8207">
        <f>IFERROR(Table7[[#This Row],[United States 10y]]-Table7[[#This Row],[United States 3y]],#N/A)</f>
        <v/>
      </c>
    </row>
    <row r="8208">
      <c r="A8208" s="6">
        <f>Database!$A10293</f>
        <v/>
      </c>
      <c r="B8208">
        <f>IF(VLOOKUP(Table7[[#This Row],[Date]],Database!$A:$C,MATCH($B$1,Database!$A$1:$C$1,),)=0,#N/A,VLOOKUP(Table7[[#This Row],[Date]],Database!$A:$C,MATCH($B$1,Database!$A$1:$C$1,),))</f>
        <v/>
      </c>
      <c r="C8208">
        <f>IF(VLOOKUP(Table7[[#This Row],[Date]],Database!$A:$C,MATCH($C$1,Database!$A$1:$C$1,),)=0,#N/A,VLOOKUP(Table7[[#This Row],[Date]],Database!$A:$C,MATCH($C$1,Database!$A$1:$C$1,),))</f>
        <v/>
      </c>
      <c r="D8208">
        <f>IFERROR(Table7[[#This Row],[United States 10y]]-Table7[[#This Row],[United States 3y]],#N/A)</f>
        <v/>
      </c>
    </row>
    <row r="8209">
      <c r="A8209" s="6">
        <f>Database!$A10294</f>
        <v/>
      </c>
      <c r="B8209">
        <f>IF(VLOOKUP(Table7[[#This Row],[Date]],Database!$A:$C,MATCH($B$1,Database!$A$1:$C$1,),)=0,#N/A,VLOOKUP(Table7[[#This Row],[Date]],Database!$A:$C,MATCH($B$1,Database!$A$1:$C$1,),))</f>
        <v/>
      </c>
      <c r="C8209">
        <f>IF(VLOOKUP(Table7[[#This Row],[Date]],Database!$A:$C,MATCH($C$1,Database!$A$1:$C$1,),)=0,#N/A,VLOOKUP(Table7[[#This Row],[Date]],Database!$A:$C,MATCH($C$1,Database!$A$1:$C$1,),))</f>
        <v/>
      </c>
      <c r="D8209">
        <f>IFERROR(Table7[[#This Row],[United States 10y]]-Table7[[#This Row],[United States 3y]],#N/A)</f>
        <v/>
      </c>
    </row>
    <row r="8210">
      <c r="A8210" s="6">
        <f>Database!$A10295</f>
        <v/>
      </c>
      <c r="B8210">
        <f>IF(VLOOKUP(Table7[[#This Row],[Date]],Database!$A:$C,MATCH($B$1,Database!$A$1:$C$1,),)=0,#N/A,VLOOKUP(Table7[[#This Row],[Date]],Database!$A:$C,MATCH($B$1,Database!$A$1:$C$1,),))</f>
        <v/>
      </c>
      <c r="C8210">
        <f>IF(VLOOKUP(Table7[[#This Row],[Date]],Database!$A:$C,MATCH($C$1,Database!$A$1:$C$1,),)=0,#N/A,VLOOKUP(Table7[[#This Row],[Date]],Database!$A:$C,MATCH($C$1,Database!$A$1:$C$1,),))</f>
        <v/>
      </c>
      <c r="D8210">
        <f>IFERROR(Table7[[#This Row],[United States 10y]]-Table7[[#This Row],[United States 3y]],#N/A)</f>
        <v/>
      </c>
    </row>
    <row r="8211">
      <c r="A8211" s="6">
        <f>Database!$A10296</f>
        <v/>
      </c>
      <c r="B8211">
        <f>IF(VLOOKUP(Table7[[#This Row],[Date]],Database!$A:$C,MATCH($B$1,Database!$A$1:$C$1,),)=0,#N/A,VLOOKUP(Table7[[#This Row],[Date]],Database!$A:$C,MATCH($B$1,Database!$A$1:$C$1,),))</f>
        <v/>
      </c>
      <c r="C8211">
        <f>IF(VLOOKUP(Table7[[#This Row],[Date]],Database!$A:$C,MATCH($C$1,Database!$A$1:$C$1,),)=0,#N/A,VLOOKUP(Table7[[#This Row],[Date]],Database!$A:$C,MATCH($C$1,Database!$A$1:$C$1,),))</f>
        <v/>
      </c>
      <c r="D8211">
        <f>IFERROR(Table7[[#This Row],[United States 10y]]-Table7[[#This Row],[United States 3y]],#N/A)</f>
        <v/>
      </c>
    </row>
    <row r="8212">
      <c r="A8212" s="6">
        <f>Database!$A10297</f>
        <v/>
      </c>
      <c r="B8212">
        <f>IF(VLOOKUP(Table7[[#This Row],[Date]],Database!$A:$C,MATCH($B$1,Database!$A$1:$C$1,),)=0,#N/A,VLOOKUP(Table7[[#This Row],[Date]],Database!$A:$C,MATCH($B$1,Database!$A$1:$C$1,),))</f>
        <v/>
      </c>
      <c r="C8212">
        <f>IF(VLOOKUP(Table7[[#This Row],[Date]],Database!$A:$C,MATCH($C$1,Database!$A$1:$C$1,),)=0,#N/A,VLOOKUP(Table7[[#This Row],[Date]],Database!$A:$C,MATCH($C$1,Database!$A$1:$C$1,),))</f>
        <v/>
      </c>
      <c r="D8212">
        <f>IFERROR(Table7[[#This Row],[United States 10y]]-Table7[[#This Row],[United States 3y]],#N/A)</f>
        <v/>
      </c>
    </row>
    <row r="8213">
      <c r="A8213" s="6">
        <f>Database!$A10298</f>
        <v/>
      </c>
      <c r="B8213">
        <f>IF(VLOOKUP(Table7[[#This Row],[Date]],Database!$A:$C,MATCH($B$1,Database!$A$1:$C$1,),)=0,#N/A,VLOOKUP(Table7[[#This Row],[Date]],Database!$A:$C,MATCH($B$1,Database!$A$1:$C$1,),))</f>
        <v/>
      </c>
      <c r="C8213">
        <f>IF(VLOOKUP(Table7[[#This Row],[Date]],Database!$A:$C,MATCH($C$1,Database!$A$1:$C$1,),)=0,#N/A,VLOOKUP(Table7[[#This Row],[Date]],Database!$A:$C,MATCH($C$1,Database!$A$1:$C$1,),))</f>
        <v/>
      </c>
      <c r="D8213">
        <f>IFERROR(Table7[[#This Row],[United States 10y]]-Table7[[#This Row],[United States 3y]],#N/A)</f>
        <v/>
      </c>
    </row>
    <row r="8214">
      <c r="A8214" s="6">
        <f>Database!$A10299</f>
        <v/>
      </c>
      <c r="B8214">
        <f>IF(VLOOKUP(Table7[[#This Row],[Date]],Database!$A:$C,MATCH($B$1,Database!$A$1:$C$1,),)=0,#N/A,VLOOKUP(Table7[[#This Row],[Date]],Database!$A:$C,MATCH($B$1,Database!$A$1:$C$1,),))</f>
        <v/>
      </c>
      <c r="C8214">
        <f>IF(VLOOKUP(Table7[[#This Row],[Date]],Database!$A:$C,MATCH($C$1,Database!$A$1:$C$1,),)=0,#N/A,VLOOKUP(Table7[[#This Row],[Date]],Database!$A:$C,MATCH($C$1,Database!$A$1:$C$1,),))</f>
        <v/>
      </c>
      <c r="D8214">
        <f>IFERROR(Table7[[#This Row],[United States 10y]]-Table7[[#This Row],[United States 3y]],#N/A)</f>
        <v/>
      </c>
    </row>
    <row r="8215">
      <c r="A8215" s="6">
        <f>Database!$A10300</f>
        <v/>
      </c>
      <c r="B8215">
        <f>IF(VLOOKUP(Table7[[#This Row],[Date]],Database!$A:$C,MATCH($B$1,Database!$A$1:$C$1,),)=0,#N/A,VLOOKUP(Table7[[#This Row],[Date]],Database!$A:$C,MATCH($B$1,Database!$A$1:$C$1,),))</f>
        <v/>
      </c>
      <c r="C8215">
        <f>IF(VLOOKUP(Table7[[#This Row],[Date]],Database!$A:$C,MATCH($C$1,Database!$A$1:$C$1,),)=0,#N/A,VLOOKUP(Table7[[#This Row],[Date]],Database!$A:$C,MATCH($C$1,Database!$A$1:$C$1,),))</f>
        <v/>
      </c>
      <c r="D8215">
        <f>IFERROR(Table7[[#This Row],[United States 10y]]-Table7[[#This Row],[United States 3y]],#N/A)</f>
        <v/>
      </c>
    </row>
    <row r="8216">
      <c r="A8216" s="6">
        <f>Database!$A10301</f>
        <v/>
      </c>
      <c r="B8216">
        <f>IF(VLOOKUP(Table7[[#This Row],[Date]],Database!$A:$C,MATCH($B$1,Database!$A$1:$C$1,),)=0,#N/A,VLOOKUP(Table7[[#This Row],[Date]],Database!$A:$C,MATCH($B$1,Database!$A$1:$C$1,),))</f>
        <v/>
      </c>
      <c r="C8216">
        <f>IF(VLOOKUP(Table7[[#This Row],[Date]],Database!$A:$C,MATCH($C$1,Database!$A$1:$C$1,),)=0,#N/A,VLOOKUP(Table7[[#This Row],[Date]],Database!$A:$C,MATCH($C$1,Database!$A$1:$C$1,),))</f>
        <v/>
      </c>
      <c r="D8216">
        <f>IFERROR(Table7[[#This Row],[United States 10y]]-Table7[[#This Row],[United States 3y]],#N/A)</f>
        <v/>
      </c>
    </row>
    <row r="8217">
      <c r="A8217" s="6">
        <f>Database!$A10302</f>
        <v/>
      </c>
      <c r="B8217">
        <f>IF(VLOOKUP(Table7[[#This Row],[Date]],Database!$A:$C,MATCH($B$1,Database!$A$1:$C$1,),)=0,#N/A,VLOOKUP(Table7[[#This Row],[Date]],Database!$A:$C,MATCH($B$1,Database!$A$1:$C$1,),))</f>
        <v/>
      </c>
      <c r="C8217">
        <f>IF(VLOOKUP(Table7[[#This Row],[Date]],Database!$A:$C,MATCH($C$1,Database!$A$1:$C$1,),)=0,#N/A,VLOOKUP(Table7[[#This Row],[Date]],Database!$A:$C,MATCH($C$1,Database!$A$1:$C$1,),))</f>
        <v/>
      </c>
      <c r="D8217">
        <f>IFERROR(Table7[[#This Row],[United States 10y]]-Table7[[#This Row],[United States 3y]],#N/A)</f>
        <v/>
      </c>
    </row>
    <row r="8218">
      <c r="A8218" s="6">
        <f>Database!$A10303</f>
        <v/>
      </c>
      <c r="B8218">
        <f>IF(VLOOKUP(Table7[[#This Row],[Date]],Database!$A:$C,MATCH($B$1,Database!$A$1:$C$1,),)=0,#N/A,VLOOKUP(Table7[[#This Row],[Date]],Database!$A:$C,MATCH($B$1,Database!$A$1:$C$1,),))</f>
        <v/>
      </c>
      <c r="C8218">
        <f>IF(VLOOKUP(Table7[[#This Row],[Date]],Database!$A:$C,MATCH($C$1,Database!$A$1:$C$1,),)=0,#N/A,VLOOKUP(Table7[[#This Row],[Date]],Database!$A:$C,MATCH($C$1,Database!$A$1:$C$1,),))</f>
        <v/>
      </c>
      <c r="D8218">
        <f>IFERROR(Table7[[#This Row],[United States 10y]]-Table7[[#This Row],[United States 3y]],#N/A)</f>
        <v/>
      </c>
    </row>
    <row r="8219">
      <c r="A8219" s="6">
        <f>Database!$A10304</f>
        <v/>
      </c>
      <c r="B8219">
        <f>IF(VLOOKUP(Table7[[#This Row],[Date]],Database!$A:$C,MATCH($B$1,Database!$A$1:$C$1,),)=0,#N/A,VLOOKUP(Table7[[#This Row],[Date]],Database!$A:$C,MATCH($B$1,Database!$A$1:$C$1,),))</f>
        <v/>
      </c>
      <c r="C8219">
        <f>IF(VLOOKUP(Table7[[#This Row],[Date]],Database!$A:$C,MATCH($C$1,Database!$A$1:$C$1,),)=0,#N/A,VLOOKUP(Table7[[#This Row],[Date]],Database!$A:$C,MATCH($C$1,Database!$A$1:$C$1,),))</f>
        <v/>
      </c>
      <c r="D8219">
        <f>IFERROR(Table7[[#This Row],[United States 10y]]-Table7[[#This Row],[United States 3y]],#N/A)</f>
        <v/>
      </c>
    </row>
    <row r="8220">
      <c r="A8220" s="6">
        <f>Database!$A10305</f>
        <v/>
      </c>
      <c r="B8220">
        <f>IF(VLOOKUP(Table7[[#This Row],[Date]],Database!$A:$C,MATCH($B$1,Database!$A$1:$C$1,),)=0,#N/A,VLOOKUP(Table7[[#This Row],[Date]],Database!$A:$C,MATCH($B$1,Database!$A$1:$C$1,),))</f>
        <v/>
      </c>
      <c r="C8220">
        <f>IF(VLOOKUP(Table7[[#This Row],[Date]],Database!$A:$C,MATCH($C$1,Database!$A$1:$C$1,),)=0,#N/A,VLOOKUP(Table7[[#This Row],[Date]],Database!$A:$C,MATCH($C$1,Database!$A$1:$C$1,),))</f>
        <v/>
      </c>
      <c r="D8220">
        <f>IFERROR(Table7[[#This Row],[United States 10y]]-Table7[[#This Row],[United States 3y]],#N/A)</f>
        <v/>
      </c>
    </row>
    <row r="8221">
      <c r="A8221" s="6">
        <f>Database!$A10306</f>
        <v/>
      </c>
      <c r="B8221">
        <f>IF(VLOOKUP(Table7[[#This Row],[Date]],Database!$A:$C,MATCH($B$1,Database!$A$1:$C$1,),)=0,#N/A,VLOOKUP(Table7[[#This Row],[Date]],Database!$A:$C,MATCH($B$1,Database!$A$1:$C$1,),))</f>
        <v/>
      </c>
      <c r="C8221">
        <f>IF(VLOOKUP(Table7[[#This Row],[Date]],Database!$A:$C,MATCH($C$1,Database!$A$1:$C$1,),)=0,#N/A,VLOOKUP(Table7[[#This Row],[Date]],Database!$A:$C,MATCH($C$1,Database!$A$1:$C$1,),))</f>
        <v/>
      </c>
      <c r="D8221">
        <f>IFERROR(Table7[[#This Row],[United States 10y]]-Table7[[#This Row],[United States 3y]],#N/A)</f>
        <v/>
      </c>
    </row>
    <row r="8222">
      <c r="A8222" s="6">
        <f>Database!$A10307</f>
        <v/>
      </c>
      <c r="B8222">
        <f>IF(VLOOKUP(Table7[[#This Row],[Date]],Database!$A:$C,MATCH($B$1,Database!$A$1:$C$1,),)=0,#N/A,VLOOKUP(Table7[[#This Row],[Date]],Database!$A:$C,MATCH($B$1,Database!$A$1:$C$1,),))</f>
        <v/>
      </c>
      <c r="C8222">
        <f>IF(VLOOKUP(Table7[[#This Row],[Date]],Database!$A:$C,MATCH($C$1,Database!$A$1:$C$1,),)=0,#N/A,VLOOKUP(Table7[[#This Row],[Date]],Database!$A:$C,MATCH($C$1,Database!$A$1:$C$1,),))</f>
        <v/>
      </c>
      <c r="D8222">
        <f>IFERROR(Table7[[#This Row],[United States 10y]]-Table7[[#This Row],[United States 3y]],#N/A)</f>
        <v/>
      </c>
    </row>
    <row r="8223">
      <c r="A8223" s="6">
        <f>Database!$A10308</f>
        <v/>
      </c>
      <c r="B8223">
        <f>IF(VLOOKUP(Table7[[#This Row],[Date]],Database!$A:$C,MATCH($B$1,Database!$A$1:$C$1,),)=0,#N/A,VLOOKUP(Table7[[#This Row],[Date]],Database!$A:$C,MATCH($B$1,Database!$A$1:$C$1,),))</f>
        <v/>
      </c>
      <c r="C8223">
        <f>IF(VLOOKUP(Table7[[#This Row],[Date]],Database!$A:$C,MATCH($C$1,Database!$A$1:$C$1,),)=0,#N/A,VLOOKUP(Table7[[#This Row],[Date]],Database!$A:$C,MATCH($C$1,Database!$A$1:$C$1,),))</f>
        <v/>
      </c>
      <c r="D8223">
        <f>IFERROR(Table7[[#This Row],[United States 10y]]-Table7[[#This Row],[United States 3y]],#N/A)</f>
        <v/>
      </c>
    </row>
    <row r="8224">
      <c r="A8224" s="6">
        <f>Database!$A10309</f>
        <v/>
      </c>
      <c r="B8224">
        <f>IF(VLOOKUP(Table7[[#This Row],[Date]],Database!$A:$C,MATCH($B$1,Database!$A$1:$C$1,),)=0,#N/A,VLOOKUP(Table7[[#This Row],[Date]],Database!$A:$C,MATCH($B$1,Database!$A$1:$C$1,),))</f>
        <v/>
      </c>
      <c r="C8224">
        <f>IF(VLOOKUP(Table7[[#This Row],[Date]],Database!$A:$C,MATCH($C$1,Database!$A$1:$C$1,),)=0,#N/A,VLOOKUP(Table7[[#This Row],[Date]],Database!$A:$C,MATCH($C$1,Database!$A$1:$C$1,),))</f>
        <v/>
      </c>
      <c r="D8224">
        <f>IFERROR(Table7[[#This Row],[United States 10y]]-Table7[[#This Row],[United States 3y]],#N/A)</f>
        <v/>
      </c>
    </row>
    <row r="8225">
      <c r="A8225" s="6">
        <f>Database!$A10310</f>
        <v/>
      </c>
      <c r="B8225">
        <f>IF(VLOOKUP(Table7[[#This Row],[Date]],Database!$A:$C,MATCH($B$1,Database!$A$1:$C$1,),)=0,#N/A,VLOOKUP(Table7[[#This Row],[Date]],Database!$A:$C,MATCH($B$1,Database!$A$1:$C$1,),))</f>
        <v/>
      </c>
      <c r="C8225">
        <f>IF(VLOOKUP(Table7[[#This Row],[Date]],Database!$A:$C,MATCH($C$1,Database!$A$1:$C$1,),)=0,#N/A,VLOOKUP(Table7[[#This Row],[Date]],Database!$A:$C,MATCH($C$1,Database!$A$1:$C$1,),))</f>
        <v/>
      </c>
      <c r="D8225">
        <f>IFERROR(Table7[[#This Row],[United States 10y]]-Table7[[#This Row],[United States 3y]],#N/A)</f>
        <v/>
      </c>
    </row>
    <row r="8226">
      <c r="A8226" s="6">
        <f>Database!$A10311</f>
        <v/>
      </c>
      <c r="B8226">
        <f>IF(VLOOKUP(Table7[[#This Row],[Date]],Database!$A:$C,MATCH($B$1,Database!$A$1:$C$1,),)=0,#N/A,VLOOKUP(Table7[[#This Row],[Date]],Database!$A:$C,MATCH($B$1,Database!$A$1:$C$1,),))</f>
        <v/>
      </c>
      <c r="C8226">
        <f>IF(VLOOKUP(Table7[[#This Row],[Date]],Database!$A:$C,MATCH($C$1,Database!$A$1:$C$1,),)=0,#N/A,VLOOKUP(Table7[[#This Row],[Date]],Database!$A:$C,MATCH($C$1,Database!$A$1:$C$1,),))</f>
        <v/>
      </c>
      <c r="D8226">
        <f>IFERROR(Table7[[#This Row],[United States 10y]]-Table7[[#This Row],[United States 3y]],#N/A)</f>
        <v/>
      </c>
    </row>
    <row r="8227">
      <c r="A8227" s="6">
        <f>Database!$A10312</f>
        <v/>
      </c>
      <c r="B8227">
        <f>IF(VLOOKUP(Table7[[#This Row],[Date]],Database!$A:$C,MATCH($B$1,Database!$A$1:$C$1,),)=0,#N/A,VLOOKUP(Table7[[#This Row],[Date]],Database!$A:$C,MATCH($B$1,Database!$A$1:$C$1,),))</f>
        <v/>
      </c>
      <c r="C8227">
        <f>IF(VLOOKUP(Table7[[#This Row],[Date]],Database!$A:$C,MATCH($C$1,Database!$A$1:$C$1,),)=0,#N/A,VLOOKUP(Table7[[#This Row],[Date]],Database!$A:$C,MATCH($C$1,Database!$A$1:$C$1,),))</f>
        <v/>
      </c>
      <c r="D8227">
        <f>IFERROR(Table7[[#This Row],[United States 10y]]-Table7[[#This Row],[United States 3y]],#N/A)</f>
        <v/>
      </c>
    </row>
    <row r="8228">
      <c r="A8228" s="6">
        <f>Database!$A10313</f>
        <v/>
      </c>
      <c r="B8228">
        <f>IF(VLOOKUP(Table7[[#This Row],[Date]],Database!$A:$C,MATCH($B$1,Database!$A$1:$C$1,),)=0,#N/A,VLOOKUP(Table7[[#This Row],[Date]],Database!$A:$C,MATCH($B$1,Database!$A$1:$C$1,),))</f>
        <v/>
      </c>
      <c r="C8228">
        <f>IF(VLOOKUP(Table7[[#This Row],[Date]],Database!$A:$C,MATCH($C$1,Database!$A$1:$C$1,),)=0,#N/A,VLOOKUP(Table7[[#This Row],[Date]],Database!$A:$C,MATCH($C$1,Database!$A$1:$C$1,),))</f>
        <v/>
      </c>
      <c r="D8228">
        <f>IFERROR(Table7[[#This Row],[United States 10y]]-Table7[[#This Row],[United States 3y]],#N/A)</f>
        <v/>
      </c>
    </row>
    <row r="8229">
      <c r="A8229" s="6">
        <f>Database!$A10314</f>
        <v/>
      </c>
      <c r="B8229">
        <f>IF(VLOOKUP(Table7[[#This Row],[Date]],Database!$A:$C,MATCH($B$1,Database!$A$1:$C$1,),)=0,#N/A,VLOOKUP(Table7[[#This Row],[Date]],Database!$A:$C,MATCH($B$1,Database!$A$1:$C$1,),))</f>
        <v/>
      </c>
      <c r="C8229">
        <f>IF(VLOOKUP(Table7[[#This Row],[Date]],Database!$A:$C,MATCH($C$1,Database!$A$1:$C$1,),)=0,#N/A,VLOOKUP(Table7[[#This Row],[Date]],Database!$A:$C,MATCH($C$1,Database!$A$1:$C$1,),))</f>
        <v/>
      </c>
      <c r="D8229">
        <f>IFERROR(Table7[[#This Row],[United States 10y]]-Table7[[#This Row],[United States 3y]],#N/A)</f>
        <v/>
      </c>
    </row>
    <row r="8230">
      <c r="A8230" s="6">
        <f>Database!$A10315</f>
        <v/>
      </c>
      <c r="B8230">
        <f>IF(VLOOKUP(Table7[[#This Row],[Date]],Database!$A:$C,MATCH($B$1,Database!$A$1:$C$1,),)=0,#N/A,VLOOKUP(Table7[[#This Row],[Date]],Database!$A:$C,MATCH($B$1,Database!$A$1:$C$1,),))</f>
        <v/>
      </c>
      <c r="C8230">
        <f>IF(VLOOKUP(Table7[[#This Row],[Date]],Database!$A:$C,MATCH($C$1,Database!$A$1:$C$1,),)=0,#N/A,VLOOKUP(Table7[[#This Row],[Date]],Database!$A:$C,MATCH($C$1,Database!$A$1:$C$1,),))</f>
        <v/>
      </c>
      <c r="D8230">
        <f>IFERROR(Table7[[#This Row],[United States 10y]]-Table7[[#This Row],[United States 3y]],#N/A)</f>
        <v/>
      </c>
    </row>
    <row r="8231">
      <c r="A8231" s="6">
        <f>Database!$A10316</f>
        <v/>
      </c>
      <c r="B8231">
        <f>IF(VLOOKUP(Table7[[#This Row],[Date]],Database!$A:$C,MATCH($B$1,Database!$A$1:$C$1,),)=0,#N/A,VLOOKUP(Table7[[#This Row],[Date]],Database!$A:$C,MATCH($B$1,Database!$A$1:$C$1,),))</f>
        <v/>
      </c>
      <c r="C8231">
        <f>IF(VLOOKUP(Table7[[#This Row],[Date]],Database!$A:$C,MATCH($C$1,Database!$A$1:$C$1,),)=0,#N/A,VLOOKUP(Table7[[#This Row],[Date]],Database!$A:$C,MATCH($C$1,Database!$A$1:$C$1,),))</f>
        <v/>
      </c>
      <c r="D8231">
        <f>IFERROR(Table7[[#This Row],[United States 10y]]-Table7[[#This Row],[United States 3y]],#N/A)</f>
        <v/>
      </c>
    </row>
    <row r="8232">
      <c r="A8232" s="6">
        <f>Database!$A10317</f>
        <v/>
      </c>
      <c r="B8232">
        <f>IF(VLOOKUP(Table7[[#This Row],[Date]],Database!$A:$C,MATCH($B$1,Database!$A$1:$C$1,),)=0,#N/A,VLOOKUP(Table7[[#This Row],[Date]],Database!$A:$C,MATCH($B$1,Database!$A$1:$C$1,),))</f>
        <v/>
      </c>
      <c r="C8232">
        <f>IF(VLOOKUP(Table7[[#This Row],[Date]],Database!$A:$C,MATCH($C$1,Database!$A$1:$C$1,),)=0,#N/A,VLOOKUP(Table7[[#This Row],[Date]],Database!$A:$C,MATCH($C$1,Database!$A$1:$C$1,),))</f>
        <v/>
      </c>
      <c r="D8232">
        <f>IFERROR(Table7[[#This Row],[United States 10y]]-Table7[[#This Row],[United States 3y]],#N/A)</f>
        <v/>
      </c>
    </row>
    <row r="8233">
      <c r="A8233" s="6">
        <f>Database!$A10318</f>
        <v/>
      </c>
      <c r="B8233">
        <f>IF(VLOOKUP(Table7[[#This Row],[Date]],Database!$A:$C,MATCH($B$1,Database!$A$1:$C$1,),)=0,#N/A,VLOOKUP(Table7[[#This Row],[Date]],Database!$A:$C,MATCH($B$1,Database!$A$1:$C$1,),))</f>
        <v/>
      </c>
      <c r="C8233">
        <f>IF(VLOOKUP(Table7[[#This Row],[Date]],Database!$A:$C,MATCH($C$1,Database!$A$1:$C$1,),)=0,#N/A,VLOOKUP(Table7[[#This Row],[Date]],Database!$A:$C,MATCH($C$1,Database!$A$1:$C$1,),))</f>
        <v/>
      </c>
      <c r="D8233">
        <f>IFERROR(Table7[[#This Row],[United States 10y]]-Table7[[#This Row],[United States 3y]],#N/A)</f>
        <v/>
      </c>
    </row>
    <row r="8234">
      <c r="A8234" s="6">
        <f>Database!$A10319</f>
        <v/>
      </c>
      <c r="B8234">
        <f>IF(VLOOKUP(Table7[[#This Row],[Date]],Database!$A:$C,MATCH($B$1,Database!$A$1:$C$1,),)=0,#N/A,VLOOKUP(Table7[[#This Row],[Date]],Database!$A:$C,MATCH($B$1,Database!$A$1:$C$1,),))</f>
        <v/>
      </c>
      <c r="C8234">
        <f>IF(VLOOKUP(Table7[[#This Row],[Date]],Database!$A:$C,MATCH($C$1,Database!$A$1:$C$1,),)=0,#N/A,VLOOKUP(Table7[[#This Row],[Date]],Database!$A:$C,MATCH($C$1,Database!$A$1:$C$1,),))</f>
        <v/>
      </c>
      <c r="D8234">
        <f>IFERROR(Table7[[#This Row],[United States 10y]]-Table7[[#This Row],[United States 3y]],#N/A)</f>
        <v/>
      </c>
    </row>
    <row r="8235">
      <c r="A8235" s="6">
        <f>Database!$A10320</f>
        <v/>
      </c>
      <c r="B8235">
        <f>IF(VLOOKUP(Table7[[#This Row],[Date]],Database!$A:$C,MATCH($B$1,Database!$A$1:$C$1,),)=0,#N/A,VLOOKUP(Table7[[#This Row],[Date]],Database!$A:$C,MATCH($B$1,Database!$A$1:$C$1,),))</f>
        <v/>
      </c>
      <c r="C8235">
        <f>IF(VLOOKUP(Table7[[#This Row],[Date]],Database!$A:$C,MATCH($C$1,Database!$A$1:$C$1,),)=0,#N/A,VLOOKUP(Table7[[#This Row],[Date]],Database!$A:$C,MATCH($C$1,Database!$A$1:$C$1,),))</f>
        <v/>
      </c>
      <c r="D8235">
        <f>IFERROR(Table7[[#This Row],[United States 10y]]-Table7[[#This Row],[United States 3y]],#N/A)</f>
        <v/>
      </c>
    </row>
    <row r="8236">
      <c r="A8236" s="6">
        <f>Database!$A10321</f>
        <v/>
      </c>
      <c r="B8236">
        <f>IF(VLOOKUP(Table7[[#This Row],[Date]],Database!$A:$C,MATCH($B$1,Database!$A$1:$C$1,),)=0,#N/A,VLOOKUP(Table7[[#This Row],[Date]],Database!$A:$C,MATCH($B$1,Database!$A$1:$C$1,),))</f>
        <v/>
      </c>
      <c r="C8236">
        <f>IF(VLOOKUP(Table7[[#This Row],[Date]],Database!$A:$C,MATCH($C$1,Database!$A$1:$C$1,),)=0,#N/A,VLOOKUP(Table7[[#This Row],[Date]],Database!$A:$C,MATCH($C$1,Database!$A$1:$C$1,),))</f>
        <v/>
      </c>
      <c r="D8236">
        <f>IFERROR(Table7[[#This Row],[United States 10y]]-Table7[[#This Row],[United States 3y]],#N/A)</f>
        <v/>
      </c>
    </row>
    <row r="8237">
      <c r="A8237" s="6">
        <f>Database!$A10322</f>
        <v/>
      </c>
      <c r="B8237">
        <f>IF(VLOOKUP(Table7[[#This Row],[Date]],Database!$A:$C,MATCH($B$1,Database!$A$1:$C$1,),)=0,#N/A,VLOOKUP(Table7[[#This Row],[Date]],Database!$A:$C,MATCH($B$1,Database!$A$1:$C$1,),))</f>
        <v/>
      </c>
      <c r="C8237">
        <f>IF(VLOOKUP(Table7[[#This Row],[Date]],Database!$A:$C,MATCH($C$1,Database!$A$1:$C$1,),)=0,#N/A,VLOOKUP(Table7[[#This Row],[Date]],Database!$A:$C,MATCH($C$1,Database!$A$1:$C$1,),))</f>
        <v/>
      </c>
      <c r="D8237">
        <f>IFERROR(Table7[[#This Row],[United States 10y]]-Table7[[#This Row],[United States 3y]],#N/A)</f>
        <v/>
      </c>
    </row>
    <row r="8238">
      <c r="A8238" s="6">
        <f>Database!$A10323</f>
        <v/>
      </c>
      <c r="B8238">
        <f>IF(VLOOKUP(Table7[[#This Row],[Date]],Database!$A:$C,MATCH($B$1,Database!$A$1:$C$1,),)=0,#N/A,VLOOKUP(Table7[[#This Row],[Date]],Database!$A:$C,MATCH($B$1,Database!$A$1:$C$1,),))</f>
        <v/>
      </c>
      <c r="C8238">
        <f>IF(VLOOKUP(Table7[[#This Row],[Date]],Database!$A:$C,MATCH($C$1,Database!$A$1:$C$1,),)=0,#N/A,VLOOKUP(Table7[[#This Row],[Date]],Database!$A:$C,MATCH($C$1,Database!$A$1:$C$1,),))</f>
        <v/>
      </c>
      <c r="D8238">
        <f>IFERROR(Table7[[#This Row],[United States 10y]]-Table7[[#This Row],[United States 3y]],#N/A)</f>
        <v/>
      </c>
    </row>
    <row r="8239">
      <c r="A8239" s="6">
        <f>Database!$A10324</f>
        <v/>
      </c>
      <c r="B8239">
        <f>IF(VLOOKUP(Table7[[#This Row],[Date]],Database!$A:$C,MATCH($B$1,Database!$A$1:$C$1,),)=0,#N/A,VLOOKUP(Table7[[#This Row],[Date]],Database!$A:$C,MATCH($B$1,Database!$A$1:$C$1,),))</f>
        <v/>
      </c>
      <c r="C8239">
        <f>IF(VLOOKUP(Table7[[#This Row],[Date]],Database!$A:$C,MATCH($C$1,Database!$A$1:$C$1,),)=0,#N/A,VLOOKUP(Table7[[#This Row],[Date]],Database!$A:$C,MATCH($C$1,Database!$A$1:$C$1,),))</f>
        <v/>
      </c>
      <c r="D8239">
        <f>IFERROR(Table7[[#This Row],[United States 10y]]-Table7[[#This Row],[United States 3y]],#N/A)</f>
        <v/>
      </c>
    </row>
    <row r="8240">
      <c r="A8240" s="6">
        <f>Database!$A10325</f>
        <v/>
      </c>
      <c r="B8240">
        <f>IF(VLOOKUP(Table7[[#This Row],[Date]],Database!$A:$C,MATCH($B$1,Database!$A$1:$C$1,),)=0,#N/A,VLOOKUP(Table7[[#This Row],[Date]],Database!$A:$C,MATCH($B$1,Database!$A$1:$C$1,),))</f>
        <v/>
      </c>
      <c r="C8240">
        <f>IF(VLOOKUP(Table7[[#This Row],[Date]],Database!$A:$C,MATCH($C$1,Database!$A$1:$C$1,),)=0,#N/A,VLOOKUP(Table7[[#This Row],[Date]],Database!$A:$C,MATCH($C$1,Database!$A$1:$C$1,),))</f>
        <v/>
      </c>
      <c r="D8240">
        <f>IFERROR(Table7[[#This Row],[United States 10y]]-Table7[[#This Row],[United States 3y]],#N/A)</f>
        <v/>
      </c>
    </row>
    <row r="8241">
      <c r="A8241" s="6">
        <f>Database!$A10326</f>
        <v/>
      </c>
      <c r="B8241">
        <f>IF(VLOOKUP(Table7[[#This Row],[Date]],Database!$A:$C,MATCH($B$1,Database!$A$1:$C$1,),)=0,#N/A,VLOOKUP(Table7[[#This Row],[Date]],Database!$A:$C,MATCH($B$1,Database!$A$1:$C$1,),))</f>
        <v/>
      </c>
      <c r="C8241">
        <f>IF(VLOOKUP(Table7[[#This Row],[Date]],Database!$A:$C,MATCH($C$1,Database!$A$1:$C$1,),)=0,#N/A,VLOOKUP(Table7[[#This Row],[Date]],Database!$A:$C,MATCH($C$1,Database!$A$1:$C$1,),))</f>
        <v/>
      </c>
      <c r="D8241">
        <f>IFERROR(Table7[[#This Row],[United States 10y]]-Table7[[#This Row],[United States 3y]],#N/A)</f>
        <v/>
      </c>
    </row>
    <row r="8242">
      <c r="A8242" s="6">
        <f>Database!$A10327</f>
        <v/>
      </c>
      <c r="B8242">
        <f>IF(VLOOKUP(Table7[[#This Row],[Date]],Database!$A:$C,MATCH($B$1,Database!$A$1:$C$1,),)=0,#N/A,VLOOKUP(Table7[[#This Row],[Date]],Database!$A:$C,MATCH($B$1,Database!$A$1:$C$1,),))</f>
        <v/>
      </c>
      <c r="C8242">
        <f>IF(VLOOKUP(Table7[[#This Row],[Date]],Database!$A:$C,MATCH($C$1,Database!$A$1:$C$1,),)=0,#N/A,VLOOKUP(Table7[[#This Row],[Date]],Database!$A:$C,MATCH($C$1,Database!$A$1:$C$1,),))</f>
        <v/>
      </c>
      <c r="D8242">
        <f>IFERROR(Table7[[#This Row],[United States 10y]]-Table7[[#This Row],[United States 3y]],#N/A)</f>
        <v/>
      </c>
    </row>
    <row r="8243">
      <c r="A8243" s="6">
        <f>Database!$A10328</f>
        <v/>
      </c>
      <c r="B8243">
        <f>IF(VLOOKUP(Table7[[#This Row],[Date]],Database!$A:$C,MATCH($B$1,Database!$A$1:$C$1,),)=0,#N/A,VLOOKUP(Table7[[#This Row],[Date]],Database!$A:$C,MATCH($B$1,Database!$A$1:$C$1,),))</f>
        <v/>
      </c>
      <c r="C8243">
        <f>IF(VLOOKUP(Table7[[#This Row],[Date]],Database!$A:$C,MATCH($C$1,Database!$A$1:$C$1,),)=0,#N/A,VLOOKUP(Table7[[#This Row],[Date]],Database!$A:$C,MATCH($C$1,Database!$A$1:$C$1,),))</f>
        <v/>
      </c>
      <c r="D8243">
        <f>IFERROR(Table7[[#This Row],[United States 10y]]-Table7[[#This Row],[United States 3y]],#N/A)</f>
        <v/>
      </c>
    </row>
    <row r="8244">
      <c r="A8244" s="6">
        <f>Database!$A10329</f>
        <v/>
      </c>
      <c r="B8244">
        <f>IF(VLOOKUP(Table7[[#This Row],[Date]],Database!$A:$C,MATCH($B$1,Database!$A$1:$C$1,),)=0,#N/A,VLOOKUP(Table7[[#This Row],[Date]],Database!$A:$C,MATCH($B$1,Database!$A$1:$C$1,),))</f>
        <v/>
      </c>
      <c r="C8244">
        <f>IF(VLOOKUP(Table7[[#This Row],[Date]],Database!$A:$C,MATCH($C$1,Database!$A$1:$C$1,),)=0,#N/A,VLOOKUP(Table7[[#This Row],[Date]],Database!$A:$C,MATCH($C$1,Database!$A$1:$C$1,),))</f>
        <v/>
      </c>
      <c r="D8244">
        <f>IFERROR(Table7[[#This Row],[United States 10y]]-Table7[[#This Row],[United States 3y]],#N/A)</f>
        <v/>
      </c>
    </row>
    <row r="8245">
      <c r="A8245" s="6">
        <f>Database!$A10330</f>
        <v/>
      </c>
      <c r="B8245">
        <f>IF(VLOOKUP(Table7[[#This Row],[Date]],Database!$A:$C,MATCH($B$1,Database!$A$1:$C$1,),)=0,#N/A,VLOOKUP(Table7[[#This Row],[Date]],Database!$A:$C,MATCH($B$1,Database!$A$1:$C$1,),))</f>
        <v/>
      </c>
      <c r="C8245">
        <f>IF(VLOOKUP(Table7[[#This Row],[Date]],Database!$A:$C,MATCH($C$1,Database!$A$1:$C$1,),)=0,#N/A,VLOOKUP(Table7[[#This Row],[Date]],Database!$A:$C,MATCH($C$1,Database!$A$1:$C$1,),))</f>
        <v/>
      </c>
      <c r="D8245">
        <f>IFERROR(Table7[[#This Row],[United States 10y]]-Table7[[#This Row],[United States 3y]],#N/A)</f>
        <v/>
      </c>
    </row>
    <row r="8246">
      <c r="A8246" s="6">
        <f>Database!$A10331</f>
        <v/>
      </c>
      <c r="B8246">
        <f>IF(VLOOKUP(Table7[[#This Row],[Date]],Database!$A:$C,MATCH($B$1,Database!$A$1:$C$1,),)=0,#N/A,VLOOKUP(Table7[[#This Row],[Date]],Database!$A:$C,MATCH($B$1,Database!$A$1:$C$1,),))</f>
        <v/>
      </c>
      <c r="C8246">
        <f>IF(VLOOKUP(Table7[[#This Row],[Date]],Database!$A:$C,MATCH($C$1,Database!$A$1:$C$1,),)=0,#N/A,VLOOKUP(Table7[[#This Row],[Date]],Database!$A:$C,MATCH($C$1,Database!$A$1:$C$1,),))</f>
        <v/>
      </c>
      <c r="D8246">
        <f>IFERROR(Table7[[#This Row],[United States 10y]]-Table7[[#This Row],[United States 3y]],#N/A)</f>
        <v/>
      </c>
    </row>
    <row r="8247">
      <c r="A8247" s="6">
        <f>Database!$A10332</f>
        <v/>
      </c>
      <c r="B8247">
        <f>IF(VLOOKUP(Table7[[#This Row],[Date]],Database!$A:$C,MATCH($B$1,Database!$A$1:$C$1,),)=0,#N/A,VLOOKUP(Table7[[#This Row],[Date]],Database!$A:$C,MATCH($B$1,Database!$A$1:$C$1,),))</f>
        <v/>
      </c>
      <c r="C8247">
        <f>IF(VLOOKUP(Table7[[#This Row],[Date]],Database!$A:$C,MATCH($C$1,Database!$A$1:$C$1,),)=0,#N/A,VLOOKUP(Table7[[#This Row],[Date]],Database!$A:$C,MATCH($C$1,Database!$A$1:$C$1,),))</f>
        <v/>
      </c>
      <c r="D8247">
        <f>IFERROR(Table7[[#This Row],[United States 10y]]-Table7[[#This Row],[United States 3y]],#N/A)</f>
        <v/>
      </c>
    </row>
    <row r="8248">
      <c r="A8248" s="6">
        <f>Database!$A10333</f>
        <v/>
      </c>
      <c r="B8248">
        <f>IF(VLOOKUP(Table7[[#This Row],[Date]],Database!$A:$C,MATCH($B$1,Database!$A$1:$C$1,),)=0,#N/A,VLOOKUP(Table7[[#This Row],[Date]],Database!$A:$C,MATCH($B$1,Database!$A$1:$C$1,),))</f>
        <v/>
      </c>
      <c r="C8248">
        <f>IF(VLOOKUP(Table7[[#This Row],[Date]],Database!$A:$C,MATCH($C$1,Database!$A$1:$C$1,),)=0,#N/A,VLOOKUP(Table7[[#This Row],[Date]],Database!$A:$C,MATCH($C$1,Database!$A$1:$C$1,),))</f>
        <v/>
      </c>
      <c r="D8248">
        <f>IFERROR(Table7[[#This Row],[United States 10y]]-Table7[[#This Row],[United States 3y]],#N/A)</f>
        <v/>
      </c>
    </row>
    <row r="8249">
      <c r="A8249" s="6">
        <f>Database!$A10334</f>
        <v/>
      </c>
      <c r="B8249">
        <f>IF(VLOOKUP(Table7[[#This Row],[Date]],Database!$A:$C,MATCH($B$1,Database!$A$1:$C$1,),)=0,#N/A,VLOOKUP(Table7[[#This Row],[Date]],Database!$A:$C,MATCH($B$1,Database!$A$1:$C$1,),))</f>
        <v/>
      </c>
      <c r="C8249">
        <f>IF(VLOOKUP(Table7[[#This Row],[Date]],Database!$A:$C,MATCH($C$1,Database!$A$1:$C$1,),)=0,#N/A,VLOOKUP(Table7[[#This Row],[Date]],Database!$A:$C,MATCH($C$1,Database!$A$1:$C$1,),))</f>
        <v/>
      </c>
      <c r="D8249">
        <f>IFERROR(Table7[[#This Row],[United States 10y]]-Table7[[#This Row],[United States 3y]],#N/A)</f>
        <v/>
      </c>
    </row>
    <row r="8250">
      <c r="A8250" s="6">
        <f>Database!$A10335</f>
        <v/>
      </c>
      <c r="B8250">
        <f>IF(VLOOKUP(Table7[[#This Row],[Date]],Database!$A:$C,MATCH($B$1,Database!$A$1:$C$1,),)=0,#N/A,VLOOKUP(Table7[[#This Row],[Date]],Database!$A:$C,MATCH($B$1,Database!$A$1:$C$1,),))</f>
        <v/>
      </c>
      <c r="C8250">
        <f>IF(VLOOKUP(Table7[[#This Row],[Date]],Database!$A:$C,MATCH($C$1,Database!$A$1:$C$1,),)=0,#N/A,VLOOKUP(Table7[[#This Row],[Date]],Database!$A:$C,MATCH($C$1,Database!$A$1:$C$1,),))</f>
        <v/>
      </c>
      <c r="D8250">
        <f>IFERROR(Table7[[#This Row],[United States 10y]]-Table7[[#This Row],[United States 3y]],#N/A)</f>
        <v/>
      </c>
    </row>
    <row r="8251">
      <c r="A8251" s="6">
        <f>Database!$A10336</f>
        <v/>
      </c>
      <c r="B8251">
        <f>IF(VLOOKUP(Table7[[#This Row],[Date]],Database!$A:$C,MATCH($B$1,Database!$A$1:$C$1,),)=0,#N/A,VLOOKUP(Table7[[#This Row],[Date]],Database!$A:$C,MATCH($B$1,Database!$A$1:$C$1,),))</f>
        <v/>
      </c>
      <c r="C8251">
        <f>IF(VLOOKUP(Table7[[#This Row],[Date]],Database!$A:$C,MATCH($C$1,Database!$A$1:$C$1,),)=0,#N/A,VLOOKUP(Table7[[#This Row],[Date]],Database!$A:$C,MATCH($C$1,Database!$A$1:$C$1,),))</f>
        <v/>
      </c>
      <c r="D8251">
        <f>IFERROR(Table7[[#This Row],[United States 10y]]-Table7[[#This Row],[United States 3y]],#N/A)</f>
        <v/>
      </c>
    </row>
    <row r="8252">
      <c r="A8252" s="6">
        <f>Database!$A10337</f>
        <v/>
      </c>
      <c r="B8252">
        <f>IF(VLOOKUP(Table7[[#This Row],[Date]],Database!$A:$C,MATCH($B$1,Database!$A$1:$C$1,),)=0,#N/A,VLOOKUP(Table7[[#This Row],[Date]],Database!$A:$C,MATCH($B$1,Database!$A$1:$C$1,),))</f>
        <v/>
      </c>
      <c r="C8252">
        <f>IF(VLOOKUP(Table7[[#This Row],[Date]],Database!$A:$C,MATCH($C$1,Database!$A$1:$C$1,),)=0,#N/A,VLOOKUP(Table7[[#This Row],[Date]],Database!$A:$C,MATCH($C$1,Database!$A$1:$C$1,),))</f>
        <v/>
      </c>
      <c r="D8252">
        <f>IFERROR(Table7[[#This Row],[United States 10y]]-Table7[[#This Row],[United States 3y]],#N/A)</f>
        <v/>
      </c>
    </row>
    <row r="8253">
      <c r="A8253" s="6">
        <f>Database!$A10338</f>
        <v/>
      </c>
      <c r="B8253">
        <f>IF(VLOOKUP(Table7[[#This Row],[Date]],Database!$A:$C,MATCH($B$1,Database!$A$1:$C$1,),)=0,#N/A,VLOOKUP(Table7[[#This Row],[Date]],Database!$A:$C,MATCH($B$1,Database!$A$1:$C$1,),))</f>
        <v/>
      </c>
      <c r="C8253">
        <f>IF(VLOOKUP(Table7[[#This Row],[Date]],Database!$A:$C,MATCH($C$1,Database!$A$1:$C$1,),)=0,#N/A,VLOOKUP(Table7[[#This Row],[Date]],Database!$A:$C,MATCH($C$1,Database!$A$1:$C$1,),))</f>
        <v/>
      </c>
      <c r="D8253">
        <f>IFERROR(Table7[[#This Row],[United States 10y]]-Table7[[#This Row],[United States 3y]],#N/A)</f>
        <v/>
      </c>
    </row>
    <row r="8254">
      <c r="A8254" s="6">
        <f>Database!$A10339</f>
        <v/>
      </c>
      <c r="B8254">
        <f>IF(VLOOKUP(Table7[[#This Row],[Date]],Database!$A:$C,MATCH($B$1,Database!$A$1:$C$1,),)=0,#N/A,VLOOKUP(Table7[[#This Row],[Date]],Database!$A:$C,MATCH($B$1,Database!$A$1:$C$1,),))</f>
        <v/>
      </c>
      <c r="C8254">
        <f>IF(VLOOKUP(Table7[[#This Row],[Date]],Database!$A:$C,MATCH($C$1,Database!$A$1:$C$1,),)=0,#N/A,VLOOKUP(Table7[[#This Row],[Date]],Database!$A:$C,MATCH($C$1,Database!$A$1:$C$1,),))</f>
        <v/>
      </c>
      <c r="D8254">
        <f>IFERROR(Table7[[#This Row],[United States 10y]]-Table7[[#This Row],[United States 3y]],#N/A)</f>
        <v/>
      </c>
    </row>
    <row r="8255">
      <c r="A8255" s="6">
        <f>Database!$A10340</f>
        <v/>
      </c>
      <c r="B8255">
        <f>IF(VLOOKUP(Table7[[#This Row],[Date]],Database!$A:$C,MATCH($B$1,Database!$A$1:$C$1,),)=0,#N/A,VLOOKUP(Table7[[#This Row],[Date]],Database!$A:$C,MATCH($B$1,Database!$A$1:$C$1,),))</f>
        <v/>
      </c>
      <c r="C8255">
        <f>IF(VLOOKUP(Table7[[#This Row],[Date]],Database!$A:$C,MATCH($C$1,Database!$A$1:$C$1,),)=0,#N/A,VLOOKUP(Table7[[#This Row],[Date]],Database!$A:$C,MATCH($C$1,Database!$A$1:$C$1,),))</f>
        <v/>
      </c>
      <c r="D8255">
        <f>IFERROR(Table7[[#This Row],[United States 10y]]-Table7[[#This Row],[United States 3y]],#N/A)</f>
        <v/>
      </c>
    </row>
    <row r="8256">
      <c r="A8256" s="6">
        <f>Database!$A10341</f>
        <v/>
      </c>
      <c r="B8256">
        <f>IF(VLOOKUP(Table7[[#This Row],[Date]],Database!$A:$C,MATCH($B$1,Database!$A$1:$C$1,),)=0,#N/A,VLOOKUP(Table7[[#This Row],[Date]],Database!$A:$C,MATCH($B$1,Database!$A$1:$C$1,),))</f>
        <v/>
      </c>
      <c r="C8256">
        <f>IF(VLOOKUP(Table7[[#This Row],[Date]],Database!$A:$C,MATCH($C$1,Database!$A$1:$C$1,),)=0,#N/A,VLOOKUP(Table7[[#This Row],[Date]],Database!$A:$C,MATCH($C$1,Database!$A$1:$C$1,),))</f>
        <v/>
      </c>
      <c r="D8256">
        <f>IFERROR(Table7[[#This Row],[United States 10y]]-Table7[[#This Row],[United States 3y]],#N/A)</f>
        <v/>
      </c>
    </row>
    <row r="8257">
      <c r="A8257" s="6">
        <f>Database!$A10342</f>
        <v/>
      </c>
      <c r="B8257">
        <f>IF(VLOOKUP(Table7[[#This Row],[Date]],Database!$A:$C,MATCH($B$1,Database!$A$1:$C$1,),)=0,#N/A,VLOOKUP(Table7[[#This Row],[Date]],Database!$A:$C,MATCH($B$1,Database!$A$1:$C$1,),))</f>
        <v/>
      </c>
      <c r="C8257">
        <f>IF(VLOOKUP(Table7[[#This Row],[Date]],Database!$A:$C,MATCH($C$1,Database!$A$1:$C$1,),)=0,#N/A,VLOOKUP(Table7[[#This Row],[Date]],Database!$A:$C,MATCH($C$1,Database!$A$1:$C$1,),))</f>
        <v/>
      </c>
      <c r="D8257">
        <f>IFERROR(Table7[[#This Row],[United States 10y]]-Table7[[#This Row],[United States 3y]],#N/A)</f>
        <v/>
      </c>
    </row>
    <row r="8258">
      <c r="A8258" s="6">
        <f>Database!$A10343</f>
        <v/>
      </c>
      <c r="B8258">
        <f>IF(VLOOKUP(Table7[[#This Row],[Date]],Database!$A:$C,MATCH($B$1,Database!$A$1:$C$1,),)=0,#N/A,VLOOKUP(Table7[[#This Row],[Date]],Database!$A:$C,MATCH($B$1,Database!$A$1:$C$1,),))</f>
        <v/>
      </c>
      <c r="C8258">
        <f>IF(VLOOKUP(Table7[[#This Row],[Date]],Database!$A:$C,MATCH($C$1,Database!$A$1:$C$1,),)=0,#N/A,VLOOKUP(Table7[[#This Row],[Date]],Database!$A:$C,MATCH($C$1,Database!$A$1:$C$1,),))</f>
        <v/>
      </c>
      <c r="D8258">
        <f>IFERROR(Table7[[#This Row],[United States 10y]]-Table7[[#This Row],[United States 3y]],#N/A)</f>
        <v/>
      </c>
    </row>
    <row r="8259">
      <c r="A8259" s="6">
        <f>Database!$A10344</f>
        <v/>
      </c>
      <c r="B8259">
        <f>IF(VLOOKUP(Table7[[#This Row],[Date]],Database!$A:$C,MATCH($B$1,Database!$A$1:$C$1,),)=0,#N/A,VLOOKUP(Table7[[#This Row],[Date]],Database!$A:$C,MATCH($B$1,Database!$A$1:$C$1,),))</f>
        <v/>
      </c>
      <c r="C8259">
        <f>IF(VLOOKUP(Table7[[#This Row],[Date]],Database!$A:$C,MATCH($C$1,Database!$A$1:$C$1,),)=0,#N/A,VLOOKUP(Table7[[#This Row],[Date]],Database!$A:$C,MATCH($C$1,Database!$A$1:$C$1,),))</f>
        <v/>
      </c>
      <c r="D8259">
        <f>IFERROR(Table7[[#This Row],[United States 10y]]-Table7[[#This Row],[United States 3y]],#N/A)</f>
        <v/>
      </c>
    </row>
    <row r="8260">
      <c r="A8260" s="6">
        <f>Database!$A10345</f>
        <v/>
      </c>
      <c r="B8260">
        <f>IF(VLOOKUP(Table7[[#This Row],[Date]],Database!$A:$C,MATCH($B$1,Database!$A$1:$C$1,),)=0,#N/A,VLOOKUP(Table7[[#This Row],[Date]],Database!$A:$C,MATCH($B$1,Database!$A$1:$C$1,),))</f>
        <v/>
      </c>
      <c r="C8260">
        <f>IF(VLOOKUP(Table7[[#This Row],[Date]],Database!$A:$C,MATCH($C$1,Database!$A$1:$C$1,),)=0,#N/A,VLOOKUP(Table7[[#This Row],[Date]],Database!$A:$C,MATCH($C$1,Database!$A$1:$C$1,),))</f>
        <v/>
      </c>
      <c r="D8260">
        <f>IFERROR(Table7[[#This Row],[United States 10y]]-Table7[[#This Row],[United States 3y]],#N/A)</f>
        <v/>
      </c>
    </row>
    <row r="8261">
      <c r="A8261" s="6">
        <f>Database!$A10346</f>
        <v/>
      </c>
      <c r="B8261">
        <f>IF(VLOOKUP(Table7[[#This Row],[Date]],Database!$A:$C,MATCH($B$1,Database!$A$1:$C$1,),)=0,#N/A,VLOOKUP(Table7[[#This Row],[Date]],Database!$A:$C,MATCH($B$1,Database!$A$1:$C$1,),))</f>
        <v/>
      </c>
      <c r="C8261">
        <f>IF(VLOOKUP(Table7[[#This Row],[Date]],Database!$A:$C,MATCH($C$1,Database!$A$1:$C$1,),)=0,#N/A,VLOOKUP(Table7[[#This Row],[Date]],Database!$A:$C,MATCH($C$1,Database!$A$1:$C$1,),))</f>
        <v/>
      </c>
      <c r="D8261">
        <f>IFERROR(Table7[[#This Row],[United States 10y]]-Table7[[#This Row],[United States 3y]],#N/A)</f>
        <v/>
      </c>
    </row>
    <row r="8262">
      <c r="A8262" s="6">
        <f>Database!$A10347</f>
        <v/>
      </c>
      <c r="B8262">
        <f>IF(VLOOKUP(Table7[[#This Row],[Date]],Database!$A:$C,MATCH($B$1,Database!$A$1:$C$1,),)=0,#N/A,VLOOKUP(Table7[[#This Row],[Date]],Database!$A:$C,MATCH($B$1,Database!$A$1:$C$1,),))</f>
        <v/>
      </c>
      <c r="C8262">
        <f>IF(VLOOKUP(Table7[[#This Row],[Date]],Database!$A:$C,MATCH($C$1,Database!$A$1:$C$1,),)=0,#N/A,VLOOKUP(Table7[[#This Row],[Date]],Database!$A:$C,MATCH($C$1,Database!$A$1:$C$1,),))</f>
        <v/>
      </c>
      <c r="D8262">
        <f>IFERROR(Table7[[#This Row],[United States 10y]]-Table7[[#This Row],[United States 3y]],#N/A)</f>
        <v/>
      </c>
    </row>
    <row r="8263">
      <c r="A8263" s="6">
        <f>Database!$A10348</f>
        <v/>
      </c>
      <c r="B8263">
        <f>IF(VLOOKUP(Table7[[#This Row],[Date]],Database!$A:$C,MATCH($B$1,Database!$A$1:$C$1,),)=0,#N/A,VLOOKUP(Table7[[#This Row],[Date]],Database!$A:$C,MATCH($B$1,Database!$A$1:$C$1,),))</f>
        <v/>
      </c>
      <c r="C8263">
        <f>IF(VLOOKUP(Table7[[#This Row],[Date]],Database!$A:$C,MATCH($C$1,Database!$A$1:$C$1,),)=0,#N/A,VLOOKUP(Table7[[#This Row],[Date]],Database!$A:$C,MATCH($C$1,Database!$A$1:$C$1,),))</f>
        <v/>
      </c>
      <c r="D8263">
        <f>IFERROR(Table7[[#This Row],[United States 10y]]-Table7[[#This Row],[United States 3y]],#N/A)</f>
        <v/>
      </c>
    </row>
    <row r="8264">
      <c r="A8264" s="6">
        <f>Database!$A10349</f>
        <v/>
      </c>
      <c r="B8264">
        <f>IF(VLOOKUP(Table7[[#This Row],[Date]],Database!$A:$C,MATCH($B$1,Database!$A$1:$C$1,),)=0,#N/A,VLOOKUP(Table7[[#This Row],[Date]],Database!$A:$C,MATCH($B$1,Database!$A$1:$C$1,),))</f>
        <v/>
      </c>
      <c r="C8264">
        <f>IF(VLOOKUP(Table7[[#This Row],[Date]],Database!$A:$C,MATCH($C$1,Database!$A$1:$C$1,),)=0,#N/A,VLOOKUP(Table7[[#This Row],[Date]],Database!$A:$C,MATCH($C$1,Database!$A$1:$C$1,),))</f>
        <v/>
      </c>
      <c r="D8264">
        <f>IFERROR(Table7[[#This Row],[United States 10y]]-Table7[[#This Row],[United States 3y]],#N/A)</f>
        <v/>
      </c>
    </row>
    <row r="8265">
      <c r="A8265" s="6">
        <f>Database!$A10350</f>
        <v/>
      </c>
      <c r="B8265">
        <f>IF(VLOOKUP(Table7[[#This Row],[Date]],Database!$A:$C,MATCH($B$1,Database!$A$1:$C$1,),)=0,#N/A,VLOOKUP(Table7[[#This Row],[Date]],Database!$A:$C,MATCH($B$1,Database!$A$1:$C$1,),))</f>
        <v/>
      </c>
      <c r="C8265">
        <f>IF(VLOOKUP(Table7[[#This Row],[Date]],Database!$A:$C,MATCH($C$1,Database!$A$1:$C$1,),)=0,#N/A,VLOOKUP(Table7[[#This Row],[Date]],Database!$A:$C,MATCH($C$1,Database!$A$1:$C$1,),))</f>
        <v/>
      </c>
      <c r="D8265">
        <f>IFERROR(Table7[[#This Row],[United States 10y]]-Table7[[#This Row],[United States 3y]],#N/A)</f>
        <v/>
      </c>
    </row>
    <row r="8266">
      <c r="A8266" s="6">
        <f>Database!$A10351</f>
        <v/>
      </c>
      <c r="B8266">
        <f>IF(VLOOKUP(Table7[[#This Row],[Date]],Database!$A:$C,MATCH($B$1,Database!$A$1:$C$1,),)=0,#N/A,VLOOKUP(Table7[[#This Row],[Date]],Database!$A:$C,MATCH($B$1,Database!$A$1:$C$1,),))</f>
        <v/>
      </c>
      <c r="C8266">
        <f>IF(VLOOKUP(Table7[[#This Row],[Date]],Database!$A:$C,MATCH($C$1,Database!$A$1:$C$1,),)=0,#N/A,VLOOKUP(Table7[[#This Row],[Date]],Database!$A:$C,MATCH($C$1,Database!$A$1:$C$1,),))</f>
        <v/>
      </c>
      <c r="D8266">
        <f>IFERROR(Table7[[#This Row],[United States 10y]]-Table7[[#This Row],[United States 3y]],#N/A)</f>
        <v/>
      </c>
    </row>
    <row r="8267">
      <c r="A8267" s="6">
        <f>Database!$A10352</f>
        <v/>
      </c>
      <c r="B8267">
        <f>IF(VLOOKUP(Table7[[#This Row],[Date]],Database!$A:$C,MATCH($B$1,Database!$A$1:$C$1,),)=0,#N/A,VLOOKUP(Table7[[#This Row],[Date]],Database!$A:$C,MATCH($B$1,Database!$A$1:$C$1,),))</f>
        <v/>
      </c>
      <c r="C8267">
        <f>IF(VLOOKUP(Table7[[#This Row],[Date]],Database!$A:$C,MATCH($C$1,Database!$A$1:$C$1,),)=0,#N/A,VLOOKUP(Table7[[#This Row],[Date]],Database!$A:$C,MATCH($C$1,Database!$A$1:$C$1,),))</f>
        <v/>
      </c>
      <c r="D8267">
        <f>IFERROR(Table7[[#This Row],[United States 10y]]-Table7[[#This Row],[United States 3y]],#N/A)</f>
        <v/>
      </c>
    </row>
    <row r="8268">
      <c r="A8268" s="6">
        <f>Database!$A10353</f>
        <v/>
      </c>
      <c r="B8268">
        <f>IF(VLOOKUP(Table7[[#This Row],[Date]],Database!$A:$C,MATCH($B$1,Database!$A$1:$C$1,),)=0,#N/A,VLOOKUP(Table7[[#This Row],[Date]],Database!$A:$C,MATCH($B$1,Database!$A$1:$C$1,),))</f>
        <v/>
      </c>
      <c r="C8268">
        <f>IF(VLOOKUP(Table7[[#This Row],[Date]],Database!$A:$C,MATCH($C$1,Database!$A$1:$C$1,),)=0,#N/A,VLOOKUP(Table7[[#This Row],[Date]],Database!$A:$C,MATCH($C$1,Database!$A$1:$C$1,),))</f>
        <v/>
      </c>
      <c r="D8268">
        <f>IFERROR(Table7[[#This Row],[United States 10y]]-Table7[[#This Row],[United States 3y]],#N/A)</f>
        <v/>
      </c>
    </row>
    <row r="8269">
      <c r="A8269" s="6">
        <f>Database!$A10354</f>
        <v/>
      </c>
      <c r="B8269">
        <f>IF(VLOOKUP(Table7[[#This Row],[Date]],Database!$A:$C,MATCH($B$1,Database!$A$1:$C$1,),)=0,#N/A,VLOOKUP(Table7[[#This Row],[Date]],Database!$A:$C,MATCH($B$1,Database!$A$1:$C$1,),))</f>
        <v/>
      </c>
      <c r="C8269">
        <f>IF(VLOOKUP(Table7[[#This Row],[Date]],Database!$A:$C,MATCH($C$1,Database!$A$1:$C$1,),)=0,#N/A,VLOOKUP(Table7[[#This Row],[Date]],Database!$A:$C,MATCH($C$1,Database!$A$1:$C$1,),))</f>
        <v/>
      </c>
      <c r="D8269">
        <f>IFERROR(Table7[[#This Row],[United States 10y]]-Table7[[#This Row],[United States 3y]],#N/A)</f>
        <v/>
      </c>
    </row>
    <row r="8270">
      <c r="A8270" s="6">
        <f>Database!$A10355</f>
        <v/>
      </c>
      <c r="B8270">
        <f>IF(VLOOKUP(Table7[[#This Row],[Date]],Database!$A:$C,MATCH($B$1,Database!$A$1:$C$1,),)=0,#N/A,VLOOKUP(Table7[[#This Row],[Date]],Database!$A:$C,MATCH($B$1,Database!$A$1:$C$1,),))</f>
        <v/>
      </c>
      <c r="C8270">
        <f>IF(VLOOKUP(Table7[[#This Row],[Date]],Database!$A:$C,MATCH($C$1,Database!$A$1:$C$1,),)=0,#N/A,VLOOKUP(Table7[[#This Row],[Date]],Database!$A:$C,MATCH($C$1,Database!$A$1:$C$1,),))</f>
        <v/>
      </c>
      <c r="D8270">
        <f>IFERROR(Table7[[#This Row],[United States 10y]]-Table7[[#This Row],[United States 3y]],#N/A)</f>
        <v/>
      </c>
    </row>
    <row r="8271">
      <c r="A8271" s="6">
        <f>Database!$A10356</f>
        <v/>
      </c>
      <c r="B8271">
        <f>IF(VLOOKUP(Table7[[#This Row],[Date]],Database!$A:$C,MATCH($B$1,Database!$A$1:$C$1,),)=0,#N/A,VLOOKUP(Table7[[#This Row],[Date]],Database!$A:$C,MATCH($B$1,Database!$A$1:$C$1,),))</f>
        <v/>
      </c>
      <c r="C8271">
        <f>IF(VLOOKUP(Table7[[#This Row],[Date]],Database!$A:$C,MATCH($C$1,Database!$A$1:$C$1,),)=0,#N/A,VLOOKUP(Table7[[#This Row],[Date]],Database!$A:$C,MATCH($C$1,Database!$A$1:$C$1,),))</f>
        <v/>
      </c>
      <c r="D8271">
        <f>IFERROR(Table7[[#This Row],[United States 10y]]-Table7[[#This Row],[United States 3y]],#N/A)</f>
        <v/>
      </c>
    </row>
    <row r="8272">
      <c r="A8272" s="6">
        <f>Database!$A10357</f>
        <v/>
      </c>
      <c r="B8272">
        <f>IF(VLOOKUP(Table7[[#This Row],[Date]],Database!$A:$C,MATCH($B$1,Database!$A$1:$C$1,),)=0,#N/A,VLOOKUP(Table7[[#This Row],[Date]],Database!$A:$C,MATCH($B$1,Database!$A$1:$C$1,),))</f>
        <v/>
      </c>
      <c r="C8272">
        <f>IF(VLOOKUP(Table7[[#This Row],[Date]],Database!$A:$C,MATCH($C$1,Database!$A$1:$C$1,),)=0,#N/A,VLOOKUP(Table7[[#This Row],[Date]],Database!$A:$C,MATCH($C$1,Database!$A$1:$C$1,),))</f>
        <v/>
      </c>
      <c r="D8272">
        <f>IFERROR(Table7[[#This Row],[United States 10y]]-Table7[[#This Row],[United States 3y]],#N/A)</f>
        <v/>
      </c>
    </row>
    <row r="8273">
      <c r="A8273" s="6">
        <f>Database!$A10358</f>
        <v/>
      </c>
      <c r="B8273">
        <f>IF(VLOOKUP(Table7[[#This Row],[Date]],Database!$A:$C,MATCH($B$1,Database!$A$1:$C$1,),)=0,#N/A,VLOOKUP(Table7[[#This Row],[Date]],Database!$A:$C,MATCH($B$1,Database!$A$1:$C$1,),))</f>
        <v/>
      </c>
      <c r="C8273">
        <f>IF(VLOOKUP(Table7[[#This Row],[Date]],Database!$A:$C,MATCH($C$1,Database!$A$1:$C$1,),)=0,#N/A,VLOOKUP(Table7[[#This Row],[Date]],Database!$A:$C,MATCH($C$1,Database!$A$1:$C$1,),))</f>
        <v/>
      </c>
      <c r="D8273">
        <f>IFERROR(Table7[[#This Row],[United States 10y]]-Table7[[#This Row],[United States 3y]],#N/A)</f>
        <v/>
      </c>
    </row>
    <row r="8274">
      <c r="A8274" s="6">
        <f>Database!$A10359</f>
        <v/>
      </c>
      <c r="B8274">
        <f>IF(VLOOKUP(Table7[[#This Row],[Date]],Database!$A:$C,MATCH($B$1,Database!$A$1:$C$1,),)=0,#N/A,VLOOKUP(Table7[[#This Row],[Date]],Database!$A:$C,MATCH($B$1,Database!$A$1:$C$1,),))</f>
        <v/>
      </c>
      <c r="C8274">
        <f>IF(VLOOKUP(Table7[[#This Row],[Date]],Database!$A:$C,MATCH($C$1,Database!$A$1:$C$1,),)=0,#N/A,VLOOKUP(Table7[[#This Row],[Date]],Database!$A:$C,MATCH($C$1,Database!$A$1:$C$1,),))</f>
        <v/>
      </c>
      <c r="D8274">
        <f>IFERROR(Table7[[#This Row],[United States 10y]]-Table7[[#This Row],[United States 3y]],#N/A)</f>
        <v/>
      </c>
    </row>
    <row r="8275">
      <c r="A8275" s="6">
        <f>Database!$A10360</f>
        <v/>
      </c>
      <c r="B8275">
        <f>IF(VLOOKUP(Table7[[#This Row],[Date]],Database!$A:$C,MATCH($B$1,Database!$A$1:$C$1,),)=0,#N/A,VLOOKUP(Table7[[#This Row],[Date]],Database!$A:$C,MATCH($B$1,Database!$A$1:$C$1,),))</f>
        <v/>
      </c>
      <c r="C8275">
        <f>IF(VLOOKUP(Table7[[#This Row],[Date]],Database!$A:$C,MATCH($C$1,Database!$A$1:$C$1,),)=0,#N/A,VLOOKUP(Table7[[#This Row],[Date]],Database!$A:$C,MATCH($C$1,Database!$A$1:$C$1,),))</f>
        <v/>
      </c>
      <c r="D8275">
        <f>IFERROR(Table7[[#This Row],[United States 10y]]-Table7[[#This Row],[United States 3y]],#N/A)</f>
        <v/>
      </c>
    </row>
    <row r="8276">
      <c r="A8276" s="6">
        <f>Database!$A10361</f>
        <v/>
      </c>
      <c r="B8276">
        <f>IF(VLOOKUP(Table7[[#This Row],[Date]],Database!$A:$C,MATCH($B$1,Database!$A$1:$C$1,),)=0,#N/A,VLOOKUP(Table7[[#This Row],[Date]],Database!$A:$C,MATCH($B$1,Database!$A$1:$C$1,),))</f>
        <v/>
      </c>
      <c r="C8276">
        <f>IF(VLOOKUP(Table7[[#This Row],[Date]],Database!$A:$C,MATCH($C$1,Database!$A$1:$C$1,),)=0,#N/A,VLOOKUP(Table7[[#This Row],[Date]],Database!$A:$C,MATCH($C$1,Database!$A$1:$C$1,),))</f>
        <v/>
      </c>
      <c r="D8276">
        <f>IFERROR(Table7[[#This Row],[United States 10y]]-Table7[[#This Row],[United States 3y]],#N/A)</f>
        <v/>
      </c>
    </row>
    <row r="8277">
      <c r="A8277" s="6">
        <f>Database!$A10362</f>
        <v/>
      </c>
      <c r="B8277">
        <f>IF(VLOOKUP(Table7[[#This Row],[Date]],Database!$A:$C,MATCH($B$1,Database!$A$1:$C$1,),)=0,#N/A,VLOOKUP(Table7[[#This Row],[Date]],Database!$A:$C,MATCH($B$1,Database!$A$1:$C$1,),))</f>
        <v/>
      </c>
      <c r="C8277">
        <f>IF(VLOOKUP(Table7[[#This Row],[Date]],Database!$A:$C,MATCH($C$1,Database!$A$1:$C$1,),)=0,#N/A,VLOOKUP(Table7[[#This Row],[Date]],Database!$A:$C,MATCH($C$1,Database!$A$1:$C$1,),))</f>
        <v/>
      </c>
      <c r="D8277">
        <f>IFERROR(Table7[[#This Row],[United States 10y]]-Table7[[#This Row],[United States 3y]],#N/A)</f>
        <v/>
      </c>
    </row>
    <row r="8278">
      <c r="A8278" s="6">
        <f>Database!$A10363</f>
        <v/>
      </c>
      <c r="B8278">
        <f>IF(VLOOKUP(Table7[[#This Row],[Date]],Database!$A:$C,MATCH($B$1,Database!$A$1:$C$1,),)=0,#N/A,VLOOKUP(Table7[[#This Row],[Date]],Database!$A:$C,MATCH($B$1,Database!$A$1:$C$1,),))</f>
        <v/>
      </c>
      <c r="C8278">
        <f>IF(VLOOKUP(Table7[[#This Row],[Date]],Database!$A:$C,MATCH($C$1,Database!$A$1:$C$1,),)=0,#N/A,VLOOKUP(Table7[[#This Row],[Date]],Database!$A:$C,MATCH($C$1,Database!$A$1:$C$1,),))</f>
        <v/>
      </c>
      <c r="D8278">
        <f>IFERROR(Table7[[#This Row],[United States 10y]]-Table7[[#This Row],[United States 3y]],#N/A)</f>
        <v/>
      </c>
    </row>
    <row r="8279">
      <c r="A8279" s="6">
        <f>Database!$A10364</f>
        <v/>
      </c>
      <c r="B8279">
        <f>IF(VLOOKUP(Table7[[#This Row],[Date]],Database!$A:$C,MATCH($B$1,Database!$A$1:$C$1,),)=0,#N/A,VLOOKUP(Table7[[#This Row],[Date]],Database!$A:$C,MATCH($B$1,Database!$A$1:$C$1,),))</f>
        <v/>
      </c>
      <c r="C8279">
        <f>IF(VLOOKUP(Table7[[#This Row],[Date]],Database!$A:$C,MATCH($C$1,Database!$A$1:$C$1,),)=0,#N/A,VLOOKUP(Table7[[#This Row],[Date]],Database!$A:$C,MATCH($C$1,Database!$A$1:$C$1,),))</f>
        <v/>
      </c>
      <c r="D8279">
        <f>IFERROR(Table7[[#This Row],[United States 10y]]-Table7[[#This Row],[United States 3y]],#N/A)</f>
        <v/>
      </c>
    </row>
    <row r="8280">
      <c r="A8280" s="6">
        <f>Database!$A10365</f>
        <v/>
      </c>
      <c r="B8280">
        <f>IF(VLOOKUP(Table7[[#This Row],[Date]],Database!$A:$C,MATCH($B$1,Database!$A$1:$C$1,),)=0,#N/A,VLOOKUP(Table7[[#This Row],[Date]],Database!$A:$C,MATCH($B$1,Database!$A$1:$C$1,),))</f>
        <v/>
      </c>
      <c r="C8280">
        <f>IF(VLOOKUP(Table7[[#This Row],[Date]],Database!$A:$C,MATCH($C$1,Database!$A$1:$C$1,),)=0,#N/A,VLOOKUP(Table7[[#This Row],[Date]],Database!$A:$C,MATCH($C$1,Database!$A$1:$C$1,),))</f>
        <v/>
      </c>
      <c r="D8280">
        <f>IFERROR(Table7[[#This Row],[United States 10y]]-Table7[[#This Row],[United States 3y]],#N/A)</f>
        <v/>
      </c>
    </row>
    <row r="8281">
      <c r="A8281" s="6">
        <f>Database!$A10366</f>
        <v/>
      </c>
      <c r="B8281">
        <f>IF(VLOOKUP(Table7[[#This Row],[Date]],Database!$A:$C,MATCH($B$1,Database!$A$1:$C$1,),)=0,#N/A,VLOOKUP(Table7[[#This Row],[Date]],Database!$A:$C,MATCH($B$1,Database!$A$1:$C$1,),))</f>
        <v/>
      </c>
      <c r="C8281">
        <f>IF(VLOOKUP(Table7[[#This Row],[Date]],Database!$A:$C,MATCH($C$1,Database!$A$1:$C$1,),)=0,#N/A,VLOOKUP(Table7[[#This Row],[Date]],Database!$A:$C,MATCH($C$1,Database!$A$1:$C$1,),))</f>
        <v/>
      </c>
      <c r="D8281">
        <f>IFERROR(Table7[[#This Row],[United States 10y]]-Table7[[#This Row],[United States 3y]],#N/A)</f>
        <v/>
      </c>
    </row>
    <row r="8282">
      <c r="A8282" s="6">
        <f>Database!$A10367</f>
        <v/>
      </c>
      <c r="B8282">
        <f>IF(VLOOKUP(Table7[[#This Row],[Date]],Database!$A:$C,MATCH($B$1,Database!$A$1:$C$1,),)=0,#N/A,VLOOKUP(Table7[[#This Row],[Date]],Database!$A:$C,MATCH($B$1,Database!$A$1:$C$1,),))</f>
        <v/>
      </c>
      <c r="C8282">
        <f>IF(VLOOKUP(Table7[[#This Row],[Date]],Database!$A:$C,MATCH($C$1,Database!$A$1:$C$1,),)=0,#N/A,VLOOKUP(Table7[[#This Row],[Date]],Database!$A:$C,MATCH($C$1,Database!$A$1:$C$1,),))</f>
        <v/>
      </c>
      <c r="D8282">
        <f>IFERROR(Table7[[#This Row],[United States 10y]]-Table7[[#This Row],[United States 3y]],#N/A)</f>
        <v/>
      </c>
    </row>
    <row r="8283">
      <c r="A8283" s="6">
        <f>Database!$A10368</f>
        <v/>
      </c>
      <c r="B8283">
        <f>IF(VLOOKUP(Table7[[#This Row],[Date]],Database!$A:$C,MATCH($B$1,Database!$A$1:$C$1,),)=0,#N/A,VLOOKUP(Table7[[#This Row],[Date]],Database!$A:$C,MATCH($B$1,Database!$A$1:$C$1,),))</f>
        <v/>
      </c>
      <c r="C8283">
        <f>IF(VLOOKUP(Table7[[#This Row],[Date]],Database!$A:$C,MATCH($C$1,Database!$A$1:$C$1,),)=0,#N/A,VLOOKUP(Table7[[#This Row],[Date]],Database!$A:$C,MATCH($C$1,Database!$A$1:$C$1,),))</f>
        <v/>
      </c>
      <c r="D8283">
        <f>IFERROR(Table7[[#This Row],[United States 10y]]-Table7[[#This Row],[United States 3y]],#N/A)</f>
        <v/>
      </c>
    </row>
    <row r="8284">
      <c r="A8284" s="6">
        <f>Database!$A10369</f>
        <v/>
      </c>
      <c r="B8284">
        <f>IF(VLOOKUP(Table7[[#This Row],[Date]],Database!$A:$C,MATCH($B$1,Database!$A$1:$C$1,),)=0,#N/A,VLOOKUP(Table7[[#This Row],[Date]],Database!$A:$C,MATCH($B$1,Database!$A$1:$C$1,),))</f>
        <v/>
      </c>
      <c r="C8284">
        <f>IF(VLOOKUP(Table7[[#This Row],[Date]],Database!$A:$C,MATCH($C$1,Database!$A$1:$C$1,),)=0,#N/A,VLOOKUP(Table7[[#This Row],[Date]],Database!$A:$C,MATCH($C$1,Database!$A$1:$C$1,),))</f>
        <v/>
      </c>
      <c r="D8284">
        <f>IFERROR(Table7[[#This Row],[United States 10y]]-Table7[[#This Row],[United States 3y]],#N/A)</f>
        <v/>
      </c>
    </row>
    <row r="8285">
      <c r="A8285" s="6">
        <f>Database!$A10370</f>
        <v/>
      </c>
      <c r="B8285">
        <f>IF(VLOOKUP(Table7[[#This Row],[Date]],Database!$A:$C,MATCH($B$1,Database!$A$1:$C$1,),)=0,#N/A,VLOOKUP(Table7[[#This Row],[Date]],Database!$A:$C,MATCH($B$1,Database!$A$1:$C$1,),))</f>
        <v/>
      </c>
      <c r="C8285">
        <f>IF(VLOOKUP(Table7[[#This Row],[Date]],Database!$A:$C,MATCH($C$1,Database!$A$1:$C$1,),)=0,#N/A,VLOOKUP(Table7[[#This Row],[Date]],Database!$A:$C,MATCH($C$1,Database!$A$1:$C$1,),))</f>
        <v/>
      </c>
      <c r="D8285">
        <f>IFERROR(Table7[[#This Row],[United States 10y]]-Table7[[#This Row],[United States 3y]],#N/A)</f>
        <v/>
      </c>
    </row>
    <row r="8286">
      <c r="A8286" s="6">
        <f>Database!$A10371</f>
        <v/>
      </c>
      <c r="B8286">
        <f>IF(VLOOKUP(Table7[[#This Row],[Date]],Database!$A:$C,MATCH($B$1,Database!$A$1:$C$1,),)=0,#N/A,VLOOKUP(Table7[[#This Row],[Date]],Database!$A:$C,MATCH($B$1,Database!$A$1:$C$1,),))</f>
        <v/>
      </c>
      <c r="C8286">
        <f>IF(VLOOKUP(Table7[[#This Row],[Date]],Database!$A:$C,MATCH($C$1,Database!$A$1:$C$1,),)=0,#N/A,VLOOKUP(Table7[[#This Row],[Date]],Database!$A:$C,MATCH($C$1,Database!$A$1:$C$1,),))</f>
        <v/>
      </c>
      <c r="D8286">
        <f>IFERROR(Table7[[#This Row],[United States 10y]]-Table7[[#This Row],[United States 3y]],#N/A)</f>
        <v/>
      </c>
    </row>
    <row r="8287">
      <c r="A8287" s="6">
        <f>Database!$A10372</f>
        <v/>
      </c>
      <c r="B8287">
        <f>IF(VLOOKUP(Table7[[#This Row],[Date]],Database!$A:$C,MATCH($B$1,Database!$A$1:$C$1,),)=0,#N/A,VLOOKUP(Table7[[#This Row],[Date]],Database!$A:$C,MATCH($B$1,Database!$A$1:$C$1,),))</f>
        <v/>
      </c>
      <c r="C8287">
        <f>IF(VLOOKUP(Table7[[#This Row],[Date]],Database!$A:$C,MATCH($C$1,Database!$A$1:$C$1,),)=0,#N/A,VLOOKUP(Table7[[#This Row],[Date]],Database!$A:$C,MATCH($C$1,Database!$A$1:$C$1,),))</f>
        <v/>
      </c>
      <c r="D8287">
        <f>IFERROR(Table7[[#This Row],[United States 10y]]-Table7[[#This Row],[United States 3y]],#N/A)</f>
        <v/>
      </c>
    </row>
    <row r="8288">
      <c r="A8288" s="6">
        <f>Database!$A10373</f>
        <v/>
      </c>
      <c r="B8288">
        <f>IF(VLOOKUP(Table7[[#This Row],[Date]],Database!$A:$C,MATCH($B$1,Database!$A$1:$C$1,),)=0,#N/A,VLOOKUP(Table7[[#This Row],[Date]],Database!$A:$C,MATCH($B$1,Database!$A$1:$C$1,),))</f>
        <v/>
      </c>
      <c r="C8288">
        <f>IF(VLOOKUP(Table7[[#This Row],[Date]],Database!$A:$C,MATCH($C$1,Database!$A$1:$C$1,),)=0,#N/A,VLOOKUP(Table7[[#This Row],[Date]],Database!$A:$C,MATCH($C$1,Database!$A$1:$C$1,),))</f>
        <v/>
      </c>
      <c r="D8288">
        <f>IFERROR(Table7[[#This Row],[United States 10y]]-Table7[[#This Row],[United States 3y]],#N/A)</f>
        <v/>
      </c>
    </row>
    <row r="8289">
      <c r="A8289" s="6">
        <f>Database!$A10374</f>
        <v/>
      </c>
      <c r="B8289">
        <f>IF(VLOOKUP(Table7[[#This Row],[Date]],Database!$A:$C,MATCH($B$1,Database!$A$1:$C$1,),)=0,#N/A,VLOOKUP(Table7[[#This Row],[Date]],Database!$A:$C,MATCH($B$1,Database!$A$1:$C$1,),))</f>
        <v/>
      </c>
      <c r="C8289">
        <f>IF(VLOOKUP(Table7[[#This Row],[Date]],Database!$A:$C,MATCH($C$1,Database!$A$1:$C$1,),)=0,#N/A,VLOOKUP(Table7[[#This Row],[Date]],Database!$A:$C,MATCH($C$1,Database!$A$1:$C$1,),))</f>
        <v/>
      </c>
      <c r="D8289">
        <f>IFERROR(Table7[[#This Row],[United States 10y]]-Table7[[#This Row],[United States 3y]],#N/A)</f>
        <v/>
      </c>
    </row>
    <row r="8290">
      <c r="A8290" s="6">
        <f>Database!$A10375</f>
        <v/>
      </c>
      <c r="B8290">
        <f>IF(VLOOKUP(Table7[[#This Row],[Date]],Database!$A:$C,MATCH($B$1,Database!$A$1:$C$1,),)=0,#N/A,VLOOKUP(Table7[[#This Row],[Date]],Database!$A:$C,MATCH($B$1,Database!$A$1:$C$1,),))</f>
        <v/>
      </c>
      <c r="C8290">
        <f>IF(VLOOKUP(Table7[[#This Row],[Date]],Database!$A:$C,MATCH($C$1,Database!$A$1:$C$1,),)=0,#N/A,VLOOKUP(Table7[[#This Row],[Date]],Database!$A:$C,MATCH($C$1,Database!$A$1:$C$1,),))</f>
        <v/>
      </c>
      <c r="D8290">
        <f>IFERROR(Table7[[#This Row],[United States 10y]]-Table7[[#This Row],[United States 3y]],#N/A)</f>
        <v/>
      </c>
    </row>
    <row r="8291">
      <c r="A8291" s="6">
        <f>Database!$A10376</f>
        <v/>
      </c>
      <c r="B8291">
        <f>IF(VLOOKUP(Table7[[#This Row],[Date]],Database!$A:$C,MATCH($B$1,Database!$A$1:$C$1,),)=0,#N/A,VLOOKUP(Table7[[#This Row],[Date]],Database!$A:$C,MATCH($B$1,Database!$A$1:$C$1,),))</f>
        <v/>
      </c>
      <c r="C8291">
        <f>IF(VLOOKUP(Table7[[#This Row],[Date]],Database!$A:$C,MATCH($C$1,Database!$A$1:$C$1,),)=0,#N/A,VLOOKUP(Table7[[#This Row],[Date]],Database!$A:$C,MATCH($C$1,Database!$A$1:$C$1,),))</f>
        <v/>
      </c>
      <c r="D8291">
        <f>IFERROR(Table7[[#This Row],[United States 10y]]-Table7[[#This Row],[United States 3y]],#N/A)</f>
        <v/>
      </c>
    </row>
    <row r="8292">
      <c r="A8292" s="6">
        <f>Database!$A10377</f>
        <v/>
      </c>
      <c r="B8292">
        <f>IF(VLOOKUP(Table7[[#This Row],[Date]],Database!$A:$C,MATCH($B$1,Database!$A$1:$C$1,),)=0,#N/A,VLOOKUP(Table7[[#This Row],[Date]],Database!$A:$C,MATCH($B$1,Database!$A$1:$C$1,),))</f>
        <v/>
      </c>
      <c r="C8292">
        <f>IF(VLOOKUP(Table7[[#This Row],[Date]],Database!$A:$C,MATCH($C$1,Database!$A$1:$C$1,),)=0,#N/A,VLOOKUP(Table7[[#This Row],[Date]],Database!$A:$C,MATCH($C$1,Database!$A$1:$C$1,),))</f>
        <v/>
      </c>
      <c r="D8292">
        <f>IFERROR(Table7[[#This Row],[United States 10y]]-Table7[[#This Row],[United States 3y]],#N/A)</f>
        <v/>
      </c>
    </row>
    <row r="8293">
      <c r="A8293" s="6">
        <f>Database!$A10378</f>
        <v/>
      </c>
      <c r="B8293">
        <f>IF(VLOOKUP(Table7[[#This Row],[Date]],Database!$A:$C,MATCH($B$1,Database!$A$1:$C$1,),)=0,#N/A,VLOOKUP(Table7[[#This Row],[Date]],Database!$A:$C,MATCH($B$1,Database!$A$1:$C$1,),))</f>
        <v/>
      </c>
      <c r="C8293">
        <f>IF(VLOOKUP(Table7[[#This Row],[Date]],Database!$A:$C,MATCH($C$1,Database!$A$1:$C$1,),)=0,#N/A,VLOOKUP(Table7[[#This Row],[Date]],Database!$A:$C,MATCH($C$1,Database!$A$1:$C$1,),))</f>
        <v/>
      </c>
      <c r="D8293">
        <f>IFERROR(Table7[[#This Row],[United States 10y]]-Table7[[#This Row],[United States 3y]],#N/A)</f>
        <v/>
      </c>
    </row>
    <row r="8294">
      <c r="A8294" s="6">
        <f>Database!$A10379</f>
        <v/>
      </c>
      <c r="B8294">
        <f>IF(VLOOKUP(Table7[[#This Row],[Date]],Database!$A:$C,MATCH($B$1,Database!$A$1:$C$1,),)=0,#N/A,VLOOKUP(Table7[[#This Row],[Date]],Database!$A:$C,MATCH($B$1,Database!$A$1:$C$1,),))</f>
        <v/>
      </c>
      <c r="C8294">
        <f>IF(VLOOKUP(Table7[[#This Row],[Date]],Database!$A:$C,MATCH($C$1,Database!$A$1:$C$1,),)=0,#N/A,VLOOKUP(Table7[[#This Row],[Date]],Database!$A:$C,MATCH($C$1,Database!$A$1:$C$1,),))</f>
        <v/>
      </c>
      <c r="D8294">
        <f>IFERROR(Table7[[#This Row],[United States 10y]]-Table7[[#This Row],[United States 3y]],#N/A)</f>
        <v/>
      </c>
    </row>
    <row r="8295">
      <c r="A8295" s="6">
        <f>Database!$A10380</f>
        <v/>
      </c>
      <c r="B8295">
        <f>IF(VLOOKUP(Table7[[#This Row],[Date]],Database!$A:$C,MATCH($B$1,Database!$A$1:$C$1,),)=0,#N/A,VLOOKUP(Table7[[#This Row],[Date]],Database!$A:$C,MATCH($B$1,Database!$A$1:$C$1,),))</f>
        <v/>
      </c>
      <c r="C8295">
        <f>IF(VLOOKUP(Table7[[#This Row],[Date]],Database!$A:$C,MATCH($C$1,Database!$A$1:$C$1,),)=0,#N/A,VLOOKUP(Table7[[#This Row],[Date]],Database!$A:$C,MATCH($C$1,Database!$A$1:$C$1,),))</f>
        <v/>
      </c>
      <c r="D8295">
        <f>IFERROR(Table7[[#This Row],[United States 10y]]-Table7[[#This Row],[United States 3y]],#N/A)</f>
        <v/>
      </c>
    </row>
    <row r="8296">
      <c r="A8296" s="6">
        <f>Database!$A10381</f>
        <v/>
      </c>
      <c r="B8296">
        <f>IF(VLOOKUP(Table7[[#This Row],[Date]],Database!$A:$C,MATCH($B$1,Database!$A$1:$C$1,),)=0,#N/A,VLOOKUP(Table7[[#This Row],[Date]],Database!$A:$C,MATCH($B$1,Database!$A$1:$C$1,),))</f>
        <v/>
      </c>
      <c r="C8296">
        <f>IF(VLOOKUP(Table7[[#This Row],[Date]],Database!$A:$C,MATCH($C$1,Database!$A$1:$C$1,),)=0,#N/A,VLOOKUP(Table7[[#This Row],[Date]],Database!$A:$C,MATCH($C$1,Database!$A$1:$C$1,),))</f>
        <v/>
      </c>
      <c r="D8296">
        <f>IFERROR(Table7[[#This Row],[United States 10y]]-Table7[[#This Row],[United States 3y]],#N/A)</f>
        <v/>
      </c>
    </row>
    <row r="8297">
      <c r="A8297" s="6">
        <f>Database!$A10382</f>
        <v/>
      </c>
      <c r="B8297">
        <f>IF(VLOOKUP(Table7[[#This Row],[Date]],Database!$A:$C,MATCH($B$1,Database!$A$1:$C$1,),)=0,#N/A,VLOOKUP(Table7[[#This Row],[Date]],Database!$A:$C,MATCH($B$1,Database!$A$1:$C$1,),))</f>
        <v/>
      </c>
      <c r="C8297">
        <f>IF(VLOOKUP(Table7[[#This Row],[Date]],Database!$A:$C,MATCH($C$1,Database!$A$1:$C$1,),)=0,#N/A,VLOOKUP(Table7[[#This Row],[Date]],Database!$A:$C,MATCH($C$1,Database!$A$1:$C$1,),))</f>
        <v/>
      </c>
      <c r="D8297">
        <f>IFERROR(Table7[[#This Row],[United States 10y]]-Table7[[#This Row],[United States 3y]],#N/A)</f>
        <v/>
      </c>
    </row>
    <row r="8298">
      <c r="A8298" s="6">
        <f>Database!$A10383</f>
        <v/>
      </c>
      <c r="B8298">
        <f>IF(VLOOKUP(Table7[[#This Row],[Date]],Database!$A:$C,MATCH($B$1,Database!$A$1:$C$1,),)=0,#N/A,VLOOKUP(Table7[[#This Row],[Date]],Database!$A:$C,MATCH($B$1,Database!$A$1:$C$1,),))</f>
        <v/>
      </c>
      <c r="C8298">
        <f>IF(VLOOKUP(Table7[[#This Row],[Date]],Database!$A:$C,MATCH($C$1,Database!$A$1:$C$1,),)=0,#N/A,VLOOKUP(Table7[[#This Row],[Date]],Database!$A:$C,MATCH($C$1,Database!$A$1:$C$1,),))</f>
        <v/>
      </c>
      <c r="D8298">
        <f>IFERROR(Table7[[#This Row],[United States 10y]]-Table7[[#This Row],[United States 3y]],#N/A)</f>
        <v/>
      </c>
    </row>
    <row r="8299">
      <c r="A8299" s="6">
        <f>Database!$A10384</f>
        <v/>
      </c>
      <c r="B8299">
        <f>IF(VLOOKUP(Table7[[#This Row],[Date]],Database!$A:$C,MATCH($B$1,Database!$A$1:$C$1,),)=0,#N/A,VLOOKUP(Table7[[#This Row],[Date]],Database!$A:$C,MATCH($B$1,Database!$A$1:$C$1,),))</f>
        <v/>
      </c>
      <c r="C8299">
        <f>IF(VLOOKUP(Table7[[#This Row],[Date]],Database!$A:$C,MATCH($C$1,Database!$A$1:$C$1,),)=0,#N/A,VLOOKUP(Table7[[#This Row],[Date]],Database!$A:$C,MATCH($C$1,Database!$A$1:$C$1,),))</f>
        <v/>
      </c>
      <c r="D8299">
        <f>IFERROR(Table7[[#This Row],[United States 10y]]-Table7[[#This Row],[United States 3y]],#N/A)</f>
        <v/>
      </c>
    </row>
    <row r="8300">
      <c r="A8300" s="6">
        <f>Database!$A10385</f>
        <v/>
      </c>
      <c r="B8300">
        <f>IF(VLOOKUP(Table7[[#This Row],[Date]],Database!$A:$C,MATCH($B$1,Database!$A$1:$C$1,),)=0,#N/A,VLOOKUP(Table7[[#This Row],[Date]],Database!$A:$C,MATCH($B$1,Database!$A$1:$C$1,),))</f>
        <v/>
      </c>
      <c r="C8300">
        <f>IF(VLOOKUP(Table7[[#This Row],[Date]],Database!$A:$C,MATCH($C$1,Database!$A$1:$C$1,),)=0,#N/A,VLOOKUP(Table7[[#This Row],[Date]],Database!$A:$C,MATCH($C$1,Database!$A$1:$C$1,),))</f>
        <v/>
      </c>
      <c r="D8300">
        <f>IFERROR(Table7[[#This Row],[United States 10y]]-Table7[[#This Row],[United States 3y]],#N/A)</f>
        <v/>
      </c>
    </row>
    <row r="8301">
      <c r="A8301" s="6">
        <f>Database!$A10386</f>
        <v/>
      </c>
      <c r="B8301">
        <f>IF(VLOOKUP(Table7[[#This Row],[Date]],Database!$A:$C,MATCH($B$1,Database!$A$1:$C$1,),)=0,#N/A,VLOOKUP(Table7[[#This Row],[Date]],Database!$A:$C,MATCH($B$1,Database!$A$1:$C$1,),))</f>
        <v/>
      </c>
      <c r="C8301">
        <f>IF(VLOOKUP(Table7[[#This Row],[Date]],Database!$A:$C,MATCH($C$1,Database!$A$1:$C$1,),)=0,#N/A,VLOOKUP(Table7[[#This Row],[Date]],Database!$A:$C,MATCH($C$1,Database!$A$1:$C$1,),))</f>
        <v/>
      </c>
      <c r="D8301">
        <f>IFERROR(Table7[[#This Row],[United States 10y]]-Table7[[#This Row],[United States 3y]],#N/A)</f>
        <v/>
      </c>
    </row>
    <row r="8302">
      <c r="A8302" s="6">
        <f>Database!$A10387</f>
        <v/>
      </c>
      <c r="B8302">
        <f>IF(VLOOKUP(Table7[[#This Row],[Date]],Database!$A:$C,MATCH($B$1,Database!$A$1:$C$1,),)=0,#N/A,VLOOKUP(Table7[[#This Row],[Date]],Database!$A:$C,MATCH($B$1,Database!$A$1:$C$1,),))</f>
        <v/>
      </c>
      <c r="C8302">
        <f>IF(VLOOKUP(Table7[[#This Row],[Date]],Database!$A:$C,MATCH($C$1,Database!$A$1:$C$1,),)=0,#N/A,VLOOKUP(Table7[[#This Row],[Date]],Database!$A:$C,MATCH($C$1,Database!$A$1:$C$1,),))</f>
        <v/>
      </c>
      <c r="D8302">
        <f>IFERROR(Table7[[#This Row],[United States 10y]]-Table7[[#This Row],[United States 3y]],#N/A)</f>
        <v/>
      </c>
    </row>
    <row r="8303">
      <c r="A8303" s="6">
        <f>Database!$A10388</f>
        <v/>
      </c>
      <c r="B8303">
        <f>IF(VLOOKUP(Table7[[#This Row],[Date]],Database!$A:$C,MATCH($B$1,Database!$A$1:$C$1,),)=0,#N/A,VLOOKUP(Table7[[#This Row],[Date]],Database!$A:$C,MATCH($B$1,Database!$A$1:$C$1,),))</f>
        <v/>
      </c>
      <c r="C8303">
        <f>IF(VLOOKUP(Table7[[#This Row],[Date]],Database!$A:$C,MATCH($C$1,Database!$A$1:$C$1,),)=0,#N/A,VLOOKUP(Table7[[#This Row],[Date]],Database!$A:$C,MATCH($C$1,Database!$A$1:$C$1,),))</f>
        <v/>
      </c>
      <c r="D8303">
        <f>IFERROR(Table7[[#This Row],[United States 10y]]-Table7[[#This Row],[United States 3y]],#N/A)</f>
        <v/>
      </c>
    </row>
    <row r="8304">
      <c r="A8304" s="6">
        <f>Database!$A10389</f>
        <v/>
      </c>
      <c r="B8304">
        <f>IF(VLOOKUP(Table7[[#This Row],[Date]],Database!$A:$C,MATCH($B$1,Database!$A$1:$C$1,),)=0,#N/A,VLOOKUP(Table7[[#This Row],[Date]],Database!$A:$C,MATCH($B$1,Database!$A$1:$C$1,),))</f>
        <v/>
      </c>
      <c r="C8304">
        <f>IF(VLOOKUP(Table7[[#This Row],[Date]],Database!$A:$C,MATCH($C$1,Database!$A$1:$C$1,),)=0,#N/A,VLOOKUP(Table7[[#This Row],[Date]],Database!$A:$C,MATCH($C$1,Database!$A$1:$C$1,),))</f>
        <v/>
      </c>
      <c r="D8304">
        <f>IFERROR(Table7[[#This Row],[United States 10y]]-Table7[[#This Row],[United States 3y]],#N/A)</f>
        <v/>
      </c>
    </row>
    <row r="8305">
      <c r="A8305" s="6">
        <f>Database!$A10390</f>
        <v/>
      </c>
      <c r="B8305">
        <f>IF(VLOOKUP(Table7[[#This Row],[Date]],Database!$A:$C,MATCH($B$1,Database!$A$1:$C$1,),)=0,#N/A,VLOOKUP(Table7[[#This Row],[Date]],Database!$A:$C,MATCH($B$1,Database!$A$1:$C$1,),))</f>
        <v/>
      </c>
      <c r="C8305">
        <f>IF(VLOOKUP(Table7[[#This Row],[Date]],Database!$A:$C,MATCH($C$1,Database!$A$1:$C$1,),)=0,#N/A,VLOOKUP(Table7[[#This Row],[Date]],Database!$A:$C,MATCH($C$1,Database!$A$1:$C$1,),))</f>
        <v/>
      </c>
      <c r="D8305">
        <f>IFERROR(Table7[[#This Row],[United States 10y]]-Table7[[#This Row],[United States 3y]],#N/A)</f>
        <v/>
      </c>
    </row>
    <row r="8306">
      <c r="A8306" s="6">
        <f>Database!$A10391</f>
        <v/>
      </c>
      <c r="B8306">
        <f>IF(VLOOKUP(Table7[[#This Row],[Date]],Database!$A:$C,MATCH($B$1,Database!$A$1:$C$1,),)=0,#N/A,VLOOKUP(Table7[[#This Row],[Date]],Database!$A:$C,MATCH($B$1,Database!$A$1:$C$1,),))</f>
        <v/>
      </c>
      <c r="C8306">
        <f>IF(VLOOKUP(Table7[[#This Row],[Date]],Database!$A:$C,MATCH($C$1,Database!$A$1:$C$1,),)=0,#N/A,VLOOKUP(Table7[[#This Row],[Date]],Database!$A:$C,MATCH($C$1,Database!$A$1:$C$1,),))</f>
        <v/>
      </c>
      <c r="D8306">
        <f>IFERROR(Table7[[#This Row],[United States 10y]]-Table7[[#This Row],[United States 3y]],#N/A)</f>
        <v/>
      </c>
    </row>
    <row r="8307">
      <c r="A8307" s="6">
        <f>Database!$A10392</f>
        <v/>
      </c>
      <c r="B8307">
        <f>IF(VLOOKUP(Table7[[#This Row],[Date]],Database!$A:$C,MATCH($B$1,Database!$A$1:$C$1,),)=0,#N/A,VLOOKUP(Table7[[#This Row],[Date]],Database!$A:$C,MATCH($B$1,Database!$A$1:$C$1,),))</f>
        <v/>
      </c>
      <c r="C8307">
        <f>IF(VLOOKUP(Table7[[#This Row],[Date]],Database!$A:$C,MATCH($C$1,Database!$A$1:$C$1,),)=0,#N/A,VLOOKUP(Table7[[#This Row],[Date]],Database!$A:$C,MATCH($C$1,Database!$A$1:$C$1,),))</f>
        <v/>
      </c>
      <c r="D8307">
        <f>IFERROR(Table7[[#This Row],[United States 10y]]-Table7[[#This Row],[United States 3y]],#N/A)</f>
        <v/>
      </c>
    </row>
    <row r="8308">
      <c r="A8308" s="6">
        <f>Database!$A10393</f>
        <v/>
      </c>
      <c r="B8308">
        <f>IF(VLOOKUP(Table7[[#This Row],[Date]],Database!$A:$C,MATCH($B$1,Database!$A$1:$C$1,),)=0,#N/A,VLOOKUP(Table7[[#This Row],[Date]],Database!$A:$C,MATCH($B$1,Database!$A$1:$C$1,),))</f>
        <v/>
      </c>
      <c r="C8308">
        <f>IF(VLOOKUP(Table7[[#This Row],[Date]],Database!$A:$C,MATCH($C$1,Database!$A$1:$C$1,),)=0,#N/A,VLOOKUP(Table7[[#This Row],[Date]],Database!$A:$C,MATCH($C$1,Database!$A$1:$C$1,),))</f>
        <v/>
      </c>
      <c r="D8308">
        <f>IFERROR(Table7[[#This Row],[United States 10y]]-Table7[[#This Row],[United States 3y]],#N/A)</f>
        <v/>
      </c>
    </row>
    <row r="8309">
      <c r="A8309" s="6">
        <f>Database!$A10394</f>
        <v/>
      </c>
      <c r="B8309">
        <f>IF(VLOOKUP(Table7[[#This Row],[Date]],Database!$A:$C,MATCH($B$1,Database!$A$1:$C$1,),)=0,#N/A,VLOOKUP(Table7[[#This Row],[Date]],Database!$A:$C,MATCH($B$1,Database!$A$1:$C$1,),))</f>
        <v/>
      </c>
      <c r="C8309">
        <f>IF(VLOOKUP(Table7[[#This Row],[Date]],Database!$A:$C,MATCH($C$1,Database!$A$1:$C$1,),)=0,#N/A,VLOOKUP(Table7[[#This Row],[Date]],Database!$A:$C,MATCH($C$1,Database!$A$1:$C$1,),))</f>
        <v/>
      </c>
      <c r="D8309">
        <f>IFERROR(Table7[[#This Row],[United States 10y]]-Table7[[#This Row],[United States 3y]],#N/A)</f>
        <v/>
      </c>
    </row>
    <row r="8310">
      <c r="A8310" s="6">
        <f>Database!$A10395</f>
        <v/>
      </c>
      <c r="B8310">
        <f>IF(VLOOKUP(Table7[[#This Row],[Date]],Database!$A:$C,MATCH($B$1,Database!$A$1:$C$1,),)=0,#N/A,VLOOKUP(Table7[[#This Row],[Date]],Database!$A:$C,MATCH($B$1,Database!$A$1:$C$1,),))</f>
        <v/>
      </c>
      <c r="C8310">
        <f>IF(VLOOKUP(Table7[[#This Row],[Date]],Database!$A:$C,MATCH($C$1,Database!$A$1:$C$1,),)=0,#N/A,VLOOKUP(Table7[[#This Row],[Date]],Database!$A:$C,MATCH($C$1,Database!$A$1:$C$1,),))</f>
        <v/>
      </c>
      <c r="D8310">
        <f>IFERROR(Table7[[#This Row],[United States 10y]]-Table7[[#This Row],[United States 3y]],#N/A)</f>
        <v/>
      </c>
    </row>
    <row r="8311">
      <c r="A8311" s="6">
        <f>Database!$A10396</f>
        <v/>
      </c>
      <c r="B8311">
        <f>IF(VLOOKUP(Table7[[#This Row],[Date]],Database!$A:$C,MATCH($B$1,Database!$A$1:$C$1,),)=0,#N/A,VLOOKUP(Table7[[#This Row],[Date]],Database!$A:$C,MATCH($B$1,Database!$A$1:$C$1,),))</f>
        <v/>
      </c>
      <c r="C8311">
        <f>IF(VLOOKUP(Table7[[#This Row],[Date]],Database!$A:$C,MATCH($C$1,Database!$A$1:$C$1,),)=0,#N/A,VLOOKUP(Table7[[#This Row],[Date]],Database!$A:$C,MATCH($C$1,Database!$A$1:$C$1,),))</f>
        <v/>
      </c>
      <c r="D8311">
        <f>IFERROR(Table7[[#This Row],[United States 10y]]-Table7[[#This Row],[United States 3y]],#N/A)</f>
        <v/>
      </c>
    </row>
    <row r="8312">
      <c r="A8312" s="6">
        <f>Database!$A10397</f>
        <v/>
      </c>
      <c r="B8312">
        <f>IF(VLOOKUP(Table7[[#This Row],[Date]],Database!$A:$C,MATCH($B$1,Database!$A$1:$C$1,),)=0,#N/A,VLOOKUP(Table7[[#This Row],[Date]],Database!$A:$C,MATCH($B$1,Database!$A$1:$C$1,),))</f>
        <v/>
      </c>
      <c r="C8312">
        <f>IF(VLOOKUP(Table7[[#This Row],[Date]],Database!$A:$C,MATCH($C$1,Database!$A$1:$C$1,),)=0,#N/A,VLOOKUP(Table7[[#This Row],[Date]],Database!$A:$C,MATCH($C$1,Database!$A$1:$C$1,),))</f>
        <v/>
      </c>
      <c r="D8312">
        <f>IFERROR(Table7[[#This Row],[United States 10y]]-Table7[[#This Row],[United States 3y]],#N/A)</f>
        <v/>
      </c>
    </row>
    <row r="8313">
      <c r="A8313" s="6">
        <f>Database!$A10398</f>
        <v/>
      </c>
      <c r="B8313">
        <f>IF(VLOOKUP(Table7[[#This Row],[Date]],Database!$A:$C,MATCH($B$1,Database!$A$1:$C$1,),)=0,#N/A,VLOOKUP(Table7[[#This Row],[Date]],Database!$A:$C,MATCH($B$1,Database!$A$1:$C$1,),))</f>
        <v/>
      </c>
      <c r="C8313">
        <f>IF(VLOOKUP(Table7[[#This Row],[Date]],Database!$A:$C,MATCH($C$1,Database!$A$1:$C$1,),)=0,#N/A,VLOOKUP(Table7[[#This Row],[Date]],Database!$A:$C,MATCH($C$1,Database!$A$1:$C$1,),))</f>
        <v/>
      </c>
      <c r="D8313">
        <f>IFERROR(Table7[[#This Row],[United States 10y]]-Table7[[#This Row],[United States 3y]],#N/A)</f>
        <v/>
      </c>
    </row>
    <row r="8314">
      <c r="A8314" s="6">
        <f>Database!$A10399</f>
        <v/>
      </c>
      <c r="B8314">
        <f>IF(VLOOKUP(Table7[[#This Row],[Date]],Database!$A:$C,MATCH($B$1,Database!$A$1:$C$1,),)=0,#N/A,VLOOKUP(Table7[[#This Row],[Date]],Database!$A:$C,MATCH($B$1,Database!$A$1:$C$1,),))</f>
        <v/>
      </c>
      <c r="C8314">
        <f>IF(VLOOKUP(Table7[[#This Row],[Date]],Database!$A:$C,MATCH($C$1,Database!$A$1:$C$1,),)=0,#N/A,VLOOKUP(Table7[[#This Row],[Date]],Database!$A:$C,MATCH($C$1,Database!$A$1:$C$1,),))</f>
        <v/>
      </c>
      <c r="D8314">
        <f>IFERROR(Table7[[#This Row],[United States 10y]]-Table7[[#This Row],[United States 3y]],#N/A)</f>
        <v/>
      </c>
    </row>
    <row r="8315">
      <c r="A8315" s="6">
        <f>Database!$A10400</f>
        <v/>
      </c>
      <c r="B8315">
        <f>IF(VLOOKUP(Table7[[#This Row],[Date]],Database!$A:$C,MATCH($B$1,Database!$A$1:$C$1,),)=0,#N/A,VLOOKUP(Table7[[#This Row],[Date]],Database!$A:$C,MATCH($B$1,Database!$A$1:$C$1,),))</f>
        <v/>
      </c>
      <c r="C8315">
        <f>IF(VLOOKUP(Table7[[#This Row],[Date]],Database!$A:$C,MATCH($C$1,Database!$A$1:$C$1,),)=0,#N/A,VLOOKUP(Table7[[#This Row],[Date]],Database!$A:$C,MATCH($C$1,Database!$A$1:$C$1,),))</f>
        <v/>
      </c>
      <c r="D8315">
        <f>IFERROR(Table7[[#This Row],[United States 10y]]-Table7[[#This Row],[United States 3y]],#N/A)</f>
        <v/>
      </c>
    </row>
    <row r="8316">
      <c r="A8316" s="6">
        <f>Database!$A10401</f>
        <v/>
      </c>
      <c r="B8316">
        <f>IF(VLOOKUP(Table7[[#This Row],[Date]],Database!$A:$C,MATCH($B$1,Database!$A$1:$C$1,),)=0,#N/A,VLOOKUP(Table7[[#This Row],[Date]],Database!$A:$C,MATCH($B$1,Database!$A$1:$C$1,),))</f>
        <v/>
      </c>
      <c r="C8316">
        <f>IF(VLOOKUP(Table7[[#This Row],[Date]],Database!$A:$C,MATCH($C$1,Database!$A$1:$C$1,),)=0,#N/A,VLOOKUP(Table7[[#This Row],[Date]],Database!$A:$C,MATCH($C$1,Database!$A$1:$C$1,),))</f>
        <v/>
      </c>
      <c r="D8316">
        <f>IFERROR(Table7[[#This Row],[United States 10y]]-Table7[[#This Row],[United States 3y]],#N/A)</f>
        <v/>
      </c>
    </row>
    <row r="8317">
      <c r="A8317" s="6">
        <f>Database!$A10402</f>
        <v/>
      </c>
      <c r="B8317">
        <f>IF(VLOOKUP(Table7[[#This Row],[Date]],Database!$A:$C,MATCH($B$1,Database!$A$1:$C$1,),)=0,#N/A,VLOOKUP(Table7[[#This Row],[Date]],Database!$A:$C,MATCH($B$1,Database!$A$1:$C$1,),))</f>
        <v/>
      </c>
      <c r="C8317">
        <f>IF(VLOOKUP(Table7[[#This Row],[Date]],Database!$A:$C,MATCH($C$1,Database!$A$1:$C$1,),)=0,#N/A,VLOOKUP(Table7[[#This Row],[Date]],Database!$A:$C,MATCH($C$1,Database!$A$1:$C$1,),))</f>
        <v/>
      </c>
      <c r="D8317">
        <f>IFERROR(Table7[[#This Row],[United States 10y]]-Table7[[#This Row],[United States 3y]],#N/A)</f>
        <v/>
      </c>
    </row>
    <row r="8318">
      <c r="A8318" s="6">
        <f>Database!$A10403</f>
        <v/>
      </c>
      <c r="B8318">
        <f>IF(VLOOKUP(Table7[[#This Row],[Date]],Database!$A:$C,MATCH($B$1,Database!$A$1:$C$1,),)=0,#N/A,VLOOKUP(Table7[[#This Row],[Date]],Database!$A:$C,MATCH($B$1,Database!$A$1:$C$1,),))</f>
        <v/>
      </c>
      <c r="C8318">
        <f>IF(VLOOKUP(Table7[[#This Row],[Date]],Database!$A:$C,MATCH($C$1,Database!$A$1:$C$1,),)=0,#N/A,VLOOKUP(Table7[[#This Row],[Date]],Database!$A:$C,MATCH($C$1,Database!$A$1:$C$1,),))</f>
        <v/>
      </c>
      <c r="D8318">
        <f>IFERROR(Table7[[#This Row],[United States 10y]]-Table7[[#This Row],[United States 3y]],#N/A)</f>
        <v/>
      </c>
    </row>
    <row r="8319">
      <c r="A8319" s="6">
        <f>Database!$A10404</f>
        <v/>
      </c>
      <c r="B8319">
        <f>IF(VLOOKUP(Table7[[#This Row],[Date]],Database!$A:$C,MATCH($B$1,Database!$A$1:$C$1,),)=0,#N/A,VLOOKUP(Table7[[#This Row],[Date]],Database!$A:$C,MATCH($B$1,Database!$A$1:$C$1,),))</f>
        <v/>
      </c>
      <c r="C8319">
        <f>IF(VLOOKUP(Table7[[#This Row],[Date]],Database!$A:$C,MATCH($C$1,Database!$A$1:$C$1,),)=0,#N/A,VLOOKUP(Table7[[#This Row],[Date]],Database!$A:$C,MATCH($C$1,Database!$A$1:$C$1,),))</f>
        <v/>
      </c>
      <c r="D8319">
        <f>IFERROR(Table7[[#This Row],[United States 10y]]-Table7[[#This Row],[United States 3y]],#N/A)</f>
        <v/>
      </c>
    </row>
    <row r="8320">
      <c r="A8320" s="6">
        <f>Database!$A10405</f>
        <v/>
      </c>
      <c r="B8320">
        <f>IF(VLOOKUP(Table7[[#This Row],[Date]],Database!$A:$C,MATCH($B$1,Database!$A$1:$C$1,),)=0,#N/A,VLOOKUP(Table7[[#This Row],[Date]],Database!$A:$C,MATCH($B$1,Database!$A$1:$C$1,),))</f>
        <v/>
      </c>
      <c r="C8320">
        <f>IF(VLOOKUP(Table7[[#This Row],[Date]],Database!$A:$C,MATCH($C$1,Database!$A$1:$C$1,),)=0,#N/A,VLOOKUP(Table7[[#This Row],[Date]],Database!$A:$C,MATCH($C$1,Database!$A$1:$C$1,),))</f>
        <v/>
      </c>
      <c r="D8320">
        <f>IFERROR(Table7[[#This Row],[United States 10y]]-Table7[[#This Row],[United States 3y]],#N/A)</f>
        <v/>
      </c>
    </row>
    <row r="8321">
      <c r="A8321" s="6">
        <f>Database!$A10406</f>
        <v/>
      </c>
      <c r="B8321">
        <f>IF(VLOOKUP(Table7[[#This Row],[Date]],Database!$A:$C,MATCH($B$1,Database!$A$1:$C$1,),)=0,#N/A,VLOOKUP(Table7[[#This Row],[Date]],Database!$A:$C,MATCH($B$1,Database!$A$1:$C$1,),))</f>
        <v/>
      </c>
      <c r="C8321">
        <f>IF(VLOOKUP(Table7[[#This Row],[Date]],Database!$A:$C,MATCH($C$1,Database!$A$1:$C$1,),)=0,#N/A,VLOOKUP(Table7[[#This Row],[Date]],Database!$A:$C,MATCH($C$1,Database!$A$1:$C$1,),))</f>
        <v/>
      </c>
      <c r="D8321">
        <f>IFERROR(Table7[[#This Row],[United States 10y]]-Table7[[#This Row],[United States 3y]],#N/A)</f>
        <v/>
      </c>
    </row>
    <row r="8322">
      <c r="A8322" s="6">
        <f>Database!$A10407</f>
        <v/>
      </c>
      <c r="B8322">
        <f>IF(VLOOKUP(Table7[[#This Row],[Date]],Database!$A:$C,MATCH($B$1,Database!$A$1:$C$1,),)=0,#N/A,VLOOKUP(Table7[[#This Row],[Date]],Database!$A:$C,MATCH($B$1,Database!$A$1:$C$1,),))</f>
        <v/>
      </c>
      <c r="C8322">
        <f>IF(VLOOKUP(Table7[[#This Row],[Date]],Database!$A:$C,MATCH($C$1,Database!$A$1:$C$1,),)=0,#N/A,VLOOKUP(Table7[[#This Row],[Date]],Database!$A:$C,MATCH($C$1,Database!$A$1:$C$1,),))</f>
        <v/>
      </c>
      <c r="D8322">
        <f>IFERROR(Table7[[#This Row],[United States 10y]]-Table7[[#This Row],[United States 3y]],#N/A)</f>
        <v/>
      </c>
    </row>
    <row r="8323">
      <c r="A8323" s="6">
        <f>Database!$A10408</f>
        <v/>
      </c>
      <c r="B8323">
        <f>IF(VLOOKUP(Table7[[#This Row],[Date]],Database!$A:$C,MATCH($B$1,Database!$A$1:$C$1,),)=0,#N/A,VLOOKUP(Table7[[#This Row],[Date]],Database!$A:$C,MATCH($B$1,Database!$A$1:$C$1,),))</f>
        <v/>
      </c>
      <c r="C8323">
        <f>IF(VLOOKUP(Table7[[#This Row],[Date]],Database!$A:$C,MATCH($C$1,Database!$A$1:$C$1,),)=0,#N/A,VLOOKUP(Table7[[#This Row],[Date]],Database!$A:$C,MATCH($C$1,Database!$A$1:$C$1,),))</f>
        <v/>
      </c>
      <c r="D8323">
        <f>IFERROR(Table7[[#This Row],[United States 10y]]-Table7[[#This Row],[United States 3y]],#N/A)</f>
        <v/>
      </c>
    </row>
    <row r="8324">
      <c r="A8324" s="6">
        <f>Database!$A10409</f>
        <v/>
      </c>
      <c r="B8324">
        <f>IF(VLOOKUP(Table7[[#This Row],[Date]],Database!$A:$C,MATCH($B$1,Database!$A$1:$C$1,),)=0,#N/A,VLOOKUP(Table7[[#This Row],[Date]],Database!$A:$C,MATCH($B$1,Database!$A$1:$C$1,),))</f>
        <v/>
      </c>
      <c r="C8324">
        <f>IF(VLOOKUP(Table7[[#This Row],[Date]],Database!$A:$C,MATCH($C$1,Database!$A$1:$C$1,),)=0,#N/A,VLOOKUP(Table7[[#This Row],[Date]],Database!$A:$C,MATCH($C$1,Database!$A$1:$C$1,),))</f>
        <v/>
      </c>
      <c r="D8324">
        <f>IFERROR(Table7[[#This Row],[United States 10y]]-Table7[[#This Row],[United States 3y]],#N/A)</f>
        <v/>
      </c>
    </row>
    <row r="8325">
      <c r="A8325" s="6">
        <f>Database!$A10410</f>
        <v/>
      </c>
      <c r="B8325">
        <f>IF(VLOOKUP(Table7[[#This Row],[Date]],Database!$A:$C,MATCH($B$1,Database!$A$1:$C$1,),)=0,#N/A,VLOOKUP(Table7[[#This Row],[Date]],Database!$A:$C,MATCH($B$1,Database!$A$1:$C$1,),))</f>
        <v/>
      </c>
      <c r="C8325">
        <f>IF(VLOOKUP(Table7[[#This Row],[Date]],Database!$A:$C,MATCH($C$1,Database!$A$1:$C$1,),)=0,#N/A,VLOOKUP(Table7[[#This Row],[Date]],Database!$A:$C,MATCH($C$1,Database!$A$1:$C$1,),))</f>
        <v/>
      </c>
      <c r="D8325">
        <f>IFERROR(Table7[[#This Row],[United States 10y]]-Table7[[#This Row],[United States 3y]],#N/A)</f>
        <v/>
      </c>
    </row>
    <row r="8326">
      <c r="A8326" s="6">
        <f>Database!$A10411</f>
        <v/>
      </c>
      <c r="B8326">
        <f>IF(VLOOKUP(Table7[[#This Row],[Date]],Database!$A:$C,MATCH($B$1,Database!$A$1:$C$1,),)=0,#N/A,VLOOKUP(Table7[[#This Row],[Date]],Database!$A:$C,MATCH($B$1,Database!$A$1:$C$1,),))</f>
        <v/>
      </c>
      <c r="C8326">
        <f>IF(VLOOKUP(Table7[[#This Row],[Date]],Database!$A:$C,MATCH($C$1,Database!$A$1:$C$1,),)=0,#N/A,VLOOKUP(Table7[[#This Row],[Date]],Database!$A:$C,MATCH($C$1,Database!$A$1:$C$1,),))</f>
        <v/>
      </c>
      <c r="D8326">
        <f>IFERROR(Table7[[#This Row],[United States 10y]]-Table7[[#This Row],[United States 3y]],#N/A)</f>
        <v/>
      </c>
    </row>
    <row r="8327">
      <c r="A8327" s="6">
        <f>Database!$A10412</f>
        <v/>
      </c>
      <c r="B8327">
        <f>IF(VLOOKUP(Table7[[#This Row],[Date]],Database!$A:$C,MATCH($B$1,Database!$A$1:$C$1,),)=0,#N/A,VLOOKUP(Table7[[#This Row],[Date]],Database!$A:$C,MATCH($B$1,Database!$A$1:$C$1,),))</f>
        <v/>
      </c>
      <c r="C8327">
        <f>IF(VLOOKUP(Table7[[#This Row],[Date]],Database!$A:$C,MATCH($C$1,Database!$A$1:$C$1,),)=0,#N/A,VLOOKUP(Table7[[#This Row],[Date]],Database!$A:$C,MATCH($C$1,Database!$A$1:$C$1,),))</f>
        <v/>
      </c>
      <c r="D8327">
        <f>IFERROR(Table7[[#This Row],[United States 10y]]-Table7[[#This Row],[United States 3y]],#N/A)</f>
        <v/>
      </c>
    </row>
    <row r="8328">
      <c r="A8328" s="6">
        <f>Database!$A10413</f>
        <v/>
      </c>
      <c r="B8328">
        <f>IF(VLOOKUP(Table7[[#This Row],[Date]],Database!$A:$C,MATCH($B$1,Database!$A$1:$C$1,),)=0,#N/A,VLOOKUP(Table7[[#This Row],[Date]],Database!$A:$C,MATCH($B$1,Database!$A$1:$C$1,),))</f>
        <v/>
      </c>
      <c r="C8328">
        <f>IF(VLOOKUP(Table7[[#This Row],[Date]],Database!$A:$C,MATCH($C$1,Database!$A$1:$C$1,),)=0,#N/A,VLOOKUP(Table7[[#This Row],[Date]],Database!$A:$C,MATCH($C$1,Database!$A$1:$C$1,),))</f>
        <v/>
      </c>
      <c r="D8328">
        <f>IFERROR(Table7[[#This Row],[United States 10y]]-Table7[[#This Row],[United States 3y]],#N/A)</f>
        <v/>
      </c>
    </row>
    <row r="8329">
      <c r="A8329" s="6">
        <f>Database!$A10414</f>
        <v/>
      </c>
      <c r="B8329">
        <f>IF(VLOOKUP(Table7[[#This Row],[Date]],Database!$A:$C,MATCH($B$1,Database!$A$1:$C$1,),)=0,#N/A,VLOOKUP(Table7[[#This Row],[Date]],Database!$A:$C,MATCH($B$1,Database!$A$1:$C$1,),))</f>
        <v/>
      </c>
      <c r="C8329">
        <f>IF(VLOOKUP(Table7[[#This Row],[Date]],Database!$A:$C,MATCH($C$1,Database!$A$1:$C$1,),)=0,#N/A,VLOOKUP(Table7[[#This Row],[Date]],Database!$A:$C,MATCH($C$1,Database!$A$1:$C$1,),))</f>
        <v/>
      </c>
      <c r="D8329">
        <f>IFERROR(Table7[[#This Row],[United States 10y]]-Table7[[#This Row],[United States 3y]],#N/A)</f>
        <v/>
      </c>
    </row>
    <row r="8330">
      <c r="A8330" s="6">
        <f>Database!$A10415</f>
        <v/>
      </c>
      <c r="B8330">
        <f>IF(VLOOKUP(Table7[[#This Row],[Date]],Database!$A:$C,MATCH($B$1,Database!$A$1:$C$1,),)=0,#N/A,VLOOKUP(Table7[[#This Row],[Date]],Database!$A:$C,MATCH($B$1,Database!$A$1:$C$1,),))</f>
        <v/>
      </c>
      <c r="C8330">
        <f>IF(VLOOKUP(Table7[[#This Row],[Date]],Database!$A:$C,MATCH($C$1,Database!$A$1:$C$1,),)=0,#N/A,VLOOKUP(Table7[[#This Row],[Date]],Database!$A:$C,MATCH($C$1,Database!$A$1:$C$1,),))</f>
        <v/>
      </c>
      <c r="D8330">
        <f>IFERROR(Table7[[#This Row],[United States 10y]]-Table7[[#This Row],[United States 3y]],#N/A)</f>
        <v/>
      </c>
    </row>
    <row r="8331">
      <c r="A8331" s="6">
        <f>Database!$A10416</f>
        <v/>
      </c>
      <c r="B8331">
        <f>IF(VLOOKUP(Table7[[#This Row],[Date]],Database!$A:$C,MATCH($B$1,Database!$A$1:$C$1,),)=0,#N/A,VLOOKUP(Table7[[#This Row],[Date]],Database!$A:$C,MATCH($B$1,Database!$A$1:$C$1,),))</f>
        <v/>
      </c>
      <c r="C8331">
        <f>IF(VLOOKUP(Table7[[#This Row],[Date]],Database!$A:$C,MATCH($C$1,Database!$A$1:$C$1,),)=0,#N/A,VLOOKUP(Table7[[#This Row],[Date]],Database!$A:$C,MATCH($C$1,Database!$A$1:$C$1,),))</f>
        <v/>
      </c>
      <c r="D8331">
        <f>IFERROR(Table7[[#This Row],[United States 10y]]-Table7[[#This Row],[United States 3y]],#N/A)</f>
        <v/>
      </c>
    </row>
    <row r="8332">
      <c r="A8332" s="6">
        <f>Database!$A10417</f>
        <v/>
      </c>
      <c r="B8332">
        <f>IF(VLOOKUP(Table7[[#This Row],[Date]],Database!$A:$C,MATCH($B$1,Database!$A$1:$C$1,),)=0,#N/A,VLOOKUP(Table7[[#This Row],[Date]],Database!$A:$C,MATCH($B$1,Database!$A$1:$C$1,),))</f>
        <v/>
      </c>
      <c r="C8332">
        <f>IF(VLOOKUP(Table7[[#This Row],[Date]],Database!$A:$C,MATCH($C$1,Database!$A$1:$C$1,),)=0,#N/A,VLOOKUP(Table7[[#This Row],[Date]],Database!$A:$C,MATCH($C$1,Database!$A$1:$C$1,),))</f>
        <v/>
      </c>
      <c r="D8332">
        <f>IFERROR(Table7[[#This Row],[United States 10y]]-Table7[[#This Row],[United States 3y]],#N/A)</f>
        <v/>
      </c>
    </row>
    <row r="8333">
      <c r="A8333" s="6">
        <f>Database!$A10418</f>
        <v/>
      </c>
      <c r="B8333">
        <f>IF(VLOOKUP(Table7[[#This Row],[Date]],Database!$A:$C,MATCH($B$1,Database!$A$1:$C$1,),)=0,#N/A,VLOOKUP(Table7[[#This Row],[Date]],Database!$A:$C,MATCH($B$1,Database!$A$1:$C$1,),))</f>
        <v/>
      </c>
      <c r="C8333">
        <f>IF(VLOOKUP(Table7[[#This Row],[Date]],Database!$A:$C,MATCH($C$1,Database!$A$1:$C$1,),)=0,#N/A,VLOOKUP(Table7[[#This Row],[Date]],Database!$A:$C,MATCH($C$1,Database!$A$1:$C$1,),))</f>
        <v/>
      </c>
      <c r="D8333">
        <f>IFERROR(Table7[[#This Row],[United States 10y]]-Table7[[#This Row],[United States 3y]],#N/A)</f>
        <v/>
      </c>
    </row>
    <row r="8334">
      <c r="A8334" s="6">
        <f>Database!$A10419</f>
        <v/>
      </c>
      <c r="B8334">
        <f>IF(VLOOKUP(Table7[[#This Row],[Date]],Database!$A:$C,MATCH($B$1,Database!$A$1:$C$1,),)=0,#N/A,VLOOKUP(Table7[[#This Row],[Date]],Database!$A:$C,MATCH($B$1,Database!$A$1:$C$1,),))</f>
        <v/>
      </c>
      <c r="C8334">
        <f>IF(VLOOKUP(Table7[[#This Row],[Date]],Database!$A:$C,MATCH($C$1,Database!$A$1:$C$1,),)=0,#N/A,VLOOKUP(Table7[[#This Row],[Date]],Database!$A:$C,MATCH($C$1,Database!$A$1:$C$1,),))</f>
        <v/>
      </c>
      <c r="D8334">
        <f>IFERROR(Table7[[#This Row],[United States 10y]]-Table7[[#This Row],[United States 3y]],#N/A)</f>
        <v/>
      </c>
    </row>
    <row r="8335">
      <c r="A8335" s="6">
        <f>Database!$A10420</f>
        <v/>
      </c>
      <c r="B8335">
        <f>IF(VLOOKUP(Table7[[#This Row],[Date]],Database!$A:$C,MATCH($B$1,Database!$A$1:$C$1,),)=0,#N/A,VLOOKUP(Table7[[#This Row],[Date]],Database!$A:$C,MATCH($B$1,Database!$A$1:$C$1,),))</f>
        <v/>
      </c>
      <c r="C8335">
        <f>IF(VLOOKUP(Table7[[#This Row],[Date]],Database!$A:$C,MATCH($C$1,Database!$A$1:$C$1,),)=0,#N/A,VLOOKUP(Table7[[#This Row],[Date]],Database!$A:$C,MATCH($C$1,Database!$A$1:$C$1,),))</f>
        <v/>
      </c>
      <c r="D8335">
        <f>IFERROR(Table7[[#This Row],[United States 10y]]-Table7[[#This Row],[United States 3y]],#N/A)</f>
        <v/>
      </c>
    </row>
    <row r="8336">
      <c r="A8336" s="6">
        <f>Database!$A10421</f>
        <v/>
      </c>
      <c r="B8336">
        <f>IF(VLOOKUP(Table7[[#This Row],[Date]],Database!$A:$C,MATCH($B$1,Database!$A$1:$C$1,),)=0,#N/A,VLOOKUP(Table7[[#This Row],[Date]],Database!$A:$C,MATCH($B$1,Database!$A$1:$C$1,),))</f>
        <v/>
      </c>
      <c r="C8336">
        <f>IF(VLOOKUP(Table7[[#This Row],[Date]],Database!$A:$C,MATCH($C$1,Database!$A$1:$C$1,),)=0,#N/A,VLOOKUP(Table7[[#This Row],[Date]],Database!$A:$C,MATCH($C$1,Database!$A$1:$C$1,),))</f>
        <v/>
      </c>
      <c r="D8336">
        <f>IFERROR(Table7[[#This Row],[United States 10y]]-Table7[[#This Row],[United States 3y]],#N/A)</f>
        <v/>
      </c>
    </row>
    <row r="8337">
      <c r="A8337" s="6">
        <f>Database!$A10422</f>
        <v/>
      </c>
      <c r="B8337">
        <f>IF(VLOOKUP(Table7[[#This Row],[Date]],Database!$A:$C,MATCH($B$1,Database!$A$1:$C$1,),)=0,#N/A,VLOOKUP(Table7[[#This Row],[Date]],Database!$A:$C,MATCH($B$1,Database!$A$1:$C$1,),))</f>
        <v/>
      </c>
      <c r="C8337">
        <f>IF(VLOOKUP(Table7[[#This Row],[Date]],Database!$A:$C,MATCH($C$1,Database!$A$1:$C$1,),)=0,#N/A,VLOOKUP(Table7[[#This Row],[Date]],Database!$A:$C,MATCH($C$1,Database!$A$1:$C$1,),))</f>
        <v/>
      </c>
      <c r="D8337">
        <f>IFERROR(Table7[[#This Row],[United States 10y]]-Table7[[#This Row],[United States 3y]],#N/A)</f>
        <v/>
      </c>
    </row>
    <row r="8338">
      <c r="A8338" s="6">
        <f>Database!$A10423</f>
        <v/>
      </c>
      <c r="B8338">
        <f>IF(VLOOKUP(Table7[[#This Row],[Date]],Database!$A:$C,MATCH($B$1,Database!$A$1:$C$1,),)=0,#N/A,VLOOKUP(Table7[[#This Row],[Date]],Database!$A:$C,MATCH($B$1,Database!$A$1:$C$1,),))</f>
        <v/>
      </c>
      <c r="C8338">
        <f>IF(VLOOKUP(Table7[[#This Row],[Date]],Database!$A:$C,MATCH($C$1,Database!$A$1:$C$1,),)=0,#N/A,VLOOKUP(Table7[[#This Row],[Date]],Database!$A:$C,MATCH($C$1,Database!$A$1:$C$1,),))</f>
        <v/>
      </c>
      <c r="D8338">
        <f>IFERROR(Table7[[#This Row],[United States 10y]]-Table7[[#This Row],[United States 3y]],#N/A)</f>
        <v/>
      </c>
    </row>
    <row r="8339">
      <c r="A8339" s="6">
        <f>Database!$A10424</f>
        <v/>
      </c>
      <c r="B8339">
        <f>IF(VLOOKUP(Table7[[#This Row],[Date]],Database!$A:$C,MATCH($B$1,Database!$A$1:$C$1,),)=0,#N/A,VLOOKUP(Table7[[#This Row],[Date]],Database!$A:$C,MATCH($B$1,Database!$A$1:$C$1,),))</f>
        <v/>
      </c>
      <c r="C8339">
        <f>IF(VLOOKUP(Table7[[#This Row],[Date]],Database!$A:$C,MATCH($C$1,Database!$A$1:$C$1,),)=0,#N/A,VLOOKUP(Table7[[#This Row],[Date]],Database!$A:$C,MATCH($C$1,Database!$A$1:$C$1,),))</f>
        <v/>
      </c>
      <c r="D8339">
        <f>IFERROR(Table7[[#This Row],[United States 10y]]-Table7[[#This Row],[United States 3y]],#N/A)</f>
        <v/>
      </c>
    </row>
    <row r="8340">
      <c r="A8340" s="6">
        <f>Database!$A10425</f>
        <v/>
      </c>
      <c r="B8340">
        <f>IF(VLOOKUP(Table7[[#This Row],[Date]],Database!$A:$C,MATCH($B$1,Database!$A$1:$C$1,),)=0,#N/A,VLOOKUP(Table7[[#This Row],[Date]],Database!$A:$C,MATCH($B$1,Database!$A$1:$C$1,),))</f>
        <v/>
      </c>
      <c r="C8340">
        <f>IF(VLOOKUP(Table7[[#This Row],[Date]],Database!$A:$C,MATCH($C$1,Database!$A$1:$C$1,),)=0,#N/A,VLOOKUP(Table7[[#This Row],[Date]],Database!$A:$C,MATCH($C$1,Database!$A$1:$C$1,),))</f>
        <v/>
      </c>
      <c r="D8340">
        <f>IFERROR(Table7[[#This Row],[United States 10y]]-Table7[[#This Row],[United States 3y]],#N/A)</f>
        <v/>
      </c>
    </row>
    <row r="8341">
      <c r="A8341" s="6">
        <f>Database!$A10426</f>
        <v/>
      </c>
      <c r="B8341">
        <f>IF(VLOOKUP(Table7[[#This Row],[Date]],Database!$A:$C,MATCH($B$1,Database!$A$1:$C$1,),)=0,#N/A,VLOOKUP(Table7[[#This Row],[Date]],Database!$A:$C,MATCH($B$1,Database!$A$1:$C$1,),))</f>
        <v/>
      </c>
      <c r="C8341">
        <f>IF(VLOOKUP(Table7[[#This Row],[Date]],Database!$A:$C,MATCH($C$1,Database!$A$1:$C$1,),)=0,#N/A,VLOOKUP(Table7[[#This Row],[Date]],Database!$A:$C,MATCH($C$1,Database!$A$1:$C$1,),))</f>
        <v/>
      </c>
      <c r="D8341">
        <f>IFERROR(Table7[[#This Row],[United States 10y]]-Table7[[#This Row],[United States 3y]],#N/A)</f>
        <v/>
      </c>
    </row>
    <row r="8342">
      <c r="A8342" s="6">
        <f>Database!$A10427</f>
        <v/>
      </c>
      <c r="B8342">
        <f>IF(VLOOKUP(Table7[[#This Row],[Date]],Database!$A:$C,MATCH($B$1,Database!$A$1:$C$1,),)=0,#N/A,VLOOKUP(Table7[[#This Row],[Date]],Database!$A:$C,MATCH($B$1,Database!$A$1:$C$1,),))</f>
        <v/>
      </c>
      <c r="C8342">
        <f>IF(VLOOKUP(Table7[[#This Row],[Date]],Database!$A:$C,MATCH($C$1,Database!$A$1:$C$1,),)=0,#N/A,VLOOKUP(Table7[[#This Row],[Date]],Database!$A:$C,MATCH($C$1,Database!$A$1:$C$1,),))</f>
        <v/>
      </c>
      <c r="D8342">
        <f>IFERROR(Table7[[#This Row],[United States 10y]]-Table7[[#This Row],[United States 3y]],#N/A)</f>
        <v/>
      </c>
    </row>
    <row r="8343">
      <c r="A8343" s="6">
        <f>Database!$A10428</f>
        <v/>
      </c>
      <c r="B8343">
        <f>IF(VLOOKUP(Table7[[#This Row],[Date]],Database!$A:$C,MATCH($B$1,Database!$A$1:$C$1,),)=0,#N/A,VLOOKUP(Table7[[#This Row],[Date]],Database!$A:$C,MATCH($B$1,Database!$A$1:$C$1,),))</f>
        <v/>
      </c>
      <c r="C8343">
        <f>IF(VLOOKUP(Table7[[#This Row],[Date]],Database!$A:$C,MATCH($C$1,Database!$A$1:$C$1,),)=0,#N/A,VLOOKUP(Table7[[#This Row],[Date]],Database!$A:$C,MATCH($C$1,Database!$A$1:$C$1,),))</f>
        <v/>
      </c>
      <c r="D8343">
        <f>IFERROR(Table7[[#This Row],[United States 10y]]-Table7[[#This Row],[United States 3y]],#N/A)</f>
        <v/>
      </c>
    </row>
    <row r="8344">
      <c r="A8344" s="6">
        <f>Database!$A10429</f>
        <v/>
      </c>
      <c r="B8344">
        <f>IF(VLOOKUP(Table7[[#This Row],[Date]],Database!$A:$C,MATCH($B$1,Database!$A$1:$C$1,),)=0,#N/A,VLOOKUP(Table7[[#This Row],[Date]],Database!$A:$C,MATCH($B$1,Database!$A$1:$C$1,),))</f>
        <v/>
      </c>
      <c r="C8344">
        <f>IF(VLOOKUP(Table7[[#This Row],[Date]],Database!$A:$C,MATCH($C$1,Database!$A$1:$C$1,),)=0,#N/A,VLOOKUP(Table7[[#This Row],[Date]],Database!$A:$C,MATCH($C$1,Database!$A$1:$C$1,),))</f>
        <v/>
      </c>
      <c r="D8344">
        <f>IFERROR(Table7[[#This Row],[United States 10y]]-Table7[[#This Row],[United States 3y]],#N/A)</f>
        <v/>
      </c>
    </row>
    <row r="8345">
      <c r="A8345" s="6">
        <f>Database!$A10430</f>
        <v/>
      </c>
      <c r="B8345">
        <f>IF(VLOOKUP(Table7[[#This Row],[Date]],Database!$A:$C,MATCH($B$1,Database!$A$1:$C$1,),)=0,#N/A,VLOOKUP(Table7[[#This Row],[Date]],Database!$A:$C,MATCH($B$1,Database!$A$1:$C$1,),))</f>
        <v/>
      </c>
      <c r="C8345">
        <f>IF(VLOOKUP(Table7[[#This Row],[Date]],Database!$A:$C,MATCH($C$1,Database!$A$1:$C$1,),)=0,#N/A,VLOOKUP(Table7[[#This Row],[Date]],Database!$A:$C,MATCH($C$1,Database!$A$1:$C$1,),))</f>
        <v/>
      </c>
      <c r="D8345">
        <f>IFERROR(Table7[[#This Row],[United States 10y]]-Table7[[#This Row],[United States 3y]],#N/A)</f>
        <v/>
      </c>
    </row>
    <row r="8346">
      <c r="A8346" s="6">
        <f>Database!$A10431</f>
        <v/>
      </c>
      <c r="B8346">
        <f>IF(VLOOKUP(Table7[[#This Row],[Date]],Database!$A:$C,MATCH($B$1,Database!$A$1:$C$1,),)=0,#N/A,VLOOKUP(Table7[[#This Row],[Date]],Database!$A:$C,MATCH($B$1,Database!$A$1:$C$1,),))</f>
        <v/>
      </c>
      <c r="C8346">
        <f>IF(VLOOKUP(Table7[[#This Row],[Date]],Database!$A:$C,MATCH($C$1,Database!$A$1:$C$1,),)=0,#N/A,VLOOKUP(Table7[[#This Row],[Date]],Database!$A:$C,MATCH($C$1,Database!$A$1:$C$1,),))</f>
        <v/>
      </c>
      <c r="D8346">
        <f>IFERROR(Table7[[#This Row],[United States 10y]]-Table7[[#This Row],[United States 3y]],#N/A)</f>
        <v/>
      </c>
    </row>
    <row r="8347">
      <c r="A8347" s="6">
        <f>Database!$A10432</f>
        <v/>
      </c>
      <c r="B8347">
        <f>IF(VLOOKUP(Table7[[#This Row],[Date]],Database!$A:$C,MATCH($B$1,Database!$A$1:$C$1,),)=0,#N/A,VLOOKUP(Table7[[#This Row],[Date]],Database!$A:$C,MATCH($B$1,Database!$A$1:$C$1,),))</f>
        <v/>
      </c>
      <c r="C8347">
        <f>IF(VLOOKUP(Table7[[#This Row],[Date]],Database!$A:$C,MATCH($C$1,Database!$A$1:$C$1,),)=0,#N/A,VLOOKUP(Table7[[#This Row],[Date]],Database!$A:$C,MATCH($C$1,Database!$A$1:$C$1,),))</f>
        <v/>
      </c>
      <c r="D8347">
        <f>IFERROR(Table7[[#This Row],[United States 10y]]-Table7[[#This Row],[United States 3y]],#N/A)</f>
        <v/>
      </c>
    </row>
    <row r="8348">
      <c r="A8348" s="6">
        <f>Database!$A10433</f>
        <v/>
      </c>
      <c r="B8348">
        <f>IF(VLOOKUP(Table7[[#This Row],[Date]],Database!$A:$C,MATCH($B$1,Database!$A$1:$C$1,),)=0,#N/A,VLOOKUP(Table7[[#This Row],[Date]],Database!$A:$C,MATCH($B$1,Database!$A$1:$C$1,),))</f>
        <v/>
      </c>
      <c r="C8348">
        <f>IF(VLOOKUP(Table7[[#This Row],[Date]],Database!$A:$C,MATCH($C$1,Database!$A$1:$C$1,),)=0,#N/A,VLOOKUP(Table7[[#This Row],[Date]],Database!$A:$C,MATCH($C$1,Database!$A$1:$C$1,),))</f>
        <v/>
      </c>
      <c r="D8348">
        <f>IFERROR(Table7[[#This Row],[United States 10y]]-Table7[[#This Row],[United States 3y]],#N/A)</f>
        <v/>
      </c>
    </row>
    <row r="8349">
      <c r="A8349" s="6">
        <f>Database!$A10434</f>
        <v/>
      </c>
      <c r="B8349">
        <f>IF(VLOOKUP(Table7[[#This Row],[Date]],Database!$A:$C,MATCH($B$1,Database!$A$1:$C$1,),)=0,#N/A,VLOOKUP(Table7[[#This Row],[Date]],Database!$A:$C,MATCH($B$1,Database!$A$1:$C$1,),))</f>
        <v/>
      </c>
      <c r="C8349">
        <f>IF(VLOOKUP(Table7[[#This Row],[Date]],Database!$A:$C,MATCH($C$1,Database!$A$1:$C$1,),)=0,#N/A,VLOOKUP(Table7[[#This Row],[Date]],Database!$A:$C,MATCH($C$1,Database!$A$1:$C$1,),))</f>
        <v/>
      </c>
      <c r="D8349">
        <f>IFERROR(Table7[[#This Row],[United States 10y]]-Table7[[#This Row],[United States 3y]],#N/A)</f>
        <v/>
      </c>
    </row>
    <row r="8350">
      <c r="A8350" s="6">
        <f>Database!$A10435</f>
        <v/>
      </c>
      <c r="B8350">
        <f>IF(VLOOKUP(Table7[[#This Row],[Date]],Database!$A:$C,MATCH($B$1,Database!$A$1:$C$1,),)=0,#N/A,VLOOKUP(Table7[[#This Row],[Date]],Database!$A:$C,MATCH($B$1,Database!$A$1:$C$1,),))</f>
        <v/>
      </c>
      <c r="C8350">
        <f>IF(VLOOKUP(Table7[[#This Row],[Date]],Database!$A:$C,MATCH($C$1,Database!$A$1:$C$1,),)=0,#N/A,VLOOKUP(Table7[[#This Row],[Date]],Database!$A:$C,MATCH($C$1,Database!$A$1:$C$1,),))</f>
        <v/>
      </c>
      <c r="D8350">
        <f>IFERROR(Table7[[#This Row],[United States 10y]]-Table7[[#This Row],[United States 3y]],#N/A)</f>
        <v/>
      </c>
    </row>
    <row r="8351">
      <c r="A8351" s="6">
        <f>Database!$A10436</f>
        <v/>
      </c>
      <c r="B8351">
        <f>IF(VLOOKUP(Table7[[#This Row],[Date]],Database!$A:$C,MATCH($B$1,Database!$A$1:$C$1,),)=0,#N/A,VLOOKUP(Table7[[#This Row],[Date]],Database!$A:$C,MATCH($B$1,Database!$A$1:$C$1,),))</f>
        <v/>
      </c>
      <c r="C8351">
        <f>IF(VLOOKUP(Table7[[#This Row],[Date]],Database!$A:$C,MATCH($C$1,Database!$A$1:$C$1,),)=0,#N/A,VLOOKUP(Table7[[#This Row],[Date]],Database!$A:$C,MATCH($C$1,Database!$A$1:$C$1,),))</f>
        <v/>
      </c>
      <c r="D8351">
        <f>IFERROR(Table7[[#This Row],[United States 10y]]-Table7[[#This Row],[United States 3y]],#N/A)</f>
        <v/>
      </c>
    </row>
    <row r="8352">
      <c r="A8352" s="6">
        <f>Database!$A10437</f>
        <v/>
      </c>
      <c r="B8352">
        <f>IF(VLOOKUP(Table7[[#This Row],[Date]],Database!$A:$C,MATCH($B$1,Database!$A$1:$C$1,),)=0,#N/A,VLOOKUP(Table7[[#This Row],[Date]],Database!$A:$C,MATCH($B$1,Database!$A$1:$C$1,),))</f>
        <v/>
      </c>
      <c r="C8352">
        <f>IF(VLOOKUP(Table7[[#This Row],[Date]],Database!$A:$C,MATCH($C$1,Database!$A$1:$C$1,),)=0,#N/A,VLOOKUP(Table7[[#This Row],[Date]],Database!$A:$C,MATCH($C$1,Database!$A$1:$C$1,),))</f>
        <v/>
      </c>
      <c r="D8352">
        <f>IFERROR(Table7[[#This Row],[United States 10y]]-Table7[[#This Row],[United States 3y]],#N/A)</f>
        <v/>
      </c>
    </row>
    <row r="8353">
      <c r="A8353" s="6">
        <f>Database!$A10438</f>
        <v/>
      </c>
      <c r="B8353">
        <f>IF(VLOOKUP(Table7[[#This Row],[Date]],Database!$A:$C,MATCH($B$1,Database!$A$1:$C$1,),)=0,#N/A,VLOOKUP(Table7[[#This Row],[Date]],Database!$A:$C,MATCH($B$1,Database!$A$1:$C$1,),))</f>
        <v/>
      </c>
      <c r="C8353">
        <f>IF(VLOOKUP(Table7[[#This Row],[Date]],Database!$A:$C,MATCH($C$1,Database!$A$1:$C$1,),)=0,#N/A,VLOOKUP(Table7[[#This Row],[Date]],Database!$A:$C,MATCH($C$1,Database!$A$1:$C$1,),))</f>
        <v/>
      </c>
      <c r="D8353">
        <f>IFERROR(Table7[[#This Row],[United States 10y]]-Table7[[#This Row],[United States 3y]],#N/A)</f>
        <v/>
      </c>
    </row>
    <row r="8354">
      <c r="A8354" s="6">
        <f>Database!$A10439</f>
        <v/>
      </c>
      <c r="B8354">
        <f>IF(VLOOKUP(Table7[[#This Row],[Date]],Database!$A:$C,MATCH($B$1,Database!$A$1:$C$1,),)=0,#N/A,VLOOKUP(Table7[[#This Row],[Date]],Database!$A:$C,MATCH($B$1,Database!$A$1:$C$1,),))</f>
        <v/>
      </c>
      <c r="C8354">
        <f>IF(VLOOKUP(Table7[[#This Row],[Date]],Database!$A:$C,MATCH($C$1,Database!$A$1:$C$1,),)=0,#N/A,VLOOKUP(Table7[[#This Row],[Date]],Database!$A:$C,MATCH($C$1,Database!$A$1:$C$1,),))</f>
        <v/>
      </c>
      <c r="D8354">
        <f>IFERROR(Table7[[#This Row],[United States 10y]]-Table7[[#This Row],[United States 3y]],#N/A)</f>
        <v/>
      </c>
    </row>
    <row r="8355">
      <c r="A8355" s="6">
        <f>Database!$A10440</f>
        <v/>
      </c>
      <c r="B8355">
        <f>IF(VLOOKUP(Table7[[#This Row],[Date]],Database!$A:$C,MATCH($B$1,Database!$A$1:$C$1,),)=0,#N/A,VLOOKUP(Table7[[#This Row],[Date]],Database!$A:$C,MATCH($B$1,Database!$A$1:$C$1,),))</f>
        <v/>
      </c>
      <c r="C8355">
        <f>IF(VLOOKUP(Table7[[#This Row],[Date]],Database!$A:$C,MATCH($C$1,Database!$A$1:$C$1,),)=0,#N/A,VLOOKUP(Table7[[#This Row],[Date]],Database!$A:$C,MATCH($C$1,Database!$A$1:$C$1,),))</f>
        <v/>
      </c>
      <c r="D8355">
        <f>IFERROR(Table7[[#This Row],[United States 10y]]-Table7[[#This Row],[United States 3y]],#N/A)</f>
        <v/>
      </c>
    </row>
    <row r="8356">
      <c r="A8356" s="6">
        <f>Database!$A10441</f>
        <v/>
      </c>
      <c r="B8356">
        <f>IF(VLOOKUP(Table7[[#This Row],[Date]],Database!$A:$C,MATCH($B$1,Database!$A$1:$C$1,),)=0,#N/A,VLOOKUP(Table7[[#This Row],[Date]],Database!$A:$C,MATCH($B$1,Database!$A$1:$C$1,),))</f>
        <v/>
      </c>
      <c r="C8356">
        <f>IF(VLOOKUP(Table7[[#This Row],[Date]],Database!$A:$C,MATCH($C$1,Database!$A$1:$C$1,),)=0,#N/A,VLOOKUP(Table7[[#This Row],[Date]],Database!$A:$C,MATCH($C$1,Database!$A$1:$C$1,),))</f>
        <v/>
      </c>
      <c r="D8356">
        <f>IFERROR(Table7[[#This Row],[United States 10y]]-Table7[[#This Row],[United States 3y]],#N/A)</f>
        <v/>
      </c>
    </row>
    <row r="8357">
      <c r="A8357" s="6">
        <f>Database!$A10442</f>
        <v/>
      </c>
      <c r="B8357">
        <f>IF(VLOOKUP(Table7[[#This Row],[Date]],Database!$A:$C,MATCH($B$1,Database!$A$1:$C$1,),)=0,#N/A,VLOOKUP(Table7[[#This Row],[Date]],Database!$A:$C,MATCH($B$1,Database!$A$1:$C$1,),))</f>
        <v/>
      </c>
      <c r="C8357">
        <f>IF(VLOOKUP(Table7[[#This Row],[Date]],Database!$A:$C,MATCH($C$1,Database!$A$1:$C$1,),)=0,#N/A,VLOOKUP(Table7[[#This Row],[Date]],Database!$A:$C,MATCH($C$1,Database!$A$1:$C$1,),))</f>
        <v/>
      </c>
      <c r="D8357">
        <f>IFERROR(Table7[[#This Row],[United States 10y]]-Table7[[#This Row],[United States 3y]],#N/A)</f>
        <v/>
      </c>
    </row>
    <row r="8358">
      <c r="A8358" s="6">
        <f>Database!$A10443</f>
        <v/>
      </c>
      <c r="B8358">
        <f>IF(VLOOKUP(Table7[[#This Row],[Date]],Database!$A:$C,MATCH($B$1,Database!$A$1:$C$1,),)=0,#N/A,VLOOKUP(Table7[[#This Row],[Date]],Database!$A:$C,MATCH($B$1,Database!$A$1:$C$1,),))</f>
        <v/>
      </c>
      <c r="C8358">
        <f>IF(VLOOKUP(Table7[[#This Row],[Date]],Database!$A:$C,MATCH($C$1,Database!$A$1:$C$1,),)=0,#N/A,VLOOKUP(Table7[[#This Row],[Date]],Database!$A:$C,MATCH($C$1,Database!$A$1:$C$1,),))</f>
        <v/>
      </c>
      <c r="D8358">
        <f>IFERROR(Table7[[#This Row],[United States 10y]]-Table7[[#This Row],[United States 3y]],#N/A)</f>
        <v/>
      </c>
    </row>
    <row r="8359">
      <c r="A8359" s="6">
        <f>Database!$A10444</f>
        <v/>
      </c>
      <c r="B8359">
        <f>IF(VLOOKUP(Table7[[#This Row],[Date]],Database!$A:$C,MATCH($B$1,Database!$A$1:$C$1,),)=0,#N/A,VLOOKUP(Table7[[#This Row],[Date]],Database!$A:$C,MATCH($B$1,Database!$A$1:$C$1,),))</f>
        <v/>
      </c>
      <c r="C8359">
        <f>IF(VLOOKUP(Table7[[#This Row],[Date]],Database!$A:$C,MATCH($C$1,Database!$A$1:$C$1,),)=0,#N/A,VLOOKUP(Table7[[#This Row],[Date]],Database!$A:$C,MATCH($C$1,Database!$A$1:$C$1,),))</f>
        <v/>
      </c>
      <c r="D8359">
        <f>IFERROR(Table7[[#This Row],[United States 10y]]-Table7[[#This Row],[United States 3y]],#N/A)</f>
        <v/>
      </c>
    </row>
    <row r="8360">
      <c r="A8360" s="6">
        <f>Database!$A10445</f>
        <v/>
      </c>
      <c r="B8360">
        <f>IF(VLOOKUP(Table7[[#This Row],[Date]],Database!$A:$C,MATCH($B$1,Database!$A$1:$C$1,),)=0,#N/A,VLOOKUP(Table7[[#This Row],[Date]],Database!$A:$C,MATCH($B$1,Database!$A$1:$C$1,),))</f>
        <v/>
      </c>
      <c r="C8360">
        <f>IF(VLOOKUP(Table7[[#This Row],[Date]],Database!$A:$C,MATCH($C$1,Database!$A$1:$C$1,),)=0,#N/A,VLOOKUP(Table7[[#This Row],[Date]],Database!$A:$C,MATCH($C$1,Database!$A$1:$C$1,),))</f>
        <v/>
      </c>
      <c r="D8360">
        <f>IFERROR(Table7[[#This Row],[United States 10y]]-Table7[[#This Row],[United States 3y]],#N/A)</f>
        <v/>
      </c>
    </row>
    <row r="8361">
      <c r="A8361" s="6">
        <f>Database!$A10446</f>
        <v/>
      </c>
      <c r="B8361">
        <f>IF(VLOOKUP(Table7[[#This Row],[Date]],Database!$A:$C,MATCH($B$1,Database!$A$1:$C$1,),)=0,#N/A,VLOOKUP(Table7[[#This Row],[Date]],Database!$A:$C,MATCH($B$1,Database!$A$1:$C$1,),))</f>
        <v/>
      </c>
      <c r="C8361">
        <f>IF(VLOOKUP(Table7[[#This Row],[Date]],Database!$A:$C,MATCH($C$1,Database!$A$1:$C$1,),)=0,#N/A,VLOOKUP(Table7[[#This Row],[Date]],Database!$A:$C,MATCH($C$1,Database!$A$1:$C$1,),))</f>
        <v/>
      </c>
      <c r="D8361">
        <f>IFERROR(Table7[[#This Row],[United States 10y]]-Table7[[#This Row],[United States 3y]],#N/A)</f>
        <v/>
      </c>
    </row>
    <row r="8362">
      <c r="A8362" s="6">
        <f>Database!$A10447</f>
        <v/>
      </c>
      <c r="B8362">
        <f>IF(VLOOKUP(Table7[[#This Row],[Date]],Database!$A:$C,MATCH($B$1,Database!$A$1:$C$1,),)=0,#N/A,VLOOKUP(Table7[[#This Row],[Date]],Database!$A:$C,MATCH($B$1,Database!$A$1:$C$1,),))</f>
        <v/>
      </c>
      <c r="C8362">
        <f>IF(VLOOKUP(Table7[[#This Row],[Date]],Database!$A:$C,MATCH($C$1,Database!$A$1:$C$1,),)=0,#N/A,VLOOKUP(Table7[[#This Row],[Date]],Database!$A:$C,MATCH($C$1,Database!$A$1:$C$1,),))</f>
        <v/>
      </c>
      <c r="D8362">
        <f>IFERROR(Table7[[#This Row],[United States 10y]]-Table7[[#This Row],[United States 3y]],#N/A)</f>
        <v/>
      </c>
    </row>
    <row r="8363">
      <c r="A8363" s="6">
        <f>Database!$A10448</f>
        <v/>
      </c>
      <c r="B8363">
        <f>IF(VLOOKUP(Table7[[#This Row],[Date]],Database!$A:$C,MATCH($B$1,Database!$A$1:$C$1,),)=0,#N/A,VLOOKUP(Table7[[#This Row],[Date]],Database!$A:$C,MATCH($B$1,Database!$A$1:$C$1,),))</f>
        <v/>
      </c>
      <c r="C8363">
        <f>IF(VLOOKUP(Table7[[#This Row],[Date]],Database!$A:$C,MATCH($C$1,Database!$A$1:$C$1,),)=0,#N/A,VLOOKUP(Table7[[#This Row],[Date]],Database!$A:$C,MATCH($C$1,Database!$A$1:$C$1,),))</f>
        <v/>
      </c>
      <c r="D8363">
        <f>IFERROR(Table7[[#This Row],[United States 10y]]-Table7[[#This Row],[United States 3y]],#N/A)</f>
        <v/>
      </c>
    </row>
    <row r="8364">
      <c r="A8364" s="6">
        <f>Database!$A10449</f>
        <v/>
      </c>
      <c r="B8364">
        <f>IF(VLOOKUP(Table7[[#This Row],[Date]],Database!$A:$C,MATCH($B$1,Database!$A$1:$C$1,),)=0,#N/A,VLOOKUP(Table7[[#This Row],[Date]],Database!$A:$C,MATCH($B$1,Database!$A$1:$C$1,),))</f>
        <v/>
      </c>
      <c r="C8364">
        <f>IF(VLOOKUP(Table7[[#This Row],[Date]],Database!$A:$C,MATCH($C$1,Database!$A$1:$C$1,),)=0,#N/A,VLOOKUP(Table7[[#This Row],[Date]],Database!$A:$C,MATCH($C$1,Database!$A$1:$C$1,),))</f>
        <v/>
      </c>
      <c r="D8364">
        <f>IFERROR(Table7[[#This Row],[United States 10y]]-Table7[[#This Row],[United States 3y]],#N/A)</f>
        <v/>
      </c>
    </row>
    <row r="8365">
      <c r="A8365" s="6">
        <f>Database!$A10450</f>
        <v/>
      </c>
      <c r="B8365">
        <f>IF(VLOOKUP(Table7[[#This Row],[Date]],Database!$A:$C,MATCH($B$1,Database!$A$1:$C$1,),)=0,#N/A,VLOOKUP(Table7[[#This Row],[Date]],Database!$A:$C,MATCH($B$1,Database!$A$1:$C$1,),))</f>
        <v/>
      </c>
      <c r="C8365">
        <f>IF(VLOOKUP(Table7[[#This Row],[Date]],Database!$A:$C,MATCH($C$1,Database!$A$1:$C$1,),)=0,#N/A,VLOOKUP(Table7[[#This Row],[Date]],Database!$A:$C,MATCH($C$1,Database!$A$1:$C$1,),))</f>
        <v/>
      </c>
      <c r="D8365">
        <f>IFERROR(Table7[[#This Row],[United States 10y]]-Table7[[#This Row],[United States 3y]],#N/A)</f>
        <v/>
      </c>
    </row>
    <row r="8366">
      <c r="A8366" s="6">
        <f>Database!$A10451</f>
        <v/>
      </c>
      <c r="B8366">
        <f>IF(VLOOKUP(Table7[[#This Row],[Date]],Database!$A:$C,MATCH($B$1,Database!$A$1:$C$1,),)=0,#N/A,VLOOKUP(Table7[[#This Row],[Date]],Database!$A:$C,MATCH($B$1,Database!$A$1:$C$1,),))</f>
        <v/>
      </c>
      <c r="C8366">
        <f>IF(VLOOKUP(Table7[[#This Row],[Date]],Database!$A:$C,MATCH($C$1,Database!$A$1:$C$1,),)=0,#N/A,VLOOKUP(Table7[[#This Row],[Date]],Database!$A:$C,MATCH($C$1,Database!$A$1:$C$1,),))</f>
        <v/>
      </c>
      <c r="D8366">
        <f>IFERROR(Table7[[#This Row],[United States 10y]]-Table7[[#This Row],[United States 3y]],#N/A)</f>
        <v/>
      </c>
    </row>
    <row r="8367">
      <c r="A8367" s="6">
        <f>Database!$A10452</f>
        <v/>
      </c>
      <c r="B8367">
        <f>IF(VLOOKUP(Table7[[#This Row],[Date]],Database!$A:$C,MATCH($B$1,Database!$A$1:$C$1,),)=0,#N/A,VLOOKUP(Table7[[#This Row],[Date]],Database!$A:$C,MATCH($B$1,Database!$A$1:$C$1,),))</f>
        <v/>
      </c>
      <c r="C8367">
        <f>IF(VLOOKUP(Table7[[#This Row],[Date]],Database!$A:$C,MATCH($C$1,Database!$A$1:$C$1,),)=0,#N/A,VLOOKUP(Table7[[#This Row],[Date]],Database!$A:$C,MATCH($C$1,Database!$A$1:$C$1,),))</f>
        <v/>
      </c>
      <c r="D8367">
        <f>IFERROR(Table7[[#This Row],[United States 10y]]-Table7[[#This Row],[United States 3y]],#N/A)</f>
        <v/>
      </c>
    </row>
    <row r="8368">
      <c r="A8368" s="6">
        <f>Database!$A10453</f>
        <v/>
      </c>
      <c r="B8368">
        <f>IF(VLOOKUP(Table7[[#This Row],[Date]],Database!$A:$C,MATCH($B$1,Database!$A$1:$C$1,),)=0,#N/A,VLOOKUP(Table7[[#This Row],[Date]],Database!$A:$C,MATCH($B$1,Database!$A$1:$C$1,),))</f>
        <v/>
      </c>
      <c r="C8368">
        <f>IF(VLOOKUP(Table7[[#This Row],[Date]],Database!$A:$C,MATCH($C$1,Database!$A$1:$C$1,),)=0,#N/A,VLOOKUP(Table7[[#This Row],[Date]],Database!$A:$C,MATCH($C$1,Database!$A$1:$C$1,),))</f>
        <v/>
      </c>
      <c r="D8368">
        <f>IFERROR(Table7[[#This Row],[United States 10y]]-Table7[[#This Row],[United States 3y]],#N/A)</f>
        <v/>
      </c>
    </row>
    <row r="8369">
      <c r="A8369" s="6">
        <f>Database!$A10454</f>
        <v/>
      </c>
      <c r="B8369">
        <f>IF(VLOOKUP(Table7[[#This Row],[Date]],Database!$A:$C,MATCH($B$1,Database!$A$1:$C$1,),)=0,#N/A,VLOOKUP(Table7[[#This Row],[Date]],Database!$A:$C,MATCH($B$1,Database!$A$1:$C$1,),))</f>
        <v/>
      </c>
      <c r="C8369">
        <f>IF(VLOOKUP(Table7[[#This Row],[Date]],Database!$A:$C,MATCH($C$1,Database!$A$1:$C$1,),)=0,#N/A,VLOOKUP(Table7[[#This Row],[Date]],Database!$A:$C,MATCH($C$1,Database!$A$1:$C$1,),))</f>
        <v/>
      </c>
      <c r="D8369">
        <f>IFERROR(Table7[[#This Row],[United States 10y]]-Table7[[#This Row],[United States 3y]],#N/A)</f>
        <v/>
      </c>
    </row>
    <row r="8370">
      <c r="A8370" s="6">
        <f>Database!$A10455</f>
        <v/>
      </c>
      <c r="B8370">
        <f>IF(VLOOKUP(Table7[[#This Row],[Date]],Database!$A:$C,MATCH($B$1,Database!$A$1:$C$1,),)=0,#N/A,VLOOKUP(Table7[[#This Row],[Date]],Database!$A:$C,MATCH($B$1,Database!$A$1:$C$1,),))</f>
        <v/>
      </c>
      <c r="C8370">
        <f>IF(VLOOKUP(Table7[[#This Row],[Date]],Database!$A:$C,MATCH($C$1,Database!$A$1:$C$1,),)=0,#N/A,VLOOKUP(Table7[[#This Row],[Date]],Database!$A:$C,MATCH($C$1,Database!$A$1:$C$1,),))</f>
        <v/>
      </c>
      <c r="D8370">
        <f>IFERROR(Table7[[#This Row],[United States 10y]]-Table7[[#This Row],[United States 3y]],#N/A)</f>
        <v/>
      </c>
    </row>
    <row r="8371">
      <c r="A8371" s="6">
        <f>Database!$A10456</f>
        <v/>
      </c>
      <c r="B8371">
        <f>IF(VLOOKUP(Table7[[#This Row],[Date]],Database!$A:$C,MATCH($B$1,Database!$A$1:$C$1,),)=0,#N/A,VLOOKUP(Table7[[#This Row],[Date]],Database!$A:$C,MATCH($B$1,Database!$A$1:$C$1,),))</f>
        <v/>
      </c>
      <c r="C8371">
        <f>IF(VLOOKUP(Table7[[#This Row],[Date]],Database!$A:$C,MATCH($C$1,Database!$A$1:$C$1,),)=0,#N/A,VLOOKUP(Table7[[#This Row],[Date]],Database!$A:$C,MATCH($C$1,Database!$A$1:$C$1,),))</f>
        <v/>
      </c>
      <c r="D8371">
        <f>IFERROR(Table7[[#This Row],[United States 10y]]-Table7[[#This Row],[United States 3y]],#N/A)</f>
        <v/>
      </c>
    </row>
    <row r="8372">
      <c r="A8372" s="6">
        <f>Database!$A10457</f>
        <v/>
      </c>
      <c r="B8372">
        <f>IF(VLOOKUP(Table7[[#This Row],[Date]],Database!$A:$C,MATCH($B$1,Database!$A$1:$C$1,),)=0,#N/A,VLOOKUP(Table7[[#This Row],[Date]],Database!$A:$C,MATCH($B$1,Database!$A$1:$C$1,),))</f>
        <v/>
      </c>
      <c r="C8372">
        <f>IF(VLOOKUP(Table7[[#This Row],[Date]],Database!$A:$C,MATCH($C$1,Database!$A$1:$C$1,),)=0,#N/A,VLOOKUP(Table7[[#This Row],[Date]],Database!$A:$C,MATCH($C$1,Database!$A$1:$C$1,),))</f>
        <v/>
      </c>
      <c r="D8372">
        <f>IFERROR(Table7[[#This Row],[United States 10y]]-Table7[[#This Row],[United States 3y]],#N/A)</f>
        <v/>
      </c>
    </row>
    <row r="8373">
      <c r="A8373" s="6">
        <f>Database!$A10458</f>
        <v/>
      </c>
      <c r="B8373">
        <f>IF(VLOOKUP(Table7[[#This Row],[Date]],Database!$A:$C,MATCH($B$1,Database!$A$1:$C$1,),)=0,#N/A,VLOOKUP(Table7[[#This Row],[Date]],Database!$A:$C,MATCH($B$1,Database!$A$1:$C$1,),))</f>
        <v/>
      </c>
      <c r="C8373">
        <f>IF(VLOOKUP(Table7[[#This Row],[Date]],Database!$A:$C,MATCH($C$1,Database!$A$1:$C$1,),)=0,#N/A,VLOOKUP(Table7[[#This Row],[Date]],Database!$A:$C,MATCH($C$1,Database!$A$1:$C$1,),))</f>
        <v/>
      </c>
      <c r="D8373">
        <f>IFERROR(Table7[[#This Row],[United States 10y]]-Table7[[#This Row],[United States 3y]],#N/A)</f>
        <v/>
      </c>
    </row>
    <row r="8374">
      <c r="A8374" s="6">
        <f>Database!$A10459</f>
        <v/>
      </c>
      <c r="B8374">
        <f>IF(VLOOKUP(Table7[[#This Row],[Date]],Database!$A:$C,MATCH($B$1,Database!$A$1:$C$1,),)=0,#N/A,VLOOKUP(Table7[[#This Row],[Date]],Database!$A:$C,MATCH($B$1,Database!$A$1:$C$1,),))</f>
        <v/>
      </c>
      <c r="C8374">
        <f>IF(VLOOKUP(Table7[[#This Row],[Date]],Database!$A:$C,MATCH($C$1,Database!$A$1:$C$1,),)=0,#N/A,VLOOKUP(Table7[[#This Row],[Date]],Database!$A:$C,MATCH($C$1,Database!$A$1:$C$1,),))</f>
        <v/>
      </c>
      <c r="D8374">
        <f>IFERROR(Table7[[#This Row],[United States 10y]]-Table7[[#This Row],[United States 3y]],#N/A)</f>
        <v/>
      </c>
    </row>
    <row r="8375">
      <c r="A8375" s="6">
        <f>Database!$A10460</f>
        <v/>
      </c>
      <c r="B8375">
        <f>IF(VLOOKUP(Table7[[#This Row],[Date]],Database!$A:$C,MATCH($B$1,Database!$A$1:$C$1,),)=0,#N/A,VLOOKUP(Table7[[#This Row],[Date]],Database!$A:$C,MATCH($B$1,Database!$A$1:$C$1,),))</f>
        <v/>
      </c>
      <c r="C8375">
        <f>IF(VLOOKUP(Table7[[#This Row],[Date]],Database!$A:$C,MATCH($C$1,Database!$A$1:$C$1,),)=0,#N/A,VLOOKUP(Table7[[#This Row],[Date]],Database!$A:$C,MATCH($C$1,Database!$A$1:$C$1,),))</f>
        <v/>
      </c>
      <c r="D8375">
        <f>IFERROR(Table7[[#This Row],[United States 10y]]-Table7[[#This Row],[United States 3y]],#N/A)</f>
        <v/>
      </c>
    </row>
    <row r="8376">
      <c r="A8376" s="6">
        <f>Database!$A10461</f>
        <v/>
      </c>
      <c r="B8376">
        <f>IF(VLOOKUP(Table7[[#This Row],[Date]],Database!$A:$C,MATCH($B$1,Database!$A$1:$C$1,),)=0,#N/A,VLOOKUP(Table7[[#This Row],[Date]],Database!$A:$C,MATCH($B$1,Database!$A$1:$C$1,),))</f>
        <v/>
      </c>
      <c r="C8376">
        <f>IF(VLOOKUP(Table7[[#This Row],[Date]],Database!$A:$C,MATCH($C$1,Database!$A$1:$C$1,),)=0,#N/A,VLOOKUP(Table7[[#This Row],[Date]],Database!$A:$C,MATCH($C$1,Database!$A$1:$C$1,),))</f>
        <v/>
      </c>
      <c r="D8376">
        <f>IFERROR(Table7[[#This Row],[United States 10y]]-Table7[[#This Row],[United States 3y]],#N/A)</f>
        <v/>
      </c>
    </row>
    <row r="8377">
      <c r="A8377" s="6">
        <f>Database!$A10462</f>
        <v/>
      </c>
      <c r="B8377">
        <f>IF(VLOOKUP(Table7[[#This Row],[Date]],Database!$A:$C,MATCH($B$1,Database!$A$1:$C$1,),)=0,#N/A,VLOOKUP(Table7[[#This Row],[Date]],Database!$A:$C,MATCH($B$1,Database!$A$1:$C$1,),))</f>
        <v/>
      </c>
      <c r="C8377">
        <f>IF(VLOOKUP(Table7[[#This Row],[Date]],Database!$A:$C,MATCH($C$1,Database!$A$1:$C$1,),)=0,#N/A,VLOOKUP(Table7[[#This Row],[Date]],Database!$A:$C,MATCH($C$1,Database!$A$1:$C$1,),))</f>
        <v/>
      </c>
      <c r="D8377">
        <f>IFERROR(Table7[[#This Row],[United States 10y]]-Table7[[#This Row],[United States 3y]],#N/A)</f>
        <v/>
      </c>
    </row>
    <row r="8378">
      <c r="A8378" s="6">
        <f>Database!$A10463</f>
        <v/>
      </c>
      <c r="B8378">
        <f>IF(VLOOKUP(Table7[[#This Row],[Date]],Database!$A:$C,MATCH($B$1,Database!$A$1:$C$1,),)=0,#N/A,VLOOKUP(Table7[[#This Row],[Date]],Database!$A:$C,MATCH($B$1,Database!$A$1:$C$1,),))</f>
        <v/>
      </c>
      <c r="C8378">
        <f>IF(VLOOKUP(Table7[[#This Row],[Date]],Database!$A:$C,MATCH($C$1,Database!$A$1:$C$1,),)=0,#N/A,VLOOKUP(Table7[[#This Row],[Date]],Database!$A:$C,MATCH($C$1,Database!$A$1:$C$1,),))</f>
        <v/>
      </c>
      <c r="D8378">
        <f>IFERROR(Table7[[#This Row],[United States 10y]]-Table7[[#This Row],[United States 3y]],#N/A)</f>
        <v/>
      </c>
    </row>
    <row r="8379">
      <c r="A8379" s="6">
        <f>Database!$A10464</f>
        <v/>
      </c>
      <c r="B8379">
        <f>IF(VLOOKUP(Table7[[#This Row],[Date]],Database!$A:$C,MATCH($B$1,Database!$A$1:$C$1,),)=0,#N/A,VLOOKUP(Table7[[#This Row],[Date]],Database!$A:$C,MATCH($B$1,Database!$A$1:$C$1,),))</f>
        <v/>
      </c>
      <c r="C8379">
        <f>IF(VLOOKUP(Table7[[#This Row],[Date]],Database!$A:$C,MATCH($C$1,Database!$A$1:$C$1,),)=0,#N/A,VLOOKUP(Table7[[#This Row],[Date]],Database!$A:$C,MATCH($C$1,Database!$A$1:$C$1,),))</f>
        <v/>
      </c>
      <c r="D8379">
        <f>IFERROR(Table7[[#This Row],[United States 10y]]-Table7[[#This Row],[United States 3y]],#N/A)</f>
        <v/>
      </c>
    </row>
    <row r="8380">
      <c r="A8380" s="6">
        <f>Database!$A10465</f>
        <v/>
      </c>
      <c r="B8380">
        <f>IF(VLOOKUP(Table7[[#This Row],[Date]],Database!$A:$C,MATCH($B$1,Database!$A$1:$C$1,),)=0,#N/A,VLOOKUP(Table7[[#This Row],[Date]],Database!$A:$C,MATCH($B$1,Database!$A$1:$C$1,),))</f>
        <v/>
      </c>
      <c r="C8380">
        <f>IF(VLOOKUP(Table7[[#This Row],[Date]],Database!$A:$C,MATCH($C$1,Database!$A$1:$C$1,),)=0,#N/A,VLOOKUP(Table7[[#This Row],[Date]],Database!$A:$C,MATCH($C$1,Database!$A$1:$C$1,),))</f>
        <v/>
      </c>
      <c r="D8380">
        <f>IFERROR(Table7[[#This Row],[United States 10y]]-Table7[[#This Row],[United States 3y]],#N/A)</f>
        <v/>
      </c>
    </row>
    <row r="8381">
      <c r="A8381" s="6">
        <f>Database!$A10466</f>
        <v/>
      </c>
      <c r="B8381">
        <f>IF(VLOOKUP(Table7[[#This Row],[Date]],Database!$A:$C,MATCH($B$1,Database!$A$1:$C$1,),)=0,#N/A,VLOOKUP(Table7[[#This Row],[Date]],Database!$A:$C,MATCH($B$1,Database!$A$1:$C$1,),))</f>
        <v/>
      </c>
      <c r="C8381">
        <f>IF(VLOOKUP(Table7[[#This Row],[Date]],Database!$A:$C,MATCH($C$1,Database!$A$1:$C$1,),)=0,#N/A,VLOOKUP(Table7[[#This Row],[Date]],Database!$A:$C,MATCH($C$1,Database!$A$1:$C$1,),))</f>
        <v/>
      </c>
      <c r="D8381">
        <f>IFERROR(Table7[[#This Row],[United States 10y]]-Table7[[#This Row],[United States 3y]],#N/A)</f>
        <v/>
      </c>
    </row>
    <row r="8382">
      <c r="A8382" s="6">
        <f>Database!$A10467</f>
        <v/>
      </c>
      <c r="B8382">
        <f>IF(VLOOKUP(Table7[[#This Row],[Date]],Database!$A:$C,MATCH($B$1,Database!$A$1:$C$1,),)=0,#N/A,VLOOKUP(Table7[[#This Row],[Date]],Database!$A:$C,MATCH($B$1,Database!$A$1:$C$1,),))</f>
        <v/>
      </c>
      <c r="C8382">
        <f>IF(VLOOKUP(Table7[[#This Row],[Date]],Database!$A:$C,MATCH($C$1,Database!$A$1:$C$1,),)=0,#N/A,VLOOKUP(Table7[[#This Row],[Date]],Database!$A:$C,MATCH($C$1,Database!$A$1:$C$1,),))</f>
        <v/>
      </c>
      <c r="D8382">
        <f>IFERROR(Table7[[#This Row],[United States 10y]]-Table7[[#This Row],[United States 3y]],#N/A)</f>
        <v/>
      </c>
    </row>
    <row r="8383">
      <c r="A8383" s="6">
        <f>Database!$A10468</f>
        <v/>
      </c>
      <c r="B8383">
        <f>IF(VLOOKUP(Table7[[#This Row],[Date]],Database!$A:$C,MATCH($B$1,Database!$A$1:$C$1,),)=0,#N/A,VLOOKUP(Table7[[#This Row],[Date]],Database!$A:$C,MATCH($B$1,Database!$A$1:$C$1,),))</f>
        <v/>
      </c>
      <c r="C8383">
        <f>IF(VLOOKUP(Table7[[#This Row],[Date]],Database!$A:$C,MATCH($C$1,Database!$A$1:$C$1,),)=0,#N/A,VLOOKUP(Table7[[#This Row],[Date]],Database!$A:$C,MATCH($C$1,Database!$A$1:$C$1,),))</f>
        <v/>
      </c>
      <c r="D8383">
        <f>IFERROR(Table7[[#This Row],[United States 10y]]-Table7[[#This Row],[United States 3y]],#N/A)</f>
        <v/>
      </c>
    </row>
    <row r="8384">
      <c r="A8384" s="6">
        <f>Database!$A10469</f>
        <v/>
      </c>
      <c r="B8384">
        <f>IF(VLOOKUP(Table7[[#This Row],[Date]],Database!$A:$C,MATCH($B$1,Database!$A$1:$C$1,),)=0,#N/A,VLOOKUP(Table7[[#This Row],[Date]],Database!$A:$C,MATCH($B$1,Database!$A$1:$C$1,),))</f>
        <v/>
      </c>
      <c r="C8384">
        <f>IF(VLOOKUP(Table7[[#This Row],[Date]],Database!$A:$C,MATCH($C$1,Database!$A$1:$C$1,),)=0,#N/A,VLOOKUP(Table7[[#This Row],[Date]],Database!$A:$C,MATCH($C$1,Database!$A$1:$C$1,),))</f>
        <v/>
      </c>
      <c r="D8384">
        <f>IFERROR(Table7[[#This Row],[United States 10y]]-Table7[[#This Row],[United States 3y]],#N/A)</f>
        <v/>
      </c>
    </row>
    <row r="8385">
      <c r="A8385" s="6">
        <f>Database!$A10470</f>
        <v/>
      </c>
      <c r="B8385">
        <f>IF(VLOOKUP(Table7[[#This Row],[Date]],Database!$A:$C,MATCH($B$1,Database!$A$1:$C$1,),)=0,#N/A,VLOOKUP(Table7[[#This Row],[Date]],Database!$A:$C,MATCH($B$1,Database!$A$1:$C$1,),))</f>
        <v/>
      </c>
      <c r="C8385">
        <f>IF(VLOOKUP(Table7[[#This Row],[Date]],Database!$A:$C,MATCH($C$1,Database!$A$1:$C$1,),)=0,#N/A,VLOOKUP(Table7[[#This Row],[Date]],Database!$A:$C,MATCH($C$1,Database!$A$1:$C$1,),))</f>
        <v/>
      </c>
      <c r="D8385">
        <f>IFERROR(Table7[[#This Row],[United States 10y]]-Table7[[#This Row],[United States 3y]],#N/A)</f>
        <v/>
      </c>
    </row>
    <row r="8386">
      <c r="A8386" s="6">
        <f>Database!$A10471</f>
        <v/>
      </c>
      <c r="B8386">
        <f>IF(VLOOKUP(Table7[[#This Row],[Date]],Database!$A:$C,MATCH($B$1,Database!$A$1:$C$1,),)=0,#N/A,VLOOKUP(Table7[[#This Row],[Date]],Database!$A:$C,MATCH($B$1,Database!$A$1:$C$1,),))</f>
        <v/>
      </c>
      <c r="C8386">
        <f>IF(VLOOKUP(Table7[[#This Row],[Date]],Database!$A:$C,MATCH($C$1,Database!$A$1:$C$1,),)=0,#N/A,VLOOKUP(Table7[[#This Row],[Date]],Database!$A:$C,MATCH($C$1,Database!$A$1:$C$1,),))</f>
        <v/>
      </c>
      <c r="D8386">
        <f>IFERROR(Table7[[#This Row],[United States 10y]]-Table7[[#This Row],[United States 3y]],#N/A)</f>
        <v/>
      </c>
    </row>
    <row r="8387">
      <c r="A8387" s="6">
        <f>Database!$A10472</f>
        <v/>
      </c>
      <c r="B8387">
        <f>IF(VLOOKUP(Table7[[#This Row],[Date]],Database!$A:$C,MATCH($B$1,Database!$A$1:$C$1,),)=0,#N/A,VLOOKUP(Table7[[#This Row],[Date]],Database!$A:$C,MATCH($B$1,Database!$A$1:$C$1,),))</f>
        <v/>
      </c>
      <c r="C8387">
        <f>IF(VLOOKUP(Table7[[#This Row],[Date]],Database!$A:$C,MATCH($C$1,Database!$A$1:$C$1,),)=0,#N/A,VLOOKUP(Table7[[#This Row],[Date]],Database!$A:$C,MATCH($C$1,Database!$A$1:$C$1,),))</f>
        <v/>
      </c>
      <c r="D8387">
        <f>IFERROR(Table7[[#This Row],[United States 10y]]-Table7[[#This Row],[United States 3y]],#N/A)</f>
        <v/>
      </c>
    </row>
    <row r="8388">
      <c r="A8388" s="6">
        <f>Database!$A10473</f>
        <v/>
      </c>
      <c r="B8388">
        <f>IF(VLOOKUP(Table7[[#This Row],[Date]],Database!$A:$C,MATCH($B$1,Database!$A$1:$C$1,),)=0,#N/A,VLOOKUP(Table7[[#This Row],[Date]],Database!$A:$C,MATCH($B$1,Database!$A$1:$C$1,),))</f>
        <v/>
      </c>
      <c r="C8388">
        <f>IF(VLOOKUP(Table7[[#This Row],[Date]],Database!$A:$C,MATCH($C$1,Database!$A$1:$C$1,),)=0,#N/A,VLOOKUP(Table7[[#This Row],[Date]],Database!$A:$C,MATCH($C$1,Database!$A$1:$C$1,),))</f>
        <v/>
      </c>
      <c r="D8388">
        <f>IFERROR(Table7[[#This Row],[United States 10y]]-Table7[[#This Row],[United States 3y]],#N/A)</f>
        <v/>
      </c>
    </row>
    <row r="8389">
      <c r="A8389" s="6">
        <f>Database!$A10474</f>
        <v/>
      </c>
      <c r="B8389">
        <f>IF(VLOOKUP(Table7[[#This Row],[Date]],Database!$A:$C,MATCH($B$1,Database!$A$1:$C$1,),)=0,#N/A,VLOOKUP(Table7[[#This Row],[Date]],Database!$A:$C,MATCH($B$1,Database!$A$1:$C$1,),))</f>
        <v/>
      </c>
      <c r="C8389">
        <f>IF(VLOOKUP(Table7[[#This Row],[Date]],Database!$A:$C,MATCH($C$1,Database!$A$1:$C$1,),)=0,#N/A,VLOOKUP(Table7[[#This Row],[Date]],Database!$A:$C,MATCH($C$1,Database!$A$1:$C$1,),))</f>
        <v/>
      </c>
      <c r="D8389">
        <f>IFERROR(Table7[[#This Row],[United States 10y]]-Table7[[#This Row],[United States 3y]],#N/A)</f>
        <v/>
      </c>
    </row>
    <row r="8390">
      <c r="A8390" s="6">
        <f>Database!$A10475</f>
        <v/>
      </c>
      <c r="B8390">
        <f>IF(VLOOKUP(Table7[[#This Row],[Date]],Database!$A:$C,MATCH($B$1,Database!$A$1:$C$1,),)=0,#N/A,VLOOKUP(Table7[[#This Row],[Date]],Database!$A:$C,MATCH($B$1,Database!$A$1:$C$1,),))</f>
        <v/>
      </c>
      <c r="C8390">
        <f>IF(VLOOKUP(Table7[[#This Row],[Date]],Database!$A:$C,MATCH($C$1,Database!$A$1:$C$1,),)=0,#N/A,VLOOKUP(Table7[[#This Row],[Date]],Database!$A:$C,MATCH($C$1,Database!$A$1:$C$1,),))</f>
        <v/>
      </c>
      <c r="D8390">
        <f>IFERROR(Table7[[#This Row],[United States 10y]]-Table7[[#This Row],[United States 3y]],#N/A)</f>
        <v/>
      </c>
    </row>
    <row r="8391">
      <c r="A8391" s="6">
        <f>Database!$A10476</f>
        <v/>
      </c>
      <c r="B8391">
        <f>IF(VLOOKUP(Table7[[#This Row],[Date]],Database!$A:$C,MATCH($B$1,Database!$A$1:$C$1,),)=0,#N/A,VLOOKUP(Table7[[#This Row],[Date]],Database!$A:$C,MATCH($B$1,Database!$A$1:$C$1,),))</f>
        <v/>
      </c>
      <c r="C8391">
        <f>IF(VLOOKUP(Table7[[#This Row],[Date]],Database!$A:$C,MATCH($C$1,Database!$A$1:$C$1,),)=0,#N/A,VLOOKUP(Table7[[#This Row],[Date]],Database!$A:$C,MATCH($C$1,Database!$A$1:$C$1,),))</f>
        <v/>
      </c>
      <c r="D8391">
        <f>IFERROR(Table7[[#This Row],[United States 10y]]-Table7[[#This Row],[United States 3y]],#N/A)</f>
        <v/>
      </c>
    </row>
    <row r="8392">
      <c r="A8392" s="6">
        <f>Database!$A10477</f>
        <v/>
      </c>
      <c r="B8392">
        <f>IF(VLOOKUP(Table7[[#This Row],[Date]],Database!$A:$C,MATCH($B$1,Database!$A$1:$C$1,),)=0,#N/A,VLOOKUP(Table7[[#This Row],[Date]],Database!$A:$C,MATCH($B$1,Database!$A$1:$C$1,),))</f>
        <v/>
      </c>
      <c r="C8392">
        <f>IF(VLOOKUP(Table7[[#This Row],[Date]],Database!$A:$C,MATCH($C$1,Database!$A$1:$C$1,),)=0,#N/A,VLOOKUP(Table7[[#This Row],[Date]],Database!$A:$C,MATCH($C$1,Database!$A$1:$C$1,),))</f>
        <v/>
      </c>
      <c r="D8392">
        <f>IFERROR(Table7[[#This Row],[United States 10y]]-Table7[[#This Row],[United States 3y]],#N/A)</f>
        <v/>
      </c>
    </row>
    <row r="8393">
      <c r="A8393" s="6">
        <f>Database!$A10478</f>
        <v/>
      </c>
      <c r="B8393">
        <f>IF(VLOOKUP(Table7[[#This Row],[Date]],Database!$A:$C,MATCH($B$1,Database!$A$1:$C$1,),)=0,#N/A,VLOOKUP(Table7[[#This Row],[Date]],Database!$A:$C,MATCH($B$1,Database!$A$1:$C$1,),))</f>
        <v/>
      </c>
      <c r="C8393">
        <f>IF(VLOOKUP(Table7[[#This Row],[Date]],Database!$A:$C,MATCH($C$1,Database!$A$1:$C$1,),)=0,#N/A,VLOOKUP(Table7[[#This Row],[Date]],Database!$A:$C,MATCH($C$1,Database!$A$1:$C$1,),))</f>
        <v/>
      </c>
      <c r="D8393">
        <f>IFERROR(Table7[[#This Row],[United States 10y]]-Table7[[#This Row],[United States 3y]],#N/A)</f>
        <v/>
      </c>
    </row>
    <row r="8394">
      <c r="A8394" s="6">
        <f>Database!$A10479</f>
        <v/>
      </c>
      <c r="B8394">
        <f>IF(VLOOKUP(Table7[[#This Row],[Date]],Database!$A:$C,MATCH($B$1,Database!$A$1:$C$1,),)=0,#N/A,VLOOKUP(Table7[[#This Row],[Date]],Database!$A:$C,MATCH($B$1,Database!$A$1:$C$1,),))</f>
        <v/>
      </c>
      <c r="C8394">
        <f>IF(VLOOKUP(Table7[[#This Row],[Date]],Database!$A:$C,MATCH($C$1,Database!$A$1:$C$1,),)=0,#N/A,VLOOKUP(Table7[[#This Row],[Date]],Database!$A:$C,MATCH($C$1,Database!$A$1:$C$1,),))</f>
        <v/>
      </c>
      <c r="D8394">
        <f>IFERROR(Table7[[#This Row],[United States 10y]]-Table7[[#This Row],[United States 3y]],#N/A)</f>
        <v/>
      </c>
    </row>
    <row r="8395">
      <c r="A8395" s="6">
        <f>Database!$A10480</f>
        <v/>
      </c>
      <c r="B8395">
        <f>IF(VLOOKUP(Table7[[#This Row],[Date]],Database!$A:$C,MATCH($B$1,Database!$A$1:$C$1,),)=0,#N/A,VLOOKUP(Table7[[#This Row],[Date]],Database!$A:$C,MATCH($B$1,Database!$A$1:$C$1,),))</f>
        <v/>
      </c>
      <c r="C8395">
        <f>IF(VLOOKUP(Table7[[#This Row],[Date]],Database!$A:$C,MATCH($C$1,Database!$A$1:$C$1,),)=0,#N/A,VLOOKUP(Table7[[#This Row],[Date]],Database!$A:$C,MATCH($C$1,Database!$A$1:$C$1,),))</f>
        <v/>
      </c>
      <c r="D8395">
        <f>IFERROR(Table7[[#This Row],[United States 10y]]-Table7[[#This Row],[United States 3y]],#N/A)</f>
        <v/>
      </c>
    </row>
    <row r="8396">
      <c r="A8396" s="6">
        <f>Database!$A10481</f>
        <v/>
      </c>
      <c r="B8396">
        <f>IF(VLOOKUP(Table7[[#This Row],[Date]],Database!$A:$C,MATCH($B$1,Database!$A$1:$C$1,),)=0,#N/A,VLOOKUP(Table7[[#This Row],[Date]],Database!$A:$C,MATCH($B$1,Database!$A$1:$C$1,),))</f>
        <v/>
      </c>
      <c r="C8396">
        <f>IF(VLOOKUP(Table7[[#This Row],[Date]],Database!$A:$C,MATCH($C$1,Database!$A$1:$C$1,),)=0,#N/A,VLOOKUP(Table7[[#This Row],[Date]],Database!$A:$C,MATCH($C$1,Database!$A$1:$C$1,),))</f>
        <v/>
      </c>
      <c r="D8396">
        <f>IFERROR(Table7[[#This Row],[United States 10y]]-Table7[[#This Row],[United States 3y]],#N/A)</f>
        <v/>
      </c>
    </row>
    <row r="8397">
      <c r="A8397" s="6">
        <f>Database!$A10482</f>
        <v/>
      </c>
      <c r="B8397">
        <f>IF(VLOOKUP(Table7[[#This Row],[Date]],Database!$A:$C,MATCH($B$1,Database!$A$1:$C$1,),)=0,#N/A,VLOOKUP(Table7[[#This Row],[Date]],Database!$A:$C,MATCH($B$1,Database!$A$1:$C$1,),))</f>
        <v/>
      </c>
      <c r="C8397">
        <f>IF(VLOOKUP(Table7[[#This Row],[Date]],Database!$A:$C,MATCH($C$1,Database!$A$1:$C$1,),)=0,#N/A,VLOOKUP(Table7[[#This Row],[Date]],Database!$A:$C,MATCH($C$1,Database!$A$1:$C$1,),))</f>
        <v/>
      </c>
      <c r="D8397">
        <f>IFERROR(Table7[[#This Row],[United States 10y]]-Table7[[#This Row],[United States 3y]],#N/A)</f>
        <v/>
      </c>
    </row>
    <row r="8398">
      <c r="A8398" s="6">
        <f>Database!$A10483</f>
        <v/>
      </c>
      <c r="B8398">
        <f>IF(VLOOKUP(Table7[[#This Row],[Date]],Database!$A:$C,MATCH($B$1,Database!$A$1:$C$1,),)=0,#N/A,VLOOKUP(Table7[[#This Row],[Date]],Database!$A:$C,MATCH($B$1,Database!$A$1:$C$1,),))</f>
        <v/>
      </c>
      <c r="C8398">
        <f>IF(VLOOKUP(Table7[[#This Row],[Date]],Database!$A:$C,MATCH($C$1,Database!$A$1:$C$1,),)=0,#N/A,VLOOKUP(Table7[[#This Row],[Date]],Database!$A:$C,MATCH($C$1,Database!$A$1:$C$1,),))</f>
        <v/>
      </c>
      <c r="D8398">
        <f>IFERROR(Table7[[#This Row],[United States 10y]]-Table7[[#This Row],[United States 3y]],#N/A)</f>
        <v/>
      </c>
    </row>
    <row r="8399">
      <c r="A8399" s="6">
        <f>Database!$A10484</f>
        <v/>
      </c>
      <c r="B8399">
        <f>IF(VLOOKUP(Table7[[#This Row],[Date]],Database!$A:$C,MATCH($B$1,Database!$A$1:$C$1,),)=0,#N/A,VLOOKUP(Table7[[#This Row],[Date]],Database!$A:$C,MATCH($B$1,Database!$A$1:$C$1,),))</f>
        <v/>
      </c>
      <c r="C8399">
        <f>IF(VLOOKUP(Table7[[#This Row],[Date]],Database!$A:$C,MATCH($C$1,Database!$A$1:$C$1,),)=0,#N/A,VLOOKUP(Table7[[#This Row],[Date]],Database!$A:$C,MATCH($C$1,Database!$A$1:$C$1,),))</f>
        <v/>
      </c>
      <c r="D8399">
        <f>IFERROR(Table7[[#This Row],[United States 10y]]-Table7[[#This Row],[United States 3y]],#N/A)</f>
        <v/>
      </c>
    </row>
    <row r="8400">
      <c r="A8400" s="6">
        <f>Database!$A10485</f>
        <v/>
      </c>
      <c r="B8400">
        <f>IF(VLOOKUP(Table7[[#This Row],[Date]],Database!$A:$C,MATCH($B$1,Database!$A$1:$C$1,),)=0,#N/A,VLOOKUP(Table7[[#This Row],[Date]],Database!$A:$C,MATCH($B$1,Database!$A$1:$C$1,),))</f>
        <v/>
      </c>
      <c r="C8400">
        <f>IF(VLOOKUP(Table7[[#This Row],[Date]],Database!$A:$C,MATCH($C$1,Database!$A$1:$C$1,),)=0,#N/A,VLOOKUP(Table7[[#This Row],[Date]],Database!$A:$C,MATCH($C$1,Database!$A$1:$C$1,),))</f>
        <v/>
      </c>
      <c r="D8400">
        <f>IFERROR(Table7[[#This Row],[United States 10y]]-Table7[[#This Row],[United States 3y]],#N/A)</f>
        <v/>
      </c>
    </row>
    <row r="8401">
      <c r="A8401" s="6">
        <f>Database!$A10486</f>
        <v/>
      </c>
      <c r="B8401">
        <f>IF(VLOOKUP(Table7[[#This Row],[Date]],Database!$A:$C,MATCH($B$1,Database!$A$1:$C$1,),)=0,#N/A,VLOOKUP(Table7[[#This Row],[Date]],Database!$A:$C,MATCH($B$1,Database!$A$1:$C$1,),))</f>
        <v/>
      </c>
      <c r="C8401">
        <f>IF(VLOOKUP(Table7[[#This Row],[Date]],Database!$A:$C,MATCH($C$1,Database!$A$1:$C$1,),)=0,#N/A,VLOOKUP(Table7[[#This Row],[Date]],Database!$A:$C,MATCH($C$1,Database!$A$1:$C$1,),))</f>
        <v/>
      </c>
      <c r="D8401">
        <f>IFERROR(Table7[[#This Row],[United States 10y]]-Table7[[#This Row],[United States 3y]],#N/A)</f>
        <v/>
      </c>
    </row>
    <row r="8402">
      <c r="A8402" s="6">
        <f>Database!$A10487</f>
        <v/>
      </c>
      <c r="B8402">
        <f>IF(VLOOKUP(Table7[[#This Row],[Date]],Database!$A:$C,MATCH($B$1,Database!$A$1:$C$1,),)=0,#N/A,VLOOKUP(Table7[[#This Row],[Date]],Database!$A:$C,MATCH($B$1,Database!$A$1:$C$1,),))</f>
        <v/>
      </c>
      <c r="C8402">
        <f>IF(VLOOKUP(Table7[[#This Row],[Date]],Database!$A:$C,MATCH($C$1,Database!$A$1:$C$1,),)=0,#N/A,VLOOKUP(Table7[[#This Row],[Date]],Database!$A:$C,MATCH($C$1,Database!$A$1:$C$1,),))</f>
        <v/>
      </c>
      <c r="D8402">
        <f>IFERROR(Table7[[#This Row],[United States 10y]]-Table7[[#This Row],[United States 3y]],#N/A)</f>
        <v/>
      </c>
    </row>
    <row r="8403">
      <c r="A8403" s="6">
        <f>Database!$A10488</f>
        <v/>
      </c>
      <c r="B8403">
        <f>IF(VLOOKUP(Table7[[#This Row],[Date]],Database!$A:$C,MATCH($B$1,Database!$A$1:$C$1,),)=0,#N/A,VLOOKUP(Table7[[#This Row],[Date]],Database!$A:$C,MATCH($B$1,Database!$A$1:$C$1,),))</f>
        <v/>
      </c>
      <c r="C8403">
        <f>IF(VLOOKUP(Table7[[#This Row],[Date]],Database!$A:$C,MATCH($C$1,Database!$A$1:$C$1,),)=0,#N/A,VLOOKUP(Table7[[#This Row],[Date]],Database!$A:$C,MATCH($C$1,Database!$A$1:$C$1,),))</f>
        <v/>
      </c>
      <c r="D8403">
        <f>IFERROR(Table7[[#This Row],[United States 10y]]-Table7[[#This Row],[United States 3y]],#N/A)</f>
        <v/>
      </c>
    </row>
    <row r="8404">
      <c r="A8404" s="6">
        <f>Database!$A10489</f>
        <v/>
      </c>
      <c r="B8404">
        <f>IF(VLOOKUP(Table7[[#This Row],[Date]],Database!$A:$C,MATCH($B$1,Database!$A$1:$C$1,),)=0,#N/A,VLOOKUP(Table7[[#This Row],[Date]],Database!$A:$C,MATCH($B$1,Database!$A$1:$C$1,),))</f>
        <v/>
      </c>
      <c r="C8404">
        <f>IF(VLOOKUP(Table7[[#This Row],[Date]],Database!$A:$C,MATCH($C$1,Database!$A$1:$C$1,),)=0,#N/A,VLOOKUP(Table7[[#This Row],[Date]],Database!$A:$C,MATCH($C$1,Database!$A$1:$C$1,),))</f>
        <v/>
      </c>
      <c r="D8404">
        <f>IFERROR(Table7[[#This Row],[United States 10y]]-Table7[[#This Row],[United States 3y]],#N/A)</f>
        <v/>
      </c>
    </row>
    <row r="8405">
      <c r="A8405" s="6">
        <f>Database!$A10490</f>
        <v/>
      </c>
      <c r="B8405">
        <f>IF(VLOOKUP(Table7[[#This Row],[Date]],Database!$A:$C,MATCH($B$1,Database!$A$1:$C$1,),)=0,#N/A,VLOOKUP(Table7[[#This Row],[Date]],Database!$A:$C,MATCH($B$1,Database!$A$1:$C$1,),))</f>
        <v/>
      </c>
      <c r="C8405">
        <f>IF(VLOOKUP(Table7[[#This Row],[Date]],Database!$A:$C,MATCH($C$1,Database!$A$1:$C$1,),)=0,#N/A,VLOOKUP(Table7[[#This Row],[Date]],Database!$A:$C,MATCH($C$1,Database!$A$1:$C$1,),))</f>
        <v/>
      </c>
      <c r="D8405">
        <f>IFERROR(Table7[[#This Row],[United States 10y]]-Table7[[#This Row],[United States 3y]],#N/A)</f>
        <v/>
      </c>
    </row>
    <row r="8406">
      <c r="A8406" s="6">
        <f>Database!$A10491</f>
        <v/>
      </c>
      <c r="B8406">
        <f>IF(VLOOKUP(Table7[[#This Row],[Date]],Database!$A:$C,MATCH($B$1,Database!$A$1:$C$1,),)=0,#N/A,VLOOKUP(Table7[[#This Row],[Date]],Database!$A:$C,MATCH($B$1,Database!$A$1:$C$1,),))</f>
        <v/>
      </c>
      <c r="C8406">
        <f>IF(VLOOKUP(Table7[[#This Row],[Date]],Database!$A:$C,MATCH($C$1,Database!$A$1:$C$1,),)=0,#N/A,VLOOKUP(Table7[[#This Row],[Date]],Database!$A:$C,MATCH($C$1,Database!$A$1:$C$1,),))</f>
        <v/>
      </c>
      <c r="D8406">
        <f>IFERROR(Table7[[#This Row],[United States 10y]]-Table7[[#This Row],[United States 3y]],#N/A)</f>
        <v/>
      </c>
    </row>
    <row r="8407">
      <c r="A8407" s="6">
        <f>Database!$A10492</f>
        <v/>
      </c>
      <c r="B8407">
        <f>IF(VLOOKUP(Table7[[#This Row],[Date]],Database!$A:$C,MATCH($B$1,Database!$A$1:$C$1,),)=0,#N/A,VLOOKUP(Table7[[#This Row],[Date]],Database!$A:$C,MATCH($B$1,Database!$A$1:$C$1,),))</f>
        <v/>
      </c>
      <c r="C8407">
        <f>IF(VLOOKUP(Table7[[#This Row],[Date]],Database!$A:$C,MATCH($C$1,Database!$A$1:$C$1,),)=0,#N/A,VLOOKUP(Table7[[#This Row],[Date]],Database!$A:$C,MATCH($C$1,Database!$A$1:$C$1,),))</f>
        <v/>
      </c>
      <c r="D8407">
        <f>IFERROR(Table7[[#This Row],[United States 10y]]-Table7[[#This Row],[United States 3y]],#N/A)</f>
        <v/>
      </c>
    </row>
    <row r="8408">
      <c r="A8408" s="6">
        <f>Database!$A10493</f>
        <v/>
      </c>
      <c r="B8408">
        <f>IF(VLOOKUP(Table7[[#This Row],[Date]],Database!$A:$C,MATCH($B$1,Database!$A$1:$C$1,),)=0,#N/A,VLOOKUP(Table7[[#This Row],[Date]],Database!$A:$C,MATCH($B$1,Database!$A$1:$C$1,),))</f>
        <v/>
      </c>
      <c r="C8408">
        <f>IF(VLOOKUP(Table7[[#This Row],[Date]],Database!$A:$C,MATCH($C$1,Database!$A$1:$C$1,),)=0,#N/A,VLOOKUP(Table7[[#This Row],[Date]],Database!$A:$C,MATCH($C$1,Database!$A$1:$C$1,),))</f>
        <v/>
      </c>
      <c r="D8408">
        <f>IFERROR(Table7[[#This Row],[United States 10y]]-Table7[[#This Row],[United States 3y]],#N/A)</f>
        <v/>
      </c>
    </row>
    <row r="8409">
      <c r="A8409" s="6">
        <f>Database!$A10494</f>
        <v/>
      </c>
      <c r="B8409">
        <f>IF(VLOOKUP(Table7[[#This Row],[Date]],Database!$A:$C,MATCH($B$1,Database!$A$1:$C$1,),)=0,#N/A,VLOOKUP(Table7[[#This Row],[Date]],Database!$A:$C,MATCH($B$1,Database!$A$1:$C$1,),))</f>
        <v/>
      </c>
      <c r="C8409">
        <f>IF(VLOOKUP(Table7[[#This Row],[Date]],Database!$A:$C,MATCH($C$1,Database!$A$1:$C$1,),)=0,#N/A,VLOOKUP(Table7[[#This Row],[Date]],Database!$A:$C,MATCH($C$1,Database!$A$1:$C$1,),))</f>
        <v/>
      </c>
      <c r="D8409">
        <f>IFERROR(Table7[[#This Row],[United States 10y]]-Table7[[#This Row],[United States 3y]],#N/A)</f>
        <v/>
      </c>
    </row>
    <row r="8410">
      <c r="A8410" s="6">
        <f>Database!$A10495</f>
        <v/>
      </c>
      <c r="B8410">
        <f>IF(VLOOKUP(Table7[[#This Row],[Date]],Database!$A:$C,MATCH($B$1,Database!$A$1:$C$1,),)=0,#N/A,VLOOKUP(Table7[[#This Row],[Date]],Database!$A:$C,MATCH($B$1,Database!$A$1:$C$1,),))</f>
        <v/>
      </c>
      <c r="C8410">
        <f>IF(VLOOKUP(Table7[[#This Row],[Date]],Database!$A:$C,MATCH($C$1,Database!$A$1:$C$1,),)=0,#N/A,VLOOKUP(Table7[[#This Row],[Date]],Database!$A:$C,MATCH($C$1,Database!$A$1:$C$1,),))</f>
        <v/>
      </c>
      <c r="D8410">
        <f>IFERROR(Table7[[#This Row],[United States 10y]]-Table7[[#This Row],[United States 3y]],#N/A)</f>
        <v/>
      </c>
    </row>
    <row r="8411">
      <c r="A8411" s="6">
        <f>Database!$A10496</f>
        <v/>
      </c>
      <c r="B8411">
        <f>IF(VLOOKUP(Table7[[#This Row],[Date]],Database!$A:$C,MATCH($B$1,Database!$A$1:$C$1,),)=0,#N/A,VLOOKUP(Table7[[#This Row],[Date]],Database!$A:$C,MATCH($B$1,Database!$A$1:$C$1,),))</f>
        <v/>
      </c>
      <c r="C8411">
        <f>IF(VLOOKUP(Table7[[#This Row],[Date]],Database!$A:$C,MATCH($C$1,Database!$A$1:$C$1,),)=0,#N/A,VLOOKUP(Table7[[#This Row],[Date]],Database!$A:$C,MATCH($C$1,Database!$A$1:$C$1,),))</f>
        <v/>
      </c>
      <c r="D8411">
        <f>IFERROR(Table7[[#This Row],[United States 10y]]-Table7[[#This Row],[United States 3y]],#N/A)</f>
        <v/>
      </c>
    </row>
    <row r="8412">
      <c r="A8412" s="6">
        <f>Database!$A10497</f>
        <v/>
      </c>
      <c r="B8412">
        <f>IF(VLOOKUP(Table7[[#This Row],[Date]],Database!$A:$C,MATCH($B$1,Database!$A$1:$C$1,),)=0,#N/A,VLOOKUP(Table7[[#This Row],[Date]],Database!$A:$C,MATCH($B$1,Database!$A$1:$C$1,),))</f>
        <v/>
      </c>
      <c r="C8412">
        <f>IF(VLOOKUP(Table7[[#This Row],[Date]],Database!$A:$C,MATCH($C$1,Database!$A$1:$C$1,),)=0,#N/A,VLOOKUP(Table7[[#This Row],[Date]],Database!$A:$C,MATCH($C$1,Database!$A$1:$C$1,),))</f>
        <v/>
      </c>
      <c r="D8412">
        <f>IFERROR(Table7[[#This Row],[United States 10y]]-Table7[[#This Row],[United States 3y]],#N/A)</f>
        <v/>
      </c>
    </row>
    <row r="8413">
      <c r="A8413" s="6">
        <f>Database!$A10498</f>
        <v/>
      </c>
      <c r="B8413">
        <f>IF(VLOOKUP(Table7[[#This Row],[Date]],Database!$A:$C,MATCH($B$1,Database!$A$1:$C$1,),)=0,#N/A,VLOOKUP(Table7[[#This Row],[Date]],Database!$A:$C,MATCH($B$1,Database!$A$1:$C$1,),))</f>
        <v/>
      </c>
      <c r="C8413">
        <f>IF(VLOOKUP(Table7[[#This Row],[Date]],Database!$A:$C,MATCH($C$1,Database!$A$1:$C$1,),)=0,#N/A,VLOOKUP(Table7[[#This Row],[Date]],Database!$A:$C,MATCH($C$1,Database!$A$1:$C$1,),))</f>
        <v/>
      </c>
      <c r="D8413">
        <f>IFERROR(Table7[[#This Row],[United States 10y]]-Table7[[#This Row],[United States 3y]],#N/A)</f>
        <v/>
      </c>
    </row>
    <row r="8414">
      <c r="A8414" s="6">
        <f>Database!$A10499</f>
        <v/>
      </c>
      <c r="B8414">
        <f>IF(VLOOKUP(Table7[[#This Row],[Date]],Database!$A:$C,MATCH($B$1,Database!$A$1:$C$1,),)=0,#N/A,VLOOKUP(Table7[[#This Row],[Date]],Database!$A:$C,MATCH($B$1,Database!$A$1:$C$1,),))</f>
        <v/>
      </c>
      <c r="C8414">
        <f>IF(VLOOKUP(Table7[[#This Row],[Date]],Database!$A:$C,MATCH($C$1,Database!$A$1:$C$1,),)=0,#N/A,VLOOKUP(Table7[[#This Row],[Date]],Database!$A:$C,MATCH($C$1,Database!$A$1:$C$1,),))</f>
        <v/>
      </c>
      <c r="D8414">
        <f>IFERROR(Table7[[#This Row],[United States 10y]]-Table7[[#This Row],[United States 3y]],#N/A)</f>
        <v/>
      </c>
    </row>
    <row r="8415">
      <c r="A8415" s="6">
        <f>Database!$A10500</f>
        <v/>
      </c>
      <c r="B8415">
        <f>IF(VLOOKUP(Table7[[#This Row],[Date]],Database!$A:$C,MATCH($B$1,Database!$A$1:$C$1,),)=0,#N/A,VLOOKUP(Table7[[#This Row],[Date]],Database!$A:$C,MATCH($B$1,Database!$A$1:$C$1,),))</f>
        <v/>
      </c>
      <c r="C8415">
        <f>IF(VLOOKUP(Table7[[#This Row],[Date]],Database!$A:$C,MATCH($C$1,Database!$A$1:$C$1,),)=0,#N/A,VLOOKUP(Table7[[#This Row],[Date]],Database!$A:$C,MATCH($C$1,Database!$A$1:$C$1,),))</f>
        <v/>
      </c>
      <c r="D8415">
        <f>IFERROR(Table7[[#This Row],[United States 10y]]-Table7[[#This Row],[United States 3y]],#N/A)</f>
        <v/>
      </c>
    </row>
    <row r="8416">
      <c r="A8416" s="6">
        <f>Database!$A10501</f>
        <v/>
      </c>
      <c r="B8416">
        <f>IF(VLOOKUP(Table7[[#This Row],[Date]],Database!$A:$C,MATCH($B$1,Database!$A$1:$C$1,),)=0,#N/A,VLOOKUP(Table7[[#This Row],[Date]],Database!$A:$C,MATCH($B$1,Database!$A$1:$C$1,),))</f>
        <v/>
      </c>
      <c r="C8416">
        <f>IF(VLOOKUP(Table7[[#This Row],[Date]],Database!$A:$C,MATCH($C$1,Database!$A$1:$C$1,),)=0,#N/A,VLOOKUP(Table7[[#This Row],[Date]],Database!$A:$C,MATCH($C$1,Database!$A$1:$C$1,),))</f>
        <v/>
      </c>
      <c r="D8416">
        <f>IFERROR(Table7[[#This Row],[United States 10y]]-Table7[[#This Row],[United States 3y]],#N/A)</f>
        <v/>
      </c>
    </row>
    <row r="8417">
      <c r="A8417" s="6">
        <f>Database!$A10502</f>
        <v/>
      </c>
      <c r="B8417">
        <f>IF(VLOOKUP(Table7[[#This Row],[Date]],Database!$A:$C,MATCH($B$1,Database!$A$1:$C$1,),)=0,#N/A,VLOOKUP(Table7[[#This Row],[Date]],Database!$A:$C,MATCH($B$1,Database!$A$1:$C$1,),))</f>
        <v/>
      </c>
      <c r="C8417">
        <f>IF(VLOOKUP(Table7[[#This Row],[Date]],Database!$A:$C,MATCH($C$1,Database!$A$1:$C$1,),)=0,#N/A,VLOOKUP(Table7[[#This Row],[Date]],Database!$A:$C,MATCH($C$1,Database!$A$1:$C$1,),))</f>
        <v/>
      </c>
      <c r="D8417">
        <f>IFERROR(Table7[[#This Row],[United States 10y]]-Table7[[#This Row],[United States 3y]],#N/A)</f>
        <v/>
      </c>
    </row>
    <row r="8418">
      <c r="A8418" s="6">
        <f>Database!$A10503</f>
        <v/>
      </c>
      <c r="B8418">
        <f>IF(VLOOKUP(Table7[[#This Row],[Date]],Database!$A:$C,MATCH($B$1,Database!$A$1:$C$1,),)=0,#N/A,VLOOKUP(Table7[[#This Row],[Date]],Database!$A:$C,MATCH($B$1,Database!$A$1:$C$1,),))</f>
        <v/>
      </c>
      <c r="C8418">
        <f>IF(VLOOKUP(Table7[[#This Row],[Date]],Database!$A:$C,MATCH($C$1,Database!$A$1:$C$1,),)=0,#N/A,VLOOKUP(Table7[[#This Row],[Date]],Database!$A:$C,MATCH($C$1,Database!$A$1:$C$1,),))</f>
        <v/>
      </c>
      <c r="D8418">
        <f>IFERROR(Table7[[#This Row],[United States 10y]]-Table7[[#This Row],[United States 3y]],#N/A)</f>
        <v/>
      </c>
    </row>
    <row r="8419">
      <c r="A8419" s="6">
        <f>Database!$A10504</f>
        <v/>
      </c>
      <c r="B8419">
        <f>IF(VLOOKUP(Table7[[#This Row],[Date]],Database!$A:$C,MATCH($B$1,Database!$A$1:$C$1,),)=0,#N/A,VLOOKUP(Table7[[#This Row],[Date]],Database!$A:$C,MATCH($B$1,Database!$A$1:$C$1,),))</f>
        <v/>
      </c>
      <c r="C8419">
        <f>IF(VLOOKUP(Table7[[#This Row],[Date]],Database!$A:$C,MATCH($C$1,Database!$A$1:$C$1,),)=0,#N/A,VLOOKUP(Table7[[#This Row],[Date]],Database!$A:$C,MATCH($C$1,Database!$A$1:$C$1,),))</f>
        <v/>
      </c>
      <c r="D8419">
        <f>IFERROR(Table7[[#This Row],[United States 10y]]-Table7[[#This Row],[United States 3y]],#N/A)</f>
        <v/>
      </c>
    </row>
    <row r="8420">
      <c r="A8420" s="6">
        <f>Database!$A10505</f>
        <v/>
      </c>
      <c r="B8420">
        <f>IF(VLOOKUP(Table7[[#This Row],[Date]],Database!$A:$C,MATCH($B$1,Database!$A$1:$C$1,),)=0,#N/A,VLOOKUP(Table7[[#This Row],[Date]],Database!$A:$C,MATCH($B$1,Database!$A$1:$C$1,),))</f>
        <v/>
      </c>
      <c r="C8420">
        <f>IF(VLOOKUP(Table7[[#This Row],[Date]],Database!$A:$C,MATCH($C$1,Database!$A$1:$C$1,),)=0,#N/A,VLOOKUP(Table7[[#This Row],[Date]],Database!$A:$C,MATCH($C$1,Database!$A$1:$C$1,),))</f>
        <v/>
      </c>
      <c r="D8420">
        <f>IFERROR(Table7[[#This Row],[United States 10y]]-Table7[[#This Row],[United States 3y]],#N/A)</f>
        <v/>
      </c>
    </row>
    <row r="8421">
      <c r="A8421" s="6">
        <f>Database!$A10506</f>
        <v/>
      </c>
      <c r="B8421">
        <f>IF(VLOOKUP(Table7[[#This Row],[Date]],Database!$A:$C,MATCH($B$1,Database!$A$1:$C$1,),)=0,#N/A,VLOOKUP(Table7[[#This Row],[Date]],Database!$A:$C,MATCH($B$1,Database!$A$1:$C$1,),))</f>
        <v/>
      </c>
      <c r="C8421">
        <f>IF(VLOOKUP(Table7[[#This Row],[Date]],Database!$A:$C,MATCH($C$1,Database!$A$1:$C$1,),)=0,#N/A,VLOOKUP(Table7[[#This Row],[Date]],Database!$A:$C,MATCH($C$1,Database!$A$1:$C$1,),))</f>
        <v/>
      </c>
      <c r="D8421">
        <f>IFERROR(Table7[[#This Row],[United States 10y]]-Table7[[#This Row],[United States 3y]],#N/A)</f>
        <v/>
      </c>
    </row>
    <row r="8422">
      <c r="A8422" s="6">
        <f>Database!$A10507</f>
        <v/>
      </c>
      <c r="B8422">
        <f>IF(VLOOKUP(Table7[[#This Row],[Date]],Database!$A:$C,MATCH($B$1,Database!$A$1:$C$1,),)=0,#N/A,VLOOKUP(Table7[[#This Row],[Date]],Database!$A:$C,MATCH($B$1,Database!$A$1:$C$1,),))</f>
        <v/>
      </c>
      <c r="C8422">
        <f>IF(VLOOKUP(Table7[[#This Row],[Date]],Database!$A:$C,MATCH($C$1,Database!$A$1:$C$1,),)=0,#N/A,VLOOKUP(Table7[[#This Row],[Date]],Database!$A:$C,MATCH($C$1,Database!$A$1:$C$1,),))</f>
        <v/>
      </c>
      <c r="D8422">
        <f>IFERROR(Table7[[#This Row],[United States 10y]]-Table7[[#This Row],[United States 3y]],#N/A)</f>
        <v/>
      </c>
    </row>
    <row r="8423">
      <c r="A8423" s="6">
        <f>Database!$A10508</f>
        <v/>
      </c>
      <c r="B8423">
        <f>IF(VLOOKUP(Table7[[#This Row],[Date]],Database!$A:$C,MATCH($B$1,Database!$A$1:$C$1,),)=0,#N/A,VLOOKUP(Table7[[#This Row],[Date]],Database!$A:$C,MATCH($B$1,Database!$A$1:$C$1,),))</f>
        <v/>
      </c>
      <c r="C8423">
        <f>IF(VLOOKUP(Table7[[#This Row],[Date]],Database!$A:$C,MATCH($C$1,Database!$A$1:$C$1,),)=0,#N/A,VLOOKUP(Table7[[#This Row],[Date]],Database!$A:$C,MATCH($C$1,Database!$A$1:$C$1,),))</f>
        <v/>
      </c>
      <c r="D8423">
        <f>IFERROR(Table7[[#This Row],[United States 10y]]-Table7[[#This Row],[United States 3y]],#N/A)</f>
        <v/>
      </c>
    </row>
    <row r="8424">
      <c r="A8424" s="6">
        <f>Database!$A10509</f>
        <v/>
      </c>
      <c r="B8424">
        <f>IF(VLOOKUP(Table7[[#This Row],[Date]],Database!$A:$C,MATCH($B$1,Database!$A$1:$C$1,),)=0,#N/A,VLOOKUP(Table7[[#This Row],[Date]],Database!$A:$C,MATCH($B$1,Database!$A$1:$C$1,),))</f>
        <v/>
      </c>
      <c r="C8424">
        <f>IF(VLOOKUP(Table7[[#This Row],[Date]],Database!$A:$C,MATCH($C$1,Database!$A$1:$C$1,),)=0,#N/A,VLOOKUP(Table7[[#This Row],[Date]],Database!$A:$C,MATCH($C$1,Database!$A$1:$C$1,),))</f>
        <v/>
      </c>
      <c r="D8424">
        <f>IFERROR(Table7[[#This Row],[United States 10y]]-Table7[[#This Row],[United States 3y]],#N/A)</f>
        <v/>
      </c>
    </row>
    <row r="8425">
      <c r="A8425" s="6">
        <f>Database!$A10510</f>
        <v/>
      </c>
      <c r="B8425">
        <f>IF(VLOOKUP(Table7[[#This Row],[Date]],Database!$A:$C,MATCH($B$1,Database!$A$1:$C$1,),)=0,#N/A,VLOOKUP(Table7[[#This Row],[Date]],Database!$A:$C,MATCH($B$1,Database!$A$1:$C$1,),))</f>
        <v/>
      </c>
      <c r="C8425">
        <f>IF(VLOOKUP(Table7[[#This Row],[Date]],Database!$A:$C,MATCH($C$1,Database!$A$1:$C$1,),)=0,#N/A,VLOOKUP(Table7[[#This Row],[Date]],Database!$A:$C,MATCH($C$1,Database!$A$1:$C$1,),))</f>
        <v/>
      </c>
      <c r="D8425">
        <f>IFERROR(Table7[[#This Row],[United States 10y]]-Table7[[#This Row],[United States 3y]],#N/A)</f>
        <v/>
      </c>
    </row>
    <row r="8426">
      <c r="A8426" s="6">
        <f>Database!$A10511</f>
        <v/>
      </c>
      <c r="B8426">
        <f>IF(VLOOKUP(Table7[[#This Row],[Date]],Database!$A:$C,MATCH($B$1,Database!$A$1:$C$1,),)=0,#N/A,VLOOKUP(Table7[[#This Row],[Date]],Database!$A:$C,MATCH($B$1,Database!$A$1:$C$1,),))</f>
        <v/>
      </c>
      <c r="C8426">
        <f>IF(VLOOKUP(Table7[[#This Row],[Date]],Database!$A:$C,MATCH($C$1,Database!$A$1:$C$1,),)=0,#N/A,VLOOKUP(Table7[[#This Row],[Date]],Database!$A:$C,MATCH($C$1,Database!$A$1:$C$1,),))</f>
        <v/>
      </c>
      <c r="D8426">
        <f>IFERROR(Table7[[#This Row],[United States 10y]]-Table7[[#This Row],[United States 3y]],#N/A)</f>
        <v/>
      </c>
    </row>
    <row r="8427">
      <c r="A8427" s="6">
        <f>Database!$A10512</f>
        <v/>
      </c>
      <c r="B8427">
        <f>IF(VLOOKUP(Table7[[#This Row],[Date]],Database!$A:$C,MATCH($B$1,Database!$A$1:$C$1,),)=0,#N/A,VLOOKUP(Table7[[#This Row],[Date]],Database!$A:$C,MATCH($B$1,Database!$A$1:$C$1,),))</f>
        <v/>
      </c>
      <c r="C8427">
        <f>IF(VLOOKUP(Table7[[#This Row],[Date]],Database!$A:$C,MATCH($C$1,Database!$A$1:$C$1,),)=0,#N/A,VLOOKUP(Table7[[#This Row],[Date]],Database!$A:$C,MATCH($C$1,Database!$A$1:$C$1,),))</f>
        <v/>
      </c>
      <c r="D8427">
        <f>IFERROR(Table7[[#This Row],[United States 10y]]-Table7[[#This Row],[United States 3y]],#N/A)</f>
        <v/>
      </c>
    </row>
    <row r="8428">
      <c r="A8428" s="6">
        <f>Database!$A10513</f>
        <v/>
      </c>
      <c r="B8428">
        <f>IF(VLOOKUP(Table7[[#This Row],[Date]],Database!$A:$C,MATCH($B$1,Database!$A$1:$C$1,),)=0,#N/A,VLOOKUP(Table7[[#This Row],[Date]],Database!$A:$C,MATCH($B$1,Database!$A$1:$C$1,),))</f>
        <v/>
      </c>
      <c r="C8428">
        <f>IF(VLOOKUP(Table7[[#This Row],[Date]],Database!$A:$C,MATCH($C$1,Database!$A$1:$C$1,),)=0,#N/A,VLOOKUP(Table7[[#This Row],[Date]],Database!$A:$C,MATCH($C$1,Database!$A$1:$C$1,),))</f>
        <v/>
      </c>
      <c r="D8428">
        <f>IFERROR(Table7[[#This Row],[United States 10y]]-Table7[[#This Row],[United States 3y]],#N/A)</f>
        <v/>
      </c>
    </row>
    <row r="8429">
      <c r="A8429" s="6">
        <f>Database!$A10514</f>
        <v/>
      </c>
      <c r="B8429">
        <f>IF(VLOOKUP(Table7[[#This Row],[Date]],Database!$A:$C,MATCH($B$1,Database!$A$1:$C$1,),)=0,#N/A,VLOOKUP(Table7[[#This Row],[Date]],Database!$A:$C,MATCH($B$1,Database!$A$1:$C$1,),))</f>
        <v/>
      </c>
      <c r="C8429">
        <f>IF(VLOOKUP(Table7[[#This Row],[Date]],Database!$A:$C,MATCH($C$1,Database!$A$1:$C$1,),)=0,#N/A,VLOOKUP(Table7[[#This Row],[Date]],Database!$A:$C,MATCH($C$1,Database!$A$1:$C$1,),))</f>
        <v/>
      </c>
      <c r="D8429">
        <f>IFERROR(Table7[[#This Row],[United States 10y]]-Table7[[#This Row],[United States 3y]],#N/A)</f>
        <v/>
      </c>
    </row>
    <row r="8430">
      <c r="A8430" s="6">
        <f>Database!$A10515</f>
        <v/>
      </c>
      <c r="B8430">
        <f>IF(VLOOKUP(Table7[[#This Row],[Date]],Database!$A:$C,MATCH($B$1,Database!$A$1:$C$1,),)=0,#N/A,VLOOKUP(Table7[[#This Row],[Date]],Database!$A:$C,MATCH($B$1,Database!$A$1:$C$1,),))</f>
        <v/>
      </c>
      <c r="C8430">
        <f>IF(VLOOKUP(Table7[[#This Row],[Date]],Database!$A:$C,MATCH($C$1,Database!$A$1:$C$1,),)=0,#N/A,VLOOKUP(Table7[[#This Row],[Date]],Database!$A:$C,MATCH($C$1,Database!$A$1:$C$1,),))</f>
        <v/>
      </c>
      <c r="D8430">
        <f>IFERROR(Table7[[#This Row],[United States 10y]]-Table7[[#This Row],[United States 3y]],#N/A)</f>
        <v/>
      </c>
    </row>
    <row r="8431">
      <c r="A8431" s="6">
        <f>Database!$A10516</f>
        <v/>
      </c>
      <c r="B8431">
        <f>IF(VLOOKUP(Table7[[#This Row],[Date]],Database!$A:$C,MATCH($B$1,Database!$A$1:$C$1,),)=0,#N/A,VLOOKUP(Table7[[#This Row],[Date]],Database!$A:$C,MATCH($B$1,Database!$A$1:$C$1,),))</f>
        <v/>
      </c>
      <c r="C8431">
        <f>IF(VLOOKUP(Table7[[#This Row],[Date]],Database!$A:$C,MATCH($C$1,Database!$A$1:$C$1,),)=0,#N/A,VLOOKUP(Table7[[#This Row],[Date]],Database!$A:$C,MATCH($C$1,Database!$A$1:$C$1,),))</f>
        <v/>
      </c>
      <c r="D8431">
        <f>IFERROR(Table7[[#This Row],[United States 10y]]-Table7[[#This Row],[United States 3y]],#N/A)</f>
        <v/>
      </c>
    </row>
    <row r="8432">
      <c r="A8432" s="6">
        <f>Database!$A10517</f>
        <v/>
      </c>
      <c r="B8432">
        <f>IF(VLOOKUP(Table7[[#This Row],[Date]],Database!$A:$C,MATCH($B$1,Database!$A$1:$C$1,),)=0,#N/A,VLOOKUP(Table7[[#This Row],[Date]],Database!$A:$C,MATCH($B$1,Database!$A$1:$C$1,),))</f>
        <v/>
      </c>
      <c r="C8432">
        <f>IF(VLOOKUP(Table7[[#This Row],[Date]],Database!$A:$C,MATCH($C$1,Database!$A$1:$C$1,),)=0,#N/A,VLOOKUP(Table7[[#This Row],[Date]],Database!$A:$C,MATCH($C$1,Database!$A$1:$C$1,),))</f>
        <v/>
      </c>
      <c r="D8432">
        <f>IFERROR(Table7[[#This Row],[United States 10y]]-Table7[[#This Row],[United States 3y]],#N/A)</f>
        <v/>
      </c>
    </row>
    <row r="8433">
      <c r="A8433" s="6">
        <f>Database!$A10518</f>
        <v/>
      </c>
      <c r="B8433">
        <f>IF(VLOOKUP(Table7[[#This Row],[Date]],Database!$A:$C,MATCH($B$1,Database!$A$1:$C$1,),)=0,#N/A,VLOOKUP(Table7[[#This Row],[Date]],Database!$A:$C,MATCH($B$1,Database!$A$1:$C$1,),))</f>
        <v/>
      </c>
      <c r="C8433">
        <f>IF(VLOOKUP(Table7[[#This Row],[Date]],Database!$A:$C,MATCH($C$1,Database!$A$1:$C$1,),)=0,#N/A,VLOOKUP(Table7[[#This Row],[Date]],Database!$A:$C,MATCH($C$1,Database!$A$1:$C$1,),))</f>
        <v/>
      </c>
      <c r="D8433">
        <f>IFERROR(Table7[[#This Row],[United States 10y]]-Table7[[#This Row],[United States 3y]],#N/A)</f>
        <v/>
      </c>
    </row>
    <row r="8434">
      <c r="A8434" s="6">
        <f>Database!$A10519</f>
        <v/>
      </c>
      <c r="B8434">
        <f>IF(VLOOKUP(Table7[[#This Row],[Date]],Database!$A:$C,MATCH($B$1,Database!$A$1:$C$1,),)=0,#N/A,VLOOKUP(Table7[[#This Row],[Date]],Database!$A:$C,MATCH($B$1,Database!$A$1:$C$1,),))</f>
        <v/>
      </c>
      <c r="C8434">
        <f>IF(VLOOKUP(Table7[[#This Row],[Date]],Database!$A:$C,MATCH($C$1,Database!$A$1:$C$1,),)=0,#N/A,VLOOKUP(Table7[[#This Row],[Date]],Database!$A:$C,MATCH($C$1,Database!$A$1:$C$1,),))</f>
        <v/>
      </c>
      <c r="D8434">
        <f>IFERROR(Table7[[#This Row],[United States 10y]]-Table7[[#This Row],[United States 3y]],#N/A)</f>
        <v/>
      </c>
    </row>
    <row r="8435">
      <c r="A8435" s="6">
        <f>Database!$A10520</f>
        <v/>
      </c>
      <c r="B8435">
        <f>IF(VLOOKUP(Table7[[#This Row],[Date]],Database!$A:$C,MATCH($B$1,Database!$A$1:$C$1,),)=0,#N/A,VLOOKUP(Table7[[#This Row],[Date]],Database!$A:$C,MATCH($B$1,Database!$A$1:$C$1,),))</f>
        <v/>
      </c>
      <c r="C8435">
        <f>IF(VLOOKUP(Table7[[#This Row],[Date]],Database!$A:$C,MATCH($C$1,Database!$A$1:$C$1,),)=0,#N/A,VLOOKUP(Table7[[#This Row],[Date]],Database!$A:$C,MATCH($C$1,Database!$A$1:$C$1,),))</f>
        <v/>
      </c>
      <c r="D8435">
        <f>IFERROR(Table7[[#This Row],[United States 10y]]-Table7[[#This Row],[United States 3y]],#N/A)</f>
        <v/>
      </c>
    </row>
    <row r="8436">
      <c r="A8436" s="6">
        <f>Database!$A10521</f>
        <v/>
      </c>
      <c r="B8436">
        <f>IF(VLOOKUP(Table7[[#This Row],[Date]],Database!$A:$C,MATCH($B$1,Database!$A$1:$C$1,),)=0,#N/A,VLOOKUP(Table7[[#This Row],[Date]],Database!$A:$C,MATCH($B$1,Database!$A$1:$C$1,),))</f>
        <v/>
      </c>
      <c r="C8436">
        <f>IF(VLOOKUP(Table7[[#This Row],[Date]],Database!$A:$C,MATCH($C$1,Database!$A$1:$C$1,),)=0,#N/A,VLOOKUP(Table7[[#This Row],[Date]],Database!$A:$C,MATCH($C$1,Database!$A$1:$C$1,),))</f>
        <v/>
      </c>
      <c r="D8436">
        <f>IFERROR(Table7[[#This Row],[United States 10y]]-Table7[[#This Row],[United States 3y]],#N/A)</f>
        <v/>
      </c>
    </row>
    <row r="8437">
      <c r="A8437" s="6">
        <f>Database!$A10522</f>
        <v/>
      </c>
      <c r="B8437">
        <f>IF(VLOOKUP(Table7[[#This Row],[Date]],Database!$A:$C,MATCH($B$1,Database!$A$1:$C$1,),)=0,#N/A,VLOOKUP(Table7[[#This Row],[Date]],Database!$A:$C,MATCH($B$1,Database!$A$1:$C$1,),))</f>
        <v/>
      </c>
      <c r="C8437">
        <f>IF(VLOOKUP(Table7[[#This Row],[Date]],Database!$A:$C,MATCH($C$1,Database!$A$1:$C$1,),)=0,#N/A,VLOOKUP(Table7[[#This Row],[Date]],Database!$A:$C,MATCH($C$1,Database!$A$1:$C$1,),))</f>
        <v/>
      </c>
      <c r="D8437">
        <f>IFERROR(Table7[[#This Row],[United States 10y]]-Table7[[#This Row],[United States 3y]],#N/A)</f>
        <v/>
      </c>
    </row>
    <row r="8438">
      <c r="A8438" s="6">
        <f>Database!$A10523</f>
        <v/>
      </c>
      <c r="B8438">
        <f>IF(VLOOKUP(Table7[[#This Row],[Date]],Database!$A:$C,MATCH($B$1,Database!$A$1:$C$1,),)=0,#N/A,VLOOKUP(Table7[[#This Row],[Date]],Database!$A:$C,MATCH($B$1,Database!$A$1:$C$1,),))</f>
        <v/>
      </c>
      <c r="C8438">
        <f>IF(VLOOKUP(Table7[[#This Row],[Date]],Database!$A:$C,MATCH($C$1,Database!$A$1:$C$1,),)=0,#N/A,VLOOKUP(Table7[[#This Row],[Date]],Database!$A:$C,MATCH($C$1,Database!$A$1:$C$1,),))</f>
        <v/>
      </c>
      <c r="D8438">
        <f>IFERROR(Table7[[#This Row],[United States 10y]]-Table7[[#This Row],[United States 3y]],#N/A)</f>
        <v/>
      </c>
    </row>
    <row r="8439">
      <c r="A8439" s="6">
        <f>Database!$A10524</f>
        <v/>
      </c>
      <c r="B8439">
        <f>IF(VLOOKUP(Table7[[#This Row],[Date]],Database!$A:$C,MATCH($B$1,Database!$A$1:$C$1,),)=0,#N/A,VLOOKUP(Table7[[#This Row],[Date]],Database!$A:$C,MATCH($B$1,Database!$A$1:$C$1,),))</f>
        <v/>
      </c>
      <c r="C8439">
        <f>IF(VLOOKUP(Table7[[#This Row],[Date]],Database!$A:$C,MATCH($C$1,Database!$A$1:$C$1,),)=0,#N/A,VLOOKUP(Table7[[#This Row],[Date]],Database!$A:$C,MATCH($C$1,Database!$A$1:$C$1,),))</f>
        <v/>
      </c>
      <c r="D8439">
        <f>IFERROR(Table7[[#This Row],[United States 10y]]-Table7[[#This Row],[United States 3y]],#N/A)</f>
        <v/>
      </c>
    </row>
    <row r="8440">
      <c r="A8440" s="6">
        <f>Database!$A10525</f>
        <v/>
      </c>
      <c r="B8440">
        <f>IF(VLOOKUP(Table7[[#This Row],[Date]],Database!$A:$C,MATCH($B$1,Database!$A$1:$C$1,),)=0,#N/A,VLOOKUP(Table7[[#This Row],[Date]],Database!$A:$C,MATCH($B$1,Database!$A$1:$C$1,),))</f>
        <v/>
      </c>
      <c r="C8440">
        <f>IF(VLOOKUP(Table7[[#This Row],[Date]],Database!$A:$C,MATCH($C$1,Database!$A$1:$C$1,),)=0,#N/A,VLOOKUP(Table7[[#This Row],[Date]],Database!$A:$C,MATCH($C$1,Database!$A$1:$C$1,),))</f>
        <v/>
      </c>
      <c r="D8440">
        <f>IFERROR(Table7[[#This Row],[United States 10y]]-Table7[[#This Row],[United States 3y]],#N/A)</f>
        <v/>
      </c>
    </row>
    <row r="8441">
      <c r="A8441" s="6">
        <f>Database!$A10526</f>
        <v/>
      </c>
      <c r="B8441">
        <f>IF(VLOOKUP(Table7[[#This Row],[Date]],Database!$A:$C,MATCH($B$1,Database!$A$1:$C$1,),)=0,#N/A,VLOOKUP(Table7[[#This Row],[Date]],Database!$A:$C,MATCH($B$1,Database!$A$1:$C$1,),))</f>
        <v/>
      </c>
      <c r="C8441">
        <f>IF(VLOOKUP(Table7[[#This Row],[Date]],Database!$A:$C,MATCH($C$1,Database!$A$1:$C$1,),)=0,#N/A,VLOOKUP(Table7[[#This Row],[Date]],Database!$A:$C,MATCH($C$1,Database!$A$1:$C$1,),))</f>
        <v/>
      </c>
      <c r="D8441">
        <f>IFERROR(Table7[[#This Row],[United States 10y]]-Table7[[#This Row],[United States 3y]],#N/A)</f>
        <v/>
      </c>
    </row>
    <row r="8442">
      <c r="A8442" s="6">
        <f>Database!$A10527</f>
        <v/>
      </c>
      <c r="B8442">
        <f>IF(VLOOKUP(Table7[[#This Row],[Date]],Database!$A:$C,MATCH($B$1,Database!$A$1:$C$1,),)=0,#N/A,VLOOKUP(Table7[[#This Row],[Date]],Database!$A:$C,MATCH($B$1,Database!$A$1:$C$1,),))</f>
        <v/>
      </c>
      <c r="C8442">
        <f>IF(VLOOKUP(Table7[[#This Row],[Date]],Database!$A:$C,MATCH($C$1,Database!$A$1:$C$1,),)=0,#N/A,VLOOKUP(Table7[[#This Row],[Date]],Database!$A:$C,MATCH($C$1,Database!$A$1:$C$1,),))</f>
        <v/>
      </c>
      <c r="D8442">
        <f>IFERROR(Table7[[#This Row],[United States 10y]]-Table7[[#This Row],[United States 3y]],#N/A)</f>
        <v/>
      </c>
    </row>
    <row r="8443">
      <c r="A8443" s="6">
        <f>Database!$A10528</f>
        <v/>
      </c>
      <c r="B8443">
        <f>IF(VLOOKUP(Table7[[#This Row],[Date]],Database!$A:$C,MATCH($B$1,Database!$A$1:$C$1,),)=0,#N/A,VLOOKUP(Table7[[#This Row],[Date]],Database!$A:$C,MATCH($B$1,Database!$A$1:$C$1,),))</f>
        <v/>
      </c>
      <c r="C8443">
        <f>IF(VLOOKUP(Table7[[#This Row],[Date]],Database!$A:$C,MATCH($C$1,Database!$A$1:$C$1,),)=0,#N/A,VLOOKUP(Table7[[#This Row],[Date]],Database!$A:$C,MATCH($C$1,Database!$A$1:$C$1,),))</f>
        <v/>
      </c>
      <c r="D8443">
        <f>IFERROR(Table7[[#This Row],[United States 10y]]-Table7[[#This Row],[United States 3y]],#N/A)</f>
        <v/>
      </c>
    </row>
    <row r="8444">
      <c r="A8444" s="6">
        <f>Database!$A10529</f>
        <v/>
      </c>
      <c r="B8444">
        <f>IF(VLOOKUP(Table7[[#This Row],[Date]],Database!$A:$C,MATCH($B$1,Database!$A$1:$C$1,),)=0,#N/A,VLOOKUP(Table7[[#This Row],[Date]],Database!$A:$C,MATCH($B$1,Database!$A$1:$C$1,),))</f>
        <v/>
      </c>
      <c r="C8444">
        <f>IF(VLOOKUP(Table7[[#This Row],[Date]],Database!$A:$C,MATCH($C$1,Database!$A$1:$C$1,),)=0,#N/A,VLOOKUP(Table7[[#This Row],[Date]],Database!$A:$C,MATCH($C$1,Database!$A$1:$C$1,),))</f>
        <v/>
      </c>
      <c r="D8444">
        <f>IFERROR(Table7[[#This Row],[United States 10y]]-Table7[[#This Row],[United States 3y]],#N/A)</f>
        <v/>
      </c>
    </row>
    <row r="8445">
      <c r="A8445" s="6">
        <f>Database!$A10530</f>
        <v/>
      </c>
      <c r="B8445">
        <f>IF(VLOOKUP(Table7[[#This Row],[Date]],Database!$A:$C,MATCH($B$1,Database!$A$1:$C$1,),)=0,#N/A,VLOOKUP(Table7[[#This Row],[Date]],Database!$A:$C,MATCH($B$1,Database!$A$1:$C$1,),))</f>
        <v/>
      </c>
      <c r="C8445">
        <f>IF(VLOOKUP(Table7[[#This Row],[Date]],Database!$A:$C,MATCH($C$1,Database!$A$1:$C$1,),)=0,#N/A,VLOOKUP(Table7[[#This Row],[Date]],Database!$A:$C,MATCH($C$1,Database!$A$1:$C$1,),))</f>
        <v/>
      </c>
      <c r="D8445">
        <f>IFERROR(Table7[[#This Row],[United States 10y]]-Table7[[#This Row],[United States 3y]],#N/A)</f>
        <v/>
      </c>
    </row>
    <row r="8446">
      <c r="A8446" s="6">
        <f>Database!$A10531</f>
        <v/>
      </c>
      <c r="B8446">
        <f>IF(VLOOKUP(Table7[[#This Row],[Date]],Database!$A:$C,MATCH($B$1,Database!$A$1:$C$1,),)=0,#N/A,VLOOKUP(Table7[[#This Row],[Date]],Database!$A:$C,MATCH($B$1,Database!$A$1:$C$1,),))</f>
        <v/>
      </c>
      <c r="C8446">
        <f>IF(VLOOKUP(Table7[[#This Row],[Date]],Database!$A:$C,MATCH($C$1,Database!$A$1:$C$1,),)=0,#N/A,VLOOKUP(Table7[[#This Row],[Date]],Database!$A:$C,MATCH($C$1,Database!$A$1:$C$1,),))</f>
        <v/>
      </c>
      <c r="D8446">
        <f>IFERROR(Table7[[#This Row],[United States 10y]]-Table7[[#This Row],[United States 3y]],#N/A)</f>
        <v/>
      </c>
    </row>
    <row r="8447">
      <c r="A8447" s="6">
        <f>Database!$A10532</f>
        <v/>
      </c>
      <c r="B8447">
        <f>IF(VLOOKUP(Table7[[#This Row],[Date]],Database!$A:$C,MATCH($B$1,Database!$A$1:$C$1,),)=0,#N/A,VLOOKUP(Table7[[#This Row],[Date]],Database!$A:$C,MATCH($B$1,Database!$A$1:$C$1,),))</f>
        <v/>
      </c>
      <c r="C8447">
        <f>IF(VLOOKUP(Table7[[#This Row],[Date]],Database!$A:$C,MATCH($C$1,Database!$A$1:$C$1,),)=0,#N/A,VLOOKUP(Table7[[#This Row],[Date]],Database!$A:$C,MATCH($C$1,Database!$A$1:$C$1,),))</f>
        <v/>
      </c>
      <c r="D8447">
        <f>IFERROR(Table7[[#This Row],[United States 10y]]-Table7[[#This Row],[United States 3y]],#N/A)</f>
        <v/>
      </c>
    </row>
    <row r="8448">
      <c r="A8448" s="6">
        <f>Database!$A10533</f>
        <v/>
      </c>
      <c r="B8448">
        <f>IF(VLOOKUP(Table7[[#This Row],[Date]],Database!$A:$C,MATCH($B$1,Database!$A$1:$C$1,),)=0,#N/A,VLOOKUP(Table7[[#This Row],[Date]],Database!$A:$C,MATCH($B$1,Database!$A$1:$C$1,),))</f>
        <v/>
      </c>
      <c r="C8448">
        <f>IF(VLOOKUP(Table7[[#This Row],[Date]],Database!$A:$C,MATCH($C$1,Database!$A$1:$C$1,),)=0,#N/A,VLOOKUP(Table7[[#This Row],[Date]],Database!$A:$C,MATCH($C$1,Database!$A$1:$C$1,),))</f>
        <v/>
      </c>
      <c r="D8448">
        <f>IFERROR(Table7[[#This Row],[United States 10y]]-Table7[[#This Row],[United States 3y]],#N/A)</f>
        <v/>
      </c>
    </row>
    <row r="8449">
      <c r="A8449" s="6">
        <f>Database!$A10534</f>
        <v/>
      </c>
      <c r="B8449">
        <f>IF(VLOOKUP(Table7[[#This Row],[Date]],Database!$A:$C,MATCH($B$1,Database!$A$1:$C$1,),)=0,#N/A,VLOOKUP(Table7[[#This Row],[Date]],Database!$A:$C,MATCH($B$1,Database!$A$1:$C$1,),))</f>
        <v/>
      </c>
      <c r="C8449">
        <f>IF(VLOOKUP(Table7[[#This Row],[Date]],Database!$A:$C,MATCH($C$1,Database!$A$1:$C$1,),)=0,#N/A,VLOOKUP(Table7[[#This Row],[Date]],Database!$A:$C,MATCH($C$1,Database!$A$1:$C$1,),))</f>
        <v/>
      </c>
      <c r="D8449">
        <f>IFERROR(Table7[[#This Row],[United States 10y]]-Table7[[#This Row],[United States 3y]],#N/A)</f>
        <v/>
      </c>
    </row>
    <row r="8450">
      <c r="A8450" s="6">
        <f>Database!$A10535</f>
        <v/>
      </c>
      <c r="B8450">
        <f>IF(VLOOKUP(Table7[[#This Row],[Date]],Database!$A:$C,MATCH($B$1,Database!$A$1:$C$1,),)=0,#N/A,VLOOKUP(Table7[[#This Row],[Date]],Database!$A:$C,MATCH($B$1,Database!$A$1:$C$1,),))</f>
        <v/>
      </c>
      <c r="C8450">
        <f>IF(VLOOKUP(Table7[[#This Row],[Date]],Database!$A:$C,MATCH($C$1,Database!$A$1:$C$1,),)=0,#N/A,VLOOKUP(Table7[[#This Row],[Date]],Database!$A:$C,MATCH($C$1,Database!$A$1:$C$1,),))</f>
        <v/>
      </c>
      <c r="D8450">
        <f>IFERROR(Table7[[#This Row],[United States 10y]]-Table7[[#This Row],[United States 3y]],#N/A)</f>
        <v/>
      </c>
    </row>
    <row r="8451">
      <c r="A8451" s="6">
        <f>Database!$A10536</f>
        <v/>
      </c>
      <c r="B8451">
        <f>IF(VLOOKUP(Table7[[#This Row],[Date]],Database!$A:$C,MATCH($B$1,Database!$A$1:$C$1,),)=0,#N/A,VLOOKUP(Table7[[#This Row],[Date]],Database!$A:$C,MATCH($B$1,Database!$A$1:$C$1,),))</f>
        <v/>
      </c>
      <c r="C8451">
        <f>IF(VLOOKUP(Table7[[#This Row],[Date]],Database!$A:$C,MATCH($C$1,Database!$A$1:$C$1,),)=0,#N/A,VLOOKUP(Table7[[#This Row],[Date]],Database!$A:$C,MATCH($C$1,Database!$A$1:$C$1,),))</f>
        <v/>
      </c>
      <c r="D8451">
        <f>IFERROR(Table7[[#This Row],[United States 10y]]-Table7[[#This Row],[United States 3y]],#N/A)</f>
        <v/>
      </c>
    </row>
    <row r="8452">
      <c r="A8452" s="6">
        <f>Database!$A10537</f>
        <v/>
      </c>
      <c r="B8452">
        <f>IF(VLOOKUP(Table7[[#This Row],[Date]],Database!$A:$C,MATCH($B$1,Database!$A$1:$C$1,),)=0,#N/A,VLOOKUP(Table7[[#This Row],[Date]],Database!$A:$C,MATCH($B$1,Database!$A$1:$C$1,),))</f>
        <v/>
      </c>
      <c r="C8452">
        <f>IF(VLOOKUP(Table7[[#This Row],[Date]],Database!$A:$C,MATCH($C$1,Database!$A$1:$C$1,),)=0,#N/A,VLOOKUP(Table7[[#This Row],[Date]],Database!$A:$C,MATCH($C$1,Database!$A$1:$C$1,),))</f>
        <v/>
      </c>
      <c r="D8452">
        <f>IFERROR(Table7[[#This Row],[United States 10y]]-Table7[[#This Row],[United States 3y]],#N/A)</f>
        <v/>
      </c>
    </row>
    <row r="8453">
      <c r="A8453" s="6">
        <f>Database!$A10538</f>
        <v/>
      </c>
      <c r="B8453">
        <f>IF(VLOOKUP(Table7[[#This Row],[Date]],Database!$A:$C,MATCH($B$1,Database!$A$1:$C$1,),)=0,#N/A,VLOOKUP(Table7[[#This Row],[Date]],Database!$A:$C,MATCH($B$1,Database!$A$1:$C$1,),))</f>
        <v/>
      </c>
      <c r="C8453">
        <f>IF(VLOOKUP(Table7[[#This Row],[Date]],Database!$A:$C,MATCH($C$1,Database!$A$1:$C$1,),)=0,#N/A,VLOOKUP(Table7[[#This Row],[Date]],Database!$A:$C,MATCH($C$1,Database!$A$1:$C$1,),))</f>
        <v/>
      </c>
      <c r="D8453">
        <f>IFERROR(Table7[[#This Row],[United States 10y]]-Table7[[#This Row],[United States 3y]],#N/A)</f>
        <v/>
      </c>
    </row>
    <row r="8454">
      <c r="A8454" s="6">
        <f>Database!$A10539</f>
        <v/>
      </c>
      <c r="B8454">
        <f>IF(VLOOKUP(Table7[[#This Row],[Date]],Database!$A:$C,MATCH($B$1,Database!$A$1:$C$1,),)=0,#N/A,VLOOKUP(Table7[[#This Row],[Date]],Database!$A:$C,MATCH($B$1,Database!$A$1:$C$1,),))</f>
        <v/>
      </c>
      <c r="C8454">
        <f>IF(VLOOKUP(Table7[[#This Row],[Date]],Database!$A:$C,MATCH($C$1,Database!$A$1:$C$1,),)=0,#N/A,VLOOKUP(Table7[[#This Row],[Date]],Database!$A:$C,MATCH($C$1,Database!$A$1:$C$1,),))</f>
        <v/>
      </c>
      <c r="D8454">
        <f>IFERROR(Table7[[#This Row],[United States 10y]]-Table7[[#This Row],[United States 3y]],#N/A)</f>
        <v/>
      </c>
    </row>
    <row r="8455">
      <c r="A8455" s="6">
        <f>Database!$A10540</f>
        <v/>
      </c>
      <c r="B8455">
        <f>IF(VLOOKUP(Table7[[#This Row],[Date]],Database!$A:$C,MATCH($B$1,Database!$A$1:$C$1,),)=0,#N/A,VLOOKUP(Table7[[#This Row],[Date]],Database!$A:$C,MATCH($B$1,Database!$A$1:$C$1,),))</f>
        <v/>
      </c>
      <c r="C8455">
        <f>IF(VLOOKUP(Table7[[#This Row],[Date]],Database!$A:$C,MATCH($C$1,Database!$A$1:$C$1,),)=0,#N/A,VLOOKUP(Table7[[#This Row],[Date]],Database!$A:$C,MATCH($C$1,Database!$A$1:$C$1,),))</f>
        <v/>
      </c>
      <c r="D8455">
        <f>IFERROR(Table7[[#This Row],[United States 10y]]-Table7[[#This Row],[United States 3y]],#N/A)</f>
        <v/>
      </c>
    </row>
    <row r="8456">
      <c r="A8456" s="6">
        <f>Database!$A10541</f>
        <v/>
      </c>
      <c r="B8456">
        <f>IF(VLOOKUP(Table7[[#This Row],[Date]],Database!$A:$C,MATCH($B$1,Database!$A$1:$C$1,),)=0,#N/A,VLOOKUP(Table7[[#This Row],[Date]],Database!$A:$C,MATCH($B$1,Database!$A$1:$C$1,),))</f>
        <v/>
      </c>
      <c r="C8456">
        <f>IF(VLOOKUP(Table7[[#This Row],[Date]],Database!$A:$C,MATCH($C$1,Database!$A$1:$C$1,),)=0,#N/A,VLOOKUP(Table7[[#This Row],[Date]],Database!$A:$C,MATCH($C$1,Database!$A$1:$C$1,),))</f>
        <v/>
      </c>
      <c r="D8456">
        <f>IFERROR(Table7[[#This Row],[United States 10y]]-Table7[[#This Row],[United States 3y]],#N/A)</f>
        <v/>
      </c>
    </row>
    <row r="8457">
      <c r="A8457" s="6">
        <f>Database!$A10542</f>
        <v/>
      </c>
      <c r="B8457">
        <f>IF(VLOOKUP(Table7[[#This Row],[Date]],Database!$A:$C,MATCH($B$1,Database!$A$1:$C$1,),)=0,#N/A,VLOOKUP(Table7[[#This Row],[Date]],Database!$A:$C,MATCH($B$1,Database!$A$1:$C$1,),))</f>
        <v/>
      </c>
      <c r="C8457">
        <f>IF(VLOOKUP(Table7[[#This Row],[Date]],Database!$A:$C,MATCH($C$1,Database!$A$1:$C$1,),)=0,#N/A,VLOOKUP(Table7[[#This Row],[Date]],Database!$A:$C,MATCH($C$1,Database!$A$1:$C$1,),))</f>
        <v/>
      </c>
      <c r="D8457">
        <f>IFERROR(Table7[[#This Row],[United States 10y]]-Table7[[#This Row],[United States 3y]],#N/A)</f>
        <v/>
      </c>
    </row>
    <row r="8458">
      <c r="A8458" s="6">
        <f>Database!$A10543</f>
        <v/>
      </c>
      <c r="B8458">
        <f>IF(VLOOKUP(Table7[[#This Row],[Date]],Database!$A:$C,MATCH($B$1,Database!$A$1:$C$1,),)=0,#N/A,VLOOKUP(Table7[[#This Row],[Date]],Database!$A:$C,MATCH($B$1,Database!$A$1:$C$1,),))</f>
        <v/>
      </c>
      <c r="C8458">
        <f>IF(VLOOKUP(Table7[[#This Row],[Date]],Database!$A:$C,MATCH($C$1,Database!$A$1:$C$1,),)=0,#N/A,VLOOKUP(Table7[[#This Row],[Date]],Database!$A:$C,MATCH($C$1,Database!$A$1:$C$1,),))</f>
        <v/>
      </c>
      <c r="D8458">
        <f>IFERROR(Table7[[#This Row],[United States 10y]]-Table7[[#This Row],[United States 3y]],#N/A)</f>
        <v/>
      </c>
    </row>
    <row r="8459">
      <c r="A8459" s="6">
        <f>Database!$A10544</f>
        <v/>
      </c>
      <c r="B8459">
        <f>IF(VLOOKUP(Table7[[#This Row],[Date]],Database!$A:$C,MATCH($B$1,Database!$A$1:$C$1,),)=0,#N/A,VLOOKUP(Table7[[#This Row],[Date]],Database!$A:$C,MATCH($B$1,Database!$A$1:$C$1,),))</f>
        <v/>
      </c>
      <c r="C8459">
        <f>IF(VLOOKUP(Table7[[#This Row],[Date]],Database!$A:$C,MATCH($C$1,Database!$A$1:$C$1,),)=0,#N/A,VLOOKUP(Table7[[#This Row],[Date]],Database!$A:$C,MATCH($C$1,Database!$A$1:$C$1,),))</f>
        <v/>
      </c>
      <c r="D8459">
        <f>IFERROR(Table7[[#This Row],[United States 10y]]-Table7[[#This Row],[United States 3y]],#N/A)</f>
        <v/>
      </c>
    </row>
    <row r="8460">
      <c r="A8460" s="6">
        <f>Database!$A10545</f>
        <v/>
      </c>
      <c r="B8460">
        <f>IF(VLOOKUP(Table7[[#This Row],[Date]],Database!$A:$C,MATCH($B$1,Database!$A$1:$C$1,),)=0,#N/A,VLOOKUP(Table7[[#This Row],[Date]],Database!$A:$C,MATCH($B$1,Database!$A$1:$C$1,),))</f>
        <v/>
      </c>
      <c r="C8460">
        <f>IF(VLOOKUP(Table7[[#This Row],[Date]],Database!$A:$C,MATCH($C$1,Database!$A$1:$C$1,),)=0,#N/A,VLOOKUP(Table7[[#This Row],[Date]],Database!$A:$C,MATCH($C$1,Database!$A$1:$C$1,),))</f>
        <v/>
      </c>
      <c r="D8460">
        <f>IFERROR(Table7[[#This Row],[United States 10y]]-Table7[[#This Row],[United States 3y]],#N/A)</f>
        <v/>
      </c>
    </row>
    <row r="8461">
      <c r="A8461" s="6">
        <f>Database!$A10546</f>
        <v/>
      </c>
      <c r="B8461">
        <f>IF(VLOOKUP(Table7[[#This Row],[Date]],Database!$A:$C,MATCH($B$1,Database!$A$1:$C$1,),)=0,#N/A,VLOOKUP(Table7[[#This Row],[Date]],Database!$A:$C,MATCH($B$1,Database!$A$1:$C$1,),))</f>
        <v/>
      </c>
      <c r="C8461">
        <f>IF(VLOOKUP(Table7[[#This Row],[Date]],Database!$A:$C,MATCH($C$1,Database!$A$1:$C$1,),)=0,#N/A,VLOOKUP(Table7[[#This Row],[Date]],Database!$A:$C,MATCH($C$1,Database!$A$1:$C$1,),))</f>
        <v/>
      </c>
      <c r="D8461">
        <f>IFERROR(Table7[[#This Row],[United States 10y]]-Table7[[#This Row],[United States 3y]],#N/A)</f>
        <v/>
      </c>
    </row>
    <row r="8462">
      <c r="A8462" s="6">
        <f>Database!$A10547</f>
        <v/>
      </c>
      <c r="B8462">
        <f>IF(VLOOKUP(Table7[[#This Row],[Date]],Database!$A:$C,MATCH($B$1,Database!$A$1:$C$1,),)=0,#N/A,VLOOKUP(Table7[[#This Row],[Date]],Database!$A:$C,MATCH($B$1,Database!$A$1:$C$1,),))</f>
        <v/>
      </c>
      <c r="C8462">
        <f>IF(VLOOKUP(Table7[[#This Row],[Date]],Database!$A:$C,MATCH($C$1,Database!$A$1:$C$1,),)=0,#N/A,VLOOKUP(Table7[[#This Row],[Date]],Database!$A:$C,MATCH($C$1,Database!$A$1:$C$1,),))</f>
        <v/>
      </c>
      <c r="D8462">
        <f>IFERROR(Table7[[#This Row],[United States 10y]]-Table7[[#This Row],[United States 3y]],#N/A)</f>
        <v/>
      </c>
    </row>
    <row r="8463">
      <c r="A8463" s="6">
        <f>Database!$A10548</f>
        <v/>
      </c>
      <c r="B8463">
        <f>IF(VLOOKUP(Table7[[#This Row],[Date]],Database!$A:$C,MATCH($B$1,Database!$A$1:$C$1,),)=0,#N/A,VLOOKUP(Table7[[#This Row],[Date]],Database!$A:$C,MATCH($B$1,Database!$A$1:$C$1,),))</f>
        <v/>
      </c>
      <c r="C8463">
        <f>IF(VLOOKUP(Table7[[#This Row],[Date]],Database!$A:$C,MATCH($C$1,Database!$A$1:$C$1,),)=0,#N/A,VLOOKUP(Table7[[#This Row],[Date]],Database!$A:$C,MATCH($C$1,Database!$A$1:$C$1,),))</f>
        <v/>
      </c>
      <c r="D8463">
        <f>IFERROR(Table7[[#This Row],[United States 10y]]-Table7[[#This Row],[United States 3y]],#N/A)</f>
        <v/>
      </c>
    </row>
    <row r="8464">
      <c r="A8464" s="6">
        <f>Database!$A10549</f>
        <v/>
      </c>
      <c r="B8464">
        <f>IF(VLOOKUP(Table7[[#This Row],[Date]],Database!$A:$C,MATCH($B$1,Database!$A$1:$C$1,),)=0,#N/A,VLOOKUP(Table7[[#This Row],[Date]],Database!$A:$C,MATCH($B$1,Database!$A$1:$C$1,),))</f>
        <v/>
      </c>
      <c r="C8464">
        <f>IF(VLOOKUP(Table7[[#This Row],[Date]],Database!$A:$C,MATCH($C$1,Database!$A$1:$C$1,),)=0,#N/A,VLOOKUP(Table7[[#This Row],[Date]],Database!$A:$C,MATCH($C$1,Database!$A$1:$C$1,),))</f>
        <v/>
      </c>
      <c r="D8464">
        <f>IFERROR(Table7[[#This Row],[United States 10y]]-Table7[[#This Row],[United States 3y]],#N/A)</f>
        <v/>
      </c>
    </row>
    <row r="8465">
      <c r="A8465" s="6">
        <f>Database!$A10550</f>
        <v/>
      </c>
      <c r="B8465">
        <f>IF(VLOOKUP(Table7[[#This Row],[Date]],Database!$A:$C,MATCH($B$1,Database!$A$1:$C$1,),)=0,#N/A,VLOOKUP(Table7[[#This Row],[Date]],Database!$A:$C,MATCH($B$1,Database!$A$1:$C$1,),))</f>
        <v/>
      </c>
      <c r="C8465">
        <f>IF(VLOOKUP(Table7[[#This Row],[Date]],Database!$A:$C,MATCH($C$1,Database!$A$1:$C$1,),)=0,#N/A,VLOOKUP(Table7[[#This Row],[Date]],Database!$A:$C,MATCH($C$1,Database!$A$1:$C$1,),))</f>
        <v/>
      </c>
      <c r="D8465">
        <f>IFERROR(Table7[[#This Row],[United States 10y]]-Table7[[#This Row],[United States 3y]],#N/A)</f>
        <v/>
      </c>
    </row>
    <row r="8466">
      <c r="A8466" s="6">
        <f>Database!$A10551</f>
        <v/>
      </c>
      <c r="B8466">
        <f>IF(VLOOKUP(Table7[[#This Row],[Date]],Database!$A:$C,MATCH($B$1,Database!$A$1:$C$1,),)=0,#N/A,VLOOKUP(Table7[[#This Row],[Date]],Database!$A:$C,MATCH($B$1,Database!$A$1:$C$1,),))</f>
        <v/>
      </c>
      <c r="C8466">
        <f>IF(VLOOKUP(Table7[[#This Row],[Date]],Database!$A:$C,MATCH($C$1,Database!$A$1:$C$1,),)=0,#N/A,VLOOKUP(Table7[[#This Row],[Date]],Database!$A:$C,MATCH($C$1,Database!$A$1:$C$1,),))</f>
        <v/>
      </c>
      <c r="D8466">
        <f>IFERROR(Table7[[#This Row],[United States 10y]]-Table7[[#This Row],[United States 3y]],#N/A)</f>
        <v/>
      </c>
    </row>
    <row r="8467">
      <c r="A8467" s="6">
        <f>Database!$A10552</f>
        <v/>
      </c>
      <c r="B8467">
        <f>IF(VLOOKUP(Table7[[#This Row],[Date]],Database!$A:$C,MATCH($B$1,Database!$A$1:$C$1,),)=0,#N/A,VLOOKUP(Table7[[#This Row],[Date]],Database!$A:$C,MATCH($B$1,Database!$A$1:$C$1,),))</f>
        <v/>
      </c>
      <c r="C8467">
        <f>IF(VLOOKUP(Table7[[#This Row],[Date]],Database!$A:$C,MATCH($C$1,Database!$A$1:$C$1,),)=0,#N/A,VLOOKUP(Table7[[#This Row],[Date]],Database!$A:$C,MATCH($C$1,Database!$A$1:$C$1,),))</f>
        <v/>
      </c>
      <c r="D8467">
        <f>IFERROR(Table7[[#This Row],[United States 10y]]-Table7[[#This Row],[United States 3y]],#N/A)</f>
        <v/>
      </c>
    </row>
    <row r="8468">
      <c r="A8468" s="6">
        <f>Database!$A10553</f>
        <v/>
      </c>
      <c r="B8468">
        <f>IF(VLOOKUP(Table7[[#This Row],[Date]],Database!$A:$C,MATCH($B$1,Database!$A$1:$C$1,),)=0,#N/A,VLOOKUP(Table7[[#This Row],[Date]],Database!$A:$C,MATCH($B$1,Database!$A$1:$C$1,),))</f>
        <v/>
      </c>
      <c r="C8468">
        <f>IF(VLOOKUP(Table7[[#This Row],[Date]],Database!$A:$C,MATCH($C$1,Database!$A$1:$C$1,),)=0,#N/A,VLOOKUP(Table7[[#This Row],[Date]],Database!$A:$C,MATCH($C$1,Database!$A$1:$C$1,),))</f>
        <v/>
      </c>
      <c r="D8468">
        <f>IFERROR(Table7[[#This Row],[United States 10y]]-Table7[[#This Row],[United States 3y]],#N/A)</f>
        <v/>
      </c>
    </row>
    <row r="8469">
      <c r="A8469" s="6">
        <f>Database!$A10554</f>
        <v/>
      </c>
      <c r="B8469">
        <f>IF(VLOOKUP(Table7[[#This Row],[Date]],Database!$A:$C,MATCH($B$1,Database!$A$1:$C$1,),)=0,#N/A,VLOOKUP(Table7[[#This Row],[Date]],Database!$A:$C,MATCH($B$1,Database!$A$1:$C$1,),))</f>
        <v/>
      </c>
      <c r="C8469">
        <f>IF(VLOOKUP(Table7[[#This Row],[Date]],Database!$A:$C,MATCH($C$1,Database!$A$1:$C$1,),)=0,#N/A,VLOOKUP(Table7[[#This Row],[Date]],Database!$A:$C,MATCH($C$1,Database!$A$1:$C$1,),))</f>
        <v/>
      </c>
      <c r="D8469">
        <f>IFERROR(Table7[[#This Row],[United States 10y]]-Table7[[#This Row],[United States 3y]],#N/A)</f>
        <v/>
      </c>
    </row>
    <row r="8470">
      <c r="A8470" s="6">
        <f>Database!$A10555</f>
        <v/>
      </c>
      <c r="B8470">
        <f>IF(VLOOKUP(Table7[[#This Row],[Date]],Database!$A:$C,MATCH($B$1,Database!$A$1:$C$1,),)=0,#N/A,VLOOKUP(Table7[[#This Row],[Date]],Database!$A:$C,MATCH($B$1,Database!$A$1:$C$1,),))</f>
        <v/>
      </c>
      <c r="C8470">
        <f>IF(VLOOKUP(Table7[[#This Row],[Date]],Database!$A:$C,MATCH($C$1,Database!$A$1:$C$1,),)=0,#N/A,VLOOKUP(Table7[[#This Row],[Date]],Database!$A:$C,MATCH($C$1,Database!$A$1:$C$1,),))</f>
        <v/>
      </c>
      <c r="D8470">
        <f>IFERROR(Table7[[#This Row],[United States 10y]]-Table7[[#This Row],[United States 3y]],#N/A)</f>
        <v/>
      </c>
    </row>
    <row r="8471">
      <c r="A8471" s="6">
        <f>Database!$A10556</f>
        <v/>
      </c>
      <c r="B8471">
        <f>IF(VLOOKUP(Table7[[#This Row],[Date]],Database!$A:$C,MATCH($B$1,Database!$A$1:$C$1,),)=0,#N/A,VLOOKUP(Table7[[#This Row],[Date]],Database!$A:$C,MATCH($B$1,Database!$A$1:$C$1,),))</f>
        <v/>
      </c>
      <c r="C8471">
        <f>IF(VLOOKUP(Table7[[#This Row],[Date]],Database!$A:$C,MATCH($C$1,Database!$A$1:$C$1,),)=0,#N/A,VLOOKUP(Table7[[#This Row],[Date]],Database!$A:$C,MATCH($C$1,Database!$A$1:$C$1,),))</f>
        <v/>
      </c>
      <c r="D8471">
        <f>IFERROR(Table7[[#This Row],[United States 10y]]-Table7[[#This Row],[United States 3y]],#N/A)</f>
        <v/>
      </c>
    </row>
    <row r="8472">
      <c r="A8472" s="6">
        <f>Database!$A10557</f>
        <v/>
      </c>
      <c r="B8472">
        <f>IF(VLOOKUP(Table7[[#This Row],[Date]],Database!$A:$C,MATCH($B$1,Database!$A$1:$C$1,),)=0,#N/A,VLOOKUP(Table7[[#This Row],[Date]],Database!$A:$C,MATCH($B$1,Database!$A$1:$C$1,),))</f>
        <v/>
      </c>
      <c r="C8472">
        <f>IF(VLOOKUP(Table7[[#This Row],[Date]],Database!$A:$C,MATCH($C$1,Database!$A$1:$C$1,),)=0,#N/A,VLOOKUP(Table7[[#This Row],[Date]],Database!$A:$C,MATCH($C$1,Database!$A$1:$C$1,),))</f>
        <v/>
      </c>
      <c r="D8472">
        <f>IFERROR(Table7[[#This Row],[United States 10y]]-Table7[[#This Row],[United States 3y]],#N/A)</f>
        <v/>
      </c>
    </row>
    <row r="8473">
      <c r="A8473" s="6">
        <f>Database!$A10558</f>
        <v/>
      </c>
      <c r="B8473">
        <f>IF(VLOOKUP(Table7[[#This Row],[Date]],Database!$A:$C,MATCH($B$1,Database!$A$1:$C$1,),)=0,#N/A,VLOOKUP(Table7[[#This Row],[Date]],Database!$A:$C,MATCH($B$1,Database!$A$1:$C$1,),))</f>
        <v/>
      </c>
      <c r="C8473">
        <f>IF(VLOOKUP(Table7[[#This Row],[Date]],Database!$A:$C,MATCH($C$1,Database!$A$1:$C$1,),)=0,#N/A,VLOOKUP(Table7[[#This Row],[Date]],Database!$A:$C,MATCH($C$1,Database!$A$1:$C$1,),))</f>
        <v/>
      </c>
      <c r="D8473">
        <f>IFERROR(Table7[[#This Row],[United States 10y]]-Table7[[#This Row],[United States 3y]],#N/A)</f>
        <v/>
      </c>
    </row>
    <row r="8474">
      <c r="A8474" s="6">
        <f>Database!$A10559</f>
        <v/>
      </c>
      <c r="B8474">
        <f>IF(VLOOKUP(Table7[[#This Row],[Date]],Database!$A:$C,MATCH($B$1,Database!$A$1:$C$1,),)=0,#N/A,VLOOKUP(Table7[[#This Row],[Date]],Database!$A:$C,MATCH($B$1,Database!$A$1:$C$1,),))</f>
        <v/>
      </c>
      <c r="C8474">
        <f>IF(VLOOKUP(Table7[[#This Row],[Date]],Database!$A:$C,MATCH($C$1,Database!$A$1:$C$1,),)=0,#N/A,VLOOKUP(Table7[[#This Row],[Date]],Database!$A:$C,MATCH($C$1,Database!$A$1:$C$1,),))</f>
        <v/>
      </c>
      <c r="D8474">
        <f>IFERROR(Table7[[#This Row],[United States 10y]]-Table7[[#This Row],[United States 3y]],#N/A)</f>
        <v/>
      </c>
    </row>
    <row r="8475">
      <c r="A8475" s="6">
        <f>Database!$A10560</f>
        <v/>
      </c>
      <c r="B8475">
        <f>IF(VLOOKUP(Table7[[#This Row],[Date]],Database!$A:$C,MATCH($B$1,Database!$A$1:$C$1,),)=0,#N/A,VLOOKUP(Table7[[#This Row],[Date]],Database!$A:$C,MATCH($B$1,Database!$A$1:$C$1,),))</f>
        <v/>
      </c>
      <c r="C8475">
        <f>IF(VLOOKUP(Table7[[#This Row],[Date]],Database!$A:$C,MATCH($C$1,Database!$A$1:$C$1,),)=0,#N/A,VLOOKUP(Table7[[#This Row],[Date]],Database!$A:$C,MATCH($C$1,Database!$A$1:$C$1,),))</f>
        <v/>
      </c>
      <c r="D8475">
        <f>IFERROR(Table7[[#This Row],[United States 10y]]-Table7[[#This Row],[United States 3y]],#N/A)</f>
        <v/>
      </c>
    </row>
    <row r="8476">
      <c r="A8476" s="6">
        <f>Database!$A10561</f>
        <v/>
      </c>
      <c r="B8476">
        <f>IF(VLOOKUP(Table7[[#This Row],[Date]],Database!$A:$C,MATCH($B$1,Database!$A$1:$C$1,),)=0,#N/A,VLOOKUP(Table7[[#This Row],[Date]],Database!$A:$C,MATCH($B$1,Database!$A$1:$C$1,),))</f>
        <v/>
      </c>
      <c r="C8476">
        <f>IF(VLOOKUP(Table7[[#This Row],[Date]],Database!$A:$C,MATCH($C$1,Database!$A$1:$C$1,),)=0,#N/A,VLOOKUP(Table7[[#This Row],[Date]],Database!$A:$C,MATCH($C$1,Database!$A$1:$C$1,),))</f>
        <v/>
      </c>
      <c r="D8476">
        <f>IFERROR(Table7[[#This Row],[United States 10y]]-Table7[[#This Row],[United States 3y]],#N/A)</f>
        <v/>
      </c>
    </row>
    <row r="8477">
      <c r="A8477" s="6">
        <f>Database!$A10562</f>
        <v/>
      </c>
      <c r="B8477">
        <f>IF(VLOOKUP(Table7[[#This Row],[Date]],Database!$A:$C,MATCH($B$1,Database!$A$1:$C$1,),)=0,#N/A,VLOOKUP(Table7[[#This Row],[Date]],Database!$A:$C,MATCH($B$1,Database!$A$1:$C$1,),))</f>
        <v/>
      </c>
      <c r="C8477">
        <f>IF(VLOOKUP(Table7[[#This Row],[Date]],Database!$A:$C,MATCH($C$1,Database!$A$1:$C$1,),)=0,#N/A,VLOOKUP(Table7[[#This Row],[Date]],Database!$A:$C,MATCH($C$1,Database!$A$1:$C$1,),))</f>
        <v/>
      </c>
      <c r="D8477">
        <f>IFERROR(Table7[[#This Row],[United States 10y]]-Table7[[#This Row],[United States 3y]],#N/A)</f>
        <v/>
      </c>
    </row>
    <row r="8478">
      <c r="A8478" s="6">
        <f>Database!$A10563</f>
        <v/>
      </c>
      <c r="B8478">
        <f>IF(VLOOKUP(Table7[[#This Row],[Date]],Database!$A:$C,MATCH($B$1,Database!$A$1:$C$1,),)=0,#N/A,VLOOKUP(Table7[[#This Row],[Date]],Database!$A:$C,MATCH($B$1,Database!$A$1:$C$1,),))</f>
        <v/>
      </c>
      <c r="C8478">
        <f>IF(VLOOKUP(Table7[[#This Row],[Date]],Database!$A:$C,MATCH($C$1,Database!$A$1:$C$1,),)=0,#N/A,VLOOKUP(Table7[[#This Row],[Date]],Database!$A:$C,MATCH($C$1,Database!$A$1:$C$1,),))</f>
        <v/>
      </c>
      <c r="D8478">
        <f>IFERROR(Table7[[#This Row],[United States 10y]]-Table7[[#This Row],[United States 3y]],#N/A)</f>
        <v/>
      </c>
    </row>
    <row r="8479">
      <c r="A8479" s="6">
        <f>Database!$A10564</f>
        <v/>
      </c>
      <c r="B8479">
        <f>IF(VLOOKUP(Table7[[#This Row],[Date]],Database!$A:$C,MATCH($B$1,Database!$A$1:$C$1,),)=0,#N/A,VLOOKUP(Table7[[#This Row],[Date]],Database!$A:$C,MATCH($B$1,Database!$A$1:$C$1,),))</f>
        <v/>
      </c>
      <c r="C8479">
        <f>IF(VLOOKUP(Table7[[#This Row],[Date]],Database!$A:$C,MATCH($C$1,Database!$A$1:$C$1,),)=0,#N/A,VLOOKUP(Table7[[#This Row],[Date]],Database!$A:$C,MATCH($C$1,Database!$A$1:$C$1,),))</f>
        <v/>
      </c>
      <c r="D8479">
        <f>IFERROR(Table7[[#This Row],[United States 10y]]-Table7[[#This Row],[United States 3y]],#N/A)</f>
        <v/>
      </c>
    </row>
    <row r="8480">
      <c r="A8480" s="6">
        <f>Database!$A10565</f>
        <v/>
      </c>
      <c r="B8480">
        <f>IF(VLOOKUP(Table7[[#This Row],[Date]],Database!$A:$C,MATCH($B$1,Database!$A$1:$C$1,),)=0,#N/A,VLOOKUP(Table7[[#This Row],[Date]],Database!$A:$C,MATCH($B$1,Database!$A$1:$C$1,),))</f>
        <v/>
      </c>
      <c r="C8480">
        <f>IF(VLOOKUP(Table7[[#This Row],[Date]],Database!$A:$C,MATCH($C$1,Database!$A$1:$C$1,),)=0,#N/A,VLOOKUP(Table7[[#This Row],[Date]],Database!$A:$C,MATCH($C$1,Database!$A$1:$C$1,),))</f>
        <v/>
      </c>
      <c r="D8480">
        <f>IFERROR(Table7[[#This Row],[United States 10y]]-Table7[[#This Row],[United States 3y]],#N/A)</f>
        <v/>
      </c>
    </row>
    <row r="8481">
      <c r="A8481" s="6">
        <f>Database!$A10566</f>
        <v/>
      </c>
      <c r="B8481">
        <f>IF(VLOOKUP(Table7[[#This Row],[Date]],Database!$A:$C,MATCH($B$1,Database!$A$1:$C$1,),)=0,#N/A,VLOOKUP(Table7[[#This Row],[Date]],Database!$A:$C,MATCH($B$1,Database!$A$1:$C$1,),))</f>
        <v/>
      </c>
      <c r="C8481">
        <f>IF(VLOOKUP(Table7[[#This Row],[Date]],Database!$A:$C,MATCH($C$1,Database!$A$1:$C$1,),)=0,#N/A,VLOOKUP(Table7[[#This Row],[Date]],Database!$A:$C,MATCH($C$1,Database!$A$1:$C$1,),))</f>
        <v/>
      </c>
      <c r="D8481">
        <f>IFERROR(Table7[[#This Row],[United States 10y]]-Table7[[#This Row],[United States 3y]],#N/A)</f>
        <v/>
      </c>
    </row>
    <row r="8482">
      <c r="A8482" s="6">
        <f>Database!$A10567</f>
        <v/>
      </c>
      <c r="B8482">
        <f>IF(VLOOKUP(Table7[[#This Row],[Date]],Database!$A:$C,MATCH($B$1,Database!$A$1:$C$1,),)=0,#N/A,VLOOKUP(Table7[[#This Row],[Date]],Database!$A:$C,MATCH($B$1,Database!$A$1:$C$1,),))</f>
        <v/>
      </c>
      <c r="C8482">
        <f>IF(VLOOKUP(Table7[[#This Row],[Date]],Database!$A:$C,MATCH($C$1,Database!$A$1:$C$1,),)=0,#N/A,VLOOKUP(Table7[[#This Row],[Date]],Database!$A:$C,MATCH($C$1,Database!$A$1:$C$1,),))</f>
        <v/>
      </c>
      <c r="D8482">
        <f>IFERROR(Table7[[#This Row],[United States 10y]]-Table7[[#This Row],[United States 3y]],#N/A)</f>
        <v/>
      </c>
    </row>
    <row r="8483">
      <c r="A8483" s="6">
        <f>Database!$A10568</f>
        <v/>
      </c>
      <c r="B8483">
        <f>IF(VLOOKUP(Table7[[#This Row],[Date]],Database!$A:$C,MATCH($B$1,Database!$A$1:$C$1,),)=0,#N/A,VLOOKUP(Table7[[#This Row],[Date]],Database!$A:$C,MATCH($B$1,Database!$A$1:$C$1,),))</f>
        <v/>
      </c>
      <c r="C8483">
        <f>IF(VLOOKUP(Table7[[#This Row],[Date]],Database!$A:$C,MATCH($C$1,Database!$A$1:$C$1,),)=0,#N/A,VLOOKUP(Table7[[#This Row],[Date]],Database!$A:$C,MATCH($C$1,Database!$A$1:$C$1,),))</f>
        <v/>
      </c>
      <c r="D8483">
        <f>IFERROR(Table7[[#This Row],[United States 10y]]-Table7[[#This Row],[United States 3y]],#N/A)</f>
        <v/>
      </c>
    </row>
    <row r="8484">
      <c r="A8484" s="6">
        <f>Database!$A10569</f>
        <v/>
      </c>
      <c r="B8484">
        <f>IF(VLOOKUP(Table7[[#This Row],[Date]],Database!$A:$C,MATCH($B$1,Database!$A$1:$C$1,),)=0,#N/A,VLOOKUP(Table7[[#This Row],[Date]],Database!$A:$C,MATCH($B$1,Database!$A$1:$C$1,),))</f>
        <v/>
      </c>
      <c r="C8484">
        <f>IF(VLOOKUP(Table7[[#This Row],[Date]],Database!$A:$C,MATCH($C$1,Database!$A$1:$C$1,),)=0,#N/A,VLOOKUP(Table7[[#This Row],[Date]],Database!$A:$C,MATCH($C$1,Database!$A$1:$C$1,),))</f>
        <v/>
      </c>
      <c r="D8484">
        <f>IFERROR(Table7[[#This Row],[United States 10y]]-Table7[[#This Row],[United States 3y]],#N/A)</f>
        <v/>
      </c>
    </row>
    <row r="8485">
      <c r="A8485" s="6">
        <f>Database!$A10570</f>
        <v/>
      </c>
      <c r="B8485">
        <f>IF(VLOOKUP(Table7[[#This Row],[Date]],Database!$A:$C,MATCH($B$1,Database!$A$1:$C$1,),)=0,#N/A,VLOOKUP(Table7[[#This Row],[Date]],Database!$A:$C,MATCH($B$1,Database!$A$1:$C$1,),))</f>
        <v/>
      </c>
      <c r="C8485">
        <f>IF(VLOOKUP(Table7[[#This Row],[Date]],Database!$A:$C,MATCH($C$1,Database!$A$1:$C$1,),)=0,#N/A,VLOOKUP(Table7[[#This Row],[Date]],Database!$A:$C,MATCH($C$1,Database!$A$1:$C$1,),))</f>
        <v/>
      </c>
      <c r="D8485">
        <f>IFERROR(Table7[[#This Row],[United States 10y]]-Table7[[#This Row],[United States 3y]],#N/A)</f>
        <v/>
      </c>
    </row>
    <row r="8486">
      <c r="A8486" s="6">
        <f>Database!$A10571</f>
        <v/>
      </c>
      <c r="B8486">
        <f>IF(VLOOKUP(Table7[[#This Row],[Date]],Database!$A:$C,MATCH($B$1,Database!$A$1:$C$1,),)=0,#N/A,VLOOKUP(Table7[[#This Row],[Date]],Database!$A:$C,MATCH($B$1,Database!$A$1:$C$1,),))</f>
        <v/>
      </c>
      <c r="C8486">
        <f>IF(VLOOKUP(Table7[[#This Row],[Date]],Database!$A:$C,MATCH($C$1,Database!$A$1:$C$1,),)=0,#N/A,VLOOKUP(Table7[[#This Row],[Date]],Database!$A:$C,MATCH($C$1,Database!$A$1:$C$1,),))</f>
        <v/>
      </c>
      <c r="D8486">
        <f>IFERROR(Table7[[#This Row],[United States 10y]]-Table7[[#This Row],[United States 3y]],#N/A)</f>
        <v/>
      </c>
    </row>
    <row r="8487">
      <c r="A8487" s="6">
        <f>Database!$A10572</f>
        <v/>
      </c>
      <c r="B8487">
        <f>IF(VLOOKUP(Table7[[#This Row],[Date]],Database!$A:$C,MATCH($B$1,Database!$A$1:$C$1,),)=0,#N/A,VLOOKUP(Table7[[#This Row],[Date]],Database!$A:$C,MATCH($B$1,Database!$A$1:$C$1,),))</f>
        <v/>
      </c>
      <c r="C8487">
        <f>IF(VLOOKUP(Table7[[#This Row],[Date]],Database!$A:$C,MATCH($C$1,Database!$A$1:$C$1,),)=0,#N/A,VLOOKUP(Table7[[#This Row],[Date]],Database!$A:$C,MATCH($C$1,Database!$A$1:$C$1,),))</f>
        <v/>
      </c>
      <c r="D8487">
        <f>IFERROR(Table7[[#This Row],[United States 10y]]-Table7[[#This Row],[United States 3y]],#N/A)</f>
        <v/>
      </c>
    </row>
    <row r="8488">
      <c r="A8488" s="6">
        <f>Database!$A10573</f>
        <v/>
      </c>
      <c r="B8488">
        <f>IF(VLOOKUP(Table7[[#This Row],[Date]],Database!$A:$C,MATCH($B$1,Database!$A$1:$C$1,),)=0,#N/A,VLOOKUP(Table7[[#This Row],[Date]],Database!$A:$C,MATCH($B$1,Database!$A$1:$C$1,),))</f>
        <v/>
      </c>
      <c r="C8488">
        <f>IF(VLOOKUP(Table7[[#This Row],[Date]],Database!$A:$C,MATCH($C$1,Database!$A$1:$C$1,),)=0,#N/A,VLOOKUP(Table7[[#This Row],[Date]],Database!$A:$C,MATCH($C$1,Database!$A$1:$C$1,),))</f>
        <v/>
      </c>
      <c r="D8488">
        <f>IFERROR(Table7[[#This Row],[United States 10y]]-Table7[[#This Row],[United States 3y]],#N/A)</f>
        <v/>
      </c>
    </row>
    <row r="8489">
      <c r="A8489" s="6">
        <f>Database!$A10574</f>
        <v/>
      </c>
      <c r="B8489">
        <f>IF(VLOOKUP(Table7[[#This Row],[Date]],Database!$A:$C,MATCH($B$1,Database!$A$1:$C$1,),)=0,#N/A,VLOOKUP(Table7[[#This Row],[Date]],Database!$A:$C,MATCH($B$1,Database!$A$1:$C$1,),))</f>
        <v/>
      </c>
      <c r="C8489">
        <f>IF(VLOOKUP(Table7[[#This Row],[Date]],Database!$A:$C,MATCH($C$1,Database!$A$1:$C$1,),)=0,#N/A,VLOOKUP(Table7[[#This Row],[Date]],Database!$A:$C,MATCH($C$1,Database!$A$1:$C$1,),))</f>
        <v/>
      </c>
      <c r="D8489">
        <f>IFERROR(Table7[[#This Row],[United States 10y]]-Table7[[#This Row],[United States 3y]],#N/A)</f>
        <v/>
      </c>
    </row>
    <row r="8490">
      <c r="A8490" s="6">
        <f>Database!$A10575</f>
        <v/>
      </c>
      <c r="B8490">
        <f>IF(VLOOKUP(Table7[[#This Row],[Date]],Database!$A:$C,MATCH($B$1,Database!$A$1:$C$1,),)=0,#N/A,VLOOKUP(Table7[[#This Row],[Date]],Database!$A:$C,MATCH($B$1,Database!$A$1:$C$1,),))</f>
        <v/>
      </c>
      <c r="C8490">
        <f>IF(VLOOKUP(Table7[[#This Row],[Date]],Database!$A:$C,MATCH($C$1,Database!$A$1:$C$1,),)=0,#N/A,VLOOKUP(Table7[[#This Row],[Date]],Database!$A:$C,MATCH($C$1,Database!$A$1:$C$1,),))</f>
        <v/>
      </c>
      <c r="D8490">
        <f>IFERROR(Table7[[#This Row],[United States 10y]]-Table7[[#This Row],[United States 3y]],#N/A)</f>
        <v/>
      </c>
    </row>
    <row r="8491">
      <c r="A8491" s="6">
        <f>Database!$A10576</f>
        <v/>
      </c>
      <c r="B8491">
        <f>IF(VLOOKUP(Table7[[#This Row],[Date]],Database!$A:$C,MATCH($B$1,Database!$A$1:$C$1,),)=0,#N/A,VLOOKUP(Table7[[#This Row],[Date]],Database!$A:$C,MATCH($B$1,Database!$A$1:$C$1,),))</f>
        <v/>
      </c>
      <c r="C8491">
        <f>IF(VLOOKUP(Table7[[#This Row],[Date]],Database!$A:$C,MATCH($C$1,Database!$A$1:$C$1,),)=0,#N/A,VLOOKUP(Table7[[#This Row],[Date]],Database!$A:$C,MATCH($C$1,Database!$A$1:$C$1,),))</f>
        <v/>
      </c>
      <c r="D8491">
        <f>IFERROR(Table7[[#This Row],[United States 10y]]-Table7[[#This Row],[United States 3y]],#N/A)</f>
        <v/>
      </c>
    </row>
    <row r="8492">
      <c r="A8492" s="6">
        <f>Database!$A10577</f>
        <v/>
      </c>
      <c r="B8492">
        <f>IF(VLOOKUP(Table7[[#This Row],[Date]],Database!$A:$C,MATCH($B$1,Database!$A$1:$C$1,),)=0,#N/A,VLOOKUP(Table7[[#This Row],[Date]],Database!$A:$C,MATCH($B$1,Database!$A$1:$C$1,),))</f>
        <v/>
      </c>
      <c r="C8492">
        <f>IF(VLOOKUP(Table7[[#This Row],[Date]],Database!$A:$C,MATCH($C$1,Database!$A$1:$C$1,),)=0,#N/A,VLOOKUP(Table7[[#This Row],[Date]],Database!$A:$C,MATCH($C$1,Database!$A$1:$C$1,),))</f>
        <v/>
      </c>
      <c r="D8492">
        <f>IFERROR(Table7[[#This Row],[United States 10y]]-Table7[[#This Row],[United States 3y]],#N/A)</f>
        <v/>
      </c>
    </row>
    <row r="8493">
      <c r="A8493" s="6">
        <f>Database!$A10578</f>
        <v/>
      </c>
      <c r="B8493">
        <f>IF(VLOOKUP(Table7[[#This Row],[Date]],Database!$A:$C,MATCH($B$1,Database!$A$1:$C$1,),)=0,#N/A,VLOOKUP(Table7[[#This Row],[Date]],Database!$A:$C,MATCH($B$1,Database!$A$1:$C$1,),))</f>
        <v/>
      </c>
      <c r="C8493">
        <f>IF(VLOOKUP(Table7[[#This Row],[Date]],Database!$A:$C,MATCH($C$1,Database!$A$1:$C$1,),)=0,#N/A,VLOOKUP(Table7[[#This Row],[Date]],Database!$A:$C,MATCH($C$1,Database!$A$1:$C$1,),))</f>
        <v/>
      </c>
      <c r="D8493">
        <f>IFERROR(Table7[[#This Row],[United States 10y]]-Table7[[#This Row],[United States 3y]],#N/A)</f>
        <v/>
      </c>
    </row>
    <row r="8494">
      <c r="A8494" s="6">
        <f>Database!$A10579</f>
        <v/>
      </c>
      <c r="B8494">
        <f>IF(VLOOKUP(Table7[[#This Row],[Date]],Database!$A:$C,MATCH($B$1,Database!$A$1:$C$1,),)=0,#N/A,VLOOKUP(Table7[[#This Row],[Date]],Database!$A:$C,MATCH($B$1,Database!$A$1:$C$1,),))</f>
        <v/>
      </c>
      <c r="C8494">
        <f>IF(VLOOKUP(Table7[[#This Row],[Date]],Database!$A:$C,MATCH($C$1,Database!$A$1:$C$1,),)=0,#N/A,VLOOKUP(Table7[[#This Row],[Date]],Database!$A:$C,MATCH($C$1,Database!$A$1:$C$1,),))</f>
        <v/>
      </c>
      <c r="D8494">
        <f>IFERROR(Table7[[#This Row],[United States 10y]]-Table7[[#This Row],[United States 3y]],#N/A)</f>
        <v/>
      </c>
    </row>
    <row r="8495">
      <c r="A8495" s="6">
        <f>Database!$A10580</f>
        <v/>
      </c>
      <c r="B8495">
        <f>IF(VLOOKUP(Table7[[#This Row],[Date]],Database!$A:$C,MATCH($B$1,Database!$A$1:$C$1,),)=0,#N/A,VLOOKUP(Table7[[#This Row],[Date]],Database!$A:$C,MATCH($B$1,Database!$A$1:$C$1,),))</f>
        <v/>
      </c>
      <c r="C8495">
        <f>IF(VLOOKUP(Table7[[#This Row],[Date]],Database!$A:$C,MATCH($C$1,Database!$A$1:$C$1,),)=0,#N/A,VLOOKUP(Table7[[#This Row],[Date]],Database!$A:$C,MATCH($C$1,Database!$A$1:$C$1,),))</f>
        <v/>
      </c>
      <c r="D8495">
        <f>IFERROR(Table7[[#This Row],[United States 10y]]-Table7[[#This Row],[United States 3y]],#N/A)</f>
        <v/>
      </c>
    </row>
    <row r="8496">
      <c r="A8496" s="6">
        <f>Database!$A10581</f>
        <v/>
      </c>
      <c r="B8496">
        <f>IF(VLOOKUP(Table7[[#This Row],[Date]],Database!$A:$C,MATCH($B$1,Database!$A$1:$C$1,),)=0,#N/A,VLOOKUP(Table7[[#This Row],[Date]],Database!$A:$C,MATCH($B$1,Database!$A$1:$C$1,),))</f>
        <v/>
      </c>
      <c r="C8496">
        <f>IF(VLOOKUP(Table7[[#This Row],[Date]],Database!$A:$C,MATCH($C$1,Database!$A$1:$C$1,),)=0,#N/A,VLOOKUP(Table7[[#This Row],[Date]],Database!$A:$C,MATCH($C$1,Database!$A$1:$C$1,),))</f>
        <v/>
      </c>
      <c r="D8496">
        <f>IFERROR(Table7[[#This Row],[United States 10y]]-Table7[[#This Row],[United States 3y]],#N/A)</f>
        <v/>
      </c>
    </row>
    <row r="8497">
      <c r="A8497" s="6">
        <f>Database!$A10582</f>
        <v/>
      </c>
      <c r="B8497">
        <f>IF(VLOOKUP(Table7[[#This Row],[Date]],Database!$A:$C,MATCH($B$1,Database!$A$1:$C$1,),)=0,#N/A,VLOOKUP(Table7[[#This Row],[Date]],Database!$A:$C,MATCH($B$1,Database!$A$1:$C$1,),))</f>
        <v/>
      </c>
      <c r="C8497">
        <f>IF(VLOOKUP(Table7[[#This Row],[Date]],Database!$A:$C,MATCH($C$1,Database!$A$1:$C$1,),)=0,#N/A,VLOOKUP(Table7[[#This Row],[Date]],Database!$A:$C,MATCH($C$1,Database!$A$1:$C$1,),))</f>
        <v/>
      </c>
      <c r="D8497">
        <f>IFERROR(Table7[[#This Row],[United States 10y]]-Table7[[#This Row],[United States 3y]],#N/A)</f>
        <v/>
      </c>
    </row>
    <row r="8498">
      <c r="A8498" s="6">
        <f>Database!$A10583</f>
        <v/>
      </c>
      <c r="B8498">
        <f>IF(VLOOKUP(Table7[[#This Row],[Date]],Database!$A:$C,MATCH($B$1,Database!$A$1:$C$1,),)=0,#N/A,VLOOKUP(Table7[[#This Row],[Date]],Database!$A:$C,MATCH($B$1,Database!$A$1:$C$1,),))</f>
        <v/>
      </c>
      <c r="C8498">
        <f>IF(VLOOKUP(Table7[[#This Row],[Date]],Database!$A:$C,MATCH($C$1,Database!$A$1:$C$1,),)=0,#N/A,VLOOKUP(Table7[[#This Row],[Date]],Database!$A:$C,MATCH($C$1,Database!$A$1:$C$1,),))</f>
        <v/>
      </c>
      <c r="D8498">
        <f>IFERROR(Table7[[#This Row],[United States 10y]]-Table7[[#This Row],[United States 3y]],#N/A)</f>
        <v/>
      </c>
    </row>
    <row r="8499">
      <c r="A8499" s="6">
        <f>Database!$A10584</f>
        <v/>
      </c>
      <c r="B8499">
        <f>IF(VLOOKUP(Table7[[#This Row],[Date]],Database!$A:$C,MATCH($B$1,Database!$A$1:$C$1,),)=0,#N/A,VLOOKUP(Table7[[#This Row],[Date]],Database!$A:$C,MATCH($B$1,Database!$A$1:$C$1,),))</f>
        <v/>
      </c>
      <c r="C8499">
        <f>IF(VLOOKUP(Table7[[#This Row],[Date]],Database!$A:$C,MATCH($C$1,Database!$A$1:$C$1,),)=0,#N/A,VLOOKUP(Table7[[#This Row],[Date]],Database!$A:$C,MATCH($C$1,Database!$A$1:$C$1,),))</f>
        <v/>
      </c>
      <c r="D8499">
        <f>IFERROR(Table7[[#This Row],[United States 10y]]-Table7[[#This Row],[United States 3y]],#N/A)</f>
        <v/>
      </c>
    </row>
    <row r="8500">
      <c r="A8500" s="6">
        <f>Database!$A10585</f>
        <v/>
      </c>
      <c r="B8500">
        <f>IF(VLOOKUP(Table7[[#This Row],[Date]],Database!$A:$C,MATCH($B$1,Database!$A$1:$C$1,),)=0,#N/A,VLOOKUP(Table7[[#This Row],[Date]],Database!$A:$C,MATCH($B$1,Database!$A$1:$C$1,),))</f>
        <v/>
      </c>
      <c r="C8500">
        <f>IF(VLOOKUP(Table7[[#This Row],[Date]],Database!$A:$C,MATCH($C$1,Database!$A$1:$C$1,),)=0,#N/A,VLOOKUP(Table7[[#This Row],[Date]],Database!$A:$C,MATCH($C$1,Database!$A$1:$C$1,),))</f>
        <v/>
      </c>
      <c r="D8500">
        <f>IFERROR(Table7[[#This Row],[United States 10y]]-Table7[[#This Row],[United States 3y]],#N/A)</f>
        <v/>
      </c>
    </row>
    <row r="8501">
      <c r="A8501" s="6">
        <f>Database!$A10586</f>
        <v/>
      </c>
      <c r="B8501">
        <f>IF(VLOOKUP(Table7[[#This Row],[Date]],Database!$A:$C,MATCH($B$1,Database!$A$1:$C$1,),)=0,#N/A,VLOOKUP(Table7[[#This Row],[Date]],Database!$A:$C,MATCH($B$1,Database!$A$1:$C$1,),))</f>
        <v/>
      </c>
      <c r="C8501">
        <f>IF(VLOOKUP(Table7[[#This Row],[Date]],Database!$A:$C,MATCH($C$1,Database!$A$1:$C$1,),)=0,#N/A,VLOOKUP(Table7[[#This Row],[Date]],Database!$A:$C,MATCH($C$1,Database!$A$1:$C$1,),))</f>
        <v/>
      </c>
      <c r="D8501">
        <f>IFERROR(Table7[[#This Row],[United States 10y]]-Table7[[#This Row],[United States 3y]],#N/A)</f>
        <v/>
      </c>
    </row>
    <row r="8502">
      <c r="A8502" s="6">
        <f>Database!$A10587</f>
        <v/>
      </c>
      <c r="B8502">
        <f>IF(VLOOKUP(Table7[[#This Row],[Date]],Database!$A:$C,MATCH($B$1,Database!$A$1:$C$1,),)=0,#N/A,VLOOKUP(Table7[[#This Row],[Date]],Database!$A:$C,MATCH($B$1,Database!$A$1:$C$1,),))</f>
        <v/>
      </c>
      <c r="C8502">
        <f>IF(VLOOKUP(Table7[[#This Row],[Date]],Database!$A:$C,MATCH($C$1,Database!$A$1:$C$1,),)=0,#N/A,VLOOKUP(Table7[[#This Row],[Date]],Database!$A:$C,MATCH($C$1,Database!$A$1:$C$1,),))</f>
        <v/>
      </c>
      <c r="D8502">
        <f>IFERROR(Table7[[#This Row],[United States 10y]]-Table7[[#This Row],[United States 3y]],#N/A)</f>
        <v/>
      </c>
    </row>
    <row r="8503">
      <c r="A8503" s="6">
        <f>Database!$A10588</f>
        <v/>
      </c>
      <c r="B8503">
        <f>IF(VLOOKUP(Table7[[#This Row],[Date]],Database!$A:$C,MATCH($B$1,Database!$A$1:$C$1,),)=0,#N/A,VLOOKUP(Table7[[#This Row],[Date]],Database!$A:$C,MATCH($B$1,Database!$A$1:$C$1,),))</f>
        <v/>
      </c>
      <c r="C8503">
        <f>IF(VLOOKUP(Table7[[#This Row],[Date]],Database!$A:$C,MATCH($C$1,Database!$A$1:$C$1,),)=0,#N/A,VLOOKUP(Table7[[#This Row],[Date]],Database!$A:$C,MATCH($C$1,Database!$A$1:$C$1,),))</f>
        <v/>
      </c>
      <c r="D8503">
        <f>IFERROR(Table7[[#This Row],[United States 10y]]-Table7[[#This Row],[United States 3y]],#N/A)</f>
        <v/>
      </c>
    </row>
    <row r="8504">
      <c r="A8504" s="6">
        <f>Database!$A10589</f>
        <v/>
      </c>
      <c r="B8504">
        <f>IF(VLOOKUP(Table7[[#This Row],[Date]],Database!$A:$C,MATCH($B$1,Database!$A$1:$C$1,),)=0,#N/A,VLOOKUP(Table7[[#This Row],[Date]],Database!$A:$C,MATCH($B$1,Database!$A$1:$C$1,),))</f>
        <v/>
      </c>
      <c r="C8504">
        <f>IF(VLOOKUP(Table7[[#This Row],[Date]],Database!$A:$C,MATCH($C$1,Database!$A$1:$C$1,),)=0,#N/A,VLOOKUP(Table7[[#This Row],[Date]],Database!$A:$C,MATCH($C$1,Database!$A$1:$C$1,),))</f>
        <v/>
      </c>
      <c r="D8504">
        <f>IFERROR(Table7[[#This Row],[United States 10y]]-Table7[[#This Row],[United States 3y]],#N/A)</f>
        <v/>
      </c>
    </row>
    <row r="8505">
      <c r="A8505" s="6">
        <f>Database!$A10590</f>
        <v/>
      </c>
      <c r="B8505">
        <f>IF(VLOOKUP(Table7[[#This Row],[Date]],Database!$A:$C,MATCH($B$1,Database!$A$1:$C$1,),)=0,#N/A,VLOOKUP(Table7[[#This Row],[Date]],Database!$A:$C,MATCH($B$1,Database!$A$1:$C$1,),))</f>
        <v/>
      </c>
      <c r="C8505">
        <f>IF(VLOOKUP(Table7[[#This Row],[Date]],Database!$A:$C,MATCH($C$1,Database!$A$1:$C$1,),)=0,#N/A,VLOOKUP(Table7[[#This Row],[Date]],Database!$A:$C,MATCH($C$1,Database!$A$1:$C$1,),))</f>
        <v/>
      </c>
      <c r="D8505">
        <f>IFERROR(Table7[[#This Row],[United States 10y]]-Table7[[#This Row],[United States 3y]],#N/A)</f>
        <v/>
      </c>
    </row>
    <row r="8506">
      <c r="A8506" s="6">
        <f>Database!$A10591</f>
        <v/>
      </c>
      <c r="B8506">
        <f>IF(VLOOKUP(Table7[[#This Row],[Date]],Database!$A:$C,MATCH($B$1,Database!$A$1:$C$1,),)=0,#N/A,VLOOKUP(Table7[[#This Row],[Date]],Database!$A:$C,MATCH($B$1,Database!$A$1:$C$1,),))</f>
        <v/>
      </c>
      <c r="C8506">
        <f>IF(VLOOKUP(Table7[[#This Row],[Date]],Database!$A:$C,MATCH($C$1,Database!$A$1:$C$1,),)=0,#N/A,VLOOKUP(Table7[[#This Row],[Date]],Database!$A:$C,MATCH($C$1,Database!$A$1:$C$1,),))</f>
        <v/>
      </c>
      <c r="D8506">
        <f>IFERROR(Table7[[#This Row],[United States 10y]]-Table7[[#This Row],[United States 3y]],#N/A)</f>
        <v/>
      </c>
    </row>
    <row r="8507">
      <c r="A8507" s="6">
        <f>Database!$A10592</f>
        <v/>
      </c>
      <c r="B8507">
        <f>IF(VLOOKUP(Table7[[#This Row],[Date]],Database!$A:$C,MATCH($B$1,Database!$A$1:$C$1,),)=0,#N/A,VLOOKUP(Table7[[#This Row],[Date]],Database!$A:$C,MATCH($B$1,Database!$A$1:$C$1,),))</f>
        <v/>
      </c>
      <c r="C8507">
        <f>IF(VLOOKUP(Table7[[#This Row],[Date]],Database!$A:$C,MATCH($C$1,Database!$A$1:$C$1,),)=0,#N/A,VLOOKUP(Table7[[#This Row],[Date]],Database!$A:$C,MATCH($C$1,Database!$A$1:$C$1,),))</f>
        <v/>
      </c>
      <c r="D8507">
        <f>IFERROR(Table7[[#This Row],[United States 10y]]-Table7[[#This Row],[United States 3y]],#N/A)</f>
        <v/>
      </c>
    </row>
    <row r="8508">
      <c r="A8508" s="6">
        <f>Database!$A10593</f>
        <v/>
      </c>
      <c r="B8508">
        <f>IF(VLOOKUP(Table7[[#This Row],[Date]],Database!$A:$C,MATCH($B$1,Database!$A$1:$C$1,),)=0,#N/A,VLOOKUP(Table7[[#This Row],[Date]],Database!$A:$C,MATCH($B$1,Database!$A$1:$C$1,),))</f>
        <v/>
      </c>
      <c r="C8508">
        <f>IF(VLOOKUP(Table7[[#This Row],[Date]],Database!$A:$C,MATCH($C$1,Database!$A$1:$C$1,),)=0,#N/A,VLOOKUP(Table7[[#This Row],[Date]],Database!$A:$C,MATCH($C$1,Database!$A$1:$C$1,),))</f>
        <v/>
      </c>
      <c r="D8508">
        <f>IFERROR(Table7[[#This Row],[United States 10y]]-Table7[[#This Row],[United States 3y]],#N/A)</f>
        <v/>
      </c>
    </row>
    <row r="8509">
      <c r="A8509" s="6">
        <f>Database!$A10594</f>
        <v/>
      </c>
      <c r="B8509">
        <f>IF(VLOOKUP(Table7[[#This Row],[Date]],Database!$A:$C,MATCH($B$1,Database!$A$1:$C$1,),)=0,#N/A,VLOOKUP(Table7[[#This Row],[Date]],Database!$A:$C,MATCH($B$1,Database!$A$1:$C$1,),))</f>
        <v/>
      </c>
      <c r="C8509">
        <f>IF(VLOOKUP(Table7[[#This Row],[Date]],Database!$A:$C,MATCH($C$1,Database!$A$1:$C$1,),)=0,#N/A,VLOOKUP(Table7[[#This Row],[Date]],Database!$A:$C,MATCH($C$1,Database!$A$1:$C$1,),))</f>
        <v/>
      </c>
      <c r="D8509">
        <f>IFERROR(Table7[[#This Row],[United States 10y]]-Table7[[#This Row],[United States 3y]],#N/A)</f>
        <v/>
      </c>
    </row>
    <row r="8510">
      <c r="A8510" s="6">
        <f>Database!$A10595</f>
        <v/>
      </c>
      <c r="B8510">
        <f>IF(VLOOKUP(Table7[[#This Row],[Date]],Database!$A:$C,MATCH($B$1,Database!$A$1:$C$1,),)=0,#N/A,VLOOKUP(Table7[[#This Row],[Date]],Database!$A:$C,MATCH($B$1,Database!$A$1:$C$1,),))</f>
        <v/>
      </c>
      <c r="C8510">
        <f>IF(VLOOKUP(Table7[[#This Row],[Date]],Database!$A:$C,MATCH($C$1,Database!$A$1:$C$1,),)=0,#N/A,VLOOKUP(Table7[[#This Row],[Date]],Database!$A:$C,MATCH($C$1,Database!$A$1:$C$1,),))</f>
        <v/>
      </c>
      <c r="D8510">
        <f>IFERROR(Table7[[#This Row],[United States 10y]]-Table7[[#This Row],[United States 3y]],#N/A)</f>
        <v/>
      </c>
    </row>
    <row r="8511">
      <c r="A8511" s="6">
        <f>Database!$A10596</f>
        <v/>
      </c>
      <c r="B8511">
        <f>IF(VLOOKUP(Table7[[#This Row],[Date]],Database!$A:$C,MATCH($B$1,Database!$A$1:$C$1,),)=0,#N/A,VLOOKUP(Table7[[#This Row],[Date]],Database!$A:$C,MATCH($B$1,Database!$A$1:$C$1,),))</f>
        <v/>
      </c>
      <c r="C8511">
        <f>IF(VLOOKUP(Table7[[#This Row],[Date]],Database!$A:$C,MATCH($C$1,Database!$A$1:$C$1,),)=0,#N/A,VLOOKUP(Table7[[#This Row],[Date]],Database!$A:$C,MATCH($C$1,Database!$A$1:$C$1,),))</f>
        <v/>
      </c>
      <c r="D8511">
        <f>IFERROR(Table7[[#This Row],[United States 10y]]-Table7[[#This Row],[United States 3y]],#N/A)</f>
        <v/>
      </c>
    </row>
    <row r="8512">
      <c r="A8512" s="6">
        <f>Database!$A10597</f>
        <v/>
      </c>
      <c r="B8512">
        <f>IF(VLOOKUP(Table7[[#This Row],[Date]],Database!$A:$C,MATCH($B$1,Database!$A$1:$C$1,),)=0,#N/A,VLOOKUP(Table7[[#This Row],[Date]],Database!$A:$C,MATCH($B$1,Database!$A$1:$C$1,),))</f>
        <v/>
      </c>
      <c r="C8512">
        <f>IF(VLOOKUP(Table7[[#This Row],[Date]],Database!$A:$C,MATCH($C$1,Database!$A$1:$C$1,),)=0,#N/A,VLOOKUP(Table7[[#This Row],[Date]],Database!$A:$C,MATCH($C$1,Database!$A$1:$C$1,),))</f>
        <v/>
      </c>
      <c r="D8512">
        <f>IFERROR(Table7[[#This Row],[United States 10y]]-Table7[[#This Row],[United States 3y]],#N/A)</f>
        <v/>
      </c>
    </row>
    <row r="8513">
      <c r="A8513" s="6">
        <f>Database!$A10598</f>
        <v/>
      </c>
      <c r="B8513">
        <f>IF(VLOOKUP(Table7[[#This Row],[Date]],Database!$A:$C,MATCH($B$1,Database!$A$1:$C$1,),)=0,#N/A,VLOOKUP(Table7[[#This Row],[Date]],Database!$A:$C,MATCH($B$1,Database!$A$1:$C$1,),))</f>
        <v/>
      </c>
      <c r="C8513">
        <f>IF(VLOOKUP(Table7[[#This Row],[Date]],Database!$A:$C,MATCH($C$1,Database!$A$1:$C$1,),)=0,#N/A,VLOOKUP(Table7[[#This Row],[Date]],Database!$A:$C,MATCH($C$1,Database!$A$1:$C$1,),))</f>
        <v/>
      </c>
      <c r="D8513">
        <f>IFERROR(Table7[[#This Row],[United States 10y]]-Table7[[#This Row],[United States 3y]],#N/A)</f>
        <v/>
      </c>
    </row>
    <row r="8514">
      <c r="A8514" s="6">
        <f>Database!$A10599</f>
        <v/>
      </c>
      <c r="B8514">
        <f>IF(VLOOKUP(Table7[[#This Row],[Date]],Database!$A:$C,MATCH($B$1,Database!$A$1:$C$1,),)=0,#N/A,VLOOKUP(Table7[[#This Row],[Date]],Database!$A:$C,MATCH($B$1,Database!$A$1:$C$1,),))</f>
        <v/>
      </c>
      <c r="C8514">
        <f>IF(VLOOKUP(Table7[[#This Row],[Date]],Database!$A:$C,MATCH($C$1,Database!$A$1:$C$1,),)=0,#N/A,VLOOKUP(Table7[[#This Row],[Date]],Database!$A:$C,MATCH($C$1,Database!$A$1:$C$1,),))</f>
        <v/>
      </c>
      <c r="D8514">
        <f>IFERROR(Table7[[#This Row],[United States 10y]]-Table7[[#This Row],[United States 3y]],#N/A)</f>
        <v/>
      </c>
    </row>
    <row r="8515">
      <c r="A8515" s="6">
        <f>Database!$A10600</f>
        <v/>
      </c>
      <c r="B8515">
        <f>IF(VLOOKUP(Table7[[#This Row],[Date]],Database!$A:$C,MATCH($B$1,Database!$A$1:$C$1,),)=0,#N/A,VLOOKUP(Table7[[#This Row],[Date]],Database!$A:$C,MATCH($B$1,Database!$A$1:$C$1,),))</f>
        <v/>
      </c>
      <c r="C8515">
        <f>IF(VLOOKUP(Table7[[#This Row],[Date]],Database!$A:$C,MATCH($C$1,Database!$A$1:$C$1,),)=0,#N/A,VLOOKUP(Table7[[#This Row],[Date]],Database!$A:$C,MATCH($C$1,Database!$A$1:$C$1,),))</f>
        <v/>
      </c>
      <c r="D8515">
        <f>IFERROR(Table7[[#This Row],[United States 10y]]-Table7[[#This Row],[United States 3y]],#N/A)</f>
        <v/>
      </c>
    </row>
    <row r="8516">
      <c r="A8516" s="6">
        <f>Database!$A10601</f>
        <v/>
      </c>
      <c r="B8516">
        <f>IF(VLOOKUP(Table7[[#This Row],[Date]],Database!$A:$C,MATCH($B$1,Database!$A$1:$C$1,),)=0,#N/A,VLOOKUP(Table7[[#This Row],[Date]],Database!$A:$C,MATCH($B$1,Database!$A$1:$C$1,),))</f>
        <v/>
      </c>
      <c r="C8516">
        <f>IF(VLOOKUP(Table7[[#This Row],[Date]],Database!$A:$C,MATCH($C$1,Database!$A$1:$C$1,),)=0,#N/A,VLOOKUP(Table7[[#This Row],[Date]],Database!$A:$C,MATCH($C$1,Database!$A$1:$C$1,),))</f>
        <v/>
      </c>
      <c r="D8516">
        <f>IFERROR(Table7[[#This Row],[United States 10y]]-Table7[[#This Row],[United States 3y]],#N/A)</f>
        <v/>
      </c>
    </row>
    <row r="8517">
      <c r="A8517" s="6">
        <f>Database!$A10602</f>
        <v/>
      </c>
      <c r="B8517">
        <f>IF(VLOOKUP(Table7[[#This Row],[Date]],Database!$A:$C,MATCH($B$1,Database!$A$1:$C$1,),)=0,#N/A,VLOOKUP(Table7[[#This Row],[Date]],Database!$A:$C,MATCH($B$1,Database!$A$1:$C$1,),))</f>
        <v/>
      </c>
      <c r="C8517">
        <f>IF(VLOOKUP(Table7[[#This Row],[Date]],Database!$A:$C,MATCH($C$1,Database!$A$1:$C$1,),)=0,#N/A,VLOOKUP(Table7[[#This Row],[Date]],Database!$A:$C,MATCH($C$1,Database!$A$1:$C$1,),))</f>
        <v/>
      </c>
      <c r="D8517">
        <f>IFERROR(Table7[[#This Row],[United States 10y]]-Table7[[#This Row],[United States 3y]],#N/A)</f>
        <v/>
      </c>
    </row>
    <row r="8518">
      <c r="A8518" s="6">
        <f>Database!$A10603</f>
        <v/>
      </c>
      <c r="B8518">
        <f>IF(VLOOKUP(Table7[[#This Row],[Date]],Database!$A:$C,MATCH($B$1,Database!$A$1:$C$1,),)=0,#N/A,VLOOKUP(Table7[[#This Row],[Date]],Database!$A:$C,MATCH($B$1,Database!$A$1:$C$1,),))</f>
        <v/>
      </c>
      <c r="C8518">
        <f>IF(VLOOKUP(Table7[[#This Row],[Date]],Database!$A:$C,MATCH($C$1,Database!$A$1:$C$1,),)=0,#N/A,VLOOKUP(Table7[[#This Row],[Date]],Database!$A:$C,MATCH($C$1,Database!$A$1:$C$1,),))</f>
        <v/>
      </c>
      <c r="D8518">
        <f>IFERROR(Table7[[#This Row],[United States 10y]]-Table7[[#This Row],[United States 3y]],#N/A)</f>
        <v/>
      </c>
    </row>
    <row r="8519">
      <c r="A8519" s="6">
        <f>Database!$A10604</f>
        <v/>
      </c>
      <c r="B8519">
        <f>IF(VLOOKUP(Table7[[#This Row],[Date]],Database!$A:$C,MATCH($B$1,Database!$A$1:$C$1,),)=0,#N/A,VLOOKUP(Table7[[#This Row],[Date]],Database!$A:$C,MATCH($B$1,Database!$A$1:$C$1,),))</f>
        <v/>
      </c>
      <c r="C8519">
        <f>IF(VLOOKUP(Table7[[#This Row],[Date]],Database!$A:$C,MATCH($C$1,Database!$A$1:$C$1,),)=0,#N/A,VLOOKUP(Table7[[#This Row],[Date]],Database!$A:$C,MATCH($C$1,Database!$A$1:$C$1,),))</f>
        <v/>
      </c>
      <c r="D8519">
        <f>IFERROR(Table7[[#This Row],[United States 10y]]-Table7[[#This Row],[United States 3y]],#N/A)</f>
        <v/>
      </c>
    </row>
    <row r="8520">
      <c r="A8520" s="6">
        <f>Database!$A10605</f>
        <v/>
      </c>
      <c r="B8520">
        <f>IF(VLOOKUP(Table7[[#This Row],[Date]],Database!$A:$C,MATCH($B$1,Database!$A$1:$C$1,),)=0,#N/A,VLOOKUP(Table7[[#This Row],[Date]],Database!$A:$C,MATCH($B$1,Database!$A$1:$C$1,),))</f>
        <v/>
      </c>
      <c r="C8520">
        <f>IF(VLOOKUP(Table7[[#This Row],[Date]],Database!$A:$C,MATCH($C$1,Database!$A$1:$C$1,),)=0,#N/A,VLOOKUP(Table7[[#This Row],[Date]],Database!$A:$C,MATCH($C$1,Database!$A$1:$C$1,),))</f>
        <v/>
      </c>
      <c r="D8520">
        <f>IFERROR(Table7[[#This Row],[United States 10y]]-Table7[[#This Row],[United States 3y]],#N/A)</f>
        <v/>
      </c>
    </row>
    <row r="8521">
      <c r="A8521" s="6">
        <f>Database!$A10606</f>
        <v/>
      </c>
      <c r="B8521">
        <f>IF(VLOOKUP(Table7[[#This Row],[Date]],Database!$A:$C,MATCH($B$1,Database!$A$1:$C$1,),)=0,#N/A,VLOOKUP(Table7[[#This Row],[Date]],Database!$A:$C,MATCH($B$1,Database!$A$1:$C$1,),))</f>
        <v/>
      </c>
      <c r="C8521">
        <f>IF(VLOOKUP(Table7[[#This Row],[Date]],Database!$A:$C,MATCH($C$1,Database!$A$1:$C$1,),)=0,#N/A,VLOOKUP(Table7[[#This Row],[Date]],Database!$A:$C,MATCH($C$1,Database!$A$1:$C$1,),))</f>
        <v/>
      </c>
      <c r="D8521">
        <f>IFERROR(Table7[[#This Row],[United States 10y]]-Table7[[#This Row],[United States 3y]],#N/A)</f>
        <v/>
      </c>
    </row>
    <row r="8522">
      <c r="A8522" s="6">
        <f>Database!$A10607</f>
        <v/>
      </c>
      <c r="B8522">
        <f>IF(VLOOKUP(Table7[[#This Row],[Date]],Database!$A:$C,MATCH($B$1,Database!$A$1:$C$1,),)=0,#N/A,VLOOKUP(Table7[[#This Row],[Date]],Database!$A:$C,MATCH($B$1,Database!$A$1:$C$1,),))</f>
        <v/>
      </c>
      <c r="C8522">
        <f>IF(VLOOKUP(Table7[[#This Row],[Date]],Database!$A:$C,MATCH($C$1,Database!$A$1:$C$1,),)=0,#N/A,VLOOKUP(Table7[[#This Row],[Date]],Database!$A:$C,MATCH($C$1,Database!$A$1:$C$1,),))</f>
        <v/>
      </c>
      <c r="D8522">
        <f>IFERROR(Table7[[#This Row],[United States 10y]]-Table7[[#This Row],[United States 3y]],#N/A)</f>
        <v/>
      </c>
    </row>
    <row r="8523">
      <c r="A8523" s="6">
        <f>Database!$A10608</f>
        <v/>
      </c>
      <c r="B8523">
        <f>IF(VLOOKUP(Table7[[#This Row],[Date]],Database!$A:$C,MATCH($B$1,Database!$A$1:$C$1,),)=0,#N/A,VLOOKUP(Table7[[#This Row],[Date]],Database!$A:$C,MATCH($B$1,Database!$A$1:$C$1,),))</f>
        <v/>
      </c>
      <c r="C8523">
        <f>IF(VLOOKUP(Table7[[#This Row],[Date]],Database!$A:$C,MATCH($C$1,Database!$A$1:$C$1,),)=0,#N/A,VLOOKUP(Table7[[#This Row],[Date]],Database!$A:$C,MATCH($C$1,Database!$A$1:$C$1,),))</f>
        <v/>
      </c>
      <c r="D8523">
        <f>IFERROR(Table7[[#This Row],[United States 10y]]-Table7[[#This Row],[United States 3y]],#N/A)</f>
        <v/>
      </c>
    </row>
    <row r="8524">
      <c r="A8524" s="6">
        <f>Database!$A10609</f>
        <v/>
      </c>
      <c r="B8524">
        <f>IF(VLOOKUP(Table7[[#This Row],[Date]],Database!$A:$C,MATCH($B$1,Database!$A$1:$C$1,),)=0,#N/A,VLOOKUP(Table7[[#This Row],[Date]],Database!$A:$C,MATCH($B$1,Database!$A$1:$C$1,),))</f>
        <v/>
      </c>
      <c r="C8524">
        <f>IF(VLOOKUP(Table7[[#This Row],[Date]],Database!$A:$C,MATCH($C$1,Database!$A$1:$C$1,),)=0,#N/A,VLOOKUP(Table7[[#This Row],[Date]],Database!$A:$C,MATCH($C$1,Database!$A$1:$C$1,),))</f>
        <v/>
      </c>
      <c r="D8524">
        <f>IFERROR(Table7[[#This Row],[United States 10y]]-Table7[[#This Row],[United States 3y]],#N/A)</f>
        <v/>
      </c>
    </row>
    <row r="8525">
      <c r="A8525" s="6">
        <f>Database!$A10610</f>
        <v/>
      </c>
      <c r="B8525">
        <f>IF(VLOOKUP(Table7[[#This Row],[Date]],Database!$A:$C,MATCH($B$1,Database!$A$1:$C$1,),)=0,#N/A,VLOOKUP(Table7[[#This Row],[Date]],Database!$A:$C,MATCH($B$1,Database!$A$1:$C$1,),))</f>
        <v/>
      </c>
      <c r="C8525">
        <f>IF(VLOOKUP(Table7[[#This Row],[Date]],Database!$A:$C,MATCH($C$1,Database!$A$1:$C$1,),)=0,#N/A,VLOOKUP(Table7[[#This Row],[Date]],Database!$A:$C,MATCH($C$1,Database!$A$1:$C$1,),))</f>
        <v/>
      </c>
      <c r="D8525">
        <f>IFERROR(Table7[[#This Row],[United States 10y]]-Table7[[#This Row],[United States 3y]],#N/A)</f>
        <v/>
      </c>
    </row>
    <row r="8526">
      <c r="A8526" s="6">
        <f>Database!$A10611</f>
        <v/>
      </c>
      <c r="B8526">
        <f>IF(VLOOKUP(Table7[[#This Row],[Date]],Database!$A:$C,MATCH($B$1,Database!$A$1:$C$1,),)=0,#N/A,VLOOKUP(Table7[[#This Row],[Date]],Database!$A:$C,MATCH($B$1,Database!$A$1:$C$1,),))</f>
        <v/>
      </c>
      <c r="C8526">
        <f>IF(VLOOKUP(Table7[[#This Row],[Date]],Database!$A:$C,MATCH($C$1,Database!$A$1:$C$1,),)=0,#N/A,VLOOKUP(Table7[[#This Row],[Date]],Database!$A:$C,MATCH($C$1,Database!$A$1:$C$1,),))</f>
        <v/>
      </c>
      <c r="D8526">
        <f>IFERROR(Table7[[#This Row],[United States 10y]]-Table7[[#This Row],[United States 3y]],#N/A)</f>
        <v/>
      </c>
    </row>
    <row r="8527">
      <c r="A8527" s="6">
        <f>Database!$A10612</f>
        <v/>
      </c>
      <c r="B8527">
        <f>IF(VLOOKUP(Table7[[#This Row],[Date]],Database!$A:$C,MATCH($B$1,Database!$A$1:$C$1,),)=0,#N/A,VLOOKUP(Table7[[#This Row],[Date]],Database!$A:$C,MATCH($B$1,Database!$A$1:$C$1,),))</f>
        <v/>
      </c>
      <c r="C8527">
        <f>IF(VLOOKUP(Table7[[#This Row],[Date]],Database!$A:$C,MATCH($C$1,Database!$A$1:$C$1,),)=0,#N/A,VLOOKUP(Table7[[#This Row],[Date]],Database!$A:$C,MATCH($C$1,Database!$A$1:$C$1,),))</f>
        <v/>
      </c>
      <c r="D8527">
        <f>IFERROR(Table7[[#This Row],[United States 10y]]-Table7[[#This Row],[United States 3y]],#N/A)</f>
        <v/>
      </c>
    </row>
    <row r="8528">
      <c r="A8528" s="6">
        <f>Database!$A10613</f>
        <v/>
      </c>
      <c r="B8528">
        <f>IF(VLOOKUP(Table7[[#This Row],[Date]],Database!$A:$C,MATCH($B$1,Database!$A$1:$C$1,),)=0,#N/A,VLOOKUP(Table7[[#This Row],[Date]],Database!$A:$C,MATCH($B$1,Database!$A$1:$C$1,),))</f>
        <v/>
      </c>
      <c r="C8528">
        <f>IF(VLOOKUP(Table7[[#This Row],[Date]],Database!$A:$C,MATCH($C$1,Database!$A$1:$C$1,),)=0,#N/A,VLOOKUP(Table7[[#This Row],[Date]],Database!$A:$C,MATCH($C$1,Database!$A$1:$C$1,),))</f>
        <v/>
      </c>
      <c r="D8528">
        <f>IFERROR(Table7[[#This Row],[United States 10y]]-Table7[[#This Row],[United States 3y]],#N/A)</f>
        <v/>
      </c>
    </row>
    <row r="8529">
      <c r="A8529" s="6">
        <f>Database!$A10614</f>
        <v/>
      </c>
      <c r="B8529">
        <f>IF(VLOOKUP(Table7[[#This Row],[Date]],Database!$A:$C,MATCH($B$1,Database!$A$1:$C$1,),)=0,#N/A,VLOOKUP(Table7[[#This Row],[Date]],Database!$A:$C,MATCH($B$1,Database!$A$1:$C$1,),))</f>
        <v/>
      </c>
      <c r="C8529">
        <f>IF(VLOOKUP(Table7[[#This Row],[Date]],Database!$A:$C,MATCH($C$1,Database!$A$1:$C$1,),)=0,#N/A,VLOOKUP(Table7[[#This Row],[Date]],Database!$A:$C,MATCH($C$1,Database!$A$1:$C$1,),))</f>
        <v/>
      </c>
      <c r="D8529">
        <f>IFERROR(Table7[[#This Row],[United States 10y]]-Table7[[#This Row],[United States 3y]],#N/A)</f>
        <v/>
      </c>
    </row>
    <row r="8530">
      <c r="A8530" s="6">
        <f>Database!$A10615</f>
        <v/>
      </c>
      <c r="B8530">
        <f>IF(VLOOKUP(Table7[[#This Row],[Date]],Database!$A:$C,MATCH($B$1,Database!$A$1:$C$1,),)=0,#N/A,VLOOKUP(Table7[[#This Row],[Date]],Database!$A:$C,MATCH($B$1,Database!$A$1:$C$1,),))</f>
        <v/>
      </c>
      <c r="C8530">
        <f>IF(VLOOKUP(Table7[[#This Row],[Date]],Database!$A:$C,MATCH($C$1,Database!$A$1:$C$1,),)=0,#N/A,VLOOKUP(Table7[[#This Row],[Date]],Database!$A:$C,MATCH($C$1,Database!$A$1:$C$1,),))</f>
        <v/>
      </c>
      <c r="D8530">
        <f>IFERROR(Table7[[#This Row],[United States 10y]]-Table7[[#This Row],[United States 3y]],#N/A)</f>
        <v/>
      </c>
    </row>
    <row r="8531">
      <c r="A8531" s="6">
        <f>Database!$A10616</f>
        <v/>
      </c>
      <c r="B8531">
        <f>IF(VLOOKUP(Table7[[#This Row],[Date]],Database!$A:$C,MATCH($B$1,Database!$A$1:$C$1,),)=0,#N/A,VLOOKUP(Table7[[#This Row],[Date]],Database!$A:$C,MATCH($B$1,Database!$A$1:$C$1,),))</f>
        <v/>
      </c>
      <c r="C8531">
        <f>IF(VLOOKUP(Table7[[#This Row],[Date]],Database!$A:$C,MATCH($C$1,Database!$A$1:$C$1,),)=0,#N/A,VLOOKUP(Table7[[#This Row],[Date]],Database!$A:$C,MATCH($C$1,Database!$A$1:$C$1,),))</f>
        <v/>
      </c>
      <c r="D8531">
        <f>IFERROR(Table7[[#This Row],[United States 10y]]-Table7[[#This Row],[United States 3y]],#N/A)</f>
        <v/>
      </c>
    </row>
    <row r="8532">
      <c r="A8532" s="6">
        <f>Database!$A10617</f>
        <v/>
      </c>
      <c r="B8532">
        <f>IF(VLOOKUP(Table7[[#This Row],[Date]],Database!$A:$C,MATCH($B$1,Database!$A$1:$C$1,),)=0,#N/A,VLOOKUP(Table7[[#This Row],[Date]],Database!$A:$C,MATCH($B$1,Database!$A$1:$C$1,),))</f>
        <v/>
      </c>
      <c r="C8532">
        <f>IF(VLOOKUP(Table7[[#This Row],[Date]],Database!$A:$C,MATCH($C$1,Database!$A$1:$C$1,),)=0,#N/A,VLOOKUP(Table7[[#This Row],[Date]],Database!$A:$C,MATCH($C$1,Database!$A$1:$C$1,),))</f>
        <v/>
      </c>
      <c r="D8532">
        <f>IFERROR(Table7[[#This Row],[United States 10y]]-Table7[[#This Row],[United States 3y]],#N/A)</f>
        <v/>
      </c>
    </row>
    <row r="8533">
      <c r="A8533" s="6">
        <f>Database!$A10618</f>
        <v/>
      </c>
      <c r="B8533">
        <f>IF(VLOOKUP(Table7[[#This Row],[Date]],Database!$A:$C,MATCH($B$1,Database!$A$1:$C$1,),)=0,#N/A,VLOOKUP(Table7[[#This Row],[Date]],Database!$A:$C,MATCH($B$1,Database!$A$1:$C$1,),))</f>
        <v/>
      </c>
      <c r="C8533">
        <f>IF(VLOOKUP(Table7[[#This Row],[Date]],Database!$A:$C,MATCH($C$1,Database!$A$1:$C$1,),)=0,#N/A,VLOOKUP(Table7[[#This Row],[Date]],Database!$A:$C,MATCH($C$1,Database!$A$1:$C$1,),))</f>
        <v/>
      </c>
      <c r="D8533">
        <f>IFERROR(Table7[[#This Row],[United States 10y]]-Table7[[#This Row],[United States 3y]],#N/A)</f>
        <v/>
      </c>
    </row>
    <row r="8534">
      <c r="A8534" s="6">
        <f>Database!$A10619</f>
        <v/>
      </c>
      <c r="B8534">
        <f>IF(VLOOKUP(Table7[[#This Row],[Date]],Database!$A:$C,MATCH($B$1,Database!$A$1:$C$1,),)=0,#N/A,VLOOKUP(Table7[[#This Row],[Date]],Database!$A:$C,MATCH($B$1,Database!$A$1:$C$1,),))</f>
        <v/>
      </c>
      <c r="C8534">
        <f>IF(VLOOKUP(Table7[[#This Row],[Date]],Database!$A:$C,MATCH($C$1,Database!$A$1:$C$1,),)=0,#N/A,VLOOKUP(Table7[[#This Row],[Date]],Database!$A:$C,MATCH($C$1,Database!$A$1:$C$1,),))</f>
        <v/>
      </c>
      <c r="D8534">
        <f>IFERROR(Table7[[#This Row],[United States 10y]]-Table7[[#This Row],[United States 3y]],#N/A)</f>
        <v/>
      </c>
    </row>
    <row r="8535">
      <c r="A8535" s="6">
        <f>Database!$A10620</f>
        <v/>
      </c>
      <c r="B8535">
        <f>IF(VLOOKUP(Table7[[#This Row],[Date]],Database!$A:$C,MATCH($B$1,Database!$A$1:$C$1,),)=0,#N/A,VLOOKUP(Table7[[#This Row],[Date]],Database!$A:$C,MATCH($B$1,Database!$A$1:$C$1,),))</f>
        <v/>
      </c>
      <c r="C8535">
        <f>IF(VLOOKUP(Table7[[#This Row],[Date]],Database!$A:$C,MATCH($C$1,Database!$A$1:$C$1,),)=0,#N/A,VLOOKUP(Table7[[#This Row],[Date]],Database!$A:$C,MATCH($C$1,Database!$A$1:$C$1,),))</f>
        <v/>
      </c>
      <c r="D8535">
        <f>IFERROR(Table7[[#This Row],[United States 10y]]-Table7[[#This Row],[United States 3y]],#N/A)</f>
        <v/>
      </c>
    </row>
    <row r="8536">
      <c r="A8536" s="6">
        <f>Database!$A10621</f>
        <v/>
      </c>
      <c r="B8536">
        <f>IF(VLOOKUP(Table7[[#This Row],[Date]],Database!$A:$C,MATCH($B$1,Database!$A$1:$C$1,),)=0,#N/A,VLOOKUP(Table7[[#This Row],[Date]],Database!$A:$C,MATCH($B$1,Database!$A$1:$C$1,),))</f>
        <v/>
      </c>
      <c r="C8536">
        <f>IF(VLOOKUP(Table7[[#This Row],[Date]],Database!$A:$C,MATCH($C$1,Database!$A$1:$C$1,),)=0,#N/A,VLOOKUP(Table7[[#This Row],[Date]],Database!$A:$C,MATCH($C$1,Database!$A$1:$C$1,),))</f>
        <v/>
      </c>
      <c r="D8536">
        <f>IFERROR(Table7[[#This Row],[United States 10y]]-Table7[[#This Row],[United States 3y]],#N/A)</f>
        <v/>
      </c>
    </row>
    <row r="8537">
      <c r="A8537" s="6">
        <f>Database!$A10622</f>
        <v/>
      </c>
      <c r="B8537">
        <f>IF(VLOOKUP(Table7[[#This Row],[Date]],Database!$A:$C,MATCH($B$1,Database!$A$1:$C$1,),)=0,#N/A,VLOOKUP(Table7[[#This Row],[Date]],Database!$A:$C,MATCH($B$1,Database!$A$1:$C$1,),))</f>
        <v/>
      </c>
      <c r="C8537">
        <f>IF(VLOOKUP(Table7[[#This Row],[Date]],Database!$A:$C,MATCH($C$1,Database!$A$1:$C$1,),)=0,#N/A,VLOOKUP(Table7[[#This Row],[Date]],Database!$A:$C,MATCH($C$1,Database!$A$1:$C$1,),))</f>
        <v/>
      </c>
      <c r="D8537">
        <f>IFERROR(Table7[[#This Row],[United States 10y]]-Table7[[#This Row],[United States 3y]],#N/A)</f>
        <v/>
      </c>
    </row>
    <row r="8538">
      <c r="A8538" s="6">
        <f>Database!$A10623</f>
        <v/>
      </c>
      <c r="B8538">
        <f>IF(VLOOKUP(Table7[[#This Row],[Date]],Database!$A:$C,MATCH($B$1,Database!$A$1:$C$1,),)=0,#N/A,VLOOKUP(Table7[[#This Row],[Date]],Database!$A:$C,MATCH($B$1,Database!$A$1:$C$1,),))</f>
        <v/>
      </c>
      <c r="C8538">
        <f>IF(VLOOKUP(Table7[[#This Row],[Date]],Database!$A:$C,MATCH($C$1,Database!$A$1:$C$1,),)=0,#N/A,VLOOKUP(Table7[[#This Row],[Date]],Database!$A:$C,MATCH($C$1,Database!$A$1:$C$1,),))</f>
        <v/>
      </c>
      <c r="D8538">
        <f>IFERROR(Table7[[#This Row],[United States 10y]]-Table7[[#This Row],[United States 3y]],#N/A)</f>
        <v/>
      </c>
    </row>
    <row r="8539">
      <c r="A8539" s="6">
        <f>Database!$A10624</f>
        <v/>
      </c>
      <c r="B8539">
        <f>IF(VLOOKUP(Table7[[#This Row],[Date]],Database!$A:$C,MATCH($B$1,Database!$A$1:$C$1,),)=0,#N/A,VLOOKUP(Table7[[#This Row],[Date]],Database!$A:$C,MATCH($B$1,Database!$A$1:$C$1,),))</f>
        <v/>
      </c>
      <c r="C8539">
        <f>IF(VLOOKUP(Table7[[#This Row],[Date]],Database!$A:$C,MATCH($C$1,Database!$A$1:$C$1,),)=0,#N/A,VLOOKUP(Table7[[#This Row],[Date]],Database!$A:$C,MATCH($C$1,Database!$A$1:$C$1,),))</f>
        <v/>
      </c>
      <c r="D8539">
        <f>IFERROR(Table7[[#This Row],[United States 10y]]-Table7[[#This Row],[United States 3y]],#N/A)</f>
        <v/>
      </c>
    </row>
    <row r="8540">
      <c r="A8540" s="6">
        <f>Database!$A10625</f>
        <v/>
      </c>
      <c r="B8540">
        <f>IF(VLOOKUP(Table7[[#This Row],[Date]],Database!$A:$C,MATCH($B$1,Database!$A$1:$C$1,),)=0,#N/A,VLOOKUP(Table7[[#This Row],[Date]],Database!$A:$C,MATCH($B$1,Database!$A$1:$C$1,),))</f>
        <v/>
      </c>
      <c r="C8540">
        <f>IF(VLOOKUP(Table7[[#This Row],[Date]],Database!$A:$C,MATCH($C$1,Database!$A$1:$C$1,),)=0,#N/A,VLOOKUP(Table7[[#This Row],[Date]],Database!$A:$C,MATCH($C$1,Database!$A$1:$C$1,),))</f>
        <v/>
      </c>
      <c r="D8540">
        <f>IFERROR(Table7[[#This Row],[United States 10y]]-Table7[[#This Row],[United States 3y]],#N/A)</f>
        <v/>
      </c>
    </row>
    <row r="8541">
      <c r="A8541" s="6">
        <f>Database!$A10626</f>
        <v/>
      </c>
      <c r="B8541">
        <f>IF(VLOOKUP(Table7[[#This Row],[Date]],Database!$A:$C,MATCH($B$1,Database!$A$1:$C$1,),)=0,#N/A,VLOOKUP(Table7[[#This Row],[Date]],Database!$A:$C,MATCH($B$1,Database!$A$1:$C$1,),))</f>
        <v/>
      </c>
      <c r="C8541">
        <f>IF(VLOOKUP(Table7[[#This Row],[Date]],Database!$A:$C,MATCH($C$1,Database!$A$1:$C$1,),)=0,#N/A,VLOOKUP(Table7[[#This Row],[Date]],Database!$A:$C,MATCH($C$1,Database!$A$1:$C$1,),))</f>
        <v/>
      </c>
      <c r="D8541">
        <f>IFERROR(Table7[[#This Row],[United States 10y]]-Table7[[#This Row],[United States 3y]],#N/A)</f>
        <v/>
      </c>
    </row>
    <row r="8542">
      <c r="A8542" s="6">
        <f>Database!$A10627</f>
        <v/>
      </c>
      <c r="B8542">
        <f>IF(VLOOKUP(Table7[[#This Row],[Date]],Database!$A:$C,MATCH($B$1,Database!$A$1:$C$1,),)=0,#N/A,VLOOKUP(Table7[[#This Row],[Date]],Database!$A:$C,MATCH($B$1,Database!$A$1:$C$1,),))</f>
        <v/>
      </c>
      <c r="C8542">
        <f>IF(VLOOKUP(Table7[[#This Row],[Date]],Database!$A:$C,MATCH($C$1,Database!$A$1:$C$1,),)=0,#N/A,VLOOKUP(Table7[[#This Row],[Date]],Database!$A:$C,MATCH($C$1,Database!$A$1:$C$1,),))</f>
        <v/>
      </c>
      <c r="D8542">
        <f>IFERROR(Table7[[#This Row],[United States 10y]]-Table7[[#This Row],[United States 3y]],#N/A)</f>
        <v/>
      </c>
    </row>
    <row r="8543">
      <c r="A8543" s="6">
        <f>Database!$A10628</f>
        <v/>
      </c>
      <c r="B8543">
        <f>IF(VLOOKUP(Table7[[#This Row],[Date]],Database!$A:$C,MATCH($B$1,Database!$A$1:$C$1,),)=0,#N/A,VLOOKUP(Table7[[#This Row],[Date]],Database!$A:$C,MATCH($B$1,Database!$A$1:$C$1,),))</f>
        <v/>
      </c>
      <c r="C8543">
        <f>IF(VLOOKUP(Table7[[#This Row],[Date]],Database!$A:$C,MATCH($C$1,Database!$A$1:$C$1,),)=0,#N/A,VLOOKUP(Table7[[#This Row],[Date]],Database!$A:$C,MATCH($C$1,Database!$A$1:$C$1,),))</f>
        <v/>
      </c>
      <c r="D8543">
        <f>IFERROR(Table7[[#This Row],[United States 10y]]-Table7[[#This Row],[United States 3y]],#N/A)</f>
        <v/>
      </c>
    </row>
    <row r="8544">
      <c r="A8544" s="6">
        <f>Database!$A10629</f>
        <v/>
      </c>
      <c r="B8544">
        <f>IF(VLOOKUP(Table7[[#This Row],[Date]],Database!$A:$C,MATCH($B$1,Database!$A$1:$C$1,),)=0,#N/A,VLOOKUP(Table7[[#This Row],[Date]],Database!$A:$C,MATCH($B$1,Database!$A$1:$C$1,),))</f>
        <v/>
      </c>
      <c r="C8544">
        <f>IF(VLOOKUP(Table7[[#This Row],[Date]],Database!$A:$C,MATCH($C$1,Database!$A$1:$C$1,),)=0,#N/A,VLOOKUP(Table7[[#This Row],[Date]],Database!$A:$C,MATCH($C$1,Database!$A$1:$C$1,),))</f>
        <v/>
      </c>
      <c r="D8544">
        <f>IFERROR(Table7[[#This Row],[United States 10y]]-Table7[[#This Row],[United States 3y]],#N/A)</f>
        <v/>
      </c>
    </row>
    <row r="8545">
      <c r="A8545" s="6">
        <f>Database!$A10630</f>
        <v/>
      </c>
      <c r="B8545">
        <f>IF(VLOOKUP(Table7[[#This Row],[Date]],Database!$A:$C,MATCH($B$1,Database!$A$1:$C$1,),)=0,#N/A,VLOOKUP(Table7[[#This Row],[Date]],Database!$A:$C,MATCH($B$1,Database!$A$1:$C$1,),))</f>
        <v/>
      </c>
      <c r="C8545">
        <f>IF(VLOOKUP(Table7[[#This Row],[Date]],Database!$A:$C,MATCH($C$1,Database!$A$1:$C$1,),)=0,#N/A,VLOOKUP(Table7[[#This Row],[Date]],Database!$A:$C,MATCH($C$1,Database!$A$1:$C$1,),))</f>
        <v/>
      </c>
      <c r="D8545">
        <f>IFERROR(Table7[[#This Row],[United States 10y]]-Table7[[#This Row],[United States 3y]],#N/A)</f>
        <v/>
      </c>
    </row>
    <row r="8546">
      <c r="A8546" s="6">
        <f>Database!$A10631</f>
        <v/>
      </c>
      <c r="B8546">
        <f>IF(VLOOKUP(Table7[[#This Row],[Date]],Database!$A:$C,MATCH($B$1,Database!$A$1:$C$1,),)=0,#N/A,VLOOKUP(Table7[[#This Row],[Date]],Database!$A:$C,MATCH($B$1,Database!$A$1:$C$1,),))</f>
        <v/>
      </c>
      <c r="C8546">
        <f>IF(VLOOKUP(Table7[[#This Row],[Date]],Database!$A:$C,MATCH($C$1,Database!$A$1:$C$1,),)=0,#N/A,VLOOKUP(Table7[[#This Row],[Date]],Database!$A:$C,MATCH($C$1,Database!$A$1:$C$1,),))</f>
        <v/>
      </c>
      <c r="D8546">
        <f>IFERROR(Table7[[#This Row],[United States 10y]]-Table7[[#This Row],[United States 3y]],#N/A)</f>
        <v/>
      </c>
    </row>
    <row r="8547">
      <c r="A8547" s="6">
        <f>Database!$A10632</f>
        <v/>
      </c>
      <c r="B8547">
        <f>IF(VLOOKUP(Table7[[#This Row],[Date]],Database!$A:$C,MATCH($B$1,Database!$A$1:$C$1,),)=0,#N/A,VLOOKUP(Table7[[#This Row],[Date]],Database!$A:$C,MATCH($B$1,Database!$A$1:$C$1,),))</f>
        <v/>
      </c>
      <c r="C8547">
        <f>IF(VLOOKUP(Table7[[#This Row],[Date]],Database!$A:$C,MATCH($C$1,Database!$A$1:$C$1,),)=0,#N/A,VLOOKUP(Table7[[#This Row],[Date]],Database!$A:$C,MATCH($C$1,Database!$A$1:$C$1,),))</f>
        <v/>
      </c>
      <c r="D8547">
        <f>IFERROR(Table7[[#This Row],[United States 10y]]-Table7[[#This Row],[United States 3y]],#N/A)</f>
        <v/>
      </c>
    </row>
    <row r="8548">
      <c r="A8548" s="6">
        <f>Database!$A10633</f>
        <v/>
      </c>
      <c r="B8548">
        <f>IF(VLOOKUP(Table7[[#This Row],[Date]],Database!$A:$C,MATCH($B$1,Database!$A$1:$C$1,),)=0,#N/A,VLOOKUP(Table7[[#This Row],[Date]],Database!$A:$C,MATCH($B$1,Database!$A$1:$C$1,),))</f>
        <v/>
      </c>
      <c r="C8548">
        <f>IF(VLOOKUP(Table7[[#This Row],[Date]],Database!$A:$C,MATCH($C$1,Database!$A$1:$C$1,),)=0,#N/A,VLOOKUP(Table7[[#This Row],[Date]],Database!$A:$C,MATCH($C$1,Database!$A$1:$C$1,),))</f>
        <v/>
      </c>
      <c r="D8548">
        <f>IFERROR(Table7[[#This Row],[United States 10y]]-Table7[[#This Row],[United States 3y]],#N/A)</f>
        <v/>
      </c>
    </row>
    <row r="8549">
      <c r="A8549" s="6">
        <f>Database!$A10634</f>
        <v/>
      </c>
      <c r="B8549">
        <f>IF(VLOOKUP(Table7[[#This Row],[Date]],Database!$A:$C,MATCH($B$1,Database!$A$1:$C$1,),)=0,#N/A,VLOOKUP(Table7[[#This Row],[Date]],Database!$A:$C,MATCH($B$1,Database!$A$1:$C$1,),))</f>
        <v/>
      </c>
      <c r="C8549">
        <f>IF(VLOOKUP(Table7[[#This Row],[Date]],Database!$A:$C,MATCH($C$1,Database!$A$1:$C$1,),)=0,#N/A,VLOOKUP(Table7[[#This Row],[Date]],Database!$A:$C,MATCH($C$1,Database!$A$1:$C$1,),))</f>
        <v/>
      </c>
      <c r="D8549">
        <f>IFERROR(Table7[[#This Row],[United States 10y]]-Table7[[#This Row],[United States 3y]],#N/A)</f>
        <v/>
      </c>
    </row>
    <row r="8550">
      <c r="A8550" s="6">
        <f>Database!$A10635</f>
        <v/>
      </c>
      <c r="B8550">
        <f>IF(VLOOKUP(Table7[[#This Row],[Date]],Database!$A:$C,MATCH($B$1,Database!$A$1:$C$1,),)=0,#N/A,VLOOKUP(Table7[[#This Row],[Date]],Database!$A:$C,MATCH($B$1,Database!$A$1:$C$1,),))</f>
        <v/>
      </c>
      <c r="C8550">
        <f>IF(VLOOKUP(Table7[[#This Row],[Date]],Database!$A:$C,MATCH($C$1,Database!$A$1:$C$1,),)=0,#N/A,VLOOKUP(Table7[[#This Row],[Date]],Database!$A:$C,MATCH($C$1,Database!$A$1:$C$1,),))</f>
        <v/>
      </c>
      <c r="D8550">
        <f>IFERROR(Table7[[#This Row],[United States 10y]]-Table7[[#This Row],[United States 3y]],#N/A)</f>
        <v/>
      </c>
    </row>
    <row r="8551">
      <c r="A8551" s="6">
        <f>Database!$A10636</f>
        <v/>
      </c>
      <c r="B8551">
        <f>IF(VLOOKUP(Table7[[#This Row],[Date]],Database!$A:$C,MATCH($B$1,Database!$A$1:$C$1,),)=0,#N/A,VLOOKUP(Table7[[#This Row],[Date]],Database!$A:$C,MATCH($B$1,Database!$A$1:$C$1,),))</f>
        <v/>
      </c>
      <c r="C8551">
        <f>IF(VLOOKUP(Table7[[#This Row],[Date]],Database!$A:$C,MATCH($C$1,Database!$A$1:$C$1,),)=0,#N/A,VLOOKUP(Table7[[#This Row],[Date]],Database!$A:$C,MATCH($C$1,Database!$A$1:$C$1,),))</f>
        <v/>
      </c>
      <c r="D8551">
        <f>IFERROR(Table7[[#This Row],[United States 10y]]-Table7[[#This Row],[United States 3y]],#N/A)</f>
        <v/>
      </c>
    </row>
    <row r="8552">
      <c r="A8552" s="6">
        <f>Database!$A10637</f>
        <v/>
      </c>
      <c r="B8552">
        <f>IF(VLOOKUP(Table7[[#This Row],[Date]],Database!$A:$C,MATCH($B$1,Database!$A$1:$C$1,),)=0,#N/A,VLOOKUP(Table7[[#This Row],[Date]],Database!$A:$C,MATCH($B$1,Database!$A$1:$C$1,),))</f>
        <v/>
      </c>
      <c r="C8552">
        <f>IF(VLOOKUP(Table7[[#This Row],[Date]],Database!$A:$C,MATCH($C$1,Database!$A$1:$C$1,),)=0,#N/A,VLOOKUP(Table7[[#This Row],[Date]],Database!$A:$C,MATCH($C$1,Database!$A$1:$C$1,),))</f>
        <v/>
      </c>
      <c r="D8552">
        <f>IFERROR(Table7[[#This Row],[United States 10y]]-Table7[[#This Row],[United States 3y]],#N/A)</f>
        <v/>
      </c>
    </row>
    <row r="8553">
      <c r="A8553" s="6">
        <f>Database!$A10638</f>
        <v/>
      </c>
      <c r="B8553">
        <f>IF(VLOOKUP(Table7[[#This Row],[Date]],Database!$A:$C,MATCH($B$1,Database!$A$1:$C$1,),)=0,#N/A,VLOOKUP(Table7[[#This Row],[Date]],Database!$A:$C,MATCH($B$1,Database!$A$1:$C$1,),))</f>
        <v/>
      </c>
      <c r="C8553">
        <f>IF(VLOOKUP(Table7[[#This Row],[Date]],Database!$A:$C,MATCH($C$1,Database!$A$1:$C$1,),)=0,#N/A,VLOOKUP(Table7[[#This Row],[Date]],Database!$A:$C,MATCH($C$1,Database!$A$1:$C$1,),))</f>
        <v/>
      </c>
      <c r="D8553">
        <f>IFERROR(Table7[[#This Row],[United States 10y]]-Table7[[#This Row],[United States 3y]],#N/A)</f>
        <v/>
      </c>
    </row>
    <row r="8554">
      <c r="A8554" s="6">
        <f>Database!$A10639</f>
        <v/>
      </c>
      <c r="B8554">
        <f>IF(VLOOKUP(Table7[[#This Row],[Date]],Database!$A:$C,MATCH($B$1,Database!$A$1:$C$1,),)=0,#N/A,VLOOKUP(Table7[[#This Row],[Date]],Database!$A:$C,MATCH($B$1,Database!$A$1:$C$1,),))</f>
        <v/>
      </c>
      <c r="C8554">
        <f>IF(VLOOKUP(Table7[[#This Row],[Date]],Database!$A:$C,MATCH($C$1,Database!$A$1:$C$1,),)=0,#N/A,VLOOKUP(Table7[[#This Row],[Date]],Database!$A:$C,MATCH($C$1,Database!$A$1:$C$1,),))</f>
        <v/>
      </c>
      <c r="D8554">
        <f>IFERROR(Table7[[#This Row],[United States 10y]]-Table7[[#This Row],[United States 3y]],#N/A)</f>
        <v/>
      </c>
    </row>
    <row r="8555">
      <c r="A8555" s="6">
        <f>Database!$A10640</f>
        <v/>
      </c>
      <c r="B8555">
        <f>IF(VLOOKUP(Table7[[#This Row],[Date]],Database!$A:$C,MATCH($B$1,Database!$A$1:$C$1,),)=0,#N/A,VLOOKUP(Table7[[#This Row],[Date]],Database!$A:$C,MATCH($B$1,Database!$A$1:$C$1,),))</f>
        <v/>
      </c>
      <c r="C8555">
        <f>IF(VLOOKUP(Table7[[#This Row],[Date]],Database!$A:$C,MATCH($C$1,Database!$A$1:$C$1,),)=0,#N/A,VLOOKUP(Table7[[#This Row],[Date]],Database!$A:$C,MATCH($C$1,Database!$A$1:$C$1,),))</f>
        <v/>
      </c>
      <c r="D8555">
        <f>IFERROR(Table7[[#This Row],[United States 10y]]-Table7[[#This Row],[United States 3y]],#N/A)</f>
        <v/>
      </c>
    </row>
    <row r="8556">
      <c r="A8556" s="6">
        <f>Database!$A10641</f>
        <v/>
      </c>
      <c r="B8556">
        <f>IF(VLOOKUP(Table7[[#This Row],[Date]],Database!$A:$C,MATCH($B$1,Database!$A$1:$C$1,),)=0,#N/A,VLOOKUP(Table7[[#This Row],[Date]],Database!$A:$C,MATCH($B$1,Database!$A$1:$C$1,),))</f>
        <v/>
      </c>
      <c r="C8556">
        <f>IF(VLOOKUP(Table7[[#This Row],[Date]],Database!$A:$C,MATCH($C$1,Database!$A$1:$C$1,),)=0,#N/A,VLOOKUP(Table7[[#This Row],[Date]],Database!$A:$C,MATCH($C$1,Database!$A$1:$C$1,),))</f>
        <v/>
      </c>
      <c r="D8556">
        <f>IFERROR(Table7[[#This Row],[United States 10y]]-Table7[[#This Row],[United States 3y]],#N/A)</f>
        <v/>
      </c>
    </row>
    <row r="8557">
      <c r="A8557" s="6">
        <f>Database!$A10642</f>
        <v/>
      </c>
      <c r="B8557">
        <f>IF(VLOOKUP(Table7[[#This Row],[Date]],Database!$A:$C,MATCH($B$1,Database!$A$1:$C$1,),)=0,#N/A,VLOOKUP(Table7[[#This Row],[Date]],Database!$A:$C,MATCH($B$1,Database!$A$1:$C$1,),))</f>
        <v/>
      </c>
      <c r="C8557">
        <f>IF(VLOOKUP(Table7[[#This Row],[Date]],Database!$A:$C,MATCH($C$1,Database!$A$1:$C$1,),)=0,#N/A,VLOOKUP(Table7[[#This Row],[Date]],Database!$A:$C,MATCH($C$1,Database!$A$1:$C$1,),))</f>
        <v/>
      </c>
      <c r="D8557">
        <f>IFERROR(Table7[[#This Row],[United States 10y]]-Table7[[#This Row],[United States 3y]],#N/A)</f>
        <v/>
      </c>
    </row>
    <row r="8558">
      <c r="A8558" s="6">
        <f>Database!$A10643</f>
        <v/>
      </c>
      <c r="B8558">
        <f>IF(VLOOKUP(Table7[[#This Row],[Date]],Database!$A:$C,MATCH($B$1,Database!$A$1:$C$1,),)=0,#N/A,VLOOKUP(Table7[[#This Row],[Date]],Database!$A:$C,MATCH($B$1,Database!$A$1:$C$1,),))</f>
        <v/>
      </c>
      <c r="C8558">
        <f>IF(VLOOKUP(Table7[[#This Row],[Date]],Database!$A:$C,MATCH($C$1,Database!$A$1:$C$1,),)=0,#N/A,VLOOKUP(Table7[[#This Row],[Date]],Database!$A:$C,MATCH($C$1,Database!$A$1:$C$1,),))</f>
        <v/>
      </c>
      <c r="D8558">
        <f>IFERROR(Table7[[#This Row],[United States 10y]]-Table7[[#This Row],[United States 3y]],#N/A)</f>
        <v/>
      </c>
    </row>
    <row r="8559">
      <c r="A8559" s="6">
        <f>Database!$A10644</f>
        <v/>
      </c>
      <c r="B8559">
        <f>IF(VLOOKUP(Table7[[#This Row],[Date]],Database!$A:$C,MATCH($B$1,Database!$A$1:$C$1,),)=0,#N/A,VLOOKUP(Table7[[#This Row],[Date]],Database!$A:$C,MATCH($B$1,Database!$A$1:$C$1,),))</f>
        <v/>
      </c>
      <c r="C8559">
        <f>IF(VLOOKUP(Table7[[#This Row],[Date]],Database!$A:$C,MATCH($C$1,Database!$A$1:$C$1,),)=0,#N/A,VLOOKUP(Table7[[#This Row],[Date]],Database!$A:$C,MATCH($C$1,Database!$A$1:$C$1,),))</f>
        <v/>
      </c>
      <c r="D8559">
        <f>IFERROR(Table7[[#This Row],[United States 10y]]-Table7[[#This Row],[United States 3y]],#N/A)</f>
        <v/>
      </c>
    </row>
    <row r="8560">
      <c r="A8560" s="6">
        <f>Database!$A10645</f>
        <v/>
      </c>
      <c r="B8560">
        <f>IF(VLOOKUP(Table7[[#This Row],[Date]],Database!$A:$C,MATCH($B$1,Database!$A$1:$C$1,),)=0,#N/A,VLOOKUP(Table7[[#This Row],[Date]],Database!$A:$C,MATCH($B$1,Database!$A$1:$C$1,),))</f>
        <v/>
      </c>
      <c r="C8560">
        <f>IF(VLOOKUP(Table7[[#This Row],[Date]],Database!$A:$C,MATCH($C$1,Database!$A$1:$C$1,),)=0,#N/A,VLOOKUP(Table7[[#This Row],[Date]],Database!$A:$C,MATCH($C$1,Database!$A$1:$C$1,),))</f>
        <v/>
      </c>
      <c r="D8560">
        <f>IFERROR(Table7[[#This Row],[United States 10y]]-Table7[[#This Row],[United States 3y]],#N/A)</f>
        <v/>
      </c>
    </row>
    <row r="8561">
      <c r="A8561" s="6">
        <f>Database!$A10646</f>
        <v/>
      </c>
      <c r="B8561">
        <f>IF(VLOOKUP(Table7[[#This Row],[Date]],Database!$A:$C,MATCH($B$1,Database!$A$1:$C$1,),)=0,#N/A,VLOOKUP(Table7[[#This Row],[Date]],Database!$A:$C,MATCH($B$1,Database!$A$1:$C$1,),))</f>
        <v/>
      </c>
      <c r="C8561">
        <f>IF(VLOOKUP(Table7[[#This Row],[Date]],Database!$A:$C,MATCH($C$1,Database!$A$1:$C$1,),)=0,#N/A,VLOOKUP(Table7[[#This Row],[Date]],Database!$A:$C,MATCH($C$1,Database!$A$1:$C$1,),))</f>
        <v/>
      </c>
      <c r="D8561">
        <f>IFERROR(Table7[[#This Row],[United States 10y]]-Table7[[#This Row],[United States 3y]],#N/A)</f>
        <v/>
      </c>
    </row>
    <row r="8562">
      <c r="A8562" s="6">
        <f>Database!$A10647</f>
        <v/>
      </c>
      <c r="B8562">
        <f>IF(VLOOKUP(Table7[[#This Row],[Date]],Database!$A:$C,MATCH($B$1,Database!$A$1:$C$1,),)=0,#N/A,VLOOKUP(Table7[[#This Row],[Date]],Database!$A:$C,MATCH($B$1,Database!$A$1:$C$1,),))</f>
        <v/>
      </c>
      <c r="C8562">
        <f>IF(VLOOKUP(Table7[[#This Row],[Date]],Database!$A:$C,MATCH($C$1,Database!$A$1:$C$1,),)=0,#N/A,VLOOKUP(Table7[[#This Row],[Date]],Database!$A:$C,MATCH($C$1,Database!$A$1:$C$1,),))</f>
        <v/>
      </c>
      <c r="D8562">
        <f>IFERROR(Table7[[#This Row],[United States 10y]]-Table7[[#This Row],[United States 3y]],#N/A)</f>
        <v/>
      </c>
    </row>
    <row r="8563">
      <c r="A8563" s="6">
        <f>Database!$A10648</f>
        <v/>
      </c>
      <c r="B8563">
        <f>IF(VLOOKUP(Table7[[#This Row],[Date]],Database!$A:$C,MATCH($B$1,Database!$A$1:$C$1,),)=0,#N/A,VLOOKUP(Table7[[#This Row],[Date]],Database!$A:$C,MATCH($B$1,Database!$A$1:$C$1,),))</f>
        <v/>
      </c>
      <c r="C8563">
        <f>IF(VLOOKUP(Table7[[#This Row],[Date]],Database!$A:$C,MATCH($C$1,Database!$A$1:$C$1,),)=0,#N/A,VLOOKUP(Table7[[#This Row],[Date]],Database!$A:$C,MATCH($C$1,Database!$A$1:$C$1,),))</f>
        <v/>
      </c>
      <c r="D8563">
        <f>IFERROR(Table7[[#This Row],[United States 10y]]-Table7[[#This Row],[United States 3y]],#N/A)</f>
        <v/>
      </c>
    </row>
    <row r="8564">
      <c r="A8564" s="6">
        <f>Database!$A10649</f>
        <v/>
      </c>
      <c r="B8564">
        <f>IF(VLOOKUP(Table7[[#This Row],[Date]],Database!$A:$C,MATCH($B$1,Database!$A$1:$C$1,),)=0,#N/A,VLOOKUP(Table7[[#This Row],[Date]],Database!$A:$C,MATCH($B$1,Database!$A$1:$C$1,),))</f>
        <v/>
      </c>
      <c r="C8564">
        <f>IF(VLOOKUP(Table7[[#This Row],[Date]],Database!$A:$C,MATCH($C$1,Database!$A$1:$C$1,),)=0,#N/A,VLOOKUP(Table7[[#This Row],[Date]],Database!$A:$C,MATCH($C$1,Database!$A$1:$C$1,),))</f>
        <v/>
      </c>
      <c r="D8564">
        <f>IFERROR(Table7[[#This Row],[United States 10y]]-Table7[[#This Row],[United States 3y]],#N/A)</f>
        <v/>
      </c>
    </row>
    <row r="8565">
      <c r="A8565" s="6">
        <f>Database!$A10650</f>
        <v/>
      </c>
      <c r="B8565">
        <f>IF(VLOOKUP(Table7[[#This Row],[Date]],Database!$A:$C,MATCH($B$1,Database!$A$1:$C$1,),)=0,#N/A,VLOOKUP(Table7[[#This Row],[Date]],Database!$A:$C,MATCH($B$1,Database!$A$1:$C$1,),))</f>
        <v/>
      </c>
      <c r="C8565">
        <f>IF(VLOOKUP(Table7[[#This Row],[Date]],Database!$A:$C,MATCH($C$1,Database!$A$1:$C$1,),)=0,#N/A,VLOOKUP(Table7[[#This Row],[Date]],Database!$A:$C,MATCH($C$1,Database!$A$1:$C$1,),))</f>
        <v/>
      </c>
      <c r="D8565">
        <f>IFERROR(Table7[[#This Row],[United States 10y]]-Table7[[#This Row],[United States 3y]],#N/A)</f>
        <v/>
      </c>
    </row>
    <row r="8566">
      <c r="A8566" s="6">
        <f>Database!$A10651</f>
        <v/>
      </c>
      <c r="B8566">
        <f>IF(VLOOKUP(Table7[[#This Row],[Date]],Database!$A:$C,MATCH($B$1,Database!$A$1:$C$1,),)=0,#N/A,VLOOKUP(Table7[[#This Row],[Date]],Database!$A:$C,MATCH($B$1,Database!$A$1:$C$1,),))</f>
        <v/>
      </c>
      <c r="C8566">
        <f>IF(VLOOKUP(Table7[[#This Row],[Date]],Database!$A:$C,MATCH($C$1,Database!$A$1:$C$1,),)=0,#N/A,VLOOKUP(Table7[[#This Row],[Date]],Database!$A:$C,MATCH($C$1,Database!$A$1:$C$1,),))</f>
        <v/>
      </c>
      <c r="D8566">
        <f>IFERROR(Table7[[#This Row],[United States 10y]]-Table7[[#This Row],[United States 3y]],#N/A)</f>
        <v/>
      </c>
    </row>
    <row r="8567">
      <c r="A8567" s="6">
        <f>Database!$A10652</f>
        <v/>
      </c>
      <c r="B8567">
        <f>IF(VLOOKUP(Table7[[#This Row],[Date]],Database!$A:$C,MATCH($B$1,Database!$A$1:$C$1,),)=0,#N/A,VLOOKUP(Table7[[#This Row],[Date]],Database!$A:$C,MATCH($B$1,Database!$A$1:$C$1,),))</f>
        <v/>
      </c>
      <c r="C8567">
        <f>IF(VLOOKUP(Table7[[#This Row],[Date]],Database!$A:$C,MATCH($C$1,Database!$A$1:$C$1,),)=0,#N/A,VLOOKUP(Table7[[#This Row],[Date]],Database!$A:$C,MATCH($C$1,Database!$A$1:$C$1,),))</f>
        <v/>
      </c>
      <c r="D8567">
        <f>IFERROR(Table7[[#This Row],[United States 10y]]-Table7[[#This Row],[United States 3y]],#N/A)</f>
        <v/>
      </c>
    </row>
    <row r="8568">
      <c r="A8568" s="6">
        <f>Database!$A10653</f>
        <v/>
      </c>
      <c r="B8568">
        <f>IF(VLOOKUP(Table7[[#This Row],[Date]],Database!$A:$C,MATCH($B$1,Database!$A$1:$C$1,),)=0,#N/A,VLOOKUP(Table7[[#This Row],[Date]],Database!$A:$C,MATCH($B$1,Database!$A$1:$C$1,),))</f>
        <v/>
      </c>
      <c r="C8568">
        <f>IF(VLOOKUP(Table7[[#This Row],[Date]],Database!$A:$C,MATCH($C$1,Database!$A$1:$C$1,),)=0,#N/A,VLOOKUP(Table7[[#This Row],[Date]],Database!$A:$C,MATCH($C$1,Database!$A$1:$C$1,),))</f>
        <v/>
      </c>
      <c r="D8568">
        <f>IFERROR(Table7[[#This Row],[United States 10y]]-Table7[[#This Row],[United States 3y]],#N/A)</f>
        <v/>
      </c>
    </row>
    <row r="8569">
      <c r="A8569" s="6">
        <f>Database!$A10654</f>
        <v/>
      </c>
      <c r="B8569">
        <f>IF(VLOOKUP(Table7[[#This Row],[Date]],Database!$A:$C,MATCH($B$1,Database!$A$1:$C$1,),)=0,#N/A,VLOOKUP(Table7[[#This Row],[Date]],Database!$A:$C,MATCH($B$1,Database!$A$1:$C$1,),))</f>
        <v/>
      </c>
      <c r="C8569">
        <f>IF(VLOOKUP(Table7[[#This Row],[Date]],Database!$A:$C,MATCH($C$1,Database!$A$1:$C$1,),)=0,#N/A,VLOOKUP(Table7[[#This Row],[Date]],Database!$A:$C,MATCH($C$1,Database!$A$1:$C$1,),))</f>
        <v/>
      </c>
      <c r="D8569">
        <f>IFERROR(Table7[[#This Row],[United States 10y]]-Table7[[#This Row],[United States 3y]],#N/A)</f>
        <v/>
      </c>
    </row>
    <row r="8570">
      <c r="A8570" s="6">
        <f>Database!$A10655</f>
        <v/>
      </c>
      <c r="B8570">
        <f>IF(VLOOKUP(Table7[[#This Row],[Date]],Database!$A:$C,MATCH($B$1,Database!$A$1:$C$1,),)=0,#N/A,VLOOKUP(Table7[[#This Row],[Date]],Database!$A:$C,MATCH($B$1,Database!$A$1:$C$1,),))</f>
        <v/>
      </c>
      <c r="C8570">
        <f>IF(VLOOKUP(Table7[[#This Row],[Date]],Database!$A:$C,MATCH($C$1,Database!$A$1:$C$1,),)=0,#N/A,VLOOKUP(Table7[[#This Row],[Date]],Database!$A:$C,MATCH($C$1,Database!$A$1:$C$1,),))</f>
        <v/>
      </c>
      <c r="D8570">
        <f>IFERROR(Table7[[#This Row],[United States 10y]]-Table7[[#This Row],[United States 3y]],#N/A)</f>
        <v/>
      </c>
    </row>
    <row r="8571">
      <c r="A8571" s="6">
        <f>Database!$A10656</f>
        <v/>
      </c>
      <c r="B8571">
        <f>IF(VLOOKUP(Table7[[#This Row],[Date]],Database!$A:$C,MATCH($B$1,Database!$A$1:$C$1,),)=0,#N/A,VLOOKUP(Table7[[#This Row],[Date]],Database!$A:$C,MATCH($B$1,Database!$A$1:$C$1,),))</f>
        <v/>
      </c>
      <c r="C8571">
        <f>IF(VLOOKUP(Table7[[#This Row],[Date]],Database!$A:$C,MATCH($C$1,Database!$A$1:$C$1,),)=0,#N/A,VLOOKUP(Table7[[#This Row],[Date]],Database!$A:$C,MATCH($C$1,Database!$A$1:$C$1,),))</f>
        <v/>
      </c>
      <c r="D8571">
        <f>IFERROR(Table7[[#This Row],[United States 10y]]-Table7[[#This Row],[United States 3y]],#N/A)</f>
        <v/>
      </c>
    </row>
    <row r="8572">
      <c r="A8572" s="6">
        <f>Database!$A10657</f>
        <v/>
      </c>
      <c r="B8572">
        <f>IF(VLOOKUP(Table7[[#This Row],[Date]],Database!$A:$C,MATCH($B$1,Database!$A$1:$C$1,),)=0,#N/A,VLOOKUP(Table7[[#This Row],[Date]],Database!$A:$C,MATCH($B$1,Database!$A$1:$C$1,),))</f>
        <v/>
      </c>
      <c r="C8572">
        <f>IF(VLOOKUP(Table7[[#This Row],[Date]],Database!$A:$C,MATCH($C$1,Database!$A$1:$C$1,),)=0,#N/A,VLOOKUP(Table7[[#This Row],[Date]],Database!$A:$C,MATCH($C$1,Database!$A$1:$C$1,),))</f>
        <v/>
      </c>
      <c r="D8572">
        <f>IFERROR(Table7[[#This Row],[United States 10y]]-Table7[[#This Row],[United States 3y]],#N/A)</f>
        <v/>
      </c>
    </row>
    <row r="8573">
      <c r="A8573" s="6">
        <f>Database!$A10658</f>
        <v/>
      </c>
      <c r="B8573">
        <f>IF(VLOOKUP(Table7[[#This Row],[Date]],Database!$A:$C,MATCH($B$1,Database!$A$1:$C$1,),)=0,#N/A,VLOOKUP(Table7[[#This Row],[Date]],Database!$A:$C,MATCH($B$1,Database!$A$1:$C$1,),))</f>
        <v/>
      </c>
      <c r="C8573">
        <f>IF(VLOOKUP(Table7[[#This Row],[Date]],Database!$A:$C,MATCH($C$1,Database!$A$1:$C$1,),)=0,#N/A,VLOOKUP(Table7[[#This Row],[Date]],Database!$A:$C,MATCH($C$1,Database!$A$1:$C$1,),))</f>
        <v/>
      </c>
      <c r="D8573">
        <f>IFERROR(Table7[[#This Row],[United States 10y]]-Table7[[#This Row],[United States 3y]],#N/A)</f>
        <v/>
      </c>
    </row>
    <row r="8574">
      <c r="A8574" s="6">
        <f>Database!$A10659</f>
        <v/>
      </c>
      <c r="B8574">
        <f>IF(VLOOKUP(Table7[[#This Row],[Date]],Database!$A:$C,MATCH($B$1,Database!$A$1:$C$1,),)=0,#N/A,VLOOKUP(Table7[[#This Row],[Date]],Database!$A:$C,MATCH($B$1,Database!$A$1:$C$1,),))</f>
        <v/>
      </c>
      <c r="C8574">
        <f>IF(VLOOKUP(Table7[[#This Row],[Date]],Database!$A:$C,MATCH($C$1,Database!$A$1:$C$1,),)=0,#N/A,VLOOKUP(Table7[[#This Row],[Date]],Database!$A:$C,MATCH($C$1,Database!$A$1:$C$1,),))</f>
        <v/>
      </c>
      <c r="D8574">
        <f>IFERROR(Table7[[#This Row],[United States 10y]]-Table7[[#This Row],[United States 3y]],#N/A)</f>
        <v/>
      </c>
    </row>
    <row r="8575">
      <c r="A8575" s="6">
        <f>Database!$A10660</f>
        <v/>
      </c>
      <c r="B8575">
        <f>IF(VLOOKUP(Table7[[#This Row],[Date]],Database!$A:$C,MATCH($B$1,Database!$A$1:$C$1,),)=0,#N/A,VLOOKUP(Table7[[#This Row],[Date]],Database!$A:$C,MATCH($B$1,Database!$A$1:$C$1,),))</f>
        <v/>
      </c>
      <c r="C8575">
        <f>IF(VLOOKUP(Table7[[#This Row],[Date]],Database!$A:$C,MATCH($C$1,Database!$A$1:$C$1,),)=0,#N/A,VLOOKUP(Table7[[#This Row],[Date]],Database!$A:$C,MATCH($C$1,Database!$A$1:$C$1,),))</f>
        <v/>
      </c>
      <c r="D8575">
        <f>IFERROR(Table7[[#This Row],[United States 10y]]-Table7[[#This Row],[United States 3y]],#N/A)</f>
        <v/>
      </c>
    </row>
    <row r="8576">
      <c r="A8576" s="6">
        <f>Database!$A10661</f>
        <v/>
      </c>
      <c r="B8576">
        <f>IF(VLOOKUP(Table7[[#This Row],[Date]],Database!$A:$C,MATCH($B$1,Database!$A$1:$C$1,),)=0,#N/A,VLOOKUP(Table7[[#This Row],[Date]],Database!$A:$C,MATCH($B$1,Database!$A$1:$C$1,),))</f>
        <v/>
      </c>
      <c r="C8576">
        <f>IF(VLOOKUP(Table7[[#This Row],[Date]],Database!$A:$C,MATCH($C$1,Database!$A$1:$C$1,),)=0,#N/A,VLOOKUP(Table7[[#This Row],[Date]],Database!$A:$C,MATCH($C$1,Database!$A$1:$C$1,),))</f>
        <v/>
      </c>
      <c r="D8576">
        <f>IFERROR(Table7[[#This Row],[United States 10y]]-Table7[[#This Row],[United States 3y]],#N/A)</f>
        <v/>
      </c>
    </row>
    <row r="8577">
      <c r="A8577" s="6">
        <f>Database!$A10662</f>
        <v/>
      </c>
      <c r="B8577">
        <f>IF(VLOOKUP(Table7[[#This Row],[Date]],Database!$A:$C,MATCH($B$1,Database!$A$1:$C$1,),)=0,#N/A,VLOOKUP(Table7[[#This Row],[Date]],Database!$A:$C,MATCH($B$1,Database!$A$1:$C$1,),))</f>
        <v/>
      </c>
      <c r="C8577">
        <f>IF(VLOOKUP(Table7[[#This Row],[Date]],Database!$A:$C,MATCH($C$1,Database!$A$1:$C$1,),)=0,#N/A,VLOOKUP(Table7[[#This Row],[Date]],Database!$A:$C,MATCH($C$1,Database!$A$1:$C$1,),))</f>
        <v/>
      </c>
      <c r="D8577">
        <f>IFERROR(Table7[[#This Row],[United States 10y]]-Table7[[#This Row],[United States 3y]],#N/A)</f>
        <v/>
      </c>
    </row>
    <row r="8578">
      <c r="A8578" s="6">
        <f>Database!$A10663</f>
        <v/>
      </c>
      <c r="B8578">
        <f>IF(VLOOKUP(Table7[[#This Row],[Date]],Database!$A:$C,MATCH($B$1,Database!$A$1:$C$1,),)=0,#N/A,VLOOKUP(Table7[[#This Row],[Date]],Database!$A:$C,MATCH($B$1,Database!$A$1:$C$1,),))</f>
        <v/>
      </c>
      <c r="C8578">
        <f>IF(VLOOKUP(Table7[[#This Row],[Date]],Database!$A:$C,MATCH($C$1,Database!$A$1:$C$1,),)=0,#N/A,VLOOKUP(Table7[[#This Row],[Date]],Database!$A:$C,MATCH($C$1,Database!$A$1:$C$1,),))</f>
        <v/>
      </c>
      <c r="D8578">
        <f>IFERROR(Table7[[#This Row],[United States 10y]]-Table7[[#This Row],[United States 3y]],#N/A)</f>
        <v/>
      </c>
    </row>
    <row r="8579">
      <c r="A8579" s="6">
        <f>Database!$A10664</f>
        <v/>
      </c>
      <c r="B8579">
        <f>IF(VLOOKUP(Table7[[#This Row],[Date]],Database!$A:$C,MATCH($B$1,Database!$A$1:$C$1,),)=0,#N/A,VLOOKUP(Table7[[#This Row],[Date]],Database!$A:$C,MATCH($B$1,Database!$A$1:$C$1,),))</f>
        <v/>
      </c>
      <c r="C8579">
        <f>IF(VLOOKUP(Table7[[#This Row],[Date]],Database!$A:$C,MATCH($C$1,Database!$A$1:$C$1,),)=0,#N/A,VLOOKUP(Table7[[#This Row],[Date]],Database!$A:$C,MATCH($C$1,Database!$A$1:$C$1,),))</f>
        <v/>
      </c>
      <c r="D8579">
        <f>IFERROR(Table7[[#This Row],[United States 10y]]-Table7[[#This Row],[United States 3y]],#N/A)</f>
        <v/>
      </c>
    </row>
    <row r="8580">
      <c r="A8580" s="6">
        <f>Database!$A10665</f>
        <v/>
      </c>
      <c r="B8580">
        <f>IF(VLOOKUP(Table7[[#This Row],[Date]],Database!$A:$C,MATCH($B$1,Database!$A$1:$C$1,),)=0,#N/A,VLOOKUP(Table7[[#This Row],[Date]],Database!$A:$C,MATCH($B$1,Database!$A$1:$C$1,),))</f>
        <v/>
      </c>
      <c r="C8580">
        <f>IF(VLOOKUP(Table7[[#This Row],[Date]],Database!$A:$C,MATCH($C$1,Database!$A$1:$C$1,),)=0,#N/A,VLOOKUP(Table7[[#This Row],[Date]],Database!$A:$C,MATCH($C$1,Database!$A$1:$C$1,),))</f>
        <v/>
      </c>
      <c r="D8580">
        <f>IFERROR(Table7[[#This Row],[United States 10y]]-Table7[[#This Row],[United States 3y]],#N/A)</f>
        <v/>
      </c>
    </row>
    <row r="8581">
      <c r="A8581" s="6">
        <f>Database!$A10666</f>
        <v/>
      </c>
      <c r="B8581">
        <f>IF(VLOOKUP(Table7[[#This Row],[Date]],Database!$A:$C,MATCH($B$1,Database!$A$1:$C$1,),)=0,#N/A,VLOOKUP(Table7[[#This Row],[Date]],Database!$A:$C,MATCH($B$1,Database!$A$1:$C$1,),))</f>
        <v/>
      </c>
      <c r="C8581">
        <f>IF(VLOOKUP(Table7[[#This Row],[Date]],Database!$A:$C,MATCH($C$1,Database!$A$1:$C$1,),)=0,#N/A,VLOOKUP(Table7[[#This Row],[Date]],Database!$A:$C,MATCH($C$1,Database!$A$1:$C$1,),))</f>
        <v/>
      </c>
      <c r="D8581">
        <f>IFERROR(Table7[[#This Row],[United States 10y]]-Table7[[#This Row],[United States 3y]],#N/A)</f>
        <v/>
      </c>
    </row>
    <row r="8582">
      <c r="A8582" s="6">
        <f>Database!$A10667</f>
        <v/>
      </c>
      <c r="B8582">
        <f>IF(VLOOKUP(Table7[[#This Row],[Date]],Database!$A:$C,MATCH($B$1,Database!$A$1:$C$1,),)=0,#N/A,VLOOKUP(Table7[[#This Row],[Date]],Database!$A:$C,MATCH($B$1,Database!$A$1:$C$1,),))</f>
        <v/>
      </c>
      <c r="C8582">
        <f>IF(VLOOKUP(Table7[[#This Row],[Date]],Database!$A:$C,MATCH($C$1,Database!$A$1:$C$1,),)=0,#N/A,VLOOKUP(Table7[[#This Row],[Date]],Database!$A:$C,MATCH($C$1,Database!$A$1:$C$1,),))</f>
        <v/>
      </c>
      <c r="D8582">
        <f>IFERROR(Table7[[#This Row],[United States 10y]]-Table7[[#This Row],[United States 3y]],#N/A)</f>
        <v/>
      </c>
    </row>
    <row r="8583">
      <c r="A8583" s="6">
        <f>Database!$A10668</f>
        <v/>
      </c>
      <c r="B8583">
        <f>IF(VLOOKUP(Table7[[#This Row],[Date]],Database!$A:$C,MATCH($B$1,Database!$A$1:$C$1,),)=0,#N/A,VLOOKUP(Table7[[#This Row],[Date]],Database!$A:$C,MATCH($B$1,Database!$A$1:$C$1,),))</f>
        <v/>
      </c>
      <c r="C8583">
        <f>IF(VLOOKUP(Table7[[#This Row],[Date]],Database!$A:$C,MATCH($C$1,Database!$A$1:$C$1,),)=0,#N/A,VLOOKUP(Table7[[#This Row],[Date]],Database!$A:$C,MATCH($C$1,Database!$A$1:$C$1,),))</f>
        <v/>
      </c>
      <c r="D8583">
        <f>IFERROR(Table7[[#This Row],[United States 10y]]-Table7[[#This Row],[United States 3y]],#N/A)</f>
        <v/>
      </c>
    </row>
    <row r="8584">
      <c r="A8584" s="6">
        <f>Database!$A10669</f>
        <v/>
      </c>
      <c r="B8584">
        <f>IF(VLOOKUP(Table7[[#This Row],[Date]],Database!$A:$C,MATCH($B$1,Database!$A$1:$C$1,),)=0,#N/A,VLOOKUP(Table7[[#This Row],[Date]],Database!$A:$C,MATCH($B$1,Database!$A$1:$C$1,),))</f>
        <v/>
      </c>
      <c r="C8584">
        <f>IF(VLOOKUP(Table7[[#This Row],[Date]],Database!$A:$C,MATCH($C$1,Database!$A$1:$C$1,),)=0,#N/A,VLOOKUP(Table7[[#This Row],[Date]],Database!$A:$C,MATCH($C$1,Database!$A$1:$C$1,),))</f>
        <v/>
      </c>
      <c r="D8584">
        <f>IFERROR(Table7[[#This Row],[United States 10y]]-Table7[[#This Row],[United States 3y]],#N/A)</f>
        <v/>
      </c>
    </row>
    <row r="8585">
      <c r="A8585" s="6">
        <f>Database!$A10670</f>
        <v/>
      </c>
      <c r="B8585">
        <f>IF(VLOOKUP(Table7[[#This Row],[Date]],Database!$A:$C,MATCH($B$1,Database!$A$1:$C$1,),)=0,#N/A,VLOOKUP(Table7[[#This Row],[Date]],Database!$A:$C,MATCH($B$1,Database!$A$1:$C$1,),))</f>
        <v/>
      </c>
      <c r="C8585">
        <f>IF(VLOOKUP(Table7[[#This Row],[Date]],Database!$A:$C,MATCH($C$1,Database!$A$1:$C$1,),)=0,#N/A,VLOOKUP(Table7[[#This Row],[Date]],Database!$A:$C,MATCH($C$1,Database!$A$1:$C$1,),))</f>
        <v/>
      </c>
      <c r="D8585">
        <f>IFERROR(Table7[[#This Row],[United States 10y]]-Table7[[#This Row],[United States 3y]],#N/A)</f>
        <v/>
      </c>
    </row>
    <row r="8586">
      <c r="A8586" s="6">
        <f>Database!$A10671</f>
        <v/>
      </c>
      <c r="B8586">
        <f>IF(VLOOKUP(Table7[[#This Row],[Date]],Database!$A:$C,MATCH($B$1,Database!$A$1:$C$1,),)=0,#N/A,VLOOKUP(Table7[[#This Row],[Date]],Database!$A:$C,MATCH($B$1,Database!$A$1:$C$1,),))</f>
        <v/>
      </c>
      <c r="C8586">
        <f>IF(VLOOKUP(Table7[[#This Row],[Date]],Database!$A:$C,MATCH($C$1,Database!$A$1:$C$1,),)=0,#N/A,VLOOKUP(Table7[[#This Row],[Date]],Database!$A:$C,MATCH($C$1,Database!$A$1:$C$1,),))</f>
        <v/>
      </c>
      <c r="D8586">
        <f>IFERROR(Table7[[#This Row],[United States 10y]]-Table7[[#This Row],[United States 3y]],#N/A)</f>
        <v/>
      </c>
    </row>
    <row r="8587">
      <c r="A8587" s="6">
        <f>Database!$A10672</f>
        <v/>
      </c>
      <c r="B8587">
        <f>IF(VLOOKUP(Table7[[#This Row],[Date]],Database!$A:$C,MATCH($B$1,Database!$A$1:$C$1,),)=0,#N/A,VLOOKUP(Table7[[#This Row],[Date]],Database!$A:$C,MATCH($B$1,Database!$A$1:$C$1,),))</f>
        <v/>
      </c>
      <c r="C8587">
        <f>IF(VLOOKUP(Table7[[#This Row],[Date]],Database!$A:$C,MATCH($C$1,Database!$A$1:$C$1,),)=0,#N/A,VLOOKUP(Table7[[#This Row],[Date]],Database!$A:$C,MATCH($C$1,Database!$A$1:$C$1,),))</f>
        <v/>
      </c>
      <c r="D8587">
        <f>IFERROR(Table7[[#This Row],[United States 10y]]-Table7[[#This Row],[United States 3y]],#N/A)</f>
        <v/>
      </c>
    </row>
    <row r="8588">
      <c r="A8588" s="6">
        <f>Database!$A10673</f>
        <v/>
      </c>
      <c r="B8588">
        <f>IF(VLOOKUP(Table7[[#This Row],[Date]],Database!$A:$C,MATCH($B$1,Database!$A$1:$C$1,),)=0,#N/A,VLOOKUP(Table7[[#This Row],[Date]],Database!$A:$C,MATCH($B$1,Database!$A$1:$C$1,),))</f>
        <v/>
      </c>
      <c r="C8588">
        <f>IF(VLOOKUP(Table7[[#This Row],[Date]],Database!$A:$C,MATCH($C$1,Database!$A$1:$C$1,),)=0,#N/A,VLOOKUP(Table7[[#This Row],[Date]],Database!$A:$C,MATCH($C$1,Database!$A$1:$C$1,),))</f>
        <v/>
      </c>
      <c r="D8588">
        <f>IFERROR(Table7[[#This Row],[United States 10y]]-Table7[[#This Row],[United States 3y]],#N/A)</f>
        <v/>
      </c>
    </row>
    <row r="8589">
      <c r="A8589" s="6">
        <f>Database!$A10674</f>
        <v/>
      </c>
      <c r="B8589">
        <f>IF(VLOOKUP(Table7[[#This Row],[Date]],Database!$A:$C,MATCH($B$1,Database!$A$1:$C$1,),)=0,#N/A,VLOOKUP(Table7[[#This Row],[Date]],Database!$A:$C,MATCH($B$1,Database!$A$1:$C$1,),))</f>
        <v/>
      </c>
      <c r="C8589">
        <f>IF(VLOOKUP(Table7[[#This Row],[Date]],Database!$A:$C,MATCH($C$1,Database!$A$1:$C$1,),)=0,#N/A,VLOOKUP(Table7[[#This Row],[Date]],Database!$A:$C,MATCH($C$1,Database!$A$1:$C$1,),))</f>
        <v/>
      </c>
      <c r="D8589">
        <f>IFERROR(Table7[[#This Row],[United States 10y]]-Table7[[#This Row],[United States 3y]],#N/A)</f>
        <v/>
      </c>
    </row>
    <row r="8590">
      <c r="A8590" s="6">
        <f>Database!$A10675</f>
        <v/>
      </c>
      <c r="B8590">
        <f>IF(VLOOKUP(Table7[[#This Row],[Date]],Database!$A:$C,MATCH($B$1,Database!$A$1:$C$1,),)=0,#N/A,VLOOKUP(Table7[[#This Row],[Date]],Database!$A:$C,MATCH($B$1,Database!$A$1:$C$1,),))</f>
        <v/>
      </c>
      <c r="C8590">
        <f>IF(VLOOKUP(Table7[[#This Row],[Date]],Database!$A:$C,MATCH($C$1,Database!$A$1:$C$1,),)=0,#N/A,VLOOKUP(Table7[[#This Row],[Date]],Database!$A:$C,MATCH($C$1,Database!$A$1:$C$1,),))</f>
        <v/>
      </c>
      <c r="D8590">
        <f>IFERROR(Table7[[#This Row],[United States 10y]]-Table7[[#This Row],[United States 3y]],#N/A)</f>
        <v/>
      </c>
    </row>
    <row r="8591">
      <c r="A8591" s="6">
        <f>Database!$A10676</f>
        <v/>
      </c>
      <c r="B8591">
        <f>IF(VLOOKUP(Table7[[#This Row],[Date]],Database!$A:$C,MATCH($B$1,Database!$A$1:$C$1,),)=0,#N/A,VLOOKUP(Table7[[#This Row],[Date]],Database!$A:$C,MATCH($B$1,Database!$A$1:$C$1,),))</f>
        <v/>
      </c>
      <c r="C8591">
        <f>IF(VLOOKUP(Table7[[#This Row],[Date]],Database!$A:$C,MATCH($C$1,Database!$A$1:$C$1,),)=0,#N/A,VLOOKUP(Table7[[#This Row],[Date]],Database!$A:$C,MATCH($C$1,Database!$A$1:$C$1,),))</f>
        <v/>
      </c>
      <c r="D8591">
        <f>IFERROR(Table7[[#This Row],[United States 10y]]-Table7[[#This Row],[United States 3y]],#N/A)</f>
        <v/>
      </c>
    </row>
    <row r="8592">
      <c r="A8592" s="6">
        <f>Database!$A10677</f>
        <v/>
      </c>
      <c r="B8592">
        <f>IF(VLOOKUP(Table7[[#This Row],[Date]],Database!$A:$C,MATCH($B$1,Database!$A$1:$C$1,),)=0,#N/A,VLOOKUP(Table7[[#This Row],[Date]],Database!$A:$C,MATCH($B$1,Database!$A$1:$C$1,),))</f>
        <v/>
      </c>
      <c r="C8592">
        <f>IF(VLOOKUP(Table7[[#This Row],[Date]],Database!$A:$C,MATCH($C$1,Database!$A$1:$C$1,),)=0,#N/A,VLOOKUP(Table7[[#This Row],[Date]],Database!$A:$C,MATCH($C$1,Database!$A$1:$C$1,),))</f>
        <v/>
      </c>
      <c r="D8592">
        <f>IFERROR(Table7[[#This Row],[United States 10y]]-Table7[[#This Row],[United States 3y]],#N/A)</f>
        <v/>
      </c>
    </row>
    <row r="8593">
      <c r="A8593" s="6">
        <f>Database!$A10678</f>
        <v/>
      </c>
      <c r="B8593">
        <f>IF(VLOOKUP(Table7[[#This Row],[Date]],Database!$A:$C,MATCH($B$1,Database!$A$1:$C$1,),)=0,#N/A,VLOOKUP(Table7[[#This Row],[Date]],Database!$A:$C,MATCH($B$1,Database!$A$1:$C$1,),))</f>
        <v/>
      </c>
      <c r="C8593">
        <f>IF(VLOOKUP(Table7[[#This Row],[Date]],Database!$A:$C,MATCH($C$1,Database!$A$1:$C$1,),)=0,#N/A,VLOOKUP(Table7[[#This Row],[Date]],Database!$A:$C,MATCH($C$1,Database!$A$1:$C$1,),))</f>
        <v/>
      </c>
      <c r="D8593">
        <f>IFERROR(Table7[[#This Row],[United States 10y]]-Table7[[#This Row],[United States 3y]],#N/A)</f>
        <v/>
      </c>
    </row>
    <row r="8594">
      <c r="A8594" s="6">
        <f>Database!$A10679</f>
        <v/>
      </c>
      <c r="B8594">
        <f>IF(VLOOKUP(Table7[[#This Row],[Date]],Database!$A:$C,MATCH($B$1,Database!$A$1:$C$1,),)=0,#N/A,VLOOKUP(Table7[[#This Row],[Date]],Database!$A:$C,MATCH($B$1,Database!$A$1:$C$1,),))</f>
        <v/>
      </c>
      <c r="C8594">
        <f>IF(VLOOKUP(Table7[[#This Row],[Date]],Database!$A:$C,MATCH($C$1,Database!$A$1:$C$1,),)=0,#N/A,VLOOKUP(Table7[[#This Row],[Date]],Database!$A:$C,MATCH($C$1,Database!$A$1:$C$1,),))</f>
        <v/>
      </c>
      <c r="D8594">
        <f>IFERROR(Table7[[#This Row],[United States 10y]]-Table7[[#This Row],[United States 3y]],#N/A)</f>
        <v/>
      </c>
    </row>
    <row r="8595">
      <c r="A8595" s="6">
        <f>Database!$A10680</f>
        <v/>
      </c>
      <c r="B8595">
        <f>IF(VLOOKUP(Table7[[#This Row],[Date]],Database!$A:$C,MATCH($B$1,Database!$A$1:$C$1,),)=0,#N/A,VLOOKUP(Table7[[#This Row],[Date]],Database!$A:$C,MATCH($B$1,Database!$A$1:$C$1,),))</f>
        <v/>
      </c>
      <c r="C8595">
        <f>IF(VLOOKUP(Table7[[#This Row],[Date]],Database!$A:$C,MATCH($C$1,Database!$A$1:$C$1,),)=0,#N/A,VLOOKUP(Table7[[#This Row],[Date]],Database!$A:$C,MATCH($C$1,Database!$A$1:$C$1,),))</f>
        <v/>
      </c>
      <c r="D8595">
        <f>IFERROR(Table7[[#This Row],[United States 10y]]-Table7[[#This Row],[United States 3y]],#N/A)</f>
        <v/>
      </c>
    </row>
    <row r="8596">
      <c r="A8596" s="6">
        <f>Database!$A10681</f>
        <v/>
      </c>
      <c r="B8596">
        <f>IF(VLOOKUP(Table7[[#This Row],[Date]],Database!$A:$C,MATCH($B$1,Database!$A$1:$C$1,),)=0,#N/A,VLOOKUP(Table7[[#This Row],[Date]],Database!$A:$C,MATCH($B$1,Database!$A$1:$C$1,),))</f>
        <v/>
      </c>
      <c r="C8596">
        <f>IF(VLOOKUP(Table7[[#This Row],[Date]],Database!$A:$C,MATCH($C$1,Database!$A$1:$C$1,),)=0,#N/A,VLOOKUP(Table7[[#This Row],[Date]],Database!$A:$C,MATCH($C$1,Database!$A$1:$C$1,),))</f>
        <v/>
      </c>
      <c r="D8596">
        <f>IFERROR(Table7[[#This Row],[United States 10y]]-Table7[[#This Row],[United States 3y]],#N/A)</f>
        <v/>
      </c>
    </row>
    <row r="8597">
      <c r="A8597" s="6">
        <f>Database!$A10682</f>
        <v/>
      </c>
      <c r="B8597">
        <f>IF(VLOOKUP(Table7[[#This Row],[Date]],Database!$A:$C,MATCH($B$1,Database!$A$1:$C$1,),)=0,#N/A,VLOOKUP(Table7[[#This Row],[Date]],Database!$A:$C,MATCH($B$1,Database!$A$1:$C$1,),))</f>
        <v/>
      </c>
      <c r="C8597">
        <f>IF(VLOOKUP(Table7[[#This Row],[Date]],Database!$A:$C,MATCH($C$1,Database!$A$1:$C$1,),)=0,#N/A,VLOOKUP(Table7[[#This Row],[Date]],Database!$A:$C,MATCH($C$1,Database!$A$1:$C$1,),))</f>
        <v/>
      </c>
      <c r="D8597">
        <f>IFERROR(Table7[[#This Row],[United States 10y]]-Table7[[#This Row],[United States 3y]],#N/A)</f>
        <v/>
      </c>
    </row>
    <row r="8598">
      <c r="A8598" s="6">
        <f>Database!$A10683</f>
        <v/>
      </c>
      <c r="B8598">
        <f>IF(VLOOKUP(Table7[[#This Row],[Date]],Database!$A:$C,MATCH($B$1,Database!$A$1:$C$1,),)=0,#N/A,VLOOKUP(Table7[[#This Row],[Date]],Database!$A:$C,MATCH($B$1,Database!$A$1:$C$1,),))</f>
        <v/>
      </c>
      <c r="C8598">
        <f>IF(VLOOKUP(Table7[[#This Row],[Date]],Database!$A:$C,MATCH($C$1,Database!$A$1:$C$1,),)=0,#N/A,VLOOKUP(Table7[[#This Row],[Date]],Database!$A:$C,MATCH($C$1,Database!$A$1:$C$1,),))</f>
        <v/>
      </c>
      <c r="D8598">
        <f>IFERROR(Table7[[#This Row],[United States 10y]]-Table7[[#This Row],[United States 3y]],#N/A)</f>
        <v/>
      </c>
    </row>
    <row r="8599">
      <c r="A8599" s="6">
        <f>Database!$A10684</f>
        <v/>
      </c>
      <c r="B8599">
        <f>IF(VLOOKUP(Table7[[#This Row],[Date]],Database!$A:$C,MATCH($B$1,Database!$A$1:$C$1,),)=0,#N/A,VLOOKUP(Table7[[#This Row],[Date]],Database!$A:$C,MATCH($B$1,Database!$A$1:$C$1,),))</f>
        <v/>
      </c>
      <c r="C8599">
        <f>IF(VLOOKUP(Table7[[#This Row],[Date]],Database!$A:$C,MATCH($C$1,Database!$A$1:$C$1,),)=0,#N/A,VLOOKUP(Table7[[#This Row],[Date]],Database!$A:$C,MATCH($C$1,Database!$A$1:$C$1,),))</f>
        <v/>
      </c>
      <c r="D8599">
        <f>IFERROR(Table7[[#This Row],[United States 10y]]-Table7[[#This Row],[United States 3y]],#N/A)</f>
        <v/>
      </c>
    </row>
    <row r="8600">
      <c r="A8600" s="6">
        <f>Database!$A10685</f>
        <v/>
      </c>
      <c r="B8600">
        <f>IF(VLOOKUP(Table7[[#This Row],[Date]],Database!$A:$C,MATCH($B$1,Database!$A$1:$C$1,),)=0,#N/A,VLOOKUP(Table7[[#This Row],[Date]],Database!$A:$C,MATCH($B$1,Database!$A$1:$C$1,),))</f>
        <v/>
      </c>
      <c r="C8600">
        <f>IF(VLOOKUP(Table7[[#This Row],[Date]],Database!$A:$C,MATCH($C$1,Database!$A$1:$C$1,),)=0,#N/A,VLOOKUP(Table7[[#This Row],[Date]],Database!$A:$C,MATCH($C$1,Database!$A$1:$C$1,),))</f>
        <v/>
      </c>
      <c r="D8600">
        <f>IFERROR(Table7[[#This Row],[United States 10y]]-Table7[[#This Row],[United States 3y]],#N/A)</f>
        <v/>
      </c>
    </row>
    <row r="8601">
      <c r="A8601" s="6">
        <f>Database!$A10686</f>
        <v/>
      </c>
      <c r="B8601">
        <f>IF(VLOOKUP(Table7[[#This Row],[Date]],Database!$A:$C,MATCH($B$1,Database!$A$1:$C$1,),)=0,#N/A,VLOOKUP(Table7[[#This Row],[Date]],Database!$A:$C,MATCH($B$1,Database!$A$1:$C$1,),))</f>
        <v/>
      </c>
      <c r="C8601">
        <f>IF(VLOOKUP(Table7[[#This Row],[Date]],Database!$A:$C,MATCH($C$1,Database!$A$1:$C$1,),)=0,#N/A,VLOOKUP(Table7[[#This Row],[Date]],Database!$A:$C,MATCH($C$1,Database!$A$1:$C$1,),))</f>
        <v/>
      </c>
      <c r="D8601">
        <f>IFERROR(Table7[[#This Row],[United States 10y]]-Table7[[#This Row],[United States 3y]],#N/A)</f>
        <v/>
      </c>
    </row>
    <row r="8602">
      <c r="A8602" s="6">
        <f>Database!$A10687</f>
        <v/>
      </c>
      <c r="B8602">
        <f>IF(VLOOKUP(Table7[[#This Row],[Date]],Database!$A:$C,MATCH($B$1,Database!$A$1:$C$1,),)=0,#N/A,VLOOKUP(Table7[[#This Row],[Date]],Database!$A:$C,MATCH($B$1,Database!$A$1:$C$1,),))</f>
        <v/>
      </c>
      <c r="C8602">
        <f>IF(VLOOKUP(Table7[[#This Row],[Date]],Database!$A:$C,MATCH($C$1,Database!$A$1:$C$1,),)=0,#N/A,VLOOKUP(Table7[[#This Row],[Date]],Database!$A:$C,MATCH($C$1,Database!$A$1:$C$1,),))</f>
        <v/>
      </c>
      <c r="D8602">
        <f>IFERROR(Table7[[#This Row],[United States 10y]]-Table7[[#This Row],[United States 3y]],#N/A)</f>
        <v/>
      </c>
    </row>
    <row r="8603">
      <c r="A8603" s="6">
        <f>Database!$A10688</f>
        <v/>
      </c>
      <c r="B8603">
        <f>IF(VLOOKUP(Table7[[#This Row],[Date]],Database!$A:$C,MATCH($B$1,Database!$A$1:$C$1,),)=0,#N/A,VLOOKUP(Table7[[#This Row],[Date]],Database!$A:$C,MATCH($B$1,Database!$A$1:$C$1,),))</f>
        <v/>
      </c>
      <c r="C8603">
        <f>IF(VLOOKUP(Table7[[#This Row],[Date]],Database!$A:$C,MATCH($C$1,Database!$A$1:$C$1,),)=0,#N/A,VLOOKUP(Table7[[#This Row],[Date]],Database!$A:$C,MATCH($C$1,Database!$A$1:$C$1,),))</f>
        <v/>
      </c>
      <c r="D8603">
        <f>IFERROR(Table7[[#This Row],[United States 10y]]-Table7[[#This Row],[United States 3y]],#N/A)</f>
        <v/>
      </c>
    </row>
    <row r="8604">
      <c r="A8604" s="6">
        <f>Database!$A10689</f>
        <v/>
      </c>
      <c r="B8604">
        <f>IF(VLOOKUP(Table7[[#This Row],[Date]],Database!$A:$C,MATCH($B$1,Database!$A$1:$C$1,),)=0,#N/A,VLOOKUP(Table7[[#This Row],[Date]],Database!$A:$C,MATCH($B$1,Database!$A$1:$C$1,),))</f>
        <v/>
      </c>
      <c r="C8604">
        <f>IF(VLOOKUP(Table7[[#This Row],[Date]],Database!$A:$C,MATCH($C$1,Database!$A$1:$C$1,),)=0,#N/A,VLOOKUP(Table7[[#This Row],[Date]],Database!$A:$C,MATCH($C$1,Database!$A$1:$C$1,),))</f>
        <v/>
      </c>
      <c r="D8604">
        <f>IFERROR(Table7[[#This Row],[United States 10y]]-Table7[[#This Row],[United States 3y]],#N/A)</f>
        <v/>
      </c>
    </row>
    <row r="8605">
      <c r="A8605" s="6">
        <f>Database!$A10690</f>
        <v/>
      </c>
      <c r="B8605">
        <f>IF(VLOOKUP(Table7[[#This Row],[Date]],Database!$A:$C,MATCH($B$1,Database!$A$1:$C$1,),)=0,#N/A,VLOOKUP(Table7[[#This Row],[Date]],Database!$A:$C,MATCH($B$1,Database!$A$1:$C$1,),))</f>
        <v/>
      </c>
      <c r="C8605">
        <f>IF(VLOOKUP(Table7[[#This Row],[Date]],Database!$A:$C,MATCH($C$1,Database!$A$1:$C$1,),)=0,#N/A,VLOOKUP(Table7[[#This Row],[Date]],Database!$A:$C,MATCH($C$1,Database!$A$1:$C$1,),))</f>
        <v/>
      </c>
      <c r="D8605">
        <f>IFERROR(Table7[[#This Row],[United States 10y]]-Table7[[#This Row],[United States 3y]],#N/A)</f>
        <v/>
      </c>
    </row>
    <row r="8606">
      <c r="A8606" s="6">
        <f>Database!$A10691</f>
        <v/>
      </c>
      <c r="B8606">
        <f>IF(VLOOKUP(Table7[[#This Row],[Date]],Database!$A:$C,MATCH($B$1,Database!$A$1:$C$1,),)=0,#N/A,VLOOKUP(Table7[[#This Row],[Date]],Database!$A:$C,MATCH($B$1,Database!$A$1:$C$1,),))</f>
        <v/>
      </c>
      <c r="C8606">
        <f>IF(VLOOKUP(Table7[[#This Row],[Date]],Database!$A:$C,MATCH($C$1,Database!$A$1:$C$1,),)=0,#N/A,VLOOKUP(Table7[[#This Row],[Date]],Database!$A:$C,MATCH($C$1,Database!$A$1:$C$1,),))</f>
        <v/>
      </c>
      <c r="D8606">
        <f>IFERROR(Table7[[#This Row],[United States 10y]]-Table7[[#This Row],[United States 3y]],#N/A)</f>
        <v/>
      </c>
    </row>
    <row r="8607">
      <c r="A8607" s="6">
        <f>Database!$A10692</f>
        <v/>
      </c>
      <c r="B8607">
        <f>IF(VLOOKUP(Table7[[#This Row],[Date]],Database!$A:$C,MATCH($B$1,Database!$A$1:$C$1,),)=0,#N/A,VLOOKUP(Table7[[#This Row],[Date]],Database!$A:$C,MATCH($B$1,Database!$A$1:$C$1,),))</f>
        <v/>
      </c>
      <c r="C8607">
        <f>IF(VLOOKUP(Table7[[#This Row],[Date]],Database!$A:$C,MATCH($C$1,Database!$A$1:$C$1,),)=0,#N/A,VLOOKUP(Table7[[#This Row],[Date]],Database!$A:$C,MATCH($C$1,Database!$A$1:$C$1,),))</f>
        <v/>
      </c>
      <c r="D8607">
        <f>IFERROR(Table7[[#This Row],[United States 10y]]-Table7[[#This Row],[United States 3y]],#N/A)</f>
        <v/>
      </c>
    </row>
    <row r="8608">
      <c r="A8608" s="6">
        <f>Database!$A10693</f>
        <v/>
      </c>
      <c r="B8608">
        <f>IF(VLOOKUP(Table7[[#This Row],[Date]],Database!$A:$C,MATCH($B$1,Database!$A$1:$C$1,),)=0,#N/A,VLOOKUP(Table7[[#This Row],[Date]],Database!$A:$C,MATCH($B$1,Database!$A$1:$C$1,),))</f>
        <v/>
      </c>
      <c r="C8608">
        <f>IF(VLOOKUP(Table7[[#This Row],[Date]],Database!$A:$C,MATCH($C$1,Database!$A$1:$C$1,),)=0,#N/A,VLOOKUP(Table7[[#This Row],[Date]],Database!$A:$C,MATCH($C$1,Database!$A$1:$C$1,),))</f>
        <v/>
      </c>
      <c r="D8608">
        <f>IFERROR(Table7[[#This Row],[United States 10y]]-Table7[[#This Row],[United States 3y]],#N/A)</f>
        <v/>
      </c>
    </row>
    <row r="8609">
      <c r="A8609" s="6">
        <f>Database!$A10694</f>
        <v/>
      </c>
      <c r="B8609">
        <f>IF(VLOOKUP(Table7[[#This Row],[Date]],Database!$A:$C,MATCH($B$1,Database!$A$1:$C$1,),)=0,#N/A,VLOOKUP(Table7[[#This Row],[Date]],Database!$A:$C,MATCH($B$1,Database!$A$1:$C$1,),))</f>
        <v/>
      </c>
      <c r="C8609">
        <f>IF(VLOOKUP(Table7[[#This Row],[Date]],Database!$A:$C,MATCH($C$1,Database!$A$1:$C$1,),)=0,#N/A,VLOOKUP(Table7[[#This Row],[Date]],Database!$A:$C,MATCH($C$1,Database!$A$1:$C$1,),))</f>
        <v/>
      </c>
      <c r="D8609">
        <f>IFERROR(Table7[[#This Row],[United States 10y]]-Table7[[#This Row],[United States 3y]],#N/A)</f>
        <v/>
      </c>
    </row>
    <row r="8610">
      <c r="A8610" s="6">
        <f>Database!$A10695</f>
        <v/>
      </c>
      <c r="B8610">
        <f>IF(VLOOKUP(Table7[[#This Row],[Date]],Database!$A:$C,MATCH($B$1,Database!$A$1:$C$1,),)=0,#N/A,VLOOKUP(Table7[[#This Row],[Date]],Database!$A:$C,MATCH($B$1,Database!$A$1:$C$1,),))</f>
        <v/>
      </c>
      <c r="C8610">
        <f>IF(VLOOKUP(Table7[[#This Row],[Date]],Database!$A:$C,MATCH($C$1,Database!$A$1:$C$1,),)=0,#N/A,VLOOKUP(Table7[[#This Row],[Date]],Database!$A:$C,MATCH($C$1,Database!$A$1:$C$1,),))</f>
        <v/>
      </c>
      <c r="D8610">
        <f>IFERROR(Table7[[#This Row],[United States 10y]]-Table7[[#This Row],[United States 3y]],#N/A)</f>
        <v/>
      </c>
    </row>
    <row r="8611">
      <c r="A8611" s="6">
        <f>Database!$A10696</f>
        <v/>
      </c>
      <c r="B8611">
        <f>IF(VLOOKUP(Table7[[#This Row],[Date]],Database!$A:$C,MATCH($B$1,Database!$A$1:$C$1,),)=0,#N/A,VLOOKUP(Table7[[#This Row],[Date]],Database!$A:$C,MATCH($B$1,Database!$A$1:$C$1,),))</f>
        <v/>
      </c>
      <c r="C8611">
        <f>IF(VLOOKUP(Table7[[#This Row],[Date]],Database!$A:$C,MATCH($C$1,Database!$A$1:$C$1,),)=0,#N/A,VLOOKUP(Table7[[#This Row],[Date]],Database!$A:$C,MATCH($C$1,Database!$A$1:$C$1,),))</f>
        <v/>
      </c>
      <c r="D8611">
        <f>IFERROR(Table7[[#This Row],[United States 10y]]-Table7[[#This Row],[United States 3y]],#N/A)</f>
        <v/>
      </c>
    </row>
    <row r="8612">
      <c r="A8612" s="6">
        <f>Database!$A10697</f>
        <v/>
      </c>
      <c r="B8612">
        <f>IF(VLOOKUP(Table7[[#This Row],[Date]],Database!$A:$C,MATCH($B$1,Database!$A$1:$C$1,),)=0,#N/A,VLOOKUP(Table7[[#This Row],[Date]],Database!$A:$C,MATCH($B$1,Database!$A$1:$C$1,),))</f>
        <v/>
      </c>
      <c r="C8612">
        <f>IF(VLOOKUP(Table7[[#This Row],[Date]],Database!$A:$C,MATCH($C$1,Database!$A$1:$C$1,),)=0,#N/A,VLOOKUP(Table7[[#This Row],[Date]],Database!$A:$C,MATCH($C$1,Database!$A$1:$C$1,),))</f>
        <v/>
      </c>
      <c r="D8612">
        <f>IFERROR(Table7[[#This Row],[United States 10y]]-Table7[[#This Row],[United States 3y]],#N/A)</f>
        <v/>
      </c>
    </row>
    <row r="8613">
      <c r="A8613" s="6">
        <f>Database!$A10698</f>
        <v/>
      </c>
      <c r="B8613">
        <f>IF(VLOOKUP(Table7[[#This Row],[Date]],Database!$A:$C,MATCH($B$1,Database!$A$1:$C$1,),)=0,#N/A,VLOOKUP(Table7[[#This Row],[Date]],Database!$A:$C,MATCH($B$1,Database!$A$1:$C$1,),))</f>
        <v/>
      </c>
      <c r="C8613">
        <f>IF(VLOOKUP(Table7[[#This Row],[Date]],Database!$A:$C,MATCH($C$1,Database!$A$1:$C$1,),)=0,#N/A,VLOOKUP(Table7[[#This Row],[Date]],Database!$A:$C,MATCH($C$1,Database!$A$1:$C$1,),))</f>
        <v/>
      </c>
      <c r="D8613">
        <f>IFERROR(Table7[[#This Row],[United States 10y]]-Table7[[#This Row],[United States 3y]],#N/A)</f>
        <v/>
      </c>
    </row>
    <row r="8614">
      <c r="A8614" s="6">
        <f>Database!$A10699</f>
        <v/>
      </c>
      <c r="B8614">
        <f>IF(VLOOKUP(Table7[[#This Row],[Date]],Database!$A:$C,MATCH($B$1,Database!$A$1:$C$1,),)=0,#N/A,VLOOKUP(Table7[[#This Row],[Date]],Database!$A:$C,MATCH($B$1,Database!$A$1:$C$1,),))</f>
        <v/>
      </c>
      <c r="C8614">
        <f>IF(VLOOKUP(Table7[[#This Row],[Date]],Database!$A:$C,MATCH($C$1,Database!$A$1:$C$1,),)=0,#N/A,VLOOKUP(Table7[[#This Row],[Date]],Database!$A:$C,MATCH($C$1,Database!$A$1:$C$1,),))</f>
        <v/>
      </c>
      <c r="D8614">
        <f>IFERROR(Table7[[#This Row],[United States 10y]]-Table7[[#This Row],[United States 3y]],#N/A)</f>
        <v/>
      </c>
    </row>
    <row r="8615">
      <c r="A8615" s="6">
        <f>Database!$A10700</f>
        <v/>
      </c>
      <c r="B8615">
        <f>IF(VLOOKUP(Table7[[#This Row],[Date]],Database!$A:$C,MATCH($B$1,Database!$A$1:$C$1,),)=0,#N/A,VLOOKUP(Table7[[#This Row],[Date]],Database!$A:$C,MATCH($B$1,Database!$A$1:$C$1,),))</f>
        <v/>
      </c>
      <c r="C8615">
        <f>IF(VLOOKUP(Table7[[#This Row],[Date]],Database!$A:$C,MATCH($C$1,Database!$A$1:$C$1,),)=0,#N/A,VLOOKUP(Table7[[#This Row],[Date]],Database!$A:$C,MATCH($C$1,Database!$A$1:$C$1,),))</f>
        <v/>
      </c>
      <c r="D8615">
        <f>IFERROR(Table7[[#This Row],[United States 10y]]-Table7[[#This Row],[United States 3y]],#N/A)</f>
        <v/>
      </c>
    </row>
    <row r="8616">
      <c r="A8616" s="6">
        <f>Database!$A10701</f>
        <v/>
      </c>
      <c r="B8616">
        <f>IF(VLOOKUP(Table7[[#This Row],[Date]],Database!$A:$C,MATCH($B$1,Database!$A$1:$C$1,),)=0,#N/A,VLOOKUP(Table7[[#This Row],[Date]],Database!$A:$C,MATCH($B$1,Database!$A$1:$C$1,),))</f>
        <v/>
      </c>
      <c r="C8616">
        <f>IF(VLOOKUP(Table7[[#This Row],[Date]],Database!$A:$C,MATCH($C$1,Database!$A$1:$C$1,),)=0,#N/A,VLOOKUP(Table7[[#This Row],[Date]],Database!$A:$C,MATCH($C$1,Database!$A$1:$C$1,),))</f>
        <v/>
      </c>
      <c r="D8616">
        <f>IFERROR(Table7[[#This Row],[United States 10y]]-Table7[[#This Row],[United States 3y]],#N/A)</f>
        <v/>
      </c>
    </row>
    <row r="8617">
      <c r="A8617" s="6">
        <f>Database!$A10702</f>
        <v/>
      </c>
      <c r="B8617">
        <f>IF(VLOOKUP(Table7[[#This Row],[Date]],Database!$A:$C,MATCH($B$1,Database!$A$1:$C$1,),)=0,#N/A,VLOOKUP(Table7[[#This Row],[Date]],Database!$A:$C,MATCH($B$1,Database!$A$1:$C$1,),))</f>
        <v/>
      </c>
      <c r="C8617">
        <f>IF(VLOOKUP(Table7[[#This Row],[Date]],Database!$A:$C,MATCH($C$1,Database!$A$1:$C$1,),)=0,#N/A,VLOOKUP(Table7[[#This Row],[Date]],Database!$A:$C,MATCH($C$1,Database!$A$1:$C$1,),))</f>
        <v/>
      </c>
      <c r="D8617">
        <f>IFERROR(Table7[[#This Row],[United States 10y]]-Table7[[#This Row],[United States 3y]],#N/A)</f>
        <v/>
      </c>
    </row>
    <row r="8618">
      <c r="A8618" s="6">
        <f>Database!$A10703</f>
        <v/>
      </c>
      <c r="B8618">
        <f>IF(VLOOKUP(Table7[[#This Row],[Date]],Database!$A:$C,MATCH($B$1,Database!$A$1:$C$1,),)=0,#N/A,VLOOKUP(Table7[[#This Row],[Date]],Database!$A:$C,MATCH($B$1,Database!$A$1:$C$1,),))</f>
        <v/>
      </c>
      <c r="C8618">
        <f>IF(VLOOKUP(Table7[[#This Row],[Date]],Database!$A:$C,MATCH($C$1,Database!$A$1:$C$1,),)=0,#N/A,VLOOKUP(Table7[[#This Row],[Date]],Database!$A:$C,MATCH($C$1,Database!$A$1:$C$1,),))</f>
        <v/>
      </c>
      <c r="D8618">
        <f>IFERROR(Table7[[#This Row],[United States 10y]]-Table7[[#This Row],[United States 3y]],#N/A)</f>
        <v/>
      </c>
    </row>
    <row r="8619">
      <c r="A8619" s="6">
        <f>Database!$A10704</f>
        <v/>
      </c>
      <c r="B8619">
        <f>IF(VLOOKUP(Table7[[#This Row],[Date]],Database!$A:$C,MATCH($B$1,Database!$A$1:$C$1,),)=0,#N/A,VLOOKUP(Table7[[#This Row],[Date]],Database!$A:$C,MATCH($B$1,Database!$A$1:$C$1,),))</f>
        <v/>
      </c>
      <c r="C8619">
        <f>IF(VLOOKUP(Table7[[#This Row],[Date]],Database!$A:$C,MATCH($C$1,Database!$A$1:$C$1,),)=0,#N/A,VLOOKUP(Table7[[#This Row],[Date]],Database!$A:$C,MATCH($C$1,Database!$A$1:$C$1,),))</f>
        <v/>
      </c>
      <c r="D8619">
        <f>IFERROR(Table7[[#This Row],[United States 10y]]-Table7[[#This Row],[United States 3y]],#N/A)</f>
        <v/>
      </c>
    </row>
    <row r="8620">
      <c r="A8620" s="6">
        <f>Database!$A10705</f>
        <v/>
      </c>
      <c r="B8620">
        <f>IF(VLOOKUP(Table7[[#This Row],[Date]],Database!$A:$C,MATCH($B$1,Database!$A$1:$C$1,),)=0,#N/A,VLOOKUP(Table7[[#This Row],[Date]],Database!$A:$C,MATCH($B$1,Database!$A$1:$C$1,),))</f>
        <v/>
      </c>
      <c r="C8620">
        <f>IF(VLOOKUP(Table7[[#This Row],[Date]],Database!$A:$C,MATCH($C$1,Database!$A$1:$C$1,),)=0,#N/A,VLOOKUP(Table7[[#This Row],[Date]],Database!$A:$C,MATCH($C$1,Database!$A$1:$C$1,),))</f>
        <v/>
      </c>
      <c r="D8620">
        <f>IFERROR(Table7[[#This Row],[United States 10y]]-Table7[[#This Row],[United States 3y]],#N/A)</f>
        <v/>
      </c>
    </row>
    <row r="8621">
      <c r="A8621" s="6">
        <f>Database!$A10706</f>
        <v/>
      </c>
      <c r="B8621">
        <f>IF(VLOOKUP(Table7[[#This Row],[Date]],Database!$A:$C,MATCH($B$1,Database!$A$1:$C$1,),)=0,#N/A,VLOOKUP(Table7[[#This Row],[Date]],Database!$A:$C,MATCH($B$1,Database!$A$1:$C$1,),))</f>
        <v/>
      </c>
      <c r="C8621">
        <f>IF(VLOOKUP(Table7[[#This Row],[Date]],Database!$A:$C,MATCH($C$1,Database!$A$1:$C$1,),)=0,#N/A,VLOOKUP(Table7[[#This Row],[Date]],Database!$A:$C,MATCH($C$1,Database!$A$1:$C$1,),))</f>
        <v/>
      </c>
      <c r="D8621">
        <f>IFERROR(Table7[[#This Row],[United States 10y]]-Table7[[#This Row],[United States 3y]],#N/A)</f>
        <v/>
      </c>
    </row>
    <row r="8622">
      <c r="A8622" s="6">
        <f>Database!$A10707</f>
        <v/>
      </c>
      <c r="B8622">
        <f>IF(VLOOKUP(Table7[[#This Row],[Date]],Database!$A:$C,MATCH($B$1,Database!$A$1:$C$1,),)=0,#N/A,VLOOKUP(Table7[[#This Row],[Date]],Database!$A:$C,MATCH($B$1,Database!$A$1:$C$1,),))</f>
        <v/>
      </c>
      <c r="C8622">
        <f>IF(VLOOKUP(Table7[[#This Row],[Date]],Database!$A:$C,MATCH($C$1,Database!$A$1:$C$1,),)=0,#N/A,VLOOKUP(Table7[[#This Row],[Date]],Database!$A:$C,MATCH($C$1,Database!$A$1:$C$1,),))</f>
        <v/>
      </c>
      <c r="D8622">
        <f>IFERROR(Table7[[#This Row],[United States 10y]]-Table7[[#This Row],[United States 3y]],#N/A)</f>
        <v/>
      </c>
    </row>
    <row r="8623">
      <c r="A8623" s="6">
        <f>Database!$A10708</f>
        <v/>
      </c>
      <c r="B8623">
        <f>IF(VLOOKUP(Table7[[#This Row],[Date]],Database!$A:$C,MATCH($B$1,Database!$A$1:$C$1,),)=0,#N/A,VLOOKUP(Table7[[#This Row],[Date]],Database!$A:$C,MATCH($B$1,Database!$A$1:$C$1,),))</f>
        <v/>
      </c>
      <c r="C8623">
        <f>IF(VLOOKUP(Table7[[#This Row],[Date]],Database!$A:$C,MATCH($C$1,Database!$A$1:$C$1,),)=0,#N/A,VLOOKUP(Table7[[#This Row],[Date]],Database!$A:$C,MATCH($C$1,Database!$A$1:$C$1,),))</f>
        <v/>
      </c>
      <c r="D8623">
        <f>IFERROR(Table7[[#This Row],[United States 10y]]-Table7[[#This Row],[United States 3y]],#N/A)</f>
        <v/>
      </c>
    </row>
    <row r="8624">
      <c r="A8624" s="6">
        <f>Database!$A10709</f>
        <v/>
      </c>
      <c r="B8624">
        <f>IF(VLOOKUP(Table7[[#This Row],[Date]],Database!$A:$C,MATCH($B$1,Database!$A$1:$C$1,),)=0,#N/A,VLOOKUP(Table7[[#This Row],[Date]],Database!$A:$C,MATCH($B$1,Database!$A$1:$C$1,),))</f>
        <v/>
      </c>
      <c r="C8624">
        <f>IF(VLOOKUP(Table7[[#This Row],[Date]],Database!$A:$C,MATCH($C$1,Database!$A$1:$C$1,),)=0,#N/A,VLOOKUP(Table7[[#This Row],[Date]],Database!$A:$C,MATCH($C$1,Database!$A$1:$C$1,),))</f>
        <v/>
      </c>
      <c r="D8624">
        <f>IFERROR(Table7[[#This Row],[United States 10y]]-Table7[[#This Row],[United States 3y]],#N/A)</f>
        <v/>
      </c>
    </row>
    <row r="8625">
      <c r="A8625" s="6">
        <f>Database!$A10710</f>
        <v/>
      </c>
      <c r="B8625">
        <f>IF(VLOOKUP(Table7[[#This Row],[Date]],Database!$A:$C,MATCH($B$1,Database!$A$1:$C$1,),)=0,#N/A,VLOOKUP(Table7[[#This Row],[Date]],Database!$A:$C,MATCH($B$1,Database!$A$1:$C$1,),))</f>
        <v/>
      </c>
      <c r="C8625">
        <f>IF(VLOOKUP(Table7[[#This Row],[Date]],Database!$A:$C,MATCH($C$1,Database!$A$1:$C$1,),)=0,#N/A,VLOOKUP(Table7[[#This Row],[Date]],Database!$A:$C,MATCH($C$1,Database!$A$1:$C$1,),))</f>
        <v/>
      </c>
      <c r="D8625">
        <f>IFERROR(Table7[[#This Row],[United States 10y]]-Table7[[#This Row],[United States 3y]],#N/A)</f>
        <v/>
      </c>
    </row>
    <row r="8626">
      <c r="A8626" s="6">
        <f>Database!$A10711</f>
        <v/>
      </c>
      <c r="B8626">
        <f>IF(VLOOKUP(Table7[[#This Row],[Date]],Database!$A:$C,MATCH($B$1,Database!$A$1:$C$1,),)=0,#N/A,VLOOKUP(Table7[[#This Row],[Date]],Database!$A:$C,MATCH($B$1,Database!$A$1:$C$1,),))</f>
        <v/>
      </c>
      <c r="C8626">
        <f>IF(VLOOKUP(Table7[[#This Row],[Date]],Database!$A:$C,MATCH($C$1,Database!$A$1:$C$1,),)=0,#N/A,VLOOKUP(Table7[[#This Row],[Date]],Database!$A:$C,MATCH($C$1,Database!$A$1:$C$1,),))</f>
        <v/>
      </c>
      <c r="D8626">
        <f>IFERROR(Table7[[#This Row],[United States 10y]]-Table7[[#This Row],[United States 3y]],#N/A)</f>
        <v/>
      </c>
    </row>
    <row r="8627">
      <c r="A8627" s="6">
        <f>Database!$A10712</f>
        <v/>
      </c>
      <c r="B8627">
        <f>IF(VLOOKUP(Table7[[#This Row],[Date]],Database!$A:$C,MATCH($B$1,Database!$A$1:$C$1,),)=0,#N/A,VLOOKUP(Table7[[#This Row],[Date]],Database!$A:$C,MATCH($B$1,Database!$A$1:$C$1,),))</f>
        <v/>
      </c>
      <c r="C8627">
        <f>IF(VLOOKUP(Table7[[#This Row],[Date]],Database!$A:$C,MATCH($C$1,Database!$A$1:$C$1,),)=0,#N/A,VLOOKUP(Table7[[#This Row],[Date]],Database!$A:$C,MATCH($C$1,Database!$A$1:$C$1,),))</f>
        <v/>
      </c>
      <c r="D8627">
        <f>IFERROR(Table7[[#This Row],[United States 10y]]-Table7[[#This Row],[United States 3y]],#N/A)</f>
        <v/>
      </c>
    </row>
    <row r="8628">
      <c r="A8628" s="6">
        <f>Database!$A10713</f>
        <v/>
      </c>
      <c r="B8628">
        <f>IF(VLOOKUP(Table7[[#This Row],[Date]],Database!$A:$C,MATCH($B$1,Database!$A$1:$C$1,),)=0,#N/A,VLOOKUP(Table7[[#This Row],[Date]],Database!$A:$C,MATCH($B$1,Database!$A$1:$C$1,),))</f>
        <v/>
      </c>
      <c r="C8628">
        <f>IF(VLOOKUP(Table7[[#This Row],[Date]],Database!$A:$C,MATCH($C$1,Database!$A$1:$C$1,),)=0,#N/A,VLOOKUP(Table7[[#This Row],[Date]],Database!$A:$C,MATCH($C$1,Database!$A$1:$C$1,),))</f>
        <v/>
      </c>
      <c r="D8628">
        <f>IFERROR(Table7[[#This Row],[United States 10y]]-Table7[[#This Row],[United States 3y]],#N/A)</f>
        <v/>
      </c>
    </row>
    <row r="8629">
      <c r="A8629" s="6">
        <f>Database!$A10714</f>
        <v/>
      </c>
      <c r="B8629">
        <f>IF(VLOOKUP(Table7[[#This Row],[Date]],Database!$A:$C,MATCH($B$1,Database!$A$1:$C$1,),)=0,#N/A,VLOOKUP(Table7[[#This Row],[Date]],Database!$A:$C,MATCH($B$1,Database!$A$1:$C$1,),))</f>
        <v/>
      </c>
      <c r="C8629">
        <f>IF(VLOOKUP(Table7[[#This Row],[Date]],Database!$A:$C,MATCH($C$1,Database!$A$1:$C$1,),)=0,#N/A,VLOOKUP(Table7[[#This Row],[Date]],Database!$A:$C,MATCH($C$1,Database!$A$1:$C$1,),))</f>
        <v/>
      </c>
      <c r="D8629">
        <f>IFERROR(Table7[[#This Row],[United States 10y]]-Table7[[#This Row],[United States 3y]],#N/A)</f>
        <v/>
      </c>
    </row>
    <row r="8630">
      <c r="A8630" s="6">
        <f>Database!$A10715</f>
        <v/>
      </c>
      <c r="B8630">
        <f>IF(VLOOKUP(Table7[[#This Row],[Date]],Database!$A:$C,MATCH($B$1,Database!$A$1:$C$1,),)=0,#N/A,VLOOKUP(Table7[[#This Row],[Date]],Database!$A:$C,MATCH($B$1,Database!$A$1:$C$1,),))</f>
        <v/>
      </c>
      <c r="C8630">
        <f>IF(VLOOKUP(Table7[[#This Row],[Date]],Database!$A:$C,MATCH($C$1,Database!$A$1:$C$1,),)=0,#N/A,VLOOKUP(Table7[[#This Row],[Date]],Database!$A:$C,MATCH($C$1,Database!$A$1:$C$1,),))</f>
        <v/>
      </c>
      <c r="D8630">
        <f>IFERROR(Table7[[#This Row],[United States 10y]]-Table7[[#This Row],[United States 3y]],#N/A)</f>
        <v/>
      </c>
    </row>
    <row r="8631">
      <c r="A8631" s="6">
        <f>Database!$A10716</f>
        <v/>
      </c>
      <c r="B8631">
        <f>IF(VLOOKUP(Table7[[#This Row],[Date]],Database!$A:$C,MATCH($B$1,Database!$A$1:$C$1,),)=0,#N/A,VLOOKUP(Table7[[#This Row],[Date]],Database!$A:$C,MATCH($B$1,Database!$A$1:$C$1,),))</f>
        <v/>
      </c>
      <c r="C8631">
        <f>IF(VLOOKUP(Table7[[#This Row],[Date]],Database!$A:$C,MATCH($C$1,Database!$A$1:$C$1,),)=0,#N/A,VLOOKUP(Table7[[#This Row],[Date]],Database!$A:$C,MATCH($C$1,Database!$A$1:$C$1,),))</f>
        <v/>
      </c>
      <c r="D8631">
        <f>IFERROR(Table7[[#This Row],[United States 10y]]-Table7[[#This Row],[United States 3y]],#N/A)</f>
        <v/>
      </c>
    </row>
    <row r="8632">
      <c r="A8632" s="6">
        <f>Database!$A10717</f>
        <v/>
      </c>
      <c r="B8632">
        <f>IF(VLOOKUP(Table7[[#This Row],[Date]],Database!$A:$C,MATCH($B$1,Database!$A$1:$C$1,),)=0,#N/A,VLOOKUP(Table7[[#This Row],[Date]],Database!$A:$C,MATCH($B$1,Database!$A$1:$C$1,),))</f>
        <v/>
      </c>
      <c r="C8632">
        <f>IF(VLOOKUP(Table7[[#This Row],[Date]],Database!$A:$C,MATCH($C$1,Database!$A$1:$C$1,),)=0,#N/A,VLOOKUP(Table7[[#This Row],[Date]],Database!$A:$C,MATCH($C$1,Database!$A$1:$C$1,),))</f>
        <v/>
      </c>
      <c r="D8632">
        <f>IFERROR(Table7[[#This Row],[United States 10y]]-Table7[[#This Row],[United States 3y]],#N/A)</f>
        <v/>
      </c>
    </row>
    <row r="8633">
      <c r="A8633" s="6">
        <f>Database!$A10718</f>
        <v/>
      </c>
      <c r="B8633">
        <f>IF(VLOOKUP(Table7[[#This Row],[Date]],Database!$A:$C,MATCH($B$1,Database!$A$1:$C$1,),)=0,#N/A,VLOOKUP(Table7[[#This Row],[Date]],Database!$A:$C,MATCH($B$1,Database!$A$1:$C$1,),))</f>
        <v/>
      </c>
      <c r="C8633">
        <f>IF(VLOOKUP(Table7[[#This Row],[Date]],Database!$A:$C,MATCH($C$1,Database!$A$1:$C$1,),)=0,#N/A,VLOOKUP(Table7[[#This Row],[Date]],Database!$A:$C,MATCH($C$1,Database!$A$1:$C$1,),))</f>
        <v/>
      </c>
      <c r="D8633">
        <f>IFERROR(Table7[[#This Row],[United States 10y]]-Table7[[#This Row],[United States 3y]],#N/A)</f>
        <v/>
      </c>
    </row>
    <row r="8634">
      <c r="A8634" s="6">
        <f>Database!$A10719</f>
        <v/>
      </c>
      <c r="B8634">
        <f>IF(VLOOKUP(Table7[[#This Row],[Date]],Database!$A:$C,MATCH($B$1,Database!$A$1:$C$1,),)=0,#N/A,VLOOKUP(Table7[[#This Row],[Date]],Database!$A:$C,MATCH($B$1,Database!$A$1:$C$1,),))</f>
        <v/>
      </c>
      <c r="C8634">
        <f>IF(VLOOKUP(Table7[[#This Row],[Date]],Database!$A:$C,MATCH($C$1,Database!$A$1:$C$1,),)=0,#N/A,VLOOKUP(Table7[[#This Row],[Date]],Database!$A:$C,MATCH($C$1,Database!$A$1:$C$1,),))</f>
        <v/>
      </c>
      <c r="D8634">
        <f>IFERROR(Table7[[#This Row],[United States 10y]]-Table7[[#This Row],[United States 3y]],#N/A)</f>
        <v/>
      </c>
    </row>
    <row r="8635">
      <c r="A8635" s="6">
        <f>Database!$A10720</f>
        <v/>
      </c>
      <c r="B8635">
        <f>IF(VLOOKUP(Table7[[#This Row],[Date]],Database!$A:$C,MATCH($B$1,Database!$A$1:$C$1,),)=0,#N/A,VLOOKUP(Table7[[#This Row],[Date]],Database!$A:$C,MATCH($B$1,Database!$A$1:$C$1,),))</f>
        <v/>
      </c>
      <c r="C8635">
        <f>IF(VLOOKUP(Table7[[#This Row],[Date]],Database!$A:$C,MATCH($C$1,Database!$A$1:$C$1,),)=0,#N/A,VLOOKUP(Table7[[#This Row],[Date]],Database!$A:$C,MATCH($C$1,Database!$A$1:$C$1,),))</f>
        <v/>
      </c>
      <c r="D8635">
        <f>IFERROR(Table7[[#This Row],[United States 10y]]-Table7[[#This Row],[United States 3y]],#N/A)</f>
        <v/>
      </c>
    </row>
    <row r="8636">
      <c r="A8636" s="6">
        <f>Database!$A10721</f>
        <v/>
      </c>
      <c r="B8636">
        <f>IF(VLOOKUP(Table7[[#This Row],[Date]],Database!$A:$C,MATCH($B$1,Database!$A$1:$C$1,),)=0,#N/A,VLOOKUP(Table7[[#This Row],[Date]],Database!$A:$C,MATCH($B$1,Database!$A$1:$C$1,),))</f>
        <v/>
      </c>
      <c r="C8636">
        <f>IF(VLOOKUP(Table7[[#This Row],[Date]],Database!$A:$C,MATCH($C$1,Database!$A$1:$C$1,),)=0,#N/A,VLOOKUP(Table7[[#This Row],[Date]],Database!$A:$C,MATCH($C$1,Database!$A$1:$C$1,),))</f>
        <v/>
      </c>
      <c r="D8636">
        <f>IFERROR(Table7[[#This Row],[United States 10y]]-Table7[[#This Row],[United States 3y]],#N/A)</f>
        <v/>
      </c>
    </row>
    <row r="8637">
      <c r="A8637" s="6">
        <f>Database!$A10722</f>
        <v/>
      </c>
      <c r="B8637">
        <f>IF(VLOOKUP(Table7[[#This Row],[Date]],Database!$A:$C,MATCH($B$1,Database!$A$1:$C$1,),)=0,#N/A,VLOOKUP(Table7[[#This Row],[Date]],Database!$A:$C,MATCH($B$1,Database!$A$1:$C$1,),))</f>
        <v/>
      </c>
      <c r="C8637">
        <f>IF(VLOOKUP(Table7[[#This Row],[Date]],Database!$A:$C,MATCH($C$1,Database!$A$1:$C$1,),)=0,#N/A,VLOOKUP(Table7[[#This Row],[Date]],Database!$A:$C,MATCH($C$1,Database!$A$1:$C$1,),))</f>
        <v/>
      </c>
      <c r="D8637">
        <f>IFERROR(Table7[[#This Row],[United States 10y]]-Table7[[#This Row],[United States 3y]],#N/A)</f>
        <v/>
      </c>
    </row>
    <row r="8638">
      <c r="A8638" s="6">
        <f>Database!$A10723</f>
        <v/>
      </c>
      <c r="B8638">
        <f>IF(VLOOKUP(Table7[[#This Row],[Date]],Database!$A:$C,MATCH($B$1,Database!$A$1:$C$1,),)=0,#N/A,VLOOKUP(Table7[[#This Row],[Date]],Database!$A:$C,MATCH($B$1,Database!$A$1:$C$1,),))</f>
        <v/>
      </c>
      <c r="C8638">
        <f>IF(VLOOKUP(Table7[[#This Row],[Date]],Database!$A:$C,MATCH($C$1,Database!$A$1:$C$1,),)=0,#N/A,VLOOKUP(Table7[[#This Row],[Date]],Database!$A:$C,MATCH($C$1,Database!$A$1:$C$1,),))</f>
        <v/>
      </c>
      <c r="D8638">
        <f>IFERROR(Table7[[#This Row],[United States 10y]]-Table7[[#This Row],[United States 3y]],#N/A)</f>
        <v/>
      </c>
    </row>
    <row r="8639">
      <c r="A8639" s="6">
        <f>Database!$A10724</f>
        <v/>
      </c>
      <c r="B8639">
        <f>IF(VLOOKUP(Table7[[#This Row],[Date]],Database!$A:$C,MATCH($B$1,Database!$A$1:$C$1,),)=0,#N/A,VLOOKUP(Table7[[#This Row],[Date]],Database!$A:$C,MATCH($B$1,Database!$A$1:$C$1,),))</f>
        <v/>
      </c>
      <c r="C8639">
        <f>IF(VLOOKUP(Table7[[#This Row],[Date]],Database!$A:$C,MATCH($C$1,Database!$A$1:$C$1,),)=0,#N/A,VLOOKUP(Table7[[#This Row],[Date]],Database!$A:$C,MATCH($C$1,Database!$A$1:$C$1,),))</f>
        <v/>
      </c>
      <c r="D8639">
        <f>IFERROR(Table7[[#This Row],[United States 10y]]-Table7[[#This Row],[United States 3y]],#N/A)</f>
        <v/>
      </c>
    </row>
    <row r="8640">
      <c r="A8640" s="6">
        <f>Database!$A10725</f>
        <v/>
      </c>
      <c r="B8640">
        <f>IF(VLOOKUP(Table7[[#This Row],[Date]],Database!$A:$C,MATCH($B$1,Database!$A$1:$C$1,),)=0,#N/A,VLOOKUP(Table7[[#This Row],[Date]],Database!$A:$C,MATCH($B$1,Database!$A$1:$C$1,),))</f>
        <v/>
      </c>
      <c r="C8640">
        <f>IF(VLOOKUP(Table7[[#This Row],[Date]],Database!$A:$C,MATCH($C$1,Database!$A$1:$C$1,),)=0,#N/A,VLOOKUP(Table7[[#This Row],[Date]],Database!$A:$C,MATCH($C$1,Database!$A$1:$C$1,),))</f>
        <v/>
      </c>
      <c r="D8640">
        <f>IFERROR(Table7[[#This Row],[United States 10y]]-Table7[[#This Row],[United States 3y]],#N/A)</f>
        <v/>
      </c>
    </row>
    <row r="8641">
      <c r="A8641" s="6">
        <f>Database!$A10726</f>
        <v/>
      </c>
      <c r="B8641">
        <f>IF(VLOOKUP(Table7[[#This Row],[Date]],Database!$A:$C,MATCH($B$1,Database!$A$1:$C$1,),)=0,#N/A,VLOOKUP(Table7[[#This Row],[Date]],Database!$A:$C,MATCH($B$1,Database!$A$1:$C$1,),))</f>
        <v/>
      </c>
      <c r="C8641">
        <f>IF(VLOOKUP(Table7[[#This Row],[Date]],Database!$A:$C,MATCH($C$1,Database!$A$1:$C$1,),)=0,#N/A,VLOOKUP(Table7[[#This Row],[Date]],Database!$A:$C,MATCH($C$1,Database!$A$1:$C$1,),))</f>
        <v/>
      </c>
      <c r="D8641">
        <f>IFERROR(Table7[[#This Row],[United States 10y]]-Table7[[#This Row],[United States 3y]],#N/A)</f>
        <v/>
      </c>
    </row>
    <row r="8642">
      <c r="A8642" s="6">
        <f>Database!$A10727</f>
        <v/>
      </c>
      <c r="B8642">
        <f>IF(VLOOKUP(Table7[[#This Row],[Date]],Database!$A:$C,MATCH($B$1,Database!$A$1:$C$1,),)=0,#N/A,VLOOKUP(Table7[[#This Row],[Date]],Database!$A:$C,MATCH($B$1,Database!$A$1:$C$1,),))</f>
        <v/>
      </c>
      <c r="C8642">
        <f>IF(VLOOKUP(Table7[[#This Row],[Date]],Database!$A:$C,MATCH($C$1,Database!$A$1:$C$1,),)=0,#N/A,VLOOKUP(Table7[[#This Row],[Date]],Database!$A:$C,MATCH($C$1,Database!$A$1:$C$1,),))</f>
        <v/>
      </c>
      <c r="D8642">
        <f>IFERROR(Table7[[#This Row],[United States 10y]]-Table7[[#This Row],[United States 3y]],#N/A)</f>
        <v/>
      </c>
    </row>
    <row r="8643">
      <c r="A8643" s="6">
        <f>Database!$A10728</f>
        <v/>
      </c>
      <c r="B8643">
        <f>IF(VLOOKUP(Table7[[#This Row],[Date]],Database!$A:$C,MATCH($B$1,Database!$A$1:$C$1,),)=0,#N/A,VLOOKUP(Table7[[#This Row],[Date]],Database!$A:$C,MATCH($B$1,Database!$A$1:$C$1,),))</f>
        <v/>
      </c>
      <c r="C8643">
        <f>IF(VLOOKUP(Table7[[#This Row],[Date]],Database!$A:$C,MATCH($C$1,Database!$A$1:$C$1,),)=0,#N/A,VLOOKUP(Table7[[#This Row],[Date]],Database!$A:$C,MATCH($C$1,Database!$A$1:$C$1,),))</f>
        <v/>
      </c>
      <c r="D8643">
        <f>IFERROR(Table7[[#This Row],[United States 10y]]-Table7[[#This Row],[United States 3y]],#N/A)</f>
        <v/>
      </c>
    </row>
    <row r="8644">
      <c r="A8644" s="6">
        <f>Database!$A10729</f>
        <v/>
      </c>
      <c r="B8644">
        <f>IF(VLOOKUP(Table7[[#This Row],[Date]],Database!$A:$C,MATCH($B$1,Database!$A$1:$C$1,),)=0,#N/A,VLOOKUP(Table7[[#This Row],[Date]],Database!$A:$C,MATCH($B$1,Database!$A$1:$C$1,),))</f>
        <v/>
      </c>
      <c r="C8644">
        <f>IF(VLOOKUP(Table7[[#This Row],[Date]],Database!$A:$C,MATCH($C$1,Database!$A$1:$C$1,),)=0,#N/A,VLOOKUP(Table7[[#This Row],[Date]],Database!$A:$C,MATCH($C$1,Database!$A$1:$C$1,),))</f>
        <v/>
      </c>
      <c r="D8644">
        <f>IFERROR(Table7[[#This Row],[United States 10y]]-Table7[[#This Row],[United States 3y]],#N/A)</f>
        <v/>
      </c>
    </row>
    <row r="8645">
      <c r="A8645" s="6">
        <f>Database!$A10730</f>
        <v/>
      </c>
      <c r="B8645">
        <f>IF(VLOOKUP(Table7[[#This Row],[Date]],Database!$A:$C,MATCH($B$1,Database!$A$1:$C$1,),)=0,#N/A,VLOOKUP(Table7[[#This Row],[Date]],Database!$A:$C,MATCH($B$1,Database!$A$1:$C$1,),))</f>
        <v/>
      </c>
      <c r="C8645">
        <f>IF(VLOOKUP(Table7[[#This Row],[Date]],Database!$A:$C,MATCH($C$1,Database!$A$1:$C$1,),)=0,#N/A,VLOOKUP(Table7[[#This Row],[Date]],Database!$A:$C,MATCH($C$1,Database!$A$1:$C$1,),))</f>
        <v/>
      </c>
      <c r="D8645">
        <f>IFERROR(Table7[[#This Row],[United States 10y]]-Table7[[#This Row],[United States 3y]],#N/A)</f>
        <v/>
      </c>
    </row>
    <row r="8646">
      <c r="A8646" s="6">
        <f>Database!$A10731</f>
        <v/>
      </c>
      <c r="B8646">
        <f>IF(VLOOKUP(Table7[[#This Row],[Date]],Database!$A:$C,MATCH($B$1,Database!$A$1:$C$1,),)=0,#N/A,VLOOKUP(Table7[[#This Row],[Date]],Database!$A:$C,MATCH($B$1,Database!$A$1:$C$1,),))</f>
        <v/>
      </c>
      <c r="C8646">
        <f>IF(VLOOKUP(Table7[[#This Row],[Date]],Database!$A:$C,MATCH($C$1,Database!$A$1:$C$1,),)=0,#N/A,VLOOKUP(Table7[[#This Row],[Date]],Database!$A:$C,MATCH($C$1,Database!$A$1:$C$1,),))</f>
        <v/>
      </c>
      <c r="D8646">
        <f>IFERROR(Table7[[#This Row],[United States 10y]]-Table7[[#This Row],[United States 3y]],#N/A)</f>
        <v/>
      </c>
    </row>
    <row r="8647">
      <c r="A8647" s="6">
        <f>Database!$A10732</f>
        <v/>
      </c>
      <c r="B8647">
        <f>IF(VLOOKUP(Table7[[#This Row],[Date]],Database!$A:$C,MATCH($B$1,Database!$A$1:$C$1,),)=0,#N/A,VLOOKUP(Table7[[#This Row],[Date]],Database!$A:$C,MATCH($B$1,Database!$A$1:$C$1,),))</f>
        <v/>
      </c>
      <c r="C8647">
        <f>IF(VLOOKUP(Table7[[#This Row],[Date]],Database!$A:$C,MATCH($C$1,Database!$A$1:$C$1,),)=0,#N/A,VLOOKUP(Table7[[#This Row],[Date]],Database!$A:$C,MATCH($C$1,Database!$A$1:$C$1,),))</f>
        <v/>
      </c>
      <c r="D8647">
        <f>IFERROR(Table7[[#This Row],[United States 10y]]-Table7[[#This Row],[United States 3y]],#N/A)</f>
        <v/>
      </c>
    </row>
    <row r="8648">
      <c r="A8648" s="6">
        <f>Database!$A10733</f>
        <v/>
      </c>
      <c r="B8648">
        <f>IF(VLOOKUP(Table7[[#This Row],[Date]],Database!$A:$C,MATCH($B$1,Database!$A$1:$C$1,),)=0,#N/A,VLOOKUP(Table7[[#This Row],[Date]],Database!$A:$C,MATCH($B$1,Database!$A$1:$C$1,),))</f>
        <v/>
      </c>
      <c r="C8648">
        <f>IF(VLOOKUP(Table7[[#This Row],[Date]],Database!$A:$C,MATCH($C$1,Database!$A$1:$C$1,),)=0,#N/A,VLOOKUP(Table7[[#This Row],[Date]],Database!$A:$C,MATCH($C$1,Database!$A$1:$C$1,),))</f>
        <v/>
      </c>
      <c r="D8648">
        <f>IFERROR(Table7[[#This Row],[United States 10y]]-Table7[[#This Row],[United States 3y]],#N/A)</f>
        <v/>
      </c>
    </row>
    <row r="8649">
      <c r="A8649" s="6">
        <f>Database!$A10734</f>
        <v/>
      </c>
      <c r="B8649">
        <f>IF(VLOOKUP(Table7[[#This Row],[Date]],Database!$A:$C,MATCH($B$1,Database!$A$1:$C$1,),)=0,#N/A,VLOOKUP(Table7[[#This Row],[Date]],Database!$A:$C,MATCH($B$1,Database!$A$1:$C$1,),))</f>
        <v/>
      </c>
      <c r="C8649">
        <f>IF(VLOOKUP(Table7[[#This Row],[Date]],Database!$A:$C,MATCH($C$1,Database!$A$1:$C$1,),)=0,#N/A,VLOOKUP(Table7[[#This Row],[Date]],Database!$A:$C,MATCH($C$1,Database!$A$1:$C$1,),))</f>
        <v/>
      </c>
      <c r="D8649">
        <f>IFERROR(Table7[[#This Row],[United States 10y]]-Table7[[#This Row],[United States 3y]],#N/A)</f>
        <v/>
      </c>
    </row>
    <row r="8650">
      <c r="A8650" s="6">
        <f>Database!$A10735</f>
        <v/>
      </c>
      <c r="B8650">
        <f>IF(VLOOKUP(Table7[[#This Row],[Date]],Database!$A:$C,MATCH($B$1,Database!$A$1:$C$1,),)=0,#N/A,VLOOKUP(Table7[[#This Row],[Date]],Database!$A:$C,MATCH($B$1,Database!$A$1:$C$1,),))</f>
        <v/>
      </c>
      <c r="C8650">
        <f>IF(VLOOKUP(Table7[[#This Row],[Date]],Database!$A:$C,MATCH($C$1,Database!$A$1:$C$1,),)=0,#N/A,VLOOKUP(Table7[[#This Row],[Date]],Database!$A:$C,MATCH($C$1,Database!$A$1:$C$1,),))</f>
        <v/>
      </c>
      <c r="D8650">
        <f>IFERROR(Table7[[#This Row],[United States 10y]]-Table7[[#This Row],[United States 3y]],#N/A)</f>
        <v/>
      </c>
    </row>
    <row r="8651">
      <c r="A8651" s="6">
        <f>Database!$A10736</f>
        <v/>
      </c>
      <c r="B8651">
        <f>IF(VLOOKUP(Table7[[#This Row],[Date]],Database!$A:$C,MATCH($B$1,Database!$A$1:$C$1,),)=0,#N/A,VLOOKUP(Table7[[#This Row],[Date]],Database!$A:$C,MATCH($B$1,Database!$A$1:$C$1,),))</f>
        <v/>
      </c>
      <c r="C8651">
        <f>IF(VLOOKUP(Table7[[#This Row],[Date]],Database!$A:$C,MATCH($C$1,Database!$A$1:$C$1,),)=0,#N/A,VLOOKUP(Table7[[#This Row],[Date]],Database!$A:$C,MATCH($C$1,Database!$A$1:$C$1,),))</f>
        <v/>
      </c>
      <c r="D8651">
        <f>IFERROR(Table7[[#This Row],[United States 10y]]-Table7[[#This Row],[United States 3y]],#N/A)</f>
        <v/>
      </c>
    </row>
    <row r="8652">
      <c r="A8652" s="6">
        <f>Database!$A10737</f>
        <v/>
      </c>
      <c r="B8652">
        <f>IF(VLOOKUP(Table7[[#This Row],[Date]],Database!$A:$C,MATCH($B$1,Database!$A$1:$C$1,),)=0,#N/A,VLOOKUP(Table7[[#This Row],[Date]],Database!$A:$C,MATCH($B$1,Database!$A$1:$C$1,),))</f>
        <v/>
      </c>
      <c r="C8652">
        <f>IF(VLOOKUP(Table7[[#This Row],[Date]],Database!$A:$C,MATCH($C$1,Database!$A$1:$C$1,),)=0,#N/A,VLOOKUP(Table7[[#This Row],[Date]],Database!$A:$C,MATCH($C$1,Database!$A$1:$C$1,),))</f>
        <v/>
      </c>
      <c r="D8652">
        <f>IFERROR(Table7[[#This Row],[United States 10y]]-Table7[[#This Row],[United States 3y]],#N/A)</f>
        <v/>
      </c>
    </row>
    <row r="8653">
      <c r="A8653" s="6">
        <f>Database!$A10738</f>
        <v/>
      </c>
      <c r="B8653">
        <f>IF(VLOOKUP(Table7[[#This Row],[Date]],Database!$A:$C,MATCH($B$1,Database!$A$1:$C$1,),)=0,#N/A,VLOOKUP(Table7[[#This Row],[Date]],Database!$A:$C,MATCH($B$1,Database!$A$1:$C$1,),))</f>
        <v/>
      </c>
      <c r="C8653">
        <f>IF(VLOOKUP(Table7[[#This Row],[Date]],Database!$A:$C,MATCH($C$1,Database!$A$1:$C$1,),)=0,#N/A,VLOOKUP(Table7[[#This Row],[Date]],Database!$A:$C,MATCH($C$1,Database!$A$1:$C$1,),))</f>
        <v/>
      </c>
      <c r="D8653">
        <f>IFERROR(Table7[[#This Row],[United States 10y]]-Table7[[#This Row],[United States 3y]],#N/A)</f>
        <v/>
      </c>
    </row>
    <row r="8654">
      <c r="A8654" s="6">
        <f>Database!$A10739</f>
        <v/>
      </c>
      <c r="B8654">
        <f>IF(VLOOKUP(Table7[[#This Row],[Date]],Database!$A:$C,MATCH($B$1,Database!$A$1:$C$1,),)=0,#N/A,VLOOKUP(Table7[[#This Row],[Date]],Database!$A:$C,MATCH($B$1,Database!$A$1:$C$1,),))</f>
        <v/>
      </c>
      <c r="C8654">
        <f>IF(VLOOKUP(Table7[[#This Row],[Date]],Database!$A:$C,MATCH($C$1,Database!$A$1:$C$1,),)=0,#N/A,VLOOKUP(Table7[[#This Row],[Date]],Database!$A:$C,MATCH($C$1,Database!$A$1:$C$1,),))</f>
        <v/>
      </c>
      <c r="D8654">
        <f>IFERROR(Table7[[#This Row],[United States 10y]]-Table7[[#This Row],[United States 3y]],#N/A)</f>
        <v/>
      </c>
    </row>
    <row r="8655">
      <c r="A8655" s="6">
        <f>Database!$A10740</f>
        <v/>
      </c>
      <c r="B8655">
        <f>IF(VLOOKUP(Table7[[#This Row],[Date]],Database!$A:$C,MATCH($B$1,Database!$A$1:$C$1,),)=0,#N/A,VLOOKUP(Table7[[#This Row],[Date]],Database!$A:$C,MATCH($B$1,Database!$A$1:$C$1,),))</f>
        <v/>
      </c>
      <c r="C8655">
        <f>IF(VLOOKUP(Table7[[#This Row],[Date]],Database!$A:$C,MATCH($C$1,Database!$A$1:$C$1,),)=0,#N/A,VLOOKUP(Table7[[#This Row],[Date]],Database!$A:$C,MATCH($C$1,Database!$A$1:$C$1,),))</f>
        <v/>
      </c>
      <c r="D8655">
        <f>IFERROR(Table7[[#This Row],[United States 10y]]-Table7[[#This Row],[United States 3y]],#N/A)</f>
        <v/>
      </c>
    </row>
    <row r="8656">
      <c r="A8656" s="6">
        <f>Database!$A10741</f>
        <v/>
      </c>
      <c r="B8656">
        <f>IF(VLOOKUP(Table7[[#This Row],[Date]],Database!$A:$C,MATCH($B$1,Database!$A$1:$C$1,),)=0,#N/A,VLOOKUP(Table7[[#This Row],[Date]],Database!$A:$C,MATCH($B$1,Database!$A$1:$C$1,),))</f>
        <v/>
      </c>
      <c r="C8656">
        <f>IF(VLOOKUP(Table7[[#This Row],[Date]],Database!$A:$C,MATCH($C$1,Database!$A$1:$C$1,),)=0,#N/A,VLOOKUP(Table7[[#This Row],[Date]],Database!$A:$C,MATCH($C$1,Database!$A$1:$C$1,),))</f>
        <v/>
      </c>
      <c r="D8656">
        <f>IFERROR(Table7[[#This Row],[United States 10y]]-Table7[[#This Row],[United States 3y]],#N/A)</f>
        <v/>
      </c>
    </row>
    <row r="8657">
      <c r="A8657" s="6">
        <f>Database!$A10742</f>
        <v/>
      </c>
      <c r="B8657">
        <f>IF(VLOOKUP(Table7[[#This Row],[Date]],Database!$A:$C,MATCH($B$1,Database!$A$1:$C$1,),)=0,#N/A,VLOOKUP(Table7[[#This Row],[Date]],Database!$A:$C,MATCH($B$1,Database!$A$1:$C$1,),))</f>
        <v/>
      </c>
      <c r="C8657">
        <f>IF(VLOOKUP(Table7[[#This Row],[Date]],Database!$A:$C,MATCH($C$1,Database!$A$1:$C$1,),)=0,#N/A,VLOOKUP(Table7[[#This Row],[Date]],Database!$A:$C,MATCH($C$1,Database!$A$1:$C$1,),))</f>
        <v/>
      </c>
      <c r="D8657">
        <f>IFERROR(Table7[[#This Row],[United States 10y]]-Table7[[#This Row],[United States 3y]],#N/A)</f>
        <v/>
      </c>
    </row>
    <row r="8658">
      <c r="A8658" s="6">
        <f>Database!$A10743</f>
        <v/>
      </c>
      <c r="B8658">
        <f>IF(VLOOKUP(Table7[[#This Row],[Date]],Database!$A:$C,MATCH($B$1,Database!$A$1:$C$1,),)=0,#N/A,VLOOKUP(Table7[[#This Row],[Date]],Database!$A:$C,MATCH($B$1,Database!$A$1:$C$1,),))</f>
        <v/>
      </c>
      <c r="C8658">
        <f>IF(VLOOKUP(Table7[[#This Row],[Date]],Database!$A:$C,MATCH($C$1,Database!$A$1:$C$1,),)=0,#N/A,VLOOKUP(Table7[[#This Row],[Date]],Database!$A:$C,MATCH($C$1,Database!$A$1:$C$1,),))</f>
        <v/>
      </c>
      <c r="D8658">
        <f>IFERROR(Table7[[#This Row],[United States 10y]]-Table7[[#This Row],[United States 3y]],#N/A)</f>
        <v/>
      </c>
    </row>
    <row r="8659">
      <c r="A8659" s="6">
        <f>Database!$A10744</f>
        <v/>
      </c>
      <c r="B8659">
        <f>IF(VLOOKUP(Table7[[#This Row],[Date]],Database!$A:$C,MATCH($B$1,Database!$A$1:$C$1,),)=0,#N/A,VLOOKUP(Table7[[#This Row],[Date]],Database!$A:$C,MATCH($B$1,Database!$A$1:$C$1,),))</f>
        <v/>
      </c>
      <c r="C8659">
        <f>IF(VLOOKUP(Table7[[#This Row],[Date]],Database!$A:$C,MATCH($C$1,Database!$A$1:$C$1,),)=0,#N/A,VLOOKUP(Table7[[#This Row],[Date]],Database!$A:$C,MATCH($C$1,Database!$A$1:$C$1,),))</f>
        <v/>
      </c>
      <c r="D8659">
        <f>IFERROR(Table7[[#This Row],[United States 10y]]-Table7[[#This Row],[United States 3y]],#N/A)</f>
        <v/>
      </c>
    </row>
    <row r="8660">
      <c r="A8660" s="6">
        <f>Database!$A10745</f>
        <v/>
      </c>
      <c r="B8660">
        <f>IF(VLOOKUP(Table7[[#This Row],[Date]],Database!$A:$C,MATCH($B$1,Database!$A$1:$C$1,),)=0,#N/A,VLOOKUP(Table7[[#This Row],[Date]],Database!$A:$C,MATCH($B$1,Database!$A$1:$C$1,),))</f>
        <v/>
      </c>
      <c r="C8660">
        <f>IF(VLOOKUP(Table7[[#This Row],[Date]],Database!$A:$C,MATCH($C$1,Database!$A$1:$C$1,),)=0,#N/A,VLOOKUP(Table7[[#This Row],[Date]],Database!$A:$C,MATCH($C$1,Database!$A$1:$C$1,),))</f>
        <v/>
      </c>
      <c r="D8660">
        <f>IFERROR(Table7[[#This Row],[United States 10y]]-Table7[[#This Row],[United States 3y]],#N/A)</f>
        <v/>
      </c>
    </row>
    <row r="8661">
      <c r="A8661" s="6">
        <f>Database!$A10746</f>
        <v/>
      </c>
      <c r="B8661">
        <f>IF(VLOOKUP(Table7[[#This Row],[Date]],Database!$A:$C,MATCH($B$1,Database!$A$1:$C$1,),)=0,#N/A,VLOOKUP(Table7[[#This Row],[Date]],Database!$A:$C,MATCH($B$1,Database!$A$1:$C$1,),))</f>
        <v/>
      </c>
      <c r="C8661">
        <f>IF(VLOOKUP(Table7[[#This Row],[Date]],Database!$A:$C,MATCH($C$1,Database!$A$1:$C$1,),)=0,#N/A,VLOOKUP(Table7[[#This Row],[Date]],Database!$A:$C,MATCH($C$1,Database!$A$1:$C$1,),))</f>
        <v/>
      </c>
      <c r="D8661">
        <f>IFERROR(Table7[[#This Row],[United States 10y]]-Table7[[#This Row],[United States 3y]],#N/A)</f>
        <v/>
      </c>
    </row>
    <row r="8662">
      <c r="A8662" s="6">
        <f>Database!$A10747</f>
        <v/>
      </c>
      <c r="B8662">
        <f>IF(VLOOKUP(Table7[[#This Row],[Date]],Database!$A:$C,MATCH($B$1,Database!$A$1:$C$1,),)=0,#N/A,VLOOKUP(Table7[[#This Row],[Date]],Database!$A:$C,MATCH($B$1,Database!$A$1:$C$1,),))</f>
        <v/>
      </c>
      <c r="C8662">
        <f>IF(VLOOKUP(Table7[[#This Row],[Date]],Database!$A:$C,MATCH($C$1,Database!$A$1:$C$1,),)=0,#N/A,VLOOKUP(Table7[[#This Row],[Date]],Database!$A:$C,MATCH($C$1,Database!$A$1:$C$1,),))</f>
        <v/>
      </c>
      <c r="D8662">
        <f>IFERROR(Table7[[#This Row],[United States 10y]]-Table7[[#This Row],[United States 3y]],#N/A)</f>
        <v/>
      </c>
    </row>
    <row r="8663">
      <c r="A8663" s="6">
        <f>Database!$A10748</f>
        <v/>
      </c>
      <c r="B8663">
        <f>IF(VLOOKUP(Table7[[#This Row],[Date]],Database!$A:$C,MATCH($B$1,Database!$A$1:$C$1,),)=0,#N/A,VLOOKUP(Table7[[#This Row],[Date]],Database!$A:$C,MATCH($B$1,Database!$A$1:$C$1,),))</f>
        <v/>
      </c>
      <c r="C8663">
        <f>IF(VLOOKUP(Table7[[#This Row],[Date]],Database!$A:$C,MATCH($C$1,Database!$A$1:$C$1,),)=0,#N/A,VLOOKUP(Table7[[#This Row],[Date]],Database!$A:$C,MATCH($C$1,Database!$A$1:$C$1,),))</f>
        <v/>
      </c>
      <c r="D8663">
        <f>IFERROR(Table7[[#This Row],[United States 10y]]-Table7[[#This Row],[United States 3y]],#N/A)</f>
        <v/>
      </c>
    </row>
    <row r="8664">
      <c r="A8664" s="6">
        <f>Database!$A10749</f>
        <v/>
      </c>
      <c r="B8664">
        <f>IF(VLOOKUP(Table7[[#This Row],[Date]],Database!$A:$C,MATCH($B$1,Database!$A$1:$C$1,),)=0,#N/A,VLOOKUP(Table7[[#This Row],[Date]],Database!$A:$C,MATCH($B$1,Database!$A$1:$C$1,),))</f>
        <v/>
      </c>
      <c r="C8664">
        <f>IF(VLOOKUP(Table7[[#This Row],[Date]],Database!$A:$C,MATCH($C$1,Database!$A$1:$C$1,),)=0,#N/A,VLOOKUP(Table7[[#This Row],[Date]],Database!$A:$C,MATCH($C$1,Database!$A$1:$C$1,),))</f>
        <v/>
      </c>
      <c r="D8664">
        <f>IFERROR(Table7[[#This Row],[United States 10y]]-Table7[[#This Row],[United States 3y]],#N/A)</f>
        <v/>
      </c>
    </row>
    <row r="8665">
      <c r="A8665" s="6">
        <f>Database!$A10750</f>
        <v/>
      </c>
      <c r="B8665">
        <f>IF(VLOOKUP(Table7[[#This Row],[Date]],Database!$A:$C,MATCH($B$1,Database!$A$1:$C$1,),)=0,#N/A,VLOOKUP(Table7[[#This Row],[Date]],Database!$A:$C,MATCH($B$1,Database!$A$1:$C$1,),))</f>
        <v/>
      </c>
      <c r="C8665">
        <f>IF(VLOOKUP(Table7[[#This Row],[Date]],Database!$A:$C,MATCH($C$1,Database!$A$1:$C$1,),)=0,#N/A,VLOOKUP(Table7[[#This Row],[Date]],Database!$A:$C,MATCH($C$1,Database!$A$1:$C$1,),))</f>
        <v/>
      </c>
      <c r="D8665">
        <f>IFERROR(Table7[[#This Row],[United States 10y]]-Table7[[#This Row],[United States 3y]],#N/A)</f>
        <v/>
      </c>
    </row>
    <row r="8666">
      <c r="A8666" s="6">
        <f>Database!$A10751</f>
        <v/>
      </c>
      <c r="B8666">
        <f>IF(VLOOKUP(Table7[[#This Row],[Date]],Database!$A:$C,MATCH($B$1,Database!$A$1:$C$1,),)=0,#N/A,VLOOKUP(Table7[[#This Row],[Date]],Database!$A:$C,MATCH($B$1,Database!$A$1:$C$1,),))</f>
        <v/>
      </c>
      <c r="C8666">
        <f>IF(VLOOKUP(Table7[[#This Row],[Date]],Database!$A:$C,MATCH($C$1,Database!$A$1:$C$1,),)=0,#N/A,VLOOKUP(Table7[[#This Row],[Date]],Database!$A:$C,MATCH($C$1,Database!$A$1:$C$1,),))</f>
        <v/>
      </c>
      <c r="D8666">
        <f>IFERROR(Table7[[#This Row],[United States 10y]]-Table7[[#This Row],[United States 3y]],#N/A)</f>
        <v/>
      </c>
    </row>
    <row r="8667">
      <c r="A8667" s="6">
        <f>Database!$A10752</f>
        <v/>
      </c>
      <c r="B8667">
        <f>IF(VLOOKUP(Table7[[#This Row],[Date]],Database!$A:$C,MATCH($B$1,Database!$A$1:$C$1,),)=0,#N/A,VLOOKUP(Table7[[#This Row],[Date]],Database!$A:$C,MATCH($B$1,Database!$A$1:$C$1,),))</f>
        <v/>
      </c>
      <c r="C8667">
        <f>IF(VLOOKUP(Table7[[#This Row],[Date]],Database!$A:$C,MATCH($C$1,Database!$A$1:$C$1,),)=0,#N/A,VLOOKUP(Table7[[#This Row],[Date]],Database!$A:$C,MATCH($C$1,Database!$A$1:$C$1,),))</f>
        <v/>
      </c>
      <c r="D8667">
        <f>IFERROR(Table7[[#This Row],[United States 10y]]-Table7[[#This Row],[United States 3y]],#N/A)</f>
        <v/>
      </c>
    </row>
    <row r="8668">
      <c r="A8668" s="6">
        <f>Database!$A10753</f>
        <v/>
      </c>
      <c r="B8668">
        <f>IF(VLOOKUP(Table7[[#This Row],[Date]],Database!$A:$C,MATCH($B$1,Database!$A$1:$C$1,),)=0,#N/A,VLOOKUP(Table7[[#This Row],[Date]],Database!$A:$C,MATCH($B$1,Database!$A$1:$C$1,),))</f>
        <v/>
      </c>
      <c r="C8668">
        <f>IF(VLOOKUP(Table7[[#This Row],[Date]],Database!$A:$C,MATCH($C$1,Database!$A$1:$C$1,),)=0,#N/A,VLOOKUP(Table7[[#This Row],[Date]],Database!$A:$C,MATCH($C$1,Database!$A$1:$C$1,),))</f>
        <v/>
      </c>
      <c r="D8668">
        <f>IFERROR(Table7[[#This Row],[United States 10y]]-Table7[[#This Row],[United States 3y]],#N/A)</f>
        <v/>
      </c>
    </row>
    <row r="8669">
      <c r="A8669" s="6">
        <f>Database!$A10754</f>
        <v/>
      </c>
      <c r="B8669">
        <f>IF(VLOOKUP(Table7[[#This Row],[Date]],Database!$A:$C,MATCH($B$1,Database!$A$1:$C$1,),)=0,#N/A,VLOOKUP(Table7[[#This Row],[Date]],Database!$A:$C,MATCH($B$1,Database!$A$1:$C$1,),))</f>
        <v/>
      </c>
      <c r="C8669">
        <f>IF(VLOOKUP(Table7[[#This Row],[Date]],Database!$A:$C,MATCH($C$1,Database!$A$1:$C$1,),)=0,#N/A,VLOOKUP(Table7[[#This Row],[Date]],Database!$A:$C,MATCH($C$1,Database!$A$1:$C$1,),))</f>
        <v/>
      </c>
      <c r="D8669">
        <f>IFERROR(Table7[[#This Row],[United States 10y]]-Table7[[#This Row],[United States 3y]],#N/A)</f>
        <v/>
      </c>
    </row>
    <row r="8670">
      <c r="A8670" s="6">
        <f>Database!$A10755</f>
        <v/>
      </c>
      <c r="B8670">
        <f>IF(VLOOKUP(Table7[[#This Row],[Date]],Database!$A:$C,MATCH($B$1,Database!$A$1:$C$1,),)=0,#N/A,VLOOKUP(Table7[[#This Row],[Date]],Database!$A:$C,MATCH($B$1,Database!$A$1:$C$1,),))</f>
        <v/>
      </c>
      <c r="C8670">
        <f>IF(VLOOKUP(Table7[[#This Row],[Date]],Database!$A:$C,MATCH($C$1,Database!$A$1:$C$1,),)=0,#N/A,VLOOKUP(Table7[[#This Row],[Date]],Database!$A:$C,MATCH($C$1,Database!$A$1:$C$1,),))</f>
        <v/>
      </c>
      <c r="D8670">
        <f>IFERROR(Table7[[#This Row],[United States 10y]]-Table7[[#This Row],[United States 3y]],#N/A)</f>
        <v/>
      </c>
    </row>
    <row r="8671">
      <c r="A8671" s="6">
        <f>Database!$A10756</f>
        <v/>
      </c>
      <c r="B8671">
        <f>IF(VLOOKUP(Table7[[#This Row],[Date]],Database!$A:$C,MATCH($B$1,Database!$A$1:$C$1,),)=0,#N/A,VLOOKUP(Table7[[#This Row],[Date]],Database!$A:$C,MATCH($B$1,Database!$A$1:$C$1,),))</f>
        <v/>
      </c>
      <c r="C8671">
        <f>IF(VLOOKUP(Table7[[#This Row],[Date]],Database!$A:$C,MATCH($C$1,Database!$A$1:$C$1,),)=0,#N/A,VLOOKUP(Table7[[#This Row],[Date]],Database!$A:$C,MATCH($C$1,Database!$A$1:$C$1,),))</f>
        <v/>
      </c>
      <c r="D8671">
        <f>IFERROR(Table7[[#This Row],[United States 10y]]-Table7[[#This Row],[United States 3y]],#N/A)</f>
        <v/>
      </c>
    </row>
    <row r="8672">
      <c r="A8672" s="6">
        <f>Database!$A10757</f>
        <v/>
      </c>
      <c r="B8672">
        <f>IF(VLOOKUP(Table7[[#This Row],[Date]],Database!$A:$C,MATCH($B$1,Database!$A$1:$C$1,),)=0,#N/A,VLOOKUP(Table7[[#This Row],[Date]],Database!$A:$C,MATCH($B$1,Database!$A$1:$C$1,),))</f>
        <v/>
      </c>
      <c r="C8672">
        <f>IF(VLOOKUP(Table7[[#This Row],[Date]],Database!$A:$C,MATCH($C$1,Database!$A$1:$C$1,),)=0,#N/A,VLOOKUP(Table7[[#This Row],[Date]],Database!$A:$C,MATCH($C$1,Database!$A$1:$C$1,),))</f>
        <v/>
      </c>
      <c r="D8672">
        <f>IFERROR(Table7[[#This Row],[United States 10y]]-Table7[[#This Row],[United States 3y]],#N/A)</f>
        <v/>
      </c>
    </row>
    <row r="8673">
      <c r="A8673" s="6">
        <f>Database!$A10758</f>
        <v/>
      </c>
      <c r="B8673">
        <f>IF(VLOOKUP(Table7[[#This Row],[Date]],Database!$A:$C,MATCH($B$1,Database!$A$1:$C$1,),)=0,#N/A,VLOOKUP(Table7[[#This Row],[Date]],Database!$A:$C,MATCH($B$1,Database!$A$1:$C$1,),))</f>
        <v/>
      </c>
      <c r="C8673">
        <f>IF(VLOOKUP(Table7[[#This Row],[Date]],Database!$A:$C,MATCH($C$1,Database!$A$1:$C$1,),)=0,#N/A,VLOOKUP(Table7[[#This Row],[Date]],Database!$A:$C,MATCH($C$1,Database!$A$1:$C$1,),))</f>
        <v/>
      </c>
      <c r="D8673">
        <f>IFERROR(Table7[[#This Row],[United States 10y]]-Table7[[#This Row],[United States 3y]],#N/A)</f>
        <v/>
      </c>
    </row>
    <row r="8674">
      <c r="A8674" s="6">
        <f>Database!$A10759</f>
        <v/>
      </c>
      <c r="B8674">
        <f>IF(VLOOKUP(Table7[[#This Row],[Date]],Database!$A:$C,MATCH($B$1,Database!$A$1:$C$1,),)=0,#N/A,VLOOKUP(Table7[[#This Row],[Date]],Database!$A:$C,MATCH($B$1,Database!$A$1:$C$1,),))</f>
        <v/>
      </c>
      <c r="C8674">
        <f>IF(VLOOKUP(Table7[[#This Row],[Date]],Database!$A:$C,MATCH($C$1,Database!$A$1:$C$1,),)=0,#N/A,VLOOKUP(Table7[[#This Row],[Date]],Database!$A:$C,MATCH($C$1,Database!$A$1:$C$1,),))</f>
        <v/>
      </c>
      <c r="D8674">
        <f>IFERROR(Table7[[#This Row],[United States 10y]]-Table7[[#This Row],[United States 3y]],#N/A)</f>
        <v/>
      </c>
    </row>
    <row r="8675">
      <c r="A8675" s="6">
        <f>Database!$A10760</f>
        <v/>
      </c>
      <c r="B8675">
        <f>IF(VLOOKUP(Table7[[#This Row],[Date]],Database!$A:$C,MATCH($B$1,Database!$A$1:$C$1,),)=0,#N/A,VLOOKUP(Table7[[#This Row],[Date]],Database!$A:$C,MATCH($B$1,Database!$A$1:$C$1,),))</f>
        <v/>
      </c>
      <c r="C8675">
        <f>IF(VLOOKUP(Table7[[#This Row],[Date]],Database!$A:$C,MATCH($C$1,Database!$A$1:$C$1,),)=0,#N/A,VLOOKUP(Table7[[#This Row],[Date]],Database!$A:$C,MATCH($C$1,Database!$A$1:$C$1,),))</f>
        <v/>
      </c>
      <c r="D8675">
        <f>IFERROR(Table7[[#This Row],[United States 10y]]-Table7[[#This Row],[United States 3y]],#N/A)</f>
        <v/>
      </c>
    </row>
    <row r="8676">
      <c r="A8676" s="6">
        <f>Database!$A10761</f>
        <v/>
      </c>
      <c r="B8676">
        <f>IF(VLOOKUP(Table7[[#This Row],[Date]],Database!$A:$C,MATCH($B$1,Database!$A$1:$C$1,),)=0,#N/A,VLOOKUP(Table7[[#This Row],[Date]],Database!$A:$C,MATCH($B$1,Database!$A$1:$C$1,),))</f>
        <v/>
      </c>
      <c r="C8676">
        <f>IF(VLOOKUP(Table7[[#This Row],[Date]],Database!$A:$C,MATCH($C$1,Database!$A$1:$C$1,),)=0,#N/A,VLOOKUP(Table7[[#This Row],[Date]],Database!$A:$C,MATCH($C$1,Database!$A$1:$C$1,),))</f>
        <v/>
      </c>
      <c r="D8676">
        <f>IFERROR(Table7[[#This Row],[United States 10y]]-Table7[[#This Row],[United States 3y]],#N/A)</f>
        <v/>
      </c>
    </row>
    <row r="8677">
      <c r="A8677" s="6">
        <f>Database!$A10762</f>
        <v/>
      </c>
      <c r="B8677">
        <f>IF(VLOOKUP(Table7[[#This Row],[Date]],Database!$A:$C,MATCH($B$1,Database!$A$1:$C$1,),)=0,#N/A,VLOOKUP(Table7[[#This Row],[Date]],Database!$A:$C,MATCH($B$1,Database!$A$1:$C$1,),))</f>
        <v/>
      </c>
      <c r="C8677">
        <f>IF(VLOOKUP(Table7[[#This Row],[Date]],Database!$A:$C,MATCH($C$1,Database!$A$1:$C$1,),)=0,#N/A,VLOOKUP(Table7[[#This Row],[Date]],Database!$A:$C,MATCH($C$1,Database!$A$1:$C$1,),))</f>
        <v/>
      </c>
      <c r="D8677">
        <f>IFERROR(Table7[[#This Row],[United States 10y]]-Table7[[#This Row],[United States 3y]],#N/A)</f>
        <v/>
      </c>
    </row>
    <row r="8678">
      <c r="A8678" s="6">
        <f>Database!$A10763</f>
        <v/>
      </c>
      <c r="B8678">
        <f>IF(VLOOKUP(Table7[[#This Row],[Date]],Database!$A:$C,MATCH($B$1,Database!$A$1:$C$1,),)=0,#N/A,VLOOKUP(Table7[[#This Row],[Date]],Database!$A:$C,MATCH($B$1,Database!$A$1:$C$1,),))</f>
        <v/>
      </c>
      <c r="C8678">
        <f>IF(VLOOKUP(Table7[[#This Row],[Date]],Database!$A:$C,MATCH($C$1,Database!$A$1:$C$1,),)=0,#N/A,VLOOKUP(Table7[[#This Row],[Date]],Database!$A:$C,MATCH($C$1,Database!$A$1:$C$1,),))</f>
        <v/>
      </c>
      <c r="D8678">
        <f>IFERROR(Table7[[#This Row],[United States 10y]]-Table7[[#This Row],[United States 3y]],#N/A)</f>
        <v/>
      </c>
    </row>
    <row r="8679">
      <c r="A8679" s="6">
        <f>Database!$A10764</f>
        <v/>
      </c>
      <c r="B8679">
        <f>IF(VLOOKUP(Table7[[#This Row],[Date]],Database!$A:$C,MATCH($B$1,Database!$A$1:$C$1,),)=0,#N/A,VLOOKUP(Table7[[#This Row],[Date]],Database!$A:$C,MATCH($B$1,Database!$A$1:$C$1,),))</f>
        <v/>
      </c>
      <c r="C8679">
        <f>IF(VLOOKUP(Table7[[#This Row],[Date]],Database!$A:$C,MATCH($C$1,Database!$A$1:$C$1,),)=0,#N/A,VLOOKUP(Table7[[#This Row],[Date]],Database!$A:$C,MATCH($C$1,Database!$A$1:$C$1,),))</f>
        <v/>
      </c>
      <c r="D8679">
        <f>IFERROR(Table7[[#This Row],[United States 10y]]-Table7[[#This Row],[United States 3y]],#N/A)</f>
        <v/>
      </c>
    </row>
    <row r="8680">
      <c r="A8680" s="6">
        <f>Database!$A10765</f>
        <v/>
      </c>
      <c r="B8680">
        <f>IF(VLOOKUP(Table7[[#This Row],[Date]],Database!$A:$C,MATCH($B$1,Database!$A$1:$C$1,),)=0,#N/A,VLOOKUP(Table7[[#This Row],[Date]],Database!$A:$C,MATCH($B$1,Database!$A$1:$C$1,),))</f>
        <v/>
      </c>
      <c r="C8680">
        <f>IF(VLOOKUP(Table7[[#This Row],[Date]],Database!$A:$C,MATCH($C$1,Database!$A$1:$C$1,),)=0,#N/A,VLOOKUP(Table7[[#This Row],[Date]],Database!$A:$C,MATCH($C$1,Database!$A$1:$C$1,),))</f>
        <v/>
      </c>
      <c r="D8680">
        <f>IFERROR(Table7[[#This Row],[United States 10y]]-Table7[[#This Row],[United States 3y]],#N/A)</f>
        <v/>
      </c>
    </row>
    <row r="8681">
      <c r="A8681" s="6">
        <f>Database!$A10766</f>
        <v/>
      </c>
      <c r="B8681">
        <f>IF(VLOOKUP(Table7[[#This Row],[Date]],Database!$A:$C,MATCH($B$1,Database!$A$1:$C$1,),)=0,#N/A,VLOOKUP(Table7[[#This Row],[Date]],Database!$A:$C,MATCH($B$1,Database!$A$1:$C$1,),))</f>
        <v/>
      </c>
      <c r="C8681">
        <f>IF(VLOOKUP(Table7[[#This Row],[Date]],Database!$A:$C,MATCH($C$1,Database!$A$1:$C$1,),)=0,#N/A,VLOOKUP(Table7[[#This Row],[Date]],Database!$A:$C,MATCH($C$1,Database!$A$1:$C$1,),))</f>
        <v/>
      </c>
      <c r="D8681">
        <f>IFERROR(Table7[[#This Row],[United States 10y]]-Table7[[#This Row],[United States 3y]],#N/A)</f>
        <v/>
      </c>
    </row>
    <row r="8682">
      <c r="A8682" s="6">
        <f>Database!$A10767</f>
        <v/>
      </c>
      <c r="B8682">
        <f>IF(VLOOKUP(Table7[[#This Row],[Date]],Database!$A:$C,MATCH($B$1,Database!$A$1:$C$1,),)=0,#N/A,VLOOKUP(Table7[[#This Row],[Date]],Database!$A:$C,MATCH($B$1,Database!$A$1:$C$1,),))</f>
        <v/>
      </c>
      <c r="C8682">
        <f>IF(VLOOKUP(Table7[[#This Row],[Date]],Database!$A:$C,MATCH($C$1,Database!$A$1:$C$1,),)=0,#N/A,VLOOKUP(Table7[[#This Row],[Date]],Database!$A:$C,MATCH($C$1,Database!$A$1:$C$1,),))</f>
        <v/>
      </c>
      <c r="D8682">
        <f>IFERROR(Table7[[#This Row],[United States 10y]]-Table7[[#This Row],[United States 3y]],#N/A)</f>
        <v/>
      </c>
    </row>
    <row r="8683">
      <c r="A8683" s="6">
        <f>Database!$A10768</f>
        <v/>
      </c>
      <c r="B8683">
        <f>IF(VLOOKUP(Table7[[#This Row],[Date]],Database!$A:$C,MATCH($B$1,Database!$A$1:$C$1,),)=0,#N/A,VLOOKUP(Table7[[#This Row],[Date]],Database!$A:$C,MATCH($B$1,Database!$A$1:$C$1,),))</f>
        <v/>
      </c>
      <c r="C8683">
        <f>IF(VLOOKUP(Table7[[#This Row],[Date]],Database!$A:$C,MATCH($C$1,Database!$A$1:$C$1,),)=0,#N/A,VLOOKUP(Table7[[#This Row],[Date]],Database!$A:$C,MATCH($C$1,Database!$A$1:$C$1,),))</f>
        <v/>
      </c>
      <c r="D8683">
        <f>IFERROR(Table7[[#This Row],[United States 10y]]-Table7[[#This Row],[United States 3y]],#N/A)</f>
        <v/>
      </c>
    </row>
    <row r="8684">
      <c r="A8684" s="6">
        <f>Database!$A10769</f>
        <v/>
      </c>
      <c r="B8684">
        <f>IF(VLOOKUP(Table7[[#This Row],[Date]],Database!$A:$C,MATCH($B$1,Database!$A$1:$C$1,),)=0,#N/A,VLOOKUP(Table7[[#This Row],[Date]],Database!$A:$C,MATCH($B$1,Database!$A$1:$C$1,),))</f>
        <v/>
      </c>
      <c r="C8684">
        <f>IF(VLOOKUP(Table7[[#This Row],[Date]],Database!$A:$C,MATCH($C$1,Database!$A$1:$C$1,),)=0,#N/A,VLOOKUP(Table7[[#This Row],[Date]],Database!$A:$C,MATCH($C$1,Database!$A$1:$C$1,),))</f>
        <v/>
      </c>
      <c r="D8684">
        <f>IFERROR(Table7[[#This Row],[United States 10y]]-Table7[[#This Row],[United States 3y]],#N/A)</f>
        <v/>
      </c>
    </row>
    <row r="8685">
      <c r="A8685" s="6">
        <f>Database!$A10770</f>
        <v/>
      </c>
      <c r="B8685">
        <f>IF(VLOOKUP(Table7[[#This Row],[Date]],Database!$A:$C,MATCH($B$1,Database!$A$1:$C$1,),)=0,#N/A,VLOOKUP(Table7[[#This Row],[Date]],Database!$A:$C,MATCH($B$1,Database!$A$1:$C$1,),))</f>
        <v/>
      </c>
      <c r="C8685">
        <f>IF(VLOOKUP(Table7[[#This Row],[Date]],Database!$A:$C,MATCH($C$1,Database!$A$1:$C$1,),)=0,#N/A,VLOOKUP(Table7[[#This Row],[Date]],Database!$A:$C,MATCH($C$1,Database!$A$1:$C$1,),))</f>
        <v/>
      </c>
      <c r="D8685">
        <f>IFERROR(Table7[[#This Row],[United States 10y]]-Table7[[#This Row],[United States 3y]],#N/A)</f>
        <v/>
      </c>
    </row>
    <row r="8686">
      <c r="A8686" s="6">
        <f>Database!$A10771</f>
        <v/>
      </c>
      <c r="B8686">
        <f>IF(VLOOKUP(Table7[[#This Row],[Date]],Database!$A:$C,MATCH($B$1,Database!$A$1:$C$1,),)=0,#N/A,VLOOKUP(Table7[[#This Row],[Date]],Database!$A:$C,MATCH($B$1,Database!$A$1:$C$1,),))</f>
        <v/>
      </c>
      <c r="C8686">
        <f>IF(VLOOKUP(Table7[[#This Row],[Date]],Database!$A:$C,MATCH($C$1,Database!$A$1:$C$1,),)=0,#N/A,VLOOKUP(Table7[[#This Row],[Date]],Database!$A:$C,MATCH($C$1,Database!$A$1:$C$1,),))</f>
        <v/>
      </c>
      <c r="D8686">
        <f>IFERROR(Table7[[#This Row],[United States 10y]]-Table7[[#This Row],[United States 3y]],#N/A)</f>
        <v/>
      </c>
    </row>
    <row r="8687">
      <c r="A8687" s="6">
        <f>Database!$A10772</f>
        <v/>
      </c>
      <c r="B8687">
        <f>IF(VLOOKUP(Table7[[#This Row],[Date]],Database!$A:$C,MATCH($B$1,Database!$A$1:$C$1,),)=0,#N/A,VLOOKUP(Table7[[#This Row],[Date]],Database!$A:$C,MATCH($B$1,Database!$A$1:$C$1,),))</f>
        <v/>
      </c>
      <c r="C8687">
        <f>IF(VLOOKUP(Table7[[#This Row],[Date]],Database!$A:$C,MATCH($C$1,Database!$A$1:$C$1,),)=0,#N/A,VLOOKUP(Table7[[#This Row],[Date]],Database!$A:$C,MATCH($C$1,Database!$A$1:$C$1,),))</f>
        <v/>
      </c>
      <c r="D8687">
        <f>IFERROR(Table7[[#This Row],[United States 10y]]-Table7[[#This Row],[United States 3y]],#N/A)</f>
        <v/>
      </c>
    </row>
    <row r="8688">
      <c r="A8688" s="6">
        <f>Database!$A10773</f>
        <v/>
      </c>
      <c r="B8688">
        <f>IF(VLOOKUP(Table7[[#This Row],[Date]],Database!$A:$C,MATCH($B$1,Database!$A$1:$C$1,),)=0,#N/A,VLOOKUP(Table7[[#This Row],[Date]],Database!$A:$C,MATCH($B$1,Database!$A$1:$C$1,),))</f>
        <v/>
      </c>
      <c r="C8688">
        <f>IF(VLOOKUP(Table7[[#This Row],[Date]],Database!$A:$C,MATCH($C$1,Database!$A$1:$C$1,),)=0,#N/A,VLOOKUP(Table7[[#This Row],[Date]],Database!$A:$C,MATCH($C$1,Database!$A$1:$C$1,),))</f>
        <v/>
      </c>
      <c r="D8688">
        <f>IFERROR(Table7[[#This Row],[United States 10y]]-Table7[[#This Row],[United States 3y]],#N/A)</f>
        <v/>
      </c>
    </row>
    <row r="8689">
      <c r="A8689" s="6">
        <f>Database!$A10774</f>
        <v/>
      </c>
      <c r="B8689">
        <f>IF(VLOOKUP(Table7[[#This Row],[Date]],Database!$A:$C,MATCH($B$1,Database!$A$1:$C$1,),)=0,#N/A,VLOOKUP(Table7[[#This Row],[Date]],Database!$A:$C,MATCH($B$1,Database!$A$1:$C$1,),))</f>
        <v/>
      </c>
      <c r="C8689">
        <f>IF(VLOOKUP(Table7[[#This Row],[Date]],Database!$A:$C,MATCH($C$1,Database!$A$1:$C$1,),)=0,#N/A,VLOOKUP(Table7[[#This Row],[Date]],Database!$A:$C,MATCH($C$1,Database!$A$1:$C$1,),))</f>
        <v/>
      </c>
      <c r="D8689">
        <f>IFERROR(Table7[[#This Row],[United States 10y]]-Table7[[#This Row],[United States 3y]],#N/A)</f>
        <v/>
      </c>
    </row>
    <row r="8690">
      <c r="A8690" s="6">
        <f>Database!$A10775</f>
        <v/>
      </c>
      <c r="B8690">
        <f>IF(VLOOKUP(Table7[[#This Row],[Date]],Database!$A:$C,MATCH($B$1,Database!$A$1:$C$1,),)=0,#N/A,VLOOKUP(Table7[[#This Row],[Date]],Database!$A:$C,MATCH($B$1,Database!$A$1:$C$1,),))</f>
        <v/>
      </c>
      <c r="C8690">
        <f>IF(VLOOKUP(Table7[[#This Row],[Date]],Database!$A:$C,MATCH($C$1,Database!$A$1:$C$1,),)=0,#N/A,VLOOKUP(Table7[[#This Row],[Date]],Database!$A:$C,MATCH($C$1,Database!$A$1:$C$1,),))</f>
        <v/>
      </c>
      <c r="D8690">
        <f>IFERROR(Table7[[#This Row],[United States 10y]]-Table7[[#This Row],[United States 3y]],#N/A)</f>
        <v/>
      </c>
    </row>
    <row r="8691">
      <c r="A8691" s="6">
        <f>Database!$A10776</f>
        <v/>
      </c>
      <c r="B8691">
        <f>IF(VLOOKUP(Table7[[#This Row],[Date]],Database!$A:$C,MATCH($B$1,Database!$A$1:$C$1,),)=0,#N/A,VLOOKUP(Table7[[#This Row],[Date]],Database!$A:$C,MATCH($B$1,Database!$A$1:$C$1,),))</f>
        <v/>
      </c>
      <c r="C8691">
        <f>IF(VLOOKUP(Table7[[#This Row],[Date]],Database!$A:$C,MATCH($C$1,Database!$A$1:$C$1,),)=0,#N/A,VLOOKUP(Table7[[#This Row],[Date]],Database!$A:$C,MATCH($C$1,Database!$A$1:$C$1,),))</f>
        <v/>
      </c>
      <c r="D8691">
        <f>IFERROR(Table7[[#This Row],[United States 10y]]-Table7[[#This Row],[United States 3y]],#N/A)</f>
        <v/>
      </c>
    </row>
    <row r="8692">
      <c r="A8692" s="6">
        <f>Database!$A10777</f>
        <v/>
      </c>
      <c r="B8692">
        <f>IF(VLOOKUP(Table7[[#This Row],[Date]],Database!$A:$C,MATCH($B$1,Database!$A$1:$C$1,),)=0,#N/A,VLOOKUP(Table7[[#This Row],[Date]],Database!$A:$C,MATCH($B$1,Database!$A$1:$C$1,),))</f>
        <v/>
      </c>
      <c r="C8692">
        <f>IF(VLOOKUP(Table7[[#This Row],[Date]],Database!$A:$C,MATCH($C$1,Database!$A$1:$C$1,),)=0,#N/A,VLOOKUP(Table7[[#This Row],[Date]],Database!$A:$C,MATCH($C$1,Database!$A$1:$C$1,),))</f>
        <v/>
      </c>
      <c r="D8692">
        <f>IFERROR(Table7[[#This Row],[United States 10y]]-Table7[[#This Row],[United States 3y]],#N/A)</f>
        <v/>
      </c>
    </row>
    <row r="8693">
      <c r="A8693" s="6">
        <f>Database!$A10778</f>
        <v/>
      </c>
      <c r="B8693">
        <f>IF(VLOOKUP(Table7[[#This Row],[Date]],Database!$A:$C,MATCH($B$1,Database!$A$1:$C$1,),)=0,#N/A,VLOOKUP(Table7[[#This Row],[Date]],Database!$A:$C,MATCH($B$1,Database!$A$1:$C$1,),))</f>
        <v/>
      </c>
      <c r="C8693">
        <f>IF(VLOOKUP(Table7[[#This Row],[Date]],Database!$A:$C,MATCH($C$1,Database!$A$1:$C$1,),)=0,#N/A,VLOOKUP(Table7[[#This Row],[Date]],Database!$A:$C,MATCH($C$1,Database!$A$1:$C$1,),))</f>
        <v/>
      </c>
      <c r="D8693">
        <f>IFERROR(Table7[[#This Row],[United States 10y]]-Table7[[#This Row],[United States 3y]],#N/A)</f>
        <v/>
      </c>
    </row>
    <row r="8694">
      <c r="A8694" s="6">
        <f>Database!$A10779</f>
        <v/>
      </c>
      <c r="B8694">
        <f>IF(VLOOKUP(Table7[[#This Row],[Date]],Database!$A:$C,MATCH($B$1,Database!$A$1:$C$1,),)=0,#N/A,VLOOKUP(Table7[[#This Row],[Date]],Database!$A:$C,MATCH($B$1,Database!$A$1:$C$1,),))</f>
        <v/>
      </c>
      <c r="C8694">
        <f>IF(VLOOKUP(Table7[[#This Row],[Date]],Database!$A:$C,MATCH($C$1,Database!$A$1:$C$1,),)=0,#N/A,VLOOKUP(Table7[[#This Row],[Date]],Database!$A:$C,MATCH($C$1,Database!$A$1:$C$1,),))</f>
        <v/>
      </c>
      <c r="D8694">
        <f>IFERROR(Table7[[#This Row],[United States 10y]]-Table7[[#This Row],[United States 3y]],#N/A)</f>
        <v/>
      </c>
    </row>
    <row r="8695">
      <c r="A8695" s="6">
        <f>Database!$A10780</f>
        <v/>
      </c>
      <c r="B8695">
        <f>IF(VLOOKUP(Table7[[#This Row],[Date]],Database!$A:$C,MATCH($B$1,Database!$A$1:$C$1,),)=0,#N/A,VLOOKUP(Table7[[#This Row],[Date]],Database!$A:$C,MATCH($B$1,Database!$A$1:$C$1,),))</f>
        <v/>
      </c>
      <c r="C8695">
        <f>IF(VLOOKUP(Table7[[#This Row],[Date]],Database!$A:$C,MATCH($C$1,Database!$A$1:$C$1,),)=0,#N/A,VLOOKUP(Table7[[#This Row],[Date]],Database!$A:$C,MATCH($C$1,Database!$A$1:$C$1,),))</f>
        <v/>
      </c>
      <c r="D8695">
        <f>IFERROR(Table7[[#This Row],[United States 10y]]-Table7[[#This Row],[United States 3y]],#N/A)</f>
        <v/>
      </c>
    </row>
    <row r="8696">
      <c r="A8696" s="6">
        <f>Database!$A10781</f>
        <v/>
      </c>
      <c r="B8696">
        <f>IF(VLOOKUP(Table7[[#This Row],[Date]],Database!$A:$C,MATCH($B$1,Database!$A$1:$C$1,),)=0,#N/A,VLOOKUP(Table7[[#This Row],[Date]],Database!$A:$C,MATCH($B$1,Database!$A$1:$C$1,),))</f>
        <v/>
      </c>
      <c r="C8696">
        <f>IF(VLOOKUP(Table7[[#This Row],[Date]],Database!$A:$C,MATCH($C$1,Database!$A$1:$C$1,),)=0,#N/A,VLOOKUP(Table7[[#This Row],[Date]],Database!$A:$C,MATCH($C$1,Database!$A$1:$C$1,),))</f>
        <v/>
      </c>
      <c r="D8696">
        <f>IFERROR(Table7[[#This Row],[United States 10y]]-Table7[[#This Row],[United States 3y]],#N/A)</f>
        <v/>
      </c>
    </row>
    <row r="8697">
      <c r="A8697" s="6">
        <f>Database!$A10782</f>
        <v/>
      </c>
      <c r="B8697">
        <f>IF(VLOOKUP(Table7[[#This Row],[Date]],Database!$A:$C,MATCH($B$1,Database!$A$1:$C$1,),)=0,#N/A,VLOOKUP(Table7[[#This Row],[Date]],Database!$A:$C,MATCH($B$1,Database!$A$1:$C$1,),))</f>
        <v/>
      </c>
      <c r="C8697">
        <f>IF(VLOOKUP(Table7[[#This Row],[Date]],Database!$A:$C,MATCH($C$1,Database!$A$1:$C$1,),)=0,#N/A,VLOOKUP(Table7[[#This Row],[Date]],Database!$A:$C,MATCH($C$1,Database!$A$1:$C$1,),))</f>
        <v/>
      </c>
      <c r="D8697">
        <f>IFERROR(Table7[[#This Row],[United States 10y]]-Table7[[#This Row],[United States 3y]],#N/A)</f>
        <v/>
      </c>
    </row>
    <row r="8698">
      <c r="A8698" s="6">
        <f>Database!$A10783</f>
        <v/>
      </c>
      <c r="B8698">
        <f>IF(VLOOKUP(Table7[[#This Row],[Date]],Database!$A:$C,MATCH($B$1,Database!$A$1:$C$1,),)=0,#N/A,VLOOKUP(Table7[[#This Row],[Date]],Database!$A:$C,MATCH($B$1,Database!$A$1:$C$1,),))</f>
        <v/>
      </c>
      <c r="C8698">
        <f>IF(VLOOKUP(Table7[[#This Row],[Date]],Database!$A:$C,MATCH($C$1,Database!$A$1:$C$1,),)=0,#N/A,VLOOKUP(Table7[[#This Row],[Date]],Database!$A:$C,MATCH($C$1,Database!$A$1:$C$1,),))</f>
        <v/>
      </c>
      <c r="D8698">
        <f>IFERROR(Table7[[#This Row],[United States 10y]]-Table7[[#This Row],[United States 3y]],#N/A)</f>
        <v/>
      </c>
    </row>
    <row r="8699">
      <c r="A8699" s="6">
        <f>Database!$A10784</f>
        <v/>
      </c>
      <c r="B8699">
        <f>IF(VLOOKUP(Table7[[#This Row],[Date]],Database!$A:$C,MATCH($B$1,Database!$A$1:$C$1,),)=0,#N/A,VLOOKUP(Table7[[#This Row],[Date]],Database!$A:$C,MATCH($B$1,Database!$A$1:$C$1,),))</f>
        <v/>
      </c>
      <c r="C8699">
        <f>IF(VLOOKUP(Table7[[#This Row],[Date]],Database!$A:$C,MATCH($C$1,Database!$A$1:$C$1,),)=0,#N/A,VLOOKUP(Table7[[#This Row],[Date]],Database!$A:$C,MATCH($C$1,Database!$A$1:$C$1,),))</f>
        <v/>
      </c>
      <c r="D8699">
        <f>IFERROR(Table7[[#This Row],[United States 10y]]-Table7[[#This Row],[United States 3y]],#N/A)</f>
        <v/>
      </c>
    </row>
    <row r="8700">
      <c r="A8700" s="6">
        <f>Database!$A10785</f>
        <v/>
      </c>
      <c r="B8700">
        <f>IF(VLOOKUP(Table7[[#This Row],[Date]],Database!$A:$C,MATCH($B$1,Database!$A$1:$C$1,),)=0,#N/A,VLOOKUP(Table7[[#This Row],[Date]],Database!$A:$C,MATCH($B$1,Database!$A$1:$C$1,),))</f>
        <v/>
      </c>
      <c r="C8700">
        <f>IF(VLOOKUP(Table7[[#This Row],[Date]],Database!$A:$C,MATCH($C$1,Database!$A$1:$C$1,),)=0,#N/A,VLOOKUP(Table7[[#This Row],[Date]],Database!$A:$C,MATCH($C$1,Database!$A$1:$C$1,),))</f>
        <v/>
      </c>
      <c r="D8700">
        <f>IFERROR(Table7[[#This Row],[United States 10y]]-Table7[[#This Row],[United States 3y]],#N/A)</f>
        <v/>
      </c>
    </row>
    <row r="8701">
      <c r="A8701" s="6">
        <f>Database!$A10786</f>
        <v/>
      </c>
      <c r="B8701">
        <f>IF(VLOOKUP(Table7[[#This Row],[Date]],Database!$A:$C,MATCH($B$1,Database!$A$1:$C$1,),)=0,#N/A,VLOOKUP(Table7[[#This Row],[Date]],Database!$A:$C,MATCH($B$1,Database!$A$1:$C$1,),))</f>
        <v/>
      </c>
      <c r="C8701">
        <f>IF(VLOOKUP(Table7[[#This Row],[Date]],Database!$A:$C,MATCH($C$1,Database!$A$1:$C$1,),)=0,#N/A,VLOOKUP(Table7[[#This Row],[Date]],Database!$A:$C,MATCH($C$1,Database!$A$1:$C$1,),))</f>
        <v/>
      </c>
      <c r="D8701">
        <f>IFERROR(Table7[[#This Row],[United States 10y]]-Table7[[#This Row],[United States 3y]],#N/A)</f>
        <v/>
      </c>
    </row>
    <row r="8702">
      <c r="A8702" s="6">
        <f>Database!$A10787</f>
        <v/>
      </c>
      <c r="B8702">
        <f>IF(VLOOKUP(Table7[[#This Row],[Date]],Database!$A:$C,MATCH($B$1,Database!$A$1:$C$1,),)=0,#N/A,VLOOKUP(Table7[[#This Row],[Date]],Database!$A:$C,MATCH($B$1,Database!$A$1:$C$1,),))</f>
        <v/>
      </c>
      <c r="C8702">
        <f>IF(VLOOKUP(Table7[[#This Row],[Date]],Database!$A:$C,MATCH($C$1,Database!$A$1:$C$1,),)=0,#N/A,VLOOKUP(Table7[[#This Row],[Date]],Database!$A:$C,MATCH($C$1,Database!$A$1:$C$1,),))</f>
        <v/>
      </c>
      <c r="D8702">
        <f>IFERROR(Table7[[#This Row],[United States 10y]]-Table7[[#This Row],[United States 3y]],#N/A)</f>
        <v/>
      </c>
    </row>
    <row r="8703">
      <c r="A8703" s="6">
        <f>Database!$A10788</f>
        <v/>
      </c>
      <c r="B8703">
        <f>IF(VLOOKUP(Table7[[#This Row],[Date]],Database!$A:$C,MATCH($B$1,Database!$A$1:$C$1,),)=0,#N/A,VLOOKUP(Table7[[#This Row],[Date]],Database!$A:$C,MATCH($B$1,Database!$A$1:$C$1,),))</f>
        <v/>
      </c>
      <c r="C8703">
        <f>IF(VLOOKUP(Table7[[#This Row],[Date]],Database!$A:$C,MATCH($C$1,Database!$A$1:$C$1,),)=0,#N/A,VLOOKUP(Table7[[#This Row],[Date]],Database!$A:$C,MATCH($C$1,Database!$A$1:$C$1,),))</f>
        <v/>
      </c>
      <c r="D8703">
        <f>IFERROR(Table7[[#This Row],[United States 10y]]-Table7[[#This Row],[United States 3y]],#N/A)</f>
        <v/>
      </c>
    </row>
    <row r="8704">
      <c r="A8704" s="6">
        <f>Database!$A10789</f>
        <v/>
      </c>
      <c r="B8704">
        <f>IF(VLOOKUP(Table7[[#This Row],[Date]],Database!$A:$C,MATCH($B$1,Database!$A$1:$C$1,),)=0,#N/A,VLOOKUP(Table7[[#This Row],[Date]],Database!$A:$C,MATCH($B$1,Database!$A$1:$C$1,),))</f>
        <v/>
      </c>
      <c r="C8704">
        <f>IF(VLOOKUP(Table7[[#This Row],[Date]],Database!$A:$C,MATCH($C$1,Database!$A$1:$C$1,),)=0,#N/A,VLOOKUP(Table7[[#This Row],[Date]],Database!$A:$C,MATCH($C$1,Database!$A$1:$C$1,),))</f>
        <v/>
      </c>
      <c r="D8704">
        <f>IFERROR(Table7[[#This Row],[United States 10y]]-Table7[[#This Row],[United States 3y]],#N/A)</f>
        <v/>
      </c>
    </row>
    <row r="8705">
      <c r="A8705" s="6">
        <f>Database!$A10790</f>
        <v/>
      </c>
      <c r="B8705">
        <f>IF(VLOOKUP(Table7[[#This Row],[Date]],Database!$A:$C,MATCH($B$1,Database!$A$1:$C$1,),)=0,#N/A,VLOOKUP(Table7[[#This Row],[Date]],Database!$A:$C,MATCH($B$1,Database!$A$1:$C$1,),))</f>
        <v/>
      </c>
      <c r="C8705">
        <f>IF(VLOOKUP(Table7[[#This Row],[Date]],Database!$A:$C,MATCH($C$1,Database!$A$1:$C$1,),)=0,#N/A,VLOOKUP(Table7[[#This Row],[Date]],Database!$A:$C,MATCH($C$1,Database!$A$1:$C$1,),))</f>
        <v/>
      </c>
      <c r="D8705">
        <f>IFERROR(Table7[[#This Row],[United States 10y]]-Table7[[#This Row],[United States 3y]],#N/A)</f>
        <v/>
      </c>
    </row>
    <row r="8706">
      <c r="A8706" s="6">
        <f>Database!$A10791</f>
        <v/>
      </c>
      <c r="B8706">
        <f>IF(VLOOKUP(Table7[[#This Row],[Date]],Database!$A:$C,MATCH($B$1,Database!$A$1:$C$1,),)=0,#N/A,VLOOKUP(Table7[[#This Row],[Date]],Database!$A:$C,MATCH($B$1,Database!$A$1:$C$1,),))</f>
        <v/>
      </c>
      <c r="C8706">
        <f>IF(VLOOKUP(Table7[[#This Row],[Date]],Database!$A:$C,MATCH($C$1,Database!$A$1:$C$1,),)=0,#N/A,VLOOKUP(Table7[[#This Row],[Date]],Database!$A:$C,MATCH($C$1,Database!$A$1:$C$1,),))</f>
        <v/>
      </c>
      <c r="D8706">
        <f>IFERROR(Table7[[#This Row],[United States 10y]]-Table7[[#This Row],[United States 3y]],#N/A)</f>
        <v/>
      </c>
    </row>
    <row r="8707">
      <c r="A8707" s="6">
        <f>Database!$A10792</f>
        <v/>
      </c>
      <c r="B8707">
        <f>IF(VLOOKUP(Table7[[#This Row],[Date]],Database!$A:$C,MATCH($B$1,Database!$A$1:$C$1,),)=0,#N/A,VLOOKUP(Table7[[#This Row],[Date]],Database!$A:$C,MATCH($B$1,Database!$A$1:$C$1,),))</f>
        <v/>
      </c>
      <c r="C8707">
        <f>IF(VLOOKUP(Table7[[#This Row],[Date]],Database!$A:$C,MATCH($C$1,Database!$A$1:$C$1,),)=0,#N/A,VLOOKUP(Table7[[#This Row],[Date]],Database!$A:$C,MATCH($C$1,Database!$A$1:$C$1,),))</f>
        <v/>
      </c>
      <c r="D8707">
        <f>IFERROR(Table7[[#This Row],[United States 10y]]-Table7[[#This Row],[United States 3y]],#N/A)</f>
        <v/>
      </c>
    </row>
    <row r="8708">
      <c r="A8708" s="6">
        <f>Database!$A10793</f>
        <v/>
      </c>
      <c r="B8708">
        <f>IF(VLOOKUP(Table7[[#This Row],[Date]],Database!$A:$C,MATCH($B$1,Database!$A$1:$C$1,),)=0,#N/A,VLOOKUP(Table7[[#This Row],[Date]],Database!$A:$C,MATCH($B$1,Database!$A$1:$C$1,),))</f>
        <v/>
      </c>
      <c r="C8708">
        <f>IF(VLOOKUP(Table7[[#This Row],[Date]],Database!$A:$C,MATCH($C$1,Database!$A$1:$C$1,),)=0,#N/A,VLOOKUP(Table7[[#This Row],[Date]],Database!$A:$C,MATCH($C$1,Database!$A$1:$C$1,),))</f>
        <v/>
      </c>
      <c r="D8708">
        <f>IFERROR(Table7[[#This Row],[United States 10y]]-Table7[[#This Row],[United States 3y]],#N/A)</f>
        <v/>
      </c>
    </row>
    <row r="8709">
      <c r="A8709" s="6">
        <f>Database!$A10794</f>
        <v/>
      </c>
      <c r="B8709">
        <f>IF(VLOOKUP(Table7[[#This Row],[Date]],Database!$A:$C,MATCH($B$1,Database!$A$1:$C$1,),)=0,#N/A,VLOOKUP(Table7[[#This Row],[Date]],Database!$A:$C,MATCH($B$1,Database!$A$1:$C$1,),))</f>
        <v/>
      </c>
      <c r="C8709">
        <f>IF(VLOOKUP(Table7[[#This Row],[Date]],Database!$A:$C,MATCH($C$1,Database!$A$1:$C$1,),)=0,#N/A,VLOOKUP(Table7[[#This Row],[Date]],Database!$A:$C,MATCH($C$1,Database!$A$1:$C$1,),))</f>
        <v/>
      </c>
      <c r="D8709">
        <f>IFERROR(Table7[[#This Row],[United States 10y]]-Table7[[#This Row],[United States 3y]],#N/A)</f>
        <v/>
      </c>
    </row>
    <row r="8710">
      <c r="A8710" s="6">
        <f>Database!$A10795</f>
        <v/>
      </c>
      <c r="B8710">
        <f>IF(VLOOKUP(Table7[[#This Row],[Date]],Database!$A:$C,MATCH($B$1,Database!$A$1:$C$1,),)=0,#N/A,VLOOKUP(Table7[[#This Row],[Date]],Database!$A:$C,MATCH($B$1,Database!$A$1:$C$1,),))</f>
        <v/>
      </c>
      <c r="C8710">
        <f>IF(VLOOKUP(Table7[[#This Row],[Date]],Database!$A:$C,MATCH($C$1,Database!$A$1:$C$1,),)=0,#N/A,VLOOKUP(Table7[[#This Row],[Date]],Database!$A:$C,MATCH($C$1,Database!$A$1:$C$1,),))</f>
        <v/>
      </c>
      <c r="D8710">
        <f>IFERROR(Table7[[#This Row],[United States 10y]]-Table7[[#This Row],[United States 3y]],#N/A)</f>
        <v/>
      </c>
    </row>
    <row r="8711">
      <c r="A8711" s="6">
        <f>Database!$A10796</f>
        <v/>
      </c>
      <c r="B8711">
        <f>IF(VLOOKUP(Table7[[#This Row],[Date]],Database!$A:$C,MATCH($B$1,Database!$A$1:$C$1,),)=0,#N/A,VLOOKUP(Table7[[#This Row],[Date]],Database!$A:$C,MATCH($B$1,Database!$A$1:$C$1,),))</f>
        <v/>
      </c>
      <c r="C8711">
        <f>IF(VLOOKUP(Table7[[#This Row],[Date]],Database!$A:$C,MATCH($C$1,Database!$A$1:$C$1,),)=0,#N/A,VLOOKUP(Table7[[#This Row],[Date]],Database!$A:$C,MATCH($C$1,Database!$A$1:$C$1,),))</f>
        <v/>
      </c>
      <c r="D8711">
        <f>IFERROR(Table7[[#This Row],[United States 10y]]-Table7[[#This Row],[United States 3y]],#N/A)</f>
        <v/>
      </c>
    </row>
    <row r="8712">
      <c r="A8712" s="6">
        <f>Database!$A10797</f>
        <v/>
      </c>
      <c r="B8712">
        <f>IF(VLOOKUP(Table7[[#This Row],[Date]],Database!$A:$C,MATCH($B$1,Database!$A$1:$C$1,),)=0,#N/A,VLOOKUP(Table7[[#This Row],[Date]],Database!$A:$C,MATCH($B$1,Database!$A$1:$C$1,),))</f>
        <v/>
      </c>
      <c r="C8712">
        <f>IF(VLOOKUP(Table7[[#This Row],[Date]],Database!$A:$C,MATCH($C$1,Database!$A$1:$C$1,),)=0,#N/A,VLOOKUP(Table7[[#This Row],[Date]],Database!$A:$C,MATCH($C$1,Database!$A$1:$C$1,),))</f>
        <v/>
      </c>
      <c r="D8712">
        <f>IFERROR(Table7[[#This Row],[United States 10y]]-Table7[[#This Row],[United States 3y]],#N/A)</f>
        <v/>
      </c>
    </row>
    <row r="8713">
      <c r="A8713" s="6">
        <f>Database!$A10798</f>
        <v/>
      </c>
      <c r="B8713">
        <f>IF(VLOOKUP(Table7[[#This Row],[Date]],Database!$A:$C,MATCH($B$1,Database!$A$1:$C$1,),)=0,#N/A,VLOOKUP(Table7[[#This Row],[Date]],Database!$A:$C,MATCH($B$1,Database!$A$1:$C$1,),))</f>
        <v/>
      </c>
      <c r="C8713">
        <f>IF(VLOOKUP(Table7[[#This Row],[Date]],Database!$A:$C,MATCH($C$1,Database!$A$1:$C$1,),)=0,#N/A,VLOOKUP(Table7[[#This Row],[Date]],Database!$A:$C,MATCH($C$1,Database!$A$1:$C$1,),))</f>
        <v/>
      </c>
      <c r="D8713">
        <f>IFERROR(Table7[[#This Row],[United States 10y]]-Table7[[#This Row],[United States 3y]],#N/A)</f>
        <v/>
      </c>
    </row>
    <row r="8714">
      <c r="A8714" s="6">
        <f>Database!$A10799</f>
        <v/>
      </c>
      <c r="B8714">
        <f>IF(VLOOKUP(Table7[[#This Row],[Date]],Database!$A:$C,MATCH($B$1,Database!$A$1:$C$1,),)=0,#N/A,VLOOKUP(Table7[[#This Row],[Date]],Database!$A:$C,MATCH($B$1,Database!$A$1:$C$1,),))</f>
        <v/>
      </c>
      <c r="C8714">
        <f>IF(VLOOKUP(Table7[[#This Row],[Date]],Database!$A:$C,MATCH($C$1,Database!$A$1:$C$1,),)=0,#N/A,VLOOKUP(Table7[[#This Row],[Date]],Database!$A:$C,MATCH($C$1,Database!$A$1:$C$1,),))</f>
        <v/>
      </c>
      <c r="D8714">
        <f>IFERROR(Table7[[#This Row],[United States 10y]]-Table7[[#This Row],[United States 3y]],#N/A)</f>
        <v/>
      </c>
    </row>
    <row r="8715">
      <c r="A8715" s="6">
        <f>Database!$A10800</f>
        <v/>
      </c>
      <c r="B8715">
        <f>IF(VLOOKUP(Table7[[#This Row],[Date]],Database!$A:$C,MATCH($B$1,Database!$A$1:$C$1,),)=0,#N/A,VLOOKUP(Table7[[#This Row],[Date]],Database!$A:$C,MATCH($B$1,Database!$A$1:$C$1,),))</f>
        <v/>
      </c>
      <c r="C8715">
        <f>IF(VLOOKUP(Table7[[#This Row],[Date]],Database!$A:$C,MATCH($C$1,Database!$A$1:$C$1,),)=0,#N/A,VLOOKUP(Table7[[#This Row],[Date]],Database!$A:$C,MATCH($C$1,Database!$A$1:$C$1,),))</f>
        <v/>
      </c>
      <c r="D8715">
        <f>IFERROR(Table7[[#This Row],[United States 10y]]-Table7[[#This Row],[United States 3y]],#N/A)</f>
        <v/>
      </c>
    </row>
    <row r="8716">
      <c r="A8716" s="6">
        <f>Database!$A10801</f>
        <v/>
      </c>
      <c r="B8716">
        <f>IF(VLOOKUP(Table7[[#This Row],[Date]],Database!$A:$C,MATCH($B$1,Database!$A$1:$C$1,),)=0,#N/A,VLOOKUP(Table7[[#This Row],[Date]],Database!$A:$C,MATCH($B$1,Database!$A$1:$C$1,),))</f>
        <v/>
      </c>
      <c r="C8716">
        <f>IF(VLOOKUP(Table7[[#This Row],[Date]],Database!$A:$C,MATCH($C$1,Database!$A$1:$C$1,),)=0,#N/A,VLOOKUP(Table7[[#This Row],[Date]],Database!$A:$C,MATCH($C$1,Database!$A$1:$C$1,),))</f>
        <v/>
      </c>
      <c r="D8716">
        <f>IFERROR(Table7[[#This Row],[United States 10y]]-Table7[[#This Row],[United States 3y]],#N/A)</f>
        <v/>
      </c>
    </row>
    <row r="8717">
      <c r="A8717" s="6">
        <f>Database!$A10802</f>
        <v/>
      </c>
      <c r="B8717">
        <f>IF(VLOOKUP(Table7[[#This Row],[Date]],Database!$A:$C,MATCH($B$1,Database!$A$1:$C$1,),)=0,#N/A,VLOOKUP(Table7[[#This Row],[Date]],Database!$A:$C,MATCH($B$1,Database!$A$1:$C$1,),))</f>
        <v/>
      </c>
      <c r="C8717">
        <f>IF(VLOOKUP(Table7[[#This Row],[Date]],Database!$A:$C,MATCH($C$1,Database!$A$1:$C$1,),)=0,#N/A,VLOOKUP(Table7[[#This Row],[Date]],Database!$A:$C,MATCH($C$1,Database!$A$1:$C$1,),))</f>
        <v/>
      </c>
      <c r="D8717">
        <f>IFERROR(Table7[[#This Row],[United States 10y]]-Table7[[#This Row],[United States 3y]],#N/A)</f>
        <v/>
      </c>
    </row>
    <row r="8718">
      <c r="A8718" s="6">
        <f>Database!$A10803</f>
        <v/>
      </c>
      <c r="B8718">
        <f>IF(VLOOKUP(Table7[[#This Row],[Date]],Database!$A:$C,MATCH($B$1,Database!$A$1:$C$1,),)=0,#N/A,VLOOKUP(Table7[[#This Row],[Date]],Database!$A:$C,MATCH($B$1,Database!$A$1:$C$1,),))</f>
        <v/>
      </c>
      <c r="C8718">
        <f>IF(VLOOKUP(Table7[[#This Row],[Date]],Database!$A:$C,MATCH($C$1,Database!$A$1:$C$1,),)=0,#N/A,VLOOKUP(Table7[[#This Row],[Date]],Database!$A:$C,MATCH($C$1,Database!$A$1:$C$1,),))</f>
        <v/>
      </c>
      <c r="D8718">
        <f>IFERROR(Table7[[#This Row],[United States 10y]]-Table7[[#This Row],[United States 3y]],#N/A)</f>
        <v/>
      </c>
    </row>
    <row r="8719">
      <c r="A8719" s="6">
        <f>Database!$A10804</f>
        <v/>
      </c>
      <c r="B8719">
        <f>IF(VLOOKUP(Table7[[#This Row],[Date]],Database!$A:$C,MATCH($B$1,Database!$A$1:$C$1,),)=0,#N/A,VLOOKUP(Table7[[#This Row],[Date]],Database!$A:$C,MATCH($B$1,Database!$A$1:$C$1,),))</f>
        <v/>
      </c>
      <c r="C8719">
        <f>IF(VLOOKUP(Table7[[#This Row],[Date]],Database!$A:$C,MATCH($C$1,Database!$A$1:$C$1,),)=0,#N/A,VLOOKUP(Table7[[#This Row],[Date]],Database!$A:$C,MATCH($C$1,Database!$A$1:$C$1,),))</f>
        <v/>
      </c>
      <c r="D8719">
        <f>IFERROR(Table7[[#This Row],[United States 10y]]-Table7[[#This Row],[United States 3y]],#N/A)</f>
        <v/>
      </c>
    </row>
    <row r="8720">
      <c r="A8720" s="6">
        <f>Database!$A10805</f>
        <v/>
      </c>
      <c r="B8720">
        <f>IF(VLOOKUP(Table7[[#This Row],[Date]],Database!$A:$C,MATCH($B$1,Database!$A$1:$C$1,),)=0,#N/A,VLOOKUP(Table7[[#This Row],[Date]],Database!$A:$C,MATCH($B$1,Database!$A$1:$C$1,),))</f>
        <v/>
      </c>
      <c r="C8720">
        <f>IF(VLOOKUP(Table7[[#This Row],[Date]],Database!$A:$C,MATCH($C$1,Database!$A$1:$C$1,),)=0,#N/A,VLOOKUP(Table7[[#This Row],[Date]],Database!$A:$C,MATCH($C$1,Database!$A$1:$C$1,),))</f>
        <v/>
      </c>
      <c r="D8720">
        <f>IFERROR(Table7[[#This Row],[United States 10y]]-Table7[[#This Row],[United States 3y]],#N/A)</f>
        <v/>
      </c>
    </row>
    <row r="8721">
      <c r="A8721" s="6">
        <f>Database!$A10806</f>
        <v/>
      </c>
      <c r="B8721">
        <f>IF(VLOOKUP(Table7[[#This Row],[Date]],Database!$A:$C,MATCH($B$1,Database!$A$1:$C$1,),)=0,#N/A,VLOOKUP(Table7[[#This Row],[Date]],Database!$A:$C,MATCH($B$1,Database!$A$1:$C$1,),))</f>
        <v/>
      </c>
      <c r="C8721">
        <f>IF(VLOOKUP(Table7[[#This Row],[Date]],Database!$A:$C,MATCH($C$1,Database!$A$1:$C$1,),)=0,#N/A,VLOOKUP(Table7[[#This Row],[Date]],Database!$A:$C,MATCH($C$1,Database!$A$1:$C$1,),))</f>
        <v/>
      </c>
      <c r="D8721">
        <f>IFERROR(Table7[[#This Row],[United States 10y]]-Table7[[#This Row],[United States 3y]],#N/A)</f>
        <v/>
      </c>
    </row>
    <row r="8722">
      <c r="A8722" s="6">
        <f>Database!$A10807</f>
        <v/>
      </c>
      <c r="B8722">
        <f>IF(VLOOKUP(Table7[[#This Row],[Date]],Database!$A:$C,MATCH($B$1,Database!$A$1:$C$1,),)=0,#N/A,VLOOKUP(Table7[[#This Row],[Date]],Database!$A:$C,MATCH($B$1,Database!$A$1:$C$1,),))</f>
        <v/>
      </c>
      <c r="C8722">
        <f>IF(VLOOKUP(Table7[[#This Row],[Date]],Database!$A:$C,MATCH($C$1,Database!$A$1:$C$1,),)=0,#N/A,VLOOKUP(Table7[[#This Row],[Date]],Database!$A:$C,MATCH($C$1,Database!$A$1:$C$1,),))</f>
        <v/>
      </c>
      <c r="D8722">
        <f>IFERROR(Table7[[#This Row],[United States 10y]]-Table7[[#This Row],[United States 3y]],#N/A)</f>
        <v/>
      </c>
    </row>
    <row r="8723">
      <c r="A8723" s="6">
        <f>Database!$A10808</f>
        <v/>
      </c>
      <c r="B8723">
        <f>IF(VLOOKUP(Table7[[#This Row],[Date]],Database!$A:$C,MATCH($B$1,Database!$A$1:$C$1,),)=0,#N/A,VLOOKUP(Table7[[#This Row],[Date]],Database!$A:$C,MATCH($B$1,Database!$A$1:$C$1,),))</f>
        <v/>
      </c>
      <c r="C8723">
        <f>IF(VLOOKUP(Table7[[#This Row],[Date]],Database!$A:$C,MATCH($C$1,Database!$A$1:$C$1,),)=0,#N/A,VLOOKUP(Table7[[#This Row],[Date]],Database!$A:$C,MATCH($C$1,Database!$A$1:$C$1,),))</f>
        <v/>
      </c>
      <c r="D8723">
        <f>IFERROR(Table7[[#This Row],[United States 10y]]-Table7[[#This Row],[United States 3y]],#N/A)</f>
        <v/>
      </c>
    </row>
    <row r="8724">
      <c r="A8724" s="6">
        <f>Database!$A10809</f>
        <v/>
      </c>
      <c r="B8724">
        <f>IF(VLOOKUP(Table7[[#This Row],[Date]],Database!$A:$C,MATCH($B$1,Database!$A$1:$C$1,),)=0,#N/A,VLOOKUP(Table7[[#This Row],[Date]],Database!$A:$C,MATCH($B$1,Database!$A$1:$C$1,),))</f>
        <v/>
      </c>
      <c r="C8724">
        <f>IF(VLOOKUP(Table7[[#This Row],[Date]],Database!$A:$C,MATCH($C$1,Database!$A$1:$C$1,),)=0,#N/A,VLOOKUP(Table7[[#This Row],[Date]],Database!$A:$C,MATCH($C$1,Database!$A$1:$C$1,),))</f>
        <v/>
      </c>
      <c r="D8724">
        <f>IFERROR(Table7[[#This Row],[United States 10y]]-Table7[[#This Row],[United States 3y]],#N/A)</f>
        <v/>
      </c>
    </row>
    <row r="8725">
      <c r="A8725" s="6">
        <f>Database!$A10810</f>
        <v/>
      </c>
      <c r="B8725">
        <f>IF(VLOOKUP(Table7[[#This Row],[Date]],Database!$A:$C,MATCH($B$1,Database!$A$1:$C$1,),)=0,#N/A,VLOOKUP(Table7[[#This Row],[Date]],Database!$A:$C,MATCH($B$1,Database!$A$1:$C$1,),))</f>
        <v/>
      </c>
      <c r="C8725">
        <f>IF(VLOOKUP(Table7[[#This Row],[Date]],Database!$A:$C,MATCH($C$1,Database!$A$1:$C$1,),)=0,#N/A,VLOOKUP(Table7[[#This Row],[Date]],Database!$A:$C,MATCH($C$1,Database!$A$1:$C$1,),))</f>
        <v/>
      </c>
      <c r="D8725">
        <f>IFERROR(Table7[[#This Row],[United States 10y]]-Table7[[#This Row],[United States 3y]],#N/A)</f>
        <v/>
      </c>
    </row>
    <row r="8726">
      <c r="A8726" s="6">
        <f>Database!$A10811</f>
        <v/>
      </c>
      <c r="B8726">
        <f>IF(VLOOKUP(Table7[[#This Row],[Date]],Database!$A:$C,MATCH($B$1,Database!$A$1:$C$1,),)=0,#N/A,VLOOKUP(Table7[[#This Row],[Date]],Database!$A:$C,MATCH($B$1,Database!$A$1:$C$1,),))</f>
        <v/>
      </c>
      <c r="C8726">
        <f>IF(VLOOKUP(Table7[[#This Row],[Date]],Database!$A:$C,MATCH($C$1,Database!$A$1:$C$1,),)=0,#N/A,VLOOKUP(Table7[[#This Row],[Date]],Database!$A:$C,MATCH($C$1,Database!$A$1:$C$1,),))</f>
        <v/>
      </c>
      <c r="D8726">
        <f>IFERROR(Table7[[#This Row],[United States 10y]]-Table7[[#This Row],[United States 3y]],#N/A)</f>
        <v/>
      </c>
    </row>
    <row r="8727">
      <c r="A8727" s="6">
        <f>Database!$A10812</f>
        <v/>
      </c>
      <c r="B8727">
        <f>IF(VLOOKUP(Table7[[#This Row],[Date]],Database!$A:$C,MATCH($B$1,Database!$A$1:$C$1,),)=0,#N/A,VLOOKUP(Table7[[#This Row],[Date]],Database!$A:$C,MATCH($B$1,Database!$A$1:$C$1,),))</f>
        <v/>
      </c>
      <c r="C8727">
        <f>IF(VLOOKUP(Table7[[#This Row],[Date]],Database!$A:$C,MATCH($C$1,Database!$A$1:$C$1,),)=0,#N/A,VLOOKUP(Table7[[#This Row],[Date]],Database!$A:$C,MATCH($C$1,Database!$A$1:$C$1,),))</f>
        <v/>
      </c>
      <c r="D8727">
        <f>IFERROR(Table7[[#This Row],[United States 10y]]-Table7[[#This Row],[United States 3y]],#N/A)</f>
        <v/>
      </c>
    </row>
    <row r="8728">
      <c r="A8728" s="6">
        <f>Database!$A10813</f>
        <v/>
      </c>
      <c r="B8728">
        <f>IF(VLOOKUP(Table7[[#This Row],[Date]],Database!$A:$C,MATCH($B$1,Database!$A$1:$C$1,),)=0,#N/A,VLOOKUP(Table7[[#This Row],[Date]],Database!$A:$C,MATCH($B$1,Database!$A$1:$C$1,),))</f>
        <v/>
      </c>
      <c r="C8728">
        <f>IF(VLOOKUP(Table7[[#This Row],[Date]],Database!$A:$C,MATCH($C$1,Database!$A$1:$C$1,),)=0,#N/A,VLOOKUP(Table7[[#This Row],[Date]],Database!$A:$C,MATCH($C$1,Database!$A$1:$C$1,),))</f>
        <v/>
      </c>
      <c r="D8728">
        <f>IFERROR(Table7[[#This Row],[United States 10y]]-Table7[[#This Row],[United States 3y]],#N/A)</f>
        <v/>
      </c>
    </row>
    <row r="8729">
      <c r="A8729" s="6">
        <f>Database!$A10814</f>
        <v/>
      </c>
      <c r="B8729">
        <f>IF(VLOOKUP(Table7[[#This Row],[Date]],Database!$A:$C,MATCH($B$1,Database!$A$1:$C$1,),)=0,#N/A,VLOOKUP(Table7[[#This Row],[Date]],Database!$A:$C,MATCH($B$1,Database!$A$1:$C$1,),))</f>
        <v/>
      </c>
      <c r="C8729">
        <f>IF(VLOOKUP(Table7[[#This Row],[Date]],Database!$A:$C,MATCH($C$1,Database!$A$1:$C$1,),)=0,#N/A,VLOOKUP(Table7[[#This Row],[Date]],Database!$A:$C,MATCH($C$1,Database!$A$1:$C$1,),))</f>
        <v/>
      </c>
      <c r="D8729">
        <f>IFERROR(Table7[[#This Row],[United States 10y]]-Table7[[#This Row],[United States 3y]],#N/A)</f>
        <v/>
      </c>
    </row>
    <row r="8730">
      <c r="A8730" s="6">
        <f>Database!$A10815</f>
        <v/>
      </c>
      <c r="B8730">
        <f>IF(VLOOKUP(Table7[[#This Row],[Date]],Database!$A:$C,MATCH($B$1,Database!$A$1:$C$1,),)=0,#N/A,VLOOKUP(Table7[[#This Row],[Date]],Database!$A:$C,MATCH($B$1,Database!$A$1:$C$1,),))</f>
        <v/>
      </c>
      <c r="C8730">
        <f>IF(VLOOKUP(Table7[[#This Row],[Date]],Database!$A:$C,MATCH($C$1,Database!$A$1:$C$1,),)=0,#N/A,VLOOKUP(Table7[[#This Row],[Date]],Database!$A:$C,MATCH($C$1,Database!$A$1:$C$1,),))</f>
        <v/>
      </c>
      <c r="D8730">
        <f>IFERROR(Table7[[#This Row],[United States 10y]]-Table7[[#This Row],[United States 3y]],#N/A)</f>
        <v/>
      </c>
    </row>
    <row r="8731">
      <c r="A8731" s="6">
        <f>Database!$A10816</f>
        <v/>
      </c>
      <c r="B8731">
        <f>IF(VLOOKUP(Table7[[#This Row],[Date]],Database!$A:$C,MATCH($B$1,Database!$A$1:$C$1,),)=0,#N/A,VLOOKUP(Table7[[#This Row],[Date]],Database!$A:$C,MATCH($B$1,Database!$A$1:$C$1,),))</f>
        <v/>
      </c>
      <c r="C8731">
        <f>IF(VLOOKUP(Table7[[#This Row],[Date]],Database!$A:$C,MATCH($C$1,Database!$A$1:$C$1,),)=0,#N/A,VLOOKUP(Table7[[#This Row],[Date]],Database!$A:$C,MATCH($C$1,Database!$A$1:$C$1,),))</f>
        <v/>
      </c>
      <c r="D8731">
        <f>IFERROR(Table7[[#This Row],[United States 10y]]-Table7[[#This Row],[United States 3y]],#N/A)</f>
        <v/>
      </c>
    </row>
    <row r="8732">
      <c r="A8732" s="6">
        <f>Database!$A10817</f>
        <v/>
      </c>
      <c r="B8732">
        <f>IF(VLOOKUP(Table7[[#This Row],[Date]],Database!$A:$C,MATCH($B$1,Database!$A$1:$C$1,),)=0,#N/A,VLOOKUP(Table7[[#This Row],[Date]],Database!$A:$C,MATCH($B$1,Database!$A$1:$C$1,),))</f>
        <v/>
      </c>
      <c r="C8732">
        <f>IF(VLOOKUP(Table7[[#This Row],[Date]],Database!$A:$C,MATCH($C$1,Database!$A$1:$C$1,),)=0,#N/A,VLOOKUP(Table7[[#This Row],[Date]],Database!$A:$C,MATCH($C$1,Database!$A$1:$C$1,),))</f>
        <v/>
      </c>
      <c r="D8732">
        <f>IFERROR(Table7[[#This Row],[United States 10y]]-Table7[[#This Row],[United States 3y]],#N/A)</f>
        <v/>
      </c>
    </row>
    <row r="8733">
      <c r="A8733" s="6">
        <f>Database!$A10818</f>
        <v/>
      </c>
      <c r="B8733">
        <f>IF(VLOOKUP(Table7[[#This Row],[Date]],Database!$A:$C,MATCH($B$1,Database!$A$1:$C$1,),)=0,#N/A,VLOOKUP(Table7[[#This Row],[Date]],Database!$A:$C,MATCH($B$1,Database!$A$1:$C$1,),))</f>
        <v/>
      </c>
      <c r="C8733">
        <f>IF(VLOOKUP(Table7[[#This Row],[Date]],Database!$A:$C,MATCH($C$1,Database!$A$1:$C$1,),)=0,#N/A,VLOOKUP(Table7[[#This Row],[Date]],Database!$A:$C,MATCH($C$1,Database!$A$1:$C$1,),))</f>
        <v/>
      </c>
      <c r="D8733">
        <f>IFERROR(Table7[[#This Row],[United States 10y]]-Table7[[#This Row],[United States 3y]],#N/A)</f>
        <v/>
      </c>
    </row>
    <row r="8734">
      <c r="A8734" s="6">
        <f>Database!$A10819</f>
        <v/>
      </c>
      <c r="B8734">
        <f>IF(VLOOKUP(Table7[[#This Row],[Date]],Database!$A:$C,MATCH($B$1,Database!$A$1:$C$1,),)=0,#N/A,VLOOKUP(Table7[[#This Row],[Date]],Database!$A:$C,MATCH($B$1,Database!$A$1:$C$1,),))</f>
        <v/>
      </c>
      <c r="C8734">
        <f>IF(VLOOKUP(Table7[[#This Row],[Date]],Database!$A:$C,MATCH($C$1,Database!$A$1:$C$1,),)=0,#N/A,VLOOKUP(Table7[[#This Row],[Date]],Database!$A:$C,MATCH($C$1,Database!$A$1:$C$1,),))</f>
        <v/>
      </c>
      <c r="D8734">
        <f>IFERROR(Table7[[#This Row],[United States 10y]]-Table7[[#This Row],[United States 3y]],#N/A)</f>
        <v/>
      </c>
    </row>
    <row r="8735">
      <c r="A8735" s="6">
        <f>Database!$A10820</f>
        <v/>
      </c>
      <c r="B8735">
        <f>IF(VLOOKUP(Table7[[#This Row],[Date]],Database!$A:$C,MATCH($B$1,Database!$A$1:$C$1,),)=0,#N/A,VLOOKUP(Table7[[#This Row],[Date]],Database!$A:$C,MATCH($B$1,Database!$A$1:$C$1,),))</f>
        <v/>
      </c>
      <c r="C8735">
        <f>IF(VLOOKUP(Table7[[#This Row],[Date]],Database!$A:$C,MATCH($C$1,Database!$A$1:$C$1,),)=0,#N/A,VLOOKUP(Table7[[#This Row],[Date]],Database!$A:$C,MATCH($C$1,Database!$A$1:$C$1,),))</f>
        <v/>
      </c>
      <c r="D8735">
        <f>IFERROR(Table7[[#This Row],[United States 10y]]-Table7[[#This Row],[United States 3y]],#N/A)</f>
        <v/>
      </c>
    </row>
    <row r="8736">
      <c r="A8736" s="6">
        <f>Database!$A10821</f>
        <v/>
      </c>
      <c r="B8736">
        <f>IF(VLOOKUP(Table7[[#This Row],[Date]],Database!$A:$C,MATCH($B$1,Database!$A$1:$C$1,),)=0,#N/A,VLOOKUP(Table7[[#This Row],[Date]],Database!$A:$C,MATCH($B$1,Database!$A$1:$C$1,),))</f>
        <v/>
      </c>
      <c r="C8736">
        <f>IF(VLOOKUP(Table7[[#This Row],[Date]],Database!$A:$C,MATCH($C$1,Database!$A$1:$C$1,),)=0,#N/A,VLOOKUP(Table7[[#This Row],[Date]],Database!$A:$C,MATCH($C$1,Database!$A$1:$C$1,),))</f>
        <v/>
      </c>
      <c r="D8736">
        <f>IFERROR(Table7[[#This Row],[United States 10y]]-Table7[[#This Row],[United States 3y]],#N/A)</f>
        <v/>
      </c>
    </row>
    <row r="8737">
      <c r="A8737" s="6">
        <f>Database!$A10822</f>
        <v/>
      </c>
      <c r="B8737">
        <f>IF(VLOOKUP(Table7[[#This Row],[Date]],Database!$A:$C,MATCH($B$1,Database!$A$1:$C$1,),)=0,#N/A,VLOOKUP(Table7[[#This Row],[Date]],Database!$A:$C,MATCH($B$1,Database!$A$1:$C$1,),))</f>
        <v/>
      </c>
      <c r="C8737">
        <f>IF(VLOOKUP(Table7[[#This Row],[Date]],Database!$A:$C,MATCH($C$1,Database!$A$1:$C$1,),)=0,#N/A,VLOOKUP(Table7[[#This Row],[Date]],Database!$A:$C,MATCH($C$1,Database!$A$1:$C$1,),))</f>
        <v/>
      </c>
      <c r="D8737">
        <f>IFERROR(Table7[[#This Row],[United States 10y]]-Table7[[#This Row],[United States 3y]],#N/A)</f>
        <v/>
      </c>
    </row>
    <row r="8738">
      <c r="A8738" s="6">
        <f>Database!$A10823</f>
        <v/>
      </c>
      <c r="B8738">
        <f>IF(VLOOKUP(Table7[[#This Row],[Date]],Database!$A:$C,MATCH($B$1,Database!$A$1:$C$1,),)=0,#N/A,VLOOKUP(Table7[[#This Row],[Date]],Database!$A:$C,MATCH($B$1,Database!$A$1:$C$1,),))</f>
        <v/>
      </c>
      <c r="C8738">
        <f>IF(VLOOKUP(Table7[[#This Row],[Date]],Database!$A:$C,MATCH($C$1,Database!$A$1:$C$1,),)=0,#N/A,VLOOKUP(Table7[[#This Row],[Date]],Database!$A:$C,MATCH($C$1,Database!$A$1:$C$1,),))</f>
        <v/>
      </c>
      <c r="D8738">
        <f>IFERROR(Table7[[#This Row],[United States 10y]]-Table7[[#This Row],[United States 3y]],#N/A)</f>
        <v/>
      </c>
    </row>
    <row r="8739">
      <c r="A8739" s="6">
        <f>Database!$A10824</f>
        <v/>
      </c>
      <c r="B8739">
        <f>IF(VLOOKUP(Table7[[#This Row],[Date]],Database!$A:$C,MATCH($B$1,Database!$A$1:$C$1,),)=0,#N/A,VLOOKUP(Table7[[#This Row],[Date]],Database!$A:$C,MATCH($B$1,Database!$A$1:$C$1,),))</f>
        <v/>
      </c>
      <c r="C8739">
        <f>IF(VLOOKUP(Table7[[#This Row],[Date]],Database!$A:$C,MATCH($C$1,Database!$A$1:$C$1,),)=0,#N/A,VLOOKUP(Table7[[#This Row],[Date]],Database!$A:$C,MATCH($C$1,Database!$A$1:$C$1,),))</f>
        <v/>
      </c>
      <c r="D8739">
        <f>IFERROR(Table7[[#This Row],[United States 10y]]-Table7[[#This Row],[United States 3y]],#N/A)</f>
        <v/>
      </c>
    </row>
    <row r="8740">
      <c r="A8740" s="6">
        <f>Database!$A10825</f>
        <v/>
      </c>
      <c r="B8740">
        <f>IF(VLOOKUP(Table7[[#This Row],[Date]],Database!$A:$C,MATCH($B$1,Database!$A$1:$C$1,),)=0,#N/A,VLOOKUP(Table7[[#This Row],[Date]],Database!$A:$C,MATCH($B$1,Database!$A$1:$C$1,),))</f>
        <v/>
      </c>
      <c r="C8740">
        <f>IF(VLOOKUP(Table7[[#This Row],[Date]],Database!$A:$C,MATCH($C$1,Database!$A$1:$C$1,),)=0,#N/A,VLOOKUP(Table7[[#This Row],[Date]],Database!$A:$C,MATCH($C$1,Database!$A$1:$C$1,),))</f>
        <v/>
      </c>
      <c r="D8740">
        <f>IFERROR(Table7[[#This Row],[United States 10y]]-Table7[[#This Row],[United States 3y]],#N/A)</f>
        <v/>
      </c>
    </row>
    <row r="8741">
      <c r="A8741" s="6">
        <f>Database!$A10826</f>
        <v/>
      </c>
      <c r="B8741">
        <f>IF(VLOOKUP(Table7[[#This Row],[Date]],Database!$A:$C,MATCH($B$1,Database!$A$1:$C$1,),)=0,#N/A,VLOOKUP(Table7[[#This Row],[Date]],Database!$A:$C,MATCH($B$1,Database!$A$1:$C$1,),))</f>
        <v/>
      </c>
      <c r="C8741">
        <f>IF(VLOOKUP(Table7[[#This Row],[Date]],Database!$A:$C,MATCH($C$1,Database!$A$1:$C$1,),)=0,#N/A,VLOOKUP(Table7[[#This Row],[Date]],Database!$A:$C,MATCH($C$1,Database!$A$1:$C$1,),))</f>
        <v/>
      </c>
      <c r="D8741">
        <f>IFERROR(Table7[[#This Row],[United States 10y]]-Table7[[#This Row],[United States 3y]],#N/A)</f>
        <v/>
      </c>
    </row>
    <row r="8742">
      <c r="A8742" s="6">
        <f>Database!$A10827</f>
        <v/>
      </c>
      <c r="B8742">
        <f>IF(VLOOKUP(Table7[[#This Row],[Date]],Database!$A:$C,MATCH($B$1,Database!$A$1:$C$1,),)=0,#N/A,VLOOKUP(Table7[[#This Row],[Date]],Database!$A:$C,MATCH($B$1,Database!$A$1:$C$1,),))</f>
        <v/>
      </c>
      <c r="C8742">
        <f>IF(VLOOKUP(Table7[[#This Row],[Date]],Database!$A:$C,MATCH($C$1,Database!$A$1:$C$1,),)=0,#N/A,VLOOKUP(Table7[[#This Row],[Date]],Database!$A:$C,MATCH($C$1,Database!$A$1:$C$1,),))</f>
        <v/>
      </c>
      <c r="D8742">
        <f>IFERROR(Table7[[#This Row],[United States 10y]]-Table7[[#This Row],[United States 3y]],#N/A)</f>
        <v/>
      </c>
    </row>
    <row r="8743">
      <c r="A8743" s="6">
        <f>Database!$A10828</f>
        <v/>
      </c>
      <c r="B8743">
        <f>IF(VLOOKUP(Table7[[#This Row],[Date]],Database!$A:$C,MATCH($B$1,Database!$A$1:$C$1,),)=0,#N/A,VLOOKUP(Table7[[#This Row],[Date]],Database!$A:$C,MATCH($B$1,Database!$A$1:$C$1,),))</f>
        <v/>
      </c>
      <c r="C8743">
        <f>IF(VLOOKUP(Table7[[#This Row],[Date]],Database!$A:$C,MATCH($C$1,Database!$A$1:$C$1,),)=0,#N/A,VLOOKUP(Table7[[#This Row],[Date]],Database!$A:$C,MATCH($C$1,Database!$A$1:$C$1,),))</f>
        <v/>
      </c>
      <c r="D8743">
        <f>IFERROR(Table7[[#This Row],[United States 10y]]-Table7[[#This Row],[United States 3y]],#N/A)</f>
        <v/>
      </c>
    </row>
    <row r="8744">
      <c r="A8744" s="6">
        <f>Database!$A10829</f>
        <v/>
      </c>
      <c r="B8744">
        <f>IF(VLOOKUP(Table7[[#This Row],[Date]],Database!$A:$C,MATCH($B$1,Database!$A$1:$C$1,),)=0,#N/A,VLOOKUP(Table7[[#This Row],[Date]],Database!$A:$C,MATCH($B$1,Database!$A$1:$C$1,),))</f>
        <v/>
      </c>
      <c r="C8744">
        <f>IF(VLOOKUP(Table7[[#This Row],[Date]],Database!$A:$C,MATCH($C$1,Database!$A$1:$C$1,),)=0,#N/A,VLOOKUP(Table7[[#This Row],[Date]],Database!$A:$C,MATCH($C$1,Database!$A$1:$C$1,),))</f>
        <v/>
      </c>
      <c r="D8744">
        <f>IFERROR(Table7[[#This Row],[United States 10y]]-Table7[[#This Row],[United States 3y]],#N/A)</f>
        <v/>
      </c>
    </row>
    <row r="8745">
      <c r="A8745" s="6">
        <f>Database!$A10830</f>
        <v/>
      </c>
      <c r="B8745">
        <f>IF(VLOOKUP(Table7[[#This Row],[Date]],Database!$A:$C,MATCH($B$1,Database!$A$1:$C$1,),)=0,#N/A,VLOOKUP(Table7[[#This Row],[Date]],Database!$A:$C,MATCH($B$1,Database!$A$1:$C$1,),))</f>
        <v/>
      </c>
      <c r="C8745">
        <f>IF(VLOOKUP(Table7[[#This Row],[Date]],Database!$A:$C,MATCH($C$1,Database!$A$1:$C$1,),)=0,#N/A,VLOOKUP(Table7[[#This Row],[Date]],Database!$A:$C,MATCH($C$1,Database!$A$1:$C$1,),))</f>
        <v/>
      </c>
      <c r="D8745">
        <f>IFERROR(Table7[[#This Row],[United States 10y]]-Table7[[#This Row],[United States 3y]],#N/A)</f>
        <v/>
      </c>
    </row>
    <row r="8746">
      <c r="A8746" s="6">
        <f>Database!$A10831</f>
        <v/>
      </c>
      <c r="B8746">
        <f>IF(VLOOKUP(Table7[[#This Row],[Date]],Database!$A:$C,MATCH($B$1,Database!$A$1:$C$1,),)=0,#N/A,VLOOKUP(Table7[[#This Row],[Date]],Database!$A:$C,MATCH($B$1,Database!$A$1:$C$1,),))</f>
        <v/>
      </c>
      <c r="C8746">
        <f>IF(VLOOKUP(Table7[[#This Row],[Date]],Database!$A:$C,MATCH($C$1,Database!$A$1:$C$1,),)=0,#N/A,VLOOKUP(Table7[[#This Row],[Date]],Database!$A:$C,MATCH($C$1,Database!$A$1:$C$1,),))</f>
        <v/>
      </c>
      <c r="D8746">
        <f>IFERROR(Table7[[#This Row],[United States 10y]]-Table7[[#This Row],[United States 3y]],#N/A)</f>
        <v/>
      </c>
    </row>
    <row r="8747">
      <c r="A8747" s="6">
        <f>Database!$A10832</f>
        <v/>
      </c>
      <c r="B8747">
        <f>IF(VLOOKUP(Table7[[#This Row],[Date]],Database!$A:$C,MATCH($B$1,Database!$A$1:$C$1,),)=0,#N/A,VLOOKUP(Table7[[#This Row],[Date]],Database!$A:$C,MATCH($B$1,Database!$A$1:$C$1,),))</f>
        <v/>
      </c>
      <c r="C8747">
        <f>IF(VLOOKUP(Table7[[#This Row],[Date]],Database!$A:$C,MATCH($C$1,Database!$A$1:$C$1,),)=0,#N/A,VLOOKUP(Table7[[#This Row],[Date]],Database!$A:$C,MATCH($C$1,Database!$A$1:$C$1,),))</f>
        <v/>
      </c>
      <c r="D8747">
        <f>IFERROR(Table7[[#This Row],[United States 10y]]-Table7[[#This Row],[United States 3y]],#N/A)</f>
        <v/>
      </c>
    </row>
    <row r="8748">
      <c r="A8748" s="6">
        <f>Database!$A10833</f>
        <v/>
      </c>
      <c r="B8748">
        <f>IF(VLOOKUP(Table7[[#This Row],[Date]],Database!$A:$C,MATCH($B$1,Database!$A$1:$C$1,),)=0,#N/A,VLOOKUP(Table7[[#This Row],[Date]],Database!$A:$C,MATCH($B$1,Database!$A$1:$C$1,),))</f>
        <v/>
      </c>
      <c r="C8748">
        <f>IF(VLOOKUP(Table7[[#This Row],[Date]],Database!$A:$C,MATCH($C$1,Database!$A$1:$C$1,),)=0,#N/A,VLOOKUP(Table7[[#This Row],[Date]],Database!$A:$C,MATCH($C$1,Database!$A$1:$C$1,),))</f>
        <v/>
      </c>
      <c r="D8748">
        <f>IFERROR(Table7[[#This Row],[United States 10y]]-Table7[[#This Row],[United States 3y]],#N/A)</f>
        <v/>
      </c>
    </row>
    <row r="8749">
      <c r="A8749" s="6">
        <f>Database!$A10834</f>
        <v/>
      </c>
      <c r="B8749">
        <f>IF(VLOOKUP(Table7[[#This Row],[Date]],Database!$A:$C,MATCH($B$1,Database!$A$1:$C$1,),)=0,#N/A,VLOOKUP(Table7[[#This Row],[Date]],Database!$A:$C,MATCH($B$1,Database!$A$1:$C$1,),))</f>
        <v/>
      </c>
      <c r="C8749">
        <f>IF(VLOOKUP(Table7[[#This Row],[Date]],Database!$A:$C,MATCH($C$1,Database!$A$1:$C$1,),)=0,#N/A,VLOOKUP(Table7[[#This Row],[Date]],Database!$A:$C,MATCH($C$1,Database!$A$1:$C$1,),))</f>
        <v/>
      </c>
      <c r="D8749">
        <f>IFERROR(Table7[[#This Row],[United States 10y]]-Table7[[#This Row],[United States 3y]],#N/A)</f>
        <v/>
      </c>
    </row>
    <row r="8750">
      <c r="A8750" s="6">
        <f>Database!$A10835</f>
        <v/>
      </c>
      <c r="B8750">
        <f>IF(VLOOKUP(Table7[[#This Row],[Date]],Database!$A:$C,MATCH($B$1,Database!$A$1:$C$1,),)=0,#N/A,VLOOKUP(Table7[[#This Row],[Date]],Database!$A:$C,MATCH($B$1,Database!$A$1:$C$1,),))</f>
        <v/>
      </c>
      <c r="C8750">
        <f>IF(VLOOKUP(Table7[[#This Row],[Date]],Database!$A:$C,MATCH($C$1,Database!$A$1:$C$1,),)=0,#N/A,VLOOKUP(Table7[[#This Row],[Date]],Database!$A:$C,MATCH($C$1,Database!$A$1:$C$1,),))</f>
        <v/>
      </c>
      <c r="D8750">
        <f>IFERROR(Table7[[#This Row],[United States 10y]]-Table7[[#This Row],[United States 3y]],#N/A)</f>
        <v/>
      </c>
    </row>
    <row r="8751">
      <c r="A8751" s="6">
        <f>Database!$A10836</f>
        <v/>
      </c>
      <c r="B8751">
        <f>IF(VLOOKUP(Table7[[#This Row],[Date]],Database!$A:$C,MATCH($B$1,Database!$A$1:$C$1,),)=0,#N/A,VLOOKUP(Table7[[#This Row],[Date]],Database!$A:$C,MATCH($B$1,Database!$A$1:$C$1,),))</f>
        <v/>
      </c>
      <c r="C8751">
        <f>IF(VLOOKUP(Table7[[#This Row],[Date]],Database!$A:$C,MATCH($C$1,Database!$A$1:$C$1,),)=0,#N/A,VLOOKUP(Table7[[#This Row],[Date]],Database!$A:$C,MATCH($C$1,Database!$A$1:$C$1,),))</f>
        <v/>
      </c>
      <c r="D8751">
        <f>IFERROR(Table7[[#This Row],[United States 10y]]-Table7[[#This Row],[United States 3y]],#N/A)</f>
        <v/>
      </c>
    </row>
    <row r="8752">
      <c r="A8752" s="6">
        <f>Database!$A10837</f>
        <v/>
      </c>
      <c r="B8752">
        <f>IF(VLOOKUP(Table7[[#This Row],[Date]],Database!$A:$C,MATCH($B$1,Database!$A$1:$C$1,),)=0,#N/A,VLOOKUP(Table7[[#This Row],[Date]],Database!$A:$C,MATCH($B$1,Database!$A$1:$C$1,),))</f>
        <v/>
      </c>
      <c r="C8752">
        <f>IF(VLOOKUP(Table7[[#This Row],[Date]],Database!$A:$C,MATCH($C$1,Database!$A$1:$C$1,),)=0,#N/A,VLOOKUP(Table7[[#This Row],[Date]],Database!$A:$C,MATCH($C$1,Database!$A$1:$C$1,),))</f>
        <v/>
      </c>
      <c r="D8752">
        <f>IFERROR(Table7[[#This Row],[United States 10y]]-Table7[[#This Row],[United States 3y]],#N/A)</f>
        <v/>
      </c>
    </row>
    <row r="8753">
      <c r="A8753" s="6">
        <f>Database!$A10838</f>
        <v/>
      </c>
      <c r="B8753">
        <f>IF(VLOOKUP(Table7[[#This Row],[Date]],Database!$A:$C,MATCH($B$1,Database!$A$1:$C$1,),)=0,#N/A,VLOOKUP(Table7[[#This Row],[Date]],Database!$A:$C,MATCH($B$1,Database!$A$1:$C$1,),))</f>
        <v/>
      </c>
      <c r="C8753">
        <f>IF(VLOOKUP(Table7[[#This Row],[Date]],Database!$A:$C,MATCH($C$1,Database!$A$1:$C$1,),)=0,#N/A,VLOOKUP(Table7[[#This Row],[Date]],Database!$A:$C,MATCH($C$1,Database!$A$1:$C$1,),))</f>
        <v/>
      </c>
      <c r="D8753">
        <f>IFERROR(Table7[[#This Row],[United States 10y]]-Table7[[#This Row],[United States 3y]],#N/A)</f>
        <v/>
      </c>
    </row>
    <row r="8754">
      <c r="A8754" s="6">
        <f>Database!$A10839</f>
        <v/>
      </c>
      <c r="B8754">
        <f>IF(VLOOKUP(Table7[[#This Row],[Date]],Database!$A:$C,MATCH($B$1,Database!$A$1:$C$1,),)=0,#N/A,VLOOKUP(Table7[[#This Row],[Date]],Database!$A:$C,MATCH($B$1,Database!$A$1:$C$1,),))</f>
        <v/>
      </c>
      <c r="C8754">
        <f>IF(VLOOKUP(Table7[[#This Row],[Date]],Database!$A:$C,MATCH($C$1,Database!$A$1:$C$1,),)=0,#N/A,VLOOKUP(Table7[[#This Row],[Date]],Database!$A:$C,MATCH($C$1,Database!$A$1:$C$1,),))</f>
        <v/>
      </c>
      <c r="D8754">
        <f>IFERROR(Table7[[#This Row],[United States 10y]]-Table7[[#This Row],[United States 3y]],#N/A)</f>
        <v/>
      </c>
    </row>
    <row r="8755">
      <c r="A8755" s="6">
        <f>Database!$A10840</f>
        <v/>
      </c>
      <c r="B8755">
        <f>IF(VLOOKUP(Table7[[#This Row],[Date]],Database!$A:$C,MATCH($B$1,Database!$A$1:$C$1,),)=0,#N/A,VLOOKUP(Table7[[#This Row],[Date]],Database!$A:$C,MATCH($B$1,Database!$A$1:$C$1,),))</f>
        <v/>
      </c>
      <c r="C8755">
        <f>IF(VLOOKUP(Table7[[#This Row],[Date]],Database!$A:$C,MATCH($C$1,Database!$A$1:$C$1,),)=0,#N/A,VLOOKUP(Table7[[#This Row],[Date]],Database!$A:$C,MATCH($C$1,Database!$A$1:$C$1,),))</f>
        <v/>
      </c>
      <c r="D8755">
        <f>IFERROR(Table7[[#This Row],[United States 10y]]-Table7[[#This Row],[United States 3y]],#N/A)</f>
        <v/>
      </c>
    </row>
    <row r="8756">
      <c r="A8756" s="6">
        <f>Database!$A10841</f>
        <v/>
      </c>
      <c r="B8756">
        <f>IF(VLOOKUP(Table7[[#This Row],[Date]],Database!$A:$C,MATCH($B$1,Database!$A$1:$C$1,),)=0,#N/A,VLOOKUP(Table7[[#This Row],[Date]],Database!$A:$C,MATCH($B$1,Database!$A$1:$C$1,),))</f>
        <v/>
      </c>
      <c r="C8756">
        <f>IF(VLOOKUP(Table7[[#This Row],[Date]],Database!$A:$C,MATCH($C$1,Database!$A$1:$C$1,),)=0,#N/A,VLOOKUP(Table7[[#This Row],[Date]],Database!$A:$C,MATCH($C$1,Database!$A$1:$C$1,),))</f>
        <v/>
      </c>
      <c r="D8756">
        <f>IFERROR(Table7[[#This Row],[United States 10y]]-Table7[[#This Row],[United States 3y]],#N/A)</f>
        <v/>
      </c>
    </row>
    <row r="8757">
      <c r="A8757" s="6">
        <f>Database!$A10842</f>
        <v/>
      </c>
      <c r="B8757">
        <f>IF(VLOOKUP(Table7[[#This Row],[Date]],Database!$A:$C,MATCH($B$1,Database!$A$1:$C$1,),)=0,#N/A,VLOOKUP(Table7[[#This Row],[Date]],Database!$A:$C,MATCH($B$1,Database!$A$1:$C$1,),))</f>
        <v/>
      </c>
      <c r="C8757">
        <f>IF(VLOOKUP(Table7[[#This Row],[Date]],Database!$A:$C,MATCH($C$1,Database!$A$1:$C$1,),)=0,#N/A,VLOOKUP(Table7[[#This Row],[Date]],Database!$A:$C,MATCH($C$1,Database!$A$1:$C$1,),))</f>
        <v/>
      </c>
      <c r="D8757">
        <f>IFERROR(Table7[[#This Row],[United States 10y]]-Table7[[#This Row],[United States 3y]],#N/A)</f>
        <v/>
      </c>
    </row>
    <row r="8758">
      <c r="A8758" s="6">
        <f>Database!$A10843</f>
        <v/>
      </c>
      <c r="B8758">
        <f>IF(VLOOKUP(Table7[[#This Row],[Date]],Database!$A:$C,MATCH($B$1,Database!$A$1:$C$1,),)=0,#N/A,VLOOKUP(Table7[[#This Row],[Date]],Database!$A:$C,MATCH($B$1,Database!$A$1:$C$1,),))</f>
        <v/>
      </c>
      <c r="C8758">
        <f>IF(VLOOKUP(Table7[[#This Row],[Date]],Database!$A:$C,MATCH($C$1,Database!$A$1:$C$1,),)=0,#N/A,VLOOKUP(Table7[[#This Row],[Date]],Database!$A:$C,MATCH($C$1,Database!$A$1:$C$1,),))</f>
        <v/>
      </c>
      <c r="D8758">
        <f>IFERROR(Table7[[#This Row],[United States 10y]]-Table7[[#This Row],[United States 3y]],#N/A)</f>
        <v/>
      </c>
    </row>
    <row r="8759">
      <c r="A8759" s="6">
        <f>Database!$A10844</f>
        <v/>
      </c>
      <c r="B8759">
        <f>IF(VLOOKUP(Table7[[#This Row],[Date]],Database!$A:$C,MATCH($B$1,Database!$A$1:$C$1,),)=0,#N/A,VLOOKUP(Table7[[#This Row],[Date]],Database!$A:$C,MATCH($B$1,Database!$A$1:$C$1,),))</f>
        <v/>
      </c>
      <c r="C8759">
        <f>IF(VLOOKUP(Table7[[#This Row],[Date]],Database!$A:$C,MATCH($C$1,Database!$A$1:$C$1,),)=0,#N/A,VLOOKUP(Table7[[#This Row],[Date]],Database!$A:$C,MATCH($C$1,Database!$A$1:$C$1,),))</f>
        <v/>
      </c>
      <c r="D8759">
        <f>IFERROR(Table7[[#This Row],[United States 10y]]-Table7[[#This Row],[United States 3y]],#N/A)</f>
        <v/>
      </c>
    </row>
    <row r="8760">
      <c r="A8760" s="6">
        <f>Database!$A10845</f>
        <v/>
      </c>
      <c r="B8760">
        <f>IF(VLOOKUP(Table7[[#This Row],[Date]],Database!$A:$C,MATCH($B$1,Database!$A$1:$C$1,),)=0,#N/A,VLOOKUP(Table7[[#This Row],[Date]],Database!$A:$C,MATCH($B$1,Database!$A$1:$C$1,),))</f>
        <v/>
      </c>
      <c r="C8760">
        <f>IF(VLOOKUP(Table7[[#This Row],[Date]],Database!$A:$C,MATCH($C$1,Database!$A$1:$C$1,),)=0,#N/A,VLOOKUP(Table7[[#This Row],[Date]],Database!$A:$C,MATCH($C$1,Database!$A$1:$C$1,),))</f>
        <v/>
      </c>
      <c r="D8760">
        <f>IFERROR(Table7[[#This Row],[United States 10y]]-Table7[[#This Row],[United States 3y]],#N/A)</f>
        <v/>
      </c>
    </row>
    <row r="8761">
      <c r="A8761" s="6">
        <f>Database!$A10846</f>
        <v/>
      </c>
      <c r="B8761">
        <f>IF(VLOOKUP(Table7[[#This Row],[Date]],Database!$A:$C,MATCH($B$1,Database!$A$1:$C$1,),)=0,#N/A,VLOOKUP(Table7[[#This Row],[Date]],Database!$A:$C,MATCH($B$1,Database!$A$1:$C$1,),))</f>
        <v/>
      </c>
      <c r="C8761">
        <f>IF(VLOOKUP(Table7[[#This Row],[Date]],Database!$A:$C,MATCH($C$1,Database!$A$1:$C$1,),)=0,#N/A,VLOOKUP(Table7[[#This Row],[Date]],Database!$A:$C,MATCH($C$1,Database!$A$1:$C$1,),))</f>
        <v/>
      </c>
      <c r="D8761">
        <f>IFERROR(Table7[[#This Row],[United States 10y]]-Table7[[#This Row],[United States 3y]],#N/A)</f>
        <v/>
      </c>
    </row>
    <row r="8762">
      <c r="A8762" s="6">
        <f>Database!$A10847</f>
        <v/>
      </c>
      <c r="B8762">
        <f>IF(VLOOKUP(Table7[[#This Row],[Date]],Database!$A:$C,MATCH($B$1,Database!$A$1:$C$1,),)=0,#N/A,VLOOKUP(Table7[[#This Row],[Date]],Database!$A:$C,MATCH($B$1,Database!$A$1:$C$1,),))</f>
        <v/>
      </c>
      <c r="C8762">
        <f>IF(VLOOKUP(Table7[[#This Row],[Date]],Database!$A:$C,MATCH($C$1,Database!$A$1:$C$1,),)=0,#N/A,VLOOKUP(Table7[[#This Row],[Date]],Database!$A:$C,MATCH($C$1,Database!$A$1:$C$1,),))</f>
        <v/>
      </c>
      <c r="D8762">
        <f>IFERROR(Table7[[#This Row],[United States 10y]]-Table7[[#This Row],[United States 3y]],#N/A)</f>
        <v/>
      </c>
    </row>
    <row r="8763">
      <c r="A8763" s="6">
        <f>Database!$A10848</f>
        <v/>
      </c>
      <c r="B8763">
        <f>IF(VLOOKUP(Table7[[#This Row],[Date]],Database!$A:$C,MATCH($B$1,Database!$A$1:$C$1,),)=0,#N/A,VLOOKUP(Table7[[#This Row],[Date]],Database!$A:$C,MATCH($B$1,Database!$A$1:$C$1,),))</f>
        <v/>
      </c>
      <c r="C8763">
        <f>IF(VLOOKUP(Table7[[#This Row],[Date]],Database!$A:$C,MATCH($C$1,Database!$A$1:$C$1,),)=0,#N/A,VLOOKUP(Table7[[#This Row],[Date]],Database!$A:$C,MATCH($C$1,Database!$A$1:$C$1,),))</f>
        <v/>
      </c>
      <c r="D8763">
        <f>IFERROR(Table7[[#This Row],[United States 10y]]-Table7[[#This Row],[United States 3y]],#N/A)</f>
        <v/>
      </c>
    </row>
    <row r="8764">
      <c r="A8764" s="6">
        <f>Database!$A10849</f>
        <v/>
      </c>
      <c r="B8764">
        <f>IF(VLOOKUP(Table7[[#This Row],[Date]],Database!$A:$C,MATCH($B$1,Database!$A$1:$C$1,),)=0,#N/A,VLOOKUP(Table7[[#This Row],[Date]],Database!$A:$C,MATCH($B$1,Database!$A$1:$C$1,),))</f>
        <v/>
      </c>
      <c r="C8764">
        <f>IF(VLOOKUP(Table7[[#This Row],[Date]],Database!$A:$C,MATCH($C$1,Database!$A$1:$C$1,),)=0,#N/A,VLOOKUP(Table7[[#This Row],[Date]],Database!$A:$C,MATCH($C$1,Database!$A$1:$C$1,),))</f>
        <v/>
      </c>
      <c r="D8764">
        <f>IFERROR(Table7[[#This Row],[United States 10y]]-Table7[[#This Row],[United States 3y]],#N/A)</f>
        <v/>
      </c>
    </row>
    <row r="8765">
      <c r="A8765" s="6">
        <f>Database!$A10850</f>
        <v/>
      </c>
      <c r="B8765">
        <f>IF(VLOOKUP(Table7[[#This Row],[Date]],Database!$A:$C,MATCH($B$1,Database!$A$1:$C$1,),)=0,#N/A,VLOOKUP(Table7[[#This Row],[Date]],Database!$A:$C,MATCH($B$1,Database!$A$1:$C$1,),))</f>
        <v/>
      </c>
      <c r="C8765">
        <f>IF(VLOOKUP(Table7[[#This Row],[Date]],Database!$A:$C,MATCH($C$1,Database!$A$1:$C$1,),)=0,#N/A,VLOOKUP(Table7[[#This Row],[Date]],Database!$A:$C,MATCH($C$1,Database!$A$1:$C$1,),))</f>
        <v/>
      </c>
      <c r="D8765">
        <f>IFERROR(Table7[[#This Row],[United States 10y]]-Table7[[#This Row],[United States 3y]],#N/A)</f>
        <v/>
      </c>
    </row>
    <row r="8766">
      <c r="A8766" s="6">
        <f>Database!$A10851</f>
        <v/>
      </c>
      <c r="B8766">
        <f>IF(VLOOKUP(Table7[[#This Row],[Date]],Database!$A:$C,MATCH($B$1,Database!$A$1:$C$1,),)=0,#N/A,VLOOKUP(Table7[[#This Row],[Date]],Database!$A:$C,MATCH($B$1,Database!$A$1:$C$1,),))</f>
        <v/>
      </c>
      <c r="C8766">
        <f>IF(VLOOKUP(Table7[[#This Row],[Date]],Database!$A:$C,MATCH($C$1,Database!$A$1:$C$1,),)=0,#N/A,VLOOKUP(Table7[[#This Row],[Date]],Database!$A:$C,MATCH($C$1,Database!$A$1:$C$1,),))</f>
        <v/>
      </c>
      <c r="D8766">
        <f>IFERROR(Table7[[#This Row],[United States 10y]]-Table7[[#This Row],[United States 3y]],#N/A)</f>
        <v/>
      </c>
    </row>
    <row r="8767">
      <c r="A8767" s="6">
        <f>Database!$A10852</f>
        <v/>
      </c>
      <c r="B8767">
        <f>IF(VLOOKUP(Table7[[#This Row],[Date]],Database!$A:$C,MATCH($B$1,Database!$A$1:$C$1,),)=0,#N/A,VLOOKUP(Table7[[#This Row],[Date]],Database!$A:$C,MATCH($B$1,Database!$A$1:$C$1,),))</f>
        <v/>
      </c>
      <c r="C8767">
        <f>IF(VLOOKUP(Table7[[#This Row],[Date]],Database!$A:$C,MATCH($C$1,Database!$A$1:$C$1,),)=0,#N/A,VLOOKUP(Table7[[#This Row],[Date]],Database!$A:$C,MATCH($C$1,Database!$A$1:$C$1,),))</f>
        <v/>
      </c>
      <c r="D8767">
        <f>IFERROR(Table7[[#This Row],[United States 10y]]-Table7[[#This Row],[United States 3y]],#N/A)</f>
        <v/>
      </c>
    </row>
    <row r="8768">
      <c r="A8768" s="6">
        <f>Database!$A10853</f>
        <v/>
      </c>
      <c r="B8768">
        <f>IF(VLOOKUP(Table7[[#This Row],[Date]],Database!$A:$C,MATCH($B$1,Database!$A$1:$C$1,),)=0,#N/A,VLOOKUP(Table7[[#This Row],[Date]],Database!$A:$C,MATCH($B$1,Database!$A$1:$C$1,),))</f>
        <v/>
      </c>
      <c r="C8768">
        <f>IF(VLOOKUP(Table7[[#This Row],[Date]],Database!$A:$C,MATCH($C$1,Database!$A$1:$C$1,),)=0,#N/A,VLOOKUP(Table7[[#This Row],[Date]],Database!$A:$C,MATCH($C$1,Database!$A$1:$C$1,),))</f>
        <v/>
      </c>
      <c r="D8768">
        <f>IFERROR(Table7[[#This Row],[United States 10y]]-Table7[[#This Row],[United States 3y]],#N/A)</f>
        <v/>
      </c>
    </row>
    <row r="8769">
      <c r="A8769" s="6">
        <f>Database!$A10854</f>
        <v/>
      </c>
      <c r="B8769">
        <f>IF(VLOOKUP(Table7[[#This Row],[Date]],Database!$A:$C,MATCH($B$1,Database!$A$1:$C$1,),)=0,#N/A,VLOOKUP(Table7[[#This Row],[Date]],Database!$A:$C,MATCH($B$1,Database!$A$1:$C$1,),))</f>
        <v/>
      </c>
      <c r="C8769">
        <f>IF(VLOOKUP(Table7[[#This Row],[Date]],Database!$A:$C,MATCH($C$1,Database!$A$1:$C$1,),)=0,#N/A,VLOOKUP(Table7[[#This Row],[Date]],Database!$A:$C,MATCH($C$1,Database!$A$1:$C$1,),))</f>
        <v/>
      </c>
      <c r="D8769">
        <f>IFERROR(Table7[[#This Row],[United States 10y]]-Table7[[#This Row],[United States 3y]],#N/A)</f>
        <v/>
      </c>
    </row>
    <row r="8770">
      <c r="A8770" s="6">
        <f>Database!$A10855</f>
        <v/>
      </c>
      <c r="B8770">
        <f>IF(VLOOKUP(Table7[[#This Row],[Date]],Database!$A:$C,MATCH($B$1,Database!$A$1:$C$1,),)=0,#N/A,VLOOKUP(Table7[[#This Row],[Date]],Database!$A:$C,MATCH($B$1,Database!$A$1:$C$1,),))</f>
        <v/>
      </c>
      <c r="C8770">
        <f>IF(VLOOKUP(Table7[[#This Row],[Date]],Database!$A:$C,MATCH($C$1,Database!$A$1:$C$1,),)=0,#N/A,VLOOKUP(Table7[[#This Row],[Date]],Database!$A:$C,MATCH($C$1,Database!$A$1:$C$1,),))</f>
        <v/>
      </c>
      <c r="D8770">
        <f>IFERROR(Table7[[#This Row],[United States 10y]]-Table7[[#This Row],[United States 3y]],#N/A)</f>
        <v/>
      </c>
    </row>
    <row r="8771">
      <c r="A8771" s="6">
        <f>Database!$A10856</f>
        <v/>
      </c>
      <c r="B8771">
        <f>IF(VLOOKUP(Table7[[#This Row],[Date]],Database!$A:$C,MATCH($B$1,Database!$A$1:$C$1,),)=0,#N/A,VLOOKUP(Table7[[#This Row],[Date]],Database!$A:$C,MATCH($B$1,Database!$A$1:$C$1,),))</f>
        <v/>
      </c>
      <c r="C8771">
        <f>IF(VLOOKUP(Table7[[#This Row],[Date]],Database!$A:$C,MATCH($C$1,Database!$A$1:$C$1,),)=0,#N/A,VLOOKUP(Table7[[#This Row],[Date]],Database!$A:$C,MATCH($C$1,Database!$A$1:$C$1,),))</f>
        <v/>
      </c>
      <c r="D8771">
        <f>IFERROR(Table7[[#This Row],[United States 10y]]-Table7[[#This Row],[United States 3y]],#N/A)</f>
        <v/>
      </c>
    </row>
    <row r="8772">
      <c r="A8772" s="6">
        <f>Database!$A10857</f>
        <v/>
      </c>
      <c r="B8772">
        <f>IF(VLOOKUP(Table7[[#This Row],[Date]],Database!$A:$C,MATCH($B$1,Database!$A$1:$C$1,),)=0,#N/A,VLOOKUP(Table7[[#This Row],[Date]],Database!$A:$C,MATCH($B$1,Database!$A$1:$C$1,),))</f>
        <v/>
      </c>
      <c r="C8772">
        <f>IF(VLOOKUP(Table7[[#This Row],[Date]],Database!$A:$C,MATCH($C$1,Database!$A$1:$C$1,),)=0,#N/A,VLOOKUP(Table7[[#This Row],[Date]],Database!$A:$C,MATCH($C$1,Database!$A$1:$C$1,),))</f>
        <v/>
      </c>
      <c r="D8772">
        <f>IFERROR(Table7[[#This Row],[United States 10y]]-Table7[[#This Row],[United States 3y]],#N/A)</f>
        <v/>
      </c>
    </row>
    <row r="8773">
      <c r="A8773" s="6">
        <f>Database!$A10858</f>
        <v/>
      </c>
      <c r="B8773">
        <f>IF(VLOOKUP(Table7[[#This Row],[Date]],Database!$A:$C,MATCH($B$1,Database!$A$1:$C$1,),)=0,#N/A,VLOOKUP(Table7[[#This Row],[Date]],Database!$A:$C,MATCH($B$1,Database!$A$1:$C$1,),))</f>
        <v/>
      </c>
      <c r="C8773">
        <f>IF(VLOOKUP(Table7[[#This Row],[Date]],Database!$A:$C,MATCH($C$1,Database!$A$1:$C$1,),)=0,#N/A,VLOOKUP(Table7[[#This Row],[Date]],Database!$A:$C,MATCH($C$1,Database!$A$1:$C$1,),))</f>
        <v/>
      </c>
      <c r="D8773">
        <f>IFERROR(Table7[[#This Row],[United States 10y]]-Table7[[#This Row],[United States 3y]],#N/A)</f>
        <v/>
      </c>
    </row>
    <row r="8774">
      <c r="A8774" s="6">
        <f>Database!$A10859</f>
        <v/>
      </c>
      <c r="B8774">
        <f>IF(VLOOKUP(Table7[[#This Row],[Date]],Database!$A:$C,MATCH($B$1,Database!$A$1:$C$1,),)=0,#N/A,VLOOKUP(Table7[[#This Row],[Date]],Database!$A:$C,MATCH($B$1,Database!$A$1:$C$1,),))</f>
        <v/>
      </c>
      <c r="C8774">
        <f>IF(VLOOKUP(Table7[[#This Row],[Date]],Database!$A:$C,MATCH($C$1,Database!$A$1:$C$1,),)=0,#N/A,VLOOKUP(Table7[[#This Row],[Date]],Database!$A:$C,MATCH($C$1,Database!$A$1:$C$1,),))</f>
        <v/>
      </c>
      <c r="D8774">
        <f>IFERROR(Table7[[#This Row],[United States 10y]]-Table7[[#This Row],[United States 3y]],#N/A)</f>
        <v/>
      </c>
    </row>
    <row r="8775">
      <c r="A8775" s="6">
        <f>Database!$A10860</f>
        <v/>
      </c>
      <c r="B8775">
        <f>IF(VLOOKUP(Table7[[#This Row],[Date]],Database!$A:$C,MATCH($B$1,Database!$A$1:$C$1,),)=0,#N/A,VLOOKUP(Table7[[#This Row],[Date]],Database!$A:$C,MATCH($B$1,Database!$A$1:$C$1,),))</f>
        <v/>
      </c>
      <c r="C8775">
        <f>IF(VLOOKUP(Table7[[#This Row],[Date]],Database!$A:$C,MATCH($C$1,Database!$A$1:$C$1,),)=0,#N/A,VLOOKUP(Table7[[#This Row],[Date]],Database!$A:$C,MATCH($C$1,Database!$A$1:$C$1,),))</f>
        <v/>
      </c>
      <c r="D8775">
        <f>IFERROR(Table7[[#This Row],[United States 10y]]-Table7[[#This Row],[United States 3y]],#N/A)</f>
        <v/>
      </c>
    </row>
    <row r="8776">
      <c r="A8776" s="6">
        <f>Database!$A10861</f>
        <v/>
      </c>
      <c r="B8776">
        <f>IF(VLOOKUP(Table7[[#This Row],[Date]],Database!$A:$C,MATCH($B$1,Database!$A$1:$C$1,),)=0,#N/A,VLOOKUP(Table7[[#This Row],[Date]],Database!$A:$C,MATCH($B$1,Database!$A$1:$C$1,),))</f>
        <v/>
      </c>
      <c r="C8776">
        <f>IF(VLOOKUP(Table7[[#This Row],[Date]],Database!$A:$C,MATCH($C$1,Database!$A$1:$C$1,),)=0,#N/A,VLOOKUP(Table7[[#This Row],[Date]],Database!$A:$C,MATCH($C$1,Database!$A$1:$C$1,),))</f>
        <v/>
      </c>
      <c r="D8776">
        <f>IFERROR(Table7[[#This Row],[United States 10y]]-Table7[[#This Row],[United States 3y]],#N/A)</f>
        <v/>
      </c>
    </row>
    <row r="8777">
      <c r="A8777" s="6">
        <f>Database!$A10862</f>
        <v/>
      </c>
      <c r="B8777">
        <f>IF(VLOOKUP(Table7[[#This Row],[Date]],Database!$A:$C,MATCH($B$1,Database!$A$1:$C$1,),)=0,#N/A,VLOOKUP(Table7[[#This Row],[Date]],Database!$A:$C,MATCH($B$1,Database!$A$1:$C$1,),))</f>
        <v/>
      </c>
      <c r="C8777">
        <f>IF(VLOOKUP(Table7[[#This Row],[Date]],Database!$A:$C,MATCH($C$1,Database!$A$1:$C$1,),)=0,#N/A,VLOOKUP(Table7[[#This Row],[Date]],Database!$A:$C,MATCH($C$1,Database!$A$1:$C$1,),))</f>
        <v/>
      </c>
      <c r="D8777">
        <f>IFERROR(Table7[[#This Row],[United States 10y]]-Table7[[#This Row],[United States 3y]],#N/A)</f>
        <v/>
      </c>
    </row>
    <row r="8778">
      <c r="A8778" s="6">
        <f>Database!$A10863</f>
        <v/>
      </c>
      <c r="B8778">
        <f>IF(VLOOKUP(Table7[[#This Row],[Date]],Database!$A:$C,MATCH($B$1,Database!$A$1:$C$1,),)=0,#N/A,VLOOKUP(Table7[[#This Row],[Date]],Database!$A:$C,MATCH($B$1,Database!$A$1:$C$1,),))</f>
        <v/>
      </c>
      <c r="C8778">
        <f>IF(VLOOKUP(Table7[[#This Row],[Date]],Database!$A:$C,MATCH($C$1,Database!$A$1:$C$1,),)=0,#N/A,VLOOKUP(Table7[[#This Row],[Date]],Database!$A:$C,MATCH($C$1,Database!$A$1:$C$1,),))</f>
        <v/>
      </c>
      <c r="D8778">
        <f>IFERROR(Table7[[#This Row],[United States 10y]]-Table7[[#This Row],[United States 3y]],#N/A)</f>
        <v/>
      </c>
    </row>
    <row r="8779">
      <c r="A8779" s="6">
        <f>Database!$A10864</f>
        <v/>
      </c>
      <c r="B8779">
        <f>IF(VLOOKUP(Table7[[#This Row],[Date]],Database!$A:$C,MATCH($B$1,Database!$A$1:$C$1,),)=0,#N/A,VLOOKUP(Table7[[#This Row],[Date]],Database!$A:$C,MATCH($B$1,Database!$A$1:$C$1,),))</f>
        <v/>
      </c>
      <c r="C8779">
        <f>IF(VLOOKUP(Table7[[#This Row],[Date]],Database!$A:$C,MATCH($C$1,Database!$A$1:$C$1,),)=0,#N/A,VLOOKUP(Table7[[#This Row],[Date]],Database!$A:$C,MATCH($C$1,Database!$A$1:$C$1,),))</f>
        <v/>
      </c>
      <c r="D8779">
        <f>IFERROR(Table7[[#This Row],[United States 10y]]-Table7[[#This Row],[United States 3y]],#N/A)</f>
        <v/>
      </c>
    </row>
    <row r="8780">
      <c r="A8780" s="6">
        <f>Database!$A10865</f>
        <v/>
      </c>
      <c r="B8780">
        <f>IF(VLOOKUP(Table7[[#This Row],[Date]],Database!$A:$C,MATCH($B$1,Database!$A$1:$C$1,),)=0,#N/A,VLOOKUP(Table7[[#This Row],[Date]],Database!$A:$C,MATCH($B$1,Database!$A$1:$C$1,),))</f>
        <v/>
      </c>
      <c r="C8780">
        <f>IF(VLOOKUP(Table7[[#This Row],[Date]],Database!$A:$C,MATCH($C$1,Database!$A$1:$C$1,),)=0,#N/A,VLOOKUP(Table7[[#This Row],[Date]],Database!$A:$C,MATCH($C$1,Database!$A$1:$C$1,),))</f>
        <v/>
      </c>
      <c r="D8780">
        <f>IFERROR(Table7[[#This Row],[United States 10y]]-Table7[[#This Row],[United States 3y]],#N/A)</f>
        <v/>
      </c>
    </row>
    <row r="8781">
      <c r="A8781" s="6">
        <f>Database!$A10866</f>
        <v/>
      </c>
      <c r="B8781">
        <f>IF(VLOOKUP(Table7[[#This Row],[Date]],Database!$A:$C,MATCH($B$1,Database!$A$1:$C$1,),)=0,#N/A,VLOOKUP(Table7[[#This Row],[Date]],Database!$A:$C,MATCH($B$1,Database!$A$1:$C$1,),))</f>
        <v/>
      </c>
      <c r="C8781">
        <f>IF(VLOOKUP(Table7[[#This Row],[Date]],Database!$A:$C,MATCH($C$1,Database!$A$1:$C$1,),)=0,#N/A,VLOOKUP(Table7[[#This Row],[Date]],Database!$A:$C,MATCH($C$1,Database!$A$1:$C$1,),))</f>
        <v/>
      </c>
      <c r="D8781">
        <f>IFERROR(Table7[[#This Row],[United States 10y]]-Table7[[#This Row],[United States 3y]],#N/A)</f>
        <v/>
      </c>
    </row>
    <row r="8782">
      <c r="A8782" s="6">
        <f>Database!$A10867</f>
        <v/>
      </c>
      <c r="B8782">
        <f>IF(VLOOKUP(Table7[[#This Row],[Date]],Database!$A:$C,MATCH($B$1,Database!$A$1:$C$1,),)=0,#N/A,VLOOKUP(Table7[[#This Row],[Date]],Database!$A:$C,MATCH($B$1,Database!$A$1:$C$1,),))</f>
        <v/>
      </c>
      <c r="C8782">
        <f>IF(VLOOKUP(Table7[[#This Row],[Date]],Database!$A:$C,MATCH($C$1,Database!$A$1:$C$1,),)=0,#N/A,VLOOKUP(Table7[[#This Row],[Date]],Database!$A:$C,MATCH($C$1,Database!$A$1:$C$1,),))</f>
        <v/>
      </c>
      <c r="D8782">
        <f>IFERROR(Table7[[#This Row],[United States 10y]]-Table7[[#This Row],[United States 3y]],#N/A)</f>
        <v/>
      </c>
    </row>
    <row r="8783">
      <c r="A8783" s="6">
        <f>Database!$A10868</f>
        <v/>
      </c>
      <c r="B8783">
        <f>IF(VLOOKUP(Table7[[#This Row],[Date]],Database!$A:$C,MATCH($B$1,Database!$A$1:$C$1,),)=0,#N/A,VLOOKUP(Table7[[#This Row],[Date]],Database!$A:$C,MATCH($B$1,Database!$A$1:$C$1,),))</f>
        <v/>
      </c>
      <c r="C8783">
        <f>IF(VLOOKUP(Table7[[#This Row],[Date]],Database!$A:$C,MATCH($C$1,Database!$A$1:$C$1,),)=0,#N/A,VLOOKUP(Table7[[#This Row],[Date]],Database!$A:$C,MATCH($C$1,Database!$A$1:$C$1,),))</f>
        <v/>
      </c>
      <c r="D8783">
        <f>IFERROR(Table7[[#This Row],[United States 10y]]-Table7[[#This Row],[United States 3y]],#N/A)</f>
        <v/>
      </c>
    </row>
    <row r="8784">
      <c r="A8784" s="6">
        <f>Database!$A10869</f>
        <v/>
      </c>
      <c r="B8784">
        <f>IF(VLOOKUP(Table7[[#This Row],[Date]],Database!$A:$C,MATCH($B$1,Database!$A$1:$C$1,),)=0,#N/A,VLOOKUP(Table7[[#This Row],[Date]],Database!$A:$C,MATCH($B$1,Database!$A$1:$C$1,),))</f>
        <v/>
      </c>
      <c r="C8784">
        <f>IF(VLOOKUP(Table7[[#This Row],[Date]],Database!$A:$C,MATCH($C$1,Database!$A$1:$C$1,),)=0,#N/A,VLOOKUP(Table7[[#This Row],[Date]],Database!$A:$C,MATCH($C$1,Database!$A$1:$C$1,),))</f>
        <v/>
      </c>
      <c r="D8784">
        <f>IFERROR(Table7[[#This Row],[United States 10y]]-Table7[[#This Row],[United States 3y]],#N/A)</f>
        <v/>
      </c>
    </row>
    <row r="8785">
      <c r="A8785" s="6">
        <f>Database!$A10870</f>
        <v/>
      </c>
      <c r="B8785">
        <f>IF(VLOOKUP(Table7[[#This Row],[Date]],Database!$A:$C,MATCH($B$1,Database!$A$1:$C$1,),)=0,#N/A,VLOOKUP(Table7[[#This Row],[Date]],Database!$A:$C,MATCH($B$1,Database!$A$1:$C$1,),))</f>
        <v/>
      </c>
      <c r="C8785">
        <f>IF(VLOOKUP(Table7[[#This Row],[Date]],Database!$A:$C,MATCH($C$1,Database!$A$1:$C$1,),)=0,#N/A,VLOOKUP(Table7[[#This Row],[Date]],Database!$A:$C,MATCH($C$1,Database!$A$1:$C$1,),))</f>
        <v/>
      </c>
      <c r="D8785">
        <f>IFERROR(Table7[[#This Row],[United States 10y]]-Table7[[#This Row],[United States 3y]],#N/A)</f>
        <v/>
      </c>
    </row>
    <row r="8786">
      <c r="A8786" s="6">
        <f>Database!$A10871</f>
        <v/>
      </c>
      <c r="B8786">
        <f>IF(VLOOKUP(Table7[[#This Row],[Date]],Database!$A:$C,MATCH($B$1,Database!$A$1:$C$1,),)=0,#N/A,VLOOKUP(Table7[[#This Row],[Date]],Database!$A:$C,MATCH($B$1,Database!$A$1:$C$1,),))</f>
        <v/>
      </c>
      <c r="C8786">
        <f>IF(VLOOKUP(Table7[[#This Row],[Date]],Database!$A:$C,MATCH($C$1,Database!$A$1:$C$1,),)=0,#N/A,VLOOKUP(Table7[[#This Row],[Date]],Database!$A:$C,MATCH($C$1,Database!$A$1:$C$1,),))</f>
        <v/>
      </c>
      <c r="D8786">
        <f>IFERROR(Table7[[#This Row],[United States 10y]]-Table7[[#This Row],[United States 3y]],#N/A)</f>
        <v/>
      </c>
    </row>
    <row r="8787">
      <c r="A8787" s="6">
        <f>Database!$A10872</f>
        <v/>
      </c>
      <c r="B8787">
        <f>IF(VLOOKUP(Table7[[#This Row],[Date]],Database!$A:$C,MATCH($B$1,Database!$A$1:$C$1,),)=0,#N/A,VLOOKUP(Table7[[#This Row],[Date]],Database!$A:$C,MATCH($B$1,Database!$A$1:$C$1,),))</f>
        <v/>
      </c>
      <c r="C8787">
        <f>IF(VLOOKUP(Table7[[#This Row],[Date]],Database!$A:$C,MATCH($C$1,Database!$A$1:$C$1,),)=0,#N/A,VLOOKUP(Table7[[#This Row],[Date]],Database!$A:$C,MATCH($C$1,Database!$A$1:$C$1,),))</f>
        <v/>
      </c>
      <c r="D8787">
        <f>IFERROR(Table7[[#This Row],[United States 10y]]-Table7[[#This Row],[United States 3y]],#N/A)</f>
        <v/>
      </c>
    </row>
    <row r="8788">
      <c r="A8788" s="6">
        <f>Database!$A10873</f>
        <v/>
      </c>
      <c r="B8788">
        <f>IF(VLOOKUP(Table7[[#This Row],[Date]],Database!$A:$C,MATCH($B$1,Database!$A$1:$C$1,),)=0,#N/A,VLOOKUP(Table7[[#This Row],[Date]],Database!$A:$C,MATCH($B$1,Database!$A$1:$C$1,),))</f>
        <v/>
      </c>
      <c r="C8788">
        <f>IF(VLOOKUP(Table7[[#This Row],[Date]],Database!$A:$C,MATCH($C$1,Database!$A$1:$C$1,),)=0,#N/A,VLOOKUP(Table7[[#This Row],[Date]],Database!$A:$C,MATCH($C$1,Database!$A$1:$C$1,),))</f>
        <v/>
      </c>
      <c r="D8788">
        <f>IFERROR(Table7[[#This Row],[United States 10y]]-Table7[[#This Row],[United States 3y]],#N/A)</f>
        <v/>
      </c>
    </row>
    <row r="8789">
      <c r="A8789" s="6">
        <f>Database!$A10874</f>
        <v/>
      </c>
      <c r="B8789">
        <f>IF(VLOOKUP(Table7[[#This Row],[Date]],Database!$A:$C,MATCH($B$1,Database!$A$1:$C$1,),)=0,#N/A,VLOOKUP(Table7[[#This Row],[Date]],Database!$A:$C,MATCH($B$1,Database!$A$1:$C$1,),))</f>
        <v/>
      </c>
      <c r="C8789">
        <f>IF(VLOOKUP(Table7[[#This Row],[Date]],Database!$A:$C,MATCH($C$1,Database!$A$1:$C$1,),)=0,#N/A,VLOOKUP(Table7[[#This Row],[Date]],Database!$A:$C,MATCH($C$1,Database!$A$1:$C$1,),))</f>
        <v/>
      </c>
      <c r="D8789">
        <f>IFERROR(Table7[[#This Row],[United States 10y]]-Table7[[#This Row],[United States 3y]],#N/A)</f>
        <v/>
      </c>
    </row>
    <row r="8790">
      <c r="A8790" s="6">
        <f>Database!$A10875</f>
        <v/>
      </c>
      <c r="B8790">
        <f>IF(VLOOKUP(Table7[[#This Row],[Date]],Database!$A:$C,MATCH($B$1,Database!$A$1:$C$1,),)=0,#N/A,VLOOKUP(Table7[[#This Row],[Date]],Database!$A:$C,MATCH($B$1,Database!$A$1:$C$1,),))</f>
        <v/>
      </c>
      <c r="C8790">
        <f>IF(VLOOKUP(Table7[[#This Row],[Date]],Database!$A:$C,MATCH($C$1,Database!$A$1:$C$1,),)=0,#N/A,VLOOKUP(Table7[[#This Row],[Date]],Database!$A:$C,MATCH($C$1,Database!$A$1:$C$1,),))</f>
        <v/>
      </c>
      <c r="D8790">
        <f>IFERROR(Table7[[#This Row],[United States 10y]]-Table7[[#This Row],[United States 3y]],#N/A)</f>
        <v/>
      </c>
    </row>
    <row r="8791">
      <c r="A8791" s="6">
        <f>Database!$A10876</f>
        <v/>
      </c>
      <c r="B8791">
        <f>IF(VLOOKUP(Table7[[#This Row],[Date]],Database!$A:$C,MATCH($B$1,Database!$A$1:$C$1,),)=0,#N/A,VLOOKUP(Table7[[#This Row],[Date]],Database!$A:$C,MATCH($B$1,Database!$A$1:$C$1,),))</f>
        <v/>
      </c>
      <c r="C8791">
        <f>IF(VLOOKUP(Table7[[#This Row],[Date]],Database!$A:$C,MATCH($C$1,Database!$A$1:$C$1,),)=0,#N/A,VLOOKUP(Table7[[#This Row],[Date]],Database!$A:$C,MATCH($C$1,Database!$A$1:$C$1,),))</f>
        <v/>
      </c>
      <c r="D8791">
        <f>IFERROR(Table7[[#This Row],[United States 10y]]-Table7[[#This Row],[United States 3y]],#N/A)</f>
        <v/>
      </c>
    </row>
    <row r="8792">
      <c r="A8792" s="6">
        <f>Database!$A10877</f>
        <v/>
      </c>
      <c r="B8792">
        <f>IF(VLOOKUP(Table7[[#This Row],[Date]],Database!$A:$C,MATCH($B$1,Database!$A$1:$C$1,),)=0,#N/A,VLOOKUP(Table7[[#This Row],[Date]],Database!$A:$C,MATCH($B$1,Database!$A$1:$C$1,),))</f>
        <v/>
      </c>
      <c r="C8792">
        <f>IF(VLOOKUP(Table7[[#This Row],[Date]],Database!$A:$C,MATCH($C$1,Database!$A$1:$C$1,),)=0,#N/A,VLOOKUP(Table7[[#This Row],[Date]],Database!$A:$C,MATCH($C$1,Database!$A$1:$C$1,),))</f>
        <v/>
      </c>
      <c r="D8792">
        <f>IFERROR(Table7[[#This Row],[United States 10y]]-Table7[[#This Row],[United States 3y]],#N/A)</f>
        <v/>
      </c>
    </row>
    <row r="8793">
      <c r="A8793" s="6">
        <f>Database!$A10878</f>
        <v/>
      </c>
      <c r="B8793">
        <f>IF(VLOOKUP(Table7[[#This Row],[Date]],Database!$A:$C,MATCH($B$1,Database!$A$1:$C$1,),)=0,#N/A,VLOOKUP(Table7[[#This Row],[Date]],Database!$A:$C,MATCH($B$1,Database!$A$1:$C$1,),))</f>
        <v/>
      </c>
      <c r="C8793">
        <f>IF(VLOOKUP(Table7[[#This Row],[Date]],Database!$A:$C,MATCH($C$1,Database!$A$1:$C$1,),)=0,#N/A,VLOOKUP(Table7[[#This Row],[Date]],Database!$A:$C,MATCH($C$1,Database!$A$1:$C$1,),))</f>
        <v/>
      </c>
      <c r="D8793">
        <f>IFERROR(Table7[[#This Row],[United States 10y]]-Table7[[#This Row],[United States 3y]],#N/A)</f>
        <v/>
      </c>
    </row>
    <row r="8794">
      <c r="A8794" s="6">
        <f>Database!$A10879</f>
        <v/>
      </c>
      <c r="B8794">
        <f>IF(VLOOKUP(Table7[[#This Row],[Date]],Database!$A:$C,MATCH($B$1,Database!$A$1:$C$1,),)=0,#N/A,VLOOKUP(Table7[[#This Row],[Date]],Database!$A:$C,MATCH($B$1,Database!$A$1:$C$1,),))</f>
        <v/>
      </c>
      <c r="C8794">
        <f>IF(VLOOKUP(Table7[[#This Row],[Date]],Database!$A:$C,MATCH($C$1,Database!$A$1:$C$1,),)=0,#N/A,VLOOKUP(Table7[[#This Row],[Date]],Database!$A:$C,MATCH($C$1,Database!$A$1:$C$1,),))</f>
        <v/>
      </c>
      <c r="D8794">
        <f>IFERROR(Table7[[#This Row],[United States 10y]]-Table7[[#This Row],[United States 3y]],#N/A)</f>
        <v/>
      </c>
    </row>
    <row r="8795">
      <c r="A8795" s="6">
        <f>Database!$A10880</f>
        <v/>
      </c>
      <c r="B8795">
        <f>IF(VLOOKUP(Table7[[#This Row],[Date]],Database!$A:$C,MATCH($B$1,Database!$A$1:$C$1,),)=0,#N/A,VLOOKUP(Table7[[#This Row],[Date]],Database!$A:$C,MATCH($B$1,Database!$A$1:$C$1,),))</f>
        <v/>
      </c>
      <c r="C8795">
        <f>IF(VLOOKUP(Table7[[#This Row],[Date]],Database!$A:$C,MATCH($C$1,Database!$A$1:$C$1,),)=0,#N/A,VLOOKUP(Table7[[#This Row],[Date]],Database!$A:$C,MATCH($C$1,Database!$A$1:$C$1,),))</f>
        <v/>
      </c>
      <c r="D8795">
        <f>IFERROR(Table7[[#This Row],[United States 10y]]-Table7[[#This Row],[United States 3y]],#N/A)</f>
        <v/>
      </c>
    </row>
    <row r="8796">
      <c r="A8796" s="6">
        <f>Database!$A10881</f>
        <v/>
      </c>
      <c r="B8796">
        <f>IF(VLOOKUP(Table7[[#This Row],[Date]],Database!$A:$C,MATCH($B$1,Database!$A$1:$C$1,),)=0,#N/A,VLOOKUP(Table7[[#This Row],[Date]],Database!$A:$C,MATCH($B$1,Database!$A$1:$C$1,),))</f>
        <v/>
      </c>
      <c r="C8796">
        <f>IF(VLOOKUP(Table7[[#This Row],[Date]],Database!$A:$C,MATCH($C$1,Database!$A$1:$C$1,),)=0,#N/A,VLOOKUP(Table7[[#This Row],[Date]],Database!$A:$C,MATCH($C$1,Database!$A$1:$C$1,),))</f>
        <v/>
      </c>
      <c r="D8796">
        <f>IFERROR(Table7[[#This Row],[United States 10y]]-Table7[[#This Row],[United States 3y]],#N/A)</f>
        <v/>
      </c>
    </row>
    <row r="8797">
      <c r="A8797" s="6">
        <f>Database!$A10882</f>
        <v/>
      </c>
      <c r="B8797">
        <f>IF(VLOOKUP(Table7[[#This Row],[Date]],Database!$A:$C,MATCH($B$1,Database!$A$1:$C$1,),)=0,#N/A,VLOOKUP(Table7[[#This Row],[Date]],Database!$A:$C,MATCH($B$1,Database!$A$1:$C$1,),))</f>
        <v/>
      </c>
      <c r="C8797">
        <f>IF(VLOOKUP(Table7[[#This Row],[Date]],Database!$A:$C,MATCH($C$1,Database!$A$1:$C$1,),)=0,#N/A,VLOOKUP(Table7[[#This Row],[Date]],Database!$A:$C,MATCH($C$1,Database!$A$1:$C$1,),))</f>
        <v/>
      </c>
      <c r="D8797">
        <f>IFERROR(Table7[[#This Row],[United States 10y]]-Table7[[#This Row],[United States 3y]],#N/A)</f>
        <v/>
      </c>
    </row>
    <row r="8798">
      <c r="A8798" s="6">
        <f>Database!$A10883</f>
        <v/>
      </c>
      <c r="B8798">
        <f>IF(VLOOKUP(Table7[[#This Row],[Date]],Database!$A:$C,MATCH($B$1,Database!$A$1:$C$1,),)=0,#N/A,VLOOKUP(Table7[[#This Row],[Date]],Database!$A:$C,MATCH($B$1,Database!$A$1:$C$1,),))</f>
        <v/>
      </c>
      <c r="C8798">
        <f>IF(VLOOKUP(Table7[[#This Row],[Date]],Database!$A:$C,MATCH($C$1,Database!$A$1:$C$1,),)=0,#N/A,VLOOKUP(Table7[[#This Row],[Date]],Database!$A:$C,MATCH($C$1,Database!$A$1:$C$1,),))</f>
        <v/>
      </c>
      <c r="D8798">
        <f>IFERROR(Table7[[#This Row],[United States 10y]]-Table7[[#This Row],[United States 3y]],#N/A)</f>
        <v/>
      </c>
    </row>
    <row r="8799">
      <c r="A8799" s="6">
        <f>Database!$A10884</f>
        <v/>
      </c>
      <c r="B8799">
        <f>IF(VLOOKUP(Table7[[#This Row],[Date]],Database!$A:$C,MATCH($B$1,Database!$A$1:$C$1,),)=0,#N/A,VLOOKUP(Table7[[#This Row],[Date]],Database!$A:$C,MATCH($B$1,Database!$A$1:$C$1,),))</f>
        <v/>
      </c>
      <c r="C8799">
        <f>IF(VLOOKUP(Table7[[#This Row],[Date]],Database!$A:$C,MATCH($C$1,Database!$A$1:$C$1,),)=0,#N/A,VLOOKUP(Table7[[#This Row],[Date]],Database!$A:$C,MATCH($C$1,Database!$A$1:$C$1,),))</f>
        <v/>
      </c>
      <c r="D8799">
        <f>IFERROR(Table7[[#This Row],[United States 10y]]-Table7[[#This Row],[United States 3y]],#N/A)</f>
        <v/>
      </c>
    </row>
    <row r="8800">
      <c r="A8800" s="6">
        <f>Database!$A10885</f>
        <v/>
      </c>
      <c r="B8800">
        <f>IF(VLOOKUP(Table7[[#This Row],[Date]],Database!$A:$C,MATCH($B$1,Database!$A$1:$C$1,),)=0,#N/A,VLOOKUP(Table7[[#This Row],[Date]],Database!$A:$C,MATCH($B$1,Database!$A$1:$C$1,),))</f>
        <v/>
      </c>
      <c r="C8800">
        <f>IF(VLOOKUP(Table7[[#This Row],[Date]],Database!$A:$C,MATCH($C$1,Database!$A$1:$C$1,),)=0,#N/A,VLOOKUP(Table7[[#This Row],[Date]],Database!$A:$C,MATCH($C$1,Database!$A$1:$C$1,),))</f>
        <v/>
      </c>
      <c r="D8800">
        <f>IFERROR(Table7[[#This Row],[United States 10y]]-Table7[[#This Row],[United States 3y]],#N/A)</f>
        <v/>
      </c>
    </row>
    <row r="8801">
      <c r="A8801" s="6">
        <f>Database!$A10886</f>
        <v/>
      </c>
      <c r="B8801">
        <f>IF(VLOOKUP(Table7[[#This Row],[Date]],Database!$A:$C,MATCH($B$1,Database!$A$1:$C$1,),)=0,#N/A,VLOOKUP(Table7[[#This Row],[Date]],Database!$A:$C,MATCH($B$1,Database!$A$1:$C$1,),))</f>
        <v/>
      </c>
      <c r="C8801">
        <f>IF(VLOOKUP(Table7[[#This Row],[Date]],Database!$A:$C,MATCH($C$1,Database!$A$1:$C$1,),)=0,#N/A,VLOOKUP(Table7[[#This Row],[Date]],Database!$A:$C,MATCH($C$1,Database!$A$1:$C$1,),))</f>
        <v/>
      </c>
      <c r="D8801">
        <f>IFERROR(Table7[[#This Row],[United States 10y]]-Table7[[#This Row],[United States 3y]],#N/A)</f>
        <v/>
      </c>
    </row>
    <row r="8802">
      <c r="A8802" s="6">
        <f>Database!$A10887</f>
        <v/>
      </c>
      <c r="B8802">
        <f>IF(VLOOKUP(Table7[[#This Row],[Date]],Database!$A:$C,MATCH($B$1,Database!$A$1:$C$1,),)=0,#N/A,VLOOKUP(Table7[[#This Row],[Date]],Database!$A:$C,MATCH($B$1,Database!$A$1:$C$1,),))</f>
        <v/>
      </c>
      <c r="C8802">
        <f>IF(VLOOKUP(Table7[[#This Row],[Date]],Database!$A:$C,MATCH($C$1,Database!$A$1:$C$1,),)=0,#N/A,VLOOKUP(Table7[[#This Row],[Date]],Database!$A:$C,MATCH($C$1,Database!$A$1:$C$1,),))</f>
        <v/>
      </c>
      <c r="D8802">
        <f>IFERROR(Table7[[#This Row],[United States 10y]]-Table7[[#This Row],[United States 3y]],#N/A)</f>
        <v/>
      </c>
    </row>
    <row r="8803">
      <c r="A8803" s="6">
        <f>Database!$A10888</f>
        <v/>
      </c>
      <c r="B8803">
        <f>IF(VLOOKUP(Table7[[#This Row],[Date]],Database!$A:$C,MATCH($B$1,Database!$A$1:$C$1,),)=0,#N/A,VLOOKUP(Table7[[#This Row],[Date]],Database!$A:$C,MATCH($B$1,Database!$A$1:$C$1,),))</f>
        <v/>
      </c>
      <c r="C8803">
        <f>IF(VLOOKUP(Table7[[#This Row],[Date]],Database!$A:$C,MATCH($C$1,Database!$A$1:$C$1,),)=0,#N/A,VLOOKUP(Table7[[#This Row],[Date]],Database!$A:$C,MATCH($C$1,Database!$A$1:$C$1,),))</f>
        <v/>
      </c>
      <c r="D8803">
        <f>IFERROR(Table7[[#This Row],[United States 10y]]-Table7[[#This Row],[United States 3y]],#N/A)</f>
        <v/>
      </c>
    </row>
    <row r="8804">
      <c r="A8804" s="6">
        <f>Database!$A10889</f>
        <v/>
      </c>
      <c r="B8804">
        <f>IF(VLOOKUP(Table7[[#This Row],[Date]],Database!$A:$C,MATCH($B$1,Database!$A$1:$C$1,),)=0,#N/A,VLOOKUP(Table7[[#This Row],[Date]],Database!$A:$C,MATCH($B$1,Database!$A$1:$C$1,),))</f>
        <v/>
      </c>
      <c r="C8804">
        <f>IF(VLOOKUP(Table7[[#This Row],[Date]],Database!$A:$C,MATCH($C$1,Database!$A$1:$C$1,),)=0,#N/A,VLOOKUP(Table7[[#This Row],[Date]],Database!$A:$C,MATCH($C$1,Database!$A$1:$C$1,),))</f>
        <v/>
      </c>
      <c r="D8804">
        <f>IFERROR(Table7[[#This Row],[United States 10y]]-Table7[[#This Row],[United States 3y]],#N/A)</f>
        <v/>
      </c>
    </row>
    <row r="8805">
      <c r="A8805" s="6">
        <f>Database!$A10890</f>
        <v/>
      </c>
      <c r="B8805">
        <f>IF(VLOOKUP(Table7[[#This Row],[Date]],Database!$A:$C,MATCH($B$1,Database!$A$1:$C$1,),)=0,#N/A,VLOOKUP(Table7[[#This Row],[Date]],Database!$A:$C,MATCH($B$1,Database!$A$1:$C$1,),))</f>
        <v/>
      </c>
      <c r="C8805">
        <f>IF(VLOOKUP(Table7[[#This Row],[Date]],Database!$A:$C,MATCH($C$1,Database!$A$1:$C$1,),)=0,#N/A,VLOOKUP(Table7[[#This Row],[Date]],Database!$A:$C,MATCH($C$1,Database!$A$1:$C$1,),))</f>
        <v/>
      </c>
      <c r="D8805">
        <f>IFERROR(Table7[[#This Row],[United States 10y]]-Table7[[#This Row],[United States 3y]],#N/A)</f>
        <v/>
      </c>
    </row>
    <row r="8806">
      <c r="A8806" s="6">
        <f>Database!$A10891</f>
        <v/>
      </c>
      <c r="B8806">
        <f>IF(VLOOKUP(Table7[[#This Row],[Date]],Database!$A:$C,MATCH($B$1,Database!$A$1:$C$1,),)=0,#N/A,VLOOKUP(Table7[[#This Row],[Date]],Database!$A:$C,MATCH($B$1,Database!$A$1:$C$1,),))</f>
        <v/>
      </c>
      <c r="C8806">
        <f>IF(VLOOKUP(Table7[[#This Row],[Date]],Database!$A:$C,MATCH($C$1,Database!$A$1:$C$1,),)=0,#N/A,VLOOKUP(Table7[[#This Row],[Date]],Database!$A:$C,MATCH($C$1,Database!$A$1:$C$1,),))</f>
        <v/>
      </c>
      <c r="D8806">
        <f>IFERROR(Table7[[#This Row],[United States 10y]]-Table7[[#This Row],[United States 3y]],#N/A)</f>
        <v/>
      </c>
    </row>
    <row r="8807">
      <c r="A8807" s="6">
        <f>Database!$A10892</f>
        <v/>
      </c>
      <c r="B8807">
        <f>IF(VLOOKUP(Table7[[#This Row],[Date]],Database!$A:$C,MATCH($B$1,Database!$A$1:$C$1,),)=0,#N/A,VLOOKUP(Table7[[#This Row],[Date]],Database!$A:$C,MATCH($B$1,Database!$A$1:$C$1,),))</f>
        <v/>
      </c>
      <c r="C8807">
        <f>IF(VLOOKUP(Table7[[#This Row],[Date]],Database!$A:$C,MATCH($C$1,Database!$A$1:$C$1,),)=0,#N/A,VLOOKUP(Table7[[#This Row],[Date]],Database!$A:$C,MATCH($C$1,Database!$A$1:$C$1,),))</f>
        <v/>
      </c>
      <c r="D8807">
        <f>IFERROR(Table7[[#This Row],[United States 10y]]-Table7[[#This Row],[United States 3y]],#N/A)</f>
        <v/>
      </c>
    </row>
    <row r="8808">
      <c r="A8808" s="6">
        <f>Database!$A10893</f>
        <v/>
      </c>
      <c r="B8808">
        <f>IF(VLOOKUP(Table7[[#This Row],[Date]],Database!$A:$C,MATCH($B$1,Database!$A$1:$C$1,),)=0,#N/A,VLOOKUP(Table7[[#This Row],[Date]],Database!$A:$C,MATCH($B$1,Database!$A$1:$C$1,),))</f>
        <v/>
      </c>
      <c r="C8808">
        <f>IF(VLOOKUP(Table7[[#This Row],[Date]],Database!$A:$C,MATCH($C$1,Database!$A$1:$C$1,),)=0,#N/A,VLOOKUP(Table7[[#This Row],[Date]],Database!$A:$C,MATCH($C$1,Database!$A$1:$C$1,),))</f>
        <v/>
      </c>
      <c r="D8808">
        <f>IFERROR(Table7[[#This Row],[United States 10y]]-Table7[[#This Row],[United States 3y]],#N/A)</f>
        <v/>
      </c>
    </row>
    <row r="8809">
      <c r="A8809" s="6">
        <f>Database!$A10894</f>
        <v/>
      </c>
      <c r="B8809">
        <f>IF(VLOOKUP(Table7[[#This Row],[Date]],Database!$A:$C,MATCH($B$1,Database!$A$1:$C$1,),)=0,#N/A,VLOOKUP(Table7[[#This Row],[Date]],Database!$A:$C,MATCH($B$1,Database!$A$1:$C$1,),))</f>
        <v/>
      </c>
      <c r="C8809">
        <f>IF(VLOOKUP(Table7[[#This Row],[Date]],Database!$A:$C,MATCH($C$1,Database!$A$1:$C$1,),)=0,#N/A,VLOOKUP(Table7[[#This Row],[Date]],Database!$A:$C,MATCH($C$1,Database!$A$1:$C$1,),))</f>
        <v/>
      </c>
      <c r="D8809">
        <f>IFERROR(Table7[[#This Row],[United States 10y]]-Table7[[#This Row],[United States 3y]],#N/A)</f>
        <v/>
      </c>
    </row>
    <row r="8810">
      <c r="A8810" s="6">
        <f>Database!$A10895</f>
        <v/>
      </c>
      <c r="B8810">
        <f>IF(VLOOKUP(Table7[[#This Row],[Date]],Database!$A:$C,MATCH($B$1,Database!$A$1:$C$1,),)=0,#N/A,VLOOKUP(Table7[[#This Row],[Date]],Database!$A:$C,MATCH($B$1,Database!$A$1:$C$1,),))</f>
        <v/>
      </c>
      <c r="C8810">
        <f>IF(VLOOKUP(Table7[[#This Row],[Date]],Database!$A:$C,MATCH($C$1,Database!$A$1:$C$1,),)=0,#N/A,VLOOKUP(Table7[[#This Row],[Date]],Database!$A:$C,MATCH($C$1,Database!$A$1:$C$1,),))</f>
        <v/>
      </c>
      <c r="D8810">
        <f>IFERROR(Table7[[#This Row],[United States 10y]]-Table7[[#This Row],[United States 3y]],#N/A)</f>
        <v/>
      </c>
    </row>
    <row r="8811">
      <c r="A8811" s="6">
        <f>Database!$A10896</f>
        <v/>
      </c>
      <c r="B8811">
        <f>IF(VLOOKUP(Table7[[#This Row],[Date]],Database!$A:$C,MATCH($B$1,Database!$A$1:$C$1,),)=0,#N/A,VLOOKUP(Table7[[#This Row],[Date]],Database!$A:$C,MATCH($B$1,Database!$A$1:$C$1,),))</f>
        <v/>
      </c>
      <c r="C8811">
        <f>IF(VLOOKUP(Table7[[#This Row],[Date]],Database!$A:$C,MATCH($C$1,Database!$A$1:$C$1,),)=0,#N/A,VLOOKUP(Table7[[#This Row],[Date]],Database!$A:$C,MATCH($C$1,Database!$A$1:$C$1,),))</f>
        <v/>
      </c>
      <c r="D8811">
        <f>IFERROR(Table7[[#This Row],[United States 10y]]-Table7[[#This Row],[United States 3y]],#N/A)</f>
        <v/>
      </c>
    </row>
    <row r="8812">
      <c r="A8812" s="6">
        <f>Database!$A10897</f>
        <v/>
      </c>
      <c r="B8812">
        <f>IF(VLOOKUP(Table7[[#This Row],[Date]],Database!$A:$C,MATCH($B$1,Database!$A$1:$C$1,),)=0,#N/A,VLOOKUP(Table7[[#This Row],[Date]],Database!$A:$C,MATCH($B$1,Database!$A$1:$C$1,),))</f>
        <v/>
      </c>
      <c r="C8812">
        <f>IF(VLOOKUP(Table7[[#This Row],[Date]],Database!$A:$C,MATCH($C$1,Database!$A$1:$C$1,),)=0,#N/A,VLOOKUP(Table7[[#This Row],[Date]],Database!$A:$C,MATCH($C$1,Database!$A$1:$C$1,),))</f>
        <v/>
      </c>
      <c r="D8812">
        <f>IFERROR(Table7[[#This Row],[United States 10y]]-Table7[[#This Row],[United States 3y]],#N/A)</f>
        <v/>
      </c>
    </row>
    <row r="8813">
      <c r="A8813" s="6">
        <f>Database!$A10898</f>
        <v/>
      </c>
      <c r="B8813">
        <f>IF(VLOOKUP(Table7[[#This Row],[Date]],Database!$A:$C,MATCH($B$1,Database!$A$1:$C$1,),)=0,#N/A,VLOOKUP(Table7[[#This Row],[Date]],Database!$A:$C,MATCH($B$1,Database!$A$1:$C$1,),))</f>
        <v/>
      </c>
      <c r="C8813">
        <f>IF(VLOOKUP(Table7[[#This Row],[Date]],Database!$A:$C,MATCH($C$1,Database!$A$1:$C$1,),)=0,#N/A,VLOOKUP(Table7[[#This Row],[Date]],Database!$A:$C,MATCH($C$1,Database!$A$1:$C$1,),))</f>
        <v/>
      </c>
      <c r="D8813">
        <f>IFERROR(Table7[[#This Row],[United States 10y]]-Table7[[#This Row],[United States 3y]],#N/A)</f>
        <v/>
      </c>
    </row>
    <row r="8814">
      <c r="A8814" s="6">
        <f>Database!$A10899</f>
        <v/>
      </c>
      <c r="B8814">
        <f>IF(VLOOKUP(Table7[[#This Row],[Date]],Database!$A:$C,MATCH($B$1,Database!$A$1:$C$1,),)=0,#N/A,VLOOKUP(Table7[[#This Row],[Date]],Database!$A:$C,MATCH($B$1,Database!$A$1:$C$1,),))</f>
        <v/>
      </c>
      <c r="C8814">
        <f>IF(VLOOKUP(Table7[[#This Row],[Date]],Database!$A:$C,MATCH($C$1,Database!$A$1:$C$1,),)=0,#N/A,VLOOKUP(Table7[[#This Row],[Date]],Database!$A:$C,MATCH($C$1,Database!$A$1:$C$1,),))</f>
        <v/>
      </c>
      <c r="D8814">
        <f>IFERROR(Table7[[#This Row],[United States 10y]]-Table7[[#This Row],[United States 3y]],#N/A)</f>
        <v/>
      </c>
    </row>
    <row r="8815">
      <c r="A8815" s="6">
        <f>Database!$A10900</f>
        <v/>
      </c>
      <c r="B8815">
        <f>IF(VLOOKUP(Table7[[#This Row],[Date]],Database!$A:$C,MATCH($B$1,Database!$A$1:$C$1,),)=0,#N/A,VLOOKUP(Table7[[#This Row],[Date]],Database!$A:$C,MATCH($B$1,Database!$A$1:$C$1,),))</f>
        <v/>
      </c>
      <c r="C8815">
        <f>IF(VLOOKUP(Table7[[#This Row],[Date]],Database!$A:$C,MATCH($C$1,Database!$A$1:$C$1,),)=0,#N/A,VLOOKUP(Table7[[#This Row],[Date]],Database!$A:$C,MATCH($C$1,Database!$A$1:$C$1,),))</f>
        <v/>
      </c>
      <c r="D8815">
        <f>IFERROR(Table7[[#This Row],[United States 10y]]-Table7[[#This Row],[United States 3y]],#N/A)</f>
        <v/>
      </c>
    </row>
    <row r="8816">
      <c r="A8816" s="6">
        <f>Database!$A10901</f>
        <v/>
      </c>
      <c r="B8816">
        <f>IF(VLOOKUP(Table7[[#This Row],[Date]],Database!$A:$C,MATCH($B$1,Database!$A$1:$C$1,),)=0,#N/A,VLOOKUP(Table7[[#This Row],[Date]],Database!$A:$C,MATCH($B$1,Database!$A$1:$C$1,),))</f>
        <v/>
      </c>
      <c r="C8816">
        <f>IF(VLOOKUP(Table7[[#This Row],[Date]],Database!$A:$C,MATCH($C$1,Database!$A$1:$C$1,),)=0,#N/A,VLOOKUP(Table7[[#This Row],[Date]],Database!$A:$C,MATCH($C$1,Database!$A$1:$C$1,),))</f>
        <v/>
      </c>
      <c r="D8816">
        <f>IFERROR(Table7[[#This Row],[United States 10y]]-Table7[[#This Row],[United States 3y]],#N/A)</f>
        <v/>
      </c>
    </row>
    <row r="8817">
      <c r="A8817" s="6">
        <f>Database!$A10902</f>
        <v/>
      </c>
      <c r="B8817">
        <f>IF(VLOOKUP(Table7[[#This Row],[Date]],Database!$A:$C,MATCH($B$1,Database!$A$1:$C$1,),)=0,#N/A,VLOOKUP(Table7[[#This Row],[Date]],Database!$A:$C,MATCH($B$1,Database!$A$1:$C$1,),))</f>
        <v/>
      </c>
      <c r="C8817">
        <f>IF(VLOOKUP(Table7[[#This Row],[Date]],Database!$A:$C,MATCH($C$1,Database!$A$1:$C$1,),)=0,#N/A,VLOOKUP(Table7[[#This Row],[Date]],Database!$A:$C,MATCH($C$1,Database!$A$1:$C$1,),))</f>
        <v/>
      </c>
      <c r="D8817">
        <f>IFERROR(Table7[[#This Row],[United States 10y]]-Table7[[#This Row],[United States 3y]],#N/A)</f>
        <v/>
      </c>
    </row>
    <row r="8818">
      <c r="A8818" s="6">
        <f>Database!$A10903</f>
        <v/>
      </c>
      <c r="B8818">
        <f>IF(VLOOKUP(Table7[[#This Row],[Date]],Database!$A:$C,MATCH($B$1,Database!$A$1:$C$1,),)=0,#N/A,VLOOKUP(Table7[[#This Row],[Date]],Database!$A:$C,MATCH($B$1,Database!$A$1:$C$1,),))</f>
        <v/>
      </c>
      <c r="C8818">
        <f>IF(VLOOKUP(Table7[[#This Row],[Date]],Database!$A:$C,MATCH($C$1,Database!$A$1:$C$1,),)=0,#N/A,VLOOKUP(Table7[[#This Row],[Date]],Database!$A:$C,MATCH($C$1,Database!$A$1:$C$1,),))</f>
        <v/>
      </c>
      <c r="D8818">
        <f>IFERROR(Table7[[#This Row],[United States 10y]]-Table7[[#This Row],[United States 3y]],#N/A)</f>
        <v/>
      </c>
    </row>
    <row r="8819">
      <c r="A8819" s="6">
        <f>Database!$A10904</f>
        <v/>
      </c>
      <c r="B8819">
        <f>IF(VLOOKUP(Table7[[#This Row],[Date]],Database!$A:$C,MATCH($B$1,Database!$A$1:$C$1,),)=0,#N/A,VLOOKUP(Table7[[#This Row],[Date]],Database!$A:$C,MATCH($B$1,Database!$A$1:$C$1,),))</f>
        <v/>
      </c>
      <c r="C8819">
        <f>IF(VLOOKUP(Table7[[#This Row],[Date]],Database!$A:$C,MATCH($C$1,Database!$A$1:$C$1,),)=0,#N/A,VLOOKUP(Table7[[#This Row],[Date]],Database!$A:$C,MATCH($C$1,Database!$A$1:$C$1,),))</f>
        <v/>
      </c>
      <c r="D8819">
        <f>IFERROR(Table7[[#This Row],[United States 10y]]-Table7[[#This Row],[United States 3y]],#N/A)</f>
        <v/>
      </c>
    </row>
    <row r="8820">
      <c r="A8820" s="6">
        <f>Database!$A10905</f>
        <v/>
      </c>
      <c r="B8820">
        <f>IF(VLOOKUP(Table7[[#This Row],[Date]],Database!$A:$C,MATCH($B$1,Database!$A$1:$C$1,),)=0,#N/A,VLOOKUP(Table7[[#This Row],[Date]],Database!$A:$C,MATCH($B$1,Database!$A$1:$C$1,),))</f>
        <v/>
      </c>
      <c r="C8820">
        <f>IF(VLOOKUP(Table7[[#This Row],[Date]],Database!$A:$C,MATCH($C$1,Database!$A$1:$C$1,),)=0,#N/A,VLOOKUP(Table7[[#This Row],[Date]],Database!$A:$C,MATCH($C$1,Database!$A$1:$C$1,),))</f>
        <v/>
      </c>
      <c r="D8820">
        <f>IFERROR(Table7[[#This Row],[United States 10y]]-Table7[[#This Row],[United States 3y]],#N/A)</f>
        <v/>
      </c>
    </row>
    <row r="8821">
      <c r="A8821" s="6">
        <f>Database!$A10906</f>
        <v/>
      </c>
      <c r="B8821">
        <f>IF(VLOOKUP(Table7[[#This Row],[Date]],Database!$A:$C,MATCH($B$1,Database!$A$1:$C$1,),)=0,#N/A,VLOOKUP(Table7[[#This Row],[Date]],Database!$A:$C,MATCH($B$1,Database!$A$1:$C$1,),))</f>
        <v/>
      </c>
      <c r="C8821">
        <f>IF(VLOOKUP(Table7[[#This Row],[Date]],Database!$A:$C,MATCH($C$1,Database!$A$1:$C$1,),)=0,#N/A,VLOOKUP(Table7[[#This Row],[Date]],Database!$A:$C,MATCH($C$1,Database!$A$1:$C$1,),))</f>
        <v/>
      </c>
      <c r="D8821">
        <f>IFERROR(Table7[[#This Row],[United States 10y]]-Table7[[#This Row],[United States 3y]],#N/A)</f>
        <v/>
      </c>
    </row>
    <row r="8822">
      <c r="A8822" s="6">
        <f>Database!$A10907</f>
        <v/>
      </c>
      <c r="B8822">
        <f>IF(VLOOKUP(Table7[[#This Row],[Date]],Database!$A:$C,MATCH($B$1,Database!$A$1:$C$1,),)=0,#N/A,VLOOKUP(Table7[[#This Row],[Date]],Database!$A:$C,MATCH($B$1,Database!$A$1:$C$1,),))</f>
        <v/>
      </c>
      <c r="C8822">
        <f>IF(VLOOKUP(Table7[[#This Row],[Date]],Database!$A:$C,MATCH($C$1,Database!$A$1:$C$1,),)=0,#N/A,VLOOKUP(Table7[[#This Row],[Date]],Database!$A:$C,MATCH($C$1,Database!$A$1:$C$1,),))</f>
        <v/>
      </c>
      <c r="D8822">
        <f>IFERROR(Table7[[#This Row],[United States 10y]]-Table7[[#This Row],[United States 3y]],#N/A)</f>
        <v/>
      </c>
    </row>
    <row r="8823">
      <c r="A8823" s="6">
        <f>Database!$A10908</f>
        <v/>
      </c>
      <c r="B8823">
        <f>IF(VLOOKUP(Table7[[#This Row],[Date]],Database!$A:$C,MATCH($B$1,Database!$A$1:$C$1,),)=0,#N/A,VLOOKUP(Table7[[#This Row],[Date]],Database!$A:$C,MATCH($B$1,Database!$A$1:$C$1,),))</f>
        <v/>
      </c>
      <c r="C8823">
        <f>IF(VLOOKUP(Table7[[#This Row],[Date]],Database!$A:$C,MATCH($C$1,Database!$A$1:$C$1,),)=0,#N/A,VLOOKUP(Table7[[#This Row],[Date]],Database!$A:$C,MATCH($C$1,Database!$A$1:$C$1,),))</f>
        <v/>
      </c>
      <c r="D8823">
        <f>IFERROR(Table7[[#This Row],[United States 10y]]-Table7[[#This Row],[United States 3y]],#N/A)</f>
        <v/>
      </c>
    </row>
    <row r="8824">
      <c r="A8824" s="6">
        <f>Database!$A10909</f>
        <v/>
      </c>
      <c r="B8824">
        <f>IF(VLOOKUP(Table7[[#This Row],[Date]],Database!$A:$C,MATCH($B$1,Database!$A$1:$C$1,),)=0,#N/A,VLOOKUP(Table7[[#This Row],[Date]],Database!$A:$C,MATCH($B$1,Database!$A$1:$C$1,),))</f>
        <v/>
      </c>
      <c r="C8824">
        <f>IF(VLOOKUP(Table7[[#This Row],[Date]],Database!$A:$C,MATCH($C$1,Database!$A$1:$C$1,),)=0,#N/A,VLOOKUP(Table7[[#This Row],[Date]],Database!$A:$C,MATCH($C$1,Database!$A$1:$C$1,),))</f>
        <v/>
      </c>
      <c r="D8824">
        <f>IFERROR(Table7[[#This Row],[United States 10y]]-Table7[[#This Row],[United States 3y]],#N/A)</f>
        <v/>
      </c>
    </row>
    <row r="8825">
      <c r="A8825" s="6">
        <f>Database!$A10910</f>
        <v/>
      </c>
      <c r="B8825">
        <f>IF(VLOOKUP(Table7[[#This Row],[Date]],Database!$A:$C,MATCH($B$1,Database!$A$1:$C$1,),)=0,#N/A,VLOOKUP(Table7[[#This Row],[Date]],Database!$A:$C,MATCH($B$1,Database!$A$1:$C$1,),))</f>
        <v/>
      </c>
      <c r="C8825">
        <f>IF(VLOOKUP(Table7[[#This Row],[Date]],Database!$A:$C,MATCH($C$1,Database!$A$1:$C$1,),)=0,#N/A,VLOOKUP(Table7[[#This Row],[Date]],Database!$A:$C,MATCH($C$1,Database!$A$1:$C$1,),))</f>
        <v/>
      </c>
      <c r="D8825">
        <f>IFERROR(Table7[[#This Row],[United States 10y]]-Table7[[#This Row],[United States 3y]],#N/A)</f>
        <v/>
      </c>
    </row>
    <row r="8826">
      <c r="A8826" s="6">
        <f>Database!$A10911</f>
        <v/>
      </c>
      <c r="B8826">
        <f>IF(VLOOKUP(Table7[[#This Row],[Date]],Database!$A:$C,MATCH($B$1,Database!$A$1:$C$1,),)=0,#N/A,VLOOKUP(Table7[[#This Row],[Date]],Database!$A:$C,MATCH($B$1,Database!$A$1:$C$1,),))</f>
        <v/>
      </c>
      <c r="C8826">
        <f>IF(VLOOKUP(Table7[[#This Row],[Date]],Database!$A:$C,MATCH($C$1,Database!$A$1:$C$1,),)=0,#N/A,VLOOKUP(Table7[[#This Row],[Date]],Database!$A:$C,MATCH($C$1,Database!$A$1:$C$1,),))</f>
        <v/>
      </c>
      <c r="D8826">
        <f>IFERROR(Table7[[#This Row],[United States 10y]]-Table7[[#This Row],[United States 3y]],#N/A)</f>
        <v/>
      </c>
    </row>
    <row r="8827">
      <c r="A8827" s="6">
        <f>Database!$A10912</f>
        <v/>
      </c>
      <c r="B8827">
        <f>IF(VLOOKUP(Table7[[#This Row],[Date]],Database!$A:$C,MATCH($B$1,Database!$A$1:$C$1,),)=0,#N/A,VLOOKUP(Table7[[#This Row],[Date]],Database!$A:$C,MATCH($B$1,Database!$A$1:$C$1,),))</f>
        <v/>
      </c>
      <c r="C8827">
        <f>IF(VLOOKUP(Table7[[#This Row],[Date]],Database!$A:$C,MATCH($C$1,Database!$A$1:$C$1,),)=0,#N/A,VLOOKUP(Table7[[#This Row],[Date]],Database!$A:$C,MATCH($C$1,Database!$A$1:$C$1,),))</f>
        <v/>
      </c>
      <c r="D8827">
        <f>IFERROR(Table7[[#This Row],[United States 10y]]-Table7[[#This Row],[United States 3y]],#N/A)</f>
        <v/>
      </c>
    </row>
    <row r="8828">
      <c r="A8828" s="6">
        <f>Database!$A10913</f>
        <v/>
      </c>
      <c r="B8828">
        <f>IF(VLOOKUP(Table7[[#This Row],[Date]],Database!$A:$C,MATCH($B$1,Database!$A$1:$C$1,),)=0,#N/A,VLOOKUP(Table7[[#This Row],[Date]],Database!$A:$C,MATCH($B$1,Database!$A$1:$C$1,),))</f>
        <v/>
      </c>
      <c r="C8828">
        <f>IF(VLOOKUP(Table7[[#This Row],[Date]],Database!$A:$C,MATCH($C$1,Database!$A$1:$C$1,),)=0,#N/A,VLOOKUP(Table7[[#This Row],[Date]],Database!$A:$C,MATCH($C$1,Database!$A$1:$C$1,),))</f>
        <v/>
      </c>
      <c r="D8828">
        <f>IFERROR(Table7[[#This Row],[United States 10y]]-Table7[[#This Row],[United States 3y]],#N/A)</f>
        <v/>
      </c>
    </row>
    <row r="8829">
      <c r="A8829" s="6">
        <f>Database!$A10914</f>
        <v/>
      </c>
      <c r="B8829">
        <f>IF(VLOOKUP(Table7[[#This Row],[Date]],Database!$A:$C,MATCH($B$1,Database!$A$1:$C$1,),)=0,#N/A,VLOOKUP(Table7[[#This Row],[Date]],Database!$A:$C,MATCH($B$1,Database!$A$1:$C$1,),))</f>
        <v/>
      </c>
      <c r="C8829">
        <f>IF(VLOOKUP(Table7[[#This Row],[Date]],Database!$A:$C,MATCH($C$1,Database!$A$1:$C$1,),)=0,#N/A,VLOOKUP(Table7[[#This Row],[Date]],Database!$A:$C,MATCH($C$1,Database!$A$1:$C$1,),))</f>
        <v/>
      </c>
      <c r="D8829">
        <f>IFERROR(Table7[[#This Row],[United States 10y]]-Table7[[#This Row],[United States 3y]],#N/A)</f>
        <v/>
      </c>
    </row>
    <row r="8830">
      <c r="A8830" s="6">
        <f>Database!$A10915</f>
        <v/>
      </c>
      <c r="B8830">
        <f>IF(VLOOKUP(Table7[[#This Row],[Date]],Database!$A:$C,MATCH($B$1,Database!$A$1:$C$1,),)=0,#N/A,VLOOKUP(Table7[[#This Row],[Date]],Database!$A:$C,MATCH($B$1,Database!$A$1:$C$1,),))</f>
        <v/>
      </c>
      <c r="C8830">
        <f>IF(VLOOKUP(Table7[[#This Row],[Date]],Database!$A:$C,MATCH($C$1,Database!$A$1:$C$1,),)=0,#N/A,VLOOKUP(Table7[[#This Row],[Date]],Database!$A:$C,MATCH($C$1,Database!$A$1:$C$1,),))</f>
        <v/>
      </c>
      <c r="D8830">
        <f>IFERROR(Table7[[#This Row],[United States 10y]]-Table7[[#This Row],[United States 3y]],#N/A)</f>
        <v/>
      </c>
    </row>
    <row r="8831">
      <c r="A8831" s="6">
        <f>Database!$A10916</f>
        <v/>
      </c>
      <c r="B8831">
        <f>IF(VLOOKUP(Table7[[#This Row],[Date]],Database!$A:$C,MATCH($B$1,Database!$A$1:$C$1,),)=0,#N/A,VLOOKUP(Table7[[#This Row],[Date]],Database!$A:$C,MATCH($B$1,Database!$A$1:$C$1,),))</f>
        <v/>
      </c>
      <c r="C8831">
        <f>IF(VLOOKUP(Table7[[#This Row],[Date]],Database!$A:$C,MATCH($C$1,Database!$A$1:$C$1,),)=0,#N/A,VLOOKUP(Table7[[#This Row],[Date]],Database!$A:$C,MATCH($C$1,Database!$A$1:$C$1,),))</f>
        <v/>
      </c>
      <c r="D8831">
        <f>IFERROR(Table7[[#This Row],[United States 10y]]-Table7[[#This Row],[United States 3y]],#N/A)</f>
        <v/>
      </c>
    </row>
    <row r="8832">
      <c r="A8832" s="6">
        <f>Database!$A10917</f>
        <v/>
      </c>
      <c r="B8832">
        <f>IF(VLOOKUP(Table7[[#This Row],[Date]],Database!$A:$C,MATCH($B$1,Database!$A$1:$C$1,),)=0,#N/A,VLOOKUP(Table7[[#This Row],[Date]],Database!$A:$C,MATCH($B$1,Database!$A$1:$C$1,),))</f>
        <v/>
      </c>
      <c r="C8832">
        <f>IF(VLOOKUP(Table7[[#This Row],[Date]],Database!$A:$C,MATCH($C$1,Database!$A$1:$C$1,),)=0,#N/A,VLOOKUP(Table7[[#This Row],[Date]],Database!$A:$C,MATCH($C$1,Database!$A$1:$C$1,),))</f>
        <v/>
      </c>
      <c r="D8832">
        <f>IFERROR(Table7[[#This Row],[United States 10y]]-Table7[[#This Row],[United States 3y]],#N/A)</f>
        <v/>
      </c>
    </row>
    <row r="8833">
      <c r="A8833" s="6">
        <f>Database!$A10918</f>
        <v/>
      </c>
      <c r="B8833">
        <f>IF(VLOOKUP(Table7[[#This Row],[Date]],Database!$A:$C,MATCH($B$1,Database!$A$1:$C$1,),)=0,#N/A,VLOOKUP(Table7[[#This Row],[Date]],Database!$A:$C,MATCH($B$1,Database!$A$1:$C$1,),))</f>
        <v/>
      </c>
      <c r="C8833">
        <f>IF(VLOOKUP(Table7[[#This Row],[Date]],Database!$A:$C,MATCH($C$1,Database!$A$1:$C$1,),)=0,#N/A,VLOOKUP(Table7[[#This Row],[Date]],Database!$A:$C,MATCH($C$1,Database!$A$1:$C$1,),))</f>
        <v/>
      </c>
      <c r="D8833">
        <f>IFERROR(Table7[[#This Row],[United States 10y]]-Table7[[#This Row],[United States 3y]],#N/A)</f>
        <v/>
      </c>
    </row>
    <row r="8834">
      <c r="A8834" s="6">
        <f>Database!$A10919</f>
        <v/>
      </c>
      <c r="B8834">
        <f>IF(VLOOKUP(Table7[[#This Row],[Date]],Database!$A:$C,MATCH($B$1,Database!$A$1:$C$1,),)=0,#N/A,VLOOKUP(Table7[[#This Row],[Date]],Database!$A:$C,MATCH($B$1,Database!$A$1:$C$1,),))</f>
        <v/>
      </c>
      <c r="C8834">
        <f>IF(VLOOKUP(Table7[[#This Row],[Date]],Database!$A:$C,MATCH($C$1,Database!$A$1:$C$1,),)=0,#N/A,VLOOKUP(Table7[[#This Row],[Date]],Database!$A:$C,MATCH($C$1,Database!$A$1:$C$1,),))</f>
        <v/>
      </c>
      <c r="D8834">
        <f>IFERROR(Table7[[#This Row],[United States 10y]]-Table7[[#This Row],[United States 3y]],#N/A)</f>
        <v/>
      </c>
    </row>
    <row r="8835">
      <c r="A8835" s="6">
        <f>Database!$A10920</f>
        <v/>
      </c>
      <c r="B8835">
        <f>IF(VLOOKUP(Table7[[#This Row],[Date]],Database!$A:$C,MATCH($B$1,Database!$A$1:$C$1,),)=0,#N/A,VLOOKUP(Table7[[#This Row],[Date]],Database!$A:$C,MATCH($B$1,Database!$A$1:$C$1,),))</f>
        <v/>
      </c>
      <c r="C8835">
        <f>IF(VLOOKUP(Table7[[#This Row],[Date]],Database!$A:$C,MATCH($C$1,Database!$A$1:$C$1,),)=0,#N/A,VLOOKUP(Table7[[#This Row],[Date]],Database!$A:$C,MATCH($C$1,Database!$A$1:$C$1,),))</f>
        <v/>
      </c>
      <c r="D8835">
        <f>IFERROR(Table7[[#This Row],[United States 10y]]-Table7[[#This Row],[United States 3y]],#N/A)</f>
        <v/>
      </c>
    </row>
    <row r="8836">
      <c r="A8836" s="6">
        <f>Database!$A10921</f>
        <v/>
      </c>
      <c r="B8836">
        <f>IF(VLOOKUP(Table7[[#This Row],[Date]],Database!$A:$C,MATCH($B$1,Database!$A$1:$C$1,),)=0,#N/A,VLOOKUP(Table7[[#This Row],[Date]],Database!$A:$C,MATCH($B$1,Database!$A$1:$C$1,),))</f>
        <v/>
      </c>
      <c r="C8836">
        <f>IF(VLOOKUP(Table7[[#This Row],[Date]],Database!$A:$C,MATCH($C$1,Database!$A$1:$C$1,),)=0,#N/A,VLOOKUP(Table7[[#This Row],[Date]],Database!$A:$C,MATCH($C$1,Database!$A$1:$C$1,),))</f>
        <v/>
      </c>
      <c r="D8836">
        <f>IFERROR(Table7[[#This Row],[United States 10y]]-Table7[[#This Row],[United States 3y]],#N/A)</f>
        <v/>
      </c>
    </row>
    <row r="8837">
      <c r="A8837" s="6">
        <f>Database!$A10922</f>
        <v/>
      </c>
      <c r="B8837">
        <f>IF(VLOOKUP(Table7[[#This Row],[Date]],Database!$A:$C,MATCH($B$1,Database!$A$1:$C$1,),)=0,#N/A,VLOOKUP(Table7[[#This Row],[Date]],Database!$A:$C,MATCH($B$1,Database!$A$1:$C$1,),))</f>
        <v/>
      </c>
      <c r="C8837">
        <f>IF(VLOOKUP(Table7[[#This Row],[Date]],Database!$A:$C,MATCH($C$1,Database!$A$1:$C$1,),)=0,#N/A,VLOOKUP(Table7[[#This Row],[Date]],Database!$A:$C,MATCH($C$1,Database!$A$1:$C$1,),))</f>
        <v/>
      </c>
      <c r="D8837">
        <f>IFERROR(Table7[[#This Row],[United States 10y]]-Table7[[#This Row],[United States 3y]],#N/A)</f>
        <v/>
      </c>
    </row>
    <row r="8838">
      <c r="A8838" s="6">
        <f>Database!$A10923</f>
        <v/>
      </c>
      <c r="B8838">
        <f>IF(VLOOKUP(Table7[[#This Row],[Date]],Database!$A:$C,MATCH($B$1,Database!$A$1:$C$1,),)=0,#N/A,VLOOKUP(Table7[[#This Row],[Date]],Database!$A:$C,MATCH($B$1,Database!$A$1:$C$1,),))</f>
        <v/>
      </c>
      <c r="C8838">
        <f>IF(VLOOKUP(Table7[[#This Row],[Date]],Database!$A:$C,MATCH($C$1,Database!$A$1:$C$1,),)=0,#N/A,VLOOKUP(Table7[[#This Row],[Date]],Database!$A:$C,MATCH($C$1,Database!$A$1:$C$1,),))</f>
        <v/>
      </c>
      <c r="D8838">
        <f>IFERROR(Table7[[#This Row],[United States 10y]]-Table7[[#This Row],[United States 3y]],#N/A)</f>
        <v/>
      </c>
    </row>
    <row r="8839">
      <c r="A8839" s="6">
        <f>Database!$A10924</f>
        <v/>
      </c>
      <c r="B8839">
        <f>IF(VLOOKUP(Table7[[#This Row],[Date]],Database!$A:$C,MATCH($B$1,Database!$A$1:$C$1,),)=0,#N/A,VLOOKUP(Table7[[#This Row],[Date]],Database!$A:$C,MATCH($B$1,Database!$A$1:$C$1,),))</f>
        <v/>
      </c>
      <c r="C8839">
        <f>IF(VLOOKUP(Table7[[#This Row],[Date]],Database!$A:$C,MATCH($C$1,Database!$A$1:$C$1,),)=0,#N/A,VLOOKUP(Table7[[#This Row],[Date]],Database!$A:$C,MATCH($C$1,Database!$A$1:$C$1,),))</f>
        <v/>
      </c>
      <c r="D8839">
        <f>IFERROR(Table7[[#This Row],[United States 10y]]-Table7[[#This Row],[United States 3y]],#N/A)</f>
        <v/>
      </c>
    </row>
    <row r="8840">
      <c r="A8840" s="6">
        <f>Database!$A10925</f>
        <v/>
      </c>
      <c r="B8840">
        <f>IF(VLOOKUP(Table7[[#This Row],[Date]],Database!$A:$C,MATCH($B$1,Database!$A$1:$C$1,),)=0,#N/A,VLOOKUP(Table7[[#This Row],[Date]],Database!$A:$C,MATCH($B$1,Database!$A$1:$C$1,),))</f>
        <v/>
      </c>
      <c r="C8840">
        <f>IF(VLOOKUP(Table7[[#This Row],[Date]],Database!$A:$C,MATCH($C$1,Database!$A$1:$C$1,),)=0,#N/A,VLOOKUP(Table7[[#This Row],[Date]],Database!$A:$C,MATCH($C$1,Database!$A$1:$C$1,),))</f>
        <v/>
      </c>
      <c r="D8840">
        <f>IFERROR(Table7[[#This Row],[United States 10y]]-Table7[[#This Row],[United States 3y]],#N/A)</f>
        <v/>
      </c>
    </row>
    <row r="8841">
      <c r="A8841" s="6">
        <f>Database!$A10926</f>
        <v/>
      </c>
      <c r="B8841">
        <f>IF(VLOOKUP(Table7[[#This Row],[Date]],Database!$A:$C,MATCH($B$1,Database!$A$1:$C$1,),)=0,#N/A,VLOOKUP(Table7[[#This Row],[Date]],Database!$A:$C,MATCH($B$1,Database!$A$1:$C$1,),))</f>
        <v/>
      </c>
      <c r="C8841">
        <f>IF(VLOOKUP(Table7[[#This Row],[Date]],Database!$A:$C,MATCH($C$1,Database!$A$1:$C$1,),)=0,#N/A,VLOOKUP(Table7[[#This Row],[Date]],Database!$A:$C,MATCH($C$1,Database!$A$1:$C$1,),))</f>
        <v/>
      </c>
      <c r="D8841">
        <f>IFERROR(Table7[[#This Row],[United States 10y]]-Table7[[#This Row],[United States 3y]],#N/A)</f>
        <v/>
      </c>
    </row>
    <row r="8842">
      <c r="A8842" s="6">
        <f>Database!$A10927</f>
        <v/>
      </c>
      <c r="B8842">
        <f>IF(VLOOKUP(Table7[[#This Row],[Date]],Database!$A:$C,MATCH($B$1,Database!$A$1:$C$1,),)=0,#N/A,VLOOKUP(Table7[[#This Row],[Date]],Database!$A:$C,MATCH($B$1,Database!$A$1:$C$1,),))</f>
        <v/>
      </c>
      <c r="C8842">
        <f>IF(VLOOKUP(Table7[[#This Row],[Date]],Database!$A:$C,MATCH($C$1,Database!$A$1:$C$1,),)=0,#N/A,VLOOKUP(Table7[[#This Row],[Date]],Database!$A:$C,MATCH($C$1,Database!$A$1:$C$1,),))</f>
        <v/>
      </c>
      <c r="D8842">
        <f>IFERROR(Table7[[#This Row],[United States 10y]]-Table7[[#This Row],[United States 3y]],#N/A)</f>
        <v/>
      </c>
    </row>
    <row r="8843">
      <c r="A8843" s="6">
        <f>Database!$A10928</f>
        <v/>
      </c>
      <c r="B8843">
        <f>IF(VLOOKUP(Table7[[#This Row],[Date]],Database!$A:$C,MATCH($B$1,Database!$A$1:$C$1,),)=0,#N/A,VLOOKUP(Table7[[#This Row],[Date]],Database!$A:$C,MATCH($B$1,Database!$A$1:$C$1,),))</f>
        <v/>
      </c>
      <c r="C8843">
        <f>IF(VLOOKUP(Table7[[#This Row],[Date]],Database!$A:$C,MATCH($C$1,Database!$A$1:$C$1,),)=0,#N/A,VLOOKUP(Table7[[#This Row],[Date]],Database!$A:$C,MATCH($C$1,Database!$A$1:$C$1,),))</f>
        <v/>
      </c>
      <c r="D8843">
        <f>IFERROR(Table7[[#This Row],[United States 10y]]-Table7[[#This Row],[United States 3y]],#N/A)</f>
        <v/>
      </c>
    </row>
    <row r="8844">
      <c r="A8844" s="6">
        <f>Database!$A10929</f>
        <v/>
      </c>
      <c r="B8844">
        <f>IF(VLOOKUP(Table7[[#This Row],[Date]],Database!$A:$C,MATCH($B$1,Database!$A$1:$C$1,),)=0,#N/A,VLOOKUP(Table7[[#This Row],[Date]],Database!$A:$C,MATCH($B$1,Database!$A$1:$C$1,),))</f>
        <v/>
      </c>
      <c r="C8844">
        <f>IF(VLOOKUP(Table7[[#This Row],[Date]],Database!$A:$C,MATCH($C$1,Database!$A$1:$C$1,),)=0,#N/A,VLOOKUP(Table7[[#This Row],[Date]],Database!$A:$C,MATCH($C$1,Database!$A$1:$C$1,),))</f>
        <v/>
      </c>
      <c r="D8844">
        <f>IFERROR(Table7[[#This Row],[United States 10y]]-Table7[[#This Row],[United States 3y]],#N/A)</f>
        <v/>
      </c>
    </row>
    <row r="8845">
      <c r="A8845" s="6">
        <f>Database!$A10930</f>
        <v/>
      </c>
      <c r="B8845">
        <f>IF(VLOOKUP(Table7[[#This Row],[Date]],Database!$A:$C,MATCH($B$1,Database!$A$1:$C$1,),)=0,#N/A,VLOOKUP(Table7[[#This Row],[Date]],Database!$A:$C,MATCH($B$1,Database!$A$1:$C$1,),))</f>
        <v/>
      </c>
      <c r="C8845">
        <f>IF(VLOOKUP(Table7[[#This Row],[Date]],Database!$A:$C,MATCH($C$1,Database!$A$1:$C$1,),)=0,#N/A,VLOOKUP(Table7[[#This Row],[Date]],Database!$A:$C,MATCH($C$1,Database!$A$1:$C$1,),))</f>
        <v/>
      </c>
      <c r="D8845">
        <f>IFERROR(Table7[[#This Row],[United States 10y]]-Table7[[#This Row],[United States 3y]],#N/A)</f>
        <v/>
      </c>
    </row>
    <row r="8846">
      <c r="A8846" s="6">
        <f>Database!$A10931</f>
        <v/>
      </c>
      <c r="B8846">
        <f>IF(VLOOKUP(Table7[[#This Row],[Date]],Database!$A:$C,MATCH($B$1,Database!$A$1:$C$1,),)=0,#N/A,VLOOKUP(Table7[[#This Row],[Date]],Database!$A:$C,MATCH($B$1,Database!$A$1:$C$1,),))</f>
        <v/>
      </c>
      <c r="C8846">
        <f>IF(VLOOKUP(Table7[[#This Row],[Date]],Database!$A:$C,MATCH($C$1,Database!$A$1:$C$1,),)=0,#N/A,VLOOKUP(Table7[[#This Row],[Date]],Database!$A:$C,MATCH($C$1,Database!$A$1:$C$1,),))</f>
        <v/>
      </c>
      <c r="D8846">
        <f>IFERROR(Table7[[#This Row],[United States 10y]]-Table7[[#This Row],[United States 3y]],#N/A)</f>
        <v/>
      </c>
    </row>
    <row r="8847">
      <c r="A8847" s="6">
        <f>Database!$A10932</f>
        <v/>
      </c>
      <c r="B8847">
        <f>IF(VLOOKUP(Table7[[#This Row],[Date]],Database!$A:$C,MATCH($B$1,Database!$A$1:$C$1,),)=0,#N/A,VLOOKUP(Table7[[#This Row],[Date]],Database!$A:$C,MATCH($B$1,Database!$A$1:$C$1,),))</f>
        <v/>
      </c>
      <c r="C8847">
        <f>IF(VLOOKUP(Table7[[#This Row],[Date]],Database!$A:$C,MATCH($C$1,Database!$A$1:$C$1,),)=0,#N/A,VLOOKUP(Table7[[#This Row],[Date]],Database!$A:$C,MATCH($C$1,Database!$A$1:$C$1,),))</f>
        <v/>
      </c>
      <c r="D8847">
        <f>IFERROR(Table7[[#This Row],[United States 10y]]-Table7[[#This Row],[United States 3y]],#N/A)</f>
        <v/>
      </c>
    </row>
    <row r="8848">
      <c r="A8848" s="6">
        <f>Database!$A10933</f>
        <v/>
      </c>
      <c r="B8848">
        <f>IF(VLOOKUP(Table7[[#This Row],[Date]],Database!$A:$C,MATCH($B$1,Database!$A$1:$C$1,),)=0,#N/A,VLOOKUP(Table7[[#This Row],[Date]],Database!$A:$C,MATCH($B$1,Database!$A$1:$C$1,),))</f>
        <v/>
      </c>
      <c r="C8848">
        <f>IF(VLOOKUP(Table7[[#This Row],[Date]],Database!$A:$C,MATCH($C$1,Database!$A$1:$C$1,),)=0,#N/A,VLOOKUP(Table7[[#This Row],[Date]],Database!$A:$C,MATCH($C$1,Database!$A$1:$C$1,),))</f>
        <v/>
      </c>
      <c r="D8848">
        <f>IFERROR(Table7[[#This Row],[United States 10y]]-Table7[[#This Row],[United States 3y]],#N/A)</f>
        <v/>
      </c>
    </row>
    <row r="8849">
      <c r="A8849" s="6">
        <f>Database!$A10934</f>
        <v/>
      </c>
      <c r="B8849">
        <f>IF(VLOOKUP(Table7[[#This Row],[Date]],Database!$A:$C,MATCH($B$1,Database!$A$1:$C$1,),)=0,#N/A,VLOOKUP(Table7[[#This Row],[Date]],Database!$A:$C,MATCH($B$1,Database!$A$1:$C$1,),))</f>
        <v/>
      </c>
      <c r="C8849">
        <f>IF(VLOOKUP(Table7[[#This Row],[Date]],Database!$A:$C,MATCH($C$1,Database!$A$1:$C$1,),)=0,#N/A,VLOOKUP(Table7[[#This Row],[Date]],Database!$A:$C,MATCH($C$1,Database!$A$1:$C$1,),))</f>
        <v/>
      </c>
      <c r="D8849">
        <f>IFERROR(Table7[[#This Row],[United States 10y]]-Table7[[#This Row],[United States 3y]],#N/A)</f>
        <v/>
      </c>
    </row>
    <row r="8850">
      <c r="A8850" s="6">
        <f>Database!$A10935</f>
        <v/>
      </c>
      <c r="B8850">
        <f>IF(VLOOKUP(Table7[[#This Row],[Date]],Database!$A:$C,MATCH($B$1,Database!$A$1:$C$1,),)=0,#N/A,VLOOKUP(Table7[[#This Row],[Date]],Database!$A:$C,MATCH($B$1,Database!$A$1:$C$1,),))</f>
        <v/>
      </c>
      <c r="C8850">
        <f>IF(VLOOKUP(Table7[[#This Row],[Date]],Database!$A:$C,MATCH($C$1,Database!$A$1:$C$1,),)=0,#N/A,VLOOKUP(Table7[[#This Row],[Date]],Database!$A:$C,MATCH($C$1,Database!$A$1:$C$1,),))</f>
        <v/>
      </c>
      <c r="D8850">
        <f>IFERROR(Table7[[#This Row],[United States 10y]]-Table7[[#This Row],[United States 3y]],#N/A)</f>
        <v/>
      </c>
    </row>
    <row r="8851">
      <c r="A8851" s="6">
        <f>Database!$A10936</f>
        <v/>
      </c>
      <c r="B8851">
        <f>IF(VLOOKUP(Table7[[#This Row],[Date]],Database!$A:$C,MATCH($B$1,Database!$A$1:$C$1,),)=0,#N/A,VLOOKUP(Table7[[#This Row],[Date]],Database!$A:$C,MATCH($B$1,Database!$A$1:$C$1,),))</f>
        <v/>
      </c>
      <c r="C8851">
        <f>IF(VLOOKUP(Table7[[#This Row],[Date]],Database!$A:$C,MATCH($C$1,Database!$A$1:$C$1,),)=0,#N/A,VLOOKUP(Table7[[#This Row],[Date]],Database!$A:$C,MATCH($C$1,Database!$A$1:$C$1,),))</f>
        <v/>
      </c>
      <c r="D8851">
        <f>IFERROR(Table7[[#This Row],[United States 10y]]-Table7[[#This Row],[United States 3y]],#N/A)</f>
        <v/>
      </c>
    </row>
    <row r="8852">
      <c r="A8852" s="6">
        <f>Database!$A10937</f>
        <v/>
      </c>
      <c r="B8852">
        <f>IF(VLOOKUP(Table7[[#This Row],[Date]],Database!$A:$C,MATCH($B$1,Database!$A$1:$C$1,),)=0,#N/A,VLOOKUP(Table7[[#This Row],[Date]],Database!$A:$C,MATCH($B$1,Database!$A$1:$C$1,),))</f>
        <v/>
      </c>
      <c r="C8852">
        <f>IF(VLOOKUP(Table7[[#This Row],[Date]],Database!$A:$C,MATCH($C$1,Database!$A$1:$C$1,),)=0,#N/A,VLOOKUP(Table7[[#This Row],[Date]],Database!$A:$C,MATCH($C$1,Database!$A$1:$C$1,),))</f>
        <v/>
      </c>
      <c r="D8852">
        <f>IFERROR(Table7[[#This Row],[United States 10y]]-Table7[[#This Row],[United States 3y]],#N/A)</f>
        <v/>
      </c>
    </row>
    <row r="8853">
      <c r="A8853" s="6">
        <f>Database!$A10938</f>
        <v/>
      </c>
      <c r="B8853">
        <f>IF(VLOOKUP(Table7[[#This Row],[Date]],Database!$A:$C,MATCH($B$1,Database!$A$1:$C$1,),)=0,#N/A,VLOOKUP(Table7[[#This Row],[Date]],Database!$A:$C,MATCH($B$1,Database!$A$1:$C$1,),))</f>
        <v/>
      </c>
      <c r="C8853">
        <f>IF(VLOOKUP(Table7[[#This Row],[Date]],Database!$A:$C,MATCH($C$1,Database!$A$1:$C$1,),)=0,#N/A,VLOOKUP(Table7[[#This Row],[Date]],Database!$A:$C,MATCH($C$1,Database!$A$1:$C$1,),))</f>
        <v/>
      </c>
      <c r="D8853">
        <f>IFERROR(Table7[[#This Row],[United States 10y]]-Table7[[#This Row],[United States 3y]],#N/A)</f>
        <v/>
      </c>
    </row>
    <row r="8854">
      <c r="A8854" s="6">
        <f>Database!$A10939</f>
        <v/>
      </c>
      <c r="B8854">
        <f>IF(VLOOKUP(Table7[[#This Row],[Date]],Database!$A:$C,MATCH($B$1,Database!$A$1:$C$1,),)=0,#N/A,VLOOKUP(Table7[[#This Row],[Date]],Database!$A:$C,MATCH($B$1,Database!$A$1:$C$1,),))</f>
        <v/>
      </c>
      <c r="C8854">
        <f>IF(VLOOKUP(Table7[[#This Row],[Date]],Database!$A:$C,MATCH($C$1,Database!$A$1:$C$1,),)=0,#N/A,VLOOKUP(Table7[[#This Row],[Date]],Database!$A:$C,MATCH($C$1,Database!$A$1:$C$1,),))</f>
        <v/>
      </c>
      <c r="D8854">
        <f>IFERROR(Table7[[#This Row],[United States 10y]]-Table7[[#This Row],[United States 3y]],#N/A)</f>
        <v/>
      </c>
    </row>
    <row r="8855">
      <c r="A8855" s="6">
        <f>Database!$A10940</f>
        <v/>
      </c>
      <c r="B8855">
        <f>IF(VLOOKUP(Table7[[#This Row],[Date]],Database!$A:$C,MATCH($B$1,Database!$A$1:$C$1,),)=0,#N/A,VLOOKUP(Table7[[#This Row],[Date]],Database!$A:$C,MATCH($B$1,Database!$A$1:$C$1,),))</f>
        <v/>
      </c>
      <c r="C8855">
        <f>IF(VLOOKUP(Table7[[#This Row],[Date]],Database!$A:$C,MATCH($C$1,Database!$A$1:$C$1,),)=0,#N/A,VLOOKUP(Table7[[#This Row],[Date]],Database!$A:$C,MATCH($C$1,Database!$A$1:$C$1,),))</f>
        <v/>
      </c>
      <c r="D8855">
        <f>IFERROR(Table7[[#This Row],[United States 10y]]-Table7[[#This Row],[United States 3y]],#N/A)</f>
        <v/>
      </c>
    </row>
    <row r="8856">
      <c r="A8856" s="6">
        <f>Database!$A10941</f>
        <v/>
      </c>
      <c r="B8856">
        <f>IF(VLOOKUP(Table7[[#This Row],[Date]],Database!$A:$C,MATCH($B$1,Database!$A$1:$C$1,),)=0,#N/A,VLOOKUP(Table7[[#This Row],[Date]],Database!$A:$C,MATCH($B$1,Database!$A$1:$C$1,),))</f>
        <v/>
      </c>
      <c r="C8856">
        <f>IF(VLOOKUP(Table7[[#This Row],[Date]],Database!$A:$C,MATCH($C$1,Database!$A$1:$C$1,),)=0,#N/A,VLOOKUP(Table7[[#This Row],[Date]],Database!$A:$C,MATCH($C$1,Database!$A$1:$C$1,),))</f>
        <v/>
      </c>
      <c r="D8856">
        <f>IFERROR(Table7[[#This Row],[United States 10y]]-Table7[[#This Row],[United States 3y]],#N/A)</f>
        <v/>
      </c>
    </row>
    <row r="8857">
      <c r="A8857" s="6">
        <f>Database!$A10942</f>
        <v/>
      </c>
      <c r="B8857">
        <f>IF(VLOOKUP(Table7[[#This Row],[Date]],Database!$A:$C,MATCH($B$1,Database!$A$1:$C$1,),)=0,#N/A,VLOOKUP(Table7[[#This Row],[Date]],Database!$A:$C,MATCH($B$1,Database!$A$1:$C$1,),))</f>
        <v/>
      </c>
      <c r="C8857">
        <f>IF(VLOOKUP(Table7[[#This Row],[Date]],Database!$A:$C,MATCH($C$1,Database!$A$1:$C$1,),)=0,#N/A,VLOOKUP(Table7[[#This Row],[Date]],Database!$A:$C,MATCH($C$1,Database!$A$1:$C$1,),))</f>
        <v/>
      </c>
      <c r="D8857">
        <f>IFERROR(Table7[[#This Row],[United States 10y]]-Table7[[#This Row],[United States 3y]],#N/A)</f>
        <v/>
      </c>
    </row>
    <row r="8858">
      <c r="A8858" s="6">
        <f>Database!$A10943</f>
        <v/>
      </c>
      <c r="B8858">
        <f>IF(VLOOKUP(Table7[[#This Row],[Date]],Database!$A:$C,MATCH($B$1,Database!$A$1:$C$1,),)=0,#N/A,VLOOKUP(Table7[[#This Row],[Date]],Database!$A:$C,MATCH($B$1,Database!$A$1:$C$1,),))</f>
        <v/>
      </c>
      <c r="C8858">
        <f>IF(VLOOKUP(Table7[[#This Row],[Date]],Database!$A:$C,MATCH($C$1,Database!$A$1:$C$1,),)=0,#N/A,VLOOKUP(Table7[[#This Row],[Date]],Database!$A:$C,MATCH($C$1,Database!$A$1:$C$1,),))</f>
        <v/>
      </c>
      <c r="D8858">
        <f>IFERROR(Table7[[#This Row],[United States 10y]]-Table7[[#This Row],[United States 3y]],#N/A)</f>
        <v/>
      </c>
    </row>
    <row r="8859">
      <c r="A8859" s="6">
        <f>Database!$A10944</f>
        <v/>
      </c>
      <c r="B8859">
        <f>IF(VLOOKUP(Table7[[#This Row],[Date]],Database!$A:$C,MATCH($B$1,Database!$A$1:$C$1,),)=0,#N/A,VLOOKUP(Table7[[#This Row],[Date]],Database!$A:$C,MATCH($B$1,Database!$A$1:$C$1,),))</f>
        <v/>
      </c>
      <c r="C8859">
        <f>IF(VLOOKUP(Table7[[#This Row],[Date]],Database!$A:$C,MATCH($C$1,Database!$A$1:$C$1,),)=0,#N/A,VLOOKUP(Table7[[#This Row],[Date]],Database!$A:$C,MATCH($C$1,Database!$A$1:$C$1,),))</f>
        <v/>
      </c>
      <c r="D8859">
        <f>IFERROR(Table7[[#This Row],[United States 10y]]-Table7[[#This Row],[United States 3y]],#N/A)</f>
        <v/>
      </c>
    </row>
    <row r="8860">
      <c r="A8860" s="6">
        <f>Database!$A10945</f>
        <v/>
      </c>
      <c r="B8860">
        <f>IF(VLOOKUP(Table7[[#This Row],[Date]],Database!$A:$C,MATCH($B$1,Database!$A$1:$C$1,),)=0,#N/A,VLOOKUP(Table7[[#This Row],[Date]],Database!$A:$C,MATCH($B$1,Database!$A$1:$C$1,),))</f>
        <v/>
      </c>
      <c r="C8860">
        <f>IF(VLOOKUP(Table7[[#This Row],[Date]],Database!$A:$C,MATCH($C$1,Database!$A$1:$C$1,),)=0,#N/A,VLOOKUP(Table7[[#This Row],[Date]],Database!$A:$C,MATCH($C$1,Database!$A$1:$C$1,),))</f>
        <v/>
      </c>
      <c r="D8860">
        <f>IFERROR(Table7[[#This Row],[United States 10y]]-Table7[[#This Row],[United States 3y]],#N/A)</f>
        <v/>
      </c>
    </row>
    <row r="8861">
      <c r="A8861" s="6">
        <f>Database!$A10946</f>
        <v/>
      </c>
      <c r="B8861">
        <f>IF(VLOOKUP(Table7[[#This Row],[Date]],Database!$A:$C,MATCH($B$1,Database!$A$1:$C$1,),)=0,#N/A,VLOOKUP(Table7[[#This Row],[Date]],Database!$A:$C,MATCH($B$1,Database!$A$1:$C$1,),))</f>
        <v/>
      </c>
      <c r="C8861">
        <f>IF(VLOOKUP(Table7[[#This Row],[Date]],Database!$A:$C,MATCH($C$1,Database!$A$1:$C$1,),)=0,#N/A,VLOOKUP(Table7[[#This Row],[Date]],Database!$A:$C,MATCH($C$1,Database!$A$1:$C$1,),))</f>
        <v/>
      </c>
      <c r="D8861">
        <f>IFERROR(Table7[[#This Row],[United States 10y]]-Table7[[#This Row],[United States 3y]],#N/A)</f>
        <v/>
      </c>
    </row>
    <row r="8862">
      <c r="A8862" s="6">
        <f>Database!$A10947</f>
        <v/>
      </c>
      <c r="B8862">
        <f>IF(VLOOKUP(Table7[[#This Row],[Date]],Database!$A:$C,MATCH($B$1,Database!$A$1:$C$1,),)=0,#N/A,VLOOKUP(Table7[[#This Row],[Date]],Database!$A:$C,MATCH($B$1,Database!$A$1:$C$1,),))</f>
        <v/>
      </c>
      <c r="C8862">
        <f>IF(VLOOKUP(Table7[[#This Row],[Date]],Database!$A:$C,MATCH($C$1,Database!$A$1:$C$1,),)=0,#N/A,VLOOKUP(Table7[[#This Row],[Date]],Database!$A:$C,MATCH($C$1,Database!$A$1:$C$1,),))</f>
        <v/>
      </c>
      <c r="D8862">
        <f>IFERROR(Table7[[#This Row],[United States 10y]]-Table7[[#This Row],[United States 3y]],#N/A)</f>
        <v/>
      </c>
    </row>
    <row r="8863">
      <c r="A8863" s="6">
        <f>Database!$A10948</f>
        <v/>
      </c>
      <c r="B8863">
        <f>IF(VLOOKUP(Table7[[#This Row],[Date]],Database!$A:$C,MATCH($B$1,Database!$A$1:$C$1,),)=0,#N/A,VLOOKUP(Table7[[#This Row],[Date]],Database!$A:$C,MATCH($B$1,Database!$A$1:$C$1,),))</f>
        <v/>
      </c>
      <c r="C8863">
        <f>IF(VLOOKUP(Table7[[#This Row],[Date]],Database!$A:$C,MATCH($C$1,Database!$A$1:$C$1,),)=0,#N/A,VLOOKUP(Table7[[#This Row],[Date]],Database!$A:$C,MATCH($C$1,Database!$A$1:$C$1,),))</f>
        <v/>
      </c>
      <c r="D8863">
        <f>IFERROR(Table7[[#This Row],[United States 10y]]-Table7[[#This Row],[United States 3y]],#N/A)</f>
        <v/>
      </c>
    </row>
    <row r="8864">
      <c r="A8864" s="6">
        <f>Database!$A10949</f>
        <v/>
      </c>
      <c r="B8864">
        <f>IF(VLOOKUP(Table7[[#This Row],[Date]],Database!$A:$C,MATCH($B$1,Database!$A$1:$C$1,),)=0,#N/A,VLOOKUP(Table7[[#This Row],[Date]],Database!$A:$C,MATCH($B$1,Database!$A$1:$C$1,),))</f>
        <v/>
      </c>
      <c r="C8864">
        <f>IF(VLOOKUP(Table7[[#This Row],[Date]],Database!$A:$C,MATCH($C$1,Database!$A$1:$C$1,),)=0,#N/A,VLOOKUP(Table7[[#This Row],[Date]],Database!$A:$C,MATCH($C$1,Database!$A$1:$C$1,),))</f>
        <v/>
      </c>
      <c r="D8864">
        <f>IFERROR(Table7[[#This Row],[United States 10y]]-Table7[[#This Row],[United States 3y]],#N/A)</f>
        <v/>
      </c>
    </row>
    <row r="8865">
      <c r="A8865" s="6">
        <f>Database!$A10950</f>
        <v/>
      </c>
      <c r="B8865">
        <f>IF(VLOOKUP(Table7[[#This Row],[Date]],Database!$A:$C,MATCH($B$1,Database!$A$1:$C$1,),)=0,#N/A,VLOOKUP(Table7[[#This Row],[Date]],Database!$A:$C,MATCH($B$1,Database!$A$1:$C$1,),))</f>
        <v/>
      </c>
      <c r="C8865">
        <f>IF(VLOOKUP(Table7[[#This Row],[Date]],Database!$A:$C,MATCH($C$1,Database!$A$1:$C$1,),)=0,#N/A,VLOOKUP(Table7[[#This Row],[Date]],Database!$A:$C,MATCH($C$1,Database!$A$1:$C$1,),))</f>
        <v/>
      </c>
      <c r="D8865">
        <f>IFERROR(Table7[[#This Row],[United States 10y]]-Table7[[#This Row],[United States 3y]],#N/A)</f>
        <v/>
      </c>
    </row>
    <row r="8866">
      <c r="A8866" s="6">
        <f>Database!$A10951</f>
        <v/>
      </c>
      <c r="B8866">
        <f>IF(VLOOKUP(Table7[[#This Row],[Date]],Database!$A:$C,MATCH($B$1,Database!$A$1:$C$1,),)=0,#N/A,VLOOKUP(Table7[[#This Row],[Date]],Database!$A:$C,MATCH($B$1,Database!$A$1:$C$1,),))</f>
        <v/>
      </c>
      <c r="C8866">
        <f>IF(VLOOKUP(Table7[[#This Row],[Date]],Database!$A:$C,MATCH($C$1,Database!$A$1:$C$1,),)=0,#N/A,VLOOKUP(Table7[[#This Row],[Date]],Database!$A:$C,MATCH($C$1,Database!$A$1:$C$1,),))</f>
        <v/>
      </c>
      <c r="D8866">
        <f>IFERROR(Table7[[#This Row],[United States 10y]]-Table7[[#This Row],[United States 3y]],#N/A)</f>
        <v/>
      </c>
    </row>
    <row r="8867">
      <c r="A8867" s="6">
        <f>Database!$A10952</f>
        <v/>
      </c>
      <c r="B8867">
        <f>IF(VLOOKUP(Table7[[#This Row],[Date]],Database!$A:$C,MATCH($B$1,Database!$A$1:$C$1,),)=0,#N/A,VLOOKUP(Table7[[#This Row],[Date]],Database!$A:$C,MATCH($B$1,Database!$A$1:$C$1,),))</f>
        <v/>
      </c>
      <c r="C8867">
        <f>IF(VLOOKUP(Table7[[#This Row],[Date]],Database!$A:$C,MATCH($C$1,Database!$A$1:$C$1,),)=0,#N/A,VLOOKUP(Table7[[#This Row],[Date]],Database!$A:$C,MATCH($C$1,Database!$A$1:$C$1,),))</f>
        <v/>
      </c>
      <c r="D8867">
        <f>IFERROR(Table7[[#This Row],[United States 10y]]-Table7[[#This Row],[United States 3y]],#N/A)</f>
        <v/>
      </c>
    </row>
    <row r="8868">
      <c r="A8868" s="6">
        <f>Database!$A10953</f>
        <v/>
      </c>
      <c r="B8868">
        <f>IF(VLOOKUP(Table7[[#This Row],[Date]],Database!$A:$C,MATCH($B$1,Database!$A$1:$C$1,),)=0,#N/A,VLOOKUP(Table7[[#This Row],[Date]],Database!$A:$C,MATCH($B$1,Database!$A$1:$C$1,),))</f>
        <v/>
      </c>
      <c r="C8868">
        <f>IF(VLOOKUP(Table7[[#This Row],[Date]],Database!$A:$C,MATCH($C$1,Database!$A$1:$C$1,),)=0,#N/A,VLOOKUP(Table7[[#This Row],[Date]],Database!$A:$C,MATCH($C$1,Database!$A$1:$C$1,),))</f>
        <v/>
      </c>
      <c r="D8868">
        <f>IFERROR(Table7[[#This Row],[United States 10y]]-Table7[[#This Row],[United States 3y]],#N/A)</f>
        <v/>
      </c>
    </row>
    <row r="8869">
      <c r="A8869" s="6">
        <f>Database!$A10954</f>
        <v/>
      </c>
      <c r="B8869">
        <f>IF(VLOOKUP(Table7[[#This Row],[Date]],Database!$A:$C,MATCH($B$1,Database!$A$1:$C$1,),)=0,#N/A,VLOOKUP(Table7[[#This Row],[Date]],Database!$A:$C,MATCH($B$1,Database!$A$1:$C$1,),))</f>
        <v/>
      </c>
      <c r="C8869">
        <f>IF(VLOOKUP(Table7[[#This Row],[Date]],Database!$A:$C,MATCH($C$1,Database!$A$1:$C$1,),)=0,#N/A,VLOOKUP(Table7[[#This Row],[Date]],Database!$A:$C,MATCH($C$1,Database!$A$1:$C$1,),))</f>
        <v/>
      </c>
      <c r="D8869">
        <f>IFERROR(Table7[[#This Row],[United States 10y]]-Table7[[#This Row],[United States 3y]],#N/A)</f>
        <v/>
      </c>
    </row>
    <row r="8870">
      <c r="A8870" s="6">
        <f>Database!$A10955</f>
        <v/>
      </c>
      <c r="B8870">
        <f>IF(VLOOKUP(Table7[[#This Row],[Date]],Database!$A:$C,MATCH($B$1,Database!$A$1:$C$1,),)=0,#N/A,VLOOKUP(Table7[[#This Row],[Date]],Database!$A:$C,MATCH($B$1,Database!$A$1:$C$1,),))</f>
        <v/>
      </c>
      <c r="C8870">
        <f>IF(VLOOKUP(Table7[[#This Row],[Date]],Database!$A:$C,MATCH($C$1,Database!$A$1:$C$1,),)=0,#N/A,VLOOKUP(Table7[[#This Row],[Date]],Database!$A:$C,MATCH($C$1,Database!$A$1:$C$1,),))</f>
        <v/>
      </c>
      <c r="D8870">
        <f>IFERROR(Table7[[#This Row],[United States 10y]]-Table7[[#This Row],[United States 3y]],#N/A)</f>
        <v/>
      </c>
    </row>
    <row r="8871">
      <c r="A8871" s="6">
        <f>Database!$A10956</f>
        <v/>
      </c>
      <c r="B8871">
        <f>IF(VLOOKUP(Table7[[#This Row],[Date]],Database!$A:$C,MATCH($B$1,Database!$A$1:$C$1,),)=0,#N/A,VLOOKUP(Table7[[#This Row],[Date]],Database!$A:$C,MATCH($B$1,Database!$A$1:$C$1,),))</f>
        <v/>
      </c>
      <c r="C8871">
        <f>IF(VLOOKUP(Table7[[#This Row],[Date]],Database!$A:$C,MATCH($C$1,Database!$A$1:$C$1,),)=0,#N/A,VLOOKUP(Table7[[#This Row],[Date]],Database!$A:$C,MATCH($C$1,Database!$A$1:$C$1,),))</f>
        <v/>
      </c>
      <c r="D8871">
        <f>IFERROR(Table7[[#This Row],[United States 10y]]-Table7[[#This Row],[United States 3y]],#N/A)</f>
        <v/>
      </c>
    </row>
    <row r="8872">
      <c r="A8872" s="6">
        <f>Database!$A10957</f>
        <v/>
      </c>
      <c r="B8872">
        <f>IF(VLOOKUP(Table7[[#This Row],[Date]],Database!$A:$C,MATCH($B$1,Database!$A$1:$C$1,),)=0,#N/A,VLOOKUP(Table7[[#This Row],[Date]],Database!$A:$C,MATCH($B$1,Database!$A$1:$C$1,),))</f>
        <v/>
      </c>
      <c r="C8872">
        <f>IF(VLOOKUP(Table7[[#This Row],[Date]],Database!$A:$C,MATCH($C$1,Database!$A$1:$C$1,),)=0,#N/A,VLOOKUP(Table7[[#This Row],[Date]],Database!$A:$C,MATCH($C$1,Database!$A$1:$C$1,),))</f>
        <v/>
      </c>
      <c r="D8872">
        <f>IFERROR(Table7[[#This Row],[United States 10y]]-Table7[[#This Row],[United States 3y]],#N/A)</f>
        <v/>
      </c>
    </row>
    <row r="8873">
      <c r="A8873" s="6">
        <f>Database!$A10958</f>
        <v/>
      </c>
      <c r="B8873">
        <f>IF(VLOOKUP(Table7[[#This Row],[Date]],Database!$A:$C,MATCH($B$1,Database!$A$1:$C$1,),)=0,#N/A,VLOOKUP(Table7[[#This Row],[Date]],Database!$A:$C,MATCH($B$1,Database!$A$1:$C$1,),))</f>
        <v/>
      </c>
      <c r="C8873">
        <f>IF(VLOOKUP(Table7[[#This Row],[Date]],Database!$A:$C,MATCH($C$1,Database!$A$1:$C$1,),)=0,#N/A,VLOOKUP(Table7[[#This Row],[Date]],Database!$A:$C,MATCH($C$1,Database!$A$1:$C$1,),))</f>
        <v/>
      </c>
      <c r="D8873">
        <f>IFERROR(Table7[[#This Row],[United States 10y]]-Table7[[#This Row],[United States 3y]],#N/A)</f>
        <v/>
      </c>
    </row>
    <row r="8874">
      <c r="A8874" s="6">
        <f>Database!$A10959</f>
        <v/>
      </c>
      <c r="B8874">
        <f>IF(VLOOKUP(Table7[[#This Row],[Date]],Database!$A:$C,MATCH($B$1,Database!$A$1:$C$1,),)=0,#N/A,VLOOKUP(Table7[[#This Row],[Date]],Database!$A:$C,MATCH($B$1,Database!$A$1:$C$1,),))</f>
        <v/>
      </c>
      <c r="C8874">
        <f>IF(VLOOKUP(Table7[[#This Row],[Date]],Database!$A:$C,MATCH($C$1,Database!$A$1:$C$1,),)=0,#N/A,VLOOKUP(Table7[[#This Row],[Date]],Database!$A:$C,MATCH($C$1,Database!$A$1:$C$1,),))</f>
        <v/>
      </c>
      <c r="D8874">
        <f>IFERROR(Table7[[#This Row],[United States 10y]]-Table7[[#This Row],[United States 3y]],#N/A)</f>
        <v/>
      </c>
    </row>
    <row r="8875">
      <c r="A8875" s="6">
        <f>Database!$A10960</f>
        <v/>
      </c>
      <c r="B8875">
        <f>IF(VLOOKUP(Table7[[#This Row],[Date]],Database!$A:$C,MATCH($B$1,Database!$A$1:$C$1,),)=0,#N/A,VLOOKUP(Table7[[#This Row],[Date]],Database!$A:$C,MATCH($B$1,Database!$A$1:$C$1,),))</f>
        <v/>
      </c>
      <c r="C8875">
        <f>IF(VLOOKUP(Table7[[#This Row],[Date]],Database!$A:$C,MATCH($C$1,Database!$A$1:$C$1,),)=0,#N/A,VLOOKUP(Table7[[#This Row],[Date]],Database!$A:$C,MATCH($C$1,Database!$A$1:$C$1,),))</f>
        <v/>
      </c>
      <c r="D8875">
        <f>IFERROR(Table7[[#This Row],[United States 10y]]-Table7[[#This Row],[United States 3y]],#N/A)</f>
        <v/>
      </c>
    </row>
    <row r="8876">
      <c r="A8876" s="6">
        <f>Database!$A10961</f>
        <v/>
      </c>
      <c r="B8876">
        <f>IF(VLOOKUP(Table7[[#This Row],[Date]],Database!$A:$C,MATCH($B$1,Database!$A$1:$C$1,),)=0,#N/A,VLOOKUP(Table7[[#This Row],[Date]],Database!$A:$C,MATCH($B$1,Database!$A$1:$C$1,),))</f>
        <v/>
      </c>
      <c r="C8876">
        <f>IF(VLOOKUP(Table7[[#This Row],[Date]],Database!$A:$C,MATCH($C$1,Database!$A$1:$C$1,),)=0,#N/A,VLOOKUP(Table7[[#This Row],[Date]],Database!$A:$C,MATCH($C$1,Database!$A$1:$C$1,),))</f>
        <v/>
      </c>
      <c r="D8876">
        <f>IFERROR(Table7[[#This Row],[United States 10y]]-Table7[[#This Row],[United States 3y]],#N/A)</f>
        <v/>
      </c>
    </row>
    <row r="8877">
      <c r="A8877" s="6">
        <f>Database!$A10962</f>
        <v/>
      </c>
      <c r="B8877">
        <f>IF(VLOOKUP(Table7[[#This Row],[Date]],Database!$A:$C,MATCH($B$1,Database!$A$1:$C$1,),)=0,#N/A,VLOOKUP(Table7[[#This Row],[Date]],Database!$A:$C,MATCH($B$1,Database!$A$1:$C$1,),))</f>
        <v/>
      </c>
      <c r="C8877">
        <f>IF(VLOOKUP(Table7[[#This Row],[Date]],Database!$A:$C,MATCH($C$1,Database!$A$1:$C$1,),)=0,#N/A,VLOOKUP(Table7[[#This Row],[Date]],Database!$A:$C,MATCH($C$1,Database!$A$1:$C$1,),))</f>
        <v/>
      </c>
      <c r="D8877">
        <f>IFERROR(Table7[[#This Row],[United States 10y]]-Table7[[#This Row],[United States 3y]],#N/A)</f>
        <v/>
      </c>
    </row>
    <row r="8878">
      <c r="A8878" s="6">
        <f>Database!$A10963</f>
        <v/>
      </c>
      <c r="B8878">
        <f>IF(VLOOKUP(Table7[[#This Row],[Date]],Database!$A:$C,MATCH($B$1,Database!$A$1:$C$1,),)=0,#N/A,VLOOKUP(Table7[[#This Row],[Date]],Database!$A:$C,MATCH($B$1,Database!$A$1:$C$1,),))</f>
        <v/>
      </c>
      <c r="C8878">
        <f>IF(VLOOKUP(Table7[[#This Row],[Date]],Database!$A:$C,MATCH($C$1,Database!$A$1:$C$1,),)=0,#N/A,VLOOKUP(Table7[[#This Row],[Date]],Database!$A:$C,MATCH($C$1,Database!$A$1:$C$1,),))</f>
        <v/>
      </c>
      <c r="D8878">
        <f>IFERROR(Table7[[#This Row],[United States 10y]]-Table7[[#This Row],[United States 3y]],#N/A)</f>
        <v/>
      </c>
    </row>
    <row r="8879">
      <c r="A8879" s="6">
        <f>Database!$A10964</f>
        <v/>
      </c>
      <c r="B8879">
        <f>IF(VLOOKUP(Table7[[#This Row],[Date]],Database!$A:$C,MATCH($B$1,Database!$A$1:$C$1,),)=0,#N/A,VLOOKUP(Table7[[#This Row],[Date]],Database!$A:$C,MATCH($B$1,Database!$A$1:$C$1,),))</f>
        <v/>
      </c>
      <c r="C8879">
        <f>IF(VLOOKUP(Table7[[#This Row],[Date]],Database!$A:$C,MATCH($C$1,Database!$A$1:$C$1,),)=0,#N/A,VLOOKUP(Table7[[#This Row],[Date]],Database!$A:$C,MATCH($C$1,Database!$A$1:$C$1,),))</f>
        <v/>
      </c>
      <c r="D8879">
        <f>IFERROR(Table7[[#This Row],[United States 10y]]-Table7[[#This Row],[United States 3y]],#N/A)</f>
        <v/>
      </c>
    </row>
    <row r="8880">
      <c r="A8880" s="6">
        <f>Database!$A10965</f>
        <v/>
      </c>
      <c r="B8880">
        <f>IF(VLOOKUP(Table7[[#This Row],[Date]],Database!$A:$C,MATCH($B$1,Database!$A$1:$C$1,),)=0,#N/A,VLOOKUP(Table7[[#This Row],[Date]],Database!$A:$C,MATCH($B$1,Database!$A$1:$C$1,),))</f>
        <v/>
      </c>
      <c r="C8880">
        <f>IF(VLOOKUP(Table7[[#This Row],[Date]],Database!$A:$C,MATCH($C$1,Database!$A$1:$C$1,),)=0,#N/A,VLOOKUP(Table7[[#This Row],[Date]],Database!$A:$C,MATCH($C$1,Database!$A$1:$C$1,),))</f>
        <v/>
      </c>
      <c r="D8880">
        <f>IFERROR(Table7[[#This Row],[United States 10y]]-Table7[[#This Row],[United States 3y]],#N/A)</f>
        <v/>
      </c>
    </row>
    <row r="8881">
      <c r="A8881" s="6">
        <f>Database!$A10966</f>
        <v/>
      </c>
      <c r="B8881">
        <f>IF(VLOOKUP(Table7[[#This Row],[Date]],Database!$A:$C,MATCH($B$1,Database!$A$1:$C$1,),)=0,#N/A,VLOOKUP(Table7[[#This Row],[Date]],Database!$A:$C,MATCH($B$1,Database!$A$1:$C$1,),))</f>
        <v/>
      </c>
      <c r="C8881">
        <f>IF(VLOOKUP(Table7[[#This Row],[Date]],Database!$A:$C,MATCH($C$1,Database!$A$1:$C$1,),)=0,#N/A,VLOOKUP(Table7[[#This Row],[Date]],Database!$A:$C,MATCH($C$1,Database!$A$1:$C$1,),))</f>
        <v/>
      </c>
      <c r="D8881">
        <f>IFERROR(Table7[[#This Row],[United States 10y]]-Table7[[#This Row],[United States 3y]],#N/A)</f>
        <v/>
      </c>
    </row>
    <row r="8882">
      <c r="A8882" s="6">
        <f>Database!$A10967</f>
        <v/>
      </c>
      <c r="B8882">
        <f>IF(VLOOKUP(Table7[[#This Row],[Date]],Database!$A:$C,MATCH($B$1,Database!$A$1:$C$1,),)=0,#N/A,VLOOKUP(Table7[[#This Row],[Date]],Database!$A:$C,MATCH($B$1,Database!$A$1:$C$1,),))</f>
        <v/>
      </c>
      <c r="C8882">
        <f>IF(VLOOKUP(Table7[[#This Row],[Date]],Database!$A:$C,MATCH($C$1,Database!$A$1:$C$1,),)=0,#N/A,VLOOKUP(Table7[[#This Row],[Date]],Database!$A:$C,MATCH($C$1,Database!$A$1:$C$1,),))</f>
        <v/>
      </c>
      <c r="D8882">
        <f>IFERROR(Table7[[#This Row],[United States 10y]]-Table7[[#This Row],[United States 3y]],#N/A)</f>
        <v/>
      </c>
    </row>
    <row r="8883">
      <c r="A8883" s="6">
        <f>Database!$A10968</f>
        <v/>
      </c>
      <c r="B8883">
        <f>IF(VLOOKUP(Table7[[#This Row],[Date]],Database!$A:$C,MATCH($B$1,Database!$A$1:$C$1,),)=0,#N/A,VLOOKUP(Table7[[#This Row],[Date]],Database!$A:$C,MATCH($B$1,Database!$A$1:$C$1,),))</f>
        <v/>
      </c>
      <c r="C8883">
        <f>IF(VLOOKUP(Table7[[#This Row],[Date]],Database!$A:$C,MATCH($C$1,Database!$A$1:$C$1,),)=0,#N/A,VLOOKUP(Table7[[#This Row],[Date]],Database!$A:$C,MATCH($C$1,Database!$A$1:$C$1,),))</f>
        <v/>
      </c>
      <c r="D8883">
        <f>IFERROR(Table7[[#This Row],[United States 10y]]-Table7[[#This Row],[United States 3y]],#N/A)</f>
        <v/>
      </c>
    </row>
    <row r="8884">
      <c r="A8884" s="6">
        <f>Database!$A10969</f>
        <v/>
      </c>
      <c r="B8884">
        <f>IF(VLOOKUP(Table7[[#This Row],[Date]],Database!$A:$C,MATCH($B$1,Database!$A$1:$C$1,),)=0,#N/A,VLOOKUP(Table7[[#This Row],[Date]],Database!$A:$C,MATCH($B$1,Database!$A$1:$C$1,),))</f>
        <v/>
      </c>
      <c r="C8884">
        <f>IF(VLOOKUP(Table7[[#This Row],[Date]],Database!$A:$C,MATCH($C$1,Database!$A$1:$C$1,),)=0,#N/A,VLOOKUP(Table7[[#This Row],[Date]],Database!$A:$C,MATCH($C$1,Database!$A$1:$C$1,),))</f>
        <v/>
      </c>
      <c r="D8884">
        <f>IFERROR(Table7[[#This Row],[United States 10y]]-Table7[[#This Row],[United States 3y]],#N/A)</f>
        <v/>
      </c>
    </row>
    <row r="8885">
      <c r="A8885" s="6">
        <f>Database!$A10970</f>
        <v/>
      </c>
      <c r="B8885">
        <f>IF(VLOOKUP(Table7[[#This Row],[Date]],Database!$A:$C,MATCH($B$1,Database!$A$1:$C$1,),)=0,#N/A,VLOOKUP(Table7[[#This Row],[Date]],Database!$A:$C,MATCH($B$1,Database!$A$1:$C$1,),))</f>
        <v/>
      </c>
      <c r="C8885">
        <f>IF(VLOOKUP(Table7[[#This Row],[Date]],Database!$A:$C,MATCH($C$1,Database!$A$1:$C$1,),)=0,#N/A,VLOOKUP(Table7[[#This Row],[Date]],Database!$A:$C,MATCH($C$1,Database!$A$1:$C$1,),))</f>
        <v/>
      </c>
      <c r="D8885">
        <f>IFERROR(Table7[[#This Row],[United States 10y]]-Table7[[#This Row],[United States 3y]],#N/A)</f>
        <v/>
      </c>
    </row>
    <row r="8886">
      <c r="A8886" s="6">
        <f>Database!$A10971</f>
        <v/>
      </c>
      <c r="B8886">
        <f>IF(VLOOKUP(Table7[[#This Row],[Date]],Database!$A:$C,MATCH($B$1,Database!$A$1:$C$1,),)=0,#N/A,VLOOKUP(Table7[[#This Row],[Date]],Database!$A:$C,MATCH($B$1,Database!$A$1:$C$1,),))</f>
        <v/>
      </c>
      <c r="C8886">
        <f>IF(VLOOKUP(Table7[[#This Row],[Date]],Database!$A:$C,MATCH($C$1,Database!$A$1:$C$1,),)=0,#N/A,VLOOKUP(Table7[[#This Row],[Date]],Database!$A:$C,MATCH($C$1,Database!$A$1:$C$1,),))</f>
        <v/>
      </c>
      <c r="D8886">
        <f>IFERROR(Table7[[#This Row],[United States 10y]]-Table7[[#This Row],[United States 3y]],#N/A)</f>
        <v/>
      </c>
    </row>
    <row r="8887">
      <c r="A8887" s="6">
        <f>Database!$A10972</f>
        <v/>
      </c>
      <c r="B8887">
        <f>IF(VLOOKUP(Table7[[#This Row],[Date]],Database!$A:$C,MATCH($B$1,Database!$A$1:$C$1,),)=0,#N/A,VLOOKUP(Table7[[#This Row],[Date]],Database!$A:$C,MATCH($B$1,Database!$A$1:$C$1,),))</f>
        <v/>
      </c>
      <c r="C8887">
        <f>IF(VLOOKUP(Table7[[#This Row],[Date]],Database!$A:$C,MATCH($C$1,Database!$A$1:$C$1,),)=0,#N/A,VLOOKUP(Table7[[#This Row],[Date]],Database!$A:$C,MATCH($C$1,Database!$A$1:$C$1,),))</f>
        <v/>
      </c>
      <c r="D8887">
        <f>IFERROR(Table7[[#This Row],[United States 10y]]-Table7[[#This Row],[United States 3y]],#N/A)</f>
        <v/>
      </c>
    </row>
    <row r="8888">
      <c r="A8888" s="6">
        <f>Database!$A10973</f>
        <v/>
      </c>
      <c r="B8888">
        <f>IF(VLOOKUP(Table7[[#This Row],[Date]],Database!$A:$C,MATCH($B$1,Database!$A$1:$C$1,),)=0,#N/A,VLOOKUP(Table7[[#This Row],[Date]],Database!$A:$C,MATCH($B$1,Database!$A$1:$C$1,),))</f>
        <v/>
      </c>
      <c r="C8888">
        <f>IF(VLOOKUP(Table7[[#This Row],[Date]],Database!$A:$C,MATCH($C$1,Database!$A$1:$C$1,),)=0,#N/A,VLOOKUP(Table7[[#This Row],[Date]],Database!$A:$C,MATCH($C$1,Database!$A$1:$C$1,),))</f>
        <v/>
      </c>
      <c r="D8888">
        <f>IFERROR(Table7[[#This Row],[United States 10y]]-Table7[[#This Row],[United States 3y]],#N/A)</f>
        <v/>
      </c>
    </row>
    <row r="8889">
      <c r="A8889" s="6">
        <f>Database!$A10974</f>
        <v/>
      </c>
      <c r="B8889">
        <f>IF(VLOOKUP(Table7[[#This Row],[Date]],Database!$A:$C,MATCH($B$1,Database!$A$1:$C$1,),)=0,#N/A,VLOOKUP(Table7[[#This Row],[Date]],Database!$A:$C,MATCH($B$1,Database!$A$1:$C$1,),))</f>
        <v/>
      </c>
      <c r="C8889">
        <f>IF(VLOOKUP(Table7[[#This Row],[Date]],Database!$A:$C,MATCH($C$1,Database!$A$1:$C$1,),)=0,#N/A,VLOOKUP(Table7[[#This Row],[Date]],Database!$A:$C,MATCH($C$1,Database!$A$1:$C$1,),))</f>
        <v/>
      </c>
      <c r="D8889">
        <f>IFERROR(Table7[[#This Row],[United States 10y]]-Table7[[#This Row],[United States 3y]],#N/A)</f>
        <v/>
      </c>
    </row>
    <row r="8890">
      <c r="A8890" s="6">
        <f>Database!$A10975</f>
        <v/>
      </c>
      <c r="B8890">
        <f>IF(VLOOKUP(Table7[[#This Row],[Date]],Database!$A:$C,MATCH($B$1,Database!$A$1:$C$1,),)=0,#N/A,VLOOKUP(Table7[[#This Row],[Date]],Database!$A:$C,MATCH($B$1,Database!$A$1:$C$1,),))</f>
        <v/>
      </c>
      <c r="C8890">
        <f>IF(VLOOKUP(Table7[[#This Row],[Date]],Database!$A:$C,MATCH($C$1,Database!$A$1:$C$1,),)=0,#N/A,VLOOKUP(Table7[[#This Row],[Date]],Database!$A:$C,MATCH($C$1,Database!$A$1:$C$1,),))</f>
        <v/>
      </c>
      <c r="D8890">
        <f>IFERROR(Table7[[#This Row],[United States 10y]]-Table7[[#This Row],[United States 3y]],#N/A)</f>
        <v/>
      </c>
    </row>
    <row r="8891">
      <c r="A8891" s="6">
        <f>Database!$A10976</f>
        <v/>
      </c>
      <c r="B8891">
        <f>IF(VLOOKUP(Table7[[#This Row],[Date]],Database!$A:$C,MATCH($B$1,Database!$A$1:$C$1,),)=0,#N/A,VLOOKUP(Table7[[#This Row],[Date]],Database!$A:$C,MATCH($B$1,Database!$A$1:$C$1,),))</f>
        <v/>
      </c>
      <c r="C8891">
        <f>IF(VLOOKUP(Table7[[#This Row],[Date]],Database!$A:$C,MATCH($C$1,Database!$A$1:$C$1,),)=0,#N/A,VLOOKUP(Table7[[#This Row],[Date]],Database!$A:$C,MATCH($C$1,Database!$A$1:$C$1,),))</f>
        <v/>
      </c>
      <c r="D8891">
        <f>IFERROR(Table7[[#This Row],[United States 10y]]-Table7[[#This Row],[United States 3y]],#N/A)</f>
        <v/>
      </c>
    </row>
    <row r="8892">
      <c r="A8892" s="6">
        <f>Database!$A10977</f>
        <v/>
      </c>
      <c r="B8892">
        <f>IF(VLOOKUP(Table7[[#This Row],[Date]],Database!$A:$C,MATCH($B$1,Database!$A$1:$C$1,),)=0,#N/A,VLOOKUP(Table7[[#This Row],[Date]],Database!$A:$C,MATCH($B$1,Database!$A$1:$C$1,),))</f>
        <v/>
      </c>
      <c r="C8892">
        <f>IF(VLOOKUP(Table7[[#This Row],[Date]],Database!$A:$C,MATCH($C$1,Database!$A$1:$C$1,),)=0,#N/A,VLOOKUP(Table7[[#This Row],[Date]],Database!$A:$C,MATCH($C$1,Database!$A$1:$C$1,),))</f>
        <v/>
      </c>
      <c r="D8892">
        <f>IFERROR(Table7[[#This Row],[United States 10y]]-Table7[[#This Row],[United States 3y]],#N/A)</f>
        <v/>
      </c>
    </row>
    <row r="8893">
      <c r="A8893" s="6">
        <f>Database!$A10978</f>
        <v/>
      </c>
      <c r="B8893">
        <f>IF(VLOOKUP(Table7[[#This Row],[Date]],Database!$A:$C,MATCH($B$1,Database!$A$1:$C$1,),)=0,#N/A,VLOOKUP(Table7[[#This Row],[Date]],Database!$A:$C,MATCH($B$1,Database!$A$1:$C$1,),))</f>
        <v/>
      </c>
      <c r="C8893">
        <f>IF(VLOOKUP(Table7[[#This Row],[Date]],Database!$A:$C,MATCH($C$1,Database!$A$1:$C$1,),)=0,#N/A,VLOOKUP(Table7[[#This Row],[Date]],Database!$A:$C,MATCH($C$1,Database!$A$1:$C$1,),))</f>
        <v/>
      </c>
      <c r="D8893">
        <f>IFERROR(Table7[[#This Row],[United States 10y]]-Table7[[#This Row],[United States 3y]],#N/A)</f>
        <v/>
      </c>
    </row>
    <row r="8894">
      <c r="A8894" s="6">
        <f>Database!$A10979</f>
        <v/>
      </c>
      <c r="B8894">
        <f>IF(VLOOKUP(Table7[[#This Row],[Date]],Database!$A:$C,MATCH($B$1,Database!$A$1:$C$1,),)=0,#N/A,VLOOKUP(Table7[[#This Row],[Date]],Database!$A:$C,MATCH($B$1,Database!$A$1:$C$1,),))</f>
        <v/>
      </c>
      <c r="C8894">
        <f>IF(VLOOKUP(Table7[[#This Row],[Date]],Database!$A:$C,MATCH($C$1,Database!$A$1:$C$1,),)=0,#N/A,VLOOKUP(Table7[[#This Row],[Date]],Database!$A:$C,MATCH($C$1,Database!$A$1:$C$1,),))</f>
        <v/>
      </c>
      <c r="D8894">
        <f>IFERROR(Table7[[#This Row],[United States 10y]]-Table7[[#This Row],[United States 3y]],#N/A)</f>
        <v/>
      </c>
    </row>
    <row r="8895">
      <c r="A8895" s="6">
        <f>Database!$A10980</f>
        <v/>
      </c>
      <c r="B8895">
        <f>IF(VLOOKUP(Table7[[#This Row],[Date]],Database!$A:$C,MATCH($B$1,Database!$A$1:$C$1,),)=0,#N/A,VLOOKUP(Table7[[#This Row],[Date]],Database!$A:$C,MATCH($B$1,Database!$A$1:$C$1,),))</f>
        <v/>
      </c>
      <c r="C8895">
        <f>IF(VLOOKUP(Table7[[#This Row],[Date]],Database!$A:$C,MATCH($C$1,Database!$A$1:$C$1,),)=0,#N/A,VLOOKUP(Table7[[#This Row],[Date]],Database!$A:$C,MATCH($C$1,Database!$A$1:$C$1,),))</f>
        <v/>
      </c>
      <c r="D8895">
        <f>IFERROR(Table7[[#This Row],[United States 10y]]-Table7[[#This Row],[United States 3y]],#N/A)</f>
        <v/>
      </c>
    </row>
    <row r="8896">
      <c r="A8896" s="6">
        <f>Database!$A10981</f>
        <v/>
      </c>
      <c r="B8896">
        <f>IF(VLOOKUP(Table7[[#This Row],[Date]],Database!$A:$C,MATCH($B$1,Database!$A$1:$C$1,),)=0,#N/A,VLOOKUP(Table7[[#This Row],[Date]],Database!$A:$C,MATCH($B$1,Database!$A$1:$C$1,),))</f>
        <v/>
      </c>
      <c r="C8896">
        <f>IF(VLOOKUP(Table7[[#This Row],[Date]],Database!$A:$C,MATCH($C$1,Database!$A$1:$C$1,),)=0,#N/A,VLOOKUP(Table7[[#This Row],[Date]],Database!$A:$C,MATCH($C$1,Database!$A$1:$C$1,),))</f>
        <v/>
      </c>
      <c r="D8896">
        <f>IFERROR(Table7[[#This Row],[United States 10y]]-Table7[[#This Row],[United States 3y]],#N/A)</f>
        <v/>
      </c>
    </row>
    <row r="8897">
      <c r="A8897" s="6">
        <f>Database!$A10982</f>
        <v/>
      </c>
      <c r="B8897">
        <f>IF(VLOOKUP(Table7[[#This Row],[Date]],Database!$A:$C,MATCH($B$1,Database!$A$1:$C$1,),)=0,#N/A,VLOOKUP(Table7[[#This Row],[Date]],Database!$A:$C,MATCH($B$1,Database!$A$1:$C$1,),))</f>
        <v/>
      </c>
      <c r="C8897">
        <f>IF(VLOOKUP(Table7[[#This Row],[Date]],Database!$A:$C,MATCH($C$1,Database!$A$1:$C$1,),)=0,#N/A,VLOOKUP(Table7[[#This Row],[Date]],Database!$A:$C,MATCH($C$1,Database!$A$1:$C$1,),))</f>
        <v/>
      </c>
      <c r="D8897">
        <f>IFERROR(Table7[[#This Row],[United States 10y]]-Table7[[#This Row],[United States 3y]],#N/A)</f>
        <v/>
      </c>
    </row>
    <row r="8898">
      <c r="A8898" s="6">
        <f>Database!$A10983</f>
        <v/>
      </c>
      <c r="B8898">
        <f>IF(VLOOKUP(Table7[[#This Row],[Date]],Database!$A:$C,MATCH($B$1,Database!$A$1:$C$1,),)=0,#N/A,VLOOKUP(Table7[[#This Row],[Date]],Database!$A:$C,MATCH($B$1,Database!$A$1:$C$1,),))</f>
        <v/>
      </c>
      <c r="C8898">
        <f>IF(VLOOKUP(Table7[[#This Row],[Date]],Database!$A:$C,MATCH($C$1,Database!$A$1:$C$1,),)=0,#N/A,VLOOKUP(Table7[[#This Row],[Date]],Database!$A:$C,MATCH($C$1,Database!$A$1:$C$1,),))</f>
        <v/>
      </c>
      <c r="D8898">
        <f>IFERROR(Table7[[#This Row],[United States 10y]]-Table7[[#This Row],[United States 3y]],#N/A)</f>
        <v/>
      </c>
    </row>
    <row r="8899">
      <c r="A8899" s="6">
        <f>Database!$A10984</f>
        <v/>
      </c>
      <c r="B8899">
        <f>IF(VLOOKUP(Table7[[#This Row],[Date]],Database!$A:$C,MATCH($B$1,Database!$A$1:$C$1,),)=0,#N/A,VLOOKUP(Table7[[#This Row],[Date]],Database!$A:$C,MATCH($B$1,Database!$A$1:$C$1,),))</f>
        <v/>
      </c>
      <c r="C8899">
        <f>IF(VLOOKUP(Table7[[#This Row],[Date]],Database!$A:$C,MATCH($C$1,Database!$A$1:$C$1,),)=0,#N/A,VLOOKUP(Table7[[#This Row],[Date]],Database!$A:$C,MATCH($C$1,Database!$A$1:$C$1,),))</f>
        <v/>
      </c>
      <c r="D8899">
        <f>IFERROR(Table7[[#This Row],[United States 10y]]-Table7[[#This Row],[United States 3y]],#N/A)</f>
        <v/>
      </c>
    </row>
    <row r="8900">
      <c r="A8900" s="6">
        <f>Database!$A10985</f>
        <v/>
      </c>
      <c r="B8900">
        <f>IF(VLOOKUP(Table7[[#This Row],[Date]],Database!$A:$C,MATCH($B$1,Database!$A$1:$C$1,),)=0,#N/A,VLOOKUP(Table7[[#This Row],[Date]],Database!$A:$C,MATCH($B$1,Database!$A$1:$C$1,),))</f>
        <v/>
      </c>
      <c r="C8900">
        <f>IF(VLOOKUP(Table7[[#This Row],[Date]],Database!$A:$C,MATCH($C$1,Database!$A$1:$C$1,),)=0,#N/A,VLOOKUP(Table7[[#This Row],[Date]],Database!$A:$C,MATCH($C$1,Database!$A$1:$C$1,),))</f>
        <v/>
      </c>
      <c r="D8900">
        <f>IFERROR(Table7[[#This Row],[United States 10y]]-Table7[[#This Row],[United States 3y]],#N/A)</f>
        <v/>
      </c>
    </row>
    <row r="8901">
      <c r="A8901" s="6">
        <f>Database!$A10986</f>
        <v/>
      </c>
      <c r="B8901">
        <f>IF(VLOOKUP(Table7[[#This Row],[Date]],Database!$A:$C,MATCH($B$1,Database!$A$1:$C$1,),)=0,#N/A,VLOOKUP(Table7[[#This Row],[Date]],Database!$A:$C,MATCH($B$1,Database!$A$1:$C$1,),))</f>
        <v/>
      </c>
      <c r="C8901">
        <f>IF(VLOOKUP(Table7[[#This Row],[Date]],Database!$A:$C,MATCH($C$1,Database!$A$1:$C$1,),)=0,#N/A,VLOOKUP(Table7[[#This Row],[Date]],Database!$A:$C,MATCH($C$1,Database!$A$1:$C$1,),))</f>
        <v/>
      </c>
      <c r="D8901">
        <f>IFERROR(Table7[[#This Row],[United States 10y]]-Table7[[#This Row],[United States 3y]],#N/A)</f>
        <v/>
      </c>
    </row>
    <row r="8902">
      <c r="A8902" s="6">
        <f>Database!$A10987</f>
        <v/>
      </c>
      <c r="B8902">
        <f>IF(VLOOKUP(Table7[[#This Row],[Date]],Database!$A:$C,MATCH($B$1,Database!$A$1:$C$1,),)=0,#N/A,VLOOKUP(Table7[[#This Row],[Date]],Database!$A:$C,MATCH($B$1,Database!$A$1:$C$1,),))</f>
        <v/>
      </c>
      <c r="C8902">
        <f>IF(VLOOKUP(Table7[[#This Row],[Date]],Database!$A:$C,MATCH($C$1,Database!$A$1:$C$1,),)=0,#N/A,VLOOKUP(Table7[[#This Row],[Date]],Database!$A:$C,MATCH($C$1,Database!$A$1:$C$1,),))</f>
        <v/>
      </c>
      <c r="D8902">
        <f>IFERROR(Table7[[#This Row],[United States 10y]]-Table7[[#This Row],[United States 3y]],#N/A)</f>
        <v/>
      </c>
    </row>
    <row r="8903">
      <c r="A8903" s="6">
        <f>Database!$A10988</f>
        <v/>
      </c>
      <c r="B8903">
        <f>IF(VLOOKUP(Table7[[#This Row],[Date]],Database!$A:$C,MATCH($B$1,Database!$A$1:$C$1,),)=0,#N/A,VLOOKUP(Table7[[#This Row],[Date]],Database!$A:$C,MATCH($B$1,Database!$A$1:$C$1,),))</f>
        <v/>
      </c>
      <c r="C8903">
        <f>IF(VLOOKUP(Table7[[#This Row],[Date]],Database!$A:$C,MATCH($C$1,Database!$A$1:$C$1,),)=0,#N/A,VLOOKUP(Table7[[#This Row],[Date]],Database!$A:$C,MATCH($C$1,Database!$A$1:$C$1,),))</f>
        <v/>
      </c>
      <c r="D8903">
        <f>IFERROR(Table7[[#This Row],[United States 10y]]-Table7[[#This Row],[United States 3y]],#N/A)</f>
        <v/>
      </c>
    </row>
    <row r="8904">
      <c r="A8904" s="6">
        <f>Database!$A10989</f>
        <v/>
      </c>
      <c r="B8904">
        <f>IF(VLOOKUP(Table7[[#This Row],[Date]],Database!$A:$C,MATCH($B$1,Database!$A$1:$C$1,),)=0,#N/A,VLOOKUP(Table7[[#This Row],[Date]],Database!$A:$C,MATCH($B$1,Database!$A$1:$C$1,),))</f>
        <v/>
      </c>
      <c r="C8904">
        <f>IF(VLOOKUP(Table7[[#This Row],[Date]],Database!$A:$C,MATCH($C$1,Database!$A$1:$C$1,),)=0,#N/A,VLOOKUP(Table7[[#This Row],[Date]],Database!$A:$C,MATCH($C$1,Database!$A$1:$C$1,),))</f>
        <v/>
      </c>
      <c r="D8904">
        <f>IFERROR(Table7[[#This Row],[United States 10y]]-Table7[[#This Row],[United States 3y]],#N/A)</f>
        <v/>
      </c>
    </row>
    <row r="8905">
      <c r="A8905" s="6">
        <f>Database!$A10990</f>
        <v/>
      </c>
      <c r="B8905">
        <f>IF(VLOOKUP(Table7[[#This Row],[Date]],Database!$A:$C,MATCH($B$1,Database!$A$1:$C$1,),)=0,#N/A,VLOOKUP(Table7[[#This Row],[Date]],Database!$A:$C,MATCH($B$1,Database!$A$1:$C$1,),))</f>
        <v/>
      </c>
      <c r="C8905">
        <f>IF(VLOOKUP(Table7[[#This Row],[Date]],Database!$A:$C,MATCH($C$1,Database!$A$1:$C$1,),)=0,#N/A,VLOOKUP(Table7[[#This Row],[Date]],Database!$A:$C,MATCH($C$1,Database!$A$1:$C$1,),))</f>
        <v/>
      </c>
      <c r="D8905">
        <f>IFERROR(Table7[[#This Row],[United States 10y]]-Table7[[#This Row],[United States 3y]],#N/A)</f>
        <v/>
      </c>
    </row>
    <row r="8906">
      <c r="A8906" s="6">
        <f>Database!$A10991</f>
        <v/>
      </c>
      <c r="B8906">
        <f>IF(VLOOKUP(Table7[[#This Row],[Date]],Database!$A:$C,MATCH($B$1,Database!$A$1:$C$1,),)=0,#N/A,VLOOKUP(Table7[[#This Row],[Date]],Database!$A:$C,MATCH($B$1,Database!$A$1:$C$1,),))</f>
        <v/>
      </c>
      <c r="C8906">
        <f>IF(VLOOKUP(Table7[[#This Row],[Date]],Database!$A:$C,MATCH($C$1,Database!$A$1:$C$1,),)=0,#N/A,VLOOKUP(Table7[[#This Row],[Date]],Database!$A:$C,MATCH($C$1,Database!$A$1:$C$1,),))</f>
        <v/>
      </c>
      <c r="D8906">
        <f>IFERROR(Table7[[#This Row],[United States 10y]]-Table7[[#This Row],[United States 3y]],#N/A)</f>
        <v/>
      </c>
    </row>
    <row r="8907">
      <c r="A8907" s="6">
        <f>Database!$A10992</f>
        <v/>
      </c>
      <c r="B8907">
        <f>IF(VLOOKUP(Table7[[#This Row],[Date]],Database!$A:$C,MATCH($B$1,Database!$A$1:$C$1,),)=0,#N/A,VLOOKUP(Table7[[#This Row],[Date]],Database!$A:$C,MATCH($B$1,Database!$A$1:$C$1,),))</f>
        <v/>
      </c>
      <c r="C8907">
        <f>IF(VLOOKUP(Table7[[#This Row],[Date]],Database!$A:$C,MATCH($C$1,Database!$A$1:$C$1,),)=0,#N/A,VLOOKUP(Table7[[#This Row],[Date]],Database!$A:$C,MATCH($C$1,Database!$A$1:$C$1,),))</f>
        <v/>
      </c>
      <c r="D8907">
        <f>IFERROR(Table7[[#This Row],[United States 10y]]-Table7[[#This Row],[United States 3y]],#N/A)</f>
        <v/>
      </c>
    </row>
    <row r="8908">
      <c r="A8908" s="6">
        <f>Database!$A10993</f>
        <v/>
      </c>
      <c r="B8908">
        <f>IF(VLOOKUP(Table7[[#This Row],[Date]],Database!$A:$C,MATCH($B$1,Database!$A$1:$C$1,),)=0,#N/A,VLOOKUP(Table7[[#This Row],[Date]],Database!$A:$C,MATCH($B$1,Database!$A$1:$C$1,),))</f>
        <v/>
      </c>
      <c r="C8908">
        <f>IF(VLOOKUP(Table7[[#This Row],[Date]],Database!$A:$C,MATCH($C$1,Database!$A$1:$C$1,),)=0,#N/A,VLOOKUP(Table7[[#This Row],[Date]],Database!$A:$C,MATCH($C$1,Database!$A$1:$C$1,),))</f>
        <v/>
      </c>
      <c r="D8908">
        <f>IFERROR(Table7[[#This Row],[United States 10y]]-Table7[[#This Row],[United States 3y]],#N/A)</f>
        <v/>
      </c>
    </row>
    <row r="8909">
      <c r="A8909" s="6">
        <f>Database!$A10994</f>
        <v/>
      </c>
      <c r="B8909">
        <f>IF(VLOOKUP(Table7[[#This Row],[Date]],Database!$A:$C,MATCH($B$1,Database!$A$1:$C$1,),)=0,#N/A,VLOOKUP(Table7[[#This Row],[Date]],Database!$A:$C,MATCH($B$1,Database!$A$1:$C$1,),))</f>
        <v/>
      </c>
      <c r="C8909">
        <f>IF(VLOOKUP(Table7[[#This Row],[Date]],Database!$A:$C,MATCH($C$1,Database!$A$1:$C$1,),)=0,#N/A,VLOOKUP(Table7[[#This Row],[Date]],Database!$A:$C,MATCH($C$1,Database!$A$1:$C$1,),))</f>
        <v/>
      </c>
      <c r="D8909">
        <f>IFERROR(Table7[[#This Row],[United States 10y]]-Table7[[#This Row],[United States 3y]],#N/A)</f>
        <v/>
      </c>
    </row>
    <row r="8910">
      <c r="A8910" s="6">
        <f>Database!$A10995</f>
        <v/>
      </c>
      <c r="B8910">
        <f>IF(VLOOKUP(Table7[[#This Row],[Date]],Database!$A:$C,MATCH($B$1,Database!$A$1:$C$1,),)=0,#N/A,VLOOKUP(Table7[[#This Row],[Date]],Database!$A:$C,MATCH($B$1,Database!$A$1:$C$1,),))</f>
        <v/>
      </c>
      <c r="C8910">
        <f>IF(VLOOKUP(Table7[[#This Row],[Date]],Database!$A:$C,MATCH($C$1,Database!$A$1:$C$1,),)=0,#N/A,VLOOKUP(Table7[[#This Row],[Date]],Database!$A:$C,MATCH($C$1,Database!$A$1:$C$1,),))</f>
        <v/>
      </c>
      <c r="D8910">
        <f>IFERROR(Table7[[#This Row],[United States 10y]]-Table7[[#This Row],[United States 3y]],#N/A)</f>
        <v/>
      </c>
    </row>
    <row r="8911">
      <c r="A8911" s="6">
        <f>Database!$A10996</f>
        <v/>
      </c>
      <c r="B8911">
        <f>IF(VLOOKUP(Table7[[#This Row],[Date]],Database!$A:$C,MATCH($B$1,Database!$A$1:$C$1,),)=0,#N/A,VLOOKUP(Table7[[#This Row],[Date]],Database!$A:$C,MATCH($B$1,Database!$A$1:$C$1,),))</f>
        <v/>
      </c>
      <c r="C8911">
        <f>IF(VLOOKUP(Table7[[#This Row],[Date]],Database!$A:$C,MATCH($C$1,Database!$A$1:$C$1,),)=0,#N/A,VLOOKUP(Table7[[#This Row],[Date]],Database!$A:$C,MATCH($C$1,Database!$A$1:$C$1,),))</f>
        <v/>
      </c>
      <c r="D8911">
        <f>IFERROR(Table7[[#This Row],[United States 10y]]-Table7[[#This Row],[United States 3y]],#N/A)</f>
        <v/>
      </c>
    </row>
    <row r="8912">
      <c r="A8912" s="6">
        <f>Database!$A10997</f>
        <v/>
      </c>
      <c r="B8912">
        <f>IF(VLOOKUP(Table7[[#This Row],[Date]],Database!$A:$C,MATCH($B$1,Database!$A$1:$C$1,),)=0,#N/A,VLOOKUP(Table7[[#This Row],[Date]],Database!$A:$C,MATCH($B$1,Database!$A$1:$C$1,),))</f>
        <v/>
      </c>
      <c r="C8912">
        <f>IF(VLOOKUP(Table7[[#This Row],[Date]],Database!$A:$C,MATCH($C$1,Database!$A$1:$C$1,),)=0,#N/A,VLOOKUP(Table7[[#This Row],[Date]],Database!$A:$C,MATCH($C$1,Database!$A$1:$C$1,),))</f>
        <v/>
      </c>
      <c r="D8912">
        <f>IFERROR(Table7[[#This Row],[United States 10y]]-Table7[[#This Row],[United States 3y]],#N/A)</f>
        <v/>
      </c>
    </row>
    <row r="8913">
      <c r="A8913" s="6">
        <f>Database!$A10998</f>
        <v/>
      </c>
      <c r="B8913">
        <f>IF(VLOOKUP(Table7[[#This Row],[Date]],Database!$A:$C,MATCH($B$1,Database!$A$1:$C$1,),)=0,#N/A,VLOOKUP(Table7[[#This Row],[Date]],Database!$A:$C,MATCH($B$1,Database!$A$1:$C$1,),))</f>
        <v/>
      </c>
      <c r="C8913">
        <f>IF(VLOOKUP(Table7[[#This Row],[Date]],Database!$A:$C,MATCH($C$1,Database!$A$1:$C$1,),)=0,#N/A,VLOOKUP(Table7[[#This Row],[Date]],Database!$A:$C,MATCH($C$1,Database!$A$1:$C$1,),))</f>
        <v/>
      </c>
      <c r="D8913">
        <f>IFERROR(Table7[[#This Row],[United States 10y]]-Table7[[#This Row],[United States 3y]],#N/A)</f>
        <v/>
      </c>
    </row>
    <row r="8914">
      <c r="A8914" s="6">
        <f>Database!$A10999</f>
        <v/>
      </c>
      <c r="B8914">
        <f>IF(VLOOKUP(Table7[[#This Row],[Date]],Database!$A:$C,MATCH($B$1,Database!$A$1:$C$1,),)=0,#N/A,VLOOKUP(Table7[[#This Row],[Date]],Database!$A:$C,MATCH($B$1,Database!$A$1:$C$1,),))</f>
        <v/>
      </c>
      <c r="C8914">
        <f>IF(VLOOKUP(Table7[[#This Row],[Date]],Database!$A:$C,MATCH($C$1,Database!$A$1:$C$1,),)=0,#N/A,VLOOKUP(Table7[[#This Row],[Date]],Database!$A:$C,MATCH($C$1,Database!$A$1:$C$1,),))</f>
        <v/>
      </c>
      <c r="D8914">
        <f>IFERROR(Table7[[#This Row],[United States 10y]]-Table7[[#This Row],[United States 3y]],#N/A)</f>
        <v/>
      </c>
    </row>
    <row r="8915">
      <c r="A8915" s="6">
        <f>Database!$A11000</f>
        <v/>
      </c>
      <c r="B8915">
        <f>IF(VLOOKUP(Table7[[#This Row],[Date]],Database!$A:$C,MATCH($B$1,Database!$A$1:$C$1,),)=0,#N/A,VLOOKUP(Table7[[#This Row],[Date]],Database!$A:$C,MATCH($B$1,Database!$A$1:$C$1,),))</f>
        <v/>
      </c>
      <c r="C8915">
        <f>IF(VLOOKUP(Table7[[#This Row],[Date]],Database!$A:$C,MATCH($C$1,Database!$A$1:$C$1,),)=0,#N/A,VLOOKUP(Table7[[#This Row],[Date]],Database!$A:$C,MATCH($C$1,Database!$A$1:$C$1,),))</f>
        <v/>
      </c>
      <c r="D8915">
        <f>IFERROR(Table7[[#This Row],[United States 10y]]-Table7[[#This Row],[United States 3y]],#N/A)</f>
        <v/>
      </c>
    </row>
    <row r="8916">
      <c r="A8916" s="6">
        <f>Database!$A11001</f>
        <v/>
      </c>
      <c r="B8916">
        <f>IF(VLOOKUP(Table7[[#This Row],[Date]],Database!$A:$C,MATCH($B$1,Database!$A$1:$C$1,),)=0,#N/A,VLOOKUP(Table7[[#This Row],[Date]],Database!$A:$C,MATCH($B$1,Database!$A$1:$C$1,),))</f>
        <v/>
      </c>
      <c r="C8916">
        <f>IF(VLOOKUP(Table7[[#This Row],[Date]],Database!$A:$C,MATCH($C$1,Database!$A$1:$C$1,),)=0,#N/A,VLOOKUP(Table7[[#This Row],[Date]],Database!$A:$C,MATCH($C$1,Database!$A$1:$C$1,),))</f>
        <v/>
      </c>
      <c r="D8916">
        <f>IFERROR(Table7[[#This Row],[United States 10y]]-Table7[[#This Row],[United States 3y]],#N/A)</f>
        <v/>
      </c>
    </row>
    <row r="8917">
      <c r="A8917" s="6">
        <f>Database!$A11002</f>
        <v/>
      </c>
      <c r="B8917">
        <f>IF(VLOOKUP(Table7[[#This Row],[Date]],Database!$A:$C,MATCH($B$1,Database!$A$1:$C$1,),)=0,#N/A,VLOOKUP(Table7[[#This Row],[Date]],Database!$A:$C,MATCH($B$1,Database!$A$1:$C$1,),))</f>
        <v/>
      </c>
      <c r="C8917">
        <f>IF(VLOOKUP(Table7[[#This Row],[Date]],Database!$A:$C,MATCH($C$1,Database!$A$1:$C$1,),)=0,#N/A,VLOOKUP(Table7[[#This Row],[Date]],Database!$A:$C,MATCH($C$1,Database!$A$1:$C$1,),))</f>
        <v/>
      </c>
      <c r="D8917">
        <f>IFERROR(Table7[[#This Row],[United States 10y]]-Table7[[#This Row],[United States 3y]],#N/A)</f>
        <v/>
      </c>
    </row>
    <row r="8918">
      <c r="A8918" s="6">
        <f>Database!$A11003</f>
        <v/>
      </c>
      <c r="B8918">
        <f>IF(VLOOKUP(Table7[[#This Row],[Date]],Database!$A:$C,MATCH($B$1,Database!$A$1:$C$1,),)=0,#N/A,VLOOKUP(Table7[[#This Row],[Date]],Database!$A:$C,MATCH($B$1,Database!$A$1:$C$1,),))</f>
        <v/>
      </c>
      <c r="C8918">
        <f>IF(VLOOKUP(Table7[[#This Row],[Date]],Database!$A:$C,MATCH($C$1,Database!$A$1:$C$1,),)=0,#N/A,VLOOKUP(Table7[[#This Row],[Date]],Database!$A:$C,MATCH($C$1,Database!$A$1:$C$1,),))</f>
        <v/>
      </c>
      <c r="D8918">
        <f>IFERROR(Table7[[#This Row],[United States 10y]]-Table7[[#This Row],[United States 3y]],#N/A)</f>
        <v/>
      </c>
    </row>
    <row r="8919">
      <c r="A8919" s="6">
        <f>Database!$A11004</f>
        <v/>
      </c>
      <c r="B8919">
        <f>IF(VLOOKUP(Table7[[#This Row],[Date]],Database!$A:$C,MATCH($B$1,Database!$A$1:$C$1,),)=0,#N/A,VLOOKUP(Table7[[#This Row],[Date]],Database!$A:$C,MATCH($B$1,Database!$A$1:$C$1,),))</f>
        <v/>
      </c>
      <c r="C8919">
        <f>IF(VLOOKUP(Table7[[#This Row],[Date]],Database!$A:$C,MATCH($C$1,Database!$A$1:$C$1,),)=0,#N/A,VLOOKUP(Table7[[#This Row],[Date]],Database!$A:$C,MATCH($C$1,Database!$A$1:$C$1,),))</f>
        <v/>
      </c>
      <c r="D8919">
        <f>IFERROR(Table7[[#This Row],[United States 10y]]-Table7[[#This Row],[United States 3y]],#N/A)</f>
        <v/>
      </c>
    </row>
    <row r="8920">
      <c r="A8920" s="6">
        <f>Database!$A11005</f>
        <v/>
      </c>
      <c r="B8920">
        <f>IF(VLOOKUP(Table7[[#This Row],[Date]],Database!$A:$C,MATCH($B$1,Database!$A$1:$C$1,),)=0,#N/A,VLOOKUP(Table7[[#This Row],[Date]],Database!$A:$C,MATCH($B$1,Database!$A$1:$C$1,),))</f>
        <v/>
      </c>
      <c r="C8920">
        <f>IF(VLOOKUP(Table7[[#This Row],[Date]],Database!$A:$C,MATCH($C$1,Database!$A$1:$C$1,),)=0,#N/A,VLOOKUP(Table7[[#This Row],[Date]],Database!$A:$C,MATCH($C$1,Database!$A$1:$C$1,),))</f>
        <v/>
      </c>
      <c r="D8920">
        <f>IFERROR(Table7[[#This Row],[United States 10y]]-Table7[[#This Row],[United States 3y]],#N/A)</f>
        <v/>
      </c>
    </row>
    <row r="8921">
      <c r="A8921" s="6">
        <f>Database!$A11006</f>
        <v/>
      </c>
      <c r="B8921">
        <f>IF(VLOOKUP(Table7[[#This Row],[Date]],Database!$A:$C,MATCH($B$1,Database!$A$1:$C$1,),)=0,#N/A,VLOOKUP(Table7[[#This Row],[Date]],Database!$A:$C,MATCH($B$1,Database!$A$1:$C$1,),))</f>
        <v/>
      </c>
      <c r="C8921">
        <f>IF(VLOOKUP(Table7[[#This Row],[Date]],Database!$A:$C,MATCH($C$1,Database!$A$1:$C$1,),)=0,#N/A,VLOOKUP(Table7[[#This Row],[Date]],Database!$A:$C,MATCH($C$1,Database!$A$1:$C$1,),))</f>
        <v/>
      </c>
      <c r="D8921">
        <f>IFERROR(Table7[[#This Row],[United States 10y]]-Table7[[#This Row],[United States 3y]],#N/A)</f>
        <v/>
      </c>
    </row>
    <row r="8922">
      <c r="A8922" s="6">
        <f>Database!$A11007</f>
        <v/>
      </c>
      <c r="B8922">
        <f>IF(VLOOKUP(Table7[[#This Row],[Date]],Database!$A:$C,MATCH($B$1,Database!$A$1:$C$1,),)=0,#N/A,VLOOKUP(Table7[[#This Row],[Date]],Database!$A:$C,MATCH($B$1,Database!$A$1:$C$1,),))</f>
        <v/>
      </c>
      <c r="C8922">
        <f>IF(VLOOKUP(Table7[[#This Row],[Date]],Database!$A:$C,MATCH($C$1,Database!$A$1:$C$1,),)=0,#N/A,VLOOKUP(Table7[[#This Row],[Date]],Database!$A:$C,MATCH($C$1,Database!$A$1:$C$1,),))</f>
        <v/>
      </c>
      <c r="D8922">
        <f>IFERROR(Table7[[#This Row],[United States 10y]]-Table7[[#This Row],[United States 3y]],#N/A)</f>
        <v/>
      </c>
    </row>
    <row r="8923">
      <c r="A8923" s="6">
        <f>Database!$A11008</f>
        <v/>
      </c>
      <c r="B8923">
        <f>IF(VLOOKUP(Table7[[#This Row],[Date]],Database!$A:$C,MATCH($B$1,Database!$A$1:$C$1,),)=0,#N/A,VLOOKUP(Table7[[#This Row],[Date]],Database!$A:$C,MATCH($B$1,Database!$A$1:$C$1,),))</f>
        <v/>
      </c>
      <c r="C8923">
        <f>IF(VLOOKUP(Table7[[#This Row],[Date]],Database!$A:$C,MATCH($C$1,Database!$A$1:$C$1,),)=0,#N/A,VLOOKUP(Table7[[#This Row],[Date]],Database!$A:$C,MATCH($C$1,Database!$A$1:$C$1,),))</f>
        <v/>
      </c>
      <c r="D8923">
        <f>IFERROR(Table7[[#This Row],[United States 10y]]-Table7[[#This Row],[United States 3y]],#N/A)</f>
        <v/>
      </c>
    </row>
    <row r="8924">
      <c r="A8924" s="6">
        <f>Database!$A11009</f>
        <v/>
      </c>
      <c r="B8924">
        <f>IF(VLOOKUP(Table7[[#This Row],[Date]],Database!$A:$C,MATCH($B$1,Database!$A$1:$C$1,),)=0,#N/A,VLOOKUP(Table7[[#This Row],[Date]],Database!$A:$C,MATCH($B$1,Database!$A$1:$C$1,),))</f>
        <v/>
      </c>
      <c r="C8924">
        <f>IF(VLOOKUP(Table7[[#This Row],[Date]],Database!$A:$C,MATCH($C$1,Database!$A$1:$C$1,),)=0,#N/A,VLOOKUP(Table7[[#This Row],[Date]],Database!$A:$C,MATCH($C$1,Database!$A$1:$C$1,),))</f>
        <v/>
      </c>
      <c r="D8924">
        <f>IFERROR(Table7[[#This Row],[United States 10y]]-Table7[[#This Row],[United States 3y]],#N/A)</f>
        <v/>
      </c>
    </row>
    <row r="8925">
      <c r="A8925" s="6">
        <f>Database!$A11010</f>
        <v/>
      </c>
      <c r="B8925">
        <f>IF(VLOOKUP(Table7[[#This Row],[Date]],Database!$A:$C,MATCH($B$1,Database!$A$1:$C$1,),)=0,#N/A,VLOOKUP(Table7[[#This Row],[Date]],Database!$A:$C,MATCH($B$1,Database!$A$1:$C$1,),))</f>
        <v/>
      </c>
      <c r="C8925">
        <f>IF(VLOOKUP(Table7[[#This Row],[Date]],Database!$A:$C,MATCH($C$1,Database!$A$1:$C$1,),)=0,#N/A,VLOOKUP(Table7[[#This Row],[Date]],Database!$A:$C,MATCH($C$1,Database!$A$1:$C$1,),))</f>
        <v/>
      </c>
      <c r="D8925">
        <f>IFERROR(Table7[[#This Row],[United States 10y]]-Table7[[#This Row],[United States 3y]],#N/A)</f>
        <v/>
      </c>
    </row>
    <row r="8926">
      <c r="A8926" s="6">
        <f>Database!$A11011</f>
        <v/>
      </c>
      <c r="B8926">
        <f>IF(VLOOKUP(Table7[[#This Row],[Date]],Database!$A:$C,MATCH($B$1,Database!$A$1:$C$1,),)=0,#N/A,VLOOKUP(Table7[[#This Row],[Date]],Database!$A:$C,MATCH($B$1,Database!$A$1:$C$1,),))</f>
        <v/>
      </c>
      <c r="C8926">
        <f>IF(VLOOKUP(Table7[[#This Row],[Date]],Database!$A:$C,MATCH($C$1,Database!$A$1:$C$1,),)=0,#N/A,VLOOKUP(Table7[[#This Row],[Date]],Database!$A:$C,MATCH($C$1,Database!$A$1:$C$1,),))</f>
        <v/>
      </c>
      <c r="D8926">
        <f>IFERROR(Table7[[#This Row],[United States 10y]]-Table7[[#This Row],[United States 3y]],#N/A)</f>
        <v/>
      </c>
    </row>
    <row r="8927">
      <c r="A8927" s="6">
        <f>Database!$A11012</f>
        <v/>
      </c>
      <c r="B8927">
        <f>IF(VLOOKUP(Table7[[#This Row],[Date]],Database!$A:$C,MATCH($B$1,Database!$A$1:$C$1,),)=0,#N/A,VLOOKUP(Table7[[#This Row],[Date]],Database!$A:$C,MATCH($B$1,Database!$A$1:$C$1,),))</f>
        <v/>
      </c>
      <c r="C8927">
        <f>IF(VLOOKUP(Table7[[#This Row],[Date]],Database!$A:$C,MATCH($C$1,Database!$A$1:$C$1,),)=0,#N/A,VLOOKUP(Table7[[#This Row],[Date]],Database!$A:$C,MATCH($C$1,Database!$A$1:$C$1,),))</f>
        <v/>
      </c>
      <c r="D8927">
        <f>IFERROR(Table7[[#This Row],[United States 10y]]-Table7[[#This Row],[United States 3y]],#N/A)</f>
        <v/>
      </c>
    </row>
    <row r="8928">
      <c r="A8928" s="6">
        <f>Database!$A11013</f>
        <v/>
      </c>
      <c r="B8928">
        <f>IF(VLOOKUP(Table7[[#This Row],[Date]],Database!$A:$C,MATCH($B$1,Database!$A$1:$C$1,),)=0,#N/A,VLOOKUP(Table7[[#This Row],[Date]],Database!$A:$C,MATCH($B$1,Database!$A$1:$C$1,),))</f>
        <v/>
      </c>
      <c r="C8928">
        <f>IF(VLOOKUP(Table7[[#This Row],[Date]],Database!$A:$C,MATCH($C$1,Database!$A$1:$C$1,),)=0,#N/A,VLOOKUP(Table7[[#This Row],[Date]],Database!$A:$C,MATCH($C$1,Database!$A$1:$C$1,),))</f>
        <v/>
      </c>
      <c r="D8928">
        <f>IFERROR(Table7[[#This Row],[United States 10y]]-Table7[[#This Row],[United States 3y]],#N/A)</f>
        <v/>
      </c>
    </row>
    <row r="8929">
      <c r="A8929" s="6">
        <f>Database!$A11014</f>
        <v/>
      </c>
      <c r="B8929">
        <f>IF(VLOOKUP(Table7[[#This Row],[Date]],Database!$A:$C,MATCH($B$1,Database!$A$1:$C$1,),)=0,#N/A,VLOOKUP(Table7[[#This Row],[Date]],Database!$A:$C,MATCH($B$1,Database!$A$1:$C$1,),))</f>
        <v/>
      </c>
      <c r="C8929">
        <f>IF(VLOOKUP(Table7[[#This Row],[Date]],Database!$A:$C,MATCH($C$1,Database!$A$1:$C$1,),)=0,#N/A,VLOOKUP(Table7[[#This Row],[Date]],Database!$A:$C,MATCH($C$1,Database!$A$1:$C$1,),))</f>
        <v/>
      </c>
      <c r="D8929">
        <f>IFERROR(Table7[[#This Row],[United States 10y]]-Table7[[#This Row],[United States 3y]],#N/A)</f>
        <v/>
      </c>
    </row>
    <row r="8930">
      <c r="A8930" s="6">
        <f>Database!$A11015</f>
        <v/>
      </c>
      <c r="B8930">
        <f>IF(VLOOKUP(Table7[[#This Row],[Date]],Database!$A:$C,MATCH($B$1,Database!$A$1:$C$1,),)=0,#N/A,VLOOKUP(Table7[[#This Row],[Date]],Database!$A:$C,MATCH($B$1,Database!$A$1:$C$1,),))</f>
        <v/>
      </c>
      <c r="C8930">
        <f>IF(VLOOKUP(Table7[[#This Row],[Date]],Database!$A:$C,MATCH($C$1,Database!$A$1:$C$1,),)=0,#N/A,VLOOKUP(Table7[[#This Row],[Date]],Database!$A:$C,MATCH($C$1,Database!$A$1:$C$1,),))</f>
        <v/>
      </c>
      <c r="D8930">
        <f>IFERROR(Table7[[#This Row],[United States 10y]]-Table7[[#This Row],[United States 3y]],#N/A)</f>
        <v/>
      </c>
    </row>
    <row r="8931">
      <c r="A8931" s="6">
        <f>Database!$A11016</f>
        <v/>
      </c>
      <c r="B8931">
        <f>IF(VLOOKUP(Table7[[#This Row],[Date]],Database!$A:$C,MATCH($B$1,Database!$A$1:$C$1,),)=0,#N/A,VLOOKUP(Table7[[#This Row],[Date]],Database!$A:$C,MATCH($B$1,Database!$A$1:$C$1,),))</f>
        <v/>
      </c>
      <c r="C8931">
        <f>IF(VLOOKUP(Table7[[#This Row],[Date]],Database!$A:$C,MATCH($C$1,Database!$A$1:$C$1,),)=0,#N/A,VLOOKUP(Table7[[#This Row],[Date]],Database!$A:$C,MATCH($C$1,Database!$A$1:$C$1,),))</f>
        <v/>
      </c>
      <c r="D8931">
        <f>IFERROR(Table7[[#This Row],[United States 10y]]-Table7[[#This Row],[United States 3y]],#N/A)</f>
        <v/>
      </c>
    </row>
    <row r="8932">
      <c r="A8932" s="6">
        <f>Database!$A11017</f>
        <v/>
      </c>
      <c r="B8932">
        <f>IF(VLOOKUP(Table7[[#This Row],[Date]],Database!$A:$C,MATCH($B$1,Database!$A$1:$C$1,),)=0,#N/A,VLOOKUP(Table7[[#This Row],[Date]],Database!$A:$C,MATCH($B$1,Database!$A$1:$C$1,),))</f>
        <v/>
      </c>
      <c r="C8932">
        <f>IF(VLOOKUP(Table7[[#This Row],[Date]],Database!$A:$C,MATCH($C$1,Database!$A$1:$C$1,),)=0,#N/A,VLOOKUP(Table7[[#This Row],[Date]],Database!$A:$C,MATCH($C$1,Database!$A$1:$C$1,),))</f>
        <v/>
      </c>
      <c r="D8932">
        <f>IFERROR(Table7[[#This Row],[United States 10y]]-Table7[[#This Row],[United States 3y]],#N/A)</f>
        <v/>
      </c>
    </row>
    <row r="8933">
      <c r="A8933" s="6">
        <f>Database!$A11018</f>
        <v/>
      </c>
      <c r="B8933">
        <f>IF(VLOOKUP(Table7[[#This Row],[Date]],Database!$A:$C,MATCH($B$1,Database!$A$1:$C$1,),)=0,#N/A,VLOOKUP(Table7[[#This Row],[Date]],Database!$A:$C,MATCH($B$1,Database!$A$1:$C$1,),))</f>
        <v/>
      </c>
      <c r="C8933">
        <f>IF(VLOOKUP(Table7[[#This Row],[Date]],Database!$A:$C,MATCH($C$1,Database!$A$1:$C$1,),)=0,#N/A,VLOOKUP(Table7[[#This Row],[Date]],Database!$A:$C,MATCH($C$1,Database!$A$1:$C$1,),))</f>
        <v/>
      </c>
      <c r="D8933">
        <f>IFERROR(Table7[[#This Row],[United States 10y]]-Table7[[#This Row],[United States 3y]],#N/A)</f>
        <v/>
      </c>
    </row>
    <row r="8934">
      <c r="A8934" s="6">
        <f>Database!$A11019</f>
        <v/>
      </c>
      <c r="B8934">
        <f>IF(VLOOKUP(Table7[[#This Row],[Date]],Database!$A:$C,MATCH($B$1,Database!$A$1:$C$1,),)=0,#N/A,VLOOKUP(Table7[[#This Row],[Date]],Database!$A:$C,MATCH($B$1,Database!$A$1:$C$1,),))</f>
        <v/>
      </c>
      <c r="C8934">
        <f>IF(VLOOKUP(Table7[[#This Row],[Date]],Database!$A:$C,MATCH($C$1,Database!$A$1:$C$1,),)=0,#N/A,VLOOKUP(Table7[[#This Row],[Date]],Database!$A:$C,MATCH($C$1,Database!$A$1:$C$1,),))</f>
        <v/>
      </c>
      <c r="D8934">
        <f>IFERROR(Table7[[#This Row],[United States 10y]]-Table7[[#This Row],[United States 3y]],#N/A)</f>
        <v/>
      </c>
    </row>
    <row r="8935">
      <c r="A8935" s="6">
        <f>Database!$A11020</f>
        <v/>
      </c>
      <c r="B8935">
        <f>IF(VLOOKUP(Table7[[#This Row],[Date]],Database!$A:$C,MATCH($B$1,Database!$A$1:$C$1,),)=0,#N/A,VLOOKUP(Table7[[#This Row],[Date]],Database!$A:$C,MATCH($B$1,Database!$A$1:$C$1,),))</f>
        <v/>
      </c>
      <c r="C8935">
        <f>IF(VLOOKUP(Table7[[#This Row],[Date]],Database!$A:$C,MATCH($C$1,Database!$A$1:$C$1,),)=0,#N/A,VLOOKUP(Table7[[#This Row],[Date]],Database!$A:$C,MATCH($C$1,Database!$A$1:$C$1,),))</f>
        <v/>
      </c>
      <c r="D8935">
        <f>IFERROR(Table7[[#This Row],[United States 10y]]-Table7[[#This Row],[United States 3y]],#N/A)</f>
        <v/>
      </c>
    </row>
    <row r="8936">
      <c r="A8936" s="6">
        <f>Database!$A11021</f>
        <v/>
      </c>
      <c r="B8936">
        <f>IF(VLOOKUP(Table7[[#This Row],[Date]],Database!$A:$C,MATCH($B$1,Database!$A$1:$C$1,),)=0,#N/A,VLOOKUP(Table7[[#This Row],[Date]],Database!$A:$C,MATCH($B$1,Database!$A$1:$C$1,),))</f>
        <v/>
      </c>
      <c r="C8936">
        <f>IF(VLOOKUP(Table7[[#This Row],[Date]],Database!$A:$C,MATCH($C$1,Database!$A$1:$C$1,),)=0,#N/A,VLOOKUP(Table7[[#This Row],[Date]],Database!$A:$C,MATCH($C$1,Database!$A$1:$C$1,),))</f>
        <v/>
      </c>
      <c r="D8936">
        <f>IFERROR(Table7[[#This Row],[United States 10y]]-Table7[[#This Row],[United States 3y]],#N/A)</f>
        <v/>
      </c>
    </row>
    <row r="8937">
      <c r="A8937" s="6">
        <f>Database!$A11022</f>
        <v/>
      </c>
      <c r="B8937">
        <f>IF(VLOOKUP(Table7[[#This Row],[Date]],Database!$A:$C,MATCH($B$1,Database!$A$1:$C$1,),)=0,#N/A,VLOOKUP(Table7[[#This Row],[Date]],Database!$A:$C,MATCH($B$1,Database!$A$1:$C$1,),))</f>
        <v/>
      </c>
      <c r="C8937">
        <f>IF(VLOOKUP(Table7[[#This Row],[Date]],Database!$A:$C,MATCH($C$1,Database!$A$1:$C$1,),)=0,#N/A,VLOOKUP(Table7[[#This Row],[Date]],Database!$A:$C,MATCH($C$1,Database!$A$1:$C$1,),))</f>
        <v/>
      </c>
      <c r="D8937">
        <f>IFERROR(Table7[[#This Row],[United States 10y]]-Table7[[#This Row],[United States 3y]],#N/A)</f>
        <v/>
      </c>
    </row>
    <row r="8938">
      <c r="A8938" s="6">
        <f>Database!$A11023</f>
        <v/>
      </c>
      <c r="B8938">
        <f>IF(VLOOKUP(Table7[[#This Row],[Date]],Database!$A:$C,MATCH($B$1,Database!$A$1:$C$1,),)=0,#N/A,VLOOKUP(Table7[[#This Row],[Date]],Database!$A:$C,MATCH($B$1,Database!$A$1:$C$1,),))</f>
        <v/>
      </c>
      <c r="C8938">
        <f>IF(VLOOKUP(Table7[[#This Row],[Date]],Database!$A:$C,MATCH($C$1,Database!$A$1:$C$1,),)=0,#N/A,VLOOKUP(Table7[[#This Row],[Date]],Database!$A:$C,MATCH($C$1,Database!$A$1:$C$1,),))</f>
        <v/>
      </c>
      <c r="D8938">
        <f>IFERROR(Table7[[#This Row],[United States 10y]]-Table7[[#This Row],[United States 3y]],#N/A)</f>
        <v/>
      </c>
    </row>
    <row r="8939">
      <c r="A8939" s="6">
        <f>Database!$A11024</f>
        <v/>
      </c>
      <c r="B8939">
        <f>IF(VLOOKUP(Table7[[#This Row],[Date]],Database!$A:$C,MATCH($B$1,Database!$A$1:$C$1,),)=0,#N/A,VLOOKUP(Table7[[#This Row],[Date]],Database!$A:$C,MATCH($B$1,Database!$A$1:$C$1,),))</f>
        <v/>
      </c>
      <c r="C8939">
        <f>IF(VLOOKUP(Table7[[#This Row],[Date]],Database!$A:$C,MATCH($C$1,Database!$A$1:$C$1,),)=0,#N/A,VLOOKUP(Table7[[#This Row],[Date]],Database!$A:$C,MATCH($C$1,Database!$A$1:$C$1,),))</f>
        <v/>
      </c>
      <c r="D8939">
        <f>IFERROR(Table7[[#This Row],[United States 10y]]-Table7[[#This Row],[United States 3y]],#N/A)</f>
        <v/>
      </c>
    </row>
    <row r="8940">
      <c r="A8940" s="6">
        <f>Database!$A11025</f>
        <v/>
      </c>
      <c r="B8940">
        <f>IF(VLOOKUP(Table7[[#This Row],[Date]],Database!$A:$C,MATCH($B$1,Database!$A$1:$C$1,),)=0,#N/A,VLOOKUP(Table7[[#This Row],[Date]],Database!$A:$C,MATCH($B$1,Database!$A$1:$C$1,),))</f>
        <v/>
      </c>
      <c r="C8940">
        <f>IF(VLOOKUP(Table7[[#This Row],[Date]],Database!$A:$C,MATCH($C$1,Database!$A$1:$C$1,),)=0,#N/A,VLOOKUP(Table7[[#This Row],[Date]],Database!$A:$C,MATCH($C$1,Database!$A$1:$C$1,),))</f>
        <v/>
      </c>
      <c r="D8940">
        <f>IFERROR(Table7[[#This Row],[United States 10y]]-Table7[[#This Row],[United States 3y]],#N/A)</f>
        <v/>
      </c>
    </row>
    <row r="8941">
      <c r="A8941" s="6">
        <f>Database!$A11026</f>
        <v/>
      </c>
      <c r="B8941">
        <f>IF(VLOOKUP(Table7[[#This Row],[Date]],Database!$A:$C,MATCH($B$1,Database!$A$1:$C$1,),)=0,#N/A,VLOOKUP(Table7[[#This Row],[Date]],Database!$A:$C,MATCH($B$1,Database!$A$1:$C$1,),))</f>
        <v/>
      </c>
      <c r="C8941">
        <f>IF(VLOOKUP(Table7[[#This Row],[Date]],Database!$A:$C,MATCH($C$1,Database!$A$1:$C$1,),)=0,#N/A,VLOOKUP(Table7[[#This Row],[Date]],Database!$A:$C,MATCH($C$1,Database!$A$1:$C$1,),))</f>
        <v/>
      </c>
      <c r="D8941">
        <f>IFERROR(Table7[[#This Row],[United States 10y]]-Table7[[#This Row],[United States 3y]],#N/A)</f>
        <v/>
      </c>
    </row>
    <row r="8942">
      <c r="A8942" s="6">
        <f>Database!$A11027</f>
        <v/>
      </c>
      <c r="B8942">
        <f>IF(VLOOKUP(Table7[[#This Row],[Date]],Database!$A:$C,MATCH($B$1,Database!$A$1:$C$1,),)=0,#N/A,VLOOKUP(Table7[[#This Row],[Date]],Database!$A:$C,MATCH($B$1,Database!$A$1:$C$1,),))</f>
        <v/>
      </c>
      <c r="C8942">
        <f>IF(VLOOKUP(Table7[[#This Row],[Date]],Database!$A:$C,MATCH($C$1,Database!$A$1:$C$1,),)=0,#N/A,VLOOKUP(Table7[[#This Row],[Date]],Database!$A:$C,MATCH($C$1,Database!$A$1:$C$1,),))</f>
        <v/>
      </c>
      <c r="D8942">
        <f>IFERROR(Table7[[#This Row],[United States 10y]]-Table7[[#This Row],[United States 3y]],#N/A)</f>
        <v/>
      </c>
    </row>
    <row r="8943">
      <c r="A8943" s="6">
        <f>Database!$A11028</f>
        <v/>
      </c>
      <c r="B8943">
        <f>IF(VLOOKUP(Table7[[#This Row],[Date]],Database!$A:$C,MATCH($B$1,Database!$A$1:$C$1,),)=0,#N/A,VLOOKUP(Table7[[#This Row],[Date]],Database!$A:$C,MATCH($B$1,Database!$A$1:$C$1,),))</f>
        <v/>
      </c>
      <c r="C8943">
        <f>IF(VLOOKUP(Table7[[#This Row],[Date]],Database!$A:$C,MATCH($C$1,Database!$A$1:$C$1,),)=0,#N/A,VLOOKUP(Table7[[#This Row],[Date]],Database!$A:$C,MATCH($C$1,Database!$A$1:$C$1,),))</f>
        <v/>
      </c>
      <c r="D8943">
        <f>IFERROR(Table7[[#This Row],[United States 10y]]-Table7[[#This Row],[United States 3y]],#N/A)</f>
        <v/>
      </c>
    </row>
    <row r="8944">
      <c r="A8944" s="6">
        <f>Database!$A11029</f>
        <v/>
      </c>
      <c r="B8944">
        <f>IF(VLOOKUP(Table7[[#This Row],[Date]],Database!$A:$C,MATCH($B$1,Database!$A$1:$C$1,),)=0,#N/A,VLOOKUP(Table7[[#This Row],[Date]],Database!$A:$C,MATCH($B$1,Database!$A$1:$C$1,),))</f>
        <v/>
      </c>
      <c r="C8944">
        <f>IF(VLOOKUP(Table7[[#This Row],[Date]],Database!$A:$C,MATCH($C$1,Database!$A$1:$C$1,),)=0,#N/A,VLOOKUP(Table7[[#This Row],[Date]],Database!$A:$C,MATCH($C$1,Database!$A$1:$C$1,),))</f>
        <v/>
      </c>
      <c r="D8944">
        <f>IFERROR(Table7[[#This Row],[United States 10y]]-Table7[[#This Row],[United States 3y]],#N/A)</f>
        <v/>
      </c>
    </row>
    <row r="8945">
      <c r="A8945" s="6">
        <f>Database!$A11030</f>
        <v/>
      </c>
      <c r="B8945">
        <f>IF(VLOOKUP(Table7[[#This Row],[Date]],Database!$A:$C,MATCH($B$1,Database!$A$1:$C$1,),)=0,#N/A,VLOOKUP(Table7[[#This Row],[Date]],Database!$A:$C,MATCH($B$1,Database!$A$1:$C$1,),))</f>
        <v/>
      </c>
      <c r="C8945">
        <f>IF(VLOOKUP(Table7[[#This Row],[Date]],Database!$A:$C,MATCH($C$1,Database!$A$1:$C$1,),)=0,#N/A,VLOOKUP(Table7[[#This Row],[Date]],Database!$A:$C,MATCH($C$1,Database!$A$1:$C$1,),))</f>
        <v/>
      </c>
      <c r="D8945">
        <f>IFERROR(Table7[[#This Row],[United States 10y]]-Table7[[#This Row],[United States 3y]],#N/A)</f>
        <v/>
      </c>
    </row>
    <row r="8946">
      <c r="A8946" s="6">
        <f>Database!$A11031</f>
        <v/>
      </c>
      <c r="B8946">
        <f>IF(VLOOKUP(Table7[[#This Row],[Date]],Database!$A:$C,MATCH($B$1,Database!$A$1:$C$1,),)=0,#N/A,VLOOKUP(Table7[[#This Row],[Date]],Database!$A:$C,MATCH($B$1,Database!$A$1:$C$1,),))</f>
        <v/>
      </c>
      <c r="C8946">
        <f>IF(VLOOKUP(Table7[[#This Row],[Date]],Database!$A:$C,MATCH($C$1,Database!$A$1:$C$1,),)=0,#N/A,VLOOKUP(Table7[[#This Row],[Date]],Database!$A:$C,MATCH($C$1,Database!$A$1:$C$1,),))</f>
        <v/>
      </c>
      <c r="D8946">
        <f>IFERROR(Table7[[#This Row],[United States 10y]]-Table7[[#This Row],[United States 3y]],#N/A)</f>
        <v/>
      </c>
    </row>
    <row r="8947">
      <c r="A8947" s="6">
        <f>Database!$A11032</f>
        <v/>
      </c>
      <c r="B8947">
        <f>IF(VLOOKUP(Table7[[#This Row],[Date]],Database!$A:$C,MATCH($B$1,Database!$A$1:$C$1,),)=0,#N/A,VLOOKUP(Table7[[#This Row],[Date]],Database!$A:$C,MATCH($B$1,Database!$A$1:$C$1,),))</f>
        <v/>
      </c>
      <c r="C8947">
        <f>IF(VLOOKUP(Table7[[#This Row],[Date]],Database!$A:$C,MATCH($C$1,Database!$A$1:$C$1,),)=0,#N/A,VLOOKUP(Table7[[#This Row],[Date]],Database!$A:$C,MATCH($C$1,Database!$A$1:$C$1,),))</f>
        <v/>
      </c>
      <c r="D8947">
        <f>IFERROR(Table7[[#This Row],[United States 10y]]-Table7[[#This Row],[United States 3y]],#N/A)</f>
        <v/>
      </c>
    </row>
    <row r="8948">
      <c r="A8948" s="6">
        <f>Database!$A11033</f>
        <v/>
      </c>
      <c r="B8948">
        <f>IF(VLOOKUP(Table7[[#This Row],[Date]],Database!$A:$C,MATCH($B$1,Database!$A$1:$C$1,),)=0,#N/A,VLOOKUP(Table7[[#This Row],[Date]],Database!$A:$C,MATCH($B$1,Database!$A$1:$C$1,),))</f>
        <v/>
      </c>
      <c r="C8948">
        <f>IF(VLOOKUP(Table7[[#This Row],[Date]],Database!$A:$C,MATCH($C$1,Database!$A$1:$C$1,),)=0,#N/A,VLOOKUP(Table7[[#This Row],[Date]],Database!$A:$C,MATCH($C$1,Database!$A$1:$C$1,),))</f>
        <v/>
      </c>
      <c r="D8948">
        <f>IFERROR(Table7[[#This Row],[United States 10y]]-Table7[[#This Row],[United States 3y]],#N/A)</f>
        <v/>
      </c>
    </row>
    <row r="8949">
      <c r="A8949" s="6">
        <f>Database!$A11034</f>
        <v/>
      </c>
      <c r="B8949">
        <f>IF(VLOOKUP(Table7[[#This Row],[Date]],Database!$A:$C,MATCH($B$1,Database!$A$1:$C$1,),)=0,#N/A,VLOOKUP(Table7[[#This Row],[Date]],Database!$A:$C,MATCH($B$1,Database!$A$1:$C$1,),))</f>
        <v/>
      </c>
      <c r="C8949">
        <f>IF(VLOOKUP(Table7[[#This Row],[Date]],Database!$A:$C,MATCH($C$1,Database!$A$1:$C$1,),)=0,#N/A,VLOOKUP(Table7[[#This Row],[Date]],Database!$A:$C,MATCH($C$1,Database!$A$1:$C$1,),))</f>
        <v/>
      </c>
      <c r="D8949">
        <f>IFERROR(Table7[[#This Row],[United States 10y]]-Table7[[#This Row],[United States 3y]],#N/A)</f>
        <v/>
      </c>
    </row>
    <row r="8950">
      <c r="A8950" s="6">
        <f>Database!$A11035</f>
        <v/>
      </c>
      <c r="B8950">
        <f>IF(VLOOKUP(Table7[[#This Row],[Date]],Database!$A:$C,MATCH($B$1,Database!$A$1:$C$1,),)=0,#N/A,VLOOKUP(Table7[[#This Row],[Date]],Database!$A:$C,MATCH($B$1,Database!$A$1:$C$1,),))</f>
        <v/>
      </c>
      <c r="C8950">
        <f>IF(VLOOKUP(Table7[[#This Row],[Date]],Database!$A:$C,MATCH($C$1,Database!$A$1:$C$1,),)=0,#N/A,VLOOKUP(Table7[[#This Row],[Date]],Database!$A:$C,MATCH($C$1,Database!$A$1:$C$1,),))</f>
        <v/>
      </c>
      <c r="D8950">
        <f>IFERROR(Table7[[#This Row],[United States 10y]]-Table7[[#This Row],[United States 3y]],#N/A)</f>
        <v/>
      </c>
    </row>
    <row r="8951">
      <c r="A8951" s="6">
        <f>Database!$A11036</f>
        <v/>
      </c>
      <c r="B8951">
        <f>IF(VLOOKUP(Table7[[#This Row],[Date]],Database!$A:$C,MATCH($B$1,Database!$A$1:$C$1,),)=0,#N/A,VLOOKUP(Table7[[#This Row],[Date]],Database!$A:$C,MATCH($B$1,Database!$A$1:$C$1,),))</f>
        <v/>
      </c>
      <c r="C8951">
        <f>IF(VLOOKUP(Table7[[#This Row],[Date]],Database!$A:$C,MATCH($C$1,Database!$A$1:$C$1,),)=0,#N/A,VLOOKUP(Table7[[#This Row],[Date]],Database!$A:$C,MATCH($C$1,Database!$A$1:$C$1,),))</f>
        <v/>
      </c>
      <c r="D8951">
        <f>IFERROR(Table7[[#This Row],[United States 10y]]-Table7[[#This Row],[United States 3y]],#N/A)</f>
        <v/>
      </c>
    </row>
    <row r="8952">
      <c r="A8952" s="6">
        <f>Database!$A11037</f>
        <v/>
      </c>
      <c r="B8952">
        <f>IF(VLOOKUP(Table7[[#This Row],[Date]],Database!$A:$C,MATCH($B$1,Database!$A$1:$C$1,),)=0,#N/A,VLOOKUP(Table7[[#This Row],[Date]],Database!$A:$C,MATCH($B$1,Database!$A$1:$C$1,),))</f>
        <v/>
      </c>
      <c r="C8952">
        <f>IF(VLOOKUP(Table7[[#This Row],[Date]],Database!$A:$C,MATCH($C$1,Database!$A$1:$C$1,),)=0,#N/A,VLOOKUP(Table7[[#This Row],[Date]],Database!$A:$C,MATCH($C$1,Database!$A$1:$C$1,),))</f>
        <v/>
      </c>
      <c r="D8952">
        <f>IFERROR(Table7[[#This Row],[United States 10y]]-Table7[[#This Row],[United States 3y]],#N/A)</f>
        <v/>
      </c>
    </row>
    <row r="8953">
      <c r="A8953" s="6">
        <f>Database!$A11038</f>
        <v/>
      </c>
      <c r="B8953">
        <f>IF(VLOOKUP(Table7[[#This Row],[Date]],Database!$A:$C,MATCH($B$1,Database!$A$1:$C$1,),)=0,#N/A,VLOOKUP(Table7[[#This Row],[Date]],Database!$A:$C,MATCH($B$1,Database!$A$1:$C$1,),))</f>
        <v/>
      </c>
      <c r="C8953">
        <f>IF(VLOOKUP(Table7[[#This Row],[Date]],Database!$A:$C,MATCH($C$1,Database!$A$1:$C$1,),)=0,#N/A,VLOOKUP(Table7[[#This Row],[Date]],Database!$A:$C,MATCH($C$1,Database!$A$1:$C$1,),))</f>
        <v/>
      </c>
      <c r="D8953">
        <f>IFERROR(Table7[[#This Row],[United States 10y]]-Table7[[#This Row],[United States 3y]],#N/A)</f>
        <v/>
      </c>
    </row>
    <row r="8954">
      <c r="A8954" s="6">
        <f>Database!$A11039</f>
        <v/>
      </c>
      <c r="B8954">
        <f>IF(VLOOKUP(Table7[[#This Row],[Date]],Database!$A:$C,MATCH($B$1,Database!$A$1:$C$1,),)=0,#N/A,VLOOKUP(Table7[[#This Row],[Date]],Database!$A:$C,MATCH($B$1,Database!$A$1:$C$1,),))</f>
        <v/>
      </c>
      <c r="C8954">
        <f>IF(VLOOKUP(Table7[[#This Row],[Date]],Database!$A:$C,MATCH($C$1,Database!$A$1:$C$1,),)=0,#N/A,VLOOKUP(Table7[[#This Row],[Date]],Database!$A:$C,MATCH($C$1,Database!$A$1:$C$1,),))</f>
        <v/>
      </c>
      <c r="D8954">
        <f>IFERROR(Table7[[#This Row],[United States 10y]]-Table7[[#This Row],[United States 3y]],#N/A)</f>
        <v/>
      </c>
    </row>
    <row r="8955">
      <c r="A8955" s="6">
        <f>Database!$A11040</f>
        <v/>
      </c>
      <c r="B8955">
        <f>IF(VLOOKUP(Table7[[#This Row],[Date]],Database!$A:$C,MATCH($B$1,Database!$A$1:$C$1,),)=0,#N/A,VLOOKUP(Table7[[#This Row],[Date]],Database!$A:$C,MATCH($B$1,Database!$A$1:$C$1,),))</f>
        <v/>
      </c>
      <c r="C8955">
        <f>IF(VLOOKUP(Table7[[#This Row],[Date]],Database!$A:$C,MATCH($C$1,Database!$A$1:$C$1,),)=0,#N/A,VLOOKUP(Table7[[#This Row],[Date]],Database!$A:$C,MATCH($C$1,Database!$A$1:$C$1,),))</f>
        <v/>
      </c>
      <c r="D8955">
        <f>IFERROR(Table7[[#This Row],[United States 10y]]-Table7[[#This Row],[United States 3y]],#N/A)</f>
        <v/>
      </c>
    </row>
    <row r="8956">
      <c r="A8956" s="6">
        <f>Database!$A11041</f>
        <v/>
      </c>
      <c r="B8956">
        <f>IF(VLOOKUP(Table7[[#This Row],[Date]],Database!$A:$C,MATCH($B$1,Database!$A$1:$C$1,),)=0,#N/A,VLOOKUP(Table7[[#This Row],[Date]],Database!$A:$C,MATCH($B$1,Database!$A$1:$C$1,),))</f>
        <v/>
      </c>
      <c r="C8956">
        <f>IF(VLOOKUP(Table7[[#This Row],[Date]],Database!$A:$C,MATCH($C$1,Database!$A$1:$C$1,),)=0,#N/A,VLOOKUP(Table7[[#This Row],[Date]],Database!$A:$C,MATCH($C$1,Database!$A$1:$C$1,),))</f>
        <v/>
      </c>
      <c r="D8956">
        <f>IFERROR(Table7[[#This Row],[United States 10y]]-Table7[[#This Row],[United States 3y]],#N/A)</f>
        <v/>
      </c>
    </row>
    <row r="8957">
      <c r="A8957" s="6">
        <f>Database!$A11042</f>
        <v/>
      </c>
      <c r="B8957">
        <f>IF(VLOOKUP(Table7[[#This Row],[Date]],Database!$A:$C,MATCH($B$1,Database!$A$1:$C$1,),)=0,#N/A,VLOOKUP(Table7[[#This Row],[Date]],Database!$A:$C,MATCH($B$1,Database!$A$1:$C$1,),))</f>
        <v/>
      </c>
      <c r="C8957">
        <f>IF(VLOOKUP(Table7[[#This Row],[Date]],Database!$A:$C,MATCH($C$1,Database!$A$1:$C$1,),)=0,#N/A,VLOOKUP(Table7[[#This Row],[Date]],Database!$A:$C,MATCH($C$1,Database!$A$1:$C$1,),))</f>
        <v/>
      </c>
      <c r="D8957">
        <f>IFERROR(Table7[[#This Row],[United States 10y]]-Table7[[#This Row],[United States 3y]],#N/A)</f>
        <v/>
      </c>
    </row>
    <row r="8958">
      <c r="A8958" s="6">
        <f>Database!$A11043</f>
        <v/>
      </c>
      <c r="B8958">
        <f>IF(VLOOKUP(Table7[[#This Row],[Date]],Database!$A:$C,MATCH($B$1,Database!$A$1:$C$1,),)=0,#N/A,VLOOKUP(Table7[[#This Row],[Date]],Database!$A:$C,MATCH($B$1,Database!$A$1:$C$1,),))</f>
        <v/>
      </c>
      <c r="C8958">
        <f>IF(VLOOKUP(Table7[[#This Row],[Date]],Database!$A:$C,MATCH($C$1,Database!$A$1:$C$1,),)=0,#N/A,VLOOKUP(Table7[[#This Row],[Date]],Database!$A:$C,MATCH($C$1,Database!$A$1:$C$1,),))</f>
        <v/>
      </c>
      <c r="D8958">
        <f>IFERROR(Table7[[#This Row],[United States 10y]]-Table7[[#This Row],[United States 3y]],#N/A)</f>
        <v/>
      </c>
    </row>
    <row r="8959">
      <c r="A8959" s="6">
        <f>Database!$A11044</f>
        <v/>
      </c>
      <c r="B8959">
        <f>IF(VLOOKUP(Table7[[#This Row],[Date]],Database!$A:$C,MATCH($B$1,Database!$A$1:$C$1,),)=0,#N/A,VLOOKUP(Table7[[#This Row],[Date]],Database!$A:$C,MATCH($B$1,Database!$A$1:$C$1,),))</f>
        <v/>
      </c>
      <c r="C8959">
        <f>IF(VLOOKUP(Table7[[#This Row],[Date]],Database!$A:$C,MATCH($C$1,Database!$A$1:$C$1,),)=0,#N/A,VLOOKUP(Table7[[#This Row],[Date]],Database!$A:$C,MATCH($C$1,Database!$A$1:$C$1,),))</f>
        <v/>
      </c>
      <c r="D8959">
        <f>IFERROR(Table7[[#This Row],[United States 10y]]-Table7[[#This Row],[United States 3y]],#N/A)</f>
        <v/>
      </c>
    </row>
    <row r="8960">
      <c r="A8960" s="6">
        <f>Database!$A11045</f>
        <v/>
      </c>
      <c r="B8960">
        <f>IF(VLOOKUP(Table7[[#This Row],[Date]],Database!$A:$C,MATCH($B$1,Database!$A$1:$C$1,),)=0,#N/A,VLOOKUP(Table7[[#This Row],[Date]],Database!$A:$C,MATCH($B$1,Database!$A$1:$C$1,),))</f>
        <v/>
      </c>
      <c r="C8960">
        <f>IF(VLOOKUP(Table7[[#This Row],[Date]],Database!$A:$C,MATCH($C$1,Database!$A$1:$C$1,),)=0,#N/A,VLOOKUP(Table7[[#This Row],[Date]],Database!$A:$C,MATCH($C$1,Database!$A$1:$C$1,),))</f>
        <v/>
      </c>
      <c r="D8960">
        <f>IFERROR(Table7[[#This Row],[United States 10y]]-Table7[[#This Row],[United States 3y]],#N/A)</f>
        <v/>
      </c>
    </row>
    <row r="8961">
      <c r="A8961" s="6">
        <f>Database!$A11046</f>
        <v/>
      </c>
      <c r="B8961">
        <f>IF(VLOOKUP(Table7[[#This Row],[Date]],Database!$A:$C,MATCH($B$1,Database!$A$1:$C$1,),)=0,#N/A,VLOOKUP(Table7[[#This Row],[Date]],Database!$A:$C,MATCH($B$1,Database!$A$1:$C$1,),))</f>
        <v/>
      </c>
      <c r="C8961">
        <f>IF(VLOOKUP(Table7[[#This Row],[Date]],Database!$A:$C,MATCH($C$1,Database!$A$1:$C$1,),)=0,#N/A,VLOOKUP(Table7[[#This Row],[Date]],Database!$A:$C,MATCH($C$1,Database!$A$1:$C$1,),))</f>
        <v/>
      </c>
      <c r="D8961">
        <f>IFERROR(Table7[[#This Row],[United States 10y]]-Table7[[#This Row],[United States 3y]],#N/A)</f>
        <v/>
      </c>
    </row>
    <row r="8962">
      <c r="A8962" s="6">
        <f>Database!$A11047</f>
        <v/>
      </c>
      <c r="B8962">
        <f>IF(VLOOKUP(Table7[[#This Row],[Date]],Database!$A:$C,MATCH($B$1,Database!$A$1:$C$1,),)=0,#N/A,VLOOKUP(Table7[[#This Row],[Date]],Database!$A:$C,MATCH($B$1,Database!$A$1:$C$1,),))</f>
        <v/>
      </c>
      <c r="C8962">
        <f>IF(VLOOKUP(Table7[[#This Row],[Date]],Database!$A:$C,MATCH($C$1,Database!$A$1:$C$1,),)=0,#N/A,VLOOKUP(Table7[[#This Row],[Date]],Database!$A:$C,MATCH($C$1,Database!$A$1:$C$1,),))</f>
        <v/>
      </c>
      <c r="D8962">
        <f>IFERROR(Table7[[#This Row],[United States 10y]]-Table7[[#This Row],[United States 3y]],#N/A)</f>
        <v/>
      </c>
    </row>
    <row r="8963">
      <c r="A8963" s="6">
        <f>Database!$A11048</f>
        <v/>
      </c>
      <c r="B8963">
        <f>IF(VLOOKUP(Table7[[#This Row],[Date]],Database!$A:$C,MATCH($B$1,Database!$A$1:$C$1,),)=0,#N/A,VLOOKUP(Table7[[#This Row],[Date]],Database!$A:$C,MATCH($B$1,Database!$A$1:$C$1,),))</f>
        <v/>
      </c>
      <c r="C8963">
        <f>IF(VLOOKUP(Table7[[#This Row],[Date]],Database!$A:$C,MATCH($C$1,Database!$A$1:$C$1,),)=0,#N/A,VLOOKUP(Table7[[#This Row],[Date]],Database!$A:$C,MATCH($C$1,Database!$A$1:$C$1,),))</f>
        <v/>
      </c>
      <c r="D8963">
        <f>IFERROR(Table7[[#This Row],[United States 10y]]-Table7[[#This Row],[United States 3y]],#N/A)</f>
        <v/>
      </c>
    </row>
    <row r="8964">
      <c r="A8964" s="6">
        <f>Database!$A11049</f>
        <v/>
      </c>
      <c r="B8964">
        <f>IF(VLOOKUP(Table7[[#This Row],[Date]],Database!$A:$C,MATCH($B$1,Database!$A$1:$C$1,),)=0,#N/A,VLOOKUP(Table7[[#This Row],[Date]],Database!$A:$C,MATCH($B$1,Database!$A$1:$C$1,),))</f>
        <v/>
      </c>
      <c r="C8964">
        <f>IF(VLOOKUP(Table7[[#This Row],[Date]],Database!$A:$C,MATCH($C$1,Database!$A$1:$C$1,),)=0,#N/A,VLOOKUP(Table7[[#This Row],[Date]],Database!$A:$C,MATCH($C$1,Database!$A$1:$C$1,),))</f>
        <v/>
      </c>
      <c r="D8964">
        <f>IFERROR(Table7[[#This Row],[United States 10y]]-Table7[[#This Row],[United States 3y]],#N/A)</f>
        <v/>
      </c>
    </row>
    <row r="8965">
      <c r="A8965" s="6">
        <f>Database!$A11050</f>
        <v/>
      </c>
      <c r="B8965">
        <f>IF(VLOOKUP(Table7[[#This Row],[Date]],Database!$A:$C,MATCH($B$1,Database!$A$1:$C$1,),)=0,#N/A,VLOOKUP(Table7[[#This Row],[Date]],Database!$A:$C,MATCH($B$1,Database!$A$1:$C$1,),))</f>
        <v/>
      </c>
      <c r="C8965">
        <f>IF(VLOOKUP(Table7[[#This Row],[Date]],Database!$A:$C,MATCH($C$1,Database!$A$1:$C$1,),)=0,#N/A,VLOOKUP(Table7[[#This Row],[Date]],Database!$A:$C,MATCH($C$1,Database!$A$1:$C$1,),))</f>
        <v/>
      </c>
      <c r="D8965">
        <f>IFERROR(Table7[[#This Row],[United States 10y]]-Table7[[#This Row],[United States 3y]],#N/A)</f>
        <v/>
      </c>
    </row>
    <row r="8966">
      <c r="A8966" s="6">
        <f>Database!$A11051</f>
        <v/>
      </c>
      <c r="B8966">
        <f>IF(VLOOKUP(Table7[[#This Row],[Date]],Database!$A:$C,MATCH($B$1,Database!$A$1:$C$1,),)=0,#N/A,VLOOKUP(Table7[[#This Row],[Date]],Database!$A:$C,MATCH($B$1,Database!$A$1:$C$1,),))</f>
        <v/>
      </c>
      <c r="C8966">
        <f>IF(VLOOKUP(Table7[[#This Row],[Date]],Database!$A:$C,MATCH($C$1,Database!$A$1:$C$1,),)=0,#N/A,VLOOKUP(Table7[[#This Row],[Date]],Database!$A:$C,MATCH($C$1,Database!$A$1:$C$1,),))</f>
        <v/>
      </c>
      <c r="D8966">
        <f>IFERROR(Table7[[#This Row],[United States 10y]]-Table7[[#This Row],[United States 3y]],#N/A)</f>
        <v/>
      </c>
    </row>
    <row r="8967">
      <c r="A8967" s="6">
        <f>Database!$A11052</f>
        <v/>
      </c>
      <c r="B8967">
        <f>IF(VLOOKUP(Table7[[#This Row],[Date]],Database!$A:$C,MATCH($B$1,Database!$A$1:$C$1,),)=0,#N/A,VLOOKUP(Table7[[#This Row],[Date]],Database!$A:$C,MATCH($B$1,Database!$A$1:$C$1,),))</f>
        <v/>
      </c>
      <c r="C8967">
        <f>IF(VLOOKUP(Table7[[#This Row],[Date]],Database!$A:$C,MATCH($C$1,Database!$A$1:$C$1,),)=0,#N/A,VLOOKUP(Table7[[#This Row],[Date]],Database!$A:$C,MATCH($C$1,Database!$A$1:$C$1,),))</f>
        <v/>
      </c>
      <c r="D8967">
        <f>IFERROR(Table7[[#This Row],[United States 10y]]-Table7[[#This Row],[United States 3y]],#N/A)</f>
        <v/>
      </c>
    </row>
    <row r="8968">
      <c r="A8968" s="6">
        <f>Database!$A11053</f>
        <v/>
      </c>
      <c r="B8968">
        <f>IF(VLOOKUP(Table7[[#This Row],[Date]],Database!$A:$C,MATCH($B$1,Database!$A$1:$C$1,),)=0,#N/A,VLOOKUP(Table7[[#This Row],[Date]],Database!$A:$C,MATCH($B$1,Database!$A$1:$C$1,),))</f>
        <v/>
      </c>
      <c r="C8968">
        <f>IF(VLOOKUP(Table7[[#This Row],[Date]],Database!$A:$C,MATCH($C$1,Database!$A$1:$C$1,),)=0,#N/A,VLOOKUP(Table7[[#This Row],[Date]],Database!$A:$C,MATCH($C$1,Database!$A$1:$C$1,),))</f>
        <v/>
      </c>
      <c r="D8968">
        <f>IFERROR(Table7[[#This Row],[United States 10y]]-Table7[[#This Row],[United States 3y]],#N/A)</f>
        <v/>
      </c>
    </row>
    <row r="8969">
      <c r="A8969" s="6">
        <f>Database!$A11054</f>
        <v/>
      </c>
      <c r="B8969">
        <f>IF(VLOOKUP(Table7[[#This Row],[Date]],Database!$A:$C,MATCH($B$1,Database!$A$1:$C$1,),)=0,#N/A,VLOOKUP(Table7[[#This Row],[Date]],Database!$A:$C,MATCH($B$1,Database!$A$1:$C$1,),))</f>
        <v/>
      </c>
      <c r="C8969">
        <f>IF(VLOOKUP(Table7[[#This Row],[Date]],Database!$A:$C,MATCH($C$1,Database!$A$1:$C$1,),)=0,#N/A,VLOOKUP(Table7[[#This Row],[Date]],Database!$A:$C,MATCH($C$1,Database!$A$1:$C$1,),))</f>
        <v/>
      </c>
      <c r="D8969">
        <f>IFERROR(Table7[[#This Row],[United States 10y]]-Table7[[#This Row],[United States 3y]],#N/A)</f>
        <v/>
      </c>
    </row>
    <row r="8970">
      <c r="A8970" s="6">
        <f>Database!$A11055</f>
        <v/>
      </c>
      <c r="B8970">
        <f>IF(VLOOKUP(Table7[[#This Row],[Date]],Database!$A:$C,MATCH($B$1,Database!$A$1:$C$1,),)=0,#N/A,VLOOKUP(Table7[[#This Row],[Date]],Database!$A:$C,MATCH($B$1,Database!$A$1:$C$1,),))</f>
        <v/>
      </c>
      <c r="C8970">
        <f>IF(VLOOKUP(Table7[[#This Row],[Date]],Database!$A:$C,MATCH($C$1,Database!$A$1:$C$1,),)=0,#N/A,VLOOKUP(Table7[[#This Row],[Date]],Database!$A:$C,MATCH($C$1,Database!$A$1:$C$1,),))</f>
        <v/>
      </c>
      <c r="D8970">
        <f>IFERROR(Table7[[#This Row],[United States 10y]]-Table7[[#This Row],[United States 3y]],#N/A)</f>
        <v/>
      </c>
    </row>
    <row r="8971">
      <c r="A8971" s="6">
        <f>Database!$A11056</f>
        <v/>
      </c>
      <c r="B8971">
        <f>IF(VLOOKUP(Table7[[#This Row],[Date]],Database!$A:$C,MATCH($B$1,Database!$A$1:$C$1,),)=0,#N/A,VLOOKUP(Table7[[#This Row],[Date]],Database!$A:$C,MATCH($B$1,Database!$A$1:$C$1,),))</f>
        <v/>
      </c>
      <c r="C8971">
        <f>IF(VLOOKUP(Table7[[#This Row],[Date]],Database!$A:$C,MATCH($C$1,Database!$A$1:$C$1,),)=0,#N/A,VLOOKUP(Table7[[#This Row],[Date]],Database!$A:$C,MATCH($C$1,Database!$A$1:$C$1,),))</f>
        <v/>
      </c>
      <c r="D8971">
        <f>IFERROR(Table7[[#This Row],[United States 10y]]-Table7[[#This Row],[United States 3y]],#N/A)</f>
        <v/>
      </c>
    </row>
    <row r="8972">
      <c r="A8972" s="6">
        <f>Database!$A11057</f>
        <v/>
      </c>
      <c r="B8972">
        <f>IF(VLOOKUP(Table7[[#This Row],[Date]],Database!$A:$C,MATCH($B$1,Database!$A$1:$C$1,),)=0,#N/A,VLOOKUP(Table7[[#This Row],[Date]],Database!$A:$C,MATCH($B$1,Database!$A$1:$C$1,),))</f>
        <v/>
      </c>
      <c r="C8972">
        <f>IF(VLOOKUP(Table7[[#This Row],[Date]],Database!$A:$C,MATCH($C$1,Database!$A$1:$C$1,),)=0,#N/A,VLOOKUP(Table7[[#This Row],[Date]],Database!$A:$C,MATCH($C$1,Database!$A$1:$C$1,),))</f>
        <v/>
      </c>
      <c r="D8972">
        <f>IFERROR(Table7[[#This Row],[United States 10y]]-Table7[[#This Row],[United States 3y]],#N/A)</f>
        <v/>
      </c>
    </row>
    <row r="8973">
      <c r="A8973" s="6">
        <f>Database!$A11058</f>
        <v/>
      </c>
      <c r="B8973">
        <f>IF(VLOOKUP(Table7[[#This Row],[Date]],Database!$A:$C,MATCH($B$1,Database!$A$1:$C$1,),)=0,#N/A,VLOOKUP(Table7[[#This Row],[Date]],Database!$A:$C,MATCH($B$1,Database!$A$1:$C$1,),))</f>
        <v/>
      </c>
      <c r="C8973">
        <f>IF(VLOOKUP(Table7[[#This Row],[Date]],Database!$A:$C,MATCH($C$1,Database!$A$1:$C$1,),)=0,#N/A,VLOOKUP(Table7[[#This Row],[Date]],Database!$A:$C,MATCH($C$1,Database!$A$1:$C$1,),))</f>
        <v/>
      </c>
      <c r="D8973">
        <f>IFERROR(Table7[[#This Row],[United States 10y]]-Table7[[#This Row],[United States 3y]],#N/A)</f>
        <v/>
      </c>
    </row>
    <row r="8974">
      <c r="A8974" s="6">
        <f>Database!$A11059</f>
        <v/>
      </c>
      <c r="B8974">
        <f>IF(VLOOKUP(Table7[[#This Row],[Date]],Database!$A:$C,MATCH($B$1,Database!$A$1:$C$1,),)=0,#N/A,VLOOKUP(Table7[[#This Row],[Date]],Database!$A:$C,MATCH($B$1,Database!$A$1:$C$1,),))</f>
        <v/>
      </c>
      <c r="C8974">
        <f>IF(VLOOKUP(Table7[[#This Row],[Date]],Database!$A:$C,MATCH($C$1,Database!$A$1:$C$1,),)=0,#N/A,VLOOKUP(Table7[[#This Row],[Date]],Database!$A:$C,MATCH($C$1,Database!$A$1:$C$1,),))</f>
        <v/>
      </c>
      <c r="D8974">
        <f>IFERROR(Table7[[#This Row],[United States 10y]]-Table7[[#This Row],[United States 3y]],#N/A)</f>
        <v/>
      </c>
    </row>
    <row r="8975">
      <c r="A8975" s="6">
        <f>Database!$A11060</f>
        <v/>
      </c>
      <c r="B8975">
        <f>IF(VLOOKUP(Table7[[#This Row],[Date]],Database!$A:$C,MATCH($B$1,Database!$A$1:$C$1,),)=0,#N/A,VLOOKUP(Table7[[#This Row],[Date]],Database!$A:$C,MATCH($B$1,Database!$A$1:$C$1,),))</f>
        <v/>
      </c>
      <c r="C8975">
        <f>IF(VLOOKUP(Table7[[#This Row],[Date]],Database!$A:$C,MATCH($C$1,Database!$A$1:$C$1,),)=0,#N/A,VLOOKUP(Table7[[#This Row],[Date]],Database!$A:$C,MATCH($C$1,Database!$A$1:$C$1,),))</f>
        <v/>
      </c>
      <c r="D8975">
        <f>IFERROR(Table7[[#This Row],[United States 10y]]-Table7[[#This Row],[United States 3y]],#N/A)</f>
        <v/>
      </c>
    </row>
    <row r="8976">
      <c r="A8976" s="6">
        <f>Database!$A11061</f>
        <v/>
      </c>
      <c r="B8976">
        <f>IF(VLOOKUP(Table7[[#This Row],[Date]],Database!$A:$C,MATCH($B$1,Database!$A$1:$C$1,),)=0,#N/A,VLOOKUP(Table7[[#This Row],[Date]],Database!$A:$C,MATCH($B$1,Database!$A$1:$C$1,),))</f>
        <v/>
      </c>
      <c r="C8976">
        <f>IF(VLOOKUP(Table7[[#This Row],[Date]],Database!$A:$C,MATCH($C$1,Database!$A$1:$C$1,),)=0,#N/A,VLOOKUP(Table7[[#This Row],[Date]],Database!$A:$C,MATCH($C$1,Database!$A$1:$C$1,),))</f>
        <v/>
      </c>
      <c r="D8976">
        <f>IFERROR(Table7[[#This Row],[United States 10y]]-Table7[[#This Row],[United States 3y]],#N/A)</f>
        <v/>
      </c>
    </row>
    <row r="8977">
      <c r="A8977" s="6">
        <f>Database!$A11062</f>
        <v/>
      </c>
      <c r="B8977">
        <f>IF(VLOOKUP(Table7[[#This Row],[Date]],Database!$A:$C,MATCH($B$1,Database!$A$1:$C$1,),)=0,#N/A,VLOOKUP(Table7[[#This Row],[Date]],Database!$A:$C,MATCH($B$1,Database!$A$1:$C$1,),))</f>
        <v/>
      </c>
      <c r="C8977">
        <f>IF(VLOOKUP(Table7[[#This Row],[Date]],Database!$A:$C,MATCH($C$1,Database!$A$1:$C$1,),)=0,#N/A,VLOOKUP(Table7[[#This Row],[Date]],Database!$A:$C,MATCH($C$1,Database!$A$1:$C$1,),))</f>
        <v/>
      </c>
      <c r="D8977">
        <f>IFERROR(Table7[[#This Row],[United States 10y]]-Table7[[#This Row],[United States 3y]],#N/A)</f>
        <v/>
      </c>
    </row>
    <row r="8978">
      <c r="A8978" s="6">
        <f>Database!$A11063</f>
        <v/>
      </c>
      <c r="B8978">
        <f>IF(VLOOKUP(Table7[[#This Row],[Date]],Database!$A:$C,MATCH($B$1,Database!$A$1:$C$1,),)=0,#N/A,VLOOKUP(Table7[[#This Row],[Date]],Database!$A:$C,MATCH($B$1,Database!$A$1:$C$1,),))</f>
        <v/>
      </c>
      <c r="C8978">
        <f>IF(VLOOKUP(Table7[[#This Row],[Date]],Database!$A:$C,MATCH($C$1,Database!$A$1:$C$1,),)=0,#N/A,VLOOKUP(Table7[[#This Row],[Date]],Database!$A:$C,MATCH($C$1,Database!$A$1:$C$1,),))</f>
        <v/>
      </c>
      <c r="D8978">
        <f>IFERROR(Table7[[#This Row],[United States 10y]]-Table7[[#This Row],[United States 3y]],#N/A)</f>
        <v/>
      </c>
    </row>
    <row r="8979">
      <c r="A8979" s="6">
        <f>Database!$A11064</f>
        <v/>
      </c>
      <c r="B8979">
        <f>IF(VLOOKUP(Table7[[#This Row],[Date]],Database!$A:$C,MATCH($B$1,Database!$A$1:$C$1,),)=0,#N/A,VLOOKUP(Table7[[#This Row],[Date]],Database!$A:$C,MATCH($B$1,Database!$A$1:$C$1,),))</f>
        <v/>
      </c>
      <c r="C8979">
        <f>IF(VLOOKUP(Table7[[#This Row],[Date]],Database!$A:$C,MATCH($C$1,Database!$A$1:$C$1,),)=0,#N/A,VLOOKUP(Table7[[#This Row],[Date]],Database!$A:$C,MATCH($C$1,Database!$A$1:$C$1,),))</f>
        <v/>
      </c>
      <c r="D8979">
        <f>IFERROR(Table7[[#This Row],[United States 10y]]-Table7[[#This Row],[United States 3y]],#N/A)</f>
        <v/>
      </c>
    </row>
    <row r="8980">
      <c r="A8980" s="6">
        <f>Database!$A11065</f>
        <v/>
      </c>
      <c r="B8980">
        <f>IF(VLOOKUP(Table7[[#This Row],[Date]],Database!$A:$C,MATCH($B$1,Database!$A$1:$C$1,),)=0,#N/A,VLOOKUP(Table7[[#This Row],[Date]],Database!$A:$C,MATCH($B$1,Database!$A$1:$C$1,),))</f>
        <v/>
      </c>
      <c r="C8980">
        <f>IF(VLOOKUP(Table7[[#This Row],[Date]],Database!$A:$C,MATCH($C$1,Database!$A$1:$C$1,),)=0,#N/A,VLOOKUP(Table7[[#This Row],[Date]],Database!$A:$C,MATCH($C$1,Database!$A$1:$C$1,),))</f>
        <v/>
      </c>
      <c r="D8980">
        <f>IFERROR(Table7[[#This Row],[United States 10y]]-Table7[[#This Row],[United States 3y]],#N/A)</f>
        <v/>
      </c>
    </row>
    <row r="8981">
      <c r="A8981" s="6">
        <f>Database!$A11066</f>
        <v/>
      </c>
      <c r="B8981">
        <f>IF(VLOOKUP(Table7[[#This Row],[Date]],Database!$A:$C,MATCH($B$1,Database!$A$1:$C$1,),)=0,#N/A,VLOOKUP(Table7[[#This Row],[Date]],Database!$A:$C,MATCH($B$1,Database!$A$1:$C$1,),))</f>
        <v/>
      </c>
      <c r="C8981">
        <f>IF(VLOOKUP(Table7[[#This Row],[Date]],Database!$A:$C,MATCH($C$1,Database!$A$1:$C$1,),)=0,#N/A,VLOOKUP(Table7[[#This Row],[Date]],Database!$A:$C,MATCH($C$1,Database!$A$1:$C$1,),))</f>
        <v/>
      </c>
      <c r="D8981">
        <f>IFERROR(Table7[[#This Row],[United States 10y]]-Table7[[#This Row],[United States 3y]],#N/A)</f>
        <v/>
      </c>
    </row>
    <row r="8982">
      <c r="A8982" s="6">
        <f>Database!$A11067</f>
        <v/>
      </c>
      <c r="B8982">
        <f>IF(VLOOKUP(Table7[[#This Row],[Date]],Database!$A:$C,MATCH($B$1,Database!$A$1:$C$1,),)=0,#N/A,VLOOKUP(Table7[[#This Row],[Date]],Database!$A:$C,MATCH($B$1,Database!$A$1:$C$1,),))</f>
        <v/>
      </c>
      <c r="C8982">
        <f>IF(VLOOKUP(Table7[[#This Row],[Date]],Database!$A:$C,MATCH($C$1,Database!$A$1:$C$1,),)=0,#N/A,VLOOKUP(Table7[[#This Row],[Date]],Database!$A:$C,MATCH($C$1,Database!$A$1:$C$1,),))</f>
        <v/>
      </c>
      <c r="D8982">
        <f>IFERROR(Table7[[#This Row],[United States 10y]]-Table7[[#This Row],[United States 3y]],#N/A)</f>
        <v/>
      </c>
    </row>
    <row r="8983">
      <c r="A8983" s="6">
        <f>Database!$A11068</f>
        <v/>
      </c>
      <c r="B8983">
        <f>IF(VLOOKUP(Table7[[#This Row],[Date]],Database!$A:$C,MATCH($B$1,Database!$A$1:$C$1,),)=0,#N/A,VLOOKUP(Table7[[#This Row],[Date]],Database!$A:$C,MATCH($B$1,Database!$A$1:$C$1,),))</f>
        <v/>
      </c>
      <c r="C8983">
        <f>IF(VLOOKUP(Table7[[#This Row],[Date]],Database!$A:$C,MATCH($C$1,Database!$A$1:$C$1,),)=0,#N/A,VLOOKUP(Table7[[#This Row],[Date]],Database!$A:$C,MATCH($C$1,Database!$A$1:$C$1,),))</f>
        <v/>
      </c>
      <c r="D8983">
        <f>IFERROR(Table7[[#This Row],[United States 10y]]-Table7[[#This Row],[United States 3y]],#N/A)</f>
        <v/>
      </c>
    </row>
    <row r="8984">
      <c r="A8984" s="6">
        <f>Database!$A11069</f>
        <v/>
      </c>
      <c r="B8984">
        <f>IF(VLOOKUP(Table7[[#This Row],[Date]],Database!$A:$C,MATCH($B$1,Database!$A$1:$C$1,),)=0,#N/A,VLOOKUP(Table7[[#This Row],[Date]],Database!$A:$C,MATCH($B$1,Database!$A$1:$C$1,),))</f>
        <v/>
      </c>
      <c r="C8984">
        <f>IF(VLOOKUP(Table7[[#This Row],[Date]],Database!$A:$C,MATCH($C$1,Database!$A$1:$C$1,),)=0,#N/A,VLOOKUP(Table7[[#This Row],[Date]],Database!$A:$C,MATCH($C$1,Database!$A$1:$C$1,),))</f>
        <v/>
      </c>
      <c r="D8984">
        <f>IFERROR(Table7[[#This Row],[United States 10y]]-Table7[[#This Row],[United States 3y]],#N/A)</f>
        <v/>
      </c>
    </row>
    <row r="8985">
      <c r="A8985" s="6">
        <f>Database!$A11070</f>
        <v/>
      </c>
      <c r="B8985">
        <f>IF(VLOOKUP(Table7[[#This Row],[Date]],Database!$A:$C,MATCH($B$1,Database!$A$1:$C$1,),)=0,#N/A,VLOOKUP(Table7[[#This Row],[Date]],Database!$A:$C,MATCH($B$1,Database!$A$1:$C$1,),))</f>
        <v/>
      </c>
      <c r="C8985">
        <f>IF(VLOOKUP(Table7[[#This Row],[Date]],Database!$A:$C,MATCH($C$1,Database!$A$1:$C$1,),)=0,#N/A,VLOOKUP(Table7[[#This Row],[Date]],Database!$A:$C,MATCH($C$1,Database!$A$1:$C$1,),))</f>
        <v/>
      </c>
      <c r="D8985">
        <f>IFERROR(Table7[[#This Row],[United States 10y]]-Table7[[#This Row],[United States 3y]],#N/A)</f>
        <v/>
      </c>
    </row>
    <row r="8986">
      <c r="A8986" s="6">
        <f>Database!$A11071</f>
        <v/>
      </c>
      <c r="B8986">
        <f>IF(VLOOKUP(Table7[[#This Row],[Date]],Database!$A:$C,MATCH($B$1,Database!$A$1:$C$1,),)=0,#N/A,VLOOKUP(Table7[[#This Row],[Date]],Database!$A:$C,MATCH($B$1,Database!$A$1:$C$1,),))</f>
        <v/>
      </c>
      <c r="C8986">
        <f>IF(VLOOKUP(Table7[[#This Row],[Date]],Database!$A:$C,MATCH($C$1,Database!$A$1:$C$1,),)=0,#N/A,VLOOKUP(Table7[[#This Row],[Date]],Database!$A:$C,MATCH($C$1,Database!$A$1:$C$1,),))</f>
        <v/>
      </c>
      <c r="D8986">
        <f>IFERROR(Table7[[#This Row],[United States 10y]]-Table7[[#This Row],[United States 3y]],#N/A)</f>
        <v/>
      </c>
    </row>
    <row r="8987">
      <c r="A8987" s="6">
        <f>Database!$A11072</f>
        <v/>
      </c>
      <c r="B8987">
        <f>IF(VLOOKUP(Table7[[#This Row],[Date]],Database!$A:$C,MATCH($B$1,Database!$A$1:$C$1,),)=0,#N/A,VLOOKUP(Table7[[#This Row],[Date]],Database!$A:$C,MATCH($B$1,Database!$A$1:$C$1,),))</f>
        <v/>
      </c>
      <c r="C8987">
        <f>IF(VLOOKUP(Table7[[#This Row],[Date]],Database!$A:$C,MATCH($C$1,Database!$A$1:$C$1,),)=0,#N/A,VLOOKUP(Table7[[#This Row],[Date]],Database!$A:$C,MATCH($C$1,Database!$A$1:$C$1,),))</f>
        <v/>
      </c>
      <c r="D8987">
        <f>IFERROR(Table7[[#This Row],[United States 10y]]-Table7[[#This Row],[United States 3y]],#N/A)</f>
        <v/>
      </c>
    </row>
    <row r="8988">
      <c r="A8988" s="6">
        <f>Database!$A11073</f>
        <v/>
      </c>
      <c r="B8988">
        <f>IF(VLOOKUP(Table7[[#This Row],[Date]],Database!$A:$C,MATCH($B$1,Database!$A$1:$C$1,),)=0,#N/A,VLOOKUP(Table7[[#This Row],[Date]],Database!$A:$C,MATCH($B$1,Database!$A$1:$C$1,),))</f>
        <v/>
      </c>
      <c r="C8988">
        <f>IF(VLOOKUP(Table7[[#This Row],[Date]],Database!$A:$C,MATCH($C$1,Database!$A$1:$C$1,),)=0,#N/A,VLOOKUP(Table7[[#This Row],[Date]],Database!$A:$C,MATCH($C$1,Database!$A$1:$C$1,),))</f>
        <v/>
      </c>
      <c r="D8988">
        <f>IFERROR(Table7[[#This Row],[United States 10y]]-Table7[[#This Row],[United States 3y]],#N/A)</f>
        <v/>
      </c>
    </row>
    <row r="8989">
      <c r="A8989" s="6">
        <f>Database!$A11074</f>
        <v/>
      </c>
      <c r="B8989">
        <f>IF(VLOOKUP(Table7[[#This Row],[Date]],Database!$A:$C,MATCH($B$1,Database!$A$1:$C$1,),)=0,#N/A,VLOOKUP(Table7[[#This Row],[Date]],Database!$A:$C,MATCH($B$1,Database!$A$1:$C$1,),))</f>
        <v/>
      </c>
      <c r="C8989">
        <f>IF(VLOOKUP(Table7[[#This Row],[Date]],Database!$A:$C,MATCH($C$1,Database!$A$1:$C$1,),)=0,#N/A,VLOOKUP(Table7[[#This Row],[Date]],Database!$A:$C,MATCH($C$1,Database!$A$1:$C$1,),))</f>
        <v/>
      </c>
      <c r="D8989">
        <f>IFERROR(Table7[[#This Row],[United States 10y]]-Table7[[#This Row],[United States 3y]],#N/A)</f>
        <v/>
      </c>
    </row>
    <row r="8990">
      <c r="A8990" s="6">
        <f>Database!$A11075</f>
        <v/>
      </c>
      <c r="B8990">
        <f>IF(VLOOKUP(Table7[[#This Row],[Date]],Database!$A:$C,MATCH($B$1,Database!$A$1:$C$1,),)=0,#N/A,VLOOKUP(Table7[[#This Row],[Date]],Database!$A:$C,MATCH($B$1,Database!$A$1:$C$1,),))</f>
        <v/>
      </c>
      <c r="C8990">
        <f>IF(VLOOKUP(Table7[[#This Row],[Date]],Database!$A:$C,MATCH($C$1,Database!$A$1:$C$1,),)=0,#N/A,VLOOKUP(Table7[[#This Row],[Date]],Database!$A:$C,MATCH($C$1,Database!$A$1:$C$1,),))</f>
        <v/>
      </c>
      <c r="D8990">
        <f>IFERROR(Table7[[#This Row],[United States 10y]]-Table7[[#This Row],[United States 3y]],#N/A)</f>
        <v/>
      </c>
    </row>
    <row r="8991">
      <c r="A8991" s="6">
        <f>Database!$A11076</f>
        <v/>
      </c>
      <c r="B8991">
        <f>IF(VLOOKUP(Table7[[#This Row],[Date]],Database!$A:$C,MATCH($B$1,Database!$A$1:$C$1,),)=0,#N/A,VLOOKUP(Table7[[#This Row],[Date]],Database!$A:$C,MATCH($B$1,Database!$A$1:$C$1,),))</f>
        <v/>
      </c>
      <c r="C8991">
        <f>IF(VLOOKUP(Table7[[#This Row],[Date]],Database!$A:$C,MATCH($C$1,Database!$A$1:$C$1,),)=0,#N/A,VLOOKUP(Table7[[#This Row],[Date]],Database!$A:$C,MATCH($C$1,Database!$A$1:$C$1,),))</f>
        <v/>
      </c>
      <c r="D8991">
        <f>IFERROR(Table7[[#This Row],[United States 10y]]-Table7[[#This Row],[United States 3y]],#N/A)</f>
        <v/>
      </c>
    </row>
    <row r="8992">
      <c r="A8992" s="6">
        <f>Database!$A11077</f>
        <v/>
      </c>
      <c r="B8992">
        <f>IF(VLOOKUP(Table7[[#This Row],[Date]],Database!$A:$C,MATCH($B$1,Database!$A$1:$C$1,),)=0,#N/A,VLOOKUP(Table7[[#This Row],[Date]],Database!$A:$C,MATCH($B$1,Database!$A$1:$C$1,),))</f>
        <v/>
      </c>
      <c r="C8992">
        <f>IF(VLOOKUP(Table7[[#This Row],[Date]],Database!$A:$C,MATCH($C$1,Database!$A$1:$C$1,),)=0,#N/A,VLOOKUP(Table7[[#This Row],[Date]],Database!$A:$C,MATCH($C$1,Database!$A$1:$C$1,),))</f>
        <v/>
      </c>
      <c r="D8992">
        <f>IFERROR(Table7[[#This Row],[United States 10y]]-Table7[[#This Row],[United States 3y]],#N/A)</f>
        <v/>
      </c>
    </row>
    <row r="8993">
      <c r="A8993" s="6">
        <f>Database!$A11078</f>
        <v/>
      </c>
      <c r="B8993">
        <f>IF(VLOOKUP(Table7[[#This Row],[Date]],Database!$A:$C,MATCH($B$1,Database!$A$1:$C$1,),)=0,#N/A,VLOOKUP(Table7[[#This Row],[Date]],Database!$A:$C,MATCH($B$1,Database!$A$1:$C$1,),))</f>
        <v/>
      </c>
      <c r="C8993">
        <f>IF(VLOOKUP(Table7[[#This Row],[Date]],Database!$A:$C,MATCH($C$1,Database!$A$1:$C$1,),)=0,#N/A,VLOOKUP(Table7[[#This Row],[Date]],Database!$A:$C,MATCH($C$1,Database!$A$1:$C$1,),))</f>
        <v/>
      </c>
      <c r="D8993">
        <f>IFERROR(Table7[[#This Row],[United States 10y]]-Table7[[#This Row],[United States 3y]],#N/A)</f>
        <v/>
      </c>
    </row>
    <row r="8994">
      <c r="A8994" s="6">
        <f>Database!$A11079</f>
        <v/>
      </c>
      <c r="B8994">
        <f>IF(VLOOKUP(Table7[[#This Row],[Date]],Database!$A:$C,MATCH($B$1,Database!$A$1:$C$1,),)=0,#N/A,VLOOKUP(Table7[[#This Row],[Date]],Database!$A:$C,MATCH($B$1,Database!$A$1:$C$1,),))</f>
        <v/>
      </c>
      <c r="C8994">
        <f>IF(VLOOKUP(Table7[[#This Row],[Date]],Database!$A:$C,MATCH($C$1,Database!$A$1:$C$1,),)=0,#N/A,VLOOKUP(Table7[[#This Row],[Date]],Database!$A:$C,MATCH($C$1,Database!$A$1:$C$1,),))</f>
        <v/>
      </c>
      <c r="D8994">
        <f>IFERROR(Table7[[#This Row],[United States 10y]]-Table7[[#This Row],[United States 3y]],#N/A)</f>
        <v/>
      </c>
    </row>
    <row r="8995">
      <c r="A8995" s="6">
        <f>Database!$A11080</f>
        <v/>
      </c>
      <c r="B8995">
        <f>IF(VLOOKUP(Table7[[#This Row],[Date]],Database!$A:$C,MATCH($B$1,Database!$A$1:$C$1,),)=0,#N/A,VLOOKUP(Table7[[#This Row],[Date]],Database!$A:$C,MATCH($B$1,Database!$A$1:$C$1,),))</f>
        <v/>
      </c>
      <c r="C8995">
        <f>IF(VLOOKUP(Table7[[#This Row],[Date]],Database!$A:$C,MATCH($C$1,Database!$A$1:$C$1,),)=0,#N/A,VLOOKUP(Table7[[#This Row],[Date]],Database!$A:$C,MATCH($C$1,Database!$A$1:$C$1,),))</f>
        <v/>
      </c>
      <c r="D8995">
        <f>IFERROR(Table7[[#This Row],[United States 10y]]-Table7[[#This Row],[United States 3y]],#N/A)</f>
        <v/>
      </c>
    </row>
    <row r="8996">
      <c r="A8996" s="6">
        <f>Database!$A11081</f>
        <v/>
      </c>
      <c r="B8996">
        <f>IF(VLOOKUP(Table7[[#This Row],[Date]],Database!$A:$C,MATCH($B$1,Database!$A$1:$C$1,),)=0,#N/A,VLOOKUP(Table7[[#This Row],[Date]],Database!$A:$C,MATCH($B$1,Database!$A$1:$C$1,),))</f>
        <v/>
      </c>
      <c r="C8996">
        <f>IF(VLOOKUP(Table7[[#This Row],[Date]],Database!$A:$C,MATCH($C$1,Database!$A$1:$C$1,),)=0,#N/A,VLOOKUP(Table7[[#This Row],[Date]],Database!$A:$C,MATCH($C$1,Database!$A$1:$C$1,),))</f>
        <v/>
      </c>
      <c r="D8996">
        <f>IFERROR(Table7[[#This Row],[United States 10y]]-Table7[[#This Row],[United States 3y]],#N/A)</f>
        <v/>
      </c>
    </row>
    <row r="8997">
      <c r="A8997" s="6">
        <f>Database!$A11082</f>
        <v/>
      </c>
      <c r="B8997">
        <f>IF(VLOOKUP(Table7[[#This Row],[Date]],Database!$A:$C,MATCH($B$1,Database!$A$1:$C$1,),)=0,#N/A,VLOOKUP(Table7[[#This Row],[Date]],Database!$A:$C,MATCH($B$1,Database!$A$1:$C$1,),))</f>
        <v/>
      </c>
      <c r="C8997">
        <f>IF(VLOOKUP(Table7[[#This Row],[Date]],Database!$A:$C,MATCH($C$1,Database!$A$1:$C$1,),)=0,#N/A,VLOOKUP(Table7[[#This Row],[Date]],Database!$A:$C,MATCH($C$1,Database!$A$1:$C$1,),))</f>
        <v/>
      </c>
      <c r="D8997">
        <f>IFERROR(Table7[[#This Row],[United States 10y]]-Table7[[#This Row],[United States 3y]],#N/A)</f>
        <v/>
      </c>
    </row>
    <row r="8998">
      <c r="A8998" s="6">
        <f>Database!$A11083</f>
        <v/>
      </c>
      <c r="B8998">
        <f>IF(VLOOKUP(Table7[[#This Row],[Date]],Database!$A:$C,MATCH($B$1,Database!$A$1:$C$1,),)=0,#N/A,VLOOKUP(Table7[[#This Row],[Date]],Database!$A:$C,MATCH($B$1,Database!$A$1:$C$1,),))</f>
        <v/>
      </c>
      <c r="C8998">
        <f>IF(VLOOKUP(Table7[[#This Row],[Date]],Database!$A:$C,MATCH($C$1,Database!$A$1:$C$1,),)=0,#N/A,VLOOKUP(Table7[[#This Row],[Date]],Database!$A:$C,MATCH($C$1,Database!$A$1:$C$1,),))</f>
        <v/>
      </c>
      <c r="D8998">
        <f>IFERROR(Table7[[#This Row],[United States 10y]]-Table7[[#This Row],[United States 3y]],#N/A)</f>
        <v/>
      </c>
    </row>
    <row r="8999">
      <c r="A8999" s="6">
        <f>Database!$A11084</f>
        <v/>
      </c>
      <c r="B8999">
        <f>IF(VLOOKUP(Table7[[#This Row],[Date]],Database!$A:$C,MATCH($B$1,Database!$A$1:$C$1,),)=0,#N/A,VLOOKUP(Table7[[#This Row],[Date]],Database!$A:$C,MATCH($B$1,Database!$A$1:$C$1,),))</f>
        <v/>
      </c>
      <c r="C8999">
        <f>IF(VLOOKUP(Table7[[#This Row],[Date]],Database!$A:$C,MATCH($C$1,Database!$A$1:$C$1,),)=0,#N/A,VLOOKUP(Table7[[#This Row],[Date]],Database!$A:$C,MATCH($C$1,Database!$A$1:$C$1,),))</f>
        <v/>
      </c>
      <c r="D8999">
        <f>IFERROR(Table7[[#This Row],[United States 10y]]-Table7[[#This Row],[United States 3y]],#N/A)</f>
        <v/>
      </c>
    </row>
    <row r="9000">
      <c r="A9000" s="6">
        <f>Database!$A11085</f>
        <v/>
      </c>
      <c r="B9000">
        <f>IF(VLOOKUP(Table7[[#This Row],[Date]],Database!$A:$C,MATCH($B$1,Database!$A$1:$C$1,),)=0,#N/A,VLOOKUP(Table7[[#This Row],[Date]],Database!$A:$C,MATCH($B$1,Database!$A$1:$C$1,),))</f>
        <v/>
      </c>
      <c r="C9000">
        <f>IF(VLOOKUP(Table7[[#This Row],[Date]],Database!$A:$C,MATCH($C$1,Database!$A$1:$C$1,),)=0,#N/A,VLOOKUP(Table7[[#This Row],[Date]],Database!$A:$C,MATCH($C$1,Database!$A$1:$C$1,),))</f>
        <v/>
      </c>
      <c r="D9000">
        <f>IFERROR(Table7[[#This Row],[United States 10y]]-Table7[[#This Row],[United States 3y]],#N/A)</f>
        <v/>
      </c>
    </row>
    <row r="9001">
      <c r="A9001" s="6">
        <f>Database!$A11086</f>
        <v/>
      </c>
      <c r="B9001">
        <f>IF(VLOOKUP(Table7[[#This Row],[Date]],Database!$A:$C,MATCH($B$1,Database!$A$1:$C$1,),)=0,#N/A,VLOOKUP(Table7[[#This Row],[Date]],Database!$A:$C,MATCH($B$1,Database!$A$1:$C$1,),))</f>
        <v/>
      </c>
      <c r="C9001">
        <f>IF(VLOOKUP(Table7[[#This Row],[Date]],Database!$A:$C,MATCH($C$1,Database!$A$1:$C$1,),)=0,#N/A,VLOOKUP(Table7[[#This Row],[Date]],Database!$A:$C,MATCH($C$1,Database!$A$1:$C$1,),))</f>
        <v/>
      </c>
      <c r="D9001">
        <f>IFERROR(Table7[[#This Row],[United States 10y]]-Table7[[#This Row],[United States 3y]],#N/A)</f>
        <v/>
      </c>
    </row>
    <row r="9002">
      <c r="A9002" s="6">
        <f>Database!$A11087</f>
        <v/>
      </c>
      <c r="B9002">
        <f>IF(VLOOKUP(Table7[[#This Row],[Date]],Database!$A:$C,MATCH($B$1,Database!$A$1:$C$1,),)=0,#N/A,VLOOKUP(Table7[[#This Row],[Date]],Database!$A:$C,MATCH($B$1,Database!$A$1:$C$1,),))</f>
        <v/>
      </c>
      <c r="C9002">
        <f>IF(VLOOKUP(Table7[[#This Row],[Date]],Database!$A:$C,MATCH($C$1,Database!$A$1:$C$1,),)=0,#N/A,VLOOKUP(Table7[[#This Row],[Date]],Database!$A:$C,MATCH($C$1,Database!$A$1:$C$1,),))</f>
        <v/>
      </c>
      <c r="D9002">
        <f>IFERROR(Table7[[#This Row],[United States 10y]]-Table7[[#This Row],[United States 3y]],#N/A)</f>
        <v/>
      </c>
    </row>
    <row r="9003">
      <c r="A9003" s="6">
        <f>Database!$A11088</f>
        <v/>
      </c>
      <c r="B9003">
        <f>IF(VLOOKUP(Table7[[#This Row],[Date]],Database!$A:$C,MATCH($B$1,Database!$A$1:$C$1,),)=0,#N/A,VLOOKUP(Table7[[#This Row],[Date]],Database!$A:$C,MATCH($B$1,Database!$A$1:$C$1,),))</f>
        <v/>
      </c>
      <c r="C9003">
        <f>IF(VLOOKUP(Table7[[#This Row],[Date]],Database!$A:$C,MATCH($C$1,Database!$A$1:$C$1,),)=0,#N/A,VLOOKUP(Table7[[#This Row],[Date]],Database!$A:$C,MATCH($C$1,Database!$A$1:$C$1,),))</f>
        <v/>
      </c>
      <c r="D9003">
        <f>IFERROR(Table7[[#This Row],[United States 10y]]-Table7[[#This Row],[United States 3y]],#N/A)</f>
        <v/>
      </c>
    </row>
    <row r="9004">
      <c r="A9004" s="6">
        <f>Database!$A11089</f>
        <v/>
      </c>
      <c r="B9004">
        <f>IF(VLOOKUP(Table7[[#This Row],[Date]],Database!$A:$C,MATCH($B$1,Database!$A$1:$C$1,),)=0,#N/A,VLOOKUP(Table7[[#This Row],[Date]],Database!$A:$C,MATCH($B$1,Database!$A$1:$C$1,),))</f>
        <v/>
      </c>
      <c r="C9004">
        <f>IF(VLOOKUP(Table7[[#This Row],[Date]],Database!$A:$C,MATCH($C$1,Database!$A$1:$C$1,),)=0,#N/A,VLOOKUP(Table7[[#This Row],[Date]],Database!$A:$C,MATCH($C$1,Database!$A$1:$C$1,),))</f>
        <v/>
      </c>
      <c r="D9004">
        <f>IFERROR(Table7[[#This Row],[United States 10y]]-Table7[[#This Row],[United States 3y]],#N/A)</f>
        <v/>
      </c>
    </row>
    <row r="9005">
      <c r="A9005" s="6">
        <f>Database!$A11090</f>
        <v/>
      </c>
      <c r="B9005">
        <f>IF(VLOOKUP(Table7[[#This Row],[Date]],Database!$A:$C,MATCH($B$1,Database!$A$1:$C$1,),)=0,#N/A,VLOOKUP(Table7[[#This Row],[Date]],Database!$A:$C,MATCH($B$1,Database!$A$1:$C$1,),))</f>
        <v/>
      </c>
      <c r="C9005">
        <f>IF(VLOOKUP(Table7[[#This Row],[Date]],Database!$A:$C,MATCH($C$1,Database!$A$1:$C$1,),)=0,#N/A,VLOOKUP(Table7[[#This Row],[Date]],Database!$A:$C,MATCH($C$1,Database!$A$1:$C$1,),))</f>
        <v/>
      </c>
      <c r="D9005">
        <f>IFERROR(Table7[[#This Row],[United States 10y]]-Table7[[#This Row],[United States 3y]],#N/A)</f>
        <v/>
      </c>
    </row>
    <row r="9006">
      <c r="A9006" s="6">
        <f>Database!$A11091</f>
        <v/>
      </c>
      <c r="B9006">
        <f>IF(VLOOKUP(Table7[[#This Row],[Date]],Database!$A:$C,MATCH($B$1,Database!$A$1:$C$1,),)=0,#N/A,VLOOKUP(Table7[[#This Row],[Date]],Database!$A:$C,MATCH($B$1,Database!$A$1:$C$1,),))</f>
        <v/>
      </c>
      <c r="C9006">
        <f>IF(VLOOKUP(Table7[[#This Row],[Date]],Database!$A:$C,MATCH($C$1,Database!$A$1:$C$1,),)=0,#N/A,VLOOKUP(Table7[[#This Row],[Date]],Database!$A:$C,MATCH($C$1,Database!$A$1:$C$1,),))</f>
        <v/>
      </c>
      <c r="D9006">
        <f>IFERROR(Table7[[#This Row],[United States 10y]]-Table7[[#This Row],[United States 3y]],#N/A)</f>
        <v/>
      </c>
    </row>
    <row r="9007">
      <c r="A9007" s="6">
        <f>Database!$A11092</f>
        <v/>
      </c>
      <c r="B9007">
        <f>IF(VLOOKUP(Table7[[#This Row],[Date]],Database!$A:$C,MATCH($B$1,Database!$A$1:$C$1,),)=0,#N/A,VLOOKUP(Table7[[#This Row],[Date]],Database!$A:$C,MATCH($B$1,Database!$A$1:$C$1,),))</f>
        <v/>
      </c>
      <c r="C9007">
        <f>IF(VLOOKUP(Table7[[#This Row],[Date]],Database!$A:$C,MATCH($C$1,Database!$A$1:$C$1,),)=0,#N/A,VLOOKUP(Table7[[#This Row],[Date]],Database!$A:$C,MATCH($C$1,Database!$A$1:$C$1,),))</f>
        <v/>
      </c>
      <c r="D9007">
        <f>IFERROR(Table7[[#This Row],[United States 10y]]-Table7[[#This Row],[United States 3y]],#N/A)</f>
        <v/>
      </c>
    </row>
    <row r="9008">
      <c r="A9008" s="6">
        <f>Database!$A11093</f>
        <v/>
      </c>
      <c r="B9008">
        <f>IF(VLOOKUP(Table7[[#This Row],[Date]],Database!$A:$C,MATCH($B$1,Database!$A$1:$C$1,),)=0,#N/A,VLOOKUP(Table7[[#This Row],[Date]],Database!$A:$C,MATCH($B$1,Database!$A$1:$C$1,),))</f>
        <v/>
      </c>
      <c r="C9008">
        <f>IF(VLOOKUP(Table7[[#This Row],[Date]],Database!$A:$C,MATCH($C$1,Database!$A$1:$C$1,),)=0,#N/A,VLOOKUP(Table7[[#This Row],[Date]],Database!$A:$C,MATCH($C$1,Database!$A$1:$C$1,),))</f>
        <v/>
      </c>
      <c r="D9008">
        <f>IFERROR(Table7[[#This Row],[United States 10y]]-Table7[[#This Row],[United States 3y]],#N/A)</f>
        <v/>
      </c>
    </row>
    <row r="9009">
      <c r="A9009" s="6">
        <f>Database!$A11094</f>
        <v/>
      </c>
      <c r="B9009">
        <f>IF(VLOOKUP(Table7[[#This Row],[Date]],Database!$A:$C,MATCH($B$1,Database!$A$1:$C$1,),)=0,#N/A,VLOOKUP(Table7[[#This Row],[Date]],Database!$A:$C,MATCH($B$1,Database!$A$1:$C$1,),))</f>
        <v/>
      </c>
      <c r="C9009">
        <f>IF(VLOOKUP(Table7[[#This Row],[Date]],Database!$A:$C,MATCH($C$1,Database!$A$1:$C$1,),)=0,#N/A,VLOOKUP(Table7[[#This Row],[Date]],Database!$A:$C,MATCH($C$1,Database!$A$1:$C$1,),))</f>
        <v/>
      </c>
      <c r="D9009">
        <f>IFERROR(Table7[[#This Row],[United States 10y]]-Table7[[#This Row],[United States 3y]],#N/A)</f>
        <v/>
      </c>
    </row>
    <row r="9010">
      <c r="A9010" s="6">
        <f>Database!$A11095</f>
        <v/>
      </c>
      <c r="B9010">
        <f>IF(VLOOKUP(Table7[[#This Row],[Date]],Database!$A:$C,MATCH($B$1,Database!$A$1:$C$1,),)=0,#N/A,VLOOKUP(Table7[[#This Row],[Date]],Database!$A:$C,MATCH($B$1,Database!$A$1:$C$1,),))</f>
        <v/>
      </c>
      <c r="C9010">
        <f>IF(VLOOKUP(Table7[[#This Row],[Date]],Database!$A:$C,MATCH($C$1,Database!$A$1:$C$1,),)=0,#N/A,VLOOKUP(Table7[[#This Row],[Date]],Database!$A:$C,MATCH($C$1,Database!$A$1:$C$1,),))</f>
        <v/>
      </c>
      <c r="D9010">
        <f>IFERROR(Table7[[#This Row],[United States 10y]]-Table7[[#This Row],[United States 3y]],#N/A)</f>
        <v/>
      </c>
    </row>
    <row r="9011">
      <c r="A9011" s="6">
        <f>Database!$A11096</f>
        <v/>
      </c>
      <c r="B9011">
        <f>IF(VLOOKUP(Table7[[#This Row],[Date]],Database!$A:$C,MATCH($B$1,Database!$A$1:$C$1,),)=0,#N/A,VLOOKUP(Table7[[#This Row],[Date]],Database!$A:$C,MATCH($B$1,Database!$A$1:$C$1,),))</f>
        <v/>
      </c>
      <c r="C9011">
        <f>IF(VLOOKUP(Table7[[#This Row],[Date]],Database!$A:$C,MATCH($C$1,Database!$A$1:$C$1,),)=0,#N/A,VLOOKUP(Table7[[#This Row],[Date]],Database!$A:$C,MATCH($C$1,Database!$A$1:$C$1,),))</f>
        <v/>
      </c>
      <c r="D9011">
        <f>IFERROR(Table7[[#This Row],[United States 10y]]-Table7[[#This Row],[United States 3y]],#N/A)</f>
        <v/>
      </c>
    </row>
    <row r="9012">
      <c r="A9012" s="6">
        <f>Database!$A11097</f>
        <v/>
      </c>
      <c r="B9012">
        <f>IF(VLOOKUP(Table7[[#This Row],[Date]],Database!$A:$C,MATCH($B$1,Database!$A$1:$C$1,),)=0,#N/A,VLOOKUP(Table7[[#This Row],[Date]],Database!$A:$C,MATCH($B$1,Database!$A$1:$C$1,),))</f>
        <v/>
      </c>
      <c r="C9012">
        <f>IF(VLOOKUP(Table7[[#This Row],[Date]],Database!$A:$C,MATCH($C$1,Database!$A$1:$C$1,),)=0,#N/A,VLOOKUP(Table7[[#This Row],[Date]],Database!$A:$C,MATCH($C$1,Database!$A$1:$C$1,),))</f>
        <v/>
      </c>
      <c r="D9012">
        <f>IFERROR(Table7[[#This Row],[United States 10y]]-Table7[[#This Row],[United States 3y]],#N/A)</f>
        <v/>
      </c>
    </row>
    <row r="9013">
      <c r="A9013" s="6">
        <f>Database!$A11098</f>
        <v/>
      </c>
      <c r="B9013">
        <f>IF(VLOOKUP(Table7[[#This Row],[Date]],Database!$A:$C,MATCH($B$1,Database!$A$1:$C$1,),)=0,#N/A,VLOOKUP(Table7[[#This Row],[Date]],Database!$A:$C,MATCH($B$1,Database!$A$1:$C$1,),))</f>
        <v/>
      </c>
      <c r="C9013">
        <f>IF(VLOOKUP(Table7[[#This Row],[Date]],Database!$A:$C,MATCH($C$1,Database!$A$1:$C$1,),)=0,#N/A,VLOOKUP(Table7[[#This Row],[Date]],Database!$A:$C,MATCH($C$1,Database!$A$1:$C$1,),))</f>
        <v/>
      </c>
      <c r="D9013">
        <f>IFERROR(Table7[[#This Row],[United States 10y]]-Table7[[#This Row],[United States 3y]],#N/A)</f>
        <v/>
      </c>
    </row>
    <row r="9014">
      <c r="A9014" s="6">
        <f>Database!$A11099</f>
        <v/>
      </c>
      <c r="B9014">
        <f>IF(VLOOKUP(Table7[[#This Row],[Date]],Database!$A:$C,MATCH($B$1,Database!$A$1:$C$1,),)=0,#N/A,VLOOKUP(Table7[[#This Row],[Date]],Database!$A:$C,MATCH($B$1,Database!$A$1:$C$1,),))</f>
        <v/>
      </c>
      <c r="C9014">
        <f>IF(VLOOKUP(Table7[[#This Row],[Date]],Database!$A:$C,MATCH($C$1,Database!$A$1:$C$1,),)=0,#N/A,VLOOKUP(Table7[[#This Row],[Date]],Database!$A:$C,MATCH($C$1,Database!$A$1:$C$1,),))</f>
        <v/>
      </c>
      <c r="D9014">
        <f>IFERROR(Table7[[#This Row],[United States 10y]]-Table7[[#This Row],[United States 3y]],#N/A)</f>
        <v/>
      </c>
    </row>
    <row r="9015">
      <c r="A9015" s="6">
        <f>Database!$A11100</f>
        <v/>
      </c>
      <c r="B9015">
        <f>IF(VLOOKUP(Table7[[#This Row],[Date]],Database!$A:$C,MATCH($B$1,Database!$A$1:$C$1,),)=0,#N/A,VLOOKUP(Table7[[#This Row],[Date]],Database!$A:$C,MATCH($B$1,Database!$A$1:$C$1,),))</f>
        <v/>
      </c>
      <c r="C9015">
        <f>IF(VLOOKUP(Table7[[#This Row],[Date]],Database!$A:$C,MATCH($C$1,Database!$A$1:$C$1,),)=0,#N/A,VLOOKUP(Table7[[#This Row],[Date]],Database!$A:$C,MATCH($C$1,Database!$A$1:$C$1,),))</f>
        <v/>
      </c>
      <c r="D9015">
        <f>IFERROR(Table7[[#This Row],[United States 10y]]-Table7[[#This Row],[United States 3y]],#N/A)</f>
        <v/>
      </c>
    </row>
    <row r="9016">
      <c r="A9016" s="6">
        <f>Database!$A11101</f>
        <v/>
      </c>
      <c r="B9016">
        <f>IF(VLOOKUP(Table7[[#This Row],[Date]],Database!$A:$C,MATCH($B$1,Database!$A$1:$C$1,),)=0,#N/A,VLOOKUP(Table7[[#This Row],[Date]],Database!$A:$C,MATCH($B$1,Database!$A$1:$C$1,),))</f>
        <v/>
      </c>
      <c r="C9016">
        <f>IF(VLOOKUP(Table7[[#This Row],[Date]],Database!$A:$C,MATCH($C$1,Database!$A$1:$C$1,),)=0,#N/A,VLOOKUP(Table7[[#This Row],[Date]],Database!$A:$C,MATCH($C$1,Database!$A$1:$C$1,),))</f>
        <v/>
      </c>
      <c r="D9016">
        <f>IFERROR(Table7[[#This Row],[United States 10y]]-Table7[[#This Row],[United States 3y]],#N/A)</f>
        <v/>
      </c>
    </row>
    <row r="9017">
      <c r="A9017" s="6">
        <f>Database!$A11102</f>
        <v/>
      </c>
      <c r="B9017">
        <f>IF(VLOOKUP(Table7[[#This Row],[Date]],Database!$A:$C,MATCH($B$1,Database!$A$1:$C$1,),)=0,#N/A,VLOOKUP(Table7[[#This Row],[Date]],Database!$A:$C,MATCH($B$1,Database!$A$1:$C$1,),))</f>
        <v/>
      </c>
      <c r="C9017">
        <f>IF(VLOOKUP(Table7[[#This Row],[Date]],Database!$A:$C,MATCH($C$1,Database!$A$1:$C$1,),)=0,#N/A,VLOOKUP(Table7[[#This Row],[Date]],Database!$A:$C,MATCH($C$1,Database!$A$1:$C$1,),))</f>
        <v/>
      </c>
      <c r="D9017">
        <f>IFERROR(Table7[[#This Row],[United States 10y]]-Table7[[#This Row],[United States 3y]],#N/A)</f>
        <v/>
      </c>
    </row>
    <row r="9018">
      <c r="A9018" s="6">
        <f>Database!$A11103</f>
        <v/>
      </c>
      <c r="B9018">
        <f>IF(VLOOKUP(Table7[[#This Row],[Date]],Database!$A:$C,MATCH($B$1,Database!$A$1:$C$1,),)=0,#N/A,VLOOKUP(Table7[[#This Row],[Date]],Database!$A:$C,MATCH($B$1,Database!$A$1:$C$1,),))</f>
        <v/>
      </c>
      <c r="C9018">
        <f>IF(VLOOKUP(Table7[[#This Row],[Date]],Database!$A:$C,MATCH($C$1,Database!$A$1:$C$1,),)=0,#N/A,VLOOKUP(Table7[[#This Row],[Date]],Database!$A:$C,MATCH($C$1,Database!$A$1:$C$1,),))</f>
        <v/>
      </c>
      <c r="D9018">
        <f>IFERROR(Table7[[#This Row],[United States 10y]]-Table7[[#This Row],[United States 3y]],#N/A)</f>
        <v/>
      </c>
    </row>
    <row r="9019">
      <c r="A9019" s="6">
        <f>Database!$A11104</f>
        <v/>
      </c>
      <c r="B9019">
        <f>IF(VLOOKUP(Table7[[#This Row],[Date]],Database!$A:$C,MATCH($B$1,Database!$A$1:$C$1,),)=0,#N/A,VLOOKUP(Table7[[#This Row],[Date]],Database!$A:$C,MATCH($B$1,Database!$A$1:$C$1,),))</f>
        <v/>
      </c>
      <c r="C9019">
        <f>IF(VLOOKUP(Table7[[#This Row],[Date]],Database!$A:$C,MATCH($C$1,Database!$A$1:$C$1,),)=0,#N/A,VLOOKUP(Table7[[#This Row],[Date]],Database!$A:$C,MATCH($C$1,Database!$A$1:$C$1,),))</f>
        <v/>
      </c>
      <c r="D9019">
        <f>IFERROR(Table7[[#This Row],[United States 10y]]-Table7[[#This Row],[United States 3y]],#N/A)</f>
        <v/>
      </c>
    </row>
    <row r="9020">
      <c r="A9020" s="6">
        <f>Database!$A11105</f>
        <v/>
      </c>
      <c r="B9020">
        <f>IF(VLOOKUP(Table7[[#This Row],[Date]],Database!$A:$C,MATCH($B$1,Database!$A$1:$C$1,),)=0,#N/A,VLOOKUP(Table7[[#This Row],[Date]],Database!$A:$C,MATCH($B$1,Database!$A$1:$C$1,),))</f>
        <v/>
      </c>
      <c r="C9020">
        <f>IF(VLOOKUP(Table7[[#This Row],[Date]],Database!$A:$C,MATCH($C$1,Database!$A$1:$C$1,),)=0,#N/A,VLOOKUP(Table7[[#This Row],[Date]],Database!$A:$C,MATCH($C$1,Database!$A$1:$C$1,),))</f>
        <v/>
      </c>
      <c r="D9020">
        <f>IFERROR(Table7[[#This Row],[United States 10y]]-Table7[[#This Row],[United States 3y]],#N/A)</f>
        <v/>
      </c>
    </row>
    <row r="9021">
      <c r="A9021" s="6">
        <f>Database!$A11106</f>
        <v/>
      </c>
      <c r="B9021">
        <f>IF(VLOOKUP(Table7[[#This Row],[Date]],Database!$A:$C,MATCH($B$1,Database!$A$1:$C$1,),)=0,#N/A,VLOOKUP(Table7[[#This Row],[Date]],Database!$A:$C,MATCH($B$1,Database!$A$1:$C$1,),))</f>
        <v/>
      </c>
      <c r="C9021">
        <f>IF(VLOOKUP(Table7[[#This Row],[Date]],Database!$A:$C,MATCH($C$1,Database!$A$1:$C$1,),)=0,#N/A,VLOOKUP(Table7[[#This Row],[Date]],Database!$A:$C,MATCH($C$1,Database!$A$1:$C$1,),))</f>
        <v/>
      </c>
      <c r="D9021">
        <f>IFERROR(Table7[[#This Row],[United States 10y]]-Table7[[#This Row],[United States 3y]],#N/A)</f>
        <v/>
      </c>
    </row>
    <row r="9022">
      <c r="A9022" s="6">
        <f>Database!$A11107</f>
        <v/>
      </c>
      <c r="B9022">
        <f>IF(VLOOKUP(Table7[[#This Row],[Date]],Database!$A:$C,MATCH($B$1,Database!$A$1:$C$1,),)=0,#N/A,VLOOKUP(Table7[[#This Row],[Date]],Database!$A:$C,MATCH($B$1,Database!$A$1:$C$1,),))</f>
        <v/>
      </c>
      <c r="C9022">
        <f>IF(VLOOKUP(Table7[[#This Row],[Date]],Database!$A:$C,MATCH($C$1,Database!$A$1:$C$1,),)=0,#N/A,VLOOKUP(Table7[[#This Row],[Date]],Database!$A:$C,MATCH($C$1,Database!$A$1:$C$1,),))</f>
        <v/>
      </c>
      <c r="D9022">
        <f>IFERROR(Table7[[#This Row],[United States 10y]]-Table7[[#This Row],[United States 3y]],#N/A)</f>
        <v/>
      </c>
    </row>
    <row r="9023">
      <c r="A9023" s="6">
        <f>Database!$A11108</f>
        <v/>
      </c>
      <c r="B9023">
        <f>IF(VLOOKUP(Table7[[#This Row],[Date]],Database!$A:$C,MATCH($B$1,Database!$A$1:$C$1,),)=0,#N/A,VLOOKUP(Table7[[#This Row],[Date]],Database!$A:$C,MATCH($B$1,Database!$A$1:$C$1,),))</f>
        <v/>
      </c>
      <c r="C9023">
        <f>IF(VLOOKUP(Table7[[#This Row],[Date]],Database!$A:$C,MATCH($C$1,Database!$A$1:$C$1,),)=0,#N/A,VLOOKUP(Table7[[#This Row],[Date]],Database!$A:$C,MATCH($C$1,Database!$A$1:$C$1,),))</f>
        <v/>
      </c>
      <c r="D9023">
        <f>IFERROR(Table7[[#This Row],[United States 10y]]-Table7[[#This Row],[United States 3y]],#N/A)</f>
        <v/>
      </c>
    </row>
    <row r="9024">
      <c r="A9024" s="6">
        <f>Database!$A11109</f>
        <v/>
      </c>
      <c r="B9024">
        <f>IF(VLOOKUP(Table7[[#This Row],[Date]],Database!$A:$C,MATCH($B$1,Database!$A$1:$C$1,),)=0,#N/A,VLOOKUP(Table7[[#This Row],[Date]],Database!$A:$C,MATCH($B$1,Database!$A$1:$C$1,),))</f>
        <v/>
      </c>
      <c r="C9024">
        <f>IF(VLOOKUP(Table7[[#This Row],[Date]],Database!$A:$C,MATCH($C$1,Database!$A$1:$C$1,),)=0,#N/A,VLOOKUP(Table7[[#This Row],[Date]],Database!$A:$C,MATCH($C$1,Database!$A$1:$C$1,),))</f>
        <v/>
      </c>
      <c r="D9024">
        <f>IFERROR(Table7[[#This Row],[United States 10y]]-Table7[[#This Row],[United States 3y]],#N/A)</f>
        <v/>
      </c>
    </row>
    <row r="9025">
      <c r="A9025" s="6">
        <f>Database!$A11110</f>
        <v/>
      </c>
      <c r="B9025">
        <f>IF(VLOOKUP(Table7[[#This Row],[Date]],Database!$A:$C,MATCH($B$1,Database!$A$1:$C$1,),)=0,#N/A,VLOOKUP(Table7[[#This Row],[Date]],Database!$A:$C,MATCH($B$1,Database!$A$1:$C$1,),))</f>
        <v/>
      </c>
      <c r="C9025">
        <f>IF(VLOOKUP(Table7[[#This Row],[Date]],Database!$A:$C,MATCH($C$1,Database!$A$1:$C$1,),)=0,#N/A,VLOOKUP(Table7[[#This Row],[Date]],Database!$A:$C,MATCH($C$1,Database!$A$1:$C$1,),))</f>
        <v/>
      </c>
      <c r="D9025">
        <f>IFERROR(Table7[[#This Row],[United States 10y]]-Table7[[#This Row],[United States 3y]],#N/A)</f>
        <v/>
      </c>
    </row>
    <row r="9026">
      <c r="A9026" s="6">
        <f>Database!$A11111</f>
        <v/>
      </c>
      <c r="B9026">
        <f>IF(VLOOKUP(Table7[[#This Row],[Date]],Database!$A:$C,MATCH($B$1,Database!$A$1:$C$1,),)=0,#N/A,VLOOKUP(Table7[[#This Row],[Date]],Database!$A:$C,MATCH($B$1,Database!$A$1:$C$1,),))</f>
        <v/>
      </c>
      <c r="C9026">
        <f>IF(VLOOKUP(Table7[[#This Row],[Date]],Database!$A:$C,MATCH($C$1,Database!$A$1:$C$1,),)=0,#N/A,VLOOKUP(Table7[[#This Row],[Date]],Database!$A:$C,MATCH($C$1,Database!$A$1:$C$1,),))</f>
        <v/>
      </c>
      <c r="D9026">
        <f>IFERROR(Table7[[#This Row],[United States 10y]]-Table7[[#This Row],[United States 3y]],#N/A)</f>
        <v/>
      </c>
    </row>
    <row r="9027">
      <c r="A9027" s="6">
        <f>Database!$A11112</f>
        <v/>
      </c>
      <c r="B9027">
        <f>IF(VLOOKUP(Table7[[#This Row],[Date]],Database!$A:$C,MATCH($B$1,Database!$A$1:$C$1,),)=0,#N/A,VLOOKUP(Table7[[#This Row],[Date]],Database!$A:$C,MATCH($B$1,Database!$A$1:$C$1,),))</f>
        <v/>
      </c>
      <c r="C9027">
        <f>IF(VLOOKUP(Table7[[#This Row],[Date]],Database!$A:$C,MATCH($C$1,Database!$A$1:$C$1,),)=0,#N/A,VLOOKUP(Table7[[#This Row],[Date]],Database!$A:$C,MATCH($C$1,Database!$A$1:$C$1,),))</f>
        <v/>
      </c>
      <c r="D9027">
        <f>IFERROR(Table7[[#This Row],[United States 10y]]-Table7[[#This Row],[United States 3y]],#N/A)</f>
        <v/>
      </c>
    </row>
    <row r="9028">
      <c r="A9028" s="6">
        <f>Database!$A11113</f>
        <v/>
      </c>
      <c r="B9028">
        <f>IF(VLOOKUP(Table7[[#This Row],[Date]],Database!$A:$C,MATCH($B$1,Database!$A$1:$C$1,),)=0,#N/A,VLOOKUP(Table7[[#This Row],[Date]],Database!$A:$C,MATCH($B$1,Database!$A$1:$C$1,),))</f>
        <v/>
      </c>
      <c r="C9028">
        <f>IF(VLOOKUP(Table7[[#This Row],[Date]],Database!$A:$C,MATCH($C$1,Database!$A$1:$C$1,),)=0,#N/A,VLOOKUP(Table7[[#This Row],[Date]],Database!$A:$C,MATCH($C$1,Database!$A$1:$C$1,),))</f>
        <v/>
      </c>
      <c r="D9028">
        <f>IFERROR(Table7[[#This Row],[United States 10y]]-Table7[[#This Row],[United States 3y]],#N/A)</f>
        <v/>
      </c>
    </row>
    <row r="9029">
      <c r="A9029" s="6">
        <f>Database!$A11114</f>
        <v/>
      </c>
      <c r="B9029">
        <f>IF(VLOOKUP(Table7[[#This Row],[Date]],Database!$A:$C,MATCH($B$1,Database!$A$1:$C$1,),)=0,#N/A,VLOOKUP(Table7[[#This Row],[Date]],Database!$A:$C,MATCH($B$1,Database!$A$1:$C$1,),))</f>
        <v/>
      </c>
      <c r="C9029">
        <f>IF(VLOOKUP(Table7[[#This Row],[Date]],Database!$A:$C,MATCH($C$1,Database!$A$1:$C$1,),)=0,#N/A,VLOOKUP(Table7[[#This Row],[Date]],Database!$A:$C,MATCH($C$1,Database!$A$1:$C$1,),))</f>
        <v/>
      </c>
      <c r="D9029">
        <f>IFERROR(Table7[[#This Row],[United States 10y]]-Table7[[#This Row],[United States 3y]],#N/A)</f>
        <v/>
      </c>
    </row>
    <row r="9030">
      <c r="A9030" s="6">
        <f>Database!$A11115</f>
        <v/>
      </c>
      <c r="B9030">
        <f>IF(VLOOKUP(Table7[[#This Row],[Date]],Database!$A:$C,MATCH($B$1,Database!$A$1:$C$1,),)=0,#N/A,VLOOKUP(Table7[[#This Row],[Date]],Database!$A:$C,MATCH($B$1,Database!$A$1:$C$1,),))</f>
        <v/>
      </c>
      <c r="C9030">
        <f>IF(VLOOKUP(Table7[[#This Row],[Date]],Database!$A:$C,MATCH($C$1,Database!$A$1:$C$1,),)=0,#N/A,VLOOKUP(Table7[[#This Row],[Date]],Database!$A:$C,MATCH($C$1,Database!$A$1:$C$1,),))</f>
        <v/>
      </c>
      <c r="D9030">
        <f>IFERROR(Table7[[#This Row],[United States 10y]]-Table7[[#This Row],[United States 3y]],#N/A)</f>
        <v/>
      </c>
    </row>
    <row r="9031">
      <c r="A9031" s="6">
        <f>Database!$A11116</f>
        <v/>
      </c>
      <c r="B9031">
        <f>IF(VLOOKUP(Table7[[#This Row],[Date]],Database!$A:$C,MATCH($B$1,Database!$A$1:$C$1,),)=0,#N/A,VLOOKUP(Table7[[#This Row],[Date]],Database!$A:$C,MATCH($B$1,Database!$A$1:$C$1,),))</f>
        <v/>
      </c>
      <c r="C9031">
        <f>IF(VLOOKUP(Table7[[#This Row],[Date]],Database!$A:$C,MATCH($C$1,Database!$A$1:$C$1,),)=0,#N/A,VLOOKUP(Table7[[#This Row],[Date]],Database!$A:$C,MATCH($C$1,Database!$A$1:$C$1,),))</f>
        <v/>
      </c>
      <c r="D9031">
        <f>IFERROR(Table7[[#This Row],[United States 10y]]-Table7[[#This Row],[United States 3y]],#N/A)</f>
        <v/>
      </c>
    </row>
    <row r="9032">
      <c r="A9032" s="6">
        <f>Database!$A11117</f>
        <v/>
      </c>
      <c r="B9032">
        <f>IF(VLOOKUP(Table7[[#This Row],[Date]],Database!$A:$C,MATCH($B$1,Database!$A$1:$C$1,),)=0,#N/A,VLOOKUP(Table7[[#This Row],[Date]],Database!$A:$C,MATCH($B$1,Database!$A$1:$C$1,),))</f>
        <v/>
      </c>
      <c r="C9032">
        <f>IF(VLOOKUP(Table7[[#This Row],[Date]],Database!$A:$C,MATCH($C$1,Database!$A$1:$C$1,),)=0,#N/A,VLOOKUP(Table7[[#This Row],[Date]],Database!$A:$C,MATCH($C$1,Database!$A$1:$C$1,),))</f>
        <v/>
      </c>
      <c r="D9032">
        <f>IFERROR(Table7[[#This Row],[United States 10y]]-Table7[[#This Row],[United States 3y]],#N/A)</f>
        <v/>
      </c>
    </row>
    <row r="9033">
      <c r="A9033" s="6">
        <f>Database!$A11118</f>
        <v/>
      </c>
      <c r="B9033">
        <f>IF(VLOOKUP(Table7[[#This Row],[Date]],Database!$A:$C,MATCH($B$1,Database!$A$1:$C$1,),)=0,#N/A,VLOOKUP(Table7[[#This Row],[Date]],Database!$A:$C,MATCH($B$1,Database!$A$1:$C$1,),))</f>
        <v/>
      </c>
      <c r="C9033">
        <f>IF(VLOOKUP(Table7[[#This Row],[Date]],Database!$A:$C,MATCH($C$1,Database!$A$1:$C$1,),)=0,#N/A,VLOOKUP(Table7[[#This Row],[Date]],Database!$A:$C,MATCH($C$1,Database!$A$1:$C$1,),))</f>
        <v/>
      </c>
      <c r="D9033">
        <f>IFERROR(Table7[[#This Row],[United States 10y]]-Table7[[#This Row],[United States 3y]],#N/A)</f>
        <v/>
      </c>
    </row>
    <row r="9034">
      <c r="A9034" s="6">
        <f>Database!$A11119</f>
        <v/>
      </c>
      <c r="B9034">
        <f>IF(VLOOKUP(Table7[[#This Row],[Date]],Database!$A:$C,MATCH($B$1,Database!$A$1:$C$1,),)=0,#N/A,VLOOKUP(Table7[[#This Row],[Date]],Database!$A:$C,MATCH($B$1,Database!$A$1:$C$1,),))</f>
        <v/>
      </c>
      <c r="C9034">
        <f>IF(VLOOKUP(Table7[[#This Row],[Date]],Database!$A:$C,MATCH($C$1,Database!$A$1:$C$1,),)=0,#N/A,VLOOKUP(Table7[[#This Row],[Date]],Database!$A:$C,MATCH($C$1,Database!$A$1:$C$1,),))</f>
        <v/>
      </c>
      <c r="D9034">
        <f>IFERROR(Table7[[#This Row],[United States 10y]]-Table7[[#This Row],[United States 3y]],#N/A)</f>
        <v/>
      </c>
    </row>
    <row r="9035">
      <c r="A9035" s="6">
        <f>Database!$A11120</f>
        <v/>
      </c>
      <c r="B9035">
        <f>IF(VLOOKUP(Table7[[#This Row],[Date]],Database!$A:$C,MATCH($B$1,Database!$A$1:$C$1,),)=0,#N/A,VLOOKUP(Table7[[#This Row],[Date]],Database!$A:$C,MATCH($B$1,Database!$A$1:$C$1,),))</f>
        <v/>
      </c>
      <c r="C9035">
        <f>IF(VLOOKUP(Table7[[#This Row],[Date]],Database!$A:$C,MATCH($C$1,Database!$A$1:$C$1,),)=0,#N/A,VLOOKUP(Table7[[#This Row],[Date]],Database!$A:$C,MATCH($C$1,Database!$A$1:$C$1,),))</f>
        <v/>
      </c>
      <c r="D9035">
        <f>IFERROR(Table7[[#This Row],[United States 10y]]-Table7[[#This Row],[United States 3y]],#N/A)</f>
        <v/>
      </c>
    </row>
    <row r="9036">
      <c r="A9036" s="6">
        <f>Database!$A11121</f>
        <v/>
      </c>
      <c r="B9036">
        <f>IF(VLOOKUP(Table7[[#This Row],[Date]],Database!$A:$C,MATCH($B$1,Database!$A$1:$C$1,),)=0,#N/A,VLOOKUP(Table7[[#This Row],[Date]],Database!$A:$C,MATCH($B$1,Database!$A$1:$C$1,),))</f>
        <v/>
      </c>
      <c r="C9036">
        <f>IF(VLOOKUP(Table7[[#This Row],[Date]],Database!$A:$C,MATCH($C$1,Database!$A$1:$C$1,),)=0,#N/A,VLOOKUP(Table7[[#This Row],[Date]],Database!$A:$C,MATCH($C$1,Database!$A$1:$C$1,),))</f>
        <v/>
      </c>
      <c r="D9036">
        <f>IFERROR(Table7[[#This Row],[United States 10y]]-Table7[[#This Row],[United States 3y]],#N/A)</f>
        <v/>
      </c>
    </row>
    <row r="9037">
      <c r="A9037" s="6">
        <f>Database!$A11122</f>
        <v/>
      </c>
      <c r="B9037">
        <f>IF(VLOOKUP(Table7[[#This Row],[Date]],Database!$A:$C,MATCH($B$1,Database!$A$1:$C$1,),)=0,#N/A,VLOOKUP(Table7[[#This Row],[Date]],Database!$A:$C,MATCH($B$1,Database!$A$1:$C$1,),))</f>
        <v/>
      </c>
      <c r="C9037">
        <f>IF(VLOOKUP(Table7[[#This Row],[Date]],Database!$A:$C,MATCH($C$1,Database!$A$1:$C$1,),)=0,#N/A,VLOOKUP(Table7[[#This Row],[Date]],Database!$A:$C,MATCH($C$1,Database!$A$1:$C$1,),))</f>
        <v/>
      </c>
      <c r="D9037">
        <f>IFERROR(Table7[[#This Row],[United States 10y]]-Table7[[#This Row],[United States 3y]],#N/A)</f>
        <v/>
      </c>
    </row>
    <row r="9038">
      <c r="A9038" s="6">
        <f>Database!$A11123</f>
        <v/>
      </c>
      <c r="B9038">
        <f>IF(VLOOKUP(Table7[[#This Row],[Date]],Database!$A:$C,MATCH($B$1,Database!$A$1:$C$1,),)=0,#N/A,VLOOKUP(Table7[[#This Row],[Date]],Database!$A:$C,MATCH($B$1,Database!$A$1:$C$1,),))</f>
        <v/>
      </c>
      <c r="C9038">
        <f>IF(VLOOKUP(Table7[[#This Row],[Date]],Database!$A:$C,MATCH($C$1,Database!$A$1:$C$1,),)=0,#N/A,VLOOKUP(Table7[[#This Row],[Date]],Database!$A:$C,MATCH($C$1,Database!$A$1:$C$1,),))</f>
        <v/>
      </c>
      <c r="D9038">
        <f>IFERROR(Table7[[#This Row],[United States 10y]]-Table7[[#This Row],[United States 3y]],#N/A)</f>
        <v/>
      </c>
    </row>
    <row r="9039">
      <c r="A9039" s="6">
        <f>Database!$A11124</f>
        <v/>
      </c>
      <c r="B9039">
        <f>IF(VLOOKUP(Table7[[#This Row],[Date]],Database!$A:$C,MATCH($B$1,Database!$A$1:$C$1,),)=0,#N/A,VLOOKUP(Table7[[#This Row],[Date]],Database!$A:$C,MATCH($B$1,Database!$A$1:$C$1,),))</f>
        <v/>
      </c>
      <c r="C9039">
        <f>IF(VLOOKUP(Table7[[#This Row],[Date]],Database!$A:$C,MATCH($C$1,Database!$A$1:$C$1,),)=0,#N/A,VLOOKUP(Table7[[#This Row],[Date]],Database!$A:$C,MATCH($C$1,Database!$A$1:$C$1,),))</f>
        <v/>
      </c>
      <c r="D9039">
        <f>IFERROR(Table7[[#This Row],[United States 10y]]-Table7[[#This Row],[United States 3y]],#N/A)</f>
        <v/>
      </c>
    </row>
    <row r="9040">
      <c r="A9040" s="6">
        <f>Database!$A11125</f>
        <v/>
      </c>
      <c r="B9040">
        <f>IF(VLOOKUP(Table7[[#This Row],[Date]],Database!$A:$C,MATCH($B$1,Database!$A$1:$C$1,),)=0,#N/A,VLOOKUP(Table7[[#This Row],[Date]],Database!$A:$C,MATCH($B$1,Database!$A$1:$C$1,),))</f>
        <v/>
      </c>
      <c r="C9040">
        <f>IF(VLOOKUP(Table7[[#This Row],[Date]],Database!$A:$C,MATCH($C$1,Database!$A$1:$C$1,),)=0,#N/A,VLOOKUP(Table7[[#This Row],[Date]],Database!$A:$C,MATCH($C$1,Database!$A$1:$C$1,),))</f>
        <v/>
      </c>
      <c r="D9040">
        <f>IFERROR(Table7[[#This Row],[United States 10y]]-Table7[[#This Row],[United States 3y]],#N/A)</f>
        <v/>
      </c>
    </row>
    <row r="9041">
      <c r="A9041" s="6">
        <f>Database!$A11126</f>
        <v/>
      </c>
      <c r="B9041">
        <f>IF(VLOOKUP(Table7[[#This Row],[Date]],Database!$A:$C,MATCH($B$1,Database!$A$1:$C$1,),)=0,#N/A,VLOOKUP(Table7[[#This Row],[Date]],Database!$A:$C,MATCH($B$1,Database!$A$1:$C$1,),))</f>
        <v/>
      </c>
      <c r="C9041">
        <f>IF(VLOOKUP(Table7[[#This Row],[Date]],Database!$A:$C,MATCH($C$1,Database!$A$1:$C$1,),)=0,#N/A,VLOOKUP(Table7[[#This Row],[Date]],Database!$A:$C,MATCH($C$1,Database!$A$1:$C$1,),))</f>
        <v/>
      </c>
      <c r="D9041">
        <f>IFERROR(Table7[[#This Row],[United States 10y]]-Table7[[#This Row],[United States 3y]],#N/A)</f>
        <v/>
      </c>
    </row>
    <row r="9042">
      <c r="A9042" s="6">
        <f>Database!$A11127</f>
        <v/>
      </c>
      <c r="B9042">
        <f>IF(VLOOKUP(Table7[[#This Row],[Date]],Database!$A:$C,MATCH($B$1,Database!$A$1:$C$1,),)=0,#N/A,VLOOKUP(Table7[[#This Row],[Date]],Database!$A:$C,MATCH($B$1,Database!$A$1:$C$1,),))</f>
        <v/>
      </c>
      <c r="C9042">
        <f>IF(VLOOKUP(Table7[[#This Row],[Date]],Database!$A:$C,MATCH($C$1,Database!$A$1:$C$1,),)=0,#N/A,VLOOKUP(Table7[[#This Row],[Date]],Database!$A:$C,MATCH($C$1,Database!$A$1:$C$1,),))</f>
        <v/>
      </c>
      <c r="D9042">
        <f>IFERROR(Table7[[#This Row],[United States 10y]]-Table7[[#This Row],[United States 3y]],#N/A)</f>
        <v/>
      </c>
    </row>
    <row r="9043">
      <c r="A9043" s="6">
        <f>Database!$A11128</f>
        <v/>
      </c>
      <c r="B9043">
        <f>IF(VLOOKUP(Table7[[#This Row],[Date]],Database!$A:$C,MATCH($B$1,Database!$A$1:$C$1,),)=0,#N/A,VLOOKUP(Table7[[#This Row],[Date]],Database!$A:$C,MATCH($B$1,Database!$A$1:$C$1,),))</f>
        <v/>
      </c>
      <c r="C9043">
        <f>IF(VLOOKUP(Table7[[#This Row],[Date]],Database!$A:$C,MATCH($C$1,Database!$A$1:$C$1,),)=0,#N/A,VLOOKUP(Table7[[#This Row],[Date]],Database!$A:$C,MATCH($C$1,Database!$A$1:$C$1,),))</f>
        <v/>
      </c>
      <c r="D9043">
        <f>IFERROR(Table7[[#This Row],[United States 10y]]-Table7[[#This Row],[United States 3y]],#N/A)</f>
        <v/>
      </c>
    </row>
    <row r="9044">
      <c r="A9044" s="6">
        <f>Database!$A11129</f>
        <v/>
      </c>
      <c r="B9044">
        <f>IF(VLOOKUP(Table7[[#This Row],[Date]],Database!$A:$C,MATCH($B$1,Database!$A$1:$C$1,),)=0,#N/A,VLOOKUP(Table7[[#This Row],[Date]],Database!$A:$C,MATCH($B$1,Database!$A$1:$C$1,),))</f>
        <v/>
      </c>
      <c r="C9044">
        <f>IF(VLOOKUP(Table7[[#This Row],[Date]],Database!$A:$C,MATCH($C$1,Database!$A$1:$C$1,),)=0,#N/A,VLOOKUP(Table7[[#This Row],[Date]],Database!$A:$C,MATCH($C$1,Database!$A$1:$C$1,),))</f>
        <v/>
      </c>
      <c r="D9044">
        <f>IFERROR(Table7[[#This Row],[United States 10y]]-Table7[[#This Row],[United States 3y]],#N/A)</f>
        <v/>
      </c>
    </row>
    <row r="9045">
      <c r="A9045" s="6">
        <f>Database!$A11130</f>
        <v/>
      </c>
      <c r="B9045">
        <f>IF(VLOOKUP(Table7[[#This Row],[Date]],Database!$A:$C,MATCH($B$1,Database!$A$1:$C$1,),)=0,#N/A,VLOOKUP(Table7[[#This Row],[Date]],Database!$A:$C,MATCH($B$1,Database!$A$1:$C$1,),))</f>
        <v/>
      </c>
      <c r="C9045">
        <f>IF(VLOOKUP(Table7[[#This Row],[Date]],Database!$A:$C,MATCH($C$1,Database!$A$1:$C$1,),)=0,#N/A,VLOOKUP(Table7[[#This Row],[Date]],Database!$A:$C,MATCH($C$1,Database!$A$1:$C$1,),))</f>
        <v/>
      </c>
      <c r="D9045">
        <f>IFERROR(Table7[[#This Row],[United States 10y]]-Table7[[#This Row],[United States 3y]],#N/A)</f>
        <v/>
      </c>
    </row>
    <row r="9046">
      <c r="A9046" s="6">
        <f>Database!$A11131</f>
        <v/>
      </c>
      <c r="B9046">
        <f>IF(VLOOKUP(Table7[[#This Row],[Date]],Database!$A:$C,MATCH($B$1,Database!$A$1:$C$1,),)=0,#N/A,VLOOKUP(Table7[[#This Row],[Date]],Database!$A:$C,MATCH($B$1,Database!$A$1:$C$1,),))</f>
        <v/>
      </c>
      <c r="C9046">
        <f>IF(VLOOKUP(Table7[[#This Row],[Date]],Database!$A:$C,MATCH($C$1,Database!$A$1:$C$1,),)=0,#N/A,VLOOKUP(Table7[[#This Row],[Date]],Database!$A:$C,MATCH($C$1,Database!$A$1:$C$1,),))</f>
        <v/>
      </c>
      <c r="D9046">
        <f>IFERROR(Table7[[#This Row],[United States 10y]]-Table7[[#This Row],[United States 3y]],#N/A)</f>
        <v/>
      </c>
    </row>
    <row r="9047">
      <c r="A9047" s="6">
        <f>Database!$A11132</f>
        <v/>
      </c>
      <c r="B9047">
        <f>IF(VLOOKUP(Table7[[#This Row],[Date]],Database!$A:$C,MATCH($B$1,Database!$A$1:$C$1,),)=0,#N/A,VLOOKUP(Table7[[#This Row],[Date]],Database!$A:$C,MATCH($B$1,Database!$A$1:$C$1,),))</f>
        <v/>
      </c>
      <c r="C9047">
        <f>IF(VLOOKUP(Table7[[#This Row],[Date]],Database!$A:$C,MATCH($C$1,Database!$A$1:$C$1,),)=0,#N/A,VLOOKUP(Table7[[#This Row],[Date]],Database!$A:$C,MATCH($C$1,Database!$A$1:$C$1,),))</f>
        <v/>
      </c>
      <c r="D9047">
        <f>IFERROR(Table7[[#This Row],[United States 10y]]-Table7[[#This Row],[United States 3y]],#N/A)</f>
        <v/>
      </c>
    </row>
    <row r="9048">
      <c r="A9048" s="6">
        <f>Database!$A11133</f>
        <v/>
      </c>
      <c r="B9048">
        <f>IF(VLOOKUP(Table7[[#This Row],[Date]],Database!$A:$C,MATCH($B$1,Database!$A$1:$C$1,),)=0,#N/A,VLOOKUP(Table7[[#This Row],[Date]],Database!$A:$C,MATCH($B$1,Database!$A$1:$C$1,),))</f>
        <v/>
      </c>
      <c r="C9048">
        <f>IF(VLOOKUP(Table7[[#This Row],[Date]],Database!$A:$C,MATCH($C$1,Database!$A$1:$C$1,),)=0,#N/A,VLOOKUP(Table7[[#This Row],[Date]],Database!$A:$C,MATCH($C$1,Database!$A$1:$C$1,),))</f>
        <v/>
      </c>
      <c r="D9048">
        <f>IFERROR(Table7[[#This Row],[United States 10y]]-Table7[[#This Row],[United States 3y]],#N/A)</f>
        <v/>
      </c>
    </row>
    <row r="9049">
      <c r="A9049" s="6">
        <f>Database!$A11134</f>
        <v/>
      </c>
      <c r="B9049">
        <f>IF(VLOOKUP(Table7[[#This Row],[Date]],Database!$A:$C,MATCH($B$1,Database!$A$1:$C$1,),)=0,#N/A,VLOOKUP(Table7[[#This Row],[Date]],Database!$A:$C,MATCH($B$1,Database!$A$1:$C$1,),))</f>
        <v/>
      </c>
      <c r="C9049">
        <f>IF(VLOOKUP(Table7[[#This Row],[Date]],Database!$A:$C,MATCH($C$1,Database!$A$1:$C$1,),)=0,#N/A,VLOOKUP(Table7[[#This Row],[Date]],Database!$A:$C,MATCH($C$1,Database!$A$1:$C$1,),))</f>
        <v/>
      </c>
      <c r="D9049">
        <f>IFERROR(Table7[[#This Row],[United States 10y]]-Table7[[#This Row],[United States 3y]],#N/A)</f>
        <v/>
      </c>
    </row>
    <row r="9050">
      <c r="A9050" s="6">
        <f>Database!$A11135</f>
        <v/>
      </c>
      <c r="B9050">
        <f>IF(VLOOKUP(Table7[[#This Row],[Date]],Database!$A:$C,MATCH($B$1,Database!$A$1:$C$1,),)=0,#N/A,VLOOKUP(Table7[[#This Row],[Date]],Database!$A:$C,MATCH($B$1,Database!$A$1:$C$1,),))</f>
        <v/>
      </c>
      <c r="C9050">
        <f>IF(VLOOKUP(Table7[[#This Row],[Date]],Database!$A:$C,MATCH($C$1,Database!$A$1:$C$1,),)=0,#N/A,VLOOKUP(Table7[[#This Row],[Date]],Database!$A:$C,MATCH($C$1,Database!$A$1:$C$1,),))</f>
        <v/>
      </c>
      <c r="D9050">
        <f>IFERROR(Table7[[#This Row],[United States 10y]]-Table7[[#This Row],[United States 3y]],#N/A)</f>
        <v/>
      </c>
    </row>
    <row r="9051">
      <c r="A9051" s="6">
        <f>Database!$A11136</f>
        <v/>
      </c>
      <c r="B9051">
        <f>IF(VLOOKUP(Table7[[#This Row],[Date]],Database!$A:$C,MATCH($B$1,Database!$A$1:$C$1,),)=0,#N/A,VLOOKUP(Table7[[#This Row],[Date]],Database!$A:$C,MATCH($B$1,Database!$A$1:$C$1,),))</f>
        <v/>
      </c>
      <c r="C9051">
        <f>IF(VLOOKUP(Table7[[#This Row],[Date]],Database!$A:$C,MATCH($C$1,Database!$A$1:$C$1,),)=0,#N/A,VLOOKUP(Table7[[#This Row],[Date]],Database!$A:$C,MATCH($C$1,Database!$A$1:$C$1,),))</f>
        <v/>
      </c>
      <c r="D9051">
        <f>IFERROR(Table7[[#This Row],[United States 10y]]-Table7[[#This Row],[United States 3y]],#N/A)</f>
        <v/>
      </c>
    </row>
    <row r="9052">
      <c r="A9052" s="6">
        <f>Database!$A11137</f>
        <v/>
      </c>
      <c r="B9052">
        <f>IF(VLOOKUP(Table7[[#This Row],[Date]],Database!$A:$C,MATCH($B$1,Database!$A$1:$C$1,),)=0,#N/A,VLOOKUP(Table7[[#This Row],[Date]],Database!$A:$C,MATCH($B$1,Database!$A$1:$C$1,),))</f>
        <v/>
      </c>
      <c r="C9052">
        <f>IF(VLOOKUP(Table7[[#This Row],[Date]],Database!$A:$C,MATCH($C$1,Database!$A$1:$C$1,),)=0,#N/A,VLOOKUP(Table7[[#This Row],[Date]],Database!$A:$C,MATCH($C$1,Database!$A$1:$C$1,),))</f>
        <v/>
      </c>
      <c r="D9052">
        <f>IFERROR(Table7[[#This Row],[United States 10y]]-Table7[[#This Row],[United States 3y]],#N/A)</f>
        <v/>
      </c>
    </row>
    <row r="9053">
      <c r="A9053" s="6">
        <f>Database!$A11138</f>
        <v/>
      </c>
      <c r="B9053">
        <f>IF(VLOOKUP(Table7[[#This Row],[Date]],Database!$A:$C,MATCH($B$1,Database!$A$1:$C$1,),)=0,#N/A,VLOOKUP(Table7[[#This Row],[Date]],Database!$A:$C,MATCH($B$1,Database!$A$1:$C$1,),))</f>
        <v/>
      </c>
      <c r="C9053">
        <f>IF(VLOOKUP(Table7[[#This Row],[Date]],Database!$A:$C,MATCH($C$1,Database!$A$1:$C$1,),)=0,#N/A,VLOOKUP(Table7[[#This Row],[Date]],Database!$A:$C,MATCH($C$1,Database!$A$1:$C$1,),))</f>
        <v/>
      </c>
      <c r="D9053">
        <f>IFERROR(Table7[[#This Row],[United States 10y]]-Table7[[#This Row],[United States 3y]],#N/A)</f>
        <v/>
      </c>
    </row>
    <row r="9054">
      <c r="A9054" s="6">
        <f>Database!$A11139</f>
        <v/>
      </c>
      <c r="B9054">
        <f>IF(VLOOKUP(Table7[[#This Row],[Date]],Database!$A:$C,MATCH($B$1,Database!$A$1:$C$1,),)=0,#N/A,VLOOKUP(Table7[[#This Row],[Date]],Database!$A:$C,MATCH($B$1,Database!$A$1:$C$1,),))</f>
        <v/>
      </c>
      <c r="C9054">
        <f>IF(VLOOKUP(Table7[[#This Row],[Date]],Database!$A:$C,MATCH($C$1,Database!$A$1:$C$1,),)=0,#N/A,VLOOKUP(Table7[[#This Row],[Date]],Database!$A:$C,MATCH($C$1,Database!$A$1:$C$1,),))</f>
        <v/>
      </c>
      <c r="D9054">
        <f>IFERROR(Table7[[#This Row],[United States 10y]]-Table7[[#This Row],[United States 3y]],#N/A)</f>
        <v/>
      </c>
    </row>
    <row r="9055">
      <c r="A9055" s="6">
        <f>Database!$A11140</f>
        <v/>
      </c>
      <c r="B9055">
        <f>IF(VLOOKUP(Table7[[#This Row],[Date]],Database!$A:$C,MATCH($B$1,Database!$A$1:$C$1,),)=0,#N/A,VLOOKUP(Table7[[#This Row],[Date]],Database!$A:$C,MATCH($B$1,Database!$A$1:$C$1,),))</f>
        <v/>
      </c>
      <c r="C9055">
        <f>IF(VLOOKUP(Table7[[#This Row],[Date]],Database!$A:$C,MATCH($C$1,Database!$A$1:$C$1,),)=0,#N/A,VLOOKUP(Table7[[#This Row],[Date]],Database!$A:$C,MATCH($C$1,Database!$A$1:$C$1,),))</f>
        <v/>
      </c>
      <c r="D9055">
        <f>IFERROR(Table7[[#This Row],[United States 10y]]-Table7[[#This Row],[United States 3y]],#N/A)</f>
        <v/>
      </c>
    </row>
    <row r="9056">
      <c r="A9056" s="6">
        <f>Database!$A11141</f>
        <v/>
      </c>
      <c r="B9056">
        <f>IF(VLOOKUP(Table7[[#This Row],[Date]],Database!$A:$C,MATCH($B$1,Database!$A$1:$C$1,),)=0,#N/A,VLOOKUP(Table7[[#This Row],[Date]],Database!$A:$C,MATCH($B$1,Database!$A$1:$C$1,),))</f>
        <v/>
      </c>
      <c r="C9056">
        <f>IF(VLOOKUP(Table7[[#This Row],[Date]],Database!$A:$C,MATCH($C$1,Database!$A$1:$C$1,),)=0,#N/A,VLOOKUP(Table7[[#This Row],[Date]],Database!$A:$C,MATCH($C$1,Database!$A$1:$C$1,),))</f>
        <v/>
      </c>
      <c r="D9056">
        <f>IFERROR(Table7[[#This Row],[United States 10y]]-Table7[[#This Row],[United States 3y]],#N/A)</f>
        <v/>
      </c>
    </row>
    <row r="9057">
      <c r="A9057" s="6">
        <f>Database!$A11142</f>
        <v/>
      </c>
      <c r="B9057">
        <f>IF(VLOOKUP(Table7[[#This Row],[Date]],Database!$A:$C,MATCH($B$1,Database!$A$1:$C$1,),)=0,#N/A,VLOOKUP(Table7[[#This Row],[Date]],Database!$A:$C,MATCH($B$1,Database!$A$1:$C$1,),))</f>
        <v/>
      </c>
      <c r="C9057">
        <f>IF(VLOOKUP(Table7[[#This Row],[Date]],Database!$A:$C,MATCH($C$1,Database!$A$1:$C$1,),)=0,#N/A,VLOOKUP(Table7[[#This Row],[Date]],Database!$A:$C,MATCH($C$1,Database!$A$1:$C$1,),))</f>
        <v/>
      </c>
      <c r="D9057">
        <f>IFERROR(Table7[[#This Row],[United States 10y]]-Table7[[#This Row],[United States 3y]],#N/A)</f>
        <v/>
      </c>
    </row>
    <row r="9058">
      <c r="A9058" s="6">
        <f>Database!$A11143</f>
        <v/>
      </c>
      <c r="B9058">
        <f>IF(VLOOKUP(Table7[[#This Row],[Date]],Database!$A:$C,MATCH($B$1,Database!$A$1:$C$1,),)=0,#N/A,VLOOKUP(Table7[[#This Row],[Date]],Database!$A:$C,MATCH($B$1,Database!$A$1:$C$1,),))</f>
        <v/>
      </c>
      <c r="C9058">
        <f>IF(VLOOKUP(Table7[[#This Row],[Date]],Database!$A:$C,MATCH($C$1,Database!$A$1:$C$1,),)=0,#N/A,VLOOKUP(Table7[[#This Row],[Date]],Database!$A:$C,MATCH($C$1,Database!$A$1:$C$1,),))</f>
        <v/>
      </c>
      <c r="D9058">
        <f>IFERROR(Table7[[#This Row],[United States 10y]]-Table7[[#This Row],[United States 3y]],#N/A)</f>
        <v/>
      </c>
    </row>
    <row r="9059">
      <c r="A9059" s="6">
        <f>Database!$A11144</f>
        <v/>
      </c>
      <c r="B9059">
        <f>IF(VLOOKUP(Table7[[#This Row],[Date]],Database!$A:$C,MATCH($B$1,Database!$A$1:$C$1,),)=0,#N/A,VLOOKUP(Table7[[#This Row],[Date]],Database!$A:$C,MATCH($B$1,Database!$A$1:$C$1,),))</f>
        <v/>
      </c>
      <c r="C9059">
        <f>IF(VLOOKUP(Table7[[#This Row],[Date]],Database!$A:$C,MATCH($C$1,Database!$A$1:$C$1,),)=0,#N/A,VLOOKUP(Table7[[#This Row],[Date]],Database!$A:$C,MATCH($C$1,Database!$A$1:$C$1,),))</f>
        <v/>
      </c>
      <c r="D9059">
        <f>IFERROR(Table7[[#This Row],[United States 10y]]-Table7[[#This Row],[United States 3y]],#N/A)</f>
        <v/>
      </c>
    </row>
    <row r="9060">
      <c r="A9060" s="6">
        <f>Database!$A11145</f>
        <v/>
      </c>
      <c r="B9060">
        <f>IF(VLOOKUP(Table7[[#This Row],[Date]],Database!$A:$C,MATCH($B$1,Database!$A$1:$C$1,),)=0,#N/A,VLOOKUP(Table7[[#This Row],[Date]],Database!$A:$C,MATCH($B$1,Database!$A$1:$C$1,),))</f>
        <v/>
      </c>
      <c r="C9060">
        <f>IF(VLOOKUP(Table7[[#This Row],[Date]],Database!$A:$C,MATCH($C$1,Database!$A$1:$C$1,),)=0,#N/A,VLOOKUP(Table7[[#This Row],[Date]],Database!$A:$C,MATCH($C$1,Database!$A$1:$C$1,),))</f>
        <v/>
      </c>
      <c r="D9060">
        <f>IFERROR(Table7[[#This Row],[United States 10y]]-Table7[[#This Row],[United States 3y]],#N/A)</f>
        <v/>
      </c>
    </row>
    <row r="9061">
      <c r="A9061" s="6">
        <f>Database!$A11146</f>
        <v/>
      </c>
      <c r="B9061">
        <f>IF(VLOOKUP(Table7[[#This Row],[Date]],Database!$A:$C,MATCH($B$1,Database!$A$1:$C$1,),)=0,#N/A,VLOOKUP(Table7[[#This Row],[Date]],Database!$A:$C,MATCH($B$1,Database!$A$1:$C$1,),))</f>
        <v/>
      </c>
      <c r="C9061">
        <f>IF(VLOOKUP(Table7[[#This Row],[Date]],Database!$A:$C,MATCH($C$1,Database!$A$1:$C$1,),)=0,#N/A,VLOOKUP(Table7[[#This Row],[Date]],Database!$A:$C,MATCH($C$1,Database!$A$1:$C$1,),))</f>
        <v/>
      </c>
      <c r="D9061">
        <f>IFERROR(Table7[[#This Row],[United States 10y]]-Table7[[#This Row],[United States 3y]],#N/A)</f>
        <v/>
      </c>
    </row>
    <row r="9062">
      <c r="A9062" s="6">
        <f>Database!$A11147</f>
        <v/>
      </c>
      <c r="B9062">
        <f>IF(VLOOKUP(Table7[[#This Row],[Date]],Database!$A:$C,MATCH($B$1,Database!$A$1:$C$1,),)=0,#N/A,VLOOKUP(Table7[[#This Row],[Date]],Database!$A:$C,MATCH($B$1,Database!$A$1:$C$1,),))</f>
        <v/>
      </c>
      <c r="C9062">
        <f>IF(VLOOKUP(Table7[[#This Row],[Date]],Database!$A:$C,MATCH($C$1,Database!$A$1:$C$1,),)=0,#N/A,VLOOKUP(Table7[[#This Row],[Date]],Database!$A:$C,MATCH($C$1,Database!$A$1:$C$1,),))</f>
        <v/>
      </c>
      <c r="D9062">
        <f>IFERROR(Table7[[#This Row],[United States 10y]]-Table7[[#This Row],[United States 3y]],#N/A)</f>
        <v/>
      </c>
    </row>
    <row r="9063">
      <c r="A9063" s="6">
        <f>Database!$A11148</f>
        <v/>
      </c>
      <c r="B9063">
        <f>IF(VLOOKUP(Table7[[#This Row],[Date]],Database!$A:$C,MATCH($B$1,Database!$A$1:$C$1,),)=0,#N/A,VLOOKUP(Table7[[#This Row],[Date]],Database!$A:$C,MATCH($B$1,Database!$A$1:$C$1,),))</f>
        <v/>
      </c>
      <c r="C9063">
        <f>IF(VLOOKUP(Table7[[#This Row],[Date]],Database!$A:$C,MATCH($C$1,Database!$A$1:$C$1,),)=0,#N/A,VLOOKUP(Table7[[#This Row],[Date]],Database!$A:$C,MATCH($C$1,Database!$A$1:$C$1,),))</f>
        <v/>
      </c>
      <c r="D9063">
        <f>IFERROR(Table7[[#This Row],[United States 10y]]-Table7[[#This Row],[United States 3y]],#N/A)</f>
        <v/>
      </c>
    </row>
    <row r="9064">
      <c r="A9064" s="6">
        <f>Database!$A11149</f>
        <v/>
      </c>
      <c r="B9064">
        <f>IF(VLOOKUP(Table7[[#This Row],[Date]],Database!$A:$C,MATCH($B$1,Database!$A$1:$C$1,),)=0,#N/A,VLOOKUP(Table7[[#This Row],[Date]],Database!$A:$C,MATCH($B$1,Database!$A$1:$C$1,),))</f>
        <v/>
      </c>
      <c r="C9064">
        <f>IF(VLOOKUP(Table7[[#This Row],[Date]],Database!$A:$C,MATCH($C$1,Database!$A$1:$C$1,),)=0,#N/A,VLOOKUP(Table7[[#This Row],[Date]],Database!$A:$C,MATCH($C$1,Database!$A$1:$C$1,),))</f>
        <v/>
      </c>
      <c r="D9064">
        <f>IFERROR(Table7[[#This Row],[United States 10y]]-Table7[[#This Row],[United States 3y]],#N/A)</f>
        <v/>
      </c>
    </row>
    <row r="9065">
      <c r="A9065" s="6">
        <f>Database!$A11150</f>
        <v/>
      </c>
      <c r="B9065">
        <f>IF(VLOOKUP(Table7[[#This Row],[Date]],Database!$A:$C,MATCH($B$1,Database!$A$1:$C$1,),)=0,#N/A,VLOOKUP(Table7[[#This Row],[Date]],Database!$A:$C,MATCH($B$1,Database!$A$1:$C$1,),))</f>
        <v/>
      </c>
      <c r="C9065">
        <f>IF(VLOOKUP(Table7[[#This Row],[Date]],Database!$A:$C,MATCH($C$1,Database!$A$1:$C$1,),)=0,#N/A,VLOOKUP(Table7[[#This Row],[Date]],Database!$A:$C,MATCH($C$1,Database!$A$1:$C$1,),))</f>
        <v/>
      </c>
      <c r="D9065">
        <f>IFERROR(Table7[[#This Row],[United States 10y]]-Table7[[#This Row],[United States 3y]],#N/A)</f>
        <v/>
      </c>
    </row>
    <row r="9066">
      <c r="A9066" s="6">
        <f>Database!$A11151</f>
        <v/>
      </c>
      <c r="B9066">
        <f>IF(VLOOKUP(Table7[[#This Row],[Date]],Database!$A:$C,MATCH($B$1,Database!$A$1:$C$1,),)=0,#N/A,VLOOKUP(Table7[[#This Row],[Date]],Database!$A:$C,MATCH($B$1,Database!$A$1:$C$1,),))</f>
        <v/>
      </c>
      <c r="C9066">
        <f>IF(VLOOKUP(Table7[[#This Row],[Date]],Database!$A:$C,MATCH($C$1,Database!$A$1:$C$1,),)=0,#N/A,VLOOKUP(Table7[[#This Row],[Date]],Database!$A:$C,MATCH($C$1,Database!$A$1:$C$1,),))</f>
        <v/>
      </c>
      <c r="D9066">
        <f>IFERROR(Table7[[#This Row],[United States 10y]]-Table7[[#This Row],[United States 3y]],#N/A)</f>
        <v/>
      </c>
    </row>
    <row r="9067">
      <c r="A9067" s="6">
        <f>Database!$A11152</f>
        <v/>
      </c>
      <c r="B9067">
        <f>IF(VLOOKUP(Table7[[#This Row],[Date]],Database!$A:$C,MATCH($B$1,Database!$A$1:$C$1,),)=0,#N/A,VLOOKUP(Table7[[#This Row],[Date]],Database!$A:$C,MATCH($B$1,Database!$A$1:$C$1,),))</f>
        <v/>
      </c>
      <c r="C9067">
        <f>IF(VLOOKUP(Table7[[#This Row],[Date]],Database!$A:$C,MATCH($C$1,Database!$A$1:$C$1,),)=0,#N/A,VLOOKUP(Table7[[#This Row],[Date]],Database!$A:$C,MATCH($C$1,Database!$A$1:$C$1,),))</f>
        <v/>
      </c>
      <c r="D9067">
        <f>IFERROR(Table7[[#This Row],[United States 10y]]-Table7[[#This Row],[United States 3y]],#N/A)</f>
        <v/>
      </c>
    </row>
    <row r="9068">
      <c r="A9068" s="6">
        <f>Database!$A11153</f>
        <v/>
      </c>
      <c r="B9068">
        <f>IF(VLOOKUP(Table7[[#This Row],[Date]],Database!$A:$C,MATCH($B$1,Database!$A$1:$C$1,),)=0,#N/A,VLOOKUP(Table7[[#This Row],[Date]],Database!$A:$C,MATCH($B$1,Database!$A$1:$C$1,),))</f>
        <v/>
      </c>
      <c r="C9068">
        <f>IF(VLOOKUP(Table7[[#This Row],[Date]],Database!$A:$C,MATCH($C$1,Database!$A$1:$C$1,),)=0,#N/A,VLOOKUP(Table7[[#This Row],[Date]],Database!$A:$C,MATCH($C$1,Database!$A$1:$C$1,),))</f>
        <v/>
      </c>
      <c r="D9068">
        <f>IFERROR(Table7[[#This Row],[United States 10y]]-Table7[[#This Row],[United States 3y]],#N/A)</f>
        <v/>
      </c>
    </row>
    <row r="9069">
      <c r="A9069" s="6">
        <f>Database!$A11154</f>
        <v/>
      </c>
      <c r="B9069">
        <f>IF(VLOOKUP(Table7[[#This Row],[Date]],Database!$A:$C,MATCH($B$1,Database!$A$1:$C$1,),)=0,#N/A,VLOOKUP(Table7[[#This Row],[Date]],Database!$A:$C,MATCH($B$1,Database!$A$1:$C$1,),))</f>
        <v/>
      </c>
      <c r="C9069">
        <f>IF(VLOOKUP(Table7[[#This Row],[Date]],Database!$A:$C,MATCH($C$1,Database!$A$1:$C$1,),)=0,#N/A,VLOOKUP(Table7[[#This Row],[Date]],Database!$A:$C,MATCH($C$1,Database!$A$1:$C$1,),))</f>
        <v/>
      </c>
      <c r="D9069">
        <f>IFERROR(Table7[[#This Row],[United States 10y]]-Table7[[#This Row],[United States 3y]],#N/A)</f>
        <v/>
      </c>
    </row>
    <row r="9070">
      <c r="A9070" s="6">
        <f>Database!$A11155</f>
        <v/>
      </c>
      <c r="B9070">
        <f>IF(VLOOKUP(Table7[[#This Row],[Date]],Database!$A:$C,MATCH($B$1,Database!$A$1:$C$1,),)=0,#N/A,VLOOKUP(Table7[[#This Row],[Date]],Database!$A:$C,MATCH($B$1,Database!$A$1:$C$1,),))</f>
        <v/>
      </c>
      <c r="C9070">
        <f>IF(VLOOKUP(Table7[[#This Row],[Date]],Database!$A:$C,MATCH($C$1,Database!$A$1:$C$1,),)=0,#N/A,VLOOKUP(Table7[[#This Row],[Date]],Database!$A:$C,MATCH($C$1,Database!$A$1:$C$1,),))</f>
        <v/>
      </c>
      <c r="D9070">
        <f>IFERROR(Table7[[#This Row],[United States 10y]]-Table7[[#This Row],[United States 3y]],#N/A)</f>
        <v/>
      </c>
    </row>
    <row r="9071">
      <c r="A9071" s="6">
        <f>Database!$A11156</f>
        <v/>
      </c>
      <c r="B9071">
        <f>IF(VLOOKUP(Table7[[#This Row],[Date]],Database!$A:$C,MATCH($B$1,Database!$A$1:$C$1,),)=0,#N/A,VLOOKUP(Table7[[#This Row],[Date]],Database!$A:$C,MATCH($B$1,Database!$A$1:$C$1,),))</f>
        <v/>
      </c>
      <c r="C9071">
        <f>IF(VLOOKUP(Table7[[#This Row],[Date]],Database!$A:$C,MATCH($C$1,Database!$A$1:$C$1,),)=0,#N/A,VLOOKUP(Table7[[#This Row],[Date]],Database!$A:$C,MATCH($C$1,Database!$A$1:$C$1,),))</f>
        <v/>
      </c>
      <c r="D9071">
        <f>IFERROR(Table7[[#This Row],[United States 10y]]-Table7[[#This Row],[United States 3y]],#N/A)</f>
        <v/>
      </c>
    </row>
    <row r="9072">
      <c r="A9072" s="6">
        <f>Database!$A11157</f>
        <v/>
      </c>
      <c r="B9072">
        <f>IF(VLOOKUP(Table7[[#This Row],[Date]],Database!$A:$C,MATCH($B$1,Database!$A$1:$C$1,),)=0,#N/A,VLOOKUP(Table7[[#This Row],[Date]],Database!$A:$C,MATCH($B$1,Database!$A$1:$C$1,),))</f>
        <v/>
      </c>
      <c r="C9072">
        <f>IF(VLOOKUP(Table7[[#This Row],[Date]],Database!$A:$C,MATCH($C$1,Database!$A$1:$C$1,),)=0,#N/A,VLOOKUP(Table7[[#This Row],[Date]],Database!$A:$C,MATCH($C$1,Database!$A$1:$C$1,),))</f>
        <v/>
      </c>
      <c r="D9072">
        <f>IFERROR(Table7[[#This Row],[United States 10y]]-Table7[[#This Row],[United States 3y]],#N/A)</f>
        <v/>
      </c>
    </row>
    <row r="9073">
      <c r="A9073" s="6">
        <f>Database!$A11158</f>
        <v/>
      </c>
      <c r="B9073">
        <f>IF(VLOOKUP(Table7[[#This Row],[Date]],Database!$A:$C,MATCH($B$1,Database!$A$1:$C$1,),)=0,#N/A,VLOOKUP(Table7[[#This Row],[Date]],Database!$A:$C,MATCH($B$1,Database!$A$1:$C$1,),))</f>
        <v/>
      </c>
      <c r="C9073">
        <f>IF(VLOOKUP(Table7[[#This Row],[Date]],Database!$A:$C,MATCH($C$1,Database!$A$1:$C$1,),)=0,#N/A,VLOOKUP(Table7[[#This Row],[Date]],Database!$A:$C,MATCH($C$1,Database!$A$1:$C$1,),))</f>
        <v/>
      </c>
      <c r="D9073">
        <f>IFERROR(Table7[[#This Row],[United States 10y]]-Table7[[#This Row],[United States 3y]],#N/A)</f>
        <v/>
      </c>
    </row>
    <row r="9074">
      <c r="A9074" s="6">
        <f>Database!$A11159</f>
        <v/>
      </c>
      <c r="B9074">
        <f>IF(VLOOKUP(Table7[[#This Row],[Date]],Database!$A:$C,MATCH($B$1,Database!$A$1:$C$1,),)=0,#N/A,VLOOKUP(Table7[[#This Row],[Date]],Database!$A:$C,MATCH($B$1,Database!$A$1:$C$1,),))</f>
        <v/>
      </c>
      <c r="C9074">
        <f>IF(VLOOKUP(Table7[[#This Row],[Date]],Database!$A:$C,MATCH($C$1,Database!$A$1:$C$1,),)=0,#N/A,VLOOKUP(Table7[[#This Row],[Date]],Database!$A:$C,MATCH($C$1,Database!$A$1:$C$1,),))</f>
        <v/>
      </c>
      <c r="D9074">
        <f>IFERROR(Table7[[#This Row],[United States 10y]]-Table7[[#This Row],[United States 3y]],#N/A)</f>
        <v/>
      </c>
    </row>
    <row r="9075">
      <c r="A9075" s="6">
        <f>Database!$A11160</f>
        <v/>
      </c>
      <c r="B9075">
        <f>IF(VLOOKUP(Table7[[#This Row],[Date]],Database!$A:$C,MATCH($B$1,Database!$A$1:$C$1,),)=0,#N/A,VLOOKUP(Table7[[#This Row],[Date]],Database!$A:$C,MATCH($B$1,Database!$A$1:$C$1,),))</f>
        <v/>
      </c>
      <c r="C9075">
        <f>IF(VLOOKUP(Table7[[#This Row],[Date]],Database!$A:$C,MATCH($C$1,Database!$A$1:$C$1,),)=0,#N/A,VLOOKUP(Table7[[#This Row],[Date]],Database!$A:$C,MATCH($C$1,Database!$A$1:$C$1,),))</f>
        <v/>
      </c>
      <c r="D9075">
        <f>IFERROR(Table7[[#This Row],[United States 10y]]-Table7[[#This Row],[United States 3y]],#N/A)</f>
        <v/>
      </c>
    </row>
    <row r="9076">
      <c r="A9076" s="6">
        <f>Database!$A11161</f>
        <v/>
      </c>
      <c r="B9076">
        <f>IF(VLOOKUP(Table7[[#This Row],[Date]],Database!$A:$C,MATCH($B$1,Database!$A$1:$C$1,),)=0,#N/A,VLOOKUP(Table7[[#This Row],[Date]],Database!$A:$C,MATCH($B$1,Database!$A$1:$C$1,),))</f>
        <v/>
      </c>
      <c r="C9076">
        <f>IF(VLOOKUP(Table7[[#This Row],[Date]],Database!$A:$C,MATCH($C$1,Database!$A$1:$C$1,),)=0,#N/A,VLOOKUP(Table7[[#This Row],[Date]],Database!$A:$C,MATCH($C$1,Database!$A$1:$C$1,),))</f>
        <v/>
      </c>
      <c r="D9076">
        <f>IFERROR(Table7[[#This Row],[United States 10y]]-Table7[[#This Row],[United States 3y]],#N/A)</f>
        <v/>
      </c>
    </row>
    <row r="9077">
      <c r="A9077" s="6">
        <f>Database!$A11162</f>
        <v/>
      </c>
      <c r="B9077">
        <f>IF(VLOOKUP(Table7[[#This Row],[Date]],Database!$A:$C,MATCH($B$1,Database!$A$1:$C$1,),)=0,#N/A,VLOOKUP(Table7[[#This Row],[Date]],Database!$A:$C,MATCH($B$1,Database!$A$1:$C$1,),))</f>
        <v/>
      </c>
      <c r="C9077">
        <f>IF(VLOOKUP(Table7[[#This Row],[Date]],Database!$A:$C,MATCH($C$1,Database!$A$1:$C$1,),)=0,#N/A,VLOOKUP(Table7[[#This Row],[Date]],Database!$A:$C,MATCH($C$1,Database!$A$1:$C$1,),))</f>
        <v/>
      </c>
      <c r="D9077">
        <f>IFERROR(Table7[[#This Row],[United States 10y]]-Table7[[#This Row],[United States 3y]],#N/A)</f>
        <v/>
      </c>
    </row>
    <row r="9078">
      <c r="A9078" s="6">
        <f>Database!$A11163</f>
        <v/>
      </c>
      <c r="B9078">
        <f>IF(VLOOKUP(Table7[[#This Row],[Date]],Database!$A:$C,MATCH($B$1,Database!$A$1:$C$1,),)=0,#N/A,VLOOKUP(Table7[[#This Row],[Date]],Database!$A:$C,MATCH($B$1,Database!$A$1:$C$1,),))</f>
        <v/>
      </c>
      <c r="C9078">
        <f>IF(VLOOKUP(Table7[[#This Row],[Date]],Database!$A:$C,MATCH($C$1,Database!$A$1:$C$1,),)=0,#N/A,VLOOKUP(Table7[[#This Row],[Date]],Database!$A:$C,MATCH($C$1,Database!$A$1:$C$1,),))</f>
        <v/>
      </c>
      <c r="D9078">
        <f>IFERROR(Table7[[#This Row],[United States 10y]]-Table7[[#This Row],[United States 3y]],#N/A)</f>
        <v/>
      </c>
    </row>
    <row r="9079">
      <c r="A9079" s="6">
        <f>Database!$A11164</f>
        <v/>
      </c>
      <c r="B9079">
        <f>IF(VLOOKUP(Table7[[#This Row],[Date]],Database!$A:$C,MATCH($B$1,Database!$A$1:$C$1,),)=0,#N/A,VLOOKUP(Table7[[#This Row],[Date]],Database!$A:$C,MATCH($B$1,Database!$A$1:$C$1,),))</f>
        <v/>
      </c>
      <c r="C9079">
        <f>IF(VLOOKUP(Table7[[#This Row],[Date]],Database!$A:$C,MATCH($C$1,Database!$A$1:$C$1,),)=0,#N/A,VLOOKUP(Table7[[#This Row],[Date]],Database!$A:$C,MATCH($C$1,Database!$A$1:$C$1,),))</f>
        <v/>
      </c>
      <c r="D9079">
        <f>IFERROR(Table7[[#This Row],[United States 10y]]-Table7[[#This Row],[United States 3y]],#N/A)</f>
        <v/>
      </c>
    </row>
    <row r="9080">
      <c r="A9080" s="6">
        <f>Database!$A11165</f>
        <v/>
      </c>
      <c r="B9080">
        <f>IF(VLOOKUP(Table7[[#This Row],[Date]],Database!$A:$C,MATCH($B$1,Database!$A$1:$C$1,),)=0,#N/A,VLOOKUP(Table7[[#This Row],[Date]],Database!$A:$C,MATCH($B$1,Database!$A$1:$C$1,),))</f>
        <v/>
      </c>
      <c r="C9080">
        <f>IF(VLOOKUP(Table7[[#This Row],[Date]],Database!$A:$C,MATCH($C$1,Database!$A$1:$C$1,),)=0,#N/A,VLOOKUP(Table7[[#This Row],[Date]],Database!$A:$C,MATCH($C$1,Database!$A$1:$C$1,),))</f>
        <v/>
      </c>
      <c r="D9080">
        <f>IFERROR(Table7[[#This Row],[United States 10y]]-Table7[[#This Row],[United States 3y]],#N/A)</f>
        <v/>
      </c>
    </row>
    <row r="9081">
      <c r="A9081" s="6">
        <f>Database!$A11166</f>
        <v/>
      </c>
      <c r="B9081">
        <f>IF(VLOOKUP(Table7[[#This Row],[Date]],Database!$A:$C,MATCH($B$1,Database!$A$1:$C$1,),)=0,#N/A,VLOOKUP(Table7[[#This Row],[Date]],Database!$A:$C,MATCH($B$1,Database!$A$1:$C$1,),))</f>
        <v/>
      </c>
      <c r="C9081">
        <f>IF(VLOOKUP(Table7[[#This Row],[Date]],Database!$A:$C,MATCH($C$1,Database!$A$1:$C$1,),)=0,#N/A,VLOOKUP(Table7[[#This Row],[Date]],Database!$A:$C,MATCH($C$1,Database!$A$1:$C$1,),))</f>
        <v/>
      </c>
      <c r="D9081">
        <f>IFERROR(Table7[[#This Row],[United States 10y]]-Table7[[#This Row],[United States 3y]],#N/A)</f>
        <v/>
      </c>
    </row>
    <row r="9082">
      <c r="A9082" s="6">
        <f>Database!$A11167</f>
        <v/>
      </c>
      <c r="B9082">
        <f>IF(VLOOKUP(Table7[[#This Row],[Date]],Database!$A:$C,MATCH($B$1,Database!$A$1:$C$1,),)=0,#N/A,VLOOKUP(Table7[[#This Row],[Date]],Database!$A:$C,MATCH($B$1,Database!$A$1:$C$1,),))</f>
        <v/>
      </c>
      <c r="C9082">
        <f>IF(VLOOKUP(Table7[[#This Row],[Date]],Database!$A:$C,MATCH($C$1,Database!$A$1:$C$1,),)=0,#N/A,VLOOKUP(Table7[[#This Row],[Date]],Database!$A:$C,MATCH($C$1,Database!$A$1:$C$1,),))</f>
        <v/>
      </c>
      <c r="D9082">
        <f>IFERROR(Table7[[#This Row],[United States 10y]]-Table7[[#This Row],[United States 3y]],#N/A)</f>
        <v/>
      </c>
    </row>
    <row r="9083">
      <c r="A9083" s="6">
        <f>Database!$A11168</f>
        <v/>
      </c>
      <c r="B9083">
        <f>IF(VLOOKUP(Table7[[#This Row],[Date]],Database!$A:$C,MATCH($B$1,Database!$A$1:$C$1,),)=0,#N/A,VLOOKUP(Table7[[#This Row],[Date]],Database!$A:$C,MATCH($B$1,Database!$A$1:$C$1,),))</f>
        <v/>
      </c>
      <c r="C9083">
        <f>IF(VLOOKUP(Table7[[#This Row],[Date]],Database!$A:$C,MATCH($C$1,Database!$A$1:$C$1,),)=0,#N/A,VLOOKUP(Table7[[#This Row],[Date]],Database!$A:$C,MATCH($C$1,Database!$A$1:$C$1,),))</f>
        <v/>
      </c>
      <c r="D9083">
        <f>IFERROR(Table7[[#This Row],[United States 10y]]-Table7[[#This Row],[United States 3y]],#N/A)</f>
        <v/>
      </c>
    </row>
    <row r="9084">
      <c r="A9084" s="6">
        <f>Database!$A11169</f>
        <v/>
      </c>
      <c r="B9084">
        <f>IF(VLOOKUP(Table7[[#This Row],[Date]],Database!$A:$C,MATCH($B$1,Database!$A$1:$C$1,),)=0,#N/A,VLOOKUP(Table7[[#This Row],[Date]],Database!$A:$C,MATCH($B$1,Database!$A$1:$C$1,),))</f>
        <v/>
      </c>
      <c r="C9084">
        <f>IF(VLOOKUP(Table7[[#This Row],[Date]],Database!$A:$C,MATCH($C$1,Database!$A$1:$C$1,),)=0,#N/A,VLOOKUP(Table7[[#This Row],[Date]],Database!$A:$C,MATCH($C$1,Database!$A$1:$C$1,),))</f>
        <v/>
      </c>
      <c r="D9084">
        <f>IFERROR(Table7[[#This Row],[United States 10y]]-Table7[[#This Row],[United States 3y]],#N/A)</f>
        <v/>
      </c>
    </row>
    <row r="9085">
      <c r="A9085" s="6">
        <f>Database!$A11170</f>
        <v/>
      </c>
      <c r="B9085">
        <f>IF(VLOOKUP(Table7[[#This Row],[Date]],Database!$A:$C,MATCH($B$1,Database!$A$1:$C$1,),)=0,#N/A,VLOOKUP(Table7[[#This Row],[Date]],Database!$A:$C,MATCH($B$1,Database!$A$1:$C$1,),))</f>
        <v/>
      </c>
      <c r="C9085">
        <f>IF(VLOOKUP(Table7[[#This Row],[Date]],Database!$A:$C,MATCH($C$1,Database!$A$1:$C$1,),)=0,#N/A,VLOOKUP(Table7[[#This Row],[Date]],Database!$A:$C,MATCH($C$1,Database!$A$1:$C$1,),))</f>
        <v/>
      </c>
      <c r="D9085">
        <f>IFERROR(Table7[[#This Row],[United States 10y]]-Table7[[#This Row],[United States 3y]],#N/A)</f>
        <v/>
      </c>
    </row>
    <row r="9086">
      <c r="A9086" s="6">
        <f>Database!$A11171</f>
        <v/>
      </c>
      <c r="B9086">
        <f>IF(VLOOKUP(Table7[[#This Row],[Date]],Database!$A:$C,MATCH($B$1,Database!$A$1:$C$1,),)=0,#N/A,VLOOKUP(Table7[[#This Row],[Date]],Database!$A:$C,MATCH($B$1,Database!$A$1:$C$1,),))</f>
        <v/>
      </c>
      <c r="C9086">
        <f>IF(VLOOKUP(Table7[[#This Row],[Date]],Database!$A:$C,MATCH($C$1,Database!$A$1:$C$1,),)=0,#N/A,VLOOKUP(Table7[[#This Row],[Date]],Database!$A:$C,MATCH($C$1,Database!$A$1:$C$1,),))</f>
        <v/>
      </c>
      <c r="D9086">
        <f>IFERROR(Table7[[#This Row],[United States 10y]]-Table7[[#This Row],[United States 3y]],#N/A)</f>
        <v/>
      </c>
    </row>
    <row r="9087">
      <c r="A9087" s="6">
        <f>Database!$A11172</f>
        <v/>
      </c>
      <c r="B9087">
        <f>IF(VLOOKUP(Table7[[#This Row],[Date]],Database!$A:$C,MATCH($B$1,Database!$A$1:$C$1,),)=0,#N/A,VLOOKUP(Table7[[#This Row],[Date]],Database!$A:$C,MATCH($B$1,Database!$A$1:$C$1,),))</f>
        <v/>
      </c>
      <c r="C9087">
        <f>IF(VLOOKUP(Table7[[#This Row],[Date]],Database!$A:$C,MATCH($C$1,Database!$A$1:$C$1,),)=0,#N/A,VLOOKUP(Table7[[#This Row],[Date]],Database!$A:$C,MATCH($C$1,Database!$A$1:$C$1,),))</f>
        <v/>
      </c>
      <c r="D9087">
        <f>IFERROR(Table7[[#This Row],[United States 10y]]-Table7[[#This Row],[United States 3y]],#N/A)</f>
        <v/>
      </c>
    </row>
    <row r="9088">
      <c r="A9088" s="6">
        <f>Database!$A11173</f>
        <v/>
      </c>
      <c r="B9088">
        <f>IF(VLOOKUP(Table7[[#This Row],[Date]],Database!$A:$C,MATCH($B$1,Database!$A$1:$C$1,),)=0,#N/A,VLOOKUP(Table7[[#This Row],[Date]],Database!$A:$C,MATCH($B$1,Database!$A$1:$C$1,),))</f>
        <v/>
      </c>
      <c r="C9088">
        <f>IF(VLOOKUP(Table7[[#This Row],[Date]],Database!$A:$C,MATCH($C$1,Database!$A$1:$C$1,),)=0,#N/A,VLOOKUP(Table7[[#This Row],[Date]],Database!$A:$C,MATCH($C$1,Database!$A$1:$C$1,),))</f>
        <v/>
      </c>
      <c r="D9088">
        <f>IFERROR(Table7[[#This Row],[United States 10y]]-Table7[[#This Row],[United States 3y]],#N/A)</f>
        <v/>
      </c>
    </row>
    <row r="9089">
      <c r="A9089" s="6">
        <f>Database!$A11174</f>
        <v/>
      </c>
      <c r="B9089">
        <f>IF(VLOOKUP(Table7[[#This Row],[Date]],Database!$A:$C,MATCH($B$1,Database!$A$1:$C$1,),)=0,#N/A,VLOOKUP(Table7[[#This Row],[Date]],Database!$A:$C,MATCH($B$1,Database!$A$1:$C$1,),))</f>
        <v/>
      </c>
      <c r="C9089">
        <f>IF(VLOOKUP(Table7[[#This Row],[Date]],Database!$A:$C,MATCH($C$1,Database!$A$1:$C$1,),)=0,#N/A,VLOOKUP(Table7[[#This Row],[Date]],Database!$A:$C,MATCH($C$1,Database!$A$1:$C$1,),))</f>
        <v/>
      </c>
      <c r="D9089">
        <f>IFERROR(Table7[[#This Row],[United States 10y]]-Table7[[#This Row],[United States 3y]],#N/A)</f>
        <v/>
      </c>
    </row>
    <row r="9090">
      <c r="A9090" s="6">
        <f>Database!$A11175</f>
        <v/>
      </c>
      <c r="B9090">
        <f>IF(VLOOKUP(Table7[[#This Row],[Date]],Database!$A:$C,MATCH($B$1,Database!$A$1:$C$1,),)=0,#N/A,VLOOKUP(Table7[[#This Row],[Date]],Database!$A:$C,MATCH($B$1,Database!$A$1:$C$1,),))</f>
        <v/>
      </c>
      <c r="C9090">
        <f>IF(VLOOKUP(Table7[[#This Row],[Date]],Database!$A:$C,MATCH($C$1,Database!$A$1:$C$1,),)=0,#N/A,VLOOKUP(Table7[[#This Row],[Date]],Database!$A:$C,MATCH($C$1,Database!$A$1:$C$1,),))</f>
        <v/>
      </c>
      <c r="D9090">
        <f>IFERROR(Table7[[#This Row],[United States 10y]]-Table7[[#This Row],[United States 3y]],#N/A)</f>
        <v/>
      </c>
    </row>
    <row r="9091">
      <c r="A9091" s="6">
        <f>Database!$A11176</f>
        <v/>
      </c>
      <c r="B9091">
        <f>IF(VLOOKUP(Table7[[#This Row],[Date]],Database!$A:$C,MATCH($B$1,Database!$A$1:$C$1,),)=0,#N/A,VLOOKUP(Table7[[#This Row],[Date]],Database!$A:$C,MATCH($B$1,Database!$A$1:$C$1,),))</f>
        <v/>
      </c>
      <c r="C9091">
        <f>IF(VLOOKUP(Table7[[#This Row],[Date]],Database!$A:$C,MATCH($C$1,Database!$A$1:$C$1,),)=0,#N/A,VLOOKUP(Table7[[#This Row],[Date]],Database!$A:$C,MATCH($C$1,Database!$A$1:$C$1,),))</f>
        <v/>
      </c>
      <c r="D9091">
        <f>IFERROR(Table7[[#This Row],[United States 10y]]-Table7[[#This Row],[United States 3y]],#N/A)</f>
        <v/>
      </c>
    </row>
    <row r="9092">
      <c r="A9092" s="6">
        <f>Database!$A11177</f>
        <v/>
      </c>
      <c r="B9092">
        <f>IF(VLOOKUP(Table7[[#This Row],[Date]],Database!$A:$C,MATCH($B$1,Database!$A$1:$C$1,),)=0,#N/A,VLOOKUP(Table7[[#This Row],[Date]],Database!$A:$C,MATCH($B$1,Database!$A$1:$C$1,),))</f>
        <v/>
      </c>
      <c r="C9092">
        <f>IF(VLOOKUP(Table7[[#This Row],[Date]],Database!$A:$C,MATCH($C$1,Database!$A$1:$C$1,),)=0,#N/A,VLOOKUP(Table7[[#This Row],[Date]],Database!$A:$C,MATCH($C$1,Database!$A$1:$C$1,),))</f>
        <v/>
      </c>
      <c r="D9092">
        <f>IFERROR(Table7[[#This Row],[United States 10y]]-Table7[[#This Row],[United States 3y]],#N/A)</f>
        <v/>
      </c>
    </row>
    <row r="9093">
      <c r="A9093" s="6">
        <f>Database!$A11178</f>
        <v/>
      </c>
      <c r="B9093">
        <f>IF(VLOOKUP(Table7[[#This Row],[Date]],Database!$A:$C,MATCH($B$1,Database!$A$1:$C$1,),)=0,#N/A,VLOOKUP(Table7[[#This Row],[Date]],Database!$A:$C,MATCH($B$1,Database!$A$1:$C$1,),))</f>
        <v/>
      </c>
      <c r="C9093">
        <f>IF(VLOOKUP(Table7[[#This Row],[Date]],Database!$A:$C,MATCH($C$1,Database!$A$1:$C$1,),)=0,#N/A,VLOOKUP(Table7[[#This Row],[Date]],Database!$A:$C,MATCH($C$1,Database!$A$1:$C$1,),))</f>
        <v/>
      </c>
      <c r="D9093">
        <f>IFERROR(Table7[[#This Row],[United States 10y]]-Table7[[#This Row],[United States 3y]],#N/A)</f>
        <v/>
      </c>
    </row>
    <row r="9094">
      <c r="A9094" s="6">
        <f>Database!$A11179</f>
        <v/>
      </c>
      <c r="B9094">
        <f>IF(VLOOKUP(Table7[[#This Row],[Date]],Database!$A:$C,MATCH($B$1,Database!$A$1:$C$1,),)=0,#N/A,VLOOKUP(Table7[[#This Row],[Date]],Database!$A:$C,MATCH($B$1,Database!$A$1:$C$1,),))</f>
        <v/>
      </c>
      <c r="C9094">
        <f>IF(VLOOKUP(Table7[[#This Row],[Date]],Database!$A:$C,MATCH($C$1,Database!$A$1:$C$1,),)=0,#N/A,VLOOKUP(Table7[[#This Row],[Date]],Database!$A:$C,MATCH($C$1,Database!$A$1:$C$1,),))</f>
        <v/>
      </c>
      <c r="D9094">
        <f>IFERROR(Table7[[#This Row],[United States 10y]]-Table7[[#This Row],[United States 3y]],#N/A)</f>
        <v/>
      </c>
    </row>
    <row r="9095">
      <c r="A9095" s="6">
        <f>Database!$A11180</f>
        <v/>
      </c>
      <c r="B9095">
        <f>IF(VLOOKUP(Table7[[#This Row],[Date]],Database!$A:$C,MATCH($B$1,Database!$A$1:$C$1,),)=0,#N/A,VLOOKUP(Table7[[#This Row],[Date]],Database!$A:$C,MATCH($B$1,Database!$A$1:$C$1,),))</f>
        <v/>
      </c>
      <c r="C9095">
        <f>IF(VLOOKUP(Table7[[#This Row],[Date]],Database!$A:$C,MATCH($C$1,Database!$A$1:$C$1,),)=0,#N/A,VLOOKUP(Table7[[#This Row],[Date]],Database!$A:$C,MATCH($C$1,Database!$A$1:$C$1,),))</f>
        <v/>
      </c>
      <c r="D9095">
        <f>IFERROR(Table7[[#This Row],[United States 10y]]-Table7[[#This Row],[United States 3y]],#N/A)</f>
        <v/>
      </c>
    </row>
    <row r="9096">
      <c r="A9096" s="6">
        <f>Database!$A11181</f>
        <v/>
      </c>
      <c r="B9096">
        <f>IF(VLOOKUP(Table7[[#This Row],[Date]],Database!$A:$C,MATCH($B$1,Database!$A$1:$C$1,),)=0,#N/A,VLOOKUP(Table7[[#This Row],[Date]],Database!$A:$C,MATCH($B$1,Database!$A$1:$C$1,),))</f>
        <v/>
      </c>
      <c r="C9096">
        <f>IF(VLOOKUP(Table7[[#This Row],[Date]],Database!$A:$C,MATCH($C$1,Database!$A$1:$C$1,),)=0,#N/A,VLOOKUP(Table7[[#This Row],[Date]],Database!$A:$C,MATCH($C$1,Database!$A$1:$C$1,),))</f>
        <v/>
      </c>
      <c r="D9096">
        <f>IFERROR(Table7[[#This Row],[United States 10y]]-Table7[[#This Row],[United States 3y]],#N/A)</f>
        <v/>
      </c>
    </row>
    <row r="9097">
      <c r="A9097" s="6">
        <f>Database!$A11182</f>
        <v/>
      </c>
      <c r="B9097">
        <f>IF(VLOOKUP(Table7[[#This Row],[Date]],Database!$A:$C,MATCH($B$1,Database!$A$1:$C$1,),)=0,#N/A,VLOOKUP(Table7[[#This Row],[Date]],Database!$A:$C,MATCH($B$1,Database!$A$1:$C$1,),))</f>
        <v/>
      </c>
      <c r="C9097">
        <f>IF(VLOOKUP(Table7[[#This Row],[Date]],Database!$A:$C,MATCH($C$1,Database!$A$1:$C$1,),)=0,#N/A,VLOOKUP(Table7[[#This Row],[Date]],Database!$A:$C,MATCH($C$1,Database!$A$1:$C$1,),))</f>
        <v/>
      </c>
      <c r="D9097">
        <f>IFERROR(Table7[[#This Row],[United States 10y]]-Table7[[#This Row],[United States 3y]],#N/A)</f>
        <v/>
      </c>
    </row>
    <row r="9098">
      <c r="A9098" s="6">
        <f>Database!$A11183</f>
        <v/>
      </c>
      <c r="B9098">
        <f>IF(VLOOKUP(Table7[[#This Row],[Date]],Database!$A:$C,MATCH($B$1,Database!$A$1:$C$1,),)=0,#N/A,VLOOKUP(Table7[[#This Row],[Date]],Database!$A:$C,MATCH($B$1,Database!$A$1:$C$1,),))</f>
        <v/>
      </c>
      <c r="C9098">
        <f>IF(VLOOKUP(Table7[[#This Row],[Date]],Database!$A:$C,MATCH($C$1,Database!$A$1:$C$1,),)=0,#N/A,VLOOKUP(Table7[[#This Row],[Date]],Database!$A:$C,MATCH($C$1,Database!$A$1:$C$1,),))</f>
        <v/>
      </c>
      <c r="D9098">
        <f>IFERROR(Table7[[#This Row],[United States 10y]]-Table7[[#This Row],[United States 3y]],#N/A)</f>
        <v/>
      </c>
    </row>
    <row r="9099">
      <c r="A9099" s="6">
        <f>Database!$A11184</f>
        <v/>
      </c>
      <c r="B9099">
        <f>IF(VLOOKUP(Table7[[#This Row],[Date]],Database!$A:$C,MATCH($B$1,Database!$A$1:$C$1,),)=0,#N/A,VLOOKUP(Table7[[#This Row],[Date]],Database!$A:$C,MATCH($B$1,Database!$A$1:$C$1,),))</f>
        <v/>
      </c>
      <c r="C9099">
        <f>IF(VLOOKUP(Table7[[#This Row],[Date]],Database!$A:$C,MATCH($C$1,Database!$A$1:$C$1,),)=0,#N/A,VLOOKUP(Table7[[#This Row],[Date]],Database!$A:$C,MATCH($C$1,Database!$A$1:$C$1,),))</f>
        <v/>
      </c>
      <c r="D9099">
        <f>IFERROR(Table7[[#This Row],[United States 10y]]-Table7[[#This Row],[United States 3y]],#N/A)</f>
        <v/>
      </c>
    </row>
    <row r="9100">
      <c r="A9100" s="6">
        <f>Database!$A11185</f>
        <v/>
      </c>
      <c r="B9100">
        <f>IF(VLOOKUP(Table7[[#This Row],[Date]],Database!$A:$C,MATCH($B$1,Database!$A$1:$C$1,),)=0,#N/A,VLOOKUP(Table7[[#This Row],[Date]],Database!$A:$C,MATCH($B$1,Database!$A$1:$C$1,),))</f>
        <v/>
      </c>
      <c r="C9100">
        <f>IF(VLOOKUP(Table7[[#This Row],[Date]],Database!$A:$C,MATCH($C$1,Database!$A$1:$C$1,),)=0,#N/A,VLOOKUP(Table7[[#This Row],[Date]],Database!$A:$C,MATCH($C$1,Database!$A$1:$C$1,),))</f>
        <v/>
      </c>
      <c r="D9100">
        <f>IFERROR(Table7[[#This Row],[United States 10y]]-Table7[[#This Row],[United States 3y]],#N/A)</f>
        <v/>
      </c>
    </row>
    <row r="9101">
      <c r="A9101" s="6">
        <f>Database!$A11186</f>
        <v/>
      </c>
      <c r="B9101">
        <f>IF(VLOOKUP(Table7[[#This Row],[Date]],Database!$A:$C,MATCH($B$1,Database!$A$1:$C$1,),)=0,#N/A,VLOOKUP(Table7[[#This Row],[Date]],Database!$A:$C,MATCH($B$1,Database!$A$1:$C$1,),))</f>
        <v/>
      </c>
      <c r="C9101">
        <f>IF(VLOOKUP(Table7[[#This Row],[Date]],Database!$A:$C,MATCH($C$1,Database!$A$1:$C$1,),)=0,#N/A,VLOOKUP(Table7[[#This Row],[Date]],Database!$A:$C,MATCH($C$1,Database!$A$1:$C$1,),))</f>
        <v/>
      </c>
      <c r="D9101">
        <f>IFERROR(Table7[[#This Row],[United States 10y]]-Table7[[#This Row],[United States 3y]],#N/A)</f>
        <v/>
      </c>
    </row>
    <row r="9102">
      <c r="A9102" s="6">
        <f>Database!$A11187</f>
        <v/>
      </c>
      <c r="B9102">
        <f>IF(VLOOKUP(Table7[[#This Row],[Date]],Database!$A:$C,MATCH($B$1,Database!$A$1:$C$1,),)=0,#N/A,VLOOKUP(Table7[[#This Row],[Date]],Database!$A:$C,MATCH($B$1,Database!$A$1:$C$1,),))</f>
        <v/>
      </c>
      <c r="C9102">
        <f>IF(VLOOKUP(Table7[[#This Row],[Date]],Database!$A:$C,MATCH($C$1,Database!$A$1:$C$1,),)=0,#N/A,VLOOKUP(Table7[[#This Row],[Date]],Database!$A:$C,MATCH($C$1,Database!$A$1:$C$1,),))</f>
        <v/>
      </c>
      <c r="D9102">
        <f>IFERROR(Table7[[#This Row],[United States 10y]]-Table7[[#This Row],[United States 3y]],#N/A)</f>
        <v/>
      </c>
    </row>
    <row r="9103">
      <c r="A9103" s="6">
        <f>Database!$A11188</f>
        <v/>
      </c>
      <c r="B9103">
        <f>IF(VLOOKUP(Table7[[#This Row],[Date]],Database!$A:$C,MATCH($B$1,Database!$A$1:$C$1,),)=0,#N/A,VLOOKUP(Table7[[#This Row],[Date]],Database!$A:$C,MATCH($B$1,Database!$A$1:$C$1,),))</f>
        <v/>
      </c>
      <c r="C9103">
        <f>IF(VLOOKUP(Table7[[#This Row],[Date]],Database!$A:$C,MATCH($C$1,Database!$A$1:$C$1,),)=0,#N/A,VLOOKUP(Table7[[#This Row],[Date]],Database!$A:$C,MATCH($C$1,Database!$A$1:$C$1,),))</f>
        <v/>
      </c>
      <c r="D9103">
        <f>IFERROR(Table7[[#This Row],[United States 10y]]-Table7[[#This Row],[United States 3y]],#N/A)</f>
        <v/>
      </c>
    </row>
    <row r="9104">
      <c r="A9104" s="6">
        <f>Database!$A11189</f>
        <v/>
      </c>
      <c r="B9104">
        <f>IF(VLOOKUP(Table7[[#This Row],[Date]],Database!$A:$C,MATCH($B$1,Database!$A$1:$C$1,),)=0,#N/A,VLOOKUP(Table7[[#This Row],[Date]],Database!$A:$C,MATCH($B$1,Database!$A$1:$C$1,),))</f>
        <v/>
      </c>
      <c r="C9104">
        <f>IF(VLOOKUP(Table7[[#This Row],[Date]],Database!$A:$C,MATCH($C$1,Database!$A$1:$C$1,),)=0,#N/A,VLOOKUP(Table7[[#This Row],[Date]],Database!$A:$C,MATCH($C$1,Database!$A$1:$C$1,),))</f>
        <v/>
      </c>
      <c r="D9104">
        <f>IFERROR(Table7[[#This Row],[United States 10y]]-Table7[[#This Row],[United States 3y]],#N/A)</f>
        <v/>
      </c>
    </row>
    <row r="9105">
      <c r="A9105" s="6">
        <f>Database!$A11190</f>
        <v/>
      </c>
      <c r="B9105">
        <f>IF(VLOOKUP(Table7[[#This Row],[Date]],Database!$A:$C,MATCH($B$1,Database!$A$1:$C$1,),)=0,#N/A,VLOOKUP(Table7[[#This Row],[Date]],Database!$A:$C,MATCH($B$1,Database!$A$1:$C$1,),))</f>
        <v/>
      </c>
      <c r="C9105">
        <f>IF(VLOOKUP(Table7[[#This Row],[Date]],Database!$A:$C,MATCH($C$1,Database!$A$1:$C$1,),)=0,#N/A,VLOOKUP(Table7[[#This Row],[Date]],Database!$A:$C,MATCH($C$1,Database!$A$1:$C$1,),))</f>
        <v/>
      </c>
      <c r="D9105">
        <f>IFERROR(Table7[[#This Row],[United States 10y]]-Table7[[#This Row],[United States 3y]],#N/A)</f>
        <v/>
      </c>
    </row>
    <row r="9106">
      <c r="A9106" s="6">
        <f>Database!$A11191</f>
        <v/>
      </c>
      <c r="B9106">
        <f>IF(VLOOKUP(Table7[[#This Row],[Date]],Database!$A:$C,MATCH($B$1,Database!$A$1:$C$1,),)=0,#N/A,VLOOKUP(Table7[[#This Row],[Date]],Database!$A:$C,MATCH($B$1,Database!$A$1:$C$1,),))</f>
        <v/>
      </c>
      <c r="C9106">
        <f>IF(VLOOKUP(Table7[[#This Row],[Date]],Database!$A:$C,MATCH($C$1,Database!$A$1:$C$1,),)=0,#N/A,VLOOKUP(Table7[[#This Row],[Date]],Database!$A:$C,MATCH($C$1,Database!$A$1:$C$1,),))</f>
        <v/>
      </c>
      <c r="D9106">
        <f>IFERROR(Table7[[#This Row],[United States 10y]]-Table7[[#This Row],[United States 3y]],#N/A)</f>
        <v/>
      </c>
    </row>
    <row r="9107">
      <c r="A9107" s="6">
        <f>Database!$A11192</f>
        <v/>
      </c>
      <c r="B9107">
        <f>IF(VLOOKUP(Table7[[#This Row],[Date]],Database!$A:$C,MATCH($B$1,Database!$A$1:$C$1,),)=0,#N/A,VLOOKUP(Table7[[#This Row],[Date]],Database!$A:$C,MATCH($B$1,Database!$A$1:$C$1,),))</f>
        <v/>
      </c>
      <c r="C9107">
        <f>IF(VLOOKUP(Table7[[#This Row],[Date]],Database!$A:$C,MATCH($C$1,Database!$A$1:$C$1,),)=0,#N/A,VLOOKUP(Table7[[#This Row],[Date]],Database!$A:$C,MATCH($C$1,Database!$A$1:$C$1,),))</f>
        <v/>
      </c>
      <c r="D9107">
        <f>IFERROR(Table7[[#This Row],[United States 10y]]-Table7[[#This Row],[United States 3y]],#N/A)</f>
        <v/>
      </c>
    </row>
    <row r="9108">
      <c r="A9108" s="6">
        <f>Database!$A11193</f>
        <v/>
      </c>
      <c r="B9108">
        <f>IF(VLOOKUP(Table7[[#This Row],[Date]],Database!$A:$C,MATCH($B$1,Database!$A$1:$C$1,),)=0,#N/A,VLOOKUP(Table7[[#This Row],[Date]],Database!$A:$C,MATCH($B$1,Database!$A$1:$C$1,),))</f>
        <v/>
      </c>
      <c r="C9108">
        <f>IF(VLOOKUP(Table7[[#This Row],[Date]],Database!$A:$C,MATCH($C$1,Database!$A$1:$C$1,),)=0,#N/A,VLOOKUP(Table7[[#This Row],[Date]],Database!$A:$C,MATCH($C$1,Database!$A$1:$C$1,),))</f>
        <v/>
      </c>
      <c r="D9108">
        <f>IFERROR(Table7[[#This Row],[United States 10y]]-Table7[[#This Row],[United States 3y]],#N/A)</f>
        <v/>
      </c>
    </row>
    <row r="9109">
      <c r="A9109" s="6">
        <f>Database!$A11194</f>
        <v/>
      </c>
      <c r="B9109">
        <f>IF(VLOOKUP(Table7[[#This Row],[Date]],Database!$A:$C,MATCH($B$1,Database!$A$1:$C$1,),)=0,#N/A,VLOOKUP(Table7[[#This Row],[Date]],Database!$A:$C,MATCH($B$1,Database!$A$1:$C$1,),))</f>
        <v/>
      </c>
      <c r="C9109">
        <f>IF(VLOOKUP(Table7[[#This Row],[Date]],Database!$A:$C,MATCH($C$1,Database!$A$1:$C$1,),)=0,#N/A,VLOOKUP(Table7[[#This Row],[Date]],Database!$A:$C,MATCH($C$1,Database!$A$1:$C$1,),))</f>
        <v/>
      </c>
      <c r="D9109">
        <f>IFERROR(Table7[[#This Row],[United States 10y]]-Table7[[#This Row],[United States 3y]],#N/A)</f>
        <v/>
      </c>
    </row>
    <row r="9110">
      <c r="A9110" s="6">
        <f>Database!$A11195</f>
        <v/>
      </c>
      <c r="B9110">
        <f>IF(VLOOKUP(Table7[[#This Row],[Date]],Database!$A:$C,MATCH($B$1,Database!$A$1:$C$1,),)=0,#N/A,VLOOKUP(Table7[[#This Row],[Date]],Database!$A:$C,MATCH($B$1,Database!$A$1:$C$1,),))</f>
        <v/>
      </c>
      <c r="C9110">
        <f>IF(VLOOKUP(Table7[[#This Row],[Date]],Database!$A:$C,MATCH($C$1,Database!$A$1:$C$1,),)=0,#N/A,VLOOKUP(Table7[[#This Row],[Date]],Database!$A:$C,MATCH($C$1,Database!$A$1:$C$1,),))</f>
        <v/>
      </c>
      <c r="D9110">
        <f>IFERROR(Table7[[#This Row],[United States 10y]]-Table7[[#This Row],[United States 3y]],#N/A)</f>
        <v/>
      </c>
    </row>
    <row r="9111">
      <c r="A9111" s="6">
        <f>Database!$A11196</f>
        <v/>
      </c>
      <c r="B9111">
        <f>IF(VLOOKUP(Table7[[#This Row],[Date]],Database!$A:$C,MATCH($B$1,Database!$A$1:$C$1,),)=0,#N/A,VLOOKUP(Table7[[#This Row],[Date]],Database!$A:$C,MATCH($B$1,Database!$A$1:$C$1,),))</f>
        <v/>
      </c>
      <c r="C9111">
        <f>IF(VLOOKUP(Table7[[#This Row],[Date]],Database!$A:$C,MATCH($C$1,Database!$A$1:$C$1,),)=0,#N/A,VLOOKUP(Table7[[#This Row],[Date]],Database!$A:$C,MATCH($C$1,Database!$A$1:$C$1,),))</f>
        <v/>
      </c>
      <c r="D9111">
        <f>IFERROR(Table7[[#This Row],[United States 10y]]-Table7[[#This Row],[United States 3y]],#N/A)</f>
        <v/>
      </c>
    </row>
    <row r="9112">
      <c r="A9112" s="6">
        <f>Database!$A11197</f>
        <v/>
      </c>
      <c r="B9112">
        <f>IF(VLOOKUP(Table7[[#This Row],[Date]],Database!$A:$C,MATCH($B$1,Database!$A$1:$C$1,),)=0,#N/A,VLOOKUP(Table7[[#This Row],[Date]],Database!$A:$C,MATCH($B$1,Database!$A$1:$C$1,),))</f>
        <v/>
      </c>
      <c r="C9112">
        <f>IF(VLOOKUP(Table7[[#This Row],[Date]],Database!$A:$C,MATCH($C$1,Database!$A$1:$C$1,),)=0,#N/A,VLOOKUP(Table7[[#This Row],[Date]],Database!$A:$C,MATCH($C$1,Database!$A$1:$C$1,),))</f>
        <v/>
      </c>
      <c r="D9112">
        <f>IFERROR(Table7[[#This Row],[United States 10y]]-Table7[[#This Row],[United States 3y]],#N/A)</f>
        <v/>
      </c>
    </row>
    <row r="9113">
      <c r="A9113" s="6">
        <f>Database!$A11198</f>
        <v/>
      </c>
      <c r="B9113">
        <f>IF(VLOOKUP(Table7[[#This Row],[Date]],Database!$A:$C,MATCH($B$1,Database!$A$1:$C$1,),)=0,#N/A,VLOOKUP(Table7[[#This Row],[Date]],Database!$A:$C,MATCH($B$1,Database!$A$1:$C$1,),))</f>
        <v/>
      </c>
      <c r="C9113">
        <f>IF(VLOOKUP(Table7[[#This Row],[Date]],Database!$A:$C,MATCH($C$1,Database!$A$1:$C$1,),)=0,#N/A,VLOOKUP(Table7[[#This Row],[Date]],Database!$A:$C,MATCH($C$1,Database!$A$1:$C$1,),))</f>
        <v/>
      </c>
      <c r="D9113">
        <f>IFERROR(Table7[[#This Row],[United States 10y]]-Table7[[#This Row],[United States 3y]],#N/A)</f>
        <v/>
      </c>
    </row>
    <row r="9114">
      <c r="A9114" s="6">
        <f>Database!$A11199</f>
        <v/>
      </c>
      <c r="B9114">
        <f>IF(VLOOKUP(Table7[[#This Row],[Date]],Database!$A:$C,MATCH($B$1,Database!$A$1:$C$1,),)=0,#N/A,VLOOKUP(Table7[[#This Row],[Date]],Database!$A:$C,MATCH($B$1,Database!$A$1:$C$1,),))</f>
        <v/>
      </c>
      <c r="C9114">
        <f>IF(VLOOKUP(Table7[[#This Row],[Date]],Database!$A:$C,MATCH($C$1,Database!$A$1:$C$1,),)=0,#N/A,VLOOKUP(Table7[[#This Row],[Date]],Database!$A:$C,MATCH($C$1,Database!$A$1:$C$1,),))</f>
        <v/>
      </c>
      <c r="D9114">
        <f>IFERROR(Table7[[#This Row],[United States 10y]]-Table7[[#This Row],[United States 3y]],#N/A)</f>
        <v/>
      </c>
    </row>
    <row r="9115">
      <c r="A9115" s="6">
        <f>Database!$A11200</f>
        <v/>
      </c>
      <c r="B9115">
        <f>IF(VLOOKUP(Table7[[#This Row],[Date]],Database!$A:$C,MATCH($B$1,Database!$A$1:$C$1,),)=0,#N/A,VLOOKUP(Table7[[#This Row],[Date]],Database!$A:$C,MATCH($B$1,Database!$A$1:$C$1,),))</f>
        <v/>
      </c>
      <c r="C9115">
        <f>IF(VLOOKUP(Table7[[#This Row],[Date]],Database!$A:$C,MATCH($C$1,Database!$A$1:$C$1,),)=0,#N/A,VLOOKUP(Table7[[#This Row],[Date]],Database!$A:$C,MATCH($C$1,Database!$A$1:$C$1,),))</f>
        <v/>
      </c>
      <c r="D9115">
        <f>IFERROR(Table7[[#This Row],[United States 10y]]-Table7[[#This Row],[United States 3y]],#N/A)</f>
        <v/>
      </c>
    </row>
    <row r="9116">
      <c r="A9116" s="6">
        <f>Database!$A11201</f>
        <v/>
      </c>
      <c r="B9116">
        <f>IF(VLOOKUP(Table7[[#This Row],[Date]],Database!$A:$C,MATCH($B$1,Database!$A$1:$C$1,),)=0,#N/A,VLOOKUP(Table7[[#This Row],[Date]],Database!$A:$C,MATCH($B$1,Database!$A$1:$C$1,),))</f>
        <v/>
      </c>
      <c r="C9116">
        <f>IF(VLOOKUP(Table7[[#This Row],[Date]],Database!$A:$C,MATCH($C$1,Database!$A$1:$C$1,),)=0,#N/A,VLOOKUP(Table7[[#This Row],[Date]],Database!$A:$C,MATCH($C$1,Database!$A$1:$C$1,),))</f>
        <v/>
      </c>
      <c r="D9116">
        <f>IFERROR(Table7[[#This Row],[United States 10y]]-Table7[[#This Row],[United States 3y]],#N/A)</f>
        <v/>
      </c>
    </row>
    <row r="9117">
      <c r="A9117" s="6">
        <f>Database!$A11202</f>
        <v/>
      </c>
      <c r="B9117">
        <f>IF(VLOOKUP(Table7[[#This Row],[Date]],Database!$A:$C,MATCH($B$1,Database!$A$1:$C$1,),)=0,#N/A,VLOOKUP(Table7[[#This Row],[Date]],Database!$A:$C,MATCH($B$1,Database!$A$1:$C$1,),))</f>
        <v/>
      </c>
      <c r="C9117">
        <f>IF(VLOOKUP(Table7[[#This Row],[Date]],Database!$A:$C,MATCH($C$1,Database!$A$1:$C$1,),)=0,#N/A,VLOOKUP(Table7[[#This Row],[Date]],Database!$A:$C,MATCH($C$1,Database!$A$1:$C$1,),))</f>
        <v/>
      </c>
      <c r="D9117">
        <f>IFERROR(Table7[[#This Row],[United States 10y]]-Table7[[#This Row],[United States 3y]],#N/A)</f>
        <v/>
      </c>
    </row>
    <row r="9118">
      <c r="A9118" s="6">
        <f>Database!$A11203</f>
        <v/>
      </c>
      <c r="B9118">
        <f>IF(VLOOKUP(Table7[[#This Row],[Date]],Database!$A:$C,MATCH($B$1,Database!$A$1:$C$1,),)=0,#N/A,VLOOKUP(Table7[[#This Row],[Date]],Database!$A:$C,MATCH($B$1,Database!$A$1:$C$1,),))</f>
        <v/>
      </c>
      <c r="C9118">
        <f>IF(VLOOKUP(Table7[[#This Row],[Date]],Database!$A:$C,MATCH($C$1,Database!$A$1:$C$1,),)=0,#N/A,VLOOKUP(Table7[[#This Row],[Date]],Database!$A:$C,MATCH($C$1,Database!$A$1:$C$1,),))</f>
        <v/>
      </c>
      <c r="D9118">
        <f>IFERROR(Table7[[#This Row],[United States 10y]]-Table7[[#This Row],[United States 3y]],#N/A)</f>
        <v/>
      </c>
    </row>
    <row r="9119">
      <c r="A9119" s="6">
        <f>Database!$A11204</f>
        <v/>
      </c>
      <c r="B9119">
        <f>IF(VLOOKUP(Table7[[#This Row],[Date]],Database!$A:$C,MATCH($B$1,Database!$A$1:$C$1,),)=0,#N/A,VLOOKUP(Table7[[#This Row],[Date]],Database!$A:$C,MATCH($B$1,Database!$A$1:$C$1,),))</f>
        <v/>
      </c>
      <c r="C9119">
        <f>IF(VLOOKUP(Table7[[#This Row],[Date]],Database!$A:$C,MATCH($C$1,Database!$A$1:$C$1,),)=0,#N/A,VLOOKUP(Table7[[#This Row],[Date]],Database!$A:$C,MATCH($C$1,Database!$A$1:$C$1,),))</f>
        <v/>
      </c>
      <c r="D9119">
        <f>IFERROR(Table7[[#This Row],[United States 10y]]-Table7[[#This Row],[United States 3y]],#N/A)</f>
        <v/>
      </c>
    </row>
    <row r="9120">
      <c r="A9120" s="6">
        <f>Database!$A11205</f>
        <v/>
      </c>
      <c r="B9120">
        <f>IF(VLOOKUP(Table7[[#This Row],[Date]],Database!$A:$C,MATCH($B$1,Database!$A$1:$C$1,),)=0,#N/A,VLOOKUP(Table7[[#This Row],[Date]],Database!$A:$C,MATCH($B$1,Database!$A$1:$C$1,),))</f>
        <v/>
      </c>
      <c r="C9120">
        <f>IF(VLOOKUP(Table7[[#This Row],[Date]],Database!$A:$C,MATCH($C$1,Database!$A$1:$C$1,),)=0,#N/A,VLOOKUP(Table7[[#This Row],[Date]],Database!$A:$C,MATCH($C$1,Database!$A$1:$C$1,),))</f>
        <v/>
      </c>
      <c r="D9120">
        <f>IFERROR(Table7[[#This Row],[United States 10y]]-Table7[[#This Row],[United States 3y]],#N/A)</f>
        <v/>
      </c>
    </row>
    <row r="9121">
      <c r="A9121" s="6">
        <f>Database!$A11206</f>
        <v/>
      </c>
      <c r="B9121">
        <f>IF(VLOOKUP(Table7[[#This Row],[Date]],Database!$A:$C,MATCH($B$1,Database!$A$1:$C$1,),)=0,#N/A,VLOOKUP(Table7[[#This Row],[Date]],Database!$A:$C,MATCH($B$1,Database!$A$1:$C$1,),))</f>
        <v/>
      </c>
      <c r="C9121">
        <f>IF(VLOOKUP(Table7[[#This Row],[Date]],Database!$A:$C,MATCH($C$1,Database!$A$1:$C$1,),)=0,#N/A,VLOOKUP(Table7[[#This Row],[Date]],Database!$A:$C,MATCH($C$1,Database!$A$1:$C$1,),))</f>
        <v/>
      </c>
      <c r="D9121">
        <f>IFERROR(Table7[[#This Row],[United States 10y]]-Table7[[#This Row],[United States 3y]],#N/A)</f>
        <v/>
      </c>
    </row>
    <row r="9122">
      <c r="A9122" s="6">
        <f>Database!$A11207</f>
        <v/>
      </c>
      <c r="B9122">
        <f>IF(VLOOKUP(Table7[[#This Row],[Date]],Database!$A:$C,MATCH($B$1,Database!$A$1:$C$1,),)=0,#N/A,VLOOKUP(Table7[[#This Row],[Date]],Database!$A:$C,MATCH($B$1,Database!$A$1:$C$1,),))</f>
        <v/>
      </c>
      <c r="C9122">
        <f>IF(VLOOKUP(Table7[[#This Row],[Date]],Database!$A:$C,MATCH($C$1,Database!$A$1:$C$1,),)=0,#N/A,VLOOKUP(Table7[[#This Row],[Date]],Database!$A:$C,MATCH($C$1,Database!$A$1:$C$1,),))</f>
        <v/>
      </c>
      <c r="D9122">
        <f>IFERROR(Table7[[#This Row],[United States 10y]]-Table7[[#This Row],[United States 3y]],#N/A)</f>
        <v/>
      </c>
    </row>
    <row r="9123">
      <c r="A9123" s="6">
        <f>Database!$A11208</f>
        <v/>
      </c>
      <c r="B9123">
        <f>IF(VLOOKUP(Table7[[#This Row],[Date]],Database!$A:$C,MATCH($B$1,Database!$A$1:$C$1,),)=0,#N/A,VLOOKUP(Table7[[#This Row],[Date]],Database!$A:$C,MATCH($B$1,Database!$A$1:$C$1,),))</f>
        <v/>
      </c>
      <c r="C9123">
        <f>IF(VLOOKUP(Table7[[#This Row],[Date]],Database!$A:$C,MATCH($C$1,Database!$A$1:$C$1,),)=0,#N/A,VLOOKUP(Table7[[#This Row],[Date]],Database!$A:$C,MATCH($C$1,Database!$A$1:$C$1,),))</f>
        <v/>
      </c>
      <c r="D9123">
        <f>IFERROR(Table7[[#This Row],[United States 10y]]-Table7[[#This Row],[United States 3y]],#N/A)</f>
        <v/>
      </c>
    </row>
    <row r="9124">
      <c r="A9124" s="6">
        <f>Database!$A11209</f>
        <v/>
      </c>
      <c r="B9124">
        <f>IF(VLOOKUP(Table7[[#This Row],[Date]],Database!$A:$C,MATCH($B$1,Database!$A$1:$C$1,),)=0,#N/A,VLOOKUP(Table7[[#This Row],[Date]],Database!$A:$C,MATCH($B$1,Database!$A$1:$C$1,),))</f>
        <v/>
      </c>
      <c r="C9124">
        <f>IF(VLOOKUP(Table7[[#This Row],[Date]],Database!$A:$C,MATCH($C$1,Database!$A$1:$C$1,),)=0,#N/A,VLOOKUP(Table7[[#This Row],[Date]],Database!$A:$C,MATCH($C$1,Database!$A$1:$C$1,),))</f>
        <v/>
      </c>
      <c r="D9124">
        <f>IFERROR(Table7[[#This Row],[United States 10y]]-Table7[[#This Row],[United States 3y]],#N/A)</f>
        <v/>
      </c>
    </row>
    <row r="9125">
      <c r="A9125" s="6">
        <f>Database!$A11210</f>
        <v/>
      </c>
      <c r="B9125">
        <f>IF(VLOOKUP(Table7[[#This Row],[Date]],Database!$A:$C,MATCH($B$1,Database!$A$1:$C$1,),)=0,#N/A,VLOOKUP(Table7[[#This Row],[Date]],Database!$A:$C,MATCH($B$1,Database!$A$1:$C$1,),))</f>
        <v/>
      </c>
      <c r="C9125">
        <f>IF(VLOOKUP(Table7[[#This Row],[Date]],Database!$A:$C,MATCH($C$1,Database!$A$1:$C$1,),)=0,#N/A,VLOOKUP(Table7[[#This Row],[Date]],Database!$A:$C,MATCH($C$1,Database!$A$1:$C$1,),))</f>
        <v/>
      </c>
      <c r="D9125">
        <f>IFERROR(Table7[[#This Row],[United States 10y]]-Table7[[#This Row],[United States 3y]],#N/A)</f>
        <v/>
      </c>
    </row>
    <row r="9126">
      <c r="A9126" s="6">
        <f>Database!$A11211</f>
        <v/>
      </c>
      <c r="B9126">
        <f>IF(VLOOKUP(Table7[[#This Row],[Date]],Database!$A:$C,MATCH($B$1,Database!$A$1:$C$1,),)=0,#N/A,VLOOKUP(Table7[[#This Row],[Date]],Database!$A:$C,MATCH($B$1,Database!$A$1:$C$1,),))</f>
        <v/>
      </c>
      <c r="C9126">
        <f>IF(VLOOKUP(Table7[[#This Row],[Date]],Database!$A:$C,MATCH($C$1,Database!$A$1:$C$1,),)=0,#N/A,VLOOKUP(Table7[[#This Row],[Date]],Database!$A:$C,MATCH($C$1,Database!$A$1:$C$1,),))</f>
        <v/>
      </c>
      <c r="D9126">
        <f>IFERROR(Table7[[#This Row],[United States 10y]]-Table7[[#This Row],[United States 3y]],#N/A)</f>
        <v/>
      </c>
    </row>
    <row r="9127">
      <c r="A9127" s="6">
        <f>Database!$A11212</f>
        <v/>
      </c>
      <c r="B9127">
        <f>IF(VLOOKUP(Table7[[#This Row],[Date]],Database!$A:$C,MATCH($B$1,Database!$A$1:$C$1,),)=0,#N/A,VLOOKUP(Table7[[#This Row],[Date]],Database!$A:$C,MATCH($B$1,Database!$A$1:$C$1,),))</f>
        <v/>
      </c>
      <c r="C9127">
        <f>IF(VLOOKUP(Table7[[#This Row],[Date]],Database!$A:$C,MATCH($C$1,Database!$A$1:$C$1,),)=0,#N/A,VLOOKUP(Table7[[#This Row],[Date]],Database!$A:$C,MATCH($C$1,Database!$A$1:$C$1,),))</f>
        <v/>
      </c>
      <c r="D9127">
        <f>IFERROR(Table7[[#This Row],[United States 10y]]-Table7[[#This Row],[United States 3y]],#N/A)</f>
        <v/>
      </c>
    </row>
    <row r="9128">
      <c r="A9128" s="6">
        <f>Database!$A11213</f>
        <v/>
      </c>
      <c r="B9128">
        <f>IF(VLOOKUP(Table7[[#This Row],[Date]],Database!$A:$C,MATCH($B$1,Database!$A$1:$C$1,),)=0,#N/A,VLOOKUP(Table7[[#This Row],[Date]],Database!$A:$C,MATCH($B$1,Database!$A$1:$C$1,),))</f>
        <v/>
      </c>
      <c r="C9128">
        <f>IF(VLOOKUP(Table7[[#This Row],[Date]],Database!$A:$C,MATCH($C$1,Database!$A$1:$C$1,),)=0,#N/A,VLOOKUP(Table7[[#This Row],[Date]],Database!$A:$C,MATCH($C$1,Database!$A$1:$C$1,),))</f>
        <v/>
      </c>
      <c r="D9128">
        <f>IFERROR(Table7[[#This Row],[United States 10y]]-Table7[[#This Row],[United States 3y]],#N/A)</f>
        <v/>
      </c>
    </row>
    <row r="9129">
      <c r="A9129" s="6">
        <f>Database!$A11214</f>
        <v/>
      </c>
      <c r="B9129">
        <f>IF(VLOOKUP(Table7[[#This Row],[Date]],Database!$A:$C,MATCH($B$1,Database!$A$1:$C$1,),)=0,#N/A,VLOOKUP(Table7[[#This Row],[Date]],Database!$A:$C,MATCH($B$1,Database!$A$1:$C$1,),))</f>
        <v/>
      </c>
      <c r="C9129">
        <f>IF(VLOOKUP(Table7[[#This Row],[Date]],Database!$A:$C,MATCH($C$1,Database!$A$1:$C$1,),)=0,#N/A,VLOOKUP(Table7[[#This Row],[Date]],Database!$A:$C,MATCH($C$1,Database!$A$1:$C$1,),))</f>
        <v/>
      </c>
      <c r="D9129">
        <f>IFERROR(Table7[[#This Row],[United States 10y]]-Table7[[#This Row],[United States 3y]],#N/A)</f>
        <v/>
      </c>
    </row>
    <row r="9130">
      <c r="A9130" s="6">
        <f>Database!$A11215</f>
        <v/>
      </c>
      <c r="B9130">
        <f>IF(VLOOKUP(Table7[[#This Row],[Date]],Database!$A:$C,MATCH($B$1,Database!$A$1:$C$1,),)=0,#N/A,VLOOKUP(Table7[[#This Row],[Date]],Database!$A:$C,MATCH($B$1,Database!$A$1:$C$1,),))</f>
        <v/>
      </c>
      <c r="C9130">
        <f>IF(VLOOKUP(Table7[[#This Row],[Date]],Database!$A:$C,MATCH($C$1,Database!$A$1:$C$1,),)=0,#N/A,VLOOKUP(Table7[[#This Row],[Date]],Database!$A:$C,MATCH($C$1,Database!$A$1:$C$1,),))</f>
        <v/>
      </c>
      <c r="D9130">
        <f>IFERROR(Table7[[#This Row],[United States 10y]]-Table7[[#This Row],[United States 3y]],#N/A)</f>
        <v/>
      </c>
    </row>
    <row r="9131">
      <c r="A9131" s="6">
        <f>Database!$A11216</f>
        <v/>
      </c>
      <c r="B9131">
        <f>IF(VLOOKUP(Table7[[#This Row],[Date]],Database!$A:$C,MATCH($B$1,Database!$A$1:$C$1,),)=0,#N/A,VLOOKUP(Table7[[#This Row],[Date]],Database!$A:$C,MATCH($B$1,Database!$A$1:$C$1,),))</f>
        <v/>
      </c>
      <c r="C9131">
        <f>IF(VLOOKUP(Table7[[#This Row],[Date]],Database!$A:$C,MATCH($C$1,Database!$A$1:$C$1,),)=0,#N/A,VLOOKUP(Table7[[#This Row],[Date]],Database!$A:$C,MATCH($C$1,Database!$A$1:$C$1,),))</f>
        <v/>
      </c>
      <c r="D9131">
        <f>IFERROR(Table7[[#This Row],[United States 10y]]-Table7[[#This Row],[United States 3y]],#N/A)</f>
        <v/>
      </c>
    </row>
    <row r="9132">
      <c r="A9132" s="6">
        <f>Database!$A11217</f>
        <v/>
      </c>
      <c r="B9132">
        <f>IF(VLOOKUP(Table7[[#This Row],[Date]],Database!$A:$C,MATCH($B$1,Database!$A$1:$C$1,),)=0,#N/A,VLOOKUP(Table7[[#This Row],[Date]],Database!$A:$C,MATCH($B$1,Database!$A$1:$C$1,),))</f>
        <v/>
      </c>
      <c r="C9132">
        <f>IF(VLOOKUP(Table7[[#This Row],[Date]],Database!$A:$C,MATCH($C$1,Database!$A$1:$C$1,),)=0,#N/A,VLOOKUP(Table7[[#This Row],[Date]],Database!$A:$C,MATCH($C$1,Database!$A$1:$C$1,),))</f>
        <v/>
      </c>
      <c r="D9132">
        <f>IFERROR(Table7[[#This Row],[United States 10y]]-Table7[[#This Row],[United States 3y]],#N/A)</f>
        <v/>
      </c>
    </row>
    <row r="9133">
      <c r="A9133" s="6">
        <f>Database!$A11218</f>
        <v/>
      </c>
      <c r="B9133">
        <f>IF(VLOOKUP(Table7[[#This Row],[Date]],Database!$A:$C,MATCH($B$1,Database!$A$1:$C$1,),)=0,#N/A,VLOOKUP(Table7[[#This Row],[Date]],Database!$A:$C,MATCH($B$1,Database!$A$1:$C$1,),))</f>
        <v/>
      </c>
      <c r="C9133">
        <f>IF(VLOOKUP(Table7[[#This Row],[Date]],Database!$A:$C,MATCH($C$1,Database!$A$1:$C$1,),)=0,#N/A,VLOOKUP(Table7[[#This Row],[Date]],Database!$A:$C,MATCH($C$1,Database!$A$1:$C$1,),))</f>
        <v/>
      </c>
      <c r="D9133">
        <f>IFERROR(Table7[[#This Row],[United States 10y]]-Table7[[#This Row],[United States 3y]],#N/A)</f>
        <v/>
      </c>
    </row>
    <row r="9134">
      <c r="A9134" s="6">
        <f>Database!$A11219</f>
        <v/>
      </c>
      <c r="B9134">
        <f>IF(VLOOKUP(Table7[[#This Row],[Date]],Database!$A:$C,MATCH($B$1,Database!$A$1:$C$1,),)=0,#N/A,VLOOKUP(Table7[[#This Row],[Date]],Database!$A:$C,MATCH($B$1,Database!$A$1:$C$1,),))</f>
        <v/>
      </c>
      <c r="C9134">
        <f>IF(VLOOKUP(Table7[[#This Row],[Date]],Database!$A:$C,MATCH($C$1,Database!$A$1:$C$1,),)=0,#N/A,VLOOKUP(Table7[[#This Row],[Date]],Database!$A:$C,MATCH($C$1,Database!$A$1:$C$1,),))</f>
        <v/>
      </c>
      <c r="D9134">
        <f>IFERROR(Table7[[#This Row],[United States 10y]]-Table7[[#This Row],[United States 3y]],#N/A)</f>
        <v/>
      </c>
    </row>
    <row r="9135">
      <c r="A9135" s="6">
        <f>Database!$A11220</f>
        <v/>
      </c>
      <c r="B9135">
        <f>IF(VLOOKUP(Table7[[#This Row],[Date]],Database!$A:$C,MATCH($B$1,Database!$A$1:$C$1,),)=0,#N/A,VLOOKUP(Table7[[#This Row],[Date]],Database!$A:$C,MATCH($B$1,Database!$A$1:$C$1,),))</f>
        <v/>
      </c>
      <c r="C9135">
        <f>IF(VLOOKUP(Table7[[#This Row],[Date]],Database!$A:$C,MATCH($C$1,Database!$A$1:$C$1,),)=0,#N/A,VLOOKUP(Table7[[#This Row],[Date]],Database!$A:$C,MATCH($C$1,Database!$A$1:$C$1,),))</f>
        <v/>
      </c>
      <c r="D9135">
        <f>IFERROR(Table7[[#This Row],[United States 10y]]-Table7[[#This Row],[United States 3y]],#N/A)</f>
        <v/>
      </c>
    </row>
    <row r="9136">
      <c r="A9136" s="6">
        <f>Database!$A11221</f>
        <v/>
      </c>
      <c r="B9136">
        <f>IF(VLOOKUP(Table7[[#This Row],[Date]],Database!$A:$C,MATCH($B$1,Database!$A$1:$C$1,),)=0,#N/A,VLOOKUP(Table7[[#This Row],[Date]],Database!$A:$C,MATCH($B$1,Database!$A$1:$C$1,),))</f>
        <v/>
      </c>
      <c r="C9136">
        <f>IF(VLOOKUP(Table7[[#This Row],[Date]],Database!$A:$C,MATCH($C$1,Database!$A$1:$C$1,),)=0,#N/A,VLOOKUP(Table7[[#This Row],[Date]],Database!$A:$C,MATCH($C$1,Database!$A$1:$C$1,),))</f>
        <v/>
      </c>
      <c r="D9136">
        <f>IFERROR(Table7[[#This Row],[United States 10y]]-Table7[[#This Row],[United States 3y]],#N/A)</f>
        <v/>
      </c>
    </row>
    <row r="9137">
      <c r="A9137" s="6">
        <f>Database!$A11222</f>
        <v/>
      </c>
      <c r="B9137">
        <f>IF(VLOOKUP(Table7[[#This Row],[Date]],Database!$A:$C,MATCH($B$1,Database!$A$1:$C$1,),)=0,#N/A,VLOOKUP(Table7[[#This Row],[Date]],Database!$A:$C,MATCH($B$1,Database!$A$1:$C$1,),))</f>
        <v/>
      </c>
      <c r="C9137">
        <f>IF(VLOOKUP(Table7[[#This Row],[Date]],Database!$A:$C,MATCH($C$1,Database!$A$1:$C$1,),)=0,#N/A,VLOOKUP(Table7[[#This Row],[Date]],Database!$A:$C,MATCH($C$1,Database!$A$1:$C$1,),))</f>
        <v/>
      </c>
      <c r="D9137">
        <f>IFERROR(Table7[[#This Row],[United States 10y]]-Table7[[#This Row],[United States 3y]],#N/A)</f>
        <v/>
      </c>
    </row>
    <row r="9138">
      <c r="A9138" s="6">
        <f>Database!$A11223</f>
        <v/>
      </c>
      <c r="B9138">
        <f>IF(VLOOKUP(Table7[[#This Row],[Date]],Database!$A:$C,MATCH($B$1,Database!$A$1:$C$1,),)=0,#N/A,VLOOKUP(Table7[[#This Row],[Date]],Database!$A:$C,MATCH($B$1,Database!$A$1:$C$1,),))</f>
        <v/>
      </c>
      <c r="C9138">
        <f>IF(VLOOKUP(Table7[[#This Row],[Date]],Database!$A:$C,MATCH($C$1,Database!$A$1:$C$1,),)=0,#N/A,VLOOKUP(Table7[[#This Row],[Date]],Database!$A:$C,MATCH($C$1,Database!$A$1:$C$1,),))</f>
        <v/>
      </c>
      <c r="D9138">
        <f>IFERROR(Table7[[#This Row],[United States 10y]]-Table7[[#This Row],[United States 3y]],#N/A)</f>
        <v/>
      </c>
    </row>
    <row r="9139">
      <c r="A9139" s="6">
        <f>Database!$A11224</f>
        <v/>
      </c>
      <c r="B9139">
        <f>IF(VLOOKUP(Table7[[#This Row],[Date]],Database!$A:$C,MATCH($B$1,Database!$A$1:$C$1,),)=0,#N/A,VLOOKUP(Table7[[#This Row],[Date]],Database!$A:$C,MATCH($B$1,Database!$A$1:$C$1,),))</f>
        <v/>
      </c>
      <c r="C9139">
        <f>IF(VLOOKUP(Table7[[#This Row],[Date]],Database!$A:$C,MATCH($C$1,Database!$A$1:$C$1,),)=0,#N/A,VLOOKUP(Table7[[#This Row],[Date]],Database!$A:$C,MATCH($C$1,Database!$A$1:$C$1,),))</f>
        <v/>
      </c>
      <c r="D9139">
        <f>IFERROR(Table7[[#This Row],[United States 10y]]-Table7[[#This Row],[United States 3y]],#N/A)</f>
        <v/>
      </c>
    </row>
    <row r="9140">
      <c r="A9140" s="6">
        <f>Database!$A11225</f>
        <v/>
      </c>
      <c r="B9140">
        <f>IF(VLOOKUP(Table7[[#This Row],[Date]],Database!$A:$C,MATCH($B$1,Database!$A$1:$C$1,),)=0,#N/A,VLOOKUP(Table7[[#This Row],[Date]],Database!$A:$C,MATCH($B$1,Database!$A$1:$C$1,),))</f>
        <v/>
      </c>
      <c r="C9140">
        <f>IF(VLOOKUP(Table7[[#This Row],[Date]],Database!$A:$C,MATCH($C$1,Database!$A$1:$C$1,),)=0,#N/A,VLOOKUP(Table7[[#This Row],[Date]],Database!$A:$C,MATCH($C$1,Database!$A$1:$C$1,),))</f>
        <v/>
      </c>
      <c r="D9140">
        <f>IFERROR(Table7[[#This Row],[United States 10y]]-Table7[[#This Row],[United States 3y]],#N/A)</f>
        <v/>
      </c>
    </row>
    <row r="9141">
      <c r="A9141" s="6">
        <f>Database!$A11226</f>
        <v/>
      </c>
      <c r="B9141">
        <f>IF(VLOOKUP(Table7[[#This Row],[Date]],Database!$A:$C,MATCH($B$1,Database!$A$1:$C$1,),)=0,#N/A,VLOOKUP(Table7[[#This Row],[Date]],Database!$A:$C,MATCH($B$1,Database!$A$1:$C$1,),))</f>
        <v/>
      </c>
      <c r="C9141">
        <f>IF(VLOOKUP(Table7[[#This Row],[Date]],Database!$A:$C,MATCH($C$1,Database!$A$1:$C$1,),)=0,#N/A,VLOOKUP(Table7[[#This Row],[Date]],Database!$A:$C,MATCH($C$1,Database!$A$1:$C$1,),))</f>
        <v/>
      </c>
      <c r="D9141">
        <f>IFERROR(Table7[[#This Row],[United States 10y]]-Table7[[#This Row],[United States 3y]],#N/A)</f>
        <v/>
      </c>
    </row>
    <row r="9142">
      <c r="A9142" s="6">
        <f>Database!$A11227</f>
        <v/>
      </c>
      <c r="B9142">
        <f>IF(VLOOKUP(Table7[[#This Row],[Date]],Database!$A:$C,MATCH($B$1,Database!$A$1:$C$1,),)=0,#N/A,VLOOKUP(Table7[[#This Row],[Date]],Database!$A:$C,MATCH($B$1,Database!$A$1:$C$1,),))</f>
        <v/>
      </c>
      <c r="C9142">
        <f>IF(VLOOKUP(Table7[[#This Row],[Date]],Database!$A:$C,MATCH($C$1,Database!$A$1:$C$1,),)=0,#N/A,VLOOKUP(Table7[[#This Row],[Date]],Database!$A:$C,MATCH($C$1,Database!$A$1:$C$1,),))</f>
        <v/>
      </c>
      <c r="D9142">
        <f>IFERROR(Table7[[#This Row],[United States 10y]]-Table7[[#This Row],[United States 3y]],#N/A)</f>
        <v/>
      </c>
    </row>
    <row r="9143">
      <c r="A9143" s="6">
        <f>Database!$A11228</f>
        <v/>
      </c>
      <c r="B9143">
        <f>IF(VLOOKUP(Table7[[#This Row],[Date]],Database!$A:$C,MATCH($B$1,Database!$A$1:$C$1,),)=0,#N/A,VLOOKUP(Table7[[#This Row],[Date]],Database!$A:$C,MATCH($B$1,Database!$A$1:$C$1,),))</f>
        <v/>
      </c>
      <c r="C9143">
        <f>IF(VLOOKUP(Table7[[#This Row],[Date]],Database!$A:$C,MATCH($C$1,Database!$A$1:$C$1,),)=0,#N/A,VLOOKUP(Table7[[#This Row],[Date]],Database!$A:$C,MATCH($C$1,Database!$A$1:$C$1,),))</f>
        <v/>
      </c>
      <c r="D9143">
        <f>IFERROR(Table7[[#This Row],[United States 10y]]-Table7[[#This Row],[United States 3y]],#N/A)</f>
        <v/>
      </c>
    </row>
    <row r="9144">
      <c r="A9144" s="6">
        <f>Database!$A11229</f>
        <v/>
      </c>
      <c r="B9144">
        <f>IF(VLOOKUP(Table7[[#This Row],[Date]],Database!$A:$C,MATCH($B$1,Database!$A$1:$C$1,),)=0,#N/A,VLOOKUP(Table7[[#This Row],[Date]],Database!$A:$C,MATCH($B$1,Database!$A$1:$C$1,),))</f>
        <v/>
      </c>
      <c r="C9144">
        <f>IF(VLOOKUP(Table7[[#This Row],[Date]],Database!$A:$C,MATCH($C$1,Database!$A$1:$C$1,),)=0,#N/A,VLOOKUP(Table7[[#This Row],[Date]],Database!$A:$C,MATCH($C$1,Database!$A$1:$C$1,),))</f>
        <v/>
      </c>
      <c r="D9144">
        <f>IFERROR(Table7[[#This Row],[United States 10y]]-Table7[[#This Row],[United States 3y]],#N/A)</f>
        <v/>
      </c>
    </row>
    <row r="9145">
      <c r="A9145" s="6">
        <f>Database!$A11230</f>
        <v/>
      </c>
      <c r="B9145">
        <f>IF(VLOOKUP(Table7[[#This Row],[Date]],Database!$A:$C,MATCH($B$1,Database!$A$1:$C$1,),)=0,#N/A,VLOOKUP(Table7[[#This Row],[Date]],Database!$A:$C,MATCH($B$1,Database!$A$1:$C$1,),))</f>
        <v/>
      </c>
      <c r="C9145">
        <f>IF(VLOOKUP(Table7[[#This Row],[Date]],Database!$A:$C,MATCH($C$1,Database!$A$1:$C$1,),)=0,#N/A,VLOOKUP(Table7[[#This Row],[Date]],Database!$A:$C,MATCH($C$1,Database!$A$1:$C$1,),))</f>
        <v/>
      </c>
      <c r="D9145">
        <f>IFERROR(Table7[[#This Row],[United States 10y]]-Table7[[#This Row],[United States 3y]],#N/A)</f>
        <v/>
      </c>
    </row>
    <row r="9146">
      <c r="A9146" s="6">
        <f>Database!$A11231</f>
        <v/>
      </c>
      <c r="B9146">
        <f>IF(VLOOKUP(Table7[[#This Row],[Date]],Database!$A:$C,MATCH($B$1,Database!$A$1:$C$1,),)=0,#N/A,VLOOKUP(Table7[[#This Row],[Date]],Database!$A:$C,MATCH($B$1,Database!$A$1:$C$1,),))</f>
        <v/>
      </c>
      <c r="C9146">
        <f>IF(VLOOKUP(Table7[[#This Row],[Date]],Database!$A:$C,MATCH($C$1,Database!$A$1:$C$1,),)=0,#N/A,VLOOKUP(Table7[[#This Row],[Date]],Database!$A:$C,MATCH($C$1,Database!$A$1:$C$1,),))</f>
        <v/>
      </c>
      <c r="D9146">
        <f>IFERROR(Table7[[#This Row],[United States 10y]]-Table7[[#This Row],[United States 3y]],#N/A)</f>
        <v/>
      </c>
    </row>
    <row r="9147">
      <c r="A9147" s="6">
        <f>Database!$A11232</f>
        <v/>
      </c>
      <c r="B9147">
        <f>IF(VLOOKUP(Table7[[#This Row],[Date]],Database!$A:$C,MATCH($B$1,Database!$A$1:$C$1,),)=0,#N/A,VLOOKUP(Table7[[#This Row],[Date]],Database!$A:$C,MATCH($B$1,Database!$A$1:$C$1,),))</f>
        <v/>
      </c>
      <c r="C9147">
        <f>IF(VLOOKUP(Table7[[#This Row],[Date]],Database!$A:$C,MATCH($C$1,Database!$A$1:$C$1,),)=0,#N/A,VLOOKUP(Table7[[#This Row],[Date]],Database!$A:$C,MATCH($C$1,Database!$A$1:$C$1,),))</f>
        <v/>
      </c>
      <c r="D9147">
        <f>IFERROR(Table7[[#This Row],[United States 10y]]-Table7[[#This Row],[United States 3y]],#N/A)</f>
        <v/>
      </c>
    </row>
    <row r="9148">
      <c r="A9148" s="6">
        <f>Database!$A11233</f>
        <v/>
      </c>
      <c r="B9148">
        <f>IF(VLOOKUP(Table7[[#This Row],[Date]],Database!$A:$C,MATCH($B$1,Database!$A$1:$C$1,),)=0,#N/A,VLOOKUP(Table7[[#This Row],[Date]],Database!$A:$C,MATCH($B$1,Database!$A$1:$C$1,),))</f>
        <v/>
      </c>
      <c r="C9148">
        <f>IF(VLOOKUP(Table7[[#This Row],[Date]],Database!$A:$C,MATCH($C$1,Database!$A$1:$C$1,),)=0,#N/A,VLOOKUP(Table7[[#This Row],[Date]],Database!$A:$C,MATCH($C$1,Database!$A$1:$C$1,),))</f>
        <v/>
      </c>
      <c r="D9148">
        <f>IFERROR(Table7[[#This Row],[United States 10y]]-Table7[[#This Row],[United States 3y]],#N/A)</f>
        <v/>
      </c>
    </row>
    <row r="9149">
      <c r="A9149" s="6">
        <f>Database!$A11234</f>
        <v/>
      </c>
      <c r="B9149">
        <f>IF(VLOOKUP(Table7[[#This Row],[Date]],Database!$A:$C,MATCH($B$1,Database!$A$1:$C$1,),)=0,#N/A,VLOOKUP(Table7[[#This Row],[Date]],Database!$A:$C,MATCH($B$1,Database!$A$1:$C$1,),))</f>
        <v/>
      </c>
      <c r="C9149">
        <f>IF(VLOOKUP(Table7[[#This Row],[Date]],Database!$A:$C,MATCH($C$1,Database!$A$1:$C$1,),)=0,#N/A,VLOOKUP(Table7[[#This Row],[Date]],Database!$A:$C,MATCH($C$1,Database!$A$1:$C$1,),))</f>
        <v/>
      </c>
      <c r="D9149">
        <f>IFERROR(Table7[[#This Row],[United States 10y]]-Table7[[#This Row],[United States 3y]],#N/A)</f>
        <v/>
      </c>
    </row>
    <row r="9150">
      <c r="A9150" s="6">
        <f>Database!$A11235</f>
        <v/>
      </c>
      <c r="B9150">
        <f>IF(VLOOKUP(Table7[[#This Row],[Date]],Database!$A:$C,MATCH($B$1,Database!$A$1:$C$1,),)=0,#N/A,VLOOKUP(Table7[[#This Row],[Date]],Database!$A:$C,MATCH($B$1,Database!$A$1:$C$1,),))</f>
        <v/>
      </c>
      <c r="C9150">
        <f>IF(VLOOKUP(Table7[[#This Row],[Date]],Database!$A:$C,MATCH($C$1,Database!$A$1:$C$1,),)=0,#N/A,VLOOKUP(Table7[[#This Row],[Date]],Database!$A:$C,MATCH($C$1,Database!$A$1:$C$1,),))</f>
        <v/>
      </c>
      <c r="D9150">
        <f>IFERROR(Table7[[#This Row],[United States 10y]]-Table7[[#This Row],[United States 3y]],#N/A)</f>
        <v/>
      </c>
    </row>
    <row r="9151">
      <c r="A9151" s="6">
        <f>Database!$A11236</f>
        <v/>
      </c>
      <c r="B9151">
        <f>IF(VLOOKUP(Table7[[#This Row],[Date]],Database!$A:$C,MATCH($B$1,Database!$A$1:$C$1,),)=0,#N/A,VLOOKUP(Table7[[#This Row],[Date]],Database!$A:$C,MATCH($B$1,Database!$A$1:$C$1,),))</f>
        <v/>
      </c>
      <c r="C9151">
        <f>IF(VLOOKUP(Table7[[#This Row],[Date]],Database!$A:$C,MATCH($C$1,Database!$A$1:$C$1,),)=0,#N/A,VLOOKUP(Table7[[#This Row],[Date]],Database!$A:$C,MATCH($C$1,Database!$A$1:$C$1,),))</f>
        <v/>
      </c>
      <c r="D9151">
        <f>IFERROR(Table7[[#This Row],[United States 10y]]-Table7[[#This Row],[United States 3y]],#N/A)</f>
        <v/>
      </c>
    </row>
    <row r="9152">
      <c r="A9152" s="6">
        <f>Database!$A11237</f>
        <v/>
      </c>
      <c r="B9152">
        <f>IF(VLOOKUP(Table7[[#This Row],[Date]],Database!$A:$C,MATCH($B$1,Database!$A$1:$C$1,),)=0,#N/A,VLOOKUP(Table7[[#This Row],[Date]],Database!$A:$C,MATCH($B$1,Database!$A$1:$C$1,),))</f>
        <v/>
      </c>
      <c r="C9152">
        <f>IF(VLOOKUP(Table7[[#This Row],[Date]],Database!$A:$C,MATCH($C$1,Database!$A$1:$C$1,),)=0,#N/A,VLOOKUP(Table7[[#This Row],[Date]],Database!$A:$C,MATCH($C$1,Database!$A$1:$C$1,),))</f>
        <v/>
      </c>
      <c r="D9152">
        <f>IFERROR(Table7[[#This Row],[United States 10y]]-Table7[[#This Row],[United States 3y]],#N/A)</f>
        <v/>
      </c>
    </row>
    <row r="9153">
      <c r="A9153" s="6">
        <f>Database!$A11238</f>
        <v/>
      </c>
      <c r="B9153">
        <f>IF(VLOOKUP(Table7[[#This Row],[Date]],Database!$A:$C,MATCH($B$1,Database!$A$1:$C$1,),)=0,#N/A,VLOOKUP(Table7[[#This Row],[Date]],Database!$A:$C,MATCH($B$1,Database!$A$1:$C$1,),))</f>
        <v/>
      </c>
      <c r="C9153">
        <f>IF(VLOOKUP(Table7[[#This Row],[Date]],Database!$A:$C,MATCH($C$1,Database!$A$1:$C$1,),)=0,#N/A,VLOOKUP(Table7[[#This Row],[Date]],Database!$A:$C,MATCH($C$1,Database!$A$1:$C$1,),))</f>
        <v/>
      </c>
      <c r="D9153">
        <f>IFERROR(Table7[[#This Row],[United States 10y]]-Table7[[#This Row],[United States 3y]],#N/A)</f>
        <v/>
      </c>
    </row>
    <row r="9154">
      <c r="A9154" s="6">
        <f>Database!$A11239</f>
        <v/>
      </c>
      <c r="B9154">
        <f>IF(VLOOKUP(Table7[[#This Row],[Date]],Database!$A:$C,MATCH($B$1,Database!$A$1:$C$1,),)=0,#N/A,VLOOKUP(Table7[[#This Row],[Date]],Database!$A:$C,MATCH($B$1,Database!$A$1:$C$1,),))</f>
        <v/>
      </c>
      <c r="C9154">
        <f>IF(VLOOKUP(Table7[[#This Row],[Date]],Database!$A:$C,MATCH($C$1,Database!$A$1:$C$1,),)=0,#N/A,VLOOKUP(Table7[[#This Row],[Date]],Database!$A:$C,MATCH($C$1,Database!$A$1:$C$1,),))</f>
        <v/>
      </c>
      <c r="D9154">
        <f>IFERROR(Table7[[#This Row],[United States 10y]]-Table7[[#This Row],[United States 3y]],#N/A)</f>
        <v/>
      </c>
    </row>
    <row r="9155">
      <c r="A9155" s="6">
        <f>Database!$A11240</f>
        <v/>
      </c>
      <c r="B9155">
        <f>IF(VLOOKUP(Table7[[#This Row],[Date]],Database!$A:$C,MATCH($B$1,Database!$A$1:$C$1,),)=0,#N/A,VLOOKUP(Table7[[#This Row],[Date]],Database!$A:$C,MATCH($B$1,Database!$A$1:$C$1,),))</f>
        <v/>
      </c>
      <c r="C9155">
        <f>IF(VLOOKUP(Table7[[#This Row],[Date]],Database!$A:$C,MATCH($C$1,Database!$A$1:$C$1,),)=0,#N/A,VLOOKUP(Table7[[#This Row],[Date]],Database!$A:$C,MATCH($C$1,Database!$A$1:$C$1,),))</f>
        <v/>
      </c>
      <c r="D9155">
        <f>IFERROR(Table7[[#This Row],[United States 10y]]-Table7[[#This Row],[United States 3y]],#N/A)</f>
        <v/>
      </c>
    </row>
    <row r="9156">
      <c r="A9156" s="6">
        <f>Database!$A11241</f>
        <v/>
      </c>
      <c r="B9156">
        <f>IF(VLOOKUP(Table7[[#This Row],[Date]],Database!$A:$C,MATCH($B$1,Database!$A$1:$C$1,),)=0,#N/A,VLOOKUP(Table7[[#This Row],[Date]],Database!$A:$C,MATCH($B$1,Database!$A$1:$C$1,),))</f>
        <v/>
      </c>
      <c r="C9156">
        <f>IF(VLOOKUP(Table7[[#This Row],[Date]],Database!$A:$C,MATCH($C$1,Database!$A$1:$C$1,),)=0,#N/A,VLOOKUP(Table7[[#This Row],[Date]],Database!$A:$C,MATCH($C$1,Database!$A$1:$C$1,),))</f>
        <v/>
      </c>
      <c r="D9156">
        <f>IFERROR(Table7[[#This Row],[United States 10y]]-Table7[[#This Row],[United States 3y]],#N/A)</f>
        <v/>
      </c>
    </row>
    <row r="9157">
      <c r="A9157" s="6">
        <f>Database!$A11242</f>
        <v/>
      </c>
      <c r="B9157">
        <f>IF(VLOOKUP(Table7[[#This Row],[Date]],Database!$A:$C,MATCH($B$1,Database!$A$1:$C$1,),)=0,#N/A,VLOOKUP(Table7[[#This Row],[Date]],Database!$A:$C,MATCH($B$1,Database!$A$1:$C$1,),))</f>
        <v/>
      </c>
      <c r="C9157">
        <f>IF(VLOOKUP(Table7[[#This Row],[Date]],Database!$A:$C,MATCH($C$1,Database!$A$1:$C$1,),)=0,#N/A,VLOOKUP(Table7[[#This Row],[Date]],Database!$A:$C,MATCH($C$1,Database!$A$1:$C$1,),))</f>
        <v/>
      </c>
      <c r="D9157">
        <f>IFERROR(Table7[[#This Row],[United States 10y]]-Table7[[#This Row],[United States 3y]],#N/A)</f>
        <v/>
      </c>
    </row>
    <row r="9158">
      <c r="A9158" s="6">
        <f>Database!$A11243</f>
        <v/>
      </c>
      <c r="B9158">
        <f>IF(VLOOKUP(Table7[[#This Row],[Date]],Database!$A:$C,MATCH($B$1,Database!$A$1:$C$1,),)=0,#N/A,VLOOKUP(Table7[[#This Row],[Date]],Database!$A:$C,MATCH($B$1,Database!$A$1:$C$1,),))</f>
        <v/>
      </c>
      <c r="C9158">
        <f>IF(VLOOKUP(Table7[[#This Row],[Date]],Database!$A:$C,MATCH($C$1,Database!$A$1:$C$1,),)=0,#N/A,VLOOKUP(Table7[[#This Row],[Date]],Database!$A:$C,MATCH($C$1,Database!$A$1:$C$1,),))</f>
        <v/>
      </c>
      <c r="D9158">
        <f>IFERROR(Table7[[#This Row],[United States 10y]]-Table7[[#This Row],[United States 3y]],#N/A)</f>
        <v/>
      </c>
    </row>
    <row r="9159">
      <c r="A9159" s="6">
        <f>Database!$A11244</f>
        <v/>
      </c>
      <c r="B9159">
        <f>IF(VLOOKUP(Table7[[#This Row],[Date]],Database!$A:$C,MATCH($B$1,Database!$A$1:$C$1,),)=0,#N/A,VLOOKUP(Table7[[#This Row],[Date]],Database!$A:$C,MATCH($B$1,Database!$A$1:$C$1,),))</f>
        <v/>
      </c>
      <c r="C9159">
        <f>IF(VLOOKUP(Table7[[#This Row],[Date]],Database!$A:$C,MATCH($C$1,Database!$A$1:$C$1,),)=0,#N/A,VLOOKUP(Table7[[#This Row],[Date]],Database!$A:$C,MATCH($C$1,Database!$A$1:$C$1,),))</f>
        <v/>
      </c>
      <c r="D9159">
        <f>IFERROR(Table7[[#This Row],[United States 10y]]-Table7[[#This Row],[United States 3y]],#N/A)</f>
        <v/>
      </c>
    </row>
    <row r="9160">
      <c r="A9160" s="6">
        <f>Database!$A11245</f>
        <v/>
      </c>
      <c r="B9160">
        <f>IF(VLOOKUP(Table7[[#This Row],[Date]],Database!$A:$C,MATCH($B$1,Database!$A$1:$C$1,),)=0,#N/A,VLOOKUP(Table7[[#This Row],[Date]],Database!$A:$C,MATCH($B$1,Database!$A$1:$C$1,),))</f>
        <v/>
      </c>
      <c r="C9160">
        <f>IF(VLOOKUP(Table7[[#This Row],[Date]],Database!$A:$C,MATCH($C$1,Database!$A$1:$C$1,),)=0,#N/A,VLOOKUP(Table7[[#This Row],[Date]],Database!$A:$C,MATCH($C$1,Database!$A$1:$C$1,),))</f>
        <v/>
      </c>
      <c r="D9160">
        <f>IFERROR(Table7[[#This Row],[United States 10y]]-Table7[[#This Row],[United States 3y]],#N/A)</f>
        <v/>
      </c>
    </row>
    <row r="9161">
      <c r="A9161" s="6">
        <f>Database!$A11246</f>
        <v/>
      </c>
      <c r="B9161">
        <f>IF(VLOOKUP(Table7[[#This Row],[Date]],Database!$A:$C,MATCH($B$1,Database!$A$1:$C$1,),)=0,#N/A,VLOOKUP(Table7[[#This Row],[Date]],Database!$A:$C,MATCH($B$1,Database!$A$1:$C$1,),))</f>
        <v/>
      </c>
      <c r="C9161">
        <f>IF(VLOOKUP(Table7[[#This Row],[Date]],Database!$A:$C,MATCH($C$1,Database!$A$1:$C$1,),)=0,#N/A,VLOOKUP(Table7[[#This Row],[Date]],Database!$A:$C,MATCH($C$1,Database!$A$1:$C$1,),))</f>
        <v/>
      </c>
      <c r="D9161">
        <f>IFERROR(Table7[[#This Row],[United States 10y]]-Table7[[#This Row],[United States 3y]],#N/A)</f>
        <v/>
      </c>
    </row>
    <row r="9162">
      <c r="A9162" s="6">
        <f>Database!$A11247</f>
        <v/>
      </c>
      <c r="B9162">
        <f>IF(VLOOKUP(Table7[[#This Row],[Date]],Database!$A:$C,MATCH($B$1,Database!$A$1:$C$1,),)=0,#N/A,VLOOKUP(Table7[[#This Row],[Date]],Database!$A:$C,MATCH($B$1,Database!$A$1:$C$1,),))</f>
        <v/>
      </c>
      <c r="C9162">
        <f>IF(VLOOKUP(Table7[[#This Row],[Date]],Database!$A:$C,MATCH($C$1,Database!$A$1:$C$1,),)=0,#N/A,VLOOKUP(Table7[[#This Row],[Date]],Database!$A:$C,MATCH($C$1,Database!$A$1:$C$1,),))</f>
        <v/>
      </c>
      <c r="D9162">
        <f>IFERROR(Table7[[#This Row],[United States 10y]]-Table7[[#This Row],[United States 3y]],#N/A)</f>
        <v/>
      </c>
    </row>
    <row r="9163">
      <c r="A9163" s="6">
        <f>Database!$A11248</f>
        <v/>
      </c>
      <c r="B9163">
        <f>IF(VLOOKUP(Table7[[#This Row],[Date]],Database!$A:$C,MATCH($B$1,Database!$A$1:$C$1,),)=0,#N/A,VLOOKUP(Table7[[#This Row],[Date]],Database!$A:$C,MATCH($B$1,Database!$A$1:$C$1,),))</f>
        <v/>
      </c>
      <c r="C9163">
        <f>IF(VLOOKUP(Table7[[#This Row],[Date]],Database!$A:$C,MATCH($C$1,Database!$A$1:$C$1,),)=0,#N/A,VLOOKUP(Table7[[#This Row],[Date]],Database!$A:$C,MATCH($C$1,Database!$A$1:$C$1,),))</f>
        <v/>
      </c>
      <c r="D9163">
        <f>IFERROR(Table7[[#This Row],[United States 10y]]-Table7[[#This Row],[United States 3y]],#N/A)</f>
        <v/>
      </c>
    </row>
    <row r="9164">
      <c r="A9164" s="6">
        <f>Database!$A11249</f>
        <v/>
      </c>
      <c r="B9164">
        <f>IF(VLOOKUP(Table7[[#This Row],[Date]],Database!$A:$C,MATCH($B$1,Database!$A$1:$C$1,),)=0,#N/A,VLOOKUP(Table7[[#This Row],[Date]],Database!$A:$C,MATCH($B$1,Database!$A$1:$C$1,),))</f>
        <v/>
      </c>
      <c r="C9164">
        <f>IF(VLOOKUP(Table7[[#This Row],[Date]],Database!$A:$C,MATCH($C$1,Database!$A$1:$C$1,),)=0,#N/A,VLOOKUP(Table7[[#This Row],[Date]],Database!$A:$C,MATCH($C$1,Database!$A$1:$C$1,),))</f>
        <v/>
      </c>
      <c r="D9164">
        <f>IFERROR(Table7[[#This Row],[United States 10y]]-Table7[[#This Row],[United States 3y]],#N/A)</f>
        <v/>
      </c>
    </row>
    <row r="9165">
      <c r="A9165" s="6">
        <f>Database!$A11250</f>
        <v/>
      </c>
      <c r="B9165">
        <f>IF(VLOOKUP(Table7[[#This Row],[Date]],Database!$A:$C,MATCH($B$1,Database!$A$1:$C$1,),)=0,#N/A,VLOOKUP(Table7[[#This Row],[Date]],Database!$A:$C,MATCH($B$1,Database!$A$1:$C$1,),))</f>
        <v/>
      </c>
      <c r="C9165">
        <f>IF(VLOOKUP(Table7[[#This Row],[Date]],Database!$A:$C,MATCH($C$1,Database!$A$1:$C$1,),)=0,#N/A,VLOOKUP(Table7[[#This Row],[Date]],Database!$A:$C,MATCH($C$1,Database!$A$1:$C$1,),))</f>
        <v/>
      </c>
      <c r="D9165">
        <f>IFERROR(Table7[[#This Row],[United States 10y]]-Table7[[#This Row],[United States 3y]],#N/A)</f>
        <v/>
      </c>
    </row>
    <row r="9166">
      <c r="A9166" s="6">
        <f>Database!$A11251</f>
        <v/>
      </c>
      <c r="B9166">
        <f>IF(VLOOKUP(Table7[[#This Row],[Date]],Database!$A:$C,MATCH($B$1,Database!$A$1:$C$1,),)=0,#N/A,VLOOKUP(Table7[[#This Row],[Date]],Database!$A:$C,MATCH($B$1,Database!$A$1:$C$1,),))</f>
        <v/>
      </c>
      <c r="C9166">
        <f>IF(VLOOKUP(Table7[[#This Row],[Date]],Database!$A:$C,MATCH($C$1,Database!$A$1:$C$1,),)=0,#N/A,VLOOKUP(Table7[[#This Row],[Date]],Database!$A:$C,MATCH($C$1,Database!$A$1:$C$1,),))</f>
        <v/>
      </c>
      <c r="D9166">
        <f>IFERROR(Table7[[#This Row],[United States 10y]]-Table7[[#This Row],[United States 3y]],#N/A)</f>
        <v/>
      </c>
    </row>
    <row r="9167">
      <c r="A9167" s="6">
        <f>Database!$A11252</f>
        <v/>
      </c>
      <c r="B9167">
        <f>IF(VLOOKUP(Table7[[#This Row],[Date]],Database!$A:$C,MATCH($B$1,Database!$A$1:$C$1,),)=0,#N/A,VLOOKUP(Table7[[#This Row],[Date]],Database!$A:$C,MATCH($B$1,Database!$A$1:$C$1,),))</f>
        <v/>
      </c>
      <c r="C9167">
        <f>IF(VLOOKUP(Table7[[#This Row],[Date]],Database!$A:$C,MATCH($C$1,Database!$A$1:$C$1,),)=0,#N/A,VLOOKUP(Table7[[#This Row],[Date]],Database!$A:$C,MATCH($C$1,Database!$A$1:$C$1,),))</f>
        <v/>
      </c>
      <c r="D9167">
        <f>IFERROR(Table7[[#This Row],[United States 10y]]-Table7[[#This Row],[United States 3y]],#N/A)</f>
        <v/>
      </c>
    </row>
    <row r="9168">
      <c r="A9168" s="6">
        <f>Database!$A11253</f>
        <v/>
      </c>
      <c r="B9168">
        <f>IF(VLOOKUP(Table7[[#This Row],[Date]],Database!$A:$C,MATCH($B$1,Database!$A$1:$C$1,),)=0,#N/A,VLOOKUP(Table7[[#This Row],[Date]],Database!$A:$C,MATCH($B$1,Database!$A$1:$C$1,),))</f>
        <v/>
      </c>
      <c r="C9168">
        <f>IF(VLOOKUP(Table7[[#This Row],[Date]],Database!$A:$C,MATCH($C$1,Database!$A$1:$C$1,),)=0,#N/A,VLOOKUP(Table7[[#This Row],[Date]],Database!$A:$C,MATCH($C$1,Database!$A$1:$C$1,),))</f>
        <v/>
      </c>
      <c r="D9168">
        <f>IFERROR(Table7[[#This Row],[United States 10y]]-Table7[[#This Row],[United States 3y]],#N/A)</f>
        <v/>
      </c>
    </row>
    <row r="9169">
      <c r="A9169" s="6">
        <f>Database!$A11254</f>
        <v/>
      </c>
      <c r="B9169">
        <f>IF(VLOOKUP(Table7[[#This Row],[Date]],Database!$A:$C,MATCH($B$1,Database!$A$1:$C$1,),)=0,#N/A,VLOOKUP(Table7[[#This Row],[Date]],Database!$A:$C,MATCH($B$1,Database!$A$1:$C$1,),))</f>
        <v/>
      </c>
      <c r="C9169">
        <f>IF(VLOOKUP(Table7[[#This Row],[Date]],Database!$A:$C,MATCH($C$1,Database!$A$1:$C$1,),)=0,#N/A,VLOOKUP(Table7[[#This Row],[Date]],Database!$A:$C,MATCH($C$1,Database!$A$1:$C$1,),))</f>
        <v/>
      </c>
      <c r="D9169">
        <f>IFERROR(Table7[[#This Row],[United States 10y]]-Table7[[#This Row],[United States 3y]],#N/A)</f>
        <v/>
      </c>
    </row>
    <row r="9170">
      <c r="A9170" s="6">
        <f>Database!$A11255</f>
        <v/>
      </c>
      <c r="B9170">
        <f>IF(VLOOKUP(Table7[[#This Row],[Date]],Database!$A:$C,MATCH($B$1,Database!$A$1:$C$1,),)=0,#N/A,VLOOKUP(Table7[[#This Row],[Date]],Database!$A:$C,MATCH($B$1,Database!$A$1:$C$1,),))</f>
        <v/>
      </c>
      <c r="C9170">
        <f>IF(VLOOKUP(Table7[[#This Row],[Date]],Database!$A:$C,MATCH($C$1,Database!$A$1:$C$1,),)=0,#N/A,VLOOKUP(Table7[[#This Row],[Date]],Database!$A:$C,MATCH($C$1,Database!$A$1:$C$1,),))</f>
        <v/>
      </c>
      <c r="D9170">
        <f>IFERROR(Table7[[#This Row],[United States 10y]]-Table7[[#This Row],[United States 3y]],#N/A)</f>
        <v/>
      </c>
    </row>
    <row r="9171">
      <c r="A9171" s="6">
        <f>Database!$A11256</f>
        <v/>
      </c>
      <c r="B9171">
        <f>IF(VLOOKUP(Table7[[#This Row],[Date]],Database!$A:$C,MATCH($B$1,Database!$A$1:$C$1,),)=0,#N/A,VLOOKUP(Table7[[#This Row],[Date]],Database!$A:$C,MATCH($B$1,Database!$A$1:$C$1,),))</f>
        <v/>
      </c>
      <c r="C9171">
        <f>IF(VLOOKUP(Table7[[#This Row],[Date]],Database!$A:$C,MATCH($C$1,Database!$A$1:$C$1,),)=0,#N/A,VLOOKUP(Table7[[#This Row],[Date]],Database!$A:$C,MATCH($C$1,Database!$A$1:$C$1,),))</f>
        <v/>
      </c>
      <c r="D9171">
        <f>IFERROR(Table7[[#This Row],[United States 10y]]-Table7[[#This Row],[United States 3y]],#N/A)</f>
        <v/>
      </c>
    </row>
    <row r="9172">
      <c r="A9172" s="6">
        <f>Database!$A11257</f>
        <v/>
      </c>
      <c r="B9172">
        <f>IF(VLOOKUP(Table7[[#This Row],[Date]],Database!$A:$C,MATCH($B$1,Database!$A$1:$C$1,),)=0,#N/A,VLOOKUP(Table7[[#This Row],[Date]],Database!$A:$C,MATCH($B$1,Database!$A$1:$C$1,),))</f>
        <v/>
      </c>
      <c r="C9172">
        <f>IF(VLOOKUP(Table7[[#This Row],[Date]],Database!$A:$C,MATCH($C$1,Database!$A$1:$C$1,),)=0,#N/A,VLOOKUP(Table7[[#This Row],[Date]],Database!$A:$C,MATCH($C$1,Database!$A$1:$C$1,),))</f>
        <v/>
      </c>
      <c r="D9172">
        <f>IFERROR(Table7[[#This Row],[United States 10y]]-Table7[[#This Row],[United States 3y]],#N/A)</f>
        <v/>
      </c>
    </row>
    <row r="9173">
      <c r="A9173" s="6">
        <f>Database!$A11258</f>
        <v/>
      </c>
      <c r="B9173">
        <f>IF(VLOOKUP(Table7[[#This Row],[Date]],Database!$A:$C,MATCH($B$1,Database!$A$1:$C$1,),)=0,#N/A,VLOOKUP(Table7[[#This Row],[Date]],Database!$A:$C,MATCH($B$1,Database!$A$1:$C$1,),))</f>
        <v/>
      </c>
      <c r="C9173">
        <f>IF(VLOOKUP(Table7[[#This Row],[Date]],Database!$A:$C,MATCH($C$1,Database!$A$1:$C$1,),)=0,#N/A,VLOOKUP(Table7[[#This Row],[Date]],Database!$A:$C,MATCH($C$1,Database!$A$1:$C$1,),))</f>
        <v/>
      </c>
      <c r="D9173">
        <f>IFERROR(Table7[[#This Row],[United States 10y]]-Table7[[#This Row],[United States 3y]],#N/A)</f>
        <v/>
      </c>
    </row>
    <row r="9174">
      <c r="A9174" s="6">
        <f>Database!$A11259</f>
        <v/>
      </c>
      <c r="B9174">
        <f>IF(VLOOKUP(Table7[[#This Row],[Date]],Database!$A:$C,MATCH($B$1,Database!$A$1:$C$1,),)=0,#N/A,VLOOKUP(Table7[[#This Row],[Date]],Database!$A:$C,MATCH($B$1,Database!$A$1:$C$1,),))</f>
        <v/>
      </c>
      <c r="C9174">
        <f>IF(VLOOKUP(Table7[[#This Row],[Date]],Database!$A:$C,MATCH($C$1,Database!$A$1:$C$1,),)=0,#N/A,VLOOKUP(Table7[[#This Row],[Date]],Database!$A:$C,MATCH($C$1,Database!$A$1:$C$1,),))</f>
        <v/>
      </c>
      <c r="D9174">
        <f>IFERROR(Table7[[#This Row],[United States 10y]]-Table7[[#This Row],[United States 3y]],#N/A)</f>
        <v/>
      </c>
    </row>
    <row r="9175">
      <c r="A9175" s="6">
        <f>Database!$A11260</f>
        <v/>
      </c>
      <c r="B9175">
        <f>IF(VLOOKUP(Table7[[#This Row],[Date]],Database!$A:$C,MATCH($B$1,Database!$A$1:$C$1,),)=0,#N/A,VLOOKUP(Table7[[#This Row],[Date]],Database!$A:$C,MATCH($B$1,Database!$A$1:$C$1,),))</f>
        <v/>
      </c>
      <c r="C9175">
        <f>IF(VLOOKUP(Table7[[#This Row],[Date]],Database!$A:$C,MATCH($C$1,Database!$A$1:$C$1,),)=0,#N/A,VLOOKUP(Table7[[#This Row],[Date]],Database!$A:$C,MATCH($C$1,Database!$A$1:$C$1,),))</f>
        <v/>
      </c>
      <c r="D9175">
        <f>IFERROR(Table7[[#This Row],[United States 10y]]-Table7[[#This Row],[United States 3y]],#N/A)</f>
        <v/>
      </c>
    </row>
    <row r="9176">
      <c r="A9176" s="6">
        <f>Database!$A11261</f>
        <v/>
      </c>
      <c r="B9176">
        <f>IF(VLOOKUP(Table7[[#This Row],[Date]],Database!$A:$C,MATCH($B$1,Database!$A$1:$C$1,),)=0,#N/A,VLOOKUP(Table7[[#This Row],[Date]],Database!$A:$C,MATCH($B$1,Database!$A$1:$C$1,),))</f>
        <v/>
      </c>
      <c r="C9176">
        <f>IF(VLOOKUP(Table7[[#This Row],[Date]],Database!$A:$C,MATCH($C$1,Database!$A$1:$C$1,),)=0,#N/A,VLOOKUP(Table7[[#This Row],[Date]],Database!$A:$C,MATCH($C$1,Database!$A$1:$C$1,),))</f>
        <v/>
      </c>
      <c r="D9176">
        <f>IFERROR(Table7[[#This Row],[United States 10y]]-Table7[[#This Row],[United States 3y]],#N/A)</f>
        <v/>
      </c>
    </row>
    <row r="9177">
      <c r="A9177" s="6">
        <f>Database!$A11262</f>
        <v/>
      </c>
      <c r="B9177">
        <f>IF(VLOOKUP(Table7[[#This Row],[Date]],Database!$A:$C,MATCH($B$1,Database!$A$1:$C$1,),)=0,#N/A,VLOOKUP(Table7[[#This Row],[Date]],Database!$A:$C,MATCH($B$1,Database!$A$1:$C$1,),))</f>
        <v/>
      </c>
      <c r="C9177">
        <f>IF(VLOOKUP(Table7[[#This Row],[Date]],Database!$A:$C,MATCH($C$1,Database!$A$1:$C$1,),)=0,#N/A,VLOOKUP(Table7[[#This Row],[Date]],Database!$A:$C,MATCH($C$1,Database!$A$1:$C$1,),))</f>
        <v/>
      </c>
      <c r="D9177">
        <f>IFERROR(Table7[[#This Row],[United States 10y]]-Table7[[#This Row],[United States 3y]],#N/A)</f>
        <v/>
      </c>
    </row>
    <row r="9178">
      <c r="A9178" s="6">
        <f>Database!$A11263</f>
        <v/>
      </c>
      <c r="B9178">
        <f>IF(VLOOKUP(Table7[[#This Row],[Date]],Database!$A:$C,MATCH($B$1,Database!$A$1:$C$1,),)=0,#N/A,VLOOKUP(Table7[[#This Row],[Date]],Database!$A:$C,MATCH($B$1,Database!$A$1:$C$1,),))</f>
        <v/>
      </c>
      <c r="C9178">
        <f>IF(VLOOKUP(Table7[[#This Row],[Date]],Database!$A:$C,MATCH($C$1,Database!$A$1:$C$1,),)=0,#N/A,VLOOKUP(Table7[[#This Row],[Date]],Database!$A:$C,MATCH($C$1,Database!$A$1:$C$1,),))</f>
        <v/>
      </c>
      <c r="D9178">
        <f>IFERROR(Table7[[#This Row],[United States 10y]]-Table7[[#This Row],[United States 3y]],#N/A)</f>
        <v/>
      </c>
    </row>
    <row r="9179">
      <c r="A9179" s="6">
        <f>Database!$A11264</f>
        <v/>
      </c>
      <c r="B9179">
        <f>IF(VLOOKUP(Table7[[#This Row],[Date]],Database!$A:$C,MATCH($B$1,Database!$A$1:$C$1,),)=0,#N/A,VLOOKUP(Table7[[#This Row],[Date]],Database!$A:$C,MATCH($B$1,Database!$A$1:$C$1,),))</f>
        <v/>
      </c>
      <c r="C9179">
        <f>IF(VLOOKUP(Table7[[#This Row],[Date]],Database!$A:$C,MATCH($C$1,Database!$A$1:$C$1,),)=0,#N/A,VLOOKUP(Table7[[#This Row],[Date]],Database!$A:$C,MATCH($C$1,Database!$A$1:$C$1,),))</f>
        <v/>
      </c>
      <c r="D9179">
        <f>IFERROR(Table7[[#This Row],[United States 10y]]-Table7[[#This Row],[United States 3y]],#N/A)</f>
        <v/>
      </c>
    </row>
    <row r="9180">
      <c r="A9180" s="6">
        <f>Database!$A11265</f>
        <v/>
      </c>
      <c r="B9180">
        <f>IF(VLOOKUP(Table7[[#This Row],[Date]],Database!$A:$C,MATCH($B$1,Database!$A$1:$C$1,),)=0,#N/A,VLOOKUP(Table7[[#This Row],[Date]],Database!$A:$C,MATCH($B$1,Database!$A$1:$C$1,),))</f>
        <v/>
      </c>
      <c r="C9180">
        <f>IF(VLOOKUP(Table7[[#This Row],[Date]],Database!$A:$C,MATCH($C$1,Database!$A$1:$C$1,),)=0,#N/A,VLOOKUP(Table7[[#This Row],[Date]],Database!$A:$C,MATCH($C$1,Database!$A$1:$C$1,),))</f>
        <v/>
      </c>
      <c r="D9180">
        <f>IFERROR(Table7[[#This Row],[United States 10y]]-Table7[[#This Row],[United States 3y]],#N/A)</f>
        <v/>
      </c>
    </row>
    <row r="9181">
      <c r="A9181" s="6">
        <f>Database!$A11266</f>
        <v/>
      </c>
      <c r="B9181">
        <f>IF(VLOOKUP(Table7[[#This Row],[Date]],Database!$A:$C,MATCH($B$1,Database!$A$1:$C$1,),)=0,#N/A,VLOOKUP(Table7[[#This Row],[Date]],Database!$A:$C,MATCH($B$1,Database!$A$1:$C$1,),))</f>
        <v/>
      </c>
      <c r="C9181">
        <f>IF(VLOOKUP(Table7[[#This Row],[Date]],Database!$A:$C,MATCH($C$1,Database!$A$1:$C$1,),)=0,#N/A,VLOOKUP(Table7[[#This Row],[Date]],Database!$A:$C,MATCH($C$1,Database!$A$1:$C$1,),))</f>
        <v/>
      </c>
      <c r="D9181">
        <f>IFERROR(Table7[[#This Row],[United States 10y]]-Table7[[#This Row],[United States 3y]],#N/A)</f>
        <v/>
      </c>
    </row>
    <row r="9182">
      <c r="A9182" s="6">
        <f>Database!$A11267</f>
        <v/>
      </c>
      <c r="B9182">
        <f>IF(VLOOKUP(Table7[[#This Row],[Date]],Database!$A:$C,MATCH($B$1,Database!$A$1:$C$1,),)=0,#N/A,VLOOKUP(Table7[[#This Row],[Date]],Database!$A:$C,MATCH($B$1,Database!$A$1:$C$1,),))</f>
        <v/>
      </c>
      <c r="C9182">
        <f>IF(VLOOKUP(Table7[[#This Row],[Date]],Database!$A:$C,MATCH($C$1,Database!$A$1:$C$1,),)=0,#N/A,VLOOKUP(Table7[[#This Row],[Date]],Database!$A:$C,MATCH($C$1,Database!$A$1:$C$1,),))</f>
        <v/>
      </c>
      <c r="D9182">
        <f>IFERROR(Table7[[#This Row],[United States 10y]]-Table7[[#This Row],[United States 3y]],#N/A)</f>
        <v/>
      </c>
    </row>
    <row r="9183">
      <c r="A9183" s="6">
        <f>Database!$A11268</f>
        <v/>
      </c>
      <c r="B9183">
        <f>IF(VLOOKUP(Table7[[#This Row],[Date]],Database!$A:$C,MATCH($B$1,Database!$A$1:$C$1,),)=0,#N/A,VLOOKUP(Table7[[#This Row],[Date]],Database!$A:$C,MATCH($B$1,Database!$A$1:$C$1,),))</f>
        <v/>
      </c>
      <c r="C9183">
        <f>IF(VLOOKUP(Table7[[#This Row],[Date]],Database!$A:$C,MATCH($C$1,Database!$A$1:$C$1,),)=0,#N/A,VLOOKUP(Table7[[#This Row],[Date]],Database!$A:$C,MATCH($C$1,Database!$A$1:$C$1,),))</f>
        <v/>
      </c>
      <c r="D9183">
        <f>IFERROR(Table7[[#This Row],[United States 10y]]-Table7[[#This Row],[United States 3y]],#N/A)</f>
        <v/>
      </c>
    </row>
    <row r="9184">
      <c r="A9184" s="6">
        <f>Database!$A11269</f>
        <v/>
      </c>
      <c r="B9184">
        <f>IF(VLOOKUP(Table7[[#This Row],[Date]],Database!$A:$C,MATCH($B$1,Database!$A$1:$C$1,),)=0,#N/A,VLOOKUP(Table7[[#This Row],[Date]],Database!$A:$C,MATCH($B$1,Database!$A$1:$C$1,),))</f>
        <v/>
      </c>
      <c r="C9184">
        <f>IF(VLOOKUP(Table7[[#This Row],[Date]],Database!$A:$C,MATCH($C$1,Database!$A$1:$C$1,),)=0,#N/A,VLOOKUP(Table7[[#This Row],[Date]],Database!$A:$C,MATCH($C$1,Database!$A$1:$C$1,),))</f>
        <v/>
      </c>
      <c r="D9184">
        <f>IFERROR(Table7[[#This Row],[United States 10y]]-Table7[[#This Row],[United States 3y]],#N/A)</f>
        <v/>
      </c>
    </row>
    <row r="9185">
      <c r="A9185" s="6">
        <f>Database!$A11270</f>
        <v/>
      </c>
      <c r="B9185">
        <f>IF(VLOOKUP(Table7[[#This Row],[Date]],Database!$A:$C,MATCH($B$1,Database!$A$1:$C$1,),)=0,#N/A,VLOOKUP(Table7[[#This Row],[Date]],Database!$A:$C,MATCH($B$1,Database!$A$1:$C$1,),))</f>
        <v/>
      </c>
      <c r="C9185">
        <f>IF(VLOOKUP(Table7[[#This Row],[Date]],Database!$A:$C,MATCH($C$1,Database!$A$1:$C$1,),)=0,#N/A,VLOOKUP(Table7[[#This Row],[Date]],Database!$A:$C,MATCH($C$1,Database!$A$1:$C$1,),))</f>
        <v/>
      </c>
      <c r="D9185">
        <f>IFERROR(Table7[[#This Row],[United States 10y]]-Table7[[#This Row],[United States 3y]],#N/A)</f>
        <v/>
      </c>
    </row>
    <row r="9186">
      <c r="A9186" s="6">
        <f>Database!$A11271</f>
        <v/>
      </c>
      <c r="B9186">
        <f>IF(VLOOKUP(Table7[[#This Row],[Date]],Database!$A:$C,MATCH($B$1,Database!$A$1:$C$1,),)=0,#N/A,VLOOKUP(Table7[[#This Row],[Date]],Database!$A:$C,MATCH($B$1,Database!$A$1:$C$1,),))</f>
        <v/>
      </c>
      <c r="C9186">
        <f>IF(VLOOKUP(Table7[[#This Row],[Date]],Database!$A:$C,MATCH($C$1,Database!$A$1:$C$1,),)=0,#N/A,VLOOKUP(Table7[[#This Row],[Date]],Database!$A:$C,MATCH($C$1,Database!$A$1:$C$1,),))</f>
        <v/>
      </c>
      <c r="D9186">
        <f>IFERROR(Table7[[#This Row],[United States 10y]]-Table7[[#This Row],[United States 3y]],#N/A)</f>
        <v/>
      </c>
    </row>
    <row r="9187">
      <c r="A9187" s="6">
        <f>Database!$A11272</f>
        <v/>
      </c>
      <c r="B9187">
        <f>IF(VLOOKUP(Table7[[#This Row],[Date]],Database!$A:$C,MATCH($B$1,Database!$A$1:$C$1,),)=0,#N/A,VLOOKUP(Table7[[#This Row],[Date]],Database!$A:$C,MATCH($B$1,Database!$A$1:$C$1,),))</f>
        <v/>
      </c>
      <c r="C9187">
        <f>IF(VLOOKUP(Table7[[#This Row],[Date]],Database!$A:$C,MATCH($C$1,Database!$A$1:$C$1,),)=0,#N/A,VLOOKUP(Table7[[#This Row],[Date]],Database!$A:$C,MATCH($C$1,Database!$A$1:$C$1,),))</f>
        <v/>
      </c>
      <c r="D9187">
        <f>IFERROR(Table7[[#This Row],[United States 10y]]-Table7[[#This Row],[United States 3y]],#N/A)</f>
        <v/>
      </c>
    </row>
    <row r="9188">
      <c r="A9188" s="6">
        <f>Database!$A11273</f>
        <v/>
      </c>
      <c r="B9188">
        <f>IF(VLOOKUP(Table7[[#This Row],[Date]],Database!$A:$C,MATCH($B$1,Database!$A$1:$C$1,),)=0,#N/A,VLOOKUP(Table7[[#This Row],[Date]],Database!$A:$C,MATCH($B$1,Database!$A$1:$C$1,),))</f>
        <v/>
      </c>
      <c r="C9188">
        <f>IF(VLOOKUP(Table7[[#This Row],[Date]],Database!$A:$C,MATCH($C$1,Database!$A$1:$C$1,),)=0,#N/A,VLOOKUP(Table7[[#This Row],[Date]],Database!$A:$C,MATCH($C$1,Database!$A$1:$C$1,),))</f>
        <v/>
      </c>
      <c r="D9188">
        <f>IFERROR(Table7[[#This Row],[United States 10y]]-Table7[[#This Row],[United States 3y]],#N/A)</f>
        <v/>
      </c>
    </row>
    <row r="9189">
      <c r="A9189" s="6">
        <f>Database!$A11274</f>
        <v/>
      </c>
      <c r="B9189">
        <f>IF(VLOOKUP(Table7[[#This Row],[Date]],Database!$A:$C,MATCH($B$1,Database!$A$1:$C$1,),)=0,#N/A,VLOOKUP(Table7[[#This Row],[Date]],Database!$A:$C,MATCH($B$1,Database!$A$1:$C$1,),))</f>
        <v/>
      </c>
      <c r="C9189">
        <f>IF(VLOOKUP(Table7[[#This Row],[Date]],Database!$A:$C,MATCH($C$1,Database!$A$1:$C$1,),)=0,#N/A,VLOOKUP(Table7[[#This Row],[Date]],Database!$A:$C,MATCH($C$1,Database!$A$1:$C$1,),))</f>
        <v/>
      </c>
      <c r="D9189">
        <f>IFERROR(Table7[[#This Row],[United States 10y]]-Table7[[#This Row],[United States 3y]],#N/A)</f>
        <v/>
      </c>
    </row>
    <row r="9190">
      <c r="A9190" s="6">
        <f>Database!$A11275</f>
        <v/>
      </c>
      <c r="B9190">
        <f>IF(VLOOKUP(Table7[[#This Row],[Date]],Database!$A:$C,MATCH($B$1,Database!$A$1:$C$1,),)=0,#N/A,VLOOKUP(Table7[[#This Row],[Date]],Database!$A:$C,MATCH($B$1,Database!$A$1:$C$1,),))</f>
        <v/>
      </c>
      <c r="C9190">
        <f>IF(VLOOKUP(Table7[[#This Row],[Date]],Database!$A:$C,MATCH($C$1,Database!$A$1:$C$1,),)=0,#N/A,VLOOKUP(Table7[[#This Row],[Date]],Database!$A:$C,MATCH($C$1,Database!$A$1:$C$1,),))</f>
        <v/>
      </c>
      <c r="D9190">
        <f>IFERROR(Table7[[#This Row],[United States 10y]]-Table7[[#This Row],[United States 3y]],#N/A)</f>
        <v/>
      </c>
    </row>
    <row r="9191">
      <c r="A9191" s="6">
        <f>Database!$A11276</f>
        <v/>
      </c>
      <c r="B9191">
        <f>IF(VLOOKUP(Table7[[#This Row],[Date]],Database!$A:$C,MATCH($B$1,Database!$A$1:$C$1,),)=0,#N/A,VLOOKUP(Table7[[#This Row],[Date]],Database!$A:$C,MATCH($B$1,Database!$A$1:$C$1,),))</f>
        <v/>
      </c>
      <c r="C9191">
        <f>IF(VLOOKUP(Table7[[#This Row],[Date]],Database!$A:$C,MATCH($C$1,Database!$A$1:$C$1,),)=0,#N/A,VLOOKUP(Table7[[#This Row],[Date]],Database!$A:$C,MATCH($C$1,Database!$A$1:$C$1,),))</f>
        <v/>
      </c>
      <c r="D9191">
        <f>IFERROR(Table7[[#This Row],[United States 10y]]-Table7[[#This Row],[United States 3y]],#N/A)</f>
        <v/>
      </c>
    </row>
    <row r="9192">
      <c r="A9192" s="6">
        <f>Database!$A11277</f>
        <v/>
      </c>
      <c r="B9192">
        <f>IF(VLOOKUP(Table7[[#This Row],[Date]],Database!$A:$C,MATCH($B$1,Database!$A$1:$C$1,),)=0,#N/A,VLOOKUP(Table7[[#This Row],[Date]],Database!$A:$C,MATCH($B$1,Database!$A$1:$C$1,),))</f>
        <v/>
      </c>
      <c r="C9192">
        <f>IF(VLOOKUP(Table7[[#This Row],[Date]],Database!$A:$C,MATCH($C$1,Database!$A$1:$C$1,),)=0,#N/A,VLOOKUP(Table7[[#This Row],[Date]],Database!$A:$C,MATCH($C$1,Database!$A$1:$C$1,),))</f>
        <v/>
      </c>
      <c r="D9192">
        <f>IFERROR(Table7[[#This Row],[United States 10y]]-Table7[[#This Row],[United States 3y]],#N/A)</f>
        <v/>
      </c>
    </row>
    <row r="9193">
      <c r="A9193" s="6">
        <f>Database!$A11278</f>
        <v/>
      </c>
      <c r="B9193">
        <f>IF(VLOOKUP(Table7[[#This Row],[Date]],Database!$A:$C,MATCH($B$1,Database!$A$1:$C$1,),)=0,#N/A,VLOOKUP(Table7[[#This Row],[Date]],Database!$A:$C,MATCH($B$1,Database!$A$1:$C$1,),))</f>
        <v/>
      </c>
      <c r="C9193">
        <f>IF(VLOOKUP(Table7[[#This Row],[Date]],Database!$A:$C,MATCH($C$1,Database!$A$1:$C$1,),)=0,#N/A,VLOOKUP(Table7[[#This Row],[Date]],Database!$A:$C,MATCH($C$1,Database!$A$1:$C$1,),))</f>
        <v/>
      </c>
      <c r="D9193">
        <f>IFERROR(Table7[[#This Row],[United States 10y]]-Table7[[#This Row],[United States 3y]],#N/A)</f>
        <v/>
      </c>
    </row>
    <row r="9194">
      <c r="A9194" s="6">
        <f>Database!$A11279</f>
        <v/>
      </c>
      <c r="B9194">
        <f>IF(VLOOKUP(Table7[[#This Row],[Date]],Database!$A:$C,MATCH($B$1,Database!$A$1:$C$1,),)=0,#N/A,VLOOKUP(Table7[[#This Row],[Date]],Database!$A:$C,MATCH($B$1,Database!$A$1:$C$1,),))</f>
        <v/>
      </c>
      <c r="C9194">
        <f>IF(VLOOKUP(Table7[[#This Row],[Date]],Database!$A:$C,MATCH($C$1,Database!$A$1:$C$1,),)=0,#N/A,VLOOKUP(Table7[[#This Row],[Date]],Database!$A:$C,MATCH($C$1,Database!$A$1:$C$1,),))</f>
        <v/>
      </c>
      <c r="D9194">
        <f>IFERROR(Table7[[#This Row],[United States 10y]]-Table7[[#This Row],[United States 3y]],#N/A)</f>
        <v/>
      </c>
    </row>
    <row r="9195">
      <c r="A9195" s="6">
        <f>Database!$A11280</f>
        <v/>
      </c>
      <c r="B9195">
        <f>IF(VLOOKUP(Table7[[#This Row],[Date]],Database!$A:$C,MATCH($B$1,Database!$A$1:$C$1,),)=0,#N/A,VLOOKUP(Table7[[#This Row],[Date]],Database!$A:$C,MATCH($B$1,Database!$A$1:$C$1,),))</f>
        <v/>
      </c>
      <c r="C9195">
        <f>IF(VLOOKUP(Table7[[#This Row],[Date]],Database!$A:$C,MATCH($C$1,Database!$A$1:$C$1,),)=0,#N/A,VLOOKUP(Table7[[#This Row],[Date]],Database!$A:$C,MATCH($C$1,Database!$A$1:$C$1,),))</f>
        <v/>
      </c>
      <c r="D9195">
        <f>IFERROR(Table7[[#This Row],[United States 10y]]-Table7[[#This Row],[United States 3y]],#N/A)</f>
        <v/>
      </c>
    </row>
    <row r="9196">
      <c r="A9196" s="6">
        <f>Database!$A11281</f>
        <v/>
      </c>
      <c r="B9196">
        <f>IF(VLOOKUP(Table7[[#This Row],[Date]],Database!$A:$C,MATCH($B$1,Database!$A$1:$C$1,),)=0,#N/A,VLOOKUP(Table7[[#This Row],[Date]],Database!$A:$C,MATCH($B$1,Database!$A$1:$C$1,),))</f>
        <v/>
      </c>
      <c r="C9196">
        <f>IF(VLOOKUP(Table7[[#This Row],[Date]],Database!$A:$C,MATCH($C$1,Database!$A$1:$C$1,),)=0,#N/A,VLOOKUP(Table7[[#This Row],[Date]],Database!$A:$C,MATCH($C$1,Database!$A$1:$C$1,),))</f>
        <v/>
      </c>
      <c r="D9196">
        <f>IFERROR(Table7[[#This Row],[United States 10y]]-Table7[[#This Row],[United States 3y]],#N/A)</f>
        <v/>
      </c>
    </row>
    <row r="9197">
      <c r="A9197" s="6">
        <f>Database!$A11282</f>
        <v/>
      </c>
      <c r="B9197">
        <f>IF(VLOOKUP(Table7[[#This Row],[Date]],Database!$A:$C,MATCH($B$1,Database!$A$1:$C$1,),)=0,#N/A,VLOOKUP(Table7[[#This Row],[Date]],Database!$A:$C,MATCH($B$1,Database!$A$1:$C$1,),))</f>
        <v/>
      </c>
      <c r="C9197">
        <f>IF(VLOOKUP(Table7[[#This Row],[Date]],Database!$A:$C,MATCH($C$1,Database!$A$1:$C$1,),)=0,#N/A,VLOOKUP(Table7[[#This Row],[Date]],Database!$A:$C,MATCH($C$1,Database!$A$1:$C$1,),))</f>
        <v/>
      </c>
      <c r="D9197">
        <f>IFERROR(Table7[[#This Row],[United States 10y]]-Table7[[#This Row],[United States 3y]],#N/A)</f>
        <v/>
      </c>
    </row>
    <row r="9198">
      <c r="A9198" s="6">
        <f>Database!$A11283</f>
        <v/>
      </c>
      <c r="B9198">
        <f>IF(VLOOKUP(Table7[[#This Row],[Date]],Database!$A:$C,MATCH($B$1,Database!$A$1:$C$1,),)=0,#N/A,VLOOKUP(Table7[[#This Row],[Date]],Database!$A:$C,MATCH($B$1,Database!$A$1:$C$1,),))</f>
        <v/>
      </c>
      <c r="C9198">
        <f>IF(VLOOKUP(Table7[[#This Row],[Date]],Database!$A:$C,MATCH($C$1,Database!$A$1:$C$1,),)=0,#N/A,VLOOKUP(Table7[[#This Row],[Date]],Database!$A:$C,MATCH($C$1,Database!$A$1:$C$1,),))</f>
        <v/>
      </c>
      <c r="D9198">
        <f>IFERROR(Table7[[#This Row],[United States 10y]]-Table7[[#This Row],[United States 3y]],#N/A)</f>
        <v/>
      </c>
    </row>
    <row r="9199">
      <c r="A9199" s="6">
        <f>Database!$A11284</f>
        <v/>
      </c>
      <c r="B9199">
        <f>IF(VLOOKUP(Table7[[#This Row],[Date]],Database!$A:$C,MATCH($B$1,Database!$A$1:$C$1,),)=0,#N/A,VLOOKUP(Table7[[#This Row],[Date]],Database!$A:$C,MATCH($B$1,Database!$A$1:$C$1,),))</f>
        <v/>
      </c>
      <c r="C9199">
        <f>IF(VLOOKUP(Table7[[#This Row],[Date]],Database!$A:$C,MATCH($C$1,Database!$A$1:$C$1,),)=0,#N/A,VLOOKUP(Table7[[#This Row],[Date]],Database!$A:$C,MATCH($C$1,Database!$A$1:$C$1,),))</f>
        <v/>
      </c>
      <c r="D9199">
        <f>IFERROR(Table7[[#This Row],[United States 10y]]-Table7[[#This Row],[United States 3y]],#N/A)</f>
        <v/>
      </c>
    </row>
    <row r="9200">
      <c r="A9200" s="6">
        <f>Database!$A11285</f>
        <v/>
      </c>
      <c r="B9200">
        <f>IF(VLOOKUP(Table7[[#This Row],[Date]],Database!$A:$C,MATCH($B$1,Database!$A$1:$C$1,),)=0,#N/A,VLOOKUP(Table7[[#This Row],[Date]],Database!$A:$C,MATCH($B$1,Database!$A$1:$C$1,),))</f>
        <v/>
      </c>
      <c r="C9200">
        <f>IF(VLOOKUP(Table7[[#This Row],[Date]],Database!$A:$C,MATCH($C$1,Database!$A$1:$C$1,),)=0,#N/A,VLOOKUP(Table7[[#This Row],[Date]],Database!$A:$C,MATCH($C$1,Database!$A$1:$C$1,),))</f>
        <v/>
      </c>
      <c r="D9200">
        <f>IFERROR(Table7[[#This Row],[United States 10y]]-Table7[[#This Row],[United States 3y]],#N/A)</f>
        <v/>
      </c>
    </row>
    <row r="9201">
      <c r="A9201" s="6">
        <f>Database!$A11286</f>
        <v/>
      </c>
      <c r="B9201">
        <f>IF(VLOOKUP(Table7[[#This Row],[Date]],Database!$A:$C,MATCH($B$1,Database!$A$1:$C$1,),)=0,#N/A,VLOOKUP(Table7[[#This Row],[Date]],Database!$A:$C,MATCH($B$1,Database!$A$1:$C$1,),))</f>
        <v/>
      </c>
      <c r="C9201">
        <f>IF(VLOOKUP(Table7[[#This Row],[Date]],Database!$A:$C,MATCH($C$1,Database!$A$1:$C$1,),)=0,#N/A,VLOOKUP(Table7[[#This Row],[Date]],Database!$A:$C,MATCH($C$1,Database!$A$1:$C$1,),))</f>
        <v/>
      </c>
      <c r="D9201">
        <f>IFERROR(Table7[[#This Row],[United States 10y]]-Table7[[#This Row],[United States 3y]],#N/A)</f>
        <v/>
      </c>
    </row>
    <row r="9202">
      <c r="A9202" s="6">
        <f>Database!$A11287</f>
        <v/>
      </c>
      <c r="B9202">
        <f>IF(VLOOKUP(Table7[[#This Row],[Date]],Database!$A:$C,MATCH($B$1,Database!$A$1:$C$1,),)=0,#N/A,VLOOKUP(Table7[[#This Row],[Date]],Database!$A:$C,MATCH($B$1,Database!$A$1:$C$1,),))</f>
        <v/>
      </c>
      <c r="C9202">
        <f>IF(VLOOKUP(Table7[[#This Row],[Date]],Database!$A:$C,MATCH($C$1,Database!$A$1:$C$1,),)=0,#N/A,VLOOKUP(Table7[[#This Row],[Date]],Database!$A:$C,MATCH($C$1,Database!$A$1:$C$1,),))</f>
        <v/>
      </c>
      <c r="D9202">
        <f>IFERROR(Table7[[#This Row],[United States 10y]]-Table7[[#This Row],[United States 3y]],#N/A)</f>
        <v/>
      </c>
    </row>
    <row r="9203">
      <c r="A9203" s="6">
        <f>Database!$A11288</f>
        <v/>
      </c>
      <c r="B9203">
        <f>IF(VLOOKUP(Table7[[#This Row],[Date]],Database!$A:$C,MATCH($B$1,Database!$A$1:$C$1,),)=0,#N/A,VLOOKUP(Table7[[#This Row],[Date]],Database!$A:$C,MATCH($B$1,Database!$A$1:$C$1,),))</f>
        <v/>
      </c>
      <c r="C9203">
        <f>IF(VLOOKUP(Table7[[#This Row],[Date]],Database!$A:$C,MATCH($C$1,Database!$A$1:$C$1,),)=0,#N/A,VLOOKUP(Table7[[#This Row],[Date]],Database!$A:$C,MATCH($C$1,Database!$A$1:$C$1,),))</f>
        <v/>
      </c>
      <c r="D9203">
        <f>IFERROR(Table7[[#This Row],[United States 10y]]-Table7[[#This Row],[United States 3y]],#N/A)</f>
        <v/>
      </c>
    </row>
    <row r="9204">
      <c r="A9204" s="6">
        <f>Database!$A11289</f>
        <v/>
      </c>
      <c r="B9204">
        <f>IF(VLOOKUP(Table7[[#This Row],[Date]],Database!$A:$C,MATCH($B$1,Database!$A$1:$C$1,),)=0,#N/A,VLOOKUP(Table7[[#This Row],[Date]],Database!$A:$C,MATCH($B$1,Database!$A$1:$C$1,),))</f>
        <v/>
      </c>
      <c r="C9204">
        <f>IF(VLOOKUP(Table7[[#This Row],[Date]],Database!$A:$C,MATCH($C$1,Database!$A$1:$C$1,),)=0,#N/A,VLOOKUP(Table7[[#This Row],[Date]],Database!$A:$C,MATCH($C$1,Database!$A$1:$C$1,),))</f>
        <v/>
      </c>
      <c r="D9204">
        <f>IFERROR(Table7[[#This Row],[United States 10y]]-Table7[[#This Row],[United States 3y]],#N/A)</f>
        <v/>
      </c>
    </row>
    <row r="9205">
      <c r="A9205" s="6">
        <f>Database!$A11290</f>
        <v/>
      </c>
      <c r="B9205">
        <f>IF(VLOOKUP(Table7[[#This Row],[Date]],Database!$A:$C,MATCH($B$1,Database!$A$1:$C$1,),)=0,#N/A,VLOOKUP(Table7[[#This Row],[Date]],Database!$A:$C,MATCH($B$1,Database!$A$1:$C$1,),))</f>
        <v/>
      </c>
      <c r="C9205">
        <f>IF(VLOOKUP(Table7[[#This Row],[Date]],Database!$A:$C,MATCH($C$1,Database!$A$1:$C$1,),)=0,#N/A,VLOOKUP(Table7[[#This Row],[Date]],Database!$A:$C,MATCH($C$1,Database!$A$1:$C$1,),))</f>
        <v/>
      </c>
      <c r="D9205">
        <f>IFERROR(Table7[[#This Row],[United States 10y]]-Table7[[#This Row],[United States 3y]],#N/A)</f>
        <v/>
      </c>
    </row>
    <row r="9206">
      <c r="A9206" s="6">
        <f>Database!$A11291</f>
        <v/>
      </c>
      <c r="B9206">
        <f>IF(VLOOKUP(Table7[[#This Row],[Date]],Database!$A:$C,MATCH($B$1,Database!$A$1:$C$1,),)=0,#N/A,VLOOKUP(Table7[[#This Row],[Date]],Database!$A:$C,MATCH($B$1,Database!$A$1:$C$1,),))</f>
        <v/>
      </c>
      <c r="C9206">
        <f>IF(VLOOKUP(Table7[[#This Row],[Date]],Database!$A:$C,MATCH($C$1,Database!$A$1:$C$1,),)=0,#N/A,VLOOKUP(Table7[[#This Row],[Date]],Database!$A:$C,MATCH($C$1,Database!$A$1:$C$1,),))</f>
        <v/>
      </c>
      <c r="D9206">
        <f>IFERROR(Table7[[#This Row],[United States 10y]]-Table7[[#This Row],[United States 3y]],#N/A)</f>
        <v/>
      </c>
    </row>
    <row r="9207">
      <c r="A9207" s="6">
        <f>Database!$A11292</f>
        <v/>
      </c>
      <c r="B9207">
        <f>IF(VLOOKUP(Table7[[#This Row],[Date]],Database!$A:$C,MATCH($B$1,Database!$A$1:$C$1,),)=0,#N/A,VLOOKUP(Table7[[#This Row],[Date]],Database!$A:$C,MATCH($B$1,Database!$A$1:$C$1,),))</f>
        <v/>
      </c>
      <c r="C9207">
        <f>IF(VLOOKUP(Table7[[#This Row],[Date]],Database!$A:$C,MATCH($C$1,Database!$A$1:$C$1,),)=0,#N/A,VLOOKUP(Table7[[#This Row],[Date]],Database!$A:$C,MATCH($C$1,Database!$A$1:$C$1,),))</f>
        <v/>
      </c>
      <c r="D9207">
        <f>IFERROR(Table7[[#This Row],[United States 10y]]-Table7[[#This Row],[United States 3y]],#N/A)</f>
        <v/>
      </c>
    </row>
    <row r="9208">
      <c r="A9208" s="6">
        <f>Database!$A11293</f>
        <v/>
      </c>
      <c r="B9208">
        <f>IF(VLOOKUP(Table7[[#This Row],[Date]],Database!$A:$C,MATCH($B$1,Database!$A$1:$C$1,),)=0,#N/A,VLOOKUP(Table7[[#This Row],[Date]],Database!$A:$C,MATCH($B$1,Database!$A$1:$C$1,),))</f>
        <v/>
      </c>
      <c r="C9208">
        <f>IF(VLOOKUP(Table7[[#This Row],[Date]],Database!$A:$C,MATCH($C$1,Database!$A$1:$C$1,),)=0,#N/A,VLOOKUP(Table7[[#This Row],[Date]],Database!$A:$C,MATCH($C$1,Database!$A$1:$C$1,),))</f>
        <v/>
      </c>
      <c r="D9208">
        <f>IFERROR(Table7[[#This Row],[United States 10y]]-Table7[[#This Row],[United States 3y]],#N/A)</f>
        <v/>
      </c>
    </row>
    <row r="9209">
      <c r="A9209" s="6">
        <f>Database!$A11294</f>
        <v/>
      </c>
      <c r="B9209">
        <f>IF(VLOOKUP(Table7[[#This Row],[Date]],Database!$A:$C,MATCH($B$1,Database!$A$1:$C$1,),)=0,#N/A,VLOOKUP(Table7[[#This Row],[Date]],Database!$A:$C,MATCH($B$1,Database!$A$1:$C$1,),))</f>
        <v/>
      </c>
      <c r="C9209">
        <f>IF(VLOOKUP(Table7[[#This Row],[Date]],Database!$A:$C,MATCH($C$1,Database!$A$1:$C$1,),)=0,#N/A,VLOOKUP(Table7[[#This Row],[Date]],Database!$A:$C,MATCH($C$1,Database!$A$1:$C$1,),))</f>
        <v/>
      </c>
      <c r="D9209">
        <f>IFERROR(Table7[[#This Row],[United States 10y]]-Table7[[#This Row],[United States 3y]],#N/A)</f>
        <v/>
      </c>
    </row>
    <row r="9210">
      <c r="A9210" s="6">
        <f>Database!$A11295</f>
        <v/>
      </c>
      <c r="B9210">
        <f>IF(VLOOKUP(Table7[[#This Row],[Date]],Database!$A:$C,MATCH($B$1,Database!$A$1:$C$1,),)=0,#N/A,VLOOKUP(Table7[[#This Row],[Date]],Database!$A:$C,MATCH($B$1,Database!$A$1:$C$1,),))</f>
        <v/>
      </c>
      <c r="C9210">
        <f>IF(VLOOKUP(Table7[[#This Row],[Date]],Database!$A:$C,MATCH($C$1,Database!$A$1:$C$1,),)=0,#N/A,VLOOKUP(Table7[[#This Row],[Date]],Database!$A:$C,MATCH($C$1,Database!$A$1:$C$1,),))</f>
        <v/>
      </c>
      <c r="D9210">
        <f>IFERROR(Table7[[#This Row],[United States 10y]]-Table7[[#This Row],[United States 3y]],#N/A)</f>
        <v/>
      </c>
    </row>
    <row r="9211">
      <c r="A9211" s="6">
        <f>Database!$A11296</f>
        <v/>
      </c>
      <c r="B9211">
        <f>IF(VLOOKUP(Table7[[#This Row],[Date]],Database!$A:$C,MATCH($B$1,Database!$A$1:$C$1,),)=0,#N/A,VLOOKUP(Table7[[#This Row],[Date]],Database!$A:$C,MATCH($B$1,Database!$A$1:$C$1,),))</f>
        <v/>
      </c>
      <c r="C9211">
        <f>IF(VLOOKUP(Table7[[#This Row],[Date]],Database!$A:$C,MATCH($C$1,Database!$A$1:$C$1,),)=0,#N/A,VLOOKUP(Table7[[#This Row],[Date]],Database!$A:$C,MATCH($C$1,Database!$A$1:$C$1,),))</f>
        <v/>
      </c>
      <c r="D9211">
        <f>IFERROR(Table7[[#This Row],[United States 10y]]-Table7[[#This Row],[United States 3y]],#N/A)</f>
        <v/>
      </c>
    </row>
    <row r="9212">
      <c r="A9212" s="6">
        <f>Database!$A11297</f>
        <v/>
      </c>
      <c r="B9212">
        <f>IF(VLOOKUP(Table7[[#This Row],[Date]],Database!$A:$C,MATCH($B$1,Database!$A$1:$C$1,),)=0,#N/A,VLOOKUP(Table7[[#This Row],[Date]],Database!$A:$C,MATCH($B$1,Database!$A$1:$C$1,),))</f>
        <v/>
      </c>
      <c r="C9212">
        <f>IF(VLOOKUP(Table7[[#This Row],[Date]],Database!$A:$C,MATCH($C$1,Database!$A$1:$C$1,),)=0,#N/A,VLOOKUP(Table7[[#This Row],[Date]],Database!$A:$C,MATCH($C$1,Database!$A$1:$C$1,),))</f>
        <v/>
      </c>
      <c r="D9212">
        <f>IFERROR(Table7[[#This Row],[United States 10y]]-Table7[[#This Row],[United States 3y]],#N/A)</f>
        <v/>
      </c>
    </row>
    <row r="9213">
      <c r="A9213" s="6">
        <f>Database!$A11298</f>
        <v/>
      </c>
      <c r="B9213">
        <f>IF(VLOOKUP(Table7[[#This Row],[Date]],Database!$A:$C,MATCH($B$1,Database!$A$1:$C$1,),)=0,#N/A,VLOOKUP(Table7[[#This Row],[Date]],Database!$A:$C,MATCH($B$1,Database!$A$1:$C$1,),))</f>
        <v/>
      </c>
      <c r="C9213">
        <f>IF(VLOOKUP(Table7[[#This Row],[Date]],Database!$A:$C,MATCH($C$1,Database!$A$1:$C$1,),)=0,#N/A,VLOOKUP(Table7[[#This Row],[Date]],Database!$A:$C,MATCH($C$1,Database!$A$1:$C$1,),))</f>
        <v/>
      </c>
      <c r="D9213">
        <f>IFERROR(Table7[[#This Row],[United States 10y]]-Table7[[#This Row],[United States 3y]],#N/A)</f>
        <v/>
      </c>
    </row>
    <row r="9214">
      <c r="A9214" s="6">
        <f>Database!$A11299</f>
        <v/>
      </c>
      <c r="B9214">
        <f>IF(VLOOKUP(Table7[[#This Row],[Date]],Database!$A:$C,MATCH($B$1,Database!$A$1:$C$1,),)=0,#N/A,VLOOKUP(Table7[[#This Row],[Date]],Database!$A:$C,MATCH($B$1,Database!$A$1:$C$1,),))</f>
        <v/>
      </c>
      <c r="C9214">
        <f>IF(VLOOKUP(Table7[[#This Row],[Date]],Database!$A:$C,MATCH($C$1,Database!$A$1:$C$1,),)=0,#N/A,VLOOKUP(Table7[[#This Row],[Date]],Database!$A:$C,MATCH($C$1,Database!$A$1:$C$1,),))</f>
        <v/>
      </c>
      <c r="D9214">
        <f>IFERROR(Table7[[#This Row],[United States 10y]]-Table7[[#This Row],[United States 3y]],#N/A)</f>
        <v/>
      </c>
    </row>
    <row r="9215">
      <c r="A9215" s="6">
        <f>Database!$A11300</f>
        <v/>
      </c>
      <c r="B9215">
        <f>IF(VLOOKUP(Table7[[#This Row],[Date]],Database!$A:$C,MATCH($B$1,Database!$A$1:$C$1,),)=0,#N/A,VLOOKUP(Table7[[#This Row],[Date]],Database!$A:$C,MATCH($B$1,Database!$A$1:$C$1,),))</f>
        <v/>
      </c>
      <c r="C9215">
        <f>IF(VLOOKUP(Table7[[#This Row],[Date]],Database!$A:$C,MATCH($C$1,Database!$A$1:$C$1,),)=0,#N/A,VLOOKUP(Table7[[#This Row],[Date]],Database!$A:$C,MATCH($C$1,Database!$A$1:$C$1,),))</f>
        <v/>
      </c>
      <c r="D9215">
        <f>IFERROR(Table7[[#This Row],[United States 10y]]-Table7[[#This Row],[United States 3y]],#N/A)</f>
        <v/>
      </c>
    </row>
    <row r="9216">
      <c r="A9216" s="6">
        <f>Database!$A11301</f>
        <v/>
      </c>
      <c r="B9216">
        <f>IF(VLOOKUP(Table7[[#This Row],[Date]],Database!$A:$C,MATCH($B$1,Database!$A$1:$C$1,),)=0,#N/A,VLOOKUP(Table7[[#This Row],[Date]],Database!$A:$C,MATCH($B$1,Database!$A$1:$C$1,),))</f>
        <v/>
      </c>
      <c r="C9216">
        <f>IF(VLOOKUP(Table7[[#This Row],[Date]],Database!$A:$C,MATCH($C$1,Database!$A$1:$C$1,),)=0,#N/A,VLOOKUP(Table7[[#This Row],[Date]],Database!$A:$C,MATCH($C$1,Database!$A$1:$C$1,),))</f>
        <v/>
      </c>
      <c r="D9216">
        <f>IFERROR(Table7[[#This Row],[United States 10y]]-Table7[[#This Row],[United States 3y]],#N/A)</f>
        <v/>
      </c>
    </row>
    <row r="9217">
      <c r="A9217" s="6">
        <f>Database!$A11302</f>
        <v/>
      </c>
      <c r="B9217">
        <f>IF(VLOOKUP(Table7[[#This Row],[Date]],Database!$A:$C,MATCH($B$1,Database!$A$1:$C$1,),)=0,#N/A,VLOOKUP(Table7[[#This Row],[Date]],Database!$A:$C,MATCH($B$1,Database!$A$1:$C$1,),))</f>
        <v/>
      </c>
      <c r="C9217">
        <f>IF(VLOOKUP(Table7[[#This Row],[Date]],Database!$A:$C,MATCH($C$1,Database!$A$1:$C$1,),)=0,#N/A,VLOOKUP(Table7[[#This Row],[Date]],Database!$A:$C,MATCH($C$1,Database!$A$1:$C$1,),))</f>
        <v/>
      </c>
      <c r="D9217">
        <f>IFERROR(Table7[[#This Row],[United States 10y]]-Table7[[#This Row],[United States 3y]],#N/A)</f>
        <v/>
      </c>
    </row>
    <row r="9218">
      <c r="A9218" s="6">
        <f>Database!$A11303</f>
        <v/>
      </c>
      <c r="B9218">
        <f>IF(VLOOKUP(Table7[[#This Row],[Date]],Database!$A:$C,MATCH($B$1,Database!$A$1:$C$1,),)=0,#N/A,VLOOKUP(Table7[[#This Row],[Date]],Database!$A:$C,MATCH($B$1,Database!$A$1:$C$1,),))</f>
        <v/>
      </c>
      <c r="C9218">
        <f>IF(VLOOKUP(Table7[[#This Row],[Date]],Database!$A:$C,MATCH($C$1,Database!$A$1:$C$1,),)=0,#N/A,VLOOKUP(Table7[[#This Row],[Date]],Database!$A:$C,MATCH($C$1,Database!$A$1:$C$1,),))</f>
        <v/>
      </c>
      <c r="D9218">
        <f>IFERROR(Table7[[#This Row],[United States 10y]]-Table7[[#This Row],[United States 3y]],#N/A)</f>
        <v/>
      </c>
    </row>
    <row r="9219">
      <c r="A9219" s="6">
        <f>Database!$A11304</f>
        <v/>
      </c>
      <c r="B9219">
        <f>IF(VLOOKUP(Table7[[#This Row],[Date]],Database!$A:$C,MATCH($B$1,Database!$A$1:$C$1,),)=0,#N/A,VLOOKUP(Table7[[#This Row],[Date]],Database!$A:$C,MATCH($B$1,Database!$A$1:$C$1,),))</f>
        <v/>
      </c>
      <c r="C9219">
        <f>IF(VLOOKUP(Table7[[#This Row],[Date]],Database!$A:$C,MATCH($C$1,Database!$A$1:$C$1,),)=0,#N/A,VLOOKUP(Table7[[#This Row],[Date]],Database!$A:$C,MATCH($C$1,Database!$A$1:$C$1,),))</f>
        <v/>
      </c>
      <c r="D9219">
        <f>IFERROR(Table7[[#This Row],[United States 10y]]-Table7[[#This Row],[United States 3y]],#N/A)</f>
        <v/>
      </c>
    </row>
    <row r="9220">
      <c r="A9220" s="6">
        <f>Database!$A11305</f>
        <v/>
      </c>
      <c r="B9220">
        <f>IF(VLOOKUP(Table7[[#This Row],[Date]],Database!$A:$C,MATCH($B$1,Database!$A$1:$C$1,),)=0,#N/A,VLOOKUP(Table7[[#This Row],[Date]],Database!$A:$C,MATCH($B$1,Database!$A$1:$C$1,),))</f>
        <v/>
      </c>
      <c r="C9220">
        <f>IF(VLOOKUP(Table7[[#This Row],[Date]],Database!$A:$C,MATCH($C$1,Database!$A$1:$C$1,),)=0,#N/A,VLOOKUP(Table7[[#This Row],[Date]],Database!$A:$C,MATCH($C$1,Database!$A$1:$C$1,),))</f>
        <v/>
      </c>
      <c r="D9220">
        <f>IFERROR(Table7[[#This Row],[United States 10y]]-Table7[[#This Row],[United States 3y]],#N/A)</f>
        <v/>
      </c>
    </row>
    <row r="9221">
      <c r="A9221" s="6">
        <f>Database!$A11306</f>
        <v/>
      </c>
      <c r="B9221">
        <f>IF(VLOOKUP(Table7[[#This Row],[Date]],Database!$A:$C,MATCH($B$1,Database!$A$1:$C$1,),)=0,#N/A,VLOOKUP(Table7[[#This Row],[Date]],Database!$A:$C,MATCH($B$1,Database!$A$1:$C$1,),))</f>
        <v/>
      </c>
      <c r="C9221">
        <f>IF(VLOOKUP(Table7[[#This Row],[Date]],Database!$A:$C,MATCH($C$1,Database!$A$1:$C$1,),)=0,#N/A,VLOOKUP(Table7[[#This Row],[Date]],Database!$A:$C,MATCH($C$1,Database!$A$1:$C$1,),))</f>
        <v/>
      </c>
      <c r="D9221">
        <f>IFERROR(Table7[[#This Row],[United States 10y]]-Table7[[#This Row],[United States 3y]],#N/A)</f>
        <v/>
      </c>
    </row>
    <row r="9222">
      <c r="A9222" s="6">
        <f>Database!$A11307</f>
        <v/>
      </c>
      <c r="B9222">
        <f>IF(VLOOKUP(Table7[[#This Row],[Date]],Database!$A:$C,MATCH($B$1,Database!$A$1:$C$1,),)=0,#N/A,VLOOKUP(Table7[[#This Row],[Date]],Database!$A:$C,MATCH($B$1,Database!$A$1:$C$1,),))</f>
        <v/>
      </c>
      <c r="C9222">
        <f>IF(VLOOKUP(Table7[[#This Row],[Date]],Database!$A:$C,MATCH($C$1,Database!$A$1:$C$1,),)=0,#N/A,VLOOKUP(Table7[[#This Row],[Date]],Database!$A:$C,MATCH($C$1,Database!$A$1:$C$1,),))</f>
        <v/>
      </c>
      <c r="D9222">
        <f>IFERROR(Table7[[#This Row],[United States 10y]]-Table7[[#This Row],[United States 3y]],#N/A)</f>
        <v/>
      </c>
    </row>
    <row r="9223">
      <c r="A9223" s="6">
        <f>Database!$A11308</f>
        <v/>
      </c>
      <c r="B9223">
        <f>IF(VLOOKUP(Table7[[#This Row],[Date]],Database!$A:$C,MATCH($B$1,Database!$A$1:$C$1,),)=0,#N/A,VLOOKUP(Table7[[#This Row],[Date]],Database!$A:$C,MATCH($B$1,Database!$A$1:$C$1,),))</f>
        <v/>
      </c>
      <c r="C9223">
        <f>IF(VLOOKUP(Table7[[#This Row],[Date]],Database!$A:$C,MATCH($C$1,Database!$A$1:$C$1,),)=0,#N/A,VLOOKUP(Table7[[#This Row],[Date]],Database!$A:$C,MATCH($C$1,Database!$A$1:$C$1,),))</f>
        <v/>
      </c>
      <c r="D9223">
        <f>IFERROR(Table7[[#This Row],[United States 10y]]-Table7[[#This Row],[United States 3y]],#N/A)</f>
        <v/>
      </c>
    </row>
    <row r="9224">
      <c r="A9224" s="6">
        <f>Database!$A11309</f>
        <v/>
      </c>
      <c r="B9224">
        <f>IF(VLOOKUP(Table7[[#This Row],[Date]],Database!$A:$C,MATCH($B$1,Database!$A$1:$C$1,),)=0,#N/A,VLOOKUP(Table7[[#This Row],[Date]],Database!$A:$C,MATCH($B$1,Database!$A$1:$C$1,),))</f>
        <v/>
      </c>
      <c r="C9224">
        <f>IF(VLOOKUP(Table7[[#This Row],[Date]],Database!$A:$C,MATCH($C$1,Database!$A$1:$C$1,),)=0,#N/A,VLOOKUP(Table7[[#This Row],[Date]],Database!$A:$C,MATCH($C$1,Database!$A$1:$C$1,),))</f>
        <v/>
      </c>
      <c r="D9224">
        <f>IFERROR(Table7[[#This Row],[United States 10y]]-Table7[[#This Row],[United States 3y]],#N/A)</f>
        <v/>
      </c>
    </row>
    <row r="9225">
      <c r="A9225" s="6">
        <f>Database!$A11310</f>
        <v/>
      </c>
      <c r="B9225">
        <f>IF(VLOOKUP(Table7[[#This Row],[Date]],Database!$A:$C,MATCH($B$1,Database!$A$1:$C$1,),)=0,#N/A,VLOOKUP(Table7[[#This Row],[Date]],Database!$A:$C,MATCH($B$1,Database!$A$1:$C$1,),))</f>
        <v/>
      </c>
      <c r="C9225">
        <f>IF(VLOOKUP(Table7[[#This Row],[Date]],Database!$A:$C,MATCH($C$1,Database!$A$1:$C$1,),)=0,#N/A,VLOOKUP(Table7[[#This Row],[Date]],Database!$A:$C,MATCH($C$1,Database!$A$1:$C$1,),))</f>
        <v/>
      </c>
      <c r="D9225">
        <f>IFERROR(Table7[[#This Row],[United States 10y]]-Table7[[#This Row],[United States 3y]],#N/A)</f>
        <v/>
      </c>
    </row>
    <row r="9226">
      <c r="A9226" s="6">
        <f>Database!$A11311</f>
        <v/>
      </c>
      <c r="B9226">
        <f>IF(VLOOKUP(Table7[[#This Row],[Date]],Database!$A:$C,MATCH($B$1,Database!$A$1:$C$1,),)=0,#N/A,VLOOKUP(Table7[[#This Row],[Date]],Database!$A:$C,MATCH($B$1,Database!$A$1:$C$1,),))</f>
        <v/>
      </c>
      <c r="C9226">
        <f>IF(VLOOKUP(Table7[[#This Row],[Date]],Database!$A:$C,MATCH($C$1,Database!$A$1:$C$1,),)=0,#N/A,VLOOKUP(Table7[[#This Row],[Date]],Database!$A:$C,MATCH($C$1,Database!$A$1:$C$1,),))</f>
        <v/>
      </c>
      <c r="D9226">
        <f>IFERROR(Table7[[#This Row],[United States 10y]]-Table7[[#This Row],[United States 3y]],#N/A)</f>
        <v/>
      </c>
    </row>
    <row r="9227">
      <c r="A9227" s="6">
        <f>Database!$A11312</f>
        <v/>
      </c>
      <c r="B9227">
        <f>IF(VLOOKUP(Table7[[#This Row],[Date]],Database!$A:$C,MATCH($B$1,Database!$A$1:$C$1,),)=0,#N/A,VLOOKUP(Table7[[#This Row],[Date]],Database!$A:$C,MATCH($B$1,Database!$A$1:$C$1,),))</f>
        <v/>
      </c>
      <c r="C9227">
        <f>IF(VLOOKUP(Table7[[#This Row],[Date]],Database!$A:$C,MATCH($C$1,Database!$A$1:$C$1,),)=0,#N/A,VLOOKUP(Table7[[#This Row],[Date]],Database!$A:$C,MATCH($C$1,Database!$A$1:$C$1,),))</f>
        <v/>
      </c>
      <c r="D9227">
        <f>IFERROR(Table7[[#This Row],[United States 10y]]-Table7[[#This Row],[United States 3y]],#N/A)</f>
        <v/>
      </c>
    </row>
    <row r="9228">
      <c r="A9228" s="6">
        <f>Database!$A11313</f>
        <v/>
      </c>
      <c r="B9228">
        <f>IF(VLOOKUP(Table7[[#This Row],[Date]],Database!$A:$C,MATCH($B$1,Database!$A$1:$C$1,),)=0,#N/A,VLOOKUP(Table7[[#This Row],[Date]],Database!$A:$C,MATCH($B$1,Database!$A$1:$C$1,),))</f>
        <v/>
      </c>
      <c r="C9228">
        <f>IF(VLOOKUP(Table7[[#This Row],[Date]],Database!$A:$C,MATCH($C$1,Database!$A$1:$C$1,),)=0,#N/A,VLOOKUP(Table7[[#This Row],[Date]],Database!$A:$C,MATCH($C$1,Database!$A$1:$C$1,),))</f>
        <v/>
      </c>
      <c r="D9228">
        <f>IFERROR(Table7[[#This Row],[United States 10y]]-Table7[[#This Row],[United States 3y]],#N/A)</f>
        <v/>
      </c>
    </row>
    <row r="9229">
      <c r="A9229" s="6">
        <f>Database!$A11314</f>
        <v/>
      </c>
      <c r="B9229">
        <f>IF(VLOOKUP(Table7[[#This Row],[Date]],Database!$A:$C,MATCH($B$1,Database!$A$1:$C$1,),)=0,#N/A,VLOOKUP(Table7[[#This Row],[Date]],Database!$A:$C,MATCH($B$1,Database!$A$1:$C$1,),))</f>
        <v/>
      </c>
      <c r="C9229">
        <f>IF(VLOOKUP(Table7[[#This Row],[Date]],Database!$A:$C,MATCH($C$1,Database!$A$1:$C$1,),)=0,#N/A,VLOOKUP(Table7[[#This Row],[Date]],Database!$A:$C,MATCH($C$1,Database!$A$1:$C$1,),))</f>
        <v/>
      </c>
      <c r="D9229">
        <f>IFERROR(Table7[[#This Row],[United States 10y]]-Table7[[#This Row],[United States 3y]],#N/A)</f>
        <v/>
      </c>
    </row>
    <row r="9230">
      <c r="A9230" s="6">
        <f>Database!$A11315</f>
        <v/>
      </c>
      <c r="B9230">
        <f>IF(VLOOKUP(Table7[[#This Row],[Date]],Database!$A:$C,MATCH($B$1,Database!$A$1:$C$1,),)=0,#N/A,VLOOKUP(Table7[[#This Row],[Date]],Database!$A:$C,MATCH($B$1,Database!$A$1:$C$1,),))</f>
        <v/>
      </c>
      <c r="C9230">
        <f>IF(VLOOKUP(Table7[[#This Row],[Date]],Database!$A:$C,MATCH($C$1,Database!$A$1:$C$1,),)=0,#N/A,VLOOKUP(Table7[[#This Row],[Date]],Database!$A:$C,MATCH($C$1,Database!$A$1:$C$1,),))</f>
        <v/>
      </c>
      <c r="D9230">
        <f>IFERROR(Table7[[#This Row],[United States 10y]]-Table7[[#This Row],[United States 3y]],#N/A)</f>
        <v/>
      </c>
    </row>
    <row r="9231">
      <c r="A9231" s="6">
        <f>Database!$A11316</f>
        <v/>
      </c>
      <c r="B9231">
        <f>IF(VLOOKUP(Table7[[#This Row],[Date]],Database!$A:$C,MATCH($B$1,Database!$A$1:$C$1,),)=0,#N/A,VLOOKUP(Table7[[#This Row],[Date]],Database!$A:$C,MATCH($B$1,Database!$A$1:$C$1,),))</f>
        <v/>
      </c>
      <c r="C9231">
        <f>IF(VLOOKUP(Table7[[#This Row],[Date]],Database!$A:$C,MATCH($C$1,Database!$A$1:$C$1,),)=0,#N/A,VLOOKUP(Table7[[#This Row],[Date]],Database!$A:$C,MATCH($C$1,Database!$A$1:$C$1,),))</f>
        <v/>
      </c>
      <c r="D9231">
        <f>IFERROR(Table7[[#This Row],[United States 10y]]-Table7[[#This Row],[United States 3y]],#N/A)</f>
        <v/>
      </c>
    </row>
    <row r="9232">
      <c r="A9232" s="6">
        <f>Database!$A11317</f>
        <v/>
      </c>
      <c r="B9232">
        <f>IF(VLOOKUP(Table7[[#This Row],[Date]],Database!$A:$C,MATCH($B$1,Database!$A$1:$C$1,),)=0,#N/A,VLOOKUP(Table7[[#This Row],[Date]],Database!$A:$C,MATCH($B$1,Database!$A$1:$C$1,),))</f>
        <v/>
      </c>
      <c r="C9232">
        <f>IF(VLOOKUP(Table7[[#This Row],[Date]],Database!$A:$C,MATCH($C$1,Database!$A$1:$C$1,),)=0,#N/A,VLOOKUP(Table7[[#This Row],[Date]],Database!$A:$C,MATCH($C$1,Database!$A$1:$C$1,),))</f>
        <v/>
      </c>
      <c r="D9232">
        <f>IFERROR(Table7[[#This Row],[United States 10y]]-Table7[[#This Row],[United States 3y]],#N/A)</f>
        <v/>
      </c>
    </row>
    <row r="9233">
      <c r="A9233" s="6">
        <f>Database!$A11318</f>
        <v/>
      </c>
      <c r="B9233">
        <f>IF(VLOOKUP(Table7[[#This Row],[Date]],Database!$A:$C,MATCH($B$1,Database!$A$1:$C$1,),)=0,#N/A,VLOOKUP(Table7[[#This Row],[Date]],Database!$A:$C,MATCH($B$1,Database!$A$1:$C$1,),))</f>
        <v/>
      </c>
      <c r="C9233">
        <f>IF(VLOOKUP(Table7[[#This Row],[Date]],Database!$A:$C,MATCH($C$1,Database!$A$1:$C$1,),)=0,#N/A,VLOOKUP(Table7[[#This Row],[Date]],Database!$A:$C,MATCH($C$1,Database!$A$1:$C$1,),))</f>
        <v/>
      </c>
      <c r="D9233">
        <f>IFERROR(Table7[[#This Row],[United States 10y]]-Table7[[#This Row],[United States 3y]],#N/A)</f>
        <v/>
      </c>
    </row>
    <row r="9234">
      <c r="A9234" s="6">
        <f>Database!$A11319</f>
        <v/>
      </c>
      <c r="B9234">
        <f>IF(VLOOKUP(Table7[[#This Row],[Date]],Database!$A:$C,MATCH($B$1,Database!$A$1:$C$1,),)=0,#N/A,VLOOKUP(Table7[[#This Row],[Date]],Database!$A:$C,MATCH($B$1,Database!$A$1:$C$1,),))</f>
        <v/>
      </c>
      <c r="C9234">
        <f>IF(VLOOKUP(Table7[[#This Row],[Date]],Database!$A:$C,MATCH($C$1,Database!$A$1:$C$1,),)=0,#N/A,VLOOKUP(Table7[[#This Row],[Date]],Database!$A:$C,MATCH($C$1,Database!$A$1:$C$1,),))</f>
        <v/>
      </c>
      <c r="D9234">
        <f>IFERROR(Table7[[#This Row],[United States 10y]]-Table7[[#This Row],[United States 3y]],#N/A)</f>
        <v/>
      </c>
    </row>
    <row r="9235">
      <c r="A9235" s="6">
        <f>Database!$A11320</f>
        <v/>
      </c>
      <c r="B9235">
        <f>IF(VLOOKUP(Table7[[#This Row],[Date]],Database!$A:$C,MATCH($B$1,Database!$A$1:$C$1,),)=0,#N/A,VLOOKUP(Table7[[#This Row],[Date]],Database!$A:$C,MATCH($B$1,Database!$A$1:$C$1,),))</f>
        <v/>
      </c>
      <c r="C9235">
        <f>IF(VLOOKUP(Table7[[#This Row],[Date]],Database!$A:$C,MATCH($C$1,Database!$A$1:$C$1,),)=0,#N/A,VLOOKUP(Table7[[#This Row],[Date]],Database!$A:$C,MATCH($C$1,Database!$A$1:$C$1,),))</f>
        <v/>
      </c>
      <c r="D9235">
        <f>IFERROR(Table7[[#This Row],[United States 10y]]-Table7[[#This Row],[United States 3y]],#N/A)</f>
        <v/>
      </c>
    </row>
    <row r="9236">
      <c r="A9236" s="6">
        <f>Database!$A11321</f>
        <v/>
      </c>
      <c r="B9236">
        <f>IF(VLOOKUP(Table7[[#This Row],[Date]],Database!$A:$C,MATCH($B$1,Database!$A$1:$C$1,),)=0,#N/A,VLOOKUP(Table7[[#This Row],[Date]],Database!$A:$C,MATCH($B$1,Database!$A$1:$C$1,),))</f>
        <v/>
      </c>
      <c r="C9236">
        <f>IF(VLOOKUP(Table7[[#This Row],[Date]],Database!$A:$C,MATCH($C$1,Database!$A$1:$C$1,),)=0,#N/A,VLOOKUP(Table7[[#This Row],[Date]],Database!$A:$C,MATCH($C$1,Database!$A$1:$C$1,),))</f>
        <v/>
      </c>
      <c r="D9236">
        <f>IFERROR(Table7[[#This Row],[United States 10y]]-Table7[[#This Row],[United States 3y]],#N/A)</f>
        <v/>
      </c>
    </row>
    <row r="9237">
      <c r="A9237" s="6">
        <f>Database!$A11322</f>
        <v/>
      </c>
      <c r="B9237">
        <f>IF(VLOOKUP(Table7[[#This Row],[Date]],Database!$A:$C,MATCH($B$1,Database!$A$1:$C$1,),)=0,#N/A,VLOOKUP(Table7[[#This Row],[Date]],Database!$A:$C,MATCH($B$1,Database!$A$1:$C$1,),))</f>
        <v/>
      </c>
      <c r="C9237">
        <f>IF(VLOOKUP(Table7[[#This Row],[Date]],Database!$A:$C,MATCH($C$1,Database!$A$1:$C$1,),)=0,#N/A,VLOOKUP(Table7[[#This Row],[Date]],Database!$A:$C,MATCH($C$1,Database!$A$1:$C$1,),))</f>
        <v/>
      </c>
      <c r="D9237">
        <f>IFERROR(Table7[[#This Row],[United States 10y]]-Table7[[#This Row],[United States 3y]],#N/A)</f>
        <v/>
      </c>
    </row>
    <row r="9238">
      <c r="A9238" s="6">
        <f>Database!$A11323</f>
        <v/>
      </c>
      <c r="B9238">
        <f>IF(VLOOKUP(Table7[[#This Row],[Date]],Database!$A:$C,MATCH($B$1,Database!$A$1:$C$1,),)=0,#N/A,VLOOKUP(Table7[[#This Row],[Date]],Database!$A:$C,MATCH($B$1,Database!$A$1:$C$1,),))</f>
        <v/>
      </c>
      <c r="C9238">
        <f>IF(VLOOKUP(Table7[[#This Row],[Date]],Database!$A:$C,MATCH($C$1,Database!$A$1:$C$1,),)=0,#N/A,VLOOKUP(Table7[[#This Row],[Date]],Database!$A:$C,MATCH($C$1,Database!$A$1:$C$1,),))</f>
        <v/>
      </c>
      <c r="D9238">
        <f>IFERROR(Table7[[#This Row],[United States 10y]]-Table7[[#This Row],[United States 3y]],#N/A)</f>
        <v/>
      </c>
    </row>
    <row r="9239">
      <c r="A9239" s="6">
        <f>Database!$A11324</f>
        <v/>
      </c>
      <c r="B9239">
        <f>IF(VLOOKUP(Table7[[#This Row],[Date]],Database!$A:$C,MATCH($B$1,Database!$A$1:$C$1,),)=0,#N/A,VLOOKUP(Table7[[#This Row],[Date]],Database!$A:$C,MATCH($B$1,Database!$A$1:$C$1,),))</f>
        <v/>
      </c>
      <c r="C9239">
        <f>IF(VLOOKUP(Table7[[#This Row],[Date]],Database!$A:$C,MATCH($C$1,Database!$A$1:$C$1,),)=0,#N/A,VLOOKUP(Table7[[#This Row],[Date]],Database!$A:$C,MATCH($C$1,Database!$A$1:$C$1,),))</f>
        <v/>
      </c>
      <c r="D9239">
        <f>IFERROR(Table7[[#This Row],[United States 10y]]-Table7[[#This Row],[United States 3y]],#N/A)</f>
        <v/>
      </c>
    </row>
    <row r="9240">
      <c r="A9240" s="6">
        <f>Database!$A11325</f>
        <v/>
      </c>
      <c r="B9240">
        <f>IF(VLOOKUP(Table7[[#This Row],[Date]],Database!$A:$C,MATCH($B$1,Database!$A$1:$C$1,),)=0,#N/A,VLOOKUP(Table7[[#This Row],[Date]],Database!$A:$C,MATCH($B$1,Database!$A$1:$C$1,),))</f>
        <v/>
      </c>
      <c r="C9240">
        <f>IF(VLOOKUP(Table7[[#This Row],[Date]],Database!$A:$C,MATCH($C$1,Database!$A$1:$C$1,),)=0,#N/A,VLOOKUP(Table7[[#This Row],[Date]],Database!$A:$C,MATCH($C$1,Database!$A$1:$C$1,),))</f>
        <v/>
      </c>
      <c r="D9240">
        <f>IFERROR(Table7[[#This Row],[United States 10y]]-Table7[[#This Row],[United States 3y]],#N/A)</f>
        <v/>
      </c>
    </row>
    <row r="9241">
      <c r="A9241" s="6">
        <f>Database!$A11326</f>
        <v/>
      </c>
      <c r="B9241">
        <f>IF(VLOOKUP(Table7[[#This Row],[Date]],Database!$A:$C,MATCH($B$1,Database!$A$1:$C$1,),)=0,#N/A,VLOOKUP(Table7[[#This Row],[Date]],Database!$A:$C,MATCH($B$1,Database!$A$1:$C$1,),))</f>
        <v/>
      </c>
      <c r="C9241">
        <f>IF(VLOOKUP(Table7[[#This Row],[Date]],Database!$A:$C,MATCH($C$1,Database!$A$1:$C$1,),)=0,#N/A,VLOOKUP(Table7[[#This Row],[Date]],Database!$A:$C,MATCH($C$1,Database!$A$1:$C$1,),))</f>
        <v/>
      </c>
      <c r="D9241">
        <f>IFERROR(Table7[[#This Row],[United States 10y]]-Table7[[#This Row],[United States 3y]],#N/A)</f>
        <v/>
      </c>
    </row>
    <row r="9242">
      <c r="A9242" s="6">
        <f>Database!$A11327</f>
        <v/>
      </c>
      <c r="B9242">
        <f>IF(VLOOKUP(Table7[[#This Row],[Date]],Database!$A:$C,MATCH($B$1,Database!$A$1:$C$1,),)=0,#N/A,VLOOKUP(Table7[[#This Row],[Date]],Database!$A:$C,MATCH($B$1,Database!$A$1:$C$1,),))</f>
        <v/>
      </c>
      <c r="C9242">
        <f>IF(VLOOKUP(Table7[[#This Row],[Date]],Database!$A:$C,MATCH($C$1,Database!$A$1:$C$1,),)=0,#N/A,VLOOKUP(Table7[[#This Row],[Date]],Database!$A:$C,MATCH($C$1,Database!$A$1:$C$1,),))</f>
        <v/>
      </c>
      <c r="D9242">
        <f>IFERROR(Table7[[#This Row],[United States 10y]]-Table7[[#This Row],[United States 3y]],#N/A)</f>
        <v/>
      </c>
    </row>
    <row r="9243">
      <c r="A9243" s="6">
        <f>Database!$A11328</f>
        <v/>
      </c>
      <c r="B9243">
        <f>IF(VLOOKUP(Table7[[#This Row],[Date]],Database!$A:$C,MATCH($B$1,Database!$A$1:$C$1,),)=0,#N/A,VLOOKUP(Table7[[#This Row],[Date]],Database!$A:$C,MATCH($B$1,Database!$A$1:$C$1,),))</f>
        <v/>
      </c>
      <c r="C9243">
        <f>IF(VLOOKUP(Table7[[#This Row],[Date]],Database!$A:$C,MATCH($C$1,Database!$A$1:$C$1,),)=0,#N/A,VLOOKUP(Table7[[#This Row],[Date]],Database!$A:$C,MATCH($C$1,Database!$A$1:$C$1,),))</f>
        <v/>
      </c>
      <c r="D9243">
        <f>IFERROR(Table7[[#This Row],[United States 10y]]-Table7[[#This Row],[United States 3y]],#N/A)</f>
        <v/>
      </c>
    </row>
    <row r="9244">
      <c r="A9244" s="6">
        <f>Database!$A11329</f>
        <v/>
      </c>
      <c r="B9244">
        <f>IF(VLOOKUP(Table7[[#This Row],[Date]],Database!$A:$C,MATCH($B$1,Database!$A$1:$C$1,),)=0,#N/A,VLOOKUP(Table7[[#This Row],[Date]],Database!$A:$C,MATCH($B$1,Database!$A$1:$C$1,),))</f>
        <v/>
      </c>
      <c r="C9244">
        <f>IF(VLOOKUP(Table7[[#This Row],[Date]],Database!$A:$C,MATCH($C$1,Database!$A$1:$C$1,),)=0,#N/A,VLOOKUP(Table7[[#This Row],[Date]],Database!$A:$C,MATCH($C$1,Database!$A$1:$C$1,),))</f>
        <v/>
      </c>
      <c r="D9244">
        <f>IFERROR(Table7[[#This Row],[United States 10y]]-Table7[[#This Row],[United States 3y]],#N/A)</f>
        <v/>
      </c>
    </row>
    <row r="9245">
      <c r="A9245" s="6">
        <f>Database!$A11330</f>
        <v/>
      </c>
      <c r="B9245">
        <f>IF(VLOOKUP(Table7[[#This Row],[Date]],Database!$A:$C,MATCH($B$1,Database!$A$1:$C$1,),)=0,#N/A,VLOOKUP(Table7[[#This Row],[Date]],Database!$A:$C,MATCH($B$1,Database!$A$1:$C$1,),))</f>
        <v/>
      </c>
      <c r="C9245">
        <f>IF(VLOOKUP(Table7[[#This Row],[Date]],Database!$A:$C,MATCH($C$1,Database!$A$1:$C$1,),)=0,#N/A,VLOOKUP(Table7[[#This Row],[Date]],Database!$A:$C,MATCH($C$1,Database!$A$1:$C$1,),))</f>
        <v/>
      </c>
      <c r="D9245">
        <f>IFERROR(Table7[[#This Row],[United States 10y]]-Table7[[#This Row],[United States 3y]],#N/A)</f>
        <v/>
      </c>
    </row>
    <row r="9246">
      <c r="A9246" s="6">
        <f>Database!$A11331</f>
        <v/>
      </c>
      <c r="B9246">
        <f>IF(VLOOKUP(Table7[[#This Row],[Date]],Database!$A:$C,MATCH($B$1,Database!$A$1:$C$1,),)=0,#N/A,VLOOKUP(Table7[[#This Row],[Date]],Database!$A:$C,MATCH($B$1,Database!$A$1:$C$1,),))</f>
        <v/>
      </c>
      <c r="C9246">
        <f>IF(VLOOKUP(Table7[[#This Row],[Date]],Database!$A:$C,MATCH($C$1,Database!$A$1:$C$1,),)=0,#N/A,VLOOKUP(Table7[[#This Row],[Date]],Database!$A:$C,MATCH($C$1,Database!$A$1:$C$1,),))</f>
        <v/>
      </c>
      <c r="D9246">
        <f>IFERROR(Table7[[#This Row],[United States 10y]]-Table7[[#This Row],[United States 3y]],#N/A)</f>
        <v/>
      </c>
    </row>
    <row r="9247">
      <c r="A9247" s="6">
        <f>Database!$A11332</f>
        <v/>
      </c>
      <c r="B9247">
        <f>IF(VLOOKUP(Table7[[#This Row],[Date]],Database!$A:$C,MATCH($B$1,Database!$A$1:$C$1,),)=0,#N/A,VLOOKUP(Table7[[#This Row],[Date]],Database!$A:$C,MATCH($B$1,Database!$A$1:$C$1,),))</f>
        <v/>
      </c>
      <c r="C9247">
        <f>IF(VLOOKUP(Table7[[#This Row],[Date]],Database!$A:$C,MATCH($C$1,Database!$A$1:$C$1,),)=0,#N/A,VLOOKUP(Table7[[#This Row],[Date]],Database!$A:$C,MATCH($C$1,Database!$A$1:$C$1,),))</f>
        <v/>
      </c>
      <c r="D9247">
        <f>IFERROR(Table7[[#This Row],[United States 10y]]-Table7[[#This Row],[United States 3y]],#N/A)</f>
        <v/>
      </c>
    </row>
    <row r="9248">
      <c r="A9248" s="6">
        <f>Database!$A11333</f>
        <v/>
      </c>
      <c r="B9248">
        <f>IF(VLOOKUP(Table7[[#This Row],[Date]],Database!$A:$C,MATCH($B$1,Database!$A$1:$C$1,),)=0,#N/A,VLOOKUP(Table7[[#This Row],[Date]],Database!$A:$C,MATCH($B$1,Database!$A$1:$C$1,),))</f>
        <v/>
      </c>
      <c r="C9248">
        <f>IF(VLOOKUP(Table7[[#This Row],[Date]],Database!$A:$C,MATCH($C$1,Database!$A$1:$C$1,),)=0,#N/A,VLOOKUP(Table7[[#This Row],[Date]],Database!$A:$C,MATCH($C$1,Database!$A$1:$C$1,),))</f>
        <v/>
      </c>
      <c r="D9248">
        <f>IFERROR(Table7[[#This Row],[United States 10y]]-Table7[[#This Row],[United States 3y]],#N/A)</f>
        <v/>
      </c>
    </row>
    <row r="9249">
      <c r="A9249" s="6">
        <f>Database!$A11334</f>
        <v/>
      </c>
      <c r="B9249">
        <f>IF(VLOOKUP(Table7[[#This Row],[Date]],Database!$A:$C,MATCH($B$1,Database!$A$1:$C$1,),)=0,#N/A,VLOOKUP(Table7[[#This Row],[Date]],Database!$A:$C,MATCH($B$1,Database!$A$1:$C$1,),))</f>
        <v/>
      </c>
      <c r="C9249">
        <f>IF(VLOOKUP(Table7[[#This Row],[Date]],Database!$A:$C,MATCH($C$1,Database!$A$1:$C$1,),)=0,#N/A,VLOOKUP(Table7[[#This Row],[Date]],Database!$A:$C,MATCH($C$1,Database!$A$1:$C$1,),))</f>
        <v/>
      </c>
      <c r="D9249">
        <f>IFERROR(Table7[[#This Row],[United States 10y]]-Table7[[#This Row],[United States 3y]],#N/A)</f>
        <v/>
      </c>
    </row>
    <row r="9250">
      <c r="A9250" s="6">
        <f>Database!$A11335</f>
        <v/>
      </c>
      <c r="B9250">
        <f>IF(VLOOKUP(Table7[[#This Row],[Date]],Database!$A:$C,MATCH($B$1,Database!$A$1:$C$1,),)=0,#N/A,VLOOKUP(Table7[[#This Row],[Date]],Database!$A:$C,MATCH($B$1,Database!$A$1:$C$1,),))</f>
        <v/>
      </c>
      <c r="C9250">
        <f>IF(VLOOKUP(Table7[[#This Row],[Date]],Database!$A:$C,MATCH($C$1,Database!$A$1:$C$1,),)=0,#N/A,VLOOKUP(Table7[[#This Row],[Date]],Database!$A:$C,MATCH($C$1,Database!$A$1:$C$1,),))</f>
        <v/>
      </c>
      <c r="D9250">
        <f>IFERROR(Table7[[#This Row],[United States 10y]]-Table7[[#This Row],[United States 3y]],#N/A)</f>
        <v/>
      </c>
    </row>
    <row r="9251">
      <c r="A9251" s="6">
        <f>Database!$A11336</f>
        <v/>
      </c>
      <c r="B9251">
        <f>IF(VLOOKUP(Table7[[#This Row],[Date]],Database!$A:$C,MATCH($B$1,Database!$A$1:$C$1,),)=0,#N/A,VLOOKUP(Table7[[#This Row],[Date]],Database!$A:$C,MATCH($B$1,Database!$A$1:$C$1,),))</f>
        <v/>
      </c>
      <c r="C9251">
        <f>IF(VLOOKUP(Table7[[#This Row],[Date]],Database!$A:$C,MATCH($C$1,Database!$A$1:$C$1,),)=0,#N/A,VLOOKUP(Table7[[#This Row],[Date]],Database!$A:$C,MATCH($C$1,Database!$A$1:$C$1,),))</f>
        <v/>
      </c>
      <c r="D9251">
        <f>IFERROR(Table7[[#This Row],[United States 10y]]-Table7[[#This Row],[United States 3y]],#N/A)</f>
        <v/>
      </c>
    </row>
    <row r="9252">
      <c r="A9252" s="6">
        <f>Database!$A11337</f>
        <v/>
      </c>
      <c r="B9252">
        <f>IF(VLOOKUP(Table7[[#This Row],[Date]],Database!$A:$C,MATCH($B$1,Database!$A$1:$C$1,),)=0,#N/A,VLOOKUP(Table7[[#This Row],[Date]],Database!$A:$C,MATCH($B$1,Database!$A$1:$C$1,),))</f>
        <v/>
      </c>
      <c r="C9252">
        <f>IF(VLOOKUP(Table7[[#This Row],[Date]],Database!$A:$C,MATCH($C$1,Database!$A$1:$C$1,),)=0,#N/A,VLOOKUP(Table7[[#This Row],[Date]],Database!$A:$C,MATCH($C$1,Database!$A$1:$C$1,),))</f>
        <v/>
      </c>
      <c r="D9252">
        <f>IFERROR(Table7[[#This Row],[United States 10y]]-Table7[[#This Row],[United States 3y]],#N/A)</f>
        <v/>
      </c>
    </row>
    <row r="9253">
      <c r="A9253" s="6">
        <f>Database!$A11338</f>
        <v/>
      </c>
      <c r="B9253">
        <f>IF(VLOOKUP(Table7[[#This Row],[Date]],Database!$A:$C,MATCH($B$1,Database!$A$1:$C$1,),)=0,#N/A,VLOOKUP(Table7[[#This Row],[Date]],Database!$A:$C,MATCH($B$1,Database!$A$1:$C$1,),))</f>
        <v/>
      </c>
      <c r="C9253">
        <f>IF(VLOOKUP(Table7[[#This Row],[Date]],Database!$A:$C,MATCH($C$1,Database!$A$1:$C$1,),)=0,#N/A,VLOOKUP(Table7[[#This Row],[Date]],Database!$A:$C,MATCH($C$1,Database!$A$1:$C$1,),))</f>
        <v/>
      </c>
      <c r="D9253">
        <f>IFERROR(Table7[[#This Row],[United States 10y]]-Table7[[#This Row],[United States 3y]],#N/A)</f>
        <v/>
      </c>
    </row>
    <row r="9254">
      <c r="A9254" s="6">
        <f>Database!$A11339</f>
        <v/>
      </c>
      <c r="B9254">
        <f>IF(VLOOKUP(Table7[[#This Row],[Date]],Database!$A:$C,MATCH($B$1,Database!$A$1:$C$1,),)=0,#N/A,VLOOKUP(Table7[[#This Row],[Date]],Database!$A:$C,MATCH($B$1,Database!$A$1:$C$1,),))</f>
        <v/>
      </c>
      <c r="C9254">
        <f>IF(VLOOKUP(Table7[[#This Row],[Date]],Database!$A:$C,MATCH($C$1,Database!$A$1:$C$1,),)=0,#N/A,VLOOKUP(Table7[[#This Row],[Date]],Database!$A:$C,MATCH($C$1,Database!$A$1:$C$1,),))</f>
        <v/>
      </c>
      <c r="D9254">
        <f>IFERROR(Table7[[#This Row],[United States 10y]]-Table7[[#This Row],[United States 3y]],#N/A)</f>
        <v/>
      </c>
    </row>
    <row r="9255">
      <c r="A9255" s="6">
        <f>Database!$A11340</f>
        <v/>
      </c>
      <c r="B9255">
        <f>IF(VLOOKUP(Table7[[#This Row],[Date]],Database!$A:$C,MATCH($B$1,Database!$A$1:$C$1,),)=0,#N/A,VLOOKUP(Table7[[#This Row],[Date]],Database!$A:$C,MATCH($B$1,Database!$A$1:$C$1,),))</f>
        <v/>
      </c>
      <c r="C9255">
        <f>IF(VLOOKUP(Table7[[#This Row],[Date]],Database!$A:$C,MATCH($C$1,Database!$A$1:$C$1,),)=0,#N/A,VLOOKUP(Table7[[#This Row],[Date]],Database!$A:$C,MATCH($C$1,Database!$A$1:$C$1,),))</f>
        <v/>
      </c>
      <c r="D9255">
        <f>IFERROR(Table7[[#This Row],[United States 10y]]-Table7[[#This Row],[United States 3y]],#N/A)</f>
        <v/>
      </c>
    </row>
    <row r="9256">
      <c r="A9256" s="6">
        <f>Database!$A11341</f>
        <v/>
      </c>
      <c r="B9256">
        <f>IF(VLOOKUP(Table7[[#This Row],[Date]],Database!$A:$C,MATCH($B$1,Database!$A$1:$C$1,),)=0,#N/A,VLOOKUP(Table7[[#This Row],[Date]],Database!$A:$C,MATCH($B$1,Database!$A$1:$C$1,),))</f>
        <v/>
      </c>
      <c r="C9256">
        <f>IF(VLOOKUP(Table7[[#This Row],[Date]],Database!$A:$C,MATCH($C$1,Database!$A$1:$C$1,),)=0,#N/A,VLOOKUP(Table7[[#This Row],[Date]],Database!$A:$C,MATCH($C$1,Database!$A$1:$C$1,),))</f>
        <v/>
      </c>
      <c r="D9256">
        <f>IFERROR(Table7[[#This Row],[United States 10y]]-Table7[[#This Row],[United States 3y]],#N/A)</f>
        <v/>
      </c>
    </row>
    <row r="9257">
      <c r="A9257" s="6">
        <f>Database!$A11342</f>
        <v/>
      </c>
      <c r="B9257">
        <f>IF(VLOOKUP(Table7[[#This Row],[Date]],Database!$A:$C,MATCH($B$1,Database!$A$1:$C$1,),)=0,#N/A,VLOOKUP(Table7[[#This Row],[Date]],Database!$A:$C,MATCH($B$1,Database!$A$1:$C$1,),))</f>
        <v/>
      </c>
      <c r="C9257">
        <f>IF(VLOOKUP(Table7[[#This Row],[Date]],Database!$A:$C,MATCH($C$1,Database!$A$1:$C$1,),)=0,#N/A,VLOOKUP(Table7[[#This Row],[Date]],Database!$A:$C,MATCH($C$1,Database!$A$1:$C$1,),))</f>
        <v/>
      </c>
      <c r="D9257">
        <f>IFERROR(Table7[[#This Row],[United States 10y]]-Table7[[#This Row],[United States 3y]],#N/A)</f>
        <v/>
      </c>
    </row>
    <row r="9258">
      <c r="A9258" s="6">
        <f>Database!$A11343</f>
        <v/>
      </c>
      <c r="B9258">
        <f>IF(VLOOKUP(Table7[[#This Row],[Date]],Database!$A:$C,MATCH($B$1,Database!$A$1:$C$1,),)=0,#N/A,VLOOKUP(Table7[[#This Row],[Date]],Database!$A:$C,MATCH($B$1,Database!$A$1:$C$1,),))</f>
        <v/>
      </c>
      <c r="C9258">
        <f>IF(VLOOKUP(Table7[[#This Row],[Date]],Database!$A:$C,MATCH($C$1,Database!$A$1:$C$1,),)=0,#N/A,VLOOKUP(Table7[[#This Row],[Date]],Database!$A:$C,MATCH($C$1,Database!$A$1:$C$1,),))</f>
        <v/>
      </c>
      <c r="D9258">
        <f>IFERROR(Table7[[#This Row],[United States 10y]]-Table7[[#This Row],[United States 3y]],#N/A)</f>
        <v/>
      </c>
    </row>
    <row r="9259">
      <c r="A9259" s="6">
        <f>Database!$A11344</f>
        <v/>
      </c>
      <c r="B9259">
        <f>IF(VLOOKUP(Table7[[#This Row],[Date]],Database!$A:$C,MATCH($B$1,Database!$A$1:$C$1,),)=0,#N/A,VLOOKUP(Table7[[#This Row],[Date]],Database!$A:$C,MATCH($B$1,Database!$A$1:$C$1,),))</f>
        <v/>
      </c>
      <c r="C9259">
        <f>IF(VLOOKUP(Table7[[#This Row],[Date]],Database!$A:$C,MATCH($C$1,Database!$A$1:$C$1,),)=0,#N/A,VLOOKUP(Table7[[#This Row],[Date]],Database!$A:$C,MATCH($C$1,Database!$A$1:$C$1,),))</f>
        <v/>
      </c>
      <c r="D9259">
        <f>IFERROR(Table7[[#This Row],[United States 10y]]-Table7[[#This Row],[United States 3y]],#N/A)</f>
        <v/>
      </c>
    </row>
    <row r="9260">
      <c r="A9260" s="6">
        <f>Database!$A11345</f>
        <v/>
      </c>
      <c r="B9260">
        <f>IF(VLOOKUP(Table7[[#This Row],[Date]],Database!$A:$C,MATCH($B$1,Database!$A$1:$C$1,),)=0,#N/A,VLOOKUP(Table7[[#This Row],[Date]],Database!$A:$C,MATCH($B$1,Database!$A$1:$C$1,),))</f>
        <v/>
      </c>
      <c r="C9260">
        <f>IF(VLOOKUP(Table7[[#This Row],[Date]],Database!$A:$C,MATCH($C$1,Database!$A$1:$C$1,),)=0,#N/A,VLOOKUP(Table7[[#This Row],[Date]],Database!$A:$C,MATCH($C$1,Database!$A$1:$C$1,),))</f>
        <v/>
      </c>
      <c r="D9260">
        <f>IFERROR(Table7[[#This Row],[United States 10y]]-Table7[[#This Row],[United States 3y]],#N/A)</f>
        <v/>
      </c>
    </row>
    <row r="9261">
      <c r="A9261" s="6">
        <f>Database!$A11346</f>
        <v/>
      </c>
      <c r="B9261">
        <f>IF(VLOOKUP(Table7[[#This Row],[Date]],Database!$A:$C,MATCH($B$1,Database!$A$1:$C$1,),)=0,#N/A,VLOOKUP(Table7[[#This Row],[Date]],Database!$A:$C,MATCH($B$1,Database!$A$1:$C$1,),))</f>
        <v/>
      </c>
      <c r="C9261">
        <f>IF(VLOOKUP(Table7[[#This Row],[Date]],Database!$A:$C,MATCH($C$1,Database!$A$1:$C$1,),)=0,#N/A,VLOOKUP(Table7[[#This Row],[Date]],Database!$A:$C,MATCH($C$1,Database!$A$1:$C$1,),))</f>
        <v/>
      </c>
      <c r="D9261">
        <f>IFERROR(Table7[[#This Row],[United States 10y]]-Table7[[#This Row],[United States 3y]],#N/A)</f>
        <v/>
      </c>
    </row>
    <row r="9262">
      <c r="A9262" s="6">
        <f>Database!$A11347</f>
        <v/>
      </c>
      <c r="B9262">
        <f>IF(VLOOKUP(Table7[[#This Row],[Date]],Database!$A:$C,MATCH($B$1,Database!$A$1:$C$1,),)=0,#N/A,VLOOKUP(Table7[[#This Row],[Date]],Database!$A:$C,MATCH($B$1,Database!$A$1:$C$1,),))</f>
        <v/>
      </c>
      <c r="C9262">
        <f>IF(VLOOKUP(Table7[[#This Row],[Date]],Database!$A:$C,MATCH($C$1,Database!$A$1:$C$1,),)=0,#N/A,VLOOKUP(Table7[[#This Row],[Date]],Database!$A:$C,MATCH($C$1,Database!$A$1:$C$1,),))</f>
        <v/>
      </c>
      <c r="D9262">
        <f>IFERROR(Table7[[#This Row],[United States 10y]]-Table7[[#This Row],[United States 3y]],#N/A)</f>
        <v/>
      </c>
    </row>
    <row r="9263">
      <c r="A9263" s="6">
        <f>Database!$A11348</f>
        <v/>
      </c>
      <c r="B9263">
        <f>IF(VLOOKUP(Table7[[#This Row],[Date]],Database!$A:$C,MATCH($B$1,Database!$A$1:$C$1,),)=0,#N/A,VLOOKUP(Table7[[#This Row],[Date]],Database!$A:$C,MATCH($B$1,Database!$A$1:$C$1,),))</f>
        <v/>
      </c>
      <c r="C9263">
        <f>IF(VLOOKUP(Table7[[#This Row],[Date]],Database!$A:$C,MATCH($C$1,Database!$A$1:$C$1,),)=0,#N/A,VLOOKUP(Table7[[#This Row],[Date]],Database!$A:$C,MATCH($C$1,Database!$A$1:$C$1,),))</f>
        <v/>
      </c>
      <c r="D9263">
        <f>IFERROR(Table7[[#This Row],[United States 10y]]-Table7[[#This Row],[United States 3y]],#N/A)</f>
        <v/>
      </c>
    </row>
    <row r="9264">
      <c r="A9264" s="6">
        <f>Database!$A11349</f>
        <v/>
      </c>
      <c r="B9264">
        <f>IF(VLOOKUP(Table7[[#This Row],[Date]],Database!$A:$C,MATCH($B$1,Database!$A$1:$C$1,),)=0,#N/A,VLOOKUP(Table7[[#This Row],[Date]],Database!$A:$C,MATCH($B$1,Database!$A$1:$C$1,),))</f>
        <v/>
      </c>
      <c r="C9264">
        <f>IF(VLOOKUP(Table7[[#This Row],[Date]],Database!$A:$C,MATCH($C$1,Database!$A$1:$C$1,),)=0,#N/A,VLOOKUP(Table7[[#This Row],[Date]],Database!$A:$C,MATCH($C$1,Database!$A$1:$C$1,),))</f>
        <v/>
      </c>
      <c r="D9264">
        <f>IFERROR(Table7[[#This Row],[United States 10y]]-Table7[[#This Row],[United States 3y]],#N/A)</f>
        <v/>
      </c>
    </row>
    <row r="9265">
      <c r="A9265" s="6">
        <f>Database!$A11350</f>
        <v/>
      </c>
      <c r="B9265">
        <f>IF(VLOOKUP(Table7[[#This Row],[Date]],Database!$A:$C,MATCH($B$1,Database!$A$1:$C$1,),)=0,#N/A,VLOOKUP(Table7[[#This Row],[Date]],Database!$A:$C,MATCH($B$1,Database!$A$1:$C$1,),))</f>
        <v/>
      </c>
      <c r="C9265">
        <f>IF(VLOOKUP(Table7[[#This Row],[Date]],Database!$A:$C,MATCH($C$1,Database!$A$1:$C$1,),)=0,#N/A,VLOOKUP(Table7[[#This Row],[Date]],Database!$A:$C,MATCH($C$1,Database!$A$1:$C$1,),))</f>
        <v/>
      </c>
      <c r="D9265">
        <f>IFERROR(Table7[[#This Row],[United States 10y]]-Table7[[#This Row],[United States 3y]],#N/A)</f>
        <v/>
      </c>
    </row>
    <row r="9266">
      <c r="A9266" s="6">
        <f>Database!$A11351</f>
        <v/>
      </c>
      <c r="B9266">
        <f>IF(VLOOKUP(Table7[[#This Row],[Date]],Database!$A:$C,MATCH($B$1,Database!$A$1:$C$1,),)=0,#N/A,VLOOKUP(Table7[[#This Row],[Date]],Database!$A:$C,MATCH($B$1,Database!$A$1:$C$1,),))</f>
        <v/>
      </c>
      <c r="C9266">
        <f>IF(VLOOKUP(Table7[[#This Row],[Date]],Database!$A:$C,MATCH($C$1,Database!$A$1:$C$1,),)=0,#N/A,VLOOKUP(Table7[[#This Row],[Date]],Database!$A:$C,MATCH($C$1,Database!$A$1:$C$1,),))</f>
        <v/>
      </c>
      <c r="D9266">
        <f>IFERROR(Table7[[#This Row],[United States 10y]]-Table7[[#This Row],[United States 3y]],#N/A)</f>
        <v/>
      </c>
    </row>
    <row r="9267">
      <c r="A9267" s="6">
        <f>Database!$A11352</f>
        <v/>
      </c>
      <c r="B9267">
        <f>IF(VLOOKUP(Table7[[#This Row],[Date]],Database!$A:$C,MATCH($B$1,Database!$A$1:$C$1,),)=0,#N/A,VLOOKUP(Table7[[#This Row],[Date]],Database!$A:$C,MATCH($B$1,Database!$A$1:$C$1,),))</f>
        <v/>
      </c>
      <c r="C9267">
        <f>IF(VLOOKUP(Table7[[#This Row],[Date]],Database!$A:$C,MATCH($C$1,Database!$A$1:$C$1,),)=0,#N/A,VLOOKUP(Table7[[#This Row],[Date]],Database!$A:$C,MATCH($C$1,Database!$A$1:$C$1,),))</f>
        <v/>
      </c>
      <c r="D9267">
        <f>IFERROR(Table7[[#This Row],[United States 10y]]-Table7[[#This Row],[United States 3y]],#N/A)</f>
        <v/>
      </c>
    </row>
    <row r="9268">
      <c r="A9268" s="6">
        <f>Database!$A11353</f>
        <v/>
      </c>
      <c r="B9268">
        <f>IF(VLOOKUP(Table7[[#This Row],[Date]],Database!$A:$C,MATCH($B$1,Database!$A$1:$C$1,),)=0,#N/A,VLOOKUP(Table7[[#This Row],[Date]],Database!$A:$C,MATCH($B$1,Database!$A$1:$C$1,),))</f>
        <v/>
      </c>
      <c r="C9268">
        <f>IF(VLOOKUP(Table7[[#This Row],[Date]],Database!$A:$C,MATCH($C$1,Database!$A$1:$C$1,),)=0,#N/A,VLOOKUP(Table7[[#This Row],[Date]],Database!$A:$C,MATCH($C$1,Database!$A$1:$C$1,),))</f>
        <v/>
      </c>
      <c r="D9268">
        <f>IFERROR(Table7[[#This Row],[United States 10y]]-Table7[[#This Row],[United States 3y]],#N/A)</f>
        <v/>
      </c>
    </row>
    <row r="9269">
      <c r="A9269" s="6">
        <f>Database!$A11354</f>
        <v/>
      </c>
      <c r="B9269">
        <f>IF(VLOOKUP(Table7[[#This Row],[Date]],Database!$A:$C,MATCH($B$1,Database!$A$1:$C$1,),)=0,#N/A,VLOOKUP(Table7[[#This Row],[Date]],Database!$A:$C,MATCH($B$1,Database!$A$1:$C$1,),))</f>
        <v/>
      </c>
      <c r="C9269">
        <f>IF(VLOOKUP(Table7[[#This Row],[Date]],Database!$A:$C,MATCH($C$1,Database!$A$1:$C$1,),)=0,#N/A,VLOOKUP(Table7[[#This Row],[Date]],Database!$A:$C,MATCH($C$1,Database!$A$1:$C$1,),))</f>
        <v/>
      </c>
      <c r="D9269">
        <f>IFERROR(Table7[[#This Row],[United States 10y]]-Table7[[#This Row],[United States 3y]],#N/A)</f>
        <v/>
      </c>
    </row>
    <row r="9270">
      <c r="A9270" s="6">
        <f>Database!$A11355</f>
        <v/>
      </c>
      <c r="B9270">
        <f>IF(VLOOKUP(Table7[[#This Row],[Date]],Database!$A:$C,MATCH($B$1,Database!$A$1:$C$1,),)=0,#N/A,VLOOKUP(Table7[[#This Row],[Date]],Database!$A:$C,MATCH($B$1,Database!$A$1:$C$1,),))</f>
        <v/>
      </c>
      <c r="C9270">
        <f>IF(VLOOKUP(Table7[[#This Row],[Date]],Database!$A:$C,MATCH($C$1,Database!$A$1:$C$1,),)=0,#N/A,VLOOKUP(Table7[[#This Row],[Date]],Database!$A:$C,MATCH($C$1,Database!$A$1:$C$1,),))</f>
        <v/>
      </c>
      <c r="D9270">
        <f>IFERROR(Table7[[#This Row],[United States 10y]]-Table7[[#This Row],[United States 3y]],#N/A)</f>
        <v/>
      </c>
    </row>
    <row r="9271">
      <c r="A9271" s="6">
        <f>Database!$A11356</f>
        <v/>
      </c>
      <c r="B9271">
        <f>IF(VLOOKUP(Table7[[#This Row],[Date]],Database!$A:$C,MATCH($B$1,Database!$A$1:$C$1,),)=0,#N/A,VLOOKUP(Table7[[#This Row],[Date]],Database!$A:$C,MATCH($B$1,Database!$A$1:$C$1,),))</f>
        <v/>
      </c>
      <c r="C9271">
        <f>IF(VLOOKUP(Table7[[#This Row],[Date]],Database!$A:$C,MATCH($C$1,Database!$A$1:$C$1,),)=0,#N/A,VLOOKUP(Table7[[#This Row],[Date]],Database!$A:$C,MATCH($C$1,Database!$A$1:$C$1,),))</f>
        <v/>
      </c>
      <c r="D9271">
        <f>IFERROR(Table7[[#This Row],[United States 10y]]-Table7[[#This Row],[United States 3y]],#N/A)</f>
        <v/>
      </c>
    </row>
    <row r="9272">
      <c r="A9272" s="6">
        <f>Database!$A11357</f>
        <v/>
      </c>
      <c r="B9272">
        <f>IF(VLOOKUP(Table7[[#This Row],[Date]],Database!$A:$C,MATCH($B$1,Database!$A$1:$C$1,),)=0,#N/A,VLOOKUP(Table7[[#This Row],[Date]],Database!$A:$C,MATCH($B$1,Database!$A$1:$C$1,),))</f>
        <v/>
      </c>
      <c r="C9272">
        <f>IF(VLOOKUP(Table7[[#This Row],[Date]],Database!$A:$C,MATCH($C$1,Database!$A$1:$C$1,),)=0,#N/A,VLOOKUP(Table7[[#This Row],[Date]],Database!$A:$C,MATCH($C$1,Database!$A$1:$C$1,),))</f>
        <v/>
      </c>
      <c r="D9272">
        <f>IFERROR(Table7[[#This Row],[United States 10y]]-Table7[[#This Row],[United States 3y]],#N/A)</f>
        <v/>
      </c>
    </row>
    <row r="9273">
      <c r="A9273" s="6">
        <f>Database!$A11358</f>
        <v/>
      </c>
      <c r="B9273">
        <f>IF(VLOOKUP(Table7[[#This Row],[Date]],Database!$A:$C,MATCH($B$1,Database!$A$1:$C$1,),)=0,#N/A,VLOOKUP(Table7[[#This Row],[Date]],Database!$A:$C,MATCH($B$1,Database!$A$1:$C$1,),))</f>
        <v/>
      </c>
      <c r="C9273">
        <f>IF(VLOOKUP(Table7[[#This Row],[Date]],Database!$A:$C,MATCH($C$1,Database!$A$1:$C$1,),)=0,#N/A,VLOOKUP(Table7[[#This Row],[Date]],Database!$A:$C,MATCH($C$1,Database!$A$1:$C$1,),))</f>
        <v/>
      </c>
      <c r="D9273">
        <f>IFERROR(Table7[[#This Row],[United States 10y]]-Table7[[#This Row],[United States 3y]],#N/A)</f>
        <v/>
      </c>
    </row>
    <row r="9274">
      <c r="A9274" s="6">
        <f>Database!$A11359</f>
        <v/>
      </c>
      <c r="B9274">
        <f>IF(VLOOKUP(Table7[[#This Row],[Date]],Database!$A:$C,MATCH($B$1,Database!$A$1:$C$1,),)=0,#N/A,VLOOKUP(Table7[[#This Row],[Date]],Database!$A:$C,MATCH($B$1,Database!$A$1:$C$1,),))</f>
        <v/>
      </c>
      <c r="C9274">
        <f>IF(VLOOKUP(Table7[[#This Row],[Date]],Database!$A:$C,MATCH($C$1,Database!$A$1:$C$1,),)=0,#N/A,VLOOKUP(Table7[[#This Row],[Date]],Database!$A:$C,MATCH($C$1,Database!$A$1:$C$1,),))</f>
        <v/>
      </c>
      <c r="D9274">
        <f>IFERROR(Table7[[#This Row],[United States 10y]]-Table7[[#This Row],[United States 3y]],#N/A)</f>
        <v/>
      </c>
    </row>
    <row r="9275">
      <c r="A9275" s="6">
        <f>Database!$A11360</f>
        <v/>
      </c>
      <c r="B9275">
        <f>IF(VLOOKUP(Table7[[#This Row],[Date]],Database!$A:$C,MATCH($B$1,Database!$A$1:$C$1,),)=0,#N/A,VLOOKUP(Table7[[#This Row],[Date]],Database!$A:$C,MATCH($B$1,Database!$A$1:$C$1,),))</f>
        <v/>
      </c>
      <c r="C9275">
        <f>IF(VLOOKUP(Table7[[#This Row],[Date]],Database!$A:$C,MATCH($C$1,Database!$A$1:$C$1,),)=0,#N/A,VLOOKUP(Table7[[#This Row],[Date]],Database!$A:$C,MATCH($C$1,Database!$A$1:$C$1,),))</f>
        <v/>
      </c>
      <c r="D9275">
        <f>IFERROR(Table7[[#This Row],[United States 10y]]-Table7[[#This Row],[United States 3y]],#N/A)</f>
        <v/>
      </c>
    </row>
    <row r="9276">
      <c r="A9276" s="6">
        <f>Database!$A11361</f>
        <v/>
      </c>
      <c r="B9276">
        <f>IF(VLOOKUP(Table7[[#This Row],[Date]],Database!$A:$C,MATCH($B$1,Database!$A$1:$C$1,),)=0,#N/A,VLOOKUP(Table7[[#This Row],[Date]],Database!$A:$C,MATCH($B$1,Database!$A$1:$C$1,),))</f>
        <v/>
      </c>
      <c r="C9276">
        <f>IF(VLOOKUP(Table7[[#This Row],[Date]],Database!$A:$C,MATCH($C$1,Database!$A$1:$C$1,),)=0,#N/A,VLOOKUP(Table7[[#This Row],[Date]],Database!$A:$C,MATCH($C$1,Database!$A$1:$C$1,),))</f>
        <v/>
      </c>
      <c r="D9276">
        <f>IFERROR(Table7[[#This Row],[United States 10y]]-Table7[[#This Row],[United States 3y]],#N/A)</f>
        <v/>
      </c>
    </row>
    <row r="9277">
      <c r="A9277" s="6">
        <f>Database!$A11362</f>
        <v/>
      </c>
      <c r="B9277">
        <f>IF(VLOOKUP(Table7[[#This Row],[Date]],Database!$A:$C,MATCH($B$1,Database!$A$1:$C$1,),)=0,#N/A,VLOOKUP(Table7[[#This Row],[Date]],Database!$A:$C,MATCH($B$1,Database!$A$1:$C$1,),))</f>
        <v/>
      </c>
      <c r="C9277">
        <f>IF(VLOOKUP(Table7[[#This Row],[Date]],Database!$A:$C,MATCH($C$1,Database!$A$1:$C$1,),)=0,#N/A,VLOOKUP(Table7[[#This Row],[Date]],Database!$A:$C,MATCH($C$1,Database!$A$1:$C$1,),))</f>
        <v/>
      </c>
      <c r="D9277">
        <f>IFERROR(Table7[[#This Row],[United States 10y]]-Table7[[#This Row],[United States 3y]],#N/A)</f>
        <v/>
      </c>
    </row>
    <row r="9278">
      <c r="A9278" s="6">
        <f>Database!$A11363</f>
        <v/>
      </c>
      <c r="B9278">
        <f>IF(VLOOKUP(Table7[[#This Row],[Date]],Database!$A:$C,MATCH($B$1,Database!$A$1:$C$1,),)=0,#N/A,VLOOKUP(Table7[[#This Row],[Date]],Database!$A:$C,MATCH($B$1,Database!$A$1:$C$1,),))</f>
        <v/>
      </c>
      <c r="C9278">
        <f>IF(VLOOKUP(Table7[[#This Row],[Date]],Database!$A:$C,MATCH($C$1,Database!$A$1:$C$1,),)=0,#N/A,VLOOKUP(Table7[[#This Row],[Date]],Database!$A:$C,MATCH($C$1,Database!$A$1:$C$1,),))</f>
        <v/>
      </c>
      <c r="D9278">
        <f>IFERROR(Table7[[#This Row],[United States 10y]]-Table7[[#This Row],[United States 3y]],#N/A)</f>
        <v/>
      </c>
    </row>
    <row r="9279">
      <c r="A9279" s="6">
        <f>Database!$A11364</f>
        <v/>
      </c>
      <c r="B9279">
        <f>IF(VLOOKUP(Table7[[#This Row],[Date]],Database!$A:$C,MATCH($B$1,Database!$A$1:$C$1,),)=0,#N/A,VLOOKUP(Table7[[#This Row],[Date]],Database!$A:$C,MATCH($B$1,Database!$A$1:$C$1,),))</f>
        <v/>
      </c>
      <c r="C9279">
        <f>IF(VLOOKUP(Table7[[#This Row],[Date]],Database!$A:$C,MATCH($C$1,Database!$A$1:$C$1,),)=0,#N/A,VLOOKUP(Table7[[#This Row],[Date]],Database!$A:$C,MATCH($C$1,Database!$A$1:$C$1,),))</f>
        <v/>
      </c>
      <c r="D9279">
        <f>IFERROR(Table7[[#This Row],[United States 10y]]-Table7[[#This Row],[United States 3y]],#N/A)</f>
        <v/>
      </c>
    </row>
    <row r="9280">
      <c r="A9280" s="6">
        <f>Database!$A11365</f>
        <v/>
      </c>
      <c r="B9280">
        <f>IF(VLOOKUP(Table7[[#This Row],[Date]],Database!$A:$C,MATCH($B$1,Database!$A$1:$C$1,),)=0,#N/A,VLOOKUP(Table7[[#This Row],[Date]],Database!$A:$C,MATCH($B$1,Database!$A$1:$C$1,),))</f>
        <v/>
      </c>
      <c r="C9280">
        <f>IF(VLOOKUP(Table7[[#This Row],[Date]],Database!$A:$C,MATCH($C$1,Database!$A$1:$C$1,),)=0,#N/A,VLOOKUP(Table7[[#This Row],[Date]],Database!$A:$C,MATCH($C$1,Database!$A$1:$C$1,),))</f>
        <v/>
      </c>
      <c r="D9280">
        <f>IFERROR(Table7[[#This Row],[United States 10y]]-Table7[[#This Row],[United States 3y]],#N/A)</f>
        <v/>
      </c>
    </row>
    <row r="9281">
      <c r="A9281" s="6">
        <f>Database!$A11366</f>
        <v/>
      </c>
      <c r="B9281">
        <f>IF(VLOOKUP(Table7[[#This Row],[Date]],Database!$A:$C,MATCH($B$1,Database!$A$1:$C$1,),)=0,#N/A,VLOOKUP(Table7[[#This Row],[Date]],Database!$A:$C,MATCH($B$1,Database!$A$1:$C$1,),))</f>
        <v/>
      </c>
      <c r="C9281">
        <f>IF(VLOOKUP(Table7[[#This Row],[Date]],Database!$A:$C,MATCH($C$1,Database!$A$1:$C$1,),)=0,#N/A,VLOOKUP(Table7[[#This Row],[Date]],Database!$A:$C,MATCH($C$1,Database!$A$1:$C$1,),))</f>
        <v/>
      </c>
      <c r="D9281">
        <f>IFERROR(Table7[[#This Row],[United States 10y]]-Table7[[#This Row],[United States 3y]],#N/A)</f>
        <v/>
      </c>
    </row>
    <row r="9282">
      <c r="A9282" s="6">
        <f>Database!$A11367</f>
        <v/>
      </c>
      <c r="B9282">
        <f>IF(VLOOKUP(Table7[[#This Row],[Date]],Database!$A:$C,MATCH($B$1,Database!$A$1:$C$1,),)=0,#N/A,VLOOKUP(Table7[[#This Row],[Date]],Database!$A:$C,MATCH($B$1,Database!$A$1:$C$1,),))</f>
        <v/>
      </c>
      <c r="C9282">
        <f>IF(VLOOKUP(Table7[[#This Row],[Date]],Database!$A:$C,MATCH($C$1,Database!$A$1:$C$1,),)=0,#N/A,VLOOKUP(Table7[[#This Row],[Date]],Database!$A:$C,MATCH($C$1,Database!$A$1:$C$1,),))</f>
        <v/>
      </c>
      <c r="D9282">
        <f>IFERROR(Table7[[#This Row],[United States 10y]]-Table7[[#This Row],[United States 3y]],#N/A)</f>
        <v/>
      </c>
    </row>
    <row r="9283">
      <c r="A9283" s="6">
        <f>Database!$A11368</f>
        <v/>
      </c>
      <c r="B9283">
        <f>IF(VLOOKUP(Table7[[#This Row],[Date]],Database!$A:$C,MATCH($B$1,Database!$A$1:$C$1,),)=0,#N/A,VLOOKUP(Table7[[#This Row],[Date]],Database!$A:$C,MATCH($B$1,Database!$A$1:$C$1,),))</f>
        <v/>
      </c>
      <c r="C9283">
        <f>IF(VLOOKUP(Table7[[#This Row],[Date]],Database!$A:$C,MATCH($C$1,Database!$A$1:$C$1,),)=0,#N/A,VLOOKUP(Table7[[#This Row],[Date]],Database!$A:$C,MATCH($C$1,Database!$A$1:$C$1,),))</f>
        <v/>
      </c>
      <c r="D9283">
        <f>IFERROR(Table7[[#This Row],[United States 10y]]-Table7[[#This Row],[United States 3y]],#N/A)</f>
        <v/>
      </c>
    </row>
    <row r="9284">
      <c r="A9284" s="6">
        <f>Database!$A11369</f>
        <v/>
      </c>
      <c r="B9284">
        <f>IF(VLOOKUP(Table7[[#This Row],[Date]],Database!$A:$C,MATCH($B$1,Database!$A$1:$C$1,),)=0,#N/A,VLOOKUP(Table7[[#This Row],[Date]],Database!$A:$C,MATCH($B$1,Database!$A$1:$C$1,),))</f>
        <v/>
      </c>
      <c r="C9284">
        <f>IF(VLOOKUP(Table7[[#This Row],[Date]],Database!$A:$C,MATCH($C$1,Database!$A$1:$C$1,),)=0,#N/A,VLOOKUP(Table7[[#This Row],[Date]],Database!$A:$C,MATCH($C$1,Database!$A$1:$C$1,),))</f>
        <v/>
      </c>
      <c r="D9284">
        <f>IFERROR(Table7[[#This Row],[United States 10y]]-Table7[[#This Row],[United States 3y]],#N/A)</f>
        <v/>
      </c>
    </row>
    <row r="9285">
      <c r="A9285" s="6">
        <f>Database!$A11370</f>
        <v/>
      </c>
      <c r="B9285">
        <f>IF(VLOOKUP(Table7[[#This Row],[Date]],Database!$A:$C,MATCH($B$1,Database!$A$1:$C$1,),)=0,#N/A,VLOOKUP(Table7[[#This Row],[Date]],Database!$A:$C,MATCH($B$1,Database!$A$1:$C$1,),))</f>
        <v/>
      </c>
      <c r="C9285">
        <f>IF(VLOOKUP(Table7[[#This Row],[Date]],Database!$A:$C,MATCH($C$1,Database!$A$1:$C$1,),)=0,#N/A,VLOOKUP(Table7[[#This Row],[Date]],Database!$A:$C,MATCH($C$1,Database!$A$1:$C$1,),))</f>
        <v/>
      </c>
      <c r="D9285">
        <f>IFERROR(Table7[[#This Row],[United States 10y]]-Table7[[#This Row],[United States 3y]],#N/A)</f>
        <v/>
      </c>
    </row>
    <row r="9286">
      <c r="A9286" s="6">
        <f>Database!$A11371</f>
        <v/>
      </c>
      <c r="B9286">
        <f>IF(VLOOKUP(Table7[[#This Row],[Date]],Database!$A:$C,MATCH($B$1,Database!$A$1:$C$1,),)=0,#N/A,VLOOKUP(Table7[[#This Row],[Date]],Database!$A:$C,MATCH($B$1,Database!$A$1:$C$1,),))</f>
        <v/>
      </c>
      <c r="C9286">
        <f>IF(VLOOKUP(Table7[[#This Row],[Date]],Database!$A:$C,MATCH($C$1,Database!$A$1:$C$1,),)=0,#N/A,VLOOKUP(Table7[[#This Row],[Date]],Database!$A:$C,MATCH($C$1,Database!$A$1:$C$1,),))</f>
        <v/>
      </c>
      <c r="D9286">
        <f>IFERROR(Table7[[#This Row],[United States 10y]]-Table7[[#This Row],[United States 3y]],#N/A)</f>
        <v/>
      </c>
    </row>
    <row r="9287">
      <c r="A9287" s="6">
        <f>Database!$A11372</f>
        <v/>
      </c>
      <c r="B9287">
        <f>IF(VLOOKUP(Table7[[#This Row],[Date]],Database!$A:$C,MATCH($B$1,Database!$A$1:$C$1,),)=0,#N/A,VLOOKUP(Table7[[#This Row],[Date]],Database!$A:$C,MATCH($B$1,Database!$A$1:$C$1,),))</f>
        <v/>
      </c>
      <c r="C9287">
        <f>IF(VLOOKUP(Table7[[#This Row],[Date]],Database!$A:$C,MATCH($C$1,Database!$A$1:$C$1,),)=0,#N/A,VLOOKUP(Table7[[#This Row],[Date]],Database!$A:$C,MATCH($C$1,Database!$A$1:$C$1,),))</f>
        <v/>
      </c>
      <c r="D9287">
        <f>IFERROR(Table7[[#This Row],[United States 10y]]-Table7[[#This Row],[United States 3y]],#N/A)</f>
        <v/>
      </c>
    </row>
    <row r="9288">
      <c r="A9288" s="6">
        <f>Database!$A11373</f>
        <v/>
      </c>
      <c r="B9288">
        <f>IF(VLOOKUP(Table7[[#This Row],[Date]],Database!$A:$C,MATCH($B$1,Database!$A$1:$C$1,),)=0,#N/A,VLOOKUP(Table7[[#This Row],[Date]],Database!$A:$C,MATCH($B$1,Database!$A$1:$C$1,),))</f>
        <v/>
      </c>
      <c r="C9288">
        <f>IF(VLOOKUP(Table7[[#This Row],[Date]],Database!$A:$C,MATCH($C$1,Database!$A$1:$C$1,),)=0,#N/A,VLOOKUP(Table7[[#This Row],[Date]],Database!$A:$C,MATCH($C$1,Database!$A$1:$C$1,),))</f>
        <v/>
      </c>
      <c r="D9288">
        <f>IFERROR(Table7[[#This Row],[United States 10y]]-Table7[[#This Row],[United States 3y]],#N/A)</f>
        <v/>
      </c>
    </row>
    <row r="9289">
      <c r="A9289" s="6">
        <f>Database!$A11374</f>
        <v/>
      </c>
      <c r="B9289">
        <f>IF(VLOOKUP(Table7[[#This Row],[Date]],Database!$A:$C,MATCH($B$1,Database!$A$1:$C$1,),)=0,#N/A,VLOOKUP(Table7[[#This Row],[Date]],Database!$A:$C,MATCH($B$1,Database!$A$1:$C$1,),))</f>
        <v/>
      </c>
      <c r="C9289">
        <f>IF(VLOOKUP(Table7[[#This Row],[Date]],Database!$A:$C,MATCH($C$1,Database!$A$1:$C$1,),)=0,#N/A,VLOOKUP(Table7[[#This Row],[Date]],Database!$A:$C,MATCH($C$1,Database!$A$1:$C$1,),))</f>
        <v/>
      </c>
      <c r="D9289">
        <f>IFERROR(Table7[[#This Row],[United States 10y]]-Table7[[#This Row],[United States 3y]],#N/A)</f>
        <v/>
      </c>
    </row>
    <row r="9290">
      <c r="A9290" s="6">
        <f>Database!$A11375</f>
        <v/>
      </c>
      <c r="B9290">
        <f>IF(VLOOKUP(Table7[[#This Row],[Date]],Database!$A:$C,MATCH($B$1,Database!$A$1:$C$1,),)=0,#N/A,VLOOKUP(Table7[[#This Row],[Date]],Database!$A:$C,MATCH($B$1,Database!$A$1:$C$1,),))</f>
        <v/>
      </c>
      <c r="C9290">
        <f>IF(VLOOKUP(Table7[[#This Row],[Date]],Database!$A:$C,MATCH($C$1,Database!$A$1:$C$1,),)=0,#N/A,VLOOKUP(Table7[[#This Row],[Date]],Database!$A:$C,MATCH($C$1,Database!$A$1:$C$1,),))</f>
        <v/>
      </c>
      <c r="D9290">
        <f>IFERROR(Table7[[#This Row],[United States 10y]]-Table7[[#This Row],[United States 3y]],#N/A)</f>
        <v/>
      </c>
    </row>
    <row r="9291">
      <c r="A9291" s="6">
        <f>Database!$A11376</f>
        <v/>
      </c>
      <c r="B9291">
        <f>IF(VLOOKUP(Table7[[#This Row],[Date]],Database!$A:$C,MATCH($B$1,Database!$A$1:$C$1,),)=0,#N/A,VLOOKUP(Table7[[#This Row],[Date]],Database!$A:$C,MATCH($B$1,Database!$A$1:$C$1,),))</f>
        <v/>
      </c>
      <c r="C9291">
        <f>IF(VLOOKUP(Table7[[#This Row],[Date]],Database!$A:$C,MATCH($C$1,Database!$A$1:$C$1,),)=0,#N/A,VLOOKUP(Table7[[#This Row],[Date]],Database!$A:$C,MATCH($C$1,Database!$A$1:$C$1,),))</f>
        <v/>
      </c>
      <c r="D9291">
        <f>IFERROR(Table7[[#This Row],[United States 10y]]-Table7[[#This Row],[United States 3y]],#N/A)</f>
        <v/>
      </c>
    </row>
    <row r="9292">
      <c r="A9292" s="6">
        <f>Database!$A11377</f>
        <v/>
      </c>
      <c r="B9292">
        <f>IF(VLOOKUP(Table7[[#This Row],[Date]],Database!$A:$C,MATCH($B$1,Database!$A$1:$C$1,),)=0,#N/A,VLOOKUP(Table7[[#This Row],[Date]],Database!$A:$C,MATCH($B$1,Database!$A$1:$C$1,),))</f>
        <v/>
      </c>
      <c r="C9292">
        <f>IF(VLOOKUP(Table7[[#This Row],[Date]],Database!$A:$C,MATCH($C$1,Database!$A$1:$C$1,),)=0,#N/A,VLOOKUP(Table7[[#This Row],[Date]],Database!$A:$C,MATCH($C$1,Database!$A$1:$C$1,),))</f>
        <v/>
      </c>
      <c r="D9292">
        <f>IFERROR(Table7[[#This Row],[United States 10y]]-Table7[[#This Row],[United States 3y]],#N/A)</f>
        <v/>
      </c>
    </row>
    <row r="9293">
      <c r="A9293" s="6">
        <f>Database!$A11378</f>
        <v/>
      </c>
      <c r="B9293">
        <f>IF(VLOOKUP(Table7[[#This Row],[Date]],Database!$A:$C,MATCH($B$1,Database!$A$1:$C$1,),)=0,#N/A,VLOOKUP(Table7[[#This Row],[Date]],Database!$A:$C,MATCH($B$1,Database!$A$1:$C$1,),))</f>
        <v/>
      </c>
      <c r="C9293">
        <f>IF(VLOOKUP(Table7[[#This Row],[Date]],Database!$A:$C,MATCH($C$1,Database!$A$1:$C$1,),)=0,#N/A,VLOOKUP(Table7[[#This Row],[Date]],Database!$A:$C,MATCH($C$1,Database!$A$1:$C$1,),))</f>
        <v/>
      </c>
      <c r="D9293">
        <f>IFERROR(Table7[[#This Row],[United States 10y]]-Table7[[#This Row],[United States 3y]],#N/A)</f>
        <v/>
      </c>
    </row>
    <row r="9294">
      <c r="A9294" s="6">
        <f>Database!$A11379</f>
        <v/>
      </c>
      <c r="B9294">
        <f>IF(VLOOKUP(Table7[[#This Row],[Date]],Database!$A:$C,MATCH($B$1,Database!$A$1:$C$1,),)=0,#N/A,VLOOKUP(Table7[[#This Row],[Date]],Database!$A:$C,MATCH($B$1,Database!$A$1:$C$1,),))</f>
        <v/>
      </c>
      <c r="C9294">
        <f>IF(VLOOKUP(Table7[[#This Row],[Date]],Database!$A:$C,MATCH($C$1,Database!$A$1:$C$1,),)=0,#N/A,VLOOKUP(Table7[[#This Row],[Date]],Database!$A:$C,MATCH($C$1,Database!$A$1:$C$1,),))</f>
        <v/>
      </c>
      <c r="D9294">
        <f>IFERROR(Table7[[#This Row],[United States 10y]]-Table7[[#This Row],[United States 3y]],#N/A)</f>
        <v/>
      </c>
    </row>
    <row r="9295">
      <c r="A9295" s="6">
        <f>Database!$A11380</f>
        <v/>
      </c>
      <c r="B9295">
        <f>IF(VLOOKUP(Table7[[#This Row],[Date]],Database!$A:$C,MATCH($B$1,Database!$A$1:$C$1,),)=0,#N/A,VLOOKUP(Table7[[#This Row],[Date]],Database!$A:$C,MATCH($B$1,Database!$A$1:$C$1,),))</f>
        <v/>
      </c>
      <c r="C9295">
        <f>IF(VLOOKUP(Table7[[#This Row],[Date]],Database!$A:$C,MATCH($C$1,Database!$A$1:$C$1,),)=0,#N/A,VLOOKUP(Table7[[#This Row],[Date]],Database!$A:$C,MATCH($C$1,Database!$A$1:$C$1,),))</f>
        <v/>
      </c>
      <c r="D9295">
        <f>IFERROR(Table7[[#This Row],[United States 10y]]-Table7[[#This Row],[United States 3y]],#N/A)</f>
        <v/>
      </c>
    </row>
    <row r="9296">
      <c r="A9296" s="6">
        <f>Database!$A11381</f>
        <v/>
      </c>
      <c r="B9296">
        <f>IF(VLOOKUP(Table7[[#This Row],[Date]],Database!$A:$C,MATCH($B$1,Database!$A$1:$C$1,),)=0,#N/A,VLOOKUP(Table7[[#This Row],[Date]],Database!$A:$C,MATCH($B$1,Database!$A$1:$C$1,),))</f>
        <v/>
      </c>
      <c r="C9296">
        <f>IF(VLOOKUP(Table7[[#This Row],[Date]],Database!$A:$C,MATCH($C$1,Database!$A$1:$C$1,),)=0,#N/A,VLOOKUP(Table7[[#This Row],[Date]],Database!$A:$C,MATCH($C$1,Database!$A$1:$C$1,),))</f>
        <v/>
      </c>
      <c r="D9296">
        <f>IFERROR(Table7[[#This Row],[United States 10y]]-Table7[[#This Row],[United States 3y]],#N/A)</f>
        <v/>
      </c>
    </row>
    <row r="9297">
      <c r="A9297" s="6">
        <f>Database!$A11382</f>
        <v/>
      </c>
      <c r="B9297">
        <f>IF(VLOOKUP(Table7[[#This Row],[Date]],Database!$A:$C,MATCH($B$1,Database!$A$1:$C$1,),)=0,#N/A,VLOOKUP(Table7[[#This Row],[Date]],Database!$A:$C,MATCH($B$1,Database!$A$1:$C$1,),))</f>
        <v/>
      </c>
      <c r="C9297">
        <f>IF(VLOOKUP(Table7[[#This Row],[Date]],Database!$A:$C,MATCH($C$1,Database!$A$1:$C$1,),)=0,#N/A,VLOOKUP(Table7[[#This Row],[Date]],Database!$A:$C,MATCH($C$1,Database!$A$1:$C$1,),))</f>
        <v/>
      </c>
      <c r="D9297">
        <f>IFERROR(Table7[[#This Row],[United States 10y]]-Table7[[#This Row],[United States 3y]],#N/A)</f>
        <v/>
      </c>
    </row>
    <row r="9298">
      <c r="A9298" s="6">
        <f>Database!$A11383</f>
        <v/>
      </c>
      <c r="B9298">
        <f>IF(VLOOKUP(Table7[[#This Row],[Date]],Database!$A:$C,MATCH($B$1,Database!$A$1:$C$1,),)=0,#N/A,VLOOKUP(Table7[[#This Row],[Date]],Database!$A:$C,MATCH($B$1,Database!$A$1:$C$1,),))</f>
        <v/>
      </c>
      <c r="C9298">
        <f>IF(VLOOKUP(Table7[[#This Row],[Date]],Database!$A:$C,MATCH($C$1,Database!$A$1:$C$1,),)=0,#N/A,VLOOKUP(Table7[[#This Row],[Date]],Database!$A:$C,MATCH($C$1,Database!$A$1:$C$1,),))</f>
        <v/>
      </c>
      <c r="D9298">
        <f>IFERROR(Table7[[#This Row],[United States 10y]]-Table7[[#This Row],[United States 3y]],#N/A)</f>
        <v/>
      </c>
    </row>
    <row r="9299">
      <c r="A9299" s="6">
        <f>Database!$A11384</f>
        <v/>
      </c>
      <c r="B9299">
        <f>IF(VLOOKUP(Table7[[#This Row],[Date]],Database!$A:$C,MATCH($B$1,Database!$A$1:$C$1,),)=0,#N/A,VLOOKUP(Table7[[#This Row],[Date]],Database!$A:$C,MATCH($B$1,Database!$A$1:$C$1,),))</f>
        <v/>
      </c>
      <c r="C9299">
        <f>IF(VLOOKUP(Table7[[#This Row],[Date]],Database!$A:$C,MATCH($C$1,Database!$A$1:$C$1,),)=0,#N/A,VLOOKUP(Table7[[#This Row],[Date]],Database!$A:$C,MATCH($C$1,Database!$A$1:$C$1,),))</f>
        <v/>
      </c>
      <c r="D9299">
        <f>IFERROR(Table7[[#This Row],[United States 10y]]-Table7[[#This Row],[United States 3y]],#N/A)</f>
        <v/>
      </c>
    </row>
    <row r="9300">
      <c r="A9300" s="6">
        <f>Database!$A11385</f>
        <v/>
      </c>
      <c r="B9300">
        <f>IF(VLOOKUP(Table7[[#This Row],[Date]],Database!$A:$C,MATCH($B$1,Database!$A$1:$C$1,),)=0,#N/A,VLOOKUP(Table7[[#This Row],[Date]],Database!$A:$C,MATCH($B$1,Database!$A$1:$C$1,),))</f>
        <v/>
      </c>
      <c r="C9300">
        <f>IF(VLOOKUP(Table7[[#This Row],[Date]],Database!$A:$C,MATCH($C$1,Database!$A$1:$C$1,),)=0,#N/A,VLOOKUP(Table7[[#This Row],[Date]],Database!$A:$C,MATCH($C$1,Database!$A$1:$C$1,),))</f>
        <v/>
      </c>
      <c r="D9300">
        <f>IFERROR(Table7[[#This Row],[United States 10y]]-Table7[[#This Row],[United States 3y]],#N/A)</f>
        <v/>
      </c>
    </row>
    <row r="9301">
      <c r="A9301" s="6">
        <f>Database!$A11386</f>
        <v/>
      </c>
      <c r="B9301">
        <f>IF(VLOOKUP(Table7[[#This Row],[Date]],Database!$A:$C,MATCH($B$1,Database!$A$1:$C$1,),)=0,#N/A,VLOOKUP(Table7[[#This Row],[Date]],Database!$A:$C,MATCH($B$1,Database!$A$1:$C$1,),))</f>
        <v/>
      </c>
      <c r="C9301">
        <f>IF(VLOOKUP(Table7[[#This Row],[Date]],Database!$A:$C,MATCH($C$1,Database!$A$1:$C$1,),)=0,#N/A,VLOOKUP(Table7[[#This Row],[Date]],Database!$A:$C,MATCH($C$1,Database!$A$1:$C$1,),))</f>
        <v/>
      </c>
      <c r="D9301">
        <f>IFERROR(Table7[[#This Row],[United States 10y]]-Table7[[#This Row],[United States 3y]],#N/A)</f>
        <v/>
      </c>
    </row>
    <row r="9302">
      <c r="A9302" s="6">
        <f>Database!$A11387</f>
        <v/>
      </c>
      <c r="B9302">
        <f>IF(VLOOKUP(Table7[[#This Row],[Date]],Database!$A:$C,MATCH($B$1,Database!$A$1:$C$1,),)=0,#N/A,VLOOKUP(Table7[[#This Row],[Date]],Database!$A:$C,MATCH($B$1,Database!$A$1:$C$1,),))</f>
        <v/>
      </c>
      <c r="C9302">
        <f>IF(VLOOKUP(Table7[[#This Row],[Date]],Database!$A:$C,MATCH($C$1,Database!$A$1:$C$1,),)=0,#N/A,VLOOKUP(Table7[[#This Row],[Date]],Database!$A:$C,MATCH($C$1,Database!$A$1:$C$1,),))</f>
        <v/>
      </c>
      <c r="D9302">
        <f>IFERROR(Table7[[#This Row],[United States 10y]]-Table7[[#This Row],[United States 3y]],#N/A)</f>
        <v/>
      </c>
    </row>
    <row r="9303">
      <c r="A9303" s="6">
        <f>Database!$A11388</f>
        <v/>
      </c>
      <c r="B9303">
        <f>IF(VLOOKUP(Table7[[#This Row],[Date]],Database!$A:$C,MATCH($B$1,Database!$A$1:$C$1,),)=0,#N/A,VLOOKUP(Table7[[#This Row],[Date]],Database!$A:$C,MATCH($B$1,Database!$A$1:$C$1,),))</f>
        <v/>
      </c>
      <c r="C9303">
        <f>IF(VLOOKUP(Table7[[#This Row],[Date]],Database!$A:$C,MATCH($C$1,Database!$A$1:$C$1,),)=0,#N/A,VLOOKUP(Table7[[#This Row],[Date]],Database!$A:$C,MATCH($C$1,Database!$A$1:$C$1,),))</f>
        <v/>
      </c>
      <c r="D9303">
        <f>IFERROR(Table7[[#This Row],[United States 10y]]-Table7[[#This Row],[United States 3y]],#N/A)</f>
        <v/>
      </c>
    </row>
    <row r="9304">
      <c r="A9304" s="6">
        <f>Database!$A11389</f>
        <v/>
      </c>
      <c r="B9304">
        <f>IF(VLOOKUP(Table7[[#This Row],[Date]],Database!$A:$C,MATCH($B$1,Database!$A$1:$C$1,),)=0,#N/A,VLOOKUP(Table7[[#This Row],[Date]],Database!$A:$C,MATCH($B$1,Database!$A$1:$C$1,),))</f>
        <v/>
      </c>
      <c r="C9304">
        <f>IF(VLOOKUP(Table7[[#This Row],[Date]],Database!$A:$C,MATCH($C$1,Database!$A$1:$C$1,),)=0,#N/A,VLOOKUP(Table7[[#This Row],[Date]],Database!$A:$C,MATCH($C$1,Database!$A$1:$C$1,),))</f>
        <v/>
      </c>
      <c r="D9304">
        <f>IFERROR(Table7[[#This Row],[United States 10y]]-Table7[[#This Row],[United States 3y]],#N/A)</f>
        <v/>
      </c>
    </row>
    <row r="9305">
      <c r="A9305" s="6">
        <f>Database!$A11390</f>
        <v/>
      </c>
      <c r="B9305">
        <f>IF(VLOOKUP(Table7[[#This Row],[Date]],Database!$A:$C,MATCH($B$1,Database!$A$1:$C$1,),)=0,#N/A,VLOOKUP(Table7[[#This Row],[Date]],Database!$A:$C,MATCH($B$1,Database!$A$1:$C$1,),))</f>
        <v/>
      </c>
      <c r="C9305">
        <f>IF(VLOOKUP(Table7[[#This Row],[Date]],Database!$A:$C,MATCH($C$1,Database!$A$1:$C$1,),)=0,#N/A,VLOOKUP(Table7[[#This Row],[Date]],Database!$A:$C,MATCH($C$1,Database!$A$1:$C$1,),))</f>
        <v/>
      </c>
      <c r="D9305">
        <f>IFERROR(Table7[[#This Row],[United States 10y]]-Table7[[#This Row],[United States 3y]],#N/A)</f>
        <v/>
      </c>
    </row>
    <row r="9306">
      <c r="A9306" s="6">
        <f>Database!$A11391</f>
        <v/>
      </c>
      <c r="B9306">
        <f>IF(VLOOKUP(Table7[[#This Row],[Date]],Database!$A:$C,MATCH($B$1,Database!$A$1:$C$1,),)=0,#N/A,VLOOKUP(Table7[[#This Row],[Date]],Database!$A:$C,MATCH($B$1,Database!$A$1:$C$1,),))</f>
        <v/>
      </c>
      <c r="C9306">
        <f>IF(VLOOKUP(Table7[[#This Row],[Date]],Database!$A:$C,MATCH($C$1,Database!$A$1:$C$1,),)=0,#N/A,VLOOKUP(Table7[[#This Row],[Date]],Database!$A:$C,MATCH($C$1,Database!$A$1:$C$1,),))</f>
        <v/>
      </c>
      <c r="D9306">
        <f>IFERROR(Table7[[#This Row],[United States 10y]]-Table7[[#This Row],[United States 3y]],#N/A)</f>
        <v/>
      </c>
    </row>
    <row r="9307">
      <c r="A9307" s="6">
        <f>Database!$A11392</f>
        <v/>
      </c>
      <c r="B9307">
        <f>IF(VLOOKUP(Table7[[#This Row],[Date]],Database!$A:$C,MATCH($B$1,Database!$A$1:$C$1,),)=0,#N/A,VLOOKUP(Table7[[#This Row],[Date]],Database!$A:$C,MATCH($B$1,Database!$A$1:$C$1,),))</f>
        <v/>
      </c>
      <c r="C9307">
        <f>IF(VLOOKUP(Table7[[#This Row],[Date]],Database!$A:$C,MATCH($C$1,Database!$A$1:$C$1,),)=0,#N/A,VLOOKUP(Table7[[#This Row],[Date]],Database!$A:$C,MATCH($C$1,Database!$A$1:$C$1,),))</f>
        <v/>
      </c>
      <c r="D9307">
        <f>IFERROR(Table7[[#This Row],[United States 10y]]-Table7[[#This Row],[United States 3y]],#N/A)</f>
        <v/>
      </c>
    </row>
    <row r="9308">
      <c r="A9308" s="6">
        <f>Database!$A11393</f>
        <v/>
      </c>
      <c r="B9308">
        <f>IF(VLOOKUP(Table7[[#This Row],[Date]],Database!$A:$C,MATCH($B$1,Database!$A$1:$C$1,),)=0,#N/A,VLOOKUP(Table7[[#This Row],[Date]],Database!$A:$C,MATCH($B$1,Database!$A$1:$C$1,),))</f>
        <v/>
      </c>
      <c r="C9308">
        <f>IF(VLOOKUP(Table7[[#This Row],[Date]],Database!$A:$C,MATCH($C$1,Database!$A$1:$C$1,),)=0,#N/A,VLOOKUP(Table7[[#This Row],[Date]],Database!$A:$C,MATCH($C$1,Database!$A$1:$C$1,),))</f>
        <v/>
      </c>
      <c r="D9308">
        <f>IFERROR(Table7[[#This Row],[United States 10y]]-Table7[[#This Row],[United States 3y]],#N/A)</f>
        <v/>
      </c>
    </row>
    <row r="9309">
      <c r="A9309" s="6">
        <f>Database!$A11394</f>
        <v/>
      </c>
      <c r="B9309">
        <f>IF(VLOOKUP(Table7[[#This Row],[Date]],Database!$A:$C,MATCH($B$1,Database!$A$1:$C$1,),)=0,#N/A,VLOOKUP(Table7[[#This Row],[Date]],Database!$A:$C,MATCH($B$1,Database!$A$1:$C$1,),))</f>
        <v/>
      </c>
      <c r="C9309">
        <f>IF(VLOOKUP(Table7[[#This Row],[Date]],Database!$A:$C,MATCH($C$1,Database!$A$1:$C$1,),)=0,#N/A,VLOOKUP(Table7[[#This Row],[Date]],Database!$A:$C,MATCH($C$1,Database!$A$1:$C$1,),))</f>
        <v/>
      </c>
      <c r="D9309">
        <f>IFERROR(Table7[[#This Row],[United States 10y]]-Table7[[#This Row],[United States 3y]],#N/A)</f>
        <v/>
      </c>
    </row>
    <row r="9310">
      <c r="A9310" s="6">
        <f>Database!$A11395</f>
        <v/>
      </c>
      <c r="B9310">
        <f>IF(VLOOKUP(Table7[[#This Row],[Date]],Database!$A:$C,MATCH($B$1,Database!$A$1:$C$1,),)=0,#N/A,VLOOKUP(Table7[[#This Row],[Date]],Database!$A:$C,MATCH($B$1,Database!$A$1:$C$1,),))</f>
        <v/>
      </c>
      <c r="C9310">
        <f>IF(VLOOKUP(Table7[[#This Row],[Date]],Database!$A:$C,MATCH($C$1,Database!$A$1:$C$1,),)=0,#N/A,VLOOKUP(Table7[[#This Row],[Date]],Database!$A:$C,MATCH($C$1,Database!$A$1:$C$1,),))</f>
        <v/>
      </c>
      <c r="D9310">
        <f>IFERROR(Table7[[#This Row],[United States 10y]]-Table7[[#This Row],[United States 3y]],#N/A)</f>
        <v/>
      </c>
    </row>
    <row r="9311">
      <c r="A9311" s="6">
        <f>Database!$A11396</f>
        <v/>
      </c>
      <c r="B9311">
        <f>IF(VLOOKUP(Table7[[#This Row],[Date]],Database!$A:$C,MATCH($B$1,Database!$A$1:$C$1,),)=0,#N/A,VLOOKUP(Table7[[#This Row],[Date]],Database!$A:$C,MATCH($B$1,Database!$A$1:$C$1,),))</f>
        <v/>
      </c>
      <c r="C9311">
        <f>IF(VLOOKUP(Table7[[#This Row],[Date]],Database!$A:$C,MATCH($C$1,Database!$A$1:$C$1,),)=0,#N/A,VLOOKUP(Table7[[#This Row],[Date]],Database!$A:$C,MATCH($C$1,Database!$A$1:$C$1,),))</f>
        <v/>
      </c>
      <c r="D9311">
        <f>IFERROR(Table7[[#This Row],[United States 10y]]-Table7[[#This Row],[United States 3y]],#N/A)</f>
        <v/>
      </c>
    </row>
    <row r="9312">
      <c r="A9312" s="6">
        <f>Database!$A11397</f>
        <v/>
      </c>
      <c r="B9312">
        <f>IF(VLOOKUP(Table7[[#This Row],[Date]],Database!$A:$C,MATCH($B$1,Database!$A$1:$C$1,),)=0,#N/A,VLOOKUP(Table7[[#This Row],[Date]],Database!$A:$C,MATCH($B$1,Database!$A$1:$C$1,),))</f>
        <v/>
      </c>
      <c r="C9312">
        <f>IF(VLOOKUP(Table7[[#This Row],[Date]],Database!$A:$C,MATCH($C$1,Database!$A$1:$C$1,),)=0,#N/A,VLOOKUP(Table7[[#This Row],[Date]],Database!$A:$C,MATCH($C$1,Database!$A$1:$C$1,),))</f>
        <v/>
      </c>
      <c r="D9312">
        <f>IFERROR(Table7[[#This Row],[United States 10y]]-Table7[[#This Row],[United States 3y]],#N/A)</f>
        <v/>
      </c>
    </row>
    <row r="9313">
      <c r="A9313" s="6">
        <f>Database!$A11398</f>
        <v/>
      </c>
      <c r="B9313">
        <f>IF(VLOOKUP(Table7[[#This Row],[Date]],Database!$A:$C,MATCH($B$1,Database!$A$1:$C$1,),)=0,#N/A,VLOOKUP(Table7[[#This Row],[Date]],Database!$A:$C,MATCH($B$1,Database!$A$1:$C$1,),))</f>
        <v/>
      </c>
      <c r="C9313">
        <f>IF(VLOOKUP(Table7[[#This Row],[Date]],Database!$A:$C,MATCH($C$1,Database!$A$1:$C$1,),)=0,#N/A,VLOOKUP(Table7[[#This Row],[Date]],Database!$A:$C,MATCH($C$1,Database!$A$1:$C$1,),))</f>
        <v/>
      </c>
      <c r="D9313">
        <f>IFERROR(Table7[[#This Row],[United States 10y]]-Table7[[#This Row],[United States 3y]],#N/A)</f>
        <v/>
      </c>
    </row>
    <row r="9314">
      <c r="A9314" s="6">
        <f>Database!$A11399</f>
        <v/>
      </c>
      <c r="B9314">
        <f>IF(VLOOKUP(Table7[[#This Row],[Date]],Database!$A:$C,MATCH($B$1,Database!$A$1:$C$1,),)=0,#N/A,VLOOKUP(Table7[[#This Row],[Date]],Database!$A:$C,MATCH($B$1,Database!$A$1:$C$1,),))</f>
        <v/>
      </c>
      <c r="C9314">
        <f>IF(VLOOKUP(Table7[[#This Row],[Date]],Database!$A:$C,MATCH($C$1,Database!$A$1:$C$1,),)=0,#N/A,VLOOKUP(Table7[[#This Row],[Date]],Database!$A:$C,MATCH($C$1,Database!$A$1:$C$1,),))</f>
        <v/>
      </c>
      <c r="D9314">
        <f>IFERROR(Table7[[#This Row],[United States 10y]]-Table7[[#This Row],[United States 3y]],#N/A)</f>
        <v/>
      </c>
    </row>
    <row r="9315">
      <c r="A9315" s="6">
        <f>Database!$A11400</f>
        <v/>
      </c>
      <c r="B9315">
        <f>IF(VLOOKUP(Table7[[#This Row],[Date]],Database!$A:$C,MATCH($B$1,Database!$A$1:$C$1,),)=0,#N/A,VLOOKUP(Table7[[#This Row],[Date]],Database!$A:$C,MATCH($B$1,Database!$A$1:$C$1,),))</f>
        <v/>
      </c>
      <c r="C9315">
        <f>IF(VLOOKUP(Table7[[#This Row],[Date]],Database!$A:$C,MATCH($C$1,Database!$A$1:$C$1,),)=0,#N/A,VLOOKUP(Table7[[#This Row],[Date]],Database!$A:$C,MATCH($C$1,Database!$A$1:$C$1,),))</f>
        <v/>
      </c>
      <c r="D9315">
        <f>IFERROR(Table7[[#This Row],[United States 10y]]-Table7[[#This Row],[United States 3y]],#N/A)</f>
        <v/>
      </c>
    </row>
    <row r="9316">
      <c r="A9316" s="6">
        <f>Database!$A11401</f>
        <v/>
      </c>
      <c r="B9316">
        <f>IF(VLOOKUP(Table7[[#This Row],[Date]],Database!$A:$C,MATCH($B$1,Database!$A$1:$C$1,),)=0,#N/A,VLOOKUP(Table7[[#This Row],[Date]],Database!$A:$C,MATCH($B$1,Database!$A$1:$C$1,),))</f>
        <v/>
      </c>
      <c r="C9316">
        <f>IF(VLOOKUP(Table7[[#This Row],[Date]],Database!$A:$C,MATCH($C$1,Database!$A$1:$C$1,),)=0,#N/A,VLOOKUP(Table7[[#This Row],[Date]],Database!$A:$C,MATCH($C$1,Database!$A$1:$C$1,),))</f>
        <v/>
      </c>
      <c r="D9316">
        <f>IFERROR(Table7[[#This Row],[United States 10y]]-Table7[[#This Row],[United States 3y]],#N/A)</f>
        <v/>
      </c>
    </row>
    <row r="9317">
      <c r="A9317" s="6">
        <f>Database!$A11402</f>
        <v/>
      </c>
      <c r="B9317">
        <f>IF(VLOOKUP(Table7[[#This Row],[Date]],Database!$A:$C,MATCH($B$1,Database!$A$1:$C$1,),)=0,#N/A,VLOOKUP(Table7[[#This Row],[Date]],Database!$A:$C,MATCH($B$1,Database!$A$1:$C$1,),))</f>
        <v/>
      </c>
      <c r="C9317">
        <f>IF(VLOOKUP(Table7[[#This Row],[Date]],Database!$A:$C,MATCH($C$1,Database!$A$1:$C$1,),)=0,#N/A,VLOOKUP(Table7[[#This Row],[Date]],Database!$A:$C,MATCH($C$1,Database!$A$1:$C$1,),))</f>
        <v/>
      </c>
      <c r="D9317">
        <f>IFERROR(Table7[[#This Row],[United States 10y]]-Table7[[#This Row],[United States 3y]],#N/A)</f>
        <v/>
      </c>
    </row>
    <row r="9318">
      <c r="A9318" s="6">
        <f>Database!$A11403</f>
        <v/>
      </c>
      <c r="B9318">
        <f>IF(VLOOKUP(Table7[[#This Row],[Date]],Database!$A:$C,MATCH($B$1,Database!$A$1:$C$1,),)=0,#N/A,VLOOKUP(Table7[[#This Row],[Date]],Database!$A:$C,MATCH($B$1,Database!$A$1:$C$1,),))</f>
        <v/>
      </c>
      <c r="C9318">
        <f>IF(VLOOKUP(Table7[[#This Row],[Date]],Database!$A:$C,MATCH($C$1,Database!$A$1:$C$1,),)=0,#N/A,VLOOKUP(Table7[[#This Row],[Date]],Database!$A:$C,MATCH($C$1,Database!$A$1:$C$1,),))</f>
        <v/>
      </c>
      <c r="D9318">
        <f>IFERROR(Table7[[#This Row],[United States 10y]]-Table7[[#This Row],[United States 3y]],#N/A)</f>
        <v/>
      </c>
    </row>
    <row r="9319">
      <c r="A9319" s="6">
        <f>Database!$A11404</f>
        <v/>
      </c>
      <c r="B9319">
        <f>IF(VLOOKUP(Table7[[#This Row],[Date]],Database!$A:$C,MATCH($B$1,Database!$A$1:$C$1,),)=0,#N/A,VLOOKUP(Table7[[#This Row],[Date]],Database!$A:$C,MATCH($B$1,Database!$A$1:$C$1,),))</f>
        <v/>
      </c>
      <c r="C9319">
        <f>IF(VLOOKUP(Table7[[#This Row],[Date]],Database!$A:$C,MATCH($C$1,Database!$A$1:$C$1,),)=0,#N/A,VLOOKUP(Table7[[#This Row],[Date]],Database!$A:$C,MATCH($C$1,Database!$A$1:$C$1,),))</f>
        <v/>
      </c>
      <c r="D9319">
        <f>IFERROR(Table7[[#This Row],[United States 10y]]-Table7[[#This Row],[United States 3y]],#N/A)</f>
        <v/>
      </c>
    </row>
    <row r="9320">
      <c r="A9320" s="6">
        <f>Database!$A11405</f>
        <v/>
      </c>
      <c r="B9320">
        <f>IF(VLOOKUP(Table7[[#This Row],[Date]],Database!$A:$C,MATCH($B$1,Database!$A$1:$C$1,),)=0,#N/A,VLOOKUP(Table7[[#This Row],[Date]],Database!$A:$C,MATCH($B$1,Database!$A$1:$C$1,),))</f>
        <v/>
      </c>
      <c r="C9320">
        <f>IF(VLOOKUP(Table7[[#This Row],[Date]],Database!$A:$C,MATCH($C$1,Database!$A$1:$C$1,),)=0,#N/A,VLOOKUP(Table7[[#This Row],[Date]],Database!$A:$C,MATCH($C$1,Database!$A$1:$C$1,),))</f>
        <v/>
      </c>
      <c r="D9320">
        <f>IFERROR(Table7[[#This Row],[United States 10y]]-Table7[[#This Row],[United States 3y]],#N/A)</f>
        <v/>
      </c>
    </row>
    <row r="9321">
      <c r="A9321" s="6">
        <f>Database!$A11406</f>
        <v/>
      </c>
      <c r="B9321">
        <f>IF(VLOOKUP(Table7[[#This Row],[Date]],Database!$A:$C,MATCH($B$1,Database!$A$1:$C$1,),)=0,#N/A,VLOOKUP(Table7[[#This Row],[Date]],Database!$A:$C,MATCH($B$1,Database!$A$1:$C$1,),))</f>
        <v/>
      </c>
      <c r="C9321">
        <f>IF(VLOOKUP(Table7[[#This Row],[Date]],Database!$A:$C,MATCH($C$1,Database!$A$1:$C$1,),)=0,#N/A,VLOOKUP(Table7[[#This Row],[Date]],Database!$A:$C,MATCH($C$1,Database!$A$1:$C$1,),))</f>
        <v/>
      </c>
      <c r="D9321">
        <f>IFERROR(Table7[[#This Row],[United States 10y]]-Table7[[#This Row],[United States 3y]],#N/A)</f>
        <v/>
      </c>
    </row>
    <row r="9322">
      <c r="A9322" s="6">
        <f>Database!$A11407</f>
        <v/>
      </c>
      <c r="B9322">
        <f>IF(VLOOKUP(Table7[[#This Row],[Date]],Database!$A:$C,MATCH($B$1,Database!$A$1:$C$1,),)=0,#N/A,VLOOKUP(Table7[[#This Row],[Date]],Database!$A:$C,MATCH($B$1,Database!$A$1:$C$1,),))</f>
        <v/>
      </c>
      <c r="C9322">
        <f>IF(VLOOKUP(Table7[[#This Row],[Date]],Database!$A:$C,MATCH($C$1,Database!$A$1:$C$1,),)=0,#N/A,VLOOKUP(Table7[[#This Row],[Date]],Database!$A:$C,MATCH($C$1,Database!$A$1:$C$1,),))</f>
        <v/>
      </c>
      <c r="D9322">
        <f>IFERROR(Table7[[#This Row],[United States 10y]]-Table7[[#This Row],[United States 3y]],#N/A)</f>
        <v/>
      </c>
    </row>
    <row r="9323">
      <c r="A9323" s="6">
        <f>Database!$A11408</f>
        <v/>
      </c>
      <c r="B9323">
        <f>IF(VLOOKUP(Table7[[#This Row],[Date]],Database!$A:$C,MATCH($B$1,Database!$A$1:$C$1,),)=0,#N/A,VLOOKUP(Table7[[#This Row],[Date]],Database!$A:$C,MATCH($B$1,Database!$A$1:$C$1,),))</f>
        <v/>
      </c>
      <c r="C9323">
        <f>IF(VLOOKUP(Table7[[#This Row],[Date]],Database!$A:$C,MATCH($C$1,Database!$A$1:$C$1,),)=0,#N/A,VLOOKUP(Table7[[#This Row],[Date]],Database!$A:$C,MATCH($C$1,Database!$A$1:$C$1,),))</f>
        <v/>
      </c>
      <c r="D9323">
        <f>IFERROR(Table7[[#This Row],[United States 10y]]-Table7[[#This Row],[United States 3y]],#N/A)</f>
        <v/>
      </c>
    </row>
    <row r="9324">
      <c r="A9324" s="6">
        <f>Database!$A11409</f>
        <v/>
      </c>
      <c r="B9324">
        <f>IF(VLOOKUP(Table7[[#This Row],[Date]],Database!$A:$C,MATCH($B$1,Database!$A$1:$C$1,),)=0,#N/A,VLOOKUP(Table7[[#This Row],[Date]],Database!$A:$C,MATCH($B$1,Database!$A$1:$C$1,),))</f>
        <v/>
      </c>
      <c r="C9324">
        <f>IF(VLOOKUP(Table7[[#This Row],[Date]],Database!$A:$C,MATCH($C$1,Database!$A$1:$C$1,),)=0,#N/A,VLOOKUP(Table7[[#This Row],[Date]],Database!$A:$C,MATCH($C$1,Database!$A$1:$C$1,),))</f>
        <v/>
      </c>
      <c r="D9324">
        <f>IFERROR(Table7[[#This Row],[United States 10y]]-Table7[[#This Row],[United States 3y]],#N/A)</f>
        <v/>
      </c>
    </row>
    <row r="9325">
      <c r="A9325" s="6">
        <f>Database!$A11410</f>
        <v/>
      </c>
      <c r="B9325">
        <f>IF(VLOOKUP(Table7[[#This Row],[Date]],Database!$A:$C,MATCH($B$1,Database!$A$1:$C$1,),)=0,#N/A,VLOOKUP(Table7[[#This Row],[Date]],Database!$A:$C,MATCH($B$1,Database!$A$1:$C$1,),))</f>
        <v/>
      </c>
      <c r="C9325">
        <f>IF(VLOOKUP(Table7[[#This Row],[Date]],Database!$A:$C,MATCH($C$1,Database!$A$1:$C$1,),)=0,#N/A,VLOOKUP(Table7[[#This Row],[Date]],Database!$A:$C,MATCH($C$1,Database!$A$1:$C$1,),))</f>
        <v/>
      </c>
      <c r="D9325">
        <f>IFERROR(Table7[[#This Row],[United States 10y]]-Table7[[#This Row],[United States 3y]],#N/A)</f>
        <v/>
      </c>
    </row>
    <row r="9326">
      <c r="A9326" s="6">
        <f>Database!$A11411</f>
        <v/>
      </c>
      <c r="B9326">
        <f>IF(VLOOKUP(Table7[[#This Row],[Date]],Database!$A:$C,MATCH($B$1,Database!$A$1:$C$1,),)=0,#N/A,VLOOKUP(Table7[[#This Row],[Date]],Database!$A:$C,MATCH($B$1,Database!$A$1:$C$1,),))</f>
        <v/>
      </c>
      <c r="C9326">
        <f>IF(VLOOKUP(Table7[[#This Row],[Date]],Database!$A:$C,MATCH($C$1,Database!$A$1:$C$1,),)=0,#N/A,VLOOKUP(Table7[[#This Row],[Date]],Database!$A:$C,MATCH($C$1,Database!$A$1:$C$1,),))</f>
        <v/>
      </c>
      <c r="D9326">
        <f>IFERROR(Table7[[#This Row],[United States 10y]]-Table7[[#This Row],[United States 3y]],#N/A)</f>
        <v/>
      </c>
    </row>
    <row r="9327">
      <c r="A9327" s="6">
        <f>Database!$A11412</f>
        <v/>
      </c>
      <c r="B9327">
        <f>IF(VLOOKUP(Table7[[#This Row],[Date]],Database!$A:$C,MATCH($B$1,Database!$A$1:$C$1,),)=0,#N/A,VLOOKUP(Table7[[#This Row],[Date]],Database!$A:$C,MATCH($B$1,Database!$A$1:$C$1,),))</f>
        <v/>
      </c>
      <c r="C9327">
        <f>IF(VLOOKUP(Table7[[#This Row],[Date]],Database!$A:$C,MATCH($C$1,Database!$A$1:$C$1,),)=0,#N/A,VLOOKUP(Table7[[#This Row],[Date]],Database!$A:$C,MATCH($C$1,Database!$A$1:$C$1,),))</f>
        <v/>
      </c>
      <c r="D9327">
        <f>IFERROR(Table7[[#This Row],[United States 10y]]-Table7[[#This Row],[United States 3y]],#N/A)</f>
        <v/>
      </c>
    </row>
    <row r="9328">
      <c r="A9328" s="6">
        <f>Database!$A11413</f>
        <v/>
      </c>
      <c r="B9328">
        <f>IF(VLOOKUP(Table7[[#This Row],[Date]],Database!$A:$C,MATCH($B$1,Database!$A$1:$C$1,),)=0,#N/A,VLOOKUP(Table7[[#This Row],[Date]],Database!$A:$C,MATCH($B$1,Database!$A$1:$C$1,),))</f>
        <v/>
      </c>
      <c r="C9328">
        <f>IF(VLOOKUP(Table7[[#This Row],[Date]],Database!$A:$C,MATCH($C$1,Database!$A$1:$C$1,),)=0,#N/A,VLOOKUP(Table7[[#This Row],[Date]],Database!$A:$C,MATCH($C$1,Database!$A$1:$C$1,),))</f>
        <v/>
      </c>
      <c r="D9328">
        <f>IFERROR(Table7[[#This Row],[United States 10y]]-Table7[[#This Row],[United States 3y]],#N/A)</f>
        <v/>
      </c>
    </row>
    <row r="9329">
      <c r="A9329" s="6">
        <f>Database!$A11414</f>
        <v/>
      </c>
      <c r="B9329">
        <f>IF(VLOOKUP(Table7[[#This Row],[Date]],Database!$A:$C,MATCH($B$1,Database!$A$1:$C$1,),)=0,#N/A,VLOOKUP(Table7[[#This Row],[Date]],Database!$A:$C,MATCH($B$1,Database!$A$1:$C$1,),))</f>
        <v/>
      </c>
      <c r="C9329">
        <f>IF(VLOOKUP(Table7[[#This Row],[Date]],Database!$A:$C,MATCH($C$1,Database!$A$1:$C$1,),)=0,#N/A,VLOOKUP(Table7[[#This Row],[Date]],Database!$A:$C,MATCH($C$1,Database!$A$1:$C$1,),))</f>
        <v/>
      </c>
      <c r="D9329">
        <f>IFERROR(Table7[[#This Row],[United States 10y]]-Table7[[#This Row],[United States 3y]],#N/A)</f>
        <v/>
      </c>
    </row>
    <row r="9330">
      <c r="A9330" s="6">
        <f>Database!$A11415</f>
        <v/>
      </c>
      <c r="B9330">
        <f>IF(VLOOKUP(Table7[[#This Row],[Date]],Database!$A:$C,MATCH($B$1,Database!$A$1:$C$1,),)=0,#N/A,VLOOKUP(Table7[[#This Row],[Date]],Database!$A:$C,MATCH($B$1,Database!$A$1:$C$1,),))</f>
        <v/>
      </c>
      <c r="C9330">
        <f>IF(VLOOKUP(Table7[[#This Row],[Date]],Database!$A:$C,MATCH($C$1,Database!$A$1:$C$1,),)=0,#N/A,VLOOKUP(Table7[[#This Row],[Date]],Database!$A:$C,MATCH($C$1,Database!$A$1:$C$1,),))</f>
        <v/>
      </c>
      <c r="D9330">
        <f>IFERROR(Table7[[#This Row],[United States 10y]]-Table7[[#This Row],[United States 3y]],#N/A)</f>
        <v/>
      </c>
    </row>
    <row r="9331">
      <c r="A9331" s="6">
        <f>Database!$A11416</f>
        <v/>
      </c>
      <c r="B9331">
        <f>IF(VLOOKUP(Table7[[#This Row],[Date]],Database!$A:$C,MATCH($B$1,Database!$A$1:$C$1,),)=0,#N/A,VLOOKUP(Table7[[#This Row],[Date]],Database!$A:$C,MATCH($B$1,Database!$A$1:$C$1,),))</f>
        <v/>
      </c>
      <c r="C9331">
        <f>IF(VLOOKUP(Table7[[#This Row],[Date]],Database!$A:$C,MATCH($C$1,Database!$A$1:$C$1,),)=0,#N/A,VLOOKUP(Table7[[#This Row],[Date]],Database!$A:$C,MATCH($C$1,Database!$A$1:$C$1,),))</f>
        <v/>
      </c>
      <c r="D9331">
        <f>IFERROR(Table7[[#This Row],[United States 10y]]-Table7[[#This Row],[United States 3y]],#N/A)</f>
        <v/>
      </c>
    </row>
    <row r="9332">
      <c r="A9332" s="6">
        <f>Database!$A11417</f>
        <v/>
      </c>
      <c r="B9332">
        <f>IF(VLOOKUP(Table7[[#This Row],[Date]],Database!$A:$C,MATCH($B$1,Database!$A$1:$C$1,),)=0,#N/A,VLOOKUP(Table7[[#This Row],[Date]],Database!$A:$C,MATCH($B$1,Database!$A$1:$C$1,),))</f>
        <v/>
      </c>
      <c r="C9332">
        <f>IF(VLOOKUP(Table7[[#This Row],[Date]],Database!$A:$C,MATCH($C$1,Database!$A$1:$C$1,),)=0,#N/A,VLOOKUP(Table7[[#This Row],[Date]],Database!$A:$C,MATCH($C$1,Database!$A$1:$C$1,),))</f>
        <v/>
      </c>
      <c r="D9332">
        <f>IFERROR(Table7[[#This Row],[United States 10y]]-Table7[[#This Row],[United States 3y]],#N/A)</f>
        <v/>
      </c>
    </row>
    <row r="9333">
      <c r="A9333" s="6">
        <f>Database!$A11418</f>
        <v/>
      </c>
      <c r="B9333">
        <f>IF(VLOOKUP(Table7[[#This Row],[Date]],Database!$A:$C,MATCH($B$1,Database!$A$1:$C$1,),)=0,#N/A,VLOOKUP(Table7[[#This Row],[Date]],Database!$A:$C,MATCH($B$1,Database!$A$1:$C$1,),))</f>
        <v/>
      </c>
      <c r="C9333">
        <f>IF(VLOOKUP(Table7[[#This Row],[Date]],Database!$A:$C,MATCH($C$1,Database!$A$1:$C$1,),)=0,#N/A,VLOOKUP(Table7[[#This Row],[Date]],Database!$A:$C,MATCH($C$1,Database!$A$1:$C$1,),))</f>
        <v/>
      </c>
      <c r="D9333">
        <f>IFERROR(Table7[[#This Row],[United States 10y]]-Table7[[#This Row],[United States 3y]],#N/A)</f>
        <v/>
      </c>
    </row>
    <row r="9334">
      <c r="A9334" s="6">
        <f>Database!$A11419</f>
        <v/>
      </c>
      <c r="B9334">
        <f>IF(VLOOKUP(Table7[[#This Row],[Date]],Database!$A:$C,MATCH($B$1,Database!$A$1:$C$1,),)=0,#N/A,VLOOKUP(Table7[[#This Row],[Date]],Database!$A:$C,MATCH($B$1,Database!$A$1:$C$1,),))</f>
        <v/>
      </c>
      <c r="C9334">
        <f>IF(VLOOKUP(Table7[[#This Row],[Date]],Database!$A:$C,MATCH($C$1,Database!$A$1:$C$1,),)=0,#N/A,VLOOKUP(Table7[[#This Row],[Date]],Database!$A:$C,MATCH($C$1,Database!$A$1:$C$1,),))</f>
        <v/>
      </c>
      <c r="D9334">
        <f>IFERROR(Table7[[#This Row],[United States 10y]]-Table7[[#This Row],[United States 3y]],#N/A)</f>
        <v/>
      </c>
    </row>
    <row r="9335">
      <c r="A9335" s="6">
        <f>Database!$A11420</f>
        <v/>
      </c>
      <c r="B9335">
        <f>IF(VLOOKUP(Table7[[#This Row],[Date]],Database!$A:$C,MATCH($B$1,Database!$A$1:$C$1,),)=0,#N/A,VLOOKUP(Table7[[#This Row],[Date]],Database!$A:$C,MATCH($B$1,Database!$A$1:$C$1,),))</f>
        <v/>
      </c>
      <c r="C9335">
        <f>IF(VLOOKUP(Table7[[#This Row],[Date]],Database!$A:$C,MATCH($C$1,Database!$A$1:$C$1,),)=0,#N/A,VLOOKUP(Table7[[#This Row],[Date]],Database!$A:$C,MATCH($C$1,Database!$A$1:$C$1,),))</f>
        <v/>
      </c>
      <c r="D9335">
        <f>IFERROR(Table7[[#This Row],[United States 10y]]-Table7[[#This Row],[United States 3y]],#N/A)</f>
        <v/>
      </c>
    </row>
    <row r="9336">
      <c r="A9336" s="6">
        <f>Database!$A11421</f>
        <v/>
      </c>
      <c r="B9336">
        <f>IF(VLOOKUP(Table7[[#This Row],[Date]],Database!$A:$C,MATCH($B$1,Database!$A$1:$C$1,),)=0,#N/A,VLOOKUP(Table7[[#This Row],[Date]],Database!$A:$C,MATCH($B$1,Database!$A$1:$C$1,),))</f>
        <v/>
      </c>
      <c r="C9336">
        <f>IF(VLOOKUP(Table7[[#This Row],[Date]],Database!$A:$C,MATCH($C$1,Database!$A$1:$C$1,),)=0,#N/A,VLOOKUP(Table7[[#This Row],[Date]],Database!$A:$C,MATCH($C$1,Database!$A$1:$C$1,),))</f>
        <v/>
      </c>
      <c r="D9336">
        <f>IFERROR(Table7[[#This Row],[United States 10y]]-Table7[[#This Row],[United States 3y]],#N/A)</f>
        <v/>
      </c>
    </row>
    <row r="9337">
      <c r="A9337" s="6">
        <f>Database!$A11422</f>
        <v/>
      </c>
      <c r="B9337">
        <f>IF(VLOOKUP(Table7[[#This Row],[Date]],Database!$A:$C,MATCH($B$1,Database!$A$1:$C$1,),)=0,#N/A,VLOOKUP(Table7[[#This Row],[Date]],Database!$A:$C,MATCH($B$1,Database!$A$1:$C$1,),))</f>
        <v/>
      </c>
      <c r="C9337">
        <f>IF(VLOOKUP(Table7[[#This Row],[Date]],Database!$A:$C,MATCH($C$1,Database!$A$1:$C$1,),)=0,#N/A,VLOOKUP(Table7[[#This Row],[Date]],Database!$A:$C,MATCH($C$1,Database!$A$1:$C$1,),))</f>
        <v/>
      </c>
      <c r="D9337">
        <f>IFERROR(Table7[[#This Row],[United States 10y]]-Table7[[#This Row],[United States 3y]],#N/A)</f>
        <v/>
      </c>
    </row>
    <row r="9338">
      <c r="A9338" s="6">
        <f>Database!$A11423</f>
        <v/>
      </c>
      <c r="B9338">
        <f>IF(VLOOKUP(Table7[[#This Row],[Date]],Database!$A:$C,MATCH($B$1,Database!$A$1:$C$1,),)=0,#N/A,VLOOKUP(Table7[[#This Row],[Date]],Database!$A:$C,MATCH($B$1,Database!$A$1:$C$1,),))</f>
        <v/>
      </c>
      <c r="C9338">
        <f>IF(VLOOKUP(Table7[[#This Row],[Date]],Database!$A:$C,MATCH($C$1,Database!$A$1:$C$1,),)=0,#N/A,VLOOKUP(Table7[[#This Row],[Date]],Database!$A:$C,MATCH($C$1,Database!$A$1:$C$1,),))</f>
        <v/>
      </c>
      <c r="D9338">
        <f>IFERROR(Table7[[#This Row],[United States 10y]]-Table7[[#This Row],[United States 3y]],#N/A)</f>
        <v/>
      </c>
    </row>
    <row r="9339">
      <c r="A9339" s="6">
        <f>Database!$A11424</f>
        <v/>
      </c>
      <c r="B9339">
        <f>IF(VLOOKUP(Table7[[#This Row],[Date]],Database!$A:$C,MATCH($B$1,Database!$A$1:$C$1,),)=0,#N/A,VLOOKUP(Table7[[#This Row],[Date]],Database!$A:$C,MATCH($B$1,Database!$A$1:$C$1,),))</f>
        <v/>
      </c>
      <c r="C9339">
        <f>IF(VLOOKUP(Table7[[#This Row],[Date]],Database!$A:$C,MATCH($C$1,Database!$A$1:$C$1,),)=0,#N/A,VLOOKUP(Table7[[#This Row],[Date]],Database!$A:$C,MATCH($C$1,Database!$A$1:$C$1,),))</f>
        <v/>
      </c>
      <c r="D9339">
        <f>IFERROR(Table7[[#This Row],[United States 10y]]-Table7[[#This Row],[United States 3y]],#N/A)</f>
        <v/>
      </c>
    </row>
    <row r="9340">
      <c r="A9340" s="6">
        <f>Database!$A11425</f>
        <v/>
      </c>
      <c r="B9340">
        <f>IF(VLOOKUP(Table7[[#This Row],[Date]],Database!$A:$C,MATCH($B$1,Database!$A$1:$C$1,),)=0,#N/A,VLOOKUP(Table7[[#This Row],[Date]],Database!$A:$C,MATCH($B$1,Database!$A$1:$C$1,),))</f>
        <v/>
      </c>
      <c r="C9340">
        <f>IF(VLOOKUP(Table7[[#This Row],[Date]],Database!$A:$C,MATCH($C$1,Database!$A$1:$C$1,),)=0,#N/A,VLOOKUP(Table7[[#This Row],[Date]],Database!$A:$C,MATCH($C$1,Database!$A$1:$C$1,),))</f>
        <v/>
      </c>
      <c r="D9340">
        <f>IFERROR(Table7[[#This Row],[United States 10y]]-Table7[[#This Row],[United States 3y]],#N/A)</f>
        <v/>
      </c>
    </row>
    <row r="9341">
      <c r="A9341" s="6">
        <f>Database!$A11426</f>
        <v/>
      </c>
      <c r="B9341">
        <f>IF(VLOOKUP(Table7[[#This Row],[Date]],Database!$A:$C,MATCH($B$1,Database!$A$1:$C$1,),)=0,#N/A,VLOOKUP(Table7[[#This Row],[Date]],Database!$A:$C,MATCH($B$1,Database!$A$1:$C$1,),))</f>
        <v/>
      </c>
      <c r="C9341">
        <f>IF(VLOOKUP(Table7[[#This Row],[Date]],Database!$A:$C,MATCH($C$1,Database!$A$1:$C$1,),)=0,#N/A,VLOOKUP(Table7[[#This Row],[Date]],Database!$A:$C,MATCH($C$1,Database!$A$1:$C$1,),))</f>
        <v/>
      </c>
      <c r="D9341">
        <f>IFERROR(Table7[[#This Row],[United States 10y]]-Table7[[#This Row],[United States 3y]],#N/A)</f>
        <v/>
      </c>
    </row>
    <row r="9342">
      <c r="A9342" s="6">
        <f>Database!$A11427</f>
        <v/>
      </c>
      <c r="B9342">
        <f>IF(VLOOKUP(Table7[[#This Row],[Date]],Database!$A:$C,MATCH($B$1,Database!$A$1:$C$1,),)=0,#N/A,VLOOKUP(Table7[[#This Row],[Date]],Database!$A:$C,MATCH($B$1,Database!$A$1:$C$1,),))</f>
        <v/>
      </c>
      <c r="C9342">
        <f>IF(VLOOKUP(Table7[[#This Row],[Date]],Database!$A:$C,MATCH($C$1,Database!$A$1:$C$1,),)=0,#N/A,VLOOKUP(Table7[[#This Row],[Date]],Database!$A:$C,MATCH($C$1,Database!$A$1:$C$1,),))</f>
        <v/>
      </c>
      <c r="D9342">
        <f>IFERROR(Table7[[#This Row],[United States 10y]]-Table7[[#This Row],[United States 3y]],#N/A)</f>
        <v/>
      </c>
    </row>
    <row r="9343">
      <c r="A9343" s="6">
        <f>Database!$A11428</f>
        <v/>
      </c>
      <c r="B9343">
        <f>IF(VLOOKUP(Table7[[#This Row],[Date]],Database!$A:$C,MATCH($B$1,Database!$A$1:$C$1,),)=0,#N/A,VLOOKUP(Table7[[#This Row],[Date]],Database!$A:$C,MATCH($B$1,Database!$A$1:$C$1,),))</f>
        <v/>
      </c>
      <c r="C9343">
        <f>IF(VLOOKUP(Table7[[#This Row],[Date]],Database!$A:$C,MATCH($C$1,Database!$A$1:$C$1,),)=0,#N/A,VLOOKUP(Table7[[#This Row],[Date]],Database!$A:$C,MATCH($C$1,Database!$A$1:$C$1,),))</f>
        <v/>
      </c>
      <c r="D9343">
        <f>IFERROR(Table7[[#This Row],[United States 10y]]-Table7[[#This Row],[United States 3y]],#N/A)</f>
        <v/>
      </c>
    </row>
    <row r="9344">
      <c r="A9344" s="6">
        <f>Database!$A11429</f>
        <v/>
      </c>
      <c r="B9344">
        <f>IF(VLOOKUP(Table7[[#This Row],[Date]],Database!$A:$C,MATCH($B$1,Database!$A$1:$C$1,),)=0,#N/A,VLOOKUP(Table7[[#This Row],[Date]],Database!$A:$C,MATCH($B$1,Database!$A$1:$C$1,),))</f>
        <v/>
      </c>
      <c r="C9344">
        <f>IF(VLOOKUP(Table7[[#This Row],[Date]],Database!$A:$C,MATCH($C$1,Database!$A$1:$C$1,),)=0,#N/A,VLOOKUP(Table7[[#This Row],[Date]],Database!$A:$C,MATCH($C$1,Database!$A$1:$C$1,),))</f>
        <v/>
      </c>
      <c r="D9344">
        <f>IFERROR(Table7[[#This Row],[United States 10y]]-Table7[[#This Row],[United States 3y]],#N/A)</f>
        <v/>
      </c>
    </row>
    <row r="9345">
      <c r="A9345" s="6">
        <f>Database!$A11430</f>
        <v/>
      </c>
      <c r="B9345">
        <f>IF(VLOOKUP(Table7[[#This Row],[Date]],Database!$A:$C,MATCH($B$1,Database!$A$1:$C$1,),)=0,#N/A,VLOOKUP(Table7[[#This Row],[Date]],Database!$A:$C,MATCH($B$1,Database!$A$1:$C$1,),))</f>
        <v/>
      </c>
      <c r="C9345">
        <f>IF(VLOOKUP(Table7[[#This Row],[Date]],Database!$A:$C,MATCH($C$1,Database!$A$1:$C$1,),)=0,#N/A,VLOOKUP(Table7[[#This Row],[Date]],Database!$A:$C,MATCH($C$1,Database!$A$1:$C$1,),))</f>
        <v/>
      </c>
      <c r="D9345">
        <f>IFERROR(Table7[[#This Row],[United States 10y]]-Table7[[#This Row],[United States 3y]],#N/A)</f>
        <v/>
      </c>
    </row>
    <row r="9346">
      <c r="A9346" s="6">
        <f>Database!$A11431</f>
        <v/>
      </c>
      <c r="B9346">
        <f>IF(VLOOKUP(Table7[[#This Row],[Date]],Database!$A:$C,MATCH($B$1,Database!$A$1:$C$1,),)=0,#N/A,VLOOKUP(Table7[[#This Row],[Date]],Database!$A:$C,MATCH($B$1,Database!$A$1:$C$1,),))</f>
        <v/>
      </c>
      <c r="C9346">
        <f>IF(VLOOKUP(Table7[[#This Row],[Date]],Database!$A:$C,MATCH($C$1,Database!$A$1:$C$1,),)=0,#N/A,VLOOKUP(Table7[[#This Row],[Date]],Database!$A:$C,MATCH($C$1,Database!$A$1:$C$1,),))</f>
        <v/>
      </c>
      <c r="D9346">
        <f>IFERROR(Table7[[#This Row],[United States 10y]]-Table7[[#This Row],[United States 3y]],#N/A)</f>
        <v/>
      </c>
    </row>
    <row r="9347">
      <c r="A9347" s="6">
        <f>Database!$A11432</f>
        <v/>
      </c>
      <c r="B9347">
        <f>IF(VLOOKUP(Table7[[#This Row],[Date]],Database!$A:$C,MATCH($B$1,Database!$A$1:$C$1,),)=0,#N/A,VLOOKUP(Table7[[#This Row],[Date]],Database!$A:$C,MATCH($B$1,Database!$A$1:$C$1,),))</f>
        <v/>
      </c>
      <c r="C9347">
        <f>IF(VLOOKUP(Table7[[#This Row],[Date]],Database!$A:$C,MATCH($C$1,Database!$A$1:$C$1,),)=0,#N/A,VLOOKUP(Table7[[#This Row],[Date]],Database!$A:$C,MATCH($C$1,Database!$A$1:$C$1,),))</f>
        <v/>
      </c>
      <c r="D9347">
        <f>IFERROR(Table7[[#This Row],[United States 10y]]-Table7[[#This Row],[United States 3y]],#N/A)</f>
        <v/>
      </c>
    </row>
    <row r="9348">
      <c r="A9348" s="6">
        <f>Database!$A11433</f>
        <v/>
      </c>
      <c r="B9348">
        <f>IF(VLOOKUP(Table7[[#This Row],[Date]],Database!$A:$C,MATCH($B$1,Database!$A$1:$C$1,),)=0,#N/A,VLOOKUP(Table7[[#This Row],[Date]],Database!$A:$C,MATCH($B$1,Database!$A$1:$C$1,),))</f>
        <v/>
      </c>
      <c r="C9348">
        <f>IF(VLOOKUP(Table7[[#This Row],[Date]],Database!$A:$C,MATCH($C$1,Database!$A$1:$C$1,),)=0,#N/A,VLOOKUP(Table7[[#This Row],[Date]],Database!$A:$C,MATCH($C$1,Database!$A$1:$C$1,),))</f>
        <v/>
      </c>
      <c r="D9348">
        <f>IFERROR(Table7[[#This Row],[United States 10y]]-Table7[[#This Row],[United States 3y]],#N/A)</f>
        <v/>
      </c>
    </row>
    <row r="9349">
      <c r="A9349" s="6">
        <f>Database!$A11434</f>
        <v/>
      </c>
      <c r="B9349">
        <f>IF(VLOOKUP(Table7[[#This Row],[Date]],Database!$A:$C,MATCH($B$1,Database!$A$1:$C$1,),)=0,#N/A,VLOOKUP(Table7[[#This Row],[Date]],Database!$A:$C,MATCH($B$1,Database!$A$1:$C$1,),))</f>
        <v/>
      </c>
      <c r="C9349">
        <f>IF(VLOOKUP(Table7[[#This Row],[Date]],Database!$A:$C,MATCH($C$1,Database!$A$1:$C$1,),)=0,#N/A,VLOOKUP(Table7[[#This Row],[Date]],Database!$A:$C,MATCH($C$1,Database!$A$1:$C$1,),))</f>
        <v/>
      </c>
      <c r="D9349">
        <f>IFERROR(Table7[[#This Row],[United States 10y]]-Table7[[#This Row],[United States 3y]],#N/A)</f>
        <v/>
      </c>
    </row>
    <row r="9350">
      <c r="A9350" s="6">
        <f>Database!$A11435</f>
        <v/>
      </c>
      <c r="B9350">
        <f>IF(VLOOKUP(Table7[[#This Row],[Date]],Database!$A:$C,MATCH($B$1,Database!$A$1:$C$1,),)=0,#N/A,VLOOKUP(Table7[[#This Row],[Date]],Database!$A:$C,MATCH($B$1,Database!$A$1:$C$1,),))</f>
        <v/>
      </c>
      <c r="C9350">
        <f>IF(VLOOKUP(Table7[[#This Row],[Date]],Database!$A:$C,MATCH($C$1,Database!$A$1:$C$1,),)=0,#N/A,VLOOKUP(Table7[[#This Row],[Date]],Database!$A:$C,MATCH($C$1,Database!$A$1:$C$1,),))</f>
        <v/>
      </c>
      <c r="D9350">
        <f>IFERROR(Table7[[#This Row],[United States 10y]]-Table7[[#This Row],[United States 3y]],#N/A)</f>
        <v/>
      </c>
    </row>
    <row r="9351">
      <c r="A9351" s="6">
        <f>Database!$A11436</f>
        <v/>
      </c>
      <c r="B9351">
        <f>IF(VLOOKUP(Table7[[#This Row],[Date]],Database!$A:$C,MATCH($B$1,Database!$A$1:$C$1,),)=0,#N/A,VLOOKUP(Table7[[#This Row],[Date]],Database!$A:$C,MATCH($B$1,Database!$A$1:$C$1,),))</f>
        <v/>
      </c>
      <c r="C9351">
        <f>IF(VLOOKUP(Table7[[#This Row],[Date]],Database!$A:$C,MATCH($C$1,Database!$A$1:$C$1,),)=0,#N/A,VLOOKUP(Table7[[#This Row],[Date]],Database!$A:$C,MATCH($C$1,Database!$A$1:$C$1,),))</f>
        <v/>
      </c>
      <c r="D9351">
        <f>IFERROR(Table7[[#This Row],[United States 10y]]-Table7[[#This Row],[United States 3y]],#N/A)</f>
        <v/>
      </c>
    </row>
    <row r="9352">
      <c r="A9352" s="6">
        <f>Database!$A11437</f>
        <v/>
      </c>
      <c r="B9352">
        <f>IF(VLOOKUP(Table7[[#This Row],[Date]],Database!$A:$C,MATCH($B$1,Database!$A$1:$C$1,),)=0,#N/A,VLOOKUP(Table7[[#This Row],[Date]],Database!$A:$C,MATCH($B$1,Database!$A$1:$C$1,),))</f>
        <v/>
      </c>
      <c r="C9352">
        <f>IF(VLOOKUP(Table7[[#This Row],[Date]],Database!$A:$C,MATCH($C$1,Database!$A$1:$C$1,),)=0,#N/A,VLOOKUP(Table7[[#This Row],[Date]],Database!$A:$C,MATCH($C$1,Database!$A$1:$C$1,),))</f>
        <v/>
      </c>
      <c r="D9352">
        <f>IFERROR(Table7[[#This Row],[United States 10y]]-Table7[[#This Row],[United States 3y]],#N/A)</f>
        <v/>
      </c>
    </row>
    <row r="9353">
      <c r="A9353" s="6">
        <f>Database!$A11438</f>
        <v/>
      </c>
      <c r="B9353">
        <f>IF(VLOOKUP(Table7[[#This Row],[Date]],Database!$A:$C,MATCH($B$1,Database!$A$1:$C$1,),)=0,#N/A,VLOOKUP(Table7[[#This Row],[Date]],Database!$A:$C,MATCH($B$1,Database!$A$1:$C$1,),))</f>
        <v/>
      </c>
      <c r="C9353">
        <f>IF(VLOOKUP(Table7[[#This Row],[Date]],Database!$A:$C,MATCH($C$1,Database!$A$1:$C$1,),)=0,#N/A,VLOOKUP(Table7[[#This Row],[Date]],Database!$A:$C,MATCH($C$1,Database!$A$1:$C$1,),))</f>
        <v/>
      </c>
      <c r="D9353">
        <f>IFERROR(Table7[[#This Row],[United States 10y]]-Table7[[#This Row],[United States 3y]],#N/A)</f>
        <v/>
      </c>
    </row>
    <row r="9354">
      <c r="A9354" s="6">
        <f>Database!$A11439</f>
        <v/>
      </c>
      <c r="B9354">
        <f>IF(VLOOKUP(Table7[[#This Row],[Date]],Database!$A:$C,MATCH($B$1,Database!$A$1:$C$1,),)=0,#N/A,VLOOKUP(Table7[[#This Row],[Date]],Database!$A:$C,MATCH($B$1,Database!$A$1:$C$1,),))</f>
        <v/>
      </c>
      <c r="C9354">
        <f>IF(VLOOKUP(Table7[[#This Row],[Date]],Database!$A:$C,MATCH($C$1,Database!$A$1:$C$1,),)=0,#N/A,VLOOKUP(Table7[[#This Row],[Date]],Database!$A:$C,MATCH($C$1,Database!$A$1:$C$1,),))</f>
        <v/>
      </c>
      <c r="D9354">
        <f>IFERROR(Table7[[#This Row],[United States 10y]]-Table7[[#This Row],[United States 3y]],#N/A)</f>
        <v/>
      </c>
    </row>
    <row r="9355">
      <c r="A9355" s="6">
        <f>Database!$A11440</f>
        <v/>
      </c>
      <c r="B9355">
        <f>IF(VLOOKUP(Table7[[#This Row],[Date]],Database!$A:$C,MATCH($B$1,Database!$A$1:$C$1,),)=0,#N/A,VLOOKUP(Table7[[#This Row],[Date]],Database!$A:$C,MATCH($B$1,Database!$A$1:$C$1,),))</f>
        <v/>
      </c>
      <c r="C9355">
        <f>IF(VLOOKUP(Table7[[#This Row],[Date]],Database!$A:$C,MATCH($C$1,Database!$A$1:$C$1,),)=0,#N/A,VLOOKUP(Table7[[#This Row],[Date]],Database!$A:$C,MATCH($C$1,Database!$A$1:$C$1,),))</f>
        <v/>
      </c>
      <c r="D9355">
        <f>IFERROR(Table7[[#This Row],[United States 10y]]-Table7[[#This Row],[United States 3y]],#N/A)</f>
        <v/>
      </c>
    </row>
    <row r="9356">
      <c r="A9356" s="6">
        <f>Database!$A11441</f>
        <v/>
      </c>
      <c r="B9356">
        <f>IF(VLOOKUP(Table7[[#This Row],[Date]],Database!$A:$C,MATCH($B$1,Database!$A$1:$C$1,),)=0,#N/A,VLOOKUP(Table7[[#This Row],[Date]],Database!$A:$C,MATCH($B$1,Database!$A$1:$C$1,),))</f>
        <v/>
      </c>
      <c r="C9356">
        <f>IF(VLOOKUP(Table7[[#This Row],[Date]],Database!$A:$C,MATCH($C$1,Database!$A$1:$C$1,),)=0,#N/A,VLOOKUP(Table7[[#This Row],[Date]],Database!$A:$C,MATCH($C$1,Database!$A$1:$C$1,),))</f>
        <v/>
      </c>
      <c r="D9356">
        <f>IFERROR(Table7[[#This Row],[United States 10y]]-Table7[[#This Row],[United States 3y]],#N/A)</f>
        <v/>
      </c>
    </row>
    <row r="9357">
      <c r="A9357" s="6">
        <f>Database!$A11442</f>
        <v/>
      </c>
      <c r="B9357">
        <f>IF(VLOOKUP(Table7[[#This Row],[Date]],Database!$A:$C,MATCH($B$1,Database!$A$1:$C$1,),)=0,#N/A,VLOOKUP(Table7[[#This Row],[Date]],Database!$A:$C,MATCH($B$1,Database!$A$1:$C$1,),))</f>
        <v/>
      </c>
      <c r="C9357">
        <f>IF(VLOOKUP(Table7[[#This Row],[Date]],Database!$A:$C,MATCH($C$1,Database!$A$1:$C$1,),)=0,#N/A,VLOOKUP(Table7[[#This Row],[Date]],Database!$A:$C,MATCH($C$1,Database!$A$1:$C$1,),))</f>
        <v/>
      </c>
      <c r="D9357">
        <f>IFERROR(Table7[[#This Row],[United States 10y]]-Table7[[#This Row],[United States 3y]],#N/A)</f>
        <v/>
      </c>
    </row>
    <row r="9358">
      <c r="A9358" s="6">
        <f>Database!$A11443</f>
        <v/>
      </c>
      <c r="B9358">
        <f>IF(VLOOKUP(Table7[[#This Row],[Date]],Database!$A:$C,MATCH($B$1,Database!$A$1:$C$1,),)=0,#N/A,VLOOKUP(Table7[[#This Row],[Date]],Database!$A:$C,MATCH($B$1,Database!$A$1:$C$1,),))</f>
        <v/>
      </c>
      <c r="C9358">
        <f>IF(VLOOKUP(Table7[[#This Row],[Date]],Database!$A:$C,MATCH($C$1,Database!$A$1:$C$1,),)=0,#N/A,VLOOKUP(Table7[[#This Row],[Date]],Database!$A:$C,MATCH($C$1,Database!$A$1:$C$1,),))</f>
        <v/>
      </c>
      <c r="D9358">
        <f>IFERROR(Table7[[#This Row],[United States 10y]]-Table7[[#This Row],[United States 3y]],#N/A)</f>
        <v/>
      </c>
    </row>
    <row r="9359">
      <c r="A9359" s="6">
        <f>Database!$A11444</f>
        <v/>
      </c>
      <c r="B9359">
        <f>IF(VLOOKUP(Table7[[#This Row],[Date]],Database!$A:$C,MATCH($B$1,Database!$A$1:$C$1,),)=0,#N/A,VLOOKUP(Table7[[#This Row],[Date]],Database!$A:$C,MATCH($B$1,Database!$A$1:$C$1,),))</f>
        <v/>
      </c>
      <c r="C9359">
        <f>IF(VLOOKUP(Table7[[#This Row],[Date]],Database!$A:$C,MATCH($C$1,Database!$A$1:$C$1,),)=0,#N/A,VLOOKUP(Table7[[#This Row],[Date]],Database!$A:$C,MATCH($C$1,Database!$A$1:$C$1,),))</f>
        <v/>
      </c>
      <c r="D9359">
        <f>IFERROR(Table7[[#This Row],[United States 10y]]-Table7[[#This Row],[United States 3y]],#N/A)</f>
        <v/>
      </c>
    </row>
    <row r="9360">
      <c r="A9360" s="6">
        <f>Database!$A11445</f>
        <v/>
      </c>
      <c r="B9360">
        <f>IF(VLOOKUP(Table7[[#This Row],[Date]],Database!$A:$C,MATCH($B$1,Database!$A$1:$C$1,),)=0,#N/A,VLOOKUP(Table7[[#This Row],[Date]],Database!$A:$C,MATCH($B$1,Database!$A$1:$C$1,),))</f>
        <v/>
      </c>
      <c r="C9360">
        <f>IF(VLOOKUP(Table7[[#This Row],[Date]],Database!$A:$C,MATCH($C$1,Database!$A$1:$C$1,),)=0,#N/A,VLOOKUP(Table7[[#This Row],[Date]],Database!$A:$C,MATCH($C$1,Database!$A$1:$C$1,),))</f>
        <v/>
      </c>
      <c r="D9360">
        <f>IFERROR(Table7[[#This Row],[United States 10y]]-Table7[[#This Row],[United States 3y]],#N/A)</f>
        <v/>
      </c>
    </row>
    <row r="9361">
      <c r="A9361" s="6">
        <f>Database!$A11446</f>
        <v/>
      </c>
      <c r="B9361">
        <f>IF(VLOOKUP(Table7[[#This Row],[Date]],Database!$A:$C,MATCH($B$1,Database!$A$1:$C$1,),)=0,#N/A,VLOOKUP(Table7[[#This Row],[Date]],Database!$A:$C,MATCH($B$1,Database!$A$1:$C$1,),))</f>
        <v/>
      </c>
      <c r="C9361">
        <f>IF(VLOOKUP(Table7[[#This Row],[Date]],Database!$A:$C,MATCH($C$1,Database!$A$1:$C$1,),)=0,#N/A,VLOOKUP(Table7[[#This Row],[Date]],Database!$A:$C,MATCH($C$1,Database!$A$1:$C$1,),))</f>
        <v/>
      </c>
      <c r="D9361">
        <f>IFERROR(Table7[[#This Row],[United States 10y]]-Table7[[#This Row],[United States 3y]],#N/A)</f>
        <v/>
      </c>
    </row>
    <row r="9362">
      <c r="A9362" s="6">
        <f>Database!$A11447</f>
        <v/>
      </c>
      <c r="B9362">
        <f>IF(VLOOKUP(Table7[[#This Row],[Date]],Database!$A:$C,MATCH($B$1,Database!$A$1:$C$1,),)=0,#N/A,VLOOKUP(Table7[[#This Row],[Date]],Database!$A:$C,MATCH($B$1,Database!$A$1:$C$1,),))</f>
        <v/>
      </c>
      <c r="C9362">
        <f>IF(VLOOKUP(Table7[[#This Row],[Date]],Database!$A:$C,MATCH($C$1,Database!$A$1:$C$1,),)=0,#N/A,VLOOKUP(Table7[[#This Row],[Date]],Database!$A:$C,MATCH($C$1,Database!$A$1:$C$1,),))</f>
        <v/>
      </c>
      <c r="D9362">
        <f>IFERROR(Table7[[#This Row],[United States 10y]]-Table7[[#This Row],[United States 3y]],#N/A)</f>
        <v/>
      </c>
    </row>
    <row r="9363">
      <c r="A9363" s="6">
        <f>Database!$A11448</f>
        <v/>
      </c>
      <c r="B9363">
        <f>IF(VLOOKUP(Table7[[#This Row],[Date]],Database!$A:$C,MATCH($B$1,Database!$A$1:$C$1,),)=0,#N/A,VLOOKUP(Table7[[#This Row],[Date]],Database!$A:$C,MATCH($B$1,Database!$A$1:$C$1,),))</f>
        <v/>
      </c>
      <c r="C9363">
        <f>IF(VLOOKUP(Table7[[#This Row],[Date]],Database!$A:$C,MATCH($C$1,Database!$A$1:$C$1,),)=0,#N/A,VLOOKUP(Table7[[#This Row],[Date]],Database!$A:$C,MATCH($C$1,Database!$A$1:$C$1,),))</f>
        <v/>
      </c>
      <c r="D9363">
        <f>IFERROR(Table7[[#This Row],[United States 10y]]-Table7[[#This Row],[United States 3y]],#N/A)</f>
        <v/>
      </c>
    </row>
    <row r="9364">
      <c r="A9364" s="6">
        <f>Database!$A11449</f>
        <v/>
      </c>
      <c r="B9364">
        <f>IF(VLOOKUP(Table7[[#This Row],[Date]],Database!$A:$C,MATCH($B$1,Database!$A$1:$C$1,),)=0,#N/A,VLOOKUP(Table7[[#This Row],[Date]],Database!$A:$C,MATCH($B$1,Database!$A$1:$C$1,),))</f>
        <v/>
      </c>
      <c r="C9364">
        <f>IF(VLOOKUP(Table7[[#This Row],[Date]],Database!$A:$C,MATCH($C$1,Database!$A$1:$C$1,),)=0,#N/A,VLOOKUP(Table7[[#This Row],[Date]],Database!$A:$C,MATCH($C$1,Database!$A$1:$C$1,),))</f>
        <v/>
      </c>
      <c r="D9364">
        <f>IFERROR(Table7[[#This Row],[United States 10y]]-Table7[[#This Row],[United States 3y]],#N/A)</f>
        <v/>
      </c>
    </row>
    <row r="9365">
      <c r="A9365" s="6">
        <f>Database!$A11450</f>
        <v/>
      </c>
      <c r="B9365">
        <f>IF(VLOOKUP(Table7[[#This Row],[Date]],Database!$A:$C,MATCH($B$1,Database!$A$1:$C$1,),)=0,#N/A,VLOOKUP(Table7[[#This Row],[Date]],Database!$A:$C,MATCH($B$1,Database!$A$1:$C$1,),))</f>
        <v/>
      </c>
      <c r="C9365">
        <f>IF(VLOOKUP(Table7[[#This Row],[Date]],Database!$A:$C,MATCH($C$1,Database!$A$1:$C$1,),)=0,#N/A,VLOOKUP(Table7[[#This Row],[Date]],Database!$A:$C,MATCH($C$1,Database!$A$1:$C$1,),))</f>
        <v/>
      </c>
      <c r="D9365">
        <f>IFERROR(Table7[[#This Row],[United States 10y]]-Table7[[#This Row],[United States 3y]],#N/A)</f>
        <v/>
      </c>
    </row>
    <row r="9366">
      <c r="A9366" s="6">
        <f>Database!$A11451</f>
        <v/>
      </c>
      <c r="B9366">
        <f>IF(VLOOKUP(Table7[[#This Row],[Date]],Database!$A:$C,MATCH($B$1,Database!$A$1:$C$1,),)=0,#N/A,VLOOKUP(Table7[[#This Row],[Date]],Database!$A:$C,MATCH($B$1,Database!$A$1:$C$1,),))</f>
        <v/>
      </c>
      <c r="C9366">
        <f>IF(VLOOKUP(Table7[[#This Row],[Date]],Database!$A:$C,MATCH($C$1,Database!$A$1:$C$1,),)=0,#N/A,VLOOKUP(Table7[[#This Row],[Date]],Database!$A:$C,MATCH($C$1,Database!$A$1:$C$1,),))</f>
        <v/>
      </c>
      <c r="D9366">
        <f>IFERROR(Table7[[#This Row],[United States 10y]]-Table7[[#This Row],[United States 3y]],#N/A)</f>
        <v/>
      </c>
    </row>
    <row r="9367">
      <c r="A9367" s="6">
        <f>Database!$A11452</f>
        <v/>
      </c>
      <c r="B9367">
        <f>IF(VLOOKUP(Table7[[#This Row],[Date]],Database!$A:$C,MATCH($B$1,Database!$A$1:$C$1,),)=0,#N/A,VLOOKUP(Table7[[#This Row],[Date]],Database!$A:$C,MATCH($B$1,Database!$A$1:$C$1,),))</f>
        <v/>
      </c>
      <c r="C9367">
        <f>IF(VLOOKUP(Table7[[#This Row],[Date]],Database!$A:$C,MATCH($C$1,Database!$A$1:$C$1,),)=0,#N/A,VLOOKUP(Table7[[#This Row],[Date]],Database!$A:$C,MATCH($C$1,Database!$A$1:$C$1,),))</f>
        <v/>
      </c>
      <c r="D9367">
        <f>IFERROR(Table7[[#This Row],[United States 10y]]-Table7[[#This Row],[United States 3y]],#N/A)</f>
        <v/>
      </c>
    </row>
    <row r="9368">
      <c r="A9368" s="6">
        <f>Database!$A11453</f>
        <v/>
      </c>
      <c r="B9368">
        <f>IF(VLOOKUP(Table7[[#This Row],[Date]],Database!$A:$C,MATCH($B$1,Database!$A$1:$C$1,),)=0,#N/A,VLOOKUP(Table7[[#This Row],[Date]],Database!$A:$C,MATCH($B$1,Database!$A$1:$C$1,),))</f>
        <v/>
      </c>
      <c r="C9368">
        <f>IF(VLOOKUP(Table7[[#This Row],[Date]],Database!$A:$C,MATCH($C$1,Database!$A$1:$C$1,),)=0,#N/A,VLOOKUP(Table7[[#This Row],[Date]],Database!$A:$C,MATCH($C$1,Database!$A$1:$C$1,),))</f>
        <v/>
      </c>
      <c r="D9368">
        <f>IFERROR(Table7[[#This Row],[United States 10y]]-Table7[[#This Row],[United States 3y]],#N/A)</f>
        <v/>
      </c>
    </row>
    <row r="9369">
      <c r="A9369" s="6">
        <f>Database!$A11454</f>
        <v/>
      </c>
      <c r="B9369">
        <f>IF(VLOOKUP(Table7[[#This Row],[Date]],Database!$A:$C,MATCH($B$1,Database!$A$1:$C$1,),)=0,#N/A,VLOOKUP(Table7[[#This Row],[Date]],Database!$A:$C,MATCH($B$1,Database!$A$1:$C$1,),))</f>
        <v/>
      </c>
      <c r="C9369">
        <f>IF(VLOOKUP(Table7[[#This Row],[Date]],Database!$A:$C,MATCH($C$1,Database!$A$1:$C$1,),)=0,#N/A,VLOOKUP(Table7[[#This Row],[Date]],Database!$A:$C,MATCH($C$1,Database!$A$1:$C$1,),))</f>
        <v/>
      </c>
      <c r="D9369">
        <f>IFERROR(Table7[[#This Row],[United States 10y]]-Table7[[#This Row],[United States 3y]],#N/A)</f>
        <v/>
      </c>
    </row>
    <row r="9370">
      <c r="A9370" s="6">
        <f>Database!$A11455</f>
        <v/>
      </c>
      <c r="B9370">
        <f>IF(VLOOKUP(Table7[[#This Row],[Date]],Database!$A:$C,MATCH($B$1,Database!$A$1:$C$1,),)=0,#N/A,VLOOKUP(Table7[[#This Row],[Date]],Database!$A:$C,MATCH($B$1,Database!$A$1:$C$1,),))</f>
        <v/>
      </c>
      <c r="C9370">
        <f>IF(VLOOKUP(Table7[[#This Row],[Date]],Database!$A:$C,MATCH($C$1,Database!$A$1:$C$1,),)=0,#N/A,VLOOKUP(Table7[[#This Row],[Date]],Database!$A:$C,MATCH($C$1,Database!$A$1:$C$1,),))</f>
        <v/>
      </c>
      <c r="D9370">
        <f>IFERROR(Table7[[#This Row],[United States 10y]]-Table7[[#This Row],[United States 3y]],#N/A)</f>
        <v/>
      </c>
    </row>
    <row r="9371">
      <c r="A9371" s="6">
        <f>Database!$A11456</f>
        <v/>
      </c>
      <c r="B9371">
        <f>IF(VLOOKUP(Table7[[#This Row],[Date]],Database!$A:$C,MATCH($B$1,Database!$A$1:$C$1,),)=0,#N/A,VLOOKUP(Table7[[#This Row],[Date]],Database!$A:$C,MATCH($B$1,Database!$A$1:$C$1,),))</f>
        <v/>
      </c>
      <c r="C9371">
        <f>IF(VLOOKUP(Table7[[#This Row],[Date]],Database!$A:$C,MATCH($C$1,Database!$A$1:$C$1,),)=0,#N/A,VLOOKUP(Table7[[#This Row],[Date]],Database!$A:$C,MATCH($C$1,Database!$A$1:$C$1,),))</f>
        <v/>
      </c>
      <c r="D9371">
        <f>IFERROR(Table7[[#This Row],[United States 10y]]-Table7[[#This Row],[United States 3y]],#N/A)</f>
        <v/>
      </c>
    </row>
    <row r="9372">
      <c r="A9372" s="6">
        <f>Database!$A11457</f>
        <v/>
      </c>
      <c r="B9372">
        <f>IF(VLOOKUP(Table7[[#This Row],[Date]],Database!$A:$C,MATCH($B$1,Database!$A$1:$C$1,),)=0,#N/A,VLOOKUP(Table7[[#This Row],[Date]],Database!$A:$C,MATCH($B$1,Database!$A$1:$C$1,),))</f>
        <v/>
      </c>
      <c r="C9372">
        <f>IF(VLOOKUP(Table7[[#This Row],[Date]],Database!$A:$C,MATCH($C$1,Database!$A$1:$C$1,),)=0,#N/A,VLOOKUP(Table7[[#This Row],[Date]],Database!$A:$C,MATCH($C$1,Database!$A$1:$C$1,),))</f>
        <v/>
      </c>
      <c r="D9372">
        <f>IFERROR(Table7[[#This Row],[United States 10y]]-Table7[[#This Row],[United States 3y]],#N/A)</f>
        <v/>
      </c>
    </row>
    <row r="9373">
      <c r="A9373" s="6">
        <f>Database!$A11458</f>
        <v/>
      </c>
      <c r="B9373">
        <f>IF(VLOOKUP(Table7[[#This Row],[Date]],Database!$A:$C,MATCH($B$1,Database!$A$1:$C$1,),)=0,#N/A,VLOOKUP(Table7[[#This Row],[Date]],Database!$A:$C,MATCH($B$1,Database!$A$1:$C$1,),))</f>
        <v/>
      </c>
      <c r="C9373">
        <f>IF(VLOOKUP(Table7[[#This Row],[Date]],Database!$A:$C,MATCH($C$1,Database!$A$1:$C$1,),)=0,#N/A,VLOOKUP(Table7[[#This Row],[Date]],Database!$A:$C,MATCH($C$1,Database!$A$1:$C$1,),))</f>
        <v/>
      </c>
      <c r="D9373">
        <f>IFERROR(Table7[[#This Row],[United States 10y]]-Table7[[#This Row],[United States 3y]],#N/A)</f>
        <v/>
      </c>
    </row>
    <row r="9374">
      <c r="A9374" s="6">
        <f>Database!$A11459</f>
        <v/>
      </c>
      <c r="B9374">
        <f>IF(VLOOKUP(Table7[[#This Row],[Date]],Database!$A:$C,MATCH($B$1,Database!$A$1:$C$1,),)=0,#N/A,VLOOKUP(Table7[[#This Row],[Date]],Database!$A:$C,MATCH($B$1,Database!$A$1:$C$1,),))</f>
        <v/>
      </c>
      <c r="C9374">
        <f>IF(VLOOKUP(Table7[[#This Row],[Date]],Database!$A:$C,MATCH($C$1,Database!$A$1:$C$1,),)=0,#N/A,VLOOKUP(Table7[[#This Row],[Date]],Database!$A:$C,MATCH($C$1,Database!$A$1:$C$1,),))</f>
        <v/>
      </c>
      <c r="D9374">
        <f>IFERROR(Table7[[#This Row],[United States 10y]]-Table7[[#This Row],[United States 3y]],#N/A)</f>
        <v/>
      </c>
    </row>
    <row r="9375">
      <c r="A9375" s="6">
        <f>Database!$A11460</f>
        <v/>
      </c>
      <c r="B9375">
        <f>IF(VLOOKUP(Table7[[#This Row],[Date]],Database!$A:$C,MATCH($B$1,Database!$A$1:$C$1,),)=0,#N/A,VLOOKUP(Table7[[#This Row],[Date]],Database!$A:$C,MATCH($B$1,Database!$A$1:$C$1,),))</f>
        <v/>
      </c>
      <c r="C9375">
        <f>IF(VLOOKUP(Table7[[#This Row],[Date]],Database!$A:$C,MATCH($C$1,Database!$A$1:$C$1,),)=0,#N/A,VLOOKUP(Table7[[#This Row],[Date]],Database!$A:$C,MATCH($C$1,Database!$A$1:$C$1,),))</f>
        <v/>
      </c>
      <c r="D9375">
        <f>IFERROR(Table7[[#This Row],[United States 10y]]-Table7[[#This Row],[United States 3y]],#N/A)</f>
        <v/>
      </c>
    </row>
    <row r="9376">
      <c r="A9376" s="6">
        <f>Database!$A11461</f>
        <v/>
      </c>
      <c r="B9376">
        <f>IF(VLOOKUP(Table7[[#This Row],[Date]],Database!$A:$C,MATCH($B$1,Database!$A$1:$C$1,),)=0,#N/A,VLOOKUP(Table7[[#This Row],[Date]],Database!$A:$C,MATCH($B$1,Database!$A$1:$C$1,),))</f>
        <v/>
      </c>
      <c r="C9376">
        <f>IF(VLOOKUP(Table7[[#This Row],[Date]],Database!$A:$C,MATCH($C$1,Database!$A$1:$C$1,),)=0,#N/A,VLOOKUP(Table7[[#This Row],[Date]],Database!$A:$C,MATCH($C$1,Database!$A$1:$C$1,),))</f>
        <v/>
      </c>
      <c r="D9376">
        <f>IFERROR(Table7[[#This Row],[United States 10y]]-Table7[[#This Row],[United States 3y]],#N/A)</f>
        <v/>
      </c>
    </row>
    <row r="9377">
      <c r="A9377" s="6">
        <f>Database!$A11462</f>
        <v/>
      </c>
      <c r="B9377">
        <f>IF(VLOOKUP(Table7[[#This Row],[Date]],Database!$A:$C,MATCH($B$1,Database!$A$1:$C$1,),)=0,#N/A,VLOOKUP(Table7[[#This Row],[Date]],Database!$A:$C,MATCH($B$1,Database!$A$1:$C$1,),))</f>
        <v/>
      </c>
      <c r="C9377">
        <f>IF(VLOOKUP(Table7[[#This Row],[Date]],Database!$A:$C,MATCH($C$1,Database!$A$1:$C$1,),)=0,#N/A,VLOOKUP(Table7[[#This Row],[Date]],Database!$A:$C,MATCH($C$1,Database!$A$1:$C$1,),))</f>
        <v/>
      </c>
      <c r="D9377">
        <f>IFERROR(Table7[[#This Row],[United States 10y]]-Table7[[#This Row],[United States 3y]],#N/A)</f>
        <v/>
      </c>
    </row>
    <row r="9378">
      <c r="A9378" s="6">
        <f>Database!$A11463</f>
        <v/>
      </c>
      <c r="B9378">
        <f>IF(VLOOKUP(Table7[[#This Row],[Date]],Database!$A:$C,MATCH($B$1,Database!$A$1:$C$1,),)=0,#N/A,VLOOKUP(Table7[[#This Row],[Date]],Database!$A:$C,MATCH($B$1,Database!$A$1:$C$1,),))</f>
        <v/>
      </c>
      <c r="C9378">
        <f>IF(VLOOKUP(Table7[[#This Row],[Date]],Database!$A:$C,MATCH($C$1,Database!$A$1:$C$1,),)=0,#N/A,VLOOKUP(Table7[[#This Row],[Date]],Database!$A:$C,MATCH($C$1,Database!$A$1:$C$1,),))</f>
        <v/>
      </c>
      <c r="D9378">
        <f>IFERROR(Table7[[#This Row],[United States 10y]]-Table7[[#This Row],[United States 3y]],#N/A)</f>
        <v/>
      </c>
    </row>
    <row r="9379">
      <c r="A9379" s="6">
        <f>Database!$A11464</f>
        <v/>
      </c>
      <c r="B9379">
        <f>IF(VLOOKUP(Table7[[#This Row],[Date]],Database!$A:$C,MATCH($B$1,Database!$A$1:$C$1,),)=0,#N/A,VLOOKUP(Table7[[#This Row],[Date]],Database!$A:$C,MATCH($B$1,Database!$A$1:$C$1,),))</f>
        <v/>
      </c>
      <c r="C9379">
        <f>IF(VLOOKUP(Table7[[#This Row],[Date]],Database!$A:$C,MATCH($C$1,Database!$A$1:$C$1,),)=0,#N/A,VLOOKUP(Table7[[#This Row],[Date]],Database!$A:$C,MATCH($C$1,Database!$A$1:$C$1,),))</f>
        <v/>
      </c>
      <c r="D9379">
        <f>IFERROR(Table7[[#This Row],[United States 10y]]-Table7[[#This Row],[United States 3y]],#N/A)</f>
        <v/>
      </c>
    </row>
    <row r="9380">
      <c r="A9380" s="6">
        <f>Database!$A11465</f>
        <v/>
      </c>
      <c r="B9380">
        <f>IF(VLOOKUP(Table7[[#This Row],[Date]],Database!$A:$C,MATCH($B$1,Database!$A$1:$C$1,),)=0,#N/A,VLOOKUP(Table7[[#This Row],[Date]],Database!$A:$C,MATCH($B$1,Database!$A$1:$C$1,),))</f>
        <v/>
      </c>
      <c r="C9380">
        <f>IF(VLOOKUP(Table7[[#This Row],[Date]],Database!$A:$C,MATCH($C$1,Database!$A$1:$C$1,),)=0,#N/A,VLOOKUP(Table7[[#This Row],[Date]],Database!$A:$C,MATCH($C$1,Database!$A$1:$C$1,),))</f>
        <v/>
      </c>
      <c r="D9380">
        <f>IFERROR(Table7[[#This Row],[United States 10y]]-Table7[[#This Row],[United States 3y]],#N/A)</f>
        <v/>
      </c>
    </row>
    <row r="9381">
      <c r="A9381" s="6">
        <f>Database!$A11466</f>
        <v/>
      </c>
      <c r="B9381">
        <f>IF(VLOOKUP(Table7[[#This Row],[Date]],Database!$A:$C,MATCH($B$1,Database!$A$1:$C$1,),)=0,#N/A,VLOOKUP(Table7[[#This Row],[Date]],Database!$A:$C,MATCH($B$1,Database!$A$1:$C$1,),))</f>
        <v/>
      </c>
      <c r="C9381">
        <f>IF(VLOOKUP(Table7[[#This Row],[Date]],Database!$A:$C,MATCH($C$1,Database!$A$1:$C$1,),)=0,#N/A,VLOOKUP(Table7[[#This Row],[Date]],Database!$A:$C,MATCH($C$1,Database!$A$1:$C$1,),))</f>
        <v/>
      </c>
      <c r="D9381">
        <f>IFERROR(Table7[[#This Row],[United States 10y]]-Table7[[#This Row],[United States 3y]],#N/A)</f>
        <v/>
      </c>
    </row>
    <row r="9382">
      <c r="A9382" s="6">
        <f>Database!$A11467</f>
        <v/>
      </c>
      <c r="B9382">
        <f>IF(VLOOKUP(Table7[[#This Row],[Date]],Database!$A:$C,MATCH($B$1,Database!$A$1:$C$1,),)=0,#N/A,VLOOKUP(Table7[[#This Row],[Date]],Database!$A:$C,MATCH($B$1,Database!$A$1:$C$1,),))</f>
        <v/>
      </c>
      <c r="C9382">
        <f>IF(VLOOKUP(Table7[[#This Row],[Date]],Database!$A:$C,MATCH($C$1,Database!$A$1:$C$1,),)=0,#N/A,VLOOKUP(Table7[[#This Row],[Date]],Database!$A:$C,MATCH($C$1,Database!$A$1:$C$1,),))</f>
        <v/>
      </c>
      <c r="D9382">
        <f>IFERROR(Table7[[#This Row],[United States 10y]]-Table7[[#This Row],[United States 3y]],#N/A)</f>
        <v/>
      </c>
    </row>
    <row r="9383">
      <c r="A9383" s="6">
        <f>Database!$A11468</f>
        <v/>
      </c>
      <c r="B9383">
        <f>IF(VLOOKUP(Table7[[#This Row],[Date]],Database!$A:$C,MATCH($B$1,Database!$A$1:$C$1,),)=0,#N/A,VLOOKUP(Table7[[#This Row],[Date]],Database!$A:$C,MATCH($B$1,Database!$A$1:$C$1,),))</f>
        <v/>
      </c>
      <c r="C9383">
        <f>IF(VLOOKUP(Table7[[#This Row],[Date]],Database!$A:$C,MATCH($C$1,Database!$A$1:$C$1,),)=0,#N/A,VLOOKUP(Table7[[#This Row],[Date]],Database!$A:$C,MATCH($C$1,Database!$A$1:$C$1,),))</f>
        <v/>
      </c>
      <c r="D9383">
        <f>IFERROR(Table7[[#This Row],[United States 10y]]-Table7[[#This Row],[United States 3y]],#N/A)</f>
        <v/>
      </c>
    </row>
    <row r="9384">
      <c r="A9384" s="6">
        <f>Database!$A11469</f>
        <v/>
      </c>
      <c r="B9384">
        <f>IF(VLOOKUP(Table7[[#This Row],[Date]],Database!$A:$C,MATCH($B$1,Database!$A$1:$C$1,),)=0,#N/A,VLOOKUP(Table7[[#This Row],[Date]],Database!$A:$C,MATCH($B$1,Database!$A$1:$C$1,),))</f>
        <v/>
      </c>
      <c r="C9384">
        <f>IF(VLOOKUP(Table7[[#This Row],[Date]],Database!$A:$C,MATCH($C$1,Database!$A$1:$C$1,),)=0,#N/A,VLOOKUP(Table7[[#This Row],[Date]],Database!$A:$C,MATCH($C$1,Database!$A$1:$C$1,),))</f>
        <v/>
      </c>
      <c r="D9384">
        <f>IFERROR(Table7[[#This Row],[United States 10y]]-Table7[[#This Row],[United States 3y]],#N/A)</f>
        <v/>
      </c>
    </row>
    <row r="9385">
      <c r="A9385" s="6">
        <f>Database!$A11470</f>
        <v/>
      </c>
      <c r="B9385">
        <f>IF(VLOOKUP(Table7[[#This Row],[Date]],Database!$A:$C,MATCH($B$1,Database!$A$1:$C$1,),)=0,#N/A,VLOOKUP(Table7[[#This Row],[Date]],Database!$A:$C,MATCH($B$1,Database!$A$1:$C$1,),))</f>
        <v/>
      </c>
      <c r="C9385">
        <f>IF(VLOOKUP(Table7[[#This Row],[Date]],Database!$A:$C,MATCH($C$1,Database!$A$1:$C$1,),)=0,#N/A,VLOOKUP(Table7[[#This Row],[Date]],Database!$A:$C,MATCH($C$1,Database!$A$1:$C$1,),))</f>
        <v/>
      </c>
      <c r="D9385">
        <f>IFERROR(Table7[[#This Row],[United States 10y]]-Table7[[#This Row],[United States 3y]],#N/A)</f>
        <v/>
      </c>
    </row>
    <row r="9386">
      <c r="A9386" s="6">
        <f>Database!$A11471</f>
        <v/>
      </c>
      <c r="B9386">
        <f>IF(VLOOKUP(Table7[[#This Row],[Date]],Database!$A:$C,MATCH($B$1,Database!$A$1:$C$1,),)=0,#N/A,VLOOKUP(Table7[[#This Row],[Date]],Database!$A:$C,MATCH($B$1,Database!$A$1:$C$1,),))</f>
        <v/>
      </c>
      <c r="C9386">
        <f>IF(VLOOKUP(Table7[[#This Row],[Date]],Database!$A:$C,MATCH($C$1,Database!$A$1:$C$1,),)=0,#N/A,VLOOKUP(Table7[[#This Row],[Date]],Database!$A:$C,MATCH($C$1,Database!$A$1:$C$1,),))</f>
        <v/>
      </c>
      <c r="D9386">
        <f>IFERROR(Table7[[#This Row],[United States 10y]]-Table7[[#This Row],[United States 3y]],#N/A)</f>
        <v/>
      </c>
    </row>
    <row r="9387">
      <c r="A9387" s="6">
        <f>Database!$A11472</f>
        <v/>
      </c>
      <c r="B9387">
        <f>IF(VLOOKUP(Table7[[#This Row],[Date]],Database!$A:$C,MATCH($B$1,Database!$A$1:$C$1,),)=0,#N/A,VLOOKUP(Table7[[#This Row],[Date]],Database!$A:$C,MATCH($B$1,Database!$A$1:$C$1,),))</f>
        <v/>
      </c>
      <c r="C9387">
        <f>IF(VLOOKUP(Table7[[#This Row],[Date]],Database!$A:$C,MATCH($C$1,Database!$A$1:$C$1,),)=0,#N/A,VLOOKUP(Table7[[#This Row],[Date]],Database!$A:$C,MATCH($C$1,Database!$A$1:$C$1,),))</f>
        <v/>
      </c>
      <c r="D9387">
        <f>IFERROR(Table7[[#This Row],[United States 10y]]-Table7[[#This Row],[United States 3y]],#N/A)</f>
        <v/>
      </c>
    </row>
    <row r="9388">
      <c r="A9388" s="6">
        <f>Database!$A11473</f>
        <v/>
      </c>
      <c r="B9388">
        <f>IF(VLOOKUP(Table7[[#This Row],[Date]],Database!$A:$C,MATCH($B$1,Database!$A$1:$C$1,),)=0,#N/A,VLOOKUP(Table7[[#This Row],[Date]],Database!$A:$C,MATCH($B$1,Database!$A$1:$C$1,),))</f>
        <v/>
      </c>
      <c r="C9388">
        <f>IF(VLOOKUP(Table7[[#This Row],[Date]],Database!$A:$C,MATCH($C$1,Database!$A$1:$C$1,),)=0,#N/A,VLOOKUP(Table7[[#This Row],[Date]],Database!$A:$C,MATCH($C$1,Database!$A$1:$C$1,),))</f>
        <v/>
      </c>
      <c r="D9388">
        <f>IFERROR(Table7[[#This Row],[United States 10y]]-Table7[[#This Row],[United States 3y]],#N/A)</f>
        <v/>
      </c>
    </row>
    <row r="9389">
      <c r="A9389" s="6">
        <f>Database!$A11474</f>
        <v/>
      </c>
      <c r="B9389">
        <f>IF(VLOOKUP(Table7[[#This Row],[Date]],Database!$A:$C,MATCH($B$1,Database!$A$1:$C$1,),)=0,#N/A,VLOOKUP(Table7[[#This Row],[Date]],Database!$A:$C,MATCH($B$1,Database!$A$1:$C$1,),))</f>
        <v/>
      </c>
      <c r="C9389">
        <f>IF(VLOOKUP(Table7[[#This Row],[Date]],Database!$A:$C,MATCH($C$1,Database!$A$1:$C$1,),)=0,#N/A,VLOOKUP(Table7[[#This Row],[Date]],Database!$A:$C,MATCH($C$1,Database!$A$1:$C$1,),))</f>
        <v/>
      </c>
      <c r="D9389">
        <f>IFERROR(Table7[[#This Row],[United States 10y]]-Table7[[#This Row],[United States 3y]],#N/A)</f>
        <v/>
      </c>
    </row>
    <row r="9390">
      <c r="A9390" s="6">
        <f>Database!$A11475</f>
        <v/>
      </c>
      <c r="B9390">
        <f>IF(VLOOKUP(Table7[[#This Row],[Date]],Database!$A:$C,MATCH($B$1,Database!$A$1:$C$1,),)=0,#N/A,VLOOKUP(Table7[[#This Row],[Date]],Database!$A:$C,MATCH($B$1,Database!$A$1:$C$1,),))</f>
        <v/>
      </c>
      <c r="C9390">
        <f>IF(VLOOKUP(Table7[[#This Row],[Date]],Database!$A:$C,MATCH($C$1,Database!$A$1:$C$1,),)=0,#N/A,VLOOKUP(Table7[[#This Row],[Date]],Database!$A:$C,MATCH($C$1,Database!$A$1:$C$1,),))</f>
        <v/>
      </c>
      <c r="D9390">
        <f>IFERROR(Table7[[#This Row],[United States 10y]]-Table7[[#This Row],[United States 3y]],#N/A)</f>
        <v/>
      </c>
    </row>
    <row r="9391">
      <c r="A9391" s="6">
        <f>Database!$A11476</f>
        <v/>
      </c>
      <c r="B9391">
        <f>IF(VLOOKUP(Table7[[#This Row],[Date]],Database!$A:$C,MATCH($B$1,Database!$A$1:$C$1,),)=0,#N/A,VLOOKUP(Table7[[#This Row],[Date]],Database!$A:$C,MATCH($B$1,Database!$A$1:$C$1,),))</f>
        <v/>
      </c>
      <c r="C9391">
        <f>IF(VLOOKUP(Table7[[#This Row],[Date]],Database!$A:$C,MATCH($C$1,Database!$A$1:$C$1,),)=0,#N/A,VLOOKUP(Table7[[#This Row],[Date]],Database!$A:$C,MATCH($C$1,Database!$A$1:$C$1,),))</f>
        <v/>
      </c>
      <c r="D9391">
        <f>IFERROR(Table7[[#This Row],[United States 10y]]-Table7[[#This Row],[United States 3y]],#N/A)</f>
        <v/>
      </c>
    </row>
    <row r="9392">
      <c r="A9392" s="6">
        <f>Database!$A11477</f>
        <v/>
      </c>
      <c r="B9392">
        <f>IF(VLOOKUP(Table7[[#This Row],[Date]],Database!$A:$C,MATCH($B$1,Database!$A$1:$C$1,),)=0,#N/A,VLOOKUP(Table7[[#This Row],[Date]],Database!$A:$C,MATCH($B$1,Database!$A$1:$C$1,),))</f>
        <v/>
      </c>
      <c r="C9392">
        <f>IF(VLOOKUP(Table7[[#This Row],[Date]],Database!$A:$C,MATCH($C$1,Database!$A$1:$C$1,),)=0,#N/A,VLOOKUP(Table7[[#This Row],[Date]],Database!$A:$C,MATCH($C$1,Database!$A$1:$C$1,),))</f>
        <v/>
      </c>
      <c r="D9392">
        <f>IFERROR(Table7[[#This Row],[United States 10y]]-Table7[[#This Row],[United States 3y]],#N/A)</f>
        <v/>
      </c>
    </row>
    <row r="9393">
      <c r="A9393" s="6">
        <f>Database!$A11478</f>
        <v/>
      </c>
      <c r="B9393">
        <f>IF(VLOOKUP(Table7[[#This Row],[Date]],Database!$A:$C,MATCH($B$1,Database!$A$1:$C$1,),)=0,#N/A,VLOOKUP(Table7[[#This Row],[Date]],Database!$A:$C,MATCH($B$1,Database!$A$1:$C$1,),))</f>
        <v/>
      </c>
      <c r="C9393">
        <f>IF(VLOOKUP(Table7[[#This Row],[Date]],Database!$A:$C,MATCH($C$1,Database!$A$1:$C$1,),)=0,#N/A,VLOOKUP(Table7[[#This Row],[Date]],Database!$A:$C,MATCH($C$1,Database!$A$1:$C$1,),))</f>
        <v/>
      </c>
      <c r="D9393">
        <f>IFERROR(Table7[[#This Row],[United States 10y]]-Table7[[#This Row],[United States 3y]],#N/A)</f>
        <v/>
      </c>
    </row>
    <row r="9394">
      <c r="A9394" s="6">
        <f>Database!$A11479</f>
        <v/>
      </c>
      <c r="B9394">
        <f>IF(VLOOKUP(Table7[[#This Row],[Date]],Database!$A:$C,MATCH($B$1,Database!$A$1:$C$1,),)=0,#N/A,VLOOKUP(Table7[[#This Row],[Date]],Database!$A:$C,MATCH($B$1,Database!$A$1:$C$1,),))</f>
        <v/>
      </c>
      <c r="C9394">
        <f>IF(VLOOKUP(Table7[[#This Row],[Date]],Database!$A:$C,MATCH($C$1,Database!$A$1:$C$1,),)=0,#N/A,VLOOKUP(Table7[[#This Row],[Date]],Database!$A:$C,MATCH($C$1,Database!$A$1:$C$1,),))</f>
        <v/>
      </c>
      <c r="D9394">
        <f>IFERROR(Table7[[#This Row],[United States 10y]]-Table7[[#This Row],[United States 3y]],#N/A)</f>
        <v/>
      </c>
    </row>
    <row r="9395">
      <c r="A9395" s="6">
        <f>Database!$A11480</f>
        <v/>
      </c>
      <c r="B9395">
        <f>IF(VLOOKUP(Table7[[#This Row],[Date]],Database!$A:$C,MATCH($B$1,Database!$A$1:$C$1,),)=0,#N/A,VLOOKUP(Table7[[#This Row],[Date]],Database!$A:$C,MATCH($B$1,Database!$A$1:$C$1,),))</f>
        <v/>
      </c>
      <c r="C9395">
        <f>IF(VLOOKUP(Table7[[#This Row],[Date]],Database!$A:$C,MATCH($C$1,Database!$A$1:$C$1,),)=0,#N/A,VLOOKUP(Table7[[#This Row],[Date]],Database!$A:$C,MATCH($C$1,Database!$A$1:$C$1,),))</f>
        <v/>
      </c>
      <c r="D9395">
        <f>IFERROR(Table7[[#This Row],[United States 10y]]-Table7[[#This Row],[United States 3y]],#N/A)</f>
        <v/>
      </c>
    </row>
    <row r="9396">
      <c r="A9396" s="6">
        <f>Database!$A11481</f>
        <v/>
      </c>
      <c r="B9396">
        <f>IF(VLOOKUP(Table7[[#This Row],[Date]],Database!$A:$C,MATCH($B$1,Database!$A$1:$C$1,),)=0,#N/A,VLOOKUP(Table7[[#This Row],[Date]],Database!$A:$C,MATCH($B$1,Database!$A$1:$C$1,),))</f>
        <v/>
      </c>
      <c r="C9396">
        <f>IF(VLOOKUP(Table7[[#This Row],[Date]],Database!$A:$C,MATCH($C$1,Database!$A$1:$C$1,),)=0,#N/A,VLOOKUP(Table7[[#This Row],[Date]],Database!$A:$C,MATCH($C$1,Database!$A$1:$C$1,),))</f>
        <v/>
      </c>
      <c r="D9396">
        <f>IFERROR(Table7[[#This Row],[United States 10y]]-Table7[[#This Row],[United States 3y]],#N/A)</f>
        <v/>
      </c>
    </row>
    <row r="9397">
      <c r="A9397" s="6">
        <f>Database!$A11482</f>
        <v/>
      </c>
      <c r="B9397">
        <f>IF(VLOOKUP(Table7[[#This Row],[Date]],Database!$A:$C,MATCH($B$1,Database!$A$1:$C$1,),)=0,#N/A,VLOOKUP(Table7[[#This Row],[Date]],Database!$A:$C,MATCH($B$1,Database!$A$1:$C$1,),))</f>
        <v/>
      </c>
      <c r="C9397">
        <f>IF(VLOOKUP(Table7[[#This Row],[Date]],Database!$A:$C,MATCH($C$1,Database!$A$1:$C$1,),)=0,#N/A,VLOOKUP(Table7[[#This Row],[Date]],Database!$A:$C,MATCH($C$1,Database!$A$1:$C$1,),))</f>
        <v/>
      </c>
      <c r="D9397">
        <f>IFERROR(Table7[[#This Row],[United States 10y]]-Table7[[#This Row],[United States 3y]],#N/A)</f>
        <v/>
      </c>
    </row>
    <row r="9398">
      <c r="A9398" s="6">
        <f>Database!$A11483</f>
        <v/>
      </c>
      <c r="B9398">
        <f>IF(VLOOKUP(Table7[[#This Row],[Date]],Database!$A:$C,MATCH($B$1,Database!$A$1:$C$1,),)=0,#N/A,VLOOKUP(Table7[[#This Row],[Date]],Database!$A:$C,MATCH($B$1,Database!$A$1:$C$1,),))</f>
        <v/>
      </c>
      <c r="C9398">
        <f>IF(VLOOKUP(Table7[[#This Row],[Date]],Database!$A:$C,MATCH($C$1,Database!$A$1:$C$1,),)=0,#N/A,VLOOKUP(Table7[[#This Row],[Date]],Database!$A:$C,MATCH($C$1,Database!$A$1:$C$1,),))</f>
        <v/>
      </c>
      <c r="D9398">
        <f>IFERROR(Table7[[#This Row],[United States 10y]]-Table7[[#This Row],[United States 3y]],#N/A)</f>
        <v/>
      </c>
    </row>
    <row r="9399">
      <c r="A9399" s="6">
        <f>Database!$A11484</f>
        <v/>
      </c>
      <c r="B9399">
        <f>IF(VLOOKUP(Table7[[#This Row],[Date]],Database!$A:$C,MATCH($B$1,Database!$A$1:$C$1,),)=0,#N/A,VLOOKUP(Table7[[#This Row],[Date]],Database!$A:$C,MATCH($B$1,Database!$A$1:$C$1,),))</f>
        <v/>
      </c>
      <c r="C9399">
        <f>IF(VLOOKUP(Table7[[#This Row],[Date]],Database!$A:$C,MATCH($C$1,Database!$A$1:$C$1,),)=0,#N/A,VLOOKUP(Table7[[#This Row],[Date]],Database!$A:$C,MATCH($C$1,Database!$A$1:$C$1,),))</f>
        <v/>
      </c>
      <c r="D9399">
        <f>IFERROR(Table7[[#This Row],[United States 10y]]-Table7[[#This Row],[United States 3y]],#N/A)</f>
        <v/>
      </c>
    </row>
    <row r="9400">
      <c r="A9400" s="6">
        <f>Database!$A11485</f>
        <v/>
      </c>
      <c r="B9400">
        <f>IF(VLOOKUP(Table7[[#This Row],[Date]],Database!$A:$C,MATCH($B$1,Database!$A$1:$C$1,),)=0,#N/A,VLOOKUP(Table7[[#This Row],[Date]],Database!$A:$C,MATCH($B$1,Database!$A$1:$C$1,),))</f>
        <v/>
      </c>
      <c r="C9400">
        <f>IF(VLOOKUP(Table7[[#This Row],[Date]],Database!$A:$C,MATCH($C$1,Database!$A$1:$C$1,),)=0,#N/A,VLOOKUP(Table7[[#This Row],[Date]],Database!$A:$C,MATCH($C$1,Database!$A$1:$C$1,),))</f>
        <v/>
      </c>
      <c r="D9400">
        <f>IFERROR(Table7[[#This Row],[United States 10y]]-Table7[[#This Row],[United States 3y]],#N/A)</f>
        <v/>
      </c>
    </row>
    <row r="9401">
      <c r="A9401" s="6">
        <f>Database!$A11486</f>
        <v/>
      </c>
      <c r="B9401">
        <f>IF(VLOOKUP(Table7[[#This Row],[Date]],Database!$A:$C,MATCH($B$1,Database!$A$1:$C$1,),)=0,#N/A,VLOOKUP(Table7[[#This Row],[Date]],Database!$A:$C,MATCH($B$1,Database!$A$1:$C$1,),))</f>
        <v/>
      </c>
      <c r="C9401">
        <f>IF(VLOOKUP(Table7[[#This Row],[Date]],Database!$A:$C,MATCH($C$1,Database!$A$1:$C$1,),)=0,#N/A,VLOOKUP(Table7[[#This Row],[Date]],Database!$A:$C,MATCH($C$1,Database!$A$1:$C$1,),))</f>
        <v/>
      </c>
      <c r="D9401">
        <f>IFERROR(Table7[[#This Row],[United States 10y]]-Table7[[#This Row],[United States 3y]],#N/A)</f>
        <v/>
      </c>
    </row>
    <row r="9402">
      <c r="A9402" s="6">
        <f>Database!$A11487</f>
        <v/>
      </c>
      <c r="B9402">
        <f>IF(VLOOKUP(Table7[[#This Row],[Date]],Database!$A:$C,MATCH($B$1,Database!$A$1:$C$1,),)=0,#N/A,VLOOKUP(Table7[[#This Row],[Date]],Database!$A:$C,MATCH($B$1,Database!$A$1:$C$1,),))</f>
        <v/>
      </c>
      <c r="C9402">
        <f>IF(VLOOKUP(Table7[[#This Row],[Date]],Database!$A:$C,MATCH($C$1,Database!$A$1:$C$1,),)=0,#N/A,VLOOKUP(Table7[[#This Row],[Date]],Database!$A:$C,MATCH($C$1,Database!$A$1:$C$1,),))</f>
        <v/>
      </c>
      <c r="D9402">
        <f>IFERROR(Table7[[#This Row],[United States 10y]]-Table7[[#This Row],[United States 3y]],#N/A)</f>
        <v/>
      </c>
    </row>
    <row r="9403">
      <c r="A9403" s="6">
        <f>Database!$A11488</f>
        <v/>
      </c>
      <c r="B9403">
        <f>IF(VLOOKUP(Table7[[#This Row],[Date]],Database!$A:$C,MATCH($B$1,Database!$A$1:$C$1,),)=0,#N/A,VLOOKUP(Table7[[#This Row],[Date]],Database!$A:$C,MATCH($B$1,Database!$A$1:$C$1,),))</f>
        <v/>
      </c>
      <c r="C9403">
        <f>IF(VLOOKUP(Table7[[#This Row],[Date]],Database!$A:$C,MATCH($C$1,Database!$A$1:$C$1,),)=0,#N/A,VLOOKUP(Table7[[#This Row],[Date]],Database!$A:$C,MATCH($C$1,Database!$A$1:$C$1,),))</f>
        <v/>
      </c>
      <c r="D9403">
        <f>IFERROR(Table7[[#This Row],[United States 10y]]-Table7[[#This Row],[United States 3y]],#N/A)</f>
        <v/>
      </c>
    </row>
    <row r="9404">
      <c r="A9404" s="6">
        <f>Database!$A11489</f>
        <v/>
      </c>
      <c r="B9404">
        <f>IF(VLOOKUP(Table7[[#This Row],[Date]],Database!$A:$C,MATCH($B$1,Database!$A$1:$C$1,),)=0,#N/A,VLOOKUP(Table7[[#This Row],[Date]],Database!$A:$C,MATCH($B$1,Database!$A$1:$C$1,),))</f>
        <v/>
      </c>
      <c r="C9404">
        <f>IF(VLOOKUP(Table7[[#This Row],[Date]],Database!$A:$C,MATCH($C$1,Database!$A$1:$C$1,),)=0,#N/A,VLOOKUP(Table7[[#This Row],[Date]],Database!$A:$C,MATCH($C$1,Database!$A$1:$C$1,),))</f>
        <v/>
      </c>
      <c r="D9404">
        <f>IFERROR(Table7[[#This Row],[United States 10y]]-Table7[[#This Row],[United States 3y]],#N/A)</f>
        <v/>
      </c>
    </row>
    <row r="9405">
      <c r="A9405" s="6">
        <f>Database!$A11490</f>
        <v/>
      </c>
      <c r="B9405">
        <f>IF(VLOOKUP(Table7[[#This Row],[Date]],Database!$A:$C,MATCH($B$1,Database!$A$1:$C$1,),)=0,#N/A,VLOOKUP(Table7[[#This Row],[Date]],Database!$A:$C,MATCH($B$1,Database!$A$1:$C$1,),))</f>
        <v/>
      </c>
      <c r="C9405">
        <f>IF(VLOOKUP(Table7[[#This Row],[Date]],Database!$A:$C,MATCH($C$1,Database!$A$1:$C$1,),)=0,#N/A,VLOOKUP(Table7[[#This Row],[Date]],Database!$A:$C,MATCH($C$1,Database!$A$1:$C$1,),))</f>
        <v/>
      </c>
      <c r="D9405">
        <f>IFERROR(Table7[[#This Row],[United States 10y]]-Table7[[#This Row],[United States 3y]],#N/A)</f>
        <v/>
      </c>
    </row>
    <row r="9406">
      <c r="A9406" s="6">
        <f>Database!$A11491</f>
        <v/>
      </c>
      <c r="B9406">
        <f>IF(VLOOKUP(Table7[[#This Row],[Date]],Database!$A:$C,MATCH($B$1,Database!$A$1:$C$1,),)=0,#N/A,VLOOKUP(Table7[[#This Row],[Date]],Database!$A:$C,MATCH($B$1,Database!$A$1:$C$1,),))</f>
        <v/>
      </c>
      <c r="C9406">
        <f>IF(VLOOKUP(Table7[[#This Row],[Date]],Database!$A:$C,MATCH($C$1,Database!$A$1:$C$1,),)=0,#N/A,VLOOKUP(Table7[[#This Row],[Date]],Database!$A:$C,MATCH($C$1,Database!$A$1:$C$1,),))</f>
        <v/>
      </c>
      <c r="D9406">
        <f>IFERROR(Table7[[#This Row],[United States 10y]]-Table7[[#This Row],[United States 3y]],#N/A)</f>
        <v/>
      </c>
    </row>
    <row r="9407">
      <c r="A9407" s="6">
        <f>Database!$A11492</f>
        <v/>
      </c>
      <c r="B9407">
        <f>IF(VLOOKUP(Table7[[#This Row],[Date]],Database!$A:$C,MATCH($B$1,Database!$A$1:$C$1,),)=0,#N/A,VLOOKUP(Table7[[#This Row],[Date]],Database!$A:$C,MATCH($B$1,Database!$A$1:$C$1,),))</f>
        <v/>
      </c>
      <c r="C9407">
        <f>IF(VLOOKUP(Table7[[#This Row],[Date]],Database!$A:$C,MATCH($C$1,Database!$A$1:$C$1,),)=0,#N/A,VLOOKUP(Table7[[#This Row],[Date]],Database!$A:$C,MATCH($C$1,Database!$A$1:$C$1,),))</f>
        <v/>
      </c>
      <c r="D9407">
        <f>IFERROR(Table7[[#This Row],[United States 10y]]-Table7[[#This Row],[United States 3y]],#N/A)</f>
        <v/>
      </c>
    </row>
    <row r="9408">
      <c r="A9408" s="6">
        <f>Database!$A11493</f>
        <v/>
      </c>
      <c r="B9408">
        <f>IF(VLOOKUP(Table7[[#This Row],[Date]],Database!$A:$C,MATCH($B$1,Database!$A$1:$C$1,),)=0,#N/A,VLOOKUP(Table7[[#This Row],[Date]],Database!$A:$C,MATCH($B$1,Database!$A$1:$C$1,),))</f>
        <v/>
      </c>
      <c r="C9408">
        <f>IF(VLOOKUP(Table7[[#This Row],[Date]],Database!$A:$C,MATCH($C$1,Database!$A$1:$C$1,),)=0,#N/A,VLOOKUP(Table7[[#This Row],[Date]],Database!$A:$C,MATCH($C$1,Database!$A$1:$C$1,),))</f>
        <v/>
      </c>
      <c r="D9408">
        <f>IFERROR(Table7[[#This Row],[United States 10y]]-Table7[[#This Row],[United States 3y]],#N/A)</f>
        <v/>
      </c>
    </row>
    <row r="9409">
      <c r="A9409" s="6">
        <f>Database!$A11494</f>
        <v/>
      </c>
      <c r="B9409">
        <f>IF(VLOOKUP(Table7[[#This Row],[Date]],Database!$A:$C,MATCH($B$1,Database!$A$1:$C$1,),)=0,#N/A,VLOOKUP(Table7[[#This Row],[Date]],Database!$A:$C,MATCH($B$1,Database!$A$1:$C$1,),))</f>
        <v/>
      </c>
      <c r="C9409">
        <f>IF(VLOOKUP(Table7[[#This Row],[Date]],Database!$A:$C,MATCH($C$1,Database!$A$1:$C$1,),)=0,#N/A,VLOOKUP(Table7[[#This Row],[Date]],Database!$A:$C,MATCH($C$1,Database!$A$1:$C$1,),))</f>
        <v/>
      </c>
      <c r="D9409">
        <f>IFERROR(Table7[[#This Row],[United States 10y]]-Table7[[#This Row],[United States 3y]],#N/A)</f>
        <v/>
      </c>
    </row>
    <row r="9410">
      <c r="A9410" s="6">
        <f>Database!$A11495</f>
        <v/>
      </c>
      <c r="B9410">
        <f>IF(VLOOKUP(Table7[[#This Row],[Date]],Database!$A:$C,MATCH($B$1,Database!$A$1:$C$1,),)=0,#N/A,VLOOKUP(Table7[[#This Row],[Date]],Database!$A:$C,MATCH($B$1,Database!$A$1:$C$1,),))</f>
        <v/>
      </c>
      <c r="C9410">
        <f>IF(VLOOKUP(Table7[[#This Row],[Date]],Database!$A:$C,MATCH($C$1,Database!$A$1:$C$1,),)=0,#N/A,VLOOKUP(Table7[[#This Row],[Date]],Database!$A:$C,MATCH($C$1,Database!$A$1:$C$1,),))</f>
        <v/>
      </c>
      <c r="D9410">
        <f>IFERROR(Table7[[#This Row],[United States 10y]]-Table7[[#This Row],[United States 3y]],#N/A)</f>
        <v/>
      </c>
    </row>
    <row r="9411">
      <c r="A9411" s="6">
        <f>Database!$A11496</f>
        <v/>
      </c>
      <c r="B9411">
        <f>IF(VLOOKUP(Table7[[#This Row],[Date]],Database!$A:$C,MATCH($B$1,Database!$A$1:$C$1,),)=0,#N/A,VLOOKUP(Table7[[#This Row],[Date]],Database!$A:$C,MATCH($B$1,Database!$A$1:$C$1,),))</f>
        <v/>
      </c>
      <c r="C9411">
        <f>IF(VLOOKUP(Table7[[#This Row],[Date]],Database!$A:$C,MATCH($C$1,Database!$A$1:$C$1,),)=0,#N/A,VLOOKUP(Table7[[#This Row],[Date]],Database!$A:$C,MATCH($C$1,Database!$A$1:$C$1,),))</f>
        <v/>
      </c>
      <c r="D9411">
        <f>IFERROR(Table7[[#This Row],[United States 10y]]-Table7[[#This Row],[United States 3y]],#N/A)</f>
        <v/>
      </c>
    </row>
    <row r="9412">
      <c r="A9412" s="6">
        <f>Database!$A11497</f>
        <v/>
      </c>
      <c r="B9412">
        <f>IF(VLOOKUP(Table7[[#This Row],[Date]],Database!$A:$C,MATCH($B$1,Database!$A$1:$C$1,),)=0,#N/A,VLOOKUP(Table7[[#This Row],[Date]],Database!$A:$C,MATCH($B$1,Database!$A$1:$C$1,),))</f>
        <v/>
      </c>
      <c r="C9412">
        <f>IF(VLOOKUP(Table7[[#This Row],[Date]],Database!$A:$C,MATCH($C$1,Database!$A$1:$C$1,),)=0,#N/A,VLOOKUP(Table7[[#This Row],[Date]],Database!$A:$C,MATCH($C$1,Database!$A$1:$C$1,),))</f>
        <v/>
      </c>
      <c r="D9412">
        <f>IFERROR(Table7[[#This Row],[United States 10y]]-Table7[[#This Row],[United States 3y]],#N/A)</f>
        <v/>
      </c>
    </row>
    <row r="9413">
      <c r="A9413" s="6">
        <f>Database!$A11498</f>
        <v/>
      </c>
      <c r="B9413">
        <f>IF(VLOOKUP(Table7[[#This Row],[Date]],Database!$A:$C,MATCH($B$1,Database!$A$1:$C$1,),)=0,#N/A,VLOOKUP(Table7[[#This Row],[Date]],Database!$A:$C,MATCH($B$1,Database!$A$1:$C$1,),))</f>
        <v/>
      </c>
      <c r="C9413">
        <f>IF(VLOOKUP(Table7[[#This Row],[Date]],Database!$A:$C,MATCH($C$1,Database!$A$1:$C$1,),)=0,#N/A,VLOOKUP(Table7[[#This Row],[Date]],Database!$A:$C,MATCH($C$1,Database!$A$1:$C$1,),))</f>
        <v/>
      </c>
      <c r="D9413">
        <f>IFERROR(Table7[[#This Row],[United States 10y]]-Table7[[#This Row],[United States 3y]],#N/A)</f>
        <v/>
      </c>
    </row>
    <row r="9414">
      <c r="A9414" s="6">
        <f>Database!$A11499</f>
        <v/>
      </c>
      <c r="B9414">
        <f>IF(VLOOKUP(Table7[[#This Row],[Date]],Database!$A:$C,MATCH($B$1,Database!$A$1:$C$1,),)=0,#N/A,VLOOKUP(Table7[[#This Row],[Date]],Database!$A:$C,MATCH($B$1,Database!$A$1:$C$1,),))</f>
        <v/>
      </c>
      <c r="C9414">
        <f>IF(VLOOKUP(Table7[[#This Row],[Date]],Database!$A:$C,MATCH($C$1,Database!$A$1:$C$1,),)=0,#N/A,VLOOKUP(Table7[[#This Row],[Date]],Database!$A:$C,MATCH($C$1,Database!$A$1:$C$1,),))</f>
        <v/>
      </c>
      <c r="D9414">
        <f>IFERROR(Table7[[#This Row],[United States 10y]]-Table7[[#This Row],[United States 3y]],#N/A)</f>
        <v/>
      </c>
    </row>
    <row r="9415">
      <c r="A9415" s="6">
        <f>Database!$A11500</f>
        <v/>
      </c>
      <c r="B9415">
        <f>IF(VLOOKUP(Table7[[#This Row],[Date]],Database!$A:$C,MATCH($B$1,Database!$A$1:$C$1,),)=0,#N/A,VLOOKUP(Table7[[#This Row],[Date]],Database!$A:$C,MATCH($B$1,Database!$A$1:$C$1,),))</f>
        <v/>
      </c>
      <c r="C9415">
        <f>IF(VLOOKUP(Table7[[#This Row],[Date]],Database!$A:$C,MATCH($C$1,Database!$A$1:$C$1,),)=0,#N/A,VLOOKUP(Table7[[#This Row],[Date]],Database!$A:$C,MATCH($C$1,Database!$A$1:$C$1,),))</f>
        <v/>
      </c>
      <c r="D9415">
        <f>IFERROR(Table7[[#This Row],[United States 10y]]-Table7[[#This Row],[United States 3y]],#N/A)</f>
        <v/>
      </c>
    </row>
    <row r="9416">
      <c r="A9416" s="6">
        <f>Database!$A11501</f>
        <v/>
      </c>
      <c r="B9416">
        <f>IF(VLOOKUP(Table7[[#This Row],[Date]],Database!$A:$C,MATCH($B$1,Database!$A$1:$C$1,),)=0,#N/A,VLOOKUP(Table7[[#This Row],[Date]],Database!$A:$C,MATCH($B$1,Database!$A$1:$C$1,),))</f>
        <v/>
      </c>
      <c r="C9416">
        <f>IF(VLOOKUP(Table7[[#This Row],[Date]],Database!$A:$C,MATCH($C$1,Database!$A$1:$C$1,),)=0,#N/A,VLOOKUP(Table7[[#This Row],[Date]],Database!$A:$C,MATCH($C$1,Database!$A$1:$C$1,),))</f>
        <v/>
      </c>
      <c r="D9416">
        <f>IFERROR(Table7[[#This Row],[United States 10y]]-Table7[[#This Row],[United States 3y]],#N/A)</f>
        <v/>
      </c>
    </row>
    <row r="9417">
      <c r="A9417" s="6">
        <f>Database!$A11502</f>
        <v/>
      </c>
      <c r="B9417">
        <f>IF(VLOOKUP(Table7[[#This Row],[Date]],Database!$A:$C,MATCH($B$1,Database!$A$1:$C$1,),)=0,#N/A,VLOOKUP(Table7[[#This Row],[Date]],Database!$A:$C,MATCH($B$1,Database!$A$1:$C$1,),))</f>
        <v/>
      </c>
      <c r="C9417">
        <f>IF(VLOOKUP(Table7[[#This Row],[Date]],Database!$A:$C,MATCH($C$1,Database!$A$1:$C$1,),)=0,#N/A,VLOOKUP(Table7[[#This Row],[Date]],Database!$A:$C,MATCH($C$1,Database!$A$1:$C$1,),))</f>
        <v/>
      </c>
      <c r="D9417">
        <f>IFERROR(Table7[[#This Row],[United States 10y]]-Table7[[#This Row],[United States 3y]],#N/A)</f>
        <v/>
      </c>
    </row>
    <row r="9418">
      <c r="A9418" s="6">
        <f>Database!$A11503</f>
        <v/>
      </c>
      <c r="B9418">
        <f>IF(VLOOKUP(Table7[[#This Row],[Date]],Database!$A:$C,MATCH($B$1,Database!$A$1:$C$1,),)=0,#N/A,VLOOKUP(Table7[[#This Row],[Date]],Database!$A:$C,MATCH($B$1,Database!$A$1:$C$1,),))</f>
        <v/>
      </c>
      <c r="C9418">
        <f>IF(VLOOKUP(Table7[[#This Row],[Date]],Database!$A:$C,MATCH($C$1,Database!$A$1:$C$1,),)=0,#N/A,VLOOKUP(Table7[[#This Row],[Date]],Database!$A:$C,MATCH($C$1,Database!$A$1:$C$1,),))</f>
        <v/>
      </c>
      <c r="D9418">
        <f>IFERROR(Table7[[#This Row],[United States 10y]]-Table7[[#This Row],[United States 3y]],#N/A)</f>
        <v/>
      </c>
    </row>
    <row r="9419">
      <c r="A9419" s="6">
        <f>Database!$A11504</f>
        <v/>
      </c>
      <c r="B9419">
        <f>IF(VLOOKUP(Table7[[#This Row],[Date]],Database!$A:$C,MATCH($B$1,Database!$A$1:$C$1,),)=0,#N/A,VLOOKUP(Table7[[#This Row],[Date]],Database!$A:$C,MATCH($B$1,Database!$A$1:$C$1,),))</f>
        <v/>
      </c>
      <c r="C9419">
        <f>IF(VLOOKUP(Table7[[#This Row],[Date]],Database!$A:$C,MATCH($C$1,Database!$A$1:$C$1,),)=0,#N/A,VLOOKUP(Table7[[#This Row],[Date]],Database!$A:$C,MATCH($C$1,Database!$A$1:$C$1,),))</f>
        <v/>
      </c>
      <c r="D9419">
        <f>IFERROR(Table7[[#This Row],[United States 10y]]-Table7[[#This Row],[United States 3y]],#N/A)</f>
        <v/>
      </c>
    </row>
    <row r="9420">
      <c r="A9420" s="6">
        <f>Database!$A11505</f>
        <v/>
      </c>
      <c r="B9420">
        <f>IF(VLOOKUP(Table7[[#This Row],[Date]],Database!$A:$C,MATCH($B$1,Database!$A$1:$C$1,),)=0,#N/A,VLOOKUP(Table7[[#This Row],[Date]],Database!$A:$C,MATCH($B$1,Database!$A$1:$C$1,),))</f>
        <v/>
      </c>
      <c r="C9420">
        <f>IF(VLOOKUP(Table7[[#This Row],[Date]],Database!$A:$C,MATCH($C$1,Database!$A$1:$C$1,),)=0,#N/A,VLOOKUP(Table7[[#This Row],[Date]],Database!$A:$C,MATCH($C$1,Database!$A$1:$C$1,),))</f>
        <v/>
      </c>
      <c r="D9420">
        <f>IFERROR(Table7[[#This Row],[United States 10y]]-Table7[[#This Row],[United States 3y]],#N/A)</f>
        <v/>
      </c>
    </row>
    <row r="9421">
      <c r="A9421" s="6">
        <f>Database!$A11506</f>
        <v/>
      </c>
      <c r="B9421">
        <f>IF(VLOOKUP(Table7[[#This Row],[Date]],Database!$A:$C,MATCH($B$1,Database!$A$1:$C$1,),)=0,#N/A,VLOOKUP(Table7[[#This Row],[Date]],Database!$A:$C,MATCH($B$1,Database!$A$1:$C$1,),))</f>
        <v/>
      </c>
      <c r="C9421">
        <f>IF(VLOOKUP(Table7[[#This Row],[Date]],Database!$A:$C,MATCH($C$1,Database!$A$1:$C$1,),)=0,#N/A,VLOOKUP(Table7[[#This Row],[Date]],Database!$A:$C,MATCH($C$1,Database!$A$1:$C$1,),))</f>
        <v/>
      </c>
      <c r="D9421">
        <f>IFERROR(Table7[[#This Row],[United States 10y]]-Table7[[#This Row],[United States 3y]],#N/A)</f>
        <v/>
      </c>
    </row>
    <row r="9422">
      <c r="A9422" s="6">
        <f>Database!$A11507</f>
        <v/>
      </c>
      <c r="B9422">
        <f>IF(VLOOKUP(Table7[[#This Row],[Date]],Database!$A:$C,MATCH($B$1,Database!$A$1:$C$1,),)=0,#N/A,VLOOKUP(Table7[[#This Row],[Date]],Database!$A:$C,MATCH($B$1,Database!$A$1:$C$1,),))</f>
        <v/>
      </c>
      <c r="C9422">
        <f>IF(VLOOKUP(Table7[[#This Row],[Date]],Database!$A:$C,MATCH($C$1,Database!$A$1:$C$1,),)=0,#N/A,VLOOKUP(Table7[[#This Row],[Date]],Database!$A:$C,MATCH($C$1,Database!$A$1:$C$1,),))</f>
        <v/>
      </c>
      <c r="D9422">
        <f>IFERROR(Table7[[#This Row],[United States 10y]]-Table7[[#This Row],[United States 3y]],#N/A)</f>
        <v/>
      </c>
    </row>
    <row r="9423">
      <c r="A9423" s="6">
        <f>Database!$A11508</f>
        <v/>
      </c>
      <c r="B9423">
        <f>IF(VLOOKUP(Table7[[#This Row],[Date]],Database!$A:$C,MATCH($B$1,Database!$A$1:$C$1,),)=0,#N/A,VLOOKUP(Table7[[#This Row],[Date]],Database!$A:$C,MATCH($B$1,Database!$A$1:$C$1,),))</f>
        <v/>
      </c>
      <c r="C9423">
        <f>IF(VLOOKUP(Table7[[#This Row],[Date]],Database!$A:$C,MATCH($C$1,Database!$A$1:$C$1,),)=0,#N/A,VLOOKUP(Table7[[#This Row],[Date]],Database!$A:$C,MATCH($C$1,Database!$A$1:$C$1,),))</f>
        <v/>
      </c>
      <c r="D9423">
        <f>IFERROR(Table7[[#This Row],[United States 10y]]-Table7[[#This Row],[United States 3y]],#N/A)</f>
        <v/>
      </c>
    </row>
    <row r="9424">
      <c r="A9424" s="6">
        <f>Database!$A11509</f>
        <v/>
      </c>
      <c r="B9424">
        <f>IF(VLOOKUP(Table7[[#This Row],[Date]],Database!$A:$C,MATCH($B$1,Database!$A$1:$C$1,),)=0,#N/A,VLOOKUP(Table7[[#This Row],[Date]],Database!$A:$C,MATCH($B$1,Database!$A$1:$C$1,),))</f>
        <v/>
      </c>
      <c r="C9424">
        <f>IF(VLOOKUP(Table7[[#This Row],[Date]],Database!$A:$C,MATCH($C$1,Database!$A$1:$C$1,),)=0,#N/A,VLOOKUP(Table7[[#This Row],[Date]],Database!$A:$C,MATCH($C$1,Database!$A$1:$C$1,),))</f>
        <v/>
      </c>
      <c r="D9424">
        <f>IFERROR(Table7[[#This Row],[United States 10y]]-Table7[[#This Row],[United States 3y]],#N/A)</f>
        <v/>
      </c>
    </row>
    <row r="9425">
      <c r="A9425" s="6">
        <f>Database!$A11510</f>
        <v/>
      </c>
      <c r="B9425">
        <f>IF(VLOOKUP(Table7[[#This Row],[Date]],Database!$A:$C,MATCH($B$1,Database!$A$1:$C$1,),)=0,#N/A,VLOOKUP(Table7[[#This Row],[Date]],Database!$A:$C,MATCH($B$1,Database!$A$1:$C$1,),))</f>
        <v/>
      </c>
      <c r="C9425">
        <f>IF(VLOOKUP(Table7[[#This Row],[Date]],Database!$A:$C,MATCH($C$1,Database!$A$1:$C$1,),)=0,#N/A,VLOOKUP(Table7[[#This Row],[Date]],Database!$A:$C,MATCH($C$1,Database!$A$1:$C$1,),))</f>
        <v/>
      </c>
      <c r="D9425">
        <f>IFERROR(Table7[[#This Row],[United States 10y]]-Table7[[#This Row],[United States 3y]],#N/A)</f>
        <v/>
      </c>
    </row>
    <row r="9426">
      <c r="A9426" s="6">
        <f>Database!$A11511</f>
        <v/>
      </c>
      <c r="B9426">
        <f>IF(VLOOKUP(Table7[[#This Row],[Date]],Database!$A:$C,MATCH($B$1,Database!$A$1:$C$1,),)=0,#N/A,VLOOKUP(Table7[[#This Row],[Date]],Database!$A:$C,MATCH($B$1,Database!$A$1:$C$1,),))</f>
        <v/>
      </c>
      <c r="C9426">
        <f>IF(VLOOKUP(Table7[[#This Row],[Date]],Database!$A:$C,MATCH($C$1,Database!$A$1:$C$1,),)=0,#N/A,VLOOKUP(Table7[[#This Row],[Date]],Database!$A:$C,MATCH($C$1,Database!$A$1:$C$1,),))</f>
        <v/>
      </c>
      <c r="D9426">
        <f>IFERROR(Table7[[#This Row],[United States 10y]]-Table7[[#This Row],[United States 3y]],#N/A)</f>
        <v/>
      </c>
    </row>
    <row r="9427">
      <c r="A9427" s="6">
        <f>Database!$A11512</f>
        <v/>
      </c>
      <c r="B9427">
        <f>IF(VLOOKUP(Table7[[#This Row],[Date]],Database!$A:$C,MATCH($B$1,Database!$A$1:$C$1,),)=0,#N/A,VLOOKUP(Table7[[#This Row],[Date]],Database!$A:$C,MATCH($B$1,Database!$A$1:$C$1,),))</f>
        <v/>
      </c>
      <c r="C9427">
        <f>IF(VLOOKUP(Table7[[#This Row],[Date]],Database!$A:$C,MATCH($C$1,Database!$A$1:$C$1,),)=0,#N/A,VLOOKUP(Table7[[#This Row],[Date]],Database!$A:$C,MATCH($C$1,Database!$A$1:$C$1,),))</f>
        <v/>
      </c>
      <c r="D9427">
        <f>IFERROR(Table7[[#This Row],[United States 10y]]-Table7[[#This Row],[United States 3y]],#N/A)</f>
        <v/>
      </c>
    </row>
    <row r="9428">
      <c r="A9428" s="6">
        <f>Database!$A11513</f>
        <v/>
      </c>
      <c r="B9428">
        <f>IF(VLOOKUP(Table7[[#This Row],[Date]],Database!$A:$C,MATCH($B$1,Database!$A$1:$C$1,),)=0,#N/A,VLOOKUP(Table7[[#This Row],[Date]],Database!$A:$C,MATCH($B$1,Database!$A$1:$C$1,),))</f>
        <v/>
      </c>
      <c r="C9428">
        <f>IF(VLOOKUP(Table7[[#This Row],[Date]],Database!$A:$C,MATCH($C$1,Database!$A$1:$C$1,),)=0,#N/A,VLOOKUP(Table7[[#This Row],[Date]],Database!$A:$C,MATCH($C$1,Database!$A$1:$C$1,),))</f>
        <v/>
      </c>
      <c r="D9428">
        <f>IFERROR(Table7[[#This Row],[United States 10y]]-Table7[[#This Row],[United States 3y]],#N/A)</f>
        <v/>
      </c>
    </row>
    <row r="9429">
      <c r="A9429" s="6">
        <f>Database!$A11514</f>
        <v/>
      </c>
      <c r="B9429">
        <f>IF(VLOOKUP(Table7[[#This Row],[Date]],Database!$A:$C,MATCH($B$1,Database!$A$1:$C$1,),)=0,#N/A,VLOOKUP(Table7[[#This Row],[Date]],Database!$A:$C,MATCH($B$1,Database!$A$1:$C$1,),))</f>
        <v/>
      </c>
      <c r="C9429">
        <f>IF(VLOOKUP(Table7[[#This Row],[Date]],Database!$A:$C,MATCH($C$1,Database!$A$1:$C$1,),)=0,#N/A,VLOOKUP(Table7[[#This Row],[Date]],Database!$A:$C,MATCH($C$1,Database!$A$1:$C$1,),))</f>
        <v/>
      </c>
      <c r="D9429">
        <f>IFERROR(Table7[[#This Row],[United States 10y]]-Table7[[#This Row],[United States 3y]],#N/A)</f>
        <v/>
      </c>
    </row>
    <row r="9430">
      <c r="A9430" s="6">
        <f>Database!$A11515</f>
        <v/>
      </c>
      <c r="B9430">
        <f>IF(VLOOKUP(Table7[[#This Row],[Date]],Database!$A:$C,MATCH($B$1,Database!$A$1:$C$1,),)=0,#N/A,VLOOKUP(Table7[[#This Row],[Date]],Database!$A:$C,MATCH($B$1,Database!$A$1:$C$1,),))</f>
        <v/>
      </c>
      <c r="C9430">
        <f>IF(VLOOKUP(Table7[[#This Row],[Date]],Database!$A:$C,MATCH($C$1,Database!$A$1:$C$1,),)=0,#N/A,VLOOKUP(Table7[[#This Row],[Date]],Database!$A:$C,MATCH($C$1,Database!$A$1:$C$1,),))</f>
        <v/>
      </c>
      <c r="D9430">
        <f>IFERROR(Table7[[#This Row],[United States 10y]]-Table7[[#This Row],[United States 3y]],#N/A)</f>
        <v/>
      </c>
    </row>
    <row r="9431">
      <c r="A9431" s="6">
        <f>Database!$A11516</f>
        <v/>
      </c>
      <c r="B9431">
        <f>IF(VLOOKUP(Table7[[#This Row],[Date]],Database!$A:$C,MATCH($B$1,Database!$A$1:$C$1,),)=0,#N/A,VLOOKUP(Table7[[#This Row],[Date]],Database!$A:$C,MATCH($B$1,Database!$A$1:$C$1,),))</f>
        <v/>
      </c>
      <c r="C9431">
        <f>IF(VLOOKUP(Table7[[#This Row],[Date]],Database!$A:$C,MATCH($C$1,Database!$A$1:$C$1,),)=0,#N/A,VLOOKUP(Table7[[#This Row],[Date]],Database!$A:$C,MATCH($C$1,Database!$A$1:$C$1,),))</f>
        <v/>
      </c>
      <c r="D9431">
        <f>IFERROR(Table7[[#This Row],[United States 10y]]-Table7[[#This Row],[United States 3y]],#N/A)</f>
        <v/>
      </c>
    </row>
    <row r="9432">
      <c r="A9432" s="6">
        <f>Database!$A11517</f>
        <v/>
      </c>
      <c r="B9432">
        <f>IF(VLOOKUP(Table7[[#This Row],[Date]],Database!$A:$C,MATCH($B$1,Database!$A$1:$C$1,),)=0,#N/A,VLOOKUP(Table7[[#This Row],[Date]],Database!$A:$C,MATCH($B$1,Database!$A$1:$C$1,),))</f>
        <v/>
      </c>
      <c r="C9432">
        <f>IF(VLOOKUP(Table7[[#This Row],[Date]],Database!$A:$C,MATCH($C$1,Database!$A$1:$C$1,),)=0,#N/A,VLOOKUP(Table7[[#This Row],[Date]],Database!$A:$C,MATCH($C$1,Database!$A$1:$C$1,),))</f>
        <v/>
      </c>
      <c r="D9432">
        <f>IFERROR(Table7[[#This Row],[United States 10y]]-Table7[[#This Row],[United States 3y]],#N/A)</f>
        <v/>
      </c>
    </row>
    <row r="9433">
      <c r="A9433" s="6">
        <f>Database!$A11518</f>
        <v/>
      </c>
      <c r="B9433">
        <f>IF(VLOOKUP(Table7[[#This Row],[Date]],Database!$A:$C,MATCH($B$1,Database!$A$1:$C$1,),)=0,#N/A,VLOOKUP(Table7[[#This Row],[Date]],Database!$A:$C,MATCH($B$1,Database!$A$1:$C$1,),))</f>
        <v/>
      </c>
      <c r="C9433">
        <f>IF(VLOOKUP(Table7[[#This Row],[Date]],Database!$A:$C,MATCH($C$1,Database!$A$1:$C$1,),)=0,#N/A,VLOOKUP(Table7[[#This Row],[Date]],Database!$A:$C,MATCH($C$1,Database!$A$1:$C$1,),))</f>
        <v/>
      </c>
      <c r="D9433">
        <f>IFERROR(Table7[[#This Row],[United States 10y]]-Table7[[#This Row],[United States 3y]],#N/A)</f>
        <v/>
      </c>
    </row>
    <row r="9434">
      <c r="A9434" s="6">
        <f>Database!$A11519</f>
        <v/>
      </c>
      <c r="B9434">
        <f>IF(VLOOKUP(Table7[[#This Row],[Date]],Database!$A:$C,MATCH($B$1,Database!$A$1:$C$1,),)=0,#N/A,VLOOKUP(Table7[[#This Row],[Date]],Database!$A:$C,MATCH($B$1,Database!$A$1:$C$1,),))</f>
        <v/>
      </c>
      <c r="C9434">
        <f>IF(VLOOKUP(Table7[[#This Row],[Date]],Database!$A:$C,MATCH($C$1,Database!$A$1:$C$1,),)=0,#N/A,VLOOKUP(Table7[[#This Row],[Date]],Database!$A:$C,MATCH($C$1,Database!$A$1:$C$1,),))</f>
        <v/>
      </c>
      <c r="D9434">
        <f>IFERROR(Table7[[#This Row],[United States 10y]]-Table7[[#This Row],[United States 3y]],#N/A)</f>
        <v/>
      </c>
    </row>
    <row r="9435">
      <c r="A9435" s="6">
        <f>Database!$A11520</f>
        <v/>
      </c>
      <c r="B9435">
        <f>IF(VLOOKUP(Table7[[#This Row],[Date]],Database!$A:$C,MATCH($B$1,Database!$A$1:$C$1,),)=0,#N/A,VLOOKUP(Table7[[#This Row],[Date]],Database!$A:$C,MATCH($B$1,Database!$A$1:$C$1,),))</f>
        <v/>
      </c>
      <c r="C9435">
        <f>IF(VLOOKUP(Table7[[#This Row],[Date]],Database!$A:$C,MATCH($C$1,Database!$A$1:$C$1,),)=0,#N/A,VLOOKUP(Table7[[#This Row],[Date]],Database!$A:$C,MATCH($C$1,Database!$A$1:$C$1,),))</f>
        <v/>
      </c>
      <c r="D9435">
        <f>IFERROR(Table7[[#This Row],[United States 10y]]-Table7[[#This Row],[United States 3y]],#N/A)</f>
        <v/>
      </c>
    </row>
    <row r="9436">
      <c r="A9436" s="6">
        <f>Database!$A11521</f>
        <v/>
      </c>
      <c r="B9436">
        <f>IF(VLOOKUP(Table7[[#This Row],[Date]],Database!$A:$C,MATCH($B$1,Database!$A$1:$C$1,),)=0,#N/A,VLOOKUP(Table7[[#This Row],[Date]],Database!$A:$C,MATCH($B$1,Database!$A$1:$C$1,),))</f>
        <v/>
      </c>
      <c r="C9436">
        <f>IF(VLOOKUP(Table7[[#This Row],[Date]],Database!$A:$C,MATCH($C$1,Database!$A$1:$C$1,),)=0,#N/A,VLOOKUP(Table7[[#This Row],[Date]],Database!$A:$C,MATCH($C$1,Database!$A$1:$C$1,),))</f>
        <v/>
      </c>
      <c r="D9436">
        <f>IFERROR(Table7[[#This Row],[United States 10y]]-Table7[[#This Row],[United States 3y]],#N/A)</f>
        <v/>
      </c>
    </row>
    <row r="9437">
      <c r="A9437" s="6">
        <f>Database!$A11522</f>
        <v/>
      </c>
      <c r="B9437">
        <f>IF(VLOOKUP(Table7[[#This Row],[Date]],Database!$A:$C,MATCH($B$1,Database!$A$1:$C$1,),)=0,#N/A,VLOOKUP(Table7[[#This Row],[Date]],Database!$A:$C,MATCH($B$1,Database!$A$1:$C$1,),))</f>
        <v/>
      </c>
      <c r="C9437">
        <f>IF(VLOOKUP(Table7[[#This Row],[Date]],Database!$A:$C,MATCH($C$1,Database!$A$1:$C$1,),)=0,#N/A,VLOOKUP(Table7[[#This Row],[Date]],Database!$A:$C,MATCH($C$1,Database!$A$1:$C$1,),))</f>
        <v/>
      </c>
      <c r="D9437">
        <f>IFERROR(Table7[[#This Row],[United States 10y]]-Table7[[#This Row],[United States 3y]],#N/A)</f>
        <v/>
      </c>
    </row>
    <row r="9438">
      <c r="A9438" s="6">
        <f>Database!$A11523</f>
        <v/>
      </c>
      <c r="B9438">
        <f>IF(VLOOKUP(Table7[[#This Row],[Date]],Database!$A:$C,MATCH($B$1,Database!$A$1:$C$1,),)=0,#N/A,VLOOKUP(Table7[[#This Row],[Date]],Database!$A:$C,MATCH($B$1,Database!$A$1:$C$1,),))</f>
        <v/>
      </c>
      <c r="C9438">
        <f>IF(VLOOKUP(Table7[[#This Row],[Date]],Database!$A:$C,MATCH($C$1,Database!$A$1:$C$1,),)=0,#N/A,VLOOKUP(Table7[[#This Row],[Date]],Database!$A:$C,MATCH($C$1,Database!$A$1:$C$1,),))</f>
        <v/>
      </c>
      <c r="D9438">
        <f>IFERROR(Table7[[#This Row],[United States 10y]]-Table7[[#This Row],[United States 3y]],#N/A)</f>
        <v/>
      </c>
    </row>
    <row r="9439">
      <c r="A9439" s="6">
        <f>Database!$A11524</f>
        <v/>
      </c>
      <c r="B9439">
        <f>IF(VLOOKUP(Table7[[#This Row],[Date]],Database!$A:$C,MATCH($B$1,Database!$A$1:$C$1,),)=0,#N/A,VLOOKUP(Table7[[#This Row],[Date]],Database!$A:$C,MATCH($B$1,Database!$A$1:$C$1,),))</f>
        <v/>
      </c>
      <c r="C9439">
        <f>IF(VLOOKUP(Table7[[#This Row],[Date]],Database!$A:$C,MATCH($C$1,Database!$A$1:$C$1,),)=0,#N/A,VLOOKUP(Table7[[#This Row],[Date]],Database!$A:$C,MATCH($C$1,Database!$A$1:$C$1,),))</f>
        <v/>
      </c>
      <c r="D9439">
        <f>IFERROR(Table7[[#This Row],[United States 10y]]-Table7[[#This Row],[United States 3y]],#N/A)</f>
        <v/>
      </c>
    </row>
    <row r="9440">
      <c r="A9440" s="6">
        <f>Database!$A11525</f>
        <v/>
      </c>
      <c r="B9440">
        <f>IF(VLOOKUP(Table7[[#This Row],[Date]],Database!$A:$C,MATCH($B$1,Database!$A$1:$C$1,),)=0,#N/A,VLOOKUP(Table7[[#This Row],[Date]],Database!$A:$C,MATCH($B$1,Database!$A$1:$C$1,),))</f>
        <v/>
      </c>
      <c r="C9440">
        <f>IF(VLOOKUP(Table7[[#This Row],[Date]],Database!$A:$C,MATCH($C$1,Database!$A$1:$C$1,),)=0,#N/A,VLOOKUP(Table7[[#This Row],[Date]],Database!$A:$C,MATCH($C$1,Database!$A$1:$C$1,),))</f>
        <v/>
      </c>
      <c r="D9440">
        <f>IFERROR(Table7[[#This Row],[United States 10y]]-Table7[[#This Row],[United States 3y]],#N/A)</f>
        <v/>
      </c>
    </row>
    <row r="9441">
      <c r="A9441" s="6">
        <f>Database!$A11526</f>
        <v/>
      </c>
      <c r="B9441">
        <f>IF(VLOOKUP(Table7[[#This Row],[Date]],Database!$A:$C,MATCH($B$1,Database!$A$1:$C$1,),)=0,#N/A,VLOOKUP(Table7[[#This Row],[Date]],Database!$A:$C,MATCH($B$1,Database!$A$1:$C$1,),))</f>
        <v/>
      </c>
      <c r="C9441">
        <f>IF(VLOOKUP(Table7[[#This Row],[Date]],Database!$A:$C,MATCH($C$1,Database!$A$1:$C$1,),)=0,#N/A,VLOOKUP(Table7[[#This Row],[Date]],Database!$A:$C,MATCH($C$1,Database!$A$1:$C$1,),))</f>
        <v/>
      </c>
      <c r="D9441">
        <f>IFERROR(Table7[[#This Row],[United States 10y]]-Table7[[#This Row],[United States 3y]],#N/A)</f>
        <v/>
      </c>
    </row>
    <row r="9442">
      <c r="A9442" s="6">
        <f>Database!$A11527</f>
        <v/>
      </c>
      <c r="B9442">
        <f>IF(VLOOKUP(Table7[[#This Row],[Date]],Database!$A:$C,MATCH($B$1,Database!$A$1:$C$1,),)=0,#N/A,VLOOKUP(Table7[[#This Row],[Date]],Database!$A:$C,MATCH($B$1,Database!$A$1:$C$1,),))</f>
        <v/>
      </c>
      <c r="C9442">
        <f>IF(VLOOKUP(Table7[[#This Row],[Date]],Database!$A:$C,MATCH($C$1,Database!$A$1:$C$1,),)=0,#N/A,VLOOKUP(Table7[[#This Row],[Date]],Database!$A:$C,MATCH($C$1,Database!$A$1:$C$1,),))</f>
        <v/>
      </c>
      <c r="D9442">
        <f>IFERROR(Table7[[#This Row],[United States 10y]]-Table7[[#This Row],[United States 3y]],#N/A)</f>
        <v/>
      </c>
    </row>
    <row r="9443">
      <c r="A9443" s="6">
        <f>Database!$A11528</f>
        <v/>
      </c>
      <c r="B9443">
        <f>IF(VLOOKUP(Table7[[#This Row],[Date]],Database!$A:$C,MATCH($B$1,Database!$A$1:$C$1,),)=0,#N/A,VLOOKUP(Table7[[#This Row],[Date]],Database!$A:$C,MATCH($B$1,Database!$A$1:$C$1,),))</f>
        <v/>
      </c>
      <c r="C9443">
        <f>IF(VLOOKUP(Table7[[#This Row],[Date]],Database!$A:$C,MATCH($C$1,Database!$A$1:$C$1,),)=0,#N/A,VLOOKUP(Table7[[#This Row],[Date]],Database!$A:$C,MATCH($C$1,Database!$A$1:$C$1,),))</f>
        <v/>
      </c>
      <c r="D9443">
        <f>IFERROR(Table7[[#This Row],[United States 10y]]-Table7[[#This Row],[United States 3y]],#N/A)</f>
        <v/>
      </c>
    </row>
    <row r="9444">
      <c r="A9444" s="6">
        <f>Database!$A11529</f>
        <v/>
      </c>
      <c r="B9444">
        <f>IF(VLOOKUP(Table7[[#This Row],[Date]],Database!$A:$C,MATCH($B$1,Database!$A$1:$C$1,),)=0,#N/A,VLOOKUP(Table7[[#This Row],[Date]],Database!$A:$C,MATCH($B$1,Database!$A$1:$C$1,),))</f>
        <v/>
      </c>
      <c r="C9444">
        <f>IF(VLOOKUP(Table7[[#This Row],[Date]],Database!$A:$C,MATCH($C$1,Database!$A$1:$C$1,),)=0,#N/A,VLOOKUP(Table7[[#This Row],[Date]],Database!$A:$C,MATCH($C$1,Database!$A$1:$C$1,),))</f>
        <v/>
      </c>
      <c r="D9444">
        <f>IFERROR(Table7[[#This Row],[United States 10y]]-Table7[[#This Row],[United States 3y]],#N/A)</f>
        <v/>
      </c>
    </row>
    <row r="9445">
      <c r="A9445" s="6">
        <f>Database!$A11530</f>
        <v/>
      </c>
      <c r="B9445">
        <f>IF(VLOOKUP(Table7[[#This Row],[Date]],Database!$A:$C,MATCH($B$1,Database!$A$1:$C$1,),)=0,#N/A,VLOOKUP(Table7[[#This Row],[Date]],Database!$A:$C,MATCH($B$1,Database!$A$1:$C$1,),))</f>
        <v/>
      </c>
      <c r="C9445">
        <f>IF(VLOOKUP(Table7[[#This Row],[Date]],Database!$A:$C,MATCH($C$1,Database!$A$1:$C$1,),)=0,#N/A,VLOOKUP(Table7[[#This Row],[Date]],Database!$A:$C,MATCH($C$1,Database!$A$1:$C$1,),))</f>
        <v/>
      </c>
      <c r="D9445">
        <f>IFERROR(Table7[[#This Row],[United States 10y]]-Table7[[#This Row],[United States 3y]],#N/A)</f>
        <v/>
      </c>
    </row>
    <row r="9446">
      <c r="A9446" s="6">
        <f>Database!$A11531</f>
        <v/>
      </c>
      <c r="B9446">
        <f>IF(VLOOKUP(Table7[[#This Row],[Date]],Database!$A:$C,MATCH($B$1,Database!$A$1:$C$1,),)=0,#N/A,VLOOKUP(Table7[[#This Row],[Date]],Database!$A:$C,MATCH($B$1,Database!$A$1:$C$1,),))</f>
        <v/>
      </c>
      <c r="C9446">
        <f>IF(VLOOKUP(Table7[[#This Row],[Date]],Database!$A:$C,MATCH($C$1,Database!$A$1:$C$1,),)=0,#N/A,VLOOKUP(Table7[[#This Row],[Date]],Database!$A:$C,MATCH($C$1,Database!$A$1:$C$1,),))</f>
        <v/>
      </c>
      <c r="D9446">
        <f>IFERROR(Table7[[#This Row],[United States 10y]]-Table7[[#This Row],[United States 3y]],#N/A)</f>
        <v/>
      </c>
    </row>
    <row r="9447">
      <c r="A9447" s="6">
        <f>Database!$A11532</f>
        <v/>
      </c>
      <c r="B9447">
        <f>IF(VLOOKUP(Table7[[#This Row],[Date]],Database!$A:$C,MATCH($B$1,Database!$A$1:$C$1,),)=0,#N/A,VLOOKUP(Table7[[#This Row],[Date]],Database!$A:$C,MATCH($B$1,Database!$A$1:$C$1,),))</f>
        <v/>
      </c>
      <c r="C9447">
        <f>IF(VLOOKUP(Table7[[#This Row],[Date]],Database!$A:$C,MATCH($C$1,Database!$A$1:$C$1,),)=0,#N/A,VLOOKUP(Table7[[#This Row],[Date]],Database!$A:$C,MATCH($C$1,Database!$A$1:$C$1,),))</f>
        <v/>
      </c>
      <c r="D9447">
        <f>IFERROR(Table7[[#This Row],[United States 10y]]-Table7[[#This Row],[United States 3y]],#N/A)</f>
        <v/>
      </c>
    </row>
    <row r="9448">
      <c r="A9448" s="6">
        <f>Database!$A11533</f>
        <v/>
      </c>
      <c r="B9448">
        <f>IF(VLOOKUP(Table7[[#This Row],[Date]],Database!$A:$C,MATCH($B$1,Database!$A$1:$C$1,),)=0,#N/A,VLOOKUP(Table7[[#This Row],[Date]],Database!$A:$C,MATCH($B$1,Database!$A$1:$C$1,),))</f>
        <v/>
      </c>
      <c r="C9448">
        <f>IF(VLOOKUP(Table7[[#This Row],[Date]],Database!$A:$C,MATCH($C$1,Database!$A$1:$C$1,),)=0,#N/A,VLOOKUP(Table7[[#This Row],[Date]],Database!$A:$C,MATCH($C$1,Database!$A$1:$C$1,),))</f>
        <v/>
      </c>
      <c r="D9448">
        <f>IFERROR(Table7[[#This Row],[United States 10y]]-Table7[[#This Row],[United States 3y]],#N/A)</f>
        <v/>
      </c>
    </row>
    <row r="9449">
      <c r="A9449" s="6">
        <f>Database!$A11534</f>
        <v/>
      </c>
      <c r="B9449">
        <f>IF(VLOOKUP(Table7[[#This Row],[Date]],Database!$A:$C,MATCH($B$1,Database!$A$1:$C$1,),)=0,#N/A,VLOOKUP(Table7[[#This Row],[Date]],Database!$A:$C,MATCH($B$1,Database!$A$1:$C$1,),))</f>
        <v/>
      </c>
      <c r="C9449">
        <f>IF(VLOOKUP(Table7[[#This Row],[Date]],Database!$A:$C,MATCH($C$1,Database!$A$1:$C$1,),)=0,#N/A,VLOOKUP(Table7[[#This Row],[Date]],Database!$A:$C,MATCH($C$1,Database!$A$1:$C$1,),))</f>
        <v/>
      </c>
      <c r="D9449">
        <f>IFERROR(Table7[[#This Row],[United States 10y]]-Table7[[#This Row],[United States 3y]],#N/A)</f>
        <v/>
      </c>
    </row>
    <row r="9450">
      <c r="A9450" s="6">
        <f>Database!$A11535</f>
        <v/>
      </c>
      <c r="B9450">
        <f>IF(VLOOKUP(Table7[[#This Row],[Date]],Database!$A:$C,MATCH($B$1,Database!$A$1:$C$1,),)=0,#N/A,VLOOKUP(Table7[[#This Row],[Date]],Database!$A:$C,MATCH($B$1,Database!$A$1:$C$1,),))</f>
        <v/>
      </c>
      <c r="C9450">
        <f>IF(VLOOKUP(Table7[[#This Row],[Date]],Database!$A:$C,MATCH($C$1,Database!$A$1:$C$1,),)=0,#N/A,VLOOKUP(Table7[[#This Row],[Date]],Database!$A:$C,MATCH($C$1,Database!$A$1:$C$1,),))</f>
        <v/>
      </c>
      <c r="D9450">
        <f>IFERROR(Table7[[#This Row],[United States 10y]]-Table7[[#This Row],[United States 3y]],#N/A)</f>
        <v/>
      </c>
    </row>
    <row r="9451">
      <c r="A9451" s="6">
        <f>Database!$A11536</f>
        <v/>
      </c>
      <c r="B9451">
        <f>IF(VLOOKUP(Table7[[#This Row],[Date]],Database!$A:$C,MATCH($B$1,Database!$A$1:$C$1,),)=0,#N/A,VLOOKUP(Table7[[#This Row],[Date]],Database!$A:$C,MATCH($B$1,Database!$A$1:$C$1,),))</f>
        <v/>
      </c>
      <c r="C9451">
        <f>IF(VLOOKUP(Table7[[#This Row],[Date]],Database!$A:$C,MATCH($C$1,Database!$A$1:$C$1,),)=0,#N/A,VLOOKUP(Table7[[#This Row],[Date]],Database!$A:$C,MATCH($C$1,Database!$A$1:$C$1,),))</f>
        <v/>
      </c>
      <c r="D9451">
        <f>IFERROR(Table7[[#This Row],[United States 10y]]-Table7[[#This Row],[United States 3y]],#N/A)</f>
        <v/>
      </c>
    </row>
    <row r="9452">
      <c r="A9452" s="6">
        <f>Database!$A11537</f>
        <v/>
      </c>
      <c r="B9452">
        <f>IF(VLOOKUP(Table7[[#This Row],[Date]],Database!$A:$C,MATCH($B$1,Database!$A$1:$C$1,),)=0,#N/A,VLOOKUP(Table7[[#This Row],[Date]],Database!$A:$C,MATCH($B$1,Database!$A$1:$C$1,),))</f>
        <v/>
      </c>
      <c r="C9452">
        <f>IF(VLOOKUP(Table7[[#This Row],[Date]],Database!$A:$C,MATCH($C$1,Database!$A$1:$C$1,),)=0,#N/A,VLOOKUP(Table7[[#This Row],[Date]],Database!$A:$C,MATCH($C$1,Database!$A$1:$C$1,),))</f>
        <v/>
      </c>
      <c r="D9452">
        <f>IFERROR(Table7[[#This Row],[United States 10y]]-Table7[[#This Row],[United States 3y]],#N/A)</f>
        <v/>
      </c>
    </row>
    <row r="9453">
      <c r="A9453" s="6">
        <f>Database!$A11538</f>
        <v/>
      </c>
      <c r="B9453">
        <f>IF(VLOOKUP(Table7[[#This Row],[Date]],Database!$A:$C,MATCH($B$1,Database!$A$1:$C$1,),)=0,#N/A,VLOOKUP(Table7[[#This Row],[Date]],Database!$A:$C,MATCH($B$1,Database!$A$1:$C$1,),))</f>
        <v/>
      </c>
      <c r="C9453">
        <f>IF(VLOOKUP(Table7[[#This Row],[Date]],Database!$A:$C,MATCH($C$1,Database!$A$1:$C$1,),)=0,#N/A,VLOOKUP(Table7[[#This Row],[Date]],Database!$A:$C,MATCH($C$1,Database!$A$1:$C$1,),))</f>
        <v/>
      </c>
      <c r="D9453">
        <f>IFERROR(Table7[[#This Row],[United States 10y]]-Table7[[#This Row],[United States 3y]],#N/A)</f>
        <v/>
      </c>
    </row>
    <row r="9454">
      <c r="A9454" s="6">
        <f>Database!$A11539</f>
        <v/>
      </c>
      <c r="B9454">
        <f>IF(VLOOKUP(Table7[[#This Row],[Date]],Database!$A:$C,MATCH($B$1,Database!$A$1:$C$1,),)=0,#N/A,VLOOKUP(Table7[[#This Row],[Date]],Database!$A:$C,MATCH($B$1,Database!$A$1:$C$1,),))</f>
        <v/>
      </c>
      <c r="C9454">
        <f>IF(VLOOKUP(Table7[[#This Row],[Date]],Database!$A:$C,MATCH($C$1,Database!$A$1:$C$1,),)=0,#N/A,VLOOKUP(Table7[[#This Row],[Date]],Database!$A:$C,MATCH($C$1,Database!$A$1:$C$1,),))</f>
        <v/>
      </c>
      <c r="D9454">
        <f>IFERROR(Table7[[#This Row],[United States 10y]]-Table7[[#This Row],[United States 3y]],#N/A)</f>
        <v/>
      </c>
    </row>
    <row r="9455">
      <c r="A9455" s="6">
        <f>Database!$A11540</f>
        <v/>
      </c>
      <c r="B9455">
        <f>IF(VLOOKUP(Table7[[#This Row],[Date]],Database!$A:$C,MATCH($B$1,Database!$A$1:$C$1,),)=0,#N/A,VLOOKUP(Table7[[#This Row],[Date]],Database!$A:$C,MATCH($B$1,Database!$A$1:$C$1,),))</f>
        <v/>
      </c>
      <c r="C9455">
        <f>IF(VLOOKUP(Table7[[#This Row],[Date]],Database!$A:$C,MATCH($C$1,Database!$A$1:$C$1,),)=0,#N/A,VLOOKUP(Table7[[#This Row],[Date]],Database!$A:$C,MATCH($C$1,Database!$A$1:$C$1,),))</f>
        <v/>
      </c>
      <c r="D9455">
        <f>IFERROR(Table7[[#This Row],[United States 10y]]-Table7[[#This Row],[United States 3y]],#N/A)</f>
        <v/>
      </c>
    </row>
    <row r="9456">
      <c r="A9456" s="6">
        <f>Database!$A11541</f>
        <v/>
      </c>
      <c r="B9456">
        <f>IF(VLOOKUP(Table7[[#This Row],[Date]],Database!$A:$C,MATCH($B$1,Database!$A$1:$C$1,),)=0,#N/A,VLOOKUP(Table7[[#This Row],[Date]],Database!$A:$C,MATCH($B$1,Database!$A$1:$C$1,),))</f>
        <v/>
      </c>
      <c r="C9456">
        <f>IF(VLOOKUP(Table7[[#This Row],[Date]],Database!$A:$C,MATCH($C$1,Database!$A$1:$C$1,),)=0,#N/A,VLOOKUP(Table7[[#This Row],[Date]],Database!$A:$C,MATCH($C$1,Database!$A$1:$C$1,),))</f>
        <v/>
      </c>
      <c r="D9456">
        <f>IFERROR(Table7[[#This Row],[United States 10y]]-Table7[[#This Row],[United States 3y]],#N/A)</f>
        <v/>
      </c>
    </row>
    <row r="9457">
      <c r="A9457" s="6">
        <f>Database!$A11542</f>
        <v/>
      </c>
      <c r="B9457">
        <f>IF(VLOOKUP(Table7[[#This Row],[Date]],Database!$A:$C,MATCH($B$1,Database!$A$1:$C$1,),)=0,#N/A,VLOOKUP(Table7[[#This Row],[Date]],Database!$A:$C,MATCH($B$1,Database!$A$1:$C$1,),))</f>
        <v/>
      </c>
      <c r="C9457">
        <f>IF(VLOOKUP(Table7[[#This Row],[Date]],Database!$A:$C,MATCH($C$1,Database!$A$1:$C$1,),)=0,#N/A,VLOOKUP(Table7[[#This Row],[Date]],Database!$A:$C,MATCH($C$1,Database!$A$1:$C$1,),))</f>
        <v/>
      </c>
      <c r="D9457">
        <f>IFERROR(Table7[[#This Row],[United States 10y]]-Table7[[#This Row],[United States 3y]],#N/A)</f>
        <v/>
      </c>
    </row>
    <row r="9458">
      <c r="A9458" s="6">
        <f>Database!$A11543</f>
        <v/>
      </c>
      <c r="B9458">
        <f>IF(VLOOKUP(Table7[[#This Row],[Date]],Database!$A:$C,MATCH($B$1,Database!$A$1:$C$1,),)=0,#N/A,VLOOKUP(Table7[[#This Row],[Date]],Database!$A:$C,MATCH($B$1,Database!$A$1:$C$1,),))</f>
        <v/>
      </c>
      <c r="C9458">
        <f>IF(VLOOKUP(Table7[[#This Row],[Date]],Database!$A:$C,MATCH($C$1,Database!$A$1:$C$1,),)=0,#N/A,VLOOKUP(Table7[[#This Row],[Date]],Database!$A:$C,MATCH($C$1,Database!$A$1:$C$1,),))</f>
        <v/>
      </c>
      <c r="D9458">
        <f>IFERROR(Table7[[#This Row],[United States 10y]]-Table7[[#This Row],[United States 3y]],#N/A)</f>
        <v/>
      </c>
    </row>
    <row r="9459">
      <c r="A9459" s="6">
        <f>Database!$A11544</f>
        <v/>
      </c>
      <c r="B9459">
        <f>IF(VLOOKUP(Table7[[#This Row],[Date]],Database!$A:$C,MATCH($B$1,Database!$A$1:$C$1,),)=0,#N/A,VLOOKUP(Table7[[#This Row],[Date]],Database!$A:$C,MATCH($B$1,Database!$A$1:$C$1,),))</f>
        <v/>
      </c>
      <c r="C9459">
        <f>IF(VLOOKUP(Table7[[#This Row],[Date]],Database!$A:$C,MATCH($C$1,Database!$A$1:$C$1,),)=0,#N/A,VLOOKUP(Table7[[#This Row],[Date]],Database!$A:$C,MATCH($C$1,Database!$A$1:$C$1,),))</f>
        <v/>
      </c>
      <c r="D9459">
        <f>IFERROR(Table7[[#This Row],[United States 10y]]-Table7[[#This Row],[United States 3y]],#N/A)</f>
        <v/>
      </c>
    </row>
    <row r="9460">
      <c r="A9460" s="6">
        <f>Database!$A11545</f>
        <v/>
      </c>
      <c r="B9460">
        <f>IF(VLOOKUP(Table7[[#This Row],[Date]],Database!$A:$C,MATCH($B$1,Database!$A$1:$C$1,),)=0,#N/A,VLOOKUP(Table7[[#This Row],[Date]],Database!$A:$C,MATCH($B$1,Database!$A$1:$C$1,),))</f>
        <v/>
      </c>
      <c r="C9460">
        <f>IF(VLOOKUP(Table7[[#This Row],[Date]],Database!$A:$C,MATCH($C$1,Database!$A$1:$C$1,),)=0,#N/A,VLOOKUP(Table7[[#This Row],[Date]],Database!$A:$C,MATCH($C$1,Database!$A$1:$C$1,),))</f>
        <v/>
      </c>
      <c r="D9460">
        <f>IFERROR(Table7[[#This Row],[United States 10y]]-Table7[[#This Row],[United States 3y]],#N/A)</f>
        <v/>
      </c>
    </row>
    <row r="9461">
      <c r="A9461" s="6">
        <f>Database!$A11546</f>
        <v/>
      </c>
      <c r="B9461">
        <f>IF(VLOOKUP(Table7[[#This Row],[Date]],Database!$A:$C,MATCH($B$1,Database!$A$1:$C$1,),)=0,#N/A,VLOOKUP(Table7[[#This Row],[Date]],Database!$A:$C,MATCH($B$1,Database!$A$1:$C$1,),))</f>
        <v/>
      </c>
      <c r="C9461">
        <f>IF(VLOOKUP(Table7[[#This Row],[Date]],Database!$A:$C,MATCH($C$1,Database!$A$1:$C$1,),)=0,#N/A,VLOOKUP(Table7[[#This Row],[Date]],Database!$A:$C,MATCH($C$1,Database!$A$1:$C$1,),))</f>
        <v/>
      </c>
      <c r="D9461">
        <f>IFERROR(Table7[[#This Row],[United States 10y]]-Table7[[#This Row],[United States 3y]],#N/A)</f>
        <v/>
      </c>
    </row>
    <row r="9462">
      <c r="A9462" s="6">
        <f>Database!$A11547</f>
        <v/>
      </c>
      <c r="B9462">
        <f>IF(VLOOKUP(Table7[[#This Row],[Date]],Database!$A:$C,MATCH($B$1,Database!$A$1:$C$1,),)=0,#N/A,VLOOKUP(Table7[[#This Row],[Date]],Database!$A:$C,MATCH($B$1,Database!$A$1:$C$1,),))</f>
        <v/>
      </c>
      <c r="C9462">
        <f>IF(VLOOKUP(Table7[[#This Row],[Date]],Database!$A:$C,MATCH($C$1,Database!$A$1:$C$1,),)=0,#N/A,VLOOKUP(Table7[[#This Row],[Date]],Database!$A:$C,MATCH($C$1,Database!$A$1:$C$1,),))</f>
        <v/>
      </c>
      <c r="D9462">
        <f>IFERROR(Table7[[#This Row],[United States 10y]]-Table7[[#This Row],[United States 3y]],#N/A)</f>
        <v/>
      </c>
    </row>
    <row r="9463">
      <c r="A9463" s="6">
        <f>Database!$A11548</f>
        <v/>
      </c>
      <c r="B9463">
        <f>IF(VLOOKUP(Table7[[#This Row],[Date]],Database!$A:$C,MATCH($B$1,Database!$A$1:$C$1,),)=0,#N/A,VLOOKUP(Table7[[#This Row],[Date]],Database!$A:$C,MATCH($B$1,Database!$A$1:$C$1,),))</f>
        <v/>
      </c>
      <c r="C9463">
        <f>IF(VLOOKUP(Table7[[#This Row],[Date]],Database!$A:$C,MATCH($C$1,Database!$A$1:$C$1,),)=0,#N/A,VLOOKUP(Table7[[#This Row],[Date]],Database!$A:$C,MATCH($C$1,Database!$A$1:$C$1,),))</f>
        <v/>
      </c>
      <c r="D9463">
        <f>IFERROR(Table7[[#This Row],[United States 10y]]-Table7[[#This Row],[United States 3y]],#N/A)</f>
        <v/>
      </c>
    </row>
    <row r="9464">
      <c r="A9464" s="6">
        <f>Database!$A11549</f>
        <v/>
      </c>
      <c r="B9464">
        <f>IF(VLOOKUP(Table7[[#This Row],[Date]],Database!$A:$C,MATCH($B$1,Database!$A$1:$C$1,),)=0,#N/A,VLOOKUP(Table7[[#This Row],[Date]],Database!$A:$C,MATCH($B$1,Database!$A$1:$C$1,),))</f>
        <v/>
      </c>
      <c r="C9464">
        <f>IF(VLOOKUP(Table7[[#This Row],[Date]],Database!$A:$C,MATCH($C$1,Database!$A$1:$C$1,),)=0,#N/A,VLOOKUP(Table7[[#This Row],[Date]],Database!$A:$C,MATCH($C$1,Database!$A$1:$C$1,),))</f>
        <v/>
      </c>
      <c r="D9464">
        <f>IFERROR(Table7[[#This Row],[United States 10y]]-Table7[[#This Row],[United States 3y]],#N/A)</f>
        <v/>
      </c>
    </row>
    <row r="9465">
      <c r="A9465" s="6">
        <f>Database!$A11550</f>
        <v/>
      </c>
      <c r="B9465">
        <f>IF(VLOOKUP(Table7[[#This Row],[Date]],Database!$A:$C,MATCH($B$1,Database!$A$1:$C$1,),)=0,#N/A,VLOOKUP(Table7[[#This Row],[Date]],Database!$A:$C,MATCH($B$1,Database!$A$1:$C$1,),))</f>
        <v/>
      </c>
      <c r="C9465">
        <f>IF(VLOOKUP(Table7[[#This Row],[Date]],Database!$A:$C,MATCH($C$1,Database!$A$1:$C$1,),)=0,#N/A,VLOOKUP(Table7[[#This Row],[Date]],Database!$A:$C,MATCH($C$1,Database!$A$1:$C$1,),))</f>
        <v/>
      </c>
      <c r="D9465">
        <f>IFERROR(Table7[[#This Row],[United States 10y]]-Table7[[#This Row],[United States 3y]],#N/A)</f>
        <v/>
      </c>
    </row>
    <row r="9466">
      <c r="A9466" s="6">
        <f>Database!$A11551</f>
        <v/>
      </c>
      <c r="B9466">
        <f>IF(VLOOKUP(Table7[[#This Row],[Date]],Database!$A:$C,MATCH($B$1,Database!$A$1:$C$1,),)=0,#N/A,VLOOKUP(Table7[[#This Row],[Date]],Database!$A:$C,MATCH($B$1,Database!$A$1:$C$1,),))</f>
        <v/>
      </c>
      <c r="C9466">
        <f>IF(VLOOKUP(Table7[[#This Row],[Date]],Database!$A:$C,MATCH($C$1,Database!$A$1:$C$1,),)=0,#N/A,VLOOKUP(Table7[[#This Row],[Date]],Database!$A:$C,MATCH($C$1,Database!$A$1:$C$1,),))</f>
        <v/>
      </c>
      <c r="D9466">
        <f>IFERROR(Table7[[#This Row],[United States 10y]]-Table7[[#This Row],[United States 3y]],#N/A)</f>
        <v/>
      </c>
    </row>
    <row r="9467">
      <c r="A9467" s="6">
        <f>Database!$A11552</f>
        <v/>
      </c>
      <c r="B9467">
        <f>IF(VLOOKUP(Table7[[#This Row],[Date]],Database!$A:$C,MATCH($B$1,Database!$A$1:$C$1,),)=0,#N/A,VLOOKUP(Table7[[#This Row],[Date]],Database!$A:$C,MATCH($B$1,Database!$A$1:$C$1,),))</f>
        <v/>
      </c>
      <c r="C9467">
        <f>IF(VLOOKUP(Table7[[#This Row],[Date]],Database!$A:$C,MATCH($C$1,Database!$A$1:$C$1,),)=0,#N/A,VLOOKUP(Table7[[#This Row],[Date]],Database!$A:$C,MATCH($C$1,Database!$A$1:$C$1,),))</f>
        <v/>
      </c>
      <c r="D9467">
        <f>IFERROR(Table7[[#This Row],[United States 10y]]-Table7[[#This Row],[United States 3y]],#N/A)</f>
        <v/>
      </c>
    </row>
    <row r="9468">
      <c r="A9468" s="6">
        <f>Database!$A11553</f>
        <v/>
      </c>
      <c r="B9468">
        <f>IF(VLOOKUP(Table7[[#This Row],[Date]],Database!$A:$C,MATCH($B$1,Database!$A$1:$C$1,),)=0,#N/A,VLOOKUP(Table7[[#This Row],[Date]],Database!$A:$C,MATCH($B$1,Database!$A$1:$C$1,),))</f>
        <v/>
      </c>
      <c r="C9468">
        <f>IF(VLOOKUP(Table7[[#This Row],[Date]],Database!$A:$C,MATCH($C$1,Database!$A$1:$C$1,),)=0,#N/A,VLOOKUP(Table7[[#This Row],[Date]],Database!$A:$C,MATCH($C$1,Database!$A$1:$C$1,),))</f>
        <v/>
      </c>
      <c r="D9468">
        <f>IFERROR(Table7[[#This Row],[United States 10y]]-Table7[[#This Row],[United States 3y]],#N/A)</f>
        <v/>
      </c>
    </row>
    <row r="9469">
      <c r="A9469" s="6">
        <f>Database!$A11554</f>
        <v/>
      </c>
      <c r="B9469">
        <f>IF(VLOOKUP(Table7[[#This Row],[Date]],Database!$A:$C,MATCH($B$1,Database!$A$1:$C$1,),)=0,#N/A,VLOOKUP(Table7[[#This Row],[Date]],Database!$A:$C,MATCH($B$1,Database!$A$1:$C$1,),))</f>
        <v/>
      </c>
      <c r="C9469">
        <f>IF(VLOOKUP(Table7[[#This Row],[Date]],Database!$A:$C,MATCH($C$1,Database!$A$1:$C$1,),)=0,#N/A,VLOOKUP(Table7[[#This Row],[Date]],Database!$A:$C,MATCH($C$1,Database!$A$1:$C$1,),))</f>
        <v/>
      </c>
      <c r="D9469">
        <f>IFERROR(Table7[[#This Row],[United States 10y]]-Table7[[#This Row],[United States 3y]],#N/A)</f>
        <v/>
      </c>
    </row>
    <row r="9470">
      <c r="A9470" s="6">
        <f>Database!$A11555</f>
        <v/>
      </c>
      <c r="B9470">
        <f>IF(VLOOKUP(Table7[[#This Row],[Date]],Database!$A:$C,MATCH($B$1,Database!$A$1:$C$1,),)=0,#N/A,VLOOKUP(Table7[[#This Row],[Date]],Database!$A:$C,MATCH($B$1,Database!$A$1:$C$1,),))</f>
        <v/>
      </c>
      <c r="C9470">
        <f>IF(VLOOKUP(Table7[[#This Row],[Date]],Database!$A:$C,MATCH($C$1,Database!$A$1:$C$1,),)=0,#N/A,VLOOKUP(Table7[[#This Row],[Date]],Database!$A:$C,MATCH($C$1,Database!$A$1:$C$1,),))</f>
        <v/>
      </c>
      <c r="D9470">
        <f>IFERROR(Table7[[#This Row],[United States 10y]]-Table7[[#This Row],[United States 3y]],#N/A)</f>
        <v/>
      </c>
    </row>
    <row r="9471">
      <c r="A9471" s="6">
        <f>Database!$A11556</f>
        <v/>
      </c>
      <c r="B9471">
        <f>IF(VLOOKUP(Table7[[#This Row],[Date]],Database!$A:$C,MATCH($B$1,Database!$A$1:$C$1,),)=0,#N/A,VLOOKUP(Table7[[#This Row],[Date]],Database!$A:$C,MATCH($B$1,Database!$A$1:$C$1,),))</f>
        <v/>
      </c>
      <c r="C9471">
        <f>IF(VLOOKUP(Table7[[#This Row],[Date]],Database!$A:$C,MATCH($C$1,Database!$A$1:$C$1,),)=0,#N/A,VLOOKUP(Table7[[#This Row],[Date]],Database!$A:$C,MATCH($C$1,Database!$A$1:$C$1,),))</f>
        <v/>
      </c>
      <c r="D9471">
        <f>IFERROR(Table7[[#This Row],[United States 10y]]-Table7[[#This Row],[United States 3y]],#N/A)</f>
        <v/>
      </c>
    </row>
    <row r="9472">
      <c r="A9472" s="6">
        <f>Database!$A11557</f>
        <v/>
      </c>
      <c r="B9472">
        <f>IF(VLOOKUP(Table7[[#This Row],[Date]],Database!$A:$C,MATCH($B$1,Database!$A$1:$C$1,),)=0,#N/A,VLOOKUP(Table7[[#This Row],[Date]],Database!$A:$C,MATCH($B$1,Database!$A$1:$C$1,),))</f>
        <v/>
      </c>
      <c r="C9472">
        <f>IF(VLOOKUP(Table7[[#This Row],[Date]],Database!$A:$C,MATCH($C$1,Database!$A$1:$C$1,),)=0,#N/A,VLOOKUP(Table7[[#This Row],[Date]],Database!$A:$C,MATCH($C$1,Database!$A$1:$C$1,),))</f>
        <v/>
      </c>
      <c r="D9472">
        <f>IFERROR(Table7[[#This Row],[United States 10y]]-Table7[[#This Row],[United States 3y]],#N/A)</f>
        <v/>
      </c>
    </row>
    <row r="9473">
      <c r="A9473" s="6">
        <f>Database!$A11558</f>
        <v/>
      </c>
      <c r="B9473">
        <f>IF(VLOOKUP(Table7[[#This Row],[Date]],Database!$A:$C,MATCH($B$1,Database!$A$1:$C$1,),)=0,#N/A,VLOOKUP(Table7[[#This Row],[Date]],Database!$A:$C,MATCH($B$1,Database!$A$1:$C$1,),))</f>
        <v/>
      </c>
      <c r="C9473">
        <f>IF(VLOOKUP(Table7[[#This Row],[Date]],Database!$A:$C,MATCH($C$1,Database!$A$1:$C$1,),)=0,#N/A,VLOOKUP(Table7[[#This Row],[Date]],Database!$A:$C,MATCH($C$1,Database!$A$1:$C$1,),))</f>
        <v/>
      </c>
      <c r="D9473">
        <f>IFERROR(Table7[[#This Row],[United States 10y]]-Table7[[#This Row],[United States 3y]],#N/A)</f>
        <v/>
      </c>
    </row>
    <row r="9474">
      <c r="A9474" s="6">
        <f>Database!$A11559</f>
        <v/>
      </c>
      <c r="B9474">
        <f>IF(VLOOKUP(Table7[[#This Row],[Date]],Database!$A:$C,MATCH($B$1,Database!$A$1:$C$1,),)=0,#N/A,VLOOKUP(Table7[[#This Row],[Date]],Database!$A:$C,MATCH($B$1,Database!$A$1:$C$1,),))</f>
        <v/>
      </c>
      <c r="C9474">
        <f>IF(VLOOKUP(Table7[[#This Row],[Date]],Database!$A:$C,MATCH($C$1,Database!$A$1:$C$1,),)=0,#N/A,VLOOKUP(Table7[[#This Row],[Date]],Database!$A:$C,MATCH($C$1,Database!$A$1:$C$1,),))</f>
        <v/>
      </c>
      <c r="D9474">
        <f>IFERROR(Table7[[#This Row],[United States 10y]]-Table7[[#This Row],[United States 3y]],#N/A)</f>
        <v/>
      </c>
    </row>
    <row r="9475">
      <c r="A9475" s="6">
        <f>Database!$A11560</f>
        <v/>
      </c>
      <c r="B9475">
        <f>IF(VLOOKUP(Table7[[#This Row],[Date]],Database!$A:$C,MATCH($B$1,Database!$A$1:$C$1,),)=0,#N/A,VLOOKUP(Table7[[#This Row],[Date]],Database!$A:$C,MATCH($B$1,Database!$A$1:$C$1,),))</f>
        <v/>
      </c>
      <c r="C9475">
        <f>IF(VLOOKUP(Table7[[#This Row],[Date]],Database!$A:$C,MATCH($C$1,Database!$A$1:$C$1,),)=0,#N/A,VLOOKUP(Table7[[#This Row],[Date]],Database!$A:$C,MATCH($C$1,Database!$A$1:$C$1,),))</f>
        <v/>
      </c>
      <c r="D9475">
        <f>IFERROR(Table7[[#This Row],[United States 10y]]-Table7[[#This Row],[United States 3y]],#N/A)</f>
        <v/>
      </c>
    </row>
    <row r="9476">
      <c r="A9476" s="6">
        <f>Database!$A11561</f>
        <v/>
      </c>
      <c r="B9476">
        <f>IF(VLOOKUP(Table7[[#This Row],[Date]],Database!$A:$C,MATCH($B$1,Database!$A$1:$C$1,),)=0,#N/A,VLOOKUP(Table7[[#This Row],[Date]],Database!$A:$C,MATCH($B$1,Database!$A$1:$C$1,),))</f>
        <v/>
      </c>
      <c r="C9476">
        <f>IF(VLOOKUP(Table7[[#This Row],[Date]],Database!$A:$C,MATCH($C$1,Database!$A$1:$C$1,),)=0,#N/A,VLOOKUP(Table7[[#This Row],[Date]],Database!$A:$C,MATCH($C$1,Database!$A$1:$C$1,),))</f>
        <v/>
      </c>
      <c r="D9476">
        <f>IFERROR(Table7[[#This Row],[United States 10y]]-Table7[[#This Row],[United States 3y]],#N/A)</f>
        <v/>
      </c>
    </row>
    <row r="9477">
      <c r="A9477" s="6">
        <f>Database!$A11562</f>
        <v/>
      </c>
      <c r="B9477">
        <f>IF(VLOOKUP(Table7[[#This Row],[Date]],Database!$A:$C,MATCH($B$1,Database!$A$1:$C$1,),)=0,#N/A,VLOOKUP(Table7[[#This Row],[Date]],Database!$A:$C,MATCH($B$1,Database!$A$1:$C$1,),))</f>
        <v/>
      </c>
      <c r="C9477">
        <f>IF(VLOOKUP(Table7[[#This Row],[Date]],Database!$A:$C,MATCH($C$1,Database!$A$1:$C$1,),)=0,#N/A,VLOOKUP(Table7[[#This Row],[Date]],Database!$A:$C,MATCH($C$1,Database!$A$1:$C$1,),))</f>
        <v/>
      </c>
      <c r="D9477">
        <f>IFERROR(Table7[[#This Row],[United States 10y]]-Table7[[#This Row],[United States 3y]],#N/A)</f>
        <v/>
      </c>
    </row>
    <row r="9478">
      <c r="A9478" s="6">
        <f>Database!$A11563</f>
        <v/>
      </c>
      <c r="B9478">
        <f>IF(VLOOKUP(Table7[[#This Row],[Date]],Database!$A:$C,MATCH($B$1,Database!$A$1:$C$1,),)=0,#N/A,VLOOKUP(Table7[[#This Row],[Date]],Database!$A:$C,MATCH($B$1,Database!$A$1:$C$1,),))</f>
        <v/>
      </c>
      <c r="C9478">
        <f>IF(VLOOKUP(Table7[[#This Row],[Date]],Database!$A:$C,MATCH($C$1,Database!$A$1:$C$1,),)=0,#N/A,VLOOKUP(Table7[[#This Row],[Date]],Database!$A:$C,MATCH($C$1,Database!$A$1:$C$1,),))</f>
        <v/>
      </c>
      <c r="D9478">
        <f>IFERROR(Table7[[#This Row],[United States 10y]]-Table7[[#This Row],[United States 3y]],#N/A)</f>
        <v/>
      </c>
    </row>
    <row r="9479">
      <c r="A9479" s="6">
        <f>Database!$A11564</f>
        <v/>
      </c>
      <c r="B9479">
        <f>IF(VLOOKUP(Table7[[#This Row],[Date]],Database!$A:$C,MATCH($B$1,Database!$A$1:$C$1,),)=0,#N/A,VLOOKUP(Table7[[#This Row],[Date]],Database!$A:$C,MATCH($B$1,Database!$A$1:$C$1,),))</f>
        <v/>
      </c>
      <c r="C9479">
        <f>IF(VLOOKUP(Table7[[#This Row],[Date]],Database!$A:$C,MATCH($C$1,Database!$A$1:$C$1,),)=0,#N/A,VLOOKUP(Table7[[#This Row],[Date]],Database!$A:$C,MATCH($C$1,Database!$A$1:$C$1,),))</f>
        <v/>
      </c>
      <c r="D9479">
        <f>IFERROR(Table7[[#This Row],[United States 10y]]-Table7[[#This Row],[United States 3y]],#N/A)</f>
        <v/>
      </c>
    </row>
    <row r="9480">
      <c r="A9480" s="6">
        <f>Database!$A11565</f>
        <v/>
      </c>
      <c r="B9480">
        <f>IF(VLOOKUP(Table7[[#This Row],[Date]],Database!$A:$C,MATCH($B$1,Database!$A$1:$C$1,),)=0,#N/A,VLOOKUP(Table7[[#This Row],[Date]],Database!$A:$C,MATCH($B$1,Database!$A$1:$C$1,),))</f>
        <v/>
      </c>
      <c r="C9480">
        <f>IF(VLOOKUP(Table7[[#This Row],[Date]],Database!$A:$C,MATCH($C$1,Database!$A$1:$C$1,),)=0,#N/A,VLOOKUP(Table7[[#This Row],[Date]],Database!$A:$C,MATCH($C$1,Database!$A$1:$C$1,),))</f>
        <v/>
      </c>
      <c r="D9480">
        <f>IFERROR(Table7[[#This Row],[United States 10y]]-Table7[[#This Row],[United States 3y]],#N/A)</f>
        <v/>
      </c>
    </row>
    <row r="9481">
      <c r="A9481" s="6">
        <f>Database!$A11566</f>
        <v/>
      </c>
      <c r="B9481">
        <f>IF(VLOOKUP(Table7[[#This Row],[Date]],Database!$A:$C,MATCH($B$1,Database!$A$1:$C$1,),)=0,#N/A,VLOOKUP(Table7[[#This Row],[Date]],Database!$A:$C,MATCH($B$1,Database!$A$1:$C$1,),))</f>
        <v/>
      </c>
      <c r="C9481">
        <f>IF(VLOOKUP(Table7[[#This Row],[Date]],Database!$A:$C,MATCH($C$1,Database!$A$1:$C$1,),)=0,#N/A,VLOOKUP(Table7[[#This Row],[Date]],Database!$A:$C,MATCH($C$1,Database!$A$1:$C$1,),))</f>
        <v/>
      </c>
      <c r="D9481">
        <f>IFERROR(Table7[[#This Row],[United States 10y]]-Table7[[#This Row],[United States 3y]],#N/A)</f>
        <v/>
      </c>
    </row>
    <row r="9482">
      <c r="A9482" s="6">
        <f>Database!$A11567</f>
        <v/>
      </c>
      <c r="B9482">
        <f>IF(VLOOKUP(Table7[[#This Row],[Date]],Database!$A:$C,MATCH($B$1,Database!$A$1:$C$1,),)=0,#N/A,VLOOKUP(Table7[[#This Row],[Date]],Database!$A:$C,MATCH($B$1,Database!$A$1:$C$1,),))</f>
        <v/>
      </c>
      <c r="C9482">
        <f>IF(VLOOKUP(Table7[[#This Row],[Date]],Database!$A:$C,MATCH($C$1,Database!$A$1:$C$1,),)=0,#N/A,VLOOKUP(Table7[[#This Row],[Date]],Database!$A:$C,MATCH($C$1,Database!$A$1:$C$1,),))</f>
        <v/>
      </c>
      <c r="D9482">
        <f>IFERROR(Table7[[#This Row],[United States 10y]]-Table7[[#This Row],[United States 3y]],#N/A)</f>
        <v/>
      </c>
    </row>
    <row r="9483">
      <c r="A9483" s="6">
        <f>Database!$A11568</f>
        <v/>
      </c>
      <c r="B9483">
        <f>IF(VLOOKUP(Table7[[#This Row],[Date]],Database!$A:$C,MATCH($B$1,Database!$A$1:$C$1,),)=0,#N/A,VLOOKUP(Table7[[#This Row],[Date]],Database!$A:$C,MATCH($B$1,Database!$A$1:$C$1,),))</f>
        <v/>
      </c>
      <c r="C9483">
        <f>IF(VLOOKUP(Table7[[#This Row],[Date]],Database!$A:$C,MATCH($C$1,Database!$A$1:$C$1,),)=0,#N/A,VLOOKUP(Table7[[#This Row],[Date]],Database!$A:$C,MATCH($C$1,Database!$A$1:$C$1,),))</f>
        <v/>
      </c>
      <c r="D9483">
        <f>IFERROR(Table7[[#This Row],[United States 10y]]-Table7[[#This Row],[United States 3y]],#N/A)</f>
        <v/>
      </c>
    </row>
    <row r="9484">
      <c r="A9484" s="6">
        <f>Database!$A11569</f>
        <v/>
      </c>
      <c r="B9484">
        <f>IF(VLOOKUP(Table7[[#This Row],[Date]],Database!$A:$C,MATCH($B$1,Database!$A$1:$C$1,),)=0,#N/A,VLOOKUP(Table7[[#This Row],[Date]],Database!$A:$C,MATCH($B$1,Database!$A$1:$C$1,),))</f>
        <v/>
      </c>
      <c r="C9484">
        <f>IF(VLOOKUP(Table7[[#This Row],[Date]],Database!$A:$C,MATCH($C$1,Database!$A$1:$C$1,),)=0,#N/A,VLOOKUP(Table7[[#This Row],[Date]],Database!$A:$C,MATCH($C$1,Database!$A$1:$C$1,),))</f>
        <v/>
      </c>
      <c r="D9484">
        <f>IFERROR(Table7[[#This Row],[United States 10y]]-Table7[[#This Row],[United States 3y]],#N/A)</f>
        <v/>
      </c>
    </row>
    <row r="9485">
      <c r="A9485" s="6">
        <f>Database!$A11570</f>
        <v/>
      </c>
      <c r="B9485">
        <f>IF(VLOOKUP(Table7[[#This Row],[Date]],Database!$A:$C,MATCH($B$1,Database!$A$1:$C$1,),)=0,#N/A,VLOOKUP(Table7[[#This Row],[Date]],Database!$A:$C,MATCH($B$1,Database!$A$1:$C$1,),))</f>
        <v/>
      </c>
      <c r="C9485">
        <f>IF(VLOOKUP(Table7[[#This Row],[Date]],Database!$A:$C,MATCH($C$1,Database!$A$1:$C$1,),)=0,#N/A,VLOOKUP(Table7[[#This Row],[Date]],Database!$A:$C,MATCH($C$1,Database!$A$1:$C$1,),))</f>
        <v/>
      </c>
      <c r="D9485">
        <f>IFERROR(Table7[[#This Row],[United States 10y]]-Table7[[#This Row],[United States 3y]],#N/A)</f>
        <v/>
      </c>
    </row>
    <row r="9486">
      <c r="A9486" s="6">
        <f>Database!$A11571</f>
        <v/>
      </c>
      <c r="B9486">
        <f>IF(VLOOKUP(Table7[[#This Row],[Date]],Database!$A:$C,MATCH($B$1,Database!$A$1:$C$1,),)=0,#N/A,VLOOKUP(Table7[[#This Row],[Date]],Database!$A:$C,MATCH($B$1,Database!$A$1:$C$1,),))</f>
        <v/>
      </c>
      <c r="C9486">
        <f>IF(VLOOKUP(Table7[[#This Row],[Date]],Database!$A:$C,MATCH($C$1,Database!$A$1:$C$1,),)=0,#N/A,VLOOKUP(Table7[[#This Row],[Date]],Database!$A:$C,MATCH($C$1,Database!$A$1:$C$1,),))</f>
        <v/>
      </c>
      <c r="D9486">
        <f>IFERROR(Table7[[#This Row],[United States 10y]]-Table7[[#This Row],[United States 3y]],#N/A)</f>
        <v/>
      </c>
    </row>
    <row r="9487">
      <c r="A9487" s="6">
        <f>Database!$A11572</f>
        <v/>
      </c>
      <c r="B9487">
        <f>IF(VLOOKUP(Table7[[#This Row],[Date]],Database!$A:$C,MATCH($B$1,Database!$A$1:$C$1,),)=0,#N/A,VLOOKUP(Table7[[#This Row],[Date]],Database!$A:$C,MATCH($B$1,Database!$A$1:$C$1,),))</f>
        <v/>
      </c>
      <c r="C9487">
        <f>IF(VLOOKUP(Table7[[#This Row],[Date]],Database!$A:$C,MATCH($C$1,Database!$A$1:$C$1,),)=0,#N/A,VLOOKUP(Table7[[#This Row],[Date]],Database!$A:$C,MATCH($C$1,Database!$A$1:$C$1,),))</f>
        <v/>
      </c>
      <c r="D9487">
        <f>IFERROR(Table7[[#This Row],[United States 10y]]-Table7[[#This Row],[United States 3y]],#N/A)</f>
        <v/>
      </c>
    </row>
    <row r="9488">
      <c r="A9488" s="6">
        <f>Database!$A11573</f>
        <v/>
      </c>
      <c r="B9488">
        <f>IF(VLOOKUP(Table7[[#This Row],[Date]],Database!$A:$C,MATCH($B$1,Database!$A$1:$C$1,),)=0,#N/A,VLOOKUP(Table7[[#This Row],[Date]],Database!$A:$C,MATCH($B$1,Database!$A$1:$C$1,),))</f>
        <v/>
      </c>
      <c r="C9488">
        <f>IF(VLOOKUP(Table7[[#This Row],[Date]],Database!$A:$C,MATCH($C$1,Database!$A$1:$C$1,),)=0,#N/A,VLOOKUP(Table7[[#This Row],[Date]],Database!$A:$C,MATCH($C$1,Database!$A$1:$C$1,),))</f>
        <v/>
      </c>
      <c r="D9488">
        <f>IFERROR(Table7[[#This Row],[United States 10y]]-Table7[[#This Row],[United States 3y]],#N/A)</f>
        <v/>
      </c>
    </row>
    <row r="9489">
      <c r="A9489" s="6">
        <f>Database!$A11574</f>
        <v/>
      </c>
      <c r="B9489">
        <f>IF(VLOOKUP(Table7[[#This Row],[Date]],Database!$A:$C,MATCH($B$1,Database!$A$1:$C$1,),)=0,#N/A,VLOOKUP(Table7[[#This Row],[Date]],Database!$A:$C,MATCH($B$1,Database!$A$1:$C$1,),))</f>
        <v/>
      </c>
      <c r="C9489">
        <f>IF(VLOOKUP(Table7[[#This Row],[Date]],Database!$A:$C,MATCH($C$1,Database!$A$1:$C$1,),)=0,#N/A,VLOOKUP(Table7[[#This Row],[Date]],Database!$A:$C,MATCH($C$1,Database!$A$1:$C$1,),))</f>
        <v/>
      </c>
      <c r="D9489">
        <f>IFERROR(Table7[[#This Row],[United States 10y]]-Table7[[#This Row],[United States 3y]],#N/A)</f>
        <v/>
      </c>
    </row>
    <row r="9490">
      <c r="A9490" s="6">
        <f>Database!$A11575</f>
        <v/>
      </c>
      <c r="B9490">
        <f>IF(VLOOKUP(Table7[[#This Row],[Date]],Database!$A:$C,MATCH($B$1,Database!$A$1:$C$1,),)=0,#N/A,VLOOKUP(Table7[[#This Row],[Date]],Database!$A:$C,MATCH($B$1,Database!$A$1:$C$1,),))</f>
        <v/>
      </c>
      <c r="C9490">
        <f>IF(VLOOKUP(Table7[[#This Row],[Date]],Database!$A:$C,MATCH($C$1,Database!$A$1:$C$1,),)=0,#N/A,VLOOKUP(Table7[[#This Row],[Date]],Database!$A:$C,MATCH($C$1,Database!$A$1:$C$1,),))</f>
        <v/>
      </c>
      <c r="D9490">
        <f>IFERROR(Table7[[#This Row],[United States 10y]]-Table7[[#This Row],[United States 3y]],#N/A)</f>
        <v/>
      </c>
    </row>
    <row r="9491">
      <c r="A9491" s="6">
        <f>Database!$A11576</f>
        <v/>
      </c>
      <c r="B9491">
        <f>IF(VLOOKUP(Table7[[#This Row],[Date]],Database!$A:$C,MATCH($B$1,Database!$A$1:$C$1,),)=0,#N/A,VLOOKUP(Table7[[#This Row],[Date]],Database!$A:$C,MATCH($B$1,Database!$A$1:$C$1,),))</f>
        <v/>
      </c>
      <c r="C9491">
        <f>IF(VLOOKUP(Table7[[#This Row],[Date]],Database!$A:$C,MATCH($C$1,Database!$A$1:$C$1,),)=0,#N/A,VLOOKUP(Table7[[#This Row],[Date]],Database!$A:$C,MATCH($C$1,Database!$A$1:$C$1,),))</f>
        <v/>
      </c>
      <c r="D9491">
        <f>IFERROR(Table7[[#This Row],[United States 10y]]-Table7[[#This Row],[United States 3y]],#N/A)</f>
        <v/>
      </c>
    </row>
    <row r="9492">
      <c r="A9492" s="6">
        <f>Database!$A11577</f>
        <v/>
      </c>
      <c r="B9492">
        <f>IF(VLOOKUP(Table7[[#This Row],[Date]],Database!$A:$C,MATCH($B$1,Database!$A$1:$C$1,),)=0,#N/A,VLOOKUP(Table7[[#This Row],[Date]],Database!$A:$C,MATCH($B$1,Database!$A$1:$C$1,),))</f>
        <v/>
      </c>
      <c r="C9492">
        <f>IF(VLOOKUP(Table7[[#This Row],[Date]],Database!$A:$C,MATCH($C$1,Database!$A$1:$C$1,),)=0,#N/A,VLOOKUP(Table7[[#This Row],[Date]],Database!$A:$C,MATCH($C$1,Database!$A$1:$C$1,),))</f>
        <v/>
      </c>
      <c r="D9492">
        <f>IFERROR(Table7[[#This Row],[United States 10y]]-Table7[[#This Row],[United States 3y]],#N/A)</f>
        <v/>
      </c>
    </row>
    <row r="9493">
      <c r="A9493" s="6">
        <f>Database!$A11578</f>
        <v/>
      </c>
      <c r="B9493">
        <f>IF(VLOOKUP(Table7[[#This Row],[Date]],Database!$A:$C,MATCH($B$1,Database!$A$1:$C$1,),)=0,#N/A,VLOOKUP(Table7[[#This Row],[Date]],Database!$A:$C,MATCH($B$1,Database!$A$1:$C$1,),))</f>
        <v/>
      </c>
      <c r="C9493">
        <f>IF(VLOOKUP(Table7[[#This Row],[Date]],Database!$A:$C,MATCH($C$1,Database!$A$1:$C$1,),)=0,#N/A,VLOOKUP(Table7[[#This Row],[Date]],Database!$A:$C,MATCH($C$1,Database!$A$1:$C$1,),))</f>
        <v/>
      </c>
      <c r="D9493">
        <f>IFERROR(Table7[[#This Row],[United States 10y]]-Table7[[#This Row],[United States 3y]],#N/A)</f>
        <v/>
      </c>
    </row>
    <row r="9494">
      <c r="A9494" s="6">
        <f>Database!$A11579</f>
        <v/>
      </c>
      <c r="B9494">
        <f>IF(VLOOKUP(Table7[[#This Row],[Date]],Database!$A:$C,MATCH($B$1,Database!$A$1:$C$1,),)=0,#N/A,VLOOKUP(Table7[[#This Row],[Date]],Database!$A:$C,MATCH($B$1,Database!$A$1:$C$1,),))</f>
        <v/>
      </c>
      <c r="C9494">
        <f>IF(VLOOKUP(Table7[[#This Row],[Date]],Database!$A:$C,MATCH($C$1,Database!$A$1:$C$1,),)=0,#N/A,VLOOKUP(Table7[[#This Row],[Date]],Database!$A:$C,MATCH($C$1,Database!$A$1:$C$1,),))</f>
        <v/>
      </c>
      <c r="D9494">
        <f>IFERROR(Table7[[#This Row],[United States 10y]]-Table7[[#This Row],[United States 3y]],#N/A)</f>
        <v/>
      </c>
    </row>
    <row r="9495">
      <c r="A9495" s="6">
        <f>Database!$A11580</f>
        <v/>
      </c>
      <c r="B9495">
        <f>IF(VLOOKUP(Table7[[#This Row],[Date]],Database!$A:$C,MATCH($B$1,Database!$A$1:$C$1,),)=0,#N/A,VLOOKUP(Table7[[#This Row],[Date]],Database!$A:$C,MATCH($B$1,Database!$A$1:$C$1,),))</f>
        <v/>
      </c>
      <c r="C9495">
        <f>IF(VLOOKUP(Table7[[#This Row],[Date]],Database!$A:$C,MATCH($C$1,Database!$A$1:$C$1,),)=0,#N/A,VLOOKUP(Table7[[#This Row],[Date]],Database!$A:$C,MATCH($C$1,Database!$A$1:$C$1,),))</f>
        <v/>
      </c>
      <c r="D9495">
        <f>IFERROR(Table7[[#This Row],[United States 10y]]-Table7[[#This Row],[United States 3y]],#N/A)</f>
        <v/>
      </c>
    </row>
    <row r="9496">
      <c r="A9496" s="6">
        <f>Database!$A11581</f>
        <v/>
      </c>
      <c r="B9496">
        <f>IF(VLOOKUP(Table7[[#This Row],[Date]],Database!$A:$C,MATCH($B$1,Database!$A$1:$C$1,),)=0,#N/A,VLOOKUP(Table7[[#This Row],[Date]],Database!$A:$C,MATCH($B$1,Database!$A$1:$C$1,),))</f>
        <v/>
      </c>
      <c r="C9496">
        <f>IF(VLOOKUP(Table7[[#This Row],[Date]],Database!$A:$C,MATCH($C$1,Database!$A$1:$C$1,),)=0,#N/A,VLOOKUP(Table7[[#This Row],[Date]],Database!$A:$C,MATCH($C$1,Database!$A$1:$C$1,),))</f>
        <v/>
      </c>
      <c r="D9496">
        <f>IFERROR(Table7[[#This Row],[United States 10y]]-Table7[[#This Row],[United States 3y]],#N/A)</f>
        <v/>
      </c>
    </row>
    <row r="9497">
      <c r="A9497" s="6">
        <f>Database!$A11582</f>
        <v/>
      </c>
      <c r="B9497">
        <f>IF(VLOOKUP(Table7[[#This Row],[Date]],Database!$A:$C,MATCH($B$1,Database!$A$1:$C$1,),)=0,#N/A,VLOOKUP(Table7[[#This Row],[Date]],Database!$A:$C,MATCH($B$1,Database!$A$1:$C$1,),))</f>
        <v/>
      </c>
      <c r="C9497">
        <f>IF(VLOOKUP(Table7[[#This Row],[Date]],Database!$A:$C,MATCH($C$1,Database!$A$1:$C$1,),)=0,#N/A,VLOOKUP(Table7[[#This Row],[Date]],Database!$A:$C,MATCH($C$1,Database!$A$1:$C$1,),))</f>
        <v/>
      </c>
      <c r="D9497">
        <f>IFERROR(Table7[[#This Row],[United States 10y]]-Table7[[#This Row],[United States 3y]],#N/A)</f>
        <v/>
      </c>
    </row>
    <row r="9498">
      <c r="A9498" s="6">
        <f>Database!$A11583</f>
        <v/>
      </c>
      <c r="B9498">
        <f>IF(VLOOKUP(Table7[[#This Row],[Date]],Database!$A:$C,MATCH($B$1,Database!$A$1:$C$1,),)=0,#N/A,VLOOKUP(Table7[[#This Row],[Date]],Database!$A:$C,MATCH($B$1,Database!$A$1:$C$1,),))</f>
        <v/>
      </c>
      <c r="C9498">
        <f>IF(VLOOKUP(Table7[[#This Row],[Date]],Database!$A:$C,MATCH($C$1,Database!$A$1:$C$1,),)=0,#N/A,VLOOKUP(Table7[[#This Row],[Date]],Database!$A:$C,MATCH($C$1,Database!$A$1:$C$1,),))</f>
        <v/>
      </c>
      <c r="D9498">
        <f>IFERROR(Table7[[#This Row],[United States 10y]]-Table7[[#This Row],[United States 3y]],#N/A)</f>
        <v/>
      </c>
    </row>
    <row r="9499">
      <c r="A9499" s="6">
        <f>Database!$A11584</f>
        <v/>
      </c>
      <c r="B9499">
        <f>IF(VLOOKUP(Table7[[#This Row],[Date]],Database!$A:$C,MATCH($B$1,Database!$A$1:$C$1,),)=0,#N/A,VLOOKUP(Table7[[#This Row],[Date]],Database!$A:$C,MATCH($B$1,Database!$A$1:$C$1,),))</f>
        <v/>
      </c>
      <c r="C9499">
        <f>IF(VLOOKUP(Table7[[#This Row],[Date]],Database!$A:$C,MATCH($C$1,Database!$A$1:$C$1,),)=0,#N/A,VLOOKUP(Table7[[#This Row],[Date]],Database!$A:$C,MATCH($C$1,Database!$A$1:$C$1,),))</f>
        <v/>
      </c>
      <c r="D9499">
        <f>IFERROR(Table7[[#This Row],[United States 10y]]-Table7[[#This Row],[United States 3y]],#N/A)</f>
        <v/>
      </c>
    </row>
    <row r="9500">
      <c r="A9500" s="6">
        <f>Database!$A11585</f>
        <v/>
      </c>
      <c r="B9500">
        <f>IF(VLOOKUP(Table7[[#This Row],[Date]],Database!$A:$C,MATCH($B$1,Database!$A$1:$C$1,),)=0,#N/A,VLOOKUP(Table7[[#This Row],[Date]],Database!$A:$C,MATCH($B$1,Database!$A$1:$C$1,),))</f>
        <v/>
      </c>
      <c r="C9500">
        <f>IF(VLOOKUP(Table7[[#This Row],[Date]],Database!$A:$C,MATCH($C$1,Database!$A$1:$C$1,),)=0,#N/A,VLOOKUP(Table7[[#This Row],[Date]],Database!$A:$C,MATCH($C$1,Database!$A$1:$C$1,),))</f>
        <v/>
      </c>
      <c r="D9500">
        <f>IFERROR(Table7[[#This Row],[United States 10y]]-Table7[[#This Row],[United States 3y]],#N/A)</f>
        <v/>
      </c>
    </row>
    <row r="9501">
      <c r="A9501" s="6">
        <f>Database!$A11586</f>
        <v/>
      </c>
      <c r="B9501">
        <f>IF(VLOOKUP(Table7[[#This Row],[Date]],Database!$A:$C,MATCH($B$1,Database!$A$1:$C$1,),)=0,#N/A,VLOOKUP(Table7[[#This Row],[Date]],Database!$A:$C,MATCH($B$1,Database!$A$1:$C$1,),))</f>
        <v/>
      </c>
      <c r="C9501">
        <f>IF(VLOOKUP(Table7[[#This Row],[Date]],Database!$A:$C,MATCH($C$1,Database!$A$1:$C$1,),)=0,#N/A,VLOOKUP(Table7[[#This Row],[Date]],Database!$A:$C,MATCH($C$1,Database!$A$1:$C$1,),))</f>
        <v/>
      </c>
      <c r="D9501">
        <f>IFERROR(Table7[[#This Row],[United States 10y]]-Table7[[#This Row],[United States 3y]],#N/A)</f>
        <v/>
      </c>
    </row>
    <row r="9502">
      <c r="A9502" s="6">
        <f>Database!$A11587</f>
        <v/>
      </c>
      <c r="B9502">
        <f>IF(VLOOKUP(Table7[[#This Row],[Date]],Database!$A:$C,MATCH($B$1,Database!$A$1:$C$1,),)=0,#N/A,VLOOKUP(Table7[[#This Row],[Date]],Database!$A:$C,MATCH($B$1,Database!$A$1:$C$1,),))</f>
        <v/>
      </c>
      <c r="C9502">
        <f>IF(VLOOKUP(Table7[[#This Row],[Date]],Database!$A:$C,MATCH($C$1,Database!$A$1:$C$1,),)=0,#N/A,VLOOKUP(Table7[[#This Row],[Date]],Database!$A:$C,MATCH($C$1,Database!$A$1:$C$1,),))</f>
        <v/>
      </c>
      <c r="D9502">
        <f>IFERROR(Table7[[#This Row],[United States 10y]]-Table7[[#This Row],[United States 3y]],#N/A)</f>
        <v/>
      </c>
    </row>
    <row r="9503">
      <c r="A9503" s="6">
        <f>Database!$A11588</f>
        <v/>
      </c>
      <c r="B9503">
        <f>IF(VLOOKUP(Table7[[#This Row],[Date]],Database!$A:$C,MATCH($B$1,Database!$A$1:$C$1,),)=0,#N/A,VLOOKUP(Table7[[#This Row],[Date]],Database!$A:$C,MATCH($B$1,Database!$A$1:$C$1,),))</f>
        <v/>
      </c>
      <c r="C9503">
        <f>IF(VLOOKUP(Table7[[#This Row],[Date]],Database!$A:$C,MATCH($C$1,Database!$A$1:$C$1,),)=0,#N/A,VLOOKUP(Table7[[#This Row],[Date]],Database!$A:$C,MATCH($C$1,Database!$A$1:$C$1,),))</f>
        <v/>
      </c>
      <c r="D9503">
        <f>IFERROR(Table7[[#This Row],[United States 10y]]-Table7[[#This Row],[United States 3y]],#N/A)</f>
        <v/>
      </c>
    </row>
    <row r="9504">
      <c r="A9504" s="6">
        <f>Database!$A11589</f>
        <v/>
      </c>
      <c r="B9504">
        <f>IF(VLOOKUP(Table7[[#This Row],[Date]],Database!$A:$C,MATCH($B$1,Database!$A$1:$C$1,),)=0,#N/A,VLOOKUP(Table7[[#This Row],[Date]],Database!$A:$C,MATCH($B$1,Database!$A$1:$C$1,),))</f>
        <v/>
      </c>
      <c r="C9504">
        <f>IF(VLOOKUP(Table7[[#This Row],[Date]],Database!$A:$C,MATCH($C$1,Database!$A$1:$C$1,),)=0,#N/A,VLOOKUP(Table7[[#This Row],[Date]],Database!$A:$C,MATCH($C$1,Database!$A$1:$C$1,),))</f>
        <v/>
      </c>
      <c r="D9504">
        <f>IFERROR(Table7[[#This Row],[United States 10y]]-Table7[[#This Row],[United States 3y]],#N/A)</f>
        <v/>
      </c>
    </row>
    <row r="9505">
      <c r="A9505" s="6">
        <f>Database!$A11590</f>
        <v/>
      </c>
      <c r="B9505">
        <f>IF(VLOOKUP(Table7[[#This Row],[Date]],Database!$A:$C,MATCH($B$1,Database!$A$1:$C$1,),)=0,#N/A,VLOOKUP(Table7[[#This Row],[Date]],Database!$A:$C,MATCH($B$1,Database!$A$1:$C$1,),))</f>
        <v/>
      </c>
      <c r="C9505">
        <f>IF(VLOOKUP(Table7[[#This Row],[Date]],Database!$A:$C,MATCH($C$1,Database!$A$1:$C$1,),)=0,#N/A,VLOOKUP(Table7[[#This Row],[Date]],Database!$A:$C,MATCH($C$1,Database!$A$1:$C$1,),))</f>
        <v/>
      </c>
      <c r="D9505">
        <f>IFERROR(Table7[[#This Row],[United States 10y]]-Table7[[#This Row],[United States 3y]],#N/A)</f>
        <v/>
      </c>
    </row>
    <row r="9506">
      <c r="A9506" s="6">
        <f>Database!$A11591</f>
        <v/>
      </c>
      <c r="B9506">
        <f>IF(VLOOKUP(Table7[[#This Row],[Date]],Database!$A:$C,MATCH($B$1,Database!$A$1:$C$1,),)=0,#N/A,VLOOKUP(Table7[[#This Row],[Date]],Database!$A:$C,MATCH($B$1,Database!$A$1:$C$1,),))</f>
        <v/>
      </c>
      <c r="C9506">
        <f>IF(VLOOKUP(Table7[[#This Row],[Date]],Database!$A:$C,MATCH($C$1,Database!$A$1:$C$1,),)=0,#N/A,VLOOKUP(Table7[[#This Row],[Date]],Database!$A:$C,MATCH($C$1,Database!$A$1:$C$1,),))</f>
        <v/>
      </c>
      <c r="D9506">
        <f>IFERROR(Table7[[#This Row],[United States 10y]]-Table7[[#This Row],[United States 3y]],#N/A)</f>
        <v/>
      </c>
    </row>
    <row r="9507">
      <c r="A9507" s="6">
        <f>Database!$A11592</f>
        <v/>
      </c>
      <c r="B9507">
        <f>IF(VLOOKUP(Table7[[#This Row],[Date]],Database!$A:$C,MATCH($B$1,Database!$A$1:$C$1,),)=0,#N/A,VLOOKUP(Table7[[#This Row],[Date]],Database!$A:$C,MATCH($B$1,Database!$A$1:$C$1,),))</f>
        <v/>
      </c>
      <c r="C9507">
        <f>IF(VLOOKUP(Table7[[#This Row],[Date]],Database!$A:$C,MATCH($C$1,Database!$A$1:$C$1,),)=0,#N/A,VLOOKUP(Table7[[#This Row],[Date]],Database!$A:$C,MATCH($C$1,Database!$A$1:$C$1,),))</f>
        <v/>
      </c>
      <c r="D9507">
        <f>IFERROR(Table7[[#This Row],[United States 10y]]-Table7[[#This Row],[United States 3y]],#N/A)</f>
        <v/>
      </c>
    </row>
    <row r="9508">
      <c r="A9508" s="6">
        <f>Database!$A11593</f>
        <v/>
      </c>
      <c r="B9508">
        <f>IF(VLOOKUP(Table7[[#This Row],[Date]],Database!$A:$C,MATCH($B$1,Database!$A$1:$C$1,),)=0,#N/A,VLOOKUP(Table7[[#This Row],[Date]],Database!$A:$C,MATCH($B$1,Database!$A$1:$C$1,),))</f>
        <v/>
      </c>
      <c r="C9508">
        <f>IF(VLOOKUP(Table7[[#This Row],[Date]],Database!$A:$C,MATCH($C$1,Database!$A$1:$C$1,),)=0,#N/A,VLOOKUP(Table7[[#This Row],[Date]],Database!$A:$C,MATCH($C$1,Database!$A$1:$C$1,),))</f>
        <v/>
      </c>
      <c r="D9508">
        <f>IFERROR(Table7[[#This Row],[United States 10y]]-Table7[[#This Row],[United States 3y]],#N/A)</f>
        <v/>
      </c>
    </row>
    <row r="9509">
      <c r="A9509" s="6">
        <f>Database!$A11594</f>
        <v/>
      </c>
      <c r="B9509">
        <f>IF(VLOOKUP(Table7[[#This Row],[Date]],Database!$A:$C,MATCH($B$1,Database!$A$1:$C$1,),)=0,#N/A,VLOOKUP(Table7[[#This Row],[Date]],Database!$A:$C,MATCH($B$1,Database!$A$1:$C$1,),))</f>
        <v/>
      </c>
      <c r="C9509">
        <f>IF(VLOOKUP(Table7[[#This Row],[Date]],Database!$A:$C,MATCH($C$1,Database!$A$1:$C$1,),)=0,#N/A,VLOOKUP(Table7[[#This Row],[Date]],Database!$A:$C,MATCH($C$1,Database!$A$1:$C$1,),))</f>
        <v/>
      </c>
      <c r="D9509">
        <f>IFERROR(Table7[[#This Row],[United States 10y]]-Table7[[#This Row],[United States 3y]],#N/A)</f>
        <v/>
      </c>
    </row>
    <row r="9510">
      <c r="A9510" s="6">
        <f>Database!$A11595</f>
        <v/>
      </c>
      <c r="B9510">
        <f>IF(VLOOKUP(Table7[[#This Row],[Date]],Database!$A:$C,MATCH($B$1,Database!$A$1:$C$1,),)=0,#N/A,VLOOKUP(Table7[[#This Row],[Date]],Database!$A:$C,MATCH($B$1,Database!$A$1:$C$1,),))</f>
        <v/>
      </c>
      <c r="C9510">
        <f>IF(VLOOKUP(Table7[[#This Row],[Date]],Database!$A:$C,MATCH($C$1,Database!$A$1:$C$1,),)=0,#N/A,VLOOKUP(Table7[[#This Row],[Date]],Database!$A:$C,MATCH($C$1,Database!$A$1:$C$1,),))</f>
        <v/>
      </c>
      <c r="D9510">
        <f>IFERROR(Table7[[#This Row],[United States 10y]]-Table7[[#This Row],[United States 3y]],#N/A)</f>
        <v/>
      </c>
    </row>
    <row r="9511">
      <c r="A9511" s="6">
        <f>Database!$A11596</f>
        <v/>
      </c>
      <c r="B9511">
        <f>IF(VLOOKUP(Table7[[#This Row],[Date]],Database!$A:$C,MATCH($B$1,Database!$A$1:$C$1,),)=0,#N/A,VLOOKUP(Table7[[#This Row],[Date]],Database!$A:$C,MATCH($B$1,Database!$A$1:$C$1,),))</f>
        <v/>
      </c>
      <c r="C9511">
        <f>IF(VLOOKUP(Table7[[#This Row],[Date]],Database!$A:$C,MATCH($C$1,Database!$A$1:$C$1,),)=0,#N/A,VLOOKUP(Table7[[#This Row],[Date]],Database!$A:$C,MATCH($C$1,Database!$A$1:$C$1,),))</f>
        <v/>
      </c>
      <c r="D9511">
        <f>IFERROR(Table7[[#This Row],[United States 10y]]-Table7[[#This Row],[United States 3y]],#N/A)</f>
        <v/>
      </c>
    </row>
    <row r="9512">
      <c r="A9512" s="6">
        <f>Database!$A11597</f>
        <v/>
      </c>
      <c r="B9512">
        <f>IF(VLOOKUP(Table7[[#This Row],[Date]],Database!$A:$C,MATCH($B$1,Database!$A$1:$C$1,),)=0,#N/A,VLOOKUP(Table7[[#This Row],[Date]],Database!$A:$C,MATCH($B$1,Database!$A$1:$C$1,),))</f>
        <v/>
      </c>
      <c r="C9512">
        <f>IF(VLOOKUP(Table7[[#This Row],[Date]],Database!$A:$C,MATCH($C$1,Database!$A$1:$C$1,),)=0,#N/A,VLOOKUP(Table7[[#This Row],[Date]],Database!$A:$C,MATCH($C$1,Database!$A$1:$C$1,),))</f>
        <v/>
      </c>
      <c r="D9512">
        <f>IFERROR(Table7[[#This Row],[United States 10y]]-Table7[[#This Row],[United States 3y]],#N/A)</f>
        <v/>
      </c>
    </row>
    <row r="9513">
      <c r="A9513" s="6">
        <f>Database!$A11598</f>
        <v/>
      </c>
      <c r="B9513">
        <f>IF(VLOOKUP(Table7[[#This Row],[Date]],Database!$A:$C,MATCH($B$1,Database!$A$1:$C$1,),)=0,#N/A,VLOOKUP(Table7[[#This Row],[Date]],Database!$A:$C,MATCH($B$1,Database!$A$1:$C$1,),))</f>
        <v/>
      </c>
      <c r="C9513">
        <f>IF(VLOOKUP(Table7[[#This Row],[Date]],Database!$A:$C,MATCH($C$1,Database!$A$1:$C$1,),)=0,#N/A,VLOOKUP(Table7[[#This Row],[Date]],Database!$A:$C,MATCH($C$1,Database!$A$1:$C$1,),))</f>
        <v/>
      </c>
      <c r="D9513">
        <f>IFERROR(Table7[[#This Row],[United States 10y]]-Table7[[#This Row],[United States 3y]],#N/A)</f>
        <v/>
      </c>
    </row>
    <row r="9514">
      <c r="A9514" s="6">
        <f>Database!$A11599</f>
        <v/>
      </c>
      <c r="B9514">
        <f>IF(VLOOKUP(Table7[[#This Row],[Date]],Database!$A:$C,MATCH($B$1,Database!$A$1:$C$1,),)=0,#N/A,VLOOKUP(Table7[[#This Row],[Date]],Database!$A:$C,MATCH($B$1,Database!$A$1:$C$1,),))</f>
        <v/>
      </c>
      <c r="C9514">
        <f>IF(VLOOKUP(Table7[[#This Row],[Date]],Database!$A:$C,MATCH($C$1,Database!$A$1:$C$1,),)=0,#N/A,VLOOKUP(Table7[[#This Row],[Date]],Database!$A:$C,MATCH($C$1,Database!$A$1:$C$1,),))</f>
        <v/>
      </c>
      <c r="D9514">
        <f>IFERROR(Table7[[#This Row],[United States 10y]]-Table7[[#This Row],[United States 3y]],#N/A)</f>
        <v/>
      </c>
    </row>
    <row r="9515">
      <c r="A9515" s="6">
        <f>Database!$A11600</f>
        <v/>
      </c>
      <c r="B9515">
        <f>IF(VLOOKUP(Table7[[#This Row],[Date]],Database!$A:$C,MATCH($B$1,Database!$A$1:$C$1,),)=0,#N/A,VLOOKUP(Table7[[#This Row],[Date]],Database!$A:$C,MATCH($B$1,Database!$A$1:$C$1,),))</f>
        <v/>
      </c>
      <c r="C9515">
        <f>IF(VLOOKUP(Table7[[#This Row],[Date]],Database!$A:$C,MATCH($C$1,Database!$A$1:$C$1,),)=0,#N/A,VLOOKUP(Table7[[#This Row],[Date]],Database!$A:$C,MATCH($C$1,Database!$A$1:$C$1,),))</f>
        <v/>
      </c>
      <c r="D9515">
        <f>IFERROR(Table7[[#This Row],[United States 10y]]-Table7[[#This Row],[United States 3y]],#N/A)</f>
        <v/>
      </c>
    </row>
    <row r="9516">
      <c r="A9516" s="6">
        <f>Database!$A11601</f>
        <v/>
      </c>
      <c r="B9516">
        <f>IF(VLOOKUP(Table7[[#This Row],[Date]],Database!$A:$C,MATCH($B$1,Database!$A$1:$C$1,),)=0,#N/A,VLOOKUP(Table7[[#This Row],[Date]],Database!$A:$C,MATCH($B$1,Database!$A$1:$C$1,),))</f>
        <v/>
      </c>
      <c r="C9516">
        <f>IF(VLOOKUP(Table7[[#This Row],[Date]],Database!$A:$C,MATCH($C$1,Database!$A$1:$C$1,),)=0,#N/A,VLOOKUP(Table7[[#This Row],[Date]],Database!$A:$C,MATCH($C$1,Database!$A$1:$C$1,),))</f>
        <v/>
      </c>
      <c r="D9516">
        <f>IFERROR(Table7[[#This Row],[United States 10y]]-Table7[[#This Row],[United States 3y]],#N/A)</f>
        <v/>
      </c>
    </row>
    <row r="9517">
      <c r="A9517" s="6">
        <f>Database!$A11602</f>
        <v/>
      </c>
      <c r="B9517">
        <f>IF(VLOOKUP(Table7[[#This Row],[Date]],Database!$A:$C,MATCH($B$1,Database!$A$1:$C$1,),)=0,#N/A,VLOOKUP(Table7[[#This Row],[Date]],Database!$A:$C,MATCH($B$1,Database!$A$1:$C$1,),))</f>
        <v/>
      </c>
      <c r="C9517">
        <f>IF(VLOOKUP(Table7[[#This Row],[Date]],Database!$A:$C,MATCH($C$1,Database!$A$1:$C$1,),)=0,#N/A,VLOOKUP(Table7[[#This Row],[Date]],Database!$A:$C,MATCH($C$1,Database!$A$1:$C$1,),))</f>
        <v/>
      </c>
      <c r="D9517">
        <f>IFERROR(Table7[[#This Row],[United States 10y]]-Table7[[#This Row],[United States 3y]],#N/A)</f>
        <v/>
      </c>
    </row>
    <row r="9518">
      <c r="A9518" s="6">
        <f>Database!$A11603</f>
        <v/>
      </c>
      <c r="B9518">
        <f>IF(VLOOKUP(Table7[[#This Row],[Date]],Database!$A:$C,MATCH($B$1,Database!$A$1:$C$1,),)=0,#N/A,VLOOKUP(Table7[[#This Row],[Date]],Database!$A:$C,MATCH($B$1,Database!$A$1:$C$1,),))</f>
        <v/>
      </c>
      <c r="C9518">
        <f>IF(VLOOKUP(Table7[[#This Row],[Date]],Database!$A:$C,MATCH($C$1,Database!$A$1:$C$1,),)=0,#N/A,VLOOKUP(Table7[[#This Row],[Date]],Database!$A:$C,MATCH($C$1,Database!$A$1:$C$1,),))</f>
        <v/>
      </c>
      <c r="D9518">
        <f>IFERROR(Table7[[#This Row],[United States 10y]]-Table7[[#This Row],[United States 3y]],#N/A)</f>
        <v/>
      </c>
    </row>
    <row r="9519">
      <c r="A9519" s="6">
        <f>Database!$A11604</f>
        <v/>
      </c>
      <c r="B9519">
        <f>IF(VLOOKUP(Table7[[#This Row],[Date]],Database!$A:$C,MATCH($B$1,Database!$A$1:$C$1,),)=0,#N/A,VLOOKUP(Table7[[#This Row],[Date]],Database!$A:$C,MATCH($B$1,Database!$A$1:$C$1,),))</f>
        <v/>
      </c>
      <c r="C9519">
        <f>IF(VLOOKUP(Table7[[#This Row],[Date]],Database!$A:$C,MATCH($C$1,Database!$A$1:$C$1,),)=0,#N/A,VLOOKUP(Table7[[#This Row],[Date]],Database!$A:$C,MATCH($C$1,Database!$A$1:$C$1,),))</f>
        <v/>
      </c>
      <c r="D9519">
        <f>IFERROR(Table7[[#This Row],[United States 10y]]-Table7[[#This Row],[United States 3y]],#N/A)</f>
        <v/>
      </c>
    </row>
    <row r="9520">
      <c r="A9520" s="6">
        <f>Database!$A11605</f>
        <v/>
      </c>
      <c r="B9520">
        <f>IF(VLOOKUP(Table7[[#This Row],[Date]],Database!$A:$C,MATCH($B$1,Database!$A$1:$C$1,),)=0,#N/A,VLOOKUP(Table7[[#This Row],[Date]],Database!$A:$C,MATCH($B$1,Database!$A$1:$C$1,),))</f>
        <v/>
      </c>
      <c r="C9520">
        <f>IF(VLOOKUP(Table7[[#This Row],[Date]],Database!$A:$C,MATCH($C$1,Database!$A$1:$C$1,),)=0,#N/A,VLOOKUP(Table7[[#This Row],[Date]],Database!$A:$C,MATCH($C$1,Database!$A$1:$C$1,),))</f>
        <v/>
      </c>
      <c r="D9520">
        <f>IFERROR(Table7[[#This Row],[United States 10y]]-Table7[[#This Row],[United States 3y]],#N/A)</f>
        <v/>
      </c>
    </row>
    <row r="9521">
      <c r="A9521" s="6">
        <f>Database!$A11606</f>
        <v/>
      </c>
      <c r="B9521">
        <f>IF(VLOOKUP(Table7[[#This Row],[Date]],Database!$A:$C,MATCH($B$1,Database!$A$1:$C$1,),)=0,#N/A,VLOOKUP(Table7[[#This Row],[Date]],Database!$A:$C,MATCH($B$1,Database!$A$1:$C$1,),))</f>
        <v/>
      </c>
      <c r="C9521">
        <f>IF(VLOOKUP(Table7[[#This Row],[Date]],Database!$A:$C,MATCH($C$1,Database!$A$1:$C$1,),)=0,#N/A,VLOOKUP(Table7[[#This Row],[Date]],Database!$A:$C,MATCH($C$1,Database!$A$1:$C$1,),))</f>
        <v/>
      </c>
      <c r="D9521">
        <f>IFERROR(Table7[[#This Row],[United States 10y]]-Table7[[#This Row],[United States 3y]],#N/A)</f>
        <v/>
      </c>
    </row>
    <row r="9522">
      <c r="A9522" s="6">
        <f>Database!$A11607</f>
        <v/>
      </c>
      <c r="B9522">
        <f>IF(VLOOKUP(Table7[[#This Row],[Date]],Database!$A:$C,MATCH($B$1,Database!$A$1:$C$1,),)=0,#N/A,VLOOKUP(Table7[[#This Row],[Date]],Database!$A:$C,MATCH($B$1,Database!$A$1:$C$1,),))</f>
        <v/>
      </c>
      <c r="C9522">
        <f>IF(VLOOKUP(Table7[[#This Row],[Date]],Database!$A:$C,MATCH($C$1,Database!$A$1:$C$1,),)=0,#N/A,VLOOKUP(Table7[[#This Row],[Date]],Database!$A:$C,MATCH($C$1,Database!$A$1:$C$1,),))</f>
        <v/>
      </c>
      <c r="D9522">
        <f>IFERROR(Table7[[#This Row],[United States 10y]]-Table7[[#This Row],[United States 3y]],#N/A)</f>
        <v/>
      </c>
    </row>
    <row r="9523">
      <c r="A9523" s="6">
        <f>Database!$A11608</f>
        <v/>
      </c>
      <c r="B9523">
        <f>IF(VLOOKUP(Table7[[#This Row],[Date]],Database!$A:$C,MATCH($B$1,Database!$A$1:$C$1,),)=0,#N/A,VLOOKUP(Table7[[#This Row],[Date]],Database!$A:$C,MATCH($B$1,Database!$A$1:$C$1,),))</f>
        <v/>
      </c>
      <c r="C9523">
        <f>IF(VLOOKUP(Table7[[#This Row],[Date]],Database!$A:$C,MATCH($C$1,Database!$A$1:$C$1,),)=0,#N/A,VLOOKUP(Table7[[#This Row],[Date]],Database!$A:$C,MATCH($C$1,Database!$A$1:$C$1,),))</f>
        <v/>
      </c>
      <c r="D9523">
        <f>IFERROR(Table7[[#This Row],[United States 10y]]-Table7[[#This Row],[United States 3y]],#N/A)</f>
        <v/>
      </c>
    </row>
    <row r="9524">
      <c r="A9524" s="6">
        <f>Database!$A11609</f>
        <v/>
      </c>
      <c r="B9524">
        <f>IF(VLOOKUP(Table7[[#This Row],[Date]],Database!$A:$C,MATCH($B$1,Database!$A$1:$C$1,),)=0,#N/A,VLOOKUP(Table7[[#This Row],[Date]],Database!$A:$C,MATCH($B$1,Database!$A$1:$C$1,),))</f>
        <v/>
      </c>
      <c r="C9524">
        <f>IF(VLOOKUP(Table7[[#This Row],[Date]],Database!$A:$C,MATCH($C$1,Database!$A$1:$C$1,),)=0,#N/A,VLOOKUP(Table7[[#This Row],[Date]],Database!$A:$C,MATCH($C$1,Database!$A$1:$C$1,),))</f>
        <v/>
      </c>
      <c r="D9524">
        <f>IFERROR(Table7[[#This Row],[United States 10y]]-Table7[[#This Row],[United States 3y]],#N/A)</f>
        <v/>
      </c>
    </row>
    <row r="9525">
      <c r="A9525" s="6">
        <f>Database!$A11610</f>
        <v/>
      </c>
      <c r="B9525">
        <f>IF(VLOOKUP(Table7[[#This Row],[Date]],Database!$A:$C,MATCH($B$1,Database!$A$1:$C$1,),)=0,#N/A,VLOOKUP(Table7[[#This Row],[Date]],Database!$A:$C,MATCH($B$1,Database!$A$1:$C$1,),))</f>
        <v/>
      </c>
      <c r="C9525">
        <f>IF(VLOOKUP(Table7[[#This Row],[Date]],Database!$A:$C,MATCH($C$1,Database!$A$1:$C$1,),)=0,#N/A,VLOOKUP(Table7[[#This Row],[Date]],Database!$A:$C,MATCH($C$1,Database!$A$1:$C$1,),))</f>
        <v/>
      </c>
      <c r="D9525">
        <f>IFERROR(Table7[[#This Row],[United States 10y]]-Table7[[#This Row],[United States 3y]],#N/A)</f>
        <v/>
      </c>
    </row>
    <row r="9526">
      <c r="A9526" s="6">
        <f>Database!$A11611</f>
        <v/>
      </c>
      <c r="B9526">
        <f>IF(VLOOKUP(Table7[[#This Row],[Date]],Database!$A:$C,MATCH($B$1,Database!$A$1:$C$1,),)=0,#N/A,VLOOKUP(Table7[[#This Row],[Date]],Database!$A:$C,MATCH($B$1,Database!$A$1:$C$1,),))</f>
        <v/>
      </c>
      <c r="C9526">
        <f>IF(VLOOKUP(Table7[[#This Row],[Date]],Database!$A:$C,MATCH($C$1,Database!$A$1:$C$1,),)=0,#N/A,VLOOKUP(Table7[[#This Row],[Date]],Database!$A:$C,MATCH($C$1,Database!$A$1:$C$1,),))</f>
        <v/>
      </c>
      <c r="D9526">
        <f>IFERROR(Table7[[#This Row],[United States 10y]]-Table7[[#This Row],[United States 3y]],#N/A)</f>
        <v/>
      </c>
    </row>
    <row r="9527">
      <c r="A9527" s="6">
        <f>Database!$A11612</f>
        <v/>
      </c>
      <c r="B9527">
        <f>IF(VLOOKUP(Table7[[#This Row],[Date]],Database!$A:$C,MATCH($B$1,Database!$A$1:$C$1,),)=0,#N/A,VLOOKUP(Table7[[#This Row],[Date]],Database!$A:$C,MATCH($B$1,Database!$A$1:$C$1,),))</f>
        <v/>
      </c>
      <c r="C9527">
        <f>IF(VLOOKUP(Table7[[#This Row],[Date]],Database!$A:$C,MATCH($C$1,Database!$A$1:$C$1,),)=0,#N/A,VLOOKUP(Table7[[#This Row],[Date]],Database!$A:$C,MATCH($C$1,Database!$A$1:$C$1,),))</f>
        <v/>
      </c>
      <c r="D9527">
        <f>IFERROR(Table7[[#This Row],[United States 10y]]-Table7[[#This Row],[United States 3y]],#N/A)</f>
        <v/>
      </c>
    </row>
    <row r="9528">
      <c r="A9528" s="6">
        <f>Database!$A11613</f>
        <v/>
      </c>
      <c r="B9528">
        <f>IF(VLOOKUP(Table7[[#This Row],[Date]],Database!$A:$C,MATCH($B$1,Database!$A$1:$C$1,),)=0,#N/A,VLOOKUP(Table7[[#This Row],[Date]],Database!$A:$C,MATCH($B$1,Database!$A$1:$C$1,),))</f>
        <v/>
      </c>
      <c r="C9528">
        <f>IF(VLOOKUP(Table7[[#This Row],[Date]],Database!$A:$C,MATCH($C$1,Database!$A$1:$C$1,),)=0,#N/A,VLOOKUP(Table7[[#This Row],[Date]],Database!$A:$C,MATCH($C$1,Database!$A$1:$C$1,),))</f>
        <v/>
      </c>
      <c r="D9528">
        <f>IFERROR(Table7[[#This Row],[United States 10y]]-Table7[[#This Row],[United States 3y]],#N/A)</f>
        <v/>
      </c>
    </row>
    <row r="9529">
      <c r="A9529" s="6">
        <f>Database!$A11614</f>
        <v/>
      </c>
      <c r="B9529">
        <f>IF(VLOOKUP(Table7[[#This Row],[Date]],Database!$A:$C,MATCH($B$1,Database!$A$1:$C$1,),)=0,#N/A,VLOOKUP(Table7[[#This Row],[Date]],Database!$A:$C,MATCH($B$1,Database!$A$1:$C$1,),))</f>
        <v/>
      </c>
      <c r="C9529">
        <f>IF(VLOOKUP(Table7[[#This Row],[Date]],Database!$A:$C,MATCH($C$1,Database!$A$1:$C$1,),)=0,#N/A,VLOOKUP(Table7[[#This Row],[Date]],Database!$A:$C,MATCH($C$1,Database!$A$1:$C$1,),))</f>
        <v/>
      </c>
      <c r="D9529">
        <f>IFERROR(Table7[[#This Row],[United States 10y]]-Table7[[#This Row],[United States 3y]],#N/A)</f>
        <v/>
      </c>
    </row>
    <row r="9530">
      <c r="A9530" s="6">
        <f>Database!$A11615</f>
        <v/>
      </c>
      <c r="B9530">
        <f>IF(VLOOKUP(Table7[[#This Row],[Date]],Database!$A:$C,MATCH($B$1,Database!$A$1:$C$1,),)=0,#N/A,VLOOKUP(Table7[[#This Row],[Date]],Database!$A:$C,MATCH($B$1,Database!$A$1:$C$1,),))</f>
        <v/>
      </c>
      <c r="C9530">
        <f>IF(VLOOKUP(Table7[[#This Row],[Date]],Database!$A:$C,MATCH($C$1,Database!$A$1:$C$1,),)=0,#N/A,VLOOKUP(Table7[[#This Row],[Date]],Database!$A:$C,MATCH($C$1,Database!$A$1:$C$1,),))</f>
        <v/>
      </c>
      <c r="D9530">
        <f>IFERROR(Table7[[#This Row],[United States 10y]]-Table7[[#This Row],[United States 3y]],#N/A)</f>
        <v/>
      </c>
    </row>
    <row r="9531">
      <c r="A9531" s="6">
        <f>Database!$A11616</f>
        <v/>
      </c>
      <c r="B9531">
        <f>IF(VLOOKUP(Table7[[#This Row],[Date]],Database!$A:$C,MATCH($B$1,Database!$A$1:$C$1,),)=0,#N/A,VLOOKUP(Table7[[#This Row],[Date]],Database!$A:$C,MATCH($B$1,Database!$A$1:$C$1,),))</f>
        <v/>
      </c>
      <c r="C9531">
        <f>IF(VLOOKUP(Table7[[#This Row],[Date]],Database!$A:$C,MATCH($C$1,Database!$A$1:$C$1,),)=0,#N/A,VLOOKUP(Table7[[#This Row],[Date]],Database!$A:$C,MATCH($C$1,Database!$A$1:$C$1,),))</f>
        <v/>
      </c>
      <c r="D9531">
        <f>IFERROR(Table7[[#This Row],[United States 10y]]-Table7[[#This Row],[United States 3y]],#N/A)</f>
        <v/>
      </c>
    </row>
    <row r="9532">
      <c r="A9532" s="6">
        <f>Database!$A11617</f>
        <v/>
      </c>
      <c r="B9532">
        <f>IF(VLOOKUP(Table7[[#This Row],[Date]],Database!$A:$C,MATCH($B$1,Database!$A$1:$C$1,),)=0,#N/A,VLOOKUP(Table7[[#This Row],[Date]],Database!$A:$C,MATCH($B$1,Database!$A$1:$C$1,),))</f>
        <v/>
      </c>
      <c r="C9532">
        <f>IF(VLOOKUP(Table7[[#This Row],[Date]],Database!$A:$C,MATCH($C$1,Database!$A$1:$C$1,),)=0,#N/A,VLOOKUP(Table7[[#This Row],[Date]],Database!$A:$C,MATCH($C$1,Database!$A$1:$C$1,),))</f>
        <v/>
      </c>
      <c r="D9532">
        <f>IFERROR(Table7[[#This Row],[United States 10y]]-Table7[[#This Row],[United States 3y]],#N/A)</f>
        <v/>
      </c>
    </row>
    <row r="9533">
      <c r="A9533" s="6">
        <f>Database!$A11618</f>
        <v/>
      </c>
      <c r="B9533">
        <f>IF(VLOOKUP(Table7[[#This Row],[Date]],Database!$A:$C,MATCH($B$1,Database!$A$1:$C$1,),)=0,#N/A,VLOOKUP(Table7[[#This Row],[Date]],Database!$A:$C,MATCH($B$1,Database!$A$1:$C$1,),))</f>
        <v/>
      </c>
      <c r="C9533">
        <f>IF(VLOOKUP(Table7[[#This Row],[Date]],Database!$A:$C,MATCH($C$1,Database!$A$1:$C$1,),)=0,#N/A,VLOOKUP(Table7[[#This Row],[Date]],Database!$A:$C,MATCH($C$1,Database!$A$1:$C$1,),))</f>
        <v/>
      </c>
      <c r="D9533">
        <f>IFERROR(Table7[[#This Row],[United States 10y]]-Table7[[#This Row],[United States 3y]],#N/A)</f>
        <v/>
      </c>
    </row>
    <row r="9534">
      <c r="A9534" s="6">
        <f>Database!$A11619</f>
        <v/>
      </c>
      <c r="B9534">
        <f>IF(VLOOKUP(Table7[[#This Row],[Date]],Database!$A:$C,MATCH($B$1,Database!$A$1:$C$1,),)=0,#N/A,VLOOKUP(Table7[[#This Row],[Date]],Database!$A:$C,MATCH($B$1,Database!$A$1:$C$1,),))</f>
        <v/>
      </c>
      <c r="C9534">
        <f>IF(VLOOKUP(Table7[[#This Row],[Date]],Database!$A:$C,MATCH($C$1,Database!$A$1:$C$1,),)=0,#N/A,VLOOKUP(Table7[[#This Row],[Date]],Database!$A:$C,MATCH($C$1,Database!$A$1:$C$1,),))</f>
        <v/>
      </c>
      <c r="D9534">
        <f>IFERROR(Table7[[#This Row],[United States 10y]]-Table7[[#This Row],[United States 3y]],#N/A)</f>
        <v/>
      </c>
    </row>
    <row r="9535">
      <c r="A9535" s="6">
        <f>Database!$A11620</f>
        <v/>
      </c>
      <c r="B9535">
        <f>IF(VLOOKUP(Table7[[#This Row],[Date]],Database!$A:$C,MATCH($B$1,Database!$A$1:$C$1,),)=0,#N/A,VLOOKUP(Table7[[#This Row],[Date]],Database!$A:$C,MATCH($B$1,Database!$A$1:$C$1,),))</f>
        <v/>
      </c>
      <c r="C9535">
        <f>IF(VLOOKUP(Table7[[#This Row],[Date]],Database!$A:$C,MATCH($C$1,Database!$A$1:$C$1,),)=0,#N/A,VLOOKUP(Table7[[#This Row],[Date]],Database!$A:$C,MATCH($C$1,Database!$A$1:$C$1,),))</f>
        <v/>
      </c>
      <c r="D9535">
        <f>IFERROR(Table7[[#This Row],[United States 10y]]-Table7[[#This Row],[United States 3y]],#N/A)</f>
        <v/>
      </c>
    </row>
    <row r="9536">
      <c r="A9536" s="6">
        <f>Database!$A11621</f>
        <v/>
      </c>
      <c r="B9536">
        <f>IF(VLOOKUP(Table7[[#This Row],[Date]],Database!$A:$C,MATCH($B$1,Database!$A$1:$C$1,),)=0,#N/A,VLOOKUP(Table7[[#This Row],[Date]],Database!$A:$C,MATCH($B$1,Database!$A$1:$C$1,),))</f>
        <v/>
      </c>
      <c r="C9536">
        <f>IF(VLOOKUP(Table7[[#This Row],[Date]],Database!$A:$C,MATCH($C$1,Database!$A$1:$C$1,),)=0,#N/A,VLOOKUP(Table7[[#This Row],[Date]],Database!$A:$C,MATCH($C$1,Database!$A$1:$C$1,),))</f>
        <v/>
      </c>
      <c r="D9536">
        <f>IFERROR(Table7[[#This Row],[United States 10y]]-Table7[[#This Row],[United States 3y]],#N/A)</f>
        <v/>
      </c>
    </row>
    <row r="9537">
      <c r="A9537" s="6">
        <f>Database!$A11622</f>
        <v/>
      </c>
      <c r="B9537">
        <f>IF(VLOOKUP(Table7[[#This Row],[Date]],Database!$A:$C,MATCH($B$1,Database!$A$1:$C$1,),)=0,#N/A,VLOOKUP(Table7[[#This Row],[Date]],Database!$A:$C,MATCH($B$1,Database!$A$1:$C$1,),))</f>
        <v/>
      </c>
      <c r="C9537">
        <f>IF(VLOOKUP(Table7[[#This Row],[Date]],Database!$A:$C,MATCH($C$1,Database!$A$1:$C$1,),)=0,#N/A,VLOOKUP(Table7[[#This Row],[Date]],Database!$A:$C,MATCH($C$1,Database!$A$1:$C$1,),))</f>
        <v/>
      </c>
      <c r="D9537">
        <f>IFERROR(Table7[[#This Row],[United States 10y]]-Table7[[#This Row],[United States 3y]],#N/A)</f>
        <v/>
      </c>
    </row>
    <row r="9538">
      <c r="A9538" s="6">
        <f>Database!$A11623</f>
        <v/>
      </c>
      <c r="B9538">
        <f>IF(VLOOKUP(Table7[[#This Row],[Date]],Database!$A:$C,MATCH($B$1,Database!$A$1:$C$1,),)=0,#N/A,VLOOKUP(Table7[[#This Row],[Date]],Database!$A:$C,MATCH($B$1,Database!$A$1:$C$1,),))</f>
        <v/>
      </c>
      <c r="C9538">
        <f>IF(VLOOKUP(Table7[[#This Row],[Date]],Database!$A:$C,MATCH($C$1,Database!$A$1:$C$1,),)=0,#N/A,VLOOKUP(Table7[[#This Row],[Date]],Database!$A:$C,MATCH($C$1,Database!$A$1:$C$1,),))</f>
        <v/>
      </c>
      <c r="D9538">
        <f>IFERROR(Table7[[#This Row],[United States 10y]]-Table7[[#This Row],[United States 3y]],#N/A)</f>
        <v/>
      </c>
    </row>
    <row r="9539">
      <c r="A9539" s="6">
        <f>Database!$A11624</f>
        <v/>
      </c>
      <c r="B9539">
        <f>IF(VLOOKUP(Table7[[#This Row],[Date]],Database!$A:$C,MATCH($B$1,Database!$A$1:$C$1,),)=0,#N/A,VLOOKUP(Table7[[#This Row],[Date]],Database!$A:$C,MATCH($B$1,Database!$A$1:$C$1,),))</f>
        <v/>
      </c>
      <c r="C9539">
        <f>IF(VLOOKUP(Table7[[#This Row],[Date]],Database!$A:$C,MATCH($C$1,Database!$A$1:$C$1,),)=0,#N/A,VLOOKUP(Table7[[#This Row],[Date]],Database!$A:$C,MATCH($C$1,Database!$A$1:$C$1,),))</f>
        <v/>
      </c>
      <c r="D9539">
        <f>IFERROR(Table7[[#This Row],[United States 10y]]-Table7[[#This Row],[United States 3y]],#N/A)</f>
        <v/>
      </c>
    </row>
    <row r="9540">
      <c r="A9540" s="6">
        <f>Database!$A11625</f>
        <v/>
      </c>
      <c r="B9540">
        <f>IF(VLOOKUP(Table7[[#This Row],[Date]],Database!$A:$C,MATCH($B$1,Database!$A$1:$C$1,),)=0,#N/A,VLOOKUP(Table7[[#This Row],[Date]],Database!$A:$C,MATCH($B$1,Database!$A$1:$C$1,),))</f>
        <v/>
      </c>
      <c r="C9540">
        <f>IF(VLOOKUP(Table7[[#This Row],[Date]],Database!$A:$C,MATCH($C$1,Database!$A$1:$C$1,),)=0,#N/A,VLOOKUP(Table7[[#This Row],[Date]],Database!$A:$C,MATCH($C$1,Database!$A$1:$C$1,),))</f>
        <v/>
      </c>
      <c r="D9540">
        <f>IFERROR(Table7[[#This Row],[United States 10y]]-Table7[[#This Row],[United States 3y]],#N/A)</f>
        <v/>
      </c>
    </row>
    <row r="9541">
      <c r="A9541" s="6">
        <f>Database!$A11626</f>
        <v/>
      </c>
      <c r="B9541">
        <f>IF(VLOOKUP(Table7[[#This Row],[Date]],Database!$A:$C,MATCH($B$1,Database!$A$1:$C$1,),)=0,#N/A,VLOOKUP(Table7[[#This Row],[Date]],Database!$A:$C,MATCH($B$1,Database!$A$1:$C$1,),))</f>
        <v/>
      </c>
      <c r="C9541">
        <f>IF(VLOOKUP(Table7[[#This Row],[Date]],Database!$A:$C,MATCH($C$1,Database!$A$1:$C$1,),)=0,#N/A,VLOOKUP(Table7[[#This Row],[Date]],Database!$A:$C,MATCH($C$1,Database!$A$1:$C$1,),))</f>
        <v/>
      </c>
      <c r="D9541">
        <f>IFERROR(Table7[[#This Row],[United States 10y]]-Table7[[#This Row],[United States 3y]],#N/A)</f>
        <v/>
      </c>
    </row>
    <row r="9542">
      <c r="A9542" s="6">
        <f>Database!$A11627</f>
        <v/>
      </c>
      <c r="B9542">
        <f>IF(VLOOKUP(Table7[[#This Row],[Date]],Database!$A:$C,MATCH($B$1,Database!$A$1:$C$1,),)=0,#N/A,VLOOKUP(Table7[[#This Row],[Date]],Database!$A:$C,MATCH($B$1,Database!$A$1:$C$1,),))</f>
        <v/>
      </c>
      <c r="C9542">
        <f>IF(VLOOKUP(Table7[[#This Row],[Date]],Database!$A:$C,MATCH($C$1,Database!$A$1:$C$1,),)=0,#N/A,VLOOKUP(Table7[[#This Row],[Date]],Database!$A:$C,MATCH($C$1,Database!$A$1:$C$1,),))</f>
        <v/>
      </c>
      <c r="D9542">
        <f>IFERROR(Table7[[#This Row],[United States 10y]]-Table7[[#This Row],[United States 3y]],#N/A)</f>
        <v/>
      </c>
    </row>
    <row r="9543">
      <c r="A9543" s="6">
        <f>Database!$A11628</f>
        <v/>
      </c>
      <c r="B9543">
        <f>IF(VLOOKUP(Table7[[#This Row],[Date]],Database!$A:$C,MATCH($B$1,Database!$A$1:$C$1,),)=0,#N/A,VLOOKUP(Table7[[#This Row],[Date]],Database!$A:$C,MATCH($B$1,Database!$A$1:$C$1,),))</f>
        <v/>
      </c>
      <c r="C9543">
        <f>IF(VLOOKUP(Table7[[#This Row],[Date]],Database!$A:$C,MATCH($C$1,Database!$A$1:$C$1,),)=0,#N/A,VLOOKUP(Table7[[#This Row],[Date]],Database!$A:$C,MATCH($C$1,Database!$A$1:$C$1,),))</f>
        <v/>
      </c>
      <c r="D9543">
        <f>IFERROR(Table7[[#This Row],[United States 10y]]-Table7[[#This Row],[United States 3y]],#N/A)</f>
        <v/>
      </c>
    </row>
    <row r="9544">
      <c r="A9544" s="6">
        <f>Database!$A11629</f>
        <v/>
      </c>
      <c r="B9544">
        <f>IF(VLOOKUP(Table7[[#This Row],[Date]],Database!$A:$C,MATCH($B$1,Database!$A$1:$C$1,),)=0,#N/A,VLOOKUP(Table7[[#This Row],[Date]],Database!$A:$C,MATCH($B$1,Database!$A$1:$C$1,),))</f>
        <v/>
      </c>
      <c r="C9544">
        <f>IF(VLOOKUP(Table7[[#This Row],[Date]],Database!$A:$C,MATCH($C$1,Database!$A$1:$C$1,),)=0,#N/A,VLOOKUP(Table7[[#This Row],[Date]],Database!$A:$C,MATCH($C$1,Database!$A$1:$C$1,),))</f>
        <v/>
      </c>
      <c r="D9544">
        <f>IFERROR(Table7[[#This Row],[United States 10y]]-Table7[[#This Row],[United States 3y]],#N/A)</f>
        <v/>
      </c>
    </row>
    <row r="9545">
      <c r="A9545" s="6">
        <f>Database!$A11630</f>
        <v/>
      </c>
      <c r="B9545">
        <f>IF(VLOOKUP(Table7[[#This Row],[Date]],Database!$A:$C,MATCH($B$1,Database!$A$1:$C$1,),)=0,#N/A,VLOOKUP(Table7[[#This Row],[Date]],Database!$A:$C,MATCH($B$1,Database!$A$1:$C$1,),))</f>
        <v/>
      </c>
      <c r="C9545">
        <f>IF(VLOOKUP(Table7[[#This Row],[Date]],Database!$A:$C,MATCH($C$1,Database!$A$1:$C$1,),)=0,#N/A,VLOOKUP(Table7[[#This Row],[Date]],Database!$A:$C,MATCH($C$1,Database!$A$1:$C$1,),))</f>
        <v/>
      </c>
      <c r="D9545">
        <f>IFERROR(Table7[[#This Row],[United States 10y]]-Table7[[#This Row],[United States 3y]],#N/A)</f>
        <v/>
      </c>
    </row>
    <row r="9546">
      <c r="A9546" s="6">
        <f>Database!$A11631</f>
        <v/>
      </c>
      <c r="B9546">
        <f>IF(VLOOKUP(Table7[[#This Row],[Date]],Database!$A:$C,MATCH($B$1,Database!$A$1:$C$1,),)=0,#N/A,VLOOKUP(Table7[[#This Row],[Date]],Database!$A:$C,MATCH($B$1,Database!$A$1:$C$1,),))</f>
        <v/>
      </c>
      <c r="C9546">
        <f>IF(VLOOKUP(Table7[[#This Row],[Date]],Database!$A:$C,MATCH($C$1,Database!$A$1:$C$1,),)=0,#N/A,VLOOKUP(Table7[[#This Row],[Date]],Database!$A:$C,MATCH($C$1,Database!$A$1:$C$1,),))</f>
        <v/>
      </c>
      <c r="D9546">
        <f>IFERROR(Table7[[#This Row],[United States 10y]]-Table7[[#This Row],[United States 3y]],#N/A)</f>
        <v/>
      </c>
    </row>
    <row r="9547">
      <c r="A9547" s="6">
        <f>Database!$A11632</f>
        <v/>
      </c>
      <c r="B9547">
        <f>IF(VLOOKUP(Table7[[#This Row],[Date]],Database!$A:$C,MATCH($B$1,Database!$A$1:$C$1,),)=0,#N/A,VLOOKUP(Table7[[#This Row],[Date]],Database!$A:$C,MATCH($B$1,Database!$A$1:$C$1,),))</f>
        <v/>
      </c>
      <c r="C9547">
        <f>IF(VLOOKUP(Table7[[#This Row],[Date]],Database!$A:$C,MATCH($C$1,Database!$A$1:$C$1,),)=0,#N/A,VLOOKUP(Table7[[#This Row],[Date]],Database!$A:$C,MATCH($C$1,Database!$A$1:$C$1,),))</f>
        <v/>
      </c>
      <c r="D9547">
        <f>IFERROR(Table7[[#This Row],[United States 10y]]-Table7[[#This Row],[United States 3y]],#N/A)</f>
        <v/>
      </c>
    </row>
    <row r="9548">
      <c r="A9548" s="6">
        <f>Database!$A11633</f>
        <v/>
      </c>
      <c r="B9548">
        <f>IF(VLOOKUP(Table7[[#This Row],[Date]],Database!$A:$C,MATCH($B$1,Database!$A$1:$C$1,),)=0,#N/A,VLOOKUP(Table7[[#This Row],[Date]],Database!$A:$C,MATCH($B$1,Database!$A$1:$C$1,),))</f>
        <v/>
      </c>
      <c r="C9548">
        <f>IF(VLOOKUP(Table7[[#This Row],[Date]],Database!$A:$C,MATCH($C$1,Database!$A$1:$C$1,),)=0,#N/A,VLOOKUP(Table7[[#This Row],[Date]],Database!$A:$C,MATCH($C$1,Database!$A$1:$C$1,),))</f>
        <v/>
      </c>
      <c r="D9548">
        <f>IFERROR(Table7[[#This Row],[United States 10y]]-Table7[[#This Row],[United States 3y]],#N/A)</f>
        <v/>
      </c>
    </row>
    <row r="9549">
      <c r="A9549" s="6">
        <f>Database!$A11634</f>
        <v/>
      </c>
      <c r="B9549">
        <f>IF(VLOOKUP(Table7[[#This Row],[Date]],Database!$A:$C,MATCH($B$1,Database!$A$1:$C$1,),)=0,#N/A,VLOOKUP(Table7[[#This Row],[Date]],Database!$A:$C,MATCH($B$1,Database!$A$1:$C$1,),))</f>
        <v/>
      </c>
      <c r="C9549">
        <f>IF(VLOOKUP(Table7[[#This Row],[Date]],Database!$A:$C,MATCH($C$1,Database!$A$1:$C$1,),)=0,#N/A,VLOOKUP(Table7[[#This Row],[Date]],Database!$A:$C,MATCH($C$1,Database!$A$1:$C$1,),))</f>
        <v/>
      </c>
      <c r="D9549">
        <f>IFERROR(Table7[[#This Row],[United States 10y]]-Table7[[#This Row],[United States 3y]],#N/A)</f>
        <v/>
      </c>
    </row>
    <row r="9550">
      <c r="A9550" s="6">
        <f>Database!$A11635</f>
        <v/>
      </c>
      <c r="B9550">
        <f>IF(VLOOKUP(Table7[[#This Row],[Date]],Database!$A:$C,MATCH($B$1,Database!$A$1:$C$1,),)=0,#N/A,VLOOKUP(Table7[[#This Row],[Date]],Database!$A:$C,MATCH($B$1,Database!$A$1:$C$1,),))</f>
        <v/>
      </c>
      <c r="C9550">
        <f>IF(VLOOKUP(Table7[[#This Row],[Date]],Database!$A:$C,MATCH($C$1,Database!$A$1:$C$1,),)=0,#N/A,VLOOKUP(Table7[[#This Row],[Date]],Database!$A:$C,MATCH($C$1,Database!$A$1:$C$1,),))</f>
        <v/>
      </c>
      <c r="D9550">
        <f>IFERROR(Table7[[#This Row],[United States 10y]]-Table7[[#This Row],[United States 3y]],#N/A)</f>
        <v/>
      </c>
    </row>
    <row r="9551">
      <c r="A9551" s="6">
        <f>Database!$A11636</f>
        <v/>
      </c>
      <c r="B9551">
        <f>IF(VLOOKUP(Table7[[#This Row],[Date]],Database!$A:$C,MATCH($B$1,Database!$A$1:$C$1,),)=0,#N/A,VLOOKUP(Table7[[#This Row],[Date]],Database!$A:$C,MATCH($B$1,Database!$A$1:$C$1,),))</f>
        <v/>
      </c>
      <c r="C9551">
        <f>IF(VLOOKUP(Table7[[#This Row],[Date]],Database!$A:$C,MATCH($C$1,Database!$A$1:$C$1,),)=0,#N/A,VLOOKUP(Table7[[#This Row],[Date]],Database!$A:$C,MATCH($C$1,Database!$A$1:$C$1,),))</f>
        <v/>
      </c>
      <c r="D9551">
        <f>IFERROR(Table7[[#This Row],[United States 10y]]-Table7[[#This Row],[United States 3y]],#N/A)</f>
        <v/>
      </c>
    </row>
    <row r="9552">
      <c r="A9552" s="6">
        <f>Database!$A11637</f>
        <v/>
      </c>
      <c r="B9552">
        <f>IF(VLOOKUP(Table7[[#This Row],[Date]],Database!$A:$C,MATCH($B$1,Database!$A$1:$C$1,),)=0,#N/A,VLOOKUP(Table7[[#This Row],[Date]],Database!$A:$C,MATCH($B$1,Database!$A$1:$C$1,),))</f>
        <v/>
      </c>
      <c r="C9552">
        <f>IF(VLOOKUP(Table7[[#This Row],[Date]],Database!$A:$C,MATCH($C$1,Database!$A$1:$C$1,),)=0,#N/A,VLOOKUP(Table7[[#This Row],[Date]],Database!$A:$C,MATCH($C$1,Database!$A$1:$C$1,),))</f>
        <v/>
      </c>
      <c r="D9552">
        <f>IFERROR(Table7[[#This Row],[United States 10y]]-Table7[[#This Row],[United States 3y]],#N/A)</f>
        <v/>
      </c>
    </row>
    <row r="9553">
      <c r="A9553" s="6">
        <f>Database!$A11638</f>
        <v/>
      </c>
      <c r="B9553">
        <f>IF(VLOOKUP(Table7[[#This Row],[Date]],Database!$A:$C,MATCH($B$1,Database!$A$1:$C$1,),)=0,#N/A,VLOOKUP(Table7[[#This Row],[Date]],Database!$A:$C,MATCH($B$1,Database!$A$1:$C$1,),))</f>
        <v/>
      </c>
      <c r="C9553">
        <f>IF(VLOOKUP(Table7[[#This Row],[Date]],Database!$A:$C,MATCH($C$1,Database!$A$1:$C$1,),)=0,#N/A,VLOOKUP(Table7[[#This Row],[Date]],Database!$A:$C,MATCH($C$1,Database!$A$1:$C$1,),))</f>
        <v/>
      </c>
      <c r="D9553">
        <f>IFERROR(Table7[[#This Row],[United States 10y]]-Table7[[#This Row],[United States 3y]],#N/A)</f>
        <v/>
      </c>
    </row>
    <row r="9554">
      <c r="A9554" s="6">
        <f>Database!$A11639</f>
        <v/>
      </c>
      <c r="B9554">
        <f>IF(VLOOKUP(Table7[[#This Row],[Date]],Database!$A:$C,MATCH($B$1,Database!$A$1:$C$1,),)=0,#N/A,VLOOKUP(Table7[[#This Row],[Date]],Database!$A:$C,MATCH($B$1,Database!$A$1:$C$1,),))</f>
        <v/>
      </c>
      <c r="C9554">
        <f>IF(VLOOKUP(Table7[[#This Row],[Date]],Database!$A:$C,MATCH($C$1,Database!$A$1:$C$1,),)=0,#N/A,VLOOKUP(Table7[[#This Row],[Date]],Database!$A:$C,MATCH($C$1,Database!$A$1:$C$1,),))</f>
        <v/>
      </c>
      <c r="D9554">
        <f>IFERROR(Table7[[#This Row],[United States 10y]]-Table7[[#This Row],[United States 3y]],#N/A)</f>
        <v/>
      </c>
    </row>
    <row r="9555">
      <c r="A9555" s="6">
        <f>Database!$A11640</f>
        <v/>
      </c>
      <c r="B9555">
        <f>IF(VLOOKUP(Table7[[#This Row],[Date]],Database!$A:$C,MATCH($B$1,Database!$A$1:$C$1,),)=0,#N/A,VLOOKUP(Table7[[#This Row],[Date]],Database!$A:$C,MATCH($B$1,Database!$A$1:$C$1,),))</f>
        <v/>
      </c>
      <c r="C9555">
        <f>IF(VLOOKUP(Table7[[#This Row],[Date]],Database!$A:$C,MATCH($C$1,Database!$A$1:$C$1,),)=0,#N/A,VLOOKUP(Table7[[#This Row],[Date]],Database!$A:$C,MATCH($C$1,Database!$A$1:$C$1,),))</f>
        <v/>
      </c>
      <c r="D9555">
        <f>IFERROR(Table7[[#This Row],[United States 10y]]-Table7[[#This Row],[United States 3y]],#N/A)</f>
        <v/>
      </c>
    </row>
    <row r="9556">
      <c r="A9556" s="6">
        <f>Database!$A11641</f>
        <v/>
      </c>
      <c r="B9556">
        <f>IF(VLOOKUP(Table7[[#This Row],[Date]],Database!$A:$C,MATCH($B$1,Database!$A$1:$C$1,),)=0,#N/A,VLOOKUP(Table7[[#This Row],[Date]],Database!$A:$C,MATCH($B$1,Database!$A$1:$C$1,),))</f>
        <v/>
      </c>
      <c r="C9556">
        <f>IF(VLOOKUP(Table7[[#This Row],[Date]],Database!$A:$C,MATCH($C$1,Database!$A$1:$C$1,),)=0,#N/A,VLOOKUP(Table7[[#This Row],[Date]],Database!$A:$C,MATCH($C$1,Database!$A$1:$C$1,),))</f>
        <v/>
      </c>
      <c r="D9556">
        <f>IFERROR(Table7[[#This Row],[United States 10y]]-Table7[[#This Row],[United States 3y]],#N/A)</f>
        <v/>
      </c>
    </row>
    <row r="9557">
      <c r="A9557" s="6">
        <f>Database!$A11642</f>
        <v/>
      </c>
      <c r="B9557">
        <f>IF(VLOOKUP(Table7[[#This Row],[Date]],Database!$A:$C,MATCH($B$1,Database!$A$1:$C$1,),)=0,#N/A,VLOOKUP(Table7[[#This Row],[Date]],Database!$A:$C,MATCH($B$1,Database!$A$1:$C$1,),))</f>
        <v/>
      </c>
      <c r="C9557">
        <f>IF(VLOOKUP(Table7[[#This Row],[Date]],Database!$A:$C,MATCH($C$1,Database!$A$1:$C$1,),)=0,#N/A,VLOOKUP(Table7[[#This Row],[Date]],Database!$A:$C,MATCH($C$1,Database!$A$1:$C$1,),))</f>
        <v/>
      </c>
      <c r="D9557">
        <f>IFERROR(Table7[[#This Row],[United States 10y]]-Table7[[#This Row],[United States 3y]],#N/A)</f>
        <v/>
      </c>
    </row>
    <row r="9558">
      <c r="A9558" s="6">
        <f>Database!$A11643</f>
        <v/>
      </c>
      <c r="B9558">
        <f>IF(VLOOKUP(Table7[[#This Row],[Date]],Database!$A:$C,MATCH($B$1,Database!$A$1:$C$1,),)=0,#N/A,VLOOKUP(Table7[[#This Row],[Date]],Database!$A:$C,MATCH($B$1,Database!$A$1:$C$1,),))</f>
        <v/>
      </c>
      <c r="C9558">
        <f>IF(VLOOKUP(Table7[[#This Row],[Date]],Database!$A:$C,MATCH($C$1,Database!$A$1:$C$1,),)=0,#N/A,VLOOKUP(Table7[[#This Row],[Date]],Database!$A:$C,MATCH($C$1,Database!$A$1:$C$1,),))</f>
        <v/>
      </c>
      <c r="D9558">
        <f>IFERROR(Table7[[#This Row],[United States 10y]]-Table7[[#This Row],[United States 3y]],#N/A)</f>
        <v/>
      </c>
    </row>
    <row r="9559">
      <c r="A9559" s="6">
        <f>Database!$A11644</f>
        <v/>
      </c>
      <c r="B9559">
        <f>IF(VLOOKUP(Table7[[#This Row],[Date]],Database!$A:$C,MATCH($B$1,Database!$A$1:$C$1,),)=0,#N/A,VLOOKUP(Table7[[#This Row],[Date]],Database!$A:$C,MATCH($B$1,Database!$A$1:$C$1,),))</f>
        <v/>
      </c>
      <c r="C9559">
        <f>IF(VLOOKUP(Table7[[#This Row],[Date]],Database!$A:$C,MATCH($C$1,Database!$A$1:$C$1,),)=0,#N/A,VLOOKUP(Table7[[#This Row],[Date]],Database!$A:$C,MATCH($C$1,Database!$A$1:$C$1,),))</f>
        <v/>
      </c>
      <c r="D9559">
        <f>IFERROR(Table7[[#This Row],[United States 10y]]-Table7[[#This Row],[United States 3y]],#N/A)</f>
        <v/>
      </c>
    </row>
    <row r="9560">
      <c r="A9560" s="6">
        <f>Database!$A11645</f>
        <v/>
      </c>
      <c r="B9560">
        <f>IF(VLOOKUP(Table7[[#This Row],[Date]],Database!$A:$C,MATCH($B$1,Database!$A$1:$C$1,),)=0,#N/A,VLOOKUP(Table7[[#This Row],[Date]],Database!$A:$C,MATCH($B$1,Database!$A$1:$C$1,),))</f>
        <v/>
      </c>
      <c r="C9560">
        <f>IF(VLOOKUP(Table7[[#This Row],[Date]],Database!$A:$C,MATCH($C$1,Database!$A$1:$C$1,),)=0,#N/A,VLOOKUP(Table7[[#This Row],[Date]],Database!$A:$C,MATCH($C$1,Database!$A$1:$C$1,),))</f>
        <v/>
      </c>
      <c r="D9560">
        <f>IFERROR(Table7[[#This Row],[United States 10y]]-Table7[[#This Row],[United States 3y]],#N/A)</f>
        <v/>
      </c>
    </row>
    <row r="9561">
      <c r="A9561" s="6">
        <f>Database!$A11646</f>
        <v/>
      </c>
      <c r="B9561">
        <f>IF(VLOOKUP(Table7[[#This Row],[Date]],Database!$A:$C,MATCH($B$1,Database!$A$1:$C$1,),)=0,#N/A,VLOOKUP(Table7[[#This Row],[Date]],Database!$A:$C,MATCH($B$1,Database!$A$1:$C$1,),))</f>
        <v/>
      </c>
      <c r="C9561">
        <f>IF(VLOOKUP(Table7[[#This Row],[Date]],Database!$A:$C,MATCH($C$1,Database!$A$1:$C$1,),)=0,#N/A,VLOOKUP(Table7[[#This Row],[Date]],Database!$A:$C,MATCH($C$1,Database!$A$1:$C$1,),))</f>
        <v/>
      </c>
      <c r="D9561">
        <f>IFERROR(Table7[[#This Row],[United States 10y]]-Table7[[#This Row],[United States 3y]],#N/A)</f>
        <v/>
      </c>
    </row>
    <row r="9562">
      <c r="A9562" s="6">
        <f>Database!$A11647</f>
        <v/>
      </c>
      <c r="B9562">
        <f>IF(VLOOKUP(Table7[[#This Row],[Date]],Database!$A:$C,MATCH($B$1,Database!$A$1:$C$1,),)=0,#N/A,VLOOKUP(Table7[[#This Row],[Date]],Database!$A:$C,MATCH($B$1,Database!$A$1:$C$1,),))</f>
        <v/>
      </c>
      <c r="C9562">
        <f>IF(VLOOKUP(Table7[[#This Row],[Date]],Database!$A:$C,MATCH($C$1,Database!$A$1:$C$1,),)=0,#N/A,VLOOKUP(Table7[[#This Row],[Date]],Database!$A:$C,MATCH($C$1,Database!$A$1:$C$1,),))</f>
        <v/>
      </c>
      <c r="D9562">
        <f>IFERROR(Table7[[#This Row],[United States 10y]]-Table7[[#This Row],[United States 3y]],#N/A)</f>
        <v/>
      </c>
    </row>
    <row r="9563">
      <c r="A9563" s="6">
        <f>Database!$A11648</f>
        <v/>
      </c>
      <c r="B9563">
        <f>IF(VLOOKUP(Table7[[#This Row],[Date]],Database!$A:$C,MATCH($B$1,Database!$A$1:$C$1,),)=0,#N/A,VLOOKUP(Table7[[#This Row],[Date]],Database!$A:$C,MATCH($B$1,Database!$A$1:$C$1,),))</f>
        <v/>
      </c>
      <c r="C9563">
        <f>IF(VLOOKUP(Table7[[#This Row],[Date]],Database!$A:$C,MATCH($C$1,Database!$A$1:$C$1,),)=0,#N/A,VLOOKUP(Table7[[#This Row],[Date]],Database!$A:$C,MATCH($C$1,Database!$A$1:$C$1,),))</f>
        <v/>
      </c>
      <c r="D9563">
        <f>IFERROR(Table7[[#This Row],[United States 10y]]-Table7[[#This Row],[United States 3y]],#N/A)</f>
        <v/>
      </c>
    </row>
    <row r="9564">
      <c r="A9564" s="6">
        <f>Database!$A11649</f>
        <v/>
      </c>
      <c r="B9564">
        <f>IF(VLOOKUP(Table7[[#This Row],[Date]],Database!$A:$C,MATCH($B$1,Database!$A$1:$C$1,),)=0,#N/A,VLOOKUP(Table7[[#This Row],[Date]],Database!$A:$C,MATCH($B$1,Database!$A$1:$C$1,),))</f>
        <v/>
      </c>
      <c r="C9564">
        <f>IF(VLOOKUP(Table7[[#This Row],[Date]],Database!$A:$C,MATCH($C$1,Database!$A$1:$C$1,),)=0,#N/A,VLOOKUP(Table7[[#This Row],[Date]],Database!$A:$C,MATCH($C$1,Database!$A$1:$C$1,),))</f>
        <v/>
      </c>
      <c r="D9564">
        <f>IFERROR(Table7[[#This Row],[United States 10y]]-Table7[[#This Row],[United States 3y]],#N/A)</f>
        <v/>
      </c>
    </row>
    <row r="9565">
      <c r="A9565" s="6">
        <f>Database!$A11650</f>
        <v/>
      </c>
      <c r="B9565">
        <f>IF(VLOOKUP(Table7[[#This Row],[Date]],Database!$A:$C,MATCH($B$1,Database!$A$1:$C$1,),)=0,#N/A,VLOOKUP(Table7[[#This Row],[Date]],Database!$A:$C,MATCH($B$1,Database!$A$1:$C$1,),))</f>
        <v/>
      </c>
      <c r="C9565">
        <f>IF(VLOOKUP(Table7[[#This Row],[Date]],Database!$A:$C,MATCH($C$1,Database!$A$1:$C$1,),)=0,#N/A,VLOOKUP(Table7[[#This Row],[Date]],Database!$A:$C,MATCH($C$1,Database!$A$1:$C$1,),))</f>
        <v/>
      </c>
      <c r="D9565">
        <f>IFERROR(Table7[[#This Row],[United States 10y]]-Table7[[#This Row],[United States 3y]],#N/A)</f>
        <v/>
      </c>
    </row>
    <row r="9566">
      <c r="A9566" s="6">
        <f>Database!$A11651</f>
        <v/>
      </c>
      <c r="B9566">
        <f>IF(VLOOKUP(Table7[[#This Row],[Date]],Database!$A:$C,MATCH($B$1,Database!$A$1:$C$1,),)=0,#N/A,VLOOKUP(Table7[[#This Row],[Date]],Database!$A:$C,MATCH($B$1,Database!$A$1:$C$1,),))</f>
        <v/>
      </c>
      <c r="C9566">
        <f>IF(VLOOKUP(Table7[[#This Row],[Date]],Database!$A:$C,MATCH($C$1,Database!$A$1:$C$1,),)=0,#N/A,VLOOKUP(Table7[[#This Row],[Date]],Database!$A:$C,MATCH($C$1,Database!$A$1:$C$1,),))</f>
        <v/>
      </c>
      <c r="D9566">
        <f>IFERROR(Table7[[#This Row],[United States 10y]]-Table7[[#This Row],[United States 3y]],#N/A)</f>
        <v/>
      </c>
    </row>
    <row r="9567">
      <c r="A9567" s="6">
        <f>Database!$A11652</f>
        <v/>
      </c>
      <c r="B9567">
        <f>IF(VLOOKUP(Table7[[#This Row],[Date]],Database!$A:$C,MATCH($B$1,Database!$A$1:$C$1,),)=0,#N/A,VLOOKUP(Table7[[#This Row],[Date]],Database!$A:$C,MATCH($B$1,Database!$A$1:$C$1,),))</f>
        <v/>
      </c>
      <c r="C9567">
        <f>IF(VLOOKUP(Table7[[#This Row],[Date]],Database!$A:$C,MATCH($C$1,Database!$A$1:$C$1,),)=0,#N/A,VLOOKUP(Table7[[#This Row],[Date]],Database!$A:$C,MATCH($C$1,Database!$A$1:$C$1,),))</f>
        <v/>
      </c>
      <c r="D9567">
        <f>IFERROR(Table7[[#This Row],[United States 10y]]-Table7[[#This Row],[United States 3y]],#N/A)</f>
        <v/>
      </c>
    </row>
    <row r="9568">
      <c r="A9568" s="6">
        <f>Database!$A11653</f>
        <v/>
      </c>
      <c r="B9568">
        <f>IF(VLOOKUP(Table7[[#This Row],[Date]],Database!$A:$C,MATCH($B$1,Database!$A$1:$C$1,),)=0,#N/A,VLOOKUP(Table7[[#This Row],[Date]],Database!$A:$C,MATCH($B$1,Database!$A$1:$C$1,),))</f>
        <v/>
      </c>
      <c r="C9568">
        <f>IF(VLOOKUP(Table7[[#This Row],[Date]],Database!$A:$C,MATCH($C$1,Database!$A$1:$C$1,),)=0,#N/A,VLOOKUP(Table7[[#This Row],[Date]],Database!$A:$C,MATCH($C$1,Database!$A$1:$C$1,),))</f>
        <v/>
      </c>
      <c r="D9568">
        <f>IFERROR(Table7[[#This Row],[United States 10y]]-Table7[[#This Row],[United States 3y]],#N/A)</f>
        <v/>
      </c>
    </row>
    <row r="9569">
      <c r="A9569" s="6">
        <f>Database!$A11654</f>
        <v/>
      </c>
      <c r="B9569">
        <f>IF(VLOOKUP(Table7[[#This Row],[Date]],Database!$A:$C,MATCH($B$1,Database!$A$1:$C$1,),)=0,#N/A,VLOOKUP(Table7[[#This Row],[Date]],Database!$A:$C,MATCH($B$1,Database!$A$1:$C$1,),))</f>
        <v/>
      </c>
      <c r="C9569">
        <f>IF(VLOOKUP(Table7[[#This Row],[Date]],Database!$A:$C,MATCH($C$1,Database!$A$1:$C$1,),)=0,#N/A,VLOOKUP(Table7[[#This Row],[Date]],Database!$A:$C,MATCH($C$1,Database!$A$1:$C$1,),))</f>
        <v/>
      </c>
      <c r="D9569">
        <f>IFERROR(Table7[[#This Row],[United States 10y]]-Table7[[#This Row],[United States 3y]],#N/A)</f>
        <v/>
      </c>
    </row>
    <row r="9570">
      <c r="A9570" s="6">
        <f>Database!$A11655</f>
        <v/>
      </c>
      <c r="B9570">
        <f>IF(VLOOKUP(Table7[[#This Row],[Date]],Database!$A:$C,MATCH($B$1,Database!$A$1:$C$1,),)=0,#N/A,VLOOKUP(Table7[[#This Row],[Date]],Database!$A:$C,MATCH($B$1,Database!$A$1:$C$1,),))</f>
        <v/>
      </c>
      <c r="C9570">
        <f>IF(VLOOKUP(Table7[[#This Row],[Date]],Database!$A:$C,MATCH($C$1,Database!$A$1:$C$1,),)=0,#N/A,VLOOKUP(Table7[[#This Row],[Date]],Database!$A:$C,MATCH($C$1,Database!$A$1:$C$1,),))</f>
        <v/>
      </c>
      <c r="D9570">
        <f>IFERROR(Table7[[#This Row],[United States 10y]]-Table7[[#This Row],[United States 3y]],#N/A)</f>
        <v/>
      </c>
    </row>
    <row r="9571">
      <c r="A9571" s="6">
        <f>Database!$A11656</f>
        <v/>
      </c>
      <c r="B9571">
        <f>IF(VLOOKUP(Table7[[#This Row],[Date]],Database!$A:$C,MATCH($B$1,Database!$A$1:$C$1,),)=0,#N/A,VLOOKUP(Table7[[#This Row],[Date]],Database!$A:$C,MATCH($B$1,Database!$A$1:$C$1,),))</f>
        <v/>
      </c>
      <c r="C9571">
        <f>IF(VLOOKUP(Table7[[#This Row],[Date]],Database!$A:$C,MATCH($C$1,Database!$A$1:$C$1,),)=0,#N/A,VLOOKUP(Table7[[#This Row],[Date]],Database!$A:$C,MATCH($C$1,Database!$A$1:$C$1,),))</f>
        <v/>
      </c>
      <c r="D9571">
        <f>IFERROR(Table7[[#This Row],[United States 10y]]-Table7[[#This Row],[United States 3y]],#N/A)</f>
        <v/>
      </c>
    </row>
    <row r="9572">
      <c r="A9572" s="6">
        <f>Database!$A11657</f>
        <v/>
      </c>
      <c r="B9572">
        <f>IF(VLOOKUP(Table7[[#This Row],[Date]],Database!$A:$C,MATCH($B$1,Database!$A$1:$C$1,),)=0,#N/A,VLOOKUP(Table7[[#This Row],[Date]],Database!$A:$C,MATCH($B$1,Database!$A$1:$C$1,),))</f>
        <v/>
      </c>
      <c r="C9572">
        <f>IF(VLOOKUP(Table7[[#This Row],[Date]],Database!$A:$C,MATCH($C$1,Database!$A$1:$C$1,),)=0,#N/A,VLOOKUP(Table7[[#This Row],[Date]],Database!$A:$C,MATCH($C$1,Database!$A$1:$C$1,),))</f>
        <v/>
      </c>
      <c r="D9572">
        <f>IFERROR(Table7[[#This Row],[United States 10y]]-Table7[[#This Row],[United States 3y]],#N/A)</f>
        <v/>
      </c>
    </row>
    <row r="9573">
      <c r="A9573" s="6">
        <f>Database!$A11658</f>
        <v/>
      </c>
      <c r="B9573">
        <f>IF(VLOOKUP(Table7[[#This Row],[Date]],Database!$A:$C,MATCH($B$1,Database!$A$1:$C$1,),)=0,#N/A,VLOOKUP(Table7[[#This Row],[Date]],Database!$A:$C,MATCH($B$1,Database!$A$1:$C$1,),))</f>
        <v/>
      </c>
      <c r="C9573">
        <f>IF(VLOOKUP(Table7[[#This Row],[Date]],Database!$A:$C,MATCH($C$1,Database!$A$1:$C$1,),)=0,#N/A,VLOOKUP(Table7[[#This Row],[Date]],Database!$A:$C,MATCH($C$1,Database!$A$1:$C$1,),))</f>
        <v/>
      </c>
      <c r="D9573">
        <f>IFERROR(Table7[[#This Row],[United States 10y]]-Table7[[#This Row],[United States 3y]],#N/A)</f>
        <v/>
      </c>
    </row>
    <row r="9574">
      <c r="A9574" s="6">
        <f>Database!$A11659</f>
        <v/>
      </c>
      <c r="B9574">
        <f>IF(VLOOKUP(Table7[[#This Row],[Date]],Database!$A:$C,MATCH($B$1,Database!$A$1:$C$1,),)=0,#N/A,VLOOKUP(Table7[[#This Row],[Date]],Database!$A:$C,MATCH($B$1,Database!$A$1:$C$1,),))</f>
        <v/>
      </c>
      <c r="C9574">
        <f>IF(VLOOKUP(Table7[[#This Row],[Date]],Database!$A:$C,MATCH($C$1,Database!$A$1:$C$1,),)=0,#N/A,VLOOKUP(Table7[[#This Row],[Date]],Database!$A:$C,MATCH($C$1,Database!$A$1:$C$1,),))</f>
        <v/>
      </c>
      <c r="D9574">
        <f>IFERROR(Table7[[#This Row],[United States 10y]]-Table7[[#This Row],[United States 3y]],#N/A)</f>
        <v/>
      </c>
    </row>
    <row r="9575">
      <c r="A9575" s="6">
        <f>Database!$A11660</f>
        <v/>
      </c>
      <c r="B9575">
        <f>IF(VLOOKUP(Table7[[#This Row],[Date]],Database!$A:$C,MATCH($B$1,Database!$A$1:$C$1,),)=0,#N/A,VLOOKUP(Table7[[#This Row],[Date]],Database!$A:$C,MATCH($B$1,Database!$A$1:$C$1,),))</f>
        <v/>
      </c>
      <c r="C9575">
        <f>IF(VLOOKUP(Table7[[#This Row],[Date]],Database!$A:$C,MATCH($C$1,Database!$A$1:$C$1,),)=0,#N/A,VLOOKUP(Table7[[#This Row],[Date]],Database!$A:$C,MATCH($C$1,Database!$A$1:$C$1,),))</f>
        <v/>
      </c>
      <c r="D9575">
        <f>IFERROR(Table7[[#This Row],[United States 10y]]-Table7[[#This Row],[United States 3y]],#N/A)</f>
        <v/>
      </c>
    </row>
    <row r="9576">
      <c r="A9576" s="6">
        <f>Database!$A11661</f>
        <v/>
      </c>
      <c r="B9576">
        <f>IF(VLOOKUP(Table7[[#This Row],[Date]],Database!$A:$C,MATCH($B$1,Database!$A$1:$C$1,),)=0,#N/A,VLOOKUP(Table7[[#This Row],[Date]],Database!$A:$C,MATCH($B$1,Database!$A$1:$C$1,),))</f>
        <v/>
      </c>
      <c r="C9576">
        <f>IF(VLOOKUP(Table7[[#This Row],[Date]],Database!$A:$C,MATCH($C$1,Database!$A$1:$C$1,),)=0,#N/A,VLOOKUP(Table7[[#This Row],[Date]],Database!$A:$C,MATCH($C$1,Database!$A$1:$C$1,),))</f>
        <v/>
      </c>
      <c r="D9576">
        <f>IFERROR(Table7[[#This Row],[United States 10y]]-Table7[[#This Row],[United States 3y]],#N/A)</f>
        <v/>
      </c>
    </row>
    <row r="9577">
      <c r="A9577" s="6">
        <f>Database!$A11662</f>
        <v/>
      </c>
      <c r="B9577">
        <f>IF(VLOOKUP(Table7[[#This Row],[Date]],Database!$A:$C,MATCH($B$1,Database!$A$1:$C$1,),)=0,#N/A,VLOOKUP(Table7[[#This Row],[Date]],Database!$A:$C,MATCH($B$1,Database!$A$1:$C$1,),))</f>
        <v/>
      </c>
      <c r="C9577">
        <f>IF(VLOOKUP(Table7[[#This Row],[Date]],Database!$A:$C,MATCH($C$1,Database!$A$1:$C$1,),)=0,#N/A,VLOOKUP(Table7[[#This Row],[Date]],Database!$A:$C,MATCH($C$1,Database!$A$1:$C$1,),))</f>
        <v/>
      </c>
      <c r="D9577">
        <f>IFERROR(Table7[[#This Row],[United States 10y]]-Table7[[#This Row],[United States 3y]],#N/A)</f>
        <v/>
      </c>
    </row>
    <row r="9578">
      <c r="A9578" s="6">
        <f>Database!$A11663</f>
        <v/>
      </c>
      <c r="B9578">
        <f>IF(VLOOKUP(Table7[[#This Row],[Date]],Database!$A:$C,MATCH($B$1,Database!$A$1:$C$1,),)=0,#N/A,VLOOKUP(Table7[[#This Row],[Date]],Database!$A:$C,MATCH($B$1,Database!$A$1:$C$1,),))</f>
        <v/>
      </c>
      <c r="C9578">
        <f>IF(VLOOKUP(Table7[[#This Row],[Date]],Database!$A:$C,MATCH($C$1,Database!$A$1:$C$1,),)=0,#N/A,VLOOKUP(Table7[[#This Row],[Date]],Database!$A:$C,MATCH($C$1,Database!$A$1:$C$1,),))</f>
        <v/>
      </c>
      <c r="D9578">
        <f>IFERROR(Table7[[#This Row],[United States 10y]]-Table7[[#This Row],[United States 3y]],#N/A)</f>
        <v/>
      </c>
    </row>
    <row r="9579">
      <c r="A9579" s="6">
        <f>Database!$A11664</f>
        <v/>
      </c>
      <c r="B9579">
        <f>IF(VLOOKUP(Table7[[#This Row],[Date]],Database!$A:$C,MATCH($B$1,Database!$A$1:$C$1,),)=0,#N/A,VLOOKUP(Table7[[#This Row],[Date]],Database!$A:$C,MATCH($B$1,Database!$A$1:$C$1,),))</f>
        <v/>
      </c>
      <c r="C9579">
        <f>IF(VLOOKUP(Table7[[#This Row],[Date]],Database!$A:$C,MATCH($C$1,Database!$A$1:$C$1,),)=0,#N/A,VLOOKUP(Table7[[#This Row],[Date]],Database!$A:$C,MATCH($C$1,Database!$A$1:$C$1,),))</f>
        <v/>
      </c>
      <c r="D9579">
        <f>IFERROR(Table7[[#This Row],[United States 10y]]-Table7[[#This Row],[United States 3y]],#N/A)</f>
        <v/>
      </c>
    </row>
    <row r="9580">
      <c r="A9580" s="6">
        <f>Database!$A11665</f>
        <v/>
      </c>
      <c r="B9580">
        <f>IF(VLOOKUP(Table7[[#This Row],[Date]],Database!$A:$C,MATCH($B$1,Database!$A$1:$C$1,),)=0,#N/A,VLOOKUP(Table7[[#This Row],[Date]],Database!$A:$C,MATCH($B$1,Database!$A$1:$C$1,),))</f>
        <v/>
      </c>
      <c r="C9580">
        <f>IF(VLOOKUP(Table7[[#This Row],[Date]],Database!$A:$C,MATCH($C$1,Database!$A$1:$C$1,),)=0,#N/A,VLOOKUP(Table7[[#This Row],[Date]],Database!$A:$C,MATCH($C$1,Database!$A$1:$C$1,),))</f>
        <v/>
      </c>
      <c r="D9580">
        <f>IFERROR(Table7[[#This Row],[United States 10y]]-Table7[[#This Row],[United States 3y]],#N/A)</f>
        <v/>
      </c>
    </row>
    <row r="9581">
      <c r="A9581" s="6">
        <f>Database!$A11666</f>
        <v/>
      </c>
      <c r="B9581">
        <f>IF(VLOOKUP(Table7[[#This Row],[Date]],Database!$A:$C,MATCH($B$1,Database!$A$1:$C$1,),)=0,#N/A,VLOOKUP(Table7[[#This Row],[Date]],Database!$A:$C,MATCH($B$1,Database!$A$1:$C$1,),))</f>
        <v/>
      </c>
      <c r="C9581">
        <f>IF(VLOOKUP(Table7[[#This Row],[Date]],Database!$A:$C,MATCH($C$1,Database!$A$1:$C$1,),)=0,#N/A,VLOOKUP(Table7[[#This Row],[Date]],Database!$A:$C,MATCH($C$1,Database!$A$1:$C$1,),))</f>
        <v/>
      </c>
      <c r="D9581">
        <f>IFERROR(Table7[[#This Row],[United States 10y]]-Table7[[#This Row],[United States 3y]],#N/A)</f>
        <v/>
      </c>
    </row>
    <row r="9582">
      <c r="A9582" s="6">
        <f>Database!$A11667</f>
        <v/>
      </c>
      <c r="B9582">
        <f>IF(VLOOKUP(Table7[[#This Row],[Date]],Database!$A:$C,MATCH($B$1,Database!$A$1:$C$1,),)=0,#N/A,VLOOKUP(Table7[[#This Row],[Date]],Database!$A:$C,MATCH($B$1,Database!$A$1:$C$1,),))</f>
        <v/>
      </c>
      <c r="C9582">
        <f>IF(VLOOKUP(Table7[[#This Row],[Date]],Database!$A:$C,MATCH($C$1,Database!$A$1:$C$1,),)=0,#N/A,VLOOKUP(Table7[[#This Row],[Date]],Database!$A:$C,MATCH($C$1,Database!$A$1:$C$1,),))</f>
        <v/>
      </c>
      <c r="D9582">
        <f>IFERROR(Table7[[#This Row],[United States 10y]]-Table7[[#This Row],[United States 3y]],#N/A)</f>
        <v/>
      </c>
    </row>
    <row r="9583">
      <c r="A9583" s="6">
        <f>Database!$A11668</f>
        <v/>
      </c>
      <c r="B9583">
        <f>IF(VLOOKUP(Table7[[#This Row],[Date]],Database!$A:$C,MATCH($B$1,Database!$A$1:$C$1,),)=0,#N/A,VLOOKUP(Table7[[#This Row],[Date]],Database!$A:$C,MATCH($B$1,Database!$A$1:$C$1,),))</f>
        <v/>
      </c>
      <c r="C9583">
        <f>IF(VLOOKUP(Table7[[#This Row],[Date]],Database!$A:$C,MATCH($C$1,Database!$A$1:$C$1,),)=0,#N/A,VLOOKUP(Table7[[#This Row],[Date]],Database!$A:$C,MATCH($C$1,Database!$A$1:$C$1,),))</f>
        <v/>
      </c>
      <c r="D9583">
        <f>IFERROR(Table7[[#This Row],[United States 10y]]-Table7[[#This Row],[United States 3y]],#N/A)</f>
        <v/>
      </c>
    </row>
    <row r="9584">
      <c r="A9584" s="6">
        <f>Database!$A11669</f>
        <v/>
      </c>
      <c r="B9584">
        <f>IF(VLOOKUP(Table7[[#This Row],[Date]],Database!$A:$C,MATCH($B$1,Database!$A$1:$C$1,),)=0,#N/A,VLOOKUP(Table7[[#This Row],[Date]],Database!$A:$C,MATCH($B$1,Database!$A$1:$C$1,),))</f>
        <v/>
      </c>
      <c r="C9584">
        <f>IF(VLOOKUP(Table7[[#This Row],[Date]],Database!$A:$C,MATCH($C$1,Database!$A$1:$C$1,),)=0,#N/A,VLOOKUP(Table7[[#This Row],[Date]],Database!$A:$C,MATCH($C$1,Database!$A$1:$C$1,),))</f>
        <v/>
      </c>
      <c r="D9584">
        <f>IFERROR(Table7[[#This Row],[United States 10y]]-Table7[[#This Row],[United States 3y]],#N/A)</f>
        <v/>
      </c>
    </row>
    <row r="9585">
      <c r="A9585" s="6">
        <f>Database!$A11670</f>
        <v/>
      </c>
      <c r="B9585">
        <f>IF(VLOOKUP(Table7[[#This Row],[Date]],Database!$A:$C,MATCH($B$1,Database!$A$1:$C$1,),)=0,#N/A,VLOOKUP(Table7[[#This Row],[Date]],Database!$A:$C,MATCH($B$1,Database!$A$1:$C$1,),))</f>
        <v/>
      </c>
      <c r="C9585">
        <f>IF(VLOOKUP(Table7[[#This Row],[Date]],Database!$A:$C,MATCH($C$1,Database!$A$1:$C$1,),)=0,#N/A,VLOOKUP(Table7[[#This Row],[Date]],Database!$A:$C,MATCH($C$1,Database!$A$1:$C$1,),))</f>
        <v/>
      </c>
      <c r="D9585">
        <f>IFERROR(Table7[[#This Row],[United States 10y]]-Table7[[#This Row],[United States 3y]],#N/A)</f>
        <v/>
      </c>
    </row>
    <row r="9586">
      <c r="A9586" s="6">
        <f>Database!$A11671</f>
        <v/>
      </c>
      <c r="B9586">
        <f>IF(VLOOKUP(Table7[[#This Row],[Date]],Database!$A:$C,MATCH($B$1,Database!$A$1:$C$1,),)=0,#N/A,VLOOKUP(Table7[[#This Row],[Date]],Database!$A:$C,MATCH($B$1,Database!$A$1:$C$1,),))</f>
        <v/>
      </c>
      <c r="C9586">
        <f>IF(VLOOKUP(Table7[[#This Row],[Date]],Database!$A:$C,MATCH($C$1,Database!$A$1:$C$1,),)=0,#N/A,VLOOKUP(Table7[[#This Row],[Date]],Database!$A:$C,MATCH($C$1,Database!$A$1:$C$1,),))</f>
        <v/>
      </c>
      <c r="D9586">
        <f>IFERROR(Table7[[#This Row],[United States 10y]]-Table7[[#This Row],[United States 3y]],#N/A)</f>
        <v/>
      </c>
    </row>
    <row r="9587">
      <c r="A9587" s="6">
        <f>Database!$A11672</f>
        <v/>
      </c>
      <c r="B9587">
        <f>IF(VLOOKUP(Table7[[#This Row],[Date]],Database!$A:$C,MATCH($B$1,Database!$A$1:$C$1,),)=0,#N/A,VLOOKUP(Table7[[#This Row],[Date]],Database!$A:$C,MATCH($B$1,Database!$A$1:$C$1,),))</f>
        <v/>
      </c>
      <c r="C9587">
        <f>IF(VLOOKUP(Table7[[#This Row],[Date]],Database!$A:$C,MATCH($C$1,Database!$A$1:$C$1,),)=0,#N/A,VLOOKUP(Table7[[#This Row],[Date]],Database!$A:$C,MATCH($C$1,Database!$A$1:$C$1,),))</f>
        <v/>
      </c>
      <c r="D9587">
        <f>IFERROR(Table7[[#This Row],[United States 10y]]-Table7[[#This Row],[United States 3y]],#N/A)</f>
        <v/>
      </c>
    </row>
    <row r="9588">
      <c r="A9588" s="6">
        <f>Database!$A11673</f>
        <v/>
      </c>
      <c r="B9588">
        <f>IF(VLOOKUP(Table7[[#This Row],[Date]],Database!$A:$C,MATCH($B$1,Database!$A$1:$C$1,),)=0,#N/A,VLOOKUP(Table7[[#This Row],[Date]],Database!$A:$C,MATCH($B$1,Database!$A$1:$C$1,),))</f>
        <v/>
      </c>
      <c r="C9588">
        <f>IF(VLOOKUP(Table7[[#This Row],[Date]],Database!$A:$C,MATCH($C$1,Database!$A$1:$C$1,),)=0,#N/A,VLOOKUP(Table7[[#This Row],[Date]],Database!$A:$C,MATCH($C$1,Database!$A$1:$C$1,),))</f>
        <v/>
      </c>
      <c r="D9588">
        <f>IFERROR(Table7[[#This Row],[United States 10y]]-Table7[[#This Row],[United States 3y]],#N/A)</f>
        <v/>
      </c>
    </row>
    <row r="9589">
      <c r="A9589" s="6">
        <f>Database!$A11674</f>
        <v/>
      </c>
      <c r="B9589">
        <f>IF(VLOOKUP(Table7[[#This Row],[Date]],Database!$A:$C,MATCH($B$1,Database!$A$1:$C$1,),)=0,#N/A,VLOOKUP(Table7[[#This Row],[Date]],Database!$A:$C,MATCH($B$1,Database!$A$1:$C$1,),))</f>
        <v/>
      </c>
      <c r="C9589">
        <f>IF(VLOOKUP(Table7[[#This Row],[Date]],Database!$A:$C,MATCH($C$1,Database!$A$1:$C$1,),)=0,#N/A,VLOOKUP(Table7[[#This Row],[Date]],Database!$A:$C,MATCH($C$1,Database!$A$1:$C$1,),))</f>
        <v/>
      </c>
      <c r="D9589">
        <f>IFERROR(Table7[[#This Row],[United States 10y]]-Table7[[#This Row],[United States 3y]],#N/A)</f>
        <v/>
      </c>
    </row>
    <row r="9590">
      <c r="A9590" s="6">
        <f>Database!$A11675</f>
        <v/>
      </c>
      <c r="B9590">
        <f>IF(VLOOKUP(Table7[[#This Row],[Date]],Database!$A:$C,MATCH($B$1,Database!$A$1:$C$1,),)=0,#N/A,VLOOKUP(Table7[[#This Row],[Date]],Database!$A:$C,MATCH($B$1,Database!$A$1:$C$1,),))</f>
        <v/>
      </c>
      <c r="C9590">
        <f>IF(VLOOKUP(Table7[[#This Row],[Date]],Database!$A:$C,MATCH($C$1,Database!$A$1:$C$1,),)=0,#N/A,VLOOKUP(Table7[[#This Row],[Date]],Database!$A:$C,MATCH($C$1,Database!$A$1:$C$1,),))</f>
        <v/>
      </c>
      <c r="D9590">
        <f>IFERROR(Table7[[#This Row],[United States 10y]]-Table7[[#This Row],[United States 3y]],#N/A)</f>
        <v/>
      </c>
    </row>
    <row r="9591">
      <c r="A9591" s="6">
        <f>Database!$A11676</f>
        <v/>
      </c>
      <c r="B9591">
        <f>IF(VLOOKUP(Table7[[#This Row],[Date]],Database!$A:$C,MATCH($B$1,Database!$A$1:$C$1,),)=0,#N/A,VLOOKUP(Table7[[#This Row],[Date]],Database!$A:$C,MATCH($B$1,Database!$A$1:$C$1,),))</f>
        <v/>
      </c>
      <c r="C9591">
        <f>IF(VLOOKUP(Table7[[#This Row],[Date]],Database!$A:$C,MATCH($C$1,Database!$A$1:$C$1,),)=0,#N/A,VLOOKUP(Table7[[#This Row],[Date]],Database!$A:$C,MATCH($C$1,Database!$A$1:$C$1,),))</f>
        <v/>
      </c>
      <c r="D9591">
        <f>IFERROR(Table7[[#This Row],[United States 10y]]-Table7[[#This Row],[United States 3y]],#N/A)</f>
        <v/>
      </c>
    </row>
    <row r="9592">
      <c r="A9592" s="6">
        <f>Database!$A11677</f>
        <v/>
      </c>
      <c r="B9592">
        <f>IF(VLOOKUP(Table7[[#This Row],[Date]],Database!$A:$C,MATCH($B$1,Database!$A$1:$C$1,),)=0,#N/A,VLOOKUP(Table7[[#This Row],[Date]],Database!$A:$C,MATCH($B$1,Database!$A$1:$C$1,),))</f>
        <v/>
      </c>
      <c r="C9592">
        <f>IF(VLOOKUP(Table7[[#This Row],[Date]],Database!$A:$C,MATCH($C$1,Database!$A$1:$C$1,),)=0,#N/A,VLOOKUP(Table7[[#This Row],[Date]],Database!$A:$C,MATCH($C$1,Database!$A$1:$C$1,),))</f>
        <v/>
      </c>
      <c r="D9592">
        <f>IFERROR(Table7[[#This Row],[United States 10y]]-Table7[[#This Row],[United States 3y]],#N/A)</f>
        <v/>
      </c>
    </row>
    <row r="9593">
      <c r="A9593" s="6">
        <f>Database!$A11678</f>
        <v/>
      </c>
      <c r="B9593">
        <f>IF(VLOOKUP(Table7[[#This Row],[Date]],Database!$A:$C,MATCH($B$1,Database!$A$1:$C$1,),)=0,#N/A,VLOOKUP(Table7[[#This Row],[Date]],Database!$A:$C,MATCH($B$1,Database!$A$1:$C$1,),))</f>
        <v/>
      </c>
      <c r="C9593">
        <f>IF(VLOOKUP(Table7[[#This Row],[Date]],Database!$A:$C,MATCH($C$1,Database!$A$1:$C$1,),)=0,#N/A,VLOOKUP(Table7[[#This Row],[Date]],Database!$A:$C,MATCH($C$1,Database!$A$1:$C$1,),))</f>
        <v/>
      </c>
      <c r="D9593">
        <f>IFERROR(Table7[[#This Row],[United States 10y]]-Table7[[#This Row],[United States 3y]],#N/A)</f>
        <v/>
      </c>
    </row>
    <row r="9594">
      <c r="A9594" s="6">
        <f>Database!$A11679</f>
        <v/>
      </c>
      <c r="B9594">
        <f>IF(VLOOKUP(Table7[[#This Row],[Date]],Database!$A:$C,MATCH($B$1,Database!$A$1:$C$1,),)=0,#N/A,VLOOKUP(Table7[[#This Row],[Date]],Database!$A:$C,MATCH($B$1,Database!$A$1:$C$1,),))</f>
        <v/>
      </c>
      <c r="C9594">
        <f>IF(VLOOKUP(Table7[[#This Row],[Date]],Database!$A:$C,MATCH($C$1,Database!$A$1:$C$1,),)=0,#N/A,VLOOKUP(Table7[[#This Row],[Date]],Database!$A:$C,MATCH($C$1,Database!$A$1:$C$1,),))</f>
        <v/>
      </c>
      <c r="D9594">
        <f>IFERROR(Table7[[#This Row],[United States 10y]]-Table7[[#This Row],[United States 3y]],#N/A)</f>
        <v/>
      </c>
    </row>
    <row r="9595">
      <c r="A9595" s="6">
        <f>Database!$A11680</f>
        <v/>
      </c>
      <c r="B9595">
        <f>IF(VLOOKUP(Table7[[#This Row],[Date]],Database!$A:$C,MATCH($B$1,Database!$A$1:$C$1,),)=0,#N/A,VLOOKUP(Table7[[#This Row],[Date]],Database!$A:$C,MATCH($B$1,Database!$A$1:$C$1,),))</f>
        <v/>
      </c>
      <c r="C9595">
        <f>IF(VLOOKUP(Table7[[#This Row],[Date]],Database!$A:$C,MATCH($C$1,Database!$A$1:$C$1,),)=0,#N/A,VLOOKUP(Table7[[#This Row],[Date]],Database!$A:$C,MATCH($C$1,Database!$A$1:$C$1,),))</f>
        <v/>
      </c>
      <c r="D9595">
        <f>IFERROR(Table7[[#This Row],[United States 10y]]-Table7[[#This Row],[United States 3y]],#N/A)</f>
        <v/>
      </c>
    </row>
    <row r="9596">
      <c r="A9596" s="6">
        <f>Database!$A11681</f>
        <v/>
      </c>
      <c r="B9596">
        <f>IF(VLOOKUP(Table7[[#This Row],[Date]],Database!$A:$C,MATCH($B$1,Database!$A$1:$C$1,),)=0,#N/A,VLOOKUP(Table7[[#This Row],[Date]],Database!$A:$C,MATCH($B$1,Database!$A$1:$C$1,),))</f>
        <v/>
      </c>
      <c r="C9596">
        <f>IF(VLOOKUP(Table7[[#This Row],[Date]],Database!$A:$C,MATCH($C$1,Database!$A$1:$C$1,),)=0,#N/A,VLOOKUP(Table7[[#This Row],[Date]],Database!$A:$C,MATCH($C$1,Database!$A$1:$C$1,),))</f>
        <v/>
      </c>
      <c r="D9596">
        <f>IFERROR(Table7[[#This Row],[United States 10y]]-Table7[[#This Row],[United States 3y]],#N/A)</f>
        <v/>
      </c>
    </row>
    <row r="9597">
      <c r="A9597" s="6">
        <f>Database!$A11682</f>
        <v/>
      </c>
      <c r="B9597">
        <f>IF(VLOOKUP(Table7[[#This Row],[Date]],Database!$A:$C,MATCH($B$1,Database!$A$1:$C$1,),)=0,#N/A,VLOOKUP(Table7[[#This Row],[Date]],Database!$A:$C,MATCH($B$1,Database!$A$1:$C$1,),))</f>
        <v/>
      </c>
      <c r="C9597">
        <f>IF(VLOOKUP(Table7[[#This Row],[Date]],Database!$A:$C,MATCH($C$1,Database!$A$1:$C$1,),)=0,#N/A,VLOOKUP(Table7[[#This Row],[Date]],Database!$A:$C,MATCH($C$1,Database!$A$1:$C$1,),))</f>
        <v/>
      </c>
      <c r="D9597">
        <f>IFERROR(Table7[[#This Row],[United States 10y]]-Table7[[#This Row],[United States 3y]],#N/A)</f>
        <v/>
      </c>
    </row>
    <row r="9598">
      <c r="A9598" s="6">
        <f>Database!$A11683</f>
        <v/>
      </c>
      <c r="B9598">
        <f>IF(VLOOKUP(Table7[[#This Row],[Date]],Database!$A:$C,MATCH($B$1,Database!$A$1:$C$1,),)=0,#N/A,VLOOKUP(Table7[[#This Row],[Date]],Database!$A:$C,MATCH($B$1,Database!$A$1:$C$1,),))</f>
        <v/>
      </c>
      <c r="C9598">
        <f>IF(VLOOKUP(Table7[[#This Row],[Date]],Database!$A:$C,MATCH($C$1,Database!$A$1:$C$1,),)=0,#N/A,VLOOKUP(Table7[[#This Row],[Date]],Database!$A:$C,MATCH($C$1,Database!$A$1:$C$1,),))</f>
        <v/>
      </c>
      <c r="D9598">
        <f>IFERROR(Table7[[#This Row],[United States 10y]]-Table7[[#This Row],[United States 3y]],#N/A)</f>
        <v/>
      </c>
    </row>
    <row r="9599">
      <c r="A9599" s="6">
        <f>Database!$A11684</f>
        <v/>
      </c>
      <c r="B9599">
        <f>IF(VLOOKUP(Table7[[#This Row],[Date]],Database!$A:$C,MATCH($B$1,Database!$A$1:$C$1,),)=0,#N/A,VLOOKUP(Table7[[#This Row],[Date]],Database!$A:$C,MATCH($B$1,Database!$A$1:$C$1,),))</f>
        <v/>
      </c>
      <c r="C9599">
        <f>IF(VLOOKUP(Table7[[#This Row],[Date]],Database!$A:$C,MATCH($C$1,Database!$A$1:$C$1,),)=0,#N/A,VLOOKUP(Table7[[#This Row],[Date]],Database!$A:$C,MATCH($C$1,Database!$A$1:$C$1,),))</f>
        <v/>
      </c>
      <c r="D9599">
        <f>IFERROR(Table7[[#This Row],[United States 10y]]-Table7[[#This Row],[United States 3y]],#N/A)</f>
        <v/>
      </c>
    </row>
    <row r="9600">
      <c r="A9600" s="6">
        <f>Database!$A11685</f>
        <v/>
      </c>
      <c r="B9600">
        <f>IF(VLOOKUP(Table7[[#This Row],[Date]],Database!$A:$C,MATCH($B$1,Database!$A$1:$C$1,),)=0,#N/A,VLOOKUP(Table7[[#This Row],[Date]],Database!$A:$C,MATCH($B$1,Database!$A$1:$C$1,),))</f>
        <v/>
      </c>
      <c r="C9600">
        <f>IF(VLOOKUP(Table7[[#This Row],[Date]],Database!$A:$C,MATCH($C$1,Database!$A$1:$C$1,),)=0,#N/A,VLOOKUP(Table7[[#This Row],[Date]],Database!$A:$C,MATCH($C$1,Database!$A$1:$C$1,),))</f>
        <v/>
      </c>
      <c r="D9600">
        <f>IFERROR(Table7[[#This Row],[United States 10y]]-Table7[[#This Row],[United States 3y]],#N/A)</f>
        <v/>
      </c>
    </row>
    <row r="9601">
      <c r="A9601" s="6">
        <f>Database!$A11686</f>
        <v/>
      </c>
      <c r="B9601">
        <f>IF(VLOOKUP(Table7[[#This Row],[Date]],Database!$A:$C,MATCH($B$1,Database!$A$1:$C$1,),)=0,#N/A,VLOOKUP(Table7[[#This Row],[Date]],Database!$A:$C,MATCH($B$1,Database!$A$1:$C$1,),))</f>
        <v/>
      </c>
      <c r="C9601">
        <f>IF(VLOOKUP(Table7[[#This Row],[Date]],Database!$A:$C,MATCH($C$1,Database!$A$1:$C$1,),)=0,#N/A,VLOOKUP(Table7[[#This Row],[Date]],Database!$A:$C,MATCH($C$1,Database!$A$1:$C$1,),))</f>
        <v/>
      </c>
      <c r="D9601">
        <f>IFERROR(Table7[[#This Row],[United States 10y]]-Table7[[#This Row],[United States 3y]],#N/A)</f>
        <v/>
      </c>
    </row>
    <row r="9602">
      <c r="A9602" s="6">
        <f>Database!$A11687</f>
        <v/>
      </c>
      <c r="B9602">
        <f>IF(VLOOKUP(Table7[[#This Row],[Date]],Database!$A:$C,MATCH($B$1,Database!$A$1:$C$1,),)=0,#N/A,VLOOKUP(Table7[[#This Row],[Date]],Database!$A:$C,MATCH($B$1,Database!$A$1:$C$1,),))</f>
        <v/>
      </c>
      <c r="C9602">
        <f>IF(VLOOKUP(Table7[[#This Row],[Date]],Database!$A:$C,MATCH($C$1,Database!$A$1:$C$1,),)=0,#N/A,VLOOKUP(Table7[[#This Row],[Date]],Database!$A:$C,MATCH($C$1,Database!$A$1:$C$1,),))</f>
        <v/>
      </c>
      <c r="D9602">
        <f>IFERROR(Table7[[#This Row],[United States 10y]]-Table7[[#This Row],[United States 3y]],#N/A)</f>
        <v/>
      </c>
    </row>
    <row r="9603">
      <c r="A9603" s="6">
        <f>Database!$A11688</f>
        <v/>
      </c>
      <c r="B9603">
        <f>IF(VLOOKUP(Table7[[#This Row],[Date]],Database!$A:$C,MATCH($B$1,Database!$A$1:$C$1,),)=0,#N/A,VLOOKUP(Table7[[#This Row],[Date]],Database!$A:$C,MATCH($B$1,Database!$A$1:$C$1,),))</f>
        <v/>
      </c>
      <c r="C9603">
        <f>IF(VLOOKUP(Table7[[#This Row],[Date]],Database!$A:$C,MATCH($C$1,Database!$A$1:$C$1,),)=0,#N/A,VLOOKUP(Table7[[#This Row],[Date]],Database!$A:$C,MATCH($C$1,Database!$A$1:$C$1,),))</f>
        <v/>
      </c>
      <c r="D9603">
        <f>IFERROR(Table7[[#This Row],[United States 10y]]-Table7[[#This Row],[United States 3y]],#N/A)</f>
        <v/>
      </c>
    </row>
    <row r="9604">
      <c r="A9604" s="6">
        <f>Database!$A11689</f>
        <v/>
      </c>
      <c r="B9604">
        <f>IF(VLOOKUP(Table7[[#This Row],[Date]],Database!$A:$C,MATCH($B$1,Database!$A$1:$C$1,),)=0,#N/A,VLOOKUP(Table7[[#This Row],[Date]],Database!$A:$C,MATCH($B$1,Database!$A$1:$C$1,),))</f>
        <v/>
      </c>
      <c r="C9604">
        <f>IF(VLOOKUP(Table7[[#This Row],[Date]],Database!$A:$C,MATCH($C$1,Database!$A$1:$C$1,),)=0,#N/A,VLOOKUP(Table7[[#This Row],[Date]],Database!$A:$C,MATCH($C$1,Database!$A$1:$C$1,),))</f>
        <v/>
      </c>
      <c r="D9604">
        <f>IFERROR(Table7[[#This Row],[United States 10y]]-Table7[[#This Row],[United States 3y]],#N/A)</f>
        <v/>
      </c>
    </row>
    <row r="9605">
      <c r="A9605" s="6">
        <f>Database!$A11690</f>
        <v/>
      </c>
      <c r="B9605">
        <f>IF(VLOOKUP(Table7[[#This Row],[Date]],Database!$A:$C,MATCH($B$1,Database!$A$1:$C$1,),)=0,#N/A,VLOOKUP(Table7[[#This Row],[Date]],Database!$A:$C,MATCH($B$1,Database!$A$1:$C$1,),))</f>
        <v/>
      </c>
      <c r="C9605">
        <f>IF(VLOOKUP(Table7[[#This Row],[Date]],Database!$A:$C,MATCH($C$1,Database!$A$1:$C$1,),)=0,#N/A,VLOOKUP(Table7[[#This Row],[Date]],Database!$A:$C,MATCH($C$1,Database!$A$1:$C$1,),))</f>
        <v/>
      </c>
      <c r="D9605">
        <f>IFERROR(Table7[[#This Row],[United States 10y]]-Table7[[#This Row],[United States 3y]],#N/A)</f>
        <v/>
      </c>
    </row>
    <row r="9606">
      <c r="A9606" s="6">
        <f>Database!$A11691</f>
        <v/>
      </c>
      <c r="B9606">
        <f>IF(VLOOKUP(Table7[[#This Row],[Date]],Database!$A:$C,MATCH($B$1,Database!$A$1:$C$1,),)=0,#N/A,VLOOKUP(Table7[[#This Row],[Date]],Database!$A:$C,MATCH($B$1,Database!$A$1:$C$1,),))</f>
        <v/>
      </c>
      <c r="C9606">
        <f>IF(VLOOKUP(Table7[[#This Row],[Date]],Database!$A:$C,MATCH($C$1,Database!$A$1:$C$1,),)=0,#N/A,VLOOKUP(Table7[[#This Row],[Date]],Database!$A:$C,MATCH($C$1,Database!$A$1:$C$1,),))</f>
        <v/>
      </c>
      <c r="D9606">
        <f>IFERROR(Table7[[#This Row],[United States 10y]]-Table7[[#This Row],[United States 3y]],#N/A)</f>
        <v/>
      </c>
    </row>
    <row r="9607">
      <c r="A9607" s="6">
        <f>Database!$A11692</f>
        <v/>
      </c>
      <c r="B9607">
        <f>IF(VLOOKUP(Table7[[#This Row],[Date]],Database!$A:$C,MATCH($B$1,Database!$A$1:$C$1,),)=0,#N/A,VLOOKUP(Table7[[#This Row],[Date]],Database!$A:$C,MATCH($B$1,Database!$A$1:$C$1,),))</f>
        <v/>
      </c>
      <c r="C9607">
        <f>IF(VLOOKUP(Table7[[#This Row],[Date]],Database!$A:$C,MATCH($C$1,Database!$A$1:$C$1,),)=0,#N/A,VLOOKUP(Table7[[#This Row],[Date]],Database!$A:$C,MATCH($C$1,Database!$A$1:$C$1,),))</f>
        <v/>
      </c>
      <c r="D9607">
        <f>IFERROR(Table7[[#This Row],[United States 10y]]-Table7[[#This Row],[United States 3y]],#N/A)</f>
        <v/>
      </c>
    </row>
    <row r="9608">
      <c r="A9608" s="6">
        <f>Database!$A11693</f>
        <v/>
      </c>
      <c r="B9608">
        <f>IF(VLOOKUP(Table7[[#This Row],[Date]],Database!$A:$C,MATCH($B$1,Database!$A$1:$C$1,),)=0,#N/A,VLOOKUP(Table7[[#This Row],[Date]],Database!$A:$C,MATCH($B$1,Database!$A$1:$C$1,),))</f>
        <v/>
      </c>
      <c r="C9608">
        <f>IF(VLOOKUP(Table7[[#This Row],[Date]],Database!$A:$C,MATCH($C$1,Database!$A$1:$C$1,),)=0,#N/A,VLOOKUP(Table7[[#This Row],[Date]],Database!$A:$C,MATCH($C$1,Database!$A$1:$C$1,),))</f>
        <v/>
      </c>
      <c r="D9608">
        <f>IFERROR(Table7[[#This Row],[United States 10y]]-Table7[[#This Row],[United States 3y]],#N/A)</f>
        <v/>
      </c>
    </row>
    <row r="9609">
      <c r="A9609" s="6">
        <f>Database!$A11694</f>
        <v/>
      </c>
      <c r="B9609">
        <f>IF(VLOOKUP(Table7[[#This Row],[Date]],Database!$A:$C,MATCH($B$1,Database!$A$1:$C$1,),)=0,#N/A,VLOOKUP(Table7[[#This Row],[Date]],Database!$A:$C,MATCH($B$1,Database!$A$1:$C$1,),))</f>
        <v/>
      </c>
      <c r="C9609">
        <f>IF(VLOOKUP(Table7[[#This Row],[Date]],Database!$A:$C,MATCH($C$1,Database!$A$1:$C$1,),)=0,#N/A,VLOOKUP(Table7[[#This Row],[Date]],Database!$A:$C,MATCH($C$1,Database!$A$1:$C$1,),))</f>
        <v/>
      </c>
      <c r="D9609">
        <f>IFERROR(Table7[[#This Row],[United States 10y]]-Table7[[#This Row],[United States 3y]],#N/A)</f>
        <v/>
      </c>
    </row>
    <row r="9610">
      <c r="A9610" s="6">
        <f>Database!$A11695</f>
        <v/>
      </c>
      <c r="B9610">
        <f>IF(VLOOKUP(Table7[[#This Row],[Date]],Database!$A:$C,MATCH($B$1,Database!$A$1:$C$1,),)=0,#N/A,VLOOKUP(Table7[[#This Row],[Date]],Database!$A:$C,MATCH($B$1,Database!$A$1:$C$1,),))</f>
        <v/>
      </c>
      <c r="C9610">
        <f>IF(VLOOKUP(Table7[[#This Row],[Date]],Database!$A:$C,MATCH($C$1,Database!$A$1:$C$1,),)=0,#N/A,VLOOKUP(Table7[[#This Row],[Date]],Database!$A:$C,MATCH($C$1,Database!$A$1:$C$1,),))</f>
        <v/>
      </c>
      <c r="D9610">
        <f>IFERROR(Table7[[#This Row],[United States 10y]]-Table7[[#This Row],[United States 3y]],#N/A)</f>
        <v/>
      </c>
    </row>
    <row r="9611">
      <c r="A9611" s="6">
        <f>Database!$A11696</f>
        <v/>
      </c>
      <c r="B9611">
        <f>IF(VLOOKUP(Table7[[#This Row],[Date]],Database!$A:$C,MATCH($B$1,Database!$A$1:$C$1,),)=0,#N/A,VLOOKUP(Table7[[#This Row],[Date]],Database!$A:$C,MATCH($B$1,Database!$A$1:$C$1,),))</f>
        <v/>
      </c>
      <c r="C9611">
        <f>IF(VLOOKUP(Table7[[#This Row],[Date]],Database!$A:$C,MATCH($C$1,Database!$A$1:$C$1,),)=0,#N/A,VLOOKUP(Table7[[#This Row],[Date]],Database!$A:$C,MATCH($C$1,Database!$A$1:$C$1,),))</f>
        <v/>
      </c>
      <c r="D9611">
        <f>IFERROR(Table7[[#This Row],[United States 10y]]-Table7[[#This Row],[United States 3y]],#N/A)</f>
        <v/>
      </c>
    </row>
    <row r="9612">
      <c r="A9612" s="6">
        <f>Database!$A11697</f>
        <v/>
      </c>
      <c r="B9612">
        <f>IF(VLOOKUP(Table7[[#This Row],[Date]],Database!$A:$C,MATCH($B$1,Database!$A$1:$C$1,),)=0,#N/A,VLOOKUP(Table7[[#This Row],[Date]],Database!$A:$C,MATCH($B$1,Database!$A$1:$C$1,),))</f>
        <v/>
      </c>
      <c r="C9612">
        <f>IF(VLOOKUP(Table7[[#This Row],[Date]],Database!$A:$C,MATCH($C$1,Database!$A$1:$C$1,),)=0,#N/A,VLOOKUP(Table7[[#This Row],[Date]],Database!$A:$C,MATCH($C$1,Database!$A$1:$C$1,),))</f>
        <v/>
      </c>
      <c r="D9612">
        <f>IFERROR(Table7[[#This Row],[United States 10y]]-Table7[[#This Row],[United States 3y]],#N/A)</f>
        <v/>
      </c>
    </row>
    <row r="9613">
      <c r="A9613" s="6">
        <f>Database!$A11698</f>
        <v/>
      </c>
      <c r="B9613">
        <f>IF(VLOOKUP(Table7[[#This Row],[Date]],Database!$A:$C,MATCH($B$1,Database!$A$1:$C$1,),)=0,#N/A,VLOOKUP(Table7[[#This Row],[Date]],Database!$A:$C,MATCH($B$1,Database!$A$1:$C$1,),))</f>
        <v/>
      </c>
      <c r="C9613">
        <f>IF(VLOOKUP(Table7[[#This Row],[Date]],Database!$A:$C,MATCH($C$1,Database!$A$1:$C$1,),)=0,#N/A,VLOOKUP(Table7[[#This Row],[Date]],Database!$A:$C,MATCH($C$1,Database!$A$1:$C$1,),))</f>
        <v/>
      </c>
      <c r="D9613">
        <f>IFERROR(Table7[[#This Row],[United States 10y]]-Table7[[#This Row],[United States 3y]],#N/A)</f>
        <v/>
      </c>
    </row>
    <row r="9614">
      <c r="A9614" s="6">
        <f>Database!$A11699</f>
        <v/>
      </c>
      <c r="B9614">
        <f>IF(VLOOKUP(Table7[[#This Row],[Date]],Database!$A:$C,MATCH($B$1,Database!$A$1:$C$1,),)=0,#N/A,VLOOKUP(Table7[[#This Row],[Date]],Database!$A:$C,MATCH($B$1,Database!$A$1:$C$1,),))</f>
        <v/>
      </c>
      <c r="C9614">
        <f>IF(VLOOKUP(Table7[[#This Row],[Date]],Database!$A:$C,MATCH($C$1,Database!$A$1:$C$1,),)=0,#N/A,VLOOKUP(Table7[[#This Row],[Date]],Database!$A:$C,MATCH($C$1,Database!$A$1:$C$1,),))</f>
        <v/>
      </c>
      <c r="D9614">
        <f>IFERROR(Table7[[#This Row],[United States 10y]]-Table7[[#This Row],[United States 3y]],#N/A)</f>
        <v/>
      </c>
    </row>
    <row r="9615">
      <c r="A9615" s="6">
        <f>Database!$A11700</f>
        <v/>
      </c>
      <c r="B9615">
        <f>IF(VLOOKUP(Table7[[#This Row],[Date]],Database!$A:$C,MATCH($B$1,Database!$A$1:$C$1,),)=0,#N/A,VLOOKUP(Table7[[#This Row],[Date]],Database!$A:$C,MATCH($B$1,Database!$A$1:$C$1,),))</f>
        <v/>
      </c>
      <c r="C9615">
        <f>IF(VLOOKUP(Table7[[#This Row],[Date]],Database!$A:$C,MATCH($C$1,Database!$A$1:$C$1,),)=0,#N/A,VLOOKUP(Table7[[#This Row],[Date]],Database!$A:$C,MATCH($C$1,Database!$A$1:$C$1,),))</f>
        <v/>
      </c>
      <c r="D9615">
        <f>IFERROR(Table7[[#This Row],[United States 10y]]-Table7[[#This Row],[United States 3y]],#N/A)</f>
        <v/>
      </c>
    </row>
    <row r="9616">
      <c r="A9616" s="6">
        <f>Database!$A11701</f>
        <v/>
      </c>
      <c r="B9616">
        <f>IF(VLOOKUP(Table7[[#This Row],[Date]],Database!$A:$C,MATCH($B$1,Database!$A$1:$C$1,),)=0,#N/A,VLOOKUP(Table7[[#This Row],[Date]],Database!$A:$C,MATCH($B$1,Database!$A$1:$C$1,),))</f>
        <v/>
      </c>
      <c r="C9616">
        <f>IF(VLOOKUP(Table7[[#This Row],[Date]],Database!$A:$C,MATCH($C$1,Database!$A$1:$C$1,),)=0,#N/A,VLOOKUP(Table7[[#This Row],[Date]],Database!$A:$C,MATCH($C$1,Database!$A$1:$C$1,),))</f>
        <v/>
      </c>
      <c r="D9616">
        <f>IFERROR(Table7[[#This Row],[United States 10y]]-Table7[[#This Row],[United States 3y]],#N/A)</f>
        <v/>
      </c>
    </row>
    <row r="9617">
      <c r="A9617" s="6">
        <f>Database!$A11702</f>
        <v/>
      </c>
      <c r="B9617">
        <f>IF(VLOOKUP(Table7[[#This Row],[Date]],Database!$A:$C,MATCH($B$1,Database!$A$1:$C$1,),)=0,#N/A,VLOOKUP(Table7[[#This Row],[Date]],Database!$A:$C,MATCH($B$1,Database!$A$1:$C$1,),))</f>
        <v/>
      </c>
      <c r="C9617">
        <f>IF(VLOOKUP(Table7[[#This Row],[Date]],Database!$A:$C,MATCH($C$1,Database!$A$1:$C$1,),)=0,#N/A,VLOOKUP(Table7[[#This Row],[Date]],Database!$A:$C,MATCH($C$1,Database!$A$1:$C$1,),))</f>
        <v/>
      </c>
      <c r="D9617">
        <f>IFERROR(Table7[[#This Row],[United States 10y]]-Table7[[#This Row],[United States 3y]],#N/A)</f>
        <v/>
      </c>
    </row>
    <row r="9618">
      <c r="A9618" s="6">
        <f>Database!$A11703</f>
        <v/>
      </c>
      <c r="B9618">
        <f>IF(VLOOKUP(Table7[[#This Row],[Date]],Database!$A:$C,MATCH($B$1,Database!$A$1:$C$1,),)=0,#N/A,VLOOKUP(Table7[[#This Row],[Date]],Database!$A:$C,MATCH($B$1,Database!$A$1:$C$1,),))</f>
        <v/>
      </c>
      <c r="C9618">
        <f>IF(VLOOKUP(Table7[[#This Row],[Date]],Database!$A:$C,MATCH($C$1,Database!$A$1:$C$1,),)=0,#N/A,VLOOKUP(Table7[[#This Row],[Date]],Database!$A:$C,MATCH($C$1,Database!$A$1:$C$1,),))</f>
        <v/>
      </c>
      <c r="D9618">
        <f>IFERROR(Table7[[#This Row],[United States 10y]]-Table7[[#This Row],[United States 3y]],#N/A)</f>
        <v/>
      </c>
    </row>
    <row r="9619">
      <c r="A9619" s="6">
        <f>Database!$A11704</f>
        <v/>
      </c>
      <c r="B9619">
        <f>IF(VLOOKUP(Table7[[#This Row],[Date]],Database!$A:$C,MATCH($B$1,Database!$A$1:$C$1,),)=0,#N/A,VLOOKUP(Table7[[#This Row],[Date]],Database!$A:$C,MATCH($B$1,Database!$A$1:$C$1,),))</f>
        <v/>
      </c>
      <c r="C9619">
        <f>IF(VLOOKUP(Table7[[#This Row],[Date]],Database!$A:$C,MATCH($C$1,Database!$A$1:$C$1,),)=0,#N/A,VLOOKUP(Table7[[#This Row],[Date]],Database!$A:$C,MATCH($C$1,Database!$A$1:$C$1,),))</f>
        <v/>
      </c>
      <c r="D9619">
        <f>IFERROR(Table7[[#This Row],[United States 10y]]-Table7[[#This Row],[United States 3y]],#N/A)</f>
        <v/>
      </c>
    </row>
    <row r="9620">
      <c r="A9620" s="6">
        <f>Database!$A11705</f>
        <v/>
      </c>
      <c r="B9620">
        <f>IF(VLOOKUP(Table7[[#This Row],[Date]],Database!$A:$C,MATCH($B$1,Database!$A$1:$C$1,),)=0,#N/A,VLOOKUP(Table7[[#This Row],[Date]],Database!$A:$C,MATCH($B$1,Database!$A$1:$C$1,),))</f>
        <v/>
      </c>
      <c r="C9620">
        <f>IF(VLOOKUP(Table7[[#This Row],[Date]],Database!$A:$C,MATCH($C$1,Database!$A$1:$C$1,),)=0,#N/A,VLOOKUP(Table7[[#This Row],[Date]],Database!$A:$C,MATCH($C$1,Database!$A$1:$C$1,),))</f>
        <v/>
      </c>
      <c r="D9620">
        <f>IFERROR(Table7[[#This Row],[United States 10y]]-Table7[[#This Row],[United States 3y]],#N/A)</f>
        <v/>
      </c>
    </row>
    <row r="9621">
      <c r="A9621" s="6">
        <f>Database!$A11706</f>
        <v/>
      </c>
      <c r="B9621">
        <f>IF(VLOOKUP(Table7[[#This Row],[Date]],Database!$A:$C,MATCH($B$1,Database!$A$1:$C$1,),)=0,#N/A,VLOOKUP(Table7[[#This Row],[Date]],Database!$A:$C,MATCH($B$1,Database!$A$1:$C$1,),))</f>
        <v/>
      </c>
      <c r="C9621">
        <f>IF(VLOOKUP(Table7[[#This Row],[Date]],Database!$A:$C,MATCH($C$1,Database!$A$1:$C$1,),)=0,#N/A,VLOOKUP(Table7[[#This Row],[Date]],Database!$A:$C,MATCH($C$1,Database!$A$1:$C$1,),))</f>
        <v/>
      </c>
      <c r="D9621">
        <f>IFERROR(Table7[[#This Row],[United States 10y]]-Table7[[#This Row],[United States 3y]],#N/A)</f>
        <v/>
      </c>
    </row>
    <row r="9622">
      <c r="A9622" s="6">
        <f>Database!$A11707</f>
        <v/>
      </c>
      <c r="B9622">
        <f>IF(VLOOKUP(Table7[[#This Row],[Date]],Database!$A:$C,MATCH($B$1,Database!$A$1:$C$1,),)=0,#N/A,VLOOKUP(Table7[[#This Row],[Date]],Database!$A:$C,MATCH($B$1,Database!$A$1:$C$1,),))</f>
        <v/>
      </c>
      <c r="C9622">
        <f>IF(VLOOKUP(Table7[[#This Row],[Date]],Database!$A:$C,MATCH($C$1,Database!$A$1:$C$1,),)=0,#N/A,VLOOKUP(Table7[[#This Row],[Date]],Database!$A:$C,MATCH($C$1,Database!$A$1:$C$1,),))</f>
        <v/>
      </c>
      <c r="D9622">
        <f>IFERROR(Table7[[#This Row],[United States 10y]]-Table7[[#This Row],[United States 3y]],#N/A)</f>
        <v/>
      </c>
    </row>
    <row r="9623">
      <c r="A9623" s="6">
        <f>Database!$A11708</f>
        <v/>
      </c>
      <c r="B9623">
        <f>IF(VLOOKUP(Table7[[#This Row],[Date]],Database!$A:$C,MATCH($B$1,Database!$A$1:$C$1,),)=0,#N/A,VLOOKUP(Table7[[#This Row],[Date]],Database!$A:$C,MATCH($B$1,Database!$A$1:$C$1,),))</f>
        <v/>
      </c>
      <c r="C9623">
        <f>IF(VLOOKUP(Table7[[#This Row],[Date]],Database!$A:$C,MATCH($C$1,Database!$A$1:$C$1,),)=0,#N/A,VLOOKUP(Table7[[#This Row],[Date]],Database!$A:$C,MATCH($C$1,Database!$A$1:$C$1,),))</f>
        <v/>
      </c>
      <c r="D9623">
        <f>IFERROR(Table7[[#This Row],[United States 10y]]-Table7[[#This Row],[United States 3y]],#N/A)</f>
        <v/>
      </c>
    </row>
    <row r="9624">
      <c r="A9624" s="6">
        <f>Database!$A11709</f>
        <v/>
      </c>
      <c r="B9624">
        <f>IF(VLOOKUP(Table7[[#This Row],[Date]],Database!$A:$C,MATCH($B$1,Database!$A$1:$C$1,),)=0,#N/A,VLOOKUP(Table7[[#This Row],[Date]],Database!$A:$C,MATCH($B$1,Database!$A$1:$C$1,),))</f>
        <v/>
      </c>
      <c r="C9624">
        <f>IF(VLOOKUP(Table7[[#This Row],[Date]],Database!$A:$C,MATCH($C$1,Database!$A$1:$C$1,),)=0,#N/A,VLOOKUP(Table7[[#This Row],[Date]],Database!$A:$C,MATCH($C$1,Database!$A$1:$C$1,),))</f>
        <v/>
      </c>
      <c r="D9624">
        <f>IFERROR(Table7[[#This Row],[United States 10y]]-Table7[[#This Row],[United States 3y]],#N/A)</f>
        <v/>
      </c>
    </row>
    <row r="9625">
      <c r="A9625" s="6">
        <f>Database!$A11710</f>
        <v/>
      </c>
      <c r="B9625">
        <f>IF(VLOOKUP(Table7[[#This Row],[Date]],Database!$A:$C,MATCH($B$1,Database!$A$1:$C$1,),)=0,#N/A,VLOOKUP(Table7[[#This Row],[Date]],Database!$A:$C,MATCH($B$1,Database!$A$1:$C$1,),))</f>
        <v/>
      </c>
      <c r="C9625">
        <f>IF(VLOOKUP(Table7[[#This Row],[Date]],Database!$A:$C,MATCH($C$1,Database!$A$1:$C$1,),)=0,#N/A,VLOOKUP(Table7[[#This Row],[Date]],Database!$A:$C,MATCH($C$1,Database!$A$1:$C$1,),))</f>
        <v/>
      </c>
      <c r="D9625">
        <f>IFERROR(Table7[[#This Row],[United States 10y]]-Table7[[#This Row],[United States 3y]],#N/A)</f>
        <v/>
      </c>
    </row>
    <row r="9626">
      <c r="A9626" s="6">
        <f>Database!$A11711</f>
        <v/>
      </c>
      <c r="B9626">
        <f>IF(VLOOKUP(Table7[[#This Row],[Date]],Database!$A:$C,MATCH($B$1,Database!$A$1:$C$1,),)=0,#N/A,VLOOKUP(Table7[[#This Row],[Date]],Database!$A:$C,MATCH($B$1,Database!$A$1:$C$1,),))</f>
        <v/>
      </c>
      <c r="C9626">
        <f>IF(VLOOKUP(Table7[[#This Row],[Date]],Database!$A:$C,MATCH($C$1,Database!$A$1:$C$1,),)=0,#N/A,VLOOKUP(Table7[[#This Row],[Date]],Database!$A:$C,MATCH($C$1,Database!$A$1:$C$1,),))</f>
        <v/>
      </c>
      <c r="D9626">
        <f>IFERROR(Table7[[#This Row],[United States 10y]]-Table7[[#This Row],[United States 3y]],#N/A)</f>
        <v/>
      </c>
    </row>
    <row r="9627">
      <c r="A9627" s="6">
        <f>Database!$A11712</f>
        <v/>
      </c>
      <c r="B9627">
        <f>IF(VLOOKUP(Table7[[#This Row],[Date]],Database!$A:$C,MATCH($B$1,Database!$A$1:$C$1,),)=0,#N/A,VLOOKUP(Table7[[#This Row],[Date]],Database!$A:$C,MATCH($B$1,Database!$A$1:$C$1,),))</f>
        <v/>
      </c>
      <c r="C9627">
        <f>IF(VLOOKUP(Table7[[#This Row],[Date]],Database!$A:$C,MATCH($C$1,Database!$A$1:$C$1,),)=0,#N/A,VLOOKUP(Table7[[#This Row],[Date]],Database!$A:$C,MATCH($C$1,Database!$A$1:$C$1,),))</f>
        <v/>
      </c>
      <c r="D9627">
        <f>IFERROR(Table7[[#This Row],[United States 10y]]-Table7[[#This Row],[United States 3y]],#N/A)</f>
        <v/>
      </c>
    </row>
    <row r="9628">
      <c r="A9628" s="6">
        <f>Database!$A11713</f>
        <v/>
      </c>
      <c r="B9628">
        <f>IF(VLOOKUP(Table7[[#This Row],[Date]],Database!$A:$C,MATCH($B$1,Database!$A$1:$C$1,),)=0,#N/A,VLOOKUP(Table7[[#This Row],[Date]],Database!$A:$C,MATCH($B$1,Database!$A$1:$C$1,),))</f>
        <v/>
      </c>
      <c r="C9628">
        <f>IF(VLOOKUP(Table7[[#This Row],[Date]],Database!$A:$C,MATCH($C$1,Database!$A$1:$C$1,),)=0,#N/A,VLOOKUP(Table7[[#This Row],[Date]],Database!$A:$C,MATCH($C$1,Database!$A$1:$C$1,),))</f>
        <v/>
      </c>
      <c r="D9628">
        <f>IFERROR(Table7[[#This Row],[United States 10y]]-Table7[[#This Row],[United States 3y]],#N/A)</f>
        <v/>
      </c>
    </row>
    <row r="9629">
      <c r="A9629" s="6">
        <f>Database!$A11714</f>
        <v/>
      </c>
      <c r="B9629">
        <f>IF(VLOOKUP(Table7[[#This Row],[Date]],Database!$A:$C,MATCH($B$1,Database!$A$1:$C$1,),)=0,#N/A,VLOOKUP(Table7[[#This Row],[Date]],Database!$A:$C,MATCH($B$1,Database!$A$1:$C$1,),))</f>
        <v/>
      </c>
      <c r="C9629">
        <f>IF(VLOOKUP(Table7[[#This Row],[Date]],Database!$A:$C,MATCH($C$1,Database!$A$1:$C$1,),)=0,#N/A,VLOOKUP(Table7[[#This Row],[Date]],Database!$A:$C,MATCH($C$1,Database!$A$1:$C$1,),))</f>
        <v/>
      </c>
      <c r="D9629">
        <f>IFERROR(Table7[[#This Row],[United States 10y]]-Table7[[#This Row],[United States 3y]],#N/A)</f>
        <v/>
      </c>
    </row>
    <row r="9630">
      <c r="A9630" s="6">
        <f>Database!$A11715</f>
        <v/>
      </c>
      <c r="B9630">
        <f>IF(VLOOKUP(Table7[[#This Row],[Date]],Database!$A:$C,MATCH($B$1,Database!$A$1:$C$1,),)=0,#N/A,VLOOKUP(Table7[[#This Row],[Date]],Database!$A:$C,MATCH($B$1,Database!$A$1:$C$1,),))</f>
        <v/>
      </c>
      <c r="C9630">
        <f>IF(VLOOKUP(Table7[[#This Row],[Date]],Database!$A:$C,MATCH($C$1,Database!$A$1:$C$1,),)=0,#N/A,VLOOKUP(Table7[[#This Row],[Date]],Database!$A:$C,MATCH($C$1,Database!$A$1:$C$1,),))</f>
        <v/>
      </c>
      <c r="D9630">
        <f>IFERROR(Table7[[#This Row],[United States 10y]]-Table7[[#This Row],[United States 3y]],#N/A)</f>
        <v/>
      </c>
    </row>
    <row r="9631">
      <c r="A9631" s="6">
        <f>Database!$A11716</f>
        <v/>
      </c>
      <c r="B9631">
        <f>IF(VLOOKUP(Table7[[#This Row],[Date]],Database!$A:$C,MATCH($B$1,Database!$A$1:$C$1,),)=0,#N/A,VLOOKUP(Table7[[#This Row],[Date]],Database!$A:$C,MATCH($B$1,Database!$A$1:$C$1,),))</f>
        <v/>
      </c>
      <c r="C9631">
        <f>IF(VLOOKUP(Table7[[#This Row],[Date]],Database!$A:$C,MATCH($C$1,Database!$A$1:$C$1,),)=0,#N/A,VLOOKUP(Table7[[#This Row],[Date]],Database!$A:$C,MATCH($C$1,Database!$A$1:$C$1,),))</f>
        <v/>
      </c>
      <c r="D9631">
        <f>IFERROR(Table7[[#This Row],[United States 10y]]-Table7[[#This Row],[United States 3y]],#N/A)</f>
        <v/>
      </c>
    </row>
    <row r="9632">
      <c r="A9632" s="6">
        <f>Database!$A11717</f>
        <v/>
      </c>
      <c r="B9632">
        <f>IF(VLOOKUP(Table7[[#This Row],[Date]],Database!$A:$C,MATCH($B$1,Database!$A$1:$C$1,),)=0,#N/A,VLOOKUP(Table7[[#This Row],[Date]],Database!$A:$C,MATCH($B$1,Database!$A$1:$C$1,),))</f>
        <v/>
      </c>
      <c r="C9632">
        <f>IF(VLOOKUP(Table7[[#This Row],[Date]],Database!$A:$C,MATCH($C$1,Database!$A$1:$C$1,),)=0,#N/A,VLOOKUP(Table7[[#This Row],[Date]],Database!$A:$C,MATCH($C$1,Database!$A$1:$C$1,),))</f>
        <v/>
      </c>
      <c r="D9632">
        <f>IFERROR(Table7[[#This Row],[United States 10y]]-Table7[[#This Row],[United States 3y]],#N/A)</f>
        <v/>
      </c>
    </row>
    <row r="9633">
      <c r="A9633" s="6">
        <f>Database!$A11718</f>
        <v/>
      </c>
      <c r="B9633">
        <f>IF(VLOOKUP(Table7[[#This Row],[Date]],Database!$A:$C,MATCH($B$1,Database!$A$1:$C$1,),)=0,#N/A,VLOOKUP(Table7[[#This Row],[Date]],Database!$A:$C,MATCH($B$1,Database!$A$1:$C$1,),))</f>
        <v/>
      </c>
      <c r="C9633">
        <f>IF(VLOOKUP(Table7[[#This Row],[Date]],Database!$A:$C,MATCH($C$1,Database!$A$1:$C$1,),)=0,#N/A,VLOOKUP(Table7[[#This Row],[Date]],Database!$A:$C,MATCH($C$1,Database!$A$1:$C$1,),))</f>
        <v/>
      </c>
      <c r="D9633">
        <f>IFERROR(Table7[[#This Row],[United States 10y]]-Table7[[#This Row],[United States 3y]],#N/A)</f>
        <v/>
      </c>
    </row>
    <row r="9634">
      <c r="A9634" s="6">
        <f>Database!$A11719</f>
        <v/>
      </c>
      <c r="B9634">
        <f>IF(VLOOKUP(Table7[[#This Row],[Date]],Database!$A:$C,MATCH($B$1,Database!$A$1:$C$1,),)=0,#N/A,VLOOKUP(Table7[[#This Row],[Date]],Database!$A:$C,MATCH($B$1,Database!$A$1:$C$1,),))</f>
        <v/>
      </c>
      <c r="C9634">
        <f>IF(VLOOKUP(Table7[[#This Row],[Date]],Database!$A:$C,MATCH($C$1,Database!$A$1:$C$1,),)=0,#N/A,VLOOKUP(Table7[[#This Row],[Date]],Database!$A:$C,MATCH($C$1,Database!$A$1:$C$1,),))</f>
        <v/>
      </c>
      <c r="D9634">
        <f>IFERROR(Table7[[#This Row],[United States 10y]]-Table7[[#This Row],[United States 3y]],#N/A)</f>
        <v/>
      </c>
    </row>
    <row r="9635">
      <c r="A9635" s="6">
        <f>Database!$A11720</f>
        <v/>
      </c>
      <c r="B9635">
        <f>IF(VLOOKUP(Table7[[#This Row],[Date]],Database!$A:$C,MATCH($B$1,Database!$A$1:$C$1,),)=0,#N/A,VLOOKUP(Table7[[#This Row],[Date]],Database!$A:$C,MATCH($B$1,Database!$A$1:$C$1,),))</f>
        <v/>
      </c>
      <c r="C9635">
        <f>IF(VLOOKUP(Table7[[#This Row],[Date]],Database!$A:$C,MATCH($C$1,Database!$A$1:$C$1,),)=0,#N/A,VLOOKUP(Table7[[#This Row],[Date]],Database!$A:$C,MATCH($C$1,Database!$A$1:$C$1,),))</f>
        <v/>
      </c>
      <c r="D9635">
        <f>IFERROR(Table7[[#This Row],[United States 10y]]-Table7[[#This Row],[United States 3y]],#N/A)</f>
        <v/>
      </c>
    </row>
    <row r="9636">
      <c r="A9636" s="6">
        <f>Database!$A11721</f>
        <v/>
      </c>
      <c r="B9636">
        <f>IF(VLOOKUP(Table7[[#This Row],[Date]],Database!$A:$C,MATCH($B$1,Database!$A$1:$C$1,),)=0,#N/A,VLOOKUP(Table7[[#This Row],[Date]],Database!$A:$C,MATCH($B$1,Database!$A$1:$C$1,),))</f>
        <v/>
      </c>
      <c r="C9636">
        <f>IF(VLOOKUP(Table7[[#This Row],[Date]],Database!$A:$C,MATCH($C$1,Database!$A$1:$C$1,),)=0,#N/A,VLOOKUP(Table7[[#This Row],[Date]],Database!$A:$C,MATCH($C$1,Database!$A$1:$C$1,),))</f>
        <v/>
      </c>
      <c r="D9636">
        <f>IFERROR(Table7[[#This Row],[United States 10y]]-Table7[[#This Row],[United States 3y]],#N/A)</f>
        <v/>
      </c>
    </row>
    <row r="9637">
      <c r="A9637" s="6">
        <f>Database!$A11722</f>
        <v/>
      </c>
      <c r="B9637">
        <f>IF(VLOOKUP(Table7[[#This Row],[Date]],Database!$A:$C,MATCH($B$1,Database!$A$1:$C$1,),)=0,#N/A,VLOOKUP(Table7[[#This Row],[Date]],Database!$A:$C,MATCH($B$1,Database!$A$1:$C$1,),))</f>
        <v/>
      </c>
      <c r="C9637">
        <f>IF(VLOOKUP(Table7[[#This Row],[Date]],Database!$A:$C,MATCH($C$1,Database!$A$1:$C$1,),)=0,#N/A,VLOOKUP(Table7[[#This Row],[Date]],Database!$A:$C,MATCH($C$1,Database!$A$1:$C$1,),))</f>
        <v/>
      </c>
      <c r="D9637">
        <f>IFERROR(Table7[[#This Row],[United States 10y]]-Table7[[#This Row],[United States 3y]],#N/A)</f>
        <v/>
      </c>
    </row>
    <row r="9638">
      <c r="A9638" s="6">
        <f>Database!$A11723</f>
        <v/>
      </c>
      <c r="B9638">
        <f>IF(VLOOKUP(Table7[[#This Row],[Date]],Database!$A:$C,MATCH($B$1,Database!$A$1:$C$1,),)=0,#N/A,VLOOKUP(Table7[[#This Row],[Date]],Database!$A:$C,MATCH($B$1,Database!$A$1:$C$1,),))</f>
        <v/>
      </c>
      <c r="C9638">
        <f>IF(VLOOKUP(Table7[[#This Row],[Date]],Database!$A:$C,MATCH($C$1,Database!$A$1:$C$1,),)=0,#N/A,VLOOKUP(Table7[[#This Row],[Date]],Database!$A:$C,MATCH($C$1,Database!$A$1:$C$1,),))</f>
        <v/>
      </c>
      <c r="D9638">
        <f>IFERROR(Table7[[#This Row],[United States 10y]]-Table7[[#This Row],[United States 3y]],#N/A)</f>
        <v/>
      </c>
    </row>
    <row r="9639">
      <c r="A9639" s="6">
        <f>Database!$A11724</f>
        <v/>
      </c>
      <c r="B9639">
        <f>IF(VLOOKUP(Table7[[#This Row],[Date]],Database!$A:$C,MATCH($B$1,Database!$A$1:$C$1,),)=0,#N/A,VLOOKUP(Table7[[#This Row],[Date]],Database!$A:$C,MATCH($B$1,Database!$A$1:$C$1,),))</f>
        <v/>
      </c>
      <c r="C9639">
        <f>IF(VLOOKUP(Table7[[#This Row],[Date]],Database!$A:$C,MATCH($C$1,Database!$A$1:$C$1,),)=0,#N/A,VLOOKUP(Table7[[#This Row],[Date]],Database!$A:$C,MATCH($C$1,Database!$A$1:$C$1,),))</f>
        <v/>
      </c>
      <c r="D9639">
        <f>IFERROR(Table7[[#This Row],[United States 10y]]-Table7[[#This Row],[United States 3y]],#N/A)</f>
        <v/>
      </c>
    </row>
    <row r="9640">
      <c r="A9640" s="6">
        <f>Database!$A11725</f>
        <v/>
      </c>
      <c r="B9640">
        <f>IF(VLOOKUP(Table7[[#This Row],[Date]],Database!$A:$C,MATCH($B$1,Database!$A$1:$C$1,),)=0,#N/A,VLOOKUP(Table7[[#This Row],[Date]],Database!$A:$C,MATCH($B$1,Database!$A$1:$C$1,),))</f>
        <v/>
      </c>
      <c r="C9640">
        <f>IF(VLOOKUP(Table7[[#This Row],[Date]],Database!$A:$C,MATCH($C$1,Database!$A$1:$C$1,),)=0,#N/A,VLOOKUP(Table7[[#This Row],[Date]],Database!$A:$C,MATCH($C$1,Database!$A$1:$C$1,),))</f>
        <v/>
      </c>
      <c r="D9640">
        <f>IFERROR(Table7[[#This Row],[United States 10y]]-Table7[[#This Row],[United States 3y]],#N/A)</f>
        <v/>
      </c>
    </row>
    <row r="9641">
      <c r="A9641" s="6">
        <f>Database!$A11726</f>
        <v/>
      </c>
      <c r="B9641">
        <f>IF(VLOOKUP(Table7[[#This Row],[Date]],Database!$A:$C,MATCH($B$1,Database!$A$1:$C$1,),)=0,#N/A,VLOOKUP(Table7[[#This Row],[Date]],Database!$A:$C,MATCH($B$1,Database!$A$1:$C$1,),))</f>
        <v/>
      </c>
      <c r="C9641">
        <f>IF(VLOOKUP(Table7[[#This Row],[Date]],Database!$A:$C,MATCH($C$1,Database!$A$1:$C$1,),)=0,#N/A,VLOOKUP(Table7[[#This Row],[Date]],Database!$A:$C,MATCH($C$1,Database!$A$1:$C$1,),))</f>
        <v/>
      </c>
      <c r="D9641">
        <f>IFERROR(Table7[[#This Row],[United States 10y]]-Table7[[#This Row],[United States 3y]],#N/A)</f>
        <v/>
      </c>
    </row>
    <row r="9642">
      <c r="A9642" s="6">
        <f>Database!$A11727</f>
        <v/>
      </c>
      <c r="B9642">
        <f>IF(VLOOKUP(Table7[[#This Row],[Date]],Database!$A:$C,MATCH($B$1,Database!$A$1:$C$1,),)=0,#N/A,VLOOKUP(Table7[[#This Row],[Date]],Database!$A:$C,MATCH($B$1,Database!$A$1:$C$1,),))</f>
        <v/>
      </c>
      <c r="C9642">
        <f>IF(VLOOKUP(Table7[[#This Row],[Date]],Database!$A:$C,MATCH($C$1,Database!$A$1:$C$1,),)=0,#N/A,VLOOKUP(Table7[[#This Row],[Date]],Database!$A:$C,MATCH($C$1,Database!$A$1:$C$1,),))</f>
        <v/>
      </c>
      <c r="D9642">
        <f>IFERROR(Table7[[#This Row],[United States 10y]]-Table7[[#This Row],[United States 3y]],#N/A)</f>
        <v/>
      </c>
    </row>
    <row r="9643">
      <c r="A9643" s="6">
        <f>Database!$A11728</f>
        <v/>
      </c>
      <c r="B9643">
        <f>IF(VLOOKUP(Table7[[#This Row],[Date]],Database!$A:$C,MATCH($B$1,Database!$A$1:$C$1,),)=0,#N/A,VLOOKUP(Table7[[#This Row],[Date]],Database!$A:$C,MATCH($B$1,Database!$A$1:$C$1,),))</f>
        <v/>
      </c>
      <c r="C9643">
        <f>IF(VLOOKUP(Table7[[#This Row],[Date]],Database!$A:$C,MATCH($C$1,Database!$A$1:$C$1,),)=0,#N/A,VLOOKUP(Table7[[#This Row],[Date]],Database!$A:$C,MATCH($C$1,Database!$A$1:$C$1,),))</f>
        <v/>
      </c>
      <c r="D9643">
        <f>IFERROR(Table7[[#This Row],[United States 10y]]-Table7[[#This Row],[United States 3y]],#N/A)</f>
        <v/>
      </c>
    </row>
    <row r="9644">
      <c r="A9644" s="6">
        <f>Database!$A11729</f>
        <v/>
      </c>
      <c r="B9644">
        <f>IF(VLOOKUP(Table7[[#This Row],[Date]],Database!$A:$C,MATCH($B$1,Database!$A$1:$C$1,),)=0,#N/A,VLOOKUP(Table7[[#This Row],[Date]],Database!$A:$C,MATCH($B$1,Database!$A$1:$C$1,),))</f>
        <v/>
      </c>
      <c r="C9644">
        <f>IF(VLOOKUP(Table7[[#This Row],[Date]],Database!$A:$C,MATCH($C$1,Database!$A$1:$C$1,),)=0,#N/A,VLOOKUP(Table7[[#This Row],[Date]],Database!$A:$C,MATCH($C$1,Database!$A$1:$C$1,),))</f>
        <v/>
      </c>
      <c r="D9644">
        <f>IFERROR(Table7[[#This Row],[United States 10y]]-Table7[[#This Row],[United States 3y]],#N/A)</f>
        <v/>
      </c>
    </row>
    <row r="9645">
      <c r="A9645" s="6">
        <f>Database!$A11730</f>
        <v/>
      </c>
      <c r="B9645">
        <f>IF(VLOOKUP(Table7[[#This Row],[Date]],Database!$A:$C,MATCH($B$1,Database!$A$1:$C$1,),)=0,#N/A,VLOOKUP(Table7[[#This Row],[Date]],Database!$A:$C,MATCH($B$1,Database!$A$1:$C$1,),))</f>
        <v/>
      </c>
      <c r="C9645">
        <f>IF(VLOOKUP(Table7[[#This Row],[Date]],Database!$A:$C,MATCH($C$1,Database!$A$1:$C$1,),)=0,#N/A,VLOOKUP(Table7[[#This Row],[Date]],Database!$A:$C,MATCH($C$1,Database!$A$1:$C$1,),))</f>
        <v/>
      </c>
      <c r="D9645">
        <f>IFERROR(Table7[[#This Row],[United States 10y]]-Table7[[#This Row],[United States 3y]],#N/A)</f>
        <v/>
      </c>
    </row>
    <row r="9646">
      <c r="A9646" s="6">
        <f>Database!$A11731</f>
        <v/>
      </c>
      <c r="B9646">
        <f>IF(VLOOKUP(Table7[[#This Row],[Date]],Database!$A:$C,MATCH($B$1,Database!$A$1:$C$1,),)=0,#N/A,VLOOKUP(Table7[[#This Row],[Date]],Database!$A:$C,MATCH($B$1,Database!$A$1:$C$1,),))</f>
        <v/>
      </c>
      <c r="C9646">
        <f>IF(VLOOKUP(Table7[[#This Row],[Date]],Database!$A:$C,MATCH($C$1,Database!$A$1:$C$1,),)=0,#N/A,VLOOKUP(Table7[[#This Row],[Date]],Database!$A:$C,MATCH($C$1,Database!$A$1:$C$1,),))</f>
        <v/>
      </c>
      <c r="D9646">
        <f>IFERROR(Table7[[#This Row],[United States 10y]]-Table7[[#This Row],[United States 3y]],#N/A)</f>
        <v/>
      </c>
    </row>
    <row r="9647">
      <c r="A9647" s="6">
        <f>Database!$A11732</f>
        <v/>
      </c>
      <c r="B9647">
        <f>IF(VLOOKUP(Table7[[#This Row],[Date]],Database!$A:$C,MATCH($B$1,Database!$A$1:$C$1,),)=0,#N/A,VLOOKUP(Table7[[#This Row],[Date]],Database!$A:$C,MATCH($B$1,Database!$A$1:$C$1,),))</f>
        <v/>
      </c>
      <c r="C9647">
        <f>IF(VLOOKUP(Table7[[#This Row],[Date]],Database!$A:$C,MATCH($C$1,Database!$A$1:$C$1,),)=0,#N/A,VLOOKUP(Table7[[#This Row],[Date]],Database!$A:$C,MATCH($C$1,Database!$A$1:$C$1,),))</f>
        <v/>
      </c>
      <c r="D9647">
        <f>IFERROR(Table7[[#This Row],[United States 10y]]-Table7[[#This Row],[United States 3y]],#N/A)</f>
        <v/>
      </c>
    </row>
    <row r="9648">
      <c r="A9648" s="6">
        <f>Database!$A11733</f>
        <v/>
      </c>
      <c r="B9648">
        <f>IF(VLOOKUP(Table7[[#This Row],[Date]],Database!$A:$C,MATCH($B$1,Database!$A$1:$C$1,),)=0,#N/A,VLOOKUP(Table7[[#This Row],[Date]],Database!$A:$C,MATCH($B$1,Database!$A$1:$C$1,),))</f>
        <v/>
      </c>
      <c r="C9648">
        <f>IF(VLOOKUP(Table7[[#This Row],[Date]],Database!$A:$C,MATCH($C$1,Database!$A$1:$C$1,),)=0,#N/A,VLOOKUP(Table7[[#This Row],[Date]],Database!$A:$C,MATCH($C$1,Database!$A$1:$C$1,),))</f>
        <v/>
      </c>
      <c r="D9648">
        <f>IFERROR(Table7[[#This Row],[United States 10y]]-Table7[[#This Row],[United States 3y]],#N/A)</f>
        <v/>
      </c>
    </row>
    <row r="9649">
      <c r="A9649" s="6">
        <f>Database!$A11734</f>
        <v/>
      </c>
      <c r="B9649">
        <f>IF(VLOOKUP(Table7[[#This Row],[Date]],Database!$A:$C,MATCH($B$1,Database!$A$1:$C$1,),)=0,#N/A,VLOOKUP(Table7[[#This Row],[Date]],Database!$A:$C,MATCH($B$1,Database!$A$1:$C$1,),))</f>
        <v/>
      </c>
      <c r="C9649">
        <f>IF(VLOOKUP(Table7[[#This Row],[Date]],Database!$A:$C,MATCH($C$1,Database!$A$1:$C$1,),)=0,#N/A,VLOOKUP(Table7[[#This Row],[Date]],Database!$A:$C,MATCH($C$1,Database!$A$1:$C$1,),))</f>
        <v/>
      </c>
      <c r="D9649">
        <f>IFERROR(Table7[[#This Row],[United States 10y]]-Table7[[#This Row],[United States 3y]],#N/A)</f>
        <v/>
      </c>
    </row>
    <row r="9650">
      <c r="A9650" s="6">
        <f>Database!$A11735</f>
        <v/>
      </c>
      <c r="B9650">
        <f>IF(VLOOKUP(Table7[[#This Row],[Date]],Database!$A:$C,MATCH($B$1,Database!$A$1:$C$1,),)=0,#N/A,VLOOKUP(Table7[[#This Row],[Date]],Database!$A:$C,MATCH($B$1,Database!$A$1:$C$1,),))</f>
        <v/>
      </c>
      <c r="C9650">
        <f>IF(VLOOKUP(Table7[[#This Row],[Date]],Database!$A:$C,MATCH($C$1,Database!$A$1:$C$1,),)=0,#N/A,VLOOKUP(Table7[[#This Row],[Date]],Database!$A:$C,MATCH($C$1,Database!$A$1:$C$1,),))</f>
        <v/>
      </c>
      <c r="D9650">
        <f>IFERROR(Table7[[#This Row],[United States 10y]]-Table7[[#This Row],[United States 3y]],#N/A)</f>
        <v/>
      </c>
    </row>
    <row r="9651">
      <c r="A9651" s="6">
        <f>Database!$A11736</f>
        <v/>
      </c>
      <c r="B9651">
        <f>IF(VLOOKUP(Table7[[#This Row],[Date]],Database!$A:$C,MATCH($B$1,Database!$A$1:$C$1,),)=0,#N/A,VLOOKUP(Table7[[#This Row],[Date]],Database!$A:$C,MATCH($B$1,Database!$A$1:$C$1,),))</f>
        <v/>
      </c>
      <c r="C9651">
        <f>IF(VLOOKUP(Table7[[#This Row],[Date]],Database!$A:$C,MATCH($C$1,Database!$A$1:$C$1,),)=0,#N/A,VLOOKUP(Table7[[#This Row],[Date]],Database!$A:$C,MATCH($C$1,Database!$A$1:$C$1,),))</f>
        <v/>
      </c>
      <c r="D9651">
        <f>IFERROR(Table7[[#This Row],[United States 10y]]-Table7[[#This Row],[United States 3y]],#N/A)</f>
        <v/>
      </c>
    </row>
    <row r="9652">
      <c r="A9652" s="6">
        <f>Database!$A11737</f>
        <v/>
      </c>
      <c r="B9652">
        <f>IF(VLOOKUP(Table7[[#This Row],[Date]],Database!$A:$C,MATCH($B$1,Database!$A$1:$C$1,),)=0,#N/A,VLOOKUP(Table7[[#This Row],[Date]],Database!$A:$C,MATCH($B$1,Database!$A$1:$C$1,),))</f>
        <v/>
      </c>
      <c r="C9652">
        <f>IF(VLOOKUP(Table7[[#This Row],[Date]],Database!$A:$C,MATCH($C$1,Database!$A$1:$C$1,),)=0,#N/A,VLOOKUP(Table7[[#This Row],[Date]],Database!$A:$C,MATCH($C$1,Database!$A$1:$C$1,),))</f>
        <v/>
      </c>
      <c r="D9652">
        <f>IFERROR(Table7[[#This Row],[United States 10y]]-Table7[[#This Row],[United States 3y]],#N/A)</f>
        <v/>
      </c>
    </row>
    <row r="9653">
      <c r="A9653" s="6">
        <f>Database!$A11738</f>
        <v/>
      </c>
      <c r="B9653">
        <f>IF(VLOOKUP(Table7[[#This Row],[Date]],Database!$A:$C,MATCH($B$1,Database!$A$1:$C$1,),)=0,#N/A,VLOOKUP(Table7[[#This Row],[Date]],Database!$A:$C,MATCH($B$1,Database!$A$1:$C$1,),))</f>
        <v/>
      </c>
      <c r="C9653">
        <f>IF(VLOOKUP(Table7[[#This Row],[Date]],Database!$A:$C,MATCH($C$1,Database!$A$1:$C$1,),)=0,#N/A,VLOOKUP(Table7[[#This Row],[Date]],Database!$A:$C,MATCH($C$1,Database!$A$1:$C$1,),))</f>
        <v/>
      </c>
      <c r="D9653">
        <f>IFERROR(Table7[[#This Row],[United States 10y]]-Table7[[#This Row],[United States 3y]],#N/A)</f>
        <v/>
      </c>
    </row>
    <row r="9654">
      <c r="A9654" s="6">
        <f>Database!$A11739</f>
        <v/>
      </c>
      <c r="B9654">
        <f>IF(VLOOKUP(Table7[[#This Row],[Date]],Database!$A:$C,MATCH($B$1,Database!$A$1:$C$1,),)=0,#N/A,VLOOKUP(Table7[[#This Row],[Date]],Database!$A:$C,MATCH($B$1,Database!$A$1:$C$1,),))</f>
        <v/>
      </c>
      <c r="C9654">
        <f>IF(VLOOKUP(Table7[[#This Row],[Date]],Database!$A:$C,MATCH($C$1,Database!$A$1:$C$1,),)=0,#N/A,VLOOKUP(Table7[[#This Row],[Date]],Database!$A:$C,MATCH($C$1,Database!$A$1:$C$1,),))</f>
        <v/>
      </c>
      <c r="D9654">
        <f>IFERROR(Table7[[#This Row],[United States 10y]]-Table7[[#This Row],[United States 3y]],#N/A)</f>
        <v/>
      </c>
    </row>
    <row r="9655">
      <c r="A9655" s="6">
        <f>Database!$A11740</f>
        <v/>
      </c>
      <c r="B9655">
        <f>IF(VLOOKUP(Table7[[#This Row],[Date]],Database!$A:$C,MATCH($B$1,Database!$A$1:$C$1,),)=0,#N/A,VLOOKUP(Table7[[#This Row],[Date]],Database!$A:$C,MATCH($B$1,Database!$A$1:$C$1,),))</f>
        <v/>
      </c>
      <c r="C9655">
        <f>IF(VLOOKUP(Table7[[#This Row],[Date]],Database!$A:$C,MATCH($C$1,Database!$A$1:$C$1,),)=0,#N/A,VLOOKUP(Table7[[#This Row],[Date]],Database!$A:$C,MATCH($C$1,Database!$A$1:$C$1,),))</f>
        <v/>
      </c>
      <c r="D9655">
        <f>IFERROR(Table7[[#This Row],[United States 10y]]-Table7[[#This Row],[United States 3y]],#N/A)</f>
        <v/>
      </c>
    </row>
    <row r="9656">
      <c r="A9656" s="6">
        <f>Database!$A11741</f>
        <v/>
      </c>
      <c r="B9656">
        <f>IF(VLOOKUP(Table7[[#This Row],[Date]],Database!$A:$C,MATCH($B$1,Database!$A$1:$C$1,),)=0,#N/A,VLOOKUP(Table7[[#This Row],[Date]],Database!$A:$C,MATCH($B$1,Database!$A$1:$C$1,),))</f>
        <v/>
      </c>
      <c r="C9656">
        <f>IF(VLOOKUP(Table7[[#This Row],[Date]],Database!$A:$C,MATCH($C$1,Database!$A$1:$C$1,),)=0,#N/A,VLOOKUP(Table7[[#This Row],[Date]],Database!$A:$C,MATCH($C$1,Database!$A$1:$C$1,),))</f>
        <v/>
      </c>
      <c r="D9656">
        <f>IFERROR(Table7[[#This Row],[United States 10y]]-Table7[[#This Row],[United States 3y]],#N/A)</f>
        <v/>
      </c>
    </row>
    <row r="9657">
      <c r="A9657" s="6">
        <f>Database!$A11742</f>
        <v/>
      </c>
      <c r="B9657">
        <f>IF(VLOOKUP(Table7[[#This Row],[Date]],Database!$A:$C,MATCH($B$1,Database!$A$1:$C$1,),)=0,#N/A,VLOOKUP(Table7[[#This Row],[Date]],Database!$A:$C,MATCH($B$1,Database!$A$1:$C$1,),))</f>
        <v/>
      </c>
      <c r="C9657">
        <f>IF(VLOOKUP(Table7[[#This Row],[Date]],Database!$A:$C,MATCH($C$1,Database!$A$1:$C$1,),)=0,#N/A,VLOOKUP(Table7[[#This Row],[Date]],Database!$A:$C,MATCH($C$1,Database!$A$1:$C$1,),))</f>
        <v/>
      </c>
      <c r="D9657">
        <f>IFERROR(Table7[[#This Row],[United States 10y]]-Table7[[#This Row],[United States 3y]],#N/A)</f>
        <v/>
      </c>
    </row>
    <row r="9658">
      <c r="A9658" s="6">
        <f>Database!$A11743</f>
        <v/>
      </c>
      <c r="B9658">
        <f>IF(VLOOKUP(Table7[[#This Row],[Date]],Database!$A:$C,MATCH($B$1,Database!$A$1:$C$1,),)=0,#N/A,VLOOKUP(Table7[[#This Row],[Date]],Database!$A:$C,MATCH($B$1,Database!$A$1:$C$1,),))</f>
        <v/>
      </c>
      <c r="C9658">
        <f>IF(VLOOKUP(Table7[[#This Row],[Date]],Database!$A:$C,MATCH($C$1,Database!$A$1:$C$1,),)=0,#N/A,VLOOKUP(Table7[[#This Row],[Date]],Database!$A:$C,MATCH($C$1,Database!$A$1:$C$1,),))</f>
        <v/>
      </c>
      <c r="D9658">
        <f>IFERROR(Table7[[#This Row],[United States 10y]]-Table7[[#This Row],[United States 3y]],#N/A)</f>
        <v/>
      </c>
    </row>
    <row r="9659">
      <c r="A9659" s="6">
        <f>Database!$A11744</f>
        <v/>
      </c>
      <c r="B9659">
        <f>IF(VLOOKUP(Table7[[#This Row],[Date]],Database!$A:$C,MATCH($B$1,Database!$A$1:$C$1,),)=0,#N/A,VLOOKUP(Table7[[#This Row],[Date]],Database!$A:$C,MATCH($B$1,Database!$A$1:$C$1,),))</f>
        <v/>
      </c>
      <c r="C9659">
        <f>IF(VLOOKUP(Table7[[#This Row],[Date]],Database!$A:$C,MATCH($C$1,Database!$A$1:$C$1,),)=0,#N/A,VLOOKUP(Table7[[#This Row],[Date]],Database!$A:$C,MATCH($C$1,Database!$A$1:$C$1,),))</f>
        <v/>
      </c>
      <c r="D9659">
        <f>IFERROR(Table7[[#This Row],[United States 10y]]-Table7[[#This Row],[United States 3y]],#N/A)</f>
        <v/>
      </c>
    </row>
    <row r="9660">
      <c r="A9660" s="6">
        <f>Database!$A11745</f>
        <v/>
      </c>
      <c r="B9660">
        <f>IF(VLOOKUP(Table7[[#This Row],[Date]],Database!$A:$C,MATCH($B$1,Database!$A$1:$C$1,),)=0,#N/A,VLOOKUP(Table7[[#This Row],[Date]],Database!$A:$C,MATCH($B$1,Database!$A$1:$C$1,),))</f>
        <v/>
      </c>
      <c r="C9660">
        <f>IF(VLOOKUP(Table7[[#This Row],[Date]],Database!$A:$C,MATCH($C$1,Database!$A$1:$C$1,),)=0,#N/A,VLOOKUP(Table7[[#This Row],[Date]],Database!$A:$C,MATCH($C$1,Database!$A$1:$C$1,),))</f>
        <v/>
      </c>
      <c r="D9660">
        <f>IFERROR(Table7[[#This Row],[United States 10y]]-Table7[[#This Row],[United States 3y]],#N/A)</f>
        <v/>
      </c>
    </row>
    <row r="9661">
      <c r="A9661" s="6">
        <f>Database!$A11746</f>
        <v/>
      </c>
      <c r="B9661">
        <f>IF(VLOOKUP(Table7[[#This Row],[Date]],Database!$A:$C,MATCH($B$1,Database!$A$1:$C$1,),)=0,#N/A,VLOOKUP(Table7[[#This Row],[Date]],Database!$A:$C,MATCH($B$1,Database!$A$1:$C$1,),))</f>
        <v/>
      </c>
      <c r="C9661">
        <f>IF(VLOOKUP(Table7[[#This Row],[Date]],Database!$A:$C,MATCH($C$1,Database!$A$1:$C$1,),)=0,#N/A,VLOOKUP(Table7[[#This Row],[Date]],Database!$A:$C,MATCH($C$1,Database!$A$1:$C$1,),))</f>
        <v/>
      </c>
      <c r="D9661">
        <f>IFERROR(Table7[[#This Row],[United States 10y]]-Table7[[#This Row],[United States 3y]],#N/A)</f>
        <v/>
      </c>
    </row>
    <row r="9662">
      <c r="A9662" s="6">
        <f>Database!$A11747</f>
        <v/>
      </c>
      <c r="B9662">
        <f>IF(VLOOKUP(Table7[[#This Row],[Date]],Database!$A:$C,MATCH($B$1,Database!$A$1:$C$1,),)=0,#N/A,VLOOKUP(Table7[[#This Row],[Date]],Database!$A:$C,MATCH($B$1,Database!$A$1:$C$1,),))</f>
        <v/>
      </c>
      <c r="C9662">
        <f>IF(VLOOKUP(Table7[[#This Row],[Date]],Database!$A:$C,MATCH($C$1,Database!$A$1:$C$1,),)=0,#N/A,VLOOKUP(Table7[[#This Row],[Date]],Database!$A:$C,MATCH($C$1,Database!$A$1:$C$1,),))</f>
        <v/>
      </c>
      <c r="D9662">
        <f>IFERROR(Table7[[#This Row],[United States 10y]]-Table7[[#This Row],[United States 3y]],#N/A)</f>
        <v/>
      </c>
    </row>
    <row r="9663">
      <c r="A9663" s="6">
        <f>Database!$A11748</f>
        <v/>
      </c>
      <c r="B9663">
        <f>IF(VLOOKUP(Table7[[#This Row],[Date]],Database!$A:$C,MATCH($B$1,Database!$A$1:$C$1,),)=0,#N/A,VLOOKUP(Table7[[#This Row],[Date]],Database!$A:$C,MATCH($B$1,Database!$A$1:$C$1,),))</f>
        <v/>
      </c>
      <c r="C9663">
        <f>IF(VLOOKUP(Table7[[#This Row],[Date]],Database!$A:$C,MATCH($C$1,Database!$A$1:$C$1,),)=0,#N/A,VLOOKUP(Table7[[#This Row],[Date]],Database!$A:$C,MATCH($C$1,Database!$A$1:$C$1,),))</f>
        <v/>
      </c>
      <c r="D9663">
        <f>IFERROR(Table7[[#This Row],[United States 10y]]-Table7[[#This Row],[United States 3y]],#N/A)</f>
        <v/>
      </c>
    </row>
    <row r="9664">
      <c r="A9664" s="6">
        <f>Database!$A11749</f>
        <v/>
      </c>
      <c r="B9664">
        <f>IF(VLOOKUP(Table7[[#This Row],[Date]],Database!$A:$C,MATCH($B$1,Database!$A$1:$C$1,),)=0,#N/A,VLOOKUP(Table7[[#This Row],[Date]],Database!$A:$C,MATCH($B$1,Database!$A$1:$C$1,),))</f>
        <v/>
      </c>
      <c r="C9664">
        <f>IF(VLOOKUP(Table7[[#This Row],[Date]],Database!$A:$C,MATCH($C$1,Database!$A$1:$C$1,),)=0,#N/A,VLOOKUP(Table7[[#This Row],[Date]],Database!$A:$C,MATCH($C$1,Database!$A$1:$C$1,),))</f>
        <v/>
      </c>
      <c r="D9664">
        <f>IFERROR(Table7[[#This Row],[United States 10y]]-Table7[[#This Row],[United States 3y]],#N/A)</f>
        <v/>
      </c>
    </row>
    <row r="9665">
      <c r="A9665" s="6">
        <f>Database!$A11750</f>
        <v/>
      </c>
      <c r="B9665">
        <f>IF(VLOOKUP(Table7[[#This Row],[Date]],Database!$A:$C,MATCH($B$1,Database!$A$1:$C$1,),)=0,#N/A,VLOOKUP(Table7[[#This Row],[Date]],Database!$A:$C,MATCH($B$1,Database!$A$1:$C$1,),))</f>
        <v/>
      </c>
      <c r="C9665">
        <f>IF(VLOOKUP(Table7[[#This Row],[Date]],Database!$A:$C,MATCH($C$1,Database!$A$1:$C$1,),)=0,#N/A,VLOOKUP(Table7[[#This Row],[Date]],Database!$A:$C,MATCH($C$1,Database!$A$1:$C$1,),))</f>
        <v/>
      </c>
      <c r="D9665">
        <f>IFERROR(Table7[[#This Row],[United States 10y]]-Table7[[#This Row],[United States 3y]],#N/A)</f>
        <v/>
      </c>
    </row>
    <row r="9666">
      <c r="A9666" s="6">
        <f>Database!$A11751</f>
        <v/>
      </c>
      <c r="B9666">
        <f>IF(VLOOKUP(Table7[[#This Row],[Date]],Database!$A:$C,MATCH($B$1,Database!$A$1:$C$1,),)=0,#N/A,VLOOKUP(Table7[[#This Row],[Date]],Database!$A:$C,MATCH($B$1,Database!$A$1:$C$1,),))</f>
        <v/>
      </c>
      <c r="C9666">
        <f>IF(VLOOKUP(Table7[[#This Row],[Date]],Database!$A:$C,MATCH($C$1,Database!$A$1:$C$1,),)=0,#N/A,VLOOKUP(Table7[[#This Row],[Date]],Database!$A:$C,MATCH($C$1,Database!$A$1:$C$1,),))</f>
        <v/>
      </c>
      <c r="D9666">
        <f>IFERROR(Table7[[#This Row],[United States 10y]]-Table7[[#This Row],[United States 3y]],#N/A)</f>
        <v/>
      </c>
    </row>
    <row r="9667">
      <c r="A9667" s="6">
        <f>Database!$A11752</f>
        <v/>
      </c>
      <c r="B9667">
        <f>IF(VLOOKUP(Table7[[#This Row],[Date]],Database!$A:$C,MATCH($B$1,Database!$A$1:$C$1,),)=0,#N/A,VLOOKUP(Table7[[#This Row],[Date]],Database!$A:$C,MATCH($B$1,Database!$A$1:$C$1,),))</f>
        <v/>
      </c>
      <c r="C9667">
        <f>IF(VLOOKUP(Table7[[#This Row],[Date]],Database!$A:$C,MATCH($C$1,Database!$A$1:$C$1,),)=0,#N/A,VLOOKUP(Table7[[#This Row],[Date]],Database!$A:$C,MATCH($C$1,Database!$A$1:$C$1,),))</f>
        <v/>
      </c>
      <c r="D9667">
        <f>IFERROR(Table7[[#This Row],[United States 10y]]-Table7[[#This Row],[United States 3y]],#N/A)</f>
        <v/>
      </c>
    </row>
    <row r="9668">
      <c r="A9668" s="6">
        <f>Database!$A11753</f>
        <v/>
      </c>
      <c r="B9668">
        <f>IF(VLOOKUP(Table7[[#This Row],[Date]],Database!$A:$C,MATCH($B$1,Database!$A$1:$C$1,),)=0,#N/A,VLOOKUP(Table7[[#This Row],[Date]],Database!$A:$C,MATCH($B$1,Database!$A$1:$C$1,),))</f>
        <v/>
      </c>
      <c r="C9668">
        <f>IF(VLOOKUP(Table7[[#This Row],[Date]],Database!$A:$C,MATCH($C$1,Database!$A$1:$C$1,),)=0,#N/A,VLOOKUP(Table7[[#This Row],[Date]],Database!$A:$C,MATCH($C$1,Database!$A$1:$C$1,),))</f>
        <v/>
      </c>
      <c r="D9668">
        <f>IFERROR(Table7[[#This Row],[United States 10y]]-Table7[[#This Row],[United States 3y]],#N/A)</f>
        <v/>
      </c>
    </row>
    <row r="9669">
      <c r="A9669" s="6">
        <f>Database!$A11754</f>
        <v/>
      </c>
      <c r="B9669">
        <f>IF(VLOOKUP(Table7[[#This Row],[Date]],Database!$A:$C,MATCH($B$1,Database!$A$1:$C$1,),)=0,#N/A,VLOOKUP(Table7[[#This Row],[Date]],Database!$A:$C,MATCH($B$1,Database!$A$1:$C$1,),))</f>
        <v/>
      </c>
      <c r="C9669">
        <f>IF(VLOOKUP(Table7[[#This Row],[Date]],Database!$A:$C,MATCH($C$1,Database!$A$1:$C$1,),)=0,#N/A,VLOOKUP(Table7[[#This Row],[Date]],Database!$A:$C,MATCH($C$1,Database!$A$1:$C$1,),))</f>
        <v/>
      </c>
      <c r="D9669">
        <f>IFERROR(Table7[[#This Row],[United States 10y]]-Table7[[#This Row],[United States 3y]],#N/A)</f>
        <v/>
      </c>
    </row>
    <row r="9670">
      <c r="A9670" s="6">
        <f>Database!$A11755</f>
        <v/>
      </c>
      <c r="B9670">
        <f>IF(VLOOKUP(Table7[[#This Row],[Date]],Database!$A:$C,MATCH($B$1,Database!$A$1:$C$1,),)=0,#N/A,VLOOKUP(Table7[[#This Row],[Date]],Database!$A:$C,MATCH($B$1,Database!$A$1:$C$1,),))</f>
        <v/>
      </c>
      <c r="C9670">
        <f>IF(VLOOKUP(Table7[[#This Row],[Date]],Database!$A:$C,MATCH($C$1,Database!$A$1:$C$1,),)=0,#N/A,VLOOKUP(Table7[[#This Row],[Date]],Database!$A:$C,MATCH($C$1,Database!$A$1:$C$1,),))</f>
        <v/>
      </c>
      <c r="D9670">
        <f>IFERROR(Table7[[#This Row],[United States 10y]]-Table7[[#This Row],[United States 3y]],#N/A)</f>
        <v/>
      </c>
    </row>
    <row r="9671">
      <c r="A9671" s="6">
        <f>Database!$A11756</f>
        <v/>
      </c>
      <c r="B9671">
        <f>IF(VLOOKUP(Table7[[#This Row],[Date]],Database!$A:$C,MATCH($B$1,Database!$A$1:$C$1,),)=0,#N/A,VLOOKUP(Table7[[#This Row],[Date]],Database!$A:$C,MATCH($B$1,Database!$A$1:$C$1,),))</f>
        <v/>
      </c>
      <c r="C9671">
        <f>IF(VLOOKUP(Table7[[#This Row],[Date]],Database!$A:$C,MATCH($C$1,Database!$A$1:$C$1,),)=0,#N/A,VLOOKUP(Table7[[#This Row],[Date]],Database!$A:$C,MATCH($C$1,Database!$A$1:$C$1,),))</f>
        <v/>
      </c>
      <c r="D9671">
        <f>IFERROR(Table7[[#This Row],[United States 10y]]-Table7[[#This Row],[United States 3y]],#N/A)</f>
        <v/>
      </c>
    </row>
    <row r="9672">
      <c r="A9672" s="6">
        <f>Database!$A11757</f>
        <v/>
      </c>
      <c r="B9672">
        <f>IF(VLOOKUP(Table7[[#This Row],[Date]],Database!$A:$C,MATCH($B$1,Database!$A$1:$C$1,),)=0,#N/A,VLOOKUP(Table7[[#This Row],[Date]],Database!$A:$C,MATCH($B$1,Database!$A$1:$C$1,),))</f>
        <v/>
      </c>
      <c r="C9672">
        <f>IF(VLOOKUP(Table7[[#This Row],[Date]],Database!$A:$C,MATCH($C$1,Database!$A$1:$C$1,),)=0,#N/A,VLOOKUP(Table7[[#This Row],[Date]],Database!$A:$C,MATCH($C$1,Database!$A$1:$C$1,),))</f>
        <v/>
      </c>
      <c r="D9672">
        <f>IFERROR(Table7[[#This Row],[United States 10y]]-Table7[[#This Row],[United States 3y]],#N/A)</f>
        <v/>
      </c>
    </row>
    <row r="9673">
      <c r="A9673" s="6">
        <f>Database!$A11758</f>
        <v/>
      </c>
      <c r="B9673">
        <f>IF(VLOOKUP(Table7[[#This Row],[Date]],Database!$A:$C,MATCH($B$1,Database!$A$1:$C$1,),)=0,#N/A,VLOOKUP(Table7[[#This Row],[Date]],Database!$A:$C,MATCH($B$1,Database!$A$1:$C$1,),))</f>
        <v/>
      </c>
      <c r="C9673">
        <f>IF(VLOOKUP(Table7[[#This Row],[Date]],Database!$A:$C,MATCH($C$1,Database!$A$1:$C$1,),)=0,#N/A,VLOOKUP(Table7[[#This Row],[Date]],Database!$A:$C,MATCH($C$1,Database!$A$1:$C$1,),))</f>
        <v/>
      </c>
      <c r="D9673">
        <f>IFERROR(Table7[[#This Row],[United States 10y]]-Table7[[#This Row],[United States 3y]],#N/A)</f>
        <v/>
      </c>
    </row>
    <row r="9674">
      <c r="A9674" s="6">
        <f>Database!$A11759</f>
        <v/>
      </c>
      <c r="B9674">
        <f>IF(VLOOKUP(Table7[[#This Row],[Date]],Database!$A:$C,MATCH($B$1,Database!$A$1:$C$1,),)=0,#N/A,VLOOKUP(Table7[[#This Row],[Date]],Database!$A:$C,MATCH($B$1,Database!$A$1:$C$1,),))</f>
        <v/>
      </c>
      <c r="C9674">
        <f>IF(VLOOKUP(Table7[[#This Row],[Date]],Database!$A:$C,MATCH($C$1,Database!$A$1:$C$1,),)=0,#N/A,VLOOKUP(Table7[[#This Row],[Date]],Database!$A:$C,MATCH($C$1,Database!$A$1:$C$1,),))</f>
        <v/>
      </c>
      <c r="D9674">
        <f>IFERROR(Table7[[#This Row],[United States 10y]]-Table7[[#This Row],[United States 3y]],#N/A)</f>
        <v/>
      </c>
    </row>
    <row r="9675">
      <c r="A9675" s="6">
        <f>Database!$A11760</f>
        <v/>
      </c>
      <c r="B9675">
        <f>IF(VLOOKUP(Table7[[#This Row],[Date]],Database!$A:$C,MATCH($B$1,Database!$A$1:$C$1,),)=0,#N/A,VLOOKUP(Table7[[#This Row],[Date]],Database!$A:$C,MATCH($B$1,Database!$A$1:$C$1,),))</f>
        <v/>
      </c>
      <c r="C9675">
        <f>IF(VLOOKUP(Table7[[#This Row],[Date]],Database!$A:$C,MATCH($C$1,Database!$A$1:$C$1,),)=0,#N/A,VLOOKUP(Table7[[#This Row],[Date]],Database!$A:$C,MATCH($C$1,Database!$A$1:$C$1,),))</f>
        <v/>
      </c>
      <c r="D9675">
        <f>IFERROR(Table7[[#This Row],[United States 10y]]-Table7[[#This Row],[United States 3y]],#N/A)</f>
        <v/>
      </c>
    </row>
    <row r="9676">
      <c r="A9676" s="6">
        <f>Database!$A11761</f>
        <v/>
      </c>
      <c r="B9676">
        <f>IF(VLOOKUP(Table7[[#This Row],[Date]],Database!$A:$C,MATCH($B$1,Database!$A$1:$C$1,),)=0,#N/A,VLOOKUP(Table7[[#This Row],[Date]],Database!$A:$C,MATCH($B$1,Database!$A$1:$C$1,),))</f>
        <v/>
      </c>
      <c r="C9676">
        <f>IF(VLOOKUP(Table7[[#This Row],[Date]],Database!$A:$C,MATCH($C$1,Database!$A$1:$C$1,),)=0,#N/A,VLOOKUP(Table7[[#This Row],[Date]],Database!$A:$C,MATCH($C$1,Database!$A$1:$C$1,),))</f>
        <v/>
      </c>
      <c r="D9676">
        <f>IFERROR(Table7[[#This Row],[United States 10y]]-Table7[[#This Row],[United States 3y]],#N/A)</f>
        <v/>
      </c>
    </row>
    <row r="9677">
      <c r="A9677" s="6">
        <f>Database!$A11762</f>
        <v/>
      </c>
      <c r="B9677">
        <f>IF(VLOOKUP(Table7[[#This Row],[Date]],Database!$A:$C,MATCH($B$1,Database!$A$1:$C$1,),)=0,#N/A,VLOOKUP(Table7[[#This Row],[Date]],Database!$A:$C,MATCH($B$1,Database!$A$1:$C$1,),))</f>
        <v/>
      </c>
      <c r="C9677">
        <f>IF(VLOOKUP(Table7[[#This Row],[Date]],Database!$A:$C,MATCH($C$1,Database!$A$1:$C$1,),)=0,#N/A,VLOOKUP(Table7[[#This Row],[Date]],Database!$A:$C,MATCH($C$1,Database!$A$1:$C$1,),))</f>
        <v/>
      </c>
      <c r="D9677">
        <f>IFERROR(Table7[[#This Row],[United States 10y]]-Table7[[#This Row],[United States 3y]],#N/A)</f>
        <v/>
      </c>
    </row>
    <row r="9678">
      <c r="A9678" s="6">
        <f>Database!$A11763</f>
        <v/>
      </c>
      <c r="B9678">
        <f>IF(VLOOKUP(Table7[[#This Row],[Date]],Database!$A:$C,MATCH($B$1,Database!$A$1:$C$1,),)=0,#N/A,VLOOKUP(Table7[[#This Row],[Date]],Database!$A:$C,MATCH($B$1,Database!$A$1:$C$1,),))</f>
        <v/>
      </c>
      <c r="C9678">
        <f>IF(VLOOKUP(Table7[[#This Row],[Date]],Database!$A:$C,MATCH($C$1,Database!$A$1:$C$1,),)=0,#N/A,VLOOKUP(Table7[[#This Row],[Date]],Database!$A:$C,MATCH($C$1,Database!$A$1:$C$1,),))</f>
        <v/>
      </c>
      <c r="D9678">
        <f>IFERROR(Table7[[#This Row],[United States 10y]]-Table7[[#This Row],[United States 3y]],#N/A)</f>
        <v/>
      </c>
    </row>
    <row r="9679">
      <c r="A9679" s="6">
        <f>Database!$A11764</f>
        <v/>
      </c>
      <c r="B9679">
        <f>IF(VLOOKUP(Table7[[#This Row],[Date]],Database!$A:$C,MATCH($B$1,Database!$A$1:$C$1,),)=0,#N/A,VLOOKUP(Table7[[#This Row],[Date]],Database!$A:$C,MATCH($B$1,Database!$A$1:$C$1,),))</f>
        <v/>
      </c>
      <c r="C9679">
        <f>IF(VLOOKUP(Table7[[#This Row],[Date]],Database!$A:$C,MATCH($C$1,Database!$A$1:$C$1,),)=0,#N/A,VLOOKUP(Table7[[#This Row],[Date]],Database!$A:$C,MATCH($C$1,Database!$A$1:$C$1,),))</f>
        <v/>
      </c>
      <c r="D9679">
        <f>IFERROR(Table7[[#This Row],[United States 10y]]-Table7[[#This Row],[United States 3y]],#N/A)</f>
        <v/>
      </c>
    </row>
    <row r="9680">
      <c r="A9680" s="6">
        <f>Database!$A11765</f>
        <v/>
      </c>
      <c r="B9680">
        <f>IF(VLOOKUP(Table7[[#This Row],[Date]],Database!$A:$C,MATCH($B$1,Database!$A$1:$C$1,),)=0,#N/A,VLOOKUP(Table7[[#This Row],[Date]],Database!$A:$C,MATCH($B$1,Database!$A$1:$C$1,),))</f>
        <v/>
      </c>
      <c r="C9680">
        <f>IF(VLOOKUP(Table7[[#This Row],[Date]],Database!$A:$C,MATCH($C$1,Database!$A$1:$C$1,),)=0,#N/A,VLOOKUP(Table7[[#This Row],[Date]],Database!$A:$C,MATCH($C$1,Database!$A$1:$C$1,),))</f>
        <v/>
      </c>
      <c r="D9680">
        <f>IFERROR(Table7[[#This Row],[United States 10y]]-Table7[[#This Row],[United States 3y]],#N/A)</f>
        <v/>
      </c>
    </row>
    <row r="9681">
      <c r="A9681" s="6">
        <f>Database!$A11766</f>
        <v/>
      </c>
      <c r="B9681">
        <f>IF(VLOOKUP(Table7[[#This Row],[Date]],Database!$A:$C,MATCH($B$1,Database!$A$1:$C$1,),)=0,#N/A,VLOOKUP(Table7[[#This Row],[Date]],Database!$A:$C,MATCH($B$1,Database!$A$1:$C$1,),))</f>
        <v/>
      </c>
      <c r="C9681">
        <f>IF(VLOOKUP(Table7[[#This Row],[Date]],Database!$A:$C,MATCH($C$1,Database!$A$1:$C$1,),)=0,#N/A,VLOOKUP(Table7[[#This Row],[Date]],Database!$A:$C,MATCH($C$1,Database!$A$1:$C$1,),))</f>
        <v/>
      </c>
      <c r="D9681">
        <f>IFERROR(Table7[[#This Row],[United States 10y]]-Table7[[#This Row],[United States 3y]],#N/A)</f>
        <v/>
      </c>
    </row>
    <row r="9682">
      <c r="A9682" s="6">
        <f>Database!$A11767</f>
        <v/>
      </c>
      <c r="B9682">
        <f>IF(VLOOKUP(Table7[[#This Row],[Date]],Database!$A:$C,MATCH($B$1,Database!$A$1:$C$1,),)=0,#N/A,VLOOKUP(Table7[[#This Row],[Date]],Database!$A:$C,MATCH($B$1,Database!$A$1:$C$1,),))</f>
        <v/>
      </c>
      <c r="C9682">
        <f>IF(VLOOKUP(Table7[[#This Row],[Date]],Database!$A:$C,MATCH($C$1,Database!$A$1:$C$1,),)=0,#N/A,VLOOKUP(Table7[[#This Row],[Date]],Database!$A:$C,MATCH($C$1,Database!$A$1:$C$1,),))</f>
        <v/>
      </c>
      <c r="D9682">
        <f>IFERROR(Table7[[#This Row],[United States 10y]]-Table7[[#This Row],[United States 3y]],#N/A)</f>
        <v/>
      </c>
    </row>
    <row r="9683">
      <c r="A9683" s="6">
        <f>Database!$A11768</f>
        <v/>
      </c>
      <c r="B9683">
        <f>IF(VLOOKUP(Table7[[#This Row],[Date]],Database!$A:$C,MATCH($B$1,Database!$A$1:$C$1,),)=0,#N/A,VLOOKUP(Table7[[#This Row],[Date]],Database!$A:$C,MATCH($B$1,Database!$A$1:$C$1,),))</f>
        <v/>
      </c>
      <c r="C9683">
        <f>IF(VLOOKUP(Table7[[#This Row],[Date]],Database!$A:$C,MATCH($C$1,Database!$A$1:$C$1,),)=0,#N/A,VLOOKUP(Table7[[#This Row],[Date]],Database!$A:$C,MATCH($C$1,Database!$A$1:$C$1,),))</f>
        <v/>
      </c>
      <c r="D9683">
        <f>IFERROR(Table7[[#This Row],[United States 10y]]-Table7[[#This Row],[United States 3y]],#N/A)</f>
        <v/>
      </c>
    </row>
    <row r="9684">
      <c r="A9684" s="6">
        <f>Database!$A11769</f>
        <v/>
      </c>
      <c r="B9684">
        <f>IF(VLOOKUP(Table7[[#This Row],[Date]],Database!$A:$C,MATCH($B$1,Database!$A$1:$C$1,),)=0,#N/A,VLOOKUP(Table7[[#This Row],[Date]],Database!$A:$C,MATCH($B$1,Database!$A$1:$C$1,),))</f>
        <v/>
      </c>
      <c r="C9684">
        <f>IF(VLOOKUP(Table7[[#This Row],[Date]],Database!$A:$C,MATCH($C$1,Database!$A$1:$C$1,),)=0,#N/A,VLOOKUP(Table7[[#This Row],[Date]],Database!$A:$C,MATCH($C$1,Database!$A$1:$C$1,),))</f>
        <v/>
      </c>
      <c r="D9684">
        <f>IFERROR(Table7[[#This Row],[United States 10y]]-Table7[[#This Row],[United States 3y]],#N/A)</f>
        <v/>
      </c>
    </row>
    <row r="9685">
      <c r="A9685" s="6">
        <f>Database!$A11770</f>
        <v/>
      </c>
      <c r="B9685">
        <f>IF(VLOOKUP(Table7[[#This Row],[Date]],Database!$A:$C,MATCH($B$1,Database!$A$1:$C$1,),)=0,#N/A,VLOOKUP(Table7[[#This Row],[Date]],Database!$A:$C,MATCH($B$1,Database!$A$1:$C$1,),))</f>
        <v/>
      </c>
      <c r="C9685">
        <f>IF(VLOOKUP(Table7[[#This Row],[Date]],Database!$A:$C,MATCH($C$1,Database!$A$1:$C$1,),)=0,#N/A,VLOOKUP(Table7[[#This Row],[Date]],Database!$A:$C,MATCH($C$1,Database!$A$1:$C$1,),))</f>
        <v/>
      </c>
      <c r="D9685">
        <f>IFERROR(Table7[[#This Row],[United States 10y]]-Table7[[#This Row],[United States 3y]],#N/A)</f>
        <v/>
      </c>
    </row>
    <row r="9686">
      <c r="A9686" s="6">
        <f>Database!$A11771</f>
        <v/>
      </c>
      <c r="B9686">
        <f>IF(VLOOKUP(Table7[[#This Row],[Date]],Database!$A:$C,MATCH($B$1,Database!$A$1:$C$1,),)=0,#N/A,VLOOKUP(Table7[[#This Row],[Date]],Database!$A:$C,MATCH($B$1,Database!$A$1:$C$1,),))</f>
        <v/>
      </c>
      <c r="C9686">
        <f>IF(VLOOKUP(Table7[[#This Row],[Date]],Database!$A:$C,MATCH($C$1,Database!$A$1:$C$1,),)=0,#N/A,VLOOKUP(Table7[[#This Row],[Date]],Database!$A:$C,MATCH($C$1,Database!$A$1:$C$1,),))</f>
        <v/>
      </c>
      <c r="D9686">
        <f>IFERROR(Table7[[#This Row],[United States 10y]]-Table7[[#This Row],[United States 3y]],#N/A)</f>
        <v/>
      </c>
    </row>
    <row r="9687">
      <c r="A9687" s="6">
        <f>Database!$A11772</f>
        <v/>
      </c>
      <c r="B9687">
        <f>IF(VLOOKUP(Table7[[#This Row],[Date]],Database!$A:$C,MATCH($B$1,Database!$A$1:$C$1,),)=0,#N/A,VLOOKUP(Table7[[#This Row],[Date]],Database!$A:$C,MATCH($B$1,Database!$A$1:$C$1,),))</f>
        <v/>
      </c>
      <c r="C9687">
        <f>IF(VLOOKUP(Table7[[#This Row],[Date]],Database!$A:$C,MATCH($C$1,Database!$A$1:$C$1,),)=0,#N/A,VLOOKUP(Table7[[#This Row],[Date]],Database!$A:$C,MATCH($C$1,Database!$A$1:$C$1,),))</f>
        <v/>
      </c>
      <c r="D9687">
        <f>IFERROR(Table7[[#This Row],[United States 10y]]-Table7[[#This Row],[United States 3y]],#N/A)</f>
        <v/>
      </c>
    </row>
    <row r="9688">
      <c r="A9688" s="6">
        <f>Database!$A11773</f>
        <v/>
      </c>
      <c r="B9688">
        <f>IF(VLOOKUP(Table7[[#This Row],[Date]],Database!$A:$C,MATCH($B$1,Database!$A$1:$C$1,),)=0,#N/A,VLOOKUP(Table7[[#This Row],[Date]],Database!$A:$C,MATCH($B$1,Database!$A$1:$C$1,),))</f>
        <v/>
      </c>
      <c r="C9688">
        <f>IF(VLOOKUP(Table7[[#This Row],[Date]],Database!$A:$C,MATCH($C$1,Database!$A$1:$C$1,),)=0,#N/A,VLOOKUP(Table7[[#This Row],[Date]],Database!$A:$C,MATCH($C$1,Database!$A$1:$C$1,),))</f>
        <v/>
      </c>
      <c r="D9688">
        <f>IFERROR(Table7[[#This Row],[United States 10y]]-Table7[[#This Row],[United States 3y]],#N/A)</f>
        <v/>
      </c>
    </row>
    <row r="9689">
      <c r="A9689" s="6">
        <f>Database!$A11774</f>
        <v/>
      </c>
      <c r="B9689">
        <f>IF(VLOOKUP(Table7[[#This Row],[Date]],Database!$A:$C,MATCH($B$1,Database!$A$1:$C$1,),)=0,#N/A,VLOOKUP(Table7[[#This Row],[Date]],Database!$A:$C,MATCH($B$1,Database!$A$1:$C$1,),))</f>
        <v/>
      </c>
      <c r="C9689">
        <f>IF(VLOOKUP(Table7[[#This Row],[Date]],Database!$A:$C,MATCH($C$1,Database!$A$1:$C$1,),)=0,#N/A,VLOOKUP(Table7[[#This Row],[Date]],Database!$A:$C,MATCH($C$1,Database!$A$1:$C$1,),))</f>
        <v/>
      </c>
      <c r="D9689">
        <f>IFERROR(Table7[[#This Row],[United States 10y]]-Table7[[#This Row],[United States 3y]],#N/A)</f>
        <v/>
      </c>
    </row>
    <row r="9690">
      <c r="A9690" s="6">
        <f>Database!$A11775</f>
        <v/>
      </c>
      <c r="B9690">
        <f>IF(VLOOKUP(Table7[[#This Row],[Date]],Database!$A:$C,MATCH($B$1,Database!$A$1:$C$1,),)=0,#N/A,VLOOKUP(Table7[[#This Row],[Date]],Database!$A:$C,MATCH($B$1,Database!$A$1:$C$1,),))</f>
        <v/>
      </c>
      <c r="C9690">
        <f>IF(VLOOKUP(Table7[[#This Row],[Date]],Database!$A:$C,MATCH($C$1,Database!$A$1:$C$1,),)=0,#N/A,VLOOKUP(Table7[[#This Row],[Date]],Database!$A:$C,MATCH($C$1,Database!$A$1:$C$1,),))</f>
        <v/>
      </c>
      <c r="D9690">
        <f>IFERROR(Table7[[#This Row],[United States 10y]]-Table7[[#This Row],[United States 3y]],#N/A)</f>
        <v/>
      </c>
    </row>
    <row r="9691">
      <c r="A9691" s="6">
        <f>Database!$A11776</f>
        <v/>
      </c>
      <c r="B9691">
        <f>IF(VLOOKUP(Table7[[#This Row],[Date]],Database!$A:$C,MATCH($B$1,Database!$A$1:$C$1,),)=0,#N/A,VLOOKUP(Table7[[#This Row],[Date]],Database!$A:$C,MATCH($B$1,Database!$A$1:$C$1,),))</f>
        <v/>
      </c>
      <c r="C9691">
        <f>IF(VLOOKUP(Table7[[#This Row],[Date]],Database!$A:$C,MATCH($C$1,Database!$A$1:$C$1,),)=0,#N/A,VLOOKUP(Table7[[#This Row],[Date]],Database!$A:$C,MATCH($C$1,Database!$A$1:$C$1,),))</f>
        <v/>
      </c>
      <c r="D9691">
        <f>IFERROR(Table7[[#This Row],[United States 10y]]-Table7[[#This Row],[United States 3y]],#N/A)</f>
        <v/>
      </c>
    </row>
    <row r="9692">
      <c r="A9692" s="6">
        <f>Database!$A11777</f>
        <v/>
      </c>
      <c r="B9692">
        <f>IF(VLOOKUP(Table7[[#This Row],[Date]],Database!$A:$C,MATCH($B$1,Database!$A$1:$C$1,),)=0,#N/A,VLOOKUP(Table7[[#This Row],[Date]],Database!$A:$C,MATCH($B$1,Database!$A$1:$C$1,),))</f>
        <v/>
      </c>
      <c r="C9692">
        <f>IF(VLOOKUP(Table7[[#This Row],[Date]],Database!$A:$C,MATCH($C$1,Database!$A$1:$C$1,),)=0,#N/A,VLOOKUP(Table7[[#This Row],[Date]],Database!$A:$C,MATCH($C$1,Database!$A$1:$C$1,),))</f>
        <v/>
      </c>
      <c r="D9692">
        <f>IFERROR(Table7[[#This Row],[United States 10y]]-Table7[[#This Row],[United States 3y]],#N/A)</f>
        <v/>
      </c>
    </row>
    <row r="9693">
      <c r="A9693" s="6">
        <f>Database!$A11778</f>
        <v/>
      </c>
      <c r="B9693">
        <f>IF(VLOOKUP(Table7[[#This Row],[Date]],Database!$A:$C,MATCH($B$1,Database!$A$1:$C$1,),)=0,#N/A,VLOOKUP(Table7[[#This Row],[Date]],Database!$A:$C,MATCH($B$1,Database!$A$1:$C$1,),))</f>
        <v/>
      </c>
      <c r="C9693">
        <f>IF(VLOOKUP(Table7[[#This Row],[Date]],Database!$A:$C,MATCH($C$1,Database!$A$1:$C$1,),)=0,#N/A,VLOOKUP(Table7[[#This Row],[Date]],Database!$A:$C,MATCH($C$1,Database!$A$1:$C$1,),))</f>
        <v/>
      </c>
      <c r="D9693">
        <f>IFERROR(Table7[[#This Row],[United States 10y]]-Table7[[#This Row],[United States 3y]],#N/A)</f>
        <v/>
      </c>
    </row>
    <row r="9694">
      <c r="A9694" s="6">
        <f>Database!$A11779</f>
        <v/>
      </c>
      <c r="B9694">
        <f>IF(VLOOKUP(Table7[[#This Row],[Date]],Database!$A:$C,MATCH($B$1,Database!$A$1:$C$1,),)=0,#N/A,VLOOKUP(Table7[[#This Row],[Date]],Database!$A:$C,MATCH($B$1,Database!$A$1:$C$1,),))</f>
        <v/>
      </c>
      <c r="C9694">
        <f>IF(VLOOKUP(Table7[[#This Row],[Date]],Database!$A:$C,MATCH($C$1,Database!$A$1:$C$1,),)=0,#N/A,VLOOKUP(Table7[[#This Row],[Date]],Database!$A:$C,MATCH($C$1,Database!$A$1:$C$1,),))</f>
        <v/>
      </c>
      <c r="D9694">
        <f>IFERROR(Table7[[#This Row],[United States 10y]]-Table7[[#This Row],[United States 3y]],#N/A)</f>
        <v/>
      </c>
    </row>
    <row r="9695">
      <c r="A9695" s="6">
        <f>Database!$A11780</f>
        <v/>
      </c>
      <c r="B9695">
        <f>IF(VLOOKUP(Table7[[#This Row],[Date]],Database!$A:$C,MATCH($B$1,Database!$A$1:$C$1,),)=0,#N/A,VLOOKUP(Table7[[#This Row],[Date]],Database!$A:$C,MATCH($B$1,Database!$A$1:$C$1,),))</f>
        <v/>
      </c>
      <c r="C9695">
        <f>IF(VLOOKUP(Table7[[#This Row],[Date]],Database!$A:$C,MATCH($C$1,Database!$A$1:$C$1,),)=0,#N/A,VLOOKUP(Table7[[#This Row],[Date]],Database!$A:$C,MATCH($C$1,Database!$A$1:$C$1,),))</f>
        <v/>
      </c>
      <c r="D9695">
        <f>IFERROR(Table7[[#This Row],[United States 10y]]-Table7[[#This Row],[United States 3y]],#N/A)</f>
        <v/>
      </c>
    </row>
    <row r="9696">
      <c r="A9696" s="6">
        <f>Database!$A11781</f>
        <v/>
      </c>
      <c r="B9696">
        <f>IF(VLOOKUP(Table7[[#This Row],[Date]],Database!$A:$C,MATCH($B$1,Database!$A$1:$C$1,),)=0,#N/A,VLOOKUP(Table7[[#This Row],[Date]],Database!$A:$C,MATCH($B$1,Database!$A$1:$C$1,),))</f>
        <v/>
      </c>
      <c r="C9696">
        <f>IF(VLOOKUP(Table7[[#This Row],[Date]],Database!$A:$C,MATCH($C$1,Database!$A$1:$C$1,),)=0,#N/A,VLOOKUP(Table7[[#This Row],[Date]],Database!$A:$C,MATCH($C$1,Database!$A$1:$C$1,),))</f>
        <v/>
      </c>
      <c r="D9696">
        <f>IFERROR(Table7[[#This Row],[United States 10y]]-Table7[[#This Row],[United States 3y]],#N/A)</f>
        <v/>
      </c>
    </row>
    <row r="9697">
      <c r="A9697" s="6">
        <f>Database!$A11782</f>
        <v/>
      </c>
      <c r="B9697">
        <f>IF(VLOOKUP(Table7[[#This Row],[Date]],Database!$A:$C,MATCH($B$1,Database!$A$1:$C$1,),)=0,#N/A,VLOOKUP(Table7[[#This Row],[Date]],Database!$A:$C,MATCH($B$1,Database!$A$1:$C$1,),))</f>
        <v/>
      </c>
      <c r="C9697">
        <f>IF(VLOOKUP(Table7[[#This Row],[Date]],Database!$A:$C,MATCH($C$1,Database!$A$1:$C$1,),)=0,#N/A,VLOOKUP(Table7[[#This Row],[Date]],Database!$A:$C,MATCH($C$1,Database!$A$1:$C$1,),))</f>
        <v/>
      </c>
      <c r="D9697">
        <f>IFERROR(Table7[[#This Row],[United States 10y]]-Table7[[#This Row],[United States 3y]],#N/A)</f>
        <v/>
      </c>
    </row>
    <row r="9698">
      <c r="A9698" s="6">
        <f>Database!$A11783</f>
        <v/>
      </c>
      <c r="B9698">
        <f>IF(VLOOKUP(Table7[[#This Row],[Date]],Database!$A:$C,MATCH($B$1,Database!$A$1:$C$1,),)=0,#N/A,VLOOKUP(Table7[[#This Row],[Date]],Database!$A:$C,MATCH($B$1,Database!$A$1:$C$1,),))</f>
        <v/>
      </c>
      <c r="C9698">
        <f>IF(VLOOKUP(Table7[[#This Row],[Date]],Database!$A:$C,MATCH($C$1,Database!$A$1:$C$1,),)=0,#N/A,VLOOKUP(Table7[[#This Row],[Date]],Database!$A:$C,MATCH($C$1,Database!$A$1:$C$1,),))</f>
        <v/>
      </c>
      <c r="D9698">
        <f>IFERROR(Table7[[#This Row],[United States 10y]]-Table7[[#This Row],[United States 3y]],#N/A)</f>
        <v/>
      </c>
    </row>
    <row r="9699">
      <c r="A9699" s="6">
        <f>Database!$A11784</f>
        <v/>
      </c>
      <c r="B9699">
        <f>IF(VLOOKUP(Table7[[#This Row],[Date]],Database!$A:$C,MATCH($B$1,Database!$A$1:$C$1,),)=0,#N/A,VLOOKUP(Table7[[#This Row],[Date]],Database!$A:$C,MATCH($B$1,Database!$A$1:$C$1,),))</f>
        <v/>
      </c>
      <c r="C9699">
        <f>IF(VLOOKUP(Table7[[#This Row],[Date]],Database!$A:$C,MATCH($C$1,Database!$A$1:$C$1,),)=0,#N/A,VLOOKUP(Table7[[#This Row],[Date]],Database!$A:$C,MATCH($C$1,Database!$A$1:$C$1,),))</f>
        <v/>
      </c>
      <c r="D9699">
        <f>IFERROR(Table7[[#This Row],[United States 10y]]-Table7[[#This Row],[United States 3y]],#N/A)</f>
        <v/>
      </c>
    </row>
    <row r="9700">
      <c r="A9700" s="6">
        <f>Database!$A11785</f>
        <v/>
      </c>
      <c r="B9700">
        <f>IF(VLOOKUP(Table7[[#This Row],[Date]],Database!$A:$C,MATCH($B$1,Database!$A$1:$C$1,),)=0,#N/A,VLOOKUP(Table7[[#This Row],[Date]],Database!$A:$C,MATCH($B$1,Database!$A$1:$C$1,),))</f>
        <v/>
      </c>
      <c r="C9700">
        <f>IF(VLOOKUP(Table7[[#This Row],[Date]],Database!$A:$C,MATCH($C$1,Database!$A$1:$C$1,),)=0,#N/A,VLOOKUP(Table7[[#This Row],[Date]],Database!$A:$C,MATCH($C$1,Database!$A$1:$C$1,),))</f>
        <v/>
      </c>
      <c r="D9700">
        <f>IFERROR(Table7[[#This Row],[United States 10y]]-Table7[[#This Row],[United States 3y]],#N/A)</f>
        <v/>
      </c>
    </row>
    <row r="9701">
      <c r="A9701" s="6">
        <f>Database!$A11786</f>
        <v/>
      </c>
      <c r="B9701">
        <f>IF(VLOOKUP(Table7[[#This Row],[Date]],Database!$A:$C,MATCH($B$1,Database!$A$1:$C$1,),)=0,#N/A,VLOOKUP(Table7[[#This Row],[Date]],Database!$A:$C,MATCH($B$1,Database!$A$1:$C$1,),))</f>
        <v/>
      </c>
      <c r="C9701">
        <f>IF(VLOOKUP(Table7[[#This Row],[Date]],Database!$A:$C,MATCH($C$1,Database!$A$1:$C$1,),)=0,#N/A,VLOOKUP(Table7[[#This Row],[Date]],Database!$A:$C,MATCH($C$1,Database!$A$1:$C$1,),))</f>
        <v/>
      </c>
      <c r="D9701">
        <f>IFERROR(Table7[[#This Row],[United States 10y]]-Table7[[#This Row],[United States 3y]],#N/A)</f>
        <v/>
      </c>
    </row>
    <row r="9702">
      <c r="A9702" s="6">
        <f>Database!$A11787</f>
        <v/>
      </c>
      <c r="B9702">
        <f>IF(VLOOKUP(Table7[[#This Row],[Date]],Database!$A:$C,MATCH($B$1,Database!$A$1:$C$1,),)=0,#N/A,VLOOKUP(Table7[[#This Row],[Date]],Database!$A:$C,MATCH($B$1,Database!$A$1:$C$1,),))</f>
        <v/>
      </c>
      <c r="C9702">
        <f>IF(VLOOKUP(Table7[[#This Row],[Date]],Database!$A:$C,MATCH($C$1,Database!$A$1:$C$1,),)=0,#N/A,VLOOKUP(Table7[[#This Row],[Date]],Database!$A:$C,MATCH($C$1,Database!$A$1:$C$1,),))</f>
        <v/>
      </c>
      <c r="D9702">
        <f>IFERROR(Table7[[#This Row],[United States 10y]]-Table7[[#This Row],[United States 3y]],#N/A)</f>
        <v/>
      </c>
    </row>
    <row r="9703">
      <c r="A9703" s="6">
        <f>Database!$A11788</f>
        <v/>
      </c>
      <c r="B9703">
        <f>IF(VLOOKUP(Table7[[#This Row],[Date]],Database!$A:$C,MATCH($B$1,Database!$A$1:$C$1,),)=0,#N/A,VLOOKUP(Table7[[#This Row],[Date]],Database!$A:$C,MATCH($B$1,Database!$A$1:$C$1,),))</f>
        <v/>
      </c>
      <c r="C9703">
        <f>IF(VLOOKUP(Table7[[#This Row],[Date]],Database!$A:$C,MATCH($C$1,Database!$A$1:$C$1,),)=0,#N/A,VLOOKUP(Table7[[#This Row],[Date]],Database!$A:$C,MATCH($C$1,Database!$A$1:$C$1,),))</f>
        <v/>
      </c>
      <c r="D9703">
        <f>IFERROR(Table7[[#This Row],[United States 10y]]-Table7[[#This Row],[United States 3y]],#N/A)</f>
        <v/>
      </c>
    </row>
    <row r="9704">
      <c r="A9704" s="6">
        <f>Database!$A11789</f>
        <v/>
      </c>
      <c r="B9704">
        <f>IF(VLOOKUP(Table7[[#This Row],[Date]],Database!$A:$C,MATCH($B$1,Database!$A$1:$C$1,),)=0,#N/A,VLOOKUP(Table7[[#This Row],[Date]],Database!$A:$C,MATCH($B$1,Database!$A$1:$C$1,),))</f>
        <v/>
      </c>
      <c r="C9704">
        <f>IF(VLOOKUP(Table7[[#This Row],[Date]],Database!$A:$C,MATCH($C$1,Database!$A$1:$C$1,),)=0,#N/A,VLOOKUP(Table7[[#This Row],[Date]],Database!$A:$C,MATCH($C$1,Database!$A$1:$C$1,),))</f>
        <v/>
      </c>
      <c r="D9704">
        <f>IFERROR(Table7[[#This Row],[United States 10y]]-Table7[[#This Row],[United States 3y]],#N/A)</f>
        <v/>
      </c>
    </row>
    <row r="9705">
      <c r="A9705" s="6">
        <f>Database!$A11790</f>
        <v/>
      </c>
      <c r="B9705">
        <f>IF(VLOOKUP(Table7[[#This Row],[Date]],Database!$A:$C,MATCH($B$1,Database!$A$1:$C$1,),)=0,#N/A,VLOOKUP(Table7[[#This Row],[Date]],Database!$A:$C,MATCH($B$1,Database!$A$1:$C$1,),))</f>
        <v/>
      </c>
      <c r="C9705">
        <f>IF(VLOOKUP(Table7[[#This Row],[Date]],Database!$A:$C,MATCH($C$1,Database!$A$1:$C$1,),)=0,#N/A,VLOOKUP(Table7[[#This Row],[Date]],Database!$A:$C,MATCH($C$1,Database!$A$1:$C$1,),))</f>
        <v/>
      </c>
      <c r="D9705">
        <f>IFERROR(Table7[[#This Row],[United States 10y]]-Table7[[#This Row],[United States 3y]],#N/A)</f>
        <v/>
      </c>
    </row>
    <row r="9706">
      <c r="A9706" s="6">
        <f>Database!$A11791</f>
        <v/>
      </c>
      <c r="B9706">
        <f>IF(VLOOKUP(Table7[[#This Row],[Date]],Database!$A:$C,MATCH($B$1,Database!$A$1:$C$1,),)=0,#N/A,VLOOKUP(Table7[[#This Row],[Date]],Database!$A:$C,MATCH($B$1,Database!$A$1:$C$1,),))</f>
        <v/>
      </c>
      <c r="C9706">
        <f>IF(VLOOKUP(Table7[[#This Row],[Date]],Database!$A:$C,MATCH($C$1,Database!$A$1:$C$1,),)=0,#N/A,VLOOKUP(Table7[[#This Row],[Date]],Database!$A:$C,MATCH($C$1,Database!$A$1:$C$1,),))</f>
        <v/>
      </c>
      <c r="D9706">
        <f>IFERROR(Table7[[#This Row],[United States 10y]]-Table7[[#This Row],[United States 3y]],#N/A)</f>
        <v/>
      </c>
    </row>
    <row r="9707">
      <c r="A9707" s="6">
        <f>Database!$A11792</f>
        <v/>
      </c>
      <c r="B9707">
        <f>IF(VLOOKUP(Table7[[#This Row],[Date]],Database!$A:$C,MATCH($B$1,Database!$A$1:$C$1,),)=0,#N/A,VLOOKUP(Table7[[#This Row],[Date]],Database!$A:$C,MATCH($B$1,Database!$A$1:$C$1,),))</f>
        <v/>
      </c>
      <c r="C9707">
        <f>IF(VLOOKUP(Table7[[#This Row],[Date]],Database!$A:$C,MATCH($C$1,Database!$A$1:$C$1,),)=0,#N/A,VLOOKUP(Table7[[#This Row],[Date]],Database!$A:$C,MATCH($C$1,Database!$A$1:$C$1,),))</f>
        <v/>
      </c>
      <c r="D9707">
        <f>IFERROR(Table7[[#This Row],[United States 10y]]-Table7[[#This Row],[United States 3y]],#N/A)</f>
        <v/>
      </c>
    </row>
    <row r="9708">
      <c r="A9708" s="6">
        <f>Database!$A11793</f>
        <v/>
      </c>
      <c r="B9708">
        <f>IF(VLOOKUP(Table7[[#This Row],[Date]],Database!$A:$C,MATCH($B$1,Database!$A$1:$C$1,),)=0,#N/A,VLOOKUP(Table7[[#This Row],[Date]],Database!$A:$C,MATCH($B$1,Database!$A$1:$C$1,),))</f>
        <v/>
      </c>
      <c r="C9708">
        <f>IF(VLOOKUP(Table7[[#This Row],[Date]],Database!$A:$C,MATCH($C$1,Database!$A$1:$C$1,),)=0,#N/A,VLOOKUP(Table7[[#This Row],[Date]],Database!$A:$C,MATCH($C$1,Database!$A$1:$C$1,),))</f>
        <v/>
      </c>
      <c r="D9708">
        <f>IFERROR(Table7[[#This Row],[United States 10y]]-Table7[[#This Row],[United States 3y]],#N/A)</f>
        <v/>
      </c>
    </row>
    <row r="9709">
      <c r="A9709" s="6">
        <f>Database!$A11794</f>
        <v/>
      </c>
      <c r="B9709">
        <f>IF(VLOOKUP(Table7[[#This Row],[Date]],Database!$A:$C,MATCH($B$1,Database!$A$1:$C$1,),)=0,#N/A,VLOOKUP(Table7[[#This Row],[Date]],Database!$A:$C,MATCH($B$1,Database!$A$1:$C$1,),))</f>
        <v/>
      </c>
      <c r="C9709">
        <f>IF(VLOOKUP(Table7[[#This Row],[Date]],Database!$A:$C,MATCH($C$1,Database!$A$1:$C$1,),)=0,#N/A,VLOOKUP(Table7[[#This Row],[Date]],Database!$A:$C,MATCH($C$1,Database!$A$1:$C$1,),))</f>
        <v/>
      </c>
      <c r="D9709">
        <f>IFERROR(Table7[[#This Row],[United States 10y]]-Table7[[#This Row],[United States 3y]],#N/A)</f>
        <v/>
      </c>
    </row>
    <row r="9710">
      <c r="A9710" s="6">
        <f>Database!$A11795</f>
        <v/>
      </c>
      <c r="B9710">
        <f>IF(VLOOKUP(Table7[[#This Row],[Date]],Database!$A:$C,MATCH($B$1,Database!$A$1:$C$1,),)=0,#N/A,VLOOKUP(Table7[[#This Row],[Date]],Database!$A:$C,MATCH($B$1,Database!$A$1:$C$1,),))</f>
        <v/>
      </c>
      <c r="C9710">
        <f>IF(VLOOKUP(Table7[[#This Row],[Date]],Database!$A:$C,MATCH($C$1,Database!$A$1:$C$1,),)=0,#N/A,VLOOKUP(Table7[[#This Row],[Date]],Database!$A:$C,MATCH($C$1,Database!$A$1:$C$1,),))</f>
        <v/>
      </c>
      <c r="D9710">
        <f>IFERROR(Table7[[#This Row],[United States 10y]]-Table7[[#This Row],[United States 3y]],#N/A)</f>
        <v/>
      </c>
    </row>
    <row r="9711">
      <c r="A9711" s="6">
        <f>Database!$A11796</f>
        <v/>
      </c>
      <c r="B9711">
        <f>IF(VLOOKUP(Table7[[#This Row],[Date]],Database!$A:$C,MATCH($B$1,Database!$A$1:$C$1,),)=0,#N/A,VLOOKUP(Table7[[#This Row],[Date]],Database!$A:$C,MATCH($B$1,Database!$A$1:$C$1,),))</f>
        <v/>
      </c>
      <c r="C9711">
        <f>IF(VLOOKUP(Table7[[#This Row],[Date]],Database!$A:$C,MATCH($C$1,Database!$A$1:$C$1,),)=0,#N/A,VLOOKUP(Table7[[#This Row],[Date]],Database!$A:$C,MATCH($C$1,Database!$A$1:$C$1,),))</f>
        <v/>
      </c>
      <c r="D9711">
        <f>IFERROR(Table7[[#This Row],[United States 10y]]-Table7[[#This Row],[United States 3y]],#N/A)</f>
        <v/>
      </c>
    </row>
    <row r="9712">
      <c r="A9712" s="6">
        <f>Database!$A11797</f>
        <v/>
      </c>
      <c r="B9712">
        <f>IF(VLOOKUP(Table7[[#This Row],[Date]],Database!$A:$C,MATCH($B$1,Database!$A$1:$C$1,),)=0,#N/A,VLOOKUP(Table7[[#This Row],[Date]],Database!$A:$C,MATCH($B$1,Database!$A$1:$C$1,),))</f>
        <v/>
      </c>
      <c r="C9712">
        <f>IF(VLOOKUP(Table7[[#This Row],[Date]],Database!$A:$C,MATCH($C$1,Database!$A$1:$C$1,),)=0,#N/A,VLOOKUP(Table7[[#This Row],[Date]],Database!$A:$C,MATCH($C$1,Database!$A$1:$C$1,),))</f>
        <v/>
      </c>
      <c r="D9712">
        <f>IFERROR(Table7[[#This Row],[United States 10y]]-Table7[[#This Row],[United States 3y]],#N/A)</f>
        <v/>
      </c>
    </row>
    <row r="9713">
      <c r="A9713" s="6">
        <f>Database!$A11798</f>
        <v/>
      </c>
      <c r="B9713">
        <f>IF(VLOOKUP(Table7[[#This Row],[Date]],Database!$A:$C,MATCH($B$1,Database!$A$1:$C$1,),)=0,#N/A,VLOOKUP(Table7[[#This Row],[Date]],Database!$A:$C,MATCH($B$1,Database!$A$1:$C$1,),))</f>
        <v/>
      </c>
      <c r="C9713">
        <f>IF(VLOOKUP(Table7[[#This Row],[Date]],Database!$A:$C,MATCH($C$1,Database!$A$1:$C$1,),)=0,#N/A,VLOOKUP(Table7[[#This Row],[Date]],Database!$A:$C,MATCH($C$1,Database!$A$1:$C$1,),))</f>
        <v/>
      </c>
      <c r="D9713">
        <f>IFERROR(Table7[[#This Row],[United States 10y]]-Table7[[#This Row],[United States 3y]],#N/A)</f>
        <v/>
      </c>
    </row>
    <row r="9714">
      <c r="A9714" s="6">
        <f>Database!$A11799</f>
        <v/>
      </c>
      <c r="B9714">
        <f>IF(VLOOKUP(Table7[[#This Row],[Date]],Database!$A:$C,MATCH($B$1,Database!$A$1:$C$1,),)=0,#N/A,VLOOKUP(Table7[[#This Row],[Date]],Database!$A:$C,MATCH($B$1,Database!$A$1:$C$1,),))</f>
        <v/>
      </c>
      <c r="C9714">
        <f>IF(VLOOKUP(Table7[[#This Row],[Date]],Database!$A:$C,MATCH($C$1,Database!$A$1:$C$1,),)=0,#N/A,VLOOKUP(Table7[[#This Row],[Date]],Database!$A:$C,MATCH($C$1,Database!$A$1:$C$1,),))</f>
        <v/>
      </c>
      <c r="D9714">
        <f>IFERROR(Table7[[#This Row],[United States 10y]]-Table7[[#This Row],[United States 3y]],#N/A)</f>
        <v/>
      </c>
    </row>
    <row r="9715">
      <c r="A9715" s="6">
        <f>Database!$A11800</f>
        <v/>
      </c>
      <c r="B9715">
        <f>IF(VLOOKUP(Table7[[#This Row],[Date]],Database!$A:$C,MATCH($B$1,Database!$A$1:$C$1,),)=0,#N/A,VLOOKUP(Table7[[#This Row],[Date]],Database!$A:$C,MATCH($B$1,Database!$A$1:$C$1,),))</f>
        <v/>
      </c>
      <c r="C9715">
        <f>IF(VLOOKUP(Table7[[#This Row],[Date]],Database!$A:$C,MATCH($C$1,Database!$A$1:$C$1,),)=0,#N/A,VLOOKUP(Table7[[#This Row],[Date]],Database!$A:$C,MATCH($C$1,Database!$A$1:$C$1,),))</f>
        <v/>
      </c>
      <c r="D9715">
        <f>IFERROR(Table7[[#This Row],[United States 10y]]-Table7[[#This Row],[United States 3y]],#N/A)</f>
        <v/>
      </c>
    </row>
    <row r="9716">
      <c r="A9716" s="6">
        <f>Database!$A11801</f>
        <v/>
      </c>
      <c r="B9716">
        <f>IF(VLOOKUP(Table7[[#This Row],[Date]],Database!$A:$C,MATCH($B$1,Database!$A$1:$C$1,),)=0,#N/A,VLOOKUP(Table7[[#This Row],[Date]],Database!$A:$C,MATCH($B$1,Database!$A$1:$C$1,),))</f>
        <v/>
      </c>
      <c r="C9716">
        <f>IF(VLOOKUP(Table7[[#This Row],[Date]],Database!$A:$C,MATCH($C$1,Database!$A$1:$C$1,),)=0,#N/A,VLOOKUP(Table7[[#This Row],[Date]],Database!$A:$C,MATCH($C$1,Database!$A$1:$C$1,),))</f>
        <v/>
      </c>
      <c r="D9716">
        <f>IFERROR(Table7[[#This Row],[United States 10y]]-Table7[[#This Row],[United States 3y]],#N/A)</f>
        <v/>
      </c>
    </row>
    <row r="9717">
      <c r="A9717" s="6">
        <f>Database!$A11802</f>
        <v/>
      </c>
      <c r="B9717">
        <f>IF(VLOOKUP(Table7[[#This Row],[Date]],Database!$A:$C,MATCH($B$1,Database!$A$1:$C$1,),)=0,#N/A,VLOOKUP(Table7[[#This Row],[Date]],Database!$A:$C,MATCH($B$1,Database!$A$1:$C$1,),))</f>
        <v/>
      </c>
      <c r="C9717">
        <f>IF(VLOOKUP(Table7[[#This Row],[Date]],Database!$A:$C,MATCH($C$1,Database!$A$1:$C$1,),)=0,#N/A,VLOOKUP(Table7[[#This Row],[Date]],Database!$A:$C,MATCH($C$1,Database!$A$1:$C$1,),))</f>
        <v/>
      </c>
      <c r="D9717">
        <f>IFERROR(Table7[[#This Row],[United States 10y]]-Table7[[#This Row],[United States 3y]],#N/A)</f>
        <v/>
      </c>
    </row>
    <row r="9718">
      <c r="A9718" s="6">
        <f>Database!$A11803</f>
        <v/>
      </c>
      <c r="B9718">
        <f>IF(VLOOKUP(Table7[[#This Row],[Date]],Database!$A:$C,MATCH($B$1,Database!$A$1:$C$1,),)=0,#N/A,VLOOKUP(Table7[[#This Row],[Date]],Database!$A:$C,MATCH($B$1,Database!$A$1:$C$1,),))</f>
        <v/>
      </c>
      <c r="C9718">
        <f>IF(VLOOKUP(Table7[[#This Row],[Date]],Database!$A:$C,MATCH($C$1,Database!$A$1:$C$1,),)=0,#N/A,VLOOKUP(Table7[[#This Row],[Date]],Database!$A:$C,MATCH($C$1,Database!$A$1:$C$1,),))</f>
        <v/>
      </c>
      <c r="D9718">
        <f>IFERROR(Table7[[#This Row],[United States 10y]]-Table7[[#This Row],[United States 3y]],#N/A)</f>
        <v/>
      </c>
    </row>
    <row r="9719">
      <c r="A9719" s="6">
        <f>Database!$A11804</f>
        <v/>
      </c>
      <c r="B9719">
        <f>IF(VLOOKUP(Table7[[#This Row],[Date]],Database!$A:$C,MATCH($B$1,Database!$A$1:$C$1,),)=0,#N/A,VLOOKUP(Table7[[#This Row],[Date]],Database!$A:$C,MATCH($B$1,Database!$A$1:$C$1,),))</f>
        <v/>
      </c>
      <c r="C9719">
        <f>IF(VLOOKUP(Table7[[#This Row],[Date]],Database!$A:$C,MATCH($C$1,Database!$A$1:$C$1,),)=0,#N/A,VLOOKUP(Table7[[#This Row],[Date]],Database!$A:$C,MATCH($C$1,Database!$A$1:$C$1,),))</f>
        <v/>
      </c>
      <c r="D9719">
        <f>IFERROR(Table7[[#This Row],[United States 10y]]-Table7[[#This Row],[United States 3y]],#N/A)</f>
        <v/>
      </c>
    </row>
    <row r="9720">
      <c r="A9720" s="6">
        <f>Database!$A11805</f>
        <v/>
      </c>
      <c r="B9720">
        <f>IF(VLOOKUP(Table7[[#This Row],[Date]],Database!$A:$C,MATCH($B$1,Database!$A$1:$C$1,),)=0,#N/A,VLOOKUP(Table7[[#This Row],[Date]],Database!$A:$C,MATCH($B$1,Database!$A$1:$C$1,),))</f>
        <v/>
      </c>
      <c r="C9720">
        <f>IF(VLOOKUP(Table7[[#This Row],[Date]],Database!$A:$C,MATCH($C$1,Database!$A$1:$C$1,),)=0,#N/A,VLOOKUP(Table7[[#This Row],[Date]],Database!$A:$C,MATCH($C$1,Database!$A$1:$C$1,),))</f>
        <v/>
      </c>
      <c r="D9720">
        <f>IFERROR(Table7[[#This Row],[United States 10y]]-Table7[[#This Row],[United States 3y]],#N/A)</f>
        <v/>
      </c>
    </row>
    <row r="9721">
      <c r="A9721" s="6">
        <f>Database!$A11806</f>
        <v/>
      </c>
      <c r="B9721">
        <f>IF(VLOOKUP(Table7[[#This Row],[Date]],Database!$A:$C,MATCH($B$1,Database!$A$1:$C$1,),)=0,#N/A,VLOOKUP(Table7[[#This Row],[Date]],Database!$A:$C,MATCH($B$1,Database!$A$1:$C$1,),))</f>
        <v/>
      </c>
      <c r="C9721">
        <f>IF(VLOOKUP(Table7[[#This Row],[Date]],Database!$A:$C,MATCH($C$1,Database!$A$1:$C$1,),)=0,#N/A,VLOOKUP(Table7[[#This Row],[Date]],Database!$A:$C,MATCH($C$1,Database!$A$1:$C$1,),))</f>
        <v/>
      </c>
      <c r="D9721">
        <f>IFERROR(Table7[[#This Row],[United States 10y]]-Table7[[#This Row],[United States 3y]],#N/A)</f>
        <v/>
      </c>
    </row>
    <row r="9722">
      <c r="A9722" s="6">
        <f>Database!$A11807</f>
        <v/>
      </c>
      <c r="B9722">
        <f>IF(VLOOKUP(Table7[[#This Row],[Date]],Database!$A:$C,MATCH($B$1,Database!$A$1:$C$1,),)=0,#N/A,VLOOKUP(Table7[[#This Row],[Date]],Database!$A:$C,MATCH($B$1,Database!$A$1:$C$1,),))</f>
        <v/>
      </c>
      <c r="C9722">
        <f>IF(VLOOKUP(Table7[[#This Row],[Date]],Database!$A:$C,MATCH($C$1,Database!$A$1:$C$1,),)=0,#N/A,VLOOKUP(Table7[[#This Row],[Date]],Database!$A:$C,MATCH($C$1,Database!$A$1:$C$1,),))</f>
        <v/>
      </c>
      <c r="D9722">
        <f>IFERROR(Table7[[#This Row],[United States 10y]]-Table7[[#This Row],[United States 3y]],#N/A)</f>
        <v/>
      </c>
    </row>
    <row r="9723">
      <c r="A9723" s="6">
        <f>Database!$A11808</f>
        <v/>
      </c>
      <c r="B9723">
        <f>IF(VLOOKUP(Table7[[#This Row],[Date]],Database!$A:$C,MATCH($B$1,Database!$A$1:$C$1,),)=0,#N/A,VLOOKUP(Table7[[#This Row],[Date]],Database!$A:$C,MATCH($B$1,Database!$A$1:$C$1,),))</f>
        <v/>
      </c>
      <c r="C9723">
        <f>IF(VLOOKUP(Table7[[#This Row],[Date]],Database!$A:$C,MATCH($C$1,Database!$A$1:$C$1,),)=0,#N/A,VLOOKUP(Table7[[#This Row],[Date]],Database!$A:$C,MATCH($C$1,Database!$A$1:$C$1,),))</f>
        <v/>
      </c>
      <c r="D9723">
        <f>IFERROR(Table7[[#This Row],[United States 10y]]-Table7[[#This Row],[United States 3y]],#N/A)</f>
        <v/>
      </c>
    </row>
    <row r="9724">
      <c r="A9724" s="6">
        <f>Database!$A11809</f>
        <v/>
      </c>
      <c r="B9724">
        <f>IF(VLOOKUP(Table7[[#This Row],[Date]],Database!$A:$C,MATCH($B$1,Database!$A$1:$C$1,),)=0,#N/A,VLOOKUP(Table7[[#This Row],[Date]],Database!$A:$C,MATCH($B$1,Database!$A$1:$C$1,),))</f>
        <v/>
      </c>
      <c r="C9724">
        <f>IF(VLOOKUP(Table7[[#This Row],[Date]],Database!$A:$C,MATCH($C$1,Database!$A$1:$C$1,),)=0,#N/A,VLOOKUP(Table7[[#This Row],[Date]],Database!$A:$C,MATCH($C$1,Database!$A$1:$C$1,),))</f>
        <v/>
      </c>
      <c r="D9724">
        <f>IFERROR(Table7[[#This Row],[United States 10y]]-Table7[[#This Row],[United States 3y]],#N/A)</f>
        <v/>
      </c>
    </row>
    <row r="9725">
      <c r="A9725" s="6">
        <f>Database!$A11810</f>
        <v/>
      </c>
      <c r="B9725">
        <f>IF(VLOOKUP(Table7[[#This Row],[Date]],Database!$A:$C,MATCH($B$1,Database!$A$1:$C$1,),)=0,#N/A,VLOOKUP(Table7[[#This Row],[Date]],Database!$A:$C,MATCH($B$1,Database!$A$1:$C$1,),))</f>
        <v/>
      </c>
      <c r="C9725">
        <f>IF(VLOOKUP(Table7[[#This Row],[Date]],Database!$A:$C,MATCH($C$1,Database!$A$1:$C$1,),)=0,#N/A,VLOOKUP(Table7[[#This Row],[Date]],Database!$A:$C,MATCH($C$1,Database!$A$1:$C$1,),))</f>
        <v/>
      </c>
      <c r="D9725">
        <f>IFERROR(Table7[[#This Row],[United States 10y]]-Table7[[#This Row],[United States 3y]],#N/A)</f>
        <v/>
      </c>
    </row>
    <row r="9726">
      <c r="A9726" s="6">
        <f>Database!$A11811</f>
        <v/>
      </c>
      <c r="B9726">
        <f>IF(VLOOKUP(Table7[[#This Row],[Date]],Database!$A:$C,MATCH($B$1,Database!$A$1:$C$1,),)=0,#N/A,VLOOKUP(Table7[[#This Row],[Date]],Database!$A:$C,MATCH($B$1,Database!$A$1:$C$1,),))</f>
        <v/>
      </c>
      <c r="C9726">
        <f>IF(VLOOKUP(Table7[[#This Row],[Date]],Database!$A:$C,MATCH($C$1,Database!$A$1:$C$1,),)=0,#N/A,VLOOKUP(Table7[[#This Row],[Date]],Database!$A:$C,MATCH($C$1,Database!$A$1:$C$1,),))</f>
        <v/>
      </c>
      <c r="D9726">
        <f>IFERROR(Table7[[#This Row],[United States 10y]]-Table7[[#This Row],[United States 3y]],#N/A)</f>
        <v/>
      </c>
    </row>
    <row r="9727">
      <c r="A9727" s="6">
        <f>Database!$A11812</f>
        <v/>
      </c>
      <c r="B9727">
        <f>IF(VLOOKUP(Table7[[#This Row],[Date]],Database!$A:$C,MATCH($B$1,Database!$A$1:$C$1,),)=0,#N/A,VLOOKUP(Table7[[#This Row],[Date]],Database!$A:$C,MATCH($B$1,Database!$A$1:$C$1,),))</f>
        <v/>
      </c>
      <c r="C9727">
        <f>IF(VLOOKUP(Table7[[#This Row],[Date]],Database!$A:$C,MATCH($C$1,Database!$A$1:$C$1,),)=0,#N/A,VLOOKUP(Table7[[#This Row],[Date]],Database!$A:$C,MATCH($C$1,Database!$A$1:$C$1,),))</f>
        <v/>
      </c>
      <c r="D9727">
        <f>IFERROR(Table7[[#This Row],[United States 10y]]-Table7[[#This Row],[United States 3y]],#N/A)</f>
        <v/>
      </c>
    </row>
    <row r="9728">
      <c r="A9728" s="6">
        <f>Database!$A11813</f>
        <v/>
      </c>
      <c r="B9728">
        <f>IF(VLOOKUP(Table7[[#This Row],[Date]],Database!$A:$C,MATCH($B$1,Database!$A$1:$C$1,),)=0,#N/A,VLOOKUP(Table7[[#This Row],[Date]],Database!$A:$C,MATCH($B$1,Database!$A$1:$C$1,),))</f>
        <v/>
      </c>
      <c r="C9728">
        <f>IF(VLOOKUP(Table7[[#This Row],[Date]],Database!$A:$C,MATCH($C$1,Database!$A$1:$C$1,),)=0,#N/A,VLOOKUP(Table7[[#This Row],[Date]],Database!$A:$C,MATCH($C$1,Database!$A$1:$C$1,),))</f>
        <v/>
      </c>
      <c r="D9728">
        <f>IFERROR(Table7[[#This Row],[United States 10y]]-Table7[[#This Row],[United States 3y]],#N/A)</f>
        <v/>
      </c>
    </row>
    <row r="9729">
      <c r="A9729" s="6">
        <f>Database!$A11814</f>
        <v/>
      </c>
      <c r="B9729">
        <f>IF(VLOOKUP(Table7[[#This Row],[Date]],Database!$A:$C,MATCH($B$1,Database!$A$1:$C$1,),)=0,#N/A,VLOOKUP(Table7[[#This Row],[Date]],Database!$A:$C,MATCH($B$1,Database!$A$1:$C$1,),))</f>
        <v/>
      </c>
      <c r="C9729">
        <f>IF(VLOOKUP(Table7[[#This Row],[Date]],Database!$A:$C,MATCH($C$1,Database!$A$1:$C$1,),)=0,#N/A,VLOOKUP(Table7[[#This Row],[Date]],Database!$A:$C,MATCH($C$1,Database!$A$1:$C$1,),))</f>
        <v/>
      </c>
      <c r="D9729">
        <f>IFERROR(Table7[[#This Row],[United States 10y]]-Table7[[#This Row],[United States 3y]],#N/A)</f>
        <v/>
      </c>
    </row>
    <row r="9730">
      <c r="A9730" s="6">
        <f>Database!$A11815</f>
        <v/>
      </c>
      <c r="B9730">
        <f>IF(VLOOKUP(Table7[[#This Row],[Date]],Database!$A:$C,MATCH($B$1,Database!$A$1:$C$1,),)=0,#N/A,VLOOKUP(Table7[[#This Row],[Date]],Database!$A:$C,MATCH($B$1,Database!$A$1:$C$1,),))</f>
        <v/>
      </c>
      <c r="C9730">
        <f>IF(VLOOKUP(Table7[[#This Row],[Date]],Database!$A:$C,MATCH($C$1,Database!$A$1:$C$1,),)=0,#N/A,VLOOKUP(Table7[[#This Row],[Date]],Database!$A:$C,MATCH($C$1,Database!$A$1:$C$1,),))</f>
        <v/>
      </c>
      <c r="D9730">
        <f>IFERROR(Table7[[#This Row],[United States 10y]]-Table7[[#This Row],[United States 3y]],#N/A)</f>
        <v/>
      </c>
    </row>
    <row r="9731">
      <c r="A9731" s="6">
        <f>Database!$A11816</f>
        <v/>
      </c>
      <c r="B9731">
        <f>IF(VLOOKUP(Table7[[#This Row],[Date]],Database!$A:$C,MATCH($B$1,Database!$A$1:$C$1,),)=0,#N/A,VLOOKUP(Table7[[#This Row],[Date]],Database!$A:$C,MATCH($B$1,Database!$A$1:$C$1,),))</f>
        <v/>
      </c>
      <c r="C9731">
        <f>IF(VLOOKUP(Table7[[#This Row],[Date]],Database!$A:$C,MATCH($C$1,Database!$A$1:$C$1,),)=0,#N/A,VLOOKUP(Table7[[#This Row],[Date]],Database!$A:$C,MATCH($C$1,Database!$A$1:$C$1,),))</f>
        <v/>
      </c>
      <c r="D9731">
        <f>IFERROR(Table7[[#This Row],[United States 10y]]-Table7[[#This Row],[United States 3y]],#N/A)</f>
        <v/>
      </c>
    </row>
    <row r="9732">
      <c r="A9732" s="6">
        <f>Database!$A11817</f>
        <v/>
      </c>
      <c r="B9732">
        <f>IF(VLOOKUP(Table7[[#This Row],[Date]],Database!$A:$C,MATCH($B$1,Database!$A$1:$C$1,),)=0,#N/A,VLOOKUP(Table7[[#This Row],[Date]],Database!$A:$C,MATCH($B$1,Database!$A$1:$C$1,),))</f>
        <v/>
      </c>
      <c r="C9732">
        <f>IF(VLOOKUP(Table7[[#This Row],[Date]],Database!$A:$C,MATCH($C$1,Database!$A$1:$C$1,),)=0,#N/A,VLOOKUP(Table7[[#This Row],[Date]],Database!$A:$C,MATCH($C$1,Database!$A$1:$C$1,),))</f>
        <v/>
      </c>
      <c r="D9732">
        <f>IFERROR(Table7[[#This Row],[United States 10y]]-Table7[[#This Row],[United States 3y]],#N/A)</f>
        <v/>
      </c>
    </row>
    <row r="9733">
      <c r="A9733" s="6">
        <f>Database!$A11818</f>
        <v/>
      </c>
      <c r="B9733">
        <f>IF(VLOOKUP(Table7[[#This Row],[Date]],Database!$A:$C,MATCH($B$1,Database!$A$1:$C$1,),)=0,#N/A,VLOOKUP(Table7[[#This Row],[Date]],Database!$A:$C,MATCH($B$1,Database!$A$1:$C$1,),))</f>
        <v/>
      </c>
      <c r="C9733">
        <f>IF(VLOOKUP(Table7[[#This Row],[Date]],Database!$A:$C,MATCH($C$1,Database!$A$1:$C$1,),)=0,#N/A,VLOOKUP(Table7[[#This Row],[Date]],Database!$A:$C,MATCH($C$1,Database!$A$1:$C$1,),))</f>
        <v/>
      </c>
      <c r="D9733">
        <f>IFERROR(Table7[[#This Row],[United States 10y]]-Table7[[#This Row],[United States 3y]],#N/A)</f>
        <v/>
      </c>
    </row>
    <row r="9734">
      <c r="A9734" s="6">
        <f>Database!$A11819</f>
        <v/>
      </c>
      <c r="B9734">
        <f>IF(VLOOKUP(Table7[[#This Row],[Date]],Database!$A:$C,MATCH($B$1,Database!$A$1:$C$1,),)=0,#N/A,VLOOKUP(Table7[[#This Row],[Date]],Database!$A:$C,MATCH($B$1,Database!$A$1:$C$1,),))</f>
        <v/>
      </c>
      <c r="C9734">
        <f>IF(VLOOKUP(Table7[[#This Row],[Date]],Database!$A:$C,MATCH($C$1,Database!$A$1:$C$1,),)=0,#N/A,VLOOKUP(Table7[[#This Row],[Date]],Database!$A:$C,MATCH($C$1,Database!$A$1:$C$1,),))</f>
        <v/>
      </c>
      <c r="D9734">
        <f>IFERROR(Table7[[#This Row],[United States 10y]]-Table7[[#This Row],[United States 3y]],#N/A)</f>
        <v/>
      </c>
    </row>
    <row r="9735">
      <c r="A9735" s="6">
        <f>Database!$A11820</f>
        <v/>
      </c>
      <c r="B9735">
        <f>IF(VLOOKUP(Table7[[#This Row],[Date]],Database!$A:$C,MATCH($B$1,Database!$A$1:$C$1,),)=0,#N/A,VLOOKUP(Table7[[#This Row],[Date]],Database!$A:$C,MATCH($B$1,Database!$A$1:$C$1,),))</f>
        <v/>
      </c>
      <c r="C9735">
        <f>IF(VLOOKUP(Table7[[#This Row],[Date]],Database!$A:$C,MATCH($C$1,Database!$A$1:$C$1,),)=0,#N/A,VLOOKUP(Table7[[#This Row],[Date]],Database!$A:$C,MATCH($C$1,Database!$A$1:$C$1,),))</f>
        <v/>
      </c>
      <c r="D9735">
        <f>IFERROR(Table7[[#This Row],[United States 10y]]-Table7[[#This Row],[United States 3y]],#N/A)</f>
        <v/>
      </c>
    </row>
    <row r="9736">
      <c r="A9736" s="6">
        <f>Database!$A11821</f>
        <v/>
      </c>
      <c r="B9736">
        <f>IF(VLOOKUP(Table7[[#This Row],[Date]],Database!$A:$C,MATCH($B$1,Database!$A$1:$C$1,),)=0,#N/A,VLOOKUP(Table7[[#This Row],[Date]],Database!$A:$C,MATCH($B$1,Database!$A$1:$C$1,),))</f>
        <v/>
      </c>
      <c r="C9736">
        <f>IF(VLOOKUP(Table7[[#This Row],[Date]],Database!$A:$C,MATCH($C$1,Database!$A$1:$C$1,),)=0,#N/A,VLOOKUP(Table7[[#This Row],[Date]],Database!$A:$C,MATCH($C$1,Database!$A$1:$C$1,),))</f>
        <v/>
      </c>
      <c r="D9736">
        <f>IFERROR(Table7[[#This Row],[United States 10y]]-Table7[[#This Row],[United States 3y]],#N/A)</f>
        <v/>
      </c>
    </row>
    <row r="9737">
      <c r="A9737" s="6">
        <f>Database!$A11822</f>
        <v/>
      </c>
      <c r="B9737">
        <f>IF(VLOOKUP(Table7[[#This Row],[Date]],Database!$A:$C,MATCH($B$1,Database!$A$1:$C$1,),)=0,#N/A,VLOOKUP(Table7[[#This Row],[Date]],Database!$A:$C,MATCH($B$1,Database!$A$1:$C$1,),))</f>
        <v/>
      </c>
      <c r="C9737">
        <f>IF(VLOOKUP(Table7[[#This Row],[Date]],Database!$A:$C,MATCH($C$1,Database!$A$1:$C$1,),)=0,#N/A,VLOOKUP(Table7[[#This Row],[Date]],Database!$A:$C,MATCH($C$1,Database!$A$1:$C$1,),))</f>
        <v/>
      </c>
      <c r="D9737">
        <f>IFERROR(Table7[[#This Row],[United States 10y]]-Table7[[#This Row],[United States 3y]],#N/A)</f>
        <v/>
      </c>
    </row>
    <row r="9738">
      <c r="A9738" s="6">
        <f>Database!$A11823</f>
        <v/>
      </c>
      <c r="B9738">
        <f>IF(VLOOKUP(Table7[[#This Row],[Date]],Database!$A:$C,MATCH($B$1,Database!$A$1:$C$1,),)=0,#N/A,VLOOKUP(Table7[[#This Row],[Date]],Database!$A:$C,MATCH($B$1,Database!$A$1:$C$1,),))</f>
        <v/>
      </c>
      <c r="C9738">
        <f>IF(VLOOKUP(Table7[[#This Row],[Date]],Database!$A:$C,MATCH($C$1,Database!$A$1:$C$1,),)=0,#N/A,VLOOKUP(Table7[[#This Row],[Date]],Database!$A:$C,MATCH($C$1,Database!$A$1:$C$1,),))</f>
        <v/>
      </c>
      <c r="D9738">
        <f>IFERROR(Table7[[#This Row],[United States 10y]]-Table7[[#This Row],[United States 3y]],#N/A)</f>
        <v/>
      </c>
    </row>
    <row r="9739">
      <c r="A9739" s="6">
        <f>Database!$A11824</f>
        <v/>
      </c>
      <c r="B9739">
        <f>IF(VLOOKUP(Table7[[#This Row],[Date]],Database!$A:$C,MATCH($B$1,Database!$A$1:$C$1,),)=0,#N/A,VLOOKUP(Table7[[#This Row],[Date]],Database!$A:$C,MATCH($B$1,Database!$A$1:$C$1,),))</f>
        <v/>
      </c>
      <c r="C9739">
        <f>IF(VLOOKUP(Table7[[#This Row],[Date]],Database!$A:$C,MATCH($C$1,Database!$A$1:$C$1,),)=0,#N/A,VLOOKUP(Table7[[#This Row],[Date]],Database!$A:$C,MATCH($C$1,Database!$A$1:$C$1,),))</f>
        <v/>
      </c>
      <c r="D9739">
        <f>IFERROR(Table7[[#This Row],[United States 10y]]-Table7[[#This Row],[United States 3y]],#N/A)</f>
        <v/>
      </c>
    </row>
    <row r="9740">
      <c r="A9740" s="6">
        <f>Database!$A11825</f>
        <v/>
      </c>
      <c r="B9740">
        <f>IF(VLOOKUP(Table7[[#This Row],[Date]],Database!$A:$C,MATCH($B$1,Database!$A$1:$C$1,),)=0,#N/A,VLOOKUP(Table7[[#This Row],[Date]],Database!$A:$C,MATCH($B$1,Database!$A$1:$C$1,),))</f>
        <v/>
      </c>
      <c r="C9740">
        <f>IF(VLOOKUP(Table7[[#This Row],[Date]],Database!$A:$C,MATCH($C$1,Database!$A$1:$C$1,),)=0,#N/A,VLOOKUP(Table7[[#This Row],[Date]],Database!$A:$C,MATCH($C$1,Database!$A$1:$C$1,),))</f>
        <v/>
      </c>
      <c r="D9740">
        <f>IFERROR(Table7[[#This Row],[United States 10y]]-Table7[[#This Row],[United States 3y]],#N/A)</f>
        <v/>
      </c>
    </row>
    <row r="9741">
      <c r="A9741" s="6">
        <f>Database!$A11826</f>
        <v/>
      </c>
      <c r="B9741">
        <f>IF(VLOOKUP(Table7[[#This Row],[Date]],Database!$A:$C,MATCH($B$1,Database!$A$1:$C$1,),)=0,#N/A,VLOOKUP(Table7[[#This Row],[Date]],Database!$A:$C,MATCH($B$1,Database!$A$1:$C$1,),))</f>
        <v/>
      </c>
      <c r="C9741">
        <f>IF(VLOOKUP(Table7[[#This Row],[Date]],Database!$A:$C,MATCH($C$1,Database!$A$1:$C$1,),)=0,#N/A,VLOOKUP(Table7[[#This Row],[Date]],Database!$A:$C,MATCH($C$1,Database!$A$1:$C$1,),))</f>
        <v/>
      </c>
      <c r="D9741">
        <f>IFERROR(Table7[[#This Row],[United States 10y]]-Table7[[#This Row],[United States 3y]],#N/A)</f>
        <v/>
      </c>
    </row>
    <row r="9742">
      <c r="A9742" s="6">
        <f>Database!$A11827</f>
        <v/>
      </c>
      <c r="B9742">
        <f>IF(VLOOKUP(Table7[[#This Row],[Date]],Database!$A:$C,MATCH($B$1,Database!$A$1:$C$1,),)=0,#N/A,VLOOKUP(Table7[[#This Row],[Date]],Database!$A:$C,MATCH($B$1,Database!$A$1:$C$1,),))</f>
        <v/>
      </c>
      <c r="C9742">
        <f>IF(VLOOKUP(Table7[[#This Row],[Date]],Database!$A:$C,MATCH($C$1,Database!$A$1:$C$1,),)=0,#N/A,VLOOKUP(Table7[[#This Row],[Date]],Database!$A:$C,MATCH($C$1,Database!$A$1:$C$1,),))</f>
        <v/>
      </c>
      <c r="D9742">
        <f>IFERROR(Table7[[#This Row],[United States 10y]]-Table7[[#This Row],[United States 3y]],#N/A)</f>
        <v/>
      </c>
    </row>
    <row r="9743">
      <c r="A9743" s="6">
        <f>Database!$A11828</f>
        <v/>
      </c>
      <c r="B9743">
        <f>IF(VLOOKUP(Table7[[#This Row],[Date]],Database!$A:$C,MATCH($B$1,Database!$A$1:$C$1,),)=0,#N/A,VLOOKUP(Table7[[#This Row],[Date]],Database!$A:$C,MATCH($B$1,Database!$A$1:$C$1,),))</f>
        <v/>
      </c>
      <c r="C9743">
        <f>IF(VLOOKUP(Table7[[#This Row],[Date]],Database!$A:$C,MATCH($C$1,Database!$A$1:$C$1,),)=0,#N/A,VLOOKUP(Table7[[#This Row],[Date]],Database!$A:$C,MATCH($C$1,Database!$A$1:$C$1,),))</f>
        <v/>
      </c>
      <c r="D9743">
        <f>IFERROR(Table7[[#This Row],[United States 10y]]-Table7[[#This Row],[United States 3y]],#N/A)</f>
        <v/>
      </c>
    </row>
    <row r="9744">
      <c r="A9744" s="6">
        <f>Database!$A11829</f>
        <v/>
      </c>
      <c r="B9744">
        <f>IF(VLOOKUP(Table7[[#This Row],[Date]],Database!$A:$C,MATCH($B$1,Database!$A$1:$C$1,),)=0,#N/A,VLOOKUP(Table7[[#This Row],[Date]],Database!$A:$C,MATCH($B$1,Database!$A$1:$C$1,),))</f>
        <v/>
      </c>
      <c r="C9744">
        <f>IF(VLOOKUP(Table7[[#This Row],[Date]],Database!$A:$C,MATCH($C$1,Database!$A$1:$C$1,),)=0,#N/A,VLOOKUP(Table7[[#This Row],[Date]],Database!$A:$C,MATCH($C$1,Database!$A$1:$C$1,),))</f>
        <v/>
      </c>
      <c r="D9744">
        <f>IFERROR(Table7[[#This Row],[United States 10y]]-Table7[[#This Row],[United States 3y]],#N/A)</f>
        <v/>
      </c>
    </row>
    <row r="9745">
      <c r="A9745" s="6">
        <f>Database!$A11830</f>
        <v/>
      </c>
      <c r="B9745">
        <f>IF(VLOOKUP(Table7[[#This Row],[Date]],Database!$A:$C,MATCH($B$1,Database!$A$1:$C$1,),)=0,#N/A,VLOOKUP(Table7[[#This Row],[Date]],Database!$A:$C,MATCH($B$1,Database!$A$1:$C$1,),))</f>
        <v/>
      </c>
      <c r="C9745">
        <f>IF(VLOOKUP(Table7[[#This Row],[Date]],Database!$A:$C,MATCH($C$1,Database!$A$1:$C$1,),)=0,#N/A,VLOOKUP(Table7[[#This Row],[Date]],Database!$A:$C,MATCH($C$1,Database!$A$1:$C$1,),))</f>
        <v/>
      </c>
      <c r="D9745">
        <f>IFERROR(Table7[[#This Row],[United States 10y]]-Table7[[#This Row],[United States 3y]],#N/A)</f>
        <v/>
      </c>
    </row>
    <row r="9746">
      <c r="A9746" s="6">
        <f>Database!$A11831</f>
        <v/>
      </c>
      <c r="B9746">
        <f>IF(VLOOKUP(Table7[[#This Row],[Date]],Database!$A:$C,MATCH($B$1,Database!$A$1:$C$1,),)=0,#N/A,VLOOKUP(Table7[[#This Row],[Date]],Database!$A:$C,MATCH($B$1,Database!$A$1:$C$1,),))</f>
        <v/>
      </c>
      <c r="C9746">
        <f>IF(VLOOKUP(Table7[[#This Row],[Date]],Database!$A:$C,MATCH($C$1,Database!$A$1:$C$1,),)=0,#N/A,VLOOKUP(Table7[[#This Row],[Date]],Database!$A:$C,MATCH($C$1,Database!$A$1:$C$1,),))</f>
        <v/>
      </c>
      <c r="D9746">
        <f>IFERROR(Table7[[#This Row],[United States 10y]]-Table7[[#This Row],[United States 3y]],#N/A)</f>
        <v/>
      </c>
    </row>
    <row r="9747">
      <c r="A9747" s="6">
        <f>Database!$A11832</f>
        <v/>
      </c>
      <c r="B9747">
        <f>IF(VLOOKUP(Table7[[#This Row],[Date]],Database!$A:$C,MATCH($B$1,Database!$A$1:$C$1,),)=0,#N/A,VLOOKUP(Table7[[#This Row],[Date]],Database!$A:$C,MATCH($B$1,Database!$A$1:$C$1,),))</f>
        <v/>
      </c>
      <c r="C9747">
        <f>IF(VLOOKUP(Table7[[#This Row],[Date]],Database!$A:$C,MATCH($C$1,Database!$A$1:$C$1,),)=0,#N/A,VLOOKUP(Table7[[#This Row],[Date]],Database!$A:$C,MATCH($C$1,Database!$A$1:$C$1,),))</f>
        <v/>
      </c>
      <c r="D9747">
        <f>IFERROR(Table7[[#This Row],[United States 10y]]-Table7[[#This Row],[United States 3y]],#N/A)</f>
        <v/>
      </c>
    </row>
    <row r="9748">
      <c r="A9748" s="6">
        <f>Database!$A11833</f>
        <v/>
      </c>
      <c r="B9748">
        <f>IF(VLOOKUP(Table7[[#This Row],[Date]],Database!$A:$C,MATCH($B$1,Database!$A$1:$C$1,),)=0,#N/A,VLOOKUP(Table7[[#This Row],[Date]],Database!$A:$C,MATCH($B$1,Database!$A$1:$C$1,),))</f>
        <v/>
      </c>
      <c r="C9748">
        <f>IF(VLOOKUP(Table7[[#This Row],[Date]],Database!$A:$C,MATCH($C$1,Database!$A$1:$C$1,),)=0,#N/A,VLOOKUP(Table7[[#This Row],[Date]],Database!$A:$C,MATCH($C$1,Database!$A$1:$C$1,),))</f>
        <v/>
      </c>
      <c r="D9748">
        <f>IFERROR(Table7[[#This Row],[United States 10y]]-Table7[[#This Row],[United States 3y]],#N/A)</f>
        <v/>
      </c>
    </row>
    <row r="9749">
      <c r="A9749" s="6">
        <f>Database!$A11834</f>
        <v/>
      </c>
      <c r="B9749">
        <f>IF(VLOOKUP(Table7[[#This Row],[Date]],Database!$A:$C,MATCH($B$1,Database!$A$1:$C$1,),)=0,#N/A,VLOOKUP(Table7[[#This Row],[Date]],Database!$A:$C,MATCH($B$1,Database!$A$1:$C$1,),))</f>
        <v/>
      </c>
      <c r="C9749">
        <f>IF(VLOOKUP(Table7[[#This Row],[Date]],Database!$A:$C,MATCH($C$1,Database!$A$1:$C$1,),)=0,#N/A,VLOOKUP(Table7[[#This Row],[Date]],Database!$A:$C,MATCH($C$1,Database!$A$1:$C$1,),))</f>
        <v/>
      </c>
      <c r="D9749">
        <f>IFERROR(Table7[[#This Row],[United States 10y]]-Table7[[#This Row],[United States 3y]],#N/A)</f>
        <v/>
      </c>
    </row>
    <row r="9750">
      <c r="A9750" s="6">
        <f>Database!$A11835</f>
        <v/>
      </c>
      <c r="B9750">
        <f>IF(VLOOKUP(Table7[[#This Row],[Date]],Database!$A:$C,MATCH($B$1,Database!$A$1:$C$1,),)=0,#N/A,VLOOKUP(Table7[[#This Row],[Date]],Database!$A:$C,MATCH($B$1,Database!$A$1:$C$1,),))</f>
        <v/>
      </c>
      <c r="C9750">
        <f>IF(VLOOKUP(Table7[[#This Row],[Date]],Database!$A:$C,MATCH($C$1,Database!$A$1:$C$1,),)=0,#N/A,VLOOKUP(Table7[[#This Row],[Date]],Database!$A:$C,MATCH($C$1,Database!$A$1:$C$1,),))</f>
        <v/>
      </c>
      <c r="D9750">
        <f>IFERROR(Table7[[#This Row],[United States 10y]]-Table7[[#This Row],[United States 3y]],#N/A)</f>
        <v/>
      </c>
    </row>
    <row r="9751">
      <c r="A9751" s="6">
        <f>Database!$A11836</f>
        <v/>
      </c>
      <c r="B9751">
        <f>IF(VLOOKUP(Table7[[#This Row],[Date]],Database!$A:$C,MATCH($B$1,Database!$A$1:$C$1,),)=0,#N/A,VLOOKUP(Table7[[#This Row],[Date]],Database!$A:$C,MATCH($B$1,Database!$A$1:$C$1,),))</f>
        <v/>
      </c>
      <c r="C9751">
        <f>IF(VLOOKUP(Table7[[#This Row],[Date]],Database!$A:$C,MATCH($C$1,Database!$A$1:$C$1,),)=0,#N/A,VLOOKUP(Table7[[#This Row],[Date]],Database!$A:$C,MATCH($C$1,Database!$A$1:$C$1,),))</f>
        <v/>
      </c>
      <c r="D9751">
        <f>IFERROR(Table7[[#This Row],[United States 10y]]-Table7[[#This Row],[United States 3y]],#N/A)</f>
        <v/>
      </c>
    </row>
    <row r="9752">
      <c r="A9752" s="6">
        <f>Database!$A11837</f>
        <v/>
      </c>
      <c r="B9752">
        <f>IF(VLOOKUP(Table7[[#This Row],[Date]],Database!$A:$C,MATCH($B$1,Database!$A$1:$C$1,),)=0,#N/A,VLOOKUP(Table7[[#This Row],[Date]],Database!$A:$C,MATCH($B$1,Database!$A$1:$C$1,),))</f>
        <v/>
      </c>
      <c r="C9752">
        <f>IF(VLOOKUP(Table7[[#This Row],[Date]],Database!$A:$C,MATCH($C$1,Database!$A$1:$C$1,),)=0,#N/A,VLOOKUP(Table7[[#This Row],[Date]],Database!$A:$C,MATCH($C$1,Database!$A$1:$C$1,),))</f>
        <v/>
      </c>
      <c r="D9752">
        <f>IFERROR(Table7[[#This Row],[United States 10y]]-Table7[[#This Row],[United States 3y]],#N/A)</f>
        <v/>
      </c>
    </row>
    <row r="9753">
      <c r="A9753" s="6">
        <f>Database!$A11838</f>
        <v/>
      </c>
      <c r="B9753">
        <f>IF(VLOOKUP(Table7[[#This Row],[Date]],Database!$A:$C,MATCH($B$1,Database!$A$1:$C$1,),)=0,#N/A,VLOOKUP(Table7[[#This Row],[Date]],Database!$A:$C,MATCH($B$1,Database!$A$1:$C$1,),))</f>
        <v/>
      </c>
      <c r="C9753">
        <f>IF(VLOOKUP(Table7[[#This Row],[Date]],Database!$A:$C,MATCH($C$1,Database!$A$1:$C$1,),)=0,#N/A,VLOOKUP(Table7[[#This Row],[Date]],Database!$A:$C,MATCH($C$1,Database!$A$1:$C$1,),))</f>
        <v/>
      </c>
      <c r="D9753">
        <f>IFERROR(Table7[[#This Row],[United States 10y]]-Table7[[#This Row],[United States 3y]],#N/A)</f>
        <v/>
      </c>
    </row>
    <row r="9754">
      <c r="A9754" s="6">
        <f>Database!$A11839</f>
        <v/>
      </c>
      <c r="B9754">
        <f>IF(VLOOKUP(Table7[[#This Row],[Date]],Database!$A:$C,MATCH($B$1,Database!$A$1:$C$1,),)=0,#N/A,VLOOKUP(Table7[[#This Row],[Date]],Database!$A:$C,MATCH($B$1,Database!$A$1:$C$1,),))</f>
        <v/>
      </c>
      <c r="C9754">
        <f>IF(VLOOKUP(Table7[[#This Row],[Date]],Database!$A:$C,MATCH($C$1,Database!$A$1:$C$1,),)=0,#N/A,VLOOKUP(Table7[[#This Row],[Date]],Database!$A:$C,MATCH($C$1,Database!$A$1:$C$1,),))</f>
        <v/>
      </c>
      <c r="D9754">
        <f>IFERROR(Table7[[#This Row],[United States 10y]]-Table7[[#This Row],[United States 3y]],#N/A)</f>
        <v/>
      </c>
    </row>
    <row r="9755">
      <c r="A9755" s="6">
        <f>Database!$A11840</f>
        <v/>
      </c>
      <c r="B9755">
        <f>IF(VLOOKUP(Table7[[#This Row],[Date]],Database!$A:$C,MATCH($B$1,Database!$A$1:$C$1,),)=0,#N/A,VLOOKUP(Table7[[#This Row],[Date]],Database!$A:$C,MATCH($B$1,Database!$A$1:$C$1,),))</f>
        <v/>
      </c>
      <c r="C9755">
        <f>IF(VLOOKUP(Table7[[#This Row],[Date]],Database!$A:$C,MATCH($C$1,Database!$A$1:$C$1,),)=0,#N/A,VLOOKUP(Table7[[#This Row],[Date]],Database!$A:$C,MATCH($C$1,Database!$A$1:$C$1,),))</f>
        <v/>
      </c>
      <c r="D9755">
        <f>IFERROR(Table7[[#This Row],[United States 10y]]-Table7[[#This Row],[United States 3y]],#N/A)</f>
        <v/>
      </c>
    </row>
    <row r="9756">
      <c r="A9756" s="6">
        <f>Database!$A11841</f>
        <v/>
      </c>
      <c r="B9756">
        <f>IF(VLOOKUP(Table7[[#This Row],[Date]],Database!$A:$C,MATCH($B$1,Database!$A$1:$C$1,),)=0,#N/A,VLOOKUP(Table7[[#This Row],[Date]],Database!$A:$C,MATCH($B$1,Database!$A$1:$C$1,),))</f>
        <v/>
      </c>
      <c r="C9756">
        <f>IF(VLOOKUP(Table7[[#This Row],[Date]],Database!$A:$C,MATCH($C$1,Database!$A$1:$C$1,),)=0,#N/A,VLOOKUP(Table7[[#This Row],[Date]],Database!$A:$C,MATCH($C$1,Database!$A$1:$C$1,),))</f>
        <v/>
      </c>
      <c r="D9756">
        <f>IFERROR(Table7[[#This Row],[United States 10y]]-Table7[[#This Row],[United States 3y]],#N/A)</f>
        <v/>
      </c>
    </row>
    <row r="9757">
      <c r="A9757" s="6">
        <f>Database!$A11842</f>
        <v/>
      </c>
      <c r="B9757">
        <f>IF(VLOOKUP(Table7[[#This Row],[Date]],Database!$A:$C,MATCH($B$1,Database!$A$1:$C$1,),)=0,#N/A,VLOOKUP(Table7[[#This Row],[Date]],Database!$A:$C,MATCH($B$1,Database!$A$1:$C$1,),))</f>
        <v/>
      </c>
      <c r="C9757">
        <f>IF(VLOOKUP(Table7[[#This Row],[Date]],Database!$A:$C,MATCH($C$1,Database!$A$1:$C$1,),)=0,#N/A,VLOOKUP(Table7[[#This Row],[Date]],Database!$A:$C,MATCH($C$1,Database!$A$1:$C$1,),))</f>
        <v/>
      </c>
      <c r="D9757">
        <f>IFERROR(Table7[[#This Row],[United States 10y]]-Table7[[#This Row],[United States 3y]],#N/A)</f>
        <v/>
      </c>
    </row>
    <row r="9758">
      <c r="A9758" s="6">
        <f>Database!$A11843</f>
        <v/>
      </c>
      <c r="B9758">
        <f>IF(VLOOKUP(Table7[[#This Row],[Date]],Database!$A:$C,MATCH($B$1,Database!$A$1:$C$1,),)=0,#N/A,VLOOKUP(Table7[[#This Row],[Date]],Database!$A:$C,MATCH($B$1,Database!$A$1:$C$1,),))</f>
        <v/>
      </c>
      <c r="C9758">
        <f>IF(VLOOKUP(Table7[[#This Row],[Date]],Database!$A:$C,MATCH($C$1,Database!$A$1:$C$1,),)=0,#N/A,VLOOKUP(Table7[[#This Row],[Date]],Database!$A:$C,MATCH($C$1,Database!$A$1:$C$1,),))</f>
        <v/>
      </c>
      <c r="D9758">
        <f>IFERROR(Table7[[#This Row],[United States 10y]]-Table7[[#This Row],[United States 3y]],#N/A)</f>
        <v/>
      </c>
    </row>
    <row r="9759">
      <c r="A9759" s="6">
        <f>Database!$A11844</f>
        <v/>
      </c>
      <c r="B9759">
        <f>IF(VLOOKUP(Table7[[#This Row],[Date]],Database!$A:$C,MATCH($B$1,Database!$A$1:$C$1,),)=0,#N/A,VLOOKUP(Table7[[#This Row],[Date]],Database!$A:$C,MATCH($B$1,Database!$A$1:$C$1,),))</f>
        <v/>
      </c>
      <c r="C9759">
        <f>IF(VLOOKUP(Table7[[#This Row],[Date]],Database!$A:$C,MATCH($C$1,Database!$A$1:$C$1,),)=0,#N/A,VLOOKUP(Table7[[#This Row],[Date]],Database!$A:$C,MATCH($C$1,Database!$A$1:$C$1,),))</f>
        <v/>
      </c>
      <c r="D9759">
        <f>IFERROR(Table7[[#This Row],[United States 10y]]-Table7[[#This Row],[United States 3y]],#N/A)</f>
        <v/>
      </c>
    </row>
    <row r="9760">
      <c r="A9760" s="6">
        <f>Database!$A11845</f>
        <v/>
      </c>
      <c r="B9760">
        <f>IF(VLOOKUP(Table7[[#This Row],[Date]],Database!$A:$C,MATCH($B$1,Database!$A$1:$C$1,),)=0,#N/A,VLOOKUP(Table7[[#This Row],[Date]],Database!$A:$C,MATCH($B$1,Database!$A$1:$C$1,),))</f>
        <v/>
      </c>
      <c r="C9760">
        <f>IF(VLOOKUP(Table7[[#This Row],[Date]],Database!$A:$C,MATCH($C$1,Database!$A$1:$C$1,),)=0,#N/A,VLOOKUP(Table7[[#This Row],[Date]],Database!$A:$C,MATCH($C$1,Database!$A$1:$C$1,),))</f>
        <v/>
      </c>
      <c r="D9760">
        <f>IFERROR(Table7[[#This Row],[United States 10y]]-Table7[[#This Row],[United States 3y]],#N/A)</f>
        <v/>
      </c>
    </row>
    <row r="9761">
      <c r="A9761" s="6">
        <f>Database!$A11846</f>
        <v/>
      </c>
      <c r="B9761">
        <f>IF(VLOOKUP(Table7[[#This Row],[Date]],Database!$A:$C,MATCH($B$1,Database!$A$1:$C$1,),)=0,#N/A,VLOOKUP(Table7[[#This Row],[Date]],Database!$A:$C,MATCH($B$1,Database!$A$1:$C$1,),))</f>
        <v/>
      </c>
      <c r="C9761">
        <f>IF(VLOOKUP(Table7[[#This Row],[Date]],Database!$A:$C,MATCH($C$1,Database!$A$1:$C$1,),)=0,#N/A,VLOOKUP(Table7[[#This Row],[Date]],Database!$A:$C,MATCH($C$1,Database!$A$1:$C$1,),))</f>
        <v/>
      </c>
      <c r="D9761">
        <f>IFERROR(Table7[[#This Row],[United States 10y]]-Table7[[#This Row],[United States 3y]],#N/A)</f>
        <v/>
      </c>
    </row>
    <row r="9762">
      <c r="A9762" s="6">
        <f>Database!$A11847</f>
        <v/>
      </c>
      <c r="B9762">
        <f>IF(VLOOKUP(Table7[[#This Row],[Date]],Database!$A:$C,MATCH($B$1,Database!$A$1:$C$1,),)=0,#N/A,VLOOKUP(Table7[[#This Row],[Date]],Database!$A:$C,MATCH($B$1,Database!$A$1:$C$1,),))</f>
        <v/>
      </c>
      <c r="C9762">
        <f>IF(VLOOKUP(Table7[[#This Row],[Date]],Database!$A:$C,MATCH($C$1,Database!$A$1:$C$1,),)=0,#N/A,VLOOKUP(Table7[[#This Row],[Date]],Database!$A:$C,MATCH($C$1,Database!$A$1:$C$1,),))</f>
        <v/>
      </c>
      <c r="D9762">
        <f>IFERROR(Table7[[#This Row],[United States 10y]]-Table7[[#This Row],[United States 3y]],#N/A)</f>
        <v/>
      </c>
    </row>
    <row r="9763">
      <c r="A9763" s="6">
        <f>Database!$A11848</f>
        <v/>
      </c>
      <c r="B9763">
        <f>IF(VLOOKUP(Table7[[#This Row],[Date]],Database!$A:$C,MATCH($B$1,Database!$A$1:$C$1,),)=0,#N/A,VLOOKUP(Table7[[#This Row],[Date]],Database!$A:$C,MATCH($B$1,Database!$A$1:$C$1,),))</f>
        <v/>
      </c>
      <c r="C9763">
        <f>IF(VLOOKUP(Table7[[#This Row],[Date]],Database!$A:$C,MATCH($C$1,Database!$A$1:$C$1,),)=0,#N/A,VLOOKUP(Table7[[#This Row],[Date]],Database!$A:$C,MATCH($C$1,Database!$A$1:$C$1,),))</f>
        <v/>
      </c>
      <c r="D9763">
        <f>IFERROR(Table7[[#This Row],[United States 10y]]-Table7[[#This Row],[United States 3y]],#N/A)</f>
        <v/>
      </c>
    </row>
    <row r="9764">
      <c r="A9764" s="6">
        <f>Database!$A11849</f>
        <v/>
      </c>
      <c r="B9764">
        <f>IF(VLOOKUP(Table7[[#This Row],[Date]],Database!$A:$C,MATCH($B$1,Database!$A$1:$C$1,),)=0,#N/A,VLOOKUP(Table7[[#This Row],[Date]],Database!$A:$C,MATCH($B$1,Database!$A$1:$C$1,),))</f>
        <v/>
      </c>
      <c r="C9764">
        <f>IF(VLOOKUP(Table7[[#This Row],[Date]],Database!$A:$C,MATCH($C$1,Database!$A$1:$C$1,),)=0,#N/A,VLOOKUP(Table7[[#This Row],[Date]],Database!$A:$C,MATCH($C$1,Database!$A$1:$C$1,),))</f>
        <v/>
      </c>
      <c r="D9764">
        <f>IFERROR(Table7[[#This Row],[United States 10y]]-Table7[[#This Row],[United States 3y]],#N/A)</f>
        <v/>
      </c>
    </row>
    <row r="9765">
      <c r="A9765" s="6">
        <f>Database!$A11850</f>
        <v/>
      </c>
      <c r="B9765">
        <f>IF(VLOOKUP(Table7[[#This Row],[Date]],Database!$A:$C,MATCH($B$1,Database!$A$1:$C$1,),)=0,#N/A,VLOOKUP(Table7[[#This Row],[Date]],Database!$A:$C,MATCH($B$1,Database!$A$1:$C$1,),))</f>
        <v/>
      </c>
      <c r="C9765">
        <f>IF(VLOOKUP(Table7[[#This Row],[Date]],Database!$A:$C,MATCH($C$1,Database!$A$1:$C$1,),)=0,#N/A,VLOOKUP(Table7[[#This Row],[Date]],Database!$A:$C,MATCH($C$1,Database!$A$1:$C$1,),))</f>
        <v/>
      </c>
      <c r="D9765">
        <f>IFERROR(Table7[[#This Row],[United States 10y]]-Table7[[#This Row],[United States 3y]],#N/A)</f>
        <v/>
      </c>
    </row>
    <row r="9766">
      <c r="A9766" s="6">
        <f>Database!$A11851</f>
        <v/>
      </c>
      <c r="B9766">
        <f>IF(VLOOKUP(Table7[[#This Row],[Date]],Database!$A:$C,MATCH($B$1,Database!$A$1:$C$1,),)=0,#N/A,VLOOKUP(Table7[[#This Row],[Date]],Database!$A:$C,MATCH($B$1,Database!$A$1:$C$1,),))</f>
        <v/>
      </c>
      <c r="C9766">
        <f>IF(VLOOKUP(Table7[[#This Row],[Date]],Database!$A:$C,MATCH($C$1,Database!$A$1:$C$1,),)=0,#N/A,VLOOKUP(Table7[[#This Row],[Date]],Database!$A:$C,MATCH($C$1,Database!$A$1:$C$1,),))</f>
        <v/>
      </c>
      <c r="D9766">
        <f>IFERROR(Table7[[#This Row],[United States 10y]]-Table7[[#This Row],[United States 3y]],#N/A)</f>
        <v/>
      </c>
    </row>
    <row r="9767">
      <c r="A9767" s="6">
        <f>Database!$A11852</f>
        <v/>
      </c>
      <c r="B9767">
        <f>IF(VLOOKUP(Table7[[#This Row],[Date]],Database!$A:$C,MATCH($B$1,Database!$A$1:$C$1,),)=0,#N/A,VLOOKUP(Table7[[#This Row],[Date]],Database!$A:$C,MATCH($B$1,Database!$A$1:$C$1,),))</f>
        <v/>
      </c>
      <c r="C9767">
        <f>IF(VLOOKUP(Table7[[#This Row],[Date]],Database!$A:$C,MATCH($C$1,Database!$A$1:$C$1,),)=0,#N/A,VLOOKUP(Table7[[#This Row],[Date]],Database!$A:$C,MATCH($C$1,Database!$A$1:$C$1,),))</f>
        <v/>
      </c>
      <c r="D9767">
        <f>IFERROR(Table7[[#This Row],[United States 10y]]-Table7[[#This Row],[United States 3y]],#N/A)</f>
        <v/>
      </c>
    </row>
    <row r="9768">
      <c r="A9768" s="6">
        <f>Database!$A11853</f>
        <v/>
      </c>
      <c r="B9768">
        <f>IF(VLOOKUP(Table7[[#This Row],[Date]],Database!$A:$C,MATCH($B$1,Database!$A$1:$C$1,),)=0,#N/A,VLOOKUP(Table7[[#This Row],[Date]],Database!$A:$C,MATCH($B$1,Database!$A$1:$C$1,),))</f>
        <v/>
      </c>
      <c r="C9768">
        <f>IF(VLOOKUP(Table7[[#This Row],[Date]],Database!$A:$C,MATCH($C$1,Database!$A$1:$C$1,),)=0,#N/A,VLOOKUP(Table7[[#This Row],[Date]],Database!$A:$C,MATCH($C$1,Database!$A$1:$C$1,),))</f>
        <v/>
      </c>
      <c r="D9768">
        <f>IFERROR(Table7[[#This Row],[United States 10y]]-Table7[[#This Row],[United States 3y]],#N/A)</f>
        <v/>
      </c>
    </row>
    <row r="9769">
      <c r="A9769" s="6">
        <f>Database!$A11854</f>
        <v/>
      </c>
      <c r="B9769">
        <f>IF(VLOOKUP(Table7[[#This Row],[Date]],Database!$A:$C,MATCH($B$1,Database!$A$1:$C$1,),)=0,#N/A,VLOOKUP(Table7[[#This Row],[Date]],Database!$A:$C,MATCH($B$1,Database!$A$1:$C$1,),))</f>
        <v/>
      </c>
      <c r="C9769">
        <f>IF(VLOOKUP(Table7[[#This Row],[Date]],Database!$A:$C,MATCH($C$1,Database!$A$1:$C$1,),)=0,#N/A,VLOOKUP(Table7[[#This Row],[Date]],Database!$A:$C,MATCH($C$1,Database!$A$1:$C$1,),))</f>
        <v/>
      </c>
      <c r="D9769">
        <f>IFERROR(Table7[[#This Row],[United States 10y]]-Table7[[#This Row],[United States 3y]],#N/A)</f>
        <v/>
      </c>
    </row>
    <row r="9770">
      <c r="A9770" s="6">
        <f>Database!$A11855</f>
        <v/>
      </c>
      <c r="B9770">
        <f>IF(VLOOKUP(Table7[[#This Row],[Date]],Database!$A:$C,MATCH($B$1,Database!$A$1:$C$1,),)=0,#N/A,VLOOKUP(Table7[[#This Row],[Date]],Database!$A:$C,MATCH($B$1,Database!$A$1:$C$1,),))</f>
        <v/>
      </c>
      <c r="C9770">
        <f>IF(VLOOKUP(Table7[[#This Row],[Date]],Database!$A:$C,MATCH($C$1,Database!$A$1:$C$1,),)=0,#N/A,VLOOKUP(Table7[[#This Row],[Date]],Database!$A:$C,MATCH($C$1,Database!$A$1:$C$1,),))</f>
        <v/>
      </c>
      <c r="D9770">
        <f>IFERROR(Table7[[#This Row],[United States 10y]]-Table7[[#This Row],[United States 3y]],#N/A)</f>
        <v/>
      </c>
    </row>
    <row r="9771">
      <c r="A9771" s="6">
        <f>Database!$A11856</f>
        <v/>
      </c>
      <c r="B9771">
        <f>IF(VLOOKUP(Table7[[#This Row],[Date]],Database!$A:$C,MATCH($B$1,Database!$A$1:$C$1,),)=0,#N/A,VLOOKUP(Table7[[#This Row],[Date]],Database!$A:$C,MATCH($B$1,Database!$A$1:$C$1,),))</f>
        <v/>
      </c>
      <c r="C9771">
        <f>IF(VLOOKUP(Table7[[#This Row],[Date]],Database!$A:$C,MATCH($C$1,Database!$A$1:$C$1,),)=0,#N/A,VLOOKUP(Table7[[#This Row],[Date]],Database!$A:$C,MATCH($C$1,Database!$A$1:$C$1,),))</f>
        <v/>
      </c>
      <c r="D9771">
        <f>IFERROR(Table7[[#This Row],[United States 10y]]-Table7[[#This Row],[United States 3y]],#N/A)</f>
        <v/>
      </c>
    </row>
    <row r="9772">
      <c r="A9772" s="6">
        <f>Database!$A11857</f>
        <v/>
      </c>
      <c r="B9772">
        <f>IF(VLOOKUP(Table7[[#This Row],[Date]],Database!$A:$C,MATCH($B$1,Database!$A$1:$C$1,),)=0,#N/A,VLOOKUP(Table7[[#This Row],[Date]],Database!$A:$C,MATCH($B$1,Database!$A$1:$C$1,),))</f>
        <v/>
      </c>
      <c r="C9772">
        <f>IF(VLOOKUP(Table7[[#This Row],[Date]],Database!$A:$C,MATCH($C$1,Database!$A$1:$C$1,),)=0,#N/A,VLOOKUP(Table7[[#This Row],[Date]],Database!$A:$C,MATCH($C$1,Database!$A$1:$C$1,),))</f>
        <v/>
      </c>
      <c r="D9772">
        <f>IFERROR(Table7[[#This Row],[United States 10y]]-Table7[[#This Row],[United States 3y]],#N/A)</f>
        <v/>
      </c>
    </row>
    <row r="9773">
      <c r="A9773" s="6">
        <f>Database!$A11858</f>
        <v/>
      </c>
      <c r="B9773">
        <f>IF(VLOOKUP(Table7[[#This Row],[Date]],Database!$A:$C,MATCH($B$1,Database!$A$1:$C$1,),)=0,#N/A,VLOOKUP(Table7[[#This Row],[Date]],Database!$A:$C,MATCH($B$1,Database!$A$1:$C$1,),))</f>
        <v/>
      </c>
      <c r="C9773">
        <f>IF(VLOOKUP(Table7[[#This Row],[Date]],Database!$A:$C,MATCH($C$1,Database!$A$1:$C$1,),)=0,#N/A,VLOOKUP(Table7[[#This Row],[Date]],Database!$A:$C,MATCH($C$1,Database!$A$1:$C$1,),))</f>
        <v/>
      </c>
      <c r="D9773">
        <f>IFERROR(Table7[[#This Row],[United States 10y]]-Table7[[#This Row],[United States 3y]],#N/A)</f>
        <v/>
      </c>
    </row>
    <row r="9774">
      <c r="A9774" s="6">
        <f>Database!$A11859</f>
        <v/>
      </c>
      <c r="B9774">
        <f>IF(VLOOKUP(Table7[[#This Row],[Date]],Database!$A:$C,MATCH($B$1,Database!$A$1:$C$1,),)=0,#N/A,VLOOKUP(Table7[[#This Row],[Date]],Database!$A:$C,MATCH($B$1,Database!$A$1:$C$1,),))</f>
        <v/>
      </c>
      <c r="C9774">
        <f>IF(VLOOKUP(Table7[[#This Row],[Date]],Database!$A:$C,MATCH($C$1,Database!$A$1:$C$1,),)=0,#N/A,VLOOKUP(Table7[[#This Row],[Date]],Database!$A:$C,MATCH($C$1,Database!$A$1:$C$1,),))</f>
        <v/>
      </c>
      <c r="D9774">
        <f>IFERROR(Table7[[#This Row],[United States 10y]]-Table7[[#This Row],[United States 3y]],#N/A)</f>
        <v/>
      </c>
    </row>
    <row r="9775">
      <c r="A9775" s="6">
        <f>Database!$A11860</f>
        <v/>
      </c>
      <c r="B9775">
        <f>IF(VLOOKUP(Table7[[#This Row],[Date]],Database!$A:$C,MATCH($B$1,Database!$A$1:$C$1,),)=0,#N/A,VLOOKUP(Table7[[#This Row],[Date]],Database!$A:$C,MATCH($B$1,Database!$A$1:$C$1,),))</f>
        <v/>
      </c>
      <c r="C9775">
        <f>IF(VLOOKUP(Table7[[#This Row],[Date]],Database!$A:$C,MATCH($C$1,Database!$A$1:$C$1,),)=0,#N/A,VLOOKUP(Table7[[#This Row],[Date]],Database!$A:$C,MATCH($C$1,Database!$A$1:$C$1,),))</f>
        <v/>
      </c>
      <c r="D9775">
        <f>IFERROR(Table7[[#This Row],[United States 10y]]-Table7[[#This Row],[United States 3y]],#N/A)</f>
        <v/>
      </c>
    </row>
    <row r="9776">
      <c r="A9776" s="6">
        <f>Database!$A11861</f>
        <v/>
      </c>
      <c r="B9776">
        <f>IF(VLOOKUP(Table7[[#This Row],[Date]],Database!$A:$C,MATCH($B$1,Database!$A$1:$C$1,),)=0,#N/A,VLOOKUP(Table7[[#This Row],[Date]],Database!$A:$C,MATCH($B$1,Database!$A$1:$C$1,),))</f>
        <v/>
      </c>
      <c r="C9776">
        <f>IF(VLOOKUP(Table7[[#This Row],[Date]],Database!$A:$C,MATCH($C$1,Database!$A$1:$C$1,),)=0,#N/A,VLOOKUP(Table7[[#This Row],[Date]],Database!$A:$C,MATCH($C$1,Database!$A$1:$C$1,),))</f>
        <v/>
      </c>
      <c r="D9776">
        <f>IFERROR(Table7[[#This Row],[United States 10y]]-Table7[[#This Row],[United States 3y]],#N/A)</f>
        <v/>
      </c>
    </row>
    <row r="9777">
      <c r="A9777" s="6">
        <f>Database!$A11862</f>
        <v/>
      </c>
      <c r="B9777">
        <f>IF(VLOOKUP(Table7[[#This Row],[Date]],Database!$A:$C,MATCH($B$1,Database!$A$1:$C$1,),)=0,#N/A,VLOOKUP(Table7[[#This Row],[Date]],Database!$A:$C,MATCH($B$1,Database!$A$1:$C$1,),))</f>
        <v/>
      </c>
      <c r="C9777">
        <f>IF(VLOOKUP(Table7[[#This Row],[Date]],Database!$A:$C,MATCH($C$1,Database!$A$1:$C$1,),)=0,#N/A,VLOOKUP(Table7[[#This Row],[Date]],Database!$A:$C,MATCH($C$1,Database!$A$1:$C$1,),))</f>
        <v/>
      </c>
      <c r="D9777">
        <f>IFERROR(Table7[[#This Row],[United States 10y]]-Table7[[#This Row],[United States 3y]],#N/A)</f>
        <v/>
      </c>
    </row>
    <row r="9778">
      <c r="A9778" s="6">
        <f>Database!$A11863</f>
        <v/>
      </c>
      <c r="B9778">
        <f>IF(VLOOKUP(Table7[[#This Row],[Date]],Database!$A:$C,MATCH($B$1,Database!$A$1:$C$1,),)=0,#N/A,VLOOKUP(Table7[[#This Row],[Date]],Database!$A:$C,MATCH($B$1,Database!$A$1:$C$1,),))</f>
        <v/>
      </c>
      <c r="C9778">
        <f>IF(VLOOKUP(Table7[[#This Row],[Date]],Database!$A:$C,MATCH($C$1,Database!$A$1:$C$1,),)=0,#N/A,VLOOKUP(Table7[[#This Row],[Date]],Database!$A:$C,MATCH($C$1,Database!$A$1:$C$1,),))</f>
        <v/>
      </c>
      <c r="D9778">
        <f>IFERROR(Table7[[#This Row],[United States 10y]]-Table7[[#This Row],[United States 3y]],#N/A)</f>
        <v/>
      </c>
    </row>
    <row r="9779">
      <c r="A9779" s="6">
        <f>Database!$A11864</f>
        <v/>
      </c>
      <c r="B9779">
        <f>IF(VLOOKUP(Table7[[#This Row],[Date]],Database!$A:$C,MATCH($B$1,Database!$A$1:$C$1,),)=0,#N/A,VLOOKUP(Table7[[#This Row],[Date]],Database!$A:$C,MATCH($B$1,Database!$A$1:$C$1,),))</f>
        <v/>
      </c>
      <c r="C9779">
        <f>IF(VLOOKUP(Table7[[#This Row],[Date]],Database!$A:$C,MATCH($C$1,Database!$A$1:$C$1,),)=0,#N/A,VLOOKUP(Table7[[#This Row],[Date]],Database!$A:$C,MATCH($C$1,Database!$A$1:$C$1,),))</f>
        <v/>
      </c>
      <c r="D9779">
        <f>IFERROR(Table7[[#This Row],[United States 10y]]-Table7[[#This Row],[United States 3y]],#N/A)</f>
        <v/>
      </c>
    </row>
    <row r="9780">
      <c r="A9780" s="6">
        <f>Database!$A11865</f>
        <v/>
      </c>
      <c r="B9780">
        <f>IF(VLOOKUP(Table7[[#This Row],[Date]],Database!$A:$C,MATCH($B$1,Database!$A$1:$C$1,),)=0,#N/A,VLOOKUP(Table7[[#This Row],[Date]],Database!$A:$C,MATCH($B$1,Database!$A$1:$C$1,),))</f>
        <v/>
      </c>
      <c r="C9780">
        <f>IF(VLOOKUP(Table7[[#This Row],[Date]],Database!$A:$C,MATCH($C$1,Database!$A$1:$C$1,),)=0,#N/A,VLOOKUP(Table7[[#This Row],[Date]],Database!$A:$C,MATCH($C$1,Database!$A$1:$C$1,),))</f>
        <v/>
      </c>
      <c r="D9780">
        <f>IFERROR(Table7[[#This Row],[United States 10y]]-Table7[[#This Row],[United States 3y]],#N/A)</f>
        <v/>
      </c>
    </row>
    <row r="9781">
      <c r="A9781" s="6">
        <f>Database!$A11866</f>
        <v/>
      </c>
      <c r="B9781">
        <f>IF(VLOOKUP(Table7[[#This Row],[Date]],Database!$A:$C,MATCH($B$1,Database!$A$1:$C$1,),)=0,#N/A,VLOOKUP(Table7[[#This Row],[Date]],Database!$A:$C,MATCH($B$1,Database!$A$1:$C$1,),))</f>
        <v/>
      </c>
      <c r="C9781">
        <f>IF(VLOOKUP(Table7[[#This Row],[Date]],Database!$A:$C,MATCH($C$1,Database!$A$1:$C$1,),)=0,#N/A,VLOOKUP(Table7[[#This Row],[Date]],Database!$A:$C,MATCH($C$1,Database!$A$1:$C$1,),))</f>
        <v/>
      </c>
      <c r="D9781">
        <f>IFERROR(Table7[[#This Row],[United States 10y]]-Table7[[#This Row],[United States 3y]],#N/A)</f>
        <v/>
      </c>
    </row>
    <row r="9782">
      <c r="A9782" s="6">
        <f>Database!$A11867</f>
        <v/>
      </c>
      <c r="B9782">
        <f>IF(VLOOKUP(Table7[[#This Row],[Date]],Database!$A:$C,MATCH($B$1,Database!$A$1:$C$1,),)=0,#N/A,VLOOKUP(Table7[[#This Row],[Date]],Database!$A:$C,MATCH($B$1,Database!$A$1:$C$1,),))</f>
        <v/>
      </c>
      <c r="C9782">
        <f>IF(VLOOKUP(Table7[[#This Row],[Date]],Database!$A:$C,MATCH($C$1,Database!$A$1:$C$1,),)=0,#N/A,VLOOKUP(Table7[[#This Row],[Date]],Database!$A:$C,MATCH($C$1,Database!$A$1:$C$1,),))</f>
        <v/>
      </c>
      <c r="D9782">
        <f>IFERROR(Table7[[#This Row],[United States 10y]]-Table7[[#This Row],[United States 3y]],#N/A)</f>
        <v/>
      </c>
    </row>
    <row r="9783">
      <c r="A9783" s="6">
        <f>Database!$A11868</f>
        <v/>
      </c>
      <c r="B9783">
        <f>IF(VLOOKUP(Table7[[#This Row],[Date]],Database!$A:$C,MATCH($B$1,Database!$A$1:$C$1,),)=0,#N/A,VLOOKUP(Table7[[#This Row],[Date]],Database!$A:$C,MATCH($B$1,Database!$A$1:$C$1,),))</f>
        <v/>
      </c>
      <c r="C9783">
        <f>IF(VLOOKUP(Table7[[#This Row],[Date]],Database!$A:$C,MATCH($C$1,Database!$A$1:$C$1,),)=0,#N/A,VLOOKUP(Table7[[#This Row],[Date]],Database!$A:$C,MATCH($C$1,Database!$A$1:$C$1,),))</f>
        <v/>
      </c>
      <c r="D9783">
        <f>IFERROR(Table7[[#This Row],[United States 10y]]-Table7[[#This Row],[United States 3y]],#N/A)</f>
        <v/>
      </c>
    </row>
    <row r="9784">
      <c r="A9784" s="6">
        <f>Database!$A11869</f>
        <v/>
      </c>
      <c r="B9784">
        <f>IF(VLOOKUP(Table7[[#This Row],[Date]],Database!$A:$C,MATCH($B$1,Database!$A$1:$C$1,),)=0,#N/A,VLOOKUP(Table7[[#This Row],[Date]],Database!$A:$C,MATCH($B$1,Database!$A$1:$C$1,),))</f>
        <v/>
      </c>
      <c r="C9784">
        <f>IF(VLOOKUP(Table7[[#This Row],[Date]],Database!$A:$C,MATCH($C$1,Database!$A$1:$C$1,),)=0,#N/A,VLOOKUP(Table7[[#This Row],[Date]],Database!$A:$C,MATCH($C$1,Database!$A$1:$C$1,),))</f>
        <v/>
      </c>
      <c r="D9784">
        <f>IFERROR(Table7[[#This Row],[United States 10y]]-Table7[[#This Row],[United States 3y]],#N/A)</f>
        <v/>
      </c>
    </row>
    <row r="9785">
      <c r="A9785" s="6">
        <f>Database!$A11870</f>
        <v/>
      </c>
      <c r="B9785">
        <f>IF(VLOOKUP(Table7[[#This Row],[Date]],Database!$A:$C,MATCH($B$1,Database!$A$1:$C$1,),)=0,#N/A,VLOOKUP(Table7[[#This Row],[Date]],Database!$A:$C,MATCH($B$1,Database!$A$1:$C$1,),))</f>
        <v/>
      </c>
      <c r="C9785">
        <f>IF(VLOOKUP(Table7[[#This Row],[Date]],Database!$A:$C,MATCH($C$1,Database!$A$1:$C$1,),)=0,#N/A,VLOOKUP(Table7[[#This Row],[Date]],Database!$A:$C,MATCH($C$1,Database!$A$1:$C$1,),))</f>
        <v/>
      </c>
      <c r="D9785">
        <f>IFERROR(Table7[[#This Row],[United States 10y]]-Table7[[#This Row],[United States 3y]],#N/A)</f>
        <v/>
      </c>
    </row>
    <row r="9786">
      <c r="A9786" s="6">
        <f>Database!$A11871</f>
        <v/>
      </c>
      <c r="B9786">
        <f>IF(VLOOKUP(Table7[[#This Row],[Date]],Database!$A:$C,MATCH($B$1,Database!$A$1:$C$1,),)=0,#N/A,VLOOKUP(Table7[[#This Row],[Date]],Database!$A:$C,MATCH($B$1,Database!$A$1:$C$1,),))</f>
        <v/>
      </c>
      <c r="C9786">
        <f>IF(VLOOKUP(Table7[[#This Row],[Date]],Database!$A:$C,MATCH($C$1,Database!$A$1:$C$1,),)=0,#N/A,VLOOKUP(Table7[[#This Row],[Date]],Database!$A:$C,MATCH($C$1,Database!$A$1:$C$1,),))</f>
        <v/>
      </c>
      <c r="D9786">
        <f>IFERROR(Table7[[#This Row],[United States 10y]]-Table7[[#This Row],[United States 3y]],#N/A)</f>
        <v/>
      </c>
    </row>
    <row r="9787">
      <c r="A9787" s="6">
        <f>Database!$A11872</f>
        <v/>
      </c>
      <c r="B9787">
        <f>IF(VLOOKUP(Table7[[#This Row],[Date]],Database!$A:$C,MATCH($B$1,Database!$A$1:$C$1,),)=0,#N/A,VLOOKUP(Table7[[#This Row],[Date]],Database!$A:$C,MATCH($B$1,Database!$A$1:$C$1,),))</f>
        <v/>
      </c>
      <c r="C9787">
        <f>IF(VLOOKUP(Table7[[#This Row],[Date]],Database!$A:$C,MATCH($C$1,Database!$A$1:$C$1,),)=0,#N/A,VLOOKUP(Table7[[#This Row],[Date]],Database!$A:$C,MATCH($C$1,Database!$A$1:$C$1,),))</f>
        <v/>
      </c>
      <c r="D9787">
        <f>IFERROR(Table7[[#This Row],[United States 10y]]-Table7[[#This Row],[United States 3y]],#N/A)</f>
        <v/>
      </c>
    </row>
    <row r="9788">
      <c r="A9788" s="6">
        <f>Database!$A11873</f>
        <v/>
      </c>
      <c r="B9788">
        <f>IF(VLOOKUP(Table7[[#This Row],[Date]],Database!$A:$C,MATCH($B$1,Database!$A$1:$C$1,),)=0,#N/A,VLOOKUP(Table7[[#This Row],[Date]],Database!$A:$C,MATCH($B$1,Database!$A$1:$C$1,),))</f>
        <v/>
      </c>
      <c r="C9788">
        <f>IF(VLOOKUP(Table7[[#This Row],[Date]],Database!$A:$C,MATCH($C$1,Database!$A$1:$C$1,),)=0,#N/A,VLOOKUP(Table7[[#This Row],[Date]],Database!$A:$C,MATCH($C$1,Database!$A$1:$C$1,),))</f>
        <v/>
      </c>
      <c r="D9788">
        <f>IFERROR(Table7[[#This Row],[United States 10y]]-Table7[[#This Row],[United States 3y]],#N/A)</f>
        <v/>
      </c>
    </row>
    <row r="9789">
      <c r="A9789" s="6">
        <f>Database!$A11874</f>
        <v/>
      </c>
      <c r="B9789">
        <f>IF(VLOOKUP(Table7[[#This Row],[Date]],Database!$A:$C,MATCH($B$1,Database!$A$1:$C$1,),)=0,#N/A,VLOOKUP(Table7[[#This Row],[Date]],Database!$A:$C,MATCH($B$1,Database!$A$1:$C$1,),))</f>
        <v/>
      </c>
      <c r="C9789">
        <f>IF(VLOOKUP(Table7[[#This Row],[Date]],Database!$A:$C,MATCH($C$1,Database!$A$1:$C$1,),)=0,#N/A,VLOOKUP(Table7[[#This Row],[Date]],Database!$A:$C,MATCH($C$1,Database!$A$1:$C$1,),))</f>
        <v/>
      </c>
      <c r="D9789">
        <f>IFERROR(Table7[[#This Row],[United States 10y]]-Table7[[#This Row],[United States 3y]],#N/A)</f>
        <v/>
      </c>
    </row>
    <row r="9790">
      <c r="A9790" s="6">
        <f>Database!$A11875</f>
        <v/>
      </c>
      <c r="B9790">
        <f>IF(VLOOKUP(Table7[[#This Row],[Date]],Database!$A:$C,MATCH($B$1,Database!$A$1:$C$1,),)=0,#N/A,VLOOKUP(Table7[[#This Row],[Date]],Database!$A:$C,MATCH($B$1,Database!$A$1:$C$1,),))</f>
        <v/>
      </c>
      <c r="C9790">
        <f>IF(VLOOKUP(Table7[[#This Row],[Date]],Database!$A:$C,MATCH($C$1,Database!$A$1:$C$1,),)=0,#N/A,VLOOKUP(Table7[[#This Row],[Date]],Database!$A:$C,MATCH($C$1,Database!$A$1:$C$1,),))</f>
        <v/>
      </c>
      <c r="D9790">
        <f>IFERROR(Table7[[#This Row],[United States 10y]]-Table7[[#This Row],[United States 3y]],#N/A)</f>
        <v/>
      </c>
    </row>
    <row r="9791">
      <c r="A9791" s="6">
        <f>Database!$A11876</f>
        <v/>
      </c>
      <c r="B9791">
        <f>IF(VLOOKUP(Table7[[#This Row],[Date]],Database!$A:$C,MATCH($B$1,Database!$A$1:$C$1,),)=0,#N/A,VLOOKUP(Table7[[#This Row],[Date]],Database!$A:$C,MATCH($B$1,Database!$A$1:$C$1,),))</f>
        <v/>
      </c>
      <c r="C9791">
        <f>IF(VLOOKUP(Table7[[#This Row],[Date]],Database!$A:$C,MATCH($C$1,Database!$A$1:$C$1,),)=0,#N/A,VLOOKUP(Table7[[#This Row],[Date]],Database!$A:$C,MATCH($C$1,Database!$A$1:$C$1,),))</f>
        <v/>
      </c>
      <c r="D9791">
        <f>IFERROR(Table7[[#This Row],[United States 10y]]-Table7[[#This Row],[United States 3y]],#N/A)</f>
        <v/>
      </c>
    </row>
    <row r="9792">
      <c r="A9792" s="6">
        <f>Database!$A11877</f>
        <v/>
      </c>
      <c r="B9792">
        <f>IF(VLOOKUP(Table7[[#This Row],[Date]],Database!$A:$C,MATCH($B$1,Database!$A$1:$C$1,),)=0,#N/A,VLOOKUP(Table7[[#This Row],[Date]],Database!$A:$C,MATCH($B$1,Database!$A$1:$C$1,),))</f>
        <v/>
      </c>
      <c r="C9792">
        <f>IF(VLOOKUP(Table7[[#This Row],[Date]],Database!$A:$C,MATCH($C$1,Database!$A$1:$C$1,),)=0,#N/A,VLOOKUP(Table7[[#This Row],[Date]],Database!$A:$C,MATCH($C$1,Database!$A$1:$C$1,),))</f>
        <v/>
      </c>
      <c r="D9792">
        <f>IFERROR(Table7[[#This Row],[United States 10y]]-Table7[[#This Row],[United States 3y]],#N/A)</f>
        <v/>
      </c>
    </row>
    <row r="9793">
      <c r="A9793" s="6">
        <f>Database!$A11878</f>
        <v/>
      </c>
      <c r="B9793">
        <f>IF(VLOOKUP(Table7[[#This Row],[Date]],Database!$A:$C,MATCH($B$1,Database!$A$1:$C$1,),)=0,#N/A,VLOOKUP(Table7[[#This Row],[Date]],Database!$A:$C,MATCH($B$1,Database!$A$1:$C$1,),))</f>
        <v/>
      </c>
      <c r="C9793">
        <f>IF(VLOOKUP(Table7[[#This Row],[Date]],Database!$A:$C,MATCH($C$1,Database!$A$1:$C$1,),)=0,#N/A,VLOOKUP(Table7[[#This Row],[Date]],Database!$A:$C,MATCH($C$1,Database!$A$1:$C$1,),))</f>
        <v/>
      </c>
      <c r="D9793">
        <f>IFERROR(Table7[[#This Row],[United States 10y]]-Table7[[#This Row],[United States 3y]],#N/A)</f>
        <v/>
      </c>
    </row>
    <row r="9794">
      <c r="A9794" s="6">
        <f>Database!$A11879</f>
        <v/>
      </c>
      <c r="B9794">
        <f>IF(VLOOKUP(Table7[[#This Row],[Date]],Database!$A:$C,MATCH($B$1,Database!$A$1:$C$1,),)=0,#N/A,VLOOKUP(Table7[[#This Row],[Date]],Database!$A:$C,MATCH($B$1,Database!$A$1:$C$1,),))</f>
        <v/>
      </c>
      <c r="C9794">
        <f>IF(VLOOKUP(Table7[[#This Row],[Date]],Database!$A:$C,MATCH($C$1,Database!$A$1:$C$1,),)=0,#N/A,VLOOKUP(Table7[[#This Row],[Date]],Database!$A:$C,MATCH($C$1,Database!$A$1:$C$1,),))</f>
        <v/>
      </c>
      <c r="D9794">
        <f>IFERROR(Table7[[#This Row],[United States 10y]]-Table7[[#This Row],[United States 3y]],#N/A)</f>
        <v/>
      </c>
    </row>
    <row r="9795">
      <c r="A9795" s="6">
        <f>Database!$A11880</f>
        <v/>
      </c>
      <c r="B9795">
        <f>IF(VLOOKUP(Table7[[#This Row],[Date]],Database!$A:$C,MATCH($B$1,Database!$A$1:$C$1,),)=0,#N/A,VLOOKUP(Table7[[#This Row],[Date]],Database!$A:$C,MATCH($B$1,Database!$A$1:$C$1,),))</f>
        <v/>
      </c>
      <c r="C9795">
        <f>IF(VLOOKUP(Table7[[#This Row],[Date]],Database!$A:$C,MATCH($C$1,Database!$A$1:$C$1,),)=0,#N/A,VLOOKUP(Table7[[#This Row],[Date]],Database!$A:$C,MATCH($C$1,Database!$A$1:$C$1,),))</f>
        <v/>
      </c>
      <c r="D9795">
        <f>IFERROR(Table7[[#This Row],[United States 10y]]-Table7[[#This Row],[United States 3y]],#N/A)</f>
        <v/>
      </c>
    </row>
    <row r="9796">
      <c r="A9796" s="6">
        <f>Database!$A11881</f>
        <v/>
      </c>
      <c r="B9796">
        <f>IF(VLOOKUP(Table7[[#This Row],[Date]],Database!$A:$C,MATCH($B$1,Database!$A$1:$C$1,),)=0,#N/A,VLOOKUP(Table7[[#This Row],[Date]],Database!$A:$C,MATCH($B$1,Database!$A$1:$C$1,),))</f>
        <v/>
      </c>
      <c r="C9796">
        <f>IF(VLOOKUP(Table7[[#This Row],[Date]],Database!$A:$C,MATCH($C$1,Database!$A$1:$C$1,),)=0,#N/A,VLOOKUP(Table7[[#This Row],[Date]],Database!$A:$C,MATCH($C$1,Database!$A$1:$C$1,),))</f>
        <v/>
      </c>
      <c r="D9796">
        <f>IFERROR(Table7[[#This Row],[United States 10y]]-Table7[[#This Row],[United States 3y]],#N/A)</f>
        <v/>
      </c>
    </row>
    <row r="9797">
      <c r="A9797" s="6">
        <f>Database!$A11882</f>
        <v/>
      </c>
      <c r="B9797">
        <f>IF(VLOOKUP(Table7[[#This Row],[Date]],Database!$A:$C,MATCH($B$1,Database!$A$1:$C$1,),)=0,#N/A,VLOOKUP(Table7[[#This Row],[Date]],Database!$A:$C,MATCH($B$1,Database!$A$1:$C$1,),))</f>
        <v/>
      </c>
      <c r="C9797">
        <f>IF(VLOOKUP(Table7[[#This Row],[Date]],Database!$A:$C,MATCH($C$1,Database!$A$1:$C$1,),)=0,#N/A,VLOOKUP(Table7[[#This Row],[Date]],Database!$A:$C,MATCH($C$1,Database!$A$1:$C$1,),))</f>
        <v/>
      </c>
      <c r="D9797">
        <f>IFERROR(Table7[[#This Row],[United States 10y]]-Table7[[#This Row],[United States 3y]],#N/A)</f>
        <v/>
      </c>
    </row>
    <row r="9798">
      <c r="A9798" s="6">
        <f>Database!$A11883</f>
        <v/>
      </c>
      <c r="B9798">
        <f>IF(VLOOKUP(Table7[[#This Row],[Date]],Database!$A:$C,MATCH($B$1,Database!$A$1:$C$1,),)=0,#N/A,VLOOKUP(Table7[[#This Row],[Date]],Database!$A:$C,MATCH($B$1,Database!$A$1:$C$1,),))</f>
        <v/>
      </c>
      <c r="C9798">
        <f>IF(VLOOKUP(Table7[[#This Row],[Date]],Database!$A:$C,MATCH($C$1,Database!$A$1:$C$1,),)=0,#N/A,VLOOKUP(Table7[[#This Row],[Date]],Database!$A:$C,MATCH($C$1,Database!$A$1:$C$1,),))</f>
        <v/>
      </c>
      <c r="D9798">
        <f>IFERROR(Table7[[#This Row],[United States 10y]]-Table7[[#This Row],[United States 3y]],#N/A)</f>
        <v/>
      </c>
    </row>
    <row r="9799">
      <c r="A9799" s="6">
        <f>Database!$A11884</f>
        <v/>
      </c>
      <c r="B9799">
        <f>IF(VLOOKUP(Table7[[#This Row],[Date]],Database!$A:$C,MATCH($B$1,Database!$A$1:$C$1,),)=0,#N/A,VLOOKUP(Table7[[#This Row],[Date]],Database!$A:$C,MATCH($B$1,Database!$A$1:$C$1,),))</f>
        <v/>
      </c>
      <c r="C9799">
        <f>IF(VLOOKUP(Table7[[#This Row],[Date]],Database!$A:$C,MATCH($C$1,Database!$A$1:$C$1,),)=0,#N/A,VLOOKUP(Table7[[#This Row],[Date]],Database!$A:$C,MATCH($C$1,Database!$A$1:$C$1,),))</f>
        <v/>
      </c>
      <c r="D9799">
        <f>IFERROR(Table7[[#This Row],[United States 10y]]-Table7[[#This Row],[United States 3y]],#N/A)</f>
        <v/>
      </c>
    </row>
    <row r="9800">
      <c r="A9800" s="6">
        <f>Database!$A11885</f>
        <v/>
      </c>
      <c r="B9800">
        <f>IF(VLOOKUP(Table7[[#This Row],[Date]],Database!$A:$C,MATCH($B$1,Database!$A$1:$C$1,),)=0,#N/A,VLOOKUP(Table7[[#This Row],[Date]],Database!$A:$C,MATCH($B$1,Database!$A$1:$C$1,),))</f>
        <v/>
      </c>
      <c r="C9800">
        <f>IF(VLOOKUP(Table7[[#This Row],[Date]],Database!$A:$C,MATCH($C$1,Database!$A$1:$C$1,),)=0,#N/A,VLOOKUP(Table7[[#This Row],[Date]],Database!$A:$C,MATCH($C$1,Database!$A$1:$C$1,),))</f>
        <v/>
      </c>
      <c r="D9800">
        <f>IFERROR(Table7[[#This Row],[United States 10y]]-Table7[[#This Row],[United States 3y]],#N/A)</f>
        <v/>
      </c>
    </row>
    <row r="9801">
      <c r="A9801" s="6">
        <f>Database!$A11886</f>
        <v/>
      </c>
      <c r="B9801">
        <f>IF(VLOOKUP(Table7[[#This Row],[Date]],Database!$A:$C,MATCH($B$1,Database!$A$1:$C$1,),)=0,#N/A,VLOOKUP(Table7[[#This Row],[Date]],Database!$A:$C,MATCH($B$1,Database!$A$1:$C$1,),))</f>
        <v/>
      </c>
      <c r="C9801">
        <f>IF(VLOOKUP(Table7[[#This Row],[Date]],Database!$A:$C,MATCH($C$1,Database!$A$1:$C$1,),)=0,#N/A,VLOOKUP(Table7[[#This Row],[Date]],Database!$A:$C,MATCH($C$1,Database!$A$1:$C$1,),))</f>
        <v/>
      </c>
      <c r="D9801">
        <f>IFERROR(Table7[[#This Row],[United States 10y]]-Table7[[#This Row],[United States 3y]],#N/A)</f>
        <v/>
      </c>
    </row>
    <row r="9802">
      <c r="A9802" s="6">
        <f>Database!$A11887</f>
        <v/>
      </c>
      <c r="B9802">
        <f>IF(VLOOKUP(Table7[[#This Row],[Date]],Database!$A:$C,MATCH($B$1,Database!$A$1:$C$1,),)=0,#N/A,VLOOKUP(Table7[[#This Row],[Date]],Database!$A:$C,MATCH($B$1,Database!$A$1:$C$1,),))</f>
        <v/>
      </c>
      <c r="C9802">
        <f>IF(VLOOKUP(Table7[[#This Row],[Date]],Database!$A:$C,MATCH($C$1,Database!$A$1:$C$1,),)=0,#N/A,VLOOKUP(Table7[[#This Row],[Date]],Database!$A:$C,MATCH($C$1,Database!$A$1:$C$1,),))</f>
        <v/>
      </c>
      <c r="D9802">
        <f>IFERROR(Table7[[#This Row],[United States 10y]]-Table7[[#This Row],[United States 3y]],#N/A)</f>
        <v/>
      </c>
    </row>
    <row r="9803">
      <c r="A9803" s="6">
        <f>Database!$A11888</f>
        <v/>
      </c>
      <c r="B9803">
        <f>IF(VLOOKUP(Table7[[#This Row],[Date]],Database!$A:$C,MATCH($B$1,Database!$A$1:$C$1,),)=0,#N/A,VLOOKUP(Table7[[#This Row],[Date]],Database!$A:$C,MATCH($B$1,Database!$A$1:$C$1,),))</f>
        <v/>
      </c>
      <c r="C9803">
        <f>IF(VLOOKUP(Table7[[#This Row],[Date]],Database!$A:$C,MATCH($C$1,Database!$A$1:$C$1,),)=0,#N/A,VLOOKUP(Table7[[#This Row],[Date]],Database!$A:$C,MATCH($C$1,Database!$A$1:$C$1,),))</f>
        <v/>
      </c>
      <c r="D9803">
        <f>IFERROR(Table7[[#This Row],[United States 10y]]-Table7[[#This Row],[United States 3y]],#N/A)</f>
        <v/>
      </c>
    </row>
    <row r="9804">
      <c r="A9804" s="6">
        <f>Database!$A11889</f>
        <v/>
      </c>
      <c r="B9804">
        <f>IF(VLOOKUP(Table7[[#This Row],[Date]],Database!$A:$C,MATCH($B$1,Database!$A$1:$C$1,),)=0,#N/A,VLOOKUP(Table7[[#This Row],[Date]],Database!$A:$C,MATCH($B$1,Database!$A$1:$C$1,),))</f>
        <v/>
      </c>
      <c r="C9804">
        <f>IF(VLOOKUP(Table7[[#This Row],[Date]],Database!$A:$C,MATCH($C$1,Database!$A$1:$C$1,),)=0,#N/A,VLOOKUP(Table7[[#This Row],[Date]],Database!$A:$C,MATCH($C$1,Database!$A$1:$C$1,),))</f>
        <v/>
      </c>
      <c r="D9804">
        <f>IFERROR(Table7[[#This Row],[United States 10y]]-Table7[[#This Row],[United States 3y]],#N/A)</f>
        <v/>
      </c>
    </row>
    <row r="9805">
      <c r="A9805" s="6">
        <f>Database!$A11890</f>
        <v/>
      </c>
      <c r="B9805">
        <f>IF(VLOOKUP(Table7[[#This Row],[Date]],Database!$A:$C,MATCH($B$1,Database!$A$1:$C$1,),)=0,#N/A,VLOOKUP(Table7[[#This Row],[Date]],Database!$A:$C,MATCH($B$1,Database!$A$1:$C$1,),))</f>
        <v/>
      </c>
      <c r="C9805">
        <f>IF(VLOOKUP(Table7[[#This Row],[Date]],Database!$A:$C,MATCH($C$1,Database!$A$1:$C$1,),)=0,#N/A,VLOOKUP(Table7[[#This Row],[Date]],Database!$A:$C,MATCH($C$1,Database!$A$1:$C$1,),))</f>
        <v/>
      </c>
      <c r="D9805">
        <f>IFERROR(Table7[[#This Row],[United States 10y]]-Table7[[#This Row],[United States 3y]],#N/A)</f>
        <v/>
      </c>
    </row>
    <row r="9806">
      <c r="A9806" s="6">
        <f>Database!$A11891</f>
        <v/>
      </c>
      <c r="B9806">
        <f>IF(VLOOKUP(Table7[[#This Row],[Date]],Database!$A:$C,MATCH($B$1,Database!$A$1:$C$1,),)=0,#N/A,VLOOKUP(Table7[[#This Row],[Date]],Database!$A:$C,MATCH($B$1,Database!$A$1:$C$1,),))</f>
        <v/>
      </c>
      <c r="C9806">
        <f>IF(VLOOKUP(Table7[[#This Row],[Date]],Database!$A:$C,MATCH($C$1,Database!$A$1:$C$1,),)=0,#N/A,VLOOKUP(Table7[[#This Row],[Date]],Database!$A:$C,MATCH($C$1,Database!$A$1:$C$1,),))</f>
        <v/>
      </c>
      <c r="D9806">
        <f>IFERROR(Table7[[#This Row],[United States 10y]]-Table7[[#This Row],[United States 3y]],#N/A)</f>
        <v/>
      </c>
    </row>
    <row r="9807">
      <c r="A9807" s="6">
        <f>Database!$A11892</f>
        <v/>
      </c>
      <c r="B9807">
        <f>IF(VLOOKUP(Table7[[#This Row],[Date]],Database!$A:$C,MATCH($B$1,Database!$A$1:$C$1,),)=0,#N/A,VLOOKUP(Table7[[#This Row],[Date]],Database!$A:$C,MATCH($B$1,Database!$A$1:$C$1,),))</f>
        <v/>
      </c>
      <c r="C9807">
        <f>IF(VLOOKUP(Table7[[#This Row],[Date]],Database!$A:$C,MATCH($C$1,Database!$A$1:$C$1,),)=0,#N/A,VLOOKUP(Table7[[#This Row],[Date]],Database!$A:$C,MATCH($C$1,Database!$A$1:$C$1,),))</f>
        <v/>
      </c>
      <c r="D9807">
        <f>IFERROR(Table7[[#This Row],[United States 10y]]-Table7[[#This Row],[United States 3y]],#N/A)</f>
        <v/>
      </c>
    </row>
    <row r="9808">
      <c r="A9808" s="6">
        <f>Database!$A11893</f>
        <v/>
      </c>
      <c r="B9808">
        <f>IF(VLOOKUP(Table7[[#This Row],[Date]],Database!$A:$C,MATCH($B$1,Database!$A$1:$C$1,),)=0,#N/A,VLOOKUP(Table7[[#This Row],[Date]],Database!$A:$C,MATCH($B$1,Database!$A$1:$C$1,),))</f>
        <v/>
      </c>
      <c r="C9808">
        <f>IF(VLOOKUP(Table7[[#This Row],[Date]],Database!$A:$C,MATCH($C$1,Database!$A$1:$C$1,),)=0,#N/A,VLOOKUP(Table7[[#This Row],[Date]],Database!$A:$C,MATCH($C$1,Database!$A$1:$C$1,),))</f>
        <v/>
      </c>
      <c r="D9808">
        <f>IFERROR(Table7[[#This Row],[United States 10y]]-Table7[[#This Row],[United States 3y]],#N/A)</f>
        <v/>
      </c>
    </row>
    <row r="9809">
      <c r="A9809" s="6">
        <f>Database!$A11894</f>
        <v/>
      </c>
      <c r="B9809">
        <f>IF(VLOOKUP(Table7[[#This Row],[Date]],Database!$A:$C,MATCH($B$1,Database!$A$1:$C$1,),)=0,#N/A,VLOOKUP(Table7[[#This Row],[Date]],Database!$A:$C,MATCH($B$1,Database!$A$1:$C$1,),))</f>
        <v/>
      </c>
      <c r="C9809">
        <f>IF(VLOOKUP(Table7[[#This Row],[Date]],Database!$A:$C,MATCH($C$1,Database!$A$1:$C$1,),)=0,#N/A,VLOOKUP(Table7[[#This Row],[Date]],Database!$A:$C,MATCH($C$1,Database!$A$1:$C$1,),))</f>
        <v/>
      </c>
      <c r="D9809">
        <f>IFERROR(Table7[[#This Row],[United States 10y]]-Table7[[#This Row],[United States 3y]],#N/A)</f>
        <v/>
      </c>
    </row>
    <row r="9810">
      <c r="A9810" s="6">
        <f>Database!$A11895</f>
        <v/>
      </c>
      <c r="B9810">
        <f>IF(VLOOKUP(Table7[[#This Row],[Date]],Database!$A:$C,MATCH($B$1,Database!$A$1:$C$1,),)=0,#N/A,VLOOKUP(Table7[[#This Row],[Date]],Database!$A:$C,MATCH($B$1,Database!$A$1:$C$1,),))</f>
        <v/>
      </c>
      <c r="C9810">
        <f>IF(VLOOKUP(Table7[[#This Row],[Date]],Database!$A:$C,MATCH($C$1,Database!$A$1:$C$1,),)=0,#N/A,VLOOKUP(Table7[[#This Row],[Date]],Database!$A:$C,MATCH($C$1,Database!$A$1:$C$1,),))</f>
        <v/>
      </c>
      <c r="D9810">
        <f>IFERROR(Table7[[#This Row],[United States 10y]]-Table7[[#This Row],[United States 3y]],#N/A)</f>
        <v/>
      </c>
    </row>
    <row r="9811">
      <c r="A9811" s="6">
        <f>Database!$A11896</f>
        <v/>
      </c>
      <c r="B9811">
        <f>IF(VLOOKUP(Table7[[#This Row],[Date]],Database!$A:$C,MATCH($B$1,Database!$A$1:$C$1,),)=0,#N/A,VLOOKUP(Table7[[#This Row],[Date]],Database!$A:$C,MATCH($B$1,Database!$A$1:$C$1,),))</f>
        <v/>
      </c>
      <c r="C9811">
        <f>IF(VLOOKUP(Table7[[#This Row],[Date]],Database!$A:$C,MATCH($C$1,Database!$A$1:$C$1,),)=0,#N/A,VLOOKUP(Table7[[#This Row],[Date]],Database!$A:$C,MATCH($C$1,Database!$A$1:$C$1,),))</f>
        <v/>
      </c>
      <c r="D9811">
        <f>IFERROR(Table7[[#This Row],[United States 10y]]-Table7[[#This Row],[United States 3y]],#N/A)</f>
        <v/>
      </c>
    </row>
    <row r="9812">
      <c r="A9812" s="6">
        <f>Database!$A11897</f>
        <v/>
      </c>
      <c r="B9812">
        <f>IF(VLOOKUP(Table7[[#This Row],[Date]],Database!$A:$C,MATCH($B$1,Database!$A$1:$C$1,),)=0,#N/A,VLOOKUP(Table7[[#This Row],[Date]],Database!$A:$C,MATCH($B$1,Database!$A$1:$C$1,),))</f>
        <v/>
      </c>
      <c r="C9812">
        <f>IF(VLOOKUP(Table7[[#This Row],[Date]],Database!$A:$C,MATCH($C$1,Database!$A$1:$C$1,),)=0,#N/A,VLOOKUP(Table7[[#This Row],[Date]],Database!$A:$C,MATCH($C$1,Database!$A$1:$C$1,),))</f>
        <v/>
      </c>
      <c r="D9812">
        <f>IFERROR(Table7[[#This Row],[United States 10y]]-Table7[[#This Row],[United States 3y]],#N/A)</f>
        <v/>
      </c>
    </row>
    <row r="9813">
      <c r="A9813" s="6">
        <f>Database!$A11898</f>
        <v/>
      </c>
      <c r="B9813">
        <f>IF(VLOOKUP(Table7[[#This Row],[Date]],Database!$A:$C,MATCH($B$1,Database!$A$1:$C$1,),)=0,#N/A,VLOOKUP(Table7[[#This Row],[Date]],Database!$A:$C,MATCH($B$1,Database!$A$1:$C$1,),))</f>
        <v/>
      </c>
      <c r="C9813">
        <f>IF(VLOOKUP(Table7[[#This Row],[Date]],Database!$A:$C,MATCH($C$1,Database!$A$1:$C$1,),)=0,#N/A,VLOOKUP(Table7[[#This Row],[Date]],Database!$A:$C,MATCH($C$1,Database!$A$1:$C$1,),))</f>
        <v/>
      </c>
      <c r="D9813">
        <f>IFERROR(Table7[[#This Row],[United States 10y]]-Table7[[#This Row],[United States 3y]],#N/A)</f>
        <v/>
      </c>
    </row>
    <row r="9814">
      <c r="A9814" s="6">
        <f>Database!$A11899</f>
        <v/>
      </c>
      <c r="B9814">
        <f>IF(VLOOKUP(Table7[[#This Row],[Date]],Database!$A:$C,MATCH($B$1,Database!$A$1:$C$1,),)=0,#N/A,VLOOKUP(Table7[[#This Row],[Date]],Database!$A:$C,MATCH($B$1,Database!$A$1:$C$1,),))</f>
        <v/>
      </c>
      <c r="C9814">
        <f>IF(VLOOKUP(Table7[[#This Row],[Date]],Database!$A:$C,MATCH($C$1,Database!$A$1:$C$1,),)=0,#N/A,VLOOKUP(Table7[[#This Row],[Date]],Database!$A:$C,MATCH($C$1,Database!$A$1:$C$1,),))</f>
        <v/>
      </c>
      <c r="D9814">
        <f>IFERROR(Table7[[#This Row],[United States 10y]]-Table7[[#This Row],[United States 3y]],#N/A)</f>
        <v/>
      </c>
    </row>
    <row r="9815">
      <c r="A9815" s="6">
        <f>Database!$A11900</f>
        <v/>
      </c>
      <c r="B9815">
        <f>IF(VLOOKUP(Table7[[#This Row],[Date]],Database!$A:$C,MATCH($B$1,Database!$A$1:$C$1,),)=0,#N/A,VLOOKUP(Table7[[#This Row],[Date]],Database!$A:$C,MATCH($B$1,Database!$A$1:$C$1,),))</f>
        <v/>
      </c>
      <c r="C9815">
        <f>IF(VLOOKUP(Table7[[#This Row],[Date]],Database!$A:$C,MATCH($C$1,Database!$A$1:$C$1,),)=0,#N/A,VLOOKUP(Table7[[#This Row],[Date]],Database!$A:$C,MATCH($C$1,Database!$A$1:$C$1,),))</f>
        <v/>
      </c>
      <c r="D9815">
        <f>IFERROR(Table7[[#This Row],[United States 10y]]-Table7[[#This Row],[United States 3y]],#N/A)</f>
        <v/>
      </c>
    </row>
    <row r="9816">
      <c r="A9816" s="6">
        <f>Database!$A11901</f>
        <v/>
      </c>
      <c r="B9816">
        <f>IF(VLOOKUP(Table7[[#This Row],[Date]],Database!$A:$C,MATCH($B$1,Database!$A$1:$C$1,),)=0,#N/A,VLOOKUP(Table7[[#This Row],[Date]],Database!$A:$C,MATCH($B$1,Database!$A$1:$C$1,),))</f>
        <v/>
      </c>
      <c r="C9816">
        <f>IF(VLOOKUP(Table7[[#This Row],[Date]],Database!$A:$C,MATCH($C$1,Database!$A$1:$C$1,),)=0,#N/A,VLOOKUP(Table7[[#This Row],[Date]],Database!$A:$C,MATCH($C$1,Database!$A$1:$C$1,),))</f>
        <v/>
      </c>
      <c r="D9816">
        <f>IFERROR(Table7[[#This Row],[United States 10y]]-Table7[[#This Row],[United States 3y]],#N/A)</f>
        <v/>
      </c>
    </row>
    <row r="9817">
      <c r="A9817" s="6">
        <f>Database!$A11902</f>
        <v/>
      </c>
      <c r="B9817">
        <f>IF(VLOOKUP(Table7[[#This Row],[Date]],Database!$A:$C,MATCH($B$1,Database!$A$1:$C$1,),)=0,#N/A,VLOOKUP(Table7[[#This Row],[Date]],Database!$A:$C,MATCH($B$1,Database!$A$1:$C$1,),))</f>
        <v/>
      </c>
      <c r="C9817">
        <f>IF(VLOOKUP(Table7[[#This Row],[Date]],Database!$A:$C,MATCH($C$1,Database!$A$1:$C$1,),)=0,#N/A,VLOOKUP(Table7[[#This Row],[Date]],Database!$A:$C,MATCH($C$1,Database!$A$1:$C$1,),))</f>
        <v/>
      </c>
      <c r="D9817">
        <f>IFERROR(Table7[[#This Row],[United States 10y]]-Table7[[#This Row],[United States 3y]],#N/A)</f>
        <v/>
      </c>
    </row>
    <row r="9818">
      <c r="A9818" s="6">
        <f>Database!$A11903</f>
        <v/>
      </c>
      <c r="B9818">
        <f>IF(VLOOKUP(Table7[[#This Row],[Date]],Database!$A:$C,MATCH($B$1,Database!$A$1:$C$1,),)=0,#N/A,VLOOKUP(Table7[[#This Row],[Date]],Database!$A:$C,MATCH($B$1,Database!$A$1:$C$1,),))</f>
        <v/>
      </c>
      <c r="C9818">
        <f>IF(VLOOKUP(Table7[[#This Row],[Date]],Database!$A:$C,MATCH($C$1,Database!$A$1:$C$1,),)=0,#N/A,VLOOKUP(Table7[[#This Row],[Date]],Database!$A:$C,MATCH($C$1,Database!$A$1:$C$1,),))</f>
        <v/>
      </c>
      <c r="D9818">
        <f>IFERROR(Table7[[#This Row],[United States 10y]]-Table7[[#This Row],[United States 3y]],#N/A)</f>
        <v/>
      </c>
    </row>
    <row r="9819">
      <c r="A9819" s="6">
        <f>Database!$A11904</f>
        <v/>
      </c>
      <c r="B9819">
        <f>IF(VLOOKUP(Table7[[#This Row],[Date]],Database!$A:$C,MATCH($B$1,Database!$A$1:$C$1,),)=0,#N/A,VLOOKUP(Table7[[#This Row],[Date]],Database!$A:$C,MATCH($B$1,Database!$A$1:$C$1,),))</f>
        <v/>
      </c>
      <c r="C9819">
        <f>IF(VLOOKUP(Table7[[#This Row],[Date]],Database!$A:$C,MATCH($C$1,Database!$A$1:$C$1,),)=0,#N/A,VLOOKUP(Table7[[#This Row],[Date]],Database!$A:$C,MATCH($C$1,Database!$A$1:$C$1,),))</f>
        <v/>
      </c>
      <c r="D9819">
        <f>IFERROR(Table7[[#This Row],[United States 10y]]-Table7[[#This Row],[United States 3y]],#N/A)</f>
        <v/>
      </c>
    </row>
    <row r="9820">
      <c r="A9820" s="6">
        <f>Database!$A11905</f>
        <v/>
      </c>
      <c r="B9820">
        <f>IF(VLOOKUP(Table7[[#This Row],[Date]],Database!$A:$C,MATCH($B$1,Database!$A$1:$C$1,),)=0,#N/A,VLOOKUP(Table7[[#This Row],[Date]],Database!$A:$C,MATCH($B$1,Database!$A$1:$C$1,),))</f>
        <v/>
      </c>
      <c r="C9820">
        <f>IF(VLOOKUP(Table7[[#This Row],[Date]],Database!$A:$C,MATCH($C$1,Database!$A$1:$C$1,),)=0,#N/A,VLOOKUP(Table7[[#This Row],[Date]],Database!$A:$C,MATCH($C$1,Database!$A$1:$C$1,),))</f>
        <v/>
      </c>
      <c r="D9820">
        <f>IFERROR(Table7[[#This Row],[United States 10y]]-Table7[[#This Row],[United States 3y]],#N/A)</f>
        <v/>
      </c>
    </row>
    <row r="9821">
      <c r="A9821" s="6">
        <f>Database!$A11906</f>
        <v/>
      </c>
      <c r="B9821">
        <f>IF(VLOOKUP(Table7[[#This Row],[Date]],Database!$A:$C,MATCH($B$1,Database!$A$1:$C$1,),)=0,#N/A,VLOOKUP(Table7[[#This Row],[Date]],Database!$A:$C,MATCH($B$1,Database!$A$1:$C$1,),))</f>
        <v/>
      </c>
      <c r="C9821">
        <f>IF(VLOOKUP(Table7[[#This Row],[Date]],Database!$A:$C,MATCH($C$1,Database!$A$1:$C$1,),)=0,#N/A,VLOOKUP(Table7[[#This Row],[Date]],Database!$A:$C,MATCH($C$1,Database!$A$1:$C$1,),))</f>
        <v/>
      </c>
      <c r="D9821">
        <f>IFERROR(Table7[[#This Row],[United States 10y]]-Table7[[#This Row],[United States 3y]],#N/A)</f>
        <v/>
      </c>
    </row>
    <row r="9822">
      <c r="A9822" s="6">
        <f>Database!$A11907</f>
        <v/>
      </c>
      <c r="B9822">
        <f>IF(VLOOKUP(Table7[[#This Row],[Date]],Database!$A:$C,MATCH($B$1,Database!$A$1:$C$1,),)=0,#N/A,VLOOKUP(Table7[[#This Row],[Date]],Database!$A:$C,MATCH($B$1,Database!$A$1:$C$1,),))</f>
        <v/>
      </c>
      <c r="C9822">
        <f>IF(VLOOKUP(Table7[[#This Row],[Date]],Database!$A:$C,MATCH($C$1,Database!$A$1:$C$1,),)=0,#N/A,VLOOKUP(Table7[[#This Row],[Date]],Database!$A:$C,MATCH($C$1,Database!$A$1:$C$1,),))</f>
        <v/>
      </c>
      <c r="D9822">
        <f>IFERROR(Table7[[#This Row],[United States 10y]]-Table7[[#This Row],[United States 3y]],#N/A)</f>
        <v/>
      </c>
    </row>
    <row r="9823">
      <c r="A9823" s="6">
        <f>Database!$A11908</f>
        <v/>
      </c>
      <c r="B9823">
        <f>IF(VLOOKUP(Table7[[#This Row],[Date]],Database!$A:$C,MATCH($B$1,Database!$A$1:$C$1,),)=0,#N/A,VLOOKUP(Table7[[#This Row],[Date]],Database!$A:$C,MATCH($B$1,Database!$A$1:$C$1,),))</f>
        <v/>
      </c>
      <c r="C9823">
        <f>IF(VLOOKUP(Table7[[#This Row],[Date]],Database!$A:$C,MATCH($C$1,Database!$A$1:$C$1,),)=0,#N/A,VLOOKUP(Table7[[#This Row],[Date]],Database!$A:$C,MATCH($C$1,Database!$A$1:$C$1,),))</f>
        <v/>
      </c>
      <c r="D9823">
        <f>IFERROR(Table7[[#This Row],[United States 10y]]-Table7[[#This Row],[United States 3y]],#N/A)</f>
        <v/>
      </c>
    </row>
    <row r="9824">
      <c r="A9824" s="6">
        <f>Database!$A11909</f>
        <v/>
      </c>
      <c r="B9824">
        <f>IF(VLOOKUP(Table7[[#This Row],[Date]],Database!$A:$C,MATCH($B$1,Database!$A$1:$C$1,),)=0,#N/A,VLOOKUP(Table7[[#This Row],[Date]],Database!$A:$C,MATCH($B$1,Database!$A$1:$C$1,),))</f>
        <v/>
      </c>
      <c r="C9824">
        <f>IF(VLOOKUP(Table7[[#This Row],[Date]],Database!$A:$C,MATCH($C$1,Database!$A$1:$C$1,),)=0,#N/A,VLOOKUP(Table7[[#This Row],[Date]],Database!$A:$C,MATCH($C$1,Database!$A$1:$C$1,),))</f>
        <v/>
      </c>
      <c r="D9824">
        <f>IFERROR(Table7[[#This Row],[United States 10y]]-Table7[[#This Row],[United States 3y]],#N/A)</f>
        <v/>
      </c>
    </row>
    <row r="9825">
      <c r="A9825" s="6">
        <f>Database!$A11910</f>
        <v/>
      </c>
      <c r="B9825">
        <f>IF(VLOOKUP(Table7[[#This Row],[Date]],Database!$A:$C,MATCH($B$1,Database!$A$1:$C$1,),)=0,#N/A,VLOOKUP(Table7[[#This Row],[Date]],Database!$A:$C,MATCH($B$1,Database!$A$1:$C$1,),))</f>
        <v/>
      </c>
      <c r="C9825">
        <f>IF(VLOOKUP(Table7[[#This Row],[Date]],Database!$A:$C,MATCH($C$1,Database!$A$1:$C$1,),)=0,#N/A,VLOOKUP(Table7[[#This Row],[Date]],Database!$A:$C,MATCH($C$1,Database!$A$1:$C$1,),))</f>
        <v/>
      </c>
      <c r="D9825">
        <f>IFERROR(Table7[[#This Row],[United States 10y]]-Table7[[#This Row],[United States 3y]],#N/A)</f>
        <v/>
      </c>
    </row>
    <row r="9826">
      <c r="A9826" s="6">
        <f>Database!$A11911</f>
        <v/>
      </c>
      <c r="B9826">
        <f>IF(VLOOKUP(Table7[[#This Row],[Date]],Database!$A:$C,MATCH($B$1,Database!$A$1:$C$1,),)=0,#N/A,VLOOKUP(Table7[[#This Row],[Date]],Database!$A:$C,MATCH($B$1,Database!$A$1:$C$1,),))</f>
        <v/>
      </c>
      <c r="C9826">
        <f>IF(VLOOKUP(Table7[[#This Row],[Date]],Database!$A:$C,MATCH($C$1,Database!$A$1:$C$1,),)=0,#N/A,VLOOKUP(Table7[[#This Row],[Date]],Database!$A:$C,MATCH($C$1,Database!$A$1:$C$1,),))</f>
        <v/>
      </c>
      <c r="D9826">
        <f>IFERROR(Table7[[#This Row],[United States 10y]]-Table7[[#This Row],[United States 3y]],#N/A)</f>
        <v/>
      </c>
    </row>
    <row r="9827">
      <c r="A9827" s="6">
        <f>Database!$A11912</f>
        <v/>
      </c>
      <c r="B9827">
        <f>IF(VLOOKUP(Table7[[#This Row],[Date]],Database!$A:$C,MATCH($B$1,Database!$A$1:$C$1,),)=0,#N/A,VLOOKUP(Table7[[#This Row],[Date]],Database!$A:$C,MATCH($B$1,Database!$A$1:$C$1,),))</f>
        <v/>
      </c>
      <c r="C9827">
        <f>IF(VLOOKUP(Table7[[#This Row],[Date]],Database!$A:$C,MATCH($C$1,Database!$A$1:$C$1,),)=0,#N/A,VLOOKUP(Table7[[#This Row],[Date]],Database!$A:$C,MATCH($C$1,Database!$A$1:$C$1,),))</f>
        <v/>
      </c>
      <c r="D9827">
        <f>IFERROR(Table7[[#This Row],[United States 10y]]-Table7[[#This Row],[United States 3y]],#N/A)</f>
        <v/>
      </c>
    </row>
    <row r="9828">
      <c r="A9828" s="6">
        <f>Database!$A11913</f>
        <v/>
      </c>
      <c r="B9828">
        <f>IF(VLOOKUP(Table7[[#This Row],[Date]],Database!$A:$C,MATCH($B$1,Database!$A$1:$C$1,),)=0,#N/A,VLOOKUP(Table7[[#This Row],[Date]],Database!$A:$C,MATCH($B$1,Database!$A$1:$C$1,),))</f>
        <v/>
      </c>
      <c r="C9828">
        <f>IF(VLOOKUP(Table7[[#This Row],[Date]],Database!$A:$C,MATCH($C$1,Database!$A$1:$C$1,),)=0,#N/A,VLOOKUP(Table7[[#This Row],[Date]],Database!$A:$C,MATCH($C$1,Database!$A$1:$C$1,),))</f>
        <v/>
      </c>
      <c r="D9828">
        <f>IFERROR(Table7[[#This Row],[United States 10y]]-Table7[[#This Row],[United States 3y]],#N/A)</f>
        <v/>
      </c>
    </row>
    <row r="9829">
      <c r="A9829" s="6">
        <f>Database!$A11914</f>
        <v/>
      </c>
      <c r="B9829">
        <f>IF(VLOOKUP(Table7[[#This Row],[Date]],Database!$A:$C,MATCH($B$1,Database!$A$1:$C$1,),)=0,#N/A,VLOOKUP(Table7[[#This Row],[Date]],Database!$A:$C,MATCH($B$1,Database!$A$1:$C$1,),))</f>
        <v/>
      </c>
      <c r="C9829">
        <f>IF(VLOOKUP(Table7[[#This Row],[Date]],Database!$A:$C,MATCH($C$1,Database!$A$1:$C$1,),)=0,#N/A,VLOOKUP(Table7[[#This Row],[Date]],Database!$A:$C,MATCH($C$1,Database!$A$1:$C$1,),))</f>
        <v/>
      </c>
      <c r="D9829">
        <f>IFERROR(Table7[[#This Row],[United States 10y]]-Table7[[#This Row],[United States 3y]],#N/A)</f>
        <v/>
      </c>
    </row>
    <row r="9830">
      <c r="A9830" s="6">
        <f>Database!$A11915</f>
        <v/>
      </c>
      <c r="B9830">
        <f>IF(VLOOKUP(Table7[[#This Row],[Date]],Database!$A:$C,MATCH($B$1,Database!$A$1:$C$1,),)=0,#N/A,VLOOKUP(Table7[[#This Row],[Date]],Database!$A:$C,MATCH($B$1,Database!$A$1:$C$1,),))</f>
        <v/>
      </c>
      <c r="C9830">
        <f>IF(VLOOKUP(Table7[[#This Row],[Date]],Database!$A:$C,MATCH($C$1,Database!$A$1:$C$1,),)=0,#N/A,VLOOKUP(Table7[[#This Row],[Date]],Database!$A:$C,MATCH($C$1,Database!$A$1:$C$1,),))</f>
        <v/>
      </c>
      <c r="D9830">
        <f>IFERROR(Table7[[#This Row],[United States 10y]]-Table7[[#This Row],[United States 3y]],#N/A)</f>
        <v/>
      </c>
    </row>
    <row r="9831">
      <c r="A9831" s="6">
        <f>Database!$A11916</f>
        <v/>
      </c>
      <c r="B9831">
        <f>IF(VLOOKUP(Table7[[#This Row],[Date]],Database!$A:$C,MATCH($B$1,Database!$A$1:$C$1,),)=0,#N/A,VLOOKUP(Table7[[#This Row],[Date]],Database!$A:$C,MATCH($B$1,Database!$A$1:$C$1,),))</f>
        <v/>
      </c>
      <c r="C9831">
        <f>IF(VLOOKUP(Table7[[#This Row],[Date]],Database!$A:$C,MATCH($C$1,Database!$A$1:$C$1,),)=0,#N/A,VLOOKUP(Table7[[#This Row],[Date]],Database!$A:$C,MATCH($C$1,Database!$A$1:$C$1,),))</f>
        <v/>
      </c>
      <c r="D9831">
        <f>IFERROR(Table7[[#This Row],[United States 10y]]-Table7[[#This Row],[United States 3y]],#N/A)</f>
        <v/>
      </c>
    </row>
    <row r="9832">
      <c r="A9832" s="6">
        <f>Database!$A11917</f>
        <v/>
      </c>
      <c r="B9832">
        <f>IF(VLOOKUP(Table7[[#This Row],[Date]],Database!$A:$C,MATCH($B$1,Database!$A$1:$C$1,),)=0,#N/A,VLOOKUP(Table7[[#This Row],[Date]],Database!$A:$C,MATCH($B$1,Database!$A$1:$C$1,),))</f>
        <v/>
      </c>
      <c r="C9832">
        <f>IF(VLOOKUP(Table7[[#This Row],[Date]],Database!$A:$C,MATCH($C$1,Database!$A$1:$C$1,),)=0,#N/A,VLOOKUP(Table7[[#This Row],[Date]],Database!$A:$C,MATCH($C$1,Database!$A$1:$C$1,),))</f>
        <v/>
      </c>
      <c r="D9832">
        <f>IFERROR(Table7[[#This Row],[United States 10y]]-Table7[[#This Row],[United States 3y]],#N/A)</f>
        <v/>
      </c>
    </row>
    <row r="9833">
      <c r="A9833" s="6">
        <f>Database!$A11918</f>
        <v/>
      </c>
      <c r="B9833">
        <f>IF(VLOOKUP(Table7[[#This Row],[Date]],Database!$A:$C,MATCH($B$1,Database!$A$1:$C$1,),)=0,#N/A,VLOOKUP(Table7[[#This Row],[Date]],Database!$A:$C,MATCH($B$1,Database!$A$1:$C$1,),))</f>
        <v/>
      </c>
      <c r="C9833">
        <f>IF(VLOOKUP(Table7[[#This Row],[Date]],Database!$A:$C,MATCH($C$1,Database!$A$1:$C$1,),)=0,#N/A,VLOOKUP(Table7[[#This Row],[Date]],Database!$A:$C,MATCH($C$1,Database!$A$1:$C$1,),))</f>
        <v/>
      </c>
      <c r="D9833">
        <f>IFERROR(Table7[[#This Row],[United States 10y]]-Table7[[#This Row],[United States 3y]],#N/A)</f>
        <v/>
      </c>
    </row>
    <row r="9834">
      <c r="A9834" s="6">
        <f>Database!$A11919</f>
        <v/>
      </c>
      <c r="B9834">
        <f>IF(VLOOKUP(Table7[[#This Row],[Date]],Database!$A:$C,MATCH($B$1,Database!$A$1:$C$1,),)=0,#N/A,VLOOKUP(Table7[[#This Row],[Date]],Database!$A:$C,MATCH($B$1,Database!$A$1:$C$1,),))</f>
        <v/>
      </c>
      <c r="C9834">
        <f>IF(VLOOKUP(Table7[[#This Row],[Date]],Database!$A:$C,MATCH($C$1,Database!$A$1:$C$1,),)=0,#N/A,VLOOKUP(Table7[[#This Row],[Date]],Database!$A:$C,MATCH($C$1,Database!$A$1:$C$1,),))</f>
        <v/>
      </c>
      <c r="D9834">
        <f>IFERROR(Table7[[#This Row],[United States 10y]]-Table7[[#This Row],[United States 3y]],#N/A)</f>
        <v/>
      </c>
    </row>
    <row r="9835">
      <c r="A9835" s="6">
        <f>Database!$A11920</f>
        <v/>
      </c>
      <c r="B9835">
        <f>IF(VLOOKUP(Table7[[#This Row],[Date]],Database!$A:$C,MATCH($B$1,Database!$A$1:$C$1,),)=0,#N/A,VLOOKUP(Table7[[#This Row],[Date]],Database!$A:$C,MATCH($B$1,Database!$A$1:$C$1,),))</f>
        <v/>
      </c>
      <c r="C9835">
        <f>IF(VLOOKUP(Table7[[#This Row],[Date]],Database!$A:$C,MATCH($C$1,Database!$A$1:$C$1,),)=0,#N/A,VLOOKUP(Table7[[#This Row],[Date]],Database!$A:$C,MATCH($C$1,Database!$A$1:$C$1,),))</f>
        <v/>
      </c>
      <c r="D9835">
        <f>IFERROR(Table7[[#This Row],[United States 10y]]-Table7[[#This Row],[United States 3y]],#N/A)</f>
        <v/>
      </c>
    </row>
    <row r="9836">
      <c r="A9836" s="6">
        <f>Database!$A11921</f>
        <v/>
      </c>
      <c r="B9836">
        <f>IF(VLOOKUP(Table7[[#This Row],[Date]],Database!$A:$C,MATCH($B$1,Database!$A$1:$C$1,),)=0,#N/A,VLOOKUP(Table7[[#This Row],[Date]],Database!$A:$C,MATCH($B$1,Database!$A$1:$C$1,),))</f>
        <v/>
      </c>
      <c r="C9836">
        <f>IF(VLOOKUP(Table7[[#This Row],[Date]],Database!$A:$C,MATCH($C$1,Database!$A$1:$C$1,),)=0,#N/A,VLOOKUP(Table7[[#This Row],[Date]],Database!$A:$C,MATCH($C$1,Database!$A$1:$C$1,),))</f>
        <v/>
      </c>
      <c r="D9836">
        <f>IFERROR(Table7[[#This Row],[United States 10y]]-Table7[[#This Row],[United States 3y]],#N/A)</f>
        <v/>
      </c>
    </row>
    <row r="9837">
      <c r="A9837" s="6">
        <f>Database!$A11922</f>
        <v/>
      </c>
      <c r="B9837">
        <f>IF(VLOOKUP(Table7[[#This Row],[Date]],Database!$A:$C,MATCH($B$1,Database!$A$1:$C$1,),)=0,#N/A,VLOOKUP(Table7[[#This Row],[Date]],Database!$A:$C,MATCH($B$1,Database!$A$1:$C$1,),))</f>
        <v/>
      </c>
      <c r="C9837">
        <f>IF(VLOOKUP(Table7[[#This Row],[Date]],Database!$A:$C,MATCH($C$1,Database!$A$1:$C$1,),)=0,#N/A,VLOOKUP(Table7[[#This Row],[Date]],Database!$A:$C,MATCH($C$1,Database!$A$1:$C$1,),))</f>
        <v/>
      </c>
      <c r="D9837">
        <f>IFERROR(Table7[[#This Row],[United States 10y]]-Table7[[#This Row],[United States 3y]],#N/A)</f>
        <v/>
      </c>
    </row>
    <row r="9838">
      <c r="A9838" s="6">
        <f>Database!$A11923</f>
        <v/>
      </c>
      <c r="B9838">
        <f>IF(VLOOKUP(Table7[[#This Row],[Date]],Database!$A:$C,MATCH($B$1,Database!$A$1:$C$1,),)=0,#N/A,VLOOKUP(Table7[[#This Row],[Date]],Database!$A:$C,MATCH($B$1,Database!$A$1:$C$1,),))</f>
        <v/>
      </c>
      <c r="C9838">
        <f>IF(VLOOKUP(Table7[[#This Row],[Date]],Database!$A:$C,MATCH($C$1,Database!$A$1:$C$1,),)=0,#N/A,VLOOKUP(Table7[[#This Row],[Date]],Database!$A:$C,MATCH($C$1,Database!$A$1:$C$1,),))</f>
        <v/>
      </c>
      <c r="D9838">
        <f>IFERROR(Table7[[#This Row],[United States 10y]]-Table7[[#This Row],[United States 3y]],#N/A)</f>
        <v/>
      </c>
    </row>
    <row r="9839">
      <c r="A9839" s="6">
        <f>Database!$A11924</f>
        <v/>
      </c>
      <c r="B9839">
        <f>IF(VLOOKUP(Table7[[#This Row],[Date]],Database!$A:$C,MATCH($B$1,Database!$A$1:$C$1,),)=0,#N/A,VLOOKUP(Table7[[#This Row],[Date]],Database!$A:$C,MATCH($B$1,Database!$A$1:$C$1,),))</f>
        <v/>
      </c>
      <c r="C9839">
        <f>IF(VLOOKUP(Table7[[#This Row],[Date]],Database!$A:$C,MATCH($C$1,Database!$A$1:$C$1,),)=0,#N/A,VLOOKUP(Table7[[#This Row],[Date]],Database!$A:$C,MATCH($C$1,Database!$A$1:$C$1,),))</f>
        <v/>
      </c>
      <c r="D9839">
        <f>IFERROR(Table7[[#This Row],[United States 10y]]-Table7[[#This Row],[United States 3y]],#N/A)</f>
        <v/>
      </c>
    </row>
    <row r="9840">
      <c r="A9840" s="6">
        <f>Database!$A11925</f>
        <v/>
      </c>
      <c r="B9840">
        <f>IF(VLOOKUP(Table7[[#This Row],[Date]],Database!$A:$C,MATCH($B$1,Database!$A$1:$C$1,),)=0,#N/A,VLOOKUP(Table7[[#This Row],[Date]],Database!$A:$C,MATCH($B$1,Database!$A$1:$C$1,),))</f>
        <v/>
      </c>
      <c r="C9840">
        <f>IF(VLOOKUP(Table7[[#This Row],[Date]],Database!$A:$C,MATCH($C$1,Database!$A$1:$C$1,),)=0,#N/A,VLOOKUP(Table7[[#This Row],[Date]],Database!$A:$C,MATCH($C$1,Database!$A$1:$C$1,),))</f>
        <v/>
      </c>
      <c r="D9840">
        <f>IFERROR(Table7[[#This Row],[United States 10y]]-Table7[[#This Row],[United States 3y]],#N/A)</f>
        <v/>
      </c>
    </row>
    <row r="9841">
      <c r="A9841" s="6">
        <f>Database!$A11926</f>
        <v/>
      </c>
      <c r="B9841">
        <f>IF(VLOOKUP(Table7[[#This Row],[Date]],Database!$A:$C,MATCH($B$1,Database!$A$1:$C$1,),)=0,#N/A,VLOOKUP(Table7[[#This Row],[Date]],Database!$A:$C,MATCH($B$1,Database!$A$1:$C$1,),))</f>
        <v/>
      </c>
      <c r="C9841">
        <f>IF(VLOOKUP(Table7[[#This Row],[Date]],Database!$A:$C,MATCH($C$1,Database!$A$1:$C$1,),)=0,#N/A,VLOOKUP(Table7[[#This Row],[Date]],Database!$A:$C,MATCH($C$1,Database!$A$1:$C$1,),))</f>
        <v/>
      </c>
      <c r="D9841">
        <f>IFERROR(Table7[[#This Row],[United States 10y]]-Table7[[#This Row],[United States 3y]],#N/A)</f>
        <v/>
      </c>
    </row>
    <row r="9842">
      <c r="A9842" s="6">
        <f>Database!$A11927</f>
        <v/>
      </c>
      <c r="B9842">
        <f>IF(VLOOKUP(Table7[[#This Row],[Date]],Database!$A:$C,MATCH($B$1,Database!$A$1:$C$1,),)=0,#N/A,VLOOKUP(Table7[[#This Row],[Date]],Database!$A:$C,MATCH($B$1,Database!$A$1:$C$1,),))</f>
        <v/>
      </c>
      <c r="C9842">
        <f>IF(VLOOKUP(Table7[[#This Row],[Date]],Database!$A:$C,MATCH($C$1,Database!$A$1:$C$1,),)=0,#N/A,VLOOKUP(Table7[[#This Row],[Date]],Database!$A:$C,MATCH($C$1,Database!$A$1:$C$1,),))</f>
        <v/>
      </c>
      <c r="D9842">
        <f>IFERROR(Table7[[#This Row],[United States 10y]]-Table7[[#This Row],[United States 3y]],#N/A)</f>
        <v/>
      </c>
    </row>
    <row r="9843">
      <c r="A9843" s="6">
        <f>Database!$A11928</f>
        <v/>
      </c>
      <c r="B9843">
        <f>IF(VLOOKUP(Table7[[#This Row],[Date]],Database!$A:$C,MATCH($B$1,Database!$A$1:$C$1,),)=0,#N/A,VLOOKUP(Table7[[#This Row],[Date]],Database!$A:$C,MATCH($B$1,Database!$A$1:$C$1,),))</f>
        <v/>
      </c>
      <c r="C9843">
        <f>IF(VLOOKUP(Table7[[#This Row],[Date]],Database!$A:$C,MATCH($C$1,Database!$A$1:$C$1,),)=0,#N/A,VLOOKUP(Table7[[#This Row],[Date]],Database!$A:$C,MATCH($C$1,Database!$A$1:$C$1,),))</f>
        <v/>
      </c>
      <c r="D9843">
        <f>IFERROR(Table7[[#This Row],[United States 10y]]-Table7[[#This Row],[United States 3y]],#N/A)</f>
        <v/>
      </c>
    </row>
    <row r="9844">
      <c r="A9844" s="6">
        <f>Database!$A11929</f>
        <v/>
      </c>
      <c r="B9844">
        <f>IF(VLOOKUP(Table7[[#This Row],[Date]],Database!$A:$C,MATCH($B$1,Database!$A$1:$C$1,),)=0,#N/A,VLOOKUP(Table7[[#This Row],[Date]],Database!$A:$C,MATCH($B$1,Database!$A$1:$C$1,),))</f>
        <v/>
      </c>
      <c r="C9844">
        <f>IF(VLOOKUP(Table7[[#This Row],[Date]],Database!$A:$C,MATCH($C$1,Database!$A$1:$C$1,),)=0,#N/A,VLOOKUP(Table7[[#This Row],[Date]],Database!$A:$C,MATCH($C$1,Database!$A$1:$C$1,),))</f>
        <v/>
      </c>
      <c r="D9844">
        <f>IFERROR(Table7[[#This Row],[United States 10y]]-Table7[[#This Row],[United States 3y]],#N/A)</f>
        <v/>
      </c>
    </row>
    <row r="9845">
      <c r="A9845" s="6">
        <f>Database!$A11930</f>
        <v/>
      </c>
      <c r="B9845">
        <f>IF(VLOOKUP(Table7[[#This Row],[Date]],Database!$A:$C,MATCH($B$1,Database!$A$1:$C$1,),)=0,#N/A,VLOOKUP(Table7[[#This Row],[Date]],Database!$A:$C,MATCH($B$1,Database!$A$1:$C$1,),))</f>
        <v/>
      </c>
      <c r="C9845">
        <f>IF(VLOOKUP(Table7[[#This Row],[Date]],Database!$A:$C,MATCH($C$1,Database!$A$1:$C$1,),)=0,#N/A,VLOOKUP(Table7[[#This Row],[Date]],Database!$A:$C,MATCH($C$1,Database!$A$1:$C$1,),))</f>
        <v/>
      </c>
      <c r="D9845">
        <f>IFERROR(Table7[[#This Row],[United States 10y]]-Table7[[#This Row],[United States 3y]],#N/A)</f>
        <v/>
      </c>
    </row>
    <row r="9846">
      <c r="A9846" s="6">
        <f>Database!$A11931</f>
        <v/>
      </c>
      <c r="B9846">
        <f>IF(VLOOKUP(Table7[[#This Row],[Date]],Database!$A:$C,MATCH($B$1,Database!$A$1:$C$1,),)=0,#N/A,VLOOKUP(Table7[[#This Row],[Date]],Database!$A:$C,MATCH($B$1,Database!$A$1:$C$1,),))</f>
        <v/>
      </c>
      <c r="C9846">
        <f>IF(VLOOKUP(Table7[[#This Row],[Date]],Database!$A:$C,MATCH($C$1,Database!$A$1:$C$1,),)=0,#N/A,VLOOKUP(Table7[[#This Row],[Date]],Database!$A:$C,MATCH($C$1,Database!$A$1:$C$1,),))</f>
        <v/>
      </c>
      <c r="D9846">
        <f>IFERROR(Table7[[#This Row],[United States 10y]]-Table7[[#This Row],[United States 3y]],#N/A)</f>
        <v/>
      </c>
    </row>
    <row r="9847">
      <c r="A9847" s="6">
        <f>Database!$A11932</f>
        <v/>
      </c>
      <c r="B9847">
        <f>IF(VLOOKUP(Table7[[#This Row],[Date]],Database!$A:$C,MATCH($B$1,Database!$A$1:$C$1,),)=0,#N/A,VLOOKUP(Table7[[#This Row],[Date]],Database!$A:$C,MATCH($B$1,Database!$A$1:$C$1,),))</f>
        <v/>
      </c>
      <c r="C9847">
        <f>IF(VLOOKUP(Table7[[#This Row],[Date]],Database!$A:$C,MATCH($C$1,Database!$A$1:$C$1,),)=0,#N/A,VLOOKUP(Table7[[#This Row],[Date]],Database!$A:$C,MATCH($C$1,Database!$A$1:$C$1,),))</f>
        <v/>
      </c>
      <c r="D9847">
        <f>IFERROR(Table7[[#This Row],[United States 10y]]-Table7[[#This Row],[United States 3y]],#N/A)</f>
        <v/>
      </c>
    </row>
    <row r="9848">
      <c r="A9848" s="6">
        <f>Database!$A11933</f>
        <v/>
      </c>
      <c r="B9848">
        <f>IF(VLOOKUP(Table7[[#This Row],[Date]],Database!$A:$C,MATCH($B$1,Database!$A$1:$C$1,),)=0,#N/A,VLOOKUP(Table7[[#This Row],[Date]],Database!$A:$C,MATCH($B$1,Database!$A$1:$C$1,),))</f>
        <v/>
      </c>
      <c r="C9848">
        <f>IF(VLOOKUP(Table7[[#This Row],[Date]],Database!$A:$C,MATCH($C$1,Database!$A$1:$C$1,),)=0,#N/A,VLOOKUP(Table7[[#This Row],[Date]],Database!$A:$C,MATCH($C$1,Database!$A$1:$C$1,),))</f>
        <v/>
      </c>
      <c r="D9848">
        <f>IFERROR(Table7[[#This Row],[United States 10y]]-Table7[[#This Row],[United States 3y]],#N/A)</f>
        <v/>
      </c>
    </row>
    <row r="9849">
      <c r="A9849" s="6">
        <f>Database!$A11934</f>
        <v/>
      </c>
      <c r="B9849">
        <f>IF(VLOOKUP(Table7[[#This Row],[Date]],Database!$A:$C,MATCH($B$1,Database!$A$1:$C$1,),)=0,#N/A,VLOOKUP(Table7[[#This Row],[Date]],Database!$A:$C,MATCH($B$1,Database!$A$1:$C$1,),))</f>
        <v/>
      </c>
      <c r="C9849">
        <f>IF(VLOOKUP(Table7[[#This Row],[Date]],Database!$A:$C,MATCH($C$1,Database!$A$1:$C$1,),)=0,#N/A,VLOOKUP(Table7[[#This Row],[Date]],Database!$A:$C,MATCH($C$1,Database!$A$1:$C$1,),))</f>
        <v/>
      </c>
      <c r="D9849">
        <f>IFERROR(Table7[[#This Row],[United States 10y]]-Table7[[#This Row],[United States 3y]],#N/A)</f>
        <v/>
      </c>
    </row>
    <row r="9850">
      <c r="A9850" s="6">
        <f>Database!$A11935</f>
        <v/>
      </c>
      <c r="B9850">
        <f>IF(VLOOKUP(Table7[[#This Row],[Date]],Database!$A:$C,MATCH($B$1,Database!$A$1:$C$1,),)=0,#N/A,VLOOKUP(Table7[[#This Row],[Date]],Database!$A:$C,MATCH($B$1,Database!$A$1:$C$1,),))</f>
        <v/>
      </c>
      <c r="C9850">
        <f>IF(VLOOKUP(Table7[[#This Row],[Date]],Database!$A:$C,MATCH($C$1,Database!$A$1:$C$1,),)=0,#N/A,VLOOKUP(Table7[[#This Row],[Date]],Database!$A:$C,MATCH($C$1,Database!$A$1:$C$1,),))</f>
        <v/>
      </c>
      <c r="D9850">
        <f>IFERROR(Table7[[#This Row],[United States 10y]]-Table7[[#This Row],[United States 3y]],#N/A)</f>
        <v/>
      </c>
    </row>
    <row r="9851">
      <c r="A9851" s="6">
        <f>Database!$A11936</f>
        <v/>
      </c>
      <c r="B9851">
        <f>IF(VLOOKUP(Table7[[#This Row],[Date]],Database!$A:$C,MATCH($B$1,Database!$A$1:$C$1,),)=0,#N/A,VLOOKUP(Table7[[#This Row],[Date]],Database!$A:$C,MATCH($B$1,Database!$A$1:$C$1,),))</f>
        <v/>
      </c>
      <c r="C9851">
        <f>IF(VLOOKUP(Table7[[#This Row],[Date]],Database!$A:$C,MATCH($C$1,Database!$A$1:$C$1,),)=0,#N/A,VLOOKUP(Table7[[#This Row],[Date]],Database!$A:$C,MATCH($C$1,Database!$A$1:$C$1,),))</f>
        <v/>
      </c>
      <c r="D9851">
        <f>IFERROR(Table7[[#This Row],[United States 10y]]-Table7[[#This Row],[United States 3y]],#N/A)</f>
        <v/>
      </c>
    </row>
    <row r="9852">
      <c r="A9852" s="6">
        <f>Database!$A11937</f>
        <v/>
      </c>
      <c r="B9852">
        <f>IF(VLOOKUP(Table7[[#This Row],[Date]],Database!$A:$C,MATCH($B$1,Database!$A$1:$C$1,),)=0,#N/A,VLOOKUP(Table7[[#This Row],[Date]],Database!$A:$C,MATCH($B$1,Database!$A$1:$C$1,),))</f>
        <v/>
      </c>
      <c r="C9852">
        <f>IF(VLOOKUP(Table7[[#This Row],[Date]],Database!$A:$C,MATCH($C$1,Database!$A$1:$C$1,),)=0,#N/A,VLOOKUP(Table7[[#This Row],[Date]],Database!$A:$C,MATCH($C$1,Database!$A$1:$C$1,),))</f>
        <v/>
      </c>
      <c r="D9852">
        <f>IFERROR(Table7[[#This Row],[United States 10y]]-Table7[[#This Row],[United States 3y]],#N/A)</f>
        <v/>
      </c>
    </row>
    <row r="9853">
      <c r="A9853" s="6">
        <f>Database!$A11938</f>
        <v/>
      </c>
      <c r="B9853">
        <f>IF(VLOOKUP(Table7[[#This Row],[Date]],Database!$A:$C,MATCH($B$1,Database!$A$1:$C$1,),)=0,#N/A,VLOOKUP(Table7[[#This Row],[Date]],Database!$A:$C,MATCH($B$1,Database!$A$1:$C$1,),))</f>
        <v/>
      </c>
      <c r="C9853">
        <f>IF(VLOOKUP(Table7[[#This Row],[Date]],Database!$A:$C,MATCH($C$1,Database!$A$1:$C$1,),)=0,#N/A,VLOOKUP(Table7[[#This Row],[Date]],Database!$A:$C,MATCH($C$1,Database!$A$1:$C$1,),))</f>
        <v/>
      </c>
      <c r="D9853">
        <f>IFERROR(Table7[[#This Row],[United States 10y]]-Table7[[#This Row],[United States 3y]],#N/A)</f>
        <v/>
      </c>
    </row>
    <row r="9854">
      <c r="A9854" s="6">
        <f>Database!$A11939</f>
        <v/>
      </c>
      <c r="B9854">
        <f>IF(VLOOKUP(Table7[[#This Row],[Date]],Database!$A:$C,MATCH($B$1,Database!$A$1:$C$1,),)=0,#N/A,VLOOKUP(Table7[[#This Row],[Date]],Database!$A:$C,MATCH($B$1,Database!$A$1:$C$1,),))</f>
        <v/>
      </c>
      <c r="C9854">
        <f>IF(VLOOKUP(Table7[[#This Row],[Date]],Database!$A:$C,MATCH($C$1,Database!$A$1:$C$1,),)=0,#N/A,VLOOKUP(Table7[[#This Row],[Date]],Database!$A:$C,MATCH($C$1,Database!$A$1:$C$1,),))</f>
        <v/>
      </c>
      <c r="D9854">
        <f>IFERROR(Table7[[#This Row],[United States 10y]]-Table7[[#This Row],[United States 3y]],#N/A)</f>
        <v/>
      </c>
    </row>
    <row r="9855">
      <c r="A9855" s="6">
        <f>Database!$A11940</f>
        <v/>
      </c>
      <c r="B9855">
        <f>IF(VLOOKUP(Table7[[#This Row],[Date]],Database!$A:$C,MATCH($B$1,Database!$A$1:$C$1,),)=0,#N/A,VLOOKUP(Table7[[#This Row],[Date]],Database!$A:$C,MATCH($B$1,Database!$A$1:$C$1,),))</f>
        <v/>
      </c>
      <c r="C9855">
        <f>IF(VLOOKUP(Table7[[#This Row],[Date]],Database!$A:$C,MATCH($C$1,Database!$A$1:$C$1,),)=0,#N/A,VLOOKUP(Table7[[#This Row],[Date]],Database!$A:$C,MATCH($C$1,Database!$A$1:$C$1,),))</f>
        <v/>
      </c>
      <c r="D9855">
        <f>IFERROR(Table7[[#This Row],[United States 10y]]-Table7[[#This Row],[United States 3y]],#N/A)</f>
        <v/>
      </c>
    </row>
    <row r="9856">
      <c r="A9856" s="6">
        <f>Database!$A11941</f>
        <v/>
      </c>
      <c r="B9856">
        <f>IF(VLOOKUP(Table7[[#This Row],[Date]],Database!$A:$C,MATCH($B$1,Database!$A$1:$C$1,),)=0,#N/A,VLOOKUP(Table7[[#This Row],[Date]],Database!$A:$C,MATCH($B$1,Database!$A$1:$C$1,),))</f>
        <v/>
      </c>
      <c r="C9856">
        <f>IF(VLOOKUP(Table7[[#This Row],[Date]],Database!$A:$C,MATCH($C$1,Database!$A$1:$C$1,),)=0,#N/A,VLOOKUP(Table7[[#This Row],[Date]],Database!$A:$C,MATCH($C$1,Database!$A$1:$C$1,),))</f>
        <v/>
      </c>
      <c r="D9856">
        <f>IFERROR(Table7[[#This Row],[United States 10y]]-Table7[[#This Row],[United States 3y]],#N/A)</f>
        <v/>
      </c>
    </row>
    <row r="9857">
      <c r="A9857" s="6">
        <f>Database!$A11942</f>
        <v/>
      </c>
      <c r="B9857">
        <f>IF(VLOOKUP(Table7[[#This Row],[Date]],Database!$A:$C,MATCH($B$1,Database!$A$1:$C$1,),)=0,#N/A,VLOOKUP(Table7[[#This Row],[Date]],Database!$A:$C,MATCH($B$1,Database!$A$1:$C$1,),))</f>
        <v/>
      </c>
      <c r="C9857">
        <f>IF(VLOOKUP(Table7[[#This Row],[Date]],Database!$A:$C,MATCH($C$1,Database!$A$1:$C$1,),)=0,#N/A,VLOOKUP(Table7[[#This Row],[Date]],Database!$A:$C,MATCH($C$1,Database!$A$1:$C$1,),))</f>
        <v/>
      </c>
      <c r="D9857">
        <f>IFERROR(Table7[[#This Row],[United States 10y]]-Table7[[#This Row],[United States 3y]],#N/A)</f>
        <v/>
      </c>
    </row>
    <row r="9858">
      <c r="A9858" s="6">
        <f>Database!$A11943</f>
        <v/>
      </c>
      <c r="B9858">
        <f>IF(VLOOKUP(Table7[[#This Row],[Date]],Database!$A:$C,MATCH($B$1,Database!$A$1:$C$1,),)=0,#N/A,VLOOKUP(Table7[[#This Row],[Date]],Database!$A:$C,MATCH($B$1,Database!$A$1:$C$1,),))</f>
        <v/>
      </c>
      <c r="C9858">
        <f>IF(VLOOKUP(Table7[[#This Row],[Date]],Database!$A:$C,MATCH($C$1,Database!$A$1:$C$1,),)=0,#N/A,VLOOKUP(Table7[[#This Row],[Date]],Database!$A:$C,MATCH($C$1,Database!$A$1:$C$1,),))</f>
        <v/>
      </c>
      <c r="D9858">
        <f>IFERROR(Table7[[#This Row],[United States 10y]]-Table7[[#This Row],[United States 3y]],#N/A)</f>
        <v/>
      </c>
    </row>
    <row r="9859">
      <c r="A9859" s="6">
        <f>Database!$A11944</f>
        <v/>
      </c>
      <c r="B9859">
        <f>IF(VLOOKUP(Table7[[#This Row],[Date]],Database!$A:$C,MATCH($B$1,Database!$A$1:$C$1,),)=0,#N/A,VLOOKUP(Table7[[#This Row],[Date]],Database!$A:$C,MATCH($B$1,Database!$A$1:$C$1,),))</f>
        <v/>
      </c>
      <c r="C9859">
        <f>IF(VLOOKUP(Table7[[#This Row],[Date]],Database!$A:$C,MATCH($C$1,Database!$A$1:$C$1,),)=0,#N/A,VLOOKUP(Table7[[#This Row],[Date]],Database!$A:$C,MATCH($C$1,Database!$A$1:$C$1,),))</f>
        <v/>
      </c>
      <c r="D9859">
        <f>IFERROR(Table7[[#This Row],[United States 10y]]-Table7[[#This Row],[United States 3y]],#N/A)</f>
        <v/>
      </c>
    </row>
    <row r="9860">
      <c r="A9860" s="6">
        <f>Database!$A11945</f>
        <v/>
      </c>
      <c r="B9860">
        <f>IF(VLOOKUP(Table7[[#This Row],[Date]],Database!$A:$C,MATCH($B$1,Database!$A$1:$C$1,),)=0,#N/A,VLOOKUP(Table7[[#This Row],[Date]],Database!$A:$C,MATCH($B$1,Database!$A$1:$C$1,),))</f>
        <v/>
      </c>
      <c r="C9860">
        <f>IF(VLOOKUP(Table7[[#This Row],[Date]],Database!$A:$C,MATCH($C$1,Database!$A$1:$C$1,),)=0,#N/A,VLOOKUP(Table7[[#This Row],[Date]],Database!$A:$C,MATCH($C$1,Database!$A$1:$C$1,),))</f>
        <v/>
      </c>
      <c r="D9860">
        <f>IFERROR(Table7[[#This Row],[United States 10y]]-Table7[[#This Row],[United States 3y]],#N/A)</f>
        <v/>
      </c>
    </row>
    <row r="9861">
      <c r="A9861" s="6">
        <f>Database!$A11946</f>
        <v/>
      </c>
      <c r="B9861">
        <f>IF(VLOOKUP(Table7[[#This Row],[Date]],Database!$A:$C,MATCH($B$1,Database!$A$1:$C$1,),)=0,#N/A,VLOOKUP(Table7[[#This Row],[Date]],Database!$A:$C,MATCH($B$1,Database!$A$1:$C$1,),))</f>
        <v/>
      </c>
      <c r="C9861">
        <f>IF(VLOOKUP(Table7[[#This Row],[Date]],Database!$A:$C,MATCH($C$1,Database!$A$1:$C$1,),)=0,#N/A,VLOOKUP(Table7[[#This Row],[Date]],Database!$A:$C,MATCH($C$1,Database!$A$1:$C$1,),))</f>
        <v/>
      </c>
      <c r="D9861">
        <f>IFERROR(Table7[[#This Row],[United States 10y]]-Table7[[#This Row],[United States 3y]],#N/A)</f>
        <v/>
      </c>
    </row>
    <row r="9862">
      <c r="A9862" s="6">
        <f>Database!$A11947</f>
        <v/>
      </c>
      <c r="B9862">
        <f>IF(VLOOKUP(Table7[[#This Row],[Date]],Database!$A:$C,MATCH($B$1,Database!$A$1:$C$1,),)=0,#N/A,VLOOKUP(Table7[[#This Row],[Date]],Database!$A:$C,MATCH($B$1,Database!$A$1:$C$1,),))</f>
        <v/>
      </c>
      <c r="C9862">
        <f>IF(VLOOKUP(Table7[[#This Row],[Date]],Database!$A:$C,MATCH($C$1,Database!$A$1:$C$1,),)=0,#N/A,VLOOKUP(Table7[[#This Row],[Date]],Database!$A:$C,MATCH($C$1,Database!$A$1:$C$1,),))</f>
        <v/>
      </c>
      <c r="D9862">
        <f>IFERROR(Table7[[#This Row],[United States 10y]]-Table7[[#This Row],[United States 3y]],#N/A)</f>
        <v/>
      </c>
    </row>
    <row r="9863">
      <c r="A9863" s="6">
        <f>Database!$A11948</f>
        <v/>
      </c>
      <c r="B9863">
        <f>IF(VLOOKUP(Table7[[#This Row],[Date]],Database!$A:$C,MATCH($B$1,Database!$A$1:$C$1,),)=0,#N/A,VLOOKUP(Table7[[#This Row],[Date]],Database!$A:$C,MATCH($B$1,Database!$A$1:$C$1,),))</f>
        <v/>
      </c>
      <c r="C9863">
        <f>IF(VLOOKUP(Table7[[#This Row],[Date]],Database!$A:$C,MATCH($C$1,Database!$A$1:$C$1,),)=0,#N/A,VLOOKUP(Table7[[#This Row],[Date]],Database!$A:$C,MATCH($C$1,Database!$A$1:$C$1,),))</f>
        <v/>
      </c>
      <c r="D9863">
        <f>IFERROR(Table7[[#This Row],[United States 10y]]-Table7[[#This Row],[United States 3y]],#N/A)</f>
        <v/>
      </c>
    </row>
    <row r="9864">
      <c r="A9864" s="6">
        <f>Database!$A11949</f>
        <v/>
      </c>
      <c r="B9864">
        <f>IF(VLOOKUP(Table7[[#This Row],[Date]],Database!$A:$C,MATCH($B$1,Database!$A$1:$C$1,),)=0,#N/A,VLOOKUP(Table7[[#This Row],[Date]],Database!$A:$C,MATCH($B$1,Database!$A$1:$C$1,),))</f>
        <v/>
      </c>
      <c r="C9864">
        <f>IF(VLOOKUP(Table7[[#This Row],[Date]],Database!$A:$C,MATCH($C$1,Database!$A$1:$C$1,),)=0,#N/A,VLOOKUP(Table7[[#This Row],[Date]],Database!$A:$C,MATCH($C$1,Database!$A$1:$C$1,),))</f>
        <v/>
      </c>
      <c r="D9864">
        <f>IFERROR(Table7[[#This Row],[United States 10y]]-Table7[[#This Row],[United States 3y]],#N/A)</f>
        <v/>
      </c>
    </row>
    <row r="9865">
      <c r="A9865" s="6">
        <f>Database!$A11950</f>
        <v/>
      </c>
      <c r="B9865">
        <f>IF(VLOOKUP(Table7[[#This Row],[Date]],Database!$A:$C,MATCH($B$1,Database!$A$1:$C$1,),)=0,#N/A,VLOOKUP(Table7[[#This Row],[Date]],Database!$A:$C,MATCH($B$1,Database!$A$1:$C$1,),))</f>
        <v/>
      </c>
      <c r="C9865">
        <f>IF(VLOOKUP(Table7[[#This Row],[Date]],Database!$A:$C,MATCH($C$1,Database!$A$1:$C$1,),)=0,#N/A,VLOOKUP(Table7[[#This Row],[Date]],Database!$A:$C,MATCH($C$1,Database!$A$1:$C$1,),))</f>
        <v/>
      </c>
      <c r="D9865">
        <f>IFERROR(Table7[[#This Row],[United States 10y]]-Table7[[#This Row],[United States 3y]],#N/A)</f>
        <v/>
      </c>
    </row>
    <row r="9866">
      <c r="A9866" s="6">
        <f>Database!$A11951</f>
        <v/>
      </c>
      <c r="B9866">
        <f>IF(VLOOKUP(Table7[[#This Row],[Date]],Database!$A:$C,MATCH($B$1,Database!$A$1:$C$1,),)=0,#N/A,VLOOKUP(Table7[[#This Row],[Date]],Database!$A:$C,MATCH($B$1,Database!$A$1:$C$1,),))</f>
        <v/>
      </c>
      <c r="C9866">
        <f>IF(VLOOKUP(Table7[[#This Row],[Date]],Database!$A:$C,MATCH($C$1,Database!$A$1:$C$1,),)=0,#N/A,VLOOKUP(Table7[[#This Row],[Date]],Database!$A:$C,MATCH($C$1,Database!$A$1:$C$1,),))</f>
        <v/>
      </c>
      <c r="D9866">
        <f>IFERROR(Table7[[#This Row],[United States 10y]]-Table7[[#This Row],[United States 3y]],#N/A)</f>
        <v/>
      </c>
    </row>
    <row r="9867">
      <c r="A9867" s="6">
        <f>Database!$A11952</f>
        <v/>
      </c>
      <c r="B9867">
        <f>IF(VLOOKUP(Table7[[#This Row],[Date]],Database!$A:$C,MATCH($B$1,Database!$A$1:$C$1,),)=0,#N/A,VLOOKUP(Table7[[#This Row],[Date]],Database!$A:$C,MATCH($B$1,Database!$A$1:$C$1,),))</f>
        <v/>
      </c>
      <c r="C9867">
        <f>IF(VLOOKUP(Table7[[#This Row],[Date]],Database!$A:$C,MATCH($C$1,Database!$A$1:$C$1,),)=0,#N/A,VLOOKUP(Table7[[#This Row],[Date]],Database!$A:$C,MATCH($C$1,Database!$A$1:$C$1,),))</f>
        <v/>
      </c>
      <c r="D9867">
        <f>IFERROR(Table7[[#This Row],[United States 10y]]-Table7[[#This Row],[United States 3y]],#N/A)</f>
        <v/>
      </c>
    </row>
    <row r="9868">
      <c r="A9868" s="6">
        <f>Database!$A11953</f>
        <v/>
      </c>
      <c r="B9868">
        <f>IF(VLOOKUP(Table7[[#This Row],[Date]],Database!$A:$C,MATCH($B$1,Database!$A$1:$C$1,),)=0,#N/A,VLOOKUP(Table7[[#This Row],[Date]],Database!$A:$C,MATCH($B$1,Database!$A$1:$C$1,),))</f>
        <v/>
      </c>
      <c r="C9868">
        <f>IF(VLOOKUP(Table7[[#This Row],[Date]],Database!$A:$C,MATCH($C$1,Database!$A$1:$C$1,),)=0,#N/A,VLOOKUP(Table7[[#This Row],[Date]],Database!$A:$C,MATCH($C$1,Database!$A$1:$C$1,),))</f>
        <v/>
      </c>
      <c r="D9868">
        <f>IFERROR(Table7[[#This Row],[United States 10y]]-Table7[[#This Row],[United States 3y]],#N/A)</f>
        <v/>
      </c>
    </row>
    <row r="9869">
      <c r="A9869" s="6">
        <f>Database!$A11954</f>
        <v/>
      </c>
      <c r="B9869">
        <f>IF(VLOOKUP(Table7[[#This Row],[Date]],Database!$A:$C,MATCH($B$1,Database!$A$1:$C$1,),)=0,#N/A,VLOOKUP(Table7[[#This Row],[Date]],Database!$A:$C,MATCH($B$1,Database!$A$1:$C$1,),))</f>
        <v/>
      </c>
      <c r="C9869">
        <f>IF(VLOOKUP(Table7[[#This Row],[Date]],Database!$A:$C,MATCH($C$1,Database!$A$1:$C$1,),)=0,#N/A,VLOOKUP(Table7[[#This Row],[Date]],Database!$A:$C,MATCH($C$1,Database!$A$1:$C$1,),))</f>
        <v/>
      </c>
      <c r="D9869">
        <f>IFERROR(Table7[[#This Row],[United States 10y]]-Table7[[#This Row],[United States 3y]],#N/A)</f>
        <v/>
      </c>
    </row>
    <row r="9870">
      <c r="A9870" s="6">
        <f>Database!$A11955</f>
        <v/>
      </c>
      <c r="B9870">
        <f>IF(VLOOKUP(Table7[[#This Row],[Date]],Database!$A:$C,MATCH($B$1,Database!$A$1:$C$1,),)=0,#N/A,VLOOKUP(Table7[[#This Row],[Date]],Database!$A:$C,MATCH($B$1,Database!$A$1:$C$1,),))</f>
        <v/>
      </c>
      <c r="C9870">
        <f>IF(VLOOKUP(Table7[[#This Row],[Date]],Database!$A:$C,MATCH($C$1,Database!$A$1:$C$1,),)=0,#N/A,VLOOKUP(Table7[[#This Row],[Date]],Database!$A:$C,MATCH($C$1,Database!$A$1:$C$1,),))</f>
        <v/>
      </c>
      <c r="D9870">
        <f>IFERROR(Table7[[#This Row],[United States 10y]]-Table7[[#This Row],[United States 3y]],#N/A)</f>
        <v/>
      </c>
    </row>
    <row r="9871">
      <c r="A9871" s="6">
        <f>Database!$A11956</f>
        <v/>
      </c>
      <c r="B9871">
        <f>IF(VLOOKUP(Table7[[#This Row],[Date]],Database!$A:$C,MATCH($B$1,Database!$A$1:$C$1,),)=0,#N/A,VLOOKUP(Table7[[#This Row],[Date]],Database!$A:$C,MATCH($B$1,Database!$A$1:$C$1,),))</f>
        <v/>
      </c>
      <c r="C9871">
        <f>IF(VLOOKUP(Table7[[#This Row],[Date]],Database!$A:$C,MATCH($C$1,Database!$A$1:$C$1,),)=0,#N/A,VLOOKUP(Table7[[#This Row],[Date]],Database!$A:$C,MATCH($C$1,Database!$A$1:$C$1,),))</f>
        <v/>
      </c>
      <c r="D9871">
        <f>IFERROR(Table7[[#This Row],[United States 10y]]-Table7[[#This Row],[United States 3y]],#N/A)</f>
        <v/>
      </c>
    </row>
    <row r="9872">
      <c r="A9872" s="6">
        <f>Database!$A11957</f>
        <v/>
      </c>
      <c r="B9872">
        <f>IF(VLOOKUP(Table7[[#This Row],[Date]],Database!$A:$C,MATCH($B$1,Database!$A$1:$C$1,),)=0,#N/A,VLOOKUP(Table7[[#This Row],[Date]],Database!$A:$C,MATCH($B$1,Database!$A$1:$C$1,),))</f>
        <v/>
      </c>
      <c r="C9872">
        <f>IF(VLOOKUP(Table7[[#This Row],[Date]],Database!$A:$C,MATCH($C$1,Database!$A$1:$C$1,),)=0,#N/A,VLOOKUP(Table7[[#This Row],[Date]],Database!$A:$C,MATCH($C$1,Database!$A$1:$C$1,),))</f>
        <v/>
      </c>
      <c r="D9872">
        <f>IFERROR(Table7[[#This Row],[United States 10y]]-Table7[[#This Row],[United States 3y]],#N/A)</f>
        <v/>
      </c>
    </row>
    <row r="9873">
      <c r="A9873" s="6">
        <f>Database!$A11958</f>
        <v/>
      </c>
      <c r="B9873">
        <f>IF(VLOOKUP(Table7[[#This Row],[Date]],Database!$A:$C,MATCH($B$1,Database!$A$1:$C$1,),)=0,#N/A,VLOOKUP(Table7[[#This Row],[Date]],Database!$A:$C,MATCH($B$1,Database!$A$1:$C$1,),))</f>
        <v/>
      </c>
      <c r="C9873">
        <f>IF(VLOOKUP(Table7[[#This Row],[Date]],Database!$A:$C,MATCH($C$1,Database!$A$1:$C$1,),)=0,#N/A,VLOOKUP(Table7[[#This Row],[Date]],Database!$A:$C,MATCH($C$1,Database!$A$1:$C$1,),))</f>
        <v/>
      </c>
      <c r="D9873">
        <f>IFERROR(Table7[[#This Row],[United States 10y]]-Table7[[#This Row],[United States 3y]],#N/A)</f>
        <v/>
      </c>
    </row>
    <row r="9874">
      <c r="A9874" s="6">
        <f>Database!$A11959</f>
        <v/>
      </c>
      <c r="B9874">
        <f>IF(VLOOKUP(Table7[[#This Row],[Date]],Database!$A:$C,MATCH($B$1,Database!$A$1:$C$1,),)=0,#N/A,VLOOKUP(Table7[[#This Row],[Date]],Database!$A:$C,MATCH($B$1,Database!$A$1:$C$1,),))</f>
        <v/>
      </c>
      <c r="C9874">
        <f>IF(VLOOKUP(Table7[[#This Row],[Date]],Database!$A:$C,MATCH($C$1,Database!$A$1:$C$1,),)=0,#N/A,VLOOKUP(Table7[[#This Row],[Date]],Database!$A:$C,MATCH($C$1,Database!$A$1:$C$1,),))</f>
        <v/>
      </c>
      <c r="D9874">
        <f>IFERROR(Table7[[#This Row],[United States 10y]]-Table7[[#This Row],[United States 3y]],#N/A)</f>
        <v/>
      </c>
    </row>
    <row r="9875">
      <c r="A9875" s="6">
        <f>Database!$A11960</f>
        <v/>
      </c>
      <c r="B9875">
        <f>IF(VLOOKUP(Table7[[#This Row],[Date]],Database!$A:$C,MATCH($B$1,Database!$A$1:$C$1,),)=0,#N/A,VLOOKUP(Table7[[#This Row],[Date]],Database!$A:$C,MATCH($B$1,Database!$A$1:$C$1,),))</f>
        <v/>
      </c>
      <c r="C9875">
        <f>IF(VLOOKUP(Table7[[#This Row],[Date]],Database!$A:$C,MATCH($C$1,Database!$A$1:$C$1,),)=0,#N/A,VLOOKUP(Table7[[#This Row],[Date]],Database!$A:$C,MATCH($C$1,Database!$A$1:$C$1,),))</f>
        <v/>
      </c>
      <c r="D9875">
        <f>IFERROR(Table7[[#This Row],[United States 10y]]-Table7[[#This Row],[United States 3y]],#N/A)</f>
        <v/>
      </c>
    </row>
    <row r="9876">
      <c r="A9876" s="6">
        <f>Database!$A11961</f>
        <v/>
      </c>
      <c r="B9876">
        <f>IF(VLOOKUP(Table7[[#This Row],[Date]],Database!$A:$C,MATCH($B$1,Database!$A$1:$C$1,),)=0,#N/A,VLOOKUP(Table7[[#This Row],[Date]],Database!$A:$C,MATCH($B$1,Database!$A$1:$C$1,),))</f>
        <v/>
      </c>
      <c r="C9876">
        <f>IF(VLOOKUP(Table7[[#This Row],[Date]],Database!$A:$C,MATCH($C$1,Database!$A$1:$C$1,),)=0,#N/A,VLOOKUP(Table7[[#This Row],[Date]],Database!$A:$C,MATCH($C$1,Database!$A$1:$C$1,),))</f>
        <v/>
      </c>
      <c r="D9876">
        <f>IFERROR(Table7[[#This Row],[United States 10y]]-Table7[[#This Row],[United States 3y]],#N/A)</f>
        <v/>
      </c>
    </row>
    <row r="9877">
      <c r="A9877" s="6">
        <f>Database!$A11962</f>
        <v/>
      </c>
      <c r="B9877">
        <f>IF(VLOOKUP(Table7[[#This Row],[Date]],Database!$A:$C,MATCH($B$1,Database!$A$1:$C$1,),)=0,#N/A,VLOOKUP(Table7[[#This Row],[Date]],Database!$A:$C,MATCH($B$1,Database!$A$1:$C$1,),))</f>
        <v/>
      </c>
      <c r="C9877">
        <f>IF(VLOOKUP(Table7[[#This Row],[Date]],Database!$A:$C,MATCH($C$1,Database!$A$1:$C$1,),)=0,#N/A,VLOOKUP(Table7[[#This Row],[Date]],Database!$A:$C,MATCH($C$1,Database!$A$1:$C$1,),))</f>
        <v/>
      </c>
      <c r="D9877">
        <f>IFERROR(Table7[[#This Row],[United States 10y]]-Table7[[#This Row],[United States 3y]],#N/A)</f>
        <v/>
      </c>
    </row>
    <row r="9878">
      <c r="A9878" s="6">
        <f>Database!$A11963</f>
        <v/>
      </c>
      <c r="B9878">
        <f>IF(VLOOKUP(Table7[[#This Row],[Date]],Database!$A:$C,MATCH($B$1,Database!$A$1:$C$1,),)=0,#N/A,VLOOKUP(Table7[[#This Row],[Date]],Database!$A:$C,MATCH($B$1,Database!$A$1:$C$1,),))</f>
        <v/>
      </c>
      <c r="C9878">
        <f>IF(VLOOKUP(Table7[[#This Row],[Date]],Database!$A:$C,MATCH($C$1,Database!$A$1:$C$1,),)=0,#N/A,VLOOKUP(Table7[[#This Row],[Date]],Database!$A:$C,MATCH($C$1,Database!$A$1:$C$1,),))</f>
        <v/>
      </c>
      <c r="D9878">
        <f>IFERROR(Table7[[#This Row],[United States 10y]]-Table7[[#This Row],[United States 3y]],#N/A)</f>
        <v/>
      </c>
    </row>
    <row r="9879">
      <c r="A9879" s="6">
        <f>Database!$A11964</f>
        <v/>
      </c>
      <c r="B9879">
        <f>IF(VLOOKUP(Table7[[#This Row],[Date]],Database!$A:$C,MATCH($B$1,Database!$A$1:$C$1,),)=0,#N/A,VLOOKUP(Table7[[#This Row],[Date]],Database!$A:$C,MATCH($B$1,Database!$A$1:$C$1,),))</f>
        <v/>
      </c>
      <c r="C9879">
        <f>IF(VLOOKUP(Table7[[#This Row],[Date]],Database!$A:$C,MATCH($C$1,Database!$A$1:$C$1,),)=0,#N/A,VLOOKUP(Table7[[#This Row],[Date]],Database!$A:$C,MATCH($C$1,Database!$A$1:$C$1,),))</f>
        <v/>
      </c>
      <c r="D9879">
        <f>IFERROR(Table7[[#This Row],[United States 10y]]-Table7[[#This Row],[United States 3y]],#N/A)</f>
        <v/>
      </c>
    </row>
    <row r="9880">
      <c r="A9880" s="6">
        <f>Database!$A11965</f>
        <v/>
      </c>
      <c r="B9880">
        <f>IF(VLOOKUP(Table7[[#This Row],[Date]],Database!$A:$C,MATCH($B$1,Database!$A$1:$C$1,),)=0,#N/A,VLOOKUP(Table7[[#This Row],[Date]],Database!$A:$C,MATCH($B$1,Database!$A$1:$C$1,),))</f>
        <v/>
      </c>
      <c r="C9880">
        <f>IF(VLOOKUP(Table7[[#This Row],[Date]],Database!$A:$C,MATCH($C$1,Database!$A$1:$C$1,),)=0,#N/A,VLOOKUP(Table7[[#This Row],[Date]],Database!$A:$C,MATCH($C$1,Database!$A$1:$C$1,),))</f>
        <v/>
      </c>
      <c r="D9880">
        <f>IFERROR(Table7[[#This Row],[United States 10y]]-Table7[[#This Row],[United States 3y]],#N/A)</f>
        <v/>
      </c>
    </row>
    <row r="9881">
      <c r="A9881" s="6">
        <f>Database!$A11966</f>
        <v/>
      </c>
      <c r="B9881">
        <f>IF(VLOOKUP(Table7[[#This Row],[Date]],Database!$A:$C,MATCH($B$1,Database!$A$1:$C$1,),)=0,#N/A,VLOOKUP(Table7[[#This Row],[Date]],Database!$A:$C,MATCH($B$1,Database!$A$1:$C$1,),))</f>
        <v/>
      </c>
      <c r="C9881">
        <f>IF(VLOOKUP(Table7[[#This Row],[Date]],Database!$A:$C,MATCH($C$1,Database!$A$1:$C$1,),)=0,#N/A,VLOOKUP(Table7[[#This Row],[Date]],Database!$A:$C,MATCH($C$1,Database!$A$1:$C$1,),))</f>
        <v/>
      </c>
      <c r="D9881">
        <f>IFERROR(Table7[[#This Row],[United States 10y]]-Table7[[#This Row],[United States 3y]],#N/A)</f>
        <v/>
      </c>
    </row>
    <row r="9882">
      <c r="A9882" s="6">
        <f>Database!$A11967</f>
        <v/>
      </c>
      <c r="B9882">
        <f>IF(VLOOKUP(Table7[[#This Row],[Date]],Database!$A:$C,MATCH($B$1,Database!$A$1:$C$1,),)=0,#N/A,VLOOKUP(Table7[[#This Row],[Date]],Database!$A:$C,MATCH($B$1,Database!$A$1:$C$1,),))</f>
        <v/>
      </c>
      <c r="C9882">
        <f>IF(VLOOKUP(Table7[[#This Row],[Date]],Database!$A:$C,MATCH($C$1,Database!$A$1:$C$1,),)=0,#N/A,VLOOKUP(Table7[[#This Row],[Date]],Database!$A:$C,MATCH($C$1,Database!$A$1:$C$1,),))</f>
        <v/>
      </c>
      <c r="D9882">
        <f>IFERROR(Table7[[#This Row],[United States 10y]]-Table7[[#This Row],[United States 3y]],#N/A)</f>
        <v/>
      </c>
    </row>
    <row r="9883">
      <c r="A9883" s="6">
        <f>Database!$A11968</f>
        <v/>
      </c>
      <c r="B9883">
        <f>IF(VLOOKUP(Table7[[#This Row],[Date]],Database!$A:$C,MATCH($B$1,Database!$A$1:$C$1,),)=0,#N/A,VLOOKUP(Table7[[#This Row],[Date]],Database!$A:$C,MATCH($B$1,Database!$A$1:$C$1,),))</f>
        <v/>
      </c>
      <c r="C9883">
        <f>IF(VLOOKUP(Table7[[#This Row],[Date]],Database!$A:$C,MATCH($C$1,Database!$A$1:$C$1,),)=0,#N/A,VLOOKUP(Table7[[#This Row],[Date]],Database!$A:$C,MATCH($C$1,Database!$A$1:$C$1,),))</f>
        <v/>
      </c>
      <c r="D9883">
        <f>IFERROR(Table7[[#This Row],[United States 10y]]-Table7[[#This Row],[United States 3y]],#N/A)</f>
        <v/>
      </c>
    </row>
    <row r="9884">
      <c r="A9884" s="6">
        <f>Database!$A11969</f>
        <v/>
      </c>
      <c r="B9884">
        <f>IF(VLOOKUP(Table7[[#This Row],[Date]],Database!$A:$C,MATCH($B$1,Database!$A$1:$C$1,),)=0,#N/A,VLOOKUP(Table7[[#This Row],[Date]],Database!$A:$C,MATCH($B$1,Database!$A$1:$C$1,),))</f>
        <v/>
      </c>
      <c r="C9884">
        <f>IF(VLOOKUP(Table7[[#This Row],[Date]],Database!$A:$C,MATCH($C$1,Database!$A$1:$C$1,),)=0,#N/A,VLOOKUP(Table7[[#This Row],[Date]],Database!$A:$C,MATCH($C$1,Database!$A$1:$C$1,),))</f>
        <v/>
      </c>
      <c r="D9884">
        <f>IFERROR(Table7[[#This Row],[United States 10y]]-Table7[[#This Row],[United States 3y]],#N/A)</f>
        <v/>
      </c>
    </row>
    <row r="9885">
      <c r="A9885" s="6">
        <f>Database!$A11970</f>
        <v/>
      </c>
      <c r="B9885">
        <f>IF(VLOOKUP(Table7[[#This Row],[Date]],Database!$A:$C,MATCH($B$1,Database!$A$1:$C$1,),)=0,#N/A,VLOOKUP(Table7[[#This Row],[Date]],Database!$A:$C,MATCH($B$1,Database!$A$1:$C$1,),))</f>
        <v/>
      </c>
      <c r="C9885">
        <f>IF(VLOOKUP(Table7[[#This Row],[Date]],Database!$A:$C,MATCH($C$1,Database!$A$1:$C$1,),)=0,#N/A,VLOOKUP(Table7[[#This Row],[Date]],Database!$A:$C,MATCH($C$1,Database!$A$1:$C$1,),))</f>
        <v/>
      </c>
      <c r="D9885">
        <f>IFERROR(Table7[[#This Row],[United States 10y]]-Table7[[#This Row],[United States 3y]],#N/A)</f>
        <v/>
      </c>
    </row>
    <row r="9886">
      <c r="A9886" s="6">
        <f>Database!$A11971</f>
        <v/>
      </c>
      <c r="B9886">
        <f>IF(VLOOKUP(Table7[[#This Row],[Date]],Database!$A:$C,MATCH($B$1,Database!$A$1:$C$1,),)=0,#N/A,VLOOKUP(Table7[[#This Row],[Date]],Database!$A:$C,MATCH($B$1,Database!$A$1:$C$1,),))</f>
        <v/>
      </c>
      <c r="C9886">
        <f>IF(VLOOKUP(Table7[[#This Row],[Date]],Database!$A:$C,MATCH($C$1,Database!$A$1:$C$1,),)=0,#N/A,VLOOKUP(Table7[[#This Row],[Date]],Database!$A:$C,MATCH($C$1,Database!$A$1:$C$1,),))</f>
        <v/>
      </c>
      <c r="D9886">
        <f>IFERROR(Table7[[#This Row],[United States 10y]]-Table7[[#This Row],[United States 3y]],#N/A)</f>
        <v/>
      </c>
    </row>
    <row r="9887">
      <c r="A9887" s="6">
        <f>Database!$A11972</f>
        <v/>
      </c>
      <c r="B9887">
        <f>IF(VLOOKUP(Table7[[#This Row],[Date]],Database!$A:$C,MATCH($B$1,Database!$A$1:$C$1,),)=0,#N/A,VLOOKUP(Table7[[#This Row],[Date]],Database!$A:$C,MATCH($B$1,Database!$A$1:$C$1,),))</f>
        <v/>
      </c>
      <c r="C9887">
        <f>IF(VLOOKUP(Table7[[#This Row],[Date]],Database!$A:$C,MATCH($C$1,Database!$A$1:$C$1,),)=0,#N/A,VLOOKUP(Table7[[#This Row],[Date]],Database!$A:$C,MATCH($C$1,Database!$A$1:$C$1,),))</f>
        <v/>
      </c>
      <c r="D9887">
        <f>IFERROR(Table7[[#This Row],[United States 10y]]-Table7[[#This Row],[United States 3y]],#N/A)</f>
        <v/>
      </c>
    </row>
    <row r="9888">
      <c r="A9888" s="6">
        <f>Database!$A11973</f>
        <v/>
      </c>
      <c r="B9888">
        <f>IF(VLOOKUP(Table7[[#This Row],[Date]],Database!$A:$C,MATCH($B$1,Database!$A$1:$C$1,),)=0,#N/A,VLOOKUP(Table7[[#This Row],[Date]],Database!$A:$C,MATCH($B$1,Database!$A$1:$C$1,),))</f>
        <v/>
      </c>
      <c r="C9888">
        <f>IF(VLOOKUP(Table7[[#This Row],[Date]],Database!$A:$C,MATCH($C$1,Database!$A$1:$C$1,),)=0,#N/A,VLOOKUP(Table7[[#This Row],[Date]],Database!$A:$C,MATCH($C$1,Database!$A$1:$C$1,),))</f>
        <v/>
      </c>
      <c r="D9888">
        <f>IFERROR(Table7[[#This Row],[United States 10y]]-Table7[[#This Row],[United States 3y]],#N/A)</f>
        <v/>
      </c>
    </row>
    <row r="9889">
      <c r="A9889" s="6">
        <f>Database!$A11974</f>
        <v/>
      </c>
      <c r="B9889">
        <f>IF(VLOOKUP(Table7[[#This Row],[Date]],Database!$A:$C,MATCH($B$1,Database!$A$1:$C$1,),)=0,#N/A,VLOOKUP(Table7[[#This Row],[Date]],Database!$A:$C,MATCH($B$1,Database!$A$1:$C$1,),))</f>
        <v/>
      </c>
      <c r="C9889">
        <f>IF(VLOOKUP(Table7[[#This Row],[Date]],Database!$A:$C,MATCH($C$1,Database!$A$1:$C$1,),)=0,#N/A,VLOOKUP(Table7[[#This Row],[Date]],Database!$A:$C,MATCH($C$1,Database!$A$1:$C$1,),))</f>
        <v/>
      </c>
      <c r="D9889">
        <f>IFERROR(Table7[[#This Row],[United States 10y]]-Table7[[#This Row],[United States 3y]],#N/A)</f>
        <v/>
      </c>
    </row>
    <row r="9890">
      <c r="A9890" s="6">
        <f>Database!$A11975</f>
        <v/>
      </c>
      <c r="B9890">
        <f>IF(VLOOKUP(Table7[[#This Row],[Date]],Database!$A:$C,MATCH($B$1,Database!$A$1:$C$1,),)=0,#N/A,VLOOKUP(Table7[[#This Row],[Date]],Database!$A:$C,MATCH($B$1,Database!$A$1:$C$1,),))</f>
        <v/>
      </c>
      <c r="C9890">
        <f>IF(VLOOKUP(Table7[[#This Row],[Date]],Database!$A:$C,MATCH($C$1,Database!$A$1:$C$1,),)=0,#N/A,VLOOKUP(Table7[[#This Row],[Date]],Database!$A:$C,MATCH($C$1,Database!$A$1:$C$1,),))</f>
        <v/>
      </c>
      <c r="D9890">
        <f>IFERROR(Table7[[#This Row],[United States 10y]]-Table7[[#This Row],[United States 3y]],#N/A)</f>
        <v/>
      </c>
    </row>
    <row r="9891">
      <c r="A9891" s="6">
        <f>Database!$A11976</f>
        <v/>
      </c>
      <c r="B9891">
        <f>IF(VLOOKUP(Table7[[#This Row],[Date]],Database!$A:$C,MATCH($B$1,Database!$A$1:$C$1,),)=0,#N/A,VLOOKUP(Table7[[#This Row],[Date]],Database!$A:$C,MATCH($B$1,Database!$A$1:$C$1,),))</f>
        <v/>
      </c>
      <c r="C9891">
        <f>IF(VLOOKUP(Table7[[#This Row],[Date]],Database!$A:$C,MATCH($C$1,Database!$A$1:$C$1,),)=0,#N/A,VLOOKUP(Table7[[#This Row],[Date]],Database!$A:$C,MATCH($C$1,Database!$A$1:$C$1,),))</f>
        <v/>
      </c>
      <c r="D9891">
        <f>IFERROR(Table7[[#This Row],[United States 10y]]-Table7[[#This Row],[United States 3y]],#N/A)</f>
        <v/>
      </c>
    </row>
    <row r="9892">
      <c r="A9892" s="6">
        <f>Database!$A11977</f>
        <v/>
      </c>
      <c r="B9892">
        <f>IF(VLOOKUP(Table7[[#This Row],[Date]],Database!$A:$C,MATCH($B$1,Database!$A$1:$C$1,),)=0,#N/A,VLOOKUP(Table7[[#This Row],[Date]],Database!$A:$C,MATCH($B$1,Database!$A$1:$C$1,),))</f>
        <v/>
      </c>
      <c r="C9892">
        <f>IF(VLOOKUP(Table7[[#This Row],[Date]],Database!$A:$C,MATCH($C$1,Database!$A$1:$C$1,),)=0,#N/A,VLOOKUP(Table7[[#This Row],[Date]],Database!$A:$C,MATCH($C$1,Database!$A$1:$C$1,),))</f>
        <v/>
      </c>
      <c r="D9892">
        <f>IFERROR(Table7[[#This Row],[United States 10y]]-Table7[[#This Row],[United States 3y]],#N/A)</f>
        <v/>
      </c>
    </row>
    <row r="9893">
      <c r="A9893" s="6">
        <f>Database!$A11978</f>
        <v/>
      </c>
      <c r="B9893">
        <f>IF(VLOOKUP(Table7[[#This Row],[Date]],Database!$A:$C,MATCH($B$1,Database!$A$1:$C$1,),)=0,#N/A,VLOOKUP(Table7[[#This Row],[Date]],Database!$A:$C,MATCH($B$1,Database!$A$1:$C$1,),))</f>
        <v/>
      </c>
      <c r="C9893">
        <f>IF(VLOOKUP(Table7[[#This Row],[Date]],Database!$A:$C,MATCH($C$1,Database!$A$1:$C$1,),)=0,#N/A,VLOOKUP(Table7[[#This Row],[Date]],Database!$A:$C,MATCH($C$1,Database!$A$1:$C$1,),))</f>
        <v/>
      </c>
      <c r="D9893">
        <f>IFERROR(Table7[[#This Row],[United States 10y]]-Table7[[#This Row],[United States 3y]],#N/A)</f>
        <v/>
      </c>
    </row>
    <row r="9894">
      <c r="A9894" s="6">
        <f>Database!$A11979</f>
        <v/>
      </c>
      <c r="B9894">
        <f>IF(VLOOKUP(Table7[[#This Row],[Date]],Database!$A:$C,MATCH($B$1,Database!$A$1:$C$1,),)=0,#N/A,VLOOKUP(Table7[[#This Row],[Date]],Database!$A:$C,MATCH($B$1,Database!$A$1:$C$1,),))</f>
        <v/>
      </c>
      <c r="C9894">
        <f>IF(VLOOKUP(Table7[[#This Row],[Date]],Database!$A:$C,MATCH($C$1,Database!$A$1:$C$1,),)=0,#N/A,VLOOKUP(Table7[[#This Row],[Date]],Database!$A:$C,MATCH($C$1,Database!$A$1:$C$1,),))</f>
        <v/>
      </c>
      <c r="D9894">
        <f>IFERROR(Table7[[#This Row],[United States 10y]]-Table7[[#This Row],[United States 3y]],#N/A)</f>
        <v/>
      </c>
    </row>
    <row r="9895">
      <c r="A9895" s="6">
        <f>Database!$A11980</f>
        <v/>
      </c>
      <c r="B9895">
        <f>IF(VLOOKUP(Table7[[#This Row],[Date]],Database!$A:$C,MATCH($B$1,Database!$A$1:$C$1,),)=0,#N/A,VLOOKUP(Table7[[#This Row],[Date]],Database!$A:$C,MATCH($B$1,Database!$A$1:$C$1,),))</f>
        <v/>
      </c>
      <c r="C9895">
        <f>IF(VLOOKUP(Table7[[#This Row],[Date]],Database!$A:$C,MATCH($C$1,Database!$A$1:$C$1,),)=0,#N/A,VLOOKUP(Table7[[#This Row],[Date]],Database!$A:$C,MATCH($C$1,Database!$A$1:$C$1,),))</f>
        <v/>
      </c>
      <c r="D9895">
        <f>IFERROR(Table7[[#This Row],[United States 10y]]-Table7[[#This Row],[United States 3y]],#N/A)</f>
        <v/>
      </c>
    </row>
    <row r="9896">
      <c r="A9896" s="6">
        <f>Database!$A11981</f>
        <v/>
      </c>
      <c r="B9896">
        <f>IF(VLOOKUP(Table7[[#This Row],[Date]],Database!$A:$C,MATCH($B$1,Database!$A$1:$C$1,),)=0,#N/A,VLOOKUP(Table7[[#This Row],[Date]],Database!$A:$C,MATCH($B$1,Database!$A$1:$C$1,),))</f>
        <v/>
      </c>
      <c r="C9896">
        <f>IF(VLOOKUP(Table7[[#This Row],[Date]],Database!$A:$C,MATCH($C$1,Database!$A$1:$C$1,),)=0,#N/A,VLOOKUP(Table7[[#This Row],[Date]],Database!$A:$C,MATCH($C$1,Database!$A$1:$C$1,),))</f>
        <v/>
      </c>
      <c r="D9896">
        <f>IFERROR(Table7[[#This Row],[United States 10y]]-Table7[[#This Row],[United States 3y]],#N/A)</f>
        <v/>
      </c>
    </row>
    <row r="9897">
      <c r="A9897" s="6">
        <f>Database!$A11982</f>
        <v/>
      </c>
      <c r="B9897">
        <f>IF(VLOOKUP(Table7[[#This Row],[Date]],Database!$A:$C,MATCH($B$1,Database!$A$1:$C$1,),)=0,#N/A,VLOOKUP(Table7[[#This Row],[Date]],Database!$A:$C,MATCH($B$1,Database!$A$1:$C$1,),))</f>
        <v/>
      </c>
      <c r="C9897">
        <f>IF(VLOOKUP(Table7[[#This Row],[Date]],Database!$A:$C,MATCH($C$1,Database!$A$1:$C$1,),)=0,#N/A,VLOOKUP(Table7[[#This Row],[Date]],Database!$A:$C,MATCH($C$1,Database!$A$1:$C$1,),))</f>
        <v/>
      </c>
      <c r="D9897">
        <f>IFERROR(Table7[[#This Row],[United States 10y]]-Table7[[#This Row],[United States 3y]],#N/A)</f>
        <v/>
      </c>
    </row>
    <row r="9898">
      <c r="A9898" s="6">
        <f>Database!$A11983</f>
        <v/>
      </c>
      <c r="B9898">
        <f>IF(VLOOKUP(Table7[[#This Row],[Date]],Database!$A:$C,MATCH($B$1,Database!$A$1:$C$1,),)=0,#N/A,VLOOKUP(Table7[[#This Row],[Date]],Database!$A:$C,MATCH($B$1,Database!$A$1:$C$1,),))</f>
        <v/>
      </c>
      <c r="C9898">
        <f>IF(VLOOKUP(Table7[[#This Row],[Date]],Database!$A:$C,MATCH($C$1,Database!$A$1:$C$1,),)=0,#N/A,VLOOKUP(Table7[[#This Row],[Date]],Database!$A:$C,MATCH($C$1,Database!$A$1:$C$1,),))</f>
        <v/>
      </c>
      <c r="D9898">
        <f>IFERROR(Table7[[#This Row],[United States 10y]]-Table7[[#This Row],[United States 3y]],#N/A)</f>
        <v/>
      </c>
    </row>
    <row r="9899">
      <c r="A9899" s="6">
        <f>Database!$A11984</f>
        <v/>
      </c>
      <c r="B9899">
        <f>IF(VLOOKUP(Table7[[#This Row],[Date]],Database!$A:$C,MATCH($B$1,Database!$A$1:$C$1,),)=0,#N/A,VLOOKUP(Table7[[#This Row],[Date]],Database!$A:$C,MATCH($B$1,Database!$A$1:$C$1,),))</f>
        <v/>
      </c>
      <c r="C9899">
        <f>IF(VLOOKUP(Table7[[#This Row],[Date]],Database!$A:$C,MATCH($C$1,Database!$A$1:$C$1,),)=0,#N/A,VLOOKUP(Table7[[#This Row],[Date]],Database!$A:$C,MATCH($C$1,Database!$A$1:$C$1,),))</f>
        <v/>
      </c>
      <c r="D9899">
        <f>IFERROR(Table7[[#This Row],[United States 10y]]-Table7[[#This Row],[United States 3y]],#N/A)</f>
        <v/>
      </c>
    </row>
    <row r="9900">
      <c r="A9900" s="6">
        <f>Database!$A11985</f>
        <v/>
      </c>
      <c r="B9900">
        <f>IF(VLOOKUP(Table7[[#This Row],[Date]],Database!$A:$C,MATCH($B$1,Database!$A$1:$C$1,),)=0,#N/A,VLOOKUP(Table7[[#This Row],[Date]],Database!$A:$C,MATCH($B$1,Database!$A$1:$C$1,),))</f>
        <v/>
      </c>
      <c r="C9900">
        <f>IF(VLOOKUP(Table7[[#This Row],[Date]],Database!$A:$C,MATCH($C$1,Database!$A$1:$C$1,),)=0,#N/A,VLOOKUP(Table7[[#This Row],[Date]],Database!$A:$C,MATCH($C$1,Database!$A$1:$C$1,),))</f>
        <v/>
      </c>
      <c r="D9900">
        <f>IFERROR(Table7[[#This Row],[United States 10y]]-Table7[[#This Row],[United States 3y]],#N/A)</f>
        <v/>
      </c>
    </row>
    <row r="9901">
      <c r="A9901" s="6">
        <f>Database!$A11986</f>
        <v/>
      </c>
      <c r="B9901">
        <f>IF(VLOOKUP(Table7[[#This Row],[Date]],Database!$A:$C,MATCH($B$1,Database!$A$1:$C$1,),)=0,#N/A,VLOOKUP(Table7[[#This Row],[Date]],Database!$A:$C,MATCH($B$1,Database!$A$1:$C$1,),))</f>
        <v/>
      </c>
      <c r="C9901">
        <f>IF(VLOOKUP(Table7[[#This Row],[Date]],Database!$A:$C,MATCH($C$1,Database!$A$1:$C$1,),)=0,#N/A,VLOOKUP(Table7[[#This Row],[Date]],Database!$A:$C,MATCH($C$1,Database!$A$1:$C$1,),))</f>
        <v/>
      </c>
      <c r="D9901">
        <f>IFERROR(Table7[[#This Row],[United States 10y]]-Table7[[#This Row],[United States 3y]],#N/A)</f>
        <v/>
      </c>
    </row>
    <row r="9902">
      <c r="A9902" s="6">
        <f>Database!$A11987</f>
        <v/>
      </c>
      <c r="B9902">
        <f>IF(VLOOKUP(Table7[[#This Row],[Date]],Database!$A:$C,MATCH($B$1,Database!$A$1:$C$1,),)=0,#N/A,VLOOKUP(Table7[[#This Row],[Date]],Database!$A:$C,MATCH($B$1,Database!$A$1:$C$1,),))</f>
        <v/>
      </c>
      <c r="C9902">
        <f>IF(VLOOKUP(Table7[[#This Row],[Date]],Database!$A:$C,MATCH($C$1,Database!$A$1:$C$1,),)=0,#N/A,VLOOKUP(Table7[[#This Row],[Date]],Database!$A:$C,MATCH($C$1,Database!$A$1:$C$1,),))</f>
        <v/>
      </c>
      <c r="D9902">
        <f>IFERROR(Table7[[#This Row],[United States 10y]]-Table7[[#This Row],[United States 3y]],#N/A)</f>
        <v/>
      </c>
    </row>
    <row r="9903">
      <c r="A9903" s="6">
        <f>Database!$A11988</f>
        <v/>
      </c>
      <c r="B9903">
        <f>IF(VLOOKUP(Table7[[#This Row],[Date]],Database!$A:$C,MATCH($B$1,Database!$A$1:$C$1,),)=0,#N/A,VLOOKUP(Table7[[#This Row],[Date]],Database!$A:$C,MATCH($B$1,Database!$A$1:$C$1,),))</f>
        <v/>
      </c>
      <c r="C9903">
        <f>IF(VLOOKUP(Table7[[#This Row],[Date]],Database!$A:$C,MATCH($C$1,Database!$A$1:$C$1,),)=0,#N/A,VLOOKUP(Table7[[#This Row],[Date]],Database!$A:$C,MATCH($C$1,Database!$A$1:$C$1,),))</f>
        <v/>
      </c>
      <c r="D9903">
        <f>IFERROR(Table7[[#This Row],[United States 10y]]-Table7[[#This Row],[United States 3y]],#N/A)</f>
        <v/>
      </c>
    </row>
    <row r="9904">
      <c r="A9904" s="6">
        <f>Database!$A11989</f>
        <v/>
      </c>
      <c r="B9904">
        <f>IF(VLOOKUP(Table7[[#This Row],[Date]],Database!$A:$C,MATCH($B$1,Database!$A$1:$C$1,),)=0,#N/A,VLOOKUP(Table7[[#This Row],[Date]],Database!$A:$C,MATCH($B$1,Database!$A$1:$C$1,),))</f>
        <v/>
      </c>
      <c r="C9904">
        <f>IF(VLOOKUP(Table7[[#This Row],[Date]],Database!$A:$C,MATCH($C$1,Database!$A$1:$C$1,),)=0,#N/A,VLOOKUP(Table7[[#This Row],[Date]],Database!$A:$C,MATCH($C$1,Database!$A$1:$C$1,),))</f>
        <v/>
      </c>
      <c r="D9904">
        <f>IFERROR(Table7[[#This Row],[United States 10y]]-Table7[[#This Row],[United States 3y]],#N/A)</f>
        <v/>
      </c>
    </row>
    <row r="9905">
      <c r="A9905" s="6">
        <f>Database!$A11990</f>
        <v/>
      </c>
      <c r="B9905">
        <f>IF(VLOOKUP(Table7[[#This Row],[Date]],Database!$A:$C,MATCH($B$1,Database!$A$1:$C$1,),)=0,#N/A,VLOOKUP(Table7[[#This Row],[Date]],Database!$A:$C,MATCH($B$1,Database!$A$1:$C$1,),))</f>
        <v/>
      </c>
      <c r="C9905">
        <f>IF(VLOOKUP(Table7[[#This Row],[Date]],Database!$A:$C,MATCH($C$1,Database!$A$1:$C$1,),)=0,#N/A,VLOOKUP(Table7[[#This Row],[Date]],Database!$A:$C,MATCH($C$1,Database!$A$1:$C$1,),))</f>
        <v/>
      </c>
      <c r="D9905">
        <f>IFERROR(Table7[[#This Row],[United States 10y]]-Table7[[#This Row],[United States 3y]],#N/A)</f>
        <v/>
      </c>
    </row>
    <row r="9906">
      <c r="A9906" s="6">
        <f>Database!$A11991</f>
        <v/>
      </c>
      <c r="B9906">
        <f>IF(VLOOKUP(Table7[[#This Row],[Date]],Database!$A:$C,MATCH($B$1,Database!$A$1:$C$1,),)=0,#N/A,VLOOKUP(Table7[[#This Row],[Date]],Database!$A:$C,MATCH($B$1,Database!$A$1:$C$1,),))</f>
        <v/>
      </c>
      <c r="C9906">
        <f>IF(VLOOKUP(Table7[[#This Row],[Date]],Database!$A:$C,MATCH($C$1,Database!$A$1:$C$1,),)=0,#N/A,VLOOKUP(Table7[[#This Row],[Date]],Database!$A:$C,MATCH($C$1,Database!$A$1:$C$1,),))</f>
        <v/>
      </c>
      <c r="D9906">
        <f>IFERROR(Table7[[#This Row],[United States 10y]]-Table7[[#This Row],[United States 3y]],#N/A)</f>
        <v/>
      </c>
    </row>
    <row r="9907">
      <c r="A9907" s="6">
        <f>Database!$A11992</f>
        <v/>
      </c>
      <c r="B9907">
        <f>IF(VLOOKUP(Table7[[#This Row],[Date]],Database!$A:$C,MATCH($B$1,Database!$A$1:$C$1,),)=0,#N/A,VLOOKUP(Table7[[#This Row],[Date]],Database!$A:$C,MATCH($B$1,Database!$A$1:$C$1,),))</f>
        <v/>
      </c>
      <c r="C9907">
        <f>IF(VLOOKUP(Table7[[#This Row],[Date]],Database!$A:$C,MATCH($C$1,Database!$A$1:$C$1,),)=0,#N/A,VLOOKUP(Table7[[#This Row],[Date]],Database!$A:$C,MATCH($C$1,Database!$A$1:$C$1,),))</f>
        <v/>
      </c>
      <c r="D9907">
        <f>IFERROR(Table7[[#This Row],[United States 10y]]-Table7[[#This Row],[United States 3y]],#N/A)</f>
        <v/>
      </c>
    </row>
    <row r="9908">
      <c r="A9908" s="6">
        <f>Database!$A11993</f>
        <v/>
      </c>
      <c r="B9908">
        <f>IF(VLOOKUP(Table7[[#This Row],[Date]],Database!$A:$C,MATCH($B$1,Database!$A$1:$C$1,),)=0,#N/A,VLOOKUP(Table7[[#This Row],[Date]],Database!$A:$C,MATCH($B$1,Database!$A$1:$C$1,),))</f>
        <v/>
      </c>
      <c r="C9908">
        <f>IF(VLOOKUP(Table7[[#This Row],[Date]],Database!$A:$C,MATCH($C$1,Database!$A$1:$C$1,),)=0,#N/A,VLOOKUP(Table7[[#This Row],[Date]],Database!$A:$C,MATCH($C$1,Database!$A$1:$C$1,),))</f>
        <v/>
      </c>
      <c r="D9908">
        <f>IFERROR(Table7[[#This Row],[United States 10y]]-Table7[[#This Row],[United States 3y]],#N/A)</f>
        <v/>
      </c>
    </row>
    <row r="9909">
      <c r="A9909" s="6">
        <f>Database!$A11994</f>
        <v/>
      </c>
      <c r="B9909">
        <f>IF(VLOOKUP(Table7[[#This Row],[Date]],Database!$A:$C,MATCH($B$1,Database!$A$1:$C$1,),)=0,#N/A,VLOOKUP(Table7[[#This Row],[Date]],Database!$A:$C,MATCH($B$1,Database!$A$1:$C$1,),))</f>
        <v/>
      </c>
      <c r="C9909">
        <f>IF(VLOOKUP(Table7[[#This Row],[Date]],Database!$A:$C,MATCH($C$1,Database!$A$1:$C$1,),)=0,#N/A,VLOOKUP(Table7[[#This Row],[Date]],Database!$A:$C,MATCH($C$1,Database!$A$1:$C$1,),))</f>
        <v/>
      </c>
      <c r="D9909">
        <f>IFERROR(Table7[[#This Row],[United States 10y]]-Table7[[#This Row],[United States 3y]],#N/A)</f>
        <v/>
      </c>
    </row>
    <row r="9910">
      <c r="A9910" s="6">
        <f>Database!$A11995</f>
        <v/>
      </c>
      <c r="B9910">
        <f>IF(VLOOKUP(Table7[[#This Row],[Date]],Database!$A:$C,MATCH($B$1,Database!$A$1:$C$1,),)=0,#N/A,VLOOKUP(Table7[[#This Row],[Date]],Database!$A:$C,MATCH($B$1,Database!$A$1:$C$1,),))</f>
        <v/>
      </c>
      <c r="C9910">
        <f>IF(VLOOKUP(Table7[[#This Row],[Date]],Database!$A:$C,MATCH($C$1,Database!$A$1:$C$1,),)=0,#N/A,VLOOKUP(Table7[[#This Row],[Date]],Database!$A:$C,MATCH($C$1,Database!$A$1:$C$1,),))</f>
        <v/>
      </c>
      <c r="D9910">
        <f>IFERROR(Table7[[#This Row],[United States 10y]]-Table7[[#This Row],[United States 3y]],#N/A)</f>
        <v/>
      </c>
    </row>
    <row r="9911">
      <c r="A9911" s="6">
        <f>Database!$A11996</f>
        <v/>
      </c>
      <c r="B9911">
        <f>IF(VLOOKUP(Table7[[#This Row],[Date]],Database!$A:$C,MATCH($B$1,Database!$A$1:$C$1,),)=0,#N/A,VLOOKUP(Table7[[#This Row],[Date]],Database!$A:$C,MATCH($B$1,Database!$A$1:$C$1,),))</f>
        <v/>
      </c>
      <c r="C9911">
        <f>IF(VLOOKUP(Table7[[#This Row],[Date]],Database!$A:$C,MATCH($C$1,Database!$A$1:$C$1,),)=0,#N/A,VLOOKUP(Table7[[#This Row],[Date]],Database!$A:$C,MATCH($C$1,Database!$A$1:$C$1,),))</f>
        <v/>
      </c>
      <c r="D9911">
        <f>IFERROR(Table7[[#This Row],[United States 10y]]-Table7[[#This Row],[United States 3y]],#N/A)</f>
        <v/>
      </c>
    </row>
    <row r="9912">
      <c r="A9912" s="6">
        <f>Database!$A11997</f>
        <v/>
      </c>
      <c r="B9912">
        <f>IF(VLOOKUP(Table7[[#This Row],[Date]],Database!$A:$C,MATCH($B$1,Database!$A$1:$C$1,),)=0,#N/A,VLOOKUP(Table7[[#This Row],[Date]],Database!$A:$C,MATCH($B$1,Database!$A$1:$C$1,),))</f>
        <v/>
      </c>
      <c r="C9912">
        <f>IF(VLOOKUP(Table7[[#This Row],[Date]],Database!$A:$C,MATCH($C$1,Database!$A$1:$C$1,),)=0,#N/A,VLOOKUP(Table7[[#This Row],[Date]],Database!$A:$C,MATCH($C$1,Database!$A$1:$C$1,),))</f>
        <v/>
      </c>
      <c r="D9912">
        <f>IFERROR(Table7[[#This Row],[United States 10y]]-Table7[[#This Row],[United States 3y]],#N/A)</f>
        <v/>
      </c>
    </row>
    <row r="9913">
      <c r="A9913" s="6">
        <f>Database!$A11998</f>
        <v/>
      </c>
      <c r="B9913">
        <f>IF(VLOOKUP(Table7[[#This Row],[Date]],Database!$A:$C,MATCH($B$1,Database!$A$1:$C$1,),)=0,#N/A,VLOOKUP(Table7[[#This Row],[Date]],Database!$A:$C,MATCH($B$1,Database!$A$1:$C$1,),))</f>
        <v/>
      </c>
      <c r="C9913">
        <f>IF(VLOOKUP(Table7[[#This Row],[Date]],Database!$A:$C,MATCH($C$1,Database!$A$1:$C$1,),)=0,#N/A,VLOOKUP(Table7[[#This Row],[Date]],Database!$A:$C,MATCH($C$1,Database!$A$1:$C$1,),))</f>
        <v/>
      </c>
      <c r="D9913">
        <f>IFERROR(Table7[[#This Row],[United States 10y]]-Table7[[#This Row],[United States 3y]],#N/A)</f>
        <v/>
      </c>
    </row>
    <row r="9914">
      <c r="A9914" s="6">
        <f>Database!$A11999</f>
        <v/>
      </c>
      <c r="B9914">
        <f>IF(VLOOKUP(Table7[[#This Row],[Date]],Database!$A:$C,MATCH($B$1,Database!$A$1:$C$1,),)=0,#N/A,VLOOKUP(Table7[[#This Row],[Date]],Database!$A:$C,MATCH($B$1,Database!$A$1:$C$1,),))</f>
        <v/>
      </c>
      <c r="C9914">
        <f>IF(VLOOKUP(Table7[[#This Row],[Date]],Database!$A:$C,MATCH($C$1,Database!$A$1:$C$1,),)=0,#N/A,VLOOKUP(Table7[[#This Row],[Date]],Database!$A:$C,MATCH($C$1,Database!$A$1:$C$1,),))</f>
        <v/>
      </c>
      <c r="D9914">
        <f>IFERROR(Table7[[#This Row],[United States 10y]]-Table7[[#This Row],[United States 3y]],#N/A)</f>
        <v/>
      </c>
    </row>
    <row r="9915">
      <c r="A9915" s="6">
        <f>Database!$A12000</f>
        <v/>
      </c>
      <c r="B9915">
        <f>IF(VLOOKUP(Table7[[#This Row],[Date]],Database!$A:$C,MATCH($B$1,Database!$A$1:$C$1,),)=0,#N/A,VLOOKUP(Table7[[#This Row],[Date]],Database!$A:$C,MATCH($B$1,Database!$A$1:$C$1,),))</f>
        <v/>
      </c>
      <c r="C9915">
        <f>IF(VLOOKUP(Table7[[#This Row],[Date]],Database!$A:$C,MATCH($C$1,Database!$A$1:$C$1,),)=0,#N/A,VLOOKUP(Table7[[#This Row],[Date]],Database!$A:$C,MATCH($C$1,Database!$A$1:$C$1,),))</f>
        <v/>
      </c>
      <c r="D9915">
        <f>IFERROR(Table7[[#This Row],[United States 10y]]-Table7[[#This Row],[United States 3y]],#N/A)</f>
        <v/>
      </c>
    </row>
    <row r="9916">
      <c r="A9916" s="6">
        <f>Database!$A12001</f>
        <v/>
      </c>
      <c r="B9916">
        <f>IF(VLOOKUP(Table7[[#This Row],[Date]],Database!$A:$C,MATCH($B$1,Database!$A$1:$C$1,),)=0,#N/A,VLOOKUP(Table7[[#This Row],[Date]],Database!$A:$C,MATCH($B$1,Database!$A$1:$C$1,),))</f>
        <v/>
      </c>
      <c r="C9916">
        <f>IF(VLOOKUP(Table7[[#This Row],[Date]],Database!$A:$C,MATCH($C$1,Database!$A$1:$C$1,),)=0,#N/A,VLOOKUP(Table7[[#This Row],[Date]],Database!$A:$C,MATCH($C$1,Database!$A$1:$C$1,),))</f>
        <v/>
      </c>
      <c r="D9916">
        <f>IFERROR(Table7[[#This Row],[United States 10y]]-Table7[[#This Row],[United States 3y]],#N/A)</f>
        <v/>
      </c>
    </row>
    <row r="9917">
      <c r="A9917" s="6">
        <f>Database!$A12002</f>
        <v/>
      </c>
      <c r="B9917">
        <f>IF(VLOOKUP(Table7[[#This Row],[Date]],Database!$A:$C,MATCH($B$1,Database!$A$1:$C$1,),)=0,#N/A,VLOOKUP(Table7[[#This Row],[Date]],Database!$A:$C,MATCH($B$1,Database!$A$1:$C$1,),))</f>
        <v/>
      </c>
      <c r="C9917">
        <f>IF(VLOOKUP(Table7[[#This Row],[Date]],Database!$A:$C,MATCH($C$1,Database!$A$1:$C$1,),)=0,#N/A,VLOOKUP(Table7[[#This Row],[Date]],Database!$A:$C,MATCH($C$1,Database!$A$1:$C$1,),))</f>
        <v/>
      </c>
      <c r="D9917">
        <f>IFERROR(Table7[[#This Row],[United States 10y]]-Table7[[#This Row],[United States 3y]],#N/A)</f>
        <v/>
      </c>
    </row>
    <row r="9918">
      <c r="A9918" s="6">
        <f>Database!$A12003</f>
        <v/>
      </c>
      <c r="B9918">
        <f>IF(VLOOKUP(Table7[[#This Row],[Date]],Database!$A:$C,MATCH($B$1,Database!$A$1:$C$1,),)=0,#N/A,VLOOKUP(Table7[[#This Row],[Date]],Database!$A:$C,MATCH($B$1,Database!$A$1:$C$1,),))</f>
        <v/>
      </c>
      <c r="C9918">
        <f>IF(VLOOKUP(Table7[[#This Row],[Date]],Database!$A:$C,MATCH($C$1,Database!$A$1:$C$1,),)=0,#N/A,VLOOKUP(Table7[[#This Row],[Date]],Database!$A:$C,MATCH($C$1,Database!$A$1:$C$1,),))</f>
        <v/>
      </c>
      <c r="D9918">
        <f>IFERROR(Table7[[#This Row],[United States 10y]]-Table7[[#This Row],[United States 3y]],#N/A)</f>
        <v/>
      </c>
    </row>
    <row r="9919">
      <c r="A9919" s="6">
        <f>Database!$A12004</f>
        <v/>
      </c>
      <c r="B9919">
        <f>IF(VLOOKUP(Table7[[#This Row],[Date]],Database!$A:$C,MATCH($B$1,Database!$A$1:$C$1,),)=0,#N/A,VLOOKUP(Table7[[#This Row],[Date]],Database!$A:$C,MATCH($B$1,Database!$A$1:$C$1,),))</f>
        <v/>
      </c>
      <c r="C9919">
        <f>IF(VLOOKUP(Table7[[#This Row],[Date]],Database!$A:$C,MATCH($C$1,Database!$A$1:$C$1,),)=0,#N/A,VLOOKUP(Table7[[#This Row],[Date]],Database!$A:$C,MATCH($C$1,Database!$A$1:$C$1,),))</f>
        <v/>
      </c>
      <c r="D9919">
        <f>IFERROR(Table7[[#This Row],[United States 10y]]-Table7[[#This Row],[United States 3y]],#N/A)</f>
        <v/>
      </c>
    </row>
    <row r="9920">
      <c r="A9920" s="6">
        <f>Database!$A12005</f>
        <v/>
      </c>
      <c r="B9920">
        <f>IF(VLOOKUP(Table7[[#This Row],[Date]],Database!$A:$C,MATCH($B$1,Database!$A$1:$C$1,),)=0,#N/A,VLOOKUP(Table7[[#This Row],[Date]],Database!$A:$C,MATCH($B$1,Database!$A$1:$C$1,),))</f>
        <v/>
      </c>
      <c r="C9920">
        <f>IF(VLOOKUP(Table7[[#This Row],[Date]],Database!$A:$C,MATCH($C$1,Database!$A$1:$C$1,),)=0,#N/A,VLOOKUP(Table7[[#This Row],[Date]],Database!$A:$C,MATCH($C$1,Database!$A$1:$C$1,),))</f>
        <v/>
      </c>
      <c r="D9920">
        <f>IFERROR(Table7[[#This Row],[United States 10y]]-Table7[[#This Row],[United States 3y]],#N/A)</f>
        <v/>
      </c>
    </row>
    <row r="9921">
      <c r="A9921" s="6">
        <f>Database!$A12006</f>
        <v/>
      </c>
      <c r="B9921">
        <f>IF(VLOOKUP(Table7[[#This Row],[Date]],Database!$A:$C,MATCH($B$1,Database!$A$1:$C$1,),)=0,#N/A,VLOOKUP(Table7[[#This Row],[Date]],Database!$A:$C,MATCH($B$1,Database!$A$1:$C$1,),))</f>
        <v/>
      </c>
      <c r="C9921">
        <f>IF(VLOOKUP(Table7[[#This Row],[Date]],Database!$A:$C,MATCH($C$1,Database!$A$1:$C$1,),)=0,#N/A,VLOOKUP(Table7[[#This Row],[Date]],Database!$A:$C,MATCH($C$1,Database!$A$1:$C$1,),))</f>
        <v/>
      </c>
      <c r="D9921">
        <f>IFERROR(Table7[[#This Row],[United States 10y]]-Table7[[#This Row],[United States 3y]],#N/A)</f>
        <v/>
      </c>
    </row>
    <row r="9922">
      <c r="A9922" s="6">
        <f>Database!$A12007</f>
        <v/>
      </c>
      <c r="B9922">
        <f>IF(VLOOKUP(Table7[[#This Row],[Date]],Database!$A:$C,MATCH($B$1,Database!$A$1:$C$1,),)=0,#N/A,VLOOKUP(Table7[[#This Row],[Date]],Database!$A:$C,MATCH($B$1,Database!$A$1:$C$1,),))</f>
        <v/>
      </c>
      <c r="C9922">
        <f>IF(VLOOKUP(Table7[[#This Row],[Date]],Database!$A:$C,MATCH($C$1,Database!$A$1:$C$1,),)=0,#N/A,VLOOKUP(Table7[[#This Row],[Date]],Database!$A:$C,MATCH($C$1,Database!$A$1:$C$1,),))</f>
        <v/>
      </c>
      <c r="D9922">
        <f>IFERROR(Table7[[#This Row],[United States 10y]]-Table7[[#This Row],[United States 3y]],#N/A)</f>
        <v/>
      </c>
    </row>
    <row r="9923">
      <c r="A9923" s="6">
        <f>Database!$A12008</f>
        <v/>
      </c>
      <c r="B9923">
        <f>IF(VLOOKUP(Table7[[#This Row],[Date]],Database!$A:$C,MATCH($B$1,Database!$A$1:$C$1,),)=0,#N/A,VLOOKUP(Table7[[#This Row],[Date]],Database!$A:$C,MATCH($B$1,Database!$A$1:$C$1,),))</f>
        <v/>
      </c>
      <c r="C9923">
        <f>IF(VLOOKUP(Table7[[#This Row],[Date]],Database!$A:$C,MATCH($C$1,Database!$A$1:$C$1,),)=0,#N/A,VLOOKUP(Table7[[#This Row],[Date]],Database!$A:$C,MATCH($C$1,Database!$A$1:$C$1,),))</f>
        <v/>
      </c>
      <c r="D9923">
        <f>IFERROR(Table7[[#This Row],[United States 10y]]-Table7[[#This Row],[United States 3y]],#N/A)</f>
        <v/>
      </c>
    </row>
    <row r="9924">
      <c r="A9924" s="6">
        <f>Database!$A12009</f>
        <v/>
      </c>
      <c r="B9924">
        <f>IF(VLOOKUP(Table7[[#This Row],[Date]],Database!$A:$C,MATCH($B$1,Database!$A$1:$C$1,),)=0,#N/A,VLOOKUP(Table7[[#This Row],[Date]],Database!$A:$C,MATCH($B$1,Database!$A$1:$C$1,),))</f>
        <v/>
      </c>
      <c r="C9924">
        <f>IF(VLOOKUP(Table7[[#This Row],[Date]],Database!$A:$C,MATCH($C$1,Database!$A$1:$C$1,),)=0,#N/A,VLOOKUP(Table7[[#This Row],[Date]],Database!$A:$C,MATCH($C$1,Database!$A$1:$C$1,),))</f>
        <v/>
      </c>
      <c r="D9924">
        <f>IFERROR(Table7[[#This Row],[United States 10y]]-Table7[[#This Row],[United States 3y]],#N/A)</f>
        <v/>
      </c>
    </row>
    <row r="9925">
      <c r="A9925" s="6">
        <f>Database!$A12010</f>
        <v/>
      </c>
      <c r="B9925">
        <f>IF(VLOOKUP(Table7[[#This Row],[Date]],Database!$A:$C,MATCH($B$1,Database!$A$1:$C$1,),)=0,#N/A,VLOOKUP(Table7[[#This Row],[Date]],Database!$A:$C,MATCH($B$1,Database!$A$1:$C$1,),))</f>
        <v/>
      </c>
      <c r="C9925">
        <f>IF(VLOOKUP(Table7[[#This Row],[Date]],Database!$A:$C,MATCH($C$1,Database!$A$1:$C$1,),)=0,#N/A,VLOOKUP(Table7[[#This Row],[Date]],Database!$A:$C,MATCH($C$1,Database!$A$1:$C$1,),))</f>
        <v/>
      </c>
      <c r="D9925">
        <f>IFERROR(Table7[[#This Row],[United States 10y]]-Table7[[#This Row],[United States 3y]],#N/A)</f>
        <v/>
      </c>
    </row>
    <row r="9926">
      <c r="A9926" s="6">
        <f>Database!$A12011</f>
        <v/>
      </c>
      <c r="B9926">
        <f>IF(VLOOKUP(Table7[[#This Row],[Date]],Database!$A:$C,MATCH($B$1,Database!$A$1:$C$1,),)=0,#N/A,VLOOKUP(Table7[[#This Row],[Date]],Database!$A:$C,MATCH($B$1,Database!$A$1:$C$1,),))</f>
        <v/>
      </c>
      <c r="C9926">
        <f>IF(VLOOKUP(Table7[[#This Row],[Date]],Database!$A:$C,MATCH($C$1,Database!$A$1:$C$1,),)=0,#N/A,VLOOKUP(Table7[[#This Row],[Date]],Database!$A:$C,MATCH($C$1,Database!$A$1:$C$1,),))</f>
        <v/>
      </c>
      <c r="D9926">
        <f>IFERROR(Table7[[#This Row],[United States 10y]]-Table7[[#This Row],[United States 3y]],#N/A)</f>
        <v/>
      </c>
    </row>
    <row r="9927">
      <c r="A9927" s="6">
        <f>Database!$A12012</f>
        <v/>
      </c>
      <c r="B9927">
        <f>IF(VLOOKUP(Table7[[#This Row],[Date]],Database!$A:$C,MATCH($B$1,Database!$A$1:$C$1,),)=0,#N/A,VLOOKUP(Table7[[#This Row],[Date]],Database!$A:$C,MATCH($B$1,Database!$A$1:$C$1,),))</f>
        <v/>
      </c>
      <c r="C9927">
        <f>IF(VLOOKUP(Table7[[#This Row],[Date]],Database!$A:$C,MATCH($C$1,Database!$A$1:$C$1,),)=0,#N/A,VLOOKUP(Table7[[#This Row],[Date]],Database!$A:$C,MATCH($C$1,Database!$A$1:$C$1,),))</f>
        <v/>
      </c>
      <c r="D9927">
        <f>IFERROR(Table7[[#This Row],[United States 10y]]-Table7[[#This Row],[United States 3y]],#N/A)</f>
        <v/>
      </c>
    </row>
    <row r="9928">
      <c r="A9928" s="6">
        <f>Database!$A12013</f>
        <v/>
      </c>
      <c r="B9928">
        <f>IF(VLOOKUP(Table7[[#This Row],[Date]],Database!$A:$C,MATCH($B$1,Database!$A$1:$C$1,),)=0,#N/A,VLOOKUP(Table7[[#This Row],[Date]],Database!$A:$C,MATCH($B$1,Database!$A$1:$C$1,),))</f>
        <v/>
      </c>
      <c r="C9928">
        <f>IF(VLOOKUP(Table7[[#This Row],[Date]],Database!$A:$C,MATCH($C$1,Database!$A$1:$C$1,),)=0,#N/A,VLOOKUP(Table7[[#This Row],[Date]],Database!$A:$C,MATCH($C$1,Database!$A$1:$C$1,),))</f>
        <v/>
      </c>
      <c r="D9928">
        <f>IFERROR(Table7[[#This Row],[United States 10y]]-Table7[[#This Row],[United States 3y]],#N/A)</f>
        <v/>
      </c>
    </row>
    <row r="9929">
      <c r="A9929" s="6">
        <f>Database!$A12014</f>
        <v/>
      </c>
      <c r="B9929">
        <f>IF(VLOOKUP(Table7[[#This Row],[Date]],Database!$A:$C,MATCH($B$1,Database!$A$1:$C$1,),)=0,#N/A,VLOOKUP(Table7[[#This Row],[Date]],Database!$A:$C,MATCH($B$1,Database!$A$1:$C$1,),))</f>
        <v/>
      </c>
      <c r="C9929">
        <f>IF(VLOOKUP(Table7[[#This Row],[Date]],Database!$A:$C,MATCH($C$1,Database!$A$1:$C$1,),)=0,#N/A,VLOOKUP(Table7[[#This Row],[Date]],Database!$A:$C,MATCH($C$1,Database!$A$1:$C$1,),))</f>
        <v/>
      </c>
      <c r="D9929">
        <f>IFERROR(Table7[[#This Row],[United States 10y]]-Table7[[#This Row],[United States 3y]],#N/A)</f>
        <v/>
      </c>
    </row>
    <row r="9930">
      <c r="A9930" s="6">
        <f>Database!$A12015</f>
        <v/>
      </c>
      <c r="B9930">
        <f>IF(VLOOKUP(Table7[[#This Row],[Date]],Database!$A:$C,MATCH($B$1,Database!$A$1:$C$1,),)=0,#N/A,VLOOKUP(Table7[[#This Row],[Date]],Database!$A:$C,MATCH($B$1,Database!$A$1:$C$1,),))</f>
        <v/>
      </c>
      <c r="C9930">
        <f>IF(VLOOKUP(Table7[[#This Row],[Date]],Database!$A:$C,MATCH($C$1,Database!$A$1:$C$1,),)=0,#N/A,VLOOKUP(Table7[[#This Row],[Date]],Database!$A:$C,MATCH($C$1,Database!$A$1:$C$1,),))</f>
        <v/>
      </c>
      <c r="D9930">
        <f>IFERROR(Table7[[#This Row],[United States 10y]]-Table7[[#This Row],[United States 3y]],#N/A)</f>
        <v/>
      </c>
    </row>
    <row r="9931">
      <c r="A9931" s="6">
        <f>Database!$A12016</f>
        <v/>
      </c>
      <c r="B9931">
        <f>IF(VLOOKUP(Table7[[#This Row],[Date]],Database!$A:$C,MATCH($B$1,Database!$A$1:$C$1,),)=0,#N/A,VLOOKUP(Table7[[#This Row],[Date]],Database!$A:$C,MATCH($B$1,Database!$A$1:$C$1,),))</f>
        <v/>
      </c>
      <c r="C9931">
        <f>IF(VLOOKUP(Table7[[#This Row],[Date]],Database!$A:$C,MATCH($C$1,Database!$A$1:$C$1,),)=0,#N/A,VLOOKUP(Table7[[#This Row],[Date]],Database!$A:$C,MATCH($C$1,Database!$A$1:$C$1,),))</f>
        <v/>
      </c>
      <c r="D9931">
        <f>IFERROR(Table7[[#This Row],[United States 10y]]-Table7[[#This Row],[United States 3y]],#N/A)</f>
        <v/>
      </c>
    </row>
    <row r="9932">
      <c r="A9932" s="6">
        <f>Database!$A12017</f>
        <v/>
      </c>
      <c r="B9932">
        <f>IF(VLOOKUP(Table7[[#This Row],[Date]],Database!$A:$C,MATCH($B$1,Database!$A$1:$C$1,),)=0,#N/A,VLOOKUP(Table7[[#This Row],[Date]],Database!$A:$C,MATCH($B$1,Database!$A$1:$C$1,),))</f>
        <v/>
      </c>
      <c r="C9932">
        <f>IF(VLOOKUP(Table7[[#This Row],[Date]],Database!$A:$C,MATCH($C$1,Database!$A$1:$C$1,),)=0,#N/A,VLOOKUP(Table7[[#This Row],[Date]],Database!$A:$C,MATCH($C$1,Database!$A$1:$C$1,),))</f>
        <v/>
      </c>
      <c r="D9932">
        <f>IFERROR(Table7[[#This Row],[United States 10y]]-Table7[[#This Row],[United States 3y]],#N/A)</f>
        <v/>
      </c>
    </row>
    <row r="9933">
      <c r="A9933" s="6">
        <f>Database!$A12018</f>
        <v/>
      </c>
      <c r="B9933">
        <f>IF(VLOOKUP(Table7[[#This Row],[Date]],Database!$A:$C,MATCH($B$1,Database!$A$1:$C$1,),)=0,#N/A,VLOOKUP(Table7[[#This Row],[Date]],Database!$A:$C,MATCH($B$1,Database!$A$1:$C$1,),))</f>
        <v/>
      </c>
      <c r="C9933">
        <f>IF(VLOOKUP(Table7[[#This Row],[Date]],Database!$A:$C,MATCH($C$1,Database!$A$1:$C$1,),)=0,#N/A,VLOOKUP(Table7[[#This Row],[Date]],Database!$A:$C,MATCH($C$1,Database!$A$1:$C$1,),))</f>
        <v/>
      </c>
      <c r="D9933">
        <f>IFERROR(Table7[[#This Row],[United States 10y]]-Table7[[#This Row],[United States 3y]],#N/A)</f>
        <v/>
      </c>
    </row>
    <row r="9934">
      <c r="A9934" s="6">
        <f>Database!$A12019</f>
        <v/>
      </c>
      <c r="B9934">
        <f>IF(VLOOKUP(Table7[[#This Row],[Date]],Database!$A:$C,MATCH($B$1,Database!$A$1:$C$1,),)=0,#N/A,VLOOKUP(Table7[[#This Row],[Date]],Database!$A:$C,MATCH($B$1,Database!$A$1:$C$1,),))</f>
        <v/>
      </c>
      <c r="C9934">
        <f>IF(VLOOKUP(Table7[[#This Row],[Date]],Database!$A:$C,MATCH($C$1,Database!$A$1:$C$1,),)=0,#N/A,VLOOKUP(Table7[[#This Row],[Date]],Database!$A:$C,MATCH($C$1,Database!$A$1:$C$1,),))</f>
        <v/>
      </c>
      <c r="D9934">
        <f>IFERROR(Table7[[#This Row],[United States 10y]]-Table7[[#This Row],[United States 3y]],#N/A)</f>
        <v/>
      </c>
    </row>
    <row r="9935">
      <c r="A9935" s="6">
        <f>Database!$A12020</f>
        <v/>
      </c>
      <c r="B9935">
        <f>IF(VLOOKUP(Table7[[#This Row],[Date]],Database!$A:$C,MATCH($B$1,Database!$A$1:$C$1,),)=0,#N/A,VLOOKUP(Table7[[#This Row],[Date]],Database!$A:$C,MATCH($B$1,Database!$A$1:$C$1,),))</f>
        <v/>
      </c>
      <c r="C9935">
        <f>IF(VLOOKUP(Table7[[#This Row],[Date]],Database!$A:$C,MATCH($C$1,Database!$A$1:$C$1,),)=0,#N/A,VLOOKUP(Table7[[#This Row],[Date]],Database!$A:$C,MATCH($C$1,Database!$A$1:$C$1,),))</f>
        <v/>
      </c>
      <c r="D9935">
        <f>IFERROR(Table7[[#This Row],[United States 10y]]-Table7[[#This Row],[United States 3y]],#N/A)</f>
        <v/>
      </c>
    </row>
    <row r="9936">
      <c r="A9936" s="6">
        <f>Database!$A12021</f>
        <v/>
      </c>
      <c r="B9936">
        <f>IF(VLOOKUP(Table7[[#This Row],[Date]],Database!$A:$C,MATCH($B$1,Database!$A$1:$C$1,),)=0,#N/A,VLOOKUP(Table7[[#This Row],[Date]],Database!$A:$C,MATCH($B$1,Database!$A$1:$C$1,),))</f>
        <v/>
      </c>
      <c r="C9936">
        <f>IF(VLOOKUP(Table7[[#This Row],[Date]],Database!$A:$C,MATCH($C$1,Database!$A$1:$C$1,),)=0,#N/A,VLOOKUP(Table7[[#This Row],[Date]],Database!$A:$C,MATCH($C$1,Database!$A$1:$C$1,),))</f>
        <v/>
      </c>
      <c r="D9936">
        <f>IFERROR(Table7[[#This Row],[United States 10y]]-Table7[[#This Row],[United States 3y]],#N/A)</f>
        <v/>
      </c>
    </row>
    <row r="9937">
      <c r="A9937" s="6">
        <f>Database!$A12022</f>
        <v/>
      </c>
      <c r="B9937">
        <f>IF(VLOOKUP(Table7[[#This Row],[Date]],Database!$A:$C,MATCH($B$1,Database!$A$1:$C$1,),)=0,#N/A,VLOOKUP(Table7[[#This Row],[Date]],Database!$A:$C,MATCH($B$1,Database!$A$1:$C$1,),))</f>
        <v/>
      </c>
      <c r="C9937">
        <f>IF(VLOOKUP(Table7[[#This Row],[Date]],Database!$A:$C,MATCH($C$1,Database!$A$1:$C$1,),)=0,#N/A,VLOOKUP(Table7[[#This Row],[Date]],Database!$A:$C,MATCH($C$1,Database!$A$1:$C$1,),))</f>
        <v/>
      </c>
      <c r="D9937">
        <f>IFERROR(Table7[[#This Row],[United States 10y]]-Table7[[#This Row],[United States 3y]],#N/A)</f>
        <v/>
      </c>
    </row>
    <row r="9938">
      <c r="A9938" s="6">
        <f>Database!$A12023</f>
        <v/>
      </c>
      <c r="B9938">
        <f>IF(VLOOKUP(Table7[[#This Row],[Date]],Database!$A:$C,MATCH($B$1,Database!$A$1:$C$1,),)=0,#N/A,VLOOKUP(Table7[[#This Row],[Date]],Database!$A:$C,MATCH($B$1,Database!$A$1:$C$1,),))</f>
        <v/>
      </c>
      <c r="C9938">
        <f>IF(VLOOKUP(Table7[[#This Row],[Date]],Database!$A:$C,MATCH($C$1,Database!$A$1:$C$1,),)=0,#N/A,VLOOKUP(Table7[[#This Row],[Date]],Database!$A:$C,MATCH($C$1,Database!$A$1:$C$1,),))</f>
        <v/>
      </c>
      <c r="D9938">
        <f>IFERROR(Table7[[#This Row],[United States 10y]]-Table7[[#This Row],[United States 3y]],#N/A)</f>
        <v/>
      </c>
    </row>
    <row r="9939">
      <c r="A9939" s="6">
        <f>Database!$A12024</f>
        <v/>
      </c>
      <c r="B9939">
        <f>IF(VLOOKUP(Table7[[#This Row],[Date]],Database!$A:$C,MATCH($B$1,Database!$A$1:$C$1,),)=0,#N/A,VLOOKUP(Table7[[#This Row],[Date]],Database!$A:$C,MATCH($B$1,Database!$A$1:$C$1,),))</f>
        <v/>
      </c>
      <c r="C9939">
        <f>IF(VLOOKUP(Table7[[#This Row],[Date]],Database!$A:$C,MATCH($C$1,Database!$A$1:$C$1,),)=0,#N/A,VLOOKUP(Table7[[#This Row],[Date]],Database!$A:$C,MATCH($C$1,Database!$A$1:$C$1,),))</f>
        <v/>
      </c>
      <c r="D9939">
        <f>IFERROR(Table7[[#This Row],[United States 10y]]-Table7[[#This Row],[United States 3y]],#N/A)</f>
        <v/>
      </c>
    </row>
    <row r="9940">
      <c r="A9940" s="6">
        <f>Database!$A12025</f>
        <v/>
      </c>
      <c r="B9940">
        <f>IF(VLOOKUP(Table7[[#This Row],[Date]],Database!$A:$C,MATCH($B$1,Database!$A$1:$C$1,),)=0,#N/A,VLOOKUP(Table7[[#This Row],[Date]],Database!$A:$C,MATCH($B$1,Database!$A$1:$C$1,),))</f>
        <v/>
      </c>
      <c r="C9940">
        <f>IF(VLOOKUP(Table7[[#This Row],[Date]],Database!$A:$C,MATCH($C$1,Database!$A$1:$C$1,),)=0,#N/A,VLOOKUP(Table7[[#This Row],[Date]],Database!$A:$C,MATCH($C$1,Database!$A$1:$C$1,),))</f>
        <v/>
      </c>
      <c r="D9940">
        <f>IFERROR(Table7[[#This Row],[United States 10y]]-Table7[[#This Row],[United States 3y]],#N/A)</f>
        <v/>
      </c>
    </row>
    <row r="9941">
      <c r="A9941" s="6">
        <f>Database!$A12026</f>
        <v/>
      </c>
      <c r="B9941">
        <f>IF(VLOOKUP(Table7[[#This Row],[Date]],Database!$A:$C,MATCH($B$1,Database!$A$1:$C$1,),)=0,#N/A,VLOOKUP(Table7[[#This Row],[Date]],Database!$A:$C,MATCH($B$1,Database!$A$1:$C$1,),))</f>
        <v/>
      </c>
      <c r="C9941">
        <f>IF(VLOOKUP(Table7[[#This Row],[Date]],Database!$A:$C,MATCH($C$1,Database!$A$1:$C$1,),)=0,#N/A,VLOOKUP(Table7[[#This Row],[Date]],Database!$A:$C,MATCH($C$1,Database!$A$1:$C$1,),))</f>
        <v/>
      </c>
      <c r="D9941">
        <f>IFERROR(Table7[[#This Row],[United States 10y]]-Table7[[#This Row],[United States 3y]],#N/A)</f>
        <v/>
      </c>
    </row>
    <row r="9942">
      <c r="A9942" s="6">
        <f>Database!$A12027</f>
        <v/>
      </c>
      <c r="B9942">
        <f>IF(VLOOKUP(Table7[[#This Row],[Date]],Database!$A:$C,MATCH($B$1,Database!$A$1:$C$1,),)=0,#N/A,VLOOKUP(Table7[[#This Row],[Date]],Database!$A:$C,MATCH($B$1,Database!$A$1:$C$1,),))</f>
        <v/>
      </c>
      <c r="C9942">
        <f>IF(VLOOKUP(Table7[[#This Row],[Date]],Database!$A:$C,MATCH($C$1,Database!$A$1:$C$1,),)=0,#N/A,VLOOKUP(Table7[[#This Row],[Date]],Database!$A:$C,MATCH($C$1,Database!$A$1:$C$1,),))</f>
        <v/>
      </c>
      <c r="D9942">
        <f>IFERROR(Table7[[#This Row],[United States 10y]]-Table7[[#This Row],[United States 3y]],#N/A)</f>
        <v/>
      </c>
    </row>
    <row r="9943">
      <c r="A9943" s="6">
        <f>Database!$A12028</f>
        <v/>
      </c>
      <c r="B9943">
        <f>IF(VLOOKUP(Table7[[#This Row],[Date]],Database!$A:$C,MATCH($B$1,Database!$A$1:$C$1,),)=0,#N/A,VLOOKUP(Table7[[#This Row],[Date]],Database!$A:$C,MATCH($B$1,Database!$A$1:$C$1,),))</f>
        <v/>
      </c>
      <c r="C9943">
        <f>IF(VLOOKUP(Table7[[#This Row],[Date]],Database!$A:$C,MATCH($C$1,Database!$A$1:$C$1,),)=0,#N/A,VLOOKUP(Table7[[#This Row],[Date]],Database!$A:$C,MATCH($C$1,Database!$A$1:$C$1,),))</f>
        <v/>
      </c>
      <c r="D9943">
        <f>IFERROR(Table7[[#This Row],[United States 10y]]-Table7[[#This Row],[United States 3y]],#N/A)</f>
        <v/>
      </c>
    </row>
    <row r="9944">
      <c r="A9944" s="6">
        <f>Database!$A12029</f>
        <v/>
      </c>
      <c r="B9944">
        <f>IF(VLOOKUP(Table7[[#This Row],[Date]],Database!$A:$C,MATCH($B$1,Database!$A$1:$C$1,),)=0,#N/A,VLOOKUP(Table7[[#This Row],[Date]],Database!$A:$C,MATCH($B$1,Database!$A$1:$C$1,),))</f>
        <v/>
      </c>
      <c r="C9944">
        <f>IF(VLOOKUP(Table7[[#This Row],[Date]],Database!$A:$C,MATCH($C$1,Database!$A$1:$C$1,),)=0,#N/A,VLOOKUP(Table7[[#This Row],[Date]],Database!$A:$C,MATCH($C$1,Database!$A$1:$C$1,),))</f>
        <v/>
      </c>
      <c r="D9944">
        <f>IFERROR(Table7[[#This Row],[United States 10y]]-Table7[[#This Row],[United States 3y]],#N/A)</f>
        <v/>
      </c>
    </row>
    <row r="9945">
      <c r="A9945" s="6">
        <f>Database!$A12030</f>
        <v/>
      </c>
      <c r="B9945">
        <f>IF(VLOOKUP(Table7[[#This Row],[Date]],Database!$A:$C,MATCH($B$1,Database!$A$1:$C$1,),)=0,#N/A,VLOOKUP(Table7[[#This Row],[Date]],Database!$A:$C,MATCH($B$1,Database!$A$1:$C$1,),))</f>
        <v/>
      </c>
      <c r="C9945">
        <f>IF(VLOOKUP(Table7[[#This Row],[Date]],Database!$A:$C,MATCH($C$1,Database!$A$1:$C$1,),)=0,#N/A,VLOOKUP(Table7[[#This Row],[Date]],Database!$A:$C,MATCH($C$1,Database!$A$1:$C$1,),))</f>
        <v/>
      </c>
      <c r="D9945">
        <f>IFERROR(Table7[[#This Row],[United States 10y]]-Table7[[#This Row],[United States 3y]],#N/A)</f>
        <v/>
      </c>
    </row>
    <row r="9946">
      <c r="A9946" s="6">
        <f>Database!$A12031</f>
        <v/>
      </c>
      <c r="B9946">
        <f>IF(VLOOKUP(Table7[[#This Row],[Date]],Database!$A:$C,MATCH($B$1,Database!$A$1:$C$1,),)=0,#N/A,VLOOKUP(Table7[[#This Row],[Date]],Database!$A:$C,MATCH($B$1,Database!$A$1:$C$1,),))</f>
        <v/>
      </c>
      <c r="C9946">
        <f>IF(VLOOKUP(Table7[[#This Row],[Date]],Database!$A:$C,MATCH($C$1,Database!$A$1:$C$1,),)=0,#N/A,VLOOKUP(Table7[[#This Row],[Date]],Database!$A:$C,MATCH($C$1,Database!$A$1:$C$1,),))</f>
        <v/>
      </c>
      <c r="D9946">
        <f>IFERROR(Table7[[#This Row],[United States 10y]]-Table7[[#This Row],[United States 3y]],#N/A)</f>
        <v/>
      </c>
    </row>
    <row r="9947">
      <c r="A9947" s="6">
        <f>Database!$A12032</f>
        <v/>
      </c>
      <c r="B9947">
        <f>IF(VLOOKUP(Table7[[#This Row],[Date]],Database!$A:$C,MATCH($B$1,Database!$A$1:$C$1,),)=0,#N/A,VLOOKUP(Table7[[#This Row],[Date]],Database!$A:$C,MATCH($B$1,Database!$A$1:$C$1,),))</f>
        <v/>
      </c>
      <c r="C9947">
        <f>IF(VLOOKUP(Table7[[#This Row],[Date]],Database!$A:$C,MATCH($C$1,Database!$A$1:$C$1,),)=0,#N/A,VLOOKUP(Table7[[#This Row],[Date]],Database!$A:$C,MATCH($C$1,Database!$A$1:$C$1,),))</f>
        <v/>
      </c>
      <c r="D9947">
        <f>IFERROR(Table7[[#This Row],[United States 10y]]-Table7[[#This Row],[United States 3y]],#N/A)</f>
        <v/>
      </c>
    </row>
    <row r="9948">
      <c r="A9948" s="6">
        <f>Database!$A12033</f>
        <v/>
      </c>
      <c r="B9948">
        <f>IF(VLOOKUP(Table7[[#This Row],[Date]],Database!$A:$C,MATCH($B$1,Database!$A$1:$C$1,),)=0,#N/A,VLOOKUP(Table7[[#This Row],[Date]],Database!$A:$C,MATCH($B$1,Database!$A$1:$C$1,),))</f>
        <v/>
      </c>
      <c r="C9948">
        <f>IF(VLOOKUP(Table7[[#This Row],[Date]],Database!$A:$C,MATCH($C$1,Database!$A$1:$C$1,),)=0,#N/A,VLOOKUP(Table7[[#This Row],[Date]],Database!$A:$C,MATCH($C$1,Database!$A$1:$C$1,),))</f>
        <v/>
      </c>
      <c r="D9948">
        <f>IFERROR(Table7[[#This Row],[United States 10y]]-Table7[[#This Row],[United States 3y]],#N/A)</f>
        <v/>
      </c>
    </row>
    <row r="9949">
      <c r="A9949" s="6">
        <f>Database!$A12034</f>
        <v/>
      </c>
      <c r="B9949">
        <f>IF(VLOOKUP(Table7[[#This Row],[Date]],Database!$A:$C,MATCH($B$1,Database!$A$1:$C$1,),)=0,#N/A,VLOOKUP(Table7[[#This Row],[Date]],Database!$A:$C,MATCH($B$1,Database!$A$1:$C$1,),))</f>
        <v/>
      </c>
      <c r="C9949">
        <f>IF(VLOOKUP(Table7[[#This Row],[Date]],Database!$A:$C,MATCH($C$1,Database!$A$1:$C$1,),)=0,#N/A,VLOOKUP(Table7[[#This Row],[Date]],Database!$A:$C,MATCH($C$1,Database!$A$1:$C$1,),))</f>
        <v/>
      </c>
      <c r="D9949">
        <f>IFERROR(Table7[[#This Row],[United States 10y]]-Table7[[#This Row],[United States 3y]],#N/A)</f>
        <v/>
      </c>
    </row>
    <row r="9950">
      <c r="A9950" s="6">
        <f>Database!$A12035</f>
        <v/>
      </c>
      <c r="B9950">
        <f>IF(VLOOKUP(Table7[[#This Row],[Date]],Database!$A:$C,MATCH($B$1,Database!$A$1:$C$1,),)=0,#N/A,VLOOKUP(Table7[[#This Row],[Date]],Database!$A:$C,MATCH($B$1,Database!$A$1:$C$1,),))</f>
        <v/>
      </c>
      <c r="C9950">
        <f>IF(VLOOKUP(Table7[[#This Row],[Date]],Database!$A:$C,MATCH($C$1,Database!$A$1:$C$1,),)=0,#N/A,VLOOKUP(Table7[[#This Row],[Date]],Database!$A:$C,MATCH($C$1,Database!$A$1:$C$1,),))</f>
        <v/>
      </c>
      <c r="D9950">
        <f>IFERROR(Table7[[#This Row],[United States 10y]]-Table7[[#This Row],[United States 3y]],#N/A)</f>
        <v/>
      </c>
    </row>
    <row r="9951">
      <c r="A9951" s="6">
        <f>Database!$A12036</f>
        <v/>
      </c>
      <c r="B9951">
        <f>IF(VLOOKUP(Table7[[#This Row],[Date]],Database!$A:$C,MATCH($B$1,Database!$A$1:$C$1,),)=0,#N/A,VLOOKUP(Table7[[#This Row],[Date]],Database!$A:$C,MATCH($B$1,Database!$A$1:$C$1,),))</f>
        <v/>
      </c>
      <c r="C9951">
        <f>IF(VLOOKUP(Table7[[#This Row],[Date]],Database!$A:$C,MATCH($C$1,Database!$A$1:$C$1,),)=0,#N/A,VLOOKUP(Table7[[#This Row],[Date]],Database!$A:$C,MATCH($C$1,Database!$A$1:$C$1,),))</f>
        <v/>
      </c>
      <c r="D9951">
        <f>IFERROR(Table7[[#This Row],[United States 10y]]-Table7[[#This Row],[United States 3y]],#N/A)</f>
        <v/>
      </c>
    </row>
    <row r="9952">
      <c r="A9952" s="6">
        <f>Database!$A12037</f>
        <v/>
      </c>
      <c r="B9952">
        <f>IF(VLOOKUP(Table7[[#This Row],[Date]],Database!$A:$C,MATCH($B$1,Database!$A$1:$C$1,),)=0,#N/A,VLOOKUP(Table7[[#This Row],[Date]],Database!$A:$C,MATCH($B$1,Database!$A$1:$C$1,),))</f>
        <v/>
      </c>
      <c r="C9952">
        <f>IF(VLOOKUP(Table7[[#This Row],[Date]],Database!$A:$C,MATCH($C$1,Database!$A$1:$C$1,),)=0,#N/A,VLOOKUP(Table7[[#This Row],[Date]],Database!$A:$C,MATCH($C$1,Database!$A$1:$C$1,),))</f>
        <v/>
      </c>
      <c r="D9952">
        <f>IFERROR(Table7[[#This Row],[United States 10y]]-Table7[[#This Row],[United States 3y]],#N/A)</f>
        <v/>
      </c>
    </row>
    <row r="9953">
      <c r="A9953" s="6">
        <f>Database!$A12038</f>
        <v/>
      </c>
      <c r="B9953">
        <f>IF(VLOOKUP(Table7[[#This Row],[Date]],Database!$A:$C,MATCH($B$1,Database!$A$1:$C$1,),)=0,#N/A,VLOOKUP(Table7[[#This Row],[Date]],Database!$A:$C,MATCH($B$1,Database!$A$1:$C$1,),))</f>
        <v/>
      </c>
      <c r="C9953">
        <f>IF(VLOOKUP(Table7[[#This Row],[Date]],Database!$A:$C,MATCH($C$1,Database!$A$1:$C$1,),)=0,#N/A,VLOOKUP(Table7[[#This Row],[Date]],Database!$A:$C,MATCH($C$1,Database!$A$1:$C$1,),))</f>
        <v/>
      </c>
      <c r="D9953">
        <f>IFERROR(Table7[[#This Row],[United States 10y]]-Table7[[#This Row],[United States 3y]],#N/A)</f>
        <v/>
      </c>
    </row>
    <row r="9954">
      <c r="A9954" s="6">
        <f>Database!$A12039</f>
        <v/>
      </c>
      <c r="B9954">
        <f>IF(VLOOKUP(Table7[[#This Row],[Date]],Database!$A:$C,MATCH($B$1,Database!$A$1:$C$1,),)=0,#N/A,VLOOKUP(Table7[[#This Row],[Date]],Database!$A:$C,MATCH($B$1,Database!$A$1:$C$1,),))</f>
        <v/>
      </c>
      <c r="C9954">
        <f>IF(VLOOKUP(Table7[[#This Row],[Date]],Database!$A:$C,MATCH($C$1,Database!$A$1:$C$1,),)=0,#N/A,VLOOKUP(Table7[[#This Row],[Date]],Database!$A:$C,MATCH($C$1,Database!$A$1:$C$1,),))</f>
        <v/>
      </c>
      <c r="D9954">
        <f>IFERROR(Table7[[#This Row],[United States 10y]]-Table7[[#This Row],[United States 3y]],#N/A)</f>
        <v/>
      </c>
    </row>
    <row r="9955">
      <c r="A9955" s="6">
        <f>Database!$A12040</f>
        <v/>
      </c>
      <c r="B9955">
        <f>IF(VLOOKUP(Table7[[#This Row],[Date]],Database!$A:$C,MATCH($B$1,Database!$A$1:$C$1,),)=0,#N/A,VLOOKUP(Table7[[#This Row],[Date]],Database!$A:$C,MATCH($B$1,Database!$A$1:$C$1,),))</f>
        <v/>
      </c>
      <c r="C9955">
        <f>IF(VLOOKUP(Table7[[#This Row],[Date]],Database!$A:$C,MATCH($C$1,Database!$A$1:$C$1,),)=0,#N/A,VLOOKUP(Table7[[#This Row],[Date]],Database!$A:$C,MATCH($C$1,Database!$A$1:$C$1,),))</f>
        <v/>
      </c>
      <c r="D9955">
        <f>IFERROR(Table7[[#This Row],[United States 10y]]-Table7[[#This Row],[United States 3y]],#N/A)</f>
        <v/>
      </c>
    </row>
    <row r="9956">
      <c r="A9956" s="6">
        <f>Database!$A12041</f>
        <v/>
      </c>
      <c r="B9956">
        <f>IF(VLOOKUP(Table7[[#This Row],[Date]],Database!$A:$C,MATCH($B$1,Database!$A$1:$C$1,),)=0,#N/A,VLOOKUP(Table7[[#This Row],[Date]],Database!$A:$C,MATCH($B$1,Database!$A$1:$C$1,),))</f>
        <v/>
      </c>
      <c r="C9956">
        <f>IF(VLOOKUP(Table7[[#This Row],[Date]],Database!$A:$C,MATCH($C$1,Database!$A$1:$C$1,),)=0,#N/A,VLOOKUP(Table7[[#This Row],[Date]],Database!$A:$C,MATCH($C$1,Database!$A$1:$C$1,),))</f>
        <v/>
      </c>
      <c r="D9956">
        <f>IFERROR(Table7[[#This Row],[United States 10y]]-Table7[[#This Row],[United States 3y]],#N/A)</f>
        <v/>
      </c>
    </row>
    <row r="9957">
      <c r="A9957" s="6">
        <f>Database!$A12042</f>
        <v/>
      </c>
      <c r="B9957">
        <f>IF(VLOOKUP(Table7[[#This Row],[Date]],Database!$A:$C,MATCH($B$1,Database!$A$1:$C$1,),)=0,#N/A,VLOOKUP(Table7[[#This Row],[Date]],Database!$A:$C,MATCH($B$1,Database!$A$1:$C$1,),))</f>
        <v/>
      </c>
      <c r="C9957">
        <f>IF(VLOOKUP(Table7[[#This Row],[Date]],Database!$A:$C,MATCH($C$1,Database!$A$1:$C$1,),)=0,#N/A,VLOOKUP(Table7[[#This Row],[Date]],Database!$A:$C,MATCH($C$1,Database!$A$1:$C$1,),))</f>
        <v/>
      </c>
      <c r="D9957">
        <f>IFERROR(Table7[[#This Row],[United States 10y]]-Table7[[#This Row],[United States 3y]],#N/A)</f>
        <v/>
      </c>
    </row>
    <row r="9958">
      <c r="A9958" s="6">
        <f>Database!$A12043</f>
        <v/>
      </c>
      <c r="B9958">
        <f>IF(VLOOKUP(Table7[[#This Row],[Date]],Database!$A:$C,MATCH($B$1,Database!$A$1:$C$1,),)=0,#N/A,VLOOKUP(Table7[[#This Row],[Date]],Database!$A:$C,MATCH($B$1,Database!$A$1:$C$1,),))</f>
        <v/>
      </c>
      <c r="C9958">
        <f>IF(VLOOKUP(Table7[[#This Row],[Date]],Database!$A:$C,MATCH($C$1,Database!$A$1:$C$1,),)=0,#N/A,VLOOKUP(Table7[[#This Row],[Date]],Database!$A:$C,MATCH($C$1,Database!$A$1:$C$1,),))</f>
        <v/>
      </c>
      <c r="D9958">
        <f>IFERROR(Table7[[#This Row],[United States 10y]]-Table7[[#This Row],[United States 3y]],#N/A)</f>
        <v/>
      </c>
    </row>
    <row r="9959">
      <c r="A9959" s="6">
        <f>Database!$A12044</f>
        <v/>
      </c>
      <c r="B9959">
        <f>IF(VLOOKUP(Table7[[#This Row],[Date]],Database!$A:$C,MATCH($B$1,Database!$A$1:$C$1,),)=0,#N/A,VLOOKUP(Table7[[#This Row],[Date]],Database!$A:$C,MATCH($B$1,Database!$A$1:$C$1,),))</f>
        <v/>
      </c>
      <c r="C9959">
        <f>IF(VLOOKUP(Table7[[#This Row],[Date]],Database!$A:$C,MATCH($C$1,Database!$A$1:$C$1,),)=0,#N/A,VLOOKUP(Table7[[#This Row],[Date]],Database!$A:$C,MATCH($C$1,Database!$A$1:$C$1,),))</f>
        <v/>
      </c>
      <c r="D9959">
        <f>IFERROR(Table7[[#This Row],[United States 10y]]-Table7[[#This Row],[United States 3y]],#N/A)</f>
        <v/>
      </c>
    </row>
    <row r="9960">
      <c r="A9960" s="6">
        <f>Database!$A12045</f>
        <v/>
      </c>
      <c r="B9960">
        <f>IF(VLOOKUP(Table7[[#This Row],[Date]],Database!$A:$C,MATCH($B$1,Database!$A$1:$C$1,),)=0,#N/A,VLOOKUP(Table7[[#This Row],[Date]],Database!$A:$C,MATCH($B$1,Database!$A$1:$C$1,),))</f>
        <v/>
      </c>
      <c r="C9960">
        <f>IF(VLOOKUP(Table7[[#This Row],[Date]],Database!$A:$C,MATCH($C$1,Database!$A$1:$C$1,),)=0,#N/A,VLOOKUP(Table7[[#This Row],[Date]],Database!$A:$C,MATCH($C$1,Database!$A$1:$C$1,),))</f>
        <v/>
      </c>
      <c r="D9960">
        <f>IFERROR(Table7[[#This Row],[United States 10y]]-Table7[[#This Row],[United States 3y]],#N/A)</f>
        <v/>
      </c>
    </row>
    <row r="9961">
      <c r="A9961" s="6">
        <f>Database!$A12046</f>
        <v/>
      </c>
      <c r="B9961">
        <f>IF(VLOOKUP(Table7[[#This Row],[Date]],Database!$A:$C,MATCH($B$1,Database!$A$1:$C$1,),)=0,#N/A,VLOOKUP(Table7[[#This Row],[Date]],Database!$A:$C,MATCH($B$1,Database!$A$1:$C$1,),))</f>
        <v/>
      </c>
      <c r="C9961">
        <f>IF(VLOOKUP(Table7[[#This Row],[Date]],Database!$A:$C,MATCH($C$1,Database!$A$1:$C$1,),)=0,#N/A,VLOOKUP(Table7[[#This Row],[Date]],Database!$A:$C,MATCH($C$1,Database!$A$1:$C$1,),))</f>
        <v/>
      </c>
      <c r="D9961">
        <f>IFERROR(Table7[[#This Row],[United States 10y]]-Table7[[#This Row],[United States 3y]],#N/A)</f>
        <v/>
      </c>
    </row>
    <row r="9962">
      <c r="A9962" s="6">
        <f>Database!$A12047</f>
        <v/>
      </c>
      <c r="B9962">
        <f>IF(VLOOKUP(Table7[[#This Row],[Date]],Database!$A:$C,MATCH($B$1,Database!$A$1:$C$1,),)=0,#N/A,VLOOKUP(Table7[[#This Row],[Date]],Database!$A:$C,MATCH($B$1,Database!$A$1:$C$1,),))</f>
        <v/>
      </c>
      <c r="C9962">
        <f>IF(VLOOKUP(Table7[[#This Row],[Date]],Database!$A:$C,MATCH($C$1,Database!$A$1:$C$1,),)=0,#N/A,VLOOKUP(Table7[[#This Row],[Date]],Database!$A:$C,MATCH($C$1,Database!$A$1:$C$1,),))</f>
        <v/>
      </c>
      <c r="D9962">
        <f>IFERROR(Table7[[#This Row],[United States 10y]]-Table7[[#This Row],[United States 3y]],#N/A)</f>
        <v/>
      </c>
    </row>
    <row r="9963">
      <c r="A9963" s="6">
        <f>Database!$A12048</f>
        <v/>
      </c>
      <c r="B9963">
        <f>IF(VLOOKUP(Table7[[#This Row],[Date]],Database!$A:$C,MATCH($B$1,Database!$A$1:$C$1,),)=0,#N/A,VLOOKUP(Table7[[#This Row],[Date]],Database!$A:$C,MATCH($B$1,Database!$A$1:$C$1,),))</f>
        <v/>
      </c>
      <c r="C9963">
        <f>IF(VLOOKUP(Table7[[#This Row],[Date]],Database!$A:$C,MATCH($C$1,Database!$A$1:$C$1,),)=0,#N/A,VLOOKUP(Table7[[#This Row],[Date]],Database!$A:$C,MATCH($C$1,Database!$A$1:$C$1,),))</f>
        <v/>
      </c>
      <c r="D9963">
        <f>IFERROR(Table7[[#This Row],[United States 10y]]-Table7[[#This Row],[United States 3y]],#N/A)</f>
        <v/>
      </c>
    </row>
    <row r="9964">
      <c r="A9964" s="6">
        <f>Database!$A12049</f>
        <v/>
      </c>
      <c r="B9964">
        <f>IF(VLOOKUP(Table7[[#This Row],[Date]],Database!$A:$C,MATCH($B$1,Database!$A$1:$C$1,),)=0,#N/A,VLOOKUP(Table7[[#This Row],[Date]],Database!$A:$C,MATCH($B$1,Database!$A$1:$C$1,),))</f>
        <v/>
      </c>
      <c r="C9964">
        <f>IF(VLOOKUP(Table7[[#This Row],[Date]],Database!$A:$C,MATCH($C$1,Database!$A$1:$C$1,),)=0,#N/A,VLOOKUP(Table7[[#This Row],[Date]],Database!$A:$C,MATCH($C$1,Database!$A$1:$C$1,),))</f>
        <v/>
      </c>
      <c r="D9964">
        <f>IFERROR(Table7[[#This Row],[United States 10y]]-Table7[[#This Row],[United States 3y]],#N/A)</f>
        <v/>
      </c>
    </row>
    <row r="9965">
      <c r="A9965" s="6">
        <f>Database!$A12050</f>
        <v/>
      </c>
      <c r="B9965">
        <f>IF(VLOOKUP(Table7[[#This Row],[Date]],Database!$A:$C,MATCH($B$1,Database!$A$1:$C$1,),)=0,#N/A,VLOOKUP(Table7[[#This Row],[Date]],Database!$A:$C,MATCH($B$1,Database!$A$1:$C$1,),))</f>
        <v/>
      </c>
      <c r="C9965">
        <f>IF(VLOOKUP(Table7[[#This Row],[Date]],Database!$A:$C,MATCH($C$1,Database!$A$1:$C$1,),)=0,#N/A,VLOOKUP(Table7[[#This Row],[Date]],Database!$A:$C,MATCH($C$1,Database!$A$1:$C$1,),))</f>
        <v/>
      </c>
      <c r="D9965">
        <f>IFERROR(Table7[[#This Row],[United States 10y]]-Table7[[#This Row],[United States 3y]],#N/A)</f>
        <v/>
      </c>
    </row>
    <row r="9966">
      <c r="A9966" s="6">
        <f>Database!$A12051</f>
        <v/>
      </c>
      <c r="B9966">
        <f>IF(VLOOKUP(Table7[[#This Row],[Date]],Database!$A:$C,MATCH($B$1,Database!$A$1:$C$1,),)=0,#N/A,VLOOKUP(Table7[[#This Row],[Date]],Database!$A:$C,MATCH($B$1,Database!$A$1:$C$1,),))</f>
        <v/>
      </c>
      <c r="C9966">
        <f>IF(VLOOKUP(Table7[[#This Row],[Date]],Database!$A:$C,MATCH($C$1,Database!$A$1:$C$1,),)=0,#N/A,VLOOKUP(Table7[[#This Row],[Date]],Database!$A:$C,MATCH($C$1,Database!$A$1:$C$1,),))</f>
        <v/>
      </c>
      <c r="D9966">
        <f>IFERROR(Table7[[#This Row],[United States 10y]]-Table7[[#This Row],[United States 3y]],#N/A)</f>
        <v/>
      </c>
    </row>
    <row r="9967">
      <c r="A9967" s="6">
        <f>Database!$A12052</f>
        <v/>
      </c>
      <c r="B9967">
        <f>IF(VLOOKUP(Table7[[#This Row],[Date]],Database!$A:$C,MATCH($B$1,Database!$A$1:$C$1,),)=0,#N/A,VLOOKUP(Table7[[#This Row],[Date]],Database!$A:$C,MATCH($B$1,Database!$A$1:$C$1,),))</f>
        <v/>
      </c>
      <c r="C9967">
        <f>IF(VLOOKUP(Table7[[#This Row],[Date]],Database!$A:$C,MATCH($C$1,Database!$A$1:$C$1,),)=0,#N/A,VLOOKUP(Table7[[#This Row],[Date]],Database!$A:$C,MATCH($C$1,Database!$A$1:$C$1,),))</f>
        <v/>
      </c>
      <c r="D9967">
        <f>IFERROR(Table7[[#This Row],[United States 10y]]-Table7[[#This Row],[United States 3y]],#N/A)</f>
        <v/>
      </c>
    </row>
    <row r="9968">
      <c r="A9968" s="6">
        <f>Database!$A12053</f>
        <v/>
      </c>
      <c r="B9968">
        <f>IF(VLOOKUP(Table7[[#This Row],[Date]],Database!$A:$C,MATCH($B$1,Database!$A$1:$C$1,),)=0,#N/A,VLOOKUP(Table7[[#This Row],[Date]],Database!$A:$C,MATCH($B$1,Database!$A$1:$C$1,),))</f>
        <v/>
      </c>
      <c r="C9968">
        <f>IF(VLOOKUP(Table7[[#This Row],[Date]],Database!$A:$C,MATCH($C$1,Database!$A$1:$C$1,),)=0,#N/A,VLOOKUP(Table7[[#This Row],[Date]],Database!$A:$C,MATCH($C$1,Database!$A$1:$C$1,),))</f>
        <v/>
      </c>
      <c r="D9968">
        <f>IFERROR(Table7[[#This Row],[United States 10y]]-Table7[[#This Row],[United States 3y]],#N/A)</f>
        <v/>
      </c>
    </row>
    <row r="9969">
      <c r="A9969" s="6">
        <f>Database!$A12054</f>
        <v/>
      </c>
      <c r="B9969">
        <f>IF(VLOOKUP(Table7[[#This Row],[Date]],Database!$A:$C,MATCH($B$1,Database!$A$1:$C$1,),)=0,#N/A,VLOOKUP(Table7[[#This Row],[Date]],Database!$A:$C,MATCH($B$1,Database!$A$1:$C$1,),))</f>
        <v/>
      </c>
      <c r="C9969">
        <f>IF(VLOOKUP(Table7[[#This Row],[Date]],Database!$A:$C,MATCH($C$1,Database!$A$1:$C$1,),)=0,#N/A,VLOOKUP(Table7[[#This Row],[Date]],Database!$A:$C,MATCH($C$1,Database!$A$1:$C$1,),))</f>
        <v/>
      </c>
      <c r="D9969">
        <f>IFERROR(Table7[[#This Row],[United States 10y]]-Table7[[#This Row],[United States 3y]],#N/A)</f>
        <v/>
      </c>
    </row>
    <row r="9970">
      <c r="A9970" s="6">
        <f>Database!$A12055</f>
        <v/>
      </c>
      <c r="B9970">
        <f>IF(VLOOKUP(Table7[[#This Row],[Date]],Database!$A:$C,MATCH($B$1,Database!$A$1:$C$1,),)=0,#N/A,VLOOKUP(Table7[[#This Row],[Date]],Database!$A:$C,MATCH($B$1,Database!$A$1:$C$1,),))</f>
        <v/>
      </c>
      <c r="C9970">
        <f>IF(VLOOKUP(Table7[[#This Row],[Date]],Database!$A:$C,MATCH($C$1,Database!$A$1:$C$1,),)=0,#N/A,VLOOKUP(Table7[[#This Row],[Date]],Database!$A:$C,MATCH($C$1,Database!$A$1:$C$1,),))</f>
        <v/>
      </c>
      <c r="D9970">
        <f>IFERROR(Table7[[#This Row],[United States 10y]]-Table7[[#This Row],[United States 3y]],#N/A)</f>
        <v/>
      </c>
    </row>
    <row r="9971">
      <c r="A9971" s="6">
        <f>Database!$A12056</f>
        <v/>
      </c>
      <c r="B9971">
        <f>IF(VLOOKUP(Table7[[#This Row],[Date]],Database!$A:$C,MATCH($B$1,Database!$A$1:$C$1,),)=0,#N/A,VLOOKUP(Table7[[#This Row],[Date]],Database!$A:$C,MATCH($B$1,Database!$A$1:$C$1,),))</f>
        <v/>
      </c>
      <c r="C9971">
        <f>IF(VLOOKUP(Table7[[#This Row],[Date]],Database!$A:$C,MATCH($C$1,Database!$A$1:$C$1,),)=0,#N/A,VLOOKUP(Table7[[#This Row],[Date]],Database!$A:$C,MATCH($C$1,Database!$A$1:$C$1,),))</f>
        <v/>
      </c>
      <c r="D9971">
        <f>IFERROR(Table7[[#This Row],[United States 10y]]-Table7[[#This Row],[United States 3y]],#N/A)</f>
        <v/>
      </c>
    </row>
    <row r="9972">
      <c r="A9972" s="6">
        <f>Database!$A12057</f>
        <v/>
      </c>
      <c r="B9972">
        <f>IF(VLOOKUP(Table7[[#This Row],[Date]],Database!$A:$C,MATCH($B$1,Database!$A$1:$C$1,),)=0,#N/A,VLOOKUP(Table7[[#This Row],[Date]],Database!$A:$C,MATCH($B$1,Database!$A$1:$C$1,),))</f>
        <v/>
      </c>
      <c r="C9972">
        <f>IF(VLOOKUP(Table7[[#This Row],[Date]],Database!$A:$C,MATCH($C$1,Database!$A$1:$C$1,),)=0,#N/A,VLOOKUP(Table7[[#This Row],[Date]],Database!$A:$C,MATCH($C$1,Database!$A$1:$C$1,),))</f>
        <v/>
      </c>
      <c r="D9972">
        <f>IFERROR(Table7[[#This Row],[United States 10y]]-Table7[[#This Row],[United States 3y]],#N/A)</f>
        <v/>
      </c>
    </row>
    <row r="9973">
      <c r="A9973" s="6">
        <f>Database!$A12058</f>
        <v/>
      </c>
      <c r="B9973">
        <f>IF(VLOOKUP(Table7[[#This Row],[Date]],Database!$A:$C,MATCH($B$1,Database!$A$1:$C$1,),)=0,#N/A,VLOOKUP(Table7[[#This Row],[Date]],Database!$A:$C,MATCH($B$1,Database!$A$1:$C$1,),))</f>
        <v/>
      </c>
      <c r="C9973">
        <f>IF(VLOOKUP(Table7[[#This Row],[Date]],Database!$A:$C,MATCH($C$1,Database!$A$1:$C$1,),)=0,#N/A,VLOOKUP(Table7[[#This Row],[Date]],Database!$A:$C,MATCH($C$1,Database!$A$1:$C$1,),))</f>
        <v/>
      </c>
      <c r="D9973">
        <f>IFERROR(Table7[[#This Row],[United States 10y]]-Table7[[#This Row],[United States 3y]],#N/A)</f>
        <v/>
      </c>
    </row>
    <row r="9974">
      <c r="A9974" s="6">
        <f>Database!$A12059</f>
        <v/>
      </c>
      <c r="B9974">
        <f>IF(VLOOKUP(Table7[[#This Row],[Date]],Database!$A:$C,MATCH($B$1,Database!$A$1:$C$1,),)=0,#N/A,VLOOKUP(Table7[[#This Row],[Date]],Database!$A:$C,MATCH($B$1,Database!$A$1:$C$1,),))</f>
        <v/>
      </c>
      <c r="C9974">
        <f>IF(VLOOKUP(Table7[[#This Row],[Date]],Database!$A:$C,MATCH($C$1,Database!$A$1:$C$1,),)=0,#N/A,VLOOKUP(Table7[[#This Row],[Date]],Database!$A:$C,MATCH($C$1,Database!$A$1:$C$1,),))</f>
        <v/>
      </c>
      <c r="D9974">
        <f>IFERROR(Table7[[#This Row],[United States 10y]]-Table7[[#This Row],[United States 3y]],#N/A)</f>
        <v/>
      </c>
    </row>
    <row r="9975">
      <c r="A9975" s="6">
        <f>Database!$A12060</f>
        <v/>
      </c>
      <c r="B9975">
        <f>IF(VLOOKUP(Table7[[#This Row],[Date]],Database!$A:$C,MATCH($B$1,Database!$A$1:$C$1,),)=0,#N/A,VLOOKUP(Table7[[#This Row],[Date]],Database!$A:$C,MATCH($B$1,Database!$A$1:$C$1,),))</f>
        <v/>
      </c>
      <c r="C9975">
        <f>IF(VLOOKUP(Table7[[#This Row],[Date]],Database!$A:$C,MATCH($C$1,Database!$A$1:$C$1,),)=0,#N/A,VLOOKUP(Table7[[#This Row],[Date]],Database!$A:$C,MATCH($C$1,Database!$A$1:$C$1,),))</f>
        <v/>
      </c>
      <c r="D9975">
        <f>IFERROR(Table7[[#This Row],[United States 10y]]-Table7[[#This Row],[United States 3y]],#N/A)</f>
        <v/>
      </c>
    </row>
    <row r="9976">
      <c r="A9976" s="6">
        <f>Database!$A12061</f>
        <v/>
      </c>
      <c r="B9976">
        <f>IF(VLOOKUP(Table7[[#This Row],[Date]],Database!$A:$C,MATCH($B$1,Database!$A$1:$C$1,),)=0,#N/A,VLOOKUP(Table7[[#This Row],[Date]],Database!$A:$C,MATCH($B$1,Database!$A$1:$C$1,),))</f>
        <v/>
      </c>
      <c r="C9976">
        <f>IF(VLOOKUP(Table7[[#This Row],[Date]],Database!$A:$C,MATCH($C$1,Database!$A$1:$C$1,),)=0,#N/A,VLOOKUP(Table7[[#This Row],[Date]],Database!$A:$C,MATCH($C$1,Database!$A$1:$C$1,),))</f>
        <v/>
      </c>
      <c r="D9976">
        <f>IFERROR(Table7[[#This Row],[United States 10y]]-Table7[[#This Row],[United States 3y]],#N/A)</f>
        <v/>
      </c>
    </row>
    <row r="9977">
      <c r="A9977" s="6">
        <f>Database!$A12062</f>
        <v/>
      </c>
      <c r="B9977">
        <f>IF(VLOOKUP(Table7[[#This Row],[Date]],Database!$A:$C,MATCH($B$1,Database!$A$1:$C$1,),)=0,#N/A,VLOOKUP(Table7[[#This Row],[Date]],Database!$A:$C,MATCH($B$1,Database!$A$1:$C$1,),))</f>
        <v/>
      </c>
      <c r="C9977">
        <f>IF(VLOOKUP(Table7[[#This Row],[Date]],Database!$A:$C,MATCH($C$1,Database!$A$1:$C$1,),)=0,#N/A,VLOOKUP(Table7[[#This Row],[Date]],Database!$A:$C,MATCH($C$1,Database!$A$1:$C$1,),))</f>
        <v/>
      </c>
      <c r="D9977">
        <f>IFERROR(Table7[[#This Row],[United States 10y]]-Table7[[#This Row],[United States 3y]],#N/A)</f>
        <v/>
      </c>
    </row>
    <row r="9978">
      <c r="A9978" s="6">
        <f>Database!$A12063</f>
        <v/>
      </c>
      <c r="B9978">
        <f>IF(VLOOKUP(Table7[[#This Row],[Date]],Database!$A:$C,MATCH($B$1,Database!$A$1:$C$1,),)=0,#N/A,VLOOKUP(Table7[[#This Row],[Date]],Database!$A:$C,MATCH($B$1,Database!$A$1:$C$1,),))</f>
        <v/>
      </c>
      <c r="C9978">
        <f>IF(VLOOKUP(Table7[[#This Row],[Date]],Database!$A:$C,MATCH($C$1,Database!$A$1:$C$1,),)=0,#N/A,VLOOKUP(Table7[[#This Row],[Date]],Database!$A:$C,MATCH($C$1,Database!$A$1:$C$1,),))</f>
        <v/>
      </c>
      <c r="D9978">
        <f>IFERROR(Table7[[#This Row],[United States 10y]]-Table7[[#This Row],[United States 3y]],#N/A)</f>
        <v/>
      </c>
    </row>
    <row r="9979">
      <c r="A9979" s="6">
        <f>Database!$A12064</f>
        <v/>
      </c>
      <c r="B9979">
        <f>IF(VLOOKUP(Table7[[#This Row],[Date]],Database!$A:$C,MATCH($B$1,Database!$A$1:$C$1,),)=0,#N/A,VLOOKUP(Table7[[#This Row],[Date]],Database!$A:$C,MATCH($B$1,Database!$A$1:$C$1,),))</f>
        <v/>
      </c>
      <c r="C9979">
        <f>IF(VLOOKUP(Table7[[#This Row],[Date]],Database!$A:$C,MATCH($C$1,Database!$A$1:$C$1,),)=0,#N/A,VLOOKUP(Table7[[#This Row],[Date]],Database!$A:$C,MATCH($C$1,Database!$A$1:$C$1,),))</f>
        <v/>
      </c>
      <c r="D9979">
        <f>IFERROR(Table7[[#This Row],[United States 10y]]-Table7[[#This Row],[United States 3y]],#N/A)</f>
        <v/>
      </c>
    </row>
    <row r="9980">
      <c r="A9980" s="6">
        <f>Database!$A12065</f>
        <v/>
      </c>
      <c r="B9980">
        <f>IF(VLOOKUP(Table7[[#This Row],[Date]],Database!$A:$C,MATCH($B$1,Database!$A$1:$C$1,),)=0,#N/A,VLOOKUP(Table7[[#This Row],[Date]],Database!$A:$C,MATCH($B$1,Database!$A$1:$C$1,),))</f>
        <v/>
      </c>
      <c r="C9980">
        <f>IF(VLOOKUP(Table7[[#This Row],[Date]],Database!$A:$C,MATCH($C$1,Database!$A$1:$C$1,),)=0,#N/A,VLOOKUP(Table7[[#This Row],[Date]],Database!$A:$C,MATCH($C$1,Database!$A$1:$C$1,),))</f>
        <v/>
      </c>
      <c r="D9980">
        <f>IFERROR(Table7[[#This Row],[United States 10y]]-Table7[[#This Row],[United States 3y]],#N/A)</f>
        <v/>
      </c>
    </row>
    <row r="9981">
      <c r="A9981" s="6">
        <f>Database!$A12066</f>
        <v/>
      </c>
      <c r="B9981">
        <f>IF(VLOOKUP(Table7[[#This Row],[Date]],Database!$A:$C,MATCH($B$1,Database!$A$1:$C$1,),)=0,#N/A,VLOOKUP(Table7[[#This Row],[Date]],Database!$A:$C,MATCH($B$1,Database!$A$1:$C$1,),))</f>
        <v/>
      </c>
      <c r="C9981">
        <f>IF(VLOOKUP(Table7[[#This Row],[Date]],Database!$A:$C,MATCH($C$1,Database!$A$1:$C$1,),)=0,#N/A,VLOOKUP(Table7[[#This Row],[Date]],Database!$A:$C,MATCH($C$1,Database!$A$1:$C$1,),))</f>
        <v/>
      </c>
      <c r="D9981">
        <f>IFERROR(Table7[[#This Row],[United States 10y]]-Table7[[#This Row],[United States 3y]],#N/A)</f>
        <v/>
      </c>
    </row>
    <row r="9982">
      <c r="A9982" s="6">
        <f>Database!$A12067</f>
        <v/>
      </c>
      <c r="B9982">
        <f>IF(VLOOKUP(Table7[[#This Row],[Date]],Database!$A:$C,MATCH($B$1,Database!$A$1:$C$1,),)=0,#N/A,VLOOKUP(Table7[[#This Row],[Date]],Database!$A:$C,MATCH($B$1,Database!$A$1:$C$1,),))</f>
        <v/>
      </c>
      <c r="C9982">
        <f>IF(VLOOKUP(Table7[[#This Row],[Date]],Database!$A:$C,MATCH($C$1,Database!$A$1:$C$1,),)=0,#N/A,VLOOKUP(Table7[[#This Row],[Date]],Database!$A:$C,MATCH($C$1,Database!$A$1:$C$1,),))</f>
        <v/>
      </c>
      <c r="D9982">
        <f>IFERROR(Table7[[#This Row],[United States 10y]]-Table7[[#This Row],[United States 3y]],#N/A)</f>
        <v/>
      </c>
    </row>
    <row r="9983">
      <c r="A9983" s="6">
        <f>Database!$A12068</f>
        <v/>
      </c>
      <c r="B9983">
        <f>IF(VLOOKUP(Table7[[#This Row],[Date]],Database!$A:$C,MATCH($B$1,Database!$A$1:$C$1,),)=0,#N/A,VLOOKUP(Table7[[#This Row],[Date]],Database!$A:$C,MATCH($B$1,Database!$A$1:$C$1,),))</f>
        <v/>
      </c>
      <c r="C9983">
        <f>IF(VLOOKUP(Table7[[#This Row],[Date]],Database!$A:$C,MATCH($C$1,Database!$A$1:$C$1,),)=0,#N/A,VLOOKUP(Table7[[#This Row],[Date]],Database!$A:$C,MATCH($C$1,Database!$A$1:$C$1,),))</f>
        <v/>
      </c>
      <c r="D9983">
        <f>IFERROR(Table7[[#This Row],[United States 10y]]-Table7[[#This Row],[United States 3y]],#N/A)</f>
        <v/>
      </c>
    </row>
    <row r="9984">
      <c r="A9984" s="6">
        <f>Database!$A12069</f>
        <v/>
      </c>
      <c r="B9984">
        <f>IF(VLOOKUP(Table7[[#This Row],[Date]],Database!$A:$C,MATCH($B$1,Database!$A$1:$C$1,),)=0,#N/A,VLOOKUP(Table7[[#This Row],[Date]],Database!$A:$C,MATCH($B$1,Database!$A$1:$C$1,),))</f>
        <v/>
      </c>
      <c r="C9984">
        <f>IF(VLOOKUP(Table7[[#This Row],[Date]],Database!$A:$C,MATCH($C$1,Database!$A$1:$C$1,),)=0,#N/A,VLOOKUP(Table7[[#This Row],[Date]],Database!$A:$C,MATCH($C$1,Database!$A$1:$C$1,),))</f>
        <v/>
      </c>
      <c r="D9984">
        <f>IFERROR(Table7[[#This Row],[United States 10y]]-Table7[[#This Row],[United States 3y]],#N/A)</f>
        <v/>
      </c>
    </row>
    <row r="9985">
      <c r="A9985" s="6">
        <f>Database!$A12070</f>
        <v/>
      </c>
      <c r="B9985">
        <f>IF(VLOOKUP(Table7[[#This Row],[Date]],Database!$A:$C,MATCH($B$1,Database!$A$1:$C$1,),)=0,#N/A,VLOOKUP(Table7[[#This Row],[Date]],Database!$A:$C,MATCH($B$1,Database!$A$1:$C$1,),))</f>
        <v/>
      </c>
      <c r="C9985">
        <f>IF(VLOOKUP(Table7[[#This Row],[Date]],Database!$A:$C,MATCH($C$1,Database!$A$1:$C$1,),)=0,#N/A,VLOOKUP(Table7[[#This Row],[Date]],Database!$A:$C,MATCH($C$1,Database!$A$1:$C$1,),))</f>
        <v/>
      </c>
      <c r="D9985">
        <f>IFERROR(Table7[[#This Row],[United States 10y]]-Table7[[#This Row],[United States 3y]],#N/A)</f>
        <v/>
      </c>
    </row>
    <row r="9986">
      <c r="A9986" s="6">
        <f>Database!$A12071</f>
        <v/>
      </c>
      <c r="B9986">
        <f>IF(VLOOKUP(Table7[[#This Row],[Date]],Database!$A:$C,MATCH($B$1,Database!$A$1:$C$1,),)=0,#N/A,VLOOKUP(Table7[[#This Row],[Date]],Database!$A:$C,MATCH($B$1,Database!$A$1:$C$1,),))</f>
        <v/>
      </c>
      <c r="C9986">
        <f>IF(VLOOKUP(Table7[[#This Row],[Date]],Database!$A:$C,MATCH($C$1,Database!$A$1:$C$1,),)=0,#N/A,VLOOKUP(Table7[[#This Row],[Date]],Database!$A:$C,MATCH($C$1,Database!$A$1:$C$1,),))</f>
        <v/>
      </c>
      <c r="D9986">
        <f>IFERROR(Table7[[#This Row],[United States 10y]]-Table7[[#This Row],[United States 3y]],#N/A)</f>
        <v/>
      </c>
    </row>
    <row r="9987">
      <c r="A9987" s="6">
        <f>Database!$A12072</f>
        <v/>
      </c>
      <c r="B9987">
        <f>IF(VLOOKUP(Table7[[#This Row],[Date]],Database!$A:$C,MATCH($B$1,Database!$A$1:$C$1,),)=0,#N/A,VLOOKUP(Table7[[#This Row],[Date]],Database!$A:$C,MATCH($B$1,Database!$A$1:$C$1,),))</f>
        <v/>
      </c>
      <c r="C9987">
        <f>IF(VLOOKUP(Table7[[#This Row],[Date]],Database!$A:$C,MATCH($C$1,Database!$A$1:$C$1,),)=0,#N/A,VLOOKUP(Table7[[#This Row],[Date]],Database!$A:$C,MATCH($C$1,Database!$A$1:$C$1,),))</f>
        <v/>
      </c>
      <c r="D9987">
        <f>IFERROR(Table7[[#This Row],[United States 10y]]-Table7[[#This Row],[United States 3y]],#N/A)</f>
        <v/>
      </c>
    </row>
    <row r="9988">
      <c r="A9988" s="6">
        <f>Database!$A12073</f>
        <v/>
      </c>
      <c r="B9988">
        <f>IF(VLOOKUP(Table7[[#This Row],[Date]],Database!$A:$C,MATCH($B$1,Database!$A$1:$C$1,),)=0,#N/A,VLOOKUP(Table7[[#This Row],[Date]],Database!$A:$C,MATCH($B$1,Database!$A$1:$C$1,),))</f>
        <v/>
      </c>
      <c r="C9988">
        <f>IF(VLOOKUP(Table7[[#This Row],[Date]],Database!$A:$C,MATCH($C$1,Database!$A$1:$C$1,),)=0,#N/A,VLOOKUP(Table7[[#This Row],[Date]],Database!$A:$C,MATCH($C$1,Database!$A$1:$C$1,),))</f>
        <v/>
      </c>
      <c r="D9988">
        <f>IFERROR(Table7[[#This Row],[United States 10y]]-Table7[[#This Row],[United States 3y]],#N/A)</f>
        <v/>
      </c>
    </row>
    <row r="9989">
      <c r="A9989" s="6">
        <f>Database!$A12074</f>
        <v/>
      </c>
      <c r="B9989">
        <f>IF(VLOOKUP(Table7[[#This Row],[Date]],Database!$A:$C,MATCH($B$1,Database!$A$1:$C$1,),)=0,#N/A,VLOOKUP(Table7[[#This Row],[Date]],Database!$A:$C,MATCH($B$1,Database!$A$1:$C$1,),))</f>
        <v/>
      </c>
      <c r="C9989">
        <f>IF(VLOOKUP(Table7[[#This Row],[Date]],Database!$A:$C,MATCH($C$1,Database!$A$1:$C$1,),)=0,#N/A,VLOOKUP(Table7[[#This Row],[Date]],Database!$A:$C,MATCH($C$1,Database!$A$1:$C$1,),))</f>
        <v/>
      </c>
      <c r="D9989">
        <f>IFERROR(Table7[[#This Row],[United States 10y]]-Table7[[#This Row],[United States 3y]],#N/A)</f>
        <v/>
      </c>
    </row>
    <row r="9990">
      <c r="A9990" s="6">
        <f>Database!$A12075</f>
        <v/>
      </c>
      <c r="B9990">
        <f>IF(VLOOKUP(Table7[[#This Row],[Date]],Database!$A:$C,MATCH($B$1,Database!$A$1:$C$1,),)=0,#N/A,VLOOKUP(Table7[[#This Row],[Date]],Database!$A:$C,MATCH($B$1,Database!$A$1:$C$1,),))</f>
        <v/>
      </c>
      <c r="C9990">
        <f>IF(VLOOKUP(Table7[[#This Row],[Date]],Database!$A:$C,MATCH($C$1,Database!$A$1:$C$1,),)=0,#N/A,VLOOKUP(Table7[[#This Row],[Date]],Database!$A:$C,MATCH($C$1,Database!$A$1:$C$1,),))</f>
        <v/>
      </c>
      <c r="D9990">
        <f>IFERROR(Table7[[#This Row],[United States 10y]]-Table7[[#This Row],[United States 3y]],#N/A)</f>
        <v/>
      </c>
    </row>
    <row r="9991">
      <c r="A9991" s="6">
        <f>Database!$A12076</f>
        <v/>
      </c>
      <c r="B9991">
        <f>IF(VLOOKUP(Table7[[#This Row],[Date]],Database!$A:$C,MATCH($B$1,Database!$A$1:$C$1,),)=0,#N/A,VLOOKUP(Table7[[#This Row],[Date]],Database!$A:$C,MATCH($B$1,Database!$A$1:$C$1,),))</f>
        <v/>
      </c>
      <c r="C9991">
        <f>IF(VLOOKUP(Table7[[#This Row],[Date]],Database!$A:$C,MATCH($C$1,Database!$A$1:$C$1,),)=0,#N/A,VLOOKUP(Table7[[#This Row],[Date]],Database!$A:$C,MATCH($C$1,Database!$A$1:$C$1,),))</f>
        <v/>
      </c>
      <c r="D9991">
        <f>IFERROR(Table7[[#This Row],[United States 10y]]-Table7[[#This Row],[United States 3y]],#N/A)</f>
        <v/>
      </c>
    </row>
    <row r="9992">
      <c r="A9992" s="6">
        <f>Database!$A12077</f>
        <v/>
      </c>
      <c r="B9992">
        <f>IF(VLOOKUP(Table7[[#This Row],[Date]],Database!$A:$C,MATCH($B$1,Database!$A$1:$C$1,),)=0,#N/A,VLOOKUP(Table7[[#This Row],[Date]],Database!$A:$C,MATCH($B$1,Database!$A$1:$C$1,),))</f>
        <v/>
      </c>
      <c r="C9992">
        <f>IF(VLOOKUP(Table7[[#This Row],[Date]],Database!$A:$C,MATCH($C$1,Database!$A$1:$C$1,),)=0,#N/A,VLOOKUP(Table7[[#This Row],[Date]],Database!$A:$C,MATCH($C$1,Database!$A$1:$C$1,),))</f>
        <v/>
      </c>
      <c r="D9992">
        <f>IFERROR(Table7[[#This Row],[United States 10y]]-Table7[[#This Row],[United States 3y]],#N/A)</f>
        <v/>
      </c>
    </row>
    <row r="9993">
      <c r="A9993" s="6">
        <f>Database!$A12078</f>
        <v/>
      </c>
      <c r="B9993">
        <f>IF(VLOOKUP(Table7[[#This Row],[Date]],Database!$A:$C,MATCH($B$1,Database!$A$1:$C$1,),)=0,#N/A,VLOOKUP(Table7[[#This Row],[Date]],Database!$A:$C,MATCH($B$1,Database!$A$1:$C$1,),))</f>
        <v/>
      </c>
      <c r="C9993">
        <f>IF(VLOOKUP(Table7[[#This Row],[Date]],Database!$A:$C,MATCH($C$1,Database!$A$1:$C$1,),)=0,#N/A,VLOOKUP(Table7[[#This Row],[Date]],Database!$A:$C,MATCH($C$1,Database!$A$1:$C$1,),))</f>
        <v/>
      </c>
      <c r="D9993">
        <f>IFERROR(Table7[[#This Row],[United States 10y]]-Table7[[#This Row],[United States 3y]],#N/A)</f>
        <v/>
      </c>
    </row>
    <row r="9994">
      <c r="A9994" s="6">
        <f>Database!$A12079</f>
        <v/>
      </c>
      <c r="B9994">
        <f>IF(VLOOKUP(Table7[[#This Row],[Date]],Database!$A:$C,MATCH($B$1,Database!$A$1:$C$1,),)=0,#N/A,VLOOKUP(Table7[[#This Row],[Date]],Database!$A:$C,MATCH($B$1,Database!$A$1:$C$1,),))</f>
        <v/>
      </c>
      <c r="C9994">
        <f>IF(VLOOKUP(Table7[[#This Row],[Date]],Database!$A:$C,MATCH($C$1,Database!$A$1:$C$1,),)=0,#N/A,VLOOKUP(Table7[[#This Row],[Date]],Database!$A:$C,MATCH($C$1,Database!$A$1:$C$1,),))</f>
        <v/>
      </c>
      <c r="D9994">
        <f>IFERROR(Table7[[#This Row],[United States 10y]]-Table7[[#This Row],[United States 3y]],#N/A)</f>
        <v/>
      </c>
    </row>
    <row r="9995">
      <c r="A9995" s="6">
        <f>Database!$A12080</f>
        <v/>
      </c>
      <c r="B9995">
        <f>IF(VLOOKUP(Table7[[#This Row],[Date]],Database!$A:$C,MATCH($B$1,Database!$A$1:$C$1,),)=0,#N/A,VLOOKUP(Table7[[#This Row],[Date]],Database!$A:$C,MATCH($B$1,Database!$A$1:$C$1,),))</f>
        <v/>
      </c>
      <c r="C9995">
        <f>IF(VLOOKUP(Table7[[#This Row],[Date]],Database!$A:$C,MATCH($C$1,Database!$A$1:$C$1,),)=0,#N/A,VLOOKUP(Table7[[#This Row],[Date]],Database!$A:$C,MATCH($C$1,Database!$A$1:$C$1,),))</f>
        <v/>
      </c>
      <c r="D9995">
        <f>IFERROR(Table7[[#This Row],[United States 10y]]-Table7[[#This Row],[United States 3y]],#N/A)</f>
        <v/>
      </c>
    </row>
    <row r="9996">
      <c r="A9996" s="6">
        <f>Database!$A12081</f>
        <v/>
      </c>
      <c r="B9996">
        <f>IF(VLOOKUP(Table7[[#This Row],[Date]],Database!$A:$C,MATCH($B$1,Database!$A$1:$C$1,),)=0,#N/A,VLOOKUP(Table7[[#This Row],[Date]],Database!$A:$C,MATCH($B$1,Database!$A$1:$C$1,),))</f>
        <v/>
      </c>
      <c r="C9996">
        <f>IF(VLOOKUP(Table7[[#This Row],[Date]],Database!$A:$C,MATCH($C$1,Database!$A$1:$C$1,),)=0,#N/A,VLOOKUP(Table7[[#This Row],[Date]],Database!$A:$C,MATCH($C$1,Database!$A$1:$C$1,),))</f>
        <v/>
      </c>
      <c r="D9996">
        <f>IFERROR(Table7[[#This Row],[United States 10y]]-Table7[[#This Row],[United States 3y]],#N/A)</f>
        <v/>
      </c>
    </row>
    <row r="9997">
      <c r="A9997" s="6">
        <f>Database!$A12082</f>
        <v/>
      </c>
      <c r="B9997">
        <f>IF(VLOOKUP(Table7[[#This Row],[Date]],Database!$A:$C,MATCH($B$1,Database!$A$1:$C$1,),)=0,#N/A,VLOOKUP(Table7[[#This Row],[Date]],Database!$A:$C,MATCH($B$1,Database!$A$1:$C$1,),))</f>
        <v/>
      </c>
      <c r="C9997">
        <f>IF(VLOOKUP(Table7[[#This Row],[Date]],Database!$A:$C,MATCH($C$1,Database!$A$1:$C$1,),)=0,#N/A,VLOOKUP(Table7[[#This Row],[Date]],Database!$A:$C,MATCH($C$1,Database!$A$1:$C$1,),))</f>
        <v/>
      </c>
      <c r="D9997">
        <f>IFERROR(Table7[[#This Row],[United States 10y]]-Table7[[#This Row],[United States 3y]],#N/A)</f>
        <v/>
      </c>
    </row>
    <row r="9998">
      <c r="A9998" s="6">
        <f>Database!$A12083</f>
        <v/>
      </c>
      <c r="B9998">
        <f>IF(VLOOKUP(Table7[[#This Row],[Date]],Database!$A:$C,MATCH($B$1,Database!$A$1:$C$1,),)=0,#N/A,VLOOKUP(Table7[[#This Row],[Date]],Database!$A:$C,MATCH($B$1,Database!$A$1:$C$1,),))</f>
        <v/>
      </c>
      <c r="C9998">
        <f>IF(VLOOKUP(Table7[[#This Row],[Date]],Database!$A:$C,MATCH($C$1,Database!$A$1:$C$1,),)=0,#N/A,VLOOKUP(Table7[[#This Row],[Date]],Database!$A:$C,MATCH($C$1,Database!$A$1:$C$1,),))</f>
        <v/>
      </c>
      <c r="D9998">
        <f>IFERROR(Table7[[#This Row],[United States 10y]]-Table7[[#This Row],[United States 3y]],#N/A)</f>
        <v/>
      </c>
    </row>
    <row r="9999">
      <c r="A9999" s="6">
        <f>Database!$A12084</f>
        <v/>
      </c>
      <c r="B9999">
        <f>IF(VLOOKUP(Table7[[#This Row],[Date]],Database!$A:$C,MATCH($B$1,Database!$A$1:$C$1,),)=0,#N/A,VLOOKUP(Table7[[#This Row],[Date]],Database!$A:$C,MATCH($B$1,Database!$A$1:$C$1,),))</f>
        <v/>
      </c>
      <c r="C9999">
        <f>IF(VLOOKUP(Table7[[#This Row],[Date]],Database!$A:$C,MATCH($C$1,Database!$A$1:$C$1,),)=0,#N/A,VLOOKUP(Table7[[#This Row],[Date]],Database!$A:$C,MATCH($C$1,Database!$A$1:$C$1,),))</f>
        <v/>
      </c>
      <c r="D9999">
        <f>IFERROR(Table7[[#This Row],[United States 10y]]-Table7[[#This Row],[United States 3y]],#N/A)</f>
        <v/>
      </c>
    </row>
    <row r="10000">
      <c r="A10000" s="6">
        <f>Database!$A12085</f>
        <v/>
      </c>
      <c r="B10000">
        <f>IF(VLOOKUP(Table7[[#This Row],[Date]],Database!$A:$C,MATCH($B$1,Database!$A$1:$C$1,),)=0,#N/A,VLOOKUP(Table7[[#This Row],[Date]],Database!$A:$C,MATCH($B$1,Database!$A$1:$C$1,),))</f>
        <v/>
      </c>
      <c r="C10000">
        <f>IF(VLOOKUP(Table7[[#This Row],[Date]],Database!$A:$C,MATCH($C$1,Database!$A$1:$C$1,),)=0,#N/A,VLOOKUP(Table7[[#This Row],[Date]],Database!$A:$C,MATCH($C$1,Database!$A$1:$C$1,),))</f>
        <v/>
      </c>
      <c r="D10000">
        <f>IFERROR(Table7[[#This Row],[United States 10y]]-Table7[[#This Row],[United States 3y]],#N/A)</f>
        <v/>
      </c>
    </row>
    <row r="10001">
      <c r="A10001" s="6">
        <f>Database!$A12086</f>
        <v/>
      </c>
      <c r="B10001">
        <f>IF(VLOOKUP(Table7[[#This Row],[Date]],Database!$A:$C,MATCH($B$1,Database!$A$1:$C$1,),)=0,#N/A,VLOOKUP(Table7[[#This Row],[Date]],Database!$A:$C,MATCH($B$1,Database!$A$1:$C$1,),))</f>
        <v/>
      </c>
      <c r="C10001">
        <f>IF(VLOOKUP(Table7[[#This Row],[Date]],Database!$A:$C,MATCH($C$1,Database!$A$1:$C$1,),)=0,#N/A,VLOOKUP(Table7[[#This Row],[Date]],Database!$A:$C,MATCH($C$1,Database!$A$1:$C$1,),))</f>
        <v/>
      </c>
      <c r="D10001">
        <f>IFERROR(Table7[[#This Row],[United States 10y]]-Table7[[#This Row],[United States 3y]],#N/A)</f>
        <v/>
      </c>
    </row>
    <row r="10002">
      <c r="A10002" s="6">
        <f>Database!$A12087</f>
        <v/>
      </c>
      <c r="B10002">
        <f>IF(VLOOKUP(Table7[[#This Row],[Date]],Database!$A:$C,MATCH($B$1,Database!$A$1:$C$1,),)=0,#N/A,VLOOKUP(Table7[[#This Row],[Date]],Database!$A:$C,MATCH($B$1,Database!$A$1:$C$1,),))</f>
        <v/>
      </c>
      <c r="C10002">
        <f>IF(VLOOKUP(Table7[[#This Row],[Date]],Database!$A:$C,MATCH($C$1,Database!$A$1:$C$1,),)=0,#N/A,VLOOKUP(Table7[[#This Row],[Date]],Database!$A:$C,MATCH($C$1,Database!$A$1:$C$1,),))</f>
        <v/>
      </c>
      <c r="D10002">
        <f>IFERROR(Table7[[#This Row],[United States 10y]]-Table7[[#This Row],[United States 3y]],#N/A)</f>
        <v/>
      </c>
    </row>
    <row r="10003">
      <c r="A10003" s="6">
        <f>Database!$A12088</f>
        <v/>
      </c>
      <c r="B10003">
        <f>IF(VLOOKUP(Table7[[#This Row],[Date]],Database!$A:$C,MATCH($B$1,Database!$A$1:$C$1,),)=0,#N/A,VLOOKUP(Table7[[#This Row],[Date]],Database!$A:$C,MATCH($B$1,Database!$A$1:$C$1,),))</f>
        <v/>
      </c>
      <c r="C10003">
        <f>IF(VLOOKUP(Table7[[#This Row],[Date]],Database!$A:$C,MATCH($C$1,Database!$A$1:$C$1,),)=0,#N/A,VLOOKUP(Table7[[#This Row],[Date]],Database!$A:$C,MATCH($C$1,Database!$A$1:$C$1,),))</f>
        <v/>
      </c>
      <c r="D10003">
        <f>IFERROR(Table7[[#This Row],[United States 10y]]-Table7[[#This Row],[United States 3y]],#N/A)</f>
        <v/>
      </c>
    </row>
    <row r="10004">
      <c r="A10004" s="6">
        <f>Database!$A12089</f>
        <v/>
      </c>
      <c r="B10004">
        <f>IF(VLOOKUP(Table7[[#This Row],[Date]],Database!$A:$C,MATCH($B$1,Database!$A$1:$C$1,),)=0,#N/A,VLOOKUP(Table7[[#This Row],[Date]],Database!$A:$C,MATCH($B$1,Database!$A$1:$C$1,),))</f>
        <v/>
      </c>
      <c r="C10004">
        <f>IF(VLOOKUP(Table7[[#This Row],[Date]],Database!$A:$C,MATCH($C$1,Database!$A$1:$C$1,),)=0,#N/A,VLOOKUP(Table7[[#This Row],[Date]],Database!$A:$C,MATCH($C$1,Database!$A$1:$C$1,),))</f>
        <v/>
      </c>
      <c r="D10004">
        <f>IFERROR(Table7[[#This Row],[United States 10y]]-Table7[[#This Row],[United States 3y]],#N/A)</f>
        <v/>
      </c>
    </row>
    <row r="10005">
      <c r="A10005" s="6">
        <f>Database!$A12090</f>
        <v/>
      </c>
      <c r="B10005">
        <f>IF(VLOOKUP(Table7[[#This Row],[Date]],Database!$A:$C,MATCH($B$1,Database!$A$1:$C$1,),)=0,#N/A,VLOOKUP(Table7[[#This Row],[Date]],Database!$A:$C,MATCH($B$1,Database!$A$1:$C$1,),))</f>
        <v/>
      </c>
      <c r="C10005">
        <f>IF(VLOOKUP(Table7[[#This Row],[Date]],Database!$A:$C,MATCH($C$1,Database!$A$1:$C$1,),)=0,#N/A,VLOOKUP(Table7[[#This Row],[Date]],Database!$A:$C,MATCH($C$1,Database!$A$1:$C$1,),))</f>
        <v/>
      </c>
      <c r="D10005">
        <f>IFERROR(Table7[[#This Row],[United States 10y]]-Table7[[#This Row],[United States 3y]],#N/A)</f>
        <v/>
      </c>
    </row>
    <row r="10006">
      <c r="A10006" s="6">
        <f>Database!$A12091</f>
        <v/>
      </c>
      <c r="B10006">
        <f>IF(VLOOKUP(Table7[[#This Row],[Date]],Database!$A:$C,MATCH($B$1,Database!$A$1:$C$1,),)=0,#N/A,VLOOKUP(Table7[[#This Row],[Date]],Database!$A:$C,MATCH($B$1,Database!$A$1:$C$1,),))</f>
        <v/>
      </c>
      <c r="C10006">
        <f>IF(VLOOKUP(Table7[[#This Row],[Date]],Database!$A:$C,MATCH($C$1,Database!$A$1:$C$1,),)=0,#N/A,VLOOKUP(Table7[[#This Row],[Date]],Database!$A:$C,MATCH($C$1,Database!$A$1:$C$1,),))</f>
        <v/>
      </c>
      <c r="D10006">
        <f>IFERROR(Table7[[#This Row],[United States 10y]]-Table7[[#This Row],[United States 3y]],#N/A)</f>
        <v/>
      </c>
    </row>
    <row r="10007">
      <c r="A10007" s="6">
        <f>Database!$A12092</f>
        <v/>
      </c>
      <c r="B10007">
        <f>IF(VLOOKUP(Table7[[#This Row],[Date]],Database!$A:$C,MATCH($B$1,Database!$A$1:$C$1,),)=0,#N/A,VLOOKUP(Table7[[#This Row],[Date]],Database!$A:$C,MATCH($B$1,Database!$A$1:$C$1,),))</f>
        <v/>
      </c>
      <c r="C10007">
        <f>IF(VLOOKUP(Table7[[#This Row],[Date]],Database!$A:$C,MATCH($C$1,Database!$A$1:$C$1,),)=0,#N/A,VLOOKUP(Table7[[#This Row],[Date]],Database!$A:$C,MATCH($C$1,Database!$A$1:$C$1,),))</f>
        <v/>
      </c>
      <c r="D10007">
        <f>IFERROR(Table7[[#This Row],[United States 10y]]-Table7[[#This Row],[United States 3y]],#N/A)</f>
        <v/>
      </c>
    </row>
    <row r="10008">
      <c r="A10008" s="6">
        <f>Database!$A12093</f>
        <v/>
      </c>
      <c r="B10008">
        <f>IF(VLOOKUP(Table7[[#This Row],[Date]],Database!$A:$C,MATCH($B$1,Database!$A$1:$C$1,),)=0,#N/A,VLOOKUP(Table7[[#This Row],[Date]],Database!$A:$C,MATCH($B$1,Database!$A$1:$C$1,),))</f>
        <v/>
      </c>
      <c r="C10008">
        <f>IF(VLOOKUP(Table7[[#This Row],[Date]],Database!$A:$C,MATCH($C$1,Database!$A$1:$C$1,),)=0,#N/A,VLOOKUP(Table7[[#This Row],[Date]],Database!$A:$C,MATCH($C$1,Database!$A$1:$C$1,),))</f>
        <v/>
      </c>
      <c r="D10008">
        <f>IFERROR(Table7[[#This Row],[United States 10y]]-Table7[[#This Row],[United States 3y]],#N/A)</f>
        <v/>
      </c>
    </row>
    <row r="10009">
      <c r="A10009" s="6">
        <f>Database!$A12094</f>
        <v/>
      </c>
      <c r="B10009">
        <f>IF(VLOOKUP(Table7[[#This Row],[Date]],Database!$A:$C,MATCH($B$1,Database!$A$1:$C$1,),)=0,#N/A,VLOOKUP(Table7[[#This Row],[Date]],Database!$A:$C,MATCH($B$1,Database!$A$1:$C$1,),))</f>
        <v/>
      </c>
      <c r="C10009">
        <f>IF(VLOOKUP(Table7[[#This Row],[Date]],Database!$A:$C,MATCH($C$1,Database!$A$1:$C$1,),)=0,#N/A,VLOOKUP(Table7[[#This Row],[Date]],Database!$A:$C,MATCH($C$1,Database!$A$1:$C$1,),))</f>
        <v/>
      </c>
      <c r="D10009">
        <f>IFERROR(Table7[[#This Row],[United States 10y]]-Table7[[#This Row],[United States 3y]],#N/A)</f>
        <v/>
      </c>
    </row>
    <row r="10010">
      <c r="A10010" s="6">
        <f>Database!$A12095</f>
        <v/>
      </c>
      <c r="B10010">
        <f>IF(VLOOKUP(Table7[[#This Row],[Date]],Database!$A:$C,MATCH($B$1,Database!$A$1:$C$1,),)=0,#N/A,VLOOKUP(Table7[[#This Row],[Date]],Database!$A:$C,MATCH($B$1,Database!$A$1:$C$1,),))</f>
        <v/>
      </c>
      <c r="C10010">
        <f>IF(VLOOKUP(Table7[[#This Row],[Date]],Database!$A:$C,MATCH($C$1,Database!$A$1:$C$1,),)=0,#N/A,VLOOKUP(Table7[[#This Row],[Date]],Database!$A:$C,MATCH($C$1,Database!$A$1:$C$1,),))</f>
        <v/>
      </c>
      <c r="D10010">
        <f>IFERROR(Table7[[#This Row],[United States 10y]]-Table7[[#This Row],[United States 3y]],#N/A)</f>
        <v/>
      </c>
    </row>
    <row r="10011">
      <c r="A10011" s="6">
        <f>Database!$A12096</f>
        <v/>
      </c>
      <c r="B10011">
        <f>IF(VLOOKUP(Table7[[#This Row],[Date]],Database!$A:$C,MATCH($B$1,Database!$A$1:$C$1,),)=0,#N/A,VLOOKUP(Table7[[#This Row],[Date]],Database!$A:$C,MATCH($B$1,Database!$A$1:$C$1,),))</f>
        <v/>
      </c>
      <c r="C10011">
        <f>IF(VLOOKUP(Table7[[#This Row],[Date]],Database!$A:$C,MATCH($C$1,Database!$A$1:$C$1,),)=0,#N/A,VLOOKUP(Table7[[#This Row],[Date]],Database!$A:$C,MATCH($C$1,Database!$A$1:$C$1,),))</f>
        <v/>
      </c>
      <c r="D10011">
        <f>IFERROR(Table7[[#This Row],[United States 10y]]-Table7[[#This Row],[United States 3y]],#N/A)</f>
        <v/>
      </c>
    </row>
    <row r="10012">
      <c r="A10012" s="6">
        <f>Database!$A12097</f>
        <v/>
      </c>
      <c r="B10012">
        <f>IF(VLOOKUP(Table7[[#This Row],[Date]],Database!$A:$C,MATCH($B$1,Database!$A$1:$C$1,),)=0,#N/A,VLOOKUP(Table7[[#This Row],[Date]],Database!$A:$C,MATCH($B$1,Database!$A$1:$C$1,),))</f>
        <v/>
      </c>
      <c r="C10012">
        <f>IF(VLOOKUP(Table7[[#This Row],[Date]],Database!$A:$C,MATCH($C$1,Database!$A$1:$C$1,),)=0,#N/A,VLOOKUP(Table7[[#This Row],[Date]],Database!$A:$C,MATCH($C$1,Database!$A$1:$C$1,),))</f>
        <v/>
      </c>
      <c r="D10012">
        <f>IFERROR(Table7[[#This Row],[United States 10y]]-Table7[[#This Row],[United States 3y]],#N/A)</f>
        <v/>
      </c>
    </row>
    <row r="10013">
      <c r="A10013" s="6">
        <f>Database!$A12098</f>
        <v/>
      </c>
      <c r="B10013">
        <f>IF(VLOOKUP(Table7[[#This Row],[Date]],Database!$A:$C,MATCH($B$1,Database!$A$1:$C$1,),)=0,#N/A,VLOOKUP(Table7[[#This Row],[Date]],Database!$A:$C,MATCH($B$1,Database!$A$1:$C$1,),))</f>
        <v/>
      </c>
      <c r="C10013">
        <f>IF(VLOOKUP(Table7[[#This Row],[Date]],Database!$A:$C,MATCH($C$1,Database!$A$1:$C$1,),)=0,#N/A,VLOOKUP(Table7[[#This Row],[Date]],Database!$A:$C,MATCH($C$1,Database!$A$1:$C$1,),))</f>
        <v/>
      </c>
      <c r="D10013">
        <f>IFERROR(Table7[[#This Row],[United States 10y]]-Table7[[#This Row],[United States 3y]],#N/A)</f>
        <v/>
      </c>
    </row>
    <row r="10014">
      <c r="A10014" s="6">
        <f>Database!$A12099</f>
        <v/>
      </c>
      <c r="B10014">
        <f>IF(VLOOKUP(Table7[[#This Row],[Date]],Database!$A:$C,MATCH($B$1,Database!$A$1:$C$1,),)=0,#N/A,VLOOKUP(Table7[[#This Row],[Date]],Database!$A:$C,MATCH($B$1,Database!$A$1:$C$1,),))</f>
        <v/>
      </c>
      <c r="C10014">
        <f>IF(VLOOKUP(Table7[[#This Row],[Date]],Database!$A:$C,MATCH($C$1,Database!$A$1:$C$1,),)=0,#N/A,VLOOKUP(Table7[[#This Row],[Date]],Database!$A:$C,MATCH($C$1,Database!$A$1:$C$1,),))</f>
        <v/>
      </c>
      <c r="D10014">
        <f>IFERROR(Table7[[#This Row],[United States 10y]]-Table7[[#This Row],[United States 3y]],#N/A)</f>
        <v/>
      </c>
    </row>
    <row r="10015">
      <c r="A10015" s="6">
        <f>Database!$A12100</f>
        <v/>
      </c>
      <c r="B10015">
        <f>IF(VLOOKUP(Table7[[#This Row],[Date]],Database!$A:$C,MATCH($B$1,Database!$A$1:$C$1,),)=0,#N/A,VLOOKUP(Table7[[#This Row],[Date]],Database!$A:$C,MATCH($B$1,Database!$A$1:$C$1,),))</f>
        <v/>
      </c>
      <c r="C10015">
        <f>IF(VLOOKUP(Table7[[#This Row],[Date]],Database!$A:$C,MATCH($C$1,Database!$A$1:$C$1,),)=0,#N/A,VLOOKUP(Table7[[#This Row],[Date]],Database!$A:$C,MATCH($C$1,Database!$A$1:$C$1,),))</f>
        <v/>
      </c>
      <c r="D10015">
        <f>IFERROR(Table7[[#This Row],[United States 10y]]-Table7[[#This Row],[United States 3y]],#N/A)</f>
        <v/>
      </c>
    </row>
    <row r="10016">
      <c r="A10016" s="6">
        <f>Database!$A12101</f>
        <v/>
      </c>
      <c r="B10016">
        <f>IF(VLOOKUP(Table7[[#This Row],[Date]],Database!$A:$C,MATCH($B$1,Database!$A$1:$C$1,),)=0,#N/A,VLOOKUP(Table7[[#This Row],[Date]],Database!$A:$C,MATCH($B$1,Database!$A$1:$C$1,),))</f>
        <v/>
      </c>
      <c r="C10016">
        <f>IF(VLOOKUP(Table7[[#This Row],[Date]],Database!$A:$C,MATCH($C$1,Database!$A$1:$C$1,),)=0,#N/A,VLOOKUP(Table7[[#This Row],[Date]],Database!$A:$C,MATCH($C$1,Database!$A$1:$C$1,),))</f>
        <v/>
      </c>
      <c r="D10016">
        <f>IFERROR(Table7[[#This Row],[United States 10y]]-Table7[[#This Row],[United States 3y]],#N/A)</f>
        <v/>
      </c>
    </row>
    <row r="10017">
      <c r="A10017" s="6">
        <f>Database!$A12102</f>
        <v/>
      </c>
      <c r="B10017">
        <f>IF(VLOOKUP(Table7[[#This Row],[Date]],Database!$A:$C,MATCH($B$1,Database!$A$1:$C$1,),)=0,#N/A,VLOOKUP(Table7[[#This Row],[Date]],Database!$A:$C,MATCH($B$1,Database!$A$1:$C$1,),))</f>
        <v/>
      </c>
      <c r="C10017">
        <f>IF(VLOOKUP(Table7[[#This Row],[Date]],Database!$A:$C,MATCH($C$1,Database!$A$1:$C$1,),)=0,#N/A,VLOOKUP(Table7[[#This Row],[Date]],Database!$A:$C,MATCH($C$1,Database!$A$1:$C$1,),))</f>
        <v/>
      </c>
      <c r="D10017">
        <f>IFERROR(Table7[[#This Row],[United States 10y]]-Table7[[#This Row],[United States 3y]],#N/A)</f>
        <v/>
      </c>
    </row>
    <row r="10018">
      <c r="A10018" s="6">
        <f>Database!$A12103</f>
        <v/>
      </c>
      <c r="B10018">
        <f>IF(VLOOKUP(Table7[[#This Row],[Date]],Database!$A:$C,MATCH($B$1,Database!$A$1:$C$1,),)=0,#N/A,VLOOKUP(Table7[[#This Row],[Date]],Database!$A:$C,MATCH($B$1,Database!$A$1:$C$1,),))</f>
        <v/>
      </c>
      <c r="C10018">
        <f>IF(VLOOKUP(Table7[[#This Row],[Date]],Database!$A:$C,MATCH($C$1,Database!$A$1:$C$1,),)=0,#N/A,VLOOKUP(Table7[[#This Row],[Date]],Database!$A:$C,MATCH($C$1,Database!$A$1:$C$1,),))</f>
        <v/>
      </c>
      <c r="D10018">
        <f>IFERROR(Table7[[#This Row],[United States 10y]]-Table7[[#This Row],[United States 3y]],#N/A)</f>
        <v/>
      </c>
    </row>
    <row r="10019">
      <c r="A10019" s="6">
        <f>Database!$A12104</f>
        <v/>
      </c>
      <c r="B10019">
        <f>IF(VLOOKUP(Table7[[#This Row],[Date]],Database!$A:$C,MATCH($B$1,Database!$A$1:$C$1,),)=0,#N/A,VLOOKUP(Table7[[#This Row],[Date]],Database!$A:$C,MATCH($B$1,Database!$A$1:$C$1,),))</f>
        <v/>
      </c>
      <c r="C10019">
        <f>IF(VLOOKUP(Table7[[#This Row],[Date]],Database!$A:$C,MATCH($C$1,Database!$A$1:$C$1,),)=0,#N/A,VLOOKUP(Table7[[#This Row],[Date]],Database!$A:$C,MATCH($C$1,Database!$A$1:$C$1,),))</f>
        <v/>
      </c>
      <c r="D10019">
        <f>IFERROR(Table7[[#This Row],[United States 10y]]-Table7[[#This Row],[United States 3y]],#N/A)</f>
        <v/>
      </c>
    </row>
    <row r="10020">
      <c r="A10020" s="6">
        <f>Database!$A12105</f>
        <v/>
      </c>
      <c r="B10020">
        <f>IF(VLOOKUP(Table7[[#This Row],[Date]],Database!$A:$C,MATCH($B$1,Database!$A$1:$C$1,),)=0,#N/A,VLOOKUP(Table7[[#This Row],[Date]],Database!$A:$C,MATCH($B$1,Database!$A$1:$C$1,),))</f>
        <v/>
      </c>
      <c r="C10020">
        <f>IF(VLOOKUP(Table7[[#This Row],[Date]],Database!$A:$C,MATCH($C$1,Database!$A$1:$C$1,),)=0,#N/A,VLOOKUP(Table7[[#This Row],[Date]],Database!$A:$C,MATCH($C$1,Database!$A$1:$C$1,),))</f>
        <v/>
      </c>
      <c r="D10020">
        <f>IFERROR(Table7[[#This Row],[United States 10y]]-Table7[[#This Row],[United States 3y]],#N/A)</f>
        <v/>
      </c>
    </row>
    <row r="10021">
      <c r="A10021" s="6">
        <f>Database!$A12106</f>
        <v/>
      </c>
      <c r="B10021">
        <f>IF(VLOOKUP(Table7[[#This Row],[Date]],Database!$A:$C,MATCH($B$1,Database!$A$1:$C$1,),)=0,#N/A,VLOOKUP(Table7[[#This Row],[Date]],Database!$A:$C,MATCH($B$1,Database!$A$1:$C$1,),))</f>
        <v/>
      </c>
      <c r="C10021">
        <f>IF(VLOOKUP(Table7[[#This Row],[Date]],Database!$A:$C,MATCH($C$1,Database!$A$1:$C$1,),)=0,#N/A,VLOOKUP(Table7[[#This Row],[Date]],Database!$A:$C,MATCH($C$1,Database!$A$1:$C$1,),))</f>
        <v/>
      </c>
      <c r="D10021">
        <f>IFERROR(Table7[[#This Row],[United States 10y]]-Table7[[#This Row],[United States 3y]],#N/A)</f>
        <v/>
      </c>
    </row>
    <row r="10022">
      <c r="A10022" s="6">
        <f>Database!$A12107</f>
        <v/>
      </c>
      <c r="B10022">
        <f>IF(VLOOKUP(Table7[[#This Row],[Date]],Database!$A:$C,MATCH($B$1,Database!$A$1:$C$1,),)=0,#N/A,VLOOKUP(Table7[[#This Row],[Date]],Database!$A:$C,MATCH($B$1,Database!$A$1:$C$1,),))</f>
        <v/>
      </c>
      <c r="C10022">
        <f>IF(VLOOKUP(Table7[[#This Row],[Date]],Database!$A:$C,MATCH($C$1,Database!$A$1:$C$1,),)=0,#N/A,VLOOKUP(Table7[[#This Row],[Date]],Database!$A:$C,MATCH($C$1,Database!$A$1:$C$1,),))</f>
        <v/>
      </c>
      <c r="D10022">
        <f>IFERROR(Table7[[#This Row],[United States 10y]]-Table7[[#This Row],[United States 3y]],#N/A)</f>
        <v/>
      </c>
    </row>
    <row r="10023">
      <c r="A10023" s="6">
        <f>Database!$A12108</f>
        <v/>
      </c>
      <c r="B10023">
        <f>IF(VLOOKUP(Table7[[#This Row],[Date]],Database!$A:$C,MATCH($B$1,Database!$A$1:$C$1,),)=0,#N/A,VLOOKUP(Table7[[#This Row],[Date]],Database!$A:$C,MATCH($B$1,Database!$A$1:$C$1,),))</f>
        <v/>
      </c>
      <c r="C10023">
        <f>IF(VLOOKUP(Table7[[#This Row],[Date]],Database!$A:$C,MATCH($C$1,Database!$A$1:$C$1,),)=0,#N/A,VLOOKUP(Table7[[#This Row],[Date]],Database!$A:$C,MATCH($C$1,Database!$A$1:$C$1,),))</f>
        <v/>
      </c>
      <c r="D10023">
        <f>IFERROR(Table7[[#This Row],[United States 10y]]-Table7[[#This Row],[United States 3y]],#N/A)</f>
        <v/>
      </c>
    </row>
    <row r="10024">
      <c r="A10024" s="6">
        <f>Database!$A12109</f>
        <v/>
      </c>
      <c r="B10024">
        <f>IF(VLOOKUP(Table7[[#This Row],[Date]],Database!$A:$C,MATCH($B$1,Database!$A$1:$C$1,),)=0,#N/A,VLOOKUP(Table7[[#This Row],[Date]],Database!$A:$C,MATCH($B$1,Database!$A$1:$C$1,),))</f>
        <v/>
      </c>
      <c r="C10024">
        <f>IF(VLOOKUP(Table7[[#This Row],[Date]],Database!$A:$C,MATCH($C$1,Database!$A$1:$C$1,),)=0,#N/A,VLOOKUP(Table7[[#This Row],[Date]],Database!$A:$C,MATCH($C$1,Database!$A$1:$C$1,),))</f>
        <v/>
      </c>
      <c r="D10024">
        <f>IFERROR(Table7[[#This Row],[United States 10y]]-Table7[[#This Row],[United States 3y]],#N/A)</f>
        <v/>
      </c>
    </row>
    <row r="10025">
      <c r="A10025" s="6">
        <f>Database!$A12110</f>
        <v/>
      </c>
      <c r="B10025">
        <f>IF(VLOOKUP(Table7[[#This Row],[Date]],Database!$A:$C,MATCH($B$1,Database!$A$1:$C$1,),)=0,#N/A,VLOOKUP(Table7[[#This Row],[Date]],Database!$A:$C,MATCH($B$1,Database!$A$1:$C$1,),))</f>
        <v/>
      </c>
      <c r="C10025">
        <f>IF(VLOOKUP(Table7[[#This Row],[Date]],Database!$A:$C,MATCH($C$1,Database!$A$1:$C$1,),)=0,#N/A,VLOOKUP(Table7[[#This Row],[Date]],Database!$A:$C,MATCH($C$1,Database!$A$1:$C$1,),))</f>
        <v/>
      </c>
      <c r="D10025">
        <f>IFERROR(Table7[[#This Row],[United States 10y]]-Table7[[#This Row],[United States 3y]],#N/A)</f>
        <v/>
      </c>
    </row>
    <row r="10026">
      <c r="A10026" s="6">
        <f>Database!$A12111</f>
        <v/>
      </c>
      <c r="B10026">
        <f>IF(VLOOKUP(Table7[[#This Row],[Date]],Database!$A:$C,MATCH($B$1,Database!$A$1:$C$1,),)=0,#N/A,VLOOKUP(Table7[[#This Row],[Date]],Database!$A:$C,MATCH($B$1,Database!$A$1:$C$1,),))</f>
        <v/>
      </c>
      <c r="C10026">
        <f>IF(VLOOKUP(Table7[[#This Row],[Date]],Database!$A:$C,MATCH($C$1,Database!$A$1:$C$1,),)=0,#N/A,VLOOKUP(Table7[[#This Row],[Date]],Database!$A:$C,MATCH($C$1,Database!$A$1:$C$1,),))</f>
        <v/>
      </c>
      <c r="D10026">
        <f>IFERROR(Table7[[#This Row],[United States 10y]]-Table7[[#This Row],[United States 3y]],#N/A)</f>
        <v/>
      </c>
    </row>
    <row r="10027">
      <c r="A10027" s="6">
        <f>Database!$A12112</f>
        <v/>
      </c>
      <c r="B10027">
        <f>IF(VLOOKUP(Table7[[#This Row],[Date]],Database!$A:$C,MATCH($B$1,Database!$A$1:$C$1,),)=0,#N/A,VLOOKUP(Table7[[#This Row],[Date]],Database!$A:$C,MATCH($B$1,Database!$A$1:$C$1,),))</f>
        <v/>
      </c>
      <c r="C10027">
        <f>IF(VLOOKUP(Table7[[#This Row],[Date]],Database!$A:$C,MATCH($C$1,Database!$A$1:$C$1,),)=0,#N/A,VLOOKUP(Table7[[#This Row],[Date]],Database!$A:$C,MATCH($C$1,Database!$A$1:$C$1,),))</f>
        <v/>
      </c>
      <c r="D10027">
        <f>IFERROR(Table7[[#This Row],[United States 10y]]-Table7[[#This Row],[United States 3y]],#N/A)</f>
        <v/>
      </c>
    </row>
    <row r="10028">
      <c r="A10028" s="6">
        <f>Database!$A12113</f>
        <v/>
      </c>
      <c r="B10028">
        <f>IF(VLOOKUP(Table7[[#This Row],[Date]],Database!$A:$C,MATCH($B$1,Database!$A$1:$C$1,),)=0,#N/A,VLOOKUP(Table7[[#This Row],[Date]],Database!$A:$C,MATCH($B$1,Database!$A$1:$C$1,),))</f>
        <v/>
      </c>
      <c r="C10028">
        <f>IF(VLOOKUP(Table7[[#This Row],[Date]],Database!$A:$C,MATCH($C$1,Database!$A$1:$C$1,),)=0,#N/A,VLOOKUP(Table7[[#This Row],[Date]],Database!$A:$C,MATCH($C$1,Database!$A$1:$C$1,),))</f>
        <v/>
      </c>
      <c r="D10028">
        <f>IFERROR(Table7[[#This Row],[United States 10y]]-Table7[[#This Row],[United States 3y]],#N/A)</f>
        <v/>
      </c>
    </row>
    <row r="10029">
      <c r="A10029" s="6">
        <f>Database!$A12114</f>
        <v/>
      </c>
      <c r="B10029">
        <f>IF(VLOOKUP(Table7[[#This Row],[Date]],Database!$A:$C,MATCH($B$1,Database!$A$1:$C$1,),)=0,#N/A,VLOOKUP(Table7[[#This Row],[Date]],Database!$A:$C,MATCH($B$1,Database!$A$1:$C$1,),))</f>
        <v/>
      </c>
      <c r="C10029">
        <f>IF(VLOOKUP(Table7[[#This Row],[Date]],Database!$A:$C,MATCH($C$1,Database!$A$1:$C$1,),)=0,#N/A,VLOOKUP(Table7[[#This Row],[Date]],Database!$A:$C,MATCH($C$1,Database!$A$1:$C$1,),))</f>
        <v/>
      </c>
      <c r="D10029">
        <f>IFERROR(Table7[[#This Row],[United States 10y]]-Table7[[#This Row],[United States 3y]],#N/A)</f>
        <v/>
      </c>
    </row>
    <row r="10030">
      <c r="A10030" s="6">
        <f>Database!$A12115</f>
        <v/>
      </c>
      <c r="B10030">
        <f>IF(VLOOKUP(Table7[[#This Row],[Date]],Database!$A:$C,MATCH($B$1,Database!$A$1:$C$1,),)=0,#N/A,VLOOKUP(Table7[[#This Row],[Date]],Database!$A:$C,MATCH($B$1,Database!$A$1:$C$1,),))</f>
        <v/>
      </c>
      <c r="C10030">
        <f>IF(VLOOKUP(Table7[[#This Row],[Date]],Database!$A:$C,MATCH($C$1,Database!$A$1:$C$1,),)=0,#N/A,VLOOKUP(Table7[[#This Row],[Date]],Database!$A:$C,MATCH($C$1,Database!$A$1:$C$1,),))</f>
        <v/>
      </c>
      <c r="D10030">
        <f>IFERROR(Table7[[#This Row],[United States 10y]]-Table7[[#This Row],[United States 3y]],#N/A)</f>
        <v/>
      </c>
    </row>
    <row r="10031">
      <c r="A10031" s="6">
        <f>Database!$A12116</f>
        <v/>
      </c>
      <c r="B10031">
        <f>IF(VLOOKUP(Table7[[#This Row],[Date]],Database!$A:$C,MATCH($B$1,Database!$A$1:$C$1,),)=0,#N/A,VLOOKUP(Table7[[#This Row],[Date]],Database!$A:$C,MATCH($B$1,Database!$A$1:$C$1,),))</f>
        <v/>
      </c>
      <c r="C10031">
        <f>IF(VLOOKUP(Table7[[#This Row],[Date]],Database!$A:$C,MATCH($C$1,Database!$A$1:$C$1,),)=0,#N/A,VLOOKUP(Table7[[#This Row],[Date]],Database!$A:$C,MATCH($C$1,Database!$A$1:$C$1,),))</f>
        <v/>
      </c>
      <c r="D10031">
        <f>IFERROR(Table7[[#This Row],[United States 10y]]-Table7[[#This Row],[United States 3y]],#N/A)</f>
        <v/>
      </c>
    </row>
    <row r="10032">
      <c r="A10032" s="6">
        <f>Database!$A12117</f>
        <v/>
      </c>
      <c r="B10032">
        <f>IF(VLOOKUP(Table7[[#This Row],[Date]],Database!$A:$C,MATCH($B$1,Database!$A$1:$C$1,),)=0,#N/A,VLOOKUP(Table7[[#This Row],[Date]],Database!$A:$C,MATCH($B$1,Database!$A$1:$C$1,),))</f>
        <v/>
      </c>
      <c r="C10032">
        <f>IF(VLOOKUP(Table7[[#This Row],[Date]],Database!$A:$C,MATCH($C$1,Database!$A$1:$C$1,),)=0,#N/A,VLOOKUP(Table7[[#This Row],[Date]],Database!$A:$C,MATCH($C$1,Database!$A$1:$C$1,),))</f>
        <v/>
      </c>
      <c r="D10032">
        <f>IFERROR(Table7[[#This Row],[United States 10y]]-Table7[[#This Row],[United States 3y]],#N/A)</f>
        <v/>
      </c>
    </row>
    <row r="10033">
      <c r="A10033" s="6">
        <f>Database!$A12118</f>
        <v/>
      </c>
      <c r="B10033">
        <f>IF(VLOOKUP(Table7[[#This Row],[Date]],Database!$A:$C,MATCH($B$1,Database!$A$1:$C$1,),)=0,#N/A,VLOOKUP(Table7[[#This Row],[Date]],Database!$A:$C,MATCH($B$1,Database!$A$1:$C$1,),))</f>
        <v/>
      </c>
      <c r="C10033">
        <f>IF(VLOOKUP(Table7[[#This Row],[Date]],Database!$A:$C,MATCH($C$1,Database!$A$1:$C$1,),)=0,#N/A,VLOOKUP(Table7[[#This Row],[Date]],Database!$A:$C,MATCH($C$1,Database!$A$1:$C$1,),))</f>
        <v/>
      </c>
      <c r="D10033">
        <f>IFERROR(Table7[[#This Row],[United States 10y]]-Table7[[#This Row],[United States 3y]],#N/A)</f>
        <v/>
      </c>
    </row>
    <row r="10034">
      <c r="A10034" s="6">
        <f>Database!$A12119</f>
        <v/>
      </c>
      <c r="B10034">
        <f>IF(VLOOKUP(Table7[[#This Row],[Date]],Database!$A:$C,MATCH($B$1,Database!$A$1:$C$1,),)=0,#N/A,VLOOKUP(Table7[[#This Row],[Date]],Database!$A:$C,MATCH($B$1,Database!$A$1:$C$1,),))</f>
        <v/>
      </c>
      <c r="C10034">
        <f>IF(VLOOKUP(Table7[[#This Row],[Date]],Database!$A:$C,MATCH($C$1,Database!$A$1:$C$1,),)=0,#N/A,VLOOKUP(Table7[[#This Row],[Date]],Database!$A:$C,MATCH($C$1,Database!$A$1:$C$1,),))</f>
        <v/>
      </c>
      <c r="D10034">
        <f>IFERROR(Table7[[#This Row],[United States 10y]]-Table7[[#This Row],[United States 3y]],#N/A)</f>
        <v/>
      </c>
    </row>
    <row r="10035">
      <c r="A10035" s="6">
        <f>Database!$A12120</f>
        <v/>
      </c>
      <c r="B10035">
        <f>IF(VLOOKUP(Table7[[#This Row],[Date]],Database!$A:$C,MATCH($B$1,Database!$A$1:$C$1,),)=0,#N/A,VLOOKUP(Table7[[#This Row],[Date]],Database!$A:$C,MATCH($B$1,Database!$A$1:$C$1,),))</f>
        <v/>
      </c>
      <c r="C10035">
        <f>IF(VLOOKUP(Table7[[#This Row],[Date]],Database!$A:$C,MATCH($C$1,Database!$A$1:$C$1,),)=0,#N/A,VLOOKUP(Table7[[#This Row],[Date]],Database!$A:$C,MATCH($C$1,Database!$A$1:$C$1,),))</f>
        <v/>
      </c>
      <c r="D10035">
        <f>IFERROR(Table7[[#This Row],[United States 10y]]-Table7[[#This Row],[United States 3y]],#N/A)</f>
        <v/>
      </c>
    </row>
    <row r="10036">
      <c r="A10036" s="6">
        <f>Database!$A12121</f>
        <v/>
      </c>
      <c r="B10036">
        <f>IF(VLOOKUP(Table7[[#This Row],[Date]],Database!$A:$C,MATCH($B$1,Database!$A$1:$C$1,),)=0,#N/A,VLOOKUP(Table7[[#This Row],[Date]],Database!$A:$C,MATCH($B$1,Database!$A$1:$C$1,),))</f>
        <v/>
      </c>
      <c r="C10036">
        <f>IF(VLOOKUP(Table7[[#This Row],[Date]],Database!$A:$C,MATCH($C$1,Database!$A$1:$C$1,),)=0,#N/A,VLOOKUP(Table7[[#This Row],[Date]],Database!$A:$C,MATCH($C$1,Database!$A$1:$C$1,),))</f>
        <v/>
      </c>
      <c r="D10036">
        <f>IFERROR(Table7[[#This Row],[United States 10y]]-Table7[[#This Row],[United States 3y]],#N/A)</f>
        <v/>
      </c>
    </row>
    <row r="10037">
      <c r="A10037" s="6">
        <f>Database!$A12122</f>
        <v/>
      </c>
      <c r="B10037">
        <f>IF(VLOOKUP(Table7[[#This Row],[Date]],Database!$A:$C,MATCH($B$1,Database!$A$1:$C$1,),)=0,#N/A,VLOOKUP(Table7[[#This Row],[Date]],Database!$A:$C,MATCH($B$1,Database!$A$1:$C$1,),))</f>
        <v/>
      </c>
      <c r="C10037">
        <f>IF(VLOOKUP(Table7[[#This Row],[Date]],Database!$A:$C,MATCH($C$1,Database!$A$1:$C$1,),)=0,#N/A,VLOOKUP(Table7[[#This Row],[Date]],Database!$A:$C,MATCH($C$1,Database!$A$1:$C$1,),))</f>
        <v/>
      </c>
      <c r="D10037">
        <f>IFERROR(Table7[[#This Row],[United States 10y]]-Table7[[#This Row],[United States 3y]],#N/A)</f>
        <v/>
      </c>
    </row>
    <row r="10038">
      <c r="A10038" s="6">
        <f>Database!$A12123</f>
        <v/>
      </c>
      <c r="B10038">
        <f>IF(VLOOKUP(Table7[[#This Row],[Date]],Database!$A:$C,MATCH($B$1,Database!$A$1:$C$1,),)=0,#N/A,VLOOKUP(Table7[[#This Row],[Date]],Database!$A:$C,MATCH($B$1,Database!$A$1:$C$1,),))</f>
        <v/>
      </c>
      <c r="C10038">
        <f>IF(VLOOKUP(Table7[[#This Row],[Date]],Database!$A:$C,MATCH($C$1,Database!$A$1:$C$1,),)=0,#N/A,VLOOKUP(Table7[[#This Row],[Date]],Database!$A:$C,MATCH($C$1,Database!$A$1:$C$1,),))</f>
        <v/>
      </c>
      <c r="D10038">
        <f>IFERROR(Table7[[#This Row],[United States 10y]]-Table7[[#This Row],[United States 3y]],#N/A)</f>
        <v/>
      </c>
    </row>
    <row r="10039">
      <c r="A10039" s="6">
        <f>Database!$A12124</f>
        <v/>
      </c>
      <c r="B10039">
        <f>IF(VLOOKUP(Table7[[#This Row],[Date]],Database!$A:$C,MATCH($B$1,Database!$A$1:$C$1,),)=0,#N/A,VLOOKUP(Table7[[#This Row],[Date]],Database!$A:$C,MATCH($B$1,Database!$A$1:$C$1,),))</f>
        <v/>
      </c>
      <c r="C10039">
        <f>IF(VLOOKUP(Table7[[#This Row],[Date]],Database!$A:$C,MATCH($C$1,Database!$A$1:$C$1,),)=0,#N/A,VLOOKUP(Table7[[#This Row],[Date]],Database!$A:$C,MATCH($C$1,Database!$A$1:$C$1,),))</f>
        <v/>
      </c>
      <c r="D10039">
        <f>IFERROR(Table7[[#This Row],[United States 10y]]-Table7[[#This Row],[United States 3y]],#N/A)</f>
        <v/>
      </c>
    </row>
    <row r="10040">
      <c r="A10040" s="6">
        <f>Database!$A12125</f>
        <v/>
      </c>
      <c r="B10040">
        <f>IF(VLOOKUP(Table7[[#This Row],[Date]],Database!$A:$C,MATCH($B$1,Database!$A$1:$C$1,),)=0,#N/A,VLOOKUP(Table7[[#This Row],[Date]],Database!$A:$C,MATCH($B$1,Database!$A$1:$C$1,),))</f>
        <v/>
      </c>
      <c r="C10040">
        <f>IF(VLOOKUP(Table7[[#This Row],[Date]],Database!$A:$C,MATCH($C$1,Database!$A$1:$C$1,),)=0,#N/A,VLOOKUP(Table7[[#This Row],[Date]],Database!$A:$C,MATCH($C$1,Database!$A$1:$C$1,),))</f>
        <v/>
      </c>
      <c r="D10040">
        <f>IFERROR(Table7[[#This Row],[United States 10y]]-Table7[[#This Row],[United States 3y]],#N/A)</f>
        <v/>
      </c>
    </row>
    <row r="10041">
      <c r="A10041" s="6">
        <f>Database!$A12126</f>
        <v/>
      </c>
      <c r="B10041">
        <f>IF(VLOOKUP(Table7[[#This Row],[Date]],Database!$A:$C,MATCH($B$1,Database!$A$1:$C$1,),)=0,#N/A,VLOOKUP(Table7[[#This Row],[Date]],Database!$A:$C,MATCH($B$1,Database!$A$1:$C$1,),))</f>
        <v/>
      </c>
      <c r="C10041">
        <f>IF(VLOOKUP(Table7[[#This Row],[Date]],Database!$A:$C,MATCH($C$1,Database!$A$1:$C$1,),)=0,#N/A,VLOOKUP(Table7[[#This Row],[Date]],Database!$A:$C,MATCH($C$1,Database!$A$1:$C$1,),))</f>
        <v/>
      </c>
      <c r="D10041">
        <f>IFERROR(Table7[[#This Row],[United States 10y]]-Table7[[#This Row],[United States 3y]],#N/A)</f>
        <v/>
      </c>
    </row>
    <row r="10042">
      <c r="A10042" s="6">
        <f>Database!$A12127</f>
        <v/>
      </c>
      <c r="B10042">
        <f>IF(VLOOKUP(Table7[[#This Row],[Date]],Database!$A:$C,MATCH($B$1,Database!$A$1:$C$1,),)=0,#N/A,VLOOKUP(Table7[[#This Row],[Date]],Database!$A:$C,MATCH($B$1,Database!$A$1:$C$1,),))</f>
        <v/>
      </c>
      <c r="C10042">
        <f>IF(VLOOKUP(Table7[[#This Row],[Date]],Database!$A:$C,MATCH($C$1,Database!$A$1:$C$1,),)=0,#N/A,VLOOKUP(Table7[[#This Row],[Date]],Database!$A:$C,MATCH($C$1,Database!$A$1:$C$1,),))</f>
        <v/>
      </c>
      <c r="D10042">
        <f>IFERROR(Table7[[#This Row],[United States 10y]]-Table7[[#This Row],[United States 3y]],#N/A)</f>
        <v/>
      </c>
    </row>
    <row r="10043">
      <c r="A10043" s="6">
        <f>Database!$A12128</f>
        <v/>
      </c>
      <c r="B10043">
        <f>IF(VLOOKUP(Table7[[#This Row],[Date]],Database!$A:$C,MATCH($B$1,Database!$A$1:$C$1,),)=0,#N/A,VLOOKUP(Table7[[#This Row],[Date]],Database!$A:$C,MATCH($B$1,Database!$A$1:$C$1,),))</f>
        <v/>
      </c>
      <c r="C10043">
        <f>IF(VLOOKUP(Table7[[#This Row],[Date]],Database!$A:$C,MATCH($C$1,Database!$A$1:$C$1,),)=0,#N/A,VLOOKUP(Table7[[#This Row],[Date]],Database!$A:$C,MATCH($C$1,Database!$A$1:$C$1,),))</f>
        <v/>
      </c>
      <c r="D10043">
        <f>IFERROR(Table7[[#This Row],[United States 10y]]-Table7[[#This Row],[United States 3y]],#N/A)</f>
        <v/>
      </c>
    </row>
    <row r="10044">
      <c r="A10044" s="6">
        <f>Database!$A12129</f>
        <v/>
      </c>
      <c r="B10044">
        <f>IF(VLOOKUP(Table7[[#This Row],[Date]],Database!$A:$C,MATCH($B$1,Database!$A$1:$C$1,),)=0,#N/A,VLOOKUP(Table7[[#This Row],[Date]],Database!$A:$C,MATCH($B$1,Database!$A$1:$C$1,),))</f>
        <v/>
      </c>
      <c r="C10044">
        <f>IF(VLOOKUP(Table7[[#This Row],[Date]],Database!$A:$C,MATCH($C$1,Database!$A$1:$C$1,),)=0,#N/A,VLOOKUP(Table7[[#This Row],[Date]],Database!$A:$C,MATCH($C$1,Database!$A$1:$C$1,),))</f>
        <v/>
      </c>
      <c r="D10044">
        <f>IFERROR(Table7[[#This Row],[United States 10y]]-Table7[[#This Row],[United States 3y]],#N/A)</f>
        <v/>
      </c>
    </row>
    <row r="10045">
      <c r="A10045" s="6">
        <f>Database!$A12130</f>
        <v/>
      </c>
      <c r="B10045">
        <f>IF(VLOOKUP(Table7[[#This Row],[Date]],Database!$A:$C,MATCH($B$1,Database!$A$1:$C$1,),)=0,#N/A,VLOOKUP(Table7[[#This Row],[Date]],Database!$A:$C,MATCH($B$1,Database!$A$1:$C$1,),))</f>
        <v/>
      </c>
      <c r="C10045">
        <f>IF(VLOOKUP(Table7[[#This Row],[Date]],Database!$A:$C,MATCH($C$1,Database!$A$1:$C$1,),)=0,#N/A,VLOOKUP(Table7[[#This Row],[Date]],Database!$A:$C,MATCH($C$1,Database!$A$1:$C$1,),))</f>
        <v/>
      </c>
      <c r="D10045">
        <f>IFERROR(Table7[[#This Row],[United States 10y]]-Table7[[#This Row],[United States 3y]],#N/A)</f>
        <v/>
      </c>
    </row>
    <row r="10046">
      <c r="A10046" s="6">
        <f>Database!$A12131</f>
        <v/>
      </c>
      <c r="B10046">
        <f>IF(VLOOKUP(Table7[[#This Row],[Date]],Database!$A:$C,MATCH($B$1,Database!$A$1:$C$1,),)=0,#N/A,VLOOKUP(Table7[[#This Row],[Date]],Database!$A:$C,MATCH($B$1,Database!$A$1:$C$1,),))</f>
        <v/>
      </c>
      <c r="C10046">
        <f>IF(VLOOKUP(Table7[[#This Row],[Date]],Database!$A:$C,MATCH($C$1,Database!$A$1:$C$1,),)=0,#N/A,VLOOKUP(Table7[[#This Row],[Date]],Database!$A:$C,MATCH($C$1,Database!$A$1:$C$1,),))</f>
        <v/>
      </c>
      <c r="D10046">
        <f>IFERROR(Table7[[#This Row],[United States 10y]]-Table7[[#This Row],[United States 3y]],#N/A)</f>
        <v/>
      </c>
    </row>
    <row r="10047">
      <c r="A10047" s="6">
        <f>Database!$A12132</f>
        <v/>
      </c>
      <c r="B10047">
        <f>IF(VLOOKUP(Table7[[#This Row],[Date]],Database!$A:$C,MATCH($B$1,Database!$A$1:$C$1,),)=0,#N/A,VLOOKUP(Table7[[#This Row],[Date]],Database!$A:$C,MATCH($B$1,Database!$A$1:$C$1,),))</f>
        <v/>
      </c>
      <c r="C10047">
        <f>IF(VLOOKUP(Table7[[#This Row],[Date]],Database!$A:$C,MATCH($C$1,Database!$A$1:$C$1,),)=0,#N/A,VLOOKUP(Table7[[#This Row],[Date]],Database!$A:$C,MATCH($C$1,Database!$A$1:$C$1,),))</f>
        <v/>
      </c>
      <c r="D10047">
        <f>IFERROR(Table7[[#This Row],[United States 10y]]-Table7[[#This Row],[United States 3y]],#N/A)</f>
        <v/>
      </c>
    </row>
    <row r="10048">
      <c r="A10048" s="6">
        <f>Database!$A12133</f>
        <v/>
      </c>
      <c r="B10048">
        <f>IF(VLOOKUP(Table7[[#This Row],[Date]],Database!$A:$C,MATCH($B$1,Database!$A$1:$C$1,),)=0,#N/A,VLOOKUP(Table7[[#This Row],[Date]],Database!$A:$C,MATCH($B$1,Database!$A$1:$C$1,),))</f>
        <v/>
      </c>
      <c r="C10048">
        <f>IF(VLOOKUP(Table7[[#This Row],[Date]],Database!$A:$C,MATCH($C$1,Database!$A$1:$C$1,),)=0,#N/A,VLOOKUP(Table7[[#This Row],[Date]],Database!$A:$C,MATCH($C$1,Database!$A$1:$C$1,),))</f>
        <v/>
      </c>
      <c r="D10048">
        <f>IFERROR(Table7[[#This Row],[United States 10y]]-Table7[[#This Row],[United States 3y]],#N/A)</f>
        <v/>
      </c>
    </row>
    <row r="10049">
      <c r="A10049" s="6">
        <f>Database!$A12134</f>
        <v/>
      </c>
      <c r="B10049">
        <f>IF(VLOOKUP(Table7[[#This Row],[Date]],Database!$A:$C,MATCH($B$1,Database!$A$1:$C$1,),)=0,#N/A,VLOOKUP(Table7[[#This Row],[Date]],Database!$A:$C,MATCH($B$1,Database!$A$1:$C$1,),))</f>
        <v/>
      </c>
      <c r="C10049">
        <f>IF(VLOOKUP(Table7[[#This Row],[Date]],Database!$A:$C,MATCH($C$1,Database!$A$1:$C$1,),)=0,#N/A,VLOOKUP(Table7[[#This Row],[Date]],Database!$A:$C,MATCH($C$1,Database!$A$1:$C$1,),))</f>
        <v/>
      </c>
      <c r="D10049">
        <f>IFERROR(Table7[[#This Row],[United States 10y]]-Table7[[#This Row],[United States 3y]],#N/A)</f>
        <v/>
      </c>
    </row>
    <row r="10050">
      <c r="A10050" s="6">
        <f>Database!$A12135</f>
        <v/>
      </c>
      <c r="B10050">
        <f>IF(VLOOKUP(Table7[[#This Row],[Date]],Database!$A:$C,MATCH($B$1,Database!$A$1:$C$1,),)=0,#N/A,VLOOKUP(Table7[[#This Row],[Date]],Database!$A:$C,MATCH($B$1,Database!$A$1:$C$1,),))</f>
        <v/>
      </c>
      <c r="C10050">
        <f>IF(VLOOKUP(Table7[[#This Row],[Date]],Database!$A:$C,MATCH($C$1,Database!$A$1:$C$1,),)=0,#N/A,VLOOKUP(Table7[[#This Row],[Date]],Database!$A:$C,MATCH($C$1,Database!$A$1:$C$1,),))</f>
        <v/>
      </c>
      <c r="D10050">
        <f>IFERROR(Table7[[#This Row],[United States 10y]]-Table7[[#This Row],[United States 3y]],#N/A)</f>
        <v/>
      </c>
    </row>
    <row r="10051">
      <c r="A10051" s="6">
        <f>Database!$A12136</f>
        <v/>
      </c>
      <c r="B10051">
        <f>IF(VLOOKUP(Table7[[#This Row],[Date]],Database!$A:$C,MATCH($B$1,Database!$A$1:$C$1,),)=0,#N/A,VLOOKUP(Table7[[#This Row],[Date]],Database!$A:$C,MATCH($B$1,Database!$A$1:$C$1,),))</f>
        <v/>
      </c>
      <c r="C10051">
        <f>IF(VLOOKUP(Table7[[#This Row],[Date]],Database!$A:$C,MATCH($C$1,Database!$A$1:$C$1,),)=0,#N/A,VLOOKUP(Table7[[#This Row],[Date]],Database!$A:$C,MATCH($C$1,Database!$A$1:$C$1,),))</f>
        <v/>
      </c>
      <c r="D10051">
        <f>IFERROR(Table7[[#This Row],[United States 10y]]-Table7[[#This Row],[United States 3y]],#N/A)</f>
        <v/>
      </c>
    </row>
    <row r="10052">
      <c r="A10052" s="6">
        <f>Database!$A12137</f>
        <v/>
      </c>
      <c r="B10052">
        <f>IF(VLOOKUP(Table7[[#This Row],[Date]],Database!$A:$C,MATCH($B$1,Database!$A$1:$C$1,),)=0,#N/A,VLOOKUP(Table7[[#This Row],[Date]],Database!$A:$C,MATCH($B$1,Database!$A$1:$C$1,),))</f>
        <v/>
      </c>
      <c r="C10052">
        <f>IF(VLOOKUP(Table7[[#This Row],[Date]],Database!$A:$C,MATCH($C$1,Database!$A$1:$C$1,),)=0,#N/A,VLOOKUP(Table7[[#This Row],[Date]],Database!$A:$C,MATCH($C$1,Database!$A$1:$C$1,),))</f>
        <v/>
      </c>
      <c r="D10052">
        <f>IFERROR(Table7[[#This Row],[United States 10y]]-Table7[[#This Row],[United States 3y]],#N/A)</f>
        <v/>
      </c>
    </row>
    <row r="10053">
      <c r="A10053" s="6">
        <f>Database!$A12138</f>
        <v/>
      </c>
      <c r="B10053">
        <f>IF(VLOOKUP(Table7[[#This Row],[Date]],Database!$A:$C,MATCH($B$1,Database!$A$1:$C$1,),)=0,#N/A,VLOOKUP(Table7[[#This Row],[Date]],Database!$A:$C,MATCH($B$1,Database!$A$1:$C$1,),))</f>
        <v/>
      </c>
      <c r="C10053">
        <f>IF(VLOOKUP(Table7[[#This Row],[Date]],Database!$A:$C,MATCH($C$1,Database!$A$1:$C$1,),)=0,#N/A,VLOOKUP(Table7[[#This Row],[Date]],Database!$A:$C,MATCH($C$1,Database!$A$1:$C$1,),))</f>
        <v/>
      </c>
      <c r="D10053">
        <f>IFERROR(Table7[[#This Row],[United States 10y]]-Table7[[#This Row],[United States 3y]],#N/A)</f>
        <v/>
      </c>
    </row>
    <row r="10054">
      <c r="A10054" s="6">
        <f>Database!$A12139</f>
        <v/>
      </c>
      <c r="B10054">
        <f>IF(VLOOKUP(Table7[[#This Row],[Date]],Database!$A:$C,MATCH($B$1,Database!$A$1:$C$1,),)=0,#N/A,VLOOKUP(Table7[[#This Row],[Date]],Database!$A:$C,MATCH($B$1,Database!$A$1:$C$1,),))</f>
        <v/>
      </c>
      <c r="C10054">
        <f>IF(VLOOKUP(Table7[[#This Row],[Date]],Database!$A:$C,MATCH($C$1,Database!$A$1:$C$1,),)=0,#N/A,VLOOKUP(Table7[[#This Row],[Date]],Database!$A:$C,MATCH($C$1,Database!$A$1:$C$1,),))</f>
        <v/>
      </c>
      <c r="D10054">
        <f>IFERROR(Table7[[#This Row],[United States 10y]]-Table7[[#This Row],[United States 3y]],#N/A)</f>
        <v/>
      </c>
    </row>
    <row r="10055">
      <c r="A10055" s="6">
        <f>Database!$A12140</f>
        <v/>
      </c>
      <c r="B10055">
        <f>IF(VLOOKUP(Table7[[#This Row],[Date]],Database!$A:$C,MATCH($B$1,Database!$A$1:$C$1,),)=0,#N/A,VLOOKUP(Table7[[#This Row],[Date]],Database!$A:$C,MATCH($B$1,Database!$A$1:$C$1,),))</f>
        <v/>
      </c>
      <c r="C10055">
        <f>IF(VLOOKUP(Table7[[#This Row],[Date]],Database!$A:$C,MATCH($C$1,Database!$A$1:$C$1,),)=0,#N/A,VLOOKUP(Table7[[#This Row],[Date]],Database!$A:$C,MATCH($C$1,Database!$A$1:$C$1,),))</f>
        <v/>
      </c>
      <c r="D10055">
        <f>IFERROR(Table7[[#This Row],[United States 10y]]-Table7[[#This Row],[United States 3y]],#N/A)</f>
        <v/>
      </c>
    </row>
    <row r="10056">
      <c r="A10056" s="6">
        <f>Database!$A12141</f>
        <v/>
      </c>
      <c r="B10056">
        <f>IF(VLOOKUP(Table7[[#This Row],[Date]],Database!$A:$C,MATCH($B$1,Database!$A$1:$C$1,),)=0,#N/A,VLOOKUP(Table7[[#This Row],[Date]],Database!$A:$C,MATCH($B$1,Database!$A$1:$C$1,),))</f>
        <v/>
      </c>
      <c r="C10056">
        <f>IF(VLOOKUP(Table7[[#This Row],[Date]],Database!$A:$C,MATCH($C$1,Database!$A$1:$C$1,),)=0,#N/A,VLOOKUP(Table7[[#This Row],[Date]],Database!$A:$C,MATCH($C$1,Database!$A$1:$C$1,),))</f>
        <v/>
      </c>
      <c r="D10056">
        <f>IFERROR(Table7[[#This Row],[United States 10y]]-Table7[[#This Row],[United States 3y]],#N/A)</f>
        <v/>
      </c>
    </row>
    <row r="10057">
      <c r="A10057" s="6">
        <f>Database!$A12142</f>
        <v/>
      </c>
      <c r="B10057">
        <f>IF(VLOOKUP(Table7[[#This Row],[Date]],Database!$A:$C,MATCH($B$1,Database!$A$1:$C$1,),)=0,#N/A,VLOOKUP(Table7[[#This Row],[Date]],Database!$A:$C,MATCH($B$1,Database!$A$1:$C$1,),))</f>
        <v/>
      </c>
      <c r="C10057">
        <f>IF(VLOOKUP(Table7[[#This Row],[Date]],Database!$A:$C,MATCH($C$1,Database!$A$1:$C$1,),)=0,#N/A,VLOOKUP(Table7[[#This Row],[Date]],Database!$A:$C,MATCH($C$1,Database!$A$1:$C$1,),))</f>
        <v/>
      </c>
      <c r="D10057">
        <f>IFERROR(Table7[[#This Row],[United States 10y]]-Table7[[#This Row],[United States 3y]],#N/A)</f>
        <v/>
      </c>
    </row>
    <row r="10058">
      <c r="A10058" s="6">
        <f>Database!$A12143</f>
        <v/>
      </c>
      <c r="B10058">
        <f>IF(VLOOKUP(Table7[[#This Row],[Date]],Database!$A:$C,MATCH($B$1,Database!$A$1:$C$1,),)=0,#N/A,VLOOKUP(Table7[[#This Row],[Date]],Database!$A:$C,MATCH($B$1,Database!$A$1:$C$1,),))</f>
        <v/>
      </c>
      <c r="C10058">
        <f>IF(VLOOKUP(Table7[[#This Row],[Date]],Database!$A:$C,MATCH($C$1,Database!$A$1:$C$1,),)=0,#N/A,VLOOKUP(Table7[[#This Row],[Date]],Database!$A:$C,MATCH($C$1,Database!$A$1:$C$1,),))</f>
        <v/>
      </c>
      <c r="D10058">
        <f>IFERROR(Table7[[#This Row],[United States 10y]]-Table7[[#This Row],[United States 3y]],#N/A)</f>
        <v/>
      </c>
    </row>
    <row r="10059">
      <c r="A10059" s="6">
        <f>Database!$A12144</f>
        <v/>
      </c>
      <c r="B10059">
        <f>IF(VLOOKUP(Table7[[#This Row],[Date]],Database!$A:$C,MATCH($B$1,Database!$A$1:$C$1,),)=0,#N/A,VLOOKUP(Table7[[#This Row],[Date]],Database!$A:$C,MATCH($B$1,Database!$A$1:$C$1,),))</f>
        <v/>
      </c>
      <c r="C10059">
        <f>IF(VLOOKUP(Table7[[#This Row],[Date]],Database!$A:$C,MATCH($C$1,Database!$A$1:$C$1,),)=0,#N/A,VLOOKUP(Table7[[#This Row],[Date]],Database!$A:$C,MATCH($C$1,Database!$A$1:$C$1,),))</f>
        <v/>
      </c>
      <c r="D10059">
        <f>IFERROR(Table7[[#This Row],[United States 10y]]-Table7[[#This Row],[United States 3y]],#N/A)</f>
        <v/>
      </c>
    </row>
    <row r="10060">
      <c r="A10060" s="6">
        <f>Database!$A12145</f>
        <v/>
      </c>
      <c r="B10060">
        <f>IF(VLOOKUP(Table7[[#This Row],[Date]],Database!$A:$C,MATCH($B$1,Database!$A$1:$C$1,),)=0,#N/A,VLOOKUP(Table7[[#This Row],[Date]],Database!$A:$C,MATCH($B$1,Database!$A$1:$C$1,),))</f>
        <v/>
      </c>
      <c r="C10060">
        <f>IF(VLOOKUP(Table7[[#This Row],[Date]],Database!$A:$C,MATCH($C$1,Database!$A$1:$C$1,),)=0,#N/A,VLOOKUP(Table7[[#This Row],[Date]],Database!$A:$C,MATCH($C$1,Database!$A$1:$C$1,),))</f>
        <v/>
      </c>
      <c r="D10060">
        <f>IFERROR(Table7[[#This Row],[United States 10y]]-Table7[[#This Row],[United States 3y]],#N/A)</f>
        <v/>
      </c>
    </row>
    <row r="10061">
      <c r="A10061" s="6">
        <f>Database!$A12146</f>
        <v/>
      </c>
      <c r="B10061">
        <f>IF(VLOOKUP(Table7[[#This Row],[Date]],Database!$A:$C,MATCH($B$1,Database!$A$1:$C$1,),)=0,#N/A,VLOOKUP(Table7[[#This Row],[Date]],Database!$A:$C,MATCH($B$1,Database!$A$1:$C$1,),))</f>
        <v/>
      </c>
      <c r="C10061">
        <f>IF(VLOOKUP(Table7[[#This Row],[Date]],Database!$A:$C,MATCH($C$1,Database!$A$1:$C$1,),)=0,#N/A,VLOOKUP(Table7[[#This Row],[Date]],Database!$A:$C,MATCH($C$1,Database!$A$1:$C$1,),))</f>
        <v/>
      </c>
      <c r="D10061">
        <f>IFERROR(Table7[[#This Row],[United States 10y]]-Table7[[#This Row],[United States 3y]],#N/A)</f>
        <v/>
      </c>
    </row>
    <row r="10062">
      <c r="A10062" s="6">
        <f>Database!$A12147</f>
        <v/>
      </c>
      <c r="B10062">
        <f>IF(VLOOKUP(Table7[[#This Row],[Date]],Database!$A:$C,MATCH($B$1,Database!$A$1:$C$1,),)=0,#N/A,VLOOKUP(Table7[[#This Row],[Date]],Database!$A:$C,MATCH($B$1,Database!$A$1:$C$1,),))</f>
        <v/>
      </c>
      <c r="C10062">
        <f>IF(VLOOKUP(Table7[[#This Row],[Date]],Database!$A:$C,MATCH($C$1,Database!$A$1:$C$1,),)=0,#N/A,VLOOKUP(Table7[[#This Row],[Date]],Database!$A:$C,MATCH($C$1,Database!$A$1:$C$1,),))</f>
        <v/>
      </c>
      <c r="D10062">
        <f>IFERROR(Table7[[#This Row],[United States 10y]]-Table7[[#This Row],[United States 3y]],#N/A)</f>
        <v/>
      </c>
    </row>
    <row r="10063">
      <c r="A10063" s="6">
        <f>Database!$A12148</f>
        <v/>
      </c>
      <c r="B10063">
        <f>IF(VLOOKUP(Table7[[#This Row],[Date]],Database!$A:$C,MATCH($B$1,Database!$A$1:$C$1,),)=0,#N/A,VLOOKUP(Table7[[#This Row],[Date]],Database!$A:$C,MATCH($B$1,Database!$A$1:$C$1,),))</f>
        <v/>
      </c>
      <c r="C10063">
        <f>IF(VLOOKUP(Table7[[#This Row],[Date]],Database!$A:$C,MATCH($C$1,Database!$A$1:$C$1,),)=0,#N/A,VLOOKUP(Table7[[#This Row],[Date]],Database!$A:$C,MATCH($C$1,Database!$A$1:$C$1,),))</f>
        <v/>
      </c>
      <c r="D10063">
        <f>IFERROR(Table7[[#This Row],[United States 10y]]-Table7[[#This Row],[United States 3y]],#N/A)</f>
        <v/>
      </c>
    </row>
    <row r="10064">
      <c r="A10064" s="6">
        <f>Database!$A12149</f>
        <v/>
      </c>
      <c r="B10064">
        <f>IF(VLOOKUP(Table7[[#This Row],[Date]],Database!$A:$C,MATCH($B$1,Database!$A$1:$C$1,),)=0,#N/A,VLOOKUP(Table7[[#This Row],[Date]],Database!$A:$C,MATCH($B$1,Database!$A$1:$C$1,),))</f>
        <v/>
      </c>
      <c r="C10064">
        <f>IF(VLOOKUP(Table7[[#This Row],[Date]],Database!$A:$C,MATCH($C$1,Database!$A$1:$C$1,),)=0,#N/A,VLOOKUP(Table7[[#This Row],[Date]],Database!$A:$C,MATCH($C$1,Database!$A$1:$C$1,),))</f>
        <v/>
      </c>
      <c r="D10064">
        <f>IFERROR(Table7[[#This Row],[United States 10y]]-Table7[[#This Row],[United States 3y]],#N/A)</f>
        <v/>
      </c>
    </row>
    <row r="10065">
      <c r="A10065" s="6">
        <f>Database!$A12150</f>
        <v/>
      </c>
      <c r="B10065">
        <f>IF(VLOOKUP(Table7[[#This Row],[Date]],Database!$A:$C,MATCH($B$1,Database!$A$1:$C$1,),)=0,#N/A,VLOOKUP(Table7[[#This Row],[Date]],Database!$A:$C,MATCH($B$1,Database!$A$1:$C$1,),))</f>
        <v/>
      </c>
      <c r="C10065">
        <f>IF(VLOOKUP(Table7[[#This Row],[Date]],Database!$A:$C,MATCH($C$1,Database!$A$1:$C$1,),)=0,#N/A,VLOOKUP(Table7[[#This Row],[Date]],Database!$A:$C,MATCH($C$1,Database!$A$1:$C$1,),))</f>
        <v/>
      </c>
      <c r="D10065">
        <f>IFERROR(Table7[[#This Row],[United States 10y]]-Table7[[#This Row],[United States 3y]],#N/A)</f>
        <v/>
      </c>
    </row>
    <row r="10066">
      <c r="A10066" s="6">
        <f>Database!$A12151</f>
        <v/>
      </c>
      <c r="B10066">
        <f>IF(VLOOKUP(Table7[[#This Row],[Date]],Database!$A:$C,MATCH($B$1,Database!$A$1:$C$1,),)=0,#N/A,VLOOKUP(Table7[[#This Row],[Date]],Database!$A:$C,MATCH($B$1,Database!$A$1:$C$1,),))</f>
        <v/>
      </c>
      <c r="C10066">
        <f>IF(VLOOKUP(Table7[[#This Row],[Date]],Database!$A:$C,MATCH($C$1,Database!$A$1:$C$1,),)=0,#N/A,VLOOKUP(Table7[[#This Row],[Date]],Database!$A:$C,MATCH($C$1,Database!$A$1:$C$1,),))</f>
        <v/>
      </c>
      <c r="D10066">
        <f>IFERROR(Table7[[#This Row],[United States 10y]]-Table7[[#This Row],[United States 3y]],#N/A)</f>
        <v/>
      </c>
    </row>
    <row r="10067">
      <c r="A10067" s="6">
        <f>Database!$A12152</f>
        <v/>
      </c>
      <c r="B10067">
        <f>IF(VLOOKUP(Table7[[#This Row],[Date]],Database!$A:$C,MATCH($B$1,Database!$A$1:$C$1,),)=0,#N/A,VLOOKUP(Table7[[#This Row],[Date]],Database!$A:$C,MATCH($B$1,Database!$A$1:$C$1,),))</f>
        <v/>
      </c>
      <c r="C10067">
        <f>IF(VLOOKUP(Table7[[#This Row],[Date]],Database!$A:$C,MATCH($C$1,Database!$A$1:$C$1,),)=0,#N/A,VLOOKUP(Table7[[#This Row],[Date]],Database!$A:$C,MATCH($C$1,Database!$A$1:$C$1,),))</f>
        <v/>
      </c>
      <c r="D10067">
        <f>IFERROR(Table7[[#This Row],[United States 10y]]-Table7[[#This Row],[United States 3y]],#N/A)</f>
        <v/>
      </c>
    </row>
    <row r="10068">
      <c r="A10068" s="6">
        <f>Database!$A12153</f>
        <v/>
      </c>
      <c r="B10068">
        <f>IF(VLOOKUP(Table7[[#This Row],[Date]],Database!$A:$C,MATCH($B$1,Database!$A$1:$C$1,),)=0,#N/A,VLOOKUP(Table7[[#This Row],[Date]],Database!$A:$C,MATCH($B$1,Database!$A$1:$C$1,),))</f>
        <v/>
      </c>
      <c r="C10068">
        <f>IF(VLOOKUP(Table7[[#This Row],[Date]],Database!$A:$C,MATCH($C$1,Database!$A$1:$C$1,),)=0,#N/A,VLOOKUP(Table7[[#This Row],[Date]],Database!$A:$C,MATCH($C$1,Database!$A$1:$C$1,),))</f>
        <v/>
      </c>
      <c r="D10068">
        <f>IFERROR(Table7[[#This Row],[United States 10y]]-Table7[[#This Row],[United States 3y]],#N/A)</f>
        <v/>
      </c>
    </row>
    <row r="10069">
      <c r="A10069" s="6">
        <f>Database!$A12154</f>
        <v/>
      </c>
      <c r="B10069">
        <f>IF(VLOOKUP(Table7[[#This Row],[Date]],Database!$A:$C,MATCH($B$1,Database!$A$1:$C$1,),)=0,#N/A,VLOOKUP(Table7[[#This Row],[Date]],Database!$A:$C,MATCH($B$1,Database!$A$1:$C$1,),))</f>
        <v/>
      </c>
      <c r="C10069">
        <f>IF(VLOOKUP(Table7[[#This Row],[Date]],Database!$A:$C,MATCH($C$1,Database!$A$1:$C$1,),)=0,#N/A,VLOOKUP(Table7[[#This Row],[Date]],Database!$A:$C,MATCH($C$1,Database!$A$1:$C$1,),))</f>
        <v/>
      </c>
      <c r="D10069">
        <f>IFERROR(Table7[[#This Row],[United States 10y]]-Table7[[#This Row],[United States 3y]],#N/A)</f>
        <v/>
      </c>
    </row>
    <row r="10070">
      <c r="A10070" s="6">
        <f>Database!$A12155</f>
        <v/>
      </c>
      <c r="B10070">
        <f>IF(VLOOKUP(Table7[[#This Row],[Date]],Database!$A:$C,MATCH($B$1,Database!$A$1:$C$1,),)=0,#N/A,VLOOKUP(Table7[[#This Row],[Date]],Database!$A:$C,MATCH($B$1,Database!$A$1:$C$1,),))</f>
        <v/>
      </c>
      <c r="C10070">
        <f>IF(VLOOKUP(Table7[[#This Row],[Date]],Database!$A:$C,MATCH($C$1,Database!$A$1:$C$1,),)=0,#N/A,VLOOKUP(Table7[[#This Row],[Date]],Database!$A:$C,MATCH($C$1,Database!$A$1:$C$1,),))</f>
        <v/>
      </c>
      <c r="D10070">
        <f>IFERROR(Table7[[#This Row],[United States 10y]]-Table7[[#This Row],[United States 3y]],#N/A)</f>
        <v/>
      </c>
    </row>
    <row r="10071">
      <c r="A10071" s="6">
        <f>Database!$A12156</f>
        <v/>
      </c>
      <c r="B10071">
        <f>IF(VLOOKUP(Table7[[#This Row],[Date]],Database!$A:$C,MATCH($B$1,Database!$A$1:$C$1,),)=0,#N/A,VLOOKUP(Table7[[#This Row],[Date]],Database!$A:$C,MATCH($B$1,Database!$A$1:$C$1,),))</f>
        <v/>
      </c>
      <c r="C10071">
        <f>IF(VLOOKUP(Table7[[#This Row],[Date]],Database!$A:$C,MATCH($C$1,Database!$A$1:$C$1,),)=0,#N/A,VLOOKUP(Table7[[#This Row],[Date]],Database!$A:$C,MATCH($C$1,Database!$A$1:$C$1,),))</f>
        <v/>
      </c>
      <c r="D10071">
        <f>IFERROR(Table7[[#This Row],[United States 10y]]-Table7[[#This Row],[United States 3y]],#N/A)</f>
        <v/>
      </c>
    </row>
    <row r="10072">
      <c r="A10072" s="6">
        <f>Database!$A12157</f>
        <v/>
      </c>
      <c r="B10072">
        <f>IF(VLOOKUP(Table7[[#This Row],[Date]],Database!$A:$C,MATCH($B$1,Database!$A$1:$C$1,),)=0,#N/A,VLOOKUP(Table7[[#This Row],[Date]],Database!$A:$C,MATCH($B$1,Database!$A$1:$C$1,),))</f>
        <v/>
      </c>
      <c r="C10072">
        <f>IF(VLOOKUP(Table7[[#This Row],[Date]],Database!$A:$C,MATCH($C$1,Database!$A$1:$C$1,),)=0,#N/A,VLOOKUP(Table7[[#This Row],[Date]],Database!$A:$C,MATCH($C$1,Database!$A$1:$C$1,),))</f>
        <v/>
      </c>
      <c r="D10072">
        <f>IFERROR(Table7[[#This Row],[United States 10y]]-Table7[[#This Row],[United States 3y]],#N/A)</f>
        <v/>
      </c>
    </row>
    <row r="10073">
      <c r="A10073" s="6">
        <f>Database!$A12158</f>
        <v/>
      </c>
      <c r="B10073">
        <f>IF(VLOOKUP(Table7[[#This Row],[Date]],Database!$A:$C,MATCH($B$1,Database!$A$1:$C$1,),)=0,#N/A,VLOOKUP(Table7[[#This Row],[Date]],Database!$A:$C,MATCH($B$1,Database!$A$1:$C$1,),))</f>
        <v/>
      </c>
      <c r="C10073">
        <f>IF(VLOOKUP(Table7[[#This Row],[Date]],Database!$A:$C,MATCH($C$1,Database!$A$1:$C$1,),)=0,#N/A,VLOOKUP(Table7[[#This Row],[Date]],Database!$A:$C,MATCH($C$1,Database!$A$1:$C$1,),))</f>
        <v/>
      </c>
      <c r="D10073">
        <f>IFERROR(Table7[[#This Row],[United States 10y]]-Table7[[#This Row],[United States 3y]],#N/A)</f>
        <v/>
      </c>
    </row>
    <row r="10074">
      <c r="A10074" s="6">
        <f>Database!$A12159</f>
        <v/>
      </c>
      <c r="B10074">
        <f>IF(VLOOKUP(Table7[[#This Row],[Date]],Database!$A:$C,MATCH($B$1,Database!$A$1:$C$1,),)=0,#N/A,VLOOKUP(Table7[[#This Row],[Date]],Database!$A:$C,MATCH($B$1,Database!$A$1:$C$1,),))</f>
        <v/>
      </c>
      <c r="C10074">
        <f>IF(VLOOKUP(Table7[[#This Row],[Date]],Database!$A:$C,MATCH($C$1,Database!$A$1:$C$1,),)=0,#N/A,VLOOKUP(Table7[[#This Row],[Date]],Database!$A:$C,MATCH($C$1,Database!$A$1:$C$1,),))</f>
        <v/>
      </c>
      <c r="D10074">
        <f>IFERROR(Table7[[#This Row],[United States 10y]]-Table7[[#This Row],[United States 3y]],#N/A)</f>
        <v/>
      </c>
    </row>
    <row r="10075">
      <c r="A10075" s="6">
        <f>Database!$A12160</f>
        <v/>
      </c>
      <c r="B10075">
        <f>IF(VLOOKUP(Table7[[#This Row],[Date]],Database!$A:$C,MATCH($B$1,Database!$A$1:$C$1,),)=0,#N/A,VLOOKUP(Table7[[#This Row],[Date]],Database!$A:$C,MATCH($B$1,Database!$A$1:$C$1,),))</f>
        <v/>
      </c>
      <c r="C10075">
        <f>IF(VLOOKUP(Table7[[#This Row],[Date]],Database!$A:$C,MATCH($C$1,Database!$A$1:$C$1,),)=0,#N/A,VLOOKUP(Table7[[#This Row],[Date]],Database!$A:$C,MATCH($C$1,Database!$A$1:$C$1,),))</f>
        <v/>
      </c>
      <c r="D10075">
        <f>IFERROR(Table7[[#This Row],[United States 10y]]-Table7[[#This Row],[United States 3y]],#N/A)</f>
        <v/>
      </c>
    </row>
    <row r="10076">
      <c r="A10076" s="6">
        <f>Database!$A12161</f>
        <v/>
      </c>
      <c r="B10076">
        <f>IF(VLOOKUP(Table7[[#This Row],[Date]],Database!$A:$C,MATCH($B$1,Database!$A$1:$C$1,),)=0,#N/A,VLOOKUP(Table7[[#This Row],[Date]],Database!$A:$C,MATCH($B$1,Database!$A$1:$C$1,),))</f>
        <v/>
      </c>
      <c r="C10076">
        <f>IF(VLOOKUP(Table7[[#This Row],[Date]],Database!$A:$C,MATCH($C$1,Database!$A$1:$C$1,),)=0,#N/A,VLOOKUP(Table7[[#This Row],[Date]],Database!$A:$C,MATCH($C$1,Database!$A$1:$C$1,),))</f>
        <v/>
      </c>
      <c r="D10076">
        <f>IFERROR(Table7[[#This Row],[United States 10y]]-Table7[[#This Row],[United States 3y]],#N/A)</f>
        <v/>
      </c>
    </row>
    <row r="10077">
      <c r="A10077" s="6">
        <f>Database!$A12162</f>
        <v/>
      </c>
      <c r="B10077">
        <f>IF(VLOOKUP(Table7[[#This Row],[Date]],Database!$A:$C,MATCH($B$1,Database!$A$1:$C$1,),)=0,#N/A,VLOOKUP(Table7[[#This Row],[Date]],Database!$A:$C,MATCH($B$1,Database!$A$1:$C$1,),))</f>
        <v/>
      </c>
      <c r="C10077">
        <f>IF(VLOOKUP(Table7[[#This Row],[Date]],Database!$A:$C,MATCH($C$1,Database!$A$1:$C$1,),)=0,#N/A,VLOOKUP(Table7[[#This Row],[Date]],Database!$A:$C,MATCH($C$1,Database!$A$1:$C$1,),))</f>
        <v/>
      </c>
      <c r="D10077">
        <f>IFERROR(Table7[[#This Row],[United States 10y]]-Table7[[#This Row],[United States 3y]],#N/A)</f>
        <v/>
      </c>
    </row>
    <row r="10078">
      <c r="A10078" s="6">
        <f>Database!$A12163</f>
        <v/>
      </c>
      <c r="B10078">
        <f>IF(VLOOKUP(Table7[[#This Row],[Date]],Database!$A:$C,MATCH($B$1,Database!$A$1:$C$1,),)=0,#N/A,VLOOKUP(Table7[[#This Row],[Date]],Database!$A:$C,MATCH($B$1,Database!$A$1:$C$1,),))</f>
        <v/>
      </c>
      <c r="C10078">
        <f>IF(VLOOKUP(Table7[[#This Row],[Date]],Database!$A:$C,MATCH($C$1,Database!$A$1:$C$1,),)=0,#N/A,VLOOKUP(Table7[[#This Row],[Date]],Database!$A:$C,MATCH($C$1,Database!$A$1:$C$1,),))</f>
        <v/>
      </c>
      <c r="D10078">
        <f>IFERROR(Table7[[#This Row],[United States 10y]]-Table7[[#This Row],[United States 3y]],#N/A)</f>
        <v/>
      </c>
    </row>
    <row r="10079">
      <c r="A10079" s="6">
        <f>Database!$A12164</f>
        <v/>
      </c>
      <c r="B10079">
        <f>IF(VLOOKUP(Table7[[#This Row],[Date]],Database!$A:$C,MATCH($B$1,Database!$A$1:$C$1,),)=0,#N/A,VLOOKUP(Table7[[#This Row],[Date]],Database!$A:$C,MATCH($B$1,Database!$A$1:$C$1,),))</f>
        <v/>
      </c>
      <c r="C10079">
        <f>IF(VLOOKUP(Table7[[#This Row],[Date]],Database!$A:$C,MATCH($C$1,Database!$A$1:$C$1,),)=0,#N/A,VLOOKUP(Table7[[#This Row],[Date]],Database!$A:$C,MATCH($C$1,Database!$A$1:$C$1,),))</f>
        <v/>
      </c>
      <c r="D10079">
        <f>IFERROR(Table7[[#This Row],[United States 10y]]-Table7[[#This Row],[United States 3y]],#N/A)</f>
        <v/>
      </c>
    </row>
    <row r="10080">
      <c r="A10080" s="6">
        <f>Database!$A12165</f>
        <v/>
      </c>
      <c r="B10080">
        <f>IF(VLOOKUP(Table7[[#This Row],[Date]],Database!$A:$C,MATCH($B$1,Database!$A$1:$C$1,),)=0,#N/A,VLOOKUP(Table7[[#This Row],[Date]],Database!$A:$C,MATCH($B$1,Database!$A$1:$C$1,),))</f>
        <v/>
      </c>
      <c r="C10080">
        <f>IF(VLOOKUP(Table7[[#This Row],[Date]],Database!$A:$C,MATCH($C$1,Database!$A$1:$C$1,),)=0,#N/A,VLOOKUP(Table7[[#This Row],[Date]],Database!$A:$C,MATCH($C$1,Database!$A$1:$C$1,),))</f>
        <v/>
      </c>
      <c r="D10080">
        <f>IFERROR(Table7[[#This Row],[United States 10y]]-Table7[[#This Row],[United States 3y]],#N/A)</f>
        <v/>
      </c>
    </row>
    <row r="10081">
      <c r="A10081" s="6">
        <f>Database!$A12166</f>
        <v/>
      </c>
      <c r="B10081">
        <f>IF(VLOOKUP(Table7[[#This Row],[Date]],Database!$A:$C,MATCH($B$1,Database!$A$1:$C$1,),)=0,#N/A,VLOOKUP(Table7[[#This Row],[Date]],Database!$A:$C,MATCH($B$1,Database!$A$1:$C$1,),))</f>
        <v/>
      </c>
      <c r="C10081">
        <f>IF(VLOOKUP(Table7[[#This Row],[Date]],Database!$A:$C,MATCH($C$1,Database!$A$1:$C$1,),)=0,#N/A,VLOOKUP(Table7[[#This Row],[Date]],Database!$A:$C,MATCH($C$1,Database!$A$1:$C$1,),))</f>
        <v/>
      </c>
      <c r="D10081">
        <f>IFERROR(Table7[[#This Row],[United States 10y]]-Table7[[#This Row],[United States 3y]],#N/A)</f>
        <v/>
      </c>
    </row>
    <row r="10082">
      <c r="A10082" s="6">
        <f>Database!$A12167</f>
        <v/>
      </c>
      <c r="B10082">
        <f>IF(VLOOKUP(Table7[[#This Row],[Date]],Database!$A:$C,MATCH($B$1,Database!$A$1:$C$1,),)=0,#N/A,VLOOKUP(Table7[[#This Row],[Date]],Database!$A:$C,MATCH($B$1,Database!$A$1:$C$1,),))</f>
        <v/>
      </c>
      <c r="C10082">
        <f>IF(VLOOKUP(Table7[[#This Row],[Date]],Database!$A:$C,MATCH($C$1,Database!$A$1:$C$1,),)=0,#N/A,VLOOKUP(Table7[[#This Row],[Date]],Database!$A:$C,MATCH($C$1,Database!$A$1:$C$1,),))</f>
        <v/>
      </c>
      <c r="D10082">
        <f>IFERROR(Table7[[#This Row],[United States 10y]]-Table7[[#This Row],[United States 3y]],#N/A)</f>
        <v/>
      </c>
    </row>
    <row r="10083">
      <c r="A10083" s="6">
        <f>Database!$A12168</f>
        <v/>
      </c>
      <c r="B10083">
        <f>IF(VLOOKUP(Table7[[#This Row],[Date]],Database!$A:$C,MATCH($B$1,Database!$A$1:$C$1,),)=0,#N/A,VLOOKUP(Table7[[#This Row],[Date]],Database!$A:$C,MATCH($B$1,Database!$A$1:$C$1,),))</f>
        <v/>
      </c>
      <c r="C10083">
        <f>IF(VLOOKUP(Table7[[#This Row],[Date]],Database!$A:$C,MATCH($C$1,Database!$A$1:$C$1,),)=0,#N/A,VLOOKUP(Table7[[#This Row],[Date]],Database!$A:$C,MATCH($C$1,Database!$A$1:$C$1,),))</f>
        <v/>
      </c>
      <c r="D10083">
        <f>IFERROR(Table7[[#This Row],[United States 10y]]-Table7[[#This Row],[United States 3y]],#N/A)</f>
        <v/>
      </c>
    </row>
    <row r="10084">
      <c r="A10084" s="6">
        <f>Database!$A12169</f>
        <v/>
      </c>
      <c r="B10084">
        <f>IF(VLOOKUP(Table7[[#This Row],[Date]],Database!$A:$C,MATCH($B$1,Database!$A$1:$C$1,),)=0,#N/A,VLOOKUP(Table7[[#This Row],[Date]],Database!$A:$C,MATCH($B$1,Database!$A$1:$C$1,),))</f>
        <v/>
      </c>
      <c r="C10084">
        <f>IF(VLOOKUP(Table7[[#This Row],[Date]],Database!$A:$C,MATCH($C$1,Database!$A$1:$C$1,),)=0,#N/A,VLOOKUP(Table7[[#This Row],[Date]],Database!$A:$C,MATCH($C$1,Database!$A$1:$C$1,),))</f>
        <v/>
      </c>
      <c r="D10084">
        <f>IFERROR(Table7[[#This Row],[United States 10y]]-Table7[[#This Row],[United States 3y]],#N/A)</f>
        <v/>
      </c>
    </row>
    <row r="10085">
      <c r="A10085" s="6">
        <f>Database!$A12170</f>
        <v/>
      </c>
      <c r="B10085">
        <f>IF(VLOOKUP(Table7[[#This Row],[Date]],Database!$A:$C,MATCH($B$1,Database!$A$1:$C$1,),)=0,#N/A,VLOOKUP(Table7[[#This Row],[Date]],Database!$A:$C,MATCH($B$1,Database!$A$1:$C$1,),))</f>
        <v/>
      </c>
      <c r="C10085">
        <f>IF(VLOOKUP(Table7[[#This Row],[Date]],Database!$A:$C,MATCH($C$1,Database!$A$1:$C$1,),)=0,#N/A,VLOOKUP(Table7[[#This Row],[Date]],Database!$A:$C,MATCH($C$1,Database!$A$1:$C$1,),))</f>
        <v/>
      </c>
      <c r="D10085">
        <f>IFERROR(Table7[[#This Row],[United States 10y]]-Table7[[#This Row],[United States 3y]],#N/A)</f>
        <v/>
      </c>
    </row>
    <row r="10086">
      <c r="A10086" s="6">
        <f>Database!$A12171</f>
        <v/>
      </c>
      <c r="B10086">
        <f>IF(VLOOKUP(Table7[[#This Row],[Date]],Database!$A:$C,MATCH($B$1,Database!$A$1:$C$1,),)=0,#N/A,VLOOKUP(Table7[[#This Row],[Date]],Database!$A:$C,MATCH($B$1,Database!$A$1:$C$1,),))</f>
        <v/>
      </c>
      <c r="C10086">
        <f>IF(VLOOKUP(Table7[[#This Row],[Date]],Database!$A:$C,MATCH($C$1,Database!$A$1:$C$1,),)=0,#N/A,VLOOKUP(Table7[[#This Row],[Date]],Database!$A:$C,MATCH($C$1,Database!$A$1:$C$1,),))</f>
        <v/>
      </c>
      <c r="D10086">
        <f>IFERROR(Table7[[#This Row],[United States 10y]]-Table7[[#This Row],[United States 3y]],#N/A)</f>
        <v/>
      </c>
    </row>
    <row r="10087">
      <c r="A10087" s="6">
        <f>Database!$A12172</f>
        <v/>
      </c>
      <c r="B10087">
        <f>IF(VLOOKUP(Table7[[#This Row],[Date]],Database!$A:$C,MATCH($B$1,Database!$A$1:$C$1,),)=0,#N/A,VLOOKUP(Table7[[#This Row],[Date]],Database!$A:$C,MATCH($B$1,Database!$A$1:$C$1,),))</f>
        <v/>
      </c>
      <c r="C10087">
        <f>IF(VLOOKUP(Table7[[#This Row],[Date]],Database!$A:$C,MATCH($C$1,Database!$A$1:$C$1,),)=0,#N/A,VLOOKUP(Table7[[#This Row],[Date]],Database!$A:$C,MATCH($C$1,Database!$A$1:$C$1,),))</f>
        <v/>
      </c>
      <c r="D10087">
        <f>IFERROR(Table7[[#This Row],[United States 10y]]-Table7[[#This Row],[United States 3y]],#N/A)</f>
        <v/>
      </c>
    </row>
    <row r="10088">
      <c r="A10088" s="6">
        <f>Database!$A12173</f>
        <v/>
      </c>
      <c r="B10088">
        <f>IF(VLOOKUP(Table7[[#This Row],[Date]],Database!$A:$C,MATCH($B$1,Database!$A$1:$C$1,),)=0,#N/A,VLOOKUP(Table7[[#This Row],[Date]],Database!$A:$C,MATCH($B$1,Database!$A$1:$C$1,),))</f>
        <v/>
      </c>
      <c r="C10088">
        <f>IF(VLOOKUP(Table7[[#This Row],[Date]],Database!$A:$C,MATCH($C$1,Database!$A$1:$C$1,),)=0,#N/A,VLOOKUP(Table7[[#This Row],[Date]],Database!$A:$C,MATCH($C$1,Database!$A$1:$C$1,),))</f>
        <v/>
      </c>
      <c r="D10088">
        <f>IFERROR(Table7[[#This Row],[United States 10y]]-Table7[[#This Row],[United States 3y]],#N/A)</f>
        <v/>
      </c>
    </row>
    <row r="10089">
      <c r="A10089" s="6">
        <f>Database!$A12174</f>
        <v/>
      </c>
      <c r="B10089">
        <f>IF(VLOOKUP(Table7[[#This Row],[Date]],Database!$A:$C,MATCH($B$1,Database!$A$1:$C$1,),)=0,#N/A,VLOOKUP(Table7[[#This Row],[Date]],Database!$A:$C,MATCH($B$1,Database!$A$1:$C$1,),))</f>
        <v/>
      </c>
      <c r="C10089">
        <f>IF(VLOOKUP(Table7[[#This Row],[Date]],Database!$A:$C,MATCH($C$1,Database!$A$1:$C$1,),)=0,#N/A,VLOOKUP(Table7[[#This Row],[Date]],Database!$A:$C,MATCH($C$1,Database!$A$1:$C$1,),))</f>
        <v/>
      </c>
      <c r="D10089">
        <f>IFERROR(Table7[[#This Row],[United States 10y]]-Table7[[#This Row],[United States 3y]],#N/A)</f>
        <v/>
      </c>
    </row>
    <row r="10090">
      <c r="A10090" s="6">
        <f>Database!$A12175</f>
        <v/>
      </c>
      <c r="B10090">
        <f>IF(VLOOKUP(Table7[[#This Row],[Date]],Database!$A:$C,MATCH($B$1,Database!$A$1:$C$1,),)=0,#N/A,VLOOKUP(Table7[[#This Row],[Date]],Database!$A:$C,MATCH($B$1,Database!$A$1:$C$1,),))</f>
        <v/>
      </c>
      <c r="C10090">
        <f>IF(VLOOKUP(Table7[[#This Row],[Date]],Database!$A:$C,MATCH($C$1,Database!$A$1:$C$1,),)=0,#N/A,VLOOKUP(Table7[[#This Row],[Date]],Database!$A:$C,MATCH($C$1,Database!$A$1:$C$1,),))</f>
        <v/>
      </c>
      <c r="D10090">
        <f>IFERROR(Table7[[#This Row],[United States 10y]]-Table7[[#This Row],[United States 3y]],#N/A)</f>
        <v/>
      </c>
    </row>
    <row r="10091">
      <c r="A10091" s="6">
        <f>Database!$A12176</f>
        <v/>
      </c>
      <c r="B10091">
        <f>IF(VLOOKUP(Table7[[#This Row],[Date]],Database!$A:$C,MATCH($B$1,Database!$A$1:$C$1,),)=0,#N/A,VLOOKUP(Table7[[#This Row],[Date]],Database!$A:$C,MATCH($B$1,Database!$A$1:$C$1,),))</f>
        <v/>
      </c>
      <c r="C10091">
        <f>IF(VLOOKUP(Table7[[#This Row],[Date]],Database!$A:$C,MATCH($C$1,Database!$A$1:$C$1,),)=0,#N/A,VLOOKUP(Table7[[#This Row],[Date]],Database!$A:$C,MATCH($C$1,Database!$A$1:$C$1,),))</f>
        <v/>
      </c>
      <c r="D10091">
        <f>IFERROR(Table7[[#This Row],[United States 10y]]-Table7[[#This Row],[United States 3y]],#N/A)</f>
        <v/>
      </c>
    </row>
    <row r="10092">
      <c r="A10092" s="6">
        <f>Database!$A12177</f>
        <v/>
      </c>
      <c r="B10092">
        <f>IF(VLOOKUP(Table7[[#This Row],[Date]],Database!$A:$C,MATCH($B$1,Database!$A$1:$C$1,),)=0,#N/A,VLOOKUP(Table7[[#This Row],[Date]],Database!$A:$C,MATCH($B$1,Database!$A$1:$C$1,),))</f>
        <v/>
      </c>
      <c r="C10092">
        <f>IF(VLOOKUP(Table7[[#This Row],[Date]],Database!$A:$C,MATCH($C$1,Database!$A$1:$C$1,),)=0,#N/A,VLOOKUP(Table7[[#This Row],[Date]],Database!$A:$C,MATCH($C$1,Database!$A$1:$C$1,),))</f>
        <v/>
      </c>
      <c r="D10092">
        <f>IFERROR(Table7[[#This Row],[United States 10y]]-Table7[[#This Row],[United States 3y]],#N/A)</f>
        <v/>
      </c>
    </row>
    <row r="10093">
      <c r="A10093" s="6">
        <f>Database!$A12178</f>
        <v/>
      </c>
      <c r="B10093">
        <f>IF(VLOOKUP(Table7[[#This Row],[Date]],Database!$A:$C,MATCH($B$1,Database!$A$1:$C$1,),)=0,#N/A,VLOOKUP(Table7[[#This Row],[Date]],Database!$A:$C,MATCH($B$1,Database!$A$1:$C$1,),))</f>
        <v/>
      </c>
      <c r="C10093">
        <f>IF(VLOOKUP(Table7[[#This Row],[Date]],Database!$A:$C,MATCH($C$1,Database!$A$1:$C$1,),)=0,#N/A,VLOOKUP(Table7[[#This Row],[Date]],Database!$A:$C,MATCH($C$1,Database!$A$1:$C$1,),))</f>
        <v/>
      </c>
      <c r="D10093">
        <f>IFERROR(Table7[[#This Row],[United States 10y]]-Table7[[#This Row],[United States 3y]],#N/A)</f>
        <v/>
      </c>
    </row>
    <row r="10094">
      <c r="A10094" s="6">
        <f>Database!$A12179</f>
        <v/>
      </c>
      <c r="B10094">
        <f>IF(VLOOKUP(Table7[[#This Row],[Date]],Database!$A:$C,MATCH($B$1,Database!$A$1:$C$1,),)=0,#N/A,VLOOKUP(Table7[[#This Row],[Date]],Database!$A:$C,MATCH($B$1,Database!$A$1:$C$1,),))</f>
        <v/>
      </c>
      <c r="C10094">
        <f>IF(VLOOKUP(Table7[[#This Row],[Date]],Database!$A:$C,MATCH($C$1,Database!$A$1:$C$1,),)=0,#N/A,VLOOKUP(Table7[[#This Row],[Date]],Database!$A:$C,MATCH($C$1,Database!$A$1:$C$1,),))</f>
        <v/>
      </c>
      <c r="D10094">
        <f>IFERROR(Table7[[#This Row],[United States 10y]]-Table7[[#This Row],[United States 3y]],#N/A)</f>
        <v/>
      </c>
    </row>
    <row r="10095">
      <c r="A10095" s="6">
        <f>Database!$A12180</f>
        <v/>
      </c>
      <c r="B10095">
        <f>IF(VLOOKUP(Table7[[#This Row],[Date]],Database!$A:$C,MATCH($B$1,Database!$A$1:$C$1,),)=0,#N/A,VLOOKUP(Table7[[#This Row],[Date]],Database!$A:$C,MATCH($B$1,Database!$A$1:$C$1,),))</f>
        <v/>
      </c>
      <c r="C10095">
        <f>IF(VLOOKUP(Table7[[#This Row],[Date]],Database!$A:$C,MATCH($C$1,Database!$A$1:$C$1,),)=0,#N/A,VLOOKUP(Table7[[#This Row],[Date]],Database!$A:$C,MATCH($C$1,Database!$A$1:$C$1,),))</f>
        <v/>
      </c>
      <c r="D10095">
        <f>IFERROR(Table7[[#This Row],[United States 10y]]-Table7[[#This Row],[United States 3y]],#N/A)</f>
        <v/>
      </c>
    </row>
    <row r="10096">
      <c r="A10096" s="6">
        <f>Database!$A12181</f>
        <v/>
      </c>
      <c r="B10096">
        <f>IF(VLOOKUP(Table7[[#This Row],[Date]],Database!$A:$C,MATCH($B$1,Database!$A$1:$C$1,),)=0,#N/A,VLOOKUP(Table7[[#This Row],[Date]],Database!$A:$C,MATCH($B$1,Database!$A$1:$C$1,),))</f>
        <v/>
      </c>
      <c r="C10096">
        <f>IF(VLOOKUP(Table7[[#This Row],[Date]],Database!$A:$C,MATCH($C$1,Database!$A$1:$C$1,),)=0,#N/A,VLOOKUP(Table7[[#This Row],[Date]],Database!$A:$C,MATCH($C$1,Database!$A$1:$C$1,),))</f>
        <v/>
      </c>
      <c r="D10096">
        <f>IFERROR(Table7[[#This Row],[United States 10y]]-Table7[[#This Row],[United States 3y]],#N/A)</f>
        <v/>
      </c>
    </row>
    <row r="10097">
      <c r="A10097" s="6">
        <f>Database!$A12182</f>
        <v/>
      </c>
      <c r="B10097">
        <f>IF(VLOOKUP(Table7[[#This Row],[Date]],Database!$A:$C,MATCH($B$1,Database!$A$1:$C$1,),)=0,#N/A,VLOOKUP(Table7[[#This Row],[Date]],Database!$A:$C,MATCH($B$1,Database!$A$1:$C$1,),))</f>
        <v/>
      </c>
      <c r="C10097">
        <f>IF(VLOOKUP(Table7[[#This Row],[Date]],Database!$A:$C,MATCH($C$1,Database!$A$1:$C$1,),)=0,#N/A,VLOOKUP(Table7[[#This Row],[Date]],Database!$A:$C,MATCH($C$1,Database!$A$1:$C$1,),))</f>
        <v/>
      </c>
      <c r="D10097">
        <f>IFERROR(Table7[[#This Row],[United States 10y]]-Table7[[#This Row],[United States 3y]],#N/A)</f>
        <v/>
      </c>
    </row>
    <row r="10098">
      <c r="A10098" s="6">
        <f>Database!$A12183</f>
        <v/>
      </c>
      <c r="B10098">
        <f>IF(VLOOKUP(Table7[[#This Row],[Date]],Database!$A:$C,MATCH($B$1,Database!$A$1:$C$1,),)=0,#N/A,VLOOKUP(Table7[[#This Row],[Date]],Database!$A:$C,MATCH($B$1,Database!$A$1:$C$1,),))</f>
        <v/>
      </c>
      <c r="C10098">
        <f>IF(VLOOKUP(Table7[[#This Row],[Date]],Database!$A:$C,MATCH($C$1,Database!$A$1:$C$1,),)=0,#N/A,VLOOKUP(Table7[[#This Row],[Date]],Database!$A:$C,MATCH($C$1,Database!$A$1:$C$1,),))</f>
        <v/>
      </c>
      <c r="D10098">
        <f>IFERROR(Table7[[#This Row],[United States 10y]]-Table7[[#This Row],[United States 3y]],#N/A)</f>
        <v/>
      </c>
    </row>
    <row r="10099">
      <c r="A10099" s="6">
        <f>Database!$A12184</f>
        <v/>
      </c>
      <c r="B10099">
        <f>IF(VLOOKUP(Table7[[#This Row],[Date]],Database!$A:$C,MATCH($B$1,Database!$A$1:$C$1,),)=0,#N/A,VLOOKUP(Table7[[#This Row],[Date]],Database!$A:$C,MATCH($B$1,Database!$A$1:$C$1,),))</f>
        <v/>
      </c>
      <c r="C10099">
        <f>IF(VLOOKUP(Table7[[#This Row],[Date]],Database!$A:$C,MATCH($C$1,Database!$A$1:$C$1,),)=0,#N/A,VLOOKUP(Table7[[#This Row],[Date]],Database!$A:$C,MATCH($C$1,Database!$A$1:$C$1,),))</f>
        <v/>
      </c>
      <c r="D10099">
        <f>IFERROR(Table7[[#This Row],[United States 10y]]-Table7[[#This Row],[United States 3y]],#N/A)</f>
        <v/>
      </c>
    </row>
    <row r="10100">
      <c r="A10100" s="6">
        <f>Database!$A12185</f>
        <v/>
      </c>
      <c r="B10100">
        <f>IF(VLOOKUP(Table7[[#This Row],[Date]],Database!$A:$C,MATCH($B$1,Database!$A$1:$C$1,),)=0,#N/A,VLOOKUP(Table7[[#This Row],[Date]],Database!$A:$C,MATCH($B$1,Database!$A$1:$C$1,),))</f>
        <v/>
      </c>
      <c r="C10100">
        <f>IF(VLOOKUP(Table7[[#This Row],[Date]],Database!$A:$C,MATCH($C$1,Database!$A$1:$C$1,),)=0,#N/A,VLOOKUP(Table7[[#This Row],[Date]],Database!$A:$C,MATCH($C$1,Database!$A$1:$C$1,),))</f>
        <v/>
      </c>
      <c r="D10100">
        <f>IFERROR(Table7[[#This Row],[United States 10y]]-Table7[[#This Row],[United States 3y]],#N/A)</f>
        <v/>
      </c>
    </row>
    <row r="10101">
      <c r="A10101" s="6">
        <f>Database!$A12186</f>
        <v/>
      </c>
      <c r="B10101">
        <f>IF(VLOOKUP(Table7[[#This Row],[Date]],Database!$A:$C,MATCH($B$1,Database!$A$1:$C$1,),)=0,#N/A,VLOOKUP(Table7[[#This Row],[Date]],Database!$A:$C,MATCH($B$1,Database!$A$1:$C$1,),))</f>
        <v/>
      </c>
      <c r="C10101">
        <f>IF(VLOOKUP(Table7[[#This Row],[Date]],Database!$A:$C,MATCH($C$1,Database!$A$1:$C$1,),)=0,#N/A,VLOOKUP(Table7[[#This Row],[Date]],Database!$A:$C,MATCH($C$1,Database!$A$1:$C$1,),))</f>
        <v/>
      </c>
      <c r="D10101">
        <f>IFERROR(Table7[[#This Row],[United States 10y]]-Table7[[#This Row],[United States 3y]],#N/A)</f>
        <v/>
      </c>
    </row>
    <row r="10102">
      <c r="A10102" s="6">
        <f>Database!$A12187</f>
        <v/>
      </c>
      <c r="B10102">
        <f>IF(VLOOKUP(Table7[[#This Row],[Date]],Database!$A:$C,MATCH($B$1,Database!$A$1:$C$1,),)=0,#N/A,VLOOKUP(Table7[[#This Row],[Date]],Database!$A:$C,MATCH($B$1,Database!$A$1:$C$1,),))</f>
        <v/>
      </c>
      <c r="C10102">
        <f>IF(VLOOKUP(Table7[[#This Row],[Date]],Database!$A:$C,MATCH($C$1,Database!$A$1:$C$1,),)=0,#N/A,VLOOKUP(Table7[[#This Row],[Date]],Database!$A:$C,MATCH($C$1,Database!$A$1:$C$1,),))</f>
        <v/>
      </c>
      <c r="D10102">
        <f>IFERROR(Table7[[#This Row],[United States 10y]]-Table7[[#This Row],[United States 3y]],#N/A)</f>
        <v/>
      </c>
    </row>
    <row r="10103">
      <c r="A10103" s="6">
        <f>Database!$A12188</f>
        <v/>
      </c>
      <c r="B10103">
        <f>IF(VLOOKUP(Table7[[#This Row],[Date]],Database!$A:$C,MATCH($B$1,Database!$A$1:$C$1,),)=0,#N/A,VLOOKUP(Table7[[#This Row],[Date]],Database!$A:$C,MATCH($B$1,Database!$A$1:$C$1,),))</f>
        <v/>
      </c>
      <c r="C10103">
        <f>IF(VLOOKUP(Table7[[#This Row],[Date]],Database!$A:$C,MATCH($C$1,Database!$A$1:$C$1,),)=0,#N/A,VLOOKUP(Table7[[#This Row],[Date]],Database!$A:$C,MATCH($C$1,Database!$A$1:$C$1,),))</f>
        <v/>
      </c>
      <c r="D10103">
        <f>IFERROR(Table7[[#This Row],[United States 10y]]-Table7[[#This Row],[United States 3y]],#N/A)</f>
        <v/>
      </c>
    </row>
    <row r="10104">
      <c r="A10104" s="6">
        <f>Database!$A12189</f>
        <v/>
      </c>
      <c r="B10104">
        <f>IF(VLOOKUP(Table7[[#This Row],[Date]],Database!$A:$C,MATCH($B$1,Database!$A$1:$C$1,),)=0,#N/A,VLOOKUP(Table7[[#This Row],[Date]],Database!$A:$C,MATCH($B$1,Database!$A$1:$C$1,),))</f>
        <v/>
      </c>
      <c r="C10104">
        <f>IF(VLOOKUP(Table7[[#This Row],[Date]],Database!$A:$C,MATCH($C$1,Database!$A$1:$C$1,),)=0,#N/A,VLOOKUP(Table7[[#This Row],[Date]],Database!$A:$C,MATCH($C$1,Database!$A$1:$C$1,),))</f>
        <v/>
      </c>
      <c r="D10104">
        <f>IFERROR(Table7[[#This Row],[United States 10y]]-Table7[[#This Row],[United States 3y]],#N/A)</f>
        <v/>
      </c>
    </row>
    <row r="10105">
      <c r="A10105" s="6">
        <f>Database!$A12190</f>
        <v/>
      </c>
      <c r="B10105">
        <f>IF(VLOOKUP(Table7[[#This Row],[Date]],Database!$A:$C,MATCH($B$1,Database!$A$1:$C$1,),)=0,#N/A,VLOOKUP(Table7[[#This Row],[Date]],Database!$A:$C,MATCH($B$1,Database!$A$1:$C$1,),))</f>
        <v/>
      </c>
      <c r="C10105">
        <f>IF(VLOOKUP(Table7[[#This Row],[Date]],Database!$A:$C,MATCH($C$1,Database!$A$1:$C$1,),)=0,#N/A,VLOOKUP(Table7[[#This Row],[Date]],Database!$A:$C,MATCH($C$1,Database!$A$1:$C$1,),))</f>
        <v/>
      </c>
      <c r="D10105">
        <f>IFERROR(Table7[[#This Row],[United States 10y]]-Table7[[#This Row],[United States 3y]],#N/A)</f>
        <v/>
      </c>
    </row>
    <row r="10106">
      <c r="A10106" s="6">
        <f>Database!$A12191</f>
        <v/>
      </c>
      <c r="B10106">
        <f>IF(VLOOKUP(Table7[[#This Row],[Date]],Database!$A:$C,MATCH($B$1,Database!$A$1:$C$1,),)=0,#N/A,VLOOKUP(Table7[[#This Row],[Date]],Database!$A:$C,MATCH($B$1,Database!$A$1:$C$1,),))</f>
        <v/>
      </c>
      <c r="C10106">
        <f>IF(VLOOKUP(Table7[[#This Row],[Date]],Database!$A:$C,MATCH($C$1,Database!$A$1:$C$1,),)=0,#N/A,VLOOKUP(Table7[[#This Row],[Date]],Database!$A:$C,MATCH($C$1,Database!$A$1:$C$1,),))</f>
        <v/>
      </c>
      <c r="D10106">
        <f>IFERROR(Table7[[#This Row],[United States 10y]]-Table7[[#This Row],[United States 3y]],#N/A)</f>
        <v/>
      </c>
    </row>
    <row r="10107">
      <c r="A10107" s="6">
        <f>Database!$A12192</f>
        <v/>
      </c>
      <c r="B10107">
        <f>IF(VLOOKUP(Table7[[#This Row],[Date]],Database!$A:$C,MATCH($B$1,Database!$A$1:$C$1,),)=0,#N/A,VLOOKUP(Table7[[#This Row],[Date]],Database!$A:$C,MATCH($B$1,Database!$A$1:$C$1,),))</f>
        <v/>
      </c>
      <c r="C10107">
        <f>IF(VLOOKUP(Table7[[#This Row],[Date]],Database!$A:$C,MATCH($C$1,Database!$A$1:$C$1,),)=0,#N/A,VLOOKUP(Table7[[#This Row],[Date]],Database!$A:$C,MATCH($C$1,Database!$A$1:$C$1,),))</f>
        <v/>
      </c>
      <c r="D10107">
        <f>IFERROR(Table7[[#This Row],[United States 10y]]-Table7[[#This Row],[United States 3y]],#N/A)</f>
        <v/>
      </c>
    </row>
    <row r="10108">
      <c r="A10108" s="6">
        <f>Database!$A12193</f>
        <v/>
      </c>
      <c r="B10108">
        <f>IF(VLOOKUP(Table7[[#This Row],[Date]],Database!$A:$C,MATCH($B$1,Database!$A$1:$C$1,),)=0,#N/A,VLOOKUP(Table7[[#This Row],[Date]],Database!$A:$C,MATCH($B$1,Database!$A$1:$C$1,),))</f>
        <v/>
      </c>
      <c r="C10108">
        <f>IF(VLOOKUP(Table7[[#This Row],[Date]],Database!$A:$C,MATCH($C$1,Database!$A$1:$C$1,),)=0,#N/A,VLOOKUP(Table7[[#This Row],[Date]],Database!$A:$C,MATCH($C$1,Database!$A$1:$C$1,),))</f>
        <v/>
      </c>
      <c r="D10108">
        <f>IFERROR(Table7[[#This Row],[United States 10y]]-Table7[[#This Row],[United States 3y]],#N/A)</f>
        <v/>
      </c>
    </row>
    <row r="10109">
      <c r="A10109" s="6">
        <f>Database!$A12194</f>
        <v/>
      </c>
      <c r="B10109">
        <f>IF(VLOOKUP(Table7[[#This Row],[Date]],Database!$A:$C,MATCH($B$1,Database!$A$1:$C$1,),)=0,#N/A,VLOOKUP(Table7[[#This Row],[Date]],Database!$A:$C,MATCH($B$1,Database!$A$1:$C$1,),))</f>
        <v/>
      </c>
      <c r="C10109">
        <f>IF(VLOOKUP(Table7[[#This Row],[Date]],Database!$A:$C,MATCH($C$1,Database!$A$1:$C$1,),)=0,#N/A,VLOOKUP(Table7[[#This Row],[Date]],Database!$A:$C,MATCH($C$1,Database!$A$1:$C$1,),))</f>
        <v/>
      </c>
      <c r="D10109">
        <f>IFERROR(Table7[[#This Row],[United States 10y]]-Table7[[#This Row],[United States 3y]],#N/A)</f>
        <v/>
      </c>
    </row>
    <row r="10110">
      <c r="A10110" s="6">
        <f>Database!$A12195</f>
        <v/>
      </c>
      <c r="B10110">
        <f>IF(VLOOKUP(Table7[[#This Row],[Date]],Database!$A:$C,MATCH($B$1,Database!$A$1:$C$1,),)=0,#N/A,VLOOKUP(Table7[[#This Row],[Date]],Database!$A:$C,MATCH($B$1,Database!$A$1:$C$1,),))</f>
        <v/>
      </c>
      <c r="C10110">
        <f>IF(VLOOKUP(Table7[[#This Row],[Date]],Database!$A:$C,MATCH($C$1,Database!$A$1:$C$1,),)=0,#N/A,VLOOKUP(Table7[[#This Row],[Date]],Database!$A:$C,MATCH($C$1,Database!$A$1:$C$1,),))</f>
        <v/>
      </c>
      <c r="D10110">
        <f>IFERROR(Table7[[#This Row],[United States 10y]]-Table7[[#This Row],[United States 3y]],#N/A)</f>
        <v/>
      </c>
    </row>
    <row r="10111">
      <c r="A10111" s="6">
        <f>Database!$A12196</f>
        <v/>
      </c>
      <c r="B10111">
        <f>IF(VLOOKUP(Table7[[#This Row],[Date]],Database!$A:$C,MATCH($B$1,Database!$A$1:$C$1,),)=0,#N/A,VLOOKUP(Table7[[#This Row],[Date]],Database!$A:$C,MATCH($B$1,Database!$A$1:$C$1,),))</f>
        <v/>
      </c>
      <c r="C10111">
        <f>IF(VLOOKUP(Table7[[#This Row],[Date]],Database!$A:$C,MATCH($C$1,Database!$A$1:$C$1,),)=0,#N/A,VLOOKUP(Table7[[#This Row],[Date]],Database!$A:$C,MATCH($C$1,Database!$A$1:$C$1,),))</f>
        <v/>
      </c>
      <c r="D10111">
        <f>IFERROR(Table7[[#This Row],[United States 10y]]-Table7[[#This Row],[United States 3y]],#N/A)</f>
        <v/>
      </c>
    </row>
    <row r="10112">
      <c r="A10112" s="6">
        <f>Database!$A12197</f>
        <v/>
      </c>
      <c r="B10112">
        <f>IF(VLOOKUP(Table7[[#This Row],[Date]],Database!$A:$C,MATCH($B$1,Database!$A$1:$C$1,),)=0,#N/A,VLOOKUP(Table7[[#This Row],[Date]],Database!$A:$C,MATCH($B$1,Database!$A$1:$C$1,),))</f>
        <v/>
      </c>
      <c r="C10112">
        <f>IF(VLOOKUP(Table7[[#This Row],[Date]],Database!$A:$C,MATCH($C$1,Database!$A$1:$C$1,),)=0,#N/A,VLOOKUP(Table7[[#This Row],[Date]],Database!$A:$C,MATCH($C$1,Database!$A$1:$C$1,),))</f>
        <v/>
      </c>
      <c r="D10112">
        <f>IFERROR(Table7[[#This Row],[United States 10y]]-Table7[[#This Row],[United States 3y]],#N/A)</f>
        <v/>
      </c>
    </row>
    <row r="10113">
      <c r="A10113" s="6">
        <f>Database!$A12198</f>
        <v/>
      </c>
      <c r="B10113">
        <f>IF(VLOOKUP(Table7[[#This Row],[Date]],Database!$A:$C,MATCH($B$1,Database!$A$1:$C$1,),)=0,#N/A,VLOOKUP(Table7[[#This Row],[Date]],Database!$A:$C,MATCH($B$1,Database!$A$1:$C$1,),))</f>
        <v/>
      </c>
      <c r="C10113">
        <f>IF(VLOOKUP(Table7[[#This Row],[Date]],Database!$A:$C,MATCH($C$1,Database!$A$1:$C$1,),)=0,#N/A,VLOOKUP(Table7[[#This Row],[Date]],Database!$A:$C,MATCH($C$1,Database!$A$1:$C$1,),))</f>
        <v/>
      </c>
      <c r="D10113">
        <f>IFERROR(Table7[[#This Row],[United States 10y]]-Table7[[#This Row],[United States 3y]],#N/A)</f>
        <v/>
      </c>
    </row>
    <row r="10114">
      <c r="A10114" s="6">
        <f>Database!$A12199</f>
        <v/>
      </c>
      <c r="B10114">
        <f>IF(VLOOKUP(Table7[[#This Row],[Date]],Database!$A:$C,MATCH($B$1,Database!$A$1:$C$1,),)=0,#N/A,VLOOKUP(Table7[[#This Row],[Date]],Database!$A:$C,MATCH($B$1,Database!$A$1:$C$1,),))</f>
        <v/>
      </c>
      <c r="C10114">
        <f>IF(VLOOKUP(Table7[[#This Row],[Date]],Database!$A:$C,MATCH($C$1,Database!$A$1:$C$1,),)=0,#N/A,VLOOKUP(Table7[[#This Row],[Date]],Database!$A:$C,MATCH($C$1,Database!$A$1:$C$1,),))</f>
        <v/>
      </c>
      <c r="D10114">
        <f>IFERROR(Table7[[#This Row],[United States 10y]]-Table7[[#This Row],[United States 3y]],#N/A)</f>
        <v/>
      </c>
    </row>
    <row r="10115">
      <c r="A10115" s="6">
        <f>Database!$A12200</f>
        <v/>
      </c>
      <c r="B10115">
        <f>IF(VLOOKUP(Table7[[#This Row],[Date]],Database!$A:$C,MATCH($B$1,Database!$A$1:$C$1,),)=0,#N/A,VLOOKUP(Table7[[#This Row],[Date]],Database!$A:$C,MATCH($B$1,Database!$A$1:$C$1,),))</f>
        <v/>
      </c>
      <c r="C10115">
        <f>IF(VLOOKUP(Table7[[#This Row],[Date]],Database!$A:$C,MATCH($C$1,Database!$A$1:$C$1,),)=0,#N/A,VLOOKUP(Table7[[#This Row],[Date]],Database!$A:$C,MATCH($C$1,Database!$A$1:$C$1,),))</f>
        <v/>
      </c>
      <c r="D10115">
        <f>IFERROR(Table7[[#This Row],[United States 10y]]-Table7[[#This Row],[United States 3y]],#N/A)</f>
        <v/>
      </c>
    </row>
    <row r="10116">
      <c r="A10116" s="6">
        <f>Database!$A12201</f>
        <v/>
      </c>
      <c r="B10116">
        <f>IF(VLOOKUP(Table7[[#This Row],[Date]],Database!$A:$C,MATCH($B$1,Database!$A$1:$C$1,),)=0,#N/A,VLOOKUP(Table7[[#This Row],[Date]],Database!$A:$C,MATCH($B$1,Database!$A$1:$C$1,),))</f>
        <v/>
      </c>
      <c r="C10116">
        <f>IF(VLOOKUP(Table7[[#This Row],[Date]],Database!$A:$C,MATCH($C$1,Database!$A$1:$C$1,),)=0,#N/A,VLOOKUP(Table7[[#This Row],[Date]],Database!$A:$C,MATCH($C$1,Database!$A$1:$C$1,),))</f>
        <v/>
      </c>
      <c r="D10116">
        <f>IFERROR(Table7[[#This Row],[United States 10y]]-Table7[[#This Row],[United States 3y]],#N/A)</f>
        <v/>
      </c>
    </row>
    <row r="10117">
      <c r="A10117" s="6">
        <f>Database!$A12202</f>
        <v/>
      </c>
      <c r="B10117">
        <f>IF(VLOOKUP(Table7[[#This Row],[Date]],Database!$A:$C,MATCH($B$1,Database!$A$1:$C$1,),)=0,#N/A,VLOOKUP(Table7[[#This Row],[Date]],Database!$A:$C,MATCH($B$1,Database!$A$1:$C$1,),))</f>
        <v/>
      </c>
      <c r="C10117">
        <f>IF(VLOOKUP(Table7[[#This Row],[Date]],Database!$A:$C,MATCH($C$1,Database!$A$1:$C$1,),)=0,#N/A,VLOOKUP(Table7[[#This Row],[Date]],Database!$A:$C,MATCH($C$1,Database!$A$1:$C$1,),))</f>
        <v/>
      </c>
      <c r="D10117">
        <f>IFERROR(Table7[[#This Row],[United States 10y]]-Table7[[#This Row],[United States 3y]],#N/A)</f>
        <v/>
      </c>
    </row>
    <row r="10118">
      <c r="A10118" s="6">
        <f>Database!$A12203</f>
        <v/>
      </c>
      <c r="B10118">
        <f>IF(VLOOKUP(Table7[[#This Row],[Date]],Database!$A:$C,MATCH($B$1,Database!$A$1:$C$1,),)=0,#N/A,VLOOKUP(Table7[[#This Row],[Date]],Database!$A:$C,MATCH($B$1,Database!$A$1:$C$1,),))</f>
        <v/>
      </c>
      <c r="C10118">
        <f>IF(VLOOKUP(Table7[[#This Row],[Date]],Database!$A:$C,MATCH($C$1,Database!$A$1:$C$1,),)=0,#N/A,VLOOKUP(Table7[[#This Row],[Date]],Database!$A:$C,MATCH($C$1,Database!$A$1:$C$1,),))</f>
        <v/>
      </c>
      <c r="D10118">
        <f>IFERROR(Table7[[#This Row],[United States 10y]]-Table7[[#This Row],[United States 3y]],#N/A)</f>
        <v/>
      </c>
    </row>
    <row r="10119">
      <c r="A10119" s="6">
        <f>Database!$A12204</f>
        <v/>
      </c>
      <c r="B10119">
        <f>IF(VLOOKUP(Table7[[#This Row],[Date]],Database!$A:$C,MATCH($B$1,Database!$A$1:$C$1,),)=0,#N/A,VLOOKUP(Table7[[#This Row],[Date]],Database!$A:$C,MATCH($B$1,Database!$A$1:$C$1,),))</f>
        <v/>
      </c>
      <c r="C10119">
        <f>IF(VLOOKUP(Table7[[#This Row],[Date]],Database!$A:$C,MATCH($C$1,Database!$A$1:$C$1,),)=0,#N/A,VLOOKUP(Table7[[#This Row],[Date]],Database!$A:$C,MATCH($C$1,Database!$A$1:$C$1,),))</f>
        <v/>
      </c>
      <c r="D10119">
        <f>IFERROR(Table7[[#This Row],[United States 10y]]-Table7[[#This Row],[United States 3y]],#N/A)</f>
        <v/>
      </c>
    </row>
    <row r="10120">
      <c r="A10120" s="6">
        <f>Database!$A12205</f>
        <v/>
      </c>
      <c r="B10120">
        <f>IF(VLOOKUP(Table7[[#This Row],[Date]],Database!$A:$C,MATCH($B$1,Database!$A$1:$C$1,),)=0,#N/A,VLOOKUP(Table7[[#This Row],[Date]],Database!$A:$C,MATCH($B$1,Database!$A$1:$C$1,),))</f>
        <v/>
      </c>
      <c r="C10120">
        <f>IF(VLOOKUP(Table7[[#This Row],[Date]],Database!$A:$C,MATCH($C$1,Database!$A$1:$C$1,),)=0,#N/A,VLOOKUP(Table7[[#This Row],[Date]],Database!$A:$C,MATCH($C$1,Database!$A$1:$C$1,),))</f>
        <v/>
      </c>
      <c r="D10120">
        <f>IFERROR(Table7[[#This Row],[United States 10y]]-Table7[[#This Row],[United States 3y]],#N/A)</f>
        <v/>
      </c>
    </row>
    <row r="10121">
      <c r="A10121" s="6">
        <f>Database!$A12206</f>
        <v/>
      </c>
      <c r="B10121">
        <f>IF(VLOOKUP(Table7[[#This Row],[Date]],Database!$A:$C,MATCH($B$1,Database!$A$1:$C$1,),)=0,#N/A,VLOOKUP(Table7[[#This Row],[Date]],Database!$A:$C,MATCH($B$1,Database!$A$1:$C$1,),))</f>
        <v/>
      </c>
      <c r="C10121">
        <f>IF(VLOOKUP(Table7[[#This Row],[Date]],Database!$A:$C,MATCH($C$1,Database!$A$1:$C$1,),)=0,#N/A,VLOOKUP(Table7[[#This Row],[Date]],Database!$A:$C,MATCH($C$1,Database!$A$1:$C$1,),))</f>
        <v/>
      </c>
      <c r="D10121">
        <f>IFERROR(Table7[[#This Row],[United States 10y]]-Table7[[#This Row],[United States 3y]],#N/A)</f>
        <v/>
      </c>
    </row>
    <row r="10122">
      <c r="A10122" s="6">
        <f>Database!$A12207</f>
        <v/>
      </c>
      <c r="B10122">
        <f>IF(VLOOKUP(Table7[[#This Row],[Date]],Database!$A:$C,MATCH($B$1,Database!$A$1:$C$1,),)=0,#N/A,VLOOKUP(Table7[[#This Row],[Date]],Database!$A:$C,MATCH($B$1,Database!$A$1:$C$1,),))</f>
        <v/>
      </c>
      <c r="C10122">
        <f>IF(VLOOKUP(Table7[[#This Row],[Date]],Database!$A:$C,MATCH($C$1,Database!$A$1:$C$1,),)=0,#N/A,VLOOKUP(Table7[[#This Row],[Date]],Database!$A:$C,MATCH($C$1,Database!$A$1:$C$1,),))</f>
        <v/>
      </c>
      <c r="D10122">
        <f>IFERROR(Table7[[#This Row],[United States 10y]]-Table7[[#This Row],[United States 3y]],#N/A)</f>
        <v/>
      </c>
    </row>
    <row r="10123">
      <c r="A10123" s="6">
        <f>Database!$A12208</f>
        <v/>
      </c>
      <c r="B10123">
        <f>IF(VLOOKUP(Table7[[#This Row],[Date]],Database!$A:$C,MATCH($B$1,Database!$A$1:$C$1,),)=0,#N/A,VLOOKUP(Table7[[#This Row],[Date]],Database!$A:$C,MATCH($B$1,Database!$A$1:$C$1,),))</f>
        <v/>
      </c>
      <c r="C10123">
        <f>IF(VLOOKUP(Table7[[#This Row],[Date]],Database!$A:$C,MATCH($C$1,Database!$A$1:$C$1,),)=0,#N/A,VLOOKUP(Table7[[#This Row],[Date]],Database!$A:$C,MATCH($C$1,Database!$A$1:$C$1,),))</f>
        <v/>
      </c>
      <c r="D10123">
        <f>IFERROR(Table7[[#This Row],[United States 10y]]-Table7[[#This Row],[United States 3y]],#N/A)</f>
        <v/>
      </c>
    </row>
    <row r="10124">
      <c r="A10124" s="6">
        <f>Database!$A12209</f>
        <v/>
      </c>
      <c r="B10124">
        <f>IF(VLOOKUP(Table7[[#This Row],[Date]],Database!$A:$C,MATCH($B$1,Database!$A$1:$C$1,),)=0,#N/A,VLOOKUP(Table7[[#This Row],[Date]],Database!$A:$C,MATCH($B$1,Database!$A$1:$C$1,),))</f>
        <v/>
      </c>
      <c r="C10124">
        <f>IF(VLOOKUP(Table7[[#This Row],[Date]],Database!$A:$C,MATCH($C$1,Database!$A$1:$C$1,),)=0,#N/A,VLOOKUP(Table7[[#This Row],[Date]],Database!$A:$C,MATCH($C$1,Database!$A$1:$C$1,),))</f>
        <v/>
      </c>
      <c r="D10124">
        <f>IFERROR(Table7[[#This Row],[United States 10y]]-Table7[[#This Row],[United States 3y]],#N/A)</f>
        <v/>
      </c>
    </row>
    <row r="10125">
      <c r="A10125" s="6">
        <f>Database!$A12210</f>
        <v/>
      </c>
      <c r="B10125">
        <f>IF(VLOOKUP(Table7[[#This Row],[Date]],Database!$A:$C,MATCH($B$1,Database!$A$1:$C$1,),)=0,#N/A,VLOOKUP(Table7[[#This Row],[Date]],Database!$A:$C,MATCH($B$1,Database!$A$1:$C$1,),))</f>
        <v/>
      </c>
      <c r="C10125">
        <f>IF(VLOOKUP(Table7[[#This Row],[Date]],Database!$A:$C,MATCH($C$1,Database!$A$1:$C$1,),)=0,#N/A,VLOOKUP(Table7[[#This Row],[Date]],Database!$A:$C,MATCH($C$1,Database!$A$1:$C$1,),))</f>
        <v/>
      </c>
      <c r="D10125">
        <f>IFERROR(Table7[[#This Row],[United States 10y]]-Table7[[#This Row],[United States 3y]],#N/A)</f>
        <v/>
      </c>
    </row>
    <row r="10126">
      <c r="A10126" s="6">
        <f>Database!$A12211</f>
        <v/>
      </c>
      <c r="B10126">
        <f>IF(VLOOKUP(Table7[[#This Row],[Date]],Database!$A:$C,MATCH($B$1,Database!$A$1:$C$1,),)=0,#N/A,VLOOKUP(Table7[[#This Row],[Date]],Database!$A:$C,MATCH($B$1,Database!$A$1:$C$1,),))</f>
        <v/>
      </c>
      <c r="C10126">
        <f>IF(VLOOKUP(Table7[[#This Row],[Date]],Database!$A:$C,MATCH($C$1,Database!$A$1:$C$1,),)=0,#N/A,VLOOKUP(Table7[[#This Row],[Date]],Database!$A:$C,MATCH($C$1,Database!$A$1:$C$1,),))</f>
        <v/>
      </c>
      <c r="D10126">
        <f>IFERROR(Table7[[#This Row],[United States 10y]]-Table7[[#This Row],[United States 3y]],#N/A)</f>
        <v/>
      </c>
    </row>
    <row r="10127">
      <c r="A10127" s="6">
        <f>Database!$A12212</f>
        <v/>
      </c>
      <c r="B10127">
        <f>IF(VLOOKUP(Table7[[#This Row],[Date]],Database!$A:$C,MATCH($B$1,Database!$A$1:$C$1,),)=0,#N/A,VLOOKUP(Table7[[#This Row],[Date]],Database!$A:$C,MATCH($B$1,Database!$A$1:$C$1,),))</f>
        <v/>
      </c>
      <c r="C10127">
        <f>IF(VLOOKUP(Table7[[#This Row],[Date]],Database!$A:$C,MATCH($C$1,Database!$A$1:$C$1,),)=0,#N/A,VLOOKUP(Table7[[#This Row],[Date]],Database!$A:$C,MATCH($C$1,Database!$A$1:$C$1,),))</f>
        <v/>
      </c>
      <c r="D10127">
        <f>IFERROR(Table7[[#This Row],[United States 10y]]-Table7[[#This Row],[United States 3y]],#N/A)</f>
        <v/>
      </c>
    </row>
    <row r="10128">
      <c r="A10128" s="6">
        <f>Database!$A12213</f>
        <v/>
      </c>
      <c r="B10128">
        <f>IF(VLOOKUP(Table7[[#This Row],[Date]],Database!$A:$C,MATCH($B$1,Database!$A$1:$C$1,),)=0,#N/A,VLOOKUP(Table7[[#This Row],[Date]],Database!$A:$C,MATCH($B$1,Database!$A$1:$C$1,),))</f>
        <v/>
      </c>
      <c r="C10128">
        <f>IF(VLOOKUP(Table7[[#This Row],[Date]],Database!$A:$C,MATCH($C$1,Database!$A$1:$C$1,),)=0,#N/A,VLOOKUP(Table7[[#This Row],[Date]],Database!$A:$C,MATCH($C$1,Database!$A$1:$C$1,),))</f>
        <v/>
      </c>
      <c r="D10128">
        <f>IFERROR(Table7[[#This Row],[United States 10y]]-Table7[[#This Row],[United States 3y]],#N/A)</f>
        <v/>
      </c>
    </row>
    <row r="10129">
      <c r="A10129" s="6">
        <f>Database!$A12214</f>
        <v/>
      </c>
      <c r="B10129">
        <f>IF(VLOOKUP(Table7[[#This Row],[Date]],Database!$A:$C,MATCH($B$1,Database!$A$1:$C$1,),)=0,#N/A,VLOOKUP(Table7[[#This Row],[Date]],Database!$A:$C,MATCH($B$1,Database!$A$1:$C$1,),))</f>
        <v/>
      </c>
      <c r="C10129">
        <f>IF(VLOOKUP(Table7[[#This Row],[Date]],Database!$A:$C,MATCH($C$1,Database!$A$1:$C$1,),)=0,#N/A,VLOOKUP(Table7[[#This Row],[Date]],Database!$A:$C,MATCH($C$1,Database!$A$1:$C$1,),))</f>
        <v/>
      </c>
      <c r="D10129">
        <f>IFERROR(Table7[[#This Row],[United States 10y]]-Table7[[#This Row],[United States 3y]],#N/A)</f>
        <v/>
      </c>
    </row>
    <row r="10130">
      <c r="A10130" s="6">
        <f>Database!$A12215</f>
        <v/>
      </c>
      <c r="B10130">
        <f>IF(VLOOKUP(Table7[[#This Row],[Date]],Database!$A:$C,MATCH($B$1,Database!$A$1:$C$1,),)=0,#N/A,VLOOKUP(Table7[[#This Row],[Date]],Database!$A:$C,MATCH($B$1,Database!$A$1:$C$1,),))</f>
        <v/>
      </c>
      <c r="C10130">
        <f>IF(VLOOKUP(Table7[[#This Row],[Date]],Database!$A:$C,MATCH($C$1,Database!$A$1:$C$1,),)=0,#N/A,VLOOKUP(Table7[[#This Row],[Date]],Database!$A:$C,MATCH($C$1,Database!$A$1:$C$1,),))</f>
        <v/>
      </c>
      <c r="D10130">
        <f>IFERROR(Table7[[#This Row],[United States 10y]]-Table7[[#This Row],[United States 3y]],#N/A)</f>
        <v/>
      </c>
    </row>
    <row r="10131">
      <c r="A10131" s="6">
        <f>Database!$A12216</f>
        <v/>
      </c>
      <c r="B10131">
        <f>IF(VLOOKUP(Table7[[#This Row],[Date]],Database!$A:$C,MATCH($B$1,Database!$A$1:$C$1,),)=0,#N/A,VLOOKUP(Table7[[#This Row],[Date]],Database!$A:$C,MATCH($B$1,Database!$A$1:$C$1,),))</f>
        <v/>
      </c>
      <c r="C10131">
        <f>IF(VLOOKUP(Table7[[#This Row],[Date]],Database!$A:$C,MATCH($C$1,Database!$A$1:$C$1,),)=0,#N/A,VLOOKUP(Table7[[#This Row],[Date]],Database!$A:$C,MATCH($C$1,Database!$A$1:$C$1,),))</f>
        <v/>
      </c>
      <c r="D10131">
        <f>IFERROR(Table7[[#This Row],[United States 10y]]-Table7[[#This Row],[United States 3y]],#N/A)</f>
        <v/>
      </c>
    </row>
    <row r="10132">
      <c r="A10132" s="6">
        <f>Database!$A12217</f>
        <v/>
      </c>
      <c r="B10132">
        <f>IF(VLOOKUP(Table7[[#This Row],[Date]],Database!$A:$C,MATCH($B$1,Database!$A$1:$C$1,),)=0,#N/A,VLOOKUP(Table7[[#This Row],[Date]],Database!$A:$C,MATCH($B$1,Database!$A$1:$C$1,),))</f>
        <v/>
      </c>
      <c r="C10132">
        <f>IF(VLOOKUP(Table7[[#This Row],[Date]],Database!$A:$C,MATCH($C$1,Database!$A$1:$C$1,),)=0,#N/A,VLOOKUP(Table7[[#This Row],[Date]],Database!$A:$C,MATCH($C$1,Database!$A$1:$C$1,),))</f>
        <v/>
      </c>
      <c r="D10132">
        <f>IFERROR(Table7[[#This Row],[United States 10y]]-Table7[[#This Row],[United States 3y]],#N/A)</f>
        <v/>
      </c>
    </row>
    <row r="10133">
      <c r="A10133" s="6">
        <f>Database!$A12218</f>
        <v/>
      </c>
      <c r="B10133">
        <f>IF(VLOOKUP(Table7[[#This Row],[Date]],Database!$A:$C,MATCH($B$1,Database!$A$1:$C$1,),)=0,#N/A,VLOOKUP(Table7[[#This Row],[Date]],Database!$A:$C,MATCH($B$1,Database!$A$1:$C$1,),))</f>
        <v/>
      </c>
      <c r="C10133">
        <f>IF(VLOOKUP(Table7[[#This Row],[Date]],Database!$A:$C,MATCH($C$1,Database!$A$1:$C$1,),)=0,#N/A,VLOOKUP(Table7[[#This Row],[Date]],Database!$A:$C,MATCH($C$1,Database!$A$1:$C$1,),))</f>
        <v/>
      </c>
      <c r="D10133">
        <f>IFERROR(Table7[[#This Row],[United States 10y]]-Table7[[#This Row],[United States 3y]],#N/A)</f>
        <v/>
      </c>
    </row>
    <row r="10134">
      <c r="A10134" s="6">
        <f>Database!$A12219</f>
        <v/>
      </c>
      <c r="B10134">
        <f>IF(VLOOKUP(Table7[[#This Row],[Date]],Database!$A:$C,MATCH($B$1,Database!$A$1:$C$1,),)=0,#N/A,VLOOKUP(Table7[[#This Row],[Date]],Database!$A:$C,MATCH($B$1,Database!$A$1:$C$1,),))</f>
        <v/>
      </c>
      <c r="C10134">
        <f>IF(VLOOKUP(Table7[[#This Row],[Date]],Database!$A:$C,MATCH($C$1,Database!$A$1:$C$1,),)=0,#N/A,VLOOKUP(Table7[[#This Row],[Date]],Database!$A:$C,MATCH($C$1,Database!$A$1:$C$1,),))</f>
        <v/>
      </c>
      <c r="D10134">
        <f>IFERROR(Table7[[#This Row],[United States 10y]]-Table7[[#This Row],[United States 3y]],#N/A)</f>
        <v/>
      </c>
    </row>
    <row r="10135">
      <c r="A10135" s="6">
        <f>Database!$A12220</f>
        <v/>
      </c>
      <c r="B10135">
        <f>IF(VLOOKUP(Table7[[#This Row],[Date]],Database!$A:$C,MATCH($B$1,Database!$A$1:$C$1,),)=0,#N/A,VLOOKUP(Table7[[#This Row],[Date]],Database!$A:$C,MATCH($B$1,Database!$A$1:$C$1,),))</f>
        <v/>
      </c>
      <c r="C10135">
        <f>IF(VLOOKUP(Table7[[#This Row],[Date]],Database!$A:$C,MATCH($C$1,Database!$A$1:$C$1,),)=0,#N/A,VLOOKUP(Table7[[#This Row],[Date]],Database!$A:$C,MATCH($C$1,Database!$A$1:$C$1,),))</f>
        <v/>
      </c>
      <c r="D10135">
        <f>IFERROR(Table7[[#This Row],[United States 10y]]-Table7[[#This Row],[United States 3y]],#N/A)</f>
        <v/>
      </c>
    </row>
    <row r="10136">
      <c r="A10136" s="6">
        <f>Database!$A12221</f>
        <v/>
      </c>
      <c r="B10136">
        <f>IF(VLOOKUP(Table7[[#This Row],[Date]],Database!$A:$C,MATCH($B$1,Database!$A$1:$C$1,),)=0,#N/A,VLOOKUP(Table7[[#This Row],[Date]],Database!$A:$C,MATCH($B$1,Database!$A$1:$C$1,),))</f>
        <v/>
      </c>
      <c r="C10136">
        <f>IF(VLOOKUP(Table7[[#This Row],[Date]],Database!$A:$C,MATCH($C$1,Database!$A$1:$C$1,),)=0,#N/A,VLOOKUP(Table7[[#This Row],[Date]],Database!$A:$C,MATCH($C$1,Database!$A$1:$C$1,),))</f>
        <v/>
      </c>
      <c r="D10136">
        <f>IFERROR(Table7[[#This Row],[United States 10y]]-Table7[[#This Row],[United States 3y]],#N/A)</f>
        <v/>
      </c>
    </row>
    <row r="10137">
      <c r="A10137" s="6">
        <f>Database!$A12222</f>
        <v/>
      </c>
      <c r="B10137">
        <f>IF(VLOOKUP(Table7[[#This Row],[Date]],Database!$A:$C,MATCH($B$1,Database!$A$1:$C$1,),)=0,#N/A,VLOOKUP(Table7[[#This Row],[Date]],Database!$A:$C,MATCH($B$1,Database!$A$1:$C$1,),))</f>
        <v/>
      </c>
      <c r="C10137">
        <f>IF(VLOOKUP(Table7[[#This Row],[Date]],Database!$A:$C,MATCH($C$1,Database!$A$1:$C$1,),)=0,#N/A,VLOOKUP(Table7[[#This Row],[Date]],Database!$A:$C,MATCH($C$1,Database!$A$1:$C$1,),))</f>
        <v/>
      </c>
      <c r="D10137">
        <f>IFERROR(Table7[[#This Row],[United States 10y]]-Table7[[#This Row],[United States 3y]],#N/A)</f>
        <v/>
      </c>
    </row>
    <row r="10138">
      <c r="A10138" s="6">
        <f>Database!$A12223</f>
        <v/>
      </c>
      <c r="B10138">
        <f>IF(VLOOKUP(Table7[[#This Row],[Date]],Database!$A:$C,MATCH($B$1,Database!$A$1:$C$1,),)=0,#N/A,VLOOKUP(Table7[[#This Row],[Date]],Database!$A:$C,MATCH($B$1,Database!$A$1:$C$1,),))</f>
        <v/>
      </c>
      <c r="C10138">
        <f>IF(VLOOKUP(Table7[[#This Row],[Date]],Database!$A:$C,MATCH($C$1,Database!$A$1:$C$1,),)=0,#N/A,VLOOKUP(Table7[[#This Row],[Date]],Database!$A:$C,MATCH($C$1,Database!$A$1:$C$1,),))</f>
        <v/>
      </c>
      <c r="D10138">
        <f>IFERROR(Table7[[#This Row],[United States 10y]]-Table7[[#This Row],[United States 3y]],#N/A)</f>
        <v/>
      </c>
    </row>
    <row r="10139">
      <c r="A10139" s="6">
        <f>Database!$A12224</f>
        <v/>
      </c>
      <c r="B10139">
        <f>IF(VLOOKUP(Table7[[#This Row],[Date]],Database!$A:$C,MATCH($B$1,Database!$A$1:$C$1,),)=0,#N/A,VLOOKUP(Table7[[#This Row],[Date]],Database!$A:$C,MATCH($B$1,Database!$A$1:$C$1,),))</f>
        <v/>
      </c>
      <c r="C10139">
        <f>IF(VLOOKUP(Table7[[#This Row],[Date]],Database!$A:$C,MATCH($C$1,Database!$A$1:$C$1,),)=0,#N/A,VLOOKUP(Table7[[#This Row],[Date]],Database!$A:$C,MATCH($C$1,Database!$A$1:$C$1,),))</f>
        <v/>
      </c>
      <c r="D10139">
        <f>IFERROR(Table7[[#This Row],[United States 10y]]-Table7[[#This Row],[United States 3y]],#N/A)</f>
        <v/>
      </c>
    </row>
    <row r="10140">
      <c r="A10140" s="6">
        <f>Database!$A12225</f>
        <v/>
      </c>
      <c r="B10140">
        <f>IF(VLOOKUP(Table7[[#This Row],[Date]],Database!$A:$C,MATCH($B$1,Database!$A$1:$C$1,),)=0,#N/A,VLOOKUP(Table7[[#This Row],[Date]],Database!$A:$C,MATCH($B$1,Database!$A$1:$C$1,),))</f>
        <v/>
      </c>
      <c r="C10140">
        <f>IF(VLOOKUP(Table7[[#This Row],[Date]],Database!$A:$C,MATCH($C$1,Database!$A$1:$C$1,),)=0,#N/A,VLOOKUP(Table7[[#This Row],[Date]],Database!$A:$C,MATCH($C$1,Database!$A$1:$C$1,),))</f>
        <v/>
      </c>
      <c r="D10140">
        <f>IFERROR(Table7[[#This Row],[United States 10y]]-Table7[[#This Row],[United States 3y]],#N/A)</f>
        <v/>
      </c>
    </row>
    <row r="10141">
      <c r="A10141" s="6">
        <f>Database!$A12226</f>
        <v/>
      </c>
      <c r="B10141">
        <f>IF(VLOOKUP(Table7[[#This Row],[Date]],Database!$A:$C,MATCH($B$1,Database!$A$1:$C$1,),)=0,#N/A,VLOOKUP(Table7[[#This Row],[Date]],Database!$A:$C,MATCH($B$1,Database!$A$1:$C$1,),))</f>
        <v/>
      </c>
      <c r="C10141">
        <f>IF(VLOOKUP(Table7[[#This Row],[Date]],Database!$A:$C,MATCH($C$1,Database!$A$1:$C$1,),)=0,#N/A,VLOOKUP(Table7[[#This Row],[Date]],Database!$A:$C,MATCH($C$1,Database!$A$1:$C$1,),))</f>
        <v/>
      </c>
      <c r="D10141">
        <f>IFERROR(Table7[[#This Row],[United States 10y]]-Table7[[#This Row],[United States 3y]],#N/A)</f>
        <v/>
      </c>
    </row>
    <row r="10142">
      <c r="A10142" s="6">
        <f>Database!$A12227</f>
        <v/>
      </c>
      <c r="B10142">
        <f>IF(VLOOKUP(Table7[[#This Row],[Date]],Database!$A:$C,MATCH($B$1,Database!$A$1:$C$1,),)=0,#N/A,VLOOKUP(Table7[[#This Row],[Date]],Database!$A:$C,MATCH($B$1,Database!$A$1:$C$1,),))</f>
        <v/>
      </c>
      <c r="C10142">
        <f>IF(VLOOKUP(Table7[[#This Row],[Date]],Database!$A:$C,MATCH($C$1,Database!$A$1:$C$1,),)=0,#N/A,VLOOKUP(Table7[[#This Row],[Date]],Database!$A:$C,MATCH($C$1,Database!$A$1:$C$1,),))</f>
        <v/>
      </c>
      <c r="D10142">
        <f>IFERROR(Table7[[#This Row],[United States 10y]]-Table7[[#This Row],[United States 3y]],#N/A)</f>
        <v/>
      </c>
    </row>
    <row r="10143">
      <c r="A10143" s="6">
        <f>Database!$A12228</f>
        <v/>
      </c>
      <c r="B10143">
        <f>IF(VLOOKUP(Table7[[#This Row],[Date]],Database!$A:$C,MATCH($B$1,Database!$A$1:$C$1,),)=0,#N/A,VLOOKUP(Table7[[#This Row],[Date]],Database!$A:$C,MATCH($B$1,Database!$A$1:$C$1,),))</f>
        <v/>
      </c>
      <c r="C10143">
        <f>IF(VLOOKUP(Table7[[#This Row],[Date]],Database!$A:$C,MATCH($C$1,Database!$A$1:$C$1,),)=0,#N/A,VLOOKUP(Table7[[#This Row],[Date]],Database!$A:$C,MATCH($C$1,Database!$A$1:$C$1,),))</f>
        <v/>
      </c>
      <c r="D10143">
        <f>IFERROR(Table7[[#This Row],[United States 10y]]-Table7[[#This Row],[United States 3y]],#N/A)</f>
        <v/>
      </c>
    </row>
    <row r="10144">
      <c r="A10144" s="6">
        <f>Database!$A12229</f>
        <v/>
      </c>
      <c r="B10144">
        <f>IF(VLOOKUP(Table7[[#This Row],[Date]],Database!$A:$C,MATCH($B$1,Database!$A$1:$C$1,),)=0,#N/A,VLOOKUP(Table7[[#This Row],[Date]],Database!$A:$C,MATCH($B$1,Database!$A$1:$C$1,),))</f>
        <v/>
      </c>
      <c r="C10144">
        <f>IF(VLOOKUP(Table7[[#This Row],[Date]],Database!$A:$C,MATCH($C$1,Database!$A$1:$C$1,),)=0,#N/A,VLOOKUP(Table7[[#This Row],[Date]],Database!$A:$C,MATCH($C$1,Database!$A$1:$C$1,),))</f>
        <v/>
      </c>
      <c r="D10144">
        <f>IFERROR(Table7[[#This Row],[United States 10y]]-Table7[[#This Row],[United States 3y]],#N/A)</f>
        <v/>
      </c>
    </row>
    <row r="10145">
      <c r="A10145" s="6">
        <f>Database!$A12230</f>
        <v/>
      </c>
      <c r="B10145">
        <f>IF(VLOOKUP(Table7[[#This Row],[Date]],Database!$A:$C,MATCH($B$1,Database!$A$1:$C$1,),)=0,#N/A,VLOOKUP(Table7[[#This Row],[Date]],Database!$A:$C,MATCH($B$1,Database!$A$1:$C$1,),))</f>
        <v/>
      </c>
      <c r="C10145">
        <f>IF(VLOOKUP(Table7[[#This Row],[Date]],Database!$A:$C,MATCH($C$1,Database!$A$1:$C$1,),)=0,#N/A,VLOOKUP(Table7[[#This Row],[Date]],Database!$A:$C,MATCH($C$1,Database!$A$1:$C$1,),))</f>
        <v/>
      </c>
      <c r="D10145">
        <f>IFERROR(Table7[[#This Row],[United States 10y]]-Table7[[#This Row],[United States 3y]],#N/A)</f>
        <v/>
      </c>
    </row>
    <row r="10146">
      <c r="A10146" s="6">
        <f>Database!$A12231</f>
        <v/>
      </c>
      <c r="B10146">
        <f>IF(VLOOKUP(Table7[[#This Row],[Date]],Database!$A:$C,MATCH($B$1,Database!$A$1:$C$1,),)=0,#N/A,VLOOKUP(Table7[[#This Row],[Date]],Database!$A:$C,MATCH($B$1,Database!$A$1:$C$1,),))</f>
        <v/>
      </c>
      <c r="C10146">
        <f>IF(VLOOKUP(Table7[[#This Row],[Date]],Database!$A:$C,MATCH($C$1,Database!$A$1:$C$1,),)=0,#N/A,VLOOKUP(Table7[[#This Row],[Date]],Database!$A:$C,MATCH($C$1,Database!$A$1:$C$1,),))</f>
        <v/>
      </c>
      <c r="D10146">
        <f>IFERROR(Table7[[#This Row],[United States 10y]]-Table7[[#This Row],[United States 3y]],#N/A)</f>
        <v/>
      </c>
    </row>
    <row r="10147">
      <c r="A10147" s="6">
        <f>Database!$A12232</f>
        <v/>
      </c>
      <c r="B10147">
        <f>IF(VLOOKUP(Table7[[#This Row],[Date]],Database!$A:$C,MATCH($B$1,Database!$A$1:$C$1,),)=0,#N/A,VLOOKUP(Table7[[#This Row],[Date]],Database!$A:$C,MATCH($B$1,Database!$A$1:$C$1,),))</f>
        <v/>
      </c>
      <c r="C10147">
        <f>IF(VLOOKUP(Table7[[#This Row],[Date]],Database!$A:$C,MATCH($C$1,Database!$A$1:$C$1,),)=0,#N/A,VLOOKUP(Table7[[#This Row],[Date]],Database!$A:$C,MATCH($C$1,Database!$A$1:$C$1,),))</f>
        <v/>
      </c>
      <c r="D10147">
        <f>IFERROR(Table7[[#This Row],[United States 10y]]-Table7[[#This Row],[United States 3y]],#N/A)</f>
        <v/>
      </c>
    </row>
    <row r="10148">
      <c r="A10148" s="6">
        <f>Database!$A12233</f>
        <v/>
      </c>
      <c r="B10148">
        <f>IF(VLOOKUP(Table7[[#This Row],[Date]],Database!$A:$C,MATCH($B$1,Database!$A$1:$C$1,),)=0,#N/A,VLOOKUP(Table7[[#This Row],[Date]],Database!$A:$C,MATCH($B$1,Database!$A$1:$C$1,),))</f>
        <v/>
      </c>
      <c r="C10148">
        <f>IF(VLOOKUP(Table7[[#This Row],[Date]],Database!$A:$C,MATCH($C$1,Database!$A$1:$C$1,),)=0,#N/A,VLOOKUP(Table7[[#This Row],[Date]],Database!$A:$C,MATCH($C$1,Database!$A$1:$C$1,),))</f>
        <v/>
      </c>
      <c r="D10148">
        <f>IFERROR(Table7[[#This Row],[United States 10y]]-Table7[[#This Row],[United States 3y]],#N/A)</f>
        <v/>
      </c>
    </row>
    <row r="10149">
      <c r="A10149" s="6">
        <f>Database!$A12234</f>
        <v/>
      </c>
      <c r="B10149">
        <f>IF(VLOOKUP(Table7[[#This Row],[Date]],Database!$A:$C,MATCH($B$1,Database!$A$1:$C$1,),)=0,#N/A,VLOOKUP(Table7[[#This Row],[Date]],Database!$A:$C,MATCH($B$1,Database!$A$1:$C$1,),))</f>
        <v/>
      </c>
      <c r="C10149">
        <f>IF(VLOOKUP(Table7[[#This Row],[Date]],Database!$A:$C,MATCH($C$1,Database!$A$1:$C$1,),)=0,#N/A,VLOOKUP(Table7[[#This Row],[Date]],Database!$A:$C,MATCH($C$1,Database!$A$1:$C$1,),))</f>
        <v/>
      </c>
      <c r="D10149">
        <f>IFERROR(Table7[[#This Row],[United States 10y]]-Table7[[#This Row],[United States 3y]],#N/A)</f>
        <v/>
      </c>
    </row>
    <row r="10150">
      <c r="A10150" s="6">
        <f>Database!$A12235</f>
        <v/>
      </c>
      <c r="B10150">
        <f>IF(VLOOKUP(Table7[[#This Row],[Date]],Database!$A:$C,MATCH($B$1,Database!$A$1:$C$1,),)=0,#N/A,VLOOKUP(Table7[[#This Row],[Date]],Database!$A:$C,MATCH($B$1,Database!$A$1:$C$1,),))</f>
        <v/>
      </c>
      <c r="C10150">
        <f>IF(VLOOKUP(Table7[[#This Row],[Date]],Database!$A:$C,MATCH($C$1,Database!$A$1:$C$1,),)=0,#N/A,VLOOKUP(Table7[[#This Row],[Date]],Database!$A:$C,MATCH($C$1,Database!$A$1:$C$1,),))</f>
        <v/>
      </c>
      <c r="D10150">
        <f>IFERROR(Table7[[#This Row],[United States 10y]]-Table7[[#This Row],[United States 3y]],#N/A)</f>
        <v/>
      </c>
    </row>
    <row r="10151">
      <c r="A10151" s="6">
        <f>Database!$A12236</f>
        <v/>
      </c>
      <c r="B10151">
        <f>IF(VLOOKUP(Table7[[#This Row],[Date]],Database!$A:$C,MATCH($B$1,Database!$A$1:$C$1,),)=0,#N/A,VLOOKUP(Table7[[#This Row],[Date]],Database!$A:$C,MATCH($B$1,Database!$A$1:$C$1,),))</f>
        <v/>
      </c>
      <c r="C10151">
        <f>IF(VLOOKUP(Table7[[#This Row],[Date]],Database!$A:$C,MATCH($C$1,Database!$A$1:$C$1,),)=0,#N/A,VLOOKUP(Table7[[#This Row],[Date]],Database!$A:$C,MATCH($C$1,Database!$A$1:$C$1,),))</f>
        <v/>
      </c>
      <c r="D10151">
        <f>IFERROR(Table7[[#This Row],[United States 10y]]-Table7[[#This Row],[United States 3y]],#N/A)</f>
        <v/>
      </c>
    </row>
    <row r="10152">
      <c r="A10152" s="6">
        <f>Database!$A12237</f>
        <v/>
      </c>
      <c r="B10152">
        <f>IF(VLOOKUP(Table7[[#This Row],[Date]],Database!$A:$C,MATCH($B$1,Database!$A$1:$C$1,),)=0,#N/A,VLOOKUP(Table7[[#This Row],[Date]],Database!$A:$C,MATCH($B$1,Database!$A$1:$C$1,),))</f>
        <v/>
      </c>
      <c r="C10152">
        <f>IF(VLOOKUP(Table7[[#This Row],[Date]],Database!$A:$C,MATCH($C$1,Database!$A$1:$C$1,),)=0,#N/A,VLOOKUP(Table7[[#This Row],[Date]],Database!$A:$C,MATCH($C$1,Database!$A$1:$C$1,),))</f>
        <v/>
      </c>
      <c r="D10152">
        <f>IFERROR(Table7[[#This Row],[United States 10y]]-Table7[[#This Row],[United States 3y]],#N/A)</f>
        <v/>
      </c>
    </row>
    <row r="10153">
      <c r="A10153" s="6">
        <f>Database!$A12238</f>
        <v/>
      </c>
      <c r="B10153">
        <f>IF(VLOOKUP(Table7[[#This Row],[Date]],Database!$A:$C,MATCH($B$1,Database!$A$1:$C$1,),)=0,#N/A,VLOOKUP(Table7[[#This Row],[Date]],Database!$A:$C,MATCH($B$1,Database!$A$1:$C$1,),))</f>
        <v/>
      </c>
      <c r="C10153">
        <f>IF(VLOOKUP(Table7[[#This Row],[Date]],Database!$A:$C,MATCH($C$1,Database!$A$1:$C$1,),)=0,#N/A,VLOOKUP(Table7[[#This Row],[Date]],Database!$A:$C,MATCH($C$1,Database!$A$1:$C$1,),))</f>
        <v/>
      </c>
      <c r="D10153">
        <f>IFERROR(Table7[[#This Row],[United States 10y]]-Table7[[#This Row],[United States 3y]],#N/A)</f>
        <v/>
      </c>
    </row>
    <row r="10154">
      <c r="A10154" s="6">
        <f>Database!$A12239</f>
        <v/>
      </c>
      <c r="B10154">
        <f>IF(VLOOKUP(Table7[[#This Row],[Date]],Database!$A:$C,MATCH($B$1,Database!$A$1:$C$1,),)=0,#N/A,VLOOKUP(Table7[[#This Row],[Date]],Database!$A:$C,MATCH($B$1,Database!$A$1:$C$1,),))</f>
        <v/>
      </c>
      <c r="C10154">
        <f>IF(VLOOKUP(Table7[[#This Row],[Date]],Database!$A:$C,MATCH($C$1,Database!$A$1:$C$1,),)=0,#N/A,VLOOKUP(Table7[[#This Row],[Date]],Database!$A:$C,MATCH($C$1,Database!$A$1:$C$1,),))</f>
        <v/>
      </c>
      <c r="D10154">
        <f>IFERROR(Table7[[#This Row],[United States 10y]]-Table7[[#This Row],[United States 3y]],#N/A)</f>
        <v/>
      </c>
    </row>
    <row r="10155">
      <c r="A10155" s="6">
        <f>Database!$A12240</f>
        <v/>
      </c>
      <c r="B10155">
        <f>IF(VLOOKUP(Table7[[#This Row],[Date]],Database!$A:$C,MATCH($B$1,Database!$A$1:$C$1,),)=0,#N/A,VLOOKUP(Table7[[#This Row],[Date]],Database!$A:$C,MATCH($B$1,Database!$A$1:$C$1,),))</f>
        <v/>
      </c>
      <c r="C10155">
        <f>IF(VLOOKUP(Table7[[#This Row],[Date]],Database!$A:$C,MATCH($C$1,Database!$A$1:$C$1,),)=0,#N/A,VLOOKUP(Table7[[#This Row],[Date]],Database!$A:$C,MATCH($C$1,Database!$A$1:$C$1,),))</f>
        <v/>
      </c>
      <c r="D10155">
        <f>IFERROR(Table7[[#This Row],[United States 10y]]-Table7[[#This Row],[United States 3y]],#N/A)</f>
        <v/>
      </c>
    </row>
    <row r="10156">
      <c r="A10156" s="6">
        <f>Database!$A12241</f>
        <v/>
      </c>
      <c r="B10156">
        <f>IF(VLOOKUP(Table7[[#This Row],[Date]],Database!$A:$C,MATCH($B$1,Database!$A$1:$C$1,),)=0,#N/A,VLOOKUP(Table7[[#This Row],[Date]],Database!$A:$C,MATCH($B$1,Database!$A$1:$C$1,),))</f>
        <v/>
      </c>
      <c r="C10156">
        <f>IF(VLOOKUP(Table7[[#This Row],[Date]],Database!$A:$C,MATCH($C$1,Database!$A$1:$C$1,),)=0,#N/A,VLOOKUP(Table7[[#This Row],[Date]],Database!$A:$C,MATCH($C$1,Database!$A$1:$C$1,),))</f>
        <v/>
      </c>
      <c r="D10156">
        <f>IFERROR(Table7[[#This Row],[United States 10y]]-Table7[[#This Row],[United States 3y]],#N/A)</f>
        <v/>
      </c>
    </row>
    <row r="10157">
      <c r="A10157" s="6">
        <f>Database!$A12242</f>
        <v/>
      </c>
      <c r="B10157">
        <f>IF(VLOOKUP(Table7[[#This Row],[Date]],Database!$A:$C,MATCH($B$1,Database!$A$1:$C$1,),)=0,#N/A,VLOOKUP(Table7[[#This Row],[Date]],Database!$A:$C,MATCH($B$1,Database!$A$1:$C$1,),))</f>
        <v/>
      </c>
      <c r="C10157">
        <f>IF(VLOOKUP(Table7[[#This Row],[Date]],Database!$A:$C,MATCH($C$1,Database!$A$1:$C$1,),)=0,#N/A,VLOOKUP(Table7[[#This Row],[Date]],Database!$A:$C,MATCH($C$1,Database!$A$1:$C$1,),))</f>
        <v/>
      </c>
      <c r="D10157">
        <f>IFERROR(Table7[[#This Row],[United States 10y]]-Table7[[#This Row],[United States 3y]],#N/A)</f>
        <v/>
      </c>
    </row>
    <row r="10158">
      <c r="A10158" s="6">
        <f>Database!$A12243</f>
        <v/>
      </c>
      <c r="B10158">
        <f>IF(VLOOKUP(Table7[[#This Row],[Date]],Database!$A:$C,MATCH($B$1,Database!$A$1:$C$1,),)=0,#N/A,VLOOKUP(Table7[[#This Row],[Date]],Database!$A:$C,MATCH($B$1,Database!$A$1:$C$1,),))</f>
        <v/>
      </c>
      <c r="C10158">
        <f>IF(VLOOKUP(Table7[[#This Row],[Date]],Database!$A:$C,MATCH($C$1,Database!$A$1:$C$1,),)=0,#N/A,VLOOKUP(Table7[[#This Row],[Date]],Database!$A:$C,MATCH($C$1,Database!$A$1:$C$1,),))</f>
        <v/>
      </c>
      <c r="D10158">
        <f>IFERROR(Table7[[#This Row],[United States 10y]]-Table7[[#This Row],[United States 3y]],#N/A)</f>
        <v/>
      </c>
    </row>
    <row r="10159">
      <c r="A10159" s="6">
        <f>Database!$A12244</f>
        <v/>
      </c>
      <c r="B10159">
        <f>IF(VLOOKUP(Table7[[#This Row],[Date]],Database!$A:$C,MATCH($B$1,Database!$A$1:$C$1,),)=0,#N/A,VLOOKUP(Table7[[#This Row],[Date]],Database!$A:$C,MATCH($B$1,Database!$A$1:$C$1,),))</f>
        <v/>
      </c>
      <c r="C10159">
        <f>IF(VLOOKUP(Table7[[#This Row],[Date]],Database!$A:$C,MATCH($C$1,Database!$A$1:$C$1,),)=0,#N/A,VLOOKUP(Table7[[#This Row],[Date]],Database!$A:$C,MATCH($C$1,Database!$A$1:$C$1,),))</f>
        <v/>
      </c>
      <c r="D10159">
        <f>IFERROR(Table7[[#This Row],[United States 10y]]-Table7[[#This Row],[United States 3y]],#N/A)</f>
        <v/>
      </c>
    </row>
    <row r="10160">
      <c r="A10160" s="6">
        <f>Database!$A12245</f>
        <v/>
      </c>
      <c r="B10160">
        <f>IF(VLOOKUP(Table7[[#This Row],[Date]],Database!$A:$C,MATCH($B$1,Database!$A$1:$C$1,),)=0,#N/A,VLOOKUP(Table7[[#This Row],[Date]],Database!$A:$C,MATCH($B$1,Database!$A$1:$C$1,),))</f>
        <v/>
      </c>
      <c r="C10160">
        <f>IF(VLOOKUP(Table7[[#This Row],[Date]],Database!$A:$C,MATCH($C$1,Database!$A$1:$C$1,),)=0,#N/A,VLOOKUP(Table7[[#This Row],[Date]],Database!$A:$C,MATCH($C$1,Database!$A$1:$C$1,),))</f>
        <v/>
      </c>
      <c r="D10160">
        <f>IFERROR(Table7[[#This Row],[United States 10y]]-Table7[[#This Row],[United States 3y]],#N/A)</f>
        <v/>
      </c>
    </row>
    <row r="10161">
      <c r="A10161" s="6">
        <f>Database!$A12246</f>
        <v/>
      </c>
      <c r="B10161">
        <f>IF(VLOOKUP(Table7[[#This Row],[Date]],Database!$A:$C,MATCH($B$1,Database!$A$1:$C$1,),)=0,#N/A,VLOOKUP(Table7[[#This Row],[Date]],Database!$A:$C,MATCH($B$1,Database!$A$1:$C$1,),))</f>
        <v/>
      </c>
      <c r="C10161">
        <f>IF(VLOOKUP(Table7[[#This Row],[Date]],Database!$A:$C,MATCH($C$1,Database!$A$1:$C$1,),)=0,#N/A,VLOOKUP(Table7[[#This Row],[Date]],Database!$A:$C,MATCH($C$1,Database!$A$1:$C$1,),))</f>
        <v/>
      </c>
      <c r="D10161">
        <f>IFERROR(Table7[[#This Row],[United States 10y]]-Table7[[#This Row],[United States 3y]],#N/A)</f>
        <v/>
      </c>
    </row>
    <row r="10162">
      <c r="A10162" s="6">
        <f>Database!$A12247</f>
        <v/>
      </c>
      <c r="B10162">
        <f>IF(VLOOKUP(Table7[[#This Row],[Date]],Database!$A:$C,MATCH($B$1,Database!$A$1:$C$1,),)=0,#N/A,VLOOKUP(Table7[[#This Row],[Date]],Database!$A:$C,MATCH($B$1,Database!$A$1:$C$1,),))</f>
        <v/>
      </c>
      <c r="C10162">
        <f>IF(VLOOKUP(Table7[[#This Row],[Date]],Database!$A:$C,MATCH($C$1,Database!$A$1:$C$1,),)=0,#N/A,VLOOKUP(Table7[[#This Row],[Date]],Database!$A:$C,MATCH($C$1,Database!$A$1:$C$1,),))</f>
        <v/>
      </c>
      <c r="D10162">
        <f>IFERROR(Table7[[#This Row],[United States 10y]]-Table7[[#This Row],[United States 3y]],#N/A)</f>
        <v/>
      </c>
    </row>
    <row r="10163">
      <c r="A10163" s="6">
        <f>Database!$A12248</f>
        <v/>
      </c>
      <c r="B10163">
        <f>IF(VLOOKUP(Table7[[#This Row],[Date]],Database!$A:$C,MATCH($B$1,Database!$A$1:$C$1,),)=0,#N/A,VLOOKUP(Table7[[#This Row],[Date]],Database!$A:$C,MATCH($B$1,Database!$A$1:$C$1,),))</f>
        <v/>
      </c>
      <c r="C10163">
        <f>IF(VLOOKUP(Table7[[#This Row],[Date]],Database!$A:$C,MATCH($C$1,Database!$A$1:$C$1,),)=0,#N/A,VLOOKUP(Table7[[#This Row],[Date]],Database!$A:$C,MATCH($C$1,Database!$A$1:$C$1,),))</f>
        <v/>
      </c>
      <c r="D10163">
        <f>IFERROR(Table7[[#This Row],[United States 10y]]-Table7[[#This Row],[United States 3y]],#N/A)</f>
        <v/>
      </c>
    </row>
    <row r="10164">
      <c r="A10164" s="6">
        <f>Database!$A12249</f>
        <v/>
      </c>
      <c r="B10164">
        <f>IF(VLOOKUP(Table7[[#This Row],[Date]],Database!$A:$C,MATCH($B$1,Database!$A$1:$C$1,),)=0,#N/A,VLOOKUP(Table7[[#This Row],[Date]],Database!$A:$C,MATCH($B$1,Database!$A$1:$C$1,),))</f>
        <v/>
      </c>
      <c r="C10164">
        <f>IF(VLOOKUP(Table7[[#This Row],[Date]],Database!$A:$C,MATCH($C$1,Database!$A$1:$C$1,),)=0,#N/A,VLOOKUP(Table7[[#This Row],[Date]],Database!$A:$C,MATCH($C$1,Database!$A$1:$C$1,),))</f>
        <v/>
      </c>
      <c r="D10164">
        <f>IFERROR(Table7[[#This Row],[United States 10y]]-Table7[[#This Row],[United States 3y]],#N/A)</f>
        <v/>
      </c>
    </row>
    <row r="10165">
      <c r="A10165" s="6">
        <f>Database!$A12250</f>
        <v/>
      </c>
      <c r="B10165">
        <f>IF(VLOOKUP(Table7[[#This Row],[Date]],Database!$A:$C,MATCH($B$1,Database!$A$1:$C$1,),)=0,#N/A,VLOOKUP(Table7[[#This Row],[Date]],Database!$A:$C,MATCH($B$1,Database!$A$1:$C$1,),))</f>
        <v/>
      </c>
      <c r="C10165">
        <f>IF(VLOOKUP(Table7[[#This Row],[Date]],Database!$A:$C,MATCH($C$1,Database!$A$1:$C$1,),)=0,#N/A,VLOOKUP(Table7[[#This Row],[Date]],Database!$A:$C,MATCH($C$1,Database!$A$1:$C$1,),))</f>
        <v/>
      </c>
      <c r="D10165">
        <f>IFERROR(Table7[[#This Row],[United States 10y]]-Table7[[#This Row],[United States 3y]],#N/A)</f>
        <v/>
      </c>
    </row>
    <row r="10166">
      <c r="A10166" s="6">
        <f>Database!$A12251</f>
        <v/>
      </c>
      <c r="B10166">
        <f>IF(VLOOKUP(Table7[[#This Row],[Date]],Database!$A:$C,MATCH($B$1,Database!$A$1:$C$1,),)=0,#N/A,VLOOKUP(Table7[[#This Row],[Date]],Database!$A:$C,MATCH($B$1,Database!$A$1:$C$1,),))</f>
        <v/>
      </c>
      <c r="C10166">
        <f>IF(VLOOKUP(Table7[[#This Row],[Date]],Database!$A:$C,MATCH($C$1,Database!$A$1:$C$1,),)=0,#N/A,VLOOKUP(Table7[[#This Row],[Date]],Database!$A:$C,MATCH($C$1,Database!$A$1:$C$1,),))</f>
        <v/>
      </c>
      <c r="D10166">
        <f>IFERROR(Table7[[#This Row],[United States 10y]]-Table7[[#This Row],[United States 3y]],#N/A)</f>
        <v/>
      </c>
    </row>
    <row r="10167">
      <c r="A10167" s="6">
        <f>Database!$A12252</f>
        <v/>
      </c>
      <c r="B10167">
        <f>IF(VLOOKUP(Table7[[#This Row],[Date]],Database!$A:$C,MATCH($B$1,Database!$A$1:$C$1,),)=0,#N/A,VLOOKUP(Table7[[#This Row],[Date]],Database!$A:$C,MATCH($B$1,Database!$A$1:$C$1,),))</f>
        <v/>
      </c>
      <c r="C10167">
        <f>IF(VLOOKUP(Table7[[#This Row],[Date]],Database!$A:$C,MATCH($C$1,Database!$A$1:$C$1,),)=0,#N/A,VLOOKUP(Table7[[#This Row],[Date]],Database!$A:$C,MATCH($C$1,Database!$A$1:$C$1,),))</f>
        <v/>
      </c>
      <c r="D10167">
        <f>IFERROR(Table7[[#This Row],[United States 10y]]-Table7[[#This Row],[United States 3y]],#N/A)</f>
        <v/>
      </c>
    </row>
    <row r="10168">
      <c r="A10168" s="6">
        <f>Database!$A12253</f>
        <v/>
      </c>
      <c r="B10168">
        <f>IF(VLOOKUP(Table7[[#This Row],[Date]],Database!$A:$C,MATCH($B$1,Database!$A$1:$C$1,),)=0,#N/A,VLOOKUP(Table7[[#This Row],[Date]],Database!$A:$C,MATCH($B$1,Database!$A$1:$C$1,),))</f>
        <v/>
      </c>
      <c r="C10168">
        <f>IF(VLOOKUP(Table7[[#This Row],[Date]],Database!$A:$C,MATCH($C$1,Database!$A$1:$C$1,),)=0,#N/A,VLOOKUP(Table7[[#This Row],[Date]],Database!$A:$C,MATCH($C$1,Database!$A$1:$C$1,),))</f>
        <v/>
      </c>
      <c r="D10168">
        <f>IFERROR(Table7[[#This Row],[United States 10y]]-Table7[[#This Row],[United States 3y]],#N/A)</f>
        <v/>
      </c>
    </row>
    <row r="10169">
      <c r="A10169" s="6">
        <f>Database!$A12254</f>
        <v/>
      </c>
      <c r="B10169">
        <f>IF(VLOOKUP(Table7[[#This Row],[Date]],Database!$A:$C,MATCH($B$1,Database!$A$1:$C$1,),)=0,#N/A,VLOOKUP(Table7[[#This Row],[Date]],Database!$A:$C,MATCH($B$1,Database!$A$1:$C$1,),))</f>
        <v/>
      </c>
      <c r="C10169">
        <f>IF(VLOOKUP(Table7[[#This Row],[Date]],Database!$A:$C,MATCH($C$1,Database!$A$1:$C$1,),)=0,#N/A,VLOOKUP(Table7[[#This Row],[Date]],Database!$A:$C,MATCH($C$1,Database!$A$1:$C$1,),))</f>
        <v/>
      </c>
      <c r="D10169">
        <f>IFERROR(Table7[[#This Row],[United States 10y]]-Table7[[#This Row],[United States 3y]],#N/A)</f>
        <v/>
      </c>
    </row>
    <row r="10170">
      <c r="A10170" s="6">
        <f>Database!$A12255</f>
        <v/>
      </c>
      <c r="B10170">
        <f>IF(VLOOKUP(Table7[[#This Row],[Date]],Database!$A:$C,MATCH($B$1,Database!$A$1:$C$1,),)=0,#N/A,VLOOKUP(Table7[[#This Row],[Date]],Database!$A:$C,MATCH($B$1,Database!$A$1:$C$1,),))</f>
        <v/>
      </c>
      <c r="C10170">
        <f>IF(VLOOKUP(Table7[[#This Row],[Date]],Database!$A:$C,MATCH($C$1,Database!$A$1:$C$1,),)=0,#N/A,VLOOKUP(Table7[[#This Row],[Date]],Database!$A:$C,MATCH($C$1,Database!$A$1:$C$1,),))</f>
        <v/>
      </c>
      <c r="D10170">
        <f>IFERROR(Table7[[#This Row],[United States 10y]]-Table7[[#This Row],[United States 3y]],#N/A)</f>
        <v/>
      </c>
    </row>
    <row r="10171">
      <c r="A10171" s="6">
        <f>Database!$A12256</f>
        <v/>
      </c>
      <c r="B10171">
        <f>IF(VLOOKUP(Table7[[#This Row],[Date]],Database!$A:$C,MATCH($B$1,Database!$A$1:$C$1,),)=0,#N/A,VLOOKUP(Table7[[#This Row],[Date]],Database!$A:$C,MATCH($B$1,Database!$A$1:$C$1,),))</f>
        <v/>
      </c>
      <c r="C10171">
        <f>IF(VLOOKUP(Table7[[#This Row],[Date]],Database!$A:$C,MATCH($C$1,Database!$A$1:$C$1,),)=0,#N/A,VLOOKUP(Table7[[#This Row],[Date]],Database!$A:$C,MATCH($C$1,Database!$A$1:$C$1,),))</f>
        <v/>
      </c>
      <c r="D10171">
        <f>IFERROR(Table7[[#This Row],[United States 10y]]-Table7[[#This Row],[United States 3y]],#N/A)</f>
        <v/>
      </c>
    </row>
    <row r="10172">
      <c r="A10172" s="6">
        <f>Database!$A12257</f>
        <v/>
      </c>
      <c r="B10172">
        <f>IF(VLOOKUP(Table7[[#This Row],[Date]],Database!$A:$C,MATCH($B$1,Database!$A$1:$C$1,),)=0,#N/A,VLOOKUP(Table7[[#This Row],[Date]],Database!$A:$C,MATCH($B$1,Database!$A$1:$C$1,),))</f>
        <v/>
      </c>
      <c r="C10172">
        <f>IF(VLOOKUP(Table7[[#This Row],[Date]],Database!$A:$C,MATCH($C$1,Database!$A$1:$C$1,),)=0,#N/A,VLOOKUP(Table7[[#This Row],[Date]],Database!$A:$C,MATCH($C$1,Database!$A$1:$C$1,),))</f>
        <v/>
      </c>
      <c r="D10172">
        <f>IFERROR(Table7[[#This Row],[United States 10y]]-Table7[[#This Row],[United States 3y]],#N/A)</f>
        <v/>
      </c>
    </row>
    <row r="10173">
      <c r="A10173" s="6">
        <f>Database!$A12258</f>
        <v/>
      </c>
      <c r="B10173">
        <f>IF(VLOOKUP(Table7[[#This Row],[Date]],Database!$A:$C,MATCH($B$1,Database!$A$1:$C$1,),)=0,#N/A,VLOOKUP(Table7[[#This Row],[Date]],Database!$A:$C,MATCH($B$1,Database!$A$1:$C$1,),))</f>
        <v/>
      </c>
      <c r="C10173">
        <f>IF(VLOOKUP(Table7[[#This Row],[Date]],Database!$A:$C,MATCH($C$1,Database!$A$1:$C$1,),)=0,#N/A,VLOOKUP(Table7[[#This Row],[Date]],Database!$A:$C,MATCH($C$1,Database!$A$1:$C$1,),))</f>
        <v/>
      </c>
      <c r="D10173">
        <f>IFERROR(Table7[[#This Row],[United States 10y]]-Table7[[#This Row],[United States 3y]],#N/A)</f>
        <v/>
      </c>
    </row>
    <row r="10174">
      <c r="A10174" s="6">
        <f>Database!$A12259</f>
        <v/>
      </c>
      <c r="B10174">
        <f>IF(VLOOKUP(Table7[[#This Row],[Date]],Database!$A:$C,MATCH($B$1,Database!$A$1:$C$1,),)=0,#N/A,VLOOKUP(Table7[[#This Row],[Date]],Database!$A:$C,MATCH($B$1,Database!$A$1:$C$1,),))</f>
        <v/>
      </c>
      <c r="C10174">
        <f>IF(VLOOKUP(Table7[[#This Row],[Date]],Database!$A:$C,MATCH($C$1,Database!$A$1:$C$1,),)=0,#N/A,VLOOKUP(Table7[[#This Row],[Date]],Database!$A:$C,MATCH($C$1,Database!$A$1:$C$1,),))</f>
        <v/>
      </c>
      <c r="D10174">
        <f>IFERROR(Table7[[#This Row],[United States 10y]]-Table7[[#This Row],[United States 3y]],#N/A)</f>
        <v/>
      </c>
    </row>
    <row r="10175">
      <c r="A10175" s="6">
        <f>Database!$A12260</f>
        <v/>
      </c>
      <c r="B10175">
        <f>IF(VLOOKUP(Table7[[#This Row],[Date]],Database!$A:$C,MATCH($B$1,Database!$A$1:$C$1,),)=0,#N/A,VLOOKUP(Table7[[#This Row],[Date]],Database!$A:$C,MATCH($B$1,Database!$A$1:$C$1,),))</f>
        <v/>
      </c>
      <c r="C10175">
        <f>IF(VLOOKUP(Table7[[#This Row],[Date]],Database!$A:$C,MATCH($C$1,Database!$A$1:$C$1,),)=0,#N/A,VLOOKUP(Table7[[#This Row],[Date]],Database!$A:$C,MATCH($C$1,Database!$A$1:$C$1,),))</f>
        <v/>
      </c>
      <c r="D10175">
        <f>IFERROR(Table7[[#This Row],[United States 10y]]-Table7[[#This Row],[United States 3y]],#N/A)</f>
        <v/>
      </c>
    </row>
    <row r="10176">
      <c r="A10176" s="6">
        <f>Database!$A12261</f>
        <v/>
      </c>
      <c r="B10176">
        <f>IF(VLOOKUP(Table7[[#This Row],[Date]],Database!$A:$C,MATCH($B$1,Database!$A$1:$C$1,),)=0,#N/A,VLOOKUP(Table7[[#This Row],[Date]],Database!$A:$C,MATCH($B$1,Database!$A$1:$C$1,),))</f>
        <v/>
      </c>
      <c r="C10176">
        <f>IF(VLOOKUP(Table7[[#This Row],[Date]],Database!$A:$C,MATCH($C$1,Database!$A$1:$C$1,),)=0,#N/A,VLOOKUP(Table7[[#This Row],[Date]],Database!$A:$C,MATCH($C$1,Database!$A$1:$C$1,),))</f>
        <v/>
      </c>
      <c r="D10176">
        <f>IFERROR(Table7[[#This Row],[United States 10y]]-Table7[[#This Row],[United States 3y]],#N/A)</f>
        <v/>
      </c>
    </row>
    <row r="10177">
      <c r="A10177" s="6">
        <f>Database!$A12262</f>
        <v/>
      </c>
      <c r="B10177">
        <f>IF(VLOOKUP(Table7[[#This Row],[Date]],Database!$A:$C,MATCH($B$1,Database!$A$1:$C$1,),)=0,#N/A,VLOOKUP(Table7[[#This Row],[Date]],Database!$A:$C,MATCH($B$1,Database!$A$1:$C$1,),))</f>
        <v/>
      </c>
      <c r="C10177">
        <f>IF(VLOOKUP(Table7[[#This Row],[Date]],Database!$A:$C,MATCH($C$1,Database!$A$1:$C$1,),)=0,#N/A,VLOOKUP(Table7[[#This Row],[Date]],Database!$A:$C,MATCH($C$1,Database!$A$1:$C$1,),))</f>
        <v/>
      </c>
      <c r="D10177">
        <f>IFERROR(Table7[[#This Row],[United States 10y]]-Table7[[#This Row],[United States 3y]],#N/A)</f>
        <v/>
      </c>
    </row>
    <row r="10178">
      <c r="A10178" s="6">
        <f>Database!$A12263</f>
        <v/>
      </c>
      <c r="B10178">
        <f>IF(VLOOKUP(Table7[[#This Row],[Date]],Database!$A:$C,MATCH($B$1,Database!$A$1:$C$1,),)=0,#N/A,VLOOKUP(Table7[[#This Row],[Date]],Database!$A:$C,MATCH($B$1,Database!$A$1:$C$1,),))</f>
        <v/>
      </c>
      <c r="C10178">
        <f>IF(VLOOKUP(Table7[[#This Row],[Date]],Database!$A:$C,MATCH($C$1,Database!$A$1:$C$1,),)=0,#N/A,VLOOKUP(Table7[[#This Row],[Date]],Database!$A:$C,MATCH($C$1,Database!$A$1:$C$1,),))</f>
        <v/>
      </c>
      <c r="D10178">
        <f>IFERROR(Table7[[#This Row],[United States 10y]]-Table7[[#This Row],[United States 3y]],#N/A)</f>
        <v/>
      </c>
    </row>
    <row r="10179">
      <c r="A10179" s="6">
        <f>Database!$A12264</f>
        <v/>
      </c>
      <c r="B10179">
        <f>IF(VLOOKUP(Table7[[#This Row],[Date]],Database!$A:$C,MATCH($B$1,Database!$A$1:$C$1,),)=0,#N/A,VLOOKUP(Table7[[#This Row],[Date]],Database!$A:$C,MATCH($B$1,Database!$A$1:$C$1,),))</f>
        <v/>
      </c>
      <c r="C10179">
        <f>IF(VLOOKUP(Table7[[#This Row],[Date]],Database!$A:$C,MATCH($C$1,Database!$A$1:$C$1,),)=0,#N/A,VLOOKUP(Table7[[#This Row],[Date]],Database!$A:$C,MATCH($C$1,Database!$A$1:$C$1,),))</f>
        <v/>
      </c>
      <c r="D10179">
        <f>IFERROR(Table7[[#This Row],[United States 10y]]-Table7[[#This Row],[United States 3y]],#N/A)</f>
        <v/>
      </c>
    </row>
    <row r="10180">
      <c r="A10180" s="6">
        <f>Database!$A12265</f>
        <v/>
      </c>
      <c r="B10180">
        <f>IF(VLOOKUP(Table7[[#This Row],[Date]],Database!$A:$C,MATCH($B$1,Database!$A$1:$C$1,),)=0,#N/A,VLOOKUP(Table7[[#This Row],[Date]],Database!$A:$C,MATCH($B$1,Database!$A$1:$C$1,),))</f>
        <v/>
      </c>
      <c r="C10180">
        <f>IF(VLOOKUP(Table7[[#This Row],[Date]],Database!$A:$C,MATCH($C$1,Database!$A$1:$C$1,),)=0,#N/A,VLOOKUP(Table7[[#This Row],[Date]],Database!$A:$C,MATCH($C$1,Database!$A$1:$C$1,),))</f>
        <v/>
      </c>
      <c r="D10180">
        <f>IFERROR(Table7[[#This Row],[United States 10y]]-Table7[[#This Row],[United States 3y]],#N/A)</f>
        <v/>
      </c>
    </row>
    <row r="10181">
      <c r="A10181" s="6">
        <f>Database!$A12266</f>
        <v/>
      </c>
      <c r="B10181">
        <f>IF(VLOOKUP(Table7[[#This Row],[Date]],Database!$A:$C,MATCH($B$1,Database!$A$1:$C$1,),)=0,#N/A,VLOOKUP(Table7[[#This Row],[Date]],Database!$A:$C,MATCH($B$1,Database!$A$1:$C$1,),))</f>
        <v/>
      </c>
      <c r="C10181">
        <f>IF(VLOOKUP(Table7[[#This Row],[Date]],Database!$A:$C,MATCH($C$1,Database!$A$1:$C$1,),)=0,#N/A,VLOOKUP(Table7[[#This Row],[Date]],Database!$A:$C,MATCH($C$1,Database!$A$1:$C$1,),))</f>
        <v/>
      </c>
      <c r="D10181">
        <f>IFERROR(Table7[[#This Row],[United States 10y]]-Table7[[#This Row],[United States 3y]],#N/A)</f>
        <v/>
      </c>
    </row>
    <row r="10182">
      <c r="A10182" s="6">
        <f>Database!$A12267</f>
        <v/>
      </c>
      <c r="B10182">
        <f>IF(VLOOKUP(Table7[[#This Row],[Date]],Database!$A:$C,MATCH($B$1,Database!$A$1:$C$1,),)=0,#N/A,VLOOKUP(Table7[[#This Row],[Date]],Database!$A:$C,MATCH($B$1,Database!$A$1:$C$1,),))</f>
        <v/>
      </c>
      <c r="C10182">
        <f>IF(VLOOKUP(Table7[[#This Row],[Date]],Database!$A:$C,MATCH($C$1,Database!$A$1:$C$1,),)=0,#N/A,VLOOKUP(Table7[[#This Row],[Date]],Database!$A:$C,MATCH($C$1,Database!$A$1:$C$1,),))</f>
        <v/>
      </c>
      <c r="D10182">
        <f>IFERROR(Table7[[#This Row],[United States 10y]]-Table7[[#This Row],[United States 3y]],#N/A)</f>
        <v/>
      </c>
    </row>
    <row r="10183">
      <c r="A10183" s="6">
        <f>Database!$A12268</f>
        <v/>
      </c>
      <c r="B10183">
        <f>IF(VLOOKUP(Table7[[#This Row],[Date]],Database!$A:$C,MATCH($B$1,Database!$A$1:$C$1,),)=0,#N/A,VLOOKUP(Table7[[#This Row],[Date]],Database!$A:$C,MATCH($B$1,Database!$A$1:$C$1,),))</f>
        <v/>
      </c>
      <c r="C10183">
        <f>IF(VLOOKUP(Table7[[#This Row],[Date]],Database!$A:$C,MATCH($C$1,Database!$A$1:$C$1,),)=0,#N/A,VLOOKUP(Table7[[#This Row],[Date]],Database!$A:$C,MATCH($C$1,Database!$A$1:$C$1,),))</f>
        <v/>
      </c>
      <c r="D10183">
        <f>IFERROR(Table7[[#This Row],[United States 10y]]-Table7[[#This Row],[United States 3y]],#N/A)</f>
        <v/>
      </c>
    </row>
    <row r="10184">
      <c r="A10184" s="6">
        <f>Database!$A12269</f>
        <v/>
      </c>
      <c r="B10184">
        <f>IF(VLOOKUP(Table7[[#This Row],[Date]],Database!$A:$C,MATCH($B$1,Database!$A$1:$C$1,),)=0,#N/A,VLOOKUP(Table7[[#This Row],[Date]],Database!$A:$C,MATCH($B$1,Database!$A$1:$C$1,),))</f>
        <v/>
      </c>
      <c r="C10184">
        <f>IF(VLOOKUP(Table7[[#This Row],[Date]],Database!$A:$C,MATCH($C$1,Database!$A$1:$C$1,),)=0,#N/A,VLOOKUP(Table7[[#This Row],[Date]],Database!$A:$C,MATCH($C$1,Database!$A$1:$C$1,),))</f>
        <v/>
      </c>
      <c r="D10184">
        <f>IFERROR(Table7[[#This Row],[United States 10y]]-Table7[[#This Row],[United States 3y]],#N/A)</f>
        <v/>
      </c>
    </row>
    <row r="10185">
      <c r="A10185" s="6">
        <f>Database!$A12270</f>
        <v/>
      </c>
      <c r="B10185">
        <f>IF(VLOOKUP(Table7[[#This Row],[Date]],Database!$A:$C,MATCH($B$1,Database!$A$1:$C$1,),)=0,#N/A,VLOOKUP(Table7[[#This Row],[Date]],Database!$A:$C,MATCH($B$1,Database!$A$1:$C$1,),))</f>
        <v/>
      </c>
      <c r="C10185">
        <f>IF(VLOOKUP(Table7[[#This Row],[Date]],Database!$A:$C,MATCH($C$1,Database!$A$1:$C$1,),)=0,#N/A,VLOOKUP(Table7[[#This Row],[Date]],Database!$A:$C,MATCH($C$1,Database!$A$1:$C$1,),))</f>
        <v/>
      </c>
      <c r="D10185">
        <f>IFERROR(Table7[[#This Row],[United States 10y]]-Table7[[#This Row],[United States 3y]],#N/A)</f>
        <v/>
      </c>
    </row>
    <row r="10186">
      <c r="A10186" s="6">
        <f>Database!$A12271</f>
        <v/>
      </c>
      <c r="B10186">
        <f>IF(VLOOKUP(Table7[[#This Row],[Date]],Database!$A:$C,MATCH($B$1,Database!$A$1:$C$1,),)=0,#N/A,VLOOKUP(Table7[[#This Row],[Date]],Database!$A:$C,MATCH($B$1,Database!$A$1:$C$1,),))</f>
        <v/>
      </c>
      <c r="C10186">
        <f>IF(VLOOKUP(Table7[[#This Row],[Date]],Database!$A:$C,MATCH($C$1,Database!$A$1:$C$1,),)=0,#N/A,VLOOKUP(Table7[[#This Row],[Date]],Database!$A:$C,MATCH($C$1,Database!$A$1:$C$1,),))</f>
        <v/>
      </c>
      <c r="D10186">
        <f>IFERROR(Table7[[#This Row],[United States 10y]]-Table7[[#This Row],[United States 3y]],#N/A)</f>
        <v/>
      </c>
    </row>
    <row r="10187">
      <c r="A10187" s="6">
        <f>Database!$A12272</f>
        <v/>
      </c>
      <c r="B10187">
        <f>IF(VLOOKUP(Table7[[#This Row],[Date]],Database!$A:$C,MATCH($B$1,Database!$A$1:$C$1,),)=0,#N/A,VLOOKUP(Table7[[#This Row],[Date]],Database!$A:$C,MATCH($B$1,Database!$A$1:$C$1,),))</f>
        <v/>
      </c>
      <c r="C10187">
        <f>IF(VLOOKUP(Table7[[#This Row],[Date]],Database!$A:$C,MATCH($C$1,Database!$A$1:$C$1,),)=0,#N/A,VLOOKUP(Table7[[#This Row],[Date]],Database!$A:$C,MATCH($C$1,Database!$A$1:$C$1,),))</f>
        <v/>
      </c>
      <c r="D10187">
        <f>IFERROR(Table7[[#This Row],[United States 10y]]-Table7[[#This Row],[United States 3y]],#N/A)</f>
        <v/>
      </c>
    </row>
    <row r="10188">
      <c r="A10188" s="6">
        <f>Database!$A12273</f>
        <v/>
      </c>
      <c r="B10188">
        <f>IF(VLOOKUP(Table7[[#This Row],[Date]],Database!$A:$C,MATCH($B$1,Database!$A$1:$C$1,),)=0,#N/A,VLOOKUP(Table7[[#This Row],[Date]],Database!$A:$C,MATCH($B$1,Database!$A$1:$C$1,),))</f>
        <v/>
      </c>
      <c r="C10188">
        <f>IF(VLOOKUP(Table7[[#This Row],[Date]],Database!$A:$C,MATCH($C$1,Database!$A$1:$C$1,),)=0,#N/A,VLOOKUP(Table7[[#This Row],[Date]],Database!$A:$C,MATCH($C$1,Database!$A$1:$C$1,),))</f>
        <v/>
      </c>
      <c r="D10188">
        <f>IFERROR(Table7[[#This Row],[United States 10y]]-Table7[[#This Row],[United States 3y]],#N/A)</f>
        <v/>
      </c>
    </row>
    <row r="10189">
      <c r="A10189" s="6">
        <f>Database!$A12274</f>
        <v/>
      </c>
      <c r="B10189">
        <f>IF(VLOOKUP(Table7[[#This Row],[Date]],Database!$A:$C,MATCH($B$1,Database!$A$1:$C$1,),)=0,#N/A,VLOOKUP(Table7[[#This Row],[Date]],Database!$A:$C,MATCH($B$1,Database!$A$1:$C$1,),))</f>
        <v/>
      </c>
      <c r="C10189">
        <f>IF(VLOOKUP(Table7[[#This Row],[Date]],Database!$A:$C,MATCH($C$1,Database!$A$1:$C$1,),)=0,#N/A,VLOOKUP(Table7[[#This Row],[Date]],Database!$A:$C,MATCH($C$1,Database!$A$1:$C$1,),))</f>
        <v/>
      </c>
      <c r="D10189">
        <f>IFERROR(Table7[[#This Row],[United States 10y]]-Table7[[#This Row],[United States 3y]],#N/A)</f>
        <v/>
      </c>
    </row>
    <row r="10190">
      <c r="A10190" s="6">
        <f>Database!$A12275</f>
        <v/>
      </c>
      <c r="B10190">
        <f>IF(VLOOKUP(Table7[[#This Row],[Date]],Database!$A:$C,MATCH($B$1,Database!$A$1:$C$1,),)=0,#N/A,VLOOKUP(Table7[[#This Row],[Date]],Database!$A:$C,MATCH($B$1,Database!$A$1:$C$1,),))</f>
        <v/>
      </c>
      <c r="C10190">
        <f>IF(VLOOKUP(Table7[[#This Row],[Date]],Database!$A:$C,MATCH($C$1,Database!$A$1:$C$1,),)=0,#N/A,VLOOKUP(Table7[[#This Row],[Date]],Database!$A:$C,MATCH($C$1,Database!$A$1:$C$1,),))</f>
        <v/>
      </c>
      <c r="D10190">
        <f>IFERROR(Table7[[#This Row],[United States 10y]]-Table7[[#This Row],[United States 3y]],#N/A)</f>
        <v/>
      </c>
    </row>
    <row r="10191">
      <c r="A10191" s="6">
        <f>Database!$A12276</f>
        <v/>
      </c>
      <c r="B10191">
        <f>IF(VLOOKUP(Table7[[#This Row],[Date]],Database!$A:$C,MATCH($B$1,Database!$A$1:$C$1,),)=0,#N/A,VLOOKUP(Table7[[#This Row],[Date]],Database!$A:$C,MATCH($B$1,Database!$A$1:$C$1,),))</f>
        <v/>
      </c>
      <c r="C10191">
        <f>IF(VLOOKUP(Table7[[#This Row],[Date]],Database!$A:$C,MATCH($C$1,Database!$A$1:$C$1,),)=0,#N/A,VLOOKUP(Table7[[#This Row],[Date]],Database!$A:$C,MATCH($C$1,Database!$A$1:$C$1,),))</f>
        <v/>
      </c>
      <c r="D10191">
        <f>IFERROR(Table7[[#This Row],[United States 10y]]-Table7[[#This Row],[United States 3y]],#N/A)</f>
        <v/>
      </c>
    </row>
    <row r="10192">
      <c r="A10192" s="6">
        <f>Database!$A12277</f>
        <v/>
      </c>
      <c r="B10192">
        <f>IF(VLOOKUP(Table7[[#This Row],[Date]],Database!$A:$C,MATCH($B$1,Database!$A$1:$C$1,),)=0,#N/A,VLOOKUP(Table7[[#This Row],[Date]],Database!$A:$C,MATCH($B$1,Database!$A$1:$C$1,),))</f>
        <v/>
      </c>
      <c r="C10192">
        <f>IF(VLOOKUP(Table7[[#This Row],[Date]],Database!$A:$C,MATCH($C$1,Database!$A$1:$C$1,),)=0,#N/A,VLOOKUP(Table7[[#This Row],[Date]],Database!$A:$C,MATCH($C$1,Database!$A$1:$C$1,),))</f>
        <v/>
      </c>
      <c r="D10192">
        <f>IFERROR(Table7[[#This Row],[United States 10y]]-Table7[[#This Row],[United States 3y]],#N/A)</f>
        <v/>
      </c>
    </row>
    <row r="10193">
      <c r="A10193" s="6">
        <f>Database!$A12278</f>
        <v/>
      </c>
      <c r="B10193">
        <f>IF(VLOOKUP(Table7[[#This Row],[Date]],Database!$A:$C,MATCH($B$1,Database!$A$1:$C$1,),)=0,#N/A,VLOOKUP(Table7[[#This Row],[Date]],Database!$A:$C,MATCH($B$1,Database!$A$1:$C$1,),))</f>
        <v/>
      </c>
      <c r="C10193">
        <f>IF(VLOOKUP(Table7[[#This Row],[Date]],Database!$A:$C,MATCH($C$1,Database!$A$1:$C$1,),)=0,#N/A,VLOOKUP(Table7[[#This Row],[Date]],Database!$A:$C,MATCH($C$1,Database!$A$1:$C$1,),))</f>
        <v/>
      </c>
      <c r="D10193">
        <f>IFERROR(Table7[[#This Row],[United States 10y]]-Table7[[#This Row],[United States 3y]],#N/A)</f>
        <v/>
      </c>
    </row>
    <row r="10194">
      <c r="A10194" s="6">
        <f>Database!$A12279</f>
        <v/>
      </c>
      <c r="B10194">
        <f>IF(VLOOKUP(Table7[[#This Row],[Date]],Database!$A:$C,MATCH($B$1,Database!$A$1:$C$1,),)=0,#N/A,VLOOKUP(Table7[[#This Row],[Date]],Database!$A:$C,MATCH($B$1,Database!$A$1:$C$1,),))</f>
        <v/>
      </c>
      <c r="C10194">
        <f>IF(VLOOKUP(Table7[[#This Row],[Date]],Database!$A:$C,MATCH($C$1,Database!$A$1:$C$1,),)=0,#N/A,VLOOKUP(Table7[[#This Row],[Date]],Database!$A:$C,MATCH($C$1,Database!$A$1:$C$1,),))</f>
        <v/>
      </c>
      <c r="D10194">
        <f>IFERROR(Table7[[#This Row],[United States 10y]]-Table7[[#This Row],[United States 3y]],#N/A)</f>
        <v/>
      </c>
    </row>
    <row r="10195">
      <c r="A10195" s="6">
        <f>Database!$A12280</f>
        <v/>
      </c>
      <c r="B10195">
        <f>IF(VLOOKUP(Table7[[#This Row],[Date]],Database!$A:$C,MATCH($B$1,Database!$A$1:$C$1,),)=0,#N/A,VLOOKUP(Table7[[#This Row],[Date]],Database!$A:$C,MATCH($B$1,Database!$A$1:$C$1,),))</f>
        <v/>
      </c>
      <c r="C10195">
        <f>IF(VLOOKUP(Table7[[#This Row],[Date]],Database!$A:$C,MATCH($C$1,Database!$A$1:$C$1,),)=0,#N/A,VLOOKUP(Table7[[#This Row],[Date]],Database!$A:$C,MATCH($C$1,Database!$A$1:$C$1,),))</f>
        <v/>
      </c>
      <c r="D10195">
        <f>IFERROR(Table7[[#This Row],[United States 10y]]-Table7[[#This Row],[United States 3y]],#N/A)</f>
        <v/>
      </c>
    </row>
    <row r="10196">
      <c r="A10196" s="6">
        <f>Database!$A12281</f>
        <v/>
      </c>
      <c r="B10196">
        <f>IF(VLOOKUP(Table7[[#This Row],[Date]],Database!$A:$C,MATCH($B$1,Database!$A$1:$C$1,),)=0,#N/A,VLOOKUP(Table7[[#This Row],[Date]],Database!$A:$C,MATCH($B$1,Database!$A$1:$C$1,),))</f>
        <v/>
      </c>
      <c r="C10196">
        <f>IF(VLOOKUP(Table7[[#This Row],[Date]],Database!$A:$C,MATCH($C$1,Database!$A$1:$C$1,),)=0,#N/A,VLOOKUP(Table7[[#This Row],[Date]],Database!$A:$C,MATCH($C$1,Database!$A$1:$C$1,),))</f>
        <v/>
      </c>
      <c r="D10196">
        <f>IFERROR(Table7[[#This Row],[United States 10y]]-Table7[[#This Row],[United States 3y]],#N/A)</f>
        <v/>
      </c>
    </row>
    <row r="10197">
      <c r="A10197" s="6">
        <f>Database!$A12282</f>
        <v/>
      </c>
      <c r="B10197">
        <f>IF(VLOOKUP(Table7[[#This Row],[Date]],Database!$A:$C,MATCH($B$1,Database!$A$1:$C$1,),)=0,#N/A,VLOOKUP(Table7[[#This Row],[Date]],Database!$A:$C,MATCH($B$1,Database!$A$1:$C$1,),))</f>
        <v/>
      </c>
      <c r="C10197">
        <f>IF(VLOOKUP(Table7[[#This Row],[Date]],Database!$A:$C,MATCH($C$1,Database!$A$1:$C$1,),)=0,#N/A,VLOOKUP(Table7[[#This Row],[Date]],Database!$A:$C,MATCH($C$1,Database!$A$1:$C$1,),))</f>
        <v/>
      </c>
      <c r="D10197">
        <f>IFERROR(Table7[[#This Row],[United States 10y]]-Table7[[#This Row],[United States 3y]],#N/A)</f>
        <v/>
      </c>
    </row>
    <row r="10198">
      <c r="A10198" s="6">
        <f>Database!$A12283</f>
        <v/>
      </c>
      <c r="B10198">
        <f>IF(VLOOKUP(Table7[[#This Row],[Date]],Database!$A:$C,MATCH($B$1,Database!$A$1:$C$1,),)=0,#N/A,VLOOKUP(Table7[[#This Row],[Date]],Database!$A:$C,MATCH($B$1,Database!$A$1:$C$1,),))</f>
        <v/>
      </c>
      <c r="C10198">
        <f>IF(VLOOKUP(Table7[[#This Row],[Date]],Database!$A:$C,MATCH($C$1,Database!$A$1:$C$1,),)=0,#N/A,VLOOKUP(Table7[[#This Row],[Date]],Database!$A:$C,MATCH($C$1,Database!$A$1:$C$1,),))</f>
        <v/>
      </c>
      <c r="D10198">
        <f>IFERROR(Table7[[#This Row],[United States 10y]]-Table7[[#This Row],[United States 3y]],#N/A)</f>
        <v/>
      </c>
    </row>
    <row r="10199">
      <c r="A10199" s="6">
        <f>Database!$A12284</f>
        <v/>
      </c>
      <c r="B10199">
        <f>IF(VLOOKUP(Table7[[#This Row],[Date]],Database!$A:$C,MATCH($B$1,Database!$A$1:$C$1,),)=0,#N/A,VLOOKUP(Table7[[#This Row],[Date]],Database!$A:$C,MATCH($B$1,Database!$A$1:$C$1,),))</f>
        <v/>
      </c>
      <c r="C10199">
        <f>IF(VLOOKUP(Table7[[#This Row],[Date]],Database!$A:$C,MATCH($C$1,Database!$A$1:$C$1,),)=0,#N/A,VLOOKUP(Table7[[#This Row],[Date]],Database!$A:$C,MATCH($C$1,Database!$A$1:$C$1,),))</f>
        <v/>
      </c>
      <c r="D10199">
        <f>IFERROR(Table7[[#This Row],[United States 10y]]-Table7[[#This Row],[United States 3y]],#N/A)</f>
        <v/>
      </c>
    </row>
    <row r="10200">
      <c r="A10200" s="6">
        <f>Database!$A12285</f>
        <v/>
      </c>
      <c r="B10200">
        <f>IF(VLOOKUP(Table7[[#This Row],[Date]],Database!$A:$C,MATCH($B$1,Database!$A$1:$C$1,),)=0,#N/A,VLOOKUP(Table7[[#This Row],[Date]],Database!$A:$C,MATCH($B$1,Database!$A$1:$C$1,),))</f>
        <v/>
      </c>
      <c r="C10200">
        <f>IF(VLOOKUP(Table7[[#This Row],[Date]],Database!$A:$C,MATCH($C$1,Database!$A$1:$C$1,),)=0,#N/A,VLOOKUP(Table7[[#This Row],[Date]],Database!$A:$C,MATCH($C$1,Database!$A$1:$C$1,),))</f>
        <v/>
      </c>
      <c r="D10200">
        <f>IFERROR(Table7[[#This Row],[United States 10y]]-Table7[[#This Row],[United States 3y]],#N/A)</f>
        <v/>
      </c>
    </row>
    <row r="10201">
      <c r="A10201" s="6">
        <f>Database!$A12286</f>
        <v/>
      </c>
      <c r="B10201">
        <f>IF(VLOOKUP(Table7[[#This Row],[Date]],Database!$A:$C,MATCH($B$1,Database!$A$1:$C$1,),)=0,#N/A,VLOOKUP(Table7[[#This Row],[Date]],Database!$A:$C,MATCH($B$1,Database!$A$1:$C$1,),))</f>
        <v/>
      </c>
      <c r="C10201">
        <f>IF(VLOOKUP(Table7[[#This Row],[Date]],Database!$A:$C,MATCH($C$1,Database!$A$1:$C$1,),)=0,#N/A,VLOOKUP(Table7[[#This Row],[Date]],Database!$A:$C,MATCH($C$1,Database!$A$1:$C$1,),))</f>
        <v/>
      </c>
      <c r="D10201">
        <f>IFERROR(Table7[[#This Row],[United States 10y]]-Table7[[#This Row],[United States 3y]],#N/A)</f>
        <v/>
      </c>
    </row>
    <row r="10202">
      <c r="A10202" s="6">
        <f>Database!$A12287</f>
        <v/>
      </c>
      <c r="B10202">
        <f>IF(VLOOKUP(Table7[[#This Row],[Date]],Database!$A:$C,MATCH($B$1,Database!$A$1:$C$1,),)=0,#N/A,VLOOKUP(Table7[[#This Row],[Date]],Database!$A:$C,MATCH($B$1,Database!$A$1:$C$1,),))</f>
        <v/>
      </c>
      <c r="C10202">
        <f>IF(VLOOKUP(Table7[[#This Row],[Date]],Database!$A:$C,MATCH($C$1,Database!$A$1:$C$1,),)=0,#N/A,VLOOKUP(Table7[[#This Row],[Date]],Database!$A:$C,MATCH($C$1,Database!$A$1:$C$1,),))</f>
        <v/>
      </c>
      <c r="D10202">
        <f>IFERROR(Table7[[#This Row],[United States 10y]]-Table7[[#This Row],[United States 3y]],#N/A)</f>
        <v/>
      </c>
    </row>
    <row r="10203">
      <c r="A10203" s="6">
        <f>Database!$A12288</f>
        <v/>
      </c>
      <c r="B10203">
        <f>IF(VLOOKUP(Table7[[#This Row],[Date]],Database!$A:$C,MATCH($B$1,Database!$A$1:$C$1,),)=0,#N/A,VLOOKUP(Table7[[#This Row],[Date]],Database!$A:$C,MATCH($B$1,Database!$A$1:$C$1,),))</f>
        <v/>
      </c>
      <c r="C10203">
        <f>IF(VLOOKUP(Table7[[#This Row],[Date]],Database!$A:$C,MATCH($C$1,Database!$A$1:$C$1,),)=0,#N/A,VLOOKUP(Table7[[#This Row],[Date]],Database!$A:$C,MATCH($C$1,Database!$A$1:$C$1,),))</f>
        <v/>
      </c>
      <c r="D10203">
        <f>IFERROR(Table7[[#This Row],[United States 10y]]-Table7[[#This Row],[United States 3y]],#N/A)</f>
        <v/>
      </c>
    </row>
    <row r="10204">
      <c r="A10204" s="6">
        <f>Database!$A12289</f>
        <v/>
      </c>
      <c r="B10204">
        <f>IF(VLOOKUP(Table7[[#This Row],[Date]],Database!$A:$C,MATCH($B$1,Database!$A$1:$C$1,),)=0,#N/A,VLOOKUP(Table7[[#This Row],[Date]],Database!$A:$C,MATCH($B$1,Database!$A$1:$C$1,),))</f>
        <v/>
      </c>
      <c r="C10204">
        <f>IF(VLOOKUP(Table7[[#This Row],[Date]],Database!$A:$C,MATCH($C$1,Database!$A$1:$C$1,),)=0,#N/A,VLOOKUP(Table7[[#This Row],[Date]],Database!$A:$C,MATCH($C$1,Database!$A$1:$C$1,),))</f>
        <v/>
      </c>
      <c r="D10204">
        <f>IFERROR(Table7[[#This Row],[United States 10y]]-Table7[[#This Row],[United States 3y]],#N/A)</f>
        <v/>
      </c>
    </row>
    <row r="10205">
      <c r="A10205" s="6">
        <f>Database!$A12290</f>
        <v/>
      </c>
      <c r="B10205">
        <f>IF(VLOOKUP(Table7[[#This Row],[Date]],Database!$A:$C,MATCH($B$1,Database!$A$1:$C$1,),)=0,#N/A,VLOOKUP(Table7[[#This Row],[Date]],Database!$A:$C,MATCH($B$1,Database!$A$1:$C$1,),))</f>
        <v/>
      </c>
      <c r="C10205">
        <f>IF(VLOOKUP(Table7[[#This Row],[Date]],Database!$A:$C,MATCH($C$1,Database!$A$1:$C$1,),)=0,#N/A,VLOOKUP(Table7[[#This Row],[Date]],Database!$A:$C,MATCH($C$1,Database!$A$1:$C$1,),))</f>
        <v/>
      </c>
      <c r="D10205">
        <f>IFERROR(Table7[[#This Row],[United States 10y]]-Table7[[#This Row],[United States 3y]],#N/A)</f>
        <v/>
      </c>
    </row>
    <row r="10206">
      <c r="A10206" s="6">
        <f>Database!$A12291</f>
        <v/>
      </c>
      <c r="B10206">
        <f>IF(VLOOKUP(Table7[[#This Row],[Date]],Database!$A:$C,MATCH($B$1,Database!$A$1:$C$1,),)=0,#N/A,VLOOKUP(Table7[[#This Row],[Date]],Database!$A:$C,MATCH($B$1,Database!$A$1:$C$1,),))</f>
        <v/>
      </c>
      <c r="C10206">
        <f>IF(VLOOKUP(Table7[[#This Row],[Date]],Database!$A:$C,MATCH($C$1,Database!$A$1:$C$1,),)=0,#N/A,VLOOKUP(Table7[[#This Row],[Date]],Database!$A:$C,MATCH($C$1,Database!$A$1:$C$1,),))</f>
        <v/>
      </c>
      <c r="D10206">
        <f>IFERROR(Table7[[#This Row],[United States 10y]]-Table7[[#This Row],[United States 3y]],#N/A)</f>
        <v/>
      </c>
    </row>
    <row r="10207">
      <c r="A10207" s="6">
        <f>Database!$A12292</f>
        <v/>
      </c>
      <c r="B10207">
        <f>IF(VLOOKUP(Table7[[#This Row],[Date]],Database!$A:$C,MATCH($B$1,Database!$A$1:$C$1,),)=0,#N/A,VLOOKUP(Table7[[#This Row],[Date]],Database!$A:$C,MATCH($B$1,Database!$A$1:$C$1,),))</f>
        <v/>
      </c>
      <c r="C10207">
        <f>IF(VLOOKUP(Table7[[#This Row],[Date]],Database!$A:$C,MATCH($C$1,Database!$A$1:$C$1,),)=0,#N/A,VLOOKUP(Table7[[#This Row],[Date]],Database!$A:$C,MATCH($C$1,Database!$A$1:$C$1,),))</f>
        <v/>
      </c>
      <c r="D10207">
        <f>IFERROR(Table7[[#This Row],[United States 10y]]-Table7[[#This Row],[United States 3y]],#N/A)</f>
        <v/>
      </c>
    </row>
    <row r="10208">
      <c r="A10208" s="6">
        <f>Database!$A12293</f>
        <v/>
      </c>
      <c r="B10208">
        <f>IF(VLOOKUP(Table7[[#This Row],[Date]],Database!$A:$C,MATCH($B$1,Database!$A$1:$C$1,),)=0,#N/A,VLOOKUP(Table7[[#This Row],[Date]],Database!$A:$C,MATCH($B$1,Database!$A$1:$C$1,),))</f>
        <v/>
      </c>
      <c r="C10208">
        <f>IF(VLOOKUP(Table7[[#This Row],[Date]],Database!$A:$C,MATCH($C$1,Database!$A$1:$C$1,),)=0,#N/A,VLOOKUP(Table7[[#This Row],[Date]],Database!$A:$C,MATCH($C$1,Database!$A$1:$C$1,),))</f>
        <v/>
      </c>
      <c r="D10208">
        <f>IFERROR(Table7[[#This Row],[United States 10y]]-Table7[[#This Row],[United States 3y]],#N/A)</f>
        <v/>
      </c>
    </row>
    <row r="10209">
      <c r="A10209" s="6">
        <f>Database!$A12294</f>
        <v/>
      </c>
      <c r="B10209">
        <f>IF(VLOOKUP(Table7[[#This Row],[Date]],Database!$A:$C,MATCH($B$1,Database!$A$1:$C$1,),)=0,#N/A,VLOOKUP(Table7[[#This Row],[Date]],Database!$A:$C,MATCH($B$1,Database!$A$1:$C$1,),))</f>
        <v/>
      </c>
      <c r="C10209">
        <f>IF(VLOOKUP(Table7[[#This Row],[Date]],Database!$A:$C,MATCH($C$1,Database!$A$1:$C$1,),)=0,#N/A,VLOOKUP(Table7[[#This Row],[Date]],Database!$A:$C,MATCH($C$1,Database!$A$1:$C$1,),))</f>
        <v/>
      </c>
      <c r="D10209">
        <f>IFERROR(Table7[[#This Row],[United States 10y]]-Table7[[#This Row],[United States 3y]],#N/A)</f>
        <v/>
      </c>
    </row>
    <row r="10210">
      <c r="A10210" s="6">
        <f>Database!$A12295</f>
        <v/>
      </c>
      <c r="B10210">
        <f>IF(VLOOKUP(Table7[[#This Row],[Date]],Database!$A:$C,MATCH($B$1,Database!$A$1:$C$1,),)=0,#N/A,VLOOKUP(Table7[[#This Row],[Date]],Database!$A:$C,MATCH($B$1,Database!$A$1:$C$1,),))</f>
        <v/>
      </c>
      <c r="C10210">
        <f>IF(VLOOKUP(Table7[[#This Row],[Date]],Database!$A:$C,MATCH($C$1,Database!$A$1:$C$1,),)=0,#N/A,VLOOKUP(Table7[[#This Row],[Date]],Database!$A:$C,MATCH($C$1,Database!$A$1:$C$1,),))</f>
        <v/>
      </c>
      <c r="D10210">
        <f>IFERROR(Table7[[#This Row],[United States 10y]]-Table7[[#This Row],[United States 3y]],#N/A)</f>
        <v/>
      </c>
    </row>
    <row r="10211">
      <c r="A10211" s="6">
        <f>Database!$A12296</f>
        <v/>
      </c>
      <c r="B10211">
        <f>IF(VLOOKUP(Table7[[#This Row],[Date]],Database!$A:$C,MATCH($B$1,Database!$A$1:$C$1,),)=0,#N/A,VLOOKUP(Table7[[#This Row],[Date]],Database!$A:$C,MATCH($B$1,Database!$A$1:$C$1,),))</f>
        <v/>
      </c>
      <c r="C10211">
        <f>IF(VLOOKUP(Table7[[#This Row],[Date]],Database!$A:$C,MATCH($C$1,Database!$A$1:$C$1,),)=0,#N/A,VLOOKUP(Table7[[#This Row],[Date]],Database!$A:$C,MATCH($C$1,Database!$A$1:$C$1,),))</f>
        <v/>
      </c>
      <c r="D10211">
        <f>IFERROR(Table7[[#This Row],[United States 10y]]-Table7[[#This Row],[United States 3y]],#N/A)</f>
        <v/>
      </c>
    </row>
    <row r="10212">
      <c r="A10212" s="6">
        <f>Database!$A12297</f>
        <v/>
      </c>
      <c r="B10212">
        <f>IF(VLOOKUP(Table7[[#This Row],[Date]],Database!$A:$C,MATCH($B$1,Database!$A$1:$C$1,),)=0,#N/A,VLOOKUP(Table7[[#This Row],[Date]],Database!$A:$C,MATCH($B$1,Database!$A$1:$C$1,),))</f>
        <v/>
      </c>
      <c r="C10212">
        <f>IF(VLOOKUP(Table7[[#This Row],[Date]],Database!$A:$C,MATCH($C$1,Database!$A$1:$C$1,),)=0,#N/A,VLOOKUP(Table7[[#This Row],[Date]],Database!$A:$C,MATCH($C$1,Database!$A$1:$C$1,),))</f>
        <v/>
      </c>
      <c r="D10212">
        <f>IFERROR(Table7[[#This Row],[United States 10y]]-Table7[[#This Row],[United States 3y]],#N/A)</f>
        <v/>
      </c>
    </row>
    <row r="10213">
      <c r="A10213" s="6">
        <f>Database!$A12298</f>
        <v/>
      </c>
      <c r="B10213">
        <f>IF(VLOOKUP(Table7[[#This Row],[Date]],Database!$A:$C,MATCH($B$1,Database!$A$1:$C$1,),)=0,#N/A,VLOOKUP(Table7[[#This Row],[Date]],Database!$A:$C,MATCH($B$1,Database!$A$1:$C$1,),))</f>
        <v/>
      </c>
      <c r="C10213">
        <f>IF(VLOOKUP(Table7[[#This Row],[Date]],Database!$A:$C,MATCH($C$1,Database!$A$1:$C$1,),)=0,#N/A,VLOOKUP(Table7[[#This Row],[Date]],Database!$A:$C,MATCH($C$1,Database!$A$1:$C$1,),))</f>
        <v/>
      </c>
      <c r="D10213">
        <f>IFERROR(Table7[[#This Row],[United States 10y]]-Table7[[#This Row],[United States 3y]],#N/A)</f>
        <v/>
      </c>
    </row>
    <row r="10214">
      <c r="A10214" s="6">
        <f>Database!$A12299</f>
        <v/>
      </c>
      <c r="B10214">
        <f>IF(VLOOKUP(Table7[[#This Row],[Date]],Database!$A:$C,MATCH($B$1,Database!$A$1:$C$1,),)=0,#N/A,VLOOKUP(Table7[[#This Row],[Date]],Database!$A:$C,MATCH($B$1,Database!$A$1:$C$1,),))</f>
        <v/>
      </c>
      <c r="C10214">
        <f>IF(VLOOKUP(Table7[[#This Row],[Date]],Database!$A:$C,MATCH($C$1,Database!$A$1:$C$1,),)=0,#N/A,VLOOKUP(Table7[[#This Row],[Date]],Database!$A:$C,MATCH($C$1,Database!$A$1:$C$1,),))</f>
        <v/>
      </c>
      <c r="D10214">
        <f>IFERROR(Table7[[#This Row],[United States 10y]]-Table7[[#This Row],[United States 3y]],#N/A)</f>
        <v/>
      </c>
    </row>
    <row r="10215">
      <c r="A10215" s="6">
        <f>Database!$A12300</f>
        <v/>
      </c>
      <c r="B10215">
        <f>IF(VLOOKUP(Table7[[#This Row],[Date]],Database!$A:$C,MATCH($B$1,Database!$A$1:$C$1,),)=0,#N/A,VLOOKUP(Table7[[#This Row],[Date]],Database!$A:$C,MATCH($B$1,Database!$A$1:$C$1,),))</f>
        <v/>
      </c>
      <c r="C10215">
        <f>IF(VLOOKUP(Table7[[#This Row],[Date]],Database!$A:$C,MATCH($C$1,Database!$A$1:$C$1,),)=0,#N/A,VLOOKUP(Table7[[#This Row],[Date]],Database!$A:$C,MATCH($C$1,Database!$A$1:$C$1,),))</f>
        <v/>
      </c>
      <c r="D10215">
        <f>IFERROR(Table7[[#This Row],[United States 10y]]-Table7[[#This Row],[United States 3y]],#N/A)</f>
        <v/>
      </c>
    </row>
    <row r="10216">
      <c r="A10216" s="6">
        <f>Database!$A12301</f>
        <v/>
      </c>
      <c r="B10216">
        <f>IF(VLOOKUP(Table7[[#This Row],[Date]],Database!$A:$C,MATCH($B$1,Database!$A$1:$C$1,),)=0,#N/A,VLOOKUP(Table7[[#This Row],[Date]],Database!$A:$C,MATCH($B$1,Database!$A$1:$C$1,),))</f>
        <v/>
      </c>
      <c r="C10216">
        <f>IF(VLOOKUP(Table7[[#This Row],[Date]],Database!$A:$C,MATCH($C$1,Database!$A$1:$C$1,),)=0,#N/A,VLOOKUP(Table7[[#This Row],[Date]],Database!$A:$C,MATCH($C$1,Database!$A$1:$C$1,),))</f>
        <v/>
      </c>
      <c r="D10216">
        <f>IFERROR(Table7[[#This Row],[United States 10y]]-Table7[[#This Row],[United States 3y]],#N/A)</f>
        <v/>
      </c>
    </row>
    <row r="10217">
      <c r="A10217" s="6">
        <f>Database!$A12302</f>
        <v/>
      </c>
      <c r="B10217">
        <f>IF(VLOOKUP(Table7[[#This Row],[Date]],Database!$A:$C,MATCH($B$1,Database!$A$1:$C$1,),)=0,#N/A,VLOOKUP(Table7[[#This Row],[Date]],Database!$A:$C,MATCH($B$1,Database!$A$1:$C$1,),))</f>
        <v/>
      </c>
      <c r="C10217">
        <f>IF(VLOOKUP(Table7[[#This Row],[Date]],Database!$A:$C,MATCH($C$1,Database!$A$1:$C$1,),)=0,#N/A,VLOOKUP(Table7[[#This Row],[Date]],Database!$A:$C,MATCH($C$1,Database!$A$1:$C$1,),))</f>
        <v/>
      </c>
      <c r="D10217">
        <f>IFERROR(Table7[[#This Row],[United States 10y]]-Table7[[#This Row],[United States 3y]],#N/A)</f>
        <v/>
      </c>
    </row>
    <row r="10218">
      <c r="A10218" s="6">
        <f>Database!$A12303</f>
        <v/>
      </c>
      <c r="B10218">
        <f>IF(VLOOKUP(Table7[[#This Row],[Date]],Database!$A:$C,MATCH($B$1,Database!$A$1:$C$1,),)=0,#N/A,VLOOKUP(Table7[[#This Row],[Date]],Database!$A:$C,MATCH($B$1,Database!$A$1:$C$1,),))</f>
        <v/>
      </c>
      <c r="C10218">
        <f>IF(VLOOKUP(Table7[[#This Row],[Date]],Database!$A:$C,MATCH($C$1,Database!$A$1:$C$1,),)=0,#N/A,VLOOKUP(Table7[[#This Row],[Date]],Database!$A:$C,MATCH($C$1,Database!$A$1:$C$1,),))</f>
        <v/>
      </c>
      <c r="D10218">
        <f>IFERROR(Table7[[#This Row],[United States 10y]]-Table7[[#This Row],[United States 3y]],#N/A)</f>
        <v/>
      </c>
    </row>
    <row r="10219">
      <c r="A10219" s="6">
        <f>Database!$A12304</f>
        <v/>
      </c>
      <c r="B10219">
        <f>IF(VLOOKUP(Table7[[#This Row],[Date]],Database!$A:$C,MATCH($B$1,Database!$A$1:$C$1,),)=0,#N/A,VLOOKUP(Table7[[#This Row],[Date]],Database!$A:$C,MATCH($B$1,Database!$A$1:$C$1,),))</f>
        <v/>
      </c>
      <c r="C10219">
        <f>IF(VLOOKUP(Table7[[#This Row],[Date]],Database!$A:$C,MATCH($C$1,Database!$A$1:$C$1,),)=0,#N/A,VLOOKUP(Table7[[#This Row],[Date]],Database!$A:$C,MATCH($C$1,Database!$A$1:$C$1,),))</f>
        <v/>
      </c>
      <c r="D10219">
        <f>IFERROR(Table7[[#This Row],[United States 10y]]-Table7[[#This Row],[United States 3y]],#N/A)</f>
        <v/>
      </c>
    </row>
    <row r="10220">
      <c r="A10220" s="6">
        <f>Database!$A12305</f>
        <v/>
      </c>
      <c r="B10220">
        <f>IF(VLOOKUP(Table7[[#This Row],[Date]],Database!$A:$C,MATCH($B$1,Database!$A$1:$C$1,),)=0,#N/A,VLOOKUP(Table7[[#This Row],[Date]],Database!$A:$C,MATCH($B$1,Database!$A$1:$C$1,),))</f>
        <v/>
      </c>
      <c r="C10220">
        <f>IF(VLOOKUP(Table7[[#This Row],[Date]],Database!$A:$C,MATCH($C$1,Database!$A$1:$C$1,),)=0,#N/A,VLOOKUP(Table7[[#This Row],[Date]],Database!$A:$C,MATCH($C$1,Database!$A$1:$C$1,),))</f>
        <v/>
      </c>
      <c r="D10220">
        <f>IFERROR(Table7[[#This Row],[United States 10y]]-Table7[[#This Row],[United States 3y]],#N/A)</f>
        <v/>
      </c>
    </row>
    <row r="10221">
      <c r="A10221" s="6">
        <f>Database!$A12306</f>
        <v/>
      </c>
      <c r="B10221">
        <f>IF(VLOOKUP(Table7[[#This Row],[Date]],Database!$A:$C,MATCH($B$1,Database!$A$1:$C$1,),)=0,#N/A,VLOOKUP(Table7[[#This Row],[Date]],Database!$A:$C,MATCH($B$1,Database!$A$1:$C$1,),))</f>
        <v/>
      </c>
      <c r="C10221">
        <f>IF(VLOOKUP(Table7[[#This Row],[Date]],Database!$A:$C,MATCH($C$1,Database!$A$1:$C$1,),)=0,#N/A,VLOOKUP(Table7[[#This Row],[Date]],Database!$A:$C,MATCH($C$1,Database!$A$1:$C$1,),))</f>
        <v/>
      </c>
      <c r="D10221">
        <f>IFERROR(Table7[[#This Row],[United States 10y]]-Table7[[#This Row],[United States 3y]],#N/A)</f>
        <v/>
      </c>
    </row>
    <row r="10222">
      <c r="A10222" s="6">
        <f>Database!$A12307</f>
        <v/>
      </c>
      <c r="B10222">
        <f>IF(VLOOKUP(Table7[[#This Row],[Date]],Database!$A:$C,MATCH($B$1,Database!$A$1:$C$1,),)=0,#N/A,VLOOKUP(Table7[[#This Row],[Date]],Database!$A:$C,MATCH($B$1,Database!$A$1:$C$1,),))</f>
        <v/>
      </c>
      <c r="C10222">
        <f>IF(VLOOKUP(Table7[[#This Row],[Date]],Database!$A:$C,MATCH($C$1,Database!$A$1:$C$1,),)=0,#N/A,VLOOKUP(Table7[[#This Row],[Date]],Database!$A:$C,MATCH($C$1,Database!$A$1:$C$1,),))</f>
        <v/>
      </c>
      <c r="D10222">
        <f>IFERROR(Table7[[#This Row],[United States 10y]]-Table7[[#This Row],[United States 3y]],#N/A)</f>
        <v/>
      </c>
    </row>
    <row r="10223">
      <c r="A10223" s="6">
        <f>Database!$A12308</f>
        <v/>
      </c>
      <c r="B10223">
        <f>IF(VLOOKUP(Table7[[#This Row],[Date]],Database!$A:$C,MATCH($B$1,Database!$A$1:$C$1,),)=0,#N/A,VLOOKUP(Table7[[#This Row],[Date]],Database!$A:$C,MATCH($B$1,Database!$A$1:$C$1,),))</f>
        <v/>
      </c>
      <c r="C10223">
        <f>IF(VLOOKUP(Table7[[#This Row],[Date]],Database!$A:$C,MATCH($C$1,Database!$A$1:$C$1,),)=0,#N/A,VLOOKUP(Table7[[#This Row],[Date]],Database!$A:$C,MATCH($C$1,Database!$A$1:$C$1,),))</f>
        <v/>
      </c>
      <c r="D10223">
        <f>IFERROR(Table7[[#This Row],[United States 10y]]-Table7[[#This Row],[United States 3y]],#N/A)</f>
        <v/>
      </c>
    </row>
    <row r="10224">
      <c r="A10224" s="6">
        <f>Database!$A12309</f>
        <v/>
      </c>
      <c r="B10224">
        <f>IF(VLOOKUP(Table7[[#This Row],[Date]],Database!$A:$C,MATCH($B$1,Database!$A$1:$C$1,),)=0,#N/A,VLOOKUP(Table7[[#This Row],[Date]],Database!$A:$C,MATCH($B$1,Database!$A$1:$C$1,),))</f>
        <v/>
      </c>
      <c r="C10224">
        <f>IF(VLOOKUP(Table7[[#This Row],[Date]],Database!$A:$C,MATCH($C$1,Database!$A$1:$C$1,),)=0,#N/A,VLOOKUP(Table7[[#This Row],[Date]],Database!$A:$C,MATCH($C$1,Database!$A$1:$C$1,),))</f>
        <v/>
      </c>
      <c r="D10224">
        <f>IFERROR(Table7[[#This Row],[United States 10y]]-Table7[[#This Row],[United States 3y]],#N/A)</f>
        <v/>
      </c>
    </row>
    <row r="10225">
      <c r="A10225" s="6">
        <f>Database!$A12310</f>
        <v/>
      </c>
      <c r="B10225">
        <f>IF(VLOOKUP(Table7[[#This Row],[Date]],Database!$A:$C,MATCH($B$1,Database!$A$1:$C$1,),)=0,#N/A,VLOOKUP(Table7[[#This Row],[Date]],Database!$A:$C,MATCH($B$1,Database!$A$1:$C$1,),))</f>
        <v/>
      </c>
      <c r="C10225">
        <f>IF(VLOOKUP(Table7[[#This Row],[Date]],Database!$A:$C,MATCH($C$1,Database!$A$1:$C$1,),)=0,#N/A,VLOOKUP(Table7[[#This Row],[Date]],Database!$A:$C,MATCH($C$1,Database!$A$1:$C$1,),))</f>
        <v/>
      </c>
      <c r="D10225">
        <f>IFERROR(Table7[[#This Row],[United States 10y]]-Table7[[#This Row],[United States 3y]],#N/A)</f>
        <v/>
      </c>
    </row>
    <row r="10226">
      <c r="A10226" s="6">
        <f>Database!$A12311</f>
        <v/>
      </c>
      <c r="B10226">
        <f>IF(VLOOKUP(Table7[[#This Row],[Date]],Database!$A:$C,MATCH($B$1,Database!$A$1:$C$1,),)=0,#N/A,VLOOKUP(Table7[[#This Row],[Date]],Database!$A:$C,MATCH($B$1,Database!$A$1:$C$1,),))</f>
        <v/>
      </c>
      <c r="C10226">
        <f>IF(VLOOKUP(Table7[[#This Row],[Date]],Database!$A:$C,MATCH($C$1,Database!$A$1:$C$1,),)=0,#N/A,VLOOKUP(Table7[[#This Row],[Date]],Database!$A:$C,MATCH($C$1,Database!$A$1:$C$1,),))</f>
        <v/>
      </c>
      <c r="D10226">
        <f>IFERROR(Table7[[#This Row],[United States 10y]]-Table7[[#This Row],[United States 3y]],#N/A)</f>
        <v/>
      </c>
    </row>
    <row r="10227">
      <c r="A10227" s="6">
        <f>Database!$A12312</f>
        <v/>
      </c>
      <c r="B10227">
        <f>IF(VLOOKUP(Table7[[#This Row],[Date]],Database!$A:$C,MATCH($B$1,Database!$A$1:$C$1,),)=0,#N/A,VLOOKUP(Table7[[#This Row],[Date]],Database!$A:$C,MATCH($B$1,Database!$A$1:$C$1,),))</f>
        <v/>
      </c>
      <c r="C10227">
        <f>IF(VLOOKUP(Table7[[#This Row],[Date]],Database!$A:$C,MATCH($C$1,Database!$A$1:$C$1,),)=0,#N/A,VLOOKUP(Table7[[#This Row],[Date]],Database!$A:$C,MATCH($C$1,Database!$A$1:$C$1,),))</f>
        <v/>
      </c>
      <c r="D10227">
        <f>IFERROR(Table7[[#This Row],[United States 10y]]-Table7[[#This Row],[United States 3y]],#N/A)</f>
        <v/>
      </c>
    </row>
    <row r="10228">
      <c r="A10228" s="6">
        <f>Database!$A12313</f>
        <v/>
      </c>
      <c r="B10228">
        <f>IF(VLOOKUP(Table7[[#This Row],[Date]],Database!$A:$C,MATCH($B$1,Database!$A$1:$C$1,),)=0,#N/A,VLOOKUP(Table7[[#This Row],[Date]],Database!$A:$C,MATCH($B$1,Database!$A$1:$C$1,),))</f>
        <v/>
      </c>
      <c r="C10228">
        <f>IF(VLOOKUP(Table7[[#This Row],[Date]],Database!$A:$C,MATCH($C$1,Database!$A$1:$C$1,),)=0,#N/A,VLOOKUP(Table7[[#This Row],[Date]],Database!$A:$C,MATCH($C$1,Database!$A$1:$C$1,),))</f>
        <v/>
      </c>
      <c r="D10228">
        <f>IFERROR(Table7[[#This Row],[United States 10y]]-Table7[[#This Row],[United States 3y]],#N/A)</f>
        <v/>
      </c>
    </row>
    <row r="10229">
      <c r="A10229" s="6">
        <f>Database!$A12314</f>
        <v/>
      </c>
      <c r="B10229">
        <f>IF(VLOOKUP(Table7[[#This Row],[Date]],Database!$A:$C,MATCH($B$1,Database!$A$1:$C$1,),)=0,#N/A,VLOOKUP(Table7[[#This Row],[Date]],Database!$A:$C,MATCH($B$1,Database!$A$1:$C$1,),))</f>
        <v/>
      </c>
      <c r="C10229">
        <f>IF(VLOOKUP(Table7[[#This Row],[Date]],Database!$A:$C,MATCH($C$1,Database!$A$1:$C$1,),)=0,#N/A,VLOOKUP(Table7[[#This Row],[Date]],Database!$A:$C,MATCH($C$1,Database!$A$1:$C$1,),))</f>
        <v/>
      </c>
      <c r="D10229">
        <f>IFERROR(Table7[[#This Row],[United States 10y]]-Table7[[#This Row],[United States 3y]],#N/A)</f>
        <v/>
      </c>
    </row>
    <row r="10230">
      <c r="A10230" s="6">
        <f>Database!$A12315</f>
        <v/>
      </c>
      <c r="B10230">
        <f>IF(VLOOKUP(Table7[[#This Row],[Date]],Database!$A:$C,MATCH($B$1,Database!$A$1:$C$1,),)=0,#N/A,VLOOKUP(Table7[[#This Row],[Date]],Database!$A:$C,MATCH($B$1,Database!$A$1:$C$1,),))</f>
        <v/>
      </c>
      <c r="C10230">
        <f>IF(VLOOKUP(Table7[[#This Row],[Date]],Database!$A:$C,MATCH($C$1,Database!$A$1:$C$1,),)=0,#N/A,VLOOKUP(Table7[[#This Row],[Date]],Database!$A:$C,MATCH($C$1,Database!$A$1:$C$1,),))</f>
        <v/>
      </c>
      <c r="D10230">
        <f>IFERROR(Table7[[#This Row],[United States 10y]]-Table7[[#This Row],[United States 3y]],#N/A)</f>
        <v/>
      </c>
    </row>
    <row r="10231">
      <c r="A10231" s="6">
        <f>Database!$A12316</f>
        <v/>
      </c>
      <c r="B10231">
        <f>IF(VLOOKUP(Table7[[#This Row],[Date]],Database!$A:$C,MATCH($B$1,Database!$A$1:$C$1,),)=0,#N/A,VLOOKUP(Table7[[#This Row],[Date]],Database!$A:$C,MATCH($B$1,Database!$A$1:$C$1,),))</f>
        <v/>
      </c>
      <c r="C10231">
        <f>IF(VLOOKUP(Table7[[#This Row],[Date]],Database!$A:$C,MATCH($C$1,Database!$A$1:$C$1,),)=0,#N/A,VLOOKUP(Table7[[#This Row],[Date]],Database!$A:$C,MATCH($C$1,Database!$A$1:$C$1,),))</f>
        <v/>
      </c>
      <c r="D10231">
        <f>IFERROR(Table7[[#This Row],[United States 10y]]-Table7[[#This Row],[United States 3y]],#N/A)</f>
        <v/>
      </c>
    </row>
    <row r="10232">
      <c r="A10232" s="6">
        <f>Database!$A12317</f>
        <v/>
      </c>
      <c r="B10232">
        <f>IF(VLOOKUP(Table7[[#This Row],[Date]],Database!$A:$C,MATCH($B$1,Database!$A$1:$C$1,),)=0,#N/A,VLOOKUP(Table7[[#This Row],[Date]],Database!$A:$C,MATCH($B$1,Database!$A$1:$C$1,),))</f>
        <v/>
      </c>
      <c r="C10232">
        <f>IF(VLOOKUP(Table7[[#This Row],[Date]],Database!$A:$C,MATCH($C$1,Database!$A$1:$C$1,),)=0,#N/A,VLOOKUP(Table7[[#This Row],[Date]],Database!$A:$C,MATCH($C$1,Database!$A$1:$C$1,),))</f>
        <v/>
      </c>
      <c r="D10232">
        <f>IFERROR(Table7[[#This Row],[United States 10y]]-Table7[[#This Row],[United States 3y]],#N/A)</f>
        <v/>
      </c>
    </row>
    <row r="10233">
      <c r="A10233" s="6">
        <f>Database!$A12318</f>
        <v/>
      </c>
      <c r="B10233">
        <f>IF(VLOOKUP(Table7[[#This Row],[Date]],Database!$A:$C,MATCH($B$1,Database!$A$1:$C$1,),)=0,#N/A,VLOOKUP(Table7[[#This Row],[Date]],Database!$A:$C,MATCH($B$1,Database!$A$1:$C$1,),))</f>
        <v/>
      </c>
      <c r="C10233">
        <f>IF(VLOOKUP(Table7[[#This Row],[Date]],Database!$A:$C,MATCH($C$1,Database!$A$1:$C$1,),)=0,#N/A,VLOOKUP(Table7[[#This Row],[Date]],Database!$A:$C,MATCH($C$1,Database!$A$1:$C$1,),))</f>
        <v/>
      </c>
      <c r="D10233">
        <f>IFERROR(Table7[[#This Row],[United States 10y]]-Table7[[#This Row],[United States 3y]],#N/A)</f>
        <v/>
      </c>
    </row>
    <row r="10234">
      <c r="A10234" s="6">
        <f>Database!$A12319</f>
        <v/>
      </c>
      <c r="B10234">
        <f>IF(VLOOKUP(Table7[[#This Row],[Date]],Database!$A:$C,MATCH($B$1,Database!$A$1:$C$1,),)=0,#N/A,VLOOKUP(Table7[[#This Row],[Date]],Database!$A:$C,MATCH($B$1,Database!$A$1:$C$1,),))</f>
        <v/>
      </c>
      <c r="C10234">
        <f>IF(VLOOKUP(Table7[[#This Row],[Date]],Database!$A:$C,MATCH($C$1,Database!$A$1:$C$1,),)=0,#N/A,VLOOKUP(Table7[[#This Row],[Date]],Database!$A:$C,MATCH($C$1,Database!$A$1:$C$1,),))</f>
        <v/>
      </c>
      <c r="D10234">
        <f>IFERROR(Table7[[#This Row],[United States 10y]]-Table7[[#This Row],[United States 3y]],#N/A)</f>
        <v/>
      </c>
    </row>
    <row r="10235">
      <c r="A10235" s="6">
        <f>Database!$A12320</f>
        <v/>
      </c>
      <c r="B10235">
        <f>IF(VLOOKUP(Table7[[#This Row],[Date]],Database!$A:$C,MATCH($B$1,Database!$A$1:$C$1,),)=0,#N/A,VLOOKUP(Table7[[#This Row],[Date]],Database!$A:$C,MATCH($B$1,Database!$A$1:$C$1,),))</f>
        <v/>
      </c>
      <c r="C10235">
        <f>IF(VLOOKUP(Table7[[#This Row],[Date]],Database!$A:$C,MATCH($C$1,Database!$A$1:$C$1,),)=0,#N/A,VLOOKUP(Table7[[#This Row],[Date]],Database!$A:$C,MATCH($C$1,Database!$A$1:$C$1,),))</f>
        <v/>
      </c>
      <c r="D10235">
        <f>IFERROR(Table7[[#This Row],[United States 10y]]-Table7[[#This Row],[United States 3y]],#N/A)</f>
        <v/>
      </c>
    </row>
    <row r="10236">
      <c r="A10236" s="6">
        <f>Database!$A12321</f>
        <v/>
      </c>
      <c r="B10236">
        <f>IF(VLOOKUP(Table7[[#This Row],[Date]],Database!$A:$C,MATCH($B$1,Database!$A$1:$C$1,),)=0,#N/A,VLOOKUP(Table7[[#This Row],[Date]],Database!$A:$C,MATCH($B$1,Database!$A$1:$C$1,),))</f>
        <v/>
      </c>
      <c r="C10236">
        <f>IF(VLOOKUP(Table7[[#This Row],[Date]],Database!$A:$C,MATCH($C$1,Database!$A$1:$C$1,),)=0,#N/A,VLOOKUP(Table7[[#This Row],[Date]],Database!$A:$C,MATCH($C$1,Database!$A$1:$C$1,),))</f>
        <v/>
      </c>
      <c r="D10236">
        <f>IFERROR(Table7[[#This Row],[United States 10y]]-Table7[[#This Row],[United States 3y]],#N/A)</f>
        <v/>
      </c>
    </row>
    <row r="10237">
      <c r="A10237" s="6">
        <f>Database!$A12322</f>
        <v/>
      </c>
      <c r="B10237">
        <f>IF(VLOOKUP(Table7[[#This Row],[Date]],Database!$A:$C,MATCH($B$1,Database!$A$1:$C$1,),)=0,#N/A,VLOOKUP(Table7[[#This Row],[Date]],Database!$A:$C,MATCH($B$1,Database!$A$1:$C$1,),))</f>
        <v/>
      </c>
      <c r="C10237">
        <f>IF(VLOOKUP(Table7[[#This Row],[Date]],Database!$A:$C,MATCH($C$1,Database!$A$1:$C$1,),)=0,#N/A,VLOOKUP(Table7[[#This Row],[Date]],Database!$A:$C,MATCH($C$1,Database!$A$1:$C$1,),))</f>
        <v/>
      </c>
      <c r="D10237">
        <f>IFERROR(Table7[[#This Row],[United States 10y]]-Table7[[#This Row],[United States 3y]],#N/A)</f>
        <v/>
      </c>
    </row>
    <row r="10238">
      <c r="A10238" s="6">
        <f>Database!$A12323</f>
        <v/>
      </c>
      <c r="B10238">
        <f>IF(VLOOKUP(Table7[[#This Row],[Date]],Database!$A:$C,MATCH($B$1,Database!$A$1:$C$1,),)=0,#N/A,VLOOKUP(Table7[[#This Row],[Date]],Database!$A:$C,MATCH($B$1,Database!$A$1:$C$1,),))</f>
        <v/>
      </c>
      <c r="C10238">
        <f>IF(VLOOKUP(Table7[[#This Row],[Date]],Database!$A:$C,MATCH($C$1,Database!$A$1:$C$1,),)=0,#N/A,VLOOKUP(Table7[[#This Row],[Date]],Database!$A:$C,MATCH($C$1,Database!$A$1:$C$1,),))</f>
        <v/>
      </c>
      <c r="D10238">
        <f>IFERROR(Table7[[#This Row],[United States 10y]]-Table7[[#This Row],[United States 3y]],#N/A)</f>
        <v/>
      </c>
    </row>
    <row r="10239">
      <c r="A10239" s="6">
        <f>Database!$A12324</f>
        <v/>
      </c>
      <c r="B10239">
        <f>IF(VLOOKUP(Table7[[#This Row],[Date]],Database!$A:$C,MATCH($B$1,Database!$A$1:$C$1,),)=0,#N/A,VLOOKUP(Table7[[#This Row],[Date]],Database!$A:$C,MATCH($B$1,Database!$A$1:$C$1,),))</f>
        <v/>
      </c>
      <c r="C10239">
        <f>IF(VLOOKUP(Table7[[#This Row],[Date]],Database!$A:$C,MATCH($C$1,Database!$A$1:$C$1,),)=0,#N/A,VLOOKUP(Table7[[#This Row],[Date]],Database!$A:$C,MATCH($C$1,Database!$A$1:$C$1,),))</f>
        <v/>
      </c>
      <c r="D10239">
        <f>IFERROR(Table7[[#This Row],[United States 10y]]-Table7[[#This Row],[United States 3y]],#N/A)</f>
        <v/>
      </c>
    </row>
    <row r="10240">
      <c r="A10240" s="6">
        <f>Database!$A12325</f>
        <v/>
      </c>
      <c r="B10240">
        <f>IF(VLOOKUP(Table7[[#This Row],[Date]],Database!$A:$C,MATCH($B$1,Database!$A$1:$C$1,),)=0,#N/A,VLOOKUP(Table7[[#This Row],[Date]],Database!$A:$C,MATCH($B$1,Database!$A$1:$C$1,),))</f>
        <v/>
      </c>
      <c r="C10240">
        <f>IF(VLOOKUP(Table7[[#This Row],[Date]],Database!$A:$C,MATCH($C$1,Database!$A$1:$C$1,),)=0,#N/A,VLOOKUP(Table7[[#This Row],[Date]],Database!$A:$C,MATCH($C$1,Database!$A$1:$C$1,),))</f>
        <v/>
      </c>
      <c r="D10240">
        <f>IFERROR(Table7[[#This Row],[United States 10y]]-Table7[[#This Row],[United States 3y]],#N/A)</f>
        <v/>
      </c>
    </row>
    <row r="10241">
      <c r="A10241" s="6">
        <f>Database!$A12326</f>
        <v/>
      </c>
      <c r="B10241">
        <f>IF(VLOOKUP(Table7[[#This Row],[Date]],Database!$A:$C,MATCH($B$1,Database!$A$1:$C$1,),)=0,#N/A,VLOOKUP(Table7[[#This Row],[Date]],Database!$A:$C,MATCH($B$1,Database!$A$1:$C$1,),))</f>
        <v/>
      </c>
      <c r="C10241">
        <f>IF(VLOOKUP(Table7[[#This Row],[Date]],Database!$A:$C,MATCH($C$1,Database!$A$1:$C$1,),)=0,#N/A,VLOOKUP(Table7[[#This Row],[Date]],Database!$A:$C,MATCH($C$1,Database!$A$1:$C$1,),))</f>
        <v/>
      </c>
      <c r="D10241">
        <f>IFERROR(Table7[[#This Row],[United States 10y]]-Table7[[#This Row],[United States 3y]],#N/A)</f>
        <v/>
      </c>
    </row>
    <row r="10242">
      <c r="A10242" s="6">
        <f>Database!$A12327</f>
        <v/>
      </c>
      <c r="B10242">
        <f>IF(VLOOKUP(Table7[[#This Row],[Date]],Database!$A:$C,MATCH($B$1,Database!$A$1:$C$1,),)=0,#N/A,VLOOKUP(Table7[[#This Row],[Date]],Database!$A:$C,MATCH($B$1,Database!$A$1:$C$1,),))</f>
        <v/>
      </c>
      <c r="C10242">
        <f>IF(VLOOKUP(Table7[[#This Row],[Date]],Database!$A:$C,MATCH($C$1,Database!$A$1:$C$1,),)=0,#N/A,VLOOKUP(Table7[[#This Row],[Date]],Database!$A:$C,MATCH($C$1,Database!$A$1:$C$1,),))</f>
        <v/>
      </c>
      <c r="D10242">
        <f>IFERROR(Table7[[#This Row],[United States 10y]]-Table7[[#This Row],[United States 3y]],#N/A)</f>
        <v/>
      </c>
    </row>
    <row r="10243">
      <c r="A10243" s="6">
        <f>Database!$A12328</f>
        <v/>
      </c>
      <c r="B10243">
        <f>IF(VLOOKUP(Table7[[#This Row],[Date]],Database!$A:$C,MATCH($B$1,Database!$A$1:$C$1,),)=0,#N/A,VLOOKUP(Table7[[#This Row],[Date]],Database!$A:$C,MATCH($B$1,Database!$A$1:$C$1,),))</f>
        <v/>
      </c>
      <c r="C10243">
        <f>IF(VLOOKUP(Table7[[#This Row],[Date]],Database!$A:$C,MATCH($C$1,Database!$A$1:$C$1,),)=0,#N/A,VLOOKUP(Table7[[#This Row],[Date]],Database!$A:$C,MATCH($C$1,Database!$A$1:$C$1,),))</f>
        <v/>
      </c>
      <c r="D10243">
        <f>IFERROR(Table7[[#This Row],[United States 10y]]-Table7[[#This Row],[United States 3y]],#N/A)</f>
        <v/>
      </c>
    </row>
    <row r="10244">
      <c r="A10244" s="6">
        <f>Database!$A12329</f>
        <v/>
      </c>
      <c r="B10244">
        <f>IF(VLOOKUP(Table7[[#This Row],[Date]],Database!$A:$C,MATCH($B$1,Database!$A$1:$C$1,),)=0,#N/A,VLOOKUP(Table7[[#This Row],[Date]],Database!$A:$C,MATCH($B$1,Database!$A$1:$C$1,),))</f>
        <v/>
      </c>
      <c r="C10244">
        <f>IF(VLOOKUP(Table7[[#This Row],[Date]],Database!$A:$C,MATCH($C$1,Database!$A$1:$C$1,),)=0,#N/A,VLOOKUP(Table7[[#This Row],[Date]],Database!$A:$C,MATCH($C$1,Database!$A$1:$C$1,),))</f>
        <v/>
      </c>
      <c r="D10244">
        <f>IFERROR(Table7[[#This Row],[United States 10y]]-Table7[[#This Row],[United States 3y]],#N/A)</f>
        <v/>
      </c>
    </row>
    <row r="10245">
      <c r="A10245" s="6">
        <f>Database!$A12330</f>
        <v/>
      </c>
      <c r="B10245">
        <f>IF(VLOOKUP(Table7[[#This Row],[Date]],Database!$A:$C,MATCH($B$1,Database!$A$1:$C$1,),)=0,#N/A,VLOOKUP(Table7[[#This Row],[Date]],Database!$A:$C,MATCH($B$1,Database!$A$1:$C$1,),))</f>
        <v/>
      </c>
      <c r="C10245">
        <f>IF(VLOOKUP(Table7[[#This Row],[Date]],Database!$A:$C,MATCH($C$1,Database!$A$1:$C$1,),)=0,#N/A,VLOOKUP(Table7[[#This Row],[Date]],Database!$A:$C,MATCH($C$1,Database!$A$1:$C$1,),))</f>
        <v/>
      </c>
      <c r="D10245">
        <f>IFERROR(Table7[[#This Row],[United States 10y]]-Table7[[#This Row],[United States 3y]],#N/A)</f>
        <v/>
      </c>
    </row>
    <row r="10246">
      <c r="A10246" s="6">
        <f>Database!$A12331</f>
        <v/>
      </c>
      <c r="B10246">
        <f>IF(VLOOKUP(Table7[[#This Row],[Date]],Database!$A:$C,MATCH($B$1,Database!$A$1:$C$1,),)=0,#N/A,VLOOKUP(Table7[[#This Row],[Date]],Database!$A:$C,MATCH($B$1,Database!$A$1:$C$1,),))</f>
        <v/>
      </c>
      <c r="C10246">
        <f>IF(VLOOKUP(Table7[[#This Row],[Date]],Database!$A:$C,MATCH($C$1,Database!$A$1:$C$1,),)=0,#N/A,VLOOKUP(Table7[[#This Row],[Date]],Database!$A:$C,MATCH($C$1,Database!$A$1:$C$1,),))</f>
        <v/>
      </c>
      <c r="D10246">
        <f>IFERROR(Table7[[#This Row],[United States 10y]]-Table7[[#This Row],[United States 3y]],#N/A)</f>
        <v/>
      </c>
    </row>
    <row r="10247">
      <c r="A10247" s="6">
        <f>Database!$A12332</f>
        <v/>
      </c>
      <c r="B10247">
        <f>IF(VLOOKUP(Table7[[#This Row],[Date]],Database!$A:$C,MATCH($B$1,Database!$A$1:$C$1,),)=0,#N/A,VLOOKUP(Table7[[#This Row],[Date]],Database!$A:$C,MATCH($B$1,Database!$A$1:$C$1,),))</f>
        <v/>
      </c>
      <c r="C10247">
        <f>IF(VLOOKUP(Table7[[#This Row],[Date]],Database!$A:$C,MATCH($C$1,Database!$A$1:$C$1,),)=0,#N/A,VLOOKUP(Table7[[#This Row],[Date]],Database!$A:$C,MATCH($C$1,Database!$A$1:$C$1,),))</f>
        <v/>
      </c>
      <c r="D10247">
        <f>IFERROR(Table7[[#This Row],[United States 10y]]-Table7[[#This Row],[United States 3y]],#N/A)</f>
        <v/>
      </c>
    </row>
    <row r="10248">
      <c r="A10248" s="6">
        <f>Database!$A12333</f>
        <v/>
      </c>
      <c r="B10248">
        <f>IF(VLOOKUP(Table7[[#This Row],[Date]],Database!$A:$C,MATCH($B$1,Database!$A$1:$C$1,),)=0,#N/A,VLOOKUP(Table7[[#This Row],[Date]],Database!$A:$C,MATCH($B$1,Database!$A$1:$C$1,),))</f>
        <v/>
      </c>
      <c r="C10248">
        <f>IF(VLOOKUP(Table7[[#This Row],[Date]],Database!$A:$C,MATCH($C$1,Database!$A$1:$C$1,),)=0,#N/A,VLOOKUP(Table7[[#This Row],[Date]],Database!$A:$C,MATCH($C$1,Database!$A$1:$C$1,),))</f>
        <v/>
      </c>
      <c r="D10248">
        <f>IFERROR(Table7[[#This Row],[United States 10y]]-Table7[[#This Row],[United States 3y]],#N/A)</f>
        <v/>
      </c>
    </row>
    <row r="10249">
      <c r="A10249" s="6">
        <f>Database!$A12334</f>
        <v/>
      </c>
      <c r="B10249">
        <f>IF(VLOOKUP(Table7[[#This Row],[Date]],Database!$A:$C,MATCH($B$1,Database!$A$1:$C$1,),)=0,#N/A,VLOOKUP(Table7[[#This Row],[Date]],Database!$A:$C,MATCH($B$1,Database!$A$1:$C$1,),))</f>
        <v/>
      </c>
      <c r="C10249">
        <f>IF(VLOOKUP(Table7[[#This Row],[Date]],Database!$A:$C,MATCH($C$1,Database!$A$1:$C$1,),)=0,#N/A,VLOOKUP(Table7[[#This Row],[Date]],Database!$A:$C,MATCH($C$1,Database!$A$1:$C$1,),))</f>
        <v/>
      </c>
      <c r="D10249">
        <f>IFERROR(Table7[[#This Row],[United States 10y]]-Table7[[#This Row],[United States 3y]],#N/A)</f>
        <v/>
      </c>
    </row>
    <row r="10250">
      <c r="A10250" s="6">
        <f>Database!$A12335</f>
        <v/>
      </c>
      <c r="B10250">
        <f>IF(VLOOKUP(Table7[[#This Row],[Date]],Database!$A:$C,MATCH($B$1,Database!$A$1:$C$1,),)=0,#N/A,VLOOKUP(Table7[[#This Row],[Date]],Database!$A:$C,MATCH($B$1,Database!$A$1:$C$1,),))</f>
        <v/>
      </c>
      <c r="C10250">
        <f>IF(VLOOKUP(Table7[[#This Row],[Date]],Database!$A:$C,MATCH($C$1,Database!$A$1:$C$1,),)=0,#N/A,VLOOKUP(Table7[[#This Row],[Date]],Database!$A:$C,MATCH($C$1,Database!$A$1:$C$1,),))</f>
        <v/>
      </c>
      <c r="D10250">
        <f>IFERROR(Table7[[#This Row],[United States 10y]]-Table7[[#This Row],[United States 3y]],#N/A)</f>
        <v/>
      </c>
    </row>
    <row r="10251">
      <c r="A10251" s="6">
        <f>Database!$A12336</f>
        <v/>
      </c>
      <c r="B10251">
        <f>IF(VLOOKUP(Table7[[#This Row],[Date]],Database!$A:$C,MATCH($B$1,Database!$A$1:$C$1,),)=0,#N/A,VLOOKUP(Table7[[#This Row],[Date]],Database!$A:$C,MATCH($B$1,Database!$A$1:$C$1,),))</f>
        <v/>
      </c>
      <c r="C10251">
        <f>IF(VLOOKUP(Table7[[#This Row],[Date]],Database!$A:$C,MATCH($C$1,Database!$A$1:$C$1,),)=0,#N/A,VLOOKUP(Table7[[#This Row],[Date]],Database!$A:$C,MATCH($C$1,Database!$A$1:$C$1,),))</f>
        <v/>
      </c>
      <c r="D10251">
        <f>IFERROR(Table7[[#This Row],[United States 10y]]-Table7[[#This Row],[United States 3y]],#N/A)</f>
        <v/>
      </c>
    </row>
    <row r="10252">
      <c r="A10252" s="6">
        <f>Database!$A12337</f>
        <v/>
      </c>
      <c r="B10252">
        <f>IF(VLOOKUP(Table7[[#This Row],[Date]],Database!$A:$C,MATCH($B$1,Database!$A$1:$C$1,),)=0,#N/A,VLOOKUP(Table7[[#This Row],[Date]],Database!$A:$C,MATCH($B$1,Database!$A$1:$C$1,),))</f>
        <v/>
      </c>
      <c r="C10252">
        <f>IF(VLOOKUP(Table7[[#This Row],[Date]],Database!$A:$C,MATCH($C$1,Database!$A$1:$C$1,),)=0,#N/A,VLOOKUP(Table7[[#This Row],[Date]],Database!$A:$C,MATCH($C$1,Database!$A$1:$C$1,),))</f>
        <v/>
      </c>
      <c r="D10252">
        <f>IFERROR(Table7[[#This Row],[United States 10y]]-Table7[[#This Row],[United States 3y]],#N/A)</f>
        <v/>
      </c>
    </row>
    <row r="10253">
      <c r="A10253" s="6">
        <f>Database!$A12338</f>
        <v/>
      </c>
      <c r="B10253">
        <f>IF(VLOOKUP(Table7[[#This Row],[Date]],Database!$A:$C,MATCH($B$1,Database!$A$1:$C$1,),)=0,#N/A,VLOOKUP(Table7[[#This Row],[Date]],Database!$A:$C,MATCH($B$1,Database!$A$1:$C$1,),))</f>
        <v/>
      </c>
      <c r="C10253">
        <f>IF(VLOOKUP(Table7[[#This Row],[Date]],Database!$A:$C,MATCH($C$1,Database!$A$1:$C$1,),)=0,#N/A,VLOOKUP(Table7[[#This Row],[Date]],Database!$A:$C,MATCH($C$1,Database!$A$1:$C$1,),))</f>
        <v/>
      </c>
      <c r="D10253">
        <f>IFERROR(Table7[[#This Row],[United States 10y]]-Table7[[#This Row],[United States 3y]],#N/A)</f>
        <v/>
      </c>
    </row>
    <row r="10254">
      <c r="A10254" s="6">
        <f>Database!$A12339</f>
        <v/>
      </c>
      <c r="B10254">
        <f>IF(VLOOKUP(Table7[[#This Row],[Date]],Database!$A:$C,MATCH($B$1,Database!$A$1:$C$1,),)=0,#N/A,VLOOKUP(Table7[[#This Row],[Date]],Database!$A:$C,MATCH($B$1,Database!$A$1:$C$1,),))</f>
        <v/>
      </c>
      <c r="C10254">
        <f>IF(VLOOKUP(Table7[[#This Row],[Date]],Database!$A:$C,MATCH($C$1,Database!$A$1:$C$1,),)=0,#N/A,VLOOKUP(Table7[[#This Row],[Date]],Database!$A:$C,MATCH($C$1,Database!$A$1:$C$1,),))</f>
        <v/>
      </c>
      <c r="D10254">
        <f>IFERROR(Table7[[#This Row],[United States 10y]]-Table7[[#This Row],[United States 3y]],#N/A)</f>
        <v/>
      </c>
    </row>
    <row r="10255">
      <c r="A10255" s="6">
        <f>Database!$A12340</f>
        <v/>
      </c>
      <c r="B10255">
        <f>IF(VLOOKUP(Table7[[#This Row],[Date]],Database!$A:$C,MATCH($B$1,Database!$A$1:$C$1,),)=0,#N/A,VLOOKUP(Table7[[#This Row],[Date]],Database!$A:$C,MATCH($B$1,Database!$A$1:$C$1,),))</f>
        <v/>
      </c>
      <c r="C10255">
        <f>IF(VLOOKUP(Table7[[#This Row],[Date]],Database!$A:$C,MATCH($C$1,Database!$A$1:$C$1,),)=0,#N/A,VLOOKUP(Table7[[#This Row],[Date]],Database!$A:$C,MATCH($C$1,Database!$A$1:$C$1,),))</f>
        <v/>
      </c>
      <c r="D10255">
        <f>IFERROR(Table7[[#This Row],[United States 10y]]-Table7[[#This Row],[United States 3y]],#N/A)</f>
        <v/>
      </c>
    </row>
    <row r="10256">
      <c r="A10256" s="6">
        <f>Database!$A12341</f>
        <v/>
      </c>
      <c r="B10256">
        <f>IF(VLOOKUP(Table7[[#This Row],[Date]],Database!$A:$C,MATCH($B$1,Database!$A$1:$C$1,),)=0,#N/A,VLOOKUP(Table7[[#This Row],[Date]],Database!$A:$C,MATCH($B$1,Database!$A$1:$C$1,),))</f>
        <v/>
      </c>
      <c r="C10256">
        <f>IF(VLOOKUP(Table7[[#This Row],[Date]],Database!$A:$C,MATCH($C$1,Database!$A$1:$C$1,),)=0,#N/A,VLOOKUP(Table7[[#This Row],[Date]],Database!$A:$C,MATCH($C$1,Database!$A$1:$C$1,),))</f>
        <v/>
      </c>
      <c r="D10256">
        <f>IFERROR(Table7[[#This Row],[United States 10y]]-Table7[[#This Row],[United States 3y]],#N/A)</f>
        <v/>
      </c>
    </row>
    <row r="10257">
      <c r="A10257" s="6">
        <f>Database!$A12342</f>
        <v/>
      </c>
      <c r="B10257">
        <f>IF(VLOOKUP(Table7[[#This Row],[Date]],Database!$A:$C,MATCH($B$1,Database!$A$1:$C$1,),)=0,#N/A,VLOOKUP(Table7[[#This Row],[Date]],Database!$A:$C,MATCH($B$1,Database!$A$1:$C$1,),))</f>
        <v/>
      </c>
      <c r="C10257">
        <f>IF(VLOOKUP(Table7[[#This Row],[Date]],Database!$A:$C,MATCH($C$1,Database!$A$1:$C$1,),)=0,#N/A,VLOOKUP(Table7[[#This Row],[Date]],Database!$A:$C,MATCH($C$1,Database!$A$1:$C$1,),))</f>
        <v/>
      </c>
      <c r="D10257">
        <f>IFERROR(Table7[[#This Row],[United States 10y]]-Table7[[#This Row],[United States 3y]],#N/A)</f>
        <v/>
      </c>
    </row>
    <row r="10258">
      <c r="A10258" s="6">
        <f>Database!$A12343</f>
        <v/>
      </c>
      <c r="B10258">
        <f>IF(VLOOKUP(Table7[[#This Row],[Date]],Database!$A:$C,MATCH($B$1,Database!$A$1:$C$1,),)=0,#N/A,VLOOKUP(Table7[[#This Row],[Date]],Database!$A:$C,MATCH($B$1,Database!$A$1:$C$1,),))</f>
        <v/>
      </c>
      <c r="C10258">
        <f>IF(VLOOKUP(Table7[[#This Row],[Date]],Database!$A:$C,MATCH($C$1,Database!$A$1:$C$1,),)=0,#N/A,VLOOKUP(Table7[[#This Row],[Date]],Database!$A:$C,MATCH($C$1,Database!$A$1:$C$1,),))</f>
        <v/>
      </c>
      <c r="D10258">
        <f>IFERROR(Table7[[#This Row],[United States 10y]]-Table7[[#This Row],[United States 3y]],#N/A)</f>
        <v/>
      </c>
    </row>
    <row r="10259">
      <c r="A10259" s="6">
        <f>Database!$A12344</f>
        <v/>
      </c>
      <c r="B10259">
        <f>IF(VLOOKUP(Table7[[#This Row],[Date]],Database!$A:$C,MATCH($B$1,Database!$A$1:$C$1,),)=0,#N/A,VLOOKUP(Table7[[#This Row],[Date]],Database!$A:$C,MATCH($B$1,Database!$A$1:$C$1,),))</f>
        <v/>
      </c>
      <c r="C10259">
        <f>IF(VLOOKUP(Table7[[#This Row],[Date]],Database!$A:$C,MATCH($C$1,Database!$A$1:$C$1,),)=0,#N/A,VLOOKUP(Table7[[#This Row],[Date]],Database!$A:$C,MATCH($C$1,Database!$A$1:$C$1,),))</f>
        <v/>
      </c>
      <c r="D10259">
        <f>IFERROR(Table7[[#This Row],[United States 10y]]-Table7[[#This Row],[United States 3y]],#N/A)</f>
        <v/>
      </c>
    </row>
    <row r="10260">
      <c r="A10260" s="6">
        <f>Database!$A12345</f>
        <v/>
      </c>
      <c r="B10260">
        <f>IF(VLOOKUP(Table7[[#This Row],[Date]],Database!$A:$C,MATCH($B$1,Database!$A$1:$C$1,),)=0,#N/A,VLOOKUP(Table7[[#This Row],[Date]],Database!$A:$C,MATCH($B$1,Database!$A$1:$C$1,),))</f>
        <v/>
      </c>
      <c r="C10260">
        <f>IF(VLOOKUP(Table7[[#This Row],[Date]],Database!$A:$C,MATCH($C$1,Database!$A$1:$C$1,),)=0,#N/A,VLOOKUP(Table7[[#This Row],[Date]],Database!$A:$C,MATCH($C$1,Database!$A$1:$C$1,),))</f>
        <v/>
      </c>
      <c r="D10260">
        <f>IFERROR(Table7[[#This Row],[United States 10y]]-Table7[[#This Row],[United States 3y]],#N/A)</f>
        <v/>
      </c>
    </row>
    <row r="10261">
      <c r="A10261" s="6">
        <f>Database!$A12346</f>
        <v/>
      </c>
      <c r="B10261">
        <f>IF(VLOOKUP(Table7[[#This Row],[Date]],Database!$A:$C,MATCH($B$1,Database!$A$1:$C$1,),)=0,#N/A,VLOOKUP(Table7[[#This Row],[Date]],Database!$A:$C,MATCH($B$1,Database!$A$1:$C$1,),))</f>
        <v/>
      </c>
      <c r="C10261">
        <f>IF(VLOOKUP(Table7[[#This Row],[Date]],Database!$A:$C,MATCH($C$1,Database!$A$1:$C$1,),)=0,#N/A,VLOOKUP(Table7[[#This Row],[Date]],Database!$A:$C,MATCH($C$1,Database!$A$1:$C$1,),))</f>
        <v/>
      </c>
      <c r="D10261">
        <f>IFERROR(Table7[[#This Row],[United States 10y]]-Table7[[#This Row],[United States 3y]],#N/A)</f>
        <v/>
      </c>
    </row>
    <row r="10262">
      <c r="A10262" s="6">
        <f>Database!$A12347</f>
        <v/>
      </c>
      <c r="B10262">
        <f>IF(VLOOKUP(Table7[[#This Row],[Date]],Database!$A:$C,MATCH($B$1,Database!$A$1:$C$1,),)=0,#N/A,VLOOKUP(Table7[[#This Row],[Date]],Database!$A:$C,MATCH($B$1,Database!$A$1:$C$1,),))</f>
        <v/>
      </c>
      <c r="C10262">
        <f>IF(VLOOKUP(Table7[[#This Row],[Date]],Database!$A:$C,MATCH($C$1,Database!$A$1:$C$1,),)=0,#N/A,VLOOKUP(Table7[[#This Row],[Date]],Database!$A:$C,MATCH($C$1,Database!$A$1:$C$1,),))</f>
        <v/>
      </c>
      <c r="D10262">
        <f>IFERROR(Table7[[#This Row],[United States 10y]]-Table7[[#This Row],[United States 3y]],#N/A)</f>
        <v/>
      </c>
    </row>
    <row r="10263">
      <c r="A10263" s="6">
        <f>Database!$A12348</f>
        <v/>
      </c>
      <c r="B10263">
        <f>IF(VLOOKUP(Table7[[#This Row],[Date]],Database!$A:$C,MATCH($B$1,Database!$A$1:$C$1,),)=0,#N/A,VLOOKUP(Table7[[#This Row],[Date]],Database!$A:$C,MATCH($B$1,Database!$A$1:$C$1,),))</f>
        <v/>
      </c>
      <c r="C10263">
        <f>IF(VLOOKUP(Table7[[#This Row],[Date]],Database!$A:$C,MATCH($C$1,Database!$A$1:$C$1,),)=0,#N/A,VLOOKUP(Table7[[#This Row],[Date]],Database!$A:$C,MATCH($C$1,Database!$A$1:$C$1,),))</f>
        <v/>
      </c>
      <c r="D10263">
        <f>IFERROR(Table7[[#This Row],[United States 10y]]-Table7[[#This Row],[United States 3y]],#N/A)</f>
        <v/>
      </c>
    </row>
    <row r="10264">
      <c r="A10264" s="6">
        <f>Database!$A12349</f>
        <v/>
      </c>
      <c r="B10264">
        <f>IF(VLOOKUP(Table7[[#This Row],[Date]],Database!$A:$C,MATCH($B$1,Database!$A$1:$C$1,),)=0,#N/A,VLOOKUP(Table7[[#This Row],[Date]],Database!$A:$C,MATCH($B$1,Database!$A$1:$C$1,),))</f>
        <v/>
      </c>
      <c r="C10264">
        <f>IF(VLOOKUP(Table7[[#This Row],[Date]],Database!$A:$C,MATCH($C$1,Database!$A$1:$C$1,),)=0,#N/A,VLOOKUP(Table7[[#This Row],[Date]],Database!$A:$C,MATCH($C$1,Database!$A$1:$C$1,),))</f>
        <v/>
      </c>
      <c r="D10264">
        <f>IFERROR(Table7[[#This Row],[United States 10y]]-Table7[[#This Row],[United States 3y]],#N/A)</f>
        <v/>
      </c>
    </row>
    <row r="10265">
      <c r="A10265" s="6">
        <f>Database!$A12350</f>
        <v/>
      </c>
      <c r="B10265">
        <f>IF(VLOOKUP(Table7[[#This Row],[Date]],Database!$A:$C,MATCH($B$1,Database!$A$1:$C$1,),)=0,#N/A,VLOOKUP(Table7[[#This Row],[Date]],Database!$A:$C,MATCH($B$1,Database!$A$1:$C$1,),))</f>
        <v/>
      </c>
      <c r="C10265">
        <f>IF(VLOOKUP(Table7[[#This Row],[Date]],Database!$A:$C,MATCH($C$1,Database!$A$1:$C$1,),)=0,#N/A,VLOOKUP(Table7[[#This Row],[Date]],Database!$A:$C,MATCH($C$1,Database!$A$1:$C$1,),))</f>
        <v/>
      </c>
      <c r="D10265">
        <f>IFERROR(Table7[[#This Row],[United States 10y]]-Table7[[#This Row],[United States 3y]],#N/A)</f>
        <v/>
      </c>
    </row>
    <row r="10266">
      <c r="A10266" s="6">
        <f>Database!$A12351</f>
        <v/>
      </c>
      <c r="B10266">
        <f>IF(VLOOKUP(Table7[[#This Row],[Date]],Database!$A:$C,MATCH($B$1,Database!$A$1:$C$1,),)=0,#N/A,VLOOKUP(Table7[[#This Row],[Date]],Database!$A:$C,MATCH($B$1,Database!$A$1:$C$1,),))</f>
        <v/>
      </c>
      <c r="C10266">
        <f>IF(VLOOKUP(Table7[[#This Row],[Date]],Database!$A:$C,MATCH($C$1,Database!$A$1:$C$1,),)=0,#N/A,VLOOKUP(Table7[[#This Row],[Date]],Database!$A:$C,MATCH($C$1,Database!$A$1:$C$1,),))</f>
        <v/>
      </c>
      <c r="D10266">
        <f>IFERROR(Table7[[#This Row],[United States 10y]]-Table7[[#This Row],[United States 3y]],#N/A)</f>
        <v/>
      </c>
    </row>
    <row r="10267">
      <c r="A10267" s="6">
        <f>Database!$A12352</f>
        <v/>
      </c>
      <c r="B10267">
        <f>IF(VLOOKUP(Table7[[#This Row],[Date]],Database!$A:$C,MATCH($B$1,Database!$A$1:$C$1,),)=0,#N/A,VLOOKUP(Table7[[#This Row],[Date]],Database!$A:$C,MATCH($B$1,Database!$A$1:$C$1,),))</f>
        <v/>
      </c>
      <c r="C10267">
        <f>IF(VLOOKUP(Table7[[#This Row],[Date]],Database!$A:$C,MATCH($C$1,Database!$A$1:$C$1,),)=0,#N/A,VLOOKUP(Table7[[#This Row],[Date]],Database!$A:$C,MATCH($C$1,Database!$A$1:$C$1,),))</f>
        <v/>
      </c>
      <c r="D10267">
        <f>IFERROR(Table7[[#This Row],[United States 10y]]-Table7[[#This Row],[United States 3y]],#N/A)</f>
        <v/>
      </c>
    </row>
    <row r="10268">
      <c r="A10268" s="6">
        <f>Database!$A12353</f>
        <v/>
      </c>
      <c r="B10268">
        <f>IF(VLOOKUP(Table7[[#This Row],[Date]],Database!$A:$C,MATCH($B$1,Database!$A$1:$C$1,),)=0,#N/A,VLOOKUP(Table7[[#This Row],[Date]],Database!$A:$C,MATCH($B$1,Database!$A$1:$C$1,),))</f>
        <v/>
      </c>
      <c r="C10268">
        <f>IF(VLOOKUP(Table7[[#This Row],[Date]],Database!$A:$C,MATCH($C$1,Database!$A$1:$C$1,),)=0,#N/A,VLOOKUP(Table7[[#This Row],[Date]],Database!$A:$C,MATCH($C$1,Database!$A$1:$C$1,),))</f>
        <v/>
      </c>
      <c r="D10268">
        <f>IFERROR(Table7[[#This Row],[United States 10y]]-Table7[[#This Row],[United States 3y]],#N/A)</f>
        <v/>
      </c>
    </row>
    <row r="10269">
      <c r="A10269" s="6">
        <f>Database!$A12354</f>
        <v/>
      </c>
      <c r="B10269">
        <f>IF(VLOOKUP(Table7[[#This Row],[Date]],Database!$A:$C,MATCH($B$1,Database!$A$1:$C$1,),)=0,#N/A,VLOOKUP(Table7[[#This Row],[Date]],Database!$A:$C,MATCH($B$1,Database!$A$1:$C$1,),))</f>
        <v/>
      </c>
      <c r="C10269">
        <f>IF(VLOOKUP(Table7[[#This Row],[Date]],Database!$A:$C,MATCH($C$1,Database!$A$1:$C$1,),)=0,#N/A,VLOOKUP(Table7[[#This Row],[Date]],Database!$A:$C,MATCH($C$1,Database!$A$1:$C$1,),))</f>
        <v/>
      </c>
      <c r="D10269">
        <f>IFERROR(Table7[[#This Row],[United States 10y]]-Table7[[#This Row],[United States 3y]],#N/A)</f>
        <v/>
      </c>
    </row>
    <row r="10270">
      <c r="A10270" s="6">
        <f>Database!$A12355</f>
        <v/>
      </c>
      <c r="B10270">
        <f>IF(VLOOKUP(Table7[[#This Row],[Date]],Database!$A:$C,MATCH($B$1,Database!$A$1:$C$1,),)=0,#N/A,VLOOKUP(Table7[[#This Row],[Date]],Database!$A:$C,MATCH($B$1,Database!$A$1:$C$1,),))</f>
        <v/>
      </c>
      <c r="C10270">
        <f>IF(VLOOKUP(Table7[[#This Row],[Date]],Database!$A:$C,MATCH($C$1,Database!$A$1:$C$1,),)=0,#N/A,VLOOKUP(Table7[[#This Row],[Date]],Database!$A:$C,MATCH($C$1,Database!$A$1:$C$1,),))</f>
        <v/>
      </c>
      <c r="D10270">
        <f>IFERROR(Table7[[#This Row],[United States 10y]]-Table7[[#This Row],[United States 3y]],#N/A)</f>
        <v/>
      </c>
    </row>
    <row r="10271">
      <c r="A10271" s="6">
        <f>Database!$A12356</f>
        <v/>
      </c>
      <c r="B10271">
        <f>IF(VLOOKUP(Table7[[#This Row],[Date]],Database!$A:$C,MATCH($B$1,Database!$A$1:$C$1,),)=0,#N/A,VLOOKUP(Table7[[#This Row],[Date]],Database!$A:$C,MATCH($B$1,Database!$A$1:$C$1,),))</f>
        <v/>
      </c>
      <c r="C10271">
        <f>IF(VLOOKUP(Table7[[#This Row],[Date]],Database!$A:$C,MATCH($C$1,Database!$A$1:$C$1,),)=0,#N/A,VLOOKUP(Table7[[#This Row],[Date]],Database!$A:$C,MATCH($C$1,Database!$A$1:$C$1,),))</f>
        <v/>
      </c>
      <c r="D10271">
        <f>IFERROR(Table7[[#This Row],[United States 10y]]-Table7[[#This Row],[United States 3y]],#N/A)</f>
        <v/>
      </c>
    </row>
    <row r="10272">
      <c r="A10272" s="6">
        <f>Database!$A12357</f>
        <v/>
      </c>
      <c r="B10272">
        <f>IF(VLOOKUP(Table7[[#This Row],[Date]],Database!$A:$C,MATCH($B$1,Database!$A$1:$C$1,),)=0,#N/A,VLOOKUP(Table7[[#This Row],[Date]],Database!$A:$C,MATCH($B$1,Database!$A$1:$C$1,),))</f>
        <v/>
      </c>
      <c r="C10272">
        <f>IF(VLOOKUP(Table7[[#This Row],[Date]],Database!$A:$C,MATCH($C$1,Database!$A$1:$C$1,),)=0,#N/A,VLOOKUP(Table7[[#This Row],[Date]],Database!$A:$C,MATCH($C$1,Database!$A$1:$C$1,),))</f>
        <v/>
      </c>
      <c r="D10272">
        <f>IFERROR(Table7[[#This Row],[United States 10y]]-Table7[[#This Row],[United States 3y]],#N/A)</f>
        <v/>
      </c>
    </row>
    <row r="10273">
      <c r="A10273" s="6">
        <f>Database!$A12358</f>
        <v/>
      </c>
      <c r="B10273">
        <f>IF(VLOOKUP(Table7[[#This Row],[Date]],Database!$A:$C,MATCH($B$1,Database!$A$1:$C$1,),)=0,#N/A,VLOOKUP(Table7[[#This Row],[Date]],Database!$A:$C,MATCH($B$1,Database!$A$1:$C$1,),))</f>
        <v/>
      </c>
      <c r="C10273">
        <f>IF(VLOOKUP(Table7[[#This Row],[Date]],Database!$A:$C,MATCH($C$1,Database!$A$1:$C$1,),)=0,#N/A,VLOOKUP(Table7[[#This Row],[Date]],Database!$A:$C,MATCH($C$1,Database!$A$1:$C$1,),))</f>
        <v/>
      </c>
      <c r="D10273">
        <f>IFERROR(Table7[[#This Row],[United States 10y]]-Table7[[#This Row],[United States 3y]],#N/A)</f>
        <v/>
      </c>
    </row>
    <row r="10274">
      <c r="A10274" s="6">
        <f>Database!$A12359</f>
        <v/>
      </c>
      <c r="B10274">
        <f>IF(VLOOKUP(Table7[[#This Row],[Date]],Database!$A:$C,MATCH($B$1,Database!$A$1:$C$1,),)=0,#N/A,VLOOKUP(Table7[[#This Row],[Date]],Database!$A:$C,MATCH($B$1,Database!$A$1:$C$1,),))</f>
        <v/>
      </c>
      <c r="C10274">
        <f>IF(VLOOKUP(Table7[[#This Row],[Date]],Database!$A:$C,MATCH($C$1,Database!$A$1:$C$1,),)=0,#N/A,VLOOKUP(Table7[[#This Row],[Date]],Database!$A:$C,MATCH($C$1,Database!$A$1:$C$1,),))</f>
        <v/>
      </c>
      <c r="D10274">
        <f>IFERROR(Table7[[#This Row],[United States 10y]]-Table7[[#This Row],[United States 3y]],#N/A)</f>
        <v/>
      </c>
    </row>
    <row r="10275">
      <c r="A10275" s="6">
        <f>Database!$A12360</f>
        <v/>
      </c>
      <c r="B10275">
        <f>IF(VLOOKUP(Table7[[#This Row],[Date]],Database!$A:$C,MATCH($B$1,Database!$A$1:$C$1,),)=0,#N/A,VLOOKUP(Table7[[#This Row],[Date]],Database!$A:$C,MATCH($B$1,Database!$A$1:$C$1,),))</f>
        <v/>
      </c>
      <c r="C10275">
        <f>IF(VLOOKUP(Table7[[#This Row],[Date]],Database!$A:$C,MATCH($C$1,Database!$A$1:$C$1,),)=0,#N/A,VLOOKUP(Table7[[#This Row],[Date]],Database!$A:$C,MATCH($C$1,Database!$A$1:$C$1,),))</f>
        <v/>
      </c>
      <c r="D10275">
        <f>IFERROR(Table7[[#This Row],[United States 10y]]-Table7[[#This Row],[United States 3y]],#N/A)</f>
        <v/>
      </c>
    </row>
    <row r="10276">
      <c r="A10276" s="6">
        <f>Database!$A12361</f>
        <v/>
      </c>
      <c r="B10276">
        <f>IF(VLOOKUP(Table7[[#This Row],[Date]],Database!$A:$C,MATCH($B$1,Database!$A$1:$C$1,),)=0,#N/A,VLOOKUP(Table7[[#This Row],[Date]],Database!$A:$C,MATCH($B$1,Database!$A$1:$C$1,),))</f>
        <v/>
      </c>
      <c r="C10276">
        <f>IF(VLOOKUP(Table7[[#This Row],[Date]],Database!$A:$C,MATCH($C$1,Database!$A$1:$C$1,),)=0,#N/A,VLOOKUP(Table7[[#This Row],[Date]],Database!$A:$C,MATCH($C$1,Database!$A$1:$C$1,),))</f>
        <v/>
      </c>
      <c r="D10276">
        <f>IFERROR(Table7[[#This Row],[United States 10y]]-Table7[[#This Row],[United States 3y]],#N/A)</f>
        <v/>
      </c>
    </row>
    <row r="10277">
      <c r="A10277" s="6">
        <f>Database!$A12362</f>
        <v/>
      </c>
      <c r="B10277">
        <f>IF(VLOOKUP(Table7[[#This Row],[Date]],Database!$A:$C,MATCH($B$1,Database!$A$1:$C$1,),)=0,#N/A,VLOOKUP(Table7[[#This Row],[Date]],Database!$A:$C,MATCH($B$1,Database!$A$1:$C$1,),))</f>
        <v/>
      </c>
      <c r="C10277">
        <f>IF(VLOOKUP(Table7[[#This Row],[Date]],Database!$A:$C,MATCH($C$1,Database!$A$1:$C$1,),)=0,#N/A,VLOOKUP(Table7[[#This Row],[Date]],Database!$A:$C,MATCH($C$1,Database!$A$1:$C$1,),))</f>
        <v/>
      </c>
      <c r="D10277">
        <f>IFERROR(Table7[[#This Row],[United States 10y]]-Table7[[#This Row],[United States 3y]],#N/A)</f>
        <v/>
      </c>
    </row>
    <row r="10278">
      <c r="A10278" s="6">
        <f>Database!$A12363</f>
        <v/>
      </c>
      <c r="B10278">
        <f>IF(VLOOKUP(Table7[[#This Row],[Date]],Database!$A:$C,MATCH($B$1,Database!$A$1:$C$1,),)=0,#N/A,VLOOKUP(Table7[[#This Row],[Date]],Database!$A:$C,MATCH($B$1,Database!$A$1:$C$1,),))</f>
        <v/>
      </c>
      <c r="C10278">
        <f>IF(VLOOKUP(Table7[[#This Row],[Date]],Database!$A:$C,MATCH($C$1,Database!$A$1:$C$1,),)=0,#N/A,VLOOKUP(Table7[[#This Row],[Date]],Database!$A:$C,MATCH($C$1,Database!$A$1:$C$1,),))</f>
        <v/>
      </c>
      <c r="D10278">
        <f>IFERROR(Table7[[#This Row],[United States 10y]]-Table7[[#This Row],[United States 3y]],#N/A)</f>
        <v/>
      </c>
    </row>
    <row r="10279">
      <c r="A10279" s="6">
        <f>Database!$A12364</f>
        <v/>
      </c>
      <c r="B10279">
        <f>IF(VLOOKUP(Table7[[#This Row],[Date]],Database!$A:$C,MATCH($B$1,Database!$A$1:$C$1,),)=0,#N/A,VLOOKUP(Table7[[#This Row],[Date]],Database!$A:$C,MATCH($B$1,Database!$A$1:$C$1,),))</f>
        <v/>
      </c>
      <c r="C10279">
        <f>IF(VLOOKUP(Table7[[#This Row],[Date]],Database!$A:$C,MATCH($C$1,Database!$A$1:$C$1,),)=0,#N/A,VLOOKUP(Table7[[#This Row],[Date]],Database!$A:$C,MATCH($C$1,Database!$A$1:$C$1,),))</f>
        <v/>
      </c>
      <c r="D10279">
        <f>IFERROR(Table7[[#This Row],[United States 10y]]-Table7[[#This Row],[United States 3y]],#N/A)</f>
        <v/>
      </c>
    </row>
    <row r="10280">
      <c r="A10280" s="6">
        <f>Database!$A12365</f>
        <v/>
      </c>
      <c r="B10280">
        <f>IF(VLOOKUP(Table7[[#This Row],[Date]],Database!$A:$C,MATCH($B$1,Database!$A$1:$C$1,),)=0,#N/A,VLOOKUP(Table7[[#This Row],[Date]],Database!$A:$C,MATCH($B$1,Database!$A$1:$C$1,),))</f>
        <v/>
      </c>
      <c r="C10280">
        <f>IF(VLOOKUP(Table7[[#This Row],[Date]],Database!$A:$C,MATCH($C$1,Database!$A$1:$C$1,),)=0,#N/A,VLOOKUP(Table7[[#This Row],[Date]],Database!$A:$C,MATCH($C$1,Database!$A$1:$C$1,),))</f>
        <v/>
      </c>
      <c r="D10280">
        <f>IFERROR(Table7[[#This Row],[United States 10y]]-Table7[[#This Row],[United States 3y]],#N/A)</f>
        <v/>
      </c>
    </row>
    <row r="10281">
      <c r="A10281" s="6">
        <f>Database!$A12366</f>
        <v/>
      </c>
      <c r="B10281">
        <f>IF(VLOOKUP(Table7[[#This Row],[Date]],Database!$A:$C,MATCH($B$1,Database!$A$1:$C$1,),)=0,#N/A,VLOOKUP(Table7[[#This Row],[Date]],Database!$A:$C,MATCH($B$1,Database!$A$1:$C$1,),))</f>
        <v/>
      </c>
      <c r="C10281">
        <f>IF(VLOOKUP(Table7[[#This Row],[Date]],Database!$A:$C,MATCH($C$1,Database!$A$1:$C$1,),)=0,#N/A,VLOOKUP(Table7[[#This Row],[Date]],Database!$A:$C,MATCH($C$1,Database!$A$1:$C$1,),))</f>
        <v/>
      </c>
      <c r="D10281">
        <f>IFERROR(Table7[[#This Row],[United States 10y]]-Table7[[#This Row],[United States 3y]],#N/A)</f>
        <v/>
      </c>
    </row>
    <row r="10282">
      <c r="A10282" s="6">
        <f>Database!$A12367</f>
        <v/>
      </c>
      <c r="B10282">
        <f>IF(VLOOKUP(Table7[[#This Row],[Date]],Database!$A:$C,MATCH($B$1,Database!$A$1:$C$1,),)=0,#N/A,VLOOKUP(Table7[[#This Row],[Date]],Database!$A:$C,MATCH($B$1,Database!$A$1:$C$1,),))</f>
        <v/>
      </c>
      <c r="C10282">
        <f>IF(VLOOKUP(Table7[[#This Row],[Date]],Database!$A:$C,MATCH($C$1,Database!$A$1:$C$1,),)=0,#N/A,VLOOKUP(Table7[[#This Row],[Date]],Database!$A:$C,MATCH($C$1,Database!$A$1:$C$1,),))</f>
        <v/>
      </c>
      <c r="D10282">
        <f>IFERROR(Table7[[#This Row],[United States 10y]]-Table7[[#This Row],[United States 3y]],#N/A)</f>
        <v/>
      </c>
    </row>
    <row r="10283">
      <c r="A10283" s="6">
        <f>Database!$A12368</f>
        <v/>
      </c>
      <c r="B10283">
        <f>IF(VLOOKUP(Table7[[#This Row],[Date]],Database!$A:$C,MATCH($B$1,Database!$A$1:$C$1,),)=0,#N/A,VLOOKUP(Table7[[#This Row],[Date]],Database!$A:$C,MATCH($B$1,Database!$A$1:$C$1,),))</f>
        <v/>
      </c>
      <c r="C10283">
        <f>IF(VLOOKUP(Table7[[#This Row],[Date]],Database!$A:$C,MATCH($C$1,Database!$A$1:$C$1,),)=0,#N/A,VLOOKUP(Table7[[#This Row],[Date]],Database!$A:$C,MATCH($C$1,Database!$A$1:$C$1,),))</f>
        <v/>
      </c>
      <c r="D10283">
        <f>IFERROR(Table7[[#This Row],[United States 10y]]-Table7[[#This Row],[United States 3y]],#N/A)</f>
        <v/>
      </c>
    </row>
    <row r="10284">
      <c r="A10284" s="6">
        <f>Database!$A12369</f>
        <v/>
      </c>
      <c r="B10284">
        <f>IF(VLOOKUP(Table7[[#This Row],[Date]],Database!$A:$C,MATCH($B$1,Database!$A$1:$C$1,),)=0,#N/A,VLOOKUP(Table7[[#This Row],[Date]],Database!$A:$C,MATCH($B$1,Database!$A$1:$C$1,),))</f>
        <v/>
      </c>
      <c r="C10284">
        <f>IF(VLOOKUP(Table7[[#This Row],[Date]],Database!$A:$C,MATCH($C$1,Database!$A$1:$C$1,),)=0,#N/A,VLOOKUP(Table7[[#This Row],[Date]],Database!$A:$C,MATCH($C$1,Database!$A$1:$C$1,),))</f>
        <v/>
      </c>
      <c r="D10284">
        <f>IFERROR(Table7[[#This Row],[United States 10y]]-Table7[[#This Row],[United States 3y]],#N/A)</f>
        <v/>
      </c>
    </row>
    <row r="10285">
      <c r="A10285" s="6">
        <f>Database!$A12370</f>
        <v/>
      </c>
      <c r="B10285">
        <f>IF(VLOOKUP(Table7[[#This Row],[Date]],Database!$A:$C,MATCH($B$1,Database!$A$1:$C$1,),)=0,#N/A,VLOOKUP(Table7[[#This Row],[Date]],Database!$A:$C,MATCH($B$1,Database!$A$1:$C$1,),))</f>
        <v/>
      </c>
      <c r="C10285">
        <f>IF(VLOOKUP(Table7[[#This Row],[Date]],Database!$A:$C,MATCH($C$1,Database!$A$1:$C$1,),)=0,#N/A,VLOOKUP(Table7[[#This Row],[Date]],Database!$A:$C,MATCH($C$1,Database!$A$1:$C$1,),))</f>
        <v/>
      </c>
      <c r="D10285">
        <f>IFERROR(Table7[[#This Row],[United States 10y]]-Table7[[#This Row],[United States 3y]],#N/A)</f>
        <v/>
      </c>
    </row>
    <row r="10286">
      <c r="A10286" s="6">
        <f>Database!$A12371</f>
        <v/>
      </c>
      <c r="B10286">
        <f>IF(VLOOKUP(Table7[[#This Row],[Date]],Database!$A:$C,MATCH($B$1,Database!$A$1:$C$1,),)=0,#N/A,VLOOKUP(Table7[[#This Row],[Date]],Database!$A:$C,MATCH($B$1,Database!$A$1:$C$1,),))</f>
        <v/>
      </c>
      <c r="C10286">
        <f>IF(VLOOKUP(Table7[[#This Row],[Date]],Database!$A:$C,MATCH($C$1,Database!$A$1:$C$1,),)=0,#N/A,VLOOKUP(Table7[[#This Row],[Date]],Database!$A:$C,MATCH($C$1,Database!$A$1:$C$1,),))</f>
        <v/>
      </c>
      <c r="D10286">
        <f>IFERROR(Table7[[#This Row],[United States 10y]]-Table7[[#This Row],[United States 3y]],#N/A)</f>
        <v/>
      </c>
    </row>
    <row r="10287">
      <c r="A10287" s="6">
        <f>Database!$A12372</f>
        <v/>
      </c>
      <c r="B10287">
        <f>IF(VLOOKUP(Table7[[#This Row],[Date]],Database!$A:$C,MATCH($B$1,Database!$A$1:$C$1,),)=0,#N/A,VLOOKUP(Table7[[#This Row],[Date]],Database!$A:$C,MATCH($B$1,Database!$A$1:$C$1,),))</f>
        <v/>
      </c>
      <c r="C10287">
        <f>IF(VLOOKUP(Table7[[#This Row],[Date]],Database!$A:$C,MATCH($C$1,Database!$A$1:$C$1,),)=0,#N/A,VLOOKUP(Table7[[#This Row],[Date]],Database!$A:$C,MATCH($C$1,Database!$A$1:$C$1,),))</f>
        <v/>
      </c>
      <c r="D10287">
        <f>IFERROR(Table7[[#This Row],[United States 10y]]-Table7[[#This Row],[United States 3y]],#N/A)</f>
        <v/>
      </c>
    </row>
    <row r="10288">
      <c r="A10288" s="6">
        <f>Database!$A12373</f>
        <v/>
      </c>
      <c r="B10288">
        <f>IF(VLOOKUP(Table7[[#This Row],[Date]],Database!$A:$C,MATCH($B$1,Database!$A$1:$C$1,),)=0,#N/A,VLOOKUP(Table7[[#This Row],[Date]],Database!$A:$C,MATCH($B$1,Database!$A$1:$C$1,),))</f>
        <v/>
      </c>
      <c r="C10288">
        <f>IF(VLOOKUP(Table7[[#This Row],[Date]],Database!$A:$C,MATCH($C$1,Database!$A$1:$C$1,),)=0,#N/A,VLOOKUP(Table7[[#This Row],[Date]],Database!$A:$C,MATCH($C$1,Database!$A$1:$C$1,),))</f>
        <v/>
      </c>
      <c r="D10288">
        <f>IFERROR(Table7[[#This Row],[United States 10y]]-Table7[[#This Row],[United States 3y]],#N/A)</f>
        <v/>
      </c>
    </row>
    <row r="10289">
      <c r="A10289" s="6">
        <f>Database!$A12374</f>
        <v/>
      </c>
      <c r="B10289">
        <f>IF(VLOOKUP(Table7[[#This Row],[Date]],Database!$A:$C,MATCH($B$1,Database!$A$1:$C$1,),)=0,#N/A,VLOOKUP(Table7[[#This Row],[Date]],Database!$A:$C,MATCH($B$1,Database!$A$1:$C$1,),))</f>
        <v/>
      </c>
      <c r="C10289">
        <f>IF(VLOOKUP(Table7[[#This Row],[Date]],Database!$A:$C,MATCH($C$1,Database!$A$1:$C$1,),)=0,#N/A,VLOOKUP(Table7[[#This Row],[Date]],Database!$A:$C,MATCH($C$1,Database!$A$1:$C$1,),))</f>
        <v/>
      </c>
      <c r="D10289">
        <f>IFERROR(Table7[[#This Row],[United States 10y]]-Table7[[#This Row],[United States 3y]],#N/A)</f>
        <v/>
      </c>
    </row>
    <row r="10290">
      <c r="A10290" s="6">
        <f>Database!$A12375</f>
        <v/>
      </c>
      <c r="B10290">
        <f>IF(VLOOKUP(Table7[[#This Row],[Date]],Database!$A:$C,MATCH($B$1,Database!$A$1:$C$1,),)=0,#N/A,VLOOKUP(Table7[[#This Row],[Date]],Database!$A:$C,MATCH($B$1,Database!$A$1:$C$1,),))</f>
        <v/>
      </c>
      <c r="C10290">
        <f>IF(VLOOKUP(Table7[[#This Row],[Date]],Database!$A:$C,MATCH($C$1,Database!$A$1:$C$1,),)=0,#N/A,VLOOKUP(Table7[[#This Row],[Date]],Database!$A:$C,MATCH($C$1,Database!$A$1:$C$1,),))</f>
        <v/>
      </c>
      <c r="D10290">
        <f>IFERROR(Table7[[#This Row],[United States 10y]]-Table7[[#This Row],[United States 3y]],#N/A)</f>
        <v/>
      </c>
    </row>
    <row r="10291">
      <c r="A10291" s="6">
        <f>Database!$A12376</f>
        <v/>
      </c>
      <c r="B10291">
        <f>IF(VLOOKUP(Table7[[#This Row],[Date]],Database!$A:$C,MATCH($B$1,Database!$A$1:$C$1,),)=0,#N/A,VLOOKUP(Table7[[#This Row],[Date]],Database!$A:$C,MATCH($B$1,Database!$A$1:$C$1,),))</f>
        <v/>
      </c>
      <c r="C10291">
        <f>IF(VLOOKUP(Table7[[#This Row],[Date]],Database!$A:$C,MATCH($C$1,Database!$A$1:$C$1,),)=0,#N/A,VLOOKUP(Table7[[#This Row],[Date]],Database!$A:$C,MATCH($C$1,Database!$A$1:$C$1,),))</f>
        <v/>
      </c>
      <c r="D10291">
        <f>IFERROR(Table7[[#This Row],[United States 10y]]-Table7[[#This Row],[United States 3y]],#N/A)</f>
        <v/>
      </c>
    </row>
    <row r="10292">
      <c r="A10292" s="6">
        <f>Database!$A12377</f>
        <v/>
      </c>
      <c r="B10292">
        <f>IF(VLOOKUP(Table7[[#This Row],[Date]],Database!$A:$C,MATCH($B$1,Database!$A$1:$C$1,),)=0,#N/A,VLOOKUP(Table7[[#This Row],[Date]],Database!$A:$C,MATCH($B$1,Database!$A$1:$C$1,),))</f>
        <v/>
      </c>
      <c r="C10292">
        <f>IF(VLOOKUP(Table7[[#This Row],[Date]],Database!$A:$C,MATCH($C$1,Database!$A$1:$C$1,),)=0,#N/A,VLOOKUP(Table7[[#This Row],[Date]],Database!$A:$C,MATCH($C$1,Database!$A$1:$C$1,),))</f>
        <v/>
      </c>
      <c r="D10292">
        <f>IFERROR(Table7[[#This Row],[United States 10y]]-Table7[[#This Row],[United States 3y]],#N/A)</f>
        <v/>
      </c>
    </row>
    <row r="10293">
      <c r="A10293" s="6">
        <f>Database!$A12378</f>
        <v/>
      </c>
      <c r="B10293">
        <f>IF(VLOOKUP(Table7[[#This Row],[Date]],Database!$A:$C,MATCH($B$1,Database!$A$1:$C$1,),)=0,#N/A,VLOOKUP(Table7[[#This Row],[Date]],Database!$A:$C,MATCH($B$1,Database!$A$1:$C$1,),))</f>
        <v/>
      </c>
      <c r="C10293">
        <f>IF(VLOOKUP(Table7[[#This Row],[Date]],Database!$A:$C,MATCH($C$1,Database!$A$1:$C$1,),)=0,#N/A,VLOOKUP(Table7[[#This Row],[Date]],Database!$A:$C,MATCH($C$1,Database!$A$1:$C$1,),))</f>
        <v/>
      </c>
      <c r="D10293">
        <f>IFERROR(Table7[[#This Row],[United States 10y]]-Table7[[#This Row],[United States 3y]],#N/A)</f>
        <v/>
      </c>
    </row>
    <row r="10294">
      <c r="A10294" s="6">
        <f>Database!$A12379</f>
        <v/>
      </c>
      <c r="B10294">
        <f>IF(VLOOKUP(Table7[[#This Row],[Date]],Database!$A:$C,MATCH($B$1,Database!$A$1:$C$1,),)=0,#N/A,VLOOKUP(Table7[[#This Row],[Date]],Database!$A:$C,MATCH($B$1,Database!$A$1:$C$1,),))</f>
        <v/>
      </c>
      <c r="C10294">
        <f>IF(VLOOKUP(Table7[[#This Row],[Date]],Database!$A:$C,MATCH($C$1,Database!$A$1:$C$1,),)=0,#N/A,VLOOKUP(Table7[[#This Row],[Date]],Database!$A:$C,MATCH($C$1,Database!$A$1:$C$1,),))</f>
        <v/>
      </c>
      <c r="D10294">
        <f>IFERROR(Table7[[#This Row],[United States 10y]]-Table7[[#This Row],[United States 3y]],#N/A)</f>
        <v/>
      </c>
    </row>
    <row r="10295">
      <c r="A10295" s="6">
        <f>Database!$A12380</f>
        <v/>
      </c>
      <c r="B10295">
        <f>IF(VLOOKUP(Table7[[#This Row],[Date]],Database!$A:$C,MATCH($B$1,Database!$A$1:$C$1,),)=0,#N/A,VLOOKUP(Table7[[#This Row],[Date]],Database!$A:$C,MATCH($B$1,Database!$A$1:$C$1,),))</f>
        <v/>
      </c>
      <c r="C10295">
        <f>IF(VLOOKUP(Table7[[#This Row],[Date]],Database!$A:$C,MATCH($C$1,Database!$A$1:$C$1,),)=0,#N/A,VLOOKUP(Table7[[#This Row],[Date]],Database!$A:$C,MATCH($C$1,Database!$A$1:$C$1,),))</f>
        <v/>
      </c>
      <c r="D10295">
        <f>IFERROR(Table7[[#This Row],[United States 10y]]-Table7[[#This Row],[United States 3y]],#N/A)</f>
        <v/>
      </c>
    </row>
    <row r="10296">
      <c r="A10296" s="6">
        <f>Database!$A12381</f>
        <v/>
      </c>
      <c r="B10296">
        <f>IF(VLOOKUP(Table7[[#This Row],[Date]],Database!$A:$C,MATCH($B$1,Database!$A$1:$C$1,),)=0,#N/A,VLOOKUP(Table7[[#This Row],[Date]],Database!$A:$C,MATCH($B$1,Database!$A$1:$C$1,),))</f>
        <v/>
      </c>
      <c r="C10296">
        <f>IF(VLOOKUP(Table7[[#This Row],[Date]],Database!$A:$C,MATCH($C$1,Database!$A$1:$C$1,),)=0,#N/A,VLOOKUP(Table7[[#This Row],[Date]],Database!$A:$C,MATCH($C$1,Database!$A$1:$C$1,),))</f>
        <v/>
      </c>
      <c r="D10296">
        <f>IFERROR(Table7[[#This Row],[United States 10y]]-Table7[[#This Row],[United States 3y]],#N/A)</f>
        <v/>
      </c>
    </row>
    <row r="10297">
      <c r="A10297" s="6">
        <f>Database!$A12382</f>
        <v/>
      </c>
      <c r="B10297">
        <f>IF(VLOOKUP(Table7[[#This Row],[Date]],Database!$A:$C,MATCH($B$1,Database!$A$1:$C$1,),)=0,#N/A,VLOOKUP(Table7[[#This Row],[Date]],Database!$A:$C,MATCH($B$1,Database!$A$1:$C$1,),))</f>
        <v/>
      </c>
      <c r="C10297">
        <f>IF(VLOOKUP(Table7[[#This Row],[Date]],Database!$A:$C,MATCH($C$1,Database!$A$1:$C$1,),)=0,#N/A,VLOOKUP(Table7[[#This Row],[Date]],Database!$A:$C,MATCH($C$1,Database!$A$1:$C$1,),))</f>
        <v/>
      </c>
      <c r="D10297">
        <f>IFERROR(Table7[[#This Row],[United States 10y]]-Table7[[#This Row],[United States 3y]],#N/A)</f>
        <v/>
      </c>
    </row>
    <row r="10298">
      <c r="A10298" s="6">
        <f>Database!$A12383</f>
        <v/>
      </c>
      <c r="B10298">
        <f>IF(VLOOKUP(Table7[[#This Row],[Date]],Database!$A:$C,MATCH($B$1,Database!$A$1:$C$1,),)=0,#N/A,VLOOKUP(Table7[[#This Row],[Date]],Database!$A:$C,MATCH($B$1,Database!$A$1:$C$1,),))</f>
        <v/>
      </c>
      <c r="C10298">
        <f>IF(VLOOKUP(Table7[[#This Row],[Date]],Database!$A:$C,MATCH($C$1,Database!$A$1:$C$1,),)=0,#N/A,VLOOKUP(Table7[[#This Row],[Date]],Database!$A:$C,MATCH($C$1,Database!$A$1:$C$1,),))</f>
        <v/>
      </c>
      <c r="D10298">
        <f>IFERROR(Table7[[#This Row],[United States 10y]]-Table7[[#This Row],[United States 3y]],#N/A)</f>
        <v/>
      </c>
    </row>
    <row r="10299">
      <c r="A10299" s="6">
        <f>Database!$A12384</f>
        <v/>
      </c>
      <c r="B10299">
        <f>IF(VLOOKUP(Table7[[#This Row],[Date]],Database!$A:$C,MATCH($B$1,Database!$A$1:$C$1,),)=0,#N/A,VLOOKUP(Table7[[#This Row],[Date]],Database!$A:$C,MATCH($B$1,Database!$A$1:$C$1,),))</f>
        <v/>
      </c>
      <c r="C10299">
        <f>IF(VLOOKUP(Table7[[#This Row],[Date]],Database!$A:$C,MATCH($C$1,Database!$A$1:$C$1,),)=0,#N/A,VLOOKUP(Table7[[#This Row],[Date]],Database!$A:$C,MATCH($C$1,Database!$A$1:$C$1,),))</f>
        <v/>
      </c>
      <c r="D10299">
        <f>IFERROR(Table7[[#This Row],[United States 10y]]-Table7[[#This Row],[United States 3y]],#N/A)</f>
        <v/>
      </c>
    </row>
    <row r="10300">
      <c r="A10300" s="6">
        <f>Database!$A12385</f>
        <v/>
      </c>
      <c r="B10300">
        <f>IF(VLOOKUP(Table7[[#This Row],[Date]],Database!$A:$C,MATCH($B$1,Database!$A$1:$C$1,),)=0,#N/A,VLOOKUP(Table7[[#This Row],[Date]],Database!$A:$C,MATCH($B$1,Database!$A$1:$C$1,),))</f>
        <v/>
      </c>
      <c r="C10300">
        <f>IF(VLOOKUP(Table7[[#This Row],[Date]],Database!$A:$C,MATCH($C$1,Database!$A$1:$C$1,),)=0,#N/A,VLOOKUP(Table7[[#This Row],[Date]],Database!$A:$C,MATCH($C$1,Database!$A$1:$C$1,),))</f>
        <v/>
      </c>
      <c r="D10300">
        <f>IFERROR(Table7[[#This Row],[United States 10y]]-Table7[[#This Row],[United States 3y]],#N/A)</f>
        <v/>
      </c>
    </row>
    <row r="10301">
      <c r="A10301" s="6">
        <f>Database!$A12386</f>
        <v/>
      </c>
      <c r="B10301">
        <f>IF(VLOOKUP(Table7[[#This Row],[Date]],Database!$A:$C,MATCH($B$1,Database!$A$1:$C$1,),)=0,#N/A,VLOOKUP(Table7[[#This Row],[Date]],Database!$A:$C,MATCH($B$1,Database!$A$1:$C$1,),))</f>
        <v/>
      </c>
      <c r="C10301">
        <f>IF(VLOOKUP(Table7[[#This Row],[Date]],Database!$A:$C,MATCH($C$1,Database!$A$1:$C$1,),)=0,#N/A,VLOOKUP(Table7[[#This Row],[Date]],Database!$A:$C,MATCH($C$1,Database!$A$1:$C$1,),))</f>
        <v/>
      </c>
      <c r="D10301">
        <f>IFERROR(Table7[[#This Row],[United States 10y]]-Table7[[#This Row],[United States 3y]],#N/A)</f>
        <v/>
      </c>
    </row>
    <row r="10302">
      <c r="A10302" s="6">
        <f>Database!$A12387</f>
        <v/>
      </c>
      <c r="B10302">
        <f>IF(VLOOKUP(Table7[[#This Row],[Date]],Database!$A:$C,MATCH($B$1,Database!$A$1:$C$1,),)=0,#N/A,VLOOKUP(Table7[[#This Row],[Date]],Database!$A:$C,MATCH($B$1,Database!$A$1:$C$1,),))</f>
        <v/>
      </c>
      <c r="C10302">
        <f>IF(VLOOKUP(Table7[[#This Row],[Date]],Database!$A:$C,MATCH($C$1,Database!$A$1:$C$1,),)=0,#N/A,VLOOKUP(Table7[[#This Row],[Date]],Database!$A:$C,MATCH($C$1,Database!$A$1:$C$1,),))</f>
        <v/>
      </c>
      <c r="D10302">
        <f>IFERROR(Table7[[#This Row],[United States 10y]]-Table7[[#This Row],[United States 3y]],#N/A)</f>
        <v/>
      </c>
    </row>
    <row r="10303">
      <c r="A10303" s="6">
        <f>Database!$A12388</f>
        <v/>
      </c>
      <c r="B10303">
        <f>IF(VLOOKUP(Table7[[#This Row],[Date]],Database!$A:$C,MATCH($B$1,Database!$A$1:$C$1,),)=0,#N/A,VLOOKUP(Table7[[#This Row],[Date]],Database!$A:$C,MATCH($B$1,Database!$A$1:$C$1,),))</f>
        <v/>
      </c>
      <c r="C10303">
        <f>IF(VLOOKUP(Table7[[#This Row],[Date]],Database!$A:$C,MATCH($C$1,Database!$A$1:$C$1,),)=0,#N/A,VLOOKUP(Table7[[#This Row],[Date]],Database!$A:$C,MATCH($C$1,Database!$A$1:$C$1,),))</f>
        <v/>
      </c>
      <c r="D10303">
        <f>IFERROR(Table7[[#This Row],[United States 10y]]-Table7[[#This Row],[United States 3y]],#N/A)</f>
        <v/>
      </c>
    </row>
    <row r="10304">
      <c r="A10304" s="6">
        <f>Database!$A12389</f>
        <v/>
      </c>
      <c r="B10304">
        <f>IF(VLOOKUP(Table7[[#This Row],[Date]],Database!$A:$C,MATCH($B$1,Database!$A$1:$C$1,),)=0,#N/A,VLOOKUP(Table7[[#This Row],[Date]],Database!$A:$C,MATCH($B$1,Database!$A$1:$C$1,),))</f>
        <v/>
      </c>
      <c r="C10304">
        <f>IF(VLOOKUP(Table7[[#This Row],[Date]],Database!$A:$C,MATCH($C$1,Database!$A$1:$C$1,),)=0,#N/A,VLOOKUP(Table7[[#This Row],[Date]],Database!$A:$C,MATCH($C$1,Database!$A$1:$C$1,),))</f>
        <v/>
      </c>
      <c r="D10304">
        <f>IFERROR(Table7[[#This Row],[United States 10y]]-Table7[[#This Row],[United States 3y]],#N/A)</f>
        <v/>
      </c>
    </row>
    <row r="10305">
      <c r="A10305" s="6">
        <f>Database!$A12390</f>
        <v/>
      </c>
      <c r="B10305">
        <f>IF(VLOOKUP(Table7[[#This Row],[Date]],Database!$A:$C,MATCH($B$1,Database!$A$1:$C$1,),)=0,#N/A,VLOOKUP(Table7[[#This Row],[Date]],Database!$A:$C,MATCH($B$1,Database!$A$1:$C$1,),))</f>
        <v/>
      </c>
      <c r="C10305">
        <f>IF(VLOOKUP(Table7[[#This Row],[Date]],Database!$A:$C,MATCH($C$1,Database!$A$1:$C$1,),)=0,#N/A,VLOOKUP(Table7[[#This Row],[Date]],Database!$A:$C,MATCH($C$1,Database!$A$1:$C$1,),))</f>
        <v/>
      </c>
      <c r="D10305">
        <f>IFERROR(Table7[[#This Row],[United States 10y]]-Table7[[#This Row],[United States 3y]],#N/A)</f>
        <v/>
      </c>
    </row>
    <row r="10306">
      <c r="A10306" s="6">
        <f>Database!$A12391</f>
        <v/>
      </c>
      <c r="B10306">
        <f>IF(VLOOKUP(Table7[[#This Row],[Date]],Database!$A:$C,MATCH($B$1,Database!$A$1:$C$1,),)=0,#N/A,VLOOKUP(Table7[[#This Row],[Date]],Database!$A:$C,MATCH($B$1,Database!$A$1:$C$1,),))</f>
        <v/>
      </c>
      <c r="C10306">
        <f>IF(VLOOKUP(Table7[[#This Row],[Date]],Database!$A:$C,MATCH($C$1,Database!$A$1:$C$1,),)=0,#N/A,VLOOKUP(Table7[[#This Row],[Date]],Database!$A:$C,MATCH($C$1,Database!$A$1:$C$1,),))</f>
        <v/>
      </c>
      <c r="D10306">
        <f>IFERROR(Table7[[#This Row],[United States 10y]]-Table7[[#This Row],[United States 3y]],#N/A)</f>
        <v/>
      </c>
    </row>
    <row r="10307">
      <c r="A10307" s="6">
        <f>Database!$A12392</f>
        <v/>
      </c>
      <c r="B10307">
        <f>IF(VLOOKUP(Table7[[#This Row],[Date]],Database!$A:$C,MATCH($B$1,Database!$A$1:$C$1,),)=0,#N/A,VLOOKUP(Table7[[#This Row],[Date]],Database!$A:$C,MATCH($B$1,Database!$A$1:$C$1,),))</f>
        <v/>
      </c>
      <c r="C10307">
        <f>IF(VLOOKUP(Table7[[#This Row],[Date]],Database!$A:$C,MATCH($C$1,Database!$A$1:$C$1,),)=0,#N/A,VLOOKUP(Table7[[#This Row],[Date]],Database!$A:$C,MATCH($C$1,Database!$A$1:$C$1,),))</f>
        <v/>
      </c>
      <c r="D10307">
        <f>IFERROR(Table7[[#This Row],[United States 10y]]-Table7[[#This Row],[United States 3y]],#N/A)</f>
        <v/>
      </c>
    </row>
    <row r="10308">
      <c r="A10308" s="6">
        <f>Database!$A12393</f>
        <v/>
      </c>
      <c r="B10308">
        <f>IF(VLOOKUP(Table7[[#This Row],[Date]],Database!$A:$C,MATCH($B$1,Database!$A$1:$C$1,),)=0,#N/A,VLOOKUP(Table7[[#This Row],[Date]],Database!$A:$C,MATCH($B$1,Database!$A$1:$C$1,),))</f>
        <v/>
      </c>
      <c r="C10308">
        <f>IF(VLOOKUP(Table7[[#This Row],[Date]],Database!$A:$C,MATCH($C$1,Database!$A$1:$C$1,),)=0,#N/A,VLOOKUP(Table7[[#This Row],[Date]],Database!$A:$C,MATCH($C$1,Database!$A$1:$C$1,),))</f>
        <v/>
      </c>
      <c r="D10308">
        <f>IFERROR(Table7[[#This Row],[United States 10y]]-Table7[[#This Row],[United States 3y]],#N/A)</f>
        <v/>
      </c>
    </row>
    <row r="10309">
      <c r="A10309" s="6">
        <f>Database!$A12394</f>
        <v/>
      </c>
      <c r="B10309">
        <f>IF(VLOOKUP(Table7[[#This Row],[Date]],Database!$A:$C,MATCH($B$1,Database!$A$1:$C$1,),)=0,#N/A,VLOOKUP(Table7[[#This Row],[Date]],Database!$A:$C,MATCH($B$1,Database!$A$1:$C$1,),))</f>
        <v/>
      </c>
      <c r="C10309">
        <f>IF(VLOOKUP(Table7[[#This Row],[Date]],Database!$A:$C,MATCH($C$1,Database!$A$1:$C$1,),)=0,#N/A,VLOOKUP(Table7[[#This Row],[Date]],Database!$A:$C,MATCH($C$1,Database!$A$1:$C$1,),))</f>
        <v/>
      </c>
      <c r="D10309">
        <f>IFERROR(Table7[[#This Row],[United States 10y]]-Table7[[#This Row],[United States 3y]],#N/A)</f>
        <v/>
      </c>
    </row>
    <row r="10310">
      <c r="A10310" s="6">
        <f>Database!$A12395</f>
        <v/>
      </c>
      <c r="B10310">
        <f>IF(VLOOKUP(Table7[[#This Row],[Date]],Database!$A:$C,MATCH($B$1,Database!$A$1:$C$1,),)=0,#N/A,VLOOKUP(Table7[[#This Row],[Date]],Database!$A:$C,MATCH($B$1,Database!$A$1:$C$1,),))</f>
        <v/>
      </c>
      <c r="C10310">
        <f>IF(VLOOKUP(Table7[[#This Row],[Date]],Database!$A:$C,MATCH($C$1,Database!$A$1:$C$1,),)=0,#N/A,VLOOKUP(Table7[[#This Row],[Date]],Database!$A:$C,MATCH($C$1,Database!$A$1:$C$1,),))</f>
        <v/>
      </c>
      <c r="D10310">
        <f>IFERROR(Table7[[#This Row],[United States 10y]]-Table7[[#This Row],[United States 3y]],#N/A)</f>
        <v/>
      </c>
    </row>
    <row r="10311">
      <c r="A10311" s="6">
        <f>Database!$A12396</f>
        <v/>
      </c>
      <c r="B10311">
        <f>IF(VLOOKUP(Table7[[#This Row],[Date]],Database!$A:$C,MATCH($B$1,Database!$A$1:$C$1,),)=0,#N/A,VLOOKUP(Table7[[#This Row],[Date]],Database!$A:$C,MATCH($B$1,Database!$A$1:$C$1,),))</f>
        <v/>
      </c>
      <c r="C10311">
        <f>IF(VLOOKUP(Table7[[#This Row],[Date]],Database!$A:$C,MATCH($C$1,Database!$A$1:$C$1,),)=0,#N/A,VLOOKUP(Table7[[#This Row],[Date]],Database!$A:$C,MATCH($C$1,Database!$A$1:$C$1,),))</f>
        <v/>
      </c>
      <c r="D10311">
        <f>IFERROR(Table7[[#This Row],[United States 10y]]-Table7[[#This Row],[United States 3y]],#N/A)</f>
        <v/>
      </c>
    </row>
    <row r="10312">
      <c r="A10312" s="6">
        <f>Database!$A12397</f>
        <v/>
      </c>
      <c r="B10312">
        <f>IF(VLOOKUP(Table7[[#This Row],[Date]],Database!$A:$C,MATCH($B$1,Database!$A$1:$C$1,),)=0,#N/A,VLOOKUP(Table7[[#This Row],[Date]],Database!$A:$C,MATCH($B$1,Database!$A$1:$C$1,),))</f>
        <v/>
      </c>
      <c r="C10312">
        <f>IF(VLOOKUP(Table7[[#This Row],[Date]],Database!$A:$C,MATCH($C$1,Database!$A$1:$C$1,),)=0,#N/A,VLOOKUP(Table7[[#This Row],[Date]],Database!$A:$C,MATCH($C$1,Database!$A$1:$C$1,),))</f>
        <v/>
      </c>
      <c r="D10312">
        <f>IFERROR(Table7[[#This Row],[United States 10y]]-Table7[[#This Row],[United States 3y]],#N/A)</f>
        <v/>
      </c>
    </row>
    <row r="10313">
      <c r="A10313" s="6">
        <f>Database!$A12398</f>
        <v/>
      </c>
      <c r="B10313">
        <f>IF(VLOOKUP(Table7[[#This Row],[Date]],Database!$A:$C,MATCH($B$1,Database!$A$1:$C$1,),)=0,#N/A,VLOOKUP(Table7[[#This Row],[Date]],Database!$A:$C,MATCH($B$1,Database!$A$1:$C$1,),))</f>
        <v/>
      </c>
      <c r="C10313">
        <f>IF(VLOOKUP(Table7[[#This Row],[Date]],Database!$A:$C,MATCH($C$1,Database!$A$1:$C$1,),)=0,#N/A,VLOOKUP(Table7[[#This Row],[Date]],Database!$A:$C,MATCH($C$1,Database!$A$1:$C$1,),))</f>
        <v/>
      </c>
      <c r="D10313">
        <f>IFERROR(Table7[[#This Row],[United States 10y]]-Table7[[#This Row],[United States 3y]],#N/A)</f>
        <v/>
      </c>
    </row>
    <row r="10314">
      <c r="A10314" s="6">
        <f>Database!$A12399</f>
        <v/>
      </c>
      <c r="B10314">
        <f>IF(VLOOKUP(Table7[[#This Row],[Date]],Database!$A:$C,MATCH($B$1,Database!$A$1:$C$1,),)=0,#N/A,VLOOKUP(Table7[[#This Row],[Date]],Database!$A:$C,MATCH($B$1,Database!$A$1:$C$1,),))</f>
        <v/>
      </c>
      <c r="C10314">
        <f>IF(VLOOKUP(Table7[[#This Row],[Date]],Database!$A:$C,MATCH($C$1,Database!$A$1:$C$1,),)=0,#N/A,VLOOKUP(Table7[[#This Row],[Date]],Database!$A:$C,MATCH($C$1,Database!$A$1:$C$1,),))</f>
        <v/>
      </c>
      <c r="D10314">
        <f>IFERROR(Table7[[#This Row],[United States 10y]]-Table7[[#This Row],[United States 3y]],#N/A)</f>
        <v/>
      </c>
    </row>
    <row r="10315">
      <c r="A10315" s="6">
        <f>Database!$A12400</f>
        <v/>
      </c>
      <c r="B10315">
        <f>IF(VLOOKUP(Table7[[#This Row],[Date]],Database!$A:$C,MATCH($B$1,Database!$A$1:$C$1,),)=0,#N/A,VLOOKUP(Table7[[#This Row],[Date]],Database!$A:$C,MATCH($B$1,Database!$A$1:$C$1,),))</f>
        <v/>
      </c>
      <c r="C10315">
        <f>IF(VLOOKUP(Table7[[#This Row],[Date]],Database!$A:$C,MATCH($C$1,Database!$A$1:$C$1,),)=0,#N/A,VLOOKUP(Table7[[#This Row],[Date]],Database!$A:$C,MATCH($C$1,Database!$A$1:$C$1,),))</f>
        <v/>
      </c>
      <c r="D10315">
        <f>IFERROR(Table7[[#This Row],[United States 10y]]-Table7[[#This Row],[United States 3y]],#N/A)</f>
        <v/>
      </c>
    </row>
    <row r="10316">
      <c r="A10316" s="6">
        <f>Database!$A12401</f>
        <v/>
      </c>
      <c r="B10316">
        <f>IF(VLOOKUP(Table7[[#This Row],[Date]],Database!$A:$C,MATCH($B$1,Database!$A$1:$C$1,),)=0,#N/A,VLOOKUP(Table7[[#This Row],[Date]],Database!$A:$C,MATCH($B$1,Database!$A$1:$C$1,),))</f>
        <v/>
      </c>
      <c r="C10316">
        <f>IF(VLOOKUP(Table7[[#This Row],[Date]],Database!$A:$C,MATCH($C$1,Database!$A$1:$C$1,),)=0,#N/A,VLOOKUP(Table7[[#This Row],[Date]],Database!$A:$C,MATCH($C$1,Database!$A$1:$C$1,),))</f>
        <v/>
      </c>
      <c r="D10316">
        <f>IFERROR(Table7[[#This Row],[United States 10y]]-Table7[[#This Row],[United States 3y]],#N/A)</f>
        <v/>
      </c>
    </row>
    <row r="10317">
      <c r="A10317" s="6">
        <f>Database!$A12402</f>
        <v/>
      </c>
      <c r="B10317">
        <f>IF(VLOOKUP(Table7[[#This Row],[Date]],Database!$A:$C,MATCH($B$1,Database!$A$1:$C$1,),)=0,#N/A,VLOOKUP(Table7[[#This Row],[Date]],Database!$A:$C,MATCH($B$1,Database!$A$1:$C$1,),))</f>
        <v/>
      </c>
      <c r="C10317">
        <f>IF(VLOOKUP(Table7[[#This Row],[Date]],Database!$A:$C,MATCH($C$1,Database!$A$1:$C$1,),)=0,#N/A,VLOOKUP(Table7[[#This Row],[Date]],Database!$A:$C,MATCH($C$1,Database!$A$1:$C$1,),))</f>
        <v/>
      </c>
      <c r="D10317">
        <f>IFERROR(Table7[[#This Row],[United States 10y]]-Table7[[#This Row],[United States 3y]],#N/A)</f>
        <v/>
      </c>
    </row>
    <row r="10318">
      <c r="A10318" s="6">
        <f>Database!$A12403</f>
        <v/>
      </c>
      <c r="B10318">
        <f>IF(VLOOKUP(Table7[[#This Row],[Date]],Database!$A:$C,MATCH($B$1,Database!$A$1:$C$1,),)=0,#N/A,VLOOKUP(Table7[[#This Row],[Date]],Database!$A:$C,MATCH($B$1,Database!$A$1:$C$1,),))</f>
        <v/>
      </c>
      <c r="C10318">
        <f>IF(VLOOKUP(Table7[[#This Row],[Date]],Database!$A:$C,MATCH($C$1,Database!$A$1:$C$1,),)=0,#N/A,VLOOKUP(Table7[[#This Row],[Date]],Database!$A:$C,MATCH($C$1,Database!$A$1:$C$1,),))</f>
        <v/>
      </c>
      <c r="D10318">
        <f>IFERROR(Table7[[#This Row],[United States 10y]]-Table7[[#This Row],[United States 3y]],#N/A)</f>
        <v/>
      </c>
    </row>
    <row r="10319">
      <c r="A10319" s="6">
        <f>Database!$A12404</f>
        <v/>
      </c>
      <c r="B10319">
        <f>IF(VLOOKUP(Table7[[#This Row],[Date]],Database!$A:$C,MATCH($B$1,Database!$A$1:$C$1,),)=0,#N/A,VLOOKUP(Table7[[#This Row],[Date]],Database!$A:$C,MATCH($B$1,Database!$A$1:$C$1,),))</f>
        <v/>
      </c>
      <c r="C10319">
        <f>IF(VLOOKUP(Table7[[#This Row],[Date]],Database!$A:$C,MATCH($C$1,Database!$A$1:$C$1,),)=0,#N/A,VLOOKUP(Table7[[#This Row],[Date]],Database!$A:$C,MATCH($C$1,Database!$A$1:$C$1,),))</f>
        <v/>
      </c>
      <c r="D10319">
        <f>IFERROR(Table7[[#This Row],[United States 10y]]-Table7[[#This Row],[United States 3y]],#N/A)</f>
        <v/>
      </c>
    </row>
    <row r="10320">
      <c r="A10320" s="6">
        <f>Database!$A12405</f>
        <v/>
      </c>
      <c r="B10320">
        <f>IF(VLOOKUP(Table7[[#This Row],[Date]],Database!$A:$C,MATCH($B$1,Database!$A$1:$C$1,),)=0,#N/A,VLOOKUP(Table7[[#This Row],[Date]],Database!$A:$C,MATCH($B$1,Database!$A$1:$C$1,),))</f>
        <v/>
      </c>
      <c r="C10320">
        <f>IF(VLOOKUP(Table7[[#This Row],[Date]],Database!$A:$C,MATCH($C$1,Database!$A$1:$C$1,),)=0,#N/A,VLOOKUP(Table7[[#This Row],[Date]],Database!$A:$C,MATCH($C$1,Database!$A$1:$C$1,),))</f>
        <v/>
      </c>
      <c r="D10320">
        <f>IFERROR(Table7[[#This Row],[United States 10y]]-Table7[[#This Row],[United States 3y]],#N/A)</f>
        <v/>
      </c>
    </row>
    <row r="10321">
      <c r="A10321" s="6">
        <f>Database!$A12406</f>
        <v/>
      </c>
      <c r="B10321">
        <f>IF(VLOOKUP(Table7[[#This Row],[Date]],Database!$A:$C,MATCH($B$1,Database!$A$1:$C$1,),)=0,#N/A,VLOOKUP(Table7[[#This Row],[Date]],Database!$A:$C,MATCH($B$1,Database!$A$1:$C$1,),))</f>
        <v/>
      </c>
      <c r="C10321">
        <f>IF(VLOOKUP(Table7[[#This Row],[Date]],Database!$A:$C,MATCH($C$1,Database!$A$1:$C$1,),)=0,#N/A,VLOOKUP(Table7[[#This Row],[Date]],Database!$A:$C,MATCH($C$1,Database!$A$1:$C$1,),))</f>
        <v/>
      </c>
      <c r="D10321">
        <f>IFERROR(Table7[[#This Row],[United States 10y]]-Table7[[#This Row],[United States 3y]],#N/A)</f>
        <v/>
      </c>
    </row>
    <row r="10322">
      <c r="A10322" s="6">
        <f>Database!$A12407</f>
        <v/>
      </c>
      <c r="B10322">
        <f>IF(VLOOKUP(Table7[[#This Row],[Date]],Database!$A:$C,MATCH($B$1,Database!$A$1:$C$1,),)=0,#N/A,VLOOKUP(Table7[[#This Row],[Date]],Database!$A:$C,MATCH($B$1,Database!$A$1:$C$1,),))</f>
        <v/>
      </c>
      <c r="C10322">
        <f>IF(VLOOKUP(Table7[[#This Row],[Date]],Database!$A:$C,MATCH($C$1,Database!$A$1:$C$1,),)=0,#N/A,VLOOKUP(Table7[[#This Row],[Date]],Database!$A:$C,MATCH($C$1,Database!$A$1:$C$1,),))</f>
        <v/>
      </c>
      <c r="D10322">
        <f>IFERROR(Table7[[#This Row],[United States 10y]]-Table7[[#This Row],[United States 3y]],#N/A)</f>
        <v/>
      </c>
    </row>
    <row r="10323">
      <c r="A10323" s="6">
        <f>Database!$A12408</f>
        <v/>
      </c>
      <c r="B10323">
        <f>IF(VLOOKUP(Table7[[#This Row],[Date]],Database!$A:$C,MATCH($B$1,Database!$A$1:$C$1,),)=0,#N/A,VLOOKUP(Table7[[#This Row],[Date]],Database!$A:$C,MATCH($B$1,Database!$A$1:$C$1,),))</f>
        <v/>
      </c>
      <c r="C10323">
        <f>IF(VLOOKUP(Table7[[#This Row],[Date]],Database!$A:$C,MATCH($C$1,Database!$A$1:$C$1,),)=0,#N/A,VLOOKUP(Table7[[#This Row],[Date]],Database!$A:$C,MATCH($C$1,Database!$A$1:$C$1,),))</f>
        <v/>
      </c>
      <c r="D10323">
        <f>IFERROR(Table7[[#This Row],[United States 10y]]-Table7[[#This Row],[United States 3y]],#N/A)</f>
        <v/>
      </c>
    </row>
    <row r="10324">
      <c r="A10324" s="6">
        <f>Database!$A12409</f>
        <v/>
      </c>
      <c r="B10324">
        <f>IF(VLOOKUP(Table7[[#This Row],[Date]],Database!$A:$C,MATCH($B$1,Database!$A$1:$C$1,),)=0,#N/A,VLOOKUP(Table7[[#This Row],[Date]],Database!$A:$C,MATCH($B$1,Database!$A$1:$C$1,),))</f>
        <v/>
      </c>
      <c r="C10324">
        <f>IF(VLOOKUP(Table7[[#This Row],[Date]],Database!$A:$C,MATCH($C$1,Database!$A$1:$C$1,),)=0,#N/A,VLOOKUP(Table7[[#This Row],[Date]],Database!$A:$C,MATCH($C$1,Database!$A$1:$C$1,),))</f>
        <v/>
      </c>
      <c r="D10324">
        <f>IFERROR(Table7[[#This Row],[United States 10y]]-Table7[[#This Row],[United States 3y]],#N/A)</f>
        <v/>
      </c>
    </row>
    <row r="10325">
      <c r="A10325" s="6">
        <f>Database!$A12410</f>
        <v/>
      </c>
      <c r="B10325">
        <f>IF(VLOOKUP(Table7[[#This Row],[Date]],Database!$A:$C,MATCH($B$1,Database!$A$1:$C$1,),)=0,#N/A,VLOOKUP(Table7[[#This Row],[Date]],Database!$A:$C,MATCH($B$1,Database!$A$1:$C$1,),))</f>
        <v/>
      </c>
      <c r="C10325">
        <f>IF(VLOOKUP(Table7[[#This Row],[Date]],Database!$A:$C,MATCH($C$1,Database!$A$1:$C$1,),)=0,#N/A,VLOOKUP(Table7[[#This Row],[Date]],Database!$A:$C,MATCH($C$1,Database!$A$1:$C$1,),))</f>
        <v/>
      </c>
      <c r="D10325">
        <f>IFERROR(Table7[[#This Row],[United States 10y]]-Table7[[#This Row],[United States 3y]],#N/A)</f>
        <v/>
      </c>
    </row>
    <row r="10326">
      <c r="A10326" s="6">
        <f>Database!$A12411</f>
        <v/>
      </c>
      <c r="B10326">
        <f>IF(VLOOKUP(Table7[[#This Row],[Date]],Database!$A:$C,MATCH($B$1,Database!$A$1:$C$1,),)=0,#N/A,VLOOKUP(Table7[[#This Row],[Date]],Database!$A:$C,MATCH($B$1,Database!$A$1:$C$1,),))</f>
        <v/>
      </c>
      <c r="C10326">
        <f>IF(VLOOKUP(Table7[[#This Row],[Date]],Database!$A:$C,MATCH($C$1,Database!$A$1:$C$1,),)=0,#N/A,VLOOKUP(Table7[[#This Row],[Date]],Database!$A:$C,MATCH($C$1,Database!$A$1:$C$1,),))</f>
        <v/>
      </c>
      <c r="D10326">
        <f>IFERROR(Table7[[#This Row],[United States 10y]]-Table7[[#This Row],[United States 3y]],#N/A)</f>
        <v/>
      </c>
    </row>
    <row r="10327">
      <c r="A10327" s="6">
        <f>Database!$A12412</f>
        <v/>
      </c>
      <c r="B10327">
        <f>IF(VLOOKUP(Table7[[#This Row],[Date]],Database!$A:$C,MATCH($B$1,Database!$A$1:$C$1,),)=0,#N/A,VLOOKUP(Table7[[#This Row],[Date]],Database!$A:$C,MATCH($B$1,Database!$A$1:$C$1,),))</f>
        <v/>
      </c>
      <c r="C10327">
        <f>IF(VLOOKUP(Table7[[#This Row],[Date]],Database!$A:$C,MATCH($C$1,Database!$A$1:$C$1,),)=0,#N/A,VLOOKUP(Table7[[#This Row],[Date]],Database!$A:$C,MATCH($C$1,Database!$A$1:$C$1,),))</f>
        <v/>
      </c>
      <c r="D10327">
        <f>IFERROR(Table7[[#This Row],[United States 10y]]-Table7[[#This Row],[United States 3y]],#N/A)</f>
        <v/>
      </c>
    </row>
    <row r="10328">
      <c r="A10328" s="6">
        <f>Database!$A12413</f>
        <v/>
      </c>
      <c r="B10328">
        <f>IF(VLOOKUP(Table7[[#This Row],[Date]],Database!$A:$C,MATCH($B$1,Database!$A$1:$C$1,),)=0,#N/A,VLOOKUP(Table7[[#This Row],[Date]],Database!$A:$C,MATCH($B$1,Database!$A$1:$C$1,),))</f>
        <v/>
      </c>
      <c r="C10328">
        <f>IF(VLOOKUP(Table7[[#This Row],[Date]],Database!$A:$C,MATCH($C$1,Database!$A$1:$C$1,),)=0,#N/A,VLOOKUP(Table7[[#This Row],[Date]],Database!$A:$C,MATCH($C$1,Database!$A$1:$C$1,),))</f>
        <v/>
      </c>
      <c r="D10328">
        <f>IFERROR(Table7[[#This Row],[United States 10y]]-Table7[[#This Row],[United States 3y]],#N/A)</f>
        <v/>
      </c>
    </row>
    <row r="10329">
      <c r="A10329" s="6">
        <f>Database!$A12414</f>
        <v/>
      </c>
      <c r="B10329">
        <f>IF(VLOOKUP(Table7[[#This Row],[Date]],Database!$A:$C,MATCH($B$1,Database!$A$1:$C$1,),)=0,#N/A,VLOOKUP(Table7[[#This Row],[Date]],Database!$A:$C,MATCH($B$1,Database!$A$1:$C$1,),))</f>
        <v/>
      </c>
      <c r="C10329">
        <f>IF(VLOOKUP(Table7[[#This Row],[Date]],Database!$A:$C,MATCH($C$1,Database!$A$1:$C$1,),)=0,#N/A,VLOOKUP(Table7[[#This Row],[Date]],Database!$A:$C,MATCH($C$1,Database!$A$1:$C$1,),))</f>
        <v/>
      </c>
      <c r="D10329">
        <f>IFERROR(Table7[[#This Row],[United States 10y]]-Table7[[#This Row],[United States 3y]],#N/A)</f>
        <v/>
      </c>
    </row>
    <row r="10330">
      <c r="A10330" s="6">
        <f>Database!$A12415</f>
        <v/>
      </c>
      <c r="B10330">
        <f>IF(VLOOKUP(Table7[[#This Row],[Date]],Database!$A:$C,MATCH($B$1,Database!$A$1:$C$1,),)=0,#N/A,VLOOKUP(Table7[[#This Row],[Date]],Database!$A:$C,MATCH($B$1,Database!$A$1:$C$1,),))</f>
        <v/>
      </c>
      <c r="C10330">
        <f>IF(VLOOKUP(Table7[[#This Row],[Date]],Database!$A:$C,MATCH($C$1,Database!$A$1:$C$1,),)=0,#N/A,VLOOKUP(Table7[[#This Row],[Date]],Database!$A:$C,MATCH($C$1,Database!$A$1:$C$1,),))</f>
        <v/>
      </c>
      <c r="D10330">
        <f>IFERROR(Table7[[#This Row],[United States 10y]]-Table7[[#This Row],[United States 3y]],#N/A)</f>
        <v/>
      </c>
    </row>
    <row r="10331">
      <c r="A10331" s="6">
        <f>Database!$A12416</f>
        <v/>
      </c>
      <c r="B10331">
        <f>IF(VLOOKUP(Table7[[#This Row],[Date]],Database!$A:$C,MATCH($B$1,Database!$A$1:$C$1,),)=0,#N/A,VLOOKUP(Table7[[#This Row],[Date]],Database!$A:$C,MATCH($B$1,Database!$A$1:$C$1,),))</f>
        <v/>
      </c>
      <c r="C10331">
        <f>IF(VLOOKUP(Table7[[#This Row],[Date]],Database!$A:$C,MATCH($C$1,Database!$A$1:$C$1,),)=0,#N/A,VLOOKUP(Table7[[#This Row],[Date]],Database!$A:$C,MATCH($C$1,Database!$A$1:$C$1,),))</f>
        <v/>
      </c>
      <c r="D10331">
        <f>IFERROR(Table7[[#This Row],[United States 10y]]-Table7[[#This Row],[United States 3y]],#N/A)</f>
        <v/>
      </c>
    </row>
    <row r="10332">
      <c r="A10332" s="6">
        <f>Database!$A12417</f>
        <v/>
      </c>
      <c r="B10332">
        <f>IF(VLOOKUP(Table7[[#This Row],[Date]],Database!$A:$C,MATCH($B$1,Database!$A$1:$C$1,),)=0,#N/A,VLOOKUP(Table7[[#This Row],[Date]],Database!$A:$C,MATCH($B$1,Database!$A$1:$C$1,),))</f>
        <v/>
      </c>
      <c r="C10332">
        <f>IF(VLOOKUP(Table7[[#This Row],[Date]],Database!$A:$C,MATCH($C$1,Database!$A$1:$C$1,),)=0,#N/A,VLOOKUP(Table7[[#This Row],[Date]],Database!$A:$C,MATCH($C$1,Database!$A$1:$C$1,),))</f>
        <v/>
      </c>
      <c r="D10332">
        <f>IFERROR(Table7[[#This Row],[United States 10y]]-Table7[[#This Row],[United States 3y]],#N/A)</f>
        <v/>
      </c>
    </row>
    <row r="10333">
      <c r="A10333" s="6">
        <f>Database!$A12418</f>
        <v/>
      </c>
      <c r="B10333">
        <f>IF(VLOOKUP(Table7[[#This Row],[Date]],Database!$A:$C,MATCH($B$1,Database!$A$1:$C$1,),)=0,#N/A,VLOOKUP(Table7[[#This Row],[Date]],Database!$A:$C,MATCH($B$1,Database!$A$1:$C$1,),))</f>
        <v/>
      </c>
      <c r="C10333">
        <f>IF(VLOOKUP(Table7[[#This Row],[Date]],Database!$A:$C,MATCH($C$1,Database!$A$1:$C$1,),)=0,#N/A,VLOOKUP(Table7[[#This Row],[Date]],Database!$A:$C,MATCH($C$1,Database!$A$1:$C$1,),))</f>
        <v/>
      </c>
      <c r="D10333">
        <f>IFERROR(Table7[[#This Row],[United States 10y]]-Table7[[#This Row],[United States 3y]],#N/A)</f>
        <v/>
      </c>
    </row>
    <row r="10334">
      <c r="A10334" s="6">
        <f>Database!$A12419</f>
        <v/>
      </c>
      <c r="B10334">
        <f>IF(VLOOKUP(Table7[[#This Row],[Date]],Database!$A:$C,MATCH($B$1,Database!$A$1:$C$1,),)=0,#N/A,VLOOKUP(Table7[[#This Row],[Date]],Database!$A:$C,MATCH($B$1,Database!$A$1:$C$1,),))</f>
        <v/>
      </c>
      <c r="C10334">
        <f>IF(VLOOKUP(Table7[[#This Row],[Date]],Database!$A:$C,MATCH($C$1,Database!$A$1:$C$1,),)=0,#N/A,VLOOKUP(Table7[[#This Row],[Date]],Database!$A:$C,MATCH($C$1,Database!$A$1:$C$1,),))</f>
        <v/>
      </c>
      <c r="D10334">
        <f>IFERROR(Table7[[#This Row],[United States 10y]]-Table7[[#This Row],[United States 3y]],#N/A)</f>
        <v/>
      </c>
    </row>
    <row r="10335">
      <c r="A10335" s="6">
        <f>Database!$A12420</f>
        <v/>
      </c>
      <c r="B10335">
        <f>IF(VLOOKUP(Table7[[#This Row],[Date]],Database!$A:$C,MATCH($B$1,Database!$A$1:$C$1,),)=0,#N/A,VLOOKUP(Table7[[#This Row],[Date]],Database!$A:$C,MATCH($B$1,Database!$A$1:$C$1,),))</f>
        <v/>
      </c>
      <c r="C10335">
        <f>IF(VLOOKUP(Table7[[#This Row],[Date]],Database!$A:$C,MATCH($C$1,Database!$A$1:$C$1,),)=0,#N/A,VLOOKUP(Table7[[#This Row],[Date]],Database!$A:$C,MATCH($C$1,Database!$A$1:$C$1,),))</f>
        <v/>
      </c>
      <c r="D10335">
        <f>IFERROR(Table7[[#This Row],[United States 10y]]-Table7[[#This Row],[United States 3y]],#N/A)</f>
        <v/>
      </c>
    </row>
    <row r="10336">
      <c r="A10336" s="6">
        <f>Database!$A12421</f>
        <v/>
      </c>
      <c r="B10336">
        <f>IF(VLOOKUP(Table7[[#This Row],[Date]],Database!$A:$C,MATCH($B$1,Database!$A$1:$C$1,),)=0,#N/A,VLOOKUP(Table7[[#This Row],[Date]],Database!$A:$C,MATCH($B$1,Database!$A$1:$C$1,),))</f>
        <v/>
      </c>
      <c r="C10336">
        <f>IF(VLOOKUP(Table7[[#This Row],[Date]],Database!$A:$C,MATCH($C$1,Database!$A$1:$C$1,),)=0,#N/A,VLOOKUP(Table7[[#This Row],[Date]],Database!$A:$C,MATCH($C$1,Database!$A$1:$C$1,),))</f>
        <v/>
      </c>
      <c r="D10336">
        <f>IFERROR(Table7[[#This Row],[United States 10y]]-Table7[[#This Row],[United States 3y]],#N/A)</f>
        <v/>
      </c>
    </row>
    <row r="10337">
      <c r="A10337" s="6">
        <f>Database!$A12422</f>
        <v/>
      </c>
      <c r="B10337">
        <f>IF(VLOOKUP(Table7[[#This Row],[Date]],Database!$A:$C,MATCH($B$1,Database!$A$1:$C$1,),)=0,#N/A,VLOOKUP(Table7[[#This Row],[Date]],Database!$A:$C,MATCH($B$1,Database!$A$1:$C$1,),))</f>
        <v/>
      </c>
      <c r="C10337">
        <f>IF(VLOOKUP(Table7[[#This Row],[Date]],Database!$A:$C,MATCH($C$1,Database!$A$1:$C$1,),)=0,#N/A,VLOOKUP(Table7[[#This Row],[Date]],Database!$A:$C,MATCH($C$1,Database!$A$1:$C$1,),))</f>
        <v/>
      </c>
      <c r="D10337">
        <f>IFERROR(Table7[[#This Row],[United States 10y]]-Table7[[#This Row],[United States 3y]],#N/A)</f>
        <v/>
      </c>
    </row>
    <row r="10338">
      <c r="A10338" s="6">
        <f>Database!$A12423</f>
        <v/>
      </c>
      <c r="B10338">
        <f>IF(VLOOKUP(Table7[[#This Row],[Date]],Database!$A:$C,MATCH($B$1,Database!$A$1:$C$1,),)=0,#N/A,VLOOKUP(Table7[[#This Row],[Date]],Database!$A:$C,MATCH($B$1,Database!$A$1:$C$1,),))</f>
        <v/>
      </c>
      <c r="C10338">
        <f>IF(VLOOKUP(Table7[[#This Row],[Date]],Database!$A:$C,MATCH($C$1,Database!$A$1:$C$1,),)=0,#N/A,VLOOKUP(Table7[[#This Row],[Date]],Database!$A:$C,MATCH($C$1,Database!$A$1:$C$1,),))</f>
        <v/>
      </c>
      <c r="D10338">
        <f>IFERROR(Table7[[#This Row],[United States 10y]]-Table7[[#This Row],[United States 3y]],#N/A)</f>
        <v/>
      </c>
    </row>
    <row r="10339">
      <c r="A10339" s="6">
        <f>Database!$A12424</f>
        <v/>
      </c>
      <c r="B10339">
        <f>IF(VLOOKUP(Table7[[#This Row],[Date]],Database!$A:$C,MATCH($B$1,Database!$A$1:$C$1,),)=0,#N/A,VLOOKUP(Table7[[#This Row],[Date]],Database!$A:$C,MATCH($B$1,Database!$A$1:$C$1,),))</f>
        <v/>
      </c>
      <c r="C10339">
        <f>IF(VLOOKUP(Table7[[#This Row],[Date]],Database!$A:$C,MATCH($C$1,Database!$A$1:$C$1,),)=0,#N/A,VLOOKUP(Table7[[#This Row],[Date]],Database!$A:$C,MATCH($C$1,Database!$A$1:$C$1,),))</f>
        <v/>
      </c>
      <c r="D10339">
        <f>IFERROR(Table7[[#This Row],[United States 10y]]-Table7[[#This Row],[United States 3y]],#N/A)</f>
        <v/>
      </c>
    </row>
    <row r="10340">
      <c r="A10340" s="6">
        <f>Database!$A12425</f>
        <v/>
      </c>
      <c r="B10340">
        <f>IF(VLOOKUP(Table7[[#This Row],[Date]],Database!$A:$C,MATCH($B$1,Database!$A$1:$C$1,),)=0,#N/A,VLOOKUP(Table7[[#This Row],[Date]],Database!$A:$C,MATCH($B$1,Database!$A$1:$C$1,),))</f>
        <v/>
      </c>
      <c r="C10340">
        <f>IF(VLOOKUP(Table7[[#This Row],[Date]],Database!$A:$C,MATCH($C$1,Database!$A$1:$C$1,),)=0,#N/A,VLOOKUP(Table7[[#This Row],[Date]],Database!$A:$C,MATCH($C$1,Database!$A$1:$C$1,),))</f>
        <v/>
      </c>
      <c r="D10340">
        <f>IFERROR(Table7[[#This Row],[United States 10y]]-Table7[[#This Row],[United States 3y]],#N/A)</f>
        <v/>
      </c>
    </row>
    <row r="10341">
      <c r="A10341" s="6">
        <f>Database!$A12426</f>
        <v/>
      </c>
      <c r="B10341">
        <f>IF(VLOOKUP(Table7[[#This Row],[Date]],Database!$A:$C,MATCH($B$1,Database!$A$1:$C$1,),)=0,#N/A,VLOOKUP(Table7[[#This Row],[Date]],Database!$A:$C,MATCH($B$1,Database!$A$1:$C$1,),))</f>
        <v/>
      </c>
      <c r="C10341">
        <f>IF(VLOOKUP(Table7[[#This Row],[Date]],Database!$A:$C,MATCH($C$1,Database!$A$1:$C$1,),)=0,#N/A,VLOOKUP(Table7[[#This Row],[Date]],Database!$A:$C,MATCH($C$1,Database!$A$1:$C$1,),))</f>
        <v/>
      </c>
      <c r="D10341">
        <f>IFERROR(Table7[[#This Row],[United States 10y]]-Table7[[#This Row],[United States 3y]],#N/A)</f>
        <v/>
      </c>
    </row>
    <row r="10342">
      <c r="A10342" s="6">
        <f>Database!$A12427</f>
        <v/>
      </c>
      <c r="B10342">
        <f>IF(VLOOKUP(Table7[[#This Row],[Date]],Database!$A:$C,MATCH($B$1,Database!$A$1:$C$1,),)=0,#N/A,VLOOKUP(Table7[[#This Row],[Date]],Database!$A:$C,MATCH($B$1,Database!$A$1:$C$1,),))</f>
        <v/>
      </c>
      <c r="C10342">
        <f>IF(VLOOKUP(Table7[[#This Row],[Date]],Database!$A:$C,MATCH($C$1,Database!$A$1:$C$1,),)=0,#N/A,VLOOKUP(Table7[[#This Row],[Date]],Database!$A:$C,MATCH($C$1,Database!$A$1:$C$1,),))</f>
        <v/>
      </c>
      <c r="D10342">
        <f>IFERROR(Table7[[#This Row],[United States 10y]]-Table7[[#This Row],[United States 3y]],#N/A)</f>
        <v/>
      </c>
    </row>
    <row r="10343">
      <c r="A10343" s="6">
        <f>Database!$A12428</f>
        <v/>
      </c>
      <c r="B10343">
        <f>IF(VLOOKUP(Table7[[#This Row],[Date]],Database!$A:$C,MATCH($B$1,Database!$A$1:$C$1,),)=0,#N/A,VLOOKUP(Table7[[#This Row],[Date]],Database!$A:$C,MATCH($B$1,Database!$A$1:$C$1,),))</f>
        <v/>
      </c>
      <c r="C10343">
        <f>IF(VLOOKUP(Table7[[#This Row],[Date]],Database!$A:$C,MATCH($C$1,Database!$A$1:$C$1,),)=0,#N/A,VLOOKUP(Table7[[#This Row],[Date]],Database!$A:$C,MATCH($C$1,Database!$A$1:$C$1,),))</f>
        <v/>
      </c>
      <c r="D10343">
        <f>IFERROR(Table7[[#This Row],[United States 10y]]-Table7[[#This Row],[United States 3y]],#N/A)</f>
        <v/>
      </c>
    </row>
    <row r="10344">
      <c r="A10344" s="6">
        <f>Database!$A12429</f>
        <v/>
      </c>
      <c r="B10344">
        <f>IF(VLOOKUP(Table7[[#This Row],[Date]],Database!$A:$C,MATCH($B$1,Database!$A$1:$C$1,),)=0,#N/A,VLOOKUP(Table7[[#This Row],[Date]],Database!$A:$C,MATCH($B$1,Database!$A$1:$C$1,),))</f>
        <v/>
      </c>
      <c r="C10344">
        <f>IF(VLOOKUP(Table7[[#This Row],[Date]],Database!$A:$C,MATCH($C$1,Database!$A$1:$C$1,),)=0,#N/A,VLOOKUP(Table7[[#This Row],[Date]],Database!$A:$C,MATCH($C$1,Database!$A$1:$C$1,),))</f>
        <v/>
      </c>
      <c r="D10344">
        <f>IFERROR(Table7[[#This Row],[United States 10y]]-Table7[[#This Row],[United States 3y]],#N/A)</f>
        <v/>
      </c>
    </row>
    <row r="10345">
      <c r="A10345" s="6">
        <f>Database!$A12430</f>
        <v/>
      </c>
      <c r="B10345">
        <f>IF(VLOOKUP(Table7[[#This Row],[Date]],Database!$A:$C,MATCH($B$1,Database!$A$1:$C$1,),)=0,#N/A,VLOOKUP(Table7[[#This Row],[Date]],Database!$A:$C,MATCH($B$1,Database!$A$1:$C$1,),))</f>
        <v/>
      </c>
      <c r="C10345">
        <f>IF(VLOOKUP(Table7[[#This Row],[Date]],Database!$A:$C,MATCH($C$1,Database!$A$1:$C$1,),)=0,#N/A,VLOOKUP(Table7[[#This Row],[Date]],Database!$A:$C,MATCH($C$1,Database!$A$1:$C$1,),))</f>
        <v/>
      </c>
      <c r="D10345">
        <f>IFERROR(Table7[[#This Row],[United States 10y]]-Table7[[#This Row],[United States 3y]],#N/A)</f>
        <v/>
      </c>
    </row>
    <row r="10346">
      <c r="A10346" s="6">
        <f>Database!$A12431</f>
        <v/>
      </c>
      <c r="B10346">
        <f>IF(VLOOKUP(Table7[[#This Row],[Date]],Database!$A:$C,MATCH($B$1,Database!$A$1:$C$1,),)=0,#N/A,VLOOKUP(Table7[[#This Row],[Date]],Database!$A:$C,MATCH($B$1,Database!$A$1:$C$1,),))</f>
        <v/>
      </c>
      <c r="C10346">
        <f>IF(VLOOKUP(Table7[[#This Row],[Date]],Database!$A:$C,MATCH($C$1,Database!$A$1:$C$1,),)=0,#N/A,VLOOKUP(Table7[[#This Row],[Date]],Database!$A:$C,MATCH($C$1,Database!$A$1:$C$1,),))</f>
        <v/>
      </c>
      <c r="D10346">
        <f>IFERROR(Table7[[#This Row],[United States 10y]]-Table7[[#This Row],[United States 3y]],#N/A)</f>
        <v/>
      </c>
    </row>
    <row r="10347">
      <c r="A10347" s="6">
        <f>Database!$A12432</f>
        <v/>
      </c>
      <c r="B10347">
        <f>IF(VLOOKUP(Table7[[#This Row],[Date]],Database!$A:$C,MATCH($B$1,Database!$A$1:$C$1,),)=0,#N/A,VLOOKUP(Table7[[#This Row],[Date]],Database!$A:$C,MATCH($B$1,Database!$A$1:$C$1,),))</f>
        <v/>
      </c>
      <c r="C10347">
        <f>IF(VLOOKUP(Table7[[#This Row],[Date]],Database!$A:$C,MATCH($C$1,Database!$A$1:$C$1,),)=0,#N/A,VLOOKUP(Table7[[#This Row],[Date]],Database!$A:$C,MATCH($C$1,Database!$A$1:$C$1,),))</f>
        <v/>
      </c>
      <c r="D10347">
        <f>IFERROR(Table7[[#This Row],[United States 10y]]-Table7[[#This Row],[United States 3y]],#N/A)</f>
        <v/>
      </c>
    </row>
    <row r="10348">
      <c r="A10348" s="6">
        <f>Database!$A12433</f>
        <v/>
      </c>
      <c r="B10348">
        <f>IF(VLOOKUP(Table7[[#This Row],[Date]],Database!$A:$C,MATCH($B$1,Database!$A$1:$C$1,),)=0,#N/A,VLOOKUP(Table7[[#This Row],[Date]],Database!$A:$C,MATCH($B$1,Database!$A$1:$C$1,),))</f>
        <v/>
      </c>
      <c r="C10348">
        <f>IF(VLOOKUP(Table7[[#This Row],[Date]],Database!$A:$C,MATCH($C$1,Database!$A$1:$C$1,),)=0,#N/A,VLOOKUP(Table7[[#This Row],[Date]],Database!$A:$C,MATCH($C$1,Database!$A$1:$C$1,),))</f>
        <v/>
      </c>
      <c r="D10348">
        <f>IFERROR(Table7[[#This Row],[United States 10y]]-Table7[[#This Row],[United States 3y]],#N/A)</f>
        <v/>
      </c>
    </row>
    <row r="10349">
      <c r="A10349" s="6">
        <f>Database!$A12434</f>
        <v/>
      </c>
      <c r="B10349">
        <f>IF(VLOOKUP(Table7[[#This Row],[Date]],Database!$A:$C,MATCH($B$1,Database!$A$1:$C$1,),)=0,#N/A,VLOOKUP(Table7[[#This Row],[Date]],Database!$A:$C,MATCH($B$1,Database!$A$1:$C$1,),))</f>
        <v/>
      </c>
      <c r="C10349">
        <f>IF(VLOOKUP(Table7[[#This Row],[Date]],Database!$A:$C,MATCH($C$1,Database!$A$1:$C$1,),)=0,#N/A,VLOOKUP(Table7[[#This Row],[Date]],Database!$A:$C,MATCH($C$1,Database!$A$1:$C$1,),))</f>
        <v/>
      </c>
      <c r="D10349">
        <f>IFERROR(Table7[[#This Row],[United States 10y]]-Table7[[#This Row],[United States 3y]],#N/A)</f>
        <v/>
      </c>
    </row>
    <row r="10350">
      <c r="A10350" s="6">
        <f>Database!$A12435</f>
        <v/>
      </c>
      <c r="B10350">
        <f>IF(VLOOKUP(Table7[[#This Row],[Date]],Database!$A:$C,MATCH($B$1,Database!$A$1:$C$1,),)=0,#N/A,VLOOKUP(Table7[[#This Row],[Date]],Database!$A:$C,MATCH($B$1,Database!$A$1:$C$1,),))</f>
        <v/>
      </c>
      <c r="C10350">
        <f>IF(VLOOKUP(Table7[[#This Row],[Date]],Database!$A:$C,MATCH($C$1,Database!$A$1:$C$1,),)=0,#N/A,VLOOKUP(Table7[[#This Row],[Date]],Database!$A:$C,MATCH($C$1,Database!$A$1:$C$1,),))</f>
        <v/>
      </c>
      <c r="D10350">
        <f>IFERROR(Table7[[#This Row],[United States 10y]]-Table7[[#This Row],[United States 3y]],#N/A)</f>
        <v/>
      </c>
    </row>
    <row r="10351">
      <c r="A10351" s="6">
        <f>Database!$A12436</f>
        <v/>
      </c>
      <c r="B10351">
        <f>IF(VLOOKUP(Table7[[#This Row],[Date]],Database!$A:$C,MATCH($B$1,Database!$A$1:$C$1,),)=0,#N/A,VLOOKUP(Table7[[#This Row],[Date]],Database!$A:$C,MATCH($B$1,Database!$A$1:$C$1,),))</f>
        <v/>
      </c>
      <c r="C10351">
        <f>IF(VLOOKUP(Table7[[#This Row],[Date]],Database!$A:$C,MATCH($C$1,Database!$A$1:$C$1,),)=0,#N/A,VLOOKUP(Table7[[#This Row],[Date]],Database!$A:$C,MATCH($C$1,Database!$A$1:$C$1,),))</f>
        <v/>
      </c>
      <c r="D10351">
        <f>IFERROR(Table7[[#This Row],[United States 10y]]-Table7[[#This Row],[United States 3y]],#N/A)</f>
        <v/>
      </c>
    </row>
    <row r="10352">
      <c r="A10352" s="6">
        <f>Database!$A12437</f>
        <v/>
      </c>
      <c r="B10352">
        <f>IF(VLOOKUP(Table7[[#This Row],[Date]],Database!$A:$C,MATCH($B$1,Database!$A$1:$C$1,),)=0,#N/A,VLOOKUP(Table7[[#This Row],[Date]],Database!$A:$C,MATCH($B$1,Database!$A$1:$C$1,),))</f>
        <v/>
      </c>
      <c r="C10352">
        <f>IF(VLOOKUP(Table7[[#This Row],[Date]],Database!$A:$C,MATCH($C$1,Database!$A$1:$C$1,),)=0,#N/A,VLOOKUP(Table7[[#This Row],[Date]],Database!$A:$C,MATCH($C$1,Database!$A$1:$C$1,),))</f>
        <v/>
      </c>
      <c r="D10352">
        <f>IFERROR(Table7[[#This Row],[United States 10y]]-Table7[[#This Row],[United States 3y]],#N/A)</f>
        <v/>
      </c>
    </row>
    <row r="10353">
      <c r="A10353" s="6">
        <f>Database!$A12438</f>
        <v/>
      </c>
      <c r="B10353">
        <f>IF(VLOOKUP(Table7[[#This Row],[Date]],Database!$A:$C,MATCH($B$1,Database!$A$1:$C$1,),)=0,#N/A,VLOOKUP(Table7[[#This Row],[Date]],Database!$A:$C,MATCH($B$1,Database!$A$1:$C$1,),))</f>
        <v/>
      </c>
      <c r="C10353">
        <f>IF(VLOOKUP(Table7[[#This Row],[Date]],Database!$A:$C,MATCH($C$1,Database!$A$1:$C$1,),)=0,#N/A,VLOOKUP(Table7[[#This Row],[Date]],Database!$A:$C,MATCH($C$1,Database!$A$1:$C$1,),))</f>
        <v/>
      </c>
      <c r="D10353">
        <f>IFERROR(Table7[[#This Row],[United States 10y]]-Table7[[#This Row],[United States 3y]],#N/A)</f>
        <v/>
      </c>
    </row>
    <row r="10354">
      <c r="A10354" s="6">
        <f>Database!$A12439</f>
        <v/>
      </c>
      <c r="B10354">
        <f>IF(VLOOKUP(Table7[[#This Row],[Date]],Database!$A:$C,MATCH($B$1,Database!$A$1:$C$1,),)=0,#N/A,VLOOKUP(Table7[[#This Row],[Date]],Database!$A:$C,MATCH($B$1,Database!$A$1:$C$1,),))</f>
        <v/>
      </c>
      <c r="C10354">
        <f>IF(VLOOKUP(Table7[[#This Row],[Date]],Database!$A:$C,MATCH($C$1,Database!$A$1:$C$1,),)=0,#N/A,VLOOKUP(Table7[[#This Row],[Date]],Database!$A:$C,MATCH($C$1,Database!$A$1:$C$1,),))</f>
        <v/>
      </c>
      <c r="D10354">
        <f>IFERROR(Table7[[#This Row],[United States 10y]]-Table7[[#This Row],[United States 3y]],#N/A)</f>
        <v/>
      </c>
    </row>
    <row r="10355">
      <c r="A10355" s="6">
        <f>Database!$A12440</f>
        <v/>
      </c>
      <c r="B10355">
        <f>IF(VLOOKUP(Table7[[#This Row],[Date]],Database!$A:$C,MATCH($B$1,Database!$A$1:$C$1,),)=0,#N/A,VLOOKUP(Table7[[#This Row],[Date]],Database!$A:$C,MATCH($B$1,Database!$A$1:$C$1,),))</f>
        <v/>
      </c>
      <c r="C10355">
        <f>IF(VLOOKUP(Table7[[#This Row],[Date]],Database!$A:$C,MATCH($C$1,Database!$A$1:$C$1,),)=0,#N/A,VLOOKUP(Table7[[#This Row],[Date]],Database!$A:$C,MATCH($C$1,Database!$A$1:$C$1,),))</f>
        <v/>
      </c>
      <c r="D10355">
        <f>IFERROR(Table7[[#This Row],[United States 10y]]-Table7[[#This Row],[United States 3y]],#N/A)</f>
        <v/>
      </c>
    </row>
    <row r="10356">
      <c r="A10356" s="6">
        <f>Database!$A12441</f>
        <v/>
      </c>
      <c r="B10356">
        <f>IF(VLOOKUP(Table7[[#This Row],[Date]],Database!$A:$C,MATCH($B$1,Database!$A$1:$C$1,),)=0,#N/A,VLOOKUP(Table7[[#This Row],[Date]],Database!$A:$C,MATCH($B$1,Database!$A$1:$C$1,),))</f>
        <v/>
      </c>
      <c r="C10356">
        <f>IF(VLOOKUP(Table7[[#This Row],[Date]],Database!$A:$C,MATCH($C$1,Database!$A$1:$C$1,),)=0,#N/A,VLOOKUP(Table7[[#This Row],[Date]],Database!$A:$C,MATCH($C$1,Database!$A$1:$C$1,),))</f>
        <v/>
      </c>
      <c r="D10356">
        <f>IFERROR(Table7[[#This Row],[United States 10y]]-Table7[[#This Row],[United States 3y]],#N/A)</f>
        <v/>
      </c>
    </row>
    <row r="10357">
      <c r="A10357" s="6">
        <f>Database!$A12442</f>
        <v/>
      </c>
      <c r="B10357">
        <f>IF(VLOOKUP(Table7[[#This Row],[Date]],Database!$A:$C,MATCH($B$1,Database!$A$1:$C$1,),)=0,#N/A,VLOOKUP(Table7[[#This Row],[Date]],Database!$A:$C,MATCH($B$1,Database!$A$1:$C$1,),))</f>
        <v/>
      </c>
      <c r="C10357">
        <f>IF(VLOOKUP(Table7[[#This Row],[Date]],Database!$A:$C,MATCH($C$1,Database!$A$1:$C$1,),)=0,#N/A,VLOOKUP(Table7[[#This Row],[Date]],Database!$A:$C,MATCH($C$1,Database!$A$1:$C$1,),))</f>
        <v/>
      </c>
      <c r="D10357">
        <f>IFERROR(Table7[[#This Row],[United States 10y]]-Table7[[#This Row],[United States 3y]],#N/A)</f>
        <v/>
      </c>
    </row>
    <row r="10358">
      <c r="A10358" s="6">
        <f>Database!$A12443</f>
        <v/>
      </c>
      <c r="B10358">
        <f>IF(VLOOKUP(Table7[[#This Row],[Date]],Database!$A:$C,MATCH($B$1,Database!$A$1:$C$1,),)=0,#N/A,VLOOKUP(Table7[[#This Row],[Date]],Database!$A:$C,MATCH($B$1,Database!$A$1:$C$1,),))</f>
        <v/>
      </c>
      <c r="C10358">
        <f>IF(VLOOKUP(Table7[[#This Row],[Date]],Database!$A:$C,MATCH($C$1,Database!$A$1:$C$1,),)=0,#N/A,VLOOKUP(Table7[[#This Row],[Date]],Database!$A:$C,MATCH($C$1,Database!$A$1:$C$1,),))</f>
        <v/>
      </c>
      <c r="D10358">
        <f>IFERROR(Table7[[#This Row],[United States 10y]]-Table7[[#This Row],[United States 3y]],#N/A)</f>
        <v/>
      </c>
    </row>
    <row r="10359">
      <c r="A10359" s="6">
        <f>Database!$A12444</f>
        <v/>
      </c>
      <c r="B10359">
        <f>IF(VLOOKUP(Table7[[#This Row],[Date]],Database!$A:$C,MATCH($B$1,Database!$A$1:$C$1,),)=0,#N/A,VLOOKUP(Table7[[#This Row],[Date]],Database!$A:$C,MATCH($B$1,Database!$A$1:$C$1,),))</f>
        <v/>
      </c>
      <c r="C10359">
        <f>IF(VLOOKUP(Table7[[#This Row],[Date]],Database!$A:$C,MATCH($C$1,Database!$A$1:$C$1,),)=0,#N/A,VLOOKUP(Table7[[#This Row],[Date]],Database!$A:$C,MATCH($C$1,Database!$A$1:$C$1,),))</f>
        <v/>
      </c>
      <c r="D10359">
        <f>IFERROR(Table7[[#This Row],[United States 10y]]-Table7[[#This Row],[United States 3y]],#N/A)</f>
        <v/>
      </c>
    </row>
    <row r="10360">
      <c r="A10360" s="6">
        <f>Database!$A12445</f>
        <v/>
      </c>
      <c r="B10360">
        <f>IF(VLOOKUP(Table7[[#This Row],[Date]],Database!$A:$C,MATCH($B$1,Database!$A$1:$C$1,),)=0,#N/A,VLOOKUP(Table7[[#This Row],[Date]],Database!$A:$C,MATCH($B$1,Database!$A$1:$C$1,),))</f>
        <v/>
      </c>
      <c r="C10360">
        <f>IF(VLOOKUP(Table7[[#This Row],[Date]],Database!$A:$C,MATCH($C$1,Database!$A$1:$C$1,),)=0,#N/A,VLOOKUP(Table7[[#This Row],[Date]],Database!$A:$C,MATCH($C$1,Database!$A$1:$C$1,),))</f>
        <v/>
      </c>
      <c r="D10360">
        <f>IFERROR(Table7[[#This Row],[United States 10y]]-Table7[[#This Row],[United States 3y]],#N/A)</f>
        <v/>
      </c>
    </row>
    <row r="10361">
      <c r="A10361" s="6">
        <f>Database!$A12446</f>
        <v/>
      </c>
      <c r="B10361">
        <f>IF(VLOOKUP(Table7[[#This Row],[Date]],Database!$A:$C,MATCH($B$1,Database!$A$1:$C$1,),)=0,#N/A,VLOOKUP(Table7[[#This Row],[Date]],Database!$A:$C,MATCH($B$1,Database!$A$1:$C$1,),))</f>
        <v/>
      </c>
      <c r="C10361">
        <f>IF(VLOOKUP(Table7[[#This Row],[Date]],Database!$A:$C,MATCH($C$1,Database!$A$1:$C$1,),)=0,#N/A,VLOOKUP(Table7[[#This Row],[Date]],Database!$A:$C,MATCH($C$1,Database!$A$1:$C$1,),))</f>
        <v/>
      </c>
      <c r="D10361">
        <f>IFERROR(Table7[[#This Row],[United States 10y]]-Table7[[#This Row],[United States 3y]],#N/A)</f>
        <v/>
      </c>
    </row>
    <row r="10362">
      <c r="A10362" s="6">
        <f>Database!$A12447</f>
        <v/>
      </c>
      <c r="B10362">
        <f>IF(VLOOKUP(Table7[[#This Row],[Date]],Database!$A:$C,MATCH($B$1,Database!$A$1:$C$1,),)=0,#N/A,VLOOKUP(Table7[[#This Row],[Date]],Database!$A:$C,MATCH($B$1,Database!$A$1:$C$1,),))</f>
        <v/>
      </c>
      <c r="C10362">
        <f>IF(VLOOKUP(Table7[[#This Row],[Date]],Database!$A:$C,MATCH($C$1,Database!$A$1:$C$1,),)=0,#N/A,VLOOKUP(Table7[[#This Row],[Date]],Database!$A:$C,MATCH($C$1,Database!$A$1:$C$1,),))</f>
        <v/>
      </c>
      <c r="D10362">
        <f>IFERROR(Table7[[#This Row],[United States 10y]]-Table7[[#This Row],[United States 3y]],#N/A)</f>
        <v/>
      </c>
    </row>
    <row r="10363">
      <c r="A10363" s="6">
        <f>Database!$A12448</f>
        <v/>
      </c>
      <c r="B10363">
        <f>IF(VLOOKUP(Table7[[#This Row],[Date]],Database!$A:$C,MATCH($B$1,Database!$A$1:$C$1,),)=0,#N/A,VLOOKUP(Table7[[#This Row],[Date]],Database!$A:$C,MATCH($B$1,Database!$A$1:$C$1,),))</f>
        <v/>
      </c>
      <c r="C10363">
        <f>IF(VLOOKUP(Table7[[#This Row],[Date]],Database!$A:$C,MATCH($C$1,Database!$A$1:$C$1,),)=0,#N/A,VLOOKUP(Table7[[#This Row],[Date]],Database!$A:$C,MATCH($C$1,Database!$A$1:$C$1,),))</f>
        <v/>
      </c>
      <c r="D10363">
        <f>IFERROR(Table7[[#This Row],[United States 10y]]-Table7[[#This Row],[United States 3y]],#N/A)</f>
        <v/>
      </c>
    </row>
    <row r="10364">
      <c r="A10364" s="6">
        <f>Database!$A12449</f>
        <v/>
      </c>
      <c r="B10364">
        <f>IF(VLOOKUP(Table7[[#This Row],[Date]],Database!$A:$C,MATCH($B$1,Database!$A$1:$C$1,),)=0,#N/A,VLOOKUP(Table7[[#This Row],[Date]],Database!$A:$C,MATCH($B$1,Database!$A$1:$C$1,),))</f>
        <v/>
      </c>
      <c r="C10364">
        <f>IF(VLOOKUP(Table7[[#This Row],[Date]],Database!$A:$C,MATCH($C$1,Database!$A$1:$C$1,),)=0,#N/A,VLOOKUP(Table7[[#This Row],[Date]],Database!$A:$C,MATCH($C$1,Database!$A$1:$C$1,),))</f>
        <v/>
      </c>
      <c r="D10364">
        <f>IFERROR(Table7[[#This Row],[United States 10y]]-Table7[[#This Row],[United States 3y]],#N/A)</f>
        <v/>
      </c>
    </row>
    <row r="10365">
      <c r="A10365" s="6">
        <f>Database!$A12450</f>
        <v/>
      </c>
      <c r="B10365">
        <f>IF(VLOOKUP(Table7[[#This Row],[Date]],Database!$A:$C,MATCH($B$1,Database!$A$1:$C$1,),)=0,#N/A,VLOOKUP(Table7[[#This Row],[Date]],Database!$A:$C,MATCH($B$1,Database!$A$1:$C$1,),))</f>
        <v/>
      </c>
      <c r="C10365">
        <f>IF(VLOOKUP(Table7[[#This Row],[Date]],Database!$A:$C,MATCH($C$1,Database!$A$1:$C$1,),)=0,#N/A,VLOOKUP(Table7[[#This Row],[Date]],Database!$A:$C,MATCH($C$1,Database!$A$1:$C$1,),))</f>
        <v/>
      </c>
      <c r="D10365">
        <f>IFERROR(Table7[[#This Row],[United States 10y]]-Table7[[#This Row],[United States 3y]],#N/A)</f>
        <v/>
      </c>
    </row>
    <row r="10366">
      <c r="A10366" s="6">
        <f>Database!$A12451</f>
        <v/>
      </c>
      <c r="B10366">
        <f>IF(VLOOKUP(Table7[[#This Row],[Date]],Database!$A:$C,MATCH($B$1,Database!$A$1:$C$1,),)=0,#N/A,VLOOKUP(Table7[[#This Row],[Date]],Database!$A:$C,MATCH($B$1,Database!$A$1:$C$1,),))</f>
        <v/>
      </c>
      <c r="C10366">
        <f>IF(VLOOKUP(Table7[[#This Row],[Date]],Database!$A:$C,MATCH($C$1,Database!$A$1:$C$1,),)=0,#N/A,VLOOKUP(Table7[[#This Row],[Date]],Database!$A:$C,MATCH($C$1,Database!$A$1:$C$1,),))</f>
        <v/>
      </c>
      <c r="D10366">
        <f>IFERROR(Table7[[#This Row],[United States 10y]]-Table7[[#This Row],[United States 3y]],#N/A)</f>
        <v/>
      </c>
    </row>
    <row r="10367">
      <c r="A10367" s="6">
        <f>Database!$A12452</f>
        <v/>
      </c>
      <c r="B10367">
        <f>IF(VLOOKUP(Table7[[#This Row],[Date]],Database!$A:$C,MATCH($B$1,Database!$A$1:$C$1,),)=0,#N/A,VLOOKUP(Table7[[#This Row],[Date]],Database!$A:$C,MATCH($B$1,Database!$A$1:$C$1,),))</f>
        <v/>
      </c>
      <c r="C10367">
        <f>IF(VLOOKUP(Table7[[#This Row],[Date]],Database!$A:$C,MATCH($C$1,Database!$A$1:$C$1,),)=0,#N/A,VLOOKUP(Table7[[#This Row],[Date]],Database!$A:$C,MATCH($C$1,Database!$A$1:$C$1,),))</f>
        <v/>
      </c>
      <c r="D10367">
        <f>IFERROR(Table7[[#This Row],[United States 10y]]-Table7[[#This Row],[United States 3y]],#N/A)</f>
        <v/>
      </c>
    </row>
    <row r="10368">
      <c r="A10368" s="6">
        <f>Database!$A12453</f>
        <v/>
      </c>
      <c r="B10368">
        <f>IF(VLOOKUP(Table7[[#This Row],[Date]],Database!$A:$C,MATCH($B$1,Database!$A$1:$C$1,),)=0,#N/A,VLOOKUP(Table7[[#This Row],[Date]],Database!$A:$C,MATCH($B$1,Database!$A$1:$C$1,),))</f>
        <v/>
      </c>
      <c r="C10368">
        <f>IF(VLOOKUP(Table7[[#This Row],[Date]],Database!$A:$C,MATCH($C$1,Database!$A$1:$C$1,),)=0,#N/A,VLOOKUP(Table7[[#This Row],[Date]],Database!$A:$C,MATCH($C$1,Database!$A$1:$C$1,),))</f>
        <v/>
      </c>
      <c r="D10368">
        <f>IFERROR(Table7[[#This Row],[United States 10y]]-Table7[[#This Row],[United States 3y]],#N/A)</f>
        <v/>
      </c>
    </row>
    <row r="10369">
      <c r="A10369" s="6">
        <f>Database!$A12454</f>
        <v/>
      </c>
      <c r="B10369">
        <f>IF(VLOOKUP(Table7[[#This Row],[Date]],Database!$A:$C,MATCH($B$1,Database!$A$1:$C$1,),)=0,#N/A,VLOOKUP(Table7[[#This Row],[Date]],Database!$A:$C,MATCH($B$1,Database!$A$1:$C$1,),))</f>
        <v/>
      </c>
      <c r="C10369">
        <f>IF(VLOOKUP(Table7[[#This Row],[Date]],Database!$A:$C,MATCH($C$1,Database!$A$1:$C$1,),)=0,#N/A,VLOOKUP(Table7[[#This Row],[Date]],Database!$A:$C,MATCH($C$1,Database!$A$1:$C$1,),))</f>
        <v/>
      </c>
      <c r="D10369">
        <f>IFERROR(Table7[[#This Row],[United States 10y]]-Table7[[#This Row],[United States 3y]],#N/A)</f>
        <v/>
      </c>
    </row>
    <row r="10370">
      <c r="A10370" s="6">
        <f>Database!$A12455</f>
        <v/>
      </c>
      <c r="B10370">
        <f>IF(VLOOKUP(Table7[[#This Row],[Date]],Database!$A:$C,MATCH($B$1,Database!$A$1:$C$1,),)=0,#N/A,VLOOKUP(Table7[[#This Row],[Date]],Database!$A:$C,MATCH($B$1,Database!$A$1:$C$1,),))</f>
        <v/>
      </c>
      <c r="C10370">
        <f>IF(VLOOKUP(Table7[[#This Row],[Date]],Database!$A:$C,MATCH($C$1,Database!$A$1:$C$1,),)=0,#N/A,VLOOKUP(Table7[[#This Row],[Date]],Database!$A:$C,MATCH($C$1,Database!$A$1:$C$1,),))</f>
        <v/>
      </c>
      <c r="D10370">
        <f>IFERROR(Table7[[#This Row],[United States 10y]]-Table7[[#This Row],[United States 3y]],#N/A)</f>
        <v/>
      </c>
    </row>
    <row r="10371">
      <c r="A10371" s="6">
        <f>Database!$A12456</f>
        <v/>
      </c>
      <c r="B10371">
        <f>IF(VLOOKUP(Table7[[#This Row],[Date]],Database!$A:$C,MATCH($B$1,Database!$A$1:$C$1,),)=0,#N/A,VLOOKUP(Table7[[#This Row],[Date]],Database!$A:$C,MATCH($B$1,Database!$A$1:$C$1,),))</f>
        <v/>
      </c>
      <c r="C10371">
        <f>IF(VLOOKUP(Table7[[#This Row],[Date]],Database!$A:$C,MATCH($C$1,Database!$A$1:$C$1,),)=0,#N/A,VLOOKUP(Table7[[#This Row],[Date]],Database!$A:$C,MATCH($C$1,Database!$A$1:$C$1,),))</f>
        <v/>
      </c>
      <c r="D10371">
        <f>IFERROR(Table7[[#This Row],[United States 10y]]-Table7[[#This Row],[United States 3y]],#N/A)</f>
        <v/>
      </c>
    </row>
    <row r="10372">
      <c r="A10372" s="6">
        <f>Database!$A12457</f>
        <v/>
      </c>
      <c r="B10372">
        <f>IF(VLOOKUP(Table7[[#This Row],[Date]],Database!$A:$C,MATCH($B$1,Database!$A$1:$C$1,),)=0,#N/A,VLOOKUP(Table7[[#This Row],[Date]],Database!$A:$C,MATCH($B$1,Database!$A$1:$C$1,),))</f>
        <v/>
      </c>
      <c r="C10372">
        <f>IF(VLOOKUP(Table7[[#This Row],[Date]],Database!$A:$C,MATCH($C$1,Database!$A$1:$C$1,),)=0,#N/A,VLOOKUP(Table7[[#This Row],[Date]],Database!$A:$C,MATCH($C$1,Database!$A$1:$C$1,),))</f>
        <v/>
      </c>
      <c r="D10372">
        <f>IFERROR(Table7[[#This Row],[United States 10y]]-Table7[[#This Row],[United States 3y]],#N/A)</f>
        <v/>
      </c>
    </row>
    <row r="10373">
      <c r="A10373" s="6">
        <f>Database!$A12458</f>
        <v/>
      </c>
      <c r="B10373">
        <f>IF(VLOOKUP(Table7[[#This Row],[Date]],Database!$A:$C,MATCH($B$1,Database!$A$1:$C$1,),)=0,#N/A,VLOOKUP(Table7[[#This Row],[Date]],Database!$A:$C,MATCH($B$1,Database!$A$1:$C$1,),))</f>
        <v/>
      </c>
      <c r="C10373">
        <f>IF(VLOOKUP(Table7[[#This Row],[Date]],Database!$A:$C,MATCH($C$1,Database!$A$1:$C$1,),)=0,#N/A,VLOOKUP(Table7[[#This Row],[Date]],Database!$A:$C,MATCH($C$1,Database!$A$1:$C$1,),))</f>
        <v/>
      </c>
      <c r="D10373">
        <f>IFERROR(Table7[[#This Row],[United States 10y]]-Table7[[#This Row],[United States 3y]],#N/A)</f>
        <v/>
      </c>
    </row>
    <row r="10374">
      <c r="A10374" s="6">
        <f>Database!$A12459</f>
        <v/>
      </c>
      <c r="B10374">
        <f>IF(VLOOKUP(Table7[[#This Row],[Date]],Database!$A:$C,MATCH($B$1,Database!$A$1:$C$1,),)=0,#N/A,VLOOKUP(Table7[[#This Row],[Date]],Database!$A:$C,MATCH($B$1,Database!$A$1:$C$1,),))</f>
        <v/>
      </c>
      <c r="C10374">
        <f>IF(VLOOKUP(Table7[[#This Row],[Date]],Database!$A:$C,MATCH($C$1,Database!$A$1:$C$1,),)=0,#N/A,VLOOKUP(Table7[[#This Row],[Date]],Database!$A:$C,MATCH($C$1,Database!$A$1:$C$1,),))</f>
        <v/>
      </c>
      <c r="D10374">
        <f>IFERROR(Table7[[#This Row],[United States 10y]]-Table7[[#This Row],[United States 3y]],#N/A)</f>
        <v/>
      </c>
    </row>
    <row r="10375">
      <c r="A10375" s="6">
        <f>Database!$A12460</f>
        <v/>
      </c>
      <c r="B10375">
        <f>IF(VLOOKUP(Table7[[#This Row],[Date]],Database!$A:$C,MATCH($B$1,Database!$A$1:$C$1,),)=0,#N/A,VLOOKUP(Table7[[#This Row],[Date]],Database!$A:$C,MATCH($B$1,Database!$A$1:$C$1,),))</f>
        <v/>
      </c>
      <c r="C10375">
        <f>IF(VLOOKUP(Table7[[#This Row],[Date]],Database!$A:$C,MATCH($C$1,Database!$A$1:$C$1,),)=0,#N/A,VLOOKUP(Table7[[#This Row],[Date]],Database!$A:$C,MATCH($C$1,Database!$A$1:$C$1,),))</f>
        <v/>
      </c>
      <c r="D10375">
        <f>IFERROR(Table7[[#This Row],[United States 10y]]-Table7[[#This Row],[United States 3y]],#N/A)</f>
        <v/>
      </c>
    </row>
    <row r="10376">
      <c r="A10376" s="6">
        <f>Database!$A12461</f>
        <v/>
      </c>
      <c r="B10376">
        <f>IF(VLOOKUP(Table7[[#This Row],[Date]],Database!$A:$C,MATCH($B$1,Database!$A$1:$C$1,),)=0,#N/A,VLOOKUP(Table7[[#This Row],[Date]],Database!$A:$C,MATCH($B$1,Database!$A$1:$C$1,),))</f>
        <v/>
      </c>
      <c r="C10376">
        <f>IF(VLOOKUP(Table7[[#This Row],[Date]],Database!$A:$C,MATCH($C$1,Database!$A$1:$C$1,),)=0,#N/A,VLOOKUP(Table7[[#This Row],[Date]],Database!$A:$C,MATCH($C$1,Database!$A$1:$C$1,),))</f>
        <v/>
      </c>
      <c r="D10376">
        <f>IFERROR(Table7[[#This Row],[United States 10y]]-Table7[[#This Row],[United States 3y]],#N/A)</f>
        <v/>
      </c>
    </row>
    <row r="10377">
      <c r="A10377" s="6">
        <f>Database!$A12462</f>
        <v/>
      </c>
      <c r="B10377">
        <f>IF(VLOOKUP(Table7[[#This Row],[Date]],Database!$A:$C,MATCH($B$1,Database!$A$1:$C$1,),)=0,#N/A,VLOOKUP(Table7[[#This Row],[Date]],Database!$A:$C,MATCH($B$1,Database!$A$1:$C$1,),))</f>
        <v/>
      </c>
      <c r="C10377">
        <f>IF(VLOOKUP(Table7[[#This Row],[Date]],Database!$A:$C,MATCH($C$1,Database!$A$1:$C$1,),)=0,#N/A,VLOOKUP(Table7[[#This Row],[Date]],Database!$A:$C,MATCH($C$1,Database!$A$1:$C$1,),))</f>
        <v/>
      </c>
      <c r="D10377">
        <f>IFERROR(Table7[[#This Row],[United States 10y]]-Table7[[#This Row],[United States 3y]],#N/A)</f>
        <v/>
      </c>
    </row>
    <row r="10378">
      <c r="A10378" s="6">
        <f>Database!$A12463</f>
        <v/>
      </c>
      <c r="B10378">
        <f>IF(VLOOKUP(Table7[[#This Row],[Date]],Database!$A:$C,MATCH($B$1,Database!$A$1:$C$1,),)=0,#N/A,VLOOKUP(Table7[[#This Row],[Date]],Database!$A:$C,MATCH($B$1,Database!$A$1:$C$1,),))</f>
        <v/>
      </c>
      <c r="C10378">
        <f>IF(VLOOKUP(Table7[[#This Row],[Date]],Database!$A:$C,MATCH($C$1,Database!$A$1:$C$1,),)=0,#N/A,VLOOKUP(Table7[[#This Row],[Date]],Database!$A:$C,MATCH($C$1,Database!$A$1:$C$1,),))</f>
        <v/>
      </c>
      <c r="D10378">
        <f>IFERROR(Table7[[#This Row],[United States 10y]]-Table7[[#This Row],[United States 3y]],#N/A)</f>
        <v/>
      </c>
    </row>
    <row r="10379">
      <c r="A10379" s="6">
        <f>Database!$A12464</f>
        <v/>
      </c>
      <c r="B10379">
        <f>IF(VLOOKUP(Table7[[#This Row],[Date]],Database!$A:$C,MATCH($B$1,Database!$A$1:$C$1,),)=0,#N/A,VLOOKUP(Table7[[#This Row],[Date]],Database!$A:$C,MATCH($B$1,Database!$A$1:$C$1,),))</f>
        <v/>
      </c>
      <c r="C10379">
        <f>IF(VLOOKUP(Table7[[#This Row],[Date]],Database!$A:$C,MATCH($C$1,Database!$A$1:$C$1,),)=0,#N/A,VLOOKUP(Table7[[#This Row],[Date]],Database!$A:$C,MATCH($C$1,Database!$A$1:$C$1,),))</f>
        <v/>
      </c>
      <c r="D10379">
        <f>IFERROR(Table7[[#This Row],[United States 10y]]-Table7[[#This Row],[United States 3y]],#N/A)</f>
        <v/>
      </c>
    </row>
    <row r="10380">
      <c r="A10380" s="6">
        <f>Database!$A12465</f>
        <v/>
      </c>
      <c r="B10380">
        <f>IF(VLOOKUP(Table7[[#This Row],[Date]],Database!$A:$C,MATCH($B$1,Database!$A$1:$C$1,),)=0,#N/A,VLOOKUP(Table7[[#This Row],[Date]],Database!$A:$C,MATCH($B$1,Database!$A$1:$C$1,),))</f>
        <v/>
      </c>
      <c r="C10380">
        <f>IF(VLOOKUP(Table7[[#This Row],[Date]],Database!$A:$C,MATCH($C$1,Database!$A$1:$C$1,),)=0,#N/A,VLOOKUP(Table7[[#This Row],[Date]],Database!$A:$C,MATCH($C$1,Database!$A$1:$C$1,),))</f>
        <v/>
      </c>
      <c r="D10380">
        <f>IFERROR(Table7[[#This Row],[United States 10y]]-Table7[[#This Row],[United States 3y]],#N/A)</f>
        <v/>
      </c>
    </row>
    <row r="10381">
      <c r="A10381" s="6">
        <f>Database!$A12466</f>
        <v/>
      </c>
      <c r="B10381">
        <f>IF(VLOOKUP(Table7[[#This Row],[Date]],Database!$A:$C,MATCH($B$1,Database!$A$1:$C$1,),)=0,#N/A,VLOOKUP(Table7[[#This Row],[Date]],Database!$A:$C,MATCH($B$1,Database!$A$1:$C$1,),))</f>
        <v/>
      </c>
      <c r="C10381">
        <f>IF(VLOOKUP(Table7[[#This Row],[Date]],Database!$A:$C,MATCH($C$1,Database!$A$1:$C$1,),)=0,#N/A,VLOOKUP(Table7[[#This Row],[Date]],Database!$A:$C,MATCH($C$1,Database!$A$1:$C$1,),))</f>
        <v/>
      </c>
      <c r="D10381">
        <f>IFERROR(Table7[[#This Row],[United States 10y]]-Table7[[#This Row],[United States 3y]],#N/A)</f>
        <v/>
      </c>
    </row>
    <row r="10382">
      <c r="A10382" s="6">
        <f>Database!$A12467</f>
        <v/>
      </c>
      <c r="B10382">
        <f>IF(VLOOKUP(Table7[[#This Row],[Date]],Database!$A:$C,MATCH($B$1,Database!$A$1:$C$1,),)=0,#N/A,VLOOKUP(Table7[[#This Row],[Date]],Database!$A:$C,MATCH($B$1,Database!$A$1:$C$1,),))</f>
        <v/>
      </c>
      <c r="C10382">
        <f>IF(VLOOKUP(Table7[[#This Row],[Date]],Database!$A:$C,MATCH($C$1,Database!$A$1:$C$1,),)=0,#N/A,VLOOKUP(Table7[[#This Row],[Date]],Database!$A:$C,MATCH($C$1,Database!$A$1:$C$1,),))</f>
        <v/>
      </c>
      <c r="D10382">
        <f>IFERROR(Table7[[#This Row],[United States 10y]]-Table7[[#This Row],[United States 3y]],#N/A)</f>
        <v/>
      </c>
    </row>
    <row r="10383">
      <c r="A10383" s="6">
        <f>Database!$A12468</f>
        <v/>
      </c>
      <c r="B10383">
        <f>IF(VLOOKUP(Table7[[#This Row],[Date]],Database!$A:$C,MATCH($B$1,Database!$A$1:$C$1,),)=0,#N/A,VLOOKUP(Table7[[#This Row],[Date]],Database!$A:$C,MATCH($B$1,Database!$A$1:$C$1,),))</f>
        <v/>
      </c>
      <c r="C10383">
        <f>IF(VLOOKUP(Table7[[#This Row],[Date]],Database!$A:$C,MATCH($C$1,Database!$A$1:$C$1,),)=0,#N/A,VLOOKUP(Table7[[#This Row],[Date]],Database!$A:$C,MATCH($C$1,Database!$A$1:$C$1,),))</f>
        <v/>
      </c>
      <c r="D10383">
        <f>IFERROR(Table7[[#This Row],[United States 10y]]-Table7[[#This Row],[United States 3y]],#N/A)</f>
        <v/>
      </c>
    </row>
    <row r="10384">
      <c r="A10384" s="6">
        <f>Database!$A12469</f>
        <v/>
      </c>
      <c r="B10384">
        <f>IF(VLOOKUP(Table7[[#This Row],[Date]],Database!$A:$C,MATCH($B$1,Database!$A$1:$C$1,),)=0,#N/A,VLOOKUP(Table7[[#This Row],[Date]],Database!$A:$C,MATCH($B$1,Database!$A$1:$C$1,),))</f>
        <v/>
      </c>
      <c r="C10384">
        <f>IF(VLOOKUP(Table7[[#This Row],[Date]],Database!$A:$C,MATCH($C$1,Database!$A$1:$C$1,),)=0,#N/A,VLOOKUP(Table7[[#This Row],[Date]],Database!$A:$C,MATCH($C$1,Database!$A$1:$C$1,),))</f>
        <v/>
      </c>
      <c r="D10384">
        <f>IFERROR(Table7[[#This Row],[United States 10y]]-Table7[[#This Row],[United States 3y]],#N/A)</f>
        <v/>
      </c>
    </row>
    <row r="10385">
      <c r="A10385" s="6">
        <f>Database!$A12470</f>
        <v/>
      </c>
      <c r="B10385">
        <f>IF(VLOOKUP(Table7[[#This Row],[Date]],Database!$A:$C,MATCH($B$1,Database!$A$1:$C$1,),)=0,#N/A,VLOOKUP(Table7[[#This Row],[Date]],Database!$A:$C,MATCH($B$1,Database!$A$1:$C$1,),))</f>
        <v/>
      </c>
      <c r="C10385">
        <f>IF(VLOOKUP(Table7[[#This Row],[Date]],Database!$A:$C,MATCH($C$1,Database!$A$1:$C$1,),)=0,#N/A,VLOOKUP(Table7[[#This Row],[Date]],Database!$A:$C,MATCH($C$1,Database!$A$1:$C$1,),))</f>
        <v/>
      </c>
      <c r="D10385">
        <f>IFERROR(Table7[[#This Row],[United States 10y]]-Table7[[#This Row],[United States 3y]],#N/A)</f>
        <v/>
      </c>
    </row>
    <row r="10386">
      <c r="A10386" s="6">
        <f>Database!$A12471</f>
        <v/>
      </c>
      <c r="B10386">
        <f>IF(VLOOKUP(Table7[[#This Row],[Date]],Database!$A:$C,MATCH($B$1,Database!$A$1:$C$1,),)=0,#N/A,VLOOKUP(Table7[[#This Row],[Date]],Database!$A:$C,MATCH($B$1,Database!$A$1:$C$1,),))</f>
        <v/>
      </c>
      <c r="C10386">
        <f>IF(VLOOKUP(Table7[[#This Row],[Date]],Database!$A:$C,MATCH($C$1,Database!$A$1:$C$1,),)=0,#N/A,VLOOKUP(Table7[[#This Row],[Date]],Database!$A:$C,MATCH($C$1,Database!$A$1:$C$1,),))</f>
        <v/>
      </c>
      <c r="D10386">
        <f>IFERROR(Table7[[#This Row],[United States 10y]]-Table7[[#This Row],[United States 3y]],#N/A)</f>
        <v/>
      </c>
    </row>
    <row r="10387">
      <c r="A10387" s="6">
        <f>Database!$A12472</f>
        <v/>
      </c>
      <c r="B10387">
        <f>IF(VLOOKUP(Table7[[#This Row],[Date]],Database!$A:$C,MATCH($B$1,Database!$A$1:$C$1,),)=0,#N/A,VLOOKUP(Table7[[#This Row],[Date]],Database!$A:$C,MATCH($B$1,Database!$A$1:$C$1,),))</f>
        <v/>
      </c>
      <c r="C10387">
        <f>IF(VLOOKUP(Table7[[#This Row],[Date]],Database!$A:$C,MATCH($C$1,Database!$A$1:$C$1,),)=0,#N/A,VLOOKUP(Table7[[#This Row],[Date]],Database!$A:$C,MATCH($C$1,Database!$A$1:$C$1,),))</f>
        <v/>
      </c>
      <c r="D10387">
        <f>IFERROR(Table7[[#This Row],[United States 10y]]-Table7[[#This Row],[United States 3y]],#N/A)</f>
        <v/>
      </c>
    </row>
    <row r="10388">
      <c r="A10388" s="6">
        <f>Database!$A12473</f>
        <v/>
      </c>
      <c r="B10388">
        <f>IF(VLOOKUP(Table7[[#This Row],[Date]],Database!$A:$C,MATCH($B$1,Database!$A$1:$C$1,),)=0,#N/A,VLOOKUP(Table7[[#This Row],[Date]],Database!$A:$C,MATCH($B$1,Database!$A$1:$C$1,),))</f>
        <v/>
      </c>
      <c r="C10388">
        <f>IF(VLOOKUP(Table7[[#This Row],[Date]],Database!$A:$C,MATCH($C$1,Database!$A$1:$C$1,),)=0,#N/A,VLOOKUP(Table7[[#This Row],[Date]],Database!$A:$C,MATCH($C$1,Database!$A$1:$C$1,),))</f>
        <v/>
      </c>
      <c r="D10388">
        <f>IFERROR(Table7[[#This Row],[United States 10y]]-Table7[[#This Row],[United States 3y]],#N/A)</f>
        <v/>
      </c>
    </row>
    <row r="10389">
      <c r="A10389" s="6">
        <f>Database!$A12474</f>
        <v/>
      </c>
      <c r="B10389">
        <f>IF(VLOOKUP(Table7[[#This Row],[Date]],Database!$A:$C,MATCH($B$1,Database!$A$1:$C$1,),)=0,#N/A,VLOOKUP(Table7[[#This Row],[Date]],Database!$A:$C,MATCH($B$1,Database!$A$1:$C$1,),))</f>
        <v/>
      </c>
      <c r="C10389">
        <f>IF(VLOOKUP(Table7[[#This Row],[Date]],Database!$A:$C,MATCH($C$1,Database!$A$1:$C$1,),)=0,#N/A,VLOOKUP(Table7[[#This Row],[Date]],Database!$A:$C,MATCH($C$1,Database!$A$1:$C$1,),))</f>
        <v/>
      </c>
      <c r="D10389">
        <f>IFERROR(Table7[[#This Row],[United States 10y]]-Table7[[#This Row],[United States 3y]],#N/A)</f>
        <v/>
      </c>
    </row>
    <row r="10390">
      <c r="A10390" s="6">
        <f>Database!$A12475</f>
        <v/>
      </c>
      <c r="B10390">
        <f>IF(VLOOKUP(Table7[[#This Row],[Date]],Database!$A:$C,MATCH($B$1,Database!$A$1:$C$1,),)=0,#N/A,VLOOKUP(Table7[[#This Row],[Date]],Database!$A:$C,MATCH($B$1,Database!$A$1:$C$1,),))</f>
        <v/>
      </c>
      <c r="C10390">
        <f>IF(VLOOKUP(Table7[[#This Row],[Date]],Database!$A:$C,MATCH($C$1,Database!$A$1:$C$1,),)=0,#N/A,VLOOKUP(Table7[[#This Row],[Date]],Database!$A:$C,MATCH($C$1,Database!$A$1:$C$1,),))</f>
        <v/>
      </c>
      <c r="D10390">
        <f>IFERROR(Table7[[#This Row],[United States 10y]]-Table7[[#This Row],[United States 3y]],#N/A)</f>
        <v/>
      </c>
    </row>
    <row r="10391">
      <c r="A10391" s="6">
        <f>Database!$A12476</f>
        <v/>
      </c>
      <c r="B10391">
        <f>IF(VLOOKUP(Table7[[#This Row],[Date]],Database!$A:$C,MATCH($B$1,Database!$A$1:$C$1,),)=0,#N/A,VLOOKUP(Table7[[#This Row],[Date]],Database!$A:$C,MATCH($B$1,Database!$A$1:$C$1,),))</f>
        <v/>
      </c>
      <c r="C10391">
        <f>IF(VLOOKUP(Table7[[#This Row],[Date]],Database!$A:$C,MATCH($C$1,Database!$A$1:$C$1,),)=0,#N/A,VLOOKUP(Table7[[#This Row],[Date]],Database!$A:$C,MATCH($C$1,Database!$A$1:$C$1,),))</f>
        <v/>
      </c>
      <c r="D10391">
        <f>IFERROR(Table7[[#This Row],[United States 10y]]-Table7[[#This Row],[United States 3y]],#N/A)</f>
        <v/>
      </c>
    </row>
    <row r="10392">
      <c r="A10392" s="6">
        <f>Database!$A12477</f>
        <v/>
      </c>
      <c r="B10392">
        <f>IF(VLOOKUP(Table7[[#This Row],[Date]],Database!$A:$C,MATCH($B$1,Database!$A$1:$C$1,),)=0,#N/A,VLOOKUP(Table7[[#This Row],[Date]],Database!$A:$C,MATCH($B$1,Database!$A$1:$C$1,),))</f>
        <v/>
      </c>
      <c r="C10392">
        <f>IF(VLOOKUP(Table7[[#This Row],[Date]],Database!$A:$C,MATCH($C$1,Database!$A$1:$C$1,),)=0,#N/A,VLOOKUP(Table7[[#This Row],[Date]],Database!$A:$C,MATCH($C$1,Database!$A$1:$C$1,),))</f>
        <v/>
      </c>
      <c r="D10392">
        <f>IFERROR(Table7[[#This Row],[United States 10y]]-Table7[[#This Row],[United States 3y]],#N/A)</f>
        <v/>
      </c>
    </row>
    <row r="10393">
      <c r="A10393" s="6">
        <f>Database!$A12478</f>
        <v/>
      </c>
      <c r="B10393">
        <f>IF(VLOOKUP(Table7[[#This Row],[Date]],Database!$A:$C,MATCH($B$1,Database!$A$1:$C$1,),)=0,#N/A,VLOOKUP(Table7[[#This Row],[Date]],Database!$A:$C,MATCH($B$1,Database!$A$1:$C$1,),))</f>
        <v/>
      </c>
      <c r="C10393">
        <f>IF(VLOOKUP(Table7[[#This Row],[Date]],Database!$A:$C,MATCH($C$1,Database!$A$1:$C$1,),)=0,#N/A,VLOOKUP(Table7[[#This Row],[Date]],Database!$A:$C,MATCH($C$1,Database!$A$1:$C$1,),))</f>
        <v/>
      </c>
      <c r="D10393">
        <f>IFERROR(Table7[[#This Row],[United States 10y]]-Table7[[#This Row],[United States 3y]],#N/A)</f>
        <v/>
      </c>
    </row>
    <row r="10394">
      <c r="A10394" s="6">
        <f>Database!$A12479</f>
        <v/>
      </c>
      <c r="B10394">
        <f>IF(VLOOKUP(Table7[[#This Row],[Date]],Database!$A:$C,MATCH($B$1,Database!$A$1:$C$1,),)=0,#N/A,VLOOKUP(Table7[[#This Row],[Date]],Database!$A:$C,MATCH($B$1,Database!$A$1:$C$1,),))</f>
        <v/>
      </c>
      <c r="C10394">
        <f>IF(VLOOKUP(Table7[[#This Row],[Date]],Database!$A:$C,MATCH($C$1,Database!$A$1:$C$1,),)=0,#N/A,VLOOKUP(Table7[[#This Row],[Date]],Database!$A:$C,MATCH($C$1,Database!$A$1:$C$1,),))</f>
        <v/>
      </c>
      <c r="D10394">
        <f>IFERROR(Table7[[#This Row],[United States 10y]]-Table7[[#This Row],[United States 3y]],#N/A)</f>
        <v/>
      </c>
    </row>
    <row r="10395">
      <c r="A10395" s="6">
        <f>Database!$A12480</f>
        <v/>
      </c>
      <c r="B10395">
        <f>IF(VLOOKUP(Table7[[#This Row],[Date]],Database!$A:$C,MATCH($B$1,Database!$A$1:$C$1,),)=0,#N/A,VLOOKUP(Table7[[#This Row],[Date]],Database!$A:$C,MATCH($B$1,Database!$A$1:$C$1,),))</f>
        <v/>
      </c>
      <c r="C10395">
        <f>IF(VLOOKUP(Table7[[#This Row],[Date]],Database!$A:$C,MATCH($C$1,Database!$A$1:$C$1,),)=0,#N/A,VLOOKUP(Table7[[#This Row],[Date]],Database!$A:$C,MATCH($C$1,Database!$A$1:$C$1,),))</f>
        <v/>
      </c>
      <c r="D10395">
        <f>IFERROR(Table7[[#This Row],[United States 10y]]-Table7[[#This Row],[United States 3y]],#N/A)</f>
        <v/>
      </c>
    </row>
    <row r="10396">
      <c r="A10396" s="6">
        <f>Database!$A12481</f>
        <v/>
      </c>
      <c r="B10396">
        <f>IF(VLOOKUP(Table7[[#This Row],[Date]],Database!$A:$C,MATCH($B$1,Database!$A$1:$C$1,),)=0,#N/A,VLOOKUP(Table7[[#This Row],[Date]],Database!$A:$C,MATCH($B$1,Database!$A$1:$C$1,),))</f>
        <v/>
      </c>
      <c r="C10396">
        <f>IF(VLOOKUP(Table7[[#This Row],[Date]],Database!$A:$C,MATCH($C$1,Database!$A$1:$C$1,),)=0,#N/A,VLOOKUP(Table7[[#This Row],[Date]],Database!$A:$C,MATCH($C$1,Database!$A$1:$C$1,),))</f>
        <v/>
      </c>
      <c r="D10396">
        <f>IFERROR(Table7[[#This Row],[United States 10y]]-Table7[[#This Row],[United States 3y]],#N/A)</f>
        <v/>
      </c>
    </row>
    <row r="10397">
      <c r="A10397" s="6">
        <f>Database!$A12482</f>
        <v/>
      </c>
      <c r="B10397">
        <f>IF(VLOOKUP(Table7[[#This Row],[Date]],Database!$A:$C,MATCH($B$1,Database!$A$1:$C$1,),)=0,#N/A,VLOOKUP(Table7[[#This Row],[Date]],Database!$A:$C,MATCH($B$1,Database!$A$1:$C$1,),))</f>
        <v/>
      </c>
      <c r="C10397">
        <f>IF(VLOOKUP(Table7[[#This Row],[Date]],Database!$A:$C,MATCH($C$1,Database!$A$1:$C$1,),)=0,#N/A,VLOOKUP(Table7[[#This Row],[Date]],Database!$A:$C,MATCH($C$1,Database!$A$1:$C$1,),))</f>
        <v/>
      </c>
      <c r="D10397">
        <f>IFERROR(Table7[[#This Row],[United States 10y]]-Table7[[#This Row],[United States 3y]],#N/A)</f>
        <v/>
      </c>
    </row>
    <row r="10398">
      <c r="A10398" s="6">
        <f>Database!$A12483</f>
        <v/>
      </c>
      <c r="B10398">
        <f>IF(VLOOKUP(Table7[[#This Row],[Date]],Database!$A:$C,MATCH($B$1,Database!$A$1:$C$1,),)=0,#N/A,VLOOKUP(Table7[[#This Row],[Date]],Database!$A:$C,MATCH($B$1,Database!$A$1:$C$1,),))</f>
        <v/>
      </c>
      <c r="C10398">
        <f>IF(VLOOKUP(Table7[[#This Row],[Date]],Database!$A:$C,MATCH($C$1,Database!$A$1:$C$1,),)=0,#N/A,VLOOKUP(Table7[[#This Row],[Date]],Database!$A:$C,MATCH($C$1,Database!$A$1:$C$1,),))</f>
        <v/>
      </c>
      <c r="D10398">
        <f>IFERROR(Table7[[#This Row],[United States 10y]]-Table7[[#This Row],[United States 3y]],#N/A)</f>
        <v/>
      </c>
    </row>
    <row r="10399">
      <c r="A10399" s="6">
        <f>Database!$A12484</f>
        <v/>
      </c>
      <c r="B10399">
        <f>IF(VLOOKUP(Table7[[#This Row],[Date]],Database!$A:$C,MATCH($B$1,Database!$A$1:$C$1,),)=0,#N/A,VLOOKUP(Table7[[#This Row],[Date]],Database!$A:$C,MATCH($B$1,Database!$A$1:$C$1,),))</f>
        <v/>
      </c>
      <c r="C10399">
        <f>IF(VLOOKUP(Table7[[#This Row],[Date]],Database!$A:$C,MATCH($C$1,Database!$A$1:$C$1,),)=0,#N/A,VLOOKUP(Table7[[#This Row],[Date]],Database!$A:$C,MATCH($C$1,Database!$A$1:$C$1,),))</f>
        <v/>
      </c>
      <c r="D10399">
        <f>IFERROR(Table7[[#This Row],[United States 10y]]-Table7[[#This Row],[United States 3y]],#N/A)</f>
        <v/>
      </c>
    </row>
    <row r="10400">
      <c r="A10400" s="6">
        <f>Database!$A12485</f>
        <v/>
      </c>
      <c r="B10400">
        <f>IF(VLOOKUP(Table7[[#This Row],[Date]],Database!$A:$C,MATCH($B$1,Database!$A$1:$C$1,),)=0,#N/A,VLOOKUP(Table7[[#This Row],[Date]],Database!$A:$C,MATCH($B$1,Database!$A$1:$C$1,),))</f>
        <v/>
      </c>
      <c r="C10400">
        <f>IF(VLOOKUP(Table7[[#This Row],[Date]],Database!$A:$C,MATCH($C$1,Database!$A$1:$C$1,),)=0,#N/A,VLOOKUP(Table7[[#This Row],[Date]],Database!$A:$C,MATCH($C$1,Database!$A$1:$C$1,),))</f>
        <v/>
      </c>
      <c r="D10400">
        <f>IFERROR(Table7[[#This Row],[United States 10y]]-Table7[[#This Row],[United States 3y]],#N/A)</f>
        <v/>
      </c>
    </row>
    <row r="10401">
      <c r="A10401" s="6">
        <f>Database!$A12486</f>
        <v/>
      </c>
      <c r="B10401">
        <f>IF(VLOOKUP(Table7[[#This Row],[Date]],Database!$A:$C,MATCH($B$1,Database!$A$1:$C$1,),)=0,#N/A,VLOOKUP(Table7[[#This Row],[Date]],Database!$A:$C,MATCH($B$1,Database!$A$1:$C$1,),))</f>
        <v/>
      </c>
      <c r="C10401">
        <f>IF(VLOOKUP(Table7[[#This Row],[Date]],Database!$A:$C,MATCH($C$1,Database!$A$1:$C$1,),)=0,#N/A,VLOOKUP(Table7[[#This Row],[Date]],Database!$A:$C,MATCH($C$1,Database!$A$1:$C$1,),))</f>
        <v/>
      </c>
      <c r="D10401">
        <f>IFERROR(Table7[[#This Row],[United States 10y]]-Table7[[#This Row],[United States 3y]],#N/A)</f>
        <v/>
      </c>
    </row>
    <row r="10402">
      <c r="A10402" s="6">
        <f>Database!$A12487</f>
        <v/>
      </c>
      <c r="B10402">
        <f>IF(VLOOKUP(Table7[[#This Row],[Date]],Database!$A:$C,MATCH($B$1,Database!$A$1:$C$1,),)=0,#N/A,VLOOKUP(Table7[[#This Row],[Date]],Database!$A:$C,MATCH($B$1,Database!$A$1:$C$1,),))</f>
        <v/>
      </c>
      <c r="C10402">
        <f>IF(VLOOKUP(Table7[[#This Row],[Date]],Database!$A:$C,MATCH($C$1,Database!$A$1:$C$1,),)=0,#N/A,VLOOKUP(Table7[[#This Row],[Date]],Database!$A:$C,MATCH($C$1,Database!$A$1:$C$1,),))</f>
        <v/>
      </c>
      <c r="D10402">
        <f>IFERROR(Table7[[#This Row],[United States 10y]]-Table7[[#This Row],[United States 3y]],#N/A)</f>
        <v/>
      </c>
    </row>
    <row r="10403">
      <c r="A10403" s="6">
        <f>Database!$A12488</f>
        <v/>
      </c>
      <c r="B10403">
        <f>IF(VLOOKUP(Table7[[#This Row],[Date]],Database!$A:$C,MATCH($B$1,Database!$A$1:$C$1,),)=0,#N/A,VLOOKUP(Table7[[#This Row],[Date]],Database!$A:$C,MATCH($B$1,Database!$A$1:$C$1,),))</f>
        <v/>
      </c>
      <c r="C10403">
        <f>IF(VLOOKUP(Table7[[#This Row],[Date]],Database!$A:$C,MATCH($C$1,Database!$A$1:$C$1,),)=0,#N/A,VLOOKUP(Table7[[#This Row],[Date]],Database!$A:$C,MATCH($C$1,Database!$A$1:$C$1,),))</f>
        <v/>
      </c>
      <c r="D10403">
        <f>IFERROR(Table7[[#This Row],[United States 10y]]-Table7[[#This Row],[United States 3y]],#N/A)</f>
        <v/>
      </c>
    </row>
    <row r="10404">
      <c r="A10404" s="6">
        <f>Database!$A12489</f>
        <v/>
      </c>
      <c r="B10404">
        <f>IF(VLOOKUP(Table7[[#This Row],[Date]],Database!$A:$C,MATCH($B$1,Database!$A$1:$C$1,),)=0,#N/A,VLOOKUP(Table7[[#This Row],[Date]],Database!$A:$C,MATCH($B$1,Database!$A$1:$C$1,),))</f>
        <v/>
      </c>
      <c r="C10404">
        <f>IF(VLOOKUP(Table7[[#This Row],[Date]],Database!$A:$C,MATCH($C$1,Database!$A$1:$C$1,),)=0,#N/A,VLOOKUP(Table7[[#This Row],[Date]],Database!$A:$C,MATCH($C$1,Database!$A$1:$C$1,),))</f>
        <v/>
      </c>
      <c r="D10404">
        <f>IFERROR(Table7[[#This Row],[United States 10y]]-Table7[[#This Row],[United States 3y]],#N/A)</f>
        <v/>
      </c>
    </row>
    <row r="10405">
      <c r="A10405" s="6">
        <f>Database!$A12490</f>
        <v/>
      </c>
      <c r="B10405">
        <f>IF(VLOOKUP(Table7[[#This Row],[Date]],Database!$A:$C,MATCH($B$1,Database!$A$1:$C$1,),)=0,#N/A,VLOOKUP(Table7[[#This Row],[Date]],Database!$A:$C,MATCH($B$1,Database!$A$1:$C$1,),))</f>
        <v/>
      </c>
      <c r="C10405">
        <f>IF(VLOOKUP(Table7[[#This Row],[Date]],Database!$A:$C,MATCH($C$1,Database!$A$1:$C$1,),)=0,#N/A,VLOOKUP(Table7[[#This Row],[Date]],Database!$A:$C,MATCH($C$1,Database!$A$1:$C$1,),))</f>
        <v/>
      </c>
      <c r="D10405">
        <f>IFERROR(Table7[[#This Row],[United States 10y]]-Table7[[#This Row],[United States 3y]],#N/A)</f>
        <v/>
      </c>
    </row>
    <row r="10406">
      <c r="A10406" s="6">
        <f>Database!$A12491</f>
        <v/>
      </c>
      <c r="B10406">
        <f>IF(VLOOKUP(Table7[[#This Row],[Date]],Database!$A:$C,MATCH($B$1,Database!$A$1:$C$1,),)=0,#N/A,VLOOKUP(Table7[[#This Row],[Date]],Database!$A:$C,MATCH($B$1,Database!$A$1:$C$1,),))</f>
        <v/>
      </c>
      <c r="C10406">
        <f>IF(VLOOKUP(Table7[[#This Row],[Date]],Database!$A:$C,MATCH($C$1,Database!$A$1:$C$1,),)=0,#N/A,VLOOKUP(Table7[[#This Row],[Date]],Database!$A:$C,MATCH($C$1,Database!$A$1:$C$1,),))</f>
        <v/>
      </c>
      <c r="D10406">
        <f>IFERROR(Table7[[#This Row],[United States 10y]]-Table7[[#This Row],[United States 3y]],#N/A)</f>
        <v/>
      </c>
    </row>
    <row r="10407">
      <c r="A10407" s="6">
        <f>Database!$A12492</f>
        <v/>
      </c>
      <c r="B10407">
        <f>IF(VLOOKUP(Table7[[#This Row],[Date]],Database!$A:$C,MATCH($B$1,Database!$A$1:$C$1,),)=0,#N/A,VLOOKUP(Table7[[#This Row],[Date]],Database!$A:$C,MATCH($B$1,Database!$A$1:$C$1,),))</f>
        <v/>
      </c>
      <c r="C10407">
        <f>IF(VLOOKUP(Table7[[#This Row],[Date]],Database!$A:$C,MATCH($C$1,Database!$A$1:$C$1,),)=0,#N/A,VLOOKUP(Table7[[#This Row],[Date]],Database!$A:$C,MATCH($C$1,Database!$A$1:$C$1,),))</f>
        <v/>
      </c>
      <c r="D10407">
        <f>IFERROR(Table7[[#This Row],[United States 10y]]-Table7[[#This Row],[United States 3y]],#N/A)</f>
        <v/>
      </c>
    </row>
    <row r="10408">
      <c r="A10408" s="6">
        <f>Database!$A12493</f>
        <v/>
      </c>
      <c r="B10408">
        <f>IF(VLOOKUP(Table7[[#This Row],[Date]],Database!$A:$C,MATCH($B$1,Database!$A$1:$C$1,),)=0,#N/A,VLOOKUP(Table7[[#This Row],[Date]],Database!$A:$C,MATCH($B$1,Database!$A$1:$C$1,),))</f>
        <v/>
      </c>
      <c r="C10408">
        <f>IF(VLOOKUP(Table7[[#This Row],[Date]],Database!$A:$C,MATCH($C$1,Database!$A$1:$C$1,),)=0,#N/A,VLOOKUP(Table7[[#This Row],[Date]],Database!$A:$C,MATCH($C$1,Database!$A$1:$C$1,),))</f>
        <v/>
      </c>
      <c r="D10408">
        <f>IFERROR(Table7[[#This Row],[United States 10y]]-Table7[[#This Row],[United States 3y]],#N/A)</f>
        <v/>
      </c>
    </row>
    <row r="10409">
      <c r="A10409" s="6">
        <f>Database!$A12494</f>
        <v/>
      </c>
      <c r="B10409">
        <f>IF(VLOOKUP(Table7[[#This Row],[Date]],Database!$A:$C,MATCH($B$1,Database!$A$1:$C$1,),)=0,#N/A,VLOOKUP(Table7[[#This Row],[Date]],Database!$A:$C,MATCH($B$1,Database!$A$1:$C$1,),))</f>
        <v/>
      </c>
      <c r="C10409">
        <f>IF(VLOOKUP(Table7[[#This Row],[Date]],Database!$A:$C,MATCH($C$1,Database!$A$1:$C$1,),)=0,#N/A,VLOOKUP(Table7[[#This Row],[Date]],Database!$A:$C,MATCH($C$1,Database!$A$1:$C$1,),))</f>
        <v/>
      </c>
      <c r="D10409">
        <f>IFERROR(Table7[[#This Row],[United States 10y]]-Table7[[#This Row],[United States 3y]],#N/A)</f>
        <v/>
      </c>
    </row>
    <row r="10410">
      <c r="A10410" s="6">
        <f>Database!$A12495</f>
        <v/>
      </c>
      <c r="B10410">
        <f>IF(VLOOKUP(Table7[[#This Row],[Date]],Database!$A:$C,MATCH($B$1,Database!$A$1:$C$1,),)=0,#N/A,VLOOKUP(Table7[[#This Row],[Date]],Database!$A:$C,MATCH($B$1,Database!$A$1:$C$1,),))</f>
        <v/>
      </c>
      <c r="C10410">
        <f>IF(VLOOKUP(Table7[[#This Row],[Date]],Database!$A:$C,MATCH($C$1,Database!$A$1:$C$1,),)=0,#N/A,VLOOKUP(Table7[[#This Row],[Date]],Database!$A:$C,MATCH($C$1,Database!$A$1:$C$1,),))</f>
        <v/>
      </c>
      <c r="D10410">
        <f>IFERROR(Table7[[#This Row],[United States 10y]]-Table7[[#This Row],[United States 3y]],#N/A)</f>
        <v/>
      </c>
    </row>
    <row r="10411">
      <c r="A10411" s="6">
        <f>Database!$A12496</f>
        <v/>
      </c>
      <c r="B10411">
        <f>IF(VLOOKUP(Table7[[#This Row],[Date]],Database!$A:$C,MATCH($B$1,Database!$A$1:$C$1,),)=0,#N/A,VLOOKUP(Table7[[#This Row],[Date]],Database!$A:$C,MATCH($B$1,Database!$A$1:$C$1,),))</f>
        <v/>
      </c>
      <c r="C10411">
        <f>IF(VLOOKUP(Table7[[#This Row],[Date]],Database!$A:$C,MATCH($C$1,Database!$A$1:$C$1,),)=0,#N/A,VLOOKUP(Table7[[#This Row],[Date]],Database!$A:$C,MATCH($C$1,Database!$A$1:$C$1,),))</f>
        <v/>
      </c>
      <c r="D10411">
        <f>IFERROR(Table7[[#This Row],[United States 10y]]-Table7[[#This Row],[United States 3y]],#N/A)</f>
        <v/>
      </c>
    </row>
    <row r="10412">
      <c r="A10412" s="6">
        <f>Database!$A12497</f>
        <v/>
      </c>
      <c r="B10412">
        <f>IF(VLOOKUP(Table7[[#This Row],[Date]],Database!$A:$C,MATCH($B$1,Database!$A$1:$C$1,),)=0,#N/A,VLOOKUP(Table7[[#This Row],[Date]],Database!$A:$C,MATCH($B$1,Database!$A$1:$C$1,),))</f>
        <v/>
      </c>
      <c r="C10412">
        <f>IF(VLOOKUP(Table7[[#This Row],[Date]],Database!$A:$C,MATCH($C$1,Database!$A$1:$C$1,),)=0,#N/A,VLOOKUP(Table7[[#This Row],[Date]],Database!$A:$C,MATCH($C$1,Database!$A$1:$C$1,),))</f>
        <v/>
      </c>
      <c r="D10412">
        <f>IFERROR(Table7[[#This Row],[United States 10y]]-Table7[[#This Row],[United States 3y]],#N/A)</f>
        <v/>
      </c>
    </row>
    <row r="10413">
      <c r="A10413" s="6">
        <f>Database!$A12498</f>
        <v/>
      </c>
      <c r="B10413">
        <f>IF(VLOOKUP(Table7[[#This Row],[Date]],Database!$A:$C,MATCH($B$1,Database!$A$1:$C$1,),)=0,#N/A,VLOOKUP(Table7[[#This Row],[Date]],Database!$A:$C,MATCH($B$1,Database!$A$1:$C$1,),))</f>
        <v/>
      </c>
      <c r="C10413">
        <f>IF(VLOOKUP(Table7[[#This Row],[Date]],Database!$A:$C,MATCH($C$1,Database!$A$1:$C$1,),)=0,#N/A,VLOOKUP(Table7[[#This Row],[Date]],Database!$A:$C,MATCH($C$1,Database!$A$1:$C$1,),))</f>
        <v/>
      </c>
      <c r="D10413">
        <f>IFERROR(Table7[[#This Row],[United States 10y]]-Table7[[#This Row],[United States 3y]],#N/A)</f>
        <v/>
      </c>
    </row>
    <row r="10414">
      <c r="A10414" s="6">
        <f>Database!$A12499</f>
        <v/>
      </c>
      <c r="B10414">
        <f>IF(VLOOKUP(Table7[[#This Row],[Date]],Database!$A:$C,MATCH($B$1,Database!$A$1:$C$1,),)=0,#N/A,VLOOKUP(Table7[[#This Row],[Date]],Database!$A:$C,MATCH($B$1,Database!$A$1:$C$1,),))</f>
        <v/>
      </c>
      <c r="C10414">
        <f>IF(VLOOKUP(Table7[[#This Row],[Date]],Database!$A:$C,MATCH($C$1,Database!$A$1:$C$1,),)=0,#N/A,VLOOKUP(Table7[[#This Row],[Date]],Database!$A:$C,MATCH($C$1,Database!$A$1:$C$1,),))</f>
        <v/>
      </c>
      <c r="D10414">
        <f>IFERROR(Table7[[#This Row],[United States 10y]]-Table7[[#This Row],[United States 3y]],#N/A)</f>
        <v/>
      </c>
    </row>
    <row r="10415">
      <c r="A10415" s="6">
        <f>Database!$A12500</f>
        <v/>
      </c>
      <c r="B10415">
        <f>IF(VLOOKUP(Table7[[#This Row],[Date]],Database!$A:$C,MATCH($B$1,Database!$A$1:$C$1,),)=0,#N/A,VLOOKUP(Table7[[#This Row],[Date]],Database!$A:$C,MATCH($B$1,Database!$A$1:$C$1,),))</f>
        <v/>
      </c>
      <c r="C10415">
        <f>IF(VLOOKUP(Table7[[#This Row],[Date]],Database!$A:$C,MATCH($C$1,Database!$A$1:$C$1,),)=0,#N/A,VLOOKUP(Table7[[#This Row],[Date]],Database!$A:$C,MATCH($C$1,Database!$A$1:$C$1,),))</f>
        <v/>
      </c>
      <c r="D10415">
        <f>IFERROR(Table7[[#This Row],[United States 10y]]-Table7[[#This Row],[United States 3y]],#N/A)</f>
        <v/>
      </c>
    </row>
    <row r="10416">
      <c r="A10416" s="6">
        <f>Database!$A12501</f>
        <v/>
      </c>
      <c r="B10416">
        <f>IF(VLOOKUP(Table7[[#This Row],[Date]],Database!$A:$C,MATCH($B$1,Database!$A$1:$C$1,),)=0,#N/A,VLOOKUP(Table7[[#This Row],[Date]],Database!$A:$C,MATCH($B$1,Database!$A$1:$C$1,),))</f>
        <v/>
      </c>
      <c r="C10416">
        <f>IF(VLOOKUP(Table7[[#This Row],[Date]],Database!$A:$C,MATCH($C$1,Database!$A$1:$C$1,),)=0,#N/A,VLOOKUP(Table7[[#This Row],[Date]],Database!$A:$C,MATCH($C$1,Database!$A$1:$C$1,),))</f>
        <v/>
      </c>
      <c r="D10416">
        <f>IFERROR(Table7[[#This Row],[United States 10y]]-Table7[[#This Row],[United States 3y]],#N/A)</f>
        <v/>
      </c>
    </row>
    <row r="10417">
      <c r="A10417" s="6">
        <f>Database!$A12502</f>
        <v/>
      </c>
      <c r="B10417">
        <f>IF(VLOOKUP(Table7[[#This Row],[Date]],Database!$A:$C,MATCH($B$1,Database!$A$1:$C$1,),)=0,#N/A,VLOOKUP(Table7[[#This Row],[Date]],Database!$A:$C,MATCH($B$1,Database!$A$1:$C$1,),))</f>
        <v/>
      </c>
      <c r="C10417">
        <f>IF(VLOOKUP(Table7[[#This Row],[Date]],Database!$A:$C,MATCH($C$1,Database!$A$1:$C$1,),)=0,#N/A,VLOOKUP(Table7[[#This Row],[Date]],Database!$A:$C,MATCH($C$1,Database!$A$1:$C$1,),))</f>
        <v/>
      </c>
      <c r="D10417">
        <f>IFERROR(Table7[[#This Row],[United States 10y]]-Table7[[#This Row],[United States 3y]],#N/A)</f>
        <v/>
      </c>
    </row>
    <row r="10418">
      <c r="A10418" s="6">
        <f>Database!$A12503</f>
        <v/>
      </c>
      <c r="B10418">
        <f>IF(VLOOKUP(Table7[[#This Row],[Date]],Database!$A:$C,MATCH($B$1,Database!$A$1:$C$1,),)=0,#N/A,VLOOKUP(Table7[[#This Row],[Date]],Database!$A:$C,MATCH($B$1,Database!$A$1:$C$1,),))</f>
        <v/>
      </c>
      <c r="C10418">
        <f>IF(VLOOKUP(Table7[[#This Row],[Date]],Database!$A:$C,MATCH($C$1,Database!$A$1:$C$1,),)=0,#N/A,VLOOKUP(Table7[[#This Row],[Date]],Database!$A:$C,MATCH($C$1,Database!$A$1:$C$1,),))</f>
        <v/>
      </c>
      <c r="D10418">
        <f>IFERROR(Table7[[#This Row],[United States 10y]]-Table7[[#This Row],[United States 3y]],#N/A)</f>
        <v/>
      </c>
    </row>
    <row r="10419">
      <c r="A10419" s="6">
        <f>Database!$A12504</f>
        <v/>
      </c>
      <c r="B10419">
        <f>IF(VLOOKUP(Table7[[#This Row],[Date]],Database!$A:$C,MATCH($B$1,Database!$A$1:$C$1,),)=0,#N/A,VLOOKUP(Table7[[#This Row],[Date]],Database!$A:$C,MATCH($B$1,Database!$A$1:$C$1,),))</f>
        <v/>
      </c>
      <c r="C10419">
        <f>IF(VLOOKUP(Table7[[#This Row],[Date]],Database!$A:$C,MATCH($C$1,Database!$A$1:$C$1,),)=0,#N/A,VLOOKUP(Table7[[#This Row],[Date]],Database!$A:$C,MATCH($C$1,Database!$A$1:$C$1,),))</f>
        <v/>
      </c>
      <c r="D10419">
        <f>IFERROR(Table7[[#This Row],[United States 10y]]-Table7[[#This Row],[United States 3y]],#N/A)</f>
        <v/>
      </c>
    </row>
    <row r="10420">
      <c r="A10420" s="6">
        <f>Database!$A12505</f>
        <v/>
      </c>
      <c r="B10420">
        <f>IF(VLOOKUP(Table7[[#This Row],[Date]],Database!$A:$C,MATCH($B$1,Database!$A$1:$C$1,),)=0,#N/A,VLOOKUP(Table7[[#This Row],[Date]],Database!$A:$C,MATCH($B$1,Database!$A$1:$C$1,),))</f>
        <v/>
      </c>
      <c r="C10420">
        <f>IF(VLOOKUP(Table7[[#This Row],[Date]],Database!$A:$C,MATCH($C$1,Database!$A$1:$C$1,),)=0,#N/A,VLOOKUP(Table7[[#This Row],[Date]],Database!$A:$C,MATCH($C$1,Database!$A$1:$C$1,),))</f>
        <v/>
      </c>
      <c r="D10420">
        <f>IFERROR(Table7[[#This Row],[United States 10y]]-Table7[[#This Row],[United States 3y]],#N/A)</f>
        <v/>
      </c>
    </row>
    <row r="10421">
      <c r="A10421" s="6">
        <f>Database!$A12506</f>
        <v/>
      </c>
      <c r="B10421">
        <f>IF(VLOOKUP(Table7[[#This Row],[Date]],Database!$A:$C,MATCH($B$1,Database!$A$1:$C$1,),)=0,#N/A,VLOOKUP(Table7[[#This Row],[Date]],Database!$A:$C,MATCH($B$1,Database!$A$1:$C$1,),))</f>
        <v/>
      </c>
      <c r="C10421">
        <f>IF(VLOOKUP(Table7[[#This Row],[Date]],Database!$A:$C,MATCH($C$1,Database!$A$1:$C$1,),)=0,#N/A,VLOOKUP(Table7[[#This Row],[Date]],Database!$A:$C,MATCH($C$1,Database!$A$1:$C$1,),))</f>
        <v/>
      </c>
      <c r="D10421">
        <f>IFERROR(Table7[[#This Row],[United States 10y]]-Table7[[#This Row],[United States 3y]],#N/A)</f>
        <v/>
      </c>
    </row>
    <row r="10422">
      <c r="A10422" s="6">
        <f>Database!$A12507</f>
        <v/>
      </c>
      <c r="B10422">
        <f>IF(VLOOKUP(Table7[[#This Row],[Date]],Database!$A:$C,MATCH($B$1,Database!$A$1:$C$1,),)=0,#N/A,VLOOKUP(Table7[[#This Row],[Date]],Database!$A:$C,MATCH($B$1,Database!$A$1:$C$1,),))</f>
        <v/>
      </c>
      <c r="C10422">
        <f>IF(VLOOKUP(Table7[[#This Row],[Date]],Database!$A:$C,MATCH($C$1,Database!$A$1:$C$1,),)=0,#N/A,VLOOKUP(Table7[[#This Row],[Date]],Database!$A:$C,MATCH($C$1,Database!$A$1:$C$1,),))</f>
        <v/>
      </c>
      <c r="D10422">
        <f>IFERROR(Table7[[#This Row],[United States 10y]]-Table7[[#This Row],[United States 3y]],#N/A)</f>
        <v/>
      </c>
    </row>
    <row r="10423">
      <c r="A10423" s="6">
        <f>Database!$A12508</f>
        <v/>
      </c>
      <c r="B10423">
        <f>IF(VLOOKUP(Table7[[#This Row],[Date]],Database!$A:$C,MATCH($B$1,Database!$A$1:$C$1,),)=0,#N/A,VLOOKUP(Table7[[#This Row],[Date]],Database!$A:$C,MATCH($B$1,Database!$A$1:$C$1,),))</f>
        <v/>
      </c>
      <c r="C10423">
        <f>IF(VLOOKUP(Table7[[#This Row],[Date]],Database!$A:$C,MATCH($C$1,Database!$A$1:$C$1,),)=0,#N/A,VLOOKUP(Table7[[#This Row],[Date]],Database!$A:$C,MATCH($C$1,Database!$A$1:$C$1,),))</f>
        <v/>
      </c>
      <c r="D10423">
        <f>IFERROR(Table7[[#This Row],[United States 10y]]-Table7[[#This Row],[United States 3y]],#N/A)</f>
        <v/>
      </c>
    </row>
    <row r="10424">
      <c r="A10424" s="6">
        <f>Database!$A12509</f>
        <v/>
      </c>
      <c r="B10424">
        <f>IF(VLOOKUP(Table7[[#This Row],[Date]],Database!$A:$C,MATCH($B$1,Database!$A$1:$C$1,),)=0,#N/A,VLOOKUP(Table7[[#This Row],[Date]],Database!$A:$C,MATCH($B$1,Database!$A$1:$C$1,),))</f>
        <v/>
      </c>
      <c r="C10424">
        <f>IF(VLOOKUP(Table7[[#This Row],[Date]],Database!$A:$C,MATCH($C$1,Database!$A$1:$C$1,),)=0,#N/A,VLOOKUP(Table7[[#This Row],[Date]],Database!$A:$C,MATCH($C$1,Database!$A$1:$C$1,),))</f>
        <v/>
      </c>
      <c r="D10424">
        <f>IFERROR(Table7[[#This Row],[United States 10y]]-Table7[[#This Row],[United States 3y]],#N/A)</f>
        <v/>
      </c>
    </row>
    <row r="10425">
      <c r="A10425" s="6">
        <f>Database!$A12510</f>
        <v/>
      </c>
      <c r="B10425">
        <f>IF(VLOOKUP(Table7[[#This Row],[Date]],Database!$A:$C,MATCH($B$1,Database!$A$1:$C$1,),)=0,#N/A,VLOOKUP(Table7[[#This Row],[Date]],Database!$A:$C,MATCH($B$1,Database!$A$1:$C$1,),))</f>
        <v/>
      </c>
      <c r="C10425">
        <f>IF(VLOOKUP(Table7[[#This Row],[Date]],Database!$A:$C,MATCH($C$1,Database!$A$1:$C$1,),)=0,#N/A,VLOOKUP(Table7[[#This Row],[Date]],Database!$A:$C,MATCH($C$1,Database!$A$1:$C$1,),))</f>
        <v/>
      </c>
      <c r="D10425">
        <f>IFERROR(Table7[[#This Row],[United States 10y]]-Table7[[#This Row],[United States 3y]],#N/A)</f>
        <v/>
      </c>
    </row>
    <row r="10426">
      <c r="A10426" s="6">
        <f>Database!$A12511</f>
        <v/>
      </c>
      <c r="B10426">
        <f>IF(VLOOKUP(Table7[[#This Row],[Date]],Database!$A:$C,MATCH($B$1,Database!$A$1:$C$1,),)=0,#N/A,VLOOKUP(Table7[[#This Row],[Date]],Database!$A:$C,MATCH($B$1,Database!$A$1:$C$1,),))</f>
        <v/>
      </c>
      <c r="C10426">
        <f>IF(VLOOKUP(Table7[[#This Row],[Date]],Database!$A:$C,MATCH($C$1,Database!$A$1:$C$1,),)=0,#N/A,VLOOKUP(Table7[[#This Row],[Date]],Database!$A:$C,MATCH($C$1,Database!$A$1:$C$1,),))</f>
        <v/>
      </c>
      <c r="D10426">
        <f>IFERROR(Table7[[#This Row],[United States 10y]]-Table7[[#This Row],[United States 3y]],#N/A)</f>
        <v/>
      </c>
    </row>
    <row r="10427">
      <c r="A10427" s="6">
        <f>Database!$A12512</f>
        <v/>
      </c>
      <c r="B10427">
        <f>IF(VLOOKUP(Table7[[#This Row],[Date]],Database!$A:$C,MATCH($B$1,Database!$A$1:$C$1,),)=0,#N/A,VLOOKUP(Table7[[#This Row],[Date]],Database!$A:$C,MATCH($B$1,Database!$A$1:$C$1,),))</f>
        <v/>
      </c>
      <c r="C10427">
        <f>IF(VLOOKUP(Table7[[#This Row],[Date]],Database!$A:$C,MATCH($C$1,Database!$A$1:$C$1,),)=0,#N/A,VLOOKUP(Table7[[#This Row],[Date]],Database!$A:$C,MATCH($C$1,Database!$A$1:$C$1,),))</f>
        <v/>
      </c>
      <c r="D10427">
        <f>IFERROR(Table7[[#This Row],[United States 10y]]-Table7[[#This Row],[United States 3y]],#N/A)</f>
        <v/>
      </c>
    </row>
    <row r="10428">
      <c r="A10428" s="6">
        <f>Database!$A12513</f>
        <v/>
      </c>
      <c r="B10428">
        <f>IF(VLOOKUP(Table7[[#This Row],[Date]],Database!$A:$C,MATCH($B$1,Database!$A$1:$C$1,),)=0,#N/A,VLOOKUP(Table7[[#This Row],[Date]],Database!$A:$C,MATCH($B$1,Database!$A$1:$C$1,),))</f>
        <v/>
      </c>
      <c r="C10428">
        <f>IF(VLOOKUP(Table7[[#This Row],[Date]],Database!$A:$C,MATCH($C$1,Database!$A$1:$C$1,),)=0,#N/A,VLOOKUP(Table7[[#This Row],[Date]],Database!$A:$C,MATCH($C$1,Database!$A$1:$C$1,),))</f>
        <v/>
      </c>
      <c r="D10428">
        <f>IFERROR(Table7[[#This Row],[United States 10y]]-Table7[[#This Row],[United States 3y]],#N/A)</f>
        <v/>
      </c>
    </row>
    <row r="10429">
      <c r="A10429" s="6">
        <f>Database!$A12514</f>
        <v/>
      </c>
      <c r="B10429">
        <f>IF(VLOOKUP(Table7[[#This Row],[Date]],Database!$A:$C,MATCH($B$1,Database!$A$1:$C$1,),)=0,#N/A,VLOOKUP(Table7[[#This Row],[Date]],Database!$A:$C,MATCH($B$1,Database!$A$1:$C$1,),))</f>
        <v/>
      </c>
      <c r="C10429">
        <f>IF(VLOOKUP(Table7[[#This Row],[Date]],Database!$A:$C,MATCH($C$1,Database!$A$1:$C$1,),)=0,#N/A,VLOOKUP(Table7[[#This Row],[Date]],Database!$A:$C,MATCH($C$1,Database!$A$1:$C$1,),))</f>
        <v/>
      </c>
      <c r="D10429">
        <f>IFERROR(Table7[[#This Row],[United States 10y]]-Table7[[#This Row],[United States 3y]],#N/A)</f>
        <v/>
      </c>
    </row>
    <row r="10430">
      <c r="A10430" s="6">
        <f>Database!$A12515</f>
        <v/>
      </c>
      <c r="B10430">
        <f>IF(VLOOKUP(Table7[[#This Row],[Date]],Database!$A:$C,MATCH($B$1,Database!$A$1:$C$1,),)=0,#N/A,VLOOKUP(Table7[[#This Row],[Date]],Database!$A:$C,MATCH($B$1,Database!$A$1:$C$1,),))</f>
        <v/>
      </c>
      <c r="C10430">
        <f>IF(VLOOKUP(Table7[[#This Row],[Date]],Database!$A:$C,MATCH($C$1,Database!$A$1:$C$1,),)=0,#N/A,VLOOKUP(Table7[[#This Row],[Date]],Database!$A:$C,MATCH($C$1,Database!$A$1:$C$1,),))</f>
        <v/>
      </c>
      <c r="D10430">
        <f>IFERROR(Table7[[#This Row],[United States 10y]]-Table7[[#This Row],[United States 3y]],#N/A)</f>
        <v/>
      </c>
    </row>
    <row r="10431">
      <c r="A10431" s="6">
        <f>Database!$A12516</f>
        <v/>
      </c>
      <c r="B10431">
        <f>IF(VLOOKUP(Table7[[#This Row],[Date]],Database!$A:$C,MATCH($B$1,Database!$A$1:$C$1,),)=0,#N/A,VLOOKUP(Table7[[#This Row],[Date]],Database!$A:$C,MATCH($B$1,Database!$A$1:$C$1,),))</f>
        <v/>
      </c>
      <c r="C10431">
        <f>IF(VLOOKUP(Table7[[#This Row],[Date]],Database!$A:$C,MATCH($C$1,Database!$A$1:$C$1,),)=0,#N/A,VLOOKUP(Table7[[#This Row],[Date]],Database!$A:$C,MATCH($C$1,Database!$A$1:$C$1,),))</f>
        <v/>
      </c>
      <c r="D10431">
        <f>IFERROR(Table7[[#This Row],[United States 10y]]-Table7[[#This Row],[United States 3y]],#N/A)</f>
        <v/>
      </c>
    </row>
    <row r="10432">
      <c r="A10432" s="6">
        <f>Database!$A12517</f>
        <v/>
      </c>
      <c r="B10432">
        <f>IF(VLOOKUP(Table7[[#This Row],[Date]],Database!$A:$C,MATCH($B$1,Database!$A$1:$C$1,),)=0,#N/A,VLOOKUP(Table7[[#This Row],[Date]],Database!$A:$C,MATCH($B$1,Database!$A$1:$C$1,),))</f>
        <v/>
      </c>
      <c r="C10432">
        <f>IF(VLOOKUP(Table7[[#This Row],[Date]],Database!$A:$C,MATCH($C$1,Database!$A$1:$C$1,),)=0,#N/A,VLOOKUP(Table7[[#This Row],[Date]],Database!$A:$C,MATCH($C$1,Database!$A$1:$C$1,),))</f>
        <v/>
      </c>
      <c r="D10432">
        <f>IFERROR(Table7[[#This Row],[United States 10y]]-Table7[[#This Row],[United States 3y]],#N/A)</f>
        <v/>
      </c>
    </row>
    <row r="10433">
      <c r="A10433" s="6">
        <f>Database!$A12518</f>
        <v/>
      </c>
      <c r="B10433">
        <f>IF(VLOOKUP(Table7[[#This Row],[Date]],Database!$A:$C,MATCH($B$1,Database!$A$1:$C$1,),)=0,#N/A,VLOOKUP(Table7[[#This Row],[Date]],Database!$A:$C,MATCH($B$1,Database!$A$1:$C$1,),))</f>
        <v/>
      </c>
      <c r="C10433">
        <f>IF(VLOOKUP(Table7[[#This Row],[Date]],Database!$A:$C,MATCH($C$1,Database!$A$1:$C$1,),)=0,#N/A,VLOOKUP(Table7[[#This Row],[Date]],Database!$A:$C,MATCH($C$1,Database!$A$1:$C$1,),))</f>
        <v/>
      </c>
      <c r="D10433">
        <f>IFERROR(Table7[[#This Row],[United States 10y]]-Table7[[#This Row],[United States 3y]],#N/A)</f>
        <v/>
      </c>
    </row>
    <row r="10434">
      <c r="A10434" s="6">
        <f>Database!$A12519</f>
        <v/>
      </c>
      <c r="B10434">
        <f>IF(VLOOKUP(Table7[[#This Row],[Date]],Database!$A:$C,MATCH($B$1,Database!$A$1:$C$1,),)=0,#N/A,VLOOKUP(Table7[[#This Row],[Date]],Database!$A:$C,MATCH($B$1,Database!$A$1:$C$1,),))</f>
        <v/>
      </c>
      <c r="C10434">
        <f>IF(VLOOKUP(Table7[[#This Row],[Date]],Database!$A:$C,MATCH($C$1,Database!$A$1:$C$1,),)=0,#N/A,VLOOKUP(Table7[[#This Row],[Date]],Database!$A:$C,MATCH($C$1,Database!$A$1:$C$1,),))</f>
        <v/>
      </c>
      <c r="D10434">
        <f>IFERROR(Table7[[#This Row],[United States 10y]]-Table7[[#This Row],[United States 3y]],#N/A)</f>
        <v/>
      </c>
    </row>
    <row r="10435">
      <c r="A10435" s="6">
        <f>Database!$A12520</f>
        <v/>
      </c>
      <c r="B10435">
        <f>IF(VLOOKUP(Table7[[#This Row],[Date]],Database!$A:$C,MATCH($B$1,Database!$A$1:$C$1,),)=0,#N/A,VLOOKUP(Table7[[#This Row],[Date]],Database!$A:$C,MATCH($B$1,Database!$A$1:$C$1,),))</f>
        <v/>
      </c>
      <c r="C10435">
        <f>IF(VLOOKUP(Table7[[#This Row],[Date]],Database!$A:$C,MATCH($C$1,Database!$A$1:$C$1,),)=0,#N/A,VLOOKUP(Table7[[#This Row],[Date]],Database!$A:$C,MATCH($C$1,Database!$A$1:$C$1,),))</f>
        <v/>
      </c>
      <c r="D10435">
        <f>IFERROR(Table7[[#This Row],[United States 10y]]-Table7[[#This Row],[United States 3y]],#N/A)</f>
        <v/>
      </c>
    </row>
    <row r="10436">
      <c r="A10436" s="6">
        <f>Database!$A12521</f>
        <v/>
      </c>
      <c r="B10436">
        <f>IF(VLOOKUP(Table7[[#This Row],[Date]],Database!$A:$C,MATCH($B$1,Database!$A$1:$C$1,),)=0,#N/A,VLOOKUP(Table7[[#This Row],[Date]],Database!$A:$C,MATCH($B$1,Database!$A$1:$C$1,),))</f>
        <v/>
      </c>
      <c r="C10436">
        <f>IF(VLOOKUP(Table7[[#This Row],[Date]],Database!$A:$C,MATCH($C$1,Database!$A$1:$C$1,),)=0,#N/A,VLOOKUP(Table7[[#This Row],[Date]],Database!$A:$C,MATCH($C$1,Database!$A$1:$C$1,),))</f>
        <v/>
      </c>
      <c r="D10436">
        <f>IFERROR(Table7[[#This Row],[United States 10y]]-Table7[[#This Row],[United States 3y]],#N/A)</f>
        <v/>
      </c>
    </row>
    <row r="10437">
      <c r="A10437" s="6">
        <f>Database!$A12522</f>
        <v/>
      </c>
      <c r="B10437">
        <f>IF(VLOOKUP(Table7[[#This Row],[Date]],Database!$A:$C,MATCH($B$1,Database!$A$1:$C$1,),)=0,#N/A,VLOOKUP(Table7[[#This Row],[Date]],Database!$A:$C,MATCH($B$1,Database!$A$1:$C$1,),))</f>
        <v/>
      </c>
      <c r="C10437">
        <f>IF(VLOOKUP(Table7[[#This Row],[Date]],Database!$A:$C,MATCH($C$1,Database!$A$1:$C$1,),)=0,#N/A,VLOOKUP(Table7[[#This Row],[Date]],Database!$A:$C,MATCH($C$1,Database!$A$1:$C$1,),))</f>
        <v/>
      </c>
      <c r="D10437">
        <f>IFERROR(Table7[[#This Row],[United States 10y]]-Table7[[#This Row],[United States 3y]],#N/A)</f>
        <v/>
      </c>
    </row>
    <row r="10438">
      <c r="A10438" s="6">
        <f>Database!$A12523</f>
        <v/>
      </c>
      <c r="B10438">
        <f>IF(VLOOKUP(Table7[[#This Row],[Date]],Database!$A:$C,MATCH($B$1,Database!$A$1:$C$1,),)=0,#N/A,VLOOKUP(Table7[[#This Row],[Date]],Database!$A:$C,MATCH($B$1,Database!$A$1:$C$1,),))</f>
        <v/>
      </c>
      <c r="C10438">
        <f>IF(VLOOKUP(Table7[[#This Row],[Date]],Database!$A:$C,MATCH($C$1,Database!$A$1:$C$1,),)=0,#N/A,VLOOKUP(Table7[[#This Row],[Date]],Database!$A:$C,MATCH($C$1,Database!$A$1:$C$1,),))</f>
        <v/>
      </c>
      <c r="D10438">
        <f>IFERROR(Table7[[#This Row],[United States 10y]]-Table7[[#This Row],[United States 3y]],#N/A)</f>
        <v/>
      </c>
    </row>
    <row r="10439">
      <c r="A10439" s="6">
        <f>Database!$A12524</f>
        <v/>
      </c>
      <c r="B10439">
        <f>IF(VLOOKUP(Table7[[#This Row],[Date]],Database!$A:$C,MATCH($B$1,Database!$A$1:$C$1,),)=0,#N/A,VLOOKUP(Table7[[#This Row],[Date]],Database!$A:$C,MATCH($B$1,Database!$A$1:$C$1,),))</f>
        <v/>
      </c>
      <c r="C10439">
        <f>IF(VLOOKUP(Table7[[#This Row],[Date]],Database!$A:$C,MATCH($C$1,Database!$A$1:$C$1,),)=0,#N/A,VLOOKUP(Table7[[#This Row],[Date]],Database!$A:$C,MATCH($C$1,Database!$A$1:$C$1,),))</f>
        <v/>
      </c>
      <c r="D10439">
        <f>IFERROR(Table7[[#This Row],[United States 10y]]-Table7[[#This Row],[United States 3y]],#N/A)</f>
        <v/>
      </c>
    </row>
    <row r="10440">
      <c r="A10440" s="6">
        <f>Database!$A12525</f>
        <v/>
      </c>
      <c r="B10440">
        <f>IF(VLOOKUP(Table7[[#This Row],[Date]],Database!$A:$C,MATCH($B$1,Database!$A$1:$C$1,),)=0,#N/A,VLOOKUP(Table7[[#This Row],[Date]],Database!$A:$C,MATCH($B$1,Database!$A$1:$C$1,),))</f>
        <v/>
      </c>
      <c r="C10440">
        <f>IF(VLOOKUP(Table7[[#This Row],[Date]],Database!$A:$C,MATCH($C$1,Database!$A$1:$C$1,),)=0,#N/A,VLOOKUP(Table7[[#This Row],[Date]],Database!$A:$C,MATCH($C$1,Database!$A$1:$C$1,),))</f>
        <v/>
      </c>
      <c r="D10440">
        <f>IFERROR(Table7[[#This Row],[United States 10y]]-Table7[[#This Row],[United States 3y]],#N/A)</f>
        <v/>
      </c>
    </row>
    <row r="10441">
      <c r="A10441" s="6">
        <f>Database!$A12526</f>
        <v/>
      </c>
      <c r="B10441">
        <f>IF(VLOOKUP(Table7[[#This Row],[Date]],Database!$A:$C,MATCH($B$1,Database!$A$1:$C$1,),)=0,#N/A,VLOOKUP(Table7[[#This Row],[Date]],Database!$A:$C,MATCH($B$1,Database!$A$1:$C$1,),))</f>
        <v/>
      </c>
      <c r="C10441">
        <f>IF(VLOOKUP(Table7[[#This Row],[Date]],Database!$A:$C,MATCH($C$1,Database!$A$1:$C$1,),)=0,#N/A,VLOOKUP(Table7[[#This Row],[Date]],Database!$A:$C,MATCH($C$1,Database!$A$1:$C$1,),))</f>
        <v/>
      </c>
      <c r="D10441">
        <f>IFERROR(Table7[[#This Row],[United States 10y]]-Table7[[#This Row],[United States 3y]],#N/A)</f>
        <v/>
      </c>
    </row>
    <row r="10442">
      <c r="A10442" s="6">
        <f>Database!$A12527</f>
        <v/>
      </c>
      <c r="B10442">
        <f>IF(VLOOKUP(Table7[[#This Row],[Date]],Database!$A:$C,MATCH($B$1,Database!$A$1:$C$1,),)=0,#N/A,VLOOKUP(Table7[[#This Row],[Date]],Database!$A:$C,MATCH($B$1,Database!$A$1:$C$1,),))</f>
        <v/>
      </c>
      <c r="C10442">
        <f>IF(VLOOKUP(Table7[[#This Row],[Date]],Database!$A:$C,MATCH($C$1,Database!$A$1:$C$1,),)=0,#N/A,VLOOKUP(Table7[[#This Row],[Date]],Database!$A:$C,MATCH($C$1,Database!$A$1:$C$1,),))</f>
        <v/>
      </c>
      <c r="D10442">
        <f>IFERROR(Table7[[#This Row],[United States 10y]]-Table7[[#This Row],[United States 3y]],#N/A)</f>
        <v/>
      </c>
    </row>
    <row r="10443">
      <c r="A10443" s="6">
        <f>Database!$A12528</f>
        <v/>
      </c>
      <c r="B10443">
        <f>IF(VLOOKUP(Table7[[#This Row],[Date]],Database!$A:$C,MATCH($B$1,Database!$A$1:$C$1,),)=0,#N/A,VLOOKUP(Table7[[#This Row],[Date]],Database!$A:$C,MATCH($B$1,Database!$A$1:$C$1,),))</f>
        <v/>
      </c>
      <c r="C10443">
        <f>IF(VLOOKUP(Table7[[#This Row],[Date]],Database!$A:$C,MATCH($C$1,Database!$A$1:$C$1,),)=0,#N/A,VLOOKUP(Table7[[#This Row],[Date]],Database!$A:$C,MATCH($C$1,Database!$A$1:$C$1,),))</f>
        <v/>
      </c>
      <c r="D10443">
        <f>IFERROR(Table7[[#This Row],[United States 10y]]-Table7[[#This Row],[United States 3y]],#N/A)</f>
        <v/>
      </c>
    </row>
    <row r="10444">
      <c r="A10444" s="6">
        <f>Database!$A12529</f>
        <v/>
      </c>
      <c r="B10444">
        <f>IF(VLOOKUP(Table7[[#This Row],[Date]],Database!$A:$C,MATCH($B$1,Database!$A$1:$C$1,),)=0,#N/A,VLOOKUP(Table7[[#This Row],[Date]],Database!$A:$C,MATCH($B$1,Database!$A$1:$C$1,),))</f>
        <v/>
      </c>
      <c r="C10444">
        <f>IF(VLOOKUP(Table7[[#This Row],[Date]],Database!$A:$C,MATCH($C$1,Database!$A$1:$C$1,),)=0,#N/A,VLOOKUP(Table7[[#This Row],[Date]],Database!$A:$C,MATCH($C$1,Database!$A$1:$C$1,),))</f>
        <v/>
      </c>
      <c r="D10444">
        <f>IFERROR(Table7[[#This Row],[United States 10y]]-Table7[[#This Row],[United States 3y]],#N/A)</f>
        <v/>
      </c>
    </row>
    <row r="10445">
      <c r="A10445" s="6">
        <f>Database!$A12530</f>
        <v/>
      </c>
      <c r="B10445">
        <f>IF(VLOOKUP(Table7[[#This Row],[Date]],Database!$A:$C,MATCH($B$1,Database!$A$1:$C$1,),)=0,#N/A,VLOOKUP(Table7[[#This Row],[Date]],Database!$A:$C,MATCH($B$1,Database!$A$1:$C$1,),))</f>
        <v/>
      </c>
      <c r="C10445">
        <f>IF(VLOOKUP(Table7[[#This Row],[Date]],Database!$A:$C,MATCH($C$1,Database!$A$1:$C$1,),)=0,#N/A,VLOOKUP(Table7[[#This Row],[Date]],Database!$A:$C,MATCH($C$1,Database!$A$1:$C$1,),))</f>
        <v/>
      </c>
      <c r="D10445">
        <f>IFERROR(Table7[[#This Row],[United States 10y]]-Table7[[#This Row],[United States 3y]],#N/A)</f>
        <v/>
      </c>
    </row>
    <row r="10446">
      <c r="A10446" s="6">
        <f>Database!$A12531</f>
        <v/>
      </c>
      <c r="B10446">
        <f>IF(VLOOKUP(Table7[[#This Row],[Date]],Database!$A:$C,MATCH($B$1,Database!$A$1:$C$1,),)=0,#N/A,VLOOKUP(Table7[[#This Row],[Date]],Database!$A:$C,MATCH($B$1,Database!$A$1:$C$1,),))</f>
        <v/>
      </c>
      <c r="C10446">
        <f>IF(VLOOKUP(Table7[[#This Row],[Date]],Database!$A:$C,MATCH($C$1,Database!$A$1:$C$1,),)=0,#N/A,VLOOKUP(Table7[[#This Row],[Date]],Database!$A:$C,MATCH($C$1,Database!$A$1:$C$1,),))</f>
        <v/>
      </c>
      <c r="D10446">
        <f>IFERROR(Table7[[#This Row],[United States 10y]]-Table7[[#This Row],[United States 3y]],#N/A)</f>
        <v/>
      </c>
    </row>
    <row r="10447">
      <c r="A10447" s="6">
        <f>Database!$A12532</f>
        <v/>
      </c>
      <c r="B10447">
        <f>IF(VLOOKUP(Table7[[#This Row],[Date]],Database!$A:$C,MATCH($B$1,Database!$A$1:$C$1,),)=0,#N/A,VLOOKUP(Table7[[#This Row],[Date]],Database!$A:$C,MATCH($B$1,Database!$A$1:$C$1,),))</f>
        <v/>
      </c>
      <c r="C10447">
        <f>IF(VLOOKUP(Table7[[#This Row],[Date]],Database!$A:$C,MATCH($C$1,Database!$A$1:$C$1,),)=0,#N/A,VLOOKUP(Table7[[#This Row],[Date]],Database!$A:$C,MATCH($C$1,Database!$A$1:$C$1,),))</f>
        <v/>
      </c>
      <c r="D10447">
        <f>IFERROR(Table7[[#This Row],[United States 10y]]-Table7[[#This Row],[United States 3y]],#N/A)</f>
        <v/>
      </c>
    </row>
    <row r="10448">
      <c r="A10448" s="6">
        <f>Database!$A12533</f>
        <v/>
      </c>
      <c r="B10448">
        <f>IF(VLOOKUP(Table7[[#This Row],[Date]],Database!$A:$C,MATCH($B$1,Database!$A$1:$C$1,),)=0,#N/A,VLOOKUP(Table7[[#This Row],[Date]],Database!$A:$C,MATCH($B$1,Database!$A$1:$C$1,),))</f>
        <v/>
      </c>
      <c r="C10448">
        <f>IF(VLOOKUP(Table7[[#This Row],[Date]],Database!$A:$C,MATCH($C$1,Database!$A$1:$C$1,),)=0,#N/A,VLOOKUP(Table7[[#This Row],[Date]],Database!$A:$C,MATCH($C$1,Database!$A$1:$C$1,),))</f>
        <v/>
      </c>
      <c r="D10448">
        <f>IFERROR(Table7[[#This Row],[United States 10y]]-Table7[[#This Row],[United States 3y]],#N/A)</f>
        <v/>
      </c>
    </row>
    <row r="10449">
      <c r="A10449" s="6">
        <f>Database!$A12534</f>
        <v/>
      </c>
      <c r="B10449">
        <f>IF(VLOOKUP(Table7[[#This Row],[Date]],Database!$A:$C,MATCH($B$1,Database!$A$1:$C$1,),)=0,#N/A,VLOOKUP(Table7[[#This Row],[Date]],Database!$A:$C,MATCH($B$1,Database!$A$1:$C$1,),))</f>
        <v/>
      </c>
      <c r="C10449">
        <f>IF(VLOOKUP(Table7[[#This Row],[Date]],Database!$A:$C,MATCH($C$1,Database!$A$1:$C$1,),)=0,#N/A,VLOOKUP(Table7[[#This Row],[Date]],Database!$A:$C,MATCH($C$1,Database!$A$1:$C$1,),))</f>
        <v/>
      </c>
      <c r="D10449">
        <f>IFERROR(Table7[[#This Row],[United States 10y]]-Table7[[#This Row],[United States 3y]],#N/A)</f>
        <v/>
      </c>
    </row>
    <row r="10450">
      <c r="A10450" s="6">
        <f>Database!$A12535</f>
        <v/>
      </c>
      <c r="B10450">
        <f>IF(VLOOKUP(Table7[[#This Row],[Date]],Database!$A:$C,MATCH($B$1,Database!$A$1:$C$1,),)=0,#N/A,VLOOKUP(Table7[[#This Row],[Date]],Database!$A:$C,MATCH($B$1,Database!$A$1:$C$1,),))</f>
        <v/>
      </c>
      <c r="C10450">
        <f>IF(VLOOKUP(Table7[[#This Row],[Date]],Database!$A:$C,MATCH($C$1,Database!$A$1:$C$1,),)=0,#N/A,VLOOKUP(Table7[[#This Row],[Date]],Database!$A:$C,MATCH($C$1,Database!$A$1:$C$1,),))</f>
        <v/>
      </c>
      <c r="D10450">
        <f>IFERROR(Table7[[#This Row],[United States 10y]]-Table7[[#This Row],[United States 3y]],#N/A)</f>
        <v/>
      </c>
    </row>
    <row r="10451">
      <c r="A10451" s="6">
        <f>Database!$A12536</f>
        <v/>
      </c>
      <c r="B10451">
        <f>IF(VLOOKUP(Table7[[#This Row],[Date]],Database!$A:$C,MATCH($B$1,Database!$A$1:$C$1,),)=0,#N/A,VLOOKUP(Table7[[#This Row],[Date]],Database!$A:$C,MATCH($B$1,Database!$A$1:$C$1,),))</f>
        <v/>
      </c>
      <c r="C10451">
        <f>IF(VLOOKUP(Table7[[#This Row],[Date]],Database!$A:$C,MATCH($C$1,Database!$A$1:$C$1,),)=0,#N/A,VLOOKUP(Table7[[#This Row],[Date]],Database!$A:$C,MATCH($C$1,Database!$A$1:$C$1,),))</f>
        <v/>
      </c>
      <c r="D10451">
        <f>IFERROR(Table7[[#This Row],[United States 10y]]-Table7[[#This Row],[United States 3y]],#N/A)</f>
        <v/>
      </c>
    </row>
    <row r="10452">
      <c r="A10452" s="6">
        <f>Database!$A12537</f>
        <v/>
      </c>
      <c r="B10452">
        <f>IF(VLOOKUP(Table7[[#This Row],[Date]],Database!$A:$C,MATCH($B$1,Database!$A$1:$C$1,),)=0,#N/A,VLOOKUP(Table7[[#This Row],[Date]],Database!$A:$C,MATCH($B$1,Database!$A$1:$C$1,),))</f>
        <v/>
      </c>
      <c r="C10452">
        <f>IF(VLOOKUP(Table7[[#This Row],[Date]],Database!$A:$C,MATCH($C$1,Database!$A$1:$C$1,),)=0,#N/A,VLOOKUP(Table7[[#This Row],[Date]],Database!$A:$C,MATCH($C$1,Database!$A$1:$C$1,),))</f>
        <v/>
      </c>
      <c r="D10452">
        <f>IFERROR(Table7[[#This Row],[United States 10y]]-Table7[[#This Row],[United States 3y]],#N/A)</f>
        <v/>
      </c>
    </row>
    <row r="10453">
      <c r="A10453" s="6">
        <f>Database!$A12538</f>
        <v/>
      </c>
      <c r="B10453">
        <f>IF(VLOOKUP(Table7[[#This Row],[Date]],Database!$A:$C,MATCH($B$1,Database!$A$1:$C$1,),)=0,#N/A,VLOOKUP(Table7[[#This Row],[Date]],Database!$A:$C,MATCH($B$1,Database!$A$1:$C$1,),))</f>
        <v/>
      </c>
      <c r="C10453">
        <f>IF(VLOOKUP(Table7[[#This Row],[Date]],Database!$A:$C,MATCH($C$1,Database!$A$1:$C$1,),)=0,#N/A,VLOOKUP(Table7[[#This Row],[Date]],Database!$A:$C,MATCH($C$1,Database!$A$1:$C$1,),))</f>
        <v/>
      </c>
      <c r="D10453">
        <f>IFERROR(Table7[[#This Row],[United States 10y]]-Table7[[#This Row],[United States 3y]],#N/A)</f>
        <v/>
      </c>
    </row>
    <row r="10454">
      <c r="A10454" s="6">
        <f>Database!$A12539</f>
        <v/>
      </c>
      <c r="B10454">
        <f>IF(VLOOKUP(Table7[[#This Row],[Date]],Database!$A:$C,MATCH($B$1,Database!$A$1:$C$1,),)=0,#N/A,VLOOKUP(Table7[[#This Row],[Date]],Database!$A:$C,MATCH($B$1,Database!$A$1:$C$1,),))</f>
        <v/>
      </c>
      <c r="C10454">
        <f>IF(VLOOKUP(Table7[[#This Row],[Date]],Database!$A:$C,MATCH($C$1,Database!$A$1:$C$1,),)=0,#N/A,VLOOKUP(Table7[[#This Row],[Date]],Database!$A:$C,MATCH($C$1,Database!$A$1:$C$1,),))</f>
        <v/>
      </c>
      <c r="D10454">
        <f>IFERROR(Table7[[#This Row],[United States 10y]]-Table7[[#This Row],[United States 3y]],#N/A)</f>
        <v/>
      </c>
    </row>
    <row r="10455">
      <c r="A10455" s="6">
        <f>Database!$A12540</f>
        <v/>
      </c>
      <c r="B10455">
        <f>IF(VLOOKUP(Table7[[#This Row],[Date]],Database!$A:$C,MATCH($B$1,Database!$A$1:$C$1,),)=0,#N/A,VLOOKUP(Table7[[#This Row],[Date]],Database!$A:$C,MATCH($B$1,Database!$A$1:$C$1,),))</f>
        <v/>
      </c>
      <c r="C10455">
        <f>IF(VLOOKUP(Table7[[#This Row],[Date]],Database!$A:$C,MATCH($C$1,Database!$A$1:$C$1,),)=0,#N/A,VLOOKUP(Table7[[#This Row],[Date]],Database!$A:$C,MATCH($C$1,Database!$A$1:$C$1,),))</f>
        <v/>
      </c>
      <c r="D10455">
        <f>IFERROR(Table7[[#This Row],[United States 10y]]-Table7[[#This Row],[United States 3y]],#N/A)</f>
        <v/>
      </c>
    </row>
    <row r="10456">
      <c r="A10456" s="6">
        <f>Database!$A12541</f>
        <v/>
      </c>
      <c r="B10456">
        <f>IF(VLOOKUP(Table7[[#This Row],[Date]],Database!$A:$C,MATCH($B$1,Database!$A$1:$C$1,),)=0,#N/A,VLOOKUP(Table7[[#This Row],[Date]],Database!$A:$C,MATCH($B$1,Database!$A$1:$C$1,),))</f>
        <v/>
      </c>
      <c r="C10456">
        <f>IF(VLOOKUP(Table7[[#This Row],[Date]],Database!$A:$C,MATCH($C$1,Database!$A$1:$C$1,),)=0,#N/A,VLOOKUP(Table7[[#This Row],[Date]],Database!$A:$C,MATCH($C$1,Database!$A$1:$C$1,),))</f>
        <v/>
      </c>
      <c r="D10456">
        <f>IFERROR(Table7[[#This Row],[United States 10y]]-Table7[[#This Row],[United States 3y]],#N/A)</f>
        <v/>
      </c>
    </row>
    <row r="10457">
      <c r="A10457" s="6">
        <f>Database!$A12542</f>
        <v/>
      </c>
      <c r="B10457">
        <f>IF(VLOOKUP(Table7[[#This Row],[Date]],Database!$A:$C,MATCH($B$1,Database!$A$1:$C$1,),)=0,#N/A,VLOOKUP(Table7[[#This Row],[Date]],Database!$A:$C,MATCH($B$1,Database!$A$1:$C$1,),))</f>
        <v/>
      </c>
      <c r="C10457">
        <f>IF(VLOOKUP(Table7[[#This Row],[Date]],Database!$A:$C,MATCH($C$1,Database!$A$1:$C$1,),)=0,#N/A,VLOOKUP(Table7[[#This Row],[Date]],Database!$A:$C,MATCH($C$1,Database!$A$1:$C$1,),))</f>
        <v/>
      </c>
      <c r="D10457">
        <f>IFERROR(Table7[[#This Row],[United States 10y]]-Table7[[#This Row],[United States 3y]],#N/A)</f>
        <v/>
      </c>
    </row>
    <row r="10458">
      <c r="A10458" s="6">
        <f>Database!$A12543</f>
        <v/>
      </c>
      <c r="B10458">
        <f>IF(VLOOKUP(Table7[[#This Row],[Date]],Database!$A:$C,MATCH($B$1,Database!$A$1:$C$1,),)=0,#N/A,VLOOKUP(Table7[[#This Row],[Date]],Database!$A:$C,MATCH($B$1,Database!$A$1:$C$1,),))</f>
        <v/>
      </c>
      <c r="C10458">
        <f>IF(VLOOKUP(Table7[[#This Row],[Date]],Database!$A:$C,MATCH($C$1,Database!$A$1:$C$1,),)=0,#N/A,VLOOKUP(Table7[[#This Row],[Date]],Database!$A:$C,MATCH($C$1,Database!$A$1:$C$1,),))</f>
        <v/>
      </c>
      <c r="D10458">
        <f>IFERROR(Table7[[#This Row],[United States 10y]]-Table7[[#This Row],[United States 3y]],#N/A)</f>
        <v/>
      </c>
    </row>
    <row r="10459">
      <c r="A10459" s="6">
        <f>Database!$A12544</f>
        <v/>
      </c>
      <c r="B10459">
        <f>IF(VLOOKUP(Table7[[#This Row],[Date]],Database!$A:$C,MATCH($B$1,Database!$A$1:$C$1,),)=0,#N/A,VLOOKUP(Table7[[#This Row],[Date]],Database!$A:$C,MATCH($B$1,Database!$A$1:$C$1,),))</f>
        <v/>
      </c>
      <c r="C10459">
        <f>IF(VLOOKUP(Table7[[#This Row],[Date]],Database!$A:$C,MATCH($C$1,Database!$A$1:$C$1,),)=0,#N/A,VLOOKUP(Table7[[#This Row],[Date]],Database!$A:$C,MATCH($C$1,Database!$A$1:$C$1,),))</f>
        <v/>
      </c>
      <c r="D10459">
        <f>IFERROR(Table7[[#This Row],[United States 10y]]-Table7[[#This Row],[United States 3y]],#N/A)</f>
        <v/>
      </c>
    </row>
    <row r="10460">
      <c r="A10460" s="6">
        <f>Database!$A12545</f>
        <v/>
      </c>
      <c r="B10460">
        <f>IF(VLOOKUP(Table7[[#This Row],[Date]],Database!$A:$C,MATCH($B$1,Database!$A$1:$C$1,),)=0,#N/A,VLOOKUP(Table7[[#This Row],[Date]],Database!$A:$C,MATCH($B$1,Database!$A$1:$C$1,),))</f>
        <v/>
      </c>
      <c r="C10460">
        <f>IF(VLOOKUP(Table7[[#This Row],[Date]],Database!$A:$C,MATCH($C$1,Database!$A$1:$C$1,),)=0,#N/A,VLOOKUP(Table7[[#This Row],[Date]],Database!$A:$C,MATCH($C$1,Database!$A$1:$C$1,),))</f>
        <v/>
      </c>
      <c r="D10460">
        <f>IFERROR(Table7[[#This Row],[United States 10y]]-Table7[[#This Row],[United States 3y]],#N/A)</f>
        <v/>
      </c>
    </row>
    <row r="10461">
      <c r="A10461" s="6">
        <f>Database!$A12546</f>
        <v/>
      </c>
      <c r="B10461">
        <f>IF(VLOOKUP(Table7[[#This Row],[Date]],Database!$A:$C,MATCH($B$1,Database!$A$1:$C$1,),)=0,#N/A,VLOOKUP(Table7[[#This Row],[Date]],Database!$A:$C,MATCH($B$1,Database!$A$1:$C$1,),))</f>
        <v/>
      </c>
      <c r="C10461">
        <f>IF(VLOOKUP(Table7[[#This Row],[Date]],Database!$A:$C,MATCH($C$1,Database!$A$1:$C$1,),)=0,#N/A,VLOOKUP(Table7[[#This Row],[Date]],Database!$A:$C,MATCH($C$1,Database!$A$1:$C$1,),))</f>
        <v/>
      </c>
      <c r="D10461">
        <f>IFERROR(Table7[[#This Row],[United States 10y]]-Table7[[#This Row],[United States 3y]],#N/A)</f>
        <v/>
      </c>
    </row>
    <row r="10462">
      <c r="A10462" s="6">
        <f>Database!$A12547</f>
        <v/>
      </c>
      <c r="B10462">
        <f>IF(VLOOKUP(Table7[[#This Row],[Date]],Database!$A:$C,MATCH($B$1,Database!$A$1:$C$1,),)=0,#N/A,VLOOKUP(Table7[[#This Row],[Date]],Database!$A:$C,MATCH($B$1,Database!$A$1:$C$1,),))</f>
        <v/>
      </c>
      <c r="C10462">
        <f>IF(VLOOKUP(Table7[[#This Row],[Date]],Database!$A:$C,MATCH($C$1,Database!$A$1:$C$1,),)=0,#N/A,VLOOKUP(Table7[[#This Row],[Date]],Database!$A:$C,MATCH($C$1,Database!$A$1:$C$1,),))</f>
        <v/>
      </c>
      <c r="D10462">
        <f>IFERROR(Table7[[#This Row],[United States 10y]]-Table7[[#This Row],[United States 3y]],#N/A)</f>
        <v/>
      </c>
    </row>
    <row r="10463">
      <c r="A10463" s="6">
        <f>Database!$A12548</f>
        <v/>
      </c>
      <c r="B10463">
        <f>IF(VLOOKUP(Table7[[#This Row],[Date]],Database!$A:$C,MATCH($B$1,Database!$A$1:$C$1,),)=0,#N/A,VLOOKUP(Table7[[#This Row],[Date]],Database!$A:$C,MATCH($B$1,Database!$A$1:$C$1,),))</f>
        <v/>
      </c>
      <c r="C10463">
        <f>IF(VLOOKUP(Table7[[#This Row],[Date]],Database!$A:$C,MATCH($C$1,Database!$A$1:$C$1,),)=0,#N/A,VLOOKUP(Table7[[#This Row],[Date]],Database!$A:$C,MATCH($C$1,Database!$A$1:$C$1,),))</f>
        <v/>
      </c>
      <c r="D10463">
        <f>IFERROR(Table7[[#This Row],[United States 10y]]-Table7[[#This Row],[United States 3y]],#N/A)</f>
        <v/>
      </c>
    </row>
    <row r="10464">
      <c r="A10464" s="6">
        <f>Database!$A12549</f>
        <v/>
      </c>
      <c r="B10464">
        <f>IF(VLOOKUP(Table7[[#This Row],[Date]],Database!$A:$C,MATCH($B$1,Database!$A$1:$C$1,),)=0,#N/A,VLOOKUP(Table7[[#This Row],[Date]],Database!$A:$C,MATCH($B$1,Database!$A$1:$C$1,),))</f>
        <v/>
      </c>
      <c r="C10464">
        <f>IF(VLOOKUP(Table7[[#This Row],[Date]],Database!$A:$C,MATCH($C$1,Database!$A$1:$C$1,),)=0,#N/A,VLOOKUP(Table7[[#This Row],[Date]],Database!$A:$C,MATCH($C$1,Database!$A$1:$C$1,),))</f>
        <v/>
      </c>
      <c r="D10464">
        <f>IFERROR(Table7[[#This Row],[United States 10y]]-Table7[[#This Row],[United States 3y]],#N/A)</f>
        <v/>
      </c>
    </row>
    <row r="10465">
      <c r="A10465" s="6">
        <f>Database!$A12550</f>
        <v/>
      </c>
      <c r="B10465">
        <f>IF(VLOOKUP(Table7[[#This Row],[Date]],Database!$A:$C,MATCH($B$1,Database!$A$1:$C$1,),)=0,#N/A,VLOOKUP(Table7[[#This Row],[Date]],Database!$A:$C,MATCH($B$1,Database!$A$1:$C$1,),))</f>
        <v/>
      </c>
      <c r="C10465">
        <f>IF(VLOOKUP(Table7[[#This Row],[Date]],Database!$A:$C,MATCH($C$1,Database!$A$1:$C$1,),)=0,#N/A,VLOOKUP(Table7[[#This Row],[Date]],Database!$A:$C,MATCH($C$1,Database!$A$1:$C$1,),))</f>
        <v/>
      </c>
      <c r="D10465">
        <f>IFERROR(Table7[[#This Row],[United States 10y]]-Table7[[#This Row],[United States 3y]],#N/A)</f>
        <v/>
      </c>
    </row>
    <row r="10466">
      <c r="A10466" s="6">
        <f>Database!$A12551</f>
        <v/>
      </c>
      <c r="B10466">
        <f>IF(VLOOKUP(Table7[[#This Row],[Date]],Database!$A:$C,MATCH($B$1,Database!$A$1:$C$1,),)=0,#N/A,VLOOKUP(Table7[[#This Row],[Date]],Database!$A:$C,MATCH($B$1,Database!$A$1:$C$1,),))</f>
        <v/>
      </c>
      <c r="C10466">
        <f>IF(VLOOKUP(Table7[[#This Row],[Date]],Database!$A:$C,MATCH($C$1,Database!$A$1:$C$1,),)=0,#N/A,VLOOKUP(Table7[[#This Row],[Date]],Database!$A:$C,MATCH($C$1,Database!$A$1:$C$1,),))</f>
        <v/>
      </c>
      <c r="D10466">
        <f>IFERROR(Table7[[#This Row],[United States 10y]]-Table7[[#This Row],[United States 3y]],#N/A)</f>
        <v/>
      </c>
    </row>
    <row r="10467">
      <c r="A10467" s="6">
        <f>Database!$A12552</f>
        <v/>
      </c>
      <c r="B10467">
        <f>IF(VLOOKUP(Table7[[#This Row],[Date]],Database!$A:$C,MATCH($B$1,Database!$A$1:$C$1,),)=0,#N/A,VLOOKUP(Table7[[#This Row],[Date]],Database!$A:$C,MATCH($B$1,Database!$A$1:$C$1,),))</f>
        <v/>
      </c>
      <c r="C10467">
        <f>IF(VLOOKUP(Table7[[#This Row],[Date]],Database!$A:$C,MATCH($C$1,Database!$A$1:$C$1,),)=0,#N/A,VLOOKUP(Table7[[#This Row],[Date]],Database!$A:$C,MATCH($C$1,Database!$A$1:$C$1,),))</f>
        <v/>
      </c>
      <c r="D10467">
        <f>IFERROR(Table7[[#This Row],[United States 10y]]-Table7[[#This Row],[United States 3y]],#N/A)</f>
        <v/>
      </c>
    </row>
    <row r="10468">
      <c r="A10468" s="6">
        <f>Database!$A12553</f>
        <v/>
      </c>
      <c r="B10468">
        <f>IF(VLOOKUP(Table7[[#This Row],[Date]],Database!$A:$C,MATCH($B$1,Database!$A$1:$C$1,),)=0,#N/A,VLOOKUP(Table7[[#This Row],[Date]],Database!$A:$C,MATCH($B$1,Database!$A$1:$C$1,),))</f>
        <v/>
      </c>
      <c r="C10468">
        <f>IF(VLOOKUP(Table7[[#This Row],[Date]],Database!$A:$C,MATCH($C$1,Database!$A$1:$C$1,),)=0,#N/A,VLOOKUP(Table7[[#This Row],[Date]],Database!$A:$C,MATCH($C$1,Database!$A$1:$C$1,),))</f>
        <v/>
      </c>
      <c r="D10468">
        <f>IFERROR(Table7[[#This Row],[United States 10y]]-Table7[[#This Row],[United States 3y]],#N/A)</f>
        <v/>
      </c>
    </row>
    <row r="10469">
      <c r="A10469" s="6">
        <f>Database!$A12554</f>
        <v/>
      </c>
      <c r="B10469">
        <f>IF(VLOOKUP(Table7[[#This Row],[Date]],Database!$A:$C,MATCH($B$1,Database!$A$1:$C$1,),)=0,#N/A,VLOOKUP(Table7[[#This Row],[Date]],Database!$A:$C,MATCH($B$1,Database!$A$1:$C$1,),))</f>
        <v/>
      </c>
      <c r="C10469">
        <f>IF(VLOOKUP(Table7[[#This Row],[Date]],Database!$A:$C,MATCH($C$1,Database!$A$1:$C$1,),)=0,#N/A,VLOOKUP(Table7[[#This Row],[Date]],Database!$A:$C,MATCH($C$1,Database!$A$1:$C$1,),))</f>
        <v/>
      </c>
      <c r="D10469">
        <f>IFERROR(Table7[[#This Row],[United States 10y]]-Table7[[#This Row],[United States 3y]],#N/A)</f>
        <v/>
      </c>
    </row>
    <row r="10470">
      <c r="A10470" s="6">
        <f>Database!$A12555</f>
        <v/>
      </c>
      <c r="B10470">
        <f>IF(VLOOKUP(Table7[[#This Row],[Date]],Database!$A:$C,MATCH($B$1,Database!$A$1:$C$1,),)=0,#N/A,VLOOKUP(Table7[[#This Row],[Date]],Database!$A:$C,MATCH($B$1,Database!$A$1:$C$1,),))</f>
        <v/>
      </c>
      <c r="C10470">
        <f>IF(VLOOKUP(Table7[[#This Row],[Date]],Database!$A:$C,MATCH($C$1,Database!$A$1:$C$1,),)=0,#N/A,VLOOKUP(Table7[[#This Row],[Date]],Database!$A:$C,MATCH($C$1,Database!$A$1:$C$1,),))</f>
        <v/>
      </c>
      <c r="D10470">
        <f>IFERROR(Table7[[#This Row],[United States 10y]]-Table7[[#This Row],[United States 3y]],#N/A)</f>
        <v/>
      </c>
    </row>
    <row r="10471">
      <c r="A10471" s="6">
        <f>Database!$A12556</f>
        <v/>
      </c>
      <c r="B10471">
        <f>IF(VLOOKUP(Table7[[#This Row],[Date]],Database!$A:$C,MATCH($B$1,Database!$A$1:$C$1,),)=0,#N/A,VLOOKUP(Table7[[#This Row],[Date]],Database!$A:$C,MATCH($B$1,Database!$A$1:$C$1,),))</f>
        <v/>
      </c>
      <c r="C10471">
        <f>IF(VLOOKUP(Table7[[#This Row],[Date]],Database!$A:$C,MATCH($C$1,Database!$A$1:$C$1,),)=0,#N/A,VLOOKUP(Table7[[#This Row],[Date]],Database!$A:$C,MATCH($C$1,Database!$A$1:$C$1,),))</f>
        <v/>
      </c>
      <c r="D10471">
        <f>IFERROR(Table7[[#This Row],[United States 10y]]-Table7[[#This Row],[United States 3y]],#N/A)</f>
        <v/>
      </c>
    </row>
    <row r="10472">
      <c r="A10472" s="6">
        <f>Database!$A12557</f>
        <v/>
      </c>
      <c r="B10472">
        <f>IF(VLOOKUP(Table7[[#This Row],[Date]],Database!$A:$C,MATCH($B$1,Database!$A$1:$C$1,),)=0,#N/A,VLOOKUP(Table7[[#This Row],[Date]],Database!$A:$C,MATCH($B$1,Database!$A$1:$C$1,),))</f>
        <v/>
      </c>
      <c r="C10472">
        <f>IF(VLOOKUP(Table7[[#This Row],[Date]],Database!$A:$C,MATCH($C$1,Database!$A$1:$C$1,),)=0,#N/A,VLOOKUP(Table7[[#This Row],[Date]],Database!$A:$C,MATCH($C$1,Database!$A$1:$C$1,),))</f>
        <v/>
      </c>
      <c r="D10472">
        <f>IFERROR(Table7[[#This Row],[United States 10y]]-Table7[[#This Row],[United States 3y]],#N/A)</f>
        <v/>
      </c>
    </row>
    <row r="10473">
      <c r="A10473" s="6">
        <f>Database!$A12558</f>
        <v/>
      </c>
      <c r="B10473">
        <f>IF(VLOOKUP(Table7[[#This Row],[Date]],Database!$A:$C,MATCH($B$1,Database!$A$1:$C$1,),)=0,#N/A,VLOOKUP(Table7[[#This Row],[Date]],Database!$A:$C,MATCH($B$1,Database!$A$1:$C$1,),))</f>
        <v/>
      </c>
      <c r="C10473">
        <f>IF(VLOOKUP(Table7[[#This Row],[Date]],Database!$A:$C,MATCH($C$1,Database!$A$1:$C$1,),)=0,#N/A,VLOOKUP(Table7[[#This Row],[Date]],Database!$A:$C,MATCH($C$1,Database!$A$1:$C$1,),))</f>
        <v/>
      </c>
      <c r="D10473">
        <f>IFERROR(Table7[[#This Row],[United States 10y]]-Table7[[#This Row],[United States 3y]],#N/A)</f>
        <v/>
      </c>
    </row>
    <row r="10474">
      <c r="A10474" s="6">
        <f>Database!$A12559</f>
        <v/>
      </c>
      <c r="B10474">
        <f>IF(VLOOKUP(Table7[[#This Row],[Date]],Database!$A:$C,MATCH($B$1,Database!$A$1:$C$1,),)=0,#N/A,VLOOKUP(Table7[[#This Row],[Date]],Database!$A:$C,MATCH($B$1,Database!$A$1:$C$1,),))</f>
        <v/>
      </c>
      <c r="C10474">
        <f>IF(VLOOKUP(Table7[[#This Row],[Date]],Database!$A:$C,MATCH($C$1,Database!$A$1:$C$1,),)=0,#N/A,VLOOKUP(Table7[[#This Row],[Date]],Database!$A:$C,MATCH($C$1,Database!$A$1:$C$1,),))</f>
        <v/>
      </c>
      <c r="D10474">
        <f>IFERROR(Table7[[#This Row],[United States 10y]]-Table7[[#This Row],[United States 3y]],#N/A)</f>
        <v/>
      </c>
    </row>
    <row r="10475">
      <c r="A10475" s="6">
        <f>Database!$A12560</f>
        <v/>
      </c>
      <c r="B10475">
        <f>IF(VLOOKUP(Table7[[#This Row],[Date]],Database!$A:$C,MATCH($B$1,Database!$A$1:$C$1,),)=0,#N/A,VLOOKUP(Table7[[#This Row],[Date]],Database!$A:$C,MATCH($B$1,Database!$A$1:$C$1,),))</f>
        <v/>
      </c>
      <c r="C10475">
        <f>IF(VLOOKUP(Table7[[#This Row],[Date]],Database!$A:$C,MATCH($C$1,Database!$A$1:$C$1,),)=0,#N/A,VLOOKUP(Table7[[#This Row],[Date]],Database!$A:$C,MATCH($C$1,Database!$A$1:$C$1,),))</f>
        <v/>
      </c>
      <c r="D10475">
        <f>IFERROR(Table7[[#This Row],[United States 10y]]-Table7[[#This Row],[United States 3y]],#N/A)</f>
        <v/>
      </c>
    </row>
    <row r="10476">
      <c r="A10476" s="6">
        <f>Database!$A12561</f>
        <v/>
      </c>
      <c r="B10476">
        <f>IF(VLOOKUP(Table7[[#This Row],[Date]],Database!$A:$C,MATCH($B$1,Database!$A$1:$C$1,),)=0,#N/A,VLOOKUP(Table7[[#This Row],[Date]],Database!$A:$C,MATCH($B$1,Database!$A$1:$C$1,),))</f>
        <v/>
      </c>
      <c r="C10476">
        <f>IF(VLOOKUP(Table7[[#This Row],[Date]],Database!$A:$C,MATCH($C$1,Database!$A$1:$C$1,),)=0,#N/A,VLOOKUP(Table7[[#This Row],[Date]],Database!$A:$C,MATCH($C$1,Database!$A$1:$C$1,),))</f>
        <v/>
      </c>
      <c r="D10476">
        <f>IFERROR(Table7[[#This Row],[United States 10y]]-Table7[[#This Row],[United States 3y]],#N/A)</f>
        <v/>
      </c>
    </row>
    <row r="10477">
      <c r="A10477" s="6">
        <f>Database!$A12562</f>
        <v/>
      </c>
      <c r="B10477">
        <f>IF(VLOOKUP(Table7[[#This Row],[Date]],Database!$A:$C,MATCH($B$1,Database!$A$1:$C$1,),)=0,#N/A,VLOOKUP(Table7[[#This Row],[Date]],Database!$A:$C,MATCH($B$1,Database!$A$1:$C$1,),))</f>
        <v/>
      </c>
      <c r="C10477">
        <f>IF(VLOOKUP(Table7[[#This Row],[Date]],Database!$A:$C,MATCH($C$1,Database!$A$1:$C$1,),)=0,#N/A,VLOOKUP(Table7[[#This Row],[Date]],Database!$A:$C,MATCH($C$1,Database!$A$1:$C$1,),))</f>
        <v/>
      </c>
      <c r="D10477">
        <f>IFERROR(Table7[[#This Row],[United States 10y]]-Table7[[#This Row],[United States 3y]],#N/A)</f>
        <v/>
      </c>
    </row>
    <row r="10478">
      <c r="A10478" s="6">
        <f>Database!$A12563</f>
        <v/>
      </c>
      <c r="B10478">
        <f>IF(VLOOKUP(Table7[[#This Row],[Date]],Database!$A:$C,MATCH($B$1,Database!$A$1:$C$1,),)=0,#N/A,VLOOKUP(Table7[[#This Row],[Date]],Database!$A:$C,MATCH($B$1,Database!$A$1:$C$1,),))</f>
        <v/>
      </c>
      <c r="C10478">
        <f>IF(VLOOKUP(Table7[[#This Row],[Date]],Database!$A:$C,MATCH($C$1,Database!$A$1:$C$1,),)=0,#N/A,VLOOKUP(Table7[[#This Row],[Date]],Database!$A:$C,MATCH($C$1,Database!$A$1:$C$1,),))</f>
        <v/>
      </c>
      <c r="D10478">
        <f>IFERROR(Table7[[#This Row],[United States 10y]]-Table7[[#This Row],[United States 3y]],#N/A)</f>
        <v/>
      </c>
    </row>
    <row r="10479">
      <c r="A10479" s="6">
        <f>Database!$A12564</f>
        <v/>
      </c>
      <c r="B10479">
        <f>IF(VLOOKUP(Table7[[#This Row],[Date]],Database!$A:$C,MATCH($B$1,Database!$A$1:$C$1,),)=0,#N/A,VLOOKUP(Table7[[#This Row],[Date]],Database!$A:$C,MATCH($B$1,Database!$A$1:$C$1,),))</f>
        <v/>
      </c>
      <c r="C10479">
        <f>IF(VLOOKUP(Table7[[#This Row],[Date]],Database!$A:$C,MATCH($C$1,Database!$A$1:$C$1,),)=0,#N/A,VLOOKUP(Table7[[#This Row],[Date]],Database!$A:$C,MATCH($C$1,Database!$A$1:$C$1,),))</f>
        <v/>
      </c>
      <c r="D10479">
        <f>IFERROR(Table7[[#This Row],[United States 10y]]-Table7[[#This Row],[United States 3y]],#N/A)</f>
        <v/>
      </c>
    </row>
    <row r="10480">
      <c r="A10480" s="6">
        <f>Database!$A12565</f>
        <v/>
      </c>
      <c r="B10480">
        <f>IF(VLOOKUP(Table7[[#This Row],[Date]],Database!$A:$C,MATCH($B$1,Database!$A$1:$C$1,),)=0,#N/A,VLOOKUP(Table7[[#This Row],[Date]],Database!$A:$C,MATCH($B$1,Database!$A$1:$C$1,),))</f>
        <v/>
      </c>
      <c r="C10480">
        <f>IF(VLOOKUP(Table7[[#This Row],[Date]],Database!$A:$C,MATCH($C$1,Database!$A$1:$C$1,),)=0,#N/A,VLOOKUP(Table7[[#This Row],[Date]],Database!$A:$C,MATCH($C$1,Database!$A$1:$C$1,),))</f>
        <v/>
      </c>
      <c r="D10480">
        <f>IFERROR(Table7[[#This Row],[United States 10y]]-Table7[[#This Row],[United States 3y]],#N/A)</f>
        <v/>
      </c>
    </row>
    <row r="10481">
      <c r="A10481" s="6">
        <f>Database!$A12566</f>
        <v/>
      </c>
      <c r="B10481">
        <f>IF(VLOOKUP(Table7[[#This Row],[Date]],Database!$A:$C,MATCH($B$1,Database!$A$1:$C$1,),)=0,#N/A,VLOOKUP(Table7[[#This Row],[Date]],Database!$A:$C,MATCH($B$1,Database!$A$1:$C$1,),))</f>
        <v/>
      </c>
      <c r="C10481">
        <f>IF(VLOOKUP(Table7[[#This Row],[Date]],Database!$A:$C,MATCH($C$1,Database!$A$1:$C$1,),)=0,#N/A,VLOOKUP(Table7[[#This Row],[Date]],Database!$A:$C,MATCH($C$1,Database!$A$1:$C$1,),))</f>
        <v/>
      </c>
      <c r="D10481">
        <f>IFERROR(Table7[[#This Row],[United States 10y]]-Table7[[#This Row],[United States 3y]],#N/A)</f>
        <v/>
      </c>
    </row>
    <row r="10482">
      <c r="A10482" s="6">
        <f>Database!$A12567</f>
        <v/>
      </c>
      <c r="B10482">
        <f>IF(VLOOKUP(Table7[[#This Row],[Date]],Database!$A:$C,MATCH($B$1,Database!$A$1:$C$1,),)=0,#N/A,VLOOKUP(Table7[[#This Row],[Date]],Database!$A:$C,MATCH($B$1,Database!$A$1:$C$1,),))</f>
        <v/>
      </c>
      <c r="C10482">
        <f>IF(VLOOKUP(Table7[[#This Row],[Date]],Database!$A:$C,MATCH($C$1,Database!$A$1:$C$1,),)=0,#N/A,VLOOKUP(Table7[[#This Row],[Date]],Database!$A:$C,MATCH($C$1,Database!$A$1:$C$1,),))</f>
        <v/>
      </c>
      <c r="D10482">
        <f>IFERROR(Table7[[#This Row],[United States 10y]]-Table7[[#This Row],[United States 3y]],#N/A)</f>
        <v/>
      </c>
    </row>
    <row r="10483">
      <c r="A10483" s="6">
        <f>Database!$A12568</f>
        <v/>
      </c>
      <c r="B10483">
        <f>IF(VLOOKUP(Table7[[#This Row],[Date]],Database!$A:$C,MATCH($B$1,Database!$A$1:$C$1,),)=0,#N/A,VLOOKUP(Table7[[#This Row],[Date]],Database!$A:$C,MATCH($B$1,Database!$A$1:$C$1,),))</f>
        <v/>
      </c>
      <c r="C10483">
        <f>IF(VLOOKUP(Table7[[#This Row],[Date]],Database!$A:$C,MATCH($C$1,Database!$A$1:$C$1,),)=0,#N/A,VLOOKUP(Table7[[#This Row],[Date]],Database!$A:$C,MATCH($C$1,Database!$A$1:$C$1,),))</f>
        <v/>
      </c>
      <c r="D10483">
        <f>IFERROR(Table7[[#This Row],[United States 10y]]-Table7[[#This Row],[United States 3y]],#N/A)</f>
        <v/>
      </c>
    </row>
    <row r="10484">
      <c r="A10484" s="6">
        <f>Database!$A12569</f>
        <v/>
      </c>
      <c r="B10484">
        <f>IF(VLOOKUP(Table7[[#This Row],[Date]],Database!$A:$C,MATCH($B$1,Database!$A$1:$C$1,),)=0,#N/A,VLOOKUP(Table7[[#This Row],[Date]],Database!$A:$C,MATCH($B$1,Database!$A$1:$C$1,),))</f>
        <v/>
      </c>
      <c r="C10484">
        <f>IF(VLOOKUP(Table7[[#This Row],[Date]],Database!$A:$C,MATCH($C$1,Database!$A$1:$C$1,),)=0,#N/A,VLOOKUP(Table7[[#This Row],[Date]],Database!$A:$C,MATCH($C$1,Database!$A$1:$C$1,),))</f>
        <v/>
      </c>
      <c r="D10484">
        <f>IFERROR(Table7[[#This Row],[United States 10y]]-Table7[[#This Row],[United States 3y]],#N/A)</f>
        <v/>
      </c>
    </row>
    <row r="10485">
      <c r="A10485" s="6">
        <f>Database!$A12570</f>
        <v/>
      </c>
      <c r="B10485">
        <f>IF(VLOOKUP(Table7[[#This Row],[Date]],Database!$A:$C,MATCH($B$1,Database!$A$1:$C$1,),)=0,#N/A,VLOOKUP(Table7[[#This Row],[Date]],Database!$A:$C,MATCH($B$1,Database!$A$1:$C$1,),))</f>
        <v/>
      </c>
      <c r="C10485">
        <f>IF(VLOOKUP(Table7[[#This Row],[Date]],Database!$A:$C,MATCH($C$1,Database!$A$1:$C$1,),)=0,#N/A,VLOOKUP(Table7[[#This Row],[Date]],Database!$A:$C,MATCH($C$1,Database!$A$1:$C$1,),))</f>
        <v/>
      </c>
      <c r="D10485">
        <f>IFERROR(Table7[[#This Row],[United States 10y]]-Table7[[#This Row],[United States 3y]],#N/A)</f>
        <v/>
      </c>
    </row>
    <row r="10486">
      <c r="A10486" s="6">
        <f>Database!$A12571</f>
        <v/>
      </c>
      <c r="B10486">
        <f>IF(VLOOKUP(Table7[[#This Row],[Date]],Database!$A:$C,MATCH($B$1,Database!$A$1:$C$1,),)=0,#N/A,VLOOKUP(Table7[[#This Row],[Date]],Database!$A:$C,MATCH($B$1,Database!$A$1:$C$1,),))</f>
        <v/>
      </c>
      <c r="C10486">
        <f>IF(VLOOKUP(Table7[[#This Row],[Date]],Database!$A:$C,MATCH($C$1,Database!$A$1:$C$1,),)=0,#N/A,VLOOKUP(Table7[[#This Row],[Date]],Database!$A:$C,MATCH($C$1,Database!$A$1:$C$1,),))</f>
        <v/>
      </c>
      <c r="D10486">
        <f>IFERROR(Table7[[#This Row],[United States 10y]]-Table7[[#This Row],[United States 3y]],#N/A)</f>
        <v/>
      </c>
    </row>
    <row r="10487">
      <c r="A10487" s="6">
        <f>Database!$A12572</f>
        <v/>
      </c>
      <c r="B10487">
        <f>IF(VLOOKUP(Table7[[#This Row],[Date]],Database!$A:$C,MATCH($B$1,Database!$A$1:$C$1,),)=0,#N/A,VLOOKUP(Table7[[#This Row],[Date]],Database!$A:$C,MATCH($B$1,Database!$A$1:$C$1,),))</f>
        <v/>
      </c>
      <c r="C10487">
        <f>IF(VLOOKUP(Table7[[#This Row],[Date]],Database!$A:$C,MATCH($C$1,Database!$A$1:$C$1,),)=0,#N/A,VLOOKUP(Table7[[#This Row],[Date]],Database!$A:$C,MATCH($C$1,Database!$A$1:$C$1,),))</f>
        <v/>
      </c>
      <c r="D10487">
        <f>IFERROR(Table7[[#This Row],[United States 10y]]-Table7[[#This Row],[United States 3y]],#N/A)</f>
        <v/>
      </c>
    </row>
    <row r="10488">
      <c r="A10488" s="6">
        <f>Database!$A12573</f>
        <v/>
      </c>
      <c r="B10488">
        <f>IF(VLOOKUP(Table7[[#This Row],[Date]],Database!$A:$C,MATCH($B$1,Database!$A$1:$C$1,),)=0,#N/A,VLOOKUP(Table7[[#This Row],[Date]],Database!$A:$C,MATCH($B$1,Database!$A$1:$C$1,),))</f>
        <v/>
      </c>
      <c r="C10488">
        <f>IF(VLOOKUP(Table7[[#This Row],[Date]],Database!$A:$C,MATCH($C$1,Database!$A$1:$C$1,),)=0,#N/A,VLOOKUP(Table7[[#This Row],[Date]],Database!$A:$C,MATCH($C$1,Database!$A$1:$C$1,),))</f>
        <v/>
      </c>
      <c r="D10488">
        <f>IFERROR(Table7[[#This Row],[United States 10y]]-Table7[[#This Row],[United States 3y]],#N/A)</f>
        <v/>
      </c>
    </row>
    <row r="10489">
      <c r="A10489" s="6">
        <f>Database!$A12574</f>
        <v/>
      </c>
      <c r="B10489">
        <f>IF(VLOOKUP(Table7[[#This Row],[Date]],Database!$A:$C,MATCH($B$1,Database!$A$1:$C$1,),)=0,#N/A,VLOOKUP(Table7[[#This Row],[Date]],Database!$A:$C,MATCH($B$1,Database!$A$1:$C$1,),))</f>
        <v/>
      </c>
      <c r="C10489">
        <f>IF(VLOOKUP(Table7[[#This Row],[Date]],Database!$A:$C,MATCH($C$1,Database!$A$1:$C$1,),)=0,#N/A,VLOOKUP(Table7[[#This Row],[Date]],Database!$A:$C,MATCH($C$1,Database!$A$1:$C$1,),))</f>
        <v/>
      </c>
      <c r="D10489">
        <f>IFERROR(Table7[[#This Row],[United States 10y]]-Table7[[#This Row],[United States 3y]],#N/A)</f>
        <v/>
      </c>
    </row>
    <row r="10490">
      <c r="A10490" s="6">
        <f>Database!$A12575</f>
        <v/>
      </c>
      <c r="B10490">
        <f>IF(VLOOKUP(Table7[[#This Row],[Date]],Database!$A:$C,MATCH($B$1,Database!$A$1:$C$1,),)=0,#N/A,VLOOKUP(Table7[[#This Row],[Date]],Database!$A:$C,MATCH($B$1,Database!$A$1:$C$1,),))</f>
        <v/>
      </c>
      <c r="C10490">
        <f>IF(VLOOKUP(Table7[[#This Row],[Date]],Database!$A:$C,MATCH($C$1,Database!$A$1:$C$1,),)=0,#N/A,VLOOKUP(Table7[[#This Row],[Date]],Database!$A:$C,MATCH($C$1,Database!$A$1:$C$1,),))</f>
        <v/>
      </c>
      <c r="D10490">
        <f>IFERROR(Table7[[#This Row],[United States 10y]]-Table7[[#This Row],[United States 3y]],#N/A)</f>
        <v/>
      </c>
    </row>
    <row r="10491">
      <c r="A10491" s="6">
        <f>Database!$A12576</f>
        <v/>
      </c>
      <c r="B10491">
        <f>IF(VLOOKUP(Table7[[#This Row],[Date]],Database!$A:$C,MATCH($B$1,Database!$A$1:$C$1,),)=0,#N/A,VLOOKUP(Table7[[#This Row],[Date]],Database!$A:$C,MATCH($B$1,Database!$A$1:$C$1,),))</f>
        <v/>
      </c>
      <c r="C10491">
        <f>IF(VLOOKUP(Table7[[#This Row],[Date]],Database!$A:$C,MATCH($C$1,Database!$A$1:$C$1,),)=0,#N/A,VLOOKUP(Table7[[#This Row],[Date]],Database!$A:$C,MATCH($C$1,Database!$A$1:$C$1,),))</f>
        <v/>
      </c>
      <c r="D10491">
        <f>IFERROR(Table7[[#This Row],[United States 10y]]-Table7[[#This Row],[United States 3y]],#N/A)</f>
        <v/>
      </c>
    </row>
    <row r="10492">
      <c r="A10492" s="6">
        <f>Database!$A12577</f>
        <v/>
      </c>
      <c r="B10492">
        <f>IF(VLOOKUP(Table7[[#This Row],[Date]],Database!$A:$C,MATCH($B$1,Database!$A$1:$C$1,),)=0,#N/A,VLOOKUP(Table7[[#This Row],[Date]],Database!$A:$C,MATCH($B$1,Database!$A$1:$C$1,),))</f>
        <v/>
      </c>
      <c r="C10492">
        <f>IF(VLOOKUP(Table7[[#This Row],[Date]],Database!$A:$C,MATCH($C$1,Database!$A$1:$C$1,),)=0,#N/A,VLOOKUP(Table7[[#This Row],[Date]],Database!$A:$C,MATCH($C$1,Database!$A$1:$C$1,),))</f>
        <v/>
      </c>
      <c r="D10492">
        <f>IFERROR(Table7[[#This Row],[United States 10y]]-Table7[[#This Row],[United States 3y]],#N/A)</f>
        <v/>
      </c>
    </row>
    <row r="10493">
      <c r="A10493" s="6">
        <f>Database!$A12578</f>
        <v/>
      </c>
      <c r="B10493">
        <f>IF(VLOOKUP(Table7[[#This Row],[Date]],Database!$A:$C,MATCH($B$1,Database!$A$1:$C$1,),)=0,#N/A,VLOOKUP(Table7[[#This Row],[Date]],Database!$A:$C,MATCH($B$1,Database!$A$1:$C$1,),))</f>
        <v/>
      </c>
      <c r="C10493">
        <f>IF(VLOOKUP(Table7[[#This Row],[Date]],Database!$A:$C,MATCH($C$1,Database!$A$1:$C$1,),)=0,#N/A,VLOOKUP(Table7[[#This Row],[Date]],Database!$A:$C,MATCH($C$1,Database!$A$1:$C$1,),))</f>
        <v/>
      </c>
      <c r="D10493">
        <f>IFERROR(Table7[[#This Row],[United States 10y]]-Table7[[#This Row],[United States 3y]],#N/A)</f>
        <v/>
      </c>
    </row>
    <row r="10494">
      <c r="A10494" s="6">
        <f>Database!$A12579</f>
        <v/>
      </c>
      <c r="B10494">
        <f>IF(VLOOKUP(Table7[[#This Row],[Date]],Database!$A:$C,MATCH($B$1,Database!$A$1:$C$1,),)=0,#N/A,VLOOKUP(Table7[[#This Row],[Date]],Database!$A:$C,MATCH($B$1,Database!$A$1:$C$1,),))</f>
        <v/>
      </c>
      <c r="C10494">
        <f>IF(VLOOKUP(Table7[[#This Row],[Date]],Database!$A:$C,MATCH($C$1,Database!$A$1:$C$1,),)=0,#N/A,VLOOKUP(Table7[[#This Row],[Date]],Database!$A:$C,MATCH($C$1,Database!$A$1:$C$1,),))</f>
        <v/>
      </c>
      <c r="D10494">
        <f>IFERROR(Table7[[#This Row],[United States 10y]]-Table7[[#This Row],[United States 3y]],#N/A)</f>
        <v/>
      </c>
    </row>
    <row r="10495">
      <c r="A10495" s="6">
        <f>Database!$A12580</f>
        <v/>
      </c>
      <c r="B10495">
        <f>IF(VLOOKUP(Table7[[#This Row],[Date]],Database!$A:$C,MATCH($B$1,Database!$A$1:$C$1,),)=0,#N/A,VLOOKUP(Table7[[#This Row],[Date]],Database!$A:$C,MATCH($B$1,Database!$A$1:$C$1,),))</f>
        <v/>
      </c>
      <c r="C10495">
        <f>IF(VLOOKUP(Table7[[#This Row],[Date]],Database!$A:$C,MATCH($C$1,Database!$A$1:$C$1,),)=0,#N/A,VLOOKUP(Table7[[#This Row],[Date]],Database!$A:$C,MATCH($C$1,Database!$A$1:$C$1,),))</f>
        <v/>
      </c>
      <c r="D10495">
        <f>IFERROR(Table7[[#This Row],[United States 10y]]-Table7[[#This Row],[United States 3y]],#N/A)</f>
        <v/>
      </c>
    </row>
    <row r="10496">
      <c r="A10496" s="6">
        <f>Database!$A12581</f>
        <v/>
      </c>
      <c r="B10496">
        <f>IF(VLOOKUP(Table7[[#This Row],[Date]],Database!$A:$C,MATCH($B$1,Database!$A$1:$C$1,),)=0,#N/A,VLOOKUP(Table7[[#This Row],[Date]],Database!$A:$C,MATCH($B$1,Database!$A$1:$C$1,),))</f>
        <v/>
      </c>
      <c r="C10496">
        <f>IF(VLOOKUP(Table7[[#This Row],[Date]],Database!$A:$C,MATCH($C$1,Database!$A$1:$C$1,),)=0,#N/A,VLOOKUP(Table7[[#This Row],[Date]],Database!$A:$C,MATCH($C$1,Database!$A$1:$C$1,),))</f>
        <v/>
      </c>
      <c r="D10496">
        <f>IFERROR(Table7[[#This Row],[United States 10y]]-Table7[[#This Row],[United States 3y]],#N/A)</f>
        <v/>
      </c>
    </row>
    <row r="10497">
      <c r="A10497" s="6">
        <f>Database!$A12582</f>
        <v/>
      </c>
      <c r="B10497">
        <f>IF(VLOOKUP(Table7[[#This Row],[Date]],Database!$A:$C,MATCH($B$1,Database!$A$1:$C$1,),)=0,#N/A,VLOOKUP(Table7[[#This Row],[Date]],Database!$A:$C,MATCH($B$1,Database!$A$1:$C$1,),))</f>
        <v/>
      </c>
      <c r="C10497">
        <f>IF(VLOOKUP(Table7[[#This Row],[Date]],Database!$A:$C,MATCH($C$1,Database!$A$1:$C$1,),)=0,#N/A,VLOOKUP(Table7[[#This Row],[Date]],Database!$A:$C,MATCH($C$1,Database!$A$1:$C$1,),))</f>
        <v/>
      </c>
      <c r="D10497">
        <f>IFERROR(Table7[[#This Row],[United States 10y]]-Table7[[#This Row],[United States 3y]],#N/A)</f>
        <v/>
      </c>
    </row>
    <row r="10498">
      <c r="A10498" s="6">
        <f>Database!$A12583</f>
        <v/>
      </c>
      <c r="B10498">
        <f>IF(VLOOKUP(Table7[[#This Row],[Date]],Database!$A:$C,MATCH($B$1,Database!$A$1:$C$1,),)=0,#N/A,VLOOKUP(Table7[[#This Row],[Date]],Database!$A:$C,MATCH($B$1,Database!$A$1:$C$1,),))</f>
        <v/>
      </c>
      <c r="C10498">
        <f>IF(VLOOKUP(Table7[[#This Row],[Date]],Database!$A:$C,MATCH($C$1,Database!$A$1:$C$1,),)=0,#N/A,VLOOKUP(Table7[[#This Row],[Date]],Database!$A:$C,MATCH($C$1,Database!$A$1:$C$1,),))</f>
        <v/>
      </c>
      <c r="D10498">
        <f>IFERROR(Table7[[#This Row],[United States 10y]]-Table7[[#This Row],[United States 3y]],#N/A)</f>
        <v/>
      </c>
    </row>
    <row r="10499">
      <c r="A10499" s="6">
        <f>Database!$A12584</f>
        <v/>
      </c>
      <c r="B10499">
        <f>IF(VLOOKUP(Table7[[#This Row],[Date]],Database!$A:$C,MATCH($B$1,Database!$A$1:$C$1,),)=0,#N/A,VLOOKUP(Table7[[#This Row],[Date]],Database!$A:$C,MATCH($B$1,Database!$A$1:$C$1,),))</f>
        <v/>
      </c>
      <c r="C10499">
        <f>IF(VLOOKUP(Table7[[#This Row],[Date]],Database!$A:$C,MATCH($C$1,Database!$A$1:$C$1,),)=0,#N/A,VLOOKUP(Table7[[#This Row],[Date]],Database!$A:$C,MATCH($C$1,Database!$A$1:$C$1,),))</f>
        <v/>
      </c>
      <c r="D10499">
        <f>IFERROR(Table7[[#This Row],[United States 10y]]-Table7[[#This Row],[United States 3y]],#N/A)</f>
        <v/>
      </c>
    </row>
    <row r="10500">
      <c r="A10500" s="6">
        <f>Database!$A12585</f>
        <v/>
      </c>
      <c r="B10500">
        <f>IF(VLOOKUP(Table7[[#This Row],[Date]],Database!$A:$C,MATCH($B$1,Database!$A$1:$C$1,),)=0,#N/A,VLOOKUP(Table7[[#This Row],[Date]],Database!$A:$C,MATCH($B$1,Database!$A$1:$C$1,),))</f>
        <v/>
      </c>
      <c r="C10500">
        <f>IF(VLOOKUP(Table7[[#This Row],[Date]],Database!$A:$C,MATCH($C$1,Database!$A$1:$C$1,),)=0,#N/A,VLOOKUP(Table7[[#This Row],[Date]],Database!$A:$C,MATCH($C$1,Database!$A$1:$C$1,),))</f>
        <v/>
      </c>
      <c r="D10500">
        <f>IFERROR(Table7[[#This Row],[United States 10y]]-Table7[[#This Row],[United States 3y]],#N/A)</f>
        <v/>
      </c>
    </row>
    <row r="10501">
      <c r="A10501" s="6">
        <f>Database!$A12586</f>
        <v/>
      </c>
      <c r="B10501">
        <f>IF(VLOOKUP(Table7[[#This Row],[Date]],Database!$A:$C,MATCH($B$1,Database!$A$1:$C$1,),)=0,#N/A,VLOOKUP(Table7[[#This Row],[Date]],Database!$A:$C,MATCH($B$1,Database!$A$1:$C$1,),))</f>
        <v/>
      </c>
      <c r="C10501">
        <f>IF(VLOOKUP(Table7[[#This Row],[Date]],Database!$A:$C,MATCH($C$1,Database!$A$1:$C$1,),)=0,#N/A,VLOOKUP(Table7[[#This Row],[Date]],Database!$A:$C,MATCH($C$1,Database!$A$1:$C$1,),))</f>
        <v/>
      </c>
      <c r="D10501">
        <f>IFERROR(Table7[[#This Row],[United States 10y]]-Table7[[#This Row],[United States 3y]],#N/A)</f>
        <v/>
      </c>
    </row>
    <row r="10502">
      <c r="A10502" s="6">
        <f>Database!$A12587</f>
        <v/>
      </c>
      <c r="B10502">
        <f>IF(VLOOKUP(Table7[[#This Row],[Date]],Database!$A:$C,MATCH($B$1,Database!$A$1:$C$1,),)=0,#N/A,VLOOKUP(Table7[[#This Row],[Date]],Database!$A:$C,MATCH($B$1,Database!$A$1:$C$1,),))</f>
        <v/>
      </c>
      <c r="C10502">
        <f>IF(VLOOKUP(Table7[[#This Row],[Date]],Database!$A:$C,MATCH($C$1,Database!$A$1:$C$1,),)=0,#N/A,VLOOKUP(Table7[[#This Row],[Date]],Database!$A:$C,MATCH($C$1,Database!$A$1:$C$1,),))</f>
        <v/>
      </c>
      <c r="D10502">
        <f>IFERROR(Table7[[#This Row],[United States 10y]]-Table7[[#This Row],[United States 3y]],#N/A)</f>
        <v/>
      </c>
    </row>
    <row r="10503">
      <c r="A10503" s="6">
        <f>Database!$A12588</f>
        <v/>
      </c>
      <c r="B10503">
        <f>IF(VLOOKUP(Table7[[#This Row],[Date]],Database!$A:$C,MATCH($B$1,Database!$A$1:$C$1,),)=0,#N/A,VLOOKUP(Table7[[#This Row],[Date]],Database!$A:$C,MATCH($B$1,Database!$A$1:$C$1,),))</f>
        <v/>
      </c>
      <c r="C10503">
        <f>IF(VLOOKUP(Table7[[#This Row],[Date]],Database!$A:$C,MATCH($C$1,Database!$A$1:$C$1,),)=0,#N/A,VLOOKUP(Table7[[#This Row],[Date]],Database!$A:$C,MATCH($C$1,Database!$A$1:$C$1,),))</f>
        <v/>
      </c>
      <c r="D10503">
        <f>IFERROR(Table7[[#This Row],[United States 10y]]-Table7[[#This Row],[United States 3y]],#N/A)</f>
        <v/>
      </c>
    </row>
    <row r="10504">
      <c r="A10504" s="6">
        <f>Database!$A12589</f>
        <v/>
      </c>
      <c r="B10504">
        <f>IF(VLOOKUP(Table7[[#This Row],[Date]],Database!$A:$C,MATCH($B$1,Database!$A$1:$C$1,),)=0,#N/A,VLOOKUP(Table7[[#This Row],[Date]],Database!$A:$C,MATCH($B$1,Database!$A$1:$C$1,),))</f>
        <v/>
      </c>
      <c r="C10504">
        <f>IF(VLOOKUP(Table7[[#This Row],[Date]],Database!$A:$C,MATCH($C$1,Database!$A$1:$C$1,),)=0,#N/A,VLOOKUP(Table7[[#This Row],[Date]],Database!$A:$C,MATCH($C$1,Database!$A$1:$C$1,),))</f>
        <v/>
      </c>
      <c r="D10504">
        <f>IFERROR(Table7[[#This Row],[United States 10y]]-Table7[[#This Row],[United States 3y]],#N/A)</f>
        <v/>
      </c>
    </row>
    <row r="10505">
      <c r="A10505" s="6">
        <f>Database!$A12590</f>
        <v/>
      </c>
      <c r="B10505">
        <f>IF(VLOOKUP(Table7[[#This Row],[Date]],Database!$A:$C,MATCH($B$1,Database!$A$1:$C$1,),)=0,#N/A,VLOOKUP(Table7[[#This Row],[Date]],Database!$A:$C,MATCH($B$1,Database!$A$1:$C$1,),))</f>
        <v/>
      </c>
      <c r="C10505">
        <f>IF(VLOOKUP(Table7[[#This Row],[Date]],Database!$A:$C,MATCH($C$1,Database!$A$1:$C$1,),)=0,#N/A,VLOOKUP(Table7[[#This Row],[Date]],Database!$A:$C,MATCH($C$1,Database!$A$1:$C$1,),))</f>
        <v/>
      </c>
      <c r="D10505">
        <f>IFERROR(Table7[[#This Row],[United States 10y]]-Table7[[#This Row],[United States 3y]],#N/A)</f>
        <v/>
      </c>
    </row>
    <row r="10506">
      <c r="A10506" s="6">
        <f>Database!$A12591</f>
        <v/>
      </c>
      <c r="B10506">
        <f>IF(VLOOKUP(Table7[[#This Row],[Date]],Database!$A:$C,MATCH($B$1,Database!$A$1:$C$1,),)=0,#N/A,VLOOKUP(Table7[[#This Row],[Date]],Database!$A:$C,MATCH($B$1,Database!$A$1:$C$1,),))</f>
        <v/>
      </c>
      <c r="C10506">
        <f>IF(VLOOKUP(Table7[[#This Row],[Date]],Database!$A:$C,MATCH($C$1,Database!$A$1:$C$1,),)=0,#N/A,VLOOKUP(Table7[[#This Row],[Date]],Database!$A:$C,MATCH($C$1,Database!$A$1:$C$1,),))</f>
        <v/>
      </c>
      <c r="D10506">
        <f>IFERROR(Table7[[#This Row],[United States 10y]]-Table7[[#This Row],[United States 3y]],#N/A)</f>
        <v/>
      </c>
    </row>
    <row r="10507">
      <c r="A10507" s="6">
        <f>Database!$A12592</f>
        <v/>
      </c>
      <c r="B10507">
        <f>IF(VLOOKUP(Table7[[#This Row],[Date]],Database!$A:$C,MATCH($B$1,Database!$A$1:$C$1,),)=0,#N/A,VLOOKUP(Table7[[#This Row],[Date]],Database!$A:$C,MATCH($B$1,Database!$A$1:$C$1,),))</f>
        <v/>
      </c>
      <c r="C10507">
        <f>IF(VLOOKUP(Table7[[#This Row],[Date]],Database!$A:$C,MATCH($C$1,Database!$A$1:$C$1,),)=0,#N/A,VLOOKUP(Table7[[#This Row],[Date]],Database!$A:$C,MATCH($C$1,Database!$A$1:$C$1,),))</f>
        <v/>
      </c>
      <c r="D10507">
        <f>IFERROR(Table7[[#This Row],[United States 10y]]-Table7[[#This Row],[United States 3y]],#N/A)</f>
        <v/>
      </c>
    </row>
    <row r="10508">
      <c r="A10508" s="6">
        <f>Database!$A12593</f>
        <v/>
      </c>
      <c r="B10508">
        <f>IF(VLOOKUP(Table7[[#This Row],[Date]],Database!$A:$C,MATCH($B$1,Database!$A$1:$C$1,),)=0,#N/A,VLOOKUP(Table7[[#This Row],[Date]],Database!$A:$C,MATCH($B$1,Database!$A$1:$C$1,),))</f>
        <v/>
      </c>
      <c r="C10508">
        <f>IF(VLOOKUP(Table7[[#This Row],[Date]],Database!$A:$C,MATCH($C$1,Database!$A$1:$C$1,),)=0,#N/A,VLOOKUP(Table7[[#This Row],[Date]],Database!$A:$C,MATCH($C$1,Database!$A$1:$C$1,),))</f>
        <v/>
      </c>
      <c r="D10508">
        <f>IFERROR(Table7[[#This Row],[United States 10y]]-Table7[[#This Row],[United States 3y]],#N/A)</f>
        <v/>
      </c>
    </row>
    <row r="10509">
      <c r="A10509" s="6">
        <f>Database!$A12594</f>
        <v/>
      </c>
      <c r="B10509">
        <f>IF(VLOOKUP(Table7[[#This Row],[Date]],Database!$A:$C,MATCH($B$1,Database!$A$1:$C$1,),)=0,#N/A,VLOOKUP(Table7[[#This Row],[Date]],Database!$A:$C,MATCH($B$1,Database!$A$1:$C$1,),))</f>
        <v/>
      </c>
      <c r="C10509">
        <f>IF(VLOOKUP(Table7[[#This Row],[Date]],Database!$A:$C,MATCH($C$1,Database!$A$1:$C$1,),)=0,#N/A,VLOOKUP(Table7[[#This Row],[Date]],Database!$A:$C,MATCH($C$1,Database!$A$1:$C$1,),))</f>
        <v/>
      </c>
      <c r="D10509">
        <f>IFERROR(Table7[[#This Row],[United States 10y]]-Table7[[#This Row],[United States 3y]],#N/A)</f>
        <v/>
      </c>
    </row>
    <row r="10510">
      <c r="A10510" s="6">
        <f>Database!$A12595</f>
        <v/>
      </c>
      <c r="B10510">
        <f>IF(VLOOKUP(Table7[[#This Row],[Date]],Database!$A:$C,MATCH($B$1,Database!$A$1:$C$1,),)=0,#N/A,VLOOKUP(Table7[[#This Row],[Date]],Database!$A:$C,MATCH($B$1,Database!$A$1:$C$1,),))</f>
        <v/>
      </c>
      <c r="C10510">
        <f>IF(VLOOKUP(Table7[[#This Row],[Date]],Database!$A:$C,MATCH($C$1,Database!$A$1:$C$1,),)=0,#N/A,VLOOKUP(Table7[[#This Row],[Date]],Database!$A:$C,MATCH($C$1,Database!$A$1:$C$1,),))</f>
        <v/>
      </c>
      <c r="D10510">
        <f>IFERROR(Table7[[#This Row],[United States 10y]]-Table7[[#This Row],[United States 3y]],#N/A)</f>
        <v/>
      </c>
    </row>
    <row r="10511">
      <c r="A10511" s="6">
        <f>Database!$A12596</f>
        <v/>
      </c>
      <c r="B10511">
        <f>IF(VLOOKUP(Table7[[#This Row],[Date]],Database!$A:$C,MATCH($B$1,Database!$A$1:$C$1,),)=0,#N/A,VLOOKUP(Table7[[#This Row],[Date]],Database!$A:$C,MATCH($B$1,Database!$A$1:$C$1,),))</f>
        <v/>
      </c>
      <c r="C10511">
        <f>IF(VLOOKUP(Table7[[#This Row],[Date]],Database!$A:$C,MATCH($C$1,Database!$A$1:$C$1,),)=0,#N/A,VLOOKUP(Table7[[#This Row],[Date]],Database!$A:$C,MATCH($C$1,Database!$A$1:$C$1,),))</f>
        <v/>
      </c>
      <c r="D10511">
        <f>IFERROR(Table7[[#This Row],[United States 10y]]-Table7[[#This Row],[United States 3y]],#N/A)</f>
        <v/>
      </c>
    </row>
    <row r="10512">
      <c r="A10512" s="6">
        <f>Database!$A12597</f>
        <v/>
      </c>
      <c r="B10512">
        <f>IF(VLOOKUP(Table7[[#This Row],[Date]],Database!$A:$C,MATCH($B$1,Database!$A$1:$C$1,),)=0,#N/A,VLOOKUP(Table7[[#This Row],[Date]],Database!$A:$C,MATCH($B$1,Database!$A$1:$C$1,),))</f>
        <v/>
      </c>
      <c r="C10512">
        <f>IF(VLOOKUP(Table7[[#This Row],[Date]],Database!$A:$C,MATCH($C$1,Database!$A$1:$C$1,),)=0,#N/A,VLOOKUP(Table7[[#This Row],[Date]],Database!$A:$C,MATCH($C$1,Database!$A$1:$C$1,),))</f>
        <v/>
      </c>
      <c r="D10512">
        <f>IFERROR(Table7[[#This Row],[United States 10y]]-Table7[[#This Row],[United States 3y]],#N/A)</f>
        <v/>
      </c>
    </row>
    <row r="10513">
      <c r="A10513" s="6">
        <f>Database!$A12598</f>
        <v/>
      </c>
      <c r="B10513">
        <f>IF(VLOOKUP(Table7[[#This Row],[Date]],Database!$A:$C,MATCH($B$1,Database!$A$1:$C$1,),)=0,#N/A,VLOOKUP(Table7[[#This Row],[Date]],Database!$A:$C,MATCH($B$1,Database!$A$1:$C$1,),))</f>
        <v/>
      </c>
      <c r="C10513">
        <f>IF(VLOOKUP(Table7[[#This Row],[Date]],Database!$A:$C,MATCH($C$1,Database!$A$1:$C$1,),)=0,#N/A,VLOOKUP(Table7[[#This Row],[Date]],Database!$A:$C,MATCH($C$1,Database!$A$1:$C$1,),))</f>
        <v/>
      </c>
      <c r="D10513">
        <f>IFERROR(Table7[[#This Row],[United States 10y]]-Table7[[#This Row],[United States 3y]],#N/A)</f>
        <v/>
      </c>
    </row>
    <row r="10514">
      <c r="A10514" s="6">
        <f>Database!$A12599</f>
        <v/>
      </c>
      <c r="B10514">
        <f>IF(VLOOKUP(Table7[[#This Row],[Date]],Database!$A:$C,MATCH($B$1,Database!$A$1:$C$1,),)=0,#N/A,VLOOKUP(Table7[[#This Row],[Date]],Database!$A:$C,MATCH($B$1,Database!$A$1:$C$1,),))</f>
        <v/>
      </c>
      <c r="C10514">
        <f>IF(VLOOKUP(Table7[[#This Row],[Date]],Database!$A:$C,MATCH($C$1,Database!$A$1:$C$1,),)=0,#N/A,VLOOKUP(Table7[[#This Row],[Date]],Database!$A:$C,MATCH($C$1,Database!$A$1:$C$1,),))</f>
        <v/>
      </c>
      <c r="D10514">
        <f>IFERROR(Table7[[#This Row],[United States 10y]]-Table7[[#This Row],[United States 3y]],#N/A)</f>
        <v/>
      </c>
    </row>
    <row r="10515">
      <c r="A10515" s="6">
        <f>Database!$A12600</f>
        <v/>
      </c>
      <c r="B10515">
        <f>IF(VLOOKUP(Table7[[#This Row],[Date]],Database!$A:$C,MATCH($B$1,Database!$A$1:$C$1,),)=0,#N/A,VLOOKUP(Table7[[#This Row],[Date]],Database!$A:$C,MATCH($B$1,Database!$A$1:$C$1,),))</f>
        <v/>
      </c>
      <c r="C10515">
        <f>IF(VLOOKUP(Table7[[#This Row],[Date]],Database!$A:$C,MATCH($C$1,Database!$A$1:$C$1,),)=0,#N/A,VLOOKUP(Table7[[#This Row],[Date]],Database!$A:$C,MATCH($C$1,Database!$A$1:$C$1,),))</f>
        <v/>
      </c>
      <c r="D10515">
        <f>IFERROR(Table7[[#This Row],[United States 10y]]-Table7[[#This Row],[United States 3y]],#N/A)</f>
        <v/>
      </c>
    </row>
    <row r="10516">
      <c r="A10516" s="6">
        <f>Database!$A12601</f>
        <v/>
      </c>
      <c r="B10516">
        <f>IF(VLOOKUP(Table7[[#This Row],[Date]],Database!$A:$C,MATCH($B$1,Database!$A$1:$C$1,),)=0,#N/A,VLOOKUP(Table7[[#This Row],[Date]],Database!$A:$C,MATCH($B$1,Database!$A$1:$C$1,),))</f>
        <v/>
      </c>
      <c r="C10516">
        <f>IF(VLOOKUP(Table7[[#This Row],[Date]],Database!$A:$C,MATCH($C$1,Database!$A$1:$C$1,),)=0,#N/A,VLOOKUP(Table7[[#This Row],[Date]],Database!$A:$C,MATCH($C$1,Database!$A$1:$C$1,),))</f>
        <v/>
      </c>
      <c r="D10516">
        <f>IFERROR(Table7[[#This Row],[United States 10y]]-Table7[[#This Row],[United States 3y]],#N/A)</f>
        <v/>
      </c>
    </row>
    <row r="10517">
      <c r="A10517" s="6">
        <f>Database!$A12602</f>
        <v/>
      </c>
      <c r="B10517">
        <f>IF(VLOOKUP(Table7[[#This Row],[Date]],Database!$A:$C,MATCH($B$1,Database!$A$1:$C$1,),)=0,#N/A,VLOOKUP(Table7[[#This Row],[Date]],Database!$A:$C,MATCH($B$1,Database!$A$1:$C$1,),))</f>
        <v/>
      </c>
      <c r="C10517">
        <f>IF(VLOOKUP(Table7[[#This Row],[Date]],Database!$A:$C,MATCH($C$1,Database!$A$1:$C$1,),)=0,#N/A,VLOOKUP(Table7[[#This Row],[Date]],Database!$A:$C,MATCH($C$1,Database!$A$1:$C$1,),))</f>
        <v/>
      </c>
      <c r="D10517">
        <f>IFERROR(Table7[[#This Row],[United States 10y]]-Table7[[#This Row],[United States 3y]],#N/A)</f>
        <v/>
      </c>
    </row>
    <row r="10518">
      <c r="A10518" s="6">
        <f>Database!$A12603</f>
        <v/>
      </c>
      <c r="B10518">
        <f>IF(VLOOKUP(Table7[[#This Row],[Date]],Database!$A:$C,MATCH($B$1,Database!$A$1:$C$1,),)=0,#N/A,VLOOKUP(Table7[[#This Row],[Date]],Database!$A:$C,MATCH($B$1,Database!$A$1:$C$1,),))</f>
        <v/>
      </c>
      <c r="C10518">
        <f>IF(VLOOKUP(Table7[[#This Row],[Date]],Database!$A:$C,MATCH($C$1,Database!$A$1:$C$1,),)=0,#N/A,VLOOKUP(Table7[[#This Row],[Date]],Database!$A:$C,MATCH($C$1,Database!$A$1:$C$1,),))</f>
        <v/>
      </c>
      <c r="D10518">
        <f>IFERROR(Table7[[#This Row],[United States 10y]]-Table7[[#This Row],[United States 3y]],#N/A)</f>
        <v/>
      </c>
    </row>
    <row r="10519">
      <c r="A10519" s="6">
        <f>Database!$A12604</f>
        <v/>
      </c>
      <c r="B10519">
        <f>IF(VLOOKUP(Table7[[#This Row],[Date]],Database!$A:$C,MATCH($B$1,Database!$A$1:$C$1,),)=0,#N/A,VLOOKUP(Table7[[#This Row],[Date]],Database!$A:$C,MATCH($B$1,Database!$A$1:$C$1,),))</f>
        <v/>
      </c>
      <c r="C10519">
        <f>IF(VLOOKUP(Table7[[#This Row],[Date]],Database!$A:$C,MATCH($C$1,Database!$A$1:$C$1,),)=0,#N/A,VLOOKUP(Table7[[#This Row],[Date]],Database!$A:$C,MATCH($C$1,Database!$A$1:$C$1,),))</f>
        <v/>
      </c>
      <c r="D10519">
        <f>IFERROR(Table7[[#This Row],[United States 10y]]-Table7[[#This Row],[United States 3y]],#N/A)</f>
        <v/>
      </c>
    </row>
    <row r="10520">
      <c r="A10520" s="6">
        <f>Database!$A12605</f>
        <v/>
      </c>
      <c r="B10520">
        <f>IF(VLOOKUP(Table7[[#This Row],[Date]],Database!$A:$C,MATCH($B$1,Database!$A$1:$C$1,),)=0,#N/A,VLOOKUP(Table7[[#This Row],[Date]],Database!$A:$C,MATCH($B$1,Database!$A$1:$C$1,),))</f>
        <v/>
      </c>
      <c r="C10520">
        <f>IF(VLOOKUP(Table7[[#This Row],[Date]],Database!$A:$C,MATCH($C$1,Database!$A$1:$C$1,),)=0,#N/A,VLOOKUP(Table7[[#This Row],[Date]],Database!$A:$C,MATCH($C$1,Database!$A$1:$C$1,),))</f>
        <v/>
      </c>
      <c r="D10520">
        <f>IFERROR(Table7[[#This Row],[United States 10y]]-Table7[[#This Row],[United States 3y]],#N/A)</f>
        <v/>
      </c>
    </row>
    <row r="10521">
      <c r="A10521" s="6">
        <f>Database!$A12606</f>
        <v/>
      </c>
      <c r="B10521">
        <f>IF(VLOOKUP(Table7[[#This Row],[Date]],Database!$A:$C,MATCH($B$1,Database!$A$1:$C$1,),)=0,#N/A,VLOOKUP(Table7[[#This Row],[Date]],Database!$A:$C,MATCH($B$1,Database!$A$1:$C$1,),))</f>
        <v/>
      </c>
      <c r="C10521">
        <f>IF(VLOOKUP(Table7[[#This Row],[Date]],Database!$A:$C,MATCH($C$1,Database!$A$1:$C$1,),)=0,#N/A,VLOOKUP(Table7[[#This Row],[Date]],Database!$A:$C,MATCH($C$1,Database!$A$1:$C$1,),))</f>
        <v/>
      </c>
      <c r="D10521">
        <f>IFERROR(Table7[[#This Row],[United States 10y]]-Table7[[#This Row],[United States 3y]],#N/A)</f>
        <v/>
      </c>
    </row>
    <row r="10522">
      <c r="A10522" s="6">
        <f>Database!$A12607</f>
        <v/>
      </c>
      <c r="B10522">
        <f>IF(VLOOKUP(Table7[[#This Row],[Date]],Database!$A:$C,MATCH($B$1,Database!$A$1:$C$1,),)=0,#N/A,VLOOKUP(Table7[[#This Row],[Date]],Database!$A:$C,MATCH($B$1,Database!$A$1:$C$1,),))</f>
        <v/>
      </c>
      <c r="C10522">
        <f>IF(VLOOKUP(Table7[[#This Row],[Date]],Database!$A:$C,MATCH($C$1,Database!$A$1:$C$1,),)=0,#N/A,VLOOKUP(Table7[[#This Row],[Date]],Database!$A:$C,MATCH($C$1,Database!$A$1:$C$1,),))</f>
        <v/>
      </c>
      <c r="D10522">
        <f>IFERROR(Table7[[#This Row],[United States 10y]]-Table7[[#This Row],[United States 3y]],#N/A)</f>
        <v/>
      </c>
    </row>
    <row r="10523">
      <c r="A10523" s="6">
        <f>Database!$A12608</f>
        <v/>
      </c>
      <c r="B10523">
        <f>IF(VLOOKUP(Table7[[#This Row],[Date]],Database!$A:$C,MATCH($B$1,Database!$A$1:$C$1,),)=0,#N/A,VLOOKUP(Table7[[#This Row],[Date]],Database!$A:$C,MATCH($B$1,Database!$A$1:$C$1,),))</f>
        <v/>
      </c>
      <c r="C10523">
        <f>IF(VLOOKUP(Table7[[#This Row],[Date]],Database!$A:$C,MATCH($C$1,Database!$A$1:$C$1,),)=0,#N/A,VLOOKUP(Table7[[#This Row],[Date]],Database!$A:$C,MATCH($C$1,Database!$A$1:$C$1,),))</f>
        <v/>
      </c>
      <c r="D10523">
        <f>IFERROR(Table7[[#This Row],[United States 10y]]-Table7[[#This Row],[United States 3y]],#N/A)</f>
        <v/>
      </c>
    </row>
    <row r="10524">
      <c r="A10524" s="6">
        <f>Database!$A12609</f>
        <v/>
      </c>
      <c r="B10524">
        <f>IF(VLOOKUP(Table7[[#This Row],[Date]],Database!$A:$C,MATCH($B$1,Database!$A$1:$C$1,),)=0,#N/A,VLOOKUP(Table7[[#This Row],[Date]],Database!$A:$C,MATCH($B$1,Database!$A$1:$C$1,),))</f>
        <v/>
      </c>
      <c r="C10524">
        <f>IF(VLOOKUP(Table7[[#This Row],[Date]],Database!$A:$C,MATCH($C$1,Database!$A$1:$C$1,),)=0,#N/A,VLOOKUP(Table7[[#This Row],[Date]],Database!$A:$C,MATCH($C$1,Database!$A$1:$C$1,),))</f>
        <v/>
      </c>
      <c r="D10524">
        <f>IFERROR(Table7[[#This Row],[United States 10y]]-Table7[[#This Row],[United States 3y]],#N/A)</f>
        <v/>
      </c>
    </row>
    <row r="10525">
      <c r="A10525" s="6">
        <f>Database!$A12610</f>
        <v/>
      </c>
      <c r="B10525">
        <f>IF(VLOOKUP(Table7[[#This Row],[Date]],Database!$A:$C,MATCH($B$1,Database!$A$1:$C$1,),)=0,#N/A,VLOOKUP(Table7[[#This Row],[Date]],Database!$A:$C,MATCH($B$1,Database!$A$1:$C$1,),))</f>
        <v/>
      </c>
      <c r="C10525">
        <f>IF(VLOOKUP(Table7[[#This Row],[Date]],Database!$A:$C,MATCH($C$1,Database!$A$1:$C$1,),)=0,#N/A,VLOOKUP(Table7[[#This Row],[Date]],Database!$A:$C,MATCH($C$1,Database!$A$1:$C$1,),))</f>
        <v/>
      </c>
      <c r="D10525">
        <f>IFERROR(Table7[[#This Row],[United States 10y]]-Table7[[#This Row],[United States 3y]],#N/A)</f>
        <v/>
      </c>
    </row>
    <row r="10526">
      <c r="A10526" s="6">
        <f>Database!$A12611</f>
        <v/>
      </c>
      <c r="B10526">
        <f>IF(VLOOKUP(Table7[[#This Row],[Date]],Database!$A:$C,MATCH($B$1,Database!$A$1:$C$1,),)=0,#N/A,VLOOKUP(Table7[[#This Row],[Date]],Database!$A:$C,MATCH($B$1,Database!$A$1:$C$1,),))</f>
        <v/>
      </c>
      <c r="C10526">
        <f>IF(VLOOKUP(Table7[[#This Row],[Date]],Database!$A:$C,MATCH($C$1,Database!$A$1:$C$1,),)=0,#N/A,VLOOKUP(Table7[[#This Row],[Date]],Database!$A:$C,MATCH($C$1,Database!$A$1:$C$1,),))</f>
        <v/>
      </c>
      <c r="D10526">
        <f>IFERROR(Table7[[#This Row],[United States 10y]]-Table7[[#This Row],[United States 3y]],#N/A)</f>
        <v/>
      </c>
    </row>
    <row r="10527">
      <c r="A10527" s="6">
        <f>Database!$A12612</f>
        <v/>
      </c>
      <c r="B10527">
        <f>IF(VLOOKUP(Table7[[#This Row],[Date]],Database!$A:$C,MATCH($B$1,Database!$A$1:$C$1,),)=0,#N/A,VLOOKUP(Table7[[#This Row],[Date]],Database!$A:$C,MATCH($B$1,Database!$A$1:$C$1,),))</f>
        <v/>
      </c>
      <c r="C10527">
        <f>IF(VLOOKUP(Table7[[#This Row],[Date]],Database!$A:$C,MATCH($C$1,Database!$A$1:$C$1,),)=0,#N/A,VLOOKUP(Table7[[#This Row],[Date]],Database!$A:$C,MATCH($C$1,Database!$A$1:$C$1,),))</f>
        <v/>
      </c>
      <c r="D10527">
        <f>IFERROR(Table7[[#This Row],[United States 10y]]-Table7[[#This Row],[United States 3y]],#N/A)</f>
        <v/>
      </c>
    </row>
    <row r="10528">
      <c r="A10528" s="6">
        <f>Database!$A12613</f>
        <v/>
      </c>
      <c r="B10528">
        <f>IF(VLOOKUP(Table7[[#This Row],[Date]],Database!$A:$C,MATCH($B$1,Database!$A$1:$C$1,),)=0,#N/A,VLOOKUP(Table7[[#This Row],[Date]],Database!$A:$C,MATCH($B$1,Database!$A$1:$C$1,),))</f>
        <v/>
      </c>
      <c r="C10528">
        <f>IF(VLOOKUP(Table7[[#This Row],[Date]],Database!$A:$C,MATCH($C$1,Database!$A$1:$C$1,),)=0,#N/A,VLOOKUP(Table7[[#This Row],[Date]],Database!$A:$C,MATCH($C$1,Database!$A$1:$C$1,),))</f>
        <v/>
      </c>
      <c r="D10528">
        <f>IFERROR(Table7[[#This Row],[United States 10y]]-Table7[[#This Row],[United States 3y]],#N/A)</f>
        <v/>
      </c>
    </row>
    <row r="10529">
      <c r="A10529" s="6">
        <f>Database!$A12614</f>
        <v/>
      </c>
      <c r="B10529">
        <f>IF(VLOOKUP(Table7[[#This Row],[Date]],Database!$A:$C,MATCH($B$1,Database!$A$1:$C$1,),)=0,#N/A,VLOOKUP(Table7[[#This Row],[Date]],Database!$A:$C,MATCH($B$1,Database!$A$1:$C$1,),))</f>
        <v/>
      </c>
      <c r="C10529">
        <f>IF(VLOOKUP(Table7[[#This Row],[Date]],Database!$A:$C,MATCH($C$1,Database!$A$1:$C$1,),)=0,#N/A,VLOOKUP(Table7[[#This Row],[Date]],Database!$A:$C,MATCH($C$1,Database!$A$1:$C$1,),))</f>
        <v/>
      </c>
      <c r="D10529">
        <f>IFERROR(Table7[[#This Row],[United States 10y]]-Table7[[#This Row],[United States 3y]],#N/A)</f>
        <v/>
      </c>
    </row>
    <row r="10530">
      <c r="A10530" s="6">
        <f>Database!$A12615</f>
        <v/>
      </c>
      <c r="B10530">
        <f>IF(VLOOKUP(Table7[[#This Row],[Date]],Database!$A:$C,MATCH($B$1,Database!$A$1:$C$1,),)=0,#N/A,VLOOKUP(Table7[[#This Row],[Date]],Database!$A:$C,MATCH($B$1,Database!$A$1:$C$1,),))</f>
        <v/>
      </c>
      <c r="C10530">
        <f>IF(VLOOKUP(Table7[[#This Row],[Date]],Database!$A:$C,MATCH($C$1,Database!$A$1:$C$1,),)=0,#N/A,VLOOKUP(Table7[[#This Row],[Date]],Database!$A:$C,MATCH($C$1,Database!$A$1:$C$1,),))</f>
        <v/>
      </c>
      <c r="D10530">
        <f>IFERROR(Table7[[#This Row],[United States 10y]]-Table7[[#This Row],[United States 3y]],#N/A)</f>
        <v/>
      </c>
    </row>
    <row r="10531">
      <c r="A10531" s="6">
        <f>Database!$A12616</f>
        <v/>
      </c>
      <c r="B10531">
        <f>IF(VLOOKUP(Table7[[#This Row],[Date]],Database!$A:$C,MATCH($B$1,Database!$A$1:$C$1,),)=0,#N/A,VLOOKUP(Table7[[#This Row],[Date]],Database!$A:$C,MATCH($B$1,Database!$A$1:$C$1,),))</f>
        <v/>
      </c>
      <c r="C10531">
        <f>IF(VLOOKUP(Table7[[#This Row],[Date]],Database!$A:$C,MATCH($C$1,Database!$A$1:$C$1,),)=0,#N/A,VLOOKUP(Table7[[#This Row],[Date]],Database!$A:$C,MATCH($C$1,Database!$A$1:$C$1,),))</f>
        <v/>
      </c>
      <c r="D10531">
        <f>IFERROR(Table7[[#This Row],[United States 10y]]-Table7[[#This Row],[United States 3y]],#N/A)</f>
        <v/>
      </c>
    </row>
    <row r="10532">
      <c r="A10532" s="6">
        <f>Database!$A12617</f>
        <v/>
      </c>
      <c r="B10532">
        <f>IF(VLOOKUP(Table7[[#This Row],[Date]],Database!$A:$C,MATCH($B$1,Database!$A$1:$C$1,),)=0,#N/A,VLOOKUP(Table7[[#This Row],[Date]],Database!$A:$C,MATCH($B$1,Database!$A$1:$C$1,),))</f>
        <v/>
      </c>
      <c r="C10532">
        <f>IF(VLOOKUP(Table7[[#This Row],[Date]],Database!$A:$C,MATCH($C$1,Database!$A$1:$C$1,),)=0,#N/A,VLOOKUP(Table7[[#This Row],[Date]],Database!$A:$C,MATCH($C$1,Database!$A$1:$C$1,),))</f>
        <v/>
      </c>
      <c r="D10532">
        <f>IFERROR(Table7[[#This Row],[United States 10y]]-Table7[[#This Row],[United States 3y]],#N/A)</f>
        <v/>
      </c>
    </row>
    <row r="10533">
      <c r="A10533" s="6">
        <f>Database!$A12618</f>
        <v/>
      </c>
      <c r="B10533">
        <f>IF(VLOOKUP(Table7[[#This Row],[Date]],Database!$A:$C,MATCH($B$1,Database!$A$1:$C$1,),)=0,#N/A,VLOOKUP(Table7[[#This Row],[Date]],Database!$A:$C,MATCH($B$1,Database!$A$1:$C$1,),))</f>
        <v/>
      </c>
      <c r="C10533">
        <f>IF(VLOOKUP(Table7[[#This Row],[Date]],Database!$A:$C,MATCH($C$1,Database!$A$1:$C$1,),)=0,#N/A,VLOOKUP(Table7[[#This Row],[Date]],Database!$A:$C,MATCH($C$1,Database!$A$1:$C$1,),))</f>
        <v/>
      </c>
      <c r="D10533">
        <f>IFERROR(Table7[[#This Row],[United States 10y]]-Table7[[#This Row],[United States 3y]],#N/A)</f>
        <v/>
      </c>
    </row>
    <row r="10534">
      <c r="A10534" s="6">
        <f>Database!$A12619</f>
        <v/>
      </c>
      <c r="B10534">
        <f>IF(VLOOKUP(Table7[[#This Row],[Date]],Database!$A:$C,MATCH($B$1,Database!$A$1:$C$1,),)=0,#N/A,VLOOKUP(Table7[[#This Row],[Date]],Database!$A:$C,MATCH($B$1,Database!$A$1:$C$1,),))</f>
        <v/>
      </c>
      <c r="C10534">
        <f>IF(VLOOKUP(Table7[[#This Row],[Date]],Database!$A:$C,MATCH($C$1,Database!$A$1:$C$1,),)=0,#N/A,VLOOKUP(Table7[[#This Row],[Date]],Database!$A:$C,MATCH($C$1,Database!$A$1:$C$1,),))</f>
        <v/>
      </c>
      <c r="D10534">
        <f>IFERROR(Table7[[#This Row],[United States 10y]]-Table7[[#This Row],[United States 3y]],#N/A)</f>
        <v/>
      </c>
    </row>
    <row r="10535">
      <c r="A10535" s="6">
        <f>Database!$A12620</f>
        <v/>
      </c>
      <c r="B10535">
        <f>IF(VLOOKUP(Table7[[#This Row],[Date]],Database!$A:$C,MATCH($B$1,Database!$A$1:$C$1,),)=0,#N/A,VLOOKUP(Table7[[#This Row],[Date]],Database!$A:$C,MATCH($B$1,Database!$A$1:$C$1,),))</f>
        <v/>
      </c>
      <c r="C10535">
        <f>IF(VLOOKUP(Table7[[#This Row],[Date]],Database!$A:$C,MATCH($C$1,Database!$A$1:$C$1,),)=0,#N/A,VLOOKUP(Table7[[#This Row],[Date]],Database!$A:$C,MATCH($C$1,Database!$A$1:$C$1,),))</f>
        <v/>
      </c>
      <c r="D10535">
        <f>IFERROR(Table7[[#This Row],[United States 10y]]-Table7[[#This Row],[United States 3y]],#N/A)</f>
        <v/>
      </c>
    </row>
    <row r="10536">
      <c r="A10536" s="6">
        <f>Database!$A12621</f>
        <v/>
      </c>
      <c r="B10536">
        <f>IF(VLOOKUP(Table7[[#This Row],[Date]],Database!$A:$C,MATCH($B$1,Database!$A$1:$C$1,),)=0,#N/A,VLOOKUP(Table7[[#This Row],[Date]],Database!$A:$C,MATCH($B$1,Database!$A$1:$C$1,),))</f>
        <v/>
      </c>
      <c r="C10536">
        <f>IF(VLOOKUP(Table7[[#This Row],[Date]],Database!$A:$C,MATCH($C$1,Database!$A$1:$C$1,),)=0,#N/A,VLOOKUP(Table7[[#This Row],[Date]],Database!$A:$C,MATCH($C$1,Database!$A$1:$C$1,),))</f>
        <v/>
      </c>
      <c r="D10536">
        <f>IFERROR(Table7[[#This Row],[United States 10y]]-Table7[[#This Row],[United States 3y]],#N/A)</f>
        <v/>
      </c>
    </row>
    <row r="10537">
      <c r="A10537" s="6">
        <f>Database!$A12622</f>
        <v/>
      </c>
      <c r="B10537">
        <f>IF(VLOOKUP(Table7[[#This Row],[Date]],Database!$A:$C,MATCH($B$1,Database!$A$1:$C$1,),)=0,#N/A,VLOOKUP(Table7[[#This Row],[Date]],Database!$A:$C,MATCH($B$1,Database!$A$1:$C$1,),))</f>
        <v/>
      </c>
      <c r="C10537">
        <f>IF(VLOOKUP(Table7[[#This Row],[Date]],Database!$A:$C,MATCH($C$1,Database!$A$1:$C$1,),)=0,#N/A,VLOOKUP(Table7[[#This Row],[Date]],Database!$A:$C,MATCH($C$1,Database!$A$1:$C$1,),))</f>
        <v/>
      </c>
      <c r="D10537">
        <f>IFERROR(Table7[[#This Row],[United States 10y]]-Table7[[#This Row],[United States 3y]],#N/A)</f>
        <v/>
      </c>
    </row>
    <row r="10538">
      <c r="A10538" s="6">
        <f>Database!$A12623</f>
        <v/>
      </c>
      <c r="B10538">
        <f>IF(VLOOKUP(Table7[[#This Row],[Date]],Database!$A:$C,MATCH($B$1,Database!$A$1:$C$1,),)=0,#N/A,VLOOKUP(Table7[[#This Row],[Date]],Database!$A:$C,MATCH($B$1,Database!$A$1:$C$1,),))</f>
        <v/>
      </c>
      <c r="C10538">
        <f>IF(VLOOKUP(Table7[[#This Row],[Date]],Database!$A:$C,MATCH($C$1,Database!$A$1:$C$1,),)=0,#N/A,VLOOKUP(Table7[[#This Row],[Date]],Database!$A:$C,MATCH($C$1,Database!$A$1:$C$1,),))</f>
        <v/>
      </c>
      <c r="D10538">
        <f>IFERROR(Table7[[#This Row],[United States 10y]]-Table7[[#This Row],[United States 3y]],#N/A)</f>
        <v/>
      </c>
    </row>
    <row r="10539">
      <c r="A10539" s="6">
        <f>Database!$A12624</f>
        <v/>
      </c>
      <c r="B10539">
        <f>IF(VLOOKUP(Table7[[#This Row],[Date]],Database!$A:$C,MATCH($B$1,Database!$A$1:$C$1,),)=0,#N/A,VLOOKUP(Table7[[#This Row],[Date]],Database!$A:$C,MATCH($B$1,Database!$A$1:$C$1,),))</f>
        <v/>
      </c>
      <c r="C10539">
        <f>IF(VLOOKUP(Table7[[#This Row],[Date]],Database!$A:$C,MATCH($C$1,Database!$A$1:$C$1,),)=0,#N/A,VLOOKUP(Table7[[#This Row],[Date]],Database!$A:$C,MATCH($C$1,Database!$A$1:$C$1,),))</f>
        <v/>
      </c>
      <c r="D10539">
        <f>IFERROR(Table7[[#This Row],[United States 10y]]-Table7[[#This Row],[United States 3y]],#N/A)</f>
        <v/>
      </c>
    </row>
    <row r="10540">
      <c r="A10540" s="6">
        <f>Database!$A12625</f>
        <v/>
      </c>
      <c r="B10540">
        <f>IF(VLOOKUP(Table7[[#This Row],[Date]],Database!$A:$C,MATCH($B$1,Database!$A$1:$C$1,),)=0,#N/A,VLOOKUP(Table7[[#This Row],[Date]],Database!$A:$C,MATCH($B$1,Database!$A$1:$C$1,),))</f>
        <v/>
      </c>
      <c r="C10540">
        <f>IF(VLOOKUP(Table7[[#This Row],[Date]],Database!$A:$C,MATCH($C$1,Database!$A$1:$C$1,),)=0,#N/A,VLOOKUP(Table7[[#This Row],[Date]],Database!$A:$C,MATCH($C$1,Database!$A$1:$C$1,),))</f>
        <v/>
      </c>
      <c r="D10540">
        <f>IFERROR(Table7[[#This Row],[United States 10y]]-Table7[[#This Row],[United States 3y]],#N/A)</f>
        <v/>
      </c>
    </row>
    <row r="10541">
      <c r="A10541" s="6">
        <f>Database!$A12626</f>
        <v/>
      </c>
      <c r="B10541">
        <f>IF(VLOOKUP(Table7[[#This Row],[Date]],Database!$A:$C,MATCH($B$1,Database!$A$1:$C$1,),)=0,#N/A,VLOOKUP(Table7[[#This Row],[Date]],Database!$A:$C,MATCH($B$1,Database!$A$1:$C$1,),))</f>
        <v/>
      </c>
      <c r="C10541">
        <f>IF(VLOOKUP(Table7[[#This Row],[Date]],Database!$A:$C,MATCH($C$1,Database!$A$1:$C$1,),)=0,#N/A,VLOOKUP(Table7[[#This Row],[Date]],Database!$A:$C,MATCH($C$1,Database!$A$1:$C$1,),))</f>
        <v/>
      </c>
      <c r="D10541">
        <f>IFERROR(Table7[[#This Row],[United States 10y]]-Table7[[#This Row],[United States 3y]],#N/A)</f>
        <v/>
      </c>
    </row>
    <row r="10542">
      <c r="A10542" s="6">
        <f>Database!$A12627</f>
        <v/>
      </c>
      <c r="B10542">
        <f>IF(VLOOKUP(Table7[[#This Row],[Date]],Database!$A:$C,MATCH($B$1,Database!$A$1:$C$1,),)=0,#N/A,VLOOKUP(Table7[[#This Row],[Date]],Database!$A:$C,MATCH($B$1,Database!$A$1:$C$1,),))</f>
        <v/>
      </c>
      <c r="C10542">
        <f>IF(VLOOKUP(Table7[[#This Row],[Date]],Database!$A:$C,MATCH($C$1,Database!$A$1:$C$1,),)=0,#N/A,VLOOKUP(Table7[[#This Row],[Date]],Database!$A:$C,MATCH($C$1,Database!$A$1:$C$1,),))</f>
        <v/>
      </c>
      <c r="D10542">
        <f>IFERROR(Table7[[#This Row],[United States 10y]]-Table7[[#This Row],[United States 3y]],#N/A)</f>
        <v/>
      </c>
    </row>
    <row r="10543">
      <c r="A10543" s="6">
        <f>Database!$A12628</f>
        <v/>
      </c>
      <c r="B10543">
        <f>IF(VLOOKUP(Table7[[#This Row],[Date]],Database!$A:$C,MATCH($B$1,Database!$A$1:$C$1,),)=0,#N/A,VLOOKUP(Table7[[#This Row],[Date]],Database!$A:$C,MATCH($B$1,Database!$A$1:$C$1,),))</f>
        <v/>
      </c>
      <c r="C10543">
        <f>IF(VLOOKUP(Table7[[#This Row],[Date]],Database!$A:$C,MATCH($C$1,Database!$A$1:$C$1,),)=0,#N/A,VLOOKUP(Table7[[#This Row],[Date]],Database!$A:$C,MATCH($C$1,Database!$A$1:$C$1,),))</f>
        <v/>
      </c>
      <c r="D10543">
        <f>IFERROR(Table7[[#This Row],[United States 10y]]-Table7[[#This Row],[United States 3y]],#N/A)</f>
        <v/>
      </c>
    </row>
    <row r="10544">
      <c r="A10544" s="6">
        <f>Database!$A12629</f>
        <v/>
      </c>
      <c r="B10544">
        <f>IF(VLOOKUP(Table7[[#This Row],[Date]],Database!$A:$C,MATCH($B$1,Database!$A$1:$C$1,),)=0,#N/A,VLOOKUP(Table7[[#This Row],[Date]],Database!$A:$C,MATCH($B$1,Database!$A$1:$C$1,),))</f>
        <v/>
      </c>
      <c r="C10544">
        <f>IF(VLOOKUP(Table7[[#This Row],[Date]],Database!$A:$C,MATCH($C$1,Database!$A$1:$C$1,),)=0,#N/A,VLOOKUP(Table7[[#This Row],[Date]],Database!$A:$C,MATCH($C$1,Database!$A$1:$C$1,),))</f>
        <v/>
      </c>
      <c r="D10544">
        <f>IFERROR(Table7[[#This Row],[United States 10y]]-Table7[[#This Row],[United States 3y]],#N/A)</f>
        <v/>
      </c>
    </row>
    <row r="10545">
      <c r="A10545" s="6">
        <f>Database!$A12630</f>
        <v/>
      </c>
      <c r="B10545">
        <f>IF(VLOOKUP(Table7[[#This Row],[Date]],Database!$A:$C,MATCH($B$1,Database!$A$1:$C$1,),)=0,#N/A,VLOOKUP(Table7[[#This Row],[Date]],Database!$A:$C,MATCH($B$1,Database!$A$1:$C$1,),))</f>
        <v/>
      </c>
      <c r="C10545">
        <f>IF(VLOOKUP(Table7[[#This Row],[Date]],Database!$A:$C,MATCH($C$1,Database!$A$1:$C$1,),)=0,#N/A,VLOOKUP(Table7[[#This Row],[Date]],Database!$A:$C,MATCH($C$1,Database!$A$1:$C$1,),))</f>
        <v/>
      </c>
      <c r="D10545">
        <f>IFERROR(Table7[[#This Row],[United States 10y]]-Table7[[#This Row],[United States 3y]],#N/A)</f>
        <v/>
      </c>
    </row>
    <row r="10546">
      <c r="A10546" s="6">
        <f>Database!$A12631</f>
        <v/>
      </c>
      <c r="B10546">
        <f>IF(VLOOKUP(Table7[[#This Row],[Date]],Database!$A:$C,MATCH($B$1,Database!$A$1:$C$1,),)=0,#N/A,VLOOKUP(Table7[[#This Row],[Date]],Database!$A:$C,MATCH($B$1,Database!$A$1:$C$1,),))</f>
        <v/>
      </c>
      <c r="C10546">
        <f>IF(VLOOKUP(Table7[[#This Row],[Date]],Database!$A:$C,MATCH($C$1,Database!$A$1:$C$1,),)=0,#N/A,VLOOKUP(Table7[[#This Row],[Date]],Database!$A:$C,MATCH($C$1,Database!$A$1:$C$1,),))</f>
        <v/>
      </c>
      <c r="D10546">
        <f>IFERROR(Table7[[#This Row],[United States 10y]]-Table7[[#This Row],[United States 3y]],#N/A)</f>
        <v/>
      </c>
    </row>
    <row r="10547">
      <c r="A10547" s="6">
        <f>Database!$A12632</f>
        <v/>
      </c>
      <c r="B10547">
        <f>IF(VLOOKUP(Table7[[#This Row],[Date]],Database!$A:$C,MATCH($B$1,Database!$A$1:$C$1,),)=0,#N/A,VLOOKUP(Table7[[#This Row],[Date]],Database!$A:$C,MATCH($B$1,Database!$A$1:$C$1,),))</f>
        <v/>
      </c>
      <c r="C10547">
        <f>IF(VLOOKUP(Table7[[#This Row],[Date]],Database!$A:$C,MATCH($C$1,Database!$A$1:$C$1,),)=0,#N/A,VLOOKUP(Table7[[#This Row],[Date]],Database!$A:$C,MATCH($C$1,Database!$A$1:$C$1,),))</f>
        <v/>
      </c>
      <c r="D10547">
        <f>IFERROR(Table7[[#This Row],[United States 10y]]-Table7[[#This Row],[United States 3y]],#N/A)</f>
        <v/>
      </c>
    </row>
    <row r="10548">
      <c r="A10548" s="6">
        <f>Database!$A12633</f>
        <v/>
      </c>
      <c r="B10548">
        <f>IF(VLOOKUP(Table7[[#This Row],[Date]],Database!$A:$C,MATCH($B$1,Database!$A$1:$C$1,),)=0,#N/A,VLOOKUP(Table7[[#This Row],[Date]],Database!$A:$C,MATCH($B$1,Database!$A$1:$C$1,),))</f>
        <v/>
      </c>
      <c r="C10548">
        <f>IF(VLOOKUP(Table7[[#This Row],[Date]],Database!$A:$C,MATCH($C$1,Database!$A$1:$C$1,),)=0,#N/A,VLOOKUP(Table7[[#This Row],[Date]],Database!$A:$C,MATCH($C$1,Database!$A$1:$C$1,),))</f>
        <v/>
      </c>
      <c r="D10548">
        <f>IFERROR(Table7[[#This Row],[United States 10y]]-Table7[[#This Row],[United States 3y]],#N/A)</f>
        <v/>
      </c>
    </row>
    <row r="10549">
      <c r="A10549" s="6">
        <f>Database!$A12634</f>
        <v/>
      </c>
      <c r="B10549">
        <f>IF(VLOOKUP(Table7[[#This Row],[Date]],Database!$A:$C,MATCH($B$1,Database!$A$1:$C$1,),)=0,#N/A,VLOOKUP(Table7[[#This Row],[Date]],Database!$A:$C,MATCH($B$1,Database!$A$1:$C$1,),))</f>
        <v/>
      </c>
      <c r="C10549">
        <f>IF(VLOOKUP(Table7[[#This Row],[Date]],Database!$A:$C,MATCH($C$1,Database!$A$1:$C$1,),)=0,#N/A,VLOOKUP(Table7[[#This Row],[Date]],Database!$A:$C,MATCH($C$1,Database!$A$1:$C$1,),))</f>
        <v/>
      </c>
      <c r="D10549">
        <f>IFERROR(Table7[[#This Row],[United States 10y]]-Table7[[#This Row],[United States 3y]],#N/A)</f>
        <v/>
      </c>
    </row>
    <row r="10550">
      <c r="A10550" s="6">
        <f>Database!$A12635</f>
        <v/>
      </c>
      <c r="B10550">
        <f>IF(VLOOKUP(Table7[[#This Row],[Date]],Database!$A:$C,MATCH($B$1,Database!$A$1:$C$1,),)=0,#N/A,VLOOKUP(Table7[[#This Row],[Date]],Database!$A:$C,MATCH($B$1,Database!$A$1:$C$1,),))</f>
        <v/>
      </c>
      <c r="C10550">
        <f>IF(VLOOKUP(Table7[[#This Row],[Date]],Database!$A:$C,MATCH($C$1,Database!$A$1:$C$1,),)=0,#N/A,VLOOKUP(Table7[[#This Row],[Date]],Database!$A:$C,MATCH($C$1,Database!$A$1:$C$1,),))</f>
        <v/>
      </c>
      <c r="D10550">
        <f>IFERROR(Table7[[#This Row],[United States 10y]]-Table7[[#This Row],[United States 3y]],#N/A)</f>
        <v/>
      </c>
    </row>
    <row r="10551">
      <c r="A10551" s="6">
        <f>Database!$A12636</f>
        <v/>
      </c>
      <c r="B10551">
        <f>IF(VLOOKUP(Table7[[#This Row],[Date]],Database!$A:$C,MATCH($B$1,Database!$A$1:$C$1,),)=0,#N/A,VLOOKUP(Table7[[#This Row],[Date]],Database!$A:$C,MATCH($B$1,Database!$A$1:$C$1,),))</f>
        <v/>
      </c>
      <c r="C10551">
        <f>IF(VLOOKUP(Table7[[#This Row],[Date]],Database!$A:$C,MATCH($C$1,Database!$A$1:$C$1,),)=0,#N/A,VLOOKUP(Table7[[#This Row],[Date]],Database!$A:$C,MATCH($C$1,Database!$A$1:$C$1,),))</f>
        <v/>
      </c>
      <c r="D10551">
        <f>IFERROR(Table7[[#This Row],[United States 10y]]-Table7[[#This Row],[United States 3y]],#N/A)</f>
        <v/>
      </c>
    </row>
    <row r="10552">
      <c r="A10552" s="6">
        <f>Database!$A12637</f>
        <v/>
      </c>
      <c r="B10552">
        <f>IF(VLOOKUP(Table7[[#This Row],[Date]],Database!$A:$C,MATCH($B$1,Database!$A$1:$C$1,),)=0,#N/A,VLOOKUP(Table7[[#This Row],[Date]],Database!$A:$C,MATCH($B$1,Database!$A$1:$C$1,),))</f>
        <v/>
      </c>
      <c r="C10552">
        <f>IF(VLOOKUP(Table7[[#This Row],[Date]],Database!$A:$C,MATCH($C$1,Database!$A$1:$C$1,),)=0,#N/A,VLOOKUP(Table7[[#This Row],[Date]],Database!$A:$C,MATCH($C$1,Database!$A$1:$C$1,),))</f>
        <v/>
      </c>
      <c r="D10552">
        <f>IFERROR(Table7[[#This Row],[United States 10y]]-Table7[[#This Row],[United States 3y]],#N/A)</f>
        <v/>
      </c>
    </row>
    <row r="10553">
      <c r="A10553" s="6">
        <f>Database!$A12638</f>
        <v/>
      </c>
      <c r="B10553">
        <f>IF(VLOOKUP(Table7[[#This Row],[Date]],Database!$A:$C,MATCH($B$1,Database!$A$1:$C$1,),)=0,#N/A,VLOOKUP(Table7[[#This Row],[Date]],Database!$A:$C,MATCH($B$1,Database!$A$1:$C$1,),))</f>
        <v/>
      </c>
      <c r="C10553">
        <f>IF(VLOOKUP(Table7[[#This Row],[Date]],Database!$A:$C,MATCH($C$1,Database!$A$1:$C$1,),)=0,#N/A,VLOOKUP(Table7[[#This Row],[Date]],Database!$A:$C,MATCH($C$1,Database!$A$1:$C$1,),))</f>
        <v/>
      </c>
      <c r="D10553">
        <f>IFERROR(Table7[[#This Row],[United States 10y]]-Table7[[#This Row],[United States 3y]],#N/A)</f>
        <v/>
      </c>
    </row>
    <row r="10554">
      <c r="A10554" s="6">
        <f>Database!$A12639</f>
        <v/>
      </c>
      <c r="B10554">
        <f>IF(VLOOKUP(Table7[[#This Row],[Date]],Database!$A:$C,MATCH($B$1,Database!$A$1:$C$1,),)=0,#N/A,VLOOKUP(Table7[[#This Row],[Date]],Database!$A:$C,MATCH($B$1,Database!$A$1:$C$1,),))</f>
        <v/>
      </c>
      <c r="C10554">
        <f>IF(VLOOKUP(Table7[[#This Row],[Date]],Database!$A:$C,MATCH($C$1,Database!$A$1:$C$1,),)=0,#N/A,VLOOKUP(Table7[[#This Row],[Date]],Database!$A:$C,MATCH($C$1,Database!$A$1:$C$1,),))</f>
        <v/>
      </c>
      <c r="D10554">
        <f>IFERROR(Table7[[#This Row],[United States 10y]]-Table7[[#This Row],[United States 3y]],#N/A)</f>
        <v/>
      </c>
    </row>
    <row r="10555">
      <c r="A10555" s="6">
        <f>Database!$A12640</f>
        <v/>
      </c>
      <c r="B10555">
        <f>IF(VLOOKUP(Table7[[#This Row],[Date]],Database!$A:$C,MATCH($B$1,Database!$A$1:$C$1,),)=0,#N/A,VLOOKUP(Table7[[#This Row],[Date]],Database!$A:$C,MATCH($B$1,Database!$A$1:$C$1,),))</f>
        <v/>
      </c>
      <c r="C10555">
        <f>IF(VLOOKUP(Table7[[#This Row],[Date]],Database!$A:$C,MATCH($C$1,Database!$A$1:$C$1,),)=0,#N/A,VLOOKUP(Table7[[#This Row],[Date]],Database!$A:$C,MATCH($C$1,Database!$A$1:$C$1,),))</f>
        <v/>
      </c>
      <c r="D10555">
        <f>IFERROR(Table7[[#This Row],[United States 10y]]-Table7[[#This Row],[United States 3y]],#N/A)</f>
        <v/>
      </c>
    </row>
    <row r="10556">
      <c r="A10556" s="6">
        <f>Database!$A12641</f>
        <v/>
      </c>
      <c r="B10556">
        <f>IF(VLOOKUP(Table7[[#This Row],[Date]],Database!$A:$C,MATCH($B$1,Database!$A$1:$C$1,),)=0,#N/A,VLOOKUP(Table7[[#This Row],[Date]],Database!$A:$C,MATCH($B$1,Database!$A$1:$C$1,),))</f>
        <v/>
      </c>
      <c r="C10556">
        <f>IF(VLOOKUP(Table7[[#This Row],[Date]],Database!$A:$C,MATCH($C$1,Database!$A$1:$C$1,),)=0,#N/A,VLOOKUP(Table7[[#This Row],[Date]],Database!$A:$C,MATCH($C$1,Database!$A$1:$C$1,),))</f>
        <v/>
      </c>
      <c r="D10556">
        <f>IFERROR(Table7[[#This Row],[United States 10y]]-Table7[[#This Row],[United States 3y]],#N/A)</f>
        <v/>
      </c>
    </row>
    <row r="10557">
      <c r="A10557" s="6">
        <f>Database!$A12642</f>
        <v/>
      </c>
      <c r="B10557">
        <f>IF(VLOOKUP(Table7[[#This Row],[Date]],Database!$A:$C,MATCH($B$1,Database!$A$1:$C$1,),)=0,#N/A,VLOOKUP(Table7[[#This Row],[Date]],Database!$A:$C,MATCH($B$1,Database!$A$1:$C$1,),))</f>
        <v/>
      </c>
      <c r="C10557">
        <f>IF(VLOOKUP(Table7[[#This Row],[Date]],Database!$A:$C,MATCH($C$1,Database!$A$1:$C$1,),)=0,#N/A,VLOOKUP(Table7[[#This Row],[Date]],Database!$A:$C,MATCH($C$1,Database!$A$1:$C$1,),))</f>
        <v/>
      </c>
      <c r="D10557">
        <f>IFERROR(Table7[[#This Row],[United States 10y]]-Table7[[#This Row],[United States 3y]],#N/A)</f>
        <v/>
      </c>
    </row>
    <row r="10558">
      <c r="A10558" s="6">
        <f>Database!$A12643</f>
        <v/>
      </c>
      <c r="B10558">
        <f>IF(VLOOKUP(Table7[[#This Row],[Date]],Database!$A:$C,MATCH($B$1,Database!$A$1:$C$1,),)=0,#N/A,VLOOKUP(Table7[[#This Row],[Date]],Database!$A:$C,MATCH($B$1,Database!$A$1:$C$1,),))</f>
        <v/>
      </c>
      <c r="C10558">
        <f>IF(VLOOKUP(Table7[[#This Row],[Date]],Database!$A:$C,MATCH($C$1,Database!$A$1:$C$1,),)=0,#N/A,VLOOKUP(Table7[[#This Row],[Date]],Database!$A:$C,MATCH($C$1,Database!$A$1:$C$1,),))</f>
        <v/>
      </c>
      <c r="D10558">
        <f>IFERROR(Table7[[#This Row],[United States 10y]]-Table7[[#This Row],[United States 3y]],#N/A)</f>
        <v/>
      </c>
    </row>
    <row r="10559">
      <c r="A10559" s="6">
        <f>Database!$A12644</f>
        <v/>
      </c>
      <c r="B10559">
        <f>IF(VLOOKUP(Table7[[#This Row],[Date]],Database!$A:$C,MATCH($B$1,Database!$A$1:$C$1,),)=0,#N/A,VLOOKUP(Table7[[#This Row],[Date]],Database!$A:$C,MATCH($B$1,Database!$A$1:$C$1,),))</f>
        <v/>
      </c>
      <c r="C10559">
        <f>IF(VLOOKUP(Table7[[#This Row],[Date]],Database!$A:$C,MATCH($C$1,Database!$A$1:$C$1,),)=0,#N/A,VLOOKUP(Table7[[#This Row],[Date]],Database!$A:$C,MATCH($C$1,Database!$A$1:$C$1,),))</f>
        <v/>
      </c>
      <c r="D10559">
        <f>IFERROR(Table7[[#This Row],[United States 10y]]-Table7[[#This Row],[United States 3y]],#N/A)</f>
        <v/>
      </c>
    </row>
    <row r="10560">
      <c r="A10560" s="6">
        <f>Database!$A12645</f>
        <v/>
      </c>
      <c r="B10560">
        <f>IF(VLOOKUP(Table7[[#This Row],[Date]],Database!$A:$C,MATCH($B$1,Database!$A$1:$C$1,),)=0,#N/A,VLOOKUP(Table7[[#This Row],[Date]],Database!$A:$C,MATCH($B$1,Database!$A$1:$C$1,),))</f>
        <v/>
      </c>
      <c r="C10560">
        <f>IF(VLOOKUP(Table7[[#This Row],[Date]],Database!$A:$C,MATCH($C$1,Database!$A$1:$C$1,),)=0,#N/A,VLOOKUP(Table7[[#This Row],[Date]],Database!$A:$C,MATCH($C$1,Database!$A$1:$C$1,),))</f>
        <v/>
      </c>
      <c r="D10560">
        <f>IFERROR(Table7[[#This Row],[United States 10y]]-Table7[[#This Row],[United States 3y]],#N/A)</f>
        <v/>
      </c>
    </row>
    <row r="10561">
      <c r="A10561" s="6">
        <f>Database!$A12646</f>
        <v/>
      </c>
      <c r="B10561">
        <f>IF(VLOOKUP(Table7[[#This Row],[Date]],Database!$A:$C,MATCH($B$1,Database!$A$1:$C$1,),)=0,#N/A,VLOOKUP(Table7[[#This Row],[Date]],Database!$A:$C,MATCH($B$1,Database!$A$1:$C$1,),))</f>
        <v/>
      </c>
      <c r="C10561">
        <f>IF(VLOOKUP(Table7[[#This Row],[Date]],Database!$A:$C,MATCH($C$1,Database!$A$1:$C$1,),)=0,#N/A,VLOOKUP(Table7[[#This Row],[Date]],Database!$A:$C,MATCH($C$1,Database!$A$1:$C$1,),))</f>
        <v/>
      </c>
      <c r="D10561">
        <f>IFERROR(Table7[[#This Row],[United States 10y]]-Table7[[#This Row],[United States 3y]],#N/A)</f>
        <v/>
      </c>
    </row>
    <row r="10562">
      <c r="A10562" s="6">
        <f>Database!$A12647</f>
        <v/>
      </c>
      <c r="B10562">
        <f>IF(VLOOKUP(Table7[[#This Row],[Date]],Database!$A:$C,MATCH($B$1,Database!$A$1:$C$1,),)=0,#N/A,VLOOKUP(Table7[[#This Row],[Date]],Database!$A:$C,MATCH($B$1,Database!$A$1:$C$1,),))</f>
        <v/>
      </c>
      <c r="C10562">
        <f>IF(VLOOKUP(Table7[[#This Row],[Date]],Database!$A:$C,MATCH($C$1,Database!$A$1:$C$1,),)=0,#N/A,VLOOKUP(Table7[[#This Row],[Date]],Database!$A:$C,MATCH($C$1,Database!$A$1:$C$1,),))</f>
        <v/>
      </c>
      <c r="D10562">
        <f>IFERROR(Table7[[#This Row],[United States 10y]]-Table7[[#This Row],[United States 3y]],#N/A)</f>
        <v/>
      </c>
    </row>
    <row r="10563">
      <c r="A10563" s="6">
        <f>Database!$A12648</f>
        <v/>
      </c>
      <c r="B10563">
        <f>IF(VLOOKUP(Table7[[#This Row],[Date]],Database!$A:$C,MATCH($B$1,Database!$A$1:$C$1,),)=0,#N/A,VLOOKUP(Table7[[#This Row],[Date]],Database!$A:$C,MATCH($B$1,Database!$A$1:$C$1,),))</f>
        <v/>
      </c>
      <c r="C10563">
        <f>IF(VLOOKUP(Table7[[#This Row],[Date]],Database!$A:$C,MATCH($C$1,Database!$A$1:$C$1,),)=0,#N/A,VLOOKUP(Table7[[#This Row],[Date]],Database!$A:$C,MATCH($C$1,Database!$A$1:$C$1,),))</f>
        <v/>
      </c>
      <c r="D10563">
        <f>IFERROR(Table7[[#This Row],[United States 10y]]-Table7[[#This Row],[United States 3y]],#N/A)</f>
        <v/>
      </c>
    </row>
    <row r="10564">
      <c r="A10564" s="6">
        <f>Database!$A12649</f>
        <v/>
      </c>
      <c r="B10564">
        <f>IF(VLOOKUP(Table7[[#This Row],[Date]],Database!$A:$C,MATCH($B$1,Database!$A$1:$C$1,),)=0,#N/A,VLOOKUP(Table7[[#This Row],[Date]],Database!$A:$C,MATCH($B$1,Database!$A$1:$C$1,),))</f>
        <v/>
      </c>
      <c r="C10564">
        <f>IF(VLOOKUP(Table7[[#This Row],[Date]],Database!$A:$C,MATCH($C$1,Database!$A$1:$C$1,),)=0,#N/A,VLOOKUP(Table7[[#This Row],[Date]],Database!$A:$C,MATCH($C$1,Database!$A$1:$C$1,),))</f>
        <v/>
      </c>
      <c r="D10564">
        <f>IFERROR(Table7[[#This Row],[United States 10y]]-Table7[[#This Row],[United States 3y]],#N/A)</f>
        <v/>
      </c>
    </row>
    <row r="10565">
      <c r="A10565" s="6">
        <f>Database!$A12650</f>
        <v/>
      </c>
      <c r="B10565">
        <f>IF(VLOOKUP(Table7[[#This Row],[Date]],Database!$A:$C,MATCH($B$1,Database!$A$1:$C$1,),)=0,#N/A,VLOOKUP(Table7[[#This Row],[Date]],Database!$A:$C,MATCH($B$1,Database!$A$1:$C$1,),))</f>
        <v/>
      </c>
      <c r="C10565">
        <f>IF(VLOOKUP(Table7[[#This Row],[Date]],Database!$A:$C,MATCH($C$1,Database!$A$1:$C$1,),)=0,#N/A,VLOOKUP(Table7[[#This Row],[Date]],Database!$A:$C,MATCH($C$1,Database!$A$1:$C$1,),))</f>
        <v/>
      </c>
      <c r="D10565">
        <f>IFERROR(Table7[[#This Row],[United States 10y]]-Table7[[#This Row],[United States 3y]],#N/A)</f>
        <v/>
      </c>
    </row>
    <row r="10566">
      <c r="A10566" s="6">
        <f>Database!$A12651</f>
        <v/>
      </c>
      <c r="B10566">
        <f>IF(VLOOKUP(Table7[[#This Row],[Date]],Database!$A:$C,MATCH($B$1,Database!$A$1:$C$1,),)=0,#N/A,VLOOKUP(Table7[[#This Row],[Date]],Database!$A:$C,MATCH($B$1,Database!$A$1:$C$1,),))</f>
        <v/>
      </c>
      <c r="C10566">
        <f>IF(VLOOKUP(Table7[[#This Row],[Date]],Database!$A:$C,MATCH($C$1,Database!$A$1:$C$1,),)=0,#N/A,VLOOKUP(Table7[[#This Row],[Date]],Database!$A:$C,MATCH($C$1,Database!$A$1:$C$1,),))</f>
        <v/>
      </c>
      <c r="D10566">
        <f>IFERROR(Table7[[#This Row],[United States 10y]]-Table7[[#This Row],[United States 3y]],#N/A)</f>
        <v/>
      </c>
    </row>
    <row r="10567">
      <c r="A10567" s="6">
        <f>Database!$A12652</f>
        <v/>
      </c>
      <c r="B10567">
        <f>IF(VLOOKUP(Table7[[#This Row],[Date]],Database!$A:$C,MATCH($B$1,Database!$A$1:$C$1,),)=0,#N/A,VLOOKUP(Table7[[#This Row],[Date]],Database!$A:$C,MATCH($B$1,Database!$A$1:$C$1,),))</f>
        <v/>
      </c>
      <c r="C10567">
        <f>IF(VLOOKUP(Table7[[#This Row],[Date]],Database!$A:$C,MATCH($C$1,Database!$A$1:$C$1,),)=0,#N/A,VLOOKUP(Table7[[#This Row],[Date]],Database!$A:$C,MATCH($C$1,Database!$A$1:$C$1,),))</f>
        <v/>
      </c>
      <c r="D10567">
        <f>IFERROR(Table7[[#This Row],[United States 10y]]-Table7[[#This Row],[United States 3y]],#N/A)</f>
        <v/>
      </c>
    </row>
    <row r="10568">
      <c r="A10568" s="6">
        <f>Database!$A12653</f>
        <v/>
      </c>
      <c r="B10568">
        <f>IF(VLOOKUP(Table7[[#This Row],[Date]],Database!$A:$C,MATCH($B$1,Database!$A$1:$C$1,),)=0,#N/A,VLOOKUP(Table7[[#This Row],[Date]],Database!$A:$C,MATCH($B$1,Database!$A$1:$C$1,),))</f>
        <v/>
      </c>
      <c r="C10568">
        <f>IF(VLOOKUP(Table7[[#This Row],[Date]],Database!$A:$C,MATCH($C$1,Database!$A$1:$C$1,),)=0,#N/A,VLOOKUP(Table7[[#This Row],[Date]],Database!$A:$C,MATCH($C$1,Database!$A$1:$C$1,),))</f>
        <v/>
      </c>
      <c r="D10568">
        <f>IFERROR(Table7[[#This Row],[United States 10y]]-Table7[[#This Row],[United States 3y]],#N/A)</f>
        <v/>
      </c>
    </row>
    <row r="10569">
      <c r="A10569" s="6">
        <f>Database!$A12654</f>
        <v/>
      </c>
      <c r="B10569">
        <f>IF(VLOOKUP(Table7[[#This Row],[Date]],Database!$A:$C,MATCH($B$1,Database!$A$1:$C$1,),)=0,#N/A,VLOOKUP(Table7[[#This Row],[Date]],Database!$A:$C,MATCH($B$1,Database!$A$1:$C$1,),))</f>
        <v/>
      </c>
      <c r="C10569">
        <f>IF(VLOOKUP(Table7[[#This Row],[Date]],Database!$A:$C,MATCH($C$1,Database!$A$1:$C$1,),)=0,#N/A,VLOOKUP(Table7[[#This Row],[Date]],Database!$A:$C,MATCH($C$1,Database!$A$1:$C$1,),))</f>
        <v/>
      </c>
      <c r="D10569">
        <f>IFERROR(Table7[[#This Row],[United States 10y]]-Table7[[#This Row],[United States 3y]],#N/A)</f>
        <v/>
      </c>
    </row>
    <row r="10570">
      <c r="A10570" s="6">
        <f>Database!$A12655</f>
        <v/>
      </c>
      <c r="B10570">
        <f>IF(VLOOKUP(Table7[[#This Row],[Date]],Database!$A:$C,MATCH($B$1,Database!$A$1:$C$1,),)=0,#N/A,VLOOKUP(Table7[[#This Row],[Date]],Database!$A:$C,MATCH($B$1,Database!$A$1:$C$1,),))</f>
        <v/>
      </c>
      <c r="C10570">
        <f>IF(VLOOKUP(Table7[[#This Row],[Date]],Database!$A:$C,MATCH($C$1,Database!$A$1:$C$1,),)=0,#N/A,VLOOKUP(Table7[[#This Row],[Date]],Database!$A:$C,MATCH($C$1,Database!$A$1:$C$1,),))</f>
        <v/>
      </c>
      <c r="D10570">
        <f>IFERROR(Table7[[#This Row],[United States 10y]]-Table7[[#This Row],[United States 3y]],#N/A)</f>
        <v/>
      </c>
    </row>
    <row r="10571">
      <c r="A10571" s="6">
        <f>Database!$A12656</f>
        <v/>
      </c>
      <c r="B10571">
        <f>IF(VLOOKUP(Table7[[#This Row],[Date]],Database!$A:$C,MATCH($B$1,Database!$A$1:$C$1,),)=0,#N/A,VLOOKUP(Table7[[#This Row],[Date]],Database!$A:$C,MATCH($B$1,Database!$A$1:$C$1,),))</f>
        <v/>
      </c>
      <c r="C10571">
        <f>IF(VLOOKUP(Table7[[#This Row],[Date]],Database!$A:$C,MATCH($C$1,Database!$A$1:$C$1,),)=0,#N/A,VLOOKUP(Table7[[#This Row],[Date]],Database!$A:$C,MATCH($C$1,Database!$A$1:$C$1,),))</f>
        <v/>
      </c>
      <c r="D10571">
        <f>IFERROR(Table7[[#This Row],[United States 10y]]-Table7[[#This Row],[United States 3y]],#N/A)</f>
        <v/>
      </c>
    </row>
    <row r="10572">
      <c r="A10572" s="6">
        <f>Database!$A12657</f>
        <v/>
      </c>
      <c r="B10572">
        <f>IF(VLOOKUP(Table7[[#This Row],[Date]],Database!$A:$C,MATCH($B$1,Database!$A$1:$C$1,),)=0,#N/A,VLOOKUP(Table7[[#This Row],[Date]],Database!$A:$C,MATCH($B$1,Database!$A$1:$C$1,),))</f>
        <v/>
      </c>
      <c r="C10572">
        <f>IF(VLOOKUP(Table7[[#This Row],[Date]],Database!$A:$C,MATCH($C$1,Database!$A$1:$C$1,),)=0,#N/A,VLOOKUP(Table7[[#This Row],[Date]],Database!$A:$C,MATCH($C$1,Database!$A$1:$C$1,),))</f>
        <v/>
      </c>
      <c r="D10572">
        <f>IFERROR(Table7[[#This Row],[United States 10y]]-Table7[[#This Row],[United States 3y]],#N/A)</f>
        <v/>
      </c>
    </row>
    <row r="10573">
      <c r="A10573" s="6">
        <f>Database!$A12658</f>
        <v/>
      </c>
      <c r="B10573">
        <f>IF(VLOOKUP(Table7[[#This Row],[Date]],Database!$A:$C,MATCH($B$1,Database!$A$1:$C$1,),)=0,#N/A,VLOOKUP(Table7[[#This Row],[Date]],Database!$A:$C,MATCH($B$1,Database!$A$1:$C$1,),))</f>
        <v/>
      </c>
      <c r="C10573">
        <f>IF(VLOOKUP(Table7[[#This Row],[Date]],Database!$A:$C,MATCH($C$1,Database!$A$1:$C$1,),)=0,#N/A,VLOOKUP(Table7[[#This Row],[Date]],Database!$A:$C,MATCH($C$1,Database!$A$1:$C$1,),))</f>
        <v/>
      </c>
      <c r="D10573">
        <f>IFERROR(Table7[[#This Row],[United States 10y]]-Table7[[#This Row],[United States 3y]],#N/A)</f>
        <v/>
      </c>
    </row>
    <row r="10574">
      <c r="A10574" s="6">
        <f>Database!$A12659</f>
        <v/>
      </c>
      <c r="B10574">
        <f>IF(VLOOKUP(Table7[[#This Row],[Date]],Database!$A:$C,MATCH($B$1,Database!$A$1:$C$1,),)=0,#N/A,VLOOKUP(Table7[[#This Row],[Date]],Database!$A:$C,MATCH($B$1,Database!$A$1:$C$1,),))</f>
        <v/>
      </c>
      <c r="C10574">
        <f>IF(VLOOKUP(Table7[[#This Row],[Date]],Database!$A:$C,MATCH($C$1,Database!$A$1:$C$1,),)=0,#N/A,VLOOKUP(Table7[[#This Row],[Date]],Database!$A:$C,MATCH($C$1,Database!$A$1:$C$1,),))</f>
        <v/>
      </c>
      <c r="D10574">
        <f>IFERROR(Table7[[#This Row],[United States 10y]]-Table7[[#This Row],[United States 3y]],#N/A)</f>
        <v/>
      </c>
    </row>
    <row r="10575">
      <c r="A10575" s="6">
        <f>Database!$A12660</f>
        <v/>
      </c>
      <c r="B10575">
        <f>IF(VLOOKUP(Table7[[#This Row],[Date]],Database!$A:$C,MATCH($B$1,Database!$A$1:$C$1,),)=0,#N/A,VLOOKUP(Table7[[#This Row],[Date]],Database!$A:$C,MATCH($B$1,Database!$A$1:$C$1,),))</f>
        <v/>
      </c>
      <c r="C10575">
        <f>IF(VLOOKUP(Table7[[#This Row],[Date]],Database!$A:$C,MATCH($C$1,Database!$A$1:$C$1,),)=0,#N/A,VLOOKUP(Table7[[#This Row],[Date]],Database!$A:$C,MATCH($C$1,Database!$A$1:$C$1,),))</f>
        <v/>
      </c>
      <c r="D10575">
        <f>IFERROR(Table7[[#This Row],[United States 10y]]-Table7[[#This Row],[United States 3y]],#N/A)</f>
        <v/>
      </c>
    </row>
    <row r="10576">
      <c r="A10576" s="6">
        <f>Database!$A12661</f>
        <v/>
      </c>
      <c r="B10576">
        <f>IF(VLOOKUP(Table7[[#This Row],[Date]],Database!$A:$C,MATCH($B$1,Database!$A$1:$C$1,),)=0,#N/A,VLOOKUP(Table7[[#This Row],[Date]],Database!$A:$C,MATCH($B$1,Database!$A$1:$C$1,),))</f>
        <v/>
      </c>
      <c r="C10576">
        <f>IF(VLOOKUP(Table7[[#This Row],[Date]],Database!$A:$C,MATCH($C$1,Database!$A$1:$C$1,),)=0,#N/A,VLOOKUP(Table7[[#This Row],[Date]],Database!$A:$C,MATCH($C$1,Database!$A$1:$C$1,),))</f>
        <v/>
      </c>
      <c r="D10576">
        <f>IFERROR(Table7[[#This Row],[United States 10y]]-Table7[[#This Row],[United States 3y]],#N/A)</f>
        <v/>
      </c>
    </row>
    <row r="10577">
      <c r="A10577" s="6">
        <f>Database!$A12662</f>
        <v/>
      </c>
      <c r="B10577">
        <f>IF(VLOOKUP(Table7[[#This Row],[Date]],Database!$A:$C,MATCH($B$1,Database!$A$1:$C$1,),)=0,#N/A,VLOOKUP(Table7[[#This Row],[Date]],Database!$A:$C,MATCH($B$1,Database!$A$1:$C$1,),))</f>
        <v/>
      </c>
      <c r="C10577">
        <f>IF(VLOOKUP(Table7[[#This Row],[Date]],Database!$A:$C,MATCH($C$1,Database!$A$1:$C$1,),)=0,#N/A,VLOOKUP(Table7[[#This Row],[Date]],Database!$A:$C,MATCH($C$1,Database!$A$1:$C$1,),))</f>
        <v/>
      </c>
      <c r="D10577">
        <f>IFERROR(Table7[[#This Row],[United States 10y]]-Table7[[#This Row],[United States 3y]],#N/A)</f>
        <v/>
      </c>
    </row>
    <row r="10578">
      <c r="A10578" s="6">
        <f>Database!$A12663</f>
        <v/>
      </c>
      <c r="B10578">
        <f>IF(VLOOKUP(Table7[[#This Row],[Date]],Database!$A:$C,MATCH($B$1,Database!$A$1:$C$1,),)=0,#N/A,VLOOKUP(Table7[[#This Row],[Date]],Database!$A:$C,MATCH($B$1,Database!$A$1:$C$1,),))</f>
        <v/>
      </c>
      <c r="C10578">
        <f>IF(VLOOKUP(Table7[[#This Row],[Date]],Database!$A:$C,MATCH($C$1,Database!$A$1:$C$1,),)=0,#N/A,VLOOKUP(Table7[[#This Row],[Date]],Database!$A:$C,MATCH($C$1,Database!$A$1:$C$1,),))</f>
        <v/>
      </c>
      <c r="D10578">
        <f>IFERROR(Table7[[#This Row],[United States 10y]]-Table7[[#This Row],[United States 3y]],#N/A)</f>
        <v/>
      </c>
    </row>
    <row r="10579">
      <c r="A10579" s="6">
        <f>Database!$A12664</f>
        <v/>
      </c>
      <c r="B10579">
        <f>IF(VLOOKUP(Table7[[#This Row],[Date]],Database!$A:$C,MATCH($B$1,Database!$A$1:$C$1,),)=0,#N/A,VLOOKUP(Table7[[#This Row],[Date]],Database!$A:$C,MATCH($B$1,Database!$A$1:$C$1,),))</f>
        <v/>
      </c>
      <c r="C10579">
        <f>IF(VLOOKUP(Table7[[#This Row],[Date]],Database!$A:$C,MATCH($C$1,Database!$A$1:$C$1,),)=0,#N/A,VLOOKUP(Table7[[#This Row],[Date]],Database!$A:$C,MATCH($C$1,Database!$A$1:$C$1,),))</f>
        <v/>
      </c>
      <c r="D10579">
        <f>IFERROR(Table7[[#This Row],[United States 10y]]-Table7[[#This Row],[United States 3y]],#N/A)</f>
        <v/>
      </c>
    </row>
    <row r="10580">
      <c r="A10580" s="6">
        <f>Database!$A12665</f>
        <v/>
      </c>
      <c r="B10580">
        <f>IF(VLOOKUP(Table7[[#This Row],[Date]],Database!$A:$C,MATCH($B$1,Database!$A$1:$C$1,),)=0,#N/A,VLOOKUP(Table7[[#This Row],[Date]],Database!$A:$C,MATCH($B$1,Database!$A$1:$C$1,),))</f>
        <v/>
      </c>
      <c r="C10580">
        <f>IF(VLOOKUP(Table7[[#This Row],[Date]],Database!$A:$C,MATCH($C$1,Database!$A$1:$C$1,),)=0,#N/A,VLOOKUP(Table7[[#This Row],[Date]],Database!$A:$C,MATCH($C$1,Database!$A$1:$C$1,),))</f>
        <v/>
      </c>
      <c r="D10580">
        <f>IFERROR(Table7[[#This Row],[United States 10y]]-Table7[[#This Row],[United States 3y]],#N/A)</f>
        <v/>
      </c>
    </row>
    <row r="10581">
      <c r="A10581" s="6">
        <f>Database!$A12666</f>
        <v/>
      </c>
      <c r="B10581">
        <f>IF(VLOOKUP(Table7[[#This Row],[Date]],Database!$A:$C,MATCH($B$1,Database!$A$1:$C$1,),)=0,#N/A,VLOOKUP(Table7[[#This Row],[Date]],Database!$A:$C,MATCH($B$1,Database!$A$1:$C$1,),))</f>
        <v/>
      </c>
      <c r="C10581">
        <f>IF(VLOOKUP(Table7[[#This Row],[Date]],Database!$A:$C,MATCH($C$1,Database!$A$1:$C$1,),)=0,#N/A,VLOOKUP(Table7[[#This Row],[Date]],Database!$A:$C,MATCH($C$1,Database!$A$1:$C$1,),))</f>
        <v/>
      </c>
      <c r="D10581">
        <f>IFERROR(Table7[[#This Row],[United States 10y]]-Table7[[#This Row],[United States 3y]],#N/A)</f>
        <v/>
      </c>
    </row>
    <row r="10582">
      <c r="A10582" s="6">
        <f>Database!$A12667</f>
        <v/>
      </c>
      <c r="B10582">
        <f>IF(VLOOKUP(Table7[[#This Row],[Date]],Database!$A:$C,MATCH($B$1,Database!$A$1:$C$1,),)=0,#N/A,VLOOKUP(Table7[[#This Row],[Date]],Database!$A:$C,MATCH($B$1,Database!$A$1:$C$1,),))</f>
        <v/>
      </c>
      <c r="C10582">
        <f>IF(VLOOKUP(Table7[[#This Row],[Date]],Database!$A:$C,MATCH($C$1,Database!$A$1:$C$1,),)=0,#N/A,VLOOKUP(Table7[[#This Row],[Date]],Database!$A:$C,MATCH($C$1,Database!$A$1:$C$1,),))</f>
        <v/>
      </c>
      <c r="D10582">
        <f>IFERROR(Table7[[#This Row],[United States 10y]]-Table7[[#This Row],[United States 3y]],#N/A)</f>
        <v/>
      </c>
    </row>
    <row r="10583">
      <c r="A10583" s="6">
        <f>Database!$A12668</f>
        <v/>
      </c>
      <c r="B10583">
        <f>IF(VLOOKUP(Table7[[#This Row],[Date]],Database!$A:$C,MATCH($B$1,Database!$A$1:$C$1,),)=0,#N/A,VLOOKUP(Table7[[#This Row],[Date]],Database!$A:$C,MATCH($B$1,Database!$A$1:$C$1,),))</f>
        <v/>
      </c>
      <c r="C10583">
        <f>IF(VLOOKUP(Table7[[#This Row],[Date]],Database!$A:$C,MATCH($C$1,Database!$A$1:$C$1,),)=0,#N/A,VLOOKUP(Table7[[#This Row],[Date]],Database!$A:$C,MATCH($C$1,Database!$A$1:$C$1,),))</f>
        <v/>
      </c>
      <c r="D10583">
        <f>IFERROR(Table7[[#This Row],[United States 10y]]-Table7[[#This Row],[United States 3y]],#N/A)</f>
        <v/>
      </c>
    </row>
    <row r="10584">
      <c r="A10584" s="6">
        <f>Database!$A12669</f>
        <v/>
      </c>
      <c r="B10584">
        <f>IF(VLOOKUP(Table7[[#This Row],[Date]],Database!$A:$C,MATCH($B$1,Database!$A$1:$C$1,),)=0,#N/A,VLOOKUP(Table7[[#This Row],[Date]],Database!$A:$C,MATCH($B$1,Database!$A$1:$C$1,),))</f>
        <v/>
      </c>
      <c r="C10584">
        <f>IF(VLOOKUP(Table7[[#This Row],[Date]],Database!$A:$C,MATCH($C$1,Database!$A$1:$C$1,),)=0,#N/A,VLOOKUP(Table7[[#This Row],[Date]],Database!$A:$C,MATCH($C$1,Database!$A$1:$C$1,),))</f>
        <v/>
      </c>
      <c r="D10584">
        <f>IFERROR(Table7[[#This Row],[United States 10y]]-Table7[[#This Row],[United States 3y]],#N/A)</f>
        <v/>
      </c>
    </row>
    <row r="10585">
      <c r="A10585" s="6">
        <f>Database!$A12670</f>
        <v/>
      </c>
      <c r="B10585">
        <f>IF(VLOOKUP(Table7[[#This Row],[Date]],Database!$A:$C,MATCH($B$1,Database!$A$1:$C$1,),)=0,#N/A,VLOOKUP(Table7[[#This Row],[Date]],Database!$A:$C,MATCH($B$1,Database!$A$1:$C$1,),))</f>
        <v/>
      </c>
      <c r="C10585">
        <f>IF(VLOOKUP(Table7[[#This Row],[Date]],Database!$A:$C,MATCH($C$1,Database!$A$1:$C$1,),)=0,#N/A,VLOOKUP(Table7[[#This Row],[Date]],Database!$A:$C,MATCH($C$1,Database!$A$1:$C$1,),))</f>
        <v/>
      </c>
      <c r="D10585">
        <f>IFERROR(Table7[[#This Row],[United States 10y]]-Table7[[#This Row],[United States 3y]],#N/A)</f>
        <v/>
      </c>
    </row>
    <row r="10586">
      <c r="A10586" s="6">
        <f>Database!$A12671</f>
        <v/>
      </c>
      <c r="B10586">
        <f>IF(VLOOKUP(Table7[[#This Row],[Date]],Database!$A:$C,MATCH($B$1,Database!$A$1:$C$1,),)=0,#N/A,VLOOKUP(Table7[[#This Row],[Date]],Database!$A:$C,MATCH($B$1,Database!$A$1:$C$1,),))</f>
        <v/>
      </c>
      <c r="C10586">
        <f>IF(VLOOKUP(Table7[[#This Row],[Date]],Database!$A:$C,MATCH($C$1,Database!$A$1:$C$1,),)=0,#N/A,VLOOKUP(Table7[[#This Row],[Date]],Database!$A:$C,MATCH($C$1,Database!$A$1:$C$1,),))</f>
        <v/>
      </c>
      <c r="D10586">
        <f>IFERROR(Table7[[#This Row],[United States 10y]]-Table7[[#This Row],[United States 3y]],#N/A)</f>
        <v/>
      </c>
    </row>
    <row r="10587">
      <c r="A10587" s="6">
        <f>Database!$A12672</f>
        <v/>
      </c>
      <c r="B10587">
        <f>IF(VLOOKUP(Table7[[#This Row],[Date]],Database!$A:$C,MATCH($B$1,Database!$A$1:$C$1,),)=0,#N/A,VLOOKUP(Table7[[#This Row],[Date]],Database!$A:$C,MATCH($B$1,Database!$A$1:$C$1,),))</f>
        <v/>
      </c>
      <c r="C10587">
        <f>IF(VLOOKUP(Table7[[#This Row],[Date]],Database!$A:$C,MATCH($C$1,Database!$A$1:$C$1,),)=0,#N/A,VLOOKUP(Table7[[#This Row],[Date]],Database!$A:$C,MATCH($C$1,Database!$A$1:$C$1,),))</f>
        <v/>
      </c>
      <c r="D10587">
        <f>IFERROR(Table7[[#This Row],[United States 10y]]-Table7[[#This Row],[United States 3y]],#N/A)</f>
        <v/>
      </c>
    </row>
    <row r="10588">
      <c r="A10588" s="6">
        <f>Database!$A12673</f>
        <v/>
      </c>
      <c r="B10588">
        <f>IF(VLOOKUP(Table7[[#This Row],[Date]],Database!$A:$C,MATCH($B$1,Database!$A$1:$C$1,),)=0,#N/A,VLOOKUP(Table7[[#This Row],[Date]],Database!$A:$C,MATCH($B$1,Database!$A$1:$C$1,),))</f>
        <v/>
      </c>
      <c r="C10588">
        <f>IF(VLOOKUP(Table7[[#This Row],[Date]],Database!$A:$C,MATCH($C$1,Database!$A$1:$C$1,),)=0,#N/A,VLOOKUP(Table7[[#This Row],[Date]],Database!$A:$C,MATCH($C$1,Database!$A$1:$C$1,),))</f>
        <v/>
      </c>
      <c r="D10588">
        <f>IFERROR(Table7[[#This Row],[United States 10y]]-Table7[[#This Row],[United States 3y]],#N/A)</f>
        <v/>
      </c>
    </row>
    <row r="10589">
      <c r="A10589" s="6">
        <f>Database!$A12674</f>
        <v/>
      </c>
      <c r="B10589">
        <f>IF(VLOOKUP(Table7[[#This Row],[Date]],Database!$A:$C,MATCH($B$1,Database!$A$1:$C$1,),)=0,#N/A,VLOOKUP(Table7[[#This Row],[Date]],Database!$A:$C,MATCH($B$1,Database!$A$1:$C$1,),))</f>
        <v/>
      </c>
      <c r="C10589">
        <f>IF(VLOOKUP(Table7[[#This Row],[Date]],Database!$A:$C,MATCH($C$1,Database!$A$1:$C$1,),)=0,#N/A,VLOOKUP(Table7[[#This Row],[Date]],Database!$A:$C,MATCH($C$1,Database!$A$1:$C$1,),))</f>
        <v/>
      </c>
      <c r="D10589">
        <f>IFERROR(Table7[[#This Row],[United States 10y]]-Table7[[#This Row],[United States 3y]],#N/A)</f>
        <v/>
      </c>
    </row>
    <row r="10590">
      <c r="A10590" s="6">
        <f>Database!$A12675</f>
        <v/>
      </c>
      <c r="B10590">
        <f>IF(VLOOKUP(Table7[[#This Row],[Date]],Database!$A:$C,MATCH($B$1,Database!$A$1:$C$1,),)=0,#N/A,VLOOKUP(Table7[[#This Row],[Date]],Database!$A:$C,MATCH($B$1,Database!$A$1:$C$1,),))</f>
        <v/>
      </c>
      <c r="C10590">
        <f>IF(VLOOKUP(Table7[[#This Row],[Date]],Database!$A:$C,MATCH($C$1,Database!$A$1:$C$1,),)=0,#N/A,VLOOKUP(Table7[[#This Row],[Date]],Database!$A:$C,MATCH($C$1,Database!$A$1:$C$1,),))</f>
        <v/>
      </c>
      <c r="D10590">
        <f>IFERROR(Table7[[#This Row],[United States 10y]]-Table7[[#This Row],[United States 3y]],#N/A)</f>
        <v/>
      </c>
    </row>
    <row r="10591">
      <c r="A10591" s="6">
        <f>Database!$A12676</f>
        <v/>
      </c>
      <c r="B10591">
        <f>IF(VLOOKUP(Table7[[#This Row],[Date]],Database!$A:$C,MATCH($B$1,Database!$A$1:$C$1,),)=0,#N/A,VLOOKUP(Table7[[#This Row],[Date]],Database!$A:$C,MATCH($B$1,Database!$A$1:$C$1,),))</f>
        <v/>
      </c>
      <c r="C10591">
        <f>IF(VLOOKUP(Table7[[#This Row],[Date]],Database!$A:$C,MATCH($C$1,Database!$A$1:$C$1,),)=0,#N/A,VLOOKUP(Table7[[#This Row],[Date]],Database!$A:$C,MATCH($C$1,Database!$A$1:$C$1,),))</f>
        <v/>
      </c>
      <c r="D10591">
        <f>IFERROR(Table7[[#This Row],[United States 10y]]-Table7[[#This Row],[United States 3y]],#N/A)</f>
        <v/>
      </c>
    </row>
    <row r="10592">
      <c r="A10592" s="6">
        <f>Database!$A12677</f>
        <v/>
      </c>
      <c r="B10592">
        <f>IF(VLOOKUP(Table7[[#This Row],[Date]],Database!$A:$C,MATCH($B$1,Database!$A$1:$C$1,),)=0,#N/A,VLOOKUP(Table7[[#This Row],[Date]],Database!$A:$C,MATCH($B$1,Database!$A$1:$C$1,),))</f>
        <v/>
      </c>
      <c r="C10592">
        <f>IF(VLOOKUP(Table7[[#This Row],[Date]],Database!$A:$C,MATCH($C$1,Database!$A$1:$C$1,),)=0,#N/A,VLOOKUP(Table7[[#This Row],[Date]],Database!$A:$C,MATCH($C$1,Database!$A$1:$C$1,),))</f>
        <v/>
      </c>
      <c r="D10592">
        <f>IFERROR(Table7[[#This Row],[United States 10y]]-Table7[[#This Row],[United States 3y]],#N/A)</f>
        <v/>
      </c>
    </row>
    <row r="10593">
      <c r="A10593" s="6">
        <f>Database!$A12678</f>
        <v/>
      </c>
      <c r="B10593">
        <f>IF(VLOOKUP(Table7[[#This Row],[Date]],Database!$A:$C,MATCH($B$1,Database!$A$1:$C$1,),)=0,#N/A,VLOOKUP(Table7[[#This Row],[Date]],Database!$A:$C,MATCH($B$1,Database!$A$1:$C$1,),))</f>
        <v/>
      </c>
      <c r="C10593">
        <f>IF(VLOOKUP(Table7[[#This Row],[Date]],Database!$A:$C,MATCH($C$1,Database!$A$1:$C$1,),)=0,#N/A,VLOOKUP(Table7[[#This Row],[Date]],Database!$A:$C,MATCH($C$1,Database!$A$1:$C$1,),))</f>
        <v/>
      </c>
      <c r="D10593">
        <f>IFERROR(Table7[[#This Row],[United States 10y]]-Table7[[#This Row],[United States 3y]],#N/A)</f>
        <v/>
      </c>
    </row>
    <row r="10594">
      <c r="A10594" s="6">
        <f>Database!$A12679</f>
        <v/>
      </c>
      <c r="B10594">
        <f>IF(VLOOKUP(Table7[[#This Row],[Date]],Database!$A:$C,MATCH($B$1,Database!$A$1:$C$1,),)=0,#N/A,VLOOKUP(Table7[[#This Row],[Date]],Database!$A:$C,MATCH($B$1,Database!$A$1:$C$1,),))</f>
        <v/>
      </c>
      <c r="C10594">
        <f>IF(VLOOKUP(Table7[[#This Row],[Date]],Database!$A:$C,MATCH($C$1,Database!$A$1:$C$1,),)=0,#N/A,VLOOKUP(Table7[[#This Row],[Date]],Database!$A:$C,MATCH($C$1,Database!$A$1:$C$1,),))</f>
        <v/>
      </c>
      <c r="D10594">
        <f>IFERROR(Table7[[#This Row],[United States 10y]]-Table7[[#This Row],[United States 3y]],#N/A)</f>
        <v/>
      </c>
    </row>
    <row r="10595">
      <c r="A10595" s="6">
        <f>Database!$A12680</f>
        <v/>
      </c>
      <c r="B10595">
        <f>IF(VLOOKUP(Table7[[#This Row],[Date]],Database!$A:$C,MATCH($B$1,Database!$A$1:$C$1,),)=0,#N/A,VLOOKUP(Table7[[#This Row],[Date]],Database!$A:$C,MATCH($B$1,Database!$A$1:$C$1,),))</f>
        <v/>
      </c>
      <c r="C10595">
        <f>IF(VLOOKUP(Table7[[#This Row],[Date]],Database!$A:$C,MATCH($C$1,Database!$A$1:$C$1,),)=0,#N/A,VLOOKUP(Table7[[#This Row],[Date]],Database!$A:$C,MATCH($C$1,Database!$A$1:$C$1,),))</f>
        <v/>
      </c>
      <c r="D10595">
        <f>IFERROR(Table7[[#This Row],[United States 10y]]-Table7[[#This Row],[United States 3y]],#N/A)</f>
        <v/>
      </c>
    </row>
    <row r="10596">
      <c r="A10596" s="6">
        <f>Database!$A12681</f>
        <v/>
      </c>
      <c r="B10596">
        <f>IF(VLOOKUP(Table7[[#This Row],[Date]],Database!$A:$C,MATCH($B$1,Database!$A$1:$C$1,),)=0,#N/A,VLOOKUP(Table7[[#This Row],[Date]],Database!$A:$C,MATCH($B$1,Database!$A$1:$C$1,),))</f>
        <v/>
      </c>
      <c r="C10596">
        <f>IF(VLOOKUP(Table7[[#This Row],[Date]],Database!$A:$C,MATCH($C$1,Database!$A$1:$C$1,),)=0,#N/A,VLOOKUP(Table7[[#This Row],[Date]],Database!$A:$C,MATCH($C$1,Database!$A$1:$C$1,),))</f>
        <v/>
      </c>
      <c r="D10596">
        <f>IFERROR(Table7[[#This Row],[United States 10y]]-Table7[[#This Row],[United States 3y]],#N/A)</f>
        <v/>
      </c>
    </row>
    <row r="10597">
      <c r="A10597" s="6">
        <f>Database!$A12682</f>
        <v/>
      </c>
      <c r="B10597">
        <f>IF(VLOOKUP(Table7[[#This Row],[Date]],Database!$A:$C,MATCH($B$1,Database!$A$1:$C$1,),)=0,#N/A,VLOOKUP(Table7[[#This Row],[Date]],Database!$A:$C,MATCH($B$1,Database!$A$1:$C$1,),))</f>
        <v/>
      </c>
      <c r="C10597">
        <f>IF(VLOOKUP(Table7[[#This Row],[Date]],Database!$A:$C,MATCH($C$1,Database!$A$1:$C$1,),)=0,#N/A,VLOOKUP(Table7[[#This Row],[Date]],Database!$A:$C,MATCH($C$1,Database!$A$1:$C$1,),))</f>
        <v/>
      </c>
      <c r="D10597">
        <f>IFERROR(Table7[[#This Row],[United States 10y]]-Table7[[#This Row],[United States 3y]],#N/A)</f>
        <v/>
      </c>
    </row>
    <row r="10598">
      <c r="A10598" s="6">
        <f>Database!$A12683</f>
        <v/>
      </c>
      <c r="B10598">
        <f>IF(VLOOKUP(Table7[[#This Row],[Date]],Database!$A:$C,MATCH($B$1,Database!$A$1:$C$1,),)=0,#N/A,VLOOKUP(Table7[[#This Row],[Date]],Database!$A:$C,MATCH($B$1,Database!$A$1:$C$1,),))</f>
        <v/>
      </c>
      <c r="C10598">
        <f>IF(VLOOKUP(Table7[[#This Row],[Date]],Database!$A:$C,MATCH($C$1,Database!$A$1:$C$1,),)=0,#N/A,VLOOKUP(Table7[[#This Row],[Date]],Database!$A:$C,MATCH($C$1,Database!$A$1:$C$1,),))</f>
        <v/>
      </c>
      <c r="D10598">
        <f>IFERROR(Table7[[#This Row],[United States 10y]]-Table7[[#This Row],[United States 3y]],#N/A)</f>
        <v/>
      </c>
    </row>
    <row r="10599">
      <c r="A10599" s="6">
        <f>Database!$A12684</f>
        <v/>
      </c>
      <c r="B10599">
        <f>IF(VLOOKUP(Table7[[#This Row],[Date]],Database!$A:$C,MATCH($B$1,Database!$A$1:$C$1,),)=0,#N/A,VLOOKUP(Table7[[#This Row],[Date]],Database!$A:$C,MATCH($B$1,Database!$A$1:$C$1,),))</f>
        <v/>
      </c>
      <c r="C10599">
        <f>IF(VLOOKUP(Table7[[#This Row],[Date]],Database!$A:$C,MATCH($C$1,Database!$A$1:$C$1,),)=0,#N/A,VLOOKUP(Table7[[#This Row],[Date]],Database!$A:$C,MATCH($C$1,Database!$A$1:$C$1,),))</f>
        <v/>
      </c>
      <c r="D10599">
        <f>IFERROR(Table7[[#This Row],[United States 10y]]-Table7[[#This Row],[United States 3y]],#N/A)</f>
        <v/>
      </c>
    </row>
    <row r="10600">
      <c r="A10600" s="6">
        <f>Database!$A12685</f>
        <v/>
      </c>
      <c r="B10600">
        <f>IF(VLOOKUP(Table7[[#This Row],[Date]],Database!$A:$C,MATCH($B$1,Database!$A$1:$C$1,),)=0,#N/A,VLOOKUP(Table7[[#This Row],[Date]],Database!$A:$C,MATCH($B$1,Database!$A$1:$C$1,),))</f>
        <v/>
      </c>
      <c r="C10600">
        <f>IF(VLOOKUP(Table7[[#This Row],[Date]],Database!$A:$C,MATCH($C$1,Database!$A$1:$C$1,),)=0,#N/A,VLOOKUP(Table7[[#This Row],[Date]],Database!$A:$C,MATCH($C$1,Database!$A$1:$C$1,),))</f>
        <v/>
      </c>
      <c r="D10600">
        <f>IFERROR(Table7[[#This Row],[United States 10y]]-Table7[[#This Row],[United States 3y]],#N/A)</f>
        <v/>
      </c>
    </row>
    <row r="10601">
      <c r="A10601" s="6">
        <f>Database!$A12686</f>
        <v/>
      </c>
      <c r="B10601">
        <f>IF(VLOOKUP(Table7[[#This Row],[Date]],Database!$A:$C,MATCH($B$1,Database!$A$1:$C$1,),)=0,#N/A,VLOOKUP(Table7[[#This Row],[Date]],Database!$A:$C,MATCH($B$1,Database!$A$1:$C$1,),))</f>
        <v/>
      </c>
      <c r="C10601">
        <f>IF(VLOOKUP(Table7[[#This Row],[Date]],Database!$A:$C,MATCH($C$1,Database!$A$1:$C$1,),)=0,#N/A,VLOOKUP(Table7[[#This Row],[Date]],Database!$A:$C,MATCH($C$1,Database!$A$1:$C$1,),))</f>
        <v/>
      </c>
      <c r="D10601">
        <f>IFERROR(Table7[[#This Row],[United States 10y]]-Table7[[#This Row],[United States 3y]],#N/A)</f>
        <v/>
      </c>
    </row>
    <row r="10602">
      <c r="A10602" s="6">
        <f>Database!$A12687</f>
        <v/>
      </c>
      <c r="B10602">
        <f>IF(VLOOKUP(Table7[[#This Row],[Date]],Database!$A:$C,MATCH($B$1,Database!$A$1:$C$1,),)=0,#N/A,VLOOKUP(Table7[[#This Row],[Date]],Database!$A:$C,MATCH($B$1,Database!$A$1:$C$1,),))</f>
        <v/>
      </c>
      <c r="C10602">
        <f>IF(VLOOKUP(Table7[[#This Row],[Date]],Database!$A:$C,MATCH($C$1,Database!$A$1:$C$1,),)=0,#N/A,VLOOKUP(Table7[[#This Row],[Date]],Database!$A:$C,MATCH($C$1,Database!$A$1:$C$1,),))</f>
        <v/>
      </c>
      <c r="D10602">
        <f>IFERROR(Table7[[#This Row],[United States 10y]]-Table7[[#This Row],[United States 3y]],#N/A)</f>
        <v/>
      </c>
    </row>
    <row r="10603">
      <c r="A10603" s="6">
        <f>Database!$A12688</f>
        <v/>
      </c>
      <c r="B10603">
        <f>IF(VLOOKUP(Table7[[#This Row],[Date]],Database!$A:$C,MATCH($B$1,Database!$A$1:$C$1,),)=0,#N/A,VLOOKUP(Table7[[#This Row],[Date]],Database!$A:$C,MATCH($B$1,Database!$A$1:$C$1,),))</f>
        <v/>
      </c>
      <c r="C10603">
        <f>IF(VLOOKUP(Table7[[#This Row],[Date]],Database!$A:$C,MATCH($C$1,Database!$A$1:$C$1,),)=0,#N/A,VLOOKUP(Table7[[#This Row],[Date]],Database!$A:$C,MATCH($C$1,Database!$A$1:$C$1,),))</f>
        <v/>
      </c>
      <c r="D10603">
        <f>IFERROR(Table7[[#This Row],[United States 10y]]-Table7[[#This Row],[United States 3y]],#N/A)</f>
        <v/>
      </c>
    </row>
    <row r="10604">
      <c r="A10604" s="6">
        <f>Database!$A12689</f>
        <v/>
      </c>
      <c r="B10604">
        <f>IF(VLOOKUP(Table7[[#This Row],[Date]],Database!$A:$C,MATCH($B$1,Database!$A$1:$C$1,),)=0,#N/A,VLOOKUP(Table7[[#This Row],[Date]],Database!$A:$C,MATCH($B$1,Database!$A$1:$C$1,),))</f>
        <v/>
      </c>
      <c r="C10604">
        <f>IF(VLOOKUP(Table7[[#This Row],[Date]],Database!$A:$C,MATCH($C$1,Database!$A$1:$C$1,),)=0,#N/A,VLOOKUP(Table7[[#This Row],[Date]],Database!$A:$C,MATCH($C$1,Database!$A$1:$C$1,),))</f>
        <v/>
      </c>
      <c r="D10604">
        <f>IFERROR(Table7[[#This Row],[United States 10y]]-Table7[[#This Row],[United States 3y]],#N/A)</f>
        <v/>
      </c>
    </row>
    <row r="10605">
      <c r="A10605" s="6">
        <f>Database!$A12690</f>
        <v/>
      </c>
      <c r="B10605">
        <f>IF(VLOOKUP(Table7[[#This Row],[Date]],Database!$A:$C,MATCH($B$1,Database!$A$1:$C$1,),)=0,#N/A,VLOOKUP(Table7[[#This Row],[Date]],Database!$A:$C,MATCH($B$1,Database!$A$1:$C$1,),))</f>
        <v/>
      </c>
      <c r="C10605">
        <f>IF(VLOOKUP(Table7[[#This Row],[Date]],Database!$A:$C,MATCH($C$1,Database!$A$1:$C$1,),)=0,#N/A,VLOOKUP(Table7[[#This Row],[Date]],Database!$A:$C,MATCH($C$1,Database!$A$1:$C$1,),))</f>
        <v/>
      </c>
      <c r="D10605">
        <f>IFERROR(Table7[[#This Row],[United States 10y]]-Table7[[#This Row],[United States 3y]],#N/A)</f>
        <v/>
      </c>
    </row>
    <row r="10606">
      <c r="A10606" s="6">
        <f>Database!$A12691</f>
        <v/>
      </c>
      <c r="B10606">
        <f>IF(VLOOKUP(Table7[[#This Row],[Date]],Database!$A:$C,MATCH($B$1,Database!$A$1:$C$1,),)=0,#N/A,VLOOKUP(Table7[[#This Row],[Date]],Database!$A:$C,MATCH($B$1,Database!$A$1:$C$1,),))</f>
        <v/>
      </c>
      <c r="C10606">
        <f>IF(VLOOKUP(Table7[[#This Row],[Date]],Database!$A:$C,MATCH($C$1,Database!$A$1:$C$1,),)=0,#N/A,VLOOKUP(Table7[[#This Row],[Date]],Database!$A:$C,MATCH($C$1,Database!$A$1:$C$1,),))</f>
        <v/>
      </c>
      <c r="D10606">
        <f>IFERROR(Table7[[#This Row],[United States 10y]]-Table7[[#This Row],[United States 3y]],#N/A)</f>
        <v/>
      </c>
    </row>
    <row r="10607">
      <c r="A10607" s="6">
        <f>Database!$A12692</f>
        <v/>
      </c>
      <c r="B10607">
        <f>IF(VLOOKUP(Table7[[#This Row],[Date]],Database!$A:$C,MATCH($B$1,Database!$A$1:$C$1,),)=0,#N/A,VLOOKUP(Table7[[#This Row],[Date]],Database!$A:$C,MATCH($B$1,Database!$A$1:$C$1,),))</f>
        <v/>
      </c>
      <c r="C10607">
        <f>IF(VLOOKUP(Table7[[#This Row],[Date]],Database!$A:$C,MATCH($C$1,Database!$A$1:$C$1,),)=0,#N/A,VLOOKUP(Table7[[#This Row],[Date]],Database!$A:$C,MATCH($C$1,Database!$A$1:$C$1,),))</f>
        <v/>
      </c>
      <c r="D10607">
        <f>IFERROR(Table7[[#This Row],[United States 10y]]-Table7[[#This Row],[United States 3y]],#N/A)</f>
        <v/>
      </c>
    </row>
    <row r="10608">
      <c r="A10608" s="6">
        <f>Database!$A12693</f>
        <v/>
      </c>
      <c r="B10608">
        <f>IF(VLOOKUP(Table7[[#This Row],[Date]],Database!$A:$C,MATCH($B$1,Database!$A$1:$C$1,),)=0,#N/A,VLOOKUP(Table7[[#This Row],[Date]],Database!$A:$C,MATCH($B$1,Database!$A$1:$C$1,),))</f>
        <v/>
      </c>
      <c r="C10608">
        <f>IF(VLOOKUP(Table7[[#This Row],[Date]],Database!$A:$C,MATCH($C$1,Database!$A$1:$C$1,),)=0,#N/A,VLOOKUP(Table7[[#This Row],[Date]],Database!$A:$C,MATCH($C$1,Database!$A$1:$C$1,),))</f>
        <v/>
      </c>
      <c r="D10608">
        <f>IFERROR(Table7[[#This Row],[United States 10y]]-Table7[[#This Row],[United States 3y]],#N/A)</f>
        <v/>
      </c>
    </row>
    <row r="10609">
      <c r="A10609" s="6">
        <f>Database!$A12694</f>
        <v/>
      </c>
      <c r="B10609">
        <f>IF(VLOOKUP(Table7[[#This Row],[Date]],Database!$A:$C,MATCH($B$1,Database!$A$1:$C$1,),)=0,#N/A,VLOOKUP(Table7[[#This Row],[Date]],Database!$A:$C,MATCH($B$1,Database!$A$1:$C$1,),))</f>
        <v/>
      </c>
      <c r="C10609">
        <f>IF(VLOOKUP(Table7[[#This Row],[Date]],Database!$A:$C,MATCH($C$1,Database!$A$1:$C$1,),)=0,#N/A,VLOOKUP(Table7[[#This Row],[Date]],Database!$A:$C,MATCH($C$1,Database!$A$1:$C$1,),))</f>
        <v/>
      </c>
      <c r="D10609">
        <f>IFERROR(Table7[[#This Row],[United States 10y]]-Table7[[#This Row],[United States 3y]],#N/A)</f>
        <v/>
      </c>
    </row>
    <row r="10610">
      <c r="A10610" s="6">
        <f>Database!$A12695</f>
        <v/>
      </c>
      <c r="B10610">
        <f>IF(VLOOKUP(Table7[[#This Row],[Date]],Database!$A:$C,MATCH($B$1,Database!$A$1:$C$1,),)=0,#N/A,VLOOKUP(Table7[[#This Row],[Date]],Database!$A:$C,MATCH($B$1,Database!$A$1:$C$1,),))</f>
        <v/>
      </c>
      <c r="C10610">
        <f>IF(VLOOKUP(Table7[[#This Row],[Date]],Database!$A:$C,MATCH($C$1,Database!$A$1:$C$1,),)=0,#N/A,VLOOKUP(Table7[[#This Row],[Date]],Database!$A:$C,MATCH($C$1,Database!$A$1:$C$1,),))</f>
        <v/>
      </c>
      <c r="D10610">
        <f>IFERROR(Table7[[#This Row],[United States 10y]]-Table7[[#This Row],[United States 3y]],#N/A)</f>
        <v/>
      </c>
    </row>
    <row r="10611">
      <c r="A10611" s="6">
        <f>Database!$A12696</f>
        <v/>
      </c>
      <c r="B10611">
        <f>IF(VLOOKUP(Table7[[#This Row],[Date]],Database!$A:$C,MATCH($B$1,Database!$A$1:$C$1,),)=0,#N/A,VLOOKUP(Table7[[#This Row],[Date]],Database!$A:$C,MATCH($B$1,Database!$A$1:$C$1,),))</f>
        <v/>
      </c>
      <c r="C10611">
        <f>IF(VLOOKUP(Table7[[#This Row],[Date]],Database!$A:$C,MATCH($C$1,Database!$A$1:$C$1,),)=0,#N/A,VLOOKUP(Table7[[#This Row],[Date]],Database!$A:$C,MATCH($C$1,Database!$A$1:$C$1,),))</f>
        <v/>
      </c>
      <c r="D10611">
        <f>IFERROR(Table7[[#This Row],[United States 10y]]-Table7[[#This Row],[United States 3y]],#N/A)</f>
        <v/>
      </c>
    </row>
    <row r="10612">
      <c r="A10612" s="6">
        <f>Database!$A12697</f>
        <v/>
      </c>
      <c r="B10612">
        <f>IF(VLOOKUP(Table7[[#This Row],[Date]],Database!$A:$C,MATCH($B$1,Database!$A$1:$C$1,),)=0,#N/A,VLOOKUP(Table7[[#This Row],[Date]],Database!$A:$C,MATCH($B$1,Database!$A$1:$C$1,),))</f>
        <v/>
      </c>
      <c r="C10612">
        <f>IF(VLOOKUP(Table7[[#This Row],[Date]],Database!$A:$C,MATCH($C$1,Database!$A$1:$C$1,),)=0,#N/A,VLOOKUP(Table7[[#This Row],[Date]],Database!$A:$C,MATCH($C$1,Database!$A$1:$C$1,),))</f>
        <v/>
      </c>
      <c r="D10612">
        <f>IFERROR(Table7[[#This Row],[United States 10y]]-Table7[[#This Row],[United States 3y]],#N/A)</f>
        <v/>
      </c>
    </row>
    <row r="10613">
      <c r="A10613" s="6">
        <f>Database!$A12698</f>
        <v/>
      </c>
      <c r="B10613">
        <f>IF(VLOOKUP(Table7[[#This Row],[Date]],Database!$A:$C,MATCH($B$1,Database!$A$1:$C$1,),)=0,#N/A,VLOOKUP(Table7[[#This Row],[Date]],Database!$A:$C,MATCH($B$1,Database!$A$1:$C$1,),))</f>
        <v/>
      </c>
      <c r="C10613">
        <f>IF(VLOOKUP(Table7[[#This Row],[Date]],Database!$A:$C,MATCH($C$1,Database!$A$1:$C$1,),)=0,#N/A,VLOOKUP(Table7[[#This Row],[Date]],Database!$A:$C,MATCH($C$1,Database!$A$1:$C$1,),))</f>
        <v/>
      </c>
      <c r="D10613">
        <f>IFERROR(Table7[[#This Row],[United States 10y]]-Table7[[#This Row],[United States 3y]],#N/A)</f>
        <v/>
      </c>
    </row>
    <row r="10614">
      <c r="A10614" s="6">
        <f>Database!$A12699</f>
        <v/>
      </c>
      <c r="B10614">
        <f>IF(VLOOKUP(Table7[[#This Row],[Date]],Database!$A:$C,MATCH($B$1,Database!$A$1:$C$1,),)=0,#N/A,VLOOKUP(Table7[[#This Row],[Date]],Database!$A:$C,MATCH($B$1,Database!$A$1:$C$1,),))</f>
        <v/>
      </c>
      <c r="C10614">
        <f>IF(VLOOKUP(Table7[[#This Row],[Date]],Database!$A:$C,MATCH($C$1,Database!$A$1:$C$1,),)=0,#N/A,VLOOKUP(Table7[[#This Row],[Date]],Database!$A:$C,MATCH($C$1,Database!$A$1:$C$1,),))</f>
        <v/>
      </c>
      <c r="D10614">
        <f>IFERROR(Table7[[#This Row],[United States 10y]]-Table7[[#This Row],[United States 3y]],#N/A)</f>
        <v/>
      </c>
    </row>
    <row r="10615">
      <c r="A10615" s="6">
        <f>Database!$A12700</f>
        <v/>
      </c>
      <c r="B10615">
        <f>IF(VLOOKUP(Table7[[#This Row],[Date]],Database!$A:$C,MATCH($B$1,Database!$A$1:$C$1,),)=0,#N/A,VLOOKUP(Table7[[#This Row],[Date]],Database!$A:$C,MATCH($B$1,Database!$A$1:$C$1,),))</f>
        <v/>
      </c>
      <c r="C10615">
        <f>IF(VLOOKUP(Table7[[#This Row],[Date]],Database!$A:$C,MATCH($C$1,Database!$A$1:$C$1,),)=0,#N/A,VLOOKUP(Table7[[#This Row],[Date]],Database!$A:$C,MATCH($C$1,Database!$A$1:$C$1,),))</f>
        <v/>
      </c>
      <c r="D10615">
        <f>IFERROR(Table7[[#This Row],[United States 10y]]-Table7[[#This Row],[United States 3y]],#N/A)</f>
        <v/>
      </c>
    </row>
    <row r="10616">
      <c r="A10616" s="6">
        <f>Database!$A12701</f>
        <v/>
      </c>
      <c r="B10616">
        <f>IF(VLOOKUP(Table7[[#This Row],[Date]],Database!$A:$C,MATCH($B$1,Database!$A$1:$C$1,),)=0,#N/A,VLOOKUP(Table7[[#This Row],[Date]],Database!$A:$C,MATCH($B$1,Database!$A$1:$C$1,),))</f>
        <v/>
      </c>
      <c r="C10616">
        <f>IF(VLOOKUP(Table7[[#This Row],[Date]],Database!$A:$C,MATCH($C$1,Database!$A$1:$C$1,),)=0,#N/A,VLOOKUP(Table7[[#This Row],[Date]],Database!$A:$C,MATCH($C$1,Database!$A$1:$C$1,),))</f>
        <v/>
      </c>
      <c r="D10616">
        <f>IFERROR(Table7[[#This Row],[United States 10y]]-Table7[[#This Row],[United States 3y]],#N/A)</f>
        <v/>
      </c>
    </row>
    <row r="10617">
      <c r="A10617" s="6">
        <f>Database!$A12702</f>
        <v/>
      </c>
      <c r="B10617">
        <f>IF(VLOOKUP(Table7[[#This Row],[Date]],Database!$A:$C,MATCH($B$1,Database!$A$1:$C$1,),)=0,#N/A,VLOOKUP(Table7[[#This Row],[Date]],Database!$A:$C,MATCH($B$1,Database!$A$1:$C$1,),))</f>
        <v/>
      </c>
      <c r="C10617">
        <f>IF(VLOOKUP(Table7[[#This Row],[Date]],Database!$A:$C,MATCH($C$1,Database!$A$1:$C$1,),)=0,#N/A,VLOOKUP(Table7[[#This Row],[Date]],Database!$A:$C,MATCH($C$1,Database!$A$1:$C$1,),))</f>
        <v/>
      </c>
      <c r="D10617">
        <f>IFERROR(Table7[[#This Row],[United States 10y]]-Table7[[#This Row],[United States 3y]],#N/A)</f>
        <v/>
      </c>
    </row>
    <row r="10618">
      <c r="A10618" s="6">
        <f>Database!$A12703</f>
        <v/>
      </c>
      <c r="B10618">
        <f>IF(VLOOKUP(Table7[[#This Row],[Date]],Database!$A:$C,MATCH($B$1,Database!$A$1:$C$1,),)=0,#N/A,VLOOKUP(Table7[[#This Row],[Date]],Database!$A:$C,MATCH($B$1,Database!$A$1:$C$1,),))</f>
        <v/>
      </c>
      <c r="C10618">
        <f>IF(VLOOKUP(Table7[[#This Row],[Date]],Database!$A:$C,MATCH($C$1,Database!$A$1:$C$1,),)=0,#N/A,VLOOKUP(Table7[[#This Row],[Date]],Database!$A:$C,MATCH($C$1,Database!$A$1:$C$1,),))</f>
        <v/>
      </c>
      <c r="D10618">
        <f>IFERROR(Table7[[#This Row],[United States 10y]]-Table7[[#This Row],[United States 3y]],#N/A)</f>
        <v/>
      </c>
    </row>
    <row r="10619">
      <c r="A10619" s="6">
        <f>Database!$A12704</f>
        <v/>
      </c>
      <c r="B10619">
        <f>IF(VLOOKUP(Table7[[#This Row],[Date]],Database!$A:$C,MATCH($B$1,Database!$A$1:$C$1,),)=0,#N/A,VLOOKUP(Table7[[#This Row],[Date]],Database!$A:$C,MATCH($B$1,Database!$A$1:$C$1,),))</f>
        <v/>
      </c>
      <c r="C10619">
        <f>IF(VLOOKUP(Table7[[#This Row],[Date]],Database!$A:$C,MATCH($C$1,Database!$A$1:$C$1,),)=0,#N/A,VLOOKUP(Table7[[#This Row],[Date]],Database!$A:$C,MATCH($C$1,Database!$A$1:$C$1,),))</f>
        <v/>
      </c>
      <c r="D10619">
        <f>IFERROR(Table7[[#This Row],[United States 10y]]-Table7[[#This Row],[United States 3y]],#N/A)</f>
        <v/>
      </c>
    </row>
    <row r="10620">
      <c r="A10620" s="6">
        <f>Database!$A12705</f>
        <v/>
      </c>
      <c r="B10620">
        <f>IF(VLOOKUP(Table7[[#This Row],[Date]],Database!$A:$C,MATCH($B$1,Database!$A$1:$C$1,),)=0,#N/A,VLOOKUP(Table7[[#This Row],[Date]],Database!$A:$C,MATCH($B$1,Database!$A$1:$C$1,),))</f>
        <v/>
      </c>
      <c r="C10620">
        <f>IF(VLOOKUP(Table7[[#This Row],[Date]],Database!$A:$C,MATCH($C$1,Database!$A$1:$C$1,),)=0,#N/A,VLOOKUP(Table7[[#This Row],[Date]],Database!$A:$C,MATCH($C$1,Database!$A$1:$C$1,),))</f>
        <v/>
      </c>
      <c r="D10620">
        <f>IFERROR(Table7[[#This Row],[United States 10y]]-Table7[[#This Row],[United States 3y]],#N/A)</f>
        <v/>
      </c>
    </row>
    <row r="10621">
      <c r="A10621" s="6">
        <f>Database!$A12706</f>
        <v/>
      </c>
      <c r="B10621">
        <f>IF(VLOOKUP(Table7[[#This Row],[Date]],Database!$A:$C,MATCH($B$1,Database!$A$1:$C$1,),)=0,#N/A,VLOOKUP(Table7[[#This Row],[Date]],Database!$A:$C,MATCH($B$1,Database!$A$1:$C$1,),))</f>
        <v/>
      </c>
      <c r="C10621">
        <f>IF(VLOOKUP(Table7[[#This Row],[Date]],Database!$A:$C,MATCH($C$1,Database!$A$1:$C$1,),)=0,#N/A,VLOOKUP(Table7[[#This Row],[Date]],Database!$A:$C,MATCH($C$1,Database!$A$1:$C$1,),))</f>
        <v/>
      </c>
      <c r="D10621">
        <f>IFERROR(Table7[[#This Row],[United States 10y]]-Table7[[#This Row],[United States 3y]],#N/A)</f>
        <v/>
      </c>
    </row>
    <row r="10622">
      <c r="A10622" s="6">
        <f>Database!$A12707</f>
        <v/>
      </c>
      <c r="B10622">
        <f>IF(VLOOKUP(Table7[[#This Row],[Date]],Database!$A:$C,MATCH($B$1,Database!$A$1:$C$1,),)=0,#N/A,VLOOKUP(Table7[[#This Row],[Date]],Database!$A:$C,MATCH($B$1,Database!$A$1:$C$1,),))</f>
        <v/>
      </c>
      <c r="C10622">
        <f>IF(VLOOKUP(Table7[[#This Row],[Date]],Database!$A:$C,MATCH($C$1,Database!$A$1:$C$1,),)=0,#N/A,VLOOKUP(Table7[[#This Row],[Date]],Database!$A:$C,MATCH($C$1,Database!$A$1:$C$1,),))</f>
        <v/>
      </c>
      <c r="D10622">
        <f>IFERROR(Table7[[#This Row],[United States 10y]]-Table7[[#This Row],[United States 3y]],#N/A)</f>
        <v/>
      </c>
    </row>
    <row r="10623">
      <c r="A10623" s="6">
        <f>Database!$A12708</f>
        <v/>
      </c>
      <c r="B10623">
        <f>IF(VLOOKUP(Table7[[#This Row],[Date]],Database!$A:$C,MATCH($B$1,Database!$A$1:$C$1,),)=0,#N/A,VLOOKUP(Table7[[#This Row],[Date]],Database!$A:$C,MATCH($B$1,Database!$A$1:$C$1,),))</f>
        <v/>
      </c>
      <c r="C10623">
        <f>IF(VLOOKUP(Table7[[#This Row],[Date]],Database!$A:$C,MATCH($C$1,Database!$A$1:$C$1,),)=0,#N/A,VLOOKUP(Table7[[#This Row],[Date]],Database!$A:$C,MATCH($C$1,Database!$A$1:$C$1,),))</f>
        <v/>
      </c>
      <c r="D10623">
        <f>IFERROR(Table7[[#This Row],[United States 10y]]-Table7[[#This Row],[United States 3y]],#N/A)</f>
        <v/>
      </c>
    </row>
    <row r="10624">
      <c r="A10624" s="6">
        <f>Database!$A12709</f>
        <v/>
      </c>
      <c r="B10624">
        <f>IF(VLOOKUP(Table7[[#This Row],[Date]],Database!$A:$C,MATCH($B$1,Database!$A$1:$C$1,),)=0,#N/A,VLOOKUP(Table7[[#This Row],[Date]],Database!$A:$C,MATCH($B$1,Database!$A$1:$C$1,),))</f>
        <v/>
      </c>
      <c r="C10624">
        <f>IF(VLOOKUP(Table7[[#This Row],[Date]],Database!$A:$C,MATCH($C$1,Database!$A$1:$C$1,),)=0,#N/A,VLOOKUP(Table7[[#This Row],[Date]],Database!$A:$C,MATCH($C$1,Database!$A$1:$C$1,),))</f>
        <v/>
      </c>
      <c r="D10624">
        <f>IFERROR(Table7[[#This Row],[United States 10y]]-Table7[[#This Row],[United States 3y]],#N/A)</f>
        <v/>
      </c>
    </row>
    <row r="10625">
      <c r="A10625" s="6">
        <f>Database!$A12710</f>
        <v/>
      </c>
      <c r="B10625">
        <f>IF(VLOOKUP(Table7[[#This Row],[Date]],Database!$A:$C,MATCH($B$1,Database!$A$1:$C$1,),)=0,#N/A,VLOOKUP(Table7[[#This Row],[Date]],Database!$A:$C,MATCH($B$1,Database!$A$1:$C$1,),))</f>
        <v/>
      </c>
      <c r="C10625">
        <f>IF(VLOOKUP(Table7[[#This Row],[Date]],Database!$A:$C,MATCH($C$1,Database!$A$1:$C$1,),)=0,#N/A,VLOOKUP(Table7[[#This Row],[Date]],Database!$A:$C,MATCH($C$1,Database!$A$1:$C$1,),))</f>
        <v/>
      </c>
      <c r="D10625">
        <f>IFERROR(Table7[[#This Row],[United States 10y]]-Table7[[#This Row],[United States 3y]],#N/A)</f>
        <v/>
      </c>
    </row>
    <row r="10626">
      <c r="A10626" s="6">
        <f>Database!$A12711</f>
        <v/>
      </c>
      <c r="B10626">
        <f>IF(VLOOKUP(Table7[[#This Row],[Date]],Database!$A:$C,MATCH($B$1,Database!$A$1:$C$1,),)=0,#N/A,VLOOKUP(Table7[[#This Row],[Date]],Database!$A:$C,MATCH($B$1,Database!$A$1:$C$1,),))</f>
        <v/>
      </c>
      <c r="C10626">
        <f>IF(VLOOKUP(Table7[[#This Row],[Date]],Database!$A:$C,MATCH($C$1,Database!$A$1:$C$1,),)=0,#N/A,VLOOKUP(Table7[[#This Row],[Date]],Database!$A:$C,MATCH($C$1,Database!$A$1:$C$1,),))</f>
        <v/>
      </c>
      <c r="D10626">
        <f>IFERROR(Table7[[#This Row],[United States 10y]]-Table7[[#This Row],[United States 3y]],#N/A)</f>
        <v/>
      </c>
    </row>
    <row r="10627">
      <c r="A10627" s="6">
        <f>Database!$A12712</f>
        <v/>
      </c>
      <c r="B10627">
        <f>IF(VLOOKUP(Table7[[#This Row],[Date]],Database!$A:$C,MATCH($B$1,Database!$A$1:$C$1,),)=0,#N/A,VLOOKUP(Table7[[#This Row],[Date]],Database!$A:$C,MATCH($B$1,Database!$A$1:$C$1,),))</f>
        <v/>
      </c>
      <c r="C10627">
        <f>IF(VLOOKUP(Table7[[#This Row],[Date]],Database!$A:$C,MATCH($C$1,Database!$A$1:$C$1,),)=0,#N/A,VLOOKUP(Table7[[#This Row],[Date]],Database!$A:$C,MATCH($C$1,Database!$A$1:$C$1,),))</f>
        <v/>
      </c>
      <c r="D10627">
        <f>IFERROR(Table7[[#This Row],[United States 10y]]-Table7[[#This Row],[United States 3y]],#N/A)</f>
        <v/>
      </c>
    </row>
    <row r="10628">
      <c r="A10628" s="6">
        <f>Database!$A12713</f>
        <v/>
      </c>
      <c r="B10628">
        <f>IF(VLOOKUP(Table7[[#This Row],[Date]],Database!$A:$C,MATCH($B$1,Database!$A$1:$C$1,),)=0,#N/A,VLOOKUP(Table7[[#This Row],[Date]],Database!$A:$C,MATCH($B$1,Database!$A$1:$C$1,),))</f>
        <v/>
      </c>
      <c r="C10628">
        <f>IF(VLOOKUP(Table7[[#This Row],[Date]],Database!$A:$C,MATCH($C$1,Database!$A$1:$C$1,),)=0,#N/A,VLOOKUP(Table7[[#This Row],[Date]],Database!$A:$C,MATCH($C$1,Database!$A$1:$C$1,),))</f>
        <v/>
      </c>
      <c r="D10628">
        <f>IFERROR(Table7[[#This Row],[United States 10y]]-Table7[[#This Row],[United States 3y]],#N/A)</f>
        <v/>
      </c>
    </row>
    <row r="10629">
      <c r="A10629" s="6">
        <f>Database!$A12714</f>
        <v/>
      </c>
      <c r="B10629">
        <f>IF(VLOOKUP(Table7[[#This Row],[Date]],Database!$A:$C,MATCH($B$1,Database!$A$1:$C$1,),)=0,#N/A,VLOOKUP(Table7[[#This Row],[Date]],Database!$A:$C,MATCH($B$1,Database!$A$1:$C$1,),))</f>
        <v/>
      </c>
      <c r="C10629">
        <f>IF(VLOOKUP(Table7[[#This Row],[Date]],Database!$A:$C,MATCH($C$1,Database!$A$1:$C$1,),)=0,#N/A,VLOOKUP(Table7[[#This Row],[Date]],Database!$A:$C,MATCH($C$1,Database!$A$1:$C$1,),))</f>
        <v/>
      </c>
      <c r="D10629">
        <f>IFERROR(Table7[[#This Row],[United States 10y]]-Table7[[#This Row],[United States 3y]],#N/A)</f>
        <v/>
      </c>
    </row>
    <row r="10630">
      <c r="A10630" s="6">
        <f>Database!$A12715</f>
        <v/>
      </c>
      <c r="B10630">
        <f>IF(VLOOKUP(Table7[[#This Row],[Date]],Database!$A:$C,MATCH($B$1,Database!$A$1:$C$1,),)=0,#N/A,VLOOKUP(Table7[[#This Row],[Date]],Database!$A:$C,MATCH($B$1,Database!$A$1:$C$1,),))</f>
        <v/>
      </c>
      <c r="C10630">
        <f>IF(VLOOKUP(Table7[[#This Row],[Date]],Database!$A:$C,MATCH($C$1,Database!$A$1:$C$1,),)=0,#N/A,VLOOKUP(Table7[[#This Row],[Date]],Database!$A:$C,MATCH($C$1,Database!$A$1:$C$1,),))</f>
        <v/>
      </c>
      <c r="D10630">
        <f>IFERROR(Table7[[#This Row],[United States 10y]]-Table7[[#This Row],[United States 3y]],#N/A)</f>
        <v/>
      </c>
    </row>
    <row r="10631">
      <c r="A10631" s="6">
        <f>Database!$A12716</f>
        <v/>
      </c>
      <c r="B10631">
        <f>IF(VLOOKUP(Table7[[#This Row],[Date]],Database!$A:$C,MATCH($B$1,Database!$A$1:$C$1,),)=0,#N/A,VLOOKUP(Table7[[#This Row],[Date]],Database!$A:$C,MATCH($B$1,Database!$A$1:$C$1,),))</f>
        <v/>
      </c>
      <c r="C10631">
        <f>IF(VLOOKUP(Table7[[#This Row],[Date]],Database!$A:$C,MATCH($C$1,Database!$A$1:$C$1,),)=0,#N/A,VLOOKUP(Table7[[#This Row],[Date]],Database!$A:$C,MATCH($C$1,Database!$A$1:$C$1,),))</f>
        <v/>
      </c>
      <c r="D10631">
        <f>IFERROR(Table7[[#This Row],[United States 10y]]-Table7[[#This Row],[United States 3y]],#N/A)</f>
        <v/>
      </c>
    </row>
    <row r="10632">
      <c r="A10632" s="6">
        <f>Database!$A12717</f>
        <v/>
      </c>
      <c r="B10632">
        <f>IF(VLOOKUP(Table7[[#This Row],[Date]],Database!$A:$C,MATCH($B$1,Database!$A$1:$C$1,),)=0,#N/A,VLOOKUP(Table7[[#This Row],[Date]],Database!$A:$C,MATCH($B$1,Database!$A$1:$C$1,),))</f>
        <v/>
      </c>
      <c r="C10632">
        <f>IF(VLOOKUP(Table7[[#This Row],[Date]],Database!$A:$C,MATCH($C$1,Database!$A$1:$C$1,),)=0,#N/A,VLOOKUP(Table7[[#This Row],[Date]],Database!$A:$C,MATCH($C$1,Database!$A$1:$C$1,),))</f>
        <v/>
      </c>
      <c r="D10632">
        <f>IFERROR(Table7[[#This Row],[United States 10y]]-Table7[[#This Row],[United States 3y]],#N/A)</f>
        <v/>
      </c>
    </row>
    <row r="10633">
      <c r="A10633" s="6">
        <f>Database!$A12718</f>
        <v/>
      </c>
      <c r="B10633">
        <f>IF(VLOOKUP(Table7[[#This Row],[Date]],Database!$A:$C,MATCH($B$1,Database!$A$1:$C$1,),)=0,#N/A,VLOOKUP(Table7[[#This Row],[Date]],Database!$A:$C,MATCH($B$1,Database!$A$1:$C$1,),))</f>
        <v/>
      </c>
      <c r="C10633">
        <f>IF(VLOOKUP(Table7[[#This Row],[Date]],Database!$A:$C,MATCH($C$1,Database!$A$1:$C$1,),)=0,#N/A,VLOOKUP(Table7[[#This Row],[Date]],Database!$A:$C,MATCH($C$1,Database!$A$1:$C$1,),))</f>
        <v/>
      </c>
      <c r="D10633">
        <f>IFERROR(Table7[[#This Row],[United States 10y]]-Table7[[#This Row],[United States 3y]],#N/A)</f>
        <v/>
      </c>
    </row>
    <row r="10634">
      <c r="A10634" s="6">
        <f>Database!$A12719</f>
        <v/>
      </c>
      <c r="B10634">
        <f>IF(VLOOKUP(Table7[[#This Row],[Date]],Database!$A:$C,MATCH($B$1,Database!$A$1:$C$1,),)=0,#N/A,VLOOKUP(Table7[[#This Row],[Date]],Database!$A:$C,MATCH($B$1,Database!$A$1:$C$1,),))</f>
        <v/>
      </c>
      <c r="C10634">
        <f>IF(VLOOKUP(Table7[[#This Row],[Date]],Database!$A:$C,MATCH($C$1,Database!$A$1:$C$1,),)=0,#N/A,VLOOKUP(Table7[[#This Row],[Date]],Database!$A:$C,MATCH($C$1,Database!$A$1:$C$1,),))</f>
        <v/>
      </c>
      <c r="D10634">
        <f>IFERROR(Table7[[#This Row],[United States 10y]]-Table7[[#This Row],[United States 3y]],#N/A)</f>
        <v/>
      </c>
    </row>
    <row r="10635">
      <c r="A10635" s="6">
        <f>Database!$A12720</f>
        <v/>
      </c>
      <c r="B10635">
        <f>IF(VLOOKUP(Table7[[#This Row],[Date]],Database!$A:$C,MATCH($B$1,Database!$A$1:$C$1,),)=0,#N/A,VLOOKUP(Table7[[#This Row],[Date]],Database!$A:$C,MATCH($B$1,Database!$A$1:$C$1,),))</f>
        <v/>
      </c>
      <c r="C10635">
        <f>IF(VLOOKUP(Table7[[#This Row],[Date]],Database!$A:$C,MATCH($C$1,Database!$A$1:$C$1,),)=0,#N/A,VLOOKUP(Table7[[#This Row],[Date]],Database!$A:$C,MATCH($C$1,Database!$A$1:$C$1,),))</f>
        <v/>
      </c>
      <c r="D10635">
        <f>IFERROR(Table7[[#This Row],[United States 10y]]-Table7[[#This Row],[United States 3y]],#N/A)</f>
        <v/>
      </c>
    </row>
    <row r="10636">
      <c r="A10636" s="6">
        <f>Database!$A12721</f>
        <v/>
      </c>
      <c r="B10636">
        <f>IF(VLOOKUP(Table7[[#This Row],[Date]],Database!$A:$C,MATCH($B$1,Database!$A$1:$C$1,),)=0,#N/A,VLOOKUP(Table7[[#This Row],[Date]],Database!$A:$C,MATCH($B$1,Database!$A$1:$C$1,),))</f>
        <v/>
      </c>
      <c r="C10636">
        <f>IF(VLOOKUP(Table7[[#This Row],[Date]],Database!$A:$C,MATCH($C$1,Database!$A$1:$C$1,),)=0,#N/A,VLOOKUP(Table7[[#This Row],[Date]],Database!$A:$C,MATCH($C$1,Database!$A$1:$C$1,),))</f>
        <v/>
      </c>
      <c r="D10636">
        <f>IFERROR(Table7[[#This Row],[United States 10y]]-Table7[[#This Row],[United States 3y]],#N/A)</f>
        <v/>
      </c>
    </row>
    <row r="10637">
      <c r="A10637" s="6">
        <f>Database!$A12722</f>
        <v/>
      </c>
      <c r="B10637">
        <f>IF(VLOOKUP(Table7[[#This Row],[Date]],Database!$A:$C,MATCH($B$1,Database!$A$1:$C$1,),)=0,#N/A,VLOOKUP(Table7[[#This Row],[Date]],Database!$A:$C,MATCH($B$1,Database!$A$1:$C$1,),))</f>
        <v/>
      </c>
      <c r="C10637">
        <f>IF(VLOOKUP(Table7[[#This Row],[Date]],Database!$A:$C,MATCH($C$1,Database!$A$1:$C$1,),)=0,#N/A,VLOOKUP(Table7[[#This Row],[Date]],Database!$A:$C,MATCH($C$1,Database!$A$1:$C$1,),))</f>
        <v/>
      </c>
      <c r="D10637">
        <f>IFERROR(Table7[[#This Row],[United States 10y]]-Table7[[#This Row],[United States 3y]],#N/A)</f>
        <v/>
      </c>
    </row>
    <row r="10638">
      <c r="A10638" s="6">
        <f>Database!$A12723</f>
        <v/>
      </c>
      <c r="B10638">
        <f>IF(VLOOKUP(Table7[[#This Row],[Date]],Database!$A:$C,MATCH($B$1,Database!$A$1:$C$1,),)=0,#N/A,VLOOKUP(Table7[[#This Row],[Date]],Database!$A:$C,MATCH($B$1,Database!$A$1:$C$1,),))</f>
        <v/>
      </c>
      <c r="C10638">
        <f>IF(VLOOKUP(Table7[[#This Row],[Date]],Database!$A:$C,MATCH($C$1,Database!$A$1:$C$1,),)=0,#N/A,VLOOKUP(Table7[[#This Row],[Date]],Database!$A:$C,MATCH($C$1,Database!$A$1:$C$1,),))</f>
        <v/>
      </c>
      <c r="D10638">
        <f>IFERROR(Table7[[#This Row],[United States 10y]]-Table7[[#This Row],[United States 3y]],#N/A)</f>
        <v/>
      </c>
    </row>
    <row r="10639">
      <c r="A10639" s="6">
        <f>Database!$A12724</f>
        <v/>
      </c>
      <c r="B10639">
        <f>IF(VLOOKUP(Table7[[#This Row],[Date]],Database!$A:$C,MATCH($B$1,Database!$A$1:$C$1,),)=0,#N/A,VLOOKUP(Table7[[#This Row],[Date]],Database!$A:$C,MATCH($B$1,Database!$A$1:$C$1,),))</f>
        <v/>
      </c>
      <c r="C10639">
        <f>IF(VLOOKUP(Table7[[#This Row],[Date]],Database!$A:$C,MATCH($C$1,Database!$A$1:$C$1,),)=0,#N/A,VLOOKUP(Table7[[#This Row],[Date]],Database!$A:$C,MATCH($C$1,Database!$A$1:$C$1,),))</f>
        <v/>
      </c>
      <c r="D10639">
        <f>IFERROR(Table7[[#This Row],[United States 10y]]-Table7[[#This Row],[United States 3y]],#N/A)</f>
        <v/>
      </c>
    </row>
    <row r="10640">
      <c r="A10640" s="6">
        <f>Database!$A12725</f>
        <v/>
      </c>
      <c r="B10640">
        <f>IF(VLOOKUP(Table7[[#This Row],[Date]],Database!$A:$C,MATCH($B$1,Database!$A$1:$C$1,),)=0,#N/A,VLOOKUP(Table7[[#This Row],[Date]],Database!$A:$C,MATCH($B$1,Database!$A$1:$C$1,),))</f>
        <v/>
      </c>
      <c r="C10640">
        <f>IF(VLOOKUP(Table7[[#This Row],[Date]],Database!$A:$C,MATCH($C$1,Database!$A$1:$C$1,),)=0,#N/A,VLOOKUP(Table7[[#This Row],[Date]],Database!$A:$C,MATCH($C$1,Database!$A$1:$C$1,),))</f>
        <v/>
      </c>
      <c r="D10640">
        <f>IFERROR(Table7[[#This Row],[United States 10y]]-Table7[[#This Row],[United States 3y]],#N/A)</f>
        <v/>
      </c>
    </row>
    <row r="10641">
      <c r="A10641" s="6">
        <f>Database!$A12726</f>
        <v/>
      </c>
      <c r="B10641">
        <f>IF(VLOOKUP(Table7[[#This Row],[Date]],Database!$A:$C,MATCH($B$1,Database!$A$1:$C$1,),)=0,#N/A,VLOOKUP(Table7[[#This Row],[Date]],Database!$A:$C,MATCH($B$1,Database!$A$1:$C$1,),))</f>
        <v/>
      </c>
      <c r="C10641">
        <f>IF(VLOOKUP(Table7[[#This Row],[Date]],Database!$A:$C,MATCH($C$1,Database!$A$1:$C$1,),)=0,#N/A,VLOOKUP(Table7[[#This Row],[Date]],Database!$A:$C,MATCH($C$1,Database!$A$1:$C$1,),))</f>
        <v/>
      </c>
      <c r="D10641">
        <f>IFERROR(Table7[[#This Row],[United States 10y]]-Table7[[#This Row],[United States 3y]],#N/A)</f>
        <v/>
      </c>
    </row>
    <row r="10642">
      <c r="A10642" s="6">
        <f>Database!$A12727</f>
        <v/>
      </c>
      <c r="B10642">
        <f>IF(VLOOKUP(Table7[[#This Row],[Date]],Database!$A:$C,MATCH($B$1,Database!$A$1:$C$1,),)=0,#N/A,VLOOKUP(Table7[[#This Row],[Date]],Database!$A:$C,MATCH($B$1,Database!$A$1:$C$1,),))</f>
        <v/>
      </c>
      <c r="C10642">
        <f>IF(VLOOKUP(Table7[[#This Row],[Date]],Database!$A:$C,MATCH($C$1,Database!$A$1:$C$1,),)=0,#N/A,VLOOKUP(Table7[[#This Row],[Date]],Database!$A:$C,MATCH($C$1,Database!$A$1:$C$1,),))</f>
        <v/>
      </c>
      <c r="D10642">
        <f>IFERROR(Table7[[#This Row],[United States 10y]]-Table7[[#This Row],[United States 3y]],#N/A)</f>
        <v/>
      </c>
    </row>
    <row r="10643">
      <c r="A10643" s="6">
        <f>Database!$A12728</f>
        <v/>
      </c>
      <c r="B10643">
        <f>IF(VLOOKUP(Table7[[#This Row],[Date]],Database!$A:$C,MATCH($B$1,Database!$A$1:$C$1,),)=0,#N/A,VLOOKUP(Table7[[#This Row],[Date]],Database!$A:$C,MATCH($B$1,Database!$A$1:$C$1,),))</f>
        <v/>
      </c>
      <c r="C10643">
        <f>IF(VLOOKUP(Table7[[#This Row],[Date]],Database!$A:$C,MATCH($C$1,Database!$A$1:$C$1,),)=0,#N/A,VLOOKUP(Table7[[#This Row],[Date]],Database!$A:$C,MATCH($C$1,Database!$A$1:$C$1,),))</f>
        <v/>
      </c>
      <c r="D10643">
        <f>IFERROR(Table7[[#This Row],[United States 10y]]-Table7[[#This Row],[United States 3y]],#N/A)</f>
        <v/>
      </c>
    </row>
    <row r="10644">
      <c r="A10644" s="6">
        <f>Database!$A12729</f>
        <v/>
      </c>
      <c r="B10644">
        <f>IF(VLOOKUP(Table7[[#This Row],[Date]],Database!$A:$C,MATCH($B$1,Database!$A$1:$C$1,),)=0,#N/A,VLOOKUP(Table7[[#This Row],[Date]],Database!$A:$C,MATCH($B$1,Database!$A$1:$C$1,),))</f>
        <v/>
      </c>
      <c r="C10644">
        <f>IF(VLOOKUP(Table7[[#This Row],[Date]],Database!$A:$C,MATCH($C$1,Database!$A$1:$C$1,),)=0,#N/A,VLOOKUP(Table7[[#This Row],[Date]],Database!$A:$C,MATCH($C$1,Database!$A$1:$C$1,),))</f>
        <v/>
      </c>
      <c r="D10644">
        <f>IFERROR(Table7[[#This Row],[United States 10y]]-Table7[[#This Row],[United States 3y]],#N/A)</f>
        <v/>
      </c>
    </row>
    <row r="10645">
      <c r="A10645" s="6">
        <f>Database!$A12730</f>
        <v/>
      </c>
      <c r="B10645">
        <f>IF(VLOOKUP(Table7[[#This Row],[Date]],Database!$A:$C,MATCH($B$1,Database!$A$1:$C$1,),)=0,#N/A,VLOOKUP(Table7[[#This Row],[Date]],Database!$A:$C,MATCH($B$1,Database!$A$1:$C$1,),))</f>
        <v/>
      </c>
      <c r="C10645">
        <f>IF(VLOOKUP(Table7[[#This Row],[Date]],Database!$A:$C,MATCH($C$1,Database!$A$1:$C$1,),)=0,#N/A,VLOOKUP(Table7[[#This Row],[Date]],Database!$A:$C,MATCH($C$1,Database!$A$1:$C$1,),))</f>
        <v/>
      </c>
      <c r="D10645">
        <f>IFERROR(Table7[[#This Row],[United States 10y]]-Table7[[#This Row],[United States 3y]],#N/A)</f>
        <v/>
      </c>
    </row>
    <row r="10646">
      <c r="A10646" s="6">
        <f>Database!$A12731</f>
        <v/>
      </c>
      <c r="B10646">
        <f>IF(VLOOKUP(Table7[[#This Row],[Date]],Database!$A:$C,MATCH($B$1,Database!$A$1:$C$1,),)=0,#N/A,VLOOKUP(Table7[[#This Row],[Date]],Database!$A:$C,MATCH($B$1,Database!$A$1:$C$1,),))</f>
        <v/>
      </c>
      <c r="C10646">
        <f>IF(VLOOKUP(Table7[[#This Row],[Date]],Database!$A:$C,MATCH($C$1,Database!$A$1:$C$1,),)=0,#N/A,VLOOKUP(Table7[[#This Row],[Date]],Database!$A:$C,MATCH($C$1,Database!$A$1:$C$1,),))</f>
        <v/>
      </c>
      <c r="D10646">
        <f>IFERROR(Table7[[#This Row],[United States 10y]]-Table7[[#This Row],[United States 3y]],#N/A)</f>
        <v/>
      </c>
    </row>
    <row r="10647">
      <c r="A10647" s="6">
        <f>Database!$A12732</f>
        <v/>
      </c>
      <c r="B10647">
        <f>IF(VLOOKUP(Table7[[#This Row],[Date]],Database!$A:$C,MATCH($B$1,Database!$A$1:$C$1,),)=0,#N/A,VLOOKUP(Table7[[#This Row],[Date]],Database!$A:$C,MATCH($B$1,Database!$A$1:$C$1,),))</f>
        <v/>
      </c>
      <c r="C10647">
        <f>IF(VLOOKUP(Table7[[#This Row],[Date]],Database!$A:$C,MATCH($C$1,Database!$A$1:$C$1,),)=0,#N/A,VLOOKUP(Table7[[#This Row],[Date]],Database!$A:$C,MATCH($C$1,Database!$A$1:$C$1,),))</f>
        <v/>
      </c>
      <c r="D10647">
        <f>IFERROR(Table7[[#This Row],[United States 10y]]-Table7[[#This Row],[United States 3y]],#N/A)</f>
        <v/>
      </c>
    </row>
    <row r="10648">
      <c r="A10648" s="6">
        <f>Database!$A12733</f>
        <v/>
      </c>
      <c r="B10648">
        <f>IF(VLOOKUP(Table7[[#This Row],[Date]],Database!$A:$C,MATCH($B$1,Database!$A$1:$C$1,),)=0,#N/A,VLOOKUP(Table7[[#This Row],[Date]],Database!$A:$C,MATCH($B$1,Database!$A$1:$C$1,),))</f>
        <v/>
      </c>
      <c r="C10648">
        <f>IF(VLOOKUP(Table7[[#This Row],[Date]],Database!$A:$C,MATCH($C$1,Database!$A$1:$C$1,),)=0,#N/A,VLOOKUP(Table7[[#This Row],[Date]],Database!$A:$C,MATCH($C$1,Database!$A$1:$C$1,),))</f>
        <v/>
      </c>
      <c r="D10648">
        <f>IFERROR(Table7[[#This Row],[United States 10y]]-Table7[[#This Row],[United States 3y]],#N/A)</f>
        <v/>
      </c>
    </row>
    <row r="10649">
      <c r="A10649" s="6">
        <f>Database!$A12734</f>
        <v/>
      </c>
      <c r="B10649">
        <f>IF(VLOOKUP(Table7[[#This Row],[Date]],Database!$A:$C,MATCH($B$1,Database!$A$1:$C$1,),)=0,#N/A,VLOOKUP(Table7[[#This Row],[Date]],Database!$A:$C,MATCH($B$1,Database!$A$1:$C$1,),))</f>
        <v/>
      </c>
      <c r="C10649">
        <f>IF(VLOOKUP(Table7[[#This Row],[Date]],Database!$A:$C,MATCH($C$1,Database!$A$1:$C$1,),)=0,#N/A,VLOOKUP(Table7[[#This Row],[Date]],Database!$A:$C,MATCH($C$1,Database!$A$1:$C$1,),))</f>
        <v/>
      </c>
      <c r="D10649">
        <f>IFERROR(Table7[[#This Row],[United States 10y]]-Table7[[#This Row],[United States 3y]],#N/A)</f>
        <v/>
      </c>
    </row>
    <row r="10650">
      <c r="A10650" s="6">
        <f>Database!$A12735</f>
        <v/>
      </c>
      <c r="B10650">
        <f>IF(VLOOKUP(Table7[[#This Row],[Date]],Database!$A:$C,MATCH($B$1,Database!$A$1:$C$1,),)=0,#N/A,VLOOKUP(Table7[[#This Row],[Date]],Database!$A:$C,MATCH($B$1,Database!$A$1:$C$1,),))</f>
        <v/>
      </c>
      <c r="C10650">
        <f>IF(VLOOKUP(Table7[[#This Row],[Date]],Database!$A:$C,MATCH($C$1,Database!$A$1:$C$1,),)=0,#N/A,VLOOKUP(Table7[[#This Row],[Date]],Database!$A:$C,MATCH($C$1,Database!$A$1:$C$1,),))</f>
        <v/>
      </c>
      <c r="D10650">
        <f>IFERROR(Table7[[#This Row],[United States 10y]]-Table7[[#This Row],[United States 3y]],#N/A)</f>
        <v/>
      </c>
    </row>
    <row r="10651">
      <c r="A10651" s="6">
        <f>Database!$A12736</f>
        <v/>
      </c>
      <c r="B10651">
        <f>IF(VLOOKUP(Table7[[#This Row],[Date]],Database!$A:$C,MATCH($B$1,Database!$A$1:$C$1,),)=0,#N/A,VLOOKUP(Table7[[#This Row],[Date]],Database!$A:$C,MATCH($B$1,Database!$A$1:$C$1,),))</f>
        <v/>
      </c>
      <c r="C10651">
        <f>IF(VLOOKUP(Table7[[#This Row],[Date]],Database!$A:$C,MATCH($C$1,Database!$A$1:$C$1,),)=0,#N/A,VLOOKUP(Table7[[#This Row],[Date]],Database!$A:$C,MATCH($C$1,Database!$A$1:$C$1,),))</f>
        <v/>
      </c>
      <c r="D10651">
        <f>IFERROR(Table7[[#This Row],[United States 10y]]-Table7[[#This Row],[United States 3y]],#N/A)</f>
        <v/>
      </c>
    </row>
    <row r="10652">
      <c r="A10652" s="6">
        <f>Database!$A12737</f>
        <v/>
      </c>
      <c r="B10652">
        <f>IF(VLOOKUP(Table7[[#This Row],[Date]],Database!$A:$C,MATCH($B$1,Database!$A$1:$C$1,),)=0,#N/A,VLOOKUP(Table7[[#This Row],[Date]],Database!$A:$C,MATCH($B$1,Database!$A$1:$C$1,),))</f>
        <v/>
      </c>
      <c r="C10652">
        <f>IF(VLOOKUP(Table7[[#This Row],[Date]],Database!$A:$C,MATCH($C$1,Database!$A$1:$C$1,),)=0,#N/A,VLOOKUP(Table7[[#This Row],[Date]],Database!$A:$C,MATCH($C$1,Database!$A$1:$C$1,),))</f>
        <v/>
      </c>
      <c r="D10652">
        <f>IFERROR(Table7[[#This Row],[United States 10y]]-Table7[[#This Row],[United States 3y]],#N/A)</f>
        <v/>
      </c>
    </row>
    <row r="10653">
      <c r="A10653" s="6">
        <f>Database!$A12738</f>
        <v/>
      </c>
      <c r="B10653">
        <f>IF(VLOOKUP(Table7[[#This Row],[Date]],Database!$A:$C,MATCH($B$1,Database!$A$1:$C$1,),)=0,#N/A,VLOOKUP(Table7[[#This Row],[Date]],Database!$A:$C,MATCH($B$1,Database!$A$1:$C$1,),))</f>
        <v/>
      </c>
      <c r="C10653">
        <f>IF(VLOOKUP(Table7[[#This Row],[Date]],Database!$A:$C,MATCH($C$1,Database!$A$1:$C$1,),)=0,#N/A,VLOOKUP(Table7[[#This Row],[Date]],Database!$A:$C,MATCH($C$1,Database!$A$1:$C$1,),))</f>
        <v/>
      </c>
      <c r="D10653">
        <f>IFERROR(Table7[[#This Row],[United States 10y]]-Table7[[#This Row],[United States 3y]],#N/A)</f>
        <v/>
      </c>
    </row>
    <row r="10654">
      <c r="A10654" s="6">
        <f>Database!$A12739</f>
        <v/>
      </c>
      <c r="B10654">
        <f>IF(VLOOKUP(Table7[[#This Row],[Date]],Database!$A:$C,MATCH($B$1,Database!$A$1:$C$1,),)=0,#N/A,VLOOKUP(Table7[[#This Row],[Date]],Database!$A:$C,MATCH($B$1,Database!$A$1:$C$1,),))</f>
        <v/>
      </c>
      <c r="C10654">
        <f>IF(VLOOKUP(Table7[[#This Row],[Date]],Database!$A:$C,MATCH($C$1,Database!$A$1:$C$1,),)=0,#N/A,VLOOKUP(Table7[[#This Row],[Date]],Database!$A:$C,MATCH($C$1,Database!$A$1:$C$1,),))</f>
        <v/>
      </c>
      <c r="D10654">
        <f>IFERROR(Table7[[#This Row],[United States 10y]]-Table7[[#This Row],[United States 3y]],#N/A)</f>
        <v/>
      </c>
    </row>
    <row r="10655">
      <c r="A10655" s="6">
        <f>Database!$A12740</f>
        <v/>
      </c>
      <c r="B10655">
        <f>IF(VLOOKUP(Table7[[#This Row],[Date]],Database!$A:$C,MATCH($B$1,Database!$A$1:$C$1,),)=0,#N/A,VLOOKUP(Table7[[#This Row],[Date]],Database!$A:$C,MATCH($B$1,Database!$A$1:$C$1,),))</f>
        <v/>
      </c>
      <c r="C10655">
        <f>IF(VLOOKUP(Table7[[#This Row],[Date]],Database!$A:$C,MATCH($C$1,Database!$A$1:$C$1,),)=0,#N/A,VLOOKUP(Table7[[#This Row],[Date]],Database!$A:$C,MATCH($C$1,Database!$A$1:$C$1,),))</f>
        <v/>
      </c>
      <c r="D10655">
        <f>IFERROR(Table7[[#This Row],[United States 10y]]-Table7[[#This Row],[United States 3y]],#N/A)</f>
        <v/>
      </c>
    </row>
    <row r="10656">
      <c r="A10656" s="6">
        <f>Database!$A12741</f>
        <v/>
      </c>
      <c r="B10656">
        <f>IF(VLOOKUP(Table7[[#This Row],[Date]],Database!$A:$C,MATCH($B$1,Database!$A$1:$C$1,),)=0,#N/A,VLOOKUP(Table7[[#This Row],[Date]],Database!$A:$C,MATCH($B$1,Database!$A$1:$C$1,),))</f>
        <v/>
      </c>
      <c r="C10656">
        <f>IF(VLOOKUP(Table7[[#This Row],[Date]],Database!$A:$C,MATCH($C$1,Database!$A$1:$C$1,),)=0,#N/A,VLOOKUP(Table7[[#This Row],[Date]],Database!$A:$C,MATCH($C$1,Database!$A$1:$C$1,),))</f>
        <v/>
      </c>
      <c r="D10656">
        <f>IFERROR(Table7[[#This Row],[United States 10y]]-Table7[[#This Row],[United States 3y]],#N/A)</f>
        <v/>
      </c>
    </row>
    <row r="10657">
      <c r="A10657" s="6">
        <f>Database!$A12742</f>
        <v/>
      </c>
      <c r="B10657">
        <f>IF(VLOOKUP(Table7[[#This Row],[Date]],Database!$A:$C,MATCH($B$1,Database!$A$1:$C$1,),)=0,#N/A,VLOOKUP(Table7[[#This Row],[Date]],Database!$A:$C,MATCH($B$1,Database!$A$1:$C$1,),))</f>
        <v/>
      </c>
      <c r="C10657">
        <f>IF(VLOOKUP(Table7[[#This Row],[Date]],Database!$A:$C,MATCH($C$1,Database!$A$1:$C$1,),)=0,#N/A,VLOOKUP(Table7[[#This Row],[Date]],Database!$A:$C,MATCH($C$1,Database!$A$1:$C$1,),))</f>
        <v/>
      </c>
      <c r="D10657">
        <f>IFERROR(Table7[[#This Row],[United States 10y]]-Table7[[#This Row],[United States 3y]],#N/A)</f>
        <v/>
      </c>
    </row>
    <row r="10658">
      <c r="A10658" s="6">
        <f>Database!$A12743</f>
        <v/>
      </c>
      <c r="B10658">
        <f>IF(VLOOKUP(Table7[[#This Row],[Date]],Database!$A:$C,MATCH($B$1,Database!$A$1:$C$1,),)=0,#N/A,VLOOKUP(Table7[[#This Row],[Date]],Database!$A:$C,MATCH($B$1,Database!$A$1:$C$1,),))</f>
        <v/>
      </c>
      <c r="C10658">
        <f>IF(VLOOKUP(Table7[[#This Row],[Date]],Database!$A:$C,MATCH($C$1,Database!$A$1:$C$1,),)=0,#N/A,VLOOKUP(Table7[[#This Row],[Date]],Database!$A:$C,MATCH($C$1,Database!$A$1:$C$1,),))</f>
        <v/>
      </c>
      <c r="D10658">
        <f>IFERROR(Table7[[#This Row],[United States 10y]]-Table7[[#This Row],[United States 3y]],#N/A)</f>
        <v/>
      </c>
    </row>
    <row r="10659">
      <c r="A10659" s="6">
        <f>Database!$A12744</f>
        <v/>
      </c>
      <c r="B10659">
        <f>IF(VLOOKUP(Table7[[#This Row],[Date]],Database!$A:$C,MATCH($B$1,Database!$A$1:$C$1,),)=0,#N/A,VLOOKUP(Table7[[#This Row],[Date]],Database!$A:$C,MATCH($B$1,Database!$A$1:$C$1,),))</f>
        <v/>
      </c>
      <c r="C10659">
        <f>IF(VLOOKUP(Table7[[#This Row],[Date]],Database!$A:$C,MATCH($C$1,Database!$A$1:$C$1,),)=0,#N/A,VLOOKUP(Table7[[#This Row],[Date]],Database!$A:$C,MATCH($C$1,Database!$A$1:$C$1,),))</f>
        <v/>
      </c>
      <c r="D10659">
        <f>IFERROR(Table7[[#This Row],[United States 10y]]-Table7[[#This Row],[United States 3y]],#N/A)</f>
        <v/>
      </c>
    </row>
    <row r="10660">
      <c r="A10660" s="6">
        <f>Database!$A12745</f>
        <v/>
      </c>
      <c r="B10660">
        <f>IF(VLOOKUP(Table7[[#This Row],[Date]],Database!$A:$C,MATCH($B$1,Database!$A$1:$C$1,),)=0,#N/A,VLOOKUP(Table7[[#This Row],[Date]],Database!$A:$C,MATCH($B$1,Database!$A$1:$C$1,),))</f>
        <v/>
      </c>
      <c r="C10660">
        <f>IF(VLOOKUP(Table7[[#This Row],[Date]],Database!$A:$C,MATCH($C$1,Database!$A$1:$C$1,),)=0,#N/A,VLOOKUP(Table7[[#This Row],[Date]],Database!$A:$C,MATCH($C$1,Database!$A$1:$C$1,),))</f>
        <v/>
      </c>
      <c r="D10660">
        <f>IFERROR(Table7[[#This Row],[United States 10y]]-Table7[[#This Row],[United States 3y]],#N/A)</f>
        <v/>
      </c>
    </row>
    <row r="10661">
      <c r="A10661" s="6">
        <f>Database!$A12746</f>
        <v/>
      </c>
      <c r="B10661">
        <f>IF(VLOOKUP(Table7[[#This Row],[Date]],Database!$A:$C,MATCH($B$1,Database!$A$1:$C$1,),)=0,#N/A,VLOOKUP(Table7[[#This Row],[Date]],Database!$A:$C,MATCH($B$1,Database!$A$1:$C$1,),))</f>
        <v/>
      </c>
      <c r="C10661">
        <f>IF(VLOOKUP(Table7[[#This Row],[Date]],Database!$A:$C,MATCH($C$1,Database!$A$1:$C$1,),)=0,#N/A,VLOOKUP(Table7[[#This Row],[Date]],Database!$A:$C,MATCH($C$1,Database!$A$1:$C$1,),))</f>
        <v/>
      </c>
      <c r="D10661">
        <f>IFERROR(Table7[[#This Row],[United States 10y]]-Table7[[#This Row],[United States 3y]],#N/A)</f>
        <v/>
      </c>
    </row>
    <row r="10662">
      <c r="A10662" s="6">
        <f>Database!$A12747</f>
        <v/>
      </c>
      <c r="B10662">
        <f>IF(VLOOKUP(Table7[[#This Row],[Date]],Database!$A:$C,MATCH($B$1,Database!$A$1:$C$1,),)=0,#N/A,VLOOKUP(Table7[[#This Row],[Date]],Database!$A:$C,MATCH($B$1,Database!$A$1:$C$1,),))</f>
        <v/>
      </c>
      <c r="C10662">
        <f>IF(VLOOKUP(Table7[[#This Row],[Date]],Database!$A:$C,MATCH($C$1,Database!$A$1:$C$1,),)=0,#N/A,VLOOKUP(Table7[[#This Row],[Date]],Database!$A:$C,MATCH($C$1,Database!$A$1:$C$1,),))</f>
        <v/>
      </c>
      <c r="D10662">
        <f>IFERROR(Table7[[#This Row],[United States 10y]]-Table7[[#This Row],[United States 3y]],#N/A)</f>
        <v/>
      </c>
    </row>
    <row r="10663">
      <c r="A10663" s="6">
        <f>Database!$A12748</f>
        <v/>
      </c>
      <c r="B10663">
        <f>IF(VLOOKUP(Table7[[#This Row],[Date]],Database!$A:$C,MATCH($B$1,Database!$A$1:$C$1,),)=0,#N/A,VLOOKUP(Table7[[#This Row],[Date]],Database!$A:$C,MATCH($B$1,Database!$A$1:$C$1,),))</f>
        <v/>
      </c>
      <c r="C10663">
        <f>IF(VLOOKUP(Table7[[#This Row],[Date]],Database!$A:$C,MATCH($C$1,Database!$A$1:$C$1,),)=0,#N/A,VLOOKUP(Table7[[#This Row],[Date]],Database!$A:$C,MATCH($C$1,Database!$A$1:$C$1,),))</f>
        <v/>
      </c>
      <c r="D10663">
        <f>IFERROR(Table7[[#This Row],[United States 10y]]-Table7[[#This Row],[United States 3y]],#N/A)</f>
        <v/>
      </c>
    </row>
    <row r="10664">
      <c r="A10664" s="6">
        <f>Database!$A12749</f>
        <v/>
      </c>
      <c r="B10664">
        <f>IF(VLOOKUP(Table7[[#This Row],[Date]],Database!$A:$C,MATCH($B$1,Database!$A$1:$C$1,),)=0,#N/A,VLOOKUP(Table7[[#This Row],[Date]],Database!$A:$C,MATCH($B$1,Database!$A$1:$C$1,),))</f>
        <v/>
      </c>
      <c r="C10664">
        <f>IF(VLOOKUP(Table7[[#This Row],[Date]],Database!$A:$C,MATCH($C$1,Database!$A$1:$C$1,),)=0,#N/A,VLOOKUP(Table7[[#This Row],[Date]],Database!$A:$C,MATCH($C$1,Database!$A$1:$C$1,),))</f>
        <v/>
      </c>
      <c r="D10664">
        <f>IFERROR(Table7[[#This Row],[United States 10y]]-Table7[[#This Row],[United States 3y]],#N/A)</f>
        <v/>
      </c>
    </row>
    <row r="10665">
      <c r="A10665" s="6">
        <f>Database!$A12750</f>
        <v/>
      </c>
      <c r="B10665">
        <f>IF(VLOOKUP(Table7[[#This Row],[Date]],Database!$A:$C,MATCH($B$1,Database!$A$1:$C$1,),)=0,#N/A,VLOOKUP(Table7[[#This Row],[Date]],Database!$A:$C,MATCH($B$1,Database!$A$1:$C$1,),))</f>
        <v/>
      </c>
      <c r="C10665">
        <f>IF(VLOOKUP(Table7[[#This Row],[Date]],Database!$A:$C,MATCH($C$1,Database!$A$1:$C$1,),)=0,#N/A,VLOOKUP(Table7[[#This Row],[Date]],Database!$A:$C,MATCH($C$1,Database!$A$1:$C$1,),))</f>
        <v/>
      </c>
      <c r="D10665">
        <f>IFERROR(Table7[[#This Row],[United States 10y]]-Table7[[#This Row],[United States 3y]],#N/A)</f>
        <v/>
      </c>
    </row>
    <row r="10666">
      <c r="A10666" s="6">
        <f>Database!$A12751</f>
        <v/>
      </c>
      <c r="B10666">
        <f>IF(VLOOKUP(Table7[[#This Row],[Date]],Database!$A:$C,MATCH($B$1,Database!$A$1:$C$1,),)=0,#N/A,VLOOKUP(Table7[[#This Row],[Date]],Database!$A:$C,MATCH($B$1,Database!$A$1:$C$1,),))</f>
        <v/>
      </c>
      <c r="C10666">
        <f>IF(VLOOKUP(Table7[[#This Row],[Date]],Database!$A:$C,MATCH($C$1,Database!$A$1:$C$1,),)=0,#N/A,VLOOKUP(Table7[[#This Row],[Date]],Database!$A:$C,MATCH($C$1,Database!$A$1:$C$1,),))</f>
        <v/>
      </c>
      <c r="D10666">
        <f>IFERROR(Table7[[#This Row],[United States 10y]]-Table7[[#This Row],[United States 3y]],#N/A)</f>
        <v/>
      </c>
    </row>
    <row r="10667">
      <c r="A10667" s="6">
        <f>Database!$A12752</f>
        <v/>
      </c>
      <c r="B10667">
        <f>IF(VLOOKUP(Table7[[#This Row],[Date]],Database!$A:$C,MATCH($B$1,Database!$A$1:$C$1,),)=0,#N/A,VLOOKUP(Table7[[#This Row],[Date]],Database!$A:$C,MATCH($B$1,Database!$A$1:$C$1,),))</f>
        <v/>
      </c>
      <c r="C10667">
        <f>IF(VLOOKUP(Table7[[#This Row],[Date]],Database!$A:$C,MATCH($C$1,Database!$A$1:$C$1,),)=0,#N/A,VLOOKUP(Table7[[#This Row],[Date]],Database!$A:$C,MATCH($C$1,Database!$A$1:$C$1,),))</f>
        <v/>
      </c>
      <c r="D10667">
        <f>IFERROR(Table7[[#This Row],[United States 10y]]-Table7[[#This Row],[United States 3y]],#N/A)</f>
        <v/>
      </c>
    </row>
    <row r="10668">
      <c r="A10668" s="6">
        <f>Database!$A12753</f>
        <v/>
      </c>
      <c r="B10668">
        <f>IF(VLOOKUP(Table7[[#This Row],[Date]],Database!$A:$C,MATCH($B$1,Database!$A$1:$C$1,),)=0,#N/A,VLOOKUP(Table7[[#This Row],[Date]],Database!$A:$C,MATCH($B$1,Database!$A$1:$C$1,),))</f>
        <v/>
      </c>
      <c r="C10668">
        <f>IF(VLOOKUP(Table7[[#This Row],[Date]],Database!$A:$C,MATCH($C$1,Database!$A$1:$C$1,),)=0,#N/A,VLOOKUP(Table7[[#This Row],[Date]],Database!$A:$C,MATCH($C$1,Database!$A$1:$C$1,),))</f>
        <v/>
      </c>
      <c r="D10668">
        <f>IFERROR(Table7[[#This Row],[United States 10y]]-Table7[[#This Row],[United States 3y]],#N/A)</f>
        <v/>
      </c>
    </row>
    <row r="10669">
      <c r="A10669" s="6">
        <f>Database!$A12754</f>
        <v/>
      </c>
      <c r="B10669">
        <f>IF(VLOOKUP(Table7[[#This Row],[Date]],Database!$A:$C,MATCH($B$1,Database!$A$1:$C$1,),)=0,#N/A,VLOOKUP(Table7[[#This Row],[Date]],Database!$A:$C,MATCH($B$1,Database!$A$1:$C$1,),))</f>
        <v/>
      </c>
      <c r="C10669">
        <f>IF(VLOOKUP(Table7[[#This Row],[Date]],Database!$A:$C,MATCH($C$1,Database!$A$1:$C$1,),)=0,#N/A,VLOOKUP(Table7[[#This Row],[Date]],Database!$A:$C,MATCH($C$1,Database!$A$1:$C$1,),))</f>
        <v/>
      </c>
      <c r="D10669">
        <f>IFERROR(Table7[[#This Row],[United States 10y]]-Table7[[#This Row],[United States 3y]],#N/A)</f>
        <v/>
      </c>
    </row>
    <row r="10670">
      <c r="A10670" s="6">
        <f>Database!$A12755</f>
        <v/>
      </c>
      <c r="B10670">
        <f>IF(VLOOKUP(Table7[[#This Row],[Date]],Database!$A:$C,MATCH($B$1,Database!$A$1:$C$1,),)=0,#N/A,VLOOKUP(Table7[[#This Row],[Date]],Database!$A:$C,MATCH($B$1,Database!$A$1:$C$1,),))</f>
        <v/>
      </c>
      <c r="C10670">
        <f>IF(VLOOKUP(Table7[[#This Row],[Date]],Database!$A:$C,MATCH($C$1,Database!$A$1:$C$1,),)=0,#N/A,VLOOKUP(Table7[[#This Row],[Date]],Database!$A:$C,MATCH($C$1,Database!$A$1:$C$1,),))</f>
        <v/>
      </c>
      <c r="D10670">
        <f>IFERROR(Table7[[#This Row],[United States 10y]]-Table7[[#This Row],[United States 3y]],#N/A)</f>
        <v/>
      </c>
    </row>
    <row r="10671">
      <c r="A10671" s="6">
        <f>Database!$A12756</f>
        <v/>
      </c>
      <c r="B10671">
        <f>IF(VLOOKUP(Table7[[#This Row],[Date]],Database!$A:$C,MATCH($B$1,Database!$A$1:$C$1,),)=0,#N/A,VLOOKUP(Table7[[#This Row],[Date]],Database!$A:$C,MATCH($B$1,Database!$A$1:$C$1,),))</f>
        <v/>
      </c>
      <c r="C10671">
        <f>IF(VLOOKUP(Table7[[#This Row],[Date]],Database!$A:$C,MATCH($C$1,Database!$A$1:$C$1,),)=0,#N/A,VLOOKUP(Table7[[#This Row],[Date]],Database!$A:$C,MATCH($C$1,Database!$A$1:$C$1,),))</f>
        <v/>
      </c>
      <c r="D10671">
        <f>IFERROR(Table7[[#This Row],[United States 10y]]-Table7[[#This Row],[United States 3y]],#N/A)</f>
        <v/>
      </c>
    </row>
    <row r="10672">
      <c r="A10672" s="6">
        <f>Database!$A12757</f>
        <v/>
      </c>
      <c r="B10672">
        <f>IF(VLOOKUP(Table7[[#This Row],[Date]],Database!$A:$C,MATCH($B$1,Database!$A$1:$C$1,),)=0,#N/A,VLOOKUP(Table7[[#This Row],[Date]],Database!$A:$C,MATCH($B$1,Database!$A$1:$C$1,),))</f>
        <v/>
      </c>
      <c r="C10672">
        <f>IF(VLOOKUP(Table7[[#This Row],[Date]],Database!$A:$C,MATCH($C$1,Database!$A$1:$C$1,),)=0,#N/A,VLOOKUP(Table7[[#This Row],[Date]],Database!$A:$C,MATCH($C$1,Database!$A$1:$C$1,),))</f>
        <v/>
      </c>
      <c r="D10672">
        <f>IFERROR(Table7[[#This Row],[United States 10y]]-Table7[[#This Row],[United States 3y]],#N/A)</f>
        <v/>
      </c>
    </row>
    <row r="10673">
      <c r="A10673" s="6">
        <f>Database!$A12758</f>
        <v/>
      </c>
      <c r="B10673">
        <f>IF(VLOOKUP(Table7[[#This Row],[Date]],Database!$A:$C,MATCH($B$1,Database!$A$1:$C$1,),)=0,#N/A,VLOOKUP(Table7[[#This Row],[Date]],Database!$A:$C,MATCH($B$1,Database!$A$1:$C$1,),))</f>
        <v/>
      </c>
      <c r="C10673">
        <f>IF(VLOOKUP(Table7[[#This Row],[Date]],Database!$A:$C,MATCH($C$1,Database!$A$1:$C$1,),)=0,#N/A,VLOOKUP(Table7[[#This Row],[Date]],Database!$A:$C,MATCH($C$1,Database!$A$1:$C$1,),))</f>
        <v/>
      </c>
      <c r="D10673">
        <f>IFERROR(Table7[[#This Row],[United States 10y]]-Table7[[#This Row],[United States 3y]],#N/A)</f>
        <v/>
      </c>
    </row>
    <row r="10674">
      <c r="A10674" s="6">
        <f>Database!$A12759</f>
        <v/>
      </c>
      <c r="B10674">
        <f>IF(VLOOKUP(Table7[[#This Row],[Date]],Database!$A:$C,MATCH($B$1,Database!$A$1:$C$1,),)=0,#N/A,VLOOKUP(Table7[[#This Row],[Date]],Database!$A:$C,MATCH($B$1,Database!$A$1:$C$1,),))</f>
        <v/>
      </c>
      <c r="C10674">
        <f>IF(VLOOKUP(Table7[[#This Row],[Date]],Database!$A:$C,MATCH($C$1,Database!$A$1:$C$1,),)=0,#N/A,VLOOKUP(Table7[[#This Row],[Date]],Database!$A:$C,MATCH($C$1,Database!$A$1:$C$1,),))</f>
        <v/>
      </c>
      <c r="D10674">
        <f>IFERROR(Table7[[#This Row],[United States 10y]]-Table7[[#This Row],[United States 3y]],#N/A)</f>
        <v/>
      </c>
    </row>
    <row r="10675">
      <c r="A10675" s="6">
        <f>Database!$A12760</f>
        <v/>
      </c>
      <c r="B10675">
        <f>IF(VLOOKUP(Table7[[#This Row],[Date]],Database!$A:$C,MATCH($B$1,Database!$A$1:$C$1,),)=0,#N/A,VLOOKUP(Table7[[#This Row],[Date]],Database!$A:$C,MATCH($B$1,Database!$A$1:$C$1,),))</f>
        <v/>
      </c>
      <c r="C10675">
        <f>IF(VLOOKUP(Table7[[#This Row],[Date]],Database!$A:$C,MATCH($C$1,Database!$A$1:$C$1,),)=0,#N/A,VLOOKUP(Table7[[#This Row],[Date]],Database!$A:$C,MATCH($C$1,Database!$A$1:$C$1,),))</f>
        <v/>
      </c>
      <c r="D10675">
        <f>IFERROR(Table7[[#This Row],[United States 10y]]-Table7[[#This Row],[United States 3y]],#N/A)</f>
        <v/>
      </c>
    </row>
    <row r="10676">
      <c r="A10676" s="6">
        <f>Database!$A12761</f>
        <v/>
      </c>
      <c r="B10676">
        <f>IF(VLOOKUP(Table7[[#This Row],[Date]],Database!$A:$C,MATCH($B$1,Database!$A$1:$C$1,),)=0,#N/A,VLOOKUP(Table7[[#This Row],[Date]],Database!$A:$C,MATCH($B$1,Database!$A$1:$C$1,),))</f>
        <v/>
      </c>
      <c r="C10676">
        <f>IF(VLOOKUP(Table7[[#This Row],[Date]],Database!$A:$C,MATCH($C$1,Database!$A$1:$C$1,),)=0,#N/A,VLOOKUP(Table7[[#This Row],[Date]],Database!$A:$C,MATCH($C$1,Database!$A$1:$C$1,),))</f>
        <v/>
      </c>
      <c r="D10676">
        <f>IFERROR(Table7[[#This Row],[United States 10y]]-Table7[[#This Row],[United States 3y]],#N/A)</f>
        <v/>
      </c>
    </row>
    <row r="10677">
      <c r="A10677" s="6">
        <f>Database!$A12762</f>
        <v/>
      </c>
      <c r="B10677">
        <f>IF(VLOOKUP(Table7[[#This Row],[Date]],Database!$A:$C,MATCH($B$1,Database!$A$1:$C$1,),)=0,#N/A,VLOOKUP(Table7[[#This Row],[Date]],Database!$A:$C,MATCH($B$1,Database!$A$1:$C$1,),))</f>
        <v/>
      </c>
      <c r="C10677">
        <f>IF(VLOOKUP(Table7[[#This Row],[Date]],Database!$A:$C,MATCH($C$1,Database!$A$1:$C$1,),)=0,#N/A,VLOOKUP(Table7[[#This Row],[Date]],Database!$A:$C,MATCH($C$1,Database!$A$1:$C$1,),))</f>
        <v/>
      </c>
      <c r="D10677">
        <f>IFERROR(Table7[[#This Row],[United States 10y]]-Table7[[#This Row],[United States 3y]],#N/A)</f>
        <v/>
      </c>
    </row>
    <row r="10678">
      <c r="A10678" s="6">
        <f>Database!$A12763</f>
        <v/>
      </c>
      <c r="B10678">
        <f>IF(VLOOKUP(Table7[[#This Row],[Date]],Database!$A:$C,MATCH($B$1,Database!$A$1:$C$1,),)=0,#N/A,VLOOKUP(Table7[[#This Row],[Date]],Database!$A:$C,MATCH($B$1,Database!$A$1:$C$1,),))</f>
        <v/>
      </c>
      <c r="C10678">
        <f>IF(VLOOKUP(Table7[[#This Row],[Date]],Database!$A:$C,MATCH($C$1,Database!$A$1:$C$1,),)=0,#N/A,VLOOKUP(Table7[[#This Row],[Date]],Database!$A:$C,MATCH($C$1,Database!$A$1:$C$1,),))</f>
        <v/>
      </c>
      <c r="D10678">
        <f>IFERROR(Table7[[#This Row],[United States 10y]]-Table7[[#This Row],[United States 3y]],#N/A)</f>
        <v/>
      </c>
    </row>
    <row r="10679">
      <c r="A10679" s="6">
        <f>Database!$A12764</f>
        <v/>
      </c>
      <c r="B10679">
        <f>IF(VLOOKUP(Table7[[#This Row],[Date]],Database!$A:$C,MATCH($B$1,Database!$A$1:$C$1,),)=0,#N/A,VLOOKUP(Table7[[#This Row],[Date]],Database!$A:$C,MATCH($B$1,Database!$A$1:$C$1,),))</f>
        <v/>
      </c>
      <c r="C10679">
        <f>IF(VLOOKUP(Table7[[#This Row],[Date]],Database!$A:$C,MATCH($C$1,Database!$A$1:$C$1,),)=0,#N/A,VLOOKUP(Table7[[#This Row],[Date]],Database!$A:$C,MATCH($C$1,Database!$A$1:$C$1,),))</f>
        <v/>
      </c>
      <c r="D10679">
        <f>IFERROR(Table7[[#This Row],[United States 10y]]-Table7[[#This Row],[United States 3y]],#N/A)</f>
        <v/>
      </c>
    </row>
    <row r="10680">
      <c r="A10680" s="6">
        <f>Database!$A12765</f>
        <v/>
      </c>
      <c r="B10680">
        <f>IF(VLOOKUP(Table7[[#This Row],[Date]],Database!$A:$C,MATCH($B$1,Database!$A$1:$C$1,),)=0,#N/A,VLOOKUP(Table7[[#This Row],[Date]],Database!$A:$C,MATCH($B$1,Database!$A$1:$C$1,),))</f>
        <v/>
      </c>
      <c r="C10680">
        <f>IF(VLOOKUP(Table7[[#This Row],[Date]],Database!$A:$C,MATCH($C$1,Database!$A$1:$C$1,),)=0,#N/A,VLOOKUP(Table7[[#This Row],[Date]],Database!$A:$C,MATCH($C$1,Database!$A$1:$C$1,),))</f>
        <v/>
      </c>
      <c r="D10680">
        <f>IFERROR(Table7[[#This Row],[United States 10y]]-Table7[[#This Row],[United States 3y]],#N/A)</f>
        <v/>
      </c>
    </row>
    <row r="10681">
      <c r="A10681" s="6">
        <f>Database!$A12766</f>
        <v/>
      </c>
      <c r="B10681">
        <f>IF(VLOOKUP(Table7[[#This Row],[Date]],Database!$A:$C,MATCH($B$1,Database!$A$1:$C$1,),)=0,#N/A,VLOOKUP(Table7[[#This Row],[Date]],Database!$A:$C,MATCH($B$1,Database!$A$1:$C$1,),))</f>
        <v/>
      </c>
      <c r="C10681">
        <f>IF(VLOOKUP(Table7[[#This Row],[Date]],Database!$A:$C,MATCH($C$1,Database!$A$1:$C$1,),)=0,#N/A,VLOOKUP(Table7[[#This Row],[Date]],Database!$A:$C,MATCH($C$1,Database!$A$1:$C$1,),))</f>
        <v/>
      </c>
      <c r="D10681">
        <f>IFERROR(Table7[[#This Row],[United States 10y]]-Table7[[#This Row],[United States 3y]],#N/A)</f>
        <v/>
      </c>
    </row>
    <row r="10682">
      <c r="A10682" s="6">
        <f>Database!$A12767</f>
        <v/>
      </c>
      <c r="B10682">
        <f>IF(VLOOKUP(Table7[[#This Row],[Date]],Database!$A:$C,MATCH($B$1,Database!$A$1:$C$1,),)=0,#N/A,VLOOKUP(Table7[[#This Row],[Date]],Database!$A:$C,MATCH($B$1,Database!$A$1:$C$1,),))</f>
        <v/>
      </c>
      <c r="C10682">
        <f>IF(VLOOKUP(Table7[[#This Row],[Date]],Database!$A:$C,MATCH($C$1,Database!$A$1:$C$1,),)=0,#N/A,VLOOKUP(Table7[[#This Row],[Date]],Database!$A:$C,MATCH($C$1,Database!$A$1:$C$1,),))</f>
        <v/>
      </c>
      <c r="D10682">
        <f>IFERROR(Table7[[#This Row],[United States 10y]]-Table7[[#This Row],[United States 3y]],#N/A)</f>
        <v/>
      </c>
    </row>
    <row r="10683">
      <c r="A10683" s="6">
        <f>Database!$A12768</f>
        <v/>
      </c>
      <c r="B10683">
        <f>IF(VLOOKUP(Table7[[#This Row],[Date]],Database!$A:$C,MATCH($B$1,Database!$A$1:$C$1,),)=0,#N/A,VLOOKUP(Table7[[#This Row],[Date]],Database!$A:$C,MATCH($B$1,Database!$A$1:$C$1,),))</f>
        <v/>
      </c>
      <c r="C10683">
        <f>IF(VLOOKUP(Table7[[#This Row],[Date]],Database!$A:$C,MATCH($C$1,Database!$A$1:$C$1,),)=0,#N/A,VLOOKUP(Table7[[#This Row],[Date]],Database!$A:$C,MATCH($C$1,Database!$A$1:$C$1,),))</f>
        <v/>
      </c>
      <c r="D10683">
        <f>IFERROR(Table7[[#This Row],[United States 10y]]-Table7[[#This Row],[United States 3y]],#N/A)</f>
        <v/>
      </c>
    </row>
    <row r="10684">
      <c r="A10684" s="6">
        <f>Database!$A12769</f>
        <v/>
      </c>
      <c r="B10684">
        <f>IF(VLOOKUP(Table7[[#This Row],[Date]],Database!$A:$C,MATCH($B$1,Database!$A$1:$C$1,),)=0,#N/A,VLOOKUP(Table7[[#This Row],[Date]],Database!$A:$C,MATCH($B$1,Database!$A$1:$C$1,),))</f>
        <v/>
      </c>
      <c r="C10684">
        <f>IF(VLOOKUP(Table7[[#This Row],[Date]],Database!$A:$C,MATCH($C$1,Database!$A$1:$C$1,),)=0,#N/A,VLOOKUP(Table7[[#This Row],[Date]],Database!$A:$C,MATCH($C$1,Database!$A$1:$C$1,),))</f>
        <v/>
      </c>
      <c r="D10684">
        <f>IFERROR(Table7[[#This Row],[United States 10y]]-Table7[[#This Row],[United States 3y]],#N/A)</f>
        <v/>
      </c>
    </row>
    <row r="10685">
      <c r="A10685" s="6">
        <f>Database!$A12770</f>
        <v/>
      </c>
      <c r="B10685">
        <f>IF(VLOOKUP(Table7[[#This Row],[Date]],Database!$A:$C,MATCH($B$1,Database!$A$1:$C$1,),)=0,#N/A,VLOOKUP(Table7[[#This Row],[Date]],Database!$A:$C,MATCH($B$1,Database!$A$1:$C$1,),))</f>
        <v/>
      </c>
      <c r="C10685">
        <f>IF(VLOOKUP(Table7[[#This Row],[Date]],Database!$A:$C,MATCH($C$1,Database!$A$1:$C$1,),)=0,#N/A,VLOOKUP(Table7[[#This Row],[Date]],Database!$A:$C,MATCH($C$1,Database!$A$1:$C$1,),))</f>
        <v/>
      </c>
      <c r="D10685">
        <f>IFERROR(Table7[[#This Row],[United States 10y]]-Table7[[#This Row],[United States 3y]],#N/A)</f>
        <v/>
      </c>
    </row>
    <row r="10686">
      <c r="A10686" s="6">
        <f>Database!$A12771</f>
        <v/>
      </c>
      <c r="B10686">
        <f>IF(VLOOKUP(Table7[[#This Row],[Date]],Database!$A:$C,MATCH($B$1,Database!$A$1:$C$1,),)=0,#N/A,VLOOKUP(Table7[[#This Row],[Date]],Database!$A:$C,MATCH($B$1,Database!$A$1:$C$1,),))</f>
        <v/>
      </c>
      <c r="C10686">
        <f>IF(VLOOKUP(Table7[[#This Row],[Date]],Database!$A:$C,MATCH($C$1,Database!$A$1:$C$1,),)=0,#N/A,VLOOKUP(Table7[[#This Row],[Date]],Database!$A:$C,MATCH($C$1,Database!$A$1:$C$1,),))</f>
        <v/>
      </c>
      <c r="D10686">
        <f>IFERROR(Table7[[#This Row],[United States 10y]]-Table7[[#This Row],[United States 3y]],#N/A)</f>
        <v/>
      </c>
    </row>
    <row r="10687">
      <c r="A10687" s="6">
        <f>Database!$A12772</f>
        <v/>
      </c>
      <c r="B10687">
        <f>IF(VLOOKUP(Table7[[#This Row],[Date]],Database!$A:$C,MATCH($B$1,Database!$A$1:$C$1,),)=0,#N/A,VLOOKUP(Table7[[#This Row],[Date]],Database!$A:$C,MATCH($B$1,Database!$A$1:$C$1,),))</f>
        <v/>
      </c>
      <c r="C10687">
        <f>IF(VLOOKUP(Table7[[#This Row],[Date]],Database!$A:$C,MATCH($C$1,Database!$A$1:$C$1,),)=0,#N/A,VLOOKUP(Table7[[#This Row],[Date]],Database!$A:$C,MATCH($C$1,Database!$A$1:$C$1,),))</f>
        <v/>
      </c>
      <c r="D10687">
        <f>IFERROR(Table7[[#This Row],[United States 10y]]-Table7[[#This Row],[United States 3y]],#N/A)</f>
        <v/>
      </c>
    </row>
    <row r="10688">
      <c r="A10688" s="6">
        <f>Database!$A12773</f>
        <v/>
      </c>
      <c r="B10688">
        <f>IF(VLOOKUP(Table7[[#This Row],[Date]],Database!$A:$C,MATCH($B$1,Database!$A$1:$C$1,),)=0,#N/A,VLOOKUP(Table7[[#This Row],[Date]],Database!$A:$C,MATCH($B$1,Database!$A$1:$C$1,),))</f>
        <v/>
      </c>
      <c r="C10688">
        <f>IF(VLOOKUP(Table7[[#This Row],[Date]],Database!$A:$C,MATCH($C$1,Database!$A$1:$C$1,),)=0,#N/A,VLOOKUP(Table7[[#This Row],[Date]],Database!$A:$C,MATCH($C$1,Database!$A$1:$C$1,),))</f>
        <v/>
      </c>
      <c r="D10688">
        <f>IFERROR(Table7[[#This Row],[United States 10y]]-Table7[[#This Row],[United States 3y]],#N/A)</f>
        <v/>
      </c>
    </row>
    <row r="10689">
      <c r="A10689" s="6">
        <f>Database!$A12774</f>
        <v/>
      </c>
      <c r="B10689">
        <f>IF(VLOOKUP(Table7[[#This Row],[Date]],Database!$A:$C,MATCH($B$1,Database!$A$1:$C$1,),)=0,#N/A,VLOOKUP(Table7[[#This Row],[Date]],Database!$A:$C,MATCH($B$1,Database!$A$1:$C$1,),))</f>
        <v/>
      </c>
      <c r="C10689">
        <f>IF(VLOOKUP(Table7[[#This Row],[Date]],Database!$A:$C,MATCH($C$1,Database!$A$1:$C$1,),)=0,#N/A,VLOOKUP(Table7[[#This Row],[Date]],Database!$A:$C,MATCH($C$1,Database!$A$1:$C$1,),))</f>
        <v/>
      </c>
      <c r="D10689">
        <f>IFERROR(Table7[[#This Row],[United States 10y]]-Table7[[#This Row],[United States 3y]],#N/A)</f>
        <v/>
      </c>
    </row>
    <row r="10690">
      <c r="A10690" s="6">
        <f>Database!$A12775</f>
        <v/>
      </c>
      <c r="B10690">
        <f>IF(VLOOKUP(Table7[[#This Row],[Date]],Database!$A:$C,MATCH($B$1,Database!$A$1:$C$1,),)=0,#N/A,VLOOKUP(Table7[[#This Row],[Date]],Database!$A:$C,MATCH($B$1,Database!$A$1:$C$1,),))</f>
        <v/>
      </c>
      <c r="C10690">
        <f>IF(VLOOKUP(Table7[[#This Row],[Date]],Database!$A:$C,MATCH($C$1,Database!$A$1:$C$1,),)=0,#N/A,VLOOKUP(Table7[[#This Row],[Date]],Database!$A:$C,MATCH($C$1,Database!$A$1:$C$1,),))</f>
        <v/>
      </c>
      <c r="D10690">
        <f>IFERROR(Table7[[#This Row],[United States 10y]]-Table7[[#This Row],[United States 3y]],#N/A)</f>
        <v/>
      </c>
    </row>
    <row r="10691">
      <c r="A10691" s="6">
        <f>Database!$A12776</f>
        <v/>
      </c>
      <c r="B10691">
        <f>IF(VLOOKUP(Table7[[#This Row],[Date]],Database!$A:$C,MATCH($B$1,Database!$A$1:$C$1,),)=0,#N/A,VLOOKUP(Table7[[#This Row],[Date]],Database!$A:$C,MATCH($B$1,Database!$A$1:$C$1,),))</f>
        <v/>
      </c>
      <c r="C10691">
        <f>IF(VLOOKUP(Table7[[#This Row],[Date]],Database!$A:$C,MATCH($C$1,Database!$A$1:$C$1,),)=0,#N/A,VLOOKUP(Table7[[#This Row],[Date]],Database!$A:$C,MATCH($C$1,Database!$A$1:$C$1,),))</f>
        <v/>
      </c>
      <c r="D10691">
        <f>IFERROR(Table7[[#This Row],[United States 10y]]-Table7[[#This Row],[United States 3y]],#N/A)</f>
        <v/>
      </c>
    </row>
    <row r="10692">
      <c r="A10692" s="6">
        <f>Database!$A12777</f>
        <v/>
      </c>
      <c r="B10692">
        <f>IF(VLOOKUP(Table7[[#This Row],[Date]],Database!$A:$C,MATCH($B$1,Database!$A$1:$C$1,),)=0,#N/A,VLOOKUP(Table7[[#This Row],[Date]],Database!$A:$C,MATCH($B$1,Database!$A$1:$C$1,),))</f>
        <v/>
      </c>
      <c r="C10692">
        <f>IF(VLOOKUP(Table7[[#This Row],[Date]],Database!$A:$C,MATCH($C$1,Database!$A$1:$C$1,),)=0,#N/A,VLOOKUP(Table7[[#This Row],[Date]],Database!$A:$C,MATCH($C$1,Database!$A$1:$C$1,),))</f>
        <v/>
      </c>
      <c r="D10692">
        <f>IFERROR(Table7[[#This Row],[United States 10y]]-Table7[[#This Row],[United States 3y]],#N/A)</f>
        <v/>
      </c>
    </row>
    <row r="10693">
      <c r="A10693" s="6">
        <f>Database!$A12778</f>
        <v/>
      </c>
      <c r="B10693">
        <f>IF(VLOOKUP(Table7[[#This Row],[Date]],Database!$A:$C,MATCH($B$1,Database!$A$1:$C$1,),)=0,#N/A,VLOOKUP(Table7[[#This Row],[Date]],Database!$A:$C,MATCH($B$1,Database!$A$1:$C$1,),))</f>
        <v/>
      </c>
      <c r="C10693">
        <f>IF(VLOOKUP(Table7[[#This Row],[Date]],Database!$A:$C,MATCH($C$1,Database!$A$1:$C$1,),)=0,#N/A,VLOOKUP(Table7[[#This Row],[Date]],Database!$A:$C,MATCH($C$1,Database!$A$1:$C$1,),))</f>
        <v/>
      </c>
      <c r="D10693">
        <f>IFERROR(Table7[[#This Row],[United States 10y]]-Table7[[#This Row],[United States 3y]],#N/A)</f>
        <v/>
      </c>
    </row>
    <row r="10694">
      <c r="A10694" s="6">
        <f>Database!$A12779</f>
        <v/>
      </c>
      <c r="B10694">
        <f>IF(VLOOKUP(Table7[[#This Row],[Date]],Database!$A:$C,MATCH($B$1,Database!$A$1:$C$1,),)=0,#N/A,VLOOKUP(Table7[[#This Row],[Date]],Database!$A:$C,MATCH($B$1,Database!$A$1:$C$1,),))</f>
        <v/>
      </c>
      <c r="C10694">
        <f>IF(VLOOKUP(Table7[[#This Row],[Date]],Database!$A:$C,MATCH($C$1,Database!$A$1:$C$1,),)=0,#N/A,VLOOKUP(Table7[[#This Row],[Date]],Database!$A:$C,MATCH($C$1,Database!$A$1:$C$1,),))</f>
        <v/>
      </c>
      <c r="D10694">
        <f>IFERROR(Table7[[#This Row],[United States 10y]]-Table7[[#This Row],[United States 3y]],#N/A)</f>
        <v/>
      </c>
    </row>
    <row r="10695">
      <c r="A10695" s="6">
        <f>Database!$A12780</f>
        <v/>
      </c>
      <c r="B10695">
        <f>IF(VLOOKUP(Table7[[#This Row],[Date]],Database!$A:$C,MATCH($B$1,Database!$A$1:$C$1,),)=0,#N/A,VLOOKUP(Table7[[#This Row],[Date]],Database!$A:$C,MATCH($B$1,Database!$A$1:$C$1,),))</f>
        <v/>
      </c>
      <c r="C10695">
        <f>IF(VLOOKUP(Table7[[#This Row],[Date]],Database!$A:$C,MATCH($C$1,Database!$A$1:$C$1,),)=0,#N/A,VLOOKUP(Table7[[#This Row],[Date]],Database!$A:$C,MATCH($C$1,Database!$A$1:$C$1,),))</f>
        <v/>
      </c>
      <c r="D10695">
        <f>IFERROR(Table7[[#This Row],[United States 10y]]-Table7[[#This Row],[United States 3y]],#N/A)</f>
        <v/>
      </c>
    </row>
    <row r="10696">
      <c r="A10696" s="6">
        <f>Database!$A12781</f>
        <v/>
      </c>
      <c r="B10696">
        <f>IF(VLOOKUP(Table7[[#This Row],[Date]],Database!$A:$C,MATCH($B$1,Database!$A$1:$C$1,),)=0,#N/A,VLOOKUP(Table7[[#This Row],[Date]],Database!$A:$C,MATCH($B$1,Database!$A$1:$C$1,),))</f>
        <v/>
      </c>
      <c r="C10696">
        <f>IF(VLOOKUP(Table7[[#This Row],[Date]],Database!$A:$C,MATCH($C$1,Database!$A$1:$C$1,),)=0,#N/A,VLOOKUP(Table7[[#This Row],[Date]],Database!$A:$C,MATCH($C$1,Database!$A$1:$C$1,),))</f>
        <v/>
      </c>
      <c r="D10696">
        <f>IFERROR(Table7[[#This Row],[United States 10y]]-Table7[[#This Row],[United States 3y]],#N/A)</f>
        <v/>
      </c>
    </row>
    <row r="10697">
      <c r="A10697" s="6">
        <f>Database!$A12782</f>
        <v/>
      </c>
      <c r="B10697">
        <f>IF(VLOOKUP(Table7[[#This Row],[Date]],Database!$A:$C,MATCH($B$1,Database!$A$1:$C$1,),)=0,#N/A,VLOOKUP(Table7[[#This Row],[Date]],Database!$A:$C,MATCH($B$1,Database!$A$1:$C$1,),))</f>
        <v/>
      </c>
      <c r="C10697">
        <f>IF(VLOOKUP(Table7[[#This Row],[Date]],Database!$A:$C,MATCH($C$1,Database!$A$1:$C$1,),)=0,#N/A,VLOOKUP(Table7[[#This Row],[Date]],Database!$A:$C,MATCH($C$1,Database!$A$1:$C$1,),))</f>
        <v/>
      </c>
      <c r="D10697">
        <f>IFERROR(Table7[[#This Row],[United States 10y]]-Table7[[#This Row],[United States 3y]],#N/A)</f>
        <v/>
      </c>
    </row>
    <row r="10698">
      <c r="A10698" s="6">
        <f>Database!$A12783</f>
        <v/>
      </c>
      <c r="B10698">
        <f>IF(VLOOKUP(Table7[[#This Row],[Date]],Database!$A:$C,MATCH($B$1,Database!$A$1:$C$1,),)=0,#N/A,VLOOKUP(Table7[[#This Row],[Date]],Database!$A:$C,MATCH($B$1,Database!$A$1:$C$1,),))</f>
        <v/>
      </c>
      <c r="C10698">
        <f>IF(VLOOKUP(Table7[[#This Row],[Date]],Database!$A:$C,MATCH($C$1,Database!$A$1:$C$1,),)=0,#N/A,VLOOKUP(Table7[[#This Row],[Date]],Database!$A:$C,MATCH($C$1,Database!$A$1:$C$1,),))</f>
        <v/>
      </c>
      <c r="D10698">
        <f>IFERROR(Table7[[#This Row],[United States 10y]]-Table7[[#This Row],[United States 3y]],#N/A)</f>
        <v/>
      </c>
    </row>
    <row r="10699">
      <c r="A10699" s="6">
        <f>Database!$A12784</f>
        <v/>
      </c>
      <c r="B10699">
        <f>IF(VLOOKUP(Table7[[#This Row],[Date]],Database!$A:$C,MATCH($B$1,Database!$A$1:$C$1,),)=0,#N/A,VLOOKUP(Table7[[#This Row],[Date]],Database!$A:$C,MATCH($B$1,Database!$A$1:$C$1,),))</f>
        <v/>
      </c>
      <c r="C10699">
        <f>IF(VLOOKUP(Table7[[#This Row],[Date]],Database!$A:$C,MATCH($C$1,Database!$A$1:$C$1,),)=0,#N/A,VLOOKUP(Table7[[#This Row],[Date]],Database!$A:$C,MATCH($C$1,Database!$A$1:$C$1,),))</f>
        <v/>
      </c>
      <c r="D10699">
        <f>IFERROR(Table7[[#This Row],[United States 10y]]-Table7[[#This Row],[United States 3y]],#N/A)</f>
        <v/>
      </c>
    </row>
    <row r="10700">
      <c r="A10700" s="6">
        <f>Database!$A12785</f>
        <v/>
      </c>
      <c r="B10700">
        <f>IF(VLOOKUP(Table7[[#This Row],[Date]],Database!$A:$C,MATCH($B$1,Database!$A$1:$C$1,),)=0,#N/A,VLOOKUP(Table7[[#This Row],[Date]],Database!$A:$C,MATCH($B$1,Database!$A$1:$C$1,),))</f>
        <v/>
      </c>
      <c r="C10700">
        <f>IF(VLOOKUP(Table7[[#This Row],[Date]],Database!$A:$C,MATCH($C$1,Database!$A$1:$C$1,),)=0,#N/A,VLOOKUP(Table7[[#This Row],[Date]],Database!$A:$C,MATCH($C$1,Database!$A$1:$C$1,),))</f>
        <v/>
      </c>
      <c r="D10700">
        <f>IFERROR(Table7[[#This Row],[United States 10y]]-Table7[[#This Row],[United States 3y]],#N/A)</f>
        <v/>
      </c>
    </row>
    <row r="10701">
      <c r="A10701" s="6">
        <f>Database!$A12786</f>
        <v/>
      </c>
      <c r="B10701">
        <f>IF(VLOOKUP(Table7[[#This Row],[Date]],Database!$A:$C,MATCH($B$1,Database!$A$1:$C$1,),)=0,#N/A,VLOOKUP(Table7[[#This Row],[Date]],Database!$A:$C,MATCH($B$1,Database!$A$1:$C$1,),))</f>
        <v/>
      </c>
      <c r="C10701">
        <f>IF(VLOOKUP(Table7[[#This Row],[Date]],Database!$A:$C,MATCH($C$1,Database!$A$1:$C$1,),)=0,#N/A,VLOOKUP(Table7[[#This Row],[Date]],Database!$A:$C,MATCH($C$1,Database!$A$1:$C$1,),))</f>
        <v/>
      </c>
      <c r="D10701">
        <f>IFERROR(Table7[[#This Row],[United States 10y]]-Table7[[#This Row],[United States 3y]],#N/A)</f>
        <v/>
      </c>
    </row>
    <row r="10702">
      <c r="A10702" s="6">
        <f>Database!$A12787</f>
        <v/>
      </c>
      <c r="B10702">
        <f>IF(VLOOKUP(Table7[[#This Row],[Date]],Database!$A:$C,MATCH($B$1,Database!$A$1:$C$1,),)=0,#N/A,VLOOKUP(Table7[[#This Row],[Date]],Database!$A:$C,MATCH($B$1,Database!$A$1:$C$1,),))</f>
        <v/>
      </c>
      <c r="C10702">
        <f>IF(VLOOKUP(Table7[[#This Row],[Date]],Database!$A:$C,MATCH($C$1,Database!$A$1:$C$1,),)=0,#N/A,VLOOKUP(Table7[[#This Row],[Date]],Database!$A:$C,MATCH($C$1,Database!$A$1:$C$1,),))</f>
        <v/>
      </c>
      <c r="D10702">
        <f>IFERROR(Table7[[#This Row],[United States 10y]]-Table7[[#This Row],[United States 3y]],#N/A)</f>
        <v/>
      </c>
    </row>
    <row r="10703">
      <c r="A10703" s="6">
        <f>Database!$A12788</f>
        <v/>
      </c>
      <c r="B10703">
        <f>IF(VLOOKUP(Table7[[#This Row],[Date]],Database!$A:$C,MATCH($B$1,Database!$A$1:$C$1,),)=0,#N/A,VLOOKUP(Table7[[#This Row],[Date]],Database!$A:$C,MATCH($B$1,Database!$A$1:$C$1,),))</f>
        <v/>
      </c>
      <c r="C10703">
        <f>IF(VLOOKUP(Table7[[#This Row],[Date]],Database!$A:$C,MATCH($C$1,Database!$A$1:$C$1,),)=0,#N/A,VLOOKUP(Table7[[#This Row],[Date]],Database!$A:$C,MATCH($C$1,Database!$A$1:$C$1,),))</f>
        <v/>
      </c>
      <c r="D10703">
        <f>IFERROR(Table7[[#This Row],[United States 10y]]-Table7[[#This Row],[United States 3y]],#N/A)</f>
        <v/>
      </c>
    </row>
    <row r="10704">
      <c r="A10704" s="6">
        <f>Database!$A12789</f>
        <v/>
      </c>
      <c r="B10704">
        <f>IF(VLOOKUP(Table7[[#This Row],[Date]],Database!$A:$C,MATCH($B$1,Database!$A$1:$C$1,),)=0,#N/A,VLOOKUP(Table7[[#This Row],[Date]],Database!$A:$C,MATCH($B$1,Database!$A$1:$C$1,),))</f>
        <v/>
      </c>
      <c r="C10704">
        <f>IF(VLOOKUP(Table7[[#This Row],[Date]],Database!$A:$C,MATCH($C$1,Database!$A$1:$C$1,),)=0,#N/A,VLOOKUP(Table7[[#This Row],[Date]],Database!$A:$C,MATCH($C$1,Database!$A$1:$C$1,),))</f>
        <v/>
      </c>
      <c r="D10704">
        <f>IFERROR(Table7[[#This Row],[United States 10y]]-Table7[[#This Row],[United States 3y]],#N/A)</f>
        <v/>
      </c>
    </row>
    <row r="10705">
      <c r="A10705" s="6">
        <f>Database!$A12790</f>
        <v/>
      </c>
      <c r="B10705">
        <f>IF(VLOOKUP(Table7[[#This Row],[Date]],Database!$A:$C,MATCH($B$1,Database!$A$1:$C$1,),)=0,#N/A,VLOOKUP(Table7[[#This Row],[Date]],Database!$A:$C,MATCH($B$1,Database!$A$1:$C$1,),))</f>
        <v/>
      </c>
      <c r="C10705">
        <f>IF(VLOOKUP(Table7[[#This Row],[Date]],Database!$A:$C,MATCH($C$1,Database!$A$1:$C$1,),)=0,#N/A,VLOOKUP(Table7[[#This Row],[Date]],Database!$A:$C,MATCH($C$1,Database!$A$1:$C$1,),))</f>
        <v/>
      </c>
      <c r="D10705">
        <f>IFERROR(Table7[[#This Row],[United States 10y]]-Table7[[#This Row],[United States 3y]],#N/A)</f>
        <v/>
      </c>
    </row>
    <row r="10706">
      <c r="A10706" s="6">
        <f>Database!$A12791</f>
        <v/>
      </c>
      <c r="B10706">
        <f>IF(VLOOKUP(Table7[[#This Row],[Date]],Database!$A:$C,MATCH($B$1,Database!$A$1:$C$1,),)=0,#N/A,VLOOKUP(Table7[[#This Row],[Date]],Database!$A:$C,MATCH($B$1,Database!$A$1:$C$1,),))</f>
        <v/>
      </c>
      <c r="C10706">
        <f>IF(VLOOKUP(Table7[[#This Row],[Date]],Database!$A:$C,MATCH($C$1,Database!$A$1:$C$1,),)=0,#N/A,VLOOKUP(Table7[[#This Row],[Date]],Database!$A:$C,MATCH($C$1,Database!$A$1:$C$1,),))</f>
        <v/>
      </c>
      <c r="D10706">
        <f>IFERROR(Table7[[#This Row],[United States 10y]]-Table7[[#This Row],[United States 3y]],#N/A)</f>
        <v/>
      </c>
    </row>
    <row r="10707">
      <c r="A10707" s="6">
        <f>Database!$A12792</f>
        <v/>
      </c>
      <c r="B10707">
        <f>IF(VLOOKUP(Table7[[#This Row],[Date]],Database!$A:$C,MATCH($B$1,Database!$A$1:$C$1,),)=0,#N/A,VLOOKUP(Table7[[#This Row],[Date]],Database!$A:$C,MATCH($B$1,Database!$A$1:$C$1,),))</f>
        <v/>
      </c>
      <c r="C10707">
        <f>IF(VLOOKUP(Table7[[#This Row],[Date]],Database!$A:$C,MATCH($C$1,Database!$A$1:$C$1,),)=0,#N/A,VLOOKUP(Table7[[#This Row],[Date]],Database!$A:$C,MATCH($C$1,Database!$A$1:$C$1,),))</f>
        <v/>
      </c>
      <c r="D10707">
        <f>IFERROR(Table7[[#This Row],[United States 10y]]-Table7[[#This Row],[United States 3y]],#N/A)</f>
        <v/>
      </c>
    </row>
    <row r="10708">
      <c r="A10708" s="6">
        <f>Database!$A12793</f>
        <v/>
      </c>
      <c r="B10708">
        <f>IF(VLOOKUP(Table7[[#This Row],[Date]],Database!$A:$C,MATCH($B$1,Database!$A$1:$C$1,),)=0,#N/A,VLOOKUP(Table7[[#This Row],[Date]],Database!$A:$C,MATCH($B$1,Database!$A$1:$C$1,),))</f>
        <v/>
      </c>
      <c r="C10708">
        <f>IF(VLOOKUP(Table7[[#This Row],[Date]],Database!$A:$C,MATCH($C$1,Database!$A$1:$C$1,),)=0,#N/A,VLOOKUP(Table7[[#This Row],[Date]],Database!$A:$C,MATCH($C$1,Database!$A$1:$C$1,),))</f>
        <v/>
      </c>
      <c r="D10708">
        <f>IFERROR(Table7[[#This Row],[United States 10y]]-Table7[[#This Row],[United States 3y]],#N/A)</f>
        <v/>
      </c>
    </row>
    <row r="10709">
      <c r="A10709" s="6">
        <f>Database!$A12794</f>
        <v/>
      </c>
      <c r="B10709">
        <f>IF(VLOOKUP(Table7[[#This Row],[Date]],Database!$A:$C,MATCH($B$1,Database!$A$1:$C$1,),)=0,#N/A,VLOOKUP(Table7[[#This Row],[Date]],Database!$A:$C,MATCH($B$1,Database!$A$1:$C$1,),))</f>
        <v/>
      </c>
      <c r="C10709">
        <f>IF(VLOOKUP(Table7[[#This Row],[Date]],Database!$A:$C,MATCH($C$1,Database!$A$1:$C$1,),)=0,#N/A,VLOOKUP(Table7[[#This Row],[Date]],Database!$A:$C,MATCH($C$1,Database!$A$1:$C$1,),))</f>
        <v/>
      </c>
      <c r="D10709">
        <f>IFERROR(Table7[[#This Row],[United States 10y]]-Table7[[#This Row],[United States 3y]],#N/A)</f>
        <v/>
      </c>
    </row>
    <row r="10710">
      <c r="A10710" s="6">
        <f>Database!$A12795</f>
        <v/>
      </c>
      <c r="B10710">
        <f>IF(VLOOKUP(Table7[[#This Row],[Date]],Database!$A:$C,MATCH($B$1,Database!$A$1:$C$1,),)=0,#N/A,VLOOKUP(Table7[[#This Row],[Date]],Database!$A:$C,MATCH($B$1,Database!$A$1:$C$1,),))</f>
        <v/>
      </c>
      <c r="C10710">
        <f>IF(VLOOKUP(Table7[[#This Row],[Date]],Database!$A:$C,MATCH($C$1,Database!$A$1:$C$1,),)=0,#N/A,VLOOKUP(Table7[[#This Row],[Date]],Database!$A:$C,MATCH($C$1,Database!$A$1:$C$1,),))</f>
        <v/>
      </c>
      <c r="D10710">
        <f>IFERROR(Table7[[#This Row],[United States 10y]]-Table7[[#This Row],[United States 3y]],#N/A)</f>
        <v/>
      </c>
    </row>
    <row r="10711">
      <c r="A10711" s="6">
        <f>Database!$A12796</f>
        <v/>
      </c>
      <c r="B10711">
        <f>IF(VLOOKUP(Table7[[#This Row],[Date]],Database!$A:$C,MATCH($B$1,Database!$A$1:$C$1,),)=0,#N/A,VLOOKUP(Table7[[#This Row],[Date]],Database!$A:$C,MATCH($B$1,Database!$A$1:$C$1,),))</f>
        <v/>
      </c>
      <c r="C10711">
        <f>IF(VLOOKUP(Table7[[#This Row],[Date]],Database!$A:$C,MATCH($C$1,Database!$A$1:$C$1,),)=0,#N/A,VLOOKUP(Table7[[#This Row],[Date]],Database!$A:$C,MATCH($C$1,Database!$A$1:$C$1,),))</f>
        <v/>
      </c>
      <c r="D10711">
        <f>IFERROR(Table7[[#This Row],[United States 10y]]-Table7[[#This Row],[United States 3y]],#N/A)</f>
        <v/>
      </c>
    </row>
    <row r="10712">
      <c r="A10712" s="6">
        <f>Database!$A12797</f>
        <v/>
      </c>
      <c r="B10712">
        <f>IF(VLOOKUP(Table7[[#This Row],[Date]],Database!$A:$C,MATCH($B$1,Database!$A$1:$C$1,),)=0,#N/A,VLOOKUP(Table7[[#This Row],[Date]],Database!$A:$C,MATCH($B$1,Database!$A$1:$C$1,),))</f>
        <v/>
      </c>
      <c r="C10712">
        <f>IF(VLOOKUP(Table7[[#This Row],[Date]],Database!$A:$C,MATCH($C$1,Database!$A$1:$C$1,),)=0,#N/A,VLOOKUP(Table7[[#This Row],[Date]],Database!$A:$C,MATCH($C$1,Database!$A$1:$C$1,),))</f>
        <v/>
      </c>
      <c r="D10712">
        <f>IFERROR(Table7[[#This Row],[United States 10y]]-Table7[[#This Row],[United States 3y]],#N/A)</f>
        <v/>
      </c>
    </row>
    <row r="10713">
      <c r="A10713" s="6">
        <f>Database!$A12798</f>
        <v/>
      </c>
      <c r="B10713">
        <f>IF(VLOOKUP(Table7[[#This Row],[Date]],Database!$A:$C,MATCH($B$1,Database!$A$1:$C$1,),)=0,#N/A,VLOOKUP(Table7[[#This Row],[Date]],Database!$A:$C,MATCH($B$1,Database!$A$1:$C$1,),))</f>
        <v/>
      </c>
      <c r="C10713">
        <f>IF(VLOOKUP(Table7[[#This Row],[Date]],Database!$A:$C,MATCH($C$1,Database!$A$1:$C$1,),)=0,#N/A,VLOOKUP(Table7[[#This Row],[Date]],Database!$A:$C,MATCH($C$1,Database!$A$1:$C$1,),))</f>
        <v/>
      </c>
      <c r="D10713">
        <f>IFERROR(Table7[[#This Row],[United States 10y]]-Table7[[#This Row],[United States 3y]],#N/A)</f>
        <v/>
      </c>
    </row>
    <row r="10714">
      <c r="A10714" s="6">
        <f>Database!$A12799</f>
        <v/>
      </c>
      <c r="B10714">
        <f>IF(VLOOKUP(Table7[[#This Row],[Date]],Database!$A:$C,MATCH($B$1,Database!$A$1:$C$1,),)=0,#N/A,VLOOKUP(Table7[[#This Row],[Date]],Database!$A:$C,MATCH($B$1,Database!$A$1:$C$1,),))</f>
        <v/>
      </c>
      <c r="C10714">
        <f>IF(VLOOKUP(Table7[[#This Row],[Date]],Database!$A:$C,MATCH($C$1,Database!$A$1:$C$1,),)=0,#N/A,VLOOKUP(Table7[[#This Row],[Date]],Database!$A:$C,MATCH($C$1,Database!$A$1:$C$1,),))</f>
        <v/>
      </c>
      <c r="D10714">
        <f>IFERROR(Table7[[#This Row],[United States 10y]]-Table7[[#This Row],[United States 3y]],#N/A)</f>
        <v/>
      </c>
    </row>
    <row r="10715">
      <c r="A10715" s="6">
        <f>Database!$A12800</f>
        <v/>
      </c>
      <c r="B10715">
        <f>IF(VLOOKUP(Table7[[#This Row],[Date]],Database!$A:$C,MATCH($B$1,Database!$A$1:$C$1,),)=0,#N/A,VLOOKUP(Table7[[#This Row],[Date]],Database!$A:$C,MATCH($B$1,Database!$A$1:$C$1,),))</f>
        <v/>
      </c>
      <c r="C10715">
        <f>IF(VLOOKUP(Table7[[#This Row],[Date]],Database!$A:$C,MATCH($C$1,Database!$A$1:$C$1,),)=0,#N/A,VLOOKUP(Table7[[#This Row],[Date]],Database!$A:$C,MATCH($C$1,Database!$A$1:$C$1,),))</f>
        <v/>
      </c>
      <c r="D10715">
        <f>IFERROR(Table7[[#This Row],[United States 10y]]-Table7[[#This Row],[United States 3y]],#N/A)</f>
        <v/>
      </c>
    </row>
    <row r="10716">
      <c r="A10716" s="6">
        <f>Database!$A12801</f>
        <v/>
      </c>
      <c r="B10716">
        <f>IF(VLOOKUP(Table7[[#This Row],[Date]],Database!$A:$C,MATCH($B$1,Database!$A$1:$C$1,),)=0,#N/A,VLOOKUP(Table7[[#This Row],[Date]],Database!$A:$C,MATCH($B$1,Database!$A$1:$C$1,),))</f>
        <v/>
      </c>
      <c r="C10716">
        <f>IF(VLOOKUP(Table7[[#This Row],[Date]],Database!$A:$C,MATCH($C$1,Database!$A$1:$C$1,),)=0,#N/A,VLOOKUP(Table7[[#This Row],[Date]],Database!$A:$C,MATCH($C$1,Database!$A$1:$C$1,),))</f>
        <v/>
      </c>
      <c r="D10716">
        <f>IFERROR(Table7[[#This Row],[United States 10y]]-Table7[[#This Row],[United States 3y]],#N/A)</f>
        <v/>
      </c>
    </row>
    <row r="10717">
      <c r="A10717" s="6">
        <f>Database!$A12802</f>
        <v/>
      </c>
      <c r="B10717">
        <f>IF(VLOOKUP(Table7[[#This Row],[Date]],Database!$A:$C,MATCH($B$1,Database!$A$1:$C$1,),)=0,#N/A,VLOOKUP(Table7[[#This Row],[Date]],Database!$A:$C,MATCH($B$1,Database!$A$1:$C$1,),))</f>
        <v/>
      </c>
      <c r="C10717">
        <f>IF(VLOOKUP(Table7[[#This Row],[Date]],Database!$A:$C,MATCH($C$1,Database!$A$1:$C$1,),)=0,#N/A,VLOOKUP(Table7[[#This Row],[Date]],Database!$A:$C,MATCH($C$1,Database!$A$1:$C$1,),))</f>
        <v/>
      </c>
      <c r="D10717">
        <f>IFERROR(Table7[[#This Row],[United States 10y]]-Table7[[#This Row],[United States 3y]],#N/A)</f>
        <v/>
      </c>
    </row>
    <row r="10718">
      <c r="A10718" s="6">
        <f>Database!$A12803</f>
        <v/>
      </c>
      <c r="B10718">
        <f>IF(VLOOKUP(Table7[[#This Row],[Date]],Database!$A:$C,MATCH($B$1,Database!$A$1:$C$1,),)=0,#N/A,VLOOKUP(Table7[[#This Row],[Date]],Database!$A:$C,MATCH($B$1,Database!$A$1:$C$1,),))</f>
        <v/>
      </c>
      <c r="C10718">
        <f>IF(VLOOKUP(Table7[[#This Row],[Date]],Database!$A:$C,MATCH($C$1,Database!$A$1:$C$1,),)=0,#N/A,VLOOKUP(Table7[[#This Row],[Date]],Database!$A:$C,MATCH($C$1,Database!$A$1:$C$1,),))</f>
        <v/>
      </c>
      <c r="D10718">
        <f>IFERROR(Table7[[#This Row],[United States 10y]]-Table7[[#This Row],[United States 3y]],#N/A)</f>
        <v/>
      </c>
    </row>
    <row r="10719">
      <c r="A10719" s="6">
        <f>Database!$A12804</f>
        <v/>
      </c>
      <c r="B10719">
        <f>IF(VLOOKUP(Table7[[#This Row],[Date]],Database!$A:$C,MATCH($B$1,Database!$A$1:$C$1,),)=0,#N/A,VLOOKUP(Table7[[#This Row],[Date]],Database!$A:$C,MATCH($B$1,Database!$A$1:$C$1,),))</f>
        <v/>
      </c>
      <c r="C10719">
        <f>IF(VLOOKUP(Table7[[#This Row],[Date]],Database!$A:$C,MATCH($C$1,Database!$A$1:$C$1,),)=0,#N/A,VLOOKUP(Table7[[#This Row],[Date]],Database!$A:$C,MATCH($C$1,Database!$A$1:$C$1,),))</f>
        <v/>
      </c>
      <c r="D10719">
        <f>IFERROR(Table7[[#This Row],[United States 10y]]-Table7[[#This Row],[United States 3y]],#N/A)</f>
        <v/>
      </c>
    </row>
    <row r="10720">
      <c r="A10720" s="6">
        <f>Database!$A12805</f>
        <v/>
      </c>
      <c r="B10720">
        <f>IF(VLOOKUP(Table7[[#This Row],[Date]],Database!$A:$C,MATCH($B$1,Database!$A$1:$C$1,),)=0,#N/A,VLOOKUP(Table7[[#This Row],[Date]],Database!$A:$C,MATCH($B$1,Database!$A$1:$C$1,),))</f>
        <v/>
      </c>
      <c r="C10720">
        <f>IF(VLOOKUP(Table7[[#This Row],[Date]],Database!$A:$C,MATCH($C$1,Database!$A$1:$C$1,),)=0,#N/A,VLOOKUP(Table7[[#This Row],[Date]],Database!$A:$C,MATCH($C$1,Database!$A$1:$C$1,),))</f>
        <v/>
      </c>
      <c r="D10720">
        <f>IFERROR(Table7[[#This Row],[United States 10y]]-Table7[[#This Row],[United States 3y]],#N/A)</f>
        <v/>
      </c>
    </row>
    <row r="10721">
      <c r="A10721" s="6">
        <f>Database!$A12806</f>
        <v/>
      </c>
      <c r="B10721">
        <f>IF(VLOOKUP(Table7[[#This Row],[Date]],Database!$A:$C,MATCH($B$1,Database!$A$1:$C$1,),)=0,#N/A,VLOOKUP(Table7[[#This Row],[Date]],Database!$A:$C,MATCH($B$1,Database!$A$1:$C$1,),))</f>
        <v/>
      </c>
      <c r="C10721">
        <f>IF(VLOOKUP(Table7[[#This Row],[Date]],Database!$A:$C,MATCH($C$1,Database!$A$1:$C$1,),)=0,#N/A,VLOOKUP(Table7[[#This Row],[Date]],Database!$A:$C,MATCH($C$1,Database!$A$1:$C$1,),))</f>
        <v/>
      </c>
      <c r="D10721">
        <f>IFERROR(Table7[[#This Row],[United States 10y]]-Table7[[#This Row],[United States 3y]],#N/A)</f>
        <v/>
      </c>
    </row>
    <row r="10722">
      <c r="A10722" s="6">
        <f>Database!$A12807</f>
        <v/>
      </c>
      <c r="B10722">
        <f>IF(VLOOKUP(Table7[[#This Row],[Date]],Database!$A:$C,MATCH($B$1,Database!$A$1:$C$1,),)=0,#N/A,VLOOKUP(Table7[[#This Row],[Date]],Database!$A:$C,MATCH($B$1,Database!$A$1:$C$1,),))</f>
        <v/>
      </c>
      <c r="C10722">
        <f>IF(VLOOKUP(Table7[[#This Row],[Date]],Database!$A:$C,MATCH($C$1,Database!$A$1:$C$1,),)=0,#N/A,VLOOKUP(Table7[[#This Row],[Date]],Database!$A:$C,MATCH($C$1,Database!$A$1:$C$1,),))</f>
        <v/>
      </c>
      <c r="D10722">
        <f>IFERROR(Table7[[#This Row],[United States 10y]]-Table7[[#This Row],[United States 3y]],#N/A)</f>
        <v/>
      </c>
    </row>
    <row r="10723">
      <c r="A10723" s="6">
        <f>Database!$A12808</f>
        <v/>
      </c>
      <c r="B10723">
        <f>IF(VLOOKUP(Table7[[#This Row],[Date]],Database!$A:$C,MATCH($B$1,Database!$A$1:$C$1,),)=0,#N/A,VLOOKUP(Table7[[#This Row],[Date]],Database!$A:$C,MATCH($B$1,Database!$A$1:$C$1,),))</f>
        <v/>
      </c>
      <c r="C10723">
        <f>IF(VLOOKUP(Table7[[#This Row],[Date]],Database!$A:$C,MATCH($C$1,Database!$A$1:$C$1,),)=0,#N/A,VLOOKUP(Table7[[#This Row],[Date]],Database!$A:$C,MATCH($C$1,Database!$A$1:$C$1,),))</f>
        <v/>
      </c>
      <c r="D10723">
        <f>IFERROR(Table7[[#This Row],[United States 10y]]-Table7[[#This Row],[United States 3y]],#N/A)</f>
        <v/>
      </c>
    </row>
    <row r="10724">
      <c r="A10724" s="6">
        <f>Database!$A12809</f>
        <v/>
      </c>
      <c r="B10724">
        <f>IF(VLOOKUP(Table7[[#This Row],[Date]],Database!$A:$C,MATCH($B$1,Database!$A$1:$C$1,),)=0,#N/A,VLOOKUP(Table7[[#This Row],[Date]],Database!$A:$C,MATCH($B$1,Database!$A$1:$C$1,),))</f>
        <v/>
      </c>
      <c r="C10724">
        <f>IF(VLOOKUP(Table7[[#This Row],[Date]],Database!$A:$C,MATCH($C$1,Database!$A$1:$C$1,),)=0,#N/A,VLOOKUP(Table7[[#This Row],[Date]],Database!$A:$C,MATCH($C$1,Database!$A$1:$C$1,),))</f>
        <v/>
      </c>
      <c r="D10724">
        <f>IFERROR(Table7[[#This Row],[United States 10y]]-Table7[[#This Row],[United States 3y]],#N/A)</f>
        <v/>
      </c>
    </row>
    <row r="10725">
      <c r="A10725" s="6">
        <f>Database!$A12810</f>
        <v/>
      </c>
      <c r="B10725">
        <f>IF(VLOOKUP(Table7[[#This Row],[Date]],Database!$A:$C,MATCH($B$1,Database!$A$1:$C$1,),)=0,#N/A,VLOOKUP(Table7[[#This Row],[Date]],Database!$A:$C,MATCH($B$1,Database!$A$1:$C$1,),))</f>
        <v/>
      </c>
      <c r="C10725">
        <f>IF(VLOOKUP(Table7[[#This Row],[Date]],Database!$A:$C,MATCH($C$1,Database!$A$1:$C$1,),)=0,#N/A,VLOOKUP(Table7[[#This Row],[Date]],Database!$A:$C,MATCH($C$1,Database!$A$1:$C$1,),))</f>
        <v/>
      </c>
      <c r="D10725">
        <f>IFERROR(Table7[[#This Row],[United States 10y]]-Table7[[#This Row],[United States 3y]],#N/A)</f>
        <v/>
      </c>
    </row>
    <row r="10726">
      <c r="A10726" s="6">
        <f>Database!$A12811</f>
        <v/>
      </c>
      <c r="B10726">
        <f>IF(VLOOKUP(Table7[[#This Row],[Date]],Database!$A:$C,MATCH($B$1,Database!$A$1:$C$1,),)=0,#N/A,VLOOKUP(Table7[[#This Row],[Date]],Database!$A:$C,MATCH($B$1,Database!$A$1:$C$1,),))</f>
        <v/>
      </c>
      <c r="C10726">
        <f>IF(VLOOKUP(Table7[[#This Row],[Date]],Database!$A:$C,MATCH($C$1,Database!$A$1:$C$1,),)=0,#N/A,VLOOKUP(Table7[[#This Row],[Date]],Database!$A:$C,MATCH($C$1,Database!$A$1:$C$1,),))</f>
        <v/>
      </c>
      <c r="D10726">
        <f>IFERROR(Table7[[#This Row],[United States 10y]]-Table7[[#This Row],[United States 3y]],#N/A)</f>
        <v/>
      </c>
    </row>
    <row r="10727">
      <c r="A10727" s="6">
        <f>Database!$A12812</f>
        <v/>
      </c>
      <c r="B10727">
        <f>IF(VLOOKUP(Table7[[#This Row],[Date]],Database!$A:$C,MATCH($B$1,Database!$A$1:$C$1,),)=0,#N/A,VLOOKUP(Table7[[#This Row],[Date]],Database!$A:$C,MATCH($B$1,Database!$A$1:$C$1,),))</f>
        <v/>
      </c>
      <c r="C10727">
        <f>IF(VLOOKUP(Table7[[#This Row],[Date]],Database!$A:$C,MATCH($C$1,Database!$A$1:$C$1,),)=0,#N/A,VLOOKUP(Table7[[#This Row],[Date]],Database!$A:$C,MATCH($C$1,Database!$A$1:$C$1,),))</f>
        <v/>
      </c>
      <c r="D10727">
        <f>IFERROR(Table7[[#This Row],[United States 10y]]-Table7[[#This Row],[United States 3y]],#N/A)</f>
        <v/>
      </c>
    </row>
    <row r="10728">
      <c r="A10728" s="6">
        <f>Database!$A12813</f>
        <v/>
      </c>
      <c r="B10728">
        <f>IF(VLOOKUP(Table7[[#This Row],[Date]],Database!$A:$C,MATCH($B$1,Database!$A$1:$C$1,),)=0,#N/A,VLOOKUP(Table7[[#This Row],[Date]],Database!$A:$C,MATCH($B$1,Database!$A$1:$C$1,),))</f>
        <v/>
      </c>
      <c r="C10728">
        <f>IF(VLOOKUP(Table7[[#This Row],[Date]],Database!$A:$C,MATCH($C$1,Database!$A$1:$C$1,),)=0,#N/A,VLOOKUP(Table7[[#This Row],[Date]],Database!$A:$C,MATCH($C$1,Database!$A$1:$C$1,),))</f>
        <v/>
      </c>
      <c r="D10728">
        <f>IFERROR(Table7[[#This Row],[United States 10y]]-Table7[[#This Row],[United States 3y]],#N/A)</f>
        <v/>
      </c>
    </row>
    <row r="10729">
      <c r="A10729" s="6">
        <f>Database!$A12814</f>
        <v/>
      </c>
      <c r="B10729">
        <f>IF(VLOOKUP(Table7[[#This Row],[Date]],Database!$A:$C,MATCH($B$1,Database!$A$1:$C$1,),)=0,#N/A,VLOOKUP(Table7[[#This Row],[Date]],Database!$A:$C,MATCH($B$1,Database!$A$1:$C$1,),))</f>
        <v/>
      </c>
      <c r="C10729">
        <f>IF(VLOOKUP(Table7[[#This Row],[Date]],Database!$A:$C,MATCH($C$1,Database!$A$1:$C$1,),)=0,#N/A,VLOOKUP(Table7[[#This Row],[Date]],Database!$A:$C,MATCH($C$1,Database!$A$1:$C$1,),))</f>
        <v/>
      </c>
      <c r="D10729">
        <f>IFERROR(Table7[[#This Row],[United States 10y]]-Table7[[#This Row],[United States 3y]],#N/A)</f>
        <v/>
      </c>
    </row>
    <row r="10730">
      <c r="A10730" s="6">
        <f>Database!$A12815</f>
        <v/>
      </c>
      <c r="B10730">
        <f>IF(VLOOKUP(Table7[[#This Row],[Date]],Database!$A:$C,MATCH($B$1,Database!$A$1:$C$1,),)=0,#N/A,VLOOKUP(Table7[[#This Row],[Date]],Database!$A:$C,MATCH($B$1,Database!$A$1:$C$1,),))</f>
        <v/>
      </c>
      <c r="C10730">
        <f>IF(VLOOKUP(Table7[[#This Row],[Date]],Database!$A:$C,MATCH($C$1,Database!$A$1:$C$1,),)=0,#N/A,VLOOKUP(Table7[[#This Row],[Date]],Database!$A:$C,MATCH($C$1,Database!$A$1:$C$1,),))</f>
        <v/>
      </c>
      <c r="D10730">
        <f>IFERROR(Table7[[#This Row],[United States 10y]]-Table7[[#This Row],[United States 3y]],#N/A)</f>
        <v/>
      </c>
    </row>
    <row r="10731">
      <c r="A10731" s="6">
        <f>Database!$A12816</f>
        <v/>
      </c>
      <c r="B10731">
        <f>IF(VLOOKUP(Table7[[#This Row],[Date]],Database!$A:$C,MATCH($B$1,Database!$A$1:$C$1,),)=0,#N/A,VLOOKUP(Table7[[#This Row],[Date]],Database!$A:$C,MATCH($B$1,Database!$A$1:$C$1,),))</f>
        <v/>
      </c>
      <c r="C10731">
        <f>IF(VLOOKUP(Table7[[#This Row],[Date]],Database!$A:$C,MATCH($C$1,Database!$A$1:$C$1,),)=0,#N/A,VLOOKUP(Table7[[#This Row],[Date]],Database!$A:$C,MATCH($C$1,Database!$A$1:$C$1,),))</f>
        <v/>
      </c>
      <c r="D10731">
        <f>IFERROR(Table7[[#This Row],[United States 10y]]-Table7[[#This Row],[United States 3y]],#N/A)</f>
        <v/>
      </c>
    </row>
    <row r="10732">
      <c r="A10732" s="6">
        <f>Database!$A12817</f>
        <v/>
      </c>
      <c r="B10732">
        <f>IF(VLOOKUP(Table7[[#This Row],[Date]],Database!$A:$C,MATCH($B$1,Database!$A$1:$C$1,),)=0,#N/A,VLOOKUP(Table7[[#This Row],[Date]],Database!$A:$C,MATCH($B$1,Database!$A$1:$C$1,),))</f>
        <v/>
      </c>
      <c r="C10732">
        <f>IF(VLOOKUP(Table7[[#This Row],[Date]],Database!$A:$C,MATCH($C$1,Database!$A$1:$C$1,),)=0,#N/A,VLOOKUP(Table7[[#This Row],[Date]],Database!$A:$C,MATCH($C$1,Database!$A$1:$C$1,),))</f>
        <v/>
      </c>
      <c r="D10732">
        <f>IFERROR(Table7[[#This Row],[United States 10y]]-Table7[[#This Row],[United States 3y]],#N/A)</f>
        <v/>
      </c>
    </row>
    <row r="10733">
      <c r="A10733" s="6">
        <f>Database!$A12818</f>
        <v/>
      </c>
      <c r="B10733">
        <f>IF(VLOOKUP(Table7[[#This Row],[Date]],Database!$A:$C,MATCH($B$1,Database!$A$1:$C$1,),)=0,#N/A,VLOOKUP(Table7[[#This Row],[Date]],Database!$A:$C,MATCH($B$1,Database!$A$1:$C$1,),))</f>
        <v/>
      </c>
      <c r="C10733">
        <f>IF(VLOOKUP(Table7[[#This Row],[Date]],Database!$A:$C,MATCH($C$1,Database!$A$1:$C$1,),)=0,#N/A,VLOOKUP(Table7[[#This Row],[Date]],Database!$A:$C,MATCH($C$1,Database!$A$1:$C$1,),))</f>
        <v/>
      </c>
      <c r="D10733">
        <f>IFERROR(Table7[[#This Row],[United States 10y]]-Table7[[#This Row],[United States 3y]],#N/A)</f>
        <v/>
      </c>
    </row>
    <row r="10734">
      <c r="A10734" s="6">
        <f>Database!$A12819</f>
        <v/>
      </c>
      <c r="B10734">
        <f>IF(VLOOKUP(Table7[[#This Row],[Date]],Database!$A:$C,MATCH($B$1,Database!$A$1:$C$1,),)=0,#N/A,VLOOKUP(Table7[[#This Row],[Date]],Database!$A:$C,MATCH($B$1,Database!$A$1:$C$1,),))</f>
        <v/>
      </c>
      <c r="C10734">
        <f>IF(VLOOKUP(Table7[[#This Row],[Date]],Database!$A:$C,MATCH($C$1,Database!$A$1:$C$1,),)=0,#N/A,VLOOKUP(Table7[[#This Row],[Date]],Database!$A:$C,MATCH($C$1,Database!$A$1:$C$1,),))</f>
        <v/>
      </c>
      <c r="D10734">
        <f>IFERROR(Table7[[#This Row],[United States 10y]]-Table7[[#This Row],[United States 3y]],#N/A)</f>
        <v/>
      </c>
    </row>
    <row r="10735">
      <c r="A10735" s="6">
        <f>Database!$A12820</f>
        <v/>
      </c>
      <c r="B10735">
        <f>IF(VLOOKUP(Table7[[#This Row],[Date]],Database!$A:$C,MATCH($B$1,Database!$A$1:$C$1,),)=0,#N/A,VLOOKUP(Table7[[#This Row],[Date]],Database!$A:$C,MATCH($B$1,Database!$A$1:$C$1,),))</f>
        <v/>
      </c>
      <c r="C10735">
        <f>IF(VLOOKUP(Table7[[#This Row],[Date]],Database!$A:$C,MATCH($C$1,Database!$A$1:$C$1,),)=0,#N/A,VLOOKUP(Table7[[#This Row],[Date]],Database!$A:$C,MATCH($C$1,Database!$A$1:$C$1,),))</f>
        <v/>
      </c>
      <c r="D10735">
        <f>IFERROR(Table7[[#This Row],[United States 10y]]-Table7[[#This Row],[United States 3y]],#N/A)</f>
        <v/>
      </c>
    </row>
    <row r="10736">
      <c r="A10736" s="6">
        <f>Database!$A12821</f>
        <v/>
      </c>
      <c r="B10736">
        <f>IF(VLOOKUP(Table7[[#This Row],[Date]],Database!$A:$C,MATCH($B$1,Database!$A$1:$C$1,),)=0,#N/A,VLOOKUP(Table7[[#This Row],[Date]],Database!$A:$C,MATCH($B$1,Database!$A$1:$C$1,),))</f>
        <v/>
      </c>
      <c r="C10736">
        <f>IF(VLOOKUP(Table7[[#This Row],[Date]],Database!$A:$C,MATCH($C$1,Database!$A$1:$C$1,),)=0,#N/A,VLOOKUP(Table7[[#This Row],[Date]],Database!$A:$C,MATCH($C$1,Database!$A$1:$C$1,),))</f>
        <v/>
      </c>
      <c r="D10736">
        <f>IFERROR(Table7[[#This Row],[United States 10y]]-Table7[[#This Row],[United States 3y]],#N/A)</f>
        <v/>
      </c>
    </row>
    <row r="10737">
      <c r="A10737" s="6">
        <f>Database!$A12822</f>
        <v/>
      </c>
      <c r="B10737">
        <f>IF(VLOOKUP(Table7[[#This Row],[Date]],Database!$A:$C,MATCH($B$1,Database!$A$1:$C$1,),)=0,#N/A,VLOOKUP(Table7[[#This Row],[Date]],Database!$A:$C,MATCH($B$1,Database!$A$1:$C$1,),))</f>
        <v/>
      </c>
      <c r="C10737">
        <f>IF(VLOOKUP(Table7[[#This Row],[Date]],Database!$A:$C,MATCH($C$1,Database!$A$1:$C$1,),)=0,#N/A,VLOOKUP(Table7[[#This Row],[Date]],Database!$A:$C,MATCH($C$1,Database!$A$1:$C$1,),))</f>
        <v/>
      </c>
      <c r="D10737">
        <f>IFERROR(Table7[[#This Row],[United States 10y]]-Table7[[#This Row],[United States 3y]],#N/A)</f>
        <v/>
      </c>
    </row>
    <row r="10738">
      <c r="A10738" s="6">
        <f>Database!$A12823</f>
        <v/>
      </c>
      <c r="B10738">
        <f>IF(VLOOKUP(Table7[[#This Row],[Date]],Database!$A:$C,MATCH($B$1,Database!$A$1:$C$1,),)=0,#N/A,VLOOKUP(Table7[[#This Row],[Date]],Database!$A:$C,MATCH($B$1,Database!$A$1:$C$1,),))</f>
        <v/>
      </c>
      <c r="C10738">
        <f>IF(VLOOKUP(Table7[[#This Row],[Date]],Database!$A:$C,MATCH($C$1,Database!$A$1:$C$1,),)=0,#N/A,VLOOKUP(Table7[[#This Row],[Date]],Database!$A:$C,MATCH($C$1,Database!$A$1:$C$1,),))</f>
        <v/>
      </c>
      <c r="D10738">
        <f>IFERROR(Table7[[#This Row],[United States 10y]]-Table7[[#This Row],[United States 3y]],#N/A)</f>
        <v/>
      </c>
    </row>
    <row r="10739">
      <c r="A10739" s="6">
        <f>Database!$A12824</f>
        <v/>
      </c>
      <c r="B10739">
        <f>IF(VLOOKUP(Table7[[#This Row],[Date]],Database!$A:$C,MATCH($B$1,Database!$A$1:$C$1,),)=0,#N/A,VLOOKUP(Table7[[#This Row],[Date]],Database!$A:$C,MATCH($B$1,Database!$A$1:$C$1,),))</f>
        <v/>
      </c>
      <c r="C10739">
        <f>IF(VLOOKUP(Table7[[#This Row],[Date]],Database!$A:$C,MATCH($C$1,Database!$A$1:$C$1,),)=0,#N/A,VLOOKUP(Table7[[#This Row],[Date]],Database!$A:$C,MATCH($C$1,Database!$A$1:$C$1,),))</f>
        <v/>
      </c>
      <c r="D10739">
        <f>IFERROR(Table7[[#This Row],[United States 10y]]-Table7[[#This Row],[United States 3y]],#N/A)</f>
        <v/>
      </c>
    </row>
    <row r="10740">
      <c r="A10740" s="6">
        <f>Database!$A12825</f>
        <v/>
      </c>
      <c r="B10740">
        <f>IF(VLOOKUP(Table7[[#This Row],[Date]],Database!$A:$C,MATCH($B$1,Database!$A$1:$C$1,),)=0,#N/A,VLOOKUP(Table7[[#This Row],[Date]],Database!$A:$C,MATCH($B$1,Database!$A$1:$C$1,),))</f>
        <v/>
      </c>
      <c r="C10740">
        <f>IF(VLOOKUP(Table7[[#This Row],[Date]],Database!$A:$C,MATCH($C$1,Database!$A$1:$C$1,),)=0,#N/A,VLOOKUP(Table7[[#This Row],[Date]],Database!$A:$C,MATCH($C$1,Database!$A$1:$C$1,),))</f>
        <v/>
      </c>
      <c r="D10740">
        <f>IFERROR(Table7[[#This Row],[United States 10y]]-Table7[[#This Row],[United States 3y]],#N/A)</f>
        <v/>
      </c>
    </row>
    <row r="10741">
      <c r="A10741" s="6">
        <f>Database!$A12826</f>
        <v/>
      </c>
      <c r="B10741">
        <f>IF(VLOOKUP(Table7[[#This Row],[Date]],Database!$A:$C,MATCH($B$1,Database!$A$1:$C$1,),)=0,#N/A,VLOOKUP(Table7[[#This Row],[Date]],Database!$A:$C,MATCH($B$1,Database!$A$1:$C$1,),))</f>
        <v/>
      </c>
      <c r="C10741">
        <f>IF(VLOOKUP(Table7[[#This Row],[Date]],Database!$A:$C,MATCH($C$1,Database!$A$1:$C$1,),)=0,#N/A,VLOOKUP(Table7[[#This Row],[Date]],Database!$A:$C,MATCH($C$1,Database!$A$1:$C$1,),))</f>
        <v/>
      </c>
      <c r="D10741">
        <f>IFERROR(Table7[[#This Row],[United States 10y]]-Table7[[#This Row],[United States 3y]],#N/A)</f>
        <v/>
      </c>
    </row>
    <row r="10742">
      <c r="A10742" s="6">
        <f>Database!$A12827</f>
        <v/>
      </c>
      <c r="B10742">
        <f>IF(VLOOKUP(Table7[[#This Row],[Date]],Database!$A:$C,MATCH($B$1,Database!$A$1:$C$1,),)=0,#N/A,VLOOKUP(Table7[[#This Row],[Date]],Database!$A:$C,MATCH($B$1,Database!$A$1:$C$1,),))</f>
        <v/>
      </c>
      <c r="C10742">
        <f>IF(VLOOKUP(Table7[[#This Row],[Date]],Database!$A:$C,MATCH($C$1,Database!$A$1:$C$1,),)=0,#N/A,VLOOKUP(Table7[[#This Row],[Date]],Database!$A:$C,MATCH($C$1,Database!$A$1:$C$1,),))</f>
        <v/>
      </c>
      <c r="D10742">
        <f>IFERROR(Table7[[#This Row],[United States 10y]]-Table7[[#This Row],[United States 3y]],#N/A)</f>
        <v/>
      </c>
    </row>
    <row r="10743">
      <c r="A10743" s="6">
        <f>Database!$A12828</f>
        <v/>
      </c>
      <c r="B10743">
        <f>IF(VLOOKUP(Table7[[#This Row],[Date]],Database!$A:$C,MATCH($B$1,Database!$A$1:$C$1,),)=0,#N/A,VLOOKUP(Table7[[#This Row],[Date]],Database!$A:$C,MATCH($B$1,Database!$A$1:$C$1,),))</f>
        <v/>
      </c>
      <c r="C10743">
        <f>IF(VLOOKUP(Table7[[#This Row],[Date]],Database!$A:$C,MATCH($C$1,Database!$A$1:$C$1,),)=0,#N/A,VLOOKUP(Table7[[#This Row],[Date]],Database!$A:$C,MATCH($C$1,Database!$A$1:$C$1,),))</f>
        <v/>
      </c>
      <c r="D10743">
        <f>IFERROR(Table7[[#This Row],[United States 10y]]-Table7[[#This Row],[United States 3y]],#N/A)</f>
        <v/>
      </c>
    </row>
    <row r="10744">
      <c r="A10744" s="6">
        <f>Database!$A12829</f>
        <v/>
      </c>
      <c r="B10744">
        <f>IF(VLOOKUP(Table7[[#This Row],[Date]],Database!$A:$C,MATCH($B$1,Database!$A$1:$C$1,),)=0,#N/A,VLOOKUP(Table7[[#This Row],[Date]],Database!$A:$C,MATCH($B$1,Database!$A$1:$C$1,),))</f>
        <v/>
      </c>
      <c r="C10744">
        <f>IF(VLOOKUP(Table7[[#This Row],[Date]],Database!$A:$C,MATCH($C$1,Database!$A$1:$C$1,),)=0,#N/A,VLOOKUP(Table7[[#This Row],[Date]],Database!$A:$C,MATCH($C$1,Database!$A$1:$C$1,),))</f>
        <v/>
      </c>
      <c r="D10744">
        <f>IFERROR(Table7[[#This Row],[United States 10y]]-Table7[[#This Row],[United States 3y]],#N/A)</f>
        <v/>
      </c>
    </row>
    <row r="10745">
      <c r="A10745" s="6">
        <f>Database!$A12830</f>
        <v/>
      </c>
      <c r="B10745">
        <f>IF(VLOOKUP(Table7[[#This Row],[Date]],Database!$A:$C,MATCH($B$1,Database!$A$1:$C$1,),)=0,#N/A,VLOOKUP(Table7[[#This Row],[Date]],Database!$A:$C,MATCH($B$1,Database!$A$1:$C$1,),))</f>
        <v/>
      </c>
      <c r="C10745">
        <f>IF(VLOOKUP(Table7[[#This Row],[Date]],Database!$A:$C,MATCH($C$1,Database!$A$1:$C$1,),)=0,#N/A,VLOOKUP(Table7[[#This Row],[Date]],Database!$A:$C,MATCH($C$1,Database!$A$1:$C$1,),))</f>
        <v/>
      </c>
      <c r="D10745">
        <f>IFERROR(Table7[[#This Row],[United States 10y]]-Table7[[#This Row],[United States 3y]],#N/A)</f>
        <v/>
      </c>
    </row>
    <row r="10746">
      <c r="A10746" s="6">
        <f>Database!$A12831</f>
        <v/>
      </c>
      <c r="B10746">
        <f>IF(VLOOKUP(Table7[[#This Row],[Date]],Database!$A:$C,MATCH($B$1,Database!$A$1:$C$1,),)=0,#N/A,VLOOKUP(Table7[[#This Row],[Date]],Database!$A:$C,MATCH($B$1,Database!$A$1:$C$1,),))</f>
        <v/>
      </c>
      <c r="C10746">
        <f>IF(VLOOKUP(Table7[[#This Row],[Date]],Database!$A:$C,MATCH($C$1,Database!$A$1:$C$1,),)=0,#N/A,VLOOKUP(Table7[[#This Row],[Date]],Database!$A:$C,MATCH($C$1,Database!$A$1:$C$1,),))</f>
        <v/>
      </c>
      <c r="D10746">
        <f>IFERROR(Table7[[#This Row],[United States 10y]]-Table7[[#This Row],[United States 3y]],#N/A)</f>
        <v/>
      </c>
    </row>
    <row r="10747">
      <c r="A10747" s="6">
        <f>Database!$A12832</f>
        <v/>
      </c>
      <c r="B10747">
        <f>IF(VLOOKUP(Table7[[#This Row],[Date]],Database!$A:$C,MATCH($B$1,Database!$A$1:$C$1,),)=0,#N/A,VLOOKUP(Table7[[#This Row],[Date]],Database!$A:$C,MATCH($B$1,Database!$A$1:$C$1,),))</f>
        <v/>
      </c>
      <c r="C10747">
        <f>IF(VLOOKUP(Table7[[#This Row],[Date]],Database!$A:$C,MATCH($C$1,Database!$A$1:$C$1,),)=0,#N/A,VLOOKUP(Table7[[#This Row],[Date]],Database!$A:$C,MATCH($C$1,Database!$A$1:$C$1,),))</f>
        <v/>
      </c>
      <c r="D10747">
        <f>IFERROR(Table7[[#This Row],[United States 10y]]-Table7[[#This Row],[United States 3y]],#N/A)</f>
        <v/>
      </c>
    </row>
    <row r="10748">
      <c r="A10748" s="6">
        <f>Database!$A12833</f>
        <v/>
      </c>
      <c r="B10748">
        <f>IF(VLOOKUP(Table7[[#This Row],[Date]],Database!$A:$C,MATCH($B$1,Database!$A$1:$C$1,),)=0,#N/A,VLOOKUP(Table7[[#This Row],[Date]],Database!$A:$C,MATCH($B$1,Database!$A$1:$C$1,),))</f>
        <v/>
      </c>
      <c r="C10748">
        <f>IF(VLOOKUP(Table7[[#This Row],[Date]],Database!$A:$C,MATCH($C$1,Database!$A$1:$C$1,),)=0,#N/A,VLOOKUP(Table7[[#This Row],[Date]],Database!$A:$C,MATCH($C$1,Database!$A$1:$C$1,),))</f>
        <v/>
      </c>
      <c r="D10748">
        <f>IFERROR(Table7[[#This Row],[United States 10y]]-Table7[[#This Row],[United States 3y]],#N/A)</f>
        <v/>
      </c>
    </row>
    <row r="10749">
      <c r="A10749" s="6">
        <f>Database!$A12834</f>
        <v/>
      </c>
      <c r="B10749">
        <f>IF(VLOOKUP(Table7[[#This Row],[Date]],Database!$A:$C,MATCH($B$1,Database!$A$1:$C$1,),)=0,#N/A,VLOOKUP(Table7[[#This Row],[Date]],Database!$A:$C,MATCH($B$1,Database!$A$1:$C$1,),))</f>
        <v/>
      </c>
      <c r="C10749">
        <f>IF(VLOOKUP(Table7[[#This Row],[Date]],Database!$A:$C,MATCH($C$1,Database!$A$1:$C$1,),)=0,#N/A,VLOOKUP(Table7[[#This Row],[Date]],Database!$A:$C,MATCH($C$1,Database!$A$1:$C$1,),))</f>
        <v/>
      </c>
      <c r="D10749">
        <f>IFERROR(Table7[[#This Row],[United States 10y]]-Table7[[#This Row],[United States 3y]],#N/A)</f>
        <v/>
      </c>
    </row>
    <row r="10750">
      <c r="A10750" s="6">
        <f>Database!$A12835</f>
        <v/>
      </c>
      <c r="B10750">
        <f>IF(VLOOKUP(Table7[[#This Row],[Date]],Database!$A:$C,MATCH($B$1,Database!$A$1:$C$1,),)=0,#N/A,VLOOKUP(Table7[[#This Row],[Date]],Database!$A:$C,MATCH($B$1,Database!$A$1:$C$1,),))</f>
        <v/>
      </c>
      <c r="C10750">
        <f>IF(VLOOKUP(Table7[[#This Row],[Date]],Database!$A:$C,MATCH($C$1,Database!$A$1:$C$1,),)=0,#N/A,VLOOKUP(Table7[[#This Row],[Date]],Database!$A:$C,MATCH($C$1,Database!$A$1:$C$1,),))</f>
        <v/>
      </c>
      <c r="D10750">
        <f>IFERROR(Table7[[#This Row],[United States 10y]]-Table7[[#This Row],[United States 3y]],#N/A)</f>
        <v/>
      </c>
    </row>
    <row r="10751">
      <c r="A10751" s="6">
        <f>Database!$A12836</f>
        <v/>
      </c>
      <c r="B10751">
        <f>IF(VLOOKUP(Table7[[#This Row],[Date]],Database!$A:$C,MATCH($B$1,Database!$A$1:$C$1,),)=0,#N/A,VLOOKUP(Table7[[#This Row],[Date]],Database!$A:$C,MATCH($B$1,Database!$A$1:$C$1,),))</f>
        <v/>
      </c>
      <c r="C10751">
        <f>IF(VLOOKUP(Table7[[#This Row],[Date]],Database!$A:$C,MATCH($C$1,Database!$A$1:$C$1,),)=0,#N/A,VLOOKUP(Table7[[#This Row],[Date]],Database!$A:$C,MATCH($C$1,Database!$A$1:$C$1,),))</f>
        <v/>
      </c>
      <c r="D10751">
        <f>IFERROR(Table7[[#This Row],[United States 10y]]-Table7[[#This Row],[United States 3y]],#N/A)</f>
        <v/>
      </c>
    </row>
    <row r="10752">
      <c r="A10752" s="6">
        <f>Database!$A12837</f>
        <v/>
      </c>
      <c r="B10752">
        <f>IF(VLOOKUP(Table7[[#This Row],[Date]],Database!$A:$C,MATCH($B$1,Database!$A$1:$C$1,),)=0,#N/A,VLOOKUP(Table7[[#This Row],[Date]],Database!$A:$C,MATCH($B$1,Database!$A$1:$C$1,),))</f>
        <v/>
      </c>
      <c r="C10752">
        <f>IF(VLOOKUP(Table7[[#This Row],[Date]],Database!$A:$C,MATCH($C$1,Database!$A$1:$C$1,),)=0,#N/A,VLOOKUP(Table7[[#This Row],[Date]],Database!$A:$C,MATCH($C$1,Database!$A$1:$C$1,),))</f>
        <v/>
      </c>
      <c r="D10752">
        <f>IFERROR(Table7[[#This Row],[United States 10y]]-Table7[[#This Row],[United States 3y]],#N/A)</f>
        <v/>
      </c>
    </row>
    <row r="10753">
      <c r="A10753" s="6">
        <f>Database!$A12838</f>
        <v/>
      </c>
      <c r="B10753">
        <f>IF(VLOOKUP(Table7[[#This Row],[Date]],Database!$A:$C,MATCH($B$1,Database!$A$1:$C$1,),)=0,#N/A,VLOOKUP(Table7[[#This Row],[Date]],Database!$A:$C,MATCH($B$1,Database!$A$1:$C$1,),))</f>
        <v/>
      </c>
      <c r="C10753">
        <f>IF(VLOOKUP(Table7[[#This Row],[Date]],Database!$A:$C,MATCH($C$1,Database!$A$1:$C$1,),)=0,#N/A,VLOOKUP(Table7[[#This Row],[Date]],Database!$A:$C,MATCH($C$1,Database!$A$1:$C$1,),))</f>
        <v/>
      </c>
      <c r="D10753">
        <f>IFERROR(Table7[[#This Row],[United States 10y]]-Table7[[#This Row],[United States 3y]],#N/A)</f>
        <v/>
      </c>
    </row>
    <row r="10754">
      <c r="A10754" s="6">
        <f>Database!$A12839</f>
        <v/>
      </c>
      <c r="B10754">
        <f>IF(VLOOKUP(Table7[[#This Row],[Date]],Database!$A:$C,MATCH($B$1,Database!$A$1:$C$1,),)=0,#N/A,VLOOKUP(Table7[[#This Row],[Date]],Database!$A:$C,MATCH($B$1,Database!$A$1:$C$1,),))</f>
        <v/>
      </c>
      <c r="C10754">
        <f>IF(VLOOKUP(Table7[[#This Row],[Date]],Database!$A:$C,MATCH($C$1,Database!$A$1:$C$1,),)=0,#N/A,VLOOKUP(Table7[[#This Row],[Date]],Database!$A:$C,MATCH($C$1,Database!$A$1:$C$1,),))</f>
        <v/>
      </c>
      <c r="D10754">
        <f>IFERROR(Table7[[#This Row],[United States 10y]]-Table7[[#This Row],[United States 3y]],#N/A)</f>
        <v/>
      </c>
    </row>
    <row r="10755">
      <c r="A10755" s="6">
        <f>Database!$A12840</f>
        <v/>
      </c>
      <c r="B10755">
        <f>IF(VLOOKUP(Table7[[#This Row],[Date]],Database!$A:$C,MATCH($B$1,Database!$A$1:$C$1,),)=0,#N/A,VLOOKUP(Table7[[#This Row],[Date]],Database!$A:$C,MATCH($B$1,Database!$A$1:$C$1,),))</f>
        <v/>
      </c>
      <c r="C10755">
        <f>IF(VLOOKUP(Table7[[#This Row],[Date]],Database!$A:$C,MATCH($C$1,Database!$A$1:$C$1,),)=0,#N/A,VLOOKUP(Table7[[#This Row],[Date]],Database!$A:$C,MATCH($C$1,Database!$A$1:$C$1,),))</f>
        <v/>
      </c>
      <c r="D10755">
        <f>IFERROR(Table7[[#This Row],[United States 10y]]-Table7[[#This Row],[United States 3y]],#N/A)</f>
        <v/>
      </c>
    </row>
    <row r="10756">
      <c r="A10756" s="6">
        <f>Database!$A12841</f>
        <v/>
      </c>
      <c r="B10756">
        <f>IF(VLOOKUP(Table7[[#This Row],[Date]],Database!$A:$C,MATCH($B$1,Database!$A$1:$C$1,),)=0,#N/A,VLOOKUP(Table7[[#This Row],[Date]],Database!$A:$C,MATCH($B$1,Database!$A$1:$C$1,),))</f>
        <v/>
      </c>
      <c r="C10756">
        <f>IF(VLOOKUP(Table7[[#This Row],[Date]],Database!$A:$C,MATCH($C$1,Database!$A$1:$C$1,),)=0,#N/A,VLOOKUP(Table7[[#This Row],[Date]],Database!$A:$C,MATCH($C$1,Database!$A$1:$C$1,),))</f>
        <v/>
      </c>
      <c r="D10756">
        <f>IFERROR(Table7[[#This Row],[United States 10y]]-Table7[[#This Row],[United States 3y]],#N/A)</f>
        <v/>
      </c>
    </row>
    <row r="10757">
      <c r="A10757" s="6">
        <f>Database!$A12842</f>
        <v/>
      </c>
      <c r="B10757">
        <f>IF(VLOOKUP(Table7[[#This Row],[Date]],Database!$A:$C,MATCH($B$1,Database!$A$1:$C$1,),)=0,#N/A,VLOOKUP(Table7[[#This Row],[Date]],Database!$A:$C,MATCH($B$1,Database!$A$1:$C$1,),))</f>
        <v/>
      </c>
      <c r="C10757">
        <f>IF(VLOOKUP(Table7[[#This Row],[Date]],Database!$A:$C,MATCH($C$1,Database!$A$1:$C$1,),)=0,#N/A,VLOOKUP(Table7[[#This Row],[Date]],Database!$A:$C,MATCH($C$1,Database!$A$1:$C$1,),))</f>
        <v/>
      </c>
      <c r="D10757">
        <f>IFERROR(Table7[[#This Row],[United States 10y]]-Table7[[#This Row],[United States 3y]],#N/A)</f>
        <v/>
      </c>
    </row>
    <row r="10758">
      <c r="A10758" s="6">
        <f>Database!$A12843</f>
        <v/>
      </c>
      <c r="B10758">
        <f>IF(VLOOKUP(Table7[[#This Row],[Date]],Database!$A:$C,MATCH($B$1,Database!$A$1:$C$1,),)=0,#N/A,VLOOKUP(Table7[[#This Row],[Date]],Database!$A:$C,MATCH($B$1,Database!$A$1:$C$1,),))</f>
        <v/>
      </c>
      <c r="C10758">
        <f>IF(VLOOKUP(Table7[[#This Row],[Date]],Database!$A:$C,MATCH($C$1,Database!$A$1:$C$1,),)=0,#N/A,VLOOKUP(Table7[[#This Row],[Date]],Database!$A:$C,MATCH($C$1,Database!$A$1:$C$1,),))</f>
        <v/>
      </c>
      <c r="D10758">
        <f>IFERROR(Table7[[#This Row],[United States 10y]]-Table7[[#This Row],[United States 3y]],#N/A)</f>
        <v/>
      </c>
    </row>
    <row r="10759">
      <c r="A10759" s="6">
        <f>Database!$A12844</f>
        <v/>
      </c>
      <c r="B10759">
        <f>IF(VLOOKUP(Table7[[#This Row],[Date]],Database!$A:$C,MATCH($B$1,Database!$A$1:$C$1,),)=0,#N/A,VLOOKUP(Table7[[#This Row],[Date]],Database!$A:$C,MATCH($B$1,Database!$A$1:$C$1,),))</f>
        <v/>
      </c>
      <c r="C10759">
        <f>IF(VLOOKUP(Table7[[#This Row],[Date]],Database!$A:$C,MATCH($C$1,Database!$A$1:$C$1,),)=0,#N/A,VLOOKUP(Table7[[#This Row],[Date]],Database!$A:$C,MATCH($C$1,Database!$A$1:$C$1,),))</f>
        <v/>
      </c>
      <c r="D10759">
        <f>IFERROR(Table7[[#This Row],[United States 10y]]-Table7[[#This Row],[United States 3y]],#N/A)</f>
        <v/>
      </c>
    </row>
    <row r="10760">
      <c r="A10760" s="6">
        <f>Database!$A12845</f>
        <v/>
      </c>
      <c r="B10760">
        <f>IF(VLOOKUP(Table7[[#This Row],[Date]],Database!$A:$C,MATCH($B$1,Database!$A$1:$C$1,),)=0,#N/A,VLOOKUP(Table7[[#This Row],[Date]],Database!$A:$C,MATCH($B$1,Database!$A$1:$C$1,),))</f>
        <v/>
      </c>
      <c r="C10760">
        <f>IF(VLOOKUP(Table7[[#This Row],[Date]],Database!$A:$C,MATCH($C$1,Database!$A$1:$C$1,),)=0,#N/A,VLOOKUP(Table7[[#This Row],[Date]],Database!$A:$C,MATCH($C$1,Database!$A$1:$C$1,),))</f>
        <v/>
      </c>
      <c r="D10760">
        <f>IFERROR(Table7[[#This Row],[United States 10y]]-Table7[[#This Row],[United States 3y]],#N/A)</f>
        <v/>
      </c>
    </row>
    <row r="10761">
      <c r="A10761" s="6">
        <f>Database!$A12846</f>
        <v/>
      </c>
      <c r="B10761">
        <f>IF(VLOOKUP(Table7[[#This Row],[Date]],Database!$A:$C,MATCH($B$1,Database!$A$1:$C$1,),)=0,#N/A,VLOOKUP(Table7[[#This Row],[Date]],Database!$A:$C,MATCH($B$1,Database!$A$1:$C$1,),))</f>
        <v/>
      </c>
      <c r="C10761">
        <f>IF(VLOOKUP(Table7[[#This Row],[Date]],Database!$A:$C,MATCH($C$1,Database!$A$1:$C$1,),)=0,#N/A,VLOOKUP(Table7[[#This Row],[Date]],Database!$A:$C,MATCH($C$1,Database!$A$1:$C$1,),))</f>
        <v/>
      </c>
      <c r="D10761">
        <f>IFERROR(Table7[[#This Row],[United States 10y]]-Table7[[#This Row],[United States 3y]],#N/A)</f>
        <v/>
      </c>
    </row>
    <row r="10762">
      <c r="A10762" s="6">
        <f>Database!$A12847</f>
        <v/>
      </c>
      <c r="B10762">
        <f>IF(VLOOKUP(Table7[[#This Row],[Date]],Database!$A:$C,MATCH($B$1,Database!$A$1:$C$1,),)=0,#N/A,VLOOKUP(Table7[[#This Row],[Date]],Database!$A:$C,MATCH($B$1,Database!$A$1:$C$1,),))</f>
        <v/>
      </c>
      <c r="C10762">
        <f>IF(VLOOKUP(Table7[[#This Row],[Date]],Database!$A:$C,MATCH($C$1,Database!$A$1:$C$1,),)=0,#N/A,VLOOKUP(Table7[[#This Row],[Date]],Database!$A:$C,MATCH($C$1,Database!$A$1:$C$1,),))</f>
        <v/>
      </c>
      <c r="D10762">
        <f>IFERROR(Table7[[#This Row],[United States 10y]]-Table7[[#This Row],[United States 3y]],#N/A)</f>
        <v/>
      </c>
    </row>
    <row r="10763">
      <c r="A10763" s="6">
        <f>Database!$A12848</f>
        <v/>
      </c>
      <c r="B10763">
        <f>IF(VLOOKUP(Table7[[#This Row],[Date]],Database!$A:$C,MATCH($B$1,Database!$A$1:$C$1,),)=0,#N/A,VLOOKUP(Table7[[#This Row],[Date]],Database!$A:$C,MATCH($B$1,Database!$A$1:$C$1,),))</f>
        <v/>
      </c>
      <c r="C10763">
        <f>IF(VLOOKUP(Table7[[#This Row],[Date]],Database!$A:$C,MATCH($C$1,Database!$A$1:$C$1,),)=0,#N/A,VLOOKUP(Table7[[#This Row],[Date]],Database!$A:$C,MATCH($C$1,Database!$A$1:$C$1,),))</f>
        <v/>
      </c>
      <c r="D10763">
        <f>IFERROR(Table7[[#This Row],[United States 10y]]-Table7[[#This Row],[United States 3y]],#N/A)</f>
        <v/>
      </c>
    </row>
    <row r="10764">
      <c r="A10764" s="6">
        <f>Database!$A12849</f>
        <v/>
      </c>
      <c r="B10764">
        <f>IF(VLOOKUP(Table7[[#This Row],[Date]],Database!$A:$C,MATCH($B$1,Database!$A$1:$C$1,),)=0,#N/A,VLOOKUP(Table7[[#This Row],[Date]],Database!$A:$C,MATCH($B$1,Database!$A$1:$C$1,),))</f>
        <v/>
      </c>
      <c r="C10764">
        <f>IF(VLOOKUP(Table7[[#This Row],[Date]],Database!$A:$C,MATCH($C$1,Database!$A$1:$C$1,),)=0,#N/A,VLOOKUP(Table7[[#This Row],[Date]],Database!$A:$C,MATCH($C$1,Database!$A$1:$C$1,),))</f>
        <v/>
      </c>
      <c r="D10764">
        <f>IFERROR(Table7[[#This Row],[United States 10y]]-Table7[[#This Row],[United States 3y]],#N/A)</f>
        <v/>
      </c>
    </row>
    <row r="10765">
      <c r="A10765" s="6">
        <f>Database!$A12850</f>
        <v/>
      </c>
      <c r="B10765">
        <f>IF(VLOOKUP(Table7[[#This Row],[Date]],Database!$A:$C,MATCH($B$1,Database!$A$1:$C$1,),)=0,#N/A,VLOOKUP(Table7[[#This Row],[Date]],Database!$A:$C,MATCH($B$1,Database!$A$1:$C$1,),))</f>
        <v/>
      </c>
      <c r="C10765">
        <f>IF(VLOOKUP(Table7[[#This Row],[Date]],Database!$A:$C,MATCH($C$1,Database!$A$1:$C$1,),)=0,#N/A,VLOOKUP(Table7[[#This Row],[Date]],Database!$A:$C,MATCH($C$1,Database!$A$1:$C$1,),))</f>
        <v/>
      </c>
      <c r="D10765">
        <f>IFERROR(Table7[[#This Row],[United States 10y]]-Table7[[#This Row],[United States 3y]],#N/A)</f>
        <v/>
      </c>
    </row>
    <row r="10766">
      <c r="A10766" s="6">
        <f>Database!$A12851</f>
        <v/>
      </c>
      <c r="B10766">
        <f>IF(VLOOKUP(Table7[[#This Row],[Date]],Database!$A:$C,MATCH($B$1,Database!$A$1:$C$1,),)=0,#N/A,VLOOKUP(Table7[[#This Row],[Date]],Database!$A:$C,MATCH($B$1,Database!$A$1:$C$1,),))</f>
        <v/>
      </c>
      <c r="C10766">
        <f>IF(VLOOKUP(Table7[[#This Row],[Date]],Database!$A:$C,MATCH($C$1,Database!$A$1:$C$1,),)=0,#N/A,VLOOKUP(Table7[[#This Row],[Date]],Database!$A:$C,MATCH($C$1,Database!$A$1:$C$1,),))</f>
        <v/>
      </c>
      <c r="D10766">
        <f>IFERROR(Table7[[#This Row],[United States 10y]]-Table7[[#This Row],[United States 3y]],#N/A)</f>
        <v/>
      </c>
    </row>
    <row r="10767">
      <c r="A10767" s="6">
        <f>Database!$A12852</f>
        <v/>
      </c>
      <c r="B10767">
        <f>IF(VLOOKUP(Table7[[#This Row],[Date]],Database!$A:$C,MATCH($B$1,Database!$A$1:$C$1,),)=0,#N/A,VLOOKUP(Table7[[#This Row],[Date]],Database!$A:$C,MATCH($B$1,Database!$A$1:$C$1,),))</f>
        <v/>
      </c>
      <c r="C10767">
        <f>IF(VLOOKUP(Table7[[#This Row],[Date]],Database!$A:$C,MATCH($C$1,Database!$A$1:$C$1,),)=0,#N/A,VLOOKUP(Table7[[#This Row],[Date]],Database!$A:$C,MATCH($C$1,Database!$A$1:$C$1,),))</f>
        <v/>
      </c>
      <c r="D10767">
        <f>IFERROR(Table7[[#This Row],[United States 10y]]-Table7[[#This Row],[United States 3y]],#N/A)</f>
        <v/>
      </c>
    </row>
    <row r="10768">
      <c r="A10768" s="6">
        <f>Database!$A12853</f>
        <v/>
      </c>
      <c r="B10768">
        <f>IF(VLOOKUP(Table7[[#This Row],[Date]],Database!$A:$C,MATCH($B$1,Database!$A$1:$C$1,),)=0,#N/A,VLOOKUP(Table7[[#This Row],[Date]],Database!$A:$C,MATCH($B$1,Database!$A$1:$C$1,),))</f>
        <v/>
      </c>
      <c r="C10768">
        <f>IF(VLOOKUP(Table7[[#This Row],[Date]],Database!$A:$C,MATCH($C$1,Database!$A$1:$C$1,),)=0,#N/A,VLOOKUP(Table7[[#This Row],[Date]],Database!$A:$C,MATCH($C$1,Database!$A$1:$C$1,),))</f>
        <v/>
      </c>
      <c r="D10768">
        <f>IFERROR(Table7[[#This Row],[United States 10y]]-Table7[[#This Row],[United States 3y]],#N/A)</f>
        <v/>
      </c>
    </row>
    <row r="10769">
      <c r="A10769" s="6">
        <f>Database!$A12854</f>
        <v/>
      </c>
      <c r="B10769">
        <f>IF(VLOOKUP(Table7[[#This Row],[Date]],Database!$A:$C,MATCH($B$1,Database!$A$1:$C$1,),)=0,#N/A,VLOOKUP(Table7[[#This Row],[Date]],Database!$A:$C,MATCH($B$1,Database!$A$1:$C$1,),))</f>
        <v/>
      </c>
      <c r="C10769">
        <f>IF(VLOOKUP(Table7[[#This Row],[Date]],Database!$A:$C,MATCH($C$1,Database!$A$1:$C$1,),)=0,#N/A,VLOOKUP(Table7[[#This Row],[Date]],Database!$A:$C,MATCH($C$1,Database!$A$1:$C$1,),))</f>
        <v/>
      </c>
      <c r="D10769">
        <f>IFERROR(Table7[[#This Row],[United States 10y]]-Table7[[#This Row],[United States 3y]],#N/A)</f>
        <v/>
      </c>
    </row>
    <row r="10770">
      <c r="A10770" s="6">
        <f>Database!$A12855</f>
        <v/>
      </c>
      <c r="B10770">
        <f>IF(VLOOKUP(Table7[[#This Row],[Date]],Database!$A:$C,MATCH($B$1,Database!$A$1:$C$1,),)=0,#N/A,VLOOKUP(Table7[[#This Row],[Date]],Database!$A:$C,MATCH($B$1,Database!$A$1:$C$1,),))</f>
        <v/>
      </c>
      <c r="C10770">
        <f>IF(VLOOKUP(Table7[[#This Row],[Date]],Database!$A:$C,MATCH($C$1,Database!$A$1:$C$1,),)=0,#N/A,VLOOKUP(Table7[[#This Row],[Date]],Database!$A:$C,MATCH($C$1,Database!$A$1:$C$1,),))</f>
        <v/>
      </c>
      <c r="D10770">
        <f>IFERROR(Table7[[#This Row],[United States 10y]]-Table7[[#This Row],[United States 3y]],#N/A)</f>
        <v/>
      </c>
    </row>
    <row r="10771">
      <c r="A10771" s="6">
        <f>Database!$A12856</f>
        <v/>
      </c>
      <c r="B10771">
        <f>IF(VLOOKUP(Table7[[#This Row],[Date]],Database!$A:$C,MATCH($B$1,Database!$A$1:$C$1,),)=0,#N/A,VLOOKUP(Table7[[#This Row],[Date]],Database!$A:$C,MATCH($B$1,Database!$A$1:$C$1,),))</f>
        <v/>
      </c>
      <c r="C10771">
        <f>IF(VLOOKUP(Table7[[#This Row],[Date]],Database!$A:$C,MATCH($C$1,Database!$A$1:$C$1,),)=0,#N/A,VLOOKUP(Table7[[#This Row],[Date]],Database!$A:$C,MATCH($C$1,Database!$A$1:$C$1,),))</f>
        <v/>
      </c>
      <c r="D10771">
        <f>IFERROR(Table7[[#This Row],[United States 10y]]-Table7[[#This Row],[United States 3y]],#N/A)</f>
        <v/>
      </c>
    </row>
    <row r="10772">
      <c r="A10772" s="6">
        <f>Database!$A12857</f>
        <v/>
      </c>
      <c r="B10772">
        <f>IF(VLOOKUP(Table7[[#This Row],[Date]],Database!$A:$C,MATCH($B$1,Database!$A$1:$C$1,),)=0,#N/A,VLOOKUP(Table7[[#This Row],[Date]],Database!$A:$C,MATCH($B$1,Database!$A$1:$C$1,),))</f>
        <v/>
      </c>
      <c r="C10772">
        <f>IF(VLOOKUP(Table7[[#This Row],[Date]],Database!$A:$C,MATCH($C$1,Database!$A$1:$C$1,),)=0,#N/A,VLOOKUP(Table7[[#This Row],[Date]],Database!$A:$C,MATCH($C$1,Database!$A$1:$C$1,),))</f>
        <v/>
      </c>
      <c r="D10772">
        <f>IFERROR(Table7[[#This Row],[United States 10y]]-Table7[[#This Row],[United States 3y]],#N/A)</f>
        <v/>
      </c>
    </row>
    <row r="10773">
      <c r="A10773" s="6">
        <f>Database!$A12858</f>
        <v/>
      </c>
      <c r="B10773">
        <f>IF(VLOOKUP(Table7[[#This Row],[Date]],Database!$A:$C,MATCH($B$1,Database!$A$1:$C$1,),)=0,#N/A,VLOOKUP(Table7[[#This Row],[Date]],Database!$A:$C,MATCH($B$1,Database!$A$1:$C$1,),))</f>
        <v/>
      </c>
      <c r="C10773">
        <f>IF(VLOOKUP(Table7[[#This Row],[Date]],Database!$A:$C,MATCH($C$1,Database!$A$1:$C$1,),)=0,#N/A,VLOOKUP(Table7[[#This Row],[Date]],Database!$A:$C,MATCH($C$1,Database!$A$1:$C$1,),))</f>
        <v/>
      </c>
      <c r="D10773">
        <f>IFERROR(Table7[[#This Row],[United States 10y]]-Table7[[#This Row],[United States 3y]],#N/A)</f>
        <v/>
      </c>
    </row>
    <row r="10774">
      <c r="A10774" s="6">
        <f>Database!$A12859</f>
        <v/>
      </c>
      <c r="B10774">
        <f>IF(VLOOKUP(Table7[[#This Row],[Date]],Database!$A:$C,MATCH($B$1,Database!$A$1:$C$1,),)=0,#N/A,VLOOKUP(Table7[[#This Row],[Date]],Database!$A:$C,MATCH($B$1,Database!$A$1:$C$1,),))</f>
        <v/>
      </c>
      <c r="C10774">
        <f>IF(VLOOKUP(Table7[[#This Row],[Date]],Database!$A:$C,MATCH($C$1,Database!$A$1:$C$1,),)=0,#N/A,VLOOKUP(Table7[[#This Row],[Date]],Database!$A:$C,MATCH($C$1,Database!$A$1:$C$1,),))</f>
        <v/>
      </c>
      <c r="D10774">
        <f>IFERROR(Table7[[#This Row],[United States 10y]]-Table7[[#This Row],[United States 3y]],#N/A)</f>
        <v/>
      </c>
    </row>
    <row r="10775">
      <c r="A10775" s="6">
        <f>Database!$A12860</f>
        <v/>
      </c>
      <c r="B10775">
        <f>IF(VLOOKUP(Table7[[#This Row],[Date]],Database!$A:$C,MATCH($B$1,Database!$A$1:$C$1,),)=0,#N/A,VLOOKUP(Table7[[#This Row],[Date]],Database!$A:$C,MATCH($B$1,Database!$A$1:$C$1,),))</f>
        <v/>
      </c>
      <c r="C10775">
        <f>IF(VLOOKUP(Table7[[#This Row],[Date]],Database!$A:$C,MATCH($C$1,Database!$A$1:$C$1,),)=0,#N/A,VLOOKUP(Table7[[#This Row],[Date]],Database!$A:$C,MATCH($C$1,Database!$A$1:$C$1,),))</f>
        <v/>
      </c>
      <c r="D10775">
        <f>IFERROR(Table7[[#This Row],[United States 10y]]-Table7[[#This Row],[United States 3y]],#N/A)</f>
        <v/>
      </c>
    </row>
    <row r="10776">
      <c r="A10776" s="6">
        <f>Database!$A12861</f>
        <v/>
      </c>
      <c r="B10776">
        <f>IF(VLOOKUP(Table7[[#This Row],[Date]],Database!$A:$C,MATCH($B$1,Database!$A$1:$C$1,),)=0,#N/A,VLOOKUP(Table7[[#This Row],[Date]],Database!$A:$C,MATCH($B$1,Database!$A$1:$C$1,),))</f>
        <v/>
      </c>
      <c r="C10776">
        <f>IF(VLOOKUP(Table7[[#This Row],[Date]],Database!$A:$C,MATCH($C$1,Database!$A$1:$C$1,),)=0,#N/A,VLOOKUP(Table7[[#This Row],[Date]],Database!$A:$C,MATCH($C$1,Database!$A$1:$C$1,),))</f>
        <v/>
      </c>
      <c r="D10776">
        <f>IFERROR(Table7[[#This Row],[United States 10y]]-Table7[[#This Row],[United States 3y]],#N/A)</f>
        <v/>
      </c>
    </row>
    <row r="10777">
      <c r="A10777" s="6">
        <f>Database!$A12862</f>
        <v/>
      </c>
      <c r="B10777">
        <f>IF(VLOOKUP(Table7[[#This Row],[Date]],Database!$A:$C,MATCH($B$1,Database!$A$1:$C$1,),)=0,#N/A,VLOOKUP(Table7[[#This Row],[Date]],Database!$A:$C,MATCH($B$1,Database!$A$1:$C$1,),))</f>
        <v/>
      </c>
      <c r="C10777">
        <f>IF(VLOOKUP(Table7[[#This Row],[Date]],Database!$A:$C,MATCH($C$1,Database!$A$1:$C$1,),)=0,#N/A,VLOOKUP(Table7[[#This Row],[Date]],Database!$A:$C,MATCH($C$1,Database!$A$1:$C$1,),))</f>
        <v/>
      </c>
      <c r="D10777">
        <f>IFERROR(Table7[[#This Row],[United States 10y]]-Table7[[#This Row],[United States 3y]],#N/A)</f>
        <v/>
      </c>
    </row>
    <row r="10778">
      <c r="A10778" s="6">
        <f>Database!$A12863</f>
        <v/>
      </c>
      <c r="B10778">
        <f>IF(VLOOKUP(Table7[[#This Row],[Date]],Database!$A:$C,MATCH($B$1,Database!$A$1:$C$1,),)=0,#N/A,VLOOKUP(Table7[[#This Row],[Date]],Database!$A:$C,MATCH($B$1,Database!$A$1:$C$1,),))</f>
        <v/>
      </c>
      <c r="C10778">
        <f>IF(VLOOKUP(Table7[[#This Row],[Date]],Database!$A:$C,MATCH($C$1,Database!$A$1:$C$1,),)=0,#N/A,VLOOKUP(Table7[[#This Row],[Date]],Database!$A:$C,MATCH($C$1,Database!$A$1:$C$1,),))</f>
        <v/>
      </c>
      <c r="D10778">
        <f>IFERROR(Table7[[#This Row],[United States 10y]]-Table7[[#This Row],[United States 3y]],#N/A)</f>
        <v/>
      </c>
    </row>
    <row r="10779">
      <c r="A10779" s="6">
        <f>Database!$A12864</f>
        <v/>
      </c>
      <c r="B10779">
        <f>IF(VLOOKUP(Table7[[#This Row],[Date]],Database!$A:$C,MATCH($B$1,Database!$A$1:$C$1,),)=0,#N/A,VLOOKUP(Table7[[#This Row],[Date]],Database!$A:$C,MATCH($B$1,Database!$A$1:$C$1,),))</f>
        <v/>
      </c>
      <c r="C10779">
        <f>IF(VLOOKUP(Table7[[#This Row],[Date]],Database!$A:$C,MATCH($C$1,Database!$A$1:$C$1,),)=0,#N/A,VLOOKUP(Table7[[#This Row],[Date]],Database!$A:$C,MATCH($C$1,Database!$A$1:$C$1,),))</f>
        <v/>
      </c>
      <c r="D10779">
        <f>IFERROR(Table7[[#This Row],[United States 10y]]-Table7[[#This Row],[United States 3y]],#N/A)</f>
        <v/>
      </c>
    </row>
    <row r="10780">
      <c r="A10780" s="6">
        <f>Database!$A12865</f>
        <v/>
      </c>
      <c r="B10780">
        <f>IF(VLOOKUP(Table7[[#This Row],[Date]],Database!$A:$C,MATCH($B$1,Database!$A$1:$C$1,),)=0,#N/A,VLOOKUP(Table7[[#This Row],[Date]],Database!$A:$C,MATCH($B$1,Database!$A$1:$C$1,),))</f>
        <v/>
      </c>
      <c r="C10780">
        <f>IF(VLOOKUP(Table7[[#This Row],[Date]],Database!$A:$C,MATCH($C$1,Database!$A$1:$C$1,),)=0,#N/A,VLOOKUP(Table7[[#This Row],[Date]],Database!$A:$C,MATCH($C$1,Database!$A$1:$C$1,),))</f>
        <v/>
      </c>
      <c r="D10780">
        <f>IFERROR(Table7[[#This Row],[United States 10y]]-Table7[[#This Row],[United States 3y]],#N/A)</f>
        <v/>
      </c>
    </row>
    <row r="10781">
      <c r="A10781" s="6">
        <f>Database!$A12866</f>
        <v/>
      </c>
      <c r="B10781">
        <f>IF(VLOOKUP(Table7[[#This Row],[Date]],Database!$A:$C,MATCH($B$1,Database!$A$1:$C$1,),)=0,#N/A,VLOOKUP(Table7[[#This Row],[Date]],Database!$A:$C,MATCH($B$1,Database!$A$1:$C$1,),))</f>
        <v/>
      </c>
      <c r="C10781">
        <f>IF(VLOOKUP(Table7[[#This Row],[Date]],Database!$A:$C,MATCH($C$1,Database!$A$1:$C$1,),)=0,#N/A,VLOOKUP(Table7[[#This Row],[Date]],Database!$A:$C,MATCH($C$1,Database!$A$1:$C$1,),))</f>
        <v/>
      </c>
      <c r="D10781">
        <f>IFERROR(Table7[[#This Row],[United States 10y]]-Table7[[#This Row],[United States 3y]],#N/A)</f>
        <v/>
      </c>
    </row>
    <row r="10782">
      <c r="A10782" s="6">
        <f>Database!$A12867</f>
        <v/>
      </c>
      <c r="B10782">
        <f>IF(VLOOKUP(Table7[[#This Row],[Date]],Database!$A:$C,MATCH($B$1,Database!$A$1:$C$1,),)=0,#N/A,VLOOKUP(Table7[[#This Row],[Date]],Database!$A:$C,MATCH($B$1,Database!$A$1:$C$1,),))</f>
        <v/>
      </c>
      <c r="C10782">
        <f>IF(VLOOKUP(Table7[[#This Row],[Date]],Database!$A:$C,MATCH($C$1,Database!$A$1:$C$1,),)=0,#N/A,VLOOKUP(Table7[[#This Row],[Date]],Database!$A:$C,MATCH($C$1,Database!$A$1:$C$1,),))</f>
        <v/>
      </c>
      <c r="D10782">
        <f>IFERROR(Table7[[#This Row],[United States 10y]]-Table7[[#This Row],[United States 3y]],#N/A)</f>
        <v/>
      </c>
    </row>
    <row r="10783">
      <c r="A10783" s="6">
        <f>Database!$A12868</f>
        <v/>
      </c>
      <c r="B10783">
        <f>IF(VLOOKUP(Table7[[#This Row],[Date]],Database!$A:$C,MATCH($B$1,Database!$A$1:$C$1,),)=0,#N/A,VLOOKUP(Table7[[#This Row],[Date]],Database!$A:$C,MATCH($B$1,Database!$A$1:$C$1,),))</f>
        <v/>
      </c>
      <c r="C10783">
        <f>IF(VLOOKUP(Table7[[#This Row],[Date]],Database!$A:$C,MATCH($C$1,Database!$A$1:$C$1,),)=0,#N/A,VLOOKUP(Table7[[#This Row],[Date]],Database!$A:$C,MATCH($C$1,Database!$A$1:$C$1,),))</f>
        <v/>
      </c>
      <c r="D10783">
        <f>IFERROR(Table7[[#This Row],[United States 10y]]-Table7[[#This Row],[United States 3y]],#N/A)</f>
        <v/>
      </c>
    </row>
    <row r="10784">
      <c r="A10784" s="6">
        <f>Database!$A12869</f>
        <v/>
      </c>
      <c r="B10784">
        <f>IF(VLOOKUP(Table7[[#This Row],[Date]],Database!$A:$C,MATCH($B$1,Database!$A$1:$C$1,),)=0,#N/A,VLOOKUP(Table7[[#This Row],[Date]],Database!$A:$C,MATCH($B$1,Database!$A$1:$C$1,),))</f>
        <v/>
      </c>
      <c r="C10784">
        <f>IF(VLOOKUP(Table7[[#This Row],[Date]],Database!$A:$C,MATCH($C$1,Database!$A$1:$C$1,),)=0,#N/A,VLOOKUP(Table7[[#This Row],[Date]],Database!$A:$C,MATCH($C$1,Database!$A$1:$C$1,),))</f>
        <v/>
      </c>
      <c r="D10784">
        <f>IFERROR(Table7[[#This Row],[United States 10y]]-Table7[[#This Row],[United States 3y]],#N/A)</f>
        <v/>
      </c>
    </row>
    <row r="10785">
      <c r="A10785" s="6">
        <f>Database!$A12870</f>
        <v/>
      </c>
      <c r="B10785">
        <f>IF(VLOOKUP(Table7[[#This Row],[Date]],Database!$A:$C,MATCH($B$1,Database!$A$1:$C$1,),)=0,#N/A,VLOOKUP(Table7[[#This Row],[Date]],Database!$A:$C,MATCH($B$1,Database!$A$1:$C$1,),))</f>
        <v/>
      </c>
      <c r="C10785">
        <f>IF(VLOOKUP(Table7[[#This Row],[Date]],Database!$A:$C,MATCH($C$1,Database!$A$1:$C$1,),)=0,#N/A,VLOOKUP(Table7[[#This Row],[Date]],Database!$A:$C,MATCH($C$1,Database!$A$1:$C$1,),))</f>
        <v/>
      </c>
      <c r="D10785">
        <f>IFERROR(Table7[[#This Row],[United States 10y]]-Table7[[#This Row],[United States 3y]],#N/A)</f>
        <v/>
      </c>
    </row>
    <row r="10786">
      <c r="A10786" s="6">
        <f>Database!$A12871</f>
        <v/>
      </c>
      <c r="B10786">
        <f>IF(VLOOKUP(Table7[[#This Row],[Date]],Database!$A:$C,MATCH($B$1,Database!$A$1:$C$1,),)=0,#N/A,VLOOKUP(Table7[[#This Row],[Date]],Database!$A:$C,MATCH($B$1,Database!$A$1:$C$1,),))</f>
        <v/>
      </c>
      <c r="C10786">
        <f>IF(VLOOKUP(Table7[[#This Row],[Date]],Database!$A:$C,MATCH($C$1,Database!$A$1:$C$1,),)=0,#N/A,VLOOKUP(Table7[[#This Row],[Date]],Database!$A:$C,MATCH($C$1,Database!$A$1:$C$1,),))</f>
        <v/>
      </c>
      <c r="D10786">
        <f>IFERROR(Table7[[#This Row],[United States 10y]]-Table7[[#This Row],[United States 3y]],#N/A)</f>
        <v/>
      </c>
    </row>
    <row r="10787">
      <c r="A10787" s="6">
        <f>Database!$A12872</f>
        <v/>
      </c>
      <c r="B10787">
        <f>IF(VLOOKUP(Table7[[#This Row],[Date]],Database!$A:$C,MATCH($B$1,Database!$A$1:$C$1,),)=0,#N/A,VLOOKUP(Table7[[#This Row],[Date]],Database!$A:$C,MATCH($B$1,Database!$A$1:$C$1,),))</f>
        <v/>
      </c>
      <c r="C10787">
        <f>IF(VLOOKUP(Table7[[#This Row],[Date]],Database!$A:$C,MATCH($C$1,Database!$A$1:$C$1,),)=0,#N/A,VLOOKUP(Table7[[#This Row],[Date]],Database!$A:$C,MATCH($C$1,Database!$A$1:$C$1,),))</f>
        <v/>
      </c>
      <c r="D10787">
        <f>IFERROR(Table7[[#This Row],[United States 10y]]-Table7[[#This Row],[United States 3y]],#N/A)</f>
        <v/>
      </c>
    </row>
    <row r="10788">
      <c r="A10788" s="6">
        <f>Database!$A12873</f>
        <v/>
      </c>
      <c r="B10788">
        <f>IF(VLOOKUP(Table7[[#This Row],[Date]],Database!$A:$C,MATCH($B$1,Database!$A$1:$C$1,),)=0,#N/A,VLOOKUP(Table7[[#This Row],[Date]],Database!$A:$C,MATCH($B$1,Database!$A$1:$C$1,),))</f>
        <v/>
      </c>
      <c r="C10788">
        <f>IF(VLOOKUP(Table7[[#This Row],[Date]],Database!$A:$C,MATCH($C$1,Database!$A$1:$C$1,),)=0,#N/A,VLOOKUP(Table7[[#This Row],[Date]],Database!$A:$C,MATCH($C$1,Database!$A$1:$C$1,),))</f>
        <v/>
      </c>
      <c r="D10788">
        <f>IFERROR(Table7[[#This Row],[United States 10y]]-Table7[[#This Row],[United States 3y]],#N/A)</f>
        <v/>
      </c>
    </row>
    <row r="10789">
      <c r="A10789" s="6">
        <f>Database!$A12874</f>
        <v/>
      </c>
      <c r="B10789">
        <f>IF(VLOOKUP(Table7[[#This Row],[Date]],Database!$A:$C,MATCH($B$1,Database!$A$1:$C$1,),)=0,#N/A,VLOOKUP(Table7[[#This Row],[Date]],Database!$A:$C,MATCH($B$1,Database!$A$1:$C$1,),))</f>
        <v/>
      </c>
      <c r="C10789">
        <f>IF(VLOOKUP(Table7[[#This Row],[Date]],Database!$A:$C,MATCH($C$1,Database!$A$1:$C$1,),)=0,#N/A,VLOOKUP(Table7[[#This Row],[Date]],Database!$A:$C,MATCH($C$1,Database!$A$1:$C$1,),))</f>
        <v/>
      </c>
      <c r="D10789">
        <f>IFERROR(Table7[[#This Row],[United States 10y]]-Table7[[#This Row],[United States 3y]],#N/A)</f>
        <v/>
      </c>
    </row>
    <row r="10790">
      <c r="A10790" s="6">
        <f>Database!$A12875</f>
        <v/>
      </c>
      <c r="B10790">
        <f>IF(VLOOKUP(Table7[[#This Row],[Date]],Database!$A:$C,MATCH($B$1,Database!$A$1:$C$1,),)=0,#N/A,VLOOKUP(Table7[[#This Row],[Date]],Database!$A:$C,MATCH($B$1,Database!$A$1:$C$1,),))</f>
        <v/>
      </c>
      <c r="C10790">
        <f>IF(VLOOKUP(Table7[[#This Row],[Date]],Database!$A:$C,MATCH($C$1,Database!$A$1:$C$1,),)=0,#N/A,VLOOKUP(Table7[[#This Row],[Date]],Database!$A:$C,MATCH($C$1,Database!$A$1:$C$1,),))</f>
        <v/>
      </c>
      <c r="D10790">
        <f>IFERROR(Table7[[#This Row],[United States 10y]]-Table7[[#This Row],[United States 3y]],#N/A)</f>
        <v/>
      </c>
    </row>
    <row r="10791">
      <c r="A10791" s="6">
        <f>Database!$A12876</f>
        <v/>
      </c>
      <c r="B10791">
        <f>IF(VLOOKUP(Table7[[#This Row],[Date]],Database!$A:$C,MATCH($B$1,Database!$A$1:$C$1,),)=0,#N/A,VLOOKUP(Table7[[#This Row],[Date]],Database!$A:$C,MATCH($B$1,Database!$A$1:$C$1,),))</f>
        <v/>
      </c>
      <c r="C10791">
        <f>IF(VLOOKUP(Table7[[#This Row],[Date]],Database!$A:$C,MATCH($C$1,Database!$A$1:$C$1,),)=0,#N/A,VLOOKUP(Table7[[#This Row],[Date]],Database!$A:$C,MATCH($C$1,Database!$A$1:$C$1,),))</f>
        <v/>
      </c>
      <c r="D10791">
        <f>IFERROR(Table7[[#This Row],[United States 10y]]-Table7[[#This Row],[United States 3y]],#N/A)</f>
        <v/>
      </c>
    </row>
    <row r="10792">
      <c r="A10792" s="6">
        <f>Database!$A12877</f>
        <v/>
      </c>
      <c r="B10792">
        <f>IF(VLOOKUP(Table7[[#This Row],[Date]],Database!$A:$C,MATCH($B$1,Database!$A$1:$C$1,),)=0,#N/A,VLOOKUP(Table7[[#This Row],[Date]],Database!$A:$C,MATCH($B$1,Database!$A$1:$C$1,),))</f>
        <v/>
      </c>
      <c r="C10792">
        <f>IF(VLOOKUP(Table7[[#This Row],[Date]],Database!$A:$C,MATCH($C$1,Database!$A$1:$C$1,),)=0,#N/A,VLOOKUP(Table7[[#This Row],[Date]],Database!$A:$C,MATCH($C$1,Database!$A$1:$C$1,),))</f>
        <v/>
      </c>
      <c r="D10792">
        <f>IFERROR(Table7[[#This Row],[United States 10y]]-Table7[[#This Row],[United States 3y]],#N/A)</f>
        <v/>
      </c>
    </row>
    <row r="10793">
      <c r="A10793" s="6">
        <f>Database!$A12878</f>
        <v/>
      </c>
      <c r="B10793">
        <f>IF(VLOOKUP(Table7[[#This Row],[Date]],Database!$A:$C,MATCH($B$1,Database!$A$1:$C$1,),)=0,#N/A,VLOOKUP(Table7[[#This Row],[Date]],Database!$A:$C,MATCH($B$1,Database!$A$1:$C$1,),))</f>
        <v/>
      </c>
      <c r="C10793">
        <f>IF(VLOOKUP(Table7[[#This Row],[Date]],Database!$A:$C,MATCH($C$1,Database!$A$1:$C$1,),)=0,#N/A,VLOOKUP(Table7[[#This Row],[Date]],Database!$A:$C,MATCH($C$1,Database!$A$1:$C$1,),))</f>
        <v/>
      </c>
      <c r="D10793">
        <f>IFERROR(Table7[[#This Row],[United States 10y]]-Table7[[#This Row],[United States 3y]],#N/A)</f>
        <v/>
      </c>
    </row>
    <row r="10794">
      <c r="A10794" s="6">
        <f>Database!$A12879</f>
        <v/>
      </c>
      <c r="B10794">
        <f>IF(VLOOKUP(Table7[[#This Row],[Date]],Database!$A:$C,MATCH($B$1,Database!$A$1:$C$1,),)=0,#N/A,VLOOKUP(Table7[[#This Row],[Date]],Database!$A:$C,MATCH($B$1,Database!$A$1:$C$1,),))</f>
        <v/>
      </c>
      <c r="C10794">
        <f>IF(VLOOKUP(Table7[[#This Row],[Date]],Database!$A:$C,MATCH($C$1,Database!$A$1:$C$1,),)=0,#N/A,VLOOKUP(Table7[[#This Row],[Date]],Database!$A:$C,MATCH($C$1,Database!$A$1:$C$1,),))</f>
        <v/>
      </c>
      <c r="D10794">
        <f>IFERROR(Table7[[#This Row],[United States 10y]]-Table7[[#This Row],[United States 3y]],#N/A)</f>
        <v/>
      </c>
    </row>
    <row r="10795">
      <c r="A10795" s="6">
        <f>Database!$A12880</f>
        <v/>
      </c>
      <c r="B10795">
        <f>IF(VLOOKUP(Table7[[#This Row],[Date]],Database!$A:$C,MATCH($B$1,Database!$A$1:$C$1,),)=0,#N/A,VLOOKUP(Table7[[#This Row],[Date]],Database!$A:$C,MATCH($B$1,Database!$A$1:$C$1,),))</f>
        <v/>
      </c>
      <c r="C10795">
        <f>IF(VLOOKUP(Table7[[#This Row],[Date]],Database!$A:$C,MATCH($C$1,Database!$A$1:$C$1,),)=0,#N/A,VLOOKUP(Table7[[#This Row],[Date]],Database!$A:$C,MATCH($C$1,Database!$A$1:$C$1,),))</f>
        <v/>
      </c>
      <c r="D10795">
        <f>IFERROR(Table7[[#This Row],[United States 10y]]-Table7[[#This Row],[United States 3y]],#N/A)</f>
        <v/>
      </c>
    </row>
    <row r="10796">
      <c r="A10796" s="6">
        <f>Database!$A12881</f>
        <v/>
      </c>
      <c r="B10796">
        <f>IF(VLOOKUP(Table7[[#This Row],[Date]],Database!$A:$C,MATCH($B$1,Database!$A$1:$C$1,),)=0,#N/A,VLOOKUP(Table7[[#This Row],[Date]],Database!$A:$C,MATCH($B$1,Database!$A$1:$C$1,),))</f>
        <v/>
      </c>
      <c r="C10796">
        <f>IF(VLOOKUP(Table7[[#This Row],[Date]],Database!$A:$C,MATCH($C$1,Database!$A$1:$C$1,),)=0,#N/A,VLOOKUP(Table7[[#This Row],[Date]],Database!$A:$C,MATCH($C$1,Database!$A$1:$C$1,),))</f>
        <v/>
      </c>
      <c r="D10796">
        <f>IFERROR(Table7[[#This Row],[United States 10y]]-Table7[[#This Row],[United States 3y]],#N/A)</f>
        <v/>
      </c>
    </row>
    <row r="10797">
      <c r="A10797" s="6">
        <f>Database!$A12882</f>
        <v/>
      </c>
      <c r="B10797">
        <f>IF(VLOOKUP(Table7[[#This Row],[Date]],Database!$A:$C,MATCH($B$1,Database!$A$1:$C$1,),)=0,#N/A,VLOOKUP(Table7[[#This Row],[Date]],Database!$A:$C,MATCH($B$1,Database!$A$1:$C$1,),))</f>
        <v/>
      </c>
      <c r="C10797">
        <f>IF(VLOOKUP(Table7[[#This Row],[Date]],Database!$A:$C,MATCH($C$1,Database!$A$1:$C$1,),)=0,#N/A,VLOOKUP(Table7[[#This Row],[Date]],Database!$A:$C,MATCH($C$1,Database!$A$1:$C$1,),))</f>
        <v/>
      </c>
      <c r="D10797">
        <f>IFERROR(Table7[[#This Row],[United States 10y]]-Table7[[#This Row],[United States 3y]],#N/A)</f>
        <v/>
      </c>
    </row>
    <row r="10798">
      <c r="A10798" s="6">
        <f>Database!$A12883</f>
        <v/>
      </c>
      <c r="B10798">
        <f>IF(VLOOKUP(Table7[[#This Row],[Date]],Database!$A:$C,MATCH($B$1,Database!$A$1:$C$1,),)=0,#N/A,VLOOKUP(Table7[[#This Row],[Date]],Database!$A:$C,MATCH($B$1,Database!$A$1:$C$1,),))</f>
        <v/>
      </c>
      <c r="C10798">
        <f>IF(VLOOKUP(Table7[[#This Row],[Date]],Database!$A:$C,MATCH($C$1,Database!$A$1:$C$1,),)=0,#N/A,VLOOKUP(Table7[[#This Row],[Date]],Database!$A:$C,MATCH($C$1,Database!$A$1:$C$1,),))</f>
        <v/>
      </c>
      <c r="D10798">
        <f>IFERROR(Table7[[#This Row],[United States 10y]]-Table7[[#This Row],[United States 3y]],#N/A)</f>
        <v/>
      </c>
    </row>
    <row r="10799">
      <c r="A10799" s="6">
        <f>Database!$A12884</f>
        <v/>
      </c>
      <c r="B10799">
        <f>IF(VLOOKUP(Table7[[#This Row],[Date]],Database!$A:$C,MATCH($B$1,Database!$A$1:$C$1,),)=0,#N/A,VLOOKUP(Table7[[#This Row],[Date]],Database!$A:$C,MATCH($B$1,Database!$A$1:$C$1,),))</f>
        <v/>
      </c>
      <c r="C10799">
        <f>IF(VLOOKUP(Table7[[#This Row],[Date]],Database!$A:$C,MATCH($C$1,Database!$A$1:$C$1,),)=0,#N/A,VLOOKUP(Table7[[#This Row],[Date]],Database!$A:$C,MATCH($C$1,Database!$A$1:$C$1,),))</f>
        <v/>
      </c>
      <c r="D10799">
        <f>IFERROR(Table7[[#This Row],[United States 10y]]-Table7[[#This Row],[United States 3y]],#N/A)</f>
        <v/>
      </c>
    </row>
    <row r="10800">
      <c r="A10800" s="6">
        <f>Database!$A12885</f>
        <v/>
      </c>
      <c r="B10800">
        <f>IF(VLOOKUP(Table7[[#This Row],[Date]],Database!$A:$C,MATCH($B$1,Database!$A$1:$C$1,),)=0,#N/A,VLOOKUP(Table7[[#This Row],[Date]],Database!$A:$C,MATCH($B$1,Database!$A$1:$C$1,),))</f>
        <v/>
      </c>
      <c r="C10800">
        <f>IF(VLOOKUP(Table7[[#This Row],[Date]],Database!$A:$C,MATCH($C$1,Database!$A$1:$C$1,),)=0,#N/A,VLOOKUP(Table7[[#This Row],[Date]],Database!$A:$C,MATCH($C$1,Database!$A$1:$C$1,),))</f>
        <v/>
      </c>
      <c r="D10800">
        <f>IFERROR(Table7[[#This Row],[United States 10y]]-Table7[[#This Row],[United States 3y]],#N/A)</f>
        <v/>
      </c>
    </row>
    <row r="10801">
      <c r="A10801" s="6">
        <f>Database!$A12886</f>
        <v/>
      </c>
      <c r="B10801">
        <f>IF(VLOOKUP(Table7[[#This Row],[Date]],Database!$A:$C,MATCH($B$1,Database!$A$1:$C$1,),)=0,#N/A,VLOOKUP(Table7[[#This Row],[Date]],Database!$A:$C,MATCH($B$1,Database!$A$1:$C$1,),))</f>
        <v/>
      </c>
      <c r="C10801">
        <f>IF(VLOOKUP(Table7[[#This Row],[Date]],Database!$A:$C,MATCH($C$1,Database!$A$1:$C$1,),)=0,#N/A,VLOOKUP(Table7[[#This Row],[Date]],Database!$A:$C,MATCH($C$1,Database!$A$1:$C$1,),))</f>
        <v/>
      </c>
      <c r="D10801">
        <f>IFERROR(Table7[[#This Row],[United States 10y]]-Table7[[#This Row],[United States 3y]],#N/A)</f>
        <v/>
      </c>
    </row>
    <row r="10802">
      <c r="A10802" s="6">
        <f>Database!$A12887</f>
        <v/>
      </c>
      <c r="B10802">
        <f>IF(VLOOKUP(Table7[[#This Row],[Date]],Database!$A:$C,MATCH($B$1,Database!$A$1:$C$1,),)=0,#N/A,VLOOKUP(Table7[[#This Row],[Date]],Database!$A:$C,MATCH($B$1,Database!$A$1:$C$1,),))</f>
        <v/>
      </c>
      <c r="C10802">
        <f>IF(VLOOKUP(Table7[[#This Row],[Date]],Database!$A:$C,MATCH($C$1,Database!$A$1:$C$1,),)=0,#N/A,VLOOKUP(Table7[[#This Row],[Date]],Database!$A:$C,MATCH($C$1,Database!$A$1:$C$1,),))</f>
        <v/>
      </c>
      <c r="D10802">
        <f>IFERROR(Table7[[#This Row],[United States 10y]]-Table7[[#This Row],[United States 3y]],#N/A)</f>
        <v/>
      </c>
    </row>
    <row r="10803">
      <c r="A10803" s="6">
        <f>Database!$A12888</f>
        <v/>
      </c>
      <c r="B10803">
        <f>IF(VLOOKUP(Table7[[#This Row],[Date]],Database!$A:$C,MATCH($B$1,Database!$A$1:$C$1,),)=0,#N/A,VLOOKUP(Table7[[#This Row],[Date]],Database!$A:$C,MATCH($B$1,Database!$A$1:$C$1,),))</f>
        <v/>
      </c>
      <c r="C10803">
        <f>IF(VLOOKUP(Table7[[#This Row],[Date]],Database!$A:$C,MATCH($C$1,Database!$A$1:$C$1,),)=0,#N/A,VLOOKUP(Table7[[#This Row],[Date]],Database!$A:$C,MATCH($C$1,Database!$A$1:$C$1,),))</f>
        <v/>
      </c>
      <c r="D10803">
        <f>IFERROR(Table7[[#This Row],[United States 10y]]-Table7[[#This Row],[United States 3y]],#N/A)</f>
        <v/>
      </c>
    </row>
    <row r="10804">
      <c r="A10804" s="6">
        <f>Database!$A12889</f>
        <v/>
      </c>
      <c r="B10804">
        <f>IF(VLOOKUP(Table7[[#This Row],[Date]],Database!$A:$C,MATCH($B$1,Database!$A$1:$C$1,),)=0,#N/A,VLOOKUP(Table7[[#This Row],[Date]],Database!$A:$C,MATCH($B$1,Database!$A$1:$C$1,),))</f>
        <v/>
      </c>
      <c r="C10804">
        <f>IF(VLOOKUP(Table7[[#This Row],[Date]],Database!$A:$C,MATCH($C$1,Database!$A$1:$C$1,),)=0,#N/A,VLOOKUP(Table7[[#This Row],[Date]],Database!$A:$C,MATCH($C$1,Database!$A$1:$C$1,),))</f>
        <v/>
      </c>
      <c r="D10804">
        <f>IFERROR(Table7[[#This Row],[United States 10y]]-Table7[[#This Row],[United States 3y]],#N/A)</f>
        <v/>
      </c>
    </row>
    <row r="10805">
      <c r="A10805" s="6">
        <f>Database!$A12890</f>
        <v/>
      </c>
      <c r="B10805">
        <f>IF(VLOOKUP(Table7[[#This Row],[Date]],Database!$A:$C,MATCH($B$1,Database!$A$1:$C$1,),)=0,#N/A,VLOOKUP(Table7[[#This Row],[Date]],Database!$A:$C,MATCH($B$1,Database!$A$1:$C$1,),))</f>
        <v/>
      </c>
      <c r="C10805">
        <f>IF(VLOOKUP(Table7[[#This Row],[Date]],Database!$A:$C,MATCH($C$1,Database!$A$1:$C$1,),)=0,#N/A,VLOOKUP(Table7[[#This Row],[Date]],Database!$A:$C,MATCH($C$1,Database!$A$1:$C$1,),))</f>
        <v/>
      </c>
      <c r="D10805">
        <f>IFERROR(Table7[[#This Row],[United States 10y]]-Table7[[#This Row],[United States 3y]],#N/A)</f>
        <v/>
      </c>
    </row>
    <row r="10806">
      <c r="A10806" s="6">
        <f>Database!$A12891</f>
        <v/>
      </c>
      <c r="B10806">
        <f>IF(VLOOKUP(Table7[[#This Row],[Date]],Database!$A:$C,MATCH($B$1,Database!$A$1:$C$1,),)=0,#N/A,VLOOKUP(Table7[[#This Row],[Date]],Database!$A:$C,MATCH($B$1,Database!$A$1:$C$1,),))</f>
        <v/>
      </c>
      <c r="C10806">
        <f>IF(VLOOKUP(Table7[[#This Row],[Date]],Database!$A:$C,MATCH($C$1,Database!$A$1:$C$1,),)=0,#N/A,VLOOKUP(Table7[[#This Row],[Date]],Database!$A:$C,MATCH($C$1,Database!$A$1:$C$1,),))</f>
        <v/>
      </c>
      <c r="D10806">
        <f>IFERROR(Table7[[#This Row],[United States 10y]]-Table7[[#This Row],[United States 3y]],#N/A)</f>
        <v/>
      </c>
    </row>
    <row r="10807">
      <c r="A10807" s="6">
        <f>Database!$A12892</f>
        <v/>
      </c>
      <c r="B10807">
        <f>IF(VLOOKUP(Table7[[#This Row],[Date]],Database!$A:$C,MATCH($B$1,Database!$A$1:$C$1,),)=0,#N/A,VLOOKUP(Table7[[#This Row],[Date]],Database!$A:$C,MATCH($B$1,Database!$A$1:$C$1,),))</f>
        <v/>
      </c>
      <c r="C10807">
        <f>IF(VLOOKUP(Table7[[#This Row],[Date]],Database!$A:$C,MATCH($C$1,Database!$A$1:$C$1,),)=0,#N/A,VLOOKUP(Table7[[#This Row],[Date]],Database!$A:$C,MATCH($C$1,Database!$A$1:$C$1,),))</f>
        <v/>
      </c>
      <c r="D10807">
        <f>IFERROR(Table7[[#This Row],[United States 10y]]-Table7[[#This Row],[United States 3y]],#N/A)</f>
        <v/>
      </c>
    </row>
    <row r="10808">
      <c r="A10808" s="6">
        <f>Database!$A12893</f>
        <v/>
      </c>
      <c r="B10808">
        <f>IF(VLOOKUP(Table7[[#This Row],[Date]],Database!$A:$C,MATCH($B$1,Database!$A$1:$C$1,),)=0,#N/A,VLOOKUP(Table7[[#This Row],[Date]],Database!$A:$C,MATCH($B$1,Database!$A$1:$C$1,),))</f>
        <v/>
      </c>
      <c r="C10808">
        <f>IF(VLOOKUP(Table7[[#This Row],[Date]],Database!$A:$C,MATCH($C$1,Database!$A$1:$C$1,),)=0,#N/A,VLOOKUP(Table7[[#This Row],[Date]],Database!$A:$C,MATCH($C$1,Database!$A$1:$C$1,),))</f>
        <v/>
      </c>
      <c r="D10808">
        <f>IFERROR(Table7[[#This Row],[United States 10y]]-Table7[[#This Row],[United States 3y]],#N/A)</f>
        <v/>
      </c>
    </row>
    <row r="10809">
      <c r="A10809" s="6">
        <f>Database!$A12894</f>
        <v/>
      </c>
      <c r="B10809">
        <f>IF(VLOOKUP(Table7[[#This Row],[Date]],Database!$A:$C,MATCH($B$1,Database!$A$1:$C$1,),)=0,#N/A,VLOOKUP(Table7[[#This Row],[Date]],Database!$A:$C,MATCH($B$1,Database!$A$1:$C$1,),))</f>
        <v/>
      </c>
      <c r="C10809">
        <f>IF(VLOOKUP(Table7[[#This Row],[Date]],Database!$A:$C,MATCH($C$1,Database!$A$1:$C$1,),)=0,#N/A,VLOOKUP(Table7[[#This Row],[Date]],Database!$A:$C,MATCH($C$1,Database!$A$1:$C$1,),))</f>
        <v/>
      </c>
      <c r="D10809">
        <f>IFERROR(Table7[[#This Row],[United States 10y]]-Table7[[#This Row],[United States 3y]],#N/A)</f>
        <v/>
      </c>
    </row>
    <row r="10810">
      <c r="A10810" s="6">
        <f>Database!$A12895</f>
        <v/>
      </c>
      <c r="B10810">
        <f>IF(VLOOKUP(Table7[[#This Row],[Date]],Database!$A:$C,MATCH($B$1,Database!$A$1:$C$1,),)=0,#N/A,VLOOKUP(Table7[[#This Row],[Date]],Database!$A:$C,MATCH($B$1,Database!$A$1:$C$1,),))</f>
        <v/>
      </c>
      <c r="C10810">
        <f>IF(VLOOKUP(Table7[[#This Row],[Date]],Database!$A:$C,MATCH($C$1,Database!$A$1:$C$1,),)=0,#N/A,VLOOKUP(Table7[[#This Row],[Date]],Database!$A:$C,MATCH($C$1,Database!$A$1:$C$1,),))</f>
        <v/>
      </c>
      <c r="D10810">
        <f>IFERROR(Table7[[#This Row],[United States 10y]]-Table7[[#This Row],[United States 3y]],#N/A)</f>
        <v/>
      </c>
    </row>
    <row r="10811">
      <c r="A10811" s="6">
        <f>Database!$A12896</f>
        <v/>
      </c>
      <c r="B10811">
        <f>IF(VLOOKUP(Table7[[#This Row],[Date]],Database!$A:$C,MATCH($B$1,Database!$A$1:$C$1,),)=0,#N/A,VLOOKUP(Table7[[#This Row],[Date]],Database!$A:$C,MATCH($B$1,Database!$A$1:$C$1,),))</f>
        <v/>
      </c>
      <c r="C10811">
        <f>IF(VLOOKUP(Table7[[#This Row],[Date]],Database!$A:$C,MATCH($C$1,Database!$A$1:$C$1,),)=0,#N/A,VLOOKUP(Table7[[#This Row],[Date]],Database!$A:$C,MATCH($C$1,Database!$A$1:$C$1,),))</f>
        <v/>
      </c>
      <c r="D10811">
        <f>IFERROR(Table7[[#This Row],[United States 10y]]-Table7[[#This Row],[United States 3y]],#N/A)</f>
        <v/>
      </c>
    </row>
    <row r="10812">
      <c r="A10812" s="6">
        <f>Database!$A12897</f>
        <v/>
      </c>
      <c r="B10812">
        <f>IF(VLOOKUP(Table7[[#This Row],[Date]],Database!$A:$C,MATCH($B$1,Database!$A$1:$C$1,),)=0,#N/A,VLOOKUP(Table7[[#This Row],[Date]],Database!$A:$C,MATCH($B$1,Database!$A$1:$C$1,),))</f>
        <v/>
      </c>
      <c r="C10812">
        <f>IF(VLOOKUP(Table7[[#This Row],[Date]],Database!$A:$C,MATCH($C$1,Database!$A$1:$C$1,),)=0,#N/A,VLOOKUP(Table7[[#This Row],[Date]],Database!$A:$C,MATCH($C$1,Database!$A$1:$C$1,),))</f>
        <v/>
      </c>
      <c r="D10812">
        <f>IFERROR(Table7[[#This Row],[United States 10y]]-Table7[[#This Row],[United States 3y]],#N/A)</f>
        <v/>
      </c>
    </row>
    <row r="10813">
      <c r="A10813" s="6">
        <f>Database!$A12898</f>
        <v/>
      </c>
      <c r="B10813">
        <f>IF(VLOOKUP(Table7[[#This Row],[Date]],Database!$A:$C,MATCH($B$1,Database!$A$1:$C$1,),)=0,#N/A,VLOOKUP(Table7[[#This Row],[Date]],Database!$A:$C,MATCH($B$1,Database!$A$1:$C$1,),))</f>
        <v/>
      </c>
      <c r="C10813">
        <f>IF(VLOOKUP(Table7[[#This Row],[Date]],Database!$A:$C,MATCH($C$1,Database!$A$1:$C$1,),)=0,#N/A,VLOOKUP(Table7[[#This Row],[Date]],Database!$A:$C,MATCH($C$1,Database!$A$1:$C$1,),))</f>
        <v/>
      </c>
      <c r="D10813">
        <f>IFERROR(Table7[[#This Row],[United States 10y]]-Table7[[#This Row],[United States 3y]],#N/A)</f>
        <v/>
      </c>
    </row>
    <row r="10814">
      <c r="A10814" s="6">
        <f>Database!$A12899</f>
        <v/>
      </c>
      <c r="B10814">
        <f>IF(VLOOKUP(Table7[[#This Row],[Date]],Database!$A:$C,MATCH($B$1,Database!$A$1:$C$1,),)=0,#N/A,VLOOKUP(Table7[[#This Row],[Date]],Database!$A:$C,MATCH($B$1,Database!$A$1:$C$1,),))</f>
        <v/>
      </c>
      <c r="C10814">
        <f>IF(VLOOKUP(Table7[[#This Row],[Date]],Database!$A:$C,MATCH($C$1,Database!$A$1:$C$1,),)=0,#N/A,VLOOKUP(Table7[[#This Row],[Date]],Database!$A:$C,MATCH($C$1,Database!$A$1:$C$1,),))</f>
        <v/>
      </c>
      <c r="D10814">
        <f>IFERROR(Table7[[#This Row],[United States 10y]]-Table7[[#This Row],[United States 3y]],#N/A)</f>
        <v/>
      </c>
    </row>
    <row r="10815">
      <c r="A10815" s="6">
        <f>Database!$A12900</f>
        <v/>
      </c>
      <c r="B10815">
        <f>IF(VLOOKUP(Table7[[#This Row],[Date]],Database!$A:$C,MATCH($B$1,Database!$A$1:$C$1,),)=0,#N/A,VLOOKUP(Table7[[#This Row],[Date]],Database!$A:$C,MATCH($B$1,Database!$A$1:$C$1,),))</f>
        <v/>
      </c>
      <c r="C10815">
        <f>IF(VLOOKUP(Table7[[#This Row],[Date]],Database!$A:$C,MATCH($C$1,Database!$A$1:$C$1,),)=0,#N/A,VLOOKUP(Table7[[#This Row],[Date]],Database!$A:$C,MATCH($C$1,Database!$A$1:$C$1,),))</f>
        <v/>
      </c>
      <c r="D10815">
        <f>IFERROR(Table7[[#This Row],[United States 10y]]-Table7[[#This Row],[United States 3y]],#N/A)</f>
        <v/>
      </c>
    </row>
    <row r="10816">
      <c r="A10816" s="6">
        <f>Database!$A12901</f>
        <v/>
      </c>
      <c r="B10816">
        <f>IF(VLOOKUP(Table7[[#This Row],[Date]],Database!$A:$C,MATCH($B$1,Database!$A$1:$C$1,),)=0,#N/A,VLOOKUP(Table7[[#This Row],[Date]],Database!$A:$C,MATCH($B$1,Database!$A$1:$C$1,),))</f>
        <v/>
      </c>
      <c r="C10816">
        <f>IF(VLOOKUP(Table7[[#This Row],[Date]],Database!$A:$C,MATCH($C$1,Database!$A$1:$C$1,),)=0,#N/A,VLOOKUP(Table7[[#This Row],[Date]],Database!$A:$C,MATCH($C$1,Database!$A$1:$C$1,),))</f>
        <v/>
      </c>
      <c r="D10816">
        <f>IFERROR(Table7[[#This Row],[United States 10y]]-Table7[[#This Row],[United States 3y]],#N/A)</f>
        <v/>
      </c>
    </row>
    <row r="10817">
      <c r="A10817" s="6">
        <f>Database!$A12902</f>
        <v/>
      </c>
      <c r="B10817">
        <f>IF(VLOOKUP(Table7[[#This Row],[Date]],Database!$A:$C,MATCH($B$1,Database!$A$1:$C$1,),)=0,#N/A,VLOOKUP(Table7[[#This Row],[Date]],Database!$A:$C,MATCH($B$1,Database!$A$1:$C$1,),))</f>
        <v/>
      </c>
      <c r="C10817">
        <f>IF(VLOOKUP(Table7[[#This Row],[Date]],Database!$A:$C,MATCH($C$1,Database!$A$1:$C$1,),)=0,#N/A,VLOOKUP(Table7[[#This Row],[Date]],Database!$A:$C,MATCH($C$1,Database!$A$1:$C$1,),))</f>
        <v/>
      </c>
      <c r="D10817">
        <f>IFERROR(Table7[[#This Row],[United States 10y]]-Table7[[#This Row],[United States 3y]],#N/A)</f>
        <v/>
      </c>
    </row>
    <row r="10818">
      <c r="A10818" s="6">
        <f>Database!$A12903</f>
        <v/>
      </c>
      <c r="B10818">
        <f>IF(VLOOKUP(Table7[[#This Row],[Date]],Database!$A:$C,MATCH($B$1,Database!$A$1:$C$1,),)=0,#N/A,VLOOKUP(Table7[[#This Row],[Date]],Database!$A:$C,MATCH($B$1,Database!$A$1:$C$1,),))</f>
        <v/>
      </c>
      <c r="C10818">
        <f>IF(VLOOKUP(Table7[[#This Row],[Date]],Database!$A:$C,MATCH($C$1,Database!$A$1:$C$1,),)=0,#N/A,VLOOKUP(Table7[[#This Row],[Date]],Database!$A:$C,MATCH($C$1,Database!$A$1:$C$1,),))</f>
        <v/>
      </c>
      <c r="D10818">
        <f>IFERROR(Table7[[#This Row],[United States 10y]]-Table7[[#This Row],[United States 3y]],#N/A)</f>
        <v/>
      </c>
    </row>
    <row r="10819">
      <c r="A10819" s="6">
        <f>Database!$A12904</f>
        <v/>
      </c>
      <c r="B10819">
        <f>IF(VLOOKUP(Table7[[#This Row],[Date]],Database!$A:$C,MATCH($B$1,Database!$A$1:$C$1,),)=0,#N/A,VLOOKUP(Table7[[#This Row],[Date]],Database!$A:$C,MATCH($B$1,Database!$A$1:$C$1,),))</f>
        <v/>
      </c>
      <c r="C10819">
        <f>IF(VLOOKUP(Table7[[#This Row],[Date]],Database!$A:$C,MATCH($C$1,Database!$A$1:$C$1,),)=0,#N/A,VLOOKUP(Table7[[#This Row],[Date]],Database!$A:$C,MATCH($C$1,Database!$A$1:$C$1,),))</f>
        <v/>
      </c>
      <c r="D10819">
        <f>IFERROR(Table7[[#This Row],[United States 10y]]-Table7[[#This Row],[United States 3y]],#N/A)</f>
        <v/>
      </c>
    </row>
    <row r="10820">
      <c r="A10820" s="6">
        <f>Database!$A12905</f>
        <v/>
      </c>
      <c r="B10820">
        <f>IF(VLOOKUP(Table7[[#This Row],[Date]],Database!$A:$C,MATCH($B$1,Database!$A$1:$C$1,),)=0,#N/A,VLOOKUP(Table7[[#This Row],[Date]],Database!$A:$C,MATCH($B$1,Database!$A$1:$C$1,),))</f>
        <v/>
      </c>
      <c r="C10820">
        <f>IF(VLOOKUP(Table7[[#This Row],[Date]],Database!$A:$C,MATCH($C$1,Database!$A$1:$C$1,),)=0,#N/A,VLOOKUP(Table7[[#This Row],[Date]],Database!$A:$C,MATCH($C$1,Database!$A$1:$C$1,),))</f>
        <v/>
      </c>
      <c r="D10820">
        <f>IFERROR(Table7[[#This Row],[United States 10y]]-Table7[[#This Row],[United States 3y]],#N/A)</f>
        <v/>
      </c>
    </row>
    <row r="10821">
      <c r="A10821" s="6">
        <f>Database!$A12906</f>
        <v/>
      </c>
      <c r="B10821">
        <f>IF(VLOOKUP(Table7[[#This Row],[Date]],Database!$A:$C,MATCH($B$1,Database!$A$1:$C$1,),)=0,#N/A,VLOOKUP(Table7[[#This Row],[Date]],Database!$A:$C,MATCH($B$1,Database!$A$1:$C$1,),))</f>
        <v/>
      </c>
      <c r="C10821">
        <f>IF(VLOOKUP(Table7[[#This Row],[Date]],Database!$A:$C,MATCH($C$1,Database!$A$1:$C$1,),)=0,#N/A,VLOOKUP(Table7[[#This Row],[Date]],Database!$A:$C,MATCH($C$1,Database!$A$1:$C$1,),))</f>
        <v/>
      </c>
      <c r="D10821">
        <f>IFERROR(Table7[[#This Row],[United States 10y]]-Table7[[#This Row],[United States 3y]],#N/A)</f>
        <v/>
      </c>
    </row>
    <row r="10822">
      <c r="A10822" s="6">
        <f>Database!$A12907</f>
        <v/>
      </c>
      <c r="B10822">
        <f>IF(VLOOKUP(Table7[[#This Row],[Date]],Database!$A:$C,MATCH($B$1,Database!$A$1:$C$1,),)=0,#N/A,VLOOKUP(Table7[[#This Row],[Date]],Database!$A:$C,MATCH($B$1,Database!$A$1:$C$1,),))</f>
        <v/>
      </c>
      <c r="C10822">
        <f>IF(VLOOKUP(Table7[[#This Row],[Date]],Database!$A:$C,MATCH($C$1,Database!$A$1:$C$1,),)=0,#N/A,VLOOKUP(Table7[[#This Row],[Date]],Database!$A:$C,MATCH($C$1,Database!$A$1:$C$1,),))</f>
        <v/>
      </c>
      <c r="D10822">
        <f>IFERROR(Table7[[#This Row],[United States 10y]]-Table7[[#This Row],[United States 3y]],#N/A)</f>
        <v/>
      </c>
    </row>
    <row r="10823">
      <c r="A10823" s="6">
        <f>Database!$A12908</f>
        <v/>
      </c>
      <c r="B10823">
        <f>IF(VLOOKUP(Table7[[#This Row],[Date]],Database!$A:$C,MATCH($B$1,Database!$A$1:$C$1,),)=0,#N/A,VLOOKUP(Table7[[#This Row],[Date]],Database!$A:$C,MATCH($B$1,Database!$A$1:$C$1,),))</f>
        <v/>
      </c>
      <c r="C10823">
        <f>IF(VLOOKUP(Table7[[#This Row],[Date]],Database!$A:$C,MATCH($C$1,Database!$A$1:$C$1,),)=0,#N/A,VLOOKUP(Table7[[#This Row],[Date]],Database!$A:$C,MATCH($C$1,Database!$A$1:$C$1,),))</f>
        <v/>
      </c>
      <c r="D10823">
        <f>IFERROR(Table7[[#This Row],[United States 10y]]-Table7[[#This Row],[United States 3y]],#N/A)</f>
        <v/>
      </c>
    </row>
    <row r="10824">
      <c r="A10824" s="6">
        <f>Database!$A12909</f>
        <v/>
      </c>
      <c r="B10824">
        <f>IF(VLOOKUP(Table7[[#This Row],[Date]],Database!$A:$C,MATCH($B$1,Database!$A$1:$C$1,),)=0,#N/A,VLOOKUP(Table7[[#This Row],[Date]],Database!$A:$C,MATCH($B$1,Database!$A$1:$C$1,),))</f>
        <v/>
      </c>
      <c r="C10824">
        <f>IF(VLOOKUP(Table7[[#This Row],[Date]],Database!$A:$C,MATCH($C$1,Database!$A$1:$C$1,),)=0,#N/A,VLOOKUP(Table7[[#This Row],[Date]],Database!$A:$C,MATCH($C$1,Database!$A$1:$C$1,),))</f>
        <v/>
      </c>
      <c r="D10824">
        <f>IFERROR(Table7[[#This Row],[United States 10y]]-Table7[[#This Row],[United States 3y]],#N/A)</f>
        <v/>
      </c>
    </row>
    <row r="10825">
      <c r="A10825" s="6">
        <f>Database!$A12910</f>
        <v/>
      </c>
      <c r="B10825">
        <f>IF(VLOOKUP(Table7[[#This Row],[Date]],Database!$A:$C,MATCH($B$1,Database!$A$1:$C$1,),)=0,#N/A,VLOOKUP(Table7[[#This Row],[Date]],Database!$A:$C,MATCH($B$1,Database!$A$1:$C$1,),))</f>
        <v/>
      </c>
      <c r="C10825">
        <f>IF(VLOOKUP(Table7[[#This Row],[Date]],Database!$A:$C,MATCH($C$1,Database!$A$1:$C$1,),)=0,#N/A,VLOOKUP(Table7[[#This Row],[Date]],Database!$A:$C,MATCH($C$1,Database!$A$1:$C$1,),))</f>
        <v/>
      </c>
      <c r="D10825">
        <f>IFERROR(Table7[[#This Row],[United States 10y]]-Table7[[#This Row],[United States 3y]],#N/A)</f>
        <v/>
      </c>
    </row>
    <row r="10826">
      <c r="A10826" s="6">
        <f>Database!$A12911</f>
        <v/>
      </c>
      <c r="B10826">
        <f>IF(VLOOKUP(Table7[[#This Row],[Date]],Database!$A:$C,MATCH($B$1,Database!$A$1:$C$1,),)=0,#N/A,VLOOKUP(Table7[[#This Row],[Date]],Database!$A:$C,MATCH($B$1,Database!$A$1:$C$1,),))</f>
        <v/>
      </c>
      <c r="C10826">
        <f>IF(VLOOKUP(Table7[[#This Row],[Date]],Database!$A:$C,MATCH($C$1,Database!$A$1:$C$1,),)=0,#N/A,VLOOKUP(Table7[[#This Row],[Date]],Database!$A:$C,MATCH($C$1,Database!$A$1:$C$1,),))</f>
        <v/>
      </c>
      <c r="D10826">
        <f>IFERROR(Table7[[#This Row],[United States 10y]]-Table7[[#This Row],[United States 3y]],#N/A)</f>
        <v/>
      </c>
    </row>
    <row r="10827">
      <c r="A10827" s="6">
        <f>Database!$A12912</f>
        <v/>
      </c>
      <c r="B10827">
        <f>IF(VLOOKUP(Table7[[#This Row],[Date]],Database!$A:$C,MATCH($B$1,Database!$A$1:$C$1,),)=0,#N/A,VLOOKUP(Table7[[#This Row],[Date]],Database!$A:$C,MATCH($B$1,Database!$A$1:$C$1,),))</f>
        <v/>
      </c>
      <c r="C10827">
        <f>IF(VLOOKUP(Table7[[#This Row],[Date]],Database!$A:$C,MATCH($C$1,Database!$A$1:$C$1,),)=0,#N/A,VLOOKUP(Table7[[#This Row],[Date]],Database!$A:$C,MATCH($C$1,Database!$A$1:$C$1,),))</f>
        <v/>
      </c>
      <c r="D10827">
        <f>IFERROR(Table7[[#This Row],[United States 10y]]-Table7[[#This Row],[United States 3y]],#N/A)</f>
        <v/>
      </c>
    </row>
    <row r="10828">
      <c r="A10828" s="6">
        <f>Database!$A12913</f>
        <v/>
      </c>
      <c r="B10828">
        <f>IF(VLOOKUP(Table7[[#This Row],[Date]],Database!$A:$C,MATCH($B$1,Database!$A$1:$C$1,),)=0,#N/A,VLOOKUP(Table7[[#This Row],[Date]],Database!$A:$C,MATCH($B$1,Database!$A$1:$C$1,),))</f>
        <v/>
      </c>
      <c r="C10828">
        <f>IF(VLOOKUP(Table7[[#This Row],[Date]],Database!$A:$C,MATCH($C$1,Database!$A$1:$C$1,),)=0,#N/A,VLOOKUP(Table7[[#This Row],[Date]],Database!$A:$C,MATCH($C$1,Database!$A$1:$C$1,),))</f>
        <v/>
      </c>
      <c r="D10828">
        <f>IFERROR(Table7[[#This Row],[United States 10y]]-Table7[[#This Row],[United States 3y]],#N/A)</f>
        <v/>
      </c>
    </row>
    <row r="10829">
      <c r="A10829" s="6">
        <f>Database!$A12914</f>
        <v/>
      </c>
      <c r="B10829">
        <f>IF(VLOOKUP(Table7[[#This Row],[Date]],Database!$A:$C,MATCH($B$1,Database!$A$1:$C$1,),)=0,#N/A,VLOOKUP(Table7[[#This Row],[Date]],Database!$A:$C,MATCH($B$1,Database!$A$1:$C$1,),))</f>
        <v/>
      </c>
      <c r="C10829">
        <f>IF(VLOOKUP(Table7[[#This Row],[Date]],Database!$A:$C,MATCH($C$1,Database!$A$1:$C$1,),)=0,#N/A,VLOOKUP(Table7[[#This Row],[Date]],Database!$A:$C,MATCH($C$1,Database!$A$1:$C$1,),))</f>
        <v/>
      </c>
      <c r="D10829">
        <f>IFERROR(Table7[[#This Row],[United States 10y]]-Table7[[#This Row],[United States 3y]],#N/A)</f>
        <v/>
      </c>
    </row>
    <row r="10830">
      <c r="A10830" s="6">
        <f>Database!$A12915</f>
        <v/>
      </c>
      <c r="B10830">
        <f>IF(VLOOKUP(Table7[[#This Row],[Date]],Database!$A:$C,MATCH($B$1,Database!$A$1:$C$1,),)=0,#N/A,VLOOKUP(Table7[[#This Row],[Date]],Database!$A:$C,MATCH($B$1,Database!$A$1:$C$1,),))</f>
        <v/>
      </c>
      <c r="C10830">
        <f>IF(VLOOKUP(Table7[[#This Row],[Date]],Database!$A:$C,MATCH($C$1,Database!$A$1:$C$1,),)=0,#N/A,VLOOKUP(Table7[[#This Row],[Date]],Database!$A:$C,MATCH($C$1,Database!$A$1:$C$1,),))</f>
        <v/>
      </c>
      <c r="D10830">
        <f>IFERROR(Table7[[#This Row],[United States 10y]]-Table7[[#This Row],[United States 3y]],#N/A)</f>
        <v/>
      </c>
    </row>
    <row r="10831">
      <c r="A10831" s="6">
        <f>Database!$A12916</f>
        <v/>
      </c>
      <c r="B10831">
        <f>IF(VLOOKUP(Table7[[#This Row],[Date]],Database!$A:$C,MATCH($B$1,Database!$A$1:$C$1,),)=0,#N/A,VLOOKUP(Table7[[#This Row],[Date]],Database!$A:$C,MATCH($B$1,Database!$A$1:$C$1,),))</f>
        <v/>
      </c>
      <c r="C10831">
        <f>IF(VLOOKUP(Table7[[#This Row],[Date]],Database!$A:$C,MATCH($C$1,Database!$A$1:$C$1,),)=0,#N/A,VLOOKUP(Table7[[#This Row],[Date]],Database!$A:$C,MATCH($C$1,Database!$A$1:$C$1,),))</f>
        <v/>
      </c>
      <c r="D10831">
        <f>IFERROR(Table7[[#This Row],[United States 10y]]-Table7[[#This Row],[United States 3y]],#N/A)</f>
        <v/>
      </c>
    </row>
    <row r="10832">
      <c r="A10832" s="6">
        <f>Database!$A12917</f>
        <v/>
      </c>
      <c r="B10832">
        <f>IF(VLOOKUP(Table7[[#This Row],[Date]],Database!$A:$C,MATCH($B$1,Database!$A$1:$C$1,),)=0,#N/A,VLOOKUP(Table7[[#This Row],[Date]],Database!$A:$C,MATCH($B$1,Database!$A$1:$C$1,),))</f>
        <v/>
      </c>
      <c r="C10832">
        <f>IF(VLOOKUP(Table7[[#This Row],[Date]],Database!$A:$C,MATCH($C$1,Database!$A$1:$C$1,),)=0,#N/A,VLOOKUP(Table7[[#This Row],[Date]],Database!$A:$C,MATCH($C$1,Database!$A$1:$C$1,),))</f>
        <v/>
      </c>
      <c r="D10832">
        <f>IFERROR(Table7[[#This Row],[United States 10y]]-Table7[[#This Row],[United States 3y]],#N/A)</f>
        <v/>
      </c>
    </row>
    <row r="10833">
      <c r="A10833" s="6">
        <f>Database!$A12918</f>
        <v/>
      </c>
      <c r="B10833">
        <f>IF(VLOOKUP(Table7[[#This Row],[Date]],Database!$A:$C,MATCH($B$1,Database!$A$1:$C$1,),)=0,#N/A,VLOOKUP(Table7[[#This Row],[Date]],Database!$A:$C,MATCH($B$1,Database!$A$1:$C$1,),))</f>
        <v/>
      </c>
      <c r="C10833">
        <f>IF(VLOOKUP(Table7[[#This Row],[Date]],Database!$A:$C,MATCH($C$1,Database!$A$1:$C$1,),)=0,#N/A,VLOOKUP(Table7[[#This Row],[Date]],Database!$A:$C,MATCH($C$1,Database!$A$1:$C$1,),))</f>
        <v/>
      </c>
      <c r="D10833">
        <f>IFERROR(Table7[[#This Row],[United States 10y]]-Table7[[#This Row],[United States 3y]],#N/A)</f>
        <v/>
      </c>
    </row>
    <row r="10834">
      <c r="A10834" s="6">
        <f>Database!$A12919</f>
        <v/>
      </c>
      <c r="B10834">
        <f>IF(VLOOKUP(Table7[[#This Row],[Date]],Database!$A:$C,MATCH($B$1,Database!$A$1:$C$1,),)=0,#N/A,VLOOKUP(Table7[[#This Row],[Date]],Database!$A:$C,MATCH($B$1,Database!$A$1:$C$1,),))</f>
        <v/>
      </c>
      <c r="C10834">
        <f>IF(VLOOKUP(Table7[[#This Row],[Date]],Database!$A:$C,MATCH($C$1,Database!$A$1:$C$1,),)=0,#N/A,VLOOKUP(Table7[[#This Row],[Date]],Database!$A:$C,MATCH($C$1,Database!$A$1:$C$1,),))</f>
        <v/>
      </c>
      <c r="D10834">
        <f>IFERROR(Table7[[#This Row],[United States 10y]]-Table7[[#This Row],[United States 3y]],#N/A)</f>
        <v/>
      </c>
    </row>
    <row r="10835">
      <c r="A10835" s="6">
        <f>Database!$A12920</f>
        <v/>
      </c>
      <c r="B10835">
        <f>IF(VLOOKUP(Table7[[#This Row],[Date]],Database!$A:$C,MATCH($B$1,Database!$A$1:$C$1,),)=0,#N/A,VLOOKUP(Table7[[#This Row],[Date]],Database!$A:$C,MATCH($B$1,Database!$A$1:$C$1,),))</f>
        <v/>
      </c>
      <c r="C10835">
        <f>IF(VLOOKUP(Table7[[#This Row],[Date]],Database!$A:$C,MATCH($C$1,Database!$A$1:$C$1,),)=0,#N/A,VLOOKUP(Table7[[#This Row],[Date]],Database!$A:$C,MATCH($C$1,Database!$A$1:$C$1,),))</f>
        <v/>
      </c>
      <c r="D10835">
        <f>IFERROR(Table7[[#This Row],[United States 10y]]-Table7[[#This Row],[United States 3y]],#N/A)</f>
        <v/>
      </c>
    </row>
    <row r="10836">
      <c r="A10836" s="6">
        <f>Database!$A12921</f>
        <v/>
      </c>
      <c r="B10836">
        <f>IF(VLOOKUP(Table7[[#This Row],[Date]],Database!$A:$C,MATCH($B$1,Database!$A$1:$C$1,),)=0,#N/A,VLOOKUP(Table7[[#This Row],[Date]],Database!$A:$C,MATCH($B$1,Database!$A$1:$C$1,),))</f>
        <v/>
      </c>
      <c r="C10836">
        <f>IF(VLOOKUP(Table7[[#This Row],[Date]],Database!$A:$C,MATCH($C$1,Database!$A$1:$C$1,),)=0,#N/A,VLOOKUP(Table7[[#This Row],[Date]],Database!$A:$C,MATCH($C$1,Database!$A$1:$C$1,),))</f>
        <v/>
      </c>
      <c r="D10836">
        <f>IFERROR(Table7[[#This Row],[United States 10y]]-Table7[[#This Row],[United States 3y]],#N/A)</f>
        <v/>
      </c>
    </row>
    <row r="10837">
      <c r="A10837" s="6">
        <f>Database!$A12922</f>
        <v/>
      </c>
      <c r="B10837">
        <f>IF(VLOOKUP(Table7[[#This Row],[Date]],Database!$A:$C,MATCH($B$1,Database!$A$1:$C$1,),)=0,#N/A,VLOOKUP(Table7[[#This Row],[Date]],Database!$A:$C,MATCH($B$1,Database!$A$1:$C$1,),))</f>
        <v/>
      </c>
      <c r="C10837">
        <f>IF(VLOOKUP(Table7[[#This Row],[Date]],Database!$A:$C,MATCH($C$1,Database!$A$1:$C$1,),)=0,#N/A,VLOOKUP(Table7[[#This Row],[Date]],Database!$A:$C,MATCH($C$1,Database!$A$1:$C$1,),))</f>
        <v/>
      </c>
      <c r="D10837">
        <f>IFERROR(Table7[[#This Row],[United States 10y]]-Table7[[#This Row],[United States 3y]],#N/A)</f>
        <v/>
      </c>
    </row>
    <row r="10838">
      <c r="A10838" s="6">
        <f>Database!$A12923</f>
        <v/>
      </c>
      <c r="B10838">
        <f>IF(VLOOKUP(Table7[[#This Row],[Date]],Database!$A:$C,MATCH($B$1,Database!$A$1:$C$1,),)=0,#N/A,VLOOKUP(Table7[[#This Row],[Date]],Database!$A:$C,MATCH($B$1,Database!$A$1:$C$1,),))</f>
        <v/>
      </c>
      <c r="C10838">
        <f>IF(VLOOKUP(Table7[[#This Row],[Date]],Database!$A:$C,MATCH($C$1,Database!$A$1:$C$1,),)=0,#N/A,VLOOKUP(Table7[[#This Row],[Date]],Database!$A:$C,MATCH($C$1,Database!$A$1:$C$1,),))</f>
        <v/>
      </c>
      <c r="D10838">
        <f>IFERROR(Table7[[#This Row],[United States 10y]]-Table7[[#This Row],[United States 3y]],#N/A)</f>
        <v/>
      </c>
    </row>
    <row r="10839">
      <c r="A10839" s="6">
        <f>Database!$A12924</f>
        <v/>
      </c>
      <c r="B10839">
        <f>IF(VLOOKUP(Table7[[#This Row],[Date]],Database!$A:$C,MATCH($B$1,Database!$A$1:$C$1,),)=0,#N/A,VLOOKUP(Table7[[#This Row],[Date]],Database!$A:$C,MATCH($B$1,Database!$A$1:$C$1,),))</f>
        <v/>
      </c>
      <c r="C10839">
        <f>IF(VLOOKUP(Table7[[#This Row],[Date]],Database!$A:$C,MATCH($C$1,Database!$A$1:$C$1,),)=0,#N/A,VLOOKUP(Table7[[#This Row],[Date]],Database!$A:$C,MATCH($C$1,Database!$A$1:$C$1,),))</f>
        <v/>
      </c>
      <c r="D10839">
        <f>IFERROR(Table7[[#This Row],[United States 10y]]-Table7[[#This Row],[United States 3y]],#N/A)</f>
        <v/>
      </c>
    </row>
    <row r="10840">
      <c r="A10840" s="6">
        <f>Database!$A12925</f>
        <v/>
      </c>
      <c r="B10840">
        <f>IF(VLOOKUP(Table7[[#This Row],[Date]],Database!$A:$C,MATCH($B$1,Database!$A$1:$C$1,),)=0,#N/A,VLOOKUP(Table7[[#This Row],[Date]],Database!$A:$C,MATCH($B$1,Database!$A$1:$C$1,),))</f>
        <v/>
      </c>
      <c r="C10840">
        <f>IF(VLOOKUP(Table7[[#This Row],[Date]],Database!$A:$C,MATCH($C$1,Database!$A$1:$C$1,),)=0,#N/A,VLOOKUP(Table7[[#This Row],[Date]],Database!$A:$C,MATCH($C$1,Database!$A$1:$C$1,),))</f>
        <v/>
      </c>
      <c r="D10840">
        <f>IFERROR(Table7[[#This Row],[United States 10y]]-Table7[[#This Row],[United States 3y]],#N/A)</f>
        <v/>
      </c>
    </row>
    <row r="10841">
      <c r="A10841" s="6">
        <f>Database!$A12926</f>
        <v/>
      </c>
      <c r="B10841">
        <f>IF(VLOOKUP(Table7[[#This Row],[Date]],Database!$A:$C,MATCH($B$1,Database!$A$1:$C$1,),)=0,#N/A,VLOOKUP(Table7[[#This Row],[Date]],Database!$A:$C,MATCH($B$1,Database!$A$1:$C$1,),))</f>
        <v/>
      </c>
      <c r="C10841">
        <f>IF(VLOOKUP(Table7[[#This Row],[Date]],Database!$A:$C,MATCH($C$1,Database!$A$1:$C$1,),)=0,#N/A,VLOOKUP(Table7[[#This Row],[Date]],Database!$A:$C,MATCH($C$1,Database!$A$1:$C$1,),))</f>
        <v/>
      </c>
      <c r="D10841">
        <f>IFERROR(Table7[[#This Row],[United States 10y]]-Table7[[#This Row],[United States 3y]],#N/A)</f>
        <v/>
      </c>
    </row>
    <row r="10842">
      <c r="A10842" s="6">
        <f>Database!$A12927</f>
        <v/>
      </c>
      <c r="B10842">
        <f>IF(VLOOKUP(Table7[[#This Row],[Date]],Database!$A:$C,MATCH($B$1,Database!$A$1:$C$1,),)=0,#N/A,VLOOKUP(Table7[[#This Row],[Date]],Database!$A:$C,MATCH($B$1,Database!$A$1:$C$1,),))</f>
        <v/>
      </c>
      <c r="C10842">
        <f>IF(VLOOKUP(Table7[[#This Row],[Date]],Database!$A:$C,MATCH($C$1,Database!$A$1:$C$1,),)=0,#N/A,VLOOKUP(Table7[[#This Row],[Date]],Database!$A:$C,MATCH($C$1,Database!$A$1:$C$1,),))</f>
        <v/>
      </c>
      <c r="D10842">
        <f>IFERROR(Table7[[#This Row],[United States 10y]]-Table7[[#This Row],[United States 3y]],#N/A)</f>
        <v/>
      </c>
    </row>
    <row r="10843">
      <c r="A10843" s="6">
        <f>Database!$A12928</f>
        <v/>
      </c>
      <c r="B10843">
        <f>IF(VLOOKUP(Table7[[#This Row],[Date]],Database!$A:$C,MATCH($B$1,Database!$A$1:$C$1,),)=0,#N/A,VLOOKUP(Table7[[#This Row],[Date]],Database!$A:$C,MATCH($B$1,Database!$A$1:$C$1,),))</f>
        <v/>
      </c>
      <c r="C10843">
        <f>IF(VLOOKUP(Table7[[#This Row],[Date]],Database!$A:$C,MATCH($C$1,Database!$A$1:$C$1,),)=0,#N/A,VLOOKUP(Table7[[#This Row],[Date]],Database!$A:$C,MATCH($C$1,Database!$A$1:$C$1,),))</f>
        <v/>
      </c>
      <c r="D10843">
        <f>IFERROR(Table7[[#This Row],[United States 10y]]-Table7[[#This Row],[United States 3y]],#N/A)</f>
        <v/>
      </c>
    </row>
    <row r="10844">
      <c r="A10844" s="6">
        <f>Database!$A12929</f>
        <v/>
      </c>
      <c r="B10844">
        <f>IF(VLOOKUP(Table7[[#This Row],[Date]],Database!$A:$C,MATCH($B$1,Database!$A$1:$C$1,),)=0,#N/A,VLOOKUP(Table7[[#This Row],[Date]],Database!$A:$C,MATCH($B$1,Database!$A$1:$C$1,),))</f>
        <v/>
      </c>
      <c r="C10844">
        <f>IF(VLOOKUP(Table7[[#This Row],[Date]],Database!$A:$C,MATCH($C$1,Database!$A$1:$C$1,),)=0,#N/A,VLOOKUP(Table7[[#This Row],[Date]],Database!$A:$C,MATCH($C$1,Database!$A$1:$C$1,),))</f>
        <v/>
      </c>
      <c r="D10844">
        <f>IFERROR(Table7[[#This Row],[United States 10y]]-Table7[[#This Row],[United States 3y]],#N/A)</f>
        <v/>
      </c>
    </row>
    <row r="10845">
      <c r="A10845" s="6">
        <f>Database!$A12930</f>
        <v/>
      </c>
      <c r="B10845">
        <f>IF(VLOOKUP(Table7[[#This Row],[Date]],Database!$A:$C,MATCH($B$1,Database!$A$1:$C$1,),)=0,#N/A,VLOOKUP(Table7[[#This Row],[Date]],Database!$A:$C,MATCH($B$1,Database!$A$1:$C$1,),))</f>
        <v/>
      </c>
      <c r="C10845">
        <f>IF(VLOOKUP(Table7[[#This Row],[Date]],Database!$A:$C,MATCH($C$1,Database!$A$1:$C$1,),)=0,#N/A,VLOOKUP(Table7[[#This Row],[Date]],Database!$A:$C,MATCH($C$1,Database!$A$1:$C$1,),))</f>
        <v/>
      </c>
      <c r="D10845">
        <f>IFERROR(Table7[[#This Row],[United States 10y]]-Table7[[#This Row],[United States 3y]],#N/A)</f>
        <v/>
      </c>
    </row>
    <row r="10846">
      <c r="A10846" s="6">
        <f>Database!$A12931</f>
        <v/>
      </c>
      <c r="B10846">
        <f>IF(VLOOKUP(Table7[[#This Row],[Date]],Database!$A:$C,MATCH($B$1,Database!$A$1:$C$1,),)=0,#N/A,VLOOKUP(Table7[[#This Row],[Date]],Database!$A:$C,MATCH($B$1,Database!$A$1:$C$1,),))</f>
        <v/>
      </c>
      <c r="C10846">
        <f>IF(VLOOKUP(Table7[[#This Row],[Date]],Database!$A:$C,MATCH($C$1,Database!$A$1:$C$1,),)=0,#N/A,VLOOKUP(Table7[[#This Row],[Date]],Database!$A:$C,MATCH($C$1,Database!$A$1:$C$1,),))</f>
        <v/>
      </c>
      <c r="D10846">
        <f>IFERROR(Table7[[#This Row],[United States 10y]]-Table7[[#This Row],[United States 3y]],#N/A)</f>
        <v/>
      </c>
    </row>
    <row r="10847">
      <c r="A10847" s="6">
        <f>Database!$A12932</f>
        <v/>
      </c>
      <c r="B10847">
        <f>IF(VLOOKUP(Table7[[#This Row],[Date]],Database!$A:$C,MATCH($B$1,Database!$A$1:$C$1,),)=0,#N/A,VLOOKUP(Table7[[#This Row],[Date]],Database!$A:$C,MATCH($B$1,Database!$A$1:$C$1,),))</f>
        <v/>
      </c>
      <c r="C10847">
        <f>IF(VLOOKUP(Table7[[#This Row],[Date]],Database!$A:$C,MATCH($C$1,Database!$A$1:$C$1,),)=0,#N/A,VLOOKUP(Table7[[#This Row],[Date]],Database!$A:$C,MATCH($C$1,Database!$A$1:$C$1,),))</f>
        <v/>
      </c>
      <c r="D10847">
        <f>IFERROR(Table7[[#This Row],[United States 10y]]-Table7[[#This Row],[United States 3y]],#N/A)</f>
        <v/>
      </c>
    </row>
    <row r="10848">
      <c r="A10848" s="6">
        <f>Database!$A12933</f>
        <v/>
      </c>
      <c r="B10848">
        <f>IF(VLOOKUP(Table7[[#This Row],[Date]],Database!$A:$C,MATCH($B$1,Database!$A$1:$C$1,),)=0,#N/A,VLOOKUP(Table7[[#This Row],[Date]],Database!$A:$C,MATCH($B$1,Database!$A$1:$C$1,),))</f>
        <v/>
      </c>
      <c r="C10848">
        <f>IF(VLOOKUP(Table7[[#This Row],[Date]],Database!$A:$C,MATCH($C$1,Database!$A$1:$C$1,),)=0,#N/A,VLOOKUP(Table7[[#This Row],[Date]],Database!$A:$C,MATCH($C$1,Database!$A$1:$C$1,),))</f>
        <v/>
      </c>
      <c r="D10848">
        <f>IFERROR(Table7[[#This Row],[United States 10y]]-Table7[[#This Row],[United States 3y]],#N/A)</f>
        <v/>
      </c>
    </row>
    <row r="10849">
      <c r="A10849" s="6">
        <f>Database!$A12934</f>
        <v/>
      </c>
      <c r="B10849">
        <f>IF(VLOOKUP(Table7[[#This Row],[Date]],Database!$A:$C,MATCH($B$1,Database!$A$1:$C$1,),)=0,#N/A,VLOOKUP(Table7[[#This Row],[Date]],Database!$A:$C,MATCH($B$1,Database!$A$1:$C$1,),))</f>
        <v/>
      </c>
      <c r="C10849">
        <f>IF(VLOOKUP(Table7[[#This Row],[Date]],Database!$A:$C,MATCH($C$1,Database!$A$1:$C$1,),)=0,#N/A,VLOOKUP(Table7[[#This Row],[Date]],Database!$A:$C,MATCH($C$1,Database!$A$1:$C$1,),))</f>
        <v/>
      </c>
      <c r="D10849">
        <f>IFERROR(Table7[[#This Row],[United States 10y]]-Table7[[#This Row],[United States 3y]],#N/A)</f>
        <v/>
      </c>
    </row>
    <row r="10850">
      <c r="A10850" s="6">
        <f>Database!$A12935</f>
        <v/>
      </c>
      <c r="B10850">
        <f>IF(VLOOKUP(Table7[[#This Row],[Date]],Database!$A:$C,MATCH($B$1,Database!$A$1:$C$1,),)=0,#N/A,VLOOKUP(Table7[[#This Row],[Date]],Database!$A:$C,MATCH($B$1,Database!$A$1:$C$1,),))</f>
        <v/>
      </c>
      <c r="C10850">
        <f>IF(VLOOKUP(Table7[[#This Row],[Date]],Database!$A:$C,MATCH($C$1,Database!$A$1:$C$1,),)=0,#N/A,VLOOKUP(Table7[[#This Row],[Date]],Database!$A:$C,MATCH($C$1,Database!$A$1:$C$1,),))</f>
        <v/>
      </c>
      <c r="D10850">
        <f>IFERROR(Table7[[#This Row],[United States 10y]]-Table7[[#This Row],[United States 3y]],#N/A)</f>
        <v/>
      </c>
    </row>
    <row r="10851">
      <c r="A10851" s="6">
        <f>Database!$A12936</f>
        <v/>
      </c>
      <c r="B10851">
        <f>IF(VLOOKUP(Table7[[#This Row],[Date]],Database!$A:$C,MATCH($B$1,Database!$A$1:$C$1,),)=0,#N/A,VLOOKUP(Table7[[#This Row],[Date]],Database!$A:$C,MATCH($B$1,Database!$A$1:$C$1,),))</f>
        <v/>
      </c>
      <c r="C10851">
        <f>IF(VLOOKUP(Table7[[#This Row],[Date]],Database!$A:$C,MATCH($C$1,Database!$A$1:$C$1,),)=0,#N/A,VLOOKUP(Table7[[#This Row],[Date]],Database!$A:$C,MATCH($C$1,Database!$A$1:$C$1,),))</f>
        <v/>
      </c>
      <c r="D10851">
        <f>IFERROR(Table7[[#This Row],[United States 10y]]-Table7[[#This Row],[United States 3y]],#N/A)</f>
        <v/>
      </c>
    </row>
    <row r="10852">
      <c r="A10852" s="6">
        <f>Database!$A12937</f>
        <v/>
      </c>
      <c r="B10852">
        <f>IF(VLOOKUP(Table7[[#This Row],[Date]],Database!$A:$C,MATCH($B$1,Database!$A$1:$C$1,),)=0,#N/A,VLOOKUP(Table7[[#This Row],[Date]],Database!$A:$C,MATCH($B$1,Database!$A$1:$C$1,),))</f>
        <v/>
      </c>
      <c r="C10852">
        <f>IF(VLOOKUP(Table7[[#This Row],[Date]],Database!$A:$C,MATCH($C$1,Database!$A$1:$C$1,),)=0,#N/A,VLOOKUP(Table7[[#This Row],[Date]],Database!$A:$C,MATCH($C$1,Database!$A$1:$C$1,),))</f>
        <v/>
      </c>
      <c r="D10852">
        <f>IFERROR(Table7[[#This Row],[United States 10y]]-Table7[[#This Row],[United States 3y]],#N/A)</f>
        <v/>
      </c>
    </row>
    <row r="10853">
      <c r="A10853" s="6">
        <f>Database!$A12938</f>
        <v/>
      </c>
      <c r="B10853">
        <f>IF(VLOOKUP(Table7[[#This Row],[Date]],Database!$A:$C,MATCH($B$1,Database!$A$1:$C$1,),)=0,#N/A,VLOOKUP(Table7[[#This Row],[Date]],Database!$A:$C,MATCH($B$1,Database!$A$1:$C$1,),))</f>
        <v/>
      </c>
      <c r="C10853">
        <f>IF(VLOOKUP(Table7[[#This Row],[Date]],Database!$A:$C,MATCH($C$1,Database!$A$1:$C$1,),)=0,#N/A,VLOOKUP(Table7[[#This Row],[Date]],Database!$A:$C,MATCH($C$1,Database!$A$1:$C$1,),))</f>
        <v/>
      </c>
      <c r="D10853">
        <f>IFERROR(Table7[[#This Row],[United States 10y]]-Table7[[#This Row],[United States 3y]],#N/A)</f>
        <v/>
      </c>
    </row>
    <row r="10854">
      <c r="A10854" s="6">
        <f>Database!$A12939</f>
        <v/>
      </c>
      <c r="B10854">
        <f>IF(VLOOKUP(Table7[[#This Row],[Date]],Database!$A:$C,MATCH($B$1,Database!$A$1:$C$1,),)=0,#N/A,VLOOKUP(Table7[[#This Row],[Date]],Database!$A:$C,MATCH($B$1,Database!$A$1:$C$1,),))</f>
        <v/>
      </c>
      <c r="C10854">
        <f>IF(VLOOKUP(Table7[[#This Row],[Date]],Database!$A:$C,MATCH($C$1,Database!$A$1:$C$1,),)=0,#N/A,VLOOKUP(Table7[[#This Row],[Date]],Database!$A:$C,MATCH($C$1,Database!$A$1:$C$1,),))</f>
        <v/>
      </c>
      <c r="D10854">
        <f>IFERROR(Table7[[#This Row],[United States 10y]]-Table7[[#This Row],[United States 3y]],#N/A)</f>
        <v/>
      </c>
    </row>
    <row r="10855">
      <c r="A10855" s="6">
        <f>Database!$A12940</f>
        <v/>
      </c>
      <c r="B10855">
        <f>IF(VLOOKUP(Table7[[#This Row],[Date]],Database!$A:$C,MATCH($B$1,Database!$A$1:$C$1,),)=0,#N/A,VLOOKUP(Table7[[#This Row],[Date]],Database!$A:$C,MATCH($B$1,Database!$A$1:$C$1,),))</f>
        <v/>
      </c>
      <c r="C10855">
        <f>IF(VLOOKUP(Table7[[#This Row],[Date]],Database!$A:$C,MATCH($C$1,Database!$A$1:$C$1,),)=0,#N/A,VLOOKUP(Table7[[#This Row],[Date]],Database!$A:$C,MATCH($C$1,Database!$A$1:$C$1,),))</f>
        <v/>
      </c>
      <c r="D10855">
        <f>IFERROR(Table7[[#This Row],[United States 10y]]-Table7[[#This Row],[United States 3y]],#N/A)</f>
        <v/>
      </c>
    </row>
    <row r="10856">
      <c r="A10856" s="6">
        <f>Database!$A12941</f>
        <v/>
      </c>
      <c r="B10856">
        <f>IF(VLOOKUP(Table7[[#This Row],[Date]],Database!$A:$C,MATCH($B$1,Database!$A$1:$C$1,),)=0,#N/A,VLOOKUP(Table7[[#This Row],[Date]],Database!$A:$C,MATCH($B$1,Database!$A$1:$C$1,),))</f>
        <v/>
      </c>
      <c r="C10856">
        <f>IF(VLOOKUP(Table7[[#This Row],[Date]],Database!$A:$C,MATCH($C$1,Database!$A$1:$C$1,),)=0,#N/A,VLOOKUP(Table7[[#This Row],[Date]],Database!$A:$C,MATCH($C$1,Database!$A$1:$C$1,),))</f>
        <v/>
      </c>
      <c r="D10856">
        <f>IFERROR(Table7[[#This Row],[United States 10y]]-Table7[[#This Row],[United States 3y]],#N/A)</f>
        <v/>
      </c>
    </row>
    <row r="10857">
      <c r="A10857" s="6">
        <f>Database!$A12942</f>
        <v/>
      </c>
      <c r="B10857">
        <f>IF(VLOOKUP(Table7[[#This Row],[Date]],Database!$A:$C,MATCH($B$1,Database!$A$1:$C$1,),)=0,#N/A,VLOOKUP(Table7[[#This Row],[Date]],Database!$A:$C,MATCH($B$1,Database!$A$1:$C$1,),))</f>
        <v/>
      </c>
      <c r="C10857">
        <f>IF(VLOOKUP(Table7[[#This Row],[Date]],Database!$A:$C,MATCH($C$1,Database!$A$1:$C$1,),)=0,#N/A,VLOOKUP(Table7[[#This Row],[Date]],Database!$A:$C,MATCH($C$1,Database!$A$1:$C$1,),))</f>
        <v/>
      </c>
      <c r="D10857">
        <f>IFERROR(Table7[[#This Row],[United States 10y]]-Table7[[#This Row],[United States 3y]],#N/A)</f>
        <v/>
      </c>
    </row>
    <row r="10858">
      <c r="A10858" s="6">
        <f>Database!$A12943</f>
        <v/>
      </c>
      <c r="B10858">
        <f>IF(VLOOKUP(Table7[[#This Row],[Date]],Database!$A:$C,MATCH($B$1,Database!$A$1:$C$1,),)=0,#N/A,VLOOKUP(Table7[[#This Row],[Date]],Database!$A:$C,MATCH($B$1,Database!$A$1:$C$1,),))</f>
        <v/>
      </c>
      <c r="C10858">
        <f>IF(VLOOKUP(Table7[[#This Row],[Date]],Database!$A:$C,MATCH($C$1,Database!$A$1:$C$1,),)=0,#N/A,VLOOKUP(Table7[[#This Row],[Date]],Database!$A:$C,MATCH($C$1,Database!$A$1:$C$1,),))</f>
        <v/>
      </c>
      <c r="D10858">
        <f>IFERROR(Table7[[#This Row],[United States 10y]]-Table7[[#This Row],[United States 3y]],#N/A)</f>
        <v/>
      </c>
    </row>
    <row r="10859">
      <c r="A10859" s="6">
        <f>Database!$A12944</f>
        <v/>
      </c>
      <c r="B10859">
        <f>IF(VLOOKUP(Table7[[#This Row],[Date]],Database!$A:$C,MATCH($B$1,Database!$A$1:$C$1,),)=0,#N/A,VLOOKUP(Table7[[#This Row],[Date]],Database!$A:$C,MATCH($B$1,Database!$A$1:$C$1,),))</f>
        <v/>
      </c>
      <c r="C10859">
        <f>IF(VLOOKUP(Table7[[#This Row],[Date]],Database!$A:$C,MATCH($C$1,Database!$A$1:$C$1,),)=0,#N/A,VLOOKUP(Table7[[#This Row],[Date]],Database!$A:$C,MATCH($C$1,Database!$A$1:$C$1,),))</f>
        <v/>
      </c>
      <c r="D10859">
        <f>IFERROR(Table7[[#This Row],[United States 10y]]-Table7[[#This Row],[United States 3y]],#N/A)</f>
        <v/>
      </c>
    </row>
    <row r="10860">
      <c r="A10860" s="6">
        <f>Database!$A12945</f>
        <v/>
      </c>
      <c r="B10860">
        <f>IF(VLOOKUP(Table7[[#This Row],[Date]],Database!$A:$C,MATCH($B$1,Database!$A$1:$C$1,),)=0,#N/A,VLOOKUP(Table7[[#This Row],[Date]],Database!$A:$C,MATCH($B$1,Database!$A$1:$C$1,),))</f>
        <v/>
      </c>
      <c r="C10860">
        <f>IF(VLOOKUP(Table7[[#This Row],[Date]],Database!$A:$C,MATCH($C$1,Database!$A$1:$C$1,),)=0,#N/A,VLOOKUP(Table7[[#This Row],[Date]],Database!$A:$C,MATCH($C$1,Database!$A$1:$C$1,),))</f>
        <v/>
      </c>
      <c r="D10860">
        <f>IFERROR(Table7[[#This Row],[United States 10y]]-Table7[[#This Row],[United States 3y]],#N/A)</f>
        <v/>
      </c>
    </row>
    <row r="10861">
      <c r="A10861" s="6">
        <f>Database!$A12946</f>
        <v/>
      </c>
      <c r="B10861">
        <f>IF(VLOOKUP(Table7[[#This Row],[Date]],Database!$A:$C,MATCH($B$1,Database!$A$1:$C$1,),)=0,#N/A,VLOOKUP(Table7[[#This Row],[Date]],Database!$A:$C,MATCH($B$1,Database!$A$1:$C$1,),))</f>
        <v/>
      </c>
      <c r="C10861">
        <f>IF(VLOOKUP(Table7[[#This Row],[Date]],Database!$A:$C,MATCH($C$1,Database!$A$1:$C$1,),)=0,#N/A,VLOOKUP(Table7[[#This Row],[Date]],Database!$A:$C,MATCH($C$1,Database!$A$1:$C$1,),))</f>
        <v/>
      </c>
      <c r="D10861">
        <f>IFERROR(Table7[[#This Row],[United States 10y]]-Table7[[#This Row],[United States 3y]],#N/A)</f>
        <v/>
      </c>
    </row>
    <row r="10862">
      <c r="A10862" s="6">
        <f>Database!$A12947</f>
        <v/>
      </c>
      <c r="B10862">
        <f>IF(VLOOKUP(Table7[[#This Row],[Date]],Database!$A:$C,MATCH($B$1,Database!$A$1:$C$1,),)=0,#N/A,VLOOKUP(Table7[[#This Row],[Date]],Database!$A:$C,MATCH($B$1,Database!$A$1:$C$1,),))</f>
        <v/>
      </c>
      <c r="C10862">
        <f>IF(VLOOKUP(Table7[[#This Row],[Date]],Database!$A:$C,MATCH($C$1,Database!$A$1:$C$1,),)=0,#N/A,VLOOKUP(Table7[[#This Row],[Date]],Database!$A:$C,MATCH($C$1,Database!$A$1:$C$1,),))</f>
        <v/>
      </c>
      <c r="D10862">
        <f>IFERROR(Table7[[#This Row],[United States 10y]]-Table7[[#This Row],[United States 3y]],#N/A)</f>
        <v/>
      </c>
    </row>
    <row r="10863">
      <c r="A10863" s="6">
        <f>Database!$A12948</f>
        <v/>
      </c>
      <c r="B10863">
        <f>IF(VLOOKUP(Table7[[#This Row],[Date]],Database!$A:$C,MATCH($B$1,Database!$A$1:$C$1,),)=0,#N/A,VLOOKUP(Table7[[#This Row],[Date]],Database!$A:$C,MATCH($B$1,Database!$A$1:$C$1,),))</f>
        <v/>
      </c>
      <c r="C10863">
        <f>IF(VLOOKUP(Table7[[#This Row],[Date]],Database!$A:$C,MATCH($C$1,Database!$A$1:$C$1,),)=0,#N/A,VLOOKUP(Table7[[#This Row],[Date]],Database!$A:$C,MATCH($C$1,Database!$A$1:$C$1,),))</f>
        <v/>
      </c>
      <c r="D10863">
        <f>IFERROR(Table7[[#This Row],[United States 10y]]-Table7[[#This Row],[United States 3y]],#N/A)</f>
        <v/>
      </c>
    </row>
    <row r="10864">
      <c r="A10864" s="6">
        <f>Database!$A12949</f>
        <v/>
      </c>
      <c r="B10864">
        <f>IF(VLOOKUP(Table7[[#This Row],[Date]],Database!$A:$C,MATCH($B$1,Database!$A$1:$C$1,),)=0,#N/A,VLOOKUP(Table7[[#This Row],[Date]],Database!$A:$C,MATCH($B$1,Database!$A$1:$C$1,),))</f>
        <v/>
      </c>
      <c r="C10864">
        <f>IF(VLOOKUP(Table7[[#This Row],[Date]],Database!$A:$C,MATCH($C$1,Database!$A$1:$C$1,),)=0,#N/A,VLOOKUP(Table7[[#This Row],[Date]],Database!$A:$C,MATCH($C$1,Database!$A$1:$C$1,),))</f>
        <v/>
      </c>
      <c r="D10864">
        <f>IFERROR(Table7[[#This Row],[United States 10y]]-Table7[[#This Row],[United States 3y]],#N/A)</f>
        <v/>
      </c>
    </row>
    <row r="10865">
      <c r="A10865" s="6">
        <f>Database!$A12950</f>
        <v/>
      </c>
      <c r="B10865">
        <f>IF(VLOOKUP(Table7[[#This Row],[Date]],Database!$A:$C,MATCH($B$1,Database!$A$1:$C$1,),)=0,#N/A,VLOOKUP(Table7[[#This Row],[Date]],Database!$A:$C,MATCH($B$1,Database!$A$1:$C$1,),))</f>
        <v/>
      </c>
      <c r="C10865">
        <f>IF(VLOOKUP(Table7[[#This Row],[Date]],Database!$A:$C,MATCH($C$1,Database!$A$1:$C$1,),)=0,#N/A,VLOOKUP(Table7[[#This Row],[Date]],Database!$A:$C,MATCH($C$1,Database!$A$1:$C$1,),))</f>
        <v/>
      </c>
      <c r="D10865">
        <f>IFERROR(Table7[[#This Row],[United States 10y]]-Table7[[#This Row],[United States 3y]],#N/A)</f>
        <v/>
      </c>
    </row>
    <row r="10866">
      <c r="A10866" s="6">
        <f>Database!$A12951</f>
        <v/>
      </c>
      <c r="B10866">
        <f>IF(VLOOKUP(Table7[[#This Row],[Date]],Database!$A:$C,MATCH($B$1,Database!$A$1:$C$1,),)=0,#N/A,VLOOKUP(Table7[[#This Row],[Date]],Database!$A:$C,MATCH($B$1,Database!$A$1:$C$1,),))</f>
        <v/>
      </c>
      <c r="C10866">
        <f>IF(VLOOKUP(Table7[[#This Row],[Date]],Database!$A:$C,MATCH($C$1,Database!$A$1:$C$1,),)=0,#N/A,VLOOKUP(Table7[[#This Row],[Date]],Database!$A:$C,MATCH($C$1,Database!$A$1:$C$1,),))</f>
        <v/>
      </c>
      <c r="D10866">
        <f>IFERROR(Table7[[#This Row],[United States 10y]]-Table7[[#This Row],[United States 3y]],#N/A)</f>
        <v/>
      </c>
    </row>
    <row r="10867">
      <c r="A10867" s="6">
        <f>Database!$A12952</f>
        <v/>
      </c>
      <c r="B10867">
        <f>IF(VLOOKUP(Table7[[#This Row],[Date]],Database!$A:$C,MATCH($B$1,Database!$A$1:$C$1,),)=0,#N/A,VLOOKUP(Table7[[#This Row],[Date]],Database!$A:$C,MATCH($B$1,Database!$A$1:$C$1,),))</f>
        <v/>
      </c>
      <c r="C10867">
        <f>IF(VLOOKUP(Table7[[#This Row],[Date]],Database!$A:$C,MATCH($C$1,Database!$A$1:$C$1,),)=0,#N/A,VLOOKUP(Table7[[#This Row],[Date]],Database!$A:$C,MATCH($C$1,Database!$A$1:$C$1,),))</f>
        <v/>
      </c>
      <c r="D10867">
        <f>IFERROR(Table7[[#This Row],[United States 10y]]-Table7[[#This Row],[United States 3y]],#N/A)</f>
        <v/>
      </c>
    </row>
    <row r="10868">
      <c r="A10868" s="6">
        <f>Database!$A12953</f>
        <v/>
      </c>
      <c r="B10868">
        <f>IF(VLOOKUP(Table7[[#This Row],[Date]],Database!$A:$C,MATCH($B$1,Database!$A$1:$C$1,),)=0,#N/A,VLOOKUP(Table7[[#This Row],[Date]],Database!$A:$C,MATCH($B$1,Database!$A$1:$C$1,),))</f>
        <v/>
      </c>
      <c r="C10868">
        <f>IF(VLOOKUP(Table7[[#This Row],[Date]],Database!$A:$C,MATCH($C$1,Database!$A$1:$C$1,),)=0,#N/A,VLOOKUP(Table7[[#This Row],[Date]],Database!$A:$C,MATCH($C$1,Database!$A$1:$C$1,),))</f>
        <v/>
      </c>
      <c r="D10868">
        <f>IFERROR(Table7[[#This Row],[United States 10y]]-Table7[[#This Row],[United States 3y]],#N/A)</f>
        <v/>
      </c>
    </row>
    <row r="10869">
      <c r="A10869" s="6">
        <f>Database!$A12954</f>
        <v/>
      </c>
      <c r="B10869">
        <f>IF(VLOOKUP(Table7[[#This Row],[Date]],Database!$A:$C,MATCH($B$1,Database!$A$1:$C$1,),)=0,#N/A,VLOOKUP(Table7[[#This Row],[Date]],Database!$A:$C,MATCH($B$1,Database!$A$1:$C$1,),))</f>
        <v/>
      </c>
      <c r="C10869">
        <f>IF(VLOOKUP(Table7[[#This Row],[Date]],Database!$A:$C,MATCH($C$1,Database!$A$1:$C$1,),)=0,#N/A,VLOOKUP(Table7[[#This Row],[Date]],Database!$A:$C,MATCH($C$1,Database!$A$1:$C$1,),))</f>
        <v/>
      </c>
      <c r="D10869">
        <f>IFERROR(Table7[[#This Row],[United States 10y]]-Table7[[#This Row],[United States 3y]],#N/A)</f>
        <v/>
      </c>
    </row>
    <row r="10870">
      <c r="A10870" s="6">
        <f>Database!$A12955</f>
        <v/>
      </c>
      <c r="B10870">
        <f>IF(VLOOKUP(Table7[[#This Row],[Date]],Database!$A:$C,MATCH($B$1,Database!$A$1:$C$1,),)=0,#N/A,VLOOKUP(Table7[[#This Row],[Date]],Database!$A:$C,MATCH($B$1,Database!$A$1:$C$1,),))</f>
        <v/>
      </c>
      <c r="C10870">
        <f>IF(VLOOKUP(Table7[[#This Row],[Date]],Database!$A:$C,MATCH($C$1,Database!$A$1:$C$1,),)=0,#N/A,VLOOKUP(Table7[[#This Row],[Date]],Database!$A:$C,MATCH($C$1,Database!$A$1:$C$1,),))</f>
        <v/>
      </c>
      <c r="D10870">
        <f>IFERROR(Table7[[#This Row],[United States 10y]]-Table7[[#This Row],[United States 3y]],#N/A)</f>
        <v/>
      </c>
    </row>
    <row r="10871">
      <c r="A10871" s="6">
        <f>Database!$A12956</f>
        <v/>
      </c>
      <c r="B10871">
        <f>IF(VLOOKUP(Table7[[#This Row],[Date]],Database!$A:$C,MATCH($B$1,Database!$A$1:$C$1,),)=0,#N/A,VLOOKUP(Table7[[#This Row],[Date]],Database!$A:$C,MATCH($B$1,Database!$A$1:$C$1,),))</f>
        <v/>
      </c>
      <c r="C10871">
        <f>IF(VLOOKUP(Table7[[#This Row],[Date]],Database!$A:$C,MATCH($C$1,Database!$A$1:$C$1,),)=0,#N/A,VLOOKUP(Table7[[#This Row],[Date]],Database!$A:$C,MATCH($C$1,Database!$A$1:$C$1,),))</f>
        <v/>
      </c>
      <c r="D10871">
        <f>IFERROR(Table7[[#This Row],[United States 10y]]-Table7[[#This Row],[United States 3y]],#N/A)</f>
        <v/>
      </c>
    </row>
    <row r="10872">
      <c r="A10872" s="6">
        <f>Database!$A12957</f>
        <v/>
      </c>
      <c r="B10872">
        <f>IF(VLOOKUP(Table7[[#This Row],[Date]],Database!$A:$C,MATCH($B$1,Database!$A$1:$C$1,),)=0,#N/A,VLOOKUP(Table7[[#This Row],[Date]],Database!$A:$C,MATCH($B$1,Database!$A$1:$C$1,),))</f>
        <v/>
      </c>
      <c r="C10872">
        <f>IF(VLOOKUP(Table7[[#This Row],[Date]],Database!$A:$C,MATCH($C$1,Database!$A$1:$C$1,),)=0,#N/A,VLOOKUP(Table7[[#This Row],[Date]],Database!$A:$C,MATCH($C$1,Database!$A$1:$C$1,),))</f>
        <v/>
      </c>
      <c r="D10872">
        <f>IFERROR(Table7[[#This Row],[United States 10y]]-Table7[[#This Row],[United States 3y]],#N/A)</f>
        <v/>
      </c>
    </row>
    <row r="10873">
      <c r="A10873" s="6">
        <f>Database!$A12958</f>
        <v/>
      </c>
      <c r="B10873">
        <f>IF(VLOOKUP(Table7[[#This Row],[Date]],Database!$A:$C,MATCH($B$1,Database!$A$1:$C$1,),)=0,#N/A,VLOOKUP(Table7[[#This Row],[Date]],Database!$A:$C,MATCH($B$1,Database!$A$1:$C$1,),))</f>
        <v/>
      </c>
      <c r="C10873">
        <f>IF(VLOOKUP(Table7[[#This Row],[Date]],Database!$A:$C,MATCH($C$1,Database!$A$1:$C$1,),)=0,#N/A,VLOOKUP(Table7[[#This Row],[Date]],Database!$A:$C,MATCH($C$1,Database!$A$1:$C$1,),))</f>
        <v/>
      </c>
      <c r="D10873">
        <f>IFERROR(Table7[[#This Row],[United States 10y]]-Table7[[#This Row],[United States 3y]],#N/A)</f>
        <v/>
      </c>
    </row>
    <row r="10874">
      <c r="A10874" s="6">
        <f>Database!$A12959</f>
        <v/>
      </c>
      <c r="B10874">
        <f>IF(VLOOKUP(Table7[[#This Row],[Date]],Database!$A:$C,MATCH($B$1,Database!$A$1:$C$1,),)=0,#N/A,VLOOKUP(Table7[[#This Row],[Date]],Database!$A:$C,MATCH($B$1,Database!$A$1:$C$1,),))</f>
        <v/>
      </c>
      <c r="C10874">
        <f>IF(VLOOKUP(Table7[[#This Row],[Date]],Database!$A:$C,MATCH($C$1,Database!$A$1:$C$1,),)=0,#N/A,VLOOKUP(Table7[[#This Row],[Date]],Database!$A:$C,MATCH($C$1,Database!$A$1:$C$1,),))</f>
        <v/>
      </c>
      <c r="D10874">
        <f>IFERROR(Table7[[#This Row],[United States 10y]]-Table7[[#This Row],[United States 3y]],#N/A)</f>
        <v/>
      </c>
    </row>
    <row r="10875">
      <c r="A10875" s="6">
        <f>Database!$A12960</f>
        <v/>
      </c>
      <c r="B10875">
        <f>IF(VLOOKUP(Table7[[#This Row],[Date]],Database!$A:$C,MATCH($B$1,Database!$A$1:$C$1,),)=0,#N/A,VLOOKUP(Table7[[#This Row],[Date]],Database!$A:$C,MATCH($B$1,Database!$A$1:$C$1,),))</f>
        <v/>
      </c>
      <c r="C10875">
        <f>IF(VLOOKUP(Table7[[#This Row],[Date]],Database!$A:$C,MATCH($C$1,Database!$A$1:$C$1,),)=0,#N/A,VLOOKUP(Table7[[#This Row],[Date]],Database!$A:$C,MATCH($C$1,Database!$A$1:$C$1,),))</f>
        <v/>
      </c>
      <c r="D10875">
        <f>IFERROR(Table7[[#This Row],[United States 10y]]-Table7[[#This Row],[United States 3y]],#N/A)</f>
        <v/>
      </c>
    </row>
    <row r="10876">
      <c r="A10876" s="6">
        <f>Database!$A12961</f>
        <v/>
      </c>
      <c r="B10876">
        <f>IF(VLOOKUP(Table7[[#This Row],[Date]],Database!$A:$C,MATCH($B$1,Database!$A$1:$C$1,),)=0,#N/A,VLOOKUP(Table7[[#This Row],[Date]],Database!$A:$C,MATCH($B$1,Database!$A$1:$C$1,),))</f>
        <v/>
      </c>
      <c r="C10876">
        <f>IF(VLOOKUP(Table7[[#This Row],[Date]],Database!$A:$C,MATCH($C$1,Database!$A$1:$C$1,),)=0,#N/A,VLOOKUP(Table7[[#This Row],[Date]],Database!$A:$C,MATCH($C$1,Database!$A$1:$C$1,),))</f>
        <v/>
      </c>
      <c r="D10876">
        <f>IFERROR(Table7[[#This Row],[United States 10y]]-Table7[[#This Row],[United States 3y]],#N/A)</f>
        <v/>
      </c>
    </row>
    <row r="10877">
      <c r="A10877" s="6">
        <f>Database!$A12962</f>
        <v/>
      </c>
      <c r="B10877">
        <f>IF(VLOOKUP(Table7[[#This Row],[Date]],Database!$A:$C,MATCH($B$1,Database!$A$1:$C$1,),)=0,#N/A,VLOOKUP(Table7[[#This Row],[Date]],Database!$A:$C,MATCH($B$1,Database!$A$1:$C$1,),))</f>
        <v/>
      </c>
      <c r="C10877">
        <f>IF(VLOOKUP(Table7[[#This Row],[Date]],Database!$A:$C,MATCH($C$1,Database!$A$1:$C$1,),)=0,#N/A,VLOOKUP(Table7[[#This Row],[Date]],Database!$A:$C,MATCH($C$1,Database!$A$1:$C$1,),))</f>
        <v/>
      </c>
      <c r="D10877">
        <f>IFERROR(Table7[[#This Row],[United States 10y]]-Table7[[#This Row],[United States 3y]],#N/A)</f>
        <v/>
      </c>
    </row>
    <row r="10878">
      <c r="A10878" s="6">
        <f>Database!$A12963</f>
        <v/>
      </c>
      <c r="B10878">
        <f>IF(VLOOKUP(Table7[[#This Row],[Date]],Database!$A:$C,MATCH($B$1,Database!$A$1:$C$1,),)=0,#N/A,VLOOKUP(Table7[[#This Row],[Date]],Database!$A:$C,MATCH($B$1,Database!$A$1:$C$1,),))</f>
        <v/>
      </c>
      <c r="C10878">
        <f>IF(VLOOKUP(Table7[[#This Row],[Date]],Database!$A:$C,MATCH($C$1,Database!$A$1:$C$1,),)=0,#N/A,VLOOKUP(Table7[[#This Row],[Date]],Database!$A:$C,MATCH($C$1,Database!$A$1:$C$1,),))</f>
        <v/>
      </c>
      <c r="D10878">
        <f>IFERROR(Table7[[#This Row],[United States 10y]]-Table7[[#This Row],[United States 3y]],#N/A)</f>
        <v/>
      </c>
    </row>
    <row r="10879">
      <c r="A10879" s="6">
        <f>Database!$A12964</f>
        <v/>
      </c>
      <c r="B10879">
        <f>IF(VLOOKUP(Table7[[#This Row],[Date]],Database!$A:$C,MATCH($B$1,Database!$A$1:$C$1,),)=0,#N/A,VLOOKUP(Table7[[#This Row],[Date]],Database!$A:$C,MATCH($B$1,Database!$A$1:$C$1,),))</f>
        <v/>
      </c>
      <c r="C10879">
        <f>IF(VLOOKUP(Table7[[#This Row],[Date]],Database!$A:$C,MATCH($C$1,Database!$A$1:$C$1,),)=0,#N/A,VLOOKUP(Table7[[#This Row],[Date]],Database!$A:$C,MATCH($C$1,Database!$A$1:$C$1,),))</f>
        <v/>
      </c>
      <c r="D10879">
        <f>IFERROR(Table7[[#This Row],[United States 10y]]-Table7[[#This Row],[United States 3y]],#N/A)</f>
        <v/>
      </c>
    </row>
    <row r="10880">
      <c r="A10880" s="6">
        <f>Database!$A12965</f>
        <v/>
      </c>
      <c r="B10880">
        <f>IF(VLOOKUP(Table7[[#This Row],[Date]],Database!$A:$C,MATCH($B$1,Database!$A$1:$C$1,),)=0,#N/A,VLOOKUP(Table7[[#This Row],[Date]],Database!$A:$C,MATCH($B$1,Database!$A$1:$C$1,),))</f>
        <v/>
      </c>
      <c r="C10880">
        <f>IF(VLOOKUP(Table7[[#This Row],[Date]],Database!$A:$C,MATCH($C$1,Database!$A$1:$C$1,),)=0,#N/A,VLOOKUP(Table7[[#This Row],[Date]],Database!$A:$C,MATCH($C$1,Database!$A$1:$C$1,),))</f>
        <v/>
      </c>
      <c r="D10880">
        <f>IFERROR(Table7[[#This Row],[United States 10y]]-Table7[[#This Row],[United States 3y]],#N/A)</f>
        <v/>
      </c>
    </row>
    <row r="10881">
      <c r="A10881" s="6">
        <f>Database!$A12966</f>
        <v/>
      </c>
      <c r="B10881">
        <f>IF(VLOOKUP(Table7[[#This Row],[Date]],Database!$A:$C,MATCH($B$1,Database!$A$1:$C$1,),)=0,#N/A,VLOOKUP(Table7[[#This Row],[Date]],Database!$A:$C,MATCH($B$1,Database!$A$1:$C$1,),))</f>
        <v/>
      </c>
      <c r="C10881">
        <f>IF(VLOOKUP(Table7[[#This Row],[Date]],Database!$A:$C,MATCH($C$1,Database!$A$1:$C$1,),)=0,#N/A,VLOOKUP(Table7[[#This Row],[Date]],Database!$A:$C,MATCH($C$1,Database!$A$1:$C$1,),))</f>
        <v/>
      </c>
      <c r="D10881">
        <f>IFERROR(Table7[[#This Row],[United States 10y]]-Table7[[#This Row],[United States 3y]],#N/A)</f>
        <v/>
      </c>
    </row>
    <row r="10882">
      <c r="A10882" s="6">
        <f>Database!$A12967</f>
        <v/>
      </c>
      <c r="B10882">
        <f>IF(VLOOKUP(Table7[[#This Row],[Date]],Database!$A:$C,MATCH($B$1,Database!$A$1:$C$1,),)=0,#N/A,VLOOKUP(Table7[[#This Row],[Date]],Database!$A:$C,MATCH($B$1,Database!$A$1:$C$1,),))</f>
        <v/>
      </c>
      <c r="C10882">
        <f>IF(VLOOKUP(Table7[[#This Row],[Date]],Database!$A:$C,MATCH($C$1,Database!$A$1:$C$1,),)=0,#N/A,VLOOKUP(Table7[[#This Row],[Date]],Database!$A:$C,MATCH($C$1,Database!$A$1:$C$1,),))</f>
        <v/>
      </c>
      <c r="D10882">
        <f>IFERROR(Table7[[#This Row],[United States 10y]]-Table7[[#This Row],[United States 3y]],#N/A)</f>
        <v/>
      </c>
    </row>
    <row r="10883">
      <c r="A10883" s="6">
        <f>Database!$A12968</f>
        <v/>
      </c>
      <c r="B10883">
        <f>IF(VLOOKUP(Table7[[#This Row],[Date]],Database!$A:$C,MATCH($B$1,Database!$A$1:$C$1,),)=0,#N/A,VLOOKUP(Table7[[#This Row],[Date]],Database!$A:$C,MATCH($B$1,Database!$A$1:$C$1,),))</f>
        <v/>
      </c>
      <c r="C10883">
        <f>IF(VLOOKUP(Table7[[#This Row],[Date]],Database!$A:$C,MATCH($C$1,Database!$A$1:$C$1,),)=0,#N/A,VLOOKUP(Table7[[#This Row],[Date]],Database!$A:$C,MATCH($C$1,Database!$A$1:$C$1,),))</f>
        <v/>
      </c>
      <c r="D10883">
        <f>IFERROR(Table7[[#This Row],[United States 10y]]-Table7[[#This Row],[United States 3y]],#N/A)</f>
        <v/>
      </c>
    </row>
    <row r="10884">
      <c r="A10884" s="6">
        <f>Database!$A12969</f>
        <v/>
      </c>
      <c r="B10884">
        <f>IF(VLOOKUP(Table7[[#This Row],[Date]],Database!$A:$C,MATCH($B$1,Database!$A$1:$C$1,),)=0,#N/A,VLOOKUP(Table7[[#This Row],[Date]],Database!$A:$C,MATCH($B$1,Database!$A$1:$C$1,),))</f>
        <v/>
      </c>
      <c r="C10884">
        <f>IF(VLOOKUP(Table7[[#This Row],[Date]],Database!$A:$C,MATCH($C$1,Database!$A$1:$C$1,),)=0,#N/A,VLOOKUP(Table7[[#This Row],[Date]],Database!$A:$C,MATCH($C$1,Database!$A$1:$C$1,),))</f>
        <v/>
      </c>
      <c r="D10884">
        <f>IFERROR(Table7[[#This Row],[United States 10y]]-Table7[[#This Row],[United States 3y]],#N/A)</f>
        <v/>
      </c>
    </row>
    <row r="10885">
      <c r="A10885" s="6">
        <f>Database!$A12970</f>
        <v/>
      </c>
      <c r="B10885">
        <f>IF(VLOOKUP(Table7[[#This Row],[Date]],Database!$A:$C,MATCH($B$1,Database!$A$1:$C$1,),)=0,#N/A,VLOOKUP(Table7[[#This Row],[Date]],Database!$A:$C,MATCH($B$1,Database!$A$1:$C$1,),))</f>
        <v/>
      </c>
      <c r="C10885">
        <f>IF(VLOOKUP(Table7[[#This Row],[Date]],Database!$A:$C,MATCH($C$1,Database!$A$1:$C$1,),)=0,#N/A,VLOOKUP(Table7[[#This Row],[Date]],Database!$A:$C,MATCH($C$1,Database!$A$1:$C$1,),))</f>
        <v/>
      </c>
      <c r="D10885">
        <f>IFERROR(Table7[[#This Row],[United States 10y]]-Table7[[#This Row],[United States 3y]],#N/A)</f>
        <v/>
      </c>
    </row>
    <row r="10886">
      <c r="A10886" s="6">
        <f>Database!$A12971</f>
        <v/>
      </c>
      <c r="B10886">
        <f>IF(VLOOKUP(Table7[[#This Row],[Date]],Database!$A:$C,MATCH($B$1,Database!$A$1:$C$1,),)=0,#N/A,VLOOKUP(Table7[[#This Row],[Date]],Database!$A:$C,MATCH($B$1,Database!$A$1:$C$1,),))</f>
        <v/>
      </c>
      <c r="C10886">
        <f>IF(VLOOKUP(Table7[[#This Row],[Date]],Database!$A:$C,MATCH($C$1,Database!$A$1:$C$1,),)=0,#N/A,VLOOKUP(Table7[[#This Row],[Date]],Database!$A:$C,MATCH($C$1,Database!$A$1:$C$1,),))</f>
        <v/>
      </c>
      <c r="D10886">
        <f>IFERROR(Table7[[#This Row],[United States 10y]]-Table7[[#This Row],[United States 3y]],#N/A)</f>
        <v/>
      </c>
    </row>
    <row r="10887">
      <c r="A10887" s="6">
        <f>Database!$A12972</f>
        <v/>
      </c>
      <c r="B10887">
        <f>IF(VLOOKUP(Table7[[#This Row],[Date]],Database!$A:$C,MATCH($B$1,Database!$A$1:$C$1,),)=0,#N/A,VLOOKUP(Table7[[#This Row],[Date]],Database!$A:$C,MATCH($B$1,Database!$A$1:$C$1,),))</f>
        <v/>
      </c>
      <c r="C10887">
        <f>IF(VLOOKUP(Table7[[#This Row],[Date]],Database!$A:$C,MATCH($C$1,Database!$A$1:$C$1,),)=0,#N/A,VLOOKUP(Table7[[#This Row],[Date]],Database!$A:$C,MATCH($C$1,Database!$A$1:$C$1,),))</f>
        <v/>
      </c>
      <c r="D10887">
        <f>IFERROR(Table7[[#This Row],[United States 10y]]-Table7[[#This Row],[United States 3y]],#N/A)</f>
        <v/>
      </c>
    </row>
    <row r="10888">
      <c r="A10888" s="6">
        <f>Database!$A12973</f>
        <v/>
      </c>
      <c r="B10888">
        <f>IF(VLOOKUP(Table7[[#This Row],[Date]],Database!$A:$C,MATCH($B$1,Database!$A$1:$C$1,),)=0,#N/A,VLOOKUP(Table7[[#This Row],[Date]],Database!$A:$C,MATCH($B$1,Database!$A$1:$C$1,),))</f>
        <v/>
      </c>
      <c r="C10888">
        <f>IF(VLOOKUP(Table7[[#This Row],[Date]],Database!$A:$C,MATCH($C$1,Database!$A$1:$C$1,),)=0,#N/A,VLOOKUP(Table7[[#This Row],[Date]],Database!$A:$C,MATCH($C$1,Database!$A$1:$C$1,),))</f>
        <v/>
      </c>
      <c r="D10888">
        <f>IFERROR(Table7[[#This Row],[United States 10y]]-Table7[[#This Row],[United States 3y]],#N/A)</f>
        <v/>
      </c>
    </row>
    <row r="10889">
      <c r="A10889" s="6">
        <f>Database!$A12974</f>
        <v/>
      </c>
      <c r="B10889">
        <f>IF(VLOOKUP(Table7[[#This Row],[Date]],Database!$A:$C,MATCH($B$1,Database!$A$1:$C$1,),)=0,#N/A,VLOOKUP(Table7[[#This Row],[Date]],Database!$A:$C,MATCH($B$1,Database!$A$1:$C$1,),))</f>
        <v/>
      </c>
      <c r="C10889">
        <f>IF(VLOOKUP(Table7[[#This Row],[Date]],Database!$A:$C,MATCH($C$1,Database!$A$1:$C$1,),)=0,#N/A,VLOOKUP(Table7[[#This Row],[Date]],Database!$A:$C,MATCH($C$1,Database!$A$1:$C$1,),))</f>
        <v/>
      </c>
      <c r="D10889">
        <f>IFERROR(Table7[[#This Row],[United States 10y]]-Table7[[#This Row],[United States 3y]],#N/A)</f>
        <v/>
      </c>
    </row>
    <row r="10890">
      <c r="A10890" s="6">
        <f>Database!$A12975</f>
        <v/>
      </c>
      <c r="B10890">
        <f>IF(VLOOKUP(Table7[[#This Row],[Date]],Database!$A:$C,MATCH($B$1,Database!$A$1:$C$1,),)=0,#N/A,VLOOKUP(Table7[[#This Row],[Date]],Database!$A:$C,MATCH($B$1,Database!$A$1:$C$1,),))</f>
        <v/>
      </c>
      <c r="C10890">
        <f>IF(VLOOKUP(Table7[[#This Row],[Date]],Database!$A:$C,MATCH($C$1,Database!$A$1:$C$1,),)=0,#N/A,VLOOKUP(Table7[[#This Row],[Date]],Database!$A:$C,MATCH($C$1,Database!$A$1:$C$1,),))</f>
        <v/>
      </c>
      <c r="D10890">
        <f>IFERROR(Table7[[#This Row],[United States 10y]]-Table7[[#This Row],[United States 3y]],#N/A)</f>
        <v/>
      </c>
    </row>
    <row r="10891">
      <c r="A10891" s="6">
        <f>Database!$A12976</f>
        <v/>
      </c>
      <c r="B10891">
        <f>IF(VLOOKUP(Table7[[#This Row],[Date]],Database!$A:$C,MATCH($B$1,Database!$A$1:$C$1,),)=0,#N/A,VLOOKUP(Table7[[#This Row],[Date]],Database!$A:$C,MATCH($B$1,Database!$A$1:$C$1,),))</f>
        <v/>
      </c>
      <c r="C10891">
        <f>IF(VLOOKUP(Table7[[#This Row],[Date]],Database!$A:$C,MATCH($C$1,Database!$A$1:$C$1,),)=0,#N/A,VLOOKUP(Table7[[#This Row],[Date]],Database!$A:$C,MATCH($C$1,Database!$A$1:$C$1,),))</f>
        <v/>
      </c>
      <c r="D10891">
        <f>IFERROR(Table7[[#This Row],[United States 10y]]-Table7[[#This Row],[United States 3y]],#N/A)</f>
        <v/>
      </c>
    </row>
    <row r="10892">
      <c r="A10892" s="6">
        <f>Database!$A12977</f>
        <v/>
      </c>
      <c r="B10892">
        <f>IF(VLOOKUP(Table7[[#This Row],[Date]],Database!$A:$C,MATCH($B$1,Database!$A$1:$C$1,),)=0,#N/A,VLOOKUP(Table7[[#This Row],[Date]],Database!$A:$C,MATCH($B$1,Database!$A$1:$C$1,),))</f>
        <v/>
      </c>
      <c r="C10892">
        <f>IF(VLOOKUP(Table7[[#This Row],[Date]],Database!$A:$C,MATCH($C$1,Database!$A$1:$C$1,),)=0,#N/A,VLOOKUP(Table7[[#This Row],[Date]],Database!$A:$C,MATCH($C$1,Database!$A$1:$C$1,),))</f>
        <v/>
      </c>
      <c r="D10892">
        <f>IFERROR(Table7[[#This Row],[United States 10y]]-Table7[[#This Row],[United States 3y]],#N/A)</f>
        <v/>
      </c>
    </row>
    <row r="10893">
      <c r="A10893" s="6">
        <f>Database!$A12978</f>
        <v/>
      </c>
      <c r="B10893">
        <f>IF(VLOOKUP(Table7[[#This Row],[Date]],Database!$A:$C,MATCH($B$1,Database!$A$1:$C$1,),)=0,#N/A,VLOOKUP(Table7[[#This Row],[Date]],Database!$A:$C,MATCH($B$1,Database!$A$1:$C$1,),))</f>
        <v/>
      </c>
      <c r="C10893">
        <f>IF(VLOOKUP(Table7[[#This Row],[Date]],Database!$A:$C,MATCH($C$1,Database!$A$1:$C$1,),)=0,#N/A,VLOOKUP(Table7[[#This Row],[Date]],Database!$A:$C,MATCH($C$1,Database!$A$1:$C$1,),))</f>
        <v/>
      </c>
      <c r="D10893">
        <f>IFERROR(Table7[[#This Row],[United States 10y]]-Table7[[#This Row],[United States 3y]],#N/A)</f>
        <v/>
      </c>
    </row>
    <row r="10894">
      <c r="A10894" s="6">
        <f>Database!$A12979</f>
        <v/>
      </c>
      <c r="B10894">
        <f>IF(VLOOKUP(Table7[[#This Row],[Date]],Database!$A:$C,MATCH($B$1,Database!$A$1:$C$1,),)=0,#N/A,VLOOKUP(Table7[[#This Row],[Date]],Database!$A:$C,MATCH($B$1,Database!$A$1:$C$1,),))</f>
        <v/>
      </c>
      <c r="C10894">
        <f>IF(VLOOKUP(Table7[[#This Row],[Date]],Database!$A:$C,MATCH($C$1,Database!$A$1:$C$1,),)=0,#N/A,VLOOKUP(Table7[[#This Row],[Date]],Database!$A:$C,MATCH($C$1,Database!$A$1:$C$1,),))</f>
        <v/>
      </c>
      <c r="D10894">
        <f>IFERROR(Table7[[#This Row],[United States 10y]]-Table7[[#This Row],[United States 3y]],#N/A)</f>
        <v/>
      </c>
    </row>
    <row r="10895">
      <c r="A10895" s="6">
        <f>Database!$A12980</f>
        <v/>
      </c>
      <c r="B10895">
        <f>IF(VLOOKUP(Table7[[#This Row],[Date]],Database!$A:$C,MATCH($B$1,Database!$A$1:$C$1,),)=0,#N/A,VLOOKUP(Table7[[#This Row],[Date]],Database!$A:$C,MATCH($B$1,Database!$A$1:$C$1,),))</f>
        <v/>
      </c>
      <c r="C10895">
        <f>IF(VLOOKUP(Table7[[#This Row],[Date]],Database!$A:$C,MATCH($C$1,Database!$A$1:$C$1,),)=0,#N/A,VLOOKUP(Table7[[#This Row],[Date]],Database!$A:$C,MATCH($C$1,Database!$A$1:$C$1,),))</f>
        <v/>
      </c>
      <c r="D10895">
        <f>IFERROR(Table7[[#This Row],[United States 10y]]-Table7[[#This Row],[United States 3y]],#N/A)</f>
        <v/>
      </c>
    </row>
    <row r="10896">
      <c r="A10896" s="6">
        <f>Database!$A12981</f>
        <v/>
      </c>
      <c r="B10896">
        <f>IF(VLOOKUP(Table7[[#This Row],[Date]],Database!$A:$C,MATCH($B$1,Database!$A$1:$C$1,),)=0,#N/A,VLOOKUP(Table7[[#This Row],[Date]],Database!$A:$C,MATCH($B$1,Database!$A$1:$C$1,),))</f>
        <v/>
      </c>
      <c r="C10896">
        <f>IF(VLOOKUP(Table7[[#This Row],[Date]],Database!$A:$C,MATCH($C$1,Database!$A$1:$C$1,),)=0,#N/A,VLOOKUP(Table7[[#This Row],[Date]],Database!$A:$C,MATCH($C$1,Database!$A$1:$C$1,),))</f>
        <v/>
      </c>
      <c r="D10896">
        <f>IFERROR(Table7[[#This Row],[United States 10y]]-Table7[[#This Row],[United States 3y]],#N/A)</f>
        <v/>
      </c>
    </row>
    <row r="10897">
      <c r="A10897" s="6">
        <f>Database!$A12982</f>
        <v/>
      </c>
      <c r="B10897">
        <f>IF(VLOOKUP(Table7[[#This Row],[Date]],Database!$A:$C,MATCH($B$1,Database!$A$1:$C$1,),)=0,#N/A,VLOOKUP(Table7[[#This Row],[Date]],Database!$A:$C,MATCH($B$1,Database!$A$1:$C$1,),))</f>
        <v/>
      </c>
      <c r="C10897">
        <f>IF(VLOOKUP(Table7[[#This Row],[Date]],Database!$A:$C,MATCH($C$1,Database!$A$1:$C$1,),)=0,#N/A,VLOOKUP(Table7[[#This Row],[Date]],Database!$A:$C,MATCH($C$1,Database!$A$1:$C$1,),))</f>
        <v/>
      </c>
      <c r="D10897">
        <f>IFERROR(Table7[[#This Row],[United States 10y]]-Table7[[#This Row],[United States 3y]],#N/A)</f>
        <v/>
      </c>
    </row>
    <row r="10898">
      <c r="A10898" s="6">
        <f>Database!$A12983</f>
        <v/>
      </c>
      <c r="B10898">
        <f>IF(VLOOKUP(Table7[[#This Row],[Date]],Database!$A:$C,MATCH($B$1,Database!$A$1:$C$1,),)=0,#N/A,VLOOKUP(Table7[[#This Row],[Date]],Database!$A:$C,MATCH($B$1,Database!$A$1:$C$1,),))</f>
        <v/>
      </c>
      <c r="C10898">
        <f>IF(VLOOKUP(Table7[[#This Row],[Date]],Database!$A:$C,MATCH($C$1,Database!$A$1:$C$1,),)=0,#N/A,VLOOKUP(Table7[[#This Row],[Date]],Database!$A:$C,MATCH($C$1,Database!$A$1:$C$1,),))</f>
        <v/>
      </c>
      <c r="D10898">
        <f>IFERROR(Table7[[#This Row],[United States 10y]]-Table7[[#This Row],[United States 3y]],#N/A)</f>
        <v/>
      </c>
    </row>
    <row r="10899">
      <c r="A10899" s="6">
        <f>Database!$A12984</f>
        <v/>
      </c>
      <c r="B10899">
        <f>IF(VLOOKUP(Table7[[#This Row],[Date]],Database!$A:$C,MATCH($B$1,Database!$A$1:$C$1,),)=0,#N/A,VLOOKUP(Table7[[#This Row],[Date]],Database!$A:$C,MATCH($B$1,Database!$A$1:$C$1,),))</f>
        <v/>
      </c>
      <c r="C10899">
        <f>IF(VLOOKUP(Table7[[#This Row],[Date]],Database!$A:$C,MATCH($C$1,Database!$A$1:$C$1,),)=0,#N/A,VLOOKUP(Table7[[#This Row],[Date]],Database!$A:$C,MATCH($C$1,Database!$A$1:$C$1,),))</f>
        <v/>
      </c>
      <c r="D10899">
        <f>IFERROR(Table7[[#This Row],[United States 10y]]-Table7[[#This Row],[United States 3y]],#N/A)</f>
        <v/>
      </c>
    </row>
    <row r="10900">
      <c r="A10900" s="6">
        <f>Database!$A12985</f>
        <v/>
      </c>
      <c r="B10900">
        <f>IF(VLOOKUP(Table7[[#This Row],[Date]],Database!$A:$C,MATCH($B$1,Database!$A$1:$C$1,),)=0,#N/A,VLOOKUP(Table7[[#This Row],[Date]],Database!$A:$C,MATCH($B$1,Database!$A$1:$C$1,),))</f>
        <v/>
      </c>
      <c r="C10900">
        <f>IF(VLOOKUP(Table7[[#This Row],[Date]],Database!$A:$C,MATCH($C$1,Database!$A$1:$C$1,),)=0,#N/A,VLOOKUP(Table7[[#This Row],[Date]],Database!$A:$C,MATCH($C$1,Database!$A$1:$C$1,),))</f>
        <v/>
      </c>
      <c r="D10900">
        <f>IFERROR(Table7[[#This Row],[United States 10y]]-Table7[[#This Row],[United States 3y]],#N/A)</f>
        <v/>
      </c>
    </row>
    <row r="10901">
      <c r="A10901" s="6">
        <f>Database!$A12986</f>
        <v/>
      </c>
      <c r="B10901">
        <f>IF(VLOOKUP(Table7[[#This Row],[Date]],Database!$A:$C,MATCH($B$1,Database!$A$1:$C$1,),)=0,#N/A,VLOOKUP(Table7[[#This Row],[Date]],Database!$A:$C,MATCH($B$1,Database!$A$1:$C$1,),))</f>
        <v/>
      </c>
      <c r="C10901">
        <f>IF(VLOOKUP(Table7[[#This Row],[Date]],Database!$A:$C,MATCH($C$1,Database!$A$1:$C$1,),)=0,#N/A,VLOOKUP(Table7[[#This Row],[Date]],Database!$A:$C,MATCH($C$1,Database!$A$1:$C$1,),))</f>
        <v/>
      </c>
      <c r="D10901">
        <f>IFERROR(Table7[[#This Row],[United States 10y]]-Table7[[#This Row],[United States 3y]],#N/A)</f>
        <v/>
      </c>
    </row>
    <row r="10902">
      <c r="A10902" s="6">
        <f>Database!$A12987</f>
        <v/>
      </c>
      <c r="B10902">
        <f>IF(VLOOKUP(Table7[[#This Row],[Date]],Database!$A:$C,MATCH($B$1,Database!$A$1:$C$1,),)=0,#N/A,VLOOKUP(Table7[[#This Row],[Date]],Database!$A:$C,MATCH($B$1,Database!$A$1:$C$1,),))</f>
        <v/>
      </c>
      <c r="C10902">
        <f>IF(VLOOKUP(Table7[[#This Row],[Date]],Database!$A:$C,MATCH($C$1,Database!$A$1:$C$1,),)=0,#N/A,VLOOKUP(Table7[[#This Row],[Date]],Database!$A:$C,MATCH($C$1,Database!$A$1:$C$1,),))</f>
        <v/>
      </c>
      <c r="D10902">
        <f>IFERROR(Table7[[#This Row],[United States 10y]]-Table7[[#This Row],[United States 3y]],#N/A)</f>
        <v/>
      </c>
    </row>
    <row r="10903">
      <c r="A10903" s="6">
        <f>Database!$A12988</f>
        <v/>
      </c>
      <c r="B10903">
        <f>IF(VLOOKUP(Table7[[#This Row],[Date]],Database!$A:$C,MATCH($B$1,Database!$A$1:$C$1,),)=0,#N/A,VLOOKUP(Table7[[#This Row],[Date]],Database!$A:$C,MATCH($B$1,Database!$A$1:$C$1,),))</f>
        <v/>
      </c>
      <c r="C10903">
        <f>IF(VLOOKUP(Table7[[#This Row],[Date]],Database!$A:$C,MATCH($C$1,Database!$A$1:$C$1,),)=0,#N/A,VLOOKUP(Table7[[#This Row],[Date]],Database!$A:$C,MATCH($C$1,Database!$A$1:$C$1,),))</f>
        <v/>
      </c>
      <c r="D10903">
        <f>IFERROR(Table7[[#This Row],[United States 10y]]-Table7[[#This Row],[United States 3y]],#N/A)</f>
        <v/>
      </c>
    </row>
    <row r="10904">
      <c r="A10904" s="6">
        <f>Database!$A12989</f>
        <v/>
      </c>
      <c r="B10904">
        <f>IF(VLOOKUP(Table7[[#This Row],[Date]],Database!$A:$C,MATCH($B$1,Database!$A$1:$C$1,),)=0,#N/A,VLOOKUP(Table7[[#This Row],[Date]],Database!$A:$C,MATCH($B$1,Database!$A$1:$C$1,),))</f>
        <v/>
      </c>
      <c r="C10904">
        <f>IF(VLOOKUP(Table7[[#This Row],[Date]],Database!$A:$C,MATCH($C$1,Database!$A$1:$C$1,),)=0,#N/A,VLOOKUP(Table7[[#This Row],[Date]],Database!$A:$C,MATCH($C$1,Database!$A$1:$C$1,),))</f>
        <v/>
      </c>
      <c r="D10904">
        <f>IFERROR(Table7[[#This Row],[United States 10y]]-Table7[[#This Row],[United States 3y]],#N/A)</f>
        <v/>
      </c>
    </row>
    <row r="10905">
      <c r="A10905" s="6">
        <f>Database!$A12990</f>
        <v/>
      </c>
      <c r="B10905">
        <f>IF(VLOOKUP(Table7[[#This Row],[Date]],Database!$A:$C,MATCH($B$1,Database!$A$1:$C$1,),)=0,#N/A,VLOOKUP(Table7[[#This Row],[Date]],Database!$A:$C,MATCH($B$1,Database!$A$1:$C$1,),))</f>
        <v/>
      </c>
      <c r="C10905">
        <f>IF(VLOOKUP(Table7[[#This Row],[Date]],Database!$A:$C,MATCH($C$1,Database!$A$1:$C$1,),)=0,#N/A,VLOOKUP(Table7[[#This Row],[Date]],Database!$A:$C,MATCH($C$1,Database!$A$1:$C$1,),))</f>
        <v/>
      </c>
      <c r="D10905">
        <f>IFERROR(Table7[[#This Row],[United States 10y]]-Table7[[#This Row],[United States 3y]],#N/A)</f>
        <v/>
      </c>
    </row>
    <row r="10906">
      <c r="A10906" s="6">
        <f>Database!$A12991</f>
        <v/>
      </c>
      <c r="B10906">
        <f>IF(VLOOKUP(Table7[[#This Row],[Date]],Database!$A:$C,MATCH($B$1,Database!$A$1:$C$1,),)=0,#N/A,VLOOKUP(Table7[[#This Row],[Date]],Database!$A:$C,MATCH($B$1,Database!$A$1:$C$1,),))</f>
        <v/>
      </c>
      <c r="C10906">
        <f>IF(VLOOKUP(Table7[[#This Row],[Date]],Database!$A:$C,MATCH($C$1,Database!$A$1:$C$1,),)=0,#N/A,VLOOKUP(Table7[[#This Row],[Date]],Database!$A:$C,MATCH($C$1,Database!$A$1:$C$1,),))</f>
        <v/>
      </c>
      <c r="D10906">
        <f>IFERROR(Table7[[#This Row],[United States 10y]]-Table7[[#This Row],[United States 3y]],#N/A)</f>
        <v/>
      </c>
    </row>
    <row r="10907">
      <c r="A10907" s="6">
        <f>Database!$A12992</f>
        <v/>
      </c>
      <c r="B10907">
        <f>IF(VLOOKUP(Table7[[#This Row],[Date]],Database!$A:$C,MATCH($B$1,Database!$A$1:$C$1,),)=0,#N/A,VLOOKUP(Table7[[#This Row],[Date]],Database!$A:$C,MATCH($B$1,Database!$A$1:$C$1,),))</f>
        <v/>
      </c>
      <c r="C10907">
        <f>IF(VLOOKUP(Table7[[#This Row],[Date]],Database!$A:$C,MATCH($C$1,Database!$A$1:$C$1,),)=0,#N/A,VLOOKUP(Table7[[#This Row],[Date]],Database!$A:$C,MATCH($C$1,Database!$A$1:$C$1,),))</f>
        <v/>
      </c>
      <c r="D10907">
        <f>IFERROR(Table7[[#This Row],[United States 10y]]-Table7[[#This Row],[United States 3y]],#N/A)</f>
        <v/>
      </c>
    </row>
    <row r="10908">
      <c r="A10908" s="6">
        <f>Database!$A12993</f>
        <v/>
      </c>
      <c r="B10908">
        <f>IF(VLOOKUP(Table7[[#This Row],[Date]],Database!$A:$C,MATCH($B$1,Database!$A$1:$C$1,),)=0,#N/A,VLOOKUP(Table7[[#This Row],[Date]],Database!$A:$C,MATCH($B$1,Database!$A$1:$C$1,),))</f>
        <v/>
      </c>
      <c r="C10908">
        <f>IF(VLOOKUP(Table7[[#This Row],[Date]],Database!$A:$C,MATCH($C$1,Database!$A$1:$C$1,),)=0,#N/A,VLOOKUP(Table7[[#This Row],[Date]],Database!$A:$C,MATCH($C$1,Database!$A$1:$C$1,),))</f>
        <v/>
      </c>
      <c r="D10908">
        <f>IFERROR(Table7[[#This Row],[United States 10y]]-Table7[[#This Row],[United States 3y]],#N/A)</f>
        <v/>
      </c>
    </row>
    <row r="10909">
      <c r="A10909" s="6">
        <f>Database!$A12994</f>
        <v/>
      </c>
      <c r="B10909">
        <f>IF(VLOOKUP(Table7[[#This Row],[Date]],Database!$A:$C,MATCH($B$1,Database!$A$1:$C$1,),)=0,#N/A,VLOOKUP(Table7[[#This Row],[Date]],Database!$A:$C,MATCH($B$1,Database!$A$1:$C$1,),))</f>
        <v/>
      </c>
      <c r="C10909">
        <f>IF(VLOOKUP(Table7[[#This Row],[Date]],Database!$A:$C,MATCH($C$1,Database!$A$1:$C$1,),)=0,#N/A,VLOOKUP(Table7[[#This Row],[Date]],Database!$A:$C,MATCH($C$1,Database!$A$1:$C$1,),))</f>
        <v/>
      </c>
      <c r="D10909">
        <f>IFERROR(Table7[[#This Row],[United States 10y]]-Table7[[#This Row],[United States 3y]],#N/A)</f>
        <v/>
      </c>
    </row>
    <row r="10910">
      <c r="A10910" s="6">
        <f>Database!$A12995</f>
        <v/>
      </c>
      <c r="B10910">
        <f>IF(VLOOKUP(Table7[[#This Row],[Date]],Database!$A:$C,MATCH($B$1,Database!$A$1:$C$1,),)=0,#N/A,VLOOKUP(Table7[[#This Row],[Date]],Database!$A:$C,MATCH($B$1,Database!$A$1:$C$1,),))</f>
        <v/>
      </c>
      <c r="C10910">
        <f>IF(VLOOKUP(Table7[[#This Row],[Date]],Database!$A:$C,MATCH($C$1,Database!$A$1:$C$1,),)=0,#N/A,VLOOKUP(Table7[[#This Row],[Date]],Database!$A:$C,MATCH($C$1,Database!$A$1:$C$1,),))</f>
        <v/>
      </c>
      <c r="D10910">
        <f>IFERROR(Table7[[#This Row],[United States 10y]]-Table7[[#This Row],[United States 3y]],#N/A)</f>
        <v/>
      </c>
    </row>
    <row r="10911">
      <c r="A10911" s="6">
        <f>Database!$A12996</f>
        <v/>
      </c>
      <c r="B10911">
        <f>IF(VLOOKUP(Table7[[#This Row],[Date]],Database!$A:$C,MATCH($B$1,Database!$A$1:$C$1,),)=0,#N/A,VLOOKUP(Table7[[#This Row],[Date]],Database!$A:$C,MATCH($B$1,Database!$A$1:$C$1,),))</f>
        <v/>
      </c>
      <c r="C10911">
        <f>IF(VLOOKUP(Table7[[#This Row],[Date]],Database!$A:$C,MATCH($C$1,Database!$A$1:$C$1,),)=0,#N/A,VLOOKUP(Table7[[#This Row],[Date]],Database!$A:$C,MATCH($C$1,Database!$A$1:$C$1,),))</f>
        <v/>
      </c>
      <c r="D10911">
        <f>IFERROR(Table7[[#This Row],[United States 10y]]-Table7[[#This Row],[United States 3y]],#N/A)</f>
        <v/>
      </c>
    </row>
    <row r="10912">
      <c r="A10912" s="6">
        <f>Database!$A12997</f>
        <v/>
      </c>
      <c r="B10912">
        <f>IF(VLOOKUP(Table7[[#This Row],[Date]],Database!$A:$C,MATCH($B$1,Database!$A$1:$C$1,),)=0,#N/A,VLOOKUP(Table7[[#This Row],[Date]],Database!$A:$C,MATCH($B$1,Database!$A$1:$C$1,),))</f>
        <v/>
      </c>
      <c r="C10912">
        <f>IF(VLOOKUP(Table7[[#This Row],[Date]],Database!$A:$C,MATCH($C$1,Database!$A$1:$C$1,),)=0,#N/A,VLOOKUP(Table7[[#This Row],[Date]],Database!$A:$C,MATCH($C$1,Database!$A$1:$C$1,),))</f>
        <v/>
      </c>
      <c r="D10912">
        <f>IFERROR(Table7[[#This Row],[United States 10y]]-Table7[[#This Row],[United States 3y]],#N/A)</f>
        <v/>
      </c>
    </row>
    <row r="10913">
      <c r="A10913" s="6">
        <f>Database!$A12998</f>
        <v/>
      </c>
      <c r="B10913">
        <f>IF(VLOOKUP(Table7[[#This Row],[Date]],Database!$A:$C,MATCH($B$1,Database!$A$1:$C$1,),)=0,#N/A,VLOOKUP(Table7[[#This Row],[Date]],Database!$A:$C,MATCH($B$1,Database!$A$1:$C$1,),))</f>
        <v/>
      </c>
      <c r="C10913">
        <f>IF(VLOOKUP(Table7[[#This Row],[Date]],Database!$A:$C,MATCH($C$1,Database!$A$1:$C$1,),)=0,#N/A,VLOOKUP(Table7[[#This Row],[Date]],Database!$A:$C,MATCH($C$1,Database!$A$1:$C$1,),))</f>
        <v/>
      </c>
      <c r="D10913">
        <f>IFERROR(Table7[[#This Row],[United States 10y]]-Table7[[#This Row],[United States 3y]],#N/A)</f>
        <v/>
      </c>
    </row>
    <row r="10914">
      <c r="A10914" s="6">
        <f>Database!$A12999</f>
        <v/>
      </c>
      <c r="B10914">
        <f>IF(VLOOKUP(Table7[[#This Row],[Date]],Database!$A:$C,MATCH($B$1,Database!$A$1:$C$1,),)=0,#N/A,VLOOKUP(Table7[[#This Row],[Date]],Database!$A:$C,MATCH($B$1,Database!$A$1:$C$1,),))</f>
        <v/>
      </c>
      <c r="C10914">
        <f>IF(VLOOKUP(Table7[[#This Row],[Date]],Database!$A:$C,MATCH($C$1,Database!$A$1:$C$1,),)=0,#N/A,VLOOKUP(Table7[[#This Row],[Date]],Database!$A:$C,MATCH($C$1,Database!$A$1:$C$1,),))</f>
        <v/>
      </c>
      <c r="D10914">
        <f>IFERROR(Table7[[#This Row],[United States 10y]]-Table7[[#This Row],[United States 3y]],#N/A)</f>
        <v/>
      </c>
    </row>
    <row r="10915">
      <c r="A10915" s="6">
        <f>Database!$A13000</f>
        <v/>
      </c>
      <c r="B10915">
        <f>IF(VLOOKUP(Table7[[#This Row],[Date]],Database!$A:$C,MATCH($B$1,Database!$A$1:$C$1,),)=0,#N/A,VLOOKUP(Table7[[#This Row],[Date]],Database!$A:$C,MATCH($B$1,Database!$A$1:$C$1,),))</f>
        <v/>
      </c>
      <c r="C10915">
        <f>IF(VLOOKUP(Table7[[#This Row],[Date]],Database!$A:$C,MATCH($C$1,Database!$A$1:$C$1,),)=0,#N/A,VLOOKUP(Table7[[#This Row],[Date]],Database!$A:$C,MATCH($C$1,Database!$A$1:$C$1,),))</f>
        <v/>
      </c>
      <c r="D10915">
        <f>IFERROR(Table7[[#This Row],[United States 10y]]-Table7[[#This Row],[United States 3y]],#N/A)</f>
        <v/>
      </c>
    </row>
    <row r="10916">
      <c r="A10916" s="6">
        <f>Database!$A13001</f>
        <v/>
      </c>
      <c r="B10916">
        <f>IF(VLOOKUP(Table7[[#This Row],[Date]],Database!$A:$C,MATCH($B$1,Database!$A$1:$C$1,),)=0,#N/A,VLOOKUP(Table7[[#This Row],[Date]],Database!$A:$C,MATCH($B$1,Database!$A$1:$C$1,),))</f>
        <v/>
      </c>
      <c r="C10916">
        <f>IF(VLOOKUP(Table7[[#This Row],[Date]],Database!$A:$C,MATCH($C$1,Database!$A$1:$C$1,),)=0,#N/A,VLOOKUP(Table7[[#This Row],[Date]],Database!$A:$C,MATCH($C$1,Database!$A$1:$C$1,),))</f>
        <v/>
      </c>
      <c r="D10916">
        <f>IFERROR(Table7[[#This Row],[United States 10y]]-Table7[[#This Row],[United States 3y]],#N/A)</f>
        <v/>
      </c>
    </row>
    <row r="10917">
      <c r="A10917" s="6">
        <f>Database!$A13002</f>
        <v/>
      </c>
      <c r="B10917">
        <f>IF(VLOOKUP(Table7[[#This Row],[Date]],Database!$A:$C,MATCH($B$1,Database!$A$1:$C$1,),)=0,#N/A,VLOOKUP(Table7[[#This Row],[Date]],Database!$A:$C,MATCH($B$1,Database!$A$1:$C$1,),))</f>
        <v/>
      </c>
      <c r="C10917">
        <f>IF(VLOOKUP(Table7[[#This Row],[Date]],Database!$A:$C,MATCH($C$1,Database!$A$1:$C$1,),)=0,#N/A,VLOOKUP(Table7[[#This Row],[Date]],Database!$A:$C,MATCH($C$1,Database!$A$1:$C$1,),))</f>
        <v/>
      </c>
      <c r="D10917">
        <f>IFERROR(Table7[[#This Row],[United States 10y]]-Table7[[#This Row],[United States 3y]],#N/A)</f>
        <v/>
      </c>
    </row>
    <row r="10918">
      <c r="A10918" s="6">
        <f>Database!$A13003</f>
        <v/>
      </c>
      <c r="B10918">
        <f>IF(VLOOKUP(Table7[[#This Row],[Date]],Database!$A:$C,MATCH($B$1,Database!$A$1:$C$1,),)=0,#N/A,VLOOKUP(Table7[[#This Row],[Date]],Database!$A:$C,MATCH($B$1,Database!$A$1:$C$1,),))</f>
        <v/>
      </c>
      <c r="C10918">
        <f>IF(VLOOKUP(Table7[[#This Row],[Date]],Database!$A:$C,MATCH($C$1,Database!$A$1:$C$1,),)=0,#N/A,VLOOKUP(Table7[[#This Row],[Date]],Database!$A:$C,MATCH($C$1,Database!$A$1:$C$1,),))</f>
        <v/>
      </c>
      <c r="D10918">
        <f>IFERROR(Table7[[#This Row],[United States 10y]]-Table7[[#This Row],[United States 3y]],#N/A)</f>
        <v/>
      </c>
    </row>
    <row r="10919">
      <c r="A10919" s="6">
        <f>Database!$A13004</f>
        <v/>
      </c>
      <c r="B10919">
        <f>IF(VLOOKUP(Table7[[#This Row],[Date]],Database!$A:$C,MATCH($B$1,Database!$A$1:$C$1,),)=0,#N/A,VLOOKUP(Table7[[#This Row],[Date]],Database!$A:$C,MATCH($B$1,Database!$A$1:$C$1,),))</f>
        <v/>
      </c>
      <c r="C10919">
        <f>IF(VLOOKUP(Table7[[#This Row],[Date]],Database!$A:$C,MATCH($C$1,Database!$A$1:$C$1,),)=0,#N/A,VLOOKUP(Table7[[#This Row],[Date]],Database!$A:$C,MATCH($C$1,Database!$A$1:$C$1,),))</f>
        <v/>
      </c>
      <c r="D10919">
        <f>IFERROR(Table7[[#This Row],[United States 10y]]-Table7[[#This Row],[United States 3y]],#N/A)</f>
        <v/>
      </c>
    </row>
    <row r="10920">
      <c r="A10920" s="6">
        <f>Database!$A13005</f>
        <v/>
      </c>
      <c r="B10920">
        <f>IF(VLOOKUP(Table7[[#This Row],[Date]],Database!$A:$C,MATCH($B$1,Database!$A$1:$C$1,),)=0,#N/A,VLOOKUP(Table7[[#This Row],[Date]],Database!$A:$C,MATCH($B$1,Database!$A$1:$C$1,),))</f>
        <v/>
      </c>
      <c r="C10920">
        <f>IF(VLOOKUP(Table7[[#This Row],[Date]],Database!$A:$C,MATCH($C$1,Database!$A$1:$C$1,),)=0,#N/A,VLOOKUP(Table7[[#This Row],[Date]],Database!$A:$C,MATCH($C$1,Database!$A$1:$C$1,),))</f>
        <v/>
      </c>
      <c r="D10920">
        <f>IFERROR(Table7[[#This Row],[United States 10y]]-Table7[[#This Row],[United States 3y]],#N/A)</f>
        <v/>
      </c>
    </row>
    <row r="10921">
      <c r="A10921" s="6">
        <f>Database!$A13006</f>
        <v/>
      </c>
      <c r="B10921">
        <f>IF(VLOOKUP(Table7[[#This Row],[Date]],Database!$A:$C,MATCH($B$1,Database!$A$1:$C$1,),)=0,#N/A,VLOOKUP(Table7[[#This Row],[Date]],Database!$A:$C,MATCH($B$1,Database!$A$1:$C$1,),))</f>
        <v/>
      </c>
      <c r="C10921">
        <f>IF(VLOOKUP(Table7[[#This Row],[Date]],Database!$A:$C,MATCH($C$1,Database!$A$1:$C$1,),)=0,#N/A,VLOOKUP(Table7[[#This Row],[Date]],Database!$A:$C,MATCH($C$1,Database!$A$1:$C$1,),))</f>
        <v/>
      </c>
      <c r="D10921">
        <f>IFERROR(Table7[[#This Row],[United States 10y]]-Table7[[#This Row],[United States 3y]],#N/A)</f>
        <v/>
      </c>
    </row>
    <row r="10922">
      <c r="A10922" s="6">
        <f>Database!$A13007</f>
        <v/>
      </c>
      <c r="B10922">
        <f>IF(VLOOKUP(Table7[[#This Row],[Date]],Database!$A:$C,MATCH($B$1,Database!$A$1:$C$1,),)=0,#N/A,VLOOKUP(Table7[[#This Row],[Date]],Database!$A:$C,MATCH($B$1,Database!$A$1:$C$1,),))</f>
        <v/>
      </c>
      <c r="C10922">
        <f>IF(VLOOKUP(Table7[[#This Row],[Date]],Database!$A:$C,MATCH($C$1,Database!$A$1:$C$1,),)=0,#N/A,VLOOKUP(Table7[[#This Row],[Date]],Database!$A:$C,MATCH($C$1,Database!$A$1:$C$1,),))</f>
        <v/>
      </c>
      <c r="D10922">
        <f>IFERROR(Table7[[#This Row],[United States 10y]]-Table7[[#This Row],[United States 3y]],#N/A)</f>
        <v/>
      </c>
    </row>
    <row r="10923">
      <c r="A10923" s="6">
        <f>Database!$A13008</f>
        <v/>
      </c>
      <c r="B10923">
        <f>IF(VLOOKUP(Table7[[#This Row],[Date]],Database!$A:$C,MATCH($B$1,Database!$A$1:$C$1,),)=0,#N/A,VLOOKUP(Table7[[#This Row],[Date]],Database!$A:$C,MATCH($B$1,Database!$A$1:$C$1,),))</f>
        <v/>
      </c>
      <c r="C10923">
        <f>IF(VLOOKUP(Table7[[#This Row],[Date]],Database!$A:$C,MATCH($C$1,Database!$A$1:$C$1,),)=0,#N/A,VLOOKUP(Table7[[#This Row],[Date]],Database!$A:$C,MATCH($C$1,Database!$A$1:$C$1,),))</f>
        <v/>
      </c>
      <c r="D10923">
        <f>IFERROR(Table7[[#This Row],[United States 10y]]-Table7[[#This Row],[United States 3y]],#N/A)</f>
        <v/>
      </c>
    </row>
    <row r="10924">
      <c r="A10924" s="6">
        <f>Database!$A13009</f>
        <v/>
      </c>
      <c r="B10924">
        <f>IF(VLOOKUP(Table7[[#This Row],[Date]],Database!$A:$C,MATCH($B$1,Database!$A$1:$C$1,),)=0,#N/A,VLOOKUP(Table7[[#This Row],[Date]],Database!$A:$C,MATCH($B$1,Database!$A$1:$C$1,),))</f>
        <v/>
      </c>
      <c r="C10924">
        <f>IF(VLOOKUP(Table7[[#This Row],[Date]],Database!$A:$C,MATCH($C$1,Database!$A$1:$C$1,),)=0,#N/A,VLOOKUP(Table7[[#This Row],[Date]],Database!$A:$C,MATCH($C$1,Database!$A$1:$C$1,),))</f>
        <v/>
      </c>
      <c r="D10924">
        <f>IFERROR(Table7[[#This Row],[United States 10y]]-Table7[[#This Row],[United States 3y]],#N/A)</f>
        <v/>
      </c>
    </row>
    <row r="10925">
      <c r="A10925" s="6">
        <f>Database!$A13010</f>
        <v/>
      </c>
      <c r="B10925">
        <f>IF(VLOOKUP(Table7[[#This Row],[Date]],Database!$A:$C,MATCH($B$1,Database!$A$1:$C$1,),)=0,#N/A,VLOOKUP(Table7[[#This Row],[Date]],Database!$A:$C,MATCH($B$1,Database!$A$1:$C$1,),))</f>
        <v/>
      </c>
      <c r="C10925">
        <f>IF(VLOOKUP(Table7[[#This Row],[Date]],Database!$A:$C,MATCH($C$1,Database!$A$1:$C$1,),)=0,#N/A,VLOOKUP(Table7[[#This Row],[Date]],Database!$A:$C,MATCH($C$1,Database!$A$1:$C$1,),))</f>
        <v/>
      </c>
      <c r="D10925">
        <f>IFERROR(Table7[[#This Row],[United States 10y]]-Table7[[#This Row],[United States 3y]],#N/A)</f>
        <v/>
      </c>
    </row>
    <row r="10926">
      <c r="A10926" s="6">
        <f>Database!$A13011</f>
        <v/>
      </c>
      <c r="B10926">
        <f>IF(VLOOKUP(Table7[[#This Row],[Date]],Database!$A:$C,MATCH($B$1,Database!$A$1:$C$1,),)=0,#N/A,VLOOKUP(Table7[[#This Row],[Date]],Database!$A:$C,MATCH($B$1,Database!$A$1:$C$1,),))</f>
        <v/>
      </c>
      <c r="C10926">
        <f>IF(VLOOKUP(Table7[[#This Row],[Date]],Database!$A:$C,MATCH($C$1,Database!$A$1:$C$1,),)=0,#N/A,VLOOKUP(Table7[[#This Row],[Date]],Database!$A:$C,MATCH($C$1,Database!$A$1:$C$1,),))</f>
        <v/>
      </c>
      <c r="D10926">
        <f>IFERROR(Table7[[#This Row],[United States 10y]]-Table7[[#This Row],[United States 3y]],#N/A)</f>
        <v/>
      </c>
    </row>
    <row r="10927">
      <c r="A10927" s="6">
        <f>Database!$A13012</f>
        <v/>
      </c>
      <c r="B10927">
        <f>IF(VLOOKUP(Table7[[#This Row],[Date]],Database!$A:$C,MATCH($B$1,Database!$A$1:$C$1,),)=0,#N/A,VLOOKUP(Table7[[#This Row],[Date]],Database!$A:$C,MATCH($B$1,Database!$A$1:$C$1,),))</f>
        <v/>
      </c>
      <c r="C10927">
        <f>IF(VLOOKUP(Table7[[#This Row],[Date]],Database!$A:$C,MATCH($C$1,Database!$A$1:$C$1,),)=0,#N/A,VLOOKUP(Table7[[#This Row],[Date]],Database!$A:$C,MATCH($C$1,Database!$A$1:$C$1,),))</f>
        <v/>
      </c>
      <c r="D10927">
        <f>IFERROR(Table7[[#This Row],[United States 10y]]-Table7[[#This Row],[United States 3y]],#N/A)</f>
        <v/>
      </c>
    </row>
    <row r="10928">
      <c r="A10928" s="6">
        <f>Database!$A13013</f>
        <v/>
      </c>
      <c r="B10928">
        <f>IF(VLOOKUP(Table7[[#This Row],[Date]],Database!$A:$C,MATCH($B$1,Database!$A$1:$C$1,),)=0,#N/A,VLOOKUP(Table7[[#This Row],[Date]],Database!$A:$C,MATCH($B$1,Database!$A$1:$C$1,),))</f>
        <v/>
      </c>
      <c r="C10928">
        <f>IF(VLOOKUP(Table7[[#This Row],[Date]],Database!$A:$C,MATCH($C$1,Database!$A$1:$C$1,),)=0,#N/A,VLOOKUP(Table7[[#This Row],[Date]],Database!$A:$C,MATCH($C$1,Database!$A$1:$C$1,),))</f>
        <v/>
      </c>
      <c r="D10928">
        <f>IFERROR(Table7[[#This Row],[United States 10y]]-Table7[[#This Row],[United States 3y]],#N/A)</f>
        <v/>
      </c>
    </row>
    <row r="10929">
      <c r="A10929" s="6">
        <f>Database!$A13014</f>
        <v/>
      </c>
      <c r="B10929">
        <f>IF(VLOOKUP(Table7[[#This Row],[Date]],Database!$A:$C,MATCH($B$1,Database!$A$1:$C$1,),)=0,#N/A,VLOOKUP(Table7[[#This Row],[Date]],Database!$A:$C,MATCH($B$1,Database!$A$1:$C$1,),))</f>
        <v/>
      </c>
      <c r="C10929">
        <f>IF(VLOOKUP(Table7[[#This Row],[Date]],Database!$A:$C,MATCH($C$1,Database!$A$1:$C$1,),)=0,#N/A,VLOOKUP(Table7[[#This Row],[Date]],Database!$A:$C,MATCH($C$1,Database!$A$1:$C$1,),))</f>
        <v/>
      </c>
      <c r="D10929">
        <f>IFERROR(Table7[[#This Row],[United States 10y]]-Table7[[#This Row],[United States 3y]],#N/A)</f>
        <v/>
      </c>
    </row>
    <row r="10930">
      <c r="A10930" s="6">
        <f>Database!$A13015</f>
        <v/>
      </c>
      <c r="B10930">
        <f>IF(VLOOKUP(Table7[[#This Row],[Date]],Database!$A:$C,MATCH($B$1,Database!$A$1:$C$1,),)=0,#N/A,VLOOKUP(Table7[[#This Row],[Date]],Database!$A:$C,MATCH($B$1,Database!$A$1:$C$1,),))</f>
        <v/>
      </c>
      <c r="C10930">
        <f>IF(VLOOKUP(Table7[[#This Row],[Date]],Database!$A:$C,MATCH($C$1,Database!$A$1:$C$1,),)=0,#N/A,VLOOKUP(Table7[[#This Row],[Date]],Database!$A:$C,MATCH($C$1,Database!$A$1:$C$1,),))</f>
        <v/>
      </c>
      <c r="D10930">
        <f>IFERROR(Table7[[#This Row],[United States 10y]]-Table7[[#This Row],[United States 3y]],#N/A)</f>
        <v/>
      </c>
    </row>
    <row r="10931">
      <c r="A10931" s="6">
        <f>Database!$A13016</f>
        <v/>
      </c>
      <c r="B10931">
        <f>IF(VLOOKUP(Table7[[#This Row],[Date]],Database!$A:$C,MATCH($B$1,Database!$A$1:$C$1,),)=0,#N/A,VLOOKUP(Table7[[#This Row],[Date]],Database!$A:$C,MATCH($B$1,Database!$A$1:$C$1,),))</f>
        <v/>
      </c>
      <c r="C10931">
        <f>IF(VLOOKUP(Table7[[#This Row],[Date]],Database!$A:$C,MATCH($C$1,Database!$A$1:$C$1,),)=0,#N/A,VLOOKUP(Table7[[#This Row],[Date]],Database!$A:$C,MATCH($C$1,Database!$A$1:$C$1,),))</f>
        <v/>
      </c>
      <c r="D10931">
        <f>IFERROR(Table7[[#This Row],[United States 10y]]-Table7[[#This Row],[United States 3y]],#N/A)</f>
        <v/>
      </c>
    </row>
    <row r="10932">
      <c r="A10932" s="6">
        <f>Database!$A13017</f>
        <v/>
      </c>
      <c r="B10932">
        <f>IF(VLOOKUP(Table7[[#This Row],[Date]],Database!$A:$C,MATCH($B$1,Database!$A$1:$C$1,),)=0,#N/A,VLOOKUP(Table7[[#This Row],[Date]],Database!$A:$C,MATCH($B$1,Database!$A$1:$C$1,),))</f>
        <v/>
      </c>
      <c r="C10932">
        <f>IF(VLOOKUP(Table7[[#This Row],[Date]],Database!$A:$C,MATCH($C$1,Database!$A$1:$C$1,),)=0,#N/A,VLOOKUP(Table7[[#This Row],[Date]],Database!$A:$C,MATCH($C$1,Database!$A$1:$C$1,),))</f>
        <v/>
      </c>
      <c r="D10932">
        <f>IFERROR(Table7[[#This Row],[United States 10y]]-Table7[[#This Row],[United States 3y]],#N/A)</f>
        <v/>
      </c>
    </row>
    <row r="10933">
      <c r="A10933" s="6">
        <f>Database!$A13018</f>
        <v/>
      </c>
      <c r="B10933">
        <f>IF(VLOOKUP(Table7[[#This Row],[Date]],Database!$A:$C,MATCH($B$1,Database!$A$1:$C$1,),)=0,#N/A,VLOOKUP(Table7[[#This Row],[Date]],Database!$A:$C,MATCH($B$1,Database!$A$1:$C$1,),))</f>
        <v/>
      </c>
      <c r="C10933">
        <f>IF(VLOOKUP(Table7[[#This Row],[Date]],Database!$A:$C,MATCH($C$1,Database!$A$1:$C$1,),)=0,#N/A,VLOOKUP(Table7[[#This Row],[Date]],Database!$A:$C,MATCH($C$1,Database!$A$1:$C$1,),))</f>
        <v/>
      </c>
      <c r="D10933">
        <f>IFERROR(Table7[[#This Row],[United States 10y]]-Table7[[#This Row],[United States 3y]],#N/A)</f>
        <v/>
      </c>
    </row>
    <row r="10934">
      <c r="A10934" s="6">
        <f>Database!$A13019</f>
        <v/>
      </c>
      <c r="B10934">
        <f>IF(VLOOKUP(Table7[[#This Row],[Date]],Database!$A:$C,MATCH($B$1,Database!$A$1:$C$1,),)=0,#N/A,VLOOKUP(Table7[[#This Row],[Date]],Database!$A:$C,MATCH($B$1,Database!$A$1:$C$1,),))</f>
        <v/>
      </c>
      <c r="C10934">
        <f>IF(VLOOKUP(Table7[[#This Row],[Date]],Database!$A:$C,MATCH($C$1,Database!$A$1:$C$1,),)=0,#N/A,VLOOKUP(Table7[[#This Row],[Date]],Database!$A:$C,MATCH($C$1,Database!$A$1:$C$1,),))</f>
        <v/>
      </c>
      <c r="D10934">
        <f>IFERROR(Table7[[#This Row],[United States 10y]]-Table7[[#This Row],[United States 3y]],#N/A)</f>
        <v/>
      </c>
    </row>
    <row r="10935">
      <c r="A10935" s="6">
        <f>Database!$A13020</f>
        <v/>
      </c>
      <c r="B10935">
        <f>IF(VLOOKUP(Table7[[#This Row],[Date]],Database!$A:$C,MATCH($B$1,Database!$A$1:$C$1,),)=0,#N/A,VLOOKUP(Table7[[#This Row],[Date]],Database!$A:$C,MATCH($B$1,Database!$A$1:$C$1,),))</f>
        <v/>
      </c>
      <c r="C10935">
        <f>IF(VLOOKUP(Table7[[#This Row],[Date]],Database!$A:$C,MATCH($C$1,Database!$A$1:$C$1,),)=0,#N/A,VLOOKUP(Table7[[#This Row],[Date]],Database!$A:$C,MATCH($C$1,Database!$A$1:$C$1,),))</f>
        <v/>
      </c>
      <c r="D10935">
        <f>IFERROR(Table7[[#This Row],[United States 10y]]-Table7[[#This Row],[United States 3y]],#N/A)</f>
        <v/>
      </c>
    </row>
    <row r="10936">
      <c r="A10936" s="6">
        <f>Database!$A13021</f>
        <v/>
      </c>
      <c r="B10936">
        <f>IF(VLOOKUP(Table7[[#This Row],[Date]],Database!$A:$C,MATCH($B$1,Database!$A$1:$C$1,),)=0,#N/A,VLOOKUP(Table7[[#This Row],[Date]],Database!$A:$C,MATCH($B$1,Database!$A$1:$C$1,),))</f>
        <v/>
      </c>
      <c r="C10936">
        <f>IF(VLOOKUP(Table7[[#This Row],[Date]],Database!$A:$C,MATCH($C$1,Database!$A$1:$C$1,),)=0,#N/A,VLOOKUP(Table7[[#This Row],[Date]],Database!$A:$C,MATCH($C$1,Database!$A$1:$C$1,),))</f>
        <v/>
      </c>
      <c r="D10936">
        <f>IFERROR(Table7[[#This Row],[United States 10y]]-Table7[[#This Row],[United States 3y]],#N/A)</f>
        <v/>
      </c>
    </row>
    <row r="10937">
      <c r="A10937" s="6">
        <f>Database!$A13022</f>
        <v/>
      </c>
      <c r="B10937">
        <f>IF(VLOOKUP(Table7[[#This Row],[Date]],Database!$A:$C,MATCH($B$1,Database!$A$1:$C$1,),)=0,#N/A,VLOOKUP(Table7[[#This Row],[Date]],Database!$A:$C,MATCH($B$1,Database!$A$1:$C$1,),))</f>
        <v/>
      </c>
      <c r="C10937">
        <f>IF(VLOOKUP(Table7[[#This Row],[Date]],Database!$A:$C,MATCH($C$1,Database!$A$1:$C$1,),)=0,#N/A,VLOOKUP(Table7[[#This Row],[Date]],Database!$A:$C,MATCH($C$1,Database!$A$1:$C$1,),))</f>
        <v/>
      </c>
      <c r="D10937">
        <f>IFERROR(Table7[[#This Row],[United States 10y]]-Table7[[#This Row],[United States 3y]],#N/A)</f>
        <v/>
      </c>
    </row>
    <row r="10938">
      <c r="A10938" s="6">
        <f>Database!$A13023</f>
        <v/>
      </c>
      <c r="B10938">
        <f>IF(VLOOKUP(Table7[[#This Row],[Date]],Database!$A:$C,MATCH($B$1,Database!$A$1:$C$1,),)=0,#N/A,VLOOKUP(Table7[[#This Row],[Date]],Database!$A:$C,MATCH($B$1,Database!$A$1:$C$1,),))</f>
        <v/>
      </c>
      <c r="C10938">
        <f>IF(VLOOKUP(Table7[[#This Row],[Date]],Database!$A:$C,MATCH($C$1,Database!$A$1:$C$1,),)=0,#N/A,VLOOKUP(Table7[[#This Row],[Date]],Database!$A:$C,MATCH($C$1,Database!$A$1:$C$1,),))</f>
        <v/>
      </c>
      <c r="D10938">
        <f>IFERROR(Table7[[#This Row],[United States 10y]]-Table7[[#This Row],[United States 3y]],#N/A)</f>
        <v/>
      </c>
    </row>
    <row r="10939">
      <c r="A10939" s="6">
        <f>Database!$A13024</f>
        <v/>
      </c>
      <c r="B10939">
        <f>IF(VLOOKUP(Table7[[#This Row],[Date]],Database!$A:$C,MATCH($B$1,Database!$A$1:$C$1,),)=0,#N/A,VLOOKUP(Table7[[#This Row],[Date]],Database!$A:$C,MATCH($B$1,Database!$A$1:$C$1,),))</f>
        <v/>
      </c>
      <c r="C10939">
        <f>IF(VLOOKUP(Table7[[#This Row],[Date]],Database!$A:$C,MATCH($C$1,Database!$A$1:$C$1,),)=0,#N/A,VLOOKUP(Table7[[#This Row],[Date]],Database!$A:$C,MATCH($C$1,Database!$A$1:$C$1,),))</f>
        <v/>
      </c>
      <c r="D10939">
        <f>IFERROR(Table7[[#This Row],[United States 10y]]-Table7[[#This Row],[United States 3y]],#N/A)</f>
        <v/>
      </c>
    </row>
    <row r="10940">
      <c r="A10940" s="6">
        <f>Database!$A13025</f>
        <v/>
      </c>
      <c r="B10940">
        <f>IF(VLOOKUP(Table7[[#This Row],[Date]],Database!$A:$C,MATCH($B$1,Database!$A$1:$C$1,),)=0,#N/A,VLOOKUP(Table7[[#This Row],[Date]],Database!$A:$C,MATCH($B$1,Database!$A$1:$C$1,),))</f>
        <v/>
      </c>
      <c r="C10940">
        <f>IF(VLOOKUP(Table7[[#This Row],[Date]],Database!$A:$C,MATCH($C$1,Database!$A$1:$C$1,),)=0,#N/A,VLOOKUP(Table7[[#This Row],[Date]],Database!$A:$C,MATCH($C$1,Database!$A$1:$C$1,),))</f>
        <v/>
      </c>
      <c r="D10940">
        <f>IFERROR(Table7[[#This Row],[United States 10y]]-Table7[[#This Row],[United States 3y]],#N/A)</f>
        <v/>
      </c>
    </row>
    <row r="10941">
      <c r="A10941" s="6">
        <f>Database!$A13026</f>
        <v/>
      </c>
      <c r="B10941">
        <f>IF(VLOOKUP(Table7[[#This Row],[Date]],Database!$A:$C,MATCH($B$1,Database!$A$1:$C$1,),)=0,#N/A,VLOOKUP(Table7[[#This Row],[Date]],Database!$A:$C,MATCH($B$1,Database!$A$1:$C$1,),))</f>
        <v/>
      </c>
      <c r="C10941">
        <f>IF(VLOOKUP(Table7[[#This Row],[Date]],Database!$A:$C,MATCH($C$1,Database!$A$1:$C$1,),)=0,#N/A,VLOOKUP(Table7[[#This Row],[Date]],Database!$A:$C,MATCH($C$1,Database!$A$1:$C$1,),))</f>
        <v/>
      </c>
      <c r="D10941">
        <f>IFERROR(Table7[[#This Row],[United States 10y]]-Table7[[#This Row],[United States 3y]],#N/A)</f>
        <v/>
      </c>
    </row>
    <row r="10942">
      <c r="A10942" s="6">
        <f>Database!$A13027</f>
        <v/>
      </c>
      <c r="B10942">
        <f>IF(VLOOKUP(Table7[[#This Row],[Date]],Database!$A:$C,MATCH($B$1,Database!$A$1:$C$1,),)=0,#N/A,VLOOKUP(Table7[[#This Row],[Date]],Database!$A:$C,MATCH($B$1,Database!$A$1:$C$1,),))</f>
        <v/>
      </c>
      <c r="C10942">
        <f>IF(VLOOKUP(Table7[[#This Row],[Date]],Database!$A:$C,MATCH($C$1,Database!$A$1:$C$1,),)=0,#N/A,VLOOKUP(Table7[[#This Row],[Date]],Database!$A:$C,MATCH($C$1,Database!$A$1:$C$1,),))</f>
        <v/>
      </c>
      <c r="D10942">
        <f>IFERROR(Table7[[#This Row],[United States 10y]]-Table7[[#This Row],[United States 3y]],#N/A)</f>
        <v/>
      </c>
    </row>
    <row r="10943">
      <c r="A10943" s="6">
        <f>Database!$A13028</f>
        <v/>
      </c>
      <c r="B10943">
        <f>IF(VLOOKUP(Table7[[#This Row],[Date]],Database!$A:$C,MATCH($B$1,Database!$A$1:$C$1,),)=0,#N/A,VLOOKUP(Table7[[#This Row],[Date]],Database!$A:$C,MATCH($B$1,Database!$A$1:$C$1,),))</f>
        <v/>
      </c>
      <c r="C10943">
        <f>IF(VLOOKUP(Table7[[#This Row],[Date]],Database!$A:$C,MATCH($C$1,Database!$A$1:$C$1,),)=0,#N/A,VLOOKUP(Table7[[#This Row],[Date]],Database!$A:$C,MATCH($C$1,Database!$A$1:$C$1,),))</f>
        <v/>
      </c>
      <c r="D10943">
        <f>IFERROR(Table7[[#This Row],[United States 10y]]-Table7[[#This Row],[United States 3y]],#N/A)</f>
        <v/>
      </c>
    </row>
    <row r="10944">
      <c r="A10944" s="6">
        <f>Database!$A13029</f>
        <v/>
      </c>
      <c r="B10944">
        <f>IF(VLOOKUP(Table7[[#This Row],[Date]],Database!$A:$C,MATCH($B$1,Database!$A$1:$C$1,),)=0,#N/A,VLOOKUP(Table7[[#This Row],[Date]],Database!$A:$C,MATCH($B$1,Database!$A$1:$C$1,),))</f>
        <v/>
      </c>
      <c r="C10944">
        <f>IF(VLOOKUP(Table7[[#This Row],[Date]],Database!$A:$C,MATCH($C$1,Database!$A$1:$C$1,),)=0,#N/A,VLOOKUP(Table7[[#This Row],[Date]],Database!$A:$C,MATCH($C$1,Database!$A$1:$C$1,),))</f>
        <v/>
      </c>
      <c r="D10944">
        <f>IFERROR(Table7[[#This Row],[United States 10y]]-Table7[[#This Row],[United States 3y]],#N/A)</f>
        <v/>
      </c>
    </row>
    <row r="10945">
      <c r="A10945" s="6">
        <f>Database!$A13030</f>
        <v/>
      </c>
      <c r="B10945">
        <f>IF(VLOOKUP(Table7[[#This Row],[Date]],Database!$A:$C,MATCH($B$1,Database!$A$1:$C$1,),)=0,#N/A,VLOOKUP(Table7[[#This Row],[Date]],Database!$A:$C,MATCH($B$1,Database!$A$1:$C$1,),))</f>
        <v/>
      </c>
      <c r="C10945">
        <f>IF(VLOOKUP(Table7[[#This Row],[Date]],Database!$A:$C,MATCH($C$1,Database!$A$1:$C$1,),)=0,#N/A,VLOOKUP(Table7[[#This Row],[Date]],Database!$A:$C,MATCH($C$1,Database!$A$1:$C$1,),))</f>
        <v/>
      </c>
      <c r="D10945">
        <f>IFERROR(Table7[[#This Row],[United States 10y]]-Table7[[#This Row],[United States 3y]],#N/A)</f>
        <v/>
      </c>
    </row>
    <row r="10946">
      <c r="A10946" s="6">
        <f>Database!$A13031</f>
        <v/>
      </c>
      <c r="B10946">
        <f>IF(VLOOKUP(Table7[[#This Row],[Date]],Database!$A:$C,MATCH($B$1,Database!$A$1:$C$1,),)=0,#N/A,VLOOKUP(Table7[[#This Row],[Date]],Database!$A:$C,MATCH($B$1,Database!$A$1:$C$1,),))</f>
        <v/>
      </c>
      <c r="C10946">
        <f>IF(VLOOKUP(Table7[[#This Row],[Date]],Database!$A:$C,MATCH($C$1,Database!$A$1:$C$1,),)=0,#N/A,VLOOKUP(Table7[[#This Row],[Date]],Database!$A:$C,MATCH($C$1,Database!$A$1:$C$1,),))</f>
        <v/>
      </c>
      <c r="D10946">
        <f>IFERROR(Table7[[#This Row],[United States 10y]]-Table7[[#This Row],[United States 3y]],#N/A)</f>
        <v/>
      </c>
    </row>
    <row r="10947">
      <c r="A10947" s="6">
        <f>Database!$A13032</f>
        <v/>
      </c>
      <c r="B10947">
        <f>IF(VLOOKUP(Table7[[#This Row],[Date]],Database!$A:$C,MATCH($B$1,Database!$A$1:$C$1,),)=0,#N/A,VLOOKUP(Table7[[#This Row],[Date]],Database!$A:$C,MATCH($B$1,Database!$A$1:$C$1,),))</f>
        <v/>
      </c>
      <c r="C10947">
        <f>IF(VLOOKUP(Table7[[#This Row],[Date]],Database!$A:$C,MATCH($C$1,Database!$A$1:$C$1,),)=0,#N/A,VLOOKUP(Table7[[#This Row],[Date]],Database!$A:$C,MATCH($C$1,Database!$A$1:$C$1,),))</f>
        <v/>
      </c>
      <c r="D10947">
        <f>IFERROR(Table7[[#This Row],[United States 10y]]-Table7[[#This Row],[United States 3y]],#N/A)</f>
        <v/>
      </c>
    </row>
    <row r="10948">
      <c r="A10948" s="6">
        <f>Database!$A13033</f>
        <v/>
      </c>
      <c r="B10948">
        <f>IF(VLOOKUP(Table7[[#This Row],[Date]],Database!$A:$C,MATCH($B$1,Database!$A$1:$C$1,),)=0,#N/A,VLOOKUP(Table7[[#This Row],[Date]],Database!$A:$C,MATCH($B$1,Database!$A$1:$C$1,),))</f>
        <v/>
      </c>
      <c r="C10948">
        <f>IF(VLOOKUP(Table7[[#This Row],[Date]],Database!$A:$C,MATCH($C$1,Database!$A$1:$C$1,),)=0,#N/A,VLOOKUP(Table7[[#This Row],[Date]],Database!$A:$C,MATCH($C$1,Database!$A$1:$C$1,),))</f>
        <v/>
      </c>
      <c r="D10948">
        <f>IFERROR(Table7[[#This Row],[United States 10y]]-Table7[[#This Row],[United States 3y]],#N/A)</f>
        <v/>
      </c>
    </row>
    <row r="10949">
      <c r="A10949" s="6">
        <f>Database!$A13034</f>
        <v/>
      </c>
      <c r="B10949">
        <f>IF(VLOOKUP(Table7[[#This Row],[Date]],Database!$A:$C,MATCH($B$1,Database!$A$1:$C$1,),)=0,#N/A,VLOOKUP(Table7[[#This Row],[Date]],Database!$A:$C,MATCH($B$1,Database!$A$1:$C$1,),))</f>
        <v/>
      </c>
      <c r="C10949">
        <f>IF(VLOOKUP(Table7[[#This Row],[Date]],Database!$A:$C,MATCH($C$1,Database!$A$1:$C$1,),)=0,#N/A,VLOOKUP(Table7[[#This Row],[Date]],Database!$A:$C,MATCH($C$1,Database!$A$1:$C$1,),))</f>
        <v/>
      </c>
      <c r="D10949">
        <f>IFERROR(Table7[[#This Row],[United States 10y]]-Table7[[#This Row],[United States 3y]],#N/A)</f>
        <v/>
      </c>
    </row>
    <row r="10950">
      <c r="A10950" s="6">
        <f>Database!$A13035</f>
        <v/>
      </c>
      <c r="B10950">
        <f>IF(VLOOKUP(Table7[[#This Row],[Date]],Database!$A:$C,MATCH($B$1,Database!$A$1:$C$1,),)=0,#N/A,VLOOKUP(Table7[[#This Row],[Date]],Database!$A:$C,MATCH($B$1,Database!$A$1:$C$1,),))</f>
        <v/>
      </c>
      <c r="C10950">
        <f>IF(VLOOKUP(Table7[[#This Row],[Date]],Database!$A:$C,MATCH($C$1,Database!$A$1:$C$1,),)=0,#N/A,VLOOKUP(Table7[[#This Row],[Date]],Database!$A:$C,MATCH($C$1,Database!$A$1:$C$1,),))</f>
        <v/>
      </c>
      <c r="D10950">
        <f>IFERROR(Table7[[#This Row],[United States 10y]]-Table7[[#This Row],[United States 3y]],#N/A)</f>
        <v/>
      </c>
    </row>
    <row r="10951">
      <c r="A10951" s="6">
        <f>Database!$A13036</f>
        <v/>
      </c>
      <c r="B10951">
        <f>IF(VLOOKUP(Table7[[#This Row],[Date]],Database!$A:$C,MATCH($B$1,Database!$A$1:$C$1,),)=0,#N/A,VLOOKUP(Table7[[#This Row],[Date]],Database!$A:$C,MATCH($B$1,Database!$A$1:$C$1,),))</f>
        <v/>
      </c>
      <c r="C10951">
        <f>IF(VLOOKUP(Table7[[#This Row],[Date]],Database!$A:$C,MATCH($C$1,Database!$A$1:$C$1,),)=0,#N/A,VLOOKUP(Table7[[#This Row],[Date]],Database!$A:$C,MATCH($C$1,Database!$A$1:$C$1,),))</f>
        <v/>
      </c>
      <c r="D10951">
        <f>IFERROR(Table7[[#This Row],[United States 10y]]-Table7[[#This Row],[United States 3y]],#N/A)</f>
        <v/>
      </c>
    </row>
    <row r="10952">
      <c r="A10952" s="6">
        <f>Database!$A13037</f>
        <v/>
      </c>
      <c r="B10952">
        <f>IF(VLOOKUP(Table7[[#This Row],[Date]],Database!$A:$C,MATCH($B$1,Database!$A$1:$C$1,),)=0,#N/A,VLOOKUP(Table7[[#This Row],[Date]],Database!$A:$C,MATCH($B$1,Database!$A$1:$C$1,),))</f>
        <v/>
      </c>
      <c r="C10952">
        <f>IF(VLOOKUP(Table7[[#This Row],[Date]],Database!$A:$C,MATCH($C$1,Database!$A$1:$C$1,),)=0,#N/A,VLOOKUP(Table7[[#This Row],[Date]],Database!$A:$C,MATCH($C$1,Database!$A$1:$C$1,),))</f>
        <v/>
      </c>
      <c r="D10952">
        <f>IFERROR(Table7[[#This Row],[United States 10y]]-Table7[[#This Row],[United States 3y]],#N/A)</f>
        <v/>
      </c>
    </row>
    <row r="10953">
      <c r="A10953" s="6">
        <f>Database!$A13038</f>
        <v/>
      </c>
      <c r="B10953">
        <f>IF(VLOOKUP(Table7[[#This Row],[Date]],Database!$A:$C,MATCH($B$1,Database!$A$1:$C$1,),)=0,#N/A,VLOOKUP(Table7[[#This Row],[Date]],Database!$A:$C,MATCH($B$1,Database!$A$1:$C$1,),))</f>
        <v/>
      </c>
      <c r="C10953">
        <f>IF(VLOOKUP(Table7[[#This Row],[Date]],Database!$A:$C,MATCH($C$1,Database!$A$1:$C$1,),)=0,#N/A,VLOOKUP(Table7[[#This Row],[Date]],Database!$A:$C,MATCH($C$1,Database!$A$1:$C$1,),))</f>
        <v/>
      </c>
      <c r="D10953">
        <f>IFERROR(Table7[[#This Row],[United States 10y]]-Table7[[#This Row],[United States 3y]],#N/A)</f>
        <v/>
      </c>
    </row>
    <row r="10954">
      <c r="A10954" s="6">
        <f>Database!$A13039</f>
        <v/>
      </c>
      <c r="B10954">
        <f>IF(VLOOKUP(Table7[[#This Row],[Date]],Database!$A:$C,MATCH($B$1,Database!$A$1:$C$1,),)=0,#N/A,VLOOKUP(Table7[[#This Row],[Date]],Database!$A:$C,MATCH($B$1,Database!$A$1:$C$1,),))</f>
        <v/>
      </c>
      <c r="C10954">
        <f>IF(VLOOKUP(Table7[[#This Row],[Date]],Database!$A:$C,MATCH($C$1,Database!$A$1:$C$1,),)=0,#N/A,VLOOKUP(Table7[[#This Row],[Date]],Database!$A:$C,MATCH($C$1,Database!$A$1:$C$1,),))</f>
        <v/>
      </c>
      <c r="D10954">
        <f>IFERROR(Table7[[#This Row],[United States 10y]]-Table7[[#This Row],[United States 3y]],#N/A)</f>
        <v/>
      </c>
    </row>
    <row r="10955">
      <c r="A10955" s="6">
        <f>Database!$A13040</f>
        <v/>
      </c>
      <c r="B10955">
        <f>IF(VLOOKUP(Table7[[#This Row],[Date]],Database!$A:$C,MATCH($B$1,Database!$A$1:$C$1,),)=0,#N/A,VLOOKUP(Table7[[#This Row],[Date]],Database!$A:$C,MATCH($B$1,Database!$A$1:$C$1,),))</f>
        <v/>
      </c>
      <c r="C10955">
        <f>IF(VLOOKUP(Table7[[#This Row],[Date]],Database!$A:$C,MATCH($C$1,Database!$A$1:$C$1,),)=0,#N/A,VLOOKUP(Table7[[#This Row],[Date]],Database!$A:$C,MATCH($C$1,Database!$A$1:$C$1,),))</f>
        <v/>
      </c>
      <c r="D10955">
        <f>IFERROR(Table7[[#This Row],[United States 10y]]-Table7[[#This Row],[United States 3y]],#N/A)</f>
        <v/>
      </c>
    </row>
    <row r="10956">
      <c r="A10956" s="6">
        <f>Database!$A13041</f>
        <v/>
      </c>
      <c r="B10956">
        <f>IF(VLOOKUP(Table7[[#This Row],[Date]],Database!$A:$C,MATCH($B$1,Database!$A$1:$C$1,),)=0,#N/A,VLOOKUP(Table7[[#This Row],[Date]],Database!$A:$C,MATCH($B$1,Database!$A$1:$C$1,),))</f>
        <v/>
      </c>
      <c r="C10956">
        <f>IF(VLOOKUP(Table7[[#This Row],[Date]],Database!$A:$C,MATCH($C$1,Database!$A$1:$C$1,),)=0,#N/A,VLOOKUP(Table7[[#This Row],[Date]],Database!$A:$C,MATCH($C$1,Database!$A$1:$C$1,),))</f>
        <v/>
      </c>
      <c r="D10956">
        <f>IFERROR(Table7[[#This Row],[United States 10y]]-Table7[[#This Row],[United States 3y]],#N/A)</f>
        <v/>
      </c>
    </row>
    <row r="10957">
      <c r="A10957" s="6">
        <f>Database!$A13042</f>
        <v/>
      </c>
      <c r="B10957">
        <f>IF(VLOOKUP(Table7[[#This Row],[Date]],Database!$A:$C,MATCH($B$1,Database!$A$1:$C$1,),)=0,#N/A,VLOOKUP(Table7[[#This Row],[Date]],Database!$A:$C,MATCH($B$1,Database!$A$1:$C$1,),))</f>
        <v/>
      </c>
      <c r="C10957">
        <f>IF(VLOOKUP(Table7[[#This Row],[Date]],Database!$A:$C,MATCH($C$1,Database!$A$1:$C$1,),)=0,#N/A,VLOOKUP(Table7[[#This Row],[Date]],Database!$A:$C,MATCH($C$1,Database!$A$1:$C$1,),))</f>
        <v/>
      </c>
      <c r="D10957">
        <f>IFERROR(Table7[[#This Row],[United States 10y]]-Table7[[#This Row],[United States 3y]],#N/A)</f>
        <v/>
      </c>
    </row>
    <row r="10958">
      <c r="A10958" s="6">
        <f>Database!$A13043</f>
        <v/>
      </c>
      <c r="B10958">
        <f>IF(VLOOKUP(Table7[[#This Row],[Date]],Database!$A:$C,MATCH($B$1,Database!$A$1:$C$1,),)=0,#N/A,VLOOKUP(Table7[[#This Row],[Date]],Database!$A:$C,MATCH($B$1,Database!$A$1:$C$1,),))</f>
        <v/>
      </c>
      <c r="C10958">
        <f>IF(VLOOKUP(Table7[[#This Row],[Date]],Database!$A:$C,MATCH($C$1,Database!$A$1:$C$1,),)=0,#N/A,VLOOKUP(Table7[[#This Row],[Date]],Database!$A:$C,MATCH($C$1,Database!$A$1:$C$1,),))</f>
        <v/>
      </c>
      <c r="D10958">
        <f>IFERROR(Table7[[#This Row],[United States 10y]]-Table7[[#This Row],[United States 3y]],#N/A)</f>
        <v/>
      </c>
    </row>
    <row r="10959">
      <c r="A10959" s="6">
        <f>Database!$A13044</f>
        <v/>
      </c>
      <c r="B10959">
        <f>IF(VLOOKUP(Table7[[#This Row],[Date]],Database!$A:$C,MATCH($B$1,Database!$A$1:$C$1,),)=0,#N/A,VLOOKUP(Table7[[#This Row],[Date]],Database!$A:$C,MATCH($B$1,Database!$A$1:$C$1,),))</f>
        <v/>
      </c>
      <c r="C10959">
        <f>IF(VLOOKUP(Table7[[#This Row],[Date]],Database!$A:$C,MATCH($C$1,Database!$A$1:$C$1,),)=0,#N/A,VLOOKUP(Table7[[#This Row],[Date]],Database!$A:$C,MATCH($C$1,Database!$A$1:$C$1,),))</f>
        <v/>
      </c>
      <c r="D10959">
        <f>IFERROR(Table7[[#This Row],[United States 10y]]-Table7[[#This Row],[United States 3y]],#N/A)</f>
        <v/>
      </c>
    </row>
    <row r="10960">
      <c r="A10960" s="6">
        <f>Database!$A13045</f>
        <v/>
      </c>
      <c r="B10960">
        <f>IF(VLOOKUP(Table7[[#This Row],[Date]],Database!$A:$C,MATCH($B$1,Database!$A$1:$C$1,),)=0,#N/A,VLOOKUP(Table7[[#This Row],[Date]],Database!$A:$C,MATCH($B$1,Database!$A$1:$C$1,),))</f>
        <v/>
      </c>
      <c r="C10960">
        <f>IF(VLOOKUP(Table7[[#This Row],[Date]],Database!$A:$C,MATCH($C$1,Database!$A$1:$C$1,),)=0,#N/A,VLOOKUP(Table7[[#This Row],[Date]],Database!$A:$C,MATCH($C$1,Database!$A$1:$C$1,),))</f>
        <v/>
      </c>
      <c r="D10960">
        <f>IFERROR(Table7[[#This Row],[United States 10y]]-Table7[[#This Row],[United States 3y]],#N/A)</f>
        <v/>
      </c>
    </row>
    <row r="10961">
      <c r="A10961" s="6">
        <f>Database!$A13046</f>
        <v/>
      </c>
      <c r="B10961">
        <f>IF(VLOOKUP(Table7[[#This Row],[Date]],Database!$A:$C,MATCH($B$1,Database!$A$1:$C$1,),)=0,#N/A,VLOOKUP(Table7[[#This Row],[Date]],Database!$A:$C,MATCH($B$1,Database!$A$1:$C$1,),))</f>
        <v/>
      </c>
      <c r="C10961">
        <f>IF(VLOOKUP(Table7[[#This Row],[Date]],Database!$A:$C,MATCH($C$1,Database!$A$1:$C$1,),)=0,#N/A,VLOOKUP(Table7[[#This Row],[Date]],Database!$A:$C,MATCH($C$1,Database!$A$1:$C$1,),))</f>
        <v/>
      </c>
      <c r="D10961">
        <f>IFERROR(Table7[[#This Row],[United States 10y]]-Table7[[#This Row],[United States 3y]],#N/A)</f>
        <v/>
      </c>
    </row>
    <row r="10962">
      <c r="A10962" s="6">
        <f>Database!$A13047</f>
        <v/>
      </c>
      <c r="B10962">
        <f>IF(VLOOKUP(Table7[[#This Row],[Date]],Database!$A:$C,MATCH($B$1,Database!$A$1:$C$1,),)=0,#N/A,VLOOKUP(Table7[[#This Row],[Date]],Database!$A:$C,MATCH($B$1,Database!$A$1:$C$1,),))</f>
        <v/>
      </c>
      <c r="C10962">
        <f>IF(VLOOKUP(Table7[[#This Row],[Date]],Database!$A:$C,MATCH($C$1,Database!$A$1:$C$1,),)=0,#N/A,VLOOKUP(Table7[[#This Row],[Date]],Database!$A:$C,MATCH($C$1,Database!$A$1:$C$1,),))</f>
        <v/>
      </c>
      <c r="D10962">
        <f>IFERROR(Table7[[#This Row],[United States 10y]]-Table7[[#This Row],[United States 3y]],#N/A)</f>
        <v/>
      </c>
    </row>
    <row r="10963">
      <c r="A10963" s="6">
        <f>Database!$A13048</f>
        <v/>
      </c>
      <c r="B10963">
        <f>IF(VLOOKUP(Table7[[#This Row],[Date]],Database!$A:$C,MATCH($B$1,Database!$A$1:$C$1,),)=0,#N/A,VLOOKUP(Table7[[#This Row],[Date]],Database!$A:$C,MATCH($B$1,Database!$A$1:$C$1,),))</f>
        <v/>
      </c>
      <c r="C10963">
        <f>IF(VLOOKUP(Table7[[#This Row],[Date]],Database!$A:$C,MATCH($C$1,Database!$A$1:$C$1,),)=0,#N/A,VLOOKUP(Table7[[#This Row],[Date]],Database!$A:$C,MATCH($C$1,Database!$A$1:$C$1,),))</f>
        <v/>
      </c>
      <c r="D10963">
        <f>IFERROR(Table7[[#This Row],[United States 10y]]-Table7[[#This Row],[United States 3y]],#N/A)</f>
        <v/>
      </c>
    </row>
    <row r="10964">
      <c r="A10964" s="6">
        <f>Database!$A13049</f>
        <v/>
      </c>
      <c r="B10964">
        <f>IF(VLOOKUP(Table7[[#This Row],[Date]],Database!$A:$C,MATCH($B$1,Database!$A$1:$C$1,),)=0,#N/A,VLOOKUP(Table7[[#This Row],[Date]],Database!$A:$C,MATCH($B$1,Database!$A$1:$C$1,),))</f>
        <v/>
      </c>
      <c r="C10964">
        <f>IF(VLOOKUP(Table7[[#This Row],[Date]],Database!$A:$C,MATCH($C$1,Database!$A$1:$C$1,),)=0,#N/A,VLOOKUP(Table7[[#This Row],[Date]],Database!$A:$C,MATCH($C$1,Database!$A$1:$C$1,),))</f>
        <v/>
      </c>
      <c r="D10964">
        <f>IFERROR(Table7[[#This Row],[United States 10y]]-Table7[[#This Row],[United States 3y]],#N/A)</f>
        <v/>
      </c>
    </row>
    <row r="10965">
      <c r="A10965" s="6">
        <f>Database!$A13050</f>
        <v/>
      </c>
      <c r="B10965">
        <f>IF(VLOOKUP(Table7[[#This Row],[Date]],Database!$A:$C,MATCH($B$1,Database!$A$1:$C$1,),)=0,#N/A,VLOOKUP(Table7[[#This Row],[Date]],Database!$A:$C,MATCH($B$1,Database!$A$1:$C$1,),))</f>
        <v/>
      </c>
      <c r="C10965">
        <f>IF(VLOOKUP(Table7[[#This Row],[Date]],Database!$A:$C,MATCH($C$1,Database!$A$1:$C$1,),)=0,#N/A,VLOOKUP(Table7[[#This Row],[Date]],Database!$A:$C,MATCH($C$1,Database!$A$1:$C$1,),))</f>
        <v/>
      </c>
      <c r="D10965">
        <f>IFERROR(Table7[[#This Row],[United States 10y]]-Table7[[#This Row],[United States 3y]],#N/A)</f>
        <v/>
      </c>
    </row>
    <row r="10966">
      <c r="A10966" s="6">
        <f>Database!$A13051</f>
        <v/>
      </c>
      <c r="B10966">
        <f>IF(VLOOKUP(Table7[[#This Row],[Date]],Database!$A:$C,MATCH($B$1,Database!$A$1:$C$1,),)=0,#N/A,VLOOKUP(Table7[[#This Row],[Date]],Database!$A:$C,MATCH($B$1,Database!$A$1:$C$1,),))</f>
        <v/>
      </c>
      <c r="C10966">
        <f>IF(VLOOKUP(Table7[[#This Row],[Date]],Database!$A:$C,MATCH($C$1,Database!$A$1:$C$1,),)=0,#N/A,VLOOKUP(Table7[[#This Row],[Date]],Database!$A:$C,MATCH($C$1,Database!$A$1:$C$1,),))</f>
        <v/>
      </c>
      <c r="D10966">
        <f>IFERROR(Table7[[#This Row],[United States 10y]]-Table7[[#This Row],[United States 3y]],#N/A)</f>
        <v/>
      </c>
    </row>
    <row r="10967">
      <c r="A10967" s="6">
        <f>Database!$A13052</f>
        <v/>
      </c>
      <c r="B10967">
        <f>IF(VLOOKUP(Table7[[#This Row],[Date]],Database!$A:$C,MATCH($B$1,Database!$A$1:$C$1,),)=0,#N/A,VLOOKUP(Table7[[#This Row],[Date]],Database!$A:$C,MATCH($B$1,Database!$A$1:$C$1,),))</f>
        <v/>
      </c>
      <c r="C10967">
        <f>IF(VLOOKUP(Table7[[#This Row],[Date]],Database!$A:$C,MATCH($C$1,Database!$A$1:$C$1,),)=0,#N/A,VLOOKUP(Table7[[#This Row],[Date]],Database!$A:$C,MATCH($C$1,Database!$A$1:$C$1,),))</f>
        <v/>
      </c>
      <c r="D10967">
        <f>IFERROR(Table7[[#This Row],[United States 10y]]-Table7[[#This Row],[United States 3y]],#N/A)</f>
        <v/>
      </c>
    </row>
    <row r="10968">
      <c r="A10968" s="6">
        <f>Database!$A13053</f>
        <v/>
      </c>
      <c r="B10968">
        <f>IF(VLOOKUP(Table7[[#This Row],[Date]],Database!$A:$C,MATCH($B$1,Database!$A$1:$C$1,),)=0,#N/A,VLOOKUP(Table7[[#This Row],[Date]],Database!$A:$C,MATCH($B$1,Database!$A$1:$C$1,),))</f>
        <v/>
      </c>
      <c r="C10968">
        <f>IF(VLOOKUP(Table7[[#This Row],[Date]],Database!$A:$C,MATCH($C$1,Database!$A$1:$C$1,),)=0,#N/A,VLOOKUP(Table7[[#This Row],[Date]],Database!$A:$C,MATCH($C$1,Database!$A$1:$C$1,),))</f>
        <v/>
      </c>
      <c r="D10968">
        <f>IFERROR(Table7[[#This Row],[United States 10y]]-Table7[[#This Row],[United States 3y]],#N/A)</f>
        <v/>
      </c>
    </row>
    <row r="10969">
      <c r="A10969" s="6">
        <f>Database!$A13054</f>
        <v/>
      </c>
      <c r="B10969">
        <f>IF(VLOOKUP(Table7[[#This Row],[Date]],Database!$A:$C,MATCH($B$1,Database!$A$1:$C$1,),)=0,#N/A,VLOOKUP(Table7[[#This Row],[Date]],Database!$A:$C,MATCH($B$1,Database!$A$1:$C$1,),))</f>
        <v/>
      </c>
      <c r="C10969">
        <f>IF(VLOOKUP(Table7[[#This Row],[Date]],Database!$A:$C,MATCH($C$1,Database!$A$1:$C$1,),)=0,#N/A,VLOOKUP(Table7[[#This Row],[Date]],Database!$A:$C,MATCH($C$1,Database!$A$1:$C$1,),))</f>
        <v/>
      </c>
      <c r="D10969">
        <f>IFERROR(Table7[[#This Row],[United States 10y]]-Table7[[#This Row],[United States 3y]],#N/A)</f>
        <v/>
      </c>
    </row>
    <row r="10970">
      <c r="A10970" s="6">
        <f>Database!$A13055</f>
        <v/>
      </c>
      <c r="B10970">
        <f>IF(VLOOKUP(Table7[[#This Row],[Date]],Database!$A:$C,MATCH($B$1,Database!$A$1:$C$1,),)=0,#N/A,VLOOKUP(Table7[[#This Row],[Date]],Database!$A:$C,MATCH($B$1,Database!$A$1:$C$1,),))</f>
        <v/>
      </c>
      <c r="C10970">
        <f>IF(VLOOKUP(Table7[[#This Row],[Date]],Database!$A:$C,MATCH($C$1,Database!$A$1:$C$1,),)=0,#N/A,VLOOKUP(Table7[[#This Row],[Date]],Database!$A:$C,MATCH($C$1,Database!$A$1:$C$1,),))</f>
        <v/>
      </c>
      <c r="D10970">
        <f>IFERROR(Table7[[#This Row],[United States 10y]]-Table7[[#This Row],[United States 3y]],#N/A)</f>
        <v/>
      </c>
    </row>
    <row r="10971">
      <c r="A10971" s="6">
        <f>Database!$A13056</f>
        <v/>
      </c>
      <c r="B10971">
        <f>IF(VLOOKUP(Table7[[#This Row],[Date]],Database!$A:$C,MATCH($B$1,Database!$A$1:$C$1,),)=0,#N/A,VLOOKUP(Table7[[#This Row],[Date]],Database!$A:$C,MATCH($B$1,Database!$A$1:$C$1,),))</f>
        <v/>
      </c>
      <c r="C10971">
        <f>IF(VLOOKUP(Table7[[#This Row],[Date]],Database!$A:$C,MATCH($C$1,Database!$A$1:$C$1,),)=0,#N/A,VLOOKUP(Table7[[#This Row],[Date]],Database!$A:$C,MATCH($C$1,Database!$A$1:$C$1,),))</f>
        <v/>
      </c>
      <c r="D10971">
        <f>IFERROR(Table7[[#This Row],[United States 10y]]-Table7[[#This Row],[United States 3y]],#N/A)</f>
        <v/>
      </c>
    </row>
    <row r="10972">
      <c r="A10972" s="6">
        <f>Database!$A13057</f>
        <v/>
      </c>
      <c r="B10972">
        <f>IF(VLOOKUP(Table7[[#This Row],[Date]],Database!$A:$C,MATCH($B$1,Database!$A$1:$C$1,),)=0,#N/A,VLOOKUP(Table7[[#This Row],[Date]],Database!$A:$C,MATCH($B$1,Database!$A$1:$C$1,),))</f>
        <v/>
      </c>
      <c r="C10972">
        <f>IF(VLOOKUP(Table7[[#This Row],[Date]],Database!$A:$C,MATCH($C$1,Database!$A$1:$C$1,),)=0,#N/A,VLOOKUP(Table7[[#This Row],[Date]],Database!$A:$C,MATCH($C$1,Database!$A$1:$C$1,),))</f>
        <v/>
      </c>
      <c r="D10972">
        <f>IFERROR(Table7[[#This Row],[United States 10y]]-Table7[[#This Row],[United States 3y]],#N/A)</f>
        <v/>
      </c>
    </row>
    <row r="10973">
      <c r="A10973" s="6">
        <f>Database!$A13058</f>
        <v/>
      </c>
      <c r="B10973">
        <f>IF(VLOOKUP(Table7[[#This Row],[Date]],Database!$A:$C,MATCH($B$1,Database!$A$1:$C$1,),)=0,#N/A,VLOOKUP(Table7[[#This Row],[Date]],Database!$A:$C,MATCH($B$1,Database!$A$1:$C$1,),))</f>
        <v/>
      </c>
      <c r="C10973">
        <f>IF(VLOOKUP(Table7[[#This Row],[Date]],Database!$A:$C,MATCH($C$1,Database!$A$1:$C$1,),)=0,#N/A,VLOOKUP(Table7[[#This Row],[Date]],Database!$A:$C,MATCH($C$1,Database!$A$1:$C$1,),))</f>
        <v/>
      </c>
      <c r="D10973">
        <f>IFERROR(Table7[[#This Row],[United States 10y]]-Table7[[#This Row],[United States 3y]],#N/A)</f>
        <v/>
      </c>
    </row>
    <row r="10974">
      <c r="A10974" s="6">
        <f>Database!$A13059</f>
        <v/>
      </c>
      <c r="B10974">
        <f>IF(VLOOKUP(Table7[[#This Row],[Date]],Database!$A:$C,MATCH($B$1,Database!$A$1:$C$1,),)=0,#N/A,VLOOKUP(Table7[[#This Row],[Date]],Database!$A:$C,MATCH($B$1,Database!$A$1:$C$1,),))</f>
        <v/>
      </c>
      <c r="C10974">
        <f>IF(VLOOKUP(Table7[[#This Row],[Date]],Database!$A:$C,MATCH($C$1,Database!$A$1:$C$1,),)=0,#N/A,VLOOKUP(Table7[[#This Row],[Date]],Database!$A:$C,MATCH($C$1,Database!$A$1:$C$1,),))</f>
        <v/>
      </c>
      <c r="D10974">
        <f>IFERROR(Table7[[#This Row],[United States 10y]]-Table7[[#This Row],[United States 3y]],#N/A)</f>
        <v/>
      </c>
    </row>
    <row r="10975">
      <c r="A10975" s="6">
        <f>Database!$A13060</f>
        <v/>
      </c>
      <c r="B10975">
        <f>IF(VLOOKUP(Table7[[#This Row],[Date]],Database!$A:$C,MATCH($B$1,Database!$A$1:$C$1,),)=0,#N/A,VLOOKUP(Table7[[#This Row],[Date]],Database!$A:$C,MATCH($B$1,Database!$A$1:$C$1,),))</f>
        <v/>
      </c>
      <c r="C10975">
        <f>IF(VLOOKUP(Table7[[#This Row],[Date]],Database!$A:$C,MATCH($C$1,Database!$A$1:$C$1,),)=0,#N/A,VLOOKUP(Table7[[#This Row],[Date]],Database!$A:$C,MATCH($C$1,Database!$A$1:$C$1,),))</f>
        <v/>
      </c>
      <c r="D10975">
        <f>IFERROR(Table7[[#This Row],[United States 10y]]-Table7[[#This Row],[United States 3y]],#N/A)</f>
        <v/>
      </c>
    </row>
    <row r="10976">
      <c r="A10976" s="6">
        <f>Database!$A13061</f>
        <v/>
      </c>
      <c r="B10976">
        <f>IF(VLOOKUP(Table7[[#This Row],[Date]],Database!$A:$C,MATCH($B$1,Database!$A$1:$C$1,),)=0,#N/A,VLOOKUP(Table7[[#This Row],[Date]],Database!$A:$C,MATCH($B$1,Database!$A$1:$C$1,),))</f>
        <v/>
      </c>
      <c r="C10976">
        <f>IF(VLOOKUP(Table7[[#This Row],[Date]],Database!$A:$C,MATCH($C$1,Database!$A$1:$C$1,),)=0,#N/A,VLOOKUP(Table7[[#This Row],[Date]],Database!$A:$C,MATCH($C$1,Database!$A$1:$C$1,),))</f>
        <v/>
      </c>
      <c r="D10976">
        <f>IFERROR(Table7[[#This Row],[United States 10y]]-Table7[[#This Row],[United States 3y]],#N/A)</f>
        <v/>
      </c>
    </row>
    <row r="10977">
      <c r="A10977" s="6">
        <f>Database!$A13062</f>
        <v/>
      </c>
      <c r="B10977">
        <f>IF(VLOOKUP(Table7[[#This Row],[Date]],Database!$A:$C,MATCH($B$1,Database!$A$1:$C$1,),)=0,#N/A,VLOOKUP(Table7[[#This Row],[Date]],Database!$A:$C,MATCH($B$1,Database!$A$1:$C$1,),))</f>
        <v/>
      </c>
      <c r="C10977">
        <f>IF(VLOOKUP(Table7[[#This Row],[Date]],Database!$A:$C,MATCH($C$1,Database!$A$1:$C$1,),)=0,#N/A,VLOOKUP(Table7[[#This Row],[Date]],Database!$A:$C,MATCH($C$1,Database!$A$1:$C$1,),))</f>
        <v/>
      </c>
      <c r="D10977">
        <f>IFERROR(Table7[[#This Row],[United States 10y]]-Table7[[#This Row],[United States 3y]],#N/A)</f>
        <v/>
      </c>
    </row>
    <row r="10978">
      <c r="A10978" s="6">
        <f>Database!$A13063</f>
        <v/>
      </c>
      <c r="B10978">
        <f>IF(VLOOKUP(Table7[[#This Row],[Date]],Database!$A:$C,MATCH($B$1,Database!$A$1:$C$1,),)=0,#N/A,VLOOKUP(Table7[[#This Row],[Date]],Database!$A:$C,MATCH($B$1,Database!$A$1:$C$1,),))</f>
        <v/>
      </c>
      <c r="C10978">
        <f>IF(VLOOKUP(Table7[[#This Row],[Date]],Database!$A:$C,MATCH($C$1,Database!$A$1:$C$1,),)=0,#N/A,VLOOKUP(Table7[[#This Row],[Date]],Database!$A:$C,MATCH($C$1,Database!$A$1:$C$1,),))</f>
        <v/>
      </c>
      <c r="D10978">
        <f>IFERROR(Table7[[#This Row],[United States 10y]]-Table7[[#This Row],[United States 3y]],#N/A)</f>
        <v/>
      </c>
    </row>
    <row r="10979">
      <c r="A10979" s="6">
        <f>Database!$A13064</f>
        <v/>
      </c>
      <c r="B10979">
        <f>IF(VLOOKUP(Table7[[#This Row],[Date]],Database!$A:$C,MATCH($B$1,Database!$A$1:$C$1,),)=0,#N/A,VLOOKUP(Table7[[#This Row],[Date]],Database!$A:$C,MATCH($B$1,Database!$A$1:$C$1,),))</f>
        <v/>
      </c>
      <c r="C10979">
        <f>IF(VLOOKUP(Table7[[#This Row],[Date]],Database!$A:$C,MATCH($C$1,Database!$A$1:$C$1,),)=0,#N/A,VLOOKUP(Table7[[#This Row],[Date]],Database!$A:$C,MATCH($C$1,Database!$A$1:$C$1,),))</f>
        <v/>
      </c>
      <c r="D10979">
        <f>IFERROR(Table7[[#This Row],[United States 10y]]-Table7[[#This Row],[United States 3y]],#N/A)</f>
        <v/>
      </c>
    </row>
    <row r="10980">
      <c r="A10980" s="6">
        <f>Database!$A13065</f>
        <v/>
      </c>
      <c r="B10980">
        <f>IF(VLOOKUP(Table7[[#This Row],[Date]],Database!$A:$C,MATCH($B$1,Database!$A$1:$C$1,),)=0,#N/A,VLOOKUP(Table7[[#This Row],[Date]],Database!$A:$C,MATCH($B$1,Database!$A$1:$C$1,),))</f>
        <v/>
      </c>
      <c r="C10980">
        <f>IF(VLOOKUP(Table7[[#This Row],[Date]],Database!$A:$C,MATCH($C$1,Database!$A$1:$C$1,),)=0,#N/A,VLOOKUP(Table7[[#This Row],[Date]],Database!$A:$C,MATCH($C$1,Database!$A$1:$C$1,),))</f>
        <v/>
      </c>
      <c r="D10980">
        <f>IFERROR(Table7[[#This Row],[United States 10y]]-Table7[[#This Row],[United States 3y]],#N/A)</f>
        <v/>
      </c>
    </row>
    <row r="10981">
      <c r="A10981" s="6">
        <f>Database!$A13066</f>
        <v/>
      </c>
      <c r="B10981">
        <f>IF(VLOOKUP(Table7[[#This Row],[Date]],Database!$A:$C,MATCH($B$1,Database!$A$1:$C$1,),)=0,#N/A,VLOOKUP(Table7[[#This Row],[Date]],Database!$A:$C,MATCH($B$1,Database!$A$1:$C$1,),))</f>
        <v/>
      </c>
      <c r="C10981">
        <f>IF(VLOOKUP(Table7[[#This Row],[Date]],Database!$A:$C,MATCH($C$1,Database!$A$1:$C$1,),)=0,#N/A,VLOOKUP(Table7[[#This Row],[Date]],Database!$A:$C,MATCH($C$1,Database!$A$1:$C$1,),))</f>
        <v/>
      </c>
      <c r="D10981">
        <f>IFERROR(Table7[[#This Row],[United States 10y]]-Table7[[#This Row],[United States 3y]],#N/A)</f>
        <v/>
      </c>
    </row>
    <row r="10982">
      <c r="A10982" s="6">
        <f>Database!$A13067</f>
        <v/>
      </c>
      <c r="B10982">
        <f>IF(VLOOKUP(Table7[[#This Row],[Date]],Database!$A:$C,MATCH($B$1,Database!$A$1:$C$1,),)=0,#N/A,VLOOKUP(Table7[[#This Row],[Date]],Database!$A:$C,MATCH($B$1,Database!$A$1:$C$1,),))</f>
        <v/>
      </c>
      <c r="C10982">
        <f>IF(VLOOKUP(Table7[[#This Row],[Date]],Database!$A:$C,MATCH($C$1,Database!$A$1:$C$1,),)=0,#N/A,VLOOKUP(Table7[[#This Row],[Date]],Database!$A:$C,MATCH($C$1,Database!$A$1:$C$1,),))</f>
        <v/>
      </c>
      <c r="D10982">
        <f>IFERROR(Table7[[#This Row],[United States 10y]]-Table7[[#This Row],[United States 3y]],#N/A)</f>
        <v/>
      </c>
    </row>
    <row r="10983">
      <c r="A10983" s="6">
        <f>Database!$A13068</f>
        <v/>
      </c>
      <c r="B10983">
        <f>IF(VLOOKUP(Table7[[#This Row],[Date]],Database!$A:$C,MATCH($B$1,Database!$A$1:$C$1,),)=0,#N/A,VLOOKUP(Table7[[#This Row],[Date]],Database!$A:$C,MATCH($B$1,Database!$A$1:$C$1,),))</f>
        <v/>
      </c>
      <c r="C10983">
        <f>IF(VLOOKUP(Table7[[#This Row],[Date]],Database!$A:$C,MATCH($C$1,Database!$A$1:$C$1,),)=0,#N/A,VLOOKUP(Table7[[#This Row],[Date]],Database!$A:$C,MATCH($C$1,Database!$A$1:$C$1,),))</f>
        <v/>
      </c>
      <c r="D10983">
        <f>IFERROR(Table7[[#This Row],[United States 10y]]-Table7[[#This Row],[United States 3y]],#N/A)</f>
        <v/>
      </c>
    </row>
    <row r="10984">
      <c r="A10984" s="6">
        <f>Database!$A13069</f>
        <v/>
      </c>
      <c r="B10984">
        <f>IF(VLOOKUP(Table7[[#This Row],[Date]],Database!$A:$C,MATCH($B$1,Database!$A$1:$C$1,),)=0,#N/A,VLOOKUP(Table7[[#This Row],[Date]],Database!$A:$C,MATCH($B$1,Database!$A$1:$C$1,),))</f>
        <v/>
      </c>
      <c r="C10984">
        <f>IF(VLOOKUP(Table7[[#This Row],[Date]],Database!$A:$C,MATCH($C$1,Database!$A$1:$C$1,),)=0,#N/A,VLOOKUP(Table7[[#This Row],[Date]],Database!$A:$C,MATCH($C$1,Database!$A$1:$C$1,),))</f>
        <v/>
      </c>
      <c r="D10984">
        <f>IFERROR(Table7[[#This Row],[United States 10y]]-Table7[[#This Row],[United States 3y]],#N/A)</f>
        <v/>
      </c>
    </row>
    <row r="10985">
      <c r="A10985" s="6">
        <f>Database!$A13070</f>
        <v/>
      </c>
      <c r="B10985">
        <f>IF(VLOOKUP(Table7[[#This Row],[Date]],Database!$A:$C,MATCH($B$1,Database!$A$1:$C$1,),)=0,#N/A,VLOOKUP(Table7[[#This Row],[Date]],Database!$A:$C,MATCH($B$1,Database!$A$1:$C$1,),))</f>
        <v/>
      </c>
      <c r="C10985">
        <f>IF(VLOOKUP(Table7[[#This Row],[Date]],Database!$A:$C,MATCH($C$1,Database!$A$1:$C$1,),)=0,#N/A,VLOOKUP(Table7[[#This Row],[Date]],Database!$A:$C,MATCH($C$1,Database!$A$1:$C$1,),))</f>
        <v/>
      </c>
      <c r="D10985">
        <f>IFERROR(Table7[[#This Row],[United States 10y]]-Table7[[#This Row],[United States 3y]],#N/A)</f>
        <v/>
      </c>
    </row>
    <row r="10986">
      <c r="A10986" s="6">
        <f>Database!$A13071</f>
        <v/>
      </c>
      <c r="B10986">
        <f>IF(VLOOKUP(Table7[[#This Row],[Date]],Database!$A:$C,MATCH($B$1,Database!$A$1:$C$1,),)=0,#N/A,VLOOKUP(Table7[[#This Row],[Date]],Database!$A:$C,MATCH($B$1,Database!$A$1:$C$1,),))</f>
        <v/>
      </c>
      <c r="C10986">
        <f>IF(VLOOKUP(Table7[[#This Row],[Date]],Database!$A:$C,MATCH($C$1,Database!$A$1:$C$1,),)=0,#N/A,VLOOKUP(Table7[[#This Row],[Date]],Database!$A:$C,MATCH($C$1,Database!$A$1:$C$1,),))</f>
        <v/>
      </c>
      <c r="D10986">
        <f>IFERROR(Table7[[#This Row],[United States 10y]]-Table7[[#This Row],[United States 3y]],#N/A)</f>
        <v/>
      </c>
    </row>
    <row r="10987">
      <c r="A10987" s="6">
        <f>Database!$A13072</f>
        <v/>
      </c>
      <c r="B10987">
        <f>IF(VLOOKUP(Table7[[#This Row],[Date]],Database!$A:$C,MATCH($B$1,Database!$A$1:$C$1,),)=0,#N/A,VLOOKUP(Table7[[#This Row],[Date]],Database!$A:$C,MATCH($B$1,Database!$A$1:$C$1,),))</f>
        <v/>
      </c>
      <c r="C10987">
        <f>IF(VLOOKUP(Table7[[#This Row],[Date]],Database!$A:$C,MATCH($C$1,Database!$A$1:$C$1,),)=0,#N/A,VLOOKUP(Table7[[#This Row],[Date]],Database!$A:$C,MATCH($C$1,Database!$A$1:$C$1,),))</f>
        <v/>
      </c>
      <c r="D10987">
        <f>IFERROR(Table7[[#This Row],[United States 10y]]-Table7[[#This Row],[United States 3y]],#N/A)</f>
        <v/>
      </c>
    </row>
    <row r="10988">
      <c r="A10988" s="6">
        <f>Database!$A13073</f>
        <v/>
      </c>
      <c r="B10988">
        <f>IF(VLOOKUP(Table7[[#This Row],[Date]],Database!$A:$C,MATCH($B$1,Database!$A$1:$C$1,),)=0,#N/A,VLOOKUP(Table7[[#This Row],[Date]],Database!$A:$C,MATCH($B$1,Database!$A$1:$C$1,),))</f>
        <v/>
      </c>
      <c r="C10988">
        <f>IF(VLOOKUP(Table7[[#This Row],[Date]],Database!$A:$C,MATCH($C$1,Database!$A$1:$C$1,),)=0,#N/A,VLOOKUP(Table7[[#This Row],[Date]],Database!$A:$C,MATCH($C$1,Database!$A$1:$C$1,),))</f>
        <v/>
      </c>
      <c r="D10988">
        <f>IFERROR(Table7[[#This Row],[United States 10y]]-Table7[[#This Row],[United States 3y]],#N/A)</f>
        <v/>
      </c>
    </row>
    <row r="10989">
      <c r="A10989" s="6">
        <f>Database!$A13074</f>
        <v/>
      </c>
      <c r="B10989">
        <f>IF(VLOOKUP(Table7[[#This Row],[Date]],Database!$A:$C,MATCH($B$1,Database!$A$1:$C$1,),)=0,#N/A,VLOOKUP(Table7[[#This Row],[Date]],Database!$A:$C,MATCH($B$1,Database!$A$1:$C$1,),))</f>
        <v/>
      </c>
      <c r="C10989">
        <f>IF(VLOOKUP(Table7[[#This Row],[Date]],Database!$A:$C,MATCH($C$1,Database!$A$1:$C$1,),)=0,#N/A,VLOOKUP(Table7[[#This Row],[Date]],Database!$A:$C,MATCH($C$1,Database!$A$1:$C$1,),))</f>
        <v/>
      </c>
      <c r="D10989">
        <f>IFERROR(Table7[[#This Row],[United States 10y]]-Table7[[#This Row],[United States 3y]],#N/A)</f>
        <v/>
      </c>
    </row>
    <row r="10990">
      <c r="A10990" s="6">
        <f>Database!$A13075</f>
        <v/>
      </c>
      <c r="B10990">
        <f>IF(VLOOKUP(Table7[[#This Row],[Date]],Database!$A:$C,MATCH($B$1,Database!$A$1:$C$1,),)=0,#N/A,VLOOKUP(Table7[[#This Row],[Date]],Database!$A:$C,MATCH($B$1,Database!$A$1:$C$1,),))</f>
        <v/>
      </c>
      <c r="C10990">
        <f>IF(VLOOKUP(Table7[[#This Row],[Date]],Database!$A:$C,MATCH($C$1,Database!$A$1:$C$1,),)=0,#N/A,VLOOKUP(Table7[[#This Row],[Date]],Database!$A:$C,MATCH($C$1,Database!$A$1:$C$1,),))</f>
        <v/>
      </c>
      <c r="D10990">
        <f>IFERROR(Table7[[#This Row],[United States 10y]]-Table7[[#This Row],[United States 3y]],#N/A)</f>
        <v/>
      </c>
    </row>
    <row r="10991">
      <c r="A10991" s="6">
        <f>Database!$A13076</f>
        <v/>
      </c>
      <c r="B10991">
        <f>IF(VLOOKUP(Table7[[#This Row],[Date]],Database!$A:$C,MATCH($B$1,Database!$A$1:$C$1,),)=0,#N/A,VLOOKUP(Table7[[#This Row],[Date]],Database!$A:$C,MATCH($B$1,Database!$A$1:$C$1,),))</f>
        <v/>
      </c>
      <c r="C10991">
        <f>IF(VLOOKUP(Table7[[#This Row],[Date]],Database!$A:$C,MATCH($C$1,Database!$A$1:$C$1,),)=0,#N/A,VLOOKUP(Table7[[#This Row],[Date]],Database!$A:$C,MATCH($C$1,Database!$A$1:$C$1,),))</f>
        <v/>
      </c>
      <c r="D10991">
        <f>IFERROR(Table7[[#This Row],[United States 10y]]-Table7[[#This Row],[United States 3y]],#N/A)</f>
        <v/>
      </c>
    </row>
    <row r="10992">
      <c r="A10992" s="6">
        <f>Database!$A13077</f>
        <v/>
      </c>
      <c r="B10992">
        <f>IF(VLOOKUP(Table7[[#This Row],[Date]],Database!$A:$C,MATCH($B$1,Database!$A$1:$C$1,),)=0,#N/A,VLOOKUP(Table7[[#This Row],[Date]],Database!$A:$C,MATCH($B$1,Database!$A$1:$C$1,),))</f>
        <v/>
      </c>
      <c r="C10992">
        <f>IF(VLOOKUP(Table7[[#This Row],[Date]],Database!$A:$C,MATCH($C$1,Database!$A$1:$C$1,),)=0,#N/A,VLOOKUP(Table7[[#This Row],[Date]],Database!$A:$C,MATCH($C$1,Database!$A$1:$C$1,),))</f>
        <v/>
      </c>
      <c r="D10992">
        <f>IFERROR(Table7[[#This Row],[United States 10y]]-Table7[[#This Row],[United States 3y]],#N/A)</f>
        <v/>
      </c>
    </row>
    <row r="10993">
      <c r="A10993" s="6">
        <f>Database!$A13078</f>
        <v/>
      </c>
      <c r="B10993">
        <f>IF(VLOOKUP(Table7[[#This Row],[Date]],Database!$A:$C,MATCH($B$1,Database!$A$1:$C$1,),)=0,#N/A,VLOOKUP(Table7[[#This Row],[Date]],Database!$A:$C,MATCH($B$1,Database!$A$1:$C$1,),))</f>
        <v/>
      </c>
      <c r="C10993">
        <f>IF(VLOOKUP(Table7[[#This Row],[Date]],Database!$A:$C,MATCH($C$1,Database!$A$1:$C$1,),)=0,#N/A,VLOOKUP(Table7[[#This Row],[Date]],Database!$A:$C,MATCH($C$1,Database!$A$1:$C$1,),))</f>
        <v/>
      </c>
      <c r="D10993">
        <f>IFERROR(Table7[[#This Row],[United States 10y]]-Table7[[#This Row],[United States 3y]],#N/A)</f>
        <v/>
      </c>
    </row>
    <row r="10994">
      <c r="A10994" s="6">
        <f>Database!$A13079</f>
        <v/>
      </c>
      <c r="B10994">
        <f>IF(VLOOKUP(Table7[[#This Row],[Date]],Database!$A:$C,MATCH($B$1,Database!$A$1:$C$1,),)=0,#N/A,VLOOKUP(Table7[[#This Row],[Date]],Database!$A:$C,MATCH($B$1,Database!$A$1:$C$1,),))</f>
        <v/>
      </c>
      <c r="C10994">
        <f>IF(VLOOKUP(Table7[[#This Row],[Date]],Database!$A:$C,MATCH($C$1,Database!$A$1:$C$1,),)=0,#N/A,VLOOKUP(Table7[[#This Row],[Date]],Database!$A:$C,MATCH($C$1,Database!$A$1:$C$1,),))</f>
        <v/>
      </c>
      <c r="D10994">
        <f>IFERROR(Table7[[#This Row],[United States 10y]]-Table7[[#This Row],[United States 3y]],#N/A)</f>
        <v/>
      </c>
    </row>
    <row r="10995">
      <c r="A10995" s="6">
        <f>Database!$A13080</f>
        <v/>
      </c>
      <c r="B10995">
        <f>IF(VLOOKUP(Table7[[#This Row],[Date]],Database!$A:$C,MATCH($B$1,Database!$A$1:$C$1,),)=0,#N/A,VLOOKUP(Table7[[#This Row],[Date]],Database!$A:$C,MATCH($B$1,Database!$A$1:$C$1,),))</f>
        <v/>
      </c>
      <c r="C10995">
        <f>IF(VLOOKUP(Table7[[#This Row],[Date]],Database!$A:$C,MATCH($C$1,Database!$A$1:$C$1,),)=0,#N/A,VLOOKUP(Table7[[#This Row],[Date]],Database!$A:$C,MATCH($C$1,Database!$A$1:$C$1,),))</f>
        <v/>
      </c>
      <c r="D10995">
        <f>IFERROR(Table7[[#This Row],[United States 10y]]-Table7[[#This Row],[United States 3y]],#N/A)</f>
        <v/>
      </c>
    </row>
    <row r="10996">
      <c r="A10996" s="6">
        <f>Database!$A13081</f>
        <v/>
      </c>
      <c r="B10996">
        <f>IF(VLOOKUP(Table7[[#This Row],[Date]],Database!$A:$C,MATCH($B$1,Database!$A$1:$C$1,),)=0,#N/A,VLOOKUP(Table7[[#This Row],[Date]],Database!$A:$C,MATCH($B$1,Database!$A$1:$C$1,),))</f>
        <v/>
      </c>
      <c r="C10996">
        <f>IF(VLOOKUP(Table7[[#This Row],[Date]],Database!$A:$C,MATCH($C$1,Database!$A$1:$C$1,),)=0,#N/A,VLOOKUP(Table7[[#This Row],[Date]],Database!$A:$C,MATCH($C$1,Database!$A$1:$C$1,),))</f>
        <v/>
      </c>
      <c r="D10996">
        <f>IFERROR(Table7[[#This Row],[United States 10y]]-Table7[[#This Row],[United States 3y]],#N/A)</f>
        <v/>
      </c>
    </row>
    <row r="10997">
      <c r="A10997" s="6">
        <f>Database!$A13082</f>
        <v/>
      </c>
      <c r="B10997">
        <f>IF(VLOOKUP(Table7[[#This Row],[Date]],Database!$A:$C,MATCH($B$1,Database!$A$1:$C$1,),)=0,#N/A,VLOOKUP(Table7[[#This Row],[Date]],Database!$A:$C,MATCH($B$1,Database!$A$1:$C$1,),))</f>
        <v/>
      </c>
      <c r="C10997">
        <f>IF(VLOOKUP(Table7[[#This Row],[Date]],Database!$A:$C,MATCH($C$1,Database!$A$1:$C$1,),)=0,#N/A,VLOOKUP(Table7[[#This Row],[Date]],Database!$A:$C,MATCH($C$1,Database!$A$1:$C$1,),))</f>
        <v/>
      </c>
      <c r="D10997">
        <f>IFERROR(Table7[[#This Row],[United States 10y]]-Table7[[#This Row],[United States 3y]],#N/A)</f>
        <v/>
      </c>
    </row>
    <row r="10998">
      <c r="A10998" s="6">
        <f>Database!$A13083</f>
        <v/>
      </c>
      <c r="B10998">
        <f>IF(VLOOKUP(Table7[[#This Row],[Date]],Database!$A:$C,MATCH($B$1,Database!$A$1:$C$1,),)=0,#N/A,VLOOKUP(Table7[[#This Row],[Date]],Database!$A:$C,MATCH($B$1,Database!$A$1:$C$1,),))</f>
        <v/>
      </c>
      <c r="C10998">
        <f>IF(VLOOKUP(Table7[[#This Row],[Date]],Database!$A:$C,MATCH($C$1,Database!$A$1:$C$1,),)=0,#N/A,VLOOKUP(Table7[[#This Row],[Date]],Database!$A:$C,MATCH($C$1,Database!$A$1:$C$1,),))</f>
        <v/>
      </c>
      <c r="D10998">
        <f>IFERROR(Table7[[#This Row],[United States 10y]]-Table7[[#This Row],[United States 3y]],#N/A)</f>
        <v/>
      </c>
    </row>
    <row r="10999">
      <c r="A10999" s="6">
        <f>Database!$A13084</f>
        <v/>
      </c>
      <c r="B10999">
        <f>IF(VLOOKUP(Table7[[#This Row],[Date]],Database!$A:$C,MATCH($B$1,Database!$A$1:$C$1,),)=0,#N/A,VLOOKUP(Table7[[#This Row],[Date]],Database!$A:$C,MATCH($B$1,Database!$A$1:$C$1,),))</f>
        <v/>
      </c>
      <c r="C10999">
        <f>IF(VLOOKUP(Table7[[#This Row],[Date]],Database!$A:$C,MATCH($C$1,Database!$A$1:$C$1,),)=0,#N/A,VLOOKUP(Table7[[#This Row],[Date]],Database!$A:$C,MATCH($C$1,Database!$A$1:$C$1,),))</f>
        <v/>
      </c>
      <c r="D10999">
        <f>IFERROR(Table7[[#This Row],[United States 10y]]-Table7[[#This Row],[United States 3y]],#N/A)</f>
        <v/>
      </c>
    </row>
    <row r="11000">
      <c r="A11000" s="6">
        <f>Database!$A13085</f>
        <v/>
      </c>
      <c r="B11000">
        <f>IF(VLOOKUP(Table7[[#This Row],[Date]],Database!$A:$C,MATCH($B$1,Database!$A$1:$C$1,),)=0,#N/A,VLOOKUP(Table7[[#This Row],[Date]],Database!$A:$C,MATCH($B$1,Database!$A$1:$C$1,),))</f>
        <v/>
      </c>
      <c r="C11000">
        <f>IF(VLOOKUP(Table7[[#This Row],[Date]],Database!$A:$C,MATCH($C$1,Database!$A$1:$C$1,),)=0,#N/A,VLOOKUP(Table7[[#This Row],[Date]],Database!$A:$C,MATCH($C$1,Database!$A$1:$C$1,),))</f>
        <v/>
      </c>
      <c r="D11000">
        <f>IFERROR(Table7[[#This Row],[United States 10y]]-Table7[[#This Row],[United States 3y]],#N/A)</f>
        <v/>
      </c>
    </row>
    <row r="11001">
      <c r="A11001" s="6">
        <f>Database!$A13086</f>
        <v/>
      </c>
      <c r="B11001">
        <f>IF(VLOOKUP(Table7[[#This Row],[Date]],Database!$A:$C,MATCH($B$1,Database!$A$1:$C$1,),)=0,#N/A,VLOOKUP(Table7[[#This Row],[Date]],Database!$A:$C,MATCH($B$1,Database!$A$1:$C$1,),))</f>
        <v/>
      </c>
      <c r="C11001">
        <f>IF(VLOOKUP(Table7[[#This Row],[Date]],Database!$A:$C,MATCH($C$1,Database!$A$1:$C$1,),)=0,#N/A,VLOOKUP(Table7[[#This Row],[Date]],Database!$A:$C,MATCH($C$1,Database!$A$1:$C$1,),))</f>
        <v/>
      </c>
      <c r="D11001">
        <f>IFERROR(Table7[[#This Row],[United States 10y]]-Table7[[#This Row],[United States 3y]],#N/A)</f>
        <v/>
      </c>
    </row>
    <row r="11002">
      <c r="A11002" s="6">
        <f>Database!$A13087</f>
        <v/>
      </c>
      <c r="B11002">
        <f>IF(VLOOKUP(Table7[[#This Row],[Date]],Database!$A:$C,MATCH($B$1,Database!$A$1:$C$1,),)=0,#N/A,VLOOKUP(Table7[[#This Row],[Date]],Database!$A:$C,MATCH($B$1,Database!$A$1:$C$1,),))</f>
        <v/>
      </c>
      <c r="C11002">
        <f>IF(VLOOKUP(Table7[[#This Row],[Date]],Database!$A:$C,MATCH($C$1,Database!$A$1:$C$1,),)=0,#N/A,VLOOKUP(Table7[[#This Row],[Date]],Database!$A:$C,MATCH($C$1,Database!$A$1:$C$1,),))</f>
        <v/>
      </c>
      <c r="D11002">
        <f>IFERROR(Table7[[#This Row],[United States 10y]]-Table7[[#This Row],[United States 3y]],#N/A)</f>
        <v/>
      </c>
    </row>
    <row r="11003">
      <c r="A11003" s="6">
        <f>Database!$A13088</f>
        <v/>
      </c>
      <c r="B11003">
        <f>IF(VLOOKUP(Table7[[#This Row],[Date]],Database!$A:$C,MATCH($B$1,Database!$A$1:$C$1,),)=0,#N/A,VLOOKUP(Table7[[#This Row],[Date]],Database!$A:$C,MATCH($B$1,Database!$A$1:$C$1,),))</f>
        <v/>
      </c>
      <c r="C11003">
        <f>IF(VLOOKUP(Table7[[#This Row],[Date]],Database!$A:$C,MATCH($C$1,Database!$A$1:$C$1,),)=0,#N/A,VLOOKUP(Table7[[#This Row],[Date]],Database!$A:$C,MATCH($C$1,Database!$A$1:$C$1,),))</f>
        <v/>
      </c>
      <c r="D11003">
        <f>IFERROR(Table7[[#This Row],[United States 10y]]-Table7[[#This Row],[United States 3y]],#N/A)</f>
        <v/>
      </c>
    </row>
    <row r="11004">
      <c r="A11004" s="6">
        <f>Database!$A13089</f>
        <v/>
      </c>
      <c r="B11004">
        <f>IF(VLOOKUP(Table7[[#This Row],[Date]],Database!$A:$C,MATCH($B$1,Database!$A$1:$C$1,),)=0,#N/A,VLOOKUP(Table7[[#This Row],[Date]],Database!$A:$C,MATCH($B$1,Database!$A$1:$C$1,),))</f>
        <v/>
      </c>
      <c r="C11004">
        <f>IF(VLOOKUP(Table7[[#This Row],[Date]],Database!$A:$C,MATCH($C$1,Database!$A$1:$C$1,),)=0,#N/A,VLOOKUP(Table7[[#This Row],[Date]],Database!$A:$C,MATCH($C$1,Database!$A$1:$C$1,),))</f>
        <v/>
      </c>
      <c r="D11004">
        <f>IFERROR(Table7[[#This Row],[United States 10y]]-Table7[[#This Row],[United States 3y]],#N/A)</f>
        <v/>
      </c>
    </row>
    <row r="11005">
      <c r="A11005" s="6">
        <f>Database!$A13090</f>
        <v/>
      </c>
      <c r="B11005">
        <f>IF(VLOOKUP(Table7[[#This Row],[Date]],Database!$A:$C,MATCH($B$1,Database!$A$1:$C$1,),)=0,#N/A,VLOOKUP(Table7[[#This Row],[Date]],Database!$A:$C,MATCH($B$1,Database!$A$1:$C$1,),))</f>
        <v/>
      </c>
      <c r="C11005">
        <f>IF(VLOOKUP(Table7[[#This Row],[Date]],Database!$A:$C,MATCH($C$1,Database!$A$1:$C$1,),)=0,#N/A,VLOOKUP(Table7[[#This Row],[Date]],Database!$A:$C,MATCH($C$1,Database!$A$1:$C$1,),))</f>
        <v/>
      </c>
      <c r="D11005">
        <f>IFERROR(Table7[[#This Row],[United States 10y]]-Table7[[#This Row],[United States 3y]],#N/A)</f>
        <v/>
      </c>
    </row>
    <row r="11006">
      <c r="A11006" s="6">
        <f>Database!$A13091</f>
        <v/>
      </c>
      <c r="B11006">
        <f>IF(VLOOKUP(Table7[[#This Row],[Date]],Database!$A:$C,MATCH($B$1,Database!$A$1:$C$1,),)=0,#N/A,VLOOKUP(Table7[[#This Row],[Date]],Database!$A:$C,MATCH($B$1,Database!$A$1:$C$1,),))</f>
        <v/>
      </c>
      <c r="C11006">
        <f>IF(VLOOKUP(Table7[[#This Row],[Date]],Database!$A:$C,MATCH($C$1,Database!$A$1:$C$1,),)=0,#N/A,VLOOKUP(Table7[[#This Row],[Date]],Database!$A:$C,MATCH($C$1,Database!$A$1:$C$1,),))</f>
        <v/>
      </c>
      <c r="D11006">
        <f>IFERROR(Table7[[#This Row],[United States 10y]]-Table7[[#This Row],[United States 3y]],#N/A)</f>
        <v/>
      </c>
    </row>
    <row r="11007">
      <c r="A11007" s="6">
        <f>Database!$A13092</f>
        <v/>
      </c>
      <c r="B11007">
        <f>IF(VLOOKUP(Table7[[#This Row],[Date]],Database!$A:$C,MATCH($B$1,Database!$A$1:$C$1,),)=0,#N/A,VLOOKUP(Table7[[#This Row],[Date]],Database!$A:$C,MATCH($B$1,Database!$A$1:$C$1,),))</f>
        <v/>
      </c>
      <c r="C11007">
        <f>IF(VLOOKUP(Table7[[#This Row],[Date]],Database!$A:$C,MATCH($C$1,Database!$A$1:$C$1,),)=0,#N/A,VLOOKUP(Table7[[#This Row],[Date]],Database!$A:$C,MATCH($C$1,Database!$A$1:$C$1,),))</f>
        <v/>
      </c>
      <c r="D11007">
        <f>IFERROR(Table7[[#This Row],[United States 10y]]-Table7[[#This Row],[United States 3y]],#N/A)</f>
        <v/>
      </c>
    </row>
    <row r="11008">
      <c r="A11008" s="6">
        <f>Database!$A13093</f>
        <v/>
      </c>
      <c r="B11008">
        <f>IF(VLOOKUP(Table7[[#This Row],[Date]],Database!$A:$C,MATCH($B$1,Database!$A$1:$C$1,),)=0,#N/A,VLOOKUP(Table7[[#This Row],[Date]],Database!$A:$C,MATCH($B$1,Database!$A$1:$C$1,),))</f>
        <v/>
      </c>
      <c r="C11008">
        <f>IF(VLOOKUP(Table7[[#This Row],[Date]],Database!$A:$C,MATCH($C$1,Database!$A$1:$C$1,),)=0,#N/A,VLOOKUP(Table7[[#This Row],[Date]],Database!$A:$C,MATCH($C$1,Database!$A$1:$C$1,),))</f>
        <v/>
      </c>
      <c r="D11008">
        <f>IFERROR(Table7[[#This Row],[United States 10y]]-Table7[[#This Row],[United States 3y]],#N/A)</f>
        <v/>
      </c>
    </row>
    <row r="11009">
      <c r="A11009" s="6">
        <f>Database!$A13094</f>
        <v/>
      </c>
      <c r="B11009">
        <f>IF(VLOOKUP(Table7[[#This Row],[Date]],Database!$A:$C,MATCH($B$1,Database!$A$1:$C$1,),)=0,#N/A,VLOOKUP(Table7[[#This Row],[Date]],Database!$A:$C,MATCH($B$1,Database!$A$1:$C$1,),))</f>
        <v/>
      </c>
      <c r="C11009">
        <f>IF(VLOOKUP(Table7[[#This Row],[Date]],Database!$A:$C,MATCH($C$1,Database!$A$1:$C$1,),)=0,#N/A,VLOOKUP(Table7[[#This Row],[Date]],Database!$A:$C,MATCH($C$1,Database!$A$1:$C$1,),))</f>
        <v/>
      </c>
      <c r="D11009">
        <f>IFERROR(Table7[[#This Row],[United States 10y]]-Table7[[#This Row],[United States 3y]],#N/A)</f>
        <v/>
      </c>
    </row>
    <row r="11010">
      <c r="A11010" s="6">
        <f>Database!$A13095</f>
        <v/>
      </c>
      <c r="B11010">
        <f>IF(VLOOKUP(Table7[[#This Row],[Date]],Database!$A:$C,MATCH($B$1,Database!$A$1:$C$1,),)=0,#N/A,VLOOKUP(Table7[[#This Row],[Date]],Database!$A:$C,MATCH($B$1,Database!$A$1:$C$1,),))</f>
        <v/>
      </c>
      <c r="C11010">
        <f>IF(VLOOKUP(Table7[[#This Row],[Date]],Database!$A:$C,MATCH($C$1,Database!$A$1:$C$1,),)=0,#N/A,VLOOKUP(Table7[[#This Row],[Date]],Database!$A:$C,MATCH($C$1,Database!$A$1:$C$1,),))</f>
        <v/>
      </c>
      <c r="D11010">
        <f>IFERROR(Table7[[#This Row],[United States 10y]]-Table7[[#This Row],[United States 3y]],#N/A)</f>
        <v/>
      </c>
    </row>
    <row r="11011">
      <c r="A11011" s="6">
        <f>Database!$A13096</f>
        <v/>
      </c>
      <c r="B11011">
        <f>IF(VLOOKUP(Table7[[#This Row],[Date]],Database!$A:$C,MATCH($B$1,Database!$A$1:$C$1,),)=0,#N/A,VLOOKUP(Table7[[#This Row],[Date]],Database!$A:$C,MATCH($B$1,Database!$A$1:$C$1,),))</f>
        <v/>
      </c>
      <c r="C11011">
        <f>IF(VLOOKUP(Table7[[#This Row],[Date]],Database!$A:$C,MATCH($C$1,Database!$A$1:$C$1,),)=0,#N/A,VLOOKUP(Table7[[#This Row],[Date]],Database!$A:$C,MATCH($C$1,Database!$A$1:$C$1,),))</f>
        <v/>
      </c>
      <c r="D11011">
        <f>IFERROR(Table7[[#This Row],[United States 10y]]-Table7[[#This Row],[United States 3y]],#N/A)</f>
        <v/>
      </c>
    </row>
    <row r="11012">
      <c r="A11012" s="6">
        <f>Database!$A13097</f>
        <v/>
      </c>
      <c r="B11012">
        <f>IF(VLOOKUP(Table7[[#This Row],[Date]],Database!$A:$C,MATCH($B$1,Database!$A$1:$C$1,),)=0,#N/A,VLOOKUP(Table7[[#This Row],[Date]],Database!$A:$C,MATCH($B$1,Database!$A$1:$C$1,),))</f>
        <v/>
      </c>
      <c r="C11012">
        <f>IF(VLOOKUP(Table7[[#This Row],[Date]],Database!$A:$C,MATCH($C$1,Database!$A$1:$C$1,),)=0,#N/A,VLOOKUP(Table7[[#This Row],[Date]],Database!$A:$C,MATCH($C$1,Database!$A$1:$C$1,),))</f>
        <v/>
      </c>
      <c r="D11012">
        <f>IFERROR(Table7[[#This Row],[United States 10y]]-Table7[[#This Row],[United States 3y]],#N/A)</f>
        <v/>
      </c>
    </row>
    <row r="11013">
      <c r="A11013" s="6">
        <f>Database!$A13098</f>
        <v/>
      </c>
      <c r="B11013">
        <f>IF(VLOOKUP(Table7[[#This Row],[Date]],Database!$A:$C,MATCH($B$1,Database!$A$1:$C$1,),)=0,#N/A,VLOOKUP(Table7[[#This Row],[Date]],Database!$A:$C,MATCH($B$1,Database!$A$1:$C$1,),))</f>
        <v/>
      </c>
      <c r="C11013">
        <f>IF(VLOOKUP(Table7[[#This Row],[Date]],Database!$A:$C,MATCH($C$1,Database!$A$1:$C$1,),)=0,#N/A,VLOOKUP(Table7[[#This Row],[Date]],Database!$A:$C,MATCH($C$1,Database!$A$1:$C$1,),))</f>
        <v/>
      </c>
      <c r="D11013">
        <f>IFERROR(Table7[[#This Row],[United States 10y]]-Table7[[#This Row],[United States 3y]],#N/A)</f>
        <v/>
      </c>
    </row>
    <row r="11014">
      <c r="A11014" s="6">
        <f>Database!$A13099</f>
        <v/>
      </c>
      <c r="B11014">
        <f>IF(VLOOKUP(Table7[[#This Row],[Date]],Database!$A:$C,MATCH($B$1,Database!$A$1:$C$1,),)=0,#N/A,VLOOKUP(Table7[[#This Row],[Date]],Database!$A:$C,MATCH($B$1,Database!$A$1:$C$1,),))</f>
        <v/>
      </c>
      <c r="C11014">
        <f>IF(VLOOKUP(Table7[[#This Row],[Date]],Database!$A:$C,MATCH($C$1,Database!$A$1:$C$1,),)=0,#N/A,VLOOKUP(Table7[[#This Row],[Date]],Database!$A:$C,MATCH($C$1,Database!$A$1:$C$1,),))</f>
        <v/>
      </c>
      <c r="D11014">
        <f>IFERROR(Table7[[#This Row],[United States 10y]]-Table7[[#This Row],[United States 3y]],#N/A)</f>
        <v/>
      </c>
    </row>
    <row r="11015">
      <c r="A11015" s="6">
        <f>Database!$A13100</f>
        <v/>
      </c>
      <c r="B11015">
        <f>IF(VLOOKUP(Table7[[#This Row],[Date]],Database!$A:$C,MATCH($B$1,Database!$A$1:$C$1,),)=0,#N/A,VLOOKUP(Table7[[#This Row],[Date]],Database!$A:$C,MATCH($B$1,Database!$A$1:$C$1,),))</f>
        <v/>
      </c>
      <c r="C11015">
        <f>IF(VLOOKUP(Table7[[#This Row],[Date]],Database!$A:$C,MATCH($C$1,Database!$A$1:$C$1,),)=0,#N/A,VLOOKUP(Table7[[#This Row],[Date]],Database!$A:$C,MATCH($C$1,Database!$A$1:$C$1,),))</f>
        <v/>
      </c>
      <c r="D11015">
        <f>IFERROR(Table7[[#This Row],[United States 10y]]-Table7[[#This Row],[United States 3y]],#N/A)</f>
        <v/>
      </c>
    </row>
    <row r="11016">
      <c r="A11016" s="6">
        <f>Database!$A13101</f>
        <v/>
      </c>
      <c r="B11016">
        <f>IF(VLOOKUP(Table7[[#This Row],[Date]],Database!$A:$C,MATCH($B$1,Database!$A$1:$C$1,),)=0,#N/A,VLOOKUP(Table7[[#This Row],[Date]],Database!$A:$C,MATCH($B$1,Database!$A$1:$C$1,),))</f>
        <v/>
      </c>
      <c r="C11016">
        <f>IF(VLOOKUP(Table7[[#This Row],[Date]],Database!$A:$C,MATCH($C$1,Database!$A$1:$C$1,),)=0,#N/A,VLOOKUP(Table7[[#This Row],[Date]],Database!$A:$C,MATCH($C$1,Database!$A$1:$C$1,),))</f>
        <v/>
      </c>
      <c r="D11016">
        <f>IFERROR(Table7[[#This Row],[United States 10y]]-Table7[[#This Row],[United States 3y]],#N/A)</f>
        <v/>
      </c>
    </row>
    <row r="11017">
      <c r="A11017" s="6">
        <f>Database!$A13102</f>
        <v/>
      </c>
      <c r="B11017">
        <f>IF(VLOOKUP(Table7[[#This Row],[Date]],Database!$A:$C,MATCH($B$1,Database!$A$1:$C$1,),)=0,#N/A,VLOOKUP(Table7[[#This Row],[Date]],Database!$A:$C,MATCH($B$1,Database!$A$1:$C$1,),))</f>
        <v/>
      </c>
      <c r="C11017">
        <f>IF(VLOOKUP(Table7[[#This Row],[Date]],Database!$A:$C,MATCH($C$1,Database!$A$1:$C$1,),)=0,#N/A,VLOOKUP(Table7[[#This Row],[Date]],Database!$A:$C,MATCH($C$1,Database!$A$1:$C$1,),))</f>
        <v/>
      </c>
      <c r="D11017">
        <f>IFERROR(Table7[[#This Row],[United States 10y]]-Table7[[#This Row],[United States 3y]],#N/A)</f>
        <v/>
      </c>
    </row>
    <row r="11018">
      <c r="A11018" s="6">
        <f>Database!$A13103</f>
        <v/>
      </c>
      <c r="B11018">
        <f>IF(VLOOKUP(Table7[[#This Row],[Date]],Database!$A:$C,MATCH($B$1,Database!$A$1:$C$1,),)=0,#N/A,VLOOKUP(Table7[[#This Row],[Date]],Database!$A:$C,MATCH($B$1,Database!$A$1:$C$1,),))</f>
        <v/>
      </c>
      <c r="C11018">
        <f>IF(VLOOKUP(Table7[[#This Row],[Date]],Database!$A:$C,MATCH($C$1,Database!$A$1:$C$1,),)=0,#N/A,VLOOKUP(Table7[[#This Row],[Date]],Database!$A:$C,MATCH($C$1,Database!$A$1:$C$1,),))</f>
        <v/>
      </c>
      <c r="D11018">
        <f>IFERROR(Table7[[#This Row],[United States 10y]]-Table7[[#This Row],[United States 3y]],#N/A)</f>
        <v/>
      </c>
    </row>
    <row r="11019">
      <c r="A11019" s="6">
        <f>Database!$A13104</f>
        <v/>
      </c>
      <c r="B11019">
        <f>IF(VLOOKUP(Table7[[#This Row],[Date]],Database!$A:$C,MATCH($B$1,Database!$A$1:$C$1,),)=0,#N/A,VLOOKUP(Table7[[#This Row],[Date]],Database!$A:$C,MATCH($B$1,Database!$A$1:$C$1,),))</f>
        <v/>
      </c>
      <c r="C11019">
        <f>IF(VLOOKUP(Table7[[#This Row],[Date]],Database!$A:$C,MATCH($C$1,Database!$A$1:$C$1,),)=0,#N/A,VLOOKUP(Table7[[#This Row],[Date]],Database!$A:$C,MATCH($C$1,Database!$A$1:$C$1,),))</f>
        <v/>
      </c>
      <c r="D11019">
        <f>IFERROR(Table7[[#This Row],[United States 10y]]-Table7[[#This Row],[United States 3y]],#N/A)</f>
        <v/>
      </c>
    </row>
    <row r="11020">
      <c r="A11020" s="6">
        <f>Database!$A13105</f>
        <v/>
      </c>
      <c r="B11020">
        <f>IF(VLOOKUP(Table7[[#This Row],[Date]],Database!$A:$C,MATCH($B$1,Database!$A$1:$C$1,),)=0,#N/A,VLOOKUP(Table7[[#This Row],[Date]],Database!$A:$C,MATCH($B$1,Database!$A$1:$C$1,),))</f>
        <v/>
      </c>
      <c r="C11020">
        <f>IF(VLOOKUP(Table7[[#This Row],[Date]],Database!$A:$C,MATCH($C$1,Database!$A$1:$C$1,),)=0,#N/A,VLOOKUP(Table7[[#This Row],[Date]],Database!$A:$C,MATCH($C$1,Database!$A$1:$C$1,),))</f>
        <v/>
      </c>
      <c r="D11020">
        <f>IFERROR(Table7[[#This Row],[United States 10y]]-Table7[[#This Row],[United States 3y]],#N/A)</f>
        <v/>
      </c>
    </row>
    <row r="11021">
      <c r="A11021" s="6">
        <f>Database!$A13106</f>
        <v/>
      </c>
      <c r="B11021">
        <f>IF(VLOOKUP(Table7[[#This Row],[Date]],Database!$A:$C,MATCH($B$1,Database!$A$1:$C$1,),)=0,#N/A,VLOOKUP(Table7[[#This Row],[Date]],Database!$A:$C,MATCH($B$1,Database!$A$1:$C$1,),))</f>
        <v/>
      </c>
      <c r="C11021">
        <f>IF(VLOOKUP(Table7[[#This Row],[Date]],Database!$A:$C,MATCH($C$1,Database!$A$1:$C$1,),)=0,#N/A,VLOOKUP(Table7[[#This Row],[Date]],Database!$A:$C,MATCH($C$1,Database!$A$1:$C$1,),))</f>
        <v/>
      </c>
      <c r="D11021">
        <f>IFERROR(Table7[[#This Row],[United States 10y]]-Table7[[#This Row],[United States 3y]],#N/A)</f>
        <v/>
      </c>
    </row>
    <row r="11022">
      <c r="A11022" s="6">
        <f>Database!$A13107</f>
        <v/>
      </c>
      <c r="B11022">
        <f>IF(VLOOKUP(Table7[[#This Row],[Date]],Database!$A:$C,MATCH($B$1,Database!$A$1:$C$1,),)=0,#N/A,VLOOKUP(Table7[[#This Row],[Date]],Database!$A:$C,MATCH($B$1,Database!$A$1:$C$1,),))</f>
        <v/>
      </c>
      <c r="C11022">
        <f>IF(VLOOKUP(Table7[[#This Row],[Date]],Database!$A:$C,MATCH($C$1,Database!$A$1:$C$1,),)=0,#N/A,VLOOKUP(Table7[[#This Row],[Date]],Database!$A:$C,MATCH($C$1,Database!$A$1:$C$1,),))</f>
        <v/>
      </c>
      <c r="D11022">
        <f>IFERROR(Table7[[#This Row],[United States 10y]]-Table7[[#This Row],[United States 3y]],#N/A)</f>
        <v/>
      </c>
    </row>
    <row r="11023">
      <c r="A11023" s="6">
        <f>Database!$A13108</f>
        <v/>
      </c>
      <c r="B11023">
        <f>IF(VLOOKUP(Table7[[#This Row],[Date]],Database!$A:$C,MATCH($B$1,Database!$A$1:$C$1,),)=0,#N/A,VLOOKUP(Table7[[#This Row],[Date]],Database!$A:$C,MATCH($B$1,Database!$A$1:$C$1,),))</f>
        <v/>
      </c>
      <c r="C11023">
        <f>IF(VLOOKUP(Table7[[#This Row],[Date]],Database!$A:$C,MATCH($C$1,Database!$A$1:$C$1,),)=0,#N/A,VLOOKUP(Table7[[#This Row],[Date]],Database!$A:$C,MATCH($C$1,Database!$A$1:$C$1,),))</f>
        <v/>
      </c>
      <c r="D11023">
        <f>IFERROR(Table7[[#This Row],[United States 10y]]-Table7[[#This Row],[United States 3y]],#N/A)</f>
        <v/>
      </c>
    </row>
    <row r="11024">
      <c r="A11024" s="6">
        <f>Database!$A13109</f>
        <v/>
      </c>
      <c r="B11024">
        <f>IF(VLOOKUP(Table7[[#This Row],[Date]],Database!$A:$C,MATCH($B$1,Database!$A$1:$C$1,),)=0,#N/A,VLOOKUP(Table7[[#This Row],[Date]],Database!$A:$C,MATCH($B$1,Database!$A$1:$C$1,),))</f>
        <v/>
      </c>
      <c r="C11024">
        <f>IF(VLOOKUP(Table7[[#This Row],[Date]],Database!$A:$C,MATCH($C$1,Database!$A$1:$C$1,),)=0,#N/A,VLOOKUP(Table7[[#This Row],[Date]],Database!$A:$C,MATCH($C$1,Database!$A$1:$C$1,),))</f>
        <v/>
      </c>
      <c r="D11024">
        <f>IFERROR(Table7[[#This Row],[United States 10y]]-Table7[[#This Row],[United States 3y]],#N/A)</f>
        <v/>
      </c>
    </row>
    <row r="11025">
      <c r="A11025" s="6">
        <f>Database!$A13110</f>
        <v/>
      </c>
      <c r="B11025">
        <f>IF(VLOOKUP(Table7[[#This Row],[Date]],Database!$A:$C,MATCH($B$1,Database!$A$1:$C$1,),)=0,#N/A,VLOOKUP(Table7[[#This Row],[Date]],Database!$A:$C,MATCH($B$1,Database!$A$1:$C$1,),))</f>
        <v/>
      </c>
      <c r="C11025">
        <f>IF(VLOOKUP(Table7[[#This Row],[Date]],Database!$A:$C,MATCH($C$1,Database!$A$1:$C$1,),)=0,#N/A,VLOOKUP(Table7[[#This Row],[Date]],Database!$A:$C,MATCH($C$1,Database!$A$1:$C$1,),))</f>
        <v/>
      </c>
      <c r="D11025">
        <f>IFERROR(Table7[[#This Row],[United States 10y]]-Table7[[#This Row],[United States 3y]],#N/A)</f>
        <v/>
      </c>
    </row>
    <row r="11026">
      <c r="A11026" s="6">
        <f>Database!$A13111</f>
        <v/>
      </c>
      <c r="B11026">
        <f>IF(VLOOKUP(Table7[[#This Row],[Date]],Database!$A:$C,MATCH($B$1,Database!$A$1:$C$1,),)=0,#N/A,VLOOKUP(Table7[[#This Row],[Date]],Database!$A:$C,MATCH($B$1,Database!$A$1:$C$1,),))</f>
        <v/>
      </c>
      <c r="C11026">
        <f>IF(VLOOKUP(Table7[[#This Row],[Date]],Database!$A:$C,MATCH($C$1,Database!$A$1:$C$1,),)=0,#N/A,VLOOKUP(Table7[[#This Row],[Date]],Database!$A:$C,MATCH($C$1,Database!$A$1:$C$1,),))</f>
        <v/>
      </c>
      <c r="D11026">
        <f>IFERROR(Table7[[#This Row],[United States 10y]]-Table7[[#This Row],[United States 3y]],#N/A)</f>
        <v/>
      </c>
    </row>
    <row r="11027">
      <c r="A11027" s="6">
        <f>Database!$A13112</f>
        <v/>
      </c>
      <c r="B11027">
        <f>IF(VLOOKUP(Table7[[#This Row],[Date]],Database!$A:$C,MATCH($B$1,Database!$A$1:$C$1,),)=0,#N/A,VLOOKUP(Table7[[#This Row],[Date]],Database!$A:$C,MATCH($B$1,Database!$A$1:$C$1,),))</f>
        <v/>
      </c>
      <c r="C11027">
        <f>IF(VLOOKUP(Table7[[#This Row],[Date]],Database!$A:$C,MATCH($C$1,Database!$A$1:$C$1,),)=0,#N/A,VLOOKUP(Table7[[#This Row],[Date]],Database!$A:$C,MATCH($C$1,Database!$A$1:$C$1,),))</f>
        <v/>
      </c>
      <c r="D11027">
        <f>IFERROR(Table7[[#This Row],[United States 10y]]-Table7[[#This Row],[United States 3y]],#N/A)</f>
        <v/>
      </c>
    </row>
    <row r="11028">
      <c r="A11028" s="6">
        <f>Database!$A13113</f>
        <v/>
      </c>
      <c r="B11028">
        <f>IF(VLOOKUP(Table7[[#This Row],[Date]],Database!$A:$C,MATCH($B$1,Database!$A$1:$C$1,),)=0,#N/A,VLOOKUP(Table7[[#This Row],[Date]],Database!$A:$C,MATCH($B$1,Database!$A$1:$C$1,),))</f>
        <v/>
      </c>
      <c r="C11028">
        <f>IF(VLOOKUP(Table7[[#This Row],[Date]],Database!$A:$C,MATCH($C$1,Database!$A$1:$C$1,),)=0,#N/A,VLOOKUP(Table7[[#This Row],[Date]],Database!$A:$C,MATCH($C$1,Database!$A$1:$C$1,),))</f>
        <v/>
      </c>
      <c r="D11028">
        <f>IFERROR(Table7[[#This Row],[United States 10y]]-Table7[[#This Row],[United States 3y]],#N/A)</f>
        <v/>
      </c>
    </row>
    <row r="11029">
      <c r="A11029" s="6">
        <f>Database!$A13114</f>
        <v/>
      </c>
      <c r="B11029">
        <f>IF(VLOOKUP(Table7[[#This Row],[Date]],Database!$A:$C,MATCH($B$1,Database!$A$1:$C$1,),)=0,#N/A,VLOOKUP(Table7[[#This Row],[Date]],Database!$A:$C,MATCH($B$1,Database!$A$1:$C$1,),))</f>
        <v/>
      </c>
      <c r="C11029">
        <f>IF(VLOOKUP(Table7[[#This Row],[Date]],Database!$A:$C,MATCH($C$1,Database!$A$1:$C$1,),)=0,#N/A,VLOOKUP(Table7[[#This Row],[Date]],Database!$A:$C,MATCH($C$1,Database!$A$1:$C$1,),))</f>
        <v/>
      </c>
      <c r="D11029">
        <f>IFERROR(Table7[[#This Row],[United States 10y]]-Table7[[#This Row],[United States 3y]],#N/A)</f>
        <v/>
      </c>
    </row>
    <row r="11030">
      <c r="A11030" s="6">
        <f>Database!$A13115</f>
        <v/>
      </c>
      <c r="B11030">
        <f>IF(VLOOKUP(Table7[[#This Row],[Date]],Database!$A:$C,MATCH($B$1,Database!$A$1:$C$1,),)=0,#N/A,VLOOKUP(Table7[[#This Row],[Date]],Database!$A:$C,MATCH($B$1,Database!$A$1:$C$1,),))</f>
        <v/>
      </c>
      <c r="C11030">
        <f>IF(VLOOKUP(Table7[[#This Row],[Date]],Database!$A:$C,MATCH($C$1,Database!$A$1:$C$1,),)=0,#N/A,VLOOKUP(Table7[[#This Row],[Date]],Database!$A:$C,MATCH($C$1,Database!$A$1:$C$1,),))</f>
        <v/>
      </c>
      <c r="D11030">
        <f>IFERROR(Table7[[#This Row],[United States 10y]]-Table7[[#This Row],[United States 3y]],#N/A)</f>
        <v/>
      </c>
    </row>
    <row r="11031">
      <c r="A11031" s="6">
        <f>Database!$A13116</f>
        <v/>
      </c>
      <c r="B11031">
        <f>IF(VLOOKUP(Table7[[#This Row],[Date]],Database!$A:$C,MATCH($B$1,Database!$A$1:$C$1,),)=0,#N/A,VLOOKUP(Table7[[#This Row],[Date]],Database!$A:$C,MATCH($B$1,Database!$A$1:$C$1,),))</f>
        <v/>
      </c>
      <c r="C11031">
        <f>IF(VLOOKUP(Table7[[#This Row],[Date]],Database!$A:$C,MATCH($C$1,Database!$A$1:$C$1,),)=0,#N/A,VLOOKUP(Table7[[#This Row],[Date]],Database!$A:$C,MATCH($C$1,Database!$A$1:$C$1,),))</f>
        <v/>
      </c>
      <c r="D11031">
        <f>IFERROR(Table7[[#This Row],[United States 10y]]-Table7[[#This Row],[United States 3y]],#N/A)</f>
        <v/>
      </c>
    </row>
    <row r="11032">
      <c r="A11032" s="6">
        <f>Database!$A13117</f>
        <v/>
      </c>
      <c r="B11032">
        <f>IF(VLOOKUP(Table7[[#This Row],[Date]],Database!$A:$C,MATCH($B$1,Database!$A$1:$C$1,),)=0,#N/A,VLOOKUP(Table7[[#This Row],[Date]],Database!$A:$C,MATCH($B$1,Database!$A$1:$C$1,),))</f>
        <v/>
      </c>
      <c r="C11032">
        <f>IF(VLOOKUP(Table7[[#This Row],[Date]],Database!$A:$C,MATCH($C$1,Database!$A$1:$C$1,),)=0,#N/A,VLOOKUP(Table7[[#This Row],[Date]],Database!$A:$C,MATCH($C$1,Database!$A$1:$C$1,),))</f>
        <v/>
      </c>
      <c r="D11032">
        <f>IFERROR(Table7[[#This Row],[United States 10y]]-Table7[[#This Row],[United States 3y]],#N/A)</f>
        <v/>
      </c>
    </row>
    <row r="11033">
      <c r="A11033" s="6">
        <f>Database!$A13118</f>
        <v/>
      </c>
      <c r="B11033">
        <f>IF(VLOOKUP(Table7[[#This Row],[Date]],Database!$A:$C,MATCH($B$1,Database!$A$1:$C$1,),)=0,#N/A,VLOOKUP(Table7[[#This Row],[Date]],Database!$A:$C,MATCH($B$1,Database!$A$1:$C$1,),))</f>
        <v/>
      </c>
      <c r="C11033">
        <f>IF(VLOOKUP(Table7[[#This Row],[Date]],Database!$A:$C,MATCH($C$1,Database!$A$1:$C$1,),)=0,#N/A,VLOOKUP(Table7[[#This Row],[Date]],Database!$A:$C,MATCH($C$1,Database!$A$1:$C$1,),))</f>
        <v/>
      </c>
      <c r="D11033">
        <f>IFERROR(Table7[[#This Row],[United States 10y]]-Table7[[#This Row],[United States 3y]],#N/A)</f>
        <v/>
      </c>
    </row>
    <row r="11034">
      <c r="A11034" s="6">
        <f>Database!$A13119</f>
        <v/>
      </c>
      <c r="B11034">
        <f>IF(VLOOKUP(Table7[[#This Row],[Date]],Database!$A:$C,MATCH($B$1,Database!$A$1:$C$1,),)=0,#N/A,VLOOKUP(Table7[[#This Row],[Date]],Database!$A:$C,MATCH($B$1,Database!$A$1:$C$1,),))</f>
        <v/>
      </c>
      <c r="C11034">
        <f>IF(VLOOKUP(Table7[[#This Row],[Date]],Database!$A:$C,MATCH($C$1,Database!$A$1:$C$1,),)=0,#N/A,VLOOKUP(Table7[[#This Row],[Date]],Database!$A:$C,MATCH($C$1,Database!$A$1:$C$1,),))</f>
        <v/>
      </c>
      <c r="D11034">
        <f>IFERROR(Table7[[#This Row],[United States 10y]]-Table7[[#This Row],[United States 3y]],#N/A)</f>
        <v/>
      </c>
    </row>
    <row r="11035">
      <c r="A11035" s="6">
        <f>Database!$A13120</f>
        <v/>
      </c>
      <c r="B11035">
        <f>IF(VLOOKUP(Table7[[#This Row],[Date]],Database!$A:$C,MATCH($B$1,Database!$A$1:$C$1,),)=0,#N/A,VLOOKUP(Table7[[#This Row],[Date]],Database!$A:$C,MATCH($B$1,Database!$A$1:$C$1,),))</f>
        <v/>
      </c>
      <c r="C11035">
        <f>IF(VLOOKUP(Table7[[#This Row],[Date]],Database!$A:$C,MATCH($C$1,Database!$A$1:$C$1,),)=0,#N/A,VLOOKUP(Table7[[#This Row],[Date]],Database!$A:$C,MATCH($C$1,Database!$A$1:$C$1,),))</f>
        <v/>
      </c>
      <c r="D11035">
        <f>IFERROR(Table7[[#This Row],[United States 10y]]-Table7[[#This Row],[United States 3y]],#N/A)</f>
        <v/>
      </c>
    </row>
    <row r="11036">
      <c r="A11036" s="6">
        <f>Database!$A13121</f>
        <v/>
      </c>
      <c r="B11036">
        <f>IF(VLOOKUP(Table7[[#This Row],[Date]],Database!$A:$C,MATCH($B$1,Database!$A$1:$C$1,),)=0,#N/A,VLOOKUP(Table7[[#This Row],[Date]],Database!$A:$C,MATCH($B$1,Database!$A$1:$C$1,),))</f>
        <v/>
      </c>
      <c r="C11036">
        <f>IF(VLOOKUP(Table7[[#This Row],[Date]],Database!$A:$C,MATCH($C$1,Database!$A$1:$C$1,),)=0,#N/A,VLOOKUP(Table7[[#This Row],[Date]],Database!$A:$C,MATCH($C$1,Database!$A$1:$C$1,),))</f>
        <v/>
      </c>
      <c r="D11036">
        <f>IFERROR(Table7[[#This Row],[United States 10y]]-Table7[[#This Row],[United States 3y]],#N/A)</f>
        <v/>
      </c>
    </row>
    <row r="11037">
      <c r="A11037" s="6">
        <f>Database!$A13122</f>
        <v/>
      </c>
      <c r="B11037">
        <f>IF(VLOOKUP(Table7[[#This Row],[Date]],Database!$A:$C,MATCH($B$1,Database!$A$1:$C$1,),)=0,#N/A,VLOOKUP(Table7[[#This Row],[Date]],Database!$A:$C,MATCH($B$1,Database!$A$1:$C$1,),))</f>
        <v/>
      </c>
      <c r="C11037">
        <f>IF(VLOOKUP(Table7[[#This Row],[Date]],Database!$A:$C,MATCH($C$1,Database!$A$1:$C$1,),)=0,#N/A,VLOOKUP(Table7[[#This Row],[Date]],Database!$A:$C,MATCH($C$1,Database!$A$1:$C$1,),))</f>
        <v/>
      </c>
      <c r="D11037">
        <f>IFERROR(Table7[[#This Row],[United States 10y]]-Table7[[#This Row],[United States 3y]],#N/A)</f>
        <v/>
      </c>
    </row>
    <row r="11038">
      <c r="A11038" s="6">
        <f>Database!$A13123</f>
        <v/>
      </c>
      <c r="B11038">
        <f>IF(VLOOKUP(Table7[[#This Row],[Date]],Database!$A:$C,MATCH($B$1,Database!$A$1:$C$1,),)=0,#N/A,VLOOKUP(Table7[[#This Row],[Date]],Database!$A:$C,MATCH($B$1,Database!$A$1:$C$1,),))</f>
        <v/>
      </c>
      <c r="C11038">
        <f>IF(VLOOKUP(Table7[[#This Row],[Date]],Database!$A:$C,MATCH($C$1,Database!$A$1:$C$1,),)=0,#N/A,VLOOKUP(Table7[[#This Row],[Date]],Database!$A:$C,MATCH($C$1,Database!$A$1:$C$1,),))</f>
        <v/>
      </c>
      <c r="D11038">
        <f>IFERROR(Table7[[#This Row],[United States 10y]]-Table7[[#This Row],[United States 3y]],#N/A)</f>
        <v/>
      </c>
    </row>
    <row r="11039">
      <c r="A11039" s="6">
        <f>Database!$A13124</f>
        <v/>
      </c>
      <c r="B11039">
        <f>IF(VLOOKUP(Table7[[#This Row],[Date]],Database!$A:$C,MATCH($B$1,Database!$A$1:$C$1,),)=0,#N/A,VLOOKUP(Table7[[#This Row],[Date]],Database!$A:$C,MATCH($B$1,Database!$A$1:$C$1,),))</f>
        <v/>
      </c>
      <c r="C11039">
        <f>IF(VLOOKUP(Table7[[#This Row],[Date]],Database!$A:$C,MATCH($C$1,Database!$A$1:$C$1,),)=0,#N/A,VLOOKUP(Table7[[#This Row],[Date]],Database!$A:$C,MATCH($C$1,Database!$A$1:$C$1,),))</f>
        <v/>
      </c>
      <c r="D11039">
        <f>IFERROR(Table7[[#This Row],[United States 10y]]-Table7[[#This Row],[United States 3y]],#N/A)</f>
        <v/>
      </c>
    </row>
    <row r="11040">
      <c r="A11040" s="6">
        <f>Database!$A13125</f>
        <v/>
      </c>
      <c r="B11040">
        <f>IF(VLOOKUP(Table7[[#This Row],[Date]],Database!$A:$C,MATCH($B$1,Database!$A$1:$C$1,),)=0,#N/A,VLOOKUP(Table7[[#This Row],[Date]],Database!$A:$C,MATCH($B$1,Database!$A$1:$C$1,),))</f>
        <v/>
      </c>
      <c r="C11040">
        <f>IF(VLOOKUP(Table7[[#This Row],[Date]],Database!$A:$C,MATCH($C$1,Database!$A$1:$C$1,),)=0,#N/A,VLOOKUP(Table7[[#This Row],[Date]],Database!$A:$C,MATCH($C$1,Database!$A$1:$C$1,),))</f>
        <v/>
      </c>
      <c r="D11040">
        <f>IFERROR(Table7[[#This Row],[United States 10y]]-Table7[[#This Row],[United States 3y]],#N/A)</f>
        <v/>
      </c>
    </row>
    <row r="11041">
      <c r="A11041" s="6">
        <f>Database!$A13126</f>
        <v/>
      </c>
      <c r="B11041">
        <f>IF(VLOOKUP(Table7[[#This Row],[Date]],Database!$A:$C,MATCH($B$1,Database!$A$1:$C$1,),)=0,#N/A,VLOOKUP(Table7[[#This Row],[Date]],Database!$A:$C,MATCH($B$1,Database!$A$1:$C$1,),))</f>
        <v/>
      </c>
      <c r="C11041">
        <f>IF(VLOOKUP(Table7[[#This Row],[Date]],Database!$A:$C,MATCH($C$1,Database!$A$1:$C$1,),)=0,#N/A,VLOOKUP(Table7[[#This Row],[Date]],Database!$A:$C,MATCH($C$1,Database!$A$1:$C$1,),))</f>
        <v/>
      </c>
      <c r="D11041">
        <f>IFERROR(Table7[[#This Row],[United States 10y]]-Table7[[#This Row],[United States 3y]],#N/A)</f>
        <v/>
      </c>
    </row>
    <row r="11042">
      <c r="A11042" s="6">
        <f>Database!$A13127</f>
        <v/>
      </c>
      <c r="B11042">
        <f>IF(VLOOKUP(Table7[[#This Row],[Date]],Database!$A:$C,MATCH($B$1,Database!$A$1:$C$1,),)=0,#N/A,VLOOKUP(Table7[[#This Row],[Date]],Database!$A:$C,MATCH($B$1,Database!$A$1:$C$1,),))</f>
        <v/>
      </c>
      <c r="C11042">
        <f>IF(VLOOKUP(Table7[[#This Row],[Date]],Database!$A:$C,MATCH($C$1,Database!$A$1:$C$1,),)=0,#N/A,VLOOKUP(Table7[[#This Row],[Date]],Database!$A:$C,MATCH($C$1,Database!$A$1:$C$1,),))</f>
        <v/>
      </c>
      <c r="D11042">
        <f>IFERROR(Table7[[#This Row],[United States 10y]]-Table7[[#This Row],[United States 3y]],#N/A)</f>
        <v/>
      </c>
    </row>
    <row r="11043">
      <c r="A11043" s="6">
        <f>Database!$A13128</f>
        <v/>
      </c>
      <c r="B11043">
        <f>IF(VLOOKUP(Table7[[#This Row],[Date]],Database!$A:$C,MATCH($B$1,Database!$A$1:$C$1,),)=0,#N/A,VLOOKUP(Table7[[#This Row],[Date]],Database!$A:$C,MATCH($B$1,Database!$A$1:$C$1,),))</f>
        <v/>
      </c>
      <c r="C11043">
        <f>IF(VLOOKUP(Table7[[#This Row],[Date]],Database!$A:$C,MATCH($C$1,Database!$A$1:$C$1,),)=0,#N/A,VLOOKUP(Table7[[#This Row],[Date]],Database!$A:$C,MATCH($C$1,Database!$A$1:$C$1,),))</f>
        <v/>
      </c>
      <c r="D11043">
        <f>IFERROR(Table7[[#This Row],[United States 10y]]-Table7[[#This Row],[United States 3y]],#N/A)</f>
        <v/>
      </c>
    </row>
    <row r="11044">
      <c r="A11044" s="6">
        <f>Database!$A13129</f>
        <v/>
      </c>
      <c r="B11044">
        <f>IF(VLOOKUP(Table7[[#This Row],[Date]],Database!$A:$C,MATCH($B$1,Database!$A$1:$C$1,),)=0,#N/A,VLOOKUP(Table7[[#This Row],[Date]],Database!$A:$C,MATCH($B$1,Database!$A$1:$C$1,),))</f>
        <v/>
      </c>
      <c r="C11044">
        <f>IF(VLOOKUP(Table7[[#This Row],[Date]],Database!$A:$C,MATCH($C$1,Database!$A$1:$C$1,),)=0,#N/A,VLOOKUP(Table7[[#This Row],[Date]],Database!$A:$C,MATCH($C$1,Database!$A$1:$C$1,),))</f>
        <v/>
      </c>
      <c r="D11044">
        <f>IFERROR(Table7[[#This Row],[United States 10y]]-Table7[[#This Row],[United States 3y]],#N/A)</f>
        <v/>
      </c>
    </row>
    <row r="11045">
      <c r="A11045" s="6">
        <f>Database!$A13130</f>
        <v/>
      </c>
      <c r="B11045">
        <f>IF(VLOOKUP(Table7[[#This Row],[Date]],Database!$A:$C,MATCH($B$1,Database!$A$1:$C$1,),)=0,#N/A,VLOOKUP(Table7[[#This Row],[Date]],Database!$A:$C,MATCH($B$1,Database!$A$1:$C$1,),))</f>
        <v/>
      </c>
      <c r="C11045">
        <f>IF(VLOOKUP(Table7[[#This Row],[Date]],Database!$A:$C,MATCH($C$1,Database!$A$1:$C$1,),)=0,#N/A,VLOOKUP(Table7[[#This Row],[Date]],Database!$A:$C,MATCH($C$1,Database!$A$1:$C$1,),))</f>
        <v/>
      </c>
      <c r="D11045">
        <f>IFERROR(Table7[[#This Row],[United States 10y]]-Table7[[#This Row],[United States 3y]],#N/A)</f>
        <v/>
      </c>
    </row>
    <row r="11046">
      <c r="A11046" s="6">
        <f>Database!$A13131</f>
        <v/>
      </c>
      <c r="B11046">
        <f>IF(VLOOKUP(Table7[[#This Row],[Date]],Database!$A:$C,MATCH($B$1,Database!$A$1:$C$1,),)=0,#N/A,VLOOKUP(Table7[[#This Row],[Date]],Database!$A:$C,MATCH($B$1,Database!$A$1:$C$1,),))</f>
        <v/>
      </c>
      <c r="C11046">
        <f>IF(VLOOKUP(Table7[[#This Row],[Date]],Database!$A:$C,MATCH($C$1,Database!$A$1:$C$1,),)=0,#N/A,VLOOKUP(Table7[[#This Row],[Date]],Database!$A:$C,MATCH($C$1,Database!$A$1:$C$1,),))</f>
        <v/>
      </c>
      <c r="D11046">
        <f>IFERROR(Table7[[#This Row],[United States 10y]]-Table7[[#This Row],[United States 3y]],#N/A)</f>
        <v/>
      </c>
    </row>
    <row r="11047">
      <c r="A11047" s="6">
        <f>Database!$A13132</f>
        <v/>
      </c>
      <c r="B11047">
        <f>IF(VLOOKUP(Table7[[#This Row],[Date]],Database!$A:$C,MATCH($B$1,Database!$A$1:$C$1,),)=0,#N/A,VLOOKUP(Table7[[#This Row],[Date]],Database!$A:$C,MATCH($B$1,Database!$A$1:$C$1,),))</f>
        <v/>
      </c>
      <c r="C11047">
        <f>IF(VLOOKUP(Table7[[#This Row],[Date]],Database!$A:$C,MATCH($C$1,Database!$A$1:$C$1,),)=0,#N/A,VLOOKUP(Table7[[#This Row],[Date]],Database!$A:$C,MATCH($C$1,Database!$A$1:$C$1,),))</f>
        <v/>
      </c>
      <c r="D11047">
        <f>IFERROR(Table7[[#This Row],[United States 10y]]-Table7[[#This Row],[United States 3y]],#N/A)</f>
        <v/>
      </c>
    </row>
    <row r="11048">
      <c r="A11048" s="6">
        <f>Database!$A13133</f>
        <v/>
      </c>
      <c r="B11048">
        <f>IF(VLOOKUP(Table7[[#This Row],[Date]],Database!$A:$C,MATCH($B$1,Database!$A$1:$C$1,),)=0,#N/A,VLOOKUP(Table7[[#This Row],[Date]],Database!$A:$C,MATCH($B$1,Database!$A$1:$C$1,),))</f>
        <v/>
      </c>
      <c r="C11048">
        <f>IF(VLOOKUP(Table7[[#This Row],[Date]],Database!$A:$C,MATCH($C$1,Database!$A$1:$C$1,),)=0,#N/A,VLOOKUP(Table7[[#This Row],[Date]],Database!$A:$C,MATCH($C$1,Database!$A$1:$C$1,),))</f>
        <v/>
      </c>
      <c r="D11048">
        <f>IFERROR(Table7[[#This Row],[United States 10y]]-Table7[[#This Row],[United States 3y]],#N/A)</f>
        <v/>
      </c>
    </row>
    <row r="11049">
      <c r="A11049" s="6">
        <f>Database!$A13134</f>
        <v/>
      </c>
      <c r="B11049">
        <f>IF(VLOOKUP(Table7[[#This Row],[Date]],Database!$A:$C,MATCH($B$1,Database!$A$1:$C$1,),)=0,#N/A,VLOOKUP(Table7[[#This Row],[Date]],Database!$A:$C,MATCH($B$1,Database!$A$1:$C$1,),))</f>
        <v/>
      </c>
      <c r="C11049">
        <f>IF(VLOOKUP(Table7[[#This Row],[Date]],Database!$A:$C,MATCH($C$1,Database!$A$1:$C$1,),)=0,#N/A,VLOOKUP(Table7[[#This Row],[Date]],Database!$A:$C,MATCH($C$1,Database!$A$1:$C$1,),))</f>
        <v/>
      </c>
      <c r="D11049">
        <f>IFERROR(Table7[[#This Row],[United States 10y]]-Table7[[#This Row],[United States 3y]],#N/A)</f>
        <v/>
      </c>
    </row>
    <row r="11050">
      <c r="A11050" s="6">
        <f>Database!$A13135</f>
        <v/>
      </c>
      <c r="B11050">
        <f>IF(VLOOKUP(Table7[[#This Row],[Date]],Database!$A:$C,MATCH($B$1,Database!$A$1:$C$1,),)=0,#N/A,VLOOKUP(Table7[[#This Row],[Date]],Database!$A:$C,MATCH($B$1,Database!$A$1:$C$1,),))</f>
        <v/>
      </c>
      <c r="C11050">
        <f>IF(VLOOKUP(Table7[[#This Row],[Date]],Database!$A:$C,MATCH($C$1,Database!$A$1:$C$1,),)=0,#N/A,VLOOKUP(Table7[[#This Row],[Date]],Database!$A:$C,MATCH($C$1,Database!$A$1:$C$1,),))</f>
        <v/>
      </c>
      <c r="D11050">
        <f>IFERROR(Table7[[#This Row],[United States 10y]]-Table7[[#This Row],[United States 3y]],#N/A)</f>
        <v/>
      </c>
    </row>
    <row r="11051">
      <c r="A11051" s="6">
        <f>Database!$A13136</f>
        <v/>
      </c>
      <c r="B11051">
        <f>IF(VLOOKUP(Table7[[#This Row],[Date]],Database!$A:$C,MATCH($B$1,Database!$A$1:$C$1,),)=0,#N/A,VLOOKUP(Table7[[#This Row],[Date]],Database!$A:$C,MATCH($B$1,Database!$A$1:$C$1,),))</f>
        <v/>
      </c>
      <c r="C11051">
        <f>IF(VLOOKUP(Table7[[#This Row],[Date]],Database!$A:$C,MATCH($C$1,Database!$A$1:$C$1,),)=0,#N/A,VLOOKUP(Table7[[#This Row],[Date]],Database!$A:$C,MATCH($C$1,Database!$A$1:$C$1,),))</f>
        <v/>
      </c>
      <c r="D11051">
        <f>IFERROR(Table7[[#This Row],[United States 10y]]-Table7[[#This Row],[United States 3y]],#N/A)</f>
        <v/>
      </c>
    </row>
    <row r="11052">
      <c r="A11052" s="6">
        <f>Database!$A13137</f>
        <v/>
      </c>
      <c r="B11052">
        <f>IF(VLOOKUP(Table7[[#This Row],[Date]],Database!$A:$C,MATCH($B$1,Database!$A$1:$C$1,),)=0,#N/A,VLOOKUP(Table7[[#This Row],[Date]],Database!$A:$C,MATCH($B$1,Database!$A$1:$C$1,),))</f>
        <v/>
      </c>
      <c r="C11052">
        <f>IF(VLOOKUP(Table7[[#This Row],[Date]],Database!$A:$C,MATCH($C$1,Database!$A$1:$C$1,),)=0,#N/A,VLOOKUP(Table7[[#This Row],[Date]],Database!$A:$C,MATCH($C$1,Database!$A$1:$C$1,),))</f>
        <v/>
      </c>
      <c r="D11052">
        <f>IFERROR(Table7[[#This Row],[United States 10y]]-Table7[[#This Row],[United States 3y]],#N/A)</f>
        <v/>
      </c>
    </row>
    <row r="11053">
      <c r="A11053" s="6">
        <f>Database!$A13138</f>
        <v/>
      </c>
      <c r="B11053">
        <f>IF(VLOOKUP(Table7[[#This Row],[Date]],Database!$A:$C,MATCH($B$1,Database!$A$1:$C$1,),)=0,#N/A,VLOOKUP(Table7[[#This Row],[Date]],Database!$A:$C,MATCH($B$1,Database!$A$1:$C$1,),))</f>
        <v/>
      </c>
      <c r="C11053">
        <f>IF(VLOOKUP(Table7[[#This Row],[Date]],Database!$A:$C,MATCH($C$1,Database!$A$1:$C$1,),)=0,#N/A,VLOOKUP(Table7[[#This Row],[Date]],Database!$A:$C,MATCH($C$1,Database!$A$1:$C$1,),))</f>
        <v/>
      </c>
      <c r="D11053">
        <f>IFERROR(Table7[[#This Row],[United States 10y]]-Table7[[#This Row],[United States 3y]],#N/A)</f>
        <v/>
      </c>
    </row>
    <row r="11054">
      <c r="A11054" s="6">
        <f>Database!$A13139</f>
        <v/>
      </c>
      <c r="B11054">
        <f>IF(VLOOKUP(Table7[[#This Row],[Date]],Database!$A:$C,MATCH($B$1,Database!$A$1:$C$1,),)=0,#N/A,VLOOKUP(Table7[[#This Row],[Date]],Database!$A:$C,MATCH($B$1,Database!$A$1:$C$1,),))</f>
        <v/>
      </c>
      <c r="C11054">
        <f>IF(VLOOKUP(Table7[[#This Row],[Date]],Database!$A:$C,MATCH($C$1,Database!$A$1:$C$1,),)=0,#N/A,VLOOKUP(Table7[[#This Row],[Date]],Database!$A:$C,MATCH($C$1,Database!$A$1:$C$1,),))</f>
        <v/>
      </c>
      <c r="D11054">
        <f>IFERROR(Table7[[#This Row],[United States 10y]]-Table7[[#This Row],[United States 3y]],#N/A)</f>
        <v/>
      </c>
    </row>
    <row r="11055">
      <c r="A11055" s="6">
        <f>Database!$A13140</f>
        <v/>
      </c>
      <c r="B11055">
        <f>IF(VLOOKUP(Table7[[#This Row],[Date]],Database!$A:$C,MATCH($B$1,Database!$A$1:$C$1,),)=0,#N/A,VLOOKUP(Table7[[#This Row],[Date]],Database!$A:$C,MATCH($B$1,Database!$A$1:$C$1,),))</f>
        <v/>
      </c>
      <c r="C11055">
        <f>IF(VLOOKUP(Table7[[#This Row],[Date]],Database!$A:$C,MATCH($C$1,Database!$A$1:$C$1,),)=0,#N/A,VLOOKUP(Table7[[#This Row],[Date]],Database!$A:$C,MATCH($C$1,Database!$A$1:$C$1,),))</f>
        <v/>
      </c>
      <c r="D11055">
        <f>IFERROR(Table7[[#This Row],[United States 10y]]-Table7[[#This Row],[United States 3y]],#N/A)</f>
        <v/>
      </c>
    </row>
    <row r="11056">
      <c r="A11056" s="6">
        <f>Database!$A13141</f>
        <v/>
      </c>
      <c r="B11056">
        <f>IF(VLOOKUP(Table7[[#This Row],[Date]],Database!$A:$C,MATCH($B$1,Database!$A$1:$C$1,),)=0,#N/A,VLOOKUP(Table7[[#This Row],[Date]],Database!$A:$C,MATCH($B$1,Database!$A$1:$C$1,),))</f>
        <v/>
      </c>
      <c r="C11056">
        <f>IF(VLOOKUP(Table7[[#This Row],[Date]],Database!$A:$C,MATCH($C$1,Database!$A$1:$C$1,),)=0,#N/A,VLOOKUP(Table7[[#This Row],[Date]],Database!$A:$C,MATCH($C$1,Database!$A$1:$C$1,),))</f>
        <v/>
      </c>
      <c r="D11056">
        <f>IFERROR(Table7[[#This Row],[United States 10y]]-Table7[[#This Row],[United States 3y]],#N/A)</f>
        <v/>
      </c>
    </row>
    <row r="11057">
      <c r="A11057" s="6">
        <f>Database!$A13142</f>
        <v/>
      </c>
      <c r="B11057">
        <f>IF(VLOOKUP(Table7[[#This Row],[Date]],Database!$A:$C,MATCH($B$1,Database!$A$1:$C$1,),)=0,#N/A,VLOOKUP(Table7[[#This Row],[Date]],Database!$A:$C,MATCH($B$1,Database!$A$1:$C$1,),))</f>
        <v/>
      </c>
      <c r="C11057">
        <f>IF(VLOOKUP(Table7[[#This Row],[Date]],Database!$A:$C,MATCH($C$1,Database!$A$1:$C$1,),)=0,#N/A,VLOOKUP(Table7[[#This Row],[Date]],Database!$A:$C,MATCH($C$1,Database!$A$1:$C$1,),))</f>
        <v/>
      </c>
      <c r="D11057">
        <f>IFERROR(Table7[[#This Row],[United States 10y]]-Table7[[#This Row],[United States 3y]],#N/A)</f>
        <v/>
      </c>
    </row>
    <row r="11058">
      <c r="A11058" s="6">
        <f>Database!$A13143</f>
        <v/>
      </c>
      <c r="B11058">
        <f>IF(VLOOKUP(Table7[[#This Row],[Date]],Database!$A:$C,MATCH($B$1,Database!$A$1:$C$1,),)=0,#N/A,VLOOKUP(Table7[[#This Row],[Date]],Database!$A:$C,MATCH($B$1,Database!$A$1:$C$1,),))</f>
        <v/>
      </c>
      <c r="C11058">
        <f>IF(VLOOKUP(Table7[[#This Row],[Date]],Database!$A:$C,MATCH($C$1,Database!$A$1:$C$1,),)=0,#N/A,VLOOKUP(Table7[[#This Row],[Date]],Database!$A:$C,MATCH($C$1,Database!$A$1:$C$1,),))</f>
        <v/>
      </c>
      <c r="D11058">
        <f>IFERROR(Table7[[#This Row],[United States 10y]]-Table7[[#This Row],[United States 3y]],#N/A)</f>
        <v/>
      </c>
    </row>
    <row r="11059">
      <c r="A11059" s="6">
        <f>Database!$A13144</f>
        <v/>
      </c>
      <c r="B11059">
        <f>IF(VLOOKUP(Table7[[#This Row],[Date]],Database!$A:$C,MATCH($B$1,Database!$A$1:$C$1,),)=0,#N/A,VLOOKUP(Table7[[#This Row],[Date]],Database!$A:$C,MATCH($B$1,Database!$A$1:$C$1,),))</f>
        <v/>
      </c>
      <c r="C11059">
        <f>IF(VLOOKUP(Table7[[#This Row],[Date]],Database!$A:$C,MATCH($C$1,Database!$A$1:$C$1,),)=0,#N/A,VLOOKUP(Table7[[#This Row],[Date]],Database!$A:$C,MATCH($C$1,Database!$A$1:$C$1,),))</f>
        <v/>
      </c>
      <c r="D11059">
        <f>IFERROR(Table7[[#This Row],[United States 10y]]-Table7[[#This Row],[United States 3y]],#N/A)</f>
        <v/>
      </c>
    </row>
    <row r="11060">
      <c r="A11060" s="6">
        <f>Database!$A13145</f>
        <v/>
      </c>
      <c r="B11060">
        <f>IF(VLOOKUP(Table7[[#This Row],[Date]],Database!$A:$C,MATCH($B$1,Database!$A$1:$C$1,),)=0,#N/A,VLOOKUP(Table7[[#This Row],[Date]],Database!$A:$C,MATCH($B$1,Database!$A$1:$C$1,),))</f>
        <v/>
      </c>
      <c r="C11060">
        <f>IF(VLOOKUP(Table7[[#This Row],[Date]],Database!$A:$C,MATCH($C$1,Database!$A$1:$C$1,),)=0,#N/A,VLOOKUP(Table7[[#This Row],[Date]],Database!$A:$C,MATCH($C$1,Database!$A$1:$C$1,),))</f>
        <v/>
      </c>
      <c r="D11060">
        <f>IFERROR(Table7[[#This Row],[United States 10y]]-Table7[[#This Row],[United States 3y]],#N/A)</f>
        <v/>
      </c>
    </row>
    <row r="11061">
      <c r="A11061" s="6">
        <f>Database!$A13146</f>
        <v/>
      </c>
      <c r="B11061">
        <f>IF(VLOOKUP(Table7[[#This Row],[Date]],Database!$A:$C,MATCH($B$1,Database!$A$1:$C$1,),)=0,#N/A,VLOOKUP(Table7[[#This Row],[Date]],Database!$A:$C,MATCH($B$1,Database!$A$1:$C$1,),))</f>
        <v/>
      </c>
      <c r="C11061">
        <f>IF(VLOOKUP(Table7[[#This Row],[Date]],Database!$A:$C,MATCH($C$1,Database!$A$1:$C$1,),)=0,#N/A,VLOOKUP(Table7[[#This Row],[Date]],Database!$A:$C,MATCH($C$1,Database!$A$1:$C$1,),))</f>
        <v/>
      </c>
      <c r="D11061">
        <f>IFERROR(Table7[[#This Row],[United States 10y]]-Table7[[#This Row],[United States 3y]],#N/A)</f>
        <v/>
      </c>
    </row>
    <row r="11062">
      <c r="A11062" s="6">
        <f>Database!$A13147</f>
        <v/>
      </c>
      <c r="B11062">
        <f>IF(VLOOKUP(Table7[[#This Row],[Date]],Database!$A:$C,MATCH($B$1,Database!$A$1:$C$1,),)=0,#N/A,VLOOKUP(Table7[[#This Row],[Date]],Database!$A:$C,MATCH($B$1,Database!$A$1:$C$1,),))</f>
        <v/>
      </c>
      <c r="C11062">
        <f>IF(VLOOKUP(Table7[[#This Row],[Date]],Database!$A:$C,MATCH($C$1,Database!$A$1:$C$1,),)=0,#N/A,VLOOKUP(Table7[[#This Row],[Date]],Database!$A:$C,MATCH($C$1,Database!$A$1:$C$1,),))</f>
        <v/>
      </c>
      <c r="D11062">
        <f>IFERROR(Table7[[#This Row],[United States 10y]]-Table7[[#This Row],[United States 3y]],#N/A)</f>
        <v/>
      </c>
    </row>
    <row r="11063">
      <c r="A11063" s="6">
        <f>Database!$A13148</f>
        <v/>
      </c>
      <c r="B11063">
        <f>IF(VLOOKUP(Table7[[#This Row],[Date]],Database!$A:$C,MATCH($B$1,Database!$A$1:$C$1,),)=0,#N/A,VLOOKUP(Table7[[#This Row],[Date]],Database!$A:$C,MATCH($B$1,Database!$A$1:$C$1,),))</f>
        <v/>
      </c>
      <c r="C11063">
        <f>IF(VLOOKUP(Table7[[#This Row],[Date]],Database!$A:$C,MATCH($C$1,Database!$A$1:$C$1,),)=0,#N/A,VLOOKUP(Table7[[#This Row],[Date]],Database!$A:$C,MATCH($C$1,Database!$A$1:$C$1,),))</f>
        <v/>
      </c>
      <c r="D11063">
        <f>IFERROR(Table7[[#This Row],[United States 10y]]-Table7[[#This Row],[United States 3y]],#N/A)</f>
        <v/>
      </c>
    </row>
    <row r="11064">
      <c r="A11064" s="6">
        <f>Database!$A13149</f>
        <v/>
      </c>
      <c r="B11064">
        <f>IF(VLOOKUP(Table7[[#This Row],[Date]],Database!$A:$C,MATCH($B$1,Database!$A$1:$C$1,),)=0,#N/A,VLOOKUP(Table7[[#This Row],[Date]],Database!$A:$C,MATCH($B$1,Database!$A$1:$C$1,),))</f>
        <v/>
      </c>
      <c r="C11064">
        <f>IF(VLOOKUP(Table7[[#This Row],[Date]],Database!$A:$C,MATCH($C$1,Database!$A$1:$C$1,),)=0,#N/A,VLOOKUP(Table7[[#This Row],[Date]],Database!$A:$C,MATCH($C$1,Database!$A$1:$C$1,),))</f>
        <v/>
      </c>
      <c r="D11064">
        <f>IFERROR(Table7[[#This Row],[United States 10y]]-Table7[[#This Row],[United States 3y]],#N/A)</f>
        <v/>
      </c>
    </row>
    <row r="11065">
      <c r="A11065" s="6">
        <f>Database!$A13150</f>
        <v/>
      </c>
      <c r="B11065">
        <f>IF(VLOOKUP(Table7[[#This Row],[Date]],Database!$A:$C,MATCH($B$1,Database!$A$1:$C$1,),)=0,#N/A,VLOOKUP(Table7[[#This Row],[Date]],Database!$A:$C,MATCH($B$1,Database!$A$1:$C$1,),))</f>
        <v/>
      </c>
      <c r="C11065">
        <f>IF(VLOOKUP(Table7[[#This Row],[Date]],Database!$A:$C,MATCH($C$1,Database!$A$1:$C$1,),)=0,#N/A,VLOOKUP(Table7[[#This Row],[Date]],Database!$A:$C,MATCH($C$1,Database!$A$1:$C$1,),))</f>
        <v/>
      </c>
      <c r="D11065">
        <f>IFERROR(Table7[[#This Row],[United States 10y]]-Table7[[#This Row],[United States 3y]],#N/A)</f>
        <v/>
      </c>
    </row>
    <row r="11066">
      <c r="A11066" s="6">
        <f>Database!$A13151</f>
        <v/>
      </c>
      <c r="B11066">
        <f>IF(VLOOKUP(Table7[[#This Row],[Date]],Database!$A:$C,MATCH($B$1,Database!$A$1:$C$1,),)=0,#N/A,VLOOKUP(Table7[[#This Row],[Date]],Database!$A:$C,MATCH($B$1,Database!$A$1:$C$1,),))</f>
        <v/>
      </c>
      <c r="C11066">
        <f>IF(VLOOKUP(Table7[[#This Row],[Date]],Database!$A:$C,MATCH($C$1,Database!$A$1:$C$1,),)=0,#N/A,VLOOKUP(Table7[[#This Row],[Date]],Database!$A:$C,MATCH($C$1,Database!$A$1:$C$1,),))</f>
        <v/>
      </c>
      <c r="D11066">
        <f>IFERROR(Table7[[#This Row],[United States 10y]]-Table7[[#This Row],[United States 3y]],#N/A)</f>
        <v/>
      </c>
    </row>
    <row r="11067">
      <c r="A11067" s="6">
        <f>Database!$A13152</f>
        <v/>
      </c>
      <c r="B11067">
        <f>IF(VLOOKUP(Table7[[#This Row],[Date]],Database!$A:$C,MATCH($B$1,Database!$A$1:$C$1,),)=0,#N/A,VLOOKUP(Table7[[#This Row],[Date]],Database!$A:$C,MATCH($B$1,Database!$A$1:$C$1,),))</f>
        <v/>
      </c>
      <c r="C11067">
        <f>IF(VLOOKUP(Table7[[#This Row],[Date]],Database!$A:$C,MATCH($C$1,Database!$A$1:$C$1,),)=0,#N/A,VLOOKUP(Table7[[#This Row],[Date]],Database!$A:$C,MATCH($C$1,Database!$A$1:$C$1,),))</f>
        <v/>
      </c>
      <c r="D11067">
        <f>IFERROR(Table7[[#This Row],[United States 10y]]-Table7[[#This Row],[United States 3y]],#N/A)</f>
        <v/>
      </c>
    </row>
    <row r="11068">
      <c r="A11068" s="6">
        <f>Database!$A13153</f>
        <v/>
      </c>
      <c r="B11068">
        <f>IF(VLOOKUP(Table7[[#This Row],[Date]],Database!$A:$C,MATCH($B$1,Database!$A$1:$C$1,),)=0,#N/A,VLOOKUP(Table7[[#This Row],[Date]],Database!$A:$C,MATCH($B$1,Database!$A$1:$C$1,),))</f>
        <v/>
      </c>
      <c r="C11068">
        <f>IF(VLOOKUP(Table7[[#This Row],[Date]],Database!$A:$C,MATCH($C$1,Database!$A$1:$C$1,),)=0,#N/A,VLOOKUP(Table7[[#This Row],[Date]],Database!$A:$C,MATCH($C$1,Database!$A$1:$C$1,),))</f>
        <v/>
      </c>
      <c r="D11068">
        <f>IFERROR(Table7[[#This Row],[United States 10y]]-Table7[[#This Row],[United States 3y]],#N/A)</f>
        <v/>
      </c>
    </row>
    <row r="11069">
      <c r="A11069" s="6">
        <f>Database!$A13154</f>
        <v/>
      </c>
      <c r="B11069">
        <f>IF(VLOOKUP(Table7[[#This Row],[Date]],Database!$A:$C,MATCH($B$1,Database!$A$1:$C$1,),)=0,#N/A,VLOOKUP(Table7[[#This Row],[Date]],Database!$A:$C,MATCH($B$1,Database!$A$1:$C$1,),))</f>
        <v/>
      </c>
      <c r="C11069">
        <f>IF(VLOOKUP(Table7[[#This Row],[Date]],Database!$A:$C,MATCH($C$1,Database!$A$1:$C$1,),)=0,#N/A,VLOOKUP(Table7[[#This Row],[Date]],Database!$A:$C,MATCH($C$1,Database!$A$1:$C$1,),))</f>
        <v/>
      </c>
      <c r="D11069">
        <f>IFERROR(Table7[[#This Row],[United States 10y]]-Table7[[#This Row],[United States 3y]],#N/A)</f>
        <v/>
      </c>
    </row>
    <row r="11070">
      <c r="A11070" s="6">
        <f>Database!$A13155</f>
        <v/>
      </c>
      <c r="B11070">
        <f>IF(VLOOKUP(Table7[[#This Row],[Date]],Database!$A:$C,MATCH($B$1,Database!$A$1:$C$1,),)=0,#N/A,VLOOKUP(Table7[[#This Row],[Date]],Database!$A:$C,MATCH($B$1,Database!$A$1:$C$1,),))</f>
        <v/>
      </c>
      <c r="C11070">
        <f>IF(VLOOKUP(Table7[[#This Row],[Date]],Database!$A:$C,MATCH($C$1,Database!$A$1:$C$1,),)=0,#N/A,VLOOKUP(Table7[[#This Row],[Date]],Database!$A:$C,MATCH($C$1,Database!$A$1:$C$1,),))</f>
        <v/>
      </c>
      <c r="D11070">
        <f>IFERROR(Table7[[#This Row],[United States 10y]]-Table7[[#This Row],[United States 3y]],#N/A)</f>
        <v/>
      </c>
    </row>
    <row r="11071">
      <c r="A11071" s="6">
        <f>Database!$A13156</f>
        <v/>
      </c>
      <c r="B11071">
        <f>IF(VLOOKUP(Table7[[#This Row],[Date]],Database!$A:$C,MATCH($B$1,Database!$A$1:$C$1,),)=0,#N/A,VLOOKUP(Table7[[#This Row],[Date]],Database!$A:$C,MATCH($B$1,Database!$A$1:$C$1,),))</f>
        <v/>
      </c>
      <c r="C11071">
        <f>IF(VLOOKUP(Table7[[#This Row],[Date]],Database!$A:$C,MATCH($C$1,Database!$A$1:$C$1,),)=0,#N/A,VLOOKUP(Table7[[#This Row],[Date]],Database!$A:$C,MATCH($C$1,Database!$A$1:$C$1,),))</f>
        <v/>
      </c>
      <c r="D11071">
        <f>IFERROR(Table7[[#This Row],[United States 10y]]-Table7[[#This Row],[United States 3y]],#N/A)</f>
        <v/>
      </c>
    </row>
    <row r="11072">
      <c r="A11072" s="6">
        <f>Database!$A13157</f>
        <v/>
      </c>
      <c r="B11072">
        <f>IF(VLOOKUP(Table7[[#This Row],[Date]],Database!$A:$C,MATCH($B$1,Database!$A$1:$C$1,),)=0,#N/A,VLOOKUP(Table7[[#This Row],[Date]],Database!$A:$C,MATCH($B$1,Database!$A$1:$C$1,),))</f>
        <v/>
      </c>
      <c r="C11072">
        <f>IF(VLOOKUP(Table7[[#This Row],[Date]],Database!$A:$C,MATCH($C$1,Database!$A$1:$C$1,),)=0,#N/A,VLOOKUP(Table7[[#This Row],[Date]],Database!$A:$C,MATCH($C$1,Database!$A$1:$C$1,),))</f>
        <v/>
      </c>
      <c r="D11072">
        <f>IFERROR(Table7[[#This Row],[United States 10y]]-Table7[[#This Row],[United States 3y]],#N/A)</f>
        <v/>
      </c>
    </row>
    <row r="11073">
      <c r="A11073" s="6">
        <f>Database!$A13158</f>
        <v/>
      </c>
      <c r="B11073">
        <f>IF(VLOOKUP(Table7[[#This Row],[Date]],Database!$A:$C,MATCH($B$1,Database!$A$1:$C$1,),)=0,#N/A,VLOOKUP(Table7[[#This Row],[Date]],Database!$A:$C,MATCH($B$1,Database!$A$1:$C$1,),))</f>
        <v/>
      </c>
      <c r="C11073">
        <f>IF(VLOOKUP(Table7[[#This Row],[Date]],Database!$A:$C,MATCH($C$1,Database!$A$1:$C$1,),)=0,#N/A,VLOOKUP(Table7[[#This Row],[Date]],Database!$A:$C,MATCH($C$1,Database!$A$1:$C$1,),))</f>
        <v/>
      </c>
      <c r="D11073">
        <f>IFERROR(Table7[[#This Row],[United States 10y]]-Table7[[#This Row],[United States 3y]],#N/A)</f>
        <v/>
      </c>
    </row>
    <row r="11074">
      <c r="A11074" s="6">
        <f>Database!$A13159</f>
        <v/>
      </c>
      <c r="B11074">
        <f>IF(VLOOKUP(Table7[[#This Row],[Date]],Database!$A:$C,MATCH($B$1,Database!$A$1:$C$1,),)=0,#N/A,VLOOKUP(Table7[[#This Row],[Date]],Database!$A:$C,MATCH($B$1,Database!$A$1:$C$1,),))</f>
        <v/>
      </c>
      <c r="C11074">
        <f>IF(VLOOKUP(Table7[[#This Row],[Date]],Database!$A:$C,MATCH($C$1,Database!$A$1:$C$1,),)=0,#N/A,VLOOKUP(Table7[[#This Row],[Date]],Database!$A:$C,MATCH($C$1,Database!$A$1:$C$1,),))</f>
        <v/>
      </c>
      <c r="D11074">
        <f>IFERROR(Table7[[#This Row],[United States 10y]]-Table7[[#This Row],[United States 3y]],#N/A)</f>
        <v/>
      </c>
    </row>
    <row r="11075">
      <c r="A11075" s="6">
        <f>Database!$A13160</f>
        <v/>
      </c>
      <c r="B11075">
        <f>IF(VLOOKUP(Table7[[#This Row],[Date]],Database!$A:$C,MATCH($B$1,Database!$A$1:$C$1,),)=0,#N/A,VLOOKUP(Table7[[#This Row],[Date]],Database!$A:$C,MATCH($B$1,Database!$A$1:$C$1,),))</f>
        <v/>
      </c>
      <c r="C11075">
        <f>IF(VLOOKUP(Table7[[#This Row],[Date]],Database!$A:$C,MATCH($C$1,Database!$A$1:$C$1,),)=0,#N/A,VLOOKUP(Table7[[#This Row],[Date]],Database!$A:$C,MATCH($C$1,Database!$A$1:$C$1,),))</f>
        <v/>
      </c>
      <c r="D11075">
        <f>IFERROR(Table7[[#This Row],[United States 10y]]-Table7[[#This Row],[United States 3y]],#N/A)</f>
        <v/>
      </c>
    </row>
    <row r="11076">
      <c r="A11076" s="6">
        <f>Database!$A13161</f>
        <v/>
      </c>
      <c r="B11076">
        <f>IF(VLOOKUP(Table7[[#This Row],[Date]],Database!$A:$C,MATCH($B$1,Database!$A$1:$C$1,),)=0,#N/A,VLOOKUP(Table7[[#This Row],[Date]],Database!$A:$C,MATCH($B$1,Database!$A$1:$C$1,),))</f>
        <v/>
      </c>
      <c r="C11076">
        <f>IF(VLOOKUP(Table7[[#This Row],[Date]],Database!$A:$C,MATCH($C$1,Database!$A$1:$C$1,),)=0,#N/A,VLOOKUP(Table7[[#This Row],[Date]],Database!$A:$C,MATCH($C$1,Database!$A$1:$C$1,),))</f>
        <v/>
      </c>
      <c r="D11076">
        <f>IFERROR(Table7[[#This Row],[United States 10y]]-Table7[[#This Row],[United States 3y]],#N/A)</f>
        <v/>
      </c>
    </row>
    <row r="11077">
      <c r="A11077" s="6">
        <f>Database!$A13162</f>
        <v/>
      </c>
      <c r="B11077">
        <f>IF(VLOOKUP(Table7[[#This Row],[Date]],Database!$A:$C,MATCH($B$1,Database!$A$1:$C$1,),)=0,#N/A,VLOOKUP(Table7[[#This Row],[Date]],Database!$A:$C,MATCH($B$1,Database!$A$1:$C$1,),))</f>
        <v/>
      </c>
      <c r="C11077">
        <f>IF(VLOOKUP(Table7[[#This Row],[Date]],Database!$A:$C,MATCH($C$1,Database!$A$1:$C$1,),)=0,#N/A,VLOOKUP(Table7[[#This Row],[Date]],Database!$A:$C,MATCH($C$1,Database!$A$1:$C$1,),))</f>
        <v/>
      </c>
      <c r="D11077">
        <f>IFERROR(Table7[[#This Row],[United States 10y]]-Table7[[#This Row],[United States 3y]],#N/A)</f>
        <v/>
      </c>
    </row>
    <row r="11078">
      <c r="A11078" s="6">
        <f>Database!$A13163</f>
        <v/>
      </c>
      <c r="B11078">
        <f>IF(VLOOKUP(Table7[[#This Row],[Date]],Database!$A:$C,MATCH($B$1,Database!$A$1:$C$1,),)=0,#N/A,VLOOKUP(Table7[[#This Row],[Date]],Database!$A:$C,MATCH($B$1,Database!$A$1:$C$1,),))</f>
        <v/>
      </c>
      <c r="C11078">
        <f>IF(VLOOKUP(Table7[[#This Row],[Date]],Database!$A:$C,MATCH($C$1,Database!$A$1:$C$1,),)=0,#N/A,VLOOKUP(Table7[[#This Row],[Date]],Database!$A:$C,MATCH($C$1,Database!$A$1:$C$1,),))</f>
        <v/>
      </c>
      <c r="D11078">
        <f>IFERROR(Table7[[#This Row],[United States 10y]]-Table7[[#This Row],[United States 3y]],#N/A)</f>
        <v/>
      </c>
    </row>
    <row r="11079">
      <c r="A11079" s="6">
        <f>Database!$A13164</f>
        <v/>
      </c>
      <c r="B11079">
        <f>IF(VLOOKUP(Table7[[#This Row],[Date]],Database!$A:$C,MATCH($B$1,Database!$A$1:$C$1,),)=0,#N/A,VLOOKUP(Table7[[#This Row],[Date]],Database!$A:$C,MATCH($B$1,Database!$A$1:$C$1,),))</f>
        <v/>
      </c>
      <c r="C11079">
        <f>IF(VLOOKUP(Table7[[#This Row],[Date]],Database!$A:$C,MATCH($C$1,Database!$A$1:$C$1,),)=0,#N/A,VLOOKUP(Table7[[#This Row],[Date]],Database!$A:$C,MATCH($C$1,Database!$A$1:$C$1,),))</f>
        <v/>
      </c>
      <c r="D11079">
        <f>IFERROR(Table7[[#This Row],[United States 10y]]-Table7[[#This Row],[United States 3y]],#N/A)</f>
        <v/>
      </c>
    </row>
    <row r="11080">
      <c r="A11080" s="6">
        <f>Database!$A13165</f>
        <v/>
      </c>
      <c r="B11080">
        <f>IF(VLOOKUP(Table7[[#This Row],[Date]],Database!$A:$C,MATCH($B$1,Database!$A$1:$C$1,),)=0,#N/A,VLOOKUP(Table7[[#This Row],[Date]],Database!$A:$C,MATCH($B$1,Database!$A$1:$C$1,),))</f>
        <v/>
      </c>
      <c r="C11080">
        <f>IF(VLOOKUP(Table7[[#This Row],[Date]],Database!$A:$C,MATCH($C$1,Database!$A$1:$C$1,),)=0,#N/A,VLOOKUP(Table7[[#This Row],[Date]],Database!$A:$C,MATCH($C$1,Database!$A$1:$C$1,),))</f>
        <v/>
      </c>
      <c r="D11080">
        <f>IFERROR(Table7[[#This Row],[United States 10y]]-Table7[[#This Row],[United States 3y]],#N/A)</f>
        <v/>
      </c>
    </row>
    <row r="11081">
      <c r="A11081" s="6">
        <f>Database!$A13166</f>
        <v/>
      </c>
      <c r="B11081">
        <f>IF(VLOOKUP(Table7[[#This Row],[Date]],Database!$A:$C,MATCH($B$1,Database!$A$1:$C$1,),)=0,#N/A,VLOOKUP(Table7[[#This Row],[Date]],Database!$A:$C,MATCH($B$1,Database!$A$1:$C$1,),))</f>
        <v/>
      </c>
      <c r="C11081">
        <f>IF(VLOOKUP(Table7[[#This Row],[Date]],Database!$A:$C,MATCH($C$1,Database!$A$1:$C$1,),)=0,#N/A,VLOOKUP(Table7[[#This Row],[Date]],Database!$A:$C,MATCH($C$1,Database!$A$1:$C$1,),))</f>
        <v/>
      </c>
      <c r="D11081">
        <f>IFERROR(Table7[[#This Row],[United States 10y]]-Table7[[#This Row],[United States 3y]],#N/A)</f>
        <v/>
      </c>
    </row>
    <row r="11082">
      <c r="A11082" s="6">
        <f>Database!$A13167</f>
        <v/>
      </c>
      <c r="B11082">
        <f>IF(VLOOKUP(Table7[[#This Row],[Date]],Database!$A:$C,MATCH($B$1,Database!$A$1:$C$1,),)=0,#N/A,VLOOKUP(Table7[[#This Row],[Date]],Database!$A:$C,MATCH($B$1,Database!$A$1:$C$1,),))</f>
        <v/>
      </c>
      <c r="C11082">
        <f>IF(VLOOKUP(Table7[[#This Row],[Date]],Database!$A:$C,MATCH($C$1,Database!$A$1:$C$1,),)=0,#N/A,VLOOKUP(Table7[[#This Row],[Date]],Database!$A:$C,MATCH($C$1,Database!$A$1:$C$1,),))</f>
        <v/>
      </c>
      <c r="D11082">
        <f>IFERROR(Table7[[#This Row],[United States 10y]]-Table7[[#This Row],[United States 3y]],#N/A)</f>
        <v/>
      </c>
    </row>
    <row r="11083">
      <c r="A11083" s="6">
        <f>Database!$A13168</f>
        <v/>
      </c>
      <c r="B11083">
        <f>IF(VLOOKUP(Table7[[#This Row],[Date]],Database!$A:$C,MATCH($B$1,Database!$A$1:$C$1,),)=0,#N/A,VLOOKUP(Table7[[#This Row],[Date]],Database!$A:$C,MATCH($B$1,Database!$A$1:$C$1,),))</f>
        <v/>
      </c>
      <c r="C11083">
        <f>IF(VLOOKUP(Table7[[#This Row],[Date]],Database!$A:$C,MATCH($C$1,Database!$A$1:$C$1,),)=0,#N/A,VLOOKUP(Table7[[#This Row],[Date]],Database!$A:$C,MATCH($C$1,Database!$A$1:$C$1,),))</f>
        <v/>
      </c>
      <c r="D11083">
        <f>IFERROR(Table7[[#This Row],[United States 10y]]-Table7[[#This Row],[United States 3y]],#N/A)</f>
        <v/>
      </c>
    </row>
    <row r="11084">
      <c r="A11084" s="6">
        <f>Database!$A13169</f>
        <v/>
      </c>
      <c r="B11084">
        <f>IF(VLOOKUP(Table7[[#This Row],[Date]],Database!$A:$C,MATCH($B$1,Database!$A$1:$C$1,),)=0,#N/A,VLOOKUP(Table7[[#This Row],[Date]],Database!$A:$C,MATCH($B$1,Database!$A$1:$C$1,),))</f>
        <v/>
      </c>
      <c r="C11084">
        <f>IF(VLOOKUP(Table7[[#This Row],[Date]],Database!$A:$C,MATCH($C$1,Database!$A$1:$C$1,),)=0,#N/A,VLOOKUP(Table7[[#This Row],[Date]],Database!$A:$C,MATCH($C$1,Database!$A$1:$C$1,),))</f>
        <v/>
      </c>
      <c r="D11084">
        <f>IFERROR(Table7[[#This Row],[United States 10y]]-Table7[[#This Row],[United States 3y]],#N/A)</f>
        <v/>
      </c>
    </row>
    <row r="11085">
      <c r="A11085" s="6">
        <f>Database!$A13170</f>
        <v/>
      </c>
      <c r="B11085">
        <f>IF(VLOOKUP(Table7[[#This Row],[Date]],Database!$A:$C,MATCH($B$1,Database!$A$1:$C$1,),)=0,#N/A,VLOOKUP(Table7[[#This Row],[Date]],Database!$A:$C,MATCH($B$1,Database!$A$1:$C$1,),))</f>
        <v/>
      </c>
      <c r="C11085">
        <f>IF(VLOOKUP(Table7[[#This Row],[Date]],Database!$A:$C,MATCH($C$1,Database!$A$1:$C$1,),)=0,#N/A,VLOOKUP(Table7[[#This Row],[Date]],Database!$A:$C,MATCH($C$1,Database!$A$1:$C$1,),))</f>
        <v/>
      </c>
      <c r="D11085">
        <f>IFERROR(Table7[[#This Row],[United States 10y]]-Table7[[#This Row],[United States 3y]],#N/A)</f>
        <v/>
      </c>
    </row>
    <row r="11086">
      <c r="A11086" s="6">
        <f>Database!$A13171</f>
        <v/>
      </c>
      <c r="B11086">
        <f>IF(VLOOKUP(Table7[[#This Row],[Date]],Database!$A:$C,MATCH($B$1,Database!$A$1:$C$1,),)=0,#N/A,VLOOKUP(Table7[[#This Row],[Date]],Database!$A:$C,MATCH($B$1,Database!$A$1:$C$1,),))</f>
        <v/>
      </c>
      <c r="C11086">
        <f>IF(VLOOKUP(Table7[[#This Row],[Date]],Database!$A:$C,MATCH($C$1,Database!$A$1:$C$1,),)=0,#N/A,VLOOKUP(Table7[[#This Row],[Date]],Database!$A:$C,MATCH($C$1,Database!$A$1:$C$1,),))</f>
        <v/>
      </c>
      <c r="D11086">
        <f>IFERROR(Table7[[#This Row],[United States 10y]]-Table7[[#This Row],[United States 3y]],#N/A)</f>
        <v/>
      </c>
    </row>
    <row r="11087">
      <c r="A11087" s="6">
        <f>Database!$A13172</f>
        <v/>
      </c>
      <c r="B11087">
        <f>IF(VLOOKUP(Table7[[#This Row],[Date]],Database!$A:$C,MATCH($B$1,Database!$A$1:$C$1,),)=0,#N/A,VLOOKUP(Table7[[#This Row],[Date]],Database!$A:$C,MATCH($B$1,Database!$A$1:$C$1,),))</f>
        <v/>
      </c>
      <c r="C11087">
        <f>IF(VLOOKUP(Table7[[#This Row],[Date]],Database!$A:$C,MATCH($C$1,Database!$A$1:$C$1,),)=0,#N/A,VLOOKUP(Table7[[#This Row],[Date]],Database!$A:$C,MATCH($C$1,Database!$A$1:$C$1,),))</f>
        <v/>
      </c>
      <c r="D11087">
        <f>IFERROR(Table7[[#This Row],[United States 10y]]-Table7[[#This Row],[United States 3y]],#N/A)</f>
        <v/>
      </c>
    </row>
    <row r="11088">
      <c r="A11088" s="6">
        <f>Database!$A13173</f>
        <v/>
      </c>
      <c r="B11088">
        <f>IF(VLOOKUP(Table7[[#This Row],[Date]],Database!$A:$C,MATCH($B$1,Database!$A$1:$C$1,),)=0,#N/A,VLOOKUP(Table7[[#This Row],[Date]],Database!$A:$C,MATCH($B$1,Database!$A$1:$C$1,),))</f>
        <v/>
      </c>
      <c r="C11088">
        <f>IF(VLOOKUP(Table7[[#This Row],[Date]],Database!$A:$C,MATCH($C$1,Database!$A$1:$C$1,),)=0,#N/A,VLOOKUP(Table7[[#This Row],[Date]],Database!$A:$C,MATCH($C$1,Database!$A$1:$C$1,),))</f>
        <v/>
      </c>
      <c r="D11088">
        <f>IFERROR(Table7[[#This Row],[United States 10y]]-Table7[[#This Row],[United States 3y]],#N/A)</f>
        <v/>
      </c>
    </row>
    <row r="11089">
      <c r="A11089" s="6">
        <f>Database!$A13174</f>
        <v/>
      </c>
      <c r="B11089">
        <f>IF(VLOOKUP(Table7[[#This Row],[Date]],Database!$A:$C,MATCH($B$1,Database!$A$1:$C$1,),)=0,#N/A,VLOOKUP(Table7[[#This Row],[Date]],Database!$A:$C,MATCH($B$1,Database!$A$1:$C$1,),))</f>
        <v/>
      </c>
      <c r="C11089">
        <f>IF(VLOOKUP(Table7[[#This Row],[Date]],Database!$A:$C,MATCH($C$1,Database!$A$1:$C$1,),)=0,#N/A,VLOOKUP(Table7[[#This Row],[Date]],Database!$A:$C,MATCH($C$1,Database!$A$1:$C$1,),))</f>
        <v/>
      </c>
      <c r="D11089">
        <f>IFERROR(Table7[[#This Row],[United States 10y]]-Table7[[#This Row],[United States 3y]],#N/A)</f>
        <v/>
      </c>
    </row>
    <row r="11090">
      <c r="A11090" s="6">
        <f>Database!$A13175</f>
        <v/>
      </c>
      <c r="B11090">
        <f>IF(VLOOKUP(Table7[[#This Row],[Date]],Database!$A:$C,MATCH($B$1,Database!$A$1:$C$1,),)=0,#N/A,VLOOKUP(Table7[[#This Row],[Date]],Database!$A:$C,MATCH($B$1,Database!$A$1:$C$1,),))</f>
        <v/>
      </c>
      <c r="C11090">
        <f>IF(VLOOKUP(Table7[[#This Row],[Date]],Database!$A:$C,MATCH($C$1,Database!$A$1:$C$1,),)=0,#N/A,VLOOKUP(Table7[[#This Row],[Date]],Database!$A:$C,MATCH($C$1,Database!$A$1:$C$1,),))</f>
        <v/>
      </c>
      <c r="D11090">
        <f>IFERROR(Table7[[#This Row],[United States 10y]]-Table7[[#This Row],[United States 3y]],#N/A)</f>
        <v/>
      </c>
    </row>
    <row r="11091">
      <c r="A11091" s="6">
        <f>Database!$A13176</f>
        <v/>
      </c>
      <c r="B11091">
        <f>IF(VLOOKUP(Table7[[#This Row],[Date]],Database!$A:$C,MATCH($B$1,Database!$A$1:$C$1,),)=0,#N/A,VLOOKUP(Table7[[#This Row],[Date]],Database!$A:$C,MATCH($B$1,Database!$A$1:$C$1,),))</f>
        <v/>
      </c>
      <c r="C11091">
        <f>IF(VLOOKUP(Table7[[#This Row],[Date]],Database!$A:$C,MATCH($C$1,Database!$A$1:$C$1,),)=0,#N/A,VLOOKUP(Table7[[#This Row],[Date]],Database!$A:$C,MATCH($C$1,Database!$A$1:$C$1,),))</f>
        <v/>
      </c>
      <c r="D11091">
        <f>IFERROR(Table7[[#This Row],[United States 10y]]-Table7[[#This Row],[United States 3y]],#N/A)</f>
        <v/>
      </c>
    </row>
    <row r="11092">
      <c r="A11092" s="6">
        <f>Database!$A13177</f>
        <v/>
      </c>
      <c r="B11092">
        <f>IF(VLOOKUP(Table7[[#This Row],[Date]],Database!$A:$C,MATCH($B$1,Database!$A$1:$C$1,),)=0,#N/A,VLOOKUP(Table7[[#This Row],[Date]],Database!$A:$C,MATCH($B$1,Database!$A$1:$C$1,),))</f>
        <v/>
      </c>
      <c r="C11092">
        <f>IF(VLOOKUP(Table7[[#This Row],[Date]],Database!$A:$C,MATCH($C$1,Database!$A$1:$C$1,),)=0,#N/A,VLOOKUP(Table7[[#This Row],[Date]],Database!$A:$C,MATCH($C$1,Database!$A$1:$C$1,),))</f>
        <v/>
      </c>
      <c r="D11092">
        <f>IFERROR(Table7[[#This Row],[United States 10y]]-Table7[[#This Row],[United States 3y]],#N/A)</f>
        <v/>
      </c>
    </row>
    <row r="11093">
      <c r="A11093" s="6">
        <f>Database!$A13178</f>
        <v/>
      </c>
      <c r="B11093">
        <f>IF(VLOOKUP(Table7[[#This Row],[Date]],Database!$A:$C,MATCH($B$1,Database!$A$1:$C$1,),)=0,#N/A,VLOOKUP(Table7[[#This Row],[Date]],Database!$A:$C,MATCH($B$1,Database!$A$1:$C$1,),))</f>
        <v/>
      </c>
      <c r="C11093">
        <f>IF(VLOOKUP(Table7[[#This Row],[Date]],Database!$A:$C,MATCH($C$1,Database!$A$1:$C$1,),)=0,#N/A,VLOOKUP(Table7[[#This Row],[Date]],Database!$A:$C,MATCH($C$1,Database!$A$1:$C$1,),))</f>
        <v/>
      </c>
      <c r="D11093">
        <f>IFERROR(Table7[[#This Row],[United States 10y]]-Table7[[#This Row],[United States 3y]],#N/A)</f>
        <v/>
      </c>
    </row>
    <row r="11094">
      <c r="A11094" s="6">
        <f>Database!$A13179</f>
        <v/>
      </c>
      <c r="B11094">
        <f>IF(VLOOKUP(Table7[[#This Row],[Date]],Database!$A:$C,MATCH($B$1,Database!$A$1:$C$1,),)=0,#N/A,VLOOKUP(Table7[[#This Row],[Date]],Database!$A:$C,MATCH($B$1,Database!$A$1:$C$1,),))</f>
        <v/>
      </c>
      <c r="C11094">
        <f>IF(VLOOKUP(Table7[[#This Row],[Date]],Database!$A:$C,MATCH($C$1,Database!$A$1:$C$1,),)=0,#N/A,VLOOKUP(Table7[[#This Row],[Date]],Database!$A:$C,MATCH($C$1,Database!$A$1:$C$1,),))</f>
        <v/>
      </c>
      <c r="D11094">
        <f>IFERROR(Table7[[#This Row],[United States 10y]]-Table7[[#This Row],[United States 3y]],#N/A)</f>
        <v/>
      </c>
    </row>
    <row r="11095">
      <c r="A11095" s="6">
        <f>Database!$A13180</f>
        <v/>
      </c>
      <c r="B11095">
        <f>IF(VLOOKUP(Table7[[#This Row],[Date]],Database!$A:$C,MATCH($B$1,Database!$A$1:$C$1,),)=0,#N/A,VLOOKUP(Table7[[#This Row],[Date]],Database!$A:$C,MATCH($B$1,Database!$A$1:$C$1,),))</f>
        <v/>
      </c>
      <c r="C11095">
        <f>IF(VLOOKUP(Table7[[#This Row],[Date]],Database!$A:$C,MATCH($C$1,Database!$A$1:$C$1,),)=0,#N/A,VLOOKUP(Table7[[#This Row],[Date]],Database!$A:$C,MATCH($C$1,Database!$A$1:$C$1,),))</f>
        <v/>
      </c>
      <c r="D11095">
        <f>IFERROR(Table7[[#This Row],[United States 10y]]-Table7[[#This Row],[United States 3y]],#N/A)</f>
        <v/>
      </c>
    </row>
    <row r="11096">
      <c r="A11096" s="6">
        <f>Database!$A13181</f>
        <v/>
      </c>
      <c r="B11096">
        <f>IF(VLOOKUP(Table7[[#This Row],[Date]],Database!$A:$C,MATCH($B$1,Database!$A$1:$C$1,),)=0,#N/A,VLOOKUP(Table7[[#This Row],[Date]],Database!$A:$C,MATCH($B$1,Database!$A$1:$C$1,),))</f>
        <v/>
      </c>
      <c r="C11096">
        <f>IF(VLOOKUP(Table7[[#This Row],[Date]],Database!$A:$C,MATCH($C$1,Database!$A$1:$C$1,),)=0,#N/A,VLOOKUP(Table7[[#This Row],[Date]],Database!$A:$C,MATCH($C$1,Database!$A$1:$C$1,),))</f>
        <v/>
      </c>
      <c r="D11096">
        <f>IFERROR(Table7[[#This Row],[United States 10y]]-Table7[[#This Row],[United States 3y]],#N/A)</f>
        <v/>
      </c>
    </row>
    <row r="11097">
      <c r="A11097" s="6">
        <f>Database!$A13182</f>
        <v/>
      </c>
      <c r="B11097">
        <f>IF(VLOOKUP(Table7[[#This Row],[Date]],Database!$A:$C,MATCH($B$1,Database!$A$1:$C$1,),)=0,#N/A,VLOOKUP(Table7[[#This Row],[Date]],Database!$A:$C,MATCH($B$1,Database!$A$1:$C$1,),))</f>
        <v/>
      </c>
      <c r="C11097">
        <f>IF(VLOOKUP(Table7[[#This Row],[Date]],Database!$A:$C,MATCH($C$1,Database!$A$1:$C$1,),)=0,#N/A,VLOOKUP(Table7[[#This Row],[Date]],Database!$A:$C,MATCH($C$1,Database!$A$1:$C$1,),))</f>
        <v/>
      </c>
      <c r="D11097">
        <f>IFERROR(Table7[[#This Row],[United States 10y]]-Table7[[#This Row],[United States 3y]],#N/A)</f>
        <v/>
      </c>
    </row>
    <row r="11098">
      <c r="A11098" s="6">
        <f>Database!$A13183</f>
        <v/>
      </c>
      <c r="B11098">
        <f>IF(VLOOKUP(Table7[[#This Row],[Date]],Database!$A:$C,MATCH($B$1,Database!$A$1:$C$1,),)=0,#N/A,VLOOKUP(Table7[[#This Row],[Date]],Database!$A:$C,MATCH($B$1,Database!$A$1:$C$1,),))</f>
        <v/>
      </c>
      <c r="C11098">
        <f>IF(VLOOKUP(Table7[[#This Row],[Date]],Database!$A:$C,MATCH($C$1,Database!$A$1:$C$1,),)=0,#N/A,VLOOKUP(Table7[[#This Row],[Date]],Database!$A:$C,MATCH($C$1,Database!$A$1:$C$1,),))</f>
        <v/>
      </c>
      <c r="D11098">
        <f>IFERROR(Table7[[#This Row],[United States 10y]]-Table7[[#This Row],[United States 3y]],#N/A)</f>
        <v/>
      </c>
    </row>
    <row r="11099">
      <c r="A11099" s="6">
        <f>Database!$A13184</f>
        <v/>
      </c>
      <c r="B11099">
        <f>IF(VLOOKUP(Table7[[#This Row],[Date]],Database!$A:$C,MATCH($B$1,Database!$A$1:$C$1,),)=0,#N/A,VLOOKUP(Table7[[#This Row],[Date]],Database!$A:$C,MATCH($B$1,Database!$A$1:$C$1,),))</f>
        <v/>
      </c>
      <c r="C11099">
        <f>IF(VLOOKUP(Table7[[#This Row],[Date]],Database!$A:$C,MATCH($C$1,Database!$A$1:$C$1,),)=0,#N/A,VLOOKUP(Table7[[#This Row],[Date]],Database!$A:$C,MATCH($C$1,Database!$A$1:$C$1,),))</f>
        <v/>
      </c>
      <c r="D11099">
        <f>IFERROR(Table7[[#This Row],[United States 10y]]-Table7[[#This Row],[United States 3y]],#N/A)</f>
        <v/>
      </c>
    </row>
    <row r="11100">
      <c r="A11100" s="6">
        <f>Database!$A13185</f>
        <v/>
      </c>
      <c r="B11100">
        <f>IF(VLOOKUP(Table7[[#This Row],[Date]],Database!$A:$C,MATCH($B$1,Database!$A$1:$C$1,),)=0,#N/A,VLOOKUP(Table7[[#This Row],[Date]],Database!$A:$C,MATCH($B$1,Database!$A$1:$C$1,),))</f>
        <v/>
      </c>
      <c r="C11100">
        <f>IF(VLOOKUP(Table7[[#This Row],[Date]],Database!$A:$C,MATCH($C$1,Database!$A$1:$C$1,),)=0,#N/A,VLOOKUP(Table7[[#This Row],[Date]],Database!$A:$C,MATCH($C$1,Database!$A$1:$C$1,),))</f>
        <v/>
      </c>
      <c r="D11100">
        <f>IFERROR(Table7[[#This Row],[United States 10y]]-Table7[[#This Row],[United States 3y]],#N/A)</f>
        <v/>
      </c>
    </row>
    <row r="11101">
      <c r="A11101" s="6">
        <f>Database!$A13186</f>
        <v/>
      </c>
      <c r="B11101">
        <f>IF(VLOOKUP(Table7[[#This Row],[Date]],Database!$A:$C,MATCH($B$1,Database!$A$1:$C$1,),)=0,#N/A,VLOOKUP(Table7[[#This Row],[Date]],Database!$A:$C,MATCH($B$1,Database!$A$1:$C$1,),))</f>
        <v/>
      </c>
      <c r="C11101">
        <f>IF(VLOOKUP(Table7[[#This Row],[Date]],Database!$A:$C,MATCH($C$1,Database!$A$1:$C$1,),)=0,#N/A,VLOOKUP(Table7[[#This Row],[Date]],Database!$A:$C,MATCH($C$1,Database!$A$1:$C$1,),))</f>
        <v/>
      </c>
      <c r="D11101">
        <f>IFERROR(Table7[[#This Row],[United States 10y]]-Table7[[#This Row],[United States 3y]],#N/A)</f>
        <v/>
      </c>
    </row>
    <row r="11102">
      <c r="A11102" s="6">
        <f>Database!$A13187</f>
        <v/>
      </c>
      <c r="B11102">
        <f>IF(VLOOKUP(Table7[[#This Row],[Date]],Database!$A:$C,MATCH($B$1,Database!$A$1:$C$1,),)=0,#N/A,VLOOKUP(Table7[[#This Row],[Date]],Database!$A:$C,MATCH($B$1,Database!$A$1:$C$1,),))</f>
        <v/>
      </c>
      <c r="C11102">
        <f>IF(VLOOKUP(Table7[[#This Row],[Date]],Database!$A:$C,MATCH($C$1,Database!$A$1:$C$1,),)=0,#N/A,VLOOKUP(Table7[[#This Row],[Date]],Database!$A:$C,MATCH($C$1,Database!$A$1:$C$1,),))</f>
        <v/>
      </c>
      <c r="D11102">
        <f>IFERROR(Table7[[#This Row],[United States 10y]]-Table7[[#This Row],[United States 3y]],#N/A)</f>
        <v/>
      </c>
    </row>
    <row r="11103">
      <c r="A11103" s="6">
        <f>Database!$A13188</f>
        <v/>
      </c>
      <c r="B11103">
        <f>IF(VLOOKUP(Table7[[#This Row],[Date]],Database!$A:$C,MATCH($B$1,Database!$A$1:$C$1,),)=0,#N/A,VLOOKUP(Table7[[#This Row],[Date]],Database!$A:$C,MATCH($B$1,Database!$A$1:$C$1,),))</f>
        <v/>
      </c>
      <c r="C11103">
        <f>IF(VLOOKUP(Table7[[#This Row],[Date]],Database!$A:$C,MATCH($C$1,Database!$A$1:$C$1,),)=0,#N/A,VLOOKUP(Table7[[#This Row],[Date]],Database!$A:$C,MATCH($C$1,Database!$A$1:$C$1,),))</f>
        <v/>
      </c>
      <c r="D11103">
        <f>IFERROR(Table7[[#This Row],[United States 10y]]-Table7[[#This Row],[United States 3y]],#N/A)</f>
        <v/>
      </c>
    </row>
    <row r="11104">
      <c r="A11104" s="6">
        <f>Database!$A13189</f>
        <v/>
      </c>
      <c r="B11104">
        <f>IF(VLOOKUP(Table7[[#This Row],[Date]],Database!$A:$C,MATCH($B$1,Database!$A$1:$C$1,),)=0,#N/A,VLOOKUP(Table7[[#This Row],[Date]],Database!$A:$C,MATCH($B$1,Database!$A$1:$C$1,),))</f>
        <v/>
      </c>
      <c r="C11104">
        <f>IF(VLOOKUP(Table7[[#This Row],[Date]],Database!$A:$C,MATCH($C$1,Database!$A$1:$C$1,),)=0,#N/A,VLOOKUP(Table7[[#This Row],[Date]],Database!$A:$C,MATCH($C$1,Database!$A$1:$C$1,),))</f>
        <v/>
      </c>
      <c r="D11104">
        <f>IFERROR(Table7[[#This Row],[United States 10y]]-Table7[[#This Row],[United States 3y]],#N/A)</f>
        <v/>
      </c>
    </row>
    <row r="11105">
      <c r="A11105" s="6">
        <f>Database!$A13190</f>
        <v/>
      </c>
      <c r="B11105">
        <f>IF(VLOOKUP(Table7[[#This Row],[Date]],Database!$A:$C,MATCH($B$1,Database!$A$1:$C$1,),)=0,#N/A,VLOOKUP(Table7[[#This Row],[Date]],Database!$A:$C,MATCH($B$1,Database!$A$1:$C$1,),))</f>
        <v/>
      </c>
      <c r="C11105">
        <f>IF(VLOOKUP(Table7[[#This Row],[Date]],Database!$A:$C,MATCH($C$1,Database!$A$1:$C$1,),)=0,#N/A,VLOOKUP(Table7[[#This Row],[Date]],Database!$A:$C,MATCH($C$1,Database!$A$1:$C$1,),))</f>
        <v/>
      </c>
      <c r="D11105">
        <f>IFERROR(Table7[[#This Row],[United States 10y]]-Table7[[#This Row],[United States 3y]],#N/A)</f>
        <v/>
      </c>
    </row>
    <row r="11106">
      <c r="A11106" s="6">
        <f>Database!$A13191</f>
        <v/>
      </c>
      <c r="B11106">
        <f>IF(VLOOKUP(Table7[[#This Row],[Date]],Database!$A:$C,MATCH($B$1,Database!$A$1:$C$1,),)=0,#N/A,VLOOKUP(Table7[[#This Row],[Date]],Database!$A:$C,MATCH($B$1,Database!$A$1:$C$1,),))</f>
        <v/>
      </c>
      <c r="C11106">
        <f>IF(VLOOKUP(Table7[[#This Row],[Date]],Database!$A:$C,MATCH($C$1,Database!$A$1:$C$1,),)=0,#N/A,VLOOKUP(Table7[[#This Row],[Date]],Database!$A:$C,MATCH($C$1,Database!$A$1:$C$1,),))</f>
        <v/>
      </c>
      <c r="D11106">
        <f>IFERROR(Table7[[#This Row],[United States 10y]]-Table7[[#This Row],[United States 3y]],#N/A)</f>
        <v/>
      </c>
    </row>
    <row r="11107">
      <c r="A11107" s="6">
        <f>Database!$A13192</f>
        <v/>
      </c>
      <c r="B11107">
        <f>IF(VLOOKUP(Table7[[#This Row],[Date]],Database!$A:$C,MATCH($B$1,Database!$A$1:$C$1,),)=0,#N/A,VLOOKUP(Table7[[#This Row],[Date]],Database!$A:$C,MATCH($B$1,Database!$A$1:$C$1,),))</f>
        <v/>
      </c>
      <c r="C11107">
        <f>IF(VLOOKUP(Table7[[#This Row],[Date]],Database!$A:$C,MATCH($C$1,Database!$A$1:$C$1,),)=0,#N/A,VLOOKUP(Table7[[#This Row],[Date]],Database!$A:$C,MATCH($C$1,Database!$A$1:$C$1,),))</f>
        <v/>
      </c>
      <c r="D11107">
        <f>IFERROR(Table7[[#This Row],[United States 10y]]-Table7[[#This Row],[United States 3y]],#N/A)</f>
        <v/>
      </c>
    </row>
    <row r="11108">
      <c r="A11108" s="6">
        <f>Database!$A13193</f>
        <v/>
      </c>
      <c r="B11108">
        <f>IF(VLOOKUP(Table7[[#This Row],[Date]],Database!$A:$C,MATCH($B$1,Database!$A$1:$C$1,),)=0,#N/A,VLOOKUP(Table7[[#This Row],[Date]],Database!$A:$C,MATCH($B$1,Database!$A$1:$C$1,),))</f>
        <v/>
      </c>
      <c r="C11108">
        <f>IF(VLOOKUP(Table7[[#This Row],[Date]],Database!$A:$C,MATCH($C$1,Database!$A$1:$C$1,),)=0,#N/A,VLOOKUP(Table7[[#This Row],[Date]],Database!$A:$C,MATCH($C$1,Database!$A$1:$C$1,),))</f>
        <v/>
      </c>
      <c r="D11108">
        <f>IFERROR(Table7[[#This Row],[United States 10y]]-Table7[[#This Row],[United States 3y]],#N/A)</f>
        <v/>
      </c>
    </row>
    <row r="11109">
      <c r="A11109" s="6">
        <f>Database!$A13194</f>
        <v/>
      </c>
      <c r="B11109">
        <f>IF(VLOOKUP(Table7[[#This Row],[Date]],Database!$A:$C,MATCH($B$1,Database!$A$1:$C$1,),)=0,#N/A,VLOOKUP(Table7[[#This Row],[Date]],Database!$A:$C,MATCH($B$1,Database!$A$1:$C$1,),))</f>
        <v/>
      </c>
      <c r="C11109">
        <f>IF(VLOOKUP(Table7[[#This Row],[Date]],Database!$A:$C,MATCH($C$1,Database!$A$1:$C$1,),)=0,#N/A,VLOOKUP(Table7[[#This Row],[Date]],Database!$A:$C,MATCH($C$1,Database!$A$1:$C$1,),))</f>
        <v/>
      </c>
      <c r="D11109">
        <f>IFERROR(Table7[[#This Row],[United States 10y]]-Table7[[#This Row],[United States 3y]],#N/A)</f>
        <v/>
      </c>
    </row>
    <row r="11110">
      <c r="A11110" s="6">
        <f>Database!$A13195</f>
        <v/>
      </c>
      <c r="B11110">
        <f>IF(VLOOKUP(Table7[[#This Row],[Date]],Database!$A:$C,MATCH($B$1,Database!$A$1:$C$1,),)=0,#N/A,VLOOKUP(Table7[[#This Row],[Date]],Database!$A:$C,MATCH($B$1,Database!$A$1:$C$1,),))</f>
        <v/>
      </c>
      <c r="C11110">
        <f>IF(VLOOKUP(Table7[[#This Row],[Date]],Database!$A:$C,MATCH($C$1,Database!$A$1:$C$1,),)=0,#N/A,VLOOKUP(Table7[[#This Row],[Date]],Database!$A:$C,MATCH($C$1,Database!$A$1:$C$1,),))</f>
        <v/>
      </c>
      <c r="D11110">
        <f>IFERROR(Table7[[#This Row],[United States 10y]]-Table7[[#This Row],[United States 3y]],#N/A)</f>
        <v/>
      </c>
    </row>
    <row r="11111">
      <c r="A11111" s="6">
        <f>Database!$A13196</f>
        <v/>
      </c>
      <c r="B11111">
        <f>IF(VLOOKUP(Table7[[#This Row],[Date]],Database!$A:$C,MATCH($B$1,Database!$A$1:$C$1,),)=0,#N/A,VLOOKUP(Table7[[#This Row],[Date]],Database!$A:$C,MATCH($B$1,Database!$A$1:$C$1,),))</f>
        <v/>
      </c>
      <c r="C11111">
        <f>IF(VLOOKUP(Table7[[#This Row],[Date]],Database!$A:$C,MATCH($C$1,Database!$A$1:$C$1,),)=0,#N/A,VLOOKUP(Table7[[#This Row],[Date]],Database!$A:$C,MATCH($C$1,Database!$A$1:$C$1,),))</f>
        <v/>
      </c>
      <c r="D11111">
        <f>IFERROR(Table7[[#This Row],[United States 10y]]-Table7[[#This Row],[United States 3y]],#N/A)</f>
        <v/>
      </c>
    </row>
    <row r="11112">
      <c r="A11112" s="6">
        <f>Database!$A13197</f>
        <v/>
      </c>
      <c r="B11112">
        <f>IF(VLOOKUP(Table7[[#This Row],[Date]],Database!$A:$C,MATCH($B$1,Database!$A$1:$C$1,),)=0,#N/A,VLOOKUP(Table7[[#This Row],[Date]],Database!$A:$C,MATCH($B$1,Database!$A$1:$C$1,),))</f>
        <v/>
      </c>
      <c r="C11112">
        <f>IF(VLOOKUP(Table7[[#This Row],[Date]],Database!$A:$C,MATCH($C$1,Database!$A$1:$C$1,),)=0,#N/A,VLOOKUP(Table7[[#This Row],[Date]],Database!$A:$C,MATCH($C$1,Database!$A$1:$C$1,),))</f>
        <v/>
      </c>
      <c r="D11112">
        <f>IFERROR(Table7[[#This Row],[United States 10y]]-Table7[[#This Row],[United States 3y]],#N/A)</f>
        <v/>
      </c>
    </row>
    <row r="11113">
      <c r="A11113" s="6">
        <f>Database!$A13198</f>
        <v/>
      </c>
      <c r="B11113">
        <f>IF(VLOOKUP(Table7[[#This Row],[Date]],Database!$A:$C,MATCH($B$1,Database!$A$1:$C$1,),)=0,#N/A,VLOOKUP(Table7[[#This Row],[Date]],Database!$A:$C,MATCH($B$1,Database!$A$1:$C$1,),))</f>
        <v/>
      </c>
      <c r="C11113">
        <f>IF(VLOOKUP(Table7[[#This Row],[Date]],Database!$A:$C,MATCH($C$1,Database!$A$1:$C$1,),)=0,#N/A,VLOOKUP(Table7[[#This Row],[Date]],Database!$A:$C,MATCH($C$1,Database!$A$1:$C$1,),))</f>
        <v/>
      </c>
      <c r="D11113">
        <f>IFERROR(Table7[[#This Row],[United States 10y]]-Table7[[#This Row],[United States 3y]],#N/A)</f>
        <v/>
      </c>
    </row>
    <row r="11114">
      <c r="A11114" s="6">
        <f>Database!$A13199</f>
        <v/>
      </c>
      <c r="B11114">
        <f>IF(VLOOKUP(Table7[[#This Row],[Date]],Database!$A:$C,MATCH($B$1,Database!$A$1:$C$1,),)=0,#N/A,VLOOKUP(Table7[[#This Row],[Date]],Database!$A:$C,MATCH($B$1,Database!$A$1:$C$1,),))</f>
        <v/>
      </c>
      <c r="C11114">
        <f>IF(VLOOKUP(Table7[[#This Row],[Date]],Database!$A:$C,MATCH($C$1,Database!$A$1:$C$1,),)=0,#N/A,VLOOKUP(Table7[[#This Row],[Date]],Database!$A:$C,MATCH($C$1,Database!$A$1:$C$1,),))</f>
        <v/>
      </c>
      <c r="D11114">
        <f>IFERROR(Table7[[#This Row],[United States 10y]]-Table7[[#This Row],[United States 3y]],#N/A)</f>
        <v/>
      </c>
    </row>
    <row r="11115">
      <c r="A11115" s="6">
        <f>Database!$A13200</f>
        <v/>
      </c>
      <c r="B11115">
        <f>IF(VLOOKUP(Table7[[#This Row],[Date]],Database!$A:$C,MATCH($B$1,Database!$A$1:$C$1,),)=0,#N/A,VLOOKUP(Table7[[#This Row],[Date]],Database!$A:$C,MATCH($B$1,Database!$A$1:$C$1,),))</f>
        <v/>
      </c>
      <c r="C11115">
        <f>IF(VLOOKUP(Table7[[#This Row],[Date]],Database!$A:$C,MATCH($C$1,Database!$A$1:$C$1,),)=0,#N/A,VLOOKUP(Table7[[#This Row],[Date]],Database!$A:$C,MATCH($C$1,Database!$A$1:$C$1,),))</f>
        <v/>
      </c>
      <c r="D11115">
        <f>IFERROR(Table7[[#This Row],[United States 10y]]-Table7[[#This Row],[United States 3y]],#N/A)</f>
        <v/>
      </c>
    </row>
    <row r="11116">
      <c r="A11116" s="6">
        <f>Database!$A13201</f>
        <v/>
      </c>
      <c r="B11116">
        <f>IF(VLOOKUP(Table7[[#This Row],[Date]],Database!$A:$C,MATCH($B$1,Database!$A$1:$C$1,),)=0,#N/A,VLOOKUP(Table7[[#This Row],[Date]],Database!$A:$C,MATCH($B$1,Database!$A$1:$C$1,),))</f>
        <v/>
      </c>
      <c r="C11116">
        <f>IF(VLOOKUP(Table7[[#This Row],[Date]],Database!$A:$C,MATCH($C$1,Database!$A$1:$C$1,),)=0,#N/A,VLOOKUP(Table7[[#This Row],[Date]],Database!$A:$C,MATCH($C$1,Database!$A$1:$C$1,),))</f>
        <v/>
      </c>
      <c r="D11116">
        <f>IFERROR(Table7[[#This Row],[United States 10y]]-Table7[[#This Row],[United States 3y]],#N/A)</f>
        <v/>
      </c>
    </row>
    <row r="11117">
      <c r="A11117" s="6">
        <f>Database!$A13202</f>
        <v/>
      </c>
      <c r="B11117">
        <f>IF(VLOOKUP(Table7[[#This Row],[Date]],Database!$A:$C,MATCH($B$1,Database!$A$1:$C$1,),)=0,#N/A,VLOOKUP(Table7[[#This Row],[Date]],Database!$A:$C,MATCH($B$1,Database!$A$1:$C$1,),))</f>
        <v/>
      </c>
      <c r="C11117">
        <f>IF(VLOOKUP(Table7[[#This Row],[Date]],Database!$A:$C,MATCH($C$1,Database!$A$1:$C$1,),)=0,#N/A,VLOOKUP(Table7[[#This Row],[Date]],Database!$A:$C,MATCH($C$1,Database!$A$1:$C$1,),))</f>
        <v/>
      </c>
      <c r="D11117">
        <f>IFERROR(Table7[[#This Row],[United States 10y]]-Table7[[#This Row],[United States 3y]],#N/A)</f>
        <v/>
      </c>
    </row>
    <row r="11118">
      <c r="A11118" s="6">
        <f>Database!$A13203</f>
        <v/>
      </c>
      <c r="B11118">
        <f>IF(VLOOKUP(Table7[[#This Row],[Date]],Database!$A:$C,MATCH($B$1,Database!$A$1:$C$1,),)=0,#N/A,VLOOKUP(Table7[[#This Row],[Date]],Database!$A:$C,MATCH($B$1,Database!$A$1:$C$1,),))</f>
        <v/>
      </c>
      <c r="C11118">
        <f>IF(VLOOKUP(Table7[[#This Row],[Date]],Database!$A:$C,MATCH($C$1,Database!$A$1:$C$1,),)=0,#N/A,VLOOKUP(Table7[[#This Row],[Date]],Database!$A:$C,MATCH($C$1,Database!$A$1:$C$1,),))</f>
        <v/>
      </c>
      <c r="D11118">
        <f>IFERROR(Table7[[#This Row],[United States 10y]]-Table7[[#This Row],[United States 3y]],#N/A)</f>
        <v/>
      </c>
    </row>
    <row r="11119">
      <c r="A11119" s="6">
        <f>Database!$A13204</f>
        <v/>
      </c>
      <c r="B11119">
        <f>IF(VLOOKUP(Table7[[#This Row],[Date]],Database!$A:$C,MATCH($B$1,Database!$A$1:$C$1,),)=0,#N/A,VLOOKUP(Table7[[#This Row],[Date]],Database!$A:$C,MATCH($B$1,Database!$A$1:$C$1,),))</f>
        <v/>
      </c>
      <c r="C11119">
        <f>IF(VLOOKUP(Table7[[#This Row],[Date]],Database!$A:$C,MATCH($C$1,Database!$A$1:$C$1,),)=0,#N/A,VLOOKUP(Table7[[#This Row],[Date]],Database!$A:$C,MATCH($C$1,Database!$A$1:$C$1,),))</f>
        <v/>
      </c>
      <c r="D11119">
        <f>IFERROR(Table7[[#This Row],[United States 10y]]-Table7[[#This Row],[United States 3y]],#N/A)</f>
        <v/>
      </c>
    </row>
    <row r="11120">
      <c r="A11120" s="6">
        <f>Database!$A13205</f>
        <v/>
      </c>
      <c r="B11120">
        <f>IF(VLOOKUP(Table7[[#This Row],[Date]],Database!$A:$C,MATCH($B$1,Database!$A$1:$C$1,),)=0,#N/A,VLOOKUP(Table7[[#This Row],[Date]],Database!$A:$C,MATCH($B$1,Database!$A$1:$C$1,),))</f>
        <v/>
      </c>
      <c r="C11120">
        <f>IF(VLOOKUP(Table7[[#This Row],[Date]],Database!$A:$C,MATCH($C$1,Database!$A$1:$C$1,),)=0,#N/A,VLOOKUP(Table7[[#This Row],[Date]],Database!$A:$C,MATCH($C$1,Database!$A$1:$C$1,),))</f>
        <v/>
      </c>
      <c r="D11120">
        <f>IFERROR(Table7[[#This Row],[United States 10y]]-Table7[[#This Row],[United States 3y]],#N/A)</f>
        <v/>
      </c>
    </row>
    <row r="11121">
      <c r="A11121" s="6">
        <f>Database!$A13206</f>
        <v/>
      </c>
      <c r="B11121">
        <f>IF(VLOOKUP(Table7[[#This Row],[Date]],Database!$A:$C,MATCH($B$1,Database!$A$1:$C$1,),)=0,#N/A,VLOOKUP(Table7[[#This Row],[Date]],Database!$A:$C,MATCH($B$1,Database!$A$1:$C$1,),))</f>
        <v/>
      </c>
      <c r="C11121">
        <f>IF(VLOOKUP(Table7[[#This Row],[Date]],Database!$A:$C,MATCH($C$1,Database!$A$1:$C$1,),)=0,#N/A,VLOOKUP(Table7[[#This Row],[Date]],Database!$A:$C,MATCH($C$1,Database!$A$1:$C$1,),))</f>
        <v/>
      </c>
      <c r="D11121">
        <f>IFERROR(Table7[[#This Row],[United States 10y]]-Table7[[#This Row],[United States 3y]],#N/A)</f>
        <v/>
      </c>
    </row>
    <row r="11122">
      <c r="A11122" s="6">
        <f>Database!$A13207</f>
        <v/>
      </c>
      <c r="B11122">
        <f>IF(VLOOKUP(Table7[[#This Row],[Date]],Database!$A:$C,MATCH($B$1,Database!$A$1:$C$1,),)=0,#N/A,VLOOKUP(Table7[[#This Row],[Date]],Database!$A:$C,MATCH($B$1,Database!$A$1:$C$1,),))</f>
        <v/>
      </c>
      <c r="C11122">
        <f>IF(VLOOKUP(Table7[[#This Row],[Date]],Database!$A:$C,MATCH($C$1,Database!$A$1:$C$1,),)=0,#N/A,VLOOKUP(Table7[[#This Row],[Date]],Database!$A:$C,MATCH($C$1,Database!$A$1:$C$1,),))</f>
        <v/>
      </c>
      <c r="D11122">
        <f>IFERROR(Table7[[#This Row],[United States 10y]]-Table7[[#This Row],[United States 3y]],#N/A)</f>
        <v/>
      </c>
    </row>
    <row r="11123">
      <c r="A11123" s="6">
        <f>Database!$A13208</f>
        <v/>
      </c>
      <c r="B11123">
        <f>IF(VLOOKUP(Table7[[#This Row],[Date]],Database!$A:$C,MATCH($B$1,Database!$A$1:$C$1,),)=0,#N/A,VLOOKUP(Table7[[#This Row],[Date]],Database!$A:$C,MATCH($B$1,Database!$A$1:$C$1,),))</f>
        <v/>
      </c>
      <c r="C11123">
        <f>IF(VLOOKUP(Table7[[#This Row],[Date]],Database!$A:$C,MATCH($C$1,Database!$A$1:$C$1,),)=0,#N/A,VLOOKUP(Table7[[#This Row],[Date]],Database!$A:$C,MATCH($C$1,Database!$A$1:$C$1,),))</f>
        <v/>
      </c>
      <c r="D11123">
        <f>IFERROR(Table7[[#This Row],[United States 10y]]-Table7[[#This Row],[United States 3y]],#N/A)</f>
        <v/>
      </c>
    </row>
    <row r="11124">
      <c r="A11124" s="6">
        <f>Database!$A13209</f>
        <v/>
      </c>
      <c r="B11124">
        <f>IF(VLOOKUP(Table7[[#This Row],[Date]],Database!$A:$C,MATCH($B$1,Database!$A$1:$C$1,),)=0,#N/A,VLOOKUP(Table7[[#This Row],[Date]],Database!$A:$C,MATCH($B$1,Database!$A$1:$C$1,),))</f>
        <v/>
      </c>
      <c r="C11124">
        <f>IF(VLOOKUP(Table7[[#This Row],[Date]],Database!$A:$C,MATCH($C$1,Database!$A$1:$C$1,),)=0,#N/A,VLOOKUP(Table7[[#This Row],[Date]],Database!$A:$C,MATCH($C$1,Database!$A$1:$C$1,),))</f>
        <v/>
      </c>
      <c r="D11124">
        <f>IFERROR(Table7[[#This Row],[United States 10y]]-Table7[[#This Row],[United States 3y]],#N/A)</f>
        <v/>
      </c>
    </row>
    <row r="11125">
      <c r="A11125" s="6">
        <f>Database!$A13210</f>
        <v/>
      </c>
      <c r="B11125">
        <f>IF(VLOOKUP(Table7[[#This Row],[Date]],Database!$A:$C,MATCH($B$1,Database!$A$1:$C$1,),)=0,#N/A,VLOOKUP(Table7[[#This Row],[Date]],Database!$A:$C,MATCH($B$1,Database!$A$1:$C$1,),))</f>
        <v/>
      </c>
      <c r="C11125">
        <f>IF(VLOOKUP(Table7[[#This Row],[Date]],Database!$A:$C,MATCH($C$1,Database!$A$1:$C$1,),)=0,#N/A,VLOOKUP(Table7[[#This Row],[Date]],Database!$A:$C,MATCH($C$1,Database!$A$1:$C$1,),))</f>
        <v/>
      </c>
      <c r="D11125">
        <f>IFERROR(Table7[[#This Row],[United States 10y]]-Table7[[#This Row],[United States 3y]],#N/A)</f>
        <v/>
      </c>
    </row>
    <row r="11126">
      <c r="A11126" s="6">
        <f>Database!$A13211</f>
        <v/>
      </c>
      <c r="B11126">
        <f>IF(VLOOKUP(Table7[[#This Row],[Date]],Database!$A:$C,MATCH($B$1,Database!$A$1:$C$1,),)=0,#N/A,VLOOKUP(Table7[[#This Row],[Date]],Database!$A:$C,MATCH($B$1,Database!$A$1:$C$1,),))</f>
        <v/>
      </c>
      <c r="C11126">
        <f>IF(VLOOKUP(Table7[[#This Row],[Date]],Database!$A:$C,MATCH($C$1,Database!$A$1:$C$1,),)=0,#N/A,VLOOKUP(Table7[[#This Row],[Date]],Database!$A:$C,MATCH($C$1,Database!$A$1:$C$1,),))</f>
        <v/>
      </c>
      <c r="D11126">
        <f>IFERROR(Table7[[#This Row],[United States 10y]]-Table7[[#This Row],[United States 3y]],#N/A)</f>
        <v/>
      </c>
    </row>
    <row r="11127">
      <c r="A11127" s="6">
        <f>Database!$A13212</f>
        <v/>
      </c>
      <c r="B11127">
        <f>IF(VLOOKUP(Table7[[#This Row],[Date]],Database!$A:$C,MATCH($B$1,Database!$A$1:$C$1,),)=0,#N/A,VLOOKUP(Table7[[#This Row],[Date]],Database!$A:$C,MATCH($B$1,Database!$A$1:$C$1,),))</f>
        <v/>
      </c>
      <c r="C11127">
        <f>IF(VLOOKUP(Table7[[#This Row],[Date]],Database!$A:$C,MATCH($C$1,Database!$A$1:$C$1,),)=0,#N/A,VLOOKUP(Table7[[#This Row],[Date]],Database!$A:$C,MATCH($C$1,Database!$A$1:$C$1,),))</f>
        <v/>
      </c>
      <c r="D11127">
        <f>IFERROR(Table7[[#This Row],[United States 10y]]-Table7[[#This Row],[United States 3y]],#N/A)</f>
        <v/>
      </c>
    </row>
    <row r="11128">
      <c r="A11128" s="6">
        <f>Database!$A13213</f>
        <v/>
      </c>
      <c r="B11128">
        <f>IF(VLOOKUP(Table7[[#This Row],[Date]],Database!$A:$C,MATCH($B$1,Database!$A$1:$C$1,),)=0,#N/A,VLOOKUP(Table7[[#This Row],[Date]],Database!$A:$C,MATCH($B$1,Database!$A$1:$C$1,),))</f>
        <v/>
      </c>
      <c r="C11128">
        <f>IF(VLOOKUP(Table7[[#This Row],[Date]],Database!$A:$C,MATCH($C$1,Database!$A$1:$C$1,),)=0,#N/A,VLOOKUP(Table7[[#This Row],[Date]],Database!$A:$C,MATCH($C$1,Database!$A$1:$C$1,),))</f>
        <v/>
      </c>
      <c r="D11128">
        <f>IFERROR(Table7[[#This Row],[United States 10y]]-Table7[[#This Row],[United States 3y]],#N/A)</f>
        <v/>
      </c>
    </row>
    <row r="11129">
      <c r="A11129" s="6">
        <f>Database!$A13214</f>
        <v/>
      </c>
      <c r="B11129">
        <f>IF(VLOOKUP(Table7[[#This Row],[Date]],Database!$A:$C,MATCH($B$1,Database!$A$1:$C$1,),)=0,#N/A,VLOOKUP(Table7[[#This Row],[Date]],Database!$A:$C,MATCH($B$1,Database!$A$1:$C$1,),))</f>
        <v/>
      </c>
      <c r="C11129">
        <f>IF(VLOOKUP(Table7[[#This Row],[Date]],Database!$A:$C,MATCH($C$1,Database!$A$1:$C$1,),)=0,#N/A,VLOOKUP(Table7[[#This Row],[Date]],Database!$A:$C,MATCH($C$1,Database!$A$1:$C$1,),))</f>
        <v/>
      </c>
      <c r="D11129">
        <f>IFERROR(Table7[[#This Row],[United States 10y]]-Table7[[#This Row],[United States 3y]],#N/A)</f>
        <v/>
      </c>
    </row>
    <row r="11130">
      <c r="A11130" s="6">
        <f>Database!$A13215</f>
        <v/>
      </c>
      <c r="B11130">
        <f>IF(VLOOKUP(Table7[[#This Row],[Date]],Database!$A:$C,MATCH($B$1,Database!$A$1:$C$1,),)=0,#N/A,VLOOKUP(Table7[[#This Row],[Date]],Database!$A:$C,MATCH($B$1,Database!$A$1:$C$1,),))</f>
        <v/>
      </c>
      <c r="C11130">
        <f>IF(VLOOKUP(Table7[[#This Row],[Date]],Database!$A:$C,MATCH($C$1,Database!$A$1:$C$1,),)=0,#N/A,VLOOKUP(Table7[[#This Row],[Date]],Database!$A:$C,MATCH($C$1,Database!$A$1:$C$1,),))</f>
        <v/>
      </c>
      <c r="D11130">
        <f>IFERROR(Table7[[#This Row],[United States 10y]]-Table7[[#This Row],[United States 3y]],#N/A)</f>
        <v/>
      </c>
    </row>
    <row r="11131">
      <c r="A11131" s="6">
        <f>Database!$A13216</f>
        <v/>
      </c>
      <c r="B11131">
        <f>IF(VLOOKUP(Table7[[#This Row],[Date]],Database!$A:$C,MATCH($B$1,Database!$A$1:$C$1,),)=0,#N/A,VLOOKUP(Table7[[#This Row],[Date]],Database!$A:$C,MATCH($B$1,Database!$A$1:$C$1,),))</f>
        <v/>
      </c>
      <c r="C11131">
        <f>IF(VLOOKUP(Table7[[#This Row],[Date]],Database!$A:$C,MATCH($C$1,Database!$A$1:$C$1,),)=0,#N/A,VLOOKUP(Table7[[#This Row],[Date]],Database!$A:$C,MATCH($C$1,Database!$A$1:$C$1,),))</f>
        <v/>
      </c>
      <c r="D11131">
        <f>IFERROR(Table7[[#This Row],[United States 10y]]-Table7[[#This Row],[United States 3y]],#N/A)</f>
        <v/>
      </c>
    </row>
    <row r="11132">
      <c r="A11132" s="6">
        <f>Database!$A13217</f>
        <v/>
      </c>
      <c r="B11132">
        <f>IF(VLOOKUP(Table7[[#This Row],[Date]],Database!$A:$C,MATCH($B$1,Database!$A$1:$C$1,),)=0,#N/A,VLOOKUP(Table7[[#This Row],[Date]],Database!$A:$C,MATCH($B$1,Database!$A$1:$C$1,),))</f>
        <v/>
      </c>
      <c r="C11132">
        <f>IF(VLOOKUP(Table7[[#This Row],[Date]],Database!$A:$C,MATCH($C$1,Database!$A$1:$C$1,),)=0,#N/A,VLOOKUP(Table7[[#This Row],[Date]],Database!$A:$C,MATCH($C$1,Database!$A$1:$C$1,),))</f>
        <v/>
      </c>
      <c r="D11132">
        <f>IFERROR(Table7[[#This Row],[United States 10y]]-Table7[[#This Row],[United States 3y]],#N/A)</f>
        <v/>
      </c>
    </row>
    <row r="11133">
      <c r="A11133" s="6">
        <f>Database!$A13218</f>
        <v/>
      </c>
      <c r="B11133">
        <f>IF(VLOOKUP(Table7[[#This Row],[Date]],Database!$A:$C,MATCH($B$1,Database!$A$1:$C$1,),)=0,#N/A,VLOOKUP(Table7[[#This Row],[Date]],Database!$A:$C,MATCH($B$1,Database!$A$1:$C$1,),))</f>
        <v/>
      </c>
      <c r="C11133">
        <f>IF(VLOOKUP(Table7[[#This Row],[Date]],Database!$A:$C,MATCH($C$1,Database!$A$1:$C$1,),)=0,#N/A,VLOOKUP(Table7[[#This Row],[Date]],Database!$A:$C,MATCH($C$1,Database!$A$1:$C$1,),))</f>
        <v/>
      </c>
      <c r="D11133">
        <f>IFERROR(Table7[[#This Row],[United States 10y]]-Table7[[#This Row],[United States 3y]],#N/A)</f>
        <v/>
      </c>
    </row>
    <row r="11134">
      <c r="A11134" s="6">
        <f>Database!$A13219</f>
        <v/>
      </c>
      <c r="B11134">
        <f>IF(VLOOKUP(Table7[[#This Row],[Date]],Database!$A:$C,MATCH($B$1,Database!$A$1:$C$1,),)=0,#N/A,VLOOKUP(Table7[[#This Row],[Date]],Database!$A:$C,MATCH($B$1,Database!$A$1:$C$1,),))</f>
        <v/>
      </c>
      <c r="C11134">
        <f>IF(VLOOKUP(Table7[[#This Row],[Date]],Database!$A:$C,MATCH($C$1,Database!$A$1:$C$1,),)=0,#N/A,VLOOKUP(Table7[[#This Row],[Date]],Database!$A:$C,MATCH($C$1,Database!$A$1:$C$1,),))</f>
        <v/>
      </c>
      <c r="D11134">
        <f>IFERROR(Table7[[#This Row],[United States 10y]]-Table7[[#This Row],[United States 3y]],#N/A)</f>
        <v/>
      </c>
    </row>
    <row r="11135">
      <c r="A11135" s="6">
        <f>Database!$A13220</f>
        <v/>
      </c>
      <c r="B11135">
        <f>IF(VLOOKUP(Table7[[#This Row],[Date]],Database!$A:$C,MATCH($B$1,Database!$A$1:$C$1,),)=0,#N/A,VLOOKUP(Table7[[#This Row],[Date]],Database!$A:$C,MATCH($B$1,Database!$A$1:$C$1,),))</f>
        <v/>
      </c>
      <c r="C11135">
        <f>IF(VLOOKUP(Table7[[#This Row],[Date]],Database!$A:$C,MATCH($C$1,Database!$A$1:$C$1,),)=0,#N/A,VLOOKUP(Table7[[#This Row],[Date]],Database!$A:$C,MATCH($C$1,Database!$A$1:$C$1,),))</f>
        <v/>
      </c>
      <c r="D11135">
        <f>IFERROR(Table7[[#This Row],[United States 10y]]-Table7[[#This Row],[United States 3y]],#N/A)</f>
        <v/>
      </c>
    </row>
    <row r="11136">
      <c r="A11136" s="6">
        <f>Database!$A13221</f>
        <v/>
      </c>
      <c r="B11136">
        <f>IF(VLOOKUP(Table7[[#This Row],[Date]],Database!$A:$C,MATCH($B$1,Database!$A$1:$C$1,),)=0,#N/A,VLOOKUP(Table7[[#This Row],[Date]],Database!$A:$C,MATCH($B$1,Database!$A$1:$C$1,),))</f>
        <v/>
      </c>
      <c r="C11136">
        <f>IF(VLOOKUP(Table7[[#This Row],[Date]],Database!$A:$C,MATCH($C$1,Database!$A$1:$C$1,),)=0,#N/A,VLOOKUP(Table7[[#This Row],[Date]],Database!$A:$C,MATCH($C$1,Database!$A$1:$C$1,),))</f>
        <v/>
      </c>
      <c r="D11136">
        <f>IFERROR(Table7[[#This Row],[United States 10y]]-Table7[[#This Row],[United States 3y]],#N/A)</f>
        <v/>
      </c>
    </row>
    <row r="11137">
      <c r="A11137" s="6">
        <f>Database!$A13222</f>
        <v/>
      </c>
      <c r="B11137">
        <f>IF(VLOOKUP(Table7[[#This Row],[Date]],Database!$A:$C,MATCH($B$1,Database!$A$1:$C$1,),)=0,#N/A,VLOOKUP(Table7[[#This Row],[Date]],Database!$A:$C,MATCH($B$1,Database!$A$1:$C$1,),))</f>
        <v/>
      </c>
      <c r="C11137">
        <f>IF(VLOOKUP(Table7[[#This Row],[Date]],Database!$A:$C,MATCH($C$1,Database!$A$1:$C$1,),)=0,#N/A,VLOOKUP(Table7[[#This Row],[Date]],Database!$A:$C,MATCH($C$1,Database!$A$1:$C$1,),))</f>
        <v/>
      </c>
      <c r="D11137">
        <f>IFERROR(Table7[[#This Row],[United States 10y]]-Table7[[#This Row],[United States 3y]],#N/A)</f>
        <v/>
      </c>
    </row>
    <row r="11138">
      <c r="A11138" s="6">
        <f>Database!$A13223</f>
        <v/>
      </c>
      <c r="B11138">
        <f>IF(VLOOKUP(Table7[[#This Row],[Date]],Database!$A:$C,MATCH($B$1,Database!$A$1:$C$1,),)=0,#N/A,VLOOKUP(Table7[[#This Row],[Date]],Database!$A:$C,MATCH($B$1,Database!$A$1:$C$1,),))</f>
        <v/>
      </c>
      <c r="C11138">
        <f>IF(VLOOKUP(Table7[[#This Row],[Date]],Database!$A:$C,MATCH($C$1,Database!$A$1:$C$1,),)=0,#N/A,VLOOKUP(Table7[[#This Row],[Date]],Database!$A:$C,MATCH($C$1,Database!$A$1:$C$1,),))</f>
        <v/>
      </c>
      <c r="D11138">
        <f>IFERROR(Table7[[#This Row],[United States 10y]]-Table7[[#This Row],[United States 3y]],#N/A)</f>
        <v/>
      </c>
    </row>
    <row r="11139">
      <c r="A11139" s="6">
        <f>Database!$A13224</f>
        <v/>
      </c>
      <c r="B11139">
        <f>IF(VLOOKUP(Table7[[#This Row],[Date]],Database!$A:$C,MATCH($B$1,Database!$A$1:$C$1,),)=0,#N/A,VLOOKUP(Table7[[#This Row],[Date]],Database!$A:$C,MATCH($B$1,Database!$A$1:$C$1,),))</f>
        <v/>
      </c>
      <c r="C11139">
        <f>IF(VLOOKUP(Table7[[#This Row],[Date]],Database!$A:$C,MATCH($C$1,Database!$A$1:$C$1,),)=0,#N/A,VLOOKUP(Table7[[#This Row],[Date]],Database!$A:$C,MATCH($C$1,Database!$A$1:$C$1,),))</f>
        <v/>
      </c>
      <c r="D11139">
        <f>IFERROR(Table7[[#This Row],[United States 10y]]-Table7[[#This Row],[United States 3y]],#N/A)</f>
        <v/>
      </c>
    </row>
    <row r="11140">
      <c r="A11140" s="6">
        <f>Database!$A13225</f>
        <v/>
      </c>
      <c r="B11140">
        <f>IF(VLOOKUP(Table7[[#This Row],[Date]],Database!$A:$C,MATCH($B$1,Database!$A$1:$C$1,),)=0,#N/A,VLOOKUP(Table7[[#This Row],[Date]],Database!$A:$C,MATCH($B$1,Database!$A$1:$C$1,),))</f>
        <v/>
      </c>
      <c r="C11140">
        <f>IF(VLOOKUP(Table7[[#This Row],[Date]],Database!$A:$C,MATCH($C$1,Database!$A$1:$C$1,),)=0,#N/A,VLOOKUP(Table7[[#This Row],[Date]],Database!$A:$C,MATCH($C$1,Database!$A$1:$C$1,),))</f>
        <v/>
      </c>
      <c r="D11140">
        <f>IFERROR(Table7[[#This Row],[United States 10y]]-Table7[[#This Row],[United States 3y]],#N/A)</f>
        <v/>
      </c>
    </row>
    <row r="11141">
      <c r="A11141" s="6">
        <f>Database!$A13226</f>
        <v/>
      </c>
      <c r="B11141">
        <f>IF(VLOOKUP(Table7[[#This Row],[Date]],Database!$A:$C,MATCH($B$1,Database!$A$1:$C$1,),)=0,#N/A,VLOOKUP(Table7[[#This Row],[Date]],Database!$A:$C,MATCH($B$1,Database!$A$1:$C$1,),))</f>
        <v/>
      </c>
      <c r="C11141">
        <f>IF(VLOOKUP(Table7[[#This Row],[Date]],Database!$A:$C,MATCH($C$1,Database!$A$1:$C$1,),)=0,#N/A,VLOOKUP(Table7[[#This Row],[Date]],Database!$A:$C,MATCH($C$1,Database!$A$1:$C$1,),))</f>
        <v/>
      </c>
      <c r="D11141">
        <f>IFERROR(Table7[[#This Row],[United States 10y]]-Table7[[#This Row],[United States 3y]],#N/A)</f>
        <v/>
      </c>
    </row>
    <row r="11142">
      <c r="A11142" s="6">
        <f>Database!$A13227</f>
        <v/>
      </c>
      <c r="B11142">
        <f>IF(VLOOKUP(Table7[[#This Row],[Date]],Database!$A:$C,MATCH($B$1,Database!$A$1:$C$1,),)=0,#N/A,VLOOKUP(Table7[[#This Row],[Date]],Database!$A:$C,MATCH($B$1,Database!$A$1:$C$1,),))</f>
        <v/>
      </c>
      <c r="C11142">
        <f>IF(VLOOKUP(Table7[[#This Row],[Date]],Database!$A:$C,MATCH($C$1,Database!$A$1:$C$1,),)=0,#N/A,VLOOKUP(Table7[[#This Row],[Date]],Database!$A:$C,MATCH($C$1,Database!$A$1:$C$1,),))</f>
        <v/>
      </c>
      <c r="D11142">
        <f>IFERROR(Table7[[#This Row],[United States 10y]]-Table7[[#This Row],[United States 3y]],#N/A)</f>
        <v/>
      </c>
    </row>
    <row r="11143">
      <c r="A11143" s="6">
        <f>Database!$A13228</f>
        <v/>
      </c>
      <c r="B11143">
        <f>IF(VLOOKUP(Table7[[#This Row],[Date]],Database!$A:$C,MATCH($B$1,Database!$A$1:$C$1,),)=0,#N/A,VLOOKUP(Table7[[#This Row],[Date]],Database!$A:$C,MATCH($B$1,Database!$A$1:$C$1,),))</f>
        <v/>
      </c>
      <c r="C11143">
        <f>IF(VLOOKUP(Table7[[#This Row],[Date]],Database!$A:$C,MATCH($C$1,Database!$A$1:$C$1,),)=0,#N/A,VLOOKUP(Table7[[#This Row],[Date]],Database!$A:$C,MATCH($C$1,Database!$A$1:$C$1,),))</f>
        <v/>
      </c>
      <c r="D11143">
        <f>IFERROR(Table7[[#This Row],[United States 10y]]-Table7[[#This Row],[United States 3y]],#N/A)</f>
        <v/>
      </c>
    </row>
    <row r="11144">
      <c r="A11144" s="6">
        <f>Database!$A13229</f>
        <v/>
      </c>
      <c r="B11144">
        <f>IF(VLOOKUP(Table7[[#This Row],[Date]],Database!$A:$C,MATCH($B$1,Database!$A$1:$C$1,),)=0,#N/A,VLOOKUP(Table7[[#This Row],[Date]],Database!$A:$C,MATCH($B$1,Database!$A$1:$C$1,),))</f>
        <v/>
      </c>
      <c r="C11144">
        <f>IF(VLOOKUP(Table7[[#This Row],[Date]],Database!$A:$C,MATCH($C$1,Database!$A$1:$C$1,),)=0,#N/A,VLOOKUP(Table7[[#This Row],[Date]],Database!$A:$C,MATCH($C$1,Database!$A$1:$C$1,),))</f>
        <v/>
      </c>
      <c r="D11144">
        <f>IFERROR(Table7[[#This Row],[United States 10y]]-Table7[[#This Row],[United States 3y]],#N/A)</f>
        <v/>
      </c>
    </row>
    <row r="11145">
      <c r="A11145" s="6">
        <f>Database!$A13230</f>
        <v/>
      </c>
      <c r="B11145">
        <f>IF(VLOOKUP(Table7[[#This Row],[Date]],Database!$A:$C,MATCH($B$1,Database!$A$1:$C$1,),)=0,#N/A,VLOOKUP(Table7[[#This Row],[Date]],Database!$A:$C,MATCH($B$1,Database!$A$1:$C$1,),))</f>
        <v/>
      </c>
      <c r="C11145">
        <f>IF(VLOOKUP(Table7[[#This Row],[Date]],Database!$A:$C,MATCH($C$1,Database!$A$1:$C$1,),)=0,#N/A,VLOOKUP(Table7[[#This Row],[Date]],Database!$A:$C,MATCH($C$1,Database!$A$1:$C$1,),))</f>
        <v/>
      </c>
      <c r="D11145">
        <f>IFERROR(Table7[[#This Row],[United States 10y]]-Table7[[#This Row],[United States 3y]],#N/A)</f>
        <v/>
      </c>
    </row>
    <row r="11146">
      <c r="A11146" s="6">
        <f>Database!$A13231</f>
        <v/>
      </c>
      <c r="B11146">
        <f>IF(VLOOKUP(Table7[[#This Row],[Date]],Database!$A:$C,MATCH($B$1,Database!$A$1:$C$1,),)=0,#N/A,VLOOKUP(Table7[[#This Row],[Date]],Database!$A:$C,MATCH($B$1,Database!$A$1:$C$1,),))</f>
        <v/>
      </c>
      <c r="C11146">
        <f>IF(VLOOKUP(Table7[[#This Row],[Date]],Database!$A:$C,MATCH($C$1,Database!$A$1:$C$1,),)=0,#N/A,VLOOKUP(Table7[[#This Row],[Date]],Database!$A:$C,MATCH($C$1,Database!$A$1:$C$1,),))</f>
        <v/>
      </c>
      <c r="D11146">
        <f>IFERROR(Table7[[#This Row],[United States 10y]]-Table7[[#This Row],[United States 3y]],#N/A)</f>
        <v/>
      </c>
    </row>
    <row r="11147">
      <c r="A11147" s="6">
        <f>Database!$A13232</f>
        <v/>
      </c>
      <c r="B11147">
        <f>IF(VLOOKUP(Table7[[#This Row],[Date]],Database!$A:$C,MATCH($B$1,Database!$A$1:$C$1,),)=0,#N/A,VLOOKUP(Table7[[#This Row],[Date]],Database!$A:$C,MATCH($B$1,Database!$A$1:$C$1,),))</f>
        <v/>
      </c>
      <c r="C11147">
        <f>IF(VLOOKUP(Table7[[#This Row],[Date]],Database!$A:$C,MATCH($C$1,Database!$A$1:$C$1,),)=0,#N/A,VLOOKUP(Table7[[#This Row],[Date]],Database!$A:$C,MATCH($C$1,Database!$A$1:$C$1,),))</f>
        <v/>
      </c>
      <c r="D11147">
        <f>IFERROR(Table7[[#This Row],[United States 10y]]-Table7[[#This Row],[United States 3y]],#N/A)</f>
        <v/>
      </c>
    </row>
    <row r="11148">
      <c r="A11148" s="6">
        <f>Database!$A13233</f>
        <v/>
      </c>
      <c r="B11148">
        <f>IF(VLOOKUP(Table7[[#This Row],[Date]],Database!$A:$C,MATCH($B$1,Database!$A$1:$C$1,),)=0,#N/A,VLOOKUP(Table7[[#This Row],[Date]],Database!$A:$C,MATCH($B$1,Database!$A$1:$C$1,),))</f>
        <v/>
      </c>
      <c r="C11148">
        <f>IF(VLOOKUP(Table7[[#This Row],[Date]],Database!$A:$C,MATCH($C$1,Database!$A$1:$C$1,),)=0,#N/A,VLOOKUP(Table7[[#This Row],[Date]],Database!$A:$C,MATCH($C$1,Database!$A$1:$C$1,),))</f>
        <v/>
      </c>
      <c r="D11148">
        <f>IFERROR(Table7[[#This Row],[United States 10y]]-Table7[[#This Row],[United States 3y]],#N/A)</f>
        <v/>
      </c>
    </row>
    <row r="11149">
      <c r="A11149" s="6">
        <f>Database!$A13234</f>
        <v/>
      </c>
      <c r="B11149">
        <f>IF(VLOOKUP(Table7[[#This Row],[Date]],Database!$A:$C,MATCH($B$1,Database!$A$1:$C$1,),)=0,#N/A,VLOOKUP(Table7[[#This Row],[Date]],Database!$A:$C,MATCH($B$1,Database!$A$1:$C$1,),))</f>
        <v/>
      </c>
      <c r="C11149">
        <f>IF(VLOOKUP(Table7[[#This Row],[Date]],Database!$A:$C,MATCH($C$1,Database!$A$1:$C$1,),)=0,#N/A,VLOOKUP(Table7[[#This Row],[Date]],Database!$A:$C,MATCH($C$1,Database!$A$1:$C$1,),))</f>
        <v/>
      </c>
      <c r="D11149">
        <f>IFERROR(Table7[[#This Row],[United States 10y]]-Table7[[#This Row],[United States 3y]],#N/A)</f>
        <v/>
      </c>
    </row>
    <row r="11150">
      <c r="A11150" s="6">
        <f>Database!$A13235</f>
        <v/>
      </c>
      <c r="B11150">
        <f>IF(VLOOKUP(Table7[[#This Row],[Date]],Database!$A:$C,MATCH($B$1,Database!$A$1:$C$1,),)=0,#N/A,VLOOKUP(Table7[[#This Row],[Date]],Database!$A:$C,MATCH($B$1,Database!$A$1:$C$1,),))</f>
        <v/>
      </c>
      <c r="C11150">
        <f>IF(VLOOKUP(Table7[[#This Row],[Date]],Database!$A:$C,MATCH($C$1,Database!$A$1:$C$1,),)=0,#N/A,VLOOKUP(Table7[[#This Row],[Date]],Database!$A:$C,MATCH($C$1,Database!$A$1:$C$1,),))</f>
        <v/>
      </c>
      <c r="D11150">
        <f>IFERROR(Table7[[#This Row],[United States 10y]]-Table7[[#This Row],[United States 3y]],#N/A)</f>
        <v/>
      </c>
    </row>
    <row r="11151">
      <c r="A11151" s="6">
        <f>Database!$A13236</f>
        <v/>
      </c>
      <c r="B11151">
        <f>IF(VLOOKUP(Table7[[#This Row],[Date]],Database!$A:$C,MATCH($B$1,Database!$A$1:$C$1,),)=0,#N/A,VLOOKUP(Table7[[#This Row],[Date]],Database!$A:$C,MATCH($B$1,Database!$A$1:$C$1,),))</f>
        <v/>
      </c>
      <c r="C11151">
        <f>IF(VLOOKUP(Table7[[#This Row],[Date]],Database!$A:$C,MATCH($C$1,Database!$A$1:$C$1,),)=0,#N/A,VLOOKUP(Table7[[#This Row],[Date]],Database!$A:$C,MATCH($C$1,Database!$A$1:$C$1,),))</f>
        <v/>
      </c>
      <c r="D11151">
        <f>IFERROR(Table7[[#This Row],[United States 10y]]-Table7[[#This Row],[United States 3y]],#N/A)</f>
        <v/>
      </c>
    </row>
    <row r="11152">
      <c r="A11152" s="6">
        <f>Database!$A13237</f>
        <v/>
      </c>
      <c r="B11152">
        <f>IF(VLOOKUP(Table7[[#This Row],[Date]],Database!$A:$C,MATCH($B$1,Database!$A$1:$C$1,),)=0,#N/A,VLOOKUP(Table7[[#This Row],[Date]],Database!$A:$C,MATCH($B$1,Database!$A$1:$C$1,),))</f>
        <v/>
      </c>
      <c r="C11152">
        <f>IF(VLOOKUP(Table7[[#This Row],[Date]],Database!$A:$C,MATCH($C$1,Database!$A$1:$C$1,),)=0,#N/A,VLOOKUP(Table7[[#This Row],[Date]],Database!$A:$C,MATCH($C$1,Database!$A$1:$C$1,),))</f>
        <v/>
      </c>
      <c r="D11152">
        <f>IFERROR(Table7[[#This Row],[United States 10y]]-Table7[[#This Row],[United States 3y]],#N/A)</f>
        <v/>
      </c>
    </row>
    <row r="11153">
      <c r="A11153" s="6">
        <f>Database!$A13238</f>
        <v/>
      </c>
      <c r="B11153">
        <f>IF(VLOOKUP(Table7[[#This Row],[Date]],Database!$A:$C,MATCH($B$1,Database!$A$1:$C$1,),)=0,#N/A,VLOOKUP(Table7[[#This Row],[Date]],Database!$A:$C,MATCH($B$1,Database!$A$1:$C$1,),))</f>
        <v/>
      </c>
      <c r="C11153">
        <f>IF(VLOOKUP(Table7[[#This Row],[Date]],Database!$A:$C,MATCH($C$1,Database!$A$1:$C$1,),)=0,#N/A,VLOOKUP(Table7[[#This Row],[Date]],Database!$A:$C,MATCH($C$1,Database!$A$1:$C$1,),))</f>
        <v/>
      </c>
      <c r="D11153">
        <f>IFERROR(Table7[[#This Row],[United States 10y]]-Table7[[#This Row],[United States 3y]],#N/A)</f>
        <v/>
      </c>
    </row>
    <row r="11154">
      <c r="A11154" s="6">
        <f>Database!$A13239</f>
        <v/>
      </c>
      <c r="B11154">
        <f>IF(VLOOKUP(Table7[[#This Row],[Date]],Database!$A:$C,MATCH($B$1,Database!$A$1:$C$1,),)=0,#N/A,VLOOKUP(Table7[[#This Row],[Date]],Database!$A:$C,MATCH($B$1,Database!$A$1:$C$1,),))</f>
        <v/>
      </c>
      <c r="C11154">
        <f>IF(VLOOKUP(Table7[[#This Row],[Date]],Database!$A:$C,MATCH($C$1,Database!$A$1:$C$1,),)=0,#N/A,VLOOKUP(Table7[[#This Row],[Date]],Database!$A:$C,MATCH($C$1,Database!$A$1:$C$1,),))</f>
        <v/>
      </c>
      <c r="D11154">
        <f>IFERROR(Table7[[#This Row],[United States 10y]]-Table7[[#This Row],[United States 3y]],#N/A)</f>
        <v/>
      </c>
    </row>
    <row r="11155">
      <c r="A11155" s="6">
        <f>Database!$A13240</f>
        <v/>
      </c>
      <c r="B11155">
        <f>IF(VLOOKUP(Table7[[#This Row],[Date]],Database!$A:$C,MATCH($B$1,Database!$A$1:$C$1,),)=0,#N/A,VLOOKUP(Table7[[#This Row],[Date]],Database!$A:$C,MATCH($B$1,Database!$A$1:$C$1,),))</f>
        <v/>
      </c>
      <c r="C11155">
        <f>IF(VLOOKUP(Table7[[#This Row],[Date]],Database!$A:$C,MATCH($C$1,Database!$A$1:$C$1,),)=0,#N/A,VLOOKUP(Table7[[#This Row],[Date]],Database!$A:$C,MATCH($C$1,Database!$A$1:$C$1,),))</f>
        <v/>
      </c>
      <c r="D11155">
        <f>IFERROR(Table7[[#This Row],[United States 10y]]-Table7[[#This Row],[United States 3y]],#N/A)</f>
        <v/>
      </c>
    </row>
    <row r="11156">
      <c r="A11156" s="6">
        <f>Database!$A13241</f>
        <v/>
      </c>
      <c r="B11156">
        <f>IF(VLOOKUP(Table7[[#This Row],[Date]],Database!$A:$C,MATCH($B$1,Database!$A$1:$C$1,),)=0,#N/A,VLOOKUP(Table7[[#This Row],[Date]],Database!$A:$C,MATCH($B$1,Database!$A$1:$C$1,),))</f>
        <v/>
      </c>
      <c r="C11156">
        <f>IF(VLOOKUP(Table7[[#This Row],[Date]],Database!$A:$C,MATCH($C$1,Database!$A$1:$C$1,),)=0,#N/A,VLOOKUP(Table7[[#This Row],[Date]],Database!$A:$C,MATCH($C$1,Database!$A$1:$C$1,),))</f>
        <v/>
      </c>
      <c r="D11156">
        <f>IFERROR(Table7[[#This Row],[United States 10y]]-Table7[[#This Row],[United States 3y]],#N/A)</f>
        <v/>
      </c>
    </row>
    <row r="11157">
      <c r="A11157" s="6">
        <f>Database!$A13242</f>
        <v/>
      </c>
      <c r="B11157">
        <f>IF(VLOOKUP(Table7[[#This Row],[Date]],Database!$A:$C,MATCH($B$1,Database!$A$1:$C$1,),)=0,#N/A,VLOOKUP(Table7[[#This Row],[Date]],Database!$A:$C,MATCH($B$1,Database!$A$1:$C$1,),))</f>
        <v/>
      </c>
      <c r="C11157">
        <f>IF(VLOOKUP(Table7[[#This Row],[Date]],Database!$A:$C,MATCH($C$1,Database!$A$1:$C$1,),)=0,#N/A,VLOOKUP(Table7[[#This Row],[Date]],Database!$A:$C,MATCH($C$1,Database!$A$1:$C$1,),))</f>
        <v/>
      </c>
      <c r="D11157">
        <f>IFERROR(Table7[[#This Row],[United States 10y]]-Table7[[#This Row],[United States 3y]],#N/A)</f>
        <v/>
      </c>
    </row>
    <row r="11158">
      <c r="A11158" s="6">
        <f>Database!$A13243</f>
        <v/>
      </c>
      <c r="B11158">
        <f>IF(VLOOKUP(Table7[[#This Row],[Date]],Database!$A:$C,MATCH($B$1,Database!$A$1:$C$1,),)=0,#N/A,VLOOKUP(Table7[[#This Row],[Date]],Database!$A:$C,MATCH($B$1,Database!$A$1:$C$1,),))</f>
        <v/>
      </c>
      <c r="C11158">
        <f>IF(VLOOKUP(Table7[[#This Row],[Date]],Database!$A:$C,MATCH($C$1,Database!$A$1:$C$1,),)=0,#N/A,VLOOKUP(Table7[[#This Row],[Date]],Database!$A:$C,MATCH($C$1,Database!$A$1:$C$1,),))</f>
        <v/>
      </c>
      <c r="D11158">
        <f>IFERROR(Table7[[#This Row],[United States 10y]]-Table7[[#This Row],[United States 3y]],#N/A)</f>
        <v/>
      </c>
    </row>
    <row r="11159">
      <c r="A11159" s="6">
        <f>Database!$A13244</f>
        <v/>
      </c>
      <c r="B11159">
        <f>IF(VLOOKUP(Table7[[#This Row],[Date]],Database!$A:$C,MATCH($B$1,Database!$A$1:$C$1,),)=0,#N/A,VLOOKUP(Table7[[#This Row],[Date]],Database!$A:$C,MATCH($B$1,Database!$A$1:$C$1,),))</f>
        <v/>
      </c>
      <c r="C11159">
        <f>IF(VLOOKUP(Table7[[#This Row],[Date]],Database!$A:$C,MATCH($C$1,Database!$A$1:$C$1,),)=0,#N/A,VLOOKUP(Table7[[#This Row],[Date]],Database!$A:$C,MATCH($C$1,Database!$A$1:$C$1,),))</f>
        <v/>
      </c>
      <c r="D11159">
        <f>IFERROR(Table7[[#This Row],[United States 10y]]-Table7[[#This Row],[United States 3y]],#N/A)</f>
        <v/>
      </c>
    </row>
    <row r="11160">
      <c r="A11160" s="6">
        <f>Database!$A13245</f>
        <v/>
      </c>
      <c r="B11160">
        <f>IF(VLOOKUP(Table7[[#This Row],[Date]],Database!$A:$C,MATCH($B$1,Database!$A$1:$C$1,),)=0,#N/A,VLOOKUP(Table7[[#This Row],[Date]],Database!$A:$C,MATCH($B$1,Database!$A$1:$C$1,),))</f>
        <v/>
      </c>
      <c r="C11160">
        <f>IF(VLOOKUP(Table7[[#This Row],[Date]],Database!$A:$C,MATCH($C$1,Database!$A$1:$C$1,),)=0,#N/A,VLOOKUP(Table7[[#This Row],[Date]],Database!$A:$C,MATCH($C$1,Database!$A$1:$C$1,),))</f>
        <v/>
      </c>
      <c r="D11160">
        <f>IFERROR(Table7[[#This Row],[United States 10y]]-Table7[[#This Row],[United States 3y]],#N/A)</f>
        <v/>
      </c>
    </row>
    <row r="11161">
      <c r="A11161" s="6">
        <f>Database!$A13246</f>
        <v/>
      </c>
      <c r="B11161">
        <f>IF(VLOOKUP(Table7[[#This Row],[Date]],Database!$A:$C,MATCH($B$1,Database!$A$1:$C$1,),)=0,#N/A,VLOOKUP(Table7[[#This Row],[Date]],Database!$A:$C,MATCH($B$1,Database!$A$1:$C$1,),))</f>
        <v/>
      </c>
      <c r="C11161">
        <f>IF(VLOOKUP(Table7[[#This Row],[Date]],Database!$A:$C,MATCH($C$1,Database!$A$1:$C$1,),)=0,#N/A,VLOOKUP(Table7[[#This Row],[Date]],Database!$A:$C,MATCH($C$1,Database!$A$1:$C$1,),))</f>
        <v/>
      </c>
      <c r="D11161">
        <f>IFERROR(Table7[[#This Row],[United States 10y]]-Table7[[#This Row],[United States 3y]],#N/A)</f>
        <v/>
      </c>
    </row>
    <row r="11162">
      <c r="A11162" s="6">
        <f>Database!$A13247</f>
        <v/>
      </c>
      <c r="B11162">
        <f>IF(VLOOKUP(Table7[[#This Row],[Date]],Database!$A:$C,MATCH($B$1,Database!$A$1:$C$1,),)=0,#N/A,VLOOKUP(Table7[[#This Row],[Date]],Database!$A:$C,MATCH($B$1,Database!$A$1:$C$1,),))</f>
        <v/>
      </c>
      <c r="C11162">
        <f>IF(VLOOKUP(Table7[[#This Row],[Date]],Database!$A:$C,MATCH($C$1,Database!$A$1:$C$1,),)=0,#N/A,VLOOKUP(Table7[[#This Row],[Date]],Database!$A:$C,MATCH($C$1,Database!$A$1:$C$1,),))</f>
        <v/>
      </c>
      <c r="D11162">
        <f>IFERROR(Table7[[#This Row],[United States 10y]]-Table7[[#This Row],[United States 3y]],#N/A)</f>
        <v/>
      </c>
    </row>
    <row r="11163">
      <c r="A11163" s="6">
        <f>Database!$A13248</f>
        <v/>
      </c>
      <c r="B11163">
        <f>IF(VLOOKUP(Table7[[#This Row],[Date]],Database!$A:$C,MATCH($B$1,Database!$A$1:$C$1,),)=0,#N/A,VLOOKUP(Table7[[#This Row],[Date]],Database!$A:$C,MATCH($B$1,Database!$A$1:$C$1,),))</f>
        <v/>
      </c>
      <c r="C11163">
        <f>IF(VLOOKUP(Table7[[#This Row],[Date]],Database!$A:$C,MATCH($C$1,Database!$A$1:$C$1,),)=0,#N/A,VLOOKUP(Table7[[#This Row],[Date]],Database!$A:$C,MATCH($C$1,Database!$A$1:$C$1,),))</f>
        <v/>
      </c>
      <c r="D11163">
        <f>IFERROR(Table7[[#This Row],[United States 10y]]-Table7[[#This Row],[United States 3y]],#N/A)</f>
        <v/>
      </c>
    </row>
    <row r="11164">
      <c r="A11164" s="6">
        <f>Database!$A13249</f>
        <v/>
      </c>
      <c r="B11164">
        <f>IF(VLOOKUP(Table7[[#This Row],[Date]],Database!$A:$C,MATCH($B$1,Database!$A$1:$C$1,),)=0,#N/A,VLOOKUP(Table7[[#This Row],[Date]],Database!$A:$C,MATCH($B$1,Database!$A$1:$C$1,),))</f>
        <v/>
      </c>
      <c r="C11164">
        <f>IF(VLOOKUP(Table7[[#This Row],[Date]],Database!$A:$C,MATCH($C$1,Database!$A$1:$C$1,),)=0,#N/A,VLOOKUP(Table7[[#This Row],[Date]],Database!$A:$C,MATCH($C$1,Database!$A$1:$C$1,),))</f>
        <v/>
      </c>
      <c r="D11164">
        <f>IFERROR(Table7[[#This Row],[United States 10y]]-Table7[[#This Row],[United States 3y]],#N/A)</f>
        <v/>
      </c>
    </row>
    <row r="11165">
      <c r="A11165" s="6">
        <f>Database!$A13250</f>
        <v/>
      </c>
      <c r="B11165">
        <f>IF(VLOOKUP(Table7[[#This Row],[Date]],Database!$A:$C,MATCH($B$1,Database!$A$1:$C$1,),)=0,#N/A,VLOOKUP(Table7[[#This Row],[Date]],Database!$A:$C,MATCH($B$1,Database!$A$1:$C$1,),))</f>
        <v/>
      </c>
      <c r="C11165">
        <f>IF(VLOOKUP(Table7[[#This Row],[Date]],Database!$A:$C,MATCH($C$1,Database!$A$1:$C$1,),)=0,#N/A,VLOOKUP(Table7[[#This Row],[Date]],Database!$A:$C,MATCH($C$1,Database!$A$1:$C$1,),))</f>
        <v/>
      </c>
      <c r="D11165">
        <f>IFERROR(Table7[[#This Row],[United States 10y]]-Table7[[#This Row],[United States 3y]],#N/A)</f>
        <v/>
      </c>
    </row>
    <row r="11166">
      <c r="A11166" s="6">
        <f>Database!$A13251</f>
        <v/>
      </c>
      <c r="B11166">
        <f>IF(VLOOKUP(Table7[[#This Row],[Date]],Database!$A:$C,MATCH($B$1,Database!$A$1:$C$1,),)=0,#N/A,VLOOKUP(Table7[[#This Row],[Date]],Database!$A:$C,MATCH($B$1,Database!$A$1:$C$1,),))</f>
        <v/>
      </c>
      <c r="C11166">
        <f>IF(VLOOKUP(Table7[[#This Row],[Date]],Database!$A:$C,MATCH($C$1,Database!$A$1:$C$1,),)=0,#N/A,VLOOKUP(Table7[[#This Row],[Date]],Database!$A:$C,MATCH($C$1,Database!$A$1:$C$1,),))</f>
        <v/>
      </c>
      <c r="D11166">
        <f>IFERROR(Table7[[#This Row],[United States 10y]]-Table7[[#This Row],[United States 3y]],#N/A)</f>
        <v/>
      </c>
    </row>
    <row r="11167">
      <c r="A11167" s="6">
        <f>Database!$A13252</f>
        <v/>
      </c>
      <c r="B11167">
        <f>IF(VLOOKUP(Table7[[#This Row],[Date]],Database!$A:$C,MATCH($B$1,Database!$A$1:$C$1,),)=0,#N/A,VLOOKUP(Table7[[#This Row],[Date]],Database!$A:$C,MATCH($B$1,Database!$A$1:$C$1,),))</f>
        <v/>
      </c>
      <c r="C11167">
        <f>IF(VLOOKUP(Table7[[#This Row],[Date]],Database!$A:$C,MATCH($C$1,Database!$A$1:$C$1,),)=0,#N/A,VLOOKUP(Table7[[#This Row],[Date]],Database!$A:$C,MATCH($C$1,Database!$A$1:$C$1,),))</f>
        <v/>
      </c>
      <c r="D11167">
        <f>IFERROR(Table7[[#This Row],[United States 10y]]-Table7[[#This Row],[United States 3y]],#N/A)</f>
        <v/>
      </c>
    </row>
    <row r="11168">
      <c r="A11168" s="6">
        <f>Database!$A13253</f>
        <v/>
      </c>
      <c r="B11168">
        <f>IF(VLOOKUP(Table7[[#This Row],[Date]],Database!$A:$C,MATCH($B$1,Database!$A$1:$C$1,),)=0,#N/A,VLOOKUP(Table7[[#This Row],[Date]],Database!$A:$C,MATCH($B$1,Database!$A$1:$C$1,),))</f>
        <v/>
      </c>
      <c r="C11168">
        <f>IF(VLOOKUP(Table7[[#This Row],[Date]],Database!$A:$C,MATCH($C$1,Database!$A$1:$C$1,),)=0,#N/A,VLOOKUP(Table7[[#This Row],[Date]],Database!$A:$C,MATCH($C$1,Database!$A$1:$C$1,),))</f>
        <v/>
      </c>
      <c r="D11168">
        <f>IFERROR(Table7[[#This Row],[United States 10y]]-Table7[[#This Row],[United States 3y]],#N/A)</f>
        <v/>
      </c>
    </row>
    <row r="11169">
      <c r="A11169" s="6">
        <f>Database!$A13254</f>
        <v/>
      </c>
      <c r="B11169">
        <f>IF(VLOOKUP(Table7[[#This Row],[Date]],Database!$A:$C,MATCH($B$1,Database!$A$1:$C$1,),)=0,#N/A,VLOOKUP(Table7[[#This Row],[Date]],Database!$A:$C,MATCH($B$1,Database!$A$1:$C$1,),))</f>
        <v/>
      </c>
      <c r="C11169">
        <f>IF(VLOOKUP(Table7[[#This Row],[Date]],Database!$A:$C,MATCH($C$1,Database!$A$1:$C$1,),)=0,#N/A,VLOOKUP(Table7[[#This Row],[Date]],Database!$A:$C,MATCH($C$1,Database!$A$1:$C$1,),))</f>
        <v/>
      </c>
      <c r="D11169">
        <f>IFERROR(Table7[[#This Row],[United States 10y]]-Table7[[#This Row],[United States 3y]],#N/A)</f>
        <v/>
      </c>
    </row>
    <row r="11170">
      <c r="A11170" s="6">
        <f>Database!$A13255</f>
        <v/>
      </c>
      <c r="B11170">
        <f>IF(VLOOKUP(Table7[[#This Row],[Date]],Database!$A:$C,MATCH($B$1,Database!$A$1:$C$1,),)=0,#N/A,VLOOKUP(Table7[[#This Row],[Date]],Database!$A:$C,MATCH($B$1,Database!$A$1:$C$1,),))</f>
        <v/>
      </c>
      <c r="C11170">
        <f>IF(VLOOKUP(Table7[[#This Row],[Date]],Database!$A:$C,MATCH($C$1,Database!$A$1:$C$1,),)=0,#N/A,VLOOKUP(Table7[[#This Row],[Date]],Database!$A:$C,MATCH($C$1,Database!$A$1:$C$1,),))</f>
        <v/>
      </c>
      <c r="D11170">
        <f>IFERROR(Table7[[#This Row],[United States 10y]]-Table7[[#This Row],[United States 3y]],#N/A)</f>
        <v/>
      </c>
    </row>
    <row r="11171">
      <c r="A11171" s="6">
        <f>Database!$A13256</f>
        <v/>
      </c>
      <c r="B11171">
        <f>IF(VLOOKUP(Table7[[#This Row],[Date]],Database!$A:$C,MATCH($B$1,Database!$A$1:$C$1,),)=0,#N/A,VLOOKUP(Table7[[#This Row],[Date]],Database!$A:$C,MATCH($B$1,Database!$A$1:$C$1,),))</f>
        <v/>
      </c>
      <c r="C11171">
        <f>IF(VLOOKUP(Table7[[#This Row],[Date]],Database!$A:$C,MATCH($C$1,Database!$A$1:$C$1,),)=0,#N/A,VLOOKUP(Table7[[#This Row],[Date]],Database!$A:$C,MATCH($C$1,Database!$A$1:$C$1,),))</f>
        <v/>
      </c>
      <c r="D11171">
        <f>IFERROR(Table7[[#This Row],[United States 10y]]-Table7[[#This Row],[United States 3y]],#N/A)</f>
        <v/>
      </c>
    </row>
    <row r="11172">
      <c r="A11172" s="6">
        <f>Database!$A13257</f>
        <v/>
      </c>
      <c r="B11172">
        <f>IF(VLOOKUP(Table7[[#This Row],[Date]],Database!$A:$C,MATCH($B$1,Database!$A$1:$C$1,),)=0,#N/A,VLOOKUP(Table7[[#This Row],[Date]],Database!$A:$C,MATCH($B$1,Database!$A$1:$C$1,),))</f>
        <v/>
      </c>
      <c r="C11172">
        <f>IF(VLOOKUP(Table7[[#This Row],[Date]],Database!$A:$C,MATCH($C$1,Database!$A$1:$C$1,),)=0,#N/A,VLOOKUP(Table7[[#This Row],[Date]],Database!$A:$C,MATCH($C$1,Database!$A$1:$C$1,),))</f>
        <v/>
      </c>
      <c r="D11172">
        <f>IFERROR(Table7[[#This Row],[United States 10y]]-Table7[[#This Row],[United States 3y]],#N/A)</f>
        <v/>
      </c>
    </row>
    <row r="11173">
      <c r="A11173" s="6">
        <f>Database!$A13258</f>
        <v/>
      </c>
      <c r="B11173">
        <f>IF(VLOOKUP(Table7[[#This Row],[Date]],Database!$A:$C,MATCH($B$1,Database!$A$1:$C$1,),)=0,#N/A,VLOOKUP(Table7[[#This Row],[Date]],Database!$A:$C,MATCH($B$1,Database!$A$1:$C$1,),))</f>
        <v/>
      </c>
      <c r="C11173">
        <f>IF(VLOOKUP(Table7[[#This Row],[Date]],Database!$A:$C,MATCH($C$1,Database!$A$1:$C$1,),)=0,#N/A,VLOOKUP(Table7[[#This Row],[Date]],Database!$A:$C,MATCH($C$1,Database!$A$1:$C$1,),))</f>
        <v/>
      </c>
      <c r="D11173">
        <f>IFERROR(Table7[[#This Row],[United States 10y]]-Table7[[#This Row],[United States 3y]],#N/A)</f>
        <v/>
      </c>
    </row>
    <row r="11174">
      <c r="A11174" s="6">
        <f>Database!$A13259</f>
        <v/>
      </c>
      <c r="B11174">
        <f>IF(VLOOKUP(Table7[[#This Row],[Date]],Database!$A:$C,MATCH($B$1,Database!$A$1:$C$1,),)=0,#N/A,VLOOKUP(Table7[[#This Row],[Date]],Database!$A:$C,MATCH($B$1,Database!$A$1:$C$1,),))</f>
        <v/>
      </c>
      <c r="C11174">
        <f>IF(VLOOKUP(Table7[[#This Row],[Date]],Database!$A:$C,MATCH($C$1,Database!$A$1:$C$1,),)=0,#N/A,VLOOKUP(Table7[[#This Row],[Date]],Database!$A:$C,MATCH($C$1,Database!$A$1:$C$1,),))</f>
        <v/>
      </c>
      <c r="D11174">
        <f>IFERROR(Table7[[#This Row],[United States 10y]]-Table7[[#This Row],[United States 3y]],#N/A)</f>
        <v/>
      </c>
    </row>
    <row r="11175">
      <c r="A11175" s="6">
        <f>Database!$A13260</f>
        <v/>
      </c>
      <c r="B11175">
        <f>IF(VLOOKUP(Table7[[#This Row],[Date]],Database!$A:$C,MATCH($B$1,Database!$A$1:$C$1,),)=0,#N/A,VLOOKUP(Table7[[#This Row],[Date]],Database!$A:$C,MATCH($B$1,Database!$A$1:$C$1,),))</f>
        <v/>
      </c>
      <c r="C11175">
        <f>IF(VLOOKUP(Table7[[#This Row],[Date]],Database!$A:$C,MATCH($C$1,Database!$A$1:$C$1,),)=0,#N/A,VLOOKUP(Table7[[#This Row],[Date]],Database!$A:$C,MATCH($C$1,Database!$A$1:$C$1,),))</f>
        <v/>
      </c>
      <c r="D11175">
        <f>IFERROR(Table7[[#This Row],[United States 10y]]-Table7[[#This Row],[United States 3y]],#N/A)</f>
        <v/>
      </c>
    </row>
    <row r="11176">
      <c r="A11176" s="6">
        <f>Database!$A13261</f>
        <v/>
      </c>
      <c r="B11176">
        <f>IF(VLOOKUP(Table7[[#This Row],[Date]],Database!$A:$C,MATCH($B$1,Database!$A$1:$C$1,),)=0,#N/A,VLOOKUP(Table7[[#This Row],[Date]],Database!$A:$C,MATCH($B$1,Database!$A$1:$C$1,),))</f>
        <v/>
      </c>
      <c r="C11176">
        <f>IF(VLOOKUP(Table7[[#This Row],[Date]],Database!$A:$C,MATCH($C$1,Database!$A$1:$C$1,),)=0,#N/A,VLOOKUP(Table7[[#This Row],[Date]],Database!$A:$C,MATCH($C$1,Database!$A$1:$C$1,),))</f>
        <v/>
      </c>
      <c r="D11176">
        <f>IFERROR(Table7[[#This Row],[United States 10y]]-Table7[[#This Row],[United States 3y]],#N/A)</f>
        <v/>
      </c>
    </row>
    <row r="11177">
      <c r="A11177" s="6">
        <f>Database!$A13262</f>
        <v/>
      </c>
      <c r="B11177">
        <f>IF(VLOOKUP(Table7[[#This Row],[Date]],Database!$A:$C,MATCH($B$1,Database!$A$1:$C$1,),)=0,#N/A,VLOOKUP(Table7[[#This Row],[Date]],Database!$A:$C,MATCH($B$1,Database!$A$1:$C$1,),))</f>
        <v/>
      </c>
      <c r="C11177">
        <f>IF(VLOOKUP(Table7[[#This Row],[Date]],Database!$A:$C,MATCH($C$1,Database!$A$1:$C$1,),)=0,#N/A,VLOOKUP(Table7[[#This Row],[Date]],Database!$A:$C,MATCH($C$1,Database!$A$1:$C$1,),))</f>
        <v/>
      </c>
      <c r="D11177">
        <f>IFERROR(Table7[[#This Row],[United States 10y]]-Table7[[#This Row],[United States 3y]],#N/A)</f>
        <v/>
      </c>
    </row>
    <row r="11178">
      <c r="A11178" s="6">
        <f>Database!$A13263</f>
        <v/>
      </c>
      <c r="B11178">
        <f>IF(VLOOKUP(Table7[[#This Row],[Date]],Database!$A:$C,MATCH($B$1,Database!$A$1:$C$1,),)=0,#N/A,VLOOKUP(Table7[[#This Row],[Date]],Database!$A:$C,MATCH($B$1,Database!$A$1:$C$1,),))</f>
        <v/>
      </c>
      <c r="C11178">
        <f>IF(VLOOKUP(Table7[[#This Row],[Date]],Database!$A:$C,MATCH($C$1,Database!$A$1:$C$1,),)=0,#N/A,VLOOKUP(Table7[[#This Row],[Date]],Database!$A:$C,MATCH($C$1,Database!$A$1:$C$1,),))</f>
        <v/>
      </c>
      <c r="D11178">
        <f>IFERROR(Table7[[#This Row],[United States 10y]]-Table7[[#This Row],[United States 3y]],#N/A)</f>
        <v/>
      </c>
    </row>
    <row r="11179">
      <c r="A11179" s="6">
        <f>Database!$A13264</f>
        <v/>
      </c>
      <c r="B11179">
        <f>IF(VLOOKUP(Table7[[#This Row],[Date]],Database!$A:$C,MATCH($B$1,Database!$A$1:$C$1,),)=0,#N/A,VLOOKUP(Table7[[#This Row],[Date]],Database!$A:$C,MATCH($B$1,Database!$A$1:$C$1,),))</f>
        <v/>
      </c>
      <c r="C11179">
        <f>IF(VLOOKUP(Table7[[#This Row],[Date]],Database!$A:$C,MATCH($C$1,Database!$A$1:$C$1,),)=0,#N/A,VLOOKUP(Table7[[#This Row],[Date]],Database!$A:$C,MATCH($C$1,Database!$A$1:$C$1,),))</f>
        <v/>
      </c>
      <c r="D11179">
        <f>IFERROR(Table7[[#This Row],[United States 10y]]-Table7[[#This Row],[United States 3y]],#N/A)</f>
        <v/>
      </c>
    </row>
    <row r="11180">
      <c r="A11180" s="6">
        <f>Database!$A13265</f>
        <v/>
      </c>
      <c r="B11180">
        <f>IF(VLOOKUP(Table7[[#This Row],[Date]],Database!$A:$C,MATCH($B$1,Database!$A$1:$C$1,),)=0,#N/A,VLOOKUP(Table7[[#This Row],[Date]],Database!$A:$C,MATCH($B$1,Database!$A$1:$C$1,),))</f>
        <v/>
      </c>
      <c r="C11180">
        <f>IF(VLOOKUP(Table7[[#This Row],[Date]],Database!$A:$C,MATCH($C$1,Database!$A$1:$C$1,),)=0,#N/A,VLOOKUP(Table7[[#This Row],[Date]],Database!$A:$C,MATCH($C$1,Database!$A$1:$C$1,),))</f>
        <v/>
      </c>
      <c r="D11180">
        <f>IFERROR(Table7[[#This Row],[United States 10y]]-Table7[[#This Row],[United States 3y]],#N/A)</f>
        <v/>
      </c>
    </row>
    <row r="11181">
      <c r="A11181" s="6">
        <f>Database!$A13266</f>
        <v/>
      </c>
      <c r="B11181">
        <f>IF(VLOOKUP(Table7[[#This Row],[Date]],Database!$A:$C,MATCH($B$1,Database!$A$1:$C$1,),)=0,#N/A,VLOOKUP(Table7[[#This Row],[Date]],Database!$A:$C,MATCH($B$1,Database!$A$1:$C$1,),))</f>
        <v/>
      </c>
      <c r="C11181">
        <f>IF(VLOOKUP(Table7[[#This Row],[Date]],Database!$A:$C,MATCH($C$1,Database!$A$1:$C$1,),)=0,#N/A,VLOOKUP(Table7[[#This Row],[Date]],Database!$A:$C,MATCH($C$1,Database!$A$1:$C$1,),))</f>
        <v/>
      </c>
      <c r="D11181">
        <f>IFERROR(Table7[[#This Row],[United States 10y]]-Table7[[#This Row],[United States 3y]],#N/A)</f>
        <v/>
      </c>
    </row>
    <row r="11182">
      <c r="A11182" s="6">
        <f>Database!$A13267</f>
        <v/>
      </c>
      <c r="B11182">
        <f>IF(VLOOKUP(Table7[[#This Row],[Date]],Database!$A:$C,MATCH($B$1,Database!$A$1:$C$1,),)=0,#N/A,VLOOKUP(Table7[[#This Row],[Date]],Database!$A:$C,MATCH($B$1,Database!$A$1:$C$1,),))</f>
        <v/>
      </c>
      <c r="C11182">
        <f>IF(VLOOKUP(Table7[[#This Row],[Date]],Database!$A:$C,MATCH($C$1,Database!$A$1:$C$1,),)=0,#N/A,VLOOKUP(Table7[[#This Row],[Date]],Database!$A:$C,MATCH($C$1,Database!$A$1:$C$1,),))</f>
        <v/>
      </c>
      <c r="D11182">
        <f>IFERROR(Table7[[#This Row],[United States 10y]]-Table7[[#This Row],[United States 3y]],#N/A)</f>
        <v/>
      </c>
    </row>
    <row r="11183">
      <c r="A11183" s="6">
        <f>Database!$A13268</f>
        <v/>
      </c>
      <c r="B11183">
        <f>IF(VLOOKUP(Table7[[#This Row],[Date]],Database!$A:$C,MATCH($B$1,Database!$A$1:$C$1,),)=0,#N/A,VLOOKUP(Table7[[#This Row],[Date]],Database!$A:$C,MATCH($B$1,Database!$A$1:$C$1,),))</f>
        <v/>
      </c>
      <c r="C11183">
        <f>IF(VLOOKUP(Table7[[#This Row],[Date]],Database!$A:$C,MATCH($C$1,Database!$A$1:$C$1,),)=0,#N/A,VLOOKUP(Table7[[#This Row],[Date]],Database!$A:$C,MATCH($C$1,Database!$A$1:$C$1,),))</f>
        <v/>
      </c>
      <c r="D11183">
        <f>IFERROR(Table7[[#This Row],[United States 10y]]-Table7[[#This Row],[United States 3y]],#N/A)</f>
        <v/>
      </c>
    </row>
    <row r="11184">
      <c r="A11184" s="6">
        <f>Database!$A13269</f>
        <v/>
      </c>
      <c r="B11184">
        <f>IF(VLOOKUP(Table7[[#This Row],[Date]],Database!$A:$C,MATCH($B$1,Database!$A$1:$C$1,),)=0,#N/A,VLOOKUP(Table7[[#This Row],[Date]],Database!$A:$C,MATCH($B$1,Database!$A$1:$C$1,),))</f>
        <v/>
      </c>
      <c r="C11184">
        <f>IF(VLOOKUP(Table7[[#This Row],[Date]],Database!$A:$C,MATCH($C$1,Database!$A$1:$C$1,),)=0,#N/A,VLOOKUP(Table7[[#This Row],[Date]],Database!$A:$C,MATCH($C$1,Database!$A$1:$C$1,),))</f>
        <v/>
      </c>
      <c r="D11184">
        <f>IFERROR(Table7[[#This Row],[United States 10y]]-Table7[[#This Row],[United States 3y]],#N/A)</f>
        <v/>
      </c>
    </row>
    <row r="11185">
      <c r="A11185" s="6">
        <f>Database!$A13270</f>
        <v/>
      </c>
      <c r="B11185">
        <f>IF(VLOOKUP(Table7[[#This Row],[Date]],Database!$A:$C,MATCH($B$1,Database!$A$1:$C$1,),)=0,#N/A,VLOOKUP(Table7[[#This Row],[Date]],Database!$A:$C,MATCH($B$1,Database!$A$1:$C$1,),))</f>
        <v/>
      </c>
      <c r="C11185">
        <f>IF(VLOOKUP(Table7[[#This Row],[Date]],Database!$A:$C,MATCH($C$1,Database!$A$1:$C$1,),)=0,#N/A,VLOOKUP(Table7[[#This Row],[Date]],Database!$A:$C,MATCH($C$1,Database!$A$1:$C$1,),))</f>
        <v/>
      </c>
      <c r="D11185">
        <f>IFERROR(Table7[[#This Row],[United States 10y]]-Table7[[#This Row],[United States 3y]],#N/A)</f>
        <v/>
      </c>
    </row>
    <row r="11186">
      <c r="A11186" s="6">
        <f>Database!$A13271</f>
        <v/>
      </c>
      <c r="B11186">
        <f>IF(VLOOKUP(Table7[[#This Row],[Date]],Database!$A:$C,MATCH($B$1,Database!$A$1:$C$1,),)=0,#N/A,VLOOKUP(Table7[[#This Row],[Date]],Database!$A:$C,MATCH($B$1,Database!$A$1:$C$1,),))</f>
        <v/>
      </c>
      <c r="C11186">
        <f>IF(VLOOKUP(Table7[[#This Row],[Date]],Database!$A:$C,MATCH($C$1,Database!$A$1:$C$1,),)=0,#N/A,VLOOKUP(Table7[[#This Row],[Date]],Database!$A:$C,MATCH($C$1,Database!$A$1:$C$1,),))</f>
        <v/>
      </c>
      <c r="D11186">
        <f>IFERROR(Table7[[#This Row],[United States 10y]]-Table7[[#This Row],[United States 3y]],#N/A)</f>
        <v/>
      </c>
    </row>
    <row r="11187">
      <c r="A11187" s="6">
        <f>Database!$A13272</f>
        <v/>
      </c>
      <c r="B11187">
        <f>IF(VLOOKUP(Table7[[#This Row],[Date]],Database!$A:$C,MATCH($B$1,Database!$A$1:$C$1,),)=0,#N/A,VLOOKUP(Table7[[#This Row],[Date]],Database!$A:$C,MATCH($B$1,Database!$A$1:$C$1,),))</f>
        <v/>
      </c>
      <c r="C11187">
        <f>IF(VLOOKUP(Table7[[#This Row],[Date]],Database!$A:$C,MATCH($C$1,Database!$A$1:$C$1,),)=0,#N/A,VLOOKUP(Table7[[#This Row],[Date]],Database!$A:$C,MATCH($C$1,Database!$A$1:$C$1,),))</f>
        <v/>
      </c>
      <c r="D11187">
        <f>IFERROR(Table7[[#This Row],[United States 10y]]-Table7[[#This Row],[United States 3y]],#N/A)</f>
        <v/>
      </c>
    </row>
    <row r="11188">
      <c r="A11188" s="6">
        <f>Database!$A13273</f>
        <v/>
      </c>
      <c r="B11188">
        <f>IF(VLOOKUP(Table7[[#This Row],[Date]],Database!$A:$C,MATCH($B$1,Database!$A$1:$C$1,),)=0,#N/A,VLOOKUP(Table7[[#This Row],[Date]],Database!$A:$C,MATCH($B$1,Database!$A$1:$C$1,),))</f>
        <v/>
      </c>
      <c r="C11188">
        <f>IF(VLOOKUP(Table7[[#This Row],[Date]],Database!$A:$C,MATCH($C$1,Database!$A$1:$C$1,),)=0,#N/A,VLOOKUP(Table7[[#This Row],[Date]],Database!$A:$C,MATCH($C$1,Database!$A$1:$C$1,),))</f>
        <v/>
      </c>
      <c r="D11188">
        <f>IFERROR(Table7[[#This Row],[United States 10y]]-Table7[[#This Row],[United States 3y]],#N/A)</f>
        <v/>
      </c>
    </row>
    <row r="11189">
      <c r="A11189" s="6">
        <f>Database!$A13274</f>
        <v/>
      </c>
      <c r="B11189">
        <f>IF(VLOOKUP(Table7[[#This Row],[Date]],Database!$A:$C,MATCH($B$1,Database!$A$1:$C$1,),)=0,#N/A,VLOOKUP(Table7[[#This Row],[Date]],Database!$A:$C,MATCH($B$1,Database!$A$1:$C$1,),))</f>
        <v/>
      </c>
      <c r="C11189">
        <f>IF(VLOOKUP(Table7[[#This Row],[Date]],Database!$A:$C,MATCH($C$1,Database!$A$1:$C$1,),)=0,#N/A,VLOOKUP(Table7[[#This Row],[Date]],Database!$A:$C,MATCH($C$1,Database!$A$1:$C$1,),))</f>
        <v/>
      </c>
      <c r="D11189">
        <f>IFERROR(Table7[[#This Row],[United States 10y]]-Table7[[#This Row],[United States 3y]],#N/A)</f>
        <v/>
      </c>
    </row>
    <row r="11190">
      <c r="A11190" s="6">
        <f>Database!$A13275</f>
        <v/>
      </c>
      <c r="B11190">
        <f>IF(VLOOKUP(Table7[[#This Row],[Date]],Database!$A:$C,MATCH($B$1,Database!$A$1:$C$1,),)=0,#N/A,VLOOKUP(Table7[[#This Row],[Date]],Database!$A:$C,MATCH($B$1,Database!$A$1:$C$1,),))</f>
        <v/>
      </c>
      <c r="C11190">
        <f>IF(VLOOKUP(Table7[[#This Row],[Date]],Database!$A:$C,MATCH($C$1,Database!$A$1:$C$1,),)=0,#N/A,VLOOKUP(Table7[[#This Row],[Date]],Database!$A:$C,MATCH($C$1,Database!$A$1:$C$1,),))</f>
        <v/>
      </c>
      <c r="D11190">
        <f>IFERROR(Table7[[#This Row],[United States 10y]]-Table7[[#This Row],[United States 3y]],#N/A)</f>
        <v/>
      </c>
    </row>
    <row r="11191">
      <c r="A11191" s="6">
        <f>Database!$A13276</f>
        <v/>
      </c>
      <c r="B11191">
        <f>IF(VLOOKUP(Table7[[#This Row],[Date]],Database!$A:$C,MATCH($B$1,Database!$A$1:$C$1,),)=0,#N/A,VLOOKUP(Table7[[#This Row],[Date]],Database!$A:$C,MATCH($B$1,Database!$A$1:$C$1,),))</f>
        <v/>
      </c>
      <c r="C11191">
        <f>IF(VLOOKUP(Table7[[#This Row],[Date]],Database!$A:$C,MATCH($C$1,Database!$A$1:$C$1,),)=0,#N/A,VLOOKUP(Table7[[#This Row],[Date]],Database!$A:$C,MATCH($C$1,Database!$A$1:$C$1,),))</f>
        <v/>
      </c>
      <c r="D11191">
        <f>IFERROR(Table7[[#This Row],[United States 10y]]-Table7[[#This Row],[United States 3y]],#N/A)</f>
        <v/>
      </c>
    </row>
    <row r="11192">
      <c r="A11192" s="6">
        <f>Database!$A13277</f>
        <v/>
      </c>
      <c r="B11192">
        <f>IF(VLOOKUP(Table7[[#This Row],[Date]],Database!$A:$C,MATCH($B$1,Database!$A$1:$C$1,),)=0,#N/A,VLOOKUP(Table7[[#This Row],[Date]],Database!$A:$C,MATCH($B$1,Database!$A$1:$C$1,),))</f>
        <v/>
      </c>
      <c r="C11192">
        <f>IF(VLOOKUP(Table7[[#This Row],[Date]],Database!$A:$C,MATCH($C$1,Database!$A$1:$C$1,),)=0,#N/A,VLOOKUP(Table7[[#This Row],[Date]],Database!$A:$C,MATCH($C$1,Database!$A$1:$C$1,),))</f>
        <v/>
      </c>
      <c r="D11192">
        <f>IFERROR(Table7[[#This Row],[United States 10y]]-Table7[[#This Row],[United States 3y]],#N/A)</f>
        <v/>
      </c>
    </row>
    <row r="11193">
      <c r="A11193" s="6">
        <f>Database!$A13278</f>
        <v/>
      </c>
      <c r="B11193">
        <f>IF(VLOOKUP(Table7[[#This Row],[Date]],Database!$A:$C,MATCH($B$1,Database!$A$1:$C$1,),)=0,#N/A,VLOOKUP(Table7[[#This Row],[Date]],Database!$A:$C,MATCH($B$1,Database!$A$1:$C$1,),))</f>
        <v/>
      </c>
      <c r="C11193">
        <f>IF(VLOOKUP(Table7[[#This Row],[Date]],Database!$A:$C,MATCH($C$1,Database!$A$1:$C$1,),)=0,#N/A,VLOOKUP(Table7[[#This Row],[Date]],Database!$A:$C,MATCH($C$1,Database!$A$1:$C$1,),))</f>
        <v/>
      </c>
      <c r="D11193">
        <f>IFERROR(Table7[[#This Row],[United States 10y]]-Table7[[#This Row],[United States 3y]],#N/A)</f>
        <v/>
      </c>
    </row>
    <row r="11194">
      <c r="A11194" s="6">
        <f>Database!$A13279</f>
        <v/>
      </c>
      <c r="B11194">
        <f>IF(VLOOKUP(Table7[[#This Row],[Date]],Database!$A:$C,MATCH($B$1,Database!$A$1:$C$1,),)=0,#N/A,VLOOKUP(Table7[[#This Row],[Date]],Database!$A:$C,MATCH($B$1,Database!$A$1:$C$1,),))</f>
        <v/>
      </c>
      <c r="C11194">
        <f>IF(VLOOKUP(Table7[[#This Row],[Date]],Database!$A:$C,MATCH($C$1,Database!$A$1:$C$1,),)=0,#N/A,VLOOKUP(Table7[[#This Row],[Date]],Database!$A:$C,MATCH($C$1,Database!$A$1:$C$1,),))</f>
        <v/>
      </c>
      <c r="D11194">
        <f>IFERROR(Table7[[#This Row],[United States 10y]]-Table7[[#This Row],[United States 3y]],#N/A)</f>
        <v/>
      </c>
    </row>
    <row r="11195">
      <c r="A11195" s="6">
        <f>Database!$A13280</f>
        <v/>
      </c>
      <c r="B11195">
        <f>IF(VLOOKUP(Table7[[#This Row],[Date]],Database!$A:$C,MATCH($B$1,Database!$A$1:$C$1,),)=0,#N/A,VLOOKUP(Table7[[#This Row],[Date]],Database!$A:$C,MATCH($B$1,Database!$A$1:$C$1,),))</f>
        <v/>
      </c>
      <c r="C11195">
        <f>IF(VLOOKUP(Table7[[#This Row],[Date]],Database!$A:$C,MATCH($C$1,Database!$A$1:$C$1,),)=0,#N/A,VLOOKUP(Table7[[#This Row],[Date]],Database!$A:$C,MATCH($C$1,Database!$A$1:$C$1,),))</f>
        <v/>
      </c>
      <c r="D11195">
        <f>IFERROR(Table7[[#This Row],[United States 10y]]-Table7[[#This Row],[United States 3y]],#N/A)</f>
        <v/>
      </c>
    </row>
    <row r="11196">
      <c r="A11196" s="6">
        <f>Database!$A13281</f>
        <v/>
      </c>
      <c r="B11196">
        <f>IF(VLOOKUP(Table7[[#This Row],[Date]],Database!$A:$C,MATCH($B$1,Database!$A$1:$C$1,),)=0,#N/A,VLOOKUP(Table7[[#This Row],[Date]],Database!$A:$C,MATCH($B$1,Database!$A$1:$C$1,),))</f>
        <v/>
      </c>
      <c r="C11196">
        <f>IF(VLOOKUP(Table7[[#This Row],[Date]],Database!$A:$C,MATCH($C$1,Database!$A$1:$C$1,),)=0,#N/A,VLOOKUP(Table7[[#This Row],[Date]],Database!$A:$C,MATCH($C$1,Database!$A$1:$C$1,),))</f>
        <v/>
      </c>
      <c r="D11196">
        <f>IFERROR(Table7[[#This Row],[United States 10y]]-Table7[[#This Row],[United States 3y]],#N/A)</f>
        <v/>
      </c>
    </row>
    <row r="11197">
      <c r="A11197" s="6">
        <f>Database!$A13282</f>
        <v/>
      </c>
      <c r="B11197">
        <f>IF(VLOOKUP(Table7[[#This Row],[Date]],Database!$A:$C,MATCH($B$1,Database!$A$1:$C$1,),)=0,#N/A,VLOOKUP(Table7[[#This Row],[Date]],Database!$A:$C,MATCH($B$1,Database!$A$1:$C$1,),))</f>
        <v/>
      </c>
      <c r="C11197">
        <f>IF(VLOOKUP(Table7[[#This Row],[Date]],Database!$A:$C,MATCH($C$1,Database!$A$1:$C$1,),)=0,#N/A,VLOOKUP(Table7[[#This Row],[Date]],Database!$A:$C,MATCH($C$1,Database!$A$1:$C$1,),))</f>
        <v/>
      </c>
      <c r="D11197">
        <f>IFERROR(Table7[[#This Row],[United States 10y]]-Table7[[#This Row],[United States 3y]],#N/A)</f>
        <v/>
      </c>
    </row>
    <row r="11198">
      <c r="A11198" s="6">
        <f>Database!$A13283</f>
        <v/>
      </c>
      <c r="B11198">
        <f>IF(VLOOKUP(Table7[[#This Row],[Date]],Database!$A:$C,MATCH($B$1,Database!$A$1:$C$1,),)=0,#N/A,VLOOKUP(Table7[[#This Row],[Date]],Database!$A:$C,MATCH($B$1,Database!$A$1:$C$1,),))</f>
        <v/>
      </c>
      <c r="C11198">
        <f>IF(VLOOKUP(Table7[[#This Row],[Date]],Database!$A:$C,MATCH($C$1,Database!$A$1:$C$1,),)=0,#N/A,VLOOKUP(Table7[[#This Row],[Date]],Database!$A:$C,MATCH($C$1,Database!$A$1:$C$1,),))</f>
        <v/>
      </c>
      <c r="D11198">
        <f>IFERROR(Table7[[#This Row],[United States 10y]]-Table7[[#This Row],[United States 3y]],#N/A)</f>
        <v/>
      </c>
    </row>
    <row r="11199">
      <c r="A11199" s="6">
        <f>Database!$A13284</f>
        <v/>
      </c>
      <c r="B11199">
        <f>IF(VLOOKUP(Table7[[#This Row],[Date]],Database!$A:$C,MATCH($B$1,Database!$A$1:$C$1,),)=0,#N/A,VLOOKUP(Table7[[#This Row],[Date]],Database!$A:$C,MATCH($B$1,Database!$A$1:$C$1,),))</f>
        <v/>
      </c>
      <c r="C11199">
        <f>IF(VLOOKUP(Table7[[#This Row],[Date]],Database!$A:$C,MATCH($C$1,Database!$A$1:$C$1,),)=0,#N/A,VLOOKUP(Table7[[#This Row],[Date]],Database!$A:$C,MATCH($C$1,Database!$A$1:$C$1,),))</f>
        <v/>
      </c>
      <c r="D11199">
        <f>IFERROR(Table7[[#This Row],[United States 10y]]-Table7[[#This Row],[United States 3y]],#N/A)</f>
        <v/>
      </c>
    </row>
    <row r="11200">
      <c r="A11200" s="6">
        <f>Database!$A13285</f>
        <v/>
      </c>
      <c r="B11200">
        <f>IF(VLOOKUP(Table7[[#This Row],[Date]],Database!$A:$C,MATCH($B$1,Database!$A$1:$C$1,),)=0,#N/A,VLOOKUP(Table7[[#This Row],[Date]],Database!$A:$C,MATCH($B$1,Database!$A$1:$C$1,),))</f>
        <v/>
      </c>
      <c r="C11200">
        <f>IF(VLOOKUP(Table7[[#This Row],[Date]],Database!$A:$C,MATCH($C$1,Database!$A$1:$C$1,),)=0,#N/A,VLOOKUP(Table7[[#This Row],[Date]],Database!$A:$C,MATCH($C$1,Database!$A$1:$C$1,),))</f>
        <v/>
      </c>
      <c r="D11200">
        <f>IFERROR(Table7[[#This Row],[United States 10y]]-Table7[[#This Row],[United States 3y]],#N/A)</f>
        <v/>
      </c>
    </row>
    <row r="11201">
      <c r="A11201" s="6">
        <f>Database!$A13286</f>
        <v/>
      </c>
      <c r="B11201">
        <f>IF(VLOOKUP(Table7[[#This Row],[Date]],Database!$A:$C,MATCH($B$1,Database!$A$1:$C$1,),)=0,#N/A,VLOOKUP(Table7[[#This Row],[Date]],Database!$A:$C,MATCH($B$1,Database!$A$1:$C$1,),))</f>
        <v/>
      </c>
      <c r="C11201">
        <f>IF(VLOOKUP(Table7[[#This Row],[Date]],Database!$A:$C,MATCH($C$1,Database!$A$1:$C$1,),)=0,#N/A,VLOOKUP(Table7[[#This Row],[Date]],Database!$A:$C,MATCH($C$1,Database!$A$1:$C$1,),))</f>
        <v/>
      </c>
      <c r="D11201">
        <f>IFERROR(Table7[[#This Row],[United States 10y]]-Table7[[#This Row],[United States 3y]],#N/A)</f>
        <v/>
      </c>
    </row>
    <row r="11202">
      <c r="A11202" s="6">
        <f>Database!$A13287</f>
        <v/>
      </c>
      <c r="B11202">
        <f>IF(VLOOKUP(Table7[[#This Row],[Date]],Database!$A:$C,MATCH($B$1,Database!$A$1:$C$1,),)=0,#N/A,VLOOKUP(Table7[[#This Row],[Date]],Database!$A:$C,MATCH($B$1,Database!$A$1:$C$1,),))</f>
        <v/>
      </c>
      <c r="C11202">
        <f>IF(VLOOKUP(Table7[[#This Row],[Date]],Database!$A:$C,MATCH($C$1,Database!$A$1:$C$1,),)=0,#N/A,VLOOKUP(Table7[[#This Row],[Date]],Database!$A:$C,MATCH($C$1,Database!$A$1:$C$1,),))</f>
        <v/>
      </c>
      <c r="D11202">
        <f>IFERROR(Table7[[#This Row],[United States 10y]]-Table7[[#This Row],[United States 3y]],#N/A)</f>
        <v/>
      </c>
    </row>
    <row r="11203">
      <c r="A11203" s="6">
        <f>Database!$A13288</f>
        <v/>
      </c>
      <c r="B11203">
        <f>IF(VLOOKUP(Table7[[#This Row],[Date]],Database!$A:$C,MATCH($B$1,Database!$A$1:$C$1,),)=0,#N/A,VLOOKUP(Table7[[#This Row],[Date]],Database!$A:$C,MATCH($B$1,Database!$A$1:$C$1,),))</f>
        <v/>
      </c>
      <c r="C11203">
        <f>IF(VLOOKUP(Table7[[#This Row],[Date]],Database!$A:$C,MATCH($C$1,Database!$A$1:$C$1,),)=0,#N/A,VLOOKUP(Table7[[#This Row],[Date]],Database!$A:$C,MATCH($C$1,Database!$A$1:$C$1,),))</f>
        <v/>
      </c>
      <c r="D11203">
        <f>IFERROR(Table7[[#This Row],[United States 10y]]-Table7[[#This Row],[United States 3y]],#N/A)</f>
        <v/>
      </c>
    </row>
    <row r="11204">
      <c r="A11204" s="6">
        <f>Database!$A13289</f>
        <v/>
      </c>
      <c r="B11204">
        <f>IF(VLOOKUP(Table7[[#This Row],[Date]],Database!$A:$C,MATCH($B$1,Database!$A$1:$C$1,),)=0,#N/A,VLOOKUP(Table7[[#This Row],[Date]],Database!$A:$C,MATCH($B$1,Database!$A$1:$C$1,),))</f>
        <v/>
      </c>
      <c r="C11204">
        <f>IF(VLOOKUP(Table7[[#This Row],[Date]],Database!$A:$C,MATCH($C$1,Database!$A$1:$C$1,),)=0,#N/A,VLOOKUP(Table7[[#This Row],[Date]],Database!$A:$C,MATCH($C$1,Database!$A$1:$C$1,),))</f>
        <v/>
      </c>
      <c r="D11204">
        <f>IFERROR(Table7[[#This Row],[United States 10y]]-Table7[[#This Row],[United States 3y]],#N/A)</f>
        <v/>
      </c>
    </row>
    <row r="11205">
      <c r="A11205" s="6">
        <f>Database!$A13290</f>
        <v/>
      </c>
      <c r="B11205">
        <f>IF(VLOOKUP(Table7[[#This Row],[Date]],Database!$A:$C,MATCH($B$1,Database!$A$1:$C$1,),)=0,#N/A,VLOOKUP(Table7[[#This Row],[Date]],Database!$A:$C,MATCH($B$1,Database!$A$1:$C$1,),))</f>
        <v/>
      </c>
      <c r="C11205">
        <f>IF(VLOOKUP(Table7[[#This Row],[Date]],Database!$A:$C,MATCH($C$1,Database!$A$1:$C$1,),)=0,#N/A,VLOOKUP(Table7[[#This Row],[Date]],Database!$A:$C,MATCH($C$1,Database!$A$1:$C$1,),))</f>
        <v/>
      </c>
      <c r="D11205">
        <f>IFERROR(Table7[[#This Row],[United States 10y]]-Table7[[#This Row],[United States 3y]],#N/A)</f>
        <v/>
      </c>
    </row>
    <row r="11206">
      <c r="A11206" s="6">
        <f>Database!$A13291</f>
        <v/>
      </c>
      <c r="B11206">
        <f>IF(VLOOKUP(Table7[[#This Row],[Date]],Database!$A:$C,MATCH($B$1,Database!$A$1:$C$1,),)=0,#N/A,VLOOKUP(Table7[[#This Row],[Date]],Database!$A:$C,MATCH($B$1,Database!$A$1:$C$1,),))</f>
        <v/>
      </c>
      <c r="C11206">
        <f>IF(VLOOKUP(Table7[[#This Row],[Date]],Database!$A:$C,MATCH($C$1,Database!$A$1:$C$1,),)=0,#N/A,VLOOKUP(Table7[[#This Row],[Date]],Database!$A:$C,MATCH($C$1,Database!$A$1:$C$1,),))</f>
        <v/>
      </c>
      <c r="D11206">
        <f>IFERROR(Table7[[#This Row],[United States 10y]]-Table7[[#This Row],[United States 3y]],#N/A)</f>
        <v/>
      </c>
    </row>
    <row r="11207">
      <c r="A11207" s="6">
        <f>Database!$A13292</f>
        <v/>
      </c>
      <c r="B11207">
        <f>IF(VLOOKUP(Table7[[#This Row],[Date]],Database!$A:$C,MATCH($B$1,Database!$A$1:$C$1,),)=0,#N/A,VLOOKUP(Table7[[#This Row],[Date]],Database!$A:$C,MATCH($B$1,Database!$A$1:$C$1,),))</f>
        <v/>
      </c>
      <c r="C11207">
        <f>IF(VLOOKUP(Table7[[#This Row],[Date]],Database!$A:$C,MATCH($C$1,Database!$A$1:$C$1,),)=0,#N/A,VLOOKUP(Table7[[#This Row],[Date]],Database!$A:$C,MATCH($C$1,Database!$A$1:$C$1,),))</f>
        <v/>
      </c>
      <c r="D11207">
        <f>IFERROR(Table7[[#This Row],[United States 10y]]-Table7[[#This Row],[United States 3y]],#N/A)</f>
        <v/>
      </c>
    </row>
    <row r="11208">
      <c r="A11208" s="6">
        <f>Database!$A13293</f>
        <v/>
      </c>
      <c r="B11208">
        <f>IF(VLOOKUP(Table7[[#This Row],[Date]],Database!$A:$C,MATCH($B$1,Database!$A$1:$C$1,),)=0,#N/A,VLOOKUP(Table7[[#This Row],[Date]],Database!$A:$C,MATCH($B$1,Database!$A$1:$C$1,),))</f>
        <v/>
      </c>
      <c r="C11208">
        <f>IF(VLOOKUP(Table7[[#This Row],[Date]],Database!$A:$C,MATCH($C$1,Database!$A$1:$C$1,),)=0,#N/A,VLOOKUP(Table7[[#This Row],[Date]],Database!$A:$C,MATCH($C$1,Database!$A$1:$C$1,),))</f>
        <v/>
      </c>
      <c r="D11208">
        <f>IFERROR(Table7[[#This Row],[United States 10y]]-Table7[[#This Row],[United States 3y]],#N/A)</f>
        <v/>
      </c>
    </row>
    <row r="11209">
      <c r="A11209" s="6">
        <f>Database!$A13294</f>
        <v/>
      </c>
      <c r="B11209">
        <f>IF(VLOOKUP(Table7[[#This Row],[Date]],Database!$A:$C,MATCH($B$1,Database!$A$1:$C$1,),)=0,#N/A,VLOOKUP(Table7[[#This Row],[Date]],Database!$A:$C,MATCH($B$1,Database!$A$1:$C$1,),))</f>
        <v/>
      </c>
      <c r="C11209">
        <f>IF(VLOOKUP(Table7[[#This Row],[Date]],Database!$A:$C,MATCH($C$1,Database!$A$1:$C$1,),)=0,#N/A,VLOOKUP(Table7[[#This Row],[Date]],Database!$A:$C,MATCH($C$1,Database!$A$1:$C$1,),))</f>
        <v/>
      </c>
      <c r="D11209">
        <f>IFERROR(Table7[[#This Row],[United States 10y]]-Table7[[#This Row],[United States 3y]],#N/A)</f>
        <v/>
      </c>
    </row>
    <row r="11210">
      <c r="A11210" s="6">
        <f>Database!$A13295</f>
        <v/>
      </c>
      <c r="B11210">
        <f>IF(VLOOKUP(Table7[[#This Row],[Date]],Database!$A:$C,MATCH($B$1,Database!$A$1:$C$1,),)=0,#N/A,VLOOKUP(Table7[[#This Row],[Date]],Database!$A:$C,MATCH($B$1,Database!$A$1:$C$1,),))</f>
        <v/>
      </c>
      <c r="C11210">
        <f>IF(VLOOKUP(Table7[[#This Row],[Date]],Database!$A:$C,MATCH($C$1,Database!$A$1:$C$1,),)=0,#N/A,VLOOKUP(Table7[[#This Row],[Date]],Database!$A:$C,MATCH($C$1,Database!$A$1:$C$1,),))</f>
        <v/>
      </c>
      <c r="D11210">
        <f>IFERROR(Table7[[#This Row],[United States 10y]]-Table7[[#This Row],[United States 3y]],#N/A)</f>
        <v/>
      </c>
    </row>
    <row r="11211">
      <c r="A11211" s="6">
        <f>Database!$A13296</f>
        <v/>
      </c>
      <c r="B11211">
        <f>IF(VLOOKUP(Table7[[#This Row],[Date]],Database!$A:$C,MATCH($B$1,Database!$A$1:$C$1,),)=0,#N/A,VLOOKUP(Table7[[#This Row],[Date]],Database!$A:$C,MATCH($B$1,Database!$A$1:$C$1,),))</f>
        <v/>
      </c>
      <c r="C11211">
        <f>IF(VLOOKUP(Table7[[#This Row],[Date]],Database!$A:$C,MATCH($C$1,Database!$A$1:$C$1,),)=0,#N/A,VLOOKUP(Table7[[#This Row],[Date]],Database!$A:$C,MATCH($C$1,Database!$A$1:$C$1,),))</f>
        <v/>
      </c>
      <c r="D11211">
        <f>IFERROR(Table7[[#This Row],[United States 10y]]-Table7[[#This Row],[United States 3y]],#N/A)</f>
        <v/>
      </c>
    </row>
    <row r="11212">
      <c r="A11212" s="6">
        <f>Database!$A13297</f>
        <v/>
      </c>
      <c r="B11212">
        <f>IF(VLOOKUP(Table7[[#This Row],[Date]],Database!$A:$C,MATCH($B$1,Database!$A$1:$C$1,),)=0,#N/A,VLOOKUP(Table7[[#This Row],[Date]],Database!$A:$C,MATCH($B$1,Database!$A$1:$C$1,),))</f>
        <v/>
      </c>
      <c r="C11212">
        <f>IF(VLOOKUP(Table7[[#This Row],[Date]],Database!$A:$C,MATCH($C$1,Database!$A$1:$C$1,),)=0,#N/A,VLOOKUP(Table7[[#This Row],[Date]],Database!$A:$C,MATCH($C$1,Database!$A$1:$C$1,),))</f>
        <v/>
      </c>
      <c r="D11212">
        <f>IFERROR(Table7[[#This Row],[United States 10y]]-Table7[[#This Row],[United States 3y]],#N/A)</f>
        <v/>
      </c>
    </row>
    <row r="11213">
      <c r="A11213" s="6">
        <f>Database!$A13298</f>
        <v/>
      </c>
      <c r="B11213">
        <f>IF(VLOOKUP(Table7[[#This Row],[Date]],Database!$A:$C,MATCH($B$1,Database!$A$1:$C$1,),)=0,#N/A,VLOOKUP(Table7[[#This Row],[Date]],Database!$A:$C,MATCH($B$1,Database!$A$1:$C$1,),))</f>
        <v/>
      </c>
      <c r="C11213">
        <f>IF(VLOOKUP(Table7[[#This Row],[Date]],Database!$A:$C,MATCH($C$1,Database!$A$1:$C$1,),)=0,#N/A,VLOOKUP(Table7[[#This Row],[Date]],Database!$A:$C,MATCH($C$1,Database!$A$1:$C$1,),))</f>
        <v/>
      </c>
      <c r="D11213">
        <f>IFERROR(Table7[[#This Row],[United States 10y]]-Table7[[#This Row],[United States 3y]],#N/A)</f>
        <v/>
      </c>
    </row>
    <row r="11214">
      <c r="A11214" s="6">
        <f>Database!$A13299</f>
        <v/>
      </c>
      <c r="B11214">
        <f>IF(VLOOKUP(Table7[[#This Row],[Date]],Database!$A:$C,MATCH($B$1,Database!$A$1:$C$1,),)=0,#N/A,VLOOKUP(Table7[[#This Row],[Date]],Database!$A:$C,MATCH($B$1,Database!$A$1:$C$1,),))</f>
        <v/>
      </c>
      <c r="C11214">
        <f>IF(VLOOKUP(Table7[[#This Row],[Date]],Database!$A:$C,MATCH($C$1,Database!$A$1:$C$1,),)=0,#N/A,VLOOKUP(Table7[[#This Row],[Date]],Database!$A:$C,MATCH($C$1,Database!$A$1:$C$1,),))</f>
        <v/>
      </c>
      <c r="D11214">
        <f>IFERROR(Table7[[#This Row],[United States 10y]]-Table7[[#This Row],[United States 3y]],#N/A)</f>
        <v/>
      </c>
    </row>
    <row r="11215">
      <c r="A11215" s="6">
        <f>Database!$A13300</f>
        <v/>
      </c>
      <c r="B11215">
        <f>IF(VLOOKUP(Table7[[#This Row],[Date]],Database!$A:$C,MATCH($B$1,Database!$A$1:$C$1,),)=0,#N/A,VLOOKUP(Table7[[#This Row],[Date]],Database!$A:$C,MATCH($B$1,Database!$A$1:$C$1,),))</f>
        <v/>
      </c>
      <c r="C11215">
        <f>IF(VLOOKUP(Table7[[#This Row],[Date]],Database!$A:$C,MATCH($C$1,Database!$A$1:$C$1,),)=0,#N/A,VLOOKUP(Table7[[#This Row],[Date]],Database!$A:$C,MATCH($C$1,Database!$A$1:$C$1,),))</f>
        <v/>
      </c>
      <c r="D11215">
        <f>IFERROR(Table7[[#This Row],[United States 10y]]-Table7[[#This Row],[United States 3y]],#N/A)</f>
        <v/>
      </c>
    </row>
    <row r="11216">
      <c r="A11216" s="6">
        <f>Database!$A13301</f>
        <v/>
      </c>
      <c r="B11216">
        <f>IF(VLOOKUP(Table7[[#This Row],[Date]],Database!$A:$C,MATCH($B$1,Database!$A$1:$C$1,),)=0,#N/A,VLOOKUP(Table7[[#This Row],[Date]],Database!$A:$C,MATCH($B$1,Database!$A$1:$C$1,),))</f>
        <v/>
      </c>
      <c r="C11216">
        <f>IF(VLOOKUP(Table7[[#This Row],[Date]],Database!$A:$C,MATCH($C$1,Database!$A$1:$C$1,),)=0,#N/A,VLOOKUP(Table7[[#This Row],[Date]],Database!$A:$C,MATCH($C$1,Database!$A$1:$C$1,),))</f>
        <v/>
      </c>
      <c r="D11216">
        <f>IFERROR(Table7[[#This Row],[United States 10y]]-Table7[[#This Row],[United States 3y]],#N/A)</f>
        <v/>
      </c>
    </row>
    <row r="11217">
      <c r="A11217" s="6">
        <f>Database!$A13302</f>
        <v/>
      </c>
      <c r="B11217">
        <f>IF(VLOOKUP(Table7[[#This Row],[Date]],Database!$A:$C,MATCH($B$1,Database!$A$1:$C$1,),)=0,#N/A,VLOOKUP(Table7[[#This Row],[Date]],Database!$A:$C,MATCH($B$1,Database!$A$1:$C$1,),))</f>
        <v/>
      </c>
      <c r="C11217">
        <f>IF(VLOOKUP(Table7[[#This Row],[Date]],Database!$A:$C,MATCH($C$1,Database!$A$1:$C$1,),)=0,#N/A,VLOOKUP(Table7[[#This Row],[Date]],Database!$A:$C,MATCH($C$1,Database!$A$1:$C$1,),))</f>
        <v/>
      </c>
      <c r="D11217">
        <f>IFERROR(Table7[[#This Row],[United States 10y]]-Table7[[#This Row],[United States 3y]],#N/A)</f>
        <v/>
      </c>
    </row>
    <row r="11218">
      <c r="A11218" s="6">
        <f>Database!$A13303</f>
        <v/>
      </c>
      <c r="B11218">
        <f>IF(VLOOKUP(Table7[[#This Row],[Date]],Database!$A:$C,MATCH($B$1,Database!$A$1:$C$1,),)=0,#N/A,VLOOKUP(Table7[[#This Row],[Date]],Database!$A:$C,MATCH($B$1,Database!$A$1:$C$1,),))</f>
        <v/>
      </c>
      <c r="C11218">
        <f>IF(VLOOKUP(Table7[[#This Row],[Date]],Database!$A:$C,MATCH($C$1,Database!$A$1:$C$1,),)=0,#N/A,VLOOKUP(Table7[[#This Row],[Date]],Database!$A:$C,MATCH($C$1,Database!$A$1:$C$1,),))</f>
        <v/>
      </c>
      <c r="D11218">
        <f>IFERROR(Table7[[#This Row],[United States 10y]]-Table7[[#This Row],[United States 3y]],#N/A)</f>
        <v/>
      </c>
    </row>
    <row r="11219">
      <c r="A11219" s="6">
        <f>Database!$A13304</f>
        <v/>
      </c>
      <c r="B11219">
        <f>IF(VLOOKUP(Table7[[#This Row],[Date]],Database!$A:$C,MATCH($B$1,Database!$A$1:$C$1,),)=0,#N/A,VLOOKUP(Table7[[#This Row],[Date]],Database!$A:$C,MATCH($B$1,Database!$A$1:$C$1,),))</f>
        <v/>
      </c>
      <c r="C11219">
        <f>IF(VLOOKUP(Table7[[#This Row],[Date]],Database!$A:$C,MATCH($C$1,Database!$A$1:$C$1,),)=0,#N/A,VLOOKUP(Table7[[#This Row],[Date]],Database!$A:$C,MATCH($C$1,Database!$A$1:$C$1,),))</f>
        <v/>
      </c>
      <c r="D11219">
        <f>IFERROR(Table7[[#This Row],[United States 10y]]-Table7[[#This Row],[United States 3y]],#N/A)</f>
        <v/>
      </c>
    </row>
    <row r="11220">
      <c r="A11220" s="6">
        <f>Database!$A13305</f>
        <v/>
      </c>
      <c r="B11220">
        <f>IF(VLOOKUP(Table7[[#This Row],[Date]],Database!$A:$C,MATCH($B$1,Database!$A$1:$C$1,),)=0,#N/A,VLOOKUP(Table7[[#This Row],[Date]],Database!$A:$C,MATCH($B$1,Database!$A$1:$C$1,),))</f>
        <v/>
      </c>
      <c r="C11220">
        <f>IF(VLOOKUP(Table7[[#This Row],[Date]],Database!$A:$C,MATCH($C$1,Database!$A$1:$C$1,),)=0,#N/A,VLOOKUP(Table7[[#This Row],[Date]],Database!$A:$C,MATCH($C$1,Database!$A$1:$C$1,),))</f>
        <v/>
      </c>
      <c r="D11220">
        <f>IFERROR(Table7[[#This Row],[United States 10y]]-Table7[[#This Row],[United States 3y]],#N/A)</f>
        <v/>
      </c>
    </row>
    <row r="11221">
      <c r="A11221" s="6">
        <f>Database!$A13306</f>
        <v/>
      </c>
      <c r="B11221">
        <f>IF(VLOOKUP(Table7[[#This Row],[Date]],Database!$A:$C,MATCH($B$1,Database!$A$1:$C$1,),)=0,#N/A,VLOOKUP(Table7[[#This Row],[Date]],Database!$A:$C,MATCH($B$1,Database!$A$1:$C$1,),))</f>
        <v/>
      </c>
      <c r="C11221">
        <f>IF(VLOOKUP(Table7[[#This Row],[Date]],Database!$A:$C,MATCH($C$1,Database!$A$1:$C$1,),)=0,#N/A,VLOOKUP(Table7[[#This Row],[Date]],Database!$A:$C,MATCH($C$1,Database!$A$1:$C$1,),))</f>
        <v/>
      </c>
      <c r="D11221">
        <f>IFERROR(Table7[[#This Row],[United States 10y]]-Table7[[#This Row],[United States 3y]],#N/A)</f>
        <v/>
      </c>
    </row>
    <row r="11222">
      <c r="A11222" s="6">
        <f>Database!$A13307</f>
        <v/>
      </c>
      <c r="B11222">
        <f>IF(VLOOKUP(Table7[[#This Row],[Date]],Database!$A:$C,MATCH($B$1,Database!$A$1:$C$1,),)=0,#N/A,VLOOKUP(Table7[[#This Row],[Date]],Database!$A:$C,MATCH($B$1,Database!$A$1:$C$1,),))</f>
        <v/>
      </c>
      <c r="C11222">
        <f>IF(VLOOKUP(Table7[[#This Row],[Date]],Database!$A:$C,MATCH($C$1,Database!$A$1:$C$1,),)=0,#N/A,VLOOKUP(Table7[[#This Row],[Date]],Database!$A:$C,MATCH($C$1,Database!$A$1:$C$1,),))</f>
        <v/>
      </c>
      <c r="D11222">
        <f>IFERROR(Table7[[#This Row],[United States 10y]]-Table7[[#This Row],[United States 3y]],#N/A)</f>
        <v/>
      </c>
    </row>
    <row r="11223">
      <c r="A11223" s="6">
        <f>Database!$A13308</f>
        <v/>
      </c>
      <c r="B11223">
        <f>IF(VLOOKUP(Table7[[#This Row],[Date]],Database!$A:$C,MATCH($B$1,Database!$A$1:$C$1,),)=0,#N/A,VLOOKUP(Table7[[#This Row],[Date]],Database!$A:$C,MATCH($B$1,Database!$A$1:$C$1,),))</f>
        <v/>
      </c>
      <c r="C11223">
        <f>IF(VLOOKUP(Table7[[#This Row],[Date]],Database!$A:$C,MATCH($C$1,Database!$A$1:$C$1,),)=0,#N/A,VLOOKUP(Table7[[#This Row],[Date]],Database!$A:$C,MATCH($C$1,Database!$A$1:$C$1,),))</f>
        <v/>
      </c>
      <c r="D11223">
        <f>IFERROR(Table7[[#This Row],[United States 10y]]-Table7[[#This Row],[United States 3y]],#N/A)</f>
        <v/>
      </c>
    </row>
    <row r="11224">
      <c r="A11224" s="6">
        <f>Database!$A13309</f>
        <v/>
      </c>
      <c r="B11224">
        <f>IF(VLOOKUP(Table7[[#This Row],[Date]],Database!$A:$C,MATCH($B$1,Database!$A$1:$C$1,),)=0,#N/A,VLOOKUP(Table7[[#This Row],[Date]],Database!$A:$C,MATCH($B$1,Database!$A$1:$C$1,),))</f>
        <v/>
      </c>
      <c r="C11224">
        <f>IF(VLOOKUP(Table7[[#This Row],[Date]],Database!$A:$C,MATCH($C$1,Database!$A$1:$C$1,),)=0,#N/A,VLOOKUP(Table7[[#This Row],[Date]],Database!$A:$C,MATCH($C$1,Database!$A$1:$C$1,),))</f>
        <v/>
      </c>
      <c r="D11224">
        <f>IFERROR(Table7[[#This Row],[United States 10y]]-Table7[[#This Row],[United States 3y]],#N/A)</f>
        <v/>
      </c>
    </row>
    <row r="11225">
      <c r="A11225" s="6">
        <f>Database!$A13310</f>
        <v/>
      </c>
      <c r="B11225">
        <f>IF(VLOOKUP(Table7[[#This Row],[Date]],Database!$A:$C,MATCH($B$1,Database!$A$1:$C$1,),)=0,#N/A,VLOOKUP(Table7[[#This Row],[Date]],Database!$A:$C,MATCH($B$1,Database!$A$1:$C$1,),))</f>
        <v/>
      </c>
      <c r="C11225">
        <f>IF(VLOOKUP(Table7[[#This Row],[Date]],Database!$A:$C,MATCH($C$1,Database!$A$1:$C$1,),)=0,#N/A,VLOOKUP(Table7[[#This Row],[Date]],Database!$A:$C,MATCH($C$1,Database!$A$1:$C$1,),))</f>
        <v/>
      </c>
      <c r="D11225">
        <f>IFERROR(Table7[[#This Row],[United States 10y]]-Table7[[#This Row],[United States 3y]],#N/A)</f>
        <v/>
      </c>
    </row>
    <row r="11226">
      <c r="A11226" s="6">
        <f>Database!$A13311</f>
        <v/>
      </c>
      <c r="B11226">
        <f>IF(VLOOKUP(Table7[[#This Row],[Date]],Database!$A:$C,MATCH($B$1,Database!$A$1:$C$1,),)=0,#N/A,VLOOKUP(Table7[[#This Row],[Date]],Database!$A:$C,MATCH($B$1,Database!$A$1:$C$1,),))</f>
        <v/>
      </c>
      <c r="C11226">
        <f>IF(VLOOKUP(Table7[[#This Row],[Date]],Database!$A:$C,MATCH($C$1,Database!$A$1:$C$1,),)=0,#N/A,VLOOKUP(Table7[[#This Row],[Date]],Database!$A:$C,MATCH($C$1,Database!$A$1:$C$1,),))</f>
        <v/>
      </c>
      <c r="D11226">
        <f>IFERROR(Table7[[#This Row],[United States 10y]]-Table7[[#This Row],[United States 3y]],#N/A)</f>
        <v/>
      </c>
    </row>
    <row r="11227">
      <c r="A11227" s="6">
        <f>Database!$A13312</f>
        <v/>
      </c>
      <c r="B11227">
        <f>IF(VLOOKUP(Table7[[#This Row],[Date]],Database!$A:$C,MATCH($B$1,Database!$A$1:$C$1,),)=0,#N/A,VLOOKUP(Table7[[#This Row],[Date]],Database!$A:$C,MATCH($B$1,Database!$A$1:$C$1,),))</f>
        <v/>
      </c>
      <c r="C11227">
        <f>IF(VLOOKUP(Table7[[#This Row],[Date]],Database!$A:$C,MATCH($C$1,Database!$A$1:$C$1,),)=0,#N/A,VLOOKUP(Table7[[#This Row],[Date]],Database!$A:$C,MATCH($C$1,Database!$A$1:$C$1,),))</f>
        <v/>
      </c>
      <c r="D11227">
        <f>IFERROR(Table7[[#This Row],[United States 10y]]-Table7[[#This Row],[United States 3y]],#N/A)</f>
        <v/>
      </c>
    </row>
    <row r="11228">
      <c r="A11228" s="6">
        <f>Database!$A13313</f>
        <v/>
      </c>
      <c r="B11228">
        <f>IF(VLOOKUP(Table7[[#This Row],[Date]],Database!$A:$C,MATCH($B$1,Database!$A$1:$C$1,),)=0,#N/A,VLOOKUP(Table7[[#This Row],[Date]],Database!$A:$C,MATCH($B$1,Database!$A$1:$C$1,),))</f>
        <v/>
      </c>
      <c r="C11228">
        <f>IF(VLOOKUP(Table7[[#This Row],[Date]],Database!$A:$C,MATCH($C$1,Database!$A$1:$C$1,),)=0,#N/A,VLOOKUP(Table7[[#This Row],[Date]],Database!$A:$C,MATCH($C$1,Database!$A$1:$C$1,),))</f>
        <v/>
      </c>
      <c r="D11228">
        <f>IFERROR(Table7[[#This Row],[United States 10y]]-Table7[[#This Row],[United States 3y]],#N/A)</f>
        <v/>
      </c>
    </row>
    <row r="11229">
      <c r="A11229" s="6">
        <f>Database!$A13314</f>
        <v/>
      </c>
      <c r="B11229">
        <f>IF(VLOOKUP(Table7[[#This Row],[Date]],Database!$A:$C,MATCH($B$1,Database!$A$1:$C$1,),)=0,#N/A,VLOOKUP(Table7[[#This Row],[Date]],Database!$A:$C,MATCH($B$1,Database!$A$1:$C$1,),))</f>
        <v/>
      </c>
      <c r="C11229">
        <f>IF(VLOOKUP(Table7[[#This Row],[Date]],Database!$A:$C,MATCH($C$1,Database!$A$1:$C$1,),)=0,#N/A,VLOOKUP(Table7[[#This Row],[Date]],Database!$A:$C,MATCH($C$1,Database!$A$1:$C$1,),))</f>
        <v/>
      </c>
      <c r="D11229">
        <f>IFERROR(Table7[[#This Row],[United States 10y]]-Table7[[#This Row],[United States 3y]],#N/A)</f>
        <v/>
      </c>
    </row>
    <row r="11230">
      <c r="A11230" s="6">
        <f>Database!$A13315</f>
        <v/>
      </c>
      <c r="B11230">
        <f>IF(VLOOKUP(Table7[[#This Row],[Date]],Database!$A:$C,MATCH($B$1,Database!$A$1:$C$1,),)=0,#N/A,VLOOKUP(Table7[[#This Row],[Date]],Database!$A:$C,MATCH($B$1,Database!$A$1:$C$1,),))</f>
        <v/>
      </c>
      <c r="C11230">
        <f>IF(VLOOKUP(Table7[[#This Row],[Date]],Database!$A:$C,MATCH($C$1,Database!$A$1:$C$1,),)=0,#N/A,VLOOKUP(Table7[[#This Row],[Date]],Database!$A:$C,MATCH($C$1,Database!$A$1:$C$1,),))</f>
        <v/>
      </c>
      <c r="D11230">
        <f>IFERROR(Table7[[#This Row],[United States 10y]]-Table7[[#This Row],[United States 3y]],#N/A)</f>
        <v/>
      </c>
    </row>
    <row r="11231">
      <c r="A11231" s="6">
        <f>Database!$A13316</f>
        <v/>
      </c>
      <c r="B11231">
        <f>IF(VLOOKUP(Table7[[#This Row],[Date]],Database!$A:$C,MATCH($B$1,Database!$A$1:$C$1,),)=0,#N/A,VLOOKUP(Table7[[#This Row],[Date]],Database!$A:$C,MATCH($B$1,Database!$A$1:$C$1,),))</f>
        <v/>
      </c>
      <c r="C11231">
        <f>IF(VLOOKUP(Table7[[#This Row],[Date]],Database!$A:$C,MATCH($C$1,Database!$A$1:$C$1,),)=0,#N/A,VLOOKUP(Table7[[#This Row],[Date]],Database!$A:$C,MATCH($C$1,Database!$A$1:$C$1,),))</f>
        <v/>
      </c>
      <c r="D11231">
        <f>IFERROR(Table7[[#This Row],[United States 10y]]-Table7[[#This Row],[United States 3y]],#N/A)</f>
        <v/>
      </c>
    </row>
    <row r="11232">
      <c r="A11232" s="6">
        <f>Database!$A13317</f>
        <v/>
      </c>
      <c r="B11232">
        <f>IF(VLOOKUP(Table7[[#This Row],[Date]],Database!$A:$C,MATCH($B$1,Database!$A$1:$C$1,),)=0,#N/A,VLOOKUP(Table7[[#This Row],[Date]],Database!$A:$C,MATCH($B$1,Database!$A$1:$C$1,),))</f>
        <v/>
      </c>
      <c r="C11232">
        <f>IF(VLOOKUP(Table7[[#This Row],[Date]],Database!$A:$C,MATCH($C$1,Database!$A$1:$C$1,),)=0,#N/A,VLOOKUP(Table7[[#This Row],[Date]],Database!$A:$C,MATCH($C$1,Database!$A$1:$C$1,),))</f>
        <v/>
      </c>
      <c r="D11232">
        <f>IFERROR(Table7[[#This Row],[United States 10y]]-Table7[[#This Row],[United States 3y]],#N/A)</f>
        <v/>
      </c>
    </row>
    <row r="11233">
      <c r="A11233" s="6">
        <f>Database!$A13318</f>
        <v/>
      </c>
      <c r="B11233">
        <f>IF(VLOOKUP(Table7[[#This Row],[Date]],Database!$A:$C,MATCH($B$1,Database!$A$1:$C$1,),)=0,#N/A,VLOOKUP(Table7[[#This Row],[Date]],Database!$A:$C,MATCH($B$1,Database!$A$1:$C$1,),))</f>
        <v/>
      </c>
      <c r="C11233">
        <f>IF(VLOOKUP(Table7[[#This Row],[Date]],Database!$A:$C,MATCH($C$1,Database!$A$1:$C$1,),)=0,#N/A,VLOOKUP(Table7[[#This Row],[Date]],Database!$A:$C,MATCH($C$1,Database!$A$1:$C$1,),))</f>
        <v/>
      </c>
      <c r="D11233">
        <f>IFERROR(Table7[[#This Row],[United States 10y]]-Table7[[#This Row],[United States 3y]],#N/A)</f>
        <v/>
      </c>
    </row>
    <row r="11234">
      <c r="A11234" s="6">
        <f>Database!$A13319</f>
        <v/>
      </c>
      <c r="B11234">
        <f>IF(VLOOKUP(Table7[[#This Row],[Date]],Database!$A:$C,MATCH($B$1,Database!$A$1:$C$1,),)=0,#N/A,VLOOKUP(Table7[[#This Row],[Date]],Database!$A:$C,MATCH($B$1,Database!$A$1:$C$1,),))</f>
        <v/>
      </c>
      <c r="C11234">
        <f>IF(VLOOKUP(Table7[[#This Row],[Date]],Database!$A:$C,MATCH($C$1,Database!$A$1:$C$1,),)=0,#N/A,VLOOKUP(Table7[[#This Row],[Date]],Database!$A:$C,MATCH($C$1,Database!$A$1:$C$1,),))</f>
        <v/>
      </c>
      <c r="D11234">
        <f>IFERROR(Table7[[#This Row],[United States 10y]]-Table7[[#This Row],[United States 3y]],#N/A)</f>
        <v/>
      </c>
    </row>
    <row r="11235">
      <c r="A11235" s="6">
        <f>Database!$A13320</f>
        <v/>
      </c>
      <c r="B11235">
        <f>IF(VLOOKUP(Table7[[#This Row],[Date]],Database!$A:$C,MATCH($B$1,Database!$A$1:$C$1,),)=0,#N/A,VLOOKUP(Table7[[#This Row],[Date]],Database!$A:$C,MATCH($B$1,Database!$A$1:$C$1,),))</f>
        <v/>
      </c>
      <c r="C11235">
        <f>IF(VLOOKUP(Table7[[#This Row],[Date]],Database!$A:$C,MATCH($C$1,Database!$A$1:$C$1,),)=0,#N/A,VLOOKUP(Table7[[#This Row],[Date]],Database!$A:$C,MATCH($C$1,Database!$A$1:$C$1,),))</f>
        <v/>
      </c>
      <c r="D11235">
        <f>IFERROR(Table7[[#This Row],[United States 10y]]-Table7[[#This Row],[United States 3y]],#N/A)</f>
        <v/>
      </c>
    </row>
    <row r="11236">
      <c r="A11236" s="6">
        <f>Database!$A13321</f>
        <v/>
      </c>
      <c r="B11236">
        <f>IF(VLOOKUP(Table7[[#This Row],[Date]],Database!$A:$C,MATCH($B$1,Database!$A$1:$C$1,),)=0,#N/A,VLOOKUP(Table7[[#This Row],[Date]],Database!$A:$C,MATCH($B$1,Database!$A$1:$C$1,),))</f>
        <v/>
      </c>
      <c r="C11236">
        <f>IF(VLOOKUP(Table7[[#This Row],[Date]],Database!$A:$C,MATCH($C$1,Database!$A$1:$C$1,),)=0,#N/A,VLOOKUP(Table7[[#This Row],[Date]],Database!$A:$C,MATCH($C$1,Database!$A$1:$C$1,),))</f>
        <v/>
      </c>
      <c r="D11236">
        <f>IFERROR(Table7[[#This Row],[United States 10y]]-Table7[[#This Row],[United States 3y]],#N/A)</f>
        <v/>
      </c>
    </row>
    <row r="11237">
      <c r="A11237" s="6">
        <f>Database!$A13322</f>
        <v/>
      </c>
      <c r="B11237">
        <f>IF(VLOOKUP(Table7[[#This Row],[Date]],Database!$A:$C,MATCH($B$1,Database!$A$1:$C$1,),)=0,#N/A,VLOOKUP(Table7[[#This Row],[Date]],Database!$A:$C,MATCH($B$1,Database!$A$1:$C$1,),))</f>
        <v/>
      </c>
      <c r="C11237">
        <f>IF(VLOOKUP(Table7[[#This Row],[Date]],Database!$A:$C,MATCH($C$1,Database!$A$1:$C$1,),)=0,#N/A,VLOOKUP(Table7[[#This Row],[Date]],Database!$A:$C,MATCH($C$1,Database!$A$1:$C$1,),))</f>
        <v/>
      </c>
      <c r="D11237">
        <f>IFERROR(Table7[[#This Row],[United States 10y]]-Table7[[#This Row],[United States 3y]],#N/A)</f>
        <v/>
      </c>
    </row>
    <row r="11238">
      <c r="A11238" s="6">
        <f>Database!$A13323</f>
        <v/>
      </c>
      <c r="B11238">
        <f>IF(VLOOKUP(Table7[[#This Row],[Date]],Database!$A:$C,MATCH($B$1,Database!$A$1:$C$1,),)=0,#N/A,VLOOKUP(Table7[[#This Row],[Date]],Database!$A:$C,MATCH($B$1,Database!$A$1:$C$1,),))</f>
        <v/>
      </c>
      <c r="C11238">
        <f>IF(VLOOKUP(Table7[[#This Row],[Date]],Database!$A:$C,MATCH($C$1,Database!$A$1:$C$1,),)=0,#N/A,VLOOKUP(Table7[[#This Row],[Date]],Database!$A:$C,MATCH($C$1,Database!$A$1:$C$1,),))</f>
        <v/>
      </c>
      <c r="D11238">
        <f>IFERROR(Table7[[#This Row],[United States 10y]]-Table7[[#This Row],[United States 3y]],#N/A)</f>
        <v/>
      </c>
    </row>
    <row r="11239">
      <c r="A11239" s="6">
        <f>Database!$A13324</f>
        <v/>
      </c>
      <c r="B11239">
        <f>IF(VLOOKUP(Table7[[#This Row],[Date]],Database!$A:$C,MATCH($B$1,Database!$A$1:$C$1,),)=0,#N/A,VLOOKUP(Table7[[#This Row],[Date]],Database!$A:$C,MATCH($B$1,Database!$A$1:$C$1,),))</f>
        <v/>
      </c>
      <c r="C11239">
        <f>IF(VLOOKUP(Table7[[#This Row],[Date]],Database!$A:$C,MATCH($C$1,Database!$A$1:$C$1,),)=0,#N/A,VLOOKUP(Table7[[#This Row],[Date]],Database!$A:$C,MATCH($C$1,Database!$A$1:$C$1,),))</f>
        <v/>
      </c>
      <c r="D11239">
        <f>IFERROR(Table7[[#This Row],[United States 10y]]-Table7[[#This Row],[United States 3y]],#N/A)</f>
        <v/>
      </c>
    </row>
    <row r="11240">
      <c r="A11240" s="6">
        <f>Database!$A13325</f>
        <v/>
      </c>
      <c r="B11240">
        <f>IF(VLOOKUP(Table7[[#This Row],[Date]],Database!$A:$C,MATCH($B$1,Database!$A$1:$C$1,),)=0,#N/A,VLOOKUP(Table7[[#This Row],[Date]],Database!$A:$C,MATCH($B$1,Database!$A$1:$C$1,),))</f>
        <v/>
      </c>
      <c r="C11240">
        <f>IF(VLOOKUP(Table7[[#This Row],[Date]],Database!$A:$C,MATCH($C$1,Database!$A$1:$C$1,),)=0,#N/A,VLOOKUP(Table7[[#This Row],[Date]],Database!$A:$C,MATCH($C$1,Database!$A$1:$C$1,),))</f>
        <v/>
      </c>
      <c r="D11240">
        <f>IFERROR(Table7[[#This Row],[United States 10y]]-Table7[[#This Row],[United States 3y]],#N/A)</f>
        <v/>
      </c>
    </row>
    <row r="11241">
      <c r="A11241" s="6">
        <f>Database!$A13326</f>
        <v/>
      </c>
      <c r="B11241">
        <f>IF(VLOOKUP(Table7[[#This Row],[Date]],Database!$A:$C,MATCH($B$1,Database!$A$1:$C$1,),)=0,#N/A,VLOOKUP(Table7[[#This Row],[Date]],Database!$A:$C,MATCH($B$1,Database!$A$1:$C$1,),))</f>
        <v/>
      </c>
      <c r="C11241">
        <f>IF(VLOOKUP(Table7[[#This Row],[Date]],Database!$A:$C,MATCH($C$1,Database!$A$1:$C$1,),)=0,#N/A,VLOOKUP(Table7[[#This Row],[Date]],Database!$A:$C,MATCH($C$1,Database!$A$1:$C$1,),))</f>
        <v/>
      </c>
      <c r="D11241">
        <f>IFERROR(Table7[[#This Row],[United States 10y]]-Table7[[#This Row],[United States 3y]],#N/A)</f>
        <v/>
      </c>
    </row>
    <row r="11242">
      <c r="A11242" s="6">
        <f>Database!$A13327</f>
        <v/>
      </c>
      <c r="B11242">
        <f>IF(VLOOKUP(Table7[[#This Row],[Date]],Database!$A:$C,MATCH($B$1,Database!$A$1:$C$1,),)=0,#N/A,VLOOKUP(Table7[[#This Row],[Date]],Database!$A:$C,MATCH($B$1,Database!$A$1:$C$1,),))</f>
        <v/>
      </c>
      <c r="C11242">
        <f>IF(VLOOKUP(Table7[[#This Row],[Date]],Database!$A:$C,MATCH($C$1,Database!$A$1:$C$1,),)=0,#N/A,VLOOKUP(Table7[[#This Row],[Date]],Database!$A:$C,MATCH($C$1,Database!$A$1:$C$1,),))</f>
        <v/>
      </c>
      <c r="D11242">
        <f>IFERROR(Table7[[#This Row],[United States 10y]]-Table7[[#This Row],[United States 3y]],#N/A)</f>
        <v/>
      </c>
    </row>
    <row r="11243">
      <c r="A11243" s="6">
        <f>Database!$A13328</f>
        <v/>
      </c>
      <c r="B11243">
        <f>IF(VLOOKUP(Table7[[#This Row],[Date]],Database!$A:$C,MATCH($B$1,Database!$A$1:$C$1,),)=0,#N/A,VLOOKUP(Table7[[#This Row],[Date]],Database!$A:$C,MATCH($B$1,Database!$A$1:$C$1,),))</f>
        <v/>
      </c>
      <c r="C11243">
        <f>IF(VLOOKUP(Table7[[#This Row],[Date]],Database!$A:$C,MATCH($C$1,Database!$A$1:$C$1,),)=0,#N/A,VLOOKUP(Table7[[#This Row],[Date]],Database!$A:$C,MATCH($C$1,Database!$A$1:$C$1,),))</f>
        <v/>
      </c>
      <c r="D11243">
        <f>IFERROR(Table7[[#This Row],[United States 10y]]-Table7[[#This Row],[United States 3y]],#N/A)</f>
        <v/>
      </c>
    </row>
    <row r="11244">
      <c r="A11244" s="6">
        <f>Database!$A13329</f>
        <v/>
      </c>
      <c r="B11244">
        <f>IF(VLOOKUP(Table7[[#This Row],[Date]],Database!$A:$C,MATCH($B$1,Database!$A$1:$C$1,),)=0,#N/A,VLOOKUP(Table7[[#This Row],[Date]],Database!$A:$C,MATCH($B$1,Database!$A$1:$C$1,),))</f>
        <v/>
      </c>
      <c r="C11244">
        <f>IF(VLOOKUP(Table7[[#This Row],[Date]],Database!$A:$C,MATCH($C$1,Database!$A$1:$C$1,),)=0,#N/A,VLOOKUP(Table7[[#This Row],[Date]],Database!$A:$C,MATCH($C$1,Database!$A$1:$C$1,),))</f>
        <v/>
      </c>
      <c r="D11244">
        <f>IFERROR(Table7[[#This Row],[United States 10y]]-Table7[[#This Row],[United States 3y]],#N/A)</f>
        <v/>
      </c>
    </row>
    <row r="11245">
      <c r="A11245" s="6">
        <f>Database!$A13330</f>
        <v/>
      </c>
      <c r="B11245">
        <f>IF(VLOOKUP(Table7[[#This Row],[Date]],Database!$A:$C,MATCH($B$1,Database!$A$1:$C$1,),)=0,#N/A,VLOOKUP(Table7[[#This Row],[Date]],Database!$A:$C,MATCH($B$1,Database!$A$1:$C$1,),))</f>
        <v/>
      </c>
      <c r="C11245">
        <f>IF(VLOOKUP(Table7[[#This Row],[Date]],Database!$A:$C,MATCH($C$1,Database!$A$1:$C$1,),)=0,#N/A,VLOOKUP(Table7[[#This Row],[Date]],Database!$A:$C,MATCH($C$1,Database!$A$1:$C$1,),))</f>
        <v/>
      </c>
      <c r="D11245">
        <f>IFERROR(Table7[[#This Row],[United States 10y]]-Table7[[#This Row],[United States 3y]],#N/A)</f>
        <v/>
      </c>
    </row>
    <row r="11246">
      <c r="A11246" s="6">
        <f>Database!$A13331</f>
        <v/>
      </c>
      <c r="B11246">
        <f>IF(VLOOKUP(Table7[[#This Row],[Date]],Database!$A:$C,MATCH($B$1,Database!$A$1:$C$1,),)=0,#N/A,VLOOKUP(Table7[[#This Row],[Date]],Database!$A:$C,MATCH($B$1,Database!$A$1:$C$1,),))</f>
        <v/>
      </c>
      <c r="C11246">
        <f>IF(VLOOKUP(Table7[[#This Row],[Date]],Database!$A:$C,MATCH($C$1,Database!$A$1:$C$1,),)=0,#N/A,VLOOKUP(Table7[[#This Row],[Date]],Database!$A:$C,MATCH($C$1,Database!$A$1:$C$1,),))</f>
        <v/>
      </c>
      <c r="D11246">
        <f>IFERROR(Table7[[#This Row],[United States 10y]]-Table7[[#This Row],[United States 3y]],#N/A)</f>
        <v/>
      </c>
    </row>
    <row r="11247">
      <c r="A11247" s="6">
        <f>Database!$A13332</f>
        <v/>
      </c>
      <c r="B11247">
        <f>IF(VLOOKUP(Table7[[#This Row],[Date]],Database!$A:$C,MATCH($B$1,Database!$A$1:$C$1,),)=0,#N/A,VLOOKUP(Table7[[#This Row],[Date]],Database!$A:$C,MATCH($B$1,Database!$A$1:$C$1,),))</f>
        <v/>
      </c>
      <c r="C11247">
        <f>IF(VLOOKUP(Table7[[#This Row],[Date]],Database!$A:$C,MATCH($C$1,Database!$A$1:$C$1,),)=0,#N/A,VLOOKUP(Table7[[#This Row],[Date]],Database!$A:$C,MATCH($C$1,Database!$A$1:$C$1,),))</f>
        <v/>
      </c>
      <c r="D11247">
        <f>IFERROR(Table7[[#This Row],[United States 10y]]-Table7[[#This Row],[United States 3y]],#N/A)</f>
        <v/>
      </c>
    </row>
    <row r="11248">
      <c r="A11248" s="6">
        <f>Database!$A13333</f>
        <v/>
      </c>
      <c r="B11248">
        <f>IF(VLOOKUP(Table7[[#This Row],[Date]],Database!$A:$C,MATCH($B$1,Database!$A$1:$C$1,),)=0,#N/A,VLOOKUP(Table7[[#This Row],[Date]],Database!$A:$C,MATCH($B$1,Database!$A$1:$C$1,),))</f>
        <v/>
      </c>
      <c r="C11248">
        <f>IF(VLOOKUP(Table7[[#This Row],[Date]],Database!$A:$C,MATCH($C$1,Database!$A$1:$C$1,),)=0,#N/A,VLOOKUP(Table7[[#This Row],[Date]],Database!$A:$C,MATCH($C$1,Database!$A$1:$C$1,),))</f>
        <v/>
      </c>
      <c r="D11248">
        <f>IFERROR(Table7[[#This Row],[United States 10y]]-Table7[[#This Row],[United States 3y]],#N/A)</f>
        <v/>
      </c>
    </row>
    <row r="11249">
      <c r="A11249" s="6">
        <f>Database!$A13334</f>
        <v/>
      </c>
      <c r="B11249">
        <f>IF(VLOOKUP(Table7[[#This Row],[Date]],Database!$A:$C,MATCH($B$1,Database!$A$1:$C$1,),)=0,#N/A,VLOOKUP(Table7[[#This Row],[Date]],Database!$A:$C,MATCH($B$1,Database!$A$1:$C$1,),))</f>
        <v/>
      </c>
      <c r="C11249">
        <f>IF(VLOOKUP(Table7[[#This Row],[Date]],Database!$A:$C,MATCH($C$1,Database!$A$1:$C$1,),)=0,#N/A,VLOOKUP(Table7[[#This Row],[Date]],Database!$A:$C,MATCH($C$1,Database!$A$1:$C$1,),))</f>
        <v/>
      </c>
      <c r="D11249">
        <f>IFERROR(Table7[[#This Row],[United States 10y]]-Table7[[#This Row],[United States 3y]],#N/A)</f>
        <v/>
      </c>
    </row>
    <row r="11250">
      <c r="A11250" s="6">
        <f>Database!$A13335</f>
        <v/>
      </c>
      <c r="B11250">
        <f>IF(VLOOKUP(Table7[[#This Row],[Date]],Database!$A:$C,MATCH($B$1,Database!$A$1:$C$1,),)=0,#N/A,VLOOKUP(Table7[[#This Row],[Date]],Database!$A:$C,MATCH($B$1,Database!$A$1:$C$1,),))</f>
        <v/>
      </c>
      <c r="C11250">
        <f>IF(VLOOKUP(Table7[[#This Row],[Date]],Database!$A:$C,MATCH($C$1,Database!$A$1:$C$1,),)=0,#N/A,VLOOKUP(Table7[[#This Row],[Date]],Database!$A:$C,MATCH($C$1,Database!$A$1:$C$1,),))</f>
        <v/>
      </c>
      <c r="D11250">
        <f>IFERROR(Table7[[#This Row],[United States 10y]]-Table7[[#This Row],[United States 3y]],#N/A)</f>
        <v/>
      </c>
    </row>
    <row r="11251">
      <c r="A11251" s="6">
        <f>Database!$A13336</f>
        <v/>
      </c>
      <c r="B11251">
        <f>IF(VLOOKUP(Table7[[#This Row],[Date]],Database!$A:$C,MATCH($B$1,Database!$A$1:$C$1,),)=0,#N/A,VLOOKUP(Table7[[#This Row],[Date]],Database!$A:$C,MATCH($B$1,Database!$A$1:$C$1,),))</f>
        <v/>
      </c>
      <c r="C11251">
        <f>IF(VLOOKUP(Table7[[#This Row],[Date]],Database!$A:$C,MATCH($C$1,Database!$A$1:$C$1,),)=0,#N/A,VLOOKUP(Table7[[#This Row],[Date]],Database!$A:$C,MATCH($C$1,Database!$A$1:$C$1,),))</f>
        <v/>
      </c>
      <c r="D11251">
        <f>IFERROR(Table7[[#This Row],[United States 10y]]-Table7[[#This Row],[United States 3y]],#N/A)</f>
        <v/>
      </c>
    </row>
    <row r="11252">
      <c r="A11252" s="6">
        <f>Database!$A13337</f>
        <v/>
      </c>
      <c r="B11252">
        <f>IF(VLOOKUP(Table7[[#This Row],[Date]],Database!$A:$C,MATCH($B$1,Database!$A$1:$C$1,),)=0,#N/A,VLOOKUP(Table7[[#This Row],[Date]],Database!$A:$C,MATCH($B$1,Database!$A$1:$C$1,),))</f>
        <v/>
      </c>
      <c r="C11252">
        <f>IF(VLOOKUP(Table7[[#This Row],[Date]],Database!$A:$C,MATCH($C$1,Database!$A$1:$C$1,),)=0,#N/A,VLOOKUP(Table7[[#This Row],[Date]],Database!$A:$C,MATCH($C$1,Database!$A$1:$C$1,),))</f>
        <v/>
      </c>
      <c r="D11252">
        <f>IFERROR(Table7[[#This Row],[United States 10y]]-Table7[[#This Row],[United States 3y]],#N/A)</f>
        <v/>
      </c>
    </row>
    <row r="11253">
      <c r="A11253" s="6">
        <f>Database!$A13338</f>
        <v/>
      </c>
      <c r="B11253">
        <f>IF(VLOOKUP(Table7[[#This Row],[Date]],Database!$A:$C,MATCH($B$1,Database!$A$1:$C$1,),)=0,#N/A,VLOOKUP(Table7[[#This Row],[Date]],Database!$A:$C,MATCH($B$1,Database!$A$1:$C$1,),))</f>
        <v/>
      </c>
      <c r="C11253">
        <f>IF(VLOOKUP(Table7[[#This Row],[Date]],Database!$A:$C,MATCH($C$1,Database!$A$1:$C$1,),)=0,#N/A,VLOOKUP(Table7[[#This Row],[Date]],Database!$A:$C,MATCH($C$1,Database!$A$1:$C$1,),))</f>
        <v/>
      </c>
      <c r="D11253">
        <f>IFERROR(Table7[[#This Row],[United States 10y]]-Table7[[#This Row],[United States 3y]],#N/A)</f>
        <v/>
      </c>
    </row>
    <row r="11254">
      <c r="A11254" s="6">
        <f>Database!$A13339</f>
        <v/>
      </c>
      <c r="B11254">
        <f>IF(VLOOKUP(Table7[[#This Row],[Date]],Database!$A:$C,MATCH($B$1,Database!$A$1:$C$1,),)=0,#N/A,VLOOKUP(Table7[[#This Row],[Date]],Database!$A:$C,MATCH($B$1,Database!$A$1:$C$1,),))</f>
        <v/>
      </c>
      <c r="C11254">
        <f>IF(VLOOKUP(Table7[[#This Row],[Date]],Database!$A:$C,MATCH($C$1,Database!$A$1:$C$1,),)=0,#N/A,VLOOKUP(Table7[[#This Row],[Date]],Database!$A:$C,MATCH($C$1,Database!$A$1:$C$1,),))</f>
        <v/>
      </c>
      <c r="D11254">
        <f>IFERROR(Table7[[#This Row],[United States 10y]]-Table7[[#This Row],[United States 3y]],#N/A)</f>
        <v/>
      </c>
    </row>
    <row r="11255">
      <c r="A11255" s="6">
        <f>Database!$A13340</f>
        <v/>
      </c>
      <c r="B11255">
        <f>IF(VLOOKUP(Table7[[#This Row],[Date]],Database!$A:$C,MATCH($B$1,Database!$A$1:$C$1,),)=0,#N/A,VLOOKUP(Table7[[#This Row],[Date]],Database!$A:$C,MATCH($B$1,Database!$A$1:$C$1,),))</f>
        <v/>
      </c>
      <c r="C11255">
        <f>IF(VLOOKUP(Table7[[#This Row],[Date]],Database!$A:$C,MATCH($C$1,Database!$A$1:$C$1,),)=0,#N/A,VLOOKUP(Table7[[#This Row],[Date]],Database!$A:$C,MATCH($C$1,Database!$A$1:$C$1,),))</f>
        <v/>
      </c>
      <c r="D11255">
        <f>IFERROR(Table7[[#This Row],[United States 10y]]-Table7[[#This Row],[United States 3y]],#N/A)</f>
        <v/>
      </c>
    </row>
    <row r="11256">
      <c r="A11256" s="6">
        <f>Database!$A13341</f>
        <v/>
      </c>
      <c r="B11256">
        <f>IF(VLOOKUP(Table7[[#This Row],[Date]],Database!$A:$C,MATCH($B$1,Database!$A$1:$C$1,),)=0,#N/A,VLOOKUP(Table7[[#This Row],[Date]],Database!$A:$C,MATCH($B$1,Database!$A$1:$C$1,),))</f>
        <v/>
      </c>
      <c r="C11256">
        <f>IF(VLOOKUP(Table7[[#This Row],[Date]],Database!$A:$C,MATCH($C$1,Database!$A$1:$C$1,),)=0,#N/A,VLOOKUP(Table7[[#This Row],[Date]],Database!$A:$C,MATCH($C$1,Database!$A$1:$C$1,),))</f>
        <v/>
      </c>
      <c r="D11256">
        <f>IFERROR(Table7[[#This Row],[United States 10y]]-Table7[[#This Row],[United States 3y]],#N/A)</f>
        <v/>
      </c>
    </row>
    <row r="11257">
      <c r="A11257" s="6">
        <f>Database!$A13342</f>
        <v/>
      </c>
      <c r="B11257">
        <f>IF(VLOOKUP(Table7[[#This Row],[Date]],Database!$A:$C,MATCH($B$1,Database!$A$1:$C$1,),)=0,#N/A,VLOOKUP(Table7[[#This Row],[Date]],Database!$A:$C,MATCH($B$1,Database!$A$1:$C$1,),))</f>
        <v/>
      </c>
      <c r="C11257">
        <f>IF(VLOOKUP(Table7[[#This Row],[Date]],Database!$A:$C,MATCH($C$1,Database!$A$1:$C$1,),)=0,#N/A,VLOOKUP(Table7[[#This Row],[Date]],Database!$A:$C,MATCH($C$1,Database!$A$1:$C$1,),))</f>
        <v/>
      </c>
      <c r="D11257">
        <f>IFERROR(Table7[[#This Row],[United States 10y]]-Table7[[#This Row],[United States 3y]],#N/A)</f>
        <v/>
      </c>
    </row>
    <row r="11258">
      <c r="A11258" s="6">
        <f>Database!$A13343</f>
        <v/>
      </c>
      <c r="B11258">
        <f>IF(VLOOKUP(Table7[[#This Row],[Date]],Database!$A:$C,MATCH($B$1,Database!$A$1:$C$1,),)=0,#N/A,VLOOKUP(Table7[[#This Row],[Date]],Database!$A:$C,MATCH($B$1,Database!$A$1:$C$1,),))</f>
        <v/>
      </c>
      <c r="C11258">
        <f>IF(VLOOKUP(Table7[[#This Row],[Date]],Database!$A:$C,MATCH($C$1,Database!$A$1:$C$1,),)=0,#N/A,VLOOKUP(Table7[[#This Row],[Date]],Database!$A:$C,MATCH($C$1,Database!$A$1:$C$1,),))</f>
        <v/>
      </c>
      <c r="D11258">
        <f>IFERROR(Table7[[#This Row],[United States 10y]]-Table7[[#This Row],[United States 3y]],#N/A)</f>
        <v/>
      </c>
    </row>
    <row r="11259">
      <c r="A11259" s="6">
        <f>Database!$A13344</f>
        <v/>
      </c>
      <c r="B11259">
        <f>IF(VLOOKUP(Table7[[#This Row],[Date]],Database!$A:$C,MATCH($B$1,Database!$A$1:$C$1,),)=0,#N/A,VLOOKUP(Table7[[#This Row],[Date]],Database!$A:$C,MATCH($B$1,Database!$A$1:$C$1,),))</f>
        <v/>
      </c>
      <c r="C11259">
        <f>IF(VLOOKUP(Table7[[#This Row],[Date]],Database!$A:$C,MATCH($C$1,Database!$A$1:$C$1,),)=0,#N/A,VLOOKUP(Table7[[#This Row],[Date]],Database!$A:$C,MATCH($C$1,Database!$A$1:$C$1,),))</f>
        <v/>
      </c>
      <c r="D11259">
        <f>IFERROR(Table7[[#This Row],[United States 10y]]-Table7[[#This Row],[United States 3y]],#N/A)</f>
        <v/>
      </c>
    </row>
    <row r="11260">
      <c r="A11260" s="6">
        <f>Database!$A13345</f>
        <v/>
      </c>
      <c r="B11260">
        <f>IF(VLOOKUP(Table7[[#This Row],[Date]],Database!$A:$C,MATCH($B$1,Database!$A$1:$C$1,),)=0,#N/A,VLOOKUP(Table7[[#This Row],[Date]],Database!$A:$C,MATCH($B$1,Database!$A$1:$C$1,),))</f>
        <v/>
      </c>
      <c r="C11260">
        <f>IF(VLOOKUP(Table7[[#This Row],[Date]],Database!$A:$C,MATCH($C$1,Database!$A$1:$C$1,),)=0,#N/A,VLOOKUP(Table7[[#This Row],[Date]],Database!$A:$C,MATCH($C$1,Database!$A$1:$C$1,),))</f>
        <v/>
      </c>
      <c r="D11260">
        <f>IFERROR(Table7[[#This Row],[United States 10y]]-Table7[[#This Row],[United States 3y]],#N/A)</f>
        <v/>
      </c>
    </row>
    <row r="11261">
      <c r="A11261" s="6">
        <f>Database!$A13346</f>
        <v/>
      </c>
      <c r="B11261">
        <f>IF(VLOOKUP(Table7[[#This Row],[Date]],Database!$A:$C,MATCH($B$1,Database!$A$1:$C$1,),)=0,#N/A,VLOOKUP(Table7[[#This Row],[Date]],Database!$A:$C,MATCH($B$1,Database!$A$1:$C$1,),))</f>
        <v/>
      </c>
      <c r="C11261">
        <f>IF(VLOOKUP(Table7[[#This Row],[Date]],Database!$A:$C,MATCH($C$1,Database!$A$1:$C$1,),)=0,#N/A,VLOOKUP(Table7[[#This Row],[Date]],Database!$A:$C,MATCH($C$1,Database!$A$1:$C$1,),))</f>
        <v/>
      </c>
      <c r="D11261">
        <f>IFERROR(Table7[[#This Row],[United States 10y]]-Table7[[#This Row],[United States 3y]],#N/A)</f>
        <v/>
      </c>
    </row>
    <row r="11262">
      <c r="A11262" s="6">
        <f>Database!$A13347</f>
        <v/>
      </c>
      <c r="B11262">
        <f>IF(VLOOKUP(Table7[[#This Row],[Date]],Database!$A:$C,MATCH($B$1,Database!$A$1:$C$1,),)=0,#N/A,VLOOKUP(Table7[[#This Row],[Date]],Database!$A:$C,MATCH($B$1,Database!$A$1:$C$1,),))</f>
        <v/>
      </c>
      <c r="C11262">
        <f>IF(VLOOKUP(Table7[[#This Row],[Date]],Database!$A:$C,MATCH($C$1,Database!$A$1:$C$1,),)=0,#N/A,VLOOKUP(Table7[[#This Row],[Date]],Database!$A:$C,MATCH($C$1,Database!$A$1:$C$1,),))</f>
        <v/>
      </c>
      <c r="D11262">
        <f>IFERROR(Table7[[#This Row],[United States 10y]]-Table7[[#This Row],[United States 3y]],#N/A)</f>
        <v/>
      </c>
    </row>
    <row r="11263">
      <c r="A11263" s="6">
        <f>Database!$A13348</f>
        <v/>
      </c>
      <c r="B11263">
        <f>IF(VLOOKUP(Table7[[#This Row],[Date]],Database!$A:$C,MATCH($B$1,Database!$A$1:$C$1,),)=0,#N/A,VLOOKUP(Table7[[#This Row],[Date]],Database!$A:$C,MATCH($B$1,Database!$A$1:$C$1,),))</f>
        <v/>
      </c>
      <c r="C11263">
        <f>IF(VLOOKUP(Table7[[#This Row],[Date]],Database!$A:$C,MATCH($C$1,Database!$A$1:$C$1,),)=0,#N/A,VLOOKUP(Table7[[#This Row],[Date]],Database!$A:$C,MATCH($C$1,Database!$A$1:$C$1,),))</f>
        <v/>
      </c>
      <c r="D11263">
        <f>IFERROR(Table7[[#This Row],[United States 10y]]-Table7[[#This Row],[United States 3y]],#N/A)</f>
        <v/>
      </c>
    </row>
    <row r="11264">
      <c r="A11264" s="6">
        <f>Database!$A13349</f>
        <v/>
      </c>
      <c r="B11264">
        <f>IF(VLOOKUP(Table7[[#This Row],[Date]],Database!$A:$C,MATCH($B$1,Database!$A$1:$C$1,),)=0,#N/A,VLOOKUP(Table7[[#This Row],[Date]],Database!$A:$C,MATCH($B$1,Database!$A$1:$C$1,),))</f>
        <v/>
      </c>
      <c r="C11264">
        <f>IF(VLOOKUP(Table7[[#This Row],[Date]],Database!$A:$C,MATCH($C$1,Database!$A$1:$C$1,),)=0,#N/A,VLOOKUP(Table7[[#This Row],[Date]],Database!$A:$C,MATCH($C$1,Database!$A$1:$C$1,),))</f>
        <v/>
      </c>
      <c r="D11264">
        <f>IFERROR(Table7[[#This Row],[United States 10y]]-Table7[[#This Row],[United States 3y]],#N/A)</f>
        <v/>
      </c>
    </row>
    <row r="11265">
      <c r="A11265" s="6">
        <f>Database!$A13350</f>
        <v/>
      </c>
      <c r="B11265">
        <f>IF(VLOOKUP(Table7[[#This Row],[Date]],Database!$A:$C,MATCH($B$1,Database!$A$1:$C$1,),)=0,#N/A,VLOOKUP(Table7[[#This Row],[Date]],Database!$A:$C,MATCH($B$1,Database!$A$1:$C$1,),))</f>
        <v/>
      </c>
      <c r="C11265">
        <f>IF(VLOOKUP(Table7[[#This Row],[Date]],Database!$A:$C,MATCH($C$1,Database!$A$1:$C$1,),)=0,#N/A,VLOOKUP(Table7[[#This Row],[Date]],Database!$A:$C,MATCH($C$1,Database!$A$1:$C$1,),))</f>
        <v/>
      </c>
      <c r="D11265">
        <f>IFERROR(Table7[[#This Row],[United States 10y]]-Table7[[#This Row],[United States 3y]],#N/A)</f>
        <v/>
      </c>
    </row>
    <row r="11266">
      <c r="A11266" s="6">
        <f>Database!$A13351</f>
        <v/>
      </c>
      <c r="B11266">
        <f>IF(VLOOKUP(Table7[[#This Row],[Date]],Database!$A:$C,MATCH($B$1,Database!$A$1:$C$1,),)=0,#N/A,VLOOKUP(Table7[[#This Row],[Date]],Database!$A:$C,MATCH($B$1,Database!$A$1:$C$1,),))</f>
        <v/>
      </c>
      <c r="C11266">
        <f>IF(VLOOKUP(Table7[[#This Row],[Date]],Database!$A:$C,MATCH($C$1,Database!$A$1:$C$1,),)=0,#N/A,VLOOKUP(Table7[[#This Row],[Date]],Database!$A:$C,MATCH($C$1,Database!$A$1:$C$1,),))</f>
        <v/>
      </c>
      <c r="D11266">
        <f>IFERROR(Table7[[#This Row],[United States 10y]]-Table7[[#This Row],[United States 3y]],#N/A)</f>
        <v/>
      </c>
    </row>
    <row r="11267">
      <c r="A11267" s="6">
        <f>Database!$A13352</f>
        <v/>
      </c>
      <c r="B11267">
        <f>IF(VLOOKUP(Table7[[#This Row],[Date]],Database!$A:$C,MATCH($B$1,Database!$A$1:$C$1,),)=0,#N/A,VLOOKUP(Table7[[#This Row],[Date]],Database!$A:$C,MATCH($B$1,Database!$A$1:$C$1,),))</f>
        <v/>
      </c>
      <c r="C11267">
        <f>IF(VLOOKUP(Table7[[#This Row],[Date]],Database!$A:$C,MATCH($C$1,Database!$A$1:$C$1,),)=0,#N/A,VLOOKUP(Table7[[#This Row],[Date]],Database!$A:$C,MATCH($C$1,Database!$A$1:$C$1,),))</f>
        <v/>
      </c>
      <c r="D11267">
        <f>IFERROR(Table7[[#This Row],[United States 10y]]-Table7[[#This Row],[United States 3y]],#N/A)</f>
        <v/>
      </c>
    </row>
    <row r="11268">
      <c r="A11268" s="6">
        <f>Database!$A13353</f>
        <v/>
      </c>
      <c r="B11268">
        <f>IF(VLOOKUP(Table7[[#This Row],[Date]],Database!$A:$C,MATCH($B$1,Database!$A$1:$C$1,),)=0,#N/A,VLOOKUP(Table7[[#This Row],[Date]],Database!$A:$C,MATCH($B$1,Database!$A$1:$C$1,),))</f>
        <v/>
      </c>
      <c r="C11268">
        <f>IF(VLOOKUP(Table7[[#This Row],[Date]],Database!$A:$C,MATCH($C$1,Database!$A$1:$C$1,),)=0,#N/A,VLOOKUP(Table7[[#This Row],[Date]],Database!$A:$C,MATCH($C$1,Database!$A$1:$C$1,),))</f>
        <v/>
      </c>
      <c r="D11268">
        <f>IFERROR(Table7[[#This Row],[United States 10y]]-Table7[[#This Row],[United States 3y]],#N/A)</f>
        <v/>
      </c>
    </row>
    <row r="11269">
      <c r="A11269" s="6">
        <f>Database!$A13354</f>
        <v/>
      </c>
      <c r="B11269">
        <f>IF(VLOOKUP(Table7[[#This Row],[Date]],Database!$A:$C,MATCH($B$1,Database!$A$1:$C$1,),)=0,#N/A,VLOOKUP(Table7[[#This Row],[Date]],Database!$A:$C,MATCH($B$1,Database!$A$1:$C$1,),))</f>
        <v/>
      </c>
      <c r="C11269">
        <f>IF(VLOOKUP(Table7[[#This Row],[Date]],Database!$A:$C,MATCH($C$1,Database!$A$1:$C$1,),)=0,#N/A,VLOOKUP(Table7[[#This Row],[Date]],Database!$A:$C,MATCH($C$1,Database!$A$1:$C$1,),))</f>
        <v/>
      </c>
      <c r="D11269">
        <f>IFERROR(Table7[[#This Row],[United States 10y]]-Table7[[#This Row],[United States 3y]],#N/A)</f>
        <v/>
      </c>
    </row>
    <row r="11270">
      <c r="A11270" s="6">
        <f>Database!$A13355</f>
        <v/>
      </c>
      <c r="B11270">
        <f>IF(VLOOKUP(Table7[[#This Row],[Date]],Database!$A:$C,MATCH($B$1,Database!$A$1:$C$1,),)=0,#N/A,VLOOKUP(Table7[[#This Row],[Date]],Database!$A:$C,MATCH($B$1,Database!$A$1:$C$1,),))</f>
        <v/>
      </c>
      <c r="C11270">
        <f>IF(VLOOKUP(Table7[[#This Row],[Date]],Database!$A:$C,MATCH($C$1,Database!$A$1:$C$1,),)=0,#N/A,VLOOKUP(Table7[[#This Row],[Date]],Database!$A:$C,MATCH($C$1,Database!$A$1:$C$1,),))</f>
        <v/>
      </c>
      <c r="D11270">
        <f>IFERROR(Table7[[#This Row],[United States 10y]]-Table7[[#This Row],[United States 3y]],#N/A)</f>
        <v/>
      </c>
    </row>
    <row r="11271">
      <c r="A11271" s="6">
        <f>Database!$A13356</f>
        <v/>
      </c>
      <c r="B11271">
        <f>IF(VLOOKUP(Table7[[#This Row],[Date]],Database!$A:$C,MATCH($B$1,Database!$A$1:$C$1,),)=0,#N/A,VLOOKUP(Table7[[#This Row],[Date]],Database!$A:$C,MATCH($B$1,Database!$A$1:$C$1,),))</f>
        <v/>
      </c>
      <c r="C11271">
        <f>IF(VLOOKUP(Table7[[#This Row],[Date]],Database!$A:$C,MATCH($C$1,Database!$A$1:$C$1,),)=0,#N/A,VLOOKUP(Table7[[#This Row],[Date]],Database!$A:$C,MATCH($C$1,Database!$A$1:$C$1,),))</f>
        <v/>
      </c>
      <c r="D11271">
        <f>IFERROR(Table7[[#This Row],[United States 10y]]-Table7[[#This Row],[United States 3y]],#N/A)</f>
        <v/>
      </c>
    </row>
    <row r="11272">
      <c r="A11272" s="6">
        <f>Database!$A13357</f>
        <v/>
      </c>
      <c r="B11272">
        <f>IF(VLOOKUP(Table7[[#This Row],[Date]],Database!$A:$C,MATCH($B$1,Database!$A$1:$C$1,),)=0,#N/A,VLOOKUP(Table7[[#This Row],[Date]],Database!$A:$C,MATCH($B$1,Database!$A$1:$C$1,),))</f>
        <v/>
      </c>
      <c r="C11272">
        <f>IF(VLOOKUP(Table7[[#This Row],[Date]],Database!$A:$C,MATCH($C$1,Database!$A$1:$C$1,),)=0,#N/A,VLOOKUP(Table7[[#This Row],[Date]],Database!$A:$C,MATCH($C$1,Database!$A$1:$C$1,),))</f>
        <v/>
      </c>
      <c r="D11272">
        <f>IFERROR(Table7[[#This Row],[United States 10y]]-Table7[[#This Row],[United States 3y]],#N/A)</f>
        <v/>
      </c>
    </row>
    <row r="11273">
      <c r="A11273" s="6">
        <f>Database!$A13358</f>
        <v/>
      </c>
      <c r="B11273">
        <f>IF(VLOOKUP(Table7[[#This Row],[Date]],Database!$A:$C,MATCH($B$1,Database!$A$1:$C$1,),)=0,#N/A,VLOOKUP(Table7[[#This Row],[Date]],Database!$A:$C,MATCH($B$1,Database!$A$1:$C$1,),))</f>
        <v/>
      </c>
      <c r="C11273">
        <f>IF(VLOOKUP(Table7[[#This Row],[Date]],Database!$A:$C,MATCH($C$1,Database!$A$1:$C$1,),)=0,#N/A,VLOOKUP(Table7[[#This Row],[Date]],Database!$A:$C,MATCH($C$1,Database!$A$1:$C$1,),))</f>
        <v/>
      </c>
      <c r="D11273">
        <f>IFERROR(Table7[[#This Row],[United States 10y]]-Table7[[#This Row],[United States 3y]],#N/A)</f>
        <v/>
      </c>
    </row>
    <row r="11274">
      <c r="A11274" s="6">
        <f>Database!$A13359</f>
        <v/>
      </c>
      <c r="B11274">
        <f>IF(VLOOKUP(Table7[[#This Row],[Date]],Database!$A:$C,MATCH($B$1,Database!$A$1:$C$1,),)=0,#N/A,VLOOKUP(Table7[[#This Row],[Date]],Database!$A:$C,MATCH($B$1,Database!$A$1:$C$1,),))</f>
        <v/>
      </c>
      <c r="C11274">
        <f>IF(VLOOKUP(Table7[[#This Row],[Date]],Database!$A:$C,MATCH($C$1,Database!$A$1:$C$1,),)=0,#N/A,VLOOKUP(Table7[[#This Row],[Date]],Database!$A:$C,MATCH($C$1,Database!$A$1:$C$1,),))</f>
        <v/>
      </c>
      <c r="D11274">
        <f>IFERROR(Table7[[#This Row],[United States 10y]]-Table7[[#This Row],[United States 3y]],#N/A)</f>
        <v/>
      </c>
    </row>
    <row r="11275">
      <c r="A11275" s="6">
        <f>Database!$A13360</f>
        <v/>
      </c>
      <c r="B11275">
        <f>IF(VLOOKUP(Table7[[#This Row],[Date]],Database!$A:$C,MATCH($B$1,Database!$A$1:$C$1,),)=0,#N/A,VLOOKUP(Table7[[#This Row],[Date]],Database!$A:$C,MATCH($B$1,Database!$A$1:$C$1,),))</f>
        <v/>
      </c>
      <c r="C11275">
        <f>IF(VLOOKUP(Table7[[#This Row],[Date]],Database!$A:$C,MATCH($C$1,Database!$A$1:$C$1,),)=0,#N/A,VLOOKUP(Table7[[#This Row],[Date]],Database!$A:$C,MATCH($C$1,Database!$A$1:$C$1,),))</f>
        <v/>
      </c>
      <c r="D11275">
        <f>IFERROR(Table7[[#This Row],[United States 10y]]-Table7[[#This Row],[United States 3y]],#N/A)</f>
        <v/>
      </c>
    </row>
    <row r="11276">
      <c r="A11276" s="6">
        <f>Database!$A13361</f>
        <v/>
      </c>
      <c r="B11276">
        <f>IF(VLOOKUP(Table7[[#This Row],[Date]],Database!$A:$C,MATCH($B$1,Database!$A$1:$C$1,),)=0,#N/A,VLOOKUP(Table7[[#This Row],[Date]],Database!$A:$C,MATCH($B$1,Database!$A$1:$C$1,),))</f>
        <v/>
      </c>
      <c r="C11276">
        <f>IF(VLOOKUP(Table7[[#This Row],[Date]],Database!$A:$C,MATCH($C$1,Database!$A$1:$C$1,),)=0,#N/A,VLOOKUP(Table7[[#This Row],[Date]],Database!$A:$C,MATCH($C$1,Database!$A$1:$C$1,),))</f>
        <v/>
      </c>
      <c r="D11276">
        <f>IFERROR(Table7[[#This Row],[United States 10y]]-Table7[[#This Row],[United States 3y]],#N/A)</f>
        <v/>
      </c>
    </row>
    <row r="11277">
      <c r="A11277" s="6">
        <f>Database!$A13362</f>
        <v/>
      </c>
      <c r="B11277">
        <f>IF(VLOOKUP(Table7[[#This Row],[Date]],Database!$A:$C,MATCH($B$1,Database!$A$1:$C$1,),)=0,#N/A,VLOOKUP(Table7[[#This Row],[Date]],Database!$A:$C,MATCH($B$1,Database!$A$1:$C$1,),))</f>
        <v/>
      </c>
      <c r="C11277">
        <f>IF(VLOOKUP(Table7[[#This Row],[Date]],Database!$A:$C,MATCH($C$1,Database!$A$1:$C$1,),)=0,#N/A,VLOOKUP(Table7[[#This Row],[Date]],Database!$A:$C,MATCH($C$1,Database!$A$1:$C$1,),))</f>
        <v/>
      </c>
      <c r="D11277">
        <f>IFERROR(Table7[[#This Row],[United States 10y]]-Table7[[#This Row],[United States 3y]],#N/A)</f>
        <v/>
      </c>
    </row>
    <row r="11278">
      <c r="A11278" s="6">
        <f>Database!$A13363</f>
        <v/>
      </c>
      <c r="B11278">
        <f>IF(VLOOKUP(Table7[[#This Row],[Date]],Database!$A:$C,MATCH($B$1,Database!$A$1:$C$1,),)=0,#N/A,VLOOKUP(Table7[[#This Row],[Date]],Database!$A:$C,MATCH($B$1,Database!$A$1:$C$1,),))</f>
        <v/>
      </c>
      <c r="C11278">
        <f>IF(VLOOKUP(Table7[[#This Row],[Date]],Database!$A:$C,MATCH($C$1,Database!$A$1:$C$1,),)=0,#N/A,VLOOKUP(Table7[[#This Row],[Date]],Database!$A:$C,MATCH($C$1,Database!$A$1:$C$1,),))</f>
        <v/>
      </c>
      <c r="D11278">
        <f>IFERROR(Table7[[#This Row],[United States 10y]]-Table7[[#This Row],[United States 3y]],#N/A)</f>
        <v/>
      </c>
    </row>
    <row r="11279">
      <c r="A11279" s="6">
        <f>Database!$A13364</f>
        <v/>
      </c>
      <c r="B11279">
        <f>IF(VLOOKUP(Table7[[#This Row],[Date]],Database!$A:$C,MATCH($B$1,Database!$A$1:$C$1,),)=0,#N/A,VLOOKUP(Table7[[#This Row],[Date]],Database!$A:$C,MATCH($B$1,Database!$A$1:$C$1,),))</f>
        <v/>
      </c>
      <c r="C11279">
        <f>IF(VLOOKUP(Table7[[#This Row],[Date]],Database!$A:$C,MATCH($C$1,Database!$A$1:$C$1,),)=0,#N/A,VLOOKUP(Table7[[#This Row],[Date]],Database!$A:$C,MATCH($C$1,Database!$A$1:$C$1,),))</f>
        <v/>
      </c>
      <c r="D11279">
        <f>IFERROR(Table7[[#This Row],[United States 10y]]-Table7[[#This Row],[United States 3y]],#N/A)</f>
        <v/>
      </c>
    </row>
    <row r="11280">
      <c r="A11280" s="6">
        <f>Database!$A13365</f>
        <v/>
      </c>
      <c r="B11280">
        <f>IF(VLOOKUP(Table7[[#This Row],[Date]],Database!$A:$C,MATCH($B$1,Database!$A$1:$C$1,),)=0,#N/A,VLOOKUP(Table7[[#This Row],[Date]],Database!$A:$C,MATCH($B$1,Database!$A$1:$C$1,),))</f>
        <v/>
      </c>
      <c r="C11280">
        <f>IF(VLOOKUP(Table7[[#This Row],[Date]],Database!$A:$C,MATCH($C$1,Database!$A$1:$C$1,),)=0,#N/A,VLOOKUP(Table7[[#This Row],[Date]],Database!$A:$C,MATCH($C$1,Database!$A$1:$C$1,),))</f>
        <v/>
      </c>
      <c r="D11280">
        <f>IFERROR(Table7[[#This Row],[United States 10y]]-Table7[[#This Row],[United States 3y]],#N/A)</f>
        <v/>
      </c>
    </row>
    <row r="11281">
      <c r="A11281" s="6">
        <f>Database!$A13366</f>
        <v/>
      </c>
      <c r="B11281">
        <f>IF(VLOOKUP(Table7[[#This Row],[Date]],Database!$A:$C,MATCH($B$1,Database!$A$1:$C$1,),)=0,#N/A,VLOOKUP(Table7[[#This Row],[Date]],Database!$A:$C,MATCH($B$1,Database!$A$1:$C$1,),))</f>
        <v/>
      </c>
      <c r="C11281">
        <f>IF(VLOOKUP(Table7[[#This Row],[Date]],Database!$A:$C,MATCH($C$1,Database!$A$1:$C$1,),)=0,#N/A,VLOOKUP(Table7[[#This Row],[Date]],Database!$A:$C,MATCH($C$1,Database!$A$1:$C$1,),))</f>
        <v/>
      </c>
      <c r="D11281">
        <f>IFERROR(Table7[[#This Row],[United States 10y]]-Table7[[#This Row],[United States 3y]],#N/A)</f>
        <v/>
      </c>
    </row>
    <row r="11282">
      <c r="A11282" s="6">
        <f>Database!$A13367</f>
        <v/>
      </c>
      <c r="B11282">
        <f>IF(VLOOKUP(Table7[[#This Row],[Date]],Database!$A:$C,MATCH($B$1,Database!$A$1:$C$1,),)=0,#N/A,VLOOKUP(Table7[[#This Row],[Date]],Database!$A:$C,MATCH($B$1,Database!$A$1:$C$1,),))</f>
        <v/>
      </c>
      <c r="C11282">
        <f>IF(VLOOKUP(Table7[[#This Row],[Date]],Database!$A:$C,MATCH($C$1,Database!$A$1:$C$1,),)=0,#N/A,VLOOKUP(Table7[[#This Row],[Date]],Database!$A:$C,MATCH($C$1,Database!$A$1:$C$1,),))</f>
        <v/>
      </c>
      <c r="D11282">
        <f>IFERROR(Table7[[#This Row],[United States 10y]]-Table7[[#This Row],[United States 3y]],#N/A)</f>
        <v/>
      </c>
    </row>
    <row r="11283">
      <c r="A11283" s="6">
        <f>Database!$A13368</f>
        <v/>
      </c>
      <c r="B11283">
        <f>IF(VLOOKUP(Table7[[#This Row],[Date]],Database!$A:$C,MATCH($B$1,Database!$A$1:$C$1,),)=0,#N/A,VLOOKUP(Table7[[#This Row],[Date]],Database!$A:$C,MATCH($B$1,Database!$A$1:$C$1,),))</f>
        <v/>
      </c>
      <c r="C11283">
        <f>IF(VLOOKUP(Table7[[#This Row],[Date]],Database!$A:$C,MATCH($C$1,Database!$A$1:$C$1,),)=0,#N/A,VLOOKUP(Table7[[#This Row],[Date]],Database!$A:$C,MATCH($C$1,Database!$A$1:$C$1,),))</f>
        <v/>
      </c>
      <c r="D11283">
        <f>IFERROR(Table7[[#This Row],[United States 10y]]-Table7[[#This Row],[United States 3y]],#N/A)</f>
        <v/>
      </c>
    </row>
    <row r="11284">
      <c r="A11284" s="6">
        <f>Database!$A13369</f>
        <v/>
      </c>
      <c r="B11284">
        <f>IF(VLOOKUP(Table7[[#This Row],[Date]],Database!$A:$C,MATCH($B$1,Database!$A$1:$C$1,),)=0,#N/A,VLOOKUP(Table7[[#This Row],[Date]],Database!$A:$C,MATCH($B$1,Database!$A$1:$C$1,),))</f>
        <v/>
      </c>
      <c r="C11284">
        <f>IF(VLOOKUP(Table7[[#This Row],[Date]],Database!$A:$C,MATCH($C$1,Database!$A$1:$C$1,),)=0,#N/A,VLOOKUP(Table7[[#This Row],[Date]],Database!$A:$C,MATCH($C$1,Database!$A$1:$C$1,),))</f>
        <v/>
      </c>
      <c r="D11284">
        <f>IFERROR(Table7[[#This Row],[United States 10y]]-Table7[[#This Row],[United States 3y]],#N/A)</f>
        <v/>
      </c>
    </row>
    <row r="11285">
      <c r="A11285" s="6">
        <f>Database!$A13370</f>
        <v/>
      </c>
      <c r="B11285">
        <f>IF(VLOOKUP(Table7[[#This Row],[Date]],Database!$A:$C,MATCH($B$1,Database!$A$1:$C$1,),)=0,#N/A,VLOOKUP(Table7[[#This Row],[Date]],Database!$A:$C,MATCH($B$1,Database!$A$1:$C$1,),))</f>
        <v/>
      </c>
      <c r="C11285">
        <f>IF(VLOOKUP(Table7[[#This Row],[Date]],Database!$A:$C,MATCH($C$1,Database!$A$1:$C$1,),)=0,#N/A,VLOOKUP(Table7[[#This Row],[Date]],Database!$A:$C,MATCH($C$1,Database!$A$1:$C$1,),))</f>
        <v/>
      </c>
      <c r="D11285">
        <f>IFERROR(Table7[[#This Row],[United States 10y]]-Table7[[#This Row],[United States 3y]],#N/A)</f>
        <v/>
      </c>
    </row>
    <row r="11286">
      <c r="A11286" s="6">
        <f>Database!$A13371</f>
        <v/>
      </c>
      <c r="B11286">
        <f>IF(VLOOKUP(Table7[[#This Row],[Date]],Database!$A:$C,MATCH($B$1,Database!$A$1:$C$1,),)=0,#N/A,VLOOKUP(Table7[[#This Row],[Date]],Database!$A:$C,MATCH($B$1,Database!$A$1:$C$1,),))</f>
        <v/>
      </c>
      <c r="C11286">
        <f>IF(VLOOKUP(Table7[[#This Row],[Date]],Database!$A:$C,MATCH($C$1,Database!$A$1:$C$1,),)=0,#N/A,VLOOKUP(Table7[[#This Row],[Date]],Database!$A:$C,MATCH($C$1,Database!$A$1:$C$1,),))</f>
        <v/>
      </c>
      <c r="D11286">
        <f>IFERROR(Table7[[#This Row],[United States 10y]]-Table7[[#This Row],[United States 3y]],#N/A)</f>
        <v/>
      </c>
    </row>
    <row r="11287">
      <c r="A11287" s="6">
        <f>Database!$A13372</f>
        <v/>
      </c>
      <c r="B11287">
        <f>IF(VLOOKUP(Table7[[#This Row],[Date]],Database!$A:$C,MATCH($B$1,Database!$A$1:$C$1,),)=0,#N/A,VLOOKUP(Table7[[#This Row],[Date]],Database!$A:$C,MATCH($B$1,Database!$A$1:$C$1,),))</f>
        <v/>
      </c>
      <c r="C11287">
        <f>IF(VLOOKUP(Table7[[#This Row],[Date]],Database!$A:$C,MATCH($C$1,Database!$A$1:$C$1,),)=0,#N/A,VLOOKUP(Table7[[#This Row],[Date]],Database!$A:$C,MATCH($C$1,Database!$A$1:$C$1,),))</f>
        <v/>
      </c>
      <c r="D11287">
        <f>IFERROR(Table7[[#This Row],[United States 10y]]-Table7[[#This Row],[United States 3y]],#N/A)</f>
        <v/>
      </c>
    </row>
    <row r="11288">
      <c r="A11288" s="6">
        <f>Database!$A13373</f>
        <v/>
      </c>
      <c r="B11288">
        <f>IF(VLOOKUP(Table7[[#This Row],[Date]],Database!$A:$C,MATCH($B$1,Database!$A$1:$C$1,),)=0,#N/A,VLOOKUP(Table7[[#This Row],[Date]],Database!$A:$C,MATCH($B$1,Database!$A$1:$C$1,),))</f>
        <v/>
      </c>
      <c r="C11288">
        <f>IF(VLOOKUP(Table7[[#This Row],[Date]],Database!$A:$C,MATCH($C$1,Database!$A$1:$C$1,),)=0,#N/A,VLOOKUP(Table7[[#This Row],[Date]],Database!$A:$C,MATCH($C$1,Database!$A$1:$C$1,),))</f>
        <v/>
      </c>
      <c r="D11288">
        <f>IFERROR(Table7[[#This Row],[United States 10y]]-Table7[[#This Row],[United States 3y]],#N/A)</f>
        <v/>
      </c>
    </row>
    <row r="11289">
      <c r="A11289" s="6">
        <f>Database!$A13374</f>
        <v/>
      </c>
      <c r="B11289">
        <f>IF(VLOOKUP(Table7[[#This Row],[Date]],Database!$A:$C,MATCH($B$1,Database!$A$1:$C$1,),)=0,#N/A,VLOOKUP(Table7[[#This Row],[Date]],Database!$A:$C,MATCH($B$1,Database!$A$1:$C$1,),))</f>
        <v/>
      </c>
      <c r="C11289">
        <f>IF(VLOOKUP(Table7[[#This Row],[Date]],Database!$A:$C,MATCH($C$1,Database!$A$1:$C$1,),)=0,#N/A,VLOOKUP(Table7[[#This Row],[Date]],Database!$A:$C,MATCH($C$1,Database!$A$1:$C$1,),))</f>
        <v/>
      </c>
      <c r="D11289">
        <f>IFERROR(Table7[[#This Row],[United States 10y]]-Table7[[#This Row],[United States 3y]],#N/A)</f>
        <v/>
      </c>
    </row>
    <row r="11290">
      <c r="A11290" s="6">
        <f>Database!$A13375</f>
        <v/>
      </c>
      <c r="B11290">
        <f>IF(VLOOKUP(Table7[[#This Row],[Date]],Database!$A:$C,MATCH($B$1,Database!$A$1:$C$1,),)=0,#N/A,VLOOKUP(Table7[[#This Row],[Date]],Database!$A:$C,MATCH($B$1,Database!$A$1:$C$1,),))</f>
        <v/>
      </c>
      <c r="C11290">
        <f>IF(VLOOKUP(Table7[[#This Row],[Date]],Database!$A:$C,MATCH($C$1,Database!$A$1:$C$1,),)=0,#N/A,VLOOKUP(Table7[[#This Row],[Date]],Database!$A:$C,MATCH($C$1,Database!$A$1:$C$1,),))</f>
        <v/>
      </c>
      <c r="D11290">
        <f>IFERROR(Table7[[#This Row],[United States 10y]]-Table7[[#This Row],[United States 3y]],#N/A)</f>
        <v/>
      </c>
    </row>
    <row r="11291">
      <c r="A11291" s="6">
        <f>Database!$A13376</f>
        <v/>
      </c>
      <c r="B11291">
        <f>IF(VLOOKUP(Table7[[#This Row],[Date]],Database!$A:$C,MATCH($B$1,Database!$A$1:$C$1,),)=0,#N/A,VLOOKUP(Table7[[#This Row],[Date]],Database!$A:$C,MATCH($B$1,Database!$A$1:$C$1,),))</f>
        <v/>
      </c>
      <c r="C11291">
        <f>IF(VLOOKUP(Table7[[#This Row],[Date]],Database!$A:$C,MATCH($C$1,Database!$A$1:$C$1,),)=0,#N/A,VLOOKUP(Table7[[#This Row],[Date]],Database!$A:$C,MATCH($C$1,Database!$A$1:$C$1,),))</f>
        <v/>
      </c>
      <c r="D11291">
        <f>IFERROR(Table7[[#This Row],[United States 10y]]-Table7[[#This Row],[United States 3y]],#N/A)</f>
        <v/>
      </c>
    </row>
    <row r="11292">
      <c r="A11292" s="6">
        <f>Database!$A13377</f>
        <v/>
      </c>
      <c r="B11292">
        <f>IF(VLOOKUP(Table7[[#This Row],[Date]],Database!$A:$C,MATCH($B$1,Database!$A$1:$C$1,),)=0,#N/A,VLOOKUP(Table7[[#This Row],[Date]],Database!$A:$C,MATCH($B$1,Database!$A$1:$C$1,),))</f>
        <v/>
      </c>
      <c r="C11292">
        <f>IF(VLOOKUP(Table7[[#This Row],[Date]],Database!$A:$C,MATCH($C$1,Database!$A$1:$C$1,),)=0,#N/A,VLOOKUP(Table7[[#This Row],[Date]],Database!$A:$C,MATCH($C$1,Database!$A$1:$C$1,),))</f>
        <v/>
      </c>
      <c r="D11292">
        <f>IFERROR(Table7[[#This Row],[United States 10y]]-Table7[[#This Row],[United States 3y]],#N/A)</f>
        <v/>
      </c>
    </row>
    <row r="11293">
      <c r="A11293" s="6">
        <f>Database!$A13378</f>
        <v/>
      </c>
      <c r="B11293">
        <f>IF(VLOOKUP(Table7[[#This Row],[Date]],Database!$A:$C,MATCH($B$1,Database!$A$1:$C$1,),)=0,#N/A,VLOOKUP(Table7[[#This Row],[Date]],Database!$A:$C,MATCH($B$1,Database!$A$1:$C$1,),))</f>
        <v/>
      </c>
      <c r="C11293">
        <f>IF(VLOOKUP(Table7[[#This Row],[Date]],Database!$A:$C,MATCH($C$1,Database!$A$1:$C$1,),)=0,#N/A,VLOOKUP(Table7[[#This Row],[Date]],Database!$A:$C,MATCH($C$1,Database!$A$1:$C$1,),))</f>
        <v/>
      </c>
      <c r="D11293">
        <f>IFERROR(Table7[[#This Row],[United States 10y]]-Table7[[#This Row],[United States 3y]],#N/A)</f>
        <v/>
      </c>
    </row>
    <row r="11294">
      <c r="A11294" s="6">
        <f>Database!$A13379</f>
        <v/>
      </c>
      <c r="B11294">
        <f>IF(VLOOKUP(Table7[[#This Row],[Date]],Database!$A:$C,MATCH($B$1,Database!$A$1:$C$1,),)=0,#N/A,VLOOKUP(Table7[[#This Row],[Date]],Database!$A:$C,MATCH($B$1,Database!$A$1:$C$1,),))</f>
        <v/>
      </c>
      <c r="C11294">
        <f>IF(VLOOKUP(Table7[[#This Row],[Date]],Database!$A:$C,MATCH($C$1,Database!$A$1:$C$1,),)=0,#N/A,VLOOKUP(Table7[[#This Row],[Date]],Database!$A:$C,MATCH($C$1,Database!$A$1:$C$1,),))</f>
        <v/>
      </c>
      <c r="D11294">
        <f>IFERROR(Table7[[#This Row],[United States 10y]]-Table7[[#This Row],[United States 3y]],#N/A)</f>
        <v/>
      </c>
    </row>
    <row r="11295">
      <c r="A11295" s="6">
        <f>Database!$A13380</f>
        <v/>
      </c>
      <c r="B11295">
        <f>IF(VLOOKUP(Table7[[#This Row],[Date]],Database!$A:$C,MATCH($B$1,Database!$A$1:$C$1,),)=0,#N/A,VLOOKUP(Table7[[#This Row],[Date]],Database!$A:$C,MATCH($B$1,Database!$A$1:$C$1,),))</f>
        <v/>
      </c>
      <c r="C11295">
        <f>IF(VLOOKUP(Table7[[#This Row],[Date]],Database!$A:$C,MATCH($C$1,Database!$A$1:$C$1,),)=0,#N/A,VLOOKUP(Table7[[#This Row],[Date]],Database!$A:$C,MATCH($C$1,Database!$A$1:$C$1,),))</f>
        <v/>
      </c>
      <c r="D11295">
        <f>IFERROR(Table7[[#This Row],[United States 10y]]-Table7[[#This Row],[United States 3y]],#N/A)</f>
        <v/>
      </c>
    </row>
    <row r="11296">
      <c r="A11296" s="6">
        <f>Database!$A13381</f>
        <v/>
      </c>
      <c r="B11296">
        <f>IF(VLOOKUP(Table7[[#This Row],[Date]],Database!$A:$C,MATCH($B$1,Database!$A$1:$C$1,),)=0,#N/A,VLOOKUP(Table7[[#This Row],[Date]],Database!$A:$C,MATCH($B$1,Database!$A$1:$C$1,),))</f>
        <v/>
      </c>
      <c r="C11296">
        <f>IF(VLOOKUP(Table7[[#This Row],[Date]],Database!$A:$C,MATCH($C$1,Database!$A$1:$C$1,),)=0,#N/A,VLOOKUP(Table7[[#This Row],[Date]],Database!$A:$C,MATCH($C$1,Database!$A$1:$C$1,),))</f>
        <v/>
      </c>
      <c r="D11296">
        <f>IFERROR(Table7[[#This Row],[United States 10y]]-Table7[[#This Row],[United States 3y]],#N/A)</f>
        <v/>
      </c>
    </row>
    <row r="11297">
      <c r="A11297" s="6">
        <f>Database!$A13382</f>
        <v/>
      </c>
      <c r="B11297">
        <f>IF(VLOOKUP(Table7[[#This Row],[Date]],Database!$A:$C,MATCH($B$1,Database!$A$1:$C$1,),)=0,#N/A,VLOOKUP(Table7[[#This Row],[Date]],Database!$A:$C,MATCH($B$1,Database!$A$1:$C$1,),))</f>
        <v/>
      </c>
      <c r="C11297">
        <f>IF(VLOOKUP(Table7[[#This Row],[Date]],Database!$A:$C,MATCH($C$1,Database!$A$1:$C$1,),)=0,#N/A,VLOOKUP(Table7[[#This Row],[Date]],Database!$A:$C,MATCH($C$1,Database!$A$1:$C$1,),))</f>
        <v/>
      </c>
      <c r="D11297">
        <f>IFERROR(Table7[[#This Row],[United States 10y]]-Table7[[#This Row],[United States 3y]],#N/A)</f>
        <v/>
      </c>
    </row>
    <row r="11298">
      <c r="A11298" s="6">
        <f>Database!$A13383</f>
        <v/>
      </c>
      <c r="B11298">
        <f>IF(VLOOKUP(Table7[[#This Row],[Date]],Database!$A:$C,MATCH($B$1,Database!$A$1:$C$1,),)=0,#N/A,VLOOKUP(Table7[[#This Row],[Date]],Database!$A:$C,MATCH($B$1,Database!$A$1:$C$1,),))</f>
        <v/>
      </c>
      <c r="C11298">
        <f>IF(VLOOKUP(Table7[[#This Row],[Date]],Database!$A:$C,MATCH($C$1,Database!$A$1:$C$1,),)=0,#N/A,VLOOKUP(Table7[[#This Row],[Date]],Database!$A:$C,MATCH($C$1,Database!$A$1:$C$1,),))</f>
        <v/>
      </c>
      <c r="D11298">
        <f>IFERROR(Table7[[#This Row],[United States 10y]]-Table7[[#This Row],[United States 3y]],#N/A)</f>
        <v/>
      </c>
    </row>
    <row r="11299">
      <c r="A11299" s="6">
        <f>Database!$A13384</f>
        <v/>
      </c>
      <c r="B11299">
        <f>IF(VLOOKUP(Table7[[#This Row],[Date]],Database!$A:$C,MATCH($B$1,Database!$A$1:$C$1,),)=0,#N/A,VLOOKUP(Table7[[#This Row],[Date]],Database!$A:$C,MATCH($B$1,Database!$A$1:$C$1,),))</f>
        <v/>
      </c>
      <c r="C11299">
        <f>IF(VLOOKUP(Table7[[#This Row],[Date]],Database!$A:$C,MATCH($C$1,Database!$A$1:$C$1,),)=0,#N/A,VLOOKUP(Table7[[#This Row],[Date]],Database!$A:$C,MATCH($C$1,Database!$A$1:$C$1,),))</f>
        <v/>
      </c>
      <c r="D11299">
        <f>IFERROR(Table7[[#This Row],[United States 10y]]-Table7[[#This Row],[United States 3y]],#N/A)</f>
        <v/>
      </c>
    </row>
    <row r="11300">
      <c r="A11300" s="6">
        <f>Database!$A13385</f>
        <v/>
      </c>
      <c r="B11300">
        <f>IF(VLOOKUP(Table7[[#This Row],[Date]],Database!$A:$C,MATCH($B$1,Database!$A$1:$C$1,),)=0,#N/A,VLOOKUP(Table7[[#This Row],[Date]],Database!$A:$C,MATCH($B$1,Database!$A$1:$C$1,),))</f>
        <v/>
      </c>
      <c r="C11300">
        <f>IF(VLOOKUP(Table7[[#This Row],[Date]],Database!$A:$C,MATCH($C$1,Database!$A$1:$C$1,),)=0,#N/A,VLOOKUP(Table7[[#This Row],[Date]],Database!$A:$C,MATCH($C$1,Database!$A$1:$C$1,),))</f>
        <v/>
      </c>
      <c r="D11300">
        <f>IFERROR(Table7[[#This Row],[United States 10y]]-Table7[[#This Row],[United States 3y]],#N/A)</f>
        <v/>
      </c>
    </row>
    <row r="11301">
      <c r="A11301" s="6">
        <f>Database!$A13386</f>
        <v/>
      </c>
      <c r="B11301">
        <f>IF(VLOOKUP(Table7[[#This Row],[Date]],Database!$A:$C,MATCH($B$1,Database!$A$1:$C$1,),)=0,#N/A,VLOOKUP(Table7[[#This Row],[Date]],Database!$A:$C,MATCH($B$1,Database!$A$1:$C$1,),))</f>
        <v/>
      </c>
      <c r="C11301">
        <f>IF(VLOOKUP(Table7[[#This Row],[Date]],Database!$A:$C,MATCH($C$1,Database!$A$1:$C$1,),)=0,#N/A,VLOOKUP(Table7[[#This Row],[Date]],Database!$A:$C,MATCH($C$1,Database!$A$1:$C$1,),))</f>
        <v/>
      </c>
      <c r="D11301">
        <f>IFERROR(Table7[[#This Row],[United States 10y]]-Table7[[#This Row],[United States 3y]],#N/A)</f>
        <v/>
      </c>
    </row>
    <row r="11302">
      <c r="A11302" s="6">
        <f>Database!$A13387</f>
        <v/>
      </c>
      <c r="B11302">
        <f>IF(VLOOKUP(Table7[[#This Row],[Date]],Database!$A:$C,MATCH($B$1,Database!$A$1:$C$1,),)=0,#N/A,VLOOKUP(Table7[[#This Row],[Date]],Database!$A:$C,MATCH($B$1,Database!$A$1:$C$1,),))</f>
        <v/>
      </c>
      <c r="C11302">
        <f>IF(VLOOKUP(Table7[[#This Row],[Date]],Database!$A:$C,MATCH($C$1,Database!$A$1:$C$1,),)=0,#N/A,VLOOKUP(Table7[[#This Row],[Date]],Database!$A:$C,MATCH($C$1,Database!$A$1:$C$1,),))</f>
        <v/>
      </c>
      <c r="D11302">
        <f>IFERROR(Table7[[#This Row],[United States 10y]]-Table7[[#This Row],[United States 3y]],#N/A)</f>
        <v/>
      </c>
    </row>
    <row r="11303">
      <c r="A11303" s="6">
        <f>Database!$A13388</f>
        <v/>
      </c>
      <c r="B11303">
        <f>IF(VLOOKUP(Table7[[#This Row],[Date]],Database!$A:$C,MATCH($B$1,Database!$A$1:$C$1,),)=0,#N/A,VLOOKUP(Table7[[#This Row],[Date]],Database!$A:$C,MATCH($B$1,Database!$A$1:$C$1,),))</f>
        <v/>
      </c>
      <c r="C11303">
        <f>IF(VLOOKUP(Table7[[#This Row],[Date]],Database!$A:$C,MATCH($C$1,Database!$A$1:$C$1,),)=0,#N/A,VLOOKUP(Table7[[#This Row],[Date]],Database!$A:$C,MATCH($C$1,Database!$A$1:$C$1,),))</f>
        <v/>
      </c>
      <c r="D11303">
        <f>IFERROR(Table7[[#This Row],[United States 10y]]-Table7[[#This Row],[United States 3y]],#N/A)</f>
        <v/>
      </c>
    </row>
    <row r="11304">
      <c r="A11304" s="6">
        <f>Database!$A13389</f>
        <v/>
      </c>
      <c r="B11304">
        <f>IF(VLOOKUP(Table7[[#This Row],[Date]],Database!$A:$C,MATCH($B$1,Database!$A$1:$C$1,),)=0,#N/A,VLOOKUP(Table7[[#This Row],[Date]],Database!$A:$C,MATCH($B$1,Database!$A$1:$C$1,),))</f>
        <v/>
      </c>
      <c r="C11304">
        <f>IF(VLOOKUP(Table7[[#This Row],[Date]],Database!$A:$C,MATCH($C$1,Database!$A$1:$C$1,),)=0,#N/A,VLOOKUP(Table7[[#This Row],[Date]],Database!$A:$C,MATCH($C$1,Database!$A$1:$C$1,),))</f>
        <v/>
      </c>
      <c r="D11304">
        <f>IFERROR(Table7[[#This Row],[United States 10y]]-Table7[[#This Row],[United States 3y]],#N/A)</f>
        <v/>
      </c>
    </row>
    <row r="11305">
      <c r="A11305" s="6">
        <f>Database!$A13390</f>
        <v/>
      </c>
      <c r="B11305">
        <f>IF(VLOOKUP(Table7[[#This Row],[Date]],Database!$A:$C,MATCH($B$1,Database!$A$1:$C$1,),)=0,#N/A,VLOOKUP(Table7[[#This Row],[Date]],Database!$A:$C,MATCH($B$1,Database!$A$1:$C$1,),))</f>
        <v/>
      </c>
      <c r="C11305">
        <f>IF(VLOOKUP(Table7[[#This Row],[Date]],Database!$A:$C,MATCH($C$1,Database!$A$1:$C$1,),)=0,#N/A,VLOOKUP(Table7[[#This Row],[Date]],Database!$A:$C,MATCH($C$1,Database!$A$1:$C$1,),))</f>
        <v/>
      </c>
      <c r="D11305">
        <f>IFERROR(Table7[[#This Row],[United States 10y]]-Table7[[#This Row],[United States 3y]],#N/A)</f>
        <v/>
      </c>
    </row>
    <row r="11306">
      <c r="A11306" s="6">
        <f>Database!$A13391</f>
        <v/>
      </c>
      <c r="B11306">
        <f>IF(VLOOKUP(Table7[[#This Row],[Date]],Database!$A:$C,MATCH($B$1,Database!$A$1:$C$1,),)=0,#N/A,VLOOKUP(Table7[[#This Row],[Date]],Database!$A:$C,MATCH($B$1,Database!$A$1:$C$1,),))</f>
        <v/>
      </c>
      <c r="C11306">
        <f>IF(VLOOKUP(Table7[[#This Row],[Date]],Database!$A:$C,MATCH($C$1,Database!$A$1:$C$1,),)=0,#N/A,VLOOKUP(Table7[[#This Row],[Date]],Database!$A:$C,MATCH($C$1,Database!$A$1:$C$1,),))</f>
        <v/>
      </c>
      <c r="D11306">
        <f>IFERROR(Table7[[#This Row],[United States 10y]]-Table7[[#This Row],[United States 3y]],#N/A)</f>
        <v/>
      </c>
    </row>
    <row r="11307">
      <c r="A11307" s="6">
        <f>Database!$A13392</f>
        <v/>
      </c>
      <c r="B11307">
        <f>IF(VLOOKUP(Table7[[#This Row],[Date]],Database!$A:$C,MATCH($B$1,Database!$A$1:$C$1,),)=0,#N/A,VLOOKUP(Table7[[#This Row],[Date]],Database!$A:$C,MATCH($B$1,Database!$A$1:$C$1,),))</f>
        <v/>
      </c>
      <c r="C11307">
        <f>IF(VLOOKUP(Table7[[#This Row],[Date]],Database!$A:$C,MATCH($C$1,Database!$A$1:$C$1,),)=0,#N/A,VLOOKUP(Table7[[#This Row],[Date]],Database!$A:$C,MATCH($C$1,Database!$A$1:$C$1,),))</f>
        <v/>
      </c>
      <c r="D11307">
        <f>IFERROR(Table7[[#This Row],[United States 10y]]-Table7[[#This Row],[United States 3y]],#N/A)</f>
        <v/>
      </c>
    </row>
    <row r="11308">
      <c r="A11308" s="6">
        <f>Database!$A13393</f>
        <v/>
      </c>
      <c r="B11308">
        <f>IF(VLOOKUP(Table7[[#This Row],[Date]],Database!$A:$C,MATCH($B$1,Database!$A$1:$C$1,),)=0,#N/A,VLOOKUP(Table7[[#This Row],[Date]],Database!$A:$C,MATCH($B$1,Database!$A$1:$C$1,),))</f>
        <v/>
      </c>
      <c r="C11308">
        <f>IF(VLOOKUP(Table7[[#This Row],[Date]],Database!$A:$C,MATCH($C$1,Database!$A$1:$C$1,),)=0,#N/A,VLOOKUP(Table7[[#This Row],[Date]],Database!$A:$C,MATCH($C$1,Database!$A$1:$C$1,),))</f>
        <v/>
      </c>
      <c r="D11308">
        <f>IFERROR(Table7[[#This Row],[United States 10y]]-Table7[[#This Row],[United States 3y]],#N/A)</f>
        <v/>
      </c>
    </row>
    <row r="11309">
      <c r="A11309" s="6">
        <f>Database!$A13394</f>
        <v/>
      </c>
      <c r="B11309">
        <f>IF(VLOOKUP(Table7[[#This Row],[Date]],Database!$A:$C,MATCH($B$1,Database!$A$1:$C$1,),)=0,#N/A,VLOOKUP(Table7[[#This Row],[Date]],Database!$A:$C,MATCH($B$1,Database!$A$1:$C$1,),))</f>
        <v/>
      </c>
      <c r="C11309">
        <f>IF(VLOOKUP(Table7[[#This Row],[Date]],Database!$A:$C,MATCH($C$1,Database!$A$1:$C$1,),)=0,#N/A,VLOOKUP(Table7[[#This Row],[Date]],Database!$A:$C,MATCH($C$1,Database!$A$1:$C$1,),))</f>
        <v/>
      </c>
      <c r="D11309">
        <f>IFERROR(Table7[[#This Row],[United States 10y]]-Table7[[#This Row],[United States 3y]],#N/A)</f>
        <v/>
      </c>
    </row>
    <row r="11310">
      <c r="A11310" s="6">
        <f>Database!$A13395</f>
        <v/>
      </c>
      <c r="B11310">
        <f>IF(VLOOKUP(Table7[[#This Row],[Date]],Database!$A:$C,MATCH($B$1,Database!$A$1:$C$1,),)=0,#N/A,VLOOKUP(Table7[[#This Row],[Date]],Database!$A:$C,MATCH($B$1,Database!$A$1:$C$1,),))</f>
        <v/>
      </c>
      <c r="C11310">
        <f>IF(VLOOKUP(Table7[[#This Row],[Date]],Database!$A:$C,MATCH($C$1,Database!$A$1:$C$1,),)=0,#N/A,VLOOKUP(Table7[[#This Row],[Date]],Database!$A:$C,MATCH($C$1,Database!$A$1:$C$1,),))</f>
        <v/>
      </c>
      <c r="D11310">
        <f>IFERROR(Table7[[#This Row],[United States 10y]]-Table7[[#This Row],[United States 3y]],#N/A)</f>
        <v/>
      </c>
    </row>
    <row r="11311">
      <c r="A11311" s="6">
        <f>Database!$A13396</f>
        <v/>
      </c>
      <c r="B11311">
        <f>IF(VLOOKUP(Table7[[#This Row],[Date]],Database!$A:$C,MATCH($B$1,Database!$A$1:$C$1,),)=0,#N/A,VLOOKUP(Table7[[#This Row],[Date]],Database!$A:$C,MATCH($B$1,Database!$A$1:$C$1,),))</f>
        <v/>
      </c>
      <c r="C11311">
        <f>IF(VLOOKUP(Table7[[#This Row],[Date]],Database!$A:$C,MATCH($C$1,Database!$A$1:$C$1,),)=0,#N/A,VLOOKUP(Table7[[#This Row],[Date]],Database!$A:$C,MATCH($C$1,Database!$A$1:$C$1,),))</f>
        <v/>
      </c>
      <c r="D11311">
        <f>IFERROR(Table7[[#This Row],[United States 10y]]-Table7[[#This Row],[United States 3y]],#N/A)</f>
        <v/>
      </c>
    </row>
    <row r="11312">
      <c r="A11312" s="6">
        <f>Database!$A13397</f>
        <v/>
      </c>
      <c r="B11312">
        <f>IF(VLOOKUP(Table7[[#This Row],[Date]],Database!$A:$C,MATCH($B$1,Database!$A$1:$C$1,),)=0,#N/A,VLOOKUP(Table7[[#This Row],[Date]],Database!$A:$C,MATCH($B$1,Database!$A$1:$C$1,),))</f>
        <v/>
      </c>
      <c r="C11312">
        <f>IF(VLOOKUP(Table7[[#This Row],[Date]],Database!$A:$C,MATCH($C$1,Database!$A$1:$C$1,),)=0,#N/A,VLOOKUP(Table7[[#This Row],[Date]],Database!$A:$C,MATCH($C$1,Database!$A$1:$C$1,),))</f>
        <v/>
      </c>
      <c r="D11312">
        <f>IFERROR(Table7[[#This Row],[United States 10y]]-Table7[[#This Row],[United States 3y]],#N/A)</f>
        <v/>
      </c>
    </row>
    <row r="11313">
      <c r="A11313" s="6">
        <f>Database!$A13398</f>
        <v/>
      </c>
      <c r="B11313">
        <f>IF(VLOOKUP(Table7[[#This Row],[Date]],Database!$A:$C,MATCH($B$1,Database!$A$1:$C$1,),)=0,#N/A,VLOOKUP(Table7[[#This Row],[Date]],Database!$A:$C,MATCH($B$1,Database!$A$1:$C$1,),))</f>
        <v/>
      </c>
      <c r="C11313">
        <f>IF(VLOOKUP(Table7[[#This Row],[Date]],Database!$A:$C,MATCH($C$1,Database!$A$1:$C$1,),)=0,#N/A,VLOOKUP(Table7[[#This Row],[Date]],Database!$A:$C,MATCH($C$1,Database!$A$1:$C$1,),))</f>
        <v/>
      </c>
      <c r="D11313">
        <f>IFERROR(Table7[[#This Row],[United States 10y]]-Table7[[#This Row],[United States 3y]],#N/A)</f>
        <v/>
      </c>
    </row>
    <row r="11314">
      <c r="A11314" s="6">
        <f>Database!$A13399</f>
        <v/>
      </c>
      <c r="B11314">
        <f>IF(VLOOKUP(Table7[[#This Row],[Date]],Database!$A:$C,MATCH($B$1,Database!$A$1:$C$1,),)=0,#N/A,VLOOKUP(Table7[[#This Row],[Date]],Database!$A:$C,MATCH($B$1,Database!$A$1:$C$1,),))</f>
        <v/>
      </c>
      <c r="C11314">
        <f>IF(VLOOKUP(Table7[[#This Row],[Date]],Database!$A:$C,MATCH($C$1,Database!$A$1:$C$1,),)=0,#N/A,VLOOKUP(Table7[[#This Row],[Date]],Database!$A:$C,MATCH($C$1,Database!$A$1:$C$1,),))</f>
        <v/>
      </c>
      <c r="D11314">
        <f>IFERROR(Table7[[#This Row],[United States 10y]]-Table7[[#This Row],[United States 3y]],#N/A)</f>
        <v/>
      </c>
    </row>
    <row r="11315">
      <c r="A11315" s="6">
        <f>Database!$A13400</f>
        <v/>
      </c>
      <c r="B11315">
        <f>IF(VLOOKUP(Table7[[#This Row],[Date]],Database!$A:$C,MATCH($B$1,Database!$A$1:$C$1,),)=0,#N/A,VLOOKUP(Table7[[#This Row],[Date]],Database!$A:$C,MATCH($B$1,Database!$A$1:$C$1,),))</f>
        <v/>
      </c>
      <c r="C11315">
        <f>IF(VLOOKUP(Table7[[#This Row],[Date]],Database!$A:$C,MATCH($C$1,Database!$A$1:$C$1,),)=0,#N/A,VLOOKUP(Table7[[#This Row],[Date]],Database!$A:$C,MATCH($C$1,Database!$A$1:$C$1,),))</f>
        <v/>
      </c>
      <c r="D11315">
        <f>IFERROR(Table7[[#This Row],[United States 10y]]-Table7[[#This Row],[United States 3y]],#N/A)</f>
        <v/>
      </c>
    </row>
    <row r="11316">
      <c r="A11316" s="6">
        <f>Database!$A13401</f>
        <v/>
      </c>
      <c r="B11316">
        <f>IF(VLOOKUP(Table7[[#This Row],[Date]],Database!$A:$C,MATCH($B$1,Database!$A$1:$C$1,),)=0,#N/A,VLOOKUP(Table7[[#This Row],[Date]],Database!$A:$C,MATCH($B$1,Database!$A$1:$C$1,),))</f>
        <v/>
      </c>
      <c r="C11316">
        <f>IF(VLOOKUP(Table7[[#This Row],[Date]],Database!$A:$C,MATCH($C$1,Database!$A$1:$C$1,),)=0,#N/A,VLOOKUP(Table7[[#This Row],[Date]],Database!$A:$C,MATCH($C$1,Database!$A$1:$C$1,),))</f>
        <v/>
      </c>
      <c r="D11316">
        <f>IFERROR(Table7[[#This Row],[United States 10y]]-Table7[[#This Row],[United States 3y]],#N/A)</f>
        <v/>
      </c>
    </row>
    <row r="11317">
      <c r="A11317" s="6">
        <f>Database!$A13402</f>
        <v/>
      </c>
      <c r="B11317">
        <f>IF(VLOOKUP(Table7[[#This Row],[Date]],Database!$A:$C,MATCH($B$1,Database!$A$1:$C$1,),)=0,#N/A,VLOOKUP(Table7[[#This Row],[Date]],Database!$A:$C,MATCH($B$1,Database!$A$1:$C$1,),))</f>
        <v/>
      </c>
      <c r="C11317">
        <f>IF(VLOOKUP(Table7[[#This Row],[Date]],Database!$A:$C,MATCH($C$1,Database!$A$1:$C$1,),)=0,#N/A,VLOOKUP(Table7[[#This Row],[Date]],Database!$A:$C,MATCH($C$1,Database!$A$1:$C$1,),))</f>
        <v/>
      </c>
      <c r="D11317">
        <f>IFERROR(Table7[[#This Row],[United States 10y]]-Table7[[#This Row],[United States 3y]],#N/A)</f>
        <v/>
      </c>
    </row>
    <row r="11318">
      <c r="A11318" s="6">
        <f>Database!$A13403</f>
        <v/>
      </c>
      <c r="B11318">
        <f>IF(VLOOKUP(Table7[[#This Row],[Date]],Database!$A:$C,MATCH($B$1,Database!$A$1:$C$1,),)=0,#N/A,VLOOKUP(Table7[[#This Row],[Date]],Database!$A:$C,MATCH($B$1,Database!$A$1:$C$1,),))</f>
        <v/>
      </c>
      <c r="C11318">
        <f>IF(VLOOKUP(Table7[[#This Row],[Date]],Database!$A:$C,MATCH($C$1,Database!$A$1:$C$1,),)=0,#N/A,VLOOKUP(Table7[[#This Row],[Date]],Database!$A:$C,MATCH($C$1,Database!$A$1:$C$1,),))</f>
        <v/>
      </c>
      <c r="D11318">
        <f>IFERROR(Table7[[#This Row],[United States 10y]]-Table7[[#This Row],[United States 3y]],#N/A)</f>
        <v/>
      </c>
    </row>
    <row r="11319">
      <c r="A11319" s="6">
        <f>Database!$A13404</f>
        <v/>
      </c>
      <c r="B11319">
        <f>IF(VLOOKUP(Table7[[#This Row],[Date]],Database!$A:$C,MATCH($B$1,Database!$A$1:$C$1,),)=0,#N/A,VLOOKUP(Table7[[#This Row],[Date]],Database!$A:$C,MATCH($B$1,Database!$A$1:$C$1,),))</f>
        <v/>
      </c>
      <c r="C11319">
        <f>IF(VLOOKUP(Table7[[#This Row],[Date]],Database!$A:$C,MATCH($C$1,Database!$A$1:$C$1,),)=0,#N/A,VLOOKUP(Table7[[#This Row],[Date]],Database!$A:$C,MATCH($C$1,Database!$A$1:$C$1,),))</f>
        <v/>
      </c>
      <c r="D11319">
        <f>IFERROR(Table7[[#This Row],[United States 10y]]-Table7[[#This Row],[United States 3y]],#N/A)</f>
        <v/>
      </c>
    </row>
    <row r="11320">
      <c r="A11320" s="6">
        <f>Database!$A13405</f>
        <v/>
      </c>
      <c r="B11320">
        <f>IF(VLOOKUP(Table7[[#This Row],[Date]],Database!$A:$C,MATCH($B$1,Database!$A$1:$C$1,),)=0,#N/A,VLOOKUP(Table7[[#This Row],[Date]],Database!$A:$C,MATCH($B$1,Database!$A$1:$C$1,),))</f>
        <v/>
      </c>
      <c r="C11320">
        <f>IF(VLOOKUP(Table7[[#This Row],[Date]],Database!$A:$C,MATCH($C$1,Database!$A$1:$C$1,),)=0,#N/A,VLOOKUP(Table7[[#This Row],[Date]],Database!$A:$C,MATCH($C$1,Database!$A$1:$C$1,),))</f>
        <v/>
      </c>
      <c r="D11320">
        <f>IFERROR(Table7[[#This Row],[United States 10y]]-Table7[[#This Row],[United States 3y]],#N/A)</f>
        <v/>
      </c>
    </row>
    <row r="11321">
      <c r="A11321" s="6">
        <f>Database!$A13406</f>
        <v/>
      </c>
      <c r="B11321">
        <f>IF(VLOOKUP(Table7[[#This Row],[Date]],Database!$A:$C,MATCH($B$1,Database!$A$1:$C$1,),)=0,#N/A,VLOOKUP(Table7[[#This Row],[Date]],Database!$A:$C,MATCH($B$1,Database!$A$1:$C$1,),))</f>
        <v/>
      </c>
      <c r="C11321">
        <f>IF(VLOOKUP(Table7[[#This Row],[Date]],Database!$A:$C,MATCH($C$1,Database!$A$1:$C$1,),)=0,#N/A,VLOOKUP(Table7[[#This Row],[Date]],Database!$A:$C,MATCH($C$1,Database!$A$1:$C$1,),))</f>
        <v/>
      </c>
      <c r="D11321">
        <f>IFERROR(Table7[[#This Row],[United States 10y]]-Table7[[#This Row],[United States 3y]],#N/A)</f>
        <v/>
      </c>
    </row>
    <row r="11322">
      <c r="A11322" s="6">
        <f>Database!$A13407</f>
        <v/>
      </c>
      <c r="B11322">
        <f>IF(VLOOKUP(Table7[[#This Row],[Date]],Database!$A:$C,MATCH($B$1,Database!$A$1:$C$1,),)=0,#N/A,VLOOKUP(Table7[[#This Row],[Date]],Database!$A:$C,MATCH($B$1,Database!$A$1:$C$1,),))</f>
        <v/>
      </c>
      <c r="C11322">
        <f>IF(VLOOKUP(Table7[[#This Row],[Date]],Database!$A:$C,MATCH($C$1,Database!$A$1:$C$1,),)=0,#N/A,VLOOKUP(Table7[[#This Row],[Date]],Database!$A:$C,MATCH($C$1,Database!$A$1:$C$1,),))</f>
        <v/>
      </c>
      <c r="D11322">
        <f>IFERROR(Table7[[#This Row],[United States 10y]]-Table7[[#This Row],[United States 3y]],#N/A)</f>
        <v/>
      </c>
    </row>
    <row r="11323">
      <c r="A11323" s="6">
        <f>Database!$A13408</f>
        <v/>
      </c>
      <c r="B11323">
        <f>IF(VLOOKUP(Table7[[#This Row],[Date]],Database!$A:$C,MATCH($B$1,Database!$A$1:$C$1,),)=0,#N/A,VLOOKUP(Table7[[#This Row],[Date]],Database!$A:$C,MATCH($B$1,Database!$A$1:$C$1,),))</f>
        <v/>
      </c>
      <c r="C11323">
        <f>IF(VLOOKUP(Table7[[#This Row],[Date]],Database!$A:$C,MATCH($C$1,Database!$A$1:$C$1,),)=0,#N/A,VLOOKUP(Table7[[#This Row],[Date]],Database!$A:$C,MATCH($C$1,Database!$A$1:$C$1,),))</f>
        <v/>
      </c>
      <c r="D11323">
        <f>IFERROR(Table7[[#This Row],[United States 10y]]-Table7[[#This Row],[United States 3y]],#N/A)</f>
        <v/>
      </c>
    </row>
    <row r="11324">
      <c r="A11324" s="6">
        <f>Database!$A13409</f>
        <v/>
      </c>
      <c r="B11324">
        <f>IF(VLOOKUP(Table7[[#This Row],[Date]],Database!$A:$C,MATCH($B$1,Database!$A$1:$C$1,),)=0,#N/A,VLOOKUP(Table7[[#This Row],[Date]],Database!$A:$C,MATCH($B$1,Database!$A$1:$C$1,),))</f>
        <v/>
      </c>
      <c r="C11324">
        <f>IF(VLOOKUP(Table7[[#This Row],[Date]],Database!$A:$C,MATCH($C$1,Database!$A$1:$C$1,),)=0,#N/A,VLOOKUP(Table7[[#This Row],[Date]],Database!$A:$C,MATCH($C$1,Database!$A$1:$C$1,),))</f>
        <v/>
      </c>
      <c r="D11324">
        <f>IFERROR(Table7[[#This Row],[United States 10y]]-Table7[[#This Row],[United States 3y]],#N/A)</f>
        <v/>
      </c>
    </row>
    <row r="11325">
      <c r="A11325" s="6">
        <f>Database!$A13410</f>
        <v/>
      </c>
      <c r="B11325">
        <f>IF(VLOOKUP(Table7[[#This Row],[Date]],Database!$A:$C,MATCH($B$1,Database!$A$1:$C$1,),)=0,#N/A,VLOOKUP(Table7[[#This Row],[Date]],Database!$A:$C,MATCH($B$1,Database!$A$1:$C$1,),))</f>
        <v/>
      </c>
      <c r="C11325">
        <f>IF(VLOOKUP(Table7[[#This Row],[Date]],Database!$A:$C,MATCH($C$1,Database!$A$1:$C$1,),)=0,#N/A,VLOOKUP(Table7[[#This Row],[Date]],Database!$A:$C,MATCH($C$1,Database!$A$1:$C$1,),))</f>
        <v/>
      </c>
      <c r="D11325">
        <f>IFERROR(Table7[[#This Row],[United States 10y]]-Table7[[#This Row],[United States 3y]],#N/A)</f>
        <v/>
      </c>
    </row>
    <row r="11326">
      <c r="A11326" s="6">
        <f>Database!$A13411</f>
        <v/>
      </c>
      <c r="B11326">
        <f>IF(VLOOKUP(Table7[[#This Row],[Date]],Database!$A:$C,MATCH($B$1,Database!$A$1:$C$1,),)=0,#N/A,VLOOKUP(Table7[[#This Row],[Date]],Database!$A:$C,MATCH($B$1,Database!$A$1:$C$1,),))</f>
        <v/>
      </c>
      <c r="C11326">
        <f>IF(VLOOKUP(Table7[[#This Row],[Date]],Database!$A:$C,MATCH($C$1,Database!$A$1:$C$1,),)=0,#N/A,VLOOKUP(Table7[[#This Row],[Date]],Database!$A:$C,MATCH($C$1,Database!$A$1:$C$1,),))</f>
        <v/>
      </c>
      <c r="D11326">
        <f>IFERROR(Table7[[#This Row],[United States 10y]]-Table7[[#This Row],[United States 3y]],#N/A)</f>
        <v/>
      </c>
    </row>
    <row r="11327">
      <c r="A11327" s="6">
        <f>Database!$A13412</f>
        <v/>
      </c>
      <c r="B11327">
        <f>IF(VLOOKUP(Table7[[#This Row],[Date]],Database!$A:$C,MATCH($B$1,Database!$A$1:$C$1,),)=0,#N/A,VLOOKUP(Table7[[#This Row],[Date]],Database!$A:$C,MATCH($B$1,Database!$A$1:$C$1,),))</f>
        <v/>
      </c>
      <c r="C11327">
        <f>IF(VLOOKUP(Table7[[#This Row],[Date]],Database!$A:$C,MATCH($C$1,Database!$A$1:$C$1,),)=0,#N/A,VLOOKUP(Table7[[#This Row],[Date]],Database!$A:$C,MATCH($C$1,Database!$A$1:$C$1,),))</f>
        <v/>
      </c>
      <c r="D11327">
        <f>IFERROR(Table7[[#This Row],[United States 10y]]-Table7[[#This Row],[United States 3y]],#N/A)</f>
        <v/>
      </c>
    </row>
    <row r="11328">
      <c r="A11328" s="6">
        <f>Database!$A13413</f>
        <v/>
      </c>
      <c r="B11328">
        <f>IF(VLOOKUP(Table7[[#This Row],[Date]],Database!$A:$C,MATCH($B$1,Database!$A$1:$C$1,),)=0,#N/A,VLOOKUP(Table7[[#This Row],[Date]],Database!$A:$C,MATCH($B$1,Database!$A$1:$C$1,),))</f>
        <v/>
      </c>
      <c r="C11328">
        <f>IF(VLOOKUP(Table7[[#This Row],[Date]],Database!$A:$C,MATCH($C$1,Database!$A$1:$C$1,),)=0,#N/A,VLOOKUP(Table7[[#This Row],[Date]],Database!$A:$C,MATCH($C$1,Database!$A$1:$C$1,),))</f>
        <v/>
      </c>
      <c r="D11328">
        <f>IFERROR(Table7[[#This Row],[United States 10y]]-Table7[[#This Row],[United States 3y]],#N/A)</f>
        <v/>
      </c>
    </row>
    <row r="11329">
      <c r="A11329" s="6">
        <f>Database!$A13414</f>
        <v/>
      </c>
      <c r="B11329">
        <f>IF(VLOOKUP(Table7[[#This Row],[Date]],Database!$A:$C,MATCH($B$1,Database!$A$1:$C$1,),)=0,#N/A,VLOOKUP(Table7[[#This Row],[Date]],Database!$A:$C,MATCH($B$1,Database!$A$1:$C$1,),))</f>
        <v/>
      </c>
      <c r="C11329">
        <f>IF(VLOOKUP(Table7[[#This Row],[Date]],Database!$A:$C,MATCH($C$1,Database!$A$1:$C$1,),)=0,#N/A,VLOOKUP(Table7[[#This Row],[Date]],Database!$A:$C,MATCH($C$1,Database!$A$1:$C$1,),))</f>
        <v/>
      </c>
      <c r="D11329">
        <f>IFERROR(Table7[[#This Row],[United States 10y]]-Table7[[#This Row],[United States 3y]],#N/A)</f>
        <v/>
      </c>
    </row>
    <row r="11330">
      <c r="A11330" s="6">
        <f>Database!$A13415</f>
        <v/>
      </c>
      <c r="B11330">
        <f>IF(VLOOKUP(Table7[[#This Row],[Date]],Database!$A:$C,MATCH($B$1,Database!$A$1:$C$1,),)=0,#N/A,VLOOKUP(Table7[[#This Row],[Date]],Database!$A:$C,MATCH($B$1,Database!$A$1:$C$1,),))</f>
        <v/>
      </c>
      <c r="C11330">
        <f>IF(VLOOKUP(Table7[[#This Row],[Date]],Database!$A:$C,MATCH($C$1,Database!$A$1:$C$1,),)=0,#N/A,VLOOKUP(Table7[[#This Row],[Date]],Database!$A:$C,MATCH($C$1,Database!$A$1:$C$1,),))</f>
        <v/>
      </c>
      <c r="D11330">
        <f>IFERROR(Table7[[#This Row],[United States 10y]]-Table7[[#This Row],[United States 3y]],#N/A)</f>
        <v/>
      </c>
    </row>
    <row r="11331">
      <c r="A11331" s="6">
        <f>Database!$A13416</f>
        <v/>
      </c>
      <c r="B11331">
        <f>IF(VLOOKUP(Table7[[#This Row],[Date]],Database!$A:$C,MATCH($B$1,Database!$A$1:$C$1,),)=0,#N/A,VLOOKUP(Table7[[#This Row],[Date]],Database!$A:$C,MATCH($B$1,Database!$A$1:$C$1,),))</f>
        <v/>
      </c>
      <c r="C11331">
        <f>IF(VLOOKUP(Table7[[#This Row],[Date]],Database!$A:$C,MATCH($C$1,Database!$A$1:$C$1,),)=0,#N/A,VLOOKUP(Table7[[#This Row],[Date]],Database!$A:$C,MATCH($C$1,Database!$A$1:$C$1,),))</f>
        <v/>
      </c>
      <c r="D11331">
        <f>IFERROR(Table7[[#This Row],[United States 10y]]-Table7[[#This Row],[United States 3y]],#N/A)</f>
        <v/>
      </c>
    </row>
    <row r="11332">
      <c r="A11332" s="6">
        <f>Database!$A13417</f>
        <v/>
      </c>
      <c r="B11332">
        <f>IF(VLOOKUP(Table7[[#This Row],[Date]],Database!$A:$C,MATCH($B$1,Database!$A$1:$C$1,),)=0,#N/A,VLOOKUP(Table7[[#This Row],[Date]],Database!$A:$C,MATCH($B$1,Database!$A$1:$C$1,),))</f>
        <v/>
      </c>
      <c r="C11332">
        <f>IF(VLOOKUP(Table7[[#This Row],[Date]],Database!$A:$C,MATCH($C$1,Database!$A$1:$C$1,),)=0,#N/A,VLOOKUP(Table7[[#This Row],[Date]],Database!$A:$C,MATCH($C$1,Database!$A$1:$C$1,),))</f>
        <v/>
      </c>
      <c r="D11332">
        <f>IFERROR(Table7[[#This Row],[United States 10y]]-Table7[[#This Row],[United States 3y]],#N/A)</f>
        <v/>
      </c>
    </row>
    <row r="11333">
      <c r="A11333" s="6">
        <f>Database!$A13418</f>
        <v/>
      </c>
      <c r="B11333">
        <f>IF(VLOOKUP(Table7[[#This Row],[Date]],Database!$A:$C,MATCH($B$1,Database!$A$1:$C$1,),)=0,#N/A,VLOOKUP(Table7[[#This Row],[Date]],Database!$A:$C,MATCH($B$1,Database!$A$1:$C$1,),))</f>
        <v/>
      </c>
      <c r="C11333">
        <f>IF(VLOOKUP(Table7[[#This Row],[Date]],Database!$A:$C,MATCH($C$1,Database!$A$1:$C$1,),)=0,#N/A,VLOOKUP(Table7[[#This Row],[Date]],Database!$A:$C,MATCH($C$1,Database!$A$1:$C$1,),))</f>
        <v/>
      </c>
      <c r="D11333">
        <f>IFERROR(Table7[[#This Row],[United States 10y]]-Table7[[#This Row],[United States 3y]],#N/A)</f>
        <v/>
      </c>
    </row>
    <row r="11334">
      <c r="A11334" s="6">
        <f>Database!$A13419</f>
        <v/>
      </c>
      <c r="B11334">
        <f>IF(VLOOKUP(Table7[[#This Row],[Date]],Database!$A:$C,MATCH($B$1,Database!$A$1:$C$1,),)=0,#N/A,VLOOKUP(Table7[[#This Row],[Date]],Database!$A:$C,MATCH($B$1,Database!$A$1:$C$1,),))</f>
        <v/>
      </c>
      <c r="C11334">
        <f>IF(VLOOKUP(Table7[[#This Row],[Date]],Database!$A:$C,MATCH($C$1,Database!$A$1:$C$1,),)=0,#N/A,VLOOKUP(Table7[[#This Row],[Date]],Database!$A:$C,MATCH($C$1,Database!$A$1:$C$1,),))</f>
        <v/>
      </c>
      <c r="D11334">
        <f>IFERROR(Table7[[#This Row],[United States 10y]]-Table7[[#This Row],[United States 3y]],#N/A)</f>
        <v/>
      </c>
    </row>
    <row r="11335">
      <c r="A11335" s="6">
        <f>Database!$A13420</f>
        <v/>
      </c>
      <c r="B11335">
        <f>IF(VLOOKUP(Table7[[#This Row],[Date]],Database!$A:$C,MATCH($B$1,Database!$A$1:$C$1,),)=0,#N/A,VLOOKUP(Table7[[#This Row],[Date]],Database!$A:$C,MATCH($B$1,Database!$A$1:$C$1,),))</f>
        <v/>
      </c>
      <c r="C11335">
        <f>IF(VLOOKUP(Table7[[#This Row],[Date]],Database!$A:$C,MATCH($C$1,Database!$A$1:$C$1,),)=0,#N/A,VLOOKUP(Table7[[#This Row],[Date]],Database!$A:$C,MATCH($C$1,Database!$A$1:$C$1,),))</f>
        <v/>
      </c>
      <c r="D11335">
        <f>IFERROR(Table7[[#This Row],[United States 10y]]-Table7[[#This Row],[United States 3y]],#N/A)</f>
        <v/>
      </c>
    </row>
    <row r="11336">
      <c r="A11336" s="6">
        <f>Database!$A13421</f>
        <v/>
      </c>
      <c r="B11336">
        <f>IF(VLOOKUP(Table7[[#This Row],[Date]],Database!$A:$C,MATCH($B$1,Database!$A$1:$C$1,),)=0,#N/A,VLOOKUP(Table7[[#This Row],[Date]],Database!$A:$C,MATCH($B$1,Database!$A$1:$C$1,),))</f>
        <v/>
      </c>
      <c r="C11336">
        <f>IF(VLOOKUP(Table7[[#This Row],[Date]],Database!$A:$C,MATCH($C$1,Database!$A$1:$C$1,),)=0,#N/A,VLOOKUP(Table7[[#This Row],[Date]],Database!$A:$C,MATCH($C$1,Database!$A$1:$C$1,),))</f>
        <v/>
      </c>
      <c r="D11336">
        <f>IFERROR(Table7[[#This Row],[United States 10y]]-Table7[[#This Row],[United States 3y]],#N/A)</f>
        <v/>
      </c>
    </row>
    <row r="11337">
      <c r="A11337" s="6">
        <f>Database!$A13422</f>
        <v/>
      </c>
      <c r="B11337">
        <f>IF(VLOOKUP(Table7[[#This Row],[Date]],Database!$A:$C,MATCH($B$1,Database!$A$1:$C$1,),)=0,#N/A,VLOOKUP(Table7[[#This Row],[Date]],Database!$A:$C,MATCH($B$1,Database!$A$1:$C$1,),))</f>
        <v/>
      </c>
      <c r="C11337">
        <f>IF(VLOOKUP(Table7[[#This Row],[Date]],Database!$A:$C,MATCH($C$1,Database!$A$1:$C$1,),)=0,#N/A,VLOOKUP(Table7[[#This Row],[Date]],Database!$A:$C,MATCH($C$1,Database!$A$1:$C$1,),))</f>
        <v/>
      </c>
      <c r="D11337">
        <f>IFERROR(Table7[[#This Row],[United States 10y]]-Table7[[#This Row],[United States 3y]],#N/A)</f>
        <v/>
      </c>
    </row>
    <row r="11338">
      <c r="A11338" s="6">
        <f>Database!$A13423</f>
        <v/>
      </c>
      <c r="B11338">
        <f>IF(VLOOKUP(Table7[[#This Row],[Date]],Database!$A:$C,MATCH($B$1,Database!$A$1:$C$1,),)=0,#N/A,VLOOKUP(Table7[[#This Row],[Date]],Database!$A:$C,MATCH($B$1,Database!$A$1:$C$1,),))</f>
        <v/>
      </c>
      <c r="C11338">
        <f>IF(VLOOKUP(Table7[[#This Row],[Date]],Database!$A:$C,MATCH($C$1,Database!$A$1:$C$1,),)=0,#N/A,VLOOKUP(Table7[[#This Row],[Date]],Database!$A:$C,MATCH($C$1,Database!$A$1:$C$1,),))</f>
        <v/>
      </c>
      <c r="D11338">
        <f>IFERROR(Table7[[#This Row],[United States 10y]]-Table7[[#This Row],[United States 3y]],#N/A)</f>
        <v/>
      </c>
    </row>
    <row r="11339">
      <c r="A11339" s="6">
        <f>Database!$A13424</f>
        <v/>
      </c>
      <c r="B11339">
        <f>IF(VLOOKUP(Table7[[#This Row],[Date]],Database!$A:$C,MATCH($B$1,Database!$A$1:$C$1,),)=0,#N/A,VLOOKUP(Table7[[#This Row],[Date]],Database!$A:$C,MATCH($B$1,Database!$A$1:$C$1,),))</f>
        <v/>
      </c>
      <c r="C11339">
        <f>IF(VLOOKUP(Table7[[#This Row],[Date]],Database!$A:$C,MATCH($C$1,Database!$A$1:$C$1,),)=0,#N/A,VLOOKUP(Table7[[#This Row],[Date]],Database!$A:$C,MATCH($C$1,Database!$A$1:$C$1,),))</f>
        <v/>
      </c>
      <c r="D11339">
        <f>IFERROR(Table7[[#This Row],[United States 10y]]-Table7[[#This Row],[United States 3y]],#N/A)</f>
        <v/>
      </c>
    </row>
    <row r="11340">
      <c r="A11340" s="6">
        <f>Database!$A13425</f>
        <v/>
      </c>
      <c r="B11340">
        <f>IF(VLOOKUP(Table7[[#This Row],[Date]],Database!$A:$C,MATCH($B$1,Database!$A$1:$C$1,),)=0,#N/A,VLOOKUP(Table7[[#This Row],[Date]],Database!$A:$C,MATCH($B$1,Database!$A$1:$C$1,),))</f>
        <v/>
      </c>
      <c r="C11340">
        <f>IF(VLOOKUP(Table7[[#This Row],[Date]],Database!$A:$C,MATCH($C$1,Database!$A$1:$C$1,),)=0,#N/A,VLOOKUP(Table7[[#This Row],[Date]],Database!$A:$C,MATCH($C$1,Database!$A$1:$C$1,),))</f>
        <v/>
      </c>
      <c r="D11340">
        <f>IFERROR(Table7[[#This Row],[United States 10y]]-Table7[[#This Row],[United States 3y]],#N/A)</f>
        <v/>
      </c>
    </row>
    <row r="11341">
      <c r="A11341" s="6">
        <f>Database!$A13426</f>
        <v/>
      </c>
      <c r="B11341">
        <f>IF(VLOOKUP(Table7[[#This Row],[Date]],Database!$A:$C,MATCH($B$1,Database!$A$1:$C$1,),)=0,#N/A,VLOOKUP(Table7[[#This Row],[Date]],Database!$A:$C,MATCH($B$1,Database!$A$1:$C$1,),))</f>
        <v/>
      </c>
      <c r="C11341">
        <f>IF(VLOOKUP(Table7[[#This Row],[Date]],Database!$A:$C,MATCH($C$1,Database!$A$1:$C$1,),)=0,#N/A,VLOOKUP(Table7[[#This Row],[Date]],Database!$A:$C,MATCH($C$1,Database!$A$1:$C$1,),))</f>
        <v/>
      </c>
      <c r="D11341">
        <f>IFERROR(Table7[[#This Row],[United States 10y]]-Table7[[#This Row],[United States 3y]],#N/A)</f>
        <v/>
      </c>
    </row>
    <row r="11342">
      <c r="A11342" s="6">
        <f>Database!$A13427</f>
        <v/>
      </c>
      <c r="B11342">
        <f>IF(VLOOKUP(Table7[[#This Row],[Date]],Database!$A:$C,MATCH($B$1,Database!$A$1:$C$1,),)=0,#N/A,VLOOKUP(Table7[[#This Row],[Date]],Database!$A:$C,MATCH($B$1,Database!$A$1:$C$1,),))</f>
        <v/>
      </c>
      <c r="C11342">
        <f>IF(VLOOKUP(Table7[[#This Row],[Date]],Database!$A:$C,MATCH($C$1,Database!$A$1:$C$1,),)=0,#N/A,VLOOKUP(Table7[[#This Row],[Date]],Database!$A:$C,MATCH($C$1,Database!$A$1:$C$1,),))</f>
        <v/>
      </c>
      <c r="D11342">
        <f>IFERROR(Table7[[#This Row],[United States 10y]]-Table7[[#This Row],[United States 3y]],#N/A)</f>
        <v/>
      </c>
    </row>
    <row r="11343">
      <c r="A11343" s="6">
        <f>Database!$A13428</f>
        <v/>
      </c>
      <c r="B11343">
        <f>IF(VLOOKUP(Table7[[#This Row],[Date]],Database!$A:$C,MATCH($B$1,Database!$A$1:$C$1,),)=0,#N/A,VLOOKUP(Table7[[#This Row],[Date]],Database!$A:$C,MATCH($B$1,Database!$A$1:$C$1,),))</f>
        <v/>
      </c>
      <c r="C11343">
        <f>IF(VLOOKUP(Table7[[#This Row],[Date]],Database!$A:$C,MATCH($C$1,Database!$A$1:$C$1,),)=0,#N/A,VLOOKUP(Table7[[#This Row],[Date]],Database!$A:$C,MATCH($C$1,Database!$A$1:$C$1,),))</f>
        <v/>
      </c>
      <c r="D11343">
        <f>IFERROR(Table7[[#This Row],[United States 10y]]-Table7[[#This Row],[United States 3y]],#N/A)</f>
        <v/>
      </c>
    </row>
    <row r="11344">
      <c r="A11344" s="6">
        <f>Database!$A13429</f>
        <v/>
      </c>
      <c r="B11344">
        <f>IF(VLOOKUP(Table7[[#This Row],[Date]],Database!$A:$C,MATCH($B$1,Database!$A$1:$C$1,),)=0,#N/A,VLOOKUP(Table7[[#This Row],[Date]],Database!$A:$C,MATCH($B$1,Database!$A$1:$C$1,),))</f>
        <v/>
      </c>
      <c r="C11344">
        <f>IF(VLOOKUP(Table7[[#This Row],[Date]],Database!$A:$C,MATCH($C$1,Database!$A$1:$C$1,),)=0,#N/A,VLOOKUP(Table7[[#This Row],[Date]],Database!$A:$C,MATCH($C$1,Database!$A$1:$C$1,),))</f>
        <v/>
      </c>
      <c r="D11344">
        <f>IFERROR(Table7[[#This Row],[United States 10y]]-Table7[[#This Row],[United States 3y]],#N/A)</f>
        <v/>
      </c>
    </row>
    <row r="11345">
      <c r="A11345" s="6">
        <f>Database!$A13430</f>
        <v/>
      </c>
      <c r="B11345">
        <f>IF(VLOOKUP(Table7[[#This Row],[Date]],Database!$A:$C,MATCH($B$1,Database!$A$1:$C$1,),)=0,#N/A,VLOOKUP(Table7[[#This Row],[Date]],Database!$A:$C,MATCH($B$1,Database!$A$1:$C$1,),))</f>
        <v/>
      </c>
      <c r="C11345">
        <f>IF(VLOOKUP(Table7[[#This Row],[Date]],Database!$A:$C,MATCH($C$1,Database!$A$1:$C$1,),)=0,#N/A,VLOOKUP(Table7[[#This Row],[Date]],Database!$A:$C,MATCH($C$1,Database!$A$1:$C$1,),))</f>
        <v/>
      </c>
      <c r="D11345">
        <f>IFERROR(Table7[[#This Row],[United States 10y]]-Table7[[#This Row],[United States 3y]],#N/A)</f>
        <v/>
      </c>
    </row>
    <row r="11346">
      <c r="A11346" s="6">
        <f>Database!$A13431</f>
        <v/>
      </c>
      <c r="B11346">
        <f>IF(VLOOKUP(Table7[[#This Row],[Date]],Database!$A:$C,MATCH($B$1,Database!$A$1:$C$1,),)=0,#N/A,VLOOKUP(Table7[[#This Row],[Date]],Database!$A:$C,MATCH($B$1,Database!$A$1:$C$1,),))</f>
        <v/>
      </c>
      <c r="C11346">
        <f>IF(VLOOKUP(Table7[[#This Row],[Date]],Database!$A:$C,MATCH($C$1,Database!$A$1:$C$1,),)=0,#N/A,VLOOKUP(Table7[[#This Row],[Date]],Database!$A:$C,MATCH($C$1,Database!$A$1:$C$1,),))</f>
        <v/>
      </c>
      <c r="D11346">
        <f>IFERROR(Table7[[#This Row],[United States 10y]]-Table7[[#This Row],[United States 3y]],#N/A)</f>
        <v/>
      </c>
    </row>
    <row r="11347">
      <c r="A11347" s="6">
        <f>Database!$A13432</f>
        <v/>
      </c>
      <c r="B11347">
        <f>IF(VLOOKUP(Table7[[#This Row],[Date]],Database!$A:$C,MATCH($B$1,Database!$A$1:$C$1,),)=0,#N/A,VLOOKUP(Table7[[#This Row],[Date]],Database!$A:$C,MATCH($B$1,Database!$A$1:$C$1,),))</f>
        <v/>
      </c>
      <c r="C11347">
        <f>IF(VLOOKUP(Table7[[#This Row],[Date]],Database!$A:$C,MATCH($C$1,Database!$A$1:$C$1,),)=0,#N/A,VLOOKUP(Table7[[#This Row],[Date]],Database!$A:$C,MATCH($C$1,Database!$A$1:$C$1,),))</f>
        <v/>
      </c>
      <c r="D11347">
        <f>IFERROR(Table7[[#This Row],[United States 10y]]-Table7[[#This Row],[United States 3y]],#N/A)</f>
        <v/>
      </c>
    </row>
    <row r="11348">
      <c r="A11348" s="6">
        <f>Database!$A13433</f>
        <v/>
      </c>
      <c r="B11348">
        <f>IF(VLOOKUP(Table7[[#This Row],[Date]],Database!$A:$C,MATCH($B$1,Database!$A$1:$C$1,),)=0,#N/A,VLOOKUP(Table7[[#This Row],[Date]],Database!$A:$C,MATCH($B$1,Database!$A$1:$C$1,),))</f>
        <v/>
      </c>
      <c r="C11348">
        <f>IF(VLOOKUP(Table7[[#This Row],[Date]],Database!$A:$C,MATCH($C$1,Database!$A$1:$C$1,),)=0,#N/A,VLOOKUP(Table7[[#This Row],[Date]],Database!$A:$C,MATCH($C$1,Database!$A$1:$C$1,),))</f>
        <v/>
      </c>
      <c r="D11348">
        <f>IFERROR(Table7[[#This Row],[United States 10y]]-Table7[[#This Row],[United States 3y]],#N/A)</f>
        <v/>
      </c>
    </row>
    <row r="11349">
      <c r="A11349" s="6">
        <f>Database!$A13434</f>
        <v/>
      </c>
      <c r="B11349">
        <f>IF(VLOOKUP(Table7[[#This Row],[Date]],Database!$A:$C,MATCH($B$1,Database!$A$1:$C$1,),)=0,#N/A,VLOOKUP(Table7[[#This Row],[Date]],Database!$A:$C,MATCH($B$1,Database!$A$1:$C$1,),))</f>
        <v/>
      </c>
      <c r="C11349">
        <f>IF(VLOOKUP(Table7[[#This Row],[Date]],Database!$A:$C,MATCH($C$1,Database!$A$1:$C$1,),)=0,#N/A,VLOOKUP(Table7[[#This Row],[Date]],Database!$A:$C,MATCH($C$1,Database!$A$1:$C$1,),))</f>
        <v/>
      </c>
      <c r="D11349">
        <f>IFERROR(Table7[[#This Row],[United States 10y]]-Table7[[#This Row],[United States 3y]],#N/A)</f>
        <v/>
      </c>
    </row>
    <row r="11350">
      <c r="A11350" s="6">
        <f>Database!$A13435</f>
        <v/>
      </c>
      <c r="B11350">
        <f>IF(VLOOKUP(Table7[[#This Row],[Date]],Database!$A:$C,MATCH($B$1,Database!$A$1:$C$1,),)=0,#N/A,VLOOKUP(Table7[[#This Row],[Date]],Database!$A:$C,MATCH($B$1,Database!$A$1:$C$1,),))</f>
        <v/>
      </c>
      <c r="C11350">
        <f>IF(VLOOKUP(Table7[[#This Row],[Date]],Database!$A:$C,MATCH($C$1,Database!$A$1:$C$1,),)=0,#N/A,VLOOKUP(Table7[[#This Row],[Date]],Database!$A:$C,MATCH($C$1,Database!$A$1:$C$1,),))</f>
        <v/>
      </c>
      <c r="D11350">
        <f>IFERROR(Table7[[#This Row],[United States 10y]]-Table7[[#This Row],[United States 3y]],#N/A)</f>
        <v/>
      </c>
    </row>
    <row r="11351">
      <c r="A11351" s="6">
        <f>Database!$A13436</f>
        <v/>
      </c>
      <c r="B11351">
        <f>IF(VLOOKUP(Table7[[#This Row],[Date]],Database!$A:$C,MATCH($B$1,Database!$A$1:$C$1,),)=0,#N/A,VLOOKUP(Table7[[#This Row],[Date]],Database!$A:$C,MATCH($B$1,Database!$A$1:$C$1,),))</f>
        <v/>
      </c>
      <c r="C11351">
        <f>IF(VLOOKUP(Table7[[#This Row],[Date]],Database!$A:$C,MATCH($C$1,Database!$A$1:$C$1,),)=0,#N/A,VLOOKUP(Table7[[#This Row],[Date]],Database!$A:$C,MATCH($C$1,Database!$A$1:$C$1,),))</f>
        <v/>
      </c>
      <c r="D11351">
        <f>IFERROR(Table7[[#This Row],[United States 10y]]-Table7[[#This Row],[United States 3y]],#N/A)</f>
        <v/>
      </c>
    </row>
    <row r="11352">
      <c r="A11352" s="6">
        <f>Database!$A13437</f>
        <v/>
      </c>
      <c r="B11352">
        <f>IF(VLOOKUP(Table7[[#This Row],[Date]],Database!$A:$C,MATCH($B$1,Database!$A$1:$C$1,),)=0,#N/A,VLOOKUP(Table7[[#This Row],[Date]],Database!$A:$C,MATCH($B$1,Database!$A$1:$C$1,),))</f>
        <v/>
      </c>
      <c r="C11352">
        <f>IF(VLOOKUP(Table7[[#This Row],[Date]],Database!$A:$C,MATCH($C$1,Database!$A$1:$C$1,),)=0,#N/A,VLOOKUP(Table7[[#This Row],[Date]],Database!$A:$C,MATCH($C$1,Database!$A$1:$C$1,),))</f>
        <v/>
      </c>
      <c r="D11352">
        <f>IFERROR(Table7[[#This Row],[United States 10y]]-Table7[[#This Row],[United States 3y]],#N/A)</f>
        <v/>
      </c>
    </row>
    <row r="11353">
      <c r="A11353" s="6">
        <f>Database!$A13438</f>
        <v/>
      </c>
      <c r="B11353">
        <f>IF(VLOOKUP(Table7[[#This Row],[Date]],Database!$A:$C,MATCH($B$1,Database!$A$1:$C$1,),)=0,#N/A,VLOOKUP(Table7[[#This Row],[Date]],Database!$A:$C,MATCH($B$1,Database!$A$1:$C$1,),))</f>
        <v/>
      </c>
      <c r="C11353">
        <f>IF(VLOOKUP(Table7[[#This Row],[Date]],Database!$A:$C,MATCH($C$1,Database!$A$1:$C$1,),)=0,#N/A,VLOOKUP(Table7[[#This Row],[Date]],Database!$A:$C,MATCH($C$1,Database!$A$1:$C$1,),))</f>
        <v/>
      </c>
      <c r="D11353">
        <f>IFERROR(Table7[[#This Row],[United States 10y]]-Table7[[#This Row],[United States 3y]],#N/A)</f>
        <v/>
      </c>
    </row>
    <row r="11354">
      <c r="A11354" s="6">
        <f>Database!$A13439</f>
        <v/>
      </c>
      <c r="B11354">
        <f>IF(VLOOKUP(Table7[[#This Row],[Date]],Database!$A:$C,MATCH($B$1,Database!$A$1:$C$1,),)=0,#N/A,VLOOKUP(Table7[[#This Row],[Date]],Database!$A:$C,MATCH($B$1,Database!$A$1:$C$1,),))</f>
        <v/>
      </c>
      <c r="C11354">
        <f>IF(VLOOKUP(Table7[[#This Row],[Date]],Database!$A:$C,MATCH($C$1,Database!$A$1:$C$1,),)=0,#N/A,VLOOKUP(Table7[[#This Row],[Date]],Database!$A:$C,MATCH($C$1,Database!$A$1:$C$1,),))</f>
        <v/>
      </c>
      <c r="D11354">
        <f>IFERROR(Table7[[#This Row],[United States 10y]]-Table7[[#This Row],[United States 3y]],#N/A)</f>
        <v/>
      </c>
    </row>
    <row r="11355">
      <c r="A11355" s="6">
        <f>Database!$A13440</f>
        <v/>
      </c>
      <c r="B11355">
        <f>IF(VLOOKUP(Table7[[#This Row],[Date]],Database!$A:$C,MATCH($B$1,Database!$A$1:$C$1,),)=0,#N/A,VLOOKUP(Table7[[#This Row],[Date]],Database!$A:$C,MATCH($B$1,Database!$A$1:$C$1,),))</f>
        <v/>
      </c>
      <c r="C11355">
        <f>IF(VLOOKUP(Table7[[#This Row],[Date]],Database!$A:$C,MATCH($C$1,Database!$A$1:$C$1,),)=0,#N/A,VLOOKUP(Table7[[#This Row],[Date]],Database!$A:$C,MATCH($C$1,Database!$A$1:$C$1,),))</f>
        <v/>
      </c>
      <c r="D11355">
        <f>IFERROR(Table7[[#This Row],[United States 10y]]-Table7[[#This Row],[United States 3y]],#N/A)</f>
        <v/>
      </c>
    </row>
    <row r="11356">
      <c r="A11356" s="6">
        <f>Database!$A13441</f>
        <v/>
      </c>
      <c r="B11356">
        <f>IF(VLOOKUP(Table7[[#This Row],[Date]],Database!$A:$C,MATCH($B$1,Database!$A$1:$C$1,),)=0,#N/A,VLOOKUP(Table7[[#This Row],[Date]],Database!$A:$C,MATCH($B$1,Database!$A$1:$C$1,),))</f>
        <v/>
      </c>
      <c r="C11356">
        <f>IF(VLOOKUP(Table7[[#This Row],[Date]],Database!$A:$C,MATCH($C$1,Database!$A$1:$C$1,),)=0,#N/A,VLOOKUP(Table7[[#This Row],[Date]],Database!$A:$C,MATCH($C$1,Database!$A$1:$C$1,),))</f>
        <v/>
      </c>
      <c r="D11356">
        <f>IFERROR(Table7[[#This Row],[United States 10y]]-Table7[[#This Row],[United States 3y]],#N/A)</f>
        <v/>
      </c>
    </row>
    <row r="11357">
      <c r="A11357" s="6">
        <f>Database!$A13442</f>
        <v/>
      </c>
      <c r="B11357">
        <f>IF(VLOOKUP(Table7[[#This Row],[Date]],Database!$A:$C,MATCH($B$1,Database!$A$1:$C$1,),)=0,#N/A,VLOOKUP(Table7[[#This Row],[Date]],Database!$A:$C,MATCH($B$1,Database!$A$1:$C$1,),))</f>
        <v/>
      </c>
      <c r="C11357">
        <f>IF(VLOOKUP(Table7[[#This Row],[Date]],Database!$A:$C,MATCH($C$1,Database!$A$1:$C$1,),)=0,#N/A,VLOOKUP(Table7[[#This Row],[Date]],Database!$A:$C,MATCH($C$1,Database!$A$1:$C$1,),))</f>
        <v/>
      </c>
      <c r="D11357">
        <f>IFERROR(Table7[[#This Row],[United States 10y]]-Table7[[#This Row],[United States 3y]],#N/A)</f>
        <v/>
      </c>
    </row>
    <row r="11358">
      <c r="A11358" s="6">
        <f>Database!$A13443</f>
        <v/>
      </c>
      <c r="B11358">
        <f>IF(VLOOKUP(Table7[[#This Row],[Date]],Database!$A:$C,MATCH($B$1,Database!$A$1:$C$1,),)=0,#N/A,VLOOKUP(Table7[[#This Row],[Date]],Database!$A:$C,MATCH($B$1,Database!$A$1:$C$1,),))</f>
        <v/>
      </c>
      <c r="C11358">
        <f>IF(VLOOKUP(Table7[[#This Row],[Date]],Database!$A:$C,MATCH($C$1,Database!$A$1:$C$1,),)=0,#N/A,VLOOKUP(Table7[[#This Row],[Date]],Database!$A:$C,MATCH($C$1,Database!$A$1:$C$1,),))</f>
        <v/>
      </c>
      <c r="D11358">
        <f>IFERROR(Table7[[#This Row],[United States 10y]]-Table7[[#This Row],[United States 3y]],#N/A)</f>
        <v/>
      </c>
    </row>
    <row r="11359">
      <c r="A11359" s="6">
        <f>Database!$A13444</f>
        <v/>
      </c>
      <c r="B11359">
        <f>IF(VLOOKUP(Table7[[#This Row],[Date]],Database!$A:$C,MATCH($B$1,Database!$A$1:$C$1,),)=0,#N/A,VLOOKUP(Table7[[#This Row],[Date]],Database!$A:$C,MATCH($B$1,Database!$A$1:$C$1,),))</f>
        <v/>
      </c>
      <c r="C11359">
        <f>IF(VLOOKUP(Table7[[#This Row],[Date]],Database!$A:$C,MATCH($C$1,Database!$A$1:$C$1,),)=0,#N/A,VLOOKUP(Table7[[#This Row],[Date]],Database!$A:$C,MATCH($C$1,Database!$A$1:$C$1,),))</f>
        <v/>
      </c>
      <c r="D11359">
        <f>IFERROR(Table7[[#This Row],[United States 10y]]-Table7[[#This Row],[United States 3y]],#N/A)</f>
        <v/>
      </c>
    </row>
    <row r="11360">
      <c r="A11360" s="6">
        <f>Database!$A13445</f>
        <v/>
      </c>
      <c r="B11360">
        <f>IF(VLOOKUP(Table7[[#This Row],[Date]],Database!$A:$C,MATCH($B$1,Database!$A$1:$C$1,),)=0,#N/A,VLOOKUP(Table7[[#This Row],[Date]],Database!$A:$C,MATCH($B$1,Database!$A$1:$C$1,),))</f>
        <v/>
      </c>
      <c r="C11360">
        <f>IF(VLOOKUP(Table7[[#This Row],[Date]],Database!$A:$C,MATCH($C$1,Database!$A$1:$C$1,),)=0,#N/A,VLOOKUP(Table7[[#This Row],[Date]],Database!$A:$C,MATCH($C$1,Database!$A$1:$C$1,),))</f>
        <v/>
      </c>
      <c r="D11360">
        <f>IFERROR(Table7[[#This Row],[United States 10y]]-Table7[[#This Row],[United States 3y]],#N/A)</f>
        <v/>
      </c>
    </row>
    <row r="11361">
      <c r="A11361" s="6">
        <f>Database!$A13446</f>
        <v/>
      </c>
      <c r="B11361">
        <f>IF(VLOOKUP(Table7[[#This Row],[Date]],Database!$A:$C,MATCH($B$1,Database!$A$1:$C$1,),)=0,#N/A,VLOOKUP(Table7[[#This Row],[Date]],Database!$A:$C,MATCH($B$1,Database!$A$1:$C$1,),))</f>
        <v/>
      </c>
      <c r="C11361">
        <f>IF(VLOOKUP(Table7[[#This Row],[Date]],Database!$A:$C,MATCH($C$1,Database!$A$1:$C$1,),)=0,#N/A,VLOOKUP(Table7[[#This Row],[Date]],Database!$A:$C,MATCH($C$1,Database!$A$1:$C$1,),))</f>
        <v/>
      </c>
      <c r="D11361">
        <f>IFERROR(Table7[[#This Row],[United States 10y]]-Table7[[#This Row],[United States 3y]],#N/A)</f>
        <v/>
      </c>
    </row>
    <row r="11362">
      <c r="A11362" s="6">
        <f>Database!$A13447</f>
        <v/>
      </c>
      <c r="B11362">
        <f>IF(VLOOKUP(Table7[[#This Row],[Date]],Database!$A:$C,MATCH($B$1,Database!$A$1:$C$1,),)=0,#N/A,VLOOKUP(Table7[[#This Row],[Date]],Database!$A:$C,MATCH($B$1,Database!$A$1:$C$1,),))</f>
        <v/>
      </c>
      <c r="C11362">
        <f>IF(VLOOKUP(Table7[[#This Row],[Date]],Database!$A:$C,MATCH($C$1,Database!$A$1:$C$1,),)=0,#N/A,VLOOKUP(Table7[[#This Row],[Date]],Database!$A:$C,MATCH($C$1,Database!$A$1:$C$1,),))</f>
        <v/>
      </c>
      <c r="D11362">
        <f>IFERROR(Table7[[#This Row],[United States 10y]]-Table7[[#This Row],[United States 3y]],#N/A)</f>
        <v/>
      </c>
    </row>
    <row r="11363">
      <c r="A11363" s="6">
        <f>Database!$A13448</f>
        <v/>
      </c>
      <c r="B11363">
        <f>IF(VLOOKUP(Table7[[#This Row],[Date]],Database!$A:$C,MATCH($B$1,Database!$A$1:$C$1,),)=0,#N/A,VLOOKUP(Table7[[#This Row],[Date]],Database!$A:$C,MATCH($B$1,Database!$A$1:$C$1,),))</f>
        <v/>
      </c>
      <c r="C11363">
        <f>IF(VLOOKUP(Table7[[#This Row],[Date]],Database!$A:$C,MATCH($C$1,Database!$A$1:$C$1,),)=0,#N/A,VLOOKUP(Table7[[#This Row],[Date]],Database!$A:$C,MATCH($C$1,Database!$A$1:$C$1,),))</f>
        <v/>
      </c>
      <c r="D11363">
        <f>IFERROR(Table7[[#This Row],[United States 10y]]-Table7[[#This Row],[United States 3y]],#N/A)</f>
        <v/>
      </c>
    </row>
    <row r="11364">
      <c r="A11364" s="6">
        <f>Database!$A13449</f>
        <v/>
      </c>
      <c r="B11364">
        <f>IF(VLOOKUP(Table7[[#This Row],[Date]],Database!$A:$C,MATCH($B$1,Database!$A$1:$C$1,),)=0,#N/A,VLOOKUP(Table7[[#This Row],[Date]],Database!$A:$C,MATCH($B$1,Database!$A$1:$C$1,),))</f>
        <v/>
      </c>
      <c r="C11364">
        <f>IF(VLOOKUP(Table7[[#This Row],[Date]],Database!$A:$C,MATCH($C$1,Database!$A$1:$C$1,),)=0,#N/A,VLOOKUP(Table7[[#This Row],[Date]],Database!$A:$C,MATCH($C$1,Database!$A$1:$C$1,),))</f>
        <v/>
      </c>
      <c r="D11364">
        <f>IFERROR(Table7[[#This Row],[United States 10y]]-Table7[[#This Row],[United States 3y]],#N/A)</f>
        <v/>
      </c>
    </row>
    <row r="11365">
      <c r="A11365" s="6">
        <f>Database!$A13450</f>
        <v/>
      </c>
      <c r="B11365">
        <f>IF(VLOOKUP(Table7[[#This Row],[Date]],Database!$A:$C,MATCH($B$1,Database!$A$1:$C$1,),)=0,#N/A,VLOOKUP(Table7[[#This Row],[Date]],Database!$A:$C,MATCH($B$1,Database!$A$1:$C$1,),))</f>
        <v/>
      </c>
      <c r="C11365">
        <f>IF(VLOOKUP(Table7[[#This Row],[Date]],Database!$A:$C,MATCH($C$1,Database!$A$1:$C$1,),)=0,#N/A,VLOOKUP(Table7[[#This Row],[Date]],Database!$A:$C,MATCH($C$1,Database!$A$1:$C$1,),))</f>
        <v/>
      </c>
      <c r="D11365">
        <f>IFERROR(Table7[[#This Row],[United States 10y]]-Table7[[#This Row],[United States 3y]],#N/A)</f>
        <v/>
      </c>
    </row>
    <row r="11366">
      <c r="A11366" s="6">
        <f>Database!$A13451</f>
        <v/>
      </c>
      <c r="B11366">
        <f>IF(VLOOKUP(Table7[[#This Row],[Date]],Database!$A:$C,MATCH($B$1,Database!$A$1:$C$1,),)=0,#N/A,VLOOKUP(Table7[[#This Row],[Date]],Database!$A:$C,MATCH($B$1,Database!$A$1:$C$1,),))</f>
        <v/>
      </c>
      <c r="C11366">
        <f>IF(VLOOKUP(Table7[[#This Row],[Date]],Database!$A:$C,MATCH($C$1,Database!$A$1:$C$1,),)=0,#N/A,VLOOKUP(Table7[[#This Row],[Date]],Database!$A:$C,MATCH($C$1,Database!$A$1:$C$1,),))</f>
        <v/>
      </c>
      <c r="D11366">
        <f>IFERROR(Table7[[#This Row],[United States 10y]]-Table7[[#This Row],[United States 3y]],#N/A)</f>
        <v/>
      </c>
    </row>
    <row r="11367">
      <c r="A11367" s="6">
        <f>Database!$A13452</f>
        <v/>
      </c>
      <c r="B11367">
        <f>IF(VLOOKUP(Table7[[#This Row],[Date]],Database!$A:$C,MATCH($B$1,Database!$A$1:$C$1,),)=0,#N/A,VLOOKUP(Table7[[#This Row],[Date]],Database!$A:$C,MATCH($B$1,Database!$A$1:$C$1,),))</f>
        <v/>
      </c>
      <c r="C11367">
        <f>IF(VLOOKUP(Table7[[#This Row],[Date]],Database!$A:$C,MATCH($C$1,Database!$A$1:$C$1,),)=0,#N/A,VLOOKUP(Table7[[#This Row],[Date]],Database!$A:$C,MATCH($C$1,Database!$A$1:$C$1,),))</f>
        <v/>
      </c>
      <c r="D11367">
        <f>IFERROR(Table7[[#This Row],[United States 10y]]-Table7[[#This Row],[United States 3y]],#N/A)</f>
        <v/>
      </c>
    </row>
    <row r="11368">
      <c r="A11368" s="6">
        <f>Database!$A13453</f>
        <v/>
      </c>
      <c r="B11368">
        <f>IF(VLOOKUP(Table7[[#This Row],[Date]],Database!$A:$C,MATCH($B$1,Database!$A$1:$C$1,),)=0,#N/A,VLOOKUP(Table7[[#This Row],[Date]],Database!$A:$C,MATCH($B$1,Database!$A$1:$C$1,),))</f>
        <v/>
      </c>
      <c r="C11368">
        <f>IF(VLOOKUP(Table7[[#This Row],[Date]],Database!$A:$C,MATCH($C$1,Database!$A$1:$C$1,),)=0,#N/A,VLOOKUP(Table7[[#This Row],[Date]],Database!$A:$C,MATCH($C$1,Database!$A$1:$C$1,),))</f>
        <v/>
      </c>
      <c r="D11368">
        <f>IFERROR(Table7[[#This Row],[United States 10y]]-Table7[[#This Row],[United States 3y]],#N/A)</f>
        <v/>
      </c>
    </row>
    <row r="11369">
      <c r="A11369" s="6">
        <f>Database!$A13454</f>
        <v/>
      </c>
      <c r="B11369">
        <f>IF(VLOOKUP(Table7[[#This Row],[Date]],Database!$A:$C,MATCH($B$1,Database!$A$1:$C$1,),)=0,#N/A,VLOOKUP(Table7[[#This Row],[Date]],Database!$A:$C,MATCH($B$1,Database!$A$1:$C$1,),))</f>
        <v/>
      </c>
      <c r="C11369">
        <f>IF(VLOOKUP(Table7[[#This Row],[Date]],Database!$A:$C,MATCH($C$1,Database!$A$1:$C$1,),)=0,#N/A,VLOOKUP(Table7[[#This Row],[Date]],Database!$A:$C,MATCH($C$1,Database!$A$1:$C$1,),))</f>
        <v/>
      </c>
      <c r="D11369">
        <f>IFERROR(Table7[[#This Row],[United States 10y]]-Table7[[#This Row],[United States 3y]],#N/A)</f>
        <v/>
      </c>
    </row>
    <row r="11370">
      <c r="A11370" s="6">
        <f>Database!$A13455</f>
        <v/>
      </c>
      <c r="B11370">
        <f>IF(VLOOKUP(Table7[[#This Row],[Date]],Database!$A:$C,MATCH($B$1,Database!$A$1:$C$1,),)=0,#N/A,VLOOKUP(Table7[[#This Row],[Date]],Database!$A:$C,MATCH($B$1,Database!$A$1:$C$1,),))</f>
        <v/>
      </c>
      <c r="C11370">
        <f>IF(VLOOKUP(Table7[[#This Row],[Date]],Database!$A:$C,MATCH($C$1,Database!$A$1:$C$1,),)=0,#N/A,VLOOKUP(Table7[[#This Row],[Date]],Database!$A:$C,MATCH($C$1,Database!$A$1:$C$1,),))</f>
        <v/>
      </c>
      <c r="D11370">
        <f>IFERROR(Table7[[#This Row],[United States 10y]]-Table7[[#This Row],[United States 3y]],#N/A)</f>
        <v/>
      </c>
    </row>
    <row r="11371">
      <c r="A11371" s="6">
        <f>Database!$A13456</f>
        <v/>
      </c>
      <c r="B11371">
        <f>IF(VLOOKUP(Table7[[#This Row],[Date]],Database!$A:$C,MATCH($B$1,Database!$A$1:$C$1,),)=0,#N/A,VLOOKUP(Table7[[#This Row],[Date]],Database!$A:$C,MATCH($B$1,Database!$A$1:$C$1,),))</f>
        <v/>
      </c>
      <c r="C11371">
        <f>IF(VLOOKUP(Table7[[#This Row],[Date]],Database!$A:$C,MATCH($C$1,Database!$A$1:$C$1,),)=0,#N/A,VLOOKUP(Table7[[#This Row],[Date]],Database!$A:$C,MATCH($C$1,Database!$A$1:$C$1,),))</f>
        <v/>
      </c>
      <c r="D11371">
        <f>IFERROR(Table7[[#This Row],[United States 10y]]-Table7[[#This Row],[United States 3y]],#N/A)</f>
        <v/>
      </c>
    </row>
    <row r="11372">
      <c r="A11372" s="6">
        <f>Database!$A13457</f>
        <v/>
      </c>
      <c r="B11372">
        <f>IF(VLOOKUP(Table7[[#This Row],[Date]],Database!$A:$C,MATCH($B$1,Database!$A$1:$C$1,),)=0,#N/A,VLOOKUP(Table7[[#This Row],[Date]],Database!$A:$C,MATCH($B$1,Database!$A$1:$C$1,),))</f>
        <v/>
      </c>
      <c r="C11372">
        <f>IF(VLOOKUP(Table7[[#This Row],[Date]],Database!$A:$C,MATCH($C$1,Database!$A$1:$C$1,),)=0,#N/A,VLOOKUP(Table7[[#This Row],[Date]],Database!$A:$C,MATCH($C$1,Database!$A$1:$C$1,),))</f>
        <v/>
      </c>
      <c r="D11372">
        <f>IFERROR(Table7[[#This Row],[United States 10y]]-Table7[[#This Row],[United States 3y]],#N/A)</f>
        <v/>
      </c>
    </row>
    <row r="11373">
      <c r="A11373" s="6">
        <f>Database!$A13458</f>
        <v/>
      </c>
      <c r="B11373">
        <f>IF(VLOOKUP(Table7[[#This Row],[Date]],Database!$A:$C,MATCH($B$1,Database!$A$1:$C$1,),)=0,#N/A,VLOOKUP(Table7[[#This Row],[Date]],Database!$A:$C,MATCH($B$1,Database!$A$1:$C$1,),))</f>
        <v/>
      </c>
      <c r="C11373">
        <f>IF(VLOOKUP(Table7[[#This Row],[Date]],Database!$A:$C,MATCH($C$1,Database!$A$1:$C$1,),)=0,#N/A,VLOOKUP(Table7[[#This Row],[Date]],Database!$A:$C,MATCH($C$1,Database!$A$1:$C$1,),))</f>
        <v/>
      </c>
      <c r="D11373">
        <f>IFERROR(Table7[[#This Row],[United States 10y]]-Table7[[#This Row],[United States 3y]],#N/A)</f>
        <v/>
      </c>
    </row>
    <row r="11374">
      <c r="A11374" s="6">
        <f>Database!$A13459</f>
        <v/>
      </c>
      <c r="B11374">
        <f>IF(VLOOKUP(Table7[[#This Row],[Date]],Database!$A:$C,MATCH($B$1,Database!$A$1:$C$1,),)=0,#N/A,VLOOKUP(Table7[[#This Row],[Date]],Database!$A:$C,MATCH($B$1,Database!$A$1:$C$1,),))</f>
        <v/>
      </c>
      <c r="C11374">
        <f>IF(VLOOKUP(Table7[[#This Row],[Date]],Database!$A:$C,MATCH($C$1,Database!$A$1:$C$1,),)=0,#N/A,VLOOKUP(Table7[[#This Row],[Date]],Database!$A:$C,MATCH($C$1,Database!$A$1:$C$1,),))</f>
        <v/>
      </c>
      <c r="D11374">
        <f>IFERROR(Table7[[#This Row],[United States 10y]]-Table7[[#This Row],[United States 3y]],#N/A)</f>
        <v/>
      </c>
    </row>
    <row r="11375">
      <c r="A11375" s="6">
        <f>Database!$A13460</f>
        <v/>
      </c>
      <c r="B11375">
        <f>IF(VLOOKUP(Table7[[#This Row],[Date]],Database!$A:$C,MATCH($B$1,Database!$A$1:$C$1,),)=0,#N/A,VLOOKUP(Table7[[#This Row],[Date]],Database!$A:$C,MATCH($B$1,Database!$A$1:$C$1,),))</f>
        <v/>
      </c>
      <c r="C11375">
        <f>IF(VLOOKUP(Table7[[#This Row],[Date]],Database!$A:$C,MATCH($C$1,Database!$A$1:$C$1,),)=0,#N/A,VLOOKUP(Table7[[#This Row],[Date]],Database!$A:$C,MATCH($C$1,Database!$A$1:$C$1,),))</f>
        <v/>
      </c>
      <c r="D11375">
        <f>IFERROR(Table7[[#This Row],[United States 10y]]-Table7[[#This Row],[United States 3y]],#N/A)</f>
        <v/>
      </c>
    </row>
    <row r="11376">
      <c r="A11376" s="6">
        <f>Database!$A13461</f>
        <v/>
      </c>
      <c r="B11376">
        <f>IF(VLOOKUP(Table7[[#This Row],[Date]],Database!$A:$C,MATCH($B$1,Database!$A$1:$C$1,),)=0,#N/A,VLOOKUP(Table7[[#This Row],[Date]],Database!$A:$C,MATCH($B$1,Database!$A$1:$C$1,),))</f>
        <v/>
      </c>
      <c r="C11376">
        <f>IF(VLOOKUP(Table7[[#This Row],[Date]],Database!$A:$C,MATCH($C$1,Database!$A$1:$C$1,),)=0,#N/A,VLOOKUP(Table7[[#This Row],[Date]],Database!$A:$C,MATCH($C$1,Database!$A$1:$C$1,),))</f>
        <v/>
      </c>
      <c r="D11376">
        <f>IFERROR(Table7[[#This Row],[United States 10y]]-Table7[[#This Row],[United States 3y]],#N/A)</f>
        <v/>
      </c>
    </row>
    <row r="11377">
      <c r="A11377" s="6">
        <f>Database!$A13462</f>
        <v/>
      </c>
      <c r="B11377">
        <f>IF(VLOOKUP(Table7[[#This Row],[Date]],Database!$A:$C,MATCH($B$1,Database!$A$1:$C$1,),)=0,#N/A,VLOOKUP(Table7[[#This Row],[Date]],Database!$A:$C,MATCH($B$1,Database!$A$1:$C$1,),))</f>
        <v/>
      </c>
      <c r="C11377">
        <f>IF(VLOOKUP(Table7[[#This Row],[Date]],Database!$A:$C,MATCH($C$1,Database!$A$1:$C$1,),)=0,#N/A,VLOOKUP(Table7[[#This Row],[Date]],Database!$A:$C,MATCH($C$1,Database!$A$1:$C$1,),))</f>
        <v/>
      </c>
      <c r="D11377">
        <f>IFERROR(Table7[[#This Row],[United States 10y]]-Table7[[#This Row],[United States 3y]],#N/A)</f>
        <v/>
      </c>
    </row>
    <row r="11378">
      <c r="A11378" s="6">
        <f>Database!$A13463</f>
        <v/>
      </c>
      <c r="B11378">
        <f>IF(VLOOKUP(Table7[[#This Row],[Date]],Database!$A:$C,MATCH($B$1,Database!$A$1:$C$1,),)=0,#N/A,VLOOKUP(Table7[[#This Row],[Date]],Database!$A:$C,MATCH($B$1,Database!$A$1:$C$1,),))</f>
        <v/>
      </c>
      <c r="C11378">
        <f>IF(VLOOKUP(Table7[[#This Row],[Date]],Database!$A:$C,MATCH($C$1,Database!$A$1:$C$1,),)=0,#N/A,VLOOKUP(Table7[[#This Row],[Date]],Database!$A:$C,MATCH($C$1,Database!$A$1:$C$1,),))</f>
        <v/>
      </c>
      <c r="D11378">
        <f>IFERROR(Table7[[#This Row],[United States 10y]]-Table7[[#This Row],[United States 3y]],#N/A)</f>
        <v/>
      </c>
    </row>
    <row r="11379">
      <c r="A11379" s="6">
        <f>Database!$A13464</f>
        <v/>
      </c>
      <c r="B11379">
        <f>IF(VLOOKUP(Table7[[#This Row],[Date]],Database!$A:$C,MATCH($B$1,Database!$A$1:$C$1,),)=0,#N/A,VLOOKUP(Table7[[#This Row],[Date]],Database!$A:$C,MATCH($B$1,Database!$A$1:$C$1,),))</f>
        <v/>
      </c>
      <c r="C11379">
        <f>IF(VLOOKUP(Table7[[#This Row],[Date]],Database!$A:$C,MATCH($C$1,Database!$A$1:$C$1,),)=0,#N/A,VLOOKUP(Table7[[#This Row],[Date]],Database!$A:$C,MATCH($C$1,Database!$A$1:$C$1,),))</f>
        <v/>
      </c>
      <c r="D11379">
        <f>IFERROR(Table7[[#This Row],[United States 10y]]-Table7[[#This Row],[United States 3y]],#N/A)</f>
        <v/>
      </c>
    </row>
    <row r="11380">
      <c r="A11380" s="6">
        <f>Database!$A13465</f>
        <v/>
      </c>
      <c r="B11380">
        <f>IF(VLOOKUP(Table7[[#This Row],[Date]],Database!$A:$C,MATCH($B$1,Database!$A$1:$C$1,),)=0,#N/A,VLOOKUP(Table7[[#This Row],[Date]],Database!$A:$C,MATCH($B$1,Database!$A$1:$C$1,),))</f>
        <v/>
      </c>
      <c r="C11380">
        <f>IF(VLOOKUP(Table7[[#This Row],[Date]],Database!$A:$C,MATCH($C$1,Database!$A$1:$C$1,),)=0,#N/A,VLOOKUP(Table7[[#This Row],[Date]],Database!$A:$C,MATCH($C$1,Database!$A$1:$C$1,),))</f>
        <v/>
      </c>
      <c r="D11380">
        <f>IFERROR(Table7[[#This Row],[United States 10y]]-Table7[[#This Row],[United States 3y]],#N/A)</f>
        <v/>
      </c>
    </row>
    <row r="11381">
      <c r="A11381" s="6">
        <f>Database!$A13466</f>
        <v/>
      </c>
      <c r="B11381">
        <f>IF(VLOOKUP(Table7[[#This Row],[Date]],Database!$A:$C,MATCH($B$1,Database!$A$1:$C$1,),)=0,#N/A,VLOOKUP(Table7[[#This Row],[Date]],Database!$A:$C,MATCH($B$1,Database!$A$1:$C$1,),))</f>
        <v/>
      </c>
      <c r="C11381">
        <f>IF(VLOOKUP(Table7[[#This Row],[Date]],Database!$A:$C,MATCH($C$1,Database!$A$1:$C$1,),)=0,#N/A,VLOOKUP(Table7[[#This Row],[Date]],Database!$A:$C,MATCH($C$1,Database!$A$1:$C$1,),))</f>
        <v/>
      </c>
      <c r="D11381">
        <f>IFERROR(Table7[[#This Row],[United States 10y]]-Table7[[#This Row],[United States 3y]],#N/A)</f>
        <v/>
      </c>
    </row>
    <row r="11382">
      <c r="A11382" s="6">
        <f>Database!$A13467</f>
        <v/>
      </c>
      <c r="B11382">
        <f>IF(VLOOKUP(Table7[[#This Row],[Date]],Database!$A:$C,MATCH($B$1,Database!$A$1:$C$1,),)=0,#N/A,VLOOKUP(Table7[[#This Row],[Date]],Database!$A:$C,MATCH($B$1,Database!$A$1:$C$1,),))</f>
        <v/>
      </c>
      <c r="C11382">
        <f>IF(VLOOKUP(Table7[[#This Row],[Date]],Database!$A:$C,MATCH($C$1,Database!$A$1:$C$1,),)=0,#N/A,VLOOKUP(Table7[[#This Row],[Date]],Database!$A:$C,MATCH($C$1,Database!$A$1:$C$1,),))</f>
        <v/>
      </c>
      <c r="D11382">
        <f>IFERROR(Table7[[#This Row],[United States 10y]]-Table7[[#This Row],[United States 3y]],#N/A)</f>
        <v/>
      </c>
    </row>
    <row r="11383">
      <c r="A11383" s="6">
        <f>Database!$A13468</f>
        <v/>
      </c>
      <c r="B11383">
        <f>IF(VLOOKUP(Table7[[#This Row],[Date]],Database!$A:$C,MATCH($B$1,Database!$A$1:$C$1,),)=0,#N/A,VLOOKUP(Table7[[#This Row],[Date]],Database!$A:$C,MATCH($B$1,Database!$A$1:$C$1,),))</f>
        <v/>
      </c>
      <c r="C11383">
        <f>IF(VLOOKUP(Table7[[#This Row],[Date]],Database!$A:$C,MATCH($C$1,Database!$A$1:$C$1,),)=0,#N/A,VLOOKUP(Table7[[#This Row],[Date]],Database!$A:$C,MATCH($C$1,Database!$A$1:$C$1,),))</f>
        <v/>
      </c>
      <c r="D11383">
        <f>IFERROR(Table7[[#This Row],[United States 10y]]-Table7[[#This Row],[United States 3y]],#N/A)</f>
        <v/>
      </c>
    </row>
    <row r="11384">
      <c r="A11384" s="6">
        <f>Database!$A13469</f>
        <v/>
      </c>
      <c r="B11384">
        <f>IF(VLOOKUP(Table7[[#This Row],[Date]],Database!$A:$C,MATCH($B$1,Database!$A$1:$C$1,),)=0,#N/A,VLOOKUP(Table7[[#This Row],[Date]],Database!$A:$C,MATCH($B$1,Database!$A$1:$C$1,),))</f>
        <v/>
      </c>
      <c r="C11384">
        <f>IF(VLOOKUP(Table7[[#This Row],[Date]],Database!$A:$C,MATCH($C$1,Database!$A$1:$C$1,),)=0,#N/A,VLOOKUP(Table7[[#This Row],[Date]],Database!$A:$C,MATCH($C$1,Database!$A$1:$C$1,),))</f>
        <v/>
      </c>
      <c r="D11384">
        <f>IFERROR(Table7[[#This Row],[United States 10y]]-Table7[[#This Row],[United States 3y]],#N/A)</f>
        <v/>
      </c>
    </row>
    <row r="11385">
      <c r="A11385" s="6">
        <f>Database!$A13470</f>
        <v/>
      </c>
      <c r="B11385">
        <f>IF(VLOOKUP(Table7[[#This Row],[Date]],Database!$A:$C,MATCH($B$1,Database!$A$1:$C$1,),)=0,#N/A,VLOOKUP(Table7[[#This Row],[Date]],Database!$A:$C,MATCH($B$1,Database!$A$1:$C$1,),))</f>
        <v/>
      </c>
      <c r="C11385">
        <f>IF(VLOOKUP(Table7[[#This Row],[Date]],Database!$A:$C,MATCH($C$1,Database!$A$1:$C$1,),)=0,#N/A,VLOOKUP(Table7[[#This Row],[Date]],Database!$A:$C,MATCH($C$1,Database!$A$1:$C$1,),))</f>
        <v/>
      </c>
      <c r="D11385">
        <f>IFERROR(Table7[[#This Row],[United States 10y]]-Table7[[#This Row],[United States 3y]],#N/A)</f>
        <v/>
      </c>
    </row>
    <row r="11386">
      <c r="A11386" s="6">
        <f>Database!$A13471</f>
        <v/>
      </c>
      <c r="B11386">
        <f>IF(VLOOKUP(Table7[[#This Row],[Date]],Database!$A:$C,MATCH($B$1,Database!$A$1:$C$1,),)=0,#N/A,VLOOKUP(Table7[[#This Row],[Date]],Database!$A:$C,MATCH($B$1,Database!$A$1:$C$1,),))</f>
        <v/>
      </c>
      <c r="C11386">
        <f>IF(VLOOKUP(Table7[[#This Row],[Date]],Database!$A:$C,MATCH($C$1,Database!$A$1:$C$1,),)=0,#N/A,VLOOKUP(Table7[[#This Row],[Date]],Database!$A:$C,MATCH($C$1,Database!$A$1:$C$1,),))</f>
        <v/>
      </c>
      <c r="D11386">
        <f>IFERROR(Table7[[#This Row],[United States 10y]]-Table7[[#This Row],[United States 3y]],#N/A)</f>
        <v/>
      </c>
    </row>
    <row r="11387">
      <c r="A11387" s="6">
        <f>Database!$A13472</f>
        <v/>
      </c>
      <c r="B11387">
        <f>IF(VLOOKUP(Table7[[#This Row],[Date]],Database!$A:$C,MATCH($B$1,Database!$A$1:$C$1,),)=0,#N/A,VLOOKUP(Table7[[#This Row],[Date]],Database!$A:$C,MATCH($B$1,Database!$A$1:$C$1,),))</f>
        <v/>
      </c>
      <c r="C11387">
        <f>IF(VLOOKUP(Table7[[#This Row],[Date]],Database!$A:$C,MATCH($C$1,Database!$A$1:$C$1,),)=0,#N/A,VLOOKUP(Table7[[#This Row],[Date]],Database!$A:$C,MATCH($C$1,Database!$A$1:$C$1,),))</f>
        <v/>
      </c>
      <c r="D11387">
        <f>IFERROR(Table7[[#This Row],[United States 10y]]-Table7[[#This Row],[United States 3y]],#N/A)</f>
        <v/>
      </c>
    </row>
    <row r="11388">
      <c r="A11388" s="6">
        <f>Database!$A13473</f>
        <v/>
      </c>
      <c r="B11388">
        <f>IF(VLOOKUP(Table7[[#This Row],[Date]],Database!$A:$C,MATCH($B$1,Database!$A$1:$C$1,),)=0,#N/A,VLOOKUP(Table7[[#This Row],[Date]],Database!$A:$C,MATCH($B$1,Database!$A$1:$C$1,),))</f>
        <v/>
      </c>
      <c r="C11388">
        <f>IF(VLOOKUP(Table7[[#This Row],[Date]],Database!$A:$C,MATCH($C$1,Database!$A$1:$C$1,),)=0,#N/A,VLOOKUP(Table7[[#This Row],[Date]],Database!$A:$C,MATCH($C$1,Database!$A$1:$C$1,),))</f>
        <v/>
      </c>
      <c r="D11388">
        <f>IFERROR(Table7[[#This Row],[United States 10y]]-Table7[[#This Row],[United States 3y]],#N/A)</f>
        <v/>
      </c>
    </row>
    <row r="11389">
      <c r="A11389" s="6">
        <f>Database!$A13474</f>
        <v/>
      </c>
      <c r="B11389">
        <f>IF(VLOOKUP(Table7[[#This Row],[Date]],Database!$A:$C,MATCH($B$1,Database!$A$1:$C$1,),)=0,#N/A,VLOOKUP(Table7[[#This Row],[Date]],Database!$A:$C,MATCH($B$1,Database!$A$1:$C$1,),))</f>
        <v/>
      </c>
      <c r="C11389">
        <f>IF(VLOOKUP(Table7[[#This Row],[Date]],Database!$A:$C,MATCH($C$1,Database!$A$1:$C$1,),)=0,#N/A,VLOOKUP(Table7[[#This Row],[Date]],Database!$A:$C,MATCH($C$1,Database!$A$1:$C$1,),))</f>
        <v/>
      </c>
      <c r="D11389">
        <f>IFERROR(Table7[[#This Row],[United States 10y]]-Table7[[#This Row],[United States 3y]],#N/A)</f>
        <v/>
      </c>
    </row>
    <row r="11390">
      <c r="A11390" s="6">
        <f>Database!$A13475</f>
        <v/>
      </c>
      <c r="B11390">
        <f>IF(VLOOKUP(Table7[[#This Row],[Date]],Database!$A:$C,MATCH($B$1,Database!$A$1:$C$1,),)=0,#N/A,VLOOKUP(Table7[[#This Row],[Date]],Database!$A:$C,MATCH($B$1,Database!$A$1:$C$1,),))</f>
        <v/>
      </c>
      <c r="C11390">
        <f>IF(VLOOKUP(Table7[[#This Row],[Date]],Database!$A:$C,MATCH($C$1,Database!$A$1:$C$1,),)=0,#N/A,VLOOKUP(Table7[[#This Row],[Date]],Database!$A:$C,MATCH($C$1,Database!$A$1:$C$1,),))</f>
        <v/>
      </c>
      <c r="D11390">
        <f>IFERROR(Table7[[#This Row],[United States 10y]]-Table7[[#This Row],[United States 3y]],#N/A)</f>
        <v/>
      </c>
    </row>
    <row r="11391">
      <c r="A11391" s="6">
        <f>Database!$A13476</f>
        <v/>
      </c>
      <c r="B11391">
        <f>IF(VLOOKUP(Table7[[#This Row],[Date]],Database!$A:$C,MATCH($B$1,Database!$A$1:$C$1,),)=0,#N/A,VLOOKUP(Table7[[#This Row],[Date]],Database!$A:$C,MATCH($B$1,Database!$A$1:$C$1,),))</f>
        <v/>
      </c>
      <c r="C11391">
        <f>IF(VLOOKUP(Table7[[#This Row],[Date]],Database!$A:$C,MATCH($C$1,Database!$A$1:$C$1,),)=0,#N/A,VLOOKUP(Table7[[#This Row],[Date]],Database!$A:$C,MATCH($C$1,Database!$A$1:$C$1,),))</f>
        <v/>
      </c>
      <c r="D11391">
        <f>IFERROR(Table7[[#This Row],[United States 10y]]-Table7[[#This Row],[United States 3y]],#N/A)</f>
        <v/>
      </c>
    </row>
    <row r="11392">
      <c r="A11392" s="6">
        <f>Database!$A13477</f>
        <v/>
      </c>
      <c r="B11392">
        <f>IF(VLOOKUP(Table7[[#This Row],[Date]],Database!$A:$C,MATCH($B$1,Database!$A$1:$C$1,),)=0,#N/A,VLOOKUP(Table7[[#This Row],[Date]],Database!$A:$C,MATCH($B$1,Database!$A$1:$C$1,),))</f>
        <v/>
      </c>
      <c r="C11392">
        <f>IF(VLOOKUP(Table7[[#This Row],[Date]],Database!$A:$C,MATCH($C$1,Database!$A$1:$C$1,),)=0,#N/A,VLOOKUP(Table7[[#This Row],[Date]],Database!$A:$C,MATCH($C$1,Database!$A$1:$C$1,),))</f>
        <v/>
      </c>
      <c r="D11392">
        <f>IFERROR(Table7[[#This Row],[United States 10y]]-Table7[[#This Row],[United States 3y]],#N/A)</f>
        <v/>
      </c>
    </row>
    <row r="11393">
      <c r="A11393" s="6">
        <f>Database!$A13478</f>
        <v/>
      </c>
      <c r="B11393">
        <f>IF(VLOOKUP(Table7[[#This Row],[Date]],Database!$A:$C,MATCH($B$1,Database!$A$1:$C$1,),)=0,#N/A,VLOOKUP(Table7[[#This Row],[Date]],Database!$A:$C,MATCH($B$1,Database!$A$1:$C$1,),))</f>
        <v/>
      </c>
      <c r="C11393">
        <f>IF(VLOOKUP(Table7[[#This Row],[Date]],Database!$A:$C,MATCH($C$1,Database!$A$1:$C$1,),)=0,#N/A,VLOOKUP(Table7[[#This Row],[Date]],Database!$A:$C,MATCH($C$1,Database!$A$1:$C$1,),))</f>
        <v/>
      </c>
      <c r="D11393">
        <f>IFERROR(Table7[[#This Row],[United States 10y]]-Table7[[#This Row],[United States 3y]],#N/A)</f>
        <v/>
      </c>
    </row>
    <row r="11394">
      <c r="A11394" s="6">
        <f>Database!$A13479</f>
        <v/>
      </c>
      <c r="B11394">
        <f>IF(VLOOKUP(Table7[[#This Row],[Date]],Database!$A:$C,MATCH($B$1,Database!$A$1:$C$1,),)=0,#N/A,VLOOKUP(Table7[[#This Row],[Date]],Database!$A:$C,MATCH($B$1,Database!$A$1:$C$1,),))</f>
        <v/>
      </c>
      <c r="C11394">
        <f>IF(VLOOKUP(Table7[[#This Row],[Date]],Database!$A:$C,MATCH($C$1,Database!$A$1:$C$1,),)=0,#N/A,VLOOKUP(Table7[[#This Row],[Date]],Database!$A:$C,MATCH($C$1,Database!$A$1:$C$1,),))</f>
        <v/>
      </c>
      <c r="D11394">
        <f>IFERROR(Table7[[#This Row],[United States 10y]]-Table7[[#This Row],[United States 3y]],#N/A)</f>
        <v/>
      </c>
    </row>
    <row r="11395">
      <c r="A11395" s="6">
        <f>Database!$A13480</f>
        <v/>
      </c>
      <c r="B11395">
        <f>IF(VLOOKUP(Table7[[#This Row],[Date]],Database!$A:$C,MATCH($B$1,Database!$A$1:$C$1,),)=0,#N/A,VLOOKUP(Table7[[#This Row],[Date]],Database!$A:$C,MATCH($B$1,Database!$A$1:$C$1,),))</f>
        <v/>
      </c>
      <c r="C11395">
        <f>IF(VLOOKUP(Table7[[#This Row],[Date]],Database!$A:$C,MATCH($C$1,Database!$A$1:$C$1,),)=0,#N/A,VLOOKUP(Table7[[#This Row],[Date]],Database!$A:$C,MATCH($C$1,Database!$A$1:$C$1,),))</f>
        <v/>
      </c>
      <c r="D11395">
        <f>IFERROR(Table7[[#This Row],[United States 10y]]-Table7[[#This Row],[United States 3y]],#N/A)</f>
        <v/>
      </c>
    </row>
    <row r="11396">
      <c r="A11396" s="6">
        <f>Database!$A13481</f>
        <v/>
      </c>
      <c r="B11396">
        <f>IF(VLOOKUP(Table7[[#This Row],[Date]],Database!$A:$C,MATCH($B$1,Database!$A$1:$C$1,),)=0,#N/A,VLOOKUP(Table7[[#This Row],[Date]],Database!$A:$C,MATCH($B$1,Database!$A$1:$C$1,),))</f>
        <v/>
      </c>
      <c r="C11396">
        <f>IF(VLOOKUP(Table7[[#This Row],[Date]],Database!$A:$C,MATCH($C$1,Database!$A$1:$C$1,),)=0,#N/A,VLOOKUP(Table7[[#This Row],[Date]],Database!$A:$C,MATCH($C$1,Database!$A$1:$C$1,),))</f>
        <v/>
      </c>
      <c r="D11396">
        <f>IFERROR(Table7[[#This Row],[United States 10y]]-Table7[[#This Row],[United States 3y]],#N/A)</f>
        <v/>
      </c>
    </row>
    <row r="11397">
      <c r="A11397" s="6">
        <f>Database!$A13482</f>
        <v/>
      </c>
      <c r="B11397">
        <f>IF(VLOOKUP(Table7[[#This Row],[Date]],Database!$A:$C,MATCH($B$1,Database!$A$1:$C$1,),)=0,#N/A,VLOOKUP(Table7[[#This Row],[Date]],Database!$A:$C,MATCH($B$1,Database!$A$1:$C$1,),))</f>
        <v/>
      </c>
      <c r="C11397">
        <f>IF(VLOOKUP(Table7[[#This Row],[Date]],Database!$A:$C,MATCH($C$1,Database!$A$1:$C$1,),)=0,#N/A,VLOOKUP(Table7[[#This Row],[Date]],Database!$A:$C,MATCH($C$1,Database!$A$1:$C$1,),))</f>
        <v/>
      </c>
      <c r="D11397">
        <f>IFERROR(Table7[[#This Row],[United States 10y]]-Table7[[#This Row],[United States 3y]],#N/A)</f>
        <v/>
      </c>
    </row>
    <row r="11398">
      <c r="A11398" s="6">
        <f>Database!$A13483</f>
        <v/>
      </c>
      <c r="B11398">
        <f>IF(VLOOKUP(Table7[[#This Row],[Date]],Database!$A:$C,MATCH($B$1,Database!$A$1:$C$1,),)=0,#N/A,VLOOKUP(Table7[[#This Row],[Date]],Database!$A:$C,MATCH($B$1,Database!$A$1:$C$1,),))</f>
        <v/>
      </c>
      <c r="C11398">
        <f>IF(VLOOKUP(Table7[[#This Row],[Date]],Database!$A:$C,MATCH($C$1,Database!$A$1:$C$1,),)=0,#N/A,VLOOKUP(Table7[[#This Row],[Date]],Database!$A:$C,MATCH($C$1,Database!$A$1:$C$1,),))</f>
        <v/>
      </c>
      <c r="D11398">
        <f>IFERROR(Table7[[#This Row],[United States 10y]]-Table7[[#This Row],[United States 3y]],#N/A)</f>
        <v/>
      </c>
    </row>
    <row r="11399">
      <c r="A11399" s="6">
        <f>Database!$A13484</f>
        <v/>
      </c>
      <c r="B11399">
        <f>IF(VLOOKUP(Table7[[#This Row],[Date]],Database!$A:$C,MATCH($B$1,Database!$A$1:$C$1,),)=0,#N/A,VLOOKUP(Table7[[#This Row],[Date]],Database!$A:$C,MATCH($B$1,Database!$A$1:$C$1,),))</f>
        <v/>
      </c>
      <c r="C11399">
        <f>IF(VLOOKUP(Table7[[#This Row],[Date]],Database!$A:$C,MATCH($C$1,Database!$A$1:$C$1,),)=0,#N/A,VLOOKUP(Table7[[#This Row],[Date]],Database!$A:$C,MATCH($C$1,Database!$A$1:$C$1,),))</f>
        <v/>
      </c>
      <c r="D11399">
        <f>IFERROR(Table7[[#This Row],[United States 10y]]-Table7[[#This Row],[United States 3y]],#N/A)</f>
        <v/>
      </c>
    </row>
    <row r="11400">
      <c r="A11400" s="6">
        <f>Database!$A13485</f>
        <v/>
      </c>
      <c r="B11400">
        <f>IF(VLOOKUP(Table7[[#This Row],[Date]],Database!$A:$C,MATCH($B$1,Database!$A$1:$C$1,),)=0,#N/A,VLOOKUP(Table7[[#This Row],[Date]],Database!$A:$C,MATCH($B$1,Database!$A$1:$C$1,),))</f>
        <v/>
      </c>
      <c r="C11400">
        <f>IF(VLOOKUP(Table7[[#This Row],[Date]],Database!$A:$C,MATCH($C$1,Database!$A$1:$C$1,),)=0,#N/A,VLOOKUP(Table7[[#This Row],[Date]],Database!$A:$C,MATCH($C$1,Database!$A$1:$C$1,),))</f>
        <v/>
      </c>
      <c r="D11400">
        <f>IFERROR(Table7[[#This Row],[United States 10y]]-Table7[[#This Row],[United States 3y]],#N/A)</f>
        <v/>
      </c>
    </row>
    <row r="11401">
      <c r="A11401" s="6">
        <f>Database!$A13486</f>
        <v/>
      </c>
      <c r="B11401">
        <f>IF(VLOOKUP(Table7[[#This Row],[Date]],Database!$A:$C,MATCH($B$1,Database!$A$1:$C$1,),)=0,#N/A,VLOOKUP(Table7[[#This Row],[Date]],Database!$A:$C,MATCH($B$1,Database!$A$1:$C$1,),))</f>
        <v/>
      </c>
      <c r="C11401">
        <f>IF(VLOOKUP(Table7[[#This Row],[Date]],Database!$A:$C,MATCH($C$1,Database!$A$1:$C$1,),)=0,#N/A,VLOOKUP(Table7[[#This Row],[Date]],Database!$A:$C,MATCH($C$1,Database!$A$1:$C$1,),))</f>
        <v/>
      </c>
      <c r="D11401">
        <f>IFERROR(Table7[[#This Row],[United States 10y]]-Table7[[#This Row],[United States 3y]],#N/A)</f>
        <v/>
      </c>
    </row>
    <row r="11402">
      <c r="A11402" s="6">
        <f>Database!$A13487</f>
        <v/>
      </c>
      <c r="B11402">
        <f>IF(VLOOKUP(Table7[[#This Row],[Date]],Database!$A:$C,MATCH($B$1,Database!$A$1:$C$1,),)=0,#N/A,VLOOKUP(Table7[[#This Row],[Date]],Database!$A:$C,MATCH($B$1,Database!$A$1:$C$1,),))</f>
        <v/>
      </c>
      <c r="C11402">
        <f>IF(VLOOKUP(Table7[[#This Row],[Date]],Database!$A:$C,MATCH($C$1,Database!$A$1:$C$1,),)=0,#N/A,VLOOKUP(Table7[[#This Row],[Date]],Database!$A:$C,MATCH($C$1,Database!$A$1:$C$1,),))</f>
        <v/>
      </c>
      <c r="D11402">
        <f>IFERROR(Table7[[#This Row],[United States 10y]]-Table7[[#This Row],[United States 3y]],#N/A)</f>
        <v/>
      </c>
    </row>
    <row r="11403">
      <c r="A11403" s="6">
        <f>Database!$A13488</f>
        <v/>
      </c>
      <c r="B11403">
        <f>IF(VLOOKUP(Table7[[#This Row],[Date]],Database!$A:$C,MATCH($B$1,Database!$A$1:$C$1,),)=0,#N/A,VLOOKUP(Table7[[#This Row],[Date]],Database!$A:$C,MATCH($B$1,Database!$A$1:$C$1,),))</f>
        <v/>
      </c>
      <c r="C11403">
        <f>IF(VLOOKUP(Table7[[#This Row],[Date]],Database!$A:$C,MATCH($C$1,Database!$A$1:$C$1,),)=0,#N/A,VLOOKUP(Table7[[#This Row],[Date]],Database!$A:$C,MATCH($C$1,Database!$A$1:$C$1,),))</f>
        <v/>
      </c>
      <c r="D11403">
        <f>IFERROR(Table7[[#This Row],[United States 10y]]-Table7[[#This Row],[United States 3y]],#N/A)</f>
        <v/>
      </c>
    </row>
    <row r="11404">
      <c r="A11404" s="6">
        <f>Database!$A13489</f>
        <v/>
      </c>
      <c r="B11404">
        <f>IF(VLOOKUP(Table7[[#This Row],[Date]],Database!$A:$C,MATCH($B$1,Database!$A$1:$C$1,),)=0,#N/A,VLOOKUP(Table7[[#This Row],[Date]],Database!$A:$C,MATCH($B$1,Database!$A$1:$C$1,),))</f>
        <v/>
      </c>
      <c r="C11404">
        <f>IF(VLOOKUP(Table7[[#This Row],[Date]],Database!$A:$C,MATCH($C$1,Database!$A$1:$C$1,),)=0,#N/A,VLOOKUP(Table7[[#This Row],[Date]],Database!$A:$C,MATCH($C$1,Database!$A$1:$C$1,),))</f>
        <v/>
      </c>
      <c r="D11404">
        <f>IFERROR(Table7[[#This Row],[United States 10y]]-Table7[[#This Row],[United States 3y]],#N/A)</f>
        <v/>
      </c>
    </row>
    <row r="11405">
      <c r="A11405" s="6">
        <f>Database!$A13490</f>
        <v/>
      </c>
      <c r="B11405">
        <f>IF(VLOOKUP(Table7[[#This Row],[Date]],Database!$A:$C,MATCH($B$1,Database!$A$1:$C$1,),)=0,#N/A,VLOOKUP(Table7[[#This Row],[Date]],Database!$A:$C,MATCH($B$1,Database!$A$1:$C$1,),))</f>
        <v/>
      </c>
      <c r="C11405">
        <f>IF(VLOOKUP(Table7[[#This Row],[Date]],Database!$A:$C,MATCH($C$1,Database!$A$1:$C$1,),)=0,#N/A,VLOOKUP(Table7[[#This Row],[Date]],Database!$A:$C,MATCH($C$1,Database!$A$1:$C$1,),))</f>
        <v/>
      </c>
      <c r="D11405">
        <f>IFERROR(Table7[[#This Row],[United States 10y]]-Table7[[#This Row],[United States 3y]],#N/A)</f>
        <v/>
      </c>
    </row>
    <row r="11406">
      <c r="A11406" s="6">
        <f>Database!$A13491</f>
        <v/>
      </c>
      <c r="B11406">
        <f>IF(VLOOKUP(Table7[[#This Row],[Date]],Database!$A:$C,MATCH($B$1,Database!$A$1:$C$1,),)=0,#N/A,VLOOKUP(Table7[[#This Row],[Date]],Database!$A:$C,MATCH($B$1,Database!$A$1:$C$1,),))</f>
        <v/>
      </c>
      <c r="C11406">
        <f>IF(VLOOKUP(Table7[[#This Row],[Date]],Database!$A:$C,MATCH($C$1,Database!$A$1:$C$1,),)=0,#N/A,VLOOKUP(Table7[[#This Row],[Date]],Database!$A:$C,MATCH($C$1,Database!$A$1:$C$1,),))</f>
        <v/>
      </c>
      <c r="D11406">
        <f>IFERROR(Table7[[#This Row],[United States 10y]]-Table7[[#This Row],[United States 3y]],#N/A)</f>
        <v/>
      </c>
    </row>
    <row r="11407">
      <c r="A11407" s="6">
        <f>Database!$A13492</f>
        <v/>
      </c>
      <c r="B11407">
        <f>IF(VLOOKUP(Table7[[#This Row],[Date]],Database!$A:$C,MATCH($B$1,Database!$A$1:$C$1,),)=0,#N/A,VLOOKUP(Table7[[#This Row],[Date]],Database!$A:$C,MATCH($B$1,Database!$A$1:$C$1,),))</f>
        <v/>
      </c>
      <c r="C11407">
        <f>IF(VLOOKUP(Table7[[#This Row],[Date]],Database!$A:$C,MATCH($C$1,Database!$A$1:$C$1,),)=0,#N/A,VLOOKUP(Table7[[#This Row],[Date]],Database!$A:$C,MATCH($C$1,Database!$A$1:$C$1,),))</f>
        <v/>
      </c>
      <c r="D11407">
        <f>IFERROR(Table7[[#This Row],[United States 10y]]-Table7[[#This Row],[United States 3y]],#N/A)</f>
        <v/>
      </c>
    </row>
    <row r="11408">
      <c r="A11408" s="6">
        <f>Database!$A13493</f>
        <v/>
      </c>
      <c r="B11408">
        <f>IF(VLOOKUP(Table7[[#This Row],[Date]],Database!$A:$C,MATCH($B$1,Database!$A$1:$C$1,),)=0,#N/A,VLOOKUP(Table7[[#This Row],[Date]],Database!$A:$C,MATCH($B$1,Database!$A$1:$C$1,),))</f>
        <v/>
      </c>
      <c r="C11408">
        <f>IF(VLOOKUP(Table7[[#This Row],[Date]],Database!$A:$C,MATCH($C$1,Database!$A$1:$C$1,),)=0,#N/A,VLOOKUP(Table7[[#This Row],[Date]],Database!$A:$C,MATCH($C$1,Database!$A$1:$C$1,),))</f>
        <v/>
      </c>
      <c r="D11408">
        <f>IFERROR(Table7[[#This Row],[United States 10y]]-Table7[[#This Row],[United States 3y]],#N/A)</f>
        <v/>
      </c>
    </row>
    <row r="11409">
      <c r="A11409" s="6">
        <f>Database!$A13494</f>
        <v/>
      </c>
      <c r="B11409">
        <f>IF(VLOOKUP(Table7[[#This Row],[Date]],Database!$A:$C,MATCH($B$1,Database!$A$1:$C$1,),)=0,#N/A,VLOOKUP(Table7[[#This Row],[Date]],Database!$A:$C,MATCH($B$1,Database!$A$1:$C$1,),))</f>
        <v/>
      </c>
      <c r="C11409">
        <f>IF(VLOOKUP(Table7[[#This Row],[Date]],Database!$A:$C,MATCH($C$1,Database!$A$1:$C$1,),)=0,#N/A,VLOOKUP(Table7[[#This Row],[Date]],Database!$A:$C,MATCH($C$1,Database!$A$1:$C$1,),))</f>
        <v/>
      </c>
      <c r="D11409">
        <f>IFERROR(Table7[[#This Row],[United States 10y]]-Table7[[#This Row],[United States 3y]],#N/A)</f>
        <v/>
      </c>
    </row>
    <row r="11410">
      <c r="A11410" s="6">
        <f>Database!$A13495</f>
        <v/>
      </c>
      <c r="B11410">
        <f>IF(VLOOKUP(Table7[[#This Row],[Date]],Database!$A:$C,MATCH($B$1,Database!$A$1:$C$1,),)=0,#N/A,VLOOKUP(Table7[[#This Row],[Date]],Database!$A:$C,MATCH($B$1,Database!$A$1:$C$1,),))</f>
        <v/>
      </c>
      <c r="C11410">
        <f>IF(VLOOKUP(Table7[[#This Row],[Date]],Database!$A:$C,MATCH($C$1,Database!$A$1:$C$1,),)=0,#N/A,VLOOKUP(Table7[[#This Row],[Date]],Database!$A:$C,MATCH($C$1,Database!$A$1:$C$1,),))</f>
        <v/>
      </c>
      <c r="D11410">
        <f>IFERROR(Table7[[#This Row],[United States 10y]]-Table7[[#This Row],[United States 3y]],#N/A)</f>
        <v/>
      </c>
    </row>
    <row r="11411">
      <c r="A11411" s="6">
        <f>Database!$A13496</f>
        <v/>
      </c>
      <c r="B11411">
        <f>IF(VLOOKUP(Table7[[#This Row],[Date]],Database!$A:$C,MATCH($B$1,Database!$A$1:$C$1,),)=0,#N/A,VLOOKUP(Table7[[#This Row],[Date]],Database!$A:$C,MATCH($B$1,Database!$A$1:$C$1,),))</f>
        <v/>
      </c>
      <c r="C11411">
        <f>IF(VLOOKUP(Table7[[#This Row],[Date]],Database!$A:$C,MATCH($C$1,Database!$A$1:$C$1,),)=0,#N/A,VLOOKUP(Table7[[#This Row],[Date]],Database!$A:$C,MATCH($C$1,Database!$A$1:$C$1,),))</f>
        <v/>
      </c>
      <c r="D11411">
        <f>IFERROR(Table7[[#This Row],[United States 10y]]-Table7[[#This Row],[United States 3y]],#N/A)</f>
        <v/>
      </c>
    </row>
    <row r="11412">
      <c r="A11412" s="6">
        <f>Database!$A13497</f>
        <v/>
      </c>
      <c r="B11412">
        <f>IF(VLOOKUP(Table7[[#This Row],[Date]],Database!$A:$C,MATCH($B$1,Database!$A$1:$C$1,),)=0,#N/A,VLOOKUP(Table7[[#This Row],[Date]],Database!$A:$C,MATCH($B$1,Database!$A$1:$C$1,),))</f>
        <v/>
      </c>
      <c r="C11412">
        <f>IF(VLOOKUP(Table7[[#This Row],[Date]],Database!$A:$C,MATCH($C$1,Database!$A$1:$C$1,),)=0,#N/A,VLOOKUP(Table7[[#This Row],[Date]],Database!$A:$C,MATCH($C$1,Database!$A$1:$C$1,),))</f>
        <v/>
      </c>
      <c r="D11412">
        <f>IFERROR(Table7[[#This Row],[United States 10y]]-Table7[[#This Row],[United States 3y]],#N/A)</f>
        <v/>
      </c>
    </row>
    <row r="11413">
      <c r="A11413" s="6">
        <f>Database!$A13498</f>
        <v/>
      </c>
      <c r="B11413">
        <f>IF(VLOOKUP(Table7[[#This Row],[Date]],Database!$A:$C,MATCH($B$1,Database!$A$1:$C$1,),)=0,#N/A,VLOOKUP(Table7[[#This Row],[Date]],Database!$A:$C,MATCH($B$1,Database!$A$1:$C$1,),))</f>
        <v/>
      </c>
      <c r="C11413">
        <f>IF(VLOOKUP(Table7[[#This Row],[Date]],Database!$A:$C,MATCH($C$1,Database!$A$1:$C$1,),)=0,#N/A,VLOOKUP(Table7[[#This Row],[Date]],Database!$A:$C,MATCH($C$1,Database!$A$1:$C$1,),))</f>
        <v/>
      </c>
      <c r="D11413">
        <f>IFERROR(Table7[[#This Row],[United States 10y]]-Table7[[#This Row],[United States 3y]],#N/A)</f>
        <v/>
      </c>
    </row>
    <row r="11414">
      <c r="A11414" s="6">
        <f>Database!$A13499</f>
        <v/>
      </c>
      <c r="B11414">
        <f>IF(VLOOKUP(Table7[[#This Row],[Date]],Database!$A:$C,MATCH($B$1,Database!$A$1:$C$1,),)=0,#N/A,VLOOKUP(Table7[[#This Row],[Date]],Database!$A:$C,MATCH($B$1,Database!$A$1:$C$1,),))</f>
        <v/>
      </c>
      <c r="C11414">
        <f>IF(VLOOKUP(Table7[[#This Row],[Date]],Database!$A:$C,MATCH($C$1,Database!$A$1:$C$1,),)=0,#N/A,VLOOKUP(Table7[[#This Row],[Date]],Database!$A:$C,MATCH($C$1,Database!$A$1:$C$1,),))</f>
        <v/>
      </c>
      <c r="D11414">
        <f>IFERROR(Table7[[#This Row],[United States 10y]]-Table7[[#This Row],[United States 3y]],#N/A)</f>
        <v/>
      </c>
    </row>
    <row r="11415">
      <c r="A11415" s="6">
        <f>Database!$A13500</f>
        <v/>
      </c>
      <c r="B11415">
        <f>IF(VLOOKUP(Table7[[#This Row],[Date]],Database!$A:$C,MATCH($B$1,Database!$A$1:$C$1,),)=0,#N/A,VLOOKUP(Table7[[#This Row],[Date]],Database!$A:$C,MATCH($B$1,Database!$A$1:$C$1,),))</f>
        <v/>
      </c>
      <c r="C11415">
        <f>IF(VLOOKUP(Table7[[#This Row],[Date]],Database!$A:$C,MATCH($C$1,Database!$A$1:$C$1,),)=0,#N/A,VLOOKUP(Table7[[#This Row],[Date]],Database!$A:$C,MATCH($C$1,Database!$A$1:$C$1,),))</f>
        <v/>
      </c>
      <c r="D11415">
        <f>IFERROR(Table7[[#This Row],[United States 10y]]-Table7[[#This Row],[United States 3y]],#N/A)</f>
        <v/>
      </c>
    </row>
    <row r="11416">
      <c r="A11416" s="6">
        <f>Database!$A13501</f>
        <v/>
      </c>
      <c r="B11416">
        <f>IF(VLOOKUP(Table7[[#This Row],[Date]],Database!$A:$C,MATCH($B$1,Database!$A$1:$C$1,),)=0,#N/A,VLOOKUP(Table7[[#This Row],[Date]],Database!$A:$C,MATCH($B$1,Database!$A$1:$C$1,),))</f>
        <v/>
      </c>
      <c r="C11416">
        <f>IF(VLOOKUP(Table7[[#This Row],[Date]],Database!$A:$C,MATCH($C$1,Database!$A$1:$C$1,),)=0,#N/A,VLOOKUP(Table7[[#This Row],[Date]],Database!$A:$C,MATCH($C$1,Database!$A$1:$C$1,),))</f>
        <v/>
      </c>
      <c r="D11416">
        <f>IFERROR(Table7[[#This Row],[United States 10y]]-Table7[[#This Row],[United States 3y]],#N/A)</f>
        <v/>
      </c>
    </row>
    <row r="11417">
      <c r="A11417" s="6">
        <f>Database!$A13502</f>
        <v/>
      </c>
      <c r="B11417">
        <f>IF(VLOOKUP(Table7[[#This Row],[Date]],Database!$A:$C,MATCH($B$1,Database!$A$1:$C$1,),)=0,#N/A,VLOOKUP(Table7[[#This Row],[Date]],Database!$A:$C,MATCH($B$1,Database!$A$1:$C$1,),))</f>
        <v/>
      </c>
      <c r="C11417">
        <f>IF(VLOOKUP(Table7[[#This Row],[Date]],Database!$A:$C,MATCH($C$1,Database!$A$1:$C$1,),)=0,#N/A,VLOOKUP(Table7[[#This Row],[Date]],Database!$A:$C,MATCH($C$1,Database!$A$1:$C$1,),))</f>
        <v/>
      </c>
      <c r="D11417">
        <f>IFERROR(Table7[[#This Row],[United States 10y]]-Table7[[#This Row],[United States 3y]],#N/A)</f>
        <v/>
      </c>
    </row>
    <row r="11418">
      <c r="A11418" s="6">
        <f>Database!$A13503</f>
        <v/>
      </c>
      <c r="B11418">
        <f>IF(VLOOKUP(Table7[[#This Row],[Date]],Database!$A:$C,MATCH($B$1,Database!$A$1:$C$1,),)=0,#N/A,VLOOKUP(Table7[[#This Row],[Date]],Database!$A:$C,MATCH($B$1,Database!$A$1:$C$1,),))</f>
        <v/>
      </c>
      <c r="C11418">
        <f>IF(VLOOKUP(Table7[[#This Row],[Date]],Database!$A:$C,MATCH($C$1,Database!$A$1:$C$1,),)=0,#N/A,VLOOKUP(Table7[[#This Row],[Date]],Database!$A:$C,MATCH($C$1,Database!$A$1:$C$1,),))</f>
        <v/>
      </c>
      <c r="D11418">
        <f>IFERROR(Table7[[#This Row],[United States 10y]]-Table7[[#This Row],[United States 3y]],#N/A)</f>
        <v/>
      </c>
    </row>
    <row r="11419">
      <c r="A11419" s="6">
        <f>Database!$A13504</f>
        <v/>
      </c>
      <c r="B11419">
        <f>IF(VLOOKUP(Table7[[#This Row],[Date]],Database!$A:$C,MATCH($B$1,Database!$A$1:$C$1,),)=0,#N/A,VLOOKUP(Table7[[#This Row],[Date]],Database!$A:$C,MATCH($B$1,Database!$A$1:$C$1,),))</f>
        <v/>
      </c>
      <c r="C11419">
        <f>IF(VLOOKUP(Table7[[#This Row],[Date]],Database!$A:$C,MATCH($C$1,Database!$A$1:$C$1,),)=0,#N/A,VLOOKUP(Table7[[#This Row],[Date]],Database!$A:$C,MATCH($C$1,Database!$A$1:$C$1,),))</f>
        <v/>
      </c>
      <c r="D11419">
        <f>IFERROR(Table7[[#This Row],[United States 10y]]-Table7[[#This Row],[United States 3y]],#N/A)</f>
        <v/>
      </c>
    </row>
    <row r="11420">
      <c r="A11420" s="6">
        <f>Database!$A13505</f>
        <v/>
      </c>
      <c r="B11420">
        <f>IF(VLOOKUP(Table7[[#This Row],[Date]],Database!$A:$C,MATCH($B$1,Database!$A$1:$C$1,),)=0,#N/A,VLOOKUP(Table7[[#This Row],[Date]],Database!$A:$C,MATCH($B$1,Database!$A$1:$C$1,),))</f>
        <v/>
      </c>
      <c r="C11420">
        <f>IF(VLOOKUP(Table7[[#This Row],[Date]],Database!$A:$C,MATCH($C$1,Database!$A$1:$C$1,),)=0,#N/A,VLOOKUP(Table7[[#This Row],[Date]],Database!$A:$C,MATCH($C$1,Database!$A$1:$C$1,),))</f>
        <v/>
      </c>
      <c r="D11420">
        <f>IFERROR(Table7[[#This Row],[United States 10y]]-Table7[[#This Row],[United States 3y]],#N/A)</f>
        <v/>
      </c>
    </row>
    <row r="11421">
      <c r="A11421" s="6">
        <f>Database!$A13506</f>
        <v/>
      </c>
      <c r="B11421">
        <f>IF(VLOOKUP(Table7[[#This Row],[Date]],Database!$A:$C,MATCH($B$1,Database!$A$1:$C$1,),)=0,#N/A,VLOOKUP(Table7[[#This Row],[Date]],Database!$A:$C,MATCH($B$1,Database!$A$1:$C$1,),))</f>
        <v/>
      </c>
      <c r="C11421">
        <f>IF(VLOOKUP(Table7[[#This Row],[Date]],Database!$A:$C,MATCH($C$1,Database!$A$1:$C$1,),)=0,#N/A,VLOOKUP(Table7[[#This Row],[Date]],Database!$A:$C,MATCH($C$1,Database!$A$1:$C$1,),))</f>
        <v/>
      </c>
      <c r="D11421">
        <f>IFERROR(Table7[[#This Row],[United States 10y]]-Table7[[#This Row],[United States 3y]],#N/A)</f>
        <v/>
      </c>
    </row>
    <row r="11422">
      <c r="A11422" s="6">
        <f>Database!$A13507</f>
        <v/>
      </c>
      <c r="B11422">
        <f>IF(VLOOKUP(Table7[[#This Row],[Date]],Database!$A:$C,MATCH($B$1,Database!$A$1:$C$1,),)=0,#N/A,VLOOKUP(Table7[[#This Row],[Date]],Database!$A:$C,MATCH($B$1,Database!$A$1:$C$1,),))</f>
        <v/>
      </c>
      <c r="C11422">
        <f>IF(VLOOKUP(Table7[[#This Row],[Date]],Database!$A:$C,MATCH($C$1,Database!$A$1:$C$1,),)=0,#N/A,VLOOKUP(Table7[[#This Row],[Date]],Database!$A:$C,MATCH($C$1,Database!$A$1:$C$1,),))</f>
        <v/>
      </c>
      <c r="D11422">
        <f>IFERROR(Table7[[#This Row],[United States 10y]]-Table7[[#This Row],[United States 3y]],#N/A)</f>
        <v/>
      </c>
    </row>
    <row r="11423">
      <c r="A11423" s="6">
        <f>Database!$A13508</f>
        <v/>
      </c>
      <c r="B11423">
        <f>IF(VLOOKUP(Table7[[#This Row],[Date]],Database!$A:$C,MATCH($B$1,Database!$A$1:$C$1,),)=0,#N/A,VLOOKUP(Table7[[#This Row],[Date]],Database!$A:$C,MATCH($B$1,Database!$A$1:$C$1,),))</f>
        <v/>
      </c>
      <c r="C11423">
        <f>IF(VLOOKUP(Table7[[#This Row],[Date]],Database!$A:$C,MATCH($C$1,Database!$A$1:$C$1,),)=0,#N/A,VLOOKUP(Table7[[#This Row],[Date]],Database!$A:$C,MATCH($C$1,Database!$A$1:$C$1,),))</f>
        <v/>
      </c>
      <c r="D11423">
        <f>IFERROR(Table7[[#This Row],[United States 10y]]-Table7[[#This Row],[United States 3y]],#N/A)</f>
        <v/>
      </c>
    </row>
    <row r="11424">
      <c r="A11424" s="6">
        <f>Database!$A13509</f>
        <v/>
      </c>
      <c r="B11424">
        <f>IF(VLOOKUP(Table7[[#This Row],[Date]],Database!$A:$C,MATCH($B$1,Database!$A$1:$C$1,),)=0,#N/A,VLOOKUP(Table7[[#This Row],[Date]],Database!$A:$C,MATCH($B$1,Database!$A$1:$C$1,),))</f>
        <v/>
      </c>
      <c r="C11424">
        <f>IF(VLOOKUP(Table7[[#This Row],[Date]],Database!$A:$C,MATCH($C$1,Database!$A$1:$C$1,),)=0,#N/A,VLOOKUP(Table7[[#This Row],[Date]],Database!$A:$C,MATCH($C$1,Database!$A$1:$C$1,),))</f>
        <v/>
      </c>
      <c r="D11424">
        <f>IFERROR(Table7[[#This Row],[United States 10y]]-Table7[[#This Row],[United States 3y]],#N/A)</f>
        <v/>
      </c>
    </row>
    <row r="11425">
      <c r="A11425" s="6">
        <f>Database!$A13510</f>
        <v/>
      </c>
      <c r="B11425">
        <f>IF(VLOOKUP(Table7[[#This Row],[Date]],Database!$A:$C,MATCH($B$1,Database!$A$1:$C$1,),)=0,#N/A,VLOOKUP(Table7[[#This Row],[Date]],Database!$A:$C,MATCH($B$1,Database!$A$1:$C$1,),))</f>
        <v/>
      </c>
      <c r="C11425">
        <f>IF(VLOOKUP(Table7[[#This Row],[Date]],Database!$A:$C,MATCH($C$1,Database!$A$1:$C$1,),)=0,#N/A,VLOOKUP(Table7[[#This Row],[Date]],Database!$A:$C,MATCH($C$1,Database!$A$1:$C$1,),))</f>
        <v/>
      </c>
      <c r="D11425">
        <f>IFERROR(Table7[[#This Row],[United States 10y]]-Table7[[#This Row],[United States 3y]],#N/A)</f>
        <v/>
      </c>
    </row>
    <row r="11426">
      <c r="A11426" s="6">
        <f>Database!$A13511</f>
        <v/>
      </c>
      <c r="B11426">
        <f>IF(VLOOKUP(Table7[[#This Row],[Date]],Database!$A:$C,MATCH($B$1,Database!$A$1:$C$1,),)=0,#N/A,VLOOKUP(Table7[[#This Row],[Date]],Database!$A:$C,MATCH($B$1,Database!$A$1:$C$1,),))</f>
        <v/>
      </c>
      <c r="C11426">
        <f>IF(VLOOKUP(Table7[[#This Row],[Date]],Database!$A:$C,MATCH($C$1,Database!$A$1:$C$1,),)=0,#N/A,VLOOKUP(Table7[[#This Row],[Date]],Database!$A:$C,MATCH($C$1,Database!$A$1:$C$1,),))</f>
        <v/>
      </c>
      <c r="D11426">
        <f>IFERROR(Table7[[#This Row],[United States 10y]]-Table7[[#This Row],[United States 3y]],#N/A)</f>
        <v/>
      </c>
    </row>
    <row r="11427">
      <c r="A11427" s="6">
        <f>Database!$A13512</f>
        <v/>
      </c>
      <c r="B11427">
        <f>IF(VLOOKUP(Table7[[#This Row],[Date]],Database!$A:$C,MATCH($B$1,Database!$A$1:$C$1,),)=0,#N/A,VLOOKUP(Table7[[#This Row],[Date]],Database!$A:$C,MATCH($B$1,Database!$A$1:$C$1,),))</f>
        <v/>
      </c>
      <c r="C11427">
        <f>IF(VLOOKUP(Table7[[#This Row],[Date]],Database!$A:$C,MATCH($C$1,Database!$A$1:$C$1,),)=0,#N/A,VLOOKUP(Table7[[#This Row],[Date]],Database!$A:$C,MATCH($C$1,Database!$A$1:$C$1,),))</f>
        <v/>
      </c>
      <c r="D11427">
        <f>IFERROR(Table7[[#This Row],[United States 10y]]-Table7[[#This Row],[United States 3y]],#N/A)</f>
        <v/>
      </c>
    </row>
    <row r="11428">
      <c r="A11428" s="6">
        <f>Database!$A13513</f>
        <v/>
      </c>
      <c r="B11428">
        <f>IF(VLOOKUP(Table7[[#This Row],[Date]],Database!$A:$C,MATCH($B$1,Database!$A$1:$C$1,),)=0,#N/A,VLOOKUP(Table7[[#This Row],[Date]],Database!$A:$C,MATCH($B$1,Database!$A$1:$C$1,),))</f>
        <v/>
      </c>
      <c r="C11428">
        <f>IF(VLOOKUP(Table7[[#This Row],[Date]],Database!$A:$C,MATCH($C$1,Database!$A$1:$C$1,),)=0,#N/A,VLOOKUP(Table7[[#This Row],[Date]],Database!$A:$C,MATCH($C$1,Database!$A$1:$C$1,),))</f>
        <v/>
      </c>
      <c r="D11428">
        <f>IFERROR(Table7[[#This Row],[United States 10y]]-Table7[[#This Row],[United States 3y]],#N/A)</f>
        <v/>
      </c>
    </row>
    <row r="11429">
      <c r="A11429" s="6">
        <f>Database!$A13514</f>
        <v/>
      </c>
      <c r="B11429">
        <f>IF(VLOOKUP(Table7[[#This Row],[Date]],Database!$A:$C,MATCH($B$1,Database!$A$1:$C$1,),)=0,#N/A,VLOOKUP(Table7[[#This Row],[Date]],Database!$A:$C,MATCH($B$1,Database!$A$1:$C$1,),))</f>
        <v/>
      </c>
      <c r="C11429">
        <f>IF(VLOOKUP(Table7[[#This Row],[Date]],Database!$A:$C,MATCH($C$1,Database!$A$1:$C$1,),)=0,#N/A,VLOOKUP(Table7[[#This Row],[Date]],Database!$A:$C,MATCH($C$1,Database!$A$1:$C$1,),))</f>
        <v/>
      </c>
      <c r="D11429">
        <f>IFERROR(Table7[[#This Row],[United States 10y]]-Table7[[#This Row],[United States 3y]],#N/A)</f>
        <v/>
      </c>
    </row>
    <row r="11430">
      <c r="A11430" s="6">
        <f>Database!$A13515</f>
        <v/>
      </c>
      <c r="B11430">
        <f>IF(VLOOKUP(Table7[[#This Row],[Date]],Database!$A:$C,MATCH($B$1,Database!$A$1:$C$1,),)=0,#N/A,VLOOKUP(Table7[[#This Row],[Date]],Database!$A:$C,MATCH($B$1,Database!$A$1:$C$1,),))</f>
        <v/>
      </c>
      <c r="C11430">
        <f>IF(VLOOKUP(Table7[[#This Row],[Date]],Database!$A:$C,MATCH($C$1,Database!$A$1:$C$1,),)=0,#N/A,VLOOKUP(Table7[[#This Row],[Date]],Database!$A:$C,MATCH($C$1,Database!$A$1:$C$1,),))</f>
        <v/>
      </c>
      <c r="D11430">
        <f>IFERROR(Table7[[#This Row],[United States 10y]]-Table7[[#This Row],[United States 3y]],#N/A)</f>
        <v/>
      </c>
    </row>
    <row r="11431">
      <c r="A11431" s="6">
        <f>Database!$A13516</f>
        <v/>
      </c>
      <c r="B11431">
        <f>IF(VLOOKUP(Table7[[#This Row],[Date]],Database!$A:$C,MATCH($B$1,Database!$A$1:$C$1,),)=0,#N/A,VLOOKUP(Table7[[#This Row],[Date]],Database!$A:$C,MATCH($B$1,Database!$A$1:$C$1,),))</f>
        <v/>
      </c>
      <c r="C11431">
        <f>IF(VLOOKUP(Table7[[#This Row],[Date]],Database!$A:$C,MATCH($C$1,Database!$A$1:$C$1,),)=0,#N/A,VLOOKUP(Table7[[#This Row],[Date]],Database!$A:$C,MATCH($C$1,Database!$A$1:$C$1,),))</f>
        <v/>
      </c>
      <c r="D11431">
        <f>IFERROR(Table7[[#This Row],[United States 10y]]-Table7[[#This Row],[United States 3y]],#N/A)</f>
        <v/>
      </c>
    </row>
    <row r="11432">
      <c r="A11432" s="6">
        <f>Database!$A13517</f>
        <v/>
      </c>
      <c r="B11432">
        <f>IF(VLOOKUP(Table7[[#This Row],[Date]],Database!$A:$C,MATCH($B$1,Database!$A$1:$C$1,),)=0,#N/A,VLOOKUP(Table7[[#This Row],[Date]],Database!$A:$C,MATCH($B$1,Database!$A$1:$C$1,),))</f>
        <v/>
      </c>
      <c r="C11432">
        <f>IF(VLOOKUP(Table7[[#This Row],[Date]],Database!$A:$C,MATCH($C$1,Database!$A$1:$C$1,),)=0,#N/A,VLOOKUP(Table7[[#This Row],[Date]],Database!$A:$C,MATCH($C$1,Database!$A$1:$C$1,),))</f>
        <v/>
      </c>
      <c r="D11432">
        <f>IFERROR(Table7[[#This Row],[United States 10y]]-Table7[[#This Row],[United States 3y]],#N/A)</f>
        <v/>
      </c>
    </row>
    <row r="11433">
      <c r="A11433" s="6">
        <f>Database!$A13518</f>
        <v/>
      </c>
      <c r="B11433">
        <f>IF(VLOOKUP(Table7[[#This Row],[Date]],Database!$A:$C,MATCH($B$1,Database!$A$1:$C$1,),)=0,#N/A,VLOOKUP(Table7[[#This Row],[Date]],Database!$A:$C,MATCH($B$1,Database!$A$1:$C$1,),))</f>
        <v/>
      </c>
      <c r="C11433">
        <f>IF(VLOOKUP(Table7[[#This Row],[Date]],Database!$A:$C,MATCH($C$1,Database!$A$1:$C$1,),)=0,#N/A,VLOOKUP(Table7[[#This Row],[Date]],Database!$A:$C,MATCH($C$1,Database!$A$1:$C$1,),))</f>
        <v/>
      </c>
      <c r="D11433">
        <f>IFERROR(Table7[[#This Row],[United States 10y]]-Table7[[#This Row],[United States 3y]],#N/A)</f>
        <v/>
      </c>
    </row>
    <row r="11434">
      <c r="A11434" s="6">
        <f>Database!$A13519</f>
        <v/>
      </c>
      <c r="B11434">
        <f>IF(VLOOKUP(Table7[[#This Row],[Date]],Database!$A:$C,MATCH($B$1,Database!$A$1:$C$1,),)=0,#N/A,VLOOKUP(Table7[[#This Row],[Date]],Database!$A:$C,MATCH($B$1,Database!$A$1:$C$1,),))</f>
        <v/>
      </c>
      <c r="C11434">
        <f>IF(VLOOKUP(Table7[[#This Row],[Date]],Database!$A:$C,MATCH($C$1,Database!$A$1:$C$1,),)=0,#N/A,VLOOKUP(Table7[[#This Row],[Date]],Database!$A:$C,MATCH($C$1,Database!$A$1:$C$1,),))</f>
        <v/>
      </c>
      <c r="D11434">
        <f>IFERROR(Table7[[#This Row],[United States 10y]]-Table7[[#This Row],[United States 3y]],#N/A)</f>
        <v/>
      </c>
    </row>
    <row r="11435">
      <c r="A11435" s="6">
        <f>Database!$A13520</f>
        <v/>
      </c>
      <c r="B11435">
        <f>IF(VLOOKUP(Table7[[#This Row],[Date]],Database!$A:$C,MATCH($B$1,Database!$A$1:$C$1,),)=0,#N/A,VLOOKUP(Table7[[#This Row],[Date]],Database!$A:$C,MATCH($B$1,Database!$A$1:$C$1,),))</f>
        <v/>
      </c>
      <c r="C11435">
        <f>IF(VLOOKUP(Table7[[#This Row],[Date]],Database!$A:$C,MATCH($C$1,Database!$A$1:$C$1,),)=0,#N/A,VLOOKUP(Table7[[#This Row],[Date]],Database!$A:$C,MATCH($C$1,Database!$A$1:$C$1,),))</f>
        <v/>
      </c>
      <c r="D11435">
        <f>IFERROR(Table7[[#This Row],[United States 10y]]-Table7[[#This Row],[United States 3y]],#N/A)</f>
        <v/>
      </c>
    </row>
    <row r="11436">
      <c r="A11436" s="6">
        <f>Database!$A13521</f>
        <v/>
      </c>
      <c r="B11436">
        <f>IF(VLOOKUP(Table7[[#This Row],[Date]],Database!$A:$C,MATCH($B$1,Database!$A$1:$C$1,),)=0,#N/A,VLOOKUP(Table7[[#This Row],[Date]],Database!$A:$C,MATCH($B$1,Database!$A$1:$C$1,),))</f>
        <v/>
      </c>
      <c r="C11436">
        <f>IF(VLOOKUP(Table7[[#This Row],[Date]],Database!$A:$C,MATCH($C$1,Database!$A$1:$C$1,),)=0,#N/A,VLOOKUP(Table7[[#This Row],[Date]],Database!$A:$C,MATCH($C$1,Database!$A$1:$C$1,),))</f>
        <v/>
      </c>
      <c r="D11436">
        <f>IFERROR(Table7[[#This Row],[United States 10y]]-Table7[[#This Row],[United States 3y]],#N/A)</f>
        <v/>
      </c>
    </row>
    <row r="11437">
      <c r="A11437" s="6">
        <f>Database!$A13522</f>
        <v/>
      </c>
      <c r="B11437">
        <f>IF(VLOOKUP(Table7[[#This Row],[Date]],Database!$A:$C,MATCH($B$1,Database!$A$1:$C$1,),)=0,#N/A,VLOOKUP(Table7[[#This Row],[Date]],Database!$A:$C,MATCH($B$1,Database!$A$1:$C$1,),))</f>
        <v/>
      </c>
      <c r="C11437">
        <f>IF(VLOOKUP(Table7[[#This Row],[Date]],Database!$A:$C,MATCH($C$1,Database!$A$1:$C$1,),)=0,#N/A,VLOOKUP(Table7[[#This Row],[Date]],Database!$A:$C,MATCH($C$1,Database!$A$1:$C$1,),))</f>
        <v/>
      </c>
      <c r="D11437">
        <f>IFERROR(Table7[[#This Row],[United States 10y]]-Table7[[#This Row],[United States 3y]],#N/A)</f>
        <v/>
      </c>
    </row>
    <row r="11438">
      <c r="A11438" s="6">
        <f>Database!$A13523</f>
        <v/>
      </c>
      <c r="B11438">
        <f>IF(VLOOKUP(Table7[[#This Row],[Date]],Database!$A:$C,MATCH($B$1,Database!$A$1:$C$1,),)=0,#N/A,VLOOKUP(Table7[[#This Row],[Date]],Database!$A:$C,MATCH($B$1,Database!$A$1:$C$1,),))</f>
        <v/>
      </c>
      <c r="C11438">
        <f>IF(VLOOKUP(Table7[[#This Row],[Date]],Database!$A:$C,MATCH($C$1,Database!$A$1:$C$1,),)=0,#N/A,VLOOKUP(Table7[[#This Row],[Date]],Database!$A:$C,MATCH($C$1,Database!$A$1:$C$1,),))</f>
        <v/>
      </c>
      <c r="D11438">
        <f>IFERROR(Table7[[#This Row],[United States 10y]]-Table7[[#This Row],[United States 3y]],#N/A)</f>
        <v/>
      </c>
    </row>
    <row r="11439">
      <c r="A11439" s="6">
        <f>Database!$A13524</f>
        <v/>
      </c>
      <c r="B11439">
        <f>IF(VLOOKUP(Table7[[#This Row],[Date]],Database!$A:$C,MATCH($B$1,Database!$A$1:$C$1,),)=0,#N/A,VLOOKUP(Table7[[#This Row],[Date]],Database!$A:$C,MATCH($B$1,Database!$A$1:$C$1,),))</f>
        <v/>
      </c>
      <c r="C11439">
        <f>IF(VLOOKUP(Table7[[#This Row],[Date]],Database!$A:$C,MATCH($C$1,Database!$A$1:$C$1,),)=0,#N/A,VLOOKUP(Table7[[#This Row],[Date]],Database!$A:$C,MATCH($C$1,Database!$A$1:$C$1,),))</f>
        <v/>
      </c>
      <c r="D11439">
        <f>IFERROR(Table7[[#This Row],[United States 10y]]-Table7[[#This Row],[United States 3y]],#N/A)</f>
        <v/>
      </c>
    </row>
    <row r="11440">
      <c r="A11440" s="6">
        <f>Database!$A13525</f>
        <v/>
      </c>
      <c r="B11440">
        <f>IF(VLOOKUP(Table7[[#This Row],[Date]],Database!$A:$C,MATCH($B$1,Database!$A$1:$C$1,),)=0,#N/A,VLOOKUP(Table7[[#This Row],[Date]],Database!$A:$C,MATCH($B$1,Database!$A$1:$C$1,),))</f>
        <v/>
      </c>
      <c r="C11440">
        <f>IF(VLOOKUP(Table7[[#This Row],[Date]],Database!$A:$C,MATCH($C$1,Database!$A$1:$C$1,),)=0,#N/A,VLOOKUP(Table7[[#This Row],[Date]],Database!$A:$C,MATCH($C$1,Database!$A$1:$C$1,),))</f>
        <v/>
      </c>
      <c r="D11440">
        <f>IFERROR(Table7[[#This Row],[United States 10y]]-Table7[[#This Row],[United States 3y]],#N/A)</f>
        <v/>
      </c>
    </row>
    <row r="11441">
      <c r="A11441" s="6">
        <f>Database!$A13526</f>
        <v/>
      </c>
      <c r="B11441">
        <f>IF(VLOOKUP(Table7[[#This Row],[Date]],Database!$A:$C,MATCH($B$1,Database!$A$1:$C$1,),)=0,#N/A,VLOOKUP(Table7[[#This Row],[Date]],Database!$A:$C,MATCH($B$1,Database!$A$1:$C$1,),))</f>
        <v/>
      </c>
      <c r="C11441">
        <f>IF(VLOOKUP(Table7[[#This Row],[Date]],Database!$A:$C,MATCH($C$1,Database!$A$1:$C$1,),)=0,#N/A,VLOOKUP(Table7[[#This Row],[Date]],Database!$A:$C,MATCH($C$1,Database!$A$1:$C$1,),))</f>
        <v/>
      </c>
      <c r="D11441">
        <f>IFERROR(Table7[[#This Row],[United States 10y]]-Table7[[#This Row],[United States 3y]],#N/A)</f>
        <v/>
      </c>
    </row>
    <row r="11442">
      <c r="A11442" s="6">
        <f>Database!$A13527</f>
        <v/>
      </c>
      <c r="B11442">
        <f>IF(VLOOKUP(Table7[[#This Row],[Date]],Database!$A:$C,MATCH($B$1,Database!$A$1:$C$1,),)=0,#N/A,VLOOKUP(Table7[[#This Row],[Date]],Database!$A:$C,MATCH($B$1,Database!$A$1:$C$1,),))</f>
        <v/>
      </c>
      <c r="C11442">
        <f>IF(VLOOKUP(Table7[[#This Row],[Date]],Database!$A:$C,MATCH($C$1,Database!$A$1:$C$1,),)=0,#N/A,VLOOKUP(Table7[[#This Row],[Date]],Database!$A:$C,MATCH($C$1,Database!$A$1:$C$1,),))</f>
        <v/>
      </c>
      <c r="D11442">
        <f>IFERROR(Table7[[#This Row],[United States 10y]]-Table7[[#This Row],[United States 3y]],#N/A)</f>
        <v/>
      </c>
    </row>
    <row r="11443">
      <c r="A11443" s="6">
        <f>Database!$A13528</f>
        <v/>
      </c>
      <c r="B11443">
        <f>IF(VLOOKUP(Table7[[#This Row],[Date]],Database!$A:$C,MATCH($B$1,Database!$A$1:$C$1,),)=0,#N/A,VLOOKUP(Table7[[#This Row],[Date]],Database!$A:$C,MATCH($B$1,Database!$A$1:$C$1,),))</f>
        <v/>
      </c>
      <c r="C11443">
        <f>IF(VLOOKUP(Table7[[#This Row],[Date]],Database!$A:$C,MATCH($C$1,Database!$A$1:$C$1,),)=0,#N/A,VLOOKUP(Table7[[#This Row],[Date]],Database!$A:$C,MATCH($C$1,Database!$A$1:$C$1,),))</f>
        <v/>
      </c>
      <c r="D11443">
        <f>IFERROR(Table7[[#This Row],[United States 10y]]-Table7[[#This Row],[United States 3y]],#N/A)</f>
        <v/>
      </c>
    </row>
    <row r="11444">
      <c r="A11444" s="6">
        <f>Database!$A13529</f>
        <v/>
      </c>
      <c r="B11444">
        <f>IF(VLOOKUP(Table7[[#This Row],[Date]],Database!$A:$C,MATCH($B$1,Database!$A$1:$C$1,),)=0,#N/A,VLOOKUP(Table7[[#This Row],[Date]],Database!$A:$C,MATCH($B$1,Database!$A$1:$C$1,),))</f>
        <v/>
      </c>
      <c r="C11444">
        <f>IF(VLOOKUP(Table7[[#This Row],[Date]],Database!$A:$C,MATCH($C$1,Database!$A$1:$C$1,),)=0,#N/A,VLOOKUP(Table7[[#This Row],[Date]],Database!$A:$C,MATCH($C$1,Database!$A$1:$C$1,),))</f>
        <v/>
      </c>
      <c r="D11444">
        <f>IFERROR(Table7[[#This Row],[United States 10y]]-Table7[[#This Row],[United States 3y]],#N/A)</f>
        <v/>
      </c>
    </row>
    <row r="11445">
      <c r="A11445" s="6">
        <f>Database!$A13530</f>
        <v/>
      </c>
      <c r="B11445">
        <f>IF(VLOOKUP(Table7[[#This Row],[Date]],Database!$A:$C,MATCH($B$1,Database!$A$1:$C$1,),)=0,#N/A,VLOOKUP(Table7[[#This Row],[Date]],Database!$A:$C,MATCH($B$1,Database!$A$1:$C$1,),))</f>
        <v/>
      </c>
      <c r="C11445">
        <f>IF(VLOOKUP(Table7[[#This Row],[Date]],Database!$A:$C,MATCH($C$1,Database!$A$1:$C$1,),)=0,#N/A,VLOOKUP(Table7[[#This Row],[Date]],Database!$A:$C,MATCH($C$1,Database!$A$1:$C$1,),))</f>
        <v/>
      </c>
      <c r="D11445">
        <f>IFERROR(Table7[[#This Row],[United States 10y]]-Table7[[#This Row],[United States 3y]],#N/A)</f>
        <v/>
      </c>
    </row>
    <row r="11446">
      <c r="A11446" s="6">
        <f>Database!$A13531</f>
        <v/>
      </c>
      <c r="B11446">
        <f>IF(VLOOKUP(Table7[[#This Row],[Date]],Database!$A:$C,MATCH($B$1,Database!$A$1:$C$1,),)=0,#N/A,VLOOKUP(Table7[[#This Row],[Date]],Database!$A:$C,MATCH($B$1,Database!$A$1:$C$1,),))</f>
        <v/>
      </c>
      <c r="C11446">
        <f>IF(VLOOKUP(Table7[[#This Row],[Date]],Database!$A:$C,MATCH($C$1,Database!$A$1:$C$1,),)=0,#N/A,VLOOKUP(Table7[[#This Row],[Date]],Database!$A:$C,MATCH($C$1,Database!$A$1:$C$1,),))</f>
        <v/>
      </c>
      <c r="D11446">
        <f>IFERROR(Table7[[#This Row],[United States 10y]]-Table7[[#This Row],[United States 3y]],#N/A)</f>
        <v/>
      </c>
    </row>
    <row r="11447">
      <c r="A11447" s="6">
        <f>Database!$A13532</f>
        <v/>
      </c>
      <c r="B11447">
        <f>IF(VLOOKUP(Table7[[#This Row],[Date]],Database!$A:$C,MATCH($B$1,Database!$A$1:$C$1,),)=0,#N/A,VLOOKUP(Table7[[#This Row],[Date]],Database!$A:$C,MATCH($B$1,Database!$A$1:$C$1,),))</f>
        <v/>
      </c>
      <c r="C11447">
        <f>IF(VLOOKUP(Table7[[#This Row],[Date]],Database!$A:$C,MATCH($C$1,Database!$A$1:$C$1,),)=0,#N/A,VLOOKUP(Table7[[#This Row],[Date]],Database!$A:$C,MATCH($C$1,Database!$A$1:$C$1,),))</f>
        <v/>
      </c>
      <c r="D11447">
        <f>IFERROR(Table7[[#This Row],[United States 10y]]-Table7[[#This Row],[United States 3y]],#N/A)</f>
        <v/>
      </c>
    </row>
    <row r="11448">
      <c r="A11448" s="6">
        <f>Database!$A13533</f>
        <v/>
      </c>
      <c r="B11448">
        <f>IF(VLOOKUP(Table7[[#This Row],[Date]],Database!$A:$C,MATCH($B$1,Database!$A$1:$C$1,),)=0,#N/A,VLOOKUP(Table7[[#This Row],[Date]],Database!$A:$C,MATCH($B$1,Database!$A$1:$C$1,),))</f>
        <v/>
      </c>
      <c r="C11448">
        <f>IF(VLOOKUP(Table7[[#This Row],[Date]],Database!$A:$C,MATCH($C$1,Database!$A$1:$C$1,),)=0,#N/A,VLOOKUP(Table7[[#This Row],[Date]],Database!$A:$C,MATCH($C$1,Database!$A$1:$C$1,),))</f>
        <v/>
      </c>
      <c r="D11448">
        <f>IFERROR(Table7[[#This Row],[United States 10y]]-Table7[[#This Row],[United States 3y]],#N/A)</f>
        <v/>
      </c>
    </row>
    <row r="11449">
      <c r="A11449" s="6">
        <f>Database!$A13534</f>
        <v/>
      </c>
      <c r="B11449">
        <f>IF(VLOOKUP(Table7[[#This Row],[Date]],Database!$A:$C,MATCH($B$1,Database!$A$1:$C$1,),)=0,#N/A,VLOOKUP(Table7[[#This Row],[Date]],Database!$A:$C,MATCH($B$1,Database!$A$1:$C$1,),))</f>
        <v/>
      </c>
      <c r="C11449">
        <f>IF(VLOOKUP(Table7[[#This Row],[Date]],Database!$A:$C,MATCH($C$1,Database!$A$1:$C$1,),)=0,#N/A,VLOOKUP(Table7[[#This Row],[Date]],Database!$A:$C,MATCH($C$1,Database!$A$1:$C$1,),))</f>
        <v/>
      </c>
      <c r="D11449">
        <f>IFERROR(Table7[[#This Row],[United States 10y]]-Table7[[#This Row],[United States 3y]],#N/A)</f>
        <v/>
      </c>
    </row>
    <row r="11450">
      <c r="A11450" s="6">
        <f>Database!$A13535</f>
        <v/>
      </c>
      <c r="B11450">
        <f>IF(VLOOKUP(Table7[[#This Row],[Date]],Database!$A:$C,MATCH($B$1,Database!$A$1:$C$1,),)=0,#N/A,VLOOKUP(Table7[[#This Row],[Date]],Database!$A:$C,MATCH($B$1,Database!$A$1:$C$1,),))</f>
        <v/>
      </c>
      <c r="C11450">
        <f>IF(VLOOKUP(Table7[[#This Row],[Date]],Database!$A:$C,MATCH($C$1,Database!$A$1:$C$1,),)=0,#N/A,VLOOKUP(Table7[[#This Row],[Date]],Database!$A:$C,MATCH($C$1,Database!$A$1:$C$1,),))</f>
        <v/>
      </c>
      <c r="D11450">
        <f>IFERROR(Table7[[#This Row],[United States 10y]]-Table7[[#This Row],[United States 3y]],#N/A)</f>
        <v/>
      </c>
    </row>
    <row r="11451">
      <c r="A11451" s="6">
        <f>Database!$A13536</f>
        <v/>
      </c>
      <c r="B11451">
        <f>IF(VLOOKUP(Table7[[#This Row],[Date]],Database!$A:$C,MATCH($B$1,Database!$A$1:$C$1,),)=0,#N/A,VLOOKUP(Table7[[#This Row],[Date]],Database!$A:$C,MATCH($B$1,Database!$A$1:$C$1,),))</f>
        <v/>
      </c>
      <c r="C11451">
        <f>IF(VLOOKUP(Table7[[#This Row],[Date]],Database!$A:$C,MATCH($C$1,Database!$A$1:$C$1,),)=0,#N/A,VLOOKUP(Table7[[#This Row],[Date]],Database!$A:$C,MATCH($C$1,Database!$A$1:$C$1,),))</f>
        <v/>
      </c>
      <c r="D11451">
        <f>IFERROR(Table7[[#This Row],[United States 10y]]-Table7[[#This Row],[United States 3y]],#N/A)</f>
        <v/>
      </c>
    </row>
    <row r="11452">
      <c r="A11452" s="6">
        <f>Database!$A13537</f>
        <v/>
      </c>
      <c r="B11452">
        <f>IF(VLOOKUP(Table7[[#This Row],[Date]],Database!$A:$C,MATCH($B$1,Database!$A$1:$C$1,),)=0,#N/A,VLOOKUP(Table7[[#This Row],[Date]],Database!$A:$C,MATCH($B$1,Database!$A$1:$C$1,),))</f>
        <v/>
      </c>
      <c r="C11452">
        <f>IF(VLOOKUP(Table7[[#This Row],[Date]],Database!$A:$C,MATCH($C$1,Database!$A$1:$C$1,),)=0,#N/A,VLOOKUP(Table7[[#This Row],[Date]],Database!$A:$C,MATCH($C$1,Database!$A$1:$C$1,),))</f>
        <v/>
      </c>
      <c r="D11452">
        <f>IFERROR(Table7[[#This Row],[United States 10y]]-Table7[[#This Row],[United States 3y]],#N/A)</f>
        <v/>
      </c>
    </row>
    <row r="11453">
      <c r="A11453" s="6">
        <f>Database!$A13538</f>
        <v/>
      </c>
      <c r="B11453">
        <f>IF(VLOOKUP(Table7[[#This Row],[Date]],Database!$A:$C,MATCH($B$1,Database!$A$1:$C$1,),)=0,#N/A,VLOOKUP(Table7[[#This Row],[Date]],Database!$A:$C,MATCH($B$1,Database!$A$1:$C$1,),))</f>
        <v/>
      </c>
      <c r="C11453">
        <f>IF(VLOOKUP(Table7[[#This Row],[Date]],Database!$A:$C,MATCH($C$1,Database!$A$1:$C$1,),)=0,#N/A,VLOOKUP(Table7[[#This Row],[Date]],Database!$A:$C,MATCH($C$1,Database!$A$1:$C$1,),))</f>
        <v/>
      </c>
      <c r="D11453">
        <f>IFERROR(Table7[[#This Row],[United States 10y]]-Table7[[#This Row],[United States 3y]],#N/A)</f>
        <v/>
      </c>
    </row>
    <row r="11454">
      <c r="A11454" s="6">
        <f>Database!$A13539</f>
        <v/>
      </c>
      <c r="B11454">
        <f>IF(VLOOKUP(Table7[[#This Row],[Date]],Database!$A:$C,MATCH($B$1,Database!$A$1:$C$1,),)=0,#N/A,VLOOKUP(Table7[[#This Row],[Date]],Database!$A:$C,MATCH($B$1,Database!$A$1:$C$1,),))</f>
        <v/>
      </c>
      <c r="C11454">
        <f>IF(VLOOKUP(Table7[[#This Row],[Date]],Database!$A:$C,MATCH($C$1,Database!$A$1:$C$1,),)=0,#N/A,VLOOKUP(Table7[[#This Row],[Date]],Database!$A:$C,MATCH($C$1,Database!$A$1:$C$1,),))</f>
        <v/>
      </c>
      <c r="D11454">
        <f>IFERROR(Table7[[#This Row],[United States 10y]]-Table7[[#This Row],[United States 3y]],#N/A)</f>
        <v/>
      </c>
    </row>
    <row r="11455">
      <c r="A11455" s="6">
        <f>Database!$A13540</f>
        <v/>
      </c>
      <c r="B11455">
        <f>IF(VLOOKUP(Table7[[#This Row],[Date]],Database!$A:$C,MATCH($B$1,Database!$A$1:$C$1,),)=0,#N/A,VLOOKUP(Table7[[#This Row],[Date]],Database!$A:$C,MATCH($B$1,Database!$A$1:$C$1,),))</f>
        <v/>
      </c>
      <c r="C11455">
        <f>IF(VLOOKUP(Table7[[#This Row],[Date]],Database!$A:$C,MATCH($C$1,Database!$A$1:$C$1,),)=0,#N/A,VLOOKUP(Table7[[#This Row],[Date]],Database!$A:$C,MATCH($C$1,Database!$A$1:$C$1,),))</f>
        <v/>
      </c>
      <c r="D11455">
        <f>IFERROR(Table7[[#This Row],[United States 10y]]-Table7[[#This Row],[United States 3y]],#N/A)</f>
        <v/>
      </c>
    </row>
    <row r="11456">
      <c r="A11456" s="6">
        <f>Database!$A13541</f>
        <v/>
      </c>
      <c r="B11456">
        <f>IF(VLOOKUP(Table7[[#This Row],[Date]],Database!$A:$C,MATCH($B$1,Database!$A$1:$C$1,),)=0,#N/A,VLOOKUP(Table7[[#This Row],[Date]],Database!$A:$C,MATCH($B$1,Database!$A$1:$C$1,),))</f>
        <v/>
      </c>
      <c r="C11456">
        <f>IF(VLOOKUP(Table7[[#This Row],[Date]],Database!$A:$C,MATCH($C$1,Database!$A$1:$C$1,),)=0,#N/A,VLOOKUP(Table7[[#This Row],[Date]],Database!$A:$C,MATCH($C$1,Database!$A$1:$C$1,),))</f>
        <v/>
      </c>
      <c r="D11456">
        <f>IFERROR(Table7[[#This Row],[United States 10y]]-Table7[[#This Row],[United States 3y]],#N/A)</f>
        <v/>
      </c>
    </row>
    <row r="11457">
      <c r="A11457" s="6">
        <f>Database!$A13542</f>
        <v/>
      </c>
      <c r="B11457">
        <f>IF(VLOOKUP(Table7[[#This Row],[Date]],Database!$A:$C,MATCH($B$1,Database!$A$1:$C$1,),)=0,#N/A,VLOOKUP(Table7[[#This Row],[Date]],Database!$A:$C,MATCH($B$1,Database!$A$1:$C$1,),))</f>
        <v/>
      </c>
      <c r="C11457">
        <f>IF(VLOOKUP(Table7[[#This Row],[Date]],Database!$A:$C,MATCH($C$1,Database!$A$1:$C$1,),)=0,#N/A,VLOOKUP(Table7[[#This Row],[Date]],Database!$A:$C,MATCH($C$1,Database!$A$1:$C$1,),))</f>
        <v/>
      </c>
      <c r="D11457">
        <f>IFERROR(Table7[[#This Row],[United States 10y]]-Table7[[#This Row],[United States 3y]],#N/A)</f>
        <v/>
      </c>
    </row>
    <row r="11458">
      <c r="A11458" s="6">
        <f>Database!$A13543</f>
        <v/>
      </c>
      <c r="B11458">
        <f>IF(VLOOKUP(Table7[[#This Row],[Date]],Database!$A:$C,MATCH($B$1,Database!$A$1:$C$1,),)=0,#N/A,VLOOKUP(Table7[[#This Row],[Date]],Database!$A:$C,MATCH($B$1,Database!$A$1:$C$1,),))</f>
        <v/>
      </c>
      <c r="C11458">
        <f>IF(VLOOKUP(Table7[[#This Row],[Date]],Database!$A:$C,MATCH($C$1,Database!$A$1:$C$1,),)=0,#N/A,VLOOKUP(Table7[[#This Row],[Date]],Database!$A:$C,MATCH($C$1,Database!$A$1:$C$1,),))</f>
        <v/>
      </c>
      <c r="D11458">
        <f>IFERROR(Table7[[#This Row],[United States 10y]]-Table7[[#This Row],[United States 3y]],#N/A)</f>
        <v/>
      </c>
    </row>
    <row r="11459">
      <c r="A11459" s="6">
        <f>Database!$A13544</f>
        <v/>
      </c>
      <c r="B11459">
        <f>IF(VLOOKUP(Table7[[#This Row],[Date]],Database!$A:$C,MATCH($B$1,Database!$A$1:$C$1,),)=0,#N/A,VLOOKUP(Table7[[#This Row],[Date]],Database!$A:$C,MATCH($B$1,Database!$A$1:$C$1,),))</f>
        <v/>
      </c>
      <c r="C11459">
        <f>IF(VLOOKUP(Table7[[#This Row],[Date]],Database!$A:$C,MATCH($C$1,Database!$A$1:$C$1,),)=0,#N/A,VLOOKUP(Table7[[#This Row],[Date]],Database!$A:$C,MATCH($C$1,Database!$A$1:$C$1,),))</f>
        <v/>
      </c>
      <c r="D11459">
        <f>IFERROR(Table7[[#This Row],[United States 10y]]-Table7[[#This Row],[United States 3y]],#N/A)</f>
        <v/>
      </c>
    </row>
    <row r="11460">
      <c r="A11460" s="6">
        <f>Database!$A13545</f>
        <v/>
      </c>
      <c r="B11460">
        <f>IF(VLOOKUP(Table7[[#This Row],[Date]],Database!$A:$C,MATCH($B$1,Database!$A$1:$C$1,),)=0,#N/A,VLOOKUP(Table7[[#This Row],[Date]],Database!$A:$C,MATCH($B$1,Database!$A$1:$C$1,),))</f>
        <v/>
      </c>
      <c r="C11460">
        <f>IF(VLOOKUP(Table7[[#This Row],[Date]],Database!$A:$C,MATCH($C$1,Database!$A$1:$C$1,),)=0,#N/A,VLOOKUP(Table7[[#This Row],[Date]],Database!$A:$C,MATCH($C$1,Database!$A$1:$C$1,),))</f>
        <v/>
      </c>
      <c r="D11460">
        <f>IFERROR(Table7[[#This Row],[United States 10y]]-Table7[[#This Row],[United States 3y]],#N/A)</f>
        <v/>
      </c>
    </row>
    <row r="11461">
      <c r="A11461" s="6">
        <f>Database!$A13546</f>
        <v/>
      </c>
      <c r="B11461">
        <f>IF(VLOOKUP(Table7[[#This Row],[Date]],Database!$A:$C,MATCH($B$1,Database!$A$1:$C$1,),)=0,#N/A,VLOOKUP(Table7[[#This Row],[Date]],Database!$A:$C,MATCH($B$1,Database!$A$1:$C$1,),))</f>
        <v/>
      </c>
      <c r="C11461">
        <f>IF(VLOOKUP(Table7[[#This Row],[Date]],Database!$A:$C,MATCH($C$1,Database!$A$1:$C$1,),)=0,#N/A,VLOOKUP(Table7[[#This Row],[Date]],Database!$A:$C,MATCH($C$1,Database!$A$1:$C$1,),))</f>
        <v/>
      </c>
      <c r="D11461">
        <f>IFERROR(Table7[[#This Row],[United States 10y]]-Table7[[#This Row],[United States 3y]],#N/A)</f>
        <v/>
      </c>
    </row>
    <row r="11462">
      <c r="A11462" s="6">
        <f>Database!$A13547</f>
        <v/>
      </c>
      <c r="B11462">
        <f>IF(VLOOKUP(Table7[[#This Row],[Date]],Database!$A:$C,MATCH($B$1,Database!$A$1:$C$1,),)=0,#N/A,VLOOKUP(Table7[[#This Row],[Date]],Database!$A:$C,MATCH($B$1,Database!$A$1:$C$1,),))</f>
        <v/>
      </c>
      <c r="C11462">
        <f>IF(VLOOKUP(Table7[[#This Row],[Date]],Database!$A:$C,MATCH($C$1,Database!$A$1:$C$1,),)=0,#N/A,VLOOKUP(Table7[[#This Row],[Date]],Database!$A:$C,MATCH($C$1,Database!$A$1:$C$1,),))</f>
        <v/>
      </c>
      <c r="D11462">
        <f>IFERROR(Table7[[#This Row],[United States 10y]]-Table7[[#This Row],[United States 3y]],#N/A)</f>
        <v/>
      </c>
    </row>
    <row r="11463">
      <c r="A11463" s="6">
        <f>Database!$A13548</f>
        <v/>
      </c>
      <c r="B11463">
        <f>IF(VLOOKUP(Table7[[#This Row],[Date]],Database!$A:$C,MATCH($B$1,Database!$A$1:$C$1,),)=0,#N/A,VLOOKUP(Table7[[#This Row],[Date]],Database!$A:$C,MATCH($B$1,Database!$A$1:$C$1,),))</f>
        <v/>
      </c>
      <c r="C11463">
        <f>IF(VLOOKUP(Table7[[#This Row],[Date]],Database!$A:$C,MATCH($C$1,Database!$A$1:$C$1,),)=0,#N/A,VLOOKUP(Table7[[#This Row],[Date]],Database!$A:$C,MATCH($C$1,Database!$A$1:$C$1,),))</f>
        <v/>
      </c>
      <c r="D11463">
        <f>IFERROR(Table7[[#This Row],[United States 10y]]-Table7[[#This Row],[United States 3y]],#N/A)</f>
        <v/>
      </c>
    </row>
    <row r="11464">
      <c r="A11464" s="6">
        <f>Database!$A13549</f>
        <v/>
      </c>
      <c r="B11464">
        <f>IF(VLOOKUP(Table7[[#This Row],[Date]],Database!$A:$C,MATCH($B$1,Database!$A$1:$C$1,),)=0,#N/A,VLOOKUP(Table7[[#This Row],[Date]],Database!$A:$C,MATCH($B$1,Database!$A$1:$C$1,),))</f>
        <v/>
      </c>
      <c r="C11464">
        <f>IF(VLOOKUP(Table7[[#This Row],[Date]],Database!$A:$C,MATCH($C$1,Database!$A$1:$C$1,),)=0,#N/A,VLOOKUP(Table7[[#This Row],[Date]],Database!$A:$C,MATCH($C$1,Database!$A$1:$C$1,),))</f>
        <v/>
      </c>
      <c r="D11464">
        <f>IFERROR(Table7[[#This Row],[United States 10y]]-Table7[[#This Row],[United States 3y]],#N/A)</f>
        <v/>
      </c>
    </row>
    <row r="11465">
      <c r="A11465" s="6">
        <f>Database!$A13550</f>
        <v/>
      </c>
      <c r="B11465">
        <f>IF(VLOOKUP(Table7[[#This Row],[Date]],Database!$A:$C,MATCH($B$1,Database!$A$1:$C$1,),)=0,#N/A,VLOOKUP(Table7[[#This Row],[Date]],Database!$A:$C,MATCH($B$1,Database!$A$1:$C$1,),))</f>
        <v/>
      </c>
      <c r="C11465">
        <f>IF(VLOOKUP(Table7[[#This Row],[Date]],Database!$A:$C,MATCH($C$1,Database!$A$1:$C$1,),)=0,#N/A,VLOOKUP(Table7[[#This Row],[Date]],Database!$A:$C,MATCH($C$1,Database!$A$1:$C$1,),))</f>
        <v/>
      </c>
      <c r="D11465">
        <f>IFERROR(Table7[[#This Row],[United States 10y]]-Table7[[#This Row],[United States 3y]],#N/A)</f>
        <v/>
      </c>
    </row>
    <row r="11466">
      <c r="A11466" s="6">
        <f>Database!$A13551</f>
        <v/>
      </c>
      <c r="B11466">
        <f>IF(VLOOKUP(Table7[[#This Row],[Date]],Database!$A:$C,MATCH($B$1,Database!$A$1:$C$1,),)=0,#N/A,VLOOKUP(Table7[[#This Row],[Date]],Database!$A:$C,MATCH($B$1,Database!$A$1:$C$1,),))</f>
        <v/>
      </c>
      <c r="C11466">
        <f>IF(VLOOKUP(Table7[[#This Row],[Date]],Database!$A:$C,MATCH($C$1,Database!$A$1:$C$1,),)=0,#N/A,VLOOKUP(Table7[[#This Row],[Date]],Database!$A:$C,MATCH($C$1,Database!$A$1:$C$1,),))</f>
        <v/>
      </c>
      <c r="D11466">
        <f>IFERROR(Table7[[#This Row],[United States 10y]]-Table7[[#This Row],[United States 3y]],#N/A)</f>
        <v/>
      </c>
    </row>
    <row r="11467">
      <c r="A11467" s="6">
        <f>Database!$A13552</f>
        <v/>
      </c>
      <c r="B11467">
        <f>IF(VLOOKUP(Table7[[#This Row],[Date]],Database!$A:$C,MATCH($B$1,Database!$A$1:$C$1,),)=0,#N/A,VLOOKUP(Table7[[#This Row],[Date]],Database!$A:$C,MATCH($B$1,Database!$A$1:$C$1,),))</f>
        <v/>
      </c>
      <c r="C11467">
        <f>IF(VLOOKUP(Table7[[#This Row],[Date]],Database!$A:$C,MATCH($C$1,Database!$A$1:$C$1,),)=0,#N/A,VLOOKUP(Table7[[#This Row],[Date]],Database!$A:$C,MATCH($C$1,Database!$A$1:$C$1,),))</f>
        <v/>
      </c>
      <c r="D11467">
        <f>IFERROR(Table7[[#This Row],[United States 10y]]-Table7[[#This Row],[United States 3y]],#N/A)</f>
        <v/>
      </c>
    </row>
    <row r="11468">
      <c r="A11468" s="6">
        <f>Database!$A13553</f>
        <v/>
      </c>
      <c r="B11468">
        <f>IF(VLOOKUP(Table7[[#This Row],[Date]],Database!$A:$C,MATCH($B$1,Database!$A$1:$C$1,),)=0,#N/A,VLOOKUP(Table7[[#This Row],[Date]],Database!$A:$C,MATCH($B$1,Database!$A$1:$C$1,),))</f>
        <v/>
      </c>
      <c r="C11468">
        <f>IF(VLOOKUP(Table7[[#This Row],[Date]],Database!$A:$C,MATCH($C$1,Database!$A$1:$C$1,),)=0,#N/A,VLOOKUP(Table7[[#This Row],[Date]],Database!$A:$C,MATCH($C$1,Database!$A$1:$C$1,),))</f>
        <v/>
      </c>
      <c r="D11468">
        <f>IFERROR(Table7[[#This Row],[United States 10y]]-Table7[[#This Row],[United States 3y]],#N/A)</f>
        <v/>
      </c>
    </row>
    <row r="11469">
      <c r="A11469" s="6">
        <f>Database!$A13554</f>
        <v/>
      </c>
      <c r="B11469">
        <f>IF(VLOOKUP(Table7[[#This Row],[Date]],Database!$A:$C,MATCH($B$1,Database!$A$1:$C$1,),)=0,#N/A,VLOOKUP(Table7[[#This Row],[Date]],Database!$A:$C,MATCH($B$1,Database!$A$1:$C$1,),))</f>
        <v/>
      </c>
      <c r="C11469">
        <f>IF(VLOOKUP(Table7[[#This Row],[Date]],Database!$A:$C,MATCH($C$1,Database!$A$1:$C$1,),)=0,#N/A,VLOOKUP(Table7[[#This Row],[Date]],Database!$A:$C,MATCH($C$1,Database!$A$1:$C$1,),))</f>
        <v/>
      </c>
      <c r="D11469">
        <f>IFERROR(Table7[[#This Row],[United States 10y]]-Table7[[#This Row],[United States 3y]],#N/A)</f>
        <v/>
      </c>
    </row>
    <row r="11470">
      <c r="A11470" s="6">
        <f>Database!$A13555</f>
        <v/>
      </c>
      <c r="B11470">
        <f>IF(VLOOKUP(Table7[[#This Row],[Date]],Database!$A:$C,MATCH($B$1,Database!$A$1:$C$1,),)=0,#N/A,VLOOKUP(Table7[[#This Row],[Date]],Database!$A:$C,MATCH($B$1,Database!$A$1:$C$1,),))</f>
        <v/>
      </c>
      <c r="C11470">
        <f>IF(VLOOKUP(Table7[[#This Row],[Date]],Database!$A:$C,MATCH($C$1,Database!$A$1:$C$1,),)=0,#N/A,VLOOKUP(Table7[[#This Row],[Date]],Database!$A:$C,MATCH($C$1,Database!$A$1:$C$1,),))</f>
        <v/>
      </c>
      <c r="D11470">
        <f>IFERROR(Table7[[#This Row],[United States 10y]]-Table7[[#This Row],[United States 3y]],#N/A)</f>
        <v/>
      </c>
    </row>
    <row r="11471">
      <c r="A11471" s="6">
        <f>Database!$A13556</f>
        <v/>
      </c>
      <c r="B11471">
        <f>IF(VLOOKUP(Table7[[#This Row],[Date]],Database!$A:$C,MATCH($B$1,Database!$A$1:$C$1,),)=0,#N/A,VLOOKUP(Table7[[#This Row],[Date]],Database!$A:$C,MATCH($B$1,Database!$A$1:$C$1,),))</f>
        <v/>
      </c>
      <c r="C11471">
        <f>IF(VLOOKUP(Table7[[#This Row],[Date]],Database!$A:$C,MATCH($C$1,Database!$A$1:$C$1,),)=0,#N/A,VLOOKUP(Table7[[#This Row],[Date]],Database!$A:$C,MATCH($C$1,Database!$A$1:$C$1,),))</f>
        <v/>
      </c>
      <c r="D11471">
        <f>IFERROR(Table7[[#This Row],[United States 10y]]-Table7[[#This Row],[United States 3y]],#N/A)</f>
        <v/>
      </c>
    </row>
    <row r="11472">
      <c r="A11472" s="6">
        <f>Database!$A13557</f>
        <v/>
      </c>
      <c r="B11472">
        <f>IF(VLOOKUP(Table7[[#This Row],[Date]],Database!$A:$C,MATCH($B$1,Database!$A$1:$C$1,),)=0,#N/A,VLOOKUP(Table7[[#This Row],[Date]],Database!$A:$C,MATCH($B$1,Database!$A$1:$C$1,),))</f>
        <v/>
      </c>
      <c r="C11472">
        <f>IF(VLOOKUP(Table7[[#This Row],[Date]],Database!$A:$C,MATCH($C$1,Database!$A$1:$C$1,),)=0,#N/A,VLOOKUP(Table7[[#This Row],[Date]],Database!$A:$C,MATCH($C$1,Database!$A$1:$C$1,),))</f>
        <v/>
      </c>
      <c r="D11472">
        <f>IFERROR(Table7[[#This Row],[United States 10y]]-Table7[[#This Row],[United States 3y]],#N/A)</f>
        <v/>
      </c>
    </row>
    <row r="11473">
      <c r="A11473" s="6">
        <f>Database!$A13558</f>
        <v/>
      </c>
      <c r="B11473">
        <f>IF(VLOOKUP(Table7[[#This Row],[Date]],Database!$A:$C,MATCH($B$1,Database!$A$1:$C$1,),)=0,#N/A,VLOOKUP(Table7[[#This Row],[Date]],Database!$A:$C,MATCH($B$1,Database!$A$1:$C$1,),))</f>
        <v/>
      </c>
      <c r="C11473">
        <f>IF(VLOOKUP(Table7[[#This Row],[Date]],Database!$A:$C,MATCH($C$1,Database!$A$1:$C$1,),)=0,#N/A,VLOOKUP(Table7[[#This Row],[Date]],Database!$A:$C,MATCH($C$1,Database!$A$1:$C$1,),))</f>
        <v/>
      </c>
      <c r="D11473">
        <f>IFERROR(Table7[[#This Row],[United States 10y]]-Table7[[#This Row],[United States 3y]],#N/A)</f>
        <v/>
      </c>
    </row>
    <row r="11474">
      <c r="A11474" s="6">
        <f>Database!$A13559</f>
        <v/>
      </c>
      <c r="B11474">
        <f>IF(VLOOKUP(Table7[[#This Row],[Date]],Database!$A:$C,MATCH($B$1,Database!$A$1:$C$1,),)=0,#N/A,VLOOKUP(Table7[[#This Row],[Date]],Database!$A:$C,MATCH($B$1,Database!$A$1:$C$1,),))</f>
        <v/>
      </c>
      <c r="C11474">
        <f>IF(VLOOKUP(Table7[[#This Row],[Date]],Database!$A:$C,MATCH($C$1,Database!$A$1:$C$1,),)=0,#N/A,VLOOKUP(Table7[[#This Row],[Date]],Database!$A:$C,MATCH($C$1,Database!$A$1:$C$1,),))</f>
        <v/>
      </c>
      <c r="D11474">
        <f>IFERROR(Table7[[#This Row],[United States 10y]]-Table7[[#This Row],[United States 3y]],#N/A)</f>
        <v/>
      </c>
    </row>
    <row r="11475">
      <c r="A11475" s="6">
        <f>Database!$A13560</f>
        <v/>
      </c>
      <c r="B11475">
        <f>IF(VLOOKUP(Table7[[#This Row],[Date]],Database!$A:$C,MATCH($B$1,Database!$A$1:$C$1,),)=0,#N/A,VLOOKUP(Table7[[#This Row],[Date]],Database!$A:$C,MATCH($B$1,Database!$A$1:$C$1,),))</f>
        <v/>
      </c>
      <c r="C11475">
        <f>IF(VLOOKUP(Table7[[#This Row],[Date]],Database!$A:$C,MATCH($C$1,Database!$A$1:$C$1,),)=0,#N/A,VLOOKUP(Table7[[#This Row],[Date]],Database!$A:$C,MATCH($C$1,Database!$A$1:$C$1,),))</f>
        <v/>
      </c>
      <c r="D11475">
        <f>IFERROR(Table7[[#This Row],[United States 10y]]-Table7[[#This Row],[United States 3y]],#N/A)</f>
        <v/>
      </c>
    </row>
    <row r="11476">
      <c r="A11476" s="6">
        <f>Database!$A13561</f>
        <v/>
      </c>
      <c r="B11476">
        <f>IF(VLOOKUP(Table7[[#This Row],[Date]],Database!$A:$C,MATCH($B$1,Database!$A$1:$C$1,),)=0,#N/A,VLOOKUP(Table7[[#This Row],[Date]],Database!$A:$C,MATCH($B$1,Database!$A$1:$C$1,),))</f>
        <v/>
      </c>
      <c r="C11476">
        <f>IF(VLOOKUP(Table7[[#This Row],[Date]],Database!$A:$C,MATCH($C$1,Database!$A$1:$C$1,),)=0,#N/A,VLOOKUP(Table7[[#This Row],[Date]],Database!$A:$C,MATCH($C$1,Database!$A$1:$C$1,),))</f>
        <v/>
      </c>
      <c r="D11476">
        <f>IFERROR(Table7[[#This Row],[United States 10y]]-Table7[[#This Row],[United States 3y]],#N/A)</f>
        <v/>
      </c>
    </row>
    <row r="11477">
      <c r="A11477" s="6">
        <f>Database!$A13562</f>
        <v/>
      </c>
      <c r="B11477">
        <f>IF(VLOOKUP(Table7[[#This Row],[Date]],Database!$A:$C,MATCH($B$1,Database!$A$1:$C$1,),)=0,#N/A,VLOOKUP(Table7[[#This Row],[Date]],Database!$A:$C,MATCH($B$1,Database!$A$1:$C$1,),))</f>
        <v/>
      </c>
      <c r="C11477">
        <f>IF(VLOOKUP(Table7[[#This Row],[Date]],Database!$A:$C,MATCH($C$1,Database!$A$1:$C$1,),)=0,#N/A,VLOOKUP(Table7[[#This Row],[Date]],Database!$A:$C,MATCH($C$1,Database!$A$1:$C$1,),))</f>
        <v/>
      </c>
      <c r="D11477">
        <f>IFERROR(Table7[[#This Row],[United States 10y]]-Table7[[#This Row],[United States 3y]],#N/A)</f>
        <v/>
      </c>
    </row>
    <row r="11478">
      <c r="A11478" s="6">
        <f>Database!$A13563</f>
        <v/>
      </c>
      <c r="B11478">
        <f>IF(VLOOKUP(Table7[[#This Row],[Date]],Database!$A:$C,MATCH($B$1,Database!$A$1:$C$1,),)=0,#N/A,VLOOKUP(Table7[[#This Row],[Date]],Database!$A:$C,MATCH($B$1,Database!$A$1:$C$1,),))</f>
        <v/>
      </c>
      <c r="C11478">
        <f>IF(VLOOKUP(Table7[[#This Row],[Date]],Database!$A:$C,MATCH($C$1,Database!$A$1:$C$1,),)=0,#N/A,VLOOKUP(Table7[[#This Row],[Date]],Database!$A:$C,MATCH($C$1,Database!$A$1:$C$1,),))</f>
        <v/>
      </c>
      <c r="D11478">
        <f>IFERROR(Table7[[#This Row],[United States 10y]]-Table7[[#This Row],[United States 3y]],#N/A)</f>
        <v/>
      </c>
    </row>
    <row r="11479">
      <c r="A11479" s="6">
        <f>Database!$A13564</f>
        <v/>
      </c>
      <c r="B11479">
        <f>IF(VLOOKUP(Table7[[#This Row],[Date]],Database!$A:$C,MATCH($B$1,Database!$A$1:$C$1,),)=0,#N/A,VLOOKUP(Table7[[#This Row],[Date]],Database!$A:$C,MATCH($B$1,Database!$A$1:$C$1,),))</f>
        <v/>
      </c>
      <c r="C11479">
        <f>IF(VLOOKUP(Table7[[#This Row],[Date]],Database!$A:$C,MATCH($C$1,Database!$A$1:$C$1,),)=0,#N/A,VLOOKUP(Table7[[#This Row],[Date]],Database!$A:$C,MATCH($C$1,Database!$A$1:$C$1,),))</f>
        <v/>
      </c>
      <c r="D11479">
        <f>IFERROR(Table7[[#This Row],[United States 10y]]-Table7[[#This Row],[United States 3y]],#N/A)</f>
        <v/>
      </c>
    </row>
    <row r="11480">
      <c r="A11480" s="6">
        <f>Database!$A13565</f>
        <v/>
      </c>
      <c r="B11480">
        <f>IF(VLOOKUP(Table7[[#This Row],[Date]],Database!$A:$C,MATCH($B$1,Database!$A$1:$C$1,),)=0,#N/A,VLOOKUP(Table7[[#This Row],[Date]],Database!$A:$C,MATCH($B$1,Database!$A$1:$C$1,),))</f>
        <v/>
      </c>
      <c r="C11480">
        <f>IF(VLOOKUP(Table7[[#This Row],[Date]],Database!$A:$C,MATCH($C$1,Database!$A$1:$C$1,),)=0,#N/A,VLOOKUP(Table7[[#This Row],[Date]],Database!$A:$C,MATCH($C$1,Database!$A$1:$C$1,),))</f>
        <v/>
      </c>
      <c r="D11480">
        <f>IFERROR(Table7[[#This Row],[United States 10y]]-Table7[[#This Row],[United States 3y]],#N/A)</f>
        <v/>
      </c>
    </row>
    <row r="11481">
      <c r="A11481" s="6">
        <f>Database!$A13566</f>
        <v/>
      </c>
      <c r="B11481">
        <f>IF(VLOOKUP(Table7[[#This Row],[Date]],Database!$A:$C,MATCH($B$1,Database!$A$1:$C$1,),)=0,#N/A,VLOOKUP(Table7[[#This Row],[Date]],Database!$A:$C,MATCH($B$1,Database!$A$1:$C$1,),))</f>
        <v/>
      </c>
      <c r="C11481">
        <f>IF(VLOOKUP(Table7[[#This Row],[Date]],Database!$A:$C,MATCH($C$1,Database!$A$1:$C$1,),)=0,#N/A,VLOOKUP(Table7[[#This Row],[Date]],Database!$A:$C,MATCH($C$1,Database!$A$1:$C$1,),))</f>
        <v/>
      </c>
      <c r="D11481">
        <f>IFERROR(Table7[[#This Row],[United States 10y]]-Table7[[#This Row],[United States 3y]],#N/A)</f>
        <v/>
      </c>
    </row>
    <row r="11482">
      <c r="A11482" s="6">
        <f>Database!$A13567</f>
        <v/>
      </c>
      <c r="B11482">
        <f>IF(VLOOKUP(Table7[[#This Row],[Date]],Database!$A:$C,MATCH($B$1,Database!$A$1:$C$1,),)=0,#N/A,VLOOKUP(Table7[[#This Row],[Date]],Database!$A:$C,MATCH($B$1,Database!$A$1:$C$1,),))</f>
        <v/>
      </c>
      <c r="C11482">
        <f>IF(VLOOKUP(Table7[[#This Row],[Date]],Database!$A:$C,MATCH($C$1,Database!$A$1:$C$1,),)=0,#N/A,VLOOKUP(Table7[[#This Row],[Date]],Database!$A:$C,MATCH($C$1,Database!$A$1:$C$1,),))</f>
        <v/>
      </c>
      <c r="D11482">
        <f>IFERROR(Table7[[#This Row],[United States 10y]]-Table7[[#This Row],[United States 3y]],#N/A)</f>
        <v/>
      </c>
    </row>
    <row r="11483">
      <c r="A11483" s="6">
        <f>Database!$A13568</f>
        <v/>
      </c>
      <c r="B11483">
        <f>IF(VLOOKUP(Table7[[#This Row],[Date]],Database!$A:$C,MATCH($B$1,Database!$A$1:$C$1,),)=0,#N/A,VLOOKUP(Table7[[#This Row],[Date]],Database!$A:$C,MATCH($B$1,Database!$A$1:$C$1,),))</f>
        <v/>
      </c>
      <c r="C11483">
        <f>IF(VLOOKUP(Table7[[#This Row],[Date]],Database!$A:$C,MATCH($C$1,Database!$A$1:$C$1,),)=0,#N/A,VLOOKUP(Table7[[#This Row],[Date]],Database!$A:$C,MATCH($C$1,Database!$A$1:$C$1,),))</f>
        <v/>
      </c>
      <c r="D11483">
        <f>IFERROR(Table7[[#This Row],[United States 10y]]-Table7[[#This Row],[United States 3y]],#N/A)</f>
        <v/>
      </c>
    </row>
    <row r="11484">
      <c r="A11484" s="6">
        <f>Database!$A13569</f>
        <v/>
      </c>
      <c r="B11484">
        <f>IF(VLOOKUP(Table7[[#This Row],[Date]],Database!$A:$C,MATCH($B$1,Database!$A$1:$C$1,),)=0,#N/A,VLOOKUP(Table7[[#This Row],[Date]],Database!$A:$C,MATCH($B$1,Database!$A$1:$C$1,),))</f>
        <v/>
      </c>
      <c r="C11484">
        <f>IF(VLOOKUP(Table7[[#This Row],[Date]],Database!$A:$C,MATCH($C$1,Database!$A$1:$C$1,),)=0,#N/A,VLOOKUP(Table7[[#This Row],[Date]],Database!$A:$C,MATCH($C$1,Database!$A$1:$C$1,),))</f>
        <v/>
      </c>
      <c r="D11484">
        <f>IFERROR(Table7[[#This Row],[United States 10y]]-Table7[[#This Row],[United States 3y]],#N/A)</f>
        <v/>
      </c>
    </row>
    <row r="11485">
      <c r="A11485" s="6">
        <f>Database!$A13570</f>
        <v/>
      </c>
      <c r="B11485">
        <f>IF(VLOOKUP(Table7[[#This Row],[Date]],Database!$A:$C,MATCH($B$1,Database!$A$1:$C$1,),)=0,#N/A,VLOOKUP(Table7[[#This Row],[Date]],Database!$A:$C,MATCH($B$1,Database!$A$1:$C$1,),))</f>
        <v/>
      </c>
      <c r="C11485">
        <f>IF(VLOOKUP(Table7[[#This Row],[Date]],Database!$A:$C,MATCH($C$1,Database!$A$1:$C$1,),)=0,#N/A,VLOOKUP(Table7[[#This Row],[Date]],Database!$A:$C,MATCH($C$1,Database!$A$1:$C$1,),))</f>
        <v/>
      </c>
      <c r="D11485">
        <f>IFERROR(Table7[[#This Row],[United States 10y]]-Table7[[#This Row],[United States 3y]],#N/A)</f>
        <v/>
      </c>
    </row>
    <row r="11486">
      <c r="A11486" s="6">
        <f>Database!$A13571</f>
        <v/>
      </c>
      <c r="B11486">
        <f>IF(VLOOKUP(Table7[[#This Row],[Date]],Database!$A:$C,MATCH($B$1,Database!$A$1:$C$1,),)=0,#N/A,VLOOKUP(Table7[[#This Row],[Date]],Database!$A:$C,MATCH($B$1,Database!$A$1:$C$1,),))</f>
        <v/>
      </c>
      <c r="C11486">
        <f>IF(VLOOKUP(Table7[[#This Row],[Date]],Database!$A:$C,MATCH($C$1,Database!$A$1:$C$1,),)=0,#N/A,VLOOKUP(Table7[[#This Row],[Date]],Database!$A:$C,MATCH($C$1,Database!$A$1:$C$1,),))</f>
        <v/>
      </c>
      <c r="D11486">
        <f>IFERROR(Table7[[#This Row],[United States 10y]]-Table7[[#This Row],[United States 3y]],#N/A)</f>
        <v/>
      </c>
    </row>
    <row r="11487">
      <c r="A11487" s="6">
        <f>Database!$A13572</f>
        <v/>
      </c>
      <c r="B11487">
        <f>IF(VLOOKUP(Table7[[#This Row],[Date]],Database!$A:$C,MATCH($B$1,Database!$A$1:$C$1,),)=0,#N/A,VLOOKUP(Table7[[#This Row],[Date]],Database!$A:$C,MATCH($B$1,Database!$A$1:$C$1,),))</f>
        <v/>
      </c>
      <c r="C11487">
        <f>IF(VLOOKUP(Table7[[#This Row],[Date]],Database!$A:$C,MATCH($C$1,Database!$A$1:$C$1,),)=0,#N/A,VLOOKUP(Table7[[#This Row],[Date]],Database!$A:$C,MATCH($C$1,Database!$A$1:$C$1,),))</f>
        <v/>
      </c>
      <c r="D11487">
        <f>IFERROR(Table7[[#This Row],[United States 10y]]-Table7[[#This Row],[United States 3y]],#N/A)</f>
        <v/>
      </c>
    </row>
    <row r="11488">
      <c r="A11488" s="6">
        <f>Database!$A13573</f>
        <v/>
      </c>
      <c r="B11488">
        <f>IF(VLOOKUP(Table7[[#This Row],[Date]],Database!$A:$C,MATCH($B$1,Database!$A$1:$C$1,),)=0,#N/A,VLOOKUP(Table7[[#This Row],[Date]],Database!$A:$C,MATCH($B$1,Database!$A$1:$C$1,),))</f>
        <v/>
      </c>
      <c r="C11488">
        <f>IF(VLOOKUP(Table7[[#This Row],[Date]],Database!$A:$C,MATCH($C$1,Database!$A$1:$C$1,),)=0,#N/A,VLOOKUP(Table7[[#This Row],[Date]],Database!$A:$C,MATCH($C$1,Database!$A$1:$C$1,),))</f>
        <v/>
      </c>
      <c r="D11488">
        <f>IFERROR(Table7[[#This Row],[United States 10y]]-Table7[[#This Row],[United States 3y]],#N/A)</f>
        <v/>
      </c>
    </row>
    <row r="11489">
      <c r="A11489" s="6">
        <f>Database!$A13574</f>
        <v/>
      </c>
      <c r="B11489">
        <f>IF(VLOOKUP(Table7[[#This Row],[Date]],Database!$A:$C,MATCH($B$1,Database!$A$1:$C$1,),)=0,#N/A,VLOOKUP(Table7[[#This Row],[Date]],Database!$A:$C,MATCH($B$1,Database!$A$1:$C$1,),))</f>
        <v/>
      </c>
      <c r="C11489">
        <f>IF(VLOOKUP(Table7[[#This Row],[Date]],Database!$A:$C,MATCH($C$1,Database!$A$1:$C$1,),)=0,#N/A,VLOOKUP(Table7[[#This Row],[Date]],Database!$A:$C,MATCH($C$1,Database!$A$1:$C$1,),))</f>
        <v/>
      </c>
      <c r="D11489">
        <f>IFERROR(Table7[[#This Row],[United States 10y]]-Table7[[#This Row],[United States 3y]],#N/A)</f>
        <v/>
      </c>
    </row>
    <row r="11490">
      <c r="A11490" s="6">
        <f>Database!$A13575</f>
        <v/>
      </c>
      <c r="B11490">
        <f>IF(VLOOKUP(Table7[[#This Row],[Date]],Database!$A:$C,MATCH($B$1,Database!$A$1:$C$1,),)=0,#N/A,VLOOKUP(Table7[[#This Row],[Date]],Database!$A:$C,MATCH($B$1,Database!$A$1:$C$1,),))</f>
        <v/>
      </c>
      <c r="C11490">
        <f>IF(VLOOKUP(Table7[[#This Row],[Date]],Database!$A:$C,MATCH($C$1,Database!$A$1:$C$1,),)=0,#N/A,VLOOKUP(Table7[[#This Row],[Date]],Database!$A:$C,MATCH($C$1,Database!$A$1:$C$1,),))</f>
        <v/>
      </c>
      <c r="D11490">
        <f>IFERROR(Table7[[#This Row],[United States 10y]]-Table7[[#This Row],[United States 3y]],#N/A)</f>
        <v/>
      </c>
    </row>
    <row r="11491">
      <c r="A11491" s="6">
        <f>Database!$A13576</f>
        <v/>
      </c>
      <c r="B11491">
        <f>IF(VLOOKUP(Table7[[#This Row],[Date]],Database!$A:$C,MATCH($B$1,Database!$A$1:$C$1,),)=0,#N/A,VLOOKUP(Table7[[#This Row],[Date]],Database!$A:$C,MATCH($B$1,Database!$A$1:$C$1,),))</f>
        <v/>
      </c>
      <c r="C11491">
        <f>IF(VLOOKUP(Table7[[#This Row],[Date]],Database!$A:$C,MATCH($C$1,Database!$A$1:$C$1,),)=0,#N/A,VLOOKUP(Table7[[#This Row],[Date]],Database!$A:$C,MATCH($C$1,Database!$A$1:$C$1,),))</f>
        <v/>
      </c>
      <c r="D11491">
        <f>IFERROR(Table7[[#This Row],[United States 10y]]-Table7[[#This Row],[United States 3y]],#N/A)</f>
        <v/>
      </c>
    </row>
    <row r="11492">
      <c r="A11492" s="6">
        <f>Database!$A13577</f>
        <v/>
      </c>
      <c r="B11492">
        <f>IF(VLOOKUP(Table7[[#This Row],[Date]],Database!$A:$C,MATCH($B$1,Database!$A$1:$C$1,),)=0,#N/A,VLOOKUP(Table7[[#This Row],[Date]],Database!$A:$C,MATCH($B$1,Database!$A$1:$C$1,),))</f>
        <v/>
      </c>
      <c r="C11492">
        <f>IF(VLOOKUP(Table7[[#This Row],[Date]],Database!$A:$C,MATCH($C$1,Database!$A$1:$C$1,),)=0,#N/A,VLOOKUP(Table7[[#This Row],[Date]],Database!$A:$C,MATCH($C$1,Database!$A$1:$C$1,),))</f>
        <v/>
      </c>
      <c r="D11492">
        <f>IFERROR(Table7[[#This Row],[United States 10y]]-Table7[[#This Row],[United States 3y]],#N/A)</f>
        <v/>
      </c>
    </row>
    <row r="11493">
      <c r="A11493" s="6">
        <f>Database!$A13578</f>
        <v/>
      </c>
      <c r="B11493">
        <f>IF(VLOOKUP(Table7[[#This Row],[Date]],Database!$A:$C,MATCH($B$1,Database!$A$1:$C$1,),)=0,#N/A,VLOOKUP(Table7[[#This Row],[Date]],Database!$A:$C,MATCH($B$1,Database!$A$1:$C$1,),))</f>
        <v/>
      </c>
      <c r="C11493">
        <f>IF(VLOOKUP(Table7[[#This Row],[Date]],Database!$A:$C,MATCH($C$1,Database!$A$1:$C$1,),)=0,#N/A,VLOOKUP(Table7[[#This Row],[Date]],Database!$A:$C,MATCH($C$1,Database!$A$1:$C$1,),))</f>
        <v/>
      </c>
      <c r="D11493">
        <f>IFERROR(Table7[[#This Row],[United States 10y]]-Table7[[#This Row],[United States 3y]],#N/A)</f>
        <v/>
      </c>
    </row>
    <row r="11494">
      <c r="A11494" s="6">
        <f>Database!$A13579</f>
        <v/>
      </c>
      <c r="B11494">
        <f>IF(VLOOKUP(Table7[[#This Row],[Date]],Database!$A:$C,MATCH($B$1,Database!$A$1:$C$1,),)=0,#N/A,VLOOKUP(Table7[[#This Row],[Date]],Database!$A:$C,MATCH($B$1,Database!$A$1:$C$1,),))</f>
        <v/>
      </c>
      <c r="C11494">
        <f>IF(VLOOKUP(Table7[[#This Row],[Date]],Database!$A:$C,MATCH($C$1,Database!$A$1:$C$1,),)=0,#N/A,VLOOKUP(Table7[[#This Row],[Date]],Database!$A:$C,MATCH($C$1,Database!$A$1:$C$1,),))</f>
        <v/>
      </c>
      <c r="D11494">
        <f>IFERROR(Table7[[#This Row],[United States 10y]]-Table7[[#This Row],[United States 3y]],#N/A)</f>
        <v/>
      </c>
    </row>
    <row r="11495">
      <c r="A11495" s="6">
        <f>Database!$A13580</f>
        <v/>
      </c>
      <c r="B11495">
        <f>IF(VLOOKUP(Table7[[#This Row],[Date]],Database!$A:$C,MATCH($B$1,Database!$A$1:$C$1,),)=0,#N/A,VLOOKUP(Table7[[#This Row],[Date]],Database!$A:$C,MATCH($B$1,Database!$A$1:$C$1,),))</f>
        <v/>
      </c>
      <c r="C11495">
        <f>IF(VLOOKUP(Table7[[#This Row],[Date]],Database!$A:$C,MATCH($C$1,Database!$A$1:$C$1,),)=0,#N/A,VLOOKUP(Table7[[#This Row],[Date]],Database!$A:$C,MATCH($C$1,Database!$A$1:$C$1,),))</f>
        <v/>
      </c>
      <c r="D11495">
        <f>IFERROR(Table7[[#This Row],[United States 10y]]-Table7[[#This Row],[United States 3y]],#N/A)</f>
        <v/>
      </c>
    </row>
    <row r="11496">
      <c r="A11496" s="6">
        <f>Database!$A13581</f>
        <v/>
      </c>
      <c r="B11496">
        <f>IF(VLOOKUP(Table7[[#This Row],[Date]],Database!$A:$C,MATCH($B$1,Database!$A$1:$C$1,),)=0,#N/A,VLOOKUP(Table7[[#This Row],[Date]],Database!$A:$C,MATCH($B$1,Database!$A$1:$C$1,),))</f>
        <v/>
      </c>
      <c r="C11496">
        <f>IF(VLOOKUP(Table7[[#This Row],[Date]],Database!$A:$C,MATCH($C$1,Database!$A$1:$C$1,),)=0,#N/A,VLOOKUP(Table7[[#This Row],[Date]],Database!$A:$C,MATCH($C$1,Database!$A$1:$C$1,),))</f>
        <v/>
      </c>
      <c r="D11496">
        <f>IFERROR(Table7[[#This Row],[United States 10y]]-Table7[[#This Row],[United States 3y]],#N/A)</f>
        <v/>
      </c>
    </row>
    <row r="11497">
      <c r="A11497" s="6">
        <f>Database!$A13582</f>
        <v/>
      </c>
      <c r="B11497">
        <f>IF(VLOOKUP(Table7[[#This Row],[Date]],Database!$A:$C,MATCH($B$1,Database!$A$1:$C$1,),)=0,#N/A,VLOOKUP(Table7[[#This Row],[Date]],Database!$A:$C,MATCH($B$1,Database!$A$1:$C$1,),))</f>
        <v/>
      </c>
      <c r="C11497">
        <f>IF(VLOOKUP(Table7[[#This Row],[Date]],Database!$A:$C,MATCH($C$1,Database!$A$1:$C$1,),)=0,#N/A,VLOOKUP(Table7[[#This Row],[Date]],Database!$A:$C,MATCH($C$1,Database!$A$1:$C$1,),))</f>
        <v/>
      </c>
      <c r="D11497">
        <f>IFERROR(Table7[[#This Row],[United States 10y]]-Table7[[#This Row],[United States 3y]],#N/A)</f>
        <v/>
      </c>
    </row>
    <row r="11498">
      <c r="A11498" s="6">
        <f>Database!$A13583</f>
        <v/>
      </c>
      <c r="B11498">
        <f>IF(VLOOKUP(Table7[[#This Row],[Date]],Database!$A:$C,MATCH($B$1,Database!$A$1:$C$1,),)=0,#N/A,VLOOKUP(Table7[[#This Row],[Date]],Database!$A:$C,MATCH($B$1,Database!$A$1:$C$1,),))</f>
        <v/>
      </c>
      <c r="C11498">
        <f>IF(VLOOKUP(Table7[[#This Row],[Date]],Database!$A:$C,MATCH($C$1,Database!$A$1:$C$1,),)=0,#N/A,VLOOKUP(Table7[[#This Row],[Date]],Database!$A:$C,MATCH($C$1,Database!$A$1:$C$1,),))</f>
        <v/>
      </c>
      <c r="D11498">
        <f>IFERROR(Table7[[#This Row],[United States 10y]]-Table7[[#This Row],[United States 3y]],#N/A)</f>
        <v/>
      </c>
    </row>
    <row r="11499">
      <c r="A11499" s="6">
        <f>Database!$A13584</f>
        <v/>
      </c>
      <c r="B11499">
        <f>IF(VLOOKUP(Table7[[#This Row],[Date]],Database!$A:$C,MATCH($B$1,Database!$A$1:$C$1,),)=0,#N/A,VLOOKUP(Table7[[#This Row],[Date]],Database!$A:$C,MATCH($B$1,Database!$A$1:$C$1,),))</f>
        <v/>
      </c>
      <c r="C11499">
        <f>IF(VLOOKUP(Table7[[#This Row],[Date]],Database!$A:$C,MATCH($C$1,Database!$A$1:$C$1,),)=0,#N/A,VLOOKUP(Table7[[#This Row],[Date]],Database!$A:$C,MATCH($C$1,Database!$A$1:$C$1,),))</f>
        <v/>
      </c>
      <c r="D11499">
        <f>IFERROR(Table7[[#This Row],[United States 10y]]-Table7[[#This Row],[United States 3y]],#N/A)</f>
        <v/>
      </c>
    </row>
    <row r="11500">
      <c r="A11500" s="6">
        <f>Database!$A13585</f>
        <v/>
      </c>
      <c r="B11500">
        <f>IF(VLOOKUP(Table7[[#This Row],[Date]],Database!$A:$C,MATCH($B$1,Database!$A$1:$C$1,),)=0,#N/A,VLOOKUP(Table7[[#This Row],[Date]],Database!$A:$C,MATCH($B$1,Database!$A$1:$C$1,),))</f>
        <v/>
      </c>
      <c r="C11500">
        <f>IF(VLOOKUP(Table7[[#This Row],[Date]],Database!$A:$C,MATCH($C$1,Database!$A$1:$C$1,),)=0,#N/A,VLOOKUP(Table7[[#This Row],[Date]],Database!$A:$C,MATCH($C$1,Database!$A$1:$C$1,),))</f>
        <v/>
      </c>
      <c r="D11500">
        <f>IFERROR(Table7[[#This Row],[United States 10y]]-Table7[[#This Row],[United States 3y]],#N/A)</f>
        <v/>
      </c>
    </row>
    <row r="11501">
      <c r="A11501" s="6">
        <f>Database!$A13586</f>
        <v/>
      </c>
      <c r="B11501">
        <f>IF(VLOOKUP(Table7[[#This Row],[Date]],Database!$A:$C,MATCH($B$1,Database!$A$1:$C$1,),)=0,#N/A,VLOOKUP(Table7[[#This Row],[Date]],Database!$A:$C,MATCH($B$1,Database!$A$1:$C$1,),))</f>
        <v/>
      </c>
      <c r="C11501">
        <f>IF(VLOOKUP(Table7[[#This Row],[Date]],Database!$A:$C,MATCH($C$1,Database!$A$1:$C$1,),)=0,#N/A,VLOOKUP(Table7[[#This Row],[Date]],Database!$A:$C,MATCH($C$1,Database!$A$1:$C$1,),))</f>
        <v/>
      </c>
      <c r="D11501">
        <f>IFERROR(Table7[[#This Row],[United States 10y]]-Table7[[#This Row],[United States 3y]],#N/A)</f>
        <v/>
      </c>
    </row>
    <row r="11502">
      <c r="A11502" s="6">
        <f>Database!$A13587</f>
        <v/>
      </c>
      <c r="B11502">
        <f>IF(VLOOKUP(Table7[[#This Row],[Date]],Database!$A:$C,MATCH($B$1,Database!$A$1:$C$1,),)=0,#N/A,VLOOKUP(Table7[[#This Row],[Date]],Database!$A:$C,MATCH($B$1,Database!$A$1:$C$1,),))</f>
        <v/>
      </c>
      <c r="C11502">
        <f>IF(VLOOKUP(Table7[[#This Row],[Date]],Database!$A:$C,MATCH($C$1,Database!$A$1:$C$1,),)=0,#N/A,VLOOKUP(Table7[[#This Row],[Date]],Database!$A:$C,MATCH($C$1,Database!$A$1:$C$1,),))</f>
        <v/>
      </c>
      <c r="D11502">
        <f>IFERROR(Table7[[#This Row],[United States 10y]]-Table7[[#This Row],[United States 3y]],#N/A)</f>
        <v/>
      </c>
    </row>
    <row r="11503">
      <c r="A11503" s="6">
        <f>Database!$A13588</f>
        <v/>
      </c>
      <c r="B11503">
        <f>IF(VLOOKUP(Table7[[#This Row],[Date]],Database!$A:$C,MATCH($B$1,Database!$A$1:$C$1,),)=0,#N/A,VLOOKUP(Table7[[#This Row],[Date]],Database!$A:$C,MATCH($B$1,Database!$A$1:$C$1,),))</f>
        <v/>
      </c>
      <c r="C11503">
        <f>IF(VLOOKUP(Table7[[#This Row],[Date]],Database!$A:$C,MATCH($C$1,Database!$A$1:$C$1,),)=0,#N/A,VLOOKUP(Table7[[#This Row],[Date]],Database!$A:$C,MATCH($C$1,Database!$A$1:$C$1,),))</f>
        <v/>
      </c>
      <c r="D11503">
        <f>IFERROR(Table7[[#This Row],[United States 10y]]-Table7[[#This Row],[United States 3y]],#N/A)</f>
        <v/>
      </c>
    </row>
    <row r="11504">
      <c r="A11504" s="6">
        <f>Database!$A13589</f>
        <v/>
      </c>
      <c r="B11504">
        <f>IF(VLOOKUP(Table7[[#This Row],[Date]],Database!$A:$C,MATCH($B$1,Database!$A$1:$C$1,),)=0,#N/A,VLOOKUP(Table7[[#This Row],[Date]],Database!$A:$C,MATCH($B$1,Database!$A$1:$C$1,),))</f>
        <v/>
      </c>
      <c r="C11504">
        <f>IF(VLOOKUP(Table7[[#This Row],[Date]],Database!$A:$C,MATCH($C$1,Database!$A$1:$C$1,),)=0,#N/A,VLOOKUP(Table7[[#This Row],[Date]],Database!$A:$C,MATCH($C$1,Database!$A$1:$C$1,),))</f>
        <v/>
      </c>
      <c r="D11504">
        <f>IFERROR(Table7[[#This Row],[United States 10y]]-Table7[[#This Row],[United States 3y]],#N/A)</f>
        <v/>
      </c>
    </row>
    <row r="11505">
      <c r="A11505" s="6">
        <f>Database!$A13590</f>
        <v/>
      </c>
      <c r="B11505">
        <f>IF(VLOOKUP(Table7[[#This Row],[Date]],Database!$A:$C,MATCH($B$1,Database!$A$1:$C$1,),)=0,#N/A,VLOOKUP(Table7[[#This Row],[Date]],Database!$A:$C,MATCH($B$1,Database!$A$1:$C$1,),))</f>
        <v/>
      </c>
      <c r="C11505">
        <f>IF(VLOOKUP(Table7[[#This Row],[Date]],Database!$A:$C,MATCH($C$1,Database!$A$1:$C$1,),)=0,#N/A,VLOOKUP(Table7[[#This Row],[Date]],Database!$A:$C,MATCH($C$1,Database!$A$1:$C$1,),))</f>
        <v/>
      </c>
      <c r="D11505">
        <f>IFERROR(Table7[[#This Row],[United States 10y]]-Table7[[#This Row],[United States 3y]],#N/A)</f>
        <v/>
      </c>
    </row>
    <row r="11506">
      <c r="A11506" s="6">
        <f>Database!$A13591</f>
        <v/>
      </c>
      <c r="B11506">
        <f>IF(VLOOKUP(Table7[[#This Row],[Date]],Database!$A:$C,MATCH($B$1,Database!$A$1:$C$1,),)=0,#N/A,VLOOKUP(Table7[[#This Row],[Date]],Database!$A:$C,MATCH($B$1,Database!$A$1:$C$1,),))</f>
        <v/>
      </c>
      <c r="C11506">
        <f>IF(VLOOKUP(Table7[[#This Row],[Date]],Database!$A:$C,MATCH($C$1,Database!$A$1:$C$1,),)=0,#N/A,VLOOKUP(Table7[[#This Row],[Date]],Database!$A:$C,MATCH($C$1,Database!$A$1:$C$1,),))</f>
        <v/>
      </c>
      <c r="D11506">
        <f>IFERROR(Table7[[#This Row],[United States 10y]]-Table7[[#This Row],[United States 3y]],#N/A)</f>
        <v/>
      </c>
    </row>
    <row r="11507">
      <c r="A11507" s="6">
        <f>Database!$A13592</f>
        <v/>
      </c>
      <c r="B11507">
        <f>IF(VLOOKUP(Table7[[#This Row],[Date]],Database!$A:$C,MATCH($B$1,Database!$A$1:$C$1,),)=0,#N/A,VLOOKUP(Table7[[#This Row],[Date]],Database!$A:$C,MATCH($B$1,Database!$A$1:$C$1,),))</f>
        <v/>
      </c>
      <c r="C11507">
        <f>IF(VLOOKUP(Table7[[#This Row],[Date]],Database!$A:$C,MATCH($C$1,Database!$A$1:$C$1,),)=0,#N/A,VLOOKUP(Table7[[#This Row],[Date]],Database!$A:$C,MATCH($C$1,Database!$A$1:$C$1,),))</f>
        <v/>
      </c>
      <c r="D11507">
        <f>IFERROR(Table7[[#This Row],[United States 10y]]-Table7[[#This Row],[United States 3y]],#N/A)</f>
        <v/>
      </c>
    </row>
    <row r="11508">
      <c r="A11508" s="6">
        <f>Database!$A13593</f>
        <v/>
      </c>
      <c r="B11508">
        <f>IF(VLOOKUP(Table7[[#This Row],[Date]],Database!$A:$C,MATCH($B$1,Database!$A$1:$C$1,),)=0,#N/A,VLOOKUP(Table7[[#This Row],[Date]],Database!$A:$C,MATCH($B$1,Database!$A$1:$C$1,),))</f>
        <v/>
      </c>
      <c r="C11508">
        <f>IF(VLOOKUP(Table7[[#This Row],[Date]],Database!$A:$C,MATCH($C$1,Database!$A$1:$C$1,),)=0,#N/A,VLOOKUP(Table7[[#This Row],[Date]],Database!$A:$C,MATCH($C$1,Database!$A$1:$C$1,),))</f>
        <v/>
      </c>
      <c r="D11508">
        <f>IFERROR(Table7[[#This Row],[United States 10y]]-Table7[[#This Row],[United States 3y]],#N/A)</f>
        <v/>
      </c>
    </row>
    <row r="11509">
      <c r="A11509" s="6">
        <f>Database!$A13594</f>
        <v/>
      </c>
      <c r="B11509">
        <f>IF(VLOOKUP(Table7[[#This Row],[Date]],Database!$A:$C,MATCH($B$1,Database!$A$1:$C$1,),)=0,#N/A,VLOOKUP(Table7[[#This Row],[Date]],Database!$A:$C,MATCH($B$1,Database!$A$1:$C$1,),))</f>
        <v/>
      </c>
      <c r="C11509">
        <f>IF(VLOOKUP(Table7[[#This Row],[Date]],Database!$A:$C,MATCH($C$1,Database!$A$1:$C$1,),)=0,#N/A,VLOOKUP(Table7[[#This Row],[Date]],Database!$A:$C,MATCH($C$1,Database!$A$1:$C$1,),))</f>
        <v/>
      </c>
      <c r="D11509">
        <f>IFERROR(Table7[[#This Row],[United States 10y]]-Table7[[#This Row],[United States 3y]],#N/A)</f>
        <v/>
      </c>
    </row>
    <row r="11510">
      <c r="A11510" s="6">
        <f>Database!$A13595</f>
        <v/>
      </c>
      <c r="B11510">
        <f>IF(VLOOKUP(Table7[[#This Row],[Date]],Database!$A:$C,MATCH($B$1,Database!$A$1:$C$1,),)=0,#N/A,VLOOKUP(Table7[[#This Row],[Date]],Database!$A:$C,MATCH($B$1,Database!$A$1:$C$1,),))</f>
        <v/>
      </c>
      <c r="C11510">
        <f>IF(VLOOKUP(Table7[[#This Row],[Date]],Database!$A:$C,MATCH($C$1,Database!$A$1:$C$1,),)=0,#N/A,VLOOKUP(Table7[[#This Row],[Date]],Database!$A:$C,MATCH($C$1,Database!$A$1:$C$1,),))</f>
        <v/>
      </c>
      <c r="D11510">
        <f>IFERROR(Table7[[#This Row],[United States 10y]]-Table7[[#This Row],[United States 3y]],#N/A)</f>
        <v/>
      </c>
    </row>
    <row r="11511">
      <c r="A11511" s="6">
        <f>Database!$A13596</f>
        <v/>
      </c>
      <c r="B11511">
        <f>IF(VLOOKUP(Table7[[#This Row],[Date]],Database!$A:$C,MATCH($B$1,Database!$A$1:$C$1,),)=0,#N/A,VLOOKUP(Table7[[#This Row],[Date]],Database!$A:$C,MATCH($B$1,Database!$A$1:$C$1,),))</f>
        <v/>
      </c>
      <c r="C11511">
        <f>IF(VLOOKUP(Table7[[#This Row],[Date]],Database!$A:$C,MATCH($C$1,Database!$A$1:$C$1,),)=0,#N/A,VLOOKUP(Table7[[#This Row],[Date]],Database!$A:$C,MATCH($C$1,Database!$A$1:$C$1,),))</f>
        <v/>
      </c>
      <c r="D11511">
        <f>IFERROR(Table7[[#This Row],[United States 10y]]-Table7[[#This Row],[United States 3y]],#N/A)</f>
        <v/>
      </c>
    </row>
    <row r="11512">
      <c r="A11512" s="6">
        <f>Database!$A13597</f>
        <v/>
      </c>
      <c r="B11512">
        <f>IF(VLOOKUP(Table7[[#This Row],[Date]],Database!$A:$C,MATCH($B$1,Database!$A$1:$C$1,),)=0,#N/A,VLOOKUP(Table7[[#This Row],[Date]],Database!$A:$C,MATCH($B$1,Database!$A$1:$C$1,),))</f>
        <v/>
      </c>
      <c r="C11512">
        <f>IF(VLOOKUP(Table7[[#This Row],[Date]],Database!$A:$C,MATCH($C$1,Database!$A$1:$C$1,),)=0,#N/A,VLOOKUP(Table7[[#This Row],[Date]],Database!$A:$C,MATCH($C$1,Database!$A$1:$C$1,),))</f>
        <v/>
      </c>
      <c r="D11512">
        <f>IFERROR(Table7[[#This Row],[United States 10y]]-Table7[[#This Row],[United States 3y]],#N/A)</f>
        <v/>
      </c>
    </row>
    <row r="11513">
      <c r="A11513" s="6">
        <f>Database!$A13598</f>
        <v/>
      </c>
      <c r="B11513">
        <f>IF(VLOOKUP(Table7[[#This Row],[Date]],Database!$A:$C,MATCH($B$1,Database!$A$1:$C$1,),)=0,#N/A,VLOOKUP(Table7[[#This Row],[Date]],Database!$A:$C,MATCH($B$1,Database!$A$1:$C$1,),))</f>
        <v/>
      </c>
      <c r="C11513">
        <f>IF(VLOOKUP(Table7[[#This Row],[Date]],Database!$A:$C,MATCH($C$1,Database!$A$1:$C$1,),)=0,#N/A,VLOOKUP(Table7[[#This Row],[Date]],Database!$A:$C,MATCH($C$1,Database!$A$1:$C$1,),))</f>
        <v/>
      </c>
      <c r="D11513">
        <f>IFERROR(Table7[[#This Row],[United States 10y]]-Table7[[#This Row],[United States 3y]],#N/A)</f>
        <v/>
      </c>
    </row>
    <row r="11514">
      <c r="A11514" s="6">
        <f>Database!$A13599</f>
        <v/>
      </c>
      <c r="B11514">
        <f>IF(VLOOKUP(Table7[[#This Row],[Date]],Database!$A:$C,MATCH($B$1,Database!$A$1:$C$1,),)=0,#N/A,VLOOKUP(Table7[[#This Row],[Date]],Database!$A:$C,MATCH($B$1,Database!$A$1:$C$1,),))</f>
        <v/>
      </c>
      <c r="C11514">
        <f>IF(VLOOKUP(Table7[[#This Row],[Date]],Database!$A:$C,MATCH($C$1,Database!$A$1:$C$1,),)=0,#N/A,VLOOKUP(Table7[[#This Row],[Date]],Database!$A:$C,MATCH($C$1,Database!$A$1:$C$1,),))</f>
        <v/>
      </c>
      <c r="D11514">
        <f>IFERROR(Table7[[#This Row],[United States 10y]]-Table7[[#This Row],[United States 3y]],#N/A)</f>
        <v/>
      </c>
    </row>
    <row r="11515">
      <c r="A11515" s="6">
        <f>Database!$A13600</f>
        <v/>
      </c>
      <c r="B11515">
        <f>IF(VLOOKUP(Table7[[#This Row],[Date]],Database!$A:$C,MATCH($B$1,Database!$A$1:$C$1,),)=0,#N/A,VLOOKUP(Table7[[#This Row],[Date]],Database!$A:$C,MATCH($B$1,Database!$A$1:$C$1,),))</f>
        <v/>
      </c>
      <c r="C11515">
        <f>IF(VLOOKUP(Table7[[#This Row],[Date]],Database!$A:$C,MATCH($C$1,Database!$A$1:$C$1,),)=0,#N/A,VLOOKUP(Table7[[#This Row],[Date]],Database!$A:$C,MATCH($C$1,Database!$A$1:$C$1,),))</f>
        <v/>
      </c>
      <c r="D11515">
        <f>IFERROR(Table7[[#This Row],[United States 10y]]-Table7[[#This Row],[United States 3y]],#N/A)</f>
        <v/>
      </c>
    </row>
    <row r="11516">
      <c r="A11516" s="6">
        <f>Database!$A13601</f>
        <v/>
      </c>
      <c r="B11516">
        <f>IF(VLOOKUP(Table7[[#This Row],[Date]],Database!$A:$C,MATCH($B$1,Database!$A$1:$C$1,),)=0,#N/A,VLOOKUP(Table7[[#This Row],[Date]],Database!$A:$C,MATCH($B$1,Database!$A$1:$C$1,),))</f>
        <v/>
      </c>
      <c r="C11516">
        <f>IF(VLOOKUP(Table7[[#This Row],[Date]],Database!$A:$C,MATCH($C$1,Database!$A$1:$C$1,),)=0,#N/A,VLOOKUP(Table7[[#This Row],[Date]],Database!$A:$C,MATCH($C$1,Database!$A$1:$C$1,),))</f>
        <v/>
      </c>
      <c r="D11516">
        <f>IFERROR(Table7[[#This Row],[United States 10y]]-Table7[[#This Row],[United States 3y]],#N/A)</f>
        <v/>
      </c>
    </row>
    <row r="11517">
      <c r="A11517" s="6">
        <f>Database!$A13602</f>
        <v/>
      </c>
      <c r="B11517">
        <f>IF(VLOOKUP(Table7[[#This Row],[Date]],Database!$A:$C,MATCH($B$1,Database!$A$1:$C$1,),)=0,#N/A,VLOOKUP(Table7[[#This Row],[Date]],Database!$A:$C,MATCH($B$1,Database!$A$1:$C$1,),))</f>
        <v/>
      </c>
      <c r="C11517">
        <f>IF(VLOOKUP(Table7[[#This Row],[Date]],Database!$A:$C,MATCH($C$1,Database!$A$1:$C$1,),)=0,#N/A,VLOOKUP(Table7[[#This Row],[Date]],Database!$A:$C,MATCH($C$1,Database!$A$1:$C$1,),))</f>
        <v/>
      </c>
      <c r="D11517">
        <f>IFERROR(Table7[[#This Row],[United States 10y]]-Table7[[#This Row],[United States 3y]],#N/A)</f>
        <v/>
      </c>
    </row>
    <row r="11518">
      <c r="A11518" s="6">
        <f>Database!$A13603</f>
        <v/>
      </c>
      <c r="B11518">
        <f>IF(VLOOKUP(Table7[[#This Row],[Date]],Database!$A:$C,MATCH($B$1,Database!$A$1:$C$1,),)=0,#N/A,VLOOKUP(Table7[[#This Row],[Date]],Database!$A:$C,MATCH($B$1,Database!$A$1:$C$1,),))</f>
        <v/>
      </c>
      <c r="C11518">
        <f>IF(VLOOKUP(Table7[[#This Row],[Date]],Database!$A:$C,MATCH($C$1,Database!$A$1:$C$1,),)=0,#N/A,VLOOKUP(Table7[[#This Row],[Date]],Database!$A:$C,MATCH($C$1,Database!$A$1:$C$1,),))</f>
        <v/>
      </c>
      <c r="D11518">
        <f>IFERROR(Table7[[#This Row],[United States 10y]]-Table7[[#This Row],[United States 3y]],#N/A)</f>
        <v/>
      </c>
    </row>
    <row r="11519">
      <c r="A11519" s="6">
        <f>Database!$A13604</f>
        <v/>
      </c>
      <c r="B11519">
        <f>IF(VLOOKUP(Table7[[#This Row],[Date]],Database!$A:$C,MATCH($B$1,Database!$A$1:$C$1,),)=0,#N/A,VLOOKUP(Table7[[#This Row],[Date]],Database!$A:$C,MATCH($B$1,Database!$A$1:$C$1,),))</f>
        <v/>
      </c>
      <c r="C11519">
        <f>IF(VLOOKUP(Table7[[#This Row],[Date]],Database!$A:$C,MATCH($C$1,Database!$A$1:$C$1,),)=0,#N/A,VLOOKUP(Table7[[#This Row],[Date]],Database!$A:$C,MATCH($C$1,Database!$A$1:$C$1,),))</f>
        <v/>
      </c>
      <c r="D11519">
        <f>IFERROR(Table7[[#This Row],[United States 10y]]-Table7[[#This Row],[United States 3y]],#N/A)</f>
        <v/>
      </c>
    </row>
    <row r="11520">
      <c r="A11520" s="6">
        <f>Database!$A13605</f>
        <v/>
      </c>
      <c r="B11520">
        <f>IF(VLOOKUP(Table7[[#This Row],[Date]],Database!$A:$C,MATCH($B$1,Database!$A$1:$C$1,),)=0,#N/A,VLOOKUP(Table7[[#This Row],[Date]],Database!$A:$C,MATCH($B$1,Database!$A$1:$C$1,),))</f>
        <v/>
      </c>
      <c r="C11520">
        <f>IF(VLOOKUP(Table7[[#This Row],[Date]],Database!$A:$C,MATCH($C$1,Database!$A$1:$C$1,),)=0,#N/A,VLOOKUP(Table7[[#This Row],[Date]],Database!$A:$C,MATCH($C$1,Database!$A$1:$C$1,),))</f>
        <v/>
      </c>
      <c r="D11520">
        <f>IFERROR(Table7[[#This Row],[United States 10y]]-Table7[[#This Row],[United States 3y]],#N/A)</f>
        <v/>
      </c>
    </row>
    <row r="11521">
      <c r="A11521" s="6">
        <f>Database!$A13606</f>
        <v/>
      </c>
      <c r="B11521">
        <f>IF(VLOOKUP(Table7[[#This Row],[Date]],Database!$A:$C,MATCH($B$1,Database!$A$1:$C$1,),)=0,#N/A,VLOOKUP(Table7[[#This Row],[Date]],Database!$A:$C,MATCH($B$1,Database!$A$1:$C$1,),))</f>
        <v/>
      </c>
      <c r="C11521">
        <f>IF(VLOOKUP(Table7[[#This Row],[Date]],Database!$A:$C,MATCH($C$1,Database!$A$1:$C$1,),)=0,#N/A,VLOOKUP(Table7[[#This Row],[Date]],Database!$A:$C,MATCH($C$1,Database!$A$1:$C$1,),))</f>
        <v/>
      </c>
      <c r="D11521">
        <f>IFERROR(Table7[[#This Row],[United States 10y]]-Table7[[#This Row],[United States 3y]],#N/A)</f>
        <v/>
      </c>
    </row>
    <row r="11522">
      <c r="A11522" s="6">
        <f>Database!$A13607</f>
        <v/>
      </c>
      <c r="B11522">
        <f>IF(VLOOKUP(Table7[[#This Row],[Date]],Database!$A:$C,MATCH($B$1,Database!$A$1:$C$1,),)=0,#N/A,VLOOKUP(Table7[[#This Row],[Date]],Database!$A:$C,MATCH($B$1,Database!$A$1:$C$1,),))</f>
        <v/>
      </c>
      <c r="C11522">
        <f>IF(VLOOKUP(Table7[[#This Row],[Date]],Database!$A:$C,MATCH($C$1,Database!$A$1:$C$1,),)=0,#N/A,VLOOKUP(Table7[[#This Row],[Date]],Database!$A:$C,MATCH($C$1,Database!$A$1:$C$1,),))</f>
        <v/>
      </c>
      <c r="D11522">
        <f>IFERROR(Table7[[#This Row],[United States 10y]]-Table7[[#This Row],[United States 3y]],#N/A)</f>
        <v/>
      </c>
    </row>
    <row r="11523">
      <c r="A11523" s="6">
        <f>Database!$A13608</f>
        <v/>
      </c>
      <c r="B11523">
        <f>IF(VLOOKUP(Table7[[#This Row],[Date]],Database!$A:$C,MATCH($B$1,Database!$A$1:$C$1,),)=0,#N/A,VLOOKUP(Table7[[#This Row],[Date]],Database!$A:$C,MATCH($B$1,Database!$A$1:$C$1,),))</f>
        <v/>
      </c>
      <c r="C11523">
        <f>IF(VLOOKUP(Table7[[#This Row],[Date]],Database!$A:$C,MATCH($C$1,Database!$A$1:$C$1,),)=0,#N/A,VLOOKUP(Table7[[#This Row],[Date]],Database!$A:$C,MATCH($C$1,Database!$A$1:$C$1,),))</f>
        <v/>
      </c>
      <c r="D11523">
        <f>IFERROR(Table7[[#This Row],[United States 10y]]-Table7[[#This Row],[United States 3y]],#N/A)</f>
        <v/>
      </c>
    </row>
    <row r="11524">
      <c r="A11524" s="6">
        <f>Database!$A13609</f>
        <v/>
      </c>
      <c r="B11524">
        <f>IF(VLOOKUP(Table7[[#This Row],[Date]],Database!$A:$C,MATCH($B$1,Database!$A$1:$C$1,),)=0,#N/A,VLOOKUP(Table7[[#This Row],[Date]],Database!$A:$C,MATCH($B$1,Database!$A$1:$C$1,),))</f>
        <v/>
      </c>
      <c r="C11524">
        <f>IF(VLOOKUP(Table7[[#This Row],[Date]],Database!$A:$C,MATCH($C$1,Database!$A$1:$C$1,),)=0,#N/A,VLOOKUP(Table7[[#This Row],[Date]],Database!$A:$C,MATCH($C$1,Database!$A$1:$C$1,),))</f>
        <v/>
      </c>
      <c r="D11524">
        <f>IFERROR(Table7[[#This Row],[United States 10y]]-Table7[[#This Row],[United States 3y]],#N/A)</f>
        <v/>
      </c>
    </row>
    <row r="11525">
      <c r="A11525" s="6">
        <f>Database!$A13610</f>
        <v/>
      </c>
      <c r="B11525">
        <f>IF(VLOOKUP(Table7[[#This Row],[Date]],Database!$A:$C,MATCH($B$1,Database!$A$1:$C$1,),)=0,#N/A,VLOOKUP(Table7[[#This Row],[Date]],Database!$A:$C,MATCH($B$1,Database!$A$1:$C$1,),))</f>
        <v/>
      </c>
      <c r="C11525">
        <f>IF(VLOOKUP(Table7[[#This Row],[Date]],Database!$A:$C,MATCH($C$1,Database!$A$1:$C$1,),)=0,#N/A,VLOOKUP(Table7[[#This Row],[Date]],Database!$A:$C,MATCH($C$1,Database!$A$1:$C$1,),))</f>
        <v/>
      </c>
      <c r="D11525">
        <f>IFERROR(Table7[[#This Row],[United States 10y]]-Table7[[#This Row],[United States 3y]],#N/A)</f>
        <v/>
      </c>
    </row>
    <row r="11526">
      <c r="A11526" s="6">
        <f>Database!$A13611</f>
        <v/>
      </c>
      <c r="B11526">
        <f>IF(VLOOKUP(Table7[[#This Row],[Date]],Database!$A:$C,MATCH($B$1,Database!$A$1:$C$1,),)=0,#N/A,VLOOKUP(Table7[[#This Row],[Date]],Database!$A:$C,MATCH($B$1,Database!$A$1:$C$1,),))</f>
        <v/>
      </c>
      <c r="C11526">
        <f>IF(VLOOKUP(Table7[[#This Row],[Date]],Database!$A:$C,MATCH($C$1,Database!$A$1:$C$1,),)=0,#N/A,VLOOKUP(Table7[[#This Row],[Date]],Database!$A:$C,MATCH($C$1,Database!$A$1:$C$1,),))</f>
        <v/>
      </c>
      <c r="D11526">
        <f>IFERROR(Table7[[#This Row],[United States 10y]]-Table7[[#This Row],[United States 3y]],#N/A)</f>
        <v/>
      </c>
    </row>
    <row r="11527">
      <c r="A11527" s="6">
        <f>Database!$A13612</f>
        <v/>
      </c>
      <c r="B11527">
        <f>IF(VLOOKUP(Table7[[#This Row],[Date]],Database!$A:$C,MATCH($B$1,Database!$A$1:$C$1,),)=0,#N/A,VLOOKUP(Table7[[#This Row],[Date]],Database!$A:$C,MATCH($B$1,Database!$A$1:$C$1,),))</f>
        <v/>
      </c>
      <c r="C11527">
        <f>IF(VLOOKUP(Table7[[#This Row],[Date]],Database!$A:$C,MATCH($C$1,Database!$A$1:$C$1,),)=0,#N/A,VLOOKUP(Table7[[#This Row],[Date]],Database!$A:$C,MATCH($C$1,Database!$A$1:$C$1,),))</f>
        <v/>
      </c>
      <c r="D11527">
        <f>IFERROR(Table7[[#This Row],[United States 10y]]-Table7[[#This Row],[United States 3y]],#N/A)</f>
        <v/>
      </c>
    </row>
    <row r="11528">
      <c r="A11528" s="6">
        <f>Database!$A13613</f>
        <v/>
      </c>
      <c r="B11528">
        <f>IF(VLOOKUP(Table7[[#This Row],[Date]],Database!$A:$C,MATCH($B$1,Database!$A$1:$C$1,),)=0,#N/A,VLOOKUP(Table7[[#This Row],[Date]],Database!$A:$C,MATCH($B$1,Database!$A$1:$C$1,),))</f>
        <v/>
      </c>
      <c r="C11528">
        <f>IF(VLOOKUP(Table7[[#This Row],[Date]],Database!$A:$C,MATCH($C$1,Database!$A$1:$C$1,),)=0,#N/A,VLOOKUP(Table7[[#This Row],[Date]],Database!$A:$C,MATCH($C$1,Database!$A$1:$C$1,),))</f>
        <v/>
      </c>
      <c r="D11528">
        <f>IFERROR(Table7[[#This Row],[United States 10y]]-Table7[[#This Row],[United States 3y]],#N/A)</f>
        <v/>
      </c>
    </row>
    <row r="11529">
      <c r="A11529" s="6">
        <f>Database!$A13614</f>
        <v/>
      </c>
      <c r="B11529">
        <f>IF(VLOOKUP(Table7[[#This Row],[Date]],Database!$A:$C,MATCH($B$1,Database!$A$1:$C$1,),)=0,#N/A,VLOOKUP(Table7[[#This Row],[Date]],Database!$A:$C,MATCH($B$1,Database!$A$1:$C$1,),))</f>
        <v/>
      </c>
      <c r="C11529">
        <f>IF(VLOOKUP(Table7[[#This Row],[Date]],Database!$A:$C,MATCH($C$1,Database!$A$1:$C$1,),)=0,#N/A,VLOOKUP(Table7[[#This Row],[Date]],Database!$A:$C,MATCH($C$1,Database!$A$1:$C$1,),))</f>
        <v/>
      </c>
      <c r="D11529">
        <f>IFERROR(Table7[[#This Row],[United States 10y]]-Table7[[#This Row],[United States 3y]],#N/A)</f>
        <v/>
      </c>
    </row>
    <row r="11530">
      <c r="A11530" s="6">
        <f>Database!$A13615</f>
        <v/>
      </c>
      <c r="B11530">
        <f>IF(VLOOKUP(Table7[[#This Row],[Date]],Database!$A:$C,MATCH($B$1,Database!$A$1:$C$1,),)=0,#N/A,VLOOKUP(Table7[[#This Row],[Date]],Database!$A:$C,MATCH($B$1,Database!$A$1:$C$1,),))</f>
        <v/>
      </c>
      <c r="C11530">
        <f>IF(VLOOKUP(Table7[[#This Row],[Date]],Database!$A:$C,MATCH($C$1,Database!$A$1:$C$1,),)=0,#N/A,VLOOKUP(Table7[[#This Row],[Date]],Database!$A:$C,MATCH($C$1,Database!$A$1:$C$1,),))</f>
        <v/>
      </c>
      <c r="D11530">
        <f>IFERROR(Table7[[#This Row],[United States 10y]]-Table7[[#This Row],[United States 3y]],#N/A)</f>
        <v/>
      </c>
    </row>
    <row r="11531">
      <c r="A11531" s="6">
        <f>Database!$A13616</f>
        <v/>
      </c>
      <c r="B11531">
        <f>IF(VLOOKUP(Table7[[#This Row],[Date]],Database!$A:$C,MATCH($B$1,Database!$A$1:$C$1,),)=0,#N/A,VLOOKUP(Table7[[#This Row],[Date]],Database!$A:$C,MATCH($B$1,Database!$A$1:$C$1,),))</f>
        <v/>
      </c>
      <c r="C11531">
        <f>IF(VLOOKUP(Table7[[#This Row],[Date]],Database!$A:$C,MATCH($C$1,Database!$A$1:$C$1,),)=0,#N/A,VLOOKUP(Table7[[#This Row],[Date]],Database!$A:$C,MATCH($C$1,Database!$A$1:$C$1,),))</f>
        <v/>
      </c>
      <c r="D11531">
        <f>IFERROR(Table7[[#This Row],[United States 10y]]-Table7[[#This Row],[United States 3y]],#N/A)</f>
        <v/>
      </c>
    </row>
    <row r="11532">
      <c r="A11532" s="6">
        <f>Database!$A13617</f>
        <v/>
      </c>
      <c r="B11532">
        <f>IF(VLOOKUP(Table7[[#This Row],[Date]],Database!$A:$C,MATCH($B$1,Database!$A$1:$C$1,),)=0,#N/A,VLOOKUP(Table7[[#This Row],[Date]],Database!$A:$C,MATCH($B$1,Database!$A$1:$C$1,),))</f>
        <v/>
      </c>
      <c r="C11532">
        <f>IF(VLOOKUP(Table7[[#This Row],[Date]],Database!$A:$C,MATCH($C$1,Database!$A$1:$C$1,),)=0,#N/A,VLOOKUP(Table7[[#This Row],[Date]],Database!$A:$C,MATCH($C$1,Database!$A$1:$C$1,),))</f>
        <v/>
      </c>
      <c r="D11532">
        <f>IFERROR(Table7[[#This Row],[United States 10y]]-Table7[[#This Row],[United States 3y]],#N/A)</f>
        <v/>
      </c>
    </row>
    <row r="11533">
      <c r="A11533" s="6">
        <f>Database!$A13618</f>
        <v/>
      </c>
      <c r="B11533">
        <f>IF(VLOOKUP(Table7[[#This Row],[Date]],Database!$A:$C,MATCH($B$1,Database!$A$1:$C$1,),)=0,#N/A,VLOOKUP(Table7[[#This Row],[Date]],Database!$A:$C,MATCH($B$1,Database!$A$1:$C$1,),))</f>
        <v/>
      </c>
      <c r="C11533">
        <f>IF(VLOOKUP(Table7[[#This Row],[Date]],Database!$A:$C,MATCH($C$1,Database!$A$1:$C$1,),)=0,#N/A,VLOOKUP(Table7[[#This Row],[Date]],Database!$A:$C,MATCH($C$1,Database!$A$1:$C$1,),))</f>
        <v/>
      </c>
      <c r="D11533">
        <f>IFERROR(Table7[[#This Row],[United States 10y]]-Table7[[#This Row],[United States 3y]],#N/A)</f>
        <v/>
      </c>
    </row>
    <row r="11534">
      <c r="A11534" s="6">
        <f>Database!$A13619</f>
        <v/>
      </c>
      <c r="B11534">
        <f>IF(VLOOKUP(Table7[[#This Row],[Date]],Database!$A:$C,MATCH($B$1,Database!$A$1:$C$1,),)=0,#N/A,VLOOKUP(Table7[[#This Row],[Date]],Database!$A:$C,MATCH($B$1,Database!$A$1:$C$1,),))</f>
        <v/>
      </c>
      <c r="C11534">
        <f>IF(VLOOKUP(Table7[[#This Row],[Date]],Database!$A:$C,MATCH($C$1,Database!$A$1:$C$1,),)=0,#N/A,VLOOKUP(Table7[[#This Row],[Date]],Database!$A:$C,MATCH($C$1,Database!$A$1:$C$1,),))</f>
        <v/>
      </c>
      <c r="D11534">
        <f>IFERROR(Table7[[#This Row],[United States 10y]]-Table7[[#This Row],[United States 3y]],#N/A)</f>
        <v/>
      </c>
    </row>
    <row r="11535">
      <c r="A11535" s="6">
        <f>Database!$A13620</f>
        <v/>
      </c>
      <c r="B11535">
        <f>IF(VLOOKUP(Table7[[#This Row],[Date]],Database!$A:$C,MATCH($B$1,Database!$A$1:$C$1,),)=0,#N/A,VLOOKUP(Table7[[#This Row],[Date]],Database!$A:$C,MATCH($B$1,Database!$A$1:$C$1,),))</f>
        <v/>
      </c>
      <c r="C11535">
        <f>IF(VLOOKUP(Table7[[#This Row],[Date]],Database!$A:$C,MATCH($C$1,Database!$A$1:$C$1,),)=0,#N/A,VLOOKUP(Table7[[#This Row],[Date]],Database!$A:$C,MATCH($C$1,Database!$A$1:$C$1,),))</f>
        <v/>
      </c>
      <c r="D11535">
        <f>IFERROR(Table7[[#This Row],[United States 10y]]-Table7[[#This Row],[United States 3y]],#N/A)</f>
        <v/>
      </c>
    </row>
    <row r="11536">
      <c r="A11536" s="6">
        <f>Database!$A13621</f>
        <v/>
      </c>
      <c r="B11536">
        <f>IF(VLOOKUP(Table7[[#This Row],[Date]],Database!$A:$C,MATCH($B$1,Database!$A$1:$C$1,),)=0,#N/A,VLOOKUP(Table7[[#This Row],[Date]],Database!$A:$C,MATCH($B$1,Database!$A$1:$C$1,),))</f>
        <v/>
      </c>
      <c r="C11536">
        <f>IF(VLOOKUP(Table7[[#This Row],[Date]],Database!$A:$C,MATCH($C$1,Database!$A$1:$C$1,),)=0,#N/A,VLOOKUP(Table7[[#This Row],[Date]],Database!$A:$C,MATCH($C$1,Database!$A$1:$C$1,),))</f>
        <v/>
      </c>
      <c r="D11536">
        <f>IFERROR(Table7[[#This Row],[United States 10y]]-Table7[[#This Row],[United States 3y]],#N/A)</f>
        <v/>
      </c>
    </row>
    <row r="11537">
      <c r="A11537" s="6">
        <f>Database!$A13622</f>
        <v/>
      </c>
      <c r="B11537">
        <f>IF(VLOOKUP(Table7[[#This Row],[Date]],Database!$A:$C,MATCH($B$1,Database!$A$1:$C$1,),)=0,#N/A,VLOOKUP(Table7[[#This Row],[Date]],Database!$A:$C,MATCH($B$1,Database!$A$1:$C$1,),))</f>
        <v/>
      </c>
      <c r="C11537">
        <f>IF(VLOOKUP(Table7[[#This Row],[Date]],Database!$A:$C,MATCH($C$1,Database!$A$1:$C$1,),)=0,#N/A,VLOOKUP(Table7[[#This Row],[Date]],Database!$A:$C,MATCH($C$1,Database!$A$1:$C$1,),))</f>
        <v/>
      </c>
      <c r="D11537">
        <f>IFERROR(Table7[[#This Row],[United States 10y]]-Table7[[#This Row],[United States 3y]],#N/A)</f>
        <v/>
      </c>
    </row>
    <row r="11538">
      <c r="A11538" s="6">
        <f>Database!$A13623</f>
        <v/>
      </c>
      <c r="B11538">
        <f>IF(VLOOKUP(Table7[[#This Row],[Date]],Database!$A:$C,MATCH($B$1,Database!$A$1:$C$1,),)=0,#N/A,VLOOKUP(Table7[[#This Row],[Date]],Database!$A:$C,MATCH($B$1,Database!$A$1:$C$1,),))</f>
        <v/>
      </c>
      <c r="C11538">
        <f>IF(VLOOKUP(Table7[[#This Row],[Date]],Database!$A:$C,MATCH($C$1,Database!$A$1:$C$1,),)=0,#N/A,VLOOKUP(Table7[[#This Row],[Date]],Database!$A:$C,MATCH($C$1,Database!$A$1:$C$1,),))</f>
        <v/>
      </c>
      <c r="D11538">
        <f>IFERROR(Table7[[#This Row],[United States 10y]]-Table7[[#This Row],[United States 3y]],#N/A)</f>
        <v/>
      </c>
    </row>
    <row r="11539">
      <c r="A11539" s="6">
        <f>Database!$A13624</f>
        <v/>
      </c>
      <c r="B11539">
        <f>IF(VLOOKUP(Table7[[#This Row],[Date]],Database!$A:$C,MATCH($B$1,Database!$A$1:$C$1,),)=0,#N/A,VLOOKUP(Table7[[#This Row],[Date]],Database!$A:$C,MATCH($B$1,Database!$A$1:$C$1,),))</f>
        <v/>
      </c>
      <c r="C11539">
        <f>IF(VLOOKUP(Table7[[#This Row],[Date]],Database!$A:$C,MATCH($C$1,Database!$A$1:$C$1,),)=0,#N/A,VLOOKUP(Table7[[#This Row],[Date]],Database!$A:$C,MATCH($C$1,Database!$A$1:$C$1,),))</f>
        <v/>
      </c>
      <c r="D11539">
        <f>IFERROR(Table7[[#This Row],[United States 10y]]-Table7[[#This Row],[United States 3y]],#N/A)</f>
        <v/>
      </c>
    </row>
    <row r="11540">
      <c r="A11540" s="6">
        <f>Database!$A13625</f>
        <v/>
      </c>
      <c r="B11540">
        <f>IF(VLOOKUP(Table7[[#This Row],[Date]],Database!$A:$C,MATCH($B$1,Database!$A$1:$C$1,),)=0,#N/A,VLOOKUP(Table7[[#This Row],[Date]],Database!$A:$C,MATCH($B$1,Database!$A$1:$C$1,),))</f>
        <v/>
      </c>
      <c r="C11540">
        <f>IF(VLOOKUP(Table7[[#This Row],[Date]],Database!$A:$C,MATCH($C$1,Database!$A$1:$C$1,),)=0,#N/A,VLOOKUP(Table7[[#This Row],[Date]],Database!$A:$C,MATCH($C$1,Database!$A$1:$C$1,),))</f>
        <v/>
      </c>
      <c r="D11540">
        <f>IFERROR(Table7[[#This Row],[United States 10y]]-Table7[[#This Row],[United States 3y]],#N/A)</f>
        <v/>
      </c>
    </row>
    <row r="11541">
      <c r="A11541" s="6">
        <f>Database!$A13626</f>
        <v/>
      </c>
      <c r="B11541">
        <f>IF(VLOOKUP(Table7[[#This Row],[Date]],Database!$A:$C,MATCH($B$1,Database!$A$1:$C$1,),)=0,#N/A,VLOOKUP(Table7[[#This Row],[Date]],Database!$A:$C,MATCH($B$1,Database!$A$1:$C$1,),))</f>
        <v/>
      </c>
      <c r="C11541">
        <f>IF(VLOOKUP(Table7[[#This Row],[Date]],Database!$A:$C,MATCH($C$1,Database!$A$1:$C$1,),)=0,#N/A,VLOOKUP(Table7[[#This Row],[Date]],Database!$A:$C,MATCH($C$1,Database!$A$1:$C$1,),))</f>
        <v/>
      </c>
      <c r="D11541">
        <f>IFERROR(Table7[[#This Row],[United States 10y]]-Table7[[#This Row],[United States 3y]],#N/A)</f>
        <v/>
      </c>
    </row>
    <row r="11542">
      <c r="A11542" s="6">
        <f>Database!$A13627</f>
        <v/>
      </c>
      <c r="B11542">
        <f>IF(VLOOKUP(Table7[[#This Row],[Date]],Database!$A:$C,MATCH($B$1,Database!$A$1:$C$1,),)=0,#N/A,VLOOKUP(Table7[[#This Row],[Date]],Database!$A:$C,MATCH($B$1,Database!$A$1:$C$1,),))</f>
        <v/>
      </c>
      <c r="C11542">
        <f>IF(VLOOKUP(Table7[[#This Row],[Date]],Database!$A:$C,MATCH($C$1,Database!$A$1:$C$1,),)=0,#N/A,VLOOKUP(Table7[[#This Row],[Date]],Database!$A:$C,MATCH($C$1,Database!$A$1:$C$1,),))</f>
        <v/>
      </c>
      <c r="D11542">
        <f>IFERROR(Table7[[#This Row],[United States 10y]]-Table7[[#This Row],[United States 3y]],#N/A)</f>
        <v/>
      </c>
    </row>
    <row r="11543">
      <c r="A11543" s="6">
        <f>Database!$A13628</f>
        <v/>
      </c>
      <c r="B11543">
        <f>IF(VLOOKUP(Table7[[#This Row],[Date]],Database!$A:$C,MATCH($B$1,Database!$A$1:$C$1,),)=0,#N/A,VLOOKUP(Table7[[#This Row],[Date]],Database!$A:$C,MATCH($B$1,Database!$A$1:$C$1,),))</f>
        <v/>
      </c>
      <c r="C11543">
        <f>IF(VLOOKUP(Table7[[#This Row],[Date]],Database!$A:$C,MATCH($C$1,Database!$A$1:$C$1,),)=0,#N/A,VLOOKUP(Table7[[#This Row],[Date]],Database!$A:$C,MATCH($C$1,Database!$A$1:$C$1,),))</f>
        <v/>
      </c>
      <c r="D11543">
        <f>IFERROR(Table7[[#This Row],[United States 10y]]-Table7[[#This Row],[United States 3y]],#N/A)</f>
        <v/>
      </c>
    </row>
    <row r="11544">
      <c r="A11544" s="6">
        <f>Database!$A13629</f>
        <v/>
      </c>
      <c r="B11544">
        <f>IF(VLOOKUP(Table7[[#This Row],[Date]],Database!$A:$C,MATCH($B$1,Database!$A$1:$C$1,),)=0,#N/A,VLOOKUP(Table7[[#This Row],[Date]],Database!$A:$C,MATCH($B$1,Database!$A$1:$C$1,),))</f>
        <v/>
      </c>
      <c r="C11544">
        <f>IF(VLOOKUP(Table7[[#This Row],[Date]],Database!$A:$C,MATCH($C$1,Database!$A$1:$C$1,),)=0,#N/A,VLOOKUP(Table7[[#This Row],[Date]],Database!$A:$C,MATCH($C$1,Database!$A$1:$C$1,),))</f>
        <v/>
      </c>
      <c r="D11544">
        <f>IFERROR(Table7[[#This Row],[United States 10y]]-Table7[[#This Row],[United States 3y]],#N/A)</f>
        <v/>
      </c>
    </row>
    <row r="11545">
      <c r="A11545" s="6">
        <f>Database!$A13630</f>
        <v/>
      </c>
      <c r="B11545">
        <f>IF(VLOOKUP(Table7[[#This Row],[Date]],Database!$A:$C,MATCH($B$1,Database!$A$1:$C$1,),)=0,#N/A,VLOOKUP(Table7[[#This Row],[Date]],Database!$A:$C,MATCH($B$1,Database!$A$1:$C$1,),))</f>
        <v/>
      </c>
      <c r="C11545">
        <f>IF(VLOOKUP(Table7[[#This Row],[Date]],Database!$A:$C,MATCH($C$1,Database!$A$1:$C$1,),)=0,#N/A,VLOOKUP(Table7[[#This Row],[Date]],Database!$A:$C,MATCH($C$1,Database!$A$1:$C$1,),))</f>
        <v/>
      </c>
      <c r="D11545">
        <f>IFERROR(Table7[[#This Row],[United States 10y]]-Table7[[#This Row],[United States 3y]],#N/A)</f>
        <v/>
      </c>
    </row>
    <row r="11546">
      <c r="A11546" s="6">
        <f>Database!$A13631</f>
        <v/>
      </c>
      <c r="B11546">
        <f>IF(VLOOKUP(Table7[[#This Row],[Date]],Database!$A:$C,MATCH($B$1,Database!$A$1:$C$1,),)=0,#N/A,VLOOKUP(Table7[[#This Row],[Date]],Database!$A:$C,MATCH($B$1,Database!$A$1:$C$1,),))</f>
        <v/>
      </c>
      <c r="C11546">
        <f>IF(VLOOKUP(Table7[[#This Row],[Date]],Database!$A:$C,MATCH($C$1,Database!$A$1:$C$1,),)=0,#N/A,VLOOKUP(Table7[[#This Row],[Date]],Database!$A:$C,MATCH($C$1,Database!$A$1:$C$1,),))</f>
        <v/>
      </c>
      <c r="D11546">
        <f>IFERROR(Table7[[#This Row],[United States 10y]]-Table7[[#This Row],[United States 3y]],#N/A)</f>
        <v/>
      </c>
    </row>
    <row r="11547">
      <c r="A11547" s="6">
        <f>Database!$A13632</f>
        <v/>
      </c>
      <c r="B11547">
        <f>IF(VLOOKUP(Table7[[#This Row],[Date]],Database!$A:$C,MATCH($B$1,Database!$A$1:$C$1,),)=0,#N/A,VLOOKUP(Table7[[#This Row],[Date]],Database!$A:$C,MATCH($B$1,Database!$A$1:$C$1,),))</f>
        <v/>
      </c>
      <c r="C11547">
        <f>IF(VLOOKUP(Table7[[#This Row],[Date]],Database!$A:$C,MATCH($C$1,Database!$A$1:$C$1,),)=0,#N/A,VLOOKUP(Table7[[#This Row],[Date]],Database!$A:$C,MATCH($C$1,Database!$A$1:$C$1,),))</f>
        <v/>
      </c>
      <c r="D11547">
        <f>IFERROR(Table7[[#This Row],[United States 10y]]-Table7[[#This Row],[United States 3y]],#N/A)</f>
        <v/>
      </c>
    </row>
    <row r="11548">
      <c r="A11548" s="6">
        <f>Database!$A13633</f>
        <v/>
      </c>
      <c r="B11548">
        <f>IF(VLOOKUP(Table7[[#This Row],[Date]],Database!$A:$C,MATCH($B$1,Database!$A$1:$C$1,),)=0,#N/A,VLOOKUP(Table7[[#This Row],[Date]],Database!$A:$C,MATCH($B$1,Database!$A$1:$C$1,),))</f>
        <v/>
      </c>
      <c r="C11548">
        <f>IF(VLOOKUP(Table7[[#This Row],[Date]],Database!$A:$C,MATCH($C$1,Database!$A$1:$C$1,),)=0,#N/A,VLOOKUP(Table7[[#This Row],[Date]],Database!$A:$C,MATCH($C$1,Database!$A$1:$C$1,),))</f>
        <v/>
      </c>
      <c r="D11548">
        <f>IFERROR(Table7[[#This Row],[United States 10y]]-Table7[[#This Row],[United States 3y]],#N/A)</f>
        <v/>
      </c>
    </row>
    <row r="11549">
      <c r="A11549" s="6">
        <f>Database!$A13634</f>
        <v/>
      </c>
      <c r="B11549">
        <f>IF(VLOOKUP(Table7[[#This Row],[Date]],Database!$A:$C,MATCH($B$1,Database!$A$1:$C$1,),)=0,#N/A,VLOOKUP(Table7[[#This Row],[Date]],Database!$A:$C,MATCH($B$1,Database!$A$1:$C$1,),))</f>
        <v/>
      </c>
      <c r="C11549">
        <f>IF(VLOOKUP(Table7[[#This Row],[Date]],Database!$A:$C,MATCH($C$1,Database!$A$1:$C$1,),)=0,#N/A,VLOOKUP(Table7[[#This Row],[Date]],Database!$A:$C,MATCH($C$1,Database!$A$1:$C$1,),))</f>
        <v/>
      </c>
      <c r="D11549">
        <f>IFERROR(Table7[[#This Row],[United States 10y]]-Table7[[#This Row],[United States 3y]],#N/A)</f>
        <v/>
      </c>
    </row>
    <row r="11550">
      <c r="A11550" s="6">
        <f>Database!$A13635</f>
        <v/>
      </c>
      <c r="B11550">
        <f>IF(VLOOKUP(Table7[[#This Row],[Date]],Database!$A:$C,MATCH($B$1,Database!$A$1:$C$1,),)=0,#N/A,VLOOKUP(Table7[[#This Row],[Date]],Database!$A:$C,MATCH($B$1,Database!$A$1:$C$1,),))</f>
        <v/>
      </c>
      <c r="C11550">
        <f>IF(VLOOKUP(Table7[[#This Row],[Date]],Database!$A:$C,MATCH($C$1,Database!$A$1:$C$1,),)=0,#N/A,VLOOKUP(Table7[[#This Row],[Date]],Database!$A:$C,MATCH($C$1,Database!$A$1:$C$1,),))</f>
        <v/>
      </c>
      <c r="D11550">
        <f>IFERROR(Table7[[#This Row],[United States 10y]]-Table7[[#This Row],[United States 3y]],#N/A)</f>
        <v/>
      </c>
    </row>
    <row r="11551">
      <c r="A11551" s="6">
        <f>Database!$A13636</f>
        <v/>
      </c>
      <c r="B11551">
        <f>IF(VLOOKUP(Table7[[#This Row],[Date]],Database!$A:$C,MATCH($B$1,Database!$A$1:$C$1,),)=0,#N/A,VLOOKUP(Table7[[#This Row],[Date]],Database!$A:$C,MATCH($B$1,Database!$A$1:$C$1,),))</f>
        <v/>
      </c>
      <c r="C11551">
        <f>IF(VLOOKUP(Table7[[#This Row],[Date]],Database!$A:$C,MATCH($C$1,Database!$A$1:$C$1,),)=0,#N/A,VLOOKUP(Table7[[#This Row],[Date]],Database!$A:$C,MATCH($C$1,Database!$A$1:$C$1,),))</f>
        <v/>
      </c>
      <c r="D11551">
        <f>IFERROR(Table7[[#This Row],[United States 10y]]-Table7[[#This Row],[United States 3y]],#N/A)</f>
        <v/>
      </c>
    </row>
    <row r="11552">
      <c r="A11552" s="6">
        <f>Database!$A13637</f>
        <v/>
      </c>
      <c r="B11552">
        <f>IF(VLOOKUP(Table7[[#This Row],[Date]],Database!$A:$C,MATCH($B$1,Database!$A$1:$C$1,),)=0,#N/A,VLOOKUP(Table7[[#This Row],[Date]],Database!$A:$C,MATCH($B$1,Database!$A$1:$C$1,),))</f>
        <v/>
      </c>
      <c r="C11552">
        <f>IF(VLOOKUP(Table7[[#This Row],[Date]],Database!$A:$C,MATCH($C$1,Database!$A$1:$C$1,),)=0,#N/A,VLOOKUP(Table7[[#This Row],[Date]],Database!$A:$C,MATCH($C$1,Database!$A$1:$C$1,),))</f>
        <v/>
      </c>
      <c r="D11552">
        <f>IFERROR(Table7[[#This Row],[United States 10y]]-Table7[[#This Row],[United States 3y]],#N/A)</f>
        <v/>
      </c>
    </row>
    <row r="11553">
      <c r="A11553" s="6">
        <f>Database!$A13638</f>
        <v/>
      </c>
      <c r="B11553">
        <f>IF(VLOOKUP(Table7[[#This Row],[Date]],Database!$A:$C,MATCH($B$1,Database!$A$1:$C$1,),)=0,#N/A,VLOOKUP(Table7[[#This Row],[Date]],Database!$A:$C,MATCH($B$1,Database!$A$1:$C$1,),))</f>
        <v/>
      </c>
      <c r="C11553">
        <f>IF(VLOOKUP(Table7[[#This Row],[Date]],Database!$A:$C,MATCH($C$1,Database!$A$1:$C$1,),)=0,#N/A,VLOOKUP(Table7[[#This Row],[Date]],Database!$A:$C,MATCH($C$1,Database!$A$1:$C$1,),))</f>
        <v/>
      </c>
      <c r="D11553">
        <f>IFERROR(Table7[[#This Row],[United States 10y]]-Table7[[#This Row],[United States 3y]],#N/A)</f>
        <v/>
      </c>
    </row>
    <row r="11554">
      <c r="A11554" s="6">
        <f>Database!$A13639</f>
        <v/>
      </c>
      <c r="B11554">
        <f>IF(VLOOKUP(Table7[[#This Row],[Date]],Database!$A:$C,MATCH($B$1,Database!$A$1:$C$1,),)=0,#N/A,VLOOKUP(Table7[[#This Row],[Date]],Database!$A:$C,MATCH($B$1,Database!$A$1:$C$1,),))</f>
        <v/>
      </c>
      <c r="C11554">
        <f>IF(VLOOKUP(Table7[[#This Row],[Date]],Database!$A:$C,MATCH($C$1,Database!$A$1:$C$1,),)=0,#N/A,VLOOKUP(Table7[[#This Row],[Date]],Database!$A:$C,MATCH($C$1,Database!$A$1:$C$1,),))</f>
        <v/>
      </c>
      <c r="D11554">
        <f>IFERROR(Table7[[#This Row],[United States 10y]]-Table7[[#This Row],[United States 3y]],#N/A)</f>
        <v/>
      </c>
    </row>
    <row r="11555">
      <c r="A11555" s="6">
        <f>Database!$A13640</f>
        <v/>
      </c>
      <c r="B11555">
        <f>IF(VLOOKUP(Table7[[#This Row],[Date]],Database!$A:$C,MATCH($B$1,Database!$A$1:$C$1,),)=0,#N/A,VLOOKUP(Table7[[#This Row],[Date]],Database!$A:$C,MATCH($B$1,Database!$A$1:$C$1,),))</f>
        <v/>
      </c>
      <c r="C11555">
        <f>IF(VLOOKUP(Table7[[#This Row],[Date]],Database!$A:$C,MATCH($C$1,Database!$A$1:$C$1,),)=0,#N/A,VLOOKUP(Table7[[#This Row],[Date]],Database!$A:$C,MATCH($C$1,Database!$A$1:$C$1,),))</f>
        <v/>
      </c>
      <c r="D11555">
        <f>IFERROR(Table7[[#This Row],[United States 10y]]-Table7[[#This Row],[United States 3y]],#N/A)</f>
        <v/>
      </c>
    </row>
    <row r="11556">
      <c r="A11556" s="6">
        <f>Database!$A13641</f>
        <v/>
      </c>
      <c r="B11556">
        <f>IF(VLOOKUP(Table7[[#This Row],[Date]],Database!$A:$C,MATCH($B$1,Database!$A$1:$C$1,),)=0,#N/A,VLOOKUP(Table7[[#This Row],[Date]],Database!$A:$C,MATCH($B$1,Database!$A$1:$C$1,),))</f>
        <v/>
      </c>
      <c r="C11556">
        <f>IF(VLOOKUP(Table7[[#This Row],[Date]],Database!$A:$C,MATCH($C$1,Database!$A$1:$C$1,),)=0,#N/A,VLOOKUP(Table7[[#This Row],[Date]],Database!$A:$C,MATCH($C$1,Database!$A$1:$C$1,),))</f>
        <v/>
      </c>
      <c r="D11556">
        <f>IFERROR(Table7[[#This Row],[United States 10y]]-Table7[[#This Row],[United States 3y]],#N/A)</f>
        <v/>
      </c>
    </row>
    <row r="11557">
      <c r="A11557" s="6">
        <f>Database!$A13642</f>
        <v/>
      </c>
      <c r="B11557">
        <f>IF(VLOOKUP(Table7[[#This Row],[Date]],Database!$A:$C,MATCH($B$1,Database!$A$1:$C$1,),)=0,#N/A,VLOOKUP(Table7[[#This Row],[Date]],Database!$A:$C,MATCH($B$1,Database!$A$1:$C$1,),))</f>
        <v/>
      </c>
      <c r="C11557">
        <f>IF(VLOOKUP(Table7[[#This Row],[Date]],Database!$A:$C,MATCH($C$1,Database!$A$1:$C$1,),)=0,#N/A,VLOOKUP(Table7[[#This Row],[Date]],Database!$A:$C,MATCH($C$1,Database!$A$1:$C$1,),))</f>
        <v/>
      </c>
      <c r="D11557">
        <f>IFERROR(Table7[[#This Row],[United States 10y]]-Table7[[#This Row],[United States 3y]],#N/A)</f>
        <v/>
      </c>
    </row>
    <row r="11558">
      <c r="A11558" s="6">
        <f>Database!$A13643</f>
        <v/>
      </c>
      <c r="B11558">
        <f>IF(VLOOKUP(Table7[[#This Row],[Date]],Database!$A:$C,MATCH($B$1,Database!$A$1:$C$1,),)=0,#N/A,VLOOKUP(Table7[[#This Row],[Date]],Database!$A:$C,MATCH($B$1,Database!$A$1:$C$1,),))</f>
        <v/>
      </c>
      <c r="C11558">
        <f>IF(VLOOKUP(Table7[[#This Row],[Date]],Database!$A:$C,MATCH($C$1,Database!$A$1:$C$1,),)=0,#N/A,VLOOKUP(Table7[[#This Row],[Date]],Database!$A:$C,MATCH($C$1,Database!$A$1:$C$1,),))</f>
        <v/>
      </c>
      <c r="D11558">
        <f>IFERROR(Table7[[#This Row],[United States 10y]]-Table7[[#This Row],[United States 3y]],#N/A)</f>
        <v/>
      </c>
    </row>
    <row r="11559">
      <c r="A11559" s="6">
        <f>Database!$A13644</f>
        <v/>
      </c>
      <c r="B11559">
        <f>IF(VLOOKUP(Table7[[#This Row],[Date]],Database!$A:$C,MATCH($B$1,Database!$A$1:$C$1,),)=0,#N/A,VLOOKUP(Table7[[#This Row],[Date]],Database!$A:$C,MATCH($B$1,Database!$A$1:$C$1,),))</f>
        <v/>
      </c>
      <c r="C11559">
        <f>IF(VLOOKUP(Table7[[#This Row],[Date]],Database!$A:$C,MATCH($C$1,Database!$A$1:$C$1,),)=0,#N/A,VLOOKUP(Table7[[#This Row],[Date]],Database!$A:$C,MATCH($C$1,Database!$A$1:$C$1,),))</f>
        <v/>
      </c>
      <c r="D11559">
        <f>IFERROR(Table7[[#This Row],[United States 10y]]-Table7[[#This Row],[United States 3y]],#N/A)</f>
        <v/>
      </c>
    </row>
    <row r="11560">
      <c r="A11560" s="6">
        <f>Database!$A13645</f>
        <v/>
      </c>
      <c r="B11560">
        <f>IF(VLOOKUP(Table7[[#This Row],[Date]],Database!$A:$C,MATCH($B$1,Database!$A$1:$C$1,),)=0,#N/A,VLOOKUP(Table7[[#This Row],[Date]],Database!$A:$C,MATCH($B$1,Database!$A$1:$C$1,),))</f>
        <v/>
      </c>
      <c r="C11560">
        <f>IF(VLOOKUP(Table7[[#This Row],[Date]],Database!$A:$C,MATCH($C$1,Database!$A$1:$C$1,),)=0,#N/A,VLOOKUP(Table7[[#This Row],[Date]],Database!$A:$C,MATCH($C$1,Database!$A$1:$C$1,),))</f>
        <v/>
      </c>
      <c r="D11560">
        <f>IFERROR(Table7[[#This Row],[United States 10y]]-Table7[[#This Row],[United States 3y]],#N/A)</f>
        <v/>
      </c>
    </row>
    <row r="11561">
      <c r="A11561" s="6">
        <f>Database!$A13646</f>
        <v/>
      </c>
      <c r="B11561">
        <f>IF(VLOOKUP(Table7[[#This Row],[Date]],Database!$A:$C,MATCH($B$1,Database!$A$1:$C$1,),)=0,#N/A,VLOOKUP(Table7[[#This Row],[Date]],Database!$A:$C,MATCH($B$1,Database!$A$1:$C$1,),))</f>
        <v/>
      </c>
      <c r="C11561">
        <f>IF(VLOOKUP(Table7[[#This Row],[Date]],Database!$A:$C,MATCH($C$1,Database!$A$1:$C$1,),)=0,#N/A,VLOOKUP(Table7[[#This Row],[Date]],Database!$A:$C,MATCH($C$1,Database!$A$1:$C$1,),))</f>
        <v/>
      </c>
      <c r="D11561">
        <f>IFERROR(Table7[[#This Row],[United States 10y]]-Table7[[#This Row],[United States 3y]],#N/A)</f>
        <v/>
      </c>
    </row>
    <row r="11562">
      <c r="A11562" s="6">
        <f>Database!$A13647</f>
        <v/>
      </c>
      <c r="B11562">
        <f>IF(VLOOKUP(Table7[[#This Row],[Date]],Database!$A:$C,MATCH($B$1,Database!$A$1:$C$1,),)=0,#N/A,VLOOKUP(Table7[[#This Row],[Date]],Database!$A:$C,MATCH($B$1,Database!$A$1:$C$1,),))</f>
        <v/>
      </c>
      <c r="C11562">
        <f>IF(VLOOKUP(Table7[[#This Row],[Date]],Database!$A:$C,MATCH($C$1,Database!$A$1:$C$1,),)=0,#N/A,VLOOKUP(Table7[[#This Row],[Date]],Database!$A:$C,MATCH($C$1,Database!$A$1:$C$1,),))</f>
        <v/>
      </c>
      <c r="D11562">
        <f>IFERROR(Table7[[#This Row],[United States 10y]]-Table7[[#This Row],[United States 3y]],#N/A)</f>
        <v/>
      </c>
    </row>
    <row r="11563">
      <c r="A11563" s="6">
        <f>Database!$A13648</f>
        <v/>
      </c>
      <c r="B11563">
        <f>IF(VLOOKUP(Table7[[#This Row],[Date]],Database!$A:$C,MATCH($B$1,Database!$A$1:$C$1,),)=0,#N/A,VLOOKUP(Table7[[#This Row],[Date]],Database!$A:$C,MATCH($B$1,Database!$A$1:$C$1,),))</f>
        <v/>
      </c>
      <c r="C11563">
        <f>IF(VLOOKUP(Table7[[#This Row],[Date]],Database!$A:$C,MATCH($C$1,Database!$A$1:$C$1,),)=0,#N/A,VLOOKUP(Table7[[#This Row],[Date]],Database!$A:$C,MATCH($C$1,Database!$A$1:$C$1,),))</f>
        <v/>
      </c>
      <c r="D11563">
        <f>IFERROR(Table7[[#This Row],[United States 10y]]-Table7[[#This Row],[United States 3y]],#N/A)</f>
        <v/>
      </c>
    </row>
    <row r="11564">
      <c r="A11564" s="6">
        <f>Database!$A13649</f>
        <v/>
      </c>
      <c r="B11564">
        <f>IF(VLOOKUP(Table7[[#This Row],[Date]],Database!$A:$C,MATCH($B$1,Database!$A$1:$C$1,),)=0,#N/A,VLOOKUP(Table7[[#This Row],[Date]],Database!$A:$C,MATCH($B$1,Database!$A$1:$C$1,),))</f>
        <v/>
      </c>
      <c r="C11564">
        <f>IF(VLOOKUP(Table7[[#This Row],[Date]],Database!$A:$C,MATCH($C$1,Database!$A$1:$C$1,),)=0,#N/A,VLOOKUP(Table7[[#This Row],[Date]],Database!$A:$C,MATCH($C$1,Database!$A$1:$C$1,),))</f>
        <v/>
      </c>
      <c r="D11564">
        <f>IFERROR(Table7[[#This Row],[United States 10y]]-Table7[[#This Row],[United States 3y]],#N/A)</f>
        <v/>
      </c>
    </row>
    <row r="11565">
      <c r="A11565" s="6">
        <f>Database!$A13650</f>
        <v/>
      </c>
      <c r="B11565">
        <f>IF(VLOOKUP(Table7[[#This Row],[Date]],Database!$A:$C,MATCH($B$1,Database!$A$1:$C$1,),)=0,#N/A,VLOOKUP(Table7[[#This Row],[Date]],Database!$A:$C,MATCH($B$1,Database!$A$1:$C$1,),))</f>
        <v/>
      </c>
      <c r="C11565">
        <f>IF(VLOOKUP(Table7[[#This Row],[Date]],Database!$A:$C,MATCH($C$1,Database!$A$1:$C$1,),)=0,#N/A,VLOOKUP(Table7[[#This Row],[Date]],Database!$A:$C,MATCH($C$1,Database!$A$1:$C$1,),))</f>
        <v/>
      </c>
      <c r="D11565">
        <f>IFERROR(Table7[[#This Row],[United States 10y]]-Table7[[#This Row],[United States 3y]],#N/A)</f>
        <v/>
      </c>
    </row>
    <row r="11566">
      <c r="A11566" s="6">
        <f>Database!$A13651</f>
        <v/>
      </c>
      <c r="B11566">
        <f>IF(VLOOKUP(Table7[[#This Row],[Date]],Database!$A:$C,MATCH($B$1,Database!$A$1:$C$1,),)=0,#N/A,VLOOKUP(Table7[[#This Row],[Date]],Database!$A:$C,MATCH($B$1,Database!$A$1:$C$1,),))</f>
        <v/>
      </c>
      <c r="C11566">
        <f>IF(VLOOKUP(Table7[[#This Row],[Date]],Database!$A:$C,MATCH($C$1,Database!$A$1:$C$1,),)=0,#N/A,VLOOKUP(Table7[[#This Row],[Date]],Database!$A:$C,MATCH($C$1,Database!$A$1:$C$1,),))</f>
        <v/>
      </c>
      <c r="D11566">
        <f>IFERROR(Table7[[#This Row],[United States 10y]]-Table7[[#This Row],[United States 3y]],#N/A)</f>
        <v/>
      </c>
    </row>
    <row r="11567">
      <c r="A11567" s="6">
        <f>Database!$A13652</f>
        <v/>
      </c>
      <c r="B11567">
        <f>IF(VLOOKUP(Table7[[#This Row],[Date]],Database!$A:$C,MATCH($B$1,Database!$A$1:$C$1,),)=0,#N/A,VLOOKUP(Table7[[#This Row],[Date]],Database!$A:$C,MATCH($B$1,Database!$A$1:$C$1,),))</f>
        <v/>
      </c>
      <c r="C11567">
        <f>IF(VLOOKUP(Table7[[#This Row],[Date]],Database!$A:$C,MATCH($C$1,Database!$A$1:$C$1,),)=0,#N/A,VLOOKUP(Table7[[#This Row],[Date]],Database!$A:$C,MATCH($C$1,Database!$A$1:$C$1,),))</f>
        <v/>
      </c>
      <c r="D11567">
        <f>IFERROR(Table7[[#This Row],[United States 10y]]-Table7[[#This Row],[United States 3y]],#N/A)</f>
        <v/>
      </c>
    </row>
    <row r="11568">
      <c r="A11568" s="6">
        <f>Database!$A13653</f>
        <v/>
      </c>
      <c r="B11568">
        <f>IF(VLOOKUP(Table7[[#This Row],[Date]],Database!$A:$C,MATCH($B$1,Database!$A$1:$C$1,),)=0,#N/A,VLOOKUP(Table7[[#This Row],[Date]],Database!$A:$C,MATCH($B$1,Database!$A$1:$C$1,),))</f>
        <v/>
      </c>
      <c r="C11568">
        <f>IF(VLOOKUP(Table7[[#This Row],[Date]],Database!$A:$C,MATCH($C$1,Database!$A$1:$C$1,),)=0,#N/A,VLOOKUP(Table7[[#This Row],[Date]],Database!$A:$C,MATCH($C$1,Database!$A$1:$C$1,),))</f>
        <v/>
      </c>
      <c r="D11568">
        <f>IFERROR(Table7[[#This Row],[United States 10y]]-Table7[[#This Row],[United States 3y]],#N/A)</f>
        <v/>
      </c>
    </row>
    <row r="11569">
      <c r="A11569" s="6">
        <f>Database!$A13654</f>
        <v/>
      </c>
      <c r="B11569">
        <f>IF(VLOOKUP(Table7[[#This Row],[Date]],Database!$A:$C,MATCH($B$1,Database!$A$1:$C$1,),)=0,#N/A,VLOOKUP(Table7[[#This Row],[Date]],Database!$A:$C,MATCH($B$1,Database!$A$1:$C$1,),))</f>
        <v/>
      </c>
      <c r="C11569">
        <f>IF(VLOOKUP(Table7[[#This Row],[Date]],Database!$A:$C,MATCH($C$1,Database!$A$1:$C$1,),)=0,#N/A,VLOOKUP(Table7[[#This Row],[Date]],Database!$A:$C,MATCH($C$1,Database!$A$1:$C$1,),))</f>
        <v/>
      </c>
      <c r="D11569">
        <f>IFERROR(Table7[[#This Row],[United States 10y]]-Table7[[#This Row],[United States 3y]],#N/A)</f>
        <v/>
      </c>
    </row>
    <row r="11570">
      <c r="A11570" s="6">
        <f>Database!$A13655</f>
        <v/>
      </c>
      <c r="B11570">
        <f>IF(VLOOKUP(Table7[[#This Row],[Date]],Database!$A:$C,MATCH($B$1,Database!$A$1:$C$1,),)=0,#N/A,VLOOKUP(Table7[[#This Row],[Date]],Database!$A:$C,MATCH($B$1,Database!$A$1:$C$1,),))</f>
        <v/>
      </c>
      <c r="C11570">
        <f>IF(VLOOKUP(Table7[[#This Row],[Date]],Database!$A:$C,MATCH($C$1,Database!$A$1:$C$1,),)=0,#N/A,VLOOKUP(Table7[[#This Row],[Date]],Database!$A:$C,MATCH($C$1,Database!$A$1:$C$1,),))</f>
        <v/>
      </c>
      <c r="D11570">
        <f>IFERROR(Table7[[#This Row],[United States 10y]]-Table7[[#This Row],[United States 3y]],#N/A)</f>
        <v/>
      </c>
    </row>
    <row r="11571">
      <c r="A11571" s="6">
        <f>Database!$A13656</f>
        <v/>
      </c>
      <c r="B11571">
        <f>IF(VLOOKUP(Table7[[#This Row],[Date]],Database!$A:$C,MATCH($B$1,Database!$A$1:$C$1,),)=0,#N/A,VLOOKUP(Table7[[#This Row],[Date]],Database!$A:$C,MATCH($B$1,Database!$A$1:$C$1,),))</f>
        <v/>
      </c>
      <c r="C11571">
        <f>IF(VLOOKUP(Table7[[#This Row],[Date]],Database!$A:$C,MATCH($C$1,Database!$A$1:$C$1,),)=0,#N/A,VLOOKUP(Table7[[#This Row],[Date]],Database!$A:$C,MATCH($C$1,Database!$A$1:$C$1,),))</f>
        <v/>
      </c>
      <c r="D11571">
        <f>IFERROR(Table7[[#This Row],[United States 10y]]-Table7[[#This Row],[United States 3y]],#N/A)</f>
        <v/>
      </c>
    </row>
    <row r="11572">
      <c r="A11572" s="6">
        <f>Database!$A13657</f>
        <v/>
      </c>
      <c r="B11572">
        <f>IF(VLOOKUP(Table7[[#This Row],[Date]],Database!$A:$C,MATCH($B$1,Database!$A$1:$C$1,),)=0,#N/A,VLOOKUP(Table7[[#This Row],[Date]],Database!$A:$C,MATCH($B$1,Database!$A$1:$C$1,),))</f>
        <v/>
      </c>
      <c r="C11572">
        <f>IF(VLOOKUP(Table7[[#This Row],[Date]],Database!$A:$C,MATCH($C$1,Database!$A$1:$C$1,),)=0,#N/A,VLOOKUP(Table7[[#This Row],[Date]],Database!$A:$C,MATCH($C$1,Database!$A$1:$C$1,),))</f>
        <v/>
      </c>
      <c r="D11572">
        <f>IFERROR(Table7[[#This Row],[United States 10y]]-Table7[[#This Row],[United States 3y]],#N/A)</f>
        <v/>
      </c>
    </row>
    <row r="11573">
      <c r="A11573" s="6">
        <f>Database!$A13658</f>
        <v/>
      </c>
      <c r="B11573">
        <f>IF(VLOOKUP(Table7[[#This Row],[Date]],Database!$A:$C,MATCH($B$1,Database!$A$1:$C$1,),)=0,#N/A,VLOOKUP(Table7[[#This Row],[Date]],Database!$A:$C,MATCH($B$1,Database!$A$1:$C$1,),))</f>
        <v/>
      </c>
      <c r="C11573">
        <f>IF(VLOOKUP(Table7[[#This Row],[Date]],Database!$A:$C,MATCH($C$1,Database!$A$1:$C$1,),)=0,#N/A,VLOOKUP(Table7[[#This Row],[Date]],Database!$A:$C,MATCH($C$1,Database!$A$1:$C$1,),))</f>
        <v/>
      </c>
      <c r="D11573">
        <f>IFERROR(Table7[[#This Row],[United States 10y]]-Table7[[#This Row],[United States 3y]],#N/A)</f>
        <v/>
      </c>
    </row>
    <row r="11574">
      <c r="A11574" s="6">
        <f>Database!$A13659</f>
        <v/>
      </c>
      <c r="B11574">
        <f>IF(VLOOKUP(Table7[[#This Row],[Date]],Database!$A:$C,MATCH($B$1,Database!$A$1:$C$1,),)=0,#N/A,VLOOKUP(Table7[[#This Row],[Date]],Database!$A:$C,MATCH($B$1,Database!$A$1:$C$1,),))</f>
        <v/>
      </c>
      <c r="C11574">
        <f>IF(VLOOKUP(Table7[[#This Row],[Date]],Database!$A:$C,MATCH($C$1,Database!$A$1:$C$1,),)=0,#N/A,VLOOKUP(Table7[[#This Row],[Date]],Database!$A:$C,MATCH($C$1,Database!$A$1:$C$1,),))</f>
        <v/>
      </c>
      <c r="D11574">
        <f>IFERROR(Table7[[#This Row],[United States 10y]]-Table7[[#This Row],[United States 3y]],#N/A)</f>
        <v/>
      </c>
    </row>
    <row r="11575">
      <c r="A11575" s="6">
        <f>Database!$A13660</f>
        <v/>
      </c>
      <c r="B11575">
        <f>IF(VLOOKUP(Table7[[#This Row],[Date]],Database!$A:$C,MATCH($B$1,Database!$A$1:$C$1,),)=0,#N/A,VLOOKUP(Table7[[#This Row],[Date]],Database!$A:$C,MATCH($B$1,Database!$A$1:$C$1,),))</f>
        <v/>
      </c>
      <c r="C11575">
        <f>IF(VLOOKUP(Table7[[#This Row],[Date]],Database!$A:$C,MATCH($C$1,Database!$A$1:$C$1,),)=0,#N/A,VLOOKUP(Table7[[#This Row],[Date]],Database!$A:$C,MATCH($C$1,Database!$A$1:$C$1,),))</f>
        <v/>
      </c>
      <c r="D11575">
        <f>IFERROR(Table7[[#This Row],[United States 10y]]-Table7[[#This Row],[United States 3y]],#N/A)</f>
        <v/>
      </c>
    </row>
    <row r="11576">
      <c r="A11576" s="6">
        <f>Database!$A13661</f>
        <v/>
      </c>
      <c r="B11576">
        <f>IF(VLOOKUP(Table7[[#This Row],[Date]],Database!$A:$C,MATCH($B$1,Database!$A$1:$C$1,),)=0,#N/A,VLOOKUP(Table7[[#This Row],[Date]],Database!$A:$C,MATCH($B$1,Database!$A$1:$C$1,),))</f>
        <v/>
      </c>
      <c r="C11576">
        <f>IF(VLOOKUP(Table7[[#This Row],[Date]],Database!$A:$C,MATCH($C$1,Database!$A$1:$C$1,),)=0,#N/A,VLOOKUP(Table7[[#This Row],[Date]],Database!$A:$C,MATCH($C$1,Database!$A$1:$C$1,),))</f>
        <v/>
      </c>
      <c r="D11576">
        <f>IFERROR(Table7[[#This Row],[United States 10y]]-Table7[[#This Row],[United States 3y]],#N/A)</f>
        <v/>
      </c>
    </row>
    <row r="11577">
      <c r="A11577" s="6">
        <f>Database!$A13662</f>
        <v/>
      </c>
      <c r="B11577">
        <f>IF(VLOOKUP(Table7[[#This Row],[Date]],Database!$A:$C,MATCH($B$1,Database!$A$1:$C$1,),)=0,#N/A,VLOOKUP(Table7[[#This Row],[Date]],Database!$A:$C,MATCH($B$1,Database!$A$1:$C$1,),))</f>
        <v/>
      </c>
      <c r="C11577">
        <f>IF(VLOOKUP(Table7[[#This Row],[Date]],Database!$A:$C,MATCH($C$1,Database!$A$1:$C$1,),)=0,#N/A,VLOOKUP(Table7[[#This Row],[Date]],Database!$A:$C,MATCH($C$1,Database!$A$1:$C$1,),))</f>
        <v/>
      </c>
      <c r="D11577">
        <f>IFERROR(Table7[[#This Row],[United States 10y]]-Table7[[#This Row],[United States 3y]],#N/A)</f>
        <v/>
      </c>
    </row>
    <row r="11578">
      <c r="A11578" s="6">
        <f>Database!$A13663</f>
        <v/>
      </c>
      <c r="B11578">
        <f>IF(VLOOKUP(Table7[[#This Row],[Date]],Database!$A:$C,MATCH($B$1,Database!$A$1:$C$1,),)=0,#N/A,VLOOKUP(Table7[[#This Row],[Date]],Database!$A:$C,MATCH($B$1,Database!$A$1:$C$1,),))</f>
        <v/>
      </c>
      <c r="C11578">
        <f>IF(VLOOKUP(Table7[[#This Row],[Date]],Database!$A:$C,MATCH($C$1,Database!$A$1:$C$1,),)=0,#N/A,VLOOKUP(Table7[[#This Row],[Date]],Database!$A:$C,MATCH($C$1,Database!$A$1:$C$1,),))</f>
        <v/>
      </c>
      <c r="D11578">
        <f>IFERROR(Table7[[#This Row],[United States 10y]]-Table7[[#This Row],[United States 3y]],#N/A)</f>
        <v/>
      </c>
    </row>
    <row r="11579">
      <c r="A11579" s="6">
        <f>Database!$A13664</f>
        <v/>
      </c>
      <c r="B11579">
        <f>IF(VLOOKUP(Table7[[#This Row],[Date]],Database!$A:$C,MATCH($B$1,Database!$A$1:$C$1,),)=0,#N/A,VLOOKUP(Table7[[#This Row],[Date]],Database!$A:$C,MATCH($B$1,Database!$A$1:$C$1,),))</f>
        <v/>
      </c>
      <c r="C11579">
        <f>IF(VLOOKUP(Table7[[#This Row],[Date]],Database!$A:$C,MATCH($C$1,Database!$A$1:$C$1,),)=0,#N/A,VLOOKUP(Table7[[#This Row],[Date]],Database!$A:$C,MATCH($C$1,Database!$A$1:$C$1,),))</f>
        <v/>
      </c>
      <c r="D11579">
        <f>IFERROR(Table7[[#This Row],[United States 10y]]-Table7[[#This Row],[United States 3y]],#N/A)</f>
        <v/>
      </c>
    </row>
    <row r="11580">
      <c r="A11580" s="6">
        <f>Database!$A13665</f>
        <v/>
      </c>
      <c r="B11580">
        <f>IF(VLOOKUP(Table7[[#This Row],[Date]],Database!$A:$C,MATCH($B$1,Database!$A$1:$C$1,),)=0,#N/A,VLOOKUP(Table7[[#This Row],[Date]],Database!$A:$C,MATCH($B$1,Database!$A$1:$C$1,),))</f>
        <v/>
      </c>
      <c r="C11580">
        <f>IF(VLOOKUP(Table7[[#This Row],[Date]],Database!$A:$C,MATCH($C$1,Database!$A$1:$C$1,),)=0,#N/A,VLOOKUP(Table7[[#This Row],[Date]],Database!$A:$C,MATCH($C$1,Database!$A$1:$C$1,),))</f>
        <v/>
      </c>
      <c r="D11580">
        <f>IFERROR(Table7[[#This Row],[United States 10y]]-Table7[[#This Row],[United States 3y]],#N/A)</f>
        <v/>
      </c>
    </row>
    <row r="11581">
      <c r="A11581" s="6">
        <f>Database!$A13666</f>
        <v/>
      </c>
      <c r="B11581">
        <f>IF(VLOOKUP(Table7[[#This Row],[Date]],Database!$A:$C,MATCH($B$1,Database!$A$1:$C$1,),)=0,#N/A,VLOOKUP(Table7[[#This Row],[Date]],Database!$A:$C,MATCH($B$1,Database!$A$1:$C$1,),))</f>
        <v/>
      </c>
      <c r="C11581">
        <f>IF(VLOOKUP(Table7[[#This Row],[Date]],Database!$A:$C,MATCH($C$1,Database!$A$1:$C$1,),)=0,#N/A,VLOOKUP(Table7[[#This Row],[Date]],Database!$A:$C,MATCH($C$1,Database!$A$1:$C$1,),))</f>
        <v/>
      </c>
      <c r="D11581">
        <f>IFERROR(Table7[[#This Row],[United States 10y]]-Table7[[#This Row],[United States 3y]],#N/A)</f>
        <v/>
      </c>
    </row>
    <row r="11582">
      <c r="A11582" s="6">
        <f>Database!$A13667</f>
        <v/>
      </c>
      <c r="B11582">
        <f>IF(VLOOKUP(Table7[[#This Row],[Date]],Database!$A:$C,MATCH($B$1,Database!$A$1:$C$1,),)=0,#N/A,VLOOKUP(Table7[[#This Row],[Date]],Database!$A:$C,MATCH($B$1,Database!$A$1:$C$1,),))</f>
        <v/>
      </c>
      <c r="C11582">
        <f>IF(VLOOKUP(Table7[[#This Row],[Date]],Database!$A:$C,MATCH($C$1,Database!$A$1:$C$1,),)=0,#N/A,VLOOKUP(Table7[[#This Row],[Date]],Database!$A:$C,MATCH($C$1,Database!$A$1:$C$1,),))</f>
        <v/>
      </c>
      <c r="D11582">
        <f>IFERROR(Table7[[#This Row],[United States 10y]]-Table7[[#This Row],[United States 3y]],#N/A)</f>
        <v/>
      </c>
    </row>
    <row r="11583">
      <c r="A11583" s="6">
        <f>Database!$A13668</f>
        <v/>
      </c>
      <c r="B11583">
        <f>IF(VLOOKUP(Table7[[#This Row],[Date]],Database!$A:$C,MATCH($B$1,Database!$A$1:$C$1,),)=0,#N/A,VLOOKUP(Table7[[#This Row],[Date]],Database!$A:$C,MATCH($B$1,Database!$A$1:$C$1,),))</f>
        <v/>
      </c>
      <c r="C11583">
        <f>IF(VLOOKUP(Table7[[#This Row],[Date]],Database!$A:$C,MATCH($C$1,Database!$A$1:$C$1,),)=0,#N/A,VLOOKUP(Table7[[#This Row],[Date]],Database!$A:$C,MATCH($C$1,Database!$A$1:$C$1,),))</f>
        <v/>
      </c>
      <c r="D11583">
        <f>IFERROR(Table7[[#This Row],[United States 10y]]-Table7[[#This Row],[United States 3y]],#N/A)</f>
        <v/>
      </c>
    </row>
    <row r="11584">
      <c r="A11584" s="6">
        <f>Database!$A13669</f>
        <v/>
      </c>
      <c r="B11584">
        <f>IF(VLOOKUP(Table7[[#This Row],[Date]],Database!$A:$C,MATCH($B$1,Database!$A$1:$C$1,),)=0,#N/A,VLOOKUP(Table7[[#This Row],[Date]],Database!$A:$C,MATCH($B$1,Database!$A$1:$C$1,),))</f>
        <v/>
      </c>
      <c r="C11584">
        <f>IF(VLOOKUP(Table7[[#This Row],[Date]],Database!$A:$C,MATCH($C$1,Database!$A$1:$C$1,),)=0,#N/A,VLOOKUP(Table7[[#This Row],[Date]],Database!$A:$C,MATCH($C$1,Database!$A$1:$C$1,),))</f>
        <v/>
      </c>
      <c r="D11584">
        <f>IFERROR(Table7[[#This Row],[United States 10y]]-Table7[[#This Row],[United States 3y]],#N/A)</f>
        <v/>
      </c>
    </row>
    <row r="11585">
      <c r="A11585" s="6">
        <f>Database!$A13670</f>
        <v/>
      </c>
      <c r="B11585">
        <f>IF(VLOOKUP(Table7[[#This Row],[Date]],Database!$A:$C,MATCH($B$1,Database!$A$1:$C$1,),)=0,#N/A,VLOOKUP(Table7[[#This Row],[Date]],Database!$A:$C,MATCH($B$1,Database!$A$1:$C$1,),))</f>
        <v/>
      </c>
      <c r="C11585">
        <f>IF(VLOOKUP(Table7[[#This Row],[Date]],Database!$A:$C,MATCH($C$1,Database!$A$1:$C$1,),)=0,#N/A,VLOOKUP(Table7[[#This Row],[Date]],Database!$A:$C,MATCH($C$1,Database!$A$1:$C$1,),))</f>
        <v/>
      </c>
      <c r="D11585">
        <f>IFERROR(Table7[[#This Row],[United States 10y]]-Table7[[#This Row],[United States 3y]],#N/A)</f>
        <v/>
      </c>
    </row>
    <row r="11586">
      <c r="A11586" s="6">
        <f>Database!$A13671</f>
        <v/>
      </c>
      <c r="B11586">
        <f>IF(VLOOKUP(Table7[[#This Row],[Date]],Database!$A:$C,MATCH($B$1,Database!$A$1:$C$1,),)=0,#N/A,VLOOKUP(Table7[[#This Row],[Date]],Database!$A:$C,MATCH($B$1,Database!$A$1:$C$1,),))</f>
        <v/>
      </c>
      <c r="C11586">
        <f>IF(VLOOKUP(Table7[[#This Row],[Date]],Database!$A:$C,MATCH($C$1,Database!$A$1:$C$1,),)=0,#N/A,VLOOKUP(Table7[[#This Row],[Date]],Database!$A:$C,MATCH($C$1,Database!$A$1:$C$1,),))</f>
        <v/>
      </c>
      <c r="D11586">
        <f>IFERROR(Table7[[#This Row],[United States 10y]]-Table7[[#This Row],[United States 3y]],#N/A)</f>
        <v/>
      </c>
    </row>
    <row r="11587">
      <c r="A11587" s="6">
        <f>Database!$A13672</f>
        <v/>
      </c>
      <c r="B11587">
        <f>IF(VLOOKUP(Table7[[#This Row],[Date]],Database!$A:$C,MATCH($B$1,Database!$A$1:$C$1,),)=0,#N/A,VLOOKUP(Table7[[#This Row],[Date]],Database!$A:$C,MATCH($B$1,Database!$A$1:$C$1,),))</f>
        <v/>
      </c>
      <c r="C11587">
        <f>IF(VLOOKUP(Table7[[#This Row],[Date]],Database!$A:$C,MATCH($C$1,Database!$A$1:$C$1,),)=0,#N/A,VLOOKUP(Table7[[#This Row],[Date]],Database!$A:$C,MATCH($C$1,Database!$A$1:$C$1,),))</f>
        <v/>
      </c>
      <c r="D11587">
        <f>IFERROR(Table7[[#This Row],[United States 10y]]-Table7[[#This Row],[United States 3y]],#N/A)</f>
        <v/>
      </c>
    </row>
    <row r="11588">
      <c r="A11588" s="6">
        <f>Database!$A13673</f>
        <v/>
      </c>
      <c r="B11588">
        <f>IF(VLOOKUP(Table7[[#This Row],[Date]],Database!$A:$C,MATCH($B$1,Database!$A$1:$C$1,),)=0,#N/A,VLOOKUP(Table7[[#This Row],[Date]],Database!$A:$C,MATCH($B$1,Database!$A$1:$C$1,),))</f>
        <v/>
      </c>
      <c r="C11588">
        <f>IF(VLOOKUP(Table7[[#This Row],[Date]],Database!$A:$C,MATCH($C$1,Database!$A$1:$C$1,),)=0,#N/A,VLOOKUP(Table7[[#This Row],[Date]],Database!$A:$C,MATCH($C$1,Database!$A$1:$C$1,),))</f>
        <v/>
      </c>
      <c r="D11588">
        <f>IFERROR(Table7[[#This Row],[United States 10y]]-Table7[[#This Row],[United States 3y]],#N/A)</f>
        <v/>
      </c>
    </row>
    <row r="11589">
      <c r="A11589" s="6">
        <f>Database!$A13674</f>
        <v/>
      </c>
      <c r="B11589">
        <f>IF(VLOOKUP(Table7[[#This Row],[Date]],Database!$A:$C,MATCH($B$1,Database!$A$1:$C$1,),)=0,#N/A,VLOOKUP(Table7[[#This Row],[Date]],Database!$A:$C,MATCH($B$1,Database!$A$1:$C$1,),))</f>
        <v/>
      </c>
      <c r="C11589">
        <f>IF(VLOOKUP(Table7[[#This Row],[Date]],Database!$A:$C,MATCH($C$1,Database!$A$1:$C$1,),)=0,#N/A,VLOOKUP(Table7[[#This Row],[Date]],Database!$A:$C,MATCH($C$1,Database!$A$1:$C$1,),))</f>
        <v/>
      </c>
      <c r="D11589">
        <f>IFERROR(Table7[[#This Row],[United States 10y]]-Table7[[#This Row],[United States 3y]],#N/A)</f>
        <v/>
      </c>
    </row>
    <row r="11590">
      <c r="A11590" s="6">
        <f>Database!$A13675</f>
        <v/>
      </c>
      <c r="B11590">
        <f>IF(VLOOKUP(Table7[[#This Row],[Date]],Database!$A:$C,MATCH($B$1,Database!$A$1:$C$1,),)=0,#N/A,VLOOKUP(Table7[[#This Row],[Date]],Database!$A:$C,MATCH($B$1,Database!$A$1:$C$1,),))</f>
        <v/>
      </c>
      <c r="C11590">
        <f>IF(VLOOKUP(Table7[[#This Row],[Date]],Database!$A:$C,MATCH($C$1,Database!$A$1:$C$1,),)=0,#N/A,VLOOKUP(Table7[[#This Row],[Date]],Database!$A:$C,MATCH($C$1,Database!$A$1:$C$1,),))</f>
        <v/>
      </c>
      <c r="D11590">
        <f>IFERROR(Table7[[#This Row],[United States 10y]]-Table7[[#This Row],[United States 3y]],#N/A)</f>
        <v/>
      </c>
    </row>
    <row r="11591">
      <c r="A11591" s="6">
        <f>Database!$A13676</f>
        <v/>
      </c>
      <c r="B11591">
        <f>IF(VLOOKUP(Table7[[#This Row],[Date]],Database!$A:$C,MATCH($B$1,Database!$A$1:$C$1,),)=0,#N/A,VLOOKUP(Table7[[#This Row],[Date]],Database!$A:$C,MATCH($B$1,Database!$A$1:$C$1,),))</f>
        <v/>
      </c>
      <c r="C11591">
        <f>IF(VLOOKUP(Table7[[#This Row],[Date]],Database!$A:$C,MATCH($C$1,Database!$A$1:$C$1,),)=0,#N/A,VLOOKUP(Table7[[#This Row],[Date]],Database!$A:$C,MATCH($C$1,Database!$A$1:$C$1,),))</f>
        <v/>
      </c>
      <c r="D11591">
        <f>IFERROR(Table7[[#This Row],[United States 10y]]-Table7[[#This Row],[United States 3y]],#N/A)</f>
        <v/>
      </c>
    </row>
    <row r="11592">
      <c r="A11592" s="6">
        <f>Database!$A13677</f>
        <v/>
      </c>
      <c r="B11592">
        <f>IF(VLOOKUP(Table7[[#This Row],[Date]],Database!$A:$C,MATCH($B$1,Database!$A$1:$C$1,),)=0,#N/A,VLOOKUP(Table7[[#This Row],[Date]],Database!$A:$C,MATCH($B$1,Database!$A$1:$C$1,),))</f>
        <v/>
      </c>
      <c r="C11592">
        <f>IF(VLOOKUP(Table7[[#This Row],[Date]],Database!$A:$C,MATCH($C$1,Database!$A$1:$C$1,),)=0,#N/A,VLOOKUP(Table7[[#This Row],[Date]],Database!$A:$C,MATCH($C$1,Database!$A$1:$C$1,),))</f>
        <v/>
      </c>
      <c r="D11592">
        <f>IFERROR(Table7[[#This Row],[United States 10y]]-Table7[[#This Row],[United States 3y]],#N/A)</f>
        <v/>
      </c>
    </row>
    <row r="11593">
      <c r="A11593" s="6">
        <f>Database!$A13678</f>
        <v/>
      </c>
      <c r="B11593">
        <f>IF(VLOOKUP(Table7[[#This Row],[Date]],Database!$A:$C,MATCH($B$1,Database!$A$1:$C$1,),)=0,#N/A,VLOOKUP(Table7[[#This Row],[Date]],Database!$A:$C,MATCH($B$1,Database!$A$1:$C$1,),))</f>
        <v/>
      </c>
      <c r="C11593">
        <f>IF(VLOOKUP(Table7[[#This Row],[Date]],Database!$A:$C,MATCH($C$1,Database!$A$1:$C$1,),)=0,#N/A,VLOOKUP(Table7[[#This Row],[Date]],Database!$A:$C,MATCH($C$1,Database!$A$1:$C$1,),))</f>
        <v/>
      </c>
      <c r="D11593">
        <f>IFERROR(Table7[[#This Row],[United States 10y]]-Table7[[#This Row],[United States 3y]],#N/A)</f>
        <v/>
      </c>
    </row>
    <row r="11594">
      <c r="A11594" s="6">
        <f>Database!$A13679</f>
        <v/>
      </c>
      <c r="B11594">
        <f>IF(VLOOKUP(Table7[[#This Row],[Date]],Database!$A:$C,MATCH($B$1,Database!$A$1:$C$1,),)=0,#N/A,VLOOKUP(Table7[[#This Row],[Date]],Database!$A:$C,MATCH($B$1,Database!$A$1:$C$1,),))</f>
        <v/>
      </c>
      <c r="C11594">
        <f>IF(VLOOKUP(Table7[[#This Row],[Date]],Database!$A:$C,MATCH($C$1,Database!$A$1:$C$1,),)=0,#N/A,VLOOKUP(Table7[[#This Row],[Date]],Database!$A:$C,MATCH($C$1,Database!$A$1:$C$1,),))</f>
        <v/>
      </c>
      <c r="D11594">
        <f>IFERROR(Table7[[#This Row],[United States 10y]]-Table7[[#This Row],[United States 3y]],#N/A)</f>
        <v/>
      </c>
    </row>
    <row r="11595">
      <c r="A11595" s="6">
        <f>Database!$A13680</f>
        <v/>
      </c>
      <c r="B11595">
        <f>IF(VLOOKUP(Table7[[#This Row],[Date]],Database!$A:$C,MATCH($B$1,Database!$A$1:$C$1,),)=0,#N/A,VLOOKUP(Table7[[#This Row],[Date]],Database!$A:$C,MATCH($B$1,Database!$A$1:$C$1,),))</f>
        <v/>
      </c>
      <c r="C11595">
        <f>IF(VLOOKUP(Table7[[#This Row],[Date]],Database!$A:$C,MATCH($C$1,Database!$A$1:$C$1,),)=0,#N/A,VLOOKUP(Table7[[#This Row],[Date]],Database!$A:$C,MATCH($C$1,Database!$A$1:$C$1,),))</f>
        <v/>
      </c>
      <c r="D11595">
        <f>IFERROR(Table7[[#This Row],[United States 10y]]-Table7[[#This Row],[United States 3y]],#N/A)</f>
        <v/>
      </c>
    </row>
    <row r="11596">
      <c r="A11596" s="6">
        <f>Database!$A13681</f>
        <v/>
      </c>
      <c r="B11596">
        <f>IF(VLOOKUP(Table7[[#This Row],[Date]],Database!$A:$C,MATCH($B$1,Database!$A$1:$C$1,),)=0,#N/A,VLOOKUP(Table7[[#This Row],[Date]],Database!$A:$C,MATCH($B$1,Database!$A$1:$C$1,),))</f>
        <v/>
      </c>
      <c r="C11596">
        <f>IF(VLOOKUP(Table7[[#This Row],[Date]],Database!$A:$C,MATCH($C$1,Database!$A$1:$C$1,),)=0,#N/A,VLOOKUP(Table7[[#This Row],[Date]],Database!$A:$C,MATCH($C$1,Database!$A$1:$C$1,),))</f>
        <v/>
      </c>
      <c r="D11596">
        <f>IFERROR(Table7[[#This Row],[United States 10y]]-Table7[[#This Row],[United States 3y]],#N/A)</f>
        <v/>
      </c>
    </row>
    <row r="11597">
      <c r="A11597" s="6">
        <f>Database!$A13682</f>
        <v/>
      </c>
      <c r="B11597">
        <f>IF(VLOOKUP(Table7[[#This Row],[Date]],Database!$A:$C,MATCH($B$1,Database!$A$1:$C$1,),)=0,#N/A,VLOOKUP(Table7[[#This Row],[Date]],Database!$A:$C,MATCH($B$1,Database!$A$1:$C$1,),))</f>
        <v/>
      </c>
      <c r="C11597">
        <f>IF(VLOOKUP(Table7[[#This Row],[Date]],Database!$A:$C,MATCH($C$1,Database!$A$1:$C$1,),)=0,#N/A,VLOOKUP(Table7[[#This Row],[Date]],Database!$A:$C,MATCH($C$1,Database!$A$1:$C$1,),))</f>
        <v/>
      </c>
      <c r="D11597">
        <f>IFERROR(Table7[[#This Row],[United States 10y]]-Table7[[#This Row],[United States 3y]],#N/A)</f>
        <v/>
      </c>
    </row>
    <row r="11598">
      <c r="A11598" s="6">
        <f>Database!$A13683</f>
        <v/>
      </c>
      <c r="B11598">
        <f>IF(VLOOKUP(Table7[[#This Row],[Date]],Database!$A:$C,MATCH($B$1,Database!$A$1:$C$1,),)=0,#N/A,VLOOKUP(Table7[[#This Row],[Date]],Database!$A:$C,MATCH($B$1,Database!$A$1:$C$1,),))</f>
        <v/>
      </c>
      <c r="C11598">
        <f>IF(VLOOKUP(Table7[[#This Row],[Date]],Database!$A:$C,MATCH($C$1,Database!$A$1:$C$1,),)=0,#N/A,VLOOKUP(Table7[[#This Row],[Date]],Database!$A:$C,MATCH($C$1,Database!$A$1:$C$1,),))</f>
        <v/>
      </c>
      <c r="D11598">
        <f>IFERROR(Table7[[#This Row],[United States 10y]]-Table7[[#This Row],[United States 3y]],#N/A)</f>
        <v/>
      </c>
    </row>
    <row r="11599">
      <c r="A11599" s="6">
        <f>Database!$A13684</f>
        <v/>
      </c>
      <c r="B11599">
        <f>IF(VLOOKUP(Table7[[#This Row],[Date]],Database!$A:$C,MATCH($B$1,Database!$A$1:$C$1,),)=0,#N/A,VLOOKUP(Table7[[#This Row],[Date]],Database!$A:$C,MATCH($B$1,Database!$A$1:$C$1,),))</f>
        <v/>
      </c>
      <c r="C11599">
        <f>IF(VLOOKUP(Table7[[#This Row],[Date]],Database!$A:$C,MATCH($C$1,Database!$A$1:$C$1,),)=0,#N/A,VLOOKUP(Table7[[#This Row],[Date]],Database!$A:$C,MATCH($C$1,Database!$A$1:$C$1,),))</f>
        <v/>
      </c>
      <c r="D11599">
        <f>IFERROR(Table7[[#This Row],[United States 10y]]-Table7[[#This Row],[United States 3y]],#N/A)</f>
        <v/>
      </c>
    </row>
    <row r="11600">
      <c r="A11600" s="6">
        <f>Database!$A13685</f>
        <v/>
      </c>
      <c r="B11600">
        <f>IF(VLOOKUP(Table7[[#This Row],[Date]],Database!$A:$C,MATCH($B$1,Database!$A$1:$C$1,),)=0,#N/A,VLOOKUP(Table7[[#This Row],[Date]],Database!$A:$C,MATCH($B$1,Database!$A$1:$C$1,),))</f>
        <v/>
      </c>
      <c r="C11600">
        <f>IF(VLOOKUP(Table7[[#This Row],[Date]],Database!$A:$C,MATCH($C$1,Database!$A$1:$C$1,),)=0,#N/A,VLOOKUP(Table7[[#This Row],[Date]],Database!$A:$C,MATCH($C$1,Database!$A$1:$C$1,),))</f>
        <v/>
      </c>
      <c r="D11600">
        <f>IFERROR(Table7[[#This Row],[United States 10y]]-Table7[[#This Row],[United States 3y]],#N/A)</f>
        <v/>
      </c>
    </row>
    <row r="11601">
      <c r="A11601" s="6">
        <f>Database!$A13686</f>
        <v/>
      </c>
      <c r="B11601">
        <f>IF(VLOOKUP(Table7[[#This Row],[Date]],Database!$A:$C,MATCH($B$1,Database!$A$1:$C$1,),)=0,#N/A,VLOOKUP(Table7[[#This Row],[Date]],Database!$A:$C,MATCH($B$1,Database!$A$1:$C$1,),))</f>
        <v/>
      </c>
      <c r="C11601">
        <f>IF(VLOOKUP(Table7[[#This Row],[Date]],Database!$A:$C,MATCH($C$1,Database!$A$1:$C$1,),)=0,#N/A,VLOOKUP(Table7[[#This Row],[Date]],Database!$A:$C,MATCH($C$1,Database!$A$1:$C$1,),))</f>
        <v/>
      </c>
      <c r="D11601">
        <f>IFERROR(Table7[[#This Row],[United States 10y]]-Table7[[#This Row],[United States 3y]],#N/A)</f>
        <v/>
      </c>
    </row>
    <row r="11602">
      <c r="A11602" s="6">
        <f>Database!$A13687</f>
        <v/>
      </c>
      <c r="B11602">
        <f>IF(VLOOKUP(Table7[[#This Row],[Date]],Database!$A:$C,MATCH($B$1,Database!$A$1:$C$1,),)=0,#N/A,VLOOKUP(Table7[[#This Row],[Date]],Database!$A:$C,MATCH($B$1,Database!$A$1:$C$1,),))</f>
        <v/>
      </c>
      <c r="C11602">
        <f>IF(VLOOKUP(Table7[[#This Row],[Date]],Database!$A:$C,MATCH($C$1,Database!$A$1:$C$1,),)=0,#N/A,VLOOKUP(Table7[[#This Row],[Date]],Database!$A:$C,MATCH($C$1,Database!$A$1:$C$1,),))</f>
        <v/>
      </c>
      <c r="D11602">
        <f>IFERROR(Table7[[#This Row],[United States 10y]]-Table7[[#This Row],[United States 3y]],#N/A)</f>
        <v/>
      </c>
    </row>
    <row r="11603">
      <c r="A11603" s="6">
        <f>Database!$A13688</f>
        <v/>
      </c>
      <c r="B11603">
        <f>IF(VLOOKUP(Table7[[#This Row],[Date]],Database!$A:$C,MATCH($B$1,Database!$A$1:$C$1,),)=0,#N/A,VLOOKUP(Table7[[#This Row],[Date]],Database!$A:$C,MATCH($B$1,Database!$A$1:$C$1,),))</f>
        <v/>
      </c>
      <c r="C11603">
        <f>IF(VLOOKUP(Table7[[#This Row],[Date]],Database!$A:$C,MATCH($C$1,Database!$A$1:$C$1,),)=0,#N/A,VLOOKUP(Table7[[#This Row],[Date]],Database!$A:$C,MATCH($C$1,Database!$A$1:$C$1,),))</f>
        <v/>
      </c>
      <c r="D11603">
        <f>IFERROR(Table7[[#This Row],[United States 10y]]-Table7[[#This Row],[United States 3y]],#N/A)</f>
        <v/>
      </c>
    </row>
    <row r="11604">
      <c r="A11604" s="6">
        <f>Database!$A13689</f>
        <v/>
      </c>
      <c r="B11604">
        <f>IF(VLOOKUP(Table7[[#This Row],[Date]],Database!$A:$C,MATCH($B$1,Database!$A$1:$C$1,),)=0,#N/A,VLOOKUP(Table7[[#This Row],[Date]],Database!$A:$C,MATCH($B$1,Database!$A$1:$C$1,),))</f>
        <v/>
      </c>
      <c r="C11604">
        <f>IF(VLOOKUP(Table7[[#This Row],[Date]],Database!$A:$C,MATCH($C$1,Database!$A$1:$C$1,),)=0,#N/A,VLOOKUP(Table7[[#This Row],[Date]],Database!$A:$C,MATCH($C$1,Database!$A$1:$C$1,),))</f>
        <v/>
      </c>
      <c r="D11604">
        <f>IFERROR(Table7[[#This Row],[United States 10y]]-Table7[[#This Row],[United States 3y]],#N/A)</f>
        <v/>
      </c>
    </row>
    <row r="11605">
      <c r="A11605" s="6">
        <f>Database!$A13690</f>
        <v/>
      </c>
      <c r="B11605">
        <f>IF(VLOOKUP(Table7[[#This Row],[Date]],Database!$A:$C,MATCH($B$1,Database!$A$1:$C$1,),)=0,#N/A,VLOOKUP(Table7[[#This Row],[Date]],Database!$A:$C,MATCH($B$1,Database!$A$1:$C$1,),))</f>
        <v/>
      </c>
      <c r="C11605">
        <f>IF(VLOOKUP(Table7[[#This Row],[Date]],Database!$A:$C,MATCH($C$1,Database!$A$1:$C$1,),)=0,#N/A,VLOOKUP(Table7[[#This Row],[Date]],Database!$A:$C,MATCH($C$1,Database!$A$1:$C$1,),))</f>
        <v/>
      </c>
      <c r="D11605">
        <f>IFERROR(Table7[[#This Row],[United States 10y]]-Table7[[#This Row],[United States 3y]],#N/A)</f>
        <v/>
      </c>
    </row>
    <row r="11606">
      <c r="A11606" s="6">
        <f>Database!$A13691</f>
        <v/>
      </c>
      <c r="B11606">
        <f>IF(VLOOKUP(Table7[[#This Row],[Date]],Database!$A:$C,MATCH($B$1,Database!$A$1:$C$1,),)=0,#N/A,VLOOKUP(Table7[[#This Row],[Date]],Database!$A:$C,MATCH($B$1,Database!$A$1:$C$1,),))</f>
        <v/>
      </c>
      <c r="C11606">
        <f>IF(VLOOKUP(Table7[[#This Row],[Date]],Database!$A:$C,MATCH($C$1,Database!$A$1:$C$1,),)=0,#N/A,VLOOKUP(Table7[[#This Row],[Date]],Database!$A:$C,MATCH($C$1,Database!$A$1:$C$1,),))</f>
        <v/>
      </c>
      <c r="D11606">
        <f>IFERROR(Table7[[#This Row],[United States 10y]]-Table7[[#This Row],[United States 3y]],#N/A)</f>
        <v/>
      </c>
    </row>
    <row r="11607">
      <c r="A11607" s="6">
        <f>Database!$A13692</f>
        <v/>
      </c>
      <c r="B11607">
        <f>IF(VLOOKUP(Table7[[#This Row],[Date]],Database!$A:$C,MATCH($B$1,Database!$A$1:$C$1,),)=0,#N/A,VLOOKUP(Table7[[#This Row],[Date]],Database!$A:$C,MATCH($B$1,Database!$A$1:$C$1,),))</f>
        <v/>
      </c>
      <c r="C11607">
        <f>IF(VLOOKUP(Table7[[#This Row],[Date]],Database!$A:$C,MATCH($C$1,Database!$A$1:$C$1,),)=0,#N/A,VLOOKUP(Table7[[#This Row],[Date]],Database!$A:$C,MATCH($C$1,Database!$A$1:$C$1,),))</f>
        <v/>
      </c>
      <c r="D11607">
        <f>IFERROR(Table7[[#This Row],[United States 10y]]-Table7[[#This Row],[United States 3y]],#N/A)</f>
        <v/>
      </c>
    </row>
    <row r="11608">
      <c r="A11608" s="6">
        <f>Database!$A13693</f>
        <v/>
      </c>
      <c r="B11608">
        <f>IF(VLOOKUP(Table7[[#This Row],[Date]],Database!$A:$C,MATCH($B$1,Database!$A$1:$C$1,),)=0,#N/A,VLOOKUP(Table7[[#This Row],[Date]],Database!$A:$C,MATCH($B$1,Database!$A$1:$C$1,),))</f>
        <v/>
      </c>
      <c r="C11608">
        <f>IF(VLOOKUP(Table7[[#This Row],[Date]],Database!$A:$C,MATCH($C$1,Database!$A$1:$C$1,),)=0,#N/A,VLOOKUP(Table7[[#This Row],[Date]],Database!$A:$C,MATCH($C$1,Database!$A$1:$C$1,),))</f>
        <v/>
      </c>
      <c r="D11608">
        <f>IFERROR(Table7[[#This Row],[United States 10y]]-Table7[[#This Row],[United States 3y]],#N/A)</f>
        <v/>
      </c>
    </row>
    <row r="11609">
      <c r="A11609" s="6">
        <f>Database!$A13694</f>
        <v/>
      </c>
      <c r="B11609">
        <f>IF(VLOOKUP(Table7[[#This Row],[Date]],Database!$A:$C,MATCH($B$1,Database!$A$1:$C$1,),)=0,#N/A,VLOOKUP(Table7[[#This Row],[Date]],Database!$A:$C,MATCH($B$1,Database!$A$1:$C$1,),))</f>
        <v/>
      </c>
      <c r="C11609">
        <f>IF(VLOOKUP(Table7[[#This Row],[Date]],Database!$A:$C,MATCH($C$1,Database!$A$1:$C$1,),)=0,#N/A,VLOOKUP(Table7[[#This Row],[Date]],Database!$A:$C,MATCH($C$1,Database!$A$1:$C$1,),))</f>
        <v/>
      </c>
      <c r="D11609">
        <f>IFERROR(Table7[[#This Row],[United States 10y]]-Table7[[#This Row],[United States 3y]],#N/A)</f>
        <v/>
      </c>
    </row>
    <row r="11610">
      <c r="A11610" s="6">
        <f>Database!$A13695</f>
        <v/>
      </c>
      <c r="B11610">
        <f>IF(VLOOKUP(Table7[[#This Row],[Date]],Database!$A:$C,MATCH($B$1,Database!$A$1:$C$1,),)=0,#N/A,VLOOKUP(Table7[[#This Row],[Date]],Database!$A:$C,MATCH($B$1,Database!$A$1:$C$1,),))</f>
        <v/>
      </c>
      <c r="C11610">
        <f>IF(VLOOKUP(Table7[[#This Row],[Date]],Database!$A:$C,MATCH($C$1,Database!$A$1:$C$1,),)=0,#N/A,VLOOKUP(Table7[[#This Row],[Date]],Database!$A:$C,MATCH($C$1,Database!$A$1:$C$1,),))</f>
        <v/>
      </c>
      <c r="D11610">
        <f>IFERROR(Table7[[#This Row],[United States 10y]]-Table7[[#This Row],[United States 3y]],#N/A)</f>
        <v/>
      </c>
    </row>
    <row r="11611">
      <c r="A11611" s="6">
        <f>Database!$A13696</f>
        <v/>
      </c>
      <c r="B11611">
        <f>IF(VLOOKUP(Table7[[#This Row],[Date]],Database!$A:$C,MATCH($B$1,Database!$A$1:$C$1,),)=0,#N/A,VLOOKUP(Table7[[#This Row],[Date]],Database!$A:$C,MATCH($B$1,Database!$A$1:$C$1,),))</f>
        <v/>
      </c>
      <c r="C11611">
        <f>IF(VLOOKUP(Table7[[#This Row],[Date]],Database!$A:$C,MATCH($C$1,Database!$A$1:$C$1,),)=0,#N/A,VLOOKUP(Table7[[#This Row],[Date]],Database!$A:$C,MATCH($C$1,Database!$A$1:$C$1,),))</f>
        <v/>
      </c>
      <c r="D11611">
        <f>IFERROR(Table7[[#This Row],[United States 10y]]-Table7[[#This Row],[United States 3y]],#N/A)</f>
        <v/>
      </c>
    </row>
    <row r="11612">
      <c r="A11612" s="6">
        <f>Database!$A13697</f>
        <v/>
      </c>
      <c r="B11612">
        <f>IF(VLOOKUP(Table7[[#This Row],[Date]],Database!$A:$C,MATCH($B$1,Database!$A$1:$C$1,),)=0,#N/A,VLOOKUP(Table7[[#This Row],[Date]],Database!$A:$C,MATCH($B$1,Database!$A$1:$C$1,),))</f>
        <v/>
      </c>
      <c r="C11612">
        <f>IF(VLOOKUP(Table7[[#This Row],[Date]],Database!$A:$C,MATCH($C$1,Database!$A$1:$C$1,),)=0,#N/A,VLOOKUP(Table7[[#This Row],[Date]],Database!$A:$C,MATCH($C$1,Database!$A$1:$C$1,),))</f>
        <v/>
      </c>
      <c r="D11612">
        <f>IFERROR(Table7[[#This Row],[United States 10y]]-Table7[[#This Row],[United States 3y]],#N/A)</f>
        <v/>
      </c>
    </row>
    <row r="11613">
      <c r="A11613" s="6">
        <f>Database!$A13698</f>
        <v/>
      </c>
      <c r="B11613">
        <f>IF(VLOOKUP(Table7[[#This Row],[Date]],Database!$A:$C,MATCH($B$1,Database!$A$1:$C$1,),)=0,#N/A,VLOOKUP(Table7[[#This Row],[Date]],Database!$A:$C,MATCH($B$1,Database!$A$1:$C$1,),))</f>
        <v/>
      </c>
      <c r="C11613">
        <f>IF(VLOOKUP(Table7[[#This Row],[Date]],Database!$A:$C,MATCH($C$1,Database!$A$1:$C$1,),)=0,#N/A,VLOOKUP(Table7[[#This Row],[Date]],Database!$A:$C,MATCH($C$1,Database!$A$1:$C$1,),))</f>
        <v/>
      </c>
      <c r="D11613">
        <f>IFERROR(Table7[[#This Row],[United States 10y]]-Table7[[#This Row],[United States 3y]],#N/A)</f>
        <v/>
      </c>
    </row>
    <row r="11614">
      <c r="A11614" s="6">
        <f>Database!$A13699</f>
        <v/>
      </c>
      <c r="B11614">
        <f>IF(VLOOKUP(Table7[[#This Row],[Date]],Database!$A:$C,MATCH($B$1,Database!$A$1:$C$1,),)=0,#N/A,VLOOKUP(Table7[[#This Row],[Date]],Database!$A:$C,MATCH($B$1,Database!$A$1:$C$1,),))</f>
        <v/>
      </c>
      <c r="C11614">
        <f>IF(VLOOKUP(Table7[[#This Row],[Date]],Database!$A:$C,MATCH($C$1,Database!$A$1:$C$1,),)=0,#N/A,VLOOKUP(Table7[[#This Row],[Date]],Database!$A:$C,MATCH($C$1,Database!$A$1:$C$1,),))</f>
        <v/>
      </c>
      <c r="D11614">
        <f>IFERROR(Table7[[#This Row],[United States 10y]]-Table7[[#This Row],[United States 3y]],#N/A)</f>
        <v/>
      </c>
    </row>
    <row r="11615">
      <c r="A11615" s="6">
        <f>Database!$A13700</f>
        <v/>
      </c>
      <c r="B11615">
        <f>IF(VLOOKUP(Table7[[#This Row],[Date]],Database!$A:$C,MATCH($B$1,Database!$A$1:$C$1,),)=0,#N/A,VLOOKUP(Table7[[#This Row],[Date]],Database!$A:$C,MATCH($B$1,Database!$A$1:$C$1,),))</f>
        <v/>
      </c>
      <c r="C11615">
        <f>IF(VLOOKUP(Table7[[#This Row],[Date]],Database!$A:$C,MATCH($C$1,Database!$A$1:$C$1,),)=0,#N/A,VLOOKUP(Table7[[#This Row],[Date]],Database!$A:$C,MATCH($C$1,Database!$A$1:$C$1,),))</f>
        <v/>
      </c>
      <c r="D11615">
        <f>IFERROR(Table7[[#This Row],[United States 10y]]-Table7[[#This Row],[United States 3y]],#N/A)</f>
        <v/>
      </c>
    </row>
    <row r="11616">
      <c r="A11616" s="6">
        <f>Database!$A13701</f>
        <v/>
      </c>
      <c r="B11616">
        <f>IF(VLOOKUP(Table7[[#This Row],[Date]],Database!$A:$C,MATCH($B$1,Database!$A$1:$C$1,),)=0,#N/A,VLOOKUP(Table7[[#This Row],[Date]],Database!$A:$C,MATCH($B$1,Database!$A$1:$C$1,),))</f>
        <v/>
      </c>
      <c r="C11616">
        <f>IF(VLOOKUP(Table7[[#This Row],[Date]],Database!$A:$C,MATCH($C$1,Database!$A$1:$C$1,),)=0,#N/A,VLOOKUP(Table7[[#This Row],[Date]],Database!$A:$C,MATCH($C$1,Database!$A$1:$C$1,),))</f>
        <v/>
      </c>
      <c r="D11616">
        <f>IFERROR(Table7[[#This Row],[United States 10y]]-Table7[[#This Row],[United States 3y]],#N/A)</f>
        <v/>
      </c>
    </row>
    <row r="11617">
      <c r="A11617" s="6">
        <f>Database!$A13702</f>
        <v/>
      </c>
      <c r="B11617">
        <f>IF(VLOOKUP(Table7[[#This Row],[Date]],Database!$A:$C,MATCH($B$1,Database!$A$1:$C$1,),)=0,#N/A,VLOOKUP(Table7[[#This Row],[Date]],Database!$A:$C,MATCH($B$1,Database!$A$1:$C$1,),))</f>
        <v/>
      </c>
      <c r="C11617">
        <f>IF(VLOOKUP(Table7[[#This Row],[Date]],Database!$A:$C,MATCH($C$1,Database!$A$1:$C$1,),)=0,#N/A,VLOOKUP(Table7[[#This Row],[Date]],Database!$A:$C,MATCH($C$1,Database!$A$1:$C$1,),))</f>
        <v/>
      </c>
      <c r="D11617">
        <f>IFERROR(Table7[[#This Row],[United States 10y]]-Table7[[#This Row],[United States 3y]],#N/A)</f>
        <v/>
      </c>
    </row>
    <row r="11618">
      <c r="A11618" s="6">
        <f>Database!$A13703</f>
        <v/>
      </c>
      <c r="B11618">
        <f>IF(VLOOKUP(Table7[[#This Row],[Date]],Database!$A:$C,MATCH($B$1,Database!$A$1:$C$1,),)=0,#N/A,VLOOKUP(Table7[[#This Row],[Date]],Database!$A:$C,MATCH($B$1,Database!$A$1:$C$1,),))</f>
        <v/>
      </c>
      <c r="C11618">
        <f>IF(VLOOKUP(Table7[[#This Row],[Date]],Database!$A:$C,MATCH($C$1,Database!$A$1:$C$1,),)=0,#N/A,VLOOKUP(Table7[[#This Row],[Date]],Database!$A:$C,MATCH($C$1,Database!$A$1:$C$1,),))</f>
        <v/>
      </c>
      <c r="D11618">
        <f>IFERROR(Table7[[#This Row],[United States 10y]]-Table7[[#This Row],[United States 3y]],#N/A)</f>
        <v/>
      </c>
    </row>
    <row r="11619">
      <c r="A11619" s="6">
        <f>Database!$A13704</f>
        <v/>
      </c>
      <c r="B11619">
        <f>IF(VLOOKUP(Table7[[#This Row],[Date]],Database!$A:$C,MATCH($B$1,Database!$A$1:$C$1,),)=0,#N/A,VLOOKUP(Table7[[#This Row],[Date]],Database!$A:$C,MATCH($B$1,Database!$A$1:$C$1,),))</f>
        <v/>
      </c>
      <c r="C11619">
        <f>IF(VLOOKUP(Table7[[#This Row],[Date]],Database!$A:$C,MATCH($C$1,Database!$A$1:$C$1,),)=0,#N/A,VLOOKUP(Table7[[#This Row],[Date]],Database!$A:$C,MATCH($C$1,Database!$A$1:$C$1,),))</f>
        <v/>
      </c>
      <c r="D11619">
        <f>IFERROR(Table7[[#This Row],[United States 10y]]-Table7[[#This Row],[United States 3y]],#N/A)</f>
        <v/>
      </c>
    </row>
    <row r="11620">
      <c r="A11620" s="6">
        <f>Database!$A13705</f>
        <v/>
      </c>
      <c r="B11620">
        <f>IF(VLOOKUP(Table7[[#This Row],[Date]],Database!$A:$C,MATCH($B$1,Database!$A$1:$C$1,),)=0,#N/A,VLOOKUP(Table7[[#This Row],[Date]],Database!$A:$C,MATCH($B$1,Database!$A$1:$C$1,),))</f>
        <v/>
      </c>
      <c r="C11620">
        <f>IF(VLOOKUP(Table7[[#This Row],[Date]],Database!$A:$C,MATCH($C$1,Database!$A$1:$C$1,),)=0,#N/A,VLOOKUP(Table7[[#This Row],[Date]],Database!$A:$C,MATCH($C$1,Database!$A$1:$C$1,),))</f>
        <v/>
      </c>
      <c r="D11620">
        <f>IFERROR(Table7[[#This Row],[United States 10y]]-Table7[[#This Row],[United States 3y]],#N/A)</f>
        <v/>
      </c>
    </row>
    <row r="11621">
      <c r="A11621" s="6">
        <f>Database!$A13706</f>
        <v/>
      </c>
      <c r="B11621">
        <f>IF(VLOOKUP(Table7[[#This Row],[Date]],Database!$A:$C,MATCH($B$1,Database!$A$1:$C$1,),)=0,#N/A,VLOOKUP(Table7[[#This Row],[Date]],Database!$A:$C,MATCH($B$1,Database!$A$1:$C$1,),))</f>
        <v/>
      </c>
      <c r="C11621">
        <f>IF(VLOOKUP(Table7[[#This Row],[Date]],Database!$A:$C,MATCH($C$1,Database!$A$1:$C$1,),)=0,#N/A,VLOOKUP(Table7[[#This Row],[Date]],Database!$A:$C,MATCH($C$1,Database!$A$1:$C$1,),))</f>
        <v/>
      </c>
      <c r="D11621">
        <f>IFERROR(Table7[[#This Row],[United States 10y]]-Table7[[#This Row],[United States 3y]],#N/A)</f>
        <v/>
      </c>
    </row>
    <row r="11622">
      <c r="A11622" s="6">
        <f>Database!$A13707</f>
        <v/>
      </c>
      <c r="B11622">
        <f>IF(VLOOKUP(Table7[[#This Row],[Date]],Database!$A:$C,MATCH($B$1,Database!$A$1:$C$1,),)=0,#N/A,VLOOKUP(Table7[[#This Row],[Date]],Database!$A:$C,MATCH($B$1,Database!$A$1:$C$1,),))</f>
        <v/>
      </c>
      <c r="C11622">
        <f>IF(VLOOKUP(Table7[[#This Row],[Date]],Database!$A:$C,MATCH($C$1,Database!$A$1:$C$1,),)=0,#N/A,VLOOKUP(Table7[[#This Row],[Date]],Database!$A:$C,MATCH($C$1,Database!$A$1:$C$1,),))</f>
        <v/>
      </c>
      <c r="D11622">
        <f>IFERROR(Table7[[#This Row],[United States 10y]]-Table7[[#This Row],[United States 3y]],#N/A)</f>
        <v/>
      </c>
    </row>
    <row r="11623">
      <c r="A11623" s="6">
        <f>Database!$A13708</f>
        <v/>
      </c>
      <c r="B11623">
        <f>IF(VLOOKUP(Table7[[#This Row],[Date]],Database!$A:$C,MATCH($B$1,Database!$A$1:$C$1,),)=0,#N/A,VLOOKUP(Table7[[#This Row],[Date]],Database!$A:$C,MATCH($B$1,Database!$A$1:$C$1,),))</f>
        <v/>
      </c>
      <c r="C11623">
        <f>IF(VLOOKUP(Table7[[#This Row],[Date]],Database!$A:$C,MATCH($C$1,Database!$A$1:$C$1,),)=0,#N/A,VLOOKUP(Table7[[#This Row],[Date]],Database!$A:$C,MATCH($C$1,Database!$A$1:$C$1,),))</f>
        <v/>
      </c>
      <c r="D11623">
        <f>IFERROR(Table7[[#This Row],[United States 10y]]-Table7[[#This Row],[United States 3y]],#N/A)</f>
        <v/>
      </c>
    </row>
    <row r="11624">
      <c r="A11624" s="6">
        <f>Database!$A13709</f>
        <v/>
      </c>
      <c r="B11624">
        <f>IF(VLOOKUP(Table7[[#This Row],[Date]],Database!$A:$C,MATCH($B$1,Database!$A$1:$C$1,),)=0,#N/A,VLOOKUP(Table7[[#This Row],[Date]],Database!$A:$C,MATCH($B$1,Database!$A$1:$C$1,),))</f>
        <v/>
      </c>
      <c r="C11624">
        <f>IF(VLOOKUP(Table7[[#This Row],[Date]],Database!$A:$C,MATCH($C$1,Database!$A$1:$C$1,),)=0,#N/A,VLOOKUP(Table7[[#This Row],[Date]],Database!$A:$C,MATCH($C$1,Database!$A$1:$C$1,),))</f>
        <v/>
      </c>
      <c r="D11624">
        <f>IFERROR(Table7[[#This Row],[United States 10y]]-Table7[[#This Row],[United States 3y]],#N/A)</f>
        <v/>
      </c>
    </row>
    <row r="11625">
      <c r="A11625" s="6">
        <f>Database!$A13710</f>
        <v/>
      </c>
      <c r="B11625">
        <f>IF(VLOOKUP(Table7[[#This Row],[Date]],Database!$A:$C,MATCH($B$1,Database!$A$1:$C$1,),)=0,#N/A,VLOOKUP(Table7[[#This Row],[Date]],Database!$A:$C,MATCH($B$1,Database!$A$1:$C$1,),))</f>
        <v/>
      </c>
      <c r="C11625">
        <f>IF(VLOOKUP(Table7[[#This Row],[Date]],Database!$A:$C,MATCH($C$1,Database!$A$1:$C$1,),)=0,#N/A,VLOOKUP(Table7[[#This Row],[Date]],Database!$A:$C,MATCH($C$1,Database!$A$1:$C$1,),))</f>
        <v/>
      </c>
      <c r="D11625">
        <f>IFERROR(Table7[[#This Row],[United States 10y]]-Table7[[#This Row],[United States 3y]],#N/A)</f>
        <v/>
      </c>
    </row>
    <row r="11626">
      <c r="A11626" s="6">
        <f>Database!$A13711</f>
        <v/>
      </c>
      <c r="B11626">
        <f>IF(VLOOKUP(Table7[[#This Row],[Date]],Database!$A:$C,MATCH($B$1,Database!$A$1:$C$1,),)=0,#N/A,VLOOKUP(Table7[[#This Row],[Date]],Database!$A:$C,MATCH($B$1,Database!$A$1:$C$1,),))</f>
        <v/>
      </c>
      <c r="C11626">
        <f>IF(VLOOKUP(Table7[[#This Row],[Date]],Database!$A:$C,MATCH($C$1,Database!$A$1:$C$1,),)=0,#N/A,VLOOKUP(Table7[[#This Row],[Date]],Database!$A:$C,MATCH($C$1,Database!$A$1:$C$1,),))</f>
        <v/>
      </c>
      <c r="D11626">
        <f>IFERROR(Table7[[#This Row],[United States 10y]]-Table7[[#This Row],[United States 3y]],#N/A)</f>
        <v/>
      </c>
    </row>
    <row r="11627">
      <c r="A11627" s="6">
        <f>Database!$A13712</f>
        <v/>
      </c>
      <c r="B11627">
        <f>IF(VLOOKUP(Table7[[#This Row],[Date]],Database!$A:$C,MATCH($B$1,Database!$A$1:$C$1,),)=0,#N/A,VLOOKUP(Table7[[#This Row],[Date]],Database!$A:$C,MATCH($B$1,Database!$A$1:$C$1,),))</f>
        <v/>
      </c>
      <c r="C11627">
        <f>IF(VLOOKUP(Table7[[#This Row],[Date]],Database!$A:$C,MATCH($C$1,Database!$A$1:$C$1,),)=0,#N/A,VLOOKUP(Table7[[#This Row],[Date]],Database!$A:$C,MATCH($C$1,Database!$A$1:$C$1,),))</f>
        <v/>
      </c>
      <c r="D11627">
        <f>IFERROR(Table7[[#This Row],[United States 10y]]-Table7[[#This Row],[United States 3y]],#N/A)</f>
        <v/>
      </c>
    </row>
    <row r="11628">
      <c r="A11628" s="6">
        <f>Database!$A13713</f>
        <v/>
      </c>
      <c r="B11628">
        <f>IF(VLOOKUP(Table7[[#This Row],[Date]],Database!$A:$C,MATCH($B$1,Database!$A$1:$C$1,),)=0,#N/A,VLOOKUP(Table7[[#This Row],[Date]],Database!$A:$C,MATCH($B$1,Database!$A$1:$C$1,),))</f>
        <v/>
      </c>
      <c r="C11628">
        <f>IF(VLOOKUP(Table7[[#This Row],[Date]],Database!$A:$C,MATCH($C$1,Database!$A$1:$C$1,),)=0,#N/A,VLOOKUP(Table7[[#This Row],[Date]],Database!$A:$C,MATCH($C$1,Database!$A$1:$C$1,),))</f>
        <v/>
      </c>
      <c r="D11628">
        <f>IFERROR(Table7[[#This Row],[United States 10y]]-Table7[[#This Row],[United States 3y]],#N/A)</f>
        <v/>
      </c>
    </row>
    <row r="11629">
      <c r="A11629" s="6">
        <f>Database!$A13714</f>
        <v/>
      </c>
      <c r="B11629">
        <f>IF(VLOOKUP(Table7[[#This Row],[Date]],Database!$A:$C,MATCH($B$1,Database!$A$1:$C$1,),)=0,#N/A,VLOOKUP(Table7[[#This Row],[Date]],Database!$A:$C,MATCH($B$1,Database!$A$1:$C$1,),))</f>
        <v/>
      </c>
      <c r="C11629">
        <f>IF(VLOOKUP(Table7[[#This Row],[Date]],Database!$A:$C,MATCH($C$1,Database!$A$1:$C$1,),)=0,#N/A,VLOOKUP(Table7[[#This Row],[Date]],Database!$A:$C,MATCH($C$1,Database!$A$1:$C$1,),))</f>
        <v/>
      </c>
      <c r="D11629">
        <f>IFERROR(Table7[[#This Row],[United States 10y]]-Table7[[#This Row],[United States 3y]],#N/A)</f>
        <v/>
      </c>
    </row>
    <row r="11630">
      <c r="A11630" s="6">
        <f>Database!$A13715</f>
        <v/>
      </c>
      <c r="B11630">
        <f>IF(VLOOKUP(Table7[[#This Row],[Date]],Database!$A:$C,MATCH($B$1,Database!$A$1:$C$1,),)=0,#N/A,VLOOKUP(Table7[[#This Row],[Date]],Database!$A:$C,MATCH($B$1,Database!$A$1:$C$1,),))</f>
        <v/>
      </c>
      <c r="C11630">
        <f>IF(VLOOKUP(Table7[[#This Row],[Date]],Database!$A:$C,MATCH($C$1,Database!$A$1:$C$1,),)=0,#N/A,VLOOKUP(Table7[[#This Row],[Date]],Database!$A:$C,MATCH($C$1,Database!$A$1:$C$1,),))</f>
        <v/>
      </c>
      <c r="D11630">
        <f>IFERROR(Table7[[#This Row],[United States 10y]]-Table7[[#This Row],[United States 3y]],#N/A)</f>
        <v/>
      </c>
    </row>
    <row r="11631">
      <c r="A11631" s="6">
        <f>Database!$A13716</f>
        <v/>
      </c>
      <c r="B11631">
        <f>IF(VLOOKUP(Table7[[#This Row],[Date]],Database!$A:$C,MATCH($B$1,Database!$A$1:$C$1,),)=0,#N/A,VLOOKUP(Table7[[#This Row],[Date]],Database!$A:$C,MATCH($B$1,Database!$A$1:$C$1,),))</f>
        <v/>
      </c>
      <c r="C11631">
        <f>IF(VLOOKUP(Table7[[#This Row],[Date]],Database!$A:$C,MATCH($C$1,Database!$A$1:$C$1,),)=0,#N/A,VLOOKUP(Table7[[#This Row],[Date]],Database!$A:$C,MATCH($C$1,Database!$A$1:$C$1,),))</f>
        <v/>
      </c>
      <c r="D11631">
        <f>IFERROR(Table7[[#This Row],[United States 10y]]-Table7[[#This Row],[United States 3y]],#N/A)</f>
        <v/>
      </c>
    </row>
    <row r="11632">
      <c r="A11632" s="6">
        <f>Database!$A13717</f>
        <v/>
      </c>
      <c r="B11632">
        <f>IF(VLOOKUP(Table7[[#This Row],[Date]],Database!$A:$C,MATCH($B$1,Database!$A$1:$C$1,),)=0,#N/A,VLOOKUP(Table7[[#This Row],[Date]],Database!$A:$C,MATCH($B$1,Database!$A$1:$C$1,),))</f>
        <v/>
      </c>
      <c r="C11632">
        <f>IF(VLOOKUP(Table7[[#This Row],[Date]],Database!$A:$C,MATCH($C$1,Database!$A$1:$C$1,),)=0,#N/A,VLOOKUP(Table7[[#This Row],[Date]],Database!$A:$C,MATCH($C$1,Database!$A$1:$C$1,),))</f>
        <v/>
      </c>
      <c r="D11632">
        <f>IFERROR(Table7[[#This Row],[United States 10y]]-Table7[[#This Row],[United States 3y]],#N/A)</f>
        <v/>
      </c>
    </row>
    <row r="11633">
      <c r="A11633" s="6">
        <f>Database!$A13718</f>
        <v/>
      </c>
      <c r="B11633">
        <f>IF(VLOOKUP(Table7[[#This Row],[Date]],Database!$A:$C,MATCH($B$1,Database!$A$1:$C$1,),)=0,#N/A,VLOOKUP(Table7[[#This Row],[Date]],Database!$A:$C,MATCH($B$1,Database!$A$1:$C$1,),))</f>
        <v/>
      </c>
      <c r="C11633">
        <f>IF(VLOOKUP(Table7[[#This Row],[Date]],Database!$A:$C,MATCH($C$1,Database!$A$1:$C$1,),)=0,#N/A,VLOOKUP(Table7[[#This Row],[Date]],Database!$A:$C,MATCH($C$1,Database!$A$1:$C$1,),))</f>
        <v/>
      </c>
      <c r="D11633">
        <f>IFERROR(Table7[[#This Row],[United States 10y]]-Table7[[#This Row],[United States 3y]],#N/A)</f>
        <v/>
      </c>
    </row>
    <row r="11634">
      <c r="A11634" s="6">
        <f>Database!$A13719</f>
        <v/>
      </c>
      <c r="B11634">
        <f>IF(VLOOKUP(Table7[[#This Row],[Date]],Database!$A:$C,MATCH($B$1,Database!$A$1:$C$1,),)=0,#N/A,VLOOKUP(Table7[[#This Row],[Date]],Database!$A:$C,MATCH($B$1,Database!$A$1:$C$1,),))</f>
        <v/>
      </c>
      <c r="C11634">
        <f>IF(VLOOKUP(Table7[[#This Row],[Date]],Database!$A:$C,MATCH($C$1,Database!$A$1:$C$1,),)=0,#N/A,VLOOKUP(Table7[[#This Row],[Date]],Database!$A:$C,MATCH($C$1,Database!$A$1:$C$1,),))</f>
        <v/>
      </c>
      <c r="D11634">
        <f>IFERROR(Table7[[#This Row],[United States 10y]]-Table7[[#This Row],[United States 3y]],#N/A)</f>
        <v/>
      </c>
    </row>
    <row r="11635">
      <c r="A11635" s="6">
        <f>Database!$A13720</f>
        <v/>
      </c>
      <c r="B11635">
        <f>IF(VLOOKUP(Table7[[#This Row],[Date]],Database!$A:$C,MATCH($B$1,Database!$A$1:$C$1,),)=0,#N/A,VLOOKUP(Table7[[#This Row],[Date]],Database!$A:$C,MATCH($B$1,Database!$A$1:$C$1,),))</f>
        <v/>
      </c>
      <c r="C11635">
        <f>IF(VLOOKUP(Table7[[#This Row],[Date]],Database!$A:$C,MATCH($C$1,Database!$A$1:$C$1,),)=0,#N/A,VLOOKUP(Table7[[#This Row],[Date]],Database!$A:$C,MATCH($C$1,Database!$A$1:$C$1,),))</f>
        <v/>
      </c>
      <c r="D11635">
        <f>IFERROR(Table7[[#This Row],[United States 10y]]-Table7[[#This Row],[United States 3y]],#N/A)</f>
        <v/>
      </c>
    </row>
    <row r="11636">
      <c r="A11636" s="6">
        <f>Database!$A13721</f>
        <v/>
      </c>
      <c r="B11636">
        <f>IF(VLOOKUP(Table7[[#This Row],[Date]],Database!$A:$C,MATCH($B$1,Database!$A$1:$C$1,),)=0,#N/A,VLOOKUP(Table7[[#This Row],[Date]],Database!$A:$C,MATCH($B$1,Database!$A$1:$C$1,),))</f>
        <v/>
      </c>
      <c r="C11636">
        <f>IF(VLOOKUP(Table7[[#This Row],[Date]],Database!$A:$C,MATCH($C$1,Database!$A$1:$C$1,),)=0,#N/A,VLOOKUP(Table7[[#This Row],[Date]],Database!$A:$C,MATCH($C$1,Database!$A$1:$C$1,),))</f>
        <v/>
      </c>
      <c r="D11636">
        <f>IFERROR(Table7[[#This Row],[United States 10y]]-Table7[[#This Row],[United States 3y]],#N/A)</f>
        <v/>
      </c>
    </row>
    <row r="11637">
      <c r="A11637" s="6">
        <f>Database!$A13722</f>
        <v/>
      </c>
      <c r="B11637">
        <f>IF(VLOOKUP(Table7[[#This Row],[Date]],Database!$A:$C,MATCH($B$1,Database!$A$1:$C$1,),)=0,#N/A,VLOOKUP(Table7[[#This Row],[Date]],Database!$A:$C,MATCH($B$1,Database!$A$1:$C$1,),))</f>
        <v/>
      </c>
      <c r="C11637">
        <f>IF(VLOOKUP(Table7[[#This Row],[Date]],Database!$A:$C,MATCH($C$1,Database!$A$1:$C$1,),)=0,#N/A,VLOOKUP(Table7[[#This Row],[Date]],Database!$A:$C,MATCH($C$1,Database!$A$1:$C$1,),))</f>
        <v/>
      </c>
      <c r="D11637">
        <f>IFERROR(Table7[[#This Row],[United States 10y]]-Table7[[#This Row],[United States 3y]],#N/A)</f>
        <v/>
      </c>
    </row>
    <row r="11638">
      <c r="A11638" s="6">
        <f>Database!$A13723</f>
        <v/>
      </c>
      <c r="B11638">
        <f>IF(VLOOKUP(Table7[[#This Row],[Date]],Database!$A:$C,MATCH($B$1,Database!$A$1:$C$1,),)=0,#N/A,VLOOKUP(Table7[[#This Row],[Date]],Database!$A:$C,MATCH($B$1,Database!$A$1:$C$1,),))</f>
        <v/>
      </c>
      <c r="C11638">
        <f>IF(VLOOKUP(Table7[[#This Row],[Date]],Database!$A:$C,MATCH($C$1,Database!$A$1:$C$1,),)=0,#N/A,VLOOKUP(Table7[[#This Row],[Date]],Database!$A:$C,MATCH($C$1,Database!$A$1:$C$1,),))</f>
        <v/>
      </c>
      <c r="D11638">
        <f>IFERROR(Table7[[#This Row],[United States 10y]]-Table7[[#This Row],[United States 3y]],#N/A)</f>
        <v/>
      </c>
    </row>
    <row r="11639">
      <c r="A11639" s="6">
        <f>Database!$A13724</f>
        <v/>
      </c>
      <c r="B11639">
        <f>IF(VLOOKUP(Table7[[#This Row],[Date]],Database!$A:$C,MATCH($B$1,Database!$A$1:$C$1,),)=0,#N/A,VLOOKUP(Table7[[#This Row],[Date]],Database!$A:$C,MATCH($B$1,Database!$A$1:$C$1,),))</f>
        <v/>
      </c>
      <c r="C11639">
        <f>IF(VLOOKUP(Table7[[#This Row],[Date]],Database!$A:$C,MATCH($C$1,Database!$A$1:$C$1,),)=0,#N/A,VLOOKUP(Table7[[#This Row],[Date]],Database!$A:$C,MATCH($C$1,Database!$A$1:$C$1,),))</f>
        <v/>
      </c>
      <c r="D11639">
        <f>IFERROR(Table7[[#This Row],[United States 10y]]-Table7[[#This Row],[United States 3y]],#N/A)</f>
        <v/>
      </c>
    </row>
    <row r="11640">
      <c r="A11640" s="6">
        <f>Database!$A13725</f>
        <v/>
      </c>
      <c r="B11640">
        <f>IF(VLOOKUP(Table7[[#This Row],[Date]],Database!$A:$C,MATCH($B$1,Database!$A$1:$C$1,),)=0,#N/A,VLOOKUP(Table7[[#This Row],[Date]],Database!$A:$C,MATCH($B$1,Database!$A$1:$C$1,),))</f>
        <v/>
      </c>
      <c r="C11640">
        <f>IF(VLOOKUP(Table7[[#This Row],[Date]],Database!$A:$C,MATCH($C$1,Database!$A$1:$C$1,),)=0,#N/A,VLOOKUP(Table7[[#This Row],[Date]],Database!$A:$C,MATCH($C$1,Database!$A$1:$C$1,),))</f>
        <v/>
      </c>
      <c r="D11640">
        <f>IFERROR(Table7[[#This Row],[United States 10y]]-Table7[[#This Row],[United States 3y]],#N/A)</f>
        <v/>
      </c>
    </row>
    <row r="11641">
      <c r="A11641" s="6">
        <f>Database!$A13726</f>
        <v/>
      </c>
      <c r="B11641">
        <f>IF(VLOOKUP(Table7[[#This Row],[Date]],Database!$A:$C,MATCH($B$1,Database!$A$1:$C$1,),)=0,#N/A,VLOOKUP(Table7[[#This Row],[Date]],Database!$A:$C,MATCH($B$1,Database!$A$1:$C$1,),))</f>
        <v/>
      </c>
      <c r="C11641">
        <f>IF(VLOOKUP(Table7[[#This Row],[Date]],Database!$A:$C,MATCH($C$1,Database!$A$1:$C$1,),)=0,#N/A,VLOOKUP(Table7[[#This Row],[Date]],Database!$A:$C,MATCH($C$1,Database!$A$1:$C$1,),))</f>
        <v/>
      </c>
      <c r="D11641">
        <f>IFERROR(Table7[[#This Row],[United States 10y]]-Table7[[#This Row],[United States 3y]],#N/A)</f>
        <v/>
      </c>
    </row>
    <row r="11642">
      <c r="A11642" s="6">
        <f>Database!$A13727</f>
        <v/>
      </c>
      <c r="B11642">
        <f>IF(VLOOKUP(Table7[[#This Row],[Date]],Database!$A:$C,MATCH($B$1,Database!$A$1:$C$1,),)=0,#N/A,VLOOKUP(Table7[[#This Row],[Date]],Database!$A:$C,MATCH($B$1,Database!$A$1:$C$1,),))</f>
        <v/>
      </c>
      <c r="C11642">
        <f>IF(VLOOKUP(Table7[[#This Row],[Date]],Database!$A:$C,MATCH($C$1,Database!$A$1:$C$1,),)=0,#N/A,VLOOKUP(Table7[[#This Row],[Date]],Database!$A:$C,MATCH($C$1,Database!$A$1:$C$1,),))</f>
        <v/>
      </c>
      <c r="D11642">
        <f>IFERROR(Table7[[#This Row],[United States 10y]]-Table7[[#This Row],[United States 3y]],#N/A)</f>
        <v/>
      </c>
    </row>
    <row r="11643">
      <c r="A11643" s="6">
        <f>Database!$A13728</f>
        <v/>
      </c>
      <c r="B11643">
        <f>IF(VLOOKUP(Table7[[#This Row],[Date]],Database!$A:$C,MATCH($B$1,Database!$A$1:$C$1,),)=0,#N/A,VLOOKUP(Table7[[#This Row],[Date]],Database!$A:$C,MATCH($B$1,Database!$A$1:$C$1,),))</f>
        <v/>
      </c>
      <c r="C11643">
        <f>IF(VLOOKUP(Table7[[#This Row],[Date]],Database!$A:$C,MATCH($C$1,Database!$A$1:$C$1,),)=0,#N/A,VLOOKUP(Table7[[#This Row],[Date]],Database!$A:$C,MATCH($C$1,Database!$A$1:$C$1,),))</f>
        <v/>
      </c>
      <c r="D11643">
        <f>IFERROR(Table7[[#This Row],[United States 10y]]-Table7[[#This Row],[United States 3y]],#N/A)</f>
        <v/>
      </c>
    </row>
    <row r="11644">
      <c r="A11644" s="6">
        <f>Database!$A13729</f>
        <v/>
      </c>
      <c r="B11644">
        <f>IF(VLOOKUP(Table7[[#This Row],[Date]],Database!$A:$C,MATCH($B$1,Database!$A$1:$C$1,),)=0,#N/A,VLOOKUP(Table7[[#This Row],[Date]],Database!$A:$C,MATCH($B$1,Database!$A$1:$C$1,),))</f>
        <v/>
      </c>
      <c r="C11644">
        <f>IF(VLOOKUP(Table7[[#This Row],[Date]],Database!$A:$C,MATCH($C$1,Database!$A$1:$C$1,),)=0,#N/A,VLOOKUP(Table7[[#This Row],[Date]],Database!$A:$C,MATCH($C$1,Database!$A$1:$C$1,),))</f>
        <v/>
      </c>
      <c r="D11644">
        <f>IFERROR(Table7[[#This Row],[United States 10y]]-Table7[[#This Row],[United States 3y]],#N/A)</f>
        <v/>
      </c>
    </row>
    <row r="11645">
      <c r="A11645" s="6">
        <f>Database!$A13730</f>
        <v/>
      </c>
      <c r="B11645">
        <f>IF(VLOOKUP(Table7[[#This Row],[Date]],Database!$A:$C,MATCH($B$1,Database!$A$1:$C$1,),)=0,#N/A,VLOOKUP(Table7[[#This Row],[Date]],Database!$A:$C,MATCH($B$1,Database!$A$1:$C$1,),))</f>
        <v/>
      </c>
      <c r="C11645">
        <f>IF(VLOOKUP(Table7[[#This Row],[Date]],Database!$A:$C,MATCH($C$1,Database!$A$1:$C$1,),)=0,#N/A,VLOOKUP(Table7[[#This Row],[Date]],Database!$A:$C,MATCH($C$1,Database!$A$1:$C$1,),))</f>
        <v/>
      </c>
      <c r="D11645">
        <f>IFERROR(Table7[[#This Row],[United States 10y]]-Table7[[#This Row],[United States 3y]],#N/A)</f>
        <v/>
      </c>
    </row>
    <row r="11646">
      <c r="A11646" s="6">
        <f>Database!$A13731</f>
        <v/>
      </c>
      <c r="B11646">
        <f>IF(VLOOKUP(Table7[[#This Row],[Date]],Database!$A:$C,MATCH($B$1,Database!$A$1:$C$1,),)=0,#N/A,VLOOKUP(Table7[[#This Row],[Date]],Database!$A:$C,MATCH($B$1,Database!$A$1:$C$1,),))</f>
        <v/>
      </c>
      <c r="C11646">
        <f>IF(VLOOKUP(Table7[[#This Row],[Date]],Database!$A:$C,MATCH($C$1,Database!$A$1:$C$1,),)=0,#N/A,VLOOKUP(Table7[[#This Row],[Date]],Database!$A:$C,MATCH($C$1,Database!$A$1:$C$1,),))</f>
        <v/>
      </c>
      <c r="D11646">
        <f>IFERROR(Table7[[#This Row],[United States 10y]]-Table7[[#This Row],[United States 3y]],#N/A)</f>
        <v/>
      </c>
    </row>
    <row r="11647">
      <c r="A11647" s="6">
        <f>Database!$A13732</f>
        <v/>
      </c>
      <c r="B11647">
        <f>IF(VLOOKUP(Table7[[#This Row],[Date]],Database!$A:$C,MATCH($B$1,Database!$A$1:$C$1,),)=0,#N/A,VLOOKUP(Table7[[#This Row],[Date]],Database!$A:$C,MATCH($B$1,Database!$A$1:$C$1,),))</f>
        <v/>
      </c>
      <c r="C11647">
        <f>IF(VLOOKUP(Table7[[#This Row],[Date]],Database!$A:$C,MATCH($C$1,Database!$A$1:$C$1,),)=0,#N/A,VLOOKUP(Table7[[#This Row],[Date]],Database!$A:$C,MATCH($C$1,Database!$A$1:$C$1,),))</f>
        <v/>
      </c>
      <c r="D11647">
        <f>IFERROR(Table7[[#This Row],[United States 10y]]-Table7[[#This Row],[United States 3y]],#N/A)</f>
        <v/>
      </c>
    </row>
    <row r="11648">
      <c r="A11648" s="6">
        <f>Database!$A13733</f>
        <v/>
      </c>
      <c r="B11648">
        <f>IF(VLOOKUP(Table7[[#This Row],[Date]],Database!$A:$C,MATCH($B$1,Database!$A$1:$C$1,),)=0,#N/A,VLOOKUP(Table7[[#This Row],[Date]],Database!$A:$C,MATCH($B$1,Database!$A$1:$C$1,),))</f>
        <v/>
      </c>
      <c r="C11648">
        <f>IF(VLOOKUP(Table7[[#This Row],[Date]],Database!$A:$C,MATCH($C$1,Database!$A$1:$C$1,),)=0,#N/A,VLOOKUP(Table7[[#This Row],[Date]],Database!$A:$C,MATCH($C$1,Database!$A$1:$C$1,),))</f>
        <v/>
      </c>
      <c r="D11648">
        <f>IFERROR(Table7[[#This Row],[United States 10y]]-Table7[[#This Row],[United States 3y]],#N/A)</f>
        <v/>
      </c>
    </row>
    <row r="11649">
      <c r="A11649" s="6">
        <f>Database!$A13734</f>
        <v/>
      </c>
      <c r="B11649">
        <f>IF(VLOOKUP(Table7[[#This Row],[Date]],Database!$A:$C,MATCH($B$1,Database!$A$1:$C$1,),)=0,#N/A,VLOOKUP(Table7[[#This Row],[Date]],Database!$A:$C,MATCH($B$1,Database!$A$1:$C$1,),))</f>
        <v/>
      </c>
      <c r="C11649">
        <f>IF(VLOOKUP(Table7[[#This Row],[Date]],Database!$A:$C,MATCH($C$1,Database!$A$1:$C$1,),)=0,#N/A,VLOOKUP(Table7[[#This Row],[Date]],Database!$A:$C,MATCH($C$1,Database!$A$1:$C$1,),))</f>
        <v/>
      </c>
      <c r="D11649">
        <f>IFERROR(Table7[[#This Row],[United States 10y]]-Table7[[#This Row],[United States 3y]],#N/A)</f>
        <v/>
      </c>
    </row>
    <row r="11650">
      <c r="A11650" s="6">
        <f>Database!$A13735</f>
        <v/>
      </c>
      <c r="B11650">
        <f>IF(VLOOKUP(Table7[[#This Row],[Date]],Database!$A:$C,MATCH($B$1,Database!$A$1:$C$1,),)=0,#N/A,VLOOKUP(Table7[[#This Row],[Date]],Database!$A:$C,MATCH($B$1,Database!$A$1:$C$1,),))</f>
        <v/>
      </c>
      <c r="C11650">
        <f>IF(VLOOKUP(Table7[[#This Row],[Date]],Database!$A:$C,MATCH($C$1,Database!$A$1:$C$1,),)=0,#N/A,VLOOKUP(Table7[[#This Row],[Date]],Database!$A:$C,MATCH($C$1,Database!$A$1:$C$1,),))</f>
        <v/>
      </c>
      <c r="D11650">
        <f>IFERROR(Table7[[#This Row],[United States 10y]]-Table7[[#This Row],[United States 3y]],#N/A)</f>
        <v/>
      </c>
    </row>
    <row r="11651">
      <c r="A11651" s="6">
        <f>Database!$A13736</f>
        <v/>
      </c>
      <c r="B11651">
        <f>IF(VLOOKUP(Table7[[#This Row],[Date]],Database!$A:$C,MATCH($B$1,Database!$A$1:$C$1,),)=0,#N/A,VLOOKUP(Table7[[#This Row],[Date]],Database!$A:$C,MATCH($B$1,Database!$A$1:$C$1,),))</f>
        <v/>
      </c>
      <c r="C11651">
        <f>IF(VLOOKUP(Table7[[#This Row],[Date]],Database!$A:$C,MATCH($C$1,Database!$A$1:$C$1,),)=0,#N/A,VLOOKUP(Table7[[#This Row],[Date]],Database!$A:$C,MATCH($C$1,Database!$A$1:$C$1,),))</f>
        <v/>
      </c>
      <c r="D11651">
        <f>IFERROR(Table7[[#This Row],[United States 10y]]-Table7[[#This Row],[United States 3y]],#N/A)</f>
        <v/>
      </c>
    </row>
    <row r="11652">
      <c r="A11652" s="6">
        <f>Database!$A13737</f>
        <v/>
      </c>
      <c r="B11652">
        <f>IF(VLOOKUP(Table7[[#This Row],[Date]],Database!$A:$C,MATCH($B$1,Database!$A$1:$C$1,),)=0,#N/A,VLOOKUP(Table7[[#This Row],[Date]],Database!$A:$C,MATCH($B$1,Database!$A$1:$C$1,),))</f>
        <v/>
      </c>
      <c r="C11652">
        <f>IF(VLOOKUP(Table7[[#This Row],[Date]],Database!$A:$C,MATCH($C$1,Database!$A$1:$C$1,),)=0,#N/A,VLOOKUP(Table7[[#This Row],[Date]],Database!$A:$C,MATCH($C$1,Database!$A$1:$C$1,),))</f>
        <v/>
      </c>
      <c r="D11652">
        <f>IFERROR(Table7[[#This Row],[United States 10y]]-Table7[[#This Row],[United States 3y]],#N/A)</f>
        <v/>
      </c>
    </row>
    <row r="11653">
      <c r="A11653" s="6">
        <f>Database!$A13738</f>
        <v/>
      </c>
      <c r="B11653">
        <f>IF(VLOOKUP(Table7[[#This Row],[Date]],Database!$A:$C,MATCH($B$1,Database!$A$1:$C$1,),)=0,#N/A,VLOOKUP(Table7[[#This Row],[Date]],Database!$A:$C,MATCH($B$1,Database!$A$1:$C$1,),))</f>
        <v/>
      </c>
      <c r="C11653">
        <f>IF(VLOOKUP(Table7[[#This Row],[Date]],Database!$A:$C,MATCH($C$1,Database!$A$1:$C$1,),)=0,#N/A,VLOOKUP(Table7[[#This Row],[Date]],Database!$A:$C,MATCH($C$1,Database!$A$1:$C$1,),))</f>
        <v/>
      </c>
      <c r="D11653">
        <f>IFERROR(Table7[[#This Row],[United States 10y]]-Table7[[#This Row],[United States 3y]],#N/A)</f>
        <v/>
      </c>
    </row>
    <row r="11654">
      <c r="A11654" s="6">
        <f>Database!$A13739</f>
        <v/>
      </c>
      <c r="B11654">
        <f>IF(VLOOKUP(Table7[[#This Row],[Date]],Database!$A:$C,MATCH($B$1,Database!$A$1:$C$1,),)=0,#N/A,VLOOKUP(Table7[[#This Row],[Date]],Database!$A:$C,MATCH($B$1,Database!$A$1:$C$1,),))</f>
        <v/>
      </c>
      <c r="C11654">
        <f>IF(VLOOKUP(Table7[[#This Row],[Date]],Database!$A:$C,MATCH($C$1,Database!$A$1:$C$1,),)=0,#N/A,VLOOKUP(Table7[[#This Row],[Date]],Database!$A:$C,MATCH($C$1,Database!$A$1:$C$1,),))</f>
        <v/>
      </c>
      <c r="D11654">
        <f>IFERROR(Table7[[#This Row],[United States 10y]]-Table7[[#This Row],[United States 3y]],#N/A)</f>
        <v/>
      </c>
    </row>
    <row r="11655">
      <c r="A11655" s="6">
        <f>Database!$A13740</f>
        <v/>
      </c>
      <c r="B11655">
        <f>IF(VLOOKUP(Table7[[#This Row],[Date]],Database!$A:$C,MATCH($B$1,Database!$A$1:$C$1,),)=0,#N/A,VLOOKUP(Table7[[#This Row],[Date]],Database!$A:$C,MATCH($B$1,Database!$A$1:$C$1,),))</f>
        <v/>
      </c>
      <c r="C11655">
        <f>IF(VLOOKUP(Table7[[#This Row],[Date]],Database!$A:$C,MATCH($C$1,Database!$A$1:$C$1,),)=0,#N/A,VLOOKUP(Table7[[#This Row],[Date]],Database!$A:$C,MATCH($C$1,Database!$A$1:$C$1,),))</f>
        <v/>
      </c>
      <c r="D11655">
        <f>IFERROR(Table7[[#This Row],[United States 10y]]-Table7[[#This Row],[United States 3y]],#N/A)</f>
        <v/>
      </c>
    </row>
    <row r="11656">
      <c r="A11656" s="6">
        <f>Database!$A13741</f>
        <v/>
      </c>
      <c r="B11656">
        <f>IF(VLOOKUP(Table7[[#This Row],[Date]],Database!$A:$C,MATCH($B$1,Database!$A$1:$C$1,),)=0,#N/A,VLOOKUP(Table7[[#This Row],[Date]],Database!$A:$C,MATCH($B$1,Database!$A$1:$C$1,),))</f>
        <v/>
      </c>
      <c r="C11656">
        <f>IF(VLOOKUP(Table7[[#This Row],[Date]],Database!$A:$C,MATCH($C$1,Database!$A$1:$C$1,),)=0,#N/A,VLOOKUP(Table7[[#This Row],[Date]],Database!$A:$C,MATCH($C$1,Database!$A$1:$C$1,),))</f>
        <v/>
      </c>
      <c r="D11656">
        <f>IFERROR(Table7[[#This Row],[United States 10y]]-Table7[[#This Row],[United States 3y]],#N/A)</f>
        <v/>
      </c>
    </row>
    <row r="11657">
      <c r="A11657" s="6">
        <f>Database!$A13742</f>
        <v/>
      </c>
      <c r="B11657">
        <f>IF(VLOOKUP(Table7[[#This Row],[Date]],Database!$A:$C,MATCH($B$1,Database!$A$1:$C$1,),)=0,#N/A,VLOOKUP(Table7[[#This Row],[Date]],Database!$A:$C,MATCH($B$1,Database!$A$1:$C$1,),))</f>
        <v/>
      </c>
      <c r="C11657">
        <f>IF(VLOOKUP(Table7[[#This Row],[Date]],Database!$A:$C,MATCH($C$1,Database!$A$1:$C$1,),)=0,#N/A,VLOOKUP(Table7[[#This Row],[Date]],Database!$A:$C,MATCH($C$1,Database!$A$1:$C$1,),))</f>
        <v/>
      </c>
      <c r="D11657">
        <f>IFERROR(Table7[[#This Row],[United States 10y]]-Table7[[#This Row],[United States 3y]],#N/A)</f>
        <v/>
      </c>
    </row>
    <row r="11658">
      <c r="A11658" s="6">
        <f>Database!$A13743</f>
        <v/>
      </c>
      <c r="B11658">
        <f>IF(VLOOKUP(Table7[[#This Row],[Date]],Database!$A:$C,MATCH($B$1,Database!$A$1:$C$1,),)=0,#N/A,VLOOKUP(Table7[[#This Row],[Date]],Database!$A:$C,MATCH($B$1,Database!$A$1:$C$1,),))</f>
        <v/>
      </c>
      <c r="C11658">
        <f>IF(VLOOKUP(Table7[[#This Row],[Date]],Database!$A:$C,MATCH($C$1,Database!$A$1:$C$1,),)=0,#N/A,VLOOKUP(Table7[[#This Row],[Date]],Database!$A:$C,MATCH($C$1,Database!$A$1:$C$1,),))</f>
        <v/>
      </c>
      <c r="D11658">
        <f>IFERROR(Table7[[#This Row],[United States 10y]]-Table7[[#This Row],[United States 3y]],#N/A)</f>
        <v/>
      </c>
    </row>
    <row r="11659">
      <c r="A11659" s="6">
        <f>Database!$A13744</f>
        <v/>
      </c>
      <c r="B11659">
        <f>IF(VLOOKUP(Table7[[#This Row],[Date]],Database!$A:$C,MATCH($B$1,Database!$A$1:$C$1,),)=0,#N/A,VLOOKUP(Table7[[#This Row],[Date]],Database!$A:$C,MATCH($B$1,Database!$A$1:$C$1,),))</f>
        <v/>
      </c>
      <c r="C11659">
        <f>IF(VLOOKUP(Table7[[#This Row],[Date]],Database!$A:$C,MATCH($C$1,Database!$A$1:$C$1,),)=0,#N/A,VLOOKUP(Table7[[#This Row],[Date]],Database!$A:$C,MATCH($C$1,Database!$A$1:$C$1,),))</f>
        <v/>
      </c>
      <c r="D11659">
        <f>IFERROR(Table7[[#This Row],[United States 10y]]-Table7[[#This Row],[United States 3y]],#N/A)</f>
        <v/>
      </c>
    </row>
    <row r="11660">
      <c r="A11660" s="6">
        <f>Database!$A13745</f>
        <v/>
      </c>
      <c r="B11660">
        <f>IF(VLOOKUP(Table7[[#This Row],[Date]],Database!$A:$C,MATCH($B$1,Database!$A$1:$C$1,),)=0,#N/A,VLOOKUP(Table7[[#This Row],[Date]],Database!$A:$C,MATCH($B$1,Database!$A$1:$C$1,),))</f>
        <v/>
      </c>
      <c r="C11660">
        <f>IF(VLOOKUP(Table7[[#This Row],[Date]],Database!$A:$C,MATCH($C$1,Database!$A$1:$C$1,),)=0,#N/A,VLOOKUP(Table7[[#This Row],[Date]],Database!$A:$C,MATCH($C$1,Database!$A$1:$C$1,),))</f>
        <v/>
      </c>
      <c r="D11660">
        <f>IFERROR(Table7[[#This Row],[United States 10y]]-Table7[[#This Row],[United States 3y]],#N/A)</f>
        <v/>
      </c>
    </row>
    <row r="11661">
      <c r="A11661" s="6">
        <f>Database!$A13746</f>
        <v/>
      </c>
      <c r="B11661">
        <f>IF(VLOOKUP(Table7[[#This Row],[Date]],Database!$A:$C,MATCH($B$1,Database!$A$1:$C$1,),)=0,#N/A,VLOOKUP(Table7[[#This Row],[Date]],Database!$A:$C,MATCH($B$1,Database!$A$1:$C$1,),))</f>
        <v/>
      </c>
      <c r="C11661">
        <f>IF(VLOOKUP(Table7[[#This Row],[Date]],Database!$A:$C,MATCH($C$1,Database!$A$1:$C$1,),)=0,#N/A,VLOOKUP(Table7[[#This Row],[Date]],Database!$A:$C,MATCH($C$1,Database!$A$1:$C$1,),))</f>
        <v/>
      </c>
      <c r="D11661">
        <f>IFERROR(Table7[[#This Row],[United States 10y]]-Table7[[#This Row],[United States 3y]],#N/A)</f>
        <v/>
      </c>
    </row>
    <row r="11662">
      <c r="A11662" s="6">
        <f>Database!$A13747</f>
        <v/>
      </c>
      <c r="B11662">
        <f>IF(VLOOKUP(Table7[[#This Row],[Date]],Database!$A:$C,MATCH($B$1,Database!$A$1:$C$1,),)=0,#N/A,VLOOKUP(Table7[[#This Row],[Date]],Database!$A:$C,MATCH($B$1,Database!$A$1:$C$1,),))</f>
        <v/>
      </c>
      <c r="C11662">
        <f>IF(VLOOKUP(Table7[[#This Row],[Date]],Database!$A:$C,MATCH($C$1,Database!$A$1:$C$1,),)=0,#N/A,VLOOKUP(Table7[[#This Row],[Date]],Database!$A:$C,MATCH($C$1,Database!$A$1:$C$1,),))</f>
        <v/>
      </c>
      <c r="D11662">
        <f>IFERROR(Table7[[#This Row],[United States 10y]]-Table7[[#This Row],[United States 3y]],#N/A)</f>
        <v/>
      </c>
    </row>
    <row r="11663">
      <c r="A11663" s="6">
        <f>Database!$A13748</f>
        <v/>
      </c>
      <c r="B11663">
        <f>IF(VLOOKUP(Table7[[#This Row],[Date]],Database!$A:$C,MATCH($B$1,Database!$A$1:$C$1,),)=0,#N/A,VLOOKUP(Table7[[#This Row],[Date]],Database!$A:$C,MATCH($B$1,Database!$A$1:$C$1,),))</f>
        <v/>
      </c>
      <c r="C11663">
        <f>IF(VLOOKUP(Table7[[#This Row],[Date]],Database!$A:$C,MATCH($C$1,Database!$A$1:$C$1,),)=0,#N/A,VLOOKUP(Table7[[#This Row],[Date]],Database!$A:$C,MATCH($C$1,Database!$A$1:$C$1,),))</f>
        <v/>
      </c>
      <c r="D11663">
        <f>IFERROR(Table7[[#This Row],[United States 10y]]-Table7[[#This Row],[United States 3y]],#N/A)</f>
        <v/>
      </c>
    </row>
    <row r="11664">
      <c r="A11664" s="6">
        <f>Database!$A13749</f>
        <v/>
      </c>
      <c r="B11664">
        <f>IF(VLOOKUP(Table7[[#This Row],[Date]],Database!$A:$C,MATCH($B$1,Database!$A$1:$C$1,),)=0,#N/A,VLOOKUP(Table7[[#This Row],[Date]],Database!$A:$C,MATCH($B$1,Database!$A$1:$C$1,),))</f>
        <v/>
      </c>
      <c r="C11664">
        <f>IF(VLOOKUP(Table7[[#This Row],[Date]],Database!$A:$C,MATCH($C$1,Database!$A$1:$C$1,),)=0,#N/A,VLOOKUP(Table7[[#This Row],[Date]],Database!$A:$C,MATCH($C$1,Database!$A$1:$C$1,),))</f>
        <v/>
      </c>
      <c r="D11664">
        <f>IFERROR(Table7[[#This Row],[United States 10y]]-Table7[[#This Row],[United States 3y]],#N/A)</f>
        <v/>
      </c>
    </row>
    <row r="11665">
      <c r="A11665" s="6">
        <f>Database!$A13750</f>
        <v/>
      </c>
      <c r="B11665">
        <f>IF(VLOOKUP(Table7[[#This Row],[Date]],Database!$A:$C,MATCH($B$1,Database!$A$1:$C$1,),)=0,#N/A,VLOOKUP(Table7[[#This Row],[Date]],Database!$A:$C,MATCH($B$1,Database!$A$1:$C$1,),))</f>
        <v/>
      </c>
      <c r="C11665">
        <f>IF(VLOOKUP(Table7[[#This Row],[Date]],Database!$A:$C,MATCH($C$1,Database!$A$1:$C$1,),)=0,#N/A,VLOOKUP(Table7[[#This Row],[Date]],Database!$A:$C,MATCH($C$1,Database!$A$1:$C$1,),))</f>
        <v/>
      </c>
      <c r="D11665">
        <f>IFERROR(Table7[[#This Row],[United States 10y]]-Table7[[#This Row],[United States 3y]],#N/A)</f>
        <v/>
      </c>
    </row>
    <row r="11666">
      <c r="A11666" s="6">
        <f>Database!$A13751</f>
        <v/>
      </c>
      <c r="B11666">
        <f>IF(VLOOKUP(Table7[[#This Row],[Date]],Database!$A:$C,MATCH($B$1,Database!$A$1:$C$1,),)=0,#N/A,VLOOKUP(Table7[[#This Row],[Date]],Database!$A:$C,MATCH($B$1,Database!$A$1:$C$1,),))</f>
        <v/>
      </c>
      <c r="C11666">
        <f>IF(VLOOKUP(Table7[[#This Row],[Date]],Database!$A:$C,MATCH($C$1,Database!$A$1:$C$1,),)=0,#N/A,VLOOKUP(Table7[[#This Row],[Date]],Database!$A:$C,MATCH($C$1,Database!$A$1:$C$1,),))</f>
        <v/>
      </c>
      <c r="D11666">
        <f>IFERROR(Table7[[#This Row],[United States 10y]]-Table7[[#This Row],[United States 3y]],#N/A)</f>
        <v/>
      </c>
    </row>
    <row r="11667">
      <c r="A11667" s="6">
        <f>Database!$A13752</f>
        <v/>
      </c>
      <c r="B11667">
        <f>IF(VLOOKUP(Table7[[#This Row],[Date]],Database!$A:$C,MATCH($B$1,Database!$A$1:$C$1,),)=0,#N/A,VLOOKUP(Table7[[#This Row],[Date]],Database!$A:$C,MATCH($B$1,Database!$A$1:$C$1,),))</f>
        <v/>
      </c>
      <c r="C11667">
        <f>IF(VLOOKUP(Table7[[#This Row],[Date]],Database!$A:$C,MATCH($C$1,Database!$A$1:$C$1,),)=0,#N/A,VLOOKUP(Table7[[#This Row],[Date]],Database!$A:$C,MATCH($C$1,Database!$A$1:$C$1,),))</f>
        <v/>
      </c>
      <c r="D11667">
        <f>IFERROR(Table7[[#This Row],[United States 10y]]-Table7[[#This Row],[United States 3y]],#N/A)</f>
        <v/>
      </c>
    </row>
    <row r="11668">
      <c r="A11668" s="6">
        <f>Database!$A13753</f>
        <v/>
      </c>
      <c r="B11668">
        <f>IF(VLOOKUP(Table7[[#This Row],[Date]],Database!$A:$C,MATCH($B$1,Database!$A$1:$C$1,),)=0,#N/A,VLOOKUP(Table7[[#This Row],[Date]],Database!$A:$C,MATCH($B$1,Database!$A$1:$C$1,),))</f>
        <v/>
      </c>
      <c r="C11668">
        <f>IF(VLOOKUP(Table7[[#This Row],[Date]],Database!$A:$C,MATCH($C$1,Database!$A$1:$C$1,),)=0,#N/A,VLOOKUP(Table7[[#This Row],[Date]],Database!$A:$C,MATCH($C$1,Database!$A$1:$C$1,),))</f>
        <v/>
      </c>
      <c r="D11668">
        <f>IFERROR(Table7[[#This Row],[United States 10y]]-Table7[[#This Row],[United States 3y]],#N/A)</f>
        <v/>
      </c>
    </row>
    <row r="11669">
      <c r="A11669" s="6">
        <f>Database!$A13754</f>
        <v/>
      </c>
      <c r="B11669">
        <f>IF(VLOOKUP(Table7[[#This Row],[Date]],Database!$A:$C,MATCH($B$1,Database!$A$1:$C$1,),)=0,#N/A,VLOOKUP(Table7[[#This Row],[Date]],Database!$A:$C,MATCH($B$1,Database!$A$1:$C$1,),))</f>
        <v/>
      </c>
      <c r="C11669">
        <f>IF(VLOOKUP(Table7[[#This Row],[Date]],Database!$A:$C,MATCH($C$1,Database!$A$1:$C$1,),)=0,#N/A,VLOOKUP(Table7[[#This Row],[Date]],Database!$A:$C,MATCH($C$1,Database!$A$1:$C$1,),))</f>
        <v/>
      </c>
      <c r="D11669">
        <f>IFERROR(Table7[[#This Row],[United States 10y]]-Table7[[#This Row],[United States 3y]],#N/A)</f>
        <v/>
      </c>
    </row>
    <row r="11670">
      <c r="A11670" s="6">
        <f>Database!$A13755</f>
        <v/>
      </c>
      <c r="B11670">
        <f>IF(VLOOKUP(Table7[[#This Row],[Date]],Database!$A:$C,MATCH($B$1,Database!$A$1:$C$1,),)=0,#N/A,VLOOKUP(Table7[[#This Row],[Date]],Database!$A:$C,MATCH($B$1,Database!$A$1:$C$1,),))</f>
        <v/>
      </c>
      <c r="C11670">
        <f>IF(VLOOKUP(Table7[[#This Row],[Date]],Database!$A:$C,MATCH($C$1,Database!$A$1:$C$1,),)=0,#N/A,VLOOKUP(Table7[[#This Row],[Date]],Database!$A:$C,MATCH($C$1,Database!$A$1:$C$1,),))</f>
        <v/>
      </c>
      <c r="D11670">
        <f>IFERROR(Table7[[#This Row],[United States 10y]]-Table7[[#This Row],[United States 3y]],#N/A)</f>
        <v/>
      </c>
    </row>
    <row r="11671">
      <c r="A11671" s="6">
        <f>Database!$A13756</f>
        <v/>
      </c>
      <c r="B11671">
        <f>IF(VLOOKUP(Table7[[#This Row],[Date]],Database!$A:$C,MATCH($B$1,Database!$A$1:$C$1,),)=0,#N/A,VLOOKUP(Table7[[#This Row],[Date]],Database!$A:$C,MATCH($B$1,Database!$A$1:$C$1,),))</f>
        <v/>
      </c>
      <c r="C11671">
        <f>IF(VLOOKUP(Table7[[#This Row],[Date]],Database!$A:$C,MATCH($C$1,Database!$A$1:$C$1,),)=0,#N/A,VLOOKUP(Table7[[#This Row],[Date]],Database!$A:$C,MATCH($C$1,Database!$A$1:$C$1,),))</f>
        <v/>
      </c>
      <c r="D11671">
        <f>IFERROR(Table7[[#This Row],[United States 10y]]-Table7[[#This Row],[United States 3y]],#N/A)</f>
        <v/>
      </c>
    </row>
    <row r="11672">
      <c r="A11672" s="6">
        <f>Database!$A13757</f>
        <v/>
      </c>
      <c r="B11672">
        <f>IF(VLOOKUP(Table7[[#This Row],[Date]],Database!$A:$C,MATCH($B$1,Database!$A$1:$C$1,),)=0,#N/A,VLOOKUP(Table7[[#This Row],[Date]],Database!$A:$C,MATCH($B$1,Database!$A$1:$C$1,),))</f>
        <v/>
      </c>
      <c r="C11672">
        <f>IF(VLOOKUP(Table7[[#This Row],[Date]],Database!$A:$C,MATCH($C$1,Database!$A$1:$C$1,),)=0,#N/A,VLOOKUP(Table7[[#This Row],[Date]],Database!$A:$C,MATCH($C$1,Database!$A$1:$C$1,),))</f>
        <v/>
      </c>
      <c r="D11672">
        <f>IFERROR(Table7[[#This Row],[United States 10y]]-Table7[[#This Row],[United States 3y]],#N/A)</f>
        <v/>
      </c>
    </row>
    <row r="11673">
      <c r="A11673" s="6">
        <f>Database!$A13758</f>
        <v/>
      </c>
      <c r="B11673">
        <f>IF(VLOOKUP(Table7[[#This Row],[Date]],Database!$A:$C,MATCH($B$1,Database!$A$1:$C$1,),)=0,#N/A,VLOOKUP(Table7[[#This Row],[Date]],Database!$A:$C,MATCH($B$1,Database!$A$1:$C$1,),))</f>
        <v/>
      </c>
      <c r="C11673">
        <f>IF(VLOOKUP(Table7[[#This Row],[Date]],Database!$A:$C,MATCH($C$1,Database!$A$1:$C$1,),)=0,#N/A,VLOOKUP(Table7[[#This Row],[Date]],Database!$A:$C,MATCH($C$1,Database!$A$1:$C$1,),))</f>
        <v/>
      </c>
      <c r="D11673">
        <f>IFERROR(Table7[[#This Row],[United States 10y]]-Table7[[#This Row],[United States 3y]],#N/A)</f>
        <v/>
      </c>
    </row>
    <row r="11674">
      <c r="A11674" s="6">
        <f>Database!$A13759</f>
        <v/>
      </c>
      <c r="B11674">
        <f>IF(VLOOKUP(Table7[[#This Row],[Date]],Database!$A:$C,MATCH($B$1,Database!$A$1:$C$1,),)=0,#N/A,VLOOKUP(Table7[[#This Row],[Date]],Database!$A:$C,MATCH($B$1,Database!$A$1:$C$1,),))</f>
        <v/>
      </c>
      <c r="C11674">
        <f>IF(VLOOKUP(Table7[[#This Row],[Date]],Database!$A:$C,MATCH($C$1,Database!$A$1:$C$1,),)=0,#N/A,VLOOKUP(Table7[[#This Row],[Date]],Database!$A:$C,MATCH($C$1,Database!$A$1:$C$1,),))</f>
        <v/>
      </c>
      <c r="D11674">
        <f>IFERROR(Table7[[#This Row],[United States 10y]]-Table7[[#This Row],[United States 3y]],#N/A)</f>
        <v/>
      </c>
    </row>
    <row r="11675">
      <c r="A11675" s="6">
        <f>Database!$A13760</f>
        <v/>
      </c>
      <c r="B11675">
        <f>IF(VLOOKUP(Table7[[#This Row],[Date]],Database!$A:$C,MATCH($B$1,Database!$A$1:$C$1,),)=0,#N/A,VLOOKUP(Table7[[#This Row],[Date]],Database!$A:$C,MATCH($B$1,Database!$A$1:$C$1,),))</f>
        <v/>
      </c>
      <c r="C11675">
        <f>IF(VLOOKUP(Table7[[#This Row],[Date]],Database!$A:$C,MATCH($C$1,Database!$A$1:$C$1,),)=0,#N/A,VLOOKUP(Table7[[#This Row],[Date]],Database!$A:$C,MATCH($C$1,Database!$A$1:$C$1,),))</f>
        <v/>
      </c>
      <c r="D11675">
        <f>IFERROR(Table7[[#This Row],[United States 10y]]-Table7[[#This Row],[United States 3y]],#N/A)</f>
        <v/>
      </c>
    </row>
    <row r="11676">
      <c r="A11676" s="6">
        <f>Database!$A13761</f>
        <v/>
      </c>
      <c r="B11676">
        <f>IF(VLOOKUP(Table7[[#This Row],[Date]],Database!$A:$C,MATCH($B$1,Database!$A$1:$C$1,),)=0,#N/A,VLOOKUP(Table7[[#This Row],[Date]],Database!$A:$C,MATCH($B$1,Database!$A$1:$C$1,),))</f>
        <v/>
      </c>
      <c r="C11676">
        <f>IF(VLOOKUP(Table7[[#This Row],[Date]],Database!$A:$C,MATCH($C$1,Database!$A$1:$C$1,),)=0,#N/A,VLOOKUP(Table7[[#This Row],[Date]],Database!$A:$C,MATCH($C$1,Database!$A$1:$C$1,),))</f>
        <v/>
      </c>
      <c r="D11676">
        <f>IFERROR(Table7[[#This Row],[United States 10y]]-Table7[[#This Row],[United States 3y]],#N/A)</f>
        <v/>
      </c>
    </row>
    <row r="11677">
      <c r="A11677" s="6">
        <f>Database!$A13762</f>
        <v/>
      </c>
      <c r="B11677">
        <f>IF(VLOOKUP(Table7[[#This Row],[Date]],Database!$A:$C,MATCH($B$1,Database!$A$1:$C$1,),)=0,#N/A,VLOOKUP(Table7[[#This Row],[Date]],Database!$A:$C,MATCH($B$1,Database!$A$1:$C$1,),))</f>
        <v/>
      </c>
      <c r="C11677">
        <f>IF(VLOOKUP(Table7[[#This Row],[Date]],Database!$A:$C,MATCH($C$1,Database!$A$1:$C$1,),)=0,#N/A,VLOOKUP(Table7[[#This Row],[Date]],Database!$A:$C,MATCH($C$1,Database!$A$1:$C$1,),))</f>
        <v/>
      </c>
      <c r="D11677">
        <f>IFERROR(Table7[[#This Row],[United States 10y]]-Table7[[#This Row],[United States 3y]],#N/A)</f>
        <v/>
      </c>
    </row>
    <row r="11678">
      <c r="A11678" s="6">
        <f>Database!$A13763</f>
        <v/>
      </c>
      <c r="B11678">
        <f>IF(VLOOKUP(Table7[[#This Row],[Date]],Database!$A:$C,MATCH($B$1,Database!$A$1:$C$1,),)=0,#N/A,VLOOKUP(Table7[[#This Row],[Date]],Database!$A:$C,MATCH($B$1,Database!$A$1:$C$1,),))</f>
        <v/>
      </c>
      <c r="C11678">
        <f>IF(VLOOKUP(Table7[[#This Row],[Date]],Database!$A:$C,MATCH($C$1,Database!$A$1:$C$1,),)=0,#N/A,VLOOKUP(Table7[[#This Row],[Date]],Database!$A:$C,MATCH($C$1,Database!$A$1:$C$1,),))</f>
        <v/>
      </c>
      <c r="D11678">
        <f>IFERROR(Table7[[#This Row],[United States 10y]]-Table7[[#This Row],[United States 3y]],#N/A)</f>
        <v/>
      </c>
    </row>
    <row r="11679">
      <c r="A11679" s="6">
        <f>Database!$A13764</f>
        <v/>
      </c>
      <c r="B11679">
        <f>IF(VLOOKUP(Table7[[#This Row],[Date]],Database!$A:$C,MATCH($B$1,Database!$A$1:$C$1,),)=0,#N/A,VLOOKUP(Table7[[#This Row],[Date]],Database!$A:$C,MATCH($B$1,Database!$A$1:$C$1,),))</f>
        <v/>
      </c>
      <c r="C11679">
        <f>IF(VLOOKUP(Table7[[#This Row],[Date]],Database!$A:$C,MATCH($C$1,Database!$A$1:$C$1,),)=0,#N/A,VLOOKUP(Table7[[#This Row],[Date]],Database!$A:$C,MATCH($C$1,Database!$A$1:$C$1,),))</f>
        <v/>
      </c>
      <c r="D11679">
        <f>IFERROR(Table7[[#This Row],[United States 10y]]-Table7[[#This Row],[United States 3y]],#N/A)</f>
        <v/>
      </c>
    </row>
    <row r="11680">
      <c r="A11680" s="6">
        <f>Database!$A13765</f>
        <v/>
      </c>
      <c r="B11680">
        <f>IF(VLOOKUP(Table7[[#This Row],[Date]],Database!$A:$C,MATCH($B$1,Database!$A$1:$C$1,),)=0,#N/A,VLOOKUP(Table7[[#This Row],[Date]],Database!$A:$C,MATCH($B$1,Database!$A$1:$C$1,),))</f>
        <v/>
      </c>
      <c r="C11680">
        <f>IF(VLOOKUP(Table7[[#This Row],[Date]],Database!$A:$C,MATCH($C$1,Database!$A$1:$C$1,),)=0,#N/A,VLOOKUP(Table7[[#This Row],[Date]],Database!$A:$C,MATCH($C$1,Database!$A$1:$C$1,),))</f>
        <v/>
      </c>
      <c r="D11680">
        <f>IFERROR(Table7[[#This Row],[United States 10y]]-Table7[[#This Row],[United States 3y]],#N/A)</f>
        <v/>
      </c>
    </row>
    <row r="11681">
      <c r="A11681" s="6">
        <f>Database!$A13766</f>
        <v/>
      </c>
      <c r="B11681">
        <f>IF(VLOOKUP(Table7[[#This Row],[Date]],Database!$A:$C,MATCH($B$1,Database!$A$1:$C$1,),)=0,#N/A,VLOOKUP(Table7[[#This Row],[Date]],Database!$A:$C,MATCH($B$1,Database!$A$1:$C$1,),))</f>
        <v/>
      </c>
      <c r="C11681">
        <f>IF(VLOOKUP(Table7[[#This Row],[Date]],Database!$A:$C,MATCH($C$1,Database!$A$1:$C$1,),)=0,#N/A,VLOOKUP(Table7[[#This Row],[Date]],Database!$A:$C,MATCH($C$1,Database!$A$1:$C$1,),))</f>
        <v/>
      </c>
      <c r="D11681">
        <f>IFERROR(Table7[[#This Row],[United States 10y]]-Table7[[#This Row],[United States 3y]],#N/A)</f>
        <v/>
      </c>
    </row>
    <row r="11682">
      <c r="A11682" s="6">
        <f>Database!$A13767</f>
        <v/>
      </c>
      <c r="B11682">
        <f>IF(VLOOKUP(Table7[[#This Row],[Date]],Database!$A:$C,MATCH($B$1,Database!$A$1:$C$1,),)=0,#N/A,VLOOKUP(Table7[[#This Row],[Date]],Database!$A:$C,MATCH($B$1,Database!$A$1:$C$1,),))</f>
        <v/>
      </c>
      <c r="C11682">
        <f>IF(VLOOKUP(Table7[[#This Row],[Date]],Database!$A:$C,MATCH($C$1,Database!$A$1:$C$1,),)=0,#N/A,VLOOKUP(Table7[[#This Row],[Date]],Database!$A:$C,MATCH($C$1,Database!$A$1:$C$1,),))</f>
        <v/>
      </c>
      <c r="D11682">
        <f>IFERROR(Table7[[#This Row],[United States 10y]]-Table7[[#This Row],[United States 3y]],#N/A)</f>
        <v/>
      </c>
    </row>
    <row r="11683">
      <c r="A11683" s="6">
        <f>Database!$A13768</f>
        <v/>
      </c>
      <c r="B11683">
        <f>IF(VLOOKUP(Table7[[#This Row],[Date]],Database!$A:$C,MATCH($B$1,Database!$A$1:$C$1,),)=0,#N/A,VLOOKUP(Table7[[#This Row],[Date]],Database!$A:$C,MATCH($B$1,Database!$A$1:$C$1,),))</f>
        <v/>
      </c>
      <c r="C11683">
        <f>IF(VLOOKUP(Table7[[#This Row],[Date]],Database!$A:$C,MATCH($C$1,Database!$A$1:$C$1,),)=0,#N/A,VLOOKUP(Table7[[#This Row],[Date]],Database!$A:$C,MATCH($C$1,Database!$A$1:$C$1,),))</f>
        <v/>
      </c>
      <c r="D11683">
        <f>IFERROR(Table7[[#This Row],[United States 10y]]-Table7[[#This Row],[United States 3y]],#N/A)</f>
        <v/>
      </c>
    </row>
    <row r="11684">
      <c r="A11684" s="6">
        <f>Database!$A13769</f>
        <v/>
      </c>
      <c r="B11684">
        <f>IF(VLOOKUP(Table7[[#This Row],[Date]],Database!$A:$C,MATCH($B$1,Database!$A$1:$C$1,),)=0,#N/A,VLOOKUP(Table7[[#This Row],[Date]],Database!$A:$C,MATCH($B$1,Database!$A$1:$C$1,),))</f>
        <v/>
      </c>
      <c r="C11684">
        <f>IF(VLOOKUP(Table7[[#This Row],[Date]],Database!$A:$C,MATCH($C$1,Database!$A$1:$C$1,),)=0,#N/A,VLOOKUP(Table7[[#This Row],[Date]],Database!$A:$C,MATCH($C$1,Database!$A$1:$C$1,),))</f>
        <v/>
      </c>
      <c r="D11684">
        <f>IFERROR(Table7[[#This Row],[United States 10y]]-Table7[[#This Row],[United States 3y]],#N/A)</f>
        <v/>
      </c>
    </row>
    <row r="11685">
      <c r="A11685" s="6">
        <f>Database!$A13770</f>
        <v/>
      </c>
      <c r="B11685">
        <f>IF(VLOOKUP(Table7[[#This Row],[Date]],Database!$A:$C,MATCH($B$1,Database!$A$1:$C$1,),)=0,#N/A,VLOOKUP(Table7[[#This Row],[Date]],Database!$A:$C,MATCH($B$1,Database!$A$1:$C$1,),))</f>
        <v/>
      </c>
      <c r="C11685">
        <f>IF(VLOOKUP(Table7[[#This Row],[Date]],Database!$A:$C,MATCH($C$1,Database!$A$1:$C$1,),)=0,#N/A,VLOOKUP(Table7[[#This Row],[Date]],Database!$A:$C,MATCH($C$1,Database!$A$1:$C$1,),))</f>
        <v/>
      </c>
      <c r="D11685">
        <f>IFERROR(Table7[[#This Row],[United States 10y]]-Table7[[#This Row],[United States 3y]],#N/A)</f>
        <v/>
      </c>
    </row>
    <row r="11686">
      <c r="A11686" s="6">
        <f>Database!$A13771</f>
        <v/>
      </c>
      <c r="B11686">
        <f>IF(VLOOKUP(Table7[[#This Row],[Date]],Database!$A:$C,MATCH($B$1,Database!$A$1:$C$1,),)=0,#N/A,VLOOKUP(Table7[[#This Row],[Date]],Database!$A:$C,MATCH($B$1,Database!$A$1:$C$1,),))</f>
        <v/>
      </c>
      <c r="C11686">
        <f>IF(VLOOKUP(Table7[[#This Row],[Date]],Database!$A:$C,MATCH($C$1,Database!$A$1:$C$1,),)=0,#N/A,VLOOKUP(Table7[[#This Row],[Date]],Database!$A:$C,MATCH($C$1,Database!$A$1:$C$1,),))</f>
        <v/>
      </c>
      <c r="D11686">
        <f>IFERROR(Table7[[#This Row],[United States 10y]]-Table7[[#This Row],[United States 3y]],#N/A)</f>
        <v/>
      </c>
    </row>
    <row r="11687">
      <c r="A11687" s="6">
        <f>Database!$A13772</f>
        <v/>
      </c>
      <c r="B11687">
        <f>IF(VLOOKUP(Table7[[#This Row],[Date]],Database!$A:$C,MATCH($B$1,Database!$A$1:$C$1,),)=0,#N/A,VLOOKUP(Table7[[#This Row],[Date]],Database!$A:$C,MATCH($B$1,Database!$A$1:$C$1,),))</f>
        <v/>
      </c>
      <c r="C11687">
        <f>IF(VLOOKUP(Table7[[#This Row],[Date]],Database!$A:$C,MATCH($C$1,Database!$A$1:$C$1,),)=0,#N/A,VLOOKUP(Table7[[#This Row],[Date]],Database!$A:$C,MATCH($C$1,Database!$A$1:$C$1,),))</f>
        <v/>
      </c>
      <c r="D11687">
        <f>IFERROR(Table7[[#This Row],[United States 10y]]-Table7[[#This Row],[United States 3y]],#N/A)</f>
        <v/>
      </c>
    </row>
    <row r="11688">
      <c r="A11688" s="6">
        <f>Database!$A13773</f>
        <v/>
      </c>
      <c r="B11688">
        <f>IF(VLOOKUP(Table7[[#This Row],[Date]],Database!$A:$C,MATCH($B$1,Database!$A$1:$C$1,),)=0,#N/A,VLOOKUP(Table7[[#This Row],[Date]],Database!$A:$C,MATCH($B$1,Database!$A$1:$C$1,),))</f>
        <v/>
      </c>
      <c r="C11688">
        <f>IF(VLOOKUP(Table7[[#This Row],[Date]],Database!$A:$C,MATCH($C$1,Database!$A$1:$C$1,),)=0,#N/A,VLOOKUP(Table7[[#This Row],[Date]],Database!$A:$C,MATCH($C$1,Database!$A$1:$C$1,),))</f>
        <v/>
      </c>
      <c r="D11688">
        <f>IFERROR(Table7[[#This Row],[United States 10y]]-Table7[[#This Row],[United States 3y]],#N/A)</f>
        <v/>
      </c>
    </row>
    <row r="11689">
      <c r="A11689" s="6">
        <f>Database!$A13774</f>
        <v/>
      </c>
      <c r="B11689">
        <f>IF(VLOOKUP(Table7[[#This Row],[Date]],Database!$A:$C,MATCH($B$1,Database!$A$1:$C$1,),)=0,#N/A,VLOOKUP(Table7[[#This Row],[Date]],Database!$A:$C,MATCH($B$1,Database!$A$1:$C$1,),))</f>
        <v/>
      </c>
      <c r="C11689">
        <f>IF(VLOOKUP(Table7[[#This Row],[Date]],Database!$A:$C,MATCH($C$1,Database!$A$1:$C$1,),)=0,#N/A,VLOOKUP(Table7[[#This Row],[Date]],Database!$A:$C,MATCH($C$1,Database!$A$1:$C$1,),))</f>
        <v/>
      </c>
      <c r="D11689">
        <f>IFERROR(Table7[[#This Row],[United States 10y]]-Table7[[#This Row],[United States 3y]],#N/A)</f>
        <v/>
      </c>
    </row>
    <row r="11690">
      <c r="A11690" s="6">
        <f>Database!$A13775</f>
        <v/>
      </c>
      <c r="B11690">
        <f>IF(VLOOKUP(Table7[[#This Row],[Date]],Database!$A:$C,MATCH($B$1,Database!$A$1:$C$1,),)=0,#N/A,VLOOKUP(Table7[[#This Row],[Date]],Database!$A:$C,MATCH($B$1,Database!$A$1:$C$1,),))</f>
        <v/>
      </c>
      <c r="C11690">
        <f>IF(VLOOKUP(Table7[[#This Row],[Date]],Database!$A:$C,MATCH($C$1,Database!$A$1:$C$1,),)=0,#N/A,VLOOKUP(Table7[[#This Row],[Date]],Database!$A:$C,MATCH($C$1,Database!$A$1:$C$1,),))</f>
        <v/>
      </c>
      <c r="D11690">
        <f>IFERROR(Table7[[#This Row],[United States 10y]]-Table7[[#This Row],[United States 3y]],#N/A)</f>
        <v/>
      </c>
    </row>
    <row r="11691">
      <c r="A11691" s="6">
        <f>Database!$A13776</f>
        <v/>
      </c>
      <c r="B11691">
        <f>IF(VLOOKUP(Table7[[#This Row],[Date]],Database!$A:$C,MATCH($B$1,Database!$A$1:$C$1,),)=0,#N/A,VLOOKUP(Table7[[#This Row],[Date]],Database!$A:$C,MATCH($B$1,Database!$A$1:$C$1,),))</f>
        <v/>
      </c>
      <c r="C11691">
        <f>IF(VLOOKUP(Table7[[#This Row],[Date]],Database!$A:$C,MATCH($C$1,Database!$A$1:$C$1,),)=0,#N/A,VLOOKUP(Table7[[#This Row],[Date]],Database!$A:$C,MATCH($C$1,Database!$A$1:$C$1,),))</f>
        <v/>
      </c>
      <c r="D11691">
        <f>IFERROR(Table7[[#This Row],[United States 10y]]-Table7[[#This Row],[United States 3y]],#N/A)</f>
        <v/>
      </c>
    </row>
    <row r="11692">
      <c r="A11692" s="6">
        <f>Database!$A13777</f>
        <v/>
      </c>
      <c r="B11692">
        <f>IF(VLOOKUP(Table7[[#This Row],[Date]],Database!$A:$C,MATCH($B$1,Database!$A$1:$C$1,),)=0,#N/A,VLOOKUP(Table7[[#This Row],[Date]],Database!$A:$C,MATCH($B$1,Database!$A$1:$C$1,),))</f>
        <v/>
      </c>
      <c r="C11692">
        <f>IF(VLOOKUP(Table7[[#This Row],[Date]],Database!$A:$C,MATCH($C$1,Database!$A$1:$C$1,),)=0,#N/A,VLOOKUP(Table7[[#This Row],[Date]],Database!$A:$C,MATCH($C$1,Database!$A$1:$C$1,),))</f>
        <v/>
      </c>
      <c r="D11692">
        <f>IFERROR(Table7[[#This Row],[United States 10y]]-Table7[[#This Row],[United States 3y]],#N/A)</f>
        <v/>
      </c>
    </row>
    <row r="11693">
      <c r="A11693" s="6">
        <f>Database!$A13778</f>
        <v/>
      </c>
      <c r="B11693">
        <f>IF(VLOOKUP(Table7[[#This Row],[Date]],Database!$A:$C,MATCH($B$1,Database!$A$1:$C$1,),)=0,#N/A,VLOOKUP(Table7[[#This Row],[Date]],Database!$A:$C,MATCH($B$1,Database!$A$1:$C$1,),))</f>
        <v/>
      </c>
      <c r="C11693">
        <f>IF(VLOOKUP(Table7[[#This Row],[Date]],Database!$A:$C,MATCH($C$1,Database!$A$1:$C$1,),)=0,#N/A,VLOOKUP(Table7[[#This Row],[Date]],Database!$A:$C,MATCH($C$1,Database!$A$1:$C$1,),))</f>
        <v/>
      </c>
      <c r="D11693">
        <f>IFERROR(Table7[[#This Row],[United States 10y]]-Table7[[#This Row],[United States 3y]],#N/A)</f>
        <v/>
      </c>
    </row>
    <row r="11694">
      <c r="A11694" s="6">
        <f>Database!$A13779</f>
        <v/>
      </c>
      <c r="B11694">
        <f>IF(VLOOKUP(Table7[[#This Row],[Date]],Database!$A:$C,MATCH($B$1,Database!$A$1:$C$1,),)=0,#N/A,VLOOKUP(Table7[[#This Row],[Date]],Database!$A:$C,MATCH($B$1,Database!$A$1:$C$1,),))</f>
        <v/>
      </c>
      <c r="C11694">
        <f>IF(VLOOKUP(Table7[[#This Row],[Date]],Database!$A:$C,MATCH($C$1,Database!$A$1:$C$1,),)=0,#N/A,VLOOKUP(Table7[[#This Row],[Date]],Database!$A:$C,MATCH($C$1,Database!$A$1:$C$1,),))</f>
        <v/>
      </c>
      <c r="D11694">
        <f>IFERROR(Table7[[#This Row],[United States 10y]]-Table7[[#This Row],[United States 3y]],#N/A)</f>
        <v/>
      </c>
    </row>
    <row r="11695">
      <c r="A11695" s="6">
        <f>Database!$A13780</f>
        <v/>
      </c>
      <c r="B11695">
        <f>IF(VLOOKUP(Table7[[#This Row],[Date]],Database!$A:$C,MATCH($B$1,Database!$A$1:$C$1,),)=0,#N/A,VLOOKUP(Table7[[#This Row],[Date]],Database!$A:$C,MATCH($B$1,Database!$A$1:$C$1,),))</f>
        <v/>
      </c>
      <c r="C11695">
        <f>IF(VLOOKUP(Table7[[#This Row],[Date]],Database!$A:$C,MATCH($C$1,Database!$A$1:$C$1,),)=0,#N/A,VLOOKUP(Table7[[#This Row],[Date]],Database!$A:$C,MATCH($C$1,Database!$A$1:$C$1,),))</f>
        <v/>
      </c>
      <c r="D11695">
        <f>IFERROR(Table7[[#This Row],[United States 10y]]-Table7[[#This Row],[United States 3y]],#N/A)</f>
        <v/>
      </c>
    </row>
    <row r="11696">
      <c r="A11696" s="6">
        <f>Database!$A13781</f>
        <v/>
      </c>
      <c r="B11696">
        <f>IF(VLOOKUP(Table7[[#This Row],[Date]],Database!$A:$C,MATCH($B$1,Database!$A$1:$C$1,),)=0,#N/A,VLOOKUP(Table7[[#This Row],[Date]],Database!$A:$C,MATCH($B$1,Database!$A$1:$C$1,),))</f>
        <v/>
      </c>
      <c r="C11696">
        <f>IF(VLOOKUP(Table7[[#This Row],[Date]],Database!$A:$C,MATCH($C$1,Database!$A$1:$C$1,),)=0,#N/A,VLOOKUP(Table7[[#This Row],[Date]],Database!$A:$C,MATCH($C$1,Database!$A$1:$C$1,),))</f>
        <v/>
      </c>
      <c r="D11696">
        <f>IFERROR(Table7[[#This Row],[United States 10y]]-Table7[[#This Row],[United States 3y]],#N/A)</f>
        <v/>
      </c>
    </row>
    <row r="11697">
      <c r="A11697" s="6">
        <f>Database!$A13782</f>
        <v/>
      </c>
      <c r="B11697">
        <f>IF(VLOOKUP(Table7[[#This Row],[Date]],Database!$A:$C,MATCH($B$1,Database!$A$1:$C$1,),)=0,#N/A,VLOOKUP(Table7[[#This Row],[Date]],Database!$A:$C,MATCH($B$1,Database!$A$1:$C$1,),))</f>
        <v/>
      </c>
      <c r="C11697">
        <f>IF(VLOOKUP(Table7[[#This Row],[Date]],Database!$A:$C,MATCH($C$1,Database!$A$1:$C$1,),)=0,#N/A,VLOOKUP(Table7[[#This Row],[Date]],Database!$A:$C,MATCH($C$1,Database!$A$1:$C$1,),))</f>
        <v/>
      </c>
      <c r="D11697">
        <f>IFERROR(Table7[[#This Row],[United States 10y]]-Table7[[#This Row],[United States 3y]],#N/A)</f>
        <v/>
      </c>
    </row>
    <row r="11698">
      <c r="A11698" s="6">
        <f>Database!$A13783</f>
        <v/>
      </c>
      <c r="B11698">
        <f>IF(VLOOKUP(Table7[[#This Row],[Date]],Database!$A:$C,MATCH($B$1,Database!$A$1:$C$1,),)=0,#N/A,VLOOKUP(Table7[[#This Row],[Date]],Database!$A:$C,MATCH($B$1,Database!$A$1:$C$1,),))</f>
        <v/>
      </c>
      <c r="C11698">
        <f>IF(VLOOKUP(Table7[[#This Row],[Date]],Database!$A:$C,MATCH($C$1,Database!$A$1:$C$1,),)=0,#N/A,VLOOKUP(Table7[[#This Row],[Date]],Database!$A:$C,MATCH($C$1,Database!$A$1:$C$1,),))</f>
        <v/>
      </c>
      <c r="D11698">
        <f>IFERROR(Table7[[#This Row],[United States 10y]]-Table7[[#This Row],[United States 3y]],#N/A)</f>
        <v/>
      </c>
    </row>
    <row r="11699">
      <c r="A11699" s="6">
        <f>Database!$A13784</f>
        <v/>
      </c>
      <c r="B11699">
        <f>IF(VLOOKUP(Table7[[#This Row],[Date]],Database!$A:$C,MATCH($B$1,Database!$A$1:$C$1,),)=0,#N/A,VLOOKUP(Table7[[#This Row],[Date]],Database!$A:$C,MATCH($B$1,Database!$A$1:$C$1,),))</f>
        <v/>
      </c>
      <c r="C11699">
        <f>IF(VLOOKUP(Table7[[#This Row],[Date]],Database!$A:$C,MATCH($C$1,Database!$A$1:$C$1,),)=0,#N/A,VLOOKUP(Table7[[#This Row],[Date]],Database!$A:$C,MATCH($C$1,Database!$A$1:$C$1,),))</f>
        <v/>
      </c>
      <c r="D11699">
        <f>IFERROR(Table7[[#This Row],[United States 10y]]-Table7[[#This Row],[United States 3y]],#N/A)</f>
        <v/>
      </c>
    </row>
    <row r="11700">
      <c r="A11700" s="6">
        <f>Database!$A13785</f>
        <v/>
      </c>
      <c r="B11700">
        <f>IF(VLOOKUP(Table7[[#This Row],[Date]],Database!$A:$C,MATCH($B$1,Database!$A$1:$C$1,),)=0,#N/A,VLOOKUP(Table7[[#This Row],[Date]],Database!$A:$C,MATCH($B$1,Database!$A$1:$C$1,),))</f>
        <v/>
      </c>
      <c r="C11700">
        <f>IF(VLOOKUP(Table7[[#This Row],[Date]],Database!$A:$C,MATCH($C$1,Database!$A$1:$C$1,),)=0,#N/A,VLOOKUP(Table7[[#This Row],[Date]],Database!$A:$C,MATCH($C$1,Database!$A$1:$C$1,),))</f>
        <v/>
      </c>
      <c r="D11700">
        <f>IFERROR(Table7[[#This Row],[United States 10y]]-Table7[[#This Row],[United States 3y]],#N/A)</f>
        <v/>
      </c>
    </row>
    <row r="11701">
      <c r="A11701" s="6">
        <f>Database!$A13786</f>
        <v/>
      </c>
      <c r="B11701">
        <f>IF(VLOOKUP(Table7[[#This Row],[Date]],Database!$A:$C,MATCH($B$1,Database!$A$1:$C$1,),)=0,#N/A,VLOOKUP(Table7[[#This Row],[Date]],Database!$A:$C,MATCH($B$1,Database!$A$1:$C$1,),))</f>
        <v/>
      </c>
      <c r="C11701">
        <f>IF(VLOOKUP(Table7[[#This Row],[Date]],Database!$A:$C,MATCH($C$1,Database!$A$1:$C$1,),)=0,#N/A,VLOOKUP(Table7[[#This Row],[Date]],Database!$A:$C,MATCH($C$1,Database!$A$1:$C$1,),))</f>
        <v/>
      </c>
      <c r="D11701">
        <f>IFERROR(Table7[[#This Row],[United States 10y]]-Table7[[#This Row],[United States 3y]],#N/A)</f>
        <v/>
      </c>
    </row>
    <row r="11702">
      <c r="A11702" s="6">
        <f>Database!$A13787</f>
        <v/>
      </c>
      <c r="B11702">
        <f>IF(VLOOKUP(Table7[[#This Row],[Date]],Database!$A:$C,MATCH($B$1,Database!$A$1:$C$1,),)=0,#N/A,VLOOKUP(Table7[[#This Row],[Date]],Database!$A:$C,MATCH($B$1,Database!$A$1:$C$1,),))</f>
        <v/>
      </c>
      <c r="C11702">
        <f>IF(VLOOKUP(Table7[[#This Row],[Date]],Database!$A:$C,MATCH($C$1,Database!$A$1:$C$1,),)=0,#N/A,VLOOKUP(Table7[[#This Row],[Date]],Database!$A:$C,MATCH($C$1,Database!$A$1:$C$1,),))</f>
        <v/>
      </c>
      <c r="D11702">
        <f>IFERROR(Table7[[#This Row],[United States 10y]]-Table7[[#This Row],[United States 3y]],#N/A)</f>
        <v/>
      </c>
    </row>
    <row r="11703">
      <c r="A11703" s="6">
        <f>Database!$A13788</f>
        <v/>
      </c>
      <c r="B11703">
        <f>IF(VLOOKUP(Table7[[#This Row],[Date]],Database!$A:$C,MATCH($B$1,Database!$A$1:$C$1,),)=0,#N/A,VLOOKUP(Table7[[#This Row],[Date]],Database!$A:$C,MATCH($B$1,Database!$A$1:$C$1,),))</f>
        <v/>
      </c>
      <c r="C11703">
        <f>IF(VLOOKUP(Table7[[#This Row],[Date]],Database!$A:$C,MATCH($C$1,Database!$A$1:$C$1,),)=0,#N/A,VLOOKUP(Table7[[#This Row],[Date]],Database!$A:$C,MATCH($C$1,Database!$A$1:$C$1,),))</f>
        <v/>
      </c>
      <c r="D11703">
        <f>IFERROR(Table7[[#This Row],[United States 10y]]-Table7[[#This Row],[United States 3y]],#N/A)</f>
        <v/>
      </c>
    </row>
    <row r="11704">
      <c r="A11704" s="6">
        <f>Database!$A13789</f>
        <v/>
      </c>
      <c r="B11704">
        <f>IF(VLOOKUP(Table7[[#This Row],[Date]],Database!$A:$C,MATCH($B$1,Database!$A$1:$C$1,),)=0,#N/A,VLOOKUP(Table7[[#This Row],[Date]],Database!$A:$C,MATCH($B$1,Database!$A$1:$C$1,),))</f>
        <v/>
      </c>
      <c r="C11704">
        <f>IF(VLOOKUP(Table7[[#This Row],[Date]],Database!$A:$C,MATCH($C$1,Database!$A$1:$C$1,),)=0,#N/A,VLOOKUP(Table7[[#This Row],[Date]],Database!$A:$C,MATCH($C$1,Database!$A$1:$C$1,),))</f>
        <v/>
      </c>
      <c r="D11704">
        <f>IFERROR(Table7[[#This Row],[United States 10y]]-Table7[[#This Row],[United States 3y]],#N/A)</f>
        <v/>
      </c>
    </row>
    <row r="11705">
      <c r="A11705" s="6">
        <f>Database!$A13790</f>
        <v/>
      </c>
      <c r="B11705">
        <f>IF(VLOOKUP(Table7[[#This Row],[Date]],Database!$A:$C,MATCH($B$1,Database!$A$1:$C$1,),)=0,#N/A,VLOOKUP(Table7[[#This Row],[Date]],Database!$A:$C,MATCH($B$1,Database!$A$1:$C$1,),))</f>
        <v/>
      </c>
      <c r="C11705">
        <f>IF(VLOOKUP(Table7[[#This Row],[Date]],Database!$A:$C,MATCH($C$1,Database!$A$1:$C$1,),)=0,#N/A,VLOOKUP(Table7[[#This Row],[Date]],Database!$A:$C,MATCH($C$1,Database!$A$1:$C$1,),))</f>
        <v/>
      </c>
      <c r="D11705">
        <f>IFERROR(Table7[[#This Row],[United States 10y]]-Table7[[#This Row],[United States 3y]],#N/A)</f>
        <v/>
      </c>
    </row>
    <row r="11706">
      <c r="A11706" s="6">
        <f>Database!$A13791</f>
        <v/>
      </c>
      <c r="B11706">
        <f>IF(VLOOKUP(Table7[[#This Row],[Date]],Database!$A:$C,MATCH($B$1,Database!$A$1:$C$1,),)=0,#N/A,VLOOKUP(Table7[[#This Row],[Date]],Database!$A:$C,MATCH($B$1,Database!$A$1:$C$1,),))</f>
        <v/>
      </c>
      <c r="C11706">
        <f>IF(VLOOKUP(Table7[[#This Row],[Date]],Database!$A:$C,MATCH($C$1,Database!$A$1:$C$1,),)=0,#N/A,VLOOKUP(Table7[[#This Row],[Date]],Database!$A:$C,MATCH($C$1,Database!$A$1:$C$1,),))</f>
        <v/>
      </c>
      <c r="D11706">
        <f>IFERROR(Table7[[#This Row],[United States 10y]]-Table7[[#This Row],[United States 3y]],#N/A)</f>
        <v/>
      </c>
    </row>
    <row r="11707">
      <c r="A11707" s="6">
        <f>Database!$A13792</f>
        <v/>
      </c>
      <c r="B11707">
        <f>IF(VLOOKUP(Table7[[#This Row],[Date]],Database!$A:$C,MATCH($B$1,Database!$A$1:$C$1,),)=0,#N/A,VLOOKUP(Table7[[#This Row],[Date]],Database!$A:$C,MATCH($B$1,Database!$A$1:$C$1,),))</f>
        <v/>
      </c>
      <c r="C11707">
        <f>IF(VLOOKUP(Table7[[#This Row],[Date]],Database!$A:$C,MATCH($C$1,Database!$A$1:$C$1,),)=0,#N/A,VLOOKUP(Table7[[#This Row],[Date]],Database!$A:$C,MATCH($C$1,Database!$A$1:$C$1,),))</f>
        <v/>
      </c>
      <c r="D11707">
        <f>IFERROR(Table7[[#This Row],[United States 10y]]-Table7[[#This Row],[United States 3y]],#N/A)</f>
        <v/>
      </c>
    </row>
    <row r="11708">
      <c r="A11708" s="6">
        <f>Database!$A13793</f>
        <v/>
      </c>
      <c r="B11708">
        <f>IF(VLOOKUP(Table7[[#This Row],[Date]],Database!$A:$C,MATCH($B$1,Database!$A$1:$C$1,),)=0,#N/A,VLOOKUP(Table7[[#This Row],[Date]],Database!$A:$C,MATCH($B$1,Database!$A$1:$C$1,),))</f>
        <v/>
      </c>
      <c r="C11708">
        <f>IF(VLOOKUP(Table7[[#This Row],[Date]],Database!$A:$C,MATCH($C$1,Database!$A$1:$C$1,),)=0,#N/A,VLOOKUP(Table7[[#This Row],[Date]],Database!$A:$C,MATCH($C$1,Database!$A$1:$C$1,),))</f>
        <v/>
      </c>
      <c r="D11708">
        <f>IFERROR(Table7[[#This Row],[United States 10y]]-Table7[[#This Row],[United States 3y]],#N/A)</f>
        <v/>
      </c>
    </row>
    <row r="11709">
      <c r="A11709" s="6">
        <f>Database!$A13794</f>
        <v/>
      </c>
      <c r="B11709">
        <f>IF(VLOOKUP(Table7[[#This Row],[Date]],Database!$A:$C,MATCH($B$1,Database!$A$1:$C$1,),)=0,#N/A,VLOOKUP(Table7[[#This Row],[Date]],Database!$A:$C,MATCH($B$1,Database!$A$1:$C$1,),))</f>
        <v/>
      </c>
      <c r="C11709">
        <f>IF(VLOOKUP(Table7[[#This Row],[Date]],Database!$A:$C,MATCH($C$1,Database!$A$1:$C$1,),)=0,#N/A,VLOOKUP(Table7[[#This Row],[Date]],Database!$A:$C,MATCH($C$1,Database!$A$1:$C$1,),))</f>
        <v/>
      </c>
      <c r="D11709">
        <f>IFERROR(Table7[[#This Row],[United States 10y]]-Table7[[#This Row],[United States 3y]],#N/A)</f>
        <v/>
      </c>
    </row>
    <row r="11710">
      <c r="A11710" s="6">
        <f>Database!$A13795</f>
        <v/>
      </c>
      <c r="B11710">
        <f>IF(VLOOKUP(Table7[[#This Row],[Date]],Database!$A:$C,MATCH($B$1,Database!$A$1:$C$1,),)=0,#N/A,VLOOKUP(Table7[[#This Row],[Date]],Database!$A:$C,MATCH($B$1,Database!$A$1:$C$1,),))</f>
        <v/>
      </c>
      <c r="C11710">
        <f>IF(VLOOKUP(Table7[[#This Row],[Date]],Database!$A:$C,MATCH($C$1,Database!$A$1:$C$1,),)=0,#N/A,VLOOKUP(Table7[[#This Row],[Date]],Database!$A:$C,MATCH($C$1,Database!$A$1:$C$1,),))</f>
        <v/>
      </c>
      <c r="D11710">
        <f>IFERROR(Table7[[#This Row],[United States 10y]]-Table7[[#This Row],[United States 3y]],#N/A)</f>
        <v/>
      </c>
    </row>
    <row r="11711">
      <c r="A11711" s="6">
        <f>Database!$A13796</f>
        <v/>
      </c>
      <c r="B11711">
        <f>IF(VLOOKUP(Table7[[#This Row],[Date]],Database!$A:$C,MATCH($B$1,Database!$A$1:$C$1,),)=0,#N/A,VLOOKUP(Table7[[#This Row],[Date]],Database!$A:$C,MATCH($B$1,Database!$A$1:$C$1,),))</f>
        <v/>
      </c>
      <c r="C11711">
        <f>IF(VLOOKUP(Table7[[#This Row],[Date]],Database!$A:$C,MATCH($C$1,Database!$A$1:$C$1,),)=0,#N/A,VLOOKUP(Table7[[#This Row],[Date]],Database!$A:$C,MATCH($C$1,Database!$A$1:$C$1,),))</f>
        <v/>
      </c>
      <c r="D11711">
        <f>IFERROR(Table7[[#This Row],[United States 10y]]-Table7[[#This Row],[United States 3y]],#N/A)</f>
        <v/>
      </c>
    </row>
    <row r="11712">
      <c r="A11712" s="6">
        <f>Database!$A13797</f>
        <v/>
      </c>
      <c r="B11712">
        <f>IF(VLOOKUP(Table7[[#This Row],[Date]],Database!$A:$C,MATCH($B$1,Database!$A$1:$C$1,),)=0,#N/A,VLOOKUP(Table7[[#This Row],[Date]],Database!$A:$C,MATCH($B$1,Database!$A$1:$C$1,),))</f>
        <v/>
      </c>
      <c r="C11712">
        <f>IF(VLOOKUP(Table7[[#This Row],[Date]],Database!$A:$C,MATCH($C$1,Database!$A$1:$C$1,),)=0,#N/A,VLOOKUP(Table7[[#This Row],[Date]],Database!$A:$C,MATCH($C$1,Database!$A$1:$C$1,),))</f>
        <v/>
      </c>
      <c r="D11712">
        <f>IFERROR(Table7[[#This Row],[United States 10y]]-Table7[[#This Row],[United States 3y]],#N/A)</f>
        <v/>
      </c>
    </row>
    <row r="11713">
      <c r="A11713" s="6">
        <f>Database!$A13798</f>
        <v/>
      </c>
      <c r="B11713">
        <f>IF(VLOOKUP(Table7[[#This Row],[Date]],Database!$A:$C,MATCH($B$1,Database!$A$1:$C$1,),)=0,#N/A,VLOOKUP(Table7[[#This Row],[Date]],Database!$A:$C,MATCH($B$1,Database!$A$1:$C$1,),))</f>
        <v/>
      </c>
      <c r="C11713">
        <f>IF(VLOOKUP(Table7[[#This Row],[Date]],Database!$A:$C,MATCH($C$1,Database!$A$1:$C$1,),)=0,#N/A,VLOOKUP(Table7[[#This Row],[Date]],Database!$A:$C,MATCH($C$1,Database!$A$1:$C$1,),))</f>
        <v/>
      </c>
      <c r="D11713">
        <f>IFERROR(Table7[[#This Row],[United States 10y]]-Table7[[#This Row],[United States 3y]],#N/A)</f>
        <v/>
      </c>
    </row>
    <row r="11714">
      <c r="A11714" s="6">
        <f>Database!$A13799</f>
        <v/>
      </c>
      <c r="B11714">
        <f>IF(VLOOKUP(Table7[[#This Row],[Date]],Database!$A:$C,MATCH($B$1,Database!$A$1:$C$1,),)=0,#N/A,VLOOKUP(Table7[[#This Row],[Date]],Database!$A:$C,MATCH($B$1,Database!$A$1:$C$1,),))</f>
        <v/>
      </c>
      <c r="C11714">
        <f>IF(VLOOKUP(Table7[[#This Row],[Date]],Database!$A:$C,MATCH($C$1,Database!$A$1:$C$1,),)=0,#N/A,VLOOKUP(Table7[[#This Row],[Date]],Database!$A:$C,MATCH($C$1,Database!$A$1:$C$1,),))</f>
        <v/>
      </c>
      <c r="D11714">
        <f>IFERROR(Table7[[#This Row],[United States 10y]]-Table7[[#This Row],[United States 3y]],#N/A)</f>
        <v/>
      </c>
    </row>
    <row r="11715">
      <c r="A11715" s="6">
        <f>Database!$A13800</f>
        <v/>
      </c>
      <c r="B11715">
        <f>IF(VLOOKUP(Table7[[#This Row],[Date]],Database!$A:$C,MATCH($B$1,Database!$A$1:$C$1,),)=0,#N/A,VLOOKUP(Table7[[#This Row],[Date]],Database!$A:$C,MATCH($B$1,Database!$A$1:$C$1,),))</f>
        <v/>
      </c>
      <c r="C11715">
        <f>IF(VLOOKUP(Table7[[#This Row],[Date]],Database!$A:$C,MATCH($C$1,Database!$A$1:$C$1,),)=0,#N/A,VLOOKUP(Table7[[#This Row],[Date]],Database!$A:$C,MATCH($C$1,Database!$A$1:$C$1,),))</f>
        <v/>
      </c>
      <c r="D11715">
        <f>IFERROR(Table7[[#This Row],[United States 10y]]-Table7[[#This Row],[United States 3y]],#N/A)</f>
        <v/>
      </c>
    </row>
    <row r="11716">
      <c r="A11716" s="6">
        <f>Database!$A13801</f>
        <v/>
      </c>
      <c r="B11716">
        <f>IF(VLOOKUP(Table7[[#This Row],[Date]],Database!$A:$C,MATCH($B$1,Database!$A$1:$C$1,),)=0,#N/A,VLOOKUP(Table7[[#This Row],[Date]],Database!$A:$C,MATCH($B$1,Database!$A$1:$C$1,),))</f>
        <v/>
      </c>
      <c r="C11716">
        <f>IF(VLOOKUP(Table7[[#This Row],[Date]],Database!$A:$C,MATCH($C$1,Database!$A$1:$C$1,),)=0,#N/A,VLOOKUP(Table7[[#This Row],[Date]],Database!$A:$C,MATCH($C$1,Database!$A$1:$C$1,),))</f>
        <v/>
      </c>
      <c r="D11716">
        <f>IFERROR(Table7[[#This Row],[United States 10y]]-Table7[[#This Row],[United States 3y]],#N/A)</f>
        <v/>
      </c>
    </row>
    <row r="11717">
      <c r="A11717" s="6">
        <f>Database!$A13802</f>
        <v/>
      </c>
      <c r="B11717">
        <f>IF(VLOOKUP(Table7[[#This Row],[Date]],Database!$A:$C,MATCH($B$1,Database!$A$1:$C$1,),)=0,#N/A,VLOOKUP(Table7[[#This Row],[Date]],Database!$A:$C,MATCH($B$1,Database!$A$1:$C$1,),))</f>
        <v/>
      </c>
      <c r="C11717">
        <f>IF(VLOOKUP(Table7[[#This Row],[Date]],Database!$A:$C,MATCH($C$1,Database!$A$1:$C$1,),)=0,#N/A,VLOOKUP(Table7[[#This Row],[Date]],Database!$A:$C,MATCH($C$1,Database!$A$1:$C$1,),))</f>
        <v/>
      </c>
      <c r="D11717">
        <f>IFERROR(Table7[[#This Row],[United States 10y]]-Table7[[#This Row],[United States 3y]],#N/A)</f>
        <v/>
      </c>
    </row>
    <row r="11718">
      <c r="A11718" s="6">
        <f>Database!$A13803</f>
        <v/>
      </c>
      <c r="B11718">
        <f>IF(VLOOKUP(Table7[[#This Row],[Date]],Database!$A:$C,MATCH($B$1,Database!$A$1:$C$1,),)=0,#N/A,VLOOKUP(Table7[[#This Row],[Date]],Database!$A:$C,MATCH($B$1,Database!$A$1:$C$1,),))</f>
        <v/>
      </c>
      <c r="C11718">
        <f>IF(VLOOKUP(Table7[[#This Row],[Date]],Database!$A:$C,MATCH($C$1,Database!$A$1:$C$1,),)=0,#N/A,VLOOKUP(Table7[[#This Row],[Date]],Database!$A:$C,MATCH($C$1,Database!$A$1:$C$1,),))</f>
        <v/>
      </c>
      <c r="D11718">
        <f>IFERROR(Table7[[#This Row],[United States 10y]]-Table7[[#This Row],[United States 3y]],#N/A)</f>
        <v/>
      </c>
    </row>
    <row r="11719">
      <c r="A11719" s="6">
        <f>Database!$A13804</f>
        <v/>
      </c>
      <c r="B11719">
        <f>IF(VLOOKUP(Table7[[#This Row],[Date]],Database!$A:$C,MATCH($B$1,Database!$A$1:$C$1,),)=0,#N/A,VLOOKUP(Table7[[#This Row],[Date]],Database!$A:$C,MATCH($B$1,Database!$A$1:$C$1,),))</f>
        <v/>
      </c>
      <c r="C11719">
        <f>IF(VLOOKUP(Table7[[#This Row],[Date]],Database!$A:$C,MATCH($C$1,Database!$A$1:$C$1,),)=0,#N/A,VLOOKUP(Table7[[#This Row],[Date]],Database!$A:$C,MATCH($C$1,Database!$A$1:$C$1,),))</f>
        <v/>
      </c>
      <c r="D11719">
        <f>IFERROR(Table7[[#This Row],[United States 10y]]-Table7[[#This Row],[United States 3y]],#N/A)</f>
        <v/>
      </c>
    </row>
    <row r="11720">
      <c r="A11720" s="6">
        <f>Database!$A13805</f>
        <v/>
      </c>
      <c r="B11720">
        <f>IF(VLOOKUP(Table7[[#This Row],[Date]],Database!$A:$C,MATCH($B$1,Database!$A$1:$C$1,),)=0,#N/A,VLOOKUP(Table7[[#This Row],[Date]],Database!$A:$C,MATCH($B$1,Database!$A$1:$C$1,),))</f>
        <v/>
      </c>
      <c r="C11720">
        <f>IF(VLOOKUP(Table7[[#This Row],[Date]],Database!$A:$C,MATCH($C$1,Database!$A$1:$C$1,),)=0,#N/A,VLOOKUP(Table7[[#This Row],[Date]],Database!$A:$C,MATCH($C$1,Database!$A$1:$C$1,),))</f>
        <v/>
      </c>
      <c r="D11720">
        <f>IFERROR(Table7[[#This Row],[United States 10y]]-Table7[[#This Row],[United States 3y]],#N/A)</f>
        <v/>
      </c>
    </row>
    <row r="11721">
      <c r="A11721" s="6">
        <f>Database!$A13806</f>
        <v/>
      </c>
      <c r="B11721">
        <f>IF(VLOOKUP(Table7[[#This Row],[Date]],Database!$A:$C,MATCH($B$1,Database!$A$1:$C$1,),)=0,#N/A,VLOOKUP(Table7[[#This Row],[Date]],Database!$A:$C,MATCH($B$1,Database!$A$1:$C$1,),))</f>
        <v/>
      </c>
      <c r="C11721">
        <f>IF(VLOOKUP(Table7[[#This Row],[Date]],Database!$A:$C,MATCH($C$1,Database!$A$1:$C$1,),)=0,#N/A,VLOOKUP(Table7[[#This Row],[Date]],Database!$A:$C,MATCH($C$1,Database!$A$1:$C$1,),))</f>
        <v/>
      </c>
      <c r="D11721">
        <f>IFERROR(Table7[[#This Row],[United States 10y]]-Table7[[#This Row],[United States 3y]],#N/A)</f>
        <v/>
      </c>
    </row>
    <row r="11722">
      <c r="A11722" s="6">
        <f>Database!$A13807</f>
        <v/>
      </c>
      <c r="B11722">
        <f>IF(VLOOKUP(Table7[[#This Row],[Date]],Database!$A:$C,MATCH($B$1,Database!$A$1:$C$1,),)=0,#N/A,VLOOKUP(Table7[[#This Row],[Date]],Database!$A:$C,MATCH($B$1,Database!$A$1:$C$1,),))</f>
        <v/>
      </c>
      <c r="C11722">
        <f>IF(VLOOKUP(Table7[[#This Row],[Date]],Database!$A:$C,MATCH($C$1,Database!$A$1:$C$1,),)=0,#N/A,VLOOKUP(Table7[[#This Row],[Date]],Database!$A:$C,MATCH($C$1,Database!$A$1:$C$1,),))</f>
        <v/>
      </c>
      <c r="D11722">
        <f>IFERROR(Table7[[#This Row],[United States 10y]]-Table7[[#This Row],[United States 3y]],#N/A)</f>
        <v/>
      </c>
    </row>
    <row r="11723">
      <c r="A11723" s="6">
        <f>Database!$A13808</f>
        <v/>
      </c>
      <c r="B11723">
        <f>IF(VLOOKUP(Table7[[#This Row],[Date]],Database!$A:$C,MATCH($B$1,Database!$A$1:$C$1,),)=0,#N/A,VLOOKUP(Table7[[#This Row],[Date]],Database!$A:$C,MATCH($B$1,Database!$A$1:$C$1,),))</f>
        <v/>
      </c>
      <c r="C11723">
        <f>IF(VLOOKUP(Table7[[#This Row],[Date]],Database!$A:$C,MATCH($C$1,Database!$A$1:$C$1,),)=0,#N/A,VLOOKUP(Table7[[#This Row],[Date]],Database!$A:$C,MATCH($C$1,Database!$A$1:$C$1,),))</f>
        <v/>
      </c>
      <c r="D11723">
        <f>IFERROR(Table7[[#This Row],[United States 10y]]-Table7[[#This Row],[United States 3y]],#N/A)</f>
        <v/>
      </c>
    </row>
    <row r="11724">
      <c r="A11724" s="6">
        <f>Database!$A13809</f>
        <v/>
      </c>
      <c r="B11724">
        <f>IF(VLOOKUP(Table7[[#This Row],[Date]],Database!$A:$C,MATCH($B$1,Database!$A$1:$C$1,),)=0,#N/A,VLOOKUP(Table7[[#This Row],[Date]],Database!$A:$C,MATCH($B$1,Database!$A$1:$C$1,),))</f>
        <v/>
      </c>
      <c r="C11724">
        <f>IF(VLOOKUP(Table7[[#This Row],[Date]],Database!$A:$C,MATCH($C$1,Database!$A$1:$C$1,),)=0,#N/A,VLOOKUP(Table7[[#This Row],[Date]],Database!$A:$C,MATCH($C$1,Database!$A$1:$C$1,),))</f>
        <v/>
      </c>
      <c r="D11724">
        <f>IFERROR(Table7[[#This Row],[United States 10y]]-Table7[[#This Row],[United States 3y]],#N/A)</f>
        <v/>
      </c>
    </row>
    <row r="11725">
      <c r="A11725" s="6">
        <f>Database!$A13810</f>
        <v/>
      </c>
      <c r="B11725">
        <f>IF(VLOOKUP(Table7[[#This Row],[Date]],Database!$A:$C,MATCH($B$1,Database!$A$1:$C$1,),)=0,#N/A,VLOOKUP(Table7[[#This Row],[Date]],Database!$A:$C,MATCH($B$1,Database!$A$1:$C$1,),))</f>
        <v/>
      </c>
      <c r="C11725">
        <f>IF(VLOOKUP(Table7[[#This Row],[Date]],Database!$A:$C,MATCH($C$1,Database!$A$1:$C$1,),)=0,#N/A,VLOOKUP(Table7[[#This Row],[Date]],Database!$A:$C,MATCH($C$1,Database!$A$1:$C$1,),))</f>
        <v/>
      </c>
      <c r="D11725">
        <f>IFERROR(Table7[[#This Row],[United States 10y]]-Table7[[#This Row],[United States 3y]],#N/A)</f>
        <v/>
      </c>
    </row>
    <row r="11726">
      <c r="A11726" s="6">
        <f>Database!$A13811</f>
        <v/>
      </c>
      <c r="B11726">
        <f>IF(VLOOKUP(Table7[[#This Row],[Date]],Database!$A:$C,MATCH($B$1,Database!$A$1:$C$1,),)=0,#N/A,VLOOKUP(Table7[[#This Row],[Date]],Database!$A:$C,MATCH($B$1,Database!$A$1:$C$1,),))</f>
        <v/>
      </c>
      <c r="C11726">
        <f>IF(VLOOKUP(Table7[[#This Row],[Date]],Database!$A:$C,MATCH($C$1,Database!$A$1:$C$1,),)=0,#N/A,VLOOKUP(Table7[[#This Row],[Date]],Database!$A:$C,MATCH($C$1,Database!$A$1:$C$1,),))</f>
        <v/>
      </c>
      <c r="D11726">
        <f>IFERROR(Table7[[#This Row],[United States 10y]]-Table7[[#This Row],[United States 3y]],#N/A)</f>
        <v/>
      </c>
    </row>
    <row r="11727">
      <c r="A11727" s="6">
        <f>Database!$A13812</f>
        <v/>
      </c>
      <c r="B11727">
        <f>IF(VLOOKUP(Table7[[#This Row],[Date]],Database!$A:$C,MATCH($B$1,Database!$A$1:$C$1,),)=0,#N/A,VLOOKUP(Table7[[#This Row],[Date]],Database!$A:$C,MATCH($B$1,Database!$A$1:$C$1,),))</f>
        <v/>
      </c>
      <c r="C11727">
        <f>IF(VLOOKUP(Table7[[#This Row],[Date]],Database!$A:$C,MATCH($C$1,Database!$A$1:$C$1,),)=0,#N/A,VLOOKUP(Table7[[#This Row],[Date]],Database!$A:$C,MATCH($C$1,Database!$A$1:$C$1,),))</f>
        <v/>
      </c>
      <c r="D11727">
        <f>IFERROR(Table7[[#This Row],[United States 10y]]-Table7[[#This Row],[United States 3y]],#N/A)</f>
        <v/>
      </c>
    </row>
    <row r="11728">
      <c r="A11728" s="6">
        <f>Database!$A13813</f>
        <v/>
      </c>
      <c r="B11728">
        <f>IF(VLOOKUP(Table7[[#This Row],[Date]],Database!$A:$C,MATCH($B$1,Database!$A$1:$C$1,),)=0,#N/A,VLOOKUP(Table7[[#This Row],[Date]],Database!$A:$C,MATCH($B$1,Database!$A$1:$C$1,),))</f>
        <v/>
      </c>
      <c r="C11728">
        <f>IF(VLOOKUP(Table7[[#This Row],[Date]],Database!$A:$C,MATCH($C$1,Database!$A$1:$C$1,),)=0,#N/A,VLOOKUP(Table7[[#This Row],[Date]],Database!$A:$C,MATCH($C$1,Database!$A$1:$C$1,),))</f>
        <v/>
      </c>
      <c r="D11728">
        <f>IFERROR(Table7[[#This Row],[United States 10y]]-Table7[[#This Row],[United States 3y]],#N/A)</f>
        <v/>
      </c>
    </row>
    <row r="11729">
      <c r="A11729" s="6">
        <f>Database!$A13814</f>
        <v/>
      </c>
      <c r="B11729">
        <f>IF(VLOOKUP(Table7[[#This Row],[Date]],Database!$A:$C,MATCH($B$1,Database!$A$1:$C$1,),)=0,#N/A,VLOOKUP(Table7[[#This Row],[Date]],Database!$A:$C,MATCH($B$1,Database!$A$1:$C$1,),))</f>
        <v/>
      </c>
      <c r="C11729">
        <f>IF(VLOOKUP(Table7[[#This Row],[Date]],Database!$A:$C,MATCH($C$1,Database!$A$1:$C$1,),)=0,#N/A,VLOOKUP(Table7[[#This Row],[Date]],Database!$A:$C,MATCH($C$1,Database!$A$1:$C$1,),))</f>
        <v/>
      </c>
      <c r="D11729">
        <f>IFERROR(Table7[[#This Row],[United States 10y]]-Table7[[#This Row],[United States 3y]],#N/A)</f>
        <v/>
      </c>
    </row>
    <row r="11730">
      <c r="A11730" s="6">
        <f>Database!$A13815</f>
        <v/>
      </c>
      <c r="B11730">
        <f>IF(VLOOKUP(Table7[[#This Row],[Date]],Database!$A:$C,MATCH($B$1,Database!$A$1:$C$1,),)=0,#N/A,VLOOKUP(Table7[[#This Row],[Date]],Database!$A:$C,MATCH($B$1,Database!$A$1:$C$1,),))</f>
        <v/>
      </c>
      <c r="C11730">
        <f>IF(VLOOKUP(Table7[[#This Row],[Date]],Database!$A:$C,MATCH($C$1,Database!$A$1:$C$1,),)=0,#N/A,VLOOKUP(Table7[[#This Row],[Date]],Database!$A:$C,MATCH($C$1,Database!$A$1:$C$1,),))</f>
        <v/>
      </c>
      <c r="D11730">
        <f>IFERROR(Table7[[#This Row],[United States 10y]]-Table7[[#This Row],[United States 3y]],#N/A)</f>
        <v/>
      </c>
    </row>
    <row r="11731">
      <c r="A11731" s="6">
        <f>Database!$A13816</f>
        <v/>
      </c>
      <c r="B11731">
        <f>IF(VLOOKUP(Table7[[#This Row],[Date]],Database!$A:$C,MATCH($B$1,Database!$A$1:$C$1,),)=0,#N/A,VLOOKUP(Table7[[#This Row],[Date]],Database!$A:$C,MATCH($B$1,Database!$A$1:$C$1,),))</f>
        <v/>
      </c>
      <c r="C11731">
        <f>IF(VLOOKUP(Table7[[#This Row],[Date]],Database!$A:$C,MATCH($C$1,Database!$A$1:$C$1,),)=0,#N/A,VLOOKUP(Table7[[#This Row],[Date]],Database!$A:$C,MATCH($C$1,Database!$A$1:$C$1,),))</f>
        <v/>
      </c>
      <c r="D11731">
        <f>IFERROR(Table7[[#This Row],[United States 10y]]-Table7[[#This Row],[United States 3y]],#N/A)</f>
        <v/>
      </c>
    </row>
    <row r="11732">
      <c r="A11732" s="6">
        <f>Database!$A13817</f>
        <v/>
      </c>
      <c r="B11732">
        <f>IF(VLOOKUP(Table7[[#This Row],[Date]],Database!$A:$C,MATCH($B$1,Database!$A$1:$C$1,),)=0,#N/A,VLOOKUP(Table7[[#This Row],[Date]],Database!$A:$C,MATCH($B$1,Database!$A$1:$C$1,),))</f>
        <v/>
      </c>
      <c r="C11732">
        <f>IF(VLOOKUP(Table7[[#This Row],[Date]],Database!$A:$C,MATCH($C$1,Database!$A$1:$C$1,),)=0,#N/A,VLOOKUP(Table7[[#This Row],[Date]],Database!$A:$C,MATCH($C$1,Database!$A$1:$C$1,),))</f>
        <v/>
      </c>
      <c r="D11732">
        <f>IFERROR(Table7[[#This Row],[United States 10y]]-Table7[[#This Row],[United States 3y]],#N/A)</f>
        <v/>
      </c>
    </row>
    <row r="11733">
      <c r="A11733" s="6">
        <f>Database!$A13818</f>
        <v/>
      </c>
      <c r="B11733">
        <f>IF(VLOOKUP(Table7[[#This Row],[Date]],Database!$A:$C,MATCH($B$1,Database!$A$1:$C$1,),)=0,#N/A,VLOOKUP(Table7[[#This Row],[Date]],Database!$A:$C,MATCH($B$1,Database!$A$1:$C$1,),))</f>
        <v/>
      </c>
      <c r="C11733">
        <f>IF(VLOOKUP(Table7[[#This Row],[Date]],Database!$A:$C,MATCH($C$1,Database!$A$1:$C$1,),)=0,#N/A,VLOOKUP(Table7[[#This Row],[Date]],Database!$A:$C,MATCH($C$1,Database!$A$1:$C$1,),))</f>
        <v/>
      </c>
      <c r="D11733">
        <f>IFERROR(Table7[[#This Row],[United States 10y]]-Table7[[#This Row],[United States 3y]],#N/A)</f>
        <v/>
      </c>
    </row>
    <row r="11734">
      <c r="A11734" s="6">
        <f>Database!$A13819</f>
        <v/>
      </c>
      <c r="B11734">
        <f>IF(VLOOKUP(Table7[[#This Row],[Date]],Database!$A:$C,MATCH($B$1,Database!$A$1:$C$1,),)=0,#N/A,VLOOKUP(Table7[[#This Row],[Date]],Database!$A:$C,MATCH($B$1,Database!$A$1:$C$1,),))</f>
        <v/>
      </c>
      <c r="C11734">
        <f>IF(VLOOKUP(Table7[[#This Row],[Date]],Database!$A:$C,MATCH($C$1,Database!$A$1:$C$1,),)=0,#N/A,VLOOKUP(Table7[[#This Row],[Date]],Database!$A:$C,MATCH($C$1,Database!$A$1:$C$1,),))</f>
        <v/>
      </c>
      <c r="D11734">
        <f>IFERROR(Table7[[#This Row],[United States 10y]]-Table7[[#This Row],[United States 3y]],#N/A)</f>
        <v/>
      </c>
    </row>
    <row r="11735">
      <c r="A11735" s="6">
        <f>Database!$A13820</f>
        <v/>
      </c>
      <c r="B11735">
        <f>IF(VLOOKUP(Table7[[#This Row],[Date]],Database!$A:$C,MATCH($B$1,Database!$A$1:$C$1,),)=0,#N/A,VLOOKUP(Table7[[#This Row],[Date]],Database!$A:$C,MATCH($B$1,Database!$A$1:$C$1,),))</f>
        <v/>
      </c>
      <c r="C11735">
        <f>IF(VLOOKUP(Table7[[#This Row],[Date]],Database!$A:$C,MATCH($C$1,Database!$A$1:$C$1,),)=0,#N/A,VLOOKUP(Table7[[#This Row],[Date]],Database!$A:$C,MATCH($C$1,Database!$A$1:$C$1,),))</f>
        <v/>
      </c>
      <c r="D11735">
        <f>IFERROR(Table7[[#This Row],[United States 10y]]-Table7[[#This Row],[United States 3y]],#N/A)</f>
        <v/>
      </c>
    </row>
    <row r="11736">
      <c r="A11736" s="6">
        <f>Database!$A13821</f>
        <v/>
      </c>
      <c r="B11736">
        <f>IF(VLOOKUP(Table7[[#This Row],[Date]],Database!$A:$C,MATCH($B$1,Database!$A$1:$C$1,),)=0,#N/A,VLOOKUP(Table7[[#This Row],[Date]],Database!$A:$C,MATCH($B$1,Database!$A$1:$C$1,),))</f>
        <v/>
      </c>
      <c r="C11736">
        <f>IF(VLOOKUP(Table7[[#This Row],[Date]],Database!$A:$C,MATCH($C$1,Database!$A$1:$C$1,),)=0,#N/A,VLOOKUP(Table7[[#This Row],[Date]],Database!$A:$C,MATCH($C$1,Database!$A$1:$C$1,),))</f>
        <v/>
      </c>
      <c r="D11736">
        <f>IFERROR(Table7[[#This Row],[United States 10y]]-Table7[[#This Row],[United States 3y]],#N/A)</f>
        <v/>
      </c>
    </row>
    <row r="11737">
      <c r="A11737" s="6">
        <f>Database!$A13822</f>
        <v/>
      </c>
      <c r="B11737">
        <f>IF(VLOOKUP(Table7[[#This Row],[Date]],Database!$A:$C,MATCH($B$1,Database!$A$1:$C$1,),)=0,#N/A,VLOOKUP(Table7[[#This Row],[Date]],Database!$A:$C,MATCH($B$1,Database!$A$1:$C$1,),))</f>
        <v/>
      </c>
      <c r="C11737">
        <f>IF(VLOOKUP(Table7[[#This Row],[Date]],Database!$A:$C,MATCH($C$1,Database!$A$1:$C$1,),)=0,#N/A,VLOOKUP(Table7[[#This Row],[Date]],Database!$A:$C,MATCH($C$1,Database!$A$1:$C$1,),))</f>
        <v/>
      </c>
      <c r="D11737">
        <f>IFERROR(Table7[[#This Row],[United States 10y]]-Table7[[#This Row],[United States 3y]],#N/A)</f>
        <v/>
      </c>
    </row>
    <row r="11738">
      <c r="A11738" s="6">
        <f>Database!$A13823</f>
        <v/>
      </c>
      <c r="B11738">
        <f>IF(VLOOKUP(Table7[[#This Row],[Date]],Database!$A:$C,MATCH($B$1,Database!$A$1:$C$1,),)=0,#N/A,VLOOKUP(Table7[[#This Row],[Date]],Database!$A:$C,MATCH($B$1,Database!$A$1:$C$1,),))</f>
        <v/>
      </c>
      <c r="C11738">
        <f>IF(VLOOKUP(Table7[[#This Row],[Date]],Database!$A:$C,MATCH($C$1,Database!$A$1:$C$1,),)=0,#N/A,VLOOKUP(Table7[[#This Row],[Date]],Database!$A:$C,MATCH($C$1,Database!$A$1:$C$1,),))</f>
        <v/>
      </c>
      <c r="D11738">
        <f>IFERROR(Table7[[#This Row],[United States 10y]]-Table7[[#This Row],[United States 3y]],#N/A)</f>
        <v/>
      </c>
    </row>
    <row r="11739">
      <c r="A11739" s="6">
        <f>Database!$A13824</f>
        <v/>
      </c>
      <c r="B11739">
        <f>IF(VLOOKUP(Table7[[#This Row],[Date]],Database!$A:$C,MATCH($B$1,Database!$A$1:$C$1,),)=0,#N/A,VLOOKUP(Table7[[#This Row],[Date]],Database!$A:$C,MATCH($B$1,Database!$A$1:$C$1,),))</f>
        <v/>
      </c>
      <c r="C11739">
        <f>IF(VLOOKUP(Table7[[#This Row],[Date]],Database!$A:$C,MATCH($C$1,Database!$A$1:$C$1,),)=0,#N/A,VLOOKUP(Table7[[#This Row],[Date]],Database!$A:$C,MATCH($C$1,Database!$A$1:$C$1,),))</f>
        <v/>
      </c>
      <c r="D11739">
        <f>IFERROR(Table7[[#This Row],[United States 10y]]-Table7[[#This Row],[United States 3y]],#N/A)</f>
        <v/>
      </c>
    </row>
    <row r="11740">
      <c r="A11740" s="6">
        <f>Database!$A13825</f>
        <v/>
      </c>
      <c r="B11740">
        <f>IF(VLOOKUP(Table7[[#This Row],[Date]],Database!$A:$C,MATCH($B$1,Database!$A$1:$C$1,),)=0,#N/A,VLOOKUP(Table7[[#This Row],[Date]],Database!$A:$C,MATCH($B$1,Database!$A$1:$C$1,),))</f>
        <v/>
      </c>
      <c r="C11740">
        <f>IF(VLOOKUP(Table7[[#This Row],[Date]],Database!$A:$C,MATCH($C$1,Database!$A$1:$C$1,),)=0,#N/A,VLOOKUP(Table7[[#This Row],[Date]],Database!$A:$C,MATCH($C$1,Database!$A$1:$C$1,),))</f>
        <v/>
      </c>
      <c r="D11740">
        <f>IFERROR(Table7[[#This Row],[United States 10y]]-Table7[[#This Row],[United States 3y]],#N/A)</f>
        <v/>
      </c>
    </row>
    <row r="11741">
      <c r="A11741" s="6">
        <f>Database!$A13826</f>
        <v/>
      </c>
      <c r="B11741">
        <f>IF(VLOOKUP(Table7[[#This Row],[Date]],Database!$A:$C,MATCH($B$1,Database!$A$1:$C$1,),)=0,#N/A,VLOOKUP(Table7[[#This Row],[Date]],Database!$A:$C,MATCH($B$1,Database!$A$1:$C$1,),))</f>
        <v/>
      </c>
      <c r="C11741">
        <f>IF(VLOOKUP(Table7[[#This Row],[Date]],Database!$A:$C,MATCH($C$1,Database!$A$1:$C$1,),)=0,#N/A,VLOOKUP(Table7[[#This Row],[Date]],Database!$A:$C,MATCH($C$1,Database!$A$1:$C$1,),))</f>
        <v/>
      </c>
      <c r="D11741">
        <f>IFERROR(Table7[[#This Row],[United States 10y]]-Table7[[#This Row],[United States 3y]],#N/A)</f>
        <v/>
      </c>
    </row>
    <row r="11742">
      <c r="A11742" s="6">
        <f>Database!$A13827</f>
        <v/>
      </c>
      <c r="B11742">
        <f>IF(VLOOKUP(Table7[[#This Row],[Date]],Database!$A:$C,MATCH($B$1,Database!$A$1:$C$1,),)=0,#N/A,VLOOKUP(Table7[[#This Row],[Date]],Database!$A:$C,MATCH($B$1,Database!$A$1:$C$1,),))</f>
        <v/>
      </c>
      <c r="C11742">
        <f>IF(VLOOKUP(Table7[[#This Row],[Date]],Database!$A:$C,MATCH($C$1,Database!$A$1:$C$1,),)=0,#N/A,VLOOKUP(Table7[[#This Row],[Date]],Database!$A:$C,MATCH($C$1,Database!$A$1:$C$1,),))</f>
        <v/>
      </c>
      <c r="D11742">
        <f>IFERROR(Table7[[#This Row],[United States 10y]]-Table7[[#This Row],[United States 3y]],#N/A)</f>
        <v/>
      </c>
    </row>
    <row r="11743">
      <c r="A11743" s="6">
        <f>Database!$A13828</f>
        <v/>
      </c>
      <c r="B11743">
        <f>IF(VLOOKUP(Table7[[#This Row],[Date]],Database!$A:$C,MATCH($B$1,Database!$A$1:$C$1,),)=0,#N/A,VLOOKUP(Table7[[#This Row],[Date]],Database!$A:$C,MATCH($B$1,Database!$A$1:$C$1,),))</f>
        <v/>
      </c>
      <c r="C11743">
        <f>IF(VLOOKUP(Table7[[#This Row],[Date]],Database!$A:$C,MATCH($C$1,Database!$A$1:$C$1,),)=0,#N/A,VLOOKUP(Table7[[#This Row],[Date]],Database!$A:$C,MATCH($C$1,Database!$A$1:$C$1,),))</f>
        <v/>
      </c>
      <c r="D11743">
        <f>IFERROR(Table7[[#This Row],[United States 10y]]-Table7[[#This Row],[United States 3y]],#N/A)</f>
        <v/>
      </c>
    </row>
    <row r="11744">
      <c r="A11744" s="6">
        <f>Database!$A13829</f>
        <v/>
      </c>
      <c r="B11744">
        <f>IF(VLOOKUP(Table7[[#This Row],[Date]],Database!$A:$C,MATCH($B$1,Database!$A$1:$C$1,),)=0,#N/A,VLOOKUP(Table7[[#This Row],[Date]],Database!$A:$C,MATCH($B$1,Database!$A$1:$C$1,),))</f>
        <v/>
      </c>
      <c r="C11744">
        <f>IF(VLOOKUP(Table7[[#This Row],[Date]],Database!$A:$C,MATCH($C$1,Database!$A$1:$C$1,),)=0,#N/A,VLOOKUP(Table7[[#This Row],[Date]],Database!$A:$C,MATCH($C$1,Database!$A$1:$C$1,),))</f>
        <v/>
      </c>
      <c r="D11744">
        <f>IFERROR(Table7[[#This Row],[United States 10y]]-Table7[[#This Row],[United States 3y]],#N/A)</f>
        <v/>
      </c>
    </row>
    <row r="11745">
      <c r="A11745" s="6">
        <f>Database!$A13830</f>
        <v/>
      </c>
      <c r="B11745">
        <f>IF(VLOOKUP(Table7[[#This Row],[Date]],Database!$A:$C,MATCH($B$1,Database!$A$1:$C$1,),)=0,#N/A,VLOOKUP(Table7[[#This Row],[Date]],Database!$A:$C,MATCH($B$1,Database!$A$1:$C$1,),))</f>
        <v/>
      </c>
      <c r="C11745">
        <f>IF(VLOOKUP(Table7[[#This Row],[Date]],Database!$A:$C,MATCH($C$1,Database!$A$1:$C$1,),)=0,#N/A,VLOOKUP(Table7[[#This Row],[Date]],Database!$A:$C,MATCH($C$1,Database!$A$1:$C$1,),))</f>
        <v/>
      </c>
      <c r="D11745">
        <f>IFERROR(Table7[[#This Row],[United States 10y]]-Table7[[#This Row],[United States 3y]],#N/A)</f>
        <v/>
      </c>
    </row>
    <row r="11746">
      <c r="A11746" s="6">
        <f>Database!$A13831</f>
        <v/>
      </c>
      <c r="B11746">
        <f>IF(VLOOKUP(Table7[[#This Row],[Date]],Database!$A:$C,MATCH($B$1,Database!$A$1:$C$1,),)=0,#N/A,VLOOKUP(Table7[[#This Row],[Date]],Database!$A:$C,MATCH($B$1,Database!$A$1:$C$1,),))</f>
        <v/>
      </c>
      <c r="C11746">
        <f>IF(VLOOKUP(Table7[[#This Row],[Date]],Database!$A:$C,MATCH($C$1,Database!$A$1:$C$1,),)=0,#N/A,VLOOKUP(Table7[[#This Row],[Date]],Database!$A:$C,MATCH($C$1,Database!$A$1:$C$1,),))</f>
        <v/>
      </c>
      <c r="D11746">
        <f>IFERROR(Table7[[#This Row],[United States 10y]]-Table7[[#This Row],[United States 3y]],#N/A)</f>
        <v/>
      </c>
    </row>
    <row r="11747">
      <c r="A11747" s="6">
        <f>Database!$A13832</f>
        <v/>
      </c>
      <c r="B11747">
        <f>IF(VLOOKUP(Table7[[#This Row],[Date]],Database!$A:$C,MATCH($B$1,Database!$A$1:$C$1,),)=0,#N/A,VLOOKUP(Table7[[#This Row],[Date]],Database!$A:$C,MATCH($B$1,Database!$A$1:$C$1,),))</f>
        <v/>
      </c>
      <c r="C11747">
        <f>IF(VLOOKUP(Table7[[#This Row],[Date]],Database!$A:$C,MATCH($C$1,Database!$A$1:$C$1,),)=0,#N/A,VLOOKUP(Table7[[#This Row],[Date]],Database!$A:$C,MATCH($C$1,Database!$A$1:$C$1,),))</f>
        <v/>
      </c>
      <c r="D11747">
        <f>IFERROR(Table7[[#This Row],[United States 10y]]-Table7[[#This Row],[United States 3y]],#N/A)</f>
        <v/>
      </c>
    </row>
    <row r="11748">
      <c r="A11748" s="6">
        <f>Database!$A13833</f>
        <v/>
      </c>
      <c r="B11748">
        <f>IF(VLOOKUP(Table7[[#This Row],[Date]],Database!$A:$C,MATCH($B$1,Database!$A$1:$C$1,),)=0,#N/A,VLOOKUP(Table7[[#This Row],[Date]],Database!$A:$C,MATCH($B$1,Database!$A$1:$C$1,),))</f>
        <v/>
      </c>
      <c r="C11748">
        <f>IF(VLOOKUP(Table7[[#This Row],[Date]],Database!$A:$C,MATCH($C$1,Database!$A$1:$C$1,),)=0,#N/A,VLOOKUP(Table7[[#This Row],[Date]],Database!$A:$C,MATCH($C$1,Database!$A$1:$C$1,),))</f>
        <v/>
      </c>
      <c r="D11748">
        <f>IFERROR(Table7[[#This Row],[United States 10y]]-Table7[[#This Row],[United States 3y]],#N/A)</f>
        <v/>
      </c>
    </row>
    <row r="11749">
      <c r="A11749" s="6">
        <f>Database!$A13834</f>
        <v/>
      </c>
      <c r="B11749">
        <f>IF(VLOOKUP(Table7[[#This Row],[Date]],Database!$A:$C,MATCH($B$1,Database!$A$1:$C$1,),)=0,#N/A,VLOOKUP(Table7[[#This Row],[Date]],Database!$A:$C,MATCH($B$1,Database!$A$1:$C$1,),))</f>
        <v/>
      </c>
      <c r="C11749">
        <f>IF(VLOOKUP(Table7[[#This Row],[Date]],Database!$A:$C,MATCH($C$1,Database!$A$1:$C$1,),)=0,#N/A,VLOOKUP(Table7[[#This Row],[Date]],Database!$A:$C,MATCH($C$1,Database!$A$1:$C$1,),))</f>
        <v/>
      </c>
      <c r="D11749">
        <f>IFERROR(Table7[[#This Row],[United States 10y]]-Table7[[#This Row],[United States 3y]],#N/A)</f>
        <v/>
      </c>
    </row>
    <row r="11750">
      <c r="A11750" s="6">
        <f>Database!$A13835</f>
        <v/>
      </c>
      <c r="B11750">
        <f>IF(VLOOKUP(Table7[[#This Row],[Date]],Database!$A:$C,MATCH($B$1,Database!$A$1:$C$1,),)=0,#N/A,VLOOKUP(Table7[[#This Row],[Date]],Database!$A:$C,MATCH($B$1,Database!$A$1:$C$1,),))</f>
        <v/>
      </c>
      <c r="C11750">
        <f>IF(VLOOKUP(Table7[[#This Row],[Date]],Database!$A:$C,MATCH($C$1,Database!$A$1:$C$1,),)=0,#N/A,VLOOKUP(Table7[[#This Row],[Date]],Database!$A:$C,MATCH($C$1,Database!$A$1:$C$1,),))</f>
        <v/>
      </c>
      <c r="D11750">
        <f>IFERROR(Table7[[#This Row],[United States 10y]]-Table7[[#This Row],[United States 3y]],#N/A)</f>
        <v/>
      </c>
    </row>
    <row r="11751">
      <c r="A11751" s="6">
        <f>Database!$A13836</f>
        <v/>
      </c>
      <c r="B11751">
        <f>IF(VLOOKUP(Table7[[#This Row],[Date]],Database!$A:$C,MATCH($B$1,Database!$A$1:$C$1,),)=0,#N/A,VLOOKUP(Table7[[#This Row],[Date]],Database!$A:$C,MATCH($B$1,Database!$A$1:$C$1,),))</f>
        <v/>
      </c>
      <c r="C11751">
        <f>IF(VLOOKUP(Table7[[#This Row],[Date]],Database!$A:$C,MATCH($C$1,Database!$A$1:$C$1,),)=0,#N/A,VLOOKUP(Table7[[#This Row],[Date]],Database!$A:$C,MATCH($C$1,Database!$A$1:$C$1,),))</f>
        <v/>
      </c>
      <c r="D11751">
        <f>IFERROR(Table7[[#This Row],[United States 10y]]-Table7[[#This Row],[United States 3y]],#N/A)</f>
        <v/>
      </c>
    </row>
    <row r="11752">
      <c r="A11752" s="6">
        <f>Database!$A13837</f>
        <v/>
      </c>
      <c r="B11752">
        <f>IF(VLOOKUP(Table7[[#This Row],[Date]],Database!$A:$C,MATCH($B$1,Database!$A$1:$C$1,),)=0,#N/A,VLOOKUP(Table7[[#This Row],[Date]],Database!$A:$C,MATCH($B$1,Database!$A$1:$C$1,),))</f>
        <v/>
      </c>
      <c r="C11752">
        <f>IF(VLOOKUP(Table7[[#This Row],[Date]],Database!$A:$C,MATCH($C$1,Database!$A$1:$C$1,),)=0,#N/A,VLOOKUP(Table7[[#This Row],[Date]],Database!$A:$C,MATCH($C$1,Database!$A$1:$C$1,),))</f>
        <v/>
      </c>
      <c r="D11752">
        <f>IFERROR(Table7[[#This Row],[United States 10y]]-Table7[[#This Row],[United States 3y]],#N/A)</f>
        <v/>
      </c>
    </row>
    <row r="11753">
      <c r="A11753" s="6">
        <f>Database!$A13838</f>
        <v/>
      </c>
      <c r="B11753">
        <f>IF(VLOOKUP(Table7[[#This Row],[Date]],Database!$A:$C,MATCH($B$1,Database!$A$1:$C$1,),)=0,#N/A,VLOOKUP(Table7[[#This Row],[Date]],Database!$A:$C,MATCH($B$1,Database!$A$1:$C$1,),))</f>
        <v/>
      </c>
      <c r="C11753">
        <f>IF(VLOOKUP(Table7[[#This Row],[Date]],Database!$A:$C,MATCH($C$1,Database!$A$1:$C$1,),)=0,#N/A,VLOOKUP(Table7[[#This Row],[Date]],Database!$A:$C,MATCH($C$1,Database!$A$1:$C$1,),))</f>
        <v/>
      </c>
      <c r="D11753">
        <f>IFERROR(Table7[[#This Row],[United States 10y]]-Table7[[#This Row],[United States 3y]],#N/A)</f>
        <v/>
      </c>
    </row>
    <row r="11754">
      <c r="A11754" s="6">
        <f>Database!$A13839</f>
        <v/>
      </c>
      <c r="B11754">
        <f>IF(VLOOKUP(Table7[[#This Row],[Date]],Database!$A:$C,MATCH($B$1,Database!$A$1:$C$1,),)=0,#N/A,VLOOKUP(Table7[[#This Row],[Date]],Database!$A:$C,MATCH($B$1,Database!$A$1:$C$1,),))</f>
        <v/>
      </c>
      <c r="C11754">
        <f>IF(VLOOKUP(Table7[[#This Row],[Date]],Database!$A:$C,MATCH($C$1,Database!$A$1:$C$1,),)=0,#N/A,VLOOKUP(Table7[[#This Row],[Date]],Database!$A:$C,MATCH($C$1,Database!$A$1:$C$1,),))</f>
        <v/>
      </c>
      <c r="D11754">
        <f>IFERROR(Table7[[#This Row],[United States 10y]]-Table7[[#This Row],[United States 3y]],#N/A)</f>
        <v/>
      </c>
    </row>
    <row r="11755">
      <c r="A11755" s="6">
        <f>Database!$A13840</f>
        <v/>
      </c>
      <c r="B11755">
        <f>IF(VLOOKUP(Table7[[#This Row],[Date]],Database!$A:$C,MATCH($B$1,Database!$A$1:$C$1,),)=0,#N/A,VLOOKUP(Table7[[#This Row],[Date]],Database!$A:$C,MATCH($B$1,Database!$A$1:$C$1,),))</f>
        <v/>
      </c>
      <c r="C11755">
        <f>IF(VLOOKUP(Table7[[#This Row],[Date]],Database!$A:$C,MATCH($C$1,Database!$A$1:$C$1,),)=0,#N/A,VLOOKUP(Table7[[#This Row],[Date]],Database!$A:$C,MATCH($C$1,Database!$A$1:$C$1,),))</f>
        <v/>
      </c>
      <c r="D11755">
        <f>IFERROR(Table7[[#This Row],[United States 10y]]-Table7[[#This Row],[United States 3y]],#N/A)</f>
        <v/>
      </c>
    </row>
    <row r="11756">
      <c r="A11756" s="6">
        <f>Database!$A13841</f>
        <v/>
      </c>
      <c r="B11756">
        <f>IF(VLOOKUP(Table7[[#This Row],[Date]],Database!$A:$C,MATCH($B$1,Database!$A$1:$C$1,),)=0,#N/A,VLOOKUP(Table7[[#This Row],[Date]],Database!$A:$C,MATCH($B$1,Database!$A$1:$C$1,),))</f>
        <v/>
      </c>
      <c r="C11756">
        <f>IF(VLOOKUP(Table7[[#This Row],[Date]],Database!$A:$C,MATCH($C$1,Database!$A$1:$C$1,),)=0,#N/A,VLOOKUP(Table7[[#This Row],[Date]],Database!$A:$C,MATCH($C$1,Database!$A$1:$C$1,),))</f>
        <v/>
      </c>
      <c r="D11756">
        <f>IFERROR(Table7[[#This Row],[United States 10y]]-Table7[[#This Row],[United States 3y]],#N/A)</f>
        <v/>
      </c>
    </row>
    <row r="11757">
      <c r="A11757" s="6">
        <f>Database!$A13842</f>
        <v/>
      </c>
      <c r="B11757">
        <f>IF(VLOOKUP(Table7[[#This Row],[Date]],Database!$A:$C,MATCH($B$1,Database!$A$1:$C$1,),)=0,#N/A,VLOOKUP(Table7[[#This Row],[Date]],Database!$A:$C,MATCH($B$1,Database!$A$1:$C$1,),))</f>
        <v/>
      </c>
      <c r="C11757">
        <f>IF(VLOOKUP(Table7[[#This Row],[Date]],Database!$A:$C,MATCH($C$1,Database!$A$1:$C$1,),)=0,#N/A,VLOOKUP(Table7[[#This Row],[Date]],Database!$A:$C,MATCH($C$1,Database!$A$1:$C$1,),))</f>
        <v/>
      </c>
      <c r="D11757">
        <f>IFERROR(Table7[[#This Row],[United States 10y]]-Table7[[#This Row],[United States 3y]],#N/A)</f>
        <v/>
      </c>
    </row>
    <row r="11758">
      <c r="A11758" s="6">
        <f>Database!$A13843</f>
        <v/>
      </c>
      <c r="B11758">
        <f>IF(VLOOKUP(Table7[[#This Row],[Date]],Database!$A:$C,MATCH($B$1,Database!$A$1:$C$1,),)=0,#N/A,VLOOKUP(Table7[[#This Row],[Date]],Database!$A:$C,MATCH($B$1,Database!$A$1:$C$1,),))</f>
        <v/>
      </c>
      <c r="C11758">
        <f>IF(VLOOKUP(Table7[[#This Row],[Date]],Database!$A:$C,MATCH($C$1,Database!$A$1:$C$1,),)=0,#N/A,VLOOKUP(Table7[[#This Row],[Date]],Database!$A:$C,MATCH($C$1,Database!$A$1:$C$1,),))</f>
        <v/>
      </c>
      <c r="D11758">
        <f>IFERROR(Table7[[#This Row],[United States 10y]]-Table7[[#This Row],[United States 3y]],#N/A)</f>
        <v/>
      </c>
    </row>
    <row r="11759">
      <c r="A11759" s="6">
        <f>Database!$A13844</f>
        <v/>
      </c>
      <c r="B11759">
        <f>IF(VLOOKUP(Table7[[#This Row],[Date]],Database!$A:$C,MATCH($B$1,Database!$A$1:$C$1,),)=0,#N/A,VLOOKUP(Table7[[#This Row],[Date]],Database!$A:$C,MATCH($B$1,Database!$A$1:$C$1,),))</f>
        <v/>
      </c>
      <c r="C11759">
        <f>IF(VLOOKUP(Table7[[#This Row],[Date]],Database!$A:$C,MATCH($C$1,Database!$A$1:$C$1,),)=0,#N/A,VLOOKUP(Table7[[#This Row],[Date]],Database!$A:$C,MATCH($C$1,Database!$A$1:$C$1,),))</f>
        <v/>
      </c>
      <c r="D11759">
        <f>IFERROR(Table7[[#This Row],[United States 10y]]-Table7[[#This Row],[United States 3y]],#N/A)</f>
        <v/>
      </c>
    </row>
    <row r="11760">
      <c r="A11760" s="6">
        <f>Database!$A13845</f>
        <v/>
      </c>
      <c r="B11760">
        <f>IF(VLOOKUP(Table7[[#This Row],[Date]],Database!$A:$C,MATCH($B$1,Database!$A$1:$C$1,),)=0,#N/A,VLOOKUP(Table7[[#This Row],[Date]],Database!$A:$C,MATCH($B$1,Database!$A$1:$C$1,),))</f>
        <v/>
      </c>
      <c r="C11760">
        <f>IF(VLOOKUP(Table7[[#This Row],[Date]],Database!$A:$C,MATCH($C$1,Database!$A$1:$C$1,),)=0,#N/A,VLOOKUP(Table7[[#This Row],[Date]],Database!$A:$C,MATCH($C$1,Database!$A$1:$C$1,),))</f>
        <v/>
      </c>
      <c r="D11760">
        <f>IFERROR(Table7[[#This Row],[United States 10y]]-Table7[[#This Row],[United States 3y]],#N/A)</f>
        <v/>
      </c>
    </row>
    <row r="11761">
      <c r="A11761" s="6">
        <f>Database!$A13846</f>
        <v/>
      </c>
      <c r="B11761">
        <f>IF(VLOOKUP(Table7[[#This Row],[Date]],Database!$A:$C,MATCH($B$1,Database!$A$1:$C$1,),)=0,#N/A,VLOOKUP(Table7[[#This Row],[Date]],Database!$A:$C,MATCH($B$1,Database!$A$1:$C$1,),))</f>
        <v/>
      </c>
      <c r="C11761">
        <f>IF(VLOOKUP(Table7[[#This Row],[Date]],Database!$A:$C,MATCH($C$1,Database!$A$1:$C$1,),)=0,#N/A,VLOOKUP(Table7[[#This Row],[Date]],Database!$A:$C,MATCH($C$1,Database!$A$1:$C$1,),))</f>
        <v/>
      </c>
      <c r="D11761">
        <f>IFERROR(Table7[[#This Row],[United States 10y]]-Table7[[#This Row],[United States 3y]],#N/A)</f>
        <v/>
      </c>
    </row>
    <row r="11762">
      <c r="A11762" s="6">
        <f>Database!$A13847</f>
        <v/>
      </c>
      <c r="B11762">
        <f>IF(VLOOKUP(Table7[[#This Row],[Date]],Database!$A:$C,MATCH($B$1,Database!$A$1:$C$1,),)=0,#N/A,VLOOKUP(Table7[[#This Row],[Date]],Database!$A:$C,MATCH($B$1,Database!$A$1:$C$1,),))</f>
        <v/>
      </c>
      <c r="C11762">
        <f>IF(VLOOKUP(Table7[[#This Row],[Date]],Database!$A:$C,MATCH($C$1,Database!$A$1:$C$1,),)=0,#N/A,VLOOKUP(Table7[[#This Row],[Date]],Database!$A:$C,MATCH($C$1,Database!$A$1:$C$1,),))</f>
        <v/>
      </c>
      <c r="D11762">
        <f>IFERROR(Table7[[#This Row],[United States 10y]]-Table7[[#This Row],[United States 3y]],#N/A)</f>
        <v/>
      </c>
    </row>
    <row r="11763">
      <c r="A11763" s="6">
        <f>Database!$A13848</f>
        <v/>
      </c>
      <c r="B11763">
        <f>IF(VLOOKUP(Table7[[#This Row],[Date]],Database!$A:$C,MATCH($B$1,Database!$A$1:$C$1,),)=0,#N/A,VLOOKUP(Table7[[#This Row],[Date]],Database!$A:$C,MATCH($B$1,Database!$A$1:$C$1,),))</f>
        <v/>
      </c>
      <c r="C11763">
        <f>IF(VLOOKUP(Table7[[#This Row],[Date]],Database!$A:$C,MATCH($C$1,Database!$A$1:$C$1,),)=0,#N/A,VLOOKUP(Table7[[#This Row],[Date]],Database!$A:$C,MATCH($C$1,Database!$A$1:$C$1,),))</f>
        <v/>
      </c>
      <c r="D11763">
        <f>IFERROR(Table7[[#This Row],[United States 10y]]-Table7[[#This Row],[United States 3y]],#N/A)</f>
        <v/>
      </c>
    </row>
    <row r="11764">
      <c r="A11764" s="6">
        <f>Database!$A13849</f>
        <v/>
      </c>
      <c r="B11764">
        <f>IF(VLOOKUP(Table7[[#This Row],[Date]],Database!$A:$C,MATCH($B$1,Database!$A$1:$C$1,),)=0,#N/A,VLOOKUP(Table7[[#This Row],[Date]],Database!$A:$C,MATCH($B$1,Database!$A$1:$C$1,),))</f>
        <v/>
      </c>
      <c r="C11764">
        <f>IF(VLOOKUP(Table7[[#This Row],[Date]],Database!$A:$C,MATCH($C$1,Database!$A$1:$C$1,),)=0,#N/A,VLOOKUP(Table7[[#This Row],[Date]],Database!$A:$C,MATCH($C$1,Database!$A$1:$C$1,),))</f>
        <v/>
      </c>
      <c r="D11764">
        <f>IFERROR(Table7[[#This Row],[United States 10y]]-Table7[[#This Row],[United States 3y]],#N/A)</f>
        <v/>
      </c>
    </row>
    <row r="11765">
      <c r="A11765" s="6">
        <f>Database!$A13850</f>
        <v/>
      </c>
      <c r="B11765">
        <f>IF(VLOOKUP(Table7[[#This Row],[Date]],Database!$A:$C,MATCH($B$1,Database!$A$1:$C$1,),)=0,#N/A,VLOOKUP(Table7[[#This Row],[Date]],Database!$A:$C,MATCH($B$1,Database!$A$1:$C$1,),))</f>
        <v/>
      </c>
      <c r="C11765">
        <f>IF(VLOOKUP(Table7[[#This Row],[Date]],Database!$A:$C,MATCH($C$1,Database!$A$1:$C$1,),)=0,#N/A,VLOOKUP(Table7[[#This Row],[Date]],Database!$A:$C,MATCH($C$1,Database!$A$1:$C$1,),))</f>
        <v/>
      </c>
      <c r="D11765">
        <f>IFERROR(Table7[[#This Row],[United States 10y]]-Table7[[#This Row],[United States 3y]],#N/A)</f>
        <v/>
      </c>
    </row>
    <row r="11766">
      <c r="A11766" s="6">
        <f>Database!$A13851</f>
        <v/>
      </c>
      <c r="B11766">
        <f>IF(VLOOKUP(Table7[[#This Row],[Date]],Database!$A:$C,MATCH($B$1,Database!$A$1:$C$1,),)=0,#N/A,VLOOKUP(Table7[[#This Row],[Date]],Database!$A:$C,MATCH($B$1,Database!$A$1:$C$1,),))</f>
        <v/>
      </c>
      <c r="C11766">
        <f>IF(VLOOKUP(Table7[[#This Row],[Date]],Database!$A:$C,MATCH($C$1,Database!$A$1:$C$1,),)=0,#N/A,VLOOKUP(Table7[[#This Row],[Date]],Database!$A:$C,MATCH($C$1,Database!$A$1:$C$1,),))</f>
        <v/>
      </c>
      <c r="D11766">
        <f>IFERROR(Table7[[#This Row],[United States 10y]]-Table7[[#This Row],[United States 3y]],#N/A)</f>
        <v/>
      </c>
    </row>
    <row r="11767">
      <c r="A11767" s="6">
        <f>Database!$A13852</f>
        <v/>
      </c>
      <c r="B11767">
        <f>IF(VLOOKUP(Table7[[#This Row],[Date]],Database!$A:$C,MATCH($B$1,Database!$A$1:$C$1,),)=0,#N/A,VLOOKUP(Table7[[#This Row],[Date]],Database!$A:$C,MATCH($B$1,Database!$A$1:$C$1,),))</f>
        <v/>
      </c>
      <c r="C11767">
        <f>IF(VLOOKUP(Table7[[#This Row],[Date]],Database!$A:$C,MATCH($C$1,Database!$A$1:$C$1,),)=0,#N/A,VLOOKUP(Table7[[#This Row],[Date]],Database!$A:$C,MATCH($C$1,Database!$A$1:$C$1,),))</f>
        <v/>
      </c>
      <c r="D11767">
        <f>IFERROR(Table7[[#This Row],[United States 10y]]-Table7[[#This Row],[United States 3y]],#N/A)</f>
        <v/>
      </c>
    </row>
    <row r="11768">
      <c r="A11768" s="6">
        <f>Database!$A13853</f>
        <v/>
      </c>
      <c r="B11768">
        <f>IF(VLOOKUP(Table7[[#This Row],[Date]],Database!$A:$C,MATCH($B$1,Database!$A$1:$C$1,),)=0,#N/A,VLOOKUP(Table7[[#This Row],[Date]],Database!$A:$C,MATCH($B$1,Database!$A$1:$C$1,),))</f>
        <v/>
      </c>
      <c r="C11768">
        <f>IF(VLOOKUP(Table7[[#This Row],[Date]],Database!$A:$C,MATCH($C$1,Database!$A$1:$C$1,),)=0,#N/A,VLOOKUP(Table7[[#This Row],[Date]],Database!$A:$C,MATCH($C$1,Database!$A$1:$C$1,),))</f>
        <v/>
      </c>
      <c r="D11768">
        <f>IFERROR(Table7[[#This Row],[United States 10y]]-Table7[[#This Row],[United States 3y]],#N/A)</f>
        <v/>
      </c>
    </row>
    <row r="11769">
      <c r="A11769" s="6">
        <f>Database!$A13854</f>
        <v/>
      </c>
      <c r="B11769">
        <f>IF(VLOOKUP(Table7[[#This Row],[Date]],Database!$A:$C,MATCH($B$1,Database!$A$1:$C$1,),)=0,#N/A,VLOOKUP(Table7[[#This Row],[Date]],Database!$A:$C,MATCH($B$1,Database!$A$1:$C$1,),))</f>
        <v/>
      </c>
      <c r="C11769">
        <f>IF(VLOOKUP(Table7[[#This Row],[Date]],Database!$A:$C,MATCH($C$1,Database!$A$1:$C$1,),)=0,#N/A,VLOOKUP(Table7[[#This Row],[Date]],Database!$A:$C,MATCH($C$1,Database!$A$1:$C$1,),))</f>
        <v/>
      </c>
      <c r="D11769">
        <f>IFERROR(Table7[[#This Row],[United States 10y]]-Table7[[#This Row],[United States 3y]],#N/A)</f>
        <v/>
      </c>
    </row>
    <row r="11770">
      <c r="A11770" s="6">
        <f>Database!$A13855</f>
        <v/>
      </c>
      <c r="B11770">
        <f>IF(VLOOKUP(Table7[[#This Row],[Date]],Database!$A:$C,MATCH($B$1,Database!$A$1:$C$1,),)=0,#N/A,VLOOKUP(Table7[[#This Row],[Date]],Database!$A:$C,MATCH($B$1,Database!$A$1:$C$1,),))</f>
        <v/>
      </c>
      <c r="C11770">
        <f>IF(VLOOKUP(Table7[[#This Row],[Date]],Database!$A:$C,MATCH($C$1,Database!$A$1:$C$1,),)=0,#N/A,VLOOKUP(Table7[[#This Row],[Date]],Database!$A:$C,MATCH($C$1,Database!$A$1:$C$1,),))</f>
        <v/>
      </c>
      <c r="D11770">
        <f>IFERROR(Table7[[#This Row],[United States 10y]]-Table7[[#This Row],[United States 3y]],#N/A)</f>
        <v/>
      </c>
    </row>
    <row r="11771">
      <c r="A11771" s="6">
        <f>Database!$A13856</f>
        <v/>
      </c>
      <c r="B11771">
        <f>IF(VLOOKUP(Table7[[#This Row],[Date]],Database!$A:$C,MATCH($B$1,Database!$A$1:$C$1,),)=0,#N/A,VLOOKUP(Table7[[#This Row],[Date]],Database!$A:$C,MATCH($B$1,Database!$A$1:$C$1,),))</f>
        <v/>
      </c>
      <c r="C11771">
        <f>IF(VLOOKUP(Table7[[#This Row],[Date]],Database!$A:$C,MATCH($C$1,Database!$A$1:$C$1,),)=0,#N/A,VLOOKUP(Table7[[#This Row],[Date]],Database!$A:$C,MATCH($C$1,Database!$A$1:$C$1,),))</f>
        <v/>
      </c>
      <c r="D11771">
        <f>IFERROR(Table7[[#This Row],[United States 10y]]-Table7[[#This Row],[United States 3y]],#N/A)</f>
        <v/>
      </c>
    </row>
    <row r="11772">
      <c r="A11772" s="6">
        <f>Database!$A13857</f>
        <v/>
      </c>
      <c r="B11772">
        <f>IF(VLOOKUP(Table7[[#This Row],[Date]],Database!$A:$C,MATCH($B$1,Database!$A$1:$C$1,),)=0,#N/A,VLOOKUP(Table7[[#This Row],[Date]],Database!$A:$C,MATCH($B$1,Database!$A$1:$C$1,),))</f>
        <v/>
      </c>
      <c r="C11772">
        <f>IF(VLOOKUP(Table7[[#This Row],[Date]],Database!$A:$C,MATCH($C$1,Database!$A$1:$C$1,),)=0,#N/A,VLOOKUP(Table7[[#This Row],[Date]],Database!$A:$C,MATCH($C$1,Database!$A$1:$C$1,),))</f>
        <v/>
      </c>
      <c r="D11772">
        <f>IFERROR(Table7[[#This Row],[United States 10y]]-Table7[[#This Row],[United States 3y]],#N/A)</f>
        <v/>
      </c>
    </row>
    <row r="11773">
      <c r="A11773" s="6">
        <f>Database!$A13858</f>
        <v/>
      </c>
      <c r="B11773">
        <f>IF(VLOOKUP(Table7[[#This Row],[Date]],Database!$A:$C,MATCH($B$1,Database!$A$1:$C$1,),)=0,#N/A,VLOOKUP(Table7[[#This Row],[Date]],Database!$A:$C,MATCH($B$1,Database!$A$1:$C$1,),))</f>
        <v/>
      </c>
      <c r="C11773">
        <f>IF(VLOOKUP(Table7[[#This Row],[Date]],Database!$A:$C,MATCH($C$1,Database!$A$1:$C$1,),)=0,#N/A,VLOOKUP(Table7[[#This Row],[Date]],Database!$A:$C,MATCH($C$1,Database!$A$1:$C$1,),))</f>
        <v/>
      </c>
      <c r="D11773">
        <f>IFERROR(Table7[[#This Row],[United States 10y]]-Table7[[#This Row],[United States 3y]],#N/A)</f>
        <v/>
      </c>
    </row>
    <row r="11774">
      <c r="A11774" s="6">
        <f>Database!$A13859</f>
        <v/>
      </c>
      <c r="B11774">
        <f>IF(VLOOKUP(Table7[[#This Row],[Date]],Database!$A:$C,MATCH($B$1,Database!$A$1:$C$1,),)=0,#N/A,VLOOKUP(Table7[[#This Row],[Date]],Database!$A:$C,MATCH($B$1,Database!$A$1:$C$1,),))</f>
        <v/>
      </c>
      <c r="C11774">
        <f>IF(VLOOKUP(Table7[[#This Row],[Date]],Database!$A:$C,MATCH($C$1,Database!$A$1:$C$1,),)=0,#N/A,VLOOKUP(Table7[[#This Row],[Date]],Database!$A:$C,MATCH($C$1,Database!$A$1:$C$1,),))</f>
        <v/>
      </c>
      <c r="D11774">
        <f>IFERROR(Table7[[#This Row],[United States 10y]]-Table7[[#This Row],[United States 3y]],#N/A)</f>
        <v/>
      </c>
    </row>
    <row r="11775">
      <c r="A11775" s="6">
        <f>Database!$A13860</f>
        <v/>
      </c>
      <c r="B11775">
        <f>IF(VLOOKUP(Table7[[#This Row],[Date]],Database!$A:$C,MATCH($B$1,Database!$A$1:$C$1,),)=0,#N/A,VLOOKUP(Table7[[#This Row],[Date]],Database!$A:$C,MATCH($B$1,Database!$A$1:$C$1,),))</f>
        <v/>
      </c>
      <c r="C11775">
        <f>IF(VLOOKUP(Table7[[#This Row],[Date]],Database!$A:$C,MATCH($C$1,Database!$A$1:$C$1,),)=0,#N/A,VLOOKUP(Table7[[#This Row],[Date]],Database!$A:$C,MATCH($C$1,Database!$A$1:$C$1,),))</f>
        <v/>
      </c>
      <c r="D11775">
        <f>IFERROR(Table7[[#This Row],[United States 10y]]-Table7[[#This Row],[United States 3y]],#N/A)</f>
        <v/>
      </c>
    </row>
    <row r="11776">
      <c r="A11776" s="6">
        <f>Database!$A13861</f>
        <v/>
      </c>
      <c r="B11776">
        <f>IF(VLOOKUP(Table7[[#This Row],[Date]],Database!$A:$C,MATCH($B$1,Database!$A$1:$C$1,),)=0,#N/A,VLOOKUP(Table7[[#This Row],[Date]],Database!$A:$C,MATCH($B$1,Database!$A$1:$C$1,),))</f>
        <v/>
      </c>
      <c r="C11776">
        <f>IF(VLOOKUP(Table7[[#This Row],[Date]],Database!$A:$C,MATCH($C$1,Database!$A$1:$C$1,),)=0,#N/A,VLOOKUP(Table7[[#This Row],[Date]],Database!$A:$C,MATCH($C$1,Database!$A$1:$C$1,),))</f>
        <v/>
      </c>
      <c r="D11776">
        <f>IFERROR(Table7[[#This Row],[United States 10y]]-Table7[[#This Row],[United States 3y]],#N/A)</f>
        <v/>
      </c>
    </row>
    <row r="11777">
      <c r="A11777" s="6">
        <f>Database!$A13862</f>
        <v/>
      </c>
      <c r="B11777">
        <f>IF(VLOOKUP(Table7[[#This Row],[Date]],Database!$A:$C,MATCH($B$1,Database!$A$1:$C$1,),)=0,#N/A,VLOOKUP(Table7[[#This Row],[Date]],Database!$A:$C,MATCH($B$1,Database!$A$1:$C$1,),))</f>
        <v/>
      </c>
      <c r="C11777">
        <f>IF(VLOOKUP(Table7[[#This Row],[Date]],Database!$A:$C,MATCH($C$1,Database!$A$1:$C$1,),)=0,#N/A,VLOOKUP(Table7[[#This Row],[Date]],Database!$A:$C,MATCH($C$1,Database!$A$1:$C$1,),))</f>
        <v/>
      </c>
      <c r="D11777">
        <f>IFERROR(Table7[[#This Row],[United States 10y]]-Table7[[#This Row],[United States 3y]],#N/A)</f>
        <v/>
      </c>
    </row>
    <row r="11778">
      <c r="A11778" s="6">
        <f>Database!$A13863</f>
        <v/>
      </c>
      <c r="B11778">
        <f>IF(VLOOKUP(Table7[[#This Row],[Date]],Database!$A:$C,MATCH($B$1,Database!$A$1:$C$1,),)=0,#N/A,VLOOKUP(Table7[[#This Row],[Date]],Database!$A:$C,MATCH($B$1,Database!$A$1:$C$1,),))</f>
        <v/>
      </c>
      <c r="C11778">
        <f>IF(VLOOKUP(Table7[[#This Row],[Date]],Database!$A:$C,MATCH($C$1,Database!$A$1:$C$1,),)=0,#N/A,VLOOKUP(Table7[[#This Row],[Date]],Database!$A:$C,MATCH($C$1,Database!$A$1:$C$1,),))</f>
        <v/>
      </c>
      <c r="D11778">
        <f>IFERROR(Table7[[#This Row],[United States 10y]]-Table7[[#This Row],[United States 3y]],#N/A)</f>
        <v/>
      </c>
    </row>
    <row r="11779">
      <c r="A11779" s="6">
        <f>Database!$A13864</f>
        <v/>
      </c>
      <c r="B11779">
        <f>IF(VLOOKUP(Table7[[#This Row],[Date]],Database!$A:$C,MATCH($B$1,Database!$A$1:$C$1,),)=0,#N/A,VLOOKUP(Table7[[#This Row],[Date]],Database!$A:$C,MATCH($B$1,Database!$A$1:$C$1,),))</f>
        <v/>
      </c>
      <c r="C11779">
        <f>IF(VLOOKUP(Table7[[#This Row],[Date]],Database!$A:$C,MATCH($C$1,Database!$A$1:$C$1,),)=0,#N/A,VLOOKUP(Table7[[#This Row],[Date]],Database!$A:$C,MATCH($C$1,Database!$A$1:$C$1,),))</f>
        <v/>
      </c>
      <c r="D11779">
        <f>IFERROR(Table7[[#This Row],[United States 10y]]-Table7[[#This Row],[United States 3y]],#N/A)</f>
        <v/>
      </c>
    </row>
    <row r="11780">
      <c r="A11780" s="6">
        <f>Database!$A13865</f>
        <v/>
      </c>
      <c r="B11780">
        <f>IF(VLOOKUP(Table7[[#This Row],[Date]],Database!$A:$C,MATCH($B$1,Database!$A$1:$C$1,),)=0,#N/A,VLOOKUP(Table7[[#This Row],[Date]],Database!$A:$C,MATCH($B$1,Database!$A$1:$C$1,),))</f>
        <v/>
      </c>
      <c r="C11780">
        <f>IF(VLOOKUP(Table7[[#This Row],[Date]],Database!$A:$C,MATCH($C$1,Database!$A$1:$C$1,),)=0,#N/A,VLOOKUP(Table7[[#This Row],[Date]],Database!$A:$C,MATCH($C$1,Database!$A$1:$C$1,),))</f>
        <v/>
      </c>
      <c r="D11780">
        <f>IFERROR(Table7[[#This Row],[United States 10y]]-Table7[[#This Row],[United States 3y]],#N/A)</f>
        <v/>
      </c>
    </row>
    <row r="11781">
      <c r="A11781" s="6">
        <f>Database!$A13866</f>
        <v/>
      </c>
      <c r="B11781">
        <f>IF(VLOOKUP(Table7[[#This Row],[Date]],Database!$A:$C,MATCH($B$1,Database!$A$1:$C$1,),)=0,#N/A,VLOOKUP(Table7[[#This Row],[Date]],Database!$A:$C,MATCH($B$1,Database!$A$1:$C$1,),))</f>
        <v/>
      </c>
      <c r="C11781">
        <f>IF(VLOOKUP(Table7[[#This Row],[Date]],Database!$A:$C,MATCH($C$1,Database!$A$1:$C$1,),)=0,#N/A,VLOOKUP(Table7[[#This Row],[Date]],Database!$A:$C,MATCH($C$1,Database!$A$1:$C$1,),))</f>
        <v/>
      </c>
      <c r="D11781">
        <f>IFERROR(Table7[[#This Row],[United States 10y]]-Table7[[#This Row],[United States 3y]],#N/A)</f>
        <v/>
      </c>
    </row>
    <row r="11782">
      <c r="A11782" s="6">
        <f>Database!$A13867</f>
        <v/>
      </c>
      <c r="B11782">
        <f>IF(VLOOKUP(Table7[[#This Row],[Date]],Database!$A:$C,MATCH($B$1,Database!$A$1:$C$1,),)=0,#N/A,VLOOKUP(Table7[[#This Row],[Date]],Database!$A:$C,MATCH($B$1,Database!$A$1:$C$1,),))</f>
        <v/>
      </c>
      <c r="C11782">
        <f>IF(VLOOKUP(Table7[[#This Row],[Date]],Database!$A:$C,MATCH($C$1,Database!$A$1:$C$1,),)=0,#N/A,VLOOKUP(Table7[[#This Row],[Date]],Database!$A:$C,MATCH($C$1,Database!$A$1:$C$1,),))</f>
        <v/>
      </c>
      <c r="D11782">
        <f>IFERROR(Table7[[#This Row],[United States 10y]]-Table7[[#This Row],[United States 3y]],#N/A)</f>
        <v/>
      </c>
    </row>
    <row r="11783">
      <c r="A11783" s="6">
        <f>Database!$A13868</f>
        <v/>
      </c>
      <c r="B11783">
        <f>IF(VLOOKUP(Table7[[#This Row],[Date]],Database!$A:$C,MATCH($B$1,Database!$A$1:$C$1,),)=0,#N/A,VLOOKUP(Table7[[#This Row],[Date]],Database!$A:$C,MATCH($B$1,Database!$A$1:$C$1,),))</f>
        <v/>
      </c>
      <c r="C11783">
        <f>IF(VLOOKUP(Table7[[#This Row],[Date]],Database!$A:$C,MATCH($C$1,Database!$A$1:$C$1,),)=0,#N/A,VLOOKUP(Table7[[#This Row],[Date]],Database!$A:$C,MATCH($C$1,Database!$A$1:$C$1,),))</f>
        <v/>
      </c>
      <c r="D11783">
        <f>IFERROR(Table7[[#This Row],[United States 10y]]-Table7[[#This Row],[United States 3y]],#N/A)</f>
        <v/>
      </c>
    </row>
    <row r="11784">
      <c r="A11784" s="6">
        <f>Database!$A13869</f>
        <v/>
      </c>
      <c r="B11784">
        <f>IF(VLOOKUP(Table7[[#This Row],[Date]],Database!$A:$C,MATCH($B$1,Database!$A$1:$C$1,),)=0,#N/A,VLOOKUP(Table7[[#This Row],[Date]],Database!$A:$C,MATCH($B$1,Database!$A$1:$C$1,),))</f>
        <v/>
      </c>
      <c r="C11784">
        <f>IF(VLOOKUP(Table7[[#This Row],[Date]],Database!$A:$C,MATCH($C$1,Database!$A$1:$C$1,),)=0,#N/A,VLOOKUP(Table7[[#This Row],[Date]],Database!$A:$C,MATCH($C$1,Database!$A$1:$C$1,),))</f>
        <v/>
      </c>
      <c r="D11784">
        <f>IFERROR(Table7[[#This Row],[United States 10y]]-Table7[[#This Row],[United States 3y]],#N/A)</f>
        <v/>
      </c>
    </row>
    <row r="11785">
      <c r="A11785" s="6">
        <f>Database!$A13870</f>
        <v/>
      </c>
      <c r="B11785">
        <f>IF(VLOOKUP(Table7[[#This Row],[Date]],Database!$A:$C,MATCH($B$1,Database!$A$1:$C$1,),)=0,#N/A,VLOOKUP(Table7[[#This Row],[Date]],Database!$A:$C,MATCH($B$1,Database!$A$1:$C$1,),))</f>
        <v/>
      </c>
      <c r="C11785">
        <f>IF(VLOOKUP(Table7[[#This Row],[Date]],Database!$A:$C,MATCH($C$1,Database!$A$1:$C$1,),)=0,#N/A,VLOOKUP(Table7[[#This Row],[Date]],Database!$A:$C,MATCH($C$1,Database!$A$1:$C$1,),))</f>
        <v/>
      </c>
      <c r="D11785">
        <f>IFERROR(Table7[[#This Row],[United States 10y]]-Table7[[#This Row],[United States 3y]],#N/A)</f>
        <v/>
      </c>
    </row>
    <row r="11786">
      <c r="A11786" s="6">
        <f>Database!$A13871</f>
        <v/>
      </c>
      <c r="B11786">
        <f>IF(VLOOKUP(Table7[[#This Row],[Date]],Database!$A:$C,MATCH($B$1,Database!$A$1:$C$1,),)=0,#N/A,VLOOKUP(Table7[[#This Row],[Date]],Database!$A:$C,MATCH($B$1,Database!$A$1:$C$1,),))</f>
        <v/>
      </c>
      <c r="C11786">
        <f>IF(VLOOKUP(Table7[[#This Row],[Date]],Database!$A:$C,MATCH($C$1,Database!$A$1:$C$1,),)=0,#N/A,VLOOKUP(Table7[[#This Row],[Date]],Database!$A:$C,MATCH($C$1,Database!$A$1:$C$1,),))</f>
        <v/>
      </c>
      <c r="D11786">
        <f>IFERROR(Table7[[#This Row],[United States 10y]]-Table7[[#This Row],[United States 3y]],#N/A)</f>
        <v/>
      </c>
    </row>
    <row r="11787">
      <c r="A11787" s="6">
        <f>Database!$A13872</f>
        <v/>
      </c>
      <c r="B11787">
        <f>IF(VLOOKUP(Table7[[#This Row],[Date]],Database!$A:$C,MATCH($B$1,Database!$A$1:$C$1,),)=0,#N/A,VLOOKUP(Table7[[#This Row],[Date]],Database!$A:$C,MATCH($B$1,Database!$A$1:$C$1,),))</f>
        <v/>
      </c>
      <c r="C11787">
        <f>IF(VLOOKUP(Table7[[#This Row],[Date]],Database!$A:$C,MATCH($C$1,Database!$A$1:$C$1,),)=0,#N/A,VLOOKUP(Table7[[#This Row],[Date]],Database!$A:$C,MATCH($C$1,Database!$A$1:$C$1,),))</f>
        <v/>
      </c>
      <c r="D11787">
        <f>IFERROR(Table7[[#This Row],[United States 10y]]-Table7[[#This Row],[United States 3y]],#N/A)</f>
        <v/>
      </c>
    </row>
    <row r="11788">
      <c r="A11788" s="6">
        <f>Database!$A13873</f>
        <v/>
      </c>
      <c r="B11788">
        <f>IF(VLOOKUP(Table7[[#This Row],[Date]],Database!$A:$C,MATCH($B$1,Database!$A$1:$C$1,),)=0,#N/A,VLOOKUP(Table7[[#This Row],[Date]],Database!$A:$C,MATCH($B$1,Database!$A$1:$C$1,),))</f>
        <v/>
      </c>
      <c r="C11788">
        <f>IF(VLOOKUP(Table7[[#This Row],[Date]],Database!$A:$C,MATCH($C$1,Database!$A$1:$C$1,),)=0,#N/A,VLOOKUP(Table7[[#This Row],[Date]],Database!$A:$C,MATCH($C$1,Database!$A$1:$C$1,),))</f>
        <v/>
      </c>
      <c r="D11788">
        <f>IFERROR(Table7[[#This Row],[United States 10y]]-Table7[[#This Row],[United States 3y]],#N/A)</f>
        <v/>
      </c>
    </row>
    <row r="11789">
      <c r="A11789" s="6">
        <f>Database!$A13874</f>
        <v/>
      </c>
      <c r="B11789">
        <f>IF(VLOOKUP(Table7[[#This Row],[Date]],Database!$A:$C,MATCH($B$1,Database!$A$1:$C$1,),)=0,#N/A,VLOOKUP(Table7[[#This Row],[Date]],Database!$A:$C,MATCH($B$1,Database!$A$1:$C$1,),))</f>
        <v/>
      </c>
      <c r="C11789">
        <f>IF(VLOOKUP(Table7[[#This Row],[Date]],Database!$A:$C,MATCH($C$1,Database!$A$1:$C$1,),)=0,#N/A,VLOOKUP(Table7[[#This Row],[Date]],Database!$A:$C,MATCH($C$1,Database!$A$1:$C$1,),))</f>
        <v/>
      </c>
      <c r="D11789">
        <f>IFERROR(Table7[[#This Row],[United States 10y]]-Table7[[#This Row],[United States 3y]],#N/A)</f>
        <v/>
      </c>
    </row>
    <row r="11790">
      <c r="A11790" s="6">
        <f>Database!$A13875</f>
        <v/>
      </c>
      <c r="B11790">
        <f>IF(VLOOKUP(Table7[[#This Row],[Date]],Database!$A:$C,MATCH($B$1,Database!$A$1:$C$1,),)=0,#N/A,VLOOKUP(Table7[[#This Row],[Date]],Database!$A:$C,MATCH($B$1,Database!$A$1:$C$1,),))</f>
        <v/>
      </c>
      <c r="C11790">
        <f>IF(VLOOKUP(Table7[[#This Row],[Date]],Database!$A:$C,MATCH($C$1,Database!$A$1:$C$1,),)=0,#N/A,VLOOKUP(Table7[[#This Row],[Date]],Database!$A:$C,MATCH($C$1,Database!$A$1:$C$1,),))</f>
        <v/>
      </c>
      <c r="D11790">
        <f>IFERROR(Table7[[#This Row],[United States 10y]]-Table7[[#This Row],[United States 3y]],#N/A)</f>
        <v/>
      </c>
    </row>
    <row r="11791">
      <c r="A11791" s="6">
        <f>Database!$A13876</f>
        <v/>
      </c>
      <c r="B11791">
        <f>IF(VLOOKUP(Table7[[#This Row],[Date]],Database!$A:$C,MATCH($B$1,Database!$A$1:$C$1,),)=0,#N/A,VLOOKUP(Table7[[#This Row],[Date]],Database!$A:$C,MATCH($B$1,Database!$A$1:$C$1,),))</f>
        <v/>
      </c>
      <c r="C11791">
        <f>IF(VLOOKUP(Table7[[#This Row],[Date]],Database!$A:$C,MATCH($C$1,Database!$A$1:$C$1,),)=0,#N/A,VLOOKUP(Table7[[#This Row],[Date]],Database!$A:$C,MATCH($C$1,Database!$A$1:$C$1,),))</f>
        <v/>
      </c>
      <c r="D11791">
        <f>IFERROR(Table7[[#This Row],[United States 10y]]-Table7[[#This Row],[United States 3y]],#N/A)</f>
        <v/>
      </c>
    </row>
    <row r="11792">
      <c r="A11792" s="6">
        <f>Database!$A13877</f>
        <v/>
      </c>
      <c r="B11792">
        <f>IF(VLOOKUP(Table7[[#This Row],[Date]],Database!$A:$C,MATCH($B$1,Database!$A$1:$C$1,),)=0,#N/A,VLOOKUP(Table7[[#This Row],[Date]],Database!$A:$C,MATCH($B$1,Database!$A$1:$C$1,),))</f>
        <v/>
      </c>
      <c r="C11792">
        <f>IF(VLOOKUP(Table7[[#This Row],[Date]],Database!$A:$C,MATCH($C$1,Database!$A$1:$C$1,),)=0,#N/A,VLOOKUP(Table7[[#This Row],[Date]],Database!$A:$C,MATCH($C$1,Database!$A$1:$C$1,),))</f>
        <v/>
      </c>
      <c r="D11792">
        <f>IFERROR(Table7[[#This Row],[United States 10y]]-Table7[[#This Row],[United States 3y]],#N/A)</f>
        <v/>
      </c>
    </row>
    <row r="11793">
      <c r="A11793" s="6">
        <f>Database!$A13878</f>
        <v/>
      </c>
      <c r="B11793">
        <f>IF(VLOOKUP(Table7[[#This Row],[Date]],Database!$A:$C,MATCH($B$1,Database!$A$1:$C$1,),)=0,#N/A,VLOOKUP(Table7[[#This Row],[Date]],Database!$A:$C,MATCH($B$1,Database!$A$1:$C$1,),))</f>
        <v/>
      </c>
      <c r="C11793">
        <f>IF(VLOOKUP(Table7[[#This Row],[Date]],Database!$A:$C,MATCH($C$1,Database!$A$1:$C$1,),)=0,#N/A,VLOOKUP(Table7[[#This Row],[Date]],Database!$A:$C,MATCH($C$1,Database!$A$1:$C$1,),))</f>
        <v/>
      </c>
      <c r="D11793">
        <f>IFERROR(Table7[[#This Row],[United States 10y]]-Table7[[#This Row],[United States 3y]],#N/A)</f>
        <v/>
      </c>
    </row>
    <row r="11794">
      <c r="A11794" s="6">
        <f>Database!$A13879</f>
        <v/>
      </c>
      <c r="B11794">
        <f>IF(VLOOKUP(Table7[[#This Row],[Date]],Database!$A:$C,MATCH($B$1,Database!$A$1:$C$1,),)=0,#N/A,VLOOKUP(Table7[[#This Row],[Date]],Database!$A:$C,MATCH($B$1,Database!$A$1:$C$1,),))</f>
        <v/>
      </c>
      <c r="C11794">
        <f>IF(VLOOKUP(Table7[[#This Row],[Date]],Database!$A:$C,MATCH($C$1,Database!$A$1:$C$1,),)=0,#N/A,VLOOKUP(Table7[[#This Row],[Date]],Database!$A:$C,MATCH($C$1,Database!$A$1:$C$1,),))</f>
        <v/>
      </c>
      <c r="D11794">
        <f>IFERROR(Table7[[#This Row],[United States 10y]]-Table7[[#This Row],[United States 3y]],#N/A)</f>
        <v/>
      </c>
    </row>
    <row r="11795">
      <c r="A11795" s="6">
        <f>Database!$A13880</f>
        <v/>
      </c>
      <c r="B11795">
        <f>IF(VLOOKUP(Table7[[#This Row],[Date]],Database!$A:$C,MATCH($B$1,Database!$A$1:$C$1,),)=0,#N/A,VLOOKUP(Table7[[#This Row],[Date]],Database!$A:$C,MATCH($B$1,Database!$A$1:$C$1,),))</f>
        <v/>
      </c>
      <c r="C11795">
        <f>IF(VLOOKUP(Table7[[#This Row],[Date]],Database!$A:$C,MATCH($C$1,Database!$A$1:$C$1,),)=0,#N/A,VLOOKUP(Table7[[#This Row],[Date]],Database!$A:$C,MATCH($C$1,Database!$A$1:$C$1,),))</f>
        <v/>
      </c>
      <c r="D11795">
        <f>IFERROR(Table7[[#This Row],[United States 10y]]-Table7[[#This Row],[United States 3y]],#N/A)</f>
        <v/>
      </c>
    </row>
    <row r="11796">
      <c r="A11796" s="6">
        <f>Database!$A13881</f>
        <v/>
      </c>
      <c r="B11796">
        <f>IF(VLOOKUP(Table7[[#This Row],[Date]],Database!$A:$C,MATCH($B$1,Database!$A$1:$C$1,),)=0,#N/A,VLOOKUP(Table7[[#This Row],[Date]],Database!$A:$C,MATCH($B$1,Database!$A$1:$C$1,),))</f>
        <v/>
      </c>
      <c r="C11796">
        <f>IF(VLOOKUP(Table7[[#This Row],[Date]],Database!$A:$C,MATCH($C$1,Database!$A$1:$C$1,),)=0,#N/A,VLOOKUP(Table7[[#This Row],[Date]],Database!$A:$C,MATCH($C$1,Database!$A$1:$C$1,),))</f>
        <v/>
      </c>
      <c r="D11796">
        <f>IFERROR(Table7[[#This Row],[United States 10y]]-Table7[[#This Row],[United States 3y]],#N/A)</f>
        <v/>
      </c>
    </row>
    <row r="11797">
      <c r="A11797" s="6">
        <f>Database!$A13882</f>
        <v/>
      </c>
      <c r="B11797">
        <f>IF(VLOOKUP(Table7[[#This Row],[Date]],Database!$A:$C,MATCH($B$1,Database!$A$1:$C$1,),)=0,#N/A,VLOOKUP(Table7[[#This Row],[Date]],Database!$A:$C,MATCH($B$1,Database!$A$1:$C$1,),))</f>
        <v/>
      </c>
      <c r="C11797">
        <f>IF(VLOOKUP(Table7[[#This Row],[Date]],Database!$A:$C,MATCH($C$1,Database!$A$1:$C$1,),)=0,#N/A,VLOOKUP(Table7[[#This Row],[Date]],Database!$A:$C,MATCH($C$1,Database!$A$1:$C$1,),))</f>
        <v/>
      </c>
      <c r="D11797">
        <f>IFERROR(Table7[[#This Row],[United States 10y]]-Table7[[#This Row],[United States 3y]],#N/A)</f>
        <v/>
      </c>
    </row>
    <row r="11798">
      <c r="A11798" s="6">
        <f>Database!$A13883</f>
        <v/>
      </c>
      <c r="B11798">
        <f>IF(VLOOKUP(Table7[[#This Row],[Date]],Database!$A:$C,MATCH($B$1,Database!$A$1:$C$1,),)=0,#N/A,VLOOKUP(Table7[[#This Row],[Date]],Database!$A:$C,MATCH($B$1,Database!$A$1:$C$1,),))</f>
        <v/>
      </c>
      <c r="C11798">
        <f>IF(VLOOKUP(Table7[[#This Row],[Date]],Database!$A:$C,MATCH($C$1,Database!$A$1:$C$1,),)=0,#N/A,VLOOKUP(Table7[[#This Row],[Date]],Database!$A:$C,MATCH($C$1,Database!$A$1:$C$1,),))</f>
        <v/>
      </c>
      <c r="D11798">
        <f>IFERROR(Table7[[#This Row],[United States 10y]]-Table7[[#This Row],[United States 3y]],#N/A)</f>
        <v/>
      </c>
    </row>
    <row r="11799">
      <c r="A11799" s="6">
        <f>Database!$A13884</f>
        <v/>
      </c>
      <c r="B11799">
        <f>IF(VLOOKUP(Table7[[#This Row],[Date]],Database!$A:$C,MATCH($B$1,Database!$A$1:$C$1,),)=0,#N/A,VLOOKUP(Table7[[#This Row],[Date]],Database!$A:$C,MATCH($B$1,Database!$A$1:$C$1,),))</f>
        <v/>
      </c>
      <c r="C11799">
        <f>IF(VLOOKUP(Table7[[#This Row],[Date]],Database!$A:$C,MATCH($C$1,Database!$A$1:$C$1,),)=0,#N/A,VLOOKUP(Table7[[#This Row],[Date]],Database!$A:$C,MATCH($C$1,Database!$A$1:$C$1,),))</f>
        <v/>
      </c>
      <c r="D11799">
        <f>IFERROR(Table7[[#This Row],[United States 10y]]-Table7[[#This Row],[United States 3y]],#N/A)</f>
        <v/>
      </c>
    </row>
    <row r="11800">
      <c r="A11800" s="6">
        <f>Database!$A13885</f>
        <v/>
      </c>
      <c r="B11800">
        <f>IF(VLOOKUP(Table7[[#This Row],[Date]],Database!$A:$C,MATCH($B$1,Database!$A$1:$C$1,),)=0,#N/A,VLOOKUP(Table7[[#This Row],[Date]],Database!$A:$C,MATCH($B$1,Database!$A$1:$C$1,),))</f>
        <v/>
      </c>
      <c r="C11800">
        <f>IF(VLOOKUP(Table7[[#This Row],[Date]],Database!$A:$C,MATCH($C$1,Database!$A$1:$C$1,),)=0,#N/A,VLOOKUP(Table7[[#This Row],[Date]],Database!$A:$C,MATCH($C$1,Database!$A$1:$C$1,),))</f>
        <v/>
      </c>
      <c r="D11800">
        <f>IFERROR(Table7[[#This Row],[United States 10y]]-Table7[[#This Row],[United States 3y]],#N/A)</f>
        <v/>
      </c>
    </row>
    <row r="11801">
      <c r="A11801" s="6">
        <f>Database!$A13886</f>
        <v/>
      </c>
      <c r="B11801">
        <f>IF(VLOOKUP(Table7[[#This Row],[Date]],Database!$A:$C,MATCH($B$1,Database!$A$1:$C$1,),)=0,#N/A,VLOOKUP(Table7[[#This Row],[Date]],Database!$A:$C,MATCH($B$1,Database!$A$1:$C$1,),))</f>
        <v/>
      </c>
      <c r="C11801">
        <f>IF(VLOOKUP(Table7[[#This Row],[Date]],Database!$A:$C,MATCH($C$1,Database!$A$1:$C$1,),)=0,#N/A,VLOOKUP(Table7[[#This Row],[Date]],Database!$A:$C,MATCH($C$1,Database!$A$1:$C$1,),))</f>
        <v/>
      </c>
      <c r="D11801">
        <f>IFERROR(Table7[[#This Row],[United States 10y]]-Table7[[#This Row],[United States 3y]],#N/A)</f>
        <v/>
      </c>
    </row>
    <row r="11802">
      <c r="A11802" s="6">
        <f>Database!$A13887</f>
        <v/>
      </c>
      <c r="B11802">
        <f>IF(VLOOKUP(Table7[[#This Row],[Date]],Database!$A:$C,MATCH($B$1,Database!$A$1:$C$1,),)=0,#N/A,VLOOKUP(Table7[[#This Row],[Date]],Database!$A:$C,MATCH($B$1,Database!$A$1:$C$1,),))</f>
        <v/>
      </c>
      <c r="C11802">
        <f>IF(VLOOKUP(Table7[[#This Row],[Date]],Database!$A:$C,MATCH($C$1,Database!$A$1:$C$1,),)=0,#N/A,VLOOKUP(Table7[[#This Row],[Date]],Database!$A:$C,MATCH($C$1,Database!$A$1:$C$1,),))</f>
        <v/>
      </c>
      <c r="D11802">
        <f>IFERROR(Table7[[#This Row],[United States 10y]]-Table7[[#This Row],[United States 3y]],#N/A)</f>
        <v/>
      </c>
    </row>
    <row r="11803">
      <c r="A11803" s="6">
        <f>Database!$A13888</f>
        <v/>
      </c>
      <c r="B11803">
        <f>IF(VLOOKUP(Table7[[#This Row],[Date]],Database!$A:$C,MATCH($B$1,Database!$A$1:$C$1,),)=0,#N/A,VLOOKUP(Table7[[#This Row],[Date]],Database!$A:$C,MATCH($B$1,Database!$A$1:$C$1,),))</f>
        <v/>
      </c>
      <c r="C11803">
        <f>IF(VLOOKUP(Table7[[#This Row],[Date]],Database!$A:$C,MATCH($C$1,Database!$A$1:$C$1,),)=0,#N/A,VLOOKUP(Table7[[#This Row],[Date]],Database!$A:$C,MATCH($C$1,Database!$A$1:$C$1,),))</f>
        <v/>
      </c>
      <c r="D11803">
        <f>IFERROR(Table7[[#This Row],[United States 10y]]-Table7[[#This Row],[United States 3y]],#N/A)</f>
        <v/>
      </c>
    </row>
    <row r="11804">
      <c r="A11804" s="6">
        <f>Database!$A13889</f>
        <v/>
      </c>
      <c r="B11804">
        <f>IF(VLOOKUP(Table7[[#This Row],[Date]],Database!$A:$C,MATCH($B$1,Database!$A$1:$C$1,),)=0,#N/A,VLOOKUP(Table7[[#This Row],[Date]],Database!$A:$C,MATCH($B$1,Database!$A$1:$C$1,),))</f>
        <v/>
      </c>
      <c r="C11804">
        <f>IF(VLOOKUP(Table7[[#This Row],[Date]],Database!$A:$C,MATCH($C$1,Database!$A$1:$C$1,),)=0,#N/A,VLOOKUP(Table7[[#This Row],[Date]],Database!$A:$C,MATCH($C$1,Database!$A$1:$C$1,),))</f>
        <v/>
      </c>
      <c r="D11804">
        <f>IFERROR(Table7[[#This Row],[United States 10y]]-Table7[[#This Row],[United States 3y]],#N/A)</f>
        <v/>
      </c>
    </row>
    <row r="11805">
      <c r="A11805" s="6">
        <f>Database!$A13890</f>
        <v/>
      </c>
      <c r="B11805">
        <f>IF(VLOOKUP(Table7[[#This Row],[Date]],Database!$A:$C,MATCH($B$1,Database!$A$1:$C$1,),)=0,#N/A,VLOOKUP(Table7[[#This Row],[Date]],Database!$A:$C,MATCH($B$1,Database!$A$1:$C$1,),))</f>
        <v/>
      </c>
      <c r="C11805">
        <f>IF(VLOOKUP(Table7[[#This Row],[Date]],Database!$A:$C,MATCH($C$1,Database!$A$1:$C$1,),)=0,#N/A,VLOOKUP(Table7[[#This Row],[Date]],Database!$A:$C,MATCH($C$1,Database!$A$1:$C$1,),))</f>
        <v/>
      </c>
      <c r="D11805">
        <f>IFERROR(Table7[[#This Row],[United States 10y]]-Table7[[#This Row],[United States 3y]],#N/A)</f>
        <v/>
      </c>
    </row>
    <row r="11806">
      <c r="A11806" s="6">
        <f>Database!$A13891</f>
        <v/>
      </c>
      <c r="B11806">
        <f>IF(VLOOKUP(Table7[[#This Row],[Date]],Database!$A:$C,MATCH($B$1,Database!$A$1:$C$1,),)=0,#N/A,VLOOKUP(Table7[[#This Row],[Date]],Database!$A:$C,MATCH($B$1,Database!$A$1:$C$1,),))</f>
        <v/>
      </c>
      <c r="C11806">
        <f>IF(VLOOKUP(Table7[[#This Row],[Date]],Database!$A:$C,MATCH($C$1,Database!$A$1:$C$1,),)=0,#N/A,VLOOKUP(Table7[[#This Row],[Date]],Database!$A:$C,MATCH($C$1,Database!$A$1:$C$1,),))</f>
        <v/>
      </c>
      <c r="D11806">
        <f>IFERROR(Table7[[#This Row],[United States 10y]]-Table7[[#This Row],[United States 3y]],#N/A)</f>
        <v/>
      </c>
    </row>
    <row r="11807">
      <c r="A11807" s="6">
        <f>Database!$A13892</f>
        <v/>
      </c>
      <c r="B11807">
        <f>IF(VLOOKUP(Table7[[#This Row],[Date]],Database!$A:$C,MATCH($B$1,Database!$A$1:$C$1,),)=0,#N/A,VLOOKUP(Table7[[#This Row],[Date]],Database!$A:$C,MATCH($B$1,Database!$A$1:$C$1,),))</f>
        <v/>
      </c>
      <c r="C11807">
        <f>IF(VLOOKUP(Table7[[#This Row],[Date]],Database!$A:$C,MATCH($C$1,Database!$A$1:$C$1,),)=0,#N/A,VLOOKUP(Table7[[#This Row],[Date]],Database!$A:$C,MATCH($C$1,Database!$A$1:$C$1,),))</f>
        <v/>
      </c>
      <c r="D11807">
        <f>IFERROR(Table7[[#This Row],[United States 10y]]-Table7[[#This Row],[United States 3y]],#N/A)</f>
        <v/>
      </c>
    </row>
    <row r="11808">
      <c r="A11808" s="6">
        <f>Database!$A13893</f>
        <v/>
      </c>
      <c r="B11808">
        <f>IF(VLOOKUP(Table7[[#This Row],[Date]],Database!$A:$C,MATCH($B$1,Database!$A$1:$C$1,),)=0,#N/A,VLOOKUP(Table7[[#This Row],[Date]],Database!$A:$C,MATCH($B$1,Database!$A$1:$C$1,),))</f>
        <v/>
      </c>
      <c r="C11808">
        <f>IF(VLOOKUP(Table7[[#This Row],[Date]],Database!$A:$C,MATCH($C$1,Database!$A$1:$C$1,),)=0,#N/A,VLOOKUP(Table7[[#This Row],[Date]],Database!$A:$C,MATCH($C$1,Database!$A$1:$C$1,),))</f>
        <v/>
      </c>
      <c r="D11808">
        <f>IFERROR(Table7[[#This Row],[United States 10y]]-Table7[[#This Row],[United States 3y]],#N/A)</f>
        <v/>
      </c>
    </row>
    <row r="11809">
      <c r="A11809" s="6">
        <f>Database!$A13894</f>
        <v/>
      </c>
      <c r="B11809">
        <f>IF(VLOOKUP(Table7[[#This Row],[Date]],Database!$A:$C,MATCH($B$1,Database!$A$1:$C$1,),)=0,#N/A,VLOOKUP(Table7[[#This Row],[Date]],Database!$A:$C,MATCH($B$1,Database!$A$1:$C$1,),))</f>
        <v/>
      </c>
      <c r="C11809">
        <f>IF(VLOOKUP(Table7[[#This Row],[Date]],Database!$A:$C,MATCH($C$1,Database!$A$1:$C$1,),)=0,#N/A,VLOOKUP(Table7[[#This Row],[Date]],Database!$A:$C,MATCH($C$1,Database!$A$1:$C$1,),))</f>
        <v/>
      </c>
      <c r="D11809">
        <f>IFERROR(Table7[[#This Row],[United States 10y]]-Table7[[#This Row],[United States 3y]],#N/A)</f>
        <v/>
      </c>
    </row>
    <row r="11810">
      <c r="A11810" s="6">
        <f>Database!$A13895</f>
        <v/>
      </c>
      <c r="B11810">
        <f>IF(VLOOKUP(Table7[[#This Row],[Date]],Database!$A:$C,MATCH($B$1,Database!$A$1:$C$1,),)=0,#N/A,VLOOKUP(Table7[[#This Row],[Date]],Database!$A:$C,MATCH($B$1,Database!$A$1:$C$1,),))</f>
        <v/>
      </c>
      <c r="C11810">
        <f>IF(VLOOKUP(Table7[[#This Row],[Date]],Database!$A:$C,MATCH($C$1,Database!$A$1:$C$1,),)=0,#N/A,VLOOKUP(Table7[[#This Row],[Date]],Database!$A:$C,MATCH($C$1,Database!$A$1:$C$1,),))</f>
        <v/>
      </c>
      <c r="D11810">
        <f>IFERROR(Table7[[#This Row],[United States 10y]]-Table7[[#This Row],[United States 3y]],#N/A)</f>
        <v/>
      </c>
    </row>
    <row r="11811">
      <c r="A11811" s="6">
        <f>Database!$A13896</f>
        <v/>
      </c>
      <c r="B11811">
        <f>IF(VLOOKUP(Table7[[#This Row],[Date]],Database!$A:$C,MATCH($B$1,Database!$A$1:$C$1,),)=0,#N/A,VLOOKUP(Table7[[#This Row],[Date]],Database!$A:$C,MATCH($B$1,Database!$A$1:$C$1,),))</f>
        <v/>
      </c>
      <c r="C11811">
        <f>IF(VLOOKUP(Table7[[#This Row],[Date]],Database!$A:$C,MATCH($C$1,Database!$A$1:$C$1,),)=0,#N/A,VLOOKUP(Table7[[#This Row],[Date]],Database!$A:$C,MATCH($C$1,Database!$A$1:$C$1,),))</f>
        <v/>
      </c>
      <c r="D11811">
        <f>IFERROR(Table7[[#This Row],[United States 10y]]-Table7[[#This Row],[United States 3y]],#N/A)</f>
        <v/>
      </c>
    </row>
    <row r="11812">
      <c r="A11812" s="6">
        <f>Database!$A13897</f>
        <v/>
      </c>
      <c r="B11812">
        <f>IF(VLOOKUP(Table7[[#This Row],[Date]],Database!$A:$C,MATCH($B$1,Database!$A$1:$C$1,),)=0,#N/A,VLOOKUP(Table7[[#This Row],[Date]],Database!$A:$C,MATCH($B$1,Database!$A$1:$C$1,),))</f>
        <v/>
      </c>
      <c r="C11812">
        <f>IF(VLOOKUP(Table7[[#This Row],[Date]],Database!$A:$C,MATCH($C$1,Database!$A$1:$C$1,),)=0,#N/A,VLOOKUP(Table7[[#This Row],[Date]],Database!$A:$C,MATCH($C$1,Database!$A$1:$C$1,),))</f>
        <v/>
      </c>
      <c r="D11812">
        <f>IFERROR(Table7[[#This Row],[United States 10y]]-Table7[[#This Row],[United States 3y]],#N/A)</f>
        <v/>
      </c>
    </row>
    <row r="11813">
      <c r="A11813" s="6">
        <f>Database!$A13898</f>
        <v/>
      </c>
      <c r="B11813">
        <f>IF(VLOOKUP(Table7[[#This Row],[Date]],Database!$A:$C,MATCH($B$1,Database!$A$1:$C$1,),)=0,#N/A,VLOOKUP(Table7[[#This Row],[Date]],Database!$A:$C,MATCH($B$1,Database!$A$1:$C$1,),))</f>
        <v/>
      </c>
      <c r="C11813">
        <f>IF(VLOOKUP(Table7[[#This Row],[Date]],Database!$A:$C,MATCH($C$1,Database!$A$1:$C$1,),)=0,#N/A,VLOOKUP(Table7[[#This Row],[Date]],Database!$A:$C,MATCH($C$1,Database!$A$1:$C$1,),))</f>
        <v/>
      </c>
      <c r="D11813">
        <f>IFERROR(Table7[[#This Row],[United States 10y]]-Table7[[#This Row],[United States 3y]],#N/A)</f>
        <v/>
      </c>
    </row>
    <row r="11814">
      <c r="A11814" s="6">
        <f>Database!$A13899</f>
        <v/>
      </c>
      <c r="B11814">
        <f>IF(VLOOKUP(Table7[[#This Row],[Date]],Database!$A:$C,MATCH($B$1,Database!$A$1:$C$1,),)=0,#N/A,VLOOKUP(Table7[[#This Row],[Date]],Database!$A:$C,MATCH($B$1,Database!$A$1:$C$1,),))</f>
        <v/>
      </c>
      <c r="C11814">
        <f>IF(VLOOKUP(Table7[[#This Row],[Date]],Database!$A:$C,MATCH($C$1,Database!$A$1:$C$1,),)=0,#N/A,VLOOKUP(Table7[[#This Row],[Date]],Database!$A:$C,MATCH($C$1,Database!$A$1:$C$1,),))</f>
        <v/>
      </c>
      <c r="D11814">
        <f>IFERROR(Table7[[#This Row],[United States 10y]]-Table7[[#This Row],[United States 3y]],#N/A)</f>
        <v/>
      </c>
    </row>
    <row r="11815">
      <c r="A11815" s="6">
        <f>Database!$A13900</f>
        <v/>
      </c>
      <c r="B11815">
        <f>IF(VLOOKUP(Table7[[#This Row],[Date]],Database!$A:$C,MATCH($B$1,Database!$A$1:$C$1,),)=0,#N/A,VLOOKUP(Table7[[#This Row],[Date]],Database!$A:$C,MATCH($B$1,Database!$A$1:$C$1,),))</f>
        <v/>
      </c>
      <c r="C11815">
        <f>IF(VLOOKUP(Table7[[#This Row],[Date]],Database!$A:$C,MATCH($C$1,Database!$A$1:$C$1,),)=0,#N/A,VLOOKUP(Table7[[#This Row],[Date]],Database!$A:$C,MATCH($C$1,Database!$A$1:$C$1,),))</f>
        <v/>
      </c>
      <c r="D11815">
        <f>IFERROR(Table7[[#This Row],[United States 10y]]-Table7[[#This Row],[United States 3y]],#N/A)</f>
        <v/>
      </c>
    </row>
    <row r="11816">
      <c r="A11816" s="6">
        <f>Database!$A13901</f>
        <v/>
      </c>
      <c r="B11816">
        <f>IF(VLOOKUP(Table7[[#This Row],[Date]],Database!$A:$C,MATCH($B$1,Database!$A$1:$C$1,),)=0,#N/A,VLOOKUP(Table7[[#This Row],[Date]],Database!$A:$C,MATCH($B$1,Database!$A$1:$C$1,),))</f>
        <v/>
      </c>
      <c r="C11816">
        <f>IF(VLOOKUP(Table7[[#This Row],[Date]],Database!$A:$C,MATCH($C$1,Database!$A$1:$C$1,),)=0,#N/A,VLOOKUP(Table7[[#This Row],[Date]],Database!$A:$C,MATCH($C$1,Database!$A$1:$C$1,),))</f>
        <v/>
      </c>
      <c r="D11816">
        <f>IFERROR(Table7[[#This Row],[United States 10y]]-Table7[[#This Row],[United States 3y]],#N/A)</f>
        <v/>
      </c>
    </row>
    <row r="11817">
      <c r="A11817" s="6">
        <f>Database!$A13902</f>
        <v/>
      </c>
      <c r="B11817">
        <f>IF(VLOOKUP(Table7[[#This Row],[Date]],Database!$A:$C,MATCH($B$1,Database!$A$1:$C$1,),)=0,#N/A,VLOOKUP(Table7[[#This Row],[Date]],Database!$A:$C,MATCH($B$1,Database!$A$1:$C$1,),))</f>
        <v/>
      </c>
      <c r="C11817">
        <f>IF(VLOOKUP(Table7[[#This Row],[Date]],Database!$A:$C,MATCH($C$1,Database!$A$1:$C$1,),)=0,#N/A,VLOOKUP(Table7[[#This Row],[Date]],Database!$A:$C,MATCH($C$1,Database!$A$1:$C$1,),))</f>
        <v/>
      </c>
      <c r="D11817">
        <f>IFERROR(Table7[[#This Row],[United States 10y]]-Table7[[#This Row],[United States 3y]],#N/A)</f>
        <v/>
      </c>
    </row>
    <row r="11818">
      <c r="A11818" s="6">
        <f>Database!$A13903</f>
        <v/>
      </c>
      <c r="B11818">
        <f>IF(VLOOKUP(Table7[[#This Row],[Date]],Database!$A:$C,MATCH($B$1,Database!$A$1:$C$1,),)=0,#N/A,VLOOKUP(Table7[[#This Row],[Date]],Database!$A:$C,MATCH($B$1,Database!$A$1:$C$1,),))</f>
        <v/>
      </c>
      <c r="C11818">
        <f>IF(VLOOKUP(Table7[[#This Row],[Date]],Database!$A:$C,MATCH($C$1,Database!$A$1:$C$1,),)=0,#N/A,VLOOKUP(Table7[[#This Row],[Date]],Database!$A:$C,MATCH($C$1,Database!$A$1:$C$1,),))</f>
        <v/>
      </c>
      <c r="D11818">
        <f>IFERROR(Table7[[#This Row],[United States 10y]]-Table7[[#This Row],[United States 3y]],#N/A)</f>
        <v/>
      </c>
    </row>
    <row r="11819">
      <c r="A11819" s="6">
        <f>Database!$A13904</f>
        <v/>
      </c>
      <c r="B11819">
        <f>IF(VLOOKUP(Table7[[#This Row],[Date]],Database!$A:$C,MATCH($B$1,Database!$A$1:$C$1,),)=0,#N/A,VLOOKUP(Table7[[#This Row],[Date]],Database!$A:$C,MATCH($B$1,Database!$A$1:$C$1,),))</f>
        <v/>
      </c>
      <c r="C11819">
        <f>IF(VLOOKUP(Table7[[#This Row],[Date]],Database!$A:$C,MATCH($C$1,Database!$A$1:$C$1,),)=0,#N/A,VLOOKUP(Table7[[#This Row],[Date]],Database!$A:$C,MATCH($C$1,Database!$A$1:$C$1,),))</f>
        <v/>
      </c>
      <c r="D11819">
        <f>IFERROR(Table7[[#This Row],[United States 10y]]-Table7[[#This Row],[United States 3y]],#N/A)</f>
        <v/>
      </c>
    </row>
    <row r="11820">
      <c r="A11820" s="6">
        <f>Database!$A13905</f>
        <v/>
      </c>
      <c r="B11820">
        <f>IF(VLOOKUP(Table7[[#This Row],[Date]],Database!$A:$C,MATCH($B$1,Database!$A$1:$C$1,),)=0,#N/A,VLOOKUP(Table7[[#This Row],[Date]],Database!$A:$C,MATCH($B$1,Database!$A$1:$C$1,),))</f>
        <v/>
      </c>
      <c r="C11820">
        <f>IF(VLOOKUP(Table7[[#This Row],[Date]],Database!$A:$C,MATCH($C$1,Database!$A$1:$C$1,),)=0,#N/A,VLOOKUP(Table7[[#This Row],[Date]],Database!$A:$C,MATCH($C$1,Database!$A$1:$C$1,),))</f>
        <v/>
      </c>
      <c r="D11820">
        <f>IFERROR(Table7[[#This Row],[United States 10y]]-Table7[[#This Row],[United States 3y]],#N/A)</f>
        <v/>
      </c>
    </row>
    <row r="11821">
      <c r="A11821" s="6">
        <f>Database!$A13906</f>
        <v/>
      </c>
      <c r="B11821">
        <f>IF(VLOOKUP(Table7[[#This Row],[Date]],Database!$A:$C,MATCH($B$1,Database!$A$1:$C$1,),)=0,#N/A,VLOOKUP(Table7[[#This Row],[Date]],Database!$A:$C,MATCH($B$1,Database!$A$1:$C$1,),))</f>
        <v/>
      </c>
      <c r="C11821">
        <f>IF(VLOOKUP(Table7[[#This Row],[Date]],Database!$A:$C,MATCH($C$1,Database!$A$1:$C$1,),)=0,#N/A,VLOOKUP(Table7[[#This Row],[Date]],Database!$A:$C,MATCH($C$1,Database!$A$1:$C$1,),))</f>
        <v/>
      </c>
      <c r="D11821">
        <f>IFERROR(Table7[[#This Row],[United States 10y]]-Table7[[#This Row],[United States 3y]],#N/A)</f>
        <v/>
      </c>
    </row>
    <row r="11822">
      <c r="A11822" s="6">
        <f>Database!$A13907</f>
        <v/>
      </c>
      <c r="B11822">
        <f>IF(VLOOKUP(Table7[[#This Row],[Date]],Database!$A:$C,MATCH($B$1,Database!$A$1:$C$1,),)=0,#N/A,VLOOKUP(Table7[[#This Row],[Date]],Database!$A:$C,MATCH($B$1,Database!$A$1:$C$1,),))</f>
        <v/>
      </c>
      <c r="C11822">
        <f>IF(VLOOKUP(Table7[[#This Row],[Date]],Database!$A:$C,MATCH($C$1,Database!$A$1:$C$1,),)=0,#N/A,VLOOKUP(Table7[[#This Row],[Date]],Database!$A:$C,MATCH($C$1,Database!$A$1:$C$1,),))</f>
        <v/>
      </c>
      <c r="D11822">
        <f>IFERROR(Table7[[#This Row],[United States 10y]]-Table7[[#This Row],[United States 3y]],#N/A)</f>
        <v/>
      </c>
    </row>
    <row r="11823">
      <c r="A11823" s="6">
        <f>Database!$A13908</f>
        <v/>
      </c>
      <c r="B11823">
        <f>IF(VLOOKUP(Table7[[#This Row],[Date]],Database!$A:$C,MATCH($B$1,Database!$A$1:$C$1,),)=0,#N/A,VLOOKUP(Table7[[#This Row],[Date]],Database!$A:$C,MATCH($B$1,Database!$A$1:$C$1,),))</f>
        <v/>
      </c>
      <c r="C11823">
        <f>IF(VLOOKUP(Table7[[#This Row],[Date]],Database!$A:$C,MATCH($C$1,Database!$A$1:$C$1,),)=0,#N/A,VLOOKUP(Table7[[#This Row],[Date]],Database!$A:$C,MATCH($C$1,Database!$A$1:$C$1,),))</f>
        <v/>
      </c>
      <c r="D11823">
        <f>IFERROR(Table7[[#This Row],[United States 10y]]-Table7[[#This Row],[United States 3y]],#N/A)</f>
        <v/>
      </c>
    </row>
    <row r="11824">
      <c r="A11824" s="6">
        <f>Database!$A13909</f>
        <v/>
      </c>
      <c r="B11824">
        <f>IF(VLOOKUP(Table7[[#This Row],[Date]],Database!$A:$C,MATCH($B$1,Database!$A$1:$C$1,),)=0,#N/A,VLOOKUP(Table7[[#This Row],[Date]],Database!$A:$C,MATCH($B$1,Database!$A$1:$C$1,),))</f>
        <v/>
      </c>
      <c r="C11824">
        <f>IF(VLOOKUP(Table7[[#This Row],[Date]],Database!$A:$C,MATCH($C$1,Database!$A$1:$C$1,),)=0,#N/A,VLOOKUP(Table7[[#This Row],[Date]],Database!$A:$C,MATCH($C$1,Database!$A$1:$C$1,),))</f>
        <v/>
      </c>
      <c r="D11824">
        <f>IFERROR(Table7[[#This Row],[United States 10y]]-Table7[[#This Row],[United States 3y]],#N/A)</f>
        <v/>
      </c>
    </row>
    <row r="11825">
      <c r="A11825" s="6">
        <f>Database!$A13910</f>
        <v/>
      </c>
      <c r="B11825">
        <f>IF(VLOOKUP(Table7[[#This Row],[Date]],Database!$A:$C,MATCH($B$1,Database!$A$1:$C$1,),)=0,#N/A,VLOOKUP(Table7[[#This Row],[Date]],Database!$A:$C,MATCH($B$1,Database!$A$1:$C$1,),))</f>
        <v/>
      </c>
      <c r="C11825">
        <f>IF(VLOOKUP(Table7[[#This Row],[Date]],Database!$A:$C,MATCH($C$1,Database!$A$1:$C$1,),)=0,#N/A,VLOOKUP(Table7[[#This Row],[Date]],Database!$A:$C,MATCH($C$1,Database!$A$1:$C$1,),))</f>
        <v/>
      </c>
      <c r="D11825">
        <f>IFERROR(Table7[[#This Row],[United States 10y]]-Table7[[#This Row],[United States 3y]],#N/A)</f>
        <v/>
      </c>
    </row>
    <row r="11826">
      <c r="A11826" s="6">
        <f>Database!$A13911</f>
        <v/>
      </c>
      <c r="B11826">
        <f>IF(VLOOKUP(Table7[[#This Row],[Date]],Database!$A:$C,MATCH($B$1,Database!$A$1:$C$1,),)=0,#N/A,VLOOKUP(Table7[[#This Row],[Date]],Database!$A:$C,MATCH($B$1,Database!$A$1:$C$1,),))</f>
        <v/>
      </c>
      <c r="C11826">
        <f>IF(VLOOKUP(Table7[[#This Row],[Date]],Database!$A:$C,MATCH($C$1,Database!$A$1:$C$1,),)=0,#N/A,VLOOKUP(Table7[[#This Row],[Date]],Database!$A:$C,MATCH($C$1,Database!$A$1:$C$1,),))</f>
        <v/>
      </c>
      <c r="D11826">
        <f>IFERROR(Table7[[#This Row],[United States 10y]]-Table7[[#This Row],[United States 3y]],#N/A)</f>
        <v/>
      </c>
    </row>
    <row r="11827">
      <c r="A11827" s="6">
        <f>Database!$A13912</f>
        <v/>
      </c>
      <c r="B11827">
        <f>IF(VLOOKUP(Table7[[#This Row],[Date]],Database!$A:$C,MATCH($B$1,Database!$A$1:$C$1,),)=0,#N/A,VLOOKUP(Table7[[#This Row],[Date]],Database!$A:$C,MATCH($B$1,Database!$A$1:$C$1,),))</f>
        <v/>
      </c>
      <c r="C11827">
        <f>IF(VLOOKUP(Table7[[#This Row],[Date]],Database!$A:$C,MATCH($C$1,Database!$A$1:$C$1,),)=0,#N/A,VLOOKUP(Table7[[#This Row],[Date]],Database!$A:$C,MATCH($C$1,Database!$A$1:$C$1,),))</f>
        <v/>
      </c>
      <c r="D11827">
        <f>IFERROR(Table7[[#This Row],[United States 10y]]-Table7[[#This Row],[United States 3y]],#N/A)</f>
        <v/>
      </c>
    </row>
    <row r="11828">
      <c r="A11828" s="6">
        <f>Database!$A13913</f>
        <v/>
      </c>
      <c r="B11828">
        <f>IF(VLOOKUP(Table7[[#This Row],[Date]],Database!$A:$C,MATCH($B$1,Database!$A$1:$C$1,),)=0,#N/A,VLOOKUP(Table7[[#This Row],[Date]],Database!$A:$C,MATCH($B$1,Database!$A$1:$C$1,),))</f>
        <v/>
      </c>
      <c r="C11828">
        <f>IF(VLOOKUP(Table7[[#This Row],[Date]],Database!$A:$C,MATCH($C$1,Database!$A$1:$C$1,),)=0,#N/A,VLOOKUP(Table7[[#This Row],[Date]],Database!$A:$C,MATCH($C$1,Database!$A$1:$C$1,),))</f>
        <v/>
      </c>
      <c r="D11828">
        <f>IFERROR(Table7[[#This Row],[United States 10y]]-Table7[[#This Row],[United States 3y]],#N/A)</f>
        <v/>
      </c>
    </row>
    <row r="11829">
      <c r="A11829" s="6">
        <f>Database!$A13914</f>
        <v/>
      </c>
      <c r="B11829">
        <f>IF(VLOOKUP(Table7[[#This Row],[Date]],Database!$A:$C,MATCH($B$1,Database!$A$1:$C$1,),)=0,#N/A,VLOOKUP(Table7[[#This Row],[Date]],Database!$A:$C,MATCH($B$1,Database!$A$1:$C$1,),))</f>
        <v/>
      </c>
      <c r="C11829">
        <f>IF(VLOOKUP(Table7[[#This Row],[Date]],Database!$A:$C,MATCH($C$1,Database!$A$1:$C$1,),)=0,#N/A,VLOOKUP(Table7[[#This Row],[Date]],Database!$A:$C,MATCH($C$1,Database!$A$1:$C$1,),))</f>
        <v/>
      </c>
      <c r="D11829">
        <f>IFERROR(Table7[[#This Row],[United States 10y]]-Table7[[#This Row],[United States 3y]],#N/A)</f>
        <v/>
      </c>
    </row>
    <row r="11830">
      <c r="A11830" s="6">
        <f>Database!$A13915</f>
        <v/>
      </c>
      <c r="B11830">
        <f>IF(VLOOKUP(Table7[[#This Row],[Date]],Database!$A:$C,MATCH($B$1,Database!$A$1:$C$1,),)=0,#N/A,VLOOKUP(Table7[[#This Row],[Date]],Database!$A:$C,MATCH($B$1,Database!$A$1:$C$1,),))</f>
        <v/>
      </c>
      <c r="C11830">
        <f>IF(VLOOKUP(Table7[[#This Row],[Date]],Database!$A:$C,MATCH($C$1,Database!$A$1:$C$1,),)=0,#N/A,VLOOKUP(Table7[[#This Row],[Date]],Database!$A:$C,MATCH($C$1,Database!$A$1:$C$1,),))</f>
        <v/>
      </c>
      <c r="D11830">
        <f>IFERROR(Table7[[#This Row],[United States 10y]]-Table7[[#This Row],[United States 3y]],#N/A)</f>
        <v/>
      </c>
    </row>
    <row r="11831">
      <c r="A11831" s="6">
        <f>Database!$A13916</f>
        <v/>
      </c>
      <c r="B11831">
        <f>IF(VLOOKUP(Table7[[#This Row],[Date]],Database!$A:$C,MATCH($B$1,Database!$A$1:$C$1,),)=0,#N/A,VLOOKUP(Table7[[#This Row],[Date]],Database!$A:$C,MATCH($B$1,Database!$A$1:$C$1,),))</f>
        <v/>
      </c>
      <c r="C11831">
        <f>IF(VLOOKUP(Table7[[#This Row],[Date]],Database!$A:$C,MATCH($C$1,Database!$A$1:$C$1,),)=0,#N/A,VLOOKUP(Table7[[#This Row],[Date]],Database!$A:$C,MATCH($C$1,Database!$A$1:$C$1,),))</f>
        <v/>
      </c>
      <c r="D11831">
        <f>IFERROR(Table7[[#This Row],[United States 10y]]-Table7[[#This Row],[United States 3y]],#N/A)</f>
        <v/>
      </c>
    </row>
    <row r="11832">
      <c r="A11832" s="6">
        <f>Database!$A13917</f>
        <v/>
      </c>
      <c r="B11832">
        <f>IF(VLOOKUP(Table7[[#This Row],[Date]],Database!$A:$C,MATCH($B$1,Database!$A$1:$C$1,),)=0,#N/A,VLOOKUP(Table7[[#This Row],[Date]],Database!$A:$C,MATCH($B$1,Database!$A$1:$C$1,),))</f>
        <v/>
      </c>
      <c r="C11832">
        <f>IF(VLOOKUP(Table7[[#This Row],[Date]],Database!$A:$C,MATCH($C$1,Database!$A$1:$C$1,),)=0,#N/A,VLOOKUP(Table7[[#This Row],[Date]],Database!$A:$C,MATCH($C$1,Database!$A$1:$C$1,),))</f>
        <v/>
      </c>
      <c r="D11832">
        <f>IFERROR(Table7[[#This Row],[United States 10y]]-Table7[[#This Row],[United States 3y]],#N/A)</f>
        <v/>
      </c>
    </row>
    <row r="11833">
      <c r="A11833" s="6">
        <f>Database!$A13918</f>
        <v/>
      </c>
      <c r="B11833">
        <f>IF(VLOOKUP(Table7[[#This Row],[Date]],Database!$A:$C,MATCH($B$1,Database!$A$1:$C$1,),)=0,#N/A,VLOOKUP(Table7[[#This Row],[Date]],Database!$A:$C,MATCH($B$1,Database!$A$1:$C$1,),))</f>
        <v/>
      </c>
      <c r="C11833">
        <f>IF(VLOOKUP(Table7[[#This Row],[Date]],Database!$A:$C,MATCH($C$1,Database!$A$1:$C$1,),)=0,#N/A,VLOOKUP(Table7[[#This Row],[Date]],Database!$A:$C,MATCH($C$1,Database!$A$1:$C$1,),))</f>
        <v/>
      </c>
      <c r="D11833">
        <f>IFERROR(Table7[[#This Row],[United States 10y]]-Table7[[#This Row],[United States 3y]],#N/A)</f>
        <v/>
      </c>
    </row>
    <row r="11834">
      <c r="A11834" s="6">
        <f>Database!$A13919</f>
        <v/>
      </c>
      <c r="B11834">
        <f>IF(VLOOKUP(Table7[[#This Row],[Date]],Database!$A:$C,MATCH($B$1,Database!$A$1:$C$1,),)=0,#N/A,VLOOKUP(Table7[[#This Row],[Date]],Database!$A:$C,MATCH($B$1,Database!$A$1:$C$1,),))</f>
        <v/>
      </c>
      <c r="C11834">
        <f>IF(VLOOKUP(Table7[[#This Row],[Date]],Database!$A:$C,MATCH($C$1,Database!$A$1:$C$1,),)=0,#N/A,VLOOKUP(Table7[[#This Row],[Date]],Database!$A:$C,MATCH($C$1,Database!$A$1:$C$1,),))</f>
        <v/>
      </c>
      <c r="D11834">
        <f>IFERROR(Table7[[#This Row],[United States 10y]]-Table7[[#This Row],[United States 3y]],#N/A)</f>
        <v/>
      </c>
    </row>
    <row r="11835">
      <c r="A11835" s="6">
        <f>Database!$A13920</f>
        <v/>
      </c>
      <c r="B11835">
        <f>IF(VLOOKUP(Table7[[#This Row],[Date]],Database!$A:$C,MATCH($B$1,Database!$A$1:$C$1,),)=0,#N/A,VLOOKUP(Table7[[#This Row],[Date]],Database!$A:$C,MATCH($B$1,Database!$A$1:$C$1,),))</f>
        <v/>
      </c>
      <c r="C11835">
        <f>IF(VLOOKUP(Table7[[#This Row],[Date]],Database!$A:$C,MATCH($C$1,Database!$A$1:$C$1,),)=0,#N/A,VLOOKUP(Table7[[#This Row],[Date]],Database!$A:$C,MATCH($C$1,Database!$A$1:$C$1,),))</f>
        <v/>
      </c>
      <c r="D11835">
        <f>IFERROR(Table7[[#This Row],[United States 10y]]-Table7[[#This Row],[United States 3y]],#N/A)</f>
        <v/>
      </c>
    </row>
    <row r="11836">
      <c r="A11836" s="6">
        <f>Database!$A13921</f>
        <v/>
      </c>
      <c r="B11836">
        <f>IF(VLOOKUP(Table7[[#This Row],[Date]],Database!$A:$C,MATCH($B$1,Database!$A$1:$C$1,),)=0,#N/A,VLOOKUP(Table7[[#This Row],[Date]],Database!$A:$C,MATCH($B$1,Database!$A$1:$C$1,),))</f>
        <v/>
      </c>
      <c r="C11836">
        <f>IF(VLOOKUP(Table7[[#This Row],[Date]],Database!$A:$C,MATCH($C$1,Database!$A$1:$C$1,),)=0,#N/A,VLOOKUP(Table7[[#This Row],[Date]],Database!$A:$C,MATCH($C$1,Database!$A$1:$C$1,),))</f>
        <v/>
      </c>
      <c r="D11836">
        <f>IFERROR(Table7[[#This Row],[United States 10y]]-Table7[[#This Row],[United States 3y]],#N/A)</f>
        <v/>
      </c>
    </row>
    <row r="11837">
      <c r="A11837" s="6">
        <f>Database!$A13922</f>
        <v/>
      </c>
      <c r="B11837">
        <f>IF(VLOOKUP(Table7[[#This Row],[Date]],Database!$A:$C,MATCH($B$1,Database!$A$1:$C$1,),)=0,#N/A,VLOOKUP(Table7[[#This Row],[Date]],Database!$A:$C,MATCH($B$1,Database!$A$1:$C$1,),))</f>
        <v/>
      </c>
      <c r="C11837">
        <f>IF(VLOOKUP(Table7[[#This Row],[Date]],Database!$A:$C,MATCH($C$1,Database!$A$1:$C$1,),)=0,#N/A,VLOOKUP(Table7[[#This Row],[Date]],Database!$A:$C,MATCH($C$1,Database!$A$1:$C$1,),))</f>
        <v/>
      </c>
      <c r="D11837">
        <f>IFERROR(Table7[[#This Row],[United States 10y]]-Table7[[#This Row],[United States 3y]],#N/A)</f>
        <v/>
      </c>
    </row>
    <row r="11838">
      <c r="A11838" s="6">
        <f>Database!$A13923</f>
        <v/>
      </c>
      <c r="B11838">
        <f>IF(VLOOKUP(Table7[[#This Row],[Date]],Database!$A:$C,MATCH($B$1,Database!$A$1:$C$1,),)=0,#N/A,VLOOKUP(Table7[[#This Row],[Date]],Database!$A:$C,MATCH($B$1,Database!$A$1:$C$1,),))</f>
        <v/>
      </c>
      <c r="C11838">
        <f>IF(VLOOKUP(Table7[[#This Row],[Date]],Database!$A:$C,MATCH($C$1,Database!$A$1:$C$1,),)=0,#N/A,VLOOKUP(Table7[[#This Row],[Date]],Database!$A:$C,MATCH($C$1,Database!$A$1:$C$1,),))</f>
        <v/>
      </c>
      <c r="D11838">
        <f>IFERROR(Table7[[#This Row],[United States 10y]]-Table7[[#This Row],[United States 3y]],#N/A)</f>
        <v/>
      </c>
    </row>
    <row r="11839">
      <c r="A11839" s="6">
        <f>Database!$A13924</f>
        <v/>
      </c>
      <c r="B11839">
        <f>IF(VLOOKUP(Table7[[#This Row],[Date]],Database!$A:$C,MATCH($B$1,Database!$A$1:$C$1,),)=0,#N/A,VLOOKUP(Table7[[#This Row],[Date]],Database!$A:$C,MATCH($B$1,Database!$A$1:$C$1,),))</f>
        <v/>
      </c>
      <c r="C11839">
        <f>IF(VLOOKUP(Table7[[#This Row],[Date]],Database!$A:$C,MATCH($C$1,Database!$A$1:$C$1,),)=0,#N/A,VLOOKUP(Table7[[#This Row],[Date]],Database!$A:$C,MATCH($C$1,Database!$A$1:$C$1,),))</f>
        <v/>
      </c>
      <c r="D11839">
        <f>IFERROR(Table7[[#This Row],[United States 10y]]-Table7[[#This Row],[United States 3y]],#N/A)</f>
        <v/>
      </c>
    </row>
    <row r="11840">
      <c r="A11840" s="6">
        <f>Database!$A13925</f>
        <v/>
      </c>
      <c r="B11840">
        <f>IF(VLOOKUP(Table7[[#This Row],[Date]],Database!$A:$C,MATCH($B$1,Database!$A$1:$C$1,),)=0,#N/A,VLOOKUP(Table7[[#This Row],[Date]],Database!$A:$C,MATCH($B$1,Database!$A$1:$C$1,),))</f>
        <v/>
      </c>
      <c r="C11840">
        <f>IF(VLOOKUP(Table7[[#This Row],[Date]],Database!$A:$C,MATCH($C$1,Database!$A$1:$C$1,),)=0,#N/A,VLOOKUP(Table7[[#This Row],[Date]],Database!$A:$C,MATCH($C$1,Database!$A$1:$C$1,),))</f>
        <v/>
      </c>
      <c r="D11840">
        <f>IFERROR(Table7[[#This Row],[United States 10y]]-Table7[[#This Row],[United States 3y]],#N/A)</f>
        <v/>
      </c>
    </row>
    <row r="11841">
      <c r="A11841" s="6">
        <f>Database!$A13926</f>
        <v/>
      </c>
      <c r="B11841">
        <f>IF(VLOOKUP(Table7[[#This Row],[Date]],Database!$A:$C,MATCH($B$1,Database!$A$1:$C$1,),)=0,#N/A,VLOOKUP(Table7[[#This Row],[Date]],Database!$A:$C,MATCH($B$1,Database!$A$1:$C$1,),))</f>
        <v/>
      </c>
      <c r="C11841">
        <f>IF(VLOOKUP(Table7[[#This Row],[Date]],Database!$A:$C,MATCH($C$1,Database!$A$1:$C$1,),)=0,#N/A,VLOOKUP(Table7[[#This Row],[Date]],Database!$A:$C,MATCH($C$1,Database!$A$1:$C$1,),))</f>
        <v/>
      </c>
      <c r="D11841">
        <f>IFERROR(Table7[[#This Row],[United States 10y]]-Table7[[#This Row],[United States 3y]],#N/A)</f>
        <v/>
      </c>
    </row>
    <row r="11842">
      <c r="A11842" s="6">
        <f>Database!$A13927</f>
        <v/>
      </c>
      <c r="B11842">
        <f>IF(VLOOKUP(Table7[[#This Row],[Date]],Database!$A:$C,MATCH($B$1,Database!$A$1:$C$1,),)=0,#N/A,VLOOKUP(Table7[[#This Row],[Date]],Database!$A:$C,MATCH($B$1,Database!$A$1:$C$1,),))</f>
        <v/>
      </c>
      <c r="C11842">
        <f>IF(VLOOKUP(Table7[[#This Row],[Date]],Database!$A:$C,MATCH($C$1,Database!$A$1:$C$1,),)=0,#N/A,VLOOKUP(Table7[[#This Row],[Date]],Database!$A:$C,MATCH($C$1,Database!$A$1:$C$1,),))</f>
        <v/>
      </c>
      <c r="D11842">
        <f>IFERROR(Table7[[#This Row],[United States 10y]]-Table7[[#This Row],[United States 3y]],#N/A)</f>
        <v/>
      </c>
    </row>
    <row r="11843">
      <c r="A11843" s="6">
        <f>Database!$A13928</f>
        <v/>
      </c>
      <c r="B11843">
        <f>IF(VLOOKUP(Table7[[#This Row],[Date]],Database!$A:$C,MATCH($B$1,Database!$A$1:$C$1,),)=0,#N/A,VLOOKUP(Table7[[#This Row],[Date]],Database!$A:$C,MATCH($B$1,Database!$A$1:$C$1,),))</f>
        <v/>
      </c>
      <c r="C11843">
        <f>IF(VLOOKUP(Table7[[#This Row],[Date]],Database!$A:$C,MATCH($C$1,Database!$A$1:$C$1,),)=0,#N/A,VLOOKUP(Table7[[#This Row],[Date]],Database!$A:$C,MATCH($C$1,Database!$A$1:$C$1,),))</f>
        <v/>
      </c>
      <c r="D11843">
        <f>IFERROR(Table7[[#This Row],[United States 10y]]-Table7[[#This Row],[United States 3y]],#N/A)</f>
        <v/>
      </c>
    </row>
    <row r="11844">
      <c r="A11844" s="6">
        <f>Database!$A13929</f>
        <v/>
      </c>
      <c r="B11844">
        <f>IF(VLOOKUP(Table7[[#This Row],[Date]],Database!$A:$C,MATCH($B$1,Database!$A$1:$C$1,),)=0,#N/A,VLOOKUP(Table7[[#This Row],[Date]],Database!$A:$C,MATCH($B$1,Database!$A$1:$C$1,),))</f>
        <v/>
      </c>
      <c r="C11844">
        <f>IF(VLOOKUP(Table7[[#This Row],[Date]],Database!$A:$C,MATCH($C$1,Database!$A$1:$C$1,),)=0,#N/A,VLOOKUP(Table7[[#This Row],[Date]],Database!$A:$C,MATCH($C$1,Database!$A$1:$C$1,),))</f>
        <v/>
      </c>
      <c r="D11844">
        <f>IFERROR(Table7[[#This Row],[United States 10y]]-Table7[[#This Row],[United States 3y]],#N/A)</f>
        <v/>
      </c>
    </row>
    <row r="11845">
      <c r="A11845" s="6">
        <f>Database!$A13930</f>
        <v/>
      </c>
      <c r="B11845">
        <f>IF(VLOOKUP(Table7[[#This Row],[Date]],Database!$A:$C,MATCH($B$1,Database!$A$1:$C$1,),)=0,#N/A,VLOOKUP(Table7[[#This Row],[Date]],Database!$A:$C,MATCH($B$1,Database!$A$1:$C$1,),))</f>
        <v/>
      </c>
      <c r="C11845">
        <f>IF(VLOOKUP(Table7[[#This Row],[Date]],Database!$A:$C,MATCH($C$1,Database!$A$1:$C$1,),)=0,#N/A,VLOOKUP(Table7[[#This Row],[Date]],Database!$A:$C,MATCH($C$1,Database!$A$1:$C$1,),))</f>
        <v/>
      </c>
      <c r="D11845">
        <f>IFERROR(Table7[[#This Row],[United States 10y]]-Table7[[#This Row],[United States 3y]],#N/A)</f>
        <v/>
      </c>
    </row>
    <row r="11846">
      <c r="A11846" s="6">
        <f>Database!$A13931</f>
        <v/>
      </c>
      <c r="B11846">
        <f>IF(VLOOKUP(Table7[[#This Row],[Date]],Database!$A:$C,MATCH($B$1,Database!$A$1:$C$1,),)=0,#N/A,VLOOKUP(Table7[[#This Row],[Date]],Database!$A:$C,MATCH($B$1,Database!$A$1:$C$1,),))</f>
        <v/>
      </c>
      <c r="C11846">
        <f>IF(VLOOKUP(Table7[[#This Row],[Date]],Database!$A:$C,MATCH($C$1,Database!$A$1:$C$1,),)=0,#N/A,VLOOKUP(Table7[[#This Row],[Date]],Database!$A:$C,MATCH($C$1,Database!$A$1:$C$1,),))</f>
        <v/>
      </c>
      <c r="D11846">
        <f>IFERROR(Table7[[#This Row],[United States 10y]]-Table7[[#This Row],[United States 3y]],#N/A)</f>
        <v/>
      </c>
    </row>
    <row r="11847">
      <c r="A11847" s="6">
        <f>Database!$A13932</f>
        <v/>
      </c>
      <c r="B11847">
        <f>IF(VLOOKUP(Table7[[#This Row],[Date]],Database!$A:$C,MATCH($B$1,Database!$A$1:$C$1,),)=0,#N/A,VLOOKUP(Table7[[#This Row],[Date]],Database!$A:$C,MATCH($B$1,Database!$A$1:$C$1,),))</f>
        <v/>
      </c>
      <c r="C11847">
        <f>IF(VLOOKUP(Table7[[#This Row],[Date]],Database!$A:$C,MATCH($C$1,Database!$A$1:$C$1,),)=0,#N/A,VLOOKUP(Table7[[#This Row],[Date]],Database!$A:$C,MATCH($C$1,Database!$A$1:$C$1,),))</f>
        <v/>
      </c>
      <c r="D11847">
        <f>IFERROR(Table7[[#This Row],[United States 10y]]-Table7[[#This Row],[United States 3y]],#N/A)</f>
        <v/>
      </c>
    </row>
    <row r="11848">
      <c r="A11848" s="6">
        <f>Database!$A13933</f>
        <v/>
      </c>
      <c r="B11848">
        <f>IF(VLOOKUP(Table7[[#This Row],[Date]],Database!$A:$C,MATCH($B$1,Database!$A$1:$C$1,),)=0,#N/A,VLOOKUP(Table7[[#This Row],[Date]],Database!$A:$C,MATCH($B$1,Database!$A$1:$C$1,),))</f>
        <v/>
      </c>
      <c r="C11848">
        <f>IF(VLOOKUP(Table7[[#This Row],[Date]],Database!$A:$C,MATCH($C$1,Database!$A$1:$C$1,),)=0,#N/A,VLOOKUP(Table7[[#This Row],[Date]],Database!$A:$C,MATCH($C$1,Database!$A$1:$C$1,),))</f>
        <v/>
      </c>
      <c r="D11848">
        <f>IFERROR(Table7[[#This Row],[United States 10y]]-Table7[[#This Row],[United States 3y]],#N/A)</f>
        <v/>
      </c>
    </row>
    <row r="11849">
      <c r="A11849" s="6">
        <f>Database!$A13934</f>
        <v/>
      </c>
      <c r="B11849">
        <f>IF(VLOOKUP(Table7[[#This Row],[Date]],Database!$A:$C,MATCH($B$1,Database!$A$1:$C$1,),)=0,#N/A,VLOOKUP(Table7[[#This Row],[Date]],Database!$A:$C,MATCH($B$1,Database!$A$1:$C$1,),))</f>
        <v/>
      </c>
      <c r="C11849">
        <f>IF(VLOOKUP(Table7[[#This Row],[Date]],Database!$A:$C,MATCH($C$1,Database!$A$1:$C$1,),)=0,#N/A,VLOOKUP(Table7[[#This Row],[Date]],Database!$A:$C,MATCH($C$1,Database!$A$1:$C$1,),))</f>
        <v/>
      </c>
      <c r="D11849">
        <f>IFERROR(Table7[[#This Row],[United States 10y]]-Table7[[#This Row],[United States 3y]],#N/A)</f>
        <v/>
      </c>
    </row>
    <row r="11850">
      <c r="A11850" s="6">
        <f>Database!$A13935</f>
        <v/>
      </c>
      <c r="B11850">
        <f>IF(VLOOKUP(Table7[[#This Row],[Date]],Database!$A:$C,MATCH($B$1,Database!$A$1:$C$1,),)=0,#N/A,VLOOKUP(Table7[[#This Row],[Date]],Database!$A:$C,MATCH($B$1,Database!$A$1:$C$1,),))</f>
        <v/>
      </c>
      <c r="C11850">
        <f>IF(VLOOKUP(Table7[[#This Row],[Date]],Database!$A:$C,MATCH($C$1,Database!$A$1:$C$1,),)=0,#N/A,VLOOKUP(Table7[[#This Row],[Date]],Database!$A:$C,MATCH($C$1,Database!$A$1:$C$1,),))</f>
        <v/>
      </c>
      <c r="D11850">
        <f>IFERROR(Table7[[#This Row],[United States 10y]]-Table7[[#This Row],[United States 3y]],#N/A)</f>
        <v/>
      </c>
    </row>
    <row r="11851">
      <c r="A11851" s="6">
        <f>Database!$A13936</f>
        <v/>
      </c>
      <c r="B11851">
        <f>IF(VLOOKUP(Table7[[#This Row],[Date]],Database!$A:$C,MATCH($B$1,Database!$A$1:$C$1,),)=0,#N/A,VLOOKUP(Table7[[#This Row],[Date]],Database!$A:$C,MATCH($B$1,Database!$A$1:$C$1,),))</f>
        <v/>
      </c>
      <c r="C11851">
        <f>IF(VLOOKUP(Table7[[#This Row],[Date]],Database!$A:$C,MATCH($C$1,Database!$A$1:$C$1,),)=0,#N/A,VLOOKUP(Table7[[#This Row],[Date]],Database!$A:$C,MATCH($C$1,Database!$A$1:$C$1,),))</f>
        <v/>
      </c>
      <c r="D11851">
        <f>IFERROR(Table7[[#This Row],[United States 10y]]-Table7[[#This Row],[United States 3y]],#N/A)</f>
        <v/>
      </c>
    </row>
    <row r="11852">
      <c r="A11852" s="6">
        <f>Database!$A13937</f>
        <v/>
      </c>
      <c r="B11852">
        <f>IF(VLOOKUP(Table7[[#This Row],[Date]],Database!$A:$C,MATCH($B$1,Database!$A$1:$C$1,),)=0,#N/A,VLOOKUP(Table7[[#This Row],[Date]],Database!$A:$C,MATCH($B$1,Database!$A$1:$C$1,),))</f>
        <v/>
      </c>
      <c r="C11852">
        <f>IF(VLOOKUP(Table7[[#This Row],[Date]],Database!$A:$C,MATCH($C$1,Database!$A$1:$C$1,),)=0,#N/A,VLOOKUP(Table7[[#This Row],[Date]],Database!$A:$C,MATCH($C$1,Database!$A$1:$C$1,),))</f>
        <v/>
      </c>
      <c r="D11852">
        <f>IFERROR(Table7[[#This Row],[United States 10y]]-Table7[[#This Row],[United States 3y]],#N/A)</f>
        <v/>
      </c>
    </row>
    <row r="11853">
      <c r="A11853" s="6">
        <f>Database!$A13938</f>
        <v/>
      </c>
      <c r="B11853">
        <f>IF(VLOOKUP(Table7[[#This Row],[Date]],Database!$A:$C,MATCH($B$1,Database!$A$1:$C$1,),)=0,#N/A,VLOOKUP(Table7[[#This Row],[Date]],Database!$A:$C,MATCH($B$1,Database!$A$1:$C$1,),))</f>
        <v/>
      </c>
      <c r="C11853">
        <f>IF(VLOOKUP(Table7[[#This Row],[Date]],Database!$A:$C,MATCH($C$1,Database!$A$1:$C$1,),)=0,#N/A,VLOOKUP(Table7[[#This Row],[Date]],Database!$A:$C,MATCH($C$1,Database!$A$1:$C$1,),))</f>
        <v/>
      </c>
      <c r="D11853">
        <f>IFERROR(Table7[[#This Row],[United States 10y]]-Table7[[#This Row],[United States 3y]],#N/A)</f>
        <v/>
      </c>
    </row>
    <row r="11854">
      <c r="A11854" s="6">
        <f>Database!$A13939</f>
        <v/>
      </c>
      <c r="B11854">
        <f>IF(VLOOKUP(Table7[[#This Row],[Date]],Database!$A:$C,MATCH($B$1,Database!$A$1:$C$1,),)=0,#N/A,VLOOKUP(Table7[[#This Row],[Date]],Database!$A:$C,MATCH($B$1,Database!$A$1:$C$1,),))</f>
        <v/>
      </c>
      <c r="C11854">
        <f>IF(VLOOKUP(Table7[[#This Row],[Date]],Database!$A:$C,MATCH($C$1,Database!$A$1:$C$1,),)=0,#N/A,VLOOKUP(Table7[[#This Row],[Date]],Database!$A:$C,MATCH($C$1,Database!$A$1:$C$1,),))</f>
        <v/>
      </c>
      <c r="D11854">
        <f>IFERROR(Table7[[#This Row],[United States 10y]]-Table7[[#This Row],[United States 3y]],#N/A)</f>
        <v/>
      </c>
    </row>
    <row r="11855">
      <c r="A11855" s="6">
        <f>Database!$A13940</f>
        <v/>
      </c>
      <c r="B11855">
        <f>IF(VLOOKUP(Table7[[#This Row],[Date]],Database!$A:$C,MATCH($B$1,Database!$A$1:$C$1,),)=0,#N/A,VLOOKUP(Table7[[#This Row],[Date]],Database!$A:$C,MATCH($B$1,Database!$A$1:$C$1,),))</f>
        <v/>
      </c>
      <c r="C11855">
        <f>IF(VLOOKUP(Table7[[#This Row],[Date]],Database!$A:$C,MATCH($C$1,Database!$A$1:$C$1,),)=0,#N/A,VLOOKUP(Table7[[#This Row],[Date]],Database!$A:$C,MATCH($C$1,Database!$A$1:$C$1,),))</f>
        <v/>
      </c>
      <c r="D11855">
        <f>IFERROR(Table7[[#This Row],[United States 10y]]-Table7[[#This Row],[United States 3y]],#N/A)</f>
        <v/>
      </c>
    </row>
    <row r="11856">
      <c r="A11856" s="6">
        <f>Database!$A13941</f>
        <v/>
      </c>
      <c r="B11856">
        <f>IF(VLOOKUP(Table7[[#This Row],[Date]],Database!$A:$C,MATCH($B$1,Database!$A$1:$C$1,),)=0,#N/A,VLOOKUP(Table7[[#This Row],[Date]],Database!$A:$C,MATCH($B$1,Database!$A$1:$C$1,),))</f>
        <v/>
      </c>
      <c r="C11856">
        <f>IF(VLOOKUP(Table7[[#This Row],[Date]],Database!$A:$C,MATCH($C$1,Database!$A$1:$C$1,),)=0,#N/A,VLOOKUP(Table7[[#This Row],[Date]],Database!$A:$C,MATCH($C$1,Database!$A$1:$C$1,),))</f>
        <v/>
      </c>
      <c r="D11856">
        <f>IFERROR(Table7[[#This Row],[United States 10y]]-Table7[[#This Row],[United States 3y]],#N/A)</f>
        <v/>
      </c>
    </row>
    <row r="11857">
      <c r="A11857" s="6">
        <f>Database!$A13942</f>
        <v/>
      </c>
      <c r="B11857">
        <f>IF(VLOOKUP(Table7[[#This Row],[Date]],Database!$A:$C,MATCH($B$1,Database!$A$1:$C$1,),)=0,#N/A,VLOOKUP(Table7[[#This Row],[Date]],Database!$A:$C,MATCH($B$1,Database!$A$1:$C$1,),))</f>
        <v/>
      </c>
      <c r="C11857">
        <f>IF(VLOOKUP(Table7[[#This Row],[Date]],Database!$A:$C,MATCH($C$1,Database!$A$1:$C$1,),)=0,#N/A,VLOOKUP(Table7[[#This Row],[Date]],Database!$A:$C,MATCH($C$1,Database!$A$1:$C$1,),))</f>
        <v/>
      </c>
      <c r="D11857">
        <f>IFERROR(Table7[[#This Row],[United States 10y]]-Table7[[#This Row],[United States 3y]],#N/A)</f>
        <v/>
      </c>
    </row>
    <row r="11858">
      <c r="A11858" s="6">
        <f>Database!$A13943</f>
        <v/>
      </c>
      <c r="B11858">
        <f>IF(VLOOKUP(Table7[[#This Row],[Date]],Database!$A:$C,MATCH($B$1,Database!$A$1:$C$1,),)=0,#N/A,VLOOKUP(Table7[[#This Row],[Date]],Database!$A:$C,MATCH($B$1,Database!$A$1:$C$1,),))</f>
        <v/>
      </c>
      <c r="C11858">
        <f>IF(VLOOKUP(Table7[[#This Row],[Date]],Database!$A:$C,MATCH($C$1,Database!$A$1:$C$1,),)=0,#N/A,VLOOKUP(Table7[[#This Row],[Date]],Database!$A:$C,MATCH($C$1,Database!$A$1:$C$1,),))</f>
        <v/>
      </c>
      <c r="D11858">
        <f>IFERROR(Table7[[#This Row],[United States 10y]]-Table7[[#This Row],[United States 3y]],#N/A)</f>
        <v/>
      </c>
    </row>
    <row r="11859">
      <c r="A11859" s="6">
        <f>Database!$A13944</f>
        <v/>
      </c>
      <c r="B11859">
        <f>IF(VLOOKUP(Table7[[#This Row],[Date]],Database!$A:$C,MATCH($B$1,Database!$A$1:$C$1,),)=0,#N/A,VLOOKUP(Table7[[#This Row],[Date]],Database!$A:$C,MATCH($B$1,Database!$A$1:$C$1,),))</f>
        <v/>
      </c>
      <c r="C11859">
        <f>IF(VLOOKUP(Table7[[#This Row],[Date]],Database!$A:$C,MATCH($C$1,Database!$A$1:$C$1,),)=0,#N/A,VLOOKUP(Table7[[#This Row],[Date]],Database!$A:$C,MATCH($C$1,Database!$A$1:$C$1,),))</f>
        <v/>
      </c>
      <c r="D11859">
        <f>IFERROR(Table7[[#This Row],[United States 10y]]-Table7[[#This Row],[United States 3y]],#N/A)</f>
        <v/>
      </c>
    </row>
    <row r="11860">
      <c r="A11860" s="6">
        <f>Database!$A13945</f>
        <v/>
      </c>
      <c r="B11860">
        <f>IF(VLOOKUP(Table7[[#This Row],[Date]],Database!$A:$C,MATCH($B$1,Database!$A$1:$C$1,),)=0,#N/A,VLOOKUP(Table7[[#This Row],[Date]],Database!$A:$C,MATCH($B$1,Database!$A$1:$C$1,),))</f>
        <v/>
      </c>
      <c r="C11860">
        <f>IF(VLOOKUP(Table7[[#This Row],[Date]],Database!$A:$C,MATCH($C$1,Database!$A$1:$C$1,),)=0,#N/A,VLOOKUP(Table7[[#This Row],[Date]],Database!$A:$C,MATCH($C$1,Database!$A$1:$C$1,),))</f>
        <v/>
      </c>
      <c r="D11860">
        <f>IFERROR(Table7[[#This Row],[United States 10y]]-Table7[[#This Row],[United States 3y]],#N/A)</f>
        <v/>
      </c>
    </row>
    <row r="11861">
      <c r="A11861" s="6">
        <f>Database!$A13946</f>
        <v/>
      </c>
      <c r="B11861">
        <f>IF(VLOOKUP(Table7[[#This Row],[Date]],Database!$A:$C,MATCH($B$1,Database!$A$1:$C$1,),)=0,#N/A,VLOOKUP(Table7[[#This Row],[Date]],Database!$A:$C,MATCH($B$1,Database!$A$1:$C$1,),))</f>
        <v/>
      </c>
      <c r="C11861">
        <f>IF(VLOOKUP(Table7[[#This Row],[Date]],Database!$A:$C,MATCH($C$1,Database!$A$1:$C$1,),)=0,#N/A,VLOOKUP(Table7[[#This Row],[Date]],Database!$A:$C,MATCH($C$1,Database!$A$1:$C$1,),))</f>
        <v/>
      </c>
      <c r="D11861">
        <f>IFERROR(Table7[[#This Row],[United States 10y]]-Table7[[#This Row],[United States 3y]],#N/A)</f>
        <v/>
      </c>
    </row>
    <row r="11862">
      <c r="A11862" s="6">
        <f>Database!$A13947</f>
        <v/>
      </c>
      <c r="B11862">
        <f>IF(VLOOKUP(Table7[[#This Row],[Date]],Database!$A:$C,MATCH($B$1,Database!$A$1:$C$1,),)=0,#N/A,VLOOKUP(Table7[[#This Row],[Date]],Database!$A:$C,MATCH($B$1,Database!$A$1:$C$1,),))</f>
        <v/>
      </c>
      <c r="C11862">
        <f>IF(VLOOKUP(Table7[[#This Row],[Date]],Database!$A:$C,MATCH($C$1,Database!$A$1:$C$1,),)=0,#N/A,VLOOKUP(Table7[[#This Row],[Date]],Database!$A:$C,MATCH($C$1,Database!$A$1:$C$1,),))</f>
        <v/>
      </c>
      <c r="D11862">
        <f>IFERROR(Table7[[#This Row],[United States 10y]]-Table7[[#This Row],[United States 3y]],#N/A)</f>
        <v/>
      </c>
    </row>
    <row r="11863">
      <c r="A11863" s="6">
        <f>Database!$A13948</f>
        <v/>
      </c>
      <c r="B11863">
        <f>IF(VLOOKUP(Table7[[#This Row],[Date]],Database!$A:$C,MATCH($B$1,Database!$A$1:$C$1,),)=0,#N/A,VLOOKUP(Table7[[#This Row],[Date]],Database!$A:$C,MATCH($B$1,Database!$A$1:$C$1,),))</f>
        <v/>
      </c>
      <c r="C11863">
        <f>IF(VLOOKUP(Table7[[#This Row],[Date]],Database!$A:$C,MATCH($C$1,Database!$A$1:$C$1,),)=0,#N/A,VLOOKUP(Table7[[#This Row],[Date]],Database!$A:$C,MATCH($C$1,Database!$A$1:$C$1,),))</f>
        <v/>
      </c>
      <c r="D11863">
        <f>IFERROR(Table7[[#This Row],[United States 10y]]-Table7[[#This Row],[United States 3y]],#N/A)</f>
        <v/>
      </c>
    </row>
    <row r="11864">
      <c r="A11864" s="6">
        <f>Database!$A13949</f>
        <v/>
      </c>
      <c r="B11864">
        <f>IF(VLOOKUP(Table7[[#This Row],[Date]],Database!$A:$C,MATCH($B$1,Database!$A$1:$C$1,),)=0,#N/A,VLOOKUP(Table7[[#This Row],[Date]],Database!$A:$C,MATCH($B$1,Database!$A$1:$C$1,),))</f>
        <v/>
      </c>
      <c r="C11864">
        <f>IF(VLOOKUP(Table7[[#This Row],[Date]],Database!$A:$C,MATCH($C$1,Database!$A$1:$C$1,),)=0,#N/A,VLOOKUP(Table7[[#This Row],[Date]],Database!$A:$C,MATCH($C$1,Database!$A$1:$C$1,),))</f>
        <v/>
      </c>
      <c r="D11864">
        <f>IFERROR(Table7[[#This Row],[United States 10y]]-Table7[[#This Row],[United States 3y]],#N/A)</f>
        <v/>
      </c>
    </row>
    <row r="11865">
      <c r="A11865" s="6">
        <f>Database!$A13950</f>
        <v/>
      </c>
      <c r="B11865">
        <f>IF(VLOOKUP(Table7[[#This Row],[Date]],Database!$A:$C,MATCH($B$1,Database!$A$1:$C$1,),)=0,#N/A,VLOOKUP(Table7[[#This Row],[Date]],Database!$A:$C,MATCH($B$1,Database!$A$1:$C$1,),))</f>
        <v/>
      </c>
      <c r="C11865">
        <f>IF(VLOOKUP(Table7[[#This Row],[Date]],Database!$A:$C,MATCH($C$1,Database!$A$1:$C$1,),)=0,#N/A,VLOOKUP(Table7[[#This Row],[Date]],Database!$A:$C,MATCH($C$1,Database!$A$1:$C$1,),))</f>
        <v/>
      </c>
      <c r="D11865">
        <f>IFERROR(Table7[[#This Row],[United States 10y]]-Table7[[#This Row],[United States 3y]],#N/A)</f>
        <v/>
      </c>
    </row>
    <row r="11866">
      <c r="A11866" s="6">
        <f>Database!$A13951</f>
        <v/>
      </c>
      <c r="B11866">
        <f>IF(VLOOKUP(Table7[[#This Row],[Date]],Database!$A:$C,MATCH($B$1,Database!$A$1:$C$1,),)=0,#N/A,VLOOKUP(Table7[[#This Row],[Date]],Database!$A:$C,MATCH($B$1,Database!$A$1:$C$1,),))</f>
        <v/>
      </c>
      <c r="C11866">
        <f>IF(VLOOKUP(Table7[[#This Row],[Date]],Database!$A:$C,MATCH($C$1,Database!$A$1:$C$1,),)=0,#N/A,VLOOKUP(Table7[[#This Row],[Date]],Database!$A:$C,MATCH($C$1,Database!$A$1:$C$1,),))</f>
        <v/>
      </c>
      <c r="D11866">
        <f>IFERROR(Table7[[#This Row],[United States 10y]]-Table7[[#This Row],[United States 3y]],#N/A)</f>
        <v/>
      </c>
    </row>
    <row r="11867">
      <c r="A11867" s="6">
        <f>Database!$A13952</f>
        <v/>
      </c>
      <c r="B11867">
        <f>IF(VLOOKUP(Table7[[#This Row],[Date]],Database!$A:$C,MATCH($B$1,Database!$A$1:$C$1,),)=0,#N/A,VLOOKUP(Table7[[#This Row],[Date]],Database!$A:$C,MATCH($B$1,Database!$A$1:$C$1,),))</f>
        <v/>
      </c>
      <c r="C11867">
        <f>IF(VLOOKUP(Table7[[#This Row],[Date]],Database!$A:$C,MATCH($C$1,Database!$A$1:$C$1,),)=0,#N/A,VLOOKUP(Table7[[#This Row],[Date]],Database!$A:$C,MATCH($C$1,Database!$A$1:$C$1,),))</f>
        <v/>
      </c>
      <c r="D11867">
        <f>IFERROR(Table7[[#This Row],[United States 10y]]-Table7[[#This Row],[United States 3y]],#N/A)</f>
        <v/>
      </c>
    </row>
    <row r="11868">
      <c r="A11868" s="6">
        <f>Database!$A13953</f>
        <v/>
      </c>
      <c r="B11868">
        <f>IF(VLOOKUP(Table7[[#This Row],[Date]],Database!$A:$C,MATCH($B$1,Database!$A$1:$C$1,),)=0,#N/A,VLOOKUP(Table7[[#This Row],[Date]],Database!$A:$C,MATCH($B$1,Database!$A$1:$C$1,),))</f>
        <v/>
      </c>
      <c r="C11868">
        <f>IF(VLOOKUP(Table7[[#This Row],[Date]],Database!$A:$C,MATCH($C$1,Database!$A$1:$C$1,),)=0,#N/A,VLOOKUP(Table7[[#This Row],[Date]],Database!$A:$C,MATCH($C$1,Database!$A$1:$C$1,),))</f>
        <v/>
      </c>
      <c r="D11868">
        <f>IFERROR(Table7[[#This Row],[United States 10y]]-Table7[[#This Row],[United States 3y]],#N/A)</f>
        <v/>
      </c>
    </row>
    <row r="11869">
      <c r="A11869" s="6">
        <f>Database!$A13954</f>
        <v/>
      </c>
      <c r="B11869">
        <f>IF(VLOOKUP(Table7[[#This Row],[Date]],Database!$A:$C,MATCH($B$1,Database!$A$1:$C$1,),)=0,#N/A,VLOOKUP(Table7[[#This Row],[Date]],Database!$A:$C,MATCH($B$1,Database!$A$1:$C$1,),))</f>
        <v/>
      </c>
      <c r="C11869">
        <f>IF(VLOOKUP(Table7[[#This Row],[Date]],Database!$A:$C,MATCH($C$1,Database!$A$1:$C$1,),)=0,#N/A,VLOOKUP(Table7[[#This Row],[Date]],Database!$A:$C,MATCH($C$1,Database!$A$1:$C$1,),))</f>
        <v/>
      </c>
      <c r="D11869">
        <f>IFERROR(Table7[[#This Row],[United States 10y]]-Table7[[#This Row],[United States 3y]],#N/A)</f>
        <v/>
      </c>
    </row>
    <row r="11870">
      <c r="A11870" s="6">
        <f>Database!$A13955</f>
        <v/>
      </c>
      <c r="B11870">
        <f>IF(VLOOKUP(Table7[[#This Row],[Date]],Database!$A:$C,MATCH($B$1,Database!$A$1:$C$1,),)=0,#N/A,VLOOKUP(Table7[[#This Row],[Date]],Database!$A:$C,MATCH($B$1,Database!$A$1:$C$1,),))</f>
        <v/>
      </c>
      <c r="C11870">
        <f>IF(VLOOKUP(Table7[[#This Row],[Date]],Database!$A:$C,MATCH($C$1,Database!$A$1:$C$1,),)=0,#N/A,VLOOKUP(Table7[[#This Row],[Date]],Database!$A:$C,MATCH($C$1,Database!$A$1:$C$1,),))</f>
        <v/>
      </c>
      <c r="D11870">
        <f>IFERROR(Table7[[#This Row],[United States 10y]]-Table7[[#This Row],[United States 3y]],#N/A)</f>
        <v/>
      </c>
    </row>
    <row r="11871">
      <c r="A11871" s="6">
        <f>Database!$A13956</f>
        <v/>
      </c>
      <c r="B11871">
        <f>IF(VLOOKUP(Table7[[#This Row],[Date]],Database!$A:$C,MATCH($B$1,Database!$A$1:$C$1,),)=0,#N/A,VLOOKUP(Table7[[#This Row],[Date]],Database!$A:$C,MATCH($B$1,Database!$A$1:$C$1,),))</f>
        <v/>
      </c>
      <c r="C11871">
        <f>IF(VLOOKUP(Table7[[#This Row],[Date]],Database!$A:$C,MATCH($C$1,Database!$A$1:$C$1,),)=0,#N/A,VLOOKUP(Table7[[#This Row],[Date]],Database!$A:$C,MATCH($C$1,Database!$A$1:$C$1,),))</f>
        <v/>
      </c>
      <c r="D11871">
        <f>IFERROR(Table7[[#This Row],[United States 10y]]-Table7[[#This Row],[United States 3y]],#N/A)</f>
        <v/>
      </c>
    </row>
    <row r="11872">
      <c r="A11872" s="6">
        <f>Database!$A13957</f>
        <v/>
      </c>
      <c r="B11872">
        <f>IF(VLOOKUP(Table7[[#This Row],[Date]],Database!$A:$C,MATCH($B$1,Database!$A$1:$C$1,),)=0,#N/A,VLOOKUP(Table7[[#This Row],[Date]],Database!$A:$C,MATCH($B$1,Database!$A$1:$C$1,),))</f>
        <v/>
      </c>
      <c r="C11872">
        <f>IF(VLOOKUP(Table7[[#This Row],[Date]],Database!$A:$C,MATCH($C$1,Database!$A$1:$C$1,),)=0,#N/A,VLOOKUP(Table7[[#This Row],[Date]],Database!$A:$C,MATCH($C$1,Database!$A$1:$C$1,),))</f>
        <v/>
      </c>
      <c r="D11872">
        <f>IFERROR(Table7[[#This Row],[United States 10y]]-Table7[[#This Row],[United States 3y]],#N/A)</f>
        <v/>
      </c>
    </row>
    <row r="11873">
      <c r="A11873" s="6">
        <f>Database!$A13958</f>
        <v/>
      </c>
      <c r="B11873">
        <f>IF(VLOOKUP(Table7[[#This Row],[Date]],Database!$A:$C,MATCH($B$1,Database!$A$1:$C$1,),)=0,#N/A,VLOOKUP(Table7[[#This Row],[Date]],Database!$A:$C,MATCH($B$1,Database!$A$1:$C$1,),))</f>
        <v/>
      </c>
      <c r="C11873">
        <f>IF(VLOOKUP(Table7[[#This Row],[Date]],Database!$A:$C,MATCH($C$1,Database!$A$1:$C$1,),)=0,#N/A,VLOOKUP(Table7[[#This Row],[Date]],Database!$A:$C,MATCH($C$1,Database!$A$1:$C$1,),))</f>
        <v/>
      </c>
      <c r="D11873">
        <f>IFERROR(Table7[[#This Row],[United States 10y]]-Table7[[#This Row],[United States 3y]],#N/A)</f>
        <v/>
      </c>
    </row>
    <row r="11874">
      <c r="A11874" s="6">
        <f>Database!$A13959</f>
        <v/>
      </c>
      <c r="B11874">
        <f>IF(VLOOKUP(Table7[[#This Row],[Date]],Database!$A:$C,MATCH($B$1,Database!$A$1:$C$1,),)=0,#N/A,VLOOKUP(Table7[[#This Row],[Date]],Database!$A:$C,MATCH($B$1,Database!$A$1:$C$1,),))</f>
        <v/>
      </c>
      <c r="C11874">
        <f>IF(VLOOKUP(Table7[[#This Row],[Date]],Database!$A:$C,MATCH($C$1,Database!$A$1:$C$1,),)=0,#N/A,VLOOKUP(Table7[[#This Row],[Date]],Database!$A:$C,MATCH($C$1,Database!$A$1:$C$1,),))</f>
        <v/>
      </c>
      <c r="D11874">
        <f>IFERROR(Table7[[#This Row],[United States 10y]]-Table7[[#This Row],[United States 3y]],#N/A)</f>
        <v/>
      </c>
    </row>
    <row r="11875">
      <c r="A11875" s="6">
        <f>Database!$A13960</f>
        <v/>
      </c>
      <c r="B11875">
        <f>IF(VLOOKUP(Table7[[#This Row],[Date]],Database!$A:$C,MATCH($B$1,Database!$A$1:$C$1,),)=0,#N/A,VLOOKUP(Table7[[#This Row],[Date]],Database!$A:$C,MATCH($B$1,Database!$A$1:$C$1,),))</f>
        <v/>
      </c>
      <c r="C11875">
        <f>IF(VLOOKUP(Table7[[#This Row],[Date]],Database!$A:$C,MATCH($C$1,Database!$A$1:$C$1,),)=0,#N/A,VLOOKUP(Table7[[#This Row],[Date]],Database!$A:$C,MATCH($C$1,Database!$A$1:$C$1,),))</f>
        <v/>
      </c>
      <c r="D11875">
        <f>IFERROR(Table7[[#This Row],[United States 10y]]-Table7[[#This Row],[United States 3y]],#N/A)</f>
        <v/>
      </c>
    </row>
    <row r="11876">
      <c r="A11876" s="6">
        <f>Database!$A13961</f>
        <v/>
      </c>
      <c r="B11876">
        <f>IF(VLOOKUP(Table7[[#This Row],[Date]],Database!$A:$C,MATCH($B$1,Database!$A$1:$C$1,),)=0,#N/A,VLOOKUP(Table7[[#This Row],[Date]],Database!$A:$C,MATCH($B$1,Database!$A$1:$C$1,),))</f>
        <v/>
      </c>
      <c r="C11876">
        <f>IF(VLOOKUP(Table7[[#This Row],[Date]],Database!$A:$C,MATCH($C$1,Database!$A$1:$C$1,),)=0,#N/A,VLOOKUP(Table7[[#This Row],[Date]],Database!$A:$C,MATCH($C$1,Database!$A$1:$C$1,),))</f>
        <v/>
      </c>
      <c r="D11876">
        <f>IFERROR(Table7[[#This Row],[United States 10y]]-Table7[[#This Row],[United States 3y]],#N/A)</f>
        <v/>
      </c>
    </row>
    <row r="11877">
      <c r="A11877" s="6">
        <f>Database!$A13962</f>
        <v/>
      </c>
      <c r="B11877">
        <f>IF(VLOOKUP(Table7[[#This Row],[Date]],Database!$A:$C,MATCH($B$1,Database!$A$1:$C$1,),)=0,#N/A,VLOOKUP(Table7[[#This Row],[Date]],Database!$A:$C,MATCH($B$1,Database!$A$1:$C$1,),))</f>
        <v/>
      </c>
      <c r="C11877">
        <f>IF(VLOOKUP(Table7[[#This Row],[Date]],Database!$A:$C,MATCH($C$1,Database!$A$1:$C$1,),)=0,#N/A,VLOOKUP(Table7[[#This Row],[Date]],Database!$A:$C,MATCH($C$1,Database!$A$1:$C$1,),))</f>
        <v/>
      </c>
      <c r="D11877">
        <f>IFERROR(Table7[[#This Row],[United States 10y]]-Table7[[#This Row],[United States 3y]],#N/A)</f>
        <v/>
      </c>
    </row>
    <row r="11878">
      <c r="A11878" s="6">
        <f>Database!$A13963</f>
        <v/>
      </c>
      <c r="B11878">
        <f>IF(VLOOKUP(Table7[[#This Row],[Date]],Database!$A:$C,MATCH($B$1,Database!$A$1:$C$1,),)=0,#N/A,VLOOKUP(Table7[[#This Row],[Date]],Database!$A:$C,MATCH($B$1,Database!$A$1:$C$1,),))</f>
        <v/>
      </c>
      <c r="C11878">
        <f>IF(VLOOKUP(Table7[[#This Row],[Date]],Database!$A:$C,MATCH($C$1,Database!$A$1:$C$1,),)=0,#N/A,VLOOKUP(Table7[[#This Row],[Date]],Database!$A:$C,MATCH($C$1,Database!$A$1:$C$1,),))</f>
        <v/>
      </c>
      <c r="D11878">
        <f>IFERROR(Table7[[#This Row],[United States 10y]]-Table7[[#This Row],[United States 3y]],#N/A)</f>
        <v/>
      </c>
    </row>
    <row r="11879">
      <c r="A11879" s="6">
        <f>Database!$A13964</f>
        <v/>
      </c>
      <c r="B11879">
        <f>IF(VLOOKUP(Table7[[#This Row],[Date]],Database!$A:$C,MATCH($B$1,Database!$A$1:$C$1,),)=0,#N/A,VLOOKUP(Table7[[#This Row],[Date]],Database!$A:$C,MATCH($B$1,Database!$A$1:$C$1,),))</f>
        <v/>
      </c>
      <c r="C11879">
        <f>IF(VLOOKUP(Table7[[#This Row],[Date]],Database!$A:$C,MATCH($C$1,Database!$A$1:$C$1,),)=0,#N/A,VLOOKUP(Table7[[#This Row],[Date]],Database!$A:$C,MATCH($C$1,Database!$A$1:$C$1,),))</f>
        <v/>
      </c>
      <c r="D11879">
        <f>IFERROR(Table7[[#This Row],[United States 10y]]-Table7[[#This Row],[United States 3y]],#N/A)</f>
        <v/>
      </c>
    </row>
    <row r="11880">
      <c r="A11880" s="6">
        <f>Database!$A13965</f>
        <v/>
      </c>
      <c r="B11880">
        <f>IF(VLOOKUP(Table7[[#This Row],[Date]],Database!$A:$C,MATCH($B$1,Database!$A$1:$C$1,),)=0,#N/A,VLOOKUP(Table7[[#This Row],[Date]],Database!$A:$C,MATCH($B$1,Database!$A$1:$C$1,),))</f>
        <v/>
      </c>
      <c r="C11880">
        <f>IF(VLOOKUP(Table7[[#This Row],[Date]],Database!$A:$C,MATCH($C$1,Database!$A$1:$C$1,),)=0,#N/A,VLOOKUP(Table7[[#This Row],[Date]],Database!$A:$C,MATCH($C$1,Database!$A$1:$C$1,),))</f>
        <v/>
      </c>
      <c r="D11880">
        <f>IFERROR(Table7[[#This Row],[United States 10y]]-Table7[[#This Row],[United States 3y]],#N/A)</f>
        <v/>
      </c>
    </row>
    <row r="11881">
      <c r="A11881" s="6">
        <f>Database!$A13966</f>
        <v/>
      </c>
      <c r="B11881">
        <f>IF(VLOOKUP(Table7[[#This Row],[Date]],Database!$A:$C,MATCH($B$1,Database!$A$1:$C$1,),)=0,#N/A,VLOOKUP(Table7[[#This Row],[Date]],Database!$A:$C,MATCH($B$1,Database!$A$1:$C$1,),))</f>
        <v/>
      </c>
      <c r="C11881">
        <f>IF(VLOOKUP(Table7[[#This Row],[Date]],Database!$A:$C,MATCH($C$1,Database!$A$1:$C$1,),)=0,#N/A,VLOOKUP(Table7[[#This Row],[Date]],Database!$A:$C,MATCH($C$1,Database!$A$1:$C$1,),))</f>
        <v/>
      </c>
      <c r="D11881">
        <f>IFERROR(Table7[[#This Row],[United States 10y]]-Table7[[#This Row],[United States 3y]],#N/A)</f>
        <v/>
      </c>
    </row>
    <row r="11882">
      <c r="A11882" s="6">
        <f>Database!$A13967</f>
        <v/>
      </c>
      <c r="B11882">
        <f>IF(VLOOKUP(Table7[[#This Row],[Date]],Database!$A:$C,MATCH($B$1,Database!$A$1:$C$1,),)=0,#N/A,VLOOKUP(Table7[[#This Row],[Date]],Database!$A:$C,MATCH($B$1,Database!$A$1:$C$1,),))</f>
        <v/>
      </c>
      <c r="C11882">
        <f>IF(VLOOKUP(Table7[[#This Row],[Date]],Database!$A:$C,MATCH($C$1,Database!$A$1:$C$1,),)=0,#N/A,VLOOKUP(Table7[[#This Row],[Date]],Database!$A:$C,MATCH($C$1,Database!$A$1:$C$1,),))</f>
        <v/>
      </c>
      <c r="D11882">
        <f>IFERROR(Table7[[#This Row],[United States 10y]]-Table7[[#This Row],[United States 3y]],#N/A)</f>
        <v/>
      </c>
    </row>
    <row r="11883">
      <c r="A11883" s="6">
        <f>Database!$A13968</f>
        <v/>
      </c>
      <c r="B11883">
        <f>IF(VLOOKUP(Table7[[#This Row],[Date]],Database!$A:$C,MATCH($B$1,Database!$A$1:$C$1,),)=0,#N/A,VLOOKUP(Table7[[#This Row],[Date]],Database!$A:$C,MATCH($B$1,Database!$A$1:$C$1,),))</f>
        <v/>
      </c>
      <c r="C11883">
        <f>IF(VLOOKUP(Table7[[#This Row],[Date]],Database!$A:$C,MATCH($C$1,Database!$A$1:$C$1,),)=0,#N/A,VLOOKUP(Table7[[#This Row],[Date]],Database!$A:$C,MATCH($C$1,Database!$A$1:$C$1,),))</f>
        <v/>
      </c>
      <c r="D11883">
        <f>IFERROR(Table7[[#This Row],[United States 10y]]-Table7[[#This Row],[United States 3y]],#N/A)</f>
        <v/>
      </c>
    </row>
    <row r="11884">
      <c r="A11884" s="6">
        <f>Database!$A13969</f>
        <v/>
      </c>
      <c r="B11884">
        <f>IF(VLOOKUP(Table7[[#This Row],[Date]],Database!$A:$C,MATCH($B$1,Database!$A$1:$C$1,),)=0,#N/A,VLOOKUP(Table7[[#This Row],[Date]],Database!$A:$C,MATCH($B$1,Database!$A$1:$C$1,),))</f>
        <v/>
      </c>
      <c r="C11884">
        <f>IF(VLOOKUP(Table7[[#This Row],[Date]],Database!$A:$C,MATCH($C$1,Database!$A$1:$C$1,),)=0,#N/A,VLOOKUP(Table7[[#This Row],[Date]],Database!$A:$C,MATCH($C$1,Database!$A$1:$C$1,),))</f>
        <v/>
      </c>
      <c r="D11884">
        <f>IFERROR(Table7[[#This Row],[United States 10y]]-Table7[[#This Row],[United States 3y]],#N/A)</f>
        <v/>
      </c>
    </row>
    <row r="11885">
      <c r="A11885" s="6">
        <f>Database!$A13970</f>
        <v/>
      </c>
      <c r="B11885">
        <f>IF(VLOOKUP(Table7[[#This Row],[Date]],Database!$A:$C,MATCH($B$1,Database!$A$1:$C$1,),)=0,#N/A,VLOOKUP(Table7[[#This Row],[Date]],Database!$A:$C,MATCH($B$1,Database!$A$1:$C$1,),))</f>
        <v/>
      </c>
      <c r="C11885">
        <f>IF(VLOOKUP(Table7[[#This Row],[Date]],Database!$A:$C,MATCH($C$1,Database!$A$1:$C$1,),)=0,#N/A,VLOOKUP(Table7[[#This Row],[Date]],Database!$A:$C,MATCH($C$1,Database!$A$1:$C$1,),))</f>
        <v/>
      </c>
      <c r="D11885">
        <f>IFERROR(Table7[[#This Row],[United States 10y]]-Table7[[#This Row],[United States 3y]],#N/A)</f>
        <v/>
      </c>
    </row>
    <row r="11886">
      <c r="A11886" s="6">
        <f>Database!$A13971</f>
        <v/>
      </c>
      <c r="B11886">
        <f>IF(VLOOKUP(Table7[[#This Row],[Date]],Database!$A:$C,MATCH($B$1,Database!$A$1:$C$1,),)=0,#N/A,VLOOKUP(Table7[[#This Row],[Date]],Database!$A:$C,MATCH($B$1,Database!$A$1:$C$1,),))</f>
        <v/>
      </c>
      <c r="C11886">
        <f>IF(VLOOKUP(Table7[[#This Row],[Date]],Database!$A:$C,MATCH($C$1,Database!$A$1:$C$1,),)=0,#N/A,VLOOKUP(Table7[[#This Row],[Date]],Database!$A:$C,MATCH($C$1,Database!$A$1:$C$1,),))</f>
        <v/>
      </c>
      <c r="D11886">
        <f>IFERROR(Table7[[#This Row],[United States 10y]]-Table7[[#This Row],[United States 3y]],#N/A)</f>
        <v/>
      </c>
    </row>
    <row r="11887">
      <c r="A11887" s="6">
        <f>Database!$A13972</f>
        <v/>
      </c>
      <c r="B11887">
        <f>IF(VLOOKUP(Table7[[#This Row],[Date]],Database!$A:$C,MATCH($B$1,Database!$A$1:$C$1,),)=0,#N/A,VLOOKUP(Table7[[#This Row],[Date]],Database!$A:$C,MATCH($B$1,Database!$A$1:$C$1,),))</f>
        <v/>
      </c>
      <c r="C11887">
        <f>IF(VLOOKUP(Table7[[#This Row],[Date]],Database!$A:$C,MATCH($C$1,Database!$A$1:$C$1,),)=0,#N/A,VLOOKUP(Table7[[#This Row],[Date]],Database!$A:$C,MATCH($C$1,Database!$A$1:$C$1,),))</f>
        <v/>
      </c>
      <c r="D11887">
        <f>IFERROR(Table7[[#This Row],[United States 10y]]-Table7[[#This Row],[United States 3y]],#N/A)</f>
        <v/>
      </c>
    </row>
    <row r="11888">
      <c r="A11888" s="6">
        <f>Database!$A13973</f>
        <v/>
      </c>
      <c r="B11888">
        <f>IF(VLOOKUP(Table7[[#This Row],[Date]],Database!$A:$C,MATCH($B$1,Database!$A$1:$C$1,),)=0,#N/A,VLOOKUP(Table7[[#This Row],[Date]],Database!$A:$C,MATCH($B$1,Database!$A$1:$C$1,),))</f>
        <v/>
      </c>
      <c r="C11888">
        <f>IF(VLOOKUP(Table7[[#This Row],[Date]],Database!$A:$C,MATCH($C$1,Database!$A$1:$C$1,),)=0,#N/A,VLOOKUP(Table7[[#This Row],[Date]],Database!$A:$C,MATCH($C$1,Database!$A$1:$C$1,),))</f>
        <v/>
      </c>
      <c r="D11888">
        <f>IFERROR(Table7[[#This Row],[United States 10y]]-Table7[[#This Row],[United States 3y]],#N/A)</f>
        <v/>
      </c>
    </row>
    <row r="11889">
      <c r="A11889" s="6">
        <f>Database!$A13974</f>
        <v/>
      </c>
      <c r="B11889">
        <f>IF(VLOOKUP(Table7[[#This Row],[Date]],Database!$A:$C,MATCH($B$1,Database!$A$1:$C$1,),)=0,#N/A,VLOOKUP(Table7[[#This Row],[Date]],Database!$A:$C,MATCH($B$1,Database!$A$1:$C$1,),))</f>
        <v/>
      </c>
      <c r="C11889">
        <f>IF(VLOOKUP(Table7[[#This Row],[Date]],Database!$A:$C,MATCH($C$1,Database!$A$1:$C$1,),)=0,#N/A,VLOOKUP(Table7[[#This Row],[Date]],Database!$A:$C,MATCH($C$1,Database!$A$1:$C$1,),))</f>
        <v/>
      </c>
      <c r="D11889">
        <f>IFERROR(Table7[[#This Row],[United States 10y]]-Table7[[#This Row],[United States 3y]],#N/A)</f>
        <v/>
      </c>
    </row>
    <row r="11890">
      <c r="A11890" s="6">
        <f>Database!$A13975</f>
        <v/>
      </c>
      <c r="B11890">
        <f>IF(VLOOKUP(Table7[[#This Row],[Date]],Database!$A:$C,MATCH($B$1,Database!$A$1:$C$1,),)=0,#N/A,VLOOKUP(Table7[[#This Row],[Date]],Database!$A:$C,MATCH($B$1,Database!$A$1:$C$1,),))</f>
        <v/>
      </c>
      <c r="C11890">
        <f>IF(VLOOKUP(Table7[[#This Row],[Date]],Database!$A:$C,MATCH($C$1,Database!$A$1:$C$1,),)=0,#N/A,VLOOKUP(Table7[[#This Row],[Date]],Database!$A:$C,MATCH($C$1,Database!$A$1:$C$1,),))</f>
        <v/>
      </c>
      <c r="D11890">
        <f>IFERROR(Table7[[#This Row],[United States 10y]]-Table7[[#This Row],[United States 3y]],#N/A)</f>
        <v/>
      </c>
    </row>
    <row r="11891">
      <c r="A11891" s="6">
        <f>Database!$A13976</f>
        <v/>
      </c>
      <c r="B11891">
        <f>IF(VLOOKUP(Table7[[#This Row],[Date]],Database!$A:$C,MATCH($B$1,Database!$A$1:$C$1,),)=0,#N/A,VLOOKUP(Table7[[#This Row],[Date]],Database!$A:$C,MATCH($B$1,Database!$A$1:$C$1,),))</f>
        <v/>
      </c>
      <c r="C11891">
        <f>IF(VLOOKUP(Table7[[#This Row],[Date]],Database!$A:$C,MATCH($C$1,Database!$A$1:$C$1,),)=0,#N/A,VLOOKUP(Table7[[#This Row],[Date]],Database!$A:$C,MATCH($C$1,Database!$A$1:$C$1,),))</f>
        <v/>
      </c>
      <c r="D11891">
        <f>IFERROR(Table7[[#This Row],[United States 10y]]-Table7[[#This Row],[United States 3y]],#N/A)</f>
        <v/>
      </c>
    </row>
    <row r="11892">
      <c r="A11892" s="6">
        <f>Database!$A13977</f>
        <v/>
      </c>
      <c r="B11892">
        <f>IF(VLOOKUP(Table7[[#This Row],[Date]],Database!$A:$C,MATCH($B$1,Database!$A$1:$C$1,),)=0,#N/A,VLOOKUP(Table7[[#This Row],[Date]],Database!$A:$C,MATCH($B$1,Database!$A$1:$C$1,),))</f>
        <v/>
      </c>
      <c r="C11892">
        <f>IF(VLOOKUP(Table7[[#This Row],[Date]],Database!$A:$C,MATCH($C$1,Database!$A$1:$C$1,),)=0,#N/A,VLOOKUP(Table7[[#This Row],[Date]],Database!$A:$C,MATCH($C$1,Database!$A$1:$C$1,),))</f>
        <v/>
      </c>
      <c r="D11892">
        <f>IFERROR(Table7[[#This Row],[United States 10y]]-Table7[[#This Row],[United States 3y]],#N/A)</f>
        <v/>
      </c>
    </row>
    <row r="11893">
      <c r="A11893" s="6">
        <f>Database!$A13978</f>
        <v/>
      </c>
      <c r="B11893">
        <f>IF(VLOOKUP(Table7[[#This Row],[Date]],Database!$A:$C,MATCH($B$1,Database!$A$1:$C$1,),)=0,#N/A,VLOOKUP(Table7[[#This Row],[Date]],Database!$A:$C,MATCH($B$1,Database!$A$1:$C$1,),))</f>
        <v/>
      </c>
      <c r="C11893">
        <f>IF(VLOOKUP(Table7[[#This Row],[Date]],Database!$A:$C,MATCH($C$1,Database!$A$1:$C$1,),)=0,#N/A,VLOOKUP(Table7[[#This Row],[Date]],Database!$A:$C,MATCH($C$1,Database!$A$1:$C$1,),))</f>
        <v/>
      </c>
      <c r="D11893">
        <f>IFERROR(Table7[[#This Row],[United States 10y]]-Table7[[#This Row],[United States 3y]],#N/A)</f>
        <v/>
      </c>
    </row>
    <row r="11894">
      <c r="A11894" s="6">
        <f>Database!$A13979</f>
        <v/>
      </c>
      <c r="B11894">
        <f>IF(VLOOKUP(Table7[[#This Row],[Date]],Database!$A:$C,MATCH($B$1,Database!$A$1:$C$1,),)=0,#N/A,VLOOKUP(Table7[[#This Row],[Date]],Database!$A:$C,MATCH($B$1,Database!$A$1:$C$1,),))</f>
        <v/>
      </c>
      <c r="C11894">
        <f>IF(VLOOKUP(Table7[[#This Row],[Date]],Database!$A:$C,MATCH($C$1,Database!$A$1:$C$1,),)=0,#N/A,VLOOKUP(Table7[[#This Row],[Date]],Database!$A:$C,MATCH($C$1,Database!$A$1:$C$1,),))</f>
        <v/>
      </c>
      <c r="D11894">
        <f>IFERROR(Table7[[#This Row],[United States 10y]]-Table7[[#This Row],[United States 3y]],#N/A)</f>
        <v/>
      </c>
    </row>
    <row r="11895">
      <c r="A11895" s="6">
        <f>Database!$A13980</f>
        <v/>
      </c>
      <c r="B11895">
        <f>IF(VLOOKUP(Table7[[#This Row],[Date]],Database!$A:$C,MATCH($B$1,Database!$A$1:$C$1,),)=0,#N/A,VLOOKUP(Table7[[#This Row],[Date]],Database!$A:$C,MATCH($B$1,Database!$A$1:$C$1,),))</f>
        <v/>
      </c>
      <c r="C11895">
        <f>IF(VLOOKUP(Table7[[#This Row],[Date]],Database!$A:$C,MATCH($C$1,Database!$A$1:$C$1,),)=0,#N/A,VLOOKUP(Table7[[#This Row],[Date]],Database!$A:$C,MATCH($C$1,Database!$A$1:$C$1,),))</f>
        <v/>
      </c>
      <c r="D11895">
        <f>IFERROR(Table7[[#This Row],[United States 10y]]-Table7[[#This Row],[United States 3y]],#N/A)</f>
        <v/>
      </c>
    </row>
    <row r="11896">
      <c r="A11896" s="6">
        <f>Database!$A13981</f>
        <v/>
      </c>
      <c r="B11896">
        <f>IF(VLOOKUP(Table7[[#This Row],[Date]],Database!$A:$C,MATCH($B$1,Database!$A$1:$C$1,),)=0,#N/A,VLOOKUP(Table7[[#This Row],[Date]],Database!$A:$C,MATCH($B$1,Database!$A$1:$C$1,),))</f>
        <v/>
      </c>
      <c r="C11896">
        <f>IF(VLOOKUP(Table7[[#This Row],[Date]],Database!$A:$C,MATCH($C$1,Database!$A$1:$C$1,),)=0,#N/A,VLOOKUP(Table7[[#This Row],[Date]],Database!$A:$C,MATCH($C$1,Database!$A$1:$C$1,),))</f>
        <v/>
      </c>
      <c r="D11896">
        <f>IFERROR(Table7[[#This Row],[United States 10y]]-Table7[[#This Row],[United States 3y]],#N/A)</f>
        <v/>
      </c>
    </row>
    <row r="11897">
      <c r="A11897" s="6">
        <f>Database!$A13982</f>
        <v/>
      </c>
      <c r="B11897">
        <f>IF(VLOOKUP(Table7[[#This Row],[Date]],Database!$A:$C,MATCH($B$1,Database!$A$1:$C$1,),)=0,#N/A,VLOOKUP(Table7[[#This Row],[Date]],Database!$A:$C,MATCH($B$1,Database!$A$1:$C$1,),))</f>
        <v/>
      </c>
      <c r="C11897">
        <f>IF(VLOOKUP(Table7[[#This Row],[Date]],Database!$A:$C,MATCH($C$1,Database!$A$1:$C$1,),)=0,#N/A,VLOOKUP(Table7[[#This Row],[Date]],Database!$A:$C,MATCH($C$1,Database!$A$1:$C$1,),))</f>
        <v/>
      </c>
      <c r="D11897">
        <f>IFERROR(Table7[[#This Row],[United States 10y]]-Table7[[#This Row],[United States 3y]],#N/A)</f>
        <v/>
      </c>
    </row>
    <row r="11898">
      <c r="A11898" s="6">
        <f>Database!$A13983</f>
        <v/>
      </c>
      <c r="B11898">
        <f>IF(VLOOKUP(Table7[[#This Row],[Date]],Database!$A:$C,MATCH($B$1,Database!$A$1:$C$1,),)=0,#N/A,VLOOKUP(Table7[[#This Row],[Date]],Database!$A:$C,MATCH($B$1,Database!$A$1:$C$1,),))</f>
        <v/>
      </c>
      <c r="C11898">
        <f>IF(VLOOKUP(Table7[[#This Row],[Date]],Database!$A:$C,MATCH($C$1,Database!$A$1:$C$1,),)=0,#N/A,VLOOKUP(Table7[[#This Row],[Date]],Database!$A:$C,MATCH($C$1,Database!$A$1:$C$1,),))</f>
        <v/>
      </c>
      <c r="D11898">
        <f>IFERROR(Table7[[#This Row],[United States 10y]]-Table7[[#This Row],[United States 3y]],#N/A)</f>
        <v/>
      </c>
    </row>
    <row r="11899">
      <c r="A11899" s="6">
        <f>Database!$A13984</f>
        <v/>
      </c>
      <c r="B11899">
        <f>IF(VLOOKUP(Table7[[#This Row],[Date]],Database!$A:$C,MATCH($B$1,Database!$A$1:$C$1,),)=0,#N/A,VLOOKUP(Table7[[#This Row],[Date]],Database!$A:$C,MATCH($B$1,Database!$A$1:$C$1,),))</f>
        <v/>
      </c>
      <c r="C11899">
        <f>IF(VLOOKUP(Table7[[#This Row],[Date]],Database!$A:$C,MATCH($C$1,Database!$A$1:$C$1,),)=0,#N/A,VLOOKUP(Table7[[#This Row],[Date]],Database!$A:$C,MATCH($C$1,Database!$A$1:$C$1,),))</f>
        <v/>
      </c>
      <c r="D11899">
        <f>IFERROR(Table7[[#This Row],[United States 10y]]-Table7[[#This Row],[United States 3y]],#N/A)</f>
        <v/>
      </c>
    </row>
    <row r="11900">
      <c r="A11900" s="6">
        <f>Database!$A13985</f>
        <v/>
      </c>
      <c r="B11900">
        <f>IF(VLOOKUP(Table7[[#This Row],[Date]],Database!$A:$C,MATCH($B$1,Database!$A$1:$C$1,),)=0,#N/A,VLOOKUP(Table7[[#This Row],[Date]],Database!$A:$C,MATCH($B$1,Database!$A$1:$C$1,),))</f>
        <v/>
      </c>
      <c r="C11900">
        <f>IF(VLOOKUP(Table7[[#This Row],[Date]],Database!$A:$C,MATCH($C$1,Database!$A$1:$C$1,),)=0,#N/A,VLOOKUP(Table7[[#This Row],[Date]],Database!$A:$C,MATCH($C$1,Database!$A$1:$C$1,),))</f>
        <v/>
      </c>
      <c r="D11900">
        <f>IFERROR(Table7[[#This Row],[United States 10y]]-Table7[[#This Row],[United States 3y]],#N/A)</f>
        <v/>
      </c>
    </row>
    <row r="11901">
      <c r="A11901" s="6">
        <f>Database!$A13986</f>
        <v/>
      </c>
      <c r="B11901">
        <f>IF(VLOOKUP(Table7[[#This Row],[Date]],Database!$A:$C,MATCH($B$1,Database!$A$1:$C$1,),)=0,#N/A,VLOOKUP(Table7[[#This Row],[Date]],Database!$A:$C,MATCH($B$1,Database!$A$1:$C$1,),))</f>
        <v/>
      </c>
      <c r="C11901">
        <f>IF(VLOOKUP(Table7[[#This Row],[Date]],Database!$A:$C,MATCH($C$1,Database!$A$1:$C$1,),)=0,#N/A,VLOOKUP(Table7[[#This Row],[Date]],Database!$A:$C,MATCH($C$1,Database!$A$1:$C$1,),))</f>
        <v/>
      </c>
      <c r="D11901">
        <f>IFERROR(Table7[[#This Row],[United States 10y]]-Table7[[#This Row],[United States 3y]],#N/A)</f>
        <v/>
      </c>
    </row>
    <row r="11902">
      <c r="A11902" s="6">
        <f>Database!$A13987</f>
        <v/>
      </c>
      <c r="B11902">
        <f>IF(VLOOKUP(Table7[[#This Row],[Date]],Database!$A:$C,MATCH($B$1,Database!$A$1:$C$1,),)=0,#N/A,VLOOKUP(Table7[[#This Row],[Date]],Database!$A:$C,MATCH($B$1,Database!$A$1:$C$1,),))</f>
        <v/>
      </c>
      <c r="C11902">
        <f>IF(VLOOKUP(Table7[[#This Row],[Date]],Database!$A:$C,MATCH($C$1,Database!$A$1:$C$1,),)=0,#N/A,VLOOKUP(Table7[[#This Row],[Date]],Database!$A:$C,MATCH($C$1,Database!$A$1:$C$1,),))</f>
        <v/>
      </c>
      <c r="D11902">
        <f>IFERROR(Table7[[#This Row],[United States 10y]]-Table7[[#This Row],[United States 3y]],#N/A)</f>
        <v/>
      </c>
    </row>
    <row r="11903">
      <c r="A11903" s="6">
        <f>Database!$A13988</f>
        <v/>
      </c>
      <c r="B11903">
        <f>IF(VLOOKUP(Table7[[#This Row],[Date]],Database!$A:$C,MATCH($B$1,Database!$A$1:$C$1,),)=0,#N/A,VLOOKUP(Table7[[#This Row],[Date]],Database!$A:$C,MATCH($B$1,Database!$A$1:$C$1,),))</f>
        <v/>
      </c>
      <c r="C11903">
        <f>IF(VLOOKUP(Table7[[#This Row],[Date]],Database!$A:$C,MATCH($C$1,Database!$A$1:$C$1,),)=0,#N/A,VLOOKUP(Table7[[#This Row],[Date]],Database!$A:$C,MATCH($C$1,Database!$A$1:$C$1,),))</f>
        <v/>
      </c>
      <c r="D11903">
        <f>IFERROR(Table7[[#This Row],[United States 10y]]-Table7[[#This Row],[United States 3y]],#N/A)</f>
        <v/>
      </c>
    </row>
    <row r="11904">
      <c r="A11904" s="6">
        <f>Database!$A13989</f>
        <v/>
      </c>
      <c r="B11904">
        <f>IF(VLOOKUP(Table7[[#This Row],[Date]],Database!$A:$C,MATCH($B$1,Database!$A$1:$C$1,),)=0,#N/A,VLOOKUP(Table7[[#This Row],[Date]],Database!$A:$C,MATCH($B$1,Database!$A$1:$C$1,),))</f>
        <v/>
      </c>
      <c r="C11904">
        <f>IF(VLOOKUP(Table7[[#This Row],[Date]],Database!$A:$C,MATCH($C$1,Database!$A$1:$C$1,),)=0,#N/A,VLOOKUP(Table7[[#This Row],[Date]],Database!$A:$C,MATCH($C$1,Database!$A$1:$C$1,),))</f>
        <v/>
      </c>
      <c r="D11904">
        <f>IFERROR(Table7[[#This Row],[United States 10y]]-Table7[[#This Row],[United States 3y]],#N/A)</f>
        <v/>
      </c>
    </row>
    <row r="11905">
      <c r="A11905" s="6">
        <f>Database!$A13990</f>
        <v/>
      </c>
      <c r="B11905">
        <f>IF(VLOOKUP(Table7[[#This Row],[Date]],Database!$A:$C,MATCH($B$1,Database!$A$1:$C$1,),)=0,#N/A,VLOOKUP(Table7[[#This Row],[Date]],Database!$A:$C,MATCH($B$1,Database!$A$1:$C$1,),))</f>
        <v/>
      </c>
      <c r="C11905">
        <f>IF(VLOOKUP(Table7[[#This Row],[Date]],Database!$A:$C,MATCH($C$1,Database!$A$1:$C$1,),)=0,#N/A,VLOOKUP(Table7[[#This Row],[Date]],Database!$A:$C,MATCH($C$1,Database!$A$1:$C$1,),))</f>
        <v/>
      </c>
      <c r="D11905">
        <f>IFERROR(Table7[[#This Row],[United States 10y]]-Table7[[#This Row],[United States 3y]],#N/A)</f>
        <v/>
      </c>
    </row>
    <row r="11906">
      <c r="A11906" s="6">
        <f>Database!$A13991</f>
        <v/>
      </c>
      <c r="B11906">
        <f>IF(VLOOKUP(Table7[[#This Row],[Date]],Database!$A:$C,MATCH($B$1,Database!$A$1:$C$1,),)=0,#N/A,VLOOKUP(Table7[[#This Row],[Date]],Database!$A:$C,MATCH($B$1,Database!$A$1:$C$1,),))</f>
        <v/>
      </c>
      <c r="C11906">
        <f>IF(VLOOKUP(Table7[[#This Row],[Date]],Database!$A:$C,MATCH($C$1,Database!$A$1:$C$1,),)=0,#N/A,VLOOKUP(Table7[[#This Row],[Date]],Database!$A:$C,MATCH($C$1,Database!$A$1:$C$1,),))</f>
        <v/>
      </c>
      <c r="D11906">
        <f>IFERROR(Table7[[#This Row],[United States 10y]]-Table7[[#This Row],[United States 3y]],#N/A)</f>
        <v/>
      </c>
    </row>
    <row r="11907">
      <c r="A11907" s="6">
        <f>Database!$A13992</f>
        <v/>
      </c>
      <c r="B11907">
        <f>IF(VLOOKUP(Table7[[#This Row],[Date]],Database!$A:$C,MATCH($B$1,Database!$A$1:$C$1,),)=0,#N/A,VLOOKUP(Table7[[#This Row],[Date]],Database!$A:$C,MATCH($B$1,Database!$A$1:$C$1,),))</f>
        <v/>
      </c>
      <c r="C11907">
        <f>IF(VLOOKUP(Table7[[#This Row],[Date]],Database!$A:$C,MATCH($C$1,Database!$A$1:$C$1,),)=0,#N/A,VLOOKUP(Table7[[#This Row],[Date]],Database!$A:$C,MATCH($C$1,Database!$A$1:$C$1,),))</f>
        <v/>
      </c>
      <c r="D11907">
        <f>IFERROR(Table7[[#This Row],[United States 10y]]-Table7[[#This Row],[United States 3y]],#N/A)</f>
        <v/>
      </c>
    </row>
    <row r="11908">
      <c r="A11908" s="6">
        <f>Database!$A13993</f>
        <v/>
      </c>
      <c r="B11908">
        <f>IF(VLOOKUP(Table7[[#This Row],[Date]],Database!$A:$C,MATCH($B$1,Database!$A$1:$C$1,),)=0,#N/A,VLOOKUP(Table7[[#This Row],[Date]],Database!$A:$C,MATCH($B$1,Database!$A$1:$C$1,),))</f>
        <v/>
      </c>
      <c r="C11908">
        <f>IF(VLOOKUP(Table7[[#This Row],[Date]],Database!$A:$C,MATCH($C$1,Database!$A$1:$C$1,),)=0,#N/A,VLOOKUP(Table7[[#This Row],[Date]],Database!$A:$C,MATCH($C$1,Database!$A$1:$C$1,),))</f>
        <v/>
      </c>
      <c r="D11908">
        <f>IFERROR(Table7[[#This Row],[United States 10y]]-Table7[[#This Row],[United States 3y]],#N/A)</f>
        <v/>
      </c>
    </row>
    <row r="11909">
      <c r="A11909" s="6">
        <f>Database!$A13994</f>
        <v/>
      </c>
      <c r="B11909">
        <f>IF(VLOOKUP(Table7[[#This Row],[Date]],Database!$A:$C,MATCH($B$1,Database!$A$1:$C$1,),)=0,#N/A,VLOOKUP(Table7[[#This Row],[Date]],Database!$A:$C,MATCH($B$1,Database!$A$1:$C$1,),))</f>
        <v/>
      </c>
      <c r="C11909">
        <f>IF(VLOOKUP(Table7[[#This Row],[Date]],Database!$A:$C,MATCH($C$1,Database!$A$1:$C$1,),)=0,#N/A,VLOOKUP(Table7[[#This Row],[Date]],Database!$A:$C,MATCH($C$1,Database!$A$1:$C$1,),))</f>
        <v/>
      </c>
      <c r="D11909">
        <f>IFERROR(Table7[[#This Row],[United States 10y]]-Table7[[#This Row],[United States 3y]],#N/A)</f>
        <v/>
      </c>
    </row>
    <row r="11910">
      <c r="A11910" s="6">
        <f>Database!$A13995</f>
        <v/>
      </c>
      <c r="B11910">
        <f>IF(VLOOKUP(Table7[[#This Row],[Date]],Database!$A:$C,MATCH($B$1,Database!$A$1:$C$1,),)=0,#N/A,VLOOKUP(Table7[[#This Row],[Date]],Database!$A:$C,MATCH($B$1,Database!$A$1:$C$1,),))</f>
        <v/>
      </c>
      <c r="C11910">
        <f>IF(VLOOKUP(Table7[[#This Row],[Date]],Database!$A:$C,MATCH($C$1,Database!$A$1:$C$1,),)=0,#N/A,VLOOKUP(Table7[[#This Row],[Date]],Database!$A:$C,MATCH($C$1,Database!$A$1:$C$1,),))</f>
        <v/>
      </c>
      <c r="D11910">
        <f>IFERROR(Table7[[#This Row],[United States 10y]]-Table7[[#This Row],[United States 3y]],#N/A)</f>
        <v/>
      </c>
    </row>
    <row r="11911">
      <c r="A11911" s="6">
        <f>Database!$A13996</f>
        <v/>
      </c>
      <c r="B11911">
        <f>IF(VLOOKUP(Table7[[#This Row],[Date]],Database!$A:$C,MATCH($B$1,Database!$A$1:$C$1,),)=0,#N/A,VLOOKUP(Table7[[#This Row],[Date]],Database!$A:$C,MATCH($B$1,Database!$A$1:$C$1,),))</f>
        <v/>
      </c>
      <c r="C11911">
        <f>IF(VLOOKUP(Table7[[#This Row],[Date]],Database!$A:$C,MATCH($C$1,Database!$A$1:$C$1,),)=0,#N/A,VLOOKUP(Table7[[#This Row],[Date]],Database!$A:$C,MATCH($C$1,Database!$A$1:$C$1,),))</f>
        <v/>
      </c>
      <c r="D11911">
        <f>IFERROR(Table7[[#This Row],[United States 10y]]-Table7[[#This Row],[United States 3y]],#N/A)</f>
        <v/>
      </c>
    </row>
    <row r="11912">
      <c r="A11912" s="6">
        <f>Database!$A13997</f>
        <v/>
      </c>
      <c r="B11912">
        <f>IF(VLOOKUP(Table7[[#This Row],[Date]],Database!$A:$C,MATCH($B$1,Database!$A$1:$C$1,),)=0,#N/A,VLOOKUP(Table7[[#This Row],[Date]],Database!$A:$C,MATCH($B$1,Database!$A$1:$C$1,),))</f>
        <v/>
      </c>
      <c r="C11912">
        <f>IF(VLOOKUP(Table7[[#This Row],[Date]],Database!$A:$C,MATCH($C$1,Database!$A$1:$C$1,),)=0,#N/A,VLOOKUP(Table7[[#This Row],[Date]],Database!$A:$C,MATCH($C$1,Database!$A$1:$C$1,),))</f>
        <v/>
      </c>
      <c r="D11912">
        <f>IFERROR(Table7[[#This Row],[United States 10y]]-Table7[[#This Row],[United States 3y]],#N/A)</f>
        <v/>
      </c>
    </row>
    <row r="11913">
      <c r="A11913" s="6">
        <f>Database!$A13998</f>
        <v/>
      </c>
      <c r="B11913">
        <f>IF(VLOOKUP(Table7[[#This Row],[Date]],Database!$A:$C,MATCH($B$1,Database!$A$1:$C$1,),)=0,#N/A,VLOOKUP(Table7[[#This Row],[Date]],Database!$A:$C,MATCH($B$1,Database!$A$1:$C$1,),))</f>
        <v/>
      </c>
      <c r="C11913">
        <f>IF(VLOOKUP(Table7[[#This Row],[Date]],Database!$A:$C,MATCH($C$1,Database!$A$1:$C$1,),)=0,#N/A,VLOOKUP(Table7[[#This Row],[Date]],Database!$A:$C,MATCH($C$1,Database!$A$1:$C$1,),))</f>
        <v/>
      </c>
      <c r="D11913">
        <f>IFERROR(Table7[[#This Row],[United States 10y]]-Table7[[#This Row],[United States 3y]],#N/A)</f>
        <v/>
      </c>
    </row>
    <row r="11914">
      <c r="A11914" s="6">
        <f>Database!$A13999</f>
        <v/>
      </c>
      <c r="B11914">
        <f>IF(VLOOKUP(Table7[[#This Row],[Date]],Database!$A:$C,MATCH($B$1,Database!$A$1:$C$1,),)=0,#N/A,VLOOKUP(Table7[[#This Row],[Date]],Database!$A:$C,MATCH($B$1,Database!$A$1:$C$1,),))</f>
        <v/>
      </c>
      <c r="C11914">
        <f>IF(VLOOKUP(Table7[[#This Row],[Date]],Database!$A:$C,MATCH($C$1,Database!$A$1:$C$1,),)=0,#N/A,VLOOKUP(Table7[[#This Row],[Date]],Database!$A:$C,MATCH($C$1,Database!$A$1:$C$1,),))</f>
        <v/>
      </c>
      <c r="D11914">
        <f>IFERROR(Table7[[#This Row],[United States 10y]]-Table7[[#This Row],[United States 3y]],#N/A)</f>
        <v/>
      </c>
    </row>
    <row r="11915">
      <c r="A11915" s="6">
        <f>Database!$A14000</f>
        <v/>
      </c>
      <c r="B11915">
        <f>IF(VLOOKUP(Table7[[#This Row],[Date]],Database!$A:$C,MATCH($B$1,Database!$A$1:$C$1,),)=0,#N/A,VLOOKUP(Table7[[#This Row],[Date]],Database!$A:$C,MATCH($B$1,Database!$A$1:$C$1,),))</f>
        <v/>
      </c>
      <c r="C11915">
        <f>IF(VLOOKUP(Table7[[#This Row],[Date]],Database!$A:$C,MATCH($C$1,Database!$A$1:$C$1,),)=0,#N/A,VLOOKUP(Table7[[#This Row],[Date]],Database!$A:$C,MATCH($C$1,Database!$A$1:$C$1,),))</f>
        <v/>
      </c>
      <c r="D11915">
        <f>IFERROR(Table7[[#This Row],[United States 10y]]-Table7[[#This Row],[United States 3y]],#N/A)</f>
        <v/>
      </c>
    </row>
    <row r="11916">
      <c r="A11916" s="6">
        <f>Database!$A14001</f>
        <v/>
      </c>
      <c r="B11916">
        <f>IF(VLOOKUP(Table7[[#This Row],[Date]],Database!$A:$C,MATCH($B$1,Database!$A$1:$C$1,),)=0,#N/A,VLOOKUP(Table7[[#This Row],[Date]],Database!$A:$C,MATCH($B$1,Database!$A$1:$C$1,),))</f>
        <v/>
      </c>
      <c r="C11916">
        <f>IF(VLOOKUP(Table7[[#This Row],[Date]],Database!$A:$C,MATCH($C$1,Database!$A$1:$C$1,),)=0,#N/A,VLOOKUP(Table7[[#This Row],[Date]],Database!$A:$C,MATCH($C$1,Database!$A$1:$C$1,),))</f>
        <v/>
      </c>
      <c r="D11916">
        <f>IFERROR(Table7[[#This Row],[United States 10y]]-Table7[[#This Row],[United States 3y]],#N/A)</f>
        <v/>
      </c>
    </row>
    <row r="11917">
      <c r="A11917" s="6">
        <f>Database!$A14002</f>
        <v/>
      </c>
      <c r="B11917">
        <f>IF(VLOOKUP(Table7[[#This Row],[Date]],Database!$A:$C,MATCH($B$1,Database!$A$1:$C$1,),)=0,#N/A,VLOOKUP(Table7[[#This Row],[Date]],Database!$A:$C,MATCH($B$1,Database!$A$1:$C$1,),))</f>
        <v/>
      </c>
      <c r="C11917">
        <f>IF(VLOOKUP(Table7[[#This Row],[Date]],Database!$A:$C,MATCH($C$1,Database!$A$1:$C$1,),)=0,#N/A,VLOOKUP(Table7[[#This Row],[Date]],Database!$A:$C,MATCH($C$1,Database!$A$1:$C$1,),))</f>
        <v/>
      </c>
      <c r="D11917">
        <f>IFERROR(Table7[[#This Row],[United States 10y]]-Table7[[#This Row],[United States 3y]],#N/A)</f>
        <v/>
      </c>
    </row>
    <row r="11918">
      <c r="A11918" s="6">
        <f>Database!$A14003</f>
        <v/>
      </c>
      <c r="B11918">
        <f>IF(VLOOKUP(Table7[[#This Row],[Date]],Database!$A:$C,MATCH($B$1,Database!$A$1:$C$1,),)=0,#N/A,VLOOKUP(Table7[[#This Row],[Date]],Database!$A:$C,MATCH($B$1,Database!$A$1:$C$1,),))</f>
        <v/>
      </c>
      <c r="C11918">
        <f>IF(VLOOKUP(Table7[[#This Row],[Date]],Database!$A:$C,MATCH($C$1,Database!$A$1:$C$1,),)=0,#N/A,VLOOKUP(Table7[[#This Row],[Date]],Database!$A:$C,MATCH($C$1,Database!$A$1:$C$1,),))</f>
        <v/>
      </c>
      <c r="D11918">
        <f>IFERROR(Table7[[#This Row],[United States 10y]]-Table7[[#This Row],[United States 3y]],#N/A)</f>
        <v/>
      </c>
    </row>
    <row r="11919">
      <c r="A11919" s="6">
        <f>Database!$A14004</f>
        <v/>
      </c>
      <c r="B11919">
        <f>IF(VLOOKUP(Table7[[#This Row],[Date]],Database!$A:$C,MATCH($B$1,Database!$A$1:$C$1,),)=0,#N/A,VLOOKUP(Table7[[#This Row],[Date]],Database!$A:$C,MATCH($B$1,Database!$A$1:$C$1,),))</f>
        <v/>
      </c>
      <c r="C11919">
        <f>IF(VLOOKUP(Table7[[#This Row],[Date]],Database!$A:$C,MATCH($C$1,Database!$A$1:$C$1,),)=0,#N/A,VLOOKUP(Table7[[#This Row],[Date]],Database!$A:$C,MATCH($C$1,Database!$A$1:$C$1,),))</f>
        <v/>
      </c>
      <c r="D11919">
        <f>IFERROR(Table7[[#This Row],[United States 10y]]-Table7[[#This Row],[United States 3y]],#N/A)</f>
        <v/>
      </c>
    </row>
    <row r="11920">
      <c r="A11920" s="6">
        <f>Database!$A14005</f>
        <v/>
      </c>
      <c r="B11920">
        <f>IF(VLOOKUP(Table7[[#This Row],[Date]],Database!$A:$C,MATCH($B$1,Database!$A$1:$C$1,),)=0,#N/A,VLOOKUP(Table7[[#This Row],[Date]],Database!$A:$C,MATCH($B$1,Database!$A$1:$C$1,),))</f>
        <v/>
      </c>
      <c r="C11920">
        <f>IF(VLOOKUP(Table7[[#This Row],[Date]],Database!$A:$C,MATCH($C$1,Database!$A$1:$C$1,),)=0,#N/A,VLOOKUP(Table7[[#This Row],[Date]],Database!$A:$C,MATCH($C$1,Database!$A$1:$C$1,),))</f>
        <v/>
      </c>
      <c r="D11920">
        <f>IFERROR(Table7[[#This Row],[United States 10y]]-Table7[[#This Row],[United States 3y]],#N/A)</f>
        <v/>
      </c>
    </row>
    <row r="11921">
      <c r="A11921" s="6">
        <f>Database!$A14006</f>
        <v/>
      </c>
      <c r="B11921">
        <f>IF(VLOOKUP(Table7[[#This Row],[Date]],Database!$A:$C,MATCH($B$1,Database!$A$1:$C$1,),)=0,#N/A,VLOOKUP(Table7[[#This Row],[Date]],Database!$A:$C,MATCH($B$1,Database!$A$1:$C$1,),))</f>
        <v/>
      </c>
      <c r="C11921">
        <f>IF(VLOOKUP(Table7[[#This Row],[Date]],Database!$A:$C,MATCH($C$1,Database!$A$1:$C$1,),)=0,#N/A,VLOOKUP(Table7[[#This Row],[Date]],Database!$A:$C,MATCH($C$1,Database!$A$1:$C$1,),))</f>
        <v/>
      </c>
      <c r="D11921">
        <f>IFERROR(Table7[[#This Row],[United States 10y]]-Table7[[#This Row],[United States 3y]],#N/A)</f>
        <v/>
      </c>
    </row>
    <row r="11922">
      <c r="A11922" s="6">
        <f>Database!$A14007</f>
        <v/>
      </c>
      <c r="B11922">
        <f>IF(VLOOKUP(Table7[[#This Row],[Date]],Database!$A:$C,MATCH($B$1,Database!$A$1:$C$1,),)=0,#N/A,VLOOKUP(Table7[[#This Row],[Date]],Database!$A:$C,MATCH($B$1,Database!$A$1:$C$1,),))</f>
        <v/>
      </c>
      <c r="C11922">
        <f>IF(VLOOKUP(Table7[[#This Row],[Date]],Database!$A:$C,MATCH($C$1,Database!$A$1:$C$1,),)=0,#N/A,VLOOKUP(Table7[[#This Row],[Date]],Database!$A:$C,MATCH($C$1,Database!$A$1:$C$1,),))</f>
        <v/>
      </c>
      <c r="D11922">
        <f>IFERROR(Table7[[#This Row],[United States 10y]]-Table7[[#This Row],[United States 3y]],#N/A)</f>
        <v/>
      </c>
    </row>
    <row r="11923">
      <c r="A11923" s="6">
        <f>Database!$A14008</f>
        <v/>
      </c>
      <c r="B11923">
        <f>IF(VLOOKUP(Table7[[#This Row],[Date]],Database!$A:$C,MATCH($B$1,Database!$A$1:$C$1,),)=0,#N/A,VLOOKUP(Table7[[#This Row],[Date]],Database!$A:$C,MATCH($B$1,Database!$A$1:$C$1,),))</f>
        <v/>
      </c>
      <c r="C11923">
        <f>IF(VLOOKUP(Table7[[#This Row],[Date]],Database!$A:$C,MATCH($C$1,Database!$A$1:$C$1,),)=0,#N/A,VLOOKUP(Table7[[#This Row],[Date]],Database!$A:$C,MATCH($C$1,Database!$A$1:$C$1,),))</f>
        <v/>
      </c>
      <c r="D11923">
        <f>IFERROR(Table7[[#This Row],[United States 10y]]-Table7[[#This Row],[United States 3y]],#N/A)</f>
        <v/>
      </c>
    </row>
    <row r="11924">
      <c r="A11924" s="6">
        <f>Database!$A14009</f>
        <v/>
      </c>
      <c r="B11924">
        <f>IF(VLOOKUP(Table7[[#This Row],[Date]],Database!$A:$C,MATCH($B$1,Database!$A$1:$C$1,),)=0,#N/A,VLOOKUP(Table7[[#This Row],[Date]],Database!$A:$C,MATCH($B$1,Database!$A$1:$C$1,),))</f>
        <v/>
      </c>
      <c r="C11924">
        <f>IF(VLOOKUP(Table7[[#This Row],[Date]],Database!$A:$C,MATCH($C$1,Database!$A$1:$C$1,),)=0,#N/A,VLOOKUP(Table7[[#This Row],[Date]],Database!$A:$C,MATCH($C$1,Database!$A$1:$C$1,),))</f>
        <v/>
      </c>
      <c r="D11924">
        <f>IFERROR(Table7[[#This Row],[United States 10y]]-Table7[[#This Row],[United States 3y]],#N/A)</f>
        <v/>
      </c>
    </row>
    <row r="11925">
      <c r="A11925" s="6">
        <f>Database!$A14010</f>
        <v/>
      </c>
      <c r="B11925">
        <f>IF(VLOOKUP(Table7[[#This Row],[Date]],Database!$A:$C,MATCH($B$1,Database!$A$1:$C$1,),)=0,#N/A,VLOOKUP(Table7[[#This Row],[Date]],Database!$A:$C,MATCH($B$1,Database!$A$1:$C$1,),))</f>
        <v/>
      </c>
      <c r="C11925">
        <f>IF(VLOOKUP(Table7[[#This Row],[Date]],Database!$A:$C,MATCH($C$1,Database!$A$1:$C$1,),)=0,#N/A,VLOOKUP(Table7[[#This Row],[Date]],Database!$A:$C,MATCH($C$1,Database!$A$1:$C$1,),))</f>
        <v/>
      </c>
      <c r="D11925">
        <f>IFERROR(Table7[[#This Row],[United States 10y]]-Table7[[#This Row],[United States 3y]],#N/A)</f>
        <v/>
      </c>
    </row>
    <row r="11926">
      <c r="A11926" s="6">
        <f>Database!$A14011</f>
        <v/>
      </c>
      <c r="B11926">
        <f>IF(VLOOKUP(Table7[[#This Row],[Date]],Database!$A:$C,MATCH($B$1,Database!$A$1:$C$1,),)=0,#N/A,VLOOKUP(Table7[[#This Row],[Date]],Database!$A:$C,MATCH($B$1,Database!$A$1:$C$1,),))</f>
        <v/>
      </c>
      <c r="C11926">
        <f>IF(VLOOKUP(Table7[[#This Row],[Date]],Database!$A:$C,MATCH($C$1,Database!$A$1:$C$1,),)=0,#N/A,VLOOKUP(Table7[[#This Row],[Date]],Database!$A:$C,MATCH($C$1,Database!$A$1:$C$1,),))</f>
        <v/>
      </c>
      <c r="D11926">
        <f>IFERROR(Table7[[#This Row],[United States 10y]]-Table7[[#This Row],[United States 3y]],#N/A)</f>
        <v/>
      </c>
    </row>
    <row r="11927">
      <c r="A11927" s="6">
        <f>Database!$A14012</f>
        <v/>
      </c>
      <c r="B11927">
        <f>IF(VLOOKUP(Table7[[#This Row],[Date]],Database!$A:$C,MATCH($B$1,Database!$A$1:$C$1,),)=0,#N/A,VLOOKUP(Table7[[#This Row],[Date]],Database!$A:$C,MATCH($B$1,Database!$A$1:$C$1,),))</f>
        <v/>
      </c>
      <c r="C11927">
        <f>IF(VLOOKUP(Table7[[#This Row],[Date]],Database!$A:$C,MATCH($C$1,Database!$A$1:$C$1,),)=0,#N/A,VLOOKUP(Table7[[#This Row],[Date]],Database!$A:$C,MATCH($C$1,Database!$A$1:$C$1,),))</f>
        <v/>
      </c>
      <c r="D11927">
        <f>IFERROR(Table7[[#This Row],[United States 10y]]-Table7[[#This Row],[United States 3y]],#N/A)</f>
        <v/>
      </c>
    </row>
    <row r="11928">
      <c r="A11928" s="6">
        <f>Database!$A14013</f>
        <v/>
      </c>
      <c r="B11928">
        <f>IF(VLOOKUP(Table7[[#This Row],[Date]],Database!$A:$C,MATCH($B$1,Database!$A$1:$C$1,),)=0,#N/A,VLOOKUP(Table7[[#This Row],[Date]],Database!$A:$C,MATCH($B$1,Database!$A$1:$C$1,),))</f>
        <v/>
      </c>
      <c r="C11928">
        <f>IF(VLOOKUP(Table7[[#This Row],[Date]],Database!$A:$C,MATCH($C$1,Database!$A$1:$C$1,),)=0,#N/A,VLOOKUP(Table7[[#This Row],[Date]],Database!$A:$C,MATCH($C$1,Database!$A$1:$C$1,),))</f>
        <v/>
      </c>
      <c r="D11928">
        <f>IFERROR(Table7[[#This Row],[United States 10y]]-Table7[[#This Row],[United States 3y]],#N/A)</f>
        <v/>
      </c>
    </row>
    <row r="11929">
      <c r="A11929" s="6">
        <f>Database!$A14014</f>
        <v/>
      </c>
      <c r="B11929">
        <f>IF(VLOOKUP(Table7[[#This Row],[Date]],Database!$A:$C,MATCH($B$1,Database!$A$1:$C$1,),)=0,#N/A,VLOOKUP(Table7[[#This Row],[Date]],Database!$A:$C,MATCH($B$1,Database!$A$1:$C$1,),))</f>
        <v/>
      </c>
      <c r="C11929">
        <f>IF(VLOOKUP(Table7[[#This Row],[Date]],Database!$A:$C,MATCH($C$1,Database!$A$1:$C$1,),)=0,#N/A,VLOOKUP(Table7[[#This Row],[Date]],Database!$A:$C,MATCH($C$1,Database!$A$1:$C$1,),))</f>
        <v/>
      </c>
      <c r="D11929">
        <f>IFERROR(Table7[[#This Row],[United States 10y]]-Table7[[#This Row],[United States 3y]],#N/A)</f>
        <v/>
      </c>
    </row>
    <row r="11930">
      <c r="A11930" s="6">
        <f>Database!$A14015</f>
        <v/>
      </c>
      <c r="B11930">
        <f>IF(VLOOKUP(Table7[[#This Row],[Date]],Database!$A:$C,MATCH($B$1,Database!$A$1:$C$1,),)=0,#N/A,VLOOKUP(Table7[[#This Row],[Date]],Database!$A:$C,MATCH($B$1,Database!$A$1:$C$1,),))</f>
        <v/>
      </c>
      <c r="C11930">
        <f>IF(VLOOKUP(Table7[[#This Row],[Date]],Database!$A:$C,MATCH($C$1,Database!$A$1:$C$1,),)=0,#N/A,VLOOKUP(Table7[[#This Row],[Date]],Database!$A:$C,MATCH($C$1,Database!$A$1:$C$1,),))</f>
        <v/>
      </c>
      <c r="D11930">
        <f>IFERROR(Table7[[#This Row],[United States 10y]]-Table7[[#This Row],[United States 3y]],#N/A)</f>
        <v/>
      </c>
    </row>
    <row r="11931">
      <c r="A11931" s="6">
        <f>Database!$A14016</f>
        <v/>
      </c>
      <c r="B11931">
        <f>IF(VLOOKUP(Table7[[#This Row],[Date]],Database!$A:$C,MATCH($B$1,Database!$A$1:$C$1,),)=0,#N/A,VLOOKUP(Table7[[#This Row],[Date]],Database!$A:$C,MATCH($B$1,Database!$A$1:$C$1,),))</f>
        <v/>
      </c>
      <c r="C11931">
        <f>IF(VLOOKUP(Table7[[#This Row],[Date]],Database!$A:$C,MATCH($C$1,Database!$A$1:$C$1,),)=0,#N/A,VLOOKUP(Table7[[#This Row],[Date]],Database!$A:$C,MATCH($C$1,Database!$A$1:$C$1,),))</f>
        <v/>
      </c>
      <c r="D11931">
        <f>IFERROR(Table7[[#This Row],[United States 10y]]-Table7[[#This Row],[United States 3y]],#N/A)</f>
        <v/>
      </c>
    </row>
    <row r="11932">
      <c r="A11932" s="6">
        <f>Database!$A14017</f>
        <v/>
      </c>
      <c r="B11932">
        <f>IF(VLOOKUP(Table7[[#This Row],[Date]],Database!$A:$C,MATCH($B$1,Database!$A$1:$C$1,),)=0,#N/A,VLOOKUP(Table7[[#This Row],[Date]],Database!$A:$C,MATCH($B$1,Database!$A$1:$C$1,),))</f>
        <v/>
      </c>
      <c r="C11932">
        <f>IF(VLOOKUP(Table7[[#This Row],[Date]],Database!$A:$C,MATCH($C$1,Database!$A$1:$C$1,),)=0,#N/A,VLOOKUP(Table7[[#This Row],[Date]],Database!$A:$C,MATCH($C$1,Database!$A$1:$C$1,),))</f>
        <v/>
      </c>
      <c r="D11932">
        <f>IFERROR(Table7[[#This Row],[United States 10y]]-Table7[[#This Row],[United States 3y]],#N/A)</f>
        <v/>
      </c>
    </row>
    <row r="11933">
      <c r="A11933" s="6">
        <f>Database!$A14018</f>
        <v/>
      </c>
      <c r="B11933">
        <f>IF(VLOOKUP(Table7[[#This Row],[Date]],Database!$A:$C,MATCH($B$1,Database!$A$1:$C$1,),)=0,#N/A,VLOOKUP(Table7[[#This Row],[Date]],Database!$A:$C,MATCH($B$1,Database!$A$1:$C$1,),))</f>
        <v/>
      </c>
      <c r="C11933">
        <f>IF(VLOOKUP(Table7[[#This Row],[Date]],Database!$A:$C,MATCH($C$1,Database!$A$1:$C$1,),)=0,#N/A,VLOOKUP(Table7[[#This Row],[Date]],Database!$A:$C,MATCH($C$1,Database!$A$1:$C$1,),))</f>
        <v/>
      </c>
      <c r="D11933">
        <f>IFERROR(Table7[[#This Row],[United States 10y]]-Table7[[#This Row],[United States 3y]],#N/A)</f>
        <v/>
      </c>
    </row>
    <row r="11934">
      <c r="A11934" s="6">
        <f>Database!$A14019</f>
        <v/>
      </c>
      <c r="B11934">
        <f>IF(VLOOKUP(Table7[[#This Row],[Date]],Database!$A:$C,MATCH($B$1,Database!$A$1:$C$1,),)=0,#N/A,VLOOKUP(Table7[[#This Row],[Date]],Database!$A:$C,MATCH($B$1,Database!$A$1:$C$1,),))</f>
        <v/>
      </c>
      <c r="C11934">
        <f>IF(VLOOKUP(Table7[[#This Row],[Date]],Database!$A:$C,MATCH($C$1,Database!$A$1:$C$1,),)=0,#N/A,VLOOKUP(Table7[[#This Row],[Date]],Database!$A:$C,MATCH($C$1,Database!$A$1:$C$1,),))</f>
        <v/>
      </c>
      <c r="D11934">
        <f>IFERROR(Table7[[#This Row],[United States 10y]]-Table7[[#This Row],[United States 3y]],#N/A)</f>
        <v/>
      </c>
    </row>
    <row r="11935">
      <c r="A11935" s="6">
        <f>Database!$A14020</f>
        <v/>
      </c>
      <c r="B11935">
        <f>IF(VLOOKUP(Table7[[#This Row],[Date]],Database!$A:$C,MATCH($B$1,Database!$A$1:$C$1,),)=0,#N/A,VLOOKUP(Table7[[#This Row],[Date]],Database!$A:$C,MATCH($B$1,Database!$A$1:$C$1,),))</f>
        <v/>
      </c>
      <c r="C11935">
        <f>IF(VLOOKUP(Table7[[#This Row],[Date]],Database!$A:$C,MATCH($C$1,Database!$A$1:$C$1,),)=0,#N/A,VLOOKUP(Table7[[#This Row],[Date]],Database!$A:$C,MATCH($C$1,Database!$A$1:$C$1,),))</f>
        <v/>
      </c>
      <c r="D11935">
        <f>IFERROR(Table7[[#This Row],[United States 10y]]-Table7[[#This Row],[United States 3y]],#N/A)</f>
        <v/>
      </c>
    </row>
    <row r="11936">
      <c r="A11936" s="6">
        <f>Database!$A14021</f>
        <v/>
      </c>
      <c r="B11936">
        <f>IF(VLOOKUP(Table7[[#This Row],[Date]],Database!$A:$C,MATCH($B$1,Database!$A$1:$C$1,),)=0,#N/A,VLOOKUP(Table7[[#This Row],[Date]],Database!$A:$C,MATCH($B$1,Database!$A$1:$C$1,),))</f>
        <v/>
      </c>
      <c r="C11936">
        <f>IF(VLOOKUP(Table7[[#This Row],[Date]],Database!$A:$C,MATCH($C$1,Database!$A$1:$C$1,),)=0,#N/A,VLOOKUP(Table7[[#This Row],[Date]],Database!$A:$C,MATCH($C$1,Database!$A$1:$C$1,),))</f>
        <v/>
      </c>
      <c r="D11936">
        <f>IFERROR(Table7[[#This Row],[United States 10y]]-Table7[[#This Row],[United States 3y]],#N/A)</f>
        <v/>
      </c>
    </row>
    <row r="11937">
      <c r="A11937" s="6">
        <f>Database!$A14022</f>
        <v/>
      </c>
      <c r="B11937">
        <f>IF(VLOOKUP(Table7[[#This Row],[Date]],Database!$A:$C,MATCH($B$1,Database!$A$1:$C$1,),)=0,#N/A,VLOOKUP(Table7[[#This Row],[Date]],Database!$A:$C,MATCH($B$1,Database!$A$1:$C$1,),))</f>
        <v/>
      </c>
      <c r="C11937">
        <f>IF(VLOOKUP(Table7[[#This Row],[Date]],Database!$A:$C,MATCH($C$1,Database!$A$1:$C$1,),)=0,#N/A,VLOOKUP(Table7[[#This Row],[Date]],Database!$A:$C,MATCH($C$1,Database!$A$1:$C$1,),))</f>
        <v/>
      </c>
      <c r="D11937">
        <f>IFERROR(Table7[[#This Row],[United States 10y]]-Table7[[#This Row],[United States 3y]],#N/A)</f>
        <v/>
      </c>
    </row>
    <row r="11938">
      <c r="A11938" s="6">
        <f>Database!$A14023</f>
        <v/>
      </c>
      <c r="B11938">
        <f>IF(VLOOKUP(Table7[[#This Row],[Date]],Database!$A:$C,MATCH($B$1,Database!$A$1:$C$1,),)=0,#N/A,VLOOKUP(Table7[[#This Row],[Date]],Database!$A:$C,MATCH($B$1,Database!$A$1:$C$1,),))</f>
        <v/>
      </c>
      <c r="C11938">
        <f>IF(VLOOKUP(Table7[[#This Row],[Date]],Database!$A:$C,MATCH($C$1,Database!$A$1:$C$1,),)=0,#N/A,VLOOKUP(Table7[[#This Row],[Date]],Database!$A:$C,MATCH($C$1,Database!$A$1:$C$1,),))</f>
        <v/>
      </c>
      <c r="D11938">
        <f>IFERROR(Table7[[#This Row],[United States 10y]]-Table7[[#This Row],[United States 3y]],#N/A)</f>
        <v/>
      </c>
    </row>
    <row r="11939">
      <c r="A11939" s="6">
        <f>Database!$A14024</f>
        <v/>
      </c>
      <c r="B11939">
        <f>IF(VLOOKUP(Table7[[#This Row],[Date]],Database!$A:$C,MATCH($B$1,Database!$A$1:$C$1,),)=0,#N/A,VLOOKUP(Table7[[#This Row],[Date]],Database!$A:$C,MATCH($B$1,Database!$A$1:$C$1,),))</f>
        <v/>
      </c>
      <c r="C11939">
        <f>IF(VLOOKUP(Table7[[#This Row],[Date]],Database!$A:$C,MATCH($C$1,Database!$A$1:$C$1,),)=0,#N/A,VLOOKUP(Table7[[#This Row],[Date]],Database!$A:$C,MATCH($C$1,Database!$A$1:$C$1,),))</f>
        <v/>
      </c>
      <c r="D11939">
        <f>IFERROR(Table7[[#This Row],[United States 10y]]-Table7[[#This Row],[United States 3y]],#N/A)</f>
        <v/>
      </c>
    </row>
    <row r="11940">
      <c r="A11940" s="6">
        <f>Database!$A14025</f>
        <v/>
      </c>
      <c r="B11940">
        <f>IF(VLOOKUP(Table7[[#This Row],[Date]],Database!$A:$C,MATCH($B$1,Database!$A$1:$C$1,),)=0,#N/A,VLOOKUP(Table7[[#This Row],[Date]],Database!$A:$C,MATCH($B$1,Database!$A$1:$C$1,),))</f>
        <v/>
      </c>
      <c r="C11940">
        <f>IF(VLOOKUP(Table7[[#This Row],[Date]],Database!$A:$C,MATCH($C$1,Database!$A$1:$C$1,),)=0,#N/A,VLOOKUP(Table7[[#This Row],[Date]],Database!$A:$C,MATCH($C$1,Database!$A$1:$C$1,),))</f>
        <v/>
      </c>
      <c r="D11940">
        <f>IFERROR(Table7[[#This Row],[United States 10y]]-Table7[[#This Row],[United States 3y]],#N/A)</f>
        <v/>
      </c>
    </row>
    <row r="11941">
      <c r="A11941" s="6">
        <f>Database!$A14026</f>
        <v/>
      </c>
      <c r="B11941">
        <f>IF(VLOOKUP(Table7[[#This Row],[Date]],Database!$A:$C,MATCH($B$1,Database!$A$1:$C$1,),)=0,#N/A,VLOOKUP(Table7[[#This Row],[Date]],Database!$A:$C,MATCH($B$1,Database!$A$1:$C$1,),))</f>
        <v/>
      </c>
      <c r="C11941">
        <f>IF(VLOOKUP(Table7[[#This Row],[Date]],Database!$A:$C,MATCH($C$1,Database!$A$1:$C$1,),)=0,#N/A,VLOOKUP(Table7[[#This Row],[Date]],Database!$A:$C,MATCH($C$1,Database!$A$1:$C$1,),))</f>
        <v/>
      </c>
      <c r="D11941">
        <f>IFERROR(Table7[[#This Row],[United States 10y]]-Table7[[#This Row],[United States 3y]],#N/A)</f>
        <v/>
      </c>
    </row>
    <row r="11942">
      <c r="A11942" s="6">
        <f>Database!$A14027</f>
        <v/>
      </c>
      <c r="B11942">
        <f>IF(VLOOKUP(Table7[[#This Row],[Date]],Database!$A:$C,MATCH($B$1,Database!$A$1:$C$1,),)=0,#N/A,VLOOKUP(Table7[[#This Row],[Date]],Database!$A:$C,MATCH($B$1,Database!$A$1:$C$1,),))</f>
        <v/>
      </c>
      <c r="C11942">
        <f>IF(VLOOKUP(Table7[[#This Row],[Date]],Database!$A:$C,MATCH($C$1,Database!$A$1:$C$1,),)=0,#N/A,VLOOKUP(Table7[[#This Row],[Date]],Database!$A:$C,MATCH($C$1,Database!$A$1:$C$1,),))</f>
        <v/>
      </c>
      <c r="D11942">
        <f>IFERROR(Table7[[#This Row],[United States 10y]]-Table7[[#This Row],[United States 3y]],#N/A)</f>
        <v/>
      </c>
    </row>
    <row r="11943">
      <c r="A11943" s="6">
        <f>Database!$A14028</f>
        <v/>
      </c>
      <c r="B11943">
        <f>IF(VLOOKUP(Table7[[#This Row],[Date]],Database!$A:$C,MATCH($B$1,Database!$A$1:$C$1,),)=0,#N/A,VLOOKUP(Table7[[#This Row],[Date]],Database!$A:$C,MATCH($B$1,Database!$A$1:$C$1,),))</f>
        <v/>
      </c>
      <c r="C11943">
        <f>IF(VLOOKUP(Table7[[#This Row],[Date]],Database!$A:$C,MATCH($C$1,Database!$A$1:$C$1,),)=0,#N/A,VLOOKUP(Table7[[#This Row],[Date]],Database!$A:$C,MATCH($C$1,Database!$A$1:$C$1,),))</f>
        <v/>
      </c>
      <c r="D11943">
        <f>IFERROR(Table7[[#This Row],[United States 10y]]-Table7[[#This Row],[United States 3y]],#N/A)</f>
        <v/>
      </c>
    </row>
    <row r="11944">
      <c r="A11944" s="6">
        <f>Database!$A14029</f>
        <v/>
      </c>
      <c r="B11944">
        <f>IF(VLOOKUP(Table7[[#This Row],[Date]],Database!$A:$C,MATCH($B$1,Database!$A$1:$C$1,),)=0,#N/A,VLOOKUP(Table7[[#This Row],[Date]],Database!$A:$C,MATCH($B$1,Database!$A$1:$C$1,),))</f>
        <v/>
      </c>
      <c r="C11944">
        <f>IF(VLOOKUP(Table7[[#This Row],[Date]],Database!$A:$C,MATCH($C$1,Database!$A$1:$C$1,),)=0,#N/A,VLOOKUP(Table7[[#This Row],[Date]],Database!$A:$C,MATCH($C$1,Database!$A$1:$C$1,),))</f>
        <v/>
      </c>
      <c r="D11944">
        <f>IFERROR(Table7[[#This Row],[United States 10y]]-Table7[[#This Row],[United States 3y]],#N/A)</f>
        <v/>
      </c>
    </row>
    <row r="11945">
      <c r="A11945" s="6">
        <f>Database!$A14030</f>
        <v/>
      </c>
      <c r="B11945">
        <f>IF(VLOOKUP(Table7[[#This Row],[Date]],Database!$A:$C,MATCH($B$1,Database!$A$1:$C$1,),)=0,#N/A,VLOOKUP(Table7[[#This Row],[Date]],Database!$A:$C,MATCH($B$1,Database!$A$1:$C$1,),))</f>
        <v/>
      </c>
      <c r="C11945">
        <f>IF(VLOOKUP(Table7[[#This Row],[Date]],Database!$A:$C,MATCH($C$1,Database!$A$1:$C$1,),)=0,#N/A,VLOOKUP(Table7[[#This Row],[Date]],Database!$A:$C,MATCH($C$1,Database!$A$1:$C$1,),))</f>
        <v/>
      </c>
      <c r="D11945">
        <f>IFERROR(Table7[[#This Row],[United States 10y]]-Table7[[#This Row],[United States 3y]],#N/A)</f>
        <v/>
      </c>
    </row>
    <row r="11946">
      <c r="A11946" s="6">
        <f>Database!$A14031</f>
        <v/>
      </c>
      <c r="B11946">
        <f>IF(VLOOKUP(Table7[[#This Row],[Date]],Database!$A:$C,MATCH($B$1,Database!$A$1:$C$1,),)=0,#N/A,VLOOKUP(Table7[[#This Row],[Date]],Database!$A:$C,MATCH($B$1,Database!$A$1:$C$1,),))</f>
        <v/>
      </c>
      <c r="C11946">
        <f>IF(VLOOKUP(Table7[[#This Row],[Date]],Database!$A:$C,MATCH($C$1,Database!$A$1:$C$1,),)=0,#N/A,VLOOKUP(Table7[[#This Row],[Date]],Database!$A:$C,MATCH($C$1,Database!$A$1:$C$1,),))</f>
        <v/>
      </c>
      <c r="D11946">
        <f>IFERROR(Table7[[#This Row],[United States 10y]]-Table7[[#This Row],[United States 3y]],#N/A)</f>
        <v/>
      </c>
    </row>
    <row r="11947">
      <c r="A11947" s="6">
        <f>Database!$A14032</f>
        <v/>
      </c>
      <c r="B11947">
        <f>IF(VLOOKUP(Table7[[#This Row],[Date]],Database!$A:$C,MATCH($B$1,Database!$A$1:$C$1,),)=0,#N/A,VLOOKUP(Table7[[#This Row],[Date]],Database!$A:$C,MATCH($B$1,Database!$A$1:$C$1,),))</f>
        <v/>
      </c>
      <c r="C11947">
        <f>IF(VLOOKUP(Table7[[#This Row],[Date]],Database!$A:$C,MATCH($C$1,Database!$A$1:$C$1,),)=0,#N/A,VLOOKUP(Table7[[#This Row],[Date]],Database!$A:$C,MATCH($C$1,Database!$A$1:$C$1,),))</f>
        <v/>
      </c>
      <c r="D11947">
        <f>IFERROR(Table7[[#This Row],[United States 10y]]-Table7[[#This Row],[United States 3y]],#N/A)</f>
        <v/>
      </c>
    </row>
    <row r="11948">
      <c r="A11948" s="6">
        <f>Database!$A14033</f>
        <v/>
      </c>
      <c r="B11948">
        <f>IF(VLOOKUP(Table7[[#This Row],[Date]],Database!$A:$C,MATCH($B$1,Database!$A$1:$C$1,),)=0,#N/A,VLOOKUP(Table7[[#This Row],[Date]],Database!$A:$C,MATCH($B$1,Database!$A$1:$C$1,),))</f>
        <v/>
      </c>
      <c r="C11948">
        <f>IF(VLOOKUP(Table7[[#This Row],[Date]],Database!$A:$C,MATCH($C$1,Database!$A$1:$C$1,),)=0,#N/A,VLOOKUP(Table7[[#This Row],[Date]],Database!$A:$C,MATCH($C$1,Database!$A$1:$C$1,),))</f>
        <v/>
      </c>
      <c r="D11948">
        <f>IFERROR(Table7[[#This Row],[United States 10y]]-Table7[[#This Row],[United States 3y]],#N/A)</f>
        <v/>
      </c>
    </row>
    <row r="11949">
      <c r="A11949" s="6">
        <f>Database!$A14034</f>
        <v/>
      </c>
      <c r="B11949">
        <f>IF(VLOOKUP(Table7[[#This Row],[Date]],Database!$A:$C,MATCH($B$1,Database!$A$1:$C$1,),)=0,#N/A,VLOOKUP(Table7[[#This Row],[Date]],Database!$A:$C,MATCH($B$1,Database!$A$1:$C$1,),))</f>
        <v/>
      </c>
      <c r="C11949">
        <f>IF(VLOOKUP(Table7[[#This Row],[Date]],Database!$A:$C,MATCH($C$1,Database!$A$1:$C$1,),)=0,#N/A,VLOOKUP(Table7[[#This Row],[Date]],Database!$A:$C,MATCH($C$1,Database!$A$1:$C$1,),))</f>
        <v/>
      </c>
      <c r="D11949">
        <f>IFERROR(Table7[[#This Row],[United States 10y]]-Table7[[#This Row],[United States 3y]],#N/A)</f>
        <v/>
      </c>
    </row>
    <row r="11950">
      <c r="A11950" s="6">
        <f>Database!$A14035</f>
        <v/>
      </c>
      <c r="B11950">
        <f>IF(VLOOKUP(Table7[[#This Row],[Date]],Database!$A:$C,MATCH($B$1,Database!$A$1:$C$1,),)=0,#N/A,VLOOKUP(Table7[[#This Row],[Date]],Database!$A:$C,MATCH($B$1,Database!$A$1:$C$1,),))</f>
        <v/>
      </c>
      <c r="C11950">
        <f>IF(VLOOKUP(Table7[[#This Row],[Date]],Database!$A:$C,MATCH($C$1,Database!$A$1:$C$1,),)=0,#N/A,VLOOKUP(Table7[[#This Row],[Date]],Database!$A:$C,MATCH($C$1,Database!$A$1:$C$1,),))</f>
        <v/>
      </c>
      <c r="D11950">
        <f>IFERROR(Table7[[#This Row],[United States 10y]]-Table7[[#This Row],[United States 3y]],#N/A)</f>
        <v/>
      </c>
    </row>
    <row r="11951">
      <c r="A11951" s="6">
        <f>Database!$A14036</f>
        <v/>
      </c>
      <c r="B11951">
        <f>IF(VLOOKUP(Table7[[#This Row],[Date]],Database!$A:$C,MATCH($B$1,Database!$A$1:$C$1,),)=0,#N/A,VLOOKUP(Table7[[#This Row],[Date]],Database!$A:$C,MATCH($B$1,Database!$A$1:$C$1,),))</f>
        <v/>
      </c>
      <c r="C11951">
        <f>IF(VLOOKUP(Table7[[#This Row],[Date]],Database!$A:$C,MATCH($C$1,Database!$A$1:$C$1,),)=0,#N/A,VLOOKUP(Table7[[#This Row],[Date]],Database!$A:$C,MATCH($C$1,Database!$A$1:$C$1,),))</f>
        <v/>
      </c>
      <c r="D11951">
        <f>IFERROR(Table7[[#This Row],[United States 10y]]-Table7[[#This Row],[United States 3y]],#N/A)</f>
        <v/>
      </c>
    </row>
    <row r="11952">
      <c r="A11952" s="6">
        <f>Database!$A14037</f>
        <v/>
      </c>
      <c r="B11952">
        <f>IF(VLOOKUP(Table7[[#This Row],[Date]],Database!$A:$C,MATCH($B$1,Database!$A$1:$C$1,),)=0,#N/A,VLOOKUP(Table7[[#This Row],[Date]],Database!$A:$C,MATCH($B$1,Database!$A$1:$C$1,),))</f>
        <v/>
      </c>
      <c r="C11952">
        <f>IF(VLOOKUP(Table7[[#This Row],[Date]],Database!$A:$C,MATCH($C$1,Database!$A$1:$C$1,),)=0,#N/A,VLOOKUP(Table7[[#This Row],[Date]],Database!$A:$C,MATCH($C$1,Database!$A$1:$C$1,),))</f>
        <v/>
      </c>
      <c r="D11952">
        <f>IFERROR(Table7[[#This Row],[United States 10y]]-Table7[[#This Row],[United States 3y]],#N/A)</f>
        <v/>
      </c>
    </row>
    <row r="11953">
      <c r="A11953" s="6">
        <f>Database!$A14038</f>
        <v/>
      </c>
      <c r="B11953">
        <f>IF(VLOOKUP(Table7[[#This Row],[Date]],Database!$A:$C,MATCH($B$1,Database!$A$1:$C$1,),)=0,#N/A,VLOOKUP(Table7[[#This Row],[Date]],Database!$A:$C,MATCH($B$1,Database!$A$1:$C$1,),))</f>
        <v/>
      </c>
      <c r="C11953">
        <f>IF(VLOOKUP(Table7[[#This Row],[Date]],Database!$A:$C,MATCH($C$1,Database!$A$1:$C$1,),)=0,#N/A,VLOOKUP(Table7[[#This Row],[Date]],Database!$A:$C,MATCH($C$1,Database!$A$1:$C$1,),))</f>
        <v/>
      </c>
      <c r="D11953">
        <f>IFERROR(Table7[[#This Row],[United States 10y]]-Table7[[#This Row],[United States 3y]],#N/A)</f>
        <v/>
      </c>
    </row>
    <row r="11954">
      <c r="A11954" s="6">
        <f>Database!$A14039</f>
        <v/>
      </c>
      <c r="B11954">
        <f>IF(VLOOKUP(Table7[[#This Row],[Date]],Database!$A:$C,MATCH($B$1,Database!$A$1:$C$1,),)=0,#N/A,VLOOKUP(Table7[[#This Row],[Date]],Database!$A:$C,MATCH($B$1,Database!$A$1:$C$1,),))</f>
        <v/>
      </c>
      <c r="C11954">
        <f>IF(VLOOKUP(Table7[[#This Row],[Date]],Database!$A:$C,MATCH($C$1,Database!$A$1:$C$1,),)=0,#N/A,VLOOKUP(Table7[[#This Row],[Date]],Database!$A:$C,MATCH($C$1,Database!$A$1:$C$1,),))</f>
        <v/>
      </c>
      <c r="D11954">
        <f>IFERROR(Table7[[#This Row],[United States 10y]]-Table7[[#This Row],[United States 3y]],#N/A)</f>
        <v/>
      </c>
    </row>
    <row r="11955">
      <c r="A11955" s="6">
        <f>Database!$A14040</f>
        <v/>
      </c>
      <c r="B11955">
        <f>IF(VLOOKUP(Table7[[#This Row],[Date]],Database!$A:$C,MATCH($B$1,Database!$A$1:$C$1,),)=0,#N/A,VLOOKUP(Table7[[#This Row],[Date]],Database!$A:$C,MATCH($B$1,Database!$A$1:$C$1,),))</f>
        <v/>
      </c>
      <c r="C11955">
        <f>IF(VLOOKUP(Table7[[#This Row],[Date]],Database!$A:$C,MATCH($C$1,Database!$A$1:$C$1,),)=0,#N/A,VLOOKUP(Table7[[#This Row],[Date]],Database!$A:$C,MATCH($C$1,Database!$A$1:$C$1,),))</f>
        <v/>
      </c>
      <c r="D11955">
        <f>IFERROR(Table7[[#This Row],[United States 10y]]-Table7[[#This Row],[United States 3y]],#N/A)</f>
        <v/>
      </c>
    </row>
    <row r="11956">
      <c r="A11956" s="6">
        <f>Database!$A14041</f>
        <v/>
      </c>
      <c r="B11956">
        <f>IF(VLOOKUP(Table7[[#This Row],[Date]],Database!$A:$C,MATCH($B$1,Database!$A$1:$C$1,),)=0,#N/A,VLOOKUP(Table7[[#This Row],[Date]],Database!$A:$C,MATCH($B$1,Database!$A$1:$C$1,),))</f>
        <v/>
      </c>
      <c r="C11956">
        <f>IF(VLOOKUP(Table7[[#This Row],[Date]],Database!$A:$C,MATCH($C$1,Database!$A$1:$C$1,),)=0,#N/A,VLOOKUP(Table7[[#This Row],[Date]],Database!$A:$C,MATCH($C$1,Database!$A$1:$C$1,),))</f>
        <v/>
      </c>
      <c r="D11956">
        <f>IFERROR(Table7[[#This Row],[United States 10y]]-Table7[[#This Row],[United States 3y]],#N/A)</f>
        <v/>
      </c>
    </row>
    <row r="11957">
      <c r="A11957" s="6">
        <f>Database!$A14042</f>
        <v/>
      </c>
      <c r="B11957">
        <f>IF(VLOOKUP(Table7[[#This Row],[Date]],Database!$A:$C,MATCH($B$1,Database!$A$1:$C$1,),)=0,#N/A,VLOOKUP(Table7[[#This Row],[Date]],Database!$A:$C,MATCH($B$1,Database!$A$1:$C$1,),))</f>
        <v/>
      </c>
      <c r="C11957">
        <f>IF(VLOOKUP(Table7[[#This Row],[Date]],Database!$A:$C,MATCH($C$1,Database!$A$1:$C$1,),)=0,#N/A,VLOOKUP(Table7[[#This Row],[Date]],Database!$A:$C,MATCH($C$1,Database!$A$1:$C$1,),))</f>
        <v/>
      </c>
      <c r="D11957">
        <f>IFERROR(Table7[[#This Row],[United States 10y]]-Table7[[#This Row],[United States 3y]],#N/A)</f>
        <v/>
      </c>
    </row>
    <row r="11958">
      <c r="A11958" s="6">
        <f>Database!$A14043</f>
        <v/>
      </c>
      <c r="B11958">
        <f>IF(VLOOKUP(Table7[[#This Row],[Date]],Database!$A:$C,MATCH($B$1,Database!$A$1:$C$1,),)=0,#N/A,VLOOKUP(Table7[[#This Row],[Date]],Database!$A:$C,MATCH($B$1,Database!$A$1:$C$1,),))</f>
        <v/>
      </c>
      <c r="C11958">
        <f>IF(VLOOKUP(Table7[[#This Row],[Date]],Database!$A:$C,MATCH($C$1,Database!$A$1:$C$1,),)=0,#N/A,VLOOKUP(Table7[[#This Row],[Date]],Database!$A:$C,MATCH($C$1,Database!$A$1:$C$1,),))</f>
        <v/>
      </c>
      <c r="D11958">
        <f>IFERROR(Table7[[#This Row],[United States 10y]]-Table7[[#This Row],[United States 3y]],#N/A)</f>
        <v/>
      </c>
    </row>
    <row r="11959">
      <c r="A11959" s="6">
        <f>Database!$A14044</f>
        <v/>
      </c>
      <c r="B11959">
        <f>IF(VLOOKUP(Table7[[#This Row],[Date]],Database!$A:$C,MATCH($B$1,Database!$A$1:$C$1,),)=0,#N/A,VLOOKUP(Table7[[#This Row],[Date]],Database!$A:$C,MATCH($B$1,Database!$A$1:$C$1,),))</f>
        <v/>
      </c>
      <c r="C11959">
        <f>IF(VLOOKUP(Table7[[#This Row],[Date]],Database!$A:$C,MATCH($C$1,Database!$A$1:$C$1,),)=0,#N/A,VLOOKUP(Table7[[#This Row],[Date]],Database!$A:$C,MATCH($C$1,Database!$A$1:$C$1,),))</f>
        <v/>
      </c>
      <c r="D11959">
        <f>IFERROR(Table7[[#This Row],[United States 10y]]-Table7[[#This Row],[United States 3y]],#N/A)</f>
        <v/>
      </c>
    </row>
    <row r="11960">
      <c r="A11960" s="6">
        <f>Database!$A14045</f>
        <v/>
      </c>
      <c r="B11960">
        <f>IF(VLOOKUP(Table7[[#This Row],[Date]],Database!$A:$C,MATCH($B$1,Database!$A$1:$C$1,),)=0,#N/A,VLOOKUP(Table7[[#This Row],[Date]],Database!$A:$C,MATCH($B$1,Database!$A$1:$C$1,),))</f>
        <v/>
      </c>
      <c r="C11960">
        <f>IF(VLOOKUP(Table7[[#This Row],[Date]],Database!$A:$C,MATCH($C$1,Database!$A$1:$C$1,),)=0,#N/A,VLOOKUP(Table7[[#This Row],[Date]],Database!$A:$C,MATCH($C$1,Database!$A$1:$C$1,),))</f>
        <v/>
      </c>
      <c r="D11960">
        <f>IFERROR(Table7[[#This Row],[United States 10y]]-Table7[[#This Row],[United States 3y]],#N/A)</f>
        <v/>
      </c>
    </row>
    <row r="11961">
      <c r="A11961" s="6">
        <f>Database!$A14046</f>
        <v/>
      </c>
      <c r="B11961">
        <f>IF(VLOOKUP(Table7[[#This Row],[Date]],Database!$A:$C,MATCH($B$1,Database!$A$1:$C$1,),)=0,#N/A,VLOOKUP(Table7[[#This Row],[Date]],Database!$A:$C,MATCH($B$1,Database!$A$1:$C$1,),))</f>
        <v/>
      </c>
      <c r="C11961">
        <f>IF(VLOOKUP(Table7[[#This Row],[Date]],Database!$A:$C,MATCH($C$1,Database!$A$1:$C$1,),)=0,#N/A,VLOOKUP(Table7[[#This Row],[Date]],Database!$A:$C,MATCH($C$1,Database!$A$1:$C$1,),))</f>
        <v/>
      </c>
      <c r="D11961">
        <f>IFERROR(Table7[[#This Row],[United States 10y]]-Table7[[#This Row],[United States 3y]],#N/A)</f>
        <v/>
      </c>
    </row>
    <row r="11962">
      <c r="A11962" s="6">
        <f>Database!$A14047</f>
        <v/>
      </c>
      <c r="B11962">
        <f>IF(VLOOKUP(Table7[[#This Row],[Date]],Database!$A:$C,MATCH($B$1,Database!$A$1:$C$1,),)=0,#N/A,VLOOKUP(Table7[[#This Row],[Date]],Database!$A:$C,MATCH($B$1,Database!$A$1:$C$1,),))</f>
        <v/>
      </c>
      <c r="C11962">
        <f>IF(VLOOKUP(Table7[[#This Row],[Date]],Database!$A:$C,MATCH($C$1,Database!$A$1:$C$1,),)=0,#N/A,VLOOKUP(Table7[[#This Row],[Date]],Database!$A:$C,MATCH($C$1,Database!$A$1:$C$1,),))</f>
        <v/>
      </c>
      <c r="D11962">
        <f>IFERROR(Table7[[#This Row],[United States 10y]]-Table7[[#This Row],[United States 3y]],#N/A)</f>
        <v/>
      </c>
    </row>
    <row r="11963">
      <c r="A11963" s="6">
        <f>Database!$A14048</f>
        <v/>
      </c>
      <c r="B11963">
        <f>IF(VLOOKUP(Table7[[#This Row],[Date]],Database!$A:$C,MATCH($B$1,Database!$A$1:$C$1,),)=0,#N/A,VLOOKUP(Table7[[#This Row],[Date]],Database!$A:$C,MATCH($B$1,Database!$A$1:$C$1,),))</f>
        <v/>
      </c>
      <c r="C11963">
        <f>IF(VLOOKUP(Table7[[#This Row],[Date]],Database!$A:$C,MATCH($C$1,Database!$A$1:$C$1,),)=0,#N/A,VLOOKUP(Table7[[#This Row],[Date]],Database!$A:$C,MATCH($C$1,Database!$A$1:$C$1,),))</f>
        <v/>
      </c>
      <c r="D11963">
        <f>IFERROR(Table7[[#This Row],[United States 10y]]-Table7[[#This Row],[United States 3y]],#N/A)</f>
        <v/>
      </c>
    </row>
    <row r="11964">
      <c r="A11964" s="6">
        <f>Database!$A14049</f>
        <v/>
      </c>
      <c r="B11964">
        <f>IF(VLOOKUP(Table7[[#This Row],[Date]],Database!$A:$C,MATCH($B$1,Database!$A$1:$C$1,),)=0,#N/A,VLOOKUP(Table7[[#This Row],[Date]],Database!$A:$C,MATCH($B$1,Database!$A$1:$C$1,),))</f>
        <v/>
      </c>
      <c r="C11964">
        <f>IF(VLOOKUP(Table7[[#This Row],[Date]],Database!$A:$C,MATCH($C$1,Database!$A$1:$C$1,),)=0,#N/A,VLOOKUP(Table7[[#This Row],[Date]],Database!$A:$C,MATCH($C$1,Database!$A$1:$C$1,),))</f>
        <v/>
      </c>
      <c r="D11964">
        <f>IFERROR(Table7[[#This Row],[United States 10y]]-Table7[[#This Row],[United States 3y]],#N/A)</f>
        <v/>
      </c>
    </row>
    <row r="11965">
      <c r="A11965" s="6">
        <f>Database!$A14050</f>
        <v/>
      </c>
      <c r="B11965">
        <f>IF(VLOOKUP(Table7[[#This Row],[Date]],Database!$A:$C,MATCH($B$1,Database!$A$1:$C$1,),)=0,#N/A,VLOOKUP(Table7[[#This Row],[Date]],Database!$A:$C,MATCH($B$1,Database!$A$1:$C$1,),))</f>
        <v/>
      </c>
      <c r="C11965">
        <f>IF(VLOOKUP(Table7[[#This Row],[Date]],Database!$A:$C,MATCH($C$1,Database!$A$1:$C$1,),)=0,#N/A,VLOOKUP(Table7[[#This Row],[Date]],Database!$A:$C,MATCH($C$1,Database!$A$1:$C$1,),))</f>
        <v/>
      </c>
      <c r="D11965">
        <f>IFERROR(Table7[[#This Row],[United States 10y]]-Table7[[#This Row],[United States 3y]],#N/A)</f>
        <v/>
      </c>
    </row>
    <row r="11966">
      <c r="A11966" s="6">
        <f>Database!$A14051</f>
        <v/>
      </c>
      <c r="B11966">
        <f>IF(VLOOKUP(Table7[[#This Row],[Date]],Database!$A:$C,MATCH($B$1,Database!$A$1:$C$1,),)=0,#N/A,VLOOKUP(Table7[[#This Row],[Date]],Database!$A:$C,MATCH($B$1,Database!$A$1:$C$1,),))</f>
        <v/>
      </c>
      <c r="C11966">
        <f>IF(VLOOKUP(Table7[[#This Row],[Date]],Database!$A:$C,MATCH($C$1,Database!$A$1:$C$1,),)=0,#N/A,VLOOKUP(Table7[[#This Row],[Date]],Database!$A:$C,MATCH($C$1,Database!$A$1:$C$1,),))</f>
        <v/>
      </c>
      <c r="D11966">
        <f>IFERROR(Table7[[#This Row],[United States 10y]]-Table7[[#This Row],[United States 3y]],#N/A)</f>
        <v/>
      </c>
    </row>
    <row r="11967">
      <c r="A11967" s="6">
        <f>Database!$A14052</f>
        <v/>
      </c>
      <c r="B11967">
        <f>IF(VLOOKUP(Table7[[#This Row],[Date]],Database!$A:$C,MATCH($B$1,Database!$A$1:$C$1,),)=0,#N/A,VLOOKUP(Table7[[#This Row],[Date]],Database!$A:$C,MATCH($B$1,Database!$A$1:$C$1,),))</f>
        <v/>
      </c>
      <c r="C11967">
        <f>IF(VLOOKUP(Table7[[#This Row],[Date]],Database!$A:$C,MATCH($C$1,Database!$A$1:$C$1,),)=0,#N/A,VLOOKUP(Table7[[#This Row],[Date]],Database!$A:$C,MATCH($C$1,Database!$A$1:$C$1,),))</f>
        <v/>
      </c>
      <c r="D11967">
        <f>IFERROR(Table7[[#This Row],[United States 10y]]-Table7[[#This Row],[United States 3y]],#N/A)</f>
        <v/>
      </c>
    </row>
    <row r="11968">
      <c r="A11968" s="6">
        <f>Database!$A14053</f>
        <v/>
      </c>
      <c r="B11968">
        <f>IF(VLOOKUP(Table7[[#This Row],[Date]],Database!$A:$C,MATCH($B$1,Database!$A$1:$C$1,),)=0,#N/A,VLOOKUP(Table7[[#This Row],[Date]],Database!$A:$C,MATCH($B$1,Database!$A$1:$C$1,),))</f>
        <v/>
      </c>
      <c r="C11968">
        <f>IF(VLOOKUP(Table7[[#This Row],[Date]],Database!$A:$C,MATCH($C$1,Database!$A$1:$C$1,),)=0,#N/A,VLOOKUP(Table7[[#This Row],[Date]],Database!$A:$C,MATCH($C$1,Database!$A$1:$C$1,),))</f>
        <v/>
      </c>
      <c r="D11968">
        <f>IFERROR(Table7[[#This Row],[United States 10y]]-Table7[[#This Row],[United States 3y]],#N/A)</f>
        <v/>
      </c>
    </row>
    <row r="11969">
      <c r="A11969" s="6">
        <f>Database!$A14054</f>
        <v/>
      </c>
      <c r="B11969">
        <f>IF(VLOOKUP(Table7[[#This Row],[Date]],Database!$A:$C,MATCH($B$1,Database!$A$1:$C$1,),)=0,#N/A,VLOOKUP(Table7[[#This Row],[Date]],Database!$A:$C,MATCH($B$1,Database!$A$1:$C$1,),))</f>
        <v/>
      </c>
      <c r="C11969">
        <f>IF(VLOOKUP(Table7[[#This Row],[Date]],Database!$A:$C,MATCH($C$1,Database!$A$1:$C$1,),)=0,#N/A,VLOOKUP(Table7[[#This Row],[Date]],Database!$A:$C,MATCH($C$1,Database!$A$1:$C$1,),))</f>
        <v/>
      </c>
      <c r="D11969">
        <f>IFERROR(Table7[[#This Row],[United States 10y]]-Table7[[#This Row],[United States 3y]],#N/A)</f>
        <v/>
      </c>
    </row>
    <row r="11970">
      <c r="A11970" s="6">
        <f>Database!$A14055</f>
        <v/>
      </c>
      <c r="B11970">
        <f>IF(VLOOKUP(Table7[[#This Row],[Date]],Database!$A:$C,MATCH($B$1,Database!$A$1:$C$1,),)=0,#N/A,VLOOKUP(Table7[[#This Row],[Date]],Database!$A:$C,MATCH($B$1,Database!$A$1:$C$1,),))</f>
        <v/>
      </c>
      <c r="C11970">
        <f>IF(VLOOKUP(Table7[[#This Row],[Date]],Database!$A:$C,MATCH($C$1,Database!$A$1:$C$1,),)=0,#N/A,VLOOKUP(Table7[[#This Row],[Date]],Database!$A:$C,MATCH($C$1,Database!$A$1:$C$1,),))</f>
        <v/>
      </c>
      <c r="D11970">
        <f>IFERROR(Table7[[#This Row],[United States 10y]]-Table7[[#This Row],[United States 3y]],#N/A)</f>
        <v/>
      </c>
    </row>
    <row r="11971">
      <c r="A11971" s="6">
        <f>Database!$A14056</f>
        <v/>
      </c>
      <c r="B11971">
        <f>IF(VLOOKUP(Table7[[#This Row],[Date]],Database!$A:$C,MATCH($B$1,Database!$A$1:$C$1,),)=0,#N/A,VLOOKUP(Table7[[#This Row],[Date]],Database!$A:$C,MATCH($B$1,Database!$A$1:$C$1,),))</f>
        <v/>
      </c>
      <c r="C11971">
        <f>IF(VLOOKUP(Table7[[#This Row],[Date]],Database!$A:$C,MATCH($C$1,Database!$A$1:$C$1,),)=0,#N/A,VLOOKUP(Table7[[#This Row],[Date]],Database!$A:$C,MATCH($C$1,Database!$A$1:$C$1,),))</f>
        <v/>
      </c>
      <c r="D11971">
        <f>IFERROR(Table7[[#This Row],[United States 10y]]-Table7[[#This Row],[United States 3y]],#N/A)</f>
        <v/>
      </c>
    </row>
    <row r="11972">
      <c r="A11972" s="6">
        <f>Database!$A14057</f>
        <v/>
      </c>
      <c r="B11972">
        <f>IF(VLOOKUP(Table7[[#This Row],[Date]],Database!$A:$C,MATCH($B$1,Database!$A$1:$C$1,),)=0,#N/A,VLOOKUP(Table7[[#This Row],[Date]],Database!$A:$C,MATCH($B$1,Database!$A$1:$C$1,),))</f>
        <v/>
      </c>
      <c r="C11972">
        <f>IF(VLOOKUP(Table7[[#This Row],[Date]],Database!$A:$C,MATCH($C$1,Database!$A$1:$C$1,),)=0,#N/A,VLOOKUP(Table7[[#This Row],[Date]],Database!$A:$C,MATCH($C$1,Database!$A$1:$C$1,),))</f>
        <v/>
      </c>
      <c r="D11972">
        <f>IFERROR(Table7[[#This Row],[United States 10y]]-Table7[[#This Row],[United States 3y]],#N/A)</f>
        <v/>
      </c>
    </row>
    <row r="11973">
      <c r="A11973" s="6">
        <f>Database!$A14058</f>
        <v/>
      </c>
      <c r="B11973">
        <f>IF(VLOOKUP(Table7[[#This Row],[Date]],Database!$A:$C,MATCH($B$1,Database!$A$1:$C$1,),)=0,#N/A,VLOOKUP(Table7[[#This Row],[Date]],Database!$A:$C,MATCH($B$1,Database!$A$1:$C$1,),))</f>
        <v/>
      </c>
      <c r="C11973">
        <f>IF(VLOOKUP(Table7[[#This Row],[Date]],Database!$A:$C,MATCH($C$1,Database!$A$1:$C$1,),)=0,#N/A,VLOOKUP(Table7[[#This Row],[Date]],Database!$A:$C,MATCH($C$1,Database!$A$1:$C$1,),))</f>
        <v/>
      </c>
      <c r="D11973">
        <f>IFERROR(Table7[[#This Row],[United States 10y]]-Table7[[#This Row],[United States 3y]],#N/A)</f>
        <v/>
      </c>
    </row>
    <row r="11974">
      <c r="A11974" s="6">
        <f>Database!$A14059</f>
        <v/>
      </c>
      <c r="B11974">
        <f>IF(VLOOKUP(Table7[[#This Row],[Date]],Database!$A:$C,MATCH($B$1,Database!$A$1:$C$1,),)=0,#N/A,VLOOKUP(Table7[[#This Row],[Date]],Database!$A:$C,MATCH($B$1,Database!$A$1:$C$1,),))</f>
        <v/>
      </c>
      <c r="C11974">
        <f>IF(VLOOKUP(Table7[[#This Row],[Date]],Database!$A:$C,MATCH($C$1,Database!$A$1:$C$1,),)=0,#N/A,VLOOKUP(Table7[[#This Row],[Date]],Database!$A:$C,MATCH($C$1,Database!$A$1:$C$1,),))</f>
        <v/>
      </c>
      <c r="D11974">
        <f>IFERROR(Table7[[#This Row],[United States 10y]]-Table7[[#This Row],[United States 3y]],#N/A)</f>
        <v/>
      </c>
    </row>
    <row r="11975">
      <c r="A11975" s="6">
        <f>Database!$A14060</f>
        <v/>
      </c>
      <c r="B11975">
        <f>IF(VLOOKUP(Table7[[#This Row],[Date]],Database!$A:$C,MATCH($B$1,Database!$A$1:$C$1,),)=0,#N/A,VLOOKUP(Table7[[#This Row],[Date]],Database!$A:$C,MATCH($B$1,Database!$A$1:$C$1,),))</f>
        <v/>
      </c>
      <c r="C11975">
        <f>IF(VLOOKUP(Table7[[#This Row],[Date]],Database!$A:$C,MATCH($C$1,Database!$A$1:$C$1,),)=0,#N/A,VLOOKUP(Table7[[#This Row],[Date]],Database!$A:$C,MATCH($C$1,Database!$A$1:$C$1,),))</f>
        <v/>
      </c>
      <c r="D11975">
        <f>IFERROR(Table7[[#This Row],[United States 10y]]-Table7[[#This Row],[United States 3y]],#N/A)</f>
        <v/>
      </c>
    </row>
    <row r="11976">
      <c r="A11976" s="6">
        <f>Database!$A14061</f>
        <v/>
      </c>
      <c r="B11976">
        <f>IF(VLOOKUP(Table7[[#This Row],[Date]],Database!$A:$C,MATCH($B$1,Database!$A$1:$C$1,),)=0,#N/A,VLOOKUP(Table7[[#This Row],[Date]],Database!$A:$C,MATCH($B$1,Database!$A$1:$C$1,),))</f>
        <v/>
      </c>
      <c r="C11976">
        <f>IF(VLOOKUP(Table7[[#This Row],[Date]],Database!$A:$C,MATCH($C$1,Database!$A$1:$C$1,),)=0,#N/A,VLOOKUP(Table7[[#This Row],[Date]],Database!$A:$C,MATCH($C$1,Database!$A$1:$C$1,),))</f>
        <v/>
      </c>
      <c r="D11976">
        <f>IFERROR(Table7[[#This Row],[United States 10y]]-Table7[[#This Row],[United States 3y]],#N/A)</f>
        <v/>
      </c>
    </row>
    <row r="11977">
      <c r="A11977" s="6">
        <f>Database!$A14062</f>
        <v/>
      </c>
      <c r="B11977">
        <f>IF(VLOOKUP(Table7[[#This Row],[Date]],Database!$A:$C,MATCH($B$1,Database!$A$1:$C$1,),)=0,#N/A,VLOOKUP(Table7[[#This Row],[Date]],Database!$A:$C,MATCH($B$1,Database!$A$1:$C$1,),))</f>
        <v/>
      </c>
      <c r="C11977">
        <f>IF(VLOOKUP(Table7[[#This Row],[Date]],Database!$A:$C,MATCH($C$1,Database!$A$1:$C$1,),)=0,#N/A,VLOOKUP(Table7[[#This Row],[Date]],Database!$A:$C,MATCH($C$1,Database!$A$1:$C$1,),))</f>
        <v/>
      </c>
      <c r="D11977">
        <f>IFERROR(Table7[[#This Row],[United States 10y]]-Table7[[#This Row],[United States 3y]],#N/A)</f>
        <v/>
      </c>
    </row>
    <row r="11978">
      <c r="A11978" s="6">
        <f>Database!$A14063</f>
        <v/>
      </c>
      <c r="B11978">
        <f>IF(VLOOKUP(Table7[[#This Row],[Date]],Database!$A:$C,MATCH($B$1,Database!$A$1:$C$1,),)=0,#N/A,VLOOKUP(Table7[[#This Row],[Date]],Database!$A:$C,MATCH($B$1,Database!$A$1:$C$1,),))</f>
        <v/>
      </c>
      <c r="C11978">
        <f>IF(VLOOKUP(Table7[[#This Row],[Date]],Database!$A:$C,MATCH($C$1,Database!$A$1:$C$1,),)=0,#N/A,VLOOKUP(Table7[[#This Row],[Date]],Database!$A:$C,MATCH($C$1,Database!$A$1:$C$1,),))</f>
        <v/>
      </c>
      <c r="D11978">
        <f>IFERROR(Table7[[#This Row],[United States 10y]]-Table7[[#This Row],[United States 3y]],#N/A)</f>
        <v/>
      </c>
    </row>
    <row r="11979">
      <c r="A11979" s="6">
        <f>Database!$A14064</f>
        <v/>
      </c>
      <c r="B11979">
        <f>IF(VLOOKUP(Table7[[#This Row],[Date]],Database!$A:$C,MATCH($B$1,Database!$A$1:$C$1,),)=0,#N/A,VLOOKUP(Table7[[#This Row],[Date]],Database!$A:$C,MATCH($B$1,Database!$A$1:$C$1,),))</f>
        <v/>
      </c>
      <c r="C11979">
        <f>IF(VLOOKUP(Table7[[#This Row],[Date]],Database!$A:$C,MATCH($C$1,Database!$A$1:$C$1,),)=0,#N/A,VLOOKUP(Table7[[#This Row],[Date]],Database!$A:$C,MATCH($C$1,Database!$A$1:$C$1,),))</f>
        <v/>
      </c>
      <c r="D11979">
        <f>IFERROR(Table7[[#This Row],[United States 10y]]-Table7[[#This Row],[United States 3y]],#N/A)</f>
        <v/>
      </c>
    </row>
    <row r="11980">
      <c r="A11980" s="6">
        <f>Database!$A14065</f>
        <v/>
      </c>
      <c r="B11980">
        <f>IF(VLOOKUP(Table7[[#This Row],[Date]],Database!$A:$C,MATCH($B$1,Database!$A$1:$C$1,),)=0,#N/A,VLOOKUP(Table7[[#This Row],[Date]],Database!$A:$C,MATCH($B$1,Database!$A$1:$C$1,),))</f>
        <v/>
      </c>
      <c r="C11980">
        <f>IF(VLOOKUP(Table7[[#This Row],[Date]],Database!$A:$C,MATCH($C$1,Database!$A$1:$C$1,),)=0,#N/A,VLOOKUP(Table7[[#This Row],[Date]],Database!$A:$C,MATCH($C$1,Database!$A$1:$C$1,),))</f>
        <v/>
      </c>
      <c r="D11980">
        <f>IFERROR(Table7[[#This Row],[United States 10y]]-Table7[[#This Row],[United States 3y]],#N/A)</f>
        <v/>
      </c>
    </row>
    <row r="11981">
      <c r="A11981" s="6">
        <f>Database!$A14066</f>
        <v/>
      </c>
      <c r="B11981">
        <f>IF(VLOOKUP(Table7[[#This Row],[Date]],Database!$A:$C,MATCH($B$1,Database!$A$1:$C$1,),)=0,#N/A,VLOOKUP(Table7[[#This Row],[Date]],Database!$A:$C,MATCH($B$1,Database!$A$1:$C$1,),))</f>
        <v/>
      </c>
      <c r="C11981">
        <f>IF(VLOOKUP(Table7[[#This Row],[Date]],Database!$A:$C,MATCH($C$1,Database!$A$1:$C$1,),)=0,#N/A,VLOOKUP(Table7[[#This Row],[Date]],Database!$A:$C,MATCH($C$1,Database!$A$1:$C$1,),))</f>
        <v/>
      </c>
      <c r="D11981">
        <f>IFERROR(Table7[[#This Row],[United States 10y]]-Table7[[#This Row],[United States 3y]],#N/A)</f>
        <v/>
      </c>
    </row>
    <row r="11982">
      <c r="A11982" s="6">
        <f>Database!$A14067</f>
        <v/>
      </c>
      <c r="B11982">
        <f>IF(VLOOKUP(Table7[[#This Row],[Date]],Database!$A:$C,MATCH($B$1,Database!$A$1:$C$1,),)=0,#N/A,VLOOKUP(Table7[[#This Row],[Date]],Database!$A:$C,MATCH($B$1,Database!$A$1:$C$1,),))</f>
        <v/>
      </c>
      <c r="C11982">
        <f>IF(VLOOKUP(Table7[[#This Row],[Date]],Database!$A:$C,MATCH($C$1,Database!$A$1:$C$1,),)=0,#N/A,VLOOKUP(Table7[[#This Row],[Date]],Database!$A:$C,MATCH($C$1,Database!$A$1:$C$1,),))</f>
        <v/>
      </c>
      <c r="D11982">
        <f>IFERROR(Table7[[#This Row],[United States 10y]]-Table7[[#This Row],[United States 3y]],#N/A)</f>
        <v/>
      </c>
    </row>
    <row r="11983">
      <c r="A11983" s="6">
        <f>Database!$A14068</f>
        <v/>
      </c>
      <c r="B11983">
        <f>IF(VLOOKUP(Table7[[#This Row],[Date]],Database!$A:$C,MATCH($B$1,Database!$A$1:$C$1,),)=0,#N/A,VLOOKUP(Table7[[#This Row],[Date]],Database!$A:$C,MATCH($B$1,Database!$A$1:$C$1,),))</f>
        <v/>
      </c>
      <c r="C11983">
        <f>IF(VLOOKUP(Table7[[#This Row],[Date]],Database!$A:$C,MATCH($C$1,Database!$A$1:$C$1,),)=0,#N/A,VLOOKUP(Table7[[#This Row],[Date]],Database!$A:$C,MATCH($C$1,Database!$A$1:$C$1,),))</f>
        <v/>
      </c>
      <c r="D11983">
        <f>IFERROR(Table7[[#This Row],[United States 10y]]-Table7[[#This Row],[United States 3y]],#N/A)</f>
        <v/>
      </c>
    </row>
    <row r="11984">
      <c r="A11984" s="6">
        <f>Database!$A14069</f>
        <v/>
      </c>
      <c r="B11984">
        <f>IF(VLOOKUP(Table7[[#This Row],[Date]],Database!$A:$C,MATCH($B$1,Database!$A$1:$C$1,),)=0,#N/A,VLOOKUP(Table7[[#This Row],[Date]],Database!$A:$C,MATCH($B$1,Database!$A$1:$C$1,),))</f>
        <v/>
      </c>
      <c r="C11984">
        <f>IF(VLOOKUP(Table7[[#This Row],[Date]],Database!$A:$C,MATCH($C$1,Database!$A$1:$C$1,),)=0,#N/A,VLOOKUP(Table7[[#This Row],[Date]],Database!$A:$C,MATCH($C$1,Database!$A$1:$C$1,),))</f>
        <v/>
      </c>
      <c r="D11984">
        <f>IFERROR(Table7[[#This Row],[United States 10y]]-Table7[[#This Row],[United States 3y]],#N/A)</f>
        <v/>
      </c>
    </row>
    <row r="11985">
      <c r="A11985" s="6">
        <f>Database!$A14070</f>
        <v/>
      </c>
      <c r="B11985">
        <f>IF(VLOOKUP(Table7[[#This Row],[Date]],Database!$A:$C,MATCH($B$1,Database!$A$1:$C$1,),)=0,#N/A,VLOOKUP(Table7[[#This Row],[Date]],Database!$A:$C,MATCH($B$1,Database!$A$1:$C$1,),))</f>
        <v/>
      </c>
      <c r="C11985">
        <f>IF(VLOOKUP(Table7[[#This Row],[Date]],Database!$A:$C,MATCH($C$1,Database!$A$1:$C$1,),)=0,#N/A,VLOOKUP(Table7[[#This Row],[Date]],Database!$A:$C,MATCH($C$1,Database!$A$1:$C$1,),))</f>
        <v/>
      </c>
      <c r="D11985">
        <f>IFERROR(Table7[[#This Row],[United States 10y]]-Table7[[#This Row],[United States 3y]],#N/A)</f>
        <v/>
      </c>
    </row>
    <row r="11986">
      <c r="A11986" s="6">
        <f>Database!$A14071</f>
        <v/>
      </c>
      <c r="B11986">
        <f>IF(VLOOKUP(Table7[[#This Row],[Date]],Database!$A:$C,MATCH($B$1,Database!$A$1:$C$1,),)=0,#N/A,VLOOKUP(Table7[[#This Row],[Date]],Database!$A:$C,MATCH($B$1,Database!$A$1:$C$1,),))</f>
        <v/>
      </c>
      <c r="C11986">
        <f>IF(VLOOKUP(Table7[[#This Row],[Date]],Database!$A:$C,MATCH($C$1,Database!$A$1:$C$1,),)=0,#N/A,VLOOKUP(Table7[[#This Row],[Date]],Database!$A:$C,MATCH($C$1,Database!$A$1:$C$1,),))</f>
        <v/>
      </c>
      <c r="D11986">
        <f>IFERROR(Table7[[#This Row],[United States 10y]]-Table7[[#This Row],[United States 3y]],#N/A)</f>
        <v/>
      </c>
    </row>
    <row r="11987">
      <c r="A11987" s="6">
        <f>Database!$A14072</f>
        <v/>
      </c>
      <c r="B11987">
        <f>IF(VLOOKUP(Table7[[#This Row],[Date]],Database!$A:$C,MATCH($B$1,Database!$A$1:$C$1,),)=0,#N/A,VLOOKUP(Table7[[#This Row],[Date]],Database!$A:$C,MATCH($B$1,Database!$A$1:$C$1,),))</f>
        <v/>
      </c>
      <c r="C11987">
        <f>IF(VLOOKUP(Table7[[#This Row],[Date]],Database!$A:$C,MATCH($C$1,Database!$A$1:$C$1,),)=0,#N/A,VLOOKUP(Table7[[#This Row],[Date]],Database!$A:$C,MATCH($C$1,Database!$A$1:$C$1,),))</f>
        <v/>
      </c>
      <c r="D11987">
        <f>IFERROR(Table7[[#This Row],[United States 10y]]-Table7[[#This Row],[United States 3y]],#N/A)</f>
        <v/>
      </c>
    </row>
    <row r="11988">
      <c r="A11988" s="6">
        <f>Database!$A14073</f>
        <v/>
      </c>
      <c r="B11988">
        <f>IF(VLOOKUP(Table7[[#This Row],[Date]],Database!$A:$C,MATCH($B$1,Database!$A$1:$C$1,),)=0,#N/A,VLOOKUP(Table7[[#This Row],[Date]],Database!$A:$C,MATCH($B$1,Database!$A$1:$C$1,),))</f>
        <v/>
      </c>
      <c r="C11988">
        <f>IF(VLOOKUP(Table7[[#This Row],[Date]],Database!$A:$C,MATCH($C$1,Database!$A$1:$C$1,),)=0,#N/A,VLOOKUP(Table7[[#This Row],[Date]],Database!$A:$C,MATCH($C$1,Database!$A$1:$C$1,),))</f>
        <v/>
      </c>
      <c r="D11988">
        <f>IFERROR(Table7[[#This Row],[United States 10y]]-Table7[[#This Row],[United States 3y]],#N/A)</f>
        <v/>
      </c>
    </row>
    <row r="11989">
      <c r="A11989" s="6">
        <f>Database!$A14074</f>
        <v/>
      </c>
      <c r="B11989">
        <f>IF(VLOOKUP(Table7[[#This Row],[Date]],Database!$A:$C,MATCH($B$1,Database!$A$1:$C$1,),)=0,#N/A,VLOOKUP(Table7[[#This Row],[Date]],Database!$A:$C,MATCH($B$1,Database!$A$1:$C$1,),))</f>
        <v/>
      </c>
      <c r="C11989">
        <f>IF(VLOOKUP(Table7[[#This Row],[Date]],Database!$A:$C,MATCH($C$1,Database!$A$1:$C$1,),)=0,#N/A,VLOOKUP(Table7[[#This Row],[Date]],Database!$A:$C,MATCH($C$1,Database!$A$1:$C$1,),))</f>
        <v/>
      </c>
      <c r="D11989">
        <f>IFERROR(Table7[[#This Row],[United States 10y]]-Table7[[#This Row],[United States 3y]],#N/A)</f>
        <v/>
      </c>
    </row>
    <row r="11990">
      <c r="A11990" s="6">
        <f>Database!$A14075</f>
        <v/>
      </c>
      <c r="B11990">
        <f>IF(VLOOKUP(Table7[[#This Row],[Date]],Database!$A:$C,MATCH($B$1,Database!$A$1:$C$1,),)=0,#N/A,VLOOKUP(Table7[[#This Row],[Date]],Database!$A:$C,MATCH($B$1,Database!$A$1:$C$1,),))</f>
        <v/>
      </c>
      <c r="C11990">
        <f>IF(VLOOKUP(Table7[[#This Row],[Date]],Database!$A:$C,MATCH($C$1,Database!$A$1:$C$1,),)=0,#N/A,VLOOKUP(Table7[[#This Row],[Date]],Database!$A:$C,MATCH($C$1,Database!$A$1:$C$1,),))</f>
        <v/>
      </c>
      <c r="D11990">
        <f>IFERROR(Table7[[#This Row],[United States 10y]]-Table7[[#This Row],[United States 3y]],#N/A)</f>
        <v/>
      </c>
    </row>
    <row r="11991">
      <c r="A11991" s="6">
        <f>Database!$A14076</f>
        <v/>
      </c>
      <c r="B11991">
        <f>IF(VLOOKUP(Table7[[#This Row],[Date]],Database!$A:$C,MATCH($B$1,Database!$A$1:$C$1,),)=0,#N/A,VLOOKUP(Table7[[#This Row],[Date]],Database!$A:$C,MATCH($B$1,Database!$A$1:$C$1,),))</f>
        <v/>
      </c>
      <c r="C11991">
        <f>IF(VLOOKUP(Table7[[#This Row],[Date]],Database!$A:$C,MATCH($C$1,Database!$A$1:$C$1,),)=0,#N/A,VLOOKUP(Table7[[#This Row],[Date]],Database!$A:$C,MATCH($C$1,Database!$A$1:$C$1,),))</f>
        <v/>
      </c>
      <c r="D11991">
        <f>IFERROR(Table7[[#This Row],[United States 10y]]-Table7[[#This Row],[United States 3y]],#N/A)</f>
        <v/>
      </c>
    </row>
    <row r="11992">
      <c r="A11992" s="6">
        <f>Database!$A14077</f>
        <v/>
      </c>
      <c r="B11992">
        <f>IF(VLOOKUP(Table7[[#This Row],[Date]],Database!$A:$C,MATCH($B$1,Database!$A$1:$C$1,),)=0,#N/A,VLOOKUP(Table7[[#This Row],[Date]],Database!$A:$C,MATCH($B$1,Database!$A$1:$C$1,),))</f>
        <v/>
      </c>
      <c r="C11992">
        <f>IF(VLOOKUP(Table7[[#This Row],[Date]],Database!$A:$C,MATCH($C$1,Database!$A$1:$C$1,),)=0,#N/A,VLOOKUP(Table7[[#This Row],[Date]],Database!$A:$C,MATCH($C$1,Database!$A$1:$C$1,),))</f>
        <v/>
      </c>
      <c r="D11992">
        <f>IFERROR(Table7[[#This Row],[United States 10y]]-Table7[[#This Row],[United States 3y]],#N/A)</f>
        <v/>
      </c>
    </row>
    <row r="11993">
      <c r="A11993" s="6">
        <f>Database!$A14078</f>
        <v/>
      </c>
      <c r="B11993">
        <f>IF(VLOOKUP(Table7[[#This Row],[Date]],Database!$A:$C,MATCH($B$1,Database!$A$1:$C$1,),)=0,#N/A,VLOOKUP(Table7[[#This Row],[Date]],Database!$A:$C,MATCH($B$1,Database!$A$1:$C$1,),))</f>
        <v/>
      </c>
      <c r="C11993">
        <f>IF(VLOOKUP(Table7[[#This Row],[Date]],Database!$A:$C,MATCH($C$1,Database!$A$1:$C$1,),)=0,#N/A,VLOOKUP(Table7[[#This Row],[Date]],Database!$A:$C,MATCH($C$1,Database!$A$1:$C$1,),))</f>
        <v/>
      </c>
      <c r="D11993">
        <f>IFERROR(Table7[[#This Row],[United States 10y]]-Table7[[#This Row],[United States 3y]],#N/A)</f>
        <v/>
      </c>
    </row>
    <row r="11994">
      <c r="A11994" s="6">
        <f>Database!$A14079</f>
        <v/>
      </c>
      <c r="B11994">
        <f>IF(VLOOKUP(Table7[[#This Row],[Date]],Database!$A:$C,MATCH($B$1,Database!$A$1:$C$1,),)=0,#N/A,VLOOKUP(Table7[[#This Row],[Date]],Database!$A:$C,MATCH($B$1,Database!$A$1:$C$1,),))</f>
        <v/>
      </c>
      <c r="C11994">
        <f>IF(VLOOKUP(Table7[[#This Row],[Date]],Database!$A:$C,MATCH($C$1,Database!$A$1:$C$1,),)=0,#N/A,VLOOKUP(Table7[[#This Row],[Date]],Database!$A:$C,MATCH($C$1,Database!$A$1:$C$1,),))</f>
        <v/>
      </c>
      <c r="D11994">
        <f>IFERROR(Table7[[#This Row],[United States 10y]]-Table7[[#This Row],[United States 3y]],#N/A)</f>
        <v/>
      </c>
    </row>
    <row r="11995">
      <c r="A11995" s="6">
        <f>Database!$A14080</f>
        <v/>
      </c>
      <c r="B11995">
        <f>IF(VLOOKUP(Table7[[#This Row],[Date]],Database!$A:$C,MATCH($B$1,Database!$A$1:$C$1,),)=0,#N/A,VLOOKUP(Table7[[#This Row],[Date]],Database!$A:$C,MATCH($B$1,Database!$A$1:$C$1,),))</f>
        <v/>
      </c>
      <c r="C11995">
        <f>IF(VLOOKUP(Table7[[#This Row],[Date]],Database!$A:$C,MATCH($C$1,Database!$A$1:$C$1,),)=0,#N/A,VLOOKUP(Table7[[#This Row],[Date]],Database!$A:$C,MATCH($C$1,Database!$A$1:$C$1,),))</f>
        <v/>
      </c>
      <c r="D11995">
        <f>IFERROR(Table7[[#This Row],[United States 10y]]-Table7[[#This Row],[United States 3y]],#N/A)</f>
        <v/>
      </c>
    </row>
    <row r="11996">
      <c r="A11996" s="6">
        <f>Database!$A14081</f>
        <v/>
      </c>
      <c r="B11996">
        <f>IF(VLOOKUP(Table7[[#This Row],[Date]],Database!$A:$C,MATCH($B$1,Database!$A$1:$C$1,),)=0,#N/A,VLOOKUP(Table7[[#This Row],[Date]],Database!$A:$C,MATCH($B$1,Database!$A$1:$C$1,),))</f>
        <v/>
      </c>
      <c r="C11996">
        <f>IF(VLOOKUP(Table7[[#This Row],[Date]],Database!$A:$C,MATCH($C$1,Database!$A$1:$C$1,),)=0,#N/A,VLOOKUP(Table7[[#This Row],[Date]],Database!$A:$C,MATCH($C$1,Database!$A$1:$C$1,),))</f>
        <v/>
      </c>
      <c r="D11996">
        <f>IFERROR(Table7[[#This Row],[United States 10y]]-Table7[[#This Row],[United States 3y]],#N/A)</f>
        <v/>
      </c>
    </row>
    <row r="11997">
      <c r="A11997" s="6">
        <f>Database!$A14082</f>
        <v/>
      </c>
      <c r="B11997">
        <f>IF(VLOOKUP(Table7[[#This Row],[Date]],Database!$A:$C,MATCH($B$1,Database!$A$1:$C$1,),)=0,#N/A,VLOOKUP(Table7[[#This Row],[Date]],Database!$A:$C,MATCH($B$1,Database!$A$1:$C$1,),))</f>
        <v/>
      </c>
      <c r="C11997">
        <f>IF(VLOOKUP(Table7[[#This Row],[Date]],Database!$A:$C,MATCH($C$1,Database!$A$1:$C$1,),)=0,#N/A,VLOOKUP(Table7[[#This Row],[Date]],Database!$A:$C,MATCH($C$1,Database!$A$1:$C$1,),))</f>
        <v/>
      </c>
      <c r="D11997">
        <f>IFERROR(Table7[[#This Row],[United States 10y]]-Table7[[#This Row],[United States 3y]],#N/A)</f>
        <v/>
      </c>
    </row>
    <row r="11998">
      <c r="A11998" s="6">
        <f>Database!$A14083</f>
        <v/>
      </c>
      <c r="B11998">
        <f>IF(VLOOKUP(Table7[[#This Row],[Date]],Database!$A:$C,MATCH($B$1,Database!$A$1:$C$1,),)=0,#N/A,VLOOKUP(Table7[[#This Row],[Date]],Database!$A:$C,MATCH($B$1,Database!$A$1:$C$1,),))</f>
        <v/>
      </c>
      <c r="C11998">
        <f>IF(VLOOKUP(Table7[[#This Row],[Date]],Database!$A:$C,MATCH($C$1,Database!$A$1:$C$1,),)=0,#N/A,VLOOKUP(Table7[[#This Row],[Date]],Database!$A:$C,MATCH($C$1,Database!$A$1:$C$1,),))</f>
        <v/>
      </c>
      <c r="D11998">
        <f>IFERROR(Table7[[#This Row],[United States 10y]]-Table7[[#This Row],[United States 3y]],#N/A)</f>
        <v/>
      </c>
    </row>
    <row r="11999">
      <c r="A11999" s="6">
        <f>Database!$A14084</f>
        <v/>
      </c>
      <c r="B11999">
        <f>IF(VLOOKUP(Table7[[#This Row],[Date]],Database!$A:$C,MATCH($B$1,Database!$A$1:$C$1,),)=0,#N/A,VLOOKUP(Table7[[#This Row],[Date]],Database!$A:$C,MATCH($B$1,Database!$A$1:$C$1,),))</f>
        <v/>
      </c>
      <c r="C11999">
        <f>IF(VLOOKUP(Table7[[#This Row],[Date]],Database!$A:$C,MATCH($C$1,Database!$A$1:$C$1,),)=0,#N/A,VLOOKUP(Table7[[#This Row],[Date]],Database!$A:$C,MATCH($C$1,Database!$A$1:$C$1,),))</f>
        <v/>
      </c>
      <c r="D11999">
        <f>IFERROR(Table7[[#This Row],[United States 10y]]-Table7[[#This Row],[United States 3y]],#N/A)</f>
        <v/>
      </c>
    </row>
    <row r="12000">
      <c r="A12000" s="6">
        <f>Database!$A14085</f>
        <v/>
      </c>
      <c r="B12000">
        <f>IF(VLOOKUP(Table7[[#This Row],[Date]],Database!$A:$C,MATCH($B$1,Database!$A$1:$C$1,),)=0,#N/A,VLOOKUP(Table7[[#This Row],[Date]],Database!$A:$C,MATCH($B$1,Database!$A$1:$C$1,),))</f>
        <v/>
      </c>
      <c r="C12000">
        <f>IF(VLOOKUP(Table7[[#This Row],[Date]],Database!$A:$C,MATCH($C$1,Database!$A$1:$C$1,),)=0,#N/A,VLOOKUP(Table7[[#This Row],[Date]],Database!$A:$C,MATCH($C$1,Database!$A$1:$C$1,),))</f>
        <v/>
      </c>
      <c r="D12000">
        <f>IFERROR(Table7[[#This Row],[United States 10y]]-Table7[[#This Row],[United States 3y]],#N/A)</f>
        <v/>
      </c>
    </row>
    <row r="12001">
      <c r="A12001" s="6">
        <f>Database!$A14086</f>
        <v/>
      </c>
      <c r="B12001">
        <f>IF(VLOOKUP(Table7[[#This Row],[Date]],Database!$A:$C,MATCH($B$1,Database!$A$1:$C$1,),)=0,#N/A,VLOOKUP(Table7[[#This Row],[Date]],Database!$A:$C,MATCH($B$1,Database!$A$1:$C$1,),))</f>
        <v/>
      </c>
      <c r="C12001">
        <f>IF(VLOOKUP(Table7[[#This Row],[Date]],Database!$A:$C,MATCH($C$1,Database!$A$1:$C$1,),)=0,#N/A,VLOOKUP(Table7[[#This Row],[Date]],Database!$A:$C,MATCH($C$1,Database!$A$1:$C$1,),))</f>
        <v/>
      </c>
      <c r="D12001">
        <f>IFERROR(Table7[[#This Row],[United States 10y]]-Table7[[#This Row],[United States 3y]],#N/A)</f>
        <v/>
      </c>
    </row>
    <row r="12002">
      <c r="A12002" s="6">
        <f>Database!$A14087</f>
        <v/>
      </c>
      <c r="B12002">
        <f>IF(VLOOKUP(Table7[[#This Row],[Date]],Database!$A:$C,MATCH($B$1,Database!$A$1:$C$1,),)=0,#N/A,VLOOKUP(Table7[[#This Row],[Date]],Database!$A:$C,MATCH($B$1,Database!$A$1:$C$1,),))</f>
        <v/>
      </c>
      <c r="C12002">
        <f>IF(VLOOKUP(Table7[[#This Row],[Date]],Database!$A:$C,MATCH($C$1,Database!$A$1:$C$1,),)=0,#N/A,VLOOKUP(Table7[[#This Row],[Date]],Database!$A:$C,MATCH($C$1,Database!$A$1:$C$1,),))</f>
        <v/>
      </c>
      <c r="D12002">
        <f>IFERROR(Table7[[#This Row],[United States 10y]]-Table7[[#This Row],[United States 3y]],#N/A)</f>
        <v/>
      </c>
    </row>
    <row r="12003">
      <c r="A12003" s="6">
        <f>Database!$A14088</f>
        <v/>
      </c>
      <c r="B12003">
        <f>IF(VLOOKUP(Table7[[#This Row],[Date]],Database!$A:$C,MATCH($B$1,Database!$A$1:$C$1,),)=0,#N/A,VLOOKUP(Table7[[#This Row],[Date]],Database!$A:$C,MATCH($B$1,Database!$A$1:$C$1,),))</f>
        <v/>
      </c>
      <c r="C12003">
        <f>IF(VLOOKUP(Table7[[#This Row],[Date]],Database!$A:$C,MATCH($C$1,Database!$A$1:$C$1,),)=0,#N/A,VLOOKUP(Table7[[#This Row],[Date]],Database!$A:$C,MATCH($C$1,Database!$A$1:$C$1,),))</f>
        <v/>
      </c>
      <c r="D12003">
        <f>IFERROR(Table7[[#This Row],[United States 10y]]-Table7[[#This Row],[United States 3y]],#N/A)</f>
        <v/>
      </c>
    </row>
    <row r="12004">
      <c r="A12004" s="6">
        <f>Database!$A14089</f>
        <v/>
      </c>
      <c r="B12004">
        <f>IF(VLOOKUP(Table7[[#This Row],[Date]],Database!$A:$C,MATCH($B$1,Database!$A$1:$C$1,),)=0,#N/A,VLOOKUP(Table7[[#This Row],[Date]],Database!$A:$C,MATCH($B$1,Database!$A$1:$C$1,),))</f>
        <v/>
      </c>
      <c r="C12004">
        <f>IF(VLOOKUP(Table7[[#This Row],[Date]],Database!$A:$C,MATCH($C$1,Database!$A$1:$C$1,),)=0,#N/A,VLOOKUP(Table7[[#This Row],[Date]],Database!$A:$C,MATCH($C$1,Database!$A$1:$C$1,),))</f>
        <v/>
      </c>
      <c r="D12004">
        <f>IFERROR(Table7[[#This Row],[United States 10y]]-Table7[[#This Row],[United States 3y]],#N/A)</f>
        <v/>
      </c>
    </row>
    <row r="12005">
      <c r="A12005" s="6">
        <f>Database!$A14090</f>
        <v/>
      </c>
      <c r="B12005">
        <f>IF(VLOOKUP(Table7[[#This Row],[Date]],Database!$A:$C,MATCH($B$1,Database!$A$1:$C$1,),)=0,#N/A,VLOOKUP(Table7[[#This Row],[Date]],Database!$A:$C,MATCH($B$1,Database!$A$1:$C$1,),))</f>
        <v/>
      </c>
      <c r="C12005">
        <f>IF(VLOOKUP(Table7[[#This Row],[Date]],Database!$A:$C,MATCH($C$1,Database!$A$1:$C$1,),)=0,#N/A,VLOOKUP(Table7[[#This Row],[Date]],Database!$A:$C,MATCH($C$1,Database!$A$1:$C$1,),))</f>
        <v/>
      </c>
      <c r="D12005">
        <f>IFERROR(Table7[[#This Row],[United States 10y]]-Table7[[#This Row],[United States 3y]],#N/A)</f>
        <v/>
      </c>
    </row>
    <row r="12006">
      <c r="A12006" s="6">
        <f>Database!$A14091</f>
        <v/>
      </c>
      <c r="B12006">
        <f>IF(VLOOKUP(Table7[[#This Row],[Date]],Database!$A:$C,MATCH($B$1,Database!$A$1:$C$1,),)=0,#N/A,VLOOKUP(Table7[[#This Row],[Date]],Database!$A:$C,MATCH($B$1,Database!$A$1:$C$1,),))</f>
        <v/>
      </c>
      <c r="C12006">
        <f>IF(VLOOKUP(Table7[[#This Row],[Date]],Database!$A:$C,MATCH($C$1,Database!$A$1:$C$1,),)=0,#N/A,VLOOKUP(Table7[[#This Row],[Date]],Database!$A:$C,MATCH($C$1,Database!$A$1:$C$1,),))</f>
        <v/>
      </c>
      <c r="D12006">
        <f>IFERROR(Table7[[#This Row],[United States 10y]]-Table7[[#This Row],[United States 3y]],#N/A)</f>
        <v/>
      </c>
    </row>
    <row r="12007">
      <c r="A12007" s="6">
        <f>Database!$A14092</f>
        <v/>
      </c>
      <c r="B12007">
        <f>IF(VLOOKUP(Table7[[#This Row],[Date]],Database!$A:$C,MATCH($B$1,Database!$A$1:$C$1,),)=0,#N/A,VLOOKUP(Table7[[#This Row],[Date]],Database!$A:$C,MATCH($B$1,Database!$A$1:$C$1,),))</f>
        <v/>
      </c>
      <c r="C12007">
        <f>IF(VLOOKUP(Table7[[#This Row],[Date]],Database!$A:$C,MATCH($C$1,Database!$A$1:$C$1,),)=0,#N/A,VLOOKUP(Table7[[#This Row],[Date]],Database!$A:$C,MATCH($C$1,Database!$A$1:$C$1,),))</f>
        <v/>
      </c>
      <c r="D12007">
        <f>IFERROR(Table7[[#This Row],[United States 10y]]-Table7[[#This Row],[United States 3y]],#N/A)</f>
        <v/>
      </c>
    </row>
    <row r="12008">
      <c r="A12008" s="6">
        <f>Database!$A14093</f>
        <v/>
      </c>
      <c r="B12008">
        <f>IF(VLOOKUP(Table7[[#This Row],[Date]],Database!$A:$C,MATCH($B$1,Database!$A$1:$C$1,),)=0,#N/A,VLOOKUP(Table7[[#This Row],[Date]],Database!$A:$C,MATCH($B$1,Database!$A$1:$C$1,),))</f>
        <v/>
      </c>
      <c r="C12008">
        <f>IF(VLOOKUP(Table7[[#This Row],[Date]],Database!$A:$C,MATCH($C$1,Database!$A$1:$C$1,),)=0,#N/A,VLOOKUP(Table7[[#This Row],[Date]],Database!$A:$C,MATCH($C$1,Database!$A$1:$C$1,),))</f>
        <v/>
      </c>
      <c r="D12008">
        <f>IFERROR(Table7[[#This Row],[United States 10y]]-Table7[[#This Row],[United States 3y]],#N/A)</f>
        <v/>
      </c>
    </row>
    <row r="12009">
      <c r="A12009" s="6">
        <f>Database!$A14094</f>
        <v/>
      </c>
      <c r="B12009">
        <f>IF(VLOOKUP(Table7[[#This Row],[Date]],Database!$A:$C,MATCH($B$1,Database!$A$1:$C$1,),)=0,#N/A,VLOOKUP(Table7[[#This Row],[Date]],Database!$A:$C,MATCH($B$1,Database!$A$1:$C$1,),))</f>
        <v/>
      </c>
      <c r="C12009">
        <f>IF(VLOOKUP(Table7[[#This Row],[Date]],Database!$A:$C,MATCH($C$1,Database!$A$1:$C$1,),)=0,#N/A,VLOOKUP(Table7[[#This Row],[Date]],Database!$A:$C,MATCH($C$1,Database!$A$1:$C$1,),))</f>
        <v/>
      </c>
      <c r="D12009">
        <f>IFERROR(Table7[[#This Row],[United States 10y]]-Table7[[#This Row],[United States 3y]],#N/A)</f>
        <v/>
      </c>
    </row>
    <row r="12010">
      <c r="A12010" s="6">
        <f>Database!$A14095</f>
        <v/>
      </c>
      <c r="B12010">
        <f>IF(VLOOKUP(Table7[[#This Row],[Date]],Database!$A:$C,MATCH($B$1,Database!$A$1:$C$1,),)=0,#N/A,VLOOKUP(Table7[[#This Row],[Date]],Database!$A:$C,MATCH($B$1,Database!$A$1:$C$1,),))</f>
        <v/>
      </c>
      <c r="C12010">
        <f>IF(VLOOKUP(Table7[[#This Row],[Date]],Database!$A:$C,MATCH($C$1,Database!$A$1:$C$1,),)=0,#N/A,VLOOKUP(Table7[[#This Row],[Date]],Database!$A:$C,MATCH($C$1,Database!$A$1:$C$1,),))</f>
        <v/>
      </c>
      <c r="D12010">
        <f>IFERROR(Table7[[#This Row],[United States 10y]]-Table7[[#This Row],[United States 3y]],#N/A)</f>
        <v/>
      </c>
    </row>
    <row r="12011">
      <c r="A12011" s="6">
        <f>Database!$A14096</f>
        <v/>
      </c>
      <c r="B12011">
        <f>IF(VLOOKUP(Table7[[#This Row],[Date]],Database!$A:$C,MATCH($B$1,Database!$A$1:$C$1,),)=0,#N/A,VLOOKUP(Table7[[#This Row],[Date]],Database!$A:$C,MATCH($B$1,Database!$A$1:$C$1,),))</f>
        <v/>
      </c>
      <c r="C12011">
        <f>IF(VLOOKUP(Table7[[#This Row],[Date]],Database!$A:$C,MATCH($C$1,Database!$A$1:$C$1,),)=0,#N/A,VLOOKUP(Table7[[#This Row],[Date]],Database!$A:$C,MATCH($C$1,Database!$A$1:$C$1,),))</f>
        <v/>
      </c>
      <c r="D12011">
        <f>IFERROR(Table7[[#This Row],[United States 10y]]-Table7[[#This Row],[United States 3y]],#N/A)</f>
        <v/>
      </c>
    </row>
    <row r="12012">
      <c r="A12012" s="6">
        <f>Database!$A14097</f>
        <v/>
      </c>
      <c r="B12012">
        <f>IF(VLOOKUP(Table7[[#This Row],[Date]],Database!$A:$C,MATCH($B$1,Database!$A$1:$C$1,),)=0,#N/A,VLOOKUP(Table7[[#This Row],[Date]],Database!$A:$C,MATCH($B$1,Database!$A$1:$C$1,),))</f>
        <v/>
      </c>
      <c r="C12012">
        <f>IF(VLOOKUP(Table7[[#This Row],[Date]],Database!$A:$C,MATCH($C$1,Database!$A$1:$C$1,),)=0,#N/A,VLOOKUP(Table7[[#This Row],[Date]],Database!$A:$C,MATCH($C$1,Database!$A$1:$C$1,),))</f>
        <v/>
      </c>
      <c r="D12012">
        <f>IFERROR(Table7[[#This Row],[United States 10y]]-Table7[[#This Row],[United States 3y]],#N/A)</f>
        <v/>
      </c>
    </row>
    <row r="12013">
      <c r="A12013" s="6">
        <f>Database!$A14098</f>
        <v/>
      </c>
      <c r="B12013">
        <f>IF(VLOOKUP(Table7[[#This Row],[Date]],Database!$A:$C,MATCH($B$1,Database!$A$1:$C$1,),)=0,#N/A,VLOOKUP(Table7[[#This Row],[Date]],Database!$A:$C,MATCH($B$1,Database!$A$1:$C$1,),))</f>
        <v/>
      </c>
      <c r="C12013">
        <f>IF(VLOOKUP(Table7[[#This Row],[Date]],Database!$A:$C,MATCH($C$1,Database!$A$1:$C$1,),)=0,#N/A,VLOOKUP(Table7[[#This Row],[Date]],Database!$A:$C,MATCH($C$1,Database!$A$1:$C$1,),))</f>
        <v/>
      </c>
      <c r="D12013">
        <f>IFERROR(Table7[[#This Row],[United States 10y]]-Table7[[#This Row],[United States 3y]],#N/A)</f>
        <v/>
      </c>
    </row>
    <row r="12014">
      <c r="A12014" s="6">
        <f>Database!$A14099</f>
        <v/>
      </c>
      <c r="B12014">
        <f>IF(VLOOKUP(Table7[[#This Row],[Date]],Database!$A:$C,MATCH($B$1,Database!$A$1:$C$1,),)=0,#N/A,VLOOKUP(Table7[[#This Row],[Date]],Database!$A:$C,MATCH($B$1,Database!$A$1:$C$1,),))</f>
        <v/>
      </c>
      <c r="C12014">
        <f>IF(VLOOKUP(Table7[[#This Row],[Date]],Database!$A:$C,MATCH($C$1,Database!$A$1:$C$1,),)=0,#N/A,VLOOKUP(Table7[[#This Row],[Date]],Database!$A:$C,MATCH($C$1,Database!$A$1:$C$1,),))</f>
        <v/>
      </c>
      <c r="D12014">
        <f>IFERROR(Table7[[#This Row],[United States 10y]]-Table7[[#This Row],[United States 3y]],#N/A)</f>
        <v/>
      </c>
    </row>
    <row r="12015">
      <c r="A12015" s="6">
        <f>Database!$A14100</f>
        <v/>
      </c>
      <c r="B12015">
        <f>IF(VLOOKUP(Table7[[#This Row],[Date]],Database!$A:$C,MATCH($B$1,Database!$A$1:$C$1,),)=0,#N/A,VLOOKUP(Table7[[#This Row],[Date]],Database!$A:$C,MATCH($B$1,Database!$A$1:$C$1,),))</f>
        <v/>
      </c>
      <c r="C12015">
        <f>IF(VLOOKUP(Table7[[#This Row],[Date]],Database!$A:$C,MATCH($C$1,Database!$A$1:$C$1,),)=0,#N/A,VLOOKUP(Table7[[#This Row],[Date]],Database!$A:$C,MATCH($C$1,Database!$A$1:$C$1,),))</f>
        <v/>
      </c>
      <c r="D12015">
        <f>IFERROR(Table7[[#This Row],[United States 10y]]-Table7[[#This Row],[United States 3y]],#N/A)</f>
        <v/>
      </c>
    </row>
    <row r="12016">
      <c r="A12016" s="6">
        <f>Database!$A14101</f>
        <v/>
      </c>
      <c r="B12016">
        <f>IF(VLOOKUP(Table7[[#This Row],[Date]],Database!$A:$C,MATCH($B$1,Database!$A$1:$C$1,),)=0,#N/A,VLOOKUP(Table7[[#This Row],[Date]],Database!$A:$C,MATCH($B$1,Database!$A$1:$C$1,),))</f>
        <v/>
      </c>
      <c r="C12016">
        <f>IF(VLOOKUP(Table7[[#This Row],[Date]],Database!$A:$C,MATCH($C$1,Database!$A$1:$C$1,),)=0,#N/A,VLOOKUP(Table7[[#This Row],[Date]],Database!$A:$C,MATCH($C$1,Database!$A$1:$C$1,),))</f>
        <v/>
      </c>
      <c r="D12016">
        <f>IFERROR(Table7[[#This Row],[United States 10y]]-Table7[[#This Row],[United States 3y]],#N/A)</f>
        <v/>
      </c>
    </row>
    <row r="12017">
      <c r="A12017" s="6">
        <f>Database!$A14102</f>
        <v/>
      </c>
      <c r="B12017">
        <f>IF(VLOOKUP(Table7[[#This Row],[Date]],Database!$A:$C,MATCH($B$1,Database!$A$1:$C$1,),)=0,#N/A,VLOOKUP(Table7[[#This Row],[Date]],Database!$A:$C,MATCH($B$1,Database!$A$1:$C$1,),))</f>
        <v/>
      </c>
      <c r="C12017">
        <f>IF(VLOOKUP(Table7[[#This Row],[Date]],Database!$A:$C,MATCH($C$1,Database!$A$1:$C$1,),)=0,#N/A,VLOOKUP(Table7[[#This Row],[Date]],Database!$A:$C,MATCH($C$1,Database!$A$1:$C$1,),))</f>
        <v/>
      </c>
      <c r="D12017">
        <f>IFERROR(Table7[[#This Row],[United States 10y]]-Table7[[#This Row],[United States 3y]],#N/A)</f>
        <v/>
      </c>
    </row>
    <row r="12018">
      <c r="A12018" s="6">
        <f>Database!$A14103</f>
        <v/>
      </c>
      <c r="B12018">
        <f>IF(VLOOKUP(Table7[[#This Row],[Date]],Database!$A:$C,MATCH($B$1,Database!$A$1:$C$1,),)=0,#N/A,VLOOKUP(Table7[[#This Row],[Date]],Database!$A:$C,MATCH($B$1,Database!$A$1:$C$1,),))</f>
        <v/>
      </c>
      <c r="C12018">
        <f>IF(VLOOKUP(Table7[[#This Row],[Date]],Database!$A:$C,MATCH($C$1,Database!$A$1:$C$1,),)=0,#N/A,VLOOKUP(Table7[[#This Row],[Date]],Database!$A:$C,MATCH($C$1,Database!$A$1:$C$1,),))</f>
        <v/>
      </c>
      <c r="D12018">
        <f>IFERROR(Table7[[#This Row],[United States 10y]]-Table7[[#This Row],[United States 3y]],#N/A)</f>
        <v/>
      </c>
    </row>
    <row r="12019">
      <c r="A12019" s="6">
        <f>Database!$A14104</f>
        <v/>
      </c>
      <c r="B12019">
        <f>IF(VLOOKUP(Table7[[#This Row],[Date]],Database!$A:$C,MATCH($B$1,Database!$A$1:$C$1,),)=0,#N/A,VLOOKUP(Table7[[#This Row],[Date]],Database!$A:$C,MATCH($B$1,Database!$A$1:$C$1,),))</f>
        <v/>
      </c>
      <c r="C12019">
        <f>IF(VLOOKUP(Table7[[#This Row],[Date]],Database!$A:$C,MATCH($C$1,Database!$A$1:$C$1,),)=0,#N/A,VLOOKUP(Table7[[#This Row],[Date]],Database!$A:$C,MATCH($C$1,Database!$A$1:$C$1,),))</f>
        <v/>
      </c>
      <c r="D12019">
        <f>IFERROR(Table7[[#This Row],[United States 10y]]-Table7[[#This Row],[United States 3y]],#N/A)</f>
        <v/>
      </c>
    </row>
    <row r="12020">
      <c r="A12020" s="6">
        <f>Database!$A14105</f>
        <v/>
      </c>
      <c r="B12020">
        <f>IF(VLOOKUP(Table7[[#This Row],[Date]],Database!$A:$C,MATCH($B$1,Database!$A$1:$C$1,),)=0,#N/A,VLOOKUP(Table7[[#This Row],[Date]],Database!$A:$C,MATCH($B$1,Database!$A$1:$C$1,),))</f>
        <v/>
      </c>
      <c r="C12020">
        <f>IF(VLOOKUP(Table7[[#This Row],[Date]],Database!$A:$C,MATCH($C$1,Database!$A$1:$C$1,),)=0,#N/A,VLOOKUP(Table7[[#This Row],[Date]],Database!$A:$C,MATCH($C$1,Database!$A$1:$C$1,),))</f>
        <v/>
      </c>
      <c r="D12020">
        <f>IFERROR(Table7[[#This Row],[United States 10y]]-Table7[[#This Row],[United States 3y]],#N/A)</f>
        <v/>
      </c>
    </row>
    <row r="12021">
      <c r="A12021" s="6">
        <f>Database!$A14106</f>
        <v/>
      </c>
      <c r="B12021">
        <f>IF(VLOOKUP(Table7[[#This Row],[Date]],Database!$A:$C,MATCH($B$1,Database!$A$1:$C$1,),)=0,#N/A,VLOOKUP(Table7[[#This Row],[Date]],Database!$A:$C,MATCH($B$1,Database!$A$1:$C$1,),))</f>
        <v/>
      </c>
      <c r="C12021">
        <f>IF(VLOOKUP(Table7[[#This Row],[Date]],Database!$A:$C,MATCH($C$1,Database!$A$1:$C$1,),)=0,#N/A,VLOOKUP(Table7[[#This Row],[Date]],Database!$A:$C,MATCH($C$1,Database!$A$1:$C$1,),))</f>
        <v/>
      </c>
      <c r="D12021">
        <f>IFERROR(Table7[[#This Row],[United States 10y]]-Table7[[#This Row],[United States 3y]],#N/A)</f>
        <v/>
      </c>
    </row>
    <row r="12022">
      <c r="A12022" s="6">
        <f>Database!$A14107</f>
        <v/>
      </c>
      <c r="B12022">
        <f>IF(VLOOKUP(Table7[[#This Row],[Date]],Database!$A:$C,MATCH($B$1,Database!$A$1:$C$1,),)=0,#N/A,VLOOKUP(Table7[[#This Row],[Date]],Database!$A:$C,MATCH($B$1,Database!$A$1:$C$1,),))</f>
        <v/>
      </c>
      <c r="C12022">
        <f>IF(VLOOKUP(Table7[[#This Row],[Date]],Database!$A:$C,MATCH($C$1,Database!$A$1:$C$1,),)=0,#N/A,VLOOKUP(Table7[[#This Row],[Date]],Database!$A:$C,MATCH($C$1,Database!$A$1:$C$1,),))</f>
        <v/>
      </c>
      <c r="D12022">
        <f>IFERROR(Table7[[#This Row],[United States 10y]]-Table7[[#This Row],[United States 3y]],#N/A)</f>
        <v/>
      </c>
    </row>
    <row r="12023">
      <c r="A12023" s="6">
        <f>Database!$A14108</f>
        <v/>
      </c>
      <c r="B12023">
        <f>IF(VLOOKUP(Table7[[#This Row],[Date]],Database!$A:$C,MATCH($B$1,Database!$A$1:$C$1,),)=0,#N/A,VLOOKUP(Table7[[#This Row],[Date]],Database!$A:$C,MATCH($B$1,Database!$A$1:$C$1,),))</f>
        <v/>
      </c>
      <c r="C12023">
        <f>IF(VLOOKUP(Table7[[#This Row],[Date]],Database!$A:$C,MATCH($C$1,Database!$A$1:$C$1,),)=0,#N/A,VLOOKUP(Table7[[#This Row],[Date]],Database!$A:$C,MATCH($C$1,Database!$A$1:$C$1,),))</f>
        <v/>
      </c>
      <c r="D12023">
        <f>IFERROR(Table7[[#This Row],[United States 10y]]-Table7[[#This Row],[United States 3y]],#N/A)</f>
        <v/>
      </c>
    </row>
    <row r="12024">
      <c r="A12024" s="6">
        <f>Database!$A14109</f>
        <v/>
      </c>
      <c r="B12024">
        <f>IF(VLOOKUP(Table7[[#This Row],[Date]],Database!$A:$C,MATCH($B$1,Database!$A$1:$C$1,),)=0,#N/A,VLOOKUP(Table7[[#This Row],[Date]],Database!$A:$C,MATCH($B$1,Database!$A$1:$C$1,),))</f>
        <v/>
      </c>
      <c r="C12024">
        <f>IF(VLOOKUP(Table7[[#This Row],[Date]],Database!$A:$C,MATCH($C$1,Database!$A$1:$C$1,),)=0,#N/A,VLOOKUP(Table7[[#This Row],[Date]],Database!$A:$C,MATCH($C$1,Database!$A$1:$C$1,),))</f>
        <v/>
      </c>
      <c r="D12024">
        <f>IFERROR(Table7[[#This Row],[United States 10y]]-Table7[[#This Row],[United States 3y]],#N/A)</f>
        <v/>
      </c>
    </row>
    <row r="12025">
      <c r="A12025" s="6">
        <f>Database!$A14110</f>
        <v/>
      </c>
      <c r="B12025">
        <f>IF(VLOOKUP(Table7[[#This Row],[Date]],Database!$A:$C,MATCH($B$1,Database!$A$1:$C$1,),)=0,#N/A,VLOOKUP(Table7[[#This Row],[Date]],Database!$A:$C,MATCH($B$1,Database!$A$1:$C$1,),))</f>
        <v/>
      </c>
      <c r="C12025">
        <f>IF(VLOOKUP(Table7[[#This Row],[Date]],Database!$A:$C,MATCH($C$1,Database!$A$1:$C$1,),)=0,#N/A,VLOOKUP(Table7[[#This Row],[Date]],Database!$A:$C,MATCH($C$1,Database!$A$1:$C$1,),))</f>
        <v/>
      </c>
      <c r="D12025">
        <f>IFERROR(Table7[[#This Row],[United States 10y]]-Table7[[#This Row],[United States 3y]],#N/A)</f>
        <v/>
      </c>
    </row>
    <row r="12026">
      <c r="A12026" s="6">
        <f>Database!$A14111</f>
        <v/>
      </c>
      <c r="B12026">
        <f>IF(VLOOKUP(Table7[[#This Row],[Date]],Database!$A:$C,MATCH($B$1,Database!$A$1:$C$1,),)=0,#N/A,VLOOKUP(Table7[[#This Row],[Date]],Database!$A:$C,MATCH($B$1,Database!$A$1:$C$1,),))</f>
        <v/>
      </c>
      <c r="C12026">
        <f>IF(VLOOKUP(Table7[[#This Row],[Date]],Database!$A:$C,MATCH($C$1,Database!$A$1:$C$1,),)=0,#N/A,VLOOKUP(Table7[[#This Row],[Date]],Database!$A:$C,MATCH($C$1,Database!$A$1:$C$1,),))</f>
        <v/>
      </c>
      <c r="D12026">
        <f>IFERROR(Table7[[#This Row],[United States 10y]]-Table7[[#This Row],[United States 3y]],#N/A)</f>
        <v/>
      </c>
    </row>
    <row r="12027">
      <c r="A12027" s="6">
        <f>Database!$A14112</f>
        <v/>
      </c>
      <c r="B12027">
        <f>IF(VLOOKUP(Table7[[#This Row],[Date]],Database!$A:$C,MATCH($B$1,Database!$A$1:$C$1,),)=0,#N/A,VLOOKUP(Table7[[#This Row],[Date]],Database!$A:$C,MATCH($B$1,Database!$A$1:$C$1,),))</f>
        <v/>
      </c>
      <c r="C12027">
        <f>IF(VLOOKUP(Table7[[#This Row],[Date]],Database!$A:$C,MATCH($C$1,Database!$A$1:$C$1,),)=0,#N/A,VLOOKUP(Table7[[#This Row],[Date]],Database!$A:$C,MATCH($C$1,Database!$A$1:$C$1,),))</f>
        <v/>
      </c>
      <c r="D12027">
        <f>IFERROR(Table7[[#This Row],[United States 10y]]-Table7[[#This Row],[United States 3y]],#N/A)</f>
        <v/>
      </c>
    </row>
    <row r="12028">
      <c r="A12028" s="6">
        <f>Database!$A14113</f>
        <v/>
      </c>
      <c r="B12028">
        <f>IF(VLOOKUP(Table7[[#This Row],[Date]],Database!$A:$C,MATCH($B$1,Database!$A$1:$C$1,),)=0,#N/A,VLOOKUP(Table7[[#This Row],[Date]],Database!$A:$C,MATCH($B$1,Database!$A$1:$C$1,),))</f>
        <v/>
      </c>
      <c r="C12028">
        <f>IF(VLOOKUP(Table7[[#This Row],[Date]],Database!$A:$C,MATCH($C$1,Database!$A$1:$C$1,),)=0,#N/A,VLOOKUP(Table7[[#This Row],[Date]],Database!$A:$C,MATCH($C$1,Database!$A$1:$C$1,),))</f>
        <v/>
      </c>
      <c r="D12028">
        <f>IFERROR(Table7[[#This Row],[United States 10y]]-Table7[[#This Row],[United States 3y]],#N/A)</f>
        <v/>
      </c>
    </row>
    <row r="12029">
      <c r="A12029" s="6">
        <f>Database!$A14114</f>
        <v/>
      </c>
      <c r="B12029">
        <f>IF(VLOOKUP(Table7[[#This Row],[Date]],Database!$A:$C,MATCH($B$1,Database!$A$1:$C$1,),)=0,#N/A,VLOOKUP(Table7[[#This Row],[Date]],Database!$A:$C,MATCH($B$1,Database!$A$1:$C$1,),))</f>
        <v/>
      </c>
      <c r="C12029">
        <f>IF(VLOOKUP(Table7[[#This Row],[Date]],Database!$A:$C,MATCH($C$1,Database!$A$1:$C$1,),)=0,#N/A,VLOOKUP(Table7[[#This Row],[Date]],Database!$A:$C,MATCH($C$1,Database!$A$1:$C$1,),))</f>
        <v/>
      </c>
      <c r="D12029">
        <f>IFERROR(Table7[[#This Row],[United States 10y]]-Table7[[#This Row],[United States 3y]],#N/A)</f>
        <v/>
      </c>
    </row>
    <row r="12030">
      <c r="A12030" s="6">
        <f>Database!$A14115</f>
        <v/>
      </c>
      <c r="B12030">
        <f>IF(VLOOKUP(Table7[[#This Row],[Date]],Database!$A:$C,MATCH($B$1,Database!$A$1:$C$1,),)=0,#N/A,VLOOKUP(Table7[[#This Row],[Date]],Database!$A:$C,MATCH($B$1,Database!$A$1:$C$1,),))</f>
        <v/>
      </c>
      <c r="C12030">
        <f>IF(VLOOKUP(Table7[[#This Row],[Date]],Database!$A:$C,MATCH($C$1,Database!$A$1:$C$1,),)=0,#N/A,VLOOKUP(Table7[[#This Row],[Date]],Database!$A:$C,MATCH($C$1,Database!$A$1:$C$1,),))</f>
        <v/>
      </c>
      <c r="D12030">
        <f>IFERROR(Table7[[#This Row],[United States 10y]]-Table7[[#This Row],[United States 3y]],#N/A)</f>
        <v/>
      </c>
    </row>
    <row r="12031">
      <c r="A12031" s="6">
        <f>Database!$A14116</f>
        <v/>
      </c>
      <c r="B12031">
        <f>IF(VLOOKUP(Table7[[#This Row],[Date]],Database!$A:$C,MATCH($B$1,Database!$A$1:$C$1,),)=0,#N/A,VLOOKUP(Table7[[#This Row],[Date]],Database!$A:$C,MATCH($B$1,Database!$A$1:$C$1,),))</f>
        <v/>
      </c>
      <c r="C12031">
        <f>IF(VLOOKUP(Table7[[#This Row],[Date]],Database!$A:$C,MATCH($C$1,Database!$A$1:$C$1,),)=0,#N/A,VLOOKUP(Table7[[#This Row],[Date]],Database!$A:$C,MATCH($C$1,Database!$A$1:$C$1,),))</f>
        <v/>
      </c>
      <c r="D12031">
        <f>IFERROR(Table7[[#This Row],[United States 10y]]-Table7[[#This Row],[United States 3y]],#N/A)</f>
        <v/>
      </c>
    </row>
    <row r="12032">
      <c r="A12032" s="6">
        <f>Database!$A14117</f>
        <v/>
      </c>
      <c r="B12032">
        <f>IF(VLOOKUP(Table7[[#This Row],[Date]],Database!$A:$C,MATCH($B$1,Database!$A$1:$C$1,),)=0,#N/A,VLOOKUP(Table7[[#This Row],[Date]],Database!$A:$C,MATCH($B$1,Database!$A$1:$C$1,),))</f>
        <v/>
      </c>
      <c r="C12032">
        <f>IF(VLOOKUP(Table7[[#This Row],[Date]],Database!$A:$C,MATCH($C$1,Database!$A$1:$C$1,),)=0,#N/A,VLOOKUP(Table7[[#This Row],[Date]],Database!$A:$C,MATCH($C$1,Database!$A$1:$C$1,),))</f>
        <v/>
      </c>
      <c r="D12032">
        <f>IFERROR(Table7[[#This Row],[United States 10y]]-Table7[[#This Row],[United States 3y]],#N/A)</f>
        <v/>
      </c>
    </row>
    <row r="12033">
      <c r="A12033" s="6">
        <f>Database!$A14118</f>
        <v/>
      </c>
      <c r="B12033">
        <f>IF(VLOOKUP(Table7[[#This Row],[Date]],Database!$A:$C,MATCH($B$1,Database!$A$1:$C$1,),)=0,#N/A,VLOOKUP(Table7[[#This Row],[Date]],Database!$A:$C,MATCH($B$1,Database!$A$1:$C$1,),))</f>
        <v/>
      </c>
      <c r="C12033">
        <f>IF(VLOOKUP(Table7[[#This Row],[Date]],Database!$A:$C,MATCH($C$1,Database!$A$1:$C$1,),)=0,#N/A,VLOOKUP(Table7[[#This Row],[Date]],Database!$A:$C,MATCH($C$1,Database!$A$1:$C$1,),))</f>
        <v/>
      </c>
      <c r="D12033">
        <f>IFERROR(Table7[[#This Row],[United States 10y]]-Table7[[#This Row],[United States 3y]],#N/A)</f>
        <v/>
      </c>
    </row>
    <row r="12034">
      <c r="A12034" s="6">
        <f>Database!$A14119</f>
        <v/>
      </c>
      <c r="B12034">
        <f>IF(VLOOKUP(Table7[[#This Row],[Date]],Database!$A:$C,MATCH($B$1,Database!$A$1:$C$1,),)=0,#N/A,VLOOKUP(Table7[[#This Row],[Date]],Database!$A:$C,MATCH($B$1,Database!$A$1:$C$1,),))</f>
        <v/>
      </c>
      <c r="C12034">
        <f>IF(VLOOKUP(Table7[[#This Row],[Date]],Database!$A:$C,MATCH($C$1,Database!$A$1:$C$1,),)=0,#N/A,VLOOKUP(Table7[[#This Row],[Date]],Database!$A:$C,MATCH($C$1,Database!$A$1:$C$1,),))</f>
        <v/>
      </c>
      <c r="D12034">
        <f>IFERROR(Table7[[#This Row],[United States 10y]]-Table7[[#This Row],[United States 3y]],#N/A)</f>
        <v/>
      </c>
    </row>
    <row r="12035">
      <c r="A12035" s="6">
        <f>Database!$A14120</f>
        <v/>
      </c>
      <c r="B12035">
        <f>IF(VLOOKUP(Table7[[#This Row],[Date]],Database!$A:$C,MATCH($B$1,Database!$A$1:$C$1,),)=0,#N/A,VLOOKUP(Table7[[#This Row],[Date]],Database!$A:$C,MATCH($B$1,Database!$A$1:$C$1,),))</f>
        <v/>
      </c>
      <c r="C12035">
        <f>IF(VLOOKUP(Table7[[#This Row],[Date]],Database!$A:$C,MATCH($C$1,Database!$A$1:$C$1,),)=0,#N/A,VLOOKUP(Table7[[#This Row],[Date]],Database!$A:$C,MATCH($C$1,Database!$A$1:$C$1,),))</f>
        <v/>
      </c>
      <c r="D12035">
        <f>IFERROR(Table7[[#This Row],[United States 10y]]-Table7[[#This Row],[United States 3y]],#N/A)</f>
        <v/>
      </c>
    </row>
    <row r="12036">
      <c r="A12036" s="6">
        <f>Database!$A14121</f>
        <v/>
      </c>
      <c r="B12036">
        <f>IF(VLOOKUP(Table7[[#This Row],[Date]],Database!$A:$C,MATCH($B$1,Database!$A$1:$C$1,),)=0,#N/A,VLOOKUP(Table7[[#This Row],[Date]],Database!$A:$C,MATCH($B$1,Database!$A$1:$C$1,),))</f>
        <v/>
      </c>
      <c r="C12036">
        <f>IF(VLOOKUP(Table7[[#This Row],[Date]],Database!$A:$C,MATCH($C$1,Database!$A$1:$C$1,),)=0,#N/A,VLOOKUP(Table7[[#This Row],[Date]],Database!$A:$C,MATCH($C$1,Database!$A$1:$C$1,),))</f>
        <v/>
      </c>
      <c r="D12036">
        <f>IFERROR(Table7[[#This Row],[United States 10y]]-Table7[[#This Row],[United States 3y]],#N/A)</f>
        <v/>
      </c>
    </row>
    <row r="12037">
      <c r="A12037" s="6">
        <f>Database!$A14122</f>
        <v/>
      </c>
      <c r="B12037">
        <f>IF(VLOOKUP(Table7[[#This Row],[Date]],Database!$A:$C,MATCH($B$1,Database!$A$1:$C$1,),)=0,#N/A,VLOOKUP(Table7[[#This Row],[Date]],Database!$A:$C,MATCH($B$1,Database!$A$1:$C$1,),))</f>
        <v/>
      </c>
      <c r="C12037">
        <f>IF(VLOOKUP(Table7[[#This Row],[Date]],Database!$A:$C,MATCH($C$1,Database!$A$1:$C$1,),)=0,#N/A,VLOOKUP(Table7[[#This Row],[Date]],Database!$A:$C,MATCH($C$1,Database!$A$1:$C$1,),))</f>
        <v/>
      </c>
      <c r="D12037">
        <f>IFERROR(Table7[[#This Row],[United States 10y]]-Table7[[#This Row],[United States 3y]],#N/A)</f>
        <v/>
      </c>
    </row>
    <row r="12038">
      <c r="A12038" s="6">
        <f>Database!$A14123</f>
        <v/>
      </c>
      <c r="B12038">
        <f>IF(VLOOKUP(Table7[[#This Row],[Date]],Database!$A:$C,MATCH($B$1,Database!$A$1:$C$1,),)=0,#N/A,VLOOKUP(Table7[[#This Row],[Date]],Database!$A:$C,MATCH($B$1,Database!$A$1:$C$1,),))</f>
        <v/>
      </c>
      <c r="C12038">
        <f>IF(VLOOKUP(Table7[[#This Row],[Date]],Database!$A:$C,MATCH($C$1,Database!$A$1:$C$1,),)=0,#N/A,VLOOKUP(Table7[[#This Row],[Date]],Database!$A:$C,MATCH($C$1,Database!$A$1:$C$1,),))</f>
        <v/>
      </c>
      <c r="D12038">
        <f>IFERROR(Table7[[#This Row],[United States 10y]]-Table7[[#This Row],[United States 3y]],#N/A)</f>
        <v/>
      </c>
    </row>
    <row r="12039">
      <c r="A12039" s="6">
        <f>Database!$A14124</f>
        <v/>
      </c>
      <c r="B12039">
        <f>IF(VLOOKUP(Table7[[#This Row],[Date]],Database!$A:$C,MATCH($B$1,Database!$A$1:$C$1,),)=0,#N/A,VLOOKUP(Table7[[#This Row],[Date]],Database!$A:$C,MATCH($B$1,Database!$A$1:$C$1,),))</f>
        <v/>
      </c>
      <c r="C12039">
        <f>IF(VLOOKUP(Table7[[#This Row],[Date]],Database!$A:$C,MATCH($C$1,Database!$A$1:$C$1,),)=0,#N/A,VLOOKUP(Table7[[#This Row],[Date]],Database!$A:$C,MATCH($C$1,Database!$A$1:$C$1,),))</f>
        <v/>
      </c>
      <c r="D12039">
        <f>IFERROR(Table7[[#This Row],[United States 10y]]-Table7[[#This Row],[United States 3y]],#N/A)</f>
        <v/>
      </c>
    </row>
    <row r="12040">
      <c r="A12040" s="6">
        <f>Database!$A14125</f>
        <v/>
      </c>
      <c r="B12040">
        <f>IF(VLOOKUP(Table7[[#This Row],[Date]],Database!$A:$C,MATCH($B$1,Database!$A$1:$C$1,),)=0,#N/A,VLOOKUP(Table7[[#This Row],[Date]],Database!$A:$C,MATCH($B$1,Database!$A$1:$C$1,),))</f>
        <v/>
      </c>
      <c r="C12040">
        <f>IF(VLOOKUP(Table7[[#This Row],[Date]],Database!$A:$C,MATCH($C$1,Database!$A$1:$C$1,),)=0,#N/A,VLOOKUP(Table7[[#This Row],[Date]],Database!$A:$C,MATCH($C$1,Database!$A$1:$C$1,),))</f>
        <v/>
      </c>
      <c r="D12040">
        <f>IFERROR(Table7[[#This Row],[United States 10y]]-Table7[[#This Row],[United States 3y]],#N/A)</f>
        <v/>
      </c>
    </row>
    <row r="12041">
      <c r="A12041" s="6">
        <f>Database!$A14126</f>
        <v/>
      </c>
      <c r="B12041">
        <f>IF(VLOOKUP(Table7[[#This Row],[Date]],Database!$A:$C,MATCH($B$1,Database!$A$1:$C$1,),)=0,#N/A,VLOOKUP(Table7[[#This Row],[Date]],Database!$A:$C,MATCH($B$1,Database!$A$1:$C$1,),))</f>
        <v/>
      </c>
      <c r="C12041">
        <f>IF(VLOOKUP(Table7[[#This Row],[Date]],Database!$A:$C,MATCH($C$1,Database!$A$1:$C$1,),)=0,#N/A,VLOOKUP(Table7[[#This Row],[Date]],Database!$A:$C,MATCH($C$1,Database!$A$1:$C$1,),))</f>
        <v/>
      </c>
      <c r="D12041">
        <f>IFERROR(Table7[[#This Row],[United States 10y]]-Table7[[#This Row],[United States 3y]],#N/A)</f>
        <v/>
      </c>
    </row>
    <row r="12042">
      <c r="A12042" s="6">
        <f>Database!$A14127</f>
        <v/>
      </c>
      <c r="B12042">
        <f>IF(VLOOKUP(Table7[[#This Row],[Date]],Database!$A:$C,MATCH($B$1,Database!$A$1:$C$1,),)=0,#N/A,VLOOKUP(Table7[[#This Row],[Date]],Database!$A:$C,MATCH($B$1,Database!$A$1:$C$1,),))</f>
        <v/>
      </c>
      <c r="C12042">
        <f>IF(VLOOKUP(Table7[[#This Row],[Date]],Database!$A:$C,MATCH($C$1,Database!$A$1:$C$1,),)=0,#N/A,VLOOKUP(Table7[[#This Row],[Date]],Database!$A:$C,MATCH($C$1,Database!$A$1:$C$1,),))</f>
        <v/>
      </c>
      <c r="D12042">
        <f>IFERROR(Table7[[#This Row],[United States 10y]]-Table7[[#This Row],[United States 3y]],#N/A)</f>
        <v/>
      </c>
    </row>
    <row r="12043">
      <c r="A12043" s="6">
        <f>Database!$A14128</f>
        <v/>
      </c>
      <c r="B12043">
        <f>IF(VLOOKUP(Table7[[#This Row],[Date]],Database!$A:$C,MATCH($B$1,Database!$A$1:$C$1,),)=0,#N/A,VLOOKUP(Table7[[#This Row],[Date]],Database!$A:$C,MATCH($B$1,Database!$A$1:$C$1,),))</f>
        <v/>
      </c>
      <c r="C12043">
        <f>IF(VLOOKUP(Table7[[#This Row],[Date]],Database!$A:$C,MATCH($C$1,Database!$A$1:$C$1,),)=0,#N/A,VLOOKUP(Table7[[#This Row],[Date]],Database!$A:$C,MATCH($C$1,Database!$A$1:$C$1,),))</f>
        <v/>
      </c>
      <c r="D12043">
        <f>IFERROR(Table7[[#This Row],[United States 10y]]-Table7[[#This Row],[United States 3y]],#N/A)</f>
        <v/>
      </c>
    </row>
    <row r="12044">
      <c r="A12044" s="6">
        <f>Database!$A14129</f>
        <v/>
      </c>
      <c r="B12044">
        <f>IF(VLOOKUP(Table7[[#This Row],[Date]],Database!$A:$C,MATCH($B$1,Database!$A$1:$C$1,),)=0,#N/A,VLOOKUP(Table7[[#This Row],[Date]],Database!$A:$C,MATCH($B$1,Database!$A$1:$C$1,),))</f>
        <v/>
      </c>
      <c r="C12044">
        <f>IF(VLOOKUP(Table7[[#This Row],[Date]],Database!$A:$C,MATCH($C$1,Database!$A$1:$C$1,),)=0,#N/A,VLOOKUP(Table7[[#This Row],[Date]],Database!$A:$C,MATCH($C$1,Database!$A$1:$C$1,),))</f>
        <v/>
      </c>
      <c r="D12044">
        <f>IFERROR(Table7[[#This Row],[United States 10y]]-Table7[[#This Row],[United States 3y]],#N/A)</f>
        <v/>
      </c>
    </row>
    <row r="12045">
      <c r="A12045" s="6">
        <f>Database!$A14130</f>
        <v/>
      </c>
      <c r="B12045">
        <f>IF(VLOOKUP(Table7[[#This Row],[Date]],Database!$A:$C,MATCH($B$1,Database!$A$1:$C$1,),)=0,#N/A,VLOOKUP(Table7[[#This Row],[Date]],Database!$A:$C,MATCH($B$1,Database!$A$1:$C$1,),))</f>
        <v/>
      </c>
      <c r="C12045">
        <f>IF(VLOOKUP(Table7[[#This Row],[Date]],Database!$A:$C,MATCH($C$1,Database!$A$1:$C$1,),)=0,#N/A,VLOOKUP(Table7[[#This Row],[Date]],Database!$A:$C,MATCH($C$1,Database!$A$1:$C$1,),))</f>
        <v/>
      </c>
      <c r="D12045">
        <f>IFERROR(Table7[[#This Row],[United States 10y]]-Table7[[#This Row],[United States 3y]],#N/A)</f>
        <v/>
      </c>
    </row>
    <row r="12046">
      <c r="A12046" s="6">
        <f>Database!$A14131</f>
        <v/>
      </c>
      <c r="B12046">
        <f>IF(VLOOKUP(Table7[[#This Row],[Date]],Database!$A:$C,MATCH($B$1,Database!$A$1:$C$1,),)=0,#N/A,VLOOKUP(Table7[[#This Row],[Date]],Database!$A:$C,MATCH($B$1,Database!$A$1:$C$1,),))</f>
        <v/>
      </c>
      <c r="C12046">
        <f>IF(VLOOKUP(Table7[[#This Row],[Date]],Database!$A:$C,MATCH($C$1,Database!$A$1:$C$1,),)=0,#N/A,VLOOKUP(Table7[[#This Row],[Date]],Database!$A:$C,MATCH($C$1,Database!$A$1:$C$1,),))</f>
        <v/>
      </c>
      <c r="D12046">
        <f>IFERROR(Table7[[#This Row],[United States 10y]]-Table7[[#This Row],[United States 3y]],#N/A)</f>
        <v/>
      </c>
    </row>
    <row r="12047">
      <c r="A12047" s="6">
        <f>Database!$A14132</f>
        <v/>
      </c>
      <c r="B12047">
        <f>IF(VLOOKUP(Table7[[#This Row],[Date]],Database!$A:$C,MATCH($B$1,Database!$A$1:$C$1,),)=0,#N/A,VLOOKUP(Table7[[#This Row],[Date]],Database!$A:$C,MATCH($B$1,Database!$A$1:$C$1,),))</f>
        <v/>
      </c>
      <c r="C12047">
        <f>IF(VLOOKUP(Table7[[#This Row],[Date]],Database!$A:$C,MATCH($C$1,Database!$A$1:$C$1,),)=0,#N/A,VLOOKUP(Table7[[#This Row],[Date]],Database!$A:$C,MATCH($C$1,Database!$A$1:$C$1,),))</f>
        <v/>
      </c>
      <c r="D12047">
        <f>IFERROR(Table7[[#This Row],[United States 10y]]-Table7[[#This Row],[United States 3y]],#N/A)</f>
        <v/>
      </c>
    </row>
    <row r="12048">
      <c r="A12048" s="6">
        <f>Database!$A14133</f>
        <v/>
      </c>
      <c r="B12048">
        <f>IF(VLOOKUP(Table7[[#This Row],[Date]],Database!$A:$C,MATCH($B$1,Database!$A$1:$C$1,),)=0,#N/A,VLOOKUP(Table7[[#This Row],[Date]],Database!$A:$C,MATCH($B$1,Database!$A$1:$C$1,),))</f>
        <v/>
      </c>
      <c r="C12048">
        <f>IF(VLOOKUP(Table7[[#This Row],[Date]],Database!$A:$C,MATCH($C$1,Database!$A$1:$C$1,),)=0,#N/A,VLOOKUP(Table7[[#This Row],[Date]],Database!$A:$C,MATCH($C$1,Database!$A$1:$C$1,),))</f>
        <v/>
      </c>
      <c r="D12048">
        <f>IFERROR(Table7[[#This Row],[United States 10y]]-Table7[[#This Row],[United States 3y]],#N/A)</f>
        <v/>
      </c>
    </row>
    <row r="12049">
      <c r="A12049" s="6">
        <f>Database!$A14134</f>
        <v/>
      </c>
      <c r="B12049">
        <f>IF(VLOOKUP(Table7[[#This Row],[Date]],Database!$A:$C,MATCH($B$1,Database!$A$1:$C$1,),)=0,#N/A,VLOOKUP(Table7[[#This Row],[Date]],Database!$A:$C,MATCH($B$1,Database!$A$1:$C$1,),))</f>
        <v/>
      </c>
      <c r="C12049">
        <f>IF(VLOOKUP(Table7[[#This Row],[Date]],Database!$A:$C,MATCH($C$1,Database!$A$1:$C$1,),)=0,#N/A,VLOOKUP(Table7[[#This Row],[Date]],Database!$A:$C,MATCH($C$1,Database!$A$1:$C$1,),))</f>
        <v/>
      </c>
      <c r="D12049">
        <f>IFERROR(Table7[[#This Row],[United States 10y]]-Table7[[#This Row],[United States 3y]],#N/A)</f>
        <v/>
      </c>
    </row>
    <row r="12050">
      <c r="A12050" s="6">
        <f>Database!$A14135</f>
        <v/>
      </c>
      <c r="B12050">
        <f>IF(VLOOKUP(Table7[[#This Row],[Date]],Database!$A:$C,MATCH($B$1,Database!$A$1:$C$1,),)=0,#N/A,VLOOKUP(Table7[[#This Row],[Date]],Database!$A:$C,MATCH($B$1,Database!$A$1:$C$1,),))</f>
        <v/>
      </c>
      <c r="C12050">
        <f>IF(VLOOKUP(Table7[[#This Row],[Date]],Database!$A:$C,MATCH($C$1,Database!$A$1:$C$1,),)=0,#N/A,VLOOKUP(Table7[[#This Row],[Date]],Database!$A:$C,MATCH($C$1,Database!$A$1:$C$1,),))</f>
        <v/>
      </c>
      <c r="D12050">
        <f>IFERROR(Table7[[#This Row],[United States 10y]]-Table7[[#This Row],[United States 3y]],#N/A)</f>
        <v/>
      </c>
    </row>
    <row r="12051">
      <c r="A12051" s="6">
        <f>Database!$A14136</f>
        <v/>
      </c>
      <c r="B12051">
        <f>IF(VLOOKUP(Table7[[#This Row],[Date]],Database!$A:$C,MATCH($B$1,Database!$A$1:$C$1,),)=0,#N/A,VLOOKUP(Table7[[#This Row],[Date]],Database!$A:$C,MATCH($B$1,Database!$A$1:$C$1,),))</f>
        <v/>
      </c>
      <c r="C12051">
        <f>IF(VLOOKUP(Table7[[#This Row],[Date]],Database!$A:$C,MATCH($C$1,Database!$A$1:$C$1,),)=0,#N/A,VLOOKUP(Table7[[#This Row],[Date]],Database!$A:$C,MATCH($C$1,Database!$A$1:$C$1,),))</f>
        <v/>
      </c>
      <c r="D12051">
        <f>IFERROR(Table7[[#This Row],[United States 10y]]-Table7[[#This Row],[United States 3y]],#N/A)</f>
        <v/>
      </c>
    </row>
    <row r="12052">
      <c r="A12052" s="6">
        <f>Database!$A14137</f>
        <v/>
      </c>
      <c r="B12052">
        <f>IF(VLOOKUP(Table7[[#This Row],[Date]],Database!$A:$C,MATCH($B$1,Database!$A$1:$C$1,),)=0,#N/A,VLOOKUP(Table7[[#This Row],[Date]],Database!$A:$C,MATCH($B$1,Database!$A$1:$C$1,),))</f>
        <v/>
      </c>
      <c r="C12052">
        <f>IF(VLOOKUP(Table7[[#This Row],[Date]],Database!$A:$C,MATCH($C$1,Database!$A$1:$C$1,),)=0,#N/A,VLOOKUP(Table7[[#This Row],[Date]],Database!$A:$C,MATCH($C$1,Database!$A$1:$C$1,),))</f>
        <v/>
      </c>
      <c r="D12052">
        <f>IFERROR(Table7[[#This Row],[United States 10y]]-Table7[[#This Row],[United States 3y]],#N/A)</f>
        <v/>
      </c>
    </row>
    <row r="12053">
      <c r="A12053" s="6">
        <f>Database!$A14138</f>
        <v/>
      </c>
      <c r="B12053">
        <f>IF(VLOOKUP(Table7[[#This Row],[Date]],Database!$A:$C,MATCH($B$1,Database!$A$1:$C$1,),)=0,#N/A,VLOOKUP(Table7[[#This Row],[Date]],Database!$A:$C,MATCH($B$1,Database!$A$1:$C$1,),))</f>
        <v/>
      </c>
      <c r="C12053">
        <f>IF(VLOOKUP(Table7[[#This Row],[Date]],Database!$A:$C,MATCH($C$1,Database!$A$1:$C$1,),)=0,#N/A,VLOOKUP(Table7[[#This Row],[Date]],Database!$A:$C,MATCH($C$1,Database!$A$1:$C$1,),))</f>
        <v/>
      </c>
      <c r="D12053">
        <f>IFERROR(Table7[[#This Row],[United States 10y]]-Table7[[#This Row],[United States 3y]],#N/A)</f>
        <v/>
      </c>
    </row>
    <row r="12054">
      <c r="A12054" s="6">
        <f>Database!$A14139</f>
        <v/>
      </c>
      <c r="B12054">
        <f>IF(VLOOKUP(Table7[[#This Row],[Date]],Database!$A:$C,MATCH($B$1,Database!$A$1:$C$1,),)=0,#N/A,VLOOKUP(Table7[[#This Row],[Date]],Database!$A:$C,MATCH($B$1,Database!$A$1:$C$1,),))</f>
        <v/>
      </c>
      <c r="C12054">
        <f>IF(VLOOKUP(Table7[[#This Row],[Date]],Database!$A:$C,MATCH($C$1,Database!$A$1:$C$1,),)=0,#N/A,VLOOKUP(Table7[[#This Row],[Date]],Database!$A:$C,MATCH($C$1,Database!$A$1:$C$1,),))</f>
        <v/>
      </c>
      <c r="D12054">
        <f>IFERROR(Table7[[#This Row],[United States 10y]]-Table7[[#This Row],[United States 3y]],#N/A)</f>
        <v/>
      </c>
    </row>
    <row r="12055">
      <c r="A12055" s="6">
        <f>Database!$A14140</f>
        <v/>
      </c>
      <c r="B12055">
        <f>IF(VLOOKUP(Table7[[#This Row],[Date]],Database!$A:$C,MATCH($B$1,Database!$A$1:$C$1,),)=0,#N/A,VLOOKUP(Table7[[#This Row],[Date]],Database!$A:$C,MATCH($B$1,Database!$A$1:$C$1,),))</f>
        <v/>
      </c>
      <c r="C12055">
        <f>IF(VLOOKUP(Table7[[#This Row],[Date]],Database!$A:$C,MATCH($C$1,Database!$A$1:$C$1,),)=0,#N/A,VLOOKUP(Table7[[#This Row],[Date]],Database!$A:$C,MATCH($C$1,Database!$A$1:$C$1,),))</f>
        <v/>
      </c>
      <c r="D12055">
        <f>IFERROR(Table7[[#This Row],[United States 10y]]-Table7[[#This Row],[United States 3y]],#N/A)</f>
        <v/>
      </c>
    </row>
    <row r="12056">
      <c r="A12056" s="6">
        <f>Database!$A14141</f>
        <v/>
      </c>
      <c r="B12056">
        <f>IF(VLOOKUP(Table7[[#This Row],[Date]],Database!$A:$C,MATCH($B$1,Database!$A$1:$C$1,),)=0,#N/A,VLOOKUP(Table7[[#This Row],[Date]],Database!$A:$C,MATCH($B$1,Database!$A$1:$C$1,),))</f>
        <v/>
      </c>
      <c r="C12056">
        <f>IF(VLOOKUP(Table7[[#This Row],[Date]],Database!$A:$C,MATCH($C$1,Database!$A$1:$C$1,),)=0,#N/A,VLOOKUP(Table7[[#This Row],[Date]],Database!$A:$C,MATCH($C$1,Database!$A$1:$C$1,),))</f>
        <v/>
      </c>
      <c r="D12056">
        <f>IFERROR(Table7[[#This Row],[United States 10y]]-Table7[[#This Row],[United States 3y]],#N/A)</f>
        <v/>
      </c>
    </row>
    <row r="12057">
      <c r="A12057" s="6">
        <f>Database!$A14142</f>
        <v/>
      </c>
      <c r="B12057">
        <f>IF(VLOOKUP(Table7[[#This Row],[Date]],Database!$A:$C,MATCH($B$1,Database!$A$1:$C$1,),)=0,#N/A,VLOOKUP(Table7[[#This Row],[Date]],Database!$A:$C,MATCH($B$1,Database!$A$1:$C$1,),))</f>
        <v/>
      </c>
      <c r="C12057">
        <f>IF(VLOOKUP(Table7[[#This Row],[Date]],Database!$A:$C,MATCH($C$1,Database!$A$1:$C$1,),)=0,#N/A,VLOOKUP(Table7[[#This Row],[Date]],Database!$A:$C,MATCH($C$1,Database!$A$1:$C$1,),))</f>
        <v/>
      </c>
      <c r="D12057">
        <f>IFERROR(Table7[[#This Row],[United States 10y]]-Table7[[#This Row],[United States 3y]],#N/A)</f>
        <v/>
      </c>
    </row>
    <row r="12058">
      <c r="A12058" s="6">
        <f>Database!$A14143</f>
        <v/>
      </c>
      <c r="B12058">
        <f>IF(VLOOKUP(Table7[[#This Row],[Date]],Database!$A:$C,MATCH($B$1,Database!$A$1:$C$1,),)=0,#N/A,VLOOKUP(Table7[[#This Row],[Date]],Database!$A:$C,MATCH($B$1,Database!$A$1:$C$1,),))</f>
        <v/>
      </c>
      <c r="C12058">
        <f>IF(VLOOKUP(Table7[[#This Row],[Date]],Database!$A:$C,MATCH($C$1,Database!$A$1:$C$1,),)=0,#N/A,VLOOKUP(Table7[[#This Row],[Date]],Database!$A:$C,MATCH($C$1,Database!$A$1:$C$1,),))</f>
        <v/>
      </c>
      <c r="D12058">
        <f>IFERROR(Table7[[#This Row],[United States 10y]]-Table7[[#This Row],[United States 3y]],#N/A)</f>
        <v/>
      </c>
    </row>
    <row r="12059">
      <c r="A12059" s="6">
        <f>Database!$A14144</f>
        <v/>
      </c>
      <c r="B12059">
        <f>IF(VLOOKUP(Table7[[#This Row],[Date]],Database!$A:$C,MATCH($B$1,Database!$A$1:$C$1,),)=0,#N/A,VLOOKUP(Table7[[#This Row],[Date]],Database!$A:$C,MATCH($B$1,Database!$A$1:$C$1,),))</f>
        <v/>
      </c>
      <c r="C12059">
        <f>IF(VLOOKUP(Table7[[#This Row],[Date]],Database!$A:$C,MATCH($C$1,Database!$A$1:$C$1,),)=0,#N/A,VLOOKUP(Table7[[#This Row],[Date]],Database!$A:$C,MATCH($C$1,Database!$A$1:$C$1,),))</f>
        <v/>
      </c>
      <c r="D12059">
        <f>IFERROR(Table7[[#This Row],[United States 10y]]-Table7[[#This Row],[United States 3y]],#N/A)</f>
        <v/>
      </c>
    </row>
    <row r="12060">
      <c r="A12060" s="6">
        <f>Database!$A14145</f>
        <v/>
      </c>
      <c r="B12060">
        <f>IF(VLOOKUP(Table7[[#This Row],[Date]],Database!$A:$C,MATCH($B$1,Database!$A$1:$C$1,),)=0,#N/A,VLOOKUP(Table7[[#This Row],[Date]],Database!$A:$C,MATCH($B$1,Database!$A$1:$C$1,),))</f>
        <v/>
      </c>
      <c r="C12060">
        <f>IF(VLOOKUP(Table7[[#This Row],[Date]],Database!$A:$C,MATCH($C$1,Database!$A$1:$C$1,),)=0,#N/A,VLOOKUP(Table7[[#This Row],[Date]],Database!$A:$C,MATCH($C$1,Database!$A$1:$C$1,),))</f>
        <v/>
      </c>
      <c r="D12060">
        <f>IFERROR(Table7[[#This Row],[United States 10y]]-Table7[[#This Row],[United States 3y]],#N/A)</f>
        <v/>
      </c>
    </row>
    <row r="12061">
      <c r="A12061" s="6">
        <f>Database!$A14146</f>
        <v/>
      </c>
      <c r="B12061">
        <f>IF(VLOOKUP(Table7[[#This Row],[Date]],Database!$A:$C,MATCH($B$1,Database!$A$1:$C$1,),)=0,#N/A,VLOOKUP(Table7[[#This Row],[Date]],Database!$A:$C,MATCH($B$1,Database!$A$1:$C$1,),))</f>
        <v/>
      </c>
      <c r="C12061">
        <f>IF(VLOOKUP(Table7[[#This Row],[Date]],Database!$A:$C,MATCH($C$1,Database!$A$1:$C$1,),)=0,#N/A,VLOOKUP(Table7[[#This Row],[Date]],Database!$A:$C,MATCH($C$1,Database!$A$1:$C$1,),))</f>
        <v/>
      </c>
      <c r="D12061">
        <f>IFERROR(Table7[[#This Row],[United States 10y]]-Table7[[#This Row],[United States 3y]],#N/A)</f>
        <v/>
      </c>
    </row>
    <row r="12062">
      <c r="A12062" s="6">
        <f>Database!$A14147</f>
        <v/>
      </c>
      <c r="B12062">
        <f>IF(VLOOKUP(Table7[[#This Row],[Date]],Database!$A:$C,MATCH($B$1,Database!$A$1:$C$1,),)=0,#N/A,VLOOKUP(Table7[[#This Row],[Date]],Database!$A:$C,MATCH($B$1,Database!$A$1:$C$1,),))</f>
        <v/>
      </c>
      <c r="C12062">
        <f>IF(VLOOKUP(Table7[[#This Row],[Date]],Database!$A:$C,MATCH($C$1,Database!$A$1:$C$1,),)=0,#N/A,VLOOKUP(Table7[[#This Row],[Date]],Database!$A:$C,MATCH($C$1,Database!$A$1:$C$1,),))</f>
        <v/>
      </c>
      <c r="D12062">
        <f>IFERROR(Table7[[#This Row],[United States 10y]]-Table7[[#This Row],[United States 3y]],#N/A)</f>
        <v/>
      </c>
    </row>
    <row r="12063">
      <c r="A12063" s="6">
        <f>Database!$A14148</f>
        <v/>
      </c>
      <c r="B12063">
        <f>IF(VLOOKUP(Table7[[#This Row],[Date]],Database!$A:$C,MATCH($B$1,Database!$A$1:$C$1,),)=0,#N/A,VLOOKUP(Table7[[#This Row],[Date]],Database!$A:$C,MATCH($B$1,Database!$A$1:$C$1,),))</f>
        <v/>
      </c>
      <c r="C12063">
        <f>IF(VLOOKUP(Table7[[#This Row],[Date]],Database!$A:$C,MATCH($C$1,Database!$A$1:$C$1,),)=0,#N/A,VLOOKUP(Table7[[#This Row],[Date]],Database!$A:$C,MATCH($C$1,Database!$A$1:$C$1,),))</f>
        <v/>
      </c>
      <c r="D12063">
        <f>IFERROR(Table7[[#This Row],[United States 10y]]-Table7[[#This Row],[United States 3y]],#N/A)</f>
        <v/>
      </c>
    </row>
    <row r="12064">
      <c r="A12064" s="6">
        <f>Database!$A14149</f>
        <v/>
      </c>
      <c r="B12064">
        <f>IF(VLOOKUP(Table7[[#This Row],[Date]],Database!$A:$C,MATCH($B$1,Database!$A$1:$C$1,),)=0,#N/A,VLOOKUP(Table7[[#This Row],[Date]],Database!$A:$C,MATCH($B$1,Database!$A$1:$C$1,),))</f>
        <v/>
      </c>
      <c r="C12064">
        <f>IF(VLOOKUP(Table7[[#This Row],[Date]],Database!$A:$C,MATCH($C$1,Database!$A$1:$C$1,),)=0,#N/A,VLOOKUP(Table7[[#This Row],[Date]],Database!$A:$C,MATCH($C$1,Database!$A$1:$C$1,),))</f>
        <v/>
      </c>
      <c r="D12064">
        <f>IFERROR(Table7[[#This Row],[United States 10y]]-Table7[[#This Row],[United States 3y]],#N/A)</f>
        <v/>
      </c>
    </row>
    <row r="12065">
      <c r="A12065" s="6">
        <f>Database!$A14150</f>
        <v/>
      </c>
      <c r="B12065">
        <f>IF(VLOOKUP(Table7[[#This Row],[Date]],Database!$A:$C,MATCH($B$1,Database!$A$1:$C$1,),)=0,#N/A,VLOOKUP(Table7[[#This Row],[Date]],Database!$A:$C,MATCH($B$1,Database!$A$1:$C$1,),))</f>
        <v/>
      </c>
      <c r="C12065">
        <f>IF(VLOOKUP(Table7[[#This Row],[Date]],Database!$A:$C,MATCH($C$1,Database!$A$1:$C$1,),)=0,#N/A,VLOOKUP(Table7[[#This Row],[Date]],Database!$A:$C,MATCH($C$1,Database!$A$1:$C$1,),))</f>
        <v/>
      </c>
      <c r="D12065">
        <f>IFERROR(Table7[[#This Row],[United States 10y]]-Table7[[#This Row],[United States 3y]],#N/A)</f>
        <v/>
      </c>
    </row>
    <row r="12066">
      <c r="A12066" s="6">
        <f>Database!$A14151</f>
        <v/>
      </c>
      <c r="B12066">
        <f>IF(VLOOKUP(Table7[[#This Row],[Date]],Database!$A:$C,MATCH($B$1,Database!$A$1:$C$1,),)=0,#N/A,VLOOKUP(Table7[[#This Row],[Date]],Database!$A:$C,MATCH($B$1,Database!$A$1:$C$1,),))</f>
        <v/>
      </c>
      <c r="C12066">
        <f>IF(VLOOKUP(Table7[[#This Row],[Date]],Database!$A:$C,MATCH($C$1,Database!$A$1:$C$1,),)=0,#N/A,VLOOKUP(Table7[[#This Row],[Date]],Database!$A:$C,MATCH($C$1,Database!$A$1:$C$1,),))</f>
        <v/>
      </c>
      <c r="D12066">
        <f>IFERROR(Table7[[#This Row],[United States 10y]]-Table7[[#This Row],[United States 3y]],#N/A)</f>
        <v/>
      </c>
    </row>
    <row r="12067">
      <c r="A12067" s="6">
        <f>Database!$A14152</f>
        <v/>
      </c>
      <c r="B12067">
        <f>IF(VLOOKUP(Table7[[#This Row],[Date]],Database!$A:$C,MATCH($B$1,Database!$A$1:$C$1,),)=0,#N/A,VLOOKUP(Table7[[#This Row],[Date]],Database!$A:$C,MATCH($B$1,Database!$A$1:$C$1,),))</f>
        <v/>
      </c>
      <c r="C12067">
        <f>IF(VLOOKUP(Table7[[#This Row],[Date]],Database!$A:$C,MATCH($C$1,Database!$A$1:$C$1,),)=0,#N/A,VLOOKUP(Table7[[#This Row],[Date]],Database!$A:$C,MATCH($C$1,Database!$A$1:$C$1,),))</f>
        <v/>
      </c>
      <c r="D12067">
        <f>IFERROR(Table7[[#This Row],[United States 10y]]-Table7[[#This Row],[United States 3y]],#N/A)</f>
        <v/>
      </c>
    </row>
    <row r="12068">
      <c r="A12068" s="6">
        <f>Database!$A14153</f>
        <v/>
      </c>
      <c r="B12068">
        <f>IF(VLOOKUP(Table7[[#This Row],[Date]],Database!$A:$C,MATCH($B$1,Database!$A$1:$C$1,),)=0,#N/A,VLOOKUP(Table7[[#This Row],[Date]],Database!$A:$C,MATCH($B$1,Database!$A$1:$C$1,),))</f>
        <v/>
      </c>
      <c r="C12068">
        <f>IF(VLOOKUP(Table7[[#This Row],[Date]],Database!$A:$C,MATCH($C$1,Database!$A$1:$C$1,),)=0,#N/A,VLOOKUP(Table7[[#This Row],[Date]],Database!$A:$C,MATCH($C$1,Database!$A$1:$C$1,),))</f>
        <v/>
      </c>
      <c r="D12068">
        <f>IFERROR(Table7[[#This Row],[United States 10y]]-Table7[[#This Row],[United States 3y]],#N/A)</f>
        <v/>
      </c>
    </row>
    <row r="12069">
      <c r="A12069" s="6">
        <f>Database!$A14154</f>
        <v/>
      </c>
      <c r="B12069">
        <f>IF(VLOOKUP(Table7[[#This Row],[Date]],Database!$A:$C,MATCH($B$1,Database!$A$1:$C$1,),)=0,#N/A,VLOOKUP(Table7[[#This Row],[Date]],Database!$A:$C,MATCH($B$1,Database!$A$1:$C$1,),))</f>
        <v/>
      </c>
      <c r="C12069">
        <f>IF(VLOOKUP(Table7[[#This Row],[Date]],Database!$A:$C,MATCH($C$1,Database!$A$1:$C$1,),)=0,#N/A,VLOOKUP(Table7[[#This Row],[Date]],Database!$A:$C,MATCH($C$1,Database!$A$1:$C$1,),))</f>
        <v/>
      </c>
      <c r="D12069">
        <f>IFERROR(Table7[[#This Row],[United States 10y]]-Table7[[#This Row],[United States 3y]],#N/A)</f>
        <v/>
      </c>
    </row>
    <row r="12070">
      <c r="A12070" s="6">
        <f>Database!$A14155</f>
        <v/>
      </c>
      <c r="B12070">
        <f>IF(VLOOKUP(Table7[[#This Row],[Date]],Database!$A:$C,MATCH($B$1,Database!$A$1:$C$1,),)=0,#N/A,VLOOKUP(Table7[[#This Row],[Date]],Database!$A:$C,MATCH($B$1,Database!$A$1:$C$1,),))</f>
        <v/>
      </c>
      <c r="C12070">
        <f>IF(VLOOKUP(Table7[[#This Row],[Date]],Database!$A:$C,MATCH($C$1,Database!$A$1:$C$1,),)=0,#N/A,VLOOKUP(Table7[[#This Row],[Date]],Database!$A:$C,MATCH($C$1,Database!$A$1:$C$1,),))</f>
        <v/>
      </c>
      <c r="D12070">
        <f>IFERROR(Table7[[#This Row],[United States 10y]]-Table7[[#This Row],[United States 3y]],#N/A)</f>
        <v/>
      </c>
    </row>
    <row r="12071">
      <c r="A12071" s="6">
        <f>Database!$A14156</f>
        <v/>
      </c>
      <c r="B12071">
        <f>IF(VLOOKUP(Table7[[#This Row],[Date]],Database!$A:$C,MATCH($B$1,Database!$A$1:$C$1,),)=0,#N/A,VLOOKUP(Table7[[#This Row],[Date]],Database!$A:$C,MATCH($B$1,Database!$A$1:$C$1,),))</f>
        <v/>
      </c>
      <c r="C12071">
        <f>IF(VLOOKUP(Table7[[#This Row],[Date]],Database!$A:$C,MATCH($C$1,Database!$A$1:$C$1,),)=0,#N/A,VLOOKUP(Table7[[#This Row],[Date]],Database!$A:$C,MATCH($C$1,Database!$A$1:$C$1,),))</f>
        <v/>
      </c>
      <c r="D12071">
        <f>IFERROR(Table7[[#This Row],[United States 10y]]-Table7[[#This Row],[United States 3y]],#N/A)</f>
        <v/>
      </c>
    </row>
    <row r="12072">
      <c r="A12072" s="6">
        <f>Database!$A14157</f>
        <v/>
      </c>
      <c r="B12072">
        <f>IF(VLOOKUP(Table7[[#This Row],[Date]],Database!$A:$C,MATCH($B$1,Database!$A$1:$C$1,),)=0,#N/A,VLOOKUP(Table7[[#This Row],[Date]],Database!$A:$C,MATCH($B$1,Database!$A$1:$C$1,),))</f>
        <v/>
      </c>
      <c r="C12072">
        <f>IF(VLOOKUP(Table7[[#This Row],[Date]],Database!$A:$C,MATCH($C$1,Database!$A$1:$C$1,),)=0,#N/A,VLOOKUP(Table7[[#This Row],[Date]],Database!$A:$C,MATCH($C$1,Database!$A$1:$C$1,),))</f>
        <v/>
      </c>
      <c r="D12072">
        <f>IFERROR(Table7[[#This Row],[United States 10y]]-Table7[[#This Row],[United States 3y]],#N/A)</f>
        <v/>
      </c>
    </row>
    <row r="12073">
      <c r="A12073" s="6">
        <f>Database!$A14158</f>
        <v/>
      </c>
      <c r="B12073">
        <f>IF(VLOOKUP(Table7[[#This Row],[Date]],Database!$A:$C,MATCH($B$1,Database!$A$1:$C$1,),)=0,#N/A,VLOOKUP(Table7[[#This Row],[Date]],Database!$A:$C,MATCH($B$1,Database!$A$1:$C$1,),))</f>
        <v/>
      </c>
      <c r="C12073">
        <f>IF(VLOOKUP(Table7[[#This Row],[Date]],Database!$A:$C,MATCH($C$1,Database!$A$1:$C$1,),)=0,#N/A,VLOOKUP(Table7[[#This Row],[Date]],Database!$A:$C,MATCH($C$1,Database!$A$1:$C$1,),))</f>
        <v/>
      </c>
      <c r="D12073">
        <f>IFERROR(Table7[[#This Row],[United States 10y]]-Table7[[#This Row],[United States 3y]],#N/A)</f>
        <v/>
      </c>
    </row>
    <row r="12074">
      <c r="A12074" s="6">
        <f>Database!$A14159</f>
        <v/>
      </c>
      <c r="B12074">
        <f>IF(VLOOKUP(Table7[[#This Row],[Date]],Database!$A:$C,MATCH($B$1,Database!$A$1:$C$1,),)=0,#N/A,VLOOKUP(Table7[[#This Row],[Date]],Database!$A:$C,MATCH($B$1,Database!$A$1:$C$1,),))</f>
        <v/>
      </c>
      <c r="C12074">
        <f>IF(VLOOKUP(Table7[[#This Row],[Date]],Database!$A:$C,MATCH($C$1,Database!$A$1:$C$1,),)=0,#N/A,VLOOKUP(Table7[[#This Row],[Date]],Database!$A:$C,MATCH($C$1,Database!$A$1:$C$1,),))</f>
        <v/>
      </c>
      <c r="D12074">
        <f>IFERROR(Table7[[#This Row],[United States 10y]]-Table7[[#This Row],[United States 3y]],#N/A)</f>
        <v/>
      </c>
    </row>
    <row r="12075">
      <c r="A12075" s="6">
        <f>Database!$A14160</f>
        <v/>
      </c>
      <c r="B12075">
        <f>IF(VLOOKUP(Table7[[#This Row],[Date]],Database!$A:$C,MATCH($B$1,Database!$A$1:$C$1,),)=0,#N/A,VLOOKUP(Table7[[#This Row],[Date]],Database!$A:$C,MATCH($B$1,Database!$A$1:$C$1,),))</f>
        <v/>
      </c>
      <c r="C12075">
        <f>IF(VLOOKUP(Table7[[#This Row],[Date]],Database!$A:$C,MATCH($C$1,Database!$A$1:$C$1,),)=0,#N/A,VLOOKUP(Table7[[#This Row],[Date]],Database!$A:$C,MATCH($C$1,Database!$A$1:$C$1,),))</f>
        <v/>
      </c>
      <c r="D12075">
        <f>IFERROR(Table7[[#This Row],[United States 10y]]-Table7[[#This Row],[United States 3y]],#N/A)</f>
        <v/>
      </c>
    </row>
    <row r="12076">
      <c r="A12076" s="6">
        <f>Database!$A14161</f>
        <v/>
      </c>
      <c r="B12076">
        <f>IF(VLOOKUP(Table7[[#This Row],[Date]],Database!$A:$C,MATCH($B$1,Database!$A$1:$C$1,),)=0,#N/A,VLOOKUP(Table7[[#This Row],[Date]],Database!$A:$C,MATCH($B$1,Database!$A$1:$C$1,),))</f>
        <v/>
      </c>
      <c r="C12076">
        <f>IF(VLOOKUP(Table7[[#This Row],[Date]],Database!$A:$C,MATCH($C$1,Database!$A$1:$C$1,),)=0,#N/A,VLOOKUP(Table7[[#This Row],[Date]],Database!$A:$C,MATCH($C$1,Database!$A$1:$C$1,),))</f>
        <v/>
      </c>
      <c r="D12076">
        <f>IFERROR(Table7[[#This Row],[United States 10y]]-Table7[[#This Row],[United States 3y]],#N/A)</f>
        <v/>
      </c>
    </row>
    <row r="12077">
      <c r="A12077" s="6">
        <f>Database!$A14162</f>
        <v/>
      </c>
      <c r="B12077">
        <f>IF(VLOOKUP(Table7[[#This Row],[Date]],Database!$A:$C,MATCH($B$1,Database!$A$1:$C$1,),)=0,#N/A,VLOOKUP(Table7[[#This Row],[Date]],Database!$A:$C,MATCH($B$1,Database!$A$1:$C$1,),))</f>
        <v/>
      </c>
      <c r="C12077">
        <f>IF(VLOOKUP(Table7[[#This Row],[Date]],Database!$A:$C,MATCH($C$1,Database!$A$1:$C$1,),)=0,#N/A,VLOOKUP(Table7[[#This Row],[Date]],Database!$A:$C,MATCH($C$1,Database!$A$1:$C$1,),))</f>
        <v/>
      </c>
      <c r="D12077">
        <f>IFERROR(Table7[[#This Row],[United States 10y]]-Table7[[#This Row],[United States 3y]],#N/A)</f>
        <v/>
      </c>
    </row>
    <row r="12078">
      <c r="A12078" s="6">
        <f>Database!$A14163</f>
        <v/>
      </c>
      <c r="B12078">
        <f>IF(VLOOKUP(Table7[[#This Row],[Date]],Database!$A:$C,MATCH($B$1,Database!$A$1:$C$1,),)=0,#N/A,VLOOKUP(Table7[[#This Row],[Date]],Database!$A:$C,MATCH($B$1,Database!$A$1:$C$1,),))</f>
        <v/>
      </c>
      <c r="C12078">
        <f>IF(VLOOKUP(Table7[[#This Row],[Date]],Database!$A:$C,MATCH($C$1,Database!$A$1:$C$1,),)=0,#N/A,VLOOKUP(Table7[[#This Row],[Date]],Database!$A:$C,MATCH($C$1,Database!$A$1:$C$1,),))</f>
        <v/>
      </c>
      <c r="D12078">
        <f>IFERROR(Table7[[#This Row],[United States 10y]]-Table7[[#This Row],[United States 3y]],#N/A)</f>
        <v/>
      </c>
    </row>
    <row r="12079">
      <c r="A12079" s="6">
        <f>Database!$A14164</f>
        <v/>
      </c>
      <c r="B12079">
        <f>IF(VLOOKUP(Table7[[#This Row],[Date]],Database!$A:$C,MATCH($B$1,Database!$A$1:$C$1,),)=0,#N/A,VLOOKUP(Table7[[#This Row],[Date]],Database!$A:$C,MATCH($B$1,Database!$A$1:$C$1,),))</f>
        <v/>
      </c>
      <c r="C12079">
        <f>IF(VLOOKUP(Table7[[#This Row],[Date]],Database!$A:$C,MATCH($C$1,Database!$A$1:$C$1,),)=0,#N/A,VLOOKUP(Table7[[#This Row],[Date]],Database!$A:$C,MATCH($C$1,Database!$A$1:$C$1,),))</f>
        <v/>
      </c>
      <c r="D12079">
        <f>IFERROR(Table7[[#This Row],[United States 10y]]-Table7[[#This Row],[United States 3y]],#N/A)</f>
        <v/>
      </c>
    </row>
    <row r="12080">
      <c r="A12080" s="6">
        <f>Database!$A14165</f>
        <v/>
      </c>
      <c r="B12080">
        <f>IF(VLOOKUP(Table7[[#This Row],[Date]],Database!$A:$C,MATCH($B$1,Database!$A$1:$C$1,),)=0,#N/A,VLOOKUP(Table7[[#This Row],[Date]],Database!$A:$C,MATCH($B$1,Database!$A$1:$C$1,),))</f>
        <v/>
      </c>
      <c r="C12080">
        <f>IF(VLOOKUP(Table7[[#This Row],[Date]],Database!$A:$C,MATCH($C$1,Database!$A$1:$C$1,),)=0,#N/A,VLOOKUP(Table7[[#This Row],[Date]],Database!$A:$C,MATCH($C$1,Database!$A$1:$C$1,),))</f>
        <v/>
      </c>
      <c r="D12080">
        <f>IFERROR(Table7[[#This Row],[United States 10y]]-Table7[[#This Row],[United States 3y]],#N/A)</f>
        <v/>
      </c>
    </row>
    <row r="12081">
      <c r="A12081" s="6">
        <f>Database!$A14166</f>
        <v/>
      </c>
      <c r="B12081">
        <f>IF(VLOOKUP(Table7[[#This Row],[Date]],Database!$A:$C,MATCH($B$1,Database!$A$1:$C$1,),)=0,#N/A,VLOOKUP(Table7[[#This Row],[Date]],Database!$A:$C,MATCH($B$1,Database!$A$1:$C$1,),))</f>
        <v/>
      </c>
      <c r="C12081">
        <f>IF(VLOOKUP(Table7[[#This Row],[Date]],Database!$A:$C,MATCH($C$1,Database!$A$1:$C$1,),)=0,#N/A,VLOOKUP(Table7[[#This Row],[Date]],Database!$A:$C,MATCH($C$1,Database!$A$1:$C$1,),))</f>
        <v/>
      </c>
      <c r="D12081">
        <f>IFERROR(Table7[[#This Row],[United States 10y]]-Table7[[#This Row],[United States 3y]],#N/A)</f>
        <v/>
      </c>
    </row>
    <row r="12082">
      <c r="A12082" s="6">
        <f>Database!$A14167</f>
        <v/>
      </c>
      <c r="B12082">
        <f>IF(VLOOKUP(Table7[[#This Row],[Date]],Database!$A:$C,MATCH($B$1,Database!$A$1:$C$1,),)=0,#N/A,VLOOKUP(Table7[[#This Row],[Date]],Database!$A:$C,MATCH($B$1,Database!$A$1:$C$1,),))</f>
        <v/>
      </c>
      <c r="C12082">
        <f>IF(VLOOKUP(Table7[[#This Row],[Date]],Database!$A:$C,MATCH($C$1,Database!$A$1:$C$1,),)=0,#N/A,VLOOKUP(Table7[[#This Row],[Date]],Database!$A:$C,MATCH($C$1,Database!$A$1:$C$1,),))</f>
        <v/>
      </c>
      <c r="D12082">
        <f>IFERROR(Table7[[#This Row],[United States 10y]]-Table7[[#This Row],[United States 3y]],#N/A)</f>
        <v/>
      </c>
    </row>
    <row r="12083">
      <c r="A12083" s="6">
        <f>Database!$A14168</f>
        <v/>
      </c>
      <c r="B12083">
        <f>IF(VLOOKUP(Table7[[#This Row],[Date]],Database!$A:$C,MATCH($B$1,Database!$A$1:$C$1,),)=0,#N/A,VLOOKUP(Table7[[#This Row],[Date]],Database!$A:$C,MATCH($B$1,Database!$A$1:$C$1,),))</f>
        <v/>
      </c>
      <c r="C12083">
        <f>IF(VLOOKUP(Table7[[#This Row],[Date]],Database!$A:$C,MATCH($C$1,Database!$A$1:$C$1,),)=0,#N/A,VLOOKUP(Table7[[#This Row],[Date]],Database!$A:$C,MATCH($C$1,Database!$A$1:$C$1,),))</f>
        <v/>
      </c>
      <c r="D12083">
        <f>IFERROR(Table7[[#This Row],[United States 10y]]-Table7[[#This Row],[United States 3y]],#N/A)</f>
        <v/>
      </c>
    </row>
    <row r="12084">
      <c r="A12084" s="6">
        <f>Database!$A14169</f>
        <v/>
      </c>
      <c r="B12084">
        <f>IF(VLOOKUP(Table7[[#This Row],[Date]],Database!$A:$C,MATCH($B$1,Database!$A$1:$C$1,),)=0,#N/A,VLOOKUP(Table7[[#This Row],[Date]],Database!$A:$C,MATCH($B$1,Database!$A$1:$C$1,),))</f>
        <v/>
      </c>
      <c r="C12084">
        <f>IF(VLOOKUP(Table7[[#This Row],[Date]],Database!$A:$C,MATCH($C$1,Database!$A$1:$C$1,),)=0,#N/A,VLOOKUP(Table7[[#This Row],[Date]],Database!$A:$C,MATCH($C$1,Database!$A$1:$C$1,),))</f>
        <v/>
      </c>
      <c r="D12084">
        <f>IFERROR(Table7[[#This Row],[United States 10y]]-Table7[[#This Row],[United States 3y]],#N/A)</f>
        <v/>
      </c>
    </row>
    <row r="12085">
      <c r="A12085" s="6">
        <f>Database!$A14170</f>
        <v/>
      </c>
      <c r="B12085">
        <f>IF(VLOOKUP(Table7[[#This Row],[Date]],Database!$A:$C,MATCH($B$1,Database!$A$1:$C$1,),)=0,#N/A,VLOOKUP(Table7[[#This Row],[Date]],Database!$A:$C,MATCH($B$1,Database!$A$1:$C$1,),))</f>
        <v/>
      </c>
      <c r="C12085">
        <f>IF(VLOOKUP(Table7[[#This Row],[Date]],Database!$A:$C,MATCH($C$1,Database!$A$1:$C$1,),)=0,#N/A,VLOOKUP(Table7[[#This Row],[Date]],Database!$A:$C,MATCH($C$1,Database!$A$1:$C$1,),))</f>
        <v/>
      </c>
      <c r="D12085">
        <f>IFERROR(Table7[[#This Row],[United States 10y]]-Table7[[#This Row],[United States 3y]],#N/A)</f>
        <v/>
      </c>
    </row>
    <row r="12086">
      <c r="A12086" s="6">
        <f>Database!$A14171</f>
        <v/>
      </c>
      <c r="B12086">
        <f>IF(VLOOKUP(Table7[[#This Row],[Date]],Database!$A:$C,MATCH($B$1,Database!$A$1:$C$1,),)=0,#N/A,VLOOKUP(Table7[[#This Row],[Date]],Database!$A:$C,MATCH($B$1,Database!$A$1:$C$1,),))</f>
        <v/>
      </c>
      <c r="C12086">
        <f>IF(VLOOKUP(Table7[[#This Row],[Date]],Database!$A:$C,MATCH($C$1,Database!$A$1:$C$1,),)=0,#N/A,VLOOKUP(Table7[[#This Row],[Date]],Database!$A:$C,MATCH($C$1,Database!$A$1:$C$1,),))</f>
        <v/>
      </c>
      <c r="D12086">
        <f>IFERROR(Table7[[#This Row],[United States 10y]]-Table7[[#This Row],[United States 3y]],#N/A)</f>
        <v/>
      </c>
    </row>
    <row r="12087">
      <c r="A12087" s="6">
        <f>Database!$A14172</f>
        <v/>
      </c>
      <c r="B12087">
        <f>IF(VLOOKUP(Table7[[#This Row],[Date]],Database!$A:$C,MATCH($B$1,Database!$A$1:$C$1,),)=0,#N/A,VLOOKUP(Table7[[#This Row],[Date]],Database!$A:$C,MATCH($B$1,Database!$A$1:$C$1,),))</f>
        <v/>
      </c>
      <c r="C12087">
        <f>IF(VLOOKUP(Table7[[#This Row],[Date]],Database!$A:$C,MATCH($C$1,Database!$A$1:$C$1,),)=0,#N/A,VLOOKUP(Table7[[#This Row],[Date]],Database!$A:$C,MATCH($C$1,Database!$A$1:$C$1,),))</f>
        <v/>
      </c>
      <c r="D12087">
        <f>IFERROR(Table7[[#This Row],[United States 10y]]-Table7[[#This Row],[United States 3y]],#N/A)</f>
        <v/>
      </c>
    </row>
    <row r="12088">
      <c r="A12088" s="6">
        <f>Database!$A14173</f>
        <v/>
      </c>
      <c r="B12088">
        <f>IF(VLOOKUP(Table7[[#This Row],[Date]],Database!$A:$C,MATCH($B$1,Database!$A$1:$C$1,),)=0,#N/A,VLOOKUP(Table7[[#This Row],[Date]],Database!$A:$C,MATCH($B$1,Database!$A$1:$C$1,),))</f>
        <v/>
      </c>
      <c r="C12088">
        <f>IF(VLOOKUP(Table7[[#This Row],[Date]],Database!$A:$C,MATCH($C$1,Database!$A$1:$C$1,),)=0,#N/A,VLOOKUP(Table7[[#This Row],[Date]],Database!$A:$C,MATCH($C$1,Database!$A$1:$C$1,),))</f>
        <v/>
      </c>
      <c r="D12088">
        <f>IFERROR(Table7[[#This Row],[United States 10y]]-Table7[[#This Row],[United States 3y]],#N/A)</f>
        <v/>
      </c>
    </row>
    <row r="12089">
      <c r="A12089" s="6">
        <f>Database!$A14174</f>
        <v/>
      </c>
      <c r="B12089">
        <f>IF(VLOOKUP(Table7[[#This Row],[Date]],Database!$A:$C,MATCH($B$1,Database!$A$1:$C$1,),)=0,#N/A,VLOOKUP(Table7[[#This Row],[Date]],Database!$A:$C,MATCH($B$1,Database!$A$1:$C$1,),))</f>
        <v/>
      </c>
      <c r="C12089">
        <f>IF(VLOOKUP(Table7[[#This Row],[Date]],Database!$A:$C,MATCH($C$1,Database!$A$1:$C$1,),)=0,#N/A,VLOOKUP(Table7[[#This Row],[Date]],Database!$A:$C,MATCH($C$1,Database!$A$1:$C$1,),))</f>
        <v/>
      </c>
      <c r="D12089">
        <f>IFERROR(Table7[[#This Row],[United States 10y]]-Table7[[#This Row],[United States 3y]],#N/A)</f>
        <v/>
      </c>
    </row>
    <row r="12090">
      <c r="A12090" s="6">
        <f>Database!$A14175</f>
        <v/>
      </c>
      <c r="B12090">
        <f>IF(VLOOKUP(Table7[[#This Row],[Date]],Database!$A:$C,MATCH($B$1,Database!$A$1:$C$1,),)=0,#N/A,VLOOKUP(Table7[[#This Row],[Date]],Database!$A:$C,MATCH($B$1,Database!$A$1:$C$1,),))</f>
        <v/>
      </c>
      <c r="C12090">
        <f>IF(VLOOKUP(Table7[[#This Row],[Date]],Database!$A:$C,MATCH($C$1,Database!$A$1:$C$1,),)=0,#N/A,VLOOKUP(Table7[[#This Row],[Date]],Database!$A:$C,MATCH($C$1,Database!$A$1:$C$1,),))</f>
        <v/>
      </c>
      <c r="D12090">
        <f>IFERROR(Table7[[#This Row],[United States 10y]]-Table7[[#This Row],[United States 3y]],#N/A)</f>
        <v/>
      </c>
    </row>
    <row r="12091">
      <c r="A12091" s="6">
        <f>Database!$A14176</f>
        <v/>
      </c>
      <c r="B12091">
        <f>IF(VLOOKUP(Table7[[#This Row],[Date]],Database!$A:$C,MATCH($B$1,Database!$A$1:$C$1,),)=0,#N/A,VLOOKUP(Table7[[#This Row],[Date]],Database!$A:$C,MATCH($B$1,Database!$A$1:$C$1,),))</f>
        <v/>
      </c>
      <c r="C12091">
        <f>IF(VLOOKUP(Table7[[#This Row],[Date]],Database!$A:$C,MATCH($C$1,Database!$A$1:$C$1,),)=0,#N/A,VLOOKUP(Table7[[#This Row],[Date]],Database!$A:$C,MATCH($C$1,Database!$A$1:$C$1,),))</f>
        <v/>
      </c>
      <c r="D12091">
        <f>IFERROR(Table7[[#This Row],[United States 10y]]-Table7[[#This Row],[United States 3y]],#N/A)</f>
        <v/>
      </c>
    </row>
    <row r="12092">
      <c r="A12092" s="6">
        <f>Database!$A14177</f>
        <v/>
      </c>
      <c r="B12092">
        <f>IF(VLOOKUP(Table7[[#This Row],[Date]],Database!$A:$C,MATCH($B$1,Database!$A$1:$C$1,),)=0,#N/A,VLOOKUP(Table7[[#This Row],[Date]],Database!$A:$C,MATCH($B$1,Database!$A$1:$C$1,),))</f>
        <v/>
      </c>
      <c r="C12092">
        <f>IF(VLOOKUP(Table7[[#This Row],[Date]],Database!$A:$C,MATCH($C$1,Database!$A$1:$C$1,),)=0,#N/A,VLOOKUP(Table7[[#This Row],[Date]],Database!$A:$C,MATCH($C$1,Database!$A$1:$C$1,),))</f>
        <v/>
      </c>
      <c r="D12092">
        <f>IFERROR(Table7[[#This Row],[United States 10y]]-Table7[[#This Row],[United States 3y]],#N/A)</f>
        <v/>
      </c>
    </row>
    <row r="12093">
      <c r="A12093" s="6">
        <f>Database!$A14178</f>
        <v/>
      </c>
      <c r="B12093">
        <f>IF(VLOOKUP(Table7[[#This Row],[Date]],Database!$A:$C,MATCH($B$1,Database!$A$1:$C$1,),)=0,#N/A,VLOOKUP(Table7[[#This Row],[Date]],Database!$A:$C,MATCH($B$1,Database!$A$1:$C$1,),))</f>
        <v/>
      </c>
      <c r="C12093">
        <f>IF(VLOOKUP(Table7[[#This Row],[Date]],Database!$A:$C,MATCH($C$1,Database!$A$1:$C$1,),)=0,#N/A,VLOOKUP(Table7[[#This Row],[Date]],Database!$A:$C,MATCH($C$1,Database!$A$1:$C$1,),))</f>
        <v/>
      </c>
      <c r="D12093">
        <f>IFERROR(Table7[[#This Row],[United States 10y]]-Table7[[#This Row],[United States 3y]],#N/A)</f>
        <v/>
      </c>
    </row>
    <row r="12094">
      <c r="A12094" s="6">
        <f>Database!$A14179</f>
        <v/>
      </c>
      <c r="B12094">
        <f>IF(VLOOKUP(Table7[[#This Row],[Date]],Database!$A:$C,MATCH($B$1,Database!$A$1:$C$1,),)=0,#N/A,VLOOKUP(Table7[[#This Row],[Date]],Database!$A:$C,MATCH($B$1,Database!$A$1:$C$1,),))</f>
        <v/>
      </c>
      <c r="C12094">
        <f>IF(VLOOKUP(Table7[[#This Row],[Date]],Database!$A:$C,MATCH($C$1,Database!$A$1:$C$1,),)=0,#N/A,VLOOKUP(Table7[[#This Row],[Date]],Database!$A:$C,MATCH($C$1,Database!$A$1:$C$1,),))</f>
        <v/>
      </c>
      <c r="D12094">
        <f>IFERROR(Table7[[#This Row],[United States 10y]]-Table7[[#This Row],[United States 3y]],#N/A)</f>
        <v/>
      </c>
    </row>
    <row r="12095">
      <c r="A12095" s="6">
        <f>Database!$A14180</f>
        <v/>
      </c>
      <c r="B12095">
        <f>IF(VLOOKUP(Table7[[#This Row],[Date]],Database!$A:$C,MATCH($B$1,Database!$A$1:$C$1,),)=0,#N/A,VLOOKUP(Table7[[#This Row],[Date]],Database!$A:$C,MATCH($B$1,Database!$A$1:$C$1,),))</f>
        <v/>
      </c>
      <c r="C12095">
        <f>IF(VLOOKUP(Table7[[#This Row],[Date]],Database!$A:$C,MATCH($C$1,Database!$A$1:$C$1,),)=0,#N/A,VLOOKUP(Table7[[#This Row],[Date]],Database!$A:$C,MATCH($C$1,Database!$A$1:$C$1,),))</f>
        <v/>
      </c>
      <c r="D12095">
        <f>IFERROR(Table7[[#This Row],[United States 10y]]-Table7[[#This Row],[United States 3y]],#N/A)</f>
        <v/>
      </c>
    </row>
    <row r="12096">
      <c r="A12096" s="6">
        <f>Database!$A14181</f>
        <v/>
      </c>
      <c r="B12096">
        <f>IF(VLOOKUP(Table7[[#This Row],[Date]],Database!$A:$C,MATCH($B$1,Database!$A$1:$C$1,),)=0,#N/A,VLOOKUP(Table7[[#This Row],[Date]],Database!$A:$C,MATCH($B$1,Database!$A$1:$C$1,),))</f>
        <v/>
      </c>
      <c r="C12096">
        <f>IF(VLOOKUP(Table7[[#This Row],[Date]],Database!$A:$C,MATCH($C$1,Database!$A$1:$C$1,),)=0,#N/A,VLOOKUP(Table7[[#This Row],[Date]],Database!$A:$C,MATCH($C$1,Database!$A$1:$C$1,),))</f>
        <v/>
      </c>
      <c r="D12096">
        <f>IFERROR(Table7[[#This Row],[United States 10y]]-Table7[[#This Row],[United States 3y]],#N/A)</f>
        <v/>
      </c>
    </row>
    <row r="12097">
      <c r="A12097" s="6">
        <f>Database!$A14182</f>
        <v/>
      </c>
      <c r="B12097">
        <f>IF(VLOOKUP(Table7[[#This Row],[Date]],Database!$A:$C,MATCH($B$1,Database!$A$1:$C$1,),)=0,#N/A,VLOOKUP(Table7[[#This Row],[Date]],Database!$A:$C,MATCH($B$1,Database!$A$1:$C$1,),))</f>
        <v/>
      </c>
      <c r="C12097">
        <f>IF(VLOOKUP(Table7[[#This Row],[Date]],Database!$A:$C,MATCH($C$1,Database!$A$1:$C$1,),)=0,#N/A,VLOOKUP(Table7[[#This Row],[Date]],Database!$A:$C,MATCH($C$1,Database!$A$1:$C$1,),))</f>
        <v/>
      </c>
      <c r="D12097">
        <f>IFERROR(Table7[[#This Row],[United States 10y]]-Table7[[#This Row],[United States 3y]],#N/A)</f>
        <v/>
      </c>
    </row>
    <row r="12098">
      <c r="A12098" s="6">
        <f>Database!$A14183</f>
        <v/>
      </c>
      <c r="B12098">
        <f>IF(VLOOKUP(Table7[[#This Row],[Date]],Database!$A:$C,MATCH($B$1,Database!$A$1:$C$1,),)=0,#N/A,VLOOKUP(Table7[[#This Row],[Date]],Database!$A:$C,MATCH($B$1,Database!$A$1:$C$1,),))</f>
        <v/>
      </c>
      <c r="C12098">
        <f>IF(VLOOKUP(Table7[[#This Row],[Date]],Database!$A:$C,MATCH($C$1,Database!$A$1:$C$1,),)=0,#N/A,VLOOKUP(Table7[[#This Row],[Date]],Database!$A:$C,MATCH($C$1,Database!$A$1:$C$1,),))</f>
        <v/>
      </c>
      <c r="D12098">
        <f>IFERROR(Table7[[#This Row],[United States 10y]]-Table7[[#This Row],[United States 3y]],#N/A)</f>
        <v/>
      </c>
    </row>
    <row r="12099">
      <c r="A12099" s="6">
        <f>Database!$A14184</f>
        <v/>
      </c>
      <c r="B12099">
        <f>IF(VLOOKUP(Table7[[#This Row],[Date]],Database!$A:$C,MATCH($B$1,Database!$A$1:$C$1,),)=0,#N/A,VLOOKUP(Table7[[#This Row],[Date]],Database!$A:$C,MATCH($B$1,Database!$A$1:$C$1,),))</f>
        <v/>
      </c>
      <c r="C12099">
        <f>IF(VLOOKUP(Table7[[#This Row],[Date]],Database!$A:$C,MATCH($C$1,Database!$A$1:$C$1,),)=0,#N/A,VLOOKUP(Table7[[#This Row],[Date]],Database!$A:$C,MATCH($C$1,Database!$A$1:$C$1,),))</f>
        <v/>
      </c>
      <c r="D12099">
        <f>IFERROR(Table7[[#This Row],[United States 10y]]-Table7[[#This Row],[United States 3y]],#N/A)</f>
        <v/>
      </c>
    </row>
    <row r="12100">
      <c r="A12100" s="6">
        <f>Database!$A14185</f>
        <v/>
      </c>
      <c r="B12100">
        <f>IF(VLOOKUP(Table7[[#This Row],[Date]],Database!$A:$C,MATCH($B$1,Database!$A$1:$C$1,),)=0,#N/A,VLOOKUP(Table7[[#This Row],[Date]],Database!$A:$C,MATCH($B$1,Database!$A$1:$C$1,),))</f>
        <v/>
      </c>
      <c r="C12100">
        <f>IF(VLOOKUP(Table7[[#This Row],[Date]],Database!$A:$C,MATCH($C$1,Database!$A$1:$C$1,),)=0,#N/A,VLOOKUP(Table7[[#This Row],[Date]],Database!$A:$C,MATCH($C$1,Database!$A$1:$C$1,),))</f>
        <v/>
      </c>
      <c r="D12100">
        <f>IFERROR(Table7[[#This Row],[United States 10y]]-Table7[[#This Row],[United States 3y]],#N/A)</f>
        <v/>
      </c>
    </row>
    <row r="12101">
      <c r="A12101" s="6">
        <f>Database!$A14186</f>
        <v/>
      </c>
      <c r="B12101">
        <f>IF(VLOOKUP(Table7[[#This Row],[Date]],Database!$A:$C,MATCH($B$1,Database!$A$1:$C$1,),)=0,#N/A,VLOOKUP(Table7[[#This Row],[Date]],Database!$A:$C,MATCH($B$1,Database!$A$1:$C$1,),))</f>
        <v/>
      </c>
      <c r="C12101">
        <f>IF(VLOOKUP(Table7[[#This Row],[Date]],Database!$A:$C,MATCH($C$1,Database!$A$1:$C$1,),)=0,#N/A,VLOOKUP(Table7[[#This Row],[Date]],Database!$A:$C,MATCH($C$1,Database!$A$1:$C$1,),))</f>
        <v/>
      </c>
      <c r="D12101">
        <f>IFERROR(Table7[[#This Row],[United States 10y]]-Table7[[#This Row],[United States 3y]],#N/A)</f>
        <v/>
      </c>
    </row>
    <row r="12102">
      <c r="A12102" s="6">
        <f>Database!$A14187</f>
        <v/>
      </c>
      <c r="B12102">
        <f>IF(VLOOKUP(Table7[[#This Row],[Date]],Database!$A:$C,MATCH($B$1,Database!$A$1:$C$1,),)=0,#N/A,VLOOKUP(Table7[[#This Row],[Date]],Database!$A:$C,MATCH($B$1,Database!$A$1:$C$1,),))</f>
        <v/>
      </c>
      <c r="C12102">
        <f>IF(VLOOKUP(Table7[[#This Row],[Date]],Database!$A:$C,MATCH($C$1,Database!$A$1:$C$1,),)=0,#N/A,VLOOKUP(Table7[[#This Row],[Date]],Database!$A:$C,MATCH($C$1,Database!$A$1:$C$1,),))</f>
        <v/>
      </c>
      <c r="D12102">
        <f>IFERROR(Table7[[#This Row],[United States 10y]]-Table7[[#This Row],[United States 3y]],#N/A)</f>
        <v/>
      </c>
    </row>
    <row r="12103">
      <c r="A12103" s="6">
        <f>Database!$A14188</f>
        <v/>
      </c>
      <c r="B12103">
        <f>IF(VLOOKUP(Table7[[#This Row],[Date]],Database!$A:$C,MATCH($B$1,Database!$A$1:$C$1,),)=0,#N/A,VLOOKUP(Table7[[#This Row],[Date]],Database!$A:$C,MATCH($B$1,Database!$A$1:$C$1,),))</f>
        <v/>
      </c>
      <c r="C12103">
        <f>IF(VLOOKUP(Table7[[#This Row],[Date]],Database!$A:$C,MATCH($C$1,Database!$A$1:$C$1,),)=0,#N/A,VLOOKUP(Table7[[#This Row],[Date]],Database!$A:$C,MATCH($C$1,Database!$A$1:$C$1,),))</f>
        <v/>
      </c>
      <c r="D12103">
        <f>IFERROR(Table7[[#This Row],[United States 10y]]-Table7[[#This Row],[United States 3y]],#N/A)</f>
        <v/>
      </c>
    </row>
    <row r="12104">
      <c r="A12104" s="6">
        <f>Database!$A14189</f>
        <v/>
      </c>
      <c r="B12104">
        <f>IF(VLOOKUP(Table7[[#This Row],[Date]],Database!$A:$C,MATCH($B$1,Database!$A$1:$C$1,),)=0,#N/A,VLOOKUP(Table7[[#This Row],[Date]],Database!$A:$C,MATCH($B$1,Database!$A$1:$C$1,),))</f>
        <v/>
      </c>
      <c r="C12104">
        <f>IF(VLOOKUP(Table7[[#This Row],[Date]],Database!$A:$C,MATCH($C$1,Database!$A$1:$C$1,),)=0,#N/A,VLOOKUP(Table7[[#This Row],[Date]],Database!$A:$C,MATCH($C$1,Database!$A$1:$C$1,),))</f>
        <v/>
      </c>
      <c r="D12104">
        <f>IFERROR(Table7[[#This Row],[United States 10y]]-Table7[[#This Row],[United States 3y]],#N/A)</f>
        <v/>
      </c>
    </row>
    <row r="12105">
      <c r="A12105" s="6">
        <f>Database!$A14190</f>
        <v/>
      </c>
      <c r="B12105">
        <f>IF(VLOOKUP(Table7[[#This Row],[Date]],Database!$A:$C,MATCH($B$1,Database!$A$1:$C$1,),)=0,#N/A,VLOOKUP(Table7[[#This Row],[Date]],Database!$A:$C,MATCH($B$1,Database!$A$1:$C$1,),))</f>
        <v/>
      </c>
      <c r="C12105">
        <f>IF(VLOOKUP(Table7[[#This Row],[Date]],Database!$A:$C,MATCH($C$1,Database!$A$1:$C$1,),)=0,#N/A,VLOOKUP(Table7[[#This Row],[Date]],Database!$A:$C,MATCH($C$1,Database!$A$1:$C$1,),))</f>
        <v/>
      </c>
      <c r="D12105">
        <f>IFERROR(Table7[[#This Row],[United States 10y]]-Table7[[#This Row],[United States 3y]],#N/A)</f>
        <v/>
      </c>
    </row>
    <row r="12106">
      <c r="A12106" s="6">
        <f>Database!$A14191</f>
        <v/>
      </c>
      <c r="B12106">
        <f>IF(VLOOKUP(Table7[[#This Row],[Date]],Database!$A:$C,MATCH($B$1,Database!$A$1:$C$1,),)=0,#N/A,VLOOKUP(Table7[[#This Row],[Date]],Database!$A:$C,MATCH($B$1,Database!$A$1:$C$1,),))</f>
        <v/>
      </c>
      <c r="C12106">
        <f>IF(VLOOKUP(Table7[[#This Row],[Date]],Database!$A:$C,MATCH($C$1,Database!$A$1:$C$1,),)=0,#N/A,VLOOKUP(Table7[[#This Row],[Date]],Database!$A:$C,MATCH($C$1,Database!$A$1:$C$1,),))</f>
        <v/>
      </c>
      <c r="D12106">
        <f>IFERROR(Table7[[#This Row],[United States 10y]]-Table7[[#This Row],[United States 3y]],#N/A)</f>
        <v/>
      </c>
    </row>
    <row r="12107">
      <c r="A12107" s="6">
        <f>Database!$A14192</f>
        <v/>
      </c>
      <c r="B12107">
        <f>IF(VLOOKUP(Table7[[#This Row],[Date]],Database!$A:$C,MATCH($B$1,Database!$A$1:$C$1,),)=0,#N/A,VLOOKUP(Table7[[#This Row],[Date]],Database!$A:$C,MATCH($B$1,Database!$A$1:$C$1,),))</f>
        <v/>
      </c>
      <c r="C12107">
        <f>IF(VLOOKUP(Table7[[#This Row],[Date]],Database!$A:$C,MATCH($C$1,Database!$A$1:$C$1,),)=0,#N/A,VLOOKUP(Table7[[#This Row],[Date]],Database!$A:$C,MATCH($C$1,Database!$A$1:$C$1,),))</f>
        <v/>
      </c>
      <c r="D12107">
        <f>IFERROR(Table7[[#This Row],[United States 10y]]-Table7[[#This Row],[United States 3y]],#N/A)</f>
        <v/>
      </c>
    </row>
    <row r="12108">
      <c r="A12108" s="6">
        <f>Database!$A14193</f>
        <v/>
      </c>
      <c r="B12108">
        <f>IF(VLOOKUP(Table7[[#This Row],[Date]],Database!$A:$C,MATCH($B$1,Database!$A$1:$C$1,),)=0,#N/A,VLOOKUP(Table7[[#This Row],[Date]],Database!$A:$C,MATCH($B$1,Database!$A$1:$C$1,),))</f>
        <v/>
      </c>
      <c r="C12108">
        <f>IF(VLOOKUP(Table7[[#This Row],[Date]],Database!$A:$C,MATCH($C$1,Database!$A$1:$C$1,),)=0,#N/A,VLOOKUP(Table7[[#This Row],[Date]],Database!$A:$C,MATCH($C$1,Database!$A$1:$C$1,),))</f>
        <v/>
      </c>
      <c r="D12108">
        <f>IFERROR(Table7[[#This Row],[United States 10y]]-Table7[[#This Row],[United States 3y]],#N/A)</f>
        <v/>
      </c>
    </row>
    <row r="12109">
      <c r="A12109" s="6">
        <f>Database!$A14194</f>
        <v/>
      </c>
      <c r="B12109">
        <f>IF(VLOOKUP(Table7[[#This Row],[Date]],Database!$A:$C,MATCH($B$1,Database!$A$1:$C$1,),)=0,#N/A,VLOOKUP(Table7[[#This Row],[Date]],Database!$A:$C,MATCH($B$1,Database!$A$1:$C$1,),))</f>
        <v/>
      </c>
      <c r="C12109">
        <f>IF(VLOOKUP(Table7[[#This Row],[Date]],Database!$A:$C,MATCH($C$1,Database!$A$1:$C$1,),)=0,#N/A,VLOOKUP(Table7[[#This Row],[Date]],Database!$A:$C,MATCH($C$1,Database!$A$1:$C$1,),))</f>
        <v/>
      </c>
      <c r="D12109">
        <f>IFERROR(Table7[[#This Row],[United States 10y]]-Table7[[#This Row],[United States 3y]],#N/A)</f>
        <v/>
      </c>
    </row>
    <row r="12110">
      <c r="A12110" s="6">
        <f>Database!$A14195</f>
        <v/>
      </c>
      <c r="B12110">
        <f>IF(VLOOKUP(Table7[[#This Row],[Date]],Database!$A:$C,MATCH($B$1,Database!$A$1:$C$1,),)=0,#N/A,VLOOKUP(Table7[[#This Row],[Date]],Database!$A:$C,MATCH($B$1,Database!$A$1:$C$1,),))</f>
        <v/>
      </c>
      <c r="C12110">
        <f>IF(VLOOKUP(Table7[[#This Row],[Date]],Database!$A:$C,MATCH($C$1,Database!$A$1:$C$1,),)=0,#N/A,VLOOKUP(Table7[[#This Row],[Date]],Database!$A:$C,MATCH($C$1,Database!$A$1:$C$1,),))</f>
        <v/>
      </c>
      <c r="D12110">
        <f>IFERROR(Table7[[#This Row],[United States 10y]]-Table7[[#This Row],[United States 3y]],#N/A)</f>
        <v/>
      </c>
    </row>
    <row r="12111">
      <c r="A12111" s="6">
        <f>Database!$A14196</f>
        <v/>
      </c>
      <c r="B12111">
        <f>IF(VLOOKUP(Table7[[#This Row],[Date]],Database!$A:$C,MATCH($B$1,Database!$A$1:$C$1,),)=0,#N/A,VLOOKUP(Table7[[#This Row],[Date]],Database!$A:$C,MATCH($B$1,Database!$A$1:$C$1,),))</f>
        <v/>
      </c>
      <c r="C12111">
        <f>IF(VLOOKUP(Table7[[#This Row],[Date]],Database!$A:$C,MATCH($C$1,Database!$A$1:$C$1,),)=0,#N/A,VLOOKUP(Table7[[#This Row],[Date]],Database!$A:$C,MATCH($C$1,Database!$A$1:$C$1,),))</f>
        <v/>
      </c>
      <c r="D12111">
        <f>IFERROR(Table7[[#This Row],[United States 10y]]-Table7[[#This Row],[United States 3y]],#N/A)</f>
        <v/>
      </c>
    </row>
    <row r="12112">
      <c r="A12112" s="6">
        <f>Database!$A14197</f>
        <v/>
      </c>
      <c r="B12112">
        <f>IF(VLOOKUP(Table7[[#This Row],[Date]],Database!$A:$C,MATCH($B$1,Database!$A$1:$C$1,),)=0,#N/A,VLOOKUP(Table7[[#This Row],[Date]],Database!$A:$C,MATCH($B$1,Database!$A$1:$C$1,),))</f>
        <v/>
      </c>
      <c r="C12112">
        <f>IF(VLOOKUP(Table7[[#This Row],[Date]],Database!$A:$C,MATCH($C$1,Database!$A$1:$C$1,),)=0,#N/A,VLOOKUP(Table7[[#This Row],[Date]],Database!$A:$C,MATCH($C$1,Database!$A$1:$C$1,),))</f>
        <v/>
      </c>
      <c r="D12112">
        <f>IFERROR(Table7[[#This Row],[United States 10y]]-Table7[[#This Row],[United States 3y]],#N/A)</f>
        <v/>
      </c>
    </row>
    <row r="12113">
      <c r="A12113" s="6">
        <f>Database!$A14198</f>
        <v/>
      </c>
      <c r="B12113">
        <f>IF(VLOOKUP(Table7[[#This Row],[Date]],Database!$A:$C,MATCH($B$1,Database!$A$1:$C$1,),)=0,#N/A,VLOOKUP(Table7[[#This Row],[Date]],Database!$A:$C,MATCH($B$1,Database!$A$1:$C$1,),))</f>
        <v/>
      </c>
      <c r="C12113">
        <f>IF(VLOOKUP(Table7[[#This Row],[Date]],Database!$A:$C,MATCH($C$1,Database!$A$1:$C$1,),)=0,#N/A,VLOOKUP(Table7[[#This Row],[Date]],Database!$A:$C,MATCH($C$1,Database!$A$1:$C$1,),))</f>
        <v/>
      </c>
      <c r="D12113">
        <f>IFERROR(Table7[[#This Row],[United States 10y]]-Table7[[#This Row],[United States 3y]],#N/A)</f>
        <v/>
      </c>
    </row>
    <row r="12114">
      <c r="A12114" s="6">
        <f>Database!$A14199</f>
        <v/>
      </c>
      <c r="B12114">
        <f>IF(VLOOKUP(Table7[[#This Row],[Date]],Database!$A:$C,MATCH($B$1,Database!$A$1:$C$1,),)=0,#N/A,VLOOKUP(Table7[[#This Row],[Date]],Database!$A:$C,MATCH($B$1,Database!$A$1:$C$1,),))</f>
        <v/>
      </c>
      <c r="C12114">
        <f>IF(VLOOKUP(Table7[[#This Row],[Date]],Database!$A:$C,MATCH($C$1,Database!$A$1:$C$1,),)=0,#N/A,VLOOKUP(Table7[[#This Row],[Date]],Database!$A:$C,MATCH($C$1,Database!$A$1:$C$1,),))</f>
        <v/>
      </c>
      <c r="D12114">
        <f>IFERROR(Table7[[#This Row],[United States 10y]]-Table7[[#This Row],[United States 3y]],#N/A)</f>
        <v/>
      </c>
    </row>
    <row r="12115">
      <c r="A12115" s="6">
        <f>Database!$A14200</f>
        <v/>
      </c>
      <c r="B12115">
        <f>IF(VLOOKUP(Table7[[#This Row],[Date]],Database!$A:$C,MATCH($B$1,Database!$A$1:$C$1,),)=0,#N/A,VLOOKUP(Table7[[#This Row],[Date]],Database!$A:$C,MATCH($B$1,Database!$A$1:$C$1,),))</f>
        <v/>
      </c>
      <c r="C12115">
        <f>IF(VLOOKUP(Table7[[#This Row],[Date]],Database!$A:$C,MATCH($C$1,Database!$A$1:$C$1,),)=0,#N/A,VLOOKUP(Table7[[#This Row],[Date]],Database!$A:$C,MATCH($C$1,Database!$A$1:$C$1,),))</f>
        <v/>
      </c>
      <c r="D12115">
        <f>IFERROR(Table7[[#This Row],[United States 10y]]-Table7[[#This Row],[United States 3y]],#N/A)</f>
        <v/>
      </c>
    </row>
    <row r="12116">
      <c r="A12116" s="6">
        <f>Database!$A14201</f>
        <v/>
      </c>
      <c r="B12116">
        <f>IF(VLOOKUP(Table7[[#This Row],[Date]],Database!$A:$C,MATCH($B$1,Database!$A$1:$C$1,),)=0,#N/A,VLOOKUP(Table7[[#This Row],[Date]],Database!$A:$C,MATCH($B$1,Database!$A$1:$C$1,),))</f>
        <v/>
      </c>
      <c r="C12116">
        <f>IF(VLOOKUP(Table7[[#This Row],[Date]],Database!$A:$C,MATCH($C$1,Database!$A$1:$C$1,),)=0,#N/A,VLOOKUP(Table7[[#This Row],[Date]],Database!$A:$C,MATCH($C$1,Database!$A$1:$C$1,),))</f>
        <v/>
      </c>
      <c r="D12116">
        <f>IFERROR(Table7[[#This Row],[United States 10y]]-Table7[[#This Row],[United States 3y]],#N/A)</f>
        <v/>
      </c>
    </row>
    <row r="12117">
      <c r="A12117" s="6">
        <f>Database!$A14202</f>
        <v/>
      </c>
      <c r="B12117">
        <f>IF(VLOOKUP(Table7[[#This Row],[Date]],Database!$A:$C,MATCH($B$1,Database!$A$1:$C$1,),)=0,#N/A,VLOOKUP(Table7[[#This Row],[Date]],Database!$A:$C,MATCH($B$1,Database!$A$1:$C$1,),))</f>
        <v/>
      </c>
      <c r="C12117">
        <f>IF(VLOOKUP(Table7[[#This Row],[Date]],Database!$A:$C,MATCH($C$1,Database!$A$1:$C$1,),)=0,#N/A,VLOOKUP(Table7[[#This Row],[Date]],Database!$A:$C,MATCH($C$1,Database!$A$1:$C$1,),))</f>
        <v/>
      </c>
      <c r="D12117">
        <f>IFERROR(Table7[[#This Row],[United States 10y]]-Table7[[#This Row],[United States 3y]],#N/A)</f>
        <v/>
      </c>
    </row>
    <row r="12118">
      <c r="A12118" s="6">
        <f>Database!$A14203</f>
        <v/>
      </c>
      <c r="B12118">
        <f>IF(VLOOKUP(Table7[[#This Row],[Date]],Database!$A:$C,MATCH($B$1,Database!$A$1:$C$1,),)=0,#N/A,VLOOKUP(Table7[[#This Row],[Date]],Database!$A:$C,MATCH($B$1,Database!$A$1:$C$1,),))</f>
        <v/>
      </c>
      <c r="C12118">
        <f>IF(VLOOKUP(Table7[[#This Row],[Date]],Database!$A:$C,MATCH($C$1,Database!$A$1:$C$1,),)=0,#N/A,VLOOKUP(Table7[[#This Row],[Date]],Database!$A:$C,MATCH($C$1,Database!$A$1:$C$1,),))</f>
        <v/>
      </c>
      <c r="D12118">
        <f>IFERROR(Table7[[#This Row],[United States 10y]]-Table7[[#This Row],[United States 3y]],#N/A)</f>
        <v/>
      </c>
    </row>
    <row r="12119">
      <c r="A12119" s="6">
        <f>Database!$A14204</f>
        <v/>
      </c>
      <c r="B12119">
        <f>IF(VLOOKUP(Table7[[#This Row],[Date]],Database!$A:$C,MATCH($B$1,Database!$A$1:$C$1,),)=0,#N/A,VLOOKUP(Table7[[#This Row],[Date]],Database!$A:$C,MATCH($B$1,Database!$A$1:$C$1,),))</f>
        <v/>
      </c>
      <c r="C12119">
        <f>IF(VLOOKUP(Table7[[#This Row],[Date]],Database!$A:$C,MATCH($C$1,Database!$A$1:$C$1,),)=0,#N/A,VLOOKUP(Table7[[#This Row],[Date]],Database!$A:$C,MATCH($C$1,Database!$A$1:$C$1,),))</f>
        <v/>
      </c>
      <c r="D12119">
        <f>IFERROR(Table7[[#This Row],[United States 10y]]-Table7[[#This Row],[United States 3y]],#N/A)</f>
        <v/>
      </c>
    </row>
    <row r="12120">
      <c r="A12120" s="6">
        <f>Database!$A14205</f>
        <v/>
      </c>
      <c r="B12120">
        <f>IF(VLOOKUP(Table7[[#This Row],[Date]],Database!$A:$C,MATCH($B$1,Database!$A$1:$C$1,),)=0,#N/A,VLOOKUP(Table7[[#This Row],[Date]],Database!$A:$C,MATCH($B$1,Database!$A$1:$C$1,),))</f>
        <v/>
      </c>
      <c r="C12120">
        <f>IF(VLOOKUP(Table7[[#This Row],[Date]],Database!$A:$C,MATCH($C$1,Database!$A$1:$C$1,),)=0,#N/A,VLOOKUP(Table7[[#This Row],[Date]],Database!$A:$C,MATCH($C$1,Database!$A$1:$C$1,),))</f>
        <v/>
      </c>
      <c r="D12120">
        <f>IFERROR(Table7[[#This Row],[United States 10y]]-Table7[[#This Row],[United States 3y]],#N/A)</f>
        <v/>
      </c>
    </row>
    <row r="12121">
      <c r="A12121" s="6">
        <f>Database!$A14206</f>
        <v/>
      </c>
      <c r="B12121">
        <f>IF(VLOOKUP(Table7[[#This Row],[Date]],Database!$A:$C,MATCH($B$1,Database!$A$1:$C$1,),)=0,#N/A,VLOOKUP(Table7[[#This Row],[Date]],Database!$A:$C,MATCH($B$1,Database!$A$1:$C$1,),))</f>
        <v/>
      </c>
      <c r="C12121">
        <f>IF(VLOOKUP(Table7[[#This Row],[Date]],Database!$A:$C,MATCH($C$1,Database!$A$1:$C$1,),)=0,#N/A,VLOOKUP(Table7[[#This Row],[Date]],Database!$A:$C,MATCH($C$1,Database!$A$1:$C$1,),))</f>
        <v/>
      </c>
      <c r="D12121">
        <f>IFERROR(Table7[[#This Row],[United States 10y]]-Table7[[#This Row],[United States 3y]],#N/A)</f>
        <v/>
      </c>
    </row>
    <row r="12122">
      <c r="A12122" s="6">
        <f>Database!$A14207</f>
        <v/>
      </c>
      <c r="B12122">
        <f>IF(VLOOKUP(Table7[[#This Row],[Date]],Database!$A:$C,MATCH($B$1,Database!$A$1:$C$1,),)=0,#N/A,VLOOKUP(Table7[[#This Row],[Date]],Database!$A:$C,MATCH($B$1,Database!$A$1:$C$1,),))</f>
        <v/>
      </c>
      <c r="C12122">
        <f>IF(VLOOKUP(Table7[[#This Row],[Date]],Database!$A:$C,MATCH($C$1,Database!$A$1:$C$1,),)=0,#N/A,VLOOKUP(Table7[[#This Row],[Date]],Database!$A:$C,MATCH($C$1,Database!$A$1:$C$1,),))</f>
        <v/>
      </c>
      <c r="D12122">
        <f>IFERROR(Table7[[#This Row],[United States 10y]]-Table7[[#This Row],[United States 3y]],#N/A)</f>
        <v/>
      </c>
    </row>
    <row r="12123">
      <c r="A12123" s="6">
        <f>Database!$A14208</f>
        <v/>
      </c>
      <c r="B12123">
        <f>IF(VLOOKUP(Table7[[#This Row],[Date]],Database!$A:$C,MATCH($B$1,Database!$A$1:$C$1,),)=0,#N/A,VLOOKUP(Table7[[#This Row],[Date]],Database!$A:$C,MATCH($B$1,Database!$A$1:$C$1,),))</f>
        <v/>
      </c>
      <c r="C12123">
        <f>IF(VLOOKUP(Table7[[#This Row],[Date]],Database!$A:$C,MATCH($C$1,Database!$A$1:$C$1,),)=0,#N/A,VLOOKUP(Table7[[#This Row],[Date]],Database!$A:$C,MATCH($C$1,Database!$A$1:$C$1,),))</f>
        <v/>
      </c>
      <c r="D12123">
        <f>IFERROR(Table7[[#This Row],[United States 10y]]-Table7[[#This Row],[United States 3y]],#N/A)</f>
        <v/>
      </c>
    </row>
    <row r="12124">
      <c r="A12124" s="6">
        <f>Database!$A14209</f>
        <v/>
      </c>
      <c r="B12124">
        <f>IF(VLOOKUP(Table7[[#This Row],[Date]],Database!$A:$C,MATCH($B$1,Database!$A$1:$C$1,),)=0,#N/A,VLOOKUP(Table7[[#This Row],[Date]],Database!$A:$C,MATCH($B$1,Database!$A$1:$C$1,),))</f>
        <v/>
      </c>
      <c r="C12124">
        <f>IF(VLOOKUP(Table7[[#This Row],[Date]],Database!$A:$C,MATCH($C$1,Database!$A$1:$C$1,),)=0,#N/A,VLOOKUP(Table7[[#This Row],[Date]],Database!$A:$C,MATCH($C$1,Database!$A$1:$C$1,),))</f>
        <v/>
      </c>
      <c r="D12124">
        <f>IFERROR(Table7[[#This Row],[United States 10y]]-Table7[[#This Row],[United States 3y]],#N/A)</f>
        <v/>
      </c>
    </row>
    <row r="12125">
      <c r="A12125" s="6">
        <f>Database!$A14210</f>
        <v/>
      </c>
      <c r="B12125">
        <f>IF(VLOOKUP(Table7[[#This Row],[Date]],Database!$A:$C,MATCH($B$1,Database!$A$1:$C$1,),)=0,#N/A,VLOOKUP(Table7[[#This Row],[Date]],Database!$A:$C,MATCH($B$1,Database!$A$1:$C$1,),))</f>
        <v/>
      </c>
      <c r="C12125">
        <f>IF(VLOOKUP(Table7[[#This Row],[Date]],Database!$A:$C,MATCH($C$1,Database!$A$1:$C$1,),)=0,#N/A,VLOOKUP(Table7[[#This Row],[Date]],Database!$A:$C,MATCH($C$1,Database!$A$1:$C$1,),))</f>
        <v/>
      </c>
      <c r="D12125">
        <f>IFERROR(Table7[[#This Row],[United States 10y]]-Table7[[#This Row],[United States 3y]],#N/A)</f>
        <v/>
      </c>
    </row>
    <row r="12126">
      <c r="A12126" s="6">
        <f>Database!$A14211</f>
        <v/>
      </c>
      <c r="B12126">
        <f>IF(VLOOKUP(Table7[[#This Row],[Date]],Database!$A:$C,MATCH($B$1,Database!$A$1:$C$1,),)=0,#N/A,VLOOKUP(Table7[[#This Row],[Date]],Database!$A:$C,MATCH($B$1,Database!$A$1:$C$1,),))</f>
        <v/>
      </c>
      <c r="C12126">
        <f>IF(VLOOKUP(Table7[[#This Row],[Date]],Database!$A:$C,MATCH($C$1,Database!$A$1:$C$1,),)=0,#N/A,VLOOKUP(Table7[[#This Row],[Date]],Database!$A:$C,MATCH($C$1,Database!$A$1:$C$1,),))</f>
        <v/>
      </c>
      <c r="D12126">
        <f>IFERROR(Table7[[#This Row],[United States 10y]]-Table7[[#This Row],[United States 3y]],#N/A)</f>
        <v/>
      </c>
    </row>
    <row r="12127">
      <c r="A12127" s="6">
        <f>Database!$A14212</f>
        <v/>
      </c>
      <c r="B12127">
        <f>IF(VLOOKUP(Table7[[#This Row],[Date]],Database!$A:$C,MATCH($B$1,Database!$A$1:$C$1,),)=0,#N/A,VLOOKUP(Table7[[#This Row],[Date]],Database!$A:$C,MATCH($B$1,Database!$A$1:$C$1,),))</f>
        <v/>
      </c>
      <c r="C12127">
        <f>IF(VLOOKUP(Table7[[#This Row],[Date]],Database!$A:$C,MATCH($C$1,Database!$A$1:$C$1,),)=0,#N/A,VLOOKUP(Table7[[#This Row],[Date]],Database!$A:$C,MATCH($C$1,Database!$A$1:$C$1,),))</f>
        <v/>
      </c>
      <c r="D12127">
        <f>IFERROR(Table7[[#This Row],[United States 10y]]-Table7[[#This Row],[United States 3y]],#N/A)</f>
        <v/>
      </c>
    </row>
    <row r="12128">
      <c r="A12128" s="6">
        <f>Database!$A14213</f>
        <v/>
      </c>
      <c r="B12128">
        <f>IF(VLOOKUP(Table7[[#This Row],[Date]],Database!$A:$C,MATCH($B$1,Database!$A$1:$C$1,),)=0,#N/A,VLOOKUP(Table7[[#This Row],[Date]],Database!$A:$C,MATCH($B$1,Database!$A$1:$C$1,),))</f>
        <v/>
      </c>
      <c r="C12128">
        <f>IF(VLOOKUP(Table7[[#This Row],[Date]],Database!$A:$C,MATCH($C$1,Database!$A$1:$C$1,),)=0,#N/A,VLOOKUP(Table7[[#This Row],[Date]],Database!$A:$C,MATCH($C$1,Database!$A$1:$C$1,),))</f>
        <v/>
      </c>
      <c r="D12128">
        <f>IFERROR(Table7[[#This Row],[United States 10y]]-Table7[[#This Row],[United States 3y]],#N/A)</f>
        <v/>
      </c>
    </row>
    <row r="12129">
      <c r="A12129" s="6">
        <f>Database!$A14214</f>
        <v/>
      </c>
      <c r="B12129">
        <f>IF(VLOOKUP(Table7[[#This Row],[Date]],Database!$A:$C,MATCH($B$1,Database!$A$1:$C$1,),)=0,#N/A,VLOOKUP(Table7[[#This Row],[Date]],Database!$A:$C,MATCH($B$1,Database!$A$1:$C$1,),))</f>
        <v/>
      </c>
      <c r="C12129">
        <f>IF(VLOOKUP(Table7[[#This Row],[Date]],Database!$A:$C,MATCH($C$1,Database!$A$1:$C$1,),)=0,#N/A,VLOOKUP(Table7[[#This Row],[Date]],Database!$A:$C,MATCH($C$1,Database!$A$1:$C$1,),))</f>
        <v/>
      </c>
      <c r="D12129">
        <f>IFERROR(Table7[[#This Row],[United States 10y]]-Table7[[#This Row],[United States 3y]],#N/A)</f>
        <v/>
      </c>
    </row>
    <row r="12130">
      <c r="A12130" s="6">
        <f>Database!$A14215</f>
        <v/>
      </c>
      <c r="B12130">
        <f>IF(VLOOKUP(Table7[[#This Row],[Date]],Database!$A:$C,MATCH($B$1,Database!$A$1:$C$1,),)=0,#N/A,VLOOKUP(Table7[[#This Row],[Date]],Database!$A:$C,MATCH($B$1,Database!$A$1:$C$1,),))</f>
        <v/>
      </c>
      <c r="C12130">
        <f>IF(VLOOKUP(Table7[[#This Row],[Date]],Database!$A:$C,MATCH($C$1,Database!$A$1:$C$1,),)=0,#N/A,VLOOKUP(Table7[[#This Row],[Date]],Database!$A:$C,MATCH($C$1,Database!$A$1:$C$1,),))</f>
        <v/>
      </c>
      <c r="D12130">
        <f>IFERROR(Table7[[#This Row],[United States 10y]]-Table7[[#This Row],[United States 3y]],#N/A)</f>
        <v/>
      </c>
    </row>
    <row r="12131">
      <c r="A12131" s="6">
        <f>Database!$A14216</f>
        <v/>
      </c>
      <c r="B12131">
        <f>IF(VLOOKUP(Table7[[#This Row],[Date]],Database!$A:$C,MATCH($B$1,Database!$A$1:$C$1,),)=0,#N/A,VLOOKUP(Table7[[#This Row],[Date]],Database!$A:$C,MATCH($B$1,Database!$A$1:$C$1,),))</f>
        <v/>
      </c>
      <c r="C12131">
        <f>IF(VLOOKUP(Table7[[#This Row],[Date]],Database!$A:$C,MATCH($C$1,Database!$A$1:$C$1,),)=0,#N/A,VLOOKUP(Table7[[#This Row],[Date]],Database!$A:$C,MATCH($C$1,Database!$A$1:$C$1,),))</f>
        <v/>
      </c>
      <c r="D12131">
        <f>IFERROR(Table7[[#This Row],[United States 10y]]-Table7[[#This Row],[United States 3y]],#N/A)</f>
        <v/>
      </c>
    </row>
    <row r="12132">
      <c r="A12132" s="6">
        <f>Database!$A14217</f>
        <v/>
      </c>
      <c r="B12132">
        <f>IF(VLOOKUP(Table7[[#This Row],[Date]],Database!$A:$C,MATCH($B$1,Database!$A$1:$C$1,),)=0,#N/A,VLOOKUP(Table7[[#This Row],[Date]],Database!$A:$C,MATCH($B$1,Database!$A$1:$C$1,),))</f>
        <v/>
      </c>
      <c r="C12132">
        <f>IF(VLOOKUP(Table7[[#This Row],[Date]],Database!$A:$C,MATCH($C$1,Database!$A$1:$C$1,),)=0,#N/A,VLOOKUP(Table7[[#This Row],[Date]],Database!$A:$C,MATCH($C$1,Database!$A$1:$C$1,),))</f>
        <v/>
      </c>
      <c r="D12132">
        <f>IFERROR(Table7[[#This Row],[United States 10y]]-Table7[[#This Row],[United States 3y]],#N/A)</f>
        <v/>
      </c>
    </row>
    <row r="12133">
      <c r="A12133" s="6">
        <f>Database!$A14218</f>
        <v/>
      </c>
      <c r="B12133">
        <f>IF(VLOOKUP(Table7[[#This Row],[Date]],Database!$A:$C,MATCH($B$1,Database!$A$1:$C$1,),)=0,#N/A,VLOOKUP(Table7[[#This Row],[Date]],Database!$A:$C,MATCH($B$1,Database!$A$1:$C$1,),))</f>
        <v/>
      </c>
      <c r="C12133">
        <f>IF(VLOOKUP(Table7[[#This Row],[Date]],Database!$A:$C,MATCH($C$1,Database!$A$1:$C$1,),)=0,#N/A,VLOOKUP(Table7[[#This Row],[Date]],Database!$A:$C,MATCH($C$1,Database!$A$1:$C$1,),))</f>
        <v/>
      </c>
      <c r="D12133">
        <f>IFERROR(Table7[[#This Row],[United States 10y]]-Table7[[#This Row],[United States 3y]],#N/A)</f>
        <v/>
      </c>
    </row>
    <row r="12134">
      <c r="A12134" s="6">
        <f>Database!$A14219</f>
        <v/>
      </c>
      <c r="B12134">
        <f>IF(VLOOKUP(Table7[[#This Row],[Date]],Database!$A:$C,MATCH($B$1,Database!$A$1:$C$1,),)=0,#N/A,VLOOKUP(Table7[[#This Row],[Date]],Database!$A:$C,MATCH($B$1,Database!$A$1:$C$1,),))</f>
        <v/>
      </c>
      <c r="C12134">
        <f>IF(VLOOKUP(Table7[[#This Row],[Date]],Database!$A:$C,MATCH($C$1,Database!$A$1:$C$1,),)=0,#N/A,VLOOKUP(Table7[[#This Row],[Date]],Database!$A:$C,MATCH($C$1,Database!$A$1:$C$1,),))</f>
        <v/>
      </c>
      <c r="D12134">
        <f>IFERROR(Table7[[#This Row],[United States 10y]]-Table7[[#This Row],[United States 3y]],#N/A)</f>
        <v/>
      </c>
    </row>
    <row r="12135">
      <c r="A12135" s="6">
        <f>Database!$A14220</f>
        <v/>
      </c>
      <c r="B12135">
        <f>IF(VLOOKUP(Table7[[#This Row],[Date]],Database!$A:$C,MATCH($B$1,Database!$A$1:$C$1,),)=0,#N/A,VLOOKUP(Table7[[#This Row],[Date]],Database!$A:$C,MATCH($B$1,Database!$A$1:$C$1,),))</f>
        <v/>
      </c>
      <c r="C12135">
        <f>IF(VLOOKUP(Table7[[#This Row],[Date]],Database!$A:$C,MATCH($C$1,Database!$A$1:$C$1,),)=0,#N/A,VLOOKUP(Table7[[#This Row],[Date]],Database!$A:$C,MATCH($C$1,Database!$A$1:$C$1,),))</f>
        <v/>
      </c>
      <c r="D12135">
        <f>IFERROR(Table7[[#This Row],[United States 10y]]-Table7[[#This Row],[United States 3y]],#N/A)</f>
        <v/>
      </c>
    </row>
    <row r="12136">
      <c r="A12136" s="6">
        <f>Database!$A14221</f>
        <v/>
      </c>
      <c r="B12136">
        <f>IF(VLOOKUP(Table7[[#This Row],[Date]],Database!$A:$C,MATCH($B$1,Database!$A$1:$C$1,),)=0,#N/A,VLOOKUP(Table7[[#This Row],[Date]],Database!$A:$C,MATCH($B$1,Database!$A$1:$C$1,),))</f>
        <v/>
      </c>
      <c r="C12136">
        <f>IF(VLOOKUP(Table7[[#This Row],[Date]],Database!$A:$C,MATCH($C$1,Database!$A$1:$C$1,),)=0,#N/A,VLOOKUP(Table7[[#This Row],[Date]],Database!$A:$C,MATCH($C$1,Database!$A$1:$C$1,),))</f>
        <v/>
      </c>
      <c r="D12136">
        <f>IFERROR(Table7[[#This Row],[United States 10y]]-Table7[[#This Row],[United States 3y]],#N/A)</f>
        <v/>
      </c>
    </row>
    <row r="12137">
      <c r="A12137" s="6">
        <f>Database!$A14222</f>
        <v/>
      </c>
      <c r="B12137">
        <f>IF(VLOOKUP(Table7[[#This Row],[Date]],Database!$A:$C,MATCH($B$1,Database!$A$1:$C$1,),)=0,#N/A,VLOOKUP(Table7[[#This Row],[Date]],Database!$A:$C,MATCH($B$1,Database!$A$1:$C$1,),))</f>
        <v/>
      </c>
      <c r="C12137">
        <f>IF(VLOOKUP(Table7[[#This Row],[Date]],Database!$A:$C,MATCH($C$1,Database!$A$1:$C$1,),)=0,#N/A,VLOOKUP(Table7[[#This Row],[Date]],Database!$A:$C,MATCH($C$1,Database!$A$1:$C$1,),))</f>
        <v/>
      </c>
      <c r="D12137">
        <f>IFERROR(Table7[[#This Row],[United States 10y]]-Table7[[#This Row],[United States 3y]],#N/A)</f>
        <v/>
      </c>
    </row>
    <row r="12138">
      <c r="A12138" s="6">
        <f>Database!$A14223</f>
        <v/>
      </c>
      <c r="B12138">
        <f>IF(VLOOKUP(Table7[[#This Row],[Date]],Database!$A:$C,MATCH($B$1,Database!$A$1:$C$1,),)=0,#N/A,VLOOKUP(Table7[[#This Row],[Date]],Database!$A:$C,MATCH($B$1,Database!$A$1:$C$1,),))</f>
        <v/>
      </c>
      <c r="C12138">
        <f>IF(VLOOKUP(Table7[[#This Row],[Date]],Database!$A:$C,MATCH($C$1,Database!$A$1:$C$1,),)=0,#N/A,VLOOKUP(Table7[[#This Row],[Date]],Database!$A:$C,MATCH($C$1,Database!$A$1:$C$1,),))</f>
        <v/>
      </c>
      <c r="D12138">
        <f>IFERROR(Table7[[#This Row],[United States 10y]]-Table7[[#This Row],[United States 3y]],#N/A)</f>
        <v/>
      </c>
    </row>
    <row r="12139">
      <c r="A12139" s="6">
        <f>Database!$A14224</f>
        <v/>
      </c>
      <c r="B12139">
        <f>IF(VLOOKUP(Table7[[#This Row],[Date]],Database!$A:$C,MATCH($B$1,Database!$A$1:$C$1,),)=0,#N/A,VLOOKUP(Table7[[#This Row],[Date]],Database!$A:$C,MATCH($B$1,Database!$A$1:$C$1,),))</f>
        <v/>
      </c>
      <c r="C12139">
        <f>IF(VLOOKUP(Table7[[#This Row],[Date]],Database!$A:$C,MATCH($C$1,Database!$A$1:$C$1,),)=0,#N/A,VLOOKUP(Table7[[#This Row],[Date]],Database!$A:$C,MATCH($C$1,Database!$A$1:$C$1,),))</f>
        <v/>
      </c>
      <c r="D12139">
        <f>IFERROR(Table7[[#This Row],[United States 10y]]-Table7[[#This Row],[United States 3y]],#N/A)</f>
        <v/>
      </c>
    </row>
    <row r="12140">
      <c r="A12140" s="6">
        <f>Database!$A14225</f>
        <v/>
      </c>
      <c r="B12140">
        <f>IF(VLOOKUP(Table7[[#This Row],[Date]],Database!$A:$C,MATCH($B$1,Database!$A$1:$C$1,),)=0,#N/A,VLOOKUP(Table7[[#This Row],[Date]],Database!$A:$C,MATCH($B$1,Database!$A$1:$C$1,),))</f>
        <v/>
      </c>
      <c r="C12140">
        <f>IF(VLOOKUP(Table7[[#This Row],[Date]],Database!$A:$C,MATCH($C$1,Database!$A$1:$C$1,),)=0,#N/A,VLOOKUP(Table7[[#This Row],[Date]],Database!$A:$C,MATCH($C$1,Database!$A$1:$C$1,),))</f>
        <v/>
      </c>
      <c r="D12140">
        <f>IFERROR(Table7[[#This Row],[United States 10y]]-Table7[[#This Row],[United States 3y]],#N/A)</f>
        <v/>
      </c>
    </row>
    <row r="12141">
      <c r="A12141" s="6">
        <f>Database!$A14226</f>
        <v/>
      </c>
      <c r="B12141">
        <f>IF(VLOOKUP(Table7[[#This Row],[Date]],Database!$A:$C,MATCH($B$1,Database!$A$1:$C$1,),)=0,#N/A,VLOOKUP(Table7[[#This Row],[Date]],Database!$A:$C,MATCH($B$1,Database!$A$1:$C$1,),))</f>
        <v/>
      </c>
      <c r="C12141">
        <f>IF(VLOOKUP(Table7[[#This Row],[Date]],Database!$A:$C,MATCH($C$1,Database!$A$1:$C$1,),)=0,#N/A,VLOOKUP(Table7[[#This Row],[Date]],Database!$A:$C,MATCH($C$1,Database!$A$1:$C$1,),))</f>
        <v/>
      </c>
      <c r="D12141">
        <f>IFERROR(Table7[[#This Row],[United States 10y]]-Table7[[#This Row],[United States 3y]],#N/A)</f>
        <v/>
      </c>
    </row>
    <row r="12142">
      <c r="A12142" s="6">
        <f>Database!$A14227</f>
        <v/>
      </c>
      <c r="B12142">
        <f>IF(VLOOKUP(Table7[[#This Row],[Date]],Database!$A:$C,MATCH($B$1,Database!$A$1:$C$1,),)=0,#N/A,VLOOKUP(Table7[[#This Row],[Date]],Database!$A:$C,MATCH($B$1,Database!$A$1:$C$1,),))</f>
        <v/>
      </c>
      <c r="C12142">
        <f>IF(VLOOKUP(Table7[[#This Row],[Date]],Database!$A:$C,MATCH($C$1,Database!$A$1:$C$1,),)=0,#N/A,VLOOKUP(Table7[[#This Row],[Date]],Database!$A:$C,MATCH($C$1,Database!$A$1:$C$1,),))</f>
        <v/>
      </c>
      <c r="D12142">
        <f>IFERROR(Table7[[#This Row],[United States 10y]]-Table7[[#This Row],[United States 3y]],#N/A)</f>
        <v/>
      </c>
    </row>
    <row r="12143">
      <c r="A12143" s="6">
        <f>Database!$A14228</f>
        <v/>
      </c>
      <c r="B12143">
        <f>IF(VLOOKUP(Table7[[#This Row],[Date]],Database!$A:$C,MATCH($B$1,Database!$A$1:$C$1,),)=0,#N/A,VLOOKUP(Table7[[#This Row],[Date]],Database!$A:$C,MATCH($B$1,Database!$A$1:$C$1,),))</f>
        <v/>
      </c>
      <c r="C12143">
        <f>IF(VLOOKUP(Table7[[#This Row],[Date]],Database!$A:$C,MATCH($C$1,Database!$A$1:$C$1,),)=0,#N/A,VLOOKUP(Table7[[#This Row],[Date]],Database!$A:$C,MATCH($C$1,Database!$A$1:$C$1,),))</f>
        <v/>
      </c>
      <c r="D12143">
        <f>IFERROR(Table7[[#This Row],[United States 10y]]-Table7[[#This Row],[United States 3y]],#N/A)</f>
        <v/>
      </c>
    </row>
    <row r="12144">
      <c r="A12144" s="6">
        <f>Database!$A14229</f>
        <v/>
      </c>
      <c r="B12144">
        <f>IF(VLOOKUP(Table7[[#This Row],[Date]],Database!$A:$C,MATCH($B$1,Database!$A$1:$C$1,),)=0,#N/A,VLOOKUP(Table7[[#This Row],[Date]],Database!$A:$C,MATCH($B$1,Database!$A$1:$C$1,),))</f>
        <v/>
      </c>
      <c r="C12144">
        <f>IF(VLOOKUP(Table7[[#This Row],[Date]],Database!$A:$C,MATCH($C$1,Database!$A$1:$C$1,),)=0,#N/A,VLOOKUP(Table7[[#This Row],[Date]],Database!$A:$C,MATCH($C$1,Database!$A$1:$C$1,),))</f>
        <v/>
      </c>
      <c r="D12144">
        <f>IFERROR(Table7[[#This Row],[United States 10y]]-Table7[[#This Row],[United States 3y]],#N/A)</f>
        <v/>
      </c>
    </row>
    <row r="12145">
      <c r="A12145" s="6">
        <f>Database!$A14230</f>
        <v/>
      </c>
      <c r="B12145">
        <f>IF(VLOOKUP(Table7[[#This Row],[Date]],Database!$A:$C,MATCH($B$1,Database!$A$1:$C$1,),)=0,#N/A,VLOOKUP(Table7[[#This Row],[Date]],Database!$A:$C,MATCH($B$1,Database!$A$1:$C$1,),))</f>
        <v/>
      </c>
      <c r="C12145">
        <f>IF(VLOOKUP(Table7[[#This Row],[Date]],Database!$A:$C,MATCH($C$1,Database!$A$1:$C$1,),)=0,#N/A,VLOOKUP(Table7[[#This Row],[Date]],Database!$A:$C,MATCH($C$1,Database!$A$1:$C$1,),))</f>
        <v/>
      </c>
      <c r="D12145">
        <f>IFERROR(Table7[[#This Row],[United States 10y]]-Table7[[#This Row],[United States 3y]],#N/A)</f>
        <v/>
      </c>
    </row>
    <row r="12146">
      <c r="A12146" s="6">
        <f>Database!$A14231</f>
        <v/>
      </c>
      <c r="B12146">
        <f>IF(VLOOKUP(Table7[[#This Row],[Date]],Database!$A:$C,MATCH($B$1,Database!$A$1:$C$1,),)=0,#N/A,VLOOKUP(Table7[[#This Row],[Date]],Database!$A:$C,MATCH($B$1,Database!$A$1:$C$1,),))</f>
        <v/>
      </c>
      <c r="C12146">
        <f>IF(VLOOKUP(Table7[[#This Row],[Date]],Database!$A:$C,MATCH($C$1,Database!$A$1:$C$1,),)=0,#N/A,VLOOKUP(Table7[[#This Row],[Date]],Database!$A:$C,MATCH($C$1,Database!$A$1:$C$1,),))</f>
        <v/>
      </c>
      <c r="D12146">
        <f>IFERROR(Table7[[#This Row],[United States 10y]]-Table7[[#This Row],[United States 3y]],#N/A)</f>
        <v/>
      </c>
    </row>
    <row r="12147">
      <c r="A12147" s="6">
        <f>Database!$A14232</f>
        <v/>
      </c>
      <c r="B12147">
        <f>IF(VLOOKUP(Table7[[#This Row],[Date]],Database!$A:$C,MATCH($B$1,Database!$A$1:$C$1,),)=0,#N/A,VLOOKUP(Table7[[#This Row],[Date]],Database!$A:$C,MATCH($B$1,Database!$A$1:$C$1,),))</f>
        <v/>
      </c>
      <c r="C12147">
        <f>IF(VLOOKUP(Table7[[#This Row],[Date]],Database!$A:$C,MATCH($C$1,Database!$A$1:$C$1,),)=0,#N/A,VLOOKUP(Table7[[#This Row],[Date]],Database!$A:$C,MATCH($C$1,Database!$A$1:$C$1,),))</f>
        <v/>
      </c>
      <c r="D12147">
        <f>IFERROR(Table7[[#This Row],[United States 10y]]-Table7[[#This Row],[United States 3y]],#N/A)</f>
        <v/>
      </c>
    </row>
    <row r="12148">
      <c r="A12148" s="6">
        <f>Database!$A14233</f>
        <v/>
      </c>
      <c r="B12148">
        <f>IF(VLOOKUP(Table7[[#This Row],[Date]],Database!$A:$C,MATCH($B$1,Database!$A$1:$C$1,),)=0,#N/A,VLOOKUP(Table7[[#This Row],[Date]],Database!$A:$C,MATCH($B$1,Database!$A$1:$C$1,),))</f>
        <v/>
      </c>
      <c r="C12148">
        <f>IF(VLOOKUP(Table7[[#This Row],[Date]],Database!$A:$C,MATCH($C$1,Database!$A$1:$C$1,),)=0,#N/A,VLOOKUP(Table7[[#This Row],[Date]],Database!$A:$C,MATCH($C$1,Database!$A$1:$C$1,),))</f>
        <v/>
      </c>
      <c r="D12148">
        <f>IFERROR(Table7[[#This Row],[United States 10y]]-Table7[[#This Row],[United States 3y]],#N/A)</f>
        <v/>
      </c>
    </row>
    <row r="12149">
      <c r="A12149" s="6">
        <f>Database!$A14234</f>
        <v/>
      </c>
      <c r="B12149">
        <f>IF(VLOOKUP(Table7[[#This Row],[Date]],Database!$A:$C,MATCH($B$1,Database!$A$1:$C$1,),)=0,#N/A,VLOOKUP(Table7[[#This Row],[Date]],Database!$A:$C,MATCH($B$1,Database!$A$1:$C$1,),))</f>
        <v/>
      </c>
      <c r="C12149">
        <f>IF(VLOOKUP(Table7[[#This Row],[Date]],Database!$A:$C,MATCH($C$1,Database!$A$1:$C$1,),)=0,#N/A,VLOOKUP(Table7[[#This Row],[Date]],Database!$A:$C,MATCH($C$1,Database!$A$1:$C$1,),))</f>
        <v/>
      </c>
      <c r="D12149">
        <f>IFERROR(Table7[[#This Row],[United States 10y]]-Table7[[#This Row],[United States 3y]],#N/A)</f>
        <v/>
      </c>
    </row>
    <row r="12150">
      <c r="A12150" s="6">
        <f>Database!$A14235</f>
        <v/>
      </c>
      <c r="B12150">
        <f>IF(VLOOKUP(Table7[[#This Row],[Date]],Database!$A:$C,MATCH($B$1,Database!$A$1:$C$1,),)=0,#N/A,VLOOKUP(Table7[[#This Row],[Date]],Database!$A:$C,MATCH($B$1,Database!$A$1:$C$1,),))</f>
        <v/>
      </c>
      <c r="C12150">
        <f>IF(VLOOKUP(Table7[[#This Row],[Date]],Database!$A:$C,MATCH($C$1,Database!$A$1:$C$1,),)=0,#N/A,VLOOKUP(Table7[[#This Row],[Date]],Database!$A:$C,MATCH($C$1,Database!$A$1:$C$1,),))</f>
        <v/>
      </c>
      <c r="D12150">
        <f>IFERROR(Table7[[#This Row],[United States 10y]]-Table7[[#This Row],[United States 3y]],#N/A)</f>
        <v/>
      </c>
    </row>
    <row r="12151">
      <c r="A12151" s="6">
        <f>Database!$A14236</f>
        <v/>
      </c>
      <c r="B12151">
        <f>IF(VLOOKUP(Table7[[#This Row],[Date]],Database!$A:$C,MATCH($B$1,Database!$A$1:$C$1,),)=0,#N/A,VLOOKUP(Table7[[#This Row],[Date]],Database!$A:$C,MATCH($B$1,Database!$A$1:$C$1,),))</f>
        <v/>
      </c>
      <c r="C12151">
        <f>IF(VLOOKUP(Table7[[#This Row],[Date]],Database!$A:$C,MATCH($C$1,Database!$A$1:$C$1,),)=0,#N/A,VLOOKUP(Table7[[#This Row],[Date]],Database!$A:$C,MATCH($C$1,Database!$A$1:$C$1,),))</f>
        <v/>
      </c>
      <c r="D12151">
        <f>IFERROR(Table7[[#This Row],[United States 10y]]-Table7[[#This Row],[United States 3y]],#N/A)</f>
        <v/>
      </c>
    </row>
    <row r="12152">
      <c r="A12152" s="6">
        <f>Database!$A14237</f>
        <v/>
      </c>
      <c r="B12152">
        <f>IF(VLOOKUP(Table7[[#This Row],[Date]],Database!$A:$C,MATCH($B$1,Database!$A$1:$C$1,),)=0,#N/A,VLOOKUP(Table7[[#This Row],[Date]],Database!$A:$C,MATCH($B$1,Database!$A$1:$C$1,),))</f>
        <v/>
      </c>
      <c r="C12152">
        <f>IF(VLOOKUP(Table7[[#This Row],[Date]],Database!$A:$C,MATCH($C$1,Database!$A$1:$C$1,),)=0,#N/A,VLOOKUP(Table7[[#This Row],[Date]],Database!$A:$C,MATCH($C$1,Database!$A$1:$C$1,),))</f>
        <v/>
      </c>
      <c r="D12152">
        <f>IFERROR(Table7[[#This Row],[United States 10y]]-Table7[[#This Row],[United States 3y]],#N/A)</f>
        <v/>
      </c>
    </row>
    <row r="12153">
      <c r="A12153" s="6">
        <f>Database!$A14238</f>
        <v/>
      </c>
      <c r="B12153">
        <f>IF(VLOOKUP(Table7[[#This Row],[Date]],Database!$A:$C,MATCH($B$1,Database!$A$1:$C$1,),)=0,#N/A,VLOOKUP(Table7[[#This Row],[Date]],Database!$A:$C,MATCH($B$1,Database!$A$1:$C$1,),))</f>
        <v/>
      </c>
      <c r="C12153">
        <f>IF(VLOOKUP(Table7[[#This Row],[Date]],Database!$A:$C,MATCH($C$1,Database!$A$1:$C$1,),)=0,#N/A,VLOOKUP(Table7[[#This Row],[Date]],Database!$A:$C,MATCH($C$1,Database!$A$1:$C$1,),))</f>
        <v/>
      </c>
      <c r="D12153">
        <f>IFERROR(Table7[[#This Row],[United States 10y]]-Table7[[#This Row],[United States 3y]],#N/A)</f>
        <v/>
      </c>
    </row>
    <row r="12154">
      <c r="A12154" s="6">
        <f>Database!$A14239</f>
        <v/>
      </c>
      <c r="B12154">
        <f>IF(VLOOKUP(Table7[[#This Row],[Date]],Database!$A:$C,MATCH($B$1,Database!$A$1:$C$1,),)=0,#N/A,VLOOKUP(Table7[[#This Row],[Date]],Database!$A:$C,MATCH($B$1,Database!$A$1:$C$1,),))</f>
        <v/>
      </c>
      <c r="C12154">
        <f>IF(VLOOKUP(Table7[[#This Row],[Date]],Database!$A:$C,MATCH($C$1,Database!$A$1:$C$1,),)=0,#N/A,VLOOKUP(Table7[[#This Row],[Date]],Database!$A:$C,MATCH($C$1,Database!$A$1:$C$1,),))</f>
        <v/>
      </c>
      <c r="D12154">
        <f>IFERROR(Table7[[#This Row],[United States 10y]]-Table7[[#This Row],[United States 3y]],#N/A)</f>
        <v/>
      </c>
    </row>
    <row r="12155">
      <c r="A12155" s="6">
        <f>Database!$A14240</f>
        <v/>
      </c>
      <c r="B12155">
        <f>IF(VLOOKUP(Table7[[#This Row],[Date]],Database!$A:$C,MATCH($B$1,Database!$A$1:$C$1,),)=0,#N/A,VLOOKUP(Table7[[#This Row],[Date]],Database!$A:$C,MATCH($B$1,Database!$A$1:$C$1,),))</f>
        <v/>
      </c>
      <c r="C12155">
        <f>IF(VLOOKUP(Table7[[#This Row],[Date]],Database!$A:$C,MATCH($C$1,Database!$A$1:$C$1,),)=0,#N/A,VLOOKUP(Table7[[#This Row],[Date]],Database!$A:$C,MATCH($C$1,Database!$A$1:$C$1,),))</f>
        <v/>
      </c>
      <c r="D12155">
        <f>IFERROR(Table7[[#This Row],[United States 10y]]-Table7[[#This Row],[United States 3y]],#N/A)</f>
        <v/>
      </c>
    </row>
    <row r="12156">
      <c r="A12156" s="6">
        <f>Database!$A14241</f>
        <v/>
      </c>
      <c r="B12156">
        <f>IF(VLOOKUP(Table7[[#This Row],[Date]],Database!$A:$C,MATCH($B$1,Database!$A$1:$C$1,),)=0,#N/A,VLOOKUP(Table7[[#This Row],[Date]],Database!$A:$C,MATCH($B$1,Database!$A$1:$C$1,),))</f>
        <v/>
      </c>
      <c r="C12156">
        <f>IF(VLOOKUP(Table7[[#This Row],[Date]],Database!$A:$C,MATCH($C$1,Database!$A$1:$C$1,),)=0,#N/A,VLOOKUP(Table7[[#This Row],[Date]],Database!$A:$C,MATCH($C$1,Database!$A$1:$C$1,),))</f>
        <v/>
      </c>
      <c r="D12156">
        <f>IFERROR(Table7[[#This Row],[United States 10y]]-Table7[[#This Row],[United States 3y]],#N/A)</f>
        <v/>
      </c>
    </row>
    <row r="12157">
      <c r="A12157" s="6">
        <f>Database!$A14242</f>
        <v/>
      </c>
      <c r="B12157">
        <f>IF(VLOOKUP(Table7[[#This Row],[Date]],Database!$A:$C,MATCH($B$1,Database!$A$1:$C$1,),)=0,#N/A,VLOOKUP(Table7[[#This Row],[Date]],Database!$A:$C,MATCH($B$1,Database!$A$1:$C$1,),))</f>
        <v/>
      </c>
      <c r="C12157">
        <f>IF(VLOOKUP(Table7[[#This Row],[Date]],Database!$A:$C,MATCH($C$1,Database!$A$1:$C$1,),)=0,#N/A,VLOOKUP(Table7[[#This Row],[Date]],Database!$A:$C,MATCH($C$1,Database!$A$1:$C$1,),))</f>
        <v/>
      </c>
      <c r="D12157">
        <f>IFERROR(Table7[[#This Row],[United States 10y]]-Table7[[#This Row],[United States 3y]],#N/A)</f>
        <v/>
      </c>
    </row>
    <row r="12158">
      <c r="A12158" s="6">
        <f>Database!$A14243</f>
        <v/>
      </c>
      <c r="B12158">
        <f>IF(VLOOKUP(Table7[[#This Row],[Date]],Database!$A:$C,MATCH($B$1,Database!$A$1:$C$1,),)=0,#N/A,VLOOKUP(Table7[[#This Row],[Date]],Database!$A:$C,MATCH($B$1,Database!$A$1:$C$1,),))</f>
        <v/>
      </c>
      <c r="C12158">
        <f>IF(VLOOKUP(Table7[[#This Row],[Date]],Database!$A:$C,MATCH($C$1,Database!$A$1:$C$1,),)=0,#N/A,VLOOKUP(Table7[[#This Row],[Date]],Database!$A:$C,MATCH($C$1,Database!$A$1:$C$1,),))</f>
        <v/>
      </c>
      <c r="D12158">
        <f>IFERROR(Table7[[#This Row],[United States 10y]]-Table7[[#This Row],[United States 3y]],#N/A)</f>
        <v/>
      </c>
    </row>
    <row r="12159">
      <c r="A12159" s="6">
        <f>Database!$A14244</f>
        <v/>
      </c>
      <c r="B12159">
        <f>IF(VLOOKUP(Table7[[#This Row],[Date]],Database!$A:$C,MATCH($B$1,Database!$A$1:$C$1,),)=0,#N/A,VLOOKUP(Table7[[#This Row],[Date]],Database!$A:$C,MATCH($B$1,Database!$A$1:$C$1,),))</f>
        <v/>
      </c>
      <c r="C12159">
        <f>IF(VLOOKUP(Table7[[#This Row],[Date]],Database!$A:$C,MATCH($C$1,Database!$A$1:$C$1,),)=0,#N/A,VLOOKUP(Table7[[#This Row],[Date]],Database!$A:$C,MATCH($C$1,Database!$A$1:$C$1,),))</f>
        <v/>
      </c>
      <c r="D12159">
        <f>IFERROR(Table7[[#This Row],[United States 10y]]-Table7[[#This Row],[United States 3y]],#N/A)</f>
        <v/>
      </c>
    </row>
    <row r="12160">
      <c r="A12160" s="6">
        <f>Database!$A14245</f>
        <v/>
      </c>
      <c r="B12160">
        <f>IF(VLOOKUP(Table7[[#This Row],[Date]],Database!$A:$C,MATCH($B$1,Database!$A$1:$C$1,),)=0,#N/A,VLOOKUP(Table7[[#This Row],[Date]],Database!$A:$C,MATCH($B$1,Database!$A$1:$C$1,),))</f>
        <v/>
      </c>
      <c r="C12160">
        <f>IF(VLOOKUP(Table7[[#This Row],[Date]],Database!$A:$C,MATCH($C$1,Database!$A$1:$C$1,),)=0,#N/A,VLOOKUP(Table7[[#This Row],[Date]],Database!$A:$C,MATCH($C$1,Database!$A$1:$C$1,),))</f>
        <v/>
      </c>
      <c r="D12160">
        <f>IFERROR(Table7[[#This Row],[United States 10y]]-Table7[[#This Row],[United States 3y]],#N/A)</f>
        <v/>
      </c>
    </row>
    <row r="12161">
      <c r="A12161" s="6">
        <f>Database!$A14246</f>
        <v/>
      </c>
      <c r="B12161">
        <f>IF(VLOOKUP(Table7[[#This Row],[Date]],Database!$A:$C,MATCH($B$1,Database!$A$1:$C$1,),)=0,#N/A,VLOOKUP(Table7[[#This Row],[Date]],Database!$A:$C,MATCH($B$1,Database!$A$1:$C$1,),))</f>
        <v/>
      </c>
      <c r="C12161">
        <f>IF(VLOOKUP(Table7[[#This Row],[Date]],Database!$A:$C,MATCH($C$1,Database!$A$1:$C$1,),)=0,#N/A,VLOOKUP(Table7[[#This Row],[Date]],Database!$A:$C,MATCH($C$1,Database!$A$1:$C$1,),))</f>
        <v/>
      </c>
      <c r="D12161">
        <f>IFERROR(Table7[[#This Row],[United States 10y]]-Table7[[#This Row],[United States 3y]],#N/A)</f>
        <v/>
      </c>
    </row>
    <row r="12162">
      <c r="A12162" s="6">
        <f>Database!$A14247</f>
        <v/>
      </c>
      <c r="B12162">
        <f>IF(VLOOKUP(Table7[[#This Row],[Date]],Database!$A:$C,MATCH($B$1,Database!$A$1:$C$1,),)=0,#N/A,VLOOKUP(Table7[[#This Row],[Date]],Database!$A:$C,MATCH($B$1,Database!$A$1:$C$1,),))</f>
        <v/>
      </c>
      <c r="C12162">
        <f>IF(VLOOKUP(Table7[[#This Row],[Date]],Database!$A:$C,MATCH($C$1,Database!$A$1:$C$1,),)=0,#N/A,VLOOKUP(Table7[[#This Row],[Date]],Database!$A:$C,MATCH($C$1,Database!$A$1:$C$1,),))</f>
        <v/>
      </c>
      <c r="D12162">
        <f>IFERROR(Table7[[#This Row],[United States 10y]]-Table7[[#This Row],[United States 3y]],#N/A)</f>
        <v/>
      </c>
    </row>
    <row r="12163">
      <c r="A12163" s="6">
        <f>Database!$A14248</f>
        <v/>
      </c>
      <c r="B12163">
        <f>IF(VLOOKUP(Table7[[#This Row],[Date]],Database!$A:$C,MATCH($B$1,Database!$A$1:$C$1,),)=0,#N/A,VLOOKUP(Table7[[#This Row],[Date]],Database!$A:$C,MATCH($B$1,Database!$A$1:$C$1,),))</f>
        <v/>
      </c>
      <c r="C12163">
        <f>IF(VLOOKUP(Table7[[#This Row],[Date]],Database!$A:$C,MATCH($C$1,Database!$A$1:$C$1,),)=0,#N/A,VLOOKUP(Table7[[#This Row],[Date]],Database!$A:$C,MATCH($C$1,Database!$A$1:$C$1,),))</f>
        <v/>
      </c>
      <c r="D12163">
        <f>IFERROR(Table7[[#This Row],[United States 10y]]-Table7[[#This Row],[United States 3y]],#N/A)</f>
        <v/>
      </c>
    </row>
    <row r="12164">
      <c r="A12164" s="6">
        <f>Database!$A14249</f>
        <v/>
      </c>
      <c r="B12164">
        <f>IF(VLOOKUP(Table7[[#This Row],[Date]],Database!$A:$C,MATCH($B$1,Database!$A$1:$C$1,),)=0,#N/A,VLOOKUP(Table7[[#This Row],[Date]],Database!$A:$C,MATCH($B$1,Database!$A$1:$C$1,),))</f>
        <v/>
      </c>
      <c r="C12164">
        <f>IF(VLOOKUP(Table7[[#This Row],[Date]],Database!$A:$C,MATCH($C$1,Database!$A$1:$C$1,),)=0,#N/A,VLOOKUP(Table7[[#This Row],[Date]],Database!$A:$C,MATCH($C$1,Database!$A$1:$C$1,),))</f>
        <v/>
      </c>
      <c r="D12164">
        <f>IFERROR(Table7[[#This Row],[United States 10y]]-Table7[[#This Row],[United States 3y]],#N/A)</f>
        <v/>
      </c>
    </row>
    <row r="12165">
      <c r="A12165" s="6">
        <f>Database!$A14250</f>
        <v/>
      </c>
      <c r="B12165">
        <f>IF(VLOOKUP(Table7[[#This Row],[Date]],Database!$A:$C,MATCH($B$1,Database!$A$1:$C$1,),)=0,#N/A,VLOOKUP(Table7[[#This Row],[Date]],Database!$A:$C,MATCH($B$1,Database!$A$1:$C$1,),))</f>
        <v/>
      </c>
      <c r="C12165">
        <f>IF(VLOOKUP(Table7[[#This Row],[Date]],Database!$A:$C,MATCH($C$1,Database!$A$1:$C$1,),)=0,#N/A,VLOOKUP(Table7[[#This Row],[Date]],Database!$A:$C,MATCH($C$1,Database!$A$1:$C$1,),))</f>
        <v/>
      </c>
      <c r="D12165">
        <f>IFERROR(Table7[[#This Row],[United States 10y]]-Table7[[#This Row],[United States 3y]],#N/A)</f>
        <v/>
      </c>
    </row>
    <row r="12166">
      <c r="A12166" s="6">
        <f>Database!$A14251</f>
        <v/>
      </c>
      <c r="B12166">
        <f>IF(VLOOKUP(Table7[[#This Row],[Date]],Database!$A:$C,MATCH($B$1,Database!$A$1:$C$1,),)=0,#N/A,VLOOKUP(Table7[[#This Row],[Date]],Database!$A:$C,MATCH($B$1,Database!$A$1:$C$1,),))</f>
        <v/>
      </c>
      <c r="C12166">
        <f>IF(VLOOKUP(Table7[[#This Row],[Date]],Database!$A:$C,MATCH($C$1,Database!$A$1:$C$1,),)=0,#N/A,VLOOKUP(Table7[[#This Row],[Date]],Database!$A:$C,MATCH($C$1,Database!$A$1:$C$1,),))</f>
        <v/>
      </c>
      <c r="D12166">
        <f>IFERROR(Table7[[#This Row],[United States 10y]]-Table7[[#This Row],[United States 3y]],#N/A)</f>
        <v/>
      </c>
    </row>
    <row r="12167">
      <c r="A12167" s="6">
        <f>Database!$A14252</f>
        <v/>
      </c>
      <c r="B12167">
        <f>IF(VLOOKUP(Table7[[#This Row],[Date]],Database!$A:$C,MATCH($B$1,Database!$A$1:$C$1,),)=0,#N/A,VLOOKUP(Table7[[#This Row],[Date]],Database!$A:$C,MATCH($B$1,Database!$A$1:$C$1,),))</f>
        <v/>
      </c>
      <c r="C12167">
        <f>IF(VLOOKUP(Table7[[#This Row],[Date]],Database!$A:$C,MATCH($C$1,Database!$A$1:$C$1,),)=0,#N/A,VLOOKUP(Table7[[#This Row],[Date]],Database!$A:$C,MATCH($C$1,Database!$A$1:$C$1,),))</f>
        <v/>
      </c>
      <c r="D12167">
        <f>IFERROR(Table7[[#This Row],[United States 10y]]-Table7[[#This Row],[United States 3y]],#N/A)</f>
        <v/>
      </c>
    </row>
    <row r="12168">
      <c r="A12168" s="6">
        <f>Database!$A14253</f>
        <v/>
      </c>
      <c r="B12168">
        <f>IF(VLOOKUP(Table7[[#This Row],[Date]],Database!$A:$C,MATCH($B$1,Database!$A$1:$C$1,),)=0,#N/A,VLOOKUP(Table7[[#This Row],[Date]],Database!$A:$C,MATCH($B$1,Database!$A$1:$C$1,),))</f>
        <v/>
      </c>
      <c r="C12168">
        <f>IF(VLOOKUP(Table7[[#This Row],[Date]],Database!$A:$C,MATCH($C$1,Database!$A$1:$C$1,),)=0,#N/A,VLOOKUP(Table7[[#This Row],[Date]],Database!$A:$C,MATCH($C$1,Database!$A$1:$C$1,),))</f>
        <v/>
      </c>
      <c r="D12168">
        <f>IFERROR(Table7[[#This Row],[United States 10y]]-Table7[[#This Row],[United States 3y]],#N/A)</f>
        <v/>
      </c>
    </row>
    <row r="12169">
      <c r="A12169" s="6">
        <f>Database!$A14254</f>
        <v/>
      </c>
      <c r="B12169">
        <f>IF(VLOOKUP(Table7[[#This Row],[Date]],Database!$A:$C,MATCH($B$1,Database!$A$1:$C$1,),)=0,#N/A,VLOOKUP(Table7[[#This Row],[Date]],Database!$A:$C,MATCH($B$1,Database!$A$1:$C$1,),))</f>
        <v/>
      </c>
      <c r="C12169">
        <f>IF(VLOOKUP(Table7[[#This Row],[Date]],Database!$A:$C,MATCH($C$1,Database!$A$1:$C$1,),)=0,#N/A,VLOOKUP(Table7[[#This Row],[Date]],Database!$A:$C,MATCH($C$1,Database!$A$1:$C$1,),))</f>
        <v/>
      </c>
      <c r="D12169">
        <f>IFERROR(Table7[[#This Row],[United States 10y]]-Table7[[#This Row],[United States 3y]],#N/A)</f>
        <v/>
      </c>
    </row>
    <row r="12170">
      <c r="A12170" s="6">
        <f>Database!$A14255</f>
        <v/>
      </c>
      <c r="B12170">
        <f>IF(VLOOKUP(Table7[[#This Row],[Date]],Database!$A:$C,MATCH($B$1,Database!$A$1:$C$1,),)=0,#N/A,VLOOKUP(Table7[[#This Row],[Date]],Database!$A:$C,MATCH($B$1,Database!$A$1:$C$1,),))</f>
        <v/>
      </c>
      <c r="C12170">
        <f>IF(VLOOKUP(Table7[[#This Row],[Date]],Database!$A:$C,MATCH($C$1,Database!$A$1:$C$1,),)=0,#N/A,VLOOKUP(Table7[[#This Row],[Date]],Database!$A:$C,MATCH($C$1,Database!$A$1:$C$1,),))</f>
        <v/>
      </c>
      <c r="D12170">
        <f>IFERROR(Table7[[#This Row],[United States 10y]]-Table7[[#This Row],[United States 3y]],#N/A)</f>
        <v/>
      </c>
    </row>
    <row r="12171">
      <c r="A12171" s="6">
        <f>Database!$A14256</f>
        <v/>
      </c>
      <c r="B12171">
        <f>IF(VLOOKUP(Table7[[#This Row],[Date]],Database!$A:$C,MATCH($B$1,Database!$A$1:$C$1,),)=0,#N/A,VLOOKUP(Table7[[#This Row],[Date]],Database!$A:$C,MATCH($B$1,Database!$A$1:$C$1,),))</f>
        <v/>
      </c>
      <c r="C12171">
        <f>IF(VLOOKUP(Table7[[#This Row],[Date]],Database!$A:$C,MATCH($C$1,Database!$A$1:$C$1,),)=0,#N/A,VLOOKUP(Table7[[#This Row],[Date]],Database!$A:$C,MATCH($C$1,Database!$A$1:$C$1,),))</f>
        <v/>
      </c>
      <c r="D12171">
        <f>IFERROR(Table7[[#This Row],[United States 10y]]-Table7[[#This Row],[United States 3y]],#N/A)</f>
        <v/>
      </c>
    </row>
    <row r="12172">
      <c r="A12172" s="6">
        <f>Database!$A14257</f>
        <v/>
      </c>
      <c r="B12172">
        <f>IF(VLOOKUP(Table7[[#This Row],[Date]],Database!$A:$C,MATCH($B$1,Database!$A$1:$C$1,),)=0,#N/A,VLOOKUP(Table7[[#This Row],[Date]],Database!$A:$C,MATCH($B$1,Database!$A$1:$C$1,),))</f>
        <v/>
      </c>
      <c r="C12172">
        <f>IF(VLOOKUP(Table7[[#This Row],[Date]],Database!$A:$C,MATCH($C$1,Database!$A$1:$C$1,),)=0,#N/A,VLOOKUP(Table7[[#This Row],[Date]],Database!$A:$C,MATCH($C$1,Database!$A$1:$C$1,),))</f>
        <v/>
      </c>
      <c r="D12172">
        <f>IFERROR(Table7[[#This Row],[United States 10y]]-Table7[[#This Row],[United States 3y]],#N/A)</f>
        <v/>
      </c>
    </row>
    <row r="12173">
      <c r="A12173" s="6">
        <f>Database!$A14258</f>
        <v/>
      </c>
      <c r="B12173">
        <f>IF(VLOOKUP(Table7[[#This Row],[Date]],Database!$A:$C,MATCH($B$1,Database!$A$1:$C$1,),)=0,#N/A,VLOOKUP(Table7[[#This Row],[Date]],Database!$A:$C,MATCH($B$1,Database!$A$1:$C$1,),))</f>
        <v/>
      </c>
      <c r="C12173">
        <f>IF(VLOOKUP(Table7[[#This Row],[Date]],Database!$A:$C,MATCH($C$1,Database!$A$1:$C$1,),)=0,#N/A,VLOOKUP(Table7[[#This Row],[Date]],Database!$A:$C,MATCH($C$1,Database!$A$1:$C$1,),))</f>
        <v/>
      </c>
      <c r="D12173">
        <f>IFERROR(Table7[[#This Row],[United States 10y]]-Table7[[#This Row],[United States 3y]],#N/A)</f>
        <v/>
      </c>
    </row>
    <row r="12174">
      <c r="A12174" s="6">
        <f>Database!$A14259</f>
        <v/>
      </c>
      <c r="B12174">
        <f>IF(VLOOKUP(Table7[[#This Row],[Date]],Database!$A:$C,MATCH($B$1,Database!$A$1:$C$1,),)=0,#N/A,VLOOKUP(Table7[[#This Row],[Date]],Database!$A:$C,MATCH($B$1,Database!$A$1:$C$1,),))</f>
        <v/>
      </c>
      <c r="C12174">
        <f>IF(VLOOKUP(Table7[[#This Row],[Date]],Database!$A:$C,MATCH($C$1,Database!$A$1:$C$1,),)=0,#N/A,VLOOKUP(Table7[[#This Row],[Date]],Database!$A:$C,MATCH($C$1,Database!$A$1:$C$1,),))</f>
        <v/>
      </c>
      <c r="D12174">
        <f>IFERROR(Table7[[#This Row],[United States 10y]]-Table7[[#This Row],[United States 3y]],#N/A)</f>
        <v/>
      </c>
    </row>
    <row r="12175">
      <c r="A12175" s="6">
        <f>Database!$A14260</f>
        <v/>
      </c>
      <c r="B12175">
        <f>IF(VLOOKUP(Table7[[#This Row],[Date]],Database!$A:$C,MATCH($B$1,Database!$A$1:$C$1,),)=0,#N/A,VLOOKUP(Table7[[#This Row],[Date]],Database!$A:$C,MATCH($B$1,Database!$A$1:$C$1,),))</f>
        <v/>
      </c>
      <c r="C12175">
        <f>IF(VLOOKUP(Table7[[#This Row],[Date]],Database!$A:$C,MATCH($C$1,Database!$A$1:$C$1,),)=0,#N/A,VLOOKUP(Table7[[#This Row],[Date]],Database!$A:$C,MATCH($C$1,Database!$A$1:$C$1,),))</f>
        <v/>
      </c>
      <c r="D12175">
        <f>IFERROR(Table7[[#This Row],[United States 10y]]-Table7[[#This Row],[United States 3y]],#N/A)</f>
        <v/>
      </c>
    </row>
    <row r="12176">
      <c r="A12176" s="6">
        <f>Database!$A14261</f>
        <v/>
      </c>
      <c r="B12176">
        <f>IF(VLOOKUP(Table7[[#This Row],[Date]],Database!$A:$C,MATCH($B$1,Database!$A$1:$C$1,),)=0,#N/A,VLOOKUP(Table7[[#This Row],[Date]],Database!$A:$C,MATCH($B$1,Database!$A$1:$C$1,),))</f>
        <v/>
      </c>
      <c r="C12176">
        <f>IF(VLOOKUP(Table7[[#This Row],[Date]],Database!$A:$C,MATCH($C$1,Database!$A$1:$C$1,),)=0,#N/A,VLOOKUP(Table7[[#This Row],[Date]],Database!$A:$C,MATCH($C$1,Database!$A$1:$C$1,),))</f>
        <v/>
      </c>
      <c r="D12176">
        <f>IFERROR(Table7[[#This Row],[United States 10y]]-Table7[[#This Row],[United States 3y]],#N/A)</f>
        <v/>
      </c>
    </row>
    <row r="12177">
      <c r="A12177" s="6">
        <f>Database!$A14262</f>
        <v/>
      </c>
      <c r="B12177">
        <f>IF(VLOOKUP(Table7[[#This Row],[Date]],Database!$A:$C,MATCH($B$1,Database!$A$1:$C$1,),)=0,#N/A,VLOOKUP(Table7[[#This Row],[Date]],Database!$A:$C,MATCH($B$1,Database!$A$1:$C$1,),))</f>
        <v/>
      </c>
      <c r="C12177">
        <f>IF(VLOOKUP(Table7[[#This Row],[Date]],Database!$A:$C,MATCH($C$1,Database!$A$1:$C$1,),)=0,#N/A,VLOOKUP(Table7[[#This Row],[Date]],Database!$A:$C,MATCH($C$1,Database!$A$1:$C$1,),))</f>
        <v/>
      </c>
      <c r="D12177">
        <f>IFERROR(Table7[[#This Row],[United States 10y]]-Table7[[#This Row],[United States 3y]],#N/A)</f>
        <v/>
      </c>
    </row>
    <row r="12178">
      <c r="A12178" s="6">
        <f>Database!$A14263</f>
        <v/>
      </c>
      <c r="B12178">
        <f>IF(VLOOKUP(Table7[[#This Row],[Date]],Database!$A:$C,MATCH($B$1,Database!$A$1:$C$1,),)=0,#N/A,VLOOKUP(Table7[[#This Row],[Date]],Database!$A:$C,MATCH($B$1,Database!$A$1:$C$1,),))</f>
        <v/>
      </c>
      <c r="C12178">
        <f>IF(VLOOKUP(Table7[[#This Row],[Date]],Database!$A:$C,MATCH($C$1,Database!$A$1:$C$1,),)=0,#N/A,VLOOKUP(Table7[[#This Row],[Date]],Database!$A:$C,MATCH($C$1,Database!$A$1:$C$1,),))</f>
        <v/>
      </c>
      <c r="D12178">
        <f>IFERROR(Table7[[#This Row],[United States 10y]]-Table7[[#This Row],[United States 3y]],#N/A)</f>
        <v/>
      </c>
    </row>
    <row r="12179">
      <c r="A12179" s="6">
        <f>Database!$A14264</f>
        <v/>
      </c>
      <c r="B12179">
        <f>IF(VLOOKUP(Table7[[#This Row],[Date]],Database!$A:$C,MATCH($B$1,Database!$A$1:$C$1,),)=0,#N/A,VLOOKUP(Table7[[#This Row],[Date]],Database!$A:$C,MATCH($B$1,Database!$A$1:$C$1,),))</f>
        <v/>
      </c>
      <c r="C12179">
        <f>IF(VLOOKUP(Table7[[#This Row],[Date]],Database!$A:$C,MATCH($C$1,Database!$A$1:$C$1,),)=0,#N/A,VLOOKUP(Table7[[#This Row],[Date]],Database!$A:$C,MATCH($C$1,Database!$A$1:$C$1,),))</f>
        <v/>
      </c>
      <c r="D12179">
        <f>IFERROR(Table7[[#This Row],[United States 10y]]-Table7[[#This Row],[United States 3y]],#N/A)</f>
        <v/>
      </c>
    </row>
    <row r="12180">
      <c r="A12180" s="6">
        <f>Database!$A14265</f>
        <v/>
      </c>
      <c r="B12180">
        <f>IF(VLOOKUP(Table7[[#This Row],[Date]],Database!$A:$C,MATCH($B$1,Database!$A$1:$C$1,),)=0,#N/A,VLOOKUP(Table7[[#This Row],[Date]],Database!$A:$C,MATCH($B$1,Database!$A$1:$C$1,),))</f>
        <v/>
      </c>
      <c r="C12180">
        <f>IF(VLOOKUP(Table7[[#This Row],[Date]],Database!$A:$C,MATCH($C$1,Database!$A$1:$C$1,),)=0,#N/A,VLOOKUP(Table7[[#This Row],[Date]],Database!$A:$C,MATCH($C$1,Database!$A$1:$C$1,),))</f>
        <v/>
      </c>
      <c r="D12180">
        <f>IFERROR(Table7[[#This Row],[United States 10y]]-Table7[[#This Row],[United States 3y]],#N/A)</f>
        <v/>
      </c>
    </row>
    <row r="12181">
      <c r="A12181" s="6">
        <f>Database!$A14266</f>
        <v/>
      </c>
      <c r="B12181">
        <f>IF(VLOOKUP(Table7[[#This Row],[Date]],Database!$A:$C,MATCH($B$1,Database!$A$1:$C$1,),)=0,#N/A,VLOOKUP(Table7[[#This Row],[Date]],Database!$A:$C,MATCH($B$1,Database!$A$1:$C$1,),))</f>
        <v/>
      </c>
      <c r="C12181">
        <f>IF(VLOOKUP(Table7[[#This Row],[Date]],Database!$A:$C,MATCH($C$1,Database!$A$1:$C$1,),)=0,#N/A,VLOOKUP(Table7[[#This Row],[Date]],Database!$A:$C,MATCH($C$1,Database!$A$1:$C$1,),))</f>
        <v/>
      </c>
      <c r="D12181">
        <f>IFERROR(Table7[[#This Row],[United States 10y]]-Table7[[#This Row],[United States 3y]],#N/A)</f>
        <v/>
      </c>
    </row>
    <row r="12182">
      <c r="A12182" s="6">
        <f>Database!$A14267</f>
        <v/>
      </c>
      <c r="B12182">
        <f>IF(VLOOKUP(Table7[[#This Row],[Date]],Database!$A:$C,MATCH($B$1,Database!$A$1:$C$1,),)=0,#N/A,VLOOKUP(Table7[[#This Row],[Date]],Database!$A:$C,MATCH($B$1,Database!$A$1:$C$1,),))</f>
        <v/>
      </c>
      <c r="C12182">
        <f>IF(VLOOKUP(Table7[[#This Row],[Date]],Database!$A:$C,MATCH($C$1,Database!$A$1:$C$1,),)=0,#N/A,VLOOKUP(Table7[[#This Row],[Date]],Database!$A:$C,MATCH($C$1,Database!$A$1:$C$1,),))</f>
        <v/>
      </c>
      <c r="D12182">
        <f>IFERROR(Table7[[#This Row],[United States 10y]]-Table7[[#This Row],[United States 3y]],#N/A)</f>
        <v/>
      </c>
    </row>
    <row r="12183">
      <c r="A12183" s="6">
        <f>Database!$A14268</f>
        <v/>
      </c>
      <c r="B12183">
        <f>IF(VLOOKUP(Table7[[#This Row],[Date]],Database!$A:$C,MATCH($B$1,Database!$A$1:$C$1,),)=0,#N/A,VLOOKUP(Table7[[#This Row],[Date]],Database!$A:$C,MATCH($B$1,Database!$A$1:$C$1,),))</f>
        <v/>
      </c>
      <c r="C12183">
        <f>IF(VLOOKUP(Table7[[#This Row],[Date]],Database!$A:$C,MATCH($C$1,Database!$A$1:$C$1,),)=0,#N/A,VLOOKUP(Table7[[#This Row],[Date]],Database!$A:$C,MATCH($C$1,Database!$A$1:$C$1,),))</f>
        <v/>
      </c>
      <c r="D12183">
        <f>IFERROR(Table7[[#This Row],[United States 10y]]-Table7[[#This Row],[United States 3y]],#N/A)</f>
        <v/>
      </c>
    </row>
    <row r="12184">
      <c r="A12184" s="6">
        <f>Database!$A14269</f>
        <v/>
      </c>
      <c r="B12184">
        <f>IF(VLOOKUP(Table7[[#This Row],[Date]],Database!$A:$C,MATCH($B$1,Database!$A$1:$C$1,),)=0,#N/A,VLOOKUP(Table7[[#This Row],[Date]],Database!$A:$C,MATCH($B$1,Database!$A$1:$C$1,),))</f>
        <v/>
      </c>
      <c r="C12184">
        <f>IF(VLOOKUP(Table7[[#This Row],[Date]],Database!$A:$C,MATCH($C$1,Database!$A$1:$C$1,),)=0,#N/A,VLOOKUP(Table7[[#This Row],[Date]],Database!$A:$C,MATCH($C$1,Database!$A$1:$C$1,),))</f>
        <v/>
      </c>
      <c r="D12184">
        <f>IFERROR(Table7[[#This Row],[United States 10y]]-Table7[[#This Row],[United States 3y]],#N/A)</f>
        <v/>
      </c>
    </row>
    <row r="12185">
      <c r="A12185" s="6">
        <f>Database!$A14270</f>
        <v/>
      </c>
      <c r="B12185">
        <f>IF(VLOOKUP(Table7[[#This Row],[Date]],Database!$A:$C,MATCH($B$1,Database!$A$1:$C$1,),)=0,#N/A,VLOOKUP(Table7[[#This Row],[Date]],Database!$A:$C,MATCH($B$1,Database!$A$1:$C$1,),))</f>
        <v/>
      </c>
      <c r="C12185">
        <f>IF(VLOOKUP(Table7[[#This Row],[Date]],Database!$A:$C,MATCH($C$1,Database!$A$1:$C$1,),)=0,#N/A,VLOOKUP(Table7[[#This Row],[Date]],Database!$A:$C,MATCH($C$1,Database!$A$1:$C$1,),))</f>
        <v/>
      </c>
      <c r="D12185">
        <f>IFERROR(Table7[[#This Row],[United States 10y]]-Table7[[#This Row],[United States 3y]],#N/A)</f>
        <v/>
      </c>
    </row>
    <row r="12186">
      <c r="A12186" s="6">
        <f>Database!$A14271</f>
        <v/>
      </c>
      <c r="B12186">
        <f>IF(VLOOKUP(Table7[[#This Row],[Date]],Database!$A:$C,MATCH($B$1,Database!$A$1:$C$1,),)=0,#N/A,VLOOKUP(Table7[[#This Row],[Date]],Database!$A:$C,MATCH($B$1,Database!$A$1:$C$1,),))</f>
        <v/>
      </c>
      <c r="C12186">
        <f>IF(VLOOKUP(Table7[[#This Row],[Date]],Database!$A:$C,MATCH($C$1,Database!$A$1:$C$1,),)=0,#N/A,VLOOKUP(Table7[[#This Row],[Date]],Database!$A:$C,MATCH($C$1,Database!$A$1:$C$1,),))</f>
        <v/>
      </c>
      <c r="D12186">
        <f>IFERROR(Table7[[#This Row],[United States 10y]]-Table7[[#This Row],[United States 3y]],#N/A)</f>
        <v/>
      </c>
    </row>
    <row r="12187">
      <c r="A12187" s="6">
        <f>Database!$A14272</f>
        <v/>
      </c>
      <c r="B12187">
        <f>IF(VLOOKUP(Table7[[#This Row],[Date]],Database!$A:$C,MATCH($B$1,Database!$A$1:$C$1,),)=0,#N/A,VLOOKUP(Table7[[#This Row],[Date]],Database!$A:$C,MATCH($B$1,Database!$A$1:$C$1,),))</f>
        <v/>
      </c>
      <c r="C12187">
        <f>IF(VLOOKUP(Table7[[#This Row],[Date]],Database!$A:$C,MATCH($C$1,Database!$A$1:$C$1,),)=0,#N/A,VLOOKUP(Table7[[#This Row],[Date]],Database!$A:$C,MATCH($C$1,Database!$A$1:$C$1,),))</f>
        <v/>
      </c>
      <c r="D12187">
        <f>IFERROR(Table7[[#This Row],[United States 10y]]-Table7[[#This Row],[United States 3y]],#N/A)</f>
        <v/>
      </c>
    </row>
    <row r="12188">
      <c r="A12188" s="6">
        <f>Database!$A14273</f>
        <v/>
      </c>
      <c r="B12188">
        <f>IF(VLOOKUP(Table7[[#This Row],[Date]],Database!$A:$C,MATCH($B$1,Database!$A$1:$C$1,),)=0,#N/A,VLOOKUP(Table7[[#This Row],[Date]],Database!$A:$C,MATCH($B$1,Database!$A$1:$C$1,),))</f>
        <v/>
      </c>
      <c r="C12188">
        <f>IF(VLOOKUP(Table7[[#This Row],[Date]],Database!$A:$C,MATCH($C$1,Database!$A$1:$C$1,),)=0,#N/A,VLOOKUP(Table7[[#This Row],[Date]],Database!$A:$C,MATCH($C$1,Database!$A$1:$C$1,),))</f>
        <v/>
      </c>
      <c r="D12188">
        <f>IFERROR(Table7[[#This Row],[United States 10y]]-Table7[[#This Row],[United States 3y]],#N/A)</f>
        <v/>
      </c>
    </row>
    <row r="12189">
      <c r="A12189" s="6">
        <f>Database!$A14274</f>
        <v/>
      </c>
      <c r="B12189">
        <f>IF(VLOOKUP(Table7[[#This Row],[Date]],Database!$A:$C,MATCH($B$1,Database!$A$1:$C$1,),)=0,#N/A,VLOOKUP(Table7[[#This Row],[Date]],Database!$A:$C,MATCH($B$1,Database!$A$1:$C$1,),))</f>
        <v/>
      </c>
      <c r="C12189">
        <f>IF(VLOOKUP(Table7[[#This Row],[Date]],Database!$A:$C,MATCH($C$1,Database!$A$1:$C$1,),)=0,#N/A,VLOOKUP(Table7[[#This Row],[Date]],Database!$A:$C,MATCH($C$1,Database!$A$1:$C$1,),))</f>
        <v/>
      </c>
      <c r="D12189">
        <f>IFERROR(Table7[[#This Row],[United States 10y]]-Table7[[#This Row],[United States 3y]],#N/A)</f>
        <v/>
      </c>
    </row>
    <row r="12190">
      <c r="A12190" s="6">
        <f>Database!$A14275</f>
        <v/>
      </c>
      <c r="B12190">
        <f>IF(VLOOKUP(Table7[[#This Row],[Date]],Database!$A:$C,MATCH($B$1,Database!$A$1:$C$1,),)=0,#N/A,VLOOKUP(Table7[[#This Row],[Date]],Database!$A:$C,MATCH($B$1,Database!$A$1:$C$1,),))</f>
        <v/>
      </c>
      <c r="C12190">
        <f>IF(VLOOKUP(Table7[[#This Row],[Date]],Database!$A:$C,MATCH($C$1,Database!$A$1:$C$1,),)=0,#N/A,VLOOKUP(Table7[[#This Row],[Date]],Database!$A:$C,MATCH($C$1,Database!$A$1:$C$1,),))</f>
        <v/>
      </c>
      <c r="D12190">
        <f>IFERROR(Table7[[#This Row],[United States 10y]]-Table7[[#This Row],[United States 3y]],#N/A)</f>
        <v/>
      </c>
    </row>
    <row r="12191">
      <c r="A12191" s="6">
        <f>Database!$A14276</f>
        <v/>
      </c>
      <c r="B12191">
        <f>IF(VLOOKUP(Table7[[#This Row],[Date]],Database!$A:$C,MATCH($B$1,Database!$A$1:$C$1,),)=0,#N/A,VLOOKUP(Table7[[#This Row],[Date]],Database!$A:$C,MATCH($B$1,Database!$A$1:$C$1,),))</f>
        <v/>
      </c>
      <c r="C12191">
        <f>IF(VLOOKUP(Table7[[#This Row],[Date]],Database!$A:$C,MATCH($C$1,Database!$A$1:$C$1,),)=0,#N/A,VLOOKUP(Table7[[#This Row],[Date]],Database!$A:$C,MATCH($C$1,Database!$A$1:$C$1,),))</f>
        <v/>
      </c>
      <c r="D12191">
        <f>IFERROR(Table7[[#This Row],[United States 10y]]-Table7[[#This Row],[United States 3y]],#N/A)</f>
        <v/>
      </c>
    </row>
    <row r="12192">
      <c r="A12192" s="6">
        <f>Database!$A14277</f>
        <v/>
      </c>
      <c r="B12192">
        <f>IF(VLOOKUP(Table7[[#This Row],[Date]],Database!$A:$C,MATCH($B$1,Database!$A$1:$C$1,),)=0,#N/A,VLOOKUP(Table7[[#This Row],[Date]],Database!$A:$C,MATCH($B$1,Database!$A$1:$C$1,),))</f>
        <v/>
      </c>
      <c r="C12192">
        <f>IF(VLOOKUP(Table7[[#This Row],[Date]],Database!$A:$C,MATCH($C$1,Database!$A$1:$C$1,),)=0,#N/A,VLOOKUP(Table7[[#This Row],[Date]],Database!$A:$C,MATCH($C$1,Database!$A$1:$C$1,),))</f>
        <v/>
      </c>
      <c r="D12192">
        <f>IFERROR(Table7[[#This Row],[United States 10y]]-Table7[[#This Row],[United States 3y]],#N/A)</f>
        <v/>
      </c>
    </row>
    <row r="12193">
      <c r="A12193" s="6">
        <f>Database!$A14278</f>
        <v/>
      </c>
      <c r="B12193">
        <f>IF(VLOOKUP(Table7[[#This Row],[Date]],Database!$A:$C,MATCH($B$1,Database!$A$1:$C$1,),)=0,#N/A,VLOOKUP(Table7[[#This Row],[Date]],Database!$A:$C,MATCH($B$1,Database!$A$1:$C$1,),))</f>
        <v/>
      </c>
      <c r="C12193">
        <f>IF(VLOOKUP(Table7[[#This Row],[Date]],Database!$A:$C,MATCH($C$1,Database!$A$1:$C$1,),)=0,#N/A,VLOOKUP(Table7[[#This Row],[Date]],Database!$A:$C,MATCH($C$1,Database!$A$1:$C$1,),))</f>
        <v/>
      </c>
      <c r="D12193">
        <f>IFERROR(Table7[[#This Row],[United States 10y]]-Table7[[#This Row],[United States 3y]],#N/A)</f>
        <v/>
      </c>
    </row>
    <row r="12194">
      <c r="A12194" s="6">
        <f>Database!$A14279</f>
        <v/>
      </c>
      <c r="B12194">
        <f>IF(VLOOKUP(Table7[[#This Row],[Date]],Database!$A:$C,MATCH($B$1,Database!$A$1:$C$1,),)=0,#N/A,VLOOKUP(Table7[[#This Row],[Date]],Database!$A:$C,MATCH($B$1,Database!$A$1:$C$1,),))</f>
        <v/>
      </c>
      <c r="C12194">
        <f>IF(VLOOKUP(Table7[[#This Row],[Date]],Database!$A:$C,MATCH($C$1,Database!$A$1:$C$1,),)=0,#N/A,VLOOKUP(Table7[[#This Row],[Date]],Database!$A:$C,MATCH($C$1,Database!$A$1:$C$1,),))</f>
        <v/>
      </c>
      <c r="D12194">
        <f>IFERROR(Table7[[#This Row],[United States 10y]]-Table7[[#This Row],[United States 3y]],#N/A)</f>
        <v/>
      </c>
    </row>
    <row r="12195">
      <c r="A12195" s="6">
        <f>Database!$A14280</f>
        <v/>
      </c>
      <c r="B12195">
        <f>IF(VLOOKUP(Table7[[#This Row],[Date]],Database!$A:$C,MATCH($B$1,Database!$A$1:$C$1,),)=0,#N/A,VLOOKUP(Table7[[#This Row],[Date]],Database!$A:$C,MATCH($B$1,Database!$A$1:$C$1,),))</f>
        <v/>
      </c>
      <c r="C12195">
        <f>IF(VLOOKUP(Table7[[#This Row],[Date]],Database!$A:$C,MATCH($C$1,Database!$A$1:$C$1,),)=0,#N/A,VLOOKUP(Table7[[#This Row],[Date]],Database!$A:$C,MATCH($C$1,Database!$A$1:$C$1,),))</f>
        <v/>
      </c>
      <c r="D12195">
        <f>IFERROR(Table7[[#This Row],[United States 10y]]-Table7[[#This Row],[United States 3y]],#N/A)</f>
        <v/>
      </c>
    </row>
    <row r="12196">
      <c r="A12196" s="6">
        <f>Database!$A14281</f>
        <v/>
      </c>
      <c r="B12196">
        <f>IF(VLOOKUP(Table7[[#This Row],[Date]],Database!$A:$C,MATCH($B$1,Database!$A$1:$C$1,),)=0,#N/A,VLOOKUP(Table7[[#This Row],[Date]],Database!$A:$C,MATCH($B$1,Database!$A$1:$C$1,),))</f>
        <v/>
      </c>
      <c r="C12196">
        <f>IF(VLOOKUP(Table7[[#This Row],[Date]],Database!$A:$C,MATCH($C$1,Database!$A$1:$C$1,),)=0,#N/A,VLOOKUP(Table7[[#This Row],[Date]],Database!$A:$C,MATCH($C$1,Database!$A$1:$C$1,),))</f>
        <v/>
      </c>
      <c r="D12196">
        <f>IFERROR(Table7[[#This Row],[United States 10y]]-Table7[[#This Row],[United States 3y]],#N/A)</f>
        <v/>
      </c>
    </row>
    <row r="12197">
      <c r="A12197" s="6">
        <f>Database!$A14282</f>
        <v/>
      </c>
      <c r="B12197">
        <f>IF(VLOOKUP(Table7[[#This Row],[Date]],Database!$A:$C,MATCH($B$1,Database!$A$1:$C$1,),)=0,#N/A,VLOOKUP(Table7[[#This Row],[Date]],Database!$A:$C,MATCH($B$1,Database!$A$1:$C$1,),))</f>
        <v/>
      </c>
      <c r="C12197">
        <f>IF(VLOOKUP(Table7[[#This Row],[Date]],Database!$A:$C,MATCH($C$1,Database!$A$1:$C$1,),)=0,#N/A,VLOOKUP(Table7[[#This Row],[Date]],Database!$A:$C,MATCH($C$1,Database!$A$1:$C$1,),))</f>
        <v/>
      </c>
      <c r="D12197">
        <f>IFERROR(Table7[[#This Row],[United States 10y]]-Table7[[#This Row],[United States 3y]],#N/A)</f>
        <v/>
      </c>
    </row>
    <row r="12198">
      <c r="A12198" s="6">
        <f>Database!$A14283</f>
        <v/>
      </c>
      <c r="B12198">
        <f>IF(VLOOKUP(Table7[[#This Row],[Date]],Database!$A:$C,MATCH($B$1,Database!$A$1:$C$1,),)=0,#N/A,VLOOKUP(Table7[[#This Row],[Date]],Database!$A:$C,MATCH($B$1,Database!$A$1:$C$1,),))</f>
        <v/>
      </c>
      <c r="C12198">
        <f>IF(VLOOKUP(Table7[[#This Row],[Date]],Database!$A:$C,MATCH($C$1,Database!$A$1:$C$1,),)=0,#N/A,VLOOKUP(Table7[[#This Row],[Date]],Database!$A:$C,MATCH($C$1,Database!$A$1:$C$1,),))</f>
        <v/>
      </c>
      <c r="D12198">
        <f>IFERROR(Table7[[#This Row],[United States 10y]]-Table7[[#This Row],[United States 3y]],#N/A)</f>
        <v/>
      </c>
    </row>
    <row r="12199">
      <c r="A12199" s="6">
        <f>Database!$A14284</f>
        <v/>
      </c>
      <c r="B12199">
        <f>IF(VLOOKUP(Table7[[#This Row],[Date]],Database!$A:$C,MATCH($B$1,Database!$A$1:$C$1,),)=0,#N/A,VLOOKUP(Table7[[#This Row],[Date]],Database!$A:$C,MATCH($B$1,Database!$A$1:$C$1,),))</f>
        <v/>
      </c>
      <c r="C12199">
        <f>IF(VLOOKUP(Table7[[#This Row],[Date]],Database!$A:$C,MATCH($C$1,Database!$A$1:$C$1,),)=0,#N/A,VLOOKUP(Table7[[#This Row],[Date]],Database!$A:$C,MATCH($C$1,Database!$A$1:$C$1,),))</f>
        <v/>
      </c>
      <c r="D12199">
        <f>IFERROR(Table7[[#This Row],[United States 10y]]-Table7[[#This Row],[United States 3y]],#N/A)</f>
        <v/>
      </c>
    </row>
    <row r="12200">
      <c r="A12200" s="6">
        <f>Database!$A14285</f>
        <v/>
      </c>
      <c r="B12200">
        <f>IF(VLOOKUP(Table7[[#This Row],[Date]],Database!$A:$C,MATCH($B$1,Database!$A$1:$C$1,),)=0,#N/A,VLOOKUP(Table7[[#This Row],[Date]],Database!$A:$C,MATCH($B$1,Database!$A$1:$C$1,),))</f>
        <v/>
      </c>
      <c r="C12200">
        <f>IF(VLOOKUP(Table7[[#This Row],[Date]],Database!$A:$C,MATCH($C$1,Database!$A$1:$C$1,),)=0,#N/A,VLOOKUP(Table7[[#This Row],[Date]],Database!$A:$C,MATCH($C$1,Database!$A$1:$C$1,),))</f>
        <v/>
      </c>
      <c r="D12200">
        <f>IFERROR(Table7[[#This Row],[United States 10y]]-Table7[[#This Row],[United States 3y]],#N/A)</f>
        <v/>
      </c>
    </row>
    <row r="12201">
      <c r="A12201" s="6">
        <f>Database!$A14286</f>
        <v/>
      </c>
      <c r="B12201">
        <f>IF(VLOOKUP(Table7[[#This Row],[Date]],Database!$A:$C,MATCH($B$1,Database!$A$1:$C$1,),)=0,#N/A,VLOOKUP(Table7[[#This Row],[Date]],Database!$A:$C,MATCH($B$1,Database!$A$1:$C$1,),))</f>
        <v/>
      </c>
      <c r="C12201">
        <f>IF(VLOOKUP(Table7[[#This Row],[Date]],Database!$A:$C,MATCH($C$1,Database!$A$1:$C$1,),)=0,#N/A,VLOOKUP(Table7[[#This Row],[Date]],Database!$A:$C,MATCH($C$1,Database!$A$1:$C$1,),))</f>
        <v/>
      </c>
      <c r="D12201">
        <f>IFERROR(Table7[[#This Row],[United States 10y]]-Table7[[#This Row],[United States 3y]],#N/A)</f>
        <v/>
      </c>
    </row>
    <row r="12202">
      <c r="A12202" s="6">
        <f>Database!$A14287</f>
        <v/>
      </c>
      <c r="B12202">
        <f>IF(VLOOKUP(Table7[[#This Row],[Date]],Database!$A:$C,MATCH($B$1,Database!$A$1:$C$1,),)=0,#N/A,VLOOKUP(Table7[[#This Row],[Date]],Database!$A:$C,MATCH($B$1,Database!$A$1:$C$1,),))</f>
        <v/>
      </c>
      <c r="C12202">
        <f>IF(VLOOKUP(Table7[[#This Row],[Date]],Database!$A:$C,MATCH($C$1,Database!$A$1:$C$1,),)=0,#N/A,VLOOKUP(Table7[[#This Row],[Date]],Database!$A:$C,MATCH($C$1,Database!$A$1:$C$1,),))</f>
        <v/>
      </c>
      <c r="D12202">
        <f>IFERROR(Table7[[#This Row],[United States 10y]]-Table7[[#This Row],[United States 3y]],#N/A)</f>
        <v/>
      </c>
    </row>
    <row r="12203">
      <c r="A12203" s="6">
        <f>Database!$A14288</f>
        <v/>
      </c>
      <c r="B12203">
        <f>IF(VLOOKUP(Table7[[#This Row],[Date]],Database!$A:$C,MATCH($B$1,Database!$A$1:$C$1,),)=0,#N/A,VLOOKUP(Table7[[#This Row],[Date]],Database!$A:$C,MATCH($B$1,Database!$A$1:$C$1,),))</f>
        <v/>
      </c>
      <c r="C12203">
        <f>IF(VLOOKUP(Table7[[#This Row],[Date]],Database!$A:$C,MATCH($C$1,Database!$A$1:$C$1,),)=0,#N/A,VLOOKUP(Table7[[#This Row],[Date]],Database!$A:$C,MATCH($C$1,Database!$A$1:$C$1,),))</f>
        <v/>
      </c>
      <c r="D12203">
        <f>IFERROR(Table7[[#This Row],[United States 10y]]-Table7[[#This Row],[United States 3y]],#N/A)</f>
        <v/>
      </c>
    </row>
    <row r="12204">
      <c r="A12204" s="6">
        <f>Database!$A14289</f>
        <v/>
      </c>
      <c r="B12204">
        <f>IF(VLOOKUP(Table7[[#This Row],[Date]],Database!$A:$C,MATCH($B$1,Database!$A$1:$C$1,),)=0,#N/A,VLOOKUP(Table7[[#This Row],[Date]],Database!$A:$C,MATCH($B$1,Database!$A$1:$C$1,),))</f>
        <v/>
      </c>
      <c r="C12204">
        <f>IF(VLOOKUP(Table7[[#This Row],[Date]],Database!$A:$C,MATCH($C$1,Database!$A$1:$C$1,),)=0,#N/A,VLOOKUP(Table7[[#This Row],[Date]],Database!$A:$C,MATCH($C$1,Database!$A$1:$C$1,),))</f>
        <v/>
      </c>
      <c r="D12204">
        <f>IFERROR(Table7[[#This Row],[United States 10y]]-Table7[[#This Row],[United States 3y]],#N/A)</f>
        <v/>
      </c>
    </row>
    <row r="12205">
      <c r="A12205" s="6">
        <f>Database!$A14290</f>
        <v/>
      </c>
      <c r="B12205">
        <f>IF(VLOOKUP(Table7[[#This Row],[Date]],Database!$A:$C,MATCH($B$1,Database!$A$1:$C$1,),)=0,#N/A,VLOOKUP(Table7[[#This Row],[Date]],Database!$A:$C,MATCH($B$1,Database!$A$1:$C$1,),))</f>
        <v/>
      </c>
      <c r="C12205">
        <f>IF(VLOOKUP(Table7[[#This Row],[Date]],Database!$A:$C,MATCH($C$1,Database!$A$1:$C$1,),)=0,#N/A,VLOOKUP(Table7[[#This Row],[Date]],Database!$A:$C,MATCH($C$1,Database!$A$1:$C$1,),))</f>
        <v/>
      </c>
      <c r="D12205">
        <f>IFERROR(Table7[[#This Row],[United States 10y]]-Table7[[#This Row],[United States 3y]],#N/A)</f>
        <v/>
      </c>
    </row>
    <row r="12206">
      <c r="A12206" s="6">
        <f>Database!$A14291</f>
        <v/>
      </c>
      <c r="B12206">
        <f>IF(VLOOKUP(Table7[[#This Row],[Date]],Database!$A:$C,MATCH($B$1,Database!$A$1:$C$1,),)=0,#N/A,VLOOKUP(Table7[[#This Row],[Date]],Database!$A:$C,MATCH($B$1,Database!$A$1:$C$1,),))</f>
        <v/>
      </c>
      <c r="C12206">
        <f>IF(VLOOKUP(Table7[[#This Row],[Date]],Database!$A:$C,MATCH($C$1,Database!$A$1:$C$1,),)=0,#N/A,VLOOKUP(Table7[[#This Row],[Date]],Database!$A:$C,MATCH($C$1,Database!$A$1:$C$1,),))</f>
        <v/>
      </c>
      <c r="D12206">
        <f>IFERROR(Table7[[#This Row],[United States 10y]]-Table7[[#This Row],[United States 3y]],#N/A)</f>
        <v/>
      </c>
    </row>
    <row r="12207">
      <c r="A12207" s="6">
        <f>Database!$A14292</f>
        <v/>
      </c>
      <c r="B12207">
        <f>IF(VLOOKUP(Table7[[#This Row],[Date]],Database!$A:$C,MATCH($B$1,Database!$A$1:$C$1,),)=0,#N/A,VLOOKUP(Table7[[#This Row],[Date]],Database!$A:$C,MATCH($B$1,Database!$A$1:$C$1,),))</f>
        <v/>
      </c>
      <c r="C12207">
        <f>IF(VLOOKUP(Table7[[#This Row],[Date]],Database!$A:$C,MATCH($C$1,Database!$A$1:$C$1,),)=0,#N/A,VLOOKUP(Table7[[#This Row],[Date]],Database!$A:$C,MATCH($C$1,Database!$A$1:$C$1,),))</f>
        <v/>
      </c>
      <c r="D12207">
        <f>IFERROR(Table7[[#This Row],[United States 10y]]-Table7[[#This Row],[United States 3y]],#N/A)</f>
        <v/>
      </c>
    </row>
    <row r="12208">
      <c r="A12208" s="6">
        <f>Database!$A14293</f>
        <v/>
      </c>
      <c r="B12208">
        <f>IF(VLOOKUP(Table7[[#This Row],[Date]],Database!$A:$C,MATCH($B$1,Database!$A$1:$C$1,),)=0,#N/A,VLOOKUP(Table7[[#This Row],[Date]],Database!$A:$C,MATCH($B$1,Database!$A$1:$C$1,),))</f>
        <v/>
      </c>
      <c r="C12208">
        <f>IF(VLOOKUP(Table7[[#This Row],[Date]],Database!$A:$C,MATCH($C$1,Database!$A$1:$C$1,),)=0,#N/A,VLOOKUP(Table7[[#This Row],[Date]],Database!$A:$C,MATCH($C$1,Database!$A$1:$C$1,),))</f>
        <v/>
      </c>
      <c r="D12208">
        <f>IFERROR(Table7[[#This Row],[United States 10y]]-Table7[[#This Row],[United States 3y]],#N/A)</f>
        <v/>
      </c>
    </row>
    <row r="12209">
      <c r="A12209" s="6">
        <f>Database!$A14294</f>
        <v/>
      </c>
      <c r="B12209">
        <f>IF(VLOOKUP(Table7[[#This Row],[Date]],Database!$A:$C,MATCH($B$1,Database!$A$1:$C$1,),)=0,#N/A,VLOOKUP(Table7[[#This Row],[Date]],Database!$A:$C,MATCH($B$1,Database!$A$1:$C$1,),))</f>
        <v/>
      </c>
      <c r="C12209">
        <f>IF(VLOOKUP(Table7[[#This Row],[Date]],Database!$A:$C,MATCH($C$1,Database!$A$1:$C$1,),)=0,#N/A,VLOOKUP(Table7[[#This Row],[Date]],Database!$A:$C,MATCH($C$1,Database!$A$1:$C$1,),))</f>
        <v/>
      </c>
      <c r="D12209">
        <f>IFERROR(Table7[[#This Row],[United States 10y]]-Table7[[#This Row],[United States 3y]],#N/A)</f>
        <v/>
      </c>
    </row>
    <row r="12210">
      <c r="A12210" s="6">
        <f>Database!$A14295</f>
        <v/>
      </c>
      <c r="B12210">
        <f>IF(VLOOKUP(Table7[[#This Row],[Date]],Database!$A:$C,MATCH($B$1,Database!$A$1:$C$1,),)=0,#N/A,VLOOKUP(Table7[[#This Row],[Date]],Database!$A:$C,MATCH($B$1,Database!$A$1:$C$1,),))</f>
        <v/>
      </c>
      <c r="C12210">
        <f>IF(VLOOKUP(Table7[[#This Row],[Date]],Database!$A:$C,MATCH($C$1,Database!$A$1:$C$1,),)=0,#N/A,VLOOKUP(Table7[[#This Row],[Date]],Database!$A:$C,MATCH($C$1,Database!$A$1:$C$1,),))</f>
        <v/>
      </c>
      <c r="D12210">
        <f>IFERROR(Table7[[#This Row],[United States 10y]]-Table7[[#This Row],[United States 3y]],#N/A)</f>
        <v/>
      </c>
    </row>
    <row r="12211">
      <c r="A12211" s="6">
        <f>Database!$A14296</f>
        <v/>
      </c>
      <c r="B12211">
        <f>IF(VLOOKUP(Table7[[#This Row],[Date]],Database!$A:$C,MATCH($B$1,Database!$A$1:$C$1,),)=0,#N/A,VLOOKUP(Table7[[#This Row],[Date]],Database!$A:$C,MATCH($B$1,Database!$A$1:$C$1,),))</f>
        <v/>
      </c>
      <c r="C12211">
        <f>IF(VLOOKUP(Table7[[#This Row],[Date]],Database!$A:$C,MATCH($C$1,Database!$A$1:$C$1,),)=0,#N/A,VLOOKUP(Table7[[#This Row],[Date]],Database!$A:$C,MATCH($C$1,Database!$A$1:$C$1,),))</f>
        <v/>
      </c>
      <c r="D12211">
        <f>IFERROR(Table7[[#This Row],[United States 10y]]-Table7[[#This Row],[United States 3y]],#N/A)</f>
        <v/>
      </c>
    </row>
    <row r="12212">
      <c r="A12212" s="6">
        <f>Database!$A14297</f>
        <v/>
      </c>
      <c r="B12212">
        <f>IF(VLOOKUP(Table7[[#This Row],[Date]],Database!$A:$C,MATCH($B$1,Database!$A$1:$C$1,),)=0,#N/A,VLOOKUP(Table7[[#This Row],[Date]],Database!$A:$C,MATCH($B$1,Database!$A$1:$C$1,),))</f>
        <v/>
      </c>
      <c r="C12212">
        <f>IF(VLOOKUP(Table7[[#This Row],[Date]],Database!$A:$C,MATCH($C$1,Database!$A$1:$C$1,),)=0,#N/A,VLOOKUP(Table7[[#This Row],[Date]],Database!$A:$C,MATCH($C$1,Database!$A$1:$C$1,),))</f>
        <v/>
      </c>
      <c r="D12212">
        <f>IFERROR(Table7[[#This Row],[United States 10y]]-Table7[[#This Row],[United States 3y]],#N/A)</f>
        <v/>
      </c>
    </row>
    <row r="12213">
      <c r="A12213" s="6">
        <f>Database!$A14298</f>
        <v/>
      </c>
      <c r="B12213">
        <f>IF(VLOOKUP(Table7[[#This Row],[Date]],Database!$A:$C,MATCH($B$1,Database!$A$1:$C$1,),)=0,#N/A,VLOOKUP(Table7[[#This Row],[Date]],Database!$A:$C,MATCH($B$1,Database!$A$1:$C$1,),))</f>
        <v/>
      </c>
      <c r="C12213">
        <f>IF(VLOOKUP(Table7[[#This Row],[Date]],Database!$A:$C,MATCH($C$1,Database!$A$1:$C$1,),)=0,#N/A,VLOOKUP(Table7[[#This Row],[Date]],Database!$A:$C,MATCH($C$1,Database!$A$1:$C$1,),))</f>
        <v/>
      </c>
      <c r="D12213">
        <f>IFERROR(Table7[[#This Row],[United States 10y]]-Table7[[#This Row],[United States 3y]],#N/A)</f>
        <v/>
      </c>
    </row>
    <row r="12214">
      <c r="A12214" s="6">
        <f>Database!$A14299</f>
        <v/>
      </c>
      <c r="B12214">
        <f>IF(VLOOKUP(Table7[[#This Row],[Date]],Database!$A:$C,MATCH($B$1,Database!$A$1:$C$1,),)=0,#N/A,VLOOKUP(Table7[[#This Row],[Date]],Database!$A:$C,MATCH($B$1,Database!$A$1:$C$1,),))</f>
        <v/>
      </c>
      <c r="C12214">
        <f>IF(VLOOKUP(Table7[[#This Row],[Date]],Database!$A:$C,MATCH($C$1,Database!$A$1:$C$1,),)=0,#N/A,VLOOKUP(Table7[[#This Row],[Date]],Database!$A:$C,MATCH($C$1,Database!$A$1:$C$1,),))</f>
        <v/>
      </c>
      <c r="D12214">
        <f>IFERROR(Table7[[#This Row],[United States 10y]]-Table7[[#This Row],[United States 3y]],#N/A)</f>
        <v/>
      </c>
    </row>
    <row r="12215">
      <c r="A12215" s="6">
        <f>Database!$A14300</f>
        <v/>
      </c>
      <c r="B12215">
        <f>IF(VLOOKUP(Table7[[#This Row],[Date]],Database!$A:$C,MATCH($B$1,Database!$A$1:$C$1,),)=0,#N/A,VLOOKUP(Table7[[#This Row],[Date]],Database!$A:$C,MATCH($B$1,Database!$A$1:$C$1,),))</f>
        <v/>
      </c>
      <c r="C12215">
        <f>IF(VLOOKUP(Table7[[#This Row],[Date]],Database!$A:$C,MATCH($C$1,Database!$A$1:$C$1,),)=0,#N/A,VLOOKUP(Table7[[#This Row],[Date]],Database!$A:$C,MATCH($C$1,Database!$A$1:$C$1,),))</f>
        <v/>
      </c>
      <c r="D12215">
        <f>IFERROR(Table7[[#This Row],[United States 10y]]-Table7[[#This Row],[United States 3y]],#N/A)</f>
        <v/>
      </c>
    </row>
    <row r="12216">
      <c r="A12216" s="6">
        <f>Database!$A14301</f>
        <v/>
      </c>
      <c r="B12216">
        <f>IF(VLOOKUP(Table7[[#This Row],[Date]],Database!$A:$C,MATCH($B$1,Database!$A$1:$C$1,),)=0,#N/A,VLOOKUP(Table7[[#This Row],[Date]],Database!$A:$C,MATCH($B$1,Database!$A$1:$C$1,),))</f>
        <v/>
      </c>
      <c r="C12216">
        <f>IF(VLOOKUP(Table7[[#This Row],[Date]],Database!$A:$C,MATCH($C$1,Database!$A$1:$C$1,),)=0,#N/A,VLOOKUP(Table7[[#This Row],[Date]],Database!$A:$C,MATCH($C$1,Database!$A$1:$C$1,),))</f>
        <v/>
      </c>
      <c r="D12216">
        <f>IFERROR(Table7[[#This Row],[United States 10y]]-Table7[[#This Row],[United States 3y]],#N/A)</f>
        <v/>
      </c>
    </row>
    <row r="12217">
      <c r="A12217" s="6">
        <f>Database!$A14302</f>
        <v/>
      </c>
      <c r="B12217">
        <f>IF(VLOOKUP(Table7[[#This Row],[Date]],Database!$A:$C,MATCH($B$1,Database!$A$1:$C$1,),)=0,#N/A,VLOOKUP(Table7[[#This Row],[Date]],Database!$A:$C,MATCH($B$1,Database!$A$1:$C$1,),))</f>
        <v/>
      </c>
      <c r="C12217">
        <f>IF(VLOOKUP(Table7[[#This Row],[Date]],Database!$A:$C,MATCH($C$1,Database!$A$1:$C$1,),)=0,#N/A,VLOOKUP(Table7[[#This Row],[Date]],Database!$A:$C,MATCH($C$1,Database!$A$1:$C$1,),))</f>
        <v/>
      </c>
      <c r="D12217">
        <f>IFERROR(Table7[[#This Row],[United States 10y]]-Table7[[#This Row],[United States 3y]],#N/A)</f>
        <v/>
      </c>
    </row>
    <row r="12218">
      <c r="A12218" s="6">
        <f>Database!$A14303</f>
        <v/>
      </c>
      <c r="B12218">
        <f>IF(VLOOKUP(Table7[[#This Row],[Date]],Database!$A:$C,MATCH($B$1,Database!$A$1:$C$1,),)=0,#N/A,VLOOKUP(Table7[[#This Row],[Date]],Database!$A:$C,MATCH($B$1,Database!$A$1:$C$1,),))</f>
        <v/>
      </c>
      <c r="C12218">
        <f>IF(VLOOKUP(Table7[[#This Row],[Date]],Database!$A:$C,MATCH($C$1,Database!$A$1:$C$1,),)=0,#N/A,VLOOKUP(Table7[[#This Row],[Date]],Database!$A:$C,MATCH($C$1,Database!$A$1:$C$1,),))</f>
        <v/>
      </c>
      <c r="D12218">
        <f>IFERROR(Table7[[#This Row],[United States 10y]]-Table7[[#This Row],[United States 3y]],#N/A)</f>
        <v/>
      </c>
    </row>
    <row r="12219">
      <c r="A12219" s="6">
        <f>Database!$A14304</f>
        <v/>
      </c>
      <c r="B12219">
        <f>IF(VLOOKUP(Table7[[#This Row],[Date]],Database!$A:$C,MATCH($B$1,Database!$A$1:$C$1,),)=0,#N/A,VLOOKUP(Table7[[#This Row],[Date]],Database!$A:$C,MATCH($B$1,Database!$A$1:$C$1,),))</f>
        <v/>
      </c>
      <c r="C12219">
        <f>IF(VLOOKUP(Table7[[#This Row],[Date]],Database!$A:$C,MATCH($C$1,Database!$A$1:$C$1,),)=0,#N/A,VLOOKUP(Table7[[#This Row],[Date]],Database!$A:$C,MATCH($C$1,Database!$A$1:$C$1,),))</f>
        <v/>
      </c>
      <c r="D12219">
        <f>IFERROR(Table7[[#This Row],[United States 10y]]-Table7[[#This Row],[United States 3y]],#N/A)</f>
        <v/>
      </c>
    </row>
    <row r="12220">
      <c r="A12220" s="6">
        <f>Database!$A14305</f>
        <v/>
      </c>
      <c r="B12220">
        <f>IF(VLOOKUP(Table7[[#This Row],[Date]],Database!$A:$C,MATCH($B$1,Database!$A$1:$C$1,),)=0,#N/A,VLOOKUP(Table7[[#This Row],[Date]],Database!$A:$C,MATCH($B$1,Database!$A$1:$C$1,),))</f>
        <v/>
      </c>
      <c r="C12220">
        <f>IF(VLOOKUP(Table7[[#This Row],[Date]],Database!$A:$C,MATCH($C$1,Database!$A$1:$C$1,),)=0,#N/A,VLOOKUP(Table7[[#This Row],[Date]],Database!$A:$C,MATCH($C$1,Database!$A$1:$C$1,),))</f>
        <v/>
      </c>
      <c r="D12220">
        <f>IFERROR(Table7[[#This Row],[United States 10y]]-Table7[[#This Row],[United States 3y]],#N/A)</f>
        <v/>
      </c>
    </row>
    <row r="12221">
      <c r="A12221" s="6">
        <f>Database!$A14306</f>
        <v/>
      </c>
      <c r="B12221">
        <f>IF(VLOOKUP(Table7[[#This Row],[Date]],Database!$A:$C,MATCH($B$1,Database!$A$1:$C$1,),)=0,#N/A,VLOOKUP(Table7[[#This Row],[Date]],Database!$A:$C,MATCH($B$1,Database!$A$1:$C$1,),))</f>
        <v/>
      </c>
      <c r="C12221">
        <f>IF(VLOOKUP(Table7[[#This Row],[Date]],Database!$A:$C,MATCH($C$1,Database!$A$1:$C$1,),)=0,#N/A,VLOOKUP(Table7[[#This Row],[Date]],Database!$A:$C,MATCH($C$1,Database!$A$1:$C$1,),))</f>
        <v/>
      </c>
      <c r="D12221">
        <f>IFERROR(Table7[[#This Row],[United States 10y]]-Table7[[#This Row],[United States 3y]],#N/A)</f>
        <v/>
      </c>
    </row>
    <row r="12222">
      <c r="A12222" s="6">
        <f>Database!$A14307</f>
        <v/>
      </c>
      <c r="B12222">
        <f>IF(VLOOKUP(Table7[[#This Row],[Date]],Database!$A:$C,MATCH($B$1,Database!$A$1:$C$1,),)=0,#N/A,VLOOKUP(Table7[[#This Row],[Date]],Database!$A:$C,MATCH($B$1,Database!$A$1:$C$1,),))</f>
        <v/>
      </c>
      <c r="C12222">
        <f>IF(VLOOKUP(Table7[[#This Row],[Date]],Database!$A:$C,MATCH($C$1,Database!$A$1:$C$1,),)=0,#N/A,VLOOKUP(Table7[[#This Row],[Date]],Database!$A:$C,MATCH($C$1,Database!$A$1:$C$1,),))</f>
        <v/>
      </c>
      <c r="D12222">
        <f>IFERROR(Table7[[#This Row],[United States 10y]]-Table7[[#This Row],[United States 3y]],#N/A)</f>
        <v/>
      </c>
    </row>
    <row r="12223">
      <c r="A12223" s="6">
        <f>Database!$A14308</f>
        <v/>
      </c>
      <c r="B12223">
        <f>IF(VLOOKUP(Table7[[#This Row],[Date]],Database!$A:$C,MATCH($B$1,Database!$A$1:$C$1,),)=0,#N/A,VLOOKUP(Table7[[#This Row],[Date]],Database!$A:$C,MATCH($B$1,Database!$A$1:$C$1,),))</f>
        <v/>
      </c>
      <c r="C12223">
        <f>IF(VLOOKUP(Table7[[#This Row],[Date]],Database!$A:$C,MATCH($C$1,Database!$A$1:$C$1,),)=0,#N/A,VLOOKUP(Table7[[#This Row],[Date]],Database!$A:$C,MATCH($C$1,Database!$A$1:$C$1,),))</f>
        <v/>
      </c>
      <c r="D12223">
        <f>IFERROR(Table7[[#This Row],[United States 10y]]-Table7[[#This Row],[United States 3y]],#N/A)</f>
        <v/>
      </c>
    </row>
    <row r="12224">
      <c r="A12224" s="6">
        <f>Database!$A14309</f>
        <v/>
      </c>
      <c r="B12224">
        <f>IF(VLOOKUP(Table7[[#This Row],[Date]],Database!$A:$C,MATCH($B$1,Database!$A$1:$C$1,),)=0,#N/A,VLOOKUP(Table7[[#This Row],[Date]],Database!$A:$C,MATCH($B$1,Database!$A$1:$C$1,),))</f>
        <v/>
      </c>
      <c r="C12224">
        <f>IF(VLOOKUP(Table7[[#This Row],[Date]],Database!$A:$C,MATCH($C$1,Database!$A$1:$C$1,),)=0,#N/A,VLOOKUP(Table7[[#This Row],[Date]],Database!$A:$C,MATCH($C$1,Database!$A$1:$C$1,),))</f>
        <v/>
      </c>
      <c r="D12224">
        <f>IFERROR(Table7[[#This Row],[United States 10y]]-Table7[[#This Row],[United States 3y]],#N/A)</f>
        <v/>
      </c>
    </row>
    <row r="12225">
      <c r="A12225" s="6">
        <f>Database!$A14310</f>
        <v/>
      </c>
      <c r="B12225">
        <f>IF(VLOOKUP(Table7[[#This Row],[Date]],Database!$A:$C,MATCH($B$1,Database!$A$1:$C$1,),)=0,#N/A,VLOOKUP(Table7[[#This Row],[Date]],Database!$A:$C,MATCH($B$1,Database!$A$1:$C$1,),))</f>
        <v/>
      </c>
      <c r="C12225">
        <f>IF(VLOOKUP(Table7[[#This Row],[Date]],Database!$A:$C,MATCH($C$1,Database!$A$1:$C$1,),)=0,#N/A,VLOOKUP(Table7[[#This Row],[Date]],Database!$A:$C,MATCH($C$1,Database!$A$1:$C$1,),))</f>
        <v/>
      </c>
      <c r="D12225">
        <f>IFERROR(Table7[[#This Row],[United States 10y]]-Table7[[#This Row],[United States 3y]],#N/A)</f>
        <v/>
      </c>
    </row>
    <row r="12226">
      <c r="A12226" s="6">
        <f>Database!$A14311</f>
        <v/>
      </c>
      <c r="B12226">
        <f>IF(VLOOKUP(Table7[[#This Row],[Date]],Database!$A:$C,MATCH($B$1,Database!$A$1:$C$1,),)=0,#N/A,VLOOKUP(Table7[[#This Row],[Date]],Database!$A:$C,MATCH($B$1,Database!$A$1:$C$1,),))</f>
        <v/>
      </c>
      <c r="C12226">
        <f>IF(VLOOKUP(Table7[[#This Row],[Date]],Database!$A:$C,MATCH($C$1,Database!$A$1:$C$1,),)=0,#N/A,VLOOKUP(Table7[[#This Row],[Date]],Database!$A:$C,MATCH($C$1,Database!$A$1:$C$1,),))</f>
        <v/>
      </c>
      <c r="D12226">
        <f>IFERROR(Table7[[#This Row],[United States 10y]]-Table7[[#This Row],[United States 3y]],#N/A)</f>
        <v/>
      </c>
    </row>
    <row r="12227">
      <c r="A12227" s="6">
        <f>Database!$A14312</f>
        <v/>
      </c>
      <c r="B12227">
        <f>IF(VLOOKUP(Table7[[#This Row],[Date]],Database!$A:$C,MATCH($B$1,Database!$A$1:$C$1,),)=0,#N/A,VLOOKUP(Table7[[#This Row],[Date]],Database!$A:$C,MATCH($B$1,Database!$A$1:$C$1,),))</f>
        <v/>
      </c>
      <c r="C12227">
        <f>IF(VLOOKUP(Table7[[#This Row],[Date]],Database!$A:$C,MATCH($C$1,Database!$A$1:$C$1,),)=0,#N/A,VLOOKUP(Table7[[#This Row],[Date]],Database!$A:$C,MATCH($C$1,Database!$A$1:$C$1,),))</f>
        <v/>
      </c>
      <c r="D12227">
        <f>IFERROR(Table7[[#This Row],[United States 10y]]-Table7[[#This Row],[United States 3y]],#N/A)</f>
        <v/>
      </c>
    </row>
    <row r="12228">
      <c r="A12228" s="6">
        <f>Database!$A14313</f>
        <v/>
      </c>
      <c r="B12228">
        <f>IF(VLOOKUP(Table7[[#This Row],[Date]],Database!$A:$C,MATCH($B$1,Database!$A$1:$C$1,),)=0,#N/A,VLOOKUP(Table7[[#This Row],[Date]],Database!$A:$C,MATCH($B$1,Database!$A$1:$C$1,),))</f>
        <v/>
      </c>
      <c r="C12228">
        <f>IF(VLOOKUP(Table7[[#This Row],[Date]],Database!$A:$C,MATCH($C$1,Database!$A$1:$C$1,),)=0,#N/A,VLOOKUP(Table7[[#This Row],[Date]],Database!$A:$C,MATCH($C$1,Database!$A$1:$C$1,),))</f>
        <v/>
      </c>
      <c r="D12228">
        <f>IFERROR(Table7[[#This Row],[United States 10y]]-Table7[[#This Row],[United States 3y]],#N/A)</f>
        <v/>
      </c>
    </row>
    <row r="12229">
      <c r="A12229" s="6">
        <f>Database!$A14314</f>
        <v/>
      </c>
      <c r="B12229">
        <f>IF(VLOOKUP(Table7[[#This Row],[Date]],Database!$A:$C,MATCH($B$1,Database!$A$1:$C$1,),)=0,#N/A,VLOOKUP(Table7[[#This Row],[Date]],Database!$A:$C,MATCH($B$1,Database!$A$1:$C$1,),))</f>
        <v/>
      </c>
      <c r="C12229">
        <f>IF(VLOOKUP(Table7[[#This Row],[Date]],Database!$A:$C,MATCH($C$1,Database!$A$1:$C$1,),)=0,#N/A,VLOOKUP(Table7[[#This Row],[Date]],Database!$A:$C,MATCH($C$1,Database!$A$1:$C$1,),))</f>
        <v/>
      </c>
      <c r="D12229">
        <f>IFERROR(Table7[[#This Row],[United States 10y]]-Table7[[#This Row],[United States 3y]],#N/A)</f>
        <v/>
      </c>
    </row>
    <row r="12230">
      <c r="A12230" s="6">
        <f>Database!$A14315</f>
        <v/>
      </c>
      <c r="B12230">
        <f>IF(VLOOKUP(Table7[[#This Row],[Date]],Database!$A:$C,MATCH($B$1,Database!$A$1:$C$1,),)=0,#N/A,VLOOKUP(Table7[[#This Row],[Date]],Database!$A:$C,MATCH($B$1,Database!$A$1:$C$1,),))</f>
        <v/>
      </c>
      <c r="C12230">
        <f>IF(VLOOKUP(Table7[[#This Row],[Date]],Database!$A:$C,MATCH($C$1,Database!$A$1:$C$1,),)=0,#N/A,VLOOKUP(Table7[[#This Row],[Date]],Database!$A:$C,MATCH($C$1,Database!$A$1:$C$1,),))</f>
        <v/>
      </c>
      <c r="D12230">
        <f>IFERROR(Table7[[#This Row],[United States 10y]]-Table7[[#This Row],[United States 3y]],#N/A)</f>
        <v/>
      </c>
    </row>
    <row r="12231">
      <c r="A12231" s="6">
        <f>Database!$A14316</f>
        <v/>
      </c>
      <c r="B12231">
        <f>IF(VLOOKUP(Table7[[#This Row],[Date]],Database!$A:$C,MATCH($B$1,Database!$A$1:$C$1,),)=0,#N/A,VLOOKUP(Table7[[#This Row],[Date]],Database!$A:$C,MATCH($B$1,Database!$A$1:$C$1,),))</f>
        <v/>
      </c>
      <c r="C12231">
        <f>IF(VLOOKUP(Table7[[#This Row],[Date]],Database!$A:$C,MATCH($C$1,Database!$A$1:$C$1,),)=0,#N/A,VLOOKUP(Table7[[#This Row],[Date]],Database!$A:$C,MATCH($C$1,Database!$A$1:$C$1,),))</f>
        <v/>
      </c>
      <c r="D12231">
        <f>IFERROR(Table7[[#This Row],[United States 10y]]-Table7[[#This Row],[United States 3y]],#N/A)</f>
        <v/>
      </c>
    </row>
    <row r="12232">
      <c r="A12232" s="6">
        <f>Database!$A14317</f>
        <v/>
      </c>
      <c r="B12232">
        <f>IF(VLOOKUP(Table7[[#This Row],[Date]],Database!$A:$C,MATCH($B$1,Database!$A$1:$C$1,),)=0,#N/A,VLOOKUP(Table7[[#This Row],[Date]],Database!$A:$C,MATCH($B$1,Database!$A$1:$C$1,),))</f>
        <v/>
      </c>
      <c r="C12232">
        <f>IF(VLOOKUP(Table7[[#This Row],[Date]],Database!$A:$C,MATCH($C$1,Database!$A$1:$C$1,),)=0,#N/A,VLOOKUP(Table7[[#This Row],[Date]],Database!$A:$C,MATCH($C$1,Database!$A$1:$C$1,),))</f>
        <v/>
      </c>
      <c r="D12232">
        <f>IFERROR(Table7[[#This Row],[United States 10y]]-Table7[[#This Row],[United States 3y]],#N/A)</f>
        <v/>
      </c>
    </row>
    <row r="12233">
      <c r="A12233" s="6">
        <f>Database!$A14318</f>
        <v/>
      </c>
      <c r="B12233">
        <f>IF(VLOOKUP(Table7[[#This Row],[Date]],Database!$A:$C,MATCH($B$1,Database!$A$1:$C$1,),)=0,#N/A,VLOOKUP(Table7[[#This Row],[Date]],Database!$A:$C,MATCH($B$1,Database!$A$1:$C$1,),))</f>
        <v/>
      </c>
      <c r="C12233">
        <f>IF(VLOOKUP(Table7[[#This Row],[Date]],Database!$A:$C,MATCH($C$1,Database!$A$1:$C$1,),)=0,#N/A,VLOOKUP(Table7[[#This Row],[Date]],Database!$A:$C,MATCH($C$1,Database!$A$1:$C$1,),))</f>
        <v/>
      </c>
      <c r="D12233">
        <f>IFERROR(Table7[[#This Row],[United States 10y]]-Table7[[#This Row],[United States 3y]],#N/A)</f>
        <v/>
      </c>
    </row>
    <row r="12234">
      <c r="A12234" s="6">
        <f>Database!$A14319</f>
        <v/>
      </c>
      <c r="B12234">
        <f>IF(VLOOKUP(Table7[[#This Row],[Date]],Database!$A:$C,MATCH($B$1,Database!$A$1:$C$1,),)=0,#N/A,VLOOKUP(Table7[[#This Row],[Date]],Database!$A:$C,MATCH($B$1,Database!$A$1:$C$1,),))</f>
        <v/>
      </c>
      <c r="C12234">
        <f>IF(VLOOKUP(Table7[[#This Row],[Date]],Database!$A:$C,MATCH($C$1,Database!$A$1:$C$1,),)=0,#N/A,VLOOKUP(Table7[[#This Row],[Date]],Database!$A:$C,MATCH($C$1,Database!$A$1:$C$1,),))</f>
        <v/>
      </c>
      <c r="D12234">
        <f>IFERROR(Table7[[#This Row],[United States 10y]]-Table7[[#This Row],[United States 3y]],#N/A)</f>
        <v/>
      </c>
    </row>
    <row r="12235">
      <c r="A12235" s="6">
        <f>Database!$A14320</f>
        <v/>
      </c>
      <c r="B12235">
        <f>IF(VLOOKUP(Table7[[#This Row],[Date]],Database!$A:$C,MATCH($B$1,Database!$A$1:$C$1,),)=0,#N/A,VLOOKUP(Table7[[#This Row],[Date]],Database!$A:$C,MATCH($B$1,Database!$A$1:$C$1,),))</f>
        <v/>
      </c>
      <c r="C12235">
        <f>IF(VLOOKUP(Table7[[#This Row],[Date]],Database!$A:$C,MATCH($C$1,Database!$A$1:$C$1,),)=0,#N/A,VLOOKUP(Table7[[#This Row],[Date]],Database!$A:$C,MATCH($C$1,Database!$A$1:$C$1,),))</f>
        <v/>
      </c>
      <c r="D12235">
        <f>IFERROR(Table7[[#This Row],[United States 10y]]-Table7[[#This Row],[United States 3y]],#N/A)</f>
        <v/>
      </c>
    </row>
    <row r="12236">
      <c r="A12236" s="6">
        <f>Database!$A14321</f>
        <v/>
      </c>
      <c r="B12236">
        <f>IF(VLOOKUP(Table7[[#This Row],[Date]],Database!$A:$C,MATCH($B$1,Database!$A$1:$C$1,),)=0,#N/A,VLOOKUP(Table7[[#This Row],[Date]],Database!$A:$C,MATCH($B$1,Database!$A$1:$C$1,),))</f>
        <v/>
      </c>
      <c r="C12236">
        <f>IF(VLOOKUP(Table7[[#This Row],[Date]],Database!$A:$C,MATCH($C$1,Database!$A$1:$C$1,),)=0,#N/A,VLOOKUP(Table7[[#This Row],[Date]],Database!$A:$C,MATCH($C$1,Database!$A$1:$C$1,),))</f>
        <v/>
      </c>
      <c r="D12236">
        <f>IFERROR(Table7[[#This Row],[United States 10y]]-Table7[[#This Row],[United States 3y]],#N/A)</f>
        <v/>
      </c>
    </row>
    <row r="12237">
      <c r="A12237" s="6">
        <f>Database!$A14322</f>
        <v/>
      </c>
      <c r="B12237">
        <f>IF(VLOOKUP(Table7[[#This Row],[Date]],Database!$A:$C,MATCH($B$1,Database!$A$1:$C$1,),)=0,#N/A,VLOOKUP(Table7[[#This Row],[Date]],Database!$A:$C,MATCH($B$1,Database!$A$1:$C$1,),))</f>
        <v/>
      </c>
      <c r="C12237">
        <f>IF(VLOOKUP(Table7[[#This Row],[Date]],Database!$A:$C,MATCH($C$1,Database!$A$1:$C$1,),)=0,#N/A,VLOOKUP(Table7[[#This Row],[Date]],Database!$A:$C,MATCH($C$1,Database!$A$1:$C$1,),))</f>
        <v/>
      </c>
      <c r="D12237">
        <f>IFERROR(Table7[[#This Row],[United States 10y]]-Table7[[#This Row],[United States 3y]],#N/A)</f>
        <v/>
      </c>
    </row>
    <row r="12238">
      <c r="A12238" s="6">
        <f>Database!$A14323</f>
        <v/>
      </c>
      <c r="B12238">
        <f>IF(VLOOKUP(Table7[[#This Row],[Date]],Database!$A:$C,MATCH($B$1,Database!$A$1:$C$1,),)=0,#N/A,VLOOKUP(Table7[[#This Row],[Date]],Database!$A:$C,MATCH($B$1,Database!$A$1:$C$1,),))</f>
        <v/>
      </c>
      <c r="C12238">
        <f>IF(VLOOKUP(Table7[[#This Row],[Date]],Database!$A:$C,MATCH($C$1,Database!$A$1:$C$1,),)=0,#N/A,VLOOKUP(Table7[[#This Row],[Date]],Database!$A:$C,MATCH($C$1,Database!$A$1:$C$1,),))</f>
        <v/>
      </c>
      <c r="D12238">
        <f>IFERROR(Table7[[#This Row],[United States 10y]]-Table7[[#This Row],[United States 3y]],#N/A)</f>
        <v/>
      </c>
    </row>
    <row r="12239">
      <c r="A12239" s="6">
        <f>Database!$A14324</f>
        <v/>
      </c>
      <c r="B12239">
        <f>IF(VLOOKUP(Table7[[#This Row],[Date]],Database!$A:$C,MATCH($B$1,Database!$A$1:$C$1,),)=0,#N/A,VLOOKUP(Table7[[#This Row],[Date]],Database!$A:$C,MATCH($B$1,Database!$A$1:$C$1,),))</f>
        <v/>
      </c>
      <c r="C12239">
        <f>IF(VLOOKUP(Table7[[#This Row],[Date]],Database!$A:$C,MATCH($C$1,Database!$A$1:$C$1,),)=0,#N/A,VLOOKUP(Table7[[#This Row],[Date]],Database!$A:$C,MATCH($C$1,Database!$A$1:$C$1,),))</f>
        <v/>
      </c>
      <c r="D12239">
        <f>IFERROR(Table7[[#This Row],[United States 10y]]-Table7[[#This Row],[United States 3y]],#N/A)</f>
        <v/>
      </c>
    </row>
    <row r="12240">
      <c r="A12240" s="6">
        <f>Database!$A14325</f>
        <v/>
      </c>
      <c r="B12240">
        <f>IF(VLOOKUP(Table7[[#This Row],[Date]],Database!$A:$C,MATCH($B$1,Database!$A$1:$C$1,),)=0,#N/A,VLOOKUP(Table7[[#This Row],[Date]],Database!$A:$C,MATCH($B$1,Database!$A$1:$C$1,),))</f>
        <v/>
      </c>
      <c r="C12240">
        <f>IF(VLOOKUP(Table7[[#This Row],[Date]],Database!$A:$C,MATCH($C$1,Database!$A$1:$C$1,),)=0,#N/A,VLOOKUP(Table7[[#This Row],[Date]],Database!$A:$C,MATCH($C$1,Database!$A$1:$C$1,),))</f>
        <v/>
      </c>
      <c r="D12240">
        <f>IFERROR(Table7[[#This Row],[United States 10y]]-Table7[[#This Row],[United States 3y]],#N/A)</f>
        <v/>
      </c>
    </row>
    <row r="12241">
      <c r="A12241" s="6">
        <f>Database!$A14326</f>
        <v/>
      </c>
      <c r="B12241">
        <f>IF(VLOOKUP(Table7[[#This Row],[Date]],Database!$A:$C,MATCH($B$1,Database!$A$1:$C$1,),)=0,#N/A,VLOOKUP(Table7[[#This Row],[Date]],Database!$A:$C,MATCH($B$1,Database!$A$1:$C$1,),))</f>
        <v/>
      </c>
      <c r="C12241">
        <f>IF(VLOOKUP(Table7[[#This Row],[Date]],Database!$A:$C,MATCH($C$1,Database!$A$1:$C$1,),)=0,#N/A,VLOOKUP(Table7[[#This Row],[Date]],Database!$A:$C,MATCH($C$1,Database!$A$1:$C$1,),))</f>
        <v/>
      </c>
      <c r="D12241">
        <f>IFERROR(Table7[[#This Row],[United States 10y]]-Table7[[#This Row],[United States 3y]],#N/A)</f>
        <v/>
      </c>
    </row>
    <row r="12242">
      <c r="A12242" s="6">
        <f>Database!$A14327</f>
        <v/>
      </c>
      <c r="B12242">
        <f>IF(VLOOKUP(Table7[[#This Row],[Date]],Database!$A:$C,MATCH($B$1,Database!$A$1:$C$1,),)=0,#N/A,VLOOKUP(Table7[[#This Row],[Date]],Database!$A:$C,MATCH($B$1,Database!$A$1:$C$1,),))</f>
        <v/>
      </c>
      <c r="C12242">
        <f>IF(VLOOKUP(Table7[[#This Row],[Date]],Database!$A:$C,MATCH($C$1,Database!$A$1:$C$1,),)=0,#N/A,VLOOKUP(Table7[[#This Row],[Date]],Database!$A:$C,MATCH($C$1,Database!$A$1:$C$1,),))</f>
        <v/>
      </c>
      <c r="D12242">
        <f>IFERROR(Table7[[#This Row],[United States 10y]]-Table7[[#This Row],[United States 3y]],#N/A)</f>
        <v/>
      </c>
    </row>
    <row r="12243">
      <c r="A12243" s="6">
        <f>Database!$A14328</f>
        <v/>
      </c>
      <c r="B12243">
        <f>IF(VLOOKUP(Table7[[#This Row],[Date]],Database!$A:$C,MATCH($B$1,Database!$A$1:$C$1,),)=0,#N/A,VLOOKUP(Table7[[#This Row],[Date]],Database!$A:$C,MATCH($B$1,Database!$A$1:$C$1,),))</f>
        <v/>
      </c>
      <c r="C12243">
        <f>IF(VLOOKUP(Table7[[#This Row],[Date]],Database!$A:$C,MATCH($C$1,Database!$A$1:$C$1,),)=0,#N/A,VLOOKUP(Table7[[#This Row],[Date]],Database!$A:$C,MATCH($C$1,Database!$A$1:$C$1,),))</f>
        <v/>
      </c>
      <c r="D12243">
        <f>IFERROR(Table7[[#This Row],[United States 10y]]-Table7[[#This Row],[United States 3y]],#N/A)</f>
        <v/>
      </c>
    </row>
    <row r="12244">
      <c r="A12244" s="6">
        <f>Database!$A14329</f>
        <v/>
      </c>
      <c r="B12244">
        <f>IF(VLOOKUP(Table7[[#This Row],[Date]],Database!$A:$C,MATCH($B$1,Database!$A$1:$C$1,),)=0,#N/A,VLOOKUP(Table7[[#This Row],[Date]],Database!$A:$C,MATCH($B$1,Database!$A$1:$C$1,),))</f>
        <v/>
      </c>
      <c r="C12244">
        <f>IF(VLOOKUP(Table7[[#This Row],[Date]],Database!$A:$C,MATCH($C$1,Database!$A$1:$C$1,),)=0,#N/A,VLOOKUP(Table7[[#This Row],[Date]],Database!$A:$C,MATCH($C$1,Database!$A$1:$C$1,),))</f>
        <v/>
      </c>
      <c r="D12244">
        <f>IFERROR(Table7[[#This Row],[United States 10y]]-Table7[[#This Row],[United States 3y]],#N/A)</f>
        <v/>
      </c>
    </row>
    <row r="12245">
      <c r="A12245" s="6">
        <f>Database!$A14330</f>
        <v/>
      </c>
      <c r="B12245">
        <f>IF(VLOOKUP(Table7[[#This Row],[Date]],Database!$A:$C,MATCH($B$1,Database!$A$1:$C$1,),)=0,#N/A,VLOOKUP(Table7[[#This Row],[Date]],Database!$A:$C,MATCH($B$1,Database!$A$1:$C$1,),))</f>
        <v/>
      </c>
      <c r="C12245">
        <f>IF(VLOOKUP(Table7[[#This Row],[Date]],Database!$A:$C,MATCH($C$1,Database!$A$1:$C$1,),)=0,#N/A,VLOOKUP(Table7[[#This Row],[Date]],Database!$A:$C,MATCH($C$1,Database!$A$1:$C$1,),))</f>
        <v/>
      </c>
      <c r="D12245">
        <f>IFERROR(Table7[[#This Row],[United States 10y]]-Table7[[#This Row],[United States 3y]],#N/A)</f>
        <v/>
      </c>
    </row>
    <row r="12246">
      <c r="A12246" s="6">
        <f>Database!$A14331</f>
        <v/>
      </c>
      <c r="B12246">
        <f>IF(VLOOKUP(Table7[[#This Row],[Date]],Database!$A:$C,MATCH($B$1,Database!$A$1:$C$1,),)=0,#N/A,VLOOKUP(Table7[[#This Row],[Date]],Database!$A:$C,MATCH($B$1,Database!$A$1:$C$1,),))</f>
        <v/>
      </c>
      <c r="C12246">
        <f>IF(VLOOKUP(Table7[[#This Row],[Date]],Database!$A:$C,MATCH($C$1,Database!$A$1:$C$1,),)=0,#N/A,VLOOKUP(Table7[[#This Row],[Date]],Database!$A:$C,MATCH($C$1,Database!$A$1:$C$1,),))</f>
        <v/>
      </c>
      <c r="D12246">
        <f>IFERROR(Table7[[#This Row],[United States 10y]]-Table7[[#This Row],[United States 3y]],#N/A)</f>
        <v/>
      </c>
    </row>
    <row r="12247">
      <c r="A12247" s="6">
        <f>Database!$A14332</f>
        <v/>
      </c>
      <c r="B12247">
        <f>IF(VLOOKUP(Table7[[#This Row],[Date]],Database!$A:$C,MATCH($B$1,Database!$A$1:$C$1,),)=0,#N/A,VLOOKUP(Table7[[#This Row],[Date]],Database!$A:$C,MATCH($B$1,Database!$A$1:$C$1,),))</f>
        <v/>
      </c>
      <c r="C12247">
        <f>IF(VLOOKUP(Table7[[#This Row],[Date]],Database!$A:$C,MATCH($C$1,Database!$A$1:$C$1,),)=0,#N/A,VLOOKUP(Table7[[#This Row],[Date]],Database!$A:$C,MATCH($C$1,Database!$A$1:$C$1,),))</f>
        <v/>
      </c>
      <c r="D12247">
        <f>IFERROR(Table7[[#This Row],[United States 10y]]-Table7[[#This Row],[United States 3y]],#N/A)</f>
        <v/>
      </c>
    </row>
    <row r="12248">
      <c r="A12248" s="6">
        <f>Database!$A14333</f>
        <v/>
      </c>
      <c r="B12248">
        <f>IF(VLOOKUP(Table7[[#This Row],[Date]],Database!$A:$C,MATCH($B$1,Database!$A$1:$C$1,),)=0,#N/A,VLOOKUP(Table7[[#This Row],[Date]],Database!$A:$C,MATCH($B$1,Database!$A$1:$C$1,),))</f>
        <v/>
      </c>
      <c r="C12248">
        <f>IF(VLOOKUP(Table7[[#This Row],[Date]],Database!$A:$C,MATCH($C$1,Database!$A$1:$C$1,),)=0,#N/A,VLOOKUP(Table7[[#This Row],[Date]],Database!$A:$C,MATCH($C$1,Database!$A$1:$C$1,),))</f>
        <v/>
      </c>
      <c r="D12248">
        <f>IFERROR(Table7[[#This Row],[United States 10y]]-Table7[[#This Row],[United States 3y]],#N/A)</f>
        <v/>
      </c>
    </row>
    <row r="12249">
      <c r="A12249" s="6">
        <f>Database!$A14334</f>
        <v/>
      </c>
      <c r="B12249">
        <f>IF(VLOOKUP(Table7[[#This Row],[Date]],Database!$A:$C,MATCH($B$1,Database!$A$1:$C$1,),)=0,#N/A,VLOOKUP(Table7[[#This Row],[Date]],Database!$A:$C,MATCH($B$1,Database!$A$1:$C$1,),))</f>
        <v/>
      </c>
      <c r="C12249">
        <f>IF(VLOOKUP(Table7[[#This Row],[Date]],Database!$A:$C,MATCH($C$1,Database!$A$1:$C$1,),)=0,#N/A,VLOOKUP(Table7[[#This Row],[Date]],Database!$A:$C,MATCH($C$1,Database!$A$1:$C$1,),))</f>
        <v/>
      </c>
      <c r="D12249">
        <f>IFERROR(Table7[[#This Row],[United States 10y]]-Table7[[#This Row],[United States 3y]],#N/A)</f>
        <v/>
      </c>
    </row>
    <row r="12250">
      <c r="A12250" s="6">
        <f>Database!$A14335</f>
        <v/>
      </c>
      <c r="B12250">
        <f>IF(VLOOKUP(Table7[[#This Row],[Date]],Database!$A:$C,MATCH($B$1,Database!$A$1:$C$1,),)=0,#N/A,VLOOKUP(Table7[[#This Row],[Date]],Database!$A:$C,MATCH($B$1,Database!$A$1:$C$1,),))</f>
        <v/>
      </c>
      <c r="C12250">
        <f>IF(VLOOKUP(Table7[[#This Row],[Date]],Database!$A:$C,MATCH($C$1,Database!$A$1:$C$1,),)=0,#N/A,VLOOKUP(Table7[[#This Row],[Date]],Database!$A:$C,MATCH($C$1,Database!$A$1:$C$1,),))</f>
        <v/>
      </c>
      <c r="D12250">
        <f>IFERROR(Table7[[#This Row],[United States 10y]]-Table7[[#This Row],[United States 3y]],#N/A)</f>
        <v/>
      </c>
    </row>
    <row r="12251">
      <c r="A12251" s="6">
        <f>Database!$A14336</f>
        <v/>
      </c>
      <c r="B12251">
        <f>IF(VLOOKUP(Table7[[#This Row],[Date]],Database!$A:$C,MATCH($B$1,Database!$A$1:$C$1,),)=0,#N/A,VLOOKUP(Table7[[#This Row],[Date]],Database!$A:$C,MATCH($B$1,Database!$A$1:$C$1,),))</f>
        <v/>
      </c>
      <c r="C12251">
        <f>IF(VLOOKUP(Table7[[#This Row],[Date]],Database!$A:$C,MATCH($C$1,Database!$A$1:$C$1,),)=0,#N/A,VLOOKUP(Table7[[#This Row],[Date]],Database!$A:$C,MATCH($C$1,Database!$A$1:$C$1,),))</f>
        <v/>
      </c>
      <c r="D12251">
        <f>IFERROR(Table7[[#This Row],[United States 10y]]-Table7[[#This Row],[United States 3y]],#N/A)</f>
        <v/>
      </c>
    </row>
    <row r="12252">
      <c r="A12252" s="6">
        <f>Database!$A14337</f>
        <v/>
      </c>
      <c r="B12252">
        <f>IF(VLOOKUP(Table7[[#This Row],[Date]],Database!$A:$C,MATCH($B$1,Database!$A$1:$C$1,),)=0,#N/A,VLOOKUP(Table7[[#This Row],[Date]],Database!$A:$C,MATCH($B$1,Database!$A$1:$C$1,),))</f>
        <v/>
      </c>
      <c r="C12252">
        <f>IF(VLOOKUP(Table7[[#This Row],[Date]],Database!$A:$C,MATCH($C$1,Database!$A$1:$C$1,),)=0,#N/A,VLOOKUP(Table7[[#This Row],[Date]],Database!$A:$C,MATCH($C$1,Database!$A$1:$C$1,),))</f>
        <v/>
      </c>
      <c r="D12252">
        <f>IFERROR(Table7[[#This Row],[United States 10y]]-Table7[[#This Row],[United States 3y]],#N/A)</f>
        <v/>
      </c>
    </row>
    <row r="12253">
      <c r="A12253" s="6">
        <f>Database!$A14338</f>
        <v/>
      </c>
      <c r="B12253">
        <f>IF(VLOOKUP(Table7[[#This Row],[Date]],Database!$A:$C,MATCH($B$1,Database!$A$1:$C$1,),)=0,#N/A,VLOOKUP(Table7[[#This Row],[Date]],Database!$A:$C,MATCH($B$1,Database!$A$1:$C$1,),))</f>
        <v/>
      </c>
      <c r="C12253">
        <f>IF(VLOOKUP(Table7[[#This Row],[Date]],Database!$A:$C,MATCH($C$1,Database!$A$1:$C$1,),)=0,#N/A,VLOOKUP(Table7[[#This Row],[Date]],Database!$A:$C,MATCH($C$1,Database!$A$1:$C$1,),))</f>
        <v/>
      </c>
      <c r="D12253">
        <f>IFERROR(Table7[[#This Row],[United States 10y]]-Table7[[#This Row],[United States 3y]],#N/A)</f>
        <v/>
      </c>
    </row>
    <row r="12254">
      <c r="A12254" s="6">
        <f>Database!$A14339</f>
        <v/>
      </c>
      <c r="B12254">
        <f>IF(VLOOKUP(Table7[[#This Row],[Date]],Database!$A:$C,MATCH($B$1,Database!$A$1:$C$1,),)=0,#N/A,VLOOKUP(Table7[[#This Row],[Date]],Database!$A:$C,MATCH($B$1,Database!$A$1:$C$1,),))</f>
        <v/>
      </c>
      <c r="C12254">
        <f>IF(VLOOKUP(Table7[[#This Row],[Date]],Database!$A:$C,MATCH($C$1,Database!$A$1:$C$1,),)=0,#N/A,VLOOKUP(Table7[[#This Row],[Date]],Database!$A:$C,MATCH($C$1,Database!$A$1:$C$1,),))</f>
        <v/>
      </c>
      <c r="D12254">
        <f>IFERROR(Table7[[#This Row],[United States 10y]]-Table7[[#This Row],[United States 3y]],#N/A)</f>
        <v/>
      </c>
    </row>
    <row r="12255">
      <c r="A12255" s="6">
        <f>Database!$A14340</f>
        <v/>
      </c>
      <c r="B12255">
        <f>IF(VLOOKUP(Table7[[#This Row],[Date]],Database!$A:$C,MATCH($B$1,Database!$A$1:$C$1,),)=0,#N/A,VLOOKUP(Table7[[#This Row],[Date]],Database!$A:$C,MATCH($B$1,Database!$A$1:$C$1,),))</f>
        <v/>
      </c>
      <c r="C12255">
        <f>IF(VLOOKUP(Table7[[#This Row],[Date]],Database!$A:$C,MATCH($C$1,Database!$A$1:$C$1,),)=0,#N/A,VLOOKUP(Table7[[#This Row],[Date]],Database!$A:$C,MATCH($C$1,Database!$A$1:$C$1,),))</f>
        <v/>
      </c>
      <c r="D12255">
        <f>IFERROR(Table7[[#This Row],[United States 10y]]-Table7[[#This Row],[United States 3y]],#N/A)</f>
        <v/>
      </c>
    </row>
    <row r="12256">
      <c r="A12256" s="6">
        <f>Database!$A14341</f>
        <v/>
      </c>
      <c r="B12256">
        <f>IF(VLOOKUP(Table7[[#This Row],[Date]],Database!$A:$C,MATCH($B$1,Database!$A$1:$C$1,),)=0,#N/A,VLOOKUP(Table7[[#This Row],[Date]],Database!$A:$C,MATCH($B$1,Database!$A$1:$C$1,),))</f>
        <v/>
      </c>
      <c r="C12256">
        <f>IF(VLOOKUP(Table7[[#This Row],[Date]],Database!$A:$C,MATCH($C$1,Database!$A$1:$C$1,),)=0,#N/A,VLOOKUP(Table7[[#This Row],[Date]],Database!$A:$C,MATCH($C$1,Database!$A$1:$C$1,),))</f>
        <v/>
      </c>
      <c r="D12256">
        <f>IFERROR(Table7[[#This Row],[United States 10y]]-Table7[[#This Row],[United States 3y]],#N/A)</f>
        <v/>
      </c>
    </row>
    <row r="12257">
      <c r="A12257" s="6">
        <f>Database!$A14342</f>
        <v/>
      </c>
      <c r="B12257">
        <f>IF(VLOOKUP(Table7[[#This Row],[Date]],Database!$A:$C,MATCH($B$1,Database!$A$1:$C$1,),)=0,#N/A,VLOOKUP(Table7[[#This Row],[Date]],Database!$A:$C,MATCH($B$1,Database!$A$1:$C$1,),))</f>
        <v/>
      </c>
      <c r="C12257">
        <f>IF(VLOOKUP(Table7[[#This Row],[Date]],Database!$A:$C,MATCH($C$1,Database!$A$1:$C$1,),)=0,#N/A,VLOOKUP(Table7[[#This Row],[Date]],Database!$A:$C,MATCH($C$1,Database!$A$1:$C$1,),))</f>
        <v/>
      </c>
      <c r="D12257">
        <f>IFERROR(Table7[[#This Row],[United States 10y]]-Table7[[#This Row],[United States 3y]],#N/A)</f>
        <v/>
      </c>
    </row>
    <row r="12258">
      <c r="A12258" s="6">
        <f>Database!$A14343</f>
        <v/>
      </c>
      <c r="B12258">
        <f>IF(VLOOKUP(Table7[[#This Row],[Date]],Database!$A:$C,MATCH($B$1,Database!$A$1:$C$1,),)=0,#N/A,VLOOKUP(Table7[[#This Row],[Date]],Database!$A:$C,MATCH($B$1,Database!$A$1:$C$1,),))</f>
        <v/>
      </c>
      <c r="C12258">
        <f>IF(VLOOKUP(Table7[[#This Row],[Date]],Database!$A:$C,MATCH($C$1,Database!$A$1:$C$1,),)=0,#N/A,VLOOKUP(Table7[[#This Row],[Date]],Database!$A:$C,MATCH($C$1,Database!$A$1:$C$1,),))</f>
        <v/>
      </c>
      <c r="D12258">
        <f>IFERROR(Table7[[#This Row],[United States 10y]]-Table7[[#This Row],[United States 3y]],#N/A)</f>
        <v/>
      </c>
    </row>
    <row r="12259">
      <c r="A12259" s="6">
        <f>Database!$A14344</f>
        <v/>
      </c>
      <c r="B12259">
        <f>IF(VLOOKUP(Table7[[#This Row],[Date]],Database!$A:$C,MATCH($B$1,Database!$A$1:$C$1,),)=0,#N/A,VLOOKUP(Table7[[#This Row],[Date]],Database!$A:$C,MATCH($B$1,Database!$A$1:$C$1,),))</f>
        <v/>
      </c>
      <c r="C12259">
        <f>IF(VLOOKUP(Table7[[#This Row],[Date]],Database!$A:$C,MATCH($C$1,Database!$A$1:$C$1,),)=0,#N/A,VLOOKUP(Table7[[#This Row],[Date]],Database!$A:$C,MATCH($C$1,Database!$A$1:$C$1,),))</f>
        <v/>
      </c>
      <c r="D12259">
        <f>IFERROR(Table7[[#This Row],[United States 10y]]-Table7[[#This Row],[United States 3y]],#N/A)</f>
        <v/>
      </c>
    </row>
    <row r="12260">
      <c r="A12260" s="6">
        <f>Database!$A14345</f>
        <v/>
      </c>
      <c r="B12260">
        <f>IF(VLOOKUP(Table7[[#This Row],[Date]],Database!$A:$C,MATCH($B$1,Database!$A$1:$C$1,),)=0,#N/A,VLOOKUP(Table7[[#This Row],[Date]],Database!$A:$C,MATCH($B$1,Database!$A$1:$C$1,),))</f>
        <v/>
      </c>
      <c r="C12260">
        <f>IF(VLOOKUP(Table7[[#This Row],[Date]],Database!$A:$C,MATCH($C$1,Database!$A$1:$C$1,),)=0,#N/A,VLOOKUP(Table7[[#This Row],[Date]],Database!$A:$C,MATCH($C$1,Database!$A$1:$C$1,),))</f>
        <v/>
      </c>
      <c r="D12260">
        <f>IFERROR(Table7[[#This Row],[United States 10y]]-Table7[[#This Row],[United States 3y]],#N/A)</f>
        <v/>
      </c>
    </row>
    <row r="12261">
      <c r="A12261" s="6">
        <f>Database!$A14346</f>
        <v/>
      </c>
      <c r="B12261">
        <f>IF(VLOOKUP(Table7[[#This Row],[Date]],Database!$A:$C,MATCH($B$1,Database!$A$1:$C$1,),)=0,#N/A,VLOOKUP(Table7[[#This Row],[Date]],Database!$A:$C,MATCH($B$1,Database!$A$1:$C$1,),))</f>
        <v/>
      </c>
      <c r="C12261">
        <f>IF(VLOOKUP(Table7[[#This Row],[Date]],Database!$A:$C,MATCH($C$1,Database!$A$1:$C$1,),)=0,#N/A,VLOOKUP(Table7[[#This Row],[Date]],Database!$A:$C,MATCH($C$1,Database!$A$1:$C$1,),))</f>
        <v/>
      </c>
      <c r="D12261">
        <f>IFERROR(Table7[[#This Row],[United States 10y]]-Table7[[#This Row],[United States 3y]],#N/A)</f>
        <v/>
      </c>
    </row>
    <row r="12262">
      <c r="A12262" s="6">
        <f>Database!$A14347</f>
        <v/>
      </c>
      <c r="B12262">
        <f>IF(VLOOKUP(Table7[[#This Row],[Date]],Database!$A:$C,MATCH($B$1,Database!$A$1:$C$1,),)=0,#N/A,VLOOKUP(Table7[[#This Row],[Date]],Database!$A:$C,MATCH($B$1,Database!$A$1:$C$1,),))</f>
        <v/>
      </c>
      <c r="C12262">
        <f>IF(VLOOKUP(Table7[[#This Row],[Date]],Database!$A:$C,MATCH($C$1,Database!$A$1:$C$1,),)=0,#N/A,VLOOKUP(Table7[[#This Row],[Date]],Database!$A:$C,MATCH($C$1,Database!$A$1:$C$1,),))</f>
        <v/>
      </c>
      <c r="D12262">
        <f>IFERROR(Table7[[#This Row],[United States 10y]]-Table7[[#This Row],[United States 3y]],#N/A)</f>
        <v/>
      </c>
    </row>
    <row r="12263">
      <c r="A12263" s="6">
        <f>Database!$A14348</f>
        <v/>
      </c>
      <c r="B12263">
        <f>IF(VLOOKUP(Table7[[#This Row],[Date]],Database!$A:$C,MATCH($B$1,Database!$A$1:$C$1,),)=0,#N/A,VLOOKUP(Table7[[#This Row],[Date]],Database!$A:$C,MATCH($B$1,Database!$A$1:$C$1,),))</f>
        <v/>
      </c>
      <c r="C12263">
        <f>IF(VLOOKUP(Table7[[#This Row],[Date]],Database!$A:$C,MATCH($C$1,Database!$A$1:$C$1,),)=0,#N/A,VLOOKUP(Table7[[#This Row],[Date]],Database!$A:$C,MATCH($C$1,Database!$A$1:$C$1,),))</f>
        <v/>
      </c>
      <c r="D12263">
        <f>IFERROR(Table7[[#This Row],[United States 10y]]-Table7[[#This Row],[United States 3y]],#N/A)</f>
        <v/>
      </c>
    </row>
    <row r="12264">
      <c r="A12264" s="6">
        <f>Database!$A14349</f>
        <v/>
      </c>
      <c r="B12264">
        <f>IF(VLOOKUP(Table7[[#This Row],[Date]],Database!$A:$C,MATCH($B$1,Database!$A$1:$C$1,),)=0,#N/A,VLOOKUP(Table7[[#This Row],[Date]],Database!$A:$C,MATCH($B$1,Database!$A$1:$C$1,),))</f>
        <v/>
      </c>
      <c r="C12264">
        <f>IF(VLOOKUP(Table7[[#This Row],[Date]],Database!$A:$C,MATCH($C$1,Database!$A$1:$C$1,),)=0,#N/A,VLOOKUP(Table7[[#This Row],[Date]],Database!$A:$C,MATCH($C$1,Database!$A$1:$C$1,),))</f>
        <v/>
      </c>
      <c r="D12264">
        <f>IFERROR(Table7[[#This Row],[United States 10y]]-Table7[[#This Row],[United States 3y]],#N/A)</f>
        <v/>
      </c>
    </row>
    <row r="12265">
      <c r="A12265" s="6">
        <f>Database!$A14350</f>
        <v/>
      </c>
      <c r="B12265">
        <f>IF(VLOOKUP(Table7[[#This Row],[Date]],Database!$A:$C,MATCH($B$1,Database!$A$1:$C$1,),)=0,#N/A,VLOOKUP(Table7[[#This Row],[Date]],Database!$A:$C,MATCH($B$1,Database!$A$1:$C$1,),))</f>
        <v/>
      </c>
      <c r="C12265">
        <f>IF(VLOOKUP(Table7[[#This Row],[Date]],Database!$A:$C,MATCH($C$1,Database!$A$1:$C$1,),)=0,#N/A,VLOOKUP(Table7[[#This Row],[Date]],Database!$A:$C,MATCH($C$1,Database!$A$1:$C$1,),))</f>
        <v/>
      </c>
      <c r="D12265">
        <f>IFERROR(Table7[[#This Row],[United States 10y]]-Table7[[#This Row],[United States 3y]],#N/A)</f>
        <v/>
      </c>
    </row>
    <row r="12266">
      <c r="A12266" s="6">
        <f>Database!$A14351</f>
        <v/>
      </c>
      <c r="B12266">
        <f>IF(VLOOKUP(Table7[[#This Row],[Date]],Database!$A:$C,MATCH($B$1,Database!$A$1:$C$1,),)=0,#N/A,VLOOKUP(Table7[[#This Row],[Date]],Database!$A:$C,MATCH($B$1,Database!$A$1:$C$1,),))</f>
        <v/>
      </c>
      <c r="C12266">
        <f>IF(VLOOKUP(Table7[[#This Row],[Date]],Database!$A:$C,MATCH($C$1,Database!$A$1:$C$1,),)=0,#N/A,VLOOKUP(Table7[[#This Row],[Date]],Database!$A:$C,MATCH($C$1,Database!$A$1:$C$1,),))</f>
        <v/>
      </c>
      <c r="D12266">
        <f>IFERROR(Table7[[#This Row],[United States 10y]]-Table7[[#This Row],[United States 3y]],#N/A)</f>
        <v/>
      </c>
    </row>
    <row r="12267">
      <c r="A12267" s="6">
        <f>Database!$A14352</f>
        <v/>
      </c>
      <c r="B12267">
        <f>IF(VLOOKUP(Table7[[#This Row],[Date]],Database!$A:$C,MATCH($B$1,Database!$A$1:$C$1,),)=0,#N/A,VLOOKUP(Table7[[#This Row],[Date]],Database!$A:$C,MATCH($B$1,Database!$A$1:$C$1,),))</f>
        <v/>
      </c>
      <c r="C12267">
        <f>IF(VLOOKUP(Table7[[#This Row],[Date]],Database!$A:$C,MATCH($C$1,Database!$A$1:$C$1,),)=0,#N/A,VLOOKUP(Table7[[#This Row],[Date]],Database!$A:$C,MATCH($C$1,Database!$A$1:$C$1,),))</f>
        <v/>
      </c>
      <c r="D12267">
        <f>IFERROR(Table7[[#This Row],[United States 10y]]-Table7[[#This Row],[United States 3y]],#N/A)</f>
        <v/>
      </c>
    </row>
    <row r="12268">
      <c r="A12268" s="6">
        <f>Database!$A14353</f>
        <v/>
      </c>
      <c r="B12268">
        <f>IF(VLOOKUP(Table7[[#This Row],[Date]],Database!$A:$C,MATCH($B$1,Database!$A$1:$C$1,),)=0,#N/A,VLOOKUP(Table7[[#This Row],[Date]],Database!$A:$C,MATCH($B$1,Database!$A$1:$C$1,),))</f>
        <v/>
      </c>
      <c r="C12268">
        <f>IF(VLOOKUP(Table7[[#This Row],[Date]],Database!$A:$C,MATCH($C$1,Database!$A$1:$C$1,),)=0,#N/A,VLOOKUP(Table7[[#This Row],[Date]],Database!$A:$C,MATCH($C$1,Database!$A$1:$C$1,),))</f>
        <v/>
      </c>
      <c r="D12268">
        <f>IFERROR(Table7[[#This Row],[United States 10y]]-Table7[[#This Row],[United States 3y]],#N/A)</f>
        <v/>
      </c>
    </row>
    <row r="12269">
      <c r="A12269" s="6">
        <f>Database!$A14354</f>
        <v/>
      </c>
      <c r="B12269">
        <f>IF(VLOOKUP(Table7[[#This Row],[Date]],Database!$A:$C,MATCH($B$1,Database!$A$1:$C$1,),)=0,#N/A,VLOOKUP(Table7[[#This Row],[Date]],Database!$A:$C,MATCH($B$1,Database!$A$1:$C$1,),))</f>
        <v/>
      </c>
      <c r="C12269">
        <f>IF(VLOOKUP(Table7[[#This Row],[Date]],Database!$A:$C,MATCH($C$1,Database!$A$1:$C$1,),)=0,#N/A,VLOOKUP(Table7[[#This Row],[Date]],Database!$A:$C,MATCH($C$1,Database!$A$1:$C$1,),))</f>
        <v/>
      </c>
      <c r="D12269">
        <f>IFERROR(Table7[[#This Row],[United States 10y]]-Table7[[#This Row],[United States 3y]],#N/A)</f>
        <v/>
      </c>
    </row>
    <row r="12270">
      <c r="A12270" s="6">
        <f>Database!$A14355</f>
        <v/>
      </c>
      <c r="B12270">
        <f>IF(VLOOKUP(Table7[[#This Row],[Date]],Database!$A:$C,MATCH($B$1,Database!$A$1:$C$1,),)=0,#N/A,VLOOKUP(Table7[[#This Row],[Date]],Database!$A:$C,MATCH($B$1,Database!$A$1:$C$1,),))</f>
        <v/>
      </c>
      <c r="C12270">
        <f>IF(VLOOKUP(Table7[[#This Row],[Date]],Database!$A:$C,MATCH($C$1,Database!$A$1:$C$1,),)=0,#N/A,VLOOKUP(Table7[[#This Row],[Date]],Database!$A:$C,MATCH($C$1,Database!$A$1:$C$1,),))</f>
        <v/>
      </c>
      <c r="D12270">
        <f>IFERROR(Table7[[#This Row],[United States 10y]]-Table7[[#This Row],[United States 3y]],#N/A)</f>
        <v/>
      </c>
    </row>
    <row r="12271">
      <c r="A12271" s="6">
        <f>Database!$A14356</f>
        <v/>
      </c>
      <c r="B12271">
        <f>IF(VLOOKUP(Table7[[#This Row],[Date]],Database!$A:$C,MATCH($B$1,Database!$A$1:$C$1,),)=0,#N/A,VLOOKUP(Table7[[#This Row],[Date]],Database!$A:$C,MATCH($B$1,Database!$A$1:$C$1,),))</f>
        <v/>
      </c>
      <c r="C12271">
        <f>IF(VLOOKUP(Table7[[#This Row],[Date]],Database!$A:$C,MATCH($C$1,Database!$A$1:$C$1,),)=0,#N/A,VLOOKUP(Table7[[#This Row],[Date]],Database!$A:$C,MATCH($C$1,Database!$A$1:$C$1,),))</f>
        <v/>
      </c>
      <c r="D12271">
        <f>IFERROR(Table7[[#This Row],[United States 10y]]-Table7[[#This Row],[United States 3y]],#N/A)</f>
        <v/>
      </c>
    </row>
    <row r="12272">
      <c r="A12272" s="6">
        <f>Database!$A14357</f>
        <v/>
      </c>
      <c r="B12272">
        <f>IF(VLOOKUP(Table7[[#This Row],[Date]],Database!$A:$C,MATCH($B$1,Database!$A$1:$C$1,),)=0,#N/A,VLOOKUP(Table7[[#This Row],[Date]],Database!$A:$C,MATCH($B$1,Database!$A$1:$C$1,),))</f>
        <v/>
      </c>
      <c r="C12272">
        <f>IF(VLOOKUP(Table7[[#This Row],[Date]],Database!$A:$C,MATCH($C$1,Database!$A$1:$C$1,),)=0,#N/A,VLOOKUP(Table7[[#This Row],[Date]],Database!$A:$C,MATCH($C$1,Database!$A$1:$C$1,),))</f>
        <v/>
      </c>
      <c r="D12272">
        <f>IFERROR(Table7[[#This Row],[United States 10y]]-Table7[[#This Row],[United States 3y]],#N/A)</f>
        <v/>
      </c>
    </row>
    <row r="12273">
      <c r="A12273" s="6">
        <f>Database!$A14358</f>
        <v/>
      </c>
      <c r="B12273">
        <f>IF(VLOOKUP(Table7[[#This Row],[Date]],Database!$A:$C,MATCH($B$1,Database!$A$1:$C$1,),)=0,#N/A,VLOOKUP(Table7[[#This Row],[Date]],Database!$A:$C,MATCH($B$1,Database!$A$1:$C$1,),))</f>
        <v/>
      </c>
      <c r="C12273">
        <f>IF(VLOOKUP(Table7[[#This Row],[Date]],Database!$A:$C,MATCH($C$1,Database!$A$1:$C$1,),)=0,#N/A,VLOOKUP(Table7[[#This Row],[Date]],Database!$A:$C,MATCH($C$1,Database!$A$1:$C$1,),))</f>
        <v/>
      </c>
      <c r="D12273">
        <f>IFERROR(Table7[[#This Row],[United States 10y]]-Table7[[#This Row],[United States 3y]],#N/A)</f>
        <v/>
      </c>
    </row>
    <row r="12274">
      <c r="A12274" s="6">
        <f>Database!$A14359</f>
        <v/>
      </c>
      <c r="B12274">
        <f>IF(VLOOKUP(Table7[[#This Row],[Date]],Database!$A:$C,MATCH($B$1,Database!$A$1:$C$1,),)=0,#N/A,VLOOKUP(Table7[[#This Row],[Date]],Database!$A:$C,MATCH($B$1,Database!$A$1:$C$1,),))</f>
        <v/>
      </c>
      <c r="C12274">
        <f>IF(VLOOKUP(Table7[[#This Row],[Date]],Database!$A:$C,MATCH($C$1,Database!$A$1:$C$1,),)=0,#N/A,VLOOKUP(Table7[[#This Row],[Date]],Database!$A:$C,MATCH($C$1,Database!$A$1:$C$1,),))</f>
        <v/>
      </c>
      <c r="D12274">
        <f>IFERROR(Table7[[#This Row],[United States 10y]]-Table7[[#This Row],[United States 3y]],#N/A)</f>
        <v/>
      </c>
    </row>
    <row r="12275">
      <c r="A12275" s="6">
        <f>Database!$A14360</f>
        <v/>
      </c>
      <c r="B12275">
        <f>IF(VLOOKUP(Table7[[#This Row],[Date]],Database!$A:$C,MATCH($B$1,Database!$A$1:$C$1,),)=0,#N/A,VLOOKUP(Table7[[#This Row],[Date]],Database!$A:$C,MATCH($B$1,Database!$A$1:$C$1,),))</f>
        <v/>
      </c>
      <c r="C12275">
        <f>IF(VLOOKUP(Table7[[#This Row],[Date]],Database!$A:$C,MATCH($C$1,Database!$A$1:$C$1,),)=0,#N/A,VLOOKUP(Table7[[#This Row],[Date]],Database!$A:$C,MATCH($C$1,Database!$A$1:$C$1,),))</f>
        <v/>
      </c>
      <c r="D12275">
        <f>IFERROR(Table7[[#This Row],[United States 10y]]-Table7[[#This Row],[United States 3y]],#N/A)</f>
        <v/>
      </c>
    </row>
    <row r="12276">
      <c r="A12276" s="6">
        <f>Database!$A14361</f>
        <v/>
      </c>
      <c r="B12276">
        <f>IF(VLOOKUP(Table7[[#This Row],[Date]],Database!$A:$C,MATCH($B$1,Database!$A$1:$C$1,),)=0,#N/A,VLOOKUP(Table7[[#This Row],[Date]],Database!$A:$C,MATCH($B$1,Database!$A$1:$C$1,),))</f>
        <v/>
      </c>
      <c r="C12276">
        <f>IF(VLOOKUP(Table7[[#This Row],[Date]],Database!$A:$C,MATCH($C$1,Database!$A$1:$C$1,),)=0,#N/A,VLOOKUP(Table7[[#This Row],[Date]],Database!$A:$C,MATCH($C$1,Database!$A$1:$C$1,),))</f>
        <v/>
      </c>
      <c r="D12276">
        <f>IFERROR(Table7[[#This Row],[United States 10y]]-Table7[[#This Row],[United States 3y]],#N/A)</f>
        <v/>
      </c>
    </row>
    <row r="12277">
      <c r="A12277" s="6">
        <f>Database!$A14362</f>
        <v/>
      </c>
      <c r="B12277">
        <f>IF(VLOOKUP(Table7[[#This Row],[Date]],Database!$A:$C,MATCH($B$1,Database!$A$1:$C$1,),)=0,#N/A,VLOOKUP(Table7[[#This Row],[Date]],Database!$A:$C,MATCH($B$1,Database!$A$1:$C$1,),))</f>
        <v/>
      </c>
      <c r="C12277">
        <f>IF(VLOOKUP(Table7[[#This Row],[Date]],Database!$A:$C,MATCH($C$1,Database!$A$1:$C$1,),)=0,#N/A,VLOOKUP(Table7[[#This Row],[Date]],Database!$A:$C,MATCH($C$1,Database!$A$1:$C$1,),))</f>
        <v/>
      </c>
      <c r="D12277">
        <f>IFERROR(Table7[[#This Row],[United States 10y]]-Table7[[#This Row],[United States 3y]],#N/A)</f>
        <v/>
      </c>
    </row>
    <row r="12278">
      <c r="A12278" s="6">
        <f>Database!$A14363</f>
        <v/>
      </c>
      <c r="B12278">
        <f>IF(VLOOKUP(Table7[[#This Row],[Date]],Database!$A:$C,MATCH($B$1,Database!$A$1:$C$1,),)=0,#N/A,VLOOKUP(Table7[[#This Row],[Date]],Database!$A:$C,MATCH($B$1,Database!$A$1:$C$1,),))</f>
        <v/>
      </c>
      <c r="C12278">
        <f>IF(VLOOKUP(Table7[[#This Row],[Date]],Database!$A:$C,MATCH($C$1,Database!$A$1:$C$1,),)=0,#N/A,VLOOKUP(Table7[[#This Row],[Date]],Database!$A:$C,MATCH($C$1,Database!$A$1:$C$1,),))</f>
        <v/>
      </c>
      <c r="D12278">
        <f>IFERROR(Table7[[#This Row],[United States 10y]]-Table7[[#This Row],[United States 3y]],#N/A)</f>
        <v/>
      </c>
    </row>
    <row r="12279">
      <c r="A12279" s="6">
        <f>Database!$A14364</f>
        <v/>
      </c>
      <c r="B12279">
        <f>IF(VLOOKUP(Table7[[#This Row],[Date]],Database!$A:$C,MATCH($B$1,Database!$A$1:$C$1,),)=0,#N/A,VLOOKUP(Table7[[#This Row],[Date]],Database!$A:$C,MATCH($B$1,Database!$A$1:$C$1,),))</f>
        <v/>
      </c>
      <c r="C12279">
        <f>IF(VLOOKUP(Table7[[#This Row],[Date]],Database!$A:$C,MATCH($C$1,Database!$A$1:$C$1,),)=0,#N/A,VLOOKUP(Table7[[#This Row],[Date]],Database!$A:$C,MATCH($C$1,Database!$A$1:$C$1,),))</f>
        <v/>
      </c>
      <c r="D12279">
        <f>IFERROR(Table7[[#This Row],[United States 10y]]-Table7[[#This Row],[United States 3y]],#N/A)</f>
        <v/>
      </c>
    </row>
    <row r="12280">
      <c r="A12280" s="6">
        <f>Database!$A14365</f>
        <v/>
      </c>
      <c r="B12280">
        <f>IF(VLOOKUP(Table7[[#This Row],[Date]],Database!$A:$C,MATCH($B$1,Database!$A$1:$C$1,),)=0,#N/A,VLOOKUP(Table7[[#This Row],[Date]],Database!$A:$C,MATCH($B$1,Database!$A$1:$C$1,),))</f>
        <v/>
      </c>
      <c r="C12280">
        <f>IF(VLOOKUP(Table7[[#This Row],[Date]],Database!$A:$C,MATCH($C$1,Database!$A$1:$C$1,),)=0,#N/A,VLOOKUP(Table7[[#This Row],[Date]],Database!$A:$C,MATCH($C$1,Database!$A$1:$C$1,),))</f>
        <v/>
      </c>
      <c r="D12280">
        <f>IFERROR(Table7[[#This Row],[United States 10y]]-Table7[[#This Row],[United States 3y]],#N/A)</f>
        <v/>
      </c>
    </row>
    <row r="12281">
      <c r="A12281" s="6">
        <f>Database!$A14366</f>
        <v/>
      </c>
      <c r="B12281">
        <f>IF(VLOOKUP(Table7[[#This Row],[Date]],Database!$A:$C,MATCH($B$1,Database!$A$1:$C$1,),)=0,#N/A,VLOOKUP(Table7[[#This Row],[Date]],Database!$A:$C,MATCH($B$1,Database!$A$1:$C$1,),))</f>
        <v/>
      </c>
      <c r="C12281">
        <f>IF(VLOOKUP(Table7[[#This Row],[Date]],Database!$A:$C,MATCH($C$1,Database!$A$1:$C$1,),)=0,#N/A,VLOOKUP(Table7[[#This Row],[Date]],Database!$A:$C,MATCH($C$1,Database!$A$1:$C$1,),))</f>
        <v/>
      </c>
      <c r="D12281">
        <f>IFERROR(Table7[[#This Row],[United States 10y]]-Table7[[#This Row],[United States 3y]],#N/A)</f>
        <v/>
      </c>
    </row>
    <row r="12282">
      <c r="A12282" s="6">
        <f>Database!$A14367</f>
        <v/>
      </c>
      <c r="B12282">
        <f>IF(VLOOKUP(Table7[[#This Row],[Date]],Database!$A:$C,MATCH($B$1,Database!$A$1:$C$1,),)=0,#N/A,VLOOKUP(Table7[[#This Row],[Date]],Database!$A:$C,MATCH($B$1,Database!$A$1:$C$1,),))</f>
        <v/>
      </c>
      <c r="C12282">
        <f>IF(VLOOKUP(Table7[[#This Row],[Date]],Database!$A:$C,MATCH($C$1,Database!$A$1:$C$1,),)=0,#N/A,VLOOKUP(Table7[[#This Row],[Date]],Database!$A:$C,MATCH($C$1,Database!$A$1:$C$1,),))</f>
        <v/>
      </c>
      <c r="D12282">
        <f>IFERROR(Table7[[#This Row],[United States 10y]]-Table7[[#This Row],[United States 3y]],#N/A)</f>
        <v/>
      </c>
    </row>
    <row r="12283">
      <c r="A12283" s="6">
        <f>Database!$A14368</f>
        <v/>
      </c>
      <c r="B12283">
        <f>IF(VLOOKUP(Table7[[#This Row],[Date]],Database!$A:$C,MATCH($B$1,Database!$A$1:$C$1,),)=0,#N/A,VLOOKUP(Table7[[#This Row],[Date]],Database!$A:$C,MATCH($B$1,Database!$A$1:$C$1,),))</f>
        <v/>
      </c>
      <c r="C12283">
        <f>IF(VLOOKUP(Table7[[#This Row],[Date]],Database!$A:$C,MATCH($C$1,Database!$A$1:$C$1,),)=0,#N/A,VLOOKUP(Table7[[#This Row],[Date]],Database!$A:$C,MATCH($C$1,Database!$A$1:$C$1,),))</f>
        <v/>
      </c>
      <c r="D12283">
        <f>IFERROR(Table7[[#This Row],[United States 10y]]-Table7[[#This Row],[United States 3y]],#N/A)</f>
        <v/>
      </c>
    </row>
    <row r="12284">
      <c r="A12284" s="6">
        <f>Database!$A14369</f>
        <v/>
      </c>
      <c r="B12284">
        <f>IF(VLOOKUP(Table7[[#This Row],[Date]],Database!$A:$C,MATCH($B$1,Database!$A$1:$C$1,),)=0,#N/A,VLOOKUP(Table7[[#This Row],[Date]],Database!$A:$C,MATCH($B$1,Database!$A$1:$C$1,),))</f>
        <v/>
      </c>
      <c r="C12284">
        <f>IF(VLOOKUP(Table7[[#This Row],[Date]],Database!$A:$C,MATCH($C$1,Database!$A$1:$C$1,),)=0,#N/A,VLOOKUP(Table7[[#This Row],[Date]],Database!$A:$C,MATCH($C$1,Database!$A$1:$C$1,),))</f>
        <v/>
      </c>
      <c r="D12284">
        <f>IFERROR(Table7[[#This Row],[United States 10y]]-Table7[[#This Row],[United States 3y]],#N/A)</f>
        <v/>
      </c>
    </row>
    <row r="12285">
      <c r="A12285" s="6">
        <f>Database!$A14370</f>
        <v/>
      </c>
      <c r="B12285">
        <f>IF(VLOOKUP(Table7[[#This Row],[Date]],Database!$A:$C,MATCH($B$1,Database!$A$1:$C$1,),)=0,#N/A,VLOOKUP(Table7[[#This Row],[Date]],Database!$A:$C,MATCH($B$1,Database!$A$1:$C$1,),))</f>
        <v/>
      </c>
      <c r="C12285">
        <f>IF(VLOOKUP(Table7[[#This Row],[Date]],Database!$A:$C,MATCH($C$1,Database!$A$1:$C$1,),)=0,#N/A,VLOOKUP(Table7[[#This Row],[Date]],Database!$A:$C,MATCH($C$1,Database!$A$1:$C$1,),))</f>
        <v/>
      </c>
      <c r="D12285">
        <f>IFERROR(Table7[[#This Row],[United States 10y]]-Table7[[#This Row],[United States 3y]],#N/A)</f>
        <v/>
      </c>
    </row>
    <row r="12286">
      <c r="A12286" s="6">
        <f>Database!$A14371</f>
        <v/>
      </c>
      <c r="B12286">
        <f>IF(VLOOKUP(Table7[[#This Row],[Date]],Database!$A:$C,MATCH($B$1,Database!$A$1:$C$1,),)=0,#N/A,VLOOKUP(Table7[[#This Row],[Date]],Database!$A:$C,MATCH($B$1,Database!$A$1:$C$1,),))</f>
        <v/>
      </c>
      <c r="C12286">
        <f>IF(VLOOKUP(Table7[[#This Row],[Date]],Database!$A:$C,MATCH($C$1,Database!$A$1:$C$1,),)=0,#N/A,VLOOKUP(Table7[[#This Row],[Date]],Database!$A:$C,MATCH($C$1,Database!$A$1:$C$1,),))</f>
        <v/>
      </c>
      <c r="D12286">
        <f>IFERROR(Table7[[#This Row],[United States 10y]]-Table7[[#This Row],[United States 3y]],#N/A)</f>
        <v/>
      </c>
    </row>
    <row r="12287">
      <c r="A12287" s="6">
        <f>Database!$A14372</f>
        <v/>
      </c>
      <c r="B12287">
        <f>IF(VLOOKUP(Table7[[#This Row],[Date]],Database!$A:$C,MATCH($B$1,Database!$A$1:$C$1,),)=0,#N/A,VLOOKUP(Table7[[#This Row],[Date]],Database!$A:$C,MATCH($B$1,Database!$A$1:$C$1,),))</f>
        <v/>
      </c>
      <c r="C12287">
        <f>IF(VLOOKUP(Table7[[#This Row],[Date]],Database!$A:$C,MATCH($C$1,Database!$A$1:$C$1,),)=0,#N/A,VLOOKUP(Table7[[#This Row],[Date]],Database!$A:$C,MATCH($C$1,Database!$A$1:$C$1,),))</f>
        <v/>
      </c>
      <c r="D12287">
        <f>IFERROR(Table7[[#This Row],[United States 10y]]-Table7[[#This Row],[United States 3y]],#N/A)</f>
        <v/>
      </c>
    </row>
    <row r="12288">
      <c r="A12288" s="6">
        <f>Database!$A14373</f>
        <v/>
      </c>
      <c r="B12288">
        <f>IF(VLOOKUP(Table7[[#This Row],[Date]],Database!$A:$C,MATCH($B$1,Database!$A$1:$C$1,),)=0,#N/A,VLOOKUP(Table7[[#This Row],[Date]],Database!$A:$C,MATCH($B$1,Database!$A$1:$C$1,),))</f>
        <v/>
      </c>
      <c r="C12288">
        <f>IF(VLOOKUP(Table7[[#This Row],[Date]],Database!$A:$C,MATCH($C$1,Database!$A$1:$C$1,),)=0,#N/A,VLOOKUP(Table7[[#This Row],[Date]],Database!$A:$C,MATCH($C$1,Database!$A$1:$C$1,),))</f>
        <v/>
      </c>
      <c r="D12288">
        <f>IFERROR(Table7[[#This Row],[United States 10y]]-Table7[[#This Row],[United States 3y]],#N/A)</f>
        <v/>
      </c>
    </row>
    <row r="12289">
      <c r="A12289" s="6">
        <f>Database!$A14374</f>
        <v/>
      </c>
      <c r="B12289">
        <f>IF(VLOOKUP(Table7[[#This Row],[Date]],Database!$A:$C,MATCH($B$1,Database!$A$1:$C$1,),)=0,#N/A,VLOOKUP(Table7[[#This Row],[Date]],Database!$A:$C,MATCH($B$1,Database!$A$1:$C$1,),))</f>
        <v/>
      </c>
      <c r="C12289">
        <f>IF(VLOOKUP(Table7[[#This Row],[Date]],Database!$A:$C,MATCH($C$1,Database!$A$1:$C$1,),)=0,#N/A,VLOOKUP(Table7[[#This Row],[Date]],Database!$A:$C,MATCH($C$1,Database!$A$1:$C$1,),))</f>
        <v/>
      </c>
      <c r="D12289">
        <f>IFERROR(Table7[[#This Row],[United States 10y]]-Table7[[#This Row],[United States 3y]],#N/A)</f>
        <v/>
      </c>
    </row>
    <row r="12290">
      <c r="A12290" s="6">
        <f>Database!$A14375</f>
        <v/>
      </c>
      <c r="B12290">
        <f>IF(VLOOKUP(Table7[[#This Row],[Date]],Database!$A:$C,MATCH($B$1,Database!$A$1:$C$1,),)=0,#N/A,VLOOKUP(Table7[[#This Row],[Date]],Database!$A:$C,MATCH($B$1,Database!$A$1:$C$1,),))</f>
        <v/>
      </c>
      <c r="C12290">
        <f>IF(VLOOKUP(Table7[[#This Row],[Date]],Database!$A:$C,MATCH($C$1,Database!$A$1:$C$1,),)=0,#N/A,VLOOKUP(Table7[[#This Row],[Date]],Database!$A:$C,MATCH($C$1,Database!$A$1:$C$1,),))</f>
        <v/>
      </c>
      <c r="D12290">
        <f>IFERROR(Table7[[#This Row],[United States 10y]]-Table7[[#This Row],[United States 3y]],#N/A)</f>
        <v/>
      </c>
    </row>
    <row r="12291">
      <c r="A12291" s="6">
        <f>Database!$A14376</f>
        <v/>
      </c>
      <c r="B12291">
        <f>IF(VLOOKUP(Table7[[#This Row],[Date]],Database!$A:$C,MATCH($B$1,Database!$A$1:$C$1,),)=0,#N/A,VLOOKUP(Table7[[#This Row],[Date]],Database!$A:$C,MATCH($B$1,Database!$A$1:$C$1,),))</f>
        <v/>
      </c>
      <c r="C12291">
        <f>IF(VLOOKUP(Table7[[#This Row],[Date]],Database!$A:$C,MATCH($C$1,Database!$A$1:$C$1,),)=0,#N/A,VLOOKUP(Table7[[#This Row],[Date]],Database!$A:$C,MATCH($C$1,Database!$A$1:$C$1,),))</f>
        <v/>
      </c>
      <c r="D12291">
        <f>IFERROR(Table7[[#This Row],[United States 10y]]-Table7[[#This Row],[United States 3y]],#N/A)</f>
        <v/>
      </c>
    </row>
    <row r="12292">
      <c r="A12292" s="6">
        <f>Database!$A14377</f>
        <v/>
      </c>
      <c r="B12292">
        <f>IF(VLOOKUP(Table7[[#This Row],[Date]],Database!$A:$C,MATCH($B$1,Database!$A$1:$C$1,),)=0,#N/A,VLOOKUP(Table7[[#This Row],[Date]],Database!$A:$C,MATCH($B$1,Database!$A$1:$C$1,),))</f>
        <v/>
      </c>
      <c r="C12292">
        <f>IF(VLOOKUP(Table7[[#This Row],[Date]],Database!$A:$C,MATCH($C$1,Database!$A$1:$C$1,),)=0,#N/A,VLOOKUP(Table7[[#This Row],[Date]],Database!$A:$C,MATCH($C$1,Database!$A$1:$C$1,),))</f>
        <v/>
      </c>
      <c r="D12292">
        <f>IFERROR(Table7[[#This Row],[United States 10y]]-Table7[[#This Row],[United States 3y]],#N/A)</f>
        <v/>
      </c>
    </row>
    <row r="12293">
      <c r="A12293" s="6">
        <f>Database!$A14378</f>
        <v/>
      </c>
      <c r="B12293">
        <f>IF(VLOOKUP(Table7[[#This Row],[Date]],Database!$A:$C,MATCH($B$1,Database!$A$1:$C$1,),)=0,#N/A,VLOOKUP(Table7[[#This Row],[Date]],Database!$A:$C,MATCH($B$1,Database!$A$1:$C$1,),))</f>
        <v/>
      </c>
      <c r="C12293">
        <f>IF(VLOOKUP(Table7[[#This Row],[Date]],Database!$A:$C,MATCH($C$1,Database!$A$1:$C$1,),)=0,#N/A,VLOOKUP(Table7[[#This Row],[Date]],Database!$A:$C,MATCH($C$1,Database!$A$1:$C$1,),))</f>
        <v/>
      </c>
      <c r="D12293">
        <f>IFERROR(Table7[[#This Row],[United States 10y]]-Table7[[#This Row],[United States 3y]],#N/A)</f>
        <v/>
      </c>
    </row>
    <row r="12294">
      <c r="A12294" s="6">
        <f>Database!$A14379</f>
        <v/>
      </c>
      <c r="B12294">
        <f>IF(VLOOKUP(Table7[[#This Row],[Date]],Database!$A:$C,MATCH($B$1,Database!$A$1:$C$1,),)=0,#N/A,VLOOKUP(Table7[[#This Row],[Date]],Database!$A:$C,MATCH($B$1,Database!$A$1:$C$1,),))</f>
        <v/>
      </c>
      <c r="C12294">
        <f>IF(VLOOKUP(Table7[[#This Row],[Date]],Database!$A:$C,MATCH($C$1,Database!$A$1:$C$1,),)=0,#N/A,VLOOKUP(Table7[[#This Row],[Date]],Database!$A:$C,MATCH($C$1,Database!$A$1:$C$1,),))</f>
        <v/>
      </c>
      <c r="D12294">
        <f>IFERROR(Table7[[#This Row],[United States 10y]]-Table7[[#This Row],[United States 3y]],#N/A)</f>
        <v/>
      </c>
    </row>
    <row r="12295">
      <c r="A12295" s="6">
        <f>Database!$A14380</f>
        <v/>
      </c>
      <c r="B12295">
        <f>IF(VLOOKUP(Table7[[#This Row],[Date]],Database!$A:$C,MATCH($B$1,Database!$A$1:$C$1,),)=0,#N/A,VLOOKUP(Table7[[#This Row],[Date]],Database!$A:$C,MATCH($B$1,Database!$A$1:$C$1,),))</f>
        <v/>
      </c>
      <c r="C12295">
        <f>IF(VLOOKUP(Table7[[#This Row],[Date]],Database!$A:$C,MATCH($C$1,Database!$A$1:$C$1,),)=0,#N/A,VLOOKUP(Table7[[#This Row],[Date]],Database!$A:$C,MATCH($C$1,Database!$A$1:$C$1,),))</f>
        <v/>
      </c>
      <c r="D12295">
        <f>IFERROR(Table7[[#This Row],[United States 10y]]-Table7[[#This Row],[United States 3y]],#N/A)</f>
        <v/>
      </c>
    </row>
    <row r="12296">
      <c r="A12296" s="6">
        <f>Database!$A14381</f>
        <v/>
      </c>
      <c r="B12296">
        <f>IF(VLOOKUP(Table7[[#This Row],[Date]],Database!$A:$C,MATCH($B$1,Database!$A$1:$C$1,),)=0,#N/A,VLOOKUP(Table7[[#This Row],[Date]],Database!$A:$C,MATCH($B$1,Database!$A$1:$C$1,),))</f>
        <v/>
      </c>
      <c r="C12296">
        <f>IF(VLOOKUP(Table7[[#This Row],[Date]],Database!$A:$C,MATCH($C$1,Database!$A$1:$C$1,),)=0,#N/A,VLOOKUP(Table7[[#This Row],[Date]],Database!$A:$C,MATCH($C$1,Database!$A$1:$C$1,),))</f>
        <v/>
      </c>
      <c r="D12296">
        <f>IFERROR(Table7[[#This Row],[United States 10y]]-Table7[[#This Row],[United States 3y]],#N/A)</f>
        <v/>
      </c>
    </row>
    <row r="12297">
      <c r="A12297" s="6">
        <f>Database!$A14382</f>
        <v/>
      </c>
      <c r="B12297">
        <f>IF(VLOOKUP(Table7[[#This Row],[Date]],Database!$A:$C,MATCH($B$1,Database!$A$1:$C$1,),)=0,#N/A,VLOOKUP(Table7[[#This Row],[Date]],Database!$A:$C,MATCH($B$1,Database!$A$1:$C$1,),))</f>
        <v/>
      </c>
      <c r="C12297">
        <f>IF(VLOOKUP(Table7[[#This Row],[Date]],Database!$A:$C,MATCH($C$1,Database!$A$1:$C$1,),)=0,#N/A,VLOOKUP(Table7[[#This Row],[Date]],Database!$A:$C,MATCH($C$1,Database!$A$1:$C$1,),))</f>
        <v/>
      </c>
      <c r="D12297">
        <f>IFERROR(Table7[[#This Row],[United States 10y]]-Table7[[#This Row],[United States 3y]],#N/A)</f>
        <v/>
      </c>
    </row>
    <row r="12298">
      <c r="A12298" s="6">
        <f>Database!$A14383</f>
        <v/>
      </c>
      <c r="B12298">
        <f>IF(VLOOKUP(Table7[[#This Row],[Date]],Database!$A:$C,MATCH($B$1,Database!$A$1:$C$1,),)=0,#N/A,VLOOKUP(Table7[[#This Row],[Date]],Database!$A:$C,MATCH($B$1,Database!$A$1:$C$1,),))</f>
        <v/>
      </c>
      <c r="C12298">
        <f>IF(VLOOKUP(Table7[[#This Row],[Date]],Database!$A:$C,MATCH($C$1,Database!$A$1:$C$1,),)=0,#N/A,VLOOKUP(Table7[[#This Row],[Date]],Database!$A:$C,MATCH($C$1,Database!$A$1:$C$1,),))</f>
        <v/>
      </c>
      <c r="D12298">
        <f>IFERROR(Table7[[#This Row],[United States 10y]]-Table7[[#This Row],[United States 3y]],#N/A)</f>
        <v/>
      </c>
    </row>
    <row r="12299">
      <c r="A12299" s="6">
        <f>Database!$A14384</f>
        <v/>
      </c>
      <c r="B12299">
        <f>IF(VLOOKUP(Table7[[#This Row],[Date]],Database!$A:$C,MATCH($B$1,Database!$A$1:$C$1,),)=0,#N/A,VLOOKUP(Table7[[#This Row],[Date]],Database!$A:$C,MATCH($B$1,Database!$A$1:$C$1,),))</f>
        <v/>
      </c>
      <c r="C12299">
        <f>IF(VLOOKUP(Table7[[#This Row],[Date]],Database!$A:$C,MATCH($C$1,Database!$A$1:$C$1,),)=0,#N/A,VLOOKUP(Table7[[#This Row],[Date]],Database!$A:$C,MATCH($C$1,Database!$A$1:$C$1,),))</f>
        <v/>
      </c>
      <c r="D12299">
        <f>IFERROR(Table7[[#This Row],[United States 10y]]-Table7[[#This Row],[United States 3y]],#N/A)</f>
        <v/>
      </c>
    </row>
    <row r="12300">
      <c r="A12300" s="6">
        <f>Database!$A14385</f>
        <v/>
      </c>
      <c r="B12300">
        <f>IF(VLOOKUP(Table7[[#This Row],[Date]],Database!$A:$C,MATCH($B$1,Database!$A$1:$C$1,),)=0,#N/A,VLOOKUP(Table7[[#This Row],[Date]],Database!$A:$C,MATCH($B$1,Database!$A$1:$C$1,),))</f>
        <v/>
      </c>
      <c r="C12300">
        <f>IF(VLOOKUP(Table7[[#This Row],[Date]],Database!$A:$C,MATCH($C$1,Database!$A$1:$C$1,),)=0,#N/A,VLOOKUP(Table7[[#This Row],[Date]],Database!$A:$C,MATCH($C$1,Database!$A$1:$C$1,),))</f>
        <v/>
      </c>
      <c r="D12300">
        <f>IFERROR(Table7[[#This Row],[United States 10y]]-Table7[[#This Row],[United States 3y]],#N/A)</f>
        <v/>
      </c>
    </row>
    <row r="12301">
      <c r="A12301" s="6">
        <f>Database!$A14386</f>
        <v/>
      </c>
      <c r="B12301">
        <f>IF(VLOOKUP(Table7[[#This Row],[Date]],Database!$A:$C,MATCH($B$1,Database!$A$1:$C$1,),)=0,#N/A,VLOOKUP(Table7[[#This Row],[Date]],Database!$A:$C,MATCH($B$1,Database!$A$1:$C$1,),))</f>
        <v/>
      </c>
      <c r="C12301">
        <f>IF(VLOOKUP(Table7[[#This Row],[Date]],Database!$A:$C,MATCH($C$1,Database!$A$1:$C$1,),)=0,#N/A,VLOOKUP(Table7[[#This Row],[Date]],Database!$A:$C,MATCH($C$1,Database!$A$1:$C$1,),))</f>
        <v/>
      </c>
      <c r="D12301">
        <f>IFERROR(Table7[[#This Row],[United States 10y]]-Table7[[#This Row],[United States 3y]],#N/A)</f>
        <v/>
      </c>
    </row>
    <row r="12302">
      <c r="A12302" s="6">
        <f>Database!$A14387</f>
        <v/>
      </c>
      <c r="B12302">
        <f>IF(VLOOKUP(Table7[[#This Row],[Date]],Database!$A:$C,MATCH($B$1,Database!$A$1:$C$1,),)=0,#N/A,VLOOKUP(Table7[[#This Row],[Date]],Database!$A:$C,MATCH($B$1,Database!$A$1:$C$1,),))</f>
        <v/>
      </c>
      <c r="C12302">
        <f>IF(VLOOKUP(Table7[[#This Row],[Date]],Database!$A:$C,MATCH($C$1,Database!$A$1:$C$1,),)=0,#N/A,VLOOKUP(Table7[[#This Row],[Date]],Database!$A:$C,MATCH($C$1,Database!$A$1:$C$1,),))</f>
        <v/>
      </c>
      <c r="D12302">
        <f>IFERROR(Table7[[#This Row],[United States 10y]]-Table7[[#This Row],[United States 3y]],#N/A)</f>
        <v/>
      </c>
    </row>
    <row r="12303">
      <c r="A12303" s="6">
        <f>Database!$A14388</f>
        <v/>
      </c>
      <c r="B12303">
        <f>IF(VLOOKUP(Table7[[#This Row],[Date]],Database!$A:$C,MATCH($B$1,Database!$A$1:$C$1,),)=0,#N/A,VLOOKUP(Table7[[#This Row],[Date]],Database!$A:$C,MATCH($B$1,Database!$A$1:$C$1,),))</f>
        <v/>
      </c>
      <c r="C12303">
        <f>IF(VLOOKUP(Table7[[#This Row],[Date]],Database!$A:$C,MATCH($C$1,Database!$A$1:$C$1,),)=0,#N/A,VLOOKUP(Table7[[#This Row],[Date]],Database!$A:$C,MATCH($C$1,Database!$A$1:$C$1,),))</f>
        <v/>
      </c>
      <c r="D12303">
        <f>IFERROR(Table7[[#This Row],[United States 10y]]-Table7[[#This Row],[United States 3y]],#N/A)</f>
        <v/>
      </c>
    </row>
    <row r="12304">
      <c r="A12304" s="6">
        <f>Database!$A14389</f>
        <v/>
      </c>
      <c r="B12304">
        <f>IF(VLOOKUP(Table7[[#This Row],[Date]],Database!$A:$C,MATCH($B$1,Database!$A$1:$C$1,),)=0,#N/A,VLOOKUP(Table7[[#This Row],[Date]],Database!$A:$C,MATCH($B$1,Database!$A$1:$C$1,),))</f>
        <v/>
      </c>
      <c r="C12304">
        <f>IF(VLOOKUP(Table7[[#This Row],[Date]],Database!$A:$C,MATCH($C$1,Database!$A$1:$C$1,),)=0,#N/A,VLOOKUP(Table7[[#This Row],[Date]],Database!$A:$C,MATCH($C$1,Database!$A$1:$C$1,),))</f>
        <v/>
      </c>
      <c r="D12304">
        <f>IFERROR(Table7[[#This Row],[United States 10y]]-Table7[[#This Row],[United States 3y]],#N/A)</f>
        <v/>
      </c>
    </row>
    <row r="12305">
      <c r="A12305" s="6">
        <f>Database!$A14390</f>
        <v/>
      </c>
      <c r="B12305">
        <f>IF(VLOOKUP(Table7[[#This Row],[Date]],Database!$A:$C,MATCH($B$1,Database!$A$1:$C$1,),)=0,#N/A,VLOOKUP(Table7[[#This Row],[Date]],Database!$A:$C,MATCH($B$1,Database!$A$1:$C$1,),))</f>
        <v/>
      </c>
      <c r="C12305">
        <f>IF(VLOOKUP(Table7[[#This Row],[Date]],Database!$A:$C,MATCH($C$1,Database!$A$1:$C$1,),)=0,#N/A,VLOOKUP(Table7[[#This Row],[Date]],Database!$A:$C,MATCH($C$1,Database!$A$1:$C$1,),))</f>
        <v/>
      </c>
      <c r="D12305">
        <f>IFERROR(Table7[[#This Row],[United States 10y]]-Table7[[#This Row],[United States 3y]],#N/A)</f>
        <v/>
      </c>
    </row>
    <row r="12306">
      <c r="A12306" s="6">
        <f>Database!$A14391</f>
        <v/>
      </c>
      <c r="B12306">
        <f>IF(VLOOKUP(Table7[[#This Row],[Date]],Database!$A:$C,MATCH($B$1,Database!$A$1:$C$1,),)=0,#N/A,VLOOKUP(Table7[[#This Row],[Date]],Database!$A:$C,MATCH($B$1,Database!$A$1:$C$1,),))</f>
        <v/>
      </c>
      <c r="C12306">
        <f>IF(VLOOKUP(Table7[[#This Row],[Date]],Database!$A:$C,MATCH($C$1,Database!$A$1:$C$1,),)=0,#N/A,VLOOKUP(Table7[[#This Row],[Date]],Database!$A:$C,MATCH($C$1,Database!$A$1:$C$1,),))</f>
        <v/>
      </c>
      <c r="D12306">
        <f>IFERROR(Table7[[#This Row],[United States 10y]]-Table7[[#This Row],[United States 3y]],#N/A)</f>
        <v/>
      </c>
    </row>
    <row r="12307">
      <c r="A12307" s="6">
        <f>Database!$A14392</f>
        <v/>
      </c>
      <c r="B12307">
        <f>IF(VLOOKUP(Table7[[#This Row],[Date]],Database!$A:$C,MATCH($B$1,Database!$A$1:$C$1,),)=0,#N/A,VLOOKUP(Table7[[#This Row],[Date]],Database!$A:$C,MATCH($B$1,Database!$A$1:$C$1,),))</f>
        <v/>
      </c>
      <c r="C12307">
        <f>IF(VLOOKUP(Table7[[#This Row],[Date]],Database!$A:$C,MATCH($C$1,Database!$A$1:$C$1,),)=0,#N/A,VLOOKUP(Table7[[#This Row],[Date]],Database!$A:$C,MATCH($C$1,Database!$A$1:$C$1,),))</f>
        <v/>
      </c>
      <c r="D12307">
        <f>IFERROR(Table7[[#This Row],[United States 10y]]-Table7[[#This Row],[United States 3y]],#N/A)</f>
        <v/>
      </c>
    </row>
    <row r="12308">
      <c r="A12308" s="6">
        <f>Database!$A14393</f>
        <v/>
      </c>
      <c r="B12308">
        <f>IF(VLOOKUP(Table7[[#This Row],[Date]],Database!$A:$C,MATCH($B$1,Database!$A$1:$C$1,),)=0,#N/A,VLOOKUP(Table7[[#This Row],[Date]],Database!$A:$C,MATCH($B$1,Database!$A$1:$C$1,),))</f>
        <v/>
      </c>
      <c r="C12308">
        <f>IF(VLOOKUP(Table7[[#This Row],[Date]],Database!$A:$C,MATCH($C$1,Database!$A$1:$C$1,),)=0,#N/A,VLOOKUP(Table7[[#This Row],[Date]],Database!$A:$C,MATCH($C$1,Database!$A$1:$C$1,),))</f>
        <v/>
      </c>
      <c r="D12308">
        <f>IFERROR(Table7[[#This Row],[United States 10y]]-Table7[[#This Row],[United States 3y]],#N/A)</f>
        <v/>
      </c>
    </row>
    <row r="12309">
      <c r="A12309" s="6">
        <f>Database!$A14394</f>
        <v/>
      </c>
      <c r="B12309">
        <f>IF(VLOOKUP(Table7[[#This Row],[Date]],Database!$A:$C,MATCH($B$1,Database!$A$1:$C$1,),)=0,#N/A,VLOOKUP(Table7[[#This Row],[Date]],Database!$A:$C,MATCH($B$1,Database!$A$1:$C$1,),))</f>
        <v/>
      </c>
      <c r="C12309">
        <f>IF(VLOOKUP(Table7[[#This Row],[Date]],Database!$A:$C,MATCH($C$1,Database!$A$1:$C$1,),)=0,#N/A,VLOOKUP(Table7[[#This Row],[Date]],Database!$A:$C,MATCH($C$1,Database!$A$1:$C$1,),))</f>
        <v/>
      </c>
      <c r="D12309">
        <f>IFERROR(Table7[[#This Row],[United States 10y]]-Table7[[#This Row],[United States 3y]],#N/A)</f>
        <v/>
      </c>
    </row>
    <row r="12310">
      <c r="A12310" s="6">
        <f>Database!$A14395</f>
        <v/>
      </c>
      <c r="B12310">
        <f>IF(VLOOKUP(Table7[[#This Row],[Date]],Database!$A:$C,MATCH($B$1,Database!$A$1:$C$1,),)=0,#N/A,VLOOKUP(Table7[[#This Row],[Date]],Database!$A:$C,MATCH($B$1,Database!$A$1:$C$1,),))</f>
        <v/>
      </c>
      <c r="C12310">
        <f>IF(VLOOKUP(Table7[[#This Row],[Date]],Database!$A:$C,MATCH($C$1,Database!$A$1:$C$1,),)=0,#N/A,VLOOKUP(Table7[[#This Row],[Date]],Database!$A:$C,MATCH($C$1,Database!$A$1:$C$1,),))</f>
        <v/>
      </c>
      <c r="D12310">
        <f>IFERROR(Table7[[#This Row],[United States 10y]]-Table7[[#This Row],[United States 3y]],#N/A)</f>
        <v/>
      </c>
    </row>
    <row r="12311">
      <c r="A12311" s="6">
        <f>Database!$A14396</f>
        <v/>
      </c>
      <c r="B12311">
        <f>IF(VLOOKUP(Table7[[#This Row],[Date]],Database!$A:$C,MATCH($B$1,Database!$A$1:$C$1,),)=0,#N/A,VLOOKUP(Table7[[#This Row],[Date]],Database!$A:$C,MATCH($B$1,Database!$A$1:$C$1,),))</f>
        <v/>
      </c>
      <c r="C12311">
        <f>IF(VLOOKUP(Table7[[#This Row],[Date]],Database!$A:$C,MATCH($C$1,Database!$A$1:$C$1,),)=0,#N/A,VLOOKUP(Table7[[#This Row],[Date]],Database!$A:$C,MATCH($C$1,Database!$A$1:$C$1,),))</f>
        <v/>
      </c>
      <c r="D12311">
        <f>IFERROR(Table7[[#This Row],[United States 10y]]-Table7[[#This Row],[United States 3y]],#N/A)</f>
        <v/>
      </c>
    </row>
    <row r="12312">
      <c r="A12312" s="6">
        <f>Database!$A14397</f>
        <v/>
      </c>
      <c r="B12312">
        <f>IF(VLOOKUP(Table7[[#This Row],[Date]],Database!$A:$C,MATCH($B$1,Database!$A$1:$C$1,),)=0,#N/A,VLOOKUP(Table7[[#This Row],[Date]],Database!$A:$C,MATCH($B$1,Database!$A$1:$C$1,),))</f>
        <v/>
      </c>
      <c r="C12312">
        <f>IF(VLOOKUP(Table7[[#This Row],[Date]],Database!$A:$C,MATCH($C$1,Database!$A$1:$C$1,),)=0,#N/A,VLOOKUP(Table7[[#This Row],[Date]],Database!$A:$C,MATCH($C$1,Database!$A$1:$C$1,),))</f>
        <v/>
      </c>
      <c r="D12312">
        <f>IFERROR(Table7[[#This Row],[United States 10y]]-Table7[[#This Row],[United States 3y]],#N/A)</f>
        <v/>
      </c>
    </row>
    <row r="12313">
      <c r="A12313" s="6">
        <f>Database!$A14398</f>
        <v/>
      </c>
      <c r="B12313">
        <f>IF(VLOOKUP(Table7[[#This Row],[Date]],Database!$A:$C,MATCH($B$1,Database!$A$1:$C$1,),)=0,#N/A,VLOOKUP(Table7[[#This Row],[Date]],Database!$A:$C,MATCH($B$1,Database!$A$1:$C$1,),))</f>
        <v/>
      </c>
      <c r="C12313">
        <f>IF(VLOOKUP(Table7[[#This Row],[Date]],Database!$A:$C,MATCH($C$1,Database!$A$1:$C$1,),)=0,#N/A,VLOOKUP(Table7[[#This Row],[Date]],Database!$A:$C,MATCH($C$1,Database!$A$1:$C$1,),))</f>
        <v/>
      </c>
      <c r="D12313">
        <f>IFERROR(Table7[[#This Row],[United States 10y]]-Table7[[#This Row],[United States 3y]],#N/A)</f>
        <v/>
      </c>
    </row>
    <row r="12314">
      <c r="A12314" s="6">
        <f>Database!$A14399</f>
        <v/>
      </c>
      <c r="B12314">
        <f>IF(VLOOKUP(Table7[[#This Row],[Date]],Database!$A:$C,MATCH($B$1,Database!$A$1:$C$1,),)=0,#N/A,VLOOKUP(Table7[[#This Row],[Date]],Database!$A:$C,MATCH($B$1,Database!$A$1:$C$1,),))</f>
        <v/>
      </c>
      <c r="C12314">
        <f>IF(VLOOKUP(Table7[[#This Row],[Date]],Database!$A:$C,MATCH($C$1,Database!$A$1:$C$1,),)=0,#N/A,VLOOKUP(Table7[[#This Row],[Date]],Database!$A:$C,MATCH($C$1,Database!$A$1:$C$1,),))</f>
        <v/>
      </c>
      <c r="D12314">
        <f>IFERROR(Table7[[#This Row],[United States 10y]]-Table7[[#This Row],[United States 3y]],#N/A)</f>
        <v/>
      </c>
    </row>
    <row r="12315">
      <c r="A12315" s="6">
        <f>Database!$A14400</f>
        <v/>
      </c>
      <c r="B12315">
        <f>IF(VLOOKUP(Table7[[#This Row],[Date]],Database!$A:$C,MATCH($B$1,Database!$A$1:$C$1,),)=0,#N/A,VLOOKUP(Table7[[#This Row],[Date]],Database!$A:$C,MATCH($B$1,Database!$A$1:$C$1,),))</f>
        <v/>
      </c>
      <c r="C12315">
        <f>IF(VLOOKUP(Table7[[#This Row],[Date]],Database!$A:$C,MATCH($C$1,Database!$A$1:$C$1,),)=0,#N/A,VLOOKUP(Table7[[#This Row],[Date]],Database!$A:$C,MATCH($C$1,Database!$A$1:$C$1,),))</f>
        <v/>
      </c>
      <c r="D12315">
        <f>IFERROR(Table7[[#This Row],[United States 10y]]-Table7[[#This Row],[United States 3y]],#N/A)</f>
        <v/>
      </c>
    </row>
    <row r="12316">
      <c r="A12316" s="6">
        <f>Database!$A14401</f>
        <v/>
      </c>
      <c r="B12316">
        <f>IF(VLOOKUP(Table7[[#This Row],[Date]],Database!$A:$C,MATCH($B$1,Database!$A$1:$C$1,),)=0,#N/A,VLOOKUP(Table7[[#This Row],[Date]],Database!$A:$C,MATCH($B$1,Database!$A$1:$C$1,),))</f>
        <v/>
      </c>
      <c r="C12316">
        <f>IF(VLOOKUP(Table7[[#This Row],[Date]],Database!$A:$C,MATCH($C$1,Database!$A$1:$C$1,),)=0,#N/A,VLOOKUP(Table7[[#This Row],[Date]],Database!$A:$C,MATCH($C$1,Database!$A$1:$C$1,),))</f>
        <v/>
      </c>
      <c r="D12316">
        <f>IFERROR(Table7[[#This Row],[United States 10y]]-Table7[[#This Row],[United States 3y]],#N/A)</f>
        <v/>
      </c>
    </row>
    <row r="12317">
      <c r="A12317" s="6">
        <f>Database!$A14402</f>
        <v/>
      </c>
      <c r="B12317">
        <f>IF(VLOOKUP(Table7[[#This Row],[Date]],Database!$A:$C,MATCH($B$1,Database!$A$1:$C$1,),)=0,#N/A,VLOOKUP(Table7[[#This Row],[Date]],Database!$A:$C,MATCH($B$1,Database!$A$1:$C$1,),))</f>
        <v/>
      </c>
      <c r="C12317">
        <f>IF(VLOOKUP(Table7[[#This Row],[Date]],Database!$A:$C,MATCH($C$1,Database!$A$1:$C$1,),)=0,#N/A,VLOOKUP(Table7[[#This Row],[Date]],Database!$A:$C,MATCH($C$1,Database!$A$1:$C$1,),))</f>
        <v/>
      </c>
      <c r="D12317">
        <f>IFERROR(Table7[[#This Row],[United States 10y]]-Table7[[#This Row],[United States 3y]],#N/A)</f>
        <v/>
      </c>
    </row>
    <row r="12318">
      <c r="A12318" s="6">
        <f>Database!$A14403</f>
        <v/>
      </c>
      <c r="B12318">
        <f>IF(VLOOKUP(Table7[[#This Row],[Date]],Database!$A:$C,MATCH($B$1,Database!$A$1:$C$1,),)=0,#N/A,VLOOKUP(Table7[[#This Row],[Date]],Database!$A:$C,MATCH($B$1,Database!$A$1:$C$1,),))</f>
        <v/>
      </c>
      <c r="C12318">
        <f>IF(VLOOKUP(Table7[[#This Row],[Date]],Database!$A:$C,MATCH($C$1,Database!$A$1:$C$1,),)=0,#N/A,VLOOKUP(Table7[[#This Row],[Date]],Database!$A:$C,MATCH($C$1,Database!$A$1:$C$1,),))</f>
        <v/>
      </c>
      <c r="D12318">
        <f>IFERROR(Table7[[#This Row],[United States 10y]]-Table7[[#This Row],[United States 3y]],#N/A)</f>
        <v/>
      </c>
    </row>
    <row r="12319">
      <c r="A12319" s="6">
        <f>Database!$A14404</f>
        <v/>
      </c>
      <c r="B12319">
        <f>IF(VLOOKUP(Table7[[#This Row],[Date]],Database!$A:$C,MATCH($B$1,Database!$A$1:$C$1,),)=0,#N/A,VLOOKUP(Table7[[#This Row],[Date]],Database!$A:$C,MATCH($B$1,Database!$A$1:$C$1,),))</f>
        <v/>
      </c>
      <c r="C12319">
        <f>IF(VLOOKUP(Table7[[#This Row],[Date]],Database!$A:$C,MATCH($C$1,Database!$A$1:$C$1,),)=0,#N/A,VLOOKUP(Table7[[#This Row],[Date]],Database!$A:$C,MATCH($C$1,Database!$A$1:$C$1,),))</f>
        <v/>
      </c>
      <c r="D12319">
        <f>IFERROR(Table7[[#This Row],[United States 10y]]-Table7[[#This Row],[United States 3y]],#N/A)</f>
        <v/>
      </c>
    </row>
    <row r="12320">
      <c r="A12320" s="6">
        <f>Database!$A14405</f>
        <v/>
      </c>
      <c r="B12320">
        <f>IF(VLOOKUP(Table7[[#This Row],[Date]],Database!$A:$C,MATCH($B$1,Database!$A$1:$C$1,),)=0,#N/A,VLOOKUP(Table7[[#This Row],[Date]],Database!$A:$C,MATCH($B$1,Database!$A$1:$C$1,),))</f>
        <v/>
      </c>
      <c r="C12320">
        <f>IF(VLOOKUP(Table7[[#This Row],[Date]],Database!$A:$C,MATCH($C$1,Database!$A$1:$C$1,),)=0,#N/A,VLOOKUP(Table7[[#This Row],[Date]],Database!$A:$C,MATCH($C$1,Database!$A$1:$C$1,),))</f>
        <v/>
      </c>
      <c r="D12320">
        <f>IFERROR(Table7[[#This Row],[United States 10y]]-Table7[[#This Row],[United States 3y]],#N/A)</f>
        <v/>
      </c>
    </row>
    <row r="12321">
      <c r="A12321" s="6">
        <f>Database!$A14406</f>
        <v/>
      </c>
      <c r="B12321">
        <f>IF(VLOOKUP(Table7[[#This Row],[Date]],Database!$A:$C,MATCH($B$1,Database!$A$1:$C$1,),)=0,#N/A,VLOOKUP(Table7[[#This Row],[Date]],Database!$A:$C,MATCH($B$1,Database!$A$1:$C$1,),))</f>
        <v/>
      </c>
      <c r="C12321">
        <f>IF(VLOOKUP(Table7[[#This Row],[Date]],Database!$A:$C,MATCH($C$1,Database!$A$1:$C$1,),)=0,#N/A,VLOOKUP(Table7[[#This Row],[Date]],Database!$A:$C,MATCH($C$1,Database!$A$1:$C$1,),))</f>
        <v/>
      </c>
      <c r="D12321">
        <f>IFERROR(Table7[[#This Row],[United States 10y]]-Table7[[#This Row],[United States 3y]],#N/A)</f>
        <v/>
      </c>
    </row>
    <row r="12322">
      <c r="A12322" s="6">
        <f>Database!$A14407</f>
        <v/>
      </c>
      <c r="B12322">
        <f>IF(VLOOKUP(Table7[[#This Row],[Date]],Database!$A:$C,MATCH($B$1,Database!$A$1:$C$1,),)=0,#N/A,VLOOKUP(Table7[[#This Row],[Date]],Database!$A:$C,MATCH($B$1,Database!$A$1:$C$1,),))</f>
        <v/>
      </c>
      <c r="C12322">
        <f>IF(VLOOKUP(Table7[[#This Row],[Date]],Database!$A:$C,MATCH($C$1,Database!$A$1:$C$1,),)=0,#N/A,VLOOKUP(Table7[[#This Row],[Date]],Database!$A:$C,MATCH($C$1,Database!$A$1:$C$1,),))</f>
        <v/>
      </c>
      <c r="D12322">
        <f>IFERROR(Table7[[#This Row],[United States 10y]]-Table7[[#This Row],[United States 3y]],#N/A)</f>
        <v/>
      </c>
    </row>
    <row r="12323">
      <c r="A12323" s="6">
        <f>Database!$A14408</f>
        <v/>
      </c>
      <c r="B12323">
        <f>IF(VLOOKUP(Table7[[#This Row],[Date]],Database!$A:$C,MATCH($B$1,Database!$A$1:$C$1,),)=0,#N/A,VLOOKUP(Table7[[#This Row],[Date]],Database!$A:$C,MATCH($B$1,Database!$A$1:$C$1,),))</f>
        <v/>
      </c>
      <c r="C12323">
        <f>IF(VLOOKUP(Table7[[#This Row],[Date]],Database!$A:$C,MATCH($C$1,Database!$A$1:$C$1,),)=0,#N/A,VLOOKUP(Table7[[#This Row],[Date]],Database!$A:$C,MATCH($C$1,Database!$A$1:$C$1,),))</f>
        <v/>
      </c>
      <c r="D12323">
        <f>IFERROR(Table7[[#This Row],[United States 10y]]-Table7[[#This Row],[United States 3y]],#N/A)</f>
        <v/>
      </c>
    </row>
    <row r="12324">
      <c r="A12324" s="6">
        <f>Database!$A14409</f>
        <v/>
      </c>
      <c r="B12324">
        <f>IF(VLOOKUP(Table7[[#This Row],[Date]],Database!$A:$C,MATCH($B$1,Database!$A$1:$C$1,),)=0,#N/A,VLOOKUP(Table7[[#This Row],[Date]],Database!$A:$C,MATCH($B$1,Database!$A$1:$C$1,),))</f>
        <v/>
      </c>
      <c r="C12324">
        <f>IF(VLOOKUP(Table7[[#This Row],[Date]],Database!$A:$C,MATCH($C$1,Database!$A$1:$C$1,),)=0,#N/A,VLOOKUP(Table7[[#This Row],[Date]],Database!$A:$C,MATCH($C$1,Database!$A$1:$C$1,),))</f>
        <v/>
      </c>
      <c r="D12324">
        <f>IFERROR(Table7[[#This Row],[United States 10y]]-Table7[[#This Row],[United States 3y]],#N/A)</f>
        <v/>
      </c>
    </row>
    <row r="12325">
      <c r="A12325" s="6">
        <f>Database!$A14410</f>
        <v/>
      </c>
      <c r="B12325">
        <f>IF(VLOOKUP(Table7[[#This Row],[Date]],Database!$A:$C,MATCH($B$1,Database!$A$1:$C$1,),)=0,#N/A,VLOOKUP(Table7[[#This Row],[Date]],Database!$A:$C,MATCH($B$1,Database!$A$1:$C$1,),))</f>
        <v/>
      </c>
      <c r="C12325">
        <f>IF(VLOOKUP(Table7[[#This Row],[Date]],Database!$A:$C,MATCH($C$1,Database!$A$1:$C$1,),)=0,#N/A,VLOOKUP(Table7[[#This Row],[Date]],Database!$A:$C,MATCH($C$1,Database!$A$1:$C$1,),))</f>
        <v/>
      </c>
      <c r="D12325">
        <f>IFERROR(Table7[[#This Row],[United States 10y]]-Table7[[#This Row],[United States 3y]],#N/A)</f>
        <v/>
      </c>
    </row>
    <row r="12326">
      <c r="A12326" s="6">
        <f>Database!$A14411</f>
        <v/>
      </c>
      <c r="B12326">
        <f>IF(VLOOKUP(Table7[[#This Row],[Date]],Database!$A:$C,MATCH($B$1,Database!$A$1:$C$1,),)=0,#N/A,VLOOKUP(Table7[[#This Row],[Date]],Database!$A:$C,MATCH($B$1,Database!$A$1:$C$1,),))</f>
        <v/>
      </c>
      <c r="C12326">
        <f>IF(VLOOKUP(Table7[[#This Row],[Date]],Database!$A:$C,MATCH($C$1,Database!$A$1:$C$1,),)=0,#N/A,VLOOKUP(Table7[[#This Row],[Date]],Database!$A:$C,MATCH($C$1,Database!$A$1:$C$1,),))</f>
        <v/>
      </c>
      <c r="D12326">
        <f>IFERROR(Table7[[#This Row],[United States 10y]]-Table7[[#This Row],[United States 3y]],#N/A)</f>
        <v/>
      </c>
    </row>
    <row r="12327">
      <c r="A12327" s="6">
        <f>Database!$A14412</f>
        <v/>
      </c>
      <c r="B12327">
        <f>IF(VLOOKUP(Table7[[#This Row],[Date]],Database!$A:$C,MATCH($B$1,Database!$A$1:$C$1,),)=0,#N/A,VLOOKUP(Table7[[#This Row],[Date]],Database!$A:$C,MATCH($B$1,Database!$A$1:$C$1,),))</f>
        <v/>
      </c>
      <c r="C12327">
        <f>IF(VLOOKUP(Table7[[#This Row],[Date]],Database!$A:$C,MATCH($C$1,Database!$A$1:$C$1,),)=0,#N/A,VLOOKUP(Table7[[#This Row],[Date]],Database!$A:$C,MATCH($C$1,Database!$A$1:$C$1,),))</f>
        <v/>
      </c>
      <c r="D12327">
        <f>IFERROR(Table7[[#This Row],[United States 10y]]-Table7[[#This Row],[United States 3y]],#N/A)</f>
        <v/>
      </c>
    </row>
    <row r="12328">
      <c r="A12328" s="6">
        <f>Database!$A14413</f>
        <v/>
      </c>
      <c r="B12328">
        <f>IF(VLOOKUP(Table7[[#This Row],[Date]],Database!$A:$C,MATCH($B$1,Database!$A$1:$C$1,),)=0,#N/A,VLOOKUP(Table7[[#This Row],[Date]],Database!$A:$C,MATCH($B$1,Database!$A$1:$C$1,),))</f>
        <v/>
      </c>
      <c r="C12328">
        <f>IF(VLOOKUP(Table7[[#This Row],[Date]],Database!$A:$C,MATCH($C$1,Database!$A$1:$C$1,),)=0,#N/A,VLOOKUP(Table7[[#This Row],[Date]],Database!$A:$C,MATCH($C$1,Database!$A$1:$C$1,),))</f>
        <v/>
      </c>
      <c r="D12328">
        <f>IFERROR(Table7[[#This Row],[United States 10y]]-Table7[[#This Row],[United States 3y]],#N/A)</f>
        <v/>
      </c>
    </row>
    <row r="12329">
      <c r="A12329" s="6">
        <f>Database!$A14414</f>
        <v/>
      </c>
      <c r="B12329">
        <f>IF(VLOOKUP(Table7[[#This Row],[Date]],Database!$A:$C,MATCH($B$1,Database!$A$1:$C$1,),)=0,#N/A,VLOOKUP(Table7[[#This Row],[Date]],Database!$A:$C,MATCH($B$1,Database!$A$1:$C$1,),))</f>
        <v/>
      </c>
      <c r="C12329">
        <f>IF(VLOOKUP(Table7[[#This Row],[Date]],Database!$A:$C,MATCH($C$1,Database!$A$1:$C$1,),)=0,#N/A,VLOOKUP(Table7[[#This Row],[Date]],Database!$A:$C,MATCH($C$1,Database!$A$1:$C$1,),))</f>
        <v/>
      </c>
      <c r="D12329">
        <f>IFERROR(Table7[[#This Row],[United States 10y]]-Table7[[#This Row],[United States 3y]],#N/A)</f>
        <v/>
      </c>
    </row>
    <row r="12330">
      <c r="A12330" s="6">
        <f>Database!$A14415</f>
        <v/>
      </c>
      <c r="B12330">
        <f>IF(VLOOKUP(Table7[[#This Row],[Date]],Database!$A:$C,MATCH($B$1,Database!$A$1:$C$1,),)=0,#N/A,VLOOKUP(Table7[[#This Row],[Date]],Database!$A:$C,MATCH($B$1,Database!$A$1:$C$1,),))</f>
        <v/>
      </c>
      <c r="C12330">
        <f>IF(VLOOKUP(Table7[[#This Row],[Date]],Database!$A:$C,MATCH($C$1,Database!$A$1:$C$1,),)=0,#N/A,VLOOKUP(Table7[[#This Row],[Date]],Database!$A:$C,MATCH($C$1,Database!$A$1:$C$1,),))</f>
        <v/>
      </c>
      <c r="D12330">
        <f>IFERROR(Table7[[#This Row],[United States 10y]]-Table7[[#This Row],[United States 3y]],#N/A)</f>
        <v/>
      </c>
    </row>
    <row r="12331">
      <c r="A12331" s="6">
        <f>Database!$A14416</f>
        <v/>
      </c>
      <c r="B12331">
        <f>IF(VLOOKUP(Table7[[#This Row],[Date]],Database!$A:$C,MATCH($B$1,Database!$A$1:$C$1,),)=0,#N/A,VLOOKUP(Table7[[#This Row],[Date]],Database!$A:$C,MATCH($B$1,Database!$A$1:$C$1,),))</f>
        <v/>
      </c>
      <c r="C12331">
        <f>IF(VLOOKUP(Table7[[#This Row],[Date]],Database!$A:$C,MATCH($C$1,Database!$A$1:$C$1,),)=0,#N/A,VLOOKUP(Table7[[#This Row],[Date]],Database!$A:$C,MATCH($C$1,Database!$A$1:$C$1,),))</f>
        <v/>
      </c>
      <c r="D12331">
        <f>IFERROR(Table7[[#This Row],[United States 10y]]-Table7[[#This Row],[United States 3y]],#N/A)</f>
        <v/>
      </c>
    </row>
    <row r="12332">
      <c r="A12332" s="6">
        <f>Database!$A14417</f>
        <v/>
      </c>
      <c r="B12332">
        <f>IF(VLOOKUP(Table7[[#This Row],[Date]],Database!$A:$C,MATCH($B$1,Database!$A$1:$C$1,),)=0,#N/A,VLOOKUP(Table7[[#This Row],[Date]],Database!$A:$C,MATCH($B$1,Database!$A$1:$C$1,),))</f>
        <v/>
      </c>
      <c r="C12332">
        <f>IF(VLOOKUP(Table7[[#This Row],[Date]],Database!$A:$C,MATCH($C$1,Database!$A$1:$C$1,),)=0,#N/A,VLOOKUP(Table7[[#This Row],[Date]],Database!$A:$C,MATCH($C$1,Database!$A$1:$C$1,),))</f>
        <v/>
      </c>
      <c r="D12332">
        <f>IFERROR(Table7[[#This Row],[United States 10y]]-Table7[[#This Row],[United States 3y]],#N/A)</f>
        <v/>
      </c>
    </row>
    <row r="12333">
      <c r="A12333" s="6">
        <f>Database!$A14418</f>
        <v/>
      </c>
      <c r="B12333">
        <f>IF(VLOOKUP(Table7[[#This Row],[Date]],Database!$A:$C,MATCH($B$1,Database!$A$1:$C$1,),)=0,#N/A,VLOOKUP(Table7[[#This Row],[Date]],Database!$A:$C,MATCH($B$1,Database!$A$1:$C$1,),))</f>
        <v/>
      </c>
      <c r="C12333">
        <f>IF(VLOOKUP(Table7[[#This Row],[Date]],Database!$A:$C,MATCH($C$1,Database!$A$1:$C$1,),)=0,#N/A,VLOOKUP(Table7[[#This Row],[Date]],Database!$A:$C,MATCH($C$1,Database!$A$1:$C$1,),))</f>
        <v/>
      </c>
      <c r="D12333">
        <f>IFERROR(Table7[[#This Row],[United States 10y]]-Table7[[#This Row],[United States 3y]],#N/A)</f>
        <v/>
      </c>
    </row>
    <row r="12334">
      <c r="A12334" s="6">
        <f>Database!$A14419</f>
        <v/>
      </c>
      <c r="B12334">
        <f>IF(VLOOKUP(Table7[[#This Row],[Date]],Database!$A:$C,MATCH($B$1,Database!$A$1:$C$1,),)=0,#N/A,VLOOKUP(Table7[[#This Row],[Date]],Database!$A:$C,MATCH($B$1,Database!$A$1:$C$1,),))</f>
        <v/>
      </c>
      <c r="C12334">
        <f>IF(VLOOKUP(Table7[[#This Row],[Date]],Database!$A:$C,MATCH($C$1,Database!$A$1:$C$1,),)=0,#N/A,VLOOKUP(Table7[[#This Row],[Date]],Database!$A:$C,MATCH($C$1,Database!$A$1:$C$1,),))</f>
        <v/>
      </c>
      <c r="D12334">
        <f>IFERROR(Table7[[#This Row],[United States 10y]]-Table7[[#This Row],[United States 3y]],#N/A)</f>
        <v/>
      </c>
    </row>
    <row r="12335">
      <c r="A12335" s="6">
        <f>Database!$A14420</f>
        <v/>
      </c>
      <c r="B12335">
        <f>IF(VLOOKUP(Table7[[#This Row],[Date]],Database!$A:$C,MATCH($B$1,Database!$A$1:$C$1,),)=0,#N/A,VLOOKUP(Table7[[#This Row],[Date]],Database!$A:$C,MATCH($B$1,Database!$A$1:$C$1,),))</f>
        <v/>
      </c>
      <c r="C12335">
        <f>IF(VLOOKUP(Table7[[#This Row],[Date]],Database!$A:$C,MATCH($C$1,Database!$A$1:$C$1,),)=0,#N/A,VLOOKUP(Table7[[#This Row],[Date]],Database!$A:$C,MATCH($C$1,Database!$A$1:$C$1,),))</f>
        <v/>
      </c>
      <c r="D12335">
        <f>IFERROR(Table7[[#This Row],[United States 10y]]-Table7[[#This Row],[United States 3y]],#N/A)</f>
        <v/>
      </c>
    </row>
    <row r="12336">
      <c r="A12336" s="6">
        <f>Database!$A14421</f>
        <v/>
      </c>
      <c r="B12336">
        <f>IF(VLOOKUP(Table7[[#This Row],[Date]],Database!$A:$C,MATCH($B$1,Database!$A$1:$C$1,),)=0,#N/A,VLOOKUP(Table7[[#This Row],[Date]],Database!$A:$C,MATCH($B$1,Database!$A$1:$C$1,),))</f>
        <v/>
      </c>
      <c r="C12336">
        <f>IF(VLOOKUP(Table7[[#This Row],[Date]],Database!$A:$C,MATCH($C$1,Database!$A$1:$C$1,),)=0,#N/A,VLOOKUP(Table7[[#This Row],[Date]],Database!$A:$C,MATCH($C$1,Database!$A$1:$C$1,),))</f>
        <v/>
      </c>
      <c r="D12336">
        <f>IFERROR(Table7[[#This Row],[United States 10y]]-Table7[[#This Row],[United States 3y]],#N/A)</f>
        <v/>
      </c>
    </row>
    <row r="12337">
      <c r="A12337" s="6">
        <f>Database!$A14422</f>
        <v/>
      </c>
      <c r="B12337">
        <f>IF(VLOOKUP(Table7[[#This Row],[Date]],Database!$A:$C,MATCH($B$1,Database!$A$1:$C$1,),)=0,#N/A,VLOOKUP(Table7[[#This Row],[Date]],Database!$A:$C,MATCH($B$1,Database!$A$1:$C$1,),))</f>
        <v/>
      </c>
      <c r="C12337">
        <f>IF(VLOOKUP(Table7[[#This Row],[Date]],Database!$A:$C,MATCH($C$1,Database!$A$1:$C$1,),)=0,#N/A,VLOOKUP(Table7[[#This Row],[Date]],Database!$A:$C,MATCH($C$1,Database!$A$1:$C$1,),))</f>
        <v/>
      </c>
      <c r="D12337">
        <f>IFERROR(Table7[[#This Row],[United States 10y]]-Table7[[#This Row],[United States 3y]],#N/A)</f>
        <v/>
      </c>
    </row>
    <row r="12338">
      <c r="A12338" s="6">
        <f>Database!$A14423</f>
        <v/>
      </c>
      <c r="B12338">
        <f>IF(VLOOKUP(Table7[[#This Row],[Date]],Database!$A:$C,MATCH($B$1,Database!$A$1:$C$1,),)=0,#N/A,VLOOKUP(Table7[[#This Row],[Date]],Database!$A:$C,MATCH($B$1,Database!$A$1:$C$1,),))</f>
        <v/>
      </c>
      <c r="C12338">
        <f>IF(VLOOKUP(Table7[[#This Row],[Date]],Database!$A:$C,MATCH($C$1,Database!$A$1:$C$1,),)=0,#N/A,VLOOKUP(Table7[[#This Row],[Date]],Database!$A:$C,MATCH($C$1,Database!$A$1:$C$1,),))</f>
        <v/>
      </c>
      <c r="D12338">
        <f>IFERROR(Table7[[#This Row],[United States 10y]]-Table7[[#This Row],[United States 3y]],#N/A)</f>
        <v/>
      </c>
    </row>
    <row r="12339">
      <c r="A12339" s="6">
        <f>Database!$A14424</f>
        <v/>
      </c>
      <c r="B12339">
        <f>IF(VLOOKUP(Table7[[#This Row],[Date]],Database!$A:$C,MATCH($B$1,Database!$A$1:$C$1,),)=0,#N/A,VLOOKUP(Table7[[#This Row],[Date]],Database!$A:$C,MATCH($B$1,Database!$A$1:$C$1,),))</f>
        <v/>
      </c>
      <c r="C12339">
        <f>IF(VLOOKUP(Table7[[#This Row],[Date]],Database!$A:$C,MATCH($C$1,Database!$A$1:$C$1,),)=0,#N/A,VLOOKUP(Table7[[#This Row],[Date]],Database!$A:$C,MATCH($C$1,Database!$A$1:$C$1,),))</f>
        <v/>
      </c>
      <c r="D12339">
        <f>IFERROR(Table7[[#This Row],[United States 10y]]-Table7[[#This Row],[United States 3y]],#N/A)</f>
        <v/>
      </c>
    </row>
    <row r="12340">
      <c r="A12340" s="6">
        <f>Database!$A14425</f>
        <v/>
      </c>
      <c r="B12340">
        <f>IF(VLOOKUP(Table7[[#This Row],[Date]],Database!$A:$C,MATCH($B$1,Database!$A$1:$C$1,),)=0,#N/A,VLOOKUP(Table7[[#This Row],[Date]],Database!$A:$C,MATCH($B$1,Database!$A$1:$C$1,),))</f>
        <v/>
      </c>
      <c r="C12340">
        <f>IF(VLOOKUP(Table7[[#This Row],[Date]],Database!$A:$C,MATCH($C$1,Database!$A$1:$C$1,),)=0,#N/A,VLOOKUP(Table7[[#This Row],[Date]],Database!$A:$C,MATCH($C$1,Database!$A$1:$C$1,),))</f>
        <v/>
      </c>
      <c r="D12340">
        <f>IFERROR(Table7[[#This Row],[United States 10y]]-Table7[[#This Row],[United States 3y]],#N/A)</f>
        <v/>
      </c>
    </row>
    <row r="12341">
      <c r="A12341" s="6">
        <f>Database!$A14426</f>
        <v/>
      </c>
      <c r="B12341">
        <f>IF(VLOOKUP(Table7[[#This Row],[Date]],Database!$A:$C,MATCH($B$1,Database!$A$1:$C$1,),)=0,#N/A,VLOOKUP(Table7[[#This Row],[Date]],Database!$A:$C,MATCH($B$1,Database!$A$1:$C$1,),))</f>
        <v/>
      </c>
      <c r="C12341">
        <f>IF(VLOOKUP(Table7[[#This Row],[Date]],Database!$A:$C,MATCH($C$1,Database!$A$1:$C$1,),)=0,#N/A,VLOOKUP(Table7[[#This Row],[Date]],Database!$A:$C,MATCH($C$1,Database!$A$1:$C$1,),))</f>
        <v/>
      </c>
      <c r="D12341">
        <f>IFERROR(Table7[[#This Row],[United States 10y]]-Table7[[#This Row],[United States 3y]],#N/A)</f>
        <v/>
      </c>
    </row>
    <row r="12342">
      <c r="A12342" s="6">
        <f>Database!$A14427</f>
        <v/>
      </c>
      <c r="B12342">
        <f>IF(VLOOKUP(Table7[[#This Row],[Date]],Database!$A:$C,MATCH($B$1,Database!$A$1:$C$1,),)=0,#N/A,VLOOKUP(Table7[[#This Row],[Date]],Database!$A:$C,MATCH($B$1,Database!$A$1:$C$1,),))</f>
        <v/>
      </c>
      <c r="C12342">
        <f>IF(VLOOKUP(Table7[[#This Row],[Date]],Database!$A:$C,MATCH($C$1,Database!$A$1:$C$1,),)=0,#N/A,VLOOKUP(Table7[[#This Row],[Date]],Database!$A:$C,MATCH($C$1,Database!$A$1:$C$1,),))</f>
        <v/>
      </c>
      <c r="D12342">
        <f>IFERROR(Table7[[#This Row],[United States 10y]]-Table7[[#This Row],[United States 3y]],#N/A)</f>
        <v/>
      </c>
    </row>
    <row r="12343">
      <c r="A12343" s="6">
        <f>Database!$A14428</f>
        <v/>
      </c>
      <c r="B12343">
        <f>IF(VLOOKUP(Table7[[#This Row],[Date]],Database!$A:$C,MATCH($B$1,Database!$A$1:$C$1,),)=0,#N/A,VLOOKUP(Table7[[#This Row],[Date]],Database!$A:$C,MATCH($B$1,Database!$A$1:$C$1,),))</f>
        <v/>
      </c>
      <c r="C12343">
        <f>IF(VLOOKUP(Table7[[#This Row],[Date]],Database!$A:$C,MATCH($C$1,Database!$A$1:$C$1,),)=0,#N/A,VLOOKUP(Table7[[#This Row],[Date]],Database!$A:$C,MATCH($C$1,Database!$A$1:$C$1,),))</f>
        <v/>
      </c>
      <c r="D12343">
        <f>IFERROR(Table7[[#This Row],[United States 10y]]-Table7[[#This Row],[United States 3y]],#N/A)</f>
        <v/>
      </c>
    </row>
    <row r="12344">
      <c r="A12344" s="6">
        <f>Database!$A14429</f>
        <v/>
      </c>
      <c r="B12344">
        <f>IF(VLOOKUP(Table7[[#This Row],[Date]],Database!$A:$C,MATCH($B$1,Database!$A$1:$C$1,),)=0,#N/A,VLOOKUP(Table7[[#This Row],[Date]],Database!$A:$C,MATCH($B$1,Database!$A$1:$C$1,),))</f>
        <v/>
      </c>
      <c r="C12344">
        <f>IF(VLOOKUP(Table7[[#This Row],[Date]],Database!$A:$C,MATCH($C$1,Database!$A$1:$C$1,),)=0,#N/A,VLOOKUP(Table7[[#This Row],[Date]],Database!$A:$C,MATCH($C$1,Database!$A$1:$C$1,),))</f>
        <v/>
      </c>
      <c r="D12344">
        <f>IFERROR(Table7[[#This Row],[United States 10y]]-Table7[[#This Row],[United States 3y]],#N/A)</f>
        <v/>
      </c>
    </row>
    <row r="12345">
      <c r="A12345" s="6">
        <f>Database!$A14430</f>
        <v/>
      </c>
      <c r="B12345">
        <f>IF(VLOOKUP(Table7[[#This Row],[Date]],Database!$A:$C,MATCH($B$1,Database!$A$1:$C$1,),)=0,#N/A,VLOOKUP(Table7[[#This Row],[Date]],Database!$A:$C,MATCH($B$1,Database!$A$1:$C$1,),))</f>
        <v/>
      </c>
      <c r="C12345">
        <f>IF(VLOOKUP(Table7[[#This Row],[Date]],Database!$A:$C,MATCH($C$1,Database!$A$1:$C$1,),)=0,#N/A,VLOOKUP(Table7[[#This Row],[Date]],Database!$A:$C,MATCH($C$1,Database!$A$1:$C$1,),))</f>
        <v/>
      </c>
      <c r="D12345">
        <f>IFERROR(Table7[[#This Row],[United States 10y]]-Table7[[#This Row],[United States 3y]],#N/A)</f>
        <v/>
      </c>
    </row>
    <row r="12346">
      <c r="A12346" s="6">
        <f>Database!$A14431</f>
        <v/>
      </c>
      <c r="B12346">
        <f>IF(VLOOKUP(Table7[[#This Row],[Date]],Database!$A:$C,MATCH($B$1,Database!$A$1:$C$1,),)=0,#N/A,VLOOKUP(Table7[[#This Row],[Date]],Database!$A:$C,MATCH($B$1,Database!$A$1:$C$1,),))</f>
        <v/>
      </c>
      <c r="C12346">
        <f>IF(VLOOKUP(Table7[[#This Row],[Date]],Database!$A:$C,MATCH($C$1,Database!$A$1:$C$1,),)=0,#N/A,VLOOKUP(Table7[[#This Row],[Date]],Database!$A:$C,MATCH($C$1,Database!$A$1:$C$1,),))</f>
        <v/>
      </c>
      <c r="D12346">
        <f>IFERROR(Table7[[#This Row],[United States 10y]]-Table7[[#This Row],[United States 3y]],#N/A)</f>
        <v/>
      </c>
    </row>
    <row r="12347">
      <c r="A12347" s="6">
        <f>Database!$A14432</f>
        <v/>
      </c>
      <c r="B12347">
        <f>IF(VLOOKUP(Table7[[#This Row],[Date]],Database!$A:$C,MATCH($B$1,Database!$A$1:$C$1,),)=0,#N/A,VLOOKUP(Table7[[#This Row],[Date]],Database!$A:$C,MATCH($B$1,Database!$A$1:$C$1,),))</f>
        <v/>
      </c>
      <c r="C12347">
        <f>IF(VLOOKUP(Table7[[#This Row],[Date]],Database!$A:$C,MATCH($C$1,Database!$A$1:$C$1,),)=0,#N/A,VLOOKUP(Table7[[#This Row],[Date]],Database!$A:$C,MATCH($C$1,Database!$A$1:$C$1,),))</f>
        <v/>
      </c>
      <c r="D12347">
        <f>IFERROR(Table7[[#This Row],[United States 10y]]-Table7[[#This Row],[United States 3y]],#N/A)</f>
        <v/>
      </c>
    </row>
    <row r="12348">
      <c r="A12348" s="6">
        <f>Database!$A14433</f>
        <v/>
      </c>
      <c r="B12348">
        <f>IF(VLOOKUP(Table7[[#This Row],[Date]],Database!$A:$C,MATCH($B$1,Database!$A$1:$C$1,),)=0,#N/A,VLOOKUP(Table7[[#This Row],[Date]],Database!$A:$C,MATCH($B$1,Database!$A$1:$C$1,),))</f>
        <v/>
      </c>
      <c r="C12348">
        <f>IF(VLOOKUP(Table7[[#This Row],[Date]],Database!$A:$C,MATCH($C$1,Database!$A$1:$C$1,),)=0,#N/A,VLOOKUP(Table7[[#This Row],[Date]],Database!$A:$C,MATCH($C$1,Database!$A$1:$C$1,),))</f>
        <v/>
      </c>
      <c r="D12348">
        <f>IFERROR(Table7[[#This Row],[United States 10y]]-Table7[[#This Row],[United States 3y]],#N/A)</f>
        <v/>
      </c>
    </row>
    <row r="12349">
      <c r="A12349" s="6">
        <f>Database!$A14434</f>
        <v/>
      </c>
      <c r="B12349">
        <f>IF(VLOOKUP(Table7[[#This Row],[Date]],Database!$A:$C,MATCH($B$1,Database!$A$1:$C$1,),)=0,#N/A,VLOOKUP(Table7[[#This Row],[Date]],Database!$A:$C,MATCH($B$1,Database!$A$1:$C$1,),))</f>
        <v/>
      </c>
      <c r="C12349">
        <f>IF(VLOOKUP(Table7[[#This Row],[Date]],Database!$A:$C,MATCH($C$1,Database!$A$1:$C$1,),)=0,#N/A,VLOOKUP(Table7[[#This Row],[Date]],Database!$A:$C,MATCH($C$1,Database!$A$1:$C$1,),))</f>
        <v/>
      </c>
      <c r="D12349">
        <f>IFERROR(Table7[[#This Row],[United States 10y]]-Table7[[#This Row],[United States 3y]],#N/A)</f>
        <v/>
      </c>
    </row>
    <row r="12350">
      <c r="A12350" s="6">
        <f>Database!$A14435</f>
        <v/>
      </c>
      <c r="B12350">
        <f>IF(VLOOKUP(Table7[[#This Row],[Date]],Database!$A:$C,MATCH($B$1,Database!$A$1:$C$1,),)=0,#N/A,VLOOKUP(Table7[[#This Row],[Date]],Database!$A:$C,MATCH($B$1,Database!$A$1:$C$1,),))</f>
        <v/>
      </c>
      <c r="C12350">
        <f>IF(VLOOKUP(Table7[[#This Row],[Date]],Database!$A:$C,MATCH($C$1,Database!$A$1:$C$1,),)=0,#N/A,VLOOKUP(Table7[[#This Row],[Date]],Database!$A:$C,MATCH($C$1,Database!$A$1:$C$1,),))</f>
        <v/>
      </c>
      <c r="D12350">
        <f>IFERROR(Table7[[#This Row],[United States 10y]]-Table7[[#This Row],[United States 3y]],#N/A)</f>
        <v/>
      </c>
    </row>
    <row r="12351">
      <c r="A12351" s="6">
        <f>Database!$A14436</f>
        <v/>
      </c>
      <c r="B12351">
        <f>IF(VLOOKUP(Table7[[#This Row],[Date]],Database!$A:$C,MATCH($B$1,Database!$A$1:$C$1,),)=0,#N/A,VLOOKUP(Table7[[#This Row],[Date]],Database!$A:$C,MATCH($B$1,Database!$A$1:$C$1,),))</f>
        <v/>
      </c>
      <c r="C12351">
        <f>IF(VLOOKUP(Table7[[#This Row],[Date]],Database!$A:$C,MATCH($C$1,Database!$A$1:$C$1,),)=0,#N/A,VLOOKUP(Table7[[#This Row],[Date]],Database!$A:$C,MATCH($C$1,Database!$A$1:$C$1,),))</f>
        <v/>
      </c>
      <c r="D12351">
        <f>IFERROR(Table7[[#This Row],[United States 10y]]-Table7[[#This Row],[United States 3y]],#N/A)</f>
        <v/>
      </c>
    </row>
    <row r="12352">
      <c r="A12352" s="6">
        <f>Database!$A14437</f>
        <v/>
      </c>
      <c r="B12352">
        <f>IF(VLOOKUP(Table7[[#This Row],[Date]],Database!$A:$C,MATCH($B$1,Database!$A$1:$C$1,),)=0,#N/A,VLOOKUP(Table7[[#This Row],[Date]],Database!$A:$C,MATCH($B$1,Database!$A$1:$C$1,),))</f>
        <v/>
      </c>
      <c r="C12352">
        <f>IF(VLOOKUP(Table7[[#This Row],[Date]],Database!$A:$C,MATCH($C$1,Database!$A$1:$C$1,),)=0,#N/A,VLOOKUP(Table7[[#This Row],[Date]],Database!$A:$C,MATCH($C$1,Database!$A$1:$C$1,),))</f>
        <v/>
      </c>
      <c r="D12352">
        <f>IFERROR(Table7[[#This Row],[United States 10y]]-Table7[[#This Row],[United States 3y]],#N/A)</f>
        <v/>
      </c>
    </row>
    <row r="12353">
      <c r="A12353" s="6">
        <f>Database!$A14438</f>
        <v/>
      </c>
      <c r="B12353">
        <f>IF(VLOOKUP(Table7[[#This Row],[Date]],Database!$A:$C,MATCH($B$1,Database!$A$1:$C$1,),)=0,#N/A,VLOOKUP(Table7[[#This Row],[Date]],Database!$A:$C,MATCH($B$1,Database!$A$1:$C$1,),))</f>
        <v/>
      </c>
      <c r="C12353">
        <f>IF(VLOOKUP(Table7[[#This Row],[Date]],Database!$A:$C,MATCH($C$1,Database!$A$1:$C$1,),)=0,#N/A,VLOOKUP(Table7[[#This Row],[Date]],Database!$A:$C,MATCH($C$1,Database!$A$1:$C$1,),))</f>
        <v/>
      </c>
      <c r="D12353">
        <f>IFERROR(Table7[[#This Row],[United States 10y]]-Table7[[#This Row],[United States 3y]],#N/A)</f>
        <v/>
      </c>
    </row>
    <row r="12354">
      <c r="A12354" s="6">
        <f>Database!$A14439</f>
        <v/>
      </c>
      <c r="B12354">
        <f>IF(VLOOKUP(Table7[[#This Row],[Date]],Database!$A:$C,MATCH($B$1,Database!$A$1:$C$1,),)=0,#N/A,VLOOKUP(Table7[[#This Row],[Date]],Database!$A:$C,MATCH($B$1,Database!$A$1:$C$1,),))</f>
        <v/>
      </c>
      <c r="C12354">
        <f>IF(VLOOKUP(Table7[[#This Row],[Date]],Database!$A:$C,MATCH($C$1,Database!$A$1:$C$1,),)=0,#N/A,VLOOKUP(Table7[[#This Row],[Date]],Database!$A:$C,MATCH($C$1,Database!$A$1:$C$1,),))</f>
        <v/>
      </c>
      <c r="D12354">
        <f>IFERROR(Table7[[#This Row],[United States 10y]]-Table7[[#This Row],[United States 3y]],#N/A)</f>
        <v/>
      </c>
    </row>
    <row r="12355">
      <c r="A12355" s="6">
        <f>Database!$A14440</f>
        <v/>
      </c>
      <c r="B12355">
        <f>IF(VLOOKUP(Table7[[#This Row],[Date]],Database!$A:$C,MATCH($B$1,Database!$A$1:$C$1,),)=0,#N/A,VLOOKUP(Table7[[#This Row],[Date]],Database!$A:$C,MATCH($B$1,Database!$A$1:$C$1,),))</f>
        <v/>
      </c>
      <c r="C12355">
        <f>IF(VLOOKUP(Table7[[#This Row],[Date]],Database!$A:$C,MATCH($C$1,Database!$A$1:$C$1,),)=0,#N/A,VLOOKUP(Table7[[#This Row],[Date]],Database!$A:$C,MATCH($C$1,Database!$A$1:$C$1,),))</f>
        <v/>
      </c>
      <c r="D12355">
        <f>IFERROR(Table7[[#This Row],[United States 10y]]-Table7[[#This Row],[United States 3y]],#N/A)</f>
        <v/>
      </c>
    </row>
    <row r="12356">
      <c r="A12356" s="6">
        <f>Database!$A14441</f>
        <v/>
      </c>
      <c r="B12356">
        <f>IF(VLOOKUP(Table7[[#This Row],[Date]],Database!$A:$C,MATCH($B$1,Database!$A$1:$C$1,),)=0,#N/A,VLOOKUP(Table7[[#This Row],[Date]],Database!$A:$C,MATCH($B$1,Database!$A$1:$C$1,),))</f>
        <v/>
      </c>
      <c r="C12356">
        <f>IF(VLOOKUP(Table7[[#This Row],[Date]],Database!$A:$C,MATCH($C$1,Database!$A$1:$C$1,),)=0,#N/A,VLOOKUP(Table7[[#This Row],[Date]],Database!$A:$C,MATCH($C$1,Database!$A$1:$C$1,),))</f>
        <v/>
      </c>
      <c r="D12356">
        <f>IFERROR(Table7[[#This Row],[United States 10y]]-Table7[[#This Row],[United States 3y]],#N/A)</f>
        <v/>
      </c>
    </row>
    <row r="12357">
      <c r="A12357" s="6">
        <f>Database!$A14442</f>
        <v/>
      </c>
      <c r="B12357">
        <f>IF(VLOOKUP(Table7[[#This Row],[Date]],Database!$A:$C,MATCH($B$1,Database!$A$1:$C$1,),)=0,#N/A,VLOOKUP(Table7[[#This Row],[Date]],Database!$A:$C,MATCH($B$1,Database!$A$1:$C$1,),))</f>
        <v/>
      </c>
      <c r="C12357">
        <f>IF(VLOOKUP(Table7[[#This Row],[Date]],Database!$A:$C,MATCH($C$1,Database!$A$1:$C$1,),)=0,#N/A,VLOOKUP(Table7[[#This Row],[Date]],Database!$A:$C,MATCH($C$1,Database!$A$1:$C$1,),))</f>
        <v/>
      </c>
      <c r="D12357">
        <f>IFERROR(Table7[[#This Row],[United States 10y]]-Table7[[#This Row],[United States 3y]],#N/A)</f>
        <v/>
      </c>
    </row>
    <row r="12358">
      <c r="A12358" s="6">
        <f>Database!$A14443</f>
        <v/>
      </c>
      <c r="B12358">
        <f>IF(VLOOKUP(Table7[[#This Row],[Date]],Database!$A:$C,MATCH($B$1,Database!$A$1:$C$1,),)=0,#N/A,VLOOKUP(Table7[[#This Row],[Date]],Database!$A:$C,MATCH($B$1,Database!$A$1:$C$1,),))</f>
        <v/>
      </c>
      <c r="C12358">
        <f>IF(VLOOKUP(Table7[[#This Row],[Date]],Database!$A:$C,MATCH($C$1,Database!$A$1:$C$1,),)=0,#N/A,VLOOKUP(Table7[[#This Row],[Date]],Database!$A:$C,MATCH($C$1,Database!$A$1:$C$1,),))</f>
        <v/>
      </c>
      <c r="D12358">
        <f>IFERROR(Table7[[#This Row],[United States 10y]]-Table7[[#This Row],[United States 3y]],#N/A)</f>
        <v/>
      </c>
    </row>
    <row r="12359">
      <c r="A12359" s="6">
        <f>Database!$A14444</f>
        <v/>
      </c>
      <c r="B12359">
        <f>IF(VLOOKUP(Table7[[#This Row],[Date]],Database!$A:$C,MATCH($B$1,Database!$A$1:$C$1,),)=0,#N/A,VLOOKUP(Table7[[#This Row],[Date]],Database!$A:$C,MATCH($B$1,Database!$A$1:$C$1,),))</f>
        <v/>
      </c>
      <c r="C12359">
        <f>IF(VLOOKUP(Table7[[#This Row],[Date]],Database!$A:$C,MATCH($C$1,Database!$A$1:$C$1,),)=0,#N/A,VLOOKUP(Table7[[#This Row],[Date]],Database!$A:$C,MATCH($C$1,Database!$A$1:$C$1,),))</f>
        <v/>
      </c>
      <c r="D12359">
        <f>IFERROR(Table7[[#This Row],[United States 10y]]-Table7[[#This Row],[United States 3y]],#N/A)</f>
        <v/>
      </c>
    </row>
    <row r="12360">
      <c r="A12360" s="6">
        <f>Database!$A14445</f>
        <v/>
      </c>
      <c r="B12360">
        <f>IF(VLOOKUP(Table7[[#This Row],[Date]],Database!$A:$C,MATCH($B$1,Database!$A$1:$C$1,),)=0,#N/A,VLOOKUP(Table7[[#This Row],[Date]],Database!$A:$C,MATCH($B$1,Database!$A$1:$C$1,),))</f>
        <v/>
      </c>
      <c r="C12360">
        <f>IF(VLOOKUP(Table7[[#This Row],[Date]],Database!$A:$C,MATCH($C$1,Database!$A$1:$C$1,),)=0,#N/A,VLOOKUP(Table7[[#This Row],[Date]],Database!$A:$C,MATCH($C$1,Database!$A$1:$C$1,),))</f>
        <v/>
      </c>
      <c r="D12360">
        <f>IFERROR(Table7[[#This Row],[United States 10y]]-Table7[[#This Row],[United States 3y]],#N/A)</f>
        <v/>
      </c>
    </row>
    <row r="12361">
      <c r="A12361" s="6">
        <f>Database!$A14446</f>
        <v/>
      </c>
      <c r="B12361">
        <f>IF(VLOOKUP(Table7[[#This Row],[Date]],Database!$A:$C,MATCH($B$1,Database!$A$1:$C$1,),)=0,#N/A,VLOOKUP(Table7[[#This Row],[Date]],Database!$A:$C,MATCH($B$1,Database!$A$1:$C$1,),))</f>
        <v/>
      </c>
      <c r="C12361">
        <f>IF(VLOOKUP(Table7[[#This Row],[Date]],Database!$A:$C,MATCH($C$1,Database!$A$1:$C$1,),)=0,#N/A,VLOOKUP(Table7[[#This Row],[Date]],Database!$A:$C,MATCH($C$1,Database!$A$1:$C$1,),))</f>
        <v/>
      </c>
      <c r="D12361">
        <f>IFERROR(Table7[[#This Row],[United States 10y]]-Table7[[#This Row],[United States 3y]],#N/A)</f>
        <v/>
      </c>
    </row>
    <row r="12362">
      <c r="A12362" s="6">
        <f>Database!$A14447</f>
        <v/>
      </c>
      <c r="B12362">
        <f>IF(VLOOKUP(Table7[[#This Row],[Date]],Database!$A:$C,MATCH($B$1,Database!$A$1:$C$1,),)=0,#N/A,VLOOKUP(Table7[[#This Row],[Date]],Database!$A:$C,MATCH($B$1,Database!$A$1:$C$1,),))</f>
        <v/>
      </c>
      <c r="C12362">
        <f>IF(VLOOKUP(Table7[[#This Row],[Date]],Database!$A:$C,MATCH($C$1,Database!$A$1:$C$1,),)=0,#N/A,VLOOKUP(Table7[[#This Row],[Date]],Database!$A:$C,MATCH($C$1,Database!$A$1:$C$1,),))</f>
        <v/>
      </c>
      <c r="D12362">
        <f>IFERROR(Table7[[#This Row],[United States 10y]]-Table7[[#This Row],[United States 3y]],#N/A)</f>
        <v/>
      </c>
    </row>
    <row r="12363">
      <c r="A12363" s="6">
        <f>Database!$A14448</f>
        <v/>
      </c>
      <c r="B12363">
        <f>IF(VLOOKUP(Table7[[#This Row],[Date]],Database!$A:$C,MATCH($B$1,Database!$A$1:$C$1,),)=0,#N/A,VLOOKUP(Table7[[#This Row],[Date]],Database!$A:$C,MATCH($B$1,Database!$A$1:$C$1,),))</f>
        <v/>
      </c>
      <c r="C12363">
        <f>IF(VLOOKUP(Table7[[#This Row],[Date]],Database!$A:$C,MATCH($C$1,Database!$A$1:$C$1,),)=0,#N/A,VLOOKUP(Table7[[#This Row],[Date]],Database!$A:$C,MATCH($C$1,Database!$A$1:$C$1,),))</f>
        <v/>
      </c>
      <c r="D12363">
        <f>IFERROR(Table7[[#This Row],[United States 10y]]-Table7[[#This Row],[United States 3y]],#N/A)</f>
        <v/>
      </c>
    </row>
    <row r="12364">
      <c r="A12364" s="6">
        <f>Database!$A14449</f>
        <v/>
      </c>
      <c r="B12364">
        <f>IF(VLOOKUP(Table7[[#This Row],[Date]],Database!$A:$C,MATCH($B$1,Database!$A$1:$C$1,),)=0,#N/A,VLOOKUP(Table7[[#This Row],[Date]],Database!$A:$C,MATCH($B$1,Database!$A$1:$C$1,),))</f>
        <v/>
      </c>
      <c r="C12364">
        <f>IF(VLOOKUP(Table7[[#This Row],[Date]],Database!$A:$C,MATCH($C$1,Database!$A$1:$C$1,),)=0,#N/A,VLOOKUP(Table7[[#This Row],[Date]],Database!$A:$C,MATCH($C$1,Database!$A$1:$C$1,),))</f>
        <v/>
      </c>
      <c r="D12364">
        <f>IFERROR(Table7[[#This Row],[United States 10y]]-Table7[[#This Row],[United States 3y]],#N/A)</f>
        <v/>
      </c>
    </row>
    <row r="12365">
      <c r="A12365" s="6">
        <f>Database!$A14450</f>
        <v/>
      </c>
      <c r="B12365">
        <f>IF(VLOOKUP(Table7[[#This Row],[Date]],Database!$A:$C,MATCH($B$1,Database!$A$1:$C$1,),)=0,#N/A,VLOOKUP(Table7[[#This Row],[Date]],Database!$A:$C,MATCH($B$1,Database!$A$1:$C$1,),))</f>
        <v/>
      </c>
      <c r="C12365">
        <f>IF(VLOOKUP(Table7[[#This Row],[Date]],Database!$A:$C,MATCH($C$1,Database!$A$1:$C$1,),)=0,#N/A,VLOOKUP(Table7[[#This Row],[Date]],Database!$A:$C,MATCH($C$1,Database!$A$1:$C$1,),))</f>
        <v/>
      </c>
      <c r="D12365">
        <f>IFERROR(Table7[[#This Row],[United States 10y]]-Table7[[#This Row],[United States 3y]],#N/A)</f>
        <v/>
      </c>
    </row>
    <row r="12366">
      <c r="A12366" s="6">
        <f>Database!$A14451</f>
        <v/>
      </c>
      <c r="B12366">
        <f>IF(VLOOKUP(Table7[[#This Row],[Date]],Database!$A:$C,MATCH($B$1,Database!$A$1:$C$1,),)=0,#N/A,VLOOKUP(Table7[[#This Row],[Date]],Database!$A:$C,MATCH($B$1,Database!$A$1:$C$1,),))</f>
        <v/>
      </c>
      <c r="C12366">
        <f>IF(VLOOKUP(Table7[[#This Row],[Date]],Database!$A:$C,MATCH($C$1,Database!$A$1:$C$1,),)=0,#N/A,VLOOKUP(Table7[[#This Row],[Date]],Database!$A:$C,MATCH($C$1,Database!$A$1:$C$1,),))</f>
        <v/>
      </c>
      <c r="D12366">
        <f>IFERROR(Table7[[#This Row],[United States 10y]]-Table7[[#This Row],[United States 3y]],#N/A)</f>
        <v/>
      </c>
    </row>
    <row r="12367">
      <c r="A12367" s="6">
        <f>Database!$A14452</f>
        <v/>
      </c>
      <c r="B12367">
        <f>IF(VLOOKUP(Table7[[#This Row],[Date]],Database!$A:$C,MATCH($B$1,Database!$A$1:$C$1,),)=0,#N/A,VLOOKUP(Table7[[#This Row],[Date]],Database!$A:$C,MATCH($B$1,Database!$A$1:$C$1,),))</f>
        <v/>
      </c>
      <c r="C12367">
        <f>IF(VLOOKUP(Table7[[#This Row],[Date]],Database!$A:$C,MATCH($C$1,Database!$A$1:$C$1,),)=0,#N/A,VLOOKUP(Table7[[#This Row],[Date]],Database!$A:$C,MATCH($C$1,Database!$A$1:$C$1,),))</f>
        <v/>
      </c>
      <c r="D12367">
        <f>IFERROR(Table7[[#This Row],[United States 10y]]-Table7[[#This Row],[United States 3y]],#N/A)</f>
        <v/>
      </c>
    </row>
    <row r="12368">
      <c r="A12368" s="6">
        <f>Database!$A14453</f>
        <v/>
      </c>
      <c r="B12368">
        <f>IF(VLOOKUP(Table7[[#This Row],[Date]],Database!$A:$C,MATCH($B$1,Database!$A$1:$C$1,),)=0,#N/A,VLOOKUP(Table7[[#This Row],[Date]],Database!$A:$C,MATCH($B$1,Database!$A$1:$C$1,),))</f>
        <v/>
      </c>
      <c r="C12368">
        <f>IF(VLOOKUP(Table7[[#This Row],[Date]],Database!$A:$C,MATCH($C$1,Database!$A$1:$C$1,),)=0,#N/A,VLOOKUP(Table7[[#This Row],[Date]],Database!$A:$C,MATCH($C$1,Database!$A$1:$C$1,),))</f>
        <v/>
      </c>
      <c r="D12368">
        <f>IFERROR(Table7[[#This Row],[United States 10y]]-Table7[[#This Row],[United States 3y]],#N/A)</f>
        <v/>
      </c>
    </row>
    <row r="12369">
      <c r="A12369" s="6">
        <f>Database!$A14454</f>
        <v/>
      </c>
      <c r="B12369">
        <f>IF(VLOOKUP(Table7[[#This Row],[Date]],Database!$A:$C,MATCH($B$1,Database!$A$1:$C$1,),)=0,#N/A,VLOOKUP(Table7[[#This Row],[Date]],Database!$A:$C,MATCH($B$1,Database!$A$1:$C$1,),))</f>
        <v/>
      </c>
      <c r="C12369">
        <f>IF(VLOOKUP(Table7[[#This Row],[Date]],Database!$A:$C,MATCH($C$1,Database!$A$1:$C$1,),)=0,#N/A,VLOOKUP(Table7[[#This Row],[Date]],Database!$A:$C,MATCH($C$1,Database!$A$1:$C$1,),))</f>
        <v/>
      </c>
      <c r="D12369">
        <f>IFERROR(Table7[[#This Row],[United States 10y]]-Table7[[#This Row],[United States 3y]],#N/A)</f>
        <v/>
      </c>
    </row>
    <row r="12370">
      <c r="A12370" s="6">
        <f>Database!$A14455</f>
        <v/>
      </c>
      <c r="B12370">
        <f>IF(VLOOKUP(Table7[[#This Row],[Date]],Database!$A:$C,MATCH($B$1,Database!$A$1:$C$1,),)=0,#N/A,VLOOKUP(Table7[[#This Row],[Date]],Database!$A:$C,MATCH($B$1,Database!$A$1:$C$1,),))</f>
        <v/>
      </c>
      <c r="C12370">
        <f>IF(VLOOKUP(Table7[[#This Row],[Date]],Database!$A:$C,MATCH($C$1,Database!$A$1:$C$1,),)=0,#N/A,VLOOKUP(Table7[[#This Row],[Date]],Database!$A:$C,MATCH($C$1,Database!$A$1:$C$1,),))</f>
        <v/>
      </c>
      <c r="D12370">
        <f>IFERROR(Table7[[#This Row],[United States 10y]]-Table7[[#This Row],[United States 3y]],#N/A)</f>
        <v/>
      </c>
    </row>
    <row r="12371">
      <c r="A12371" s="6">
        <f>Database!$A14456</f>
        <v/>
      </c>
      <c r="B12371">
        <f>IF(VLOOKUP(Table7[[#This Row],[Date]],Database!$A:$C,MATCH($B$1,Database!$A$1:$C$1,),)=0,#N/A,VLOOKUP(Table7[[#This Row],[Date]],Database!$A:$C,MATCH($B$1,Database!$A$1:$C$1,),))</f>
        <v/>
      </c>
      <c r="C12371">
        <f>IF(VLOOKUP(Table7[[#This Row],[Date]],Database!$A:$C,MATCH($C$1,Database!$A$1:$C$1,),)=0,#N/A,VLOOKUP(Table7[[#This Row],[Date]],Database!$A:$C,MATCH($C$1,Database!$A$1:$C$1,),))</f>
        <v/>
      </c>
      <c r="D12371">
        <f>IFERROR(Table7[[#This Row],[United States 10y]]-Table7[[#This Row],[United States 3y]],#N/A)</f>
        <v/>
      </c>
    </row>
    <row r="12372">
      <c r="A12372" s="6">
        <f>Database!$A14457</f>
        <v/>
      </c>
      <c r="B12372">
        <f>IF(VLOOKUP(Table7[[#This Row],[Date]],Database!$A:$C,MATCH($B$1,Database!$A$1:$C$1,),)=0,#N/A,VLOOKUP(Table7[[#This Row],[Date]],Database!$A:$C,MATCH($B$1,Database!$A$1:$C$1,),))</f>
        <v/>
      </c>
      <c r="C12372">
        <f>IF(VLOOKUP(Table7[[#This Row],[Date]],Database!$A:$C,MATCH($C$1,Database!$A$1:$C$1,),)=0,#N/A,VLOOKUP(Table7[[#This Row],[Date]],Database!$A:$C,MATCH($C$1,Database!$A$1:$C$1,),))</f>
        <v/>
      </c>
      <c r="D12372">
        <f>IFERROR(Table7[[#This Row],[United States 10y]]-Table7[[#This Row],[United States 3y]],#N/A)</f>
        <v/>
      </c>
    </row>
    <row r="12373">
      <c r="A12373" s="6">
        <f>Database!$A14458</f>
        <v/>
      </c>
      <c r="B12373">
        <f>IF(VLOOKUP(Table7[[#This Row],[Date]],Database!$A:$C,MATCH($B$1,Database!$A$1:$C$1,),)=0,#N/A,VLOOKUP(Table7[[#This Row],[Date]],Database!$A:$C,MATCH($B$1,Database!$A$1:$C$1,),))</f>
        <v/>
      </c>
      <c r="C12373">
        <f>IF(VLOOKUP(Table7[[#This Row],[Date]],Database!$A:$C,MATCH($C$1,Database!$A$1:$C$1,),)=0,#N/A,VLOOKUP(Table7[[#This Row],[Date]],Database!$A:$C,MATCH($C$1,Database!$A$1:$C$1,),))</f>
        <v/>
      </c>
      <c r="D12373">
        <f>IFERROR(Table7[[#This Row],[United States 10y]]-Table7[[#This Row],[United States 3y]],#N/A)</f>
        <v/>
      </c>
    </row>
    <row r="12374">
      <c r="A12374" s="6">
        <f>Database!$A14459</f>
        <v/>
      </c>
      <c r="B12374">
        <f>IF(VLOOKUP(Table7[[#This Row],[Date]],Database!$A:$C,MATCH($B$1,Database!$A$1:$C$1,),)=0,#N/A,VLOOKUP(Table7[[#This Row],[Date]],Database!$A:$C,MATCH($B$1,Database!$A$1:$C$1,),))</f>
        <v/>
      </c>
      <c r="C12374">
        <f>IF(VLOOKUP(Table7[[#This Row],[Date]],Database!$A:$C,MATCH($C$1,Database!$A$1:$C$1,),)=0,#N/A,VLOOKUP(Table7[[#This Row],[Date]],Database!$A:$C,MATCH($C$1,Database!$A$1:$C$1,),))</f>
        <v/>
      </c>
      <c r="D12374">
        <f>IFERROR(Table7[[#This Row],[United States 10y]]-Table7[[#This Row],[United States 3y]],#N/A)</f>
        <v/>
      </c>
    </row>
    <row r="12375">
      <c r="A12375" s="6">
        <f>Database!$A14460</f>
        <v/>
      </c>
      <c r="B12375">
        <f>IF(VLOOKUP(Table7[[#This Row],[Date]],Database!$A:$C,MATCH($B$1,Database!$A$1:$C$1,),)=0,#N/A,VLOOKUP(Table7[[#This Row],[Date]],Database!$A:$C,MATCH($B$1,Database!$A$1:$C$1,),))</f>
        <v/>
      </c>
      <c r="C12375">
        <f>IF(VLOOKUP(Table7[[#This Row],[Date]],Database!$A:$C,MATCH($C$1,Database!$A$1:$C$1,),)=0,#N/A,VLOOKUP(Table7[[#This Row],[Date]],Database!$A:$C,MATCH($C$1,Database!$A$1:$C$1,),))</f>
        <v/>
      </c>
      <c r="D12375">
        <f>IFERROR(Table7[[#This Row],[United States 10y]]-Table7[[#This Row],[United States 3y]],#N/A)</f>
        <v/>
      </c>
    </row>
    <row r="12376">
      <c r="A12376" s="6">
        <f>Database!$A14461</f>
        <v/>
      </c>
      <c r="B12376">
        <f>IF(VLOOKUP(Table7[[#This Row],[Date]],Database!$A:$C,MATCH($B$1,Database!$A$1:$C$1,),)=0,#N/A,VLOOKUP(Table7[[#This Row],[Date]],Database!$A:$C,MATCH($B$1,Database!$A$1:$C$1,),))</f>
        <v/>
      </c>
      <c r="C12376">
        <f>IF(VLOOKUP(Table7[[#This Row],[Date]],Database!$A:$C,MATCH($C$1,Database!$A$1:$C$1,),)=0,#N/A,VLOOKUP(Table7[[#This Row],[Date]],Database!$A:$C,MATCH($C$1,Database!$A$1:$C$1,),))</f>
        <v/>
      </c>
      <c r="D12376">
        <f>IFERROR(Table7[[#This Row],[United States 10y]]-Table7[[#This Row],[United States 3y]],#N/A)</f>
        <v/>
      </c>
    </row>
    <row r="12377">
      <c r="A12377" s="6">
        <f>Database!$A14462</f>
        <v/>
      </c>
      <c r="B12377">
        <f>IF(VLOOKUP(Table7[[#This Row],[Date]],Database!$A:$C,MATCH($B$1,Database!$A$1:$C$1,),)=0,#N/A,VLOOKUP(Table7[[#This Row],[Date]],Database!$A:$C,MATCH($B$1,Database!$A$1:$C$1,),))</f>
        <v/>
      </c>
      <c r="C12377">
        <f>IF(VLOOKUP(Table7[[#This Row],[Date]],Database!$A:$C,MATCH($C$1,Database!$A$1:$C$1,),)=0,#N/A,VLOOKUP(Table7[[#This Row],[Date]],Database!$A:$C,MATCH($C$1,Database!$A$1:$C$1,),))</f>
        <v/>
      </c>
      <c r="D12377">
        <f>IFERROR(Table7[[#This Row],[United States 10y]]-Table7[[#This Row],[United States 3y]],#N/A)</f>
        <v/>
      </c>
    </row>
    <row r="12378">
      <c r="A12378" s="6">
        <f>Database!$A14463</f>
        <v/>
      </c>
      <c r="B12378">
        <f>IF(VLOOKUP(Table7[[#This Row],[Date]],Database!$A:$C,MATCH($B$1,Database!$A$1:$C$1,),)=0,#N/A,VLOOKUP(Table7[[#This Row],[Date]],Database!$A:$C,MATCH($B$1,Database!$A$1:$C$1,),))</f>
        <v/>
      </c>
      <c r="C12378">
        <f>IF(VLOOKUP(Table7[[#This Row],[Date]],Database!$A:$C,MATCH($C$1,Database!$A$1:$C$1,),)=0,#N/A,VLOOKUP(Table7[[#This Row],[Date]],Database!$A:$C,MATCH($C$1,Database!$A$1:$C$1,),))</f>
        <v/>
      </c>
      <c r="D12378">
        <f>IFERROR(Table7[[#This Row],[United States 10y]]-Table7[[#This Row],[United States 3y]],#N/A)</f>
        <v/>
      </c>
    </row>
    <row r="12379">
      <c r="A12379" s="6">
        <f>Database!$A14464</f>
        <v/>
      </c>
      <c r="B12379">
        <f>IF(VLOOKUP(Table7[[#This Row],[Date]],Database!$A:$C,MATCH($B$1,Database!$A$1:$C$1,),)=0,#N/A,VLOOKUP(Table7[[#This Row],[Date]],Database!$A:$C,MATCH($B$1,Database!$A$1:$C$1,),))</f>
        <v/>
      </c>
      <c r="C12379">
        <f>IF(VLOOKUP(Table7[[#This Row],[Date]],Database!$A:$C,MATCH($C$1,Database!$A$1:$C$1,),)=0,#N/A,VLOOKUP(Table7[[#This Row],[Date]],Database!$A:$C,MATCH($C$1,Database!$A$1:$C$1,),))</f>
        <v/>
      </c>
      <c r="D12379">
        <f>IFERROR(Table7[[#This Row],[United States 10y]]-Table7[[#This Row],[United States 3y]],#N/A)</f>
        <v/>
      </c>
    </row>
    <row r="12380">
      <c r="A12380" s="6">
        <f>Database!$A14465</f>
        <v/>
      </c>
      <c r="B12380">
        <f>IF(VLOOKUP(Table7[[#This Row],[Date]],Database!$A:$C,MATCH($B$1,Database!$A$1:$C$1,),)=0,#N/A,VLOOKUP(Table7[[#This Row],[Date]],Database!$A:$C,MATCH($B$1,Database!$A$1:$C$1,),))</f>
        <v/>
      </c>
      <c r="C12380">
        <f>IF(VLOOKUP(Table7[[#This Row],[Date]],Database!$A:$C,MATCH($C$1,Database!$A$1:$C$1,),)=0,#N/A,VLOOKUP(Table7[[#This Row],[Date]],Database!$A:$C,MATCH($C$1,Database!$A$1:$C$1,),))</f>
        <v/>
      </c>
      <c r="D12380">
        <f>IFERROR(Table7[[#This Row],[United States 10y]]-Table7[[#This Row],[United States 3y]],#N/A)</f>
        <v/>
      </c>
    </row>
    <row r="12381">
      <c r="A12381" s="6">
        <f>Database!$A14466</f>
        <v/>
      </c>
      <c r="B12381">
        <f>IF(VLOOKUP(Table7[[#This Row],[Date]],Database!$A:$C,MATCH($B$1,Database!$A$1:$C$1,),)=0,#N/A,VLOOKUP(Table7[[#This Row],[Date]],Database!$A:$C,MATCH($B$1,Database!$A$1:$C$1,),))</f>
        <v/>
      </c>
      <c r="C12381">
        <f>IF(VLOOKUP(Table7[[#This Row],[Date]],Database!$A:$C,MATCH($C$1,Database!$A$1:$C$1,),)=0,#N/A,VLOOKUP(Table7[[#This Row],[Date]],Database!$A:$C,MATCH($C$1,Database!$A$1:$C$1,),))</f>
        <v/>
      </c>
      <c r="D12381">
        <f>IFERROR(Table7[[#This Row],[United States 10y]]-Table7[[#This Row],[United States 3y]],#N/A)</f>
        <v/>
      </c>
    </row>
    <row r="12382">
      <c r="A12382" s="6">
        <f>Database!$A14467</f>
        <v/>
      </c>
      <c r="B12382">
        <f>IF(VLOOKUP(Table7[[#This Row],[Date]],Database!$A:$C,MATCH($B$1,Database!$A$1:$C$1,),)=0,#N/A,VLOOKUP(Table7[[#This Row],[Date]],Database!$A:$C,MATCH($B$1,Database!$A$1:$C$1,),))</f>
        <v/>
      </c>
      <c r="C12382">
        <f>IF(VLOOKUP(Table7[[#This Row],[Date]],Database!$A:$C,MATCH($C$1,Database!$A$1:$C$1,),)=0,#N/A,VLOOKUP(Table7[[#This Row],[Date]],Database!$A:$C,MATCH($C$1,Database!$A$1:$C$1,),))</f>
        <v/>
      </c>
      <c r="D12382">
        <f>IFERROR(Table7[[#This Row],[United States 10y]]-Table7[[#This Row],[United States 3y]],#N/A)</f>
        <v/>
      </c>
    </row>
    <row r="12383">
      <c r="A12383" s="6">
        <f>Database!$A14468</f>
        <v/>
      </c>
      <c r="B12383">
        <f>IF(VLOOKUP(Table7[[#This Row],[Date]],Database!$A:$C,MATCH($B$1,Database!$A$1:$C$1,),)=0,#N/A,VLOOKUP(Table7[[#This Row],[Date]],Database!$A:$C,MATCH($B$1,Database!$A$1:$C$1,),))</f>
        <v/>
      </c>
      <c r="C12383">
        <f>IF(VLOOKUP(Table7[[#This Row],[Date]],Database!$A:$C,MATCH($C$1,Database!$A$1:$C$1,),)=0,#N/A,VLOOKUP(Table7[[#This Row],[Date]],Database!$A:$C,MATCH($C$1,Database!$A$1:$C$1,),))</f>
        <v/>
      </c>
      <c r="D12383">
        <f>IFERROR(Table7[[#This Row],[United States 10y]]-Table7[[#This Row],[United States 3y]],#N/A)</f>
        <v/>
      </c>
    </row>
    <row r="12384">
      <c r="A12384" s="6">
        <f>Database!$A14469</f>
        <v/>
      </c>
      <c r="B12384">
        <f>IF(VLOOKUP(Table7[[#This Row],[Date]],Database!$A:$C,MATCH($B$1,Database!$A$1:$C$1,),)=0,#N/A,VLOOKUP(Table7[[#This Row],[Date]],Database!$A:$C,MATCH($B$1,Database!$A$1:$C$1,),))</f>
        <v/>
      </c>
      <c r="C12384">
        <f>IF(VLOOKUP(Table7[[#This Row],[Date]],Database!$A:$C,MATCH($C$1,Database!$A$1:$C$1,),)=0,#N/A,VLOOKUP(Table7[[#This Row],[Date]],Database!$A:$C,MATCH($C$1,Database!$A$1:$C$1,),))</f>
        <v/>
      </c>
      <c r="D12384">
        <f>IFERROR(Table7[[#This Row],[United States 10y]]-Table7[[#This Row],[United States 3y]],#N/A)</f>
        <v/>
      </c>
    </row>
    <row r="12385">
      <c r="A12385" s="6">
        <f>Database!$A14470</f>
        <v/>
      </c>
      <c r="B12385">
        <f>IF(VLOOKUP(Table7[[#This Row],[Date]],Database!$A:$C,MATCH($B$1,Database!$A$1:$C$1,),)=0,#N/A,VLOOKUP(Table7[[#This Row],[Date]],Database!$A:$C,MATCH($B$1,Database!$A$1:$C$1,),))</f>
        <v/>
      </c>
      <c r="C12385">
        <f>IF(VLOOKUP(Table7[[#This Row],[Date]],Database!$A:$C,MATCH($C$1,Database!$A$1:$C$1,),)=0,#N/A,VLOOKUP(Table7[[#This Row],[Date]],Database!$A:$C,MATCH($C$1,Database!$A$1:$C$1,),))</f>
        <v/>
      </c>
      <c r="D12385">
        <f>IFERROR(Table7[[#This Row],[United States 10y]]-Table7[[#This Row],[United States 3y]],#N/A)</f>
        <v/>
      </c>
    </row>
    <row r="12386">
      <c r="A12386" s="6">
        <f>Database!$A14471</f>
        <v/>
      </c>
      <c r="B12386">
        <f>IF(VLOOKUP(Table7[[#This Row],[Date]],Database!$A:$C,MATCH($B$1,Database!$A$1:$C$1,),)=0,#N/A,VLOOKUP(Table7[[#This Row],[Date]],Database!$A:$C,MATCH($B$1,Database!$A$1:$C$1,),))</f>
        <v/>
      </c>
      <c r="C12386">
        <f>IF(VLOOKUP(Table7[[#This Row],[Date]],Database!$A:$C,MATCH($C$1,Database!$A$1:$C$1,),)=0,#N/A,VLOOKUP(Table7[[#This Row],[Date]],Database!$A:$C,MATCH($C$1,Database!$A$1:$C$1,),))</f>
        <v/>
      </c>
      <c r="D12386">
        <f>IFERROR(Table7[[#This Row],[United States 10y]]-Table7[[#This Row],[United States 3y]],#N/A)</f>
        <v/>
      </c>
    </row>
    <row r="12387">
      <c r="A12387" s="6">
        <f>Database!$A14472</f>
        <v/>
      </c>
      <c r="B12387">
        <f>IF(VLOOKUP(Table7[[#This Row],[Date]],Database!$A:$C,MATCH($B$1,Database!$A$1:$C$1,),)=0,#N/A,VLOOKUP(Table7[[#This Row],[Date]],Database!$A:$C,MATCH($B$1,Database!$A$1:$C$1,),))</f>
        <v/>
      </c>
      <c r="C12387">
        <f>IF(VLOOKUP(Table7[[#This Row],[Date]],Database!$A:$C,MATCH($C$1,Database!$A$1:$C$1,),)=0,#N/A,VLOOKUP(Table7[[#This Row],[Date]],Database!$A:$C,MATCH($C$1,Database!$A$1:$C$1,),))</f>
        <v/>
      </c>
      <c r="D12387">
        <f>IFERROR(Table7[[#This Row],[United States 10y]]-Table7[[#This Row],[United States 3y]],#N/A)</f>
        <v/>
      </c>
    </row>
    <row r="12388">
      <c r="A12388" s="6">
        <f>Database!$A14473</f>
        <v/>
      </c>
      <c r="B12388">
        <f>IF(VLOOKUP(Table7[[#This Row],[Date]],Database!$A:$C,MATCH($B$1,Database!$A$1:$C$1,),)=0,#N/A,VLOOKUP(Table7[[#This Row],[Date]],Database!$A:$C,MATCH($B$1,Database!$A$1:$C$1,),))</f>
        <v/>
      </c>
      <c r="C12388">
        <f>IF(VLOOKUP(Table7[[#This Row],[Date]],Database!$A:$C,MATCH($C$1,Database!$A$1:$C$1,),)=0,#N/A,VLOOKUP(Table7[[#This Row],[Date]],Database!$A:$C,MATCH($C$1,Database!$A$1:$C$1,),))</f>
        <v/>
      </c>
      <c r="D12388">
        <f>IFERROR(Table7[[#This Row],[United States 10y]]-Table7[[#This Row],[United States 3y]],#N/A)</f>
        <v/>
      </c>
    </row>
    <row r="12389">
      <c r="A12389" s="6">
        <f>Database!$A14474</f>
        <v/>
      </c>
      <c r="B12389">
        <f>IF(VLOOKUP(Table7[[#This Row],[Date]],Database!$A:$C,MATCH($B$1,Database!$A$1:$C$1,),)=0,#N/A,VLOOKUP(Table7[[#This Row],[Date]],Database!$A:$C,MATCH($B$1,Database!$A$1:$C$1,),))</f>
        <v/>
      </c>
      <c r="C12389">
        <f>IF(VLOOKUP(Table7[[#This Row],[Date]],Database!$A:$C,MATCH($C$1,Database!$A$1:$C$1,),)=0,#N/A,VLOOKUP(Table7[[#This Row],[Date]],Database!$A:$C,MATCH($C$1,Database!$A$1:$C$1,),))</f>
        <v/>
      </c>
      <c r="D12389">
        <f>IFERROR(Table7[[#This Row],[United States 10y]]-Table7[[#This Row],[United States 3y]],#N/A)</f>
        <v/>
      </c>
    </row>
    <row r="12390">
      <c r="A12390" s="6">
        <f>Database!$A14475</f>
        <v/>
      </c>
      <c r="B12390">
        <f>IF(VLOOKUP(Table7[[#This Row],[Date]],Database!$A:$C,MATCH($B$1,Database!$A$1:$C$1,),)=0,#N/A,VLOOKUP(Table7[[#This Row],[Date]],Database!$A:$C,MATCH($B$1,Database!$A$1:$C$1,),))</f>
        <v/>
      </c>
      <c r="C12390">
        <f>IF(VLOOKUP(Table7[[#This Row],[Date]],Database!$A:$C,MATCH($C$1,Database!$A$1:$C$1,),)=0,#N/A,VLOOKUP(Table7[[#This Row],[Date]],Database!$A:$C,MATCH($C$1,Database!$A$1:$C$1,),))</f>
        <v/>
      </c>
      <c r="D12390">
        <f>IFERROR(Table7[[#This Row],[United States 10y]]-Table7[[#This Row],[United States 3y]],#N/A)</f>
        <v/>
      </c>
    </row>
    <row r="12391">
      <c r="A12391" s="6">
        <f>Database!$A14476</f>
        <v/>
      </c>
      <c r="B12391">
        <f>IF(VLOOKUP(Table7[[#This Row],[Date]],Database!$A:$C,MATCH($B$1,Database!$A$1:$C$1,),)=0,#N/A,VLOOKUP(Table7[[#This Row],[Date]],Database!$A:$C,MATCH($B$1,Database!$A$1:$C$1,),))</f>
        <v/>
      </c>
      <c r="C12391">
        <f>IF(VLOOKUP(Table7[[#This Row],[Date]],Database!$A:$C,MATCH($C$1,Database!$A$1:$C$1,),)=0,#N/A,VLOOKUP(Table7[[#This Row],[Date]],Database!$A:$C,MATCH($C$1,Database!$A$1:$C$1,),))</f>
        <v/>
      </c>
      <c r="D12391">
        <f>IFERROR(Table7[[#This Row],[United States 10y]]-Table7[[#This Row],[United States 3y]],#N/A)</f>
        <v/>
      </c>
    </row>
    <row r="12392">
      <c r="A12392" s="6">
        <f>Database!$A14477</f>
        <v/>
      </c>
      <c r="B12392">
        <f>IF(VLOOKUP(Table7[[#This Row],[Date]],Database!$A:$C,MATCH($B$1,Database!$A$1:$C$1,),)=0,#N/A,VLOOKUP(Table7[[#This Row],[Date]],Database!$A:$C,MATCH($B$1,Database!$A$1:$C$1,),))</f>
        <v/>
      </c>
      <c r="C12392">
        <f>IF(VLOOKUP(Table7[[#This Row],[Date]],Database!$A:$C,MATCH($C$1,Database!$A$1:$C$1,),)=0,#N/A,VLOOKUP(Table7[[#This Row],[Date]],Database!$A:$C,MATCH($C$1,Database!$A$1:$C$1,),))</f>
        <v/>
      </c>
      <c r="D12392">
        <f>IFERROR(Table7[[#This Row],[United States 10y]]-Table7[[#This Row],[United States 3y]],#N/A)</f>
        <v/>
      </c>
    </row>
    <row r="12393">
      <c r="A12393" s="6">
        <f>Database!$A14478</f>
        <v/>
      </c>
      <c r="B12393">
        <f>IF(VLOOKUP(Table7[[#This Row],[Date]],Database!$A:$C,MATCH($B$1,Database!$A$1:$C$1,),)=0,#N/A,VLOOKUP(Table7[[#This Row],[Date]],Database!$A:$C,MATCH($B$1,Database!$A$1:$C$1,),))</f>
        <v/>
      </c>
      <c r="C12393">
        <f>IF(VLOOKUP(Table7[[#This Row],[Date]],Database!$A:$C,MATCH($C$1,Database!$A$1:$C$1,),)=0,#N/A,VLOOKUP(Table7[[#This Row],[Date]],Database!$A:$C,MATCH($C$1,Database!$A$1:$C$1,),))</f>
        <v/>
      </c>
      <c r="D12393">
        <f>IFERROR(Table7[[#This Row],[United States 10y]]-Table7[[#This Row],[United States 3y]],#N/A)</f>
        <v/>
      </c>
    </row>
    <row r="12394">
      <c r="A12394" s="6">
        <f>Database!$A14479</f>
        <v/>
      </c>
      <c r="B12394">
        <f>IF(VLOOKUP(Table7[[#This Row],[Date]],Database!$A:$C,MATCH($B$1,Database!$A$1:$C$1,),)=0,#N/A,VLOOKUP(Table7[[#This Row],[Date]],Database!$A:$C,MATCH($B$1,Database!$A$1:$C$1,),))</f>
        <v/>
      </c>
      <c r="C12394">
        <f>IF(VLOOKUP(Table7[[#This Row],[Date]],Database!$A:$C,MATCH($C$1,Database!$A$1:$C$1,),)=0,#N/A,VLOOKUP(Table7[[#This Row],[Date]],Database!$A:$C,MATCH($C$1,Database!$A$1:$C$1,),))</f>
        <v/>
      </c>
      <c r="D12394">
        <f>IFERROR(Table7[[#This Row],[United States 10y]]-Table7[[#This Row],[United States 3y]],#N/A)</f>
        <v/>
      </c>
    </row>
    <row r="12395">
      <c r="A12395" s="6">
        <f>Database!$A14480</f>
        <v/>
      </c>
      <c r="B12395">
        <f>IF(VLOOKUP(Table7[[#This Row],[Date]],Database!$A:$C,MATCH($B$1,Database!$A$1:$C$1,),)=0,#N/A,VLOOKUP(Table7[[#This Row],[Date]],Database!$A:$C,MATCH($B$1,Database!$A$1:$C$1,),))</f>
        <v/>
      </c>
      <c r="C12395">
        <f>IF(VLOOKUP(Table7[[#This Row],[Date]],Database!$A:$C,MATCH($C$1,Database!$A$1:$C$1,),)=0,#N/A,VLOOKUP(Table7[[#This Row],[Date]],Database!$A:$C,MATCH($C$1,Database!$A$1:$C$1,),))</f>
        <v/>
      </c>
      <c r="D12395">
        <f>IFERROR(Table7[[#This Row],[United States 10y]]-Table7[[#This Row],[United States 3y]],#N/A)</f>
        <v/>
      </c>
    </row>
    <row r="12396">
      <c r="A12396" s="6">
        <f>Database!$A14481</f>
        <v/>
      </c>
      <c r="B12396">
        <f>IF(VLOOKUP(Table7[[#This Row],[Date]],Database!$A:$C,MATCH($B$1,Database!$A$1:$C$1,),)=0,#N/A,VLOOKUP(Table7[[#This Row],[Date]],Database!$A:$C,MATCH($B$1,Database!$A$1:$C$1,),))</f>
        <v/>
      </c>
      <c r="C12396">
        <f>IF(VLOOKUP(Table7[[#This Row],[Date]],Database!$A:$C,MATCH($C$1,Database!$A$1:$C$1,),)=0,#N/A,VLOOKUP(Table7[[#This Row],[Date]],Database!$A:$C,MATCH($C$1,Database!$A$1:$C$1,),))</f>
        <v/>
      </c>
      <c r="D12396">
        <f>IFERROR(Table7[[#This Row],[United States 10y]]-Table7[[#This Row],[United States 3y]],#N/A)</f>
        <v/>
      </c>
    </row>
    <row r="12397">
      <c r="A12397" s="6">
        <f>Database!$A14482</f>
        <v/>
      </c>
      <c r="B12397">
        <f>IF(VLOOKUP(Table7[[#This Row],[Date]],Database!$A:$C,MATCH($B$1,Database!$A$1:$C$1,),)=0,#N/A,VLOOKUP(Table7[[#This Row],[Date]],Database!$A:$C,MATCH($B$1,Database!$A$1:$C$1,),))</f>
        <v/>
      </c>
      <c r="C12397">
        <f>IF(VLOOKUP(Table7[[#This Row],[Date]],Database!$A:$C,MATCH($C$1,Database!$A$1:$C$1,),)=0,#N/A,VLOOKUP(Table7[[#This Row],[Date]],Database!$A:$C,MATCH($C$1,Database!$A$1:$C$1,),))</f>
        <v/>
      </c>
      <c r="D12397">
        <f>IFERROR(Table7[[#This Row],[United States 10y]]-Table7[[#This Row],[United States 3y]],#N/A)</f>
        <v/>
      </c>
    </row>
    <row r="12398">
      <c r="A12398" s="6">
        <f>Database!$A14483</f>
        <v/>
      </c>
      <c r="B12398">
        <f>IF(VLOOKUP(Table7[[#This Row],[Date]],Database!$A:$C,MATCH($B$1,Database!$A$1:$C$1,),)=0,#N/A,VLOOKUP(Table7[[#This Row],[Date]],Database!$A:$C,MATCH($B$1,Database!$A$1:$C$1,),))</f>
        <v/>
      </c>
      <c r="C12398">
        <f>IF(VLOOKUP(Table7[[#This Row],[Date]],Database!$A:$C,MATCH($C$1,Database!$A$1:$C$1,),)=0,#N/A,VLOOKUP(Table7[[#This Row],[Date]],Database!$A:$C,MATCH($C$1,Database!$A$1:$C$1,),))</f>
        <v/>
      </c>
      <c r="D12398">
        <f>IFERROR(Table7[[#This Row],[United States 10y]]-Table7[[#This Row],[United States 3y]],#N/A)</f>
        <v/>
      </c>
    </row>
    <row r="12399">
      <c r="A12399" s="6">
        <f>Database!$A14484</f>
        <v/>
      </c>
      <c r="B12399">
        <f>IF(VLOOKUP(Table7[[#This Row],[Date]],Database!$A:$C,MATCH($B$1,Database!$A$1:$C$1,),)=0,#N/A,VLOOKUP(Table7[[#This Row],[Date]],Database!$A:$C,MATCH($B$1,Database!$A$1:$C$1,),))</f>
        <v/>
      </c>
      <c r="C12399">
        <f>IF(VLOOKUP(Table7[[#This Row],[Date]],Database!$A:$C,MATCH($C$1,Database!$A$1:$C$1,),)=0,#N/A,VLOOKUP(Table7[[#This Row],[Date]],Database!$A:$C,MATCH($C$1,Database!$A$1:$C$1,),))</f>
        <v/>
      </c>
      <c r="D12399">
        <f>IFERROR(Table7[[#This Row],[United States 10y]]-Table7[[#This Row],[United States 3y]],#N/A)</f>
        <v/>
      </c>
    </row>
    <row r="12400">
      <c r="A12400" s="6">
        <f>Database!$A14485</f>
        <v/>
      </c>
      <c r="B12400">
        <f>IF(VLOOKUP(Table7[[#This Row],[Date]],Database!$A:$C,MATCH($B$1,Database!$A$1:$C$1,),)=0,#N/A,VLOOKUP(Table7[[#This Row],[Date]],Database!$A:$C,MATCH($B$1,Database!$A$1:$C$1,),))</f>
        <v/>
      </c>
      <c r="C12400">
        <f>IF(VLOOKUP(Table7[[#This Row],[Date]],Database!$A:$C,MATCH($C$1,Database!$A$1:$C$1,),)=0,#N/A,VLOOKUP(Table7[[#This Row],[Date]],Database!$A:$C,MATCH($C$1,Database!$A$1:$C$1,),))</f>
        <v/>
      </c>
      <c r="D12400">
        <f>IFERROR(Table7[[#This Row],[United States 10y]]-Table7[[#This Row],[United States 3y]],#N/A)</f>
        <v/>
      </c>
    </row>
    <row r="12401">
      <c r="A12401" s="6">
        <f>Database!$A14486</f>
        <v/>
      </c>
      <c r="B12401">
        <f>IF(VLOOKUP(Table7[[#This Row],[Date]],Database!$A:$C,MATCH($B$1,Database!$A$1:$C$1,),)=0,#N/A,VLOOKUP(Table7[[#This Row],[Date]],Database!$A:$C,MATCH($B$1,Database!$A$1:$C$1,),))</f>
        <v/>
      </c>
      <c r="C12401">
        <f>IF(VLOOKUP(Table7[[#This Row],[Date]],Database!$A:$C,MATCH($C$1,Database!$A$1:$C$1,),)=0,#N/A,VLOOKUP(Table7[[#This Row],[Date]],Database!$A:$C,MATCH($C$1,Database!$A$1:$C$1,),))</f>
        <v/>
      </c>
      <c r="D12401">
        <f>IFERROR(Table7[[#This Row],[United States 10y]]-Table7[[#This Row],[United States 3y]],#N/A)</f>
        <v/>
      </c>
    </row>
    <row r="12402">
      <c r="A12402" s="6">
        <f>Database!$A14487</f>
        <v/>
      </c>
      <c r="B12402">
        <f>IF(VLOOKUP(Table7[[#This Row],[Date]],Database!$A:$C,MATCH($B$1,Database!$A$1:$C$1,),)=0,#N/A,VLOOKUP(Table7[[#This Row],[Date]],Database!$A:$C,MATCH($B$1,Database!$A$1:$C$1,),))</f>
        <v/>
      </c>
      <c r="C12402">
        <f>IF(VLOOKUP(Table7[[#This Row],[Date]],Database!$A:$C,MATCH($C$1,Database!$A$1:$C$1,),)=0,#N/A,VLOOKUP(Table7[[#This Row],[Date]],Database!$A:$C,MATCH($C$1,Database!$A$1:$C$1,),))</f>
        <v/>
      </c>
      <c r="D12402">
        <f>IFERROR(Table7[[#This Row],[United States 10y]]-Table7[[#This Row],[United States 3y]],#N/A)</f>
        <v/>
      </c>
    </row>
    <row r="12403">
      <c r="A12403" s="6">
        <f>Database!$A14488</f>
        <v/>
      </c>
      <c r="B12403">
        <f>IF(VLOOKUP(Table7[[#This Row],[Date]],Database!$A:$C,MATCH($B$1,Database!$A$1:$C$1,),)=0,#N/A,VLOOKUP(Table7[[#This Row],[Date]],Database!$A:$C,MATCH($B$1,Database!$A$1:$C$1,),))</f>
        <v/>
      </c>
      <c r="C12403">
        <f>IF(VLOOKUP(Table7[[#This Row],[Date]],Database!$A:$C,MATCH($C$1,Database!$A$1:$C$1,),)=0,#N/A,VLOOKUP(Table7[[#This Row],[Date]],Database!$A:$C,MATCH($C$1,Database!$A$1:$C$1,),))</f>
        <v/>
      </c>
      <c r="D12403">
        <f>IFERROR(Table7[[#This Row],[United States 10y]]-Table7[[#This Row],[United States 3y]],#N/A)</f>
        <v/>
      </c>
    </row>
    <row r="12404">
      <c r="A12404" s="6">
        <f>Database!$A14489</f>
        <v/>
      </c>
      <c r="B12404">
        <f>IF(VLOOKUP(Table7[[#This Row],[Date]],Database!$A:$C,MATCH($B$1,Database!$A$1:$C$1,),)=0,#N/A,VLOOKUP(Table7[[#This Row],[Date]],Database!$A:$C,MATCH($B$1,Database!$A$1:$C$1,),))</f>
        <v/>
      </c>
      <c r="C12404">
        <f>IF(VLOOKUP(Table7[[#This Row],[Date]],Database!$A:$C,MATCH($C$1,Database!$A$1:$C$1,),)=0,#N/A,VLOOKUP(Table7[[#This Row],[Date]],Database!$A:$C,MATCH($C$1,Database!$A$1:$C$1,),))</f>
        <v/>
      </c>
      <c r="D12404">
        <f>IFERROR(Table7[[#This Row],[United States 10y]]-Table7[[#This Row],[United States 3y]],#N/A)</f>
        <v/>
      </c>
    </row>
    <row r="12405">
      <c r="A12405" s="6">
        <f>Database!$A14490</f>
        <v/>
      </c>
      <c r="B12405">
        <f>IF(VLOOKUP(Table7[[#This Row],[Date]],Database!$A:$C,MATCH($B$1,Database!$A$1:$C$1,),)=0,#N/A,VLOOKUP(Table7[[#This Row],[Date]],Database!$A:$C,MATCH($B$1,Database!$A$1:$C$1,),))</f>
        <v/>
      </c>
      <c r="C12405">
        <f>IF(VLOOKUP(Table7[[#This Row],[Date]],Database!$A:$C,MATCH($C$1,Database!$A$1:$C$1,),)=0,#N/A,VLOOKUP(Table7[[#This Row],[Date]],Database!$A:$C,MATCH($C$1,Database!$A$1:$C$1,),))</f>
        <v/>
      </c>
      <c r="D12405">
        <f>IFERROR(Table7[[#This Row],[United States 10y]]-Table7[[#This Row],[United States 3y]],#N/A)</f>
        <v/>
      </c>
    </row>
    <row r="12406">
      <c r="A12406" s="6">
        <f>Database!$A14491</f>
        <v/>
      </c>
      <c r="B12406">
        <f>IF(VLOOKUP(Table7[[#This Row],[Date]],Database!$A:$C,MATCH($B$1,Database!$A$1:$C$1,),)=0,#N/A,VLOOKUP(Table7[[#This Row],[Date]],Database!$A:$C,MATCH($B$1,Database!$A$1:$C$1,),))</f>
        <v/>
      </c>
      <c r="C12406">
        <f>IF(VLOOKUP(Table7[[#This Row],[Date]],Database!$A:$C,MATCH($C$1,Database!$A$1:$C$1,),)=0,#N/A,VLOOKUP(Table7[[#This Row],[Date]],Database!$A:$C,MATCH($C$1,Database!$A$1:$C$1,),))</f>
        <v/>
      </c>
      <c r="D12406">
        <f>IFERROR(Table7[[#This Row],[United States 10y]]-Table7[[#This Row],[United States 3y]],#N/A)</f>
        <v/>
      </c>
    </row>
    <row r="12407">
      <c r="A12407" s="6">
        <f>Database!$A14492</f>
        <v/>
      </c>
      <c r="B12407">
        <f>IF(VLOOKUP(Table7[[#This Row],[Date]],Database!$A:$C,MATCH($B$1,Database!$A$1:$C$1,),)=0,#N/A,VLOOKUP(Table7[[#This Row],[Date]],Database!$A:$C,MATCH($B$1,Database!$A$1:$C$1,),))</f>
        <v/>
      </c>
      <c r="C12407">
        <f>IF(VLOOKUP(Table7[[#This Row],[Date]],Database!$A:$C,MATCH($C$1,Database!$A$1:$C$1,),)=0,#N/A,VLOOKUP(Table7[[#This Row],[Date]],Database!$A:$C,MATCH($C$1,Database!$A$1:$C$1,),))</f>
        <v/>
      </c>
      <c r="D12407">
        <f>IFERROR(Table7[[#This Row],[United States 10y]]-Table7[[#This Row],[United States 3y]],#N/A)</f>
        <v/>
      </c>
    </row>
    <row r="12408">
      <c r="A12408" s="6">
        <f>Database!$A14493</f>
        <v/>
      </c>
      <c r="B12408">
        <f>IF(VLOOKUP(Table7[[#This Row],[Date]],Database!$A:$C,MATCH($B$1,Database!$A$1:$C$1,),)=0,#N/A,VLOOKUP(Table7[[#This Row],[Date]],Database!$A:$C,MATCH($B$1,Database!$A$1:$C$1,),))</f>
        <v/>
      </c>
      <c r="C12408">
        <f>IF(VLOOKUP(Table7[[#This Row],[Date]],Database!$A:$C,MATCH($C$1,Database!$A$1:$C$1,),)=0,#N/A,VLOOKUP(Table7[[#This Row],[Date]],Database!$A:$C,MATCH($C$1,Database!$A$1:$C$1,),))</f>
        <v/>
      </c>
      <c r="D12408">
        <f>IFERROR(Table7[[#This Row],[United States 10y]]-Table7[[#This Row],[United States 3y]],#N/A)</f>
        <v/>
      </c>
    </row>
    <row r="12409">
      <c r="A12409" s="6">
        <f>Database!$A14494</f>
        <v/>
      </c>
      <c r="B12409">
        <f>IF(VLOOKUP(Table7[[#This Row],[Date]],Database!$A:$C,MATCH($B$1,Database!$A$1:$C$1,),)=0,#N/A,VLOOKUP(Table7[[#This Row],[Date]],Database!$A:$C,MATCH($B$1,Database!$A$1:$C$1,),))</f>
        <v/>
      </c>
      <c r="C12409">
        <f>IF(VLOOKUP(Table7[[#This Row],[Date]],Database!$A:$C,MATCH($C$1,Database!$A$1:$C$1,),)=0,#N/A,VLOOKUP(Table7[[#This Row],[Date]],Database!$A:$C,MATCH($C$1,Database!$A$1:$C$1,),))</f>
        <v/>
      </c>
      <c r="D12409">
        <f>IFERROR(Table7[[#This Row],[United States 10y]]-Table7[[#This Row],[United States 3y]],#N/A)</f>
        <v/>
      </c>
    </row>
    <row r="12410">
      <c r="A12410" s="6">
        <f>Database!$A14495</f>
        <v/>
      </c>
      <c r="B12410">
        <f>IF(VLOOKUP(Table7[[#This Row],[Date]],Database!$A:$C,MATCH($B$1,Database!$A$1:$C$1,),)=0,#N/A,VLOOKUP(Table7[[#This Row],[Date]],Database!$A:$C,MATCH($B$1,Database!$A$1:$C$1,),))</f>
        <v/>
      </c>
      <c r="C12410">
        <f>IF(VLOOKUP(Table7[[#This Row],[Date]],Database!$A:$C,MATCH($C$1,Database!$A$1:$C$1,),)=0,#N/A,VLOOKUP(Table7[[#This Row],[Date]],Database!$A:$C,MATCH($C$1,Database!$A$1:$C$1,),))</f>
        <v/>
      </c>
      <c r="D12410">
        <f>IFERROR(Table7[[#This Row],[United States 10y]]-Table7[[#This Row],[United States 3y]],#N/A)</f>
        <v/>
      </c>
    </row>
    <row r="12411">
      <c r="A12411" s="6">
        <f>Database!$A14496</f>
        <v/>
      </c>
      <c r="B12411">
        <f>IF(VLOOKUP(Table7[[#This Row],[Date]],Database!$A:$C,MATCH($B$1,Database!$A$1:$C$1,),)=0,#N/A,VLOOKUP(Table7[[#This Row],[Date]],Database!$A:$C,MATCH($B$1,Database!$A$1:$C$1,),))</f>
        <v/>
      </c>
      <c r="C12411">
        <f>IF(VLOOKUP(Table7[[#This Row],[Date]],Database!$A:$C,MATCH($C$1,Database!$A$1:$C$1,),)=0,#N/A,VLOOKUP(Table7[[#This Row],[Date]],Database!$A:$C,MATCH($C$1,Database!$A$1:$C$1,),))</f>
        <v/>
      </c>
      <c r="D12411">
        <f>IFERROR(Table7[[#This Row],[United States 10y]]-Table7[[#This Row],[United States 3y]],#N/A)</f>
        <v/>
      </c>
    </row>
    <row r="12412">
      <c r="A12412" s="6">
        <f>Database!$A14497</f>
        <v/>
      </c>
      <c r="B12412">
        <f>IF(VLOOKUP(Table7[[#This Row],[Date]],Database!$A:$C,MATCH($B$1,Database!$A$1:$C$1,),)=0,#N/A,VLOOKUP(Table7[[#This Row],[Date]],Database!$A:$C,MATCH($B$1,Database!$A$1:$C$1,),))</f>
        <v/>
      </c>
      <c r="C12412">
        <f>IF(VLOOKUP(Table7[[#This Row],[Date]],Database!$A:$C,MATCH($C$1,Database!$A$1:$C$1,),)=0,#N/A,VLOOKUP(Table7[[#This Row],[Date]],Database!$A:$C,MATCH($C$1,Database!$A$1:$C$1,),))</f>
        <v/>
      </c>
      <c r="D12412">
        <f>IFERROR(Table7[[#This Row],[United States 10y]]-Table7[[#This Row],[United States 3y]],#N/A)</f>
        <v/>
      </c>
    </row>
    <row r="12413">
      <c r="A12413" s="6">
        <f>Database!$A14498</f>
        <v/>
      </c>
      <c r="B12413">
        <f>IF(VLOOKUP(Table7[[#This Row],[Date]],Database!$A:$C,MATCH($B$1,Database!$A$1:$C$1,),)=0,#N/A,VLOOKUP(Table7[[#This Row],[Date]],Database!$A:$C,MATCH($B$1,Database!$A$1:$C$1,),))</f>
        <v/>
      </c>
      <c r="C12413">
        <f>IF(VLOOKUP(Table7[[#This Row],[Date]],Database!$A:$C,MATCH($C$1,Database!$A$1:$C$1,),)=0,#N/A,VLOOKUP(Table7[[#This Row],[Date]],Database!$A:$C,MATCH($C$1,Database!$A$1:$C$1,),))</f>
        <v/>
      </c>
      <c r="D12413">
        <f>IFERROR(Table7[[#This Row],[United States 10y]]-Table7[[#This Row],[United States 3y]],#N/A)</f>
        <v/>
      </c>
    </row>
    <row r="12414">
      <c r="A12414" s="6">
        <f>Database!$A14499</f>
        <v/>
      </c>
      <c r="B12414">
        <f>IF(VLOOKUP(Table7[[#This Row],[Date]],Database!$A:$C,MATCH($B$1,Database!$A$1:$C$1,),)=0,#N/A,VLOOKUP(Table7[[#This Row],[Date]],Database!$A:$C,MATCH($B$1,Database!$A$1:$C$1,),))</f>
        <v/>
      </c>
      <c r="C12414">
        <f>IF(VLOOKUP(Table7[[#This Row],[Date]],Database!$A:$C,MATCH($C$1,Database!$A$1:$C$1,),)=0,#N/A,VLOOKUP(Table7[[#This Row],[Date]],Database!$A:$C,MATCH($C$1,Database!$A$1:$C$1,),))</f>
        <v/>
      </c>
      <c r="D12414">
        <f>IFERROR(Table7[[#This Row],[United States 10y]]-Table7[[#This Row],[United States 3y]],#N/A)</f>
        <v/>
      </c>
    </row>
    <row r="12415">
      <c r="A12415" s="6">
        <f>Database!$A14500</f>
        <v/>
      </c>
      <c r="B12415">
        <f>IF(VLOOKUP(Table7[[#This Row],[Date]],Database!$A:$C,MATCH($B$1,Database!$A$1:$C$1,),)=0,#N/A,VLOOKUP(Table7[[#This Row],[Date]],Database!$A:$C,MATCH($B$1,Database!$A$1:$C$1,),))</f>
        <v/>
      </c>
      <c r="C12415">
        <f>IF(VLOOKUP(Table7[[#This Row],[Date]],Database!$A:$C,MATCH($C$1,Database!$A$1:$C$1,),)=0,#N/A,VLOOKUP(Table7[[#This Row],[Date]],Database!$A:$C,MATCH($C$1,Database!$A$1:$C$1,),))</f>
        <v/>
      </c>
      <c r="D12415">
        <f>IFERROR(Table7[[#This Row],[United States 10y]]-Table7[[#This Row],[United States 3y]],#N/A)</f>
        <v/>
      </c>
    </row>
    <row r="12416">
      <c r="A12416" s="6">
        <f>Database!$A14501</f>
        <v/>
      </c>
      <c r="B12416">
        <f>IF(VLOOKUP(Table7[[#This Row],[Date]],Database!$A:$C,MATCH($B$1,Database!$A$1:$C$1,),)=0,#N/A,VLOOKUP(Table7[[#This Row],[Date]],Database!$A:$C,MATCH($B$1,Database!$A$1:$C$1,),))</f>
        <v/>
      </c>
      <c r="C12416">
        <f>IF(VLOOKUP(Table7[[#This Row],[Date]],Database!$A:$C,MATCH($C$1,Database!$A$1:$C$1,),)=0,#N/A,VLOOKUP(Table7[[#This Row],[Date]],Database!$A:$C,MATCH($C$1,Database!$A$1:$C$1,),))</f>
        <v/>
      </c>
      <c r="D12416">
        <f>IFERROR(Table7[[#This Row],[United States 10y]]-Table7[[#This Row],[United States 3y]],#N/A)</f>
        <v/>
      </c>
    </row>
    <row r="12417">
      <c r="A12417" s="6">
        <f>Database!$A14502</f>
        <v/>
      </c>
      <c r="B12417">
        <f>IF(VLOOKUP(Table7[[#This Row],[Date]],Database!$A:$C,MATCH($B$1,Database!$A$1:$C$1,),)=0,#N/A,VLOOKUP(Table7[[#This Row],[Date]],Database!$A:$C,MATCH($B$1,Database!$A$1:$C$1,),))</f>
        <v/>
      </c>
      <c r="C12417">
        <f>IF(VLOOKUP(Table7[[#This Row],[Date]],Database!$A:$C,MATCH($C$1,Database!$A$1:$C$1,),)=0,#N/A,VLOOKUP(Table7[[#This Row],[Date]],Database!$A:$C,MATCH($C$1,Database!$A$1:$C$1,),))</f>
        <v/>
      </c>
      <c r="D12417">
        <f>IFERROR(Table7[[#This Row],[United States 10y]]-Table7[[#This Row],[United States 3y]],#N/A)</f>
        <v/>
      </c>
    </row>
    <row r="12418">
      <c r="A12418" s="6">
        <f>Database!$A14503</f>
        <v/>
      </c>
      <c r="B12418">
        <f>IF(VLOOKUP(Table7[[#This Row],[Date]],Database!$A:$C,MATCH($B$1,Database!$A$1:$C$1,),)=0,#N/A,VLOOKUP(Table7[[#This Row],[Date]],Database!$A:$C,MATCH($B$1,Database!$A$1:$C$1,),))</f>
        <v/>
      </c>
      <c r="C12418">
        <f>IF(VLOOKUP(Table7[[#This Row],[Date]],Database!$A:$C,MATCH($C$1,Database!$A$1:$C$1,),)=0,#N/A,VLOOKUP(Table7[[#This Row],[Date]],Database!$A:$C,MATCH($C$1,Database!$A$1:$C$1,),))</f>
        <v/>
      </c>
      <c r="D12418">
        <f>IFERROR(Table7[[#This Row],[United States 10y]]-Table7[[#This Row],[United States 3y]],#N/A)</f>
        <v/>
      </c>
    </row>
    <row r="12419">
      <c r="A12419" s="6">
        <f>Database!$A14504</f>
        <v/>
      </c>
      <c r="B12419">
        <f>IF(VLOOKUP(Table7[[#This Row],[Date]],Database!$A:$C,MATCH($B$1,Database!$A$1:$C$1,),)=0,#N/A,VLOOKUP(Table7[[#This Row],[Date]],Database!$A:$C,MATCH($B$1,Database!$A$1:$C$1,),))</f>
        <v/>
      </c>
      <c r="C12419">
        <f>IF(VLOOKUP(Table7[[#This Row],[Date]],Database!$A:$C,MATCH($C$1,Database!$A$1:$C$1,),)=0,#N/A,VLOOKUP(Table7[[#This Row],[Date]],Database!$A:$C,MATCH($C$1,Database!$A$1:$C$1,),))</f>
        <v/>
      </c>
      <c r="D12419">
        <f>IFERROR(Table7[[#This Row],[United States 10y]]-Table7[[#This Row],[United States 3y]],#N/A)</f>
        <v/>
      </c>
    </row>
    <row r="12420">
      <c r="A12420" s="6">
        <f>Database!$A14505</f>
        <v/>
      </c>
      <c r="B12420">
        <f>IF(VLOOKUP(Table7[[#This Row],[Date]],Database!$A:$C,MATCH($B$1,Database!$A$1:$C$1,),)=0,#N/A,VLOOKUP(Table7[[#This Row],[Date]],Database!$A:$C,MATCH($B$1,Database!$A$1:$C$1,),))</f>
        <v/>
      </c>
      <c r="C12420">
        <f>IF(VLOOKUP(Table7[[#This Row],[Date]],Database!$A:$C,MATCH($C$1,Database!$A$1:$C$1,),)=0,#N/A,VLOOKUP(Table7[[#This Row],[Date]],Database!$A:$C,MATCH($C$1,Database!$A$1:$C$1,),))</f>
        <v/>
      </c>
      <c r="D12420">
        <f>IFERROR(Table7[[#This Row],[United States 10y]]-Table7[[#This Row],[United States 3y]],#N/A)</f>
        <v/>
      </c>
    </row>
    <row r="12421">
      <c r="A12421" s="6">
        <f>Database!$A14506</f>
        <v/>
      </c>
      <c r="B12421">
        <f>IF(VLOOKUP(Table7[[#This Row],[Date]],Database!$A:$C,MATCH($B$1,Database!$A$1:$C$1,),)=0,#N/A,VLOOKUP(Table7[[#This Row],[Date]],Database!$A:$C,MATCH($B$1,Database!$A$1:$C$1,),))</f>
        <v/>
      </c>
      <c r="C12421">
        <f>IF(VLOOKUP(Table7[[#This Row],[Date]],Database!$A:$C,MATCH($C$1,Database!$A$1:$C$1,),)=0,#N/A,VLOOKUP(Table7[[#This Row],[Date]],Database!$A:$C,MATCH($C$1,Database!$A$1:$C$1,),))</f>
        <v/>
      </c>
      <c r="D12421">
        <f>IFERROR(Table7[[#This Row],[United States 10y]]-Table7[[#This Row],[United States 3y]],#N/A)</f>
        <v/>
      </c>
    </row>
    <row r="12422">
      <c r="A12422" s="6">
        <f>Database!$A14507</f>
        <v/>
      </c>
      <c r="B12422">
        <f>IF(VLOOKUP(Table7[[#This Row],[Date]],Database!$A:$C,MATCH($B$1,Database!$A$1:$C$1,),)=0,#N/A,VLOOKUP(Table7[[#This Row],[Date]],Database!$A:$C,MATCH($B$1,Database!$A$1:$C$1,),))</f>
        <v/>
      </c>
      <c r="C12422">
        <f>IF(VLOOKUP(Table7[[#This Row],[Date]],Database!$A:$C,MATCH($C$1,Database!$A$1:$C$1,),)=0,#N/A,VLOOKUP(Table7[[#This Row],[Date]],Database!$A:$C,MATCH($C$1,Database!$A$1:$C$1,),))</f>
        <v/>
      </c>
      <c r="D12422">
        <f>IFERROR(Table7[[#This Row],[United States 10y]]-Table7[[#This Row],[United States 3y]],#N/A)</f>
        <v/>
      </c>
    </row>
    <row r="12423">
      <c r="A12423" s="6">
        <f>Database!$A14508</f>
        <v/>
      </c>
      <c r="B12423">
        <f>IF(VLOOKUP(Table7[[#This Row],[Date]],Database!$A:$C,MATCH($B$1,Database!$A$1:$C$1,),)=0,#N/A,VLOOKUP(Table7[[#This Row],[Date]],Database!$A:$C,MATCH($B$1,Database!$A$1:$C$1,),))</f>
        <v/>
      </c>
      <c r="C12423">
        <f>IF(VLOOKUP(Table7[[#This Row],[Date]],Database!$A:$C,MATCH($C$1,Database!$A$1:$C$1,),)=0,#N/A,VLOOKUP(Table7[[#This Row],[Date]],Database!$A:$C,MATCH($C$1,Database!$A$1:$C$1,),))</f>
        <v/>
      </c>
      <c r="D12423">
        <f>IFERROR(Table7[[#This Row],[United States 10y]]-Table7[[#This Row],[United States 3y]],#N/A)</f>
        <v/>
      </c>
    </row>
    <row r="12424">
      <c r="A12424" s="6">
        <f>Database!$A14509</f>
        <v/>
      </c>
      <c r="B12424">
        <f>IF(VLOOKUP(Table7[[#This Row],[Date]],Database!$A:$C,MATCH($B$1,Database!$A$1:$C$1,),)=0,#N/A,VLOOKUP(Table7[[#This Row],[Date]],Database!$A:$C,MATCH($B$1,Database!$A$1:$C$1,),))</f>
        <v/>
      </c>
      <c r="C12424">
        <f>IF(VLOOKUP(Table7[[#This Row],[Date]],Database!$A:$C,MATCH($C$1,Database!$A$1:$C$1,),)=0,#N/A,VLOOKUP(Table7[[#This Row],[Date]],Database!$A:$C,MATCH($C$1,Database!$A$1:$C$1,),))</f>
        <v/>
      </c>
      <c r="D12424">
        <f>IFERROR(Table7[[#This Row],[United States 10y]]-Table7[[#This Row],[United States 3y]],#N/A)</f>
        <v/>
      </c>
    </row>
    <row r="12425">
      <c r="A12425" s="6">
        <f>Database!$A14510</f>
        <v/>
      </c>
      <c r="B12425">
        <f>IF(VLOOKUP(Table7[[#This Row],[Date]],Database!$A:$C,MATCH($B$1,Database!$A$1:$C$1,),)=0,#N/A,VLOOKUP(Table7[[#This Row],[Date]],Database!$A:$C,MATCH($B$1,Database!$A$1:$C$1,),))</f>
        <v/>
      </c>
      <c r="C12425">
        <f>IF(VLOOKUP(Table7[[#This Row],[Date]],Database!$A:$C,MATCH($C$1,Database!$A$1:$C$1,),)=0,#N/A,VLOOKUP(Table7[[#This Row],[Date]],Database!$A:$C,MATCH($C$1,Database!$A$1:$C$1,),))</f>
        <v/>
      </c>
      <c r="D12425">
        <f>IFERROR(Table7[[#This Row],[United States 10y]]-Table7[[#This Row],[United States 3y]],#N/A)</f>
        <v/>
      </c>
    </row>
    <row r="12426">
      <c r="A12426" s="6">
        <f>Database!$A14511</f>
        <v/>
      </c>
      <c r="B12426">
        <f>IF(VLOOKUP(Table7[[#This Row],[Date]],Database!$A:$C,MATCH($B$1,Database!$A$1:$C$1,),)=0,#N/A,VLOOKUP(Table7[[#This Row],[Date]],Database!$A:$C,MATCH($B$1,Database!$A$1:$C$1,),))</f>
        <v/>
      </c>
      <c r="C12426">
        <f>IF(VLOOKUP(Table7[[#This Row],[Date]],Database!$A:$C,MATCH($C$1,Database!$A$1:$C$1,),)=0,#N/A,VLOOKUP(Table7[[#This Row],[Date]],Database!$A:$C,MATCH($C$1,Database!$A$1:$C$1,),))</f>
        <v/>
      </c>
      <c r="D12426">
        <f>IFERROR(Table7[[#This Row],[United States 10y]]-Table7[[#This Row],[United States 3y]],#N/A)</f>
        <v/>
      </c>
    </row>
    <row r="12427">
      <c r="A12427" s="6">
        <f>Database!$A14512</f>
        <v/>
      </c>
      <c r="B12427">
        <f>IF(VLOOKUP(Table7[[#This Row],[Date]],Database!$A:$C,MATCH($B$1,Database!$A$1:$C$1,),)=0,#N/A,VLOOKUP(Table7[[#This Row],[Date]],Database!$A:$C,MATCH($B$1,Database!$A$1:$C$1,),))</f>
        <v/>
      </c>
      <c r="C12427">
        <f>IF(VLOOKUP(Table7[[#This Row],[Date]],Database!$A:$C,MATCH($C$1,Database!$A$1:$C$1,),)=0,#N/A,VLOOKUP(Table7[[#This Row],[Date]],Database!$A:$C,MATCH($C$1,Database!$A$1:$C$1,),))</f>
        <v/>
      </c>
      <c r="D12427">
        <f>IFERROR(Table7[[#This Row],[United States 10y]]-Table7[[#This Row],[United States 3y]],#N/A)</f>
        <v/>
      </c>
    </row>
    <row r="12428">
      <c r="A12428" s="6">
        <f>Database!$A14513</f>
        <v/>
      </c>
      <c r="B12428">
        <f>IF(VLOOKUP(Table7[[#This Row],[Date]],Database!$A:$C,MATCH($B$1,Database!$A$1:$C$1,),)=0,#N/A,VLOOKUP(Table7[[#This Row],[Date]],Database!$A:$C,MATCH($B$1,Database!$A$1:$C$1,),))</f>
        <v/>
      </c>
      <c r="C12428">
        <f>IF(VLOOKUP(Table7[[#This Row],[Date]],Database!$A:$C,MATCH($C$1,Database!$A$1:$C$1,),)=0,#N/A,VLOOKUP(Table7[[#This Row],[Date]],Database!$A:$C,MATCH($C$1,Database!$A$1:$C$1,),))</f>
        <v/>
      </c>
      <c r="D12428">
        <f>IFERROR(Table7[[#This Row],[United States 10y]]-Table7[[#This Row],[United States 3y]],#N/A)</f>
        <v/>
      </c>
    </row>
    <row r="12429">
      <c r="A12429" s="6">
        <f>Database!$A14514</f>
        <v/>
      </c>
      <c r="B12429">
        <f>IF(VLOOKUP(Table7[[#This Row],[Date]],Database!$A:$C,MATCH($B$1,Database!$A$1:$C$1,),)=0,#N/A,VLOOKUP(Table7[[#This Row],[Date]],Database!$A:$C,MATCH($B$1,Database!$A$1:$C$1,),))</f>
        <v/>
      </c>
      <c r="C12429">
        <f>IF(VLOOKUP(Table7[[#This Row],[Date]],Database!$A:$C,MATCH($C$1,Database!$A$1:$C$1,),)=0,#N/A,VLOOKUP(Table7[[#This Row],[Date]],Database!$A:$C,MATCH($C$1,Database!$A$1:$C$1,),))</f>
        <v/>
      </c>
      <c r="D12429">
        <f>IFERROR(Table7[[#This Row],[United States 10y]]-Table7[[#This Row],[United States 3y]],#N/A)</f>
        <v/>
      </c>
    </row>
    <row r="12430">
      <c r="A12430" s="6">
        <f>Database!$A14515</f>
        <v/>
      </c>
      <c r="B12430">
        <f>IF(VLOOKUP(Table7[[#This Row],[Date]],Database!$A:$C,MATCH($B$1,Database!$A$1:$C$1,),)=0,#N/A,VLOOKUP(Table7[[#This Row],[Date]],Database!$A:$C,MATCH($B$1,Database!$A$1:$C$1,),))</f>
        <v/>
      </c>
      <c r="C12430">
        <f>IF(VLOOKUP(Table7[[#This Row],[Date]],Database!$A:$C,MATCH($C$1,Database!$A$1:$C$1,),)=0,#N/A,VLOOKUP(Table7[[#This Row],[Date]],Database!$A:$C,MATCH($C$1,Database!$A$1:$C$1,),))</f>
        <v/>
      </c>
      <c r="D12430">
        <f>IFERROR(Table7[[#This Row],[United States 10y]]-Table7[[#This Row],[United States 3y]],#N/A)</f>
        <v/>
      </c>
    </row>
    <row r="12431">
      <c r="A12431" s="6">
        <f>Database!$A14516</f>
        <v/>
      </c>
      <c r="B12431">
        <f>IF(VLOOKUP(Table7[[#This Row],[Date]],Database!$A:$C,MATCH($B$1,Database!$A$1:$C$1,),)=0,#N/A,VLOOKUP(Table7[[#This Row],[Date]],Database!$A:$C,MATCH($B$1,Database!$A$1:$C$1,),))</f>
        <v/>
      </c>
      <c r="C12431">
        <f>IF(VLOOKUP(Table7[[#This Row],[Date]],Database!$A:$C,MATCH($C$1,Database!$A$1:$C$1,),)=0,#N/A,VLOOKUP(Table7[[#This Row],[Date]],Database!$A:$C,MATCH($C$1,Database!$A$1:$C$1,),))</f>
        <v/>
      </c>
      <c r="D12431">
        <f>IFERROR(Table7[[#This Row],[United States 10y]]-Table7[[#This Row],[United States 3y]],#N/A)</f>
        <v/>
      </c>
    </row>
    <row r="12432">
      <c r="A12432" s="6">
        <f>Database!$A14517</f>
        <v/>
      </c>
      <c r="B12432">
        <f>IF(VLOOKUP(Table7[[#This Row],[Date]],Database!$A:$C,MATCH($B$1,Database!$A$1:$C$1,),)=0,#N/A,VLOOKUP(Table7[[#This Row],[Date]],Database!$A:$C,MATCH($B$1,Database!$A$1:$C$1,),))</f>
        <v/>
      </c>
      <c r="C12432">
        <f>IF(VLOOKUP(Table7[[#This Row],[Date]],Database!$A:$C,MATCH($C$1,Database!$A$1:$C$1,),)=0,#N/A,VLOOKUP(Table7[[#This Row],[Date]],Database!$A:$C,MATCH($C$1,Database!$A$1:$C$1,),))</f>
        <v/>
      </c>
      <c r="D12432">
        <f>IFERROR(Table7[[#This Row],[United States 10y]]-Table7[[#This Row],[United States 3y]],#N/A)</f>
        <v/>
      </c>
    </row>
    <row r="12433">
      <c r="A12433" s="6">
        <f>Database!$A14518</f>
        <v/>
      </c>
      <c r="B12433">
        <f>IF(VLOOKUP(Table7[[#This Row],[Date]],Database!$A:$C,MATCH($B$1,Database!$A$1:$C$1,),)=0,#N/A,VLOOKUP(Table7[[#This Row],[Date]],Database!$A:$C,MATCH($B$1,Database!$A$1:$C$1,),))</f>
        <v/>
      </c>
      <c r="C12433">
        <f>IF(VLOOKUP(Table7[[#This Row],[Date]],Database!$A:$C,MATCH($C$1,Database!$A$1:$C$1,),)=0,#N/A,VLOOKUP(Table7[[#This Row],[Date]],Database!$A:$C,MATCH($C$1,Database!$A$1:$C$1,),))</f>
        <v/>
      </c>
      <c r="D12433">
        <f>IFERROR(Table7[[#This Row],[United States 10y]]-Table7[[#This Row],[United States 3y]],#N/A)</f>
        <v/>
      </c>
    </row>
    <row r="12434">
      <c r="A12434" s="6">
        <f>Database!$A14519</f>
        <v/>
      </c>
      <c r="B12434">
        <f>IF(VLOOKUP(Table7[[#This Row],[Date]],Database!$A:$C,MATCH($B$1,Database!$A$1:$C$1,),)=0,#N/A,VLOOKUP(Table7[[#This Row],[Date]],Database!$A:$C,MATCH($B$1,Database!$A$1:$C$1,),))</f>
        <v/>
      </c>
      <c r="C12434">
        <f>IF(VLOOKUP(Table7[[#This Row],[Date]],Database!$A:$C,MATCH($C$1,Database!$A$1:$C$1,),)=0,#N/A,VLOOKUP(Table7[[#This Row],[Date]],Database!$A:$C,MATCH($C$1,Database!$A$1:$C$1,),))</f>
        <v/>
      </c>
      <c r="D12434">
        <f>IFERROR(Table7[[#This Row],[United States 10y]]-Table7[[#This Row],[United States 3y]],#N/A)</f>
        <v/>
      </c>
    </row>
    <row r="12435">
      <c r="A12435" s="6">
        <f>Database!$A14520</f>
        <v/>
      </c>
      <c r="B12435">
        <f>IF(VLOOKUP(Table7[[#This Row],[Date]],Database!$A:$C,MATCH($B$1,Database!$A$1:$C$1,),)=0,#N/A,VLOOKUP(Table7[[#This Row],[Date]],Database!$A:$C,MATCH($B$1,Database!$A$1:$C$1,),))</f>
        <v/>
      </c>
      <c r="C12435">
        <f>IF(VLOOKUP(Table7[[#This Row],[Date]],Database!$A:$C,MATCH($C$1,Database!$A$1:$C$1,),)=0,#N/A,VLOOKUP(Table7[[#This Row],[Date]],Database!$A:$C,MATCH($C$1,Database!$A$1:$C$1,),))</f>
        <v/>
      </c>
      <c r="D12435">
        <f>IFERROR(Table7[[#This Row],[United States 10y]]-Table7[[#This Row],[United States 3y]],#N/A)</f>
        <v/>
      </c>
    </row>
    <row r="12436">
      <c r="A12436" s="6">
        <f>Database!$A14521</f>
        <v/>
      </c>
      <c r="B12436">
        <f>IF(VLOOKUP(Table7[[#This Row],[Date]],Database!$A:$C,MATCH($B$1,Database!$A$1:$C$1,),)=0,#N/A,VLOOKUP(Table7[[#This Row],[Date]],Database!$A:$C,MATCH($B$1,Database!$A$1:$C$1,),))</f>
        <v/>
      </c>
      <c r="C12436">
        <f>IF(VLOOKUP(Table7[[#This Row],[Date]],Database!$A:$C,MATCH($C$1,Database!$A$1:$C$1,),)=0,#N/A,VLOOKUP(Table7[[#This Row],[Date]],Database!$A:$C,MATCH($C$1,Database!$A$1:$C$1,),))</f>
        <v/>
      </c>
      <c r="D12436">
        <f>IFERROR(Table7[[#This Row],[United States 10y]]-Table7[[#This Row],[United States 3y]],#N/A)</f>
        <v/>
      </c>
    </row>
    <row r="12437">
      <c r="A12437" s="6">
        <f>Database!$A14522</f>
        <v/>
      </c>
      <c r="B12437">
        <f>IF(VLOOKUP(Table7[[#This Row],[Date]],Database!$A:$C,MATCH($B$1,Database!$A$1:$C$1,),)=0,#N/A,VLOOKUP(Table7[[#This Row],[Date]],Database!$A:$C,MATCH($B$1,Database!$A$1:$C$1,),))</f>
        <v/>
      </c>
      <c r="C12437">
        <f>IF(VLOOKUP(Table7[[#This Row],[Date]],Database!$A:$C,MATCH($C$1,Database!$A$1:$C$1,),)=0,#N/A,VLOOKUP(Table7[[#This Row],[Date]],Database!$A:$C,MATCH($C$1,Database!$A$1:$C$1,),))</f>
        <v/>
      </c>
      <c r="D12437">
        <f>IFERROR(Table7[[#This Row],[United States 10y]]-Table7[[#This Row],[United States 3y]],#N/A)</f>
        <v/>
      </c>
    </row>
    <row r="12438">
      <c r="A12438" s="6">
        <f>Database!$A14523</f>
        <v/>
      </c>
      <c r="B12438">
        <f>IF(VLOOKUP(Table7[[#This Row],[Date]],Database!$A:$C,MATCH($B$1,Database!$A$1:$C$1,),)=0,#N/A,VLOOKUP(Table7[[#This Row],[Date]],Database!$A:$C,MATCH($B$1,Database!$A$1:$C$1,),))</f>
        <v/>
      </c>
      <c r="C12438">
        <f>IF(VLOOKUP(Table7[[#This Row],[Date]],Database!$A:$C,MATCH($C$1,Database!$A$1:$C$1,),)=0,#N/A,VLOOKUP(Table7[[#This Row],[Date]],Database!$A:$C,MATCH($C$1,Database!$A$1:$C$1,),))</f>
        <v/>
      </c>
      <c r="D12438">
        <f>IFERROR(Table7[[#This Row],[United States 10y]]-Table7[[#This Row],[United States 3y]],#N/A)</f>
        <v/>
      </c>
    </row>
    <row r="12439">
      <c r="A12439" s="6">
        <f>Database!$A14524</f>
        <v/>
      </c>
      <c r="B12439">
        <f>IF(VLOOKUP(Table7[[#This Row],[Date]],Database!$A:$C,MATCH($B$1,Database!$A$1:$C$1,),)=0,#N/A,VLOOKUP(Table7[[#This Row],[Date]],Database!$A:$C,MATCH($B$1,Database!$A$1:$C$1,),))</f>
        <v/>
      </c>
      <c r="C12439">
        <f>IF(VLOOKUP(Table7[[#This Row],[Date]],Database!$A:$C,MATCH($C$1,Database!$A$1:$C$1,),)=0,#N/A,VLOOKUP(Table7[[#This Row],[Date]],Database!$A:$C,MATCH($C$1,Database!$A$1:$C$1,),))</f>
        <v/>
      </c>
      <c r="D12439">
        <f>IFERROR(Table7[[#This Row],[United States 10y]]-Table7[[#This Row],[United States 3y]],#N/A)</f>
        <v/>
      </c>
    </row>
    <row r="12440">
      <c r="A12440" s="6">
        <f>Database!$A14525</f>
        <v/>
      </c>
      <c r="B12440">
        <f>IF(VLOOKUP(Table7[[#This Row],[Date]],Database!$A:$C,MATCH($B$1,Database!$A$1:$C$1,),)=0,#N/A,VLOOKUP(Table7[[#This Row],[Date]],Database!$A:$C,MATCH($B$1,Database!$A$1:$C$1,),))</f>
        <v/>
      </c>
      <c r="C12440">
        <f>IF(VLOOKUP(Table7[[#This Row],[Date]],Database!$A:$C,MATCH($C$1,Database!$A$1:$C$1,),)=0,#N/A,VLOOKUP(Table7[[#This Row],[Date]],Database!$A:$C,MATCH($C$1,Database!$A$1:$C$1,),))</f>
        <v/>
      </c>
      <c r="D12440">
        <f>IFERROR(Table7[[#This Row],[United States 10y]]-Table7[[#This Row],[United States 3y]],#N/A)</f>
        <v/>
      </c>
    </row>
    <row r="12441">
      <c r="A12441" s="6">
        <f>Database!$A14526</f>
        <v/>
      </c>
      <c r="B12441">
        <f>IF(VLOOKUP(Table7[[#This Row],[Date]],Database!$A:$C,MATCH($B$1,Database!$A$1:$C$1,),)=0,#N/A,VLOOKUP(Table7[[#This Row],[Date]],Database!$A:$C,MATCH($B$1,Database!$A$1:$C$1,),))</f>
        <v/>
      </c>
      <c r="C12441">
        <f>IF(VLOOKUP(Table7[[#This Row],[Date]],Database!$A:$C,MATCH($C$1,Database!$A$1:$C$1,),)=0,#N/A,VLOOKUP(Table7[[#This Row],[Date]],Database!$A:$C,MATCH($C$1,Database!$A$1:$C$1,),))</f>
        <v/>
      </c>
      <c r="D12441">
        <f>IFERROR(Table7[[#This Row],[United States 10y]]-Table7[[#This Row],[United States 3y]],#N/A)</f>
        <v/>
      </c>
    </row>
    <row r="12442">
      <c r="A12442" s="6">
        <f>Database!$A14527</f>
        <v/>
      </c>
      <c r="B12442">
        <f>IF(VLOOKUP(Table7[[#This Row],[Date]],Database!$A:$C,MATCH($B$1,Database!$A$1:$C$1,),)=0,#N/A,VLOOKUP(Table7[[#This Row],[Date]],Database!$A:$C,MATCH($B$1,Database!$A$1:$C$1,),))</f>
        <v/>
      </c>
      <c r="C12442">
        <f>IF(VLOOKUP(Table7[[#This Row],[Date]],Database!$A:$C,MATCH($C$1,Database!$A$1:$C$1,),)=0,#N/A,VLOOKUP(Table7[[#This Row],[Date]],Database!$A:$C,MATCH($C$1,Database!$A$1:$C$1,),))</f>
        <v/>
      </c>
      <c r="D12442">
        <f>IFERROR(Table7[[#This Row],[United States 10y]]-Table7[[#This Row],[United States 3y]],#N/A)</f>
        <v/>
      </c>
    </row>
    <row r="12443">
      <c r="A12443" s="6">
        <f>Database!$A14528</f>
        <v/>
      </c>
      <c r="B12443">
        <f>IF(VLOOKUP(Table7[[#This Row],[Date]],Database!$A:$C,MATCH($B$1,Database!$A$1:$C$1,),)=0,#N/A,VLOOKUP(Table7[[#This Row],[Date]],Database!$A:$C,MATCH($B$1,Database!$A$1:$C$1,),))</f>
        <v/>
      </c>
      <c r="C12443">
        <f>IF(VLOOKUP(Table7[[#This Row],[Date]],Database!$A:$C,MATCH($C$1,Database!$A$1:$C$1,),)=0,#N/A,VLOOKUP(Table7[[#This Row],[Date]],Database!$A:$C,MATCH($C$1,Database!$A$1:$C$1,),))</f>
        <v/>
      </c>
      <c r="D12443">
        <f>IFERROR(Table7[[#This Row],[United States 10y]]-Table7[[#This Row],[United States 3y]],#N/A)</f>
        <v/>
      </c>
    </row>
    <row r="12444">
      <c r="A12444" s="6">
        <f>Database!$A14529</f>
        <v/>
      </c>
      <c r="B12444">
        <f>IF(VLOOKUP(Table7[[#This Row],[Date]],Database!$A:$C,MATCH($B$1,Database!$A$1:$C$1,),)=0,#N/A,VLOOKUP(Table7[[#This Row],[Date]],Database!$A:$C,MATCH($B$1,Database!$A$1:$C$1,),))</f>
        <v/>
      </c>
      <c r="C12444">
        <f>IF(VLOOKUP(Table7[[#This Row],[Date]],Database!$A:$C,MATCH($C$1,Database!$A$1:$C$1,),)=0,#N/A,VLOOKUP(Table7[[#This Row],[Date]],Database!$A:$C,MATCH($C$1,Database!$A$1:$C$1,),))</f>
        <v/>
      </c>
      <c r="D12444">
        <f>IFERROR(Table7[[#This Row],[United States 10y]]-Table7[[#This Row],[United States 3y]],#N/A)</f>
        <v/>
      </c>
    </row>
    <row r="12445">
      <c r="A12445" s="6">
        <f>Database!$A14530</f>
        <v/>
      </c>
      <c r="B12445">
        <f>IF(VLOOKUP(Table7[[#This Row],[Date]],Database!$A:$C,MATCH($B$1,Database!$A$1:$C$1,),)=0,#N/A,VLOOKUP(Table7[[#This Row],[Date]],Database!$A:$C,MATCH($B$1,Database!$A$1:$C$1,),))</f>
        <v/>
      </c>
      <c r="C12445">
        <f>IF(VLOOKUP(Table7[[#This Row],[Date]],Database!$A:$C,MATCH($C$1,Database!$A$1:$C$1,),)=0,#N/A,VLOOKUP(Table7[[#This Row],[Date]],Database!$A:$C,MATCH($C$1,Database!$A$1:$C$1,),))</f>
        <v/>
      </c>
      <c r="D12445">
        <f>IFERROR(Table7[[#This Row],[United States 10y]]-Table7[[#This Row],[United States 3y]],#N/A)</f>
        <v/>
      </c>
    </row>
    <row r="12446">
      <c r="A12446" s="6">
        <f>Database!$A14531</f>
        <v/>
      </c>
      <c r="B12446">
        <f>IF(VLOOKUP(Table7[[#This Row],[Date]],Database!$A:$C,MATCH($B$1,Database!$A$1:$C$1,),)=0,#N/A,VLOOKUP(Table7[[#This Row],[Date]],Database!$A:$C,MATCH($B$1,Database!$A$1:$C$1,),))</f>
        <v/>
      </c>
      <c r="C12446">
        <f>IF(VLOOKUP(Table7[[#This Row],[Date]],Database!$A:$C,MATCH($C$1,Database!$A$1:$C$1,),)=0,#N/A,VLOOKUP(Table7[[#This Row],[Date]],Database!$A:$C,MATCH($C$1,Database!$A$1:$C$1,),))</f>
        <v/>
      </c>
      <c r="D12446">
        <f>IFERROR(Table7[[#This Row],[United States 10y]]-Table7[[#This Row],[United States 3y]],#N/A)</f>
        <v/>
      </c>
    </row>
    <row r="12447">
      <c r="A12447" s="6">
        <f>Database!$A14532</f>
        <v/>
      </c>
      <c r="B12447">
        <f>IF(VLOOKUP(Table7[[#This Row],[Date]],Database!$A:$C,MATCH($B$1,Database!$A$1:$C$1,),)=0,#N/A,VLOOKUP(Table7[[#This Row],[Date]],Database!$A:$C,MATCH($B$1,Database!$A$1:$C$1,),))</f>
        <v/>
      </c>
      <c r="C12447">
        <f>IF(VLOOKUP(Table7[[#This Row],[Date]],Database!$A:$C,MATCH($C$1,Database!$A$1:$C$1,),)=0,#N/A,VLOOKUP(Table7[[#This Row],[Date]],Database!$A:$C,MATCH($C$1,Database!$A$1:$C$1,),))</f>
        <v/>
      </c>
      <c r="D12447">
        <f>IFERROR(Table7[[#This Row],[United States 10y]]-Table7[[#This Row],[United States 3y]],#N/A)</f>
        <v/>
      </c>
    </row>
    <row r="12448">
      <c r="A12448" s="6">
        <f>Database!$A14533</f>
        <v/>
      </c>
      <c r="B12448">
        <f>IF(VLOOKUP(Table7[[#This Row],[Date]],Database!$A:$C,MATCH($B$1,Database!$A$1:$C$1,),)=0,#N/A,VLOOKUP(Table7[[#This Row],[Date]],Database!$A:$C,MATCH($B$1,Database!$A$1:$C$1,),))</f>
        <v/>
      </c>
      <c r="C12448">
        <f>IF(VLOOKUP(Table7[[#This Row],[Date]],Database!$A:$C,MATCH($C$1,Database!$A$1:$C$1,),)=0,#N/A,VLOOKUP(Table7[[#This Row],[Date]],Database!$A:$C,MATCH($C$1,Database!$A$1:$C$1,),))</f>
        <v/>
      </c>
      <c r="D12448">
        <f>IFERROR(Table7[[#This Row],[United States 10y]]-Table7[[#This Row],[United States 3y]],#N/A)</f>
        <v/>
      </c>
    </row>
    <row r="12449">
      <c r="A12449" s="6">
        <f>Database!$A14534</f>
        <v/>
      </c>
      <c r="B12449">
        <f>IF(VLOOKUP(Table7[[#This Row],[Date]],Database!$A:$C,MATCH($B$1,Database!$A$1:$C$1,),)=0,#N/A,VLOOKUP(Table7[[#This Row],[Date]],Database!$A:$C,MATCH($B$1,Database!$A$1:$C$1,),))</f>
        <v/>
      </c>
      <c r="C12449">
        <f>IF(VLOOKUP(Table7[[#This Row],[Date]],Database!$A:$C,MATCH($C$1,Database!$A$1:$C$1,),)=0,#N/A,VLOOKUP(Table7[[#This Row],[Date]],Database!$A:$C,MATCH($C$1,Database!$A$1:$C$1,),))</f>
        <v/>
      </c>
      <c r="D12449">
        <f>IFERROR(Table7[[#This Row],[United States 10y]]-Table7[[#This Row],[United States 3y]],#N/A)</f>
        <v/>
      </c>
    </row>
    <row r="12450">
      <c r="A12450" s="6">
        <f>Database!$A14535</f>
        <v/>
      </c>
      <c r="B12450">
        <f>IF(VLOOKUP(Table7[[#This Row],[Date]],Database!$A:$C,MATCH($B$1,Database!$A$1:$C$1,),)=0,#N/A,VLOOKUP(Table7[[#This Row],[Date]],Database!$A:$C,MATCH($B$1,Database!$A$1:$C$1,),))</f>
        <v/>
      </c>
      <c r="C12450">
        <f>IF(VLOOKUP(Table7[[#This Row],[Date]],Database!$A:$C,MATCH($C$1,Database!$A$1:$C$1,),)=0,#N/A,VLOOKUP(Table7[[#This Row],[Date]],Database!$A:$C,MATCH($C$1,Database!$A$1:$C$1,),))</f>
        <v/>
      </c>
      <c r="D12450">
        <f>IFERROR(Table7[[#This Row],[United States 10y]]-Table7[[#This Row],[United States 3y]],#N/A)</f>
        <v/>
      </c>
    </row>
    <row r="12451">
      <c r="A12451" s="6">
        <f>Database!$A14536</f>
        <v/>
      </c>
      <c r="B12451">
        <f>IF(VLOOKUP(Table7[[#This Row],[Date]],Database!$A:$C,MATCH($B$1,Database!$A$1:$C$1,),)=0,#N/A,VLOOKUP(Table7[[#This Row],[Date]],Database!$A:$C,MATCH($B$1,Database!$A$1:$C$1,),))</f>
        <v/>
      </c>
      <c r="C12451">
        <f>IF(VLOOKUP(Table7[[#This Row],[Date]],Database!$A:$C,MATCH($C$1,Database!$A$1:$C$1,),)=0,#N/A,VLOOKUP(Table7[[#This Row],[Date]],Database!$A:$C,MATCH($C$1,Database!$A$1:$C$1,),))</f>
        <v/>
      </c>
      <c r="D12451">
        <f>IFERROR(Table7[[#This Row],[United States 10y]]-Table7[[#This Row],[United States 3y]],#N/A)</f>
        <v/>
      </c>
    </row>
    <row r="12452">
      <c r="A12452" s="6">
        <f>Database!$A14537</f>
        <v/>
      </c>
      <c r="B12452">
        <f>IF(VLOOKUP(Table7[[#This Row],[Date]],Database!$A:$C,MATCH($B$1,Database!$A$1:$C$1,),)=0,#N/A,VLOOKUP(Table7[[#This Row],[Date]],Database!$A:$C,MATCH($B$1,Database!$A$1:$C$1,),))</f>
        <v/>
      </c>
      <c r="C12452">
        <f>IF(VLOOKUP(Table7[[#This Row],[Date]],Database!$A:$C,MATCH($C$1,Database!$A$1:$C$1,),)=0,#N/A,VLOOKUP(Table7[[#This Row],[Date]],Database!$A:$C,MATCH($C$1,Database!$A$1:$C$1,),))</f>
        <v/>
      </c>
      <c r="D12452">
        <f>IFERROR(Table7[[#This Row],[United States 10y]]-Table7[[#This Row],[United States 3y]],#N/A)</f>
        <v/>
      </c>
    </row>
    <row r="12453">
      <c r="A12453" s="6">
        <f>Database!$A14538</f>
        <v/>
      </c>
      <c r="B12453">
        <f>IF(VLOOKUP(Table7[[#This Row],[Date]],Database!$A:$C,MATCH($B$1,Database!$A$1:$C$1,),)=0,#N/A,VLOOKUP(Table7[[#This Row],[Date]],Database!$A:$C,MATCH($B$1,Database!$A$1:$C$1,),))</f>
        <v/>
      </c>
      <c r="C12453">
        <f>IF(VLOOKUP(Table7[[#This Row],[Date]],Database!$A:$C,MATCH($C$1,Database!$A$1:$C$1,),)=0,#N/A,VLOOKUP(Table7[[#This Row],[Date]],Database!$A:$C,MATCH($C$1,Database!$A$1:$C$1,),))</f>
        <v/>
      </c>
      <c r="D12453">
        <f>IFERROR(Table7[[#This Row],[United States 10y]]-Table7[[#This Row],[United States 3y]],#N/A)</f>
        <v/>
      </c>
    </row>
    <row r="12454">
      <c r="A12454" s="6">
        <f>Database!$A14539</f>
        <v/>
      </c>
      <c r="B12454">
        <f>IF(VLOOKUP(Table7[[#This Row],[Date]],Database!$A:$C,MATCH($B$1,Database!$A$1:$C$1,),)=0,#N/A,VLOOKUP(Table7[[#This Row],[Date]],Database!$A:$C,MATCH($B$1,Database!$A$1:$C$1,),))</f>
        <v/>
      </c>
      <c r="C12454">
        <f>IF(VLOOKUP(Table7[[#This Row],[Date]],Database!$A:$C,MATCH($C$1,Database!$A$1:$C$1,),)=0,#N/A,VLOOKUP(Table7[[#This Row],[Date]],Database!$A:$C,MATCH($C$1,Database!$A$1:$C$1,),))</f>
        <v/>
      </c>
      <c r="D12454">
        <f>IFERROR(Table7[[#This Row],[United States 10y]]-Table7[[#This Row],[United States 3y]],#N/A)</f>
        <v/>
      </c>
    </row>
    <row r="12455">
      <c r="A12455" s="6">
        <f>Database!$A14540</f>
        <v/>
      </c>
      <c r="B12455">
        <f>IF(VLOOKUP(Table7[[#This Row],[Date]],Database!$A:$C,MATCH($B$1,Database!$A$1:$C$1,),)=0,#N/A,VLOOKUP(Table7[[#This Row],[Date]],Database!$A:$C,MATCH($B$1,Database!$A$1:$C$1,),))</f>
        <v/>
      </c>
      <c r="C12455">
        <f>IF(VLOOKUP(Table7[[#This Row],[Date]],Database!$A:$C,MATCH($C$1,Database!$A$1:$C$1,),)=0,#N/A,VLOOKUP(Table7[[#This Row],[Date]],Database!$A:$C,MATCH($C$1,Database!$A$1:$C$1,),))</f>
        <v/>
      </c>
      <c r="D12455">
        <f>IFERROR(Table7[[#This Row],[United States 10y]]-Table7[[#This Row],[United States 3y]],#N/A)</f>
        <v/>
      </c>
    </row>
    <row r="12456">
      <c r="A12456" s="6">
        <f>Database!$A14541</f>
        <v/>
      </c>
      <c r="B12456">
        <f>IF(VLOOKUP(Table7[[#This Row],[Date]],Database!$A:$C,MATCH($B$1,Database!$A$1:$C$1,),)=0,#N/A,VLOOKUP(Table7[[#This Row],[Date]],Database!$A:$C,MATCH($B$1,Database!$A$1:$C$1,),))</f>
        <v/>
      </c>
      <c r="C12456">
        <f>IF(VLOOKUP(Table7[[#This Row],[Date]],Database!$A:$C,MATCH($C$1,Database!$A$1:$C$1,),)=0,#N/A,VLOOKUP(Table7[[#This Row],[Date]],Database!$A:$C,MATCH($C$1,Database!$A$1:$C$1,),))</f>
        <v/>
      </c>
      <c r="D12456">
        <f>IFERROR(Table7[[#This Row],[United States 10y]]-Table7[[#This Row],[United States 3y]],#N/A)</f>
        <v/>
      </c>
    </row>
    <row r="12457">
      <c r="A12457" s="6">
        <f>Database!$A14542</f>
        <v/>
      </c>
      <c r="B12457">
        <f>IF(VLOOKUP(Table7[[#This Row],[Date]],Database!$A:$C,MATCH($B$1,Database!$A$1:$C$1,),)=0,#N/A,VLOOKUP(Table7[[#This Row],[Date]],Database!$A:$C,MATCH($B$1,Database!$A$1:$C$1,),))</f>
        <v/>
      </c>
      <c r="C12457">
        <f>IF(VLOOKUP(Table7[[#This Row],[Date]],Database!$A:$C,MATCH($C$1,Database!$A$1:$C$1,),)=0,#N/A,VLOOKUP(Table7[[#This Row],[Date]],Database!$A:$C,MATCH($C$1,Database!$A$1:$C$1,),))</f>
        <v/>
      </c>
      <c r="D12457">
        <f>IFERROR(Table7[[#This Row],[United States 10y]]-Table7[[#This Row],[United States 3y]],#N/A)</f>
        <v/>
      </c>
    </row>
    <row r="12458">
      <c r="A12458" s="6">
        <f>Database!$A14543</f>
        <v/>
      </c>
      <c r="B12458">
        <f>IF(VLOOKUP(Table7[[#This Row],[Date]],Database!$A:$C,MATCH($B$1,Database!$A$1:$C$1,),)=0,#N/A,VLOOKUP(Table7[[#This Row],[Date]],Database!$A:$C,MATCH($B$1,Database!$A$1:$C$1,),))</f>
        <v/>
      </c>
      <c r="C12458">
        <f>IF(VLOOKUP(Table7[[#This Row],[Date]],Database!$A:$C,MATCH($C$1,Database!$A$1:$C$1,),)=0,#N/A,VLOOKUP(Table7[[#This Row],[Date]],Database!$A:$C,MATCH($C$1,Database!$A$1:$C$1,),))</f>
        <v/>
      </c>
      <c r="D12458">
        <f>IFERROR(Table7[[#This Row],[United States 10y]]-Table7[[#This Row],[United States 3y]],#N/A)</f>
        <v/>
      </c>
    </row>
    <row r="12459">
      <c r="A12459" s="6">
        <f>Database!$A14544</f>
        <v/>
      </c>
      <c r="B12459">
        <f>IF(VLOOKUP(Table7[[#This Row],[Date]],Database!$A:$C,MATCH($B$1,Database!$A$1:$C$1,),)=0,#N/A,VLOOKUP(Table7[[#This Row],[Date]],Database!$A:$C,MATCH($B$1,Database!$A$1:$C$1,),))</f>
        <v/>
      </c>
      <c r="C12459">
        <f>IF(VLOOKUP(Table7[[#This Row],[Date]],Database!$A:$C,MATCH($C$1,Database!$A$1:$C$1,),)=0,#N/A,VLOOKUP(Table7[[#This Row],[Date]],Database!$A:$C,MATCH($C$1,Database!$A$1:$C$1,),))</f>
        <v/>
      </c>
      <c r="D12459">
        <f>IFERROR(Table7[[#This Row],[United States 10y]]-Table7[[#This Row],[United States 3y]],#N/A)</f>
        <v/>
      </c>
    </row>
    <row r="12460">
      <c r="A12460" s="6">
        <f>Database!$A14545</f>
        <v/>
      </c>
      <c r="B12460">
        <f>IF(VLOOKUP(Table7[[#This Row],[Date]],Database!$A:$C,MATCH($B$1,Database!$A$1:$C$1,),)=0,#N/A,VLOOKUP(Table7[[#This Row],[Date]],Database!$A:$C,MATCH($B$1,Database!$A$1:$C$1,),))</f>
        <v/>
      </c>
      <c r="C12460">
        <f>IF(VLOOKUP(Table7[[#This Row],[Date]],Database!$A:$C,MATCH($C$1,Database!$A$1:$C$1,),)=0,#N/A,VLOOKUP(Table7[[#This Row],[Date]],Database!$A:$C,MATCH($C$1,Database!$A$1:$C$1,),))</f>
        <v/>
      </c>
      <c r="D12460">
        <f>IFERROR(Table7[[#This Row],[United States 10y]]-Table7[[#This Row],[United States 3y]],#N/A)</f>
        <v/>
      </c>
    </row>
    <row r="12461">
      <c r="A12461" s="6">
        <f>Database!$A14546</f>
        <v/>
      </c>
      <c r="B12461">
        <f>IF(VLOOKUP(Table7[[#This Row],[Date]],Database!$A:$C,MATCH($B$1,Database!$A$1:$C$1,),)=0,#N/A,VLOOKUP(Table7[[#This Row],[Date]],Database!$A:$C,MATCH($B$1,Database!$A$1:$C$1,),))</f>
        <v/>
      </c>
      <c r="C12461">
        <f>IF(VLOOKUP(Table7[[#This Row],[Date]],Database!$A:$C,MATCH($C$1,Database!$A$1:$C$1,),)=0,#N/A,VLOOKUP(Table7[[#This Row],[Date]],Database!$A:$C,MATCH($C$1,Database!$A$1:$C$1,),))</f>
        <v/>
      </c>
      <c r="D12461">
        <f>IFERROR(Table7[[#This Row],[United States 10y]]-Table7[[#This Row],[United States 3y]],#N/A)</f>
        <v/>
      </c>
    </row>
    <row r="12462">
      <c r="A12462" s="6">
        <f>Database!$A14547</f>
        <v/>
      </c>
      <c r="B12462">
        <f>IF(VLOOKUP(Table7[[#This Row],[Date]],Database!$A:$C,MATCH($B$1,Database!$A$1:$C$1,),)=0,#N/A,VLOOKUP(Table7[[#This Row],[Date]],Database!$A:$C,MATCH($B$1,Database!$A$1:$C$1,),))</f>
        <v/>
      </c>
      <c r="C12462">
        <f>IF(VLOOKUP(Table7[[#This Row],[Date]],Database!$A:$C,MATCH($C$1,Database!$A$1:$C$1,),)=0,#N/A,VLOOKUP(Table7[[#This Row],[Date]],Database!$A:$C,MATCH($C$1,Database!$A$1:$C$1,),))</f>
        <v/>
      </c>
      <c r="D12462">
        <f>IFERROR(Table7[[#This Row],[United States 10y]]-Table7[[#This Row],[United States 3y]],#N/A)</f>
        <v/>
      </c>
    </row>
    <row r="12463">
      <c r="A12463" s="6">
        <f>Database!$A14548</f>
        <v/>
      </c>
      <c r="B12463">
        <f>IF(VLOOKUP(Table7[[#This Row],[Date]],Database!$A:$C,MATCH($B$1,Database!$A$1:$C$1,),)=0,#N/A,VLOOKUP(Table7[[#This Row],[Date]],Database!$A:$C,MATCH($B$1,Database!$A$1:$C$1,),))</f>
        <v/>
      </c>
      <c r="C12463">
        <f>IF(VLOOKUP(Table7[[#This Row],[Date]],Database!$A:$C,MATCH($C$1,Database!$A$1:$C$1,),)=0,#N/A,VLOOKUP(Table7[[#This Row],[Date]],Database!$A:$C,MATCH($C$1,Database!$A$1:$C$1,),))</f>
        <v/>
      </c>
      <c r="D12463">
        <f>IFERROR(Table7[[#This Row],[United States 10y]]-Table7[[#This Row],[United States 3y]],#N/A)</f>
        <v/>
      </c>
    </row>
    <row r="12464">
      <c r="A12464" s="6">
        <f>Database!$A14549</f>
        <v/>
      </c>
      <c r="B12464">
        <f>IF(VLOOKUP(Table7[[#This Row],[Date]],Database!$A:$C,MATCH($B$1,Database!$A$1:$C$1,),)=0,#N/A,VLOOKUP(Table7[[#This Row],[Date]],Database!$A:$C,MATCH($B$1,Database!$A$1:$C$1,),))</f>
        <v/>
      </c>
      <c r="C12464">
        <f>IF(VLOOKUP(Table7[[#This Row],[Date]],Database!$A:$C,MATCH($C$1,Database!$A$1:$C$1,),)=0,#N/A,VLOOKUP(Table7[[#This Row],[Date]],Database!$A:$C,MATCH($C$1,Database!$A$1:$C$1,),))</f>
        <v/>
      </c>
      <c r="D12464">
        <f>IFERROR(Table7[[#This Row],[United States 10y]]-Table7[[#This Row],[United States 3y]],#N/A)</f>
        <v/>
      </c>
    </row>
    <row r="12465">
      <c r="A12465" s="6">
        <f>Database!$A14550</f>
        <v/>
      </c>
      <c r="B12465">
        <f>IF(VLOOKUP(Table7[[#This Row],[Date]],Database!$A:$C,MATCH($B$1,Database!$A$1:$C$1,),)=0,#N/A,VLOOKUP(Table7[[#This Row],[Date]],Database!$A:$C,MATCH($B$1,Database!$A$1:$C$1,),))</f>
        <v/>
      </c>
      <c r="C12465">
        <f>IF(VLOOKUP(Table7[[#This Row],[Date]],Database!$A:$C,MATCH($C$1,Database!$A$1:$C$1,),)=0,#N/A,VLOOKUP(Table7[[#This Row],[Date]],Database!$A:$C,MATCH($C$1,Database!$A$1:$C$1,),))</f>
        <v/>
      </c>
      <c r="D12465">
        <f>IFERROR(Table7[[#This Row],[United States 10y]]-Table7[[#This Row],[United States 3y]],#N/A)</f>
        <v/>
      </c>
    </row>
    <row r="12466">
      <c r="A12466" s="6">
        <f>Database!$A14551</f>
        <v/>
      </c>
      <c r="B12466">
        <f>IF(VLOOKUP(Table7[[#This Row],[Date]],Database!$A:$C,MATCH($B$1,Database!$A$1:$C$1,),)=0,#N/A,VLOOKUP(Table7[[#This Row],[Date]],Database!$A:$C,MATCH($B$1,Database!$A$1:$C$1,),))</f>
        <v/>
      </c>
      <c r="C12466">
        <f>IF(VLOOKUP(Table7[[#This Row],[Date]],Database!$A:$C,MATCH($C$1,Database!$A$1:$C$1,),)=0,#N/A,VLOOKUP(Table7[[#This Row],[Date]],Database!$A:$C,MATCH($C$1,Database!$A$1:$C$1,),))</f>
        <v/>
      </c>
      <c r="D12466">
        <f>IFERROR(Table7[[#This Row],[United States 10y]]-Table7[[#This Row],[United States 3y]],#N/A)</f>
        <v/>
      </c>
    </row>
    <row r="12467">
      <c r="A12467" s="6">
        <f>Database!$A14552</f>
        <v/>
      </c>
      <c r="B12467">
        <f>IF(VLOOKUP(Table7[[#This Row],[Date]],Database!$A:$C,MATCH($B$1,Database!$A$1:$C$1,),)=0,#N/A,VLOOKUP(Table7[[#This Row],[Date]],Database!$A:$C,MATCH($B$1,Database!$A$1:$C$1,),))</f>
        <v/>
      </c>
      <c r="C12467">
        <f>IF(VLOOKUP(Table7[[#This Row],[Date]],Database!$A:$C,MATCH($C$1,Database!$A$1:$C$1,),)=0,#N/A,VLOOKUP(Table7[[#This Row],[Date]],Database!$A:$C,MATCH($C$1,Database!$A$1:$C$1,),))</f>
        <v/>
      </c>
      <c r="D12467">
        <f>IFERROR(Table7[[#This Row],[United States 10y]]-Table7[[#This Row],[United States 3y]],#N/A)</f>
        <v/>
      </c>
    </row>
    <row r="12468">
      <c r="A12468" s="6">
        <f>Database!$A14553</f>
        <v/>
      </c>
      <c r="B12468">
        <f>IF(VLOOKUP(Table7[[#This Row],[Date]],Database!$A:$C,MATCH($B$1,Database!$A$1:$C$1,),)=0,#N/A,VLOOKUP(Table7[[#This Row],[Date]],Database!$A:$C,MATCH($B$1,Database!$A$1:$C$1,),))</f>
        <v/>
      </c>
      <c r="C12468">
        <f>IF(VLOOKUP(Table7[[#This Row],[Date]],Database!$A:$C,MATCH($C$1,Database!$A$1:$C$1,),)=0,#N/A,VLOOKUP(Table7[[#This Row],[Date]],Database!$A:$C,MATCH($C$1,Database!$A$1:$C$1,),))</f>
        <v/>
      </c>
      <c r="D12468">
        <f>IFERROR(Table7[[#This Row],[United States 10y]]-Table7[[#This Row],[United States 3y]],#N/A)</f>
        <v/>
      </c>
    </row>
    <row r="12469">
      <c r="A12469" s="6">
        <f>Database!$A14554</f>
        <v/>
      </c>
      <c r="B12469">
        <f>IF(VLOOKUP(Table7[[#This Row],[Date]],Database!$A:$C,MATCH($B$1,Database!$A$1:$C$1,),)=0,#N/A,VLOOKUP(Table7[[#This Row],[Date]],Database!$A:$C,MATCH($B$1,Database!$A$1:$C$1,),))</f>
        <v/>
      </c>
      <c r="C12469">
        <f>IF(VLOOKUP(Table7[[#This Row],[Date]],Database!$A:$C,MATCH($C$1,Database!$A$1:$C$1,),)=0,#N/A,VLOOKUP(Table7[[#This Row],[Date]],Database!$A:$C,MATCH($C$1,Database!$A$1:$C$1,),))</f>
        <v/>
      </c>
      <c r="D12469">
        <f>IFERROR(Table7[[#This Row],[United States 10y]]-Table7[[#This Row],[United States 3y]],#N/A)</f>
        <v/>
      </c>
    </row>
    <row r="12470">
      <c r="A12470" s="6">
        <f>Database!$A14555</f>
        <v/>
      </c>
      <c r="B12470">
        <f>IF(VLOOKUP(Table7[[#This Row],[Date]],Database!$A:$C,MATCH($B$1,Database!$A$1:$C$1,),)=0,#N/A,VLOOKUP(Table7[[#This Row],[Date]],Database!$A:$C,MATCH($B$1,Database!$A$1:$C$1,),))</f>
        <v/>
      </c>
      <c r="C12470">
        <f>IF(VLOOKUP(Table7[[#This Row],[Date]],Database!$A:$C,MATCH($C$1,Database!$A$1:$C$1,),)=0,#N/A,VLOOKUP(Table7[[#This Row],[Date]],Database!$A:$C,MATCH($C$1,Database!$A$1:$C$1,),))</f>
        <v/>
      </c>
      <c r="D12470">
        <f>IFERROR(Table7[[#This Row],[United States 10y]]-Table7[[#This Row],[United States 3y]],#N/A)</f>
        <v/>
      </c>
    </row>
    <row r="12471">
      <c r="A12471" s="6">
        <f>Database!$A14556</f>
        <v/>
      </c>
      <c r="B12471">
        <f>IF(VLOOKUP(Table7[[#This Row],[Date]],Database!$A:$C,MATCH($B$1,Database!$A$1:$C$1,),)=0,#N/A,VLOOKUP(Table7[[#This Row],[Date]],Database!$A:$C,MATCH($B$1,Database!$A$1:$C$1,),))</f>
        <v/>
      </c>
      <c r="C12471">
        <f>IF(VLOOKUP(Table7[[#This Row],[Date]],Database!$A:$C,MATCH($C$1,Database!$A$1:$C$1,),)=0,#N/A,VLOOKUP(Table7[[#This Row],[Date]],Database!$A:$C,MATCH($C$1,Database!$A$1:$C$1,),))</f>
        <v/>
      </c>
      <c r="D12471">
        <f>IFERROR(Table7[[#This Row],[United States 10y]]-Table7[[#This Row],[United States 3y]],#N/A)</f>
        <v/>
      </c>
    </row>
    <row r="12472">
      <c r="A12472" s="6">
        <f>Database!$A14557</f>
        <v/>
      </c>
      <c r="B12472">
        <f>IF(VLOOKUP(Table7[[#This Row],[Date]],Database!$A:$C,MATCH($B$1,Database!$A$1:$C$1,),)=0,#N/A,VLOOKUP(Table7[[#This Row],[Date]],Database!$A:$C,MATCH($B$1,Database!$A$1:$C$1,),))</f>
        <v/>
      </c>
      <c r="C12472">
        <f>IF(VLOOKUP(Table7[[#This Row],[Date]],Database!$A:$C,MATCH($C$1,Database!$A$1:$C$1,),)=0,#N/A,VLOOKUP(Table7[[#This Row],[Date]],Database!$A:$C,MATCH($C$1,Database!$A$1:$C$1,),))</f>
        <v/>
      </c>
      <c r="D12472">
        <f>IFERROR(Table7[[#This Row],[United States 10y]]-Table7[[#This Row],[United States 3y]],#N/A)</f>
        <v/>
      </c>
    </row>
    <row r="12473">
      <c r="A12473" s="6">
        <f>Database!$A14558</f>
        <v/>
      </c>
      <c r="B12473">
        <f>IF(VLOOKUP(Table7[[#This Row],[Date]],Database!$A:$C,MATCH($B$1,Database!$A$1:$C$1,),)=0,#N/A,VLOOKUP(Table7[[#This Row],[Date]],Database!$A:$C,MATCH($B$1,Database!$A$1:$C$1,),))</f>
        <v/>
      </c>
      <c r="C12473">
        <f>IF(VLOOKUP(Table7[[#This Row],[Date]],Database!$A:$C,MATCH($C$1,Database!$A$1:$C$1,),)=0,#N/A,VLOOKUP(Table7[[#This Row],[Date]],Database!$A:$C,MATCH($C$1,Database!$A$1:$C$1,),))</f>
        <v/>
      </c>
      <c r="D12473">
        <f>IFERROR(Table7[[#This Row],[United States 10y]]-Table7[[#This Row],[United States 3y]],#N/A)</f>
        <v/>
      </c>
    </row>
    <row r="12474">
      <c r="A12474" s="6">
        <f>Database!$A14559</f>
        <v/>
      </c>
      <c r="B12474">
        <f>IF(VLOOKUP(Table7[[#This Row],[Date]],Database!$A:$C,MATCH($B$1,Database!$A$1:$C$1,),)=0,#N/A,VLOOKUP(Table7[[#This Row],[Date]],Database!$A:$C,MATCH($B$1,Database!$A$1:$C$1,),))</f>
        <v/>
      </c>
      <c r="C12474">
        <f>IF(VLOOKUP(Table7[[#This Row],[Date]],Database!$A:$C,MATCH($C$1,Database!$A$1:$C$1,),)=0,#N/A,VLOOKUP(Table7[[#This Row],[Date]],Database!$A:$C,MATCH($C$1,Database!$A$1:$C$1,),))</f>
        <v/>
      </c>
      <c r="D12474">
        <f>IFERROR(Table7[[#This Row],[United States 10y]]-Table7[[#This Row],[United States 3y]],#N/A)</f>
        <v/>
      </c>
    </row>
    <row r="12475">
      <c r="A12475" s="6">
        <f>Database!$A14560</f>
        <v/>
      </c>
      <c r="B12475">
        <f>IF(VLOOKUP(Table7[[#This Row],[Date]],Database!$A:$C,MATCH($B$1,Database!$A$1:$C$1,),)=0,#N/A,VLOOKUP(Table7[[#This Row],[Date]],Database!$A:$C,MATCH($B$1,Database!$A$1:$C$1,),))</f>
        <v/>
      </c>
      <c r="C12475">
        <f>IF(VLOOKUP(Table7[[#This Row],[Date]],Database!$A:$C,MATCH($C$1,Database!$A$1:$C$1,),)=0,#N/A,VLOOKUP(Table7[[#This Row],[Date]],Database!$A:$C,MATCH($C$1,Database!$A$1:$C$1,),))</f>
        <v/>
      </c>
      <c r="D12475">
        <f>IFERROR(Table7[[#This Row],[United States 10y]]-Table7[[#This Row],[United States 3y]],#N/A)</f>
        <v/>
      </c>
    </row>
    <row r="12476">
      <c r="A12476" s="6">
        <f>Database!$A14561</f>
        <v/>
      </c>
      <c r="B12476">
        <f>IF(VLOOKUP(Table7[[#This Row],[Date]],Database!$A:$C,MATCH($B$1,Database!$A$1:$C$1,),)=0,#N/A,VLOOKUP(Table7[[#This Row],[Date]],Database!$A:$C,MATCH($B$1,Database!$A$1:$C$1,),))</f>
        <v/>
      </c>
      <c r="C12476">
        <f>IF(VLOOKUP(Table7[[#This Row],[Date]],Database!$A:$C,MATCH($C$1,Database!$A$1:$C$1,),)=0,#N/A,VLOOKUP(Table7[[#This Row],[Date]],Database!$A:$C,MATCH($C$1,Database!$A$1:$C$1,),))</f>
        <v/>
      </c>
      <c r="D12476">
        <f>IFERROR(Table7[[#This Row],[United States 10y]]-Table7[[#This Row],[United States 3y]],#N/A)</f>
        <v/>
      </c>
    </row>
    <row r="12477">
      <c r="A12477" s="6">
        <f>Database!$A14562</f>
        <v/>
      </c>
      <c r="B12477">
        <f>IF(VLOOKUP(Table7[[#This Row],[Date]],Database!$A:$C,MATCH($B$1,Database!$A$1:$C$1,),)=0,#N/A,VLOOKUP(Table7[[#This Row],[Date]],Database!$A:$C,MATCH($B$1,Database!$A$1:$C$1,),))</f>
        <v/>
      </c>
      <c r="C12477">
        <f>IF(VLOOKUP(Table7[[#This Row],[Date]],Database!$A:$C,MATCH($C$1,Database!$A$1:$C$1,),)=0,#N/A,VLOOKUP(Table7[[#This Row],[Date]],Database!$A:$C,MATCH($C$1,Database!$A$1:$C$1,),))</f>
        <v/>
      </c>
      <c r="D12477">
        <f>IFERROR(Table7[[#This Row],[United States 10y]]-Table7[[#This Row],[United States 3y]],#N/A)</f>
        <v/>
      </c>
    </row>
    <row r="12478">
      <c r="A12478" s="6">
        <f>Database!$A14563</f>
        <v/>
      </c>
      <c r="B12478">
        <f>IF(VLOOKUP(Table7[[#This Row],[Date]],Database!$A:$C,MATCH($B$1,Database!$A$1:$C$1,),)=0,#N/A,VLOOKUP(Table7[[#This Row],[Date]],Database!$A:$C,MATCH($B$1,Database!$A$1:$C$1,),))</f>
        <v/>
      </c>
      <c r="C12478">
        <f>IF(VLOOKUP(Table7[[#This Row],[Date]],Database!$A:$C,MATCH($C$1,Database!$A$1:$C$1,),)=0,#N/A,VLOOKUP(Table7[[#This Row],[Date]],Database!$A:$C,MATCH($C$1,Database!$A$1:$C$1,),))</f>
        <v/>
      </c>
      <c r="D12478">
        <f>IFERROR(Table7[[#This Row],[United States 10y]]-Table7[[#This Row],[United States 3y]],#N/A)</f>
        <v/>
      </c>
    </row>
    <row r="12479">
      <c r="A12479" s="6">
        <f>Database!$A14564</f>
        <v/>
      </c>
      <c r="B12479">
        <f>IF(VLOOKUP(Table7[[#This Row],[Date]],Database!$A:$C,MATCH($B$1,Database!$A$1:$C$1,),)=0,#N/A,VLOOKUP(Table7[[#This Row],[Date]],Database!$A:$C,MATCH($B$1,Database!$A$1:$C$1,),))</f>
        <v/>
      </c>
      <c r="C12479">
        <f>IF(VLOOKUP(Table7[[#This Row],[Date]],Database!$A:$C,MATCH($C$1,Database!$A$1:$C$1,),)=0,#N/A,VLOOKUP(Table7[[#This Row],[Date]],Database!$A:$C,MATCH($C$1,Database!$A$1:$C$1,),))</f>
        <v/>
      </c>
      <c r="D12479">
        <f>IFERROR(Table7[[#This Row],[United States 10y]]-Table7[[#This Row],[United States 3y]],#N/A)</f>
        <v/>
      </c>
    </row>
    <row r="12480">
      <c r="A12480" s="6">
        <f>Database!$A14565</f>
        <v/>
      </c>
      <c r="B12480">
        <f>IF(VLOOKUP(Table7[[#This Row],[Date]],Database!$A:$C,MATCH($B$1,Database!$A$1:$C$1,),)=0,#N/A,VLOOKUP(Table7[[#This Row],[Date]],Database!$A:$C,MATCH($B$1,Database!$A$1:$C$1,),))</f>
        <v/>
      </c>
      <c r="C12480">
        <f>IF(VLOOKUP(Table7[[#This Row],[Date]],Database!$A:$C,MATCH($C$1,Database!$A$1:$C$1,),)=0,#N/A,VLOOKUP(Table7[[#This Row],[Date]],Database!$A:$C,MATCH($C$1,Database!$A$1:$C$1,),))</f>
        <v/>
      </c>
      <c r="D12480">
        <f>IFERROR(Table7[[#This Row],[United States 10y]]-Table7[[#This Row],[United States 3y]],#N/A)</f>
        <v/>
      </c>
    </row>
    <row r="12481">
      <c r="A12481" s="6">
        <f>Database!$A14566</f>
        <v/>
      </c>
      <c r="B12481">
        <f>IF(VLOOKUP(Table7[[#This Row],[Date]],Database!$A:$C,MATCH($B$1,Database!$A$1:$C$1,),)=0,#N/A,VLOOKUP(Table7[[#This Row],[Date]],Database!$A:$C,MATCH($B$1,Database!$A$1:$C$1,),))</f>
        <v/>
      </c>
      <c r="C12481">
        <f>IF(VLOOKUP(Table7[[#This Row],[Date]],Database!$A:$C,MATCH($C$1,Database!$A$1:$C$1,),)=0,#N/A,VLOOKUP(Table7[[#This Row],[Date]],Database!$A:$C,MATCH($C$1,Database!$A$1:$C$1,),))</f>
        <v/>
      </c>
      <c r="D12481">
        <f>IFERROR(Table7[[#This Row],[United States 10y]]-Table7[[#This Row],[United States 3y]],#N/A)</f>
        <v/>
      </c>
    </row>
    <row r="12482">
      <c r="A12482" s="6">
        <f>Database!$A14567</f>
        <v/>
      </c>
      <c r="B12482">
        <f>IF(VLOOKUP(Table7[[#This Row],[Date]],Database!$A:$C,MATCH($B$1,Database!$A$1:$C$1,),)=0,#N/A,VLOOKUP(Table7[[#This Row],[Date]],Database!$A:$C,MATCH($B$1,Database!$A$1:$C$1,),))</f>
        <v/>
      </c>
      <c r="C12482">
        <f>IF(VLOOKUP(Table7[[#This Row],[Date]],Database!$A:$C,MATCH($C$1,Database!$A$1:$C$1,),)=0,#N/A,VLOOKUP(Table7[[#This Row],[Date]],Database!$A:$C,MATCH($C$1,Database!$A$1:$C$1,),))</f>
        <v/>
      </c>
      <c r="D12482">
        <f>IFERROR(Table7[[#This Row],[United States 10y]]-Table7[[#This Row],[United States 3y]],#N/A)</f>
        <v/>
      </c>
    </row>
    <row r="12483">
      <c r="A12483" s="6">
        <f>Database!$A14568</f>
        <v/>
      </c>
      <c r="B12483">
        <f>IF(VLOOKUP(Table7[[#This Row],[Date]],Database!$A:$C,MATCH($B$1,Database!$A$1:$C$1,),)=0,#N/A,VLOOKUP(Table7[[#This Row],[Date]],Database!$A:$C,MATCH($B$1,Database!$A$1:$C$1,),))</f>
        <v/>
      </c>
      <c r="C12483">
        <f>IF(VLOOKUP(Table7[[#This Row],[Date]],Database!$A:$C,MATCH($C$1,Database!$A$1:$C$1,),)=0,#N/A,VLOOKUP(Table7[[#This Row],[Date]],Database!$A:$C,MATCH($C$1,Database!$A$1:$C$1,),))</f>
        <v/>
      </c>
      <c r="D12483">
        <f>IFERROR(Table7[[#This Row],[United States 10y]]-Table7[[#This Row],[United States 3y]],#N/A)</f>
        <v/>
      </c>
    </row>
    <row r="12484">
      <c r="A12484" s="6">
        <f>Database!$A14569</f>
        <v/>
      </c>
      <c r="B12484">
        <f>IF(VLOOKUP(Table7[[#This Row],[Date]],Database!$A:$C,MATCH($B$1,Database!$A$1:$C$1,),)=0,#N/A,VLOOKUP(Table7[[#This Row],[Date]],Database!$A:$C,MATCH($B$1,Database!$A$1:$C$1,),))</f>
        <v/>
      </c>
      <c r="C12484">
        <f>IF(VLOOKUP(Table7[[#This Row],[Date]],Database!$A:$C,MATCH($C$1,Database!$A$1:$C$1,),)=0,#N/A,VLOOKUP(Table7[[#This Row],[Date]],Database!$A:$C,MATCH($C$1,Database!$A$1:$C$1,),))</f>
        <v/>
      </c>
      <c r="D12484">
        <f>IFERROR(Table7[[#This Row],[United States 10y]]-Table7[[#This Row],[United States 3y]],#N/A)</f>
        <v/>
      </c>
    </row>
    <row r="12485">
      <c r="A12485" s="6">
        <f>Database!$A14570</f>
        <v/>
      </c>
      <c r="B12485">
        <f>IF(VLOOKUP(Table7[[#This Row],[Date]],Database!$A:$C,MATCH($B$1,Database!$A$1:$C$1,),)=0,#N/A,VLOOKUP(Table7[[#This Row],[Date]],Database!$A:$C,MATCH($B$1,Database!$A$1:$C$1,),))</f>
        <v/>
      </c>
      <c r="C12485">
        <f>IF(VLOOKUP(Table7[[#This Row],[Date]],Database!$A:$C,MATCH($C$1,Database!$A$1:$C$1,),)=0,#N/A,VLOOKUP(Table7[[#This Row],[Date]],Database!$A:$C,MATCH($C$1,Database!$A$1:$C$1,),))</f>
        <v/>
      </c>
      <c r="D12485">
        <f>IFERROR(Table7[[#This Row],[United States 10y]]-Table7[[#This Row],[United States 3y]],#N/A)</f>
        <v/>
      </c>
    </row>
    <row r="12486">
      <c r="A12486" s="6">
        <f>Database!$A14571</f>
        <v/>
      </c>
      <c r="B12486">
        <f>IF(VLOOKUP(Table7[[#This Row],[Date]],Database!$A:$C,MATCH($B$1,Database!$A$1:$C$1,),)=0,#N/A,VLOOKUP(Table7[[#This Row],[Date]],Database!$A:$C,MATCH($B$1,Database!$A$1:$C$1,),))</f>
        <v/>
      </c>
      <c r="C12486">
        <f>IF(VLOOKUP(Table7[[#This Row],[Date]],Database!$A:$C,MATCH($C$1,Database!$A$1:$C$1,),)=0,#N/A,VLOOKUP(Table7[[#This Row],[Date]],Database!$A:$C,MATCH($C$1,Database!$A$1:$C$1,),))</f>
        <v/>
      </c>
      <c r="D12486">
        <f>IFERROR(Table7[[#This Row],[United States 10y]]-Table7[[#This Row],[United States 3y]],#N/A)</f>
        <v/>
      </c>
    </row>
    <row r="12487">
      <c r="A12487" s="6">
        <f>Database!$A14572</f>
        <v/>
      </c>
      <c r="B12487">
        <f>IF(VLOOKUP(Table7[[#This Row],[Date]],Database!$A:$C,MATCH($B$1,Database!$A$1:$C$1,),)=0,#N/A,VLOOKUP(Table7[[#This Row],[Date]],Database!$A:$C,MATCH($B$1,Database!$A$1:$C$1,),))</f>
        <v/>
      </c>
      <c r="C12487">
        <f>IF(VLOOKUP(Table7[[#This Row],[Date]],Database!$A:$C,MATCH($C$1,Database!$A$1:$C$1,),)=0,#N/A,VLOOKUP(Table7[[#This Row],[Date]],Database!$A:$C,MATCH($C$1,Database!$A$1:$C$1,),))</f>
        <v/>
      </c>
      <c r="D12487">
        <f>IFERROR(Table7[[#This Row],[United States 10y]]-Table7[[#This Row],[United States 3y]],#N/A)</f>
        <v/>
      </c>
    </row>
    <row r="12488">
      <c r="A12488" s="6">
        <f>Database!$A14573</f>
        <v/>
      </c>
      <c r="B12488">
        <f>IF(VLOOKUP(Table7[[#This Row],[Date]],Database!$A:$C,MATCH($B$1,Database!$A$1:$C$1,),)=0,#N/A,VLOOKUP(Table7[[#This Row],[Date]],Database!$A:$C,MATCH($B$1,Database!$A$1:$C$1,),))</f>
        <v/>
      </c>
      <c r="C12488">
        <f>IF(VLOOKUP(Table7[[#This Row],[Date]],Database!$A:$C,MATCH($C$1,Database!$A$1:$C$1,),)=0,#N/A,VLOOKUP(Table7[[#This Row],[Date]],Database!$A:$C,MATCH($C$1,Database!$A$1:$C$1,),))</f>
        <v/>
      </c>
      <c r="D12488">
        <f>IFERROR(Table7[[#This Row],[United States 10y]]-Table7[[#This Row],[United States 3y]],#N/A)</f>
        <v/>
      </c>
    </row>
    <row r="12489">
      <c r="A12489" s="6">
        <f>Database!$A14574</f>
        <v/>
      </c>
      <c r="B12489">
        <f>IF(VLOOKUP(Table7[[#This Row],[Date]],Database!$A:$C,MATCH($B$1,Database!$A$1:$C$1,),)=0,#N/A,VLOOKUP(Table7[[#This Row],[Date]],Database!$A:$C,MATCH($B$1,Database!$A$1:$C$1,),))</f>
        <v/>
      </c>
      <c r="C12489">
        <f>IF(VLOOKUP(Table7[[#This Row],[Date]],Database!$A:$C,MATCH($C$1,Database!$A$1:$C$1,),)=0,#N/A,VLOOKUP(Table7[[#This Row],[Date]],Database!$A:$C,MATCH($C$1,Database!$A$1:$C$1,),))</f>
        <v/>
      </c>
      <c r="D12489">
        <f>IFERROR(Table7[[#This Row],[United States 10y]]-Table7[[#This Row],[United States 3y]],#N/A)</f>
        <v/>
      </c>
    </row>
    <row r="12490">
      <c r="A12490" s="6">
        <f>Database!$A14575</f>
        <v/>
      </c>
      <c r="B12490">
        <f>IF(VLOOKUP(Table7[[#This Row],[Date]],Database!$A:$C,MATCH($B$1,Database!$A$1:$C$1,),)=0,#N/A,VLOOKUP(Table7[[#This Row],[Date]],Database!$A:$C,MATCH($B$1,Database!$A$1:$C$1,),))</f>
        <v/>
      </c>
      <c r="C12490">
        <f>IF(VLOOKUP(Table7[[#This Row],[Date]],Database!$A:$C,MATCH($C$1,Database!$A$1:$C$1,),)=0,#N/A,VLOOKUP(Table7[[#This Row],[Date]],Database!$A:$C,MATCH($C$1,Database!$A$1:$C$1,),))</f>
        <v/>
      </c>
      <c r="D12490">
        <f>IFERROR(Table7[[#This Row],[United States 10y]]-Table7[[#This Row],[United States 3y]],#N/A)</f>
        <v/>
      </c>
    </row>
    <row r="12491">
      <c r="A12491" s="6">
        <f>Database!$A14576</f>
        <v/>
      </c>
      <c r="B12491">
        <f>IF(VLOOKUP(Table7[[#This Row],[Date]],Database!$A:$C,MATCH($B$1,Database!$A$1:$C$1,),)=0,#N/A,VLOOKUP(Table7[[#This Row],[Date]],Database!$A:$C,MATCH($B$1,Database!$A$1:$C$1,),))</f>
        <v/>
      </c>
      <c r="C12491">
        <f>IF(VLOOKUP(Table7[[#This Row],[Date]],Database!$A:$C,MATCH($C$1,Database!$A$1:$C$1,),)=0,#N/A,VLOOKUP(Table7[[#This Row],[Date]],Database!$A:$C,MATCH($C$1,Database!$A$1:$C$1,),))</f>
        <v/>
      </c>
      <c r="D12491">
        <f>IFERROR(Table7[[#This Row],[United States 10y]]-Table7[[#This Row],[United States 3y]],#N/A)</f>
        <v/>
      </c>
    </row>
    <row r="12492">
      <c r="A12492" s="6">
        <f>Database!$A14577</f>
        <v/>
      </c>
      <c r="B12492">
        <f>IF(VLOOKUP(Table7[[#This Row],[Date]],Database!$A:$C,MATCH($B$1,Database!$A$1:$C$1,),)=0,#N/A,VLOOKUP(Table7[[#This Row],[Date]],Database!$A:$C,MATCH($B$1,Database!$A$1:$C$1,),))</f>
        <v/>
      </c>
      <c r="C12492">
        <f>IF(VLOOKUP(Table7[[#This Row],[Date]],Database!$A:$C,MATCH($C$1,Database!$A$1:$C$1,),)=0,#N/A,VLOOKUP(Table7[[#This Row],[Date]],Database!$A:$C,MATCH($C$1,Database!$A$1:$C$1,),))</f>
        <v/>
      </c>
      <c r="D12492">
        <f>IFERROR(Table7[[#This Row],[United States 10y]]-Table7[[#This Row],[United States 3y]],#N/A)</f>
        <v/>
      </c>
    </row>
    <row r="12493">
      <c r="A12493" s="6">
        <f>Database!$A14578</f>
        <v/>
      </c>
      <c r="B12493">
        <f>IF(VLOOKUP(Table7[[#This Row],[Date]],Database!$A:$C,MATCH($B$1,Database!$A$1:$C$1,),)=0,#N/A,VLOOKUP(Table7[[#This Row],[Date]],Database!$A:$C,MATCH($B$1,Database!$A$1:$C$1,),))</f>
        <v/>
      </c>
      <c r="C12493">
        <f>IF(VLOOKUP(Table7[[#This Row],[Date]],Database!$A:$C,MATCH($C$1,Database!$A$1:$C$1,),)=0,#N/A,VLOOKUP(Table7[[#This Row],[Date]],Database!$A:$C,MATCH($C$1,Database!$A$1:$C$1,),))</f>
        <v/>
      </c>
      <c r="D12493">
        <f>IFERROR(Table7[[#This Row],[United States 10y]]-Table7[[#This Row],[United States 3y]],#N/A)</f>
        <v/>
      </c>
    </row>
    <row r="12494">
      <c r="A12494" s="6">
        <f>Database!$A14579</f>
        <v/>
      </c>
      <c r="B12494">
        <f>IF(VLOOKUP(Table7[[#This Row],[Date]],Database!$A:$C,MATCH($B$1,Database!$A$1:$C$1,),)=0,#N/A,VLOOKUP(Table7[[#This Row],[Date]],Database!$A:$C,MATCH($B$1,Database!$A$1:$C$1,),))</f>
        <v/>
      </c>
      <c r="C12494">
        <f>IF(VLOOKUP(Table7[[#This Row],[Date]],Database!$A:$C,MATCH($C$1,Database!$A$1:$C$1,),)=0,#N/A,VLOOKUP(Table7[[#This Row],[Date]],Database!$A:$C,MATCH($C$1,Database!$A$1:$C$1,),))</f>
        <v/>
      </c>
      <c r="D12494">
        <f>IFERROR(Table7[[#This Row],[United States 10y]]-Table7[[#This Row],[United States 3y]],#N/A)</f>
        <v/>
      </c>
    </row>
    <row r="12495">
      <c r="A12495" s="6">
        <f>Database!$A14580</f>
        <v/>
      </c>
      <c r="B12495">
        <f>IF(VLOOKUP(Table7[[#This Row],[Date]],Database!$A:$C,MATCH($B$1,Database!$A$1:$C$1,),)=0,#N/A,VLOOKUP(Table7[[#This Row],[Date]],Database!$A:$C,MATCH($B$1,Database!$A$1:$C$1,),))</f>
        <v/>
      </c>
      <c r="C12495">
        <f>IF(VLOOKUP(Table7[[#This Row],[Date]],Database!$A:$C,MATCH($C$1,Database!$A$1:$C$1,),)=0,#N/A,VLOOKUP(Table7[[#This Row],[Date]],Database!$A:$C,MATCH($C$1,Database!$A$1:$C$1,),))</f>
        <v/>
      </c>
      <c r="D12495">
        <f>IFERROR(Table7[[#This Row],[United States 10y]]-Table7[[#This Row],[United States 3y]],#N/A)</f>
        <v/>
      </c>
    </row>
    <row r="12496">
      <c r="A12496" s="6">
        <f>Database!$A14581</f>
        <v/>
      </c>
      <c r="B12496">
        <f>IF(VLOOKUP(Table7[[#This Row],[Date]],Database!$A:$C,MATCH($B$1,Database!$A$1:$C$1,),)=0,#N/A,VLOOKUP(Table7[[#This Row],[Date]],Database!$A:$C,MATCH($B$1,Database!$A$1:$C$1,),))</f>
        <v/>
      </c>
      <c r="C12496">
        <f>IF(VLOOKUP(Table7[[#This Row],[Date]],Database!$A:$C,MATCH($C$1,Database!$A$1:$C$1,),)=0,#N/A,VLOOKUP(Table7[[#This Row],[Date]],Database!$A:$C,MATCH($C$1,Database!$A$1:$C$1,),))</f>
        <v/>
      </c>
      <c r="D12496">
        <f>IFERROR(Table7[[#This Row],[United States 10y]]-Table7[[#This Row],[United States 3y]],#N/A)</f>
        <v/>
      </c>
    </row>
    <row r="12497">
      <c r="A12497" s="6">
        <f>Database!$A14582</f>
        <v/>
      </c>
      <c r="B12497">
        <f>IF(VLOOKUP(Table7[[#This Row],[Date]],Database!$A:$C,MATCH($B$1,Database!$A$1:$C$1,),)=0,#N/A,VLOOKUP(Table7[[#This Row],[Date]],Database!$A:$C,MATCH($B$1,Database!$A$1:$C$1,),))</f>
        <v/>
      </c>
      <c r="C12497">
        <f>IF(VLOOKUP(Table7[[#This Row],[Date]],Database!$A:$C,MATCH($C$1,Database!$A$1:$C$1,),)=0,#N/A,VLOOKUP(Table7[[#This Row],[Date]],Database!$A:$C,MATCH($C$1,Database!$A$1:$C$1,),))</f>
        <v/>
      </c>
      <c r="D12497">
        <f>IFERROR(Table7[[#This Row],[United States 10y]]-Table7[[#This Row],[United States 3y]],#N/A)</f>
        <v/>
      </c>
    </row>
    <row r="12498">
      <c r="A12498" s="6">
        <f>Database!$A14583</f>
        <v/>
      </c>
      <c r="B12498">
        <f>IF(VLOOKUP(Table7[[#This Row],[Date]],Database!$A:$C,MATCH($B$1,Database!$A$1:$C$1,),)=0,#N/A,VLOOKUP(Table7[[#This Row],[Date]],Database!$A:$C,MATCH($B$1,Database!$A$1:$C$1,),))</f>
        <v/>
      </c>
      <c r="C12498">
        <f>IF(VLOOKUP(Table7[[#This Row],[Date]],Database!$A:$C,MATCH($C$1,Database!$A$1:$C$1,),)=0,#N/A,VLOOKUP(Table7[[#This Row],[Date]],Database!$A:$C,MATCH($C$1,Database!$A$1:$C$1,),))</f>
        <v/>
      </c>
      <c r="D12498">
        <f>IFERROR(Table7[[#This Row],[United States 10y]]-Table7[[#This Row],[United States 3y]],#N/A)</f>
        <v/>
      </c>
    </row>
    <row r="12499">
      <c r="A12499" s="6">
        <f>Database!$A14584</f>
        <v/>
      </c>
      <c r="B12499">
        <f>IF(VLOOKUP(Table7[[#This Row],[Date]],Database!$A:$C,MATCH($B$1,Database!$A$1:$C$1,),)=0,#N/A,VLOOKUP(Table7[[#This Row],[Date]],Database!$A:$C,MATCH($B$1,Database!$A$1:$C$1,),))</f>
        <v/>
      </c>
      <c r="C12499">
        <f>IF(VLOOKUP(Table7[[#This Row],[Date]],Database!$A:$C,MATCH($C$1,Database!$A$1:$C$1,),)=0,#N/A,VLOOKUP(Table7[[#This Row],[Date]],Database!$A:$C,MATCH($C$1,Database!$A$1:$C$1,),))</f>
        <v/>
      </c>
      <c r="D12499">
        <f>IFERROR(Table7[[#This Row],[United States 10y]]-Table7[[#This Row],[United States 3y]],#N/A)</f>
        <v/>
      </c>
    </row>
    <row r="12500">
      <c r="A12500" s="6">
        <f>Database!$A14585</f>
        <v/>
      </c>
      <c r="B12500">
        <f>IF(VLOOKUP(Table7[[#This Row],[Date]],Database!$A:$C,MATCH($B$1,Database!$A$1:$C$1,),)=0,#N/A,VLOOKUP(Table7[[#This Row],[Date]],Database!$A:$C,MATCH($B$1,Database!$A$1:$C$1,),))</f>
        <v/>
      </c>
      <c r="C12500">
        <f>IF(VLOOKUP(Table7[[#This Row],[Date]],Database!$A:$C,MATCH($C$1,Database!$A$1:$C$1,),)=0,#N/A,VLOOKUP(Table7[[#This Row],[Date]],Database!$A:$C,MATCH($C$1,Database!$A$1:$C$1,),))</f>
        <v/>
      </c>
      <c r="D12500">
        <f>IFERROR(Table7[[#This Row],[United States 10y]]-Table7[[#This Row],[United States 3y]],#N/A)</f>
        <v/>
      </c>
    </row>
    <row r="12501">
      <c r="A12501" s="6">
        <f>Database!$A14586</f>
        <v/>
      </c>
      <c r="B12501">
        <f>IF(VLOOKUP(Table7[[#This Row],[Date]],Database!$A:$C,MATCH($B$1,Database!$A$1:$C$1,),)=0,#N/A,VLOOKUP(Table7[[#This Row],[Date]],Database!$A:$C,MATCH($B$1,Database!$A$1:$C$1,),))</f>
        <v/>
      </c>
      <c r="C12501">
        <f>IF(VLOOKUP(Table7[[#This Row],[Date]],Database!$A:$C,MATCH($C$1,Database!$A$1:$C$1,),)=0,#N/A,VLOOKUP(Table7[[#This Row],[Date]],Database!$A:$C,MATCH($C$1,Database!$A$1:$C$1,),))</f>
        <v/>
      </c>
      <c r="D12501">
        <f>IFERROR(Table7[[#This Row],[United States 10y]]-Table7[[#This Row],[United States 3y]],#N/A)</f>
        <v/>
      </c>
    </row>
    <row r="12502">
      <c r="A12502" s="6">
        <f>Database!$A14587</f>
        <v/>
      </c>
      <c r="B12502">
        <f>IF(VLOOKUP(Table7[[#This Row],[Date]],Database!$A:$C,MATCH($B$1,Database!$A$1:$C$1,),)=0,#N/A,VLOOKUP(Table7[[#This Row],[Date]],Database!$A:$C,MATCH($B$1,Database!$A$1:$C$1,),))</f>
        <v/>
      </c>
      <c r="C12502">
        <f>IF(VLOOKUP(Table7[[#This Row],[Date]],Database!$A:$C,MATCH($C$1,Database!$A$1:$C$1,),)=0,#N/A,VLOOKUP(Table7[[#This Row],[Date]],Database!$A:$C,MATCH($C$1,Database!$A$1:$C$1,),))</f>
        <v/>
      </c>
      <c r="D12502">
        <f>IFERROR(Table7[[#This Row],[United States 10y]]-Table7[[#This Row],[United States 3y]],#N/A)</f>
        <v/>
      </c>
    </row>
    <row r="12503">
      <c r="A12503" s="6">
        <f>Database!$A14588</f>
        <v/>
      </c>
      <c r="B12503">
        <f>IF(VLOOKUP(Table7[[#This Row],[Date]],Database!$A:$C,MATCH($B$1,Database!$A$1:$C$1,),)=0,#N/A,VLOOKUP(Table7[[#This Row],[Date]],Database!$A:$C,MATCH($B$1,Database!$A$1:$C$1,),))</f>
        <v/>
      </c>
      <c r="C12503">
        <f>IF(VLOOKUP(Table7[[#This Row],[Date]],Database!$A:$C,MATCH($C$1,Database!$A$1:$C$1,),)=0,#N/A,VLOOKUP(Table7[[#This Row],[Date]],Database!$A:$C,MATCH($C$1,Database!$A$1:$C$1,),))</f>
        <v/>
      </c>
      <c r="D12503">
        <f>IFERROR(Table7[[#This Row],[United States 10y]]-Table7[[#This Row],[United States 3y]],#N/A)</f>
        <v/>
      </c>
    </row>
    <row r="12504">
      <c r="A12504" s="6">
        <f>Database!$A14589</f>
        <v/>
      </c>
      <c r="B12504">
        <f>IF(VLOOKUP(Table7[[#This Row],[Date]],Database!$A:$C,MATCH($B$1,Database!$A$1:$C$1,),)=0,#N/A,VLOOKUP(Table7[[#This Row],[Date]],Database!$A:$C,MATCH($B$1,Database!$A$1:$C$1,),))</f>
        <v/>
      </c>
      <c r="C12504">
        <f>IF(VLOOKUP(Table7[[#This Row],[Date]],Database!$A:$C,MATCH($C$1,Database!$A$1:$C$1,),)=0,#N/A,VLOOKUP(Table7[[#This Row],[Date]],Database!$A:$C,MATCH($C$1,Database!$A$1:$C$1,),))</f>
        <v/>
      </c>
      <c r="D12504">
        <f>IFERROR(Table7[[#This Row],[United States 10y]]-Table7[[#This Row],[United States 3y]],#N/A)</f>
        <v/>
      </c>
    </row>
    <row r="12505">
      <c r="A12505" s="6">
        <f>Database!$A14590</f>
        <v/>
      </c>
      <c r="B12505">
        <f>IF(VLOOKUP(Table7[[#This Row],[Date]],Database!$A:$C,MATCH($B$1,Database!$A$1:$C$1,),)=0,#N/A,VLOOKUP(Table7[[#This Row],[Date]],Database!$A:$C,MATCH($B$1,Database!$A$1:$C$1,),))</f>
        <v/>
      </c>
      <c r="C12505">
        <f>IF(VLOOKUP(Table7[[#This Row],[Date]],Database!$A:$C,MATCH($C$1,Database!$A$1:$C$1,),)=0,#N/A,VLOOKUP(Table7[[#This Row],[Date]],Database!$A:$C,MATCH($C$1,Database!$A$1:$C$1,),))</f>
        <v/>
      </c>
      <c r="D12505">
        <f>IFERROR(Table7[[#This Row],[United States 10y]]-Table7[[#This Row],[United States 3y]],#N/A)</f>
        <v/>
      </c>
    </row>
    <row r="12506">
      <c r="A12506" s="6">
        <f>Database!$A14591</f>
        <v/>
      </c>
      <c r="B12506">
        <f>IF(VLOOKUP(Table7[[#This Row],[Date]],Database!$A:$C,MATCH($B$1,Database!$A$1:$C$1,),)=0,#N/A,VLOOKUP(Table7[[#This Row],[Date]],Database!$A:$C,MATCH($B$1,Database!$A$1:$C$1,),))</f>
        <v/>
      </c>
      <c r="C12506">
        <f>IF(VLOOKUP(Table7[[#This Row],[Date]],Database!$A:$C,MATCH($C$1,Database!$A$1:$C$1,),)=0,#N/A,VLOOKUP(Table7[[#This Row],[Date]],Database!$A:$C,MATCH($C$1,Database!$A$1:$C$1,),))</f>
        <v/>
      </c>
      <c r="D12506">
        <f>IFERROR(Table7[[#This Row],[United States 10y]]-Table7[[#This Row],[United States 3y]],#N/A)</f>
        <v/>
      </c>
    </row>
    <row r="12507">
      <c r="A12507" s="6">
        <f>Database!$A14592</f>
        <v/>
      </c>
      <c r="B12507">
        <f>IF(VLOOKUP(Table7[[#This Row],[Date]],Database!$A:$C,MATCH($B$1,Database!$A$1:$C$1,),)=0,#N/A,VLOOKUP(Table7[[#This Row],[Date]],Database!$A:$C,MATCH($B$1,Database!$A$1:$C$1,),))</f>
        <v/>
      </c>
      <c r="C12507">
        <f>IF(VLOOKUP(Table7[[#This Row],[Date]],Database!$A:$C,MATCH($C$1,Database!$A$1:$C$1,),)=0,#N/A,VLOOKUP(Table7[[#This Row],[Date]],Database!$A:$C,MATCH($C$1,Database!$A$1:$C$1,),))</f>
        <v/>
      </c>
      <c r="D12507">
        <f>IFERROR(Table7[[#This Row],[United States 10y]]-Table7[[#This Row],[United States 3y]],#N/A)</f>
        <v/>
      </c>
    </row>
    <row r="12508">
      <c r="A12508" s="6">
        <f>Database!$A14593</f>
        <v/>
      </c>
      <c r="B12508">
        <f>IF(VLOOKUP(Table7[[#This Row],[Date]],Database!$A:$C,MATCH($B$1,Database!$A$1:$C$1,),)=0,#N/A,VLOOKUP(Table7[[#This Row],[Date]],Database!$A:$C,MATCH($B$1,Database!$A$1:$C$1,),))</f>
        <v/>
      </c>
      <c r="C12508">
        <f>IF(VLOOKUP(Table7[[#This Row],[Date]],Database!$A:$C,MATCH($C$1,Database!$A$1:$C$1,),)=0,#N/A,VLOOKUP(Table7[[#This Row],[Date]],Database!$A:$C,MATCH($C$1,Database!$A$1:$C$1,),))</f>
        <v/>
      </c>
      <c r="D12508">
        <f>IFERROR(Table7[[#This Row],[United States 10y]]-Table7[[#This Row],[United States 3y]],#N/A)</f>
        <v/>
      </c>
    </row>
    <row r="12509">
      <c r="A12509" s="6">
        <f>Database!$A14594</f>
        <v/>
      </c>
      <c r="B12509">
        <f>IF(VLOOKUP(Table7[[#This Row],[Date]],Database!$A:$C,MATCH($B$1,Database!$A$1:$C$1,),)=0,#N/A,VLOOKUP(Table7[[#This Row],[Date]],Database!$A:$C,MATCH($B$1,Database!$A$1:$C$1,),))</f>
        <v/>
      </c>
      <c r="C12509">
        <f>IF(VLOOKUP(Table7[[#This Row],[Date]],Database!$A:$C,MATCH($C$1,Database!$A$1:$C$1,),)=0,#N/A,VLOOKUP(Table7[[#This Row],[Date]],Database!$A:$C,MATCH($C$1,Database!$A$1:$C$1,),))</f>
        <v/>
      </c>
      <c r="D12509">
        <f>IFERROR(Table7[[#This Row],[United States 10y]]-Table7[[#This Row],[United States 3y]],#N/A)</f>
        <v/>
      </c>
    </row>
    <row r="12510">
      <c r="A12510" s="6">
        <f>Database!$A14595</f>
        <v/>
      </c>
      <c r="B12510">
        <f>IF(VLOOKUP(Table7[[#This Row],[Date]],Database!$A:$C,MATCH($B$1,Database!$A$1:$C$1,),)=0,#N/A,VLOOKUP(Table7[[#This Row],[Date]],Database!$A:$C,MATCH($B$1,Database!$A$1:$C$1,),))</f>
        <v/>
      </c>
      <c r="C12510">
        <f>IF(VLOOKUP(Table7[[#This Row],[Date]],Database!$A:$C,MATCH($C$1,Database!$A$1:$C$1,),)=0,#N/A,VLOOKUP(Table7[[#This Row],[Date]],Database!$A:$C,MATCH($C$1,Database!$A$1:$C$1,),))</f>
        <v/>
      </c>
      <c r="D12510">
        <f>IFERROR(Table7[[#This Row],[United States 10y]]-Table7[[#This Row],[United States 3y]],#N/A)</f>
        <v/>
      </c>
    </row>
    <row r="12511">
      <c r="A12511" s="6">
        <f>Database!$A14596</f>
        <v/>
      </c>
      <c r="B12511">
        <f>IF(VLOOKUP(Table7[[#This Row],[Date]],Database!$A:$C,MATCH($B$1,Database!$A$1:$C$1,),)=0,#N/A,VLOOKUP(Table7[[#This Row],[Date]],Database!$A:$C,MATCH($B$1,Database!$A$1:$C$1,),))</f>
        <v/>
      </c>
      <c r="C12511">
        <f>IF(VLOOKUP(Table7[[#This Row],[Date]],Database!$A:$C,MATCH($C$1,Database!$A$1:$C$1,),)=0,#N/A,VLOOKUP(Table7[[#This Row],[Date]],Database!$A:$C,MATCH($C$1,Database!$A$1:$C$1,),))</f>
        <v/>
      </c>
      <c r="D12511">
        <f>IFERROR(Table7[[#This Row],[United States 10y]]-Table7[[#This Row],[United States 3y]],#N/A)</f>
        <v/>
      </c>
    </row>
    <row r="12512">
      <c r="A12512" s="6">
        <f>Database!$A14597</f>
        <v/>
      </c>
      <c r="B12512">
        <f>IF(VLOOKUP(Table7[[#This Row],[Date]],Database!$A:$C,MATCH($B$1,Database!$A$1:$C$1,),)=0,#N/A,VLOOKUP(Table7[[#This Row],[Date]],Database!$A:$C,MATCH($B$1,Database!$A$1:$C$1,),))</f>
        <v/>
      </c>
      <c r="C12512">
        <f>IF(VLOOKUP(Table7[[#This Row],[Date]],Database!$A:$C,MATCH($C$1,Database!$A$1:$C$1,),)=0,#N/A,VLOOKUP(Table7[[#This Row],[Date]],Database!$A:$C,MATCH($C$1,Database!$A$1:$C$1,),))</f>
        <v/>
      </c>
      <c r="D12512">
        <f>IFERROR(Table7[[#This Row],[United States 10y]]-Table7[[#This Row],[United States 3y]],#N/A)</f>
        <v/>
      </c>
    </row>
    <row r="12513">
      <c r="A12513" s="6">
        <f>Database!$A14598</f>
        <v/>
      </c>
      <c r="B12513">
        <f>IF(VLOOKUP(Table7[[#This Row],[Date]],Database!$A:$C,MATCH($B$1,Database!$A$1:$C$1,),)=0,#N/A,VLOOKUP(Table7[[#This Row],[Date]],Database!$A:$C,MATCH($B$1,Database!$A$1:$C$1,),))</f>
        <v/>
      </c>
      <c r="C12513">
        <f>IF(VLOOKUP(Table7[[#This Row],[Date]],Database!$A:$C,MATCH($C$1,Database!$A$1:$C$1,),)=0,#N/A,VLOOKUP(Table7[[#This Row],[Date]],Database!$A:$C,MATCH($C$1,Database!$A$1:$C$1,),))</f>
        <v/>
      </c>
      <c r="D12513">
        <f>IFERROR(Table7[[#This Row],[United States 10y]]-Table7[[#This Row],[United States 3y]],#N/A)</f>
        <v/>
      </c>
    </row>
    <row r="12514">
      <c r="A12514" s="6">
        <f>Database!$A14599</f>
        <v/>
      </c>
      <c r="B12514">
        <f>IF(VLOOKUP(Table7[[#This Row],[Date]],Database!$A:$C,MATCH($B$1,Database!$A$1:$C$1,),)=0,#N/A,VLOOKUP(Table7[[#This Row],[Date]],Database!$A:$C,MATCH($B$1,Database!$A$1:$C$1,),))</f>
        <v/>
      </c>
      <c r="C12514">
        <f>IF(VLOOKUP(Table7[[#This Row],[Date]],Database!$A:$C,MATCH($C$1,Database!$A$1:$C$1,),)=0,#N/A,VLOOKUP(Table7[[#This Row],[Date]],Database!$A:$C,MATCH($C$1,Database!$A$1:$C$1,),))</f>
        <v/>
      </c>
      <c r="D12514">
        <f>IFERROR(Table7[[#This Row],[United States 10y]]-Table7[[#This Row],[United States 3y]],#N/A)</f>
        <v/>
      </c>
    </row>
    <row r="12515">
      <c r="A12515" s="6">
        <f>Database!$A14600</f>
        <v/>
      </c>
      <c r="B12515">
        <f>IF(VLOOKUP(Table7[[#This Row],[Date]],Database!$A:$C,MATCH($B$1,Database!$A$1:$C$1,),)=0,#N/A,VLOOKUP(Table7[[#This Row],[Date]],Database!$A:$C,MATCH($B$1,Database!$A$1:$C$1,),))</f>
        <v/>
      </c>
      <c r="C12515">
        <f>IF(VLOOKUP(Table7[[#This Row],[Date]],Database!$A:$C,MATCH($C$1,Database!$A$1:$C$1,),)=0,#N/A,VLOOKUP(Table7[[#This Row],[Date]],Database!$A:$C,MATCH($C$1,Database!$A$1:$C$1,),))</f>
        <v/>
      </c>
      <c r="D12515">
        <f>IFERROR(Table7[[#This Row],[United States 10y]]-Table7[[#This Row],[United States 3y]],#N/A)</f>
        <v/>
      </c>
    </row>
    <row r="12516">
      <c r="A12516" s="6">
        <f>Database!$A14601</f>
        <v/>
      </c>
      <c r="B12516">
        <f>IF(VLOOKUP(Table7[[#This Row],[Date]],Database!$A:$C,MATCH($B$1,Database!$A$1:$C$1,),)=0,#N/A,VLOOKUP(Table7[[#This Row],[Date]],Database!$A:$C,MATCH($B$1,Database!$A$1:$C$1,),))</f>
        <v/>
      </c>
      <c r="C12516">
        <f>IF(VLOOKUP(Table7[[#This Row],[Date]],Database!$A:$C,MATCH($C$1,Database!$A$1:$C$1,),)=0,#N/A,VLOOKUP(Table7[[#This Row],[Date]],Database!$A:$C,MATCH($C$1,Database!$A$1:$C$1,),))</f>
        <v/>
      </c>
      <c r="D12516">
        <f>IFERROR(Table7[[#This Row],[United States 10y]]-Table7[[#This Row],[United States 3y]],#N/A)</f>
        <v/>
      </c>
    </row>
    <row r="12517">
      <c r="A12517" s="6">
        <f>Database!$A14602</f>
        <v/>
      </c>
      <c r="B12517">
        <f>IF(VLOOKUP(Table7[[#This Row],[Date]],Database!$A:$C,MATCH($B$1,Database!$A$1:$C$1,),)=0,#N/A,VLOOKUP(Table7[[#This Row],[Date]],Database!$A:$C,MATCH($B$1,Database!$A$1:$C$1,),))</f>
        <v/>
      </c>
      <c r="C12517">
        <f>IF(VLOOKUP(Table7[[#This Row],[Date]],Database!$A:$C,MATCH($C$1,Database!$A$1:$C$1,),)=0,#N/A,VLOOKUP(Table7[[#This Row],[Date]],Database!$A:$C,MATCH($C$1,Database!$A$1:$C$1,),))</f>
        <v/>
      </c>
      <c r="D12517">
        <f>IFERROR(Table7[[#This Row],[United States 10y]]-Table7[[#This Row],[United States 3y]],#N/A)</f>
        <v/>
      </c>
    </row>
    <row r="12518">
      <c r="A12518" s="6">
        <f>Database!$A14603</f>
        <v/>
      </c>
      <c r="B12518">
        <f>IF(VLOOKUP(Table7[[#This Row],[Date]],Database!$A:$C,MATCH($B$1,Database!$A$1:$C$1,),)=0,#N/A,VLOOKUP(Table7[[#This Row],[Date]],Database!$A:$C,MATCH($B$1,Database!$A$1:$C$1,),))</f>
        <v/>
      </c>
      <c r="C12518">
        <f>IF(VLOOKUP(Table7[[#This Row],[Date]],Database!$A:$C,MATCH($C$1,Database!$A$1:$C$1,),)=0,#N/A,VLOOKUP(Table7[[#This Row],[Date]],Database!$A:$C,MATCH($C$1,Database!$A$1:$C$1,),))</f>
        <v/>
      </c>
      <c r="D12518">
        <f>IFERROR(Table7[[#This Row],[United States 10y]]-Table7[[#This Row],[United States 3y]],#N/A)</f>
        <v/>
      </c>
    </row>
    <row r="12519">
      <c r="A12519" s="6">
        <f>Database!$A14604</f>
        <v/>
      </c>
      <c r="B12519">
        <f>IF(VLOOKUP(Table7[[#This Row],[Date]],Database!$A:$C,MATCH($B$1,Database!$A$1:$C$1,),)=0,#N/A,VLOOKUP(Table7[[#This Row],[Date]],Database!$A:$C,MATCH($B$1,Database!$A$1:$C$1,),))</f>
        <v/>
      </c>
      <c r="C12519">
        <f>IF(VLOOKUP(Table7[[#This Row],[Date]],Database!$A:$C,MATCH($C$1,Database!$A$1:$C$1,),)=0,#N/A,VLOOKUP(Table7[[#This Row],[Date]],Database!$A:$C,MATCH($C$1,Database!$A$1:$C$1,),))</f>
        <v/>
      </c>
      <c r="D12519">
        <f>IFERROR(Table7[[#This Row],[United States 10y]]-Table7[[#This Row],[United States 3y]],#N/A)</f>
        <v/>
      </c>
    </row>
    <row r="12520">
      <c r="A12520" s="6">
        <f>Database!$A14605</f>
        <v/>
      </c>
      <c r="B12520">
        <f>IF(VLOOKUP(Table7[[#This Row],[Date]],Database!$A:$C,MATCH($B$1,Database!$A$1:$C$1,),)=0,#N/A,VLOOKUP(Table7[[#This Row],[Date]],Database!$A:$C,MATCH($B$1,Database!$A$1:$C$1,),))</f>
        <v/>
      </c>
      <c r="C12520">
        <f>IF(VLOOKUP(Table7[[#This Row],[Date]],Database!$A:$C,MATCH($C$1,Database!$A$1:$C$1,),)=0,#N/A,VLOOKUP(Table7[[#This Row],[Date]],Database!$A:$C,MATCH($C$1,Database!$A$1:$C$1,),))</f>
        <v/>
      </c>
      <c r="D12520">
        <f>IFERROR(Table7[[#This Row],[United States 10y]]-Table7[[#This Row],[United States 3y]],#N/A)</f>
        <v/>
      </c>
    </row>
    <row r="12521">
      <c r="A12521" s="6">
        <f>Database!$A14606</f>
        <v/>
      </c>
      <c r="B12521">
        <f>IF(VLOOKUP(Table7[[#This Row],[Date]],Database!$A:$C,MATCH($B$1,Database!$A$1:$C$1,),)=0,#N/A,VLOOKUP(Table7[[#This Row],[Date]],Database!$A:$C,MATCH($B$1,Database!$A$1:$C$1,),))</f>
        <v/>
      </c>
      <c r="C12521">
        <f>IF(VLOOKUP(Table7[[#This Row],[Date]],Database!$A:$C,MATCH($C$1,Database!$A$1:$C$1,),)=0,#N/A,VLOOKUP(Table7[[#This Row],[Date]],Database!$A:$C,MATCH($C$1,Database!$A$1:$C$1,),))</f>
        <v/>
      </c>
      <c r="D12521">
        <f>IFERROR(Table7[[#This Row],[United States 10y]]-Table7[[#This Row],[United States 3y]],#N/A)</f>
        <v/>
      </c>
    </row>
    <row r="12522">
      <c r="A12522" s="6">
        <f>Database!$A14607</f>
        <v/>
      </c>
      <c r="B12522">
        <f>IF(VLOOKUP(Table7[[#This Row],[Date]],Database!$A:$C,MATCH($B$1,Database!$A$1:$C$1,),)=0,#N/A,VLOOKUP(Table7[[#This Row],[Date]],Database!$A:$C,MATCH($B$1,Database!$A$1:$C$1,),))</f>
        <v/>
      </c>
      <c r="C12522">
        <f>IF(VLOOKUP(Table7[[#This Row],[Date]],Database!$A:$C,MATCH($C$1,Database!$A$1:$C$1,),)=0,#N/A,VLOOKUP(Table7[[#This Row],[Date]],Database!$A:$C,MATCH($C$1,Database!$A$1:$C$1,),))</f>
        <v/>
      </c>
      <c r="D12522">
        <f>IFERROR(Table7[[#This Row],[United States 10y]]-Table7[[#This Row],[United States 3y]],#N/A)</f>
        <v/>
      </c>
    </row>
    <row r="12523">
      <c r="A12523" s="6">
        <f>Database!$A14608</f>
        <v/>
      </c>
      <c r="B12523">
        <f>IF(VLOOKUP(Table7[[#This Row],[Date]],Database!$A:$C,MATCH($B$1,Database!$A$1:$C$1,),)=0,#N/A,VLOOKUP(Table7[[#This Row],[Date]],Database!$A:$C,MATCH($B$1,Database!$A$1:$C$1,),))</f>
        <v/>
      </c>
      <c r="C12523">
        <f>IF(VLOOKUP(Table7[[#This Row],[Date]],Database!$A:$C,MATCH($C$1,Database!$A$1:$C$1,),)=0,#N/A,VLOOKUP(Table7[[#This Row],[Date]],Database!$A:$C,MATCH($C$1,Database!$A$1:$C$1,),))</f>
        <v/>
      </c>
      <c r="D12523">
        <f>IFERROR(Table7[[#This Row],[United States 10y]]-Table7[[#This Row],[United States 3y]],#N/A)</f>
        <v/>
      </c>
    </row>
    <row r="12524">
      <c r="A12524" s="6">
        <f>Database!$A14609</f>
        <v/>
      </c>
      <c r="B12524">
        <f>IF(VLOOKUP(Table7[[#This Row],[Date]],Database!$A:$C,MATCH($B$1,Database!$A$1:$C$1,),)=0,#N/A,VLOOKUP(Table7[[#This Row],[Date]],Database!$A:$C,MATCH($B$1,Database!$A$1:$C$1,),))</f>
        <v/>
      </c>
      <c r="C12524">
        <f>IF(VLOOKUP(Table7[[#This Row],[Date]],Database!$A:$C,MATCH($C$1,Database!$A$1:$C$1,),)=0,#N/A,VLOOKUP(Table7[[#This Row],[Date]],Database!$A:$C,MATCH($C$1,Database!$A$1:$C$1,),))</f>
        <v/>
      </c>
      <c r="D12524">
        <f>IFERROR(Table7[[#This Row],[United States 10y]]-Table7[[#This Row],[United States 3y]],#N/A)</f>
        <v/>
      </c>
    </row>
    <row r="12525">
      <c r="A12525" s="6">
        <f>Database!$A14610</f>
        <v/>
      </c>
      <c r="B12525">
        <f>IF(VLOOKUP(Table7[[#This Row],[Date]],Database!$A:$C,MATCH($B$1,Database!$A$1:$C$1,),)=0,#N/A,VLOOKUP(Table7[[#This Row],[Date]],Database!$A:$C,MATCH($B$1,Database!$A$1:$C$1,),))</f>
        <v/>
      </c>
      <c r="C12525">
        <f>IF(VLOOKUP(Table7[[#This Row],[Date]],Database!$A:$C,MATCH($C$1,Database!$A$1:$C$1,),)=0,#N/A,VLOOKUP(Table7[[#This Row],[Date]],Database!$A:$C,MATCH($C$1,Database!$A$1:$C$1,),))</f>
        <v/>
      </c>
      <c r="D12525">
        <f>IFERROR(Table7[[#This Row],[United States 10y]]-Table7[[#This Row],[United States 3y]],#N/A)</f>
        <v/>
      </c>
    </row>
    <row r="12526">
      <c r="A12526" s="6">
        <f>Database!$A14611</f>
        <v/>
      </c>
      <c r="B12526">
        <f>IF(VLOOKUP(Table7[[#This Row],[Date]],Database!$A:$C,MATCH($B$1,Database!$A$1:$C$1,),)=0,#N/A,VLOOKUP(Table7[[#This Row],[Date]],Database!$A:$C,MATCH($B$1,Database!$A$1:$C$1,),))</f>
        <v/>
      </c>
      <c r="C12526">
        <f>IF(VLOOKUP(Table7[[#This Row],[Date]],Database!$A:$C,MATCH($C$1,Database!$A$1:$C$1,),)=0,#N/A,VLOOKUP(Table7[[#This Row],[Date]],Database!$A:$C,MATCH($C$1,Database!$A$1:$C$1,),))</f>
        <v/>
      </c>
      <c r="D12526">
        <f>IFERROR(Table7[[#This Row],[United States 10y]]-Table7[[#This Row],[United States 3y]],#N/A)</f>
        <v/>
      </c>
    </row>
    <row r="12527">
      <c r="A12527" s="6">
        <f>Database!$A14612</f>
        <v/>
      </c>
      <c r="B12527">
        <f>IF(VLOOKUP(Table7[[#This Row],[Date]],Database!$A:$C,MATCH($B$1,Database!$A$1:$C$1,),)=0,#N/A,VLOOKUP(Table7[[#This Row],[Date]],Database!$A:$C,MATCH($B$1,Database!$A$1:$C$1,),))</f>
        <v/>
      </c>
      <c r="C12527">
        <f>IF(VLOOKUP(Table7[[#This Row],[Date]],Database!$A:$C,MATCH($C$1,Database!$A$1:$C$1,),)=0,#N/A,VLOOKUP(Table7[[#This Row],[Date]],Database!$A:$C,MATCH($C$1,Database!$A$1:$C$1,),))</f>
        <v/>
      </c>
      <c r="D12527">
        <f>IFERROR(Table7[[#This Row],[United States 10y]]-Table7[[#This Row],[United States 3y]],#N/A)</f>
        <v/>
      </c>
    </row>
    <row r="12528">
      <c r="A12528" s="6">
        <f>Database!$A14613</f>
        <v/>
      </c>
      <c r="B12528">
        <f>IF(VLOOKUP(Table7[[#This Row],[Date]],Database!$A:$C,MATCH($B$1,Database!$A$1:$C$1,),)=0,#N/A,VLOOKUP(Table7[[#This Row],[Date]],Database!$A:$C,MATCH($B$1,Database!$A$1:$C$1,),))</f>
        <v/>
      </c>
      <c r="C12528">
        <f>IF(VLOOKUP(Table7[[#This Row],[Date]],Database!$A:$C,MATCH($C$1,Database!$A$1:$C$1,),)=0,#N/A,VLOOKUP(Table7[[#This Row],[Date]],Database!$A:$C,MATCH($C$1,Database!$A$1:$C$1,),))</f>
        <v/>
      </c>
      <c r="D12528">
        <f>IFERROR(Table7[[#This Row],[United States 10y]]-Table7[[#This Row],[United States 3y]],#N/A)</f>
        <v/>
      </c>
    </row>
    <row r="12529">
      <c r="A12529" s="6">
        <f>Database!$A14614</f>
        <v/>
      </c>
      <c r="B12529">
        <f>IF(VLOOKUP(Table7[[#This Row],[Date]],Database!$A:$C,MATCH($B$1,Database!$A$1:$C$1,),)=0,#N/A,VLOOKUP(Table7[[#This Row],[Date]],Database!$A:$C,MATCH($B$1,Database!$A$1:$C$1,),))</f>
        <v/>
      </c>
      <c r="C12529">
        <f>IF(VLOOKUP(Table7[[#This Row],[Date]],Database!$A:$C,MATCH($C$1,Database!$A$1:$C$1,),)=0,#N/A,VLOOKUP(Table7[[#This Row],[Date]],Database!$A:$C,MATCH($C$1,Database!$A$1:$C$1,),))</f>
        <v/>
      </c>
      <c r="D12529">
        <f>IFERROR(Table7[[#This Row],[United States 10y]]-Table7[[#This Row],[United States 3y]],#N/A)</f>
        <v/>
      </c>
    </row>
    <row r="12530">
      <c r="A12530" s="6">
        <f>Database!$A14615</f>
        <v/>
      </c>
      <c r="B12530">
        <f>IF(VLOOKUP(Table7[[#This Row],[Date]],Database!$A:$C,MATCH($B$1,Database!$A$1:$C$1,),)=0,#N/A,VLOOKUP(Table7[[#This Row],[Date]],Database!$A:$C,MATCH($B$1,Database!$A$1:$C$1,),))</f>
        <v/>
      </c>
      <c r="C12530">
        <f>IF(VLOOKUP(Table7[[#This Row],[Date]],Database!$A:$C,MATCH($C$1,Database!$A$1:$C$1,),)=0,#N/A,VLOOKUP(Table7[[#This Row],[Date]],Database!$A:$C,MATCH($C$1,Database!$A$1:$C$1,),))</f>
        <v/>
      </c>
      <c r="D12530">
        <f>IFERROR(Table7[[#This Row],[United States 10y]]-Table7[[#This Row],[United States 3y]],#N/A)</f>
        <v/>
      </c>
    </row>
    <row r="12531">
      <c r="A12531" s="6">
        <f>Database!$A14616</f>
        <v/>
      </c>
      <c r="B12531">
        <f>IF(VLOOKUP(Table7[[#This Row],[Date]],Database!$A:$C,MATCH($B$1,Database!$A$1:$C$1,),)=0,#N/A,VLOOKUP(Table7[[#This Row],[Date]],Database!$A:$C,MATCH($B$1,Database!$A$1:$C$1,),))</f>
        <v/>
      </c>
      <c r="C12531">
        <f>IF(VLOOKUP(Table7[[#This Row],[Date]],Database!$A:$C,MATCH($C$1,Database!$A$1:$C$1,),)=0,#N/A,VLOOKUP(Table7[[#This Row],[Date]],Database!$A:$C,MATCH($C$1,Database!$A$1:$C$1,),))</f>
        <v/>
      </c>
      <c r="D12531">
        <f>IFERROR(Table7[[#This Row],[United States 10y]]-Table7[[#This Row],[United States 3y]],#N/A)</f>
        <v/>
      </c>
    </row>
    <row r="12532">
      <c r="A12532" s="6">
        <f>Database!$A14617</f>
        <v/>
      </c>
      <c r="B12532">
        <f>IF(VLOOKUP(Table7[[#This Row],[Date]],Database!$A:$C,MATCH($B$1,Database!$A$1:$C$1,),)=0,#N/A,VLOOKUP(Table7[[#This Row],[Date]],Database!$A:$C,MATCH($B$1,Database!$A$1:$C$1,),))</f>
        <v/>
      </c>
      <c r="C12532">
        <f>IF(VLOOKUP(Table7[[#This Row],[Date]],Database!$A:$C,MATCH($C$1,Database!$A$1:$C$1,),)=0,#N/A,VLOOKUP(Table7[[#This Row],[Date]],Database!$A:$C,MATCH($C$1,Database!$A$1:$C$1,),))</f>
        <v/>
      </c>
      <c r="D12532">
        <f>IFERROR(Table7[[#This Row],[United States 10y]]-Table7[[#This Row],[United States 3y]],#N/A)</f>
        <v/>
      </c>
    </row>
    <row r="12533">
      <c r="A12533" s="6">
        <f>Database!$A14618</f>
        <v/>
      </c>
      <c r="B12533">
        <f>IF(VLOOKUP(Table7[[#This Row],[Date]],Database!$A:$C,MATCH($B$1,Database!$A$1:$C$1,),)=0,#N/A,VLOOKUP(Table7[[#This Row],[Date]],Database!$A:$C,MATCH($B$1,Database!$A$1:$C$1,),))</f>
        <v/>
      </c>
      <c r="C12533">
        <f>IF(VLOOKUP(Table7[[#This Row],[Date]],Database!$A:$C,MATCH($C$1,Database!$A$1:$C$1,),)=0,#N/A,VLOOKUP(Table7[[#This Row],[Date]],Database!$A:$C,MATCH($C$1,Database!$A$1:$C$1,),))</f>
        <v/>
      </c>
      <c r="D12533">
        <f>IFERROR(Table7[[#This Row],[United States 10y]]-Table7[[#This Row],[United States 3y]],#N/A)</f>
        <v/>
      </c>
    </row>
    <row r="12534">
      <c r="A12534" s="6">
        <f>Database!$A14619</f>
        <v/>
      </c>
      <c r="B12534">
        <f>IF(VLOOKUP(Table7[[#This Row],[Date]],Database!$A:$C,MATCH($B$1,Database!$A$1:$C$1,),)=0,#N/A,VLOOKUP(Table7[[#This Row],[Date]],Database!$A:$C,MATCH($B$1,Database!$A$1:$C$1,),))</f>
        <v/>
      </c>
      <c r="C12534">
        <f>IF(VLOOKUP(Table7[[#This Row],[Date]],Database!$A:$C,MATCH($C$1,Database!$A$1:$C$1,),)=0,#N/A,VLOOKUP(Table7[[#This Row],[Date]],Database!$A:$C,MATCH($C$1,Database!$A$1:$C$1,),))</f>
        <v/>
      </c>
      <c r="D12534">
        <f>IFERROR(Table7[[#This Row],[United States 10y]]-Table7[[#This Row],[United States 3y]],#N/A)</f>
        <v/>
      </c>
    </row>
    <row r="12535">
      <c r="A12535" s="6">
        <f>Database!$A14620</f>
        <v/>
      </c>
      <c r="B12535">
        <f>IF(VLOOKUP(Table7[[#This Row],[Date]],Database!$A:$C,MATCH($B$1,Database!$A$1:$C$1,),)=0,#N/A,VLOOKUP(Table7[[#This Row],[Date]],Database!$A:$C,MATCH($B$1,Database!$A$1:$C$1,),))</f>
        <v/>
      </c>
      <c r="C12535">
        <f>IF(VLOOKUP(Table7[[#This Row],[Date]],Database!$A:$C,MATCH($C$1,Database!$A$1:$C$1,),)=0,#N/A,VLOOKUP(Table7[[#This Row],[Date]],Database!$A:$C,MATCH($C$1,Database!$A$1:$C$1,),))</f>
        <v/>
      </c>
      <c r="D12535">
        <f>IFERROR(Table7[[#This Row],[United States 10y]]-Table7[[#This Row],[United States 3y]],#N/A)</f>
        <v/>
      </c>
    </row>
    <row r="12536">
      <c r="A12536" s="6">
        <f>Database!$A14621</f>
        <v/>
      </c>
      <c r="B12536">
        <f>IF(VLOOKUP(Table7[[#This Row],[Date]],Database!$A:$C,MATCH($B$1,Database!$A$1:$C$1,),)=0,#N/A,VLOOKUP(Table7[[#This Row],[Date]],Database!$A:$C,MATCH($B$1,Database!$A$1:$C$1,),))</f>
        <v/>
      </c>
      <c r="C12536">
        <f>IF(VLOOKUP(Table7[[#This Row],[Date]],Database!$A:$C,MATCH($C$1,Database!$A$1:$C$1,),)=0,#N/A,VLOOKUP(Table7[[#This Row],[Date]],Database!$A:$C,MATCH($C$1,Database!$A$1:$C$1,),))</f>
        <v/>
      </c>
      <c r="D12536">
        <f>IFERROR(Table7[[#This Row],[United States 10y]]-Table7[[#This Row],[United States 3y]],#N/A)</f>
        <v/>
      </c>
    </row>
    <row r="12537">
      <c r="A12537" s="6">
        <f>Database!$A14622</f>
        <v/>
      </c>
      <c r="B12537">
        <f>IF(VLOOKUP(Table7[[#This Row],[Date]],Database!$A:$C,MATCH($B$1,Database!$A$1:$C$1,),)=0,#N/A,VLOOKUP(Table7[[#This Row],[Date]],Database!$A:$C,MATCH($B$1,Database!$A$1:$C$1,),))</f>
        <v/>
      </c>
      <c r="C12537">
        <f>IF(VLOOKUP(Table7[[#This Row],[Date]],Database!$A:$C,MATCH($C$1,Database!$A$1:$C$1,),)=0,#N/A,VLOOKUP(Table7[[#This Row],[Date]],Database!$A:$C,MATCH($C$1,Database!$A$1:$C$1,),))</f>
        <v/>
      </c>
      <c r="D12537">
        <f>IFERROR(Table7[[#This Row],[United States 10y]]-Table7[[#This Row],[United States 3y]],#N/A)</f>
        <v/>
      </c>
    </row>
    <row r="12538">
      <c r="A12538" s="6">
        <f>Database!$A14623</f>
        <v/>
      </c>
      <c r="B12538">
        <f>IF(VLOOKUP(Table7[[#This Row],[Date]],Database!$A:$C,MATCH($B$1,Database!$A$1:$C$1,),)=0,#N/A,VLOOKUP(Table7[[#This Row],[Date]],Database!$A:$C,MATCH($B$1,Database!$A$1:$C$1,),))</f>
        <v/>
      </c>
      <c r="C12538">
        <f>IF(VLOOKUP(Table7[[#This Row],[Date]],Database!$A:$C,MATCH($C$1,Database!$A$1:$C$1,),)=0,#N/A,VLOOKUP(Table7[[#This Row],[Date]],Database!$A:$C,MATCH($C$1,Database!$A$1:$C$1,),))</f>
        <v/>
      </c>
      <c r="D12538">
        <f>IFERROR(Table7[[#This Row],[United States 10y]]-Table7[[#This Row],[United States 3y]],#N/A)</f>
        <v/>
      </c>
    </row>
    <row r="12539">
      <c r="A12539" s="6">
        <f>Database!$A14624</f>
        <v/>
      </c>
      <c r="B12539">
        <f>IF(VLOOKUP(Table7[[#This Row],[Date]],Database!$A:$C,MATCH($B$1,Database!$A$1:$C$1,),)=0,#N/A,VLOOKUP(Table7[[#This Row],[Date]],Database!$A:$C,MATCH($B$1,Database!$A$1:$C$1,),))</f>
        <v/>
      </c>
      <c r="C12539">
        <f>IF(VLOOKUP(Table7[[#This Row],[Date]],Database!$A:$C,MATCH($C$1,Database!$A$1:$C$1,),)=0,#N/A,VLOOKUP(Table7[[#This Row],[Date]],Database!$A:$C,MATCH($C$1,Database!$A$1:$C$1,),))</f>
        <v/>
      </c>
      <c r="D12539">
        <f>IFERROR(Table7[[#This Row],[United States 10y]]-Table7[[#This Row],[United States 3y]],#N/A)</f>
        <v/>
      </c>
    </row>
    <row r="12540">
      <c r="A12540" s="6">
        <f>Database!$A14625</f>
        <v/>
      </c>
      <c r="B12540">
        <f>IF(VLOOKUP(Table7[[#This Row],[Date]],Database!$A:$C,MATCH($B$1,Database!$A$1:$C$1,),)=0,#N/A,VLOOKUP(Table7[[#This Row],[Date]],Database!$A:$C,MATCH($B$1,Database!$A$1:$C$1,),))</f>
        <v/>
      </c>
      <c r="C12540">
        <f>IF(VLOOKUP(Table7[[#This Row],[Date]],Database!$A:$C,MATCH($C$1,Database!$A$1:$C$1,),)=0,#N/A,VLOOKUP(Table7[[#This Row],[Date]],Database!$A:$C,MATCH($C$1,Database!$A$1:$C$1,),))</f>
        <v/>
      </c>
      <c r="D12540">
        <f>IFERROR(Table7[[#This Row],[United States 10y]]-Table7[[#This Row],[United States 3y]],#N/A)</f>
        <v/>
      </c>
    </row>
    <row r="12541">
      <c r="A12541" s="6">
        <f>Database!$A14626</f>
        <v/>
      </c>
      <c r="B12541">
        <f>IF(VLOOKUP(Table7[[#This Row],[Date]],Database!$A:$C,MATCH($B$1,Database!$A$1:$C$1,),)=0,#N/A,VLOOKUP(Table7[[#This Row],[Date]],Database!$A:$C,MATCH($B$1,Database!$A$1:$C$1,),))</f>
        <v/>
      </c>
      <c r="C12541">
        <f>IF(VLOOKUP(Table7[[#This Row],[Date]],Database!$A:$C,MATCH($C$1,Database!$A$1:$C$1,),)=0,#N/A,VLOOKUP(Table7[[#This Row],[Date]],Database!$A:$C,MATCH($C$1,Database!$A$1:$C$1,),))</f>
        <v/>
      </c>
      <c r="D12541">
        <f>IFERROR(Table7[[#This Row],[United States 10y]]-Table7[[#This Row],[United States 3y]],#N/A)</f>
        <v/>
      </c>
    </row>
    <row r="12542">
      <c r="A12542" s="6">
        <f>Database!$A14627</f>
        <v/>
      </c>
      <c r="B12542">
        <f>IF(VLOOKUP(Table7[[#This Row],[Date]],Database!$A:$C,MATCH($B$1,Database!$A$1:$C$1,),)=0,#N/A,VLOOKUP(Table7[[#This Row],[Date]],Database!$A:$C,MATCH($B$1,Database!$A$1:$C$1,),))</f>
        <v/>
      </c>
      <c r="C12542">
        <f>IF(VLOOKUP(Table7[[#This Row],[Date]],Database!$A:$C,MATCH($C$1,Database!$A$1:$C$1,),)=0,#N/A,VLOOKUP(Table7[[#This Row],[Date]],Database!$A:$C,MATCH($C$1,Database!$A$1:$C$1,),))</f>
        <v/>
      </c>
      <c r="D12542">
        <f>IFERROR(Table7[[#This Row],[United States 10y]]-Table7[[#This Row],[United States 3y]],#N/A)</f>
        <v/>
      </c>
    </row>
    <row r="12543">
      <c r="A12543" s="6">
        <f>Database!$A14628</f>
        <v/>
      </c>
      <c r="B12543">
        <f>IF(VLOOKUP(Table7[[#This Row],[Date]],Database!$A:$C,MATCH($B$1,Database!$A$1:$C$1,),)=0,#N/A,VLOOKUP(Table7[[#This Row],[Date]],Database!$A:$C,MATCH($B$1,Database!$A$1:$C$1,),))</f>
        <v/>
      </c>
      <c r="C12543">
        <f>IF(VLOOKUP(Table7[[#This Row],[Date]],Database!$A:$C,MATCH($C$1,Database!$A$1:$C$1,),)=0,#N/A,VLOOKUP(Table7[[#This Row],[Date]],Database!$A:$C,MATCH($C$1,Database!$A$1:$C$1,),))</f>
        <v/>
      </c>
      <c r="D12543">
        <f>IFERROR(Table7[[#This Row],[United States 10y]]-Table7[[#This Row],[United States 3y]],#N/A)</f>
        <v/>
      </c>
    </row>
    <row r="12544">
      <c r="A12544" s="6">
        <f>Database!$A14629</f>
        <v/>
      </c>
      <c r="B12544">
        <f>IF(VLOOKUP(Table7[[#This Row],[Date]],Database!$A:$C,MATCH($B$1,Database!$A$1:$C$1,),)=0,#N/A,VLOOKUP(Table7[[#This Row],[Date]],Database!$A:$C,MATCH($B$1,Database!$A$1:$C$1,),))</f>
        <v/>
      </c>
      <c r="C12544">
        <f>IF(VLOOKUP(Table7[[#This Row],[Date]],Database!$A:$C,MATCH($C$1,Database!$A$1:$C$1,),)=0,#N/A,VLOOKUP(Table7[[#This Row],[Date]],Database!$A:$C,MATCH($C$1,Database!$A$1:$C$1,),))</f>
        <v/>
      </c>
      <c r="D12544">
        <f>IFERROR(Table7[[#This Row],[United States 10y]]-Table7[[#This Row],[United States 3y]],#N/A)</f>
        <v/>
      </c>
    </row>
    <row r="12545">
      <c r="A12545" s="6">
        <f>Database!$A14630</f>
        <v/>
      </c>
      <c r="B12545">
        <f>IF(VLOOKUP(Table7[[#This Row],[Date]],Database!$A:$C,MATCH($B$1,Database!$A$1:$C$1,),)=0,#N/A,VLOOKUP(Table7[[#This Row],[Date]],Database!$A:$C,MATCH($B$1,Database!$A$1:$C$1,),))</f>
        <v/>
      </c>
      <c r="C12545">
        <f>IF(VLOOKUP(Table7[[#This Row],[Date]],Database!$A:$C,MATCH($C$1,Database!$A$1:$C$1,),)=0,#N/A,VLOOKUP(Table7[[#This Row],[Date]],Database!$A:$C,MATCH($C$1,Database!$A$1:$C$1,),))</f>
        <v/>
      </c>
      <c r="D12545">
        <f>IFERROR(Table7[[#This Row],[United States 10y]]-Table7[[#This Row],[United States 3y]],#N/A)</f>
        <v/>
      </c>
    </row>
    <row r="12546">
      <c r="A12546" s="6">
        <f>Database!$A14631</f>
        <v/>
      </c>
      <c r="B12546">
        <f>IF(VLOOKUP(Table7[[#This Row],[Date]],Database!$A:$C,MATCH($B$1,Database!$A$1:$C$1,),)=0,#N/A,VLOOKUP(Table7[[#This Row],[Date]],Database!$A:$C,MATCH($B$1,Database!$A$1:$C$1,),))</f>
        <v/>
      </c>
      <c r="C12546">
        <f>IF(VLOOKUP(Table7[[#This Row],[Date]],Database!$A:$C,MATCH($C$1,Database!$A$1:$C$1,),)=0,#N/A,VLOOKUP(Table7[[#This Row],[Date]],Database!$A:$C,MATCH($C$1,Database!$A$1:$C$1,),))</f>
        <v/>
      </c>
      <c r="D12546">
        <f>IFERROR(Table7[[#This Row],[United States 10y]]-Table7[[#This Row],[United States 3y]],#N/A)</f>
        <v/>
      </c>
    </row>
    <row r="12547">
      <c r="A12547" s="6">
        <f>Database!$A14632</f>
        <v/>
      </c>
      <c r="B12547">
        <f>IF(VLOOKUP(Table7[[#This Row],[Date]],Database!$A:$C,MATCH($B$1,Database!$A$1:$C$1,),)=0,#N/A,VLOOKUP(Table7[[#This Row],[Date]],Database!$A:$C,MATCH($B$1,Database!$A$1:$C$1,),))</f>
        <v/>
      </c>
      <c r="C12547">
        <f>IF(VLOOKUP(Table7[[#This Row],[Date]],Database!$A:$C,MATCH($C$1,Database!$A$1:$C$1,),)=0,#N/A,VLOOKUP(Table7[[#This Row],[Date]],Database!$A:$C,MATCH($C$1,Database!$A$1:$C$1,),))</f>
        <v/>
      </c>
      <c r="D12547">
        <f>IFERROR(Table7[[#This Row],[United States 10y]]-Table7[[#This Row],[United States 3y]],#N/A)</f>
        <v/>
      </c>
    </row>
    <row r="12548">
      <c r="A12548" s="6">
        <f>Database!$A14633</f>
        <v/>
      </c>
      <c r="B12548">
        <f>IF(VLOOKUP(Table7[[#This Row],[Date]],Database!$A:$C,MATCH($B$1,Database!$A$1:$C$1,),)=0,#N/A,VLOOKUP(Table7[[#This Row],[Date]],Database!$A:$C,MATCH($B$1,Database!$A$1:$C$1,),))</f>
        <v/>
      </c>
      <c r="C12548">
        <f>IF(VLOOKUP(Table7[[#This Row],[Date]],Database!$A:$C,MATCH($C$1,Database!$A$1:$C$1,),)=0,#N/A,VLOOKUP(Table7[[#This Row],[Date]],Database!$A:$C,MATCH($C$1,Database!$A$1:$C$1,),))</f>
        <v/>
      </c>
      <c r="D12548">
        <f>IFERROR(Table7[[#This Row],[United States 10y]]-Table7[[#This Row],[United States 3y]],#N/A)</f>
        <v/>
      </c>
    </row>
    <row r="12549">
      <c r="A12549" s="6">
        <f>Database!$A14634</f>
        <v/>
      </c>
      <c r="B12549">
        <f>IF(VLOOKUP(Table7[[#This Row],[Date]],Database!$A:$C,MATCH($B$1,Database!$A$1:$C$1,),)=0,#N/A,VLOOKUP(Table7[[#This Row],[Date]],Database!$A:$C,MATCH($B$1,Database!$A$1:$C$1,),))</f>
        <v/>
      </c>
      <c r="C12549">
        <f>IF(VLOOKUP(Table7[[#This Row],[Date]],Database!$A:$C,MATCH($C$1,Database!$A$1:$C$1,),)=0,#N/A,VLOOKUP(Table7[[#This Row],[Date]],Database!$A:$C,MATCH($C$1,Database!$A$1:$C$1,),))</f>
        <v/>
      </c>
      <c r="D12549">
        <f>IFERROR(Table7[[#This Row],[United States 10y]]-Table7[[#This Row],[United States 3y]],#N/A)</f>
        <v/>
      </c>
    </row>
    <row r="12550">
      <c r="A12550" s="6">
        <f>Database!$A14635</f>
        <v/>
      </c>
      <c r="B12550">
        <f>IF(VLOOKUP(Table7[[#This Row],[Date]],Database!$A:$C,MATCH($B$1,Database!$A$1:$C$1,),)=0,#N/A,VLOOKUP(Table7[[#This Row],[Date]],Database!$A:$C,MATCH($B$1,Database!$A$1:$C$1,),))</f>
        <v/>
      </c>
      <c r="C12550">
        <f>IF(VLOOKUP(Table7[[#This Row],[Date]],Database!$A:$C,MATCH($C$1,Database!$A$1:$C$1,),)=0,#N/A,VLOOKUP(Table7[[#This Row],[Date]],Database!$A:$C,MATCH($C$1,Database!$A$1:$C$1,),))</f>
        <v/>
      </c>
      <c r="D12550">
        <f>IFERROR(Table7[[#This Row],[United States 10y]]-Table7[[#This Row],[United States 3y]],#N/A)</f>
        <v/>
      </c>
    </row>
    <row r="12551">
      <c r="A12551" s="6">
        <f>Database!$A14636</f>
        <v/>
      </c>
      <c r="B12551">
        <f>IF(VLOOKUP(Table7[[#This Row],[Date]],Database!$A:$C,MATCH($B$1,Database!$A$1:$C$1,),)=0,#N/A,VLOOKUP(Table7[[#This Row],[Date]],Database!$A:$C,MATCH($B$1,Database!$A$1:$C$1,),))</f>
        <v/>
      </c>
      <c r="C12551">
        <f>IF(VLOOKUP(Table7[[#This Row],[Date]],Database!$A:$C,MATCH($C$1,Database!$A$1:$C$1,),)=0,#N/A,VLOOKUP(Table7[[#This Row],[Date]],Database!$A:$C,MATCH($C$1,Database!$A$1:$C$1,),))</f>
        <v/>
      </c>
      <c r="D12551">
        <f>IFERROR(Table7[[#This Row],[United States 10y]]-Table7[[#This Row],[United States 3y]],#N/A)</f>
        <v/>
      </c>
    </row>
    <row r="12552">
      <c r="A12552" s="6">
        <f>Database!$A14637</f>
        <v/>
      </c>
      <c r="B12552">
        <f>IF(VLOOKUP(Table7[[#This Row],[Date]],Database!$A:$C,MATCH($B$1,Database!$A$1:$C$1,),)=0,#N/A,VLOOKUP(Table7[[#This Row],[Date]],Database!$A:$C,MATCH($B$1,Database!$A$1:$C$1,),))</f>
        <v/>
      </c>
      <c r="C12552">
        <f>IF(VLOOKUP(Table7[[#This Row],[Date]],Database!$A:$C,MATCH($C$1,Database!$A$1:$C$1,),)=0,#N/A,VLOOKUP(Table7[[#This Row],[Date]],Database!$A:$C,MATCH($C$1,Database!$A$1:$C$1,),))</f>
        <v/>
      </c>
      <c r="D12552">
        <f>IFERROR(Table7[[#This Row],[United States 10y]]-Table7[[#This Row],[United States 3y]],#N/A)</f>
        <v/>
      </c>
    </row>
    <row r="12553">
      <c r="A12553" s="6">
        <f>Database!$A14638</f>
        <v/>
      </c>
      <c r="B12553">
        <f>IF(VLOOKUP(Table7[[#This Row],[Date]],Database!$A:$C,MATCH($B$1,Database!$A$1:$C$1,),)=0,#N/A,VLOOKUP(Table7[[#This Row],[Date]],Database!$A:$C,MATCH($B$1,Database!$A$1:$C$1,),))</f>
        <v/>
      </c>
      <c r="C12553">
        <f>IF(VLOOKUP(Table7[[#This Row],[Date]],Database!$A:$C,MATCH($C$1,Database!$A$1:$C$1,),)=0,#N/A,VLOOKUP(Table7[[#This Row],[Date]],Database!$A:$C,MATCH($C$1,Database!$A$1:$C$1,),))</f>
        <v/>
      </c>
      <c r="D12553">
        <f>IFERROR(Table7[[#This Row],[United States 10y]]-Table7[[#This Row],[United States 3y]],#N/A)</f>
        <v/>
      </c>
    </row>
    <row r="12554">
      <c r="A12554" s="6">
        <f>Database!$A14639</f>
        <v/>
      </c>
      <c r="B12554">
        <f>IF(VLOOKUP(Table7[[#This Row],[Date]],Database!$A:$C,MATCH($B$1,Database!$A$1:$C$1,),)=0,#N/A,VLOOKUP(Table7[[#This Row],[Date]],Database!$A:$C,MATCH($B$1,Database!$A$1:$C$1,),))</f>
        <v/>
      </c>
      <c r="C12554">
        <f>IF(VLOOKUP(Table7[[#This Row],[Date]],Database!$A:$C,MATCH($C$1,Database!$A$1:$C$1,),)=0,#N/A,VLOOKUP(Table7[[#This Row],[Date]],Database!$A:$C,MATCH($C$1,Database!$A$1:$C$1,),))</f>
        <v/>
      </c>
      <c r="D12554">
        <f>IFERROR(Table7[[#This Row],[United States 10y]]-Table7[[#This Row],[United States 3y]],#N/A)</f>
        <v/>
      </c>
    </row>
    <row r="12555">
      <c r="A12555" s="6">
        <f>Database!$A14640</f>
        <v/>
      </c>
      <c r="B12555">
        <f>IF(VLOOKUP(Table7[[#This Row],[Date]],Database!$A:$C,MATCH($B$1,Database!$A$1:$C$1,),)=0,#N/A,VLOOKUP(Table7[[#This Row],[Date]],Database!$A:$C,MATCH($B$1,Database!$A$1:$C$1,),))</f>
        <v/>
      </c>
      <c r="C12555">
        <f>IF(VLOOKUP(Table7[[#This Row],[Date]],Database!$A:$C,MATCH($C$1,Database!$A$1:$C$1,),)=0,#N/A,VLOOKUP(Table7[[#This Row],[Date]],Database!$A:$C,MATCH($C$1,Database!$A$1:$C$1,),))</f>
        <v/>
      </c>
      <c r="D12555">
        <f>IFERROR(Table7[[#This Row],[United States 10y]]-Table7[[#This Row],[United States 3y]],#N/A)</f>
        <v/>
      </c>
    </row>
    <row r="12556">
      <c r="A12556" s="6">
        <f>Database!$A14641</f>
        <v/>
      </c>
      <c r="B12556">
        <f>IF(VLOOKUP(Table7[[#This Row],[Date]],Database!$A:$C,MATCH($B$1,Database!$A$1:$C$1,),)=0,#N/A,VLOOKUP(Table7[[#This Row],[Date]],Database!$A:$C,MATCH($B$1,Database!$A$1:$C$1,),))</f>
        <v/>
      </c>
      <c r="C12556">
        <f>IF(VLOOKUP(Table7[[#This Row],[Date]],Database!$A:$C,MATCH($C$1,Database!$A$1:$C$1,),)=0,#N/A,VLOOKUP(Table7[[#This Row],[Date]],Database!$A:$C,MATCH($C$1,Database!$A$1:$C$1,),))</f>
        <v/>
      </c>
      <c r="D12556">
        <f>IFERROR(Table7[[#This Row],[United States 10y]]-Table7[[#This Row],[United States 3y]],#N/A)</f>
        <v/>
      </c>
    </row>
    <row r="12557">
      <c r="A12557" s="6">
        <f>Database!$A14642</f>
        <v/>
      </c>
      <c r="B12557">
        <f>IF(VLOOKUP(Table7[[#This Row],[Date]],Database!$A:$C,MATCH($B$1,Database!$A$1:$C$1,),)=0,#N/A,VLOOKUP(Table7[[#This Row],[Date]],Database!$A:$C,MATCH($B$1,Database!$A$1:$C$1,),))</f>
        <v/>
      </c>
      <c r="C12557">
        <f>IF(VLOOKUP(Table7[[#This Row],[Date]],Database!$A:$C,MATCH($C$1,Database!$A$1:$C$1,),)=0,#N/A,VLOOKUP(Table7[[#This Row],[Date]],Database!$A:$C,MATCH($C$1,Database!$A$1:$C$1,),))</f>
        <v/>
      </c>
      <c r="D12557">
        <f>IFERROR(Table7[[#This Row],[United States 10y]]-Table7[[#This Row],[United States 3y]],#N/A)</f>
        <v/>
      </c>
    </row>
    <row r="12558">
      <c r="A12558" s="6">
        <f>Database!$A14643</f>
        <v/>
      </c>
      <c r="B12558">
        <f>IF(VLOOKUP(Table7[[#This Row],[Date]],Database!$A:$C,MATCH($B$1,Database!$A$1:$C$1,),)=0,#N/A,VLOOKUP(Table7[[#This Row],[Date]],Database!$A:$C,MATCH($B$1,Database!$A$1:$C$1,),))</f>
        <v/>
      </c>
      <c r="C12558">
        <f>IF(VLOOKUP(Table7[[#This Row],[Date]],Database!$A:$C,MATCH($C$1,Database!$A$1:$C$1,),)=0,#N/A,VLOOKUP(Table7[[#This Row],[Date]],Database!$A:$C,MATCH($C$1,Database!$A$1:$C$1,),))</f>
        <v/>
      </c>
      <c r="D12558">
        <f>IFERROR(Table7[[#This Row],[United States 10y]]-Table7[[#This Row],[United States 3y]],#N/A)</f>
        <v/>
      </c>
    </row>
    <row r="12559">
      <c r="A12559" s="6">
        <f>Database!$A14644</f>
        <v/>
      </c>
      <c r="B12559">
        <f>IF(VLOOKUP(Table7[[#This Row],[Date]],Database!$A:$C,MATCH($B$1,Database!$A$1:$C$1,),)=0,#N/A,VLOOKUP(Table7[[#This Row],[Date]],Database!$A:$C,MATCH($B$1,Database!$A$1:$C$1,),))</f>
        <v/>
      </c>
      <c r="C12559">
        <f>IF(VLOOKUP(Table7[[#This Row],[Date]],Database!$A:$C,MATCH($C$1,Database!$A$1:$C$1,),)=0,#N/A,VLOOKUP(Table7[[#This Row],[Date]],Database!$A:$C,MATCH($C$1,Database!$A$1:$C$1,),))</f>
        <v/>
      </c>
      <c r="D12559">
        <f>IFERROR(Table7[[#This Row],[United States 10y]]-Table7[[#This Row],[United States 3y]],#N/A)</f>
        <v/>
      </c>
    </row>
    <row r="12560">
      <c r="A12560" s="6">
        <f>Database!$A14645</f>
        <v/>
      </c>
      <c r="B12560">
        <f>IF(VLOOKUP(Table7[[#This Row],[Date]],Database!$A:$C,MATCH($B$1,Database!$A$1:$C$1,),)=0,#N/A,VLOOKUP(Table7[[#This Row],[Date]],Database!$A:$C,MATCH($B$1,Database!$A$1:$C$1,),))</f>
        <v/>
      </c>
      <c r="C12560">
        <f>IF(VLOOKUP(Table7[[#This Row],[Date]],Database!$A:$C,MATCH($C$1,Database!$A$1:$C$1,),)=0,#N/A,VLOOKUP(Table7[[#This Row],[Date]],Database!$A:$C,MATCH($C$1,Database!$A$1:$C$1,),))</f>
        <v/>
      </c>
      <c r="D12560">
        <f>IFERROR(Table7[[#This Row],[United States 10y]]-Table7[[#This Row],[United States 3y]],#N/A)</f>
        <v/>
      </c>
    </row>
    <row r="12561">
      <c r="A12561" s="6">
        <f>Database!$A14646</f>
        <v/>
      </c>
      <c r="B12561">
        <f>IF(VLOOKUP(Table7[[#This Row],[Date]],Database!$A:$C,MATCH($B$1,Database!$A$1:$C$1,),)=0,#N/A,VLOOKUP(Table7[[#This Row],[Date]],Database!$A:$C,MATCH($B$1,Database!$A$1:$C$1,),))</f>
        <v/>
      </c>
      <c r="C12561">
        <f>IF(VLOOKUP(Table7[[#This Row],[Date]],Database!$A:$C,MATCH($C$1,Database!$A$1:$C$1,),)=0,#N/A,VLOOKUP(Table7[[#This Row],[Date]],Database!$A:$C,MATCH($C$1,Database!$A$1:$C$1,),))</f>
        <v/>
      </c>
      <c r="D12561">
        <f>IFERROR(Table7[[#This Row],[United States 10y]]-Table7[[#This Row],[United States 3y]],#N/A)</f>
        <v/>
      </c>
    </row>
    <row r="12562">
      <c r="A12562" s="6">
        <f>Database!$A14647</f>
        <v/>
      </c>
      <c r="B12562">
        <f>IF(VLOOKUP(Table7[[#This Row],[Date]],Database!$A:$C,MATCH($B$1,Database!$A$1:$C$1,),)=0,#N/A,VLOOKUP(Table7[[#This Row],[Date]],Database!$A:$C,MATCH($B$1,Database!$A$1:$C$1,),))</f>
        <v/>
      </c>
      <c r="C12562">
        <f>IF(VLOOKUP(Table7[[#This Row],[Date]],Database!$A:$C,MATCH($C$1,Database!$A$1:$C$1,),)=0,#N/A,VLOOKUP(Table7[[#This Row],[Date]],Database!$A:$C,MATCH($C$1,Database!$A$1:$C$1,),))</f>
        <v/>
      </c>
      <c r="D12562">
        <f>IFERROR(Table7[[#This Row],[United States 10y]]-Table7[[#This Row],[United States 3y]],#N/A)</f>
        <v/>
      </c>
    </row>
    <row r="12563">
      <c r="A12563" s="6">
        <f>Database!$A14648</f>
        <v/>
      </c>
      <c r="B12563">
        <f>IF(VLOOKUP(Table7[[#This Row],[Date]],Database!$A:$C,MATCH($B$1,Database!$A$1:$C$1,),)=0,#N/A,VLOOKUP(Table7[[#This Row],[Date]],Database!$A:$C,MATCH($B$1,Database!$A$1:$C$1,),))</f>
        <v/>
      </c>
      <c r="C12563">
        <f>IF(VLOOKUP(Table7[[#This Row],[Date]],Database!$A:$C,MATCH($C$1,Database!$A$1:$C$1,),)=0,#N/A,VLOOKUP(Table7[[#This Row],[Date]],Database!$A:$C,MATCH($C$1,Database!$A$1:$C$1,),))</f>
        <v/>
      </c>
      <c r="D12563">
        <f>IFERROR(Table7[[#This Row],[United States 10y]]-Table7[[#This Row],[United States 3y]],#N/A)</f>
        <v/>
      </c>
    </row>
    <row r="12564">
      <c r="A12564" s="6">
        <f>Database!$A14649</f>
        <v/>
      </c>
      <c r="B12564">
        <f>IF(VLOOKUP(Table7[[#This Row],[Date]],Database!$A:$C,MATCH($B$1,Database!$A$1:$C$1,),)=0,#N/A,VLOOKUP(Table7[[#This Row],[Date]],Database!$A:$C,MATCH($B$1,Database!$A$1:$C$1,),))</f>
        <v/>
      </c>
      <c r="C12564">
        <f>IF(VLOOKUP(Table7[[#This Row],[Date]],Database!$A:$C,MATCH($C$1,Database!$A$1:$C$1,),)=0,#N/A,VLOOKUP(Table7[[#This Row],[Date]],Database!$A:$C,MATCH($C$1,Database!$A$1:$C$1,),))</f>
        <v/>
      </c>
      <c r="D12564">
        <f>IFERROR(Table7[[#This Row],[United States 10y]]-Table7[[#This Row],[United States 3y]],#N/A)</f>
        <v/>
      </c>
    </row>
    <row r="12565">
      <c r="A12565" s="6">
        <f>Database!$A14650</f>
        <v/>
      </c>
      <c r="B12565">
        <f>IF(VLOOKUP(Table7[[#This Row],[Date]],Database!$A:$C,MATCH($B$1,Database!$A$1:$C$1,),)=0,#N/A,VLOOKUP(Table7[[#This Row],[Date]],Database!$A:$C,MATCH($B$1,Database!$A$1:$C$1,),))</f>
        <v/>
      </c>
      <c r="C12565">
        <f>IF(VLOOKUP(Table7[[#This Row],[Date]],Database!$A:$C,MATCH($C$1,Database!$A$1:$C$1,),)=0,#N/A,VLOOKUP(Table7[[#This Row],[Date]],Database!$A:$C,MATCH($C$1,Database!$A$1:$C$1,),))</f>
        <v/>
      </c>
      <c r="D12565">
        <f>IFERROR(Table7[[#This Row],[United States 10y]]-Table7[[#This Row],[United States 3y]],#N/A)</f>
        <v/>
      </c>
    </row>
    <row r="12566">
      <c r="A12566" s="6">
        <f>Database!$A14651</f>
        <v/>
      </c>
      <c r="B12566">
        <f>IF(VLOOKUP(Table7[[#This Row],[Date]],Database!$A:$C,MATCH($B$1,Database!$A$1:$C$1,),)=0,#N/A,VLOOKUP(Table7[[#This Row],[Date]],Database!$A:$C,MATCH($B$1,Database!$A$1:$C$1,),))</f>
        <v/>
      </c>
      <c r="C12566">
        <f>IF(VLOOKUP(Table7[[#This Row],[Date]],Database!$A:$C,MATCH($C$1,Database!$A$1:$C$1,),)=0,#N/A,VLOOKUP(Table7[[#This Row],[Date]],Database!$A:$C,MATCH($C$1,Database!$A$1:$C$1,),))</f>
        <v/>
      </c>
      <c r="D12566">
        <f>IFERROR(Table7[[#This Row],[United States 10y]]-Table7[[#This Row],[United States 3y]],#N/A)</f>
        <v/>
      </c>
    </row>
    <row r="12567">
      <c r="A12567" s="6">
        <f>Database!$A14652</f>
        <v/>
      </c>
      <c r="B12567">
        <f>IF(VLOOKUP(Table7[[#This Row],[Date]],Database!$A:$C,MATCH($B$1,Database!$A$1:$C$1,),)=0,#N/A,VLOOKUP(Table7[[#This Row],[Date]],Database!$A:$C,MATCH($B$1,Database!$A$1:$C$1,),))</f>
        <v/>
      </c>
      <c r="C12567">
        <f>IF(VLOOKUP(Table7[[#This Row],[Date]],Database!$A:$C,MATCH($C$1,Database!$A$1:$C$1,),)=0,#N/A,VLOOKUP(Table7[[#This Row],[Date]],Database!$A:$C,MATCH($C$1,Database!$A$1:$C$1,),))</f>
        <v/>
      </c>
      <c r="D12567">
        <f>IFERROR(Table7[[#This Row],[United States 10y]]-Table7[[#This Row],[United States 3y]],#N/A)</f>
        <v/>
      </c>
    </row>
    <row r="12568">
      <c r="A12568" s="6">
        <f>Database!$A14653</f>
        <v/>
      </c>
      <c r="B12568">
        <f>IF(VLOOKUP(Table7[[#This Row],[Date]],Database!$A:$C,MATCH($B$1,Database!$A$1:$C$1,),)=0,#N/A,VLOOKUP(Table7[[#This Row],[Date]],Database!$A:$C,MATCH($B$1,Database!$A$1:$C$1,),))</f>
        <v/>
      </c>
      <c r="C12568">
        <f>IF(VLOOKUP(Table7[[#This Row],[Date]],Database!$A:$C,MATCH($C$1,Database!$A$1:$C$1,),)=0,#N/A,VLOOKUP(Table7[[#This Row],[Date]],Database!$A:$C,MATCH($C$1,Database!$A$1:$C$1,),))</f>
        <v/>
      </c>
      <c r="D12568">
        <f>IFERROR(Table7[[#This Row],[United States 10y]]-Table7[[#This Row],[United States 3y]],#N/A)</f>
        <v/>
      </c>
    </row>
    <row r="12569">
      <c r="A12569" s="6">
        <f>Database!$A14654</f>
        <v/>
      </c>
      <c r="B12569">
        <f>IF(VLOOKUP(Table7[[#This Row],[Date]],Database!$A:$C,MATCH($B$1,Database!$A$1:$C$1,),)=0,#N/A,VLOOKUP(Table7[[#This Row],[Date]],Database!$A:$C,MATCH($B$1,Database!$A$1:$C$1,),))</f>
        <v/>
      </c>
      <c r="C12569">
        <f>IF(VLOOKUP(Table7[[#This Row],[Date]],Database!$A:$C,MATCH($C$1,Database!$A$1:$C$1,),)=0,#N/A,VLOOKUP(Table7[[#This Row],[Date]],Database!$A:$C,MATCH($C$1,Database!$A$1:$C$1,),))</f>
        <v/>
      </c>
      <c r="D12569">
        <f>IFERROR(Table7[[#This Row],[United States 10y]]-Table7[[#This Row],[United States 3y]],#N/A)</f>
        <v/>
      </c>
    </row>
    <row r="12570">
      <c r="A12570" s="6">
        <f>Database!$A14655</f>
        <v/>
      </c>
      <c r="B12570">
        <f>IF(VLOOKUP(Table7[[#This Row],[Date]],Database!$A:$C,MATCH($B$1,Database!$A$1:$C$1,),)=0,#N/A,VLOOKUP(Table7[[#This Row],[Date]],Database!$A:$C,MATCH($B$1,Database!$A$1:$C$1,),))</f>
        <v/>
      </c>
      <c r="C12570">
        <f>IF(VLOOKUP(Table7[[#This Row],[Date]],Database!$A:$C,MATCH($C$1,Database!$A$1:$C$1,),)=0,#N/A,VLOOKUP(Table7[[#This Row],[Date]],Database!$A:$C,MATCH($C$1,Database!$A$1:$C$1,),))</f>
        <v/>
      </c>
      <c r="D12570">
        <f>IFERROR(Table7[[#This Row],[United States 10y]]-Table7[[#This Row],[United States 3y]],#N/A)</f>
        <v/>
      </c>
    </row>
    <row r="12571">
      <c r="A12571" s="6">
        <f>Database!$A14656</f>
        <v/>
      </c>
      <c r="B12571">
        <f>IF(VLOOKUP(Table7[[#This Row],[Date]],Database!$A:$C,MATCH($B$1,Database!$A$1:$C$1,),)=0,#N/A,VLOOKUP(Table7[[#This Row],[Date]],Database!$A:$C,MATCH($B$1,Database!$A$1:$C$1,),))</f>
        <v/>
      </c>
      <c r="C12571">
        <f>IF(VLOOKUP(Table7[[#This Row],[Date]],Database!$A:$C,MATCH($C$1,Database!$A$1:$C$1,),)=0,#N/A,VLOOKUP(Table7[[#This Row],[Date]],Database!$A:$C,MATCH($C$1,Database!$A$1:$C$1,),))</f>
        <v/>
      </c>
      <c r="D12571">
        <f>IFERROR(Table7[[#This Row],[United States 10y]]-Table7[[#This Row],[United States 3y]],#N/A)</f>
        <v/>
      </c>
    </row>
    <row r="12572">
      <c r="A12572" s="6">
        <f>Database!$A14657</f>
        <v/>
      </c>
      <c r="B12572">
        <f>IF(VLOOKUP(Table7[[#This Row],[Date]],Database!$A:$C,MATCH($B$1,Database!$A$1:$C$1,),)=0,#N/A,VLOOKUP(Table7[[#This Row],[Date]],Database!$A:$C,MATCH($B$1,Database!$A$1:$C$1,),))</f>
        <v/>
      </c>
      <c r="C12572">
        <f>IF(VLOOKUP(Table7[[#This Row],[Date]],Database!$A:$C,MATCH($C$1,Database!$A$1:$C$1,),)=0,#N/A,VLOOKUP(Table7[[#This Row],[Date]],Database!$A:$C,MATCH($C$1,Database!$A$1:$C$1,),))</f>
        <v/>
      </c>
      <c r="D12572">
        <f>IFERROR(Table7[[#This Row],[United States 10y]]-Table7[[#This Row],[United States 3y]],#N/A)</f>
        <v/>
      </c>
    </row>
    <row r="12573">
      <c r="A12573" s="6">
        <f>Database!$A14658</f>
        <v/>
      </c>
      <c r="B12573">
        <f>IF(VLOOKUP(Table7[[#This Row],[Date]],Database!$A:$C,MATCH($B$1,Database!$A$1:$C$1,),)=0,#N/A,VLOOKUP(Table7[[#This Row],[Date]],Database!$A:$C,MATCH($B$1,Database!$A$1:$C$1,),))</f>
        <v/>
      </c>
      <c r="C12573">
        <f>IF(VLOOKUP(Table7[[#This Row],[Date]],Database!$A:$C,MATCH($C$1,Database!$A$1:$C$1,),)=0,#N/A,VLOOKUP(Table7[[#This Row],[Date]],Database!$A:$C,MATCH($C$1,Database!$A$1:$C$1,),))</f>
        <v/>
      </c>
      <c r="D12573">
        <f>IFERROR(Table7[[#This Row],[United States 10y]]-Table7[[#This Row],[United States 3y]],#N/A)</f>
        <v/>
      </c>
    </row>
    <row r="12574">
      <c r="A12574" s="6">
        <f>Database!$A14659</f>
        <v/>
      </c>
      <c r="B12574">
        <f>IF(VLOOKUP(Table7[[#This Row],[Date]],Database!$A:$C,MATCH($B$1,Database!$A$1:$C$1,),)=0,#N/A,VLOOKUP(Table7[[#This Row],[Date]],Database!$A:$C,MATCH($B$1,Database!$A$1:$C$1,),))</f>
        <v/>
      </c>
      <c r="C12574">
        <f>IF(VLOOKUP(Table7[[#This Row],[Date]],Database!$A:$C,MATCH($C$1,Database!$A$1:$C$1,),)=0,#N/A,VLOOKUP(Table7[[#This Row],[Date]],Database!$A:$C,MATCH($C$1,Database!$A$1:$C$1,),))</f>
        <v/>
      </c>
      <c r="D12574">
        <f>IFERROR(Table7[[#This Row],[United States 10y]]-Table7[[#This Row],[United States 3y]],#N/A)</f>
        <v/>
      </c>
    </row>
    <row r="12575">
      <c r="A12575" s="6">
        <f>Database!$A14660</f>
        <v/>
      </c>
      <c r="B12575">
        <f>IF(VLOOKUP(Table7[[#This Row],[Date]],Database!$A:$C,MATCH($B$1,Database!$A$1:$C$1,),)=0,#N/A,VLOOKUP(Table7[[#This Row],[Date]],Database!$A:$C,MATCH($B$1,Database!$A$1:$C$1,),))</f>
        <v/>
      </c>
      <c r="C12575">
        <f>IF(VLOOKUP(Table7[[#This Row],[Date]],Database!$A:$C,MATCH($C$1,Database!$A$1:$C$1,),)=0,#N/A,VLOOKUP(Table7[[#This Row],[Date]],Database!$A:$C,MATCH($C$1,Database!$A$1:$C$1,),))</f>
        <v/>
      </c>
      <c r="D12575">
        <f>IFERROR(Table7[[#This Row],[United States 10y]]-Table7[[#This Row],[United States 3y]],#N/A)</f>
        <v/>
      </c>
    </row>
    <row r="12576">
      <c r="A12576" s="6">
        <f>Database!$A14661</f>
        <v/>
      </c>
      <c r="B12576">
        <f>IF(VLOOKUP(Table7[[#This Row],[Date]],Database!$A:$C,MATCH($B$1,Database!$A$1:$C$1,),)=0,#N/A,VLOOKUP(Table7[[#This Row],[Date]],Database!$A:$C,MATCH($B$1,Database!$A$1:$C$1,),))</f>
        <v/>
      </c>
      <c r="C12576">
        <f>IF(VLOOKUP(Table7[[#This Row],[Date]],Database!$A:$C,MATCH($C$1,Database!$A$1:$C$1,),)=0,#N/A,VLOOKUP(Table7[[#This Row],[Date]],Database!$A:$C,MATCH($C$1,Database!$A$1:$C$1,),))</f>
        <v/>
      </c>
      <c r="D12576">
        <f>IFERROR(Table7[[#This Row],[United States 10y]]-Table7[[#This Row],[United States 3y]],#N/A)</f>
        <v/>
      </c>
    </row>
    <row r="12577">
      <c r="A12577" s="6">
        <f>Database!$A14662</f>
        <v/>
      </c>
      <c r="B12577">
        <f>IF(VLOOKUP(Table7[[#This Row],[Date]],Database!$A:$C,MATCH($B$1,Database!$A$1:$C$1,),)=0,#N/A,VLOOKUP(Table7[[#This Row],[Date]],Database!$A:$C,MATCH($B$1,Database!$A$1:$C$1,),))</f>
        <v/>
      </c>
      <c r="C12577">
        <f>IF(VLOOKUP(Table7[[#This Row],[Date]],Database!$A:$C,MATCH($C$1,Database!$A$1:$C$1,),)=0,#N/A,VLOOKUP(Table7[[#This Row],[Date]],Database!$A:$C,MATCH($C$1,Database!$A$1:$C$1,),))</f>
        <v/>
      </c>
      <c r="D12577">
        <f>IFERROR(Table7[[#This Row],[United States 10y]]-Table7[[#This Row],[United States 3y]],#N/A)</f>
        <v/>
      </c>
    </row>
    <row r="12578">
      <c r="A12578" s="6">
        <f>Database!$A14663</f>
        <v/>
      </c>
      <c r="B12578">
        <f>IF(VLOOKUP(Table7[[#This Row],[Date]],Database!$A:$C,MATCH($B$1,Database!$A$1:$C$1,),)=0,#N/A,VLOOKUP(Table7[[#This Row],[Date]],Database!$A:$C,MATCH($B$1,Database!$A$1:$C$1,),))</f>
        <v/>
      </c>
      <c r="C12578">
        <f>IF(VLOOKUP(Table7[[#This Row],[Date]],Database!$A:$C,MATCH($C$1,Database!$A$1:$C$1,),)=0,#N/A,VLOOKUP(Table7[[#This Row],[Date]],Database!$A:$C,MATCH($C$1,Database!$A$1:$C$1,),))</f>
        <v/>
      </c>
      <c r="D12578">
        <f>IFERROR(Table7[[#This Row],[United States 10y]]-Table7[[#This Row],[United States 3y]],#N/A)</f>
        <v/>
      </c>
    </row>
    <row r="12579">
      <c r="A12579" s="6">
        <f>Database!$A14664</f>
        <v/>
      </c>
      <c r="B12579">
        <f>IF(VLOOKUP(Table7[[#This Row],[Date]],Database!$A:$C,MATCH($B$1,Database!$A$1:$C$1,),)=0,#N/A,VLOOKUP(Table7[[#This Row],[Date]],Database!$A:$C,MATCH($B$1,Database!$A$1:$C$1,),))</f>
        <v/>
      </c>
      <c r="C12579">
        <f>IF(VLOOKUP(Table7[[#This Row],[Date]],Database!$A:$C,MATCH($C$1,Database!$A$1:$C$1,),)=0,#N/A,VLOOKUP(Table7[[#This Row],[Date]],Database!$A:$C,MATCH($C$1,Database!$A$1:$C$1,),))</f>
        <v/>
      </c>
      <c r="D12579">
        <f>IFERROR(Table7[[#This Row],[United States 10y]]-Table7[[#This Row],[United States 3y]],#N/A)</f>
        <v/>
      </c>
    </row>
    <row r="12580">
      <c r="A12580" s="6">
        <f>Database!$A14665</f>
        <v/>
      </c>
      <c r="B12580">
        <f>IF(VLOOKUP(Table7[[#This Row],[Date]],Database!$A:$C,MATCH($B$1,Database!$A$1:$C$1,),)=0,#N/A,VLOOKUP(Table7[[#This Row],[Date]],Database!$A:$C,MATCH($B$1,Database!$A$1:$C$1,),))</f>
        <v/>
      </c>
      <c r="C12580">
        <f>IF(VLOOKUP(Table7[[#This Row],[Date]],Database!$A:$C,MATCH($C$1,Database!$A$1:$C$1,),)=0,#N/A,VLOOKUP(Table7[[#This Row],[Date]],Database!$A:$C,MATCH($C$1,Database!$A$1:$C$1,),))</f>
        <v/>
      </c>
      <c r="D12580">
        <f>IFERROR(Table7[[#This Row],[United States 10y]]-Table7[[#This Row],[United States 3y]],#N/A)</f>
        <v/>
      </c>
    </row>
    <row r="12581">
      <c r="A12581" s="6">
        <f>Database!$A14666</f>
        <v/>
      </c>
      <c r="B12581">
        <f>IF(VLOOKUP(Table7[[#This Row],[Date]],Database!$A:$C,MATCH($B$1,Database!$A$1:$C$1,),)=0,#N/A,VLOOKUP(Table7[[#This Row],[Date]],Database!$A:$C,MATCH($B$1,Database!$A$1:$C$1,),))</f>
        <v/>
      </c>
      <c r="C12581">
        <f>IF(VLOOKUP(Table7[[#This Row],[Date]],Database!$A:$C,MATCH($C$1,Database!$A$1:$C$1,),)=0,#N/A,VLOOKUP(Table7[[#This Row],[Date]],Database!$A:$C,MATCH($C$1,Database!$A$1:$C$1,),))</f>
        <v/>
      </c>
      <c r="D12581">
        <f>IFERROR(Table7[[#This Row],[United States 10y]]-Table7[[#This Row],[United States 3y]],#N/A)</f>
        <v/>
      </c>
    </row>
    <row r="12582">
      <c r="A12582" s="6">
        <f>Database!$A14667</f>
        <v/>
      </c>
      <c r="B12582">
        <f>IF(VLOOKUP(Table7[[#This Row],[Date]],Database!$A:$C,MATCH($B$1,Database!$A$1:$C$1,),)=0,#N/A,VLOOKUP(Table7[[#This Row],[Date]],Database!$A:$C,MATCH($B$1,Database!$A$1:$C$1,),))</f>
        <v/>
      </c>
      <c r="C12582">
        <f>IF(VLOOKUP(Table7[[#This Row],[Date]],Database!$A:$C,MATCH($C$1,Database!$A$1:$C$1,),)=0,#N/A,VLOOKUP(Table7[[#This Row],[Date]],Database!$A:$C,MATCH($C$1,Database!$A$1:$C$1,),))</f>
        <v/>
      </c>
      <c r="D12582">
        <f>IFERROR(Table7[[#This Row],[United States 10y]]-Table7[[#This Row],[United States 3y]],#N/A)</f>
        <v/>
      </c>
    </row>
    <row r="12583">
      <c r="A12583" s="6">
        <f>Database!$A14668</f>
        <v/>
      </c>
      <c r="B12583">
        <f>IF(VLOOKUP(Table7[[#This Row],[Date]],Database!$A:$C,MATCH($B$1,Database!$A$1:$C$1,),)=0,#N/A,VLOOKUP(Table7[[#This Row],[Date]],Database!$A:$C,MATCH($B$1,Database!$A$1:$C$1,),))</f>
        <v/>
      </c>
      <c r="C12583">
        <f>IF(VLOOKUP(Table7[[#This Row],[Date]],Database!$A:$C,MATCH($C$1,Database!$A$1:$C$1,),)=0,#N/A,VLOOKUP(Table7[[#This Row],[Date]],Database!$A:$C,MATCH($C$1,Database!$A$1:$C$1,),))</f>
        <v/>
      </c>
      <c r="D12583">
        <f>IFERROR(Table7[[#This Row],[United States 10y]]-Table7[[#This Row],[United States 3y]],#N/A)</f>
        <v/>
      </c>
    </row>
    <row r="12584">
      <c r="A12584" s="6">
        <f>Database!$A14669</f>
        <v/>
      </c>
      <c r="B12584">
        <f>IF(VLOOKUP(Table7[[#This Row],[Date]],Database!$A:$C,MATCH($B$1,Database!$A$1:$C$1,),)=0,#N/A,VLOOKUP(Table7[[#This Row],[Date]],Database!$A:$C,MATCH($B$1,Database!$A$1:$C$1,),))</f>
        <v/>
      </c>
      <c r="C12584">
        <f>IF(VLOOKUP(Table7[[#This Row],[Date]],Database!$A:$C,MATCH($C$1,Database!$A$1:$C$1,),)=0,#N/A,VLOOKUP(Table7[[#This Row],[Date]],Database!$A:$C,MATCH($C$1,Database!$A$1:$C$1,),))</f>
        <v/>
      </c>
      <c r="D12584">
        <f>IFERROR(Table7[[#This Row],[United States 10y]]-Table7[[#This Row],[United States 3y]],#N/A)</f>
        <v/>
      </c>
    </row>
    <row r="12585">
      <c r="A12585" s="6">
        <f>Database!$A14670</f>
        <v/>
      </c>
      <c r="B12585">
        <f>IF(VLOOKUP(Table7[[#This Row],[Date]],Database!$A:$C,MATCH($B$1,Database!$A$1:$C$1,),)=0,#N/A,VLOOKUP(Table7[[#This Row],[Date]],Database!$A:$C,MATCH($B$1,Database!$A$1:$C$1,),))</f>
        <v/>
      </c>
      <c r="C12585">
        <f>IF(VLOOKUP(Table7[[#This Row],[Date]],Database!$A:$C,MATCH($C$1,Database!$A$1:$C$1,),)=0,#N/A,VLOOKUP(Table7[[#This Row],[Date]],Database!$A:$C,MATCH($C$1,Database!$A$1:$C$1,),))</f>
        <v/>
      </c>
      <c r="D12585">
        <f>IFERROR(Table7[[#This Row],[United States 10y]]-Table7[[#This Row],[United States 3y]],#N/A)</f>
        <v/>
      </c>
    </row>
    <row r="12586">
      <c r="A12586" s="6">
        <f>Database!$A14671</f>
        <v/>
      </c>
      <c r="B12586">
        <f>IF(VLOOKUP(Table7[[#This Row],[Date]],Database!$A:$C,MATCH($B$1,Database!$A$1:$C$1,),)=0,#N/A,VLOOKUP(Table7[[#This Row],[Date]],Database!$A:$C,MATCH($B$1,Database!$A$1:$C$1,),))</f>
        <v/>
      </c>
      <c r="C12586">
        <f>IF(VLOOKUP(Table7[[#This Row],[Date]],Database!$A:$C,MATCH($C$1,Database!$A$1:$C$1,),)=0,#N/A,VLOOKUP(Table7[[#This Row],[Date]],Database!$A:$C,MATCH($C$1,Database!$A$1:$C$1,),))</f>
        <v/>
      </c>
      <c r="D12586">
        <f>IFERROR(Table7[[#This Row],[United States 10y]]-Table7[[#This Row],[United States 3y]],#N/A)</f>
        <v/>
      </c>
    </row>
    <row r="12587">
      <c r="A12587" s="6">
        <f>Database!$A14672</f>
        <v/>
      </c>
      <c r="B12587">
        <f>IF(VLOOKUP(Table7[[#This Row],[Date]],Database!$A:$C,MATCH($B$1,Database!$A$1:$C$1,),)=0,#N/A,VLOOKUP(Table7[[#This Row],[Date]],Database!$A:$C,MATCH($B$1,Database!$A$1:$C$1,),))</f>
        <v/>
      </c>
      <c r="C12587">
        <f>IF(VLOOKUP(Table7[[#This Row],[Date]],Database!$A:$C,MATCH($C$1,Database!$A$1:$C$1,),)=0,#N/A,VLOOKUP(Table7[[#This Row],[Date]],Database!$A:$C,MATCH($C$1,Database!$A$1:$C$1,),))</f>
        <v/>
      </c>
      <c r="D12587">
        <f>IFERROR(Table7[[#This Row],[United States 10y]]-Table7[[#This Row],[United States 3y]],#N/A)</f>
        <v/>
      </c>
    </row>
    <row r="12588">
      <c r="A12588" s="6">
        <f>Database!$A14673</f>
        <v/>
      </c>
      <c r="B12588">
        <f>IF(VLOOKUP(Table7[[#This Row],[Date]],Database!$A:$C,MATCH($B$1,Database!$A$1:$C$1,),)=0,#N/A,VLOOKUP(Table7[[#This Row],[Date]],Database!$A:$C,MATCH($B$1,Database!$A$1:$C$1,),))</f>
        <v/>
      </c>
      <c r="C12588">
        <f>IF(VLOOKUP(Table7[[#This Row],[Date]],Database!$A:$C,MATCH($C$1,Database!$A$1:$C$1,),)=0,#N/A,VLOOKUP(Table7[[#This Row],[Date]],Database!$A:$C,MATCH($C$1,Database!$A$1:$C$1,),))</f>
        <v/>
      </c>
      <c r="D12588">
        <f>IFERROR(Table7[[#This Row],[United States 10y]]-Table7[[#This Row],[United States 3y]],#N/A)</f>
        <v/>
      </c>
    </row>
    <row r="12589">
      <c r="A12589" s="6">
        <f>Database!$A14674</f>
        <v/>
      </c>
      <c r="B12589">
        <f>IF(VLOOKUP(Table7[[#This Row],[Date]],Database!$A:$C,MATCH($B$1,Database!$A$1:$C$1,),)=0,#N/A,VLOOKUP(Table7[[#This Row],[Date]],Database!$A:$C,MATCH($B$1,Database!$A$1:$C$1,),))</f>
        <v/>
      </c>
      <c r="C12589">
        <f>IF(VLOOKUP(Table7[[#This Row],[Date]],Database!$A:$C,MATCH($C$1,Database!$A$1:$C$1,),)=0,#N/A,VLOOKUP(Table7[[#This Row],[Date]],Database!$A:$C,MATCH($C$1,Database!$A$1:$C$1,),))</f>
        <v/>
      </c>
      <c r="D12589">
        <f>IFERROR(Table7[[#This Row],[United States 10y]]-Table7[[#This Row],[United States 3y]],#N/A)</f>
        <v/>
      </c>
    </row>
    <row r="12590">
      <c r="A12590" s="6">
        <f>Database!$A14675</f>
        <v/>
      </c>
      <c r="B12590">
        <f>IF(VLOOKUP(Table7[[#This Row],[Date]],Database!$A:$C,MATCH($B$1,Database!$A$1:$C$1,),)=0,#N/A,VLOOKUP(Table7[[#This Row],[Date]],Database!$A:$C,MATCH($B$1,Database!$A$1:$C$1,),))</f>
        <v/>
      </c>
      <c r="C12590">
        <f>IF(VLOOKUP(Table7[[#This Row],[Date]],Database!$A:$C,MATCH($C$1,Database!$A$1:$C$1,),)=0,#N/A,VLOOKUP(Table7[[#This Row],[Date]],Database!$A:$C,MATCH($C$1,Database!$A$1:$C$1,),))</f>
        <v/>
      </c>
      <c r="D12590">
        <f>IFERROR(Table7[[#This Row],[United States 10y]]-Table7[[#This Row],[United States 3y]],#N/A)</f>
        <v/>
      </c>
    </row>
    <row r="12591">
      <c r="A12591" s="6">
        <f>Database!$A14676</f>
        <v/>
      </c>
      <c r="B12591">
        <f>IF(VLOOKUP(Table7[[#This Row],[Date]],Database!$A:$C,MATCH($B$1,Database!$A$1:$C$1,),)=0,#N/A,VLOOKUP(Table7[[#This Row],[Date]],Database!$A:$C,MATCH($B$1,Database!$A$1:$C$1,),))</f>
        <v/>
      </c>
      <c r="C12591">
        <f>IF(VLOOKUP(Table7[[#This Row],[Date]],Database!$A:$C,MATCH($C$1,Database!$A$1:$C$1,),)=0,#N/A,VLOOKUP(Table7[[#This Row],[Date]],Database!$A:$C,MATCH($C$1,Database!$A$1:$C$1,),))</f>
        <v/>
      </c>
      <c r="D12591">
        <f>IFERROR(Table7[[#This Row],[United States 10y]]-Table7[[#This Row],[United States 3y]],#N/A)</f>
        <v/>
      </c>
    </row>
    <row r="12592">
      <c r="A12592" s="6">
        <f>Database!$A14677</f>
        <v/>
      </c>
      <c r="B12592">
        <f>IF(VLOOKUP(Table7[[#This Row],[Date]],Database!$A:$C,MATCH($B$1,Database!$A$1:$C$1,),)=0,#N/A,VLOOKUP(Table7[[#This Row],[Date]],Database!$A:$C,MATCH($B$1,Database!$A$1:$C$1,),))</f>
        <v/>
      </c>
      <c r="C12592">
        <f>IF(VLOOKUP(Table7[[#This Row],[Date]],Database!$A:$C,MATCH($C$1,Database!$A$1:$C$1,),)=0,#N/A,VLOOKUP(Table7[[#This Row],[Date]],Database!$A:$C,MATCH($C$1,Database!$A$1:$C$1,),))</f>
        <v/>
      </c>
      <c r="D12592">
        <f>IFERROR(Table7[[#This Row],[United States 10y]]-Table7[[#This Row],[United States 3y]],#N/A)</f>
        <v/>
      </c>
    </row>
    <row r="12593">
      <c r="A12593" s="6">
        <f>Database!$A14678</f>
        <v/>
      </c>
      <c r="B12593">
        <f>IF(VLOOKUP(Table7[[#This Row],[Date]],Database!$A:$C,MATCH($B$1,Database!$A$1:$C$1,),)=0,#N/A,VLOOKUP(Table7[[#This Row],[Date]],Database!$A:$C,MATCH($B$1,Database!$A$1:$C$1,),))</f>
        <v/>
      </c>
      <c r="C12593">
        <f>IF(VLOOKUP(Table7[[#This Row],[Date]],Database!$A:$C,MATCH($C$1,Database!$A$1:$C$1,),)=0,#N/A,VLOOKUP(Table7[[#This Row],[Date]],Database!$A:$C,MATCH($C$1,Database!$A$1:$C$1,),))</f>
        <v/>
      </c>
      <c r="D12593">
        <f>IFERROR(Table7[[#This Row],[United States 10y]]-Table7[[#This Row],[United States 3y]],#N/A)</f>
        <v/>
      </c>
    </row>
    <row r="12594">
      <c r="A12594" s="6">
        <f>Database!$A14679</f>
        <v/>
      </c>
      <c r="B12594">
        <f>IF(VLOOKUP(Table7[[#This Row],[Date]],Database!$A:$C,MATCH($B$1,Database!$A$1:$C$1,),)=0,#N/A,VLOOKUP(Table7[[#This Row],[Date]],Database!$A:$C,MATCH($B$1,Database!$A$1:$C$1,),))</f>
        <v/>
      </c>
      <c r="C12594">
        <f>IF(VLOOKUP(Table7[[#This Row],[Date]],Database!$A:$C,MATCH($C$1,Database!$A$1:$C$1,),)=0,#N/A,VLOOKUP(Table7[[#This Row],[Date]],Database!$A:$C,MATCH($C$1,Database!$A$1:$C$1,),))</f>
        <v/>
      </c>
      <c r="D12594">
        <f>IFERROR(Table7[[#This Row],[United States 10y]]-Table7[[#This Row],[United States 3y]],#N/A)</f>
        <v/>
      </c>
    </row>
    <row r="12595">
      <c r="A12595" s="6">
        <f>Database!$A14680</f>
        <v/>
      </c>
      <c r="B12595">
        <f>IF(VLOOKUP(Table7[[#This Row],[Date]],Database!$A:$C,MATCH($B$1,Database!$A$1:$C$1,),)=0,#N/A,VLOOKUP(Table7[[#This Row],[Date]],Database!$A:$C,MATCH($B$1,Database!$A$1:$C$1,),))</f>
        <v/>
      </c>
      <c r="C12595">
        <f>IF(VLOOKUP(Table7[[#This Row],[Date]],Database!$A:$C,MATCH($C$1,Database!$A$1:$C$1,),)=0,#N/A,VLOOKUP(Table7[[#This Row],[Date]],Database!$A:$C,MATCH($C$1,Database!$A$1:$C$1,),))</f>
        <v/>
      </c>
      <c r="D12595">
        <f>IFERROR(Table7[[#This Row],[United States 10y]]-Table7[[#This Row],[United States 3y]],#N/A)</f>
        <v/>
      </c>
    </row>
    <row r="12596">
      <c r="A12596" s="6">
        <f>Database!$A14681</f>
        <v/>
      </c>
      <c r="B12596">
        <f>IF(VLOOKUP(Table7[[#This Row],[Date]],Database!$A:$C,MATCH($B$1,Database!$A$1:$C$1,),)=0,#N/A,VLOOKUP(Table7[[#This Row],[Date]],Database!$A:$C,MATCH($B$1,Database!$A$1:$C$1,),))</f>
        <v/>
      </c>
      <c r="C12596">
        <f>IF(VLOOKUP(Table7[[#This Row],[Date]],Database!$A:$C,MATCH($C$1,Database!$A$1:$C$1,),)=0,#N/A,VLOOKUP(Table7[[#This Row],[Date]],Database!$A:$C,MATCH($C$1,Database!$A$1:$C$1,),))</f>
        <v/>
      </c>
      <c r="D12596">
        <f>IFERROR(Table7[[#This Row],[United States 10y]]-Table7[[#This Row],[United States 3y]],#N/A)</f>
        <v/>
      </c>
    </row>
    <row r="12597">
      <c r="A12597" s="6">
        <f>Database!$A14682</f>
        <v/>
      </c>
      <c r="B12597">
        <f>IF(VLOOKUP(Table7[[#This Row],[Date]],Database!$A:$C,MATCH($B$1,Database!$A$1:$C$1,),)=0,#N/A,VLOOKUP(Table7[[#This Row],[Date]],Database!$A:$C,MATCH($B$1,Database!$A$1:$C$1,),))</f>
        <v/>
      </c>
      <c r="C12597">
        <f>IF(VLOOKUP(Table7[[#This Row],[Date]],Database!$A:$C,MATCH($C$1,Database!$A$1:$C$1,),)=0,#N/A,VLOOKUP(Table7[[#This Row],[Date]],Database!$A:$C,MATCH($C$1,Database!$A$1:$C$1,),))</f>
        <v/>
      </c>
      <c r="D12597">
        <f>IFERROR(Table7[[#This Row],[United States 10y]]-Table7[[#This Row],[United States 3y]],#N/A)</f>
        <v/>
      </c>
    </row>
    <row r="12598">
      <c r="A12598" s="6">
        <f>Database!$A14683</f>
        <v/>
      </c>
      <c r="B12598">
        <f>IF(VLOOKUP(Table7[[#This Row],[Date]],Database!$A:$C,MATCH($B$1,Database!$A$1:$C$1,),)=0,#N/A,VLOOKUP(Table7[[#This Row],[Date]],Database!$A:$C,MATCH($B$1,Database!$A$1:$C$1,),))</f>
        <v/>
      </c>
      <c r="C12598">
        <f>IF(VLOOKUP(Table7[[#This Row],[Date]],Database!$A:$C,MATCH($C$1,Database!$A$1:$C$1,),)=0,#N/A,VLOOKUP(Table7[[#This Row],[Date]],Database!$A:$C,MATCH($C$1,Database!$A$1:$C$1,),))</f>
        <v/>
      </c>
      <c r="D12598">
        <f>IFERROR(Table7[[#This Row],[United States 10y]]-Table7[[#This Row],[United States 3y]],#N/A)</f>
        <v/>
      </c>
    </row>
    <row r="12599">
      <c r="A12599" s="6">
        <f>Database!$A14684</f>
        <v/>
      </c>
      <c r="B12599">
        <f>IF(VLOOKUP(Table7[[#This Row],[Date]],Database!$A:$C,MATCH($B$1,Database!$A$1:$C$1,),)=0,#N/A,VLOOKUP(Table7[[#This Row],[Date]],Database!$A:$C,MATCH($B$1,Database!$A$1:$C$1,),))</f>
        <v/>
      </c>
      <c r="C12599">
        <f>IF(VLOOKUP(Table7[[#This Row],[Date]],Database!$A:$C,MATCH($C$1,Database!$A$1:$C$1,),)=0,#N/A,VLOOKUP(Table7[[#This Row],[Date]],Database!$A:$C,MATCH($C$1,Database!$A$1:$C$1,),))</f>
        <v/>
      </c>
      <c r="D12599">
        <f>IFERROR(Table7[[#This Row],[United States 10y]]-Table7[[#This Row],[United States 3y]],#N/A)</f>
        <v/>
      </c>
    </row>
    <row r="12600">
      <c r="A12600" s="6">
        <f>Database!$A14685</f>
        <v/>
      </c>
      <c r="B12600">
        <f>IF(VLOOKUP(Table7[[#This Row],[Date]],Database!$A:$C,MATCH($B$1,Database!$A$1:$C$1,),)=0,#N/A,VLOOKUP(Table7[[#This Row],[Date]],Database!$A:$C,MATCH($B$1,Database!$A$1:$C$1,),))</f>
        <v/>
      </c>
      <c r="C12600">
        <f>IF(VLOOKUP(Table7[[#This Row],[Date]],Database!$A:$C,MATCH($C$1,Database!$A$1:$C$1,),)=0,#N/A,VLOOKUP(Table7[[#This Row],[Date]],Database!$A:$C,MATCH($C$1,Database!$A$1:$C$1,),))</f>
        <v/>
      </c>
      <c r="D12600">
        <f>IFERROR(Table7[[#This Row],[United States 10y]]-Table7[[#This Row],[United States 3y]],#N/A)</f>
        <v/>
      </c>
    </row>
    <row r="12601">
      <c r="A12601" s="6">
        <f>Database!$A14686</f>
        <v/>
      </c>
      <c r="B12601">
        <f>IF(VLOOKUP(Table7[[#This Row],[Date]],Database!$A:$C,MATCH($B$1,Database!$A$1:$C$1,),)=0,#N/A,VLOOKUP(Table7[[#This Row],[Date]],Database!$A:$C,MATCH($B$1,Database!$A$1:$C$1,),))</f>
        <v/>
      </c>
      <c r="C12601">
        <f>IF(VLOOKUP(Table7[[#This Row],[Date]],Database!$A:$C,MATCH($C$1,Database!$A$1:$C$1,),)=0,#N/A,VLOOKUP(Table7[[#This Row],[Date]],Database!$A:$C,MATCH($C$1,Database!$A$1:$C$1,),))</f>
        <v/>
      </c>
      <c r="D12601">
        <f>IFERROR(Table7[[#This Row],[United States 10y]]-Table7[[#This Row],[United States 3y]],#N/A)</f>
        <v/>
      </c>
    </row>
    <row r="12602">
      <c r="A12602" s="6">
        <f>Database!$A14687</f>
        <v/>
      </c>
      <c r="B12602">
        <f>IF(VLOOKUP(Table7[[#This Row],[Date]],Database!$A:$C,MATCH($B$1,Database!$A$1:$C$1,),)=0,#N/A,VLOOKUP(Table7[[#This Row],[Date]],Database!$A:$C,MATCH($B$1,Database!$A$1:$C$1,),))</f>
        <v/>
      </c>
      <c r="C12602">
        <f>IF(VLOOKUP(Table7[[#This Row],[Date]],Database!$A:$C,MATCH($C$1,Database!$A$1:$C$1,),)=0,#N/A,VLOOKUP(Table7[[#This Row],[Date]],Database!$A:$C,MATCH($C$1,Database!$A$1:$C$1,),))</f>
        <v/>
      </c>
      <c r="D12602">
        <f>IFERROR(Table7[[#This Row],[United States 10y]]-Table7[[#This Row],[United States 3y]],#N/A)</f>
        <v/>
      </c>
    </row>
    <row r="12603">
      <c r="A12603" s="6">
        <f>Database!$A14688</f>
        <v/>
      </c>
      <c r="B12603">
        <f>IF(VLOOKUP(Table7[[#This Row],[Date]],Database!$A:$C,MATCH($B$1,Database!$A$1:$C$1,),)=0,#N/A,VLOOKUP(Table7[[#This Row],[Date]],Database!$A:$C,MATCH($B$1,Database!$A$1:$C$1,),))</f>
        <v/>
      </c>
      <c r="C12603">
        <f>IF(VLOOKUP(Table7[[#This Row],[Date]],Database!$A:$C,MATCH($C$1,Database!$A$1:$C$1,),)=0,#N/A,VLOOKUP(Table7[[#This Row],[Date]],Database!$A:$C,MATCH($C$1,Database!$A$1:$C$1,),))</f>
        <v/>
      </c>
      <c r="D12603">
        <f>IFERROR(Table7[[#This Row],[United States 10y]]-Table7[[#This Row],[United States 3y]],#N/A)</f>
        <v/>
      </c>
    </row>
    <row r="12604">
      <c r="A12604" s="6">
        <f>Database!$A14689</f>
        <v/>
      </c>
      <c r="B12604">
        <f>IF(VLOOKUP(Table7[[#This Row],[Date]],Database!$A:$C,MATCH($B$1,Database!$A$1:$C$1,),)=0,#N/A,VLOOKUP(Table7[[#This Row],[Date]],Database!$A:$C,MATCH($B$1,Database!$A$1:$C$1,),))</f>
        <v/>
      </c>
      <c r="C12604">
        <f>IF(VLOOKUP(Table7[[#This Row],[Date]],Database!$A:$C,MATCH($C$1,Database!$A$1:$C$1,),)=0,#N/A,VLOOKUP(Table7[[#This Row],[Date]],Database!$A:$C,MATCH($C$1,Database!$A$1:$C$1,),))</f>
        <v/>
      </c>
      <c r="D12604">
        <f>IFERROR(Table7[[#This Row],[United States 10y]]-Table7[[#This Row],[United States 3y]],#N/A)</f>
        <v/>
      </c>
    </row>
    <row r="12605">
      <c r="A12605" s="6">
        <f>Database!$A14690</f>
        <v/>
      </c>
      <c r="B12605">
        <f>IF(VLOOKUP(Table7[[#This Row],[Date]],Database!$A:$C,MATCH($B$1,Database!$A$1:$C$1,),)=0,#N/A,VLOOKUP(Table7[[#This Row],[Date]],Database!$A:$C,MATCH($B$1,Database!$A$1:$C$1,),))</f>
        <v/>
      </c>
      <c r="C12605">
        <f>IF(VLOOKUP(Table7[[#This Row],[Date]],Database!$A:$C,MATCH($C$1,Database!$A$1:$C$1,),)=0,#N/A,VLOOKUP(Table7[[#This Row],[Date]],Database!$A:$C,MATCH($C$1,Database!$A$1:$C$1,),))</f>
        <v/>
      </c>
      <c r="D12605">
        <f>IFERROR(Table7[[#This Row],[United States 10y]]-Table7[[#This Row],[United States 3y]],#N/A)</f>
        <v/>
      </c>
    </row>
    <row r="12606">
      <c r="A12606" s="6">
        <f>Database!$A14691</f>
        <v/>
      </c>
      <c r="B12606">
        <f>IF(VLOOKUP(Table7[[#This Row],[Date]],Database!$A:$C,MATCH($B$1,Database!$A$1:$C$1,),)=0,#N/A,VLOOKUP(Table7[[#This Row],[Date]],Database!$A:$C,MATCH($B$1,Database!$A$1:$C$1,),))</f>
        <v/>
      </c>
      <c r="C12606">
        <f>IF(VLOOKUP(Table7[[#This Row],[Date]],Database!$A:$C,MATCH($C$1,Database!$A$1:$C$1,),)=0,#N/A,VLOOKUP(Table7[[#This Row],[Date]],Database!$A:$C,MATCH($C$1,Database!$A$1:$C$1,),))</f>
        <v/>
      </c>
      <c r="D12606">
        <f>IFERROR(Table7[[#This Row],[United States 10y]]-Table7[[#This Row],[United States 3y]],#N/A)</f>
        <v/>
      </c>
    </row>
    <row r="12607">
      <c r="A12607" s="6">
        <f>Database!$A14692</f>
        <v/>
      </c>
      <c r="B12607">
        <f>IF(VLOOKUP(Table7[[#This Row],[Date]],Database!$A:$C,MATCH($B$1,Database!$A$1:$C$1,),)=0,#N/A,VLOOKUP(Table7[[#This Row],[Date]],Database!$A:$C,MATCH($B$1,Database!$A$1:$C$1,),))</f>
        <v/>
      </c>
      <c r="C12607">
        <f>IF(VLOOKUP(Table7[[#This Row],[Date]],Database!$A:$C,MATCH($C$1,Database!$A$1:$C$1,),)=0,#N/A,VLOOKUP(Table7[[#This Row],[Date]],Database!$A:$C,MATCH($C$1,Database!$A$1:$C$1,),))</f>
        <v/>
      </c>
      <c r="D12607">
        <f>IFERROR(Table7[[#This Row],[United States 10y]]-Table7[[#This Row],[United States 3y]],#N/A)</f>
        <v/>
      </c>
    </row>
    <row r="12608">
      <c r="A12608" s="6">
        <f>Database!$A14693</f>
        <v/>
      </c>
      <c r="B12608">
        <f>IF(VLOOKUP(Table7[[#This Row],[Date]],Database!$A:$C,MATCH($B$1,Database!$A$1:$C$1,),)=0,#N/A,VLOOKUP(Table7[[#This Row],[Date]],Database!$A:$C,MATCH($B$1,Database!$A$1:$C$1,),))</f>
        <v/>
      </c>
      <c r="C12608">
        <f>IF(VLOOKUP(Table7[[#This Row],[Date]],Database!$A:$C,MATCH($C$1,Database!$A$1:$C$1,),)=0,#N/A,VLOOKUP(Table7[[#This Row],[Date]],Database!$A:$C,MATCH($C$1,Database!$A$1:$C$1,),))</f>
        <v/>
      </c>
      <c r="D12608">
        <f>IFERROR(Table7[[#This Row],[United States 10y]]-Table7[[#This Row],[United States 3y]],#N/A)</f>
        <v/>
      </c>
    </row>
    <row r="12609">
      <c r="A12609" s="6">
        <f>Database!$A14694</f>
        <v/>
      </c>
      <c r="B12609">
        <f>IF(VLOOKUP(Table7[[#This Row],[Date]],Database!$A:$C,MATCH($B$1,Database!$A$1:$C$1,),)=0,#N/A,VLOOKUP(Table7[[#This Row],[Date]],Database!$A:$C,MATCH($B$1,Database!$A$1:$C$1,),))</f>
        <v/>
      </c>
      <c r="C12609">
        <f>IF(VLOOKUP(Table7[[#This Row],[Date]],Database!$A:$C,MATCH($C$1,Database!$A$1:$C$1,),)=0,#N/A,VLOOKUP(Table7[[#This Row],[Date]],Database!$A:$C,MATCH($C$1,Database!$A$1:$C$1,),))</f>
        <v/>
      </c>
      <c r="D12609">
        <f>IFERROR(Table7[[#This Row],[United States 10y]]-Table7[[#This Row],[United States 3y]],#N/A)</f>
        <v/>
      </c>
    </row>
    <row r="12610">
      <c r="A12610" s="6">
        <f>Database!$A14695</f>
        <v/>
      </c>
      <c r="B12610">
        <f>IF(VLOOKUP(Table7[[#This Row],[Date]],Database!$A:$C,MATCH($B$1,Database!$A$1:$C$1,),)=0,#N/A,VLOOKUP(Table7[[#This Row],[Date]],Database!$A:$C,MATCH($B$1,Database!$A$1:$C$1,),))</f>
        <v/>
      </c>
      <c r="C12610">
        <f>IF(VLOOKUP(Table7[[#This Row],[Date]],Database!$A:$C,MATCH($C$1,Database!$A$1:$C$1,),)=0,#N/A,VLOOKUP(Table7[[#This Row],[Date]],Database!$A:$C,MATCH($C$1,Database!$A$1:$C$1,),))</f>
        <v/>
      </c>
      <c r="D12610">
        <f>IFERROR(Table7[[#This Row],[United States 10y]]-Table7[[#This Row],[United States 3y]],#N/A)</f>
        <v/>
      </c>
    </row>
    <row r="12611">
      <c r="A12611" s="6">
        <f>Database!$A14696</f>
        <v/>
      </c>
      <c r="B12611">
        <f>IF(VLOOKUP(Table7[[#This Row],[Date]],Database!$A:$C,MATCH($B$1,Database!$A$1:$C$1,),)=0,#N/A,VLOOKUP(Table7[[#This Row],[Date]],Database!$A:$C,MATCH($B$1,Database!$A$1:$C$1,),))</f>
        <v/>
      </c>
      <c r="C12611">
        <f>IF(VLOOKUP(Table7[[#This Row],[Date]],Database!$A:$C,MATCH($C$1,Database!$A$1:$C$1,),)=0,#N/A,VLOOKUP(Table7[[#This Row],[Date]],Database!$A:$C,MATCH($C$1,Database!$A$1:$C$1,),))</f>
        <v/>
      </c>
      <c r="D12611">
        <f>IFERROR(Table7[[#This Row],[United States 10y]]-Table7[[#This Row],[United States 3y]],#N/A)</f>
        <v/>
      </c>
    </row>
    <row r="12612">
      <c r="A12612" s="6">
        <f>Database!$A14697</f>
        <v/>
      </c>
      <c r="B12612">
        <f>IF(VLOOKUP(Table7[[#This Row],[Date]],Database!$A:$C,MATCH($B$1,Database!$A$1:$C$1,),)=0,#N/A,VLOOKUP(Table7[[#This Row],[Date]],Database!$A:$C,MATCH($B$1,Database!$A$1:$C$1,),))</f>
        <v/>
      </c>
      <c r="C12612">
        <f>IF(VLOOKUP(Table7[[#This Row],[Date]],Database!$A:$C,MATCH($C$1,Database!$A$1:$C$1,),)=0,#N/A,VLOOKUP(Table7[[#This Row],[Date]],Database!$A:$C,MATCH($C$1,Database!$A$1:$C$1,),))</f>
        <v/>
      </c>
      <c r="D12612">
        <f>IFERROR(Table7[[#This Row],[United States 10y]]-Table7[[#This Row],[United States 3y]],#N/A)</f>
        <v/>
      </c>
    </row>
    <row r="12613">
      <c r="A12613" s="6">
        <f>Database!$A14698</f>
        <v/>
      </c>
      <c r="B12613">
        <f>IF(VLOOKUP(Table7[[#This Row],[Date]],Database!$A:$C,MATCH($B$1,Database!$A$1:$C$1,),)=0,#N/A,VLOOKUP(Table7[[#This Row],[Date]],Database!$A:$C,MATCH($B$1,Database!$A$1:$C$1,),))</f>
        <v/>
      </c>
      <c r="C12613">
        <f>IF(VLOOKUP(Table7[[#This Row],[Date]],Database!$A:$C,MATCH($C$1,Database!$A$1:$C$1,),)=0,#N/A,VLOOKUP(Table7[[#This Row],[Date]],Database!$A:$C,MATCH($C$1,Database!$A$1:$C$1,),))</f>
        <v/>
      </c>
      <c r="D12613">
        <f>IFERROR(Table7[[#This Row],[United States 10y]]-Table7[[#This Row],[United States 3y]],#N/A)</f>
        <v/>
      </c>
    </row>
    <row r="12614">
      <c r="A12614" s="6">
        <f>Database!$A14699</f>
        <v/>
      </c>
      <c r="B12614">
        <f>IF(VLOOKUP(Table7[[#This Row],[Date]],Database!$A:$C,MATCH($B$1,Database!$A$1:$C$1,),)=0,#N/A,VLOOKUP(Table7[[#This Row],[Date]],Database!$A:$C,MATCH($B$1,Database!$A$1:$C$1,),))</f>
        <v/>
      </c>
      <c r="C12614">
        <f>IF(VLOOKUP(Table7[[#This Row],[Date]],Database!$A:$C,MATCH($C$1,Database!$A$1:$C$1,),)=0,#N/A,VLOOKUP(Table7[[#This Row],[Date]],Database!$A:$C,MATCH($C$1,Database!$A$1:$C$1,),))</f>
        <v/>
      </c>
      <c r="D12614">
        <f>IFERROR(Table7[[#This Row],[United States 10y]]-Table7[[#This Row],[United States 3y]],#N/A)</f>
        <v/>
      </c>
    </row>
    <row r="12615">
      <c r="A12615" s="6">
        <f>Database!$A14700</f>
        <v/>
      </c>
      <c r="B12615">
        <f>IF(VLOOKUP(Table7[[#This Row],[Date]],Database!$A:$C,MATCH($B$1,Database!$A$1:$C$1,),)=0,#N/A,VLOOKUP(Table7[[#This Row],[Date]],Database!$A:$C,MATCH($B$1,Database!$A$1:$C$1,),))</f>
        <v/>
      </c>
      <c r="C12615">
        <f>IF(VLOOKUP(Table7[[#This Row],[Date]],Database!$A:$C,MATCH($C$1,Database!$A$1:$C$1,),)=0,#N/A,VLOOKUP(Table7[[#This Row],[Date]],Database!$A:$C,MATCH($C$1,Database!$A$1:$C$1,),))</f>
        <v/>
      </c>
      <c r="D12615">
        <f>IFERROR(Table7[[#This Row],[United States 10y]]-Table7[[#This Row],[United States 3y]],#N/A)</f>
        <v/>
      </c>
    </row>
    <row r="12616">
      <c r="A12616" s="6">
        <f>Database!$A14701</f>
        <v/>
      </c>
      <c r="B12616">
        <f>IF(VLOOKUP(Table7[[#This Row],[Date]],Database!$A:$C,MATCH($B$1,Database!$A$1:$C$1,),)=0,#N/A,VLOOKUP(Table7[[#This Row],[Date]],Database!$A:$C,MATCH($B$1,Database!$A$1:$C$1,),))</f>
        <v/>
      </c>
      <c r="C12616">
        <f>IF(VLOOKUP(Table7[[#This Row],[Date]],Database!$A:$C,MATCH($C$1,Database!$A$1:$C$1,),)=0,#N/A,VLOOKUP(Table7[[#This Row],[Date]],Database!$A:$C,MATCH($C$1,Database!$A$1:$C$1,),))</f>
        <v/>
      </c>
      <c r="D12616">
        <f>IFERROR(Table7[[#This Row],[United States 10y]]-Table7[[#This Row],[United States 3y]],#N/A)</f>
        <v/>
      </c>
    </row>
    <row r="12617">
      <c r="A12617" s="6">
        <f>Database!$A14702</f>
        <v/>
      </c>
      <c r="B12617">
        <f>IF(VLOOKUP(Table7[[#This Row],[Date]],Database!$A:$C,MATCH($B$1,Database!$A$1:$C$1,),)=0,#N/A,VLOOKUP(Table7[[#This Row],[Date]],Database!$A:$C,MATCH($B$1,Database!$A$1:$C$1,),))</f>
        <v/>
      </c>
      <c r="C12617">
        <f>IF(VLOOKUP(Table7[[#This Row],[Date]],Database!$A:$C,MATCH($C$1,Database!$A$1:$C$1,),)=0,#N/A,VLOOKUP(Table7[[#This Row],[Date]],Database!$A:$C,MATCH($C$1,Database!$A$1:$C$1,),))</f>
        <v/>
      </c>
      <c r="D12617">
        <f>IFERROR(Table7[[#This Row],[United States 10y]]-Table7[[#This Row],[United States 3y]],#N/A)</f>
        <v/>
      </c>
    </row>
    <row r="12618">
      <c r="A12618" s="6">
        <f>Database!$A14703</f>
        <v/>
      </c>
      <c r="B12618">
        <f>IF(VLOOKUP(Table7[[#This Row],[Date]],Database!$A:$C,MATCH($B$1,Database!$A$1:$C$1,),)=0,#N/A,VLOOKUP(Table7[[#This Row],[Date]],Database!$A:$C,MATCH($B$1,Database!$A$1:$C$1,),))</f>
        <v/>
      </c>
      <c r="C12618">
        <f>IF(VLOOKUP(Table7[[#This Row],[Date]],Database!$A:$C,MATCH($C$1,Database!$A$1:$C$1,),)=0,#N/A,VLOOKUP(Table7[[#This Row],[Date]],Database!$A:$C,MATCH($C$1,Database!$A$1:$C$1,),))</f>
        <v/>
      </c>
      <c r="D12618">
        <f>IFERROR(Table7[[#This Row],[United States 10y]]-Table7[[#This Row],[United States 3y]],#N/A)</f>
        <v/>
      </c>
    </row>
    <row r="12619">
      <c r="A12619" s="6">
        <f>Database!$A14704</f>
        <v/>
      </c>
      <c r="B12619">
        <f>IF(VLOOKUP(Table7[[#This Row],[Date]],Database!$A:$C,MATCH($B$1,Database!$A$1:$C$1,),)=0,#N/A,VLOOKUP(Table7[[#This Row],[Date]],Database!$A:$C,MATCH($B$1,Database!$A$1:$C$1,),))</f>
        <v/>
      </c>
      <c r="C12619">
        <f>IF(VLOOKUP(Table7[[#This Row],[Date]],Database!$A:$C,MATCH($C$1,Database!$A$1:$C$1,),)=0,#N/A,VLOOKUP(Table7[[#This Row],[Date]],Database!$A:$C,MATCH($C$1,Database!$A$1:$C$1,),))</f>
        <v/>
      </c>
      <c r="D12619">
        <f>IFERROR(Table7[[#This Row],[United States 10y]]-Table7[[#This Row],[United States 3y]],#N/A)</f>
        <v/>
      </c>
    </row>
    <row r="12620">
      <c r="A12620" s="6">
        <f>Database!$A14705</f>
        <v/>
      </c>
      <c r="B12620">
        <f>IF(VLOOKUP(Table7[[#This Row],[Date]],Database!$A:$C,MATCH($B$1,Database!$A$1:$C$1,),)=0,#N/A,VLOOKUP(Table7[[#This Row],[Date]],Database!$A:$C,MATCH($B$1,Database!$A$1:$C$1,),))</f>
        <v/>
      </c>
      <c r="C12620">
        <f>IF(VLOOKUP(Table7[[#This Row],[Date]],Database!$A:$C,MATCH($C$1,Database!$A$1:$C$1,),)=0,#N/A,VLOOKUP(Table7[[#This Row],[Date]],Database!$A:$C,MATCH($C$1,Database!$A$1:$C$1,),))</f>
        <v/>
      </c>
      <c r="D12620">
        <f>IFERROR(Table7[[#This Row],[United States 10y]]-Table7[[#This Row],[United States 3y]],#N/A)</f>
        <v/>
      </c>
    </row>
    <row r="12621">
      <c r="A12621" s="6">
        <f>Database!$A14706</f>
        <v/>
      </c>
      <c r="B12621">
        <f>IF(VLOOKUP(Table7[[#This Row],[Date]],Database!$A:$C,MATCH($B$1,Database!$A$1:$C$1,),)=0,#N/A,VLOOKUP(Table7[[#This Row],[Date]],Database!$A:$C,MATCH($B$1,Database!$A$1:$C$1,),))</f>
        <v/>
      </c>
      <c r="C12621">
        <f>IF(VLOOKUP(Table7[[#This Row],[Date]],Database!$A:$C,MATCH($C$1,Database!$A$1:$C$1,),)=0,#N/A,VLOOKUP(Table7[[#This Row],[Date]],Database!$A:$C,MATCH($C$1,Database!$A$1:$C$1,),))</f>
        <v/>
      </c>
      <c r="D12621">
        <f>IFERROR(Table7[[#This Row],[United States 10y]]-Table7[[#This Row],[United States 3y]],#N/A)</f>
        <v/>
      </c>
    </row>
    <row r="12622">
      <c r="A12622" s="6">
        <f>Database!$A14707</f>
        <v/>
      </c>
      <c r="B12622">
        <f>IF(VLOOKUP(Table7[[#This Row],[Date]],Database!$A:$C,MATCH($B$1,Database!$A$1:$C$1,),)=0,#N/A,VLOOKUP(Table7[[#This Row],[Date]],Database!$A:$C,MATCH($B$1,Database!$A$1:$C$1,),))</f>
        <v/>
      </c>
      <c r="C12622">
        <f>IF(VLOOKUP(Table7[[#This Row],[Date]],Database!$A:$C,MATCH($C$1,Database!$A$1:$C$1,),)=0,#N/A,VLOOKUP(Table7[[#This Row],[Date]],Database!$A:$C,MATCH($C$1,Database!$A$1:$C$1,),))</f>
        <v/>
      </c>
      <c r="D12622">
        <f>IFERROR(Table7[[#This Row],[United States 10y]]-Table7[[#This Row],[United States 3y]],#N/A)</f>
        <v/>
      </c>
    </row>
    <row r="12623">
      <c r="A12623" s="6">
        <f>Database!$A14708</f>
        <v/>
      </c>
      <c r="B12623">
        <f>IF(VLOOKUP(Table7[[#This Row],[Date]],Database!$A:$C,MATCH($B$1,Database!$A$1:$C$1,),)=0,#N/A,VLOOKUP(Table7[[#This Row],[Date]],Database!$A:$C,MATCH($B$1,Database!$A$1:$C$1,),))</f>
        <v/>
      </c>
      <c r="C12623">
        <f>IF(VLOOKUP(Table7[[#This Row],[Date]],Database!$A:$C,MATCH($C$1,Database!$A$1:$C$1,),)=0,#N/A,VLOOKUP(Table7[[#This Row],[Date]],Database!$A:$C,MATCH($C$1,Database!$A$1:$C$1,),))</f>
        <v/>
      </c>
      <c r="D12623">
        <f>IFERROR(Table7[[#This Row],[United States 10y]]-Table7[[#This Row],[United States 3y]],#N/A)</f>
        <v/>
      </c>
    </row>
    <row r="12624">
      <c r="A12624" s="6">
        <f>Database!$A14709</f>
        <v/>
      </c>
      <c r="B12624">
        <f>IF(VLOOKUP(Table7[[#This Row],[Date]],Database!$A:$C,MATCH($B$1,Database!$A$1:$C$1,),)=0,#N/A,VLOOKUP(Table7[[#This Row],[Date]],Database!$A:$C,MATCH($B$1,Database!$A$1:$C$1,),))</f>
        <v/>
      </c>
      <c r="C12624">
        <f>IF(VLOOKUP(Table7[[#This Row],[Date]],Database!$A:$C,MATCH($C$1,Database!$A$1:$C$1,),)=0,#N/A,VLOOKUP(Table7[[#This Row],[Date]],Database!$A:$C,MATCH($C$1,Database!$A$1:$C$1,),))</f>
        <v/>
      </c>
      <c r="D12624">
        <f>IFERROR(Table7[[#This Row],[United States 10y]]-Table7[[#This Row],[United States 3y]],#N/A)</f>
        <v/>
      </c>
    </row>
    <row r="12625">
      <c r="A12625" s="6">
        <f>Database!$A14710</f>
        <v/>
      </c>
      <c r="B12625">
        <f>IF(VLOOKUP(Table7[[#This Row],[Date]],Database!$A:$C,MATCH($B$1,Database!$A$1:$C$1,),)=0,#N/A,VLOOKUP(Table7[[#This Row],[Date]],Database!$A:$C,MATCH($B$1,Database!$A$1:$C$1,),))</f>
        <v/>
      </c>
      <c r="C12625">
        <f>IF(VLOOKUP(Table7[[#This Row],[Date]],Database!$A:$C,MATCH($C$1,Database!$A$1:$C$1,),)=0,#N/A,VLOOKUP(Table7[[#This Row],[Date]],Database!$A:$C,MATCH($C$1,Database!$A$1:$C$1,),))</f>
        <v/>
      </c>
      <c r="D12625">
        <f>IFERROR(Table7[[#This Row],[United States 10y]]-Table7[[#This Row],[United States 3y]],#N/A)</f>
        <v/>
      </c>
    </row>
    <row r="12626">
      <c r="A12626" s="6">
        <f>Database!$A14711</f>
        <v/>
      </c>
      <c r="B12626">
        <f>IF(VLOOKUP(Table7[[#This Row],[Date]],Database!$A:$C,MATCH($B$1,Database!$A$1:$C$1,),)=0,#N/A,VLOOKUP(Table7[[#This Row],[Date]],Database!$A:$C,MATCH($B$1,Database!$A$1:$C$1,),))</f>
        <v/>
      </c>
      <c r="C12626">
        <f>IF(VLOOKUP(Table7[[#This Row],[Date]],Database!$A:$C,MATCH($C$1,Database!$A$1:$C$1,),)=0,#N/A,VLOOKUP(Table7[[#This Row],[Date]],Database!$A:$C,MATCH($C$1,Database!$A$1:$C$1,),))</f>
        <v/>
      </c>
      <c r="D12626">
        <f>IFERROR(Table7[[#This Row],[United States 10y]]-Table7[[#This Row],[United States 3y]],#N/A)</f>
        <v/>
      </c>
    </row>
    <row r="12627">
      <c r="A12627" s="6">
        <f>Database!$A14712</f>
        <v/>
      </c>
      <c r="B12627">
        <f>IF(VLOOKUP(Table7[[#This Row],[Date]],Database!$A:$C,MATCH($B$1,Database!$A$1:$C$1,),)=0,#N/A,VLOOKUP(Table7[[#This Row],[Date]],Database!$A:$C,MATCH($B$1,Database!$A$1:$C$1,),))</f>
        <v/>
      </c>
      <c r="C12627">
        <f>IF(VLOOKUP(Table7[[#This Row],[Date]],Database!$A:$C,MATCH($C$1,Database!$A$1:$C$1,),)=0,#N/A,VLOOKUP(Table7[[#This Row],[Date]],Database!$A:$C,MATCH($C$1,Database!$A$1:$C$1,),))</f>
        <v/>
      </c>
      <c r="D12627">
        <f>IFERROR(Table7[[#This Row],[United States 10y]]-Table7[[#This Row],[United States 3y]],#N/A)</f>
        <v/>
      </c>
    </row>
    <row r="12628">
      <c r="A12628" s="6">
        <f>Database!$A14713</f>
        <v/>
      </c>
      <c r="B12628">
        <f>IF(VLOOKUP(Table7[[#This Row],[Date]],Database!$A:$C,MATCH($B$1,Database!$A$1:$C$1,),)=0,#N/A,VLOOKUP(Table7[[#This Row],[Date]],Database!$A:$C,MATCH($B$1,Database!$A$1:$C$1,),))</f>
        <v/>
      </c>
      <c r="C12628">
        <f>IF(VLOOKUP(Table7[[#This Row],[Date]],Database!$A:$C,MATCH($C$1,Database!$A$1:$C$1,),)=0,#N/A,VLOOKUP(Table7[[#This Row],[Date]],Database!$A:$C,MATCH($C$1,Database!$A$1:$C$1,),))</f>
        <v/>
      </c>
      <c r="D12628">
        <f>IFERROR(Table7[[#This Row],[United States 10y]]-Table7[[#This Row],[United States 3y]],#N/A)</f>
        <v/>
      </c>
    </row>
    <row r="12629">
      <c r="A12629" s="6">
        <f>Database!$A14714</f>
        <v/>
      </c>
      <c r="B12629">
        <f>IF(VLOOKUP(Table7[[#This Row],[Date]],Database!$A:$C,MATCH($B$1,Database!$A$1:$C$1,),)=0,#N/A,VLOOKUP(Table7[[#This Row],[Date]],Database!$A:$C,MATCH($B$1,Database!$A$1:$C$1,),))</f>
        <v/>
      </c>
      <c r="C12629">
        <f>IF(VLOOKUP(Table7[[#This Row],[Date]],Database!$A:$C,MATCH($C$1,Database!$A$1:$C$1,),)=0,#N/A,VLOOKUP(Table7[[#This Row],[Date]],Database!$A:$C,MATCH($C$1,Database!$A$1:$C$1,),))</f>
        <v/>
      </c>
      <c r="D12629">
        <f>IFERROR(Table7[[#This Row],[United States 10y]]-Table7[[#This Row],[United States 3y]],#N/A)</f>
        <v/>
      </c>
    </row>
    <row r="12630">
      <c r="A12630" s="6">
        <f>Database!$A14715</f>
        <v/>
      </c>
      <c r="B12630">
        <f>IF(VLOOKUP(Table7[[#This Row],[Date]],Database!$A:$C,MATCH($B$1,Database!$A$1:$C$1,),)=0,#N/A,VLOOKUP(Table7[[#This Row],[Date]],Database!$A:$C,MATCH($B$1,Database!$A$1:$C$1,),))</f>
        <v/>
      </c>
      <c r="C12630">
        <f>IF(VLOOKUP(Table7[[#This Row],[Date]],Database!$A:$C,MATCH($C$1,Database!$A$1:$C$1,),)=0,#N/A,VLOOKUP(Table7[[#This Row],[Date]],Database!$A:$C,MATCH($C$1,Database!$A$1:$C$1,),))</f>
        <v/>
      </c>
      <c r="D12630">
        <f>IFERROR(Table7[[#This Row],[United States 10y]]-Table7[[#This Row],[United States 3y]],#N/A)</f>
        <v/>
      </c>
    </row>
    <row r="12631">
      <c r="A12631" s="6">
        <f>Database!$A14716</f>
        <v/>
      </c>
      <c r="B12631">
        <f>IF(VLOOKUP(Table7[[#This Row],[Date]],Database!$A:$C,MATCH($B$1,Database!$A$1:$C$1,),)=0,#N/A,VLOOKUP(Table7[[#This Row],[Date]],Database!$A:$C,MATCH($B$1,Database!$A$1:$C$1,),))</f>
        <v/>
      </c>
      <c r="C12631">
        <f>IF(VLOOKUP(Table7[[#This Row],[Date]],Database!$A:$C,MATCH($C$1,Database!$A$1:$C$1,),)=0,#N/A,VLOOKUP(Table7[[#This Row],[Date]],Database!$A:$C,MATCH($C$1,Database!$A$1:$C$1,),))</f>
        <v/>
      </c>
      <c r="D12631">
        <f>IFERROR(Table7[[#This Row],[United States 10y]]-Table7[[#This Row],[United States 3y]],#N/A)</f>
        <v/>
      </c>
    </row>
    <row r="12632">
      <c r="A12632" s="6">
        <f>Database!$A14717</f>
        <v/>
      </c>
      <c r="B12632">
        <f>IF(VLOOKUP(Table7[[#This Row],[Date]],Database!$A:$C,MATCH($B$1,Database!$A$1:$C$1,),)=0,#N/A,VLOOKUP(Table7[[#This Row],[Date]],Database!$A:$C,MATCH($B$1,Database!$A$1:$C$1,),))</f>
        <v/>
      </c>
      <c r="C12632">
        <f>IF(VLOOKUP(Table7[[#This Row],[Date]],Database!$A:$C,MATCH($C$1,Database!$A$1:$C$1,),)=0,#N/A,VLOOKUP(Table7[[#This Row],[Date]],Database!$A:$C,MATCH($C$1,Database!$A$1:$C$1,),))</f>
        <v/>
      </c>
      <c r="D12632">
        <f>IFERROR(Table7[[#This Row],[United States 10y]]-Table7[[#This Row],[United States 3y]],#N/A)</f>
        <v/>
      </c>
    </row>
    <row r="12633">
      <c r="A12633" s="6">
        <f>Database!$A14718</f>
        <v/>
      </c>
      <c r="B12633">
        <f>IF(VLOOKUP(Table7[[#This Row],[Date]],Database!$A:$C,MATCH($B$1,Database!$A$1:$C$1,),)=0,#N/A,VLOOKUP(Table7[[#This Row],[Date]],Database!$A:$C,MATCH($B$1,Database!$A$1:$C$1,),))</f>
        <v/>
      </c>
      <c r="C12633">
        <f>IF(VLOOKUP(Table7[[#This Row],[Date]],Database!$A:$C,MATCH($C$1,Database!$A$1:$C$1,),)=0,#N/A,VLOOKUP(Table7[[#This Row],[Date]],Database!$A:$C,MATCH($C$1,Database!$A$1:$C$1,),))</f>
        <v/>
      </c>
      <c r="D12633">
        <f>IFERROR(Table7[[#This Row],[United States 10y]]-Table7[[#This Row],[United States 3y]],#N/A)</f>
        <v/>
      </c>
    </row>
    <row r="12634">
      <c r="A12634" s="6">
        <f>Database!$A14719</f>
        <v/>
      </c>
      <c r="B12634">
        <f>IF(VLOOKUP(Table7[[#This Row],[Date]],Database!$A:$C,MATCH($B$1,Database!$A$1:$C$1,),)=0,#N/A,VLOOKUP(Table7[[#This Row],[Date]],Database!$A:$C,MATCH($B$1,Database!$A$1:$C$1,),))</f>
        <v/>
      </c>
      <c r="C12634">
        <f>IF(VLOOKUP(Table7[[#This Row],[Date]],Database!$A:$C,MATCH($C$1,Database!$A$1:$C$1,),)=0,#N/A,VLOOKUP(Table7[[#This Row],[Date]],Database!$A:$C,MATCH($C$1,Database!$A$1:$C$1,),))</f>
        <v/>
      </c>
      <c r="D12634">
        <f>IFERROR(Table7[[#This Row],[United States 10y]]-Table7[[#This Row],[United States 3y]],#N/A)</f>
        <v/>
      </c>
    </row>
    <row r="12635">
      <c r="A12635" s="6">
        <f>Database!$A14720</f>
        <v/>
      </c>
      <c r="B12635">
        <f>IF(VLOOKUP(Table7[[#This Row],[Date]],Database!$A:$C,MATCH($B$1,Database!$A$1:$C$1,),)=0,#N/A,VLOOKUP(Table7[[#This Row],[Date]],Database!$A:$C,MATCH($B$1,Database!$A$1:$C$1,),))</f>
        <v/>
      </c>
      <c r="C12635">
        <f>IF(VLOOKUP(Table7[[#This Row],[Date]],Database!$A:$C,MATCH($C$1,Database!$A$1:$C$1,),)=0,#N/A,VLOOKUP(Table7[[#This Row],[Date]],Database!$A:$C,MATCH($C$1,Database!$A$1:$C$1,),))</f>
        <v/>
      </c>
      <c r="D12635">
        <f>IFERROR(Table7[[#This Row],[United States 10y]]-Table7[[#This Row],[United States 3y]],#N/A)</f>
        <v/>
      </c>
    </row>
    <row r="12636">
      <c r="A12636" s="6">
        <f>Database!$A14721</f>
        <v/>
      </c>
      <c r="B12636">
        <f>IF(VLOOKUP(Table7[[#This Row],[Date]],Database!$A:$C,MATCH($B$1,Database!$A$1:$C$1,),)=0,#N/A,VLOOKUP(Table7[[#This Row],[Date]],Database!$A:$C,MATCH($B$1,Database!$A$1:$C$1,),))</f>
        <v/>
      </c>
      <c r="C12636">
        <f>IF(VLOOKUP(Table7[[#This Row],[Date]],Database!$A:$C,MATCH($C$1,Database!$A$1:$C$1,),)=0,#N/A,VLOOKUP(Table7[[#This Row],[Date]],Database!$A:$C,MATCH($C$1,Database!$A$1:$C$1,),))</f>
        <v/>
      </c>
      <c r="D12636">
        <f>IFERROR(Table7[[#This Row],[United States 10y]]-Table7[[#This Row],[United States 3y]],#N/A)</f>
        <v/>
      </c>
    </row>
    <row r="12637">
      <c r="A12637" s="6">
        <f>Database!$A14722</f>
        <v/>
      </c>
      <c r="B12637">
        <f>IF(VLOOKUP(Table7[[#This Row],[Date]],Database!$A:$C,MATCH($B$1,Database!$A$1:$C$1,),)=0,#N/A,VLOOKUP(Table7[[#This Row],[Date]],Database!$A:$C,MATCH($B$1,Database!$A$1:$C$1,),))</f>
        <v/>
      </c>
      <c r="C12637">
        <f>IF(VLOOKUP(Table7[[#This Row],[Date]],Database!$A:$C,MATCH($C$1,Database!$A$1:$C$1,),)=0,#N/A,VLOOKUP(Table7[[#This Row],[Date]],Database!$A:$C,MATCH($C$1,Database!$A$1:$C$1,),))</f>
        <v/>
      </c>
      <c r="D12637">
        <f>IFERROR(Table7[[#This Row],[United States 10y]]-Table7[[#This Row],[United States 3y]],#N/A)</f>
        <v/>
      </c>
    </row>
    <row r="12638">
      <c r="A12638" s="6">
        <f>Database!$A14723</f>
        <v/>
      </c>
      <c r="B12638">
        <f>IF(VLOOKUP(Table7[[#This Row],[Date]],Database!$A:$C,MATCH($B$1,Database!$A$1:$C$1,),)=0,#N/A,VLOOKUP(Table7[[#This Row],[Date]],Database!$A:$C,MATCH($B$1,Database!$A$1:$C$1,),))</f>
        <v/>
      </c>
      <c r="C12638">
        <f>IF(VLOOKUP(Table7[[#This Row],[Date]],Database!$A:$C,MATCH($C$1,Database!$A$1:$C$1,),)=0,#N/A,VLOOKUP(Table7[[#This Row],[Date]],Database!$A:$C,MATCH($C$1,Database!$A$1:$C$1,),))</f>
        <v/>
      </c>
      <c r="D12638">
        <f>IFERROR(Table7[[#This Row],[United States 10y]]-Table7[[#This Row],[United States 3y]],#N/A)</f>
        <v/>
      </c>
    </row>
    <row r="12639">
      <c r="A12639" s="6">
        <f>Database!$A14724</f>
        <v/>
      </c>
      <c r="B12639">
        <f>IF(VLOOKUP(Table7[[#This Row],[Date]],Database!$A:$C,MATCH($B$1,Database!$A$1:$C$1,),)=0,#N/A,VLOOKUP(Table7[[#This Row],[Date]],Database!$A:$C,MATCH($B$1,Database!$A$1:$C$1,),))</f>
        <v/>
      </c>
      <c r="C12639">
        <f>IF(VLOOKUP(Table7[[#This Row],[Date]],Database!$A:$C,MATCH($C$1,Database!$A$1:$C$1,),)=0,#N/A,VLOOKUP(Table7[[#This Row],[Date]],Database!$A:$C,MATCH($C$1,Database!$A$1:$C$1,),))</f>
        <v/>
      </c>
      <c r="D12639">
        <f>IFERROR(Table7[[#This Row],[United States 10y]]-Table7[[#This Row],[United States 3y]],#N/A)</f>
        <v/>
      </c>
    </row>
    <row r="12640">
      <c r="A12640" s="6">
        <f>Database!$A14725</f>
        <v/>
      </c>
      <c r="B12640">
        <f>IF(VLOOKUP(Table7[[#This Row],[Date]],Database!$A:$C,MATCH($B$1,Database!$A$1:$C$1,),)=0,#N/A,VLOOKUP(Table7[[#This Row],[Date]],Database!$A:$C,MATCH($B$1,Database!$A$1:$C$1,),))</f>
        <v/>
      </c>
      <c r="C12640">
        <f>IF(VLOOKUP(Table7[[#This Row],[Date]],Database!$A:$C,MATCH($C$1,Database!$A$1:$C$1,),)=0,#N/A,VLOOKUP(Table7[[#This Row],[Date]],Database!$A:$C,MATCH($C$1,Database!$A$1:$C$1,),))</f>
        <v/>
      </c>
      <c r="D12640">
        <f>IFERROR(Table7[[#This Row],[United States 10y]]-Table7[[#This Row],[United States 3y]],#N/A)</f>
        <v/>
      </c>
    </row>
    <row r="12641">
      <c r="A12641" s="6">
        <f>Database!$A14726</f>
        <v/>
      </c>
      <c r="B12641">
        <f>IF(VLOOKUP(Table7[[#This Row],[Date]],Database!$A:$C,MATCH($B$1,Database!$A$1:$C$1,),)=0,#N/A,VLOOKUP(Table7[[#This Row],[Date]],Database!$A:$C,MATCH($B$1,Database!$A$1:$C$1,),))</f>
        <v/>
      </c>
      <c r="C12641">
        <f>IF(VLOOKUP(Table7[[#This Row],[Date]],Database!$A:$C,MATCH($C$1,Database!$A$1:$C$1,),)=0,#N/A,VLOOKUP(Table7[[#This Row],[Date]],Database!$A:$C,MATCH($C$1,Database!$A$1:$C$1,),))</f>
        <v/>
      </c>
      <c r="D12641">
        <f>IFERROR(Table7[[#This Row],[United States 10y]]-Table7[[#This Row],[United States 3y]],#N/A)</f>
        <v/>
      </c>
    </row>
    <row r="12642">
      <c r="A12642" s="6">
        <f>Database!$A14727</f>
        <v/>
      </c>
      <c r="B12642">
        <f>IF(VLOOKUP(Table7[[#This Row],[Date]],Database!$A:$C,MATCH($B$1,Database!$A$1:$C$1,),)=0,#N/A,VLOOKUP(Table7[[#This Row],[Date]],Database!$A:$C,MATCH($B$1,Database!$A$1:$C$1,),))</f>
        <v/>
      </c>
      <c r="C12642">
        <f>IF(VLOOKUP(Table7[[#This Row],[Date]],Database!$A:$C,MATCH($C$1,Database!$A$1:$C$1,),)=0,#N/A,VLOOKUP(Table7[[#This Row],[Date]],Database!$A:$C,MATCH($C$1,Database!$A$1:$C$1,),))</f>
        <v/>
      </c>
      <c r="D12642">
        <f>IFERROR(Table7[[#This Row],[United States 10y]]-Table7[[#This Row],[United States 3y]],#N/A)</f>
        <v/>
      </c>
    </row>
    <row r="12643">
      <c r="A12643" s="6">
        <f>Database!$A14728</f>
        <v/>
      </c>
      <c r="B12643">
        <f>IF(VLOOKUP(Table7[[#This Row],[Date]],Database!$A:$C,MATCH($B$1,Database!$A$1:$C$1,),)=0,#N/A,VLOOKUP(Table7[[#This Row],[Date]],Database!$A:$C,MATCH($B$1,Database!$A$1:$C$1,),))</f>
        <v/>
      </c>
      <c r="C12643">
        <f>IF(VLOOKUP(Table7[[#This Row],[Date]],Database!$A:$C,MATCH($C$1,Database!$A$1:$C$1,),)=0,#N/A,VLOOKUP(Table7[[#This Row],[Date]],Database!$A:$C,MATCH($C$1,Database!$A$1:$C$1,),))</f>
        <v/>
      </c>
      <c r="D12643">
        <f>IFERROR(Table7[[#This Row],[United States 10y]]-Table7[[#This Row],[United States 3y]],#N/A)</f>
        <v/>
      </c>
    </row>
    <row r="12644">
      <c r="A12644" s="6">
        <f>Database!$A14729</f>
        <v/>
      </c>
      <c r="B12644">
        <f>IF(VLOOKUP(Table7[[#This Row],[Date]],Database!$A:$C,MATCH($B$1,Database!$A$1:$C$1,),)=0,#N/A,VLOOKUP(Table7[[#This Row],[Date]],Database!$A:$C,MATCH($B$1,Database!$A$1:$C$1,),))</f>
        <v/>
      </c>
      <c r="C12644">
        <f>IF(VLOOKUP(Table7[[#This Row],[Date]],Database!$A:$C,MATCH($C$1,Database!$A$1:$C$1,),)=0,#N/A,VLOOKUP(Table7[[#This Row],[Date]],Database!$A:$C,MATCH($C$1,Database!$A$1:$C$1,),))</f>
        <v/>
      </c>
      <c r="D12644">
        <f>IFERROR(Table7[[#This Row],[United States 10y]]-Table7[[#This Row],[United States 3y]],#N/A)</f>
        <v/>
      </c>
    </row>
    <row r="12645">
      <c r="A12645" s="6">
        <f>Database!$A14730</f>
        <v/>
      </c>
      <c r="B12645">
        <f>IF(VLOOKUP(Table7[[#This Row],[Date]],Database!$A:$C,MATCH($B$1,Database!$A$1:$C$1,),)=0,#N/A,VLOOKUP(Table7[[#This Row],[Date]],Database!$A:$C,MATCH($B$1,Database!$A$1:$C$1,),))</f>
        <v/>
      </c>
      <c r="C12645">
        <f>IF(VLOOKUP(Table7[[#This Row],[Date]],Database!$A:$C,MATCH($C$1,Database!$A$1:$C$1,),)=0,#N/A,VLOOKUP(Table7[[#This Row],[Date]],Database!$A:$C,MATCH($C$1,Database!$A$1:$C$1,),))</f>
        <v/>
      </c>
      <c r="D12645">
        <f>IFERROR(Table7[[#This Row],[United States 10y]]-Table7[[#This Row],[United States 3y]],#N/A)</f>
        <v/>
      </c>
    </row>
    <row r="12646">
      <c r="A12646" s="6">
        <f>Database!$A14731</f>
        <v/>
      </c>
      <c r="B12646">
        <f>IF(VLOOKUP(Table7[[#This Row],[Date]],Database!$A:$C,MATCH($B$1,Database!$A$1:$C$1,),)=0,#N/A,VLOOKUP(Table7[[#This Row],[Date]],Database!$A:$C,MATCH($B$1,Database!$A$1:$C$1,),))</f>
        <v/>
      </c>
      <c r="C12646">
        <f>IF(VLOOKUP(Table7[[#This Row],[Date]],Database!$A:$C,MATCH($C$1,Database!$A$1:$C$1,),)=0,#N/A,VLOOKUP(Table7[[#This Row],[Date]],Database!$A:$C,MATCH($C$1,Database!$A$1:$C$1,),))</f>
        <v/>
      </c>
      <c r="D12646">
        <f>IFERROR(Table7[[#This Row],[United States 10y]]-Table7[[#This Row],[United States 3y]],#N/A)</f>
        <v/>
      </c>
    </row>
    <row r="12647">
      <c r="A12647" s="6">
        <f>Database!$A14732</f>
        <v/>
      </c>
      <c r="B12647">
        <f>IF(VLOOKUP(Table7[[#This Row],[Date]],Database!$A:$C,MATCH($B$1,Database!$A$1:$C$1,),)=0,#N/A,VLOOKUP(Table7[[#This Row],[Date]],Database!$A:$C,MATCH($B$1,Database!$A$1:$C$1,),))</f>
        <v/>
      </c>
      <c r="C12647">
        <f>IF(VLOOKUP(Table7[[#This Row],[Date]],Database!$A:$C,MATCH($C$1,Database!$A$1:$C$1,),)=0,#N/A,VLOOKUP(Table7[[#This Row],[Date]],Database!$A:$C,MATCH($C$1,Database!$A$1:$C$1,),))</f>
        <v/>
      </c>
      <c r="D12647">
        <f>IFERROR(Table7[[#This Row],[United States 10y]]-Table7[[#This Row],[United States 3y]],#N/A)</f>
        <v/>
      </c>
    </row>
    <row r="12648">
      <c r="A12648" s="6">
        <f>Database!$A14733</f>
        <v/>
      </c>
      <c r="B12648">
        <f>IF(VLOOKUP(Table7[[#This Row],[Date]],Database!$A:$C,MATCH($B$1,Database!$A$1:$C$1,),)=0,#N/A,VLOOKUP(Table7[[#This Row],[Date]],Database!$A:$C,MATCH($B$1,Database!$A$1:$C$1,),))</f>
        <v/>
      </c>
      <c r="C12648">
        <f>IF(VLOOKUP(Table7[[#This Row],[Date]],Database!$A:$C,MATCH($C$1,Database!$A$1:$C$1,),)=0,#N/A,VLOOKUP(Table7[[#This Row],[Date]],Database!$A:$C,MATCH($C$1,Database!$A$1:$C$1,),))</f>
        <v/>
      </c>
      <c r="D12648">
        <f>IFERROR(Table7[[#This Row],[United States 10y]]-Table7[[#This Row],[United States 3y]],#N/A)</f>
        <v/>
      </c>
    </row>
    <row r="12649">
      <c r="A12649" s="6">
        <f>Database!$A14734</f>
        <v/>
      </c>
      <c r="B12649">
        <f>IF(VLOOKUP(Table7[[#This Row],[Date]],Database!$A:$C,MATCH($B$1,Database!$A$1:$C$1,),)=0,#N/A,VLOOKUP(Table7[[#This Row],[Date]],Database!$A:$C,MATCH($B$1,Database!$A$1:$C$1,),))</f>
        <v/>
      </c>
      <c r="C12649">
        <f>IF(VLOOKUP(Table7[[#This Row],[Date]],Database!$A:$C,MATCH($C$1,Database!$A$1:$C$1,),)=0,#N/A,VLOOKUP(Table7[[#This Row],[Date]],Database!$A:$C,MATCH($C$1,Database!$A$1:$C$1,),))</f>
        <v/>
      </c>
      <c r="D12649">
        <f>IFERROR(Table7[[#This Row],[United States 10y]]-Table7[[#This Row],[United States 3y]],#N/A)</f>
        <v/>
      </c>
    </row>
    <row r="12650">
      <c r="A12650" s="6">
        <f>Database!$A14735</f>
        <v/>
      </c>
      <c r="B12650">
        <f>IF(VLOOKUP(Table7[[#This Row],[Date]],Database!$A:$C,MATCH($B$1,Database!$A$1:$C$1,),)=0,#N/A,VLOOKUP(Table7[[#This Row],[Date]],Database!$A:$C,MATCH($B$1,Database!$A$1:$C$1,),))</f>
        <v/>
      </c>
      <c r="C12650">
        <f>IF(VLOOKUP(Table7[[#This Row],[Date]],Database!$A:$C,MATCH($C$1,Database!$A$1:$C$1,),)=0,#N/A,VLOOKUP(Table7[[#This Row],[Date]],Database!$A:$C,MATCH($C$1,Database!$A$1:$C$1,),))</f>
        <v/>
      </c>
      <c r="D12650">
        <f>IFERROR(Table7[[#This Row],[United States 10y]]-Table7[[#This Row],[United States 3y]],#N/A)</f>
        <v/>
      </c>
    </row>
    <row r="12651">
      <c r="A12651" s="6">
        <f>Database!$A14736</f>
        <v/>
      </c>
      <c r="B12651">
        <f>IF(VLOOKUP(Table7[[#This Row],[Date]],Database!$A:$C,MATCH($B$1,Database!$A$1:$C$1,),)=0,#N/A,VLOOKUP(Table7[[#This Row],[Date]],Database!$A:$C,MATCH($B$1,Database!$A$1:$C$1,),))</f>
        <v/>
      </c>
      <c r="C12651">
        <f>IF(VLOOKUP(Table7[[#This Row],[Date]],Database!$A:$C,MATCH($C$1,Database!$A$1:$C$1,),)=0,#N/A,VLOOKUP(Table7[[#This Row],[Date]],Database!$A:$C,MATCH($C$1,Database!$A$1:$C$1,),))</f>
        <v/>
      </c>
      <c r="D12651">
        <f>IFERROR(Table7[[#This Row],[United States 10y]]-Table7[[#This Row],[United States 3y]],#N/A)</f>
        <v/>
      </c>
    </row>
    <row r="12652">
      <c r="A12652" s="6">
        <f>Database!$A14737</f>
        <v/>
      </c>
      <c r="B12652">
        <f>IF(VLOOKUP(Table7[[#This Row],[Date]],Database!$A:$C,MATCH($B$1,Database!$A$1:$C$1,),)=0,#N/A,VLOOKUP(Table7[[#This Row],[Date]],Database!$A:$C,MATCH($B$1,Database!$A$1:$C$1,),))</f>
        <v/>
      </c>
      <c r="C12652">
        <f>IF(VLOOKUP(Table7[[#This Row],[Date]],Database!$A:$C,MATCH($C$1,Database!$A$1:$C$1,),)=0,#N/A,VLOOKUP(Table7[[#This Row],[Date]],Database!$A:$C,MATCH($C$1,Database!$A$1:$C$1,),))</f>
        <v/>
      </c>
      <c r="D12652">
        <f>IFERROR(Table7[[#This Row],[United States 10y]]-Table7[[#This Row],[United States 3y]],#N/A)</f>
        <v/>
      </c>
    </row>
    <row r="12653">
      <c r="A12653" s="6">
        <f>Database!$A14738</f>
        <v/>
      </c>
      <c r="B12653">
        <f>IF(VLOOKUP(Table7[[#This Row],[Date]],Database!$A:$C,MATCH($B$1,Database!$A$1:$C$1,),)=0,#N/A,VLOOKUP(Table7[[#This Row],[Date]],Database!$A:$C,MATCH($B$1,Database!$A$1:$C$1,),))</f>
        <v/>
      </c>
      <c r="C12653">
        <f>IF(VLOOKUP(Table7[[#This Row],[Date]],Database!$A:$C,MATCH($C$1,Database!$A$1:$C$1,),)=0,#N/A,VLOOKUP(Table7[[#This Row],[Date]],Database!$A:$C,MATCH($C$1,Database!$A$1:$C$1,),))</f>
        <v/>
      </c>
      <c r="D12653">
        <f>IFERROR(Table7[[#This Row],[United States 10y]]-Table7[[#This Row],[United States 3y]],#N/A)</f>
        <v/>
      </c>
    </row>
    <row r="12654">
      <c r="A12654" s="6">
        <f>Database!$A14739</f>
        <v/>
      </c>
      <c r="B12654">
        <f>IF(VLOOKUP(Table7[[#This Row],[Date]],Database!$A:$C,MATCH($B$1,Database!$A$1:$C$1,),)=0,#N/A,VLOOKUP(Table7[[#This Row],[Date]],Database!$A:$C,MATCH($B$1,Database!$A$1:$C$1,),))</f>
        <v/>
      </c>
      <c r="C12654">
        <f>IF(VLOOKUP(Table7[[#This Row],[Date]],Database!$A:$C,MATCH($C$1,Database!$A$1:$C$1,),)=0,#N/A,VLOOKUP(Table7[[#This Row],[Date]],Database!$A:$C,MATCH($C$1,Database!$A$1:$C$1,),))</f>
        <v/>
      </c>
      <c r="D12654">
        <f>IFERROR(Table7[[#This Row],[United States 10y]]-Table7[[#This Row],[United States 3y]],#N/A)</f>
        <v/>
      </c>
    </row>
    <row r="12655">
      <c r="A12655" s="6">
        <f>Database!$A14740</f>
        <v/>
      </c>
      <c r="B12655">
        <f>IF(VLOOKUP(Table7[[#This Row],[Date]],Database!$A:$C,MATCH($B$1,Database!$A$1:$C$1,),)=0,#N/A,VLOOKUP(Table7[[#This Row],[Date]],Database!$A:$C,MATCH($B$1,Database!$A$1:$C$1,),))</f>
        <v/>
      </c>
      <c r="C12655">
        <f>IF(VLOOKUP(Table7[[#This Row],[Date]],Database!$A:$C,MATCH($C$1,Database!$A$1:$C$1,),)=0,#N/A,VLOOKUP(Table7[[#This Row],[Date]],Database!$A:$C,MATCH($C$1,Database!$A$1:$C$1,),))</f>
        <v/>
      </c>
      <c r="D12655">
        <f>IFERROR(Table7[[#This Row],[United States 10y]]-Table7[[#This Row],[United States 3y]],#N/A)</f>
        <v/>
      </c>
    </row>
    <row r="12656">
      <c r="A12656" s="6">
        <f>Database!$A14741</f>
        <v/>
      </c>
      <c r="B12656">
        <f>IF(VLOOKUP(Table7[[#This Row],[Date]],Database!$A:$C,MATCH($B$1,Database!$A$1:$C$1,),)=0,#N/A,VLOOKUP(Table7[[#This Row],[Date]],Database!$A:$C,MATCH($B$1,Database!$A$1:$C$1,),))</f>
        <v/>
      </c>
      <c r="C12656">
        <f>IF(VLOOKUP(Table7[[#This Row],[Date]],Database!$A:$C,MATCH($C$1,Database!$A$1:$C$1,),)=0,#N/A,VLOOKUP(Table7[[#This Row],[Date]],Database!$A:$C,MATCH($C$1,Database!$A$1:$C$1,),))</f>
        <v/>
      </c>
      <c r="D12656">
        <f>IFERROR(Table7[[#This Row],[United States 10y]]-Table7[[#This Row],[United States 3y]],#N/A)</f>
        <v/>
      </c>
    </row>
    <row r="12657">
      <c r="A12657" s="6">
        <f>Database!$A14742</f>
        <v/>
      </c>
      <c r="B12657">
        <f>IF(VLOOKUP(Table7[[#This Row],[Date]],Database!$A:$C,MATCH($B$1,Database!$A$1:$C$1,),)=0,#N/A,VLOOKUP(Table7[[#This Row],[Date]],Database!$A:$C,MATCH($B$1,Database!$A$1:$C$1,),))</f>
        <v/>
      </c>
      <c r="C12657">
        <f>IF(VLOOKUP(Table7[[#This Row],[Date]],Database!$A:$C,MATCH($C$1,Database!$A$1:$C$1,),)=0,#N/A,VLOOKUP(Table7[[#This Row],[Date]],Database!$A:$C,MATCH($C$1,Database!$A$1:$C$1,),))</f>
        <v/>
      </c>
      <c r="D12657">
        <f>IFERROR(Table7[[#This Row],[United States 10y]]-Table7[[#This Row],[United States 3y]],#N/A)</f>
        <v/>
      </c>
    </row>
    <row r="12658">
      <c r="A12658" s="6">
        <f>Database!$A14743</f>
        <v/>
      </c>
      <c r="B12658">
        <f>IF(VLOOKUP(Table7[[#This Row],[Date]],Database!$A:$C,MATCH($B$1,Database!$A$1:$C$1,),)=0,#N/A,VLOOKUP(Table7[[#This Row],[Date]],Database!$A:$C,MATCH($B$1,Database!$A$1:$C$1,),))</f>
        <v/>
      </c>
      <c r="C12658">
        <f>IF(VLOOKUP(Table7[[#This Row],[Date]],Database!$A:$C,MATCH($C$1,Database!$A$1:$C$1,),)=0,#N/A,VLOOKUP(Table7[[#This Row],[Date]],Database!$A:$C,MATCH($C$1,Database!$A$1:$C$1,),))</f>
        <v/>
      </c>
      <c r="D12658">
        <f>IFERROR(Table7[[#This Row],[United States 10y]]-Table7[[#This Row],[United States 3y]],#N/A)</f>
        <v/>
      </c>
    </row>
    <row r="12659">
      <c r="A12659" s="6">
        <f>Database!$A14744</f>
        <v/>
      </c>
      <c r="B12659">
        <f>IF(VLOOKUP(Table7[[#This Row],[Date]],Database!$A:$C,MATCH($B$1,Database!$A$1:$C$1,),)=0,#N/A,VLOOKUP(Table7[[#This Row],[Date]],Database!$A:$C,MATCH($B$1,Database!$A$1:$C$1,),))</f>
        <v/>
      </c>
      <c r="C12659">
        <f>IF(VLOOKUP(Table7[[#This Row],[Date]],Database!$A:$C,MATCH($C$1,Database!$A$1:$C$1,),)=0,#N/A,VLOOKUP(Table7[[#This Row],[Date]],Database!$A:$C,MATCH($C$1,Database!$A$1:$C$1,),))</f>
        <v/>
      </c>
      <c r="D12659">
        <f>IFERROR(Table7[[#This Row],[United States 10y]]-Table7[[#This Row],[United States 3y]],#N/A)</f>
        <v/>
      </c>
    </row>
    <row r="12660">
      <c r="A12660" s="6">
        <f>Database!$A14745</f>
        <v/>
      </c>
      <c r="B12660">
        <f>IF(VLOOKUP(Table7[[#This Row],[Date]],Database!$A:$C,MATCH($B$1,Database!$A$1:$C$1,),)=0,#N/A,VLOOKUP(Table7[[#This Row],[Date]],Database!$A:$C,MATCH($B$1,Database!$A$1:$C$1,),))</f>
        <v/>
      </c>
      <c r="C12660">
        <f>IF(VLOOKUP(Table7[[#This Row],[Date]],Database!$A:$C,MATCH($C$1,Database!$A$1:$C$1,),)=0,#N/A,VLOOKUP(Table7[[#This Row],[Date]],Database!$A:$C,MATCH($C$1,Database!$A$1:$C$1,),))</f>
        <v/>
      </c>
      <c r="D12660">
        <f>IFERROR(Table7[[#This Row],[United States 10y]]-Table7[[#This Row],[United States 3y]],#N/A)</f>
        <v/>
      </c>
    </row>
    <row r="12661">
      <c r="A12661" s="6">
        <f>Database!$A14746</f>
        <v/>
      </c>
      <c r="B12661">
        <f>IF(VLOOKUP(Table7[[#This Row],[Date]],Database!$A:$C,MATCH($B$1,Database!$A$1:$C$1,),)=0,#N/A,VLOOKUP(Table7[[#This Row],[Date]],Database!$A:$C,MATCH($B$1,Database!$A$1:$C$1,),))</f>
        <v/>
      </c>
      <c r="C12661">
        <f>IF(VLOOKUP(Table7[[#This Row],[Date]],Database!$A:$C,MATCH($C$1,Database!$A$1:$C$1,),)=0,#N/A,VLOOKUP(Table7[[#This Row],[Date]],Database!$A:$C,MATCH($C$1,Database!$A$1:$C$1,),))</f>
        <v/>
      </c>
      <c r="D12661">
        <f>IFERROR(Table7[[#This Row],[United States 10y]]-Table7[[#This Row],[United States 3y]],#N/A)</f>
        <v/>
      </c>
    </row>
    <row r="12662">
      <c r="A12662" s="6">
        <f>Database!$A14747</f>
        <v/>
      </c>
      <c r="B12662">
        <f>IF(VLOOKUP(Table7[[#This Row],[Date]],Database!$A:$C,MATCH($B$1,Database!$A$1:$C$1,),)=0,#N/A,VLOOKUP(Table7[[#This Row],[Date]],Database!$A:$C,MATCH($B$1,Database!$A$1:$C$1,),))</f>
        <v/>
      </c>
      <c r="C12662">
        <f>IF(VLOOKUP(Table7[[#This Row],[Date]],Database!$A:$C,MATCH($C$1,Database!$A$1:$C$1,),)=0,#N/A,VLOOKUP(Table7[[#This Row],[Date]],Database!$A:$C,MATCH($C$1,Database!$A$1:$C$1,),))</f>
        <v/>
      </c>
      <c r="D12662">
        <f>IFERROR(Table7[[#This Row],[United States 10y]]-Table7[[#This Row],[United States 3y]],#N/A)</f>
        <v/>
      </c>
    </row>
    <row r="12663">
      <c r="A12663" s="6">
        <f>Database!$A14748</f>
        <v/>
      </c>
      <c r="B12663">
        <f>IF(VLOOKUP(Table7[[#This Row],[Date]],Database!$A:$C,MATCH($B$1,Database!$A$1:$C$1,),)=0,#N/A,VLOOKUP(Table7[[#This Row],[Date]],Database!$A:$C,MATCH($B$1,Database!$A$1:$C$1,),))</f>
        <v/>
      </c>
      <c r="C12663">
        <f>IF(VLOOKUP(Table7[[#This Row],[Date]],Database!$A:$C,MATCH($C$1,Database!$A$1:$C$1,),)=0,#N/A,VLOOKUP(Table7[[#This Row],[Date]],Database!$A:$C,MATCH($C$1,Database!$A$1:$C$1,),))</f>
        <v/>
      </c>
      <c r="D12663">
        <f>IFERROR(Table7[[#This Row],[United States 10y]]-Table7[[#This Row],[United States 3y]],#N/A)</f>
        <v/>
      </c>
    </row>
    <row r="12664">
      <c r="A12664" s="6">
        <f>Database!$A14749</f>
        <v/>
      </c>
      <c r="B12664">
        <f>IF(VLOOKUP(Table7[[#This Row],[Date]],Database!$A:$C,MATCH($B$1,Database!$A$1:$C$1,),)=0,#N/A,VLOOKUP(Table7[[#This Row],[Date]],Database!$A:$C,MATCH($B$1,Database!$A$1:$C$1,),))</f>
        <v/>
      </c>
      <c r="C12664">
        <f>IF(VLOOKUP(Table7[[#This Row],[Date]],Database!$A:$C,MATCH($C$1,Database!$A$1:$C$1,),)=0,#N/A,VLOOKUP(Table7[[#This Row],[Date]],Database!$A:$C,MATCH($C$1,Database!$A$1:$C$1,),))</f>
        <v/>
      </c>
      <c r="D12664">
        <f>IFERROR(Table7[[#This Row],[United States 10y]]-Table7[[#This Row],[United States 3y]],#N/A)</f>
        <v/>
      </c>
    </row>
    <row r="12665">
      <c r="A12665" s="6">
        <f>Database!$A14750</f>
        <v/>
      </c>
      <c r="B12665">
        <f>IF(VLOOKUP(Table7[[#This Row],[Date]],Database!$A:$C,MATCH($B$1,Database!$A$1:$C$1,),)=0,#N/A,VLOOKUP(Table7[[#This Row],[Date]],Database!$A:$C,MATCH($B$1,Database!$A$1:$C$1,),))</f>
        <v/>
      </c>
      <c r="C12665">
        <f>IF(VLOOKUP(Table7[[#This Row],[Date]],Database!$A:$C,MATCH($C$1,Database!$A$1:$C$1,),)=0,#N/A,VLOOKUP(Table7[[#This Row],[Date]],Database!$A:$C,MATCH($C$1,Database!$A$1:$C$1,),))</f>
        <v/>
      </c>
      <c r="D12665">
        <f>IFERROR(Table7[[#This Row],[United States 10y]]-Table7[[#This Row],[United States 3y]],#N/A)</f>
        <v/>
      </c>
    </row>
    <row r="12666">
      <c r="A12666" s="6">
        <f>Database!$A14751</f>
        <v/>
      </c>
      <c r="B12666">
        <f>IF(VLOOKUP(Table7[[#This Row],[Date]],Database!$A:$C,MATCH($B$1,Database!$A$1:$C$1,),)=0,#N/A,VLOOKUP(Table7[[#This Row],[Date]],Database!$A:$C,MATCH($B$1,Database!$A$1:$C$1,),))</f>
        <v/>
      </c>
      <c r="C12666">
        <f>IF(VLOOKUP(Table7[[#This Row],[Date]],Database!$A:$C,MATCH($C$1,Database!$A$1:$C$1,),)=0,#N/A,VLOOKUP(Table7[[#This Row],[Date]],Database!$A:$C,MATCH($C$1,Database!$A$1:$C$1,),))</f>
        <v/>
      </c>
      <c r="D12666">
        <f>IFERROR(Table7[[#This Row],[United States 10y]]-Table7[[#This Row],[United States 3y]],#N/A)</f>
        <v/>
      </c>
    </row>
    <row r="12667">
      <c r="A12667" s="6">
        <f>Database!$A14752</f>
        <v/>
      </c>
      <c r="B12667">
        <f>IF(VLOOKUP(Table7[[#This Row],[Date]],Database!$A:$C,MATCH($B$1,Database!$A$1:$C$1,),)=0,#N/A,VLOOKUP(Table7[[#This Row],[Date]],Database!$A:$C,MATCH($B$1,Database!$A$1:$C$1,),))</f>
        <v/>
      </c>
      <c r="C12667">
        <f>IF(VLOOKUP(Table7[[#This Row],[Date]],Database!$A:$C,MATCH($C$1,Database!$A$1:$C$1,),)=0,#N/A,VLOOKUP(Table7[[#This Row],[Date]],Database!$A:$C,MATCH($C$1,Database!$A$1:$C$1,),))</f>
        <v/>
      </c>
      <c r="D12667">
        <f>IFERROR(Table7[[#This Row],[United States 10y]]-Table7[[#This Row],[United States 3y]],#N/A)</f>
        <v/>
      </c>
    </row>
    <row r="12668">
      <c r="A12668" s="6">
        <f>Database!$A14753</f>
        <v/>
      </c>
      <c r="B12668">
        <f>IF(VLOOKUP(Table7[[#This Row],[Date]],Database!$A:$C,MATCH($B$1,Database!$A$1:$C$1,),)=0,#N/A,VLOOKUP(Table7[[#This Row],[Date]],Database!$A:$C,MATCH($B$1,Database!$A$1:$C$1,),))</f>
        <v/>
      </c>
      <c r="C12668">
        <f>IF(VLOOKUP(Table7[[#This Row],[Date]],Database!$A:$C,MATCH($C$1,Database!$A$1:$C$1,),)=0,#N/A,VLOOKUP(Table7[[#This Row],[Date]],Database!$A:$C,MATCH($C$1,Database!$A$1:$C$1,),))</f>
        <v/>
      </c>
      <c r="D12668">
        <f>IFERROR(Table7[[#This Row],[United States 10y]]-Table7[[#This Row],[United States 3y]],#N/A)</f>
        <v/>
      </c>
    </row>
    <row r="12669">
      <c r="A12669" s="6">
        <f>Database!$A14754</f>
        <v/>
      </c>
      <c r="B12669">
        <f>IF(VLOOKUP(Table7[[#This Row],[Date]],Database!$A:$C,MATCH($B$1,Database!$A$1:$C$1,),)=0,#N/A,VLOOKUP(Table7[[#This Row],[Date]],Database!$A:$C,MATCH($B$1,Database!$A$1:$C$1,),))</f>
        <v/>
      </c>
      <c r="C12669">
        <f>IF(VLOOKUP(Table7[[#This Row],[Date]],Database!$A:$C,MATCH($C$1,Database!$A$1:$C$1,),)=0,#N/A,VLOOKUP(Table7[[#This Row],[Date]],Database!$A:$C,MATCH($C$1,Database!$A$1:$C$1,),))</f>
        <v/>
      </c>
      <c r="D12669">
        <f>IFERROR(Table7[[#This Row],[United States 10y]]-Table7[[#This Row],[United States 3y]],#N/A)</f>
        <v/>
      </c>
    </row>
    <row r="12670">
      <c r="A12670" s="6">
        <f>Database!$A14755</f>
        <v/>
      </c>
      <c r="B12670">
        <f>IF(VLOOKUP(Table7[[#This Row],[Date]],Database!$A:$C,MATCH($B$1,Database!$A$1:$C$1,),)=0,#N/A,VLOOKUP(Table7[[#This Row],[Date]],Database!$A:$C,MATCH($B$1,Database!$A$1:$C$1,),))</f>
        <v/>
      </c>
      <c r="C12670">
        <f>IF(VLOOKUP(Table7[[#This Row],[Date]],Database!$A:$C,MATCH($C$1,Database!$A$1:$C$1,),)=0,#N/A,VLOOKUP(Table7[[#This Row],[Date]],Database!$A:$C,MATCH($C$1,Database!$A$1:$C$1,),))</f>
        <v/>
      </c>
      <c r="D12670">
        <f>IFERROR(Table7[[#This Row],[United States 10y]]-Table7[[#This Row],[United States 3y]],#N/A)</f>
        <v/>
      </c>
    </row>
    <row r="12671">
      <c r="A12671" s="6">
        <f>Database!$A14756</f>
        <v/>
      </c>
      <c r="B12671">
        <f>IF(VLOOKUP(Table7[[#This Row],[Date]],Database!$A:$C,MATCH($B$1,Database!$A$1:$C$1,),)=0,#N/A,VLOOKUP(Table7[[#This Row],[Date]],Database!$A:$C,MATCH($B$1,Database!$A$1:$C$1,),))</f>
        <v/>
      </c>
      <c r="C12671">
        <f>IF(VLOOKUP(Table7[[#This Row],[Date]],Database!$A:$C,MATCH($C$1,Database!$A$1:$C$1,),)=0,#N/A,VLOOKUP(Table7[[#This Row],[Date]],Database!$A:$C,MATCH($C$1,Database!$A$1:$C$1,),))</f>
        <v/>
      </c>
      <c r="D12671">
        <f>IFERROR(Table7[[#This Row],[United States 10y]]-Table7[[#This Row],[United States 3y]],#N/A)</f>
        <v/>
      </c>
    </row>
    <row r="12672">
      <c r="A12672" s="6">
        <f>Database!$A14757</f>
        <v/>
      </c>
      <c r="B12672">
        <f>IF(VLOOKUP(Table7[[#This Row],[Date]],Database!$A:$C,MATCH($B$1,Database!$A$1:$C$1,),)=0,#N/A,VLOOKUP(Table7[[#This Row],[Date]],Database!$A:$C,MATCH($B$1,Database!$A$1:$C$1,),))</f>
        <v/>
      </c>
      <c r="C12672">
        <f>IF(VLOOKUP(Table7[[#This Row],[Date]],Database!$A:$C,MATCH($C$1,Database!$A$1:$C$1,),)=0,#N/A,VLOOKUP(Table7[[#This Row],[Date]],Database!$A:$C,MATCH($C$1,Database!$A$1:$C$1,),))</f>
        <v/>
      </c>
      <c r="D12672">
        <f>IFERROR(Table7[[#This Row],[United States 10y]]-Table7[[#This Row],[United States 3y]],#N/A)</f>
        <v/>
      </c>
    </row>
    <row r="12673">
      <c r="A12673" s="6">
        <f>Database!$A14758</f>
        <v/>
      </c>
      <c r="B12673">
        <f>IF(VLOOKUP(Table7[[#This Row],[Date]],Database!$A:$C,MATCH($B$1,Database!$A$1:$C$1,),)=0,#N/A,VLOOKUP(Table7[[#This Row],[Date]],Database!$A:$C,MATCH($B$1,Database!$A$1:$C$1,),))</f>
        <v/>
      </c>
      <c r="C12673">
        <f>IF(VLOOKUP(Table7[[#This Row],[Date]],Database!$A:$C,MATCH($C$1,Database!$A$1:$C$1,),)=0,#N/A,VLOOKUP(Table7[[#This Row],[Date]],Database!$A:$C,MATCH($C$1,Database!$A$1:$C$1,),))</f>
        <v/>
      </c>
      <c r="D12673">
        <f>IFERROR(Table7[[#This Row],[United States 10y]]-Table7[[#This Row],[United States 3y]],#N/A)</f>
        <v/>
      </c>
    </row>
    <row r="12674">
      <c r="A12674" s="6">
        <f>Database!$A14759</f>
        <v/>
      </c>
      <c r="B12674">
        <f>IF(VLOOKUP(Table7[[#This Row],[Date]],Database!$A:$C,MATCH($B$1,Database!$A$1:$C$1,),)=0,#N/A,VLOOKUP(Table7[[#This Row],[Date]],Database!$A:$C,MATCH($B$1,Database!$A$1:$C$1,),))</f>
        <v/>
      </c>
      <c r="C12674">
        <f>IF(VLOOKUP(Table7[[#This Row],[Date]],Database!$A:$C,MATCH($C$1,Database!$A$1:$C$1,),)=0,#N/A,VLOOKUP(Table7[[#This Row],[Date]],Database!$A:$C,MATCH($C$1,Database!$A$1:$C$1,),))</f>
        <v/>
      </c>
      <c r="D12674">
        <f>IFERROR(Table7[[#This Row],[United States 10y]]-Table7[[#This Row],[United States 3y]],#N/A)</f>
        <v/>
      </c>
    </row>
    <row r="12675">
      <c r="A12675" s="6">
        <f>Database!$A14760</f>
        <v/>
      </c>
      <c r="B12675">
        <f>IF(VLOOKUP(Table7[[#This Row],[Date]],Database!$A:$C,MATCH($B$1,Database!$A$1:$C$1,),)=0,#N/A,VLOOKUP(Table7[[#This Row],[Date]],Database!$A:$C,MATCH($B$1,Database!$A$1:$C$1,),))</f>
        <v/>
      </c>
      <c r="C12675">
        <f>IF(VLOOKUP(Table7[[#This Row],[Date]],Database!$A:$C,MATCH($C$1,Database!$A$1:$C$1,),)=0,#N/A,VLOOKUP(Table7[[#This Row],[Date]],Database!$A:$C,MATCH($C$1,Database!$A$1:$C$1,),))</f>
        <v/>
      </c>
      <c r="D12675">
        <f>IFERROR(Table7[[#This Row],[United States 10y]]-Table7[[#This Row],[United States 3y]],#N/A)</f>
        <v/>
      </c>
    </row>
    <row r="12676">
      <c r="A12676" s="6">
        <f>Database!$A14761</f>
        <v/>
      </c>
      <c r="B12676">
        <f>IF(VLOOKUP(Table7[[#This Row],[Date]],Database!$A:$C,MATCH($B$1,Database!$A$1:$C$1,),)=0,#N/A,VLOOKUP(Table7[[#This Row],[Date]],Database!$A:$C,MATCH($B$1,Database!$A$1:$C$1,),))</f>
        <v/>
      </c>
      <c r="C12676">
        <f>IF(VLOOKUP(Table7[[#This Row],[Date]],Database!$A:$C,MATCH($C$1,Database!$A$1:$C$1,),)=0,#N/A,VLOOKUP(Table7[[#This Row],[Date]],Database!$A:$C,MATCH($C$1,Database!$A$1:$C$1,),))</f>
        <v/>
      </c>
      <c r="D12676">
        <f>IFERROR(Table7[[#This Row],[United States 10y]]-Table7[[#This Row],[United States 3y]],#N/A)</f>
        <v/>
      </c>
    </row>
    <row r="12677">
      <c r="A12677" s="6">
        <f>Database!$A14762</f>
        <v/>
      </c>
      <c r="B12677">
        <f>IF(VLOOKUP(Table7[[#This Row],[Date]],Database!$A:$C,MATCH($B$1,Database!$A$1:$C$1,),)=0,#N/A,VLOOKUP(Table7[[#This Row],[Date]],Database!$A:$C,MATCH($B$1,Database!$A$1:$C$1,),))</f>
        <v/>
      </c>
      <c r="C12677">
        <f>IF(VLOOKUP(Table7[[#This Row],[Date]],Database!$A:$C,MATCH($C$1,Database!$A$1:$C$1,),)=0,#N/A,VLOOKUP(Table7[[#This Row],[Date]],Database!$A:$C,MATCH($C$1,Database!$A$1:$C$1,),))</f>
        <v/>
      </c>
      <c r="D12677">
        <f>IFERROR(Table7[[#This Row],[United States 10y]]-Table7[[#This Row],[United States 3y]],#N/A)</f>
        <v/>
      </c>
    </row>
    <row r="12678">
      <c r="A12678" s="6">
        <f>Database!$A14763</f>
        <v/>
      </c>
      <c r="B12678">
        <f>IF(VLOOKUP(Table7[[#This Row],[Date]],Database!$A:$C,MATCH($B$1,Database!$A$1:$C$1,),)=0,#N/A,VLOOKUP(Table7[[#This Row],[Date]],Database!$A:$C,MATCH($B$1,Database!$A$1:$C$1,),))</f>
        <v/>
      </c>
      <c r="C12678">
        <f>IF(VLOOKUP(Table7[[#This Row],[Date]],Database!$A:$C,MATCH($C$1,Database!$A$1:$C$1,),)=0,#N/A,VLOOKUP(Table7[[#This Row],[Date]],Database!$A:$C,MATCH($C$1,Database!$A$1:$C$1,),))</f>
        <v/>
      </c>
      <c r="D12678">
        <f>IFERROR(Table7[[#This Row],[United States 10y]]-Table7[[#This Row],[United States 3y]],#N/A)</f>
        <v/>
      </c>
    </row>
    <row r="12679">
      <c r="A12679" s="6">
        <f>Database!$A14764</f>
        <v/>
      </c>
      <c r="B12679">
        <f>IF(VLOOKUP(Table7[[#This Row],[Date]],Database!$A:$C,MATCH($B$1,Database!$A$1:$C$1,),)=0,#N/A,VLOOKUP(Table7[[#This Row],[Date]],Database!$A:$C,MATCH($B$1,Database!$A$1:$C$1,),))</f>
        <v/>
      </c>
      <c r="C12679">
        <f>IF(VLOOKUP(Table7[[#This Row],[Date]],Database!$A:$C,MATCH($C$1,Database!$A$1:$C$1,),)=0,#N/A,VLOOKUP(Table7[[#This Row],[Date]],Database!$A:$C,MATCH($C$1,Database!$A$1:$C$1,),))</f>
        <v/>
      </c>
      <c r="D12679">
        <f>IFERROR(Table7[[#This Row],[United States 10y]]-Table7[[#This Row],[United States 3y]],#N/A)</f>
        <v/>
      </c>
    </row>
    <row r="12680">
      <c r="A12680" s="6">
        <f>Database!$A14765</f>
        <v/>
      </c>
      <c r="B12680">
        <f>IF(VLOOKUP(Table7[[#This Row],[Date]],Database!$A:$C,MATCH($B$1,Database!$A$1:$C$1,),)=0,#N/A,VLOOKUP(Table7[[#This Row],[Date]],Database!$A:$C,MATCH($B$1,Database!$A$1:$C$1,),))</f>
        <v/>
      </c>
      <c r="C12680">
        <f>IF(VLOOKUP(Table7[[#This Row],[Date]],Database!$A:$C,MATCH($C$1,Database!$A$1:$C$1,),)=0,#N/A,VLOOKUP(Table7[[#This Row],[Date]],Database!$A:$C,MATCH($C$1,Database!$A$1:$C$1,),))</f>
        <v/>
      </c>
      <c r="D12680">
        <f>IFERROR(Table7[[#This Row],[United States 10y]]-Table7[[#This Row],[United States 3y]],#N/A)</f>
        <v/>
      </c>
    </row>
    <row r="12681">
      <c r="A12681" s="6">
        <f>Database!$A14766</f>
        <v/>
      </c>
      <c r="B12681">
        <f>IF(VLOOKUP(Table7[[#This Row],[Date]],Database!$A:$C,MATCH($B$1,Database!$A$1:$C$1,),)=0,#N/A,VLOOKUP(Table7[[#This Row],[Date]],Database!$A:$C,MATCH($B$1,Database!$A$1:$C$1,),))</f>
        <v/>
      </c>
      <c r="C12681">
        <f>IF(VLOOKUP(Table7[[#This Row],[Date]],Database!$A:$C,MATCH($C$1,Database!$A$1:$C$1,),)=0,#N/A,VLOOKUP(Table7[[#This Row],[Date]],Database!$A:$C,MATCH($C$1,Database!$A$1:$C$1,),))</f>
        <v/>
      </c>
      <c r="D12681">
        <f>IFERROR(Table7[[#This Row],[United States 10y]]-Table7[[#This Row],[United States 3y]],#N/A)</f>
        <v/>
      </c>
    </row>
    <row r="12682">
      <c r="A12682" s="6">
        <f>Database!$A14767</f>
        <v/>
      </c>
      <c r="B12682">
        <f>IF(VLOOKUP(Table7[[#This Row],[Date]],Database!$A:$C,MATCH($B$1,Database!$A$1:$C$1,),)=0,#N/A,VLOOKUP(Table7[[#This Row],[Date]],Database!$A:$C,MATCH($B$1,Database!$A$1:$C$1,),))</f>
        <v/>
      </c>
      <c r="C12682">
        <f>IF(VLOOKUP(Table7[[#This Row],[Date]],Database!$A:$C,MATCH($C$1,Database!$A$1:$C$1,),)=0,#N/A,VLOOKUP(Table7[[#This Row],[Date]],Database!$A:$C,MATCH($C$1,Database!$A$1:$C$1,),))</f>
        <v/>
      </c>
      <c r="D12682">
        <f>IFERROR(Table7[[#This Row],[United States 10y]]-Table7[[#This Row],[United States 3y]],#N/A)</f>
        <v/>
      </c>
    </row>
    <row r="12683">
      <c r="A12683" s="6">
        <f>Database!$A14768</f>
        <v/>
      </c>
      <c r="B12683">
        <f>IF(VLOOKUP(Table7[[#This Row],[Date]],Database!$A:$C,MATCH($B$1,Database!$A$1:$C$1,),)=0,#N/A,VLOOKUP(Table7[[#This Row],[Date]],Database!$A:$C,MATCH($B$1,Database!$A$1:$C$1,),))</f>
        <v/>
      </c>
      <c r="C12683">
        <f>IF(VLOOKUP(Table7[[#This Row],[Date]],Database!$A:$C,MATCH($C$1,Database!$A$1:$C$1,),)=0,#N/A,VLOOKUP(Table7[[#This Row],[Date]],Database!$A:$C,MATCH($C$1,Database!$A$1:$C$1,),))</f>
        <v/>
      </c>
      <c r="D12683">
        <f>IFERROR(Table7[[#This Row],[United States 10y]]-Table7[[#This Row],[United States 3y]],#N/A)</f>
        <v/>
      </c>
    </row>
    <row r="12684">
      <c r="A12684" s="6">
        <f>Database!$A14769</f>
        <v/>
      </c>
      <c r="B12684">
        <f>IF(VLOOKUP(Table7[[#This Row],[Date]],Database!$A:$C,MATCH($B$1,Database!$A$1:$C$1,),)=0,#N/A,VLOOKUP(Table7[[#This Row],[Date]],Database!$A:$C,MATCH($B$1,Database!$A$1:$C$1,),))</f>
        <v/>
      </c>
      <c r="C12684">
        <f>IF(VLOOKUP(Table7[[#This Row],[Date]],Database!$A:$C,MATCH($C$1,Database!$A$1:$C$1,),)=0,#N/A,VLOOKUP(Table7[[#This Row],[Date]],Database!$A:$C,MATCH($C$1,Database!$A$1:$C$1,),))</f>
        <v/>
      </c>
      <c r="D12684">
        <f>IFERROR(Table7[[#This Row],[United States 10y]]-Table7[[#This Row],[United States 3y]],#N/A)</f>
        <v/>
      </c>
    </row>
    <row r="12685">
      <c r="A12685" s="6">
        <f>Database!$A14770</f>
        <v/>
      </c>
      <c r="B12685">
        <f>IF(VLOOKUP(Table7[[#This Row],[Date]],Database!$A:$C,MATCH($B$1,Database!$A$1:$C$1,),)=0,#N/A,VLOOKUP(Table7[[#This Row],[Date]],Database!$A:$C,MATCH($B$1,Database!$A$1:$C$1,),))</f>
        <v/>
      </c>
      <c r="C12685">
        <f>IF(VLOOKUP(Table7[[#This Row],[Date]],Database!$A:$C,MATCH($C$1,Database!$A$1:$C$1,),)=0,#N/A,VLOOKUP(Table7[[#This Row],[Date]],Database!$A:$C,MATCH($C$1,Database!$A$1:$C$1,),))</f>
        <v/>
      </c>
      <c r="D12685">
        <f>IFERROR(Table7[[#This Row],[United States 10y]]-Table7[[#This Row],[United States 3y]],#N/A)</f>
        <v/>
      </c>
    </row>
    <row r="12686">
      <c r="A12686" s="6">
        <f>Database!$A14771</f>
        <v/>
      </c>
      <c r="B12686">
        <f>IF(VLOOKUP(Table7[[#This Row],[Date]],Database!$A:$C,MATCH($B$1,Database!$A$1:$C$1,),)=0,#N/A,VLOOKUP(Table7[[#This Row],[Date]],Database!$A:$C,MATCH($B$1,Database!$A$1:$C$1,),))</f>
        <v/>
      </c>
      <c r="C12686">
        <f>IF(VLOOKUP(Table7[[#This Row],[Date]],Database!$A:$C,MATCH($C$1,Database!$A$1:$C$1,),)=0,#N/A,VLOOKUP(Table7[[#This Row],[Date]],Database!$A:$C,MATCH($C$1,Database!$A$1:$C$1,),))</f>
        <v/>
      </c>
      <c r="D12686">
        <f>IFERROR(Table7[[#This Row],[United States 10y]]-Table7[[#This Row],[United States 3y]],#N/A)</f>
        <v/>
      </c>
    </row>
    <row r="12687">
      <c r="A12687" s="6">
        <f>Database!$A14772</f>
        <v/>
      </c>
      <c r="B12687">
        <f>IF(VLOOKUP(Table7[[#This Row],[Date]],Database!$A:$C,MATCH($B$1,Database!$A$1:$C$1,),)=0,#N/A,VLOOKUP(Table7[[#This Row],[Date]],Database!$A:$C,MATCH($B$1,Database!$A$1:$C$1,),))</f>
        <v/>
      </c>
      <c r="C12687">
        <f>IF(VLOOKUP(Table7[[#This Row],[Date]],Database!$A:$C,MATCH($C$1,Database!$A$1:$C$1,),)=0,#N/A,VLOOKUP(Table7[[#This Row],[Date]],Database!$A:$C,MATCH($C$1,Database!$A$1:$C$1,),))</f>
        <v/>
      </c>
      <c r="D12687">
        <f>IFERROR(Table7[[#This Row],[United States 10y]]-Table7[[#This Row],[United States 3y]],#N/A)</f>
        <v/>
      </c>
    </row>
    <row r="12688">
      <c r="A12688" s="6">
        <f>Database!$A14773</f>
        <v/>
      </c>
      <c r="B12688">
        <f>IF(VLOOKUP(Table7[[#This Row],[Date]],Database!$A:$C,MATCH($B$1,Database!$A$1:$C$1,),)=0,#N/A,VLOOKUP(Table7[[#This Row],[Date]],Database!$A:$C,MATCH($B$1,Database!$A$1:$C$1,),))</f>
        <v/>
      </c>
      <c r="C12688">
        <f>IF(VLOOKUP(Table7[[#This Row],[Date]],Database!$A:$C,MATCH($C$1,Database!$A$1:$C$1,),)=0,#N/A,VLOOKUP(Table7[[#This Row],[Date]],Database!$A:$C,MATCH($C$1,Database!$A$1:$C$1,),))</f>
        <v/>
      </c>
      <c r="D12688">
        <f>IFERROR(Table7[[#This Row],[United States 10y]]-Table7[[#This Row],[United States 3y]],#N/A)</f>
        <v/>
      </c>
    </row>
    <row r="12689">
      <c r="A12689" s="6">
        <f>Database!$A14774</f>
        <v/>
      </c>
      <c r="B12689">
        <f>IF(VLOOKUP(Table7[[#This Row],[Date]],Database!$A:$C,MATCH($B$1,Database!$A$1:$C$1,),)=0,#N/A,VLOOKUP(Table7[[#This Row],[Date]],Database!$A:$C,MATCH($B$1,Database!$A$1:$C$1,),))</f>
        <v/>
      </c>
      <c r="C12689">
        <f>IF(VLOOKUP(Table7[[#This Row],[Date]],Database!$A:$C,MATCH($C$1,Database!$A$1:$C$1,),)=0,#N/A,VLOOKUP(Table7[[#This Row],[Date]],Database!$A:$C,MATCH($C$1,Database!$A$1:$C$1,),))</f>
        <v/>
      </c>
      <c r="D12689">
        <f>IFERROR(Table7[[#This Row],[United States 10y]]-Table7[[#This Row],[United States 3y]],#N/A)</f>
        <v/>
      </c>
    </row>
    <row r="12690">
      <c r="A12690" s="6">
        <f>Database!$A14775</f>
        <v/>
      </c>
      <c r="B12690">
        <f>IF(VLOOKUP(Table7[[#This Row],[Date]],Database!$A:$C,MATCH($B$1,Database!$A$1:$C$1,),)=0,#N/A,VLOOKUP(Table7[[#This Row],[Date]],Database!$A:$C,MATCH($B$1,Database!$A$1:$C$1,),))</f>
        <v/>
      </c>
      <c r="C12690">
        <f>IF(VLOOKUP(Table7[[#This Row],[Date]],Database!$A:$C,MATCH($C$1,Database!$A$1:$C$1,),)=0,#N/A,VLOOKUP(Table7[[#This Row],[Date]],Database!$A:$C,MATCH($C$1,Database!$A$1:$C$1,),))</f>
        <v/>
      </c>
      <c r="D12690">
        <f>IFERROR(Table7[[#This Row],[United States 10y]]-Table7[[#This Row],[United States 3y]],#N/A)</f>
        <v/>
      </c>
    </row>
    <row r="12691">
      <c r="A12691" s="6">
        <f>Database!$A14776</f>
        <v/>
      </c>
      <c r="B12691">
        <f>IF(VLOOKUP(Table7[[#This Row],[Date]],Database!$A:$C,MATCH($B$1,Database!$A$1:$C$1,),)=0,#N/A,VLOOKUP(Table7[[#This Row],[Date]],Database!$A:$C,MATCH($B$1,Database!$A$1:$C$1,),))</f>
        <v/>
      </c>
      <c r="C12691">
        <f>IF(VLOOKUP(Table7[[#This Row],[Date]],Database!$A:$C,MATCH($C$1,Database!$A$1:$C$1,),)=0,#N/A,VLOOKUP(Table7[[#This Row],[Date]],Database!$A:$C,MATCH($C$1,Database!$A$1:$C$1,),))</f>
        <v/>
      </c>
      <c r="D12691">
        <f>IFERROR(Table7[[#This Row],[United States 10y]]-Table7[[#This Row],[United States 3y]],#N/A)</f>
        <v/>
      </c>
    </row>
    <row r="12692">
      <c r="A12692" s="6">
        <f>Database!$A14777</f>
        <v/>
      </c>
      <c r="B12692">
        <f>IF(VLOOKUP(Table7[[#This Row],[Date]],Database!$A:$C,MATCH($B$1,Database!$A$1:$C$1,),)=0,#N/A,VLOOKUP(Table7[[#This Row],[Date]],Database!$A:$C,MATCH($B$1,Database!$A$1:$C$1,),))</f>
        <v/>
      </c>
      <c r="C12692">
        <f>IF(VLOOKUP(Table7[[#This Row],[Date]],Database!$A:$C,MATCH($C$1,Database!$A$1:$C$1,),)=0,#N/A,VLOOKUP(Table7[[#This Row],[Date]],Database!$A:$C,MATCH($C$1,Database!$A$1:$C$1,),))</f>
        <v/>
      </c>
      <c r="D12692">
        <f>IFERROR(Table7[[#This Row],[United States 10y]]-Table7[[#This Row],[United States 3y]],#N/A)</f>
        <v/>
      </c>
    </row>
    <row r="12693">
      <c r="A12693" s="6">
        <f>Database!$A14778</f>
        <v/>
      </c>
      <c r="B12693">
        <f>IF(VLOOKUP(Table7[[#This Row],[Date]],Database!$A:$C,MATCH($B$1,Database!$A$1:$C$1,),)=0,#N/A,VLOOKUP(Table7[[#This Row],[Date]],Database!$A:$C,MATCH($B$1,Database!$A$1:$C$1,),))</f>
        <v/>
      </c>
      <c r="C12693">
        <f>IF(VLOOKUP(Table7[[#This Row],[Date]],Database!$A:$C,MATCH($C$1,Database!$A$1:$C$1,),)=0,#N/A,VLOOKUP(Table7[[#This Row],[Date]],Database!$A:$C,MATCH($C$1,Database!$A$1:$C$1,),))</f>
        <v/>
      </c>
      <c r="D12693">
        <f>IFERROR(Table7[[#This Row],[United States 10y]]-Table7[[#This Row],[United States 3y]],#N/A)</f>
        <v/>
      </c>
    </row>
    <row r="12694">
      <c r="A12694" s="6">
        <f>Database!$A14779</f>
        <v/>
      </c>
      <c r="B12694">
        <f>IF(VLOOKUP(Table7[[#This Row],[Date]],Database!$A:$C,MATCH($B$1,Database!$A$1:$C$1,),)=0,#N/A,VLOOKUP(Table7[[#This Row],[Date]],Database!$A:$C,MATCH($B$1,Database!$A$1:$C$1,),))</f>
        <v/>
      </c>
      <c r="C12694">
        <f>IF(VLOOKUP(Table7[[#This Row],[Date]],Database!$A:$C,MATCH($C$1,Database!$A$1:$C$1,),)=0,#N/A,VLOOKUP(Table7[[#This Row],[Date]],Database!$A:$C,MATCH($C$1,Database!$A$1:$C$1,),))</f>
        <v/>
      </c>
      <c r="D12694">
        <f>IFERROR(Table7[[#This Row],[United States 10y]]-Table7[[#This Row],[United States 3y]],#N/A)</f>
        <v/>
      </c>
    </row>
    <row r="12695">
      <c r="A12695" s="6">
        <f>Database!$A14780</f>
        <v/>
      </c>
      <c r="B12695">
        <f>IF(VLOOKUP(Table7[[#This Row],[Date]],Database!$A:$C,MATCH($B$1,Database!$A$1:$C$1,),)=0,#N/A,VLOOKUP(Table7[[#This Row],[Date]],Database!$A:$C,MATCH($B$1,Database!$A$1:$C$1,),))</f>
        <v/>
      </c>
      <c r="C12695">
        <f>IF(VLOOKUP(Table7[[#This Row],[Date]],Database!$A:$C,MATCH($C$1,Database!$A$1:$C$1,),)=0,#N/A,VLOOKUP(Table7[[#This Row],[Date]],Database!$A:$C,MATCH($C$1,Database!$A$1:$C$1,),))</f>
        <v/>
      </c>
      <c r="D12695">
        <f>IFERROR(Table7[[#This Row],[United States 10y]]-Table7[[#This Row],[United States 3y]],#N/A)</f>
        <v/>
      </c>
    </row>
    <row r="12696">
      <c r="A12696" s="6">
        <f>Database!$A14781</f>
        <v/>
      </c>
      <c r="B12696">
        <f>IF(VLOOKUP(Table7[[#This Row],[Date]],Database!$A:$C,MATCH($B$1,Database!$A$1:$C$1,),)=0,#N/A,VLOOKUP(Table7[[#This Row],[Date]],Database!$A:$C,MATCH($B$1,Database!$A$1:$C$1,),))</f>
        <v/>
      </c>
      <c r="C12696">
        <f>IF(VLOOKUP(Table7[[#This Row],[Date]],Database!$A:$C,MATCH($C$1,Database!$A$1:$C$1,),)=0,#N/A,VLOOKUP(Table7[[#This Row],[Date]],Database!$A:$C,MATCH($C$1,Database!$A$1:$C$1,),))</f>
        <v/>
      </c>
      <c r="D12696">
        <f>IFERROR(Table7[[#This Row],[United States 10y]]-Table7[[#This Row],[United States 3y]],#N/A)</f>
        <v/>
      </c>
    </row>
    <row r="12697">
      <c r="A12697" s="6">
        <f>Database!$A14782</f>
        <v/>
      </c>
      <c r="B12697">
        <f>IF(VLOOKUP(Table7[[#This Row],[Date]],Database!$A:$C,MATCH($B$1,Database!$A$1:$C$1,),)=0,#N/A,VLOOKUP(Table7[[#This Row],[Date]],Database!$A:$C,MATCH($B$1,Database!$A$1:$C$1,),))</f>
        <v/>
      </c>
      <c r="C12697">
        <f>IF(VLOOKUP(Table7[[#This Row],[Date]],Database!$A:$C,MATCH($C$1,Database!$A$1:$C$1,),)=0,#N/A,VLOOKUP(Table7[[#This Row],[Date]],Database!$A:$C,MATCH($C$1,Database!$A$1:$C$1,),))</f>
        <v/>
      </c>
      <c r="D12697">
        <f>IFERROR(Table7[[#This Row],[United States 10y]]-Table7[[#This Row],[United States 3y]],#N/A)</f>
        <v/>
      </c>
    </row>
    <row r="12698">
      <c r="A12698" s="6">
        <f>Database!$A14783</f>
        <v/>
      </c>
      <c r="B12698">
        <f>IF(VLOOKUP(Table7[[#This Row],[Date]],Database!$A:$C,MATCH($B$1,Database!$A$1:$C$1,),)=0,#N/A,VLOOKUP(Table7[[#This Row],[Date]],Database!$A:$C,MATCH($B$1,Database!$A$1:$C$1,),))</f>
        <v/>
      </c>
      <c r="C12698">
        <f>IF(VLOOKUP(Table7[[#This Row],[Date]],Database!$A:$C,MATCH($C$1,Database!$A$1:$C$1,),)=0,#N/A,VLOOKUP(Table7[[#This Row],[Date]],Database!$A:$C,MATCH($C$1,Database!$A$1:$C$1,),))</f>
        <v/>
      </c>
      <c r="D12698">
        <f>IFERROR(Table7[[#This Row],[United States 10y]]-Table7[[#This Row],[United States 3y]],#N/A)</f>
        <v/>
      </c>
    </row>
    <row r="12699">
      <c r="A12699" s="6">
        <f>Database!$A14784</f>
        <v/>
      </c>
      <c r="B12699">
        <f>IF(VLOOKUP(Table7[[#This Row],[Date]],Database!$A:$C,MATCH($B$1,Database!$A$1:$C$1,),)=0,#N/A,VLOOKUP(Table7[[#This Row],[Date]],Database!$A:$C,MATCH($B$1,Database!$A$1:$C$1,),))</f>
        <v/>
      </c>
      <c r="C12699">
        <f>IF(VLOOKUP(Table7[[#This Row],[Date]],Database!$A:$C,MATCH($C$1,Database!$A$1:$C$1,),)=0,#N/A,VLOOKUP(Table7[[#This Row],[Date]],Database!$A:$C,MATCH($C$1,Database!$A$1:$C$1,),))</f>
        <v/>
      </c>
      <c r="D12699">
        <f>IFERROR(Table7[[#This Row],[United States 10y]]-Table7[[#This Row],[United States 3y]],#N/A)</f>
        <v/>
      </c>
    </row>
    <row r="12700">
      <c r="A12700" s="6">
        <f>Database!$A14785</f>
        <v/>
      </c>
      <c r="B12700">
        <f>IF(VLOOKUP(Table7[[#This Row],[Date]],Database!$A:$C,MATCH($B$1,Database!$A$1:$C$1,),)=0,#N/A,VLOOKUP(Table7[[#This Row],[Date]],Database!$A:$C,MATCH($B$1,Database!$A$1:$C$1,),))</f>
        <v/>
      </c>
      <c r="C12700">
        <f>IF(VLOOKUP(Table7[[#This Row],[Date]],Database!$A:$C,MATCH($C$1,Database!$A$1:$C$1,),)=0,#N/A,VLOOKUP(Table7[[#This Row],[Date]],Database!$A:$C,MATCH($C$1,Database!$A$1:$C$1,),))</f>
        <v/>
      </c>
      <c r="D12700">
        <f>IFERROR(Table7[[#This Row],[United States 10y]]-Table7[[#This Row],[United States 3y]],#N/A)</f>
        <v/>
      </c>
    </row>
    <row r="12701">
      <c r="A12701" s="6">
        <f>Database!$A14786</f>
        <v/>
      </c>
      <c r="B12701">
        <f>IF(VLOOKUP(Table7[[#This Row],[Date]],Database!$A:$C,MATCH($B$1,Database!$A$1:$C$1,),)=0,#N/A,VLOOKUP(Table7[[#This Row],[Date]],Database!$A:$C,MATCH($B$1,Database!$A$1:$C$1,),))</f>
        <v/>
      </c>
      <c r="C12701">
        <f>IF(VLOOKUP(Table7[[#This Row],[Date]],Database!$A:$C,MATCH($C$1,Database!$A$1:$C$1,),)=0,#N/A,VLOOKUP(Table7[[#This Row],[Date]],Database!$A:$C,MATCH($C$1,Database!$A$1:$C$1,),))</f>
        <v/>
      </c>
      <c r="D12701">
        <f>IFERROR(Table7[[#This Row],[United States 10y]]-Table7[[#This Row],[United States 3y]],#N/A)</f>
        <v/>
      </c>
    </row>
    <row r="12702">
      <c r="A12702" s="6">
        <f>Database!$A14787</f>
        <v/>
      </c>
      <c r="B12702">
        <f>IF(VLOOKUP(Table7[[#This Row],[Date]],Database!$A:$C,MATCH($B$1,Database!$A$1:$C$1,),)=0,#N/A,VLOOKUP(Table7[[#This Row],[Date]],Database!$A:$C,MATCH($B$1,Database!$A$1:$C$1,),))</f>
        <v/>
      </c>
      <c r="C12702">
        <f>IF(VLOOKUP(Table7[[#This Row],[Date]],Database!$A:$C,MATCH($C$1,Database!$A$1:$C$1,),)=0,#N/A,VLOOKUP(Table7[[#This Row],[Date]],Database!$A:$C,MATCH($C$1,Database!$A$1:$C$1,),))</f>
        <v/>
      </c>
      <c r="D12702">
        <f>IFERROR(Table7[[#This Row],[United States 10y]]-Table7[[#This Row],[United States 3y]],#N/A)</f>
        <v/>
      </c>
    </row>
    <row r="12703">
      <c r="A12703" s="6">
        <f>Database!$A14788</f>
        <v/>
      </c>
      <c r="B12703">
        <f>IF(VLOOKUP(Table7[[#This Row],[Date]],Database!$A:$C,MATCH($B$1,Database!$A$1:$C$1,),)=0,#N/A,VLOOKUP(Table7[[#This Row],[Date]],Database!$A:$C,MATCH($B$1,Database!$A$1:$C$1,),))</f>
        <v/>
      </c>
      <c r="C12703">
        <f>IF(VLOOKUP(Table7[[#This Row],[Date]],Database!$A:$C,MATCH($C$1,Database!$A$1:$C$1,),)=0,#N/A,VLOOKUP(Table7[[#This Row],[Date]],Database!$A:$C,MATCH($C$1,Database!$A$1:$C$1,),))</f>
        <v/>
      </c>
      <c r="D12703">
        <f>IFERROR(Table7[[#This Row],[United States 10y]]-Table7[[#This Row],[United States 3y]],#N/A)</f>
        <v/>
      </c>
    </row>
    <row r="12704">
      <c r="A12704" s="6">
        <f>Database!$A14789</f>
        <v/>
      </c>
      <c r="B12704">
        <f>IF(VLOOKUP(Table7[[#This Row],[Date]],Database!$A:$C,MATCH($B$1,Database!$A$1:$C$1,),)=0,#N/A,VLOOKUP(Table7[[#This Row],[Date]],Database!$A:$C,MATCH($B$1,Database!$A$1:$C$1,),))</f>
        <v/>
      </c>
      <c r="C12704">
        <f>IF(VLOOKUP(Table7[[#This Row],[Date]],Database!$A:$C,MATCH($C$1,Database!$A$1:$C$1,),)=0,#N/A,VLOOKUP(Table7[[#This Row],[Date]],Database!$A:$C,MATCH($C$1,Database!$A$1:$C$1,),))</f>
        <v/>
      </c>
      <c r="D12704">
        <f>IFERROR(Table7[[#This Row],[United States 10y]]-Table7[[#This Row],[United States 3y]],#N/A)</f>
        <v/>
      </c>
    </row>
    <row r="12705">
      <c r="A12705" s="6">
        <f>Database!$A14790</f>
        <v/>
      </c>
      <c r="B12705">
        <f>IF(VLOOKUP(Table7[[#This Row],[Date]],Database!$A:$C,MATCH($B$1,Database!$A$1:$C$1,),)=0,#N/A,VLOOKUP(Table7[[#This Row],[Date]],Database!$A:$C,MATCH($B$1,Database!$A$1:$C$1,),))</f>
        <v/>
      </c>
      <c r="C12705">
        <f>IF(VLOOKUP(Table7[[#This Row],[Date]],Database!$A:$C,MATCH($C$1,Database!$A$1:$C$1,),)=0,#N/A,VLOOKUP(Table7[[#This Row],[Date]],Database!$A:$C,MATCH($C$1,Database!$A$1:$C$1,),))</f>
        <v/>
      </c>
      <c r="D12705">
        <f>IFERROR(Table7[[#This Row],[United States 10y]]-Table7[[#This Row],[United States 3y]],#N/A)</f>
        <v/>
      </c>
    </row>
    <row r="12706">
      <c r="A12706" s="6">
        <f>Database!$A14791</f>
        <v/>
      </c>
      <c r="B12706">
        <f>IF(VLOOKUP(Table7[[#This Row],[Date]],Database!$A:$C,MATCH($B$1,Database!$A$1:$C$1,),)=0,#N/A,VLOOKUP(Table7[[#This Row],[Date]],Database!$A:$C,MATCH($B$1,Database!$A$1:$C$1,),))</f>
        <v/>
      </c>
      <c r="C12706">
        <f>IF(VLOOKUP(Table7[[#This Row],[Date]],Database!$A:$C,MATCH($C$1,Database!$A$1:$C$1,),)=0,#N/A,VLOOKUP(Table7[[#This Row],[Date]],Database!$A:$C,MATCH($C$1,Database!$A$1:$C$1,),))</f>
        <v/>
      </c>
      <c r="D12706">
        <f>IFERROR(Table7[[#This Row],[United States 10y]]-Table7[[#This Row],[United States 3y]],#N/A)</f>
        <v/>
      </c>
    </row>
    <row r="12707">
      <c r="A12707" s="6">
        <f>Database!$A14792</f>
        <v/>
      </c>
      <c r="B12707">
        <f>IF(VLOOKUP(Table7[[#This Row],[Date]],Database!$A:$C,MATCH($B$1,Database!$A$1:$C$1,),)=0,#N/A,VLOOKUP(Table7[[#This Row],[Date]],Database!$A:$C,MATCH($B$1,Database!$A$1:$C$1,),))</f>
        <v/>
      </c>
      <c r="C12707">
        <f>IF(VLOOKUP(Table7[[#This Row],[Date]],Database!$A:$C,MATCH($C$1,Database!$A$1:$C$1,),)=0,#N/A,VLOOKUP(Table7[[#This Row],[Date]],Database!$A:$C,MATCH($C$1,Database!$A$1:$C$1,),))</f>
        <v/>
      </c>
      <c r="D12707">
        <f>IFERROR(Table7[[#This Row],[United States 10y]]-Table7[[#This Row],[United States 3y]],#N/A)</f>
        <v/>
      </c>
    </row>
    <row r="12708">
      <c r="A12708" s="6">
        <f>Database!$A14793</f>
        <v/>
      </c>
      <c r="B12708">
        <f>IF(VLOOKUP(Table7[[#This Row],[Date]],Database!$A:$C,MATCH($B$1,Database!$A$1:$C$1,),)=0,#N/A,VLOOKUP(Table7[[#This Row],[Date]],Database!$A:$C,MATCH($B$1,Database!$A$1:$C$1,),))</f>
        <v/>
      </c>
      <c r="C12708">
        <f>IF(VLOOKUP(Table7[[#This Row],[Date]],Database!$A:$C,MATCH($C$1,Database!$A$1:$C$1,),)=0,#N/A,VLOOKUP(Table7[[#This Row],[Date]],Database!$A:$C,MATCH($C$1,Database!$A$1:$C$1,),))</f>
        <v/>
      </c>
      <c r="D12708">
        <f>IFERROR(Table7[[#This Row],[United States 10y]]-Table7[[#This Row],[United States 3y]],#N/A)</f>
        <v/>
      </c>
    </row>
    <row r="12709">
      <c r="A12709" s="6">
        <f>Database!$A14794</f>
        <v/>
      </c>
      <c r="B12709">
        <f>IF(VLOOKUP(Table7[[#This Row],[Date]],Database!$A:$C,MATCH($B$1,Database!$A$1:$C$1,),)=0,#N/A,VLOOKUP(Table7[[#This Row],[Date]],Database!$A:$C,MATCH($B$1,Database!$A$1:$C$1,),))</f>
        <v/>
      </c>
      <c r="C12709">
        <f>IF(VLOOKUP(Table7[[#This Row],[Date]],Database!$A:$C,MATCH($C$1,Database!$A$1:$C$1,),)=0,#N/A,VLOOKUP(Table7[[#This Row],[Date]],Database!$A:$C,MATCH($C$1,Database!$A$1:$C$1,),))</f>
        <v/>
      </c>
      <c r="D12709">
        <f>IFERROR(Table7[[#This Row],[United States 10y]]-Table7[[#This Row],[United States 3y]],#N/A)</f>
        <v/>
      </c>
    </row>
    <row r="12710">
      <c r="A12710" s="6">
        <f>Database!$A14795</f>
        <v/>
      </c>
      <c r="B12710">
        <f>IF(VLOOKUP(Table7[[#This Row],[Date]],Database!$A:$C,MATCH($B$1,Database!$A$1:$C$1,),)=0,#N/A,VLOOKUP(Table7[[#This Row],[Date]],Database!$A:$C,MATCH($B$1,Database!$A$1:$C$1,),))</f>
        <v/>
      </c>
      <c r="C12710">
        <f>IF(VLOOKUP(Table7[[#This Row],[Date]],Database!$A:$C,MATCH($C$1,Database!$A$1:$C$1,),)=0,#N/A,VLOOKUP(Table7[[#This Row],[Date]],Database!$A:$C,MATCH($C$1,Database!$A$1:$C$1,),))</f>
        <v/>
      </c>
      <c r="D12710">
        <f>IFERROR(Table7[[#This Row],[United States 10y]]-Table7[[#This Row],[United States 3y]],#N/A)</f>
        <v/>
      </c>
    </row>
    <row r="12711">
      <c r="A12711" s="6">
        <f>Database!$A14796</f>
        <v/>
      </c>
      <c r="B12711">
        <f>IF(VLOOKUP(Table7[[#This Row],[Date]],Database!$A:$C,MATCH($B$1,Database!$A$1:$C$1,),)=0,#N/A,VLOOKUP(Table7[[#This Row],[Date]],Database!$A:$C,MATCH($B$1,Database!$A$1:$C$1,),))</f>
        <v/>
      </c>
      <c r="C12711">
        <f>IF(VLOOKUP(Table7[[#This Row],[Date]],Database!$A:$C,MATCH($C$1,Database!$A$1:$C$1,),)=0,#N/A,VLOOKUP(Table7[[#This Row],[Date]],Database!$A:$C,MATCH($C$1,Database!$A$1:$C$1,),))</f>
        <v/>
      </c>
      <c r="D12711">
        <f>IFERROR(Table7[[#This Row],[United States 10y]]-Table7[[#This Row],[United States 3y]],#N/A)</f>
        <v/>
      </c>
    </row>
    <row r="12712">
      <c r="A12712" s="6">
        <f>Database!$A14797</f>
        <v/>
      </c>
      <c r="B12712">
        <f>IF(VLOOKUP(Table7[[#This Row],[Date]],Database!$A:$C,MATCH($B$1,Database!$A$1:$C$1,),)=0,#N/A,VLOOKUP(Table7[[#This Row],[Date]],Database!$A:$C,MATCH($B$1,Database!$A$1:$C$1,),))</f>
        <v/>
      </c>
      <c r="C12712">
        <f>IF(VLOOKUP(Table7[[#This Row],[Date]],Database!$A:$C,MATCH($C$1,Database!$A$1:$C$1,),)=0,#N/A,VLOOKUP(Table7[[#This Row],[Date]],Database!$A:$C,MATCH($C$1,Database!$A$1:$C$1,),))</f>
        <v/>
      </c>
      <c r="D12712">
        <f>IFERROR(Table7[[#This Row],[United States 10y]]-Table7[[#This Row],[United States 3y]],#N/A)</f>
        <v/>
      </c>
    </row>
    <row r="12713">
      <c r="A12713" s="6">
        <f>Database!$A14798</f>
        <v/>
      </c>
      <c r="B12713">
        <f>IF(VLOOKUP(Table7[[#This Row],[Date]],Database!$A:$C,MATCH($B$1,Database!$A$1:$C$1,),)=0,#N/A,VLOOKUP(Table7[[#This Row],[Date]],Database!$A:$C,MATCH($B$1,Database!$A$1:$C$1,),))</f>
        <v/>
      </c>
      <c r="C12713">
        <f>IF(VLOOKUP(Table7[[#This Row],[Date]],Database!$A:$C,MATCH($C$1,Database!$A$1:$C$1,),)=0,#N/A,VLOOKUP(Table7[[#This Row],[Date]],Database!$A:$C,MATCH($C$1,Database!$A$1:$C$1,),))</f>
        <v/>
      </c>
      <c r="D12713">
        <f>IFERROR(Table7[[#This Row],[United States 10y]]-Table7[[#This Row],[United States 3y]],#N/A)</f>
        <v/>
      </c>
    </row>
    <row r="12714">
      <c r="A12714" s="6">
        <f>Database!$A14799</f>
        <v/>
      </c>
      <c r="B12714">
        <f>IF(VLOOKUP(Table7[[#This Row],[Date]],Database!$A:$C,MATCH($B$1,Database!$A$1:$C$1,),)=0,#N/A,VLOOKUP(Table7[[#This Row],[Date]],Database!$A:$C,MATCH($B$1,Database!$A$1:$C$1,),))</f>
        <v/>
      </c>
      <c r="C12714">
        <f>IF(VLOOKUP(Table7[[#This Row],[Date]],Database!$A:$C,MATCH($C$1,Database!$A$1:$C$1,),)=0,#N/A,VLOOKUP(Table7[[#This Row],[Date]],Database!$A:$C,MATCH($C$1,Database!$A$1:$C$1,),))</f>
        <v/>
      </c>
      <c r="D12714">
        <f>IFERROR(Table7[[#This Row],[United States 10y]]-Table7[[#This Row],[United States 3y]],#N/A)</f>
        <v/>
      </c>
    </row>
    <row r="12715">
      <c r="A12715" s="6">
        <f>Database!$A14800</f>
        <v/>
      </c>
      <c r="B12715">
        <f>IF(VLOOKUP(Table7[[#This Row],[Date]],Database!$A:$C,MATCH($B$1,Database!$A$1:$C$1,),)=0,#N/A,VLOOKUP(Table7[[#This Row],[Date]],Database!$A:$C,MATCH($B$1,Database!$A$1:$C$1,),))</f>
        <v/>
      </c>
      <c r="C12715">
        <f>IF(VLOOKUP(Table7[[#This Row],[Date]],Database!$A:$C,MATCH($C$1,Database!$A$1:$C$1,),)=0,#N/A,VLOOKUP(Table7[[#This Row],[Date]],Database!$A:$C,MATCH($C$1,Database!$A$1:$C$1,),))</f>
        <v/>
      </c>
      <c r="D12715">
        <f>IFERROR(Table7[[#This Row],[United States 10y]]-Table7[[#This Row],[United States 3y]],#N/A)</f>
        <v/>
      </c>
    </row>
    <row r="12716">
      <c r="A12716" s="6">
        <f>Database!$A14801</f>
        <v/>
      </c>
      <c r="B12716">
        <f>IF(VLOOKUP(Table7[[#This Row],[Date]],Database!$A:$C,MATCH($B$1,Database!$A$1:$C$1,),)=0,#N/A,VLOOKUP(Table7[[#This Row],[Date]],Database!$A:$C,MATCH($B$1,Database!$A$1:$C$1,),))</f>
        <v/>
      </c>
      <c r="C12716">
        <f>IF(VLOOKUP(Table7[[#This Row],[Date]],Database!$A:$C,MATCH($C$1,Database!$A$1:$C$1,),)=0,#N/A,VLOOKUP(Table7[[#This Row],[Date]],Database!$A:$C,MATCH($C$1,Database!$A$1:$C$1,),))</f>
        <v/>
      </c>
      <c r="D12716">
        <f>IFERROR(Table7[[#This Row],[United States 10y]]-Table7[[#This Row],[United States 3y]],#N/A)</f>
        <v/>
      </c>
    </row>
    <row r="12717">
      <c r="A12717" s="6">
        <f>Database!$A14802</f>
        <v/>
      </c>
      <c r="B12717">
        <f>IF(VLOOKUP(Table7[[#This Row],[Date]],Database!$A:$C,MATCH($B$1,Database!$A$1:$C$1,),)=0,#N/A,VLOOKUP(Table7[[#This Row],[Date]],Database!$A:$C,MATCH($B$1,Database!$A$1:$C$1,),))</f>
        <v/>
      </c>
      <c r="C12717">
        <f>IF(VLOOKUP(Table7[[#This Row],[Date]],Database!$A:$C,MATCH($C$1,Database!$A$1:$C$1,),)=0,#N/A,VLOOKUP(Table7[[#This Row],[Date]],Database!$A:$C,MATCH($C$1,Database!$A$1:$C$1,),))</f>
        <v/>
      </c>
      <c r="D12717">
        <f>IFERROR(Table7[[#This Row],[United States 10y]]-Table7[[#This Row],[United States 3y]],#N/A)</f>
        <v/>
      </c>
    </row>
    <row r="12718">
      <c r="A12718" s="6">
        <f>Database!$A14803</f>
        <v/>
      </c>
      <c r="B12718">
        <f>IF(VLOOKUP(Table7[[#This Row],[Date]],Database!$A:$C,MATCH($B$1,Database!$A$1:$C$1,),)=0,#N/A,VLOOKUP(Table7[[#This Row],[Date]],Database!$A:$C,MATCH($B$1,Database!$A$1:$C$1,),))</f>
        <v/>
      </c>
      <c r="C12718">
        <f>IF(VLOOKUP(Table7[[#This Row],[Date]],Database!$A:$C,MATCH($C$1,Database!$A$1:$C$1,),)=0,#N/A,VLOOKUP(Table7[[#This Row],[Date]],Database!$A:$C,MATCH($C$1,Database!$A$1:$C$1,),))</f>
        <v/>
      </c>
      <c r="D12718">
        <f>IFERROR(Table7[[#This Row],[United States 10y]]-Table7[[#This Row],[United States 3y]],#N/A)</f>
        <v/>
      </c>
    </row>
    <row r="12719">
      <c r="A12719" s="6">
        <f>Database!$A14804</f>
        <v/>
      </c>
      <c r="B12719">
        <f>IF(VLOOKUP(Table7[[#This Row],[Date]],Database!$A:$C,MATCH($B$1,Database!$A$1:$C$1,),)=0,#N/A,VLOOKUP(Table7[[#This Row],[Date]],Database!$A:$C,MATCH($B$1,Database!$A$1:$C$1,),))</f>
        <v/>
      </c>
      <c r="C12719">
        <f>IF(VLOOKUP(Table7[[#This Row],[Date]],Database!$A:$C,MATCH($C$1,Database!$A$1:$C$1,),)=0,#N/A,VLOOKUP(Table7[[#This Row],[Date]],Database!$A:$C,MATCH($C$1,Database!$A$1:$C$1,),))</f>
        <v/>
      </c>
      <c r="D12719">
        <f>IFERROR(Table7[[#This Row],[United States 10y]]-Table7[[#This Row],[United States 3y]],#N/A)</f>
        <v/>
      </c>
    </row>
    <row r="12720">
      <c r="A12720" s="6">
        <f>Database!$A14805</f>
        <v/>
      </c>
      <c r="B12720">
        <f>IF(VLOOKUP(Table7[[#This Row],[Date]],Database!$A:$C,MATCH($B$1,Database!$A$1:$C$1,),)=0,#N/A,VLOOKUP(Table7[[#This Row],[Date]],Database!$A:$C,MATCH($B$1,Database!$A$1:$C$1,),))</f>
        <v/>
      </c>
      <c r="C12720">
        <f>IF(VLOOKUP(Table7[[#This Row],[Date]],Database!$A:$C,MATCH($C$1,Database!$A$1:$C$1,),)=0,#N/A,VLOOKUP(Table7[[#This Row],[Date]],Database!$A:$C,MATCH($C$1,Database!$A$1:$C$1,),))</f>
        <v/>
      </c>
      <c r="D12720">
        <f>IFERROR(Table7[[#This Row],[United States 10y]]-Table7[[#This Row],[United States 3y]],#N/A)</f>
        <v/>
      </c>
    </row>
    <row r="12721">
      <c r="A12721" s="6">
        <f>Database!$A14806</f>
        <v/>
      </c>
      <c r="B12721">
        <f>IF(VLOOKUP(Table7[[#This Row],[Date]],Database!$A:$C,MATCH($B$1,Database!$A$1:$C$1,),)=0,#N/A,VLOOKUP(Table7[[#This Row],[Date]],Database!$A:$C,MATCH($B$1,Database!$A$1:$C$1,),))</f>
        <v/>
      </c>
      <c r="C12721">
        <f>IF(VLOOKUP(Table7[[#This Row],[Date]],Database!$A:$C,MATCH($C$1,Database!$A$1:$C$1,),)=0,#N/A,VLOOKUP(Table7[[#This Row],[Date]],Database!$A:$C,MATCH($C$1,Database!$A$1:$C$1,),))</f>
        <v/>
      </c>
      <c r="D12721">
        <f>IFERROR(Table7[[#This Row],[United States 10y]]-Table7[[#This Row],[United States 3y]],#N/A)</f>
        <v/>
      </c>
    </row>
    <row r="12722">
      <c r="A12722" s="6">
        <f>Database!$A14807</f>
        <v/>
      </c>
      <c r="B12722">
        <f>IF(VLOOKUP(Table7[[#This Row],[Date]],Database!$A:$C,MATCH($B$1,Database!$A$1:$C$1,),)=0,#N/A,VLOOKUP(Table7[[#This Row],[Date]],Database!$A:$C,MATCH($B$1,Database!$A$1:$C$1,),))</f>
        <v/>
      </c>
      <c r="C12722">
        <f>IF(VLOOKUP(Table7[[#This Row],[Date]],Database!$A:$C,MATCH($C$1,Database!$A$1:$C$1,),)=0,#N/A,VLOOKUP(Table7[[#This Row],[Date]],Database!$A:$C,MATCH($C$1,Database!$A$1:$C$1,),))</f>
        <v/>
      </c>
      <c r="D12722">
        <f>IFERROR(Table7[[#This Row],[United States 10y]]-Table7[[#This Row],[United States 3y]],#N/A)</f>
        <v/>
      </c>
    </row>
    <row r="12723">
      <c r="A12723" s="6">
        <f>Database!$A14808</f>
        <v/>
      </c>
      <c r="B12723">
        <f>IF(VLOOKUP(Table7[[#This Row],[Date]],Database!$A:$C,MATCH($B$1,Database!$A$1:$C$1,),)=0,#N/A,VLOOKUP(Table7[[#This Row],[Date]],Database!$A:$C,MATCH($B$1,Database!$A$1:$C$1,),))</f>
        <v/>
      </c>
      <c r="C12723">
        <f>IF(VLOOKUP(Table7[[#This Row],[Date]],Database!$A:$C,MATCH($C$1,Database!$A$1:$C$1,),)=0,#N/A,VLOOKUP(Table7[[#This Row],[Date]],Database!$A:$C,MATCH($C$1,Database!$A$1:$C$1,),))</f>
        <v/>
      </c>
      <c r="D12723">
        <f>IFERROR(Table7[[#This Row],[United States 10y]]-Table7[[#This Row],[United States 3y]],#N/A)</f>
        <v/>
      </c>
    </row>
    <row r="12724">
      <c r="A12724" s="6">
        <f>Database!$A14809</f>
        <v/>
      </c>
      <c r="B12724">
        <f>IF(VLOOKUP(Table7[[#This Row],[Date]],Database!$A:$C,MATCH($B$1,Database!$A$1:$C$1,),)=0,#N/A,VLOOKUP(Table7[[#This Row],[Date]],Database!$A:$C,MATCH($B$1,Database!$A$1:$C$1,),))</f>
        <v/>
      </c>
      <c r="C12724">
        <f>IF(VLOOKUP(Table7[[#This Row],[Date]],Database!$A:$C,MATCH($C$1,Database!$A$1:$C$1,),)=0,#N/A,VLOOKUP(Table7[[#This Row],[Date]],Database!$A:$C,MATCH($C$1,Database!$A$1:$C$1,),))</f>
        <v/>
      </c>
      <c r="D12724">
        <f>IFERROR(Table7[[#This Row],[United States 10y]]-Table7[[#This Row],[United States 3y]],#N/A)</f>
        <v/>
      </c>
    </row>
    <row r="12725">
      <c r="A12725" s="6">
        <f>Database!$A14810</f>
        <v/>
      </c>
      <c r="B12725">
        <f>IF(VLOOKUP(Table7[[#This Row],[Date]],Database!$A:$C,MATCH($B$1,Database!$A$1:$C$1,),)=0,#N/A,VLOOKUP(Table7[[#This Row],[Date]],Database!$A:$C,MATCH($B$1,Database!$A$1:$C$1,),))</f>
        <v/>
      </c>
      <c r="C12725">
        <f>IF(VLOOKUP(Table7[[#This Row],[Date]],Database!$A:$C,MATCH($C$1,Database!$A$1:$C$1,),)=0,#N/A,VLOOKUP(Table7[[#This Row],[Date]],Database!$A:$C,MATCH($C$1,Database!$A$1:$C$1,),))</f>
        <v/>
      </c>
      <c r="D12725">
        <f>IFERROR(Table7[[#This Row],[United States 10y]]-Table7[[#This Row],[United States 3y]],#N/A)</f>
        <v/>
      </c>
    </row>
    <row r="12726">
      <c r="A12726" s="6">
        <f>Database!$A14811</f>
        <v/>
      </c>
      <c r="B12726">
        <f>IF(VLOOKUP(Table7[[#This Row],[Date]],Database!$A:$C,MATCH($B$1,Database!$A$1:$C$1,),)=0,#N/A,VLOOKUP(Table7[[#This Row],[Date]],Database!$A:$C,MATCH($B$1,Database!$A$1:$C$1,),))</f>
        <v/>
      </c>
      <c r="C12726">
        <f>IF(VLOOKUP(Table7[[#This Row],[Date]],Database!$A:$C,MATCH($C$1,Database!$A$1:$C$1,),)=0,#N/A,VLOOKUP(Table7[[#This Row],[Date]],Database!$A:$C,MATCH($C$1,Database!$A$1:$C$1,),))</f>
        <v/>
      </c>
      <c r="D12726">
        <f>IFERROR(Table7[[#This Row],[United States 10y]]-Table7[[#This Row],[United States 3y]],#N/A)</f>
        <v/>
      </c>
    </row>
    <row r="12727">
      <c r="A12727" s="6">
        <f>Database!$A14812</f>
        <v/>
      </c>
      <c r="B12727">
        <f>IF(VLOOKUP(Table7[[#This Row],[Date]],Database!$A:$C,MATCH($B$1,Database!$A$1:$C$1,),)=0,#N/A,VLOOKUP(Table7[[#This Row],[Date]],Database!$A:$C,MATCH($B$1,Database!$A$1:$C$1,),))</f>
        <v/>
      </c>
      <c r="C12727">
        <f>IF(VLOOKUP(Table7[[#This Row],[Date]],Database!$A:$C,MATCH($C$1,Database!$A$1:$C$1,),)=0,#N/A,VLOOKUP(Table7[[#This Row],[Date]],Database!$A:$C,MATCH($C$1,Database!$A$1:$C$1,),))</f>
        <v/>
      </c>
      <c r="D12727">
        <f>IFERROR(Table7[[#This Row],[United States 10y]]-Table7[[#This Row],[United States 3y]],#N/A)</f>
        <v/>
      </c>
    </row>
    <row r="12728">
      <c r="A12728" s="6">
        <f>Database!$A14813</f>
        <v/>
      </c>
      <c r="B12728">
        <f>IF(VLOOKUP(Table7[[#This Row],[Date]],Database!$A:$C,MATCH($B$1,Database!$A$1:$C$1,),)=0,#N/A,VLOOKUP(Table7[[#This Row],[Date]],Database!$A:$C,MATCH($B$1,Database!$A$1:$C$1,),))</f>
        <v/>
      </c>
      <c r="C12728">
        <f>IF(VLOOKUP(Table7[[#This Row],[Date]],Database!$A:$C,MATCH($C$1,Database!$A$1:$C$1,),)=0,#N/A,VLOOKUP(Table7[[#This Row],[Date]],Database!$A:$C,MATCH($C$1,Database!$A$1:$C$1,),))</f>
        <v/>
      </c>
      <c r="D12728">
        <f>IFERROR(Table7[[#This Row],[United States 10y]]-Table7[[#This Row],[United States 3y]],#N/A)</f>
        <v/>
      </c>
    </row>
    <row r="12729">
      <c r="A12729" s="6">
        <f>Database!$A14814</f>
        <v/>
      </c>
      <c r="B12729">
        <f>IF(VLOOKUP(Table7[[#This Row],[Date]],Database!$A:$C,MATCH($B$1,Database!$A$1:$C$1,),)=0,#N/A,VLOOKUP(Table7[[#This Row],[Date]],Database!$A:$C,MATCH($B$1,Database!$A$1:$C$1,),))</f>
        <v/>
      </c>
      <c r="C12729">
        <f>IF(VLOOKUP(Table7[[#This Row],[Date]],Database!$A:$C,MATCH($C$1,Database!$A$1:$C$1,),)=0,#N/A,VLOOKUP(Table7[[#This Row],[Date]],Database!$A:$C,MATCH($C$1,Database!$A$1:$C$1,),))</f>
        <v/>
      </c>
      <c r="D12729">
        <f>IFERROR(Table7[[#This Row],[United States 10y]]-Table7[[#This Row],[United States 3y]],#N/A)</f>
        <v/>
      </c>
    </row>
    <row r="12730">
      <c r="A12730" s="6">
        <f>Database!$A14815</f>
        <v/>
      </c>
      <c r="B12730">
        <f>IF(VLOOKUP(Table7[[#This Row],[Date]],Database!$A:$C,MATCH($B$1,Database!$A$1:$C$1,),)=0,#N/A,VLOOKUP(Table7[[#This Row],[Date]],Database!$A:$C,MATCH($B$1,Database!$A$1:$C$1,),))</f>
        <v/>
      </c>
      <c r="C12730">
        <f>IF(VLOOKUP(Table7[[#This Row],[Date]],Database!$A:$C,MATCH($C$1,Database!$A$1:$C$1,),)=0,#N/A,VLOOKUP(Table7[[#This Row],[Date]],Database!$A:$C,MATCH($C$1,Database!$A$1:$C$1,),))</f>
        <v/>
      </c>
      <c r="D12730">
        <f>IFERROR(Table7[[#This Row],[United States 10y]]-Table7[[#This Row],[United States 3y]],#N/A)</f>
        <v/>
      </c>
    </row>
    <row r="12731">
      <c r="A12731" s="6">
        <f>Database!$A14816</f>
        <v/>
      </c>
      <c r="B12731">
        <f>IF(VLOOKUP(Table7[[#This Row],[Date]],Database!$A:$C,MATCH($B$1,Database!$A$1:$C$1,),)=0,#N/A,VLOOKUP(Table7[[#This Row],[Date]],Database!$A:$C,MATCH($B$1,Database!$A$1:$C$1,),))</f>
        <v/>
      </c>
      <c r="C12731">
        <f>IF(VLOOKUP(Table7[[#This Row],[Date]],Database!$A:$C,MATCH($C$1,Database!$A$1:$C$1,),)=0,#N/A,VLOOKUP(Table7[[#This Row],[Date]],Database!$A:$C,MATCH($C$1,Database!$A$1:$C$1,),))</f>
        <v/>
      </c>
      <c r="D12731">
        <f>IFERROR(Table7[[#This Row],[United States 10y]]-Table7[[#This Row],[United States 3y]],#N/A)</f>
        <v/>
      </c>
    </row>
    <row r="12732">
      <c r="A12732" s="6">
        <f>Database!$A14817</f>
        <v/>
      </c>
      <c r="B12732">
        <f>IF(VLOOKUP(Table7[[#This Row],[Date]],Database!$A:$C,MATCH($B$1,Database!$A$1:$C$1,),)=0,#N/A,VLOOKUP(Table7[[#This Row],[Date]],Database!$A:$C,MATCH($B$1,Database!$A$1:$C$1,),))</f>
        <v/>
      </c>
      <c r="C12732">
        <f>IF(VLOOKUP(Table7[[#This Row],[Date]],Database!$A:$C,MATCH($C$1,Database!$A$1:$C$1,),)=0,#N/A,VLOOKUP(Table7[[#This Row],[Date]],Database!$A:$C,MATCH($C$1,Database!$A$1:$C$1,),))</f>
        <v/>
      </c>
      <c r="D12732">
        <f>IFERROR(Table7[[#This Row],[United States 10y]]-Table7[[#This Row],[United States 3y]],#N/A)</f>
        <v/>
      </c>
    </row>
    <row r="12733">
      <c r="A12733" s="6">
        <f>Database!$A14818</f>
        <v/>
      </c>
      <c r="B12733">
        <f>IF(VLOOKUP(Table7[[#This Row],[Date]],Database!$A:$C,MATCH($B$1,Database!$A$1:$C$1,),)=0,#N/A,VLOOKUP(Table7[[#This Row],[Date]],Database!$A:$C,MATCH($B$1,Database!$A$1:$C$1,),))</f>
        <v/>
      </c>
      <c r="C12733">
        <f>IF(VLOOKUP(Table7[[#This Row],[Date]],Database!$A:$C,MATCH($C$1,Database!$A$1:$C$1,),)=0,#N/A,VLOOKUP(Table7[[#This Row],[Date]],Database!$A:$C,MATCH($C$1,Database!$A$1:$C$1,),))</f>
        <v/>
      </c>
      <c r="D12733">
        <f>IFERROR(Table7[[#This Row],[United States 10y]]-Table7[[#This Row],[United States 3y]],#N/A)</f>
        <v/>
      </c>
    </row>
    <row r="12734">
      <c r="A12734" s="6">
        <f>Database!$A14819</f>
        <v/>
      </c>
      <c r="B12734">
        <f>IF(VLOOKUP(Table7[[#This Row],[Date]],Database!$A:$C,MATCH($B$1,Database!$A$1:$C$1,),)=0,#N/A,VLOOKUP(Table7[[#This Row],[Date]],Database!$A:$C,MATCH($B$1,Database!$A$1:$C$1,),))</f>
        <v/>
      </c>
      <c r="C12734">
        <f>IF(VLOOKUP(Table7[[#This Row],[Date]],Database!$A:$C,MATCH($C$1,Database!$A$1:$C$1,),)=0,#N/A,VLOOKUP(Table7[[#This Row],[Date]],Database!$A:$C,MATCH($C$1,Database!$A$1:$C$1,),))</f>
        <v/>
      </c>
      <c r="D12734">
        <f>IFERROR(Table7[[#This Row],[United States 10y]]-Table7[[#This Row],[United States 3y]],#N/A)</f>
        <v/>
      </c>
    </row>
    <row r="12735">
      <c r="A12735" s="6">
        <f>Database!$A14820</f>
        <v/>
      </c>
      <c r="B12735">
        <f>IF(VLOOKUP(Table7[[#This Row],[Date]],Database!$A:$C,MATCH($B$1,Database!$A$1:$C$1,),)=0,#N/A,VLOOKUP(Table7[[#This Row],[Date]],Database!$A:$C,MATCH($B$1,Database!$A$1:$C$1,),))</f>
        <v/>
      </c>
      <c r="C12735">
        <f>IF(VLOOKUP(Table7[[#This Row],[Date]],Database!$A:$C,MATCH($C$1,Database!$A$1:$C$1,),)=0,#N/A,VLOOKUP(Table7[[#This Row],[Date]],Database!$A:$C,MATCH($C$1,Database!$A$1:$C$1,),))</f>
        <v/>
      </c>
      <c r="D12735">
        <f>IFERROR(Table7[[#This Row],[United States 10y]]-Table7[[#This Row],[United States 3y]],#N/A)</f>
        <v/>
      </c>
    </row>
    <row r="12736">
      <c r="A12736" s="6">
        <f>Database!$A14821</f>
        <v/>
      </c>
      <c r="B12736">
        <f>IF(VLOOKUP(Table7[[#This Row],[Date]],Database!$A:$C,MATCH($B$1,Database!$A$1:$C$1,),)=0,#N/A,VLOOKUP(Table7[[#This Row],[Date]],Database!$A:$C,MATCH($B$1,Database!$A$1:$C$1,),))</f>
        <v/>
      </c>
      <c r="C12736">
        <f>IF(VLOOKUP(Table7[[#This Row],[Date]],Database!$A:$C,MATCH($C$1,Database!$A$1:$C$1,),)=0,#N/A,VLOOKUP(Table7[[#This Row],[Date]],Database!$A:$C,MATCH($C$1,Database!$A$1:$C$1,),))</f>
        <v/>
      </c>
      <c r="D12736">
        <f>IFERROR(Table7[[#This Row],[United States 10y]]-Table7[[#This Row],[United States 3y]],#N/A)</f>
        <v/>
      </c>
    </row>
    <row r="12737">
      <c r="A12737" s="6">
        <f>Database!$A14822</f>
        <v/>
      </c>
      <c r="B12737">
        <f>IF(VLOOKUP(Table7[[#This Row],[Date]],Database!$A:$C,MATCH($B$1,Database!$A$1:$C$1,),)=0,#N/A,VLOOKUP(Table7[[#This Row],[Date]],Database!$A:$C,MATCH($B$1,Database!$A$1:$C$1,),))</f>
        <v/>
      </c>
      <c r="C12737">
        <f>IF(VLOOKUP(Table7[[#This Row],[Date]],Database!$A:$C,MATCH($C$1,Database!$A$1:$C$1,),)=0,#N/A,VLOOKUP(Table7[[#This Row],[Date]],Database!$A:$C,MATCH($C$1,Database!$A$1:$C$1,),))</f>
        <v/>
      </c>
      <c r="D12737">
        <f>IFERROR(Table7[[#This Row],[United States 10y]]-Table7[[#This Row],[United States 3y]],#N/A)</f>
        <v/>
      </c>
    </row>
    <row r="12738">
      <c r="A12738" s="6">
        <f>Database!$A14823</f>
        <v/>
      </c>
      <c r="B12738">
        <f>IF(VLOOKUP(Table7[[#This Row],[Date]],Database!$A:$C,MATCH($B$1,Database!$A$1:$C$1,),)=0,#N/A,VLOOKUP(Table7[[#This Row],[Date]],Database!$A:$C,MATCH($B$1,Database!$A$1:$C$1,),))</f>
        <v/>
      </c>
      <c r="C12738">
        <f>IF(VLOOKUP(Table7[[#This Row],[Date]],Database!$A:$C,MATCH($C$1,Database!$A$1:$C$1,),)=0,#N/A,VLOOKUP(Table7[[#This Row],[Date]],Database!$A:$C,MATCH($C$1,Database!$A$1:$C$1,),))</f>
        <v/>
      </c>
      <c r="D12738">
        <f>IFERROR(Table7[[#This Row],[United States 10y]]-Table7[[#This Row],[United States 3y]],#N/A)</f>
        <v/>
      </c>
    </row>
    <row r="12739">
      <c r="A12739" s="6">
        <f>Database!$A14824</f>
        <v/>
      </c>
      <c r="B12739">
        <f>IF(VLOOKUP(Table7[[#This Row],[Date]],Database!$A:$C,MATCH($B$1,Database!$A$1:$C$1,),)=0,#N/A,VLOOKUP(Table7[[#This Row],[Date]],Database!$A:$C,MATCH($B$1,Database!$A$1:$C$1,),))</f>
        <v/>
      </c>
      <c r="C12739">
        <f>IF(VLOOKUP(Table7[[#This Row],[Date]],Database!$A:$C,MATCH($C$1,Database!$A$1:$C$1,),)=0,#N/A,VLOOKUP(Table7[[#This Row],[Date]],Database!$A:$C,MATCH($C$1,Database!$A$1:$C$1,),))</f>
        <v/>
      </c>
      <c r="D12739">
        <f>IFERROR(Table7[[#This Row],[United States 10y]]-Table7[[#This Row],[United States 3y]],#N/A)</f>
        <v/>
      </c>
    </row>
    <row r="12740">
      <c r="A12740" s="6">
        <f>Database!$A14825</f>
        <v/>
      </c>
      <c r="B12740">
        <f>IF(VLOOKUP(Table7[[#This Row],[Date]],Database!$A:$C,MATCH($B$1,Database!$A$1:$C$1,),)=0,#N/A,VLOOKUP(Table7[[#This Row],[Date]],Database!$A:$C,MATCH($B$1,Database!$A$1:$C$1,),))</f>
        <v/>
      </c>
      <c r="C12740">
        <f>IF(VLOOKUP(Table7[[#This Row],[Date]],Database!$A:$C,MATCH($C$1,Database!$A$1:$C$1,),)=0,#N/A,VLOOKUP(Table7[[#This Row],[Date]],Database!$A:$C,MATCH($C$1,Database!$A$1:$C$1,),))</f>
        <v/>
      </c>
      <c r="D12740">
        <f>IFERROR(Table7[[#This Row],[United States 10y]]-Table7[[#This Row],[United States 3y]],#N/A)</f>
        <v/>
      </c>
    </row>
    <row r="12741">
      <c r="A12741" s="6">
        <f>Database!$A14826</f>
        <v/>
      </c>
      <c r="B12741">
        <f>IF(VLOOKUP(Table7[[#This Row],[Date]],Database!$A:$C,MATCH($B$1,Database!$A$1:$C$1,),)=0,#N/A,VLOOKUP(Table7[[#This Row],[Date]],Database!$A:$C,MATCH($B$1,Database!$A$1:$C$1,),))</f>
        <v/>
      </c>
      <c r="C12741">
        <f>IF(VLOOKUP(Table7[[#This Row],[Date]],Database!$A:$C,MATCH($C$1,Database!$A$1:$C$1,),)=0,#N/A,VLOOKUP(Table7[[#This Row],[Date]],Database!$A:$C,MATCH($C$1,Database!$A$1:$C$1,),))</f>
        <v/>
      </c>
      <c r="D12741">
        <f>IFERROR(Table7[[#This Row],[United States 10y]]-Table7[[#This Row],[United States 3y]],#N/A)</f>
        <v/>
      </c>
    </row>
    <row r="12742">
      <c r="A12742" s="6">
        <f>Database!$A14827</f>
        <v/>
      </c>
      <c r="B12742">
        <f>IF(VLOOKUP(Table7[[#This Row],[Date]],Database!$A:$C,MATCH($B$1,Database!$A$1:$C$1,),)=0,#N/A,VLOOKUP(Table7[[#This Row],[Date]],Database!$A:$C,MATCH($B$1,Database!$A$1:$C$1,),))</f>
        <v/>
      </c>
      <c r="C12742">
        <f>IF(VLOOKUP(Table7[[#This Row],[Date]],Database!$A:$C,MATCH($C$1,Database!$A$1:$C$1,),)=0,#N/A,VLOOKUP(Table7[[#This Row],[Date]],Database!$A:$C,MATCH($C$1,Database!$A$1:$C$1,),))</f>
        <v/>
      </c>
      <c r="D12742">
        <f>IFERROR(Table7[[#This Row],[United States 10y]]-Table7[[#This Row],[United States 3y]],#N/A)</f>
        <v/>
      </c>
    </row>
    <row r="12743">
      <c r="A12743" s="6">
        <f>Database!$A14828</f>
        <v/>
      </c>
      <c r="B12743">
        <f>IF(VLOOKUP(Table7[[#This Row],[Date]],Database!$A:$C,MATCH($B$1,Database!$A$1:$C$1,),)=0,#N/A,VLOOKUP(Table7[[#This Row],[Date]],Database!$A:$C,MATCH($B$1,Database!$A$1:$C$1,),))</f>
        <v/>
      </c>
      <c r="C12743">
        <f>IF(VLOOKUP(Table7[[#This Row],[Date]],Database!$A:$C,MATCH($C$1,Database!$A$1:$C$1,),)=0,#N/A,VLOOKUP(Table7[[#This Row],[Date]],Database!$A:$C,MATCH($C$1,Database!$A$1:$C$1,),))</f>
        <v/>
      </c>
      <c r="D12743">
        <f>IFERROR(Table7[[#This Row],[United States 10y]]-Table7[[#This Row],[United States 3y]],#N/A)</f>
        <v/>
      </c>
    </row>
    <row r="12744">
      <c r="A12744" s="6">
        <f>Database!$A14829</f>
        <v/>
      </c>
      <c r="B12744">
        <f>IF(VLOOKUP(Table7[[#This Row],[Date]],Database!$A:$C,MATCH($B$1,Database!$A$1:$C$1,),)=0,#N/A,VLOOKUP(Table7[[#This Row],[Date]],Database!$A:$C,MATCH($B$1,Database!$A$1:$C$1,),))</f>
        <v/>
      </c>
      <c r="C12744">
        <f>IF(VLOOKUP(Table7[[#This Row],[Date]],Database!$A:$C,MATCH($C$1,Database!$A$1:$C$1,),)=0,#N/A,VLOOKUP(Table7[[#This Row],[Date]],Database!$A:$C,MATCH($C$1,Database!$A$1:$C$1,),))</f>
        <v/>
      </c>
      <c r="D12744">
        <f>IFERROR(Table7[[#This Row],[United States 10y]]-Table7[[#This Row],[United States 3y]],#N/A)</f>
        <v/>
      </c>
    </row>
    <row r="12745">
      <c r="A12745" s="6">
        <f>Database!$A14830</f>
        <v/>
      </c>
      <c r="B12745">
        <f>IF(VLOOKUP(Table7[[#This Row],[Date]],Database!$A:$C,MATCH($B$1,Database!$A$1:$C$1,),)=0,#N/A,VLOOKUP(Table7[[#This Row],[Date]],Database!$A:$C,MATCH($B$1,Database!$A$1:$C$1,),))</f>
        <v/>
      </c>
      <c r="C12745">
        <f>IF(VLOOKUP(Table7[[#This Row],[Date]],Database!$A:$C,MATCH($C$1,Database!$A$1:$C$1,),)=0,#N/A,VLOOKUP(Table7[[#This Row],[Date]],Database!$A:$C,MATCH($C$1,Database!$A$1:$C$1,),))</f>
        <v/>
      </c>
      <c r="D12745">
        <f>IFERROR(Table7[[#This Row],[United States 10y]]-Table7[[#This Row],[United States 3y]],#N/A)</f>
        <v/>
      </c>
    </row>
    <row r="12746">
      <c r="A12746" s="6">
        <f>Database!$A14831</f>
        <v/>
      </c>
      <c r="B12746">
        <f>IF(VLOOKUP(Table7[[#This Row],[Date]],Database!$A:$C,MATCH($B$1,Database!$A$1:$C$1,),)=0,#N/A,VLOOKUP(Table7[[#This Row],[Date]],Database!$A:$C,MATCH($B$1,Database!$A$1:$C$1,),))</f>
        <v/>
      </c>
      <c r="C12746">
        <f>IF(VLOOKUP(Table7[[#This Row],[Date]],Database!$A:$C,MATCH($C$1,Database!$A$1:$C$1,),)=0,#N/A,VLOOKUP(Table7[[#This Row],[Date]],Database!$A:$C,MATCH($C$1,Database!$A$1:$C$1,),))</f>
        <v/>
      </c>
      <c r="D12746">
        <f>IFERROR(Table7[[#This Row],[United States 10y]]-Table7[[#This Row],[United States 3y]],#N/A)</f>
        <v/>
      </c>
    </row>
    <row r="12747">
      <c r="A12747" s="6">
        <f>Database!$A14832</f>
        <v/>
      </c>
      <c r="B12747">
        <f>IF(VLOOKUP(Table7[[#This Row],[Date]],Database!$A:$C,MATCH($B$1,Database!$A$1:$C$1,),)=0,#N/A,VLOOKUP(Table7[[#This Row],[Date]],Database!$A:$C,MATCH($B$1,Database!$A$1:$C$1,),))</f>
        <v/>
      </c>
      <c r="C12747">
        <f>IF(VLOOKUP(Table7[[#This Row],[Date]],Database!$A:$C,MATCH($C$1,Database!$A$1:$C$1,),)=0,#N/A,VLOOKUP(Table7[[#This Row],[Date]],Database!$A:$C,MATCH($C$1,Database!$A$1:$C$1,),))</f>
        <v/>
      </c>
      <c r="D12747">
        <f>IFERROR(Table7[[#This Row],[United States 10y]]-Table7[[#This Row],[United States 3y]],#N/A)</f>
        <v/>
      </c>
    </row>
    <row r="12748">
      <c r="A12748" s="6">
        <f>Database!$A14833</f>
        <v/>
      </c>
      <c r="B12748">
        <f>IF(VLOOKUP(Table7[[#This Row],[Date]],Database!$A:$C,MATCH($B$1,Database!$A$1:$C$1,),)=0,#N/A,VLOOKUP(Table7[[#This Row],[Date]],Database!$A:$C,MATCH($B$1,Database!$A$1:$C$1,),))</f>
        <v/>
      </c>
      <c r="C12748">
        <f>IF(VLOOKUP(Table7[[#This Row],[Date]],Database!$A:$C,MATCH($C$1,Database!$A$1:$C$1,),)=0,#N/A,VLOOKUP(Table7[[#This Row],[Date]],Database!$A:$C,MATCH($C$1,Database!$A$1:$C$1,),))</f>
        <v/>
      </c>
      <c r="D12748">
        <f>IFERROR(Table7[[#This Row],[United States 10y]]-Table7[[#This Row],[United States 3y]],#N/A)</f>
        <v/>
      </c>
    </row>
    <row r="12749">
      <c r="A12749" s="6">
        <f>Database!$A14834</f>
        <v/>
      </c>
      <c r="B12749">
        <f>IF(VLOOKUP(Table7[[#This Row],[Date]],Database!$A:$C,MATCH($B$1,Database!$A$1:$C$1,),)=0,#N/A,VLOOKUP(Table7[[#This Row],[Date]],Database!$A:$C,MATCH($B$1,Database!$A$1:$C$1,),))</f>
        <v/>
      </c>
      <c r="C12749">
        <f>IF(VLOOKUP(Table7[[#This Row],[Date]],Database!$A:$C,MATCH($C$1,Database!$A$1:$C$1,),)=0,#N/A,VLOOKUP(Table7[[#This Row],[Date]],Database!$A:$C,MATCH($C$1,Database!$A$1:$C$1,),))</f>
        <v/>
      </c>
      <c r="D12749">
        <f>IFERROR(Table7[[#This Row],[United States 10y]]-Table7[[#This Row],[United States 3y]],#N/A)</f>
        <v/>
      </c>
    </row>
    <row r="12750">
      <c r="A12750" s="6">
        <f>Database!$A14835</f>
        <v/>
      </c>
      <c r="B12750">
        <f>IF(VLOOKUP(Table7[[#This Row],[Date]],Database!$A:$C,MATCH($B$1,Database!$A$1:$C$1,),)=0,#N/A,VLOOKUP(Table7[[#This Row],[Date]],Database!$A:$C,MATCH($B$1,Database!$A$1:$C$1,),))</f>
        <v/>
      </c>
      <c r="C12750">
        <f>IF(VLOOKUP(Table7[[#This Row],[Date]],Database!$A:$C,MATCH($C$1,Database!$A$1:$C$1,),)=0,#N/A,VLOOKUP(Table7[[#This Row],[Date]],Database!$A:$C,MATCH($C$1,Database!$A$1:$C$1,),))</f>
        <v/>
      </c>
      <c r="D12750">
        <f>IFERROR(Table7[[#This Row],[United States 10y]]-Table7[[#This Row],[United States 3y]],#N/A)</f>
        <v/>
      </c>
    </row>
    <row r="12751">
      <c r="A12751" s="6">
        <f>Database!$A14836</f>
        <v/>
      </c>
      <c r="B12751">
        <f>IF(VLOOKUP(Table7[[#This Row],[Date]],Database!$A:$C,MATCH($B$1,Database!$A$1:$C$1,),)=0,#N/A,VLOOKUP(Table7[[#This Row],[Date]],Database!$A:$C,MATCH($B$1,Database!$A$1:$C$1,),))</f>
        <v/>
      </c>
      <c r="C12751">
        <f>IF(VLOOKUP(Table7[[#This Row],[Date]],Database!$A:$C,MATCH($C$1,Database!$A$1:$C$1,),)=0,#N/A,VLOOKUP(Table7[[#This Row],[Date]],Database!$A:$C,MATCH($C$1,Database!$A$1:$C$1,),))</f>
        <v/>
      </c>
      <c r="D12751">
        <f>IFERROR(Table7[[#This Row],[United States 10y]]-Table7[[#This Row],[United States 3y]],#N/A)</f>
        <v/>
      </c>
    </row>
    <row r="12752">
      <c r="A12752" s="6">
        <f>Database!$A14837</f>
        <v/>
      </c>
      <c r="B12752">
        <f>IF(VLOOKUP(Table7[[#This Row],[Date]],Database!$A:$C,MATCH($B$1,Database!$A$1:$C$1,),)=0,#N/A,VLOOKUP(Table7[[#This Row],[Date]],Database!$A:$C,MATCH($B$1,Database!$A$1:$C$1,),))</f>
        <v/>
      </c>
      <c r="C12752">
        <f>IF(VLOOKUP(Table7[[#This Row],[Date]],Database!$A:$C,MATCH($C$1,Database!$A$1:$C$1,),)=0,#N/A,VLOOKUP(Table7[[#This Row],[Date]],Database!$A:$C,MATCH($C$1,Database!$A$1:$C$1,),))</f>
        <v/>
      </c>
      <c r="D12752">
        <f>IFERROR(Table7[[#This Row],[United States 10y]]-Table7[[#This Row],[United States 3y]],#N/A)</f>
        <v/>
      </c>
    </row>
    <row r="12753">
      <c r="A12753" s="6">
        <f>Database!$A14838</f>
        <v/>
      </c>
      <c r="B12753">
        <f>IF(VLOOKUP(Table7[[#This Row],[Date]],Database!$A:$C,MATCH($B$1,Database!$A$1:$C$1,),)=0,#N/A,VLOOKUP(Table7[[#This Row],[Date]],Database!$A:$C,MATCH($B$1,Database!$A$1:$C$1,),))</f>
        <v/>
      </c>
      <c r="C12753">
        <f>IF(VLOOKUP(Table7[[#This Row],[Date]],Database!$A:$C,MATCH($C$1,Database!$A$1:$C$1,),)=0,#N/A,VLOOKUP(Table7[[#This Row],[Date]],Database!$A:$C,MATCH($C$1,Database!$A$1:$C$1,),))</f>
        <v/>
      </c>
      <c r="D12753">
        <f>IFERROR(Table7[[#This Row],[United States 10y]]-Table7[[#This Row],[United States 3y]],#N/A)</f>
        <v/>
      </c>
    </row>
    <row r="12754">
      <c r="A12754" s="6">
        <f>Database!$A14839</f>
        <v/>
      </c>
      <c r="B12754">
        <f>IF(VLOOKUP(Table7[[#This Row],[Date]],Database!$A:$C,MATCH($B$1,Database!$A$1:$C$1,),)=0,#N/A,VLOOKUP(Table7[[#This Row],[Date]],Database!$A:$C,MATCH($B$1,Database!$A$1:$C$1,),))</f>
        <v/>
      </c>
      <c r="C12754">
        <f>IF(VLOOKUP(Table7[[#This Row],[Date]],Database!$A:$C,MATCH($C$1,Database!$A$1:$C$1,),)=0,#N/A,VLOOKUP(Table7[[#This Row],[Date]],Database!$A:$C,MATCH($C$1,Database!$A$1:$C$1,),))</f>
        <v/>
      </c>
      <c r="D12754">
        <f>IFERROR(Table7[[#This Row],[United States 10y]]-Table7[[#This Row],[United States 3y]],#N/A)</f>
        <v/>
      </c>
    </row>
    <row r="12755">
      <c r="A12755" s="6">
        <f>Database!$A14840</f>
        <v/>
      </c>
      <c r="B12755">
        <f>IF(VLOOKUP(Table7[[#This Row],[Date]],Database!$A:$C,MATCH($B$1,Database!$A$1:$C$1,),)=0,#N/A,VLOOKUP(Table7[[#This Row],[Date]],Database!$A:$C,MATCH($B$1,Database!$A$1:$C$1,),))</f>
        <v/>
      </c>
      <c r="C12755">
        <f>IF(VLOOKUP(Table7[[#This Row],[Date]],Database!$A:$C,MATCH($C$1,Database!$A$1:$C$1,),)=0,#N/A,VLOOKUP(Table7[[#This Row],[Date]],Database!$A:$C,MATCH($C$1,Database!$A$1:$C$1,),))</f>
        <v/>
      </c>
      <c r="D12755">
        <f>IFERROR(Table7[[#This Row],[United States 10y]]-Table7[[#This Row],[United States 3y]],#N/A)</f>
        <v/>
      </c>
    </row>
    <row r="12756">
      <c r="A12756" s="6">
        <f>Database!$A14841</f>
        <v/>
      </c>
      <c r="B12756">
        <f>IF(VLOOKUP(Table7[[#This Row],[Date]],Database!$A:$C,MATCH($B$1,Database!$A$1:$C$1,),)=0,#N/A,VLOOKUP(Table7[[#This Row],[Date]],Database!$A:$C,MATCH($B$1,Database!$A$1:$C$1,),))</f>
        <v/>
      </c>
      <c r="C12756">
        <f>IF(VLOOKUP(Table7[[#This Row],[Date]],Database!$A:$C,MATCH($C$1,Database!$A$1:$C$1,),)=0,#N/A,VLOOKUP(Table7[[#This Row],[Date]],Database!$A:$C,MATCH($C$1,Database!$A$1:$C$1,),))</f>
        <v/>
      </c>
      <c r="D12756">
        <f>IFERROR(Table7[[#This Row],[United States 10y]]-Table7[[#This Row],[United States 3y]],#N/A)</f>
        <v/>
      </c>
    </row>
    <row r="12757">
      <c r="A12757" s="6">
        <f>Database!$A14842</f>
        <v/>
      </c>
      <c r="B12757">
        <f>IF(VLOOKUP(Table7[[#This Row],[Date]],Database!$A:$C,MATCH($B$1,Database!$A$1:$C$1,),)=0,#N/A,VLOOKUP(Table7[[#This Row],[Date]],Database!$A:$C,MATCH($B$1,Database!$A$1:$C$1,),))</f>
        <v/>
      </c>
      <c r="C12757">
        <f>IF(VLOOKUP(Table7[[#This Row],[Date]],Database!$A:$C,MATCH($C$1,Database!$A$1:$C$1,),)=0,#N/A,VLOOKUP(Table7[[#This Row],[Date]],Database!$A:$C,MATCH($C$1,Database!$A$1:$C$1,),))</f>
        <v/>
      </c>
      <c r="D12757">
        <f>IFERROR(Table7[[#This Row],[United States 10y]]-Table7[[#This Row],[United States 3y]],#N/A)</f>
        <v/>
      </c>
    </row>
    <row r="12758">
      <c r="A12758" s="6">
        <f>Database!$A14843</f>
        <v/>
      </c>
      <c r="B12758">
        <f>IF(VLOOKUP(Table7[[#This Row],[Date]],Database!$A:$C,MATCH($B$1,Database!$A$1:$C$1,),)=0,#N/A,VLOOKUP(Table7[[#This Row],[Date]],Database!$A:$C,MATCH($B$1,Database!$A$1:$C$1,),))</f>
        <v/>
      </c>
      <c r="C12758">
        <f>IF(VLOOKUP(Table7[[#This Row],[Date]],Database!$A:$C,MATCH($C$1,Database!$A$1:$C$1,),)=0,#N/A,VLOOKUP(Table7[[#This Row],[Date]],Database!$A:$C,MATCH($C$1,Database!$A$1:$C$1,),))</f>
        <v/>
      </c>
      <c r="D12758">
        <f>IFERROR(Table7[[#This Row],[United States 10y]]-Table7[[#This Row],[United States 3y]],#N/A)</f>
        <v/>
      </c>
    </row>
    <row r="12759">
      <c r="A12759" s="6">
        <f>Database!$A14844</f>
        <v/>
      </c>
      <c r="B12759">
        <f>IF(VLOOKUP(Table7[[#This Row],[Date]],Database!$A:$C,MATCH($B$1,Database!$A$1:$C$1,),)=0,#N/A,VLOOKUP(Table7[[#This Row],[Date]],Database!$A:$C,MATCH($B$1,Database!$A$1:$C$1,),))</f>
        <v/>
      </c>
      <c r="C12759">
        <f>IF(VLOOKUP(Table7[[#This Row],[Date]],Database!$A:$C,MATCH($C$1,Database!$A$1:$C$1,),)=0,#N/A,VLOOKUP(Table7[[#This Row],[Date]],Database!$A:$C,MATCH($C$1,Database!$A$1:$C$1,),))</f>
        <v/>
      </c>
      <c r="D12759">
        <f>IFERROR(Table7[[#This Row],[United States 10y]]-Table7[[#This Row],[United States 3y]],#N/A)</f>
        <v/>
      </c>
    </row>
    <row r="12760">
      <c r="A12760" s="6">
        <f>Database!$A14845</f>
        <v/>
      </c>
      <c r="B12760">
        <f>IF(VLOOKUP(Table7[[#This Row],[Date]],Database!$A:$C,MATCH($B$1,Database!$A$1:$C$1,),)=0,#N/A,VLOOKUP(Table7[[#This Row],[Date]],Database!$A:$C,MATCH($B$1,Database!$A$1:$C$1,),))</f>
        <v/>
      </c>
      <c r="C12760">
        <f>IF(VLOOKUP(Table7[[#This Row],[Date]],Database!$A:$C,MATCH($C$1,Database!$A$1:$C$1,),)=0,#N/A,VLOOKUP(Table7[[#This Row],[Date]],Database!$A:$C,MATCH($C$1,Database!$A$1:$C$1,),))</f>
        <v/>
      </c>
      <c r="D12760">
        <f>IFERROR(Table7[[#This Row],[United States 10y]]-Table7[[#This Row],[United States 3y]],#N/A)</f>
        <v/>
      </c>
    </row>
    <row r="12761">
      <c r="A12761" s="6">
        <f>Database!$A14846</f>
        <v/>
      </c>
      <c r="B12761">
        <f>IF(VLOOKUP(Table7[[#This Row],[Date]],Database!$A:$C,MATCH($B$1,Database!$A$1:$C$1,),)=0,#N/A,VLOOKUP(Table7[[#This Row],[Date]],Database!$A:$C,MATCH($B$1,Database!$A$1:$C$1,),))</f>
        <v/>
      </c>
      <c r="C12761">
        <f>IF(VLOOKUP(Table7[[#This Row],[Date]],Database!$A:$C,MATCH($C$1,Database!$A$1:$C$1,),)=0,#N/A,VLOOKUP(Table7[[#This Row],[Date]],Database!$A:$C,MATCH($C$1,Database!$A$1:$C$1,),))</f>
        <v/>
      </c>
      <c r="D12761">
        <f>IFERROR(Table7[[#This Row],[United States 10y]]-Table7[[#This Row],[United States 3y]],#N/A)</f>
        <v/>
      </c>
    </row>
    <row r="12762">
      <c r="A12762" s="6">
        <f>Database!$A14847</f>
        <v/>
      </c>
      <c r="B12762">
        <f>IF(VLOOKUP(Table7[[#This Row],[Date]],Database!$A:$C,MATCH($B$1,Database!$A$1:$C$1,),)=0,#N/A,VLOOKUP(Table7[[#This Row],[Date]],Database!$A:$C,MATCH($B$1,Database!$A$1:$C$1,),))</f>
        <v/>
      </c>
      <c r="C12762">
        <f>IF(VLOOKUP(Table7[[#This Row],[Date]],Database!$A:$C,MATCH($C$1,Database!$A$1:$C$1,),)=0,#N/A,VLOOKUP(Table7[[#This Row],[Date]],Database!$A:$C,MATCH($C$1,Database!$A$1:$C$1,),))</f>
        <v/>
      </c>
      <c r="D12762">
        <f>IFERROR(Table7[[#This Row],[United States 10y]]-Table7[[#This Row],[United States 3y]],#N/A)</f>
        <v/>
      </c>
    </row>
    <row r="12763">
      <c r="A12763" s="6">
        <f>Database!$A14848</f>
        <v/>
      </c>
      <c r="B12763">
        <f>IF(VLOOKUP(Table7[[#This Row],[Date]],Database!$A:$C,MATCH($B$1,Database!$A$1:$C$1,),)=0,#N/A,VLOOKUP(Table7[[#This Row],[Date]],Database!$A:$C,MATCH($B$1,Database!$A$1:$C$1,),))</f>
        <v/>
      </c>
      <c r="C12763">
        <f>IF(VLOOKUP(Table7[[#This Row],[Date]],Database!$A:$C,MATCH($C$1,Database!$A$1:$C$1,),)=0,#N/A,VLOOKUP(Table7[[#This Row],[Date]],Database!$A:$C,MATCH($C$1,Database!$A$1:$C$1,),))</f>
        <v/>
      </c>
      <c r="D12763">
        <f>IFERROR(Table7[[#This Row],[United States 10y]]-Table7[[#This Row],[United States 3y]],#N/A)</f>
        <v/>
      </c>
    </row>
    <row r="12764">
      <c r="A12764" s="6">
        <f>Database!$A14849</f>
        <v/>
      </c>
      <c r="B12764">
        <f>IF(VLOOKUP(Table7[[#This Row],[Date]],Database!$A:$C,MATCH($B$1,Database!$A$1:$C$1,),)=0,#N/A,VLOOKUP(Table7[[#This Row],[Date]],Database!$A:$C,MATCH($B$1,Database!$A$1:$C$1,),))</f>
        <v/>
      </c>
      <c r="C12764">
        <f>IF(VLOOKUP(Table7[[#This Row],[Date]],Database!$A:$C,MATCH($C$1,Database!$A$1:$C$1,),)=0,#N/A,VLOOKUP(Table7[[#This Row],[Date]],Database!$A:$C,MATCH($C$1,Database!$A$1:$C$1,),))</f>
        <v/>
      </c>
      <c r="D12764">
        <f>IFERROR(Table7[[#This Row],[United States 10y]]-Table7[[#This Row],[United States 3y]],#N/A)</f>
        <v/>
      </c>
    </row>
    <row r="12765">
      <c r="A12765" s="6">
        <f>Database!$A14850</f>
        <v/>
      </c>
      <c r="B12765">
        <f>IF(VLOOKUP(Table7[[#This Row],[Date]],Database!$A:$C,MATCH($B$1,Database!$A$1:$C$1,),)=0,#N/A,VLOOKUP(Table7[[#This Row],[Date]],Database!$A:$C,MATCH($B$1,Database!$A$1:$C$1,),))</f>
        <v/>
      </c>
      <c r="C12765">
        <f>IF(VLOOKUP(Table7[[#This Row],[Date]],Database!$A:$C,MATCH($C$1,Database!$A$1:$C$1,),)=0,#N/A,VLOOKUP(Table7[[#This Row],[Date]],Database!$A:$C,MATCH($C$1,Database!$A$1:$C$1,),))</f>
        <v/>
      </c>
      <c r="D12765">
        <f>IFERROR(Table7[[#This Row],[United States 10y]]-Table7[[#This Row],[United States 3y]],#N/A)</f>
        <v/>
      </c>
    </row>
    <row r="12766">
      <c r="A12766" s="6">
        <f>Database!$A14851</f>
        <v/>
      </c>
      <c r="B12766">
        <f>IF(VLOOKUP(Table7[[#This Row],[Date]],Database!$A:$C,MATCH($B$1,Database!$A$1:$C$1,),)=0,#N/A,VLOOKUP(Table7[[#This Row],[Date]],Database!$A:$C,MATCH($B$1,Database!$A$1:$C$1,),))</f>
        <v/>
      </c>
      <c r="C12766">
        <f>IF(VLOOKUP(Table7[[#This Row],[Date]],Database!$A:$C,MATCH($C$1,Database!$A$1:$C$1,),)=0,#N/A,VLOOKUP(Table7[[#This Row],[Date]],Database!$A:$C,MATCH($C$1,Database!$A$1:$C$1,),))</f>
        <v/>
      </c>
      <c r="D12766">
        <f>IFERROR(Table7[[#This Row],[United States 10y]]-Table7[[#This Row],[United States 3y]],#N/A)</f>
        <v/>
      </c>
    </row>
    <row r="12767">
      <c r="A12767" s="6">
        <f>Database!$A14852</f>
        <v/>
      </c>
      <c r="B12767">
        <f>IF(VLOOKUP(Table7[[#This Row],[Date]],Database!$A:$C,MATCH($B$1,Database!$A$1:$C$1,),)=0,#N/A,VLOOKUP(Table7[[#This Row],[Date]],Database!$A:$C,MATCH($B$1,Database!$A$1:$C$1,),))</f>
        <v/>
      </c>
      <c r="C12767">
        <f>IF(VLOOKUP(Table7[[#This Row],[Date]],Database!$A:$C,MATCH($C$1,Database!$A$1:$C$1,),)=0,#N/A,VLOOKUP(Table7[[#This Row],[Date]],Database!$A:$C,MATCH($C$1,Database!$A$1:$C$1,),))</f>
        <v/>
      </c>
      <c r="D12767">
        <f>IFERROR(Table7[[#This Row],[United States 10y]]-Table7[[#This Row],[United States 3y]],#N/A)</f>
        <v/>
      </c>
    </row>
    <row r="12768">
      <c r="A12768" s="6">
        <f>Database!$A14853</f>
        <v/>
      </c>
      <c r="B12768">
        <f>IF(VLOOKUP(Table7[[#This Row],[Date]],Database!$A:$C,MATCH($B$1,Database!$A$1:$C$1,),)=0,#N/A,VLOOKUP(Table7[[#This Row],[Date]],Database!$A:$C,MATCH($B$1,Database!$A$1:$C$1,),))</f>
        <v/>
      </c>
      <c r="C12768">
        <f>IF(VLOOKUP(Table7[[#This Row],[Date]],Database!$A:$C,MATCH($C$1,Database!$A$1:$C$1,),)=0,#N/A,VLOOKUP(Table7[[#This Row],[Date]],Database!$A:$C,MATCH($C$1,Database!$A$1:$C$1,),))</f>
        <v/>
      </c>
      <c r="D12768">
        <f>IFERROR(Table7[[#This Row],[United States 10y]]-Table7[[#This Row],[United States 3y]],#N/A)</f>
        <v/>
      </c>
    </row>
    <row r="12769">
      <c r="A12769" s="6">
        <f>Database!$A14854</f>
        <v/>
      </c>
      <c r="B12769">
        <f>IF(VLOOKUP(Table7[[#This Row],[Date]],Database!$A:$C,MATCH($B$1,Database!$A$1:$C$1,),)=0,#N/A,VLOOKUP(Table7[[#This Row],[Date]],Database!$A:$C,MATCH($B$1,Database!$A$1:$C$1,),))</f>
        <v/>
      </c>
      <c r="C12769">
        <f>IF(VLOOKUP(Table7[[#This Row],[Date]],Database!$A:$C,MATCH($C$1,Database!$A$1:$C$1,),)=0,#N/A,VLOOKUP(Table7[[#This Row],[Date]],Database!$A:$C,MATCH($C$1,Database!$A$1:$C$1,),))</f>
        <v/>
      </c>
      <c r="D12769">
        <f>IFERROR(Table7[[#This Row],[United States 10y]]-Table7[[#This Row],[United States 3y]],#N/A)</f>
        <v/>
      </c>
    </row>
    <row r="12770">
      <c r="A12770" s="6">
        <f>Database!$A14855</f>
        <v/>
      </c>
      <c r="B12770">
        <f>IF(VLOOKUP(Table7[[#This Row],[Date]],Database!$A:$C,MATCH($B$1,Database!$A$1:$C$1,),)=0,#N/A,VLOOKUP(Table7[[#This Row],[Date]],Database!$A:$C,MATCH($B$1,Database!$A$1:$C$1,),))</f>
        <v/>
      </c>
      <c r="C12770">
        <f>IF(VLOOKUP(Table7[[#This Row],[Date]],Database!$A:$C,MATCH($C$1,Database!$A$1:$C$1,),)=0,#N/A,VLOOKUP(Table7[[#This Row],[Date]],Database!$A:$C,MATCH($C$1,Database!$A$1:$C$1,),))</f>
        <v/>
      </c>
      <c r="D12770">
        <f>IFERROR(Table7[[#This Row],[United States 10y]]-Table7[[#This Row],[United States 3y]],#N/A)</f>
        <v/>
      </c>
    </row>
    <row r="12771">
      <c r="A12771" s="6">
        <f>Database!$A14856</f>
        <v/>
      </c>
      <c r="B12771">
        <f>IF(VLOOKUP(Table7[[#This Row],[Date]],Database!$A:$C,MATCH($B$1,Database!$A$1:$C$1,),)=0,#N/A,VLOOKUP(Table7[[#This Row],[Date]],Database!$A:$C,MATCH($B$1,Database!$A$1:$C$1,),))</f>
        <v/>
      </c>
      <c r="C12771">
        <f>IF(VLOOKUP(Table7[[#This Row],[Date]],Database!$A:$C,MATCH($C$1,Database!$A$1:$C$1,),)=0,#N/A,VLOOKUP(Table7[[#This Row],[Date]],Database!$A:$C,MATCH($C$1,Database!$A$1:$C$1,),))</f>
        <v/>
      </c>
      <c r="D12771">
        <f>IFERROR(Table7[[#This Row],[United States 10y]]-Table7[[#This Row],[United States 3y]],#N/A)</f>
        <v/>
      </c>
    </row>
    <row r="12772">
      <c r="A12772" s="6">
        <f>Database!$A14857</f>
        <v/>
      </c>
      <c r="B12772">
        <f>IF(VLOOKUP(Table7[[#This Row],[Date]],Database!$A:$C,MATCH($B$1,Database!$A$1:$C$1,),)=0,#N/A,VLOOKUP(Table7[[#This Row],[Date]],Database!$A:$C,MATCH($B$1,Database!$A$1:$C$1,),))</f>
        <v/>
      </c>
      <c r="C12772">
        <f>IF(VLOOKUP(Table7[[#This Row],[Date]],Database!$A:$C,MATCH($C$1,Database!$A$1:$C$1,),)=0,#N/A,VLOOKUP(Table7[[#This Row],[Date]],Database!$A:$C,MATCH($C$1,Database!$A$1:$C$1,),))</f>
        <v/>
      </c>
      <c r="D12772">
        <f>IFERROR(Table7[[#This Row],[United States 10y]]-Table7[[#This Row],[United States 3y]],#N/A)</f>
        <v/>
      </c>
    </row>
    <row r="12773">
      <c r="A12773" s="6">
        <f>Database!$A14858</f>
        <v/>
      </c>
      <c r="B12773">
        <f>IF(VLOOKUP(Table7[[#This Row],[Date]],Database!$A:$C,MATCH($B$1,Database!$A$1:$C$1,),)=0,#N/A,VLOOKUP(Table7[[#This Row],[Date]],Database!$A:$C,MATCH($B$1,Database!$A$1:$C$1,),))</f>
        <v/>
      </c>
      <c r="C12773">
        <f>IF(VLOOKUP(Table7[[#This Row],[Date]],Database!$A:$C,MATCH($C$1,Database!$A$1:$C$1,),)=0,#N/A,VLOOKUP(Table7[[#This Row],[Date]],Database!$A:$C,MATCH($C$1,Database!$A$1:$C$1,),))</f>
        <v/>
      </c>
      <c r="D12773">
        <f>IFERROR(Table7[[#This Row],[United States 10y]]-Table7[[#This Row],[United States 3y]],#N/A)</f>
        <v/>
      </c>
    </row>
    <row r="12774">
      <c r="A12774" s="6">
        <f>Database!$A14859</f>
        <v/>
      </c>
      <c r="B12774">
        <f>IF(VLOOKUP(Table7[[#This Row],[Date]],Database!$A:$C,MATCH($B$1,Database!$A$1:$C$1,),)=0,#N/A,VLOOKUP(Table7[[#This Row],[Date]],Database!$A:$C,MATCH($B$1,Database!$A$1:$C$1,),))</f>
        <v/>
      </c>
      <c r="C12774">
        <f>IF(VLOOKUP(Table7[[#This Row],[Date]],Database!$A:$C,MATCH($C$1,Database!$A$1:$C$1,),)=0,#N/A,VLOOKUP(Table7[[#This Row],[Date]],Database!$A:$C,MATCH($C$1,Database!$A$1:$C$1,),))</f>
        <v/>
      </c>
      <c r="D12774">
        <f>IFERROR(Table7[[#This Row],[United States 10y]]-Table7[[#This Row],[United States 3y]],#N/A)</f>
        <v/>
      </c>
    </row>
    <row r="12775">
      <c r="A12775" s="6">
        <f>Database!$A14860</f>
        <v/>
      </c>
      <c r="B12775">
        <f>IF(VLOOKUP(Table7[[#This Row],[Date]],Database!$A:$C,MATCH($B$1,Database!$A$1:$C$1,),)=0,#N/A,VLOOKUP(Table7[[#This Row],[Date]],Database!$A:$C,MATCH($B$1,Database!$A$1:$C$1,),))</f>
        <v/>
      </c>
      <c r="C12775">
        <f>IF(VLOOKUP(Table7[[#This Row],[Date]],Database!$A:$C,MATCH($C$1,Database!$A$1:$C$1,),)=0,#N/A,VLOOKUP(Table7[[#This Row],[Date]],Database!$A:$C,MATCH($C$1,Database!$A$1:$C$1,),))</f>
        <v/>
      </c>
      <c r="D12775">
        <f>IFERROR(Table7[[#This Row],[United States 10y]]-Table7[[#This Row],[United States 3y]],#N/A)</f>
        <v/>
      </c>
    </row>
    <row r="12776">
      <c r="A12776" s="6">
        <f>Database!$A14861</f>
        <v/>
      </c>
      <c r="B12776">
        <f>IF(VLOOKUP(Table7[[#This Row],[Date]],Database!$A:$C,MATCH($B$1,Database!$A$1:$C$1,),)=0,#N/A,VLOOKUP(Table7[[#This Row],[Date]],Database!$A:$C,MATCH($B$1,Database!$A$1:$C$1,),))</f>
        <v/>
      </c>
      <c r="C12776">
        <f>IF(VLOOKUP(Table7[[#This Row],[Date]],Database!$A:$C,MATCH($C$1,Database!$A$1:$C$1,),)=0,#N/A,VLOOKUP(Table7[[#This Row],[Date]],Database!$A:$C,MATCH($C$1,Database!$A$1:$C$1,),))</f>
        <v/>
      </c>
      <c r="D12776">
        <f>IFERROR(Table7[[#This Row],[United States 10y]]-Table7[[#This Row],[United States 3y]],#N/A)</f>
        <v/>
      </c>
    </row>
    <row r="12777">
      <c r="A12777" s="6">
        <f>Database!$A14862</f>
        <v/>
      </c>
      <c r="B12777">
        <f>IF(VLOOKUP(Table7[[#This Row],[Date]],Database!$A:$C,MATCH($B$1,Database!$A$1:$C$1,),)=0,#N/A,VLOOKUP(Table7[[#This Row],[Date]],Database!$A:$C,MATCH($B$1,Database!$A$1:$C$1,),))</f>
        <v/>
      </c>
      <c r="C12777">
        <f>IF(VLOOKUP(Table7[[#This Row],[Date]],Database!$A:$C,MATCH($C$1,Database!$A$1:$C$1,),)=0,#N/A,VLOOKUP(Table7[[#This Row],[Date]],Database!$A:$C,MATCH($C$1,Database!$A$1:$C$1,),))</f>
        <v/>
      </c>
      <c r="D12777">
        <f>IFERROR(Table7[[#This Row],[United States 10y]]-Table7[[#This Row],[United States 3y]],#N/A)</f>
        <v/>
      </c>
    </row>
    <row r="12778">
      <c r="A12778" s="6">
        <f>Database!$A14863</f>
        <v/>
      </c>
      <c r="B12778">
        <f>IF(VLOOKUP(Table7[[#This Row],[Date]],Database!$A:$C,MATCH($B$1,Database!$A$1:$C$1,),)=0,#N/A,VLOOKUP(Table7[[#This Row],[Date]],Database!$A:$C,MATCH($B$1,Database!$A$1:$C$1,),))</f>
        <v/>
      </c>
      <c r="C12778">
        <f>IF(VLOOKUP(Table7[[#This Row],[Date]],Database!$A:$C,MATCH($C$1,Database!$A$1:$C$1,),)=0,#N/A,VLOOKUP(Table7[[#This Row],[Date]],Database!$A:$C,MATCH($C$1,Database!$A$1:$C$1,),))</f>
        <v/>
      </c>
      <c r="D12778">
        <f>IFERROR(Table7[[#This Row],[United States 10y]]-Table7[[#This Row],[United States 3y]],#N/A)</f>
        <v/>
      </c>
    </row>
    <row r="12779">
      <c r="A12779" s="6">
        <f>Database!$A14864</f>
        <v/>
      </c>
      <c r="B12779">
        <f>IF(VLOOKUP(Table7[[#This Row],[Date]],Database!$A:$C,MATCH($B$1,Database!$A$1:$C$1,),)=0,#N/A,VLOOKUP(Table7[[#This Row],[Date]],Database!$A:$C,MATCH($B$1,Database!$A$1:$C$1,),))</f>
        <v/>
      </c>
      <c r="C12779">
        <f>IF(VLOOKUP(Table7[[#This Row],[Date]],Database!$A:$C,MATCH($C$1,Database!$A$1:$C$1,),)=0,#N/A,VLOOKUP(Table7[[#This Row],[Date]],Database!$A:$C,MATCH($C$1,Database!$A$1:$C$1,),))</f>
        <v/>
      </c>
      <c r="D12779">
        <f>IFERROR(Table7[[#This Row],[United States 10y]]-Table7[[#This Row],[United States 3y]],#N/A)</f>
        <v/>
      </c>
    </row>
    <row r="12780">
      <c r="A12780" s="6">
        <f>Database!$A14865</f>
        <v/>
      </c>
      <c r="B12780">
        <f>IF(VLOOKUP(Table7[[#This Row],[Date]],Database!$A:$C,MATCH($B$1,Database!$A$1:$C$1,),)=0,#N/A,VLOOKUP(Table7[[#This Row],[Date]],Database!$A:$C,MATCH($B$1,Database!$A$1:$C$1,),))</f>
        <v/>
      </c>
      <c r="C12780">
        <f>IF(VLOOKUP(Table7[[#This Row],[Date]],Database!$A:$C,MATCH($C$1,Database!$A$1:$C$1,),)=0,#N/A,VLOOKUP(Table7[[#This Row],[Date]],Database!$A:$C,MATCH($C$1,Database!$A$1:$C$1,),))</f>
        <v/>
      </c>
      <c r="D12780">
        <f>IFERROR(Table7[[#This Row],[United States 10y]]-Table7[[#This Row],[United States 3y]],#N/A)</f>
        <v/>
      </c>
    </row>
    <row r="12781">
      <c r="A12781" s="6">
        <f>Database!$A14866</f>
        <v/>
      </c>
      <c r="B12781">
        <f>IF(VLOOKUP(Table7[[#This Row],[Date]],Database!$A:$C,MATCH($B$1,Database!$A$1:$C$1,),)=0,#N/A,VLOOKUP(Table7[[#This Row],[Date]],Database!$A:$C,MATCH($B$1,Database!$A$1:$C$1,),))</f>
        <v/>
      </c>
      <c r="C12781">
        <f>IF(VLOOKUP(Table7[[#This Row],[Date]],Database!$A:$C,MATCH($C$1,Database!$A$1:$C$1,),)=0,#N/A,VLOOKUP(Table7[[#This Row],[Date]],Database!$A:$C,MATCH($C$1,Database!$A$1:$C$1,),))</f>
        <v/>
      </c>
      <c r="D12781">
        <f>IFERROR(Table7[[#This Row],[United States 10y]]-Table7[[#This Row],[United States 3y]],#N/A)</f>
        <v/>
      </c>
    </row>
    <row r="12782">
      <c r="A12782" s="6">
        <f>Database!$A14867</f>
        <v/>
      </c>
      <c r="B12782">
        <f>IF(VLOOKUP(Table7[[#This Row],[Date]],Database!$A:$C,MATCH($B$1,Database!$A$1:$C$1,),)=0,#N/A,VLOOKUP(Table7[[#This Row],[Date]],Database!$A:$C,MATCH($B$1,Database!$A$1:$C$1,),))</f>
        <v/>
      </c>
      <c r="C12782">
        <f>IF(VLOOKUP(Table7[[#This Row],[Date]],Database!$A:$C,MATCH($C$1,Database!$A$1:$C$1,),)=0,#N/A,VLOOKUP(Table7[[#This Row],[Date]],Database!$A:$C,MATCH($C$1,Database!$A$1:$C$1,),))</f>
        <v/>
      </c>
      <c r="D12782">
        <f>IFERROR(Table7[[#This Row],[United States 10y]]-Table7[[#This Row],[United States 3y]],#N/A)</f>
        <v/>
      </c>
    </row>
    <row r="12783">
      <c r="A12783" s="6">
        <f>Database!$A14868</f>
        <v/>
      </c>
      <c r="B12783">
        <f>IF(VLOOKUP(Table7[[#This Row],[Date]],Database!$A:$C,MATCH($B$1,Database!$A$1:$C$1,),)=0,#N/A,VLOOKUP(Table7[[#This Row],[Date]],Database!$A:$C,MATCH($B$1,Database!$A$1:$C$1,),))</f>
        <v/>
      </c>
      <c r="C12783">
        <f>IF(VLOOKUP(Table7[[#This Row],[Date]],Database!$A:$C,MATCH($C$1,Database!$A$1:$C$1,),)=0,#N/A,VLOOKUP(Table7[[#This Row],[Date]],Database!$A:$C,MATCH($C$1,Database!$A$1:$C$1,),))</f>
        <v/>
      </c>
      <c r="D12783">
        <f>IFERROR(Table7[[#This Row],[United States 10y]]-Table7[[#This Row],[United States 3y]],#N/A)</f>
        <v/>
      </c>
    </row>
    <row r="12784">
      <c r="A12784" s="6">
        <f>Database!$A14869</f>
        <v/>
      </c>
      <c r="B12784">
        <f>IF(VLOOKUP(Table7[[#This Row],[Date]],Database!$A:$C,MATCH($B$1,Database!$A$1:$C$1,),)=0,#N/A,VLOOKUP(Table7[[#This Row],[Date]],Database!$A:$C,MATCH($B$1,Database!$A$1:$C$1,),))</f>
        <v/>
      </c>
      <c r="C12784">
        <f>IF(VLOOKUP(Table7[[#This Row],[Date]],Database!$A:$C,MATCH($C$1,Database!$A$1:$C$1,),)=0,#N/A,VLOOKUP(Table7[[#This Row],[Date]],Database!$A:$C,MATCH($C$1,Database!$A$1:$C$1,),))</f>
        <v/>
      </c>
      <c r="D12784">
        <f>IFERROR(Table7[[#This Row],[United States 10y]]-Table7[[#This Row],[United States 3y]],#N/A)</f>
        <v/>
      </c>
    </row>
    <row r="12785">
      <c r="A12785" s="6">
        <f>Database!$A14870</f>
        <v/>
      </c>
      <c r="B12785">
        <f>IF(VLOOKUP(Table7[[#This Row],[Date]],Database!$A:$C,MATCH($B$1,Database!$A$1:$C$1,),)=0,#N/A,VLOOKUP(Table7[[#This Row],[Date]],Database!$A:$C,MATCH($B$1,Database!$A$1:$C$1,),))</f>
        <v/>
      </c>
      <c r="C12785">
        <f>IF(VLOOKUP(Table7[[#This Row],[Date]],Database!$A:$C,MATCH($C$1,Database!$A$1:$C$1,),)=0,#N/A,VLOOKUP(Table7[[#This Row],[Date]],Database!$A:$C,MATCH($C$1,Database!$A$1:$C$1,),))</f>
        <v/>
      </c>
      <c r="D12785">
        <f>IFERROR(Table7[[#This Row],[United States 10y]]-Table7[[#This Row],[United States 3y]],#N/A)</f>
        <v/>
      </c>
    </row>
    <row r="12786">
      <c r="A12786" s="6">
        <f>Database!$A14871</f>
        <v/>
      </c>
      <c r="B12786">
        <f>IF(VLOOKUP(Table7[[#This Row],[Date]],Database!$A:$C,MATCH($B$1,Database!$A$1:$C$1,),)=0,#N/A,VLOOKUP(Table7[[#This Row],[Date]],Database!$A:$C,MATCH($B$1,Database!$A$1:$C$1,),))</f>
        <v/>
      </c>
      <c r="C12786">
        <f>IF(VLOOKUP(Table7[[#This Row],[Date]],Database!$A:$C,MATCH($C$1,Database!$A$1:$C$1,),)=0,#N/A,VLOOKUP(Table7[[#This Row],[Date]],Database!$A:$C,MATCH($C$1,Database!$A$1:$C$1,),))</f>
        <v/>
      </c>
      <c r="D12786">
        <f>IFERROR(Table7[[#This Row],[United States 10y]]-Table7[[#This Row],[United States 3y]],#N/A)</f>
        <v/>
      </c>
    </row>
    <row r="12787">
      <c r="A12787" s="6">
        <f>Database!$A14872</f>
        <v/>
      </c>
      <c r="B12787">
        <f>IF(VLOOKUP(Table7[[#This Row],[Date]],Database!$A:$C,MATCH($B$1,Database!$A$1:$C$1,),)=0,#N/A,VLOOKUP(Table7[[#This Row],[Date]],Database!$A:$C,MATCH($B$1,Database!$A$1:$C$1,),))</f>
        <v/>
      </c>
      <c r="C12787">
        <f>IF(VLOOKUP(Table7[[#This Row],[Date]],Database!$A:$C,MATCH($C$1,Database!$A$1:$C$1,),)=0,#N/A,VLOOKUP(Table7[[#This Row],[Date]],Database!$A:$C,MATCH($C$1,Database!$A$1:$C$1,),))</f>
        <v/>
      </c>
      <c r="D12787">
        <f>IFERROR(Table7[[#This Row],[United States 10y]]-Table7[[#This Row],[United States 3y]],#N/A)</f>
        <v/>
      </c>
    </row>
    <row r="12788">
      <c r="A12788" s="6">
        <f>Database!$A14873</f>
        <v/>
      </c>
      <c r="B12788">
        <f>IF(VLOOKUP(Table7[[#This Row],[Date]],Database!$A:$C,MATCH($B$1,Database!$A$1:$C$1,),)=0,#N/A,VLOOKUP(Table7[[#This Row],[Date]],Database!$A:$C,MATCH($B$1,Database!$A$1:$C$1,),))</f>
        <v/>
      </c>
      <c r="C12788">
        <f>IF(VLOOKUP(Table7[[#This Row],[Date]],Database!$A:$C,MATCH($C$1,Database!$A$1:$C$1,),)=0,#N/A,VLOOKUP(Table7[[#This Row],[Date]],Database!$A:$C,MATCH($C$1,Database!$A$1:$C$1,),))</f>
        <v/>
      </c>
      <c r="D12788">
        <f>IFERROR(Table7[[#This Row],[United States 10y]]-Table7[[#This Row],[United States 3y]],#N/A)</f>
        <v/>
      </c>
    </row>
    <row r="12789">
      <c r="A12789" s="6">
        <f>Database!$A14874</f>
        <v/>
      </c>
      <c r="B12789">
        <f>IF(VLOOKUP(Table7[[#This Row],[Date]],Database!$A:$C,MATCH($B$1,Database!$A$1:$C$1,),)=0,#N/A,VLOOKUP(Table7[[#This Row],[Date]],Database!$A:$C,MATCH($B$1,Database!$A$1:$C$1,),))</f>
        <v/>
      </c>
      <c r="C12789">
        <f>IF(VLOOKUP(Table7[[#This Row],[Date]],Database!$A:$C,MATCH($C$1,Database!$A$1:$C$1,),)=0,#N/A,VLOOKUP(Table7[[#This Row],[Date]],Database!$A:$C,MATCH($C$1,Database!$A$1:$C$1,),))</f>
        <v/>
      </c>
      <c r="D12789">
        <f>IFERROR(Table7[[#This Row],[United States 10y]]-Table7[[#This Row],[United States 3y]],#N/A)</f>
        <v/>
      </c>
    </row>
    <row r="12790">
      <c r="A12790" s="6">
        <f>Database!$A14875</f>
        <v/>
      </c>
      <c r="B12790">
        <f>IF(VLOOKUP(Table7[[#This Row],[Date]],Database!$A:$C,MATCH($B$1,Database!$A$1:$C$1,),)=0,#N/A,VLOOKUP(Table7[[#This Row],[Date]],Database!$A:$C,MATCH($B$1,Database!$A$1:$C$1,),))</f>
        <v/>
      </c>
      <c r="C12790">
        <f>IF(VLOOKUP(Table7[[#This Row],[Date]],Database!$A:$C,MATCH($C$1,Database!$A$1:$C$1,),)=0,#N/A,VLOOKUP(Table7[[#This Row],[Date]],Database!$A:$C,MATCH($C$1,Database!$A$1:$C$1,),))</f>
        <v/>
      </c>
      <c r="D12790">
        <f>IFERROR(Table7[[#This Row],[United States 10y]]-Table7[[#This Row],[United States 3y]],#N/A)</f>
        <v/>
      </c>
    </row>
    <row r="12791">
      <c r="A12791" s="6">
        <f>Database!$A14876</f>
        <v/>
      </c>
      <c r="B12791">
        <f>IF(VLOOKUP(Table7[[#This Row],[Date]],Database!$A:$C,MATCH($B$1,Database!$A$1:$C$1,),)=0,#N/A,VLOOKUP(Table7[[#This Row],[Date]],Database!$A:$C,MATCH($B$1,Database!$A$1:$C$1,),))</f>
        <v/>
      </c>
      <c r="C12791">
        <f>IF(VLOOKUP(Table7[[#This Row],[Date]],Database!$A:$C,MATCH($C$1,Database!$A$1:$C$1,),)=0,#N/A,VLOOKUP(Table7[[#This Row],[Date]],Database!$A:$C,MATCH($C$1,Database!$A$1:$C$1,),))</f>
        <v/>
      </c>
      <c r="D12791">
        <f>IFERROR(Table7[[#This Row],[United States 10y]]-Table7[[#This Row],[United States 3y]],#N/A)</f>
        <v/>
      </c>
    </row>
    <row r="12792">
      <c r="A12792" s="6">
        <f>Database!$A14877</f>
        <v/>
      </c>
      <c r="B12792">
        <f>IF(VLOOKUP(Table7[[#This Row],[Date]],Database!$A:$C,MATCH($B$1,Database!$A$1:$C$1,),)=0,#N/A,VLOOKUP(Table7[[#This Row],[Date]],Database!$A:$C,MATCH($B$1,Database!$A$1:$C$1,),))</f>
        <v/>
      </c>
      <c r="C12792">
        <f>IF(VLOOKUP(Table7[[#This Row],[Date]],Database!$A:$C,MATCH($C$1,Database!$A$1:$C$1,),)=0,#N/A,VLOOKUP(Table7[[#This Row],[Date]],Database!$A:$C,MATCH($C$1,Database!$A$1:$C$1,),))</f>
        <v/>
      </c>
      <c r="D12792">
        <f>IFERROR(Table7[[#This Row],[United States 10y]]-Table7[[#This Row],[United States 3y]],#N/A)</f>
        <v/>
      </c>
    </row>
    <row r="12793">
      <c r="A12793" s="6">
        <f>Database!$A14878</f>
        <v/>
      </c>
      <c r="B12793">
        <f>IF(VLOOKUP(Table7[[#This Row],[Date]],Database!$A:$C,MATCH($B$1,Database!$A$1:$C$1,),)=0,#N/A,VLOOKUP(Table7[[#This Row],[Date]],Database!$A:$C,MATCH($B$1,Database!$A$1:$C$1,),))</f>
        <v/>
      </c>
      <c r="C12793">
        <f>IF(VLOOKUP(Table7[[#This Row],[Date]],Database!$A:$C,MATCH($C$1,Database!$A$1:$C$1,),)=0,#N/A,VLOOKUP(Table7[[#This Row],[Date]],Database!$A:$C,MATCH($C$1,Database!$A$1:$C$1,),))</f>
        <v/>
      </c>
      <c r="D12793">
        <f>IFERROR(Table7[[#This Row],[United States 10y]]-Table7[[#This Row],[United States 3y]],#N/A)</f>
        <v/>
      </c>
    </row>
    <row r="12794">
      <c r="A12794" s="6">
        <f>Database!$A14879</f>
        <v/>
      </c>
      <c r="B12794">
        <f>IF(VLOOKUP(Table7[[#This Row],[Date]],Database!$A:$C,MATCH($B$1,Database!$A$1:$C$1,),)=0,#N/A,VLOOKUP(Table7[[#This Row],[Date]],Database!$A:$C,MATCH($B$1,Database!$A$1:$C$1,),))</f>
        <v/>
      </c>
      <c r="C12794">
        <f>IF(VLOOKUP(Table7[[#This Row],[Date]],Database!$A:$C,MATCH($C$1,Database!$A$1:$C$1,),)=0,#N/A,VLOOKUP(Table7[[#This Row],[Date]],Database!$A:$C,MATCH($C$1,Database!$A$1:$C$1,),))</f>
        <v/>
      </c>
      <c r="D12794">
        <f>IFERROR(Table7[[#This Row],[United States 10y]]-Table7[[#This Row],[United States 3y]],#N/A)</f>
        <v/>
      </c>
    </row>
    <row r="12795">
      <c r="A12795" s="6">
        <f>Database!$A14880</f>
        <v/>
      </c>
      <c r="B12795">
        <f>IF(VLOOKUP(Table7[[#This Row],[Date]],Database!$A:$C,MATCH($B$1,Database!$A$1:$C$1,),)=0,#N/A,VLOOKUP(Table7[[#This Row],[Date]],Database!$A:$C,MATCH($B$1,Database!$A$1:$C$1,),))</f>
        <v/>
      </c>
      <c r="C12795">
        <f>IF(VLOOKUP(Table7[[#This Row],[Date]],Database!$A:$C,MATCH($C$1,Database!$A$1:$C$1,),)=0,#N/A,VLOOKUP(Table7[[#This Row],[Date]],Database!$A:$C,MATCH($C$1,Database!$A$1:$C$1,),))</f>
        <v/>
      </c>
      <c r="D12795">
        <f>IFERROR(Table7[[#This Row],[United States 10y]]-Table7[[#This Row],[United States 3y]],#N/A)</f>
        <v/>
      </c>
    </row>
    <row r="12796">
      <c r="A12796" s="6">
        <f>Database!$A14881</f>
        <v/>
      </c>
      <c r="B12796">
        <f>IF(VLOOKUP(Table7[[#This Row],[Date]],Database!$A:$C,MATCH($B$1,Database!$A$1:$C$1,),)=0,#N/A,VLOOKUP(Table7[[#This Row],[Date]],Database!$A:$C,MATCH($B$1,Database!$A$1:$C$1,),))</f>
        <v/>
      </c>
      <c r="C12796">
        <f>IF(VLOOKUP(Table7[[#This Row],[Date]],Database!$A:$C,MATCH($C$1,Database!$A$1:$C$1,),)=0,#N/A,VLOOKUP(Table7[[#This Row],[Date]],Database!$A:$C,MATCH($C$1,Database!$A$1:$C$1,),))</f>
        <v/>
      </c>
      <c r="D12796">
        <f>IFERROR(Table7[[#This Row],[United States 10y]]-Table7[[#This Row],[United States 3y]],#N/A)</f>
        <v/>
      </c>
    </row>
    <row r="12797">
      <c r="A12797" s="6">
        <f>Database!$A14882</f>
        <v/>
      </c>
      <c r="B12797">
        <f>IF(VLOOKUP(Table7[[#This Row],[Date]],Database!$A:$C,MATCH($B$1,Database!$A$1:$C$1,),)=0,#N/A,VLOOKUP(Table7[[#This Row],[Date]],Database!$A:$C,MATCH($B$1,Database!$A$1:$C$1,),))</f>
        <v/>
      </c>
      <c r="C12797">
        <f>IF(VLOOKUP(Table7[[#This Row],[Date]],Database!$A:$C,MATCH($C$1,Database!$A$1:$C$1,),)=0,#N/A,VLOOKUP(Table7[[#This Row],[Date]],Database!$A:$C,MATCH($C$1,Database!$A$1:$C$1,),))</f>
        <v/>
      </c>
      <c r="D12797">
        <f>IFERROR(Table7[[#This Row],[United States 10y]]-Table7[[#This Row],[United States 3y]],#N/A)</f>
        <v/>
      </c>
    </row>
    <row r="12798">
      <c r="A12798" s="6">
        <f>Database!$A14883</f>
        <v/>
      </c>
      <c r="B12798">
        <f>IF(VLOOKUP(Table7[[#This Row],[Date]],Database!$A:$C,MATCH($B$1,Database!$A$1:$C$1,),)=0,#N/A,VLOOKUP(Table7[[#This Row],[Date]],Database!$A:$C,MATCH($B$1,Database!$A$1:$C$1,),))</f>
        <v/>
      </c>
      <c r="C12798">
        <f>IF(VLOOKUP(Table7[[#This Row],[Date]],Database!$A:$C,MATCH($C$1,Database!$A$1:$C$1,),)=0,#N/A,VLOOKUP(Table7[[#This Row],[Date]],Database!$A:$C,MATCH($C$1,Database!$A$1:$C$1,),))</f>
        <v/>
      </c>
      <c r="D12798">
        <f>IFERROR(Table7[[#This Row],[United States 10y]]-Table7[[#This Row],[United States 3y]],#N/A)</f>
        <v/>
      </c>
    </row>
    <row r="12799">
      <c r="A12799" s="6">
        <f>Database!$A14884</f>
        <v/>
      </c>
      <c r="B12799">
        <f>IF(VLOOKUP(Table7[[#This Row],[Date]],Database!$A:$C,MATCH($B$1,Database!$A$1:$C$1,),)=0,#N/A,VLOOKUP(Table7[[#This Row],[Date]],Database!$A:$C,MATCH($B$1,Database!$A$1:$C$1,),))</f>
        <v/>
      </c>
      <c r="C12799">
        <f>IF(VLOOKUP(Table7[[#This Row],[Date]],Database!$A:$C,MATCH($C$1,Database!$A$1:$C$1,),)=0,#N/A,VLOOKUP(Table7[[#This Row],[Date]],Database!$A:$C,MATCH($C$1,Database!$A$1:$C$1,),))</f>
        <v/>
      </c>
      <c r="D12799">
        <f>IFERROR(Table7[[#This Row],[United States 10y]]-Table7[[#This Row],[United States 3y]],#N/A)</f>
        <v/>
      </c>
    </row>
    <row r="12800">
      <c r="A12800" s="6">
        <f>Database!$A14885</f>
        <v/>
      </c>
      <c r="B12800">
        <f>IF(VLOOKUP(Table7[[#This Row],[Date]],Database!$A:$C,MATCH($B$1,Database!$A$1:$C$1,),)=0,#N/A,VLOOKUP(Table7[[#This Row],[Date]],Database!$A:$C,MATCH($B$1,Database!$A$1:$C$1,),))</f>
        <v/>
      </c>
      <c r="C12800">
        <f>IF(VLOOKUP(Table7[[#This Row],[Date]],Database!$A:$C,MATCH($C$1,Database!$A$1:$C$1,),)=0,#N/A,VLOOKUP(Table7[[#This Row],[Date]],Database!$A:$C,MATCH($C$1,Database!$A$1:$C$1,),))</f>
        <v/>
      </c>
      <c r="D12800">
        <f>IFERROR(Table7[[#This Row],[United States 10y]]-Table7[[#This Row],[United States 3y]],#N/A)</f>
        <v/>
      </c>
    </row>
    <row r="12801">
      <c r="A12801" s="6">
        <f>Database!$A14886</f>
        <v/>
      </c>
      <c r="B12801">
        <f>IF(VLOOKUP(Table7[[#This Row],[Date]],Database!$A:$C,MATCH($B$1,Database!$A$1:$C$1,),)=0,#N/A,VLOOKUP(Table7[[#This Row],[Date]],Database!$A:$C,MATCH($B$1,Database!$A$1:$C$1,),))</f>
        <v/>
      </c>
      <c r="C12801">
        <f>IF(VLOOKUP(Table7[[#This Row],[Date]],Database!$A:$C,MATCH($C$1,Database!$A$1:$C$1,),)=0,#N/A,VLOOKUP(Table7[[#This Row],[Date]],Database!$A:$C,MATCH($C$1,Database!$A$1:$C$1,),))</f>
        <v/>
      </c>
      <c r="D12801">
        <f>IFERROR(Table7[[#This Row],[United States 10y]]-Table7[[#This Row],[United States 3y]],#N/A)</f>
        <v/>
      </c>
    </row>
    <row r="12802">
      <c r="A12802" s="6">
        <f>Database!$A14887</f>
        <v/>
      </c>
      <c r="B12802">
        <f>IF(VLOOKUP(Table7[[#This Row],[Date]],Database!$A:$C,MATCH($B$1,Database!$A$1:$C$1,),)=0,#N/A,VLOOKUP(Table7[[#This Row],[Date]],Database!$A:$C,MATCH($B$1,Database!$A$1:$C$1,),))</f>
        <v/>
      </c>
      <c r="C12802">
        <f>IF(VLOOKUP(Table7[[#This Row],[Date]],Database!$A:$C,MATCH($C$1,Database!$A$1:$C$1,),)=0,#N/A,VLOOKUP(Table7[[#This Row],[Date]],Database!$A:$C,MATCH($C$1,Database!$A$1:$C$1,),))</f>
        <v/>
      </c>
      <c r="D12802">
        <f>IFERROR(Table7[[#This Row],[United States 10y]]-Table7[[#This Row],[United States 3y]],#N/A)</f>
        <v/>
      </c>
    </row>
    <row r="12803">
      <c r="A12803" s="6">
        <f>Database!$A14888</f>
        <v/>
      </c>
      <c r="B12803">
        <f>IF(VLOOKUP(Table7[[#This Row],[Date]],Database!$A:$C,MATCH($B$1,Database!$A$1:$C$1,),)=0,#N/A,VLOOKUP(Table7[[#This Row],[Date]],Database!$A:$C,MATCH($B$1,Database!$A$1:$C$1,),))</f>
        <v/>
      </c>
      <c r="C12803">
        <f>IF(VLOOKUP(Table7[[#This Row],[Date]],Database!$A:$C,MATCH($C$1,Database!$A$1:$C$1,),)=0,#N/A,VLOOKUP(Table7[[#This Row],[Date]],Database!$A:$C,MATCH($C$1,Database!$A$1:$C$1,),))</f>
        <v/>
      </c>
      <c r="D12803">
        <f>IFERROR(Table7[[#This Row],[United States 10y]]-Table7[[#This Row],[United States 3y]],#N/A)</f>
        <v/>
      </c>
    </row>
    <row r="12804">
      <c r="A12804" s="6">
        <f>Database!$A14889</f>
        <v/>
      </c>
      <c r="B12804">
        <f>IF(VLOOKUP(Table7[[#This Row],[Date]],Database!$A:$C,MATCH($B$1,Database!$A$1:$C$1,),)=0,#N/A,VLOOKUP(Table7[[#This Row],[Date]],Database!$A:$C,MATCH($B$1,Database!$A$1:$C$1,),))</f>
        <v/>
      </c>
      <c r="C12804">
        <f>IF(VLOOKUP(Table7[[#This Row],[Date]],Database!$A:$C,MATCH($C$1,Database!$A$1:$C$1,),)=0,#N/A,VLOOKUP(Table7[[#This Row],[Date]],Database!$A:$C,MATCH($C$1,Database!$A$1:$C$1,),))</f>
        <v/>
      </c>
      <c r="D12804">
        <f>IFERROR(Table7[[#This Row],[United States 10y]]-Table7[[#This Row],[United States 3y]],#N/A)</f>
        <v/>
      </c>
    </row>
    <row r="12805">
      <c r="A12805" s="6">
        <f>Database!$A14890</f>
        <v/>
      </c>
      <c r="B12805">
        <f>IF(VLOOKUP(Table7[[#This Row],[Date]],Database!$A:$C,MATCH($B$1,Database!$A$1:$C$1,),)=0,#N/A,VLOOKUP(Table7[[#This Row],[Date]],Database!$A:$C,MATCH($B$1,Database!$A$1:$C$1,),))</f>
        <v/>
      </c>
      <c r="C12805">
        <f>IF(VLOOKUP(Table7[[#This Row],[Date]],Database!$A:$C,MATCH($C$1,Database!$A$1:$C$1,),)=0,#N/A,VLOOKUP(Table7[[#This Row],[Date]],Database!$A:$C,MATCH($C$1,Database!$A$1:$C$1,),))</f>
        <v/>
      </c>
      <c r="D12805">
        <f>IFERROR(Table7[[#This Row],[United States 10y]]-Table7[[#This Row],[United States 3y]],#N/A)</f>
        <v/>
      </c>
    </row>
    <row r="12806">
      <c r="A12806" s="6">
        <f>Database!$A14891</f>
        <v/>
      </c>
      <c r="B12806">
        <f>IF(VLOOKUP(Table7[[#This Row],[Date]],Database!$A:$C,MATCH($B$1,Database!$A$1:$C$1,),)=0,#N/A,VLOOKUP(Table7[[#This Row],[Date]],Database!$A:$C,MATCH($B$1,Database!$A$1:$C$1,),))</f>
        <v/>
      </c>
      <c r="C12806">
        <f>IF(VLOOKUP(Table7[[#This Row],[Date]],Database!$A:$C,MATCH($C$1,Database!$A$1:$C$1,),)=0,#N/A,VLOOKUP(Table7[[#This Row],[Date]],Database!$A:$C,MATCH($C$1,Database!$A$1:$C$1,),))</f>
        <v/>
      </c>
      <c r="D12806">
        <f>IFERROR(Table7[[#This Row],[United States 10y]]-Table7[[#This Row],[United States 3y]],#N/A)</f>
        <v/>
      </c>
    </row>
    <row r="12807">
      <c r="A12807" s="6">
        <f>Database!$A14892</f>
        <v/>
      </c>
      <c r="B12807">
        <f>IF(VLOOKUP(Table7[[#This Row],[Date]],Database!$A:$C,MATCH($B$1,Database!$A$1:$C$1,),)=0,#N/A,VLOOKUP(Table7[[#This Row],[Date]],Database!$A:$C,MATCH($B$1,Database!$A$1:$C$1,),))</f>
        <v/>
      </c>
      <c r="C12807">
        <f>IF(VLOOKUP(Table7[[#This Row],[Date]],Database!$A:$C,MATCH($C$1,Database!$A$1:$C$1,),)=0,#N/A,VLOOKUP(Table7[[#This Row],[Date]],Database!$A:$C,MATCH($C$1,Database!$A$1:$C$1,),))</f>
        <v/>
      </c>
      <c r="D12807">
        <f>IFERROR(Table7[[#This Row],[United States 10y]]-Table7[[#This Row],[United States 3y]],#N/A)</f>
        <v/>
      </c>
    </row>
    <row r="12808">
      <c r="A12808" s="6">
        <f>Database!$A14893</f>
        <v/>
      </c>
      <c r="B12808">
        <f>IF(VLOOKUP(Table7[[#This Row],[Date]],Database!$A:$C,MATCH($B$1,Database!$A$1:$C$1,),)=0,#N/A,VLOOKUP(Table7[[#This Row],[Date]],Database!$A:$C,MATCH($B$1,Database!$A$1:$C$1,),))</f>
        <v/>
      </c>
      <c r="C12808">
        <f>IF(VLOOKUP(Table7[[#This Row],[Date]],Database!$A:$C,MATCH($C$1,Database!$A$1:$C$1,),)=0,#N/A,VLOOKUP(Table7[[#This Row],[Date]],Database!$A:$C,MATCH($C$1,Database!$A$1:$C$1,),))</f>
        <v/>
      </c>
      <c r="D12808">
        <f>IFERROR(Table7[[#This Row],[United States 10y]]-Table7[[#This Row],[United States 3y]],#N/A)</f>
        <v/>
      </c>
    </row>
    <row r="12809">
      <c r="A12809" s="6">
        <f>Database!$A14894</f>
        <v/>
      </c>
      <c r="B12809">
        <f>IF(VLOOKUP(Table7[[#This Row],[Date]],Database!$A:$C,MATCH($B$1,Database!$A$1:$C$1,),)=0,#N/A,VLOOKUP(Table7[[#This Row],[Date]],Database!$A:$C,MATCH($B$1,Database!$A$1:$C$1,),))</f>
        <v/>
      </c>
      <c r="C12809">
        <f>IF(VLOOKUP(Table7[[#This Row],[Date]],Database!$A:$C,MATCH($C$1,Database!$A$1:$C$1,),)=0,#N/A,VLOOKUP(Table7[[#This Row],[Date]],Database!$A:$C,MATCH($C$1,Database!$A$1:$C$1,),))</f>
        <v/>
      </c>
      <c r="D12809">
        <f>IFERROR(Table7[[#This Row],[United States 10y]]-Table7[[#This Row],[United States 3y]],#N/A)</f>
        <v/>
      </c>
    </row>
    <row r="12810">
      <c r="A12810" s="6">
        <f>Database!$A14895</f>
        <v/>
      </c>
      <c r="B12810">
        <f>IF(VLOOKUP(Table7[[#This Row],[Date]],Database!$A:$C,MATCH($B$1,Database!$A$1:$C$1,),)=0,#N/A,VLOOKUP(Table7[[#This Row],[Date]],Database!$A:$C,MATCH($B$1,Database!$A$1:$C$1,),))</f>
        <v/>
      </c>
      <c r="C12810">
        <f>IF(VLOOKUP(Table7[[#This Row],[Date]],Database!$A:$C,MATCH($C$1,Database!$A$1:$C$1,),)=0,#N/A,VLOOKUP(Table7[[#This Row],[Date]],Database!$A:$C,MATCH($C$1,Database!$A$1:$C$1,),))</f>
        <v/>
      </c>
      <c r="D12810">
        <f>IFERROR(Table7[[#This Row],[United States 10y]]-Table7[[#This Row],[United States 3y]],#N/A)</f>
        <v/>
      </c>
    </row>
    <row r="12811">
      <c r="A12811" s="6">
        <f>Database!$A14896</f>
        <v/>
      </c>
      <c r="B12811">
        <f>IF(VLOOKUP(Table7[[#This Row],[Date]],Database!$A:$C,MATCH($B$1,Database!$A$1:$C$1,),)=0,#N/A,VLOOKUP(Table7[[#This Row],[Date]],Database!$A:$C,MATCH($B$1,Database!$A$1:$C$1,),))</f>
        <v/>
      </c>
      <c r="C12811">
        <f>IF(VLOOKUP(Table7[[#This Row],[Date]],Database!$A:$C,MATCH($C$1,Database!$A$1:$C$1,),)=0,#N/A,VLOOKUP(Table7[[#This Row],[Date]],Database!$A:$C,MATCH($C$1,Database!$A$1:$C$1,),))</f>
        <v/>
      </c>
      <c r="D12811">
        <f>IFERROR(Table7[[#This Row],[United States 10y]]-Table7[[#This Row],[United States 3y]],#N/A)</f>
        <v/>
      </c>
    </row>
    <row r="12812">
      <c r="A12812" s="6">
        <f>Database!$A14897</f>
        <v/>
      </c>
      <c r="B12812">
        <f>IF(VLOOKUP(Table7[[#This Row],[Date]],Database!$A:$C,MATCH($B$1,Database!$A$1:$C$1,),)=0,#N/A,VLOOKUP(Table7[[#This Row],[Date]],Database!$A:$C,MATCH($B$1,Database!$A$1:$C$1,),))</f>
        <v/>
      </c>
      <c r="C12812">
        <f>IF(VLOOKUP(Table7[[#This Row],[Date]],Database!$A:$C,MATCH($C$1,Database!$A$1:$C$1,),)=0,#N/A,VLOOKUP(Table7[[#This Row],[Date]],Database!$A:$C,MATCH($C$1,Database!$A$1:$C$1,),))</f>
        <v/>
      </c>
      <c r="D12812">
        <f>IFERROR(Table7[[#This Row],[United States 10y]]-Table7[[#This Row],[United States 3y]],#N/A)</f>
        <v/>
      </c>
    </row>
    <row r="12813">
      <c r="A12813" s="6">
        <f>Database!$A14898</f>
        <v/>
      </c>
      <c r="B12813">
        <f>IF(VLOOKUP(Table7[[#This Row],[Date]],Database!$A:$C,MATCH($B$1,Database!$A$1:$C$1,),)=0,#N/A,VLOOKUP(Table7[[#This Row],[Date]],Database!$A:$C,MATCH($B$1,Database!$A$1:$C$1,),))</f>
        <v/>
      </c>
      <c r="C12813">
        <f>IF(VLOOKUP(Table7[[#This Row],[Date]],Database!$A:$C,MATCH($C$1,Database!$A$1:$C$1,),)=0,#N/A,VLOOKUP(Table7[[#This Row],[Date]],Database!$A:$C,MATCH($C$1,Database!$A$1:$C$1,),))</f>
        <v/>
      </c>
      <c r="D12813">
        <f>IFERROR(Table7[[#This Row],[United States 10y]]-Table7[[#This Row],[United States 3y]],#N/A)</f>
        <v/>
      </c>
    </row>
    <row r="12814">
      <c r="A12814" s="6">
        <f>Database!$A14899</f>
        <v/>
      </c>
      <c r="B12814">
        <f>IF(VLOOKUP(Table7[[#This Row],[Date]],Database!$A:$C,MATCH($B$1,Database!$A$1:$C$1,),)=0,#N/A,VLOOKUP(Table7[[#This Row],[Date]],Database!$A:$C,MATCH($B$1,Database!$A$1:$C$1,),))</f>
        <v/>
      </c>
      <c r="C12814">
        <f>IF(VLOOKUP(Table7[[#This Row],[Date]],Database!$A:$C,MATCH($C$1,Database!$A$1:$C$1,),)=0,#N/A,VLOOKUP(Table7[[#This Row],[Date]],Database!$A:$C,MATCH($C$1,Database!$A$1:$C$1,),))</f>
        <v/>
      </c>
      <c r="D12814">
        <f>IFERROR(Table7[[#This Row],[United States 10y]]-Table7[[#This Row],[United States 3y]],#N/A)</f>
        <v/>
      </c>
    </row>
    <row r="12815">
      <c r="A12815" s="6">
        <f>Database!$A14900</f>
        <v/>
      </c>
      <c r="B12815">
        <f>IF(VLOOKUP(Table7[[#This Row],[Date]],Database!$A:$C,MATCH($B$1,Database!$A$1:$C$1,),)=0,#N/A,VLOOKUP(Table7[[#This Row],[Date]],Database!$A:$C,MATCH($B$1,Database!$A$1:$C$1,),))</f>
        <v/>
      </c>
      <c r="C12815">
        <f>IF(VLOOKUP(Table7[[#This Row],[Date]],Database!$A:$C,MATCH($C$1,Database!$A$1:$C$1,),)=0,#N/A,VLOOKUP(Table7[[#This Row],[Date]],Database!$A:$C,MATCH($C$1,Database!$A$1:$C$1,),))</f>
        <v/>
      </c>
      <c r="D12815">
        <f>IFERROR(Table7[[#This Row],[United States 10y]]-Table7[[#This Row],[United States 3y]],#N/A)</f>
        <v/>
      </c>
    </row>
    <row r="12816">
      <c r="A12816" s="6">
        <f>Database!$A14901</f>
        <v/>
      </c>
      <c r="B12816">
        <f>IF(VLOOKUP(Table7[[#This Row],[Date]],Database!$A:$C,MATCH($B$1,Database!$A$1:$C$1,),)=0,#N/A,VLOOKUP(Table7[[#This Row],[Date]],Database!$A:$C,MATCH($B$1,Database!$A$1:$C$1,),))</f>
        <v/>
      </c>
      <c r="C12816">
        <f>IF(VLOOKUP(Table7[[#This Row],[Date]],Database!$A:$C,MATCH($C$1,Database!$A$1:$C$1,),)=0,#N/A,VLOOKUP(Table7[[#This Row],[Date]],Database!$A:$C,MATCH($C$1,Database!$A$1:$C$1,),))</f>
        <v/>
      </c>
      <c r="D12816">
        <f>IFERROR(Table7[[#This Row],[United States 10y]]-Table7[[#This Row],[United States 3y]],#N/A)</f>
        <v/>
      </c>
    </row>
    <row r="12817">
      <c r="A12817" s="6">
        <f>Database!$A14902</f>
        <v/>
      </c>
      <c r="B12817">
        <f>IF(VLOOKUP(Table7[[#This Row],[Date]],Database!$A:$C,MATCH($B$1,Database!$A$1:$C$1,),)=0,#N/A,VLOOKUP(Table7[[#This Row],[Date]],Database!$A:$C,MATCH($B$1,Database!$A$1:$C$1,),))</f>
        <v/>
      </c>
      <c r="C12817">
        <f>IF(VLOOKUP(Table7[[#This Row],[Date]],Database!$A:$C,MATCH($C$1,Database!$A$1:$C$1,),)=0,#N/A,VLOOKUP(Table7[[#This Row],[Date]],Database!$A:$C,MATCH($C$1,Database!$A$1:$C$1,),))</f>
        <v/>
      </c>
      <c r="D12817">
        <f>IFERROR(Table7[[#This Row],[United States 10y]]-Table7[[#This Row],[United States 3y]],#N/A)</f>
        <v/>
      </c>
    </row>
    <row r="12818">
      <c r="A12818" s="6">
        <f>Database!$A14903</f>
        <v/>
      </c>
      <c r="B12818">
        <f>IF(VLOOKUP(Table7[[#This Row],[Date]],Database!$A:$C,MATCH($B$1,Database!$A$1:$C$1,),)=0,#N/A,VLOOKUP(Table7[[#This Row],[Date]],Database!$A:$C,MATCH($B$1,Database!$A$1:$C$1,),))</f>
        <v/>
      </c>
      <c r="C12818">
        <f>IF(VLOOKUP(Table7[[#This Row],[Date]],Database!$A:$C,MATCH($C$1,Database!$A$1:$C$1,),)=0,#N/A,VLOOKUP(Table7[[#This Row],[Date]],Database!$A:$C,MATCH($C$1,Database!$A$1:$C$1,),))</f>
        <v/>
      </c>
      <c r="D12818">
        <f>IFERROR(Table7[[#This Row],[United States 10y]]-Table7[[#This Row],[United States 3y]],#N/A)</f>
        <v/>
      </c>
    </row>
    <row r="12819">
      <c r="A12819" s="6">
        <f>Database!$A14904</f>
        <v/>
      </c>
      <c r="B12819">
        <f>IF(VLOOKUP(Table7[[#This Row],[Date]],Database!$A:$C,MATCH($B$1,Database!$A$1:$C$1,),)=0,#N/A,VLOOKUP(Table7[[#This Row],[Date]],Database!$A:$C,MATCH($B$1,Database!$A$1:$C$1,),))</f>
        <v/>
      </c>
      <c r="C12819">
        <f>IF(VLOOKUP(Table7[[#This Row],[Date]],Database!$A:$C,MATCH($C$1,Database!$A$1:$C$1,),)=0,#N/A,VLOOKUP(Table7[[#This Row],[Date]],Database!$A:$C,MATCH($C$1,Database!$A$1:$C$1,),))</f>
        <v/>
      </c>
      <c r="D12819">
        <f>IFERROR(Table7[[#This Row],[United States 10y]]-Table7[[#This Row],[United States 3y]],#N/A)</f>
        <v/>
      </c>
    </row>
    <row r="12820">
      <c r="A12820" s="6">
        <f>Database!$A14905</f>
        <v/>
      </c>
      <c r="B12820">
        <f>IF(VLOOKUP(Table7[[#This Row],[Date]],Database!$A:$C,MATCH($B$1,Database!$A$1:$C$1,),)=0,#N/A,VLOOKUP(Table7[[#This Row],[Date]],Database!$A:$C,MATCH($B$1,Database!$A$1:$C$1,),))</f>
        <v/>
      </c>
      <c r="C12820">
        <f>IF(VLOOKUP(Table7[[#This Row],[Date]],Database!$A:$C,MATCH($C$1,Database!$A$1:$C$1,),)=0,#N/A,VLOOKUP(Table7[[#This Row],[Date]],Database!$A:$C,MATCH($C$1,Database!$A$1:$C$1,),))</f>
        <v/>
      </c>
      <c r="D12820">
        <f>IFERROR(Table7[[#This Row],[United States 10y]]-Table7[[#This Row],[United States 3y]],#N/A)</f>
        <v/>
      </c>
    </row>
    <row r="12821">
      <c r="A12821" s="6">
        <f>Database!$A14906</f>
        <v/>
      </c>
      <c r="B12821">
        <f>IF(VLOOKUP(Table7[[#This Row],[Date]],Database!$A:$C,MATCH($B$1,Database!$A$1:$C$1,),)=0,#N/A,VLOOKUP(Table7[[#This Row],[Date]],Database!$A:$C,MATCH($B$1,Database!$A$1:$C$1,),))</f>
        <v/>
      </c>
      <c r="C12821">
        <f>IF(VLOOKUP(Table7[[#This Row],[Date]],Database!$A:$C,MATCH($C$1,Database!$A$1:$C$1,),)=0,#N/A,VLOOKUP(Table7[[#This Row],[Date]],Database!$A:$C,MATCH($C$1,Database!$A$1:$C$1,),))</f>
        <v/>
      </c>
      <c r="D12821">
        <f>IFERROR(Table7[[#This Row],[United States 10y]]-Table7[[#This Row],[United States 3y]],#N/A)</f>
        <v/>
      </c>
    </row>
    <row r="12822">
      <c r="A12822" s="6">
        <f>Database!$A14907</f>
        <v/>
      </c>
      <c r="B12822">
        <f>IF(VLOOKUP(Table7[[#This Row],[Date]],Database!$A:$C,MATCH($B$1,Database!$A$1:$C$1,),)=0,#N/A,VLOOKUP(Table7[[#This Row],[Date]],Database!$A:$C,MATCH($B$1,Database!$A$1:$C$1,),))</f>
        <v/>
      </c>
      <c r="C12822">
        <f>IF(VLOOKUP(Table7[[#This Row],[Date]],Database!$A:$C,MATCH($C$1,Database!$A$1:$C$1,),)=0,#N/A,VLOOKUP(Table7[[#This Row],[Date]],Database!$A:$C,MATCH($C$1,Database!$A$1:$C$1,),))</f>
        <v/>
      </c>
      <c r="D12822">
        <f>IFERROR(Table7[[#This Row],[United States 10y]]-Table7[[#This Row],[United States 3y]],#N/A)</f>
        <v/>
      </c>
    </row>
    <row r="12823">
      <c r="A12823" s="6">
        <f>Database!$A14908</f>
        <v/>
      </c>
      <c r="B12823">
        <f>IF(VLOOKUP(Table7[[#This Row],[Date]],Database!$A:$C,MATCH($B$1,Database!$A$1:$C$1,),)=0,#N/A,VLOOKUP(Table7[[#This Row],[Date]],Database!$A:$C,MATCH($B$1,Database!$A$1:$C$1,),))</f>
        <v/>
      </c>
      <c r="C12823">
        <f>IF(VLOOKUP(Table7[[#This Row],[Date]],Database!$A:$C,MATCH($C$1,Database!$A$1:$C$1,),)=0,#N/A,VLOOKUP(Table7[[#This Row],[Date]],Database!$A:$C,MATCH($C$1,Database!$A$1:$C$1,),))</f>
        <v/>
      </c>
      <c r="D12823">
        <f>IFERROR(Table7[[#This Row],[United States 10y]]-Table7[[#This Row],[United States 3y]],#N/A)</f>
        <v/>
      </c>
    </row>
    <row r="12824">
      <c r="A12824" s="6">
        <f>Database!$A14909</f>
        <v/>
      </c>
      <c r="B12824">
        <f>IF(VLOOKUP(Table7[[#This Row],[Date]],Database!$A:$C,MATCH($B$1,Database!$A$1:$C$1,),)=0,#N/A,VLOOKUP(Table7[[#This Row],[Date]],Database!$A:$C,MATCH($B$1,Database!$A$1:$C$1,),))</f>
        <v/>
      </c>
      <c r="C12824">
        <f>IF(VLOOKUP(Table7[[#This Row],[Date]],Database!$A:$C,MATCH($C$1,Database!$A$1:$C$1,),)=0,#N/A,VLOOKUP(Table7[[#This Row],[Date]],Database!$A:$C,MATCH($C$1,Database!$A$1:$C$1,),))</f>
        <v/>
      </c>
      <c r="D12824">
        <f>IFERROR(Table7[[#This Row],[United States 10y]]-Table7[[#This Row],[United States 3y]],#N/A)</f>
        <v/>
      </c>
    </row>
    <row r="12825">
      <c r="A12825" s="6">
        <f>Database!$A14910</f>
        <v/>
      </c>
      <c r="B12825">
        <f>IF(VLOOKUP(Table7[[#This Row],[Date]],Database!$A:$C,MATCH($B$1,Database!$A$1:$C$1,),)=0,#N/A,VLOOKUP(Table7[[#This Row],[Date]],Database!$A:$C,MATCH($B$1,Database!$A$1:$C$1,),))</f>
        <v/>
      </c>
      <c r="C12825">
        <f>IF(VLOOKUP(Table7[[#This Row],[Date]],Database!$A:$C,MATCH($C$1,Database!$A$1:$C$1,),)=0,#N/A,VLOOKUP(Table7[[#This Row],[Date]],Database!$A:$C,MATCH($C$1,Database!$A$1:$C$1,),))</f>
        <v/>
      </c>
      <c r="D12825">
        <f>IFERROR(Table7[[#This Row],[United States 10y]]-Table7[[#This Row],[United States 3y]],#N/A)</f>
        <v/>
      </c>
    </row>
    <row r="12826">
      <c r="A12826" s="6">
        <f>Database!$A14911</f>
        <v/>
      </c>
      <c r="B12826">
        <f>IF(VLOOKUP(Table7[[#This Row],[Date]],Database!$A:$C,MATCH($B$1,Database!$A$1:$C$1,),)=0,#N/A,VLOOKUP(Table7[[#This Row],[Date]],Database!$A:$C,MATCH($B$1,Database!$A$1:$C$1,),))</f>
        <v/>
      </c>
      <c r="C12826">
        <f>IF(VLOOKUP(Table7[[#This Row],[Date]],Database!$A:$C,MATCH($C$1,Database!$A$1:$C$1,),)=0,#N/A,VLOOKUP(Table7[[#This Row],[Date]],Database!$A:$C,MATCH($C$1,Database!$A$1:$C$1,),))</f>
        <v/>
      </c>
      <c r="D12826">
        <f>IFERROR(Table7[[#This Row],[United States 10y]]-Table7[[#This Row],[United States 3y]],#N/A)</f>
        <v/>
      </c>
    </row>
    <row r="12827">
      <c r="A12827" s="6">
        <f>Database!$A14912</f>
        <v/>
      </c>
      <c r="B12827">
        <f>IF(VLOOKUP(Table7[[#This Row],[Date]],Database!$A:$C,MATCH($B$1,Database!$A$1:$C$1,),)=0,#N/A,VLOOKUP(Table7[[#This Row],[Date]],Database!$A:$C,MATCH($B$1,Database!$A$1:$C$1,),))</f>
        <v/>
      </c>
      <c r="C12827">
        <f>IF(VLOOKUP(Table7[[#This Row],[Date]],Database!$A:$C,MATCH($C$1,Database!$A$1:$C$1,),)=0,#N/A,VLOOKUP(Table7[[#This Row],[Date]],Database!$A:$C,MATCH($C$1,Database!$A$1:$C$1,),))</f>
        <v/>
      </c>
      <c r="D12827">
        <f>IFERROR(Table7[[#This Row],[United States 10y]]-Table7[[#This Row],[United States 3y]],#N/A)</f>
        <v/>
      </c>
    </row>
    <row r="12828">
      <c r="A12828" s="6">
        <f>Database!$A14913</f>
        <v/>
      </c>
      <c r="B12828">
        <f>IF(VLOOKUP(Table7[[#This Row],[Date]],Database!$A:$C,MATCH($B$1,Database!$A$1:$C$1,),)=0,#N/A,VLOOKUP(Table7[[#This Row],[Date]],Database!$A:$C,MATCH($B$1,Database!$A$1:$C$1,),))</f>
        <v/>
      </c>
      <c r="C12828">
        <f>IF(VLOOKUP(Table7[[#This Row],[Date]],Database!$A:$C,MATCH($C$1,Database!$A$1:$C$1,),)=0,#N/A,VLOOKUP(Table7[[#This Row],[Date]],Database!$A:$C,MATCH($C$1,Database!$A$1:$C$1,),))</f>
        <v/>
      </c>
      <c r="D12828">
        <f>IFERROR(Table7[[#This Row],[United States 10y]]-Table7[[#This Row],[United States 3y]],#N/A)</f>
        <v/>
      </c>
    </row>
    <row r="12829">
      <c r="A12829" s="6">
        <f>Database!$A14914</f>
        <v/>
      </c>
      <c r="B12829">
        <f>IF(VLOOKUP(Table7[[#This Row],[Date]],Database!$A:$C,MATCH($B$1,Database!$A$1:$C$1,),)=0,#N/A,VLOOKUP(Table7[[#This Row],[Date]],Database!$A:$C,MATCH($B$1,Database!$A$1:$C$1,),))</f>
        <v/>
      </c>
      <c r="C12829">
        <f>IF(VLOOKUP(Table7[[#This Row],[Date]],Database!$A:$C,MATCH($C$1,Database!$A$1:$C$1,),)=0,#N/A,VLOOKUP(Table7[[#This Row],[Date]],Database!$A:$C,MATCH($C$1,Database!$A$1:$C$1,),))</f>
        <v/>
      </c>
      <c r="D12829">
        <f>IFERROR(Table7[[#This Row],[United States 10y]]-Table7[[#This Row],[United States 3y]],#N/A)</f>
        <v/>
      </c>
    </row>
    <row r="12830">
      <c r="A12830" s="6">
        <f>Database!$A14915</f>
        <v/>
      </c>
      <c r="B12830">
        <f>IF(VLOOKUP(Table7[[#This Row],[Date]],Database!$A:$C,MATCH($B$1,Database!$A$1:$C$1,),)=0,#N/A,VLOOKUP(Table7[[#This Row],[Date]],Database!$A:$C,MATCH($B$1,Database!$A$1:$C$1,),))</f>
        <v/>
      </c>
      <c r="C12830">
        <f>IF(VLOOKUP(Table7[[#This Row],[Date]],Database!$A:$C,MATCH($C$1,Database!$A$1:$C$1,),)=0,#N/A,VLOOKUP(Table7[[#This Row],[Date]],Database!$A:$C,MATCH($C$1,Database!$A$1:$C$1,),))</f>
        <v/>
      </c>
      <c r="D12830">
        <f>IFERROR(Table7[[#This Row],[United States 10y]]-Table7[[#This Row],[United States 3y]],#N/A)</f>
        <v/>
      </c>
    </row>
    <row r="12831">
      <c r="A12831" s="6">
        <f>Database!$A14916</f>
        <v/>
      </c>
      <c r="B12831">
        <f>IF(VLOOKUP(Table7[[#This Row],[Date]],Database!$A:$C,MATCH($B$1,Database!$A$1:$C$1,),)=0,#N/A,VLOOKUP(Table7[[#This Row],[Date]],Database!$A:$C,MATCH($B$1,Database!$A$1:$C$1,),))</f>
        <v/>
      </c>
      <c r="C12831">
        <f>IF(VLOOKUP(Table7[[#This Row],[Date]],Database!$A:$C,MATCH($C$1,Database!$A$1:$C$1,),)=0,#N/A,VLOOKUP(Table7[[#This Row],[Date]],Database!$A:$C,MATCH($C$1,Database!$A$1:$C$1,),))</f>
        <v/>
      </c>
      <c r="D12831">
        <f>IFERROR(Table7[[#This Row],[United States 10y]]-Table7[[#This Row],[United States 3y]],#N/A)</f>
        <v/>
      </c>
    </row>
    <row r="12832">
      <c r="A12832" s="6">
        <f>Database!$A14917</f>
        <v/>
      </c>
      <c r="B12832">
        <f>IF(VLOOKUP(Table7[[#This Row],[Date]],Database!$A:$C,MATCH($B$1,Database!$A$1:$C$1,),)=0,#N/A,VLOOKUP(Table7[[#This Row],[Date]],Database!$A:$C,MATCH($B$1,Database!$A$1:$C$1,),))</f>
        <v/>
      </c>
      <c r="C12832">
        <f>IF(VLOOKUP(Table7[[#This Row],[Date]],Database!$A:$C,MATCH($C$1,Database!$A$1:$C$1,),)=0,#N/A,VLOOKUP(Table7[[#This Row],[Date]],Database!$A:$C,MATCH($C$1,Database!$A$1:$C$1,),))</f>
        <v/>
      </c>
      <c r="D12832">
        <f>IFERROR(Table7[[#This Row],[United States 10y]]-Table7[[#This Row],[United States 3y]],#N/A)</f>
        <v/>
      </c>
    </row>
    <row r="12833">
      <c r="A12833" s="6">
        <f>Database!$A14918</f>
        <v/>
      </c>
      <c r="B12833">
        <f>IF(VLOOKUP(Table7[[#This Row],[Date]],Database!$A:$C,MATCH($B$1,Database!$A$1:$C$1,),)=0,#N/A,VLOOKUP(Table7[[#This Row],[Date]],Database!$A:$C,MATCH($B$1,Database!$A$1:$C$1,),))</f>
        <v/>
      </c>
      <c r="C12833">
        <f>IF(VLOOKUP(Table7[[#This Row],[Date]],Database!$A:$C,MATCH($C$1,Database!$A$1:$C$1,),)=0,#N/A,VLOOKUP(Table7[[#This Row],[Date]],Database!$A:$C,MATCH($C$1,Database!$A$1:$C$1,),))</f>
        <v/>
      </c>
      <c r="D12833">
        <f>IFERROR(Table7[[#This Row],[United States 10y]]-Table7[[#This Row],[United States 3y]],#N/A)</f>
        <v/>
      </c>
    </row>
    <row r="12834">
      <c r="A12834" s="6">
        <f>Database!$A14919</f>
        <v/>
      </c>
      <c r="B12834">
        <f>IF(VLOOKUP(Table7[[#This Row],[Date]],Database!$A:$C,MATCH($B$1,Database!$A$1:$C$1,),)=0,#N/A,VLOOKUP(Table7[[#This Row],[Date]],Database!$A:$C,MATCH($B$1,Database!$A$1:$C$1,),))</f>
        <v/>
      </c>
      <c r="C12834">
        <f>IF(VLOOKUP(Table7[[#This Row],[Date]],Database!$A:$C,MATCH($C$1,Database!$A$1:$C$1,),)=0,#N/A,VLOOKUP(Table7[[#This Row],[Date]],Database!$A:$C,MATCH($C$1,Database!$A$1:$C$1,),))</f>
        <v/>
      </c>
      <c r="D12834">
        <f>IFERROR(Table7[[#This Row],[United States 10y]]-Table7[[#This Row],[United States 3y]],#N/A)</f>
        <v/>
      </c>
    </row>
    <row r="12835">
      <c r="A12835" s="6">
        <f>Database!$A14920</f>
        <v/>
      </c>
      <c r="B12835">
        <f>IF(VLOOKUP(Table7[[#This Row],[Date]],Database!$A:$C,MATCH($B$1,Database!$A$1:$C$1,),)=0,#N/A,VLOOKUP(Table7[[#This Row],[Date]],Database!$A:$C,MATCH($B$1,Database!$A$1:$C$1,),))</f>
        <v/>
      </c>
      <c r="C12835">
        <f>IF(VLOOKUP(Table7[[#This Row],[Date]],Database!$A:$C,MATCH($C$1,Database!$A$1:$C$1,),)=0,#N/A,VLOOKUP(Table7[[#This Row],[Date]],Database!$A:$C,MATCH($C$1,Database!$A$1:$C$1,),))</f>
        <v/>
      </c>
      <c r="D12835">
        <f>IFERROR(Table7[[#This Row],[United States 10y]]-Table7[[#This Row],[United States 3y]],#N/A)</f>
        <v/>
      </c>
    </row>
    <row r="12836">
      <c r="A12836" s="6">
        <f>Database!$A14921</f>
        <v/>
      </c>
      <c r="B12836">
        <f>IF(VLOOKUP(Table7[[#This Row],[Date]],Database!$A:$C,MATCH($B$1,Database!$A$1:$C$1,),)=0,#N/A,VLOOKUP(Table7[[#This Row],[Date]],Database!$A:$C,MATCH($B$1,Database!$A$1:$C$1,),))</f>
        <v/>
      </c>
      <c r="C12836">
        <f>IF(VLOOKUP(Table7[[#This Row],[Date]],Database!$A:$C,MATCH($C$1,Database!$A$1:$C$1,),)=0,#N/A,VLOOKUP(Table7[[#This Row],[Date]],Database!$A:$C,MATCH($C$1,Database!$A$1:$C$1,),))</f>
        <v/>
      </c>
      <c r="D12836">
        <f>IFERROR(Table7[[#This Row],[United States 10y]]-Table7[[#This Row],[United States 3y]],#N/A)</f>
        <v/>
      </c>
    </row>
    <row r="12837">
      <c r="A12837" s="6">
        <f>Database!$A14922</f>
        <v/>
      </c>
      <c r="B12837">
        <f>IF(VLOOKUP(Table7[[#This Row],[Date]],Database!$A:$C,MATCH($B$1,Database!$A$1:$C$1,),)=0,#N/A,VLOOKUP(Table7[[#This Row],[Date]],Database!$A:$C,MATCH($B$1,Database!$A$1:$C$1,),))</f>
        <v/>
      </c>
      <c r="C12837">
        <f>IF(VLOOKUP(Table7[[#This Row],[Date]],Database!$A:$C,MATCH($C$1,Database!$A$1:$C$1,),)=0,#N/A,VLOOKUP(Table7[[#This Row],[Date]],Database!$A:$C,MATCH($C$1,Database!$A$1:$C$1,),))</f>
        <v/>
      </c>
      <c r="D12837">
        <f>IFERROR(Table7[[#This Row],[United States 10y]]-Table7[[#This Row],[United States 3y]],#N/A)</f>
        <v/>
      </c>
    </row>
    <row r="12838">
      <c r="A12838" s="6">
        <f>Database!$A14923</f>
        <v/>
      </c>
      <c r="B12838">
        <f>IF(VLOOKUP(Table7[[#This Row],[Date]],Database!$A:$C,MATCH($B$1,Database!$A$1:$C$1,),)=0,#N/A,VLOOKUP(Table7[[#This Row],[Date]],Database!$A:$C,MATCH($B$1,Database!$A$1:$C$1,),))</f>
        <v/>
      </c>
      <c r="C12838">
        <f>IF(VLOOKUP(Table7[[#This Row],[Date]],Database!$A:$C,MATCH($C$1,Database!$A$1:$C$1,),)=0,#N/A,VLOOKUP(Table7[[#This Row],[Date]],Database!$A:$C,MATCH($C$1,Database!$A$1:$C$1,),))</f>
        <v/>
      </c>
      <c r="D12838">
        <f>IFERROR(Table7[[#This Row],[United States 10y]]-Table7[[#This Row],[United States 3y]],#N/A)</f>
        <v/>
      </c>
    </row>
    <row r="12839">
      <c r="A12839" s="6">
        <f>Database!$A14924</f>
        <v/>
      </c>
      <c r="B12839">
        <f>IF(VLOOKUP(Table7[[#This Row],[Date]],Database!$A:$C,MATCH($B$1,Database!$A$1:$C$1,),)=0,#N/A,VLOOKUP(Table7[[#This Row],[Date]],Database!$A:$C,MATCH($B$1,Database!$A$1:$C$1,),))</f>
        <v/>
      </c>
      <c r="C12839">
        <f>IF(VLOOKUP(Table7[[#This Row],[Date]],Database!$A:$C,MATCH($C$1,Database!$A$1:$C$1,),)=0,#N/A,VLOOKUP(Table7[[#This Row],[Date]],Database!$A:$C,MATCH($C$1,Database!$A$1:$C$1,),))</f>
        <v/>
      </c>
      <c r="D12839">
        <f>IFERROR(Table7[[#This Row],[United States 10y]]-Table7[[#This Row],[United States 3y]],#N/A)</f>
        <v/>
      </c>
    </row>
    <row r="12840">
      <c r="A12840" s="6">
        <f>Database!$A14925</f>
        <v/>
      </c>
      <c r="B12840">
        <f>IF(VLOOKUP(Table7[[#This Row],[Date]],Database!$A:$C,MATCH($B$1,Database!$A$1:$C$1,),)=0,#N/A,VLOOKUP(Table7[[#This Row],[Date]],Database!$A:$C,MATCH($B$1,Database!$A$1:$C$1,),))</f>
        <v/>
      </c>
      <c r="C12840">
        <f>IF(VLOOKUP(Table7[[#This Row],[Date]],Database!$A:$C,MATCH($C$1,Database!$A$1:$C$1,),)=0,#N/A,VLOOKUP(Table7[[#This Row],[Date]],Database!$A:$C,MATCH($C$1,Database!$A$1:$C$1,),))</f>
        <v/>
      </c>
      <c r="D12840">
        <f>IFERROR(Table7[[#This Row],[United States 10y]]-Table7[[#This Row],[United States 3y]],#N/A)</f>
        <v/>
      </c>
    </row>
    <row r="12841">
      <c r="A12841" s="6">
        <f>Database!$A14926</f>
        <v/>
      </c>
      <c r="B12841">
        <f>IF(VLOOKUP(Table7[[#This Row],[Date]],Database!$A:$C,MATCH($B$1,Database!$A$1:$C$1,),)=0,#N/A,VLOOKUP(Table7[[#This Row],[Date]],Database!$A:$C,MATCH($B$1,Database!$A$1:$C$1,),))</f>
        <v/>
      </c>
      <c r="C12841">
        <f>IF(VLOOKUP(Table7[[#This Row],[Date]],Database!$A:$C,MATCH($C$1,Database!$A$1:$C$1,),)=0,#N/A,VLOOKUP(Table7[[#This Row],[Date]],Database!$A:$C,MATCH($C$1,Database!$A$1:$C$1,),))</f>
        <v/>
      </c>
      <c r="D12841">
        <f>IFERROR(Table7[[#This Row],[United States 10y]]-Table7[[#This Row],[United States 3y]],#N/A)</f>
        <v/>
      </c>
    </row>
    <row r="12842">
      <c r="A12842" s="6">
        <f>Database!$A14927</f>
        <v/>
      </c>
      <c r="B12842">
        <f>IF(VLOOKUP(Table7[[#This Row],[Date]],Database!$A:$C,MATCH($B$1,Database!$A$1:$C$1,),)=0,#N/A,VLOOKUP(Table7[[#This Row],[Date]],Database!$A:$C,MATCH($B$1,Database!$A$1:$C$1,),))</f>
        <v/>
      </c>
      <c r="C12842">
        <f>IF(VLOOKUP(Table7[[#This Row],[Date]],Database!$A:$C,MATCH($C$1,Database!$A$1:$C$1,),)=0,#N/A,VLOOKUP(Table7[[#This Row],[Date]],Database!$A:$C,MATCH($C$1,Database!$A$1:$C$1,),))</f>
        <v/>
      </c>
      <c r="D12842">
        <f>IFERROR(Table7[[#This Row],[United States 10y]]-Table7[[#This Row],[United States 3y]],#N/A)</f>
        <v/>
      </c>
    </row>
    <row r="12843">
      <c r="A12843" s="6">
        <f>Database!$A14928</f>
        <v/>
      </c>
      <c r="B12843">
        <f>IF(VLOOKUP(Table7[[#This Row],[Date]],Database!$A:$C,MATCH($B$1,Database!$A$1:$C$1,),)=0,#N/A,VLOOKUP(Table7[[#This Row],[Date]],Database!$A:$C,MATCH($B$1,Database!$A$1:$C$1,),))</f>
        <v/>
      </c>
      <c r="C12843">
        <f>IF(VLOOKUP(Table7[[#This Row],[Date]],Database!$A:$C,MATCH($C$1,Database!$A$1:$C$1,),)=0,#N/A,VLOOKUP(Table7[[#This Row],[Date]],Database!$A:$C,MATCH($C$1,Database!$A$1:$C$1,),))</f>
        <v/>
      </c>
      <c r="D12843">
        <f>IFERROR(Table7[[#This Row],[United States 10y]]-Table7[[#This Row],[United States 3y]],#N/A)</f>
        <v/>
      </c>
    </row>
    <row r="12844">
      <c r="A12844" s="6">
        <f>Database!$A14929</f>
        <v/>
      </c>
      <c r="B12844">
        <f>IF(VLOOKUP(Table7[[#This Row],[Date]],Database!$A:$C,MATCH($B$1,Database!$A$1:$C$1,),)=0,#N/A,VLOOKUP(Table7[[#This Row],[Date]],Database!$A:$C,MATCH($B$1,Database!$A$1:$C$1,),))</f>
        <v/>
      </c>
      <c r="C12844">
        <f>IF(VLOOKUP(Table7[[#This Row],[Date]],Database!$A:$C,MATCH($C$1,Database!$A$1:$C$1,),)=0,#N/A,VLOOKUP(Table7[[#This Row],[Date]],Database!$A:$C,MATCH($C$1,Database!$A$1:$C$1,),))</f>
        <v/>
      </c>
      <c r="D12844">
        <f>IFERROR(Table7[[#This Row],[United States 10y]]-Table7[[#This Row],[United States 3y]],#N/A)</f>
        <v/>
      </c>
    </row>
    <row r="12845">
      <c r="A12845" s="6">
        <f>Database!$A14930</f>
        <v/>
      </c>
      <c r="B12845">
        <f>IF(VLOOKUP(Table7[[#This Row],[Date]],Database!$A:$C,MATCH($B$1,Database!$A$1:$C$1,),)=0,#N/A,VLOOKUP(Table7[[#This Row],[Date]],Database!$A:$C,MATCH($B$1,Database!$A$1:$C$1,),))</f>
        <v/>
      </c>
      <c r="C12845">
        <f>IF(VLOOKUP(Table7[[#This Row],[Date]],Database!$A:$C,MATCH($C$1,Database!$A$1:$C$1,),)=0,#N/A,VLOOKUP(Table7[[#This Row],[Date]],Database!$A:$C,MATCH($C$1,Database!$A$1:$C$1,),))</f>
        <v/>
      </c>
      <c r="D12845">
        <f>IFERROR(Table7[[#This Row],[United States 10y]]-Table7[[#This Row],[United States 3y]],#N/A)</f>
        <v/>
      </c>
    </row>
    <row r="12846">
      <c r="A12846" s="6">
        <f>Database!$A14931</f>
        <v/>
      </c>
      <c r="B12846">
        <f>IF(VLOOKUP(Table7[[#This Row],[Date]],Database!$A:$C,MATCH($B$1,Database!$A$1:$C$1,),)=0,#N/A,VLOOKUP(Table7[[#This Row],[Date]],Database!$A:$C,MATCH($B$1,Database!$A$1:$C$1,),))</f>
        <v/>
      </c>
      <c r="C12846">
        <f>IF(VLOOKUP(Table7[[#This Row],[Date]],Database!$A:$C,MATCH($C$1,Database!$A$1:$C$1,),)=0,#N/A,VLOOKUP(Table7[[#This Row],[Date]],Database!$A:$C,MATCH($C$1,Database!$A$1:$C$1,),))</f>
        <v/>
      </c>
      <c r="D12846">
        <f>IFERROR(Table7[[#This Row],[United States 10y]]-Table7[[#This Row],[United States 3y]],#N/A)</f>
        <v/>
      </c>
    </row>
    <row r="12847">
      <c r="A12847" s="6">
        <f>Database!$A14932</f>
        <v/>
      </c>
      <c r="B12847">
        <f>IF(VLOOKUP(Table7[[#This Row],[Date]],Database!$A:$C,MATCH($B$1,Database!$A$1:$C$1,),)=0,#N/A,VLOOKUP(Table7[[#This Row],[Date]],Database!$A:$C,MATCH($B$1,Database!$A$1:$C$1,),))</f>
        <v/>
      </c>
      <c r="C12847">
        <f>IF(VLOOKUP(Table7[[#This Row],[Date]],Database!$A:$C,MATCH($C$1,Database!$A$1:$C$1,),)=0,#N/A,VLOOKUP(Table7[[#This Row],[Date]],Database!$A:$C,MATCH($C$1,Database!$A$1:$C$1,),))</f>
        <v/>
      </c>
      <c r="D12847">
        <f>IFERROR(Table7[[#This Row],[United States 10y]]-Table7[[#This Row],[United States 3y]],#N/A)</f>
        <v/>
      </c>
    </row>
    <row r="12848">
      <c r="A12848" s="6">
        <f>Database!$A14933</f>
        <v/>
      </c>
      <c r="B12848">
        <f>IF(VLOOKUP(Table7[[#This Row],[Date]],Database!$A:$C,MATCH($B$1,Database!$A$1:$C$1,),)=0,#N/A,VLOOKUP(Table7[[#This Row],[Date]],Database!$A:$C,MATCH($B$1,Database!$A$1:$C$1,),))</f>
        <v/>
      </c>
      <c r="C12848">
        <f>IF(VLOOKUP(Table7[[#This Row],[Date]],Database!$A:$C,MATCH($C$1,Database!$A$1:$C$1,),)=0,#N/A,VLOOKUP(Table7[[#This Row],[Date]],Database!$A:$C,MATCH($C$1,Database!$A$1:$C$1,),))</f>
        <v/>
      </c>
      <c r="D12848">
        <f>IFERROR(Table7[[#This Row],[United States 10y]]-Table7[[#This Row],[United States 3y]],#N/A)</f>
        <v/>
      </c>
    </row>
    <row r="12849">
      <c r="A12849" s="6">
        <f>Database!$A14934</f>
        <v/>
      </c>
      <c r="B12849">
        <f>IF(VLOOKUP(Table7[[#This Row],[Date]],Database!$A:$C,MATCH($B$1,Database!$A$1:$C$1,),)=0,#N/A,VLOOKUP(Table7[[#This Row],[Date]],Database!$A:$C,MATCH($B$1,Database!$A$1:$C$1,),))</f>
        <v/>
      </c>
      <c r="C12849">
        <f>IF(VLOOKUP(Table7[[#This Row],[Date]],Database!$A:$C,MATCH($C$1,Database!$A$1:$C$1,),)=0,#N/A,VLOOKUP(Table7[[#This Row],[Date]],Database!$A:$C,MATCH($C$1,Database!$A$1:$C$1,),))</f>
        <v/>
      </c>
      <c r="D12849">
        <f>IFERROR(Table7[[#This Row],[United States 10y]]-Table7[[#This Row],[United States 3y]],#N/A)</f>
        <v/>
      </c>
    </row>
    <row r="12850">
      <c r="A12850" s="6">
        <f>Database!$A14935</f>
        <v/>
      </c>
      <c r="B12850">
        <f>IF(VLOOKUP(Table7[[#This Row],[Date]],Database!$A:$C,MATCH($B$1,Database!$A$1:$C$1,),)=0,#N/A,VLOOKUP(Table7[[#This Row],[Date]],Database!$A:$C,MATCH($B$1,Database!$A$1:$C$1,),))</f>
        <v/>
      </c>
      <c r="C12850">
        <f>IF(VLOOKUP(Table7[[#This Row],[Date]],Database!$A:$C,MATCH($C$1,Database!$A$1:$C$1,),)=0,#N/A,VLOOKUP(Table7[[#This Row],[Date]],Database!$A:$C,MATCH($C$1,Database!$A$1:$C$1,),))</f>
        <v/>
      </c>
      <c r="D12850">
        <f>IFERROR(Table7[[#This Row],[United States 10y]]-Table7[[#This Row],[United States 3y]],#N/A)</f>
        <v/>
      </c>
    </row>
    <row r="12851">
      <c r="A12851" s="6">
        <f>Database!$A14936</f>
        <v/>
      </c>
      <c r="B12851">
        <f>IF(VLOOKUP(Table7[[#This Row],[Date]],Database!$A:$C,MATCH($B$1,Database!$A$1:$C$1,),)=0,#N/A,VLOOKUP(Table7[[#This Row],[Date]],Database!$A:$C,MATCH($B$1,Database!$A$1:$C$1,),))</f>
        <v/>
      </c>
      <c r="C12851">
        <f>IF(VLOOKUP(Table7[[#This Row],[Date]],Database!$A:$C,MATCH($C$1,Database!$A$1:$C$1,),)=0,#N/A,VLOOKUP(Table7[[#This Row],[Date]],Database!$A:$C,MATCH($C$1,Database!$A$1:$C$1,),))</f>
        <v/>
      </c>
      <c r="D12851">
        <f>IFERROR(Table7[[#This Row],[United States 10y]]-Table7[[#This Row],[United States 3y]],#N/A)</f>
        <v/>
      </c>
    </row>
    <row r="12852">
      <c r="A12852" s="6">
        <f>Database!$A14937</f>
        <v/>
      </c>
      <c r="B12852">
        <f>IF(VLOOKUP(Table7[[#This Row],[Date]],Database!$A:$C,MATCH($B$1,Database!$A$1:$C$1,),)=0,#N/A,VLOOKUP(Table7[[#This Row],[Date]],Database!$A:$C,MATCH($B$1,Database!$A$1:$C$1,),))</f>
        <v/>
      </c>
      <c r="C12852">
        <f>IF(VLOOKUP(Table7[[#This Row],[Date]],Database!$A:$C,MATCH($C$1,Database!$A$1:$C$1,),)=0,#N/A,VLOOKUP(Table7[[#This Row],[Date]],Database!$A:$C,MATCH($C$1,Database!$A$1:$C$1,),))</f>
        <v/>
      </c>
      <c r="D12852">
        <f>IFERROR(Table7[[#This Row],[United States 10y]]-Table7[[#This Row],[United States 3y]],#N/A)</f>
        <v/>
      </c>
    </row>
    <row r="12853">
      <c r="A12853" s="6">
        <f>Database!$A14938</f>
        <v/>
      </c>
      <c r="B12853">
        <f>IF(VLOOKUP(Table7[[#This Row],[Date]],Database!$A:$C,MATCH($B$1,Database!$A$1:$C$1,),)=0,#N/A,VLOOKUP(Table7[[#This Row],[Date]],Database!$A:$C,MATCH($B$1,Database!$A$1:$C$1,),))</f>
        <v/>
      </c>
      <c r="C12853">
        <f>IF(VLOOKUP(Table7[[#This Row],[Date]],Database!$A:$C,MATCH($C$1,Database!$A$1:$C$1,),)=0,#N/A,VLOOKUP(Table7[[#This Row],[Date]],Database!$A:$C,MATCH($C$1,Database!$A$1:$C$1,),))</f>
        <v/>
      </c>
      <c r="D12853">
        <f>IFERROR(Table7[[#This Row],[United States 10y]]-Table7[[#This Row],[United States 3y]],#N/A)</f>
        <v/>
      </c>
    </row>
    <row r="12854">
      <c r="A12854" s="6">
        <f>Database!$A14939</f>
        <v/>
      </c>
      <c r="B12854">
        <f>IF(VLOOKUP(Table7[[#This Row],[Date]],Database!$A:$C,MATCH($B$1,Database!$A$1:$C$1,),)=0,#N/A,VLOOKUP(Table7[[#This Row],[Date]],Database!$A:$C,MATCH($B$1,Database!$A$1:$C$1,),))</f>
        <v/>
      </c>
      <c r="C12854">
        <f>IF(VLOOKUP(Table7[[#This Row],[Date]],Database!$A:$C,MATCH($C$1,Database!$A$1:$C$1,),)=0,#N/A,VLOOKUP(Table7[[#This Row],[Date]],Database!$A:$C,MATCH($C$1,Database!$A$1:$C$1,),))</f>
        <v/>
      </c>
      <c r="D12854">
        <f>IFERROR(Table7[[#This Row],[United States 10y]]-Table7[[#This Row],[United States 3y]],#N/A)</f>
        <v/>
      </c>
    </row>
    <row r="12855">
      <c r="A12855" s="6">
        <f>Database!$A14940</f>
        <v/>
      </c>
      <c r="B12855">
        <f>IF(VLOOKUP(Table7[[#This Row],[Date]],Database!$A:$C,MATCH($B$1,Database!$A$1:$C$1,),)=0,#N/A,VLOOKUP(Table7[[#This Row],[Date]],Database!$A:$C,MATCH($B$1,Database!$A$1:$C$1,),))</f>
        <v/>
      </c>
      <c r="C12855">
        <f>IF(VLOOKUP(Table7[[#This Row],[Date]],Database!$A:$C,MATCH($C$1,Database!$A$1:$C$1,),)=0,#N/A,VLOOKUP(Table7[[#This Row],[Date]],Database!$A:$C,MATCH($C$1,Database!$A$1:$C$1,),))</f>
        <v/>
      </c>
      <c r="D12855">
        <f>IFERROR(Table7[[#This Row],[United States 10y]]-Table7[[#This Row],[United States 3y]],#N/A)</f>
        <v/>
      </c>
    </row>
    <row r="12856">
      <c r="A12856" s="6">
        <f>Database!$A14941</f>
        <v/>
      </c>
      <c r="B12856">
        <f>IF(VLOOKUP(Table7[[#This Row],[Date]],Database!$A:$C,MATCH($B$1,Database!$A$1:$C$1,),)=0,#N/A,VLOOKUP(Table7[[#This Row],[Date]],Database!$A:$C,MATCH($B$1,Database!$A$1:$C$1,),))</f>
        <v/>
      </c>
      <c r="C12856">
        <f>IF(VLOOKUP(Table7[[#This Row],[Date]],Database!$A:$C,MATCH($C$1,Database!$A$1:$C$1,),)=0,#N/A,VLOOKUP(Table7[[#This Row],[Date]],Database!$A:$C,MATCH($C$1,Database!$A$1:$C$1,),))</f>
        <v/>
      </c>
      <c r="D12856">
        <f>IFERROR(Table7[[#This Row],[United States 10y]]-Table7[[#This Row],[United States 3y]],#N/A)</f>
        <v/>
      </c>
    </row>
    <row r="12857">
      <c r="A12857" s="6">
        <f>Database!$A14942</f>
        <v/>
      </c>
      <c r="B12857">
        <f>IF(VLOOKUP(Table7[[#This Row],[Date]],Database!$A:$C,MATCH($B$1,Database!$A$1:$C$1,),)=0,#N/A,VLOOKUP(Table7[[#This Row],[Date]],Database!$A:$C,MATCH($B$1,Database!$A$1:$C$1,),))</f>
        <v/>
      </c>
      <c r="C12857">
        <f>IF(VLOOKUP(Table7[[#This Row],[Date]],Database!$A:$C,MATCH($C$1,Database!$A$1:$C$1,),)=0,#N/A,VLOOKUP(Table7[[#This Row],[Date]],Database!$A:$C,MATCH($C$1,Database!$A$1:$C$1,),))</f>
        <v/>
      </c>
      <c r="D12857">
        <f>IFERROR(Table7[[#This Row],[United States 10y]]-Table7[[#This Row],[United States 3y]],#N/A)</f>
        <v/>
      </c>
    </row>
    <row r="12858">
      <c r="A12858" s="6">
        <f>Database!$A14943</f>
        <v/>
      </c>
      <c r="B12858">
        <f>IF(VLOOKUP(Table7[[#This Row],[Date]],Database!$A:$C,MATCH($B$1,Database!$A$1:$C$1,),)=0,#N/A,VLOOKUP(Table7[[#This Row],[Date]],Database!$A:$C,MATCH($B$1,Database!$A$1:$C$1,),))</f>
        <v/>
      </c>
      <c r="C12858">
        <f>IF(VLOOKUP(Table7[[#This Row],[Date]],Database!$A:$C,MATCH($C$1,Database!$A$1:$C$1,),)=0,#N/A,VLOOKUP(Table7[[#This Row],[Date]],Database!$A:$C,MATCH($C$1,Database!$A$1:$C$1,),))</f>
        <v/>
      </c>
      <c r="D12858">
        <f>IFERROR(Table7[[#This Row],[United States 10y]]-Table7[[#This Row],[United States 3y]],#N/A)</f>
        <v/>
      </c>
    </row>
    <row r="12859">
      <c r="A12859" s="6">
        <f>Database!$A14944</f>
        <v/>
      </c>
      <c r="B12859">
        <f>IF(VLOOKUP(Table7[[#This Row],[Date]],Database!$A:$C,MATCH($B$1,Database!$A$1:$C$1,),)=0,#N/A,VLOOKUP(Table7[[#This Row],[Date]],Database!$A:$C,MATCH($B$1,Database!$A$1:$C$1,),))</f>
        <v/>
      </c>
      <c r="C12859">
        <f>IF(VLOOKUP(Table7[[#This Row],[Date]],Database!$A:$C,MATCH($C$1,Database!$A$1:$C$1,),)=0,#N/A,VLOOKUP(Table7[[#This Row],[Date]],Database!$A:$C,MATCH($C$1,Database!$A$1:$C$1,),))</f>
        <v/>
      </c>
      <c r="D12859">
        <f>IFERROR(Table7[[#This Row],[United States 10y]]-Table7[[#This Row],[United States 3y]],#N/A)</f>
        <v/>
      </c>
    </row>
    <row r="12860">
      <c r="A12860" s="6">
        <f>Database!$A14945</f>
        <v/>
      </c>
      <c r="B12860">
        <f>IF(VLOOKUP(Table7[[#This Row],[Date]],Database!$A:$C,MATCH($B$1,Database!$A$1:$C$1,),)=0,#N/A,VLOOKUP(Table7[[#This Row],[Date]],Database!$A:$C,MATCH($B$1,Database!$A$1:$C$1,),))</f>
        <v/>
      </c>
      <c r="C12860">
        <f>IF(VLOOKUP(Table7[[#This Row],[Date]],Database!$A:$C,MATCH($C$1,Database!$A$1:$C$1,),)=0,#N/A,VLOOKUP(Table7[[#This Row],[Date]],Database!$A:$C,MATCH($C$1,Database!$A$1:$C$1,),))</f>
        <v/>
      </c>
      <c r="D12860">
        <f>IFERROR(Table7[[#This Row],[United States 10y]]-Table7[[#This Row],[United States 3y]],#N/A)</f>
        <v/>
      </c>
    </row>
    <row r="12861">
      <c r="A12861" s="6">
        <f>Database!$A14946</f>
        <v/>
      </c>
      <c r="B12861">
        <f>IF(VLOOKUP(Table7[[#This Row],[Date]],Database!$A:$C,MATCH($B$1,Database!$A$1:$C$1,),)=0,#N/A,VLOOKUP(Table7[[#This Row],[Date]],Database!$A:$C,MATCH($B$1,Database!$A$1:$C$1,),))</f>
        <v/>
      </c>
      <c r="C12861">
        <f>IF(VLOOKUP(Table7[[#This Row],[Date]],Database!$A:$C,MATCH($C$1,Database!$A$1:$C$1,),)=0,#N/A,VLOOKUP(Table7[[#This Row],[Date]],Database!$A:$C,MATCH($C$1,Database!$A$1:$C$1,),))</f>
        <v/>
      </c>
      <c r="D12861">
        <f>IFERROR(Table7[[#This Row],[United States 10y]]-Table7[[#This Row],[United States 3y]],#N/A)</f>
        <v/>
      </c>
    </row>
    <row r="12862">
      <c r="A12862" s="6">
        <f>Database!$A14947</f>
        <v/>
      </c>
      <c r="B12862">
        <f>IF(VLOOKUP(Table7[[#This Row],[Date]],Database!$A:$C,MATCH($B$1,Database!$A$1:$C$1,),)=0,#N/A,VLOOKUP(Table7[[#This Row],[Date]],Database!$A:$C,MATCH($B$1,Database!$A$1:$C$1,),))</f>
        <v/>
      </c>
      <c r="C12862">
        <f>IF(VLOOKUP(Table7[[#This Row],[Date]],Database!$A:$C,MATCH($C$1,Database!$A$1:$C$1,),)=0,#N/A,VLOOKUP(Table7[[#This Row],[Date]],Database!$A:$C,MATCH($C$1,Database!$A$1:$C$1,),))</f>
        <v/>
      </c>
      <c r="D12862">
        <f>IFERROR(Table7[[#This Row],[United States 10y]]-Table7[[#This Row],[United States 3y]],#N/A)</f>
        <v/>
      </c>
    </row>
    <row r="12863">
      <c r="A12863" s="6">
        <f>Database!$A14948</f>
        <v/>
      </c>
      <c r="B12863">
        <f>IF(VLOOKUP(Table7[[#This Row],[Date]],Database!$A:$C,MATCH($B$1,Database!$A$1:$C$1,),)=0,#N/A,VLOOKUP(Table7[[#This Row],[Date]],Database!$A:$C,MATCH($B$1,Database!$A$1:$C$1,),))</f>
        <v/>
      </c>
      <c r="C12863">
        <f>IF(VLOOKUP(Table7[[#This Row],[Date]],Database!$A:$C,MATCH($C$1,Database!$A$1:$C$1,),)=0,#N/A,VLOOKUP(Table7[[#This Row],[Date]],Database!$A:$C,MATCH($C$1,Database!$A$1:$C$1,),))</f>
        <v/>
      </c>
      <c r="D12863">
        <f>IFERROR(Table7[[#This Row],[United States 10y]]-Table7[[#This Row],[United States 3y]],#N/A)</f>
        <v/>
      </c>
    </row>
    <row r="12864">
      <c r="A12864" s="6">
        <f>Database!$A14949</f>
        <v/>
      </c>
      <c r="B12864">
        <f>IF(VLOOKUP(Table7[[#This Row],[Date]],Database!$A:$C,MATCH($B$1,Database!$A$1:$C$1,),)=0,#N/A,VLOOKUP(Table7[[#This Row],[Date]],Database!$A:$C,MATCH($B$1,Database!$A$1:$C$1,),))</f>
        <v/>
      </c>
      <c r="C12864">
        <f>IF(VLOOKUP(Table7[[#This Row],[Date]],Database!$A:$C,MATCH($C$1,Database!$A$1:$C$1,),)=0,#N/A,VLOOKUP(Table7[[#This Row],[Date]],Database!$A:$C,MATCH($C$1,Database!$A$1:$C$1,),))</f>
        <v/>
      </c>
      <c r="D12864">
        <f>IFERROR(Table7[[#This Row],[United States 10y]]-Table7[[#This Row],[United States 3y]],#N/A)</f>
        <v/>
      </c>
    </row>
    <row r="12865">
      <c r="A12865" s="6">
        <f>Database!$A14950</f>
        <v/>
      </c>
      <c r="B12865">
        <f>IF(VLOOKUP(Table7[[#This Row],[Date]],Database!$A:$C,MATCH($B$1,Database!$A$1:$C$1,),)=0,#N/A,VLOOKUP(Table7[[#This Row],[Date]],Database!$A:$C,MATCH($B$1,Database!$A$1:$C$1,),))</f>
        <v/>
      </c>
      <c r="C12865">
        <f>IF(VLOOKUP(Table7[[#This Row],[Date]],Database!$A:$C,MATCH($C$1,Database!$A$1:$C$1,),)=0,#N/A,VLOOKUP(Table7[[#This Row],[Date]],Database!$A:$C,MATCH($C$1,Database!$A$1:$C$1,),))</f>
        <v/>
      </c>
      <c r="D12865">
        <f>IFERROR(Table7[[#This Row],[United States 10y]]-Table7[[#This Row],[United States 3y]],#N/A)</f>
        <v/>
      </c>
    </row>
    <row r="12866">
      <c r="A12866" s="6">
        <f>Database!$A14951</f>
        <v/>
      </c>
      <c r="B12866">
        <f>IF(VLOOKUP(Table7[[#This Row],[Date]],Database!$A:$C,MATCH($B$1,Database!$A$1:$C$1,),)=0,#N/A,VLOOKUP(Table7[[#This Row],[Date]],Database!$A:$C,MATCH($B$1,Database!$A$1:$C$1,),))</f>
        <v/>
      </c>
      <c r="C12866">
        <f>IF(VLOOKUP(Table7[[#This Row],[Date]],Database!$A:$C,MATCH($C$1,Database!$A$1:$C$1,),)=0,#N/A,VLOOKUP(Table7[[#This Row],[Date]],Database!$A:$C,MATCH($C$1,Database!$A$1:$C$1,),))</f>
        <v/>
      </c>
      <c r="D12866">
        <f>IFERROR(Table7[[#This Row],[United States 10y]]-Table7[[#This Row],[United States 3y]],#N/A)</f>
        <v/>
      </c>
    </row>
    <row r="12867">
      <c r="A12867" s="6">
        <f>Database!$A14952</f>
        <v/>
      </c>
      <c r="B12867">
        <f>IF(VLOOKUP(Table7[[#This Row],[Date]],Database!$A:$C,MATCH($B$1,Database!$A$1:$C$1,),)=0,#N/A,VLOOKUP(Table7[[#This Row],[Date]],Database!$A:$C,MATCH($B$1,Database!$A$1:$C$1,),))</f>
        <v/>
      </c>
      <c r="C12867">
        <f>IF(VLOOKUP(Table7[[#This Row],[Date]],Database!$A:$C,MATCH($C$1,Database!$A$1:$C$1,),)=0,#N/A,VLOOKUP(Table7[[#This Row],[Date]],Database!$A:$C,MATCH($C$1,Database!$A$1:$C$1,),))</f>
        <v/>
      </c>
      <c r="D12867">
        <f>IFERROR(Table7[[#This Row],[United States 10y]]-Table7[[#This Row],[United States 3y]],#N/A)</f>
        <v/>
      </c>
    </row>
    <row r="12868">
      <c r="A12868" s="6">
        <f>Database!$A14953</f>
        <v/>
      </c>
      <c r="B12868">
        <f>IF(VLOOKUP(Table7[[#This Row],[Date]],Database!$A:$C,MATCH($B$1,Database!$A$1:$C$1,),)=0,#N/A,VLOOKUP(Table7[[#This Row],[Date]],Database!$A:$C,MATCH($B$1,Database!$A$1:$C$1,),))</f>
        <v/>
      </c>
      <c r="C12868">
        <f>IF(VLOOKUP(Table7[[#This Row],[Date]],Database!$A:$C,MATCH($C$1,Database!$A$1:$C$1,),)=0,#N/A,VLOOKUP(Table7[[#This Row],[Date]],Database!$A:$C,MATCH($C$1,Database!$A$1:$C$1,),))</f>
        <v/>
      </c>
      <c r="D12868">
        <f>IFERROR(Table7[[#This Row],[United States 10y]]-Table7[[#This Row],[United States 3y]],#N/A)</f>
        <v/>
      </c>
    </row>
    <row r="12869">
      <c r="A12869" s="6">
        <f>Database!$A14954</f>
        <v/>
      </c>
      <c r="B12869">
        <f>IF(VLOOKUP(Table7[[#This Row],[Date]],Database!$A:$C,MATCH($B$1,Database!$A$1:$C$1,),)=0,#N/A,VLOOKUP(Table7[[#This Row],[Date]],Database!$A:$C,MATCH($B$1,Database!$A$1:$C$1,),))</f>
        <v/>
      </c>
      <c r="C12869">
        <f>IF(VLOOKUP(Table7[[#This Row],[Date]],Database!$A:$C,MATCH($C$1,Database!$A$1:$C$1,),)=0,#N/A,VLOOKUP(Table7[[#This Row],[Date]],Database!$A:$C,MATCH($C$1,Database!$A$1:$C$1,),))</f>
        <v/>
      </c>
      <c r="D12869">
        <f>IFERROR(Table7[[#This Row],[United States 10y]]-Table7[[#This Row],[United States 3y]],#N/A)</f>
        <v/>
      </c>
    </row>
    <row r="12870">
      <c r="A12870" s="6">
        <f>Database!$A14955</f>
        <v/>
      </c>
      <c r="B12870">
        <f>IF(VLOOKUP(Table7[[#This Row],[Date]],Database!$A:$C,MATCH($B$1,Database!$A$1:$C$1,),)=0,#N/A,VLOOKUP(Table7[[#This Row],[Date]],Database!$A:$C,MATCH($B$1,Database!$A$1:$C$1,),))</f>
        <v/>
      </c>
      <c r="C12870">
        <f>IF(VLOOKUP(Table7[[#This Row],[Date]],Database!$A:$C,MATCH($C$1,Database!$A$1:$C$1,),)=0,#N/A,VLOOKUP(Table7[[#This Row],[Date]],Database!$A:$C,MATCH($C$1,Database!$A$1:$C$1,),))</f>
        <v/>
      </c>
      <c r="D12870">
        <f>IFERROR(Table7[[#This Row],[United States 10y]]-Table7[[#This Row],[United States 3y]],#N/A)</f>
        <v/>
      </c>
    </row>
    <row r="12871">
      <c r="A12871" s="6">
        <f>Database!$A14956</f>
        <v/>
      </c>
      <c r="B12871">
        <f>IF(VLOOKUP(Table7[[#This Row],[Date]],Database!$A:$C,MATCH($B$1,Database!$A$1:$C$1,),)=0,#N/A,VLOOKUP(Table7[[#This Row],[Date]],Database!$A:$C,MATCH($B$1,Database!$A$1:$C$1,),))</f>
        <v/>
      </c>
      <c r="C12871">
        <f>IF(VLOOKUP(Table7[[#This Row],[Date]],Database!$A:$C,MATCH($C$1,Database!$A$1:$C$1,),)=0,#N/A,VLOOKUP(Table7[[#This Row],[Date]],Database!$A:$C,MATCH($C$1,Database!$A$1:$C$1,),))</f>
        <v/>
      </c>
      <c r="D12871">
        <f>IFERROR(Table7[[#This Row],[United States 10y]]-Table7[[#This Row],[United States 3y]],#N/A)</f>
        <v/>
      </c>
    </row>
    <row r="12872">
      <c r="A12872" s="6">
        <f>Database!$A14957</f>
        <v/>
      </c>
      <c r="B12872">
        <f>IF(VLOOKUP(Table7[[#This Row],[Date]],Database!$A:$C,MATCH($B$1,Database!$A$1:$C$1,),)=0,#N/A,VLOOKUP(Table7[[#This Row],[Date]],Database!$A:$C,MATCH($B$1,Database!$A$1:$C$1,),))</f>
        <v/>
      </c>
      <c r="C12872">
        <f>IF(VLOOKUP(Table7[[#This Row],[Date]],Database!$A:$C,MATCH($C$1,Database!$A$1:$C$1,),)=0,#N/A,VLOOKUP(Table7[[#This Row],[Date]],Database!$A:$C,MATCH($C$1,Database!$A$1:$C$1,),))</f>
        <v/>
      </c>
      <c r="D12872">
        <f>IFERROR(Table7[[#This Row],[United States 10y]]-Table7[[#This Row],[United States 3y]],#N/A)</f>
        <v/>
      </c>
    </row>
    <row r="12873">
      <c r="A12873" s="6">
        <f>Database!$A14958</f>
        <v/>
      </c>
      <c r="B12873">
        <f>IF(VLOOKUP(Table7[[#This Row],[Date]],Database!$A:$C,MATCH($B$1,Database!$A$1:$C$1,),)=0,#N/A,VLOOKUP(Table7[[#This Row],[Date]],Database!$A:$C,MATCH($B$1,Database!$A$1:$C$1,),))</f>
        <v/>
      </c>
      <c r="C12873">
        <f>IF(VLOOKUP(Table7[[#This Row],[Date]],Database!$A:$C,MATCH($C$1,Database!$A$1:$C$1,),)=0,#N/A,VLOOKUP(Table7[[#This Row],[Date]],Database!$A:$C,MATCH($C$1,Database!$A$1:$C$1,),))</f>
        <v/>
      </c>
      <c r="D12873">
        <f>IFERROR(Table7[[#This Row],[United States 10y]]-Table7[[#This Row],[United States 3y]],#N/A)</f>
        <v/>
      </c>
    </row>
    <row r="12874">
      <c r="A12874" s="6">
        <f>Database!$A14959</f>
        <v/>
      </c>
      <c r="B12874">
        <f>IF(VLOOKUP(Table7[[#This Row],[Date]],Database!$A:$C,MATCH($B$1,Database!$A$1:$C$1,),)=0,#N/A,VLOOKUP(Table7[[#This Row],[Date]],Database!$A:$C,MATCH($B$1,Database!$A$1:$C$1,),))</f>
        <v/>
      </c>
      <c r="C12874">
        <f>IF(VLOOKUP(Table7[[#This Row],[Date]],Database!$A:$C,MATCH($C$1,Database!$A$1:$C$1,),)=0,#N/A,VLOOKUP(Table7[[#This Row],[Date]],Database!$A:$C,MATCH($C$1,Database!$A$1:$C$1,),))</f>
        <v/>
      </c>
      <c r="D12874">
        <f>IFERROR(Table7[[#This Row],[United States 10y]]-Table7[[#This Row],[United States 3y]],#N/A)</f>
        <v/>
      </c>
    </row>
    <row r="12875">
      <c r="A12875" s="6">
        <f>Database!$A14960</f>
        <v/>
      </c>
      <c r="B12875">
        <f>IF(VLOOKUP(Table7[[#This Row],[Date]],Database!$A:$C,MATCH($B$1,Database!$A$1:$C$1,),)=0,#N/A,VLOOKUP(Table7[[#This Row],[Date]],Database!$A:$C,MATCH($B$1,Database!$A$1:$C$1,),))</f>
        <v/>
      </c>
      <c r="C12875">
        <f>IF(VLOOKUP(Table7[[#This Row],[Date]],Database!$A:$C,MATCH($C$1,Database!$A$1:$C$1,),)=0,#N/A,VLOOKUP(Table7[[#This Row],[Date]],Database!$A:$C,MATCH($C$1,Database!$A$1:$C$1,),))</f>
        <v/>
      </c>
      <c r="D12875">
        <f>IFERROR(Table7[[#This Row],[United States 10y]]-Table7[[#This Row],[United States 3y]],#N/A)</f>
        <v/>
      </c>
    </row>
    <row r="12876">
      <c r="A12876" s="6">
        <f>Database!$A14961</f>
        <v/>
      </c>
      <c r="B12876">
        <f>IF(VLOOKUP(Table7[[#This Row],[Date]],Database!$A:$C,MATCH($B$1,Database!$A$1:$C$1,),)=0,#N/A,VLOOKUP(Table7[[#This Row],[Date]],Database!$A:$C,MATCH($B$1,Database!$A$1:$C$1,),))</f>
        <v/>
      </c>
      <c r="C12876">
        <f>IF(VLOOKUP(Table7[[#This Row],[Date]],Database!$A:$C,MATCH($C$1,Database!$A$1:$C$1,),)=0,#N/A,VLOOKUP(Table7[[#This Row],[Date]],Database!$A:$C,MATCH($C$1,Database!$A$1:$C$1,),))</f>
        <v/>
      </c>
      <c r="D12876">
        <f>IFERROR(Table7[[#This Row],[United States 10y]]-Table7[[#This Row],[United States 3y]],#N/A)</f>
        <v/>
      </c>
    </row>
    <row r="12877">
      <c r="A12877" s="6">
        <f>Database!$A14962</f>
        <v/>
      </c>
      <c r="B12877">
        <f>IF(VLOOKUP(Table7[[#This Row],[Date]],Database!$A:$C,MATCH($B$1,Database!$A$1:$C$1,),)=0,#N/A,VLOOKUP(Table7[[#This Row],[Date]],Database!$A:$C,MATCH($B$1,Database!$A$1:$C$1,),))</f>
        <v/>
      </c>
      <c r="C12877">
        <f>IF(VLOOKUP(Table7[[#This Row],[Date]],Database!$A:$C,MATCH($C$1,Database!$A$1:$C$1,),)=0,#N/A,VLOOKUP(Table7[[#This Row],[Date]],Database!$A:$C,MATCH($C$1,Database!$A$1:$C$1,),))</f>
        <v/>
      </c>
      <c r="D12877">
        <f>IFERROR(Table7[[#This Row],[United States 10y]]-Table7[[#This Row],[United States 3y]],#N/A)</f>
        <v/>
      </c>
    </row>
    <row r="12878">
      <c r="A12878" s="6">
        <f>Database!$A14963</f>
        <v/>
      </c>
      <c r="B12878">
        <f>IF(VLOOKUP(Table7[[#This Row],[Date]],Database!$A:$C,MATCH($B$1,Database!$A$1:$C$1,),)=0,#N/A,VLOOKUP(Table7[[#This Row],[Date]],Database!$A:$C,MATCH($B$1,Database!$A$1:$C$1,),))</f>
        <v/>
      </c>
      <c r="C12878">
        <f>IF(VLOOKUP(Table7[[#This Row],[Date]],Database!$A:$C,MATCH($C$1,Database!$A$1:$C$1,),)=0,#N/A,VLOOKUP(Table7[[#This Row],[Date]],Database!$A:$C,MATCH($C$1,Database!$A$1:$C$1,),))</f>
        <v/>
      </c>
      <c r="D12878">
        <f>IFERROR(Table7[[#This Row],[United States 10y]]-Table7[[#This Row],[United States 3y]],#N/A)</f>
        <v/>
      </c>
    </row>
    <row r="12879">
      <c r="A12879" s="6">
        <f>Database!$A14964</f>
        <v/>
      </c>
      <c r="B12879">
        <f>IF(VLOOKUP(Table7[[#This Row],[Date]],Database!$A:$C,MATCH($B$1,Database!$A$1:$C$1,),)=0,#N/A,VLOOKUP(Table7[[#This Row],[Date]],Database!$A:$C,MATCH($B$1,Database!$A$1:$C$1,),))</f>
        <v/>
      </c>
      <c r="C12879">
        <f>IF(VLOOKUP(Table7[[#This Row],[Date]],Database!$A:$C,MATCH($C$1,Database!$A$1:$C$1,),)=0,#N/A,VLOOKUP(Table7[[#This Row],[Date]],Database!$A:$C,MATCH($C$1,Database!$A$1:$C$1,),))</f>
        <v/>
      </c>
      <c r="D12879">
        <f>IFERROR(Table7[[#This Row],[United States 10y]]-Table7[[#This Row],[United States 3y]],#N/A)</f>
        <v/>
      </c>
    </row>
    <row r="12880">
      <c r="A12880" s="6">
        <f>Database!$A14965</f>
        <v/>
      </c>
      <c r="B12880">
        <f>IF(VLOOKUP(Table7[[#This Row],[Date]],Database!$A:$C,MATCH($B$1,Database!$A$1:$C$1,),)=0,#N/A,VLOOKUP(Table7[[#This Row],[Date]],Database!$A:$C,MATCH($B$1,Database!$A$1:$C$1,),))</f>
        <v/>
      </c>
      <c r="C12880">
        <f>IF(VLOOKUP(Table7[[#This Row],[Date]],Database!$A:$C,MATCH($C$1,Database!$A$1:$C$1,),)=0,#N/A,VLOOKUP(Table7[[#This Row],[Date]],Database!$A:$C,MATCH($C$1,Database!$A$1:$C$1,),))</f>
        <v/>
      </c>
      <c r="D12880">
        <f>IFERROR(Table7[[#This Row],[United States 10y]]-Table7[[#This Row],[United States 3y]],#N/A)</f>
        <v/>
      </c>
    </row>
    <row r="12881">
      <c r="A12881" s="6">
        <f>Database!$A14966</f>
        <v/>
      </c>
      <c r="B12881">
        <f>IF(VLOOKUP(Table7[[#This Row],[Date]],Database!$A:$C,MATCH($B$1,Database!$A$1:$C$1,),)=0,#N/A,VLOOKUP(Table7[[#This Row],[Date]],Database!$A:$C,MATCH($B$1,Database!$A$1:$C$1,),))</f>
        <v/>
      </c>
      <c r="C12881">
        <f>IF(VLOOKUP(Table7[[#This Row],[Date]],Database!$A:$C,MATCH($C$1,Database!$A$1:$C$1,),)=0,#N/A,VLOOKUP(Table7[[#This Row],[Date]],Database!$A:$C,MATCH($C$1,Database!$A$1:$C$1,),))</f>
        <v/>
      </c>
      <c r="D12881">
        <f>IFERROR(Table7[[#This Row],[United States 10y]]-Table7[[#This Row],[United States 3y]],#N/A)</f>
        <v/>
      </c>
    </row>
    <row r="12882">
      <c r="A12882" s="6">
        <f>Database!$A14967</f>
        <v/>
      </c>
      <c r="B12882">
        <f>IF(VLOOKUP(Table7[[#This Row],[Date]],Database!$A:$C,MATCH($B$1,Database!$A$1:$C$1,),)=0,#N/A,VLOOKUP(Table7[[#This Row],[Date]],Database!$A:$C,MATCH($B$1,Database!$A$1:$C$1,),))</f>
        <v/>
      </c>
      <c r="C12882">
        <f>IF(VLOOKUP(Table7[[#This Row],[Date]],Database!$A:$C,MATCH($C$1,Database!$A$1:$C$1,),)=0,#N/A,VLOOKUP(Table7[[#This Row],[Date]],Database!$A:$C,MATCH($C$1,Database!$A$1:$C$1,),))</f>
        <v/>
      </c>
      <c r="D12882">
        <f>IFERROR(Table7[[#This Row],[United States 10y]]-Table7[[#This Row],[United States 3y]],#N/A)</f>
        <v/>
      </c>
    </row>
    <row r="12883">
      <c r="A12883" s="6">
        <f>Database!$A14968</f>
        <v/>
      </c>
      <c r="B12883">
        <f>IF(VLOOKUP(Table7[[#This Row],[Date]],Database!$A:$C,MATCH($B$1,Database!$A$1:$C$1,),)=0,#N/A,VLOOKUP(Table7[[#This Row],[Date]],Database!$A:$C,MATCH($B$1,Database!$A$1:$C$1,),))</f>
        <v/>
      </c>
      <c r="C12883">
        <f>IF(VLOOKUP(Table7[[#This Row],[Date]],Database!$A:$C,MATCH($C$1,Database!$A$1:$C$1,),)=0,#N/A,VLOOKUP(Table7[[#This Row],[Date]],Database!$A:$C,MATCH($C$1,Database!$A$1:$C$1,),))</f>
        <v/>
      </c>
      <c r="D12883">
        <f>IFERROR(Table7[[#This Row],[United States 10y]]-Table7[[#This Row],[United States 3y]],#N/A)</f>
        <v/>
      </c>
    </row>
    <row r="12884">
      <c r="A12884" s="6">
        <f>Database!$A14969</f>
        <v/>
      </c>
      <c r="B12884">
        <f>IF(VLOOKUP(Table7[[#This Row],[Date]],Database!$A:$C,MATCH($B$1,Database!$A$1:$C$1,),)=0,#N/A,VLOOKUP(Table7[[#This Row],[Date]],Database!$A:$C,MATCH($B$1,Database!$A$1:$C$1,),))</f>
        <v/>
      </c>
      <c r="C12884">
        <f>IF(VLOOKUP(Table7[[#This Row],[Date]],Database!$A:$C,MATCH($C$1,Database!$A$1:$C$1,),)=0,#N/A,VLOOKUP(Table7[[#This Row],[Date]],Database!$A:$C,MATCH($C$1,Database!$A$1:$C$1,),))</f>
        <v/>
      </c>
      <c r="D12884">
        <f>IFERROR(Table7[[#This Row],[United States 10y]]-Table7[[#This Row],[United States 3y]],#N/A)</f>
        <v/>
      </c>
    </row>
    <row r="12885">
      <c r="A12885" s="6">
        <f>Database!$A14970</f>
        <v/>
      </c>
      <c r="B12885">
        <f>IF(VLOOKUP(Table7[[#This Row],[Date]],Database!$A:$C,MATCH($B$1,Database!$A$1:$C$1,),)=0,#N/A,VLOOKUP(Table7[[#This Row],[Date]],Database!$A:$C,MATCH($B$1,Database!$A$1:$C$1,),))</f>
        <v/>
      </c>
      <c r="C12885">
        <f>IF(VLOOKUP(Table7[[#This Row],[Date]],Database!$A:$C,MATCH($C$1,Database!$A$1:$C$1,),)=0,#N/A,VLOOKUP(Table7[[#This Row],[Date]],Database!$A:$C,MATCH($C$1,Database!$A$1:$C$1,),))</f>
        <v/>
      </c>
      <c r="D12885">
        <f>IFERROR(Table7[[#This Row],[United States 10y]]-Table7[[#This Row],[United States 3y]],#N/A)</f>
        <v/>
      </c>
    </row>
    <row r="12886">
      <c r="A12886" s="6">
        <f>Database!$A14971</f>
        <v/>
      </c>
      <c r="B12886">
        <f>IF(VLOOKUP(Table7[[#This Row],[Date]],Database!$A:$C,MATCH($B$1,Database!$A$1:$C$1,),)=0,#N/A,VLOOKUP(Table7[[#This Row],[Date]],Database!$A:$C,MATCH($B$1,Database!$A$1:$C$1,),))</f>
        <v/>
      </c>
      <c r="C12886">
        <f>IF(VLOOKUP(Table7[[#This Row],[Date]],Database!$A:$C,MATCH($C$1,Database!$A$1:$C$1,),)=0,#N/A,VLOOKUP(Table7[[#This Row],[Date]],Database!$A:$C,MATCH($C$1,Database!$A$1:$C$1,),))</f>
        <v/>
      </c>
      <c r="D12886">
        <f>IFERROR(Table7[[#This Row],[United States 10y]]-Table7[[#This Row],[United States 3y]],#N/A)</f>
        <v/>
      </c>
    </row>
    <row r="12887">
      <c r="A12887" s="6">
        <f>Database!$A14972</f>
        <v/>
      </c>
      <c r="B12887">
        <f>IF(VLOOKUP(Table7[[#This Row],[Date]],Database!$A:$C,MATCH($B$1,Database!$A$1:$C$1,),)=0,#N/A,VLOOKUP(Table7[[#This Row],[Date]],Database!$A:$C,MATCH($B$1,Database!$A$1:$C$1,),))</f>
        <v/>
      </c>
      <c r="C12887">
        <f>IF(VLOOKUP(Table7[[#This Row],[Date]],Database!$A:$C,MATCH($C$1,Database!$A$1:$C$1,),)=0,#N/A,VLOOKUP(Table7[[#This Row],[Date]],Database!$A:$C,MATCH($C$1,Database!$A$1:$C$1,),))</f>
        <v/>
      </c>
      <c r="D12887">
        <f>IFERROR(Table7[[#This Row],[United States 10y]]-Table7[[#This Row],[United States 3y]],#N/A)</f>
        <v/>
      </c>
    </row>
    <row r="12888">
      <c r="A12888" s="6">
        <f>Database!$A14973</f>
        <v/>
      </c>
      <c r="B12888">
        <f>IF(VLOOKUP(Table7[[#This Row],[Date]],Database!$A:$C,MATCH($B$1,Database!$A$1:$C$1,),)=0,#N/A,VLOOKUP(Table7[[#This Row],[Date]],Database!$A:$C,MATCH($B$1,Database!$A$1:$C$1,),))</f>
        <v/>
      </c>
      <c r="C12888">
        <f>IF(VLOOKUP(Table7[[#This Row],[Date]],Database!$A:$C,MATCH($C$1,Database!$A$1:$C$1,),)=0,#N/A,VLOOKUP(Table7[[#This Row],[Date]],Database!$A:$C,MATCH($C$1,Database!$A$1:$C$1,),))</f>
        <v/>
      </c>
      <c r="D12888">
        <f>IFERROR(Table7[[#This Row],[United States 10y]]-Table7[[#This Row],[United States 3y]],#N/A)</f>
        <v/>
      </c>
    </row>
    <row r="12889">
      <c r="A12889" s="6">
        <f>Database!$A14974</f>
        <v/>
      </c>
      <c r="B12889">
        <f>IF(VLOOKUP(Table7[[#This Row],[Date]],Database!$A:$C,MATCH($B$1,Database!$A$1:$C$1,),)=0,#N/A,VLOOKUP(Table7[[#This Row],[Date]],Database!$A:$C,MATCH($B$1,Database!$A$1:$C$1,),))</f>
        <v/>
      </c>
      <c r="C12889">
        <f>IF(VLOOKUP(Table7[[#This Row],[Date]],Database!$A:$C,MATCH($C$1,Database!$A$1:$C$1,),)=0,#N/A,VLOOKUP(Table7[[#This Row],[Date]],Database!$A:$C,MATCH($C$1,Database!$A$1:$C$1,),))</f>
        <v/>
      </c>
      <c r="D12889">
        <f>IFERROR(Table7[[#This Row],[United States 10y]]-Table7[[#This Row],[United States 3y]],#N/A)</f>
        <v/>
      </c>
    </row>
    <row r="12890">
      <c r="A12890" s="6">
        <f>Database!$A14975</f>
        <v/>
      </c>
      <c r="B12890">
        <f>IF(VLOOKUP(Table7[[#This Row],[Date]],Database!$A:$C,MATCH($B$1,Database!$A$1:$C$1,),)=0,#N/A,VLOOKUP(Table7[[#This Row],[Date]],Database!$A:$C,MATCH($B$1,Database!$A$1:$C$1,),))</f>
        <v/>
      </c>
      <c r="C12890">
        <f>IF(VLOOKUP(Table7[[#This Row],[Date]],Database!$A:$C,MATCH($C$1,Database!$A$1:$C$1,),)=0,#N/A,VLOOKUP(Table7[[#This Row],[Date]],Database!$A:$C,MATCH($C$1,Database!$A$1:$C$1,),))</f>
        <v/>
      </c>
      <c r="D12890">
        <f>IFERROR(Table7[[#This Row],[United States 10y]]-Table7[[#This Row],[United States 3y]],#N/A)</f>
        <v/>
      </c>
    </row>
    <row r="12891">
      <c r="A12891" s="6">
        <f>Database!$A14976</f>
        <v/>
      </c>
      <c r="B12891">
        <f>IF(VLOOKUP(Table7[[#This Row],[Date]],Database!$A:$C,MATCH($B$1,Database!$A$1:$C$1,),)=0,#N/A,VLOOKUP(Table7[[#This Row],[Date]],Database!$A:$C,MATCH($B$1,Database!$A$1:$C$1,),))</f>
        <v/>
      </c>
      <c r="C12891">
        <f>IF(VLOOKUP(Table7[[#This Row],[Date]],Database!$A:$C,MATCH($C$1,Database!$A$1:$C$1,),)=0,#N/A,VLOOKUP(Table7[[#This Row],[Date]],Database!$A:$C,MATCH($C$1,Database!$A$1:$C$1,),))</f>
        <v/>
      </c>
      <c r="D12891">
        <f>IFERROR(Table7[[#This Row],[United States 10y]]-Table7[[#This Row],[United States 3y]],#N/A)</f>
        <v/>
      </c>
    </row>
    <row r="12892">
      <c r="A12892" s="6">
        <f>Database!$A14977</f>
        <v/>
      </c>
      <c r="B12892">
        <f>IF(VLOOKUP(Table7[[#This Row],[Date]],Database!$A:$C,MATCH($B$1,Database!$A$1:$C$1,),)=0,#N/A,VLOOKUP(Table7[[#This Row],[Date]],Database!$A:$C,MATCH($B$1,Database!$A$1:$C$1,),))</f>
        <v/>
      </c>
      <c r="C12892">
        <f>IF(VLOOKUP(Table7[[#This Row],[Date]],Database!$A:$C,MATCH($C$1,Database!$A$1:$C$1,),)=0,#N/A,VLOOKUP(Table7[[#This Row],[Date]],Database!$A:$C,MATCH($C$1,Database!$A$1:$C$1,),))</f>
        <v/>
      </c>
      <c r="D12892">
        <f>IFERROR(Table7[[#This Row],[United States 10y]]-Table7[[#This Row],[United States 3y]],#N/A)</f>
        <v/>
      </c>
    </row>
    <row r="12893">
      <c r="A12893" s="6">
        <f>Database!$A14978</f>
        <v/>
      </c>
      <c r="B12893">
        <f>IF(VLOOKUP(Table7[[#This Row],[Date]],Database!$A:$C,MATCH($B$1,Database!$A$1:$C$1,),)=0,#N/A,VLOOKUP(Table7[[#This Row],[Date]],Database!$A:$C,MATCH($B$1,Database!$A$1:$C$1,),))</f>
        <v/>
      </c>
      <c r="C12893">
        <f>IF(VLOOKUP(Table7[[#This Row],[Date]],Database!$A:$C,MATCH($C$1,Database!$A$1:$C$1,),)=0,#N/A,VLOOKUP(Table7[[#This Row],[Date]],Database!$A:$C,MATCH($C$1,Database!$A$1:$C$1,),))</f>
        <v/>
      </c>
      <c r="D12893">
        <f>IFERROR(Table7[[#This Row],[United States 10y]]-Table7[[#This Row],[United States 3y]],#N/A)</f>
        <v/>
      </c>
    </row>
    <row r="12894">
      <c r="A12894" s="6">
        <f>Database!$A14979</f>
        <v/>
      </c>
      <c r="B12894">
        <f>IF(VLOOKUP(Table7[[#This Row],[Date]],Database!$A:$C,MATCH($B$1,Database!$A$1:$C$1,),)=0,#N/A,VLOOKUP(Table7[[#This Row],[Date]],Database!$A:$C,MATCH($B$1,Database!$A$1:$C$1,),))</f>
        <v/>
      </c>
      <c r="C12894">
        <f>IF(VLOOKUP(Table7[[#This Row],[Date]],Database!$A:$C,MATCH($C$1,Database!$A$1:$C$1,),)=0,#N/A,VLOOKUP(Table7[[#This Row],[Date]],Database!$A:$C,MATCH($C$1,Database!$A$1:$C$1,),))</f>
        <v/>
      </c>
      <c r="D12894">
        <f>IFERROR(Table7[[#This Row],[United States 10y]]-Table7[[#This Row],[United States 3y]],#N/A)</f>
        <v/>
      </c>
    </row>
    <row r="12895">
      <c r="A12895" s="6">
        <f>Database!$A14980</f>
        <v/>
      </c>
      <c r="B12895">
        <f>IF(VLOOKUP(Table7[[#This Row],[Date]],Database!$A:$C,MATCH($B$1,Database!$A$1:$C$1,),)=0,#N/A,VLOOKUP(Table7[[#This Row],[Date]],Database!$A:$C,MATCH($B$1,Database!$A$1:$C$1,),))</f>
        <v/>
      </c>
      <c r="C12895">
        <f>IF(VLOOKUP(Table7[[#This Row],[Date]],Database!$A:$C,MATCH($C$1,Database!$A$1:$C$1,),)=0,#N/A,VLOOKUP(Table7[[#This Row],[Date]],Database!$A:$C,MATCH($C$1,Database!$A$1:$C$1,),))</f>
        <v/>
      </c>
      <c r="D12895">
        <f>IFERROR(Table7[[#This Row],[United States 10y]]-Table7[[#This Row],[United States 3y]],#N/A)</f>
        <v/>
      </c>
    </row>
    <row r="12896">
      <c r="A12896" s="6">
        <f>Database!$A14981</f>
        <v/>
      </c>
      <c r="B12896">
        <f>IF(VLOOKUP(Table7[[#This Row],[Date]],Database!$A:$C,MATCH($B$1,Database!$A$1:$C$1,),)=0,#N/A,VLOOKUP(Table7[[#This Row],[Date]],Database!$A:$C,MATCH($B$1,Database!$A$1:$C$1,),))</f>
        <v/>
      </c>
      <c r="C12896">
        <f>IF(VLOOKUP(Table7[[#This Row],[Date]],Database!$A:$C,MATCH($C$1,Database!$A$1:$C$1,),)=0,#N/A,VLOOKUP(Table7[[#This Row],[Date]],Database!$A:$C,MATCH($C$1,Database!$A$1:$C$1,),))</f>
        <v/>
      </c>
      <c r="D12896">
        <f>IFERROR(Table7[[#This Row],[United States 10y]]-Table7[[#This Row],[United States 3y]],#N/A)</f>
        <v/>
      </c>
    </row>
    <row r="12897">
      <c r="A12897" s="6">
        <f>Database!$A14982</f>
        <v/>
      </c>
      <c r="B12897">
        <f>IF(VLOOKUP(Table7[[#This Row],[Date]],Database!$A:$C,MATCH($B$1,Database!$A$1:$C$1,),)=0,#N/A,VLOOKUP(Table7[[#This Row],[Date]],Database!$A:$C,MATCH($B$1,Database!$A$1:$C$1,),))</f>
        <v/>
      </c>
      <c r="C12897">
        <f>IF(VLOOKUP(Table7[[#This Row],[Date]],Database!$A:$C,MATCH($C$1,Database!$A$1:$C$1,),)=0,#N/A,VLOOKUP(Table7[[#This Row],[Date]],Database!$A:$C,MATCH($C$1,Database!$A$1:$C$1,),))</f>
        <v/>
      </c>
      <c r="D12897">
        <f>IFERROR(Table7[[#This Row],[United States 10y]]-Table7[[#This Row],[United States 3y]],#N/A)</f>
        <v/>
      </c>
    </row>
    <row r="12898">
      <c r="A12898" s="6">
        <f>Database!$A14983</f>
        <v/>
      </c>
      <c r="B12898">
        <f>IF(VLOOKUP(Table7[[#This Row],[Date]],Database!$A:$C,MATCH($B$1,Database!$A$1:$C$1,),)=0,#N/A,VLOOKUP(Table7[[#This Row],[Date]],Database!$A:$C,MATCH($B$1,Database!$A$1:$C$1,),))</f>
        <v/>
      </c>
      <c r="C12898">
        <f>IF(VLOOKUP(Table7[[#This Row],[Date]],Database!$A:$C,MATCH($C$1,Database!$A$1:$C$1,),)=0,#N/A,VLOOKUP(Table7[[#This Row],[Date]],Database!$A:$C,MATCH($C$1,Database!$A$1:$C$1,),))</f>
        <v/>
      </c>
      <c r="D12898">
        <f>IFERROR(Table7[[#This Row],[United States 10y]]-Table7[[#This Row],[United States 3y]],#N/A)</f>
        <v/>
      </c>
    </row>
    <row r="12899">
      <c r="A12899" s="6">
        <f>Database!$A14984</f>
        <v/>
      </c>
      <c r="B12899">
        <f>IF(VLOOKUP(Table7[[#This Row],[Date]],Database!$A:$C,MATCH($B$1,Database!$A$1:$C$1,),)=0,#N/A,VLOOKUP(Table7[[#This Row],[Date]],Database!$A:$C,MATCH($B$1,Database!$A$1:$C$1,),))</f>
        <v/>
      </c>
      <c r="C12899">
        <f>IF(VLOOKUP(Table7[[#This Row],[Date]],Database!$A:$C,MATCH($C$1,Database!$A$1:$C$1,),)=0,#N/A,VLOOKUP(Table7[[#This Row],[Date]],Database!$A:$C,MATCH($C$1,Database!$A$1:$C$1,),))</f>
        <v/>
      </c>
      <c r="D12899">
        <f>IFERROR(Table7[[#This Row],[United States 10y]]-Table7[[#This Row],[United States 3y]],#N/A)</f>
        <v/>
      </c>
    </row>
    <row r="12900">
      <c r="A12900" s="6">
        <f>Database!$A14985</f>
        <v/>
      </c>
      <c r="B12900">
        <f>IF(VLOOKUP(Table7[[#This Row],[Date]],Database!$A:$C,MATCH($B$1,Database!$A$1:$C$1,),)=0,#N/A,VLOOKUP(Table7[[#This Row],[Date]],Database!$A:$C,MATCH($B$1,Database!$A$1:$C$1,),))</f>
        <v/>
      </c>
      <c r="C12900">
        <f>IF(VLOOKUP(Table7[[#This Row],[Date]],Database!$A:$C,MATCH($C$1,Database!$A$1:$C$1,),)=0,#N/A,VLOOKUP(Table7[[#This Row],[Date]],Database!$A:$C,MATCH($C$1,Database!$A$1:$C$1,),))</f>
        <v/>
      </c>
      <c r="D12900">
        <f>IFERROR(Table7[[#This Row],[United States 10y]]-Table7[[#This Row],[United States 3y]],#N/A)</f>
        <v/>
      </c>
    </row>
    <row r="12901">
      <c r="A12901" s="6">
        <f>Database!$A14986</f>
        <v/>
      </c>
      <c r="B12901">
        <f>IF(VLOOKUP(Table7[[#This Row],[Date]],Database!$A:$C,MATCH($B$1,Database!$A$1:$C$1,),)=0,#N/A,VLOOKUP(Table7[[#This Row],[Date]],Database!$A:$C,MATCH($B$1,Database!$A$1:$C$1,),))</f>
        <v/>
      </c>
      <c r="C12901">
        <f>IF(VLOOKUP(Table7[[#This Row],[Date]],Database!$A:$C,MATCH($C$1,Database!$A$1:$C$1,),)=0,#N/A,VLOOKUP(Table7[[#This Row],[Date]],Database!$A:$C,MATCH($C$1,Database!$A$1:$C$1,),))</f>
        <v/>
      </c>
      <c r="D12901">
        <f>IFERROR(Table7[[#This Row],[United States 10y]]-Table7[[#This Row],[United States 3y]],#N/A)</f>
        <v/>
      </c>
    </row>
    <row r="12902">
      <c r="A12902" s="6">
        <f>Database!$A14987</f>
        <v/>
      </c>
      <c r="B12902">
        <f>IF(VLOOKUP(Table7[[#This Row],[Date]],Database!$A:$C,MATCH($B$1,Database!$A$1:$C$1,),)=0,#N/A,VLOOKUP(Table7[[#This Row],[Date]],Database!$A:$C,MATCH($B$1,Database!$A$1:$C$1,),))</f>
        <v/>
      </c>
      <c r="C12902">
        <f>IF(VLOOKUP(Table7[[#This Row],[Date]],Database!$A:$C,MATCH($C$1,Database!$A$1:$C$1,),)=0,#N/A,VLOOKUP(Table7[[#This Row],[Date]],Database!$A:$C,MATCH($C$1,Database!$A$1:$C$1,),))</f>
        <v/>
      </c>
      <c r="D12902">
        <f>IFERROR(Table7[[#This Row],[United States 10y]]-Table7[[#This Row],[United States 3y]],#N/A)</f>
        <v/>
      </c>
    </row>
    <row r="12903">
      <c r="A12903" s="6">
        <f>Database!$A14988</f>
        <v/>
      </c>
      <c r="B12903">
        <f>IF(VLOOKUP(Table7[[#This Row],[Date]],Database!$A:$C,MATCH($B$1,Database!$A$1:$C$1,),)=0,#N/A,VLOOKUP(Table7[[#This Row],[Date]],Database!$A:$C,MATCH($B$1,Database!$A$1:$C$1,),))</f>
        <v/>
      </c>
      <c r="C12903">
        <f>IF(VLOOKUP(Table7[[#This Row],[Date]],Database!$A:$C,MATCH($C$1,Database!$A$1:$C$1,),)=0,#N/A,VLOOKUP(Table7[[#This Row],[Date]],Database!$A:$C,MATCH($C$1,Database!$A$1:$C$1,),))</f>
        <v/>
      </c>
      <c r="D12903">
        <f>IFERROR(Table7[[#This Row],[United States 10y]]-Table7[[#This Row],[United States 3y]],#N/A)</f>
        <v/>
      </c>
    </row>
    <row r="12904">
      <c r="A12904" s="6">
        <f>Database!$A14989</f>
        <v/>
      </c>
      <c r="B12904">
        <f>IF(VLOOKUP(Table7[[#This Row],[Date]],Database!$A:$C,MATCH($B$1,Database!$A$1:$C$1,),)=0,#N/A,VLOOKUP(Table7[[#This Row],[Date]],Database!$A:$C,MATCH($B$1,Database!$A$1:$C$1,),))</f>
        <v/>
      </c>
      <c r="C12904">
        <f>IF(VLOOKUP(Table7[[#This Row],[Date]],Database!$A:$C,MATCH($C$1,Database!$A$1:$C$1,),)=0,#N/A,VLOOKUP(Table7[[#This Row],[Date]],Database!$A:$C,MATCH($C$1,Database!$A$1:$C$1,),))</f>
        <v/>
      </c>
      <c r="D12904">
        <f>IFERROR(Table7[[#This Row],[United States 10y]]-Table7[[#This Row],[United States 3y]],#N/A)</f>
        <v/>
      </c>
    </row>
    <row r="12905">
      <c r="A12905" s="6">
        <f>Database!$A14990</f>
        <v/>
      </c>
      <c r="B12905">
        <f>IF(VLOOKUP(Table7[[#This Row],[Date]],Database!$A:$C,MATCH($B$1,Database!$A$1:$C$1,),)=0,#N/A,VLOOKUP(Table7[[#This Row],[Date]],Database!$A:$C,MATCH($B$1,Database!$A$1:$C$1,),))</f>
        <v/>
      </c>
      <c r="C12905">
        <f>IF(VLOOKUP(Table7[[#This Row],[Date]],Database!$A:$C,MATCH($C$1,Database!$A$1:$C$1,),)=0,#N/A,VLOOKUP(Table7[[#This Row],[Date]],Database!$A:$C,MATCH($C$1,Database!$A$1:$C$1,),))</f>
        <v/>
      </c>
      <c r="D12905">
        <f>IFERROR(Table7[[#This Row],[United States 10y]]-Table7[[#This Row],[United States 3y]],#N/A)</f>
        <v/>
      </c>
    </row>
    <row r="12906">
      <c r="A12906" s="6">
        <f>Database!$A14991</f>
        <v/>
      </c>
      <c r="B12906">
        <f>IF(VLOOKUP(Table7[[#This Row],[Date]],Database!$A:$C,MATCH($B$1,Database!$A$1:$C$1,),)=0,#N/A,VLOOKUP(Table7[[#This Row],[Date]],Database!$A:$C,MATCH($B$1,Database!$A$1:$C$1,),))</f>
        <v/>
      </c>
      <c r="C12906">
        <f>IF(VLOOKUP(Table7[[#This Row],[Date]],Database!$A:$C,MATCH($C$1,Database!$A$1:$C$1,),)=0,#N/A,VLOOKUP(Table7[[#This Row],[Date]],Database!$A:$C,MATCH($C$1,Database!$A$1:$C$1,),))</f>
        <v/>
      </c>
      <c r="D12906">
        <f>IFERROR(Table7[[#This Row],[United States 10y]]-Table7[[#This Row],[United States 3y]],#N/A)</f>
        <v/>
      </c>
    </row>
    <row r="12907">
      <c r="A12907" s="6">
        <f>Database!$A14992</f>
        <v/>
      </c>
      <c r="B12907">
        <f>IF(VLOOKUP(Table7[[#This Row],[Date]],Database!$A:$C,MATCH($B$1,Database!$A$1:$C$1,),)=0,#N/A,VLOOKUP(Table7[[#This Row],[Date]],Database!$A:$C,MATCH($B$1,Database!$A$1:$C$1,),))</f>
        <v/>
      </c>
      <c r="C12907">
        <f>IF(VLOOKUP(Table7[[#This Row],[Date]],Database!$A:$C,MATCH($C$1,Database!$A$1:$C$1,),)=0,#N/A,VLOOKUP(Table7[[#This Row],[Date]],Database!$A:$C,MATCH($C$1,Database!$A$1:$C$1,),))</f>
        <v/>
      </c>
      <c r="D12907">
        <f>IFERROR(Table7[[#This Row],[United States 10y]]-Table7[[#This Row],[United States 3y]],#N/A)</f>
        <v/>
      </c>
    </row>
    <row r="12908">
      <c r="A12908" s="6">
        <f>Database!$A14993</f>
        <v/>
      </c>
      <c r="B12908">
        <f>IF(VLOOKUP(Table7[[#This Row],[Date]],Database!$A:$C,MATCH($B$1,Database!$A$1:$C$1,),)=0,#N/A,VLOOKUP(Table7[[#This Row],[Date]],Database!$A:$C,MATCH($B$1,Database!$A$1:$C$1,),))</f>
        <v/>
      </c>
      <c r="C12908">
        <f>IF(VLOOKUP(Table7[[#This Row],[Date]],Database!$A:$C,MATCH($C$1,Database!$A$1:$C$1,),)=0,#N/A,VLOOKUP(Table7[[#This Row],[Date]],Database!$A:$C,MATCH($C$1,Database!$A$1:$C$1,),))</f>
        <v/>
      </c>
      <c r="D12908">
        <f>IFERROR(Table7[[#This Row],[United States 10y]]-Table7[[#This Row],[United States 3y]],#N/A)</f>
        <v/>
      </c>
    </row>
    <row r="12909">
      <c r="A12909" s="6">
        <f>Database!$A14994</f>
        <v/>
      </c>
      <c r="B12909">
        <f>IF(VLOOKUP(Table7[[#This Row],[Date]],Database!$A:$C,MATCH($B$1,Database!$A$1:$C$1,),)=0,#N/A,VLOOKUP(Table7[[#This Row],[Date]],Database!$A:$C,MATCH($B$1,Database!$A$1:$C$1,),))</f>
        <v/>
      </c>
      <c r="C12909">
        <f>IF(VLOOKUP(Table7[[#This Row],[Date]],Database!$A:$C,MATCH($C$1,Database!$A$1:$C$1,),)=0,#N/A,VLOOKUP(Table7[[#This Row],[Date]],Database!$A:$C,MATCH($C$1,Database!$A$1:$C$1,),))</f>
        <v/>
      </c>
      <c r="D12909">
        <f>IFERROR(Table7[[#This Row],[United States 10y]]-Table7[[#This Row],[United States 3y]],#N/A)</f>
        <v/>
      </c>
    </row>
    <row r="12910">
      <c r="A12910" s="6">
        <f>Database!$A14995</f>
        <v/>
      </c>
      <c r="B12910">
        <f>IF(VLOOKUP(Table7[[#This Row],[Date]],Database!$A:$C,MATCH($B$1,Database!$A$1:$C$1,),)=0,#N/A,VLOOKUP(Table7[[#This Row],[Date]],Database!$A:$C,MATCH($B$1,Database!$A$1:$C$1,),))</f>
        <v/>
      </c>
      <c r="C12910">
        <f>IF(VLOOKUP(Table7[[#This Row],[Date]],Database!$A:$C,MATCH($C$1,Database!$A$1:$C$1,),)=0,#N/A,VLOOKUP(Table7[[#This Row],[Date]],Database!$A:$C,MATCH($C$1,Database!$A$1:$C$1,),))</f>
        <v/>
      </c>
      <c r="D12910">
        <f>IFERROR(Table7[[#This Row],[United States 10y]]-Table7[[#This Row],[United States 3y]],#N/A)</f>
        <v/>
      </c>
    </row>
    <row r="12911">
      <c r="A12911" s="6">
        <f>Database!$A14996</f>
        <v/>
      </c>
      <c r="B12911">
        <f>IF(VLOOKUP(Table7[[#This Row],[Date]],Database!$A:$C,MATCH($B$1,Database!$A$1:$C$1,),)=0,#N/A,VLOOKUP(Table7[[#This Row],[Date]],Database!$A:$C,MATCH($B$1,Database!$A$1:$C$1,),))</f>
        <v/>
      </c>
      <c r="C12911">
        <f>IF(VLOOKUP(Table7[[#This Row],[Date]],Database!$A:$C,MATCH($C$1,Database!$A$1:$C$1,),)=0,#N/A,VLOOKUP(Table7[[#This Row],[Date]],Database!$A:$C,MATCH($C$1,Database!$A$1:$C$1,),))</f>
        <v/>
      </c>
      <c r="D12911">
        <f>IFERROR(Table7[[#This Row],[United States 10y]]-Table7[[#This Row],[United States 3y]],#N/A)</f>
        <v/>
      </c>
    </row>
    <row r="12912">
      <c r="A12912" s="6">
        <f>Database!$A14997</f>
        <v/>
      </c>
      <c r="B12912">
        <f>IF(VLOOKUP(Table7[[#This Row],[Date]],Database!$A:$C,MATCH($B$1,Database!$A$1:$C$1,),)=0,#N/A,VLOOKUP(Table7[[#This Row],[Date]],Database!$A:$C,MATCH($B$1,Database!$A$1:$C$1,),))</f>
        <v/>
      </c>
      <c r="C12912">
        <f>IF(VLOOKUP(Table7[[#This Row],[Date]],Database!$A:$C,MATCH($C$1,Database!$A$1:$C$1,),)=0,#N/A,VLOOKUP(Table7[[#This Row],[Date]],Database!$A:$C,MATCH($C$1,Database!$A$1:$C$1,),))</f>
        <v/>
      </c>
      <c r="D12912">
        <f>IFERROR(Table7[[#This Row],[United States 10y]]-Table7[[#This Row],[United States 3y]],#N/A)</f>
        <v/>
      </c>
    </row>
    <row r="12913">
      <c r="A12913" s="6">
        <f>Database!$A14998</f>
        <v/>
      </c>
      <c r="B12913">
        <f>IF(VLOOKUP(Table7[[#This Row],[Date]],Database!$A:$C,MATCH($B$1,Database!$A$1:$C$1,),)=0,#N/A,VLOOKUP(Table7[[#This Row],[Date]],Database!$A:$C,MATCH($B$1,Database!$A$1:$C$1,),))</f>
        <v/>
      </c>
      <c r="C12913">
        <f>IF(VLOOKUP(Table7[[#This Row],[Date]],Database!$A:$C,MATCH($C$1,Database!$A$1:$C$1,),)=0,#N/A,VLOOKUP(Table7[[#This Row],[Date]],Database!$A:$C,MATCH($C$1,Database!$A$1:$C$1,),))</f>
        <v/>
      </c>
      <c r="D12913">
        <f>IFERROR(Table7[[#This Row],[United States 10y]]-Table7[[#This Row],[United States 3y]],#N/A)</f>
        <v/>
      </c>
    </row>
    <row r="12914">
      <c r="A12914" s="6">
        <f>Database!$A14999</f>
        <v/>
      </c>
      <c r="B12914">
        <f>IF(VLOOKUP(Table7[[#This Row],[Date]],Database!$A:$C,MATCH($B$1,Database!$A$1:$C$1,),)=0,#N/A,VLOOKUP(Table7[[#This Row],[Date]],Database!$A:$C,MATCH($B$1,Database!$A$1:$C$1,),))</f>
        <v/>
      </c>
      <c r="C12914">
        <f>IF(VLOOKUP(Table7[[#This Row],[Date]],Database!$A:$C,MATCH($C$1,Database!$A$1:$C$1,),)=0,#N/A,VLOOKUP(Table7[[#This Row],[Date]],Database!$A:$C,MATCH($C$1,Database!$A$1:$C$1,),))</f>
        <v/>
      </c>
      <c r="D12914">
        <f>IFERROR(Table7[[#This Row],[United States 10y]]-Table7[[#This Row],[United States 3y]],#N/A)</f>
        <v/>
      </c>
    </row>
    <row r="12915">
      <c r="A12915" s="6">
        <f>Database!$A15000</f>
        <v/>
      </c>
      <c r="B12915">
        <f>IF(VLOOKUP(Table7[[#This Row],[Date]],Database!$A:$C,MATCH($B$1,Database!$A$1:$C$1,),)=0,#N/A,VLOOKUP(Table7[[#This Row],[Date]],Database!$A:$C,MATCH($B$1,Database!$A$1:$C$1,),))</f>
        <v/>
      </c>
      <c r="C12915">
        <f>IF(VLOOKUP(Table7[[#This Row],[Date]],Database!$A:$C,MATCH($C$1,Database!$A$1:$C$1,),)=0,#N/A,VLOOKUP(Table7[[#This Row],[Date]],Database!$A:$C,MATCH($C$1,Database!$A$1:$C$1,),))</f>
        <v/>
      </c>
      <c r="D12915">
        <f>IFERROR(Table7[[#This Row],[United States 10y]]-Table7[[#This Row],[United States 3y]],#N/A)</f>
        <v/>
      </c>
    </row>
    <row r="12916">
      <c r="A12916" s="6">
        <f>Database!$A15001</f>
        <v/>
      </c>
      <c r="B12916">
        <f>IF(VLOOKUP(Table7[[#This Row],[Date]],Database!$A:$C,MATCH($B$1,Database!$A$1:$C$1,),)=0,#N/A,VLOOKUP(Table7[[#This Row],[Date]],Database!$A:$C,MATCH($B$1,Database!$A$1:$C$1,),))</f>
        <v/>
      </c>
      <c r="C12916">
        <f>IF(VLOOKUP(Table7[[#This Row],[Date]],Database!$A:$C,MATCH($C$1,Database!$A$1:$C$1,),)=0,#N/A,VLOOKUP(Table7[[#This Row],[Date]],Database!$A:$C,MATCH($C$1,Database!$A$1:$C$1,),))</f>
        <v/>
      </c>
      <c r="D12916">
        <f>IFERROR(Table7[[#This Row],[United States 10y]]-Table7[[#This Row],[United States 3y]],#N/A)</f>
        <v/>
      </c>
    </row>
    <row r="12917">
      <c r="A12917" s="6">
        <f>Database!$A15002</f>
        <v/>
      </c>
      <c r="B12917">
        <f>IF(VLOOKUP(Table7[[#This Row],[Date]],Database!$A:$C,MATCH($B$1,Database!$A$1:$C$1,),)=0,#N/A,VLOOKUP(Table7[[#This Row],[Date]],Database!$A:$C,MATCH($B$1,Database!$A$1:$C$1,),))</f>
        <v/>
      </c>
      <c r="C12917">
        <f>IF(VLOOKUP(Table7[[#This Row],[Date]],Database!$A:$C,MATCH($C$1,Database!$A$1:$C$1,),)=0,#N/A,VLOOKUP(Table7[[#This Row],[Date]],Database!$A:$C,MATCH($C$1,Database!$A$1:$C$1,),))</f>
        <v/>
      </c>
      <c r="D12917">
        <f>IFERROR(Table7[[#This Row],[United States 10y]]-Table7[[#This Row],[United States 3y]],#N/A)</f>
        <v/>
      </c>
    </row>
    <row r="12918">
      <c r="A12918" s="6">
        <f>Database!$A15003</f>
        <v/>
      </c>
      <c r="B12918">
        <f>IF(VLOOKUP(Table7[[#This Row],[Date]],Database!$A:$C,MATCH($B$1,Database!$A$1:$C$1,),)=0,#N/A,VLOOKUP(Table7[[#This Row],[Date]],Database!$A:$C,MATCH($B$1,Database!$A$1:$C$1,),))</f>
        <v/>
      </c>
      <c r="C12918">
        <f>IF(VLOOKUP(Table7[[#This Row],[Date]],Database!$A:$C,MATCH($C$1,Database!$A$1:$C$1,),)=0,#N/A,VLOOKUP(Table7[[#This Row],[Date]],Database!$A:$C,MATCH($C$1,Database!$A$1:$C$1,),))</f>
        <v/>
      </c>
      <c r="D12918">
        <f>IFERROR(Table7[[#This Row],[United States 10y]]-Table7[[#This Row],[United States 3y]],#N/A)</f>
        <v/>
      </c>
    </row>
    <row r="12919">
      <c r="A12919" s="6">
        <f>Database!$A15004</f>
        <v/>
      </c>
      <c r="B12919">
        <f>IF(VLOOKUP(Table7[[#This Row],[Date]],Database!$A:$C,MATCH($B$1,Database!$A$1:$C$1,),)=0,#N/A,VLOOKUP(Table7[[#This Row],[Date]],Database!$A:$C,MATCH($B$1,Database!$A$1:$C$1,),))</f>
        <v/>
      </c>
      <c r="C12919">
        <f>IF(VLOOKUP(Table7[[#This Row],[Date]],Database!$A:$C,MATCH($C$1,Database!$A$1:$C$1,),)=0,#N/A,VLOOKUP(Table7[[#This Row],[Date]],Database!$A:$C,MATCH($C$1,Database!$A$1:$C$1,),))</f>
        <v/>
      </c>
      <c r="D12919">
        <f>IFERROR(Table7[[#This Row],[United States 10y]]-Table7[[#This Row],[United States 3y]],#N/A)</f>
        <v/>
      </c>
    </row>
    <row r="12920">
      <c r="A12920" s="6">
        <f>Database!$A15005</f>
        <v/>
      </c>
      <c r="B12920">
        <f>IF(VLOOKUP(Table7[[#This Row],[Date]],Database!$A:$C,MATCH($B$1,Database!$A$1:$C$1,),)=0,#N/A,VLOOKUP(Table7[[#This Row],[Date]],Database!$A:$C,MATCH($B$1,Database!$A$1:$C$1,),))</f>
        <v/>
      </c>
      <c r="C12920">
        <f>IF(VLOOKUP(Table7[[#This Row],[Date]],Database!$A:$C,MATCH($C$1,Database!$A$1:$C$1,),)=0,#N/A,VLOOKUP(Table7[[#This Row],[Date]],Database!$A:$C,MATCH($C$1,Database!$A$1:$C$1,),))</f>
        <v/>
      </c>
      <c r="D12920">
        <f>IFERROR(Table7[[#This Row],[United States 10y]]-Table7[[#This Row],[United States 3y]],#N/A)</f>
        <v/>
      </c>
    </row>
    <row r="12921">
      <c r="A12921" s="6">
        <f>Database!$A15006</f>
        <v/>
      </c>
      <c r="B12921">
        <f>IF(VLOOKUP(Table7[[#This Row],[Date]],Database!$A:$C,MATCH($B$1,Database!$A$1:$C$1,),)=0,#N/A,VLOOKUP(Table7[[#This Row],[Date]],Database!$A:$C,MATCH($B$1,Database!$A$1:$C$1,),))</f>
        <v/>
      </c>
      <c r="C12921">
        <f>IF(VLOOKUP(Table7[[#This Row],[Date]],Database!$A:$C,MATCH($C$1,Database!$A$1:$C$1,),)=0,#N/A,VLOOKUP(Table7[[#This Row],[Date]],Database!$A:$C,MATCH($C$1,Database!$A$1:$C$1,),))</f>
        <v/>
      </c>
      <c r="D12921">
        <f>IFERROR(Table7[[#This Row],[United States 10y]]-Table7[[#This Row],[United States 3y]],#N/A)</f>
        <v/>
      </c>
    </row>
    <row r="12922">
      <c r="A12922" s="6">
        <f>Database!$A15007</f>
        <v/>
      </c>
      <c r="B12922">
        <f>IF(VLOOKUP(Table7[[#This Row],[Date]],Database!$A:$C,MATCH($B$1,Database!$A$1:$C$1,),)=0,#N/A,VLOOKUP(Table7[[#This Row],[Date]],Database!$A:$C,MATCH($B$1,Database!$A$1:$C$1,),))</f>
        <v/>
      </c>
      <c r="C12922">
        <f>IF(VLOOKUP(Table7[[#This Row],[Date]],Database!$A:$C,MATCH($C$1,Database!$A$1:$C$1,),)=0,#N/A,VLOOKUP(Table7[[#This Row],[Date]],Database!$A:$C,MATCH($C$1,Database!$A$1:$C$1,),))</f>
        <v/>
      </c>
      <c r="D12922">
        <f>IFERROR(Table7[[#This Row],[United States 10y]]-Table7[[#This Row],[United States 3y]],#N/A)</f>
        <v/>
      </c>
    </row>
    <row r="12923">
      <c r="A12923" s="6">
        <f>Database!$A15008</f>
        <v/>
      </c>
      <c r="B12923">
        <f>IF(VLOOKUP(Table7[[#This Row],[Date]],Database!$A:$C,MATCH($B$1,Database!$A$1:$C$1,),)=0,#N/A,VLOOKUP(Table7[[#This Row],[Date]],Database!$A:$C,MATCH($B$1,Database!$A$1:$C$1,),))</f>
        <v/>
      </c>
      <c r="C12923">
        <f>IF(VLOOKUP(Table7[[#This Row],[Date]],Database!$A:$C,MATCH($C$1,Database!$A$1:$C$1,),)=0,#N/A,VLOOKUP(Table7[[#This Row],[Date]],Database!$A:$C,MATCH($C$1,Database!$A$1:$C$1,),))</f>
        <v/>
      </c>
      <c r="D12923">
        <f>IFERROR(Table7[[#This Row],[United States 10y]]-Table7[[#This Row],[United States 3y]],#N/A)</f>
        <v/>
      </c>
    </row>
    <row r="12924">
      <c r="A12924" s="6">
        <f>Database!$A15009</f>
        <v/>
      </c>
      <c r="B12924">
        <f>IF(VLOOKUP(Table7[[#This Row],[Date]],Database!$A:$C,MATCH($B$1,Database!$A$1:$C$1,),)=0,#N/A,VLOOKUP(Table7[[#This Row],[Date]],Database!$A:$C,MATCH($B$1,Database!$A$1:$C$1,),))</f>
        <v/>
      </c>
      <c r="C12924">
        <f>IF(VLOOKUP(Table7[[#This Row],[Date]],Database!$A:$C,MATCH($C$1,Database!$A$1:$C$1,),)=0,#N/A,VLOOKUP(Table7[[#This Row],[Date]],Database!$A:$C,MATCH($C$1,Database!$A$1:$C$1,),))</f>
        <v/>
      </c>
      <c r="D12924">
        <f>IFERROR(Table7[[#This Row],[United States 10y]]-Table7[[#This Row],[United States 3y]],#N/A)</f>
        <v/>
      </c>
    </row>
    <row r="12925">
      <c r="A12925" s="6">
        <f>Database!$A15010</f>
        <v/>
      </c>
      <c r="B12925">
        <f>IF(VLOOKUP(Table7[[#This Row],[Date]],Database!$A:$C,MATCH($B$1,Database!$A$1:$C$1,),)=0,#N/A,VLOOKUP(Table7[[#This Row],[Date]],Database!$A:$C,MATCH($B$1,Database!$A$1:$C$1,),))</f>
        <v/>
      </c>
      <c r="C12925">
        <f>IF(VLOOKUP(Table7[[#This Row],[Date]],Database!$A:$C,MATCH($C$1,Database!$A$1:$C$1,),)=0,#N/A,VLOOKUP(Table7[[#This Row],[Date]],Database!$A:$C,MATCH($C$1,Database!$A$1:$C$1,),))</f>
        <v/>
      </c>
      <c r="D12925">
        <f>IFERROR(Table7[[#This Row],[United States 10y]]-Table7[[#This Row],[United States 3y]],#N/A)</f>
        <v/>
      </c>
    </row>
    <row r="12926">
      <c r="A12926" s="6">
        <f>Database!$A15011</f>
        <v/>
      </c>
      <c r="B12926">
        <f>IF(VLOOKUP(Table7[[#This Row],[Date]],Database!$A:$C,MATCH($B$1,Database!$A$1:$C$1,),)=0,#N/A,VLOOKUP(Table7[[#This Row],[Date]],Database!$A:$C,MATCH($B$1,Database!$A$1:$C$1,),))</f>
        <v/>
      </c>
      <c r="C12926">
        <f>IF(VLOOKUP(Table7[[#This Row],[Date]],Database!$A:$C,MATCH($C$1,Database!$A$1:$C$1,),)=0,#N/A,VLOOKUP(Table7[[#This Row],[Date]],Database!$A:$C,MATCH($C$1,Database!$A$1:$C$1,),))</f>
        <v/>
      </c>
      <c r="D12926">
        <f>IFERROR(Table7[[#This Row],[United States 10y]]-Table7[[#This Row],[United States 3y]],#N/A)</f>
        <v/>
      </c>
    </row>
    <row r="12927">
      <c r="A12927" s="6">
        <f>Database!$A15012</f>
        <v/>
      </c>
      <c r="B12927">
        <f>IF(VLOOKUP(Table7[[#This Row],[Date]],Database!$A:$C,MATCH($B$1,Database!$A$1:$C$1,),)=0,#N/A,VLOOKUP(Table7[[#This Row],[Date]],Database!$A:$C,MATCH($B$1,Database!$A$1:$C$1,),))</f>
        <v/>
      </c>
      <c r="C12927">
        <f>IF(VLOOKUP(Table7[[#This Row],[Date]],Database!$A:$C,MATCH($C$1,Database!$A$1:$C$1,),)=0,#N/A,VLOOKUP(Table7[[#This Row],[Date]],Database!$A:$C,MATCH($C$1,Database!$A$1:$C$1,),))</f>
        <v/>
      </c>
      <c r="D12927">
        <f>IFERROR(Table7[[#This Row],[United States 10y]]-Table7[[#This Row],[United States 3y]],#N/A)</f>
        <v/>
      </c>
    </row>
    <row r="12928">
      <c r="A12928" s="6">
        <f>Database!$A15013</f>
        <v/>
      </c>
      <c r="B12928">
        <f>IF(VLOOKUP(Table7[[#This Row],[Date]],Database!$A:$C,MATCH($B$1,Database!$A$1:$C$1,),)=0,#N/A,VLOOKUP(Table7[[#This Row],[Date]],Database!$A:$C,MATCH($B$1,Database!$A$1:$C$1,),))</f>
        <v/>
      </c>
      <c r="C12928">
        <f>IF(VLOOKUP(Table7[[#This Row],[Date]],Database!$A:$C,MATCH($C$1,Database!$A$1:$C$1,),)=0,#N/A,VLOOKUP(Table7[[#This Row],[Date]],Database!$A:$C,MATCH($C$1,Database!$A$1:$C$1,),))</f>
        <v/>
      </c>
      <c r="D12928">
        <f>IFERROR(Table7[[#This Row],[United States 10y]]-Table7[[#This Row],[United States 3y]],#N/A)</f>
        <v/>
      </c>
    </row>
    <row r="12929">
      <c r="A12929" s="6">
        <f>Database!$A15014</f>
        <v/>
      </c>
      <c r="B12929">
        <f>IF(VLOOKUP(Table7[[#This Row],[Date]],Database!$A:$C,MATCH($B$1,Database!$A$1:$C$1,),)=0,#N/A,VLOOKUP(Table7[[#This Row],[Date]],Database!$A:$C,MATCH($B$1,Database!$A$1:$C$1,),))</f>
        <v/>
      </c>
      <c r="C12929">
        <f>IF(VLOOKUP(Table7[[#This Row],[Date]],Database!$A:$C,MATCH($C$1,Database!$A$1:$C$1,),)=0,#N/A,VLOOKUP(Table7[[#This Row],[Date]],Database!$A:$C,MATCH($C$1,Database!$A$1:$C$1,),))</f>
        <v/>
      </c>
      <c r="D12929">
        <f>IFERROR(Table7[[#This Row],[United States 10y]]-Table7[[#This Row],[United States 3y]],#N/A)</f>
        <v/>
      </c>
    </row>
    <row r="12930">
      <c r="A12930" s="6">
        <f>Database!$A15015</f>
        <v/>
      </c>
      <c r="B12930">
        <f>IF(VLOOKUP(Table7[[#This Row],[Date]],Database!$A:$C,MATCH($B$1,Database!$A$1:$C$1,),)=0,#N/A,VLOOKUP(Table7[[#This Row],[Date]],Database!$A:$C,MATCH($B$1,Database!$A$1:$C$1,),))</f>
        <v/>
      </c>
      <c r="C12930">
        <f>IF(VLOOKUP(Table7[[#This Row],[Date]],Database!$A:$C,MATCH($C$1,Database!$A$1:$C$1,),)=0,#N/A,VLOOKUP(Table7[[#This Row],[Date]],Database!$A:$C,MATCH($C$1,Database!$A$1:$C$1,),))</f>
        <v/>
      </c>
      <c r="D12930">
        <f>IFERROR(Table7[[#This Row],[United States 10y]]-Table7[[#This Row],[United States 3y]],#N/A)</f>
        <v/>
      </c>
    </row>
    <row r="12931">
      <c r="A12931" s="6">
        <f>Database!$A15016</f>
        <v/>
      </c>
      <c r="B12931">
        <f>IF(VLOOKUP(Table7[[#This Row],[Date]],Database!$A:$C,MATCH($B$1,Database!$A$1:$C$1,),)=0,#N/A,VLOOKUP(Table7[[#This Row],[Date]],Database!$A:$C,MATCH($B$1,Database!$A$1:$C$1,),))</f>
        <v/>
      </c>
      <c r="C12931">
        <f>IF(VLOOKUP(Table7[[#This Row],[Date]],Database!$A:$C,MATCH($C$1,Database!$A$1:$C$1,),)=0,#N/A,VLOOKUP(Table7[[#This Row],[Date]],Database!$A:$C,MATCH($C$1,Database!$A$1:$C$1,),))</f>
        <v/>
      </c>
      <c r="D12931">
        <f>IFERROR(Table7[[#This Row],[United States 10y]]-Table7[[#This Row],[United States 3y]],#N/A)</f>
        <v/>
      </c>
    </row>
    <row r="12932">
      <c r="A12932" s="6">
        <f>Database!$A15017</f>
        <v/>
      </c>
      <c r="B12932">
        <f>IF(VLOOKUP(Table7[[#This Row],[Date]],Database!$A:$C,MATCH($B$1,Database!$A$1:$C$1,),)=0,#N/A,VLOOKUP(Table7[[#This Row],[Date]],Database!$A:$C,MATCH($B$1,Database!$A$1:$C$1,),))</f>
        <v/>
      </c>
      <c r="C12932">
        <f>IF(VLOOKUP(Table7[[#This Row],[Date]],Database!$A:$C,MATCH($C$1,Database!$A$1:$C$1,),)=0,#N/A,VLOOKUP(Table7[[#This Row],[Date]],Database!$A:$C,MATCH($C$1,Database!$A$1:$C$1,),))</f>
        <v/>
      </c>
      <c r="D12932">
        <f>IFERROR(Table7[[#This Row],[United States 10y]]-Table7[[#This Row],[United States 3y]],#N/A)</f>
        <v/>
      </c>
    </row>
    <row r="12933">
      <c r="A12933" s="6">
        <f>Database!$A15018</f>
        <v/>
      </c>
      <c r="B12933">
        <f>IF(VLOOKUP(Table7[[#This Row],[Date]],Database!$A:$C,MATCH($B$1,Database!$A$1:$C$1,),)=0,#N/A,VLOOKUP(Table7[[#This Row],[Date]],Database!$A:$C,MATCH($B$1,Database!$A$1:$C$1,),))</f>
        <v/>
      </c>
      <c r="C12933">
        <f>IF(VLOOKUP(Table7[[#This Row],[Date]],Database!$A:$C,MATCH($C$1,Database!$A$1:$C$1,),)=0,#N/A,VLOOKUP(Table7[[#This Row],[Date]],Database!$A:$C,MATCH($C$1,Database!$A$1:$C$1,),))</f>
        <v/>
      </c>
      <c r="D12933">
        <f>IFERROR(Table7[[#This Row],[United States 10y]]-Table7[[#This Row],[United States 3y]],#N/A)</f>
        <v/>
      </c>
    </row>
    <row r="12934">
      <c r="A12934" s="6">
        <f>Database!$A15019</f>
        <v/>
      </c>
      <c r="B12934">
        <f>IF(VLOOKUP(Table7[[#This Row],[Date]],Database!$A:$C,MATCH($B$1,Database!$A$1:$C$1,),)=0,#N/A,VLOOKUP(Table7[[#This Row],[Date]],Database!$A:$C,MATCH($B$1,Database!$A$1:$C$1,),))</f>
        <v/>
      </c>
      <c r="C12934">
        <f>IF(VLOOKUP(Table7[[#This Row],[Date]],Database!$A:$C,MATCH($C$1,Database!$A$1:$C$1,),)=0,#N/A,VLOOKUP(Table7[[#This Row],[Date]],Database!$A:$C,MATCH($C$1,Database!$A$1:$C$1,),))</f>
        <v/>
      </c>
      <c r="D12934">
        <f>IFERROR(Table7[[#This Row],[United States 10y]]-Table7[[#This Row],[United States 3y]],#N/A)</f>
        <v/>
      </c>
    </row>
    <row r="12935">
      <c r="A12935" s="6">
        <f>Database!$A15020</f>
        <v/>
      </c>
      <c r="B12935">
        <f>IF(VLOOKUP(Table7[[#This Row],[Date]],Database!$A:$C,MATCH($B$1,Database!$A$1:$C$1,),)=0,#N/A,VLOOKUP(Table7[[#This Row],[Date]],Database!$A:$C,MATCH($B$1,Database!$A$1:$C$1,),))</f>
        <v/>
      </c>
      <c r="C12935">
        <f>IF(VLOOKUP(Table7[[#This Row],[Date]],Database!$A:$C,MATCH($C$1,Database!$A$1:$C$1,),)=0,#N/A,VLOOKUP(Table7[[#This Row],[Date]],Database!$A:$C,MATCH($C$1,Database!$A$1:$C$1,),))</f>
        <v/>
      </c>
      <c r="D12935">
        <f>IFERROR(Table7[[#This Row],[United States 10y]]-Table7[[#This Row],[United States 3y]],#N/A)</f>
        <v/>
      </c>
    </row>
    <row r="12936">
      <c r="A12936" s="6">
        <f>Database!$A15021</f>
        <v/>
      </c>
      <c r="B12936">
        <f>IF(VLOOKUP(Table7[[#This Row],[Date]],Database!$A:$C,MATCH($B$1,Database!$A$1:$C$1,),)=0,#N/A,VLOOKUP(Table7[[#This Row],[Date]],Database!$A:$C,MATCH($B$1,Database!$A$1:$C$1,),))</f>
        <v/>
      </c>
      <c r="C12936">
        <f>IF(VLOOKUP(Table7[[#This Row],[Date]],Database!$A:$C,MATCH($C$1,Database!$A$1:$C$1,),)=0,#N/A,VLOOKUP(Table7[[#This Row],[Date]],Database!$A:$C,MATCH($C$1,Database!$A$1:$C$1,),))</f>
        <v/>
      </c>
      <c r="D12936">
        <f>IFERROR(Table7[[#This Row],[United States 10y]]-Table7[[#This Row],[United States 3y]],#N/A)</f>
        <v/>
      </c>
    </row>
    <row r="12937">
      <c r="A12937" s="6">
        <f>Database!$A15022</f>
        <v/>
      </c>
      <c r="B12937">
        <f>IF(VLOOKUP(Table7[[#This Row],[Date]],Database!$A:$C,MATCH($B$1,Database!$A$1:$C$1,),)=0,#N/A,VLOOKUP(Table7[[#This Row],[Date]],Database!$A:$C,MATCH($B$1,Database!$A$1:$C$1,),))</f>
        <v/>
      </c>
      <c r="C12937">
        <f>IF(VLOOKUP(Table7[[#This Row],[Date]],Database!$A:$C,MATCH($C$1,Database!$A$1:$C$1,),)=0,#N/A,VLOOKUP(Table7[[#This Row],[Date]],Database!$A:$C,MATCH($C$1,Database!$A$1:$C$1,),))</f>
        <v/>
      </c>
      <c r="D12937">
        <f>IFERROR(Table7[[#This Row],[United States 10y]]-Table7[[#This Row],[United States 3y]],#N/A)</f>
        <v/>
      </c>
    </row>
    <row r="12938">
      <c r="A12938" s="6">
        <f>Database!$A15023</f>
        <v/>
      </c>
      <c r="B12938">
        <f>IF(VLOOKUP(Table7[[#This Row],[Date]],Database!$A:$C,MATCH($B$1,Database!$A$1:$C$1,),)=0,#N/A,VLOOKUP(Table7[[#This Row],[Date]],Database!$A:$C,MATCH($B$1,Database!$A$1:$C$1,),))</f>
        <v/>
      </c>
      <c r="C12938">
        <f>IF(VLOOKUP(Table7[[#This Row],[Date]],Database!$A:$C,MATCH($C$1,Database!$A$1:$C$1,),)=0,#N/A,VLOOKUP(Table7[[#This Row],[Date]],Database!$A:$C,MATCH($C$1,Database!$A$1:$C$1,),))</f>
        <v/>
      </c>
      <c r="D12938">
        <f>IFERROR(Table7[[#This Row],[United States 10y]]-Table7[[#This Row],[United States 3y]],#N/A)</f>
        <v/>
      </c>
    </row>
    <row r="12939">
      <c r="A12939" s="6">
        <f>Database!$A15024</f>
        <v/>
      </c>
      <c r="B12939">
        <f>IF(VLOOKUP(Table7[[#This Row],[Date]],Database!$A:$C,MATCH($B$1,Database!$A$1:$C$1,),)=0,#N/A,VLOOKUP(Table7[[#This Row],[Date]],Database!$A:$C,MATCH($B$1,Database!$A$1:$C$1,),))</f>
        <v/>
      </c>
      <c r="C12939">
        <f>IF(VLOOKUP(Table7[[#This Row],[Date]],Database!$A:$C,MATCH($C$1,Database!$A$1:$C$1,),)=0,#N/A,VLOOKUP(Table7[[#This Row],[Date]],Database!$A:$C,MATCH($C$1,Database!$A$1:$C$1,),))</f>
        <v/>
      </c>
      <c r="D12939">
        <f>IFERROR(Table7[[#This Row],[United States 10y]]-Table7[[#This Row],[United States 3y]],#N/A)</f>
        <v/>
      </c>
    </row>
    <row r="12940">
      <c r="A12940" s="6">
        <f>Database!$A15025</f>
        <v/>
      </c>
      <c r="B12940">
        <f>IF(VLOOKUP(Table7[[#This Row],[Date]],Database!$A:$C,MATCH($B$1,Database!$A$1:$C$1,),)=0,#N/A,VLOOKUP(Table7[[#This Row],[Date]],Database!$A:$C,MATCH($B$1,Database!$A$1:$C$1,),))</f>
        <v/>
      </c>
      <c r="C12940">
        <f>IF(VLOOKUP(Table7[[#This Row],[Date]],Database!$A:$C,MATCH($C$1,Database!$A$1:$C$1,),)=0,#N/A,VLOOKUP(Table7[[#This Row],[Date]],Database!$A:$C,MATCH($C$1,Database!$A$1:$C$1,),))</f>
        <v/>
      </c>
      <c r="D12940">
        <f>IFERROR(Table7[[#This Row],[United States 10y]]-Table7[[#This Row],[United States 3y]],#N/A)</f>
        <v/>
      </c>
    </row>
    <row r="12941">
      <c r="A12941" s="6">
        <f>Database!$A15026</f>
        <v/>
      </c>
      <c r="B12941">
        <f>IF(VLOOKUP(Table7[[#This Row],[Date]],Database!$A:$C,MATCH($B$1,Database!$A$1:$C$1,),)=0,#N/A,VLOOKUP(Table7[[#This Row],[Date]],Database!$A:$C,MATCH($B$1,Database!$A$1:$C$1,),))</f>
        <v/>
      </c>
      <c r="C12941">
        <f>IF(VLOOKUP(Table7[[#This Row],[Date]],Database!$A:$C,MATCH($C$1,Database!$A$1:$C$1,),)=0,#N/A,VLOOKUP(Table7[[#This Row],[Date]],Database!$A:$C,MATCH($C$1,Database!$A$1:$C$1,),))</f>
        <v/>
      </c>
      <c r="D12941">
        <f>IFERROR(Table7[[#This Row],[United States 10y]]-Table7[[#This Row],[United States 3y]],#N/A)</f>
        <v/>
      </c>
    </row>
    <row r="12942">
      <c r="A12942" s="6">
        <f>Database!$A15027</f>
        <v/>
      </c>
      <c r="B12942">
        <f>IF(VLOOKUP(Table7[[#This Row],[Date]],Database!$A:$C,MATCH($B$1,Database!$A$1:$C$1,),)=0,#N/A,VLOOKUP(Table7[[#This Row],[Date]],Database!$A:$C,MATCH($B$1,Database!$A$1:$C$1,),))</f>
        <v/>
      </c>
      <c r="C12942">
        <f>IF(VLOOKUP(Table7[[#This Row],[Date]],Database!$A:$C,MATCH($C$1,Database!$A$1:$C$1,),)=0,#N/A,VLOOKUP(Table7[[#This Row],[Date]],Database!$A:$C,MATCH($C$1,Database!$A$1:$C$1,),))</f>
        <v/>
      </c>
      <c r="D12942">
        <f>IFERROR(Table7[[#This Row],[United States 10y]]-Table7[[#This Row],[United States 3y]],#N/A)</f>
        <v/>
      </c>
    </row>
    <row r="12943">
      <c r="A12943" s="6">
        <f>Database!$A15028</f>
        <v/>
      </c>
      <c r="B12943">
        <f>IF(VLOOKUP(Table7[[#This Row],[Date]],Database!$A:$C,MATCH($B$1,Database!$A$1:$C$1,),)=0,#N/A,VLOOKUP(Table7[[#This Row],[Date]],Database!$A:$C,MATCH($B$1,Database!$A$1:$C$1,),))</f>
        <v/>
      </c>
      <c r="C12943">
        <f>IF(VLOOKUP(Table7[[#This Row],[Date]],Database!$A:$C,MATCH($C$1,Database!$A$1:$C$1,),)=0,#N/A,VLOOKUP(Table7[[#This Row],[Date]],Database!$A:$C,MATCH($C$1,Database!$A$1:$C$1,),))</f>
        <v/>
      </c>
      <c r="D12943">
        <f>IFERROR(Table7[[#This Row],[United States 10y]]-Table7[[#This Row],[United States 3y]],#N/A)</f>
        <v/>
      </c>
    </row>
    <row r="12944">
      <c r="A12944" s="6">
        <f>Database!$A15029</f>
        <v/>
      </c>
      <c r="B12944">
        <f>IF(VLOOKUP(Table7[[#This Row],[Date]],Database!$A:$C,MATCH($B$1,Database!$A$1:$C$1,),)=0,#N/A,VLOOKUP(Table7[[#This Row],[Date]],Database!$A:$C,MATCH($B$1,Database!$A$1:$C$1,),))</f>
        <v/>
      </c>
      <c r="C12944">
        <f>IF(VLOOKUP(Table7[[#This Row],[Date]],Database!$A:$C,MATCH($C$1,Database!$A$1:$C$1,),)=0,#N/A,VLOOKUP(Table7[[#This Row],[Date]],Database!$A:$C,MATCH($C$1,Database!$A$1:$C$1,),))</f>
        <v/>
      </c>
      <c r="D12944">
        <f>IFERROR(Table7[[#This Row],[United States 10y]]-Table7[[#This Row],[United States 3y]],#N/A)</f>
        <v/>
      </c>
    </row>
    <row r="12945">
      <c r="A12945" s="6">
        <f>Database!$A15030</f>
        <v/>
      </c>
      <c r="B12945">
        <f>IF(VLOOKUP(Table7[[#This Row],[Date]],Database!$A:$C,MATCH($B$1,Database!$A$1:$C$1,),)=0,#N/A,VLOOKUP(Table7[[#This Row],[Date]],Database!$A:$C,MATCH($B$1,Database!$A$1:$C$1,),))</f>
        <v/>
      </c>
      <c r="C12945">
        <f>IF(VLOOKUP(Table7[[#This Row],[Date]],Database!$A:$C,MATCH($C$1,Database!$A$1:$C$1,),)=0,#N/A,VLOOKUP(Table7[[#This Row],[Date]],Database!$A:$C,MATCH($C$1,Database!$A$1:$C$1,),))</f>
        <v/>
      </c>
      <c r="D12945">
        <f>IFERROR(Table7[[#This Row],[United States 10y]]-Table7[[#This Row],[United States 3y]],#N/A)</f>
        <v/>
      </c>
    </row>
    <row r="12946">
      <c r="A12946" s="6">
        <f>Database!$A15031</f>
        <v/>
      </c>
      <c r="B12946">
        <f>IF(VLOOKUP(Table7[[#This Row],[Date]],Database!$A:$C,MATCH($B$1,Database!$A$1:$C$1,),)=0,#N/A,VLOOKUP(Table7[[#This Row],[Date]],Database!$A:$C,MATCH($B$1,Database!$A$1:$C$1,),))</f>
        <v/>
      </c>
      <c r="C12946">
        <f>IF(VLOOKUP(Table7[[#This Row],[Date]],Database!$A:$C,MATCH($C$1,Database!$A$1:$C$1,),)=0,#N/A,VLOOKUP(Table7[[#This Row],[Date]],Database!$A:$C,MATCH($C$1,Database!$A$1:$C$1,),))</f>
        <v/>
      </c>
      <c r="D12946">
        <f>IFERROR(Table7[[#This Row],[United States 10y]]-Table7[[#This Row],[United States 3y]],#N/A)</f>
        <v/>
      </c>
    </row>
    <row r="12947">
      <c r="A12947" s="6">
        <f>Database!$A15032</f>
        <v/>
      </c>
      <c r="B12947">
        <f>IF(VLOOKUP(Table7[[#This Row],[Date]],Database!$A:$C,MATCH($B$1,Database!$A$1:$C$1,),)=0,#N/A,VLOOKUP(Table7[[#This Row],[Date]],Database!$A:$C,MATCH($B$1,Database!$A$1:$C$1,),))</f>
        <v/>
      </c>
      <c r="C12947">
        <f>IF(VLOOKUP(Table7[[#This Row],[Date]],Database!$A:$C,MATCH($C$1,Database!$A$1:$C$1,),)=0,#N/A,VLOOKUP(Table7[[#This Row],[Date]],Database!$A:$C,MATCH($C$1,Database!$A$1:$C$1,),))</f>
        <v/>
      </c>
      <c r="D12947">
        <f>IFERROR(Table7[[#This Row],[United States 10y]]-Table7[[#This Row],[United States 3y]],#N/A)</f>
        <v/>
      </c>
    </row>
    <row r="12948">
      <c r="A12948" s="6">
        <f>Database!$A15033</f>
        <v/>
      </c>
      <c r="B12948">
        <f>IF(VLOOKUP(Table7[[#This Row],[Date]],Database!$A:$C,MATCH($B$1,Database!$A$1:$C$1,),)=0,#N/A,VLOOKUP(Table7[[#This Row],[Date]],Database!$A:$C,MATCH($B$1,Database!$A$1:$C$1,),))</f>
        <v/>
      </c>
      <c r="C12948">
        <f>IF(VLOOKUP(Table7[[#This Row],[Date]],Database!$A:$C,MATCH($C$1,Database!$A$1:$C$1,),)=0,#N/A,VLOOKUP(Table7[[#This Row],[Date]],Database!$A:$C,MATCH($C$1,Database!$A$1:$C$1,),))</f>
        <v/>
      </c>
      <c r="D12948">
        <f>IFERROR(Table7[[#This Row],[United States 10y]]-Table7[[#This Row],[United States 3y]],#N/A)</f>
        <v/>
      </c>
    </row>
    <row r="12949">
      <c r="A12949" s="6">
        <f>Database!$A15034</f>
        <v/>
      </c>
      <c r="B12949">
        <f>IF(VLOOKUP(Table7[[#This Row],[Date]],Database!$A:$C,MATCH($B$1,Database!$A$1:$C$1,),)=0,#N/A,VLOOKUP(Table7[[#This Row],[Date]],Database!$A:$C,MATCH($B$1,Database!$A$1:$C$1,),))</f>
        <v/>
      </c>
      <c r="C12949">
        <f>IF(VLOOKUP(Table7[[#This Row],[Date]],Database!$A:$C,MATCH($C$1,Database!$A$1:$C$1,),)=0,#N/A,VLOOKUP(Table7[[#This Row],[Date]],Database!$A:$C,MATCH($C$1,Database!$A$1:$C$1,),))</f>
        <v/>
      </c>
      <c r="D12949">
        <f>IFERROR(Table7[[#This Row],[United States 10y]]-Table7[[#This Row],[United States 3y]],#N/A)</f>
        <v/>
      </c>
    </row>
    <row r="12950">
      <c r="A12950" s="6">
        <f>Database!$A15035</f>
        <v/>
      </c>
      <c r="B12950">
        <f>IF(VLOOKUP(Table7[[#This Row],[Date]],Database!$A:$C,MATCH($B$1,Database!$A$1:$C$1,),)=0,#N/A,VLOOKUP(Table7[[#This Row],[Date]],Database!$A:$C,MATCH($B$1,Database!$A$1:$C$1,),))</f>
        <v/>
      </c>
      <c r="C12950">
        <f>IF(VLOOKUP(Table7[[#This Row],[Date]],Database!$A:$C,MATCH($C$1,Database!$A$1:$C$1,),)=0,#N/A,VLOOKUP(Table7[[#This Row],[Date]],Database!$A:$C,MATCH($C$1,Database!$A$1:$C$1,),))</f>
        <v/>
      </c>
      <c r="D12950">
        <f>IFERROR(Table7[[#This Row],[United States 10y]]-Table7[[#This Row],[United States 3y]],#N/A)</f>
        <v/>
      </c>
    </row>
    <row r="12951">
      <c r="A12951" s="6">
        <f>Database!$A15036</f>
        <v/>
      </c>
      <c r="B12951">
        <f>IF(VLOOKUP(Table7[[#This Row],[Date]],Database!$A:$C,MATCH($B$1,Database!$A$1:$C$1,),)=0,#N/A,VLOOKUP(Table7[[#This Row],[Date]],Database!$A:$C,MATCH($B$1,Database!$A$1:$C$1,),))</f>
        <v/>
      </c>
      <c r="C12951">
        <f>IF(VLOOKUP(Table7[[#This Row],[Date]],Database!$A:$C,MATCH($C$1,Database!$A$1:$C$1,),)=0,#N/A,VLOOKUP(Table7[[#This Row],[Date]],Database!$A:$C,MATCH($C$1,Database!$A$1:$C$1,),))</f>
        <v/>
      </c>
      <c r="D12951">
        <f>IFERROR(Table7[[#This Row],[United States 10y]]-Table7[[#This Row],[United States 3y]],#N/A)</f>
        <v/>
      </c>
    </row>
    <row r="12952">
      <c r="A12952" s="6">
        <f>Database!$A15037</f>
        <v/>
      </c>
      <c r="B12952">
        <f>IF(VLOOKUP(Table7[[#This Row],[Date]],Database!$A:$C,MATCH($B$1,Database!$A$1:$C$1,),)=0,#N/A,VLOOKUP(Table7[[#This Row],[Date]],Database!$A:$C,MATCH($B$1,Database!$A$1:$C$1,),))</f>
        <v/>
      </c>
      <c r="C12952">
        <f>IF(VLOOKUP(Table7[[#This Row],[Date]],Database!$A:$C,MATCH($C$1,Database!$A$1:$C$1,),)=0,#N/A,VLOOKUP(Table7[[#This Row],[Date]],Database!$A:$C,MATCH($C$1,Database!$A$1:$C$1,),))</f>
        <v/>
      </c>
      <c r="D12952">
        <f>IFERROR(Table7[[#This Row],[United States 10y]]-Table7[[#This Row],[United States 3y]],#N/A)</f>
        <v/>
      </c>
    </row>
    <row r="12953">
      <c r="A12953" s="6">
        <f>Database!$A15038</f>
        <v/>
      </c>
      <c r="B12953">
        <f>IF(VLOOKUP(Table7[[#This Row],[Date]],Database!$A:$C,MATCH($B$1,Database!$A$1:$C$1,),)=0,#N/A,VLOOKUP(Table7[[#This Row],[Date]],Database!$A:$C,MATCH($B$1,Database!$A$1:$C$1,),))</f>
        <v/>
      </c>
      <c r="C12953">
        <f>IF(VLOOKUP(Table7[[#This Row],[Date]],Database!$A:$C,MATCH($C$1,Database!$A$1:$C$1,),)=0,#N/A,VLOOKUP(Table7[[#This Row],[Date]],Database!$A:$C,MATCH($C$1,Database!$A$1:$C$1,),))</f>
        <v/>
      </c>
      <c r="D12953">
        <f>IFERROR(Table7[[#This Row],[United States 10y]]-Table7[[#This Row],[United States 3y]],#N/A)</f>
        <v/>
      </c>
    </row>
    <row r="12954">
      <c r="A12954" s="6">
        <f>Database!$A15039</f>
        <v/>
      </c>
      <c r="B12954">
        <f>IF(VLOOKUP(Table7[[#This Row],[Date]],Database!$A:$C,MATCH($B$1,Database!$A$1:$C$1,),)=0,#N/A,VLOOKUP(Table7[[#This Row],[Date]],Database!$A:$C,MATCH($B$1,Database!$A$1:$C$1,),))</f>
        <v/>
      </c>
      <c r="C12954">
        <f>IF(VLOOKUP(Table7[[#This Row],[Date]],Database!$A:$C,MATCH($C$1,Database!$A$1:$C$1,),)=0,#N/A,VLOOKUP(Table7[[#This Row],[Date]],Database!$A:$C,MATCH($C$1,Database!$A$1:$C$1,),))</f>
        <v/>
      </c>
      <c r="D12954">
        <f>IFERROR(Table7[[#This Row],[United States 10y]]-Table7[[#This Row],[United States 3y]],#N/A)</f>
        <v/>
      </c>
    </row>
    <row r="12955">
      <c r="A12955" s="6">
        <f>Database!$A15040</f>
        <v/>
      </c>
      <c r="B12955">
        <f>IF(VLOOKUP(Table7[[#This Row],[Date]],Database!$A:$C,MATCH($B$1,Database!$A$1:$C$1,),)=0,#N/A,VLOOKUP(Table7[[#This Row],[Date]],Database!$A:$C,MATCH($B$1,Database!$A$1:$C$1,),))</f>
        <v/>
      </c>
      <c r="C12955">
        <f>IF(VLOOKUP(Table7[[#This Row],[Date]],Database!$A:$C,MATCH($C$1,Database!$A$1:$C$1,),)=0,#N/A,VLOOKUP(Table7[[#This Row],[Date]],Database!$A:$C,MATCH($C$1,Database!$A$1:$C$1,),))</f>
        <v/>
      </c>
      <c r="D12955">
        <f>IFERROR(Table7[[#This Row],[United States 10y]]-Table7[[#This Row],[United States 3y]],#N/A)</f>
        <v/>
      </c>
    </row>
    <row r="12956">
      <c r="A12956" s="6">
        <f>Database!$A15041</f>
        <v/>
      </c>
      <c r="B12956">
        <f>IF(VLOOKUP(Table7[[#This Row],[Date]],Database!$A:$C,MATCH($B$1,Database!$A$1:$C$1,),)=0,#N/A,VLOOKUP(Table7[[#This Row],[Date]],Database!$A:$C,MATCH($B$1,Database!$A$1:$C$1,),))</f>
        <v/>
      </c>
      <c r="C12956">
        <f>IF(VLOOKUP(Table7[[#This Row],[Date]],Database!$A:$C,MATCH($C$1,Database!$A$1:$C$1,),)=0,#N/A,VLOOKUP(Table7[[#This Row],[Date]],Database!$A:$C,MATCH($C$1,Database!$A$1:$C$1,),))</f>
        <v/>
      </c>
      <c r="D12956">
        <f>IFERROR(Table7[[#This Row],[United States 10y]]-Table7[[#This Row],[United States 3y]],#N/A)</f>
        <v/>
      </c>
    </row>
    <row r="12957">
      <c r="A12957" s="6">
        <f>Database!$A15042</f>
        <v/>
      </c>
      <c r="B12957">
        <f>IF(VLOOKUP(Table7[[#This Row],[Date]],Database!$A:$C,MATCH($B$1,Database!$A$1:$C$1,),)=0,#N/A,VLOOKUP(Table7[[#This Row],[Date]],Database!$A:$C,MATCH($B$1,Database!$A$1:$C$1,),))</f>
        <v/>
      </c>
      <c r="C12957">
        <f>IF(VLOOKUP(Table7[[#This Row],[Date]],Database!$A:$C,MATCH($C$1,Database!$A$1:$C$1,),)=0,#N/A,VLOOKUP(Table7[[#This Row],[Date]],Database!$A:$C,MATCH($C$1,Database!$A$1:$C$1,),))</f>
        <v/>
      </c>
      <c r="D12957">
        <f>IFERROR(Table7[[#This Row],[United States 10y]]-Table7[[#This Row],[United States 3y]],#N/A)</f>
        <v/>
      </c>
    </row>
    <row r="12958">
      <c r="A12958" s="6">
        <f>Database!$A15043</f>
        <v/>
      </c>
      <c r="B12958">
        <f>IF(VLOOKUP(Table7[[#This Row],[Date]],Database!$A:$C,MATCH($B$1,Database!$A$1:$C$1,),)=0,#N/A,VLOOKUP(Table7[[#This Row],[Date]],Database!$A:$C,MATCH($B$1,Database!$A$1:$C$1,),))</f>
        <v/>
      </c>
      <c r="C12958">
        <f>IF(VLOOKUP(Table7[[#This Row],[Date]],Database!$A:$C,MATCH($C$1,Database!$A$1:$C$1,),)=0,#N/A,VLOOKUP(Table7[[#This Row],[Date]],Database!$A:$C,MATCH($C$1,Database!$A$1:$C$1,),))</f>
        <v/>
      </c>
      <c r="D12958">
        <f>IFERROR(Table7[[#This Row],[United States 10y]]-Table7[[#This Row],[United States 3y]],#N/A)</f>
        <v/>
      </c>
    </row>
    <row r="12959">
      <c r="A12959" s="6">
        <f>Database!$A15044</f>
        <v/>
      </c>
      <c r="B12959">
        <f>IF(VLOOKUP(Table7[[#This Row],[Date]],Database!$A:$C,MATCH($B$1,Database!$A$1:$C$1,),)=0,#N/A,VLOOKUP(Table7[[#This Row],[Date]],Database!$A:$C,MATCH($B$1,Database!$A$1:$C$1,),))</f>
        <v/>
      </c>
      <c r="C12959">
        <f>IF(VLOOKUP(Table7[[#This Row],[Date]],Database!$A:$C,MATCH($C$1,Database!$A$1:$C$1,),)=0,#N/A,VLOOKUP(Table7[[#This Row],[Date]],Database!$A:$C,MATCH($C$1,Database!$A$1:$C$1,),))</f>
        <v/>
      </c>
      <c r="D12959">
        <f>IFERROR(Table7[[#This Row],[United States 10y]]-Table7[[#This Row],[United States 3y]],#N/A)</f>
        <v/>
      </c>
    </row>
    <row r="12960">
      <c r="A12960" s="6">
        <f>Database!$A15045</f>
        <v/>
      </c>
      <c r="B12960">
        <f>IF(VLOOKUP(Table7[[#This Row],[Date]],Database!$A:$C,MATCH($B$1,Database!$A$1:$C$1,),)=0,#N/A,VLOOKUP(Table7[[#This Row],[Date]],Database!$A:$C,MATCH($B$1,Database!$A$1:$C$1,),))</f>
        <v/>
      </c>
      <c r="C12960">
        <f>IF(VLOOKUP(Table7[[#This Row],[Date]],Database!$A:$C,MATCH($C$1,Database!$A$1:$C$1,),)=0,#N/A,VLOOKUP(Table7[[#This Row],[Date]],Database!$A:$C,MATCH($C$1,Database!$A$1:$C$1,),))</f>
        <v/>
      </c>
      <c r="D12960">
        <f>IFERROR(Table7[[#This Row],[United States 10y]]-Table7[[#This Row],[United States 3y]],#N/A)</f>
        <v/>
      </c>
    </row>
    <row r="12961">
      <c r="A12961" s="6">
        <f>Database!$A15046</f>
        <v/>
      </c>
      <c r="B12961">
        <f>IF(VLOOKUP(Table7[[#This Row],[Date]],Database!$A:$C,MATCH($B$1,Database!$A$1:$C$1,),)=0,#N/A,VLOOKUP(Table7[[#This Row],[Date]],Database!$A:$C,MATCH($B$1,Database!$A$1:$C$1,),))</f>
        <v/>
      </c>
      <c r="C12961">
        <f>IF(VLOOKUP(Table7[[#This Row],[Date]],Database!$A:$C,MATCH($C$1,Database!$A$1:$C$1,),)=0,#N/A,VLOOKUP(Table7[[#This Row],[Date]],Database!$A:$C,MATCH($C$1,Database!$A$1:$C$1,),))</f>
        <v/>
      </c>
      <c r="D12961">
        <f>IFERROR(Table7[[#This Row],[United States 10y]]-Table7[[#This Row],[United States 3y]],#N/A)</f>
        <v/>
      </c>
    </row>
    <row r="12962">
      <c r="A12962" s="6">
        <f>Database!$A15047</f>
        <v/>
      </c>
      <c r="B12962">
        <f>IF(VLOOKUP(Table7[[#This Row],[Date]],Database!$A:$C,MATCH($B$1,Database!$A$1:$C$1,),)=0,#N/A,VLOOKUP(Table7[[#This Row],[Date]],Database!$A:$C,MATCH($B$1,Database!$A$1:$C$1,),))</f>
        <v/>
      </c>
      <c r="C12962">
        <f>IF(VLOOKUP(Table7[[#This Row],[Date]],Database!$A:$C,MATCH($C$1,Database!$A$1:$C$1,),)=0,#N/A,VLOOKUP(Table7[[#This Row],[Date]],Database!$A:$C,MATCH($C$1,Database!$A$1:$C$1,),))</f>
        <v/>
      </c>
      <c r="D12962">
        <f>IFERROR(Table7[[#This Row],[United States 10y]]-Table7[[#This Row],[United States 3y]],#N/A)</f>
        <v/>
      </c>
    </row>
    <row r="12963">
      <c r="A12963" s="6">
        <f>Database!$A15048</f>
        <v/>
      </c>
      <c r="B12963">
        <f>IF(VLOOKUP(Table7[[#This Row],[Date]],Database!$A:$C,MATCH($B$1,Database!$A$1:$C$1,),)=0,#N/A,VLOOKUP(Table7[[#This Row],[Date]],Database!$A:$C,MATCH($B$1,Database!$A$1:$C$1,),))</f>
        <v/>
      </c>
      <c r="C12963">
        <f>IF(VLOOKUP(Table7[[#This Row],[Date]],Database!$A:$C,MATCH($C$1,Database!$A$1:$C$1,),)=0,#N/A,VLOOKUP(Table7[[#This Row],[Date]],Database!$A:$C,MATCH($C$1,Database!$A$1:$C$1,),))</f>
        <v/>
      </c>
      <c r="D12963">
        <f>IFERROR(Table7[[#This Row],[United States 10y]]-Table7[[#This Row],[United States 3y]],#N/A)</f>
        <v/>
      </c>
    </row>
    <row r="12964">
      <c r="A12964" s="6">
        <f>Database!$A15049</f>
        <v/>
      </c>
      <c r="B12964">
        <f>IF(VLOOKUP(Table7[[#This Row],[Date]],Database!$A:$C,MATCH($B$1,Database!$A$1:$C$1,),)=0,#N/A,VLOOKUP(Table7[[#This Row],[Date]],Database!$A:$C,MATCH($B$1,Database!$A$1:$C$1,),))</f>
        <v/>
      </c>
      <c r="C12964">
        <f>IF(VLOOKUP(Table7[[#This Row],[Date]],Database!$A:$C,MATCH($C$1,Database!$A$1:$C$1,),)=0,#N/A,VLOOKUP(Table7[[#This Row],[Date]],Database!$A:$C,MATCH($C$1,Database!$A$1:$C$1,),))</f>
        <v/>
      </c>
      <c r="D12964">
        <f>IFERROR(Table7[[#This Row],[United States 10y]]-Table7[[#This Row],[United States 3y]],#N/A)</f>
        <v/>
      </c>
    </row>
    <row r="12965">
      <c r="A12965" s="6">
        <f>Database!$A15050</f>
        <v/>
      </c>
      <c r="B12965">
        <f>IF(VLOOKUP(Table7[[#This Row],[Date]],Database!$A:$C,MATCH($B$1,Database!$A$1:$C$1,),)=0,#N/A,VLOOKUP(Table7[[#This Row],[Date]],Database!$A:$C,MATCH($B$1,Database!$A$1:$C$1,),))</f>
        <v/>
      </c>
      <c r="C12965">
        <f>IF(VLOOKUP(Table7[[#This Row],[Date]],Database!$A:$C,MATCH($C$1,Database!$A$1:$C$1,),)=0,#N/A,VLOOKUP(Table7[[#This Row],[Date]],Database!$A:$C,MATCH($C$1,Database!$A$1:$C$1,),))</f>
        <v/>
      </c>
      <c r="D12965">
        <f>IFERROR(Table7[[#This Row],[United States 10y]]-Table7[[#This Row],[United States 3y]],#N/A)</f>
        <v/>
      </c>
    </row>
    <row r="12966">
      <c r="A12966" s="6">
        <f>Database!$A15051</f>
        <v/>
      </c>
      <c r="B12966">
        <f>IF(VLOOKUP(Table7[[#This Row],[Date]],Database!$A:$C,MATCH($B$1,Database!$A$1:$C$1,),)=0,#N/A,VLOOKUP(Table7[[#This Row],[Date]],Database!$A:$C,MATCH($B$1,Database!$A$1:$C$1,),))</f>
        <v/>
      </c>
      <c r="C12966">
        <f>IF(VLOOKUP(Table7[[#This Row],[Date]],Database!$A:$C,MATCH($C$1,Database!$A$1:$C$1,),)=0,#N/A,VLOOKUP(Table7[[#This Row],[Date]],Database!$A:$C,MATCH($C$1,Database!$A$1:$C$1,),))</f>
        <v/>
      </c>
      <c r="D12966">
        <f>IFERROR(Table7[[#This Row],[United States 10y]]-Table7[[#This Row],[United States 3y]],#N/A)</f>
        <v/>
      </c>
    </row>
    <row r="12967">
      <c r="A12967" s="6">
        <f>Database!$A15052</f>
        <v/>
      </c>
      <c r="B12967">
        <f>IF(VLOOKUP(Table7[[#This Row],[Date]],Database!$A:$C,MATCH($B$1,Database!$A$1:$C$1,),)=0,#N/A,VLOOKUP(Table7[[#This Row],[Date]],Database!$A:$C,MATCH($B$1,Database!$A$1:$C$1,),))</f>
        <v/>
      </c>
      <c r="C12967">
        <f>IF(VLOOKUP(Table7[[#This Row],[Date]],Database!$A:$C,MATCH($C$1,Database!$A$1:$C$1,),)=0,#N/A,VLOOKUP(Table7[[#This Row],[Date]],Database!$A:$C,MATCH($C$1,Database!$A$1:$C$1,),))</f>
        <v/>
      </c>
      <c r="D12967">
        <f>IFERROR(Table7[[#This Row],[United States 10y]]-Table7[[#This Row],[United States 3y]],#N/A)</f>
        <v/>
      </c>
    </row>
    <row r="12968">
      <c r="A12968" s="6">
        <f>Database!$A15053</f>
        <v/>
      </c>
      <c r="B12968">
        <f>IF(VLOOKUP(Table7[[#This Row],[Date]],Database!$A:$C,MATCH($B$1,Database!$A$1:$C$1,),)=0,#N/A,VLOOKUP(Table7[[#This Row],[Date]],Database!$A:$C,MATCH($B$1,Database!$A$1:$C$1,),))</f>
        <v/>
      </c>
      <c r="C12968">
        <f>IF(VLOOKUP(Table7[[#This Row],[Date]],Database!$A:$C,MATCH($C$1,Database!$A$1:$C$1,),)=0,#N/A,VLOOKUP(Table7[[#This Row],[Date]],Database!$A:$C,MATCH($C$1,Database!$A$1:$C$1,),))</f>
        <v/>
      </c>
      <c r="D12968">
        <f>IFERROR(Table7[[#This Row],[United States 10y]]-Table7[[#This Row],[United States 3y]],#N/A)</f>
        <v/>
      </c>
    </row>
    <row r="12969">
      <c r="A12969" s="6">
        <f>Database!$A15054</f>
        <v/>
      </c>
      <c r="B12969">
        <f>IF(VLOOKUP(Table7[[#This Row],[Date]],Database!$A:$C,MATCH($B$1,Database!$A$1:$C$1,),)=0,#N/A,VLOOKUP(Table7[[#This Row],[Date]],Database!$A:$C,MATCH($B$1,Database!$A$1:$C$1,),))</f>
        <v/>
      </c>
      <c r="C12969">
        <f>IF(VLOOKUP(Table7[[#This Row],[Date]],Database!$A:$C,MATCH($C$1,Database!$A$1:$C$1,),)=0,#N/A,VLOOKUP(Table7[[#This Row],[Date]],Database!$A:$C,MATCH($C$1,Database!$A$1:$C$1,),))</f>
        <v/>
      </c>
      <c r="D12969">
        <f>IFERROR(Table7[[#This Row],[United States 10y]]-Table7[[#This Row],[United States 3y]],#N/A)</f>
        <v/>
      </c>
    </row>
    <row r="12970">
      <c r="A12970" s="6">
        <f>Database!$A15055</f>
        <v/>
      </c>
      <c r="B12970">
        <f>IF(VLOOKUP(Table7[[#This Row],[Date]],Database!$A:$C,MATCH($B$1,Database!$A$1:$C$1,),)=0,#N/A,VLOOKUP(Table7[[#This Row],[Date]],Database!$A:$C,MATCH($B$1,Database!$A$1:$C$1,),))</f>
        <v/>
      </c>
      <c r="C12970">
        <f>IF(VLOOKUP(Table7[[#This Row],[Date]],Database!$A:$C,MATCH($C$1,Database!$A$1:$C$1,),)=0,#N/A,VLOOKUP(Table7[[#This Row],[Date]],Database!$A:$C,MATCH($C$1,Database!$A$1:$C$1,),))</f>
        <v/>
      </c>
      <c r="D12970">
        <f>IFERROR(Table7[[#This Row],[United States 10y]]-Table7[[#This Row],[United States 3y]],#N/A)</f>
        <v/>
      </c>
    </row>
    <row r="12971">
      <c r="A12971" s="6">
        <f>Database!$A15056</f>
        <v/>
      </c>
      <c r="B12971">
        <f>IF(VLOOKUP(Table7[[#This Row],[Date]],Database!$A:$C,MATCH($B$1,Database!$A$1:$C$1,),)=0,#N/A,VLOOKUP(Table7[[#This Row],[Date]],Database!$A:$C,MATCH($B$1,Database!$A$1:$C$1,),))</f>
        <v/>
      </c>
      <c r="C12971">
        <f>IF(VLOOKUP(Table7[[#This Row],[Date]],Database!$A:$C,MATCH($C$1,Database!$A$1:$C$1,),)=0,#N/A,VLOOKUP(Table7[[#This Row],[Date]],Database!$A:$C,MATCH($C$1,Database!$A$1:$C$1,),))</f>
        <v/>
      </c>
      <c r="D12971">
        <f>IFERROR(Table7[[#This Row],[United States 10y]]-Table7[[#This Row],[United States 3y]],#N/A)</f>
        <v/>
      </c>
    </row>
    <row r="12972">
      <c r="A12972" s="6">
        <f>Database!$A15057</f>
        <v/>
      </c>
      <c r="B12972">
        <f>IF(VLOOKUP(Table7[[#This Row],[Date]],Database!$A:$C,MATCH($B$1,Database!$A$1:$C$1,),)=0,#N/A,VLOOKUP(Table7[[#This Row],[Date]],Database!$A:$C,MATCH($B$1,Database!$A$1:$C$1,),))</f>
        <v/>
      </c>
      <c r="C12972">
        <f>IF(VLOOKUP(Table7[[#This Row],[Date]],Database!$A:$C,MATCH($C$1,Database!$A$1:$C$1,),)=0,#N/A,VLOOKUP(Table7[[#This Row],[Date]],Database!$A:$C,MATCH($C$1,Database!$A$1:$C$1,),))</f>
        <v/>
      </c>
      <c r="D12972">
        <f>IFERROR(Table7[[#This Row],[United States 10y]]-Table7[[#This Row],[United States 3y]],#N/A)</f>
        <v/>
      </c>
    </row>
    <row r="12973">
      <c r="A12973" s="6">
        <f>Database!$A15058</f>
        <v/>
      </c>
      <c r="B12973">
        <f>IF(VLOOKUP(Table7[[#This Row],[Date]],Database!$A:$C,MATCH($B$1,Database!$A$1:$C$1,),)=0,#N/A,VLOOKUP(Table7[[#This Row],[Date]],Database!$A:$C,MATCH($B$1,Database!$A$1:$C$1,),))</f>
        <v/>
      </c>
      <c r="C12973">
        <f>IF(VLOOKUP(Table7[[#This Row],[Date]],Database!$A:$C,MATCH($C$1,Database!$A$1:$C$1,),)=0,#N/A,VLOOKUP(Table7[[#This Row],[Date]],Database!$A:$C,MATCH($C$1,Database!$A$1:$C$1,),))</f>
        <v/>
      </c>
      <c r="D12973">
        <f>IFERROR(Table7[[#This Row],[United States 10y]]-Table7[[#This Row],[United States 3y]],#N/A)</f>
        <v/>
      </c>
    </row>
    <row r="12974">
      <c r="A12974" s="6">
        <f>Database!$A15059</f>
        <v/>
      </c>
      <c r="B12974">
        <f>IF(VLOOKUP(Table7[[#This Row],[Date]],Database!$A:$C,MATCH($B$1,Database!$A$1:$C$1,),)=0,#N/A,VLOOKUP(Table7[[#This Row],[Date]],Database!$A:$C,MATCH($B$1,Database!$A$1:$C$1,),))</f>
        <v/>
      </c>
      <c r="C12974">
        <f>IF(VLOOKUP(Table7[[#This Row],[Date]],Database!$A:$C,MATCH($C$1,Database!$A$1:$C$1,),)=0,#N/A,VLOOKUP(Table7[[#This Row],[Date]],Database!$A:$C,MATCH($C$1,Database!$A$1:$C$1,),))</f>
        <v/>
      </c>
      <c r="D12974">
        <f>IFERROR(Table7[[#This Row],[United States 10y]]-Table7[[#This Row],[United States 3y]],#N/A)</f>
        <v/>
      </c>
    </row>
    <row r="12975">
      <c r="A12975" s="6">
        <f>Database!$A15060</f>
        <v/>
      </c>
      <c r="B12975">
        <f>IF(VLOOKUP(Table7[[#This Row],[Date]],Database!$A:$C,MATCH($B$1,Database!$A$1:$C$1,),)=0,#N/A,VLOOKUP(Table7[[#This Row],[Date]],Database!$A:$C,MATCH($B$1,Database!$A$1:$C$1,),))</f>
        <v/>
      </c>
      <c r="C12975">
        <f>IF(VLOOKUP(Table7[[#This Row],[Date]],Database!$A:$C,MATCH($C$1,Database!$A$1:$C$1,),)=0,#N/A,VLOOKUP(Table7[[#This Row],[Date]],Database!$A:$C,MATCH($C$1,Database!$A$1:$C$1,),))</f>
        <v/>
      </c>
      <c r="D12975">
        <f>IFERROR(Table7[[#This Row],[United States 10y]]-Table7[[#This Row],[United States 3y]],#N/A)</f>
        <v/>
      </c>
    </row>
    <row r="12976">
      <c r="A12976" s="6">
        <f>Database!$A15061</f>
        <v/>
      </c>
      <c r="B12976">
        <f>IF(VLOOKUP(Table7[[#This Row],[Date]],Database!$A:$C,MATCH($B$1,Database!$A$1:$C$1,),)=0,#N/A,VLOOKUP(Table7[[#This Row],[Date]],Database!$A:$C,MATCH($B$1,Database!$A$1:$C$1,),))</f>
        <v/>
      </c>
      <c r="C12976">
        <f>IF(VLOOKUP(Table7[[#This Row],[Date]],Database!$A:$C,MATCH($C$1,Database!$A$1:$C$1,),)=0,#N/A,VLOOKUP(Table7[[#This Row],[Date]],Database!$A:$C,MATCH($C$1,Database!$A$1:$C$1,),))</f>
        <v/>
      </c>
      <c r="D12976">
        <f>IFERROR(Table7[[#This Row],[United States 10y]]-Table7[[#This Row],[United States 3y]],#N/A)</f>
        <v/>
      </c>
    </row>
    <row r="12977">
      <c r="A12977" s="6">
        <f>Database!$A15062</f>
        <v/>
      </c>
      <c r="B12977">
        <f>IF(VLOOKUP(Table7[[#This Row],[Date]],Database!$A:$C,MATCH($B$1,Database!$A$1:$C$1,),)=0,#N/A,VLOOKUP(Table7[[#This Row],[Date]],Database!$A:$C,MATCH($B$1,Database!$A$1:$C$1,),))</f>
        <v/>
      </c>
      <c r="C12977">
        <f>IF(VLOOKUP(Table7[[#This Row],[Date]],Database!$A:$C,MATCH($C$1,Database!$A$1:$C$1,),)=0,#N/A,VLOOKUP(Table7[[#This Row],[Date]],Database!$A:$C,MATCH($C$1,Database!$A$1:$C$1,),))</f>
        <v/>
      </c>
      <c r="D12977">
        <f>IFERROR(Table7[[#This Row],[United States 10y]]-Table7[[#This Row],[United States 3y]],#N/A)</f>
        <v/>
      </c>
    </row>
    <row r="12978">
      <c r="A12978" s="6">
        <f>Database!$A15063</f>
        <v/>
      </c>
      <c r="B12978">
        <f>IF(VLOOKUP(Table7[[#This Row],[Date]],Database!$A:$C,MATCH($B$1,Database!$A$1:$C$1,),)=0,#N/A,VLOOKUP(Table7[[#This Row],[Date]],Database!$A:$C,MATCH($B$1,Database!$A$1:$C$1,),))</f>
        <v/>
      </c>
      <c r="C12978">
        <f>IF(VLOOKUP(Table7[[#This Row],[Date]],Database!$A:$C,MATCH($C$1,Database!$A$1:$C$1,),)=0,#N/A,VLOOKUP(Table7[[#This Row],[Date]],Database!$A:$C,MATCH($C$1,Database!$A$1:$C$1,),))</f>
        <v/>
      </c>
      <c r="D12978">
        <f>IFERROR(Table7[[#This Row],[United States 10y]]-Table7[[#This Row],[United States 3y]],#N/A)</f>
        <v/>
      </c>
    </row>
    <row r="12979">
      <c r="A12979" s="6">
        <f>Database!$A15064</f>
        <v/>
      </c>
      <c r="B12979">
        <f>IF(VLOOKUP(Table7[[#This Row],[Date]],Database!$A:$C,MATCH($B$1,Database!$A$1:$C$1,),)=0,#N/A,VLOOKUP(Table7[[#This Row],[Date]],Database!$A:$C,MATCH($B$1,Database!$A$1:$C$1,),))</f>
        <v/>
      </c>
      <c r="C12979">
        <f>IF(VLOOKUP(Table7[[#This Row],[Date]],Database!$A:$C,MATCH($C$1,Database!$A$1:$C$1,),)=0,#N/A,VLOOKUP(Table7[[#This Row],[Date]],Database!$A:$C,MATCH($C$1,Database!$A$1:$C$1,),))</f>
        <v/>
      </c>
      <c r="D12979">
        <f>IFERROR(Table7[[#This Row],[United States 10y]]-Table7[[#This Row],[United States 3y]],#N/A)</f>
        <v/>
      </c>
    </row>
    <row r="12980">
      <c r="A12980" s="6">
        <f>Database!$A15065</f>
        <v/>
      </c>
      <c r="B12980">
        <f>IF(VLOOKUP(Table7[[#This Row],[Date]],Database!$A:$C,MATCH($B$1,Database!$A$1:$C$1,),)=0,#N/A,VLOOKUP(Table7[[#This Row],[Date]],Database!$A:$C,MATCH($B$1,Database!$A$1:$C$1,),))</f>
        <v/>
      </c>
      <c r="C12980">
        <f>IF(VLOOKUP(Table7[[#This Row],[Date]],Database!$A:$C,MATCH($C$1,Database!$A$1:$C$1,),)=0,#N/A,VLOOKUP(Table7[[#This Row],[Date]],Database!$A:$C,MATCH($C$1,Database!$A$1:$C$1,),))</f>
        <v/>
      </c>
      <c r="D12980">
        <f>IFERROR(Table7[[#This Row],[United States 10y]]-Table7[[#This Row],[United States 3y]],#N/A)</f>
        <v/>
      </c>
    </row>
    <row r="12981">
      <c r="A12981" s="6">
        <f>Database!$A15066</f>
        <v/>
      </c>
      <c r="B12981">
        <f>IF(VLOOKUP(Table7[[#This Row],[Date]],Database!$A:$C,MATCH($B$1,Database!$A$1:$C$1,),)=0,#N/A,VLOOKUP(Table7[[#This Row],[Date]],Database!$A:$C,MATCH($B$1,Database!$A$1:$C$1,),))</f>
        <v/>
      </c>
      <c r="C12981">
        <f>IF(VLOOKUP(Table7[[#This Row],[Date]],Database!$A:$C,MATCH($C$1,Database!$A$1:$C$1,),)=0,#N/A,VLOOKUP(Table7[[#This Row],[Date]],Database!$A:$C,MATCH($C$1,Database!$A$1:$C$1,),))</f>
        <v/>
      </c>
      <c r="D12981">
        <f>IFERROR(Table7[[#This Row],[United States 10y]]-Table7[[#This Row],[United States 3y]],#N/A)</f>
        <v/>
      </c>
    </row>
    <row r="12982">
      <c r="A12982" s="6">
        <f>Database!$A15067</f>
        <v/>
      </c>
      <c r="B12982">
        <f>IF(VLOOKUP(Table7[[#This Row],[Date]],Database!$A:$C,MATCH($B$1,Database!$A$1:$C$1,),)=0,#N/A,VLOOKUP(Table7[[#This Row],[Date]],Database!$A:$C,MATCH($B$1,Database!$A$1:$C$1,),))</f>
        <v/>
      </c>
      <c r="C12982">
        <f>IF(VLOOKUP(Table7[[#This Row],[Date]],Database!$A:$C,MATCH($C$1,Database!$A$1:$C$1,),)=0,#N/A,VLOOKUP(Table7[[#This Row],[Date]],Database!$A:$C,MATCH($C$1,Database!$A$1:$C$1,),))</f>
        <v/>
      </c>
      <c r="D12982">
        <f>IFERROR(Table7[[#This Row],[United States 10y]]-Table7[[#This Row],[United States 3y]],#N/A)</f>
        <v/>
      </c>
    </row>
    <row r="12983">
      <c r="A12983" s="6">
        <f>Database!$A15068</f>
        <v/>
      </c>
      <c r="B12983">
        <f>IF(VLOOKUP(Table7[[#This Row],[Date]],Database!$A:$C,MATCH($B$1,Database!$A$1:$C$1,),)=0,#N/A,VLOOKUP(Table7[[#This Row],[Date]],Database!$A:$C,MATCH($B$1,Database!$A$1:$C$1,),))</f>
        <v/>
      </c>
      <c r="C12983">
        <f>IF(VLOOKUP(Table7[[#This Row],[Date]],Database!$A:$C,MATCH($C$1,Database!$A$1:$C$1,),)=0,#N/A,VLOOKUP(Table7[[#This Row],[Date]],Database!$A:$C,MATCH($C$1,Database!$A$1:$C$1,),))</f>
        <v/>
      </c>
      <c r="D12983">
        <f>IFERROR(Table7[[#This Row],[United States 10y]]-Table7[[#This Row],[United States 3y]],#N/A)</f>
        <v/>
      </c>
    </row>
    <row r="12984">
      <c r="A12984" s="6">
        <f>Database!$A15069</f>
        <v/>
      </c>
      <c r="B12984">
        <f>IF(VLOOKUP(Table7[[#This Row],[Date]],Database!$A:$C,MATCH($B$1,Database!$A$1:$C$1,),)=0,#N/A,VLOOKUP(Table7[[#This Row],[Date]],Database!$A:$C,MATCH($B$1,Database!$A$1:$C$1,),))</f>
        <v/>
      </c>
      <c r="C12984">
        <f>IF(VLOOKUP(Table7[[#This Row],[Date]],Database!$A:$C,MATCH($C$1,Database!$A$1:$C$1,),)=0,#N/A,VLOOKUP(Table7[[#This Row],[Date]],Database!$A:$C,MATCH($C$1,Database!$A$1:$C$1,),))</f>
        <v/>
      </c>
      <c r="D12984">
        <f>IFERROR(Table7[[#This Row],[United States 10y]]-Table7[[#This Row],[United States 3y]],#N/A)</f>
        <v/>
      </c>
    </row>
    <row r="12985">
      <c r="A12985" s="6">
        <f>Database!$A15070</f>
        <v/>
      </c>
      <c r="B12985">
        <f>IF(VLOOKUP(Table7[[#This Row],[Date]],Database!$A:$C,MATCH($B$1,Database!$A$1:$C$1,),)=0,#N/A,VLOOKUP(Table7[[#This Row],[Date]],Database!$A:$C,MATCH($B$1,Database!$A$1:$C$1,),))</f>
        <v/>
      </c>
      <c r="C12985">
        <f>IF(VLOOKUP(Table7[[#This Row],[Date]],Database!$A:$C,MATCH($C$1,Database!$A$1:$C$1,),)=0,#N/A,VLOOKUP(Table7[[#This Row],[Date]],Database!$A:$C,MATCH($C$1,Database!$A$1:$C$1,),))</f>
        <v/>
      </c>
      <c r="D12985">
        <f>IFERROR(Table7[[#This Row],[United States 10y]]-Table7[[#This Row],[United States 3y]],#N/A)</f>
        <v/>
      </c>
    </row>
    <row r="12986">
      <c r="A12986" s="6">
        <f>Database!$A15071</f>
        <v/>
      </c>
      <c r="B12986">
        <f>IF(VLOOKUP(Table7[[#This Row],[Date]],Database!$A:$C,MATCH($B$1,Database!$A$1:$C$1,),)=0,#N/A,VLOOKUP(Table7[[#This Row],[Date]],Database!$A:$C,MATCH($B$1,Database!$A$1:$C$1,),))</f>
        <v/>
      </c>
      <c r="C12986">
        <f>IF(VLOOKUP(Table7[[#This Row],[Date]],Database!$A:$C,MATCH($C$1,Database!$A$1:$C$1,),)=0,#N/A,VLOOKUP(Table7[[#This Row],[Date]],Database!$A:$C,MATCH($C$1,Database!$A$1:$C$1,),))</f>
        <v/>
      </c>
      <c r="D12986">
        <f>IFERROR(Table7[[#This Row],[United States 10y]]-Table7[[#This Row],[United States 3y]],#N/A)</f>
        <v/>
      </c>
    </row>
    <row r="12987">
      <c r="A12987" s="6">
        <f>Database!$A15072</f>
        <v/>
      </c>
      <c r="B12987">
        <f>IF(VLOOKUP(Table7[[#This Row],[Date]],Database!$A:$C,MATCH($B$1,Database!$A$1:$C$1,),)=0,#N/A,VLOOKUP(Table7[[#This Row],[Date]],Database!$A:$C,MATCH($B$1,Database!$A$1:$C$1,),))</f>
        <v/>
      </c>
      <c r="C12987">
        <f>IF(VLOOKUP(Table7[[#This Row],[Date]],Database!$A:$C,MATCH($C$1,Database!$A$1:$C$1,),)=0,#N/A,VLOOKUP(Table7[[#This Row],[Date]],Database!$A:$C,MATCH($C$1,Database!$A$1:$C$1,),))</f>
        <v/>
      </c>
      <c r="D12987">
        <f>IFERROR(Table7[[#This Row],[United States 10y]]-Table7[[#This Row],[United States 3y]],#N/A)</f>
        <v/>
      </c>
    </row>
    <row r="12988">
      <c r="A12988" s="6">
        <f>Database!$A15073</f>
        <v/>
      </c>
      <c r="B12988">
        <f>IF(VLOOKUP(Table7[[#This Row],[Date]],Database!$A:$C,MATCH($B$1,Database!$A$1:$C$1,),)=0,#N/A,VLOOKUP(Table7[[#This Row],[Date]],Database!$A:$C,MATCH($B$1,Database!$A$1:$C$1,),))</f>
        <v/>
      </c>
      <c r="C12988">
        <f>IF(VLOOKUP(Table7[[#This Row],[Date]],Database!$A:$C,MATCH($C$1,Database!$A$1:$C$1,),)=0,#N/A,VLOOKUP(Table7[[#This Row],[Date]],Database!$A:$C,MATCH($C$1,Database!$A$1:$C$1,),))</f>
        <v/>
      </c>
      <c r="D12988">
        <f>IFERROR(Table7[[#This Row],[United States 10y]]-Table7[[#This Row],[United States 3y]],#N/A)</f>
        <v/>
      </c>
    </row>
    <row r="12989">
      <c r="A12989" s="6">
        <f>Database!$A15074</f>
        <v/>
      </c>
      <c r="B12989">
        <f>IF(VLOOKUP(Table7[[#This Row],[Date]],Database!$A:$C,MATCH($B$1,Database!$A$1:$C$1,),)=0,#N/A,VLOOKUP(Table7[[#This Row],[Date]],Database!$A:$C,MATCH($B$1,Database!$A$1:$C$1,),))</f>
        <v/>
      </c>
      <c r="C12989">
        <f>IF(VLOOKUP(Table7[[#This Row],[Date]],Database!$A:$C,MATCH($C$1,Database!$A$1:$C$1,),)=0,#N/A,VLOOKUP(Table7[[#This Row],[Date]],Database!$A:$C,MATCH($C$1,Database!$A$1:$C$1,),))</f>
        <v/>
      </c>
      <c r="D12989">
        <f>IFERROR(Table7[[#This Row],[United States 10y]]-Table7[[#This Row],[United States 3y]],#N/A)</f>
        <v/>
      </c>
    </row>
    <row r="12990">
      <c r="A12990" s="6">
        <f>Database!$A15075</f>
        <v/>
      </c>
      <c r="B12990">
        <f>IF(VLOOKUP(Table7[[#This Row],[Date]],Database!$A:$C,MATCH($B$1,Database!$A$1:$C$1,),)=0,#N/A,VLOOKUP(Table7[[#This Row],[Date]],Database!$A:$C,MATCH($B$1,Database!$A$1:$C$1,),))</f>
        <v/>
      </c>
      <c r="C12990">
        <f>IF(VLOOKUP(Table7[[#This Row],[Date]],Database!$A:$C,MATCH($C$1,Database!$A$1:$C$1,),)=0,#N/A,VLOOKUP(Table7[[#This Row],[Date]],Database!$A:$C,MATCH($C$1,Database!$A$1:$C$1,),))</f>
        <v/>
      </c>
      <c r="D12990">
        <f>IFERROR(Table7[[#This Row],[United States 10y]]-Table7[[#This Row],[United States 3y]],#N/A)</f>
        <v/>
      </c>
    </row>
    <row r="12991">
      <c r="A12991" s="6">
        <f>Database!$A15076</f>
        <v/>
      </c>
      <c r="B12991">
        <f>IF(VLOOKUP(Table7[[#This Row],[Date]],Database!$A:$C,MATCH($B$1,Database!$A$1:$C$1,),)=0,#N/A,VLOOKUP(Table7[[#This Row],[Date]],Database!$A:$C,MATCH($B$1,Database!$A$1:$C$1,),))</f>
        <v/>
      </c>
      <c r="C12991">
        <f>IF(VLOOKUP(Table7[[#This Row],[Date]],Database!$A:$C,MATCH($C$1,Database!$A$1:$C$1,),)=0,#N/A,VLOOKUP(Table7[[#This Row],[Date]],Database!$A:$C,MATCH($C$1,Database!$A$1:$C$1,),))</f>
        <v/>
      </c>
      <c r="D12991">
        <f>IFERROR(Table7[[#This Row],[United States 10y]]-Table7[[#This Row],[United States 3y]],#N/A)</f>
        <v/>
      </c>
    </row>
    <row r="12992">
      <c r="A12992" s="6">
        <f>Database!$A15077</f>
        <v/>
      </c>
      <c r="B12992">
        <f>IF(VLOOKUP(Table7[[#This Row],[Date]],Database!$A:$C,MATCH($B$1,Database!$A$1:$C$1,),)=0,#N/A,VLOOKUP(Table7[[#This Row],[Date]],Database!$A:$C,MATCH($B$1,Database!$A$1:$C$1,),))</f>
        <v/>
      </c>
      <c r="C12992">
        <f>IF(VLOOKUP(Table7[[#This Row],[Date]],Database!$A:$C,MATCH($C$1,Database!$A$1:$C$1,),)=0,#N/A,VLOOKUP(Table7[[#This Row],[Date]],Database!$A:$C,MATCH($C$1,Database!$A$1:$C$1,),))</f>
        <v/>
      </c>
      <c r="D12992">
        <f>IFERROR(Table7[[#This Row],[United States 10y]]-Table7[[#This Row],[United States 3y]],#N/A)</f>
        <v/>
      </c>
    </row>
    <row r="12993">
      <c r="A12993" s="6">
        <f>Database!$A15078</f>
        <v/>
      </c>
      <c r="B12993">
        <f>IF(VLOOKUP(Table7[[#This Row],[Date]],Database!$A:$C,MATCH($B$1,Database!$A$1:$C$1,),)=0,#N/A,VLOOKUP(Table7[[#This Row],[Date]],Database!$A:$C,MATCH($B$1,Database!$A$1:$C$1,),))</f>
        <v/>
      </c>
      <c r="C12993">
        <f>IF(VLOOKUP(Table7[[#This Row],[Date]],Database!$A:$C,MATCH($C$1,Database!$A$1:$C$1,),)=0,#N/A,VLOOKUP(Table7[[#This Row],[Date]],Database!$A:$C,MATCH($C$1,Database!$A$1:$C$1,),))</f>
        <v/>
      </c>
      <c r="D12993">
        <f>IFERROR(Table7[[#This Row],[United States 10y]]-Table7[[#This Row],[United States 3y]],#N/A)</f>
        <v/>
      </c>
    </row>
    <row r="12994">
      <c r="A12994" s="6">
        <f>Database!$A15079</f>
        <v/>
      </c>
      <c r="B12994">
        <f>IF(VLOOKUP(Table7[[#This Row],[Date]],Database!$A:$C,MATCH($B$1,Database!$A$1:$C$1,),)=0,#N/A,VLOOKUP(Table7[[#This Row],[Date]],Database!$A:$C,MATCH($B$1,Database!$A$1:$C$1,),))</f>
        <v/>
      </c>
      <c r="C12994">
        <f>IF(VLOOKUP(Table7[[#This Row],[Date]],Database!$A:$C,MATCH($C$1,Database!$A$1:$C$1,),)=0,#N/A,VLOOKUP(Table7[[#This Row],[Date]],Database!$A:$C,MATCH($C$1,Database!$A$1:$C$1,),))</f>
        <v/>
      </c>
      <c r="D12994">
        <f>IFERROR(Table7[[#This Row],[United States 10y]]-Table7[[#This Row],[United States 3y]],#N/A)</f>
        <v/>
      </c>
    </row>
    <row r="12995">
      <c r="A12995" s="6">
        <f>Database!$A15080</f>
        <v/>
      </c>
      <c r="B12995">
        <f>IF(VLOOKUP(Table7[[#This Row],[Date]],Database!$A:$C,MATCH($B$1,Database!$A$1:$C$1,),)=0,#N/A,VLOOKUP(Table7[[#This Row],[Date]],Database!$A:$C,MATCH($B$1,Database!$A$1:$C$1,),))</f>
        <v/>
      </c>
      <c r="C12995">
        <f>IF(VLOOKUP(Table7[[#This Row],[Date]],Database!$A:$C,MATCH($C$1,Database!$A$1:$C$1,),)=0,#N/A,VLOOKUP(Table7[[#This Row],[Date]],Database!$A:$C,MATCH($C$1,Database!$A$1:$C$1,),))</f>
        <v/>
      </c>
      <c r="D12995">
        <f>IFERROR(Table7[[#This Row],[United States 10y]]-Table7[[#This Row],[United States 3y]],#N/A)</f>
        <v/>
      </c>
    </row>
    <row r="12996">
      <c r="A12996" s="6">
        <f>Database!$A15081</f>
        <v/>
      </c>
      <c r="B12996">
        <f>IF(VLOOKUP(Table7[[#This Row],[Date]],Database!$A:$C,MATCH($B$1,Database!$A$1:$C$1,),)=0,#N/A,VLOOKUP(Table7[[#This Row],[Date]],Database!$A:$C,MATCH($B$1,Database!$A$1:$C$1,),))</f>
        <v/>
      </c>
      <c r="C12996">
        <f>IF(VLOOKUP(Table7[[#This Row],[Date]],Database!$A:$C,MATCH($C$1,Database!$A$1:$C$1,),)=0,#N/A,VLOOKUP(Table7[[#This Row],[Date]],Database!$A:$C,MATCH($C$1,Database!$A$1:$C$1,),))</f>
        <v/>
      </c>
      <c r="D12996">
        <f>IFERROR(Table7[[#This Row],[United States 10y]]-Table7[[#This Row],[United States 3y]],#N/A)</f>
        <v/>
      </c>
    </row>
    <row r="12997">
      <c r="A12997" s="6">
        <f>Database!$A15082</f>
        <v/>
      </c>
      <c r="B12997">
        <f>IF(VLOOKUP(Table7[[#This Row],[Date]],Database!$A:$C,MATCH($B$1,Database!$A$1:$C$1,),)=0,#N/A,VLOOKUP(Table7[[#This Row],[Date]],Database!$A:$C,MATCH($B$1,Database!$A$1:$C$1,),))</f>
        <v/>
      </c>
      <c r="C12997">
        <f>IF(VLOOKUP(Table7[[#This Row],[Date]],Database!$A:$C,MATCH($C$1,Database!$A$1:$C$1,),)=0,#N/A,VLOOKUP(Table7[[#This Row],[Date]],Database!$A:$C,MATCH($C$1,Database!$A$1:$C$1,),))</f>
        <v/>
      </c>
      <c r="D12997">
        <f>IFERROR(Table7[[#This Row],[United States 10y]]-Table7[[#This Row],[United States 3y]],#N/A)</f>
        <v/>
      </c>
    </row>
    <row r="12998">
      <c r="A12998" s="6">
        <f>Database!$A15083</f>
        <v/>
      </c>
      <c r="B12998">
        <f>IF(VLOOKUP(Table7[[#This Row],[Date]],Database!$A:$C,MATCH($B$1,Database!$A$1:$C$1,),)=0,#N/A,VLOOKUP(Table7[[#This Row],[Date]],Database!$A:$C,MATCH($B$1,Database!$A$1:$C$1,),))</f>
        <v/>
      </c>
      <c r="C12998">
        <f>IF(VLOOKUP(Table7[[#This Row],[Date]],Database!$A:$C,MATCH($C$1,Database!$A$1:$C$1,),)=0,#N/A,VLOOKUP(Table7[[#This Row],[Date]],Database!$A:$C,MATCH($C$1,Database!$A$1:$C$1,),))</f>
        <v/>
      </c>
      <c r="D12998">
        <f>IFERROR(Table7[[#This Row],[United States 10y]]-Table7[[#This Row],[United States 3y]],#N/A)</f>
        <v/>
      </c>
    </row>
    <row r="12999">
      <c r="A12999" s="6">
        <f>Database!$A15084</f>
        <v/>
      </c>
      <c r="B12999">
        <f>IF(VLOOKUP(Table7[[#This Row],[Date]],Database!$A:$C,MATCH($B$1,Database!$A$1:$C$1,),)=0,#N/A,VLOOKUP(Table7[[#This Row],[Date]],Database!$A:$C,MATCH($B$1,Database!$A$1:$C$1,),))</f>
        <v/>
      </c>
      <c r="C12999">
        <f>IF(VLOOKUP(Table7[[#This Row],[Date]],Database!$A:$C,MATCH($C$1,Database!$A$1:$C$1,),)=0,#N/A,VLOOKUP(Table7[[#This Row],[Date]],Database!$A:$C,MATCH($C$1,Database!$A$1:$C$1,),))</f>
        <v/>
      </c>
      <c r="D12999">
        <f>IFERROR(Table7[[#This Row],[United States 10y]]-Table7[[#This Row],[United States 3y]],#N/A)</f>
        <v/>
      </c>
    </row>
    <row r="13000">
      <c r="A13000" s="6">
        <f>Database!$A15085</f>
        <v/>
      </c>
      <c r="B13000">
        <f>IF(VLOOKUP(Table7[[#This Row],[Date]],Database!$A:$C,MATCH($B$1,Database!$A$1:$C$1,),)=0,#N/A,VLOOKUP(Table7[[#This Row],[Date]],Database!$A:$C,MATCH($B$1,Database!$A$1:$C$1,),))</f>
        <v/>
      </c>
      <c r="C13000">
        <f>IF(VLOOKUP(Table7[[#This Row],[Date]],Database!$A:$C,MATCH($C$1,Database!$A$1:$C$1,),)=0,#N/A,VLOOKUP(Table7[[#This Row],[Date]],Database!$A:$C,MATCH($C$1,Database!$A$1:$C$1,),))</f>
        <v/>
      </c>
      <c r="D13000">
        <f>IFERROR(Table7[[#This Row],[United States 10y]]-Table7[[#This Row],[United States 3y]],#N/A)</f>
        <v/>
      </c>
    </row>
    <row r="13001">
      <c r="A13001" s="6">
        <f>Database!$A15086</f>
        <v/>
      </c>
      <c r="B13001">
        <f>IF(VLOOKUP(Table7[[#This Row],[Date]],Database!$A:$C,MATCH($B$1,Database!$A$1:$C$1,),)=0,#N/A,VLOOKUP(Table7[[#This Row],[Date]],Database!$A:$C,MATCH($B$1,Database!$A$1:$C$1,),))</f>
        <v/>
      </c>
      <c r="C13001">
        <f>IF(VLOOKUP(Table7[[#This Row],[Date]],Database!$A:$C,MATCH($C$1,Database!$A$1:$C$1,),)=0,#N/A,VLOOKUP(Table7[[#This Row],[Date]],Database!$A:$C,MATCH($C$1,Database!$A$1:$C$1,),))</f>
        <v/>
      </c>
      <c r="D13001">
        <f>IFERROR(Table7[[#This Row],[United States 10y]]-Table7[[#This Row],[United States 3y]],#N/A)</f>
        <v/>
      </c>
    </row>
    <row r="13002">
      <c r="A13002" s="6">
        <f>Database!$A15087</f>
        <v/>
      </c>
      <c r="B13002">
        <f>IF(VLOOKUP(Table7[[#This Row],[Date]],Database!$A:$C,MATCH($B$1,Database!$A$1:$C$1,),)=0,#N/A,VLOOKUP(Table7[[#This Row],[Date]],Database!$A:$C,MATCH($B$1,Database!$A$1:$C$1,),))</f>
        <v/>
      </c>
      <c r="C13002">
        <f>IF(VLOOKUP(Table7[[#This Row],[Date]],Database!$A:$C,MATCH($C$1,Database!$A$1:$C$1,),)=0,#N/A,VLOOKUP(Table7[[#This Row],[Date]],Database!$A:$C,MATCH($C$1,Database!$A$1:$C$1,),))</f>
        <v/>
      </c>
      <c r="D13002">
        <f>IFERROR(Table7[[#This Row],[United States 10y]]-Table7[[#This Row],[United States 3y]],#N/A)</f>
        <v/>
      </c>
    </row>
    <row r="13003">
      <c r="A13003" s="6">
        <f>Database!$A15088</f>
        <v/>
      </c>
      <c r="B13003">
        <f>IF(VLOOKUP(Table7[[#This Row],[Date]],Database!$A:$C,MATCH($B$1,Database!$A$1:$C$1,),)=0,#N/A,VLOOKUP(Table7[[#This Row],[Date]],Database!$A:$C,MATCH($B$1,Database!$A$1:$C$1,),))</f>
        <v/>
      </c>
      <c r="C13003">
        <f>IF(VLOOKUP(Table7[[#This Row],[Date]],Database!$A:$C,MATCH($C$1,Database!$A$1:$C$1,),)=0,#N/A,VLOOKUP(Table7[[#This Row],[Date]],Database!$A:$C,MATCH($C$1,Database!$A$1:$C$1,),))</f>
        <v/>
      </c>
      <c r="D13003">
        <f>IFERROR(Table7[[#This Row],[United States 10y]]-Table7[[#This Row],[United States 3y]],#N/A)</f>
        <v/>
      </c>
    </row>
    <row r="13004">
      <c r="A13004" s="6">
        <f>Database!$A15089</f>
        <v/>
      </c>
      <c r="B13004">
        <f>IF(VLOOKUP(Table7[[#This Row],[Date]],Database!$A:$C,MATCH($B$1,Database!$A$1:$C$1,),)=0,#N/A,VLOOKUP(Table7[[#This Row],[Date]],Database!$A:$C,MATCH($B$1,Database!$A$1:$C$1,),))</f>
        <v/>
      </c>
      <c r="C13004">
        <f>IF(VLOOKUP(Table7[[#This Row],[Date]],Database!$A:$C,MATCH($C$1,Database!$A$1:$C$1,),)=0,#N/A,VLOOKUP(Table7[[#This Row],[Date]],Database!$A:$C,MATCH($C$1,Database!$A$1:$C$1,),))</f>
        <v/>
      </c>
      <c r="D13004">
        <f>IFERROR(Table7[[#This Row],[United States 10y]]-Table7[[#This Row],[United States 3y]],#N/A)</f>
        <v/>
      </c>
    </row>
    <row r="13005">
      <c r="A13005" s="6">
        <f>Database!$A15090</f>
        <v/>
      </c>
      <c r="B13005">
        <f>IF(VLOOKUP(Table7[[#This Row],[Date]],Database!$A:$C,MATCH($B$1,Database!$A$1:$C$1,),)=0,#N/A,VLOOKUP(Table7[[#This Row],[Date]],Database!$A:$C,MATCH($B$1,Database!$A$1:$C$1,),))</f>
        <v/>
      </c>
      <c r="C13005">
        <f>IF(VLOOKUP(Table7[[#This Row],[Date]],Database!$A:$C,MATCH($C$1,Database!$A$1:$C$1,),)=0,#N/A,VLOOKUP(Table7[[#This Row],[Date]],Database!$A:$C,MATCH($C$1,Database!$A$1:$C$1,),))</f>
        <v/>
      </c>
      <c r="D13005">
        <f>IFERROR(Table7[[#This Row],[United States 10y]]-Table7[[#This Row],[United States 3y]],#N/A)</f>
        <v/>
      </c>
    </row>
    <row r="13006">
      <c r="A13006" s="6">
        <f>Database!$A15091</f>
        <v/>
      </c>
      <c r="B13006">
        <f>IF(VLOOKUP(Table7[[#This Row],[Date]],Database!$A:$C,MATCH($B$1,Database!$A$1:$C$1,),)=0,#N/A,VLOOKUP(Table7[[#This Row],[Date]],Database!$A:$C,MATCH($B$1,Database!$A$1:$C$1,),))</f>
        <v/>
      </c>
      <c r="C13006">
        <f>IF(VLOOKUP(Table7[[#This Row],[Date]],Database!$A:$C,MATCH($C$1,Database!$A$1:$C$1,),)=0,#N/A,VLOOKUP(Table7[[#This Row],[Date]],Database!$A:$C,MATCH($C$1,Database!$A$1:$C$1,),))</f>
        <v/>
      </c>
      <c r="D13006">
        <f>IFERROR(Table7[[#This Row],[United States 10y]]-Table7[[#This Row],[United States 3y]],#N/A)</f>
        <v/>
      </c>
    </row>
    <row r="13007">
      <c r="A13007" s="6">
        <f>Database!$A15092</f>
        <v/>
      </c>
      <c r="B13007">
        <f>IF(VLOOKUP(Table7[[#This Row],[Date]],Database!$A:$C,MATCH($B$1,Database!$A$1:$C$1,),)=0,#N/A,VLOOKUP(Table7[[#This Row],[Date]],Database!$A:$C,MATCH($B$1,Database!$A$1:$C$1,),))</f>
        <v/>
      </c>
      <c r="C13007">
        <f>IF(VLOOKUP(Table7[[#This Row],[Date]],Database!$A:$C,MATCH($C$1,Database!$A$1:$C$1,),)=0,#N/A,VLOOKUP(Table7[[#This Row],[Date]],Database!$A:$C,MATCH($C$1,Database!$A$1:$C$1,),))</f>
        <v/>
      </c>
      <c r="D13007">
        <f>IFERROR(Table7[[#This Row],[United States 10y]]-Table7[[#This Row],[United States 3y]],#N/A)</f>
        <v/>
      </c>
    </row>
    <row r="13008">
      <c r="A13008" s="6">
        <f>Database!$A15093</f>
        <v/>
      </c>
      <c r="B13008">
        <f>IF(VLOOKUP(Table7[[#This Row],[Date]],Database!$A:$C,MATCH($B$1,Database!$A$1:$C$1,),)=0,#N/A,VLOOKUP(Table7[[#This Row],[Date]],Database!$A:$C,MATCH($B$1,Database!$A$1:$C$1,),))</f>
        <v/>
      </c>
      <c r="C13008">
        <f>IF(VLOOKUP(Table7[[#This Row],[Date]],Database!$A:$C,MATCH($C$1,Database!$A$1:$C$1,),)=0,#N/A,VLOOKUP(Table7[[#This Row],[Date]],Database!$A:$C,MATCH($C$1,Database!$A$1:$C$1,),))</f>
        <v/>
      </c>
      <c r="D13008">
        <f>IFERROR(Table7[[#This Row],[United States 10y]]-Table7[[#This Row],[United States 3y]],#N/A)</f>
        <v/>
      </c>
    </row>
    <row r="13009">
      <c r="A13009" s="6">
        <f>Database!$A15094</f>
        <v/>
      </c>
      <c r="B13009">
        <f>IF(VLOOKUP(Table7[[#This Row],[Date]],Database!$A:$C,MATCH($B$1,Database!$A$1:$C$1,),)=0,#N/A,VLOOKUP(Table7[[#This Row],[Date]],Database!$A:$C,MATCH($B$1,Database!$A$1:$C$1,),))</f>
        <v/>
      </c>
      <c r="C13009">
        <f>IF(VLOOKUP(Table7[[#This Row],[Date]],Database!$A:$C,MATCH($C$1,Database!$A$1:$C$1,),)=0,#N/A,VLOOKUP(Table7[[#This Row],[Date]],Database!$A:$C,MATCH($C$1,Database!$A$1:$C$1,),))</f>
        <v/>
      </c>
      <c r="D13009">
        <f>IFERROR(Table7[[#This Row],[United States 10y]]-Table7[[#This Row],[United States 3y]],#N/A)</f>
        <v/>
      </c>
    </row>
    <row r="13010">
      <c r="A13010" s="6">
        <f>Database!$A15095</f>
        <v/>
      </c>
      <c r="B13010">
        <f>IF(VLOOKUP(Table7[[#This Row],[Date]],Database!$A:$C,MATCH($B$1,Database!$A$1:$C$1,),)=0,#N/A,VLOOKUP(Table7[[#This Row],[Date]],Database!$A:$C,MATCH($B$1,Database!$A$1:$C$1,),))</f>
        <v/>
      </c>
      <c r="C13010">
        <f>IF(VLOOKUP(Table7[[#This Row],[Date]],Database!$A:$C,MATCH($C$1,Database!$A$1:$C$1,),)=0,#N/A,VLOOKUP(Table7[[#This Row],[Date]],Database!$A:$C,MATCH($C$1,Database!$A$1:$C$1,),))</f>
        <v/>
      </c>
      <c r="D13010">
        <f>IFERROR(Table7[[#This Row],[United States 10y]]-Table7[[#This Row],[United States 3y]],#N/A)</f>
        <v/>
      </c>
    </row>
    <row r="13011">
      <c r="A13011" s="6">
        <f>Database!$A15096</f>
        <v/>
      </c>
      <c r="B13011">
        <f>IF(VLOOKUP(Table7[[#This Row],[Date]],Database!$A:$C,MATCH($B$1,Database!$A$1:$C$1,),)=0,#N/A,VLOOKUP(Table7[[#This Row],[Date]],Database!$A:$C,MATCH($B$1,Database!$A$1:$C$1,),))</f>
        <v/>
      </c>
      <c r="C13011">
        <f>IF(VLOOKUP(Table7[[#This Row],[Date]],Database!$A:$C,MATCH($C$1,Database!$A$1:$C$1,),)=0,#N/A,VLOOKUP(Table7[[#This Row],[Date]],Database!$A:$C,MATCH($C$1,Database!$A$1:$C$1,),))</f>
        <v/>
      </c>
      <c r="D13011">
        <f>IFERROR(Table7[[#This Row],[United States 10y]]-Table7[[#This Row],[United States 3y]],#N/A)</f>
        <v/>
      </c>
    </row>
    <row r="13012">
      <c r="A13012" s="6">
        <f>Database!$A15097</f>
        <v/>
      </c>
      <c r="B13012">
        <f>IF(VLOOKUP(Table7[[#This Row],[Date]],Database!$A:$C,MATCH($B$1,Database!$A$1:$C$1,),)=0,#N/A,VLOOKUP(Table7[[#This Row],[Date]],Database!$A:$C,MATCH($B$1,Database!$A$1:$C$1,),))</f>
        <v/>
      </c>
      <c r="C13012">
        <f>IF(VLOOKUP(Table7[[#This Row],[Date]],Database!$A:$C,MATCH($C$1,Database!$A$1:$C$1,),)=0,#N/A,VLOOKUP(Table7[[#This Row],[Date]],Database!$A:$C,MATCH($C$1,Database!$A$1:$C$1,),))</f>
        <v/>
      </c>
      <c r="D13012">
        <f>IFERROR(Table7[[#This Row],[United States 10y]]-Table7[[#This Row],[United States 3y]],#N/A)</f>
        <v/>
      </c>
    </row>
    <row r="13013">
      <c r="A13013" s="6">
        <f>Database!$A15098</f>
        <v/>
      </c>
      <c r="B13013">
        <f>IF(VLOOKUP(Table7[[#This Row],[Date]],Database!$A:$C,MATCH($B$1,Database!$A$1:$C$1,),)=0,#N/A,VLOOKUP(Table7[[#This Row],[Date]],Database!$A:$C,MATCH($B$1,Database!$A$1:$C$1,),))</f>
        <v/>
      </c>
      <c r="C13013">
        <f>IF(VLOOKUP(Table7[[#This Row],[Date]],Database!$A:$C,MATCH($C$1,Database!$A$1:$C$1,),)=0,#N/A,VLOOKUP(Table7[[#This Row],[Date]],Database!$A:$C,MATCH($C$1,Database!$A$1:$C$1,),))</f>
        <v/>
      </c>
      <c r="D13013">
        <f>IFERROR(Table7[[#This Row],[United States 10y]]-Table7[[#This Row],[United States 3y]],#N/A)</f>
        <v/>
      </c>
    </row>
    <row r="13014">
      <c r="A13014" s="6">
        <f>Database!$A15099</f>
        <v/>
      </c>
      <c r="B13014">
        <f>IF(VLOOKUP(Table7[[#This Row],[Date]],Database!$A:$C,MATCH($B$1,Database!$A$1:$C$1,),)=0,#N/A,VLOOKUP(Table7[[#This Row],[Date]],Database!$A:$C,MATCH($B$1,Database!$A$1:$C$1,),))</f>
        <v/>
      </c>
      <c r="C13014">
        <f>IF(VLOOKUP(Table7[[#This Row],[Date]],Database!$A:$C,MATCH($C$1,Database!$A$1:$C$1,),)=0,#N/A,VLOOKUP(Table7[[#This Row],[Date]],Database!$A:$C,MATCH($C$1,Database!$A$1:$C$1,),))</f>
        <v/>
      </c>
      <c r="D13014">
        <f>IFERROR(Table7[[#This Row],[United States 10y]]-Table7[[#This Row],[United States 3y]],#N/A)</f>
        <v/>
      </c>
    </row>
    <row r="13015">
      <c r="A13015" s="6">
        <f>Database!$A15100</f>
        <v/>
      </c>
      <c r="B13015">
        <f>IF(VLOOKUP(Table7[[#This Row],[Date]],Database!$A:$C,MATCH($B$1,Database!$A$1:$C$1,),)=0,#N/A,VLOOKUP(Table7[[#This Row],[Date]],Database!$A:$C,MATCH($B$1,Database!$A$1:$C$1,),))</f>
        <v/>
      </c>
      <c r="C13015">
        <f>IF(VLOOKUP(Table7[[#This Row],[Date]],Database!$A:$C,MATCH($C$1,Database!$A$1:$C$1,),)=0,#N/A,VLOOKUP(Table7[[#This Row],[Date]],Database!$A:$C,MATCH($C$1,Database!$A$1:$C$1,),))</f>
        <v/>
      </c>
      <c r="D13015">
        <f>IFERROR(Table7[[#This Row],[United States 10y]]-Table7[[#This Row],[United States 3y]],#N/A)</f>
        <v/>
      </c>
    </row>
    <row r="13016">
      <c r="A13016" s="6">
        <f>Database!$A15101</f>
        <v/>
      </c>
      <c r="B13016">
        <f>IF(VLOOKUP(Table7[[#This Row],[Date]],Database!$A:$C,MATCH($B$1,Database!$A$1:$C$1,),)=0,#N/A,VLOOKUP(Table7[[#This Row],[Date]],Database!$A:$C,MATCH($B$1,Database!$A$1:$C$1,),))</f>
        <v/>
      </c>
      <c r="C13016">
        <f>IF(VLOOKUP(Table7[[#This Row],[Date]],Database!$A:$C,MATCH($C$1,Database!$A$1:$C$1,),)=0,#N/A,VLOOKUP(Table7[[#This Row],[Date]],Database!$A:$C,MATCH($C$1,Database!$A$1:$C$1,),))</f>
        <v/>
      </c>
      <c r="D13016">
        <f>IFERROR(Table7[[#This Row],[United States 10y]]-Table7[[#This Row],[United States 3y]],#N/A)</f>
        <v/>
      </c>
    </row>
    <row r="13017">
      <c r="A13017" s="6">
        <f>Database!$A15102</f>
        <v/>
      </c>
      <c r="B13017">
        <f>IF(VLOOKUP(Table7[[#This Row],[Date]],Database!$A:$C,MATCH($B$1,Database!$A$1:$C$1,),)=0,#N/A,VLOOKUP(Table7[[#This Row],[Date]],Database!$A:$C,MATCH($B$1,Database!$A$1:$C$1,),))</f>
        <v/>
      </c>
      <c r="C13017">
        <f>IF(VLOOKUP(Table7[[#This Row],[Date]],Database!$A:$C,MATCH($C$1,Database!$A$1:$C$1,),)=0,#N/A,VLOOKUP(Table7[[#This Row],[Date]],Database!$A:$C,MATCH($C$1,Database!$A$1:$C$1,),))</f>
        <v/>
      </c>
      <c r="D13017">
        <f>IFERROR(Table7[[#This Row],[United States 10y]]-Table7[[#This Row],[United States 3y]],#N/A)</f>
        <v/>
      </c>
    </row>
    <row r="13018">
      <c r="A13018" s="6">
        <f>Database!$A15103</f>
        <v/>
      </c>
      <c r="B13018">
        <f>IF(VLOOKUP(Table7[[#This Row],[Date]],Database!$A:$C,MATCH($B$1,Database!$A$1:$C$1,),)=0,#N/A,VLOOKUP(Table7[[#This Row],[Date]],Database!$A:$C,MATCH($B$1,Database!$A$1:$C$1,),))</f>
        <v/>
      </c>
      <c r="C13018">
        <f>IF(VLOOKUP(Table7[[#This Row],[Date]],Database!$A:$C,MATCH($C$1,Database!$A$1:$C$1,),)=0,#N/A,VLOOKUP(Table7[[#This Row],[Date]],Database!$A:$C,MATCH($C$1,Database!$A$1:$C$1,),))</f>
        <v/>
      </c>
      <c r="D13018">
        <f>IFERROR(Table7[[#This Row],[United States 10y]]-Table7[[#This Row],[United States 3y]],#N/A)</f>
        <v/>
      </c>
    </row>
    <row r="13019">
      <c r="A13019" s="6">
        <f>Database!$A15104</f>
        <v/>
      </c>
      <c r="B13019">
        <f>IF(VLOOKUP(Table7[[#This Row],[Date]],Database!$A:$C,MATCH($B$1,Database!$A$1:$C$1,),)=0,#N/A,VLOOKUP(Table7[[#This Row],[Date]],Database!$A:$C,MATCH($B$1,Database!$A$1:$C$1,),))</f>
        <v/>
      </c>
      <c r="C13019">
        <f>IF(VLOOKUP(Table7[[#This Row],[Date]],Database!$A:$C,MATCH($C$1,Database!$A$1:$C$1,),)=0,#N/A,VLOOKUP(Table7[[#This Row],[Date]],Database!$A:$C,MATCH($C$1,Database!$A$1:$C$1,),))</f>
        <v/>
      </c>
      <c r="D13019">
        <f>IFERROR(Table7[[#This Row],[United States 10y]]-Table7[[#This Row],[United States 3y]],#N/A)</f>
        <v/>
      </c>
    </row>
    <row r="13020">
      <c r="A13020" s="6">
        <f>Database!$A15105</f>
        <v/>
      </c>
      <c r="B13020">
        <f>IF(VLOOKUP(Table7[[#This Row],[Date]],Database!$A:$C,MATCH($B$1,Database!$A$1:$C$1,),)=0,#N/A,VLOOKUP(Table7[[#This Row],[Date]],Database!$A:$C,MATCH($B$1,Database!$A$1:$C$1,),))</f>
        <v/>
      </c>
      <c r="C13020">
        <f>IF(VLOOKUP(Table7[[#This Row],[Date]],Database!$A:$C,MATCH($C$1,Database!$A$1:$C$1,),)=0,#N/A,VLOOKUP(Table7[[#This Row],[Date]],Database!$A:$C,MATCH($C$1,Database!$A$1:$C$1,),))</f>
        <v/>
      </c>
      <c r="D13020">
        <f>IFERROR(Table7[[#This Row],[United States 10y]]-Table7[[#This Row],[United States 3y]],#N/A)</f>
        <v/>
      </c>
    </row>
    <row r="13021">
      <c r="A13021" s="6">
        <f>Database!$A15106</f>
        <v/>
      </c>
      <c r="B13021">
        <f>IF(VLOOKUP(Table7[[#This Row],[Date]],Database!$A:$C,MATCH($B$1,Database!$A$1:$C$1,),)=0,#N/A,VLOOKUP(Table7[[#This Row],[Date]],Database!$A:$C,MATCH($B$1,Database!$A$1:$C$1,),))</f>
        <v/>
      </c>
      <c r="C13021">
        <f>IF(VLOOKUP(Table7[[#This Row],[Date]],Database!$A:$C,MATCH($C$1,Database!$A$1:$C$1,),)=0,#N/A,VLOOKUP(Table7[[#This Row],[Date]],Database!$A:$C,MATCH($C$1,Database!$A$1:$C$1,),))</f>
        <v/>
      </c>
      <c r="D13021">
        <f>IFERROR(Table7[[#This Row],[United States 10y]]-Table7[[#This Row],[United States 3y]],#N/A)</f>
        <v/>
      </c>
    </row>
    <row r="13022">
      <c r="A13022" s="6">
        <f>Database!$A15107</f>
        <v/>
      </c>
      <c r="B13022">
        <f>IF(VLOOKUP(Table7[[#This Row],[Date]],Database!$A:$C,MATCH($B$1,Database!$A$1:$C$1,),)=0,#N/A,VLOOKUP(Table7[[#This Row],[Date]],Database!$A:$C,MATCH($B$1,Database!$A$1:$C$1,),))</f>
        <v/>
      </c>
      <c r="C13022">
        <f>IF(VLOOKUP(Table7[[#This Row],[Date]],Database!$A:$C,MATCH($C$1,Database!$A$1:$C$1,),)=0,#N/A,VLOOKUP(Table7[[#This Row],[Date]],Database!$A:$C,MATCH($C$1,Database!$A$1:$C$1,),))</f>
        <v/>
      </c>
      <c r="D13022">
        <f>IFERROR(Table7[[#This Row],[United States 10y]]-Table7[[#This Row],[United States 3y]],#N/A)</f>
        <v/>
      </c>
    </row>
    <row r="13023">
      <c r="A13023" s="6">
        <f>Database!$A15108</f>
        <v/>
      </c>
      <c r="B13023">
        <f>IF(VLOOKUP(Table7[[#This Row],[Date]],Database!$A:$C,MATCH($B$1,Database!$A$1:$C$1,),)=0,#N/A,VLOOKUP(Table7[[#This Row],[Date]],Database!$A:$C,MATCH($B$1,Database!$A$1:$C$1,),))</f>
        <v/>
      </c>
      <c r="C13023">
        <f>IF(VLOOKUP(Table7[[#This Row],[Date]],Database!$A:$C,MATCH($C$1,Database!$A$1:$C$1,),)=0,#N/A,VLOOKUP(Table7[[#This Row],[Date]],Database!$A:$C,MATCH($C$1,Database!$A$1:$C$1,),))</f>
        <v/>
      </c>
      <c r="D13023">
        <f>IFERROR(Table7[[#This Row],[United States 10y]]-Table7[[#This Row],[United States 3y]],#N/A)</f>
        <v/>
      </c>
    </row>
    <row r="13024">
      <c r="A13024" s="6">
        <f>Database!$A15109</f>
        <v/>
      </c>
      <c r="B13024">
        <f>IF(VLOOKUP(Table7[[#This Row],[Date]],Database!$A:$C,MATCH($B$1,Database!$A$1:$C$1,),)=0,#N/A,VLOOKUP(Table7[[#This Row],[Date]],Database!$A:$C,MATCH($B$1,Database!$A$1:$C$1,),))</f>
        <v/>
      </c>
      <c r="C13024">
        <f>IF(VLOOKUP(Table7[[#This Row],[Date]],Database!$A:$C,MATCH($C$1,Database!$A$1:$C$1,),)=0,#N/A,VLOOKUP(Table7[[#This Row],[Date]],Database!$A:$C,MATCH($C$1,Database!$A$1:$C$1,),))</f>
        <v/>
      </c>
      <c r="D13024">
        <f>IFERROR(Table7[[#This Row],[United States 10y]]-Table7[[#This Row],[United States 3y]],#N/A)</f>
        <v/>
      </c>
    </row>
    <row r="13025">
      <c r="A13025" s="6">
        <f>Database!$A15110</f>
        <v/>
      </c>
      <c r="B13025">
        <f>IF(VLOOKUP(Table7[[#This Row],[Date]],Database!$A:$C,MATCH($B$1,Database!$A$1:$C$1,),)=0,#N/A,VLOOKUP(Table7[[#This Row],[Date]],Database!$A:$C,MATCH($B$1,Database!$A$1:$C$1,),))</f>
        <v/>
      </c>
      <c r="C13025">
        <f>IF(VLOOKUP(Table7[[#This Row],[Date]],Database!$A:$C,MATCH($C$1,Database!$A$1:$C$1,),)=0,#N/A,VLOOKUP(Table7[[#This Row],[Date]],Database!$A:$C,MATCH($C$1,Database!$A$1:$C$1,),))</f>
        <v/>
      </c>
      <c r="D13025">
        <f>IFERROR(Table7[[#This Row],[United States 10y]]-Table7[[#This Row],[United States 3y]],#N/A)</f>
        <v/>
      </c>
    </row>
    <row r="13026">
      <c r="A13026" s="6">
        <f>Database!$A15111</f>
        <v/>
      </c>
      <c r="B13026">
        <f>IF(VLOOKUP(Table7[[#This Row],[Date]],Database!$A:$C,MATCH($B$1,Database!$A$1:$C$1,),)=0,#N/A,VLOOKUP(Table7[[#This Row],[Date]],Database!$A:$C,MATCH($B$1,Database!$A$1:$C$1,),))</f>
        <v/>
      </c>
      <c r="C13026">
        <f>IF(VLOOKUP(Table7[[#This Row],[Date]],Database!$A:$C,MATCH($C$1,Database!$A$1:$C$1,),)=0,#N/A,VLOOKUP(Table7[[#This Row],[Date]],Database!$A:$C,MATCH($C$1,Database!$A$1:$C$1,),))</f>
        <v/>
      </c>
      <c r="D13026">
        <f>IFERROR(Table7[[#This Row],[United States 10y]]-Table7[[#This Row],[United States 3y]],#N/A)</f>
        <v/>
      </c>
    </row>
    <row r="13027">
      <c r="A13027" s="6">
        <f>Database!$A15112</f>
        <v/>
      </c>
      <c r="B13027">
        <f>IF(VLOOKUP(Table7[[#This Row],[Date]],Database!$A:$C,MATCH($B$1,Database!$A$1:$C$1,),)=0,#N/A,VLOOKUP(Table7[[#This Row],[Date]],Database!$A:$C,MATCH($B$1,Database!$A$1:$C$1,),))</f>
        <v/>
      </c>
      <c r="C13027">
        <f>IF(VLOOKUP(Table7[[#This Row],[Date]],Database!$A:$C,MATCH($C$1,Database!$A$1:$C$1,),)=0,#N/A,VLOOKUP(Table7[[#This Row],[Date]],Database!$A:$C,MATCH($C$1,Database!$A$1:$C$1,),))</f>
        <v/>
      </c>
      <c r="D13027">
        <f>IFERROR(Table7[[#This Row],[United States 10y]]-Table7[[#This Row],[United States 3y]],#N/A)</f>
        <v/>
      </c>
    </row>
    <row r="13028">
      <c r="A13028" s="6">
        <f>Database!$A15113</f>
        <v/>
      </c>
      <c r="B13028">
        <f>IF(VLOOKUP(Table7[[#This Row],[Date]],Database!$A:$C,MATCH($B$1,Database!$A$1:$C$1,),)=0,#N/A,VLOOKUP(Table7[[#This Row],[Date]],Database!$A:$C,MATCH($B$1,Database!$A$1:$C$1,),))</f>
        <v/>
      </c>
      <c r="C13028">
        <f>IF(VLOOKUP(Table7[[#This Row],[Date]],Database!$A:$C,MATCH($C$1,Database!$A$1:$C$1,),)=0,#N/A,VLOOKUP(Table7[[#This Row],[Date]],Database!$A:$C,MATCH($C$1,Database!$A$1:$C$1,),))</f>
        <v/>
      </c>
      <c r="D13028">
        <f>IFERROR(Table7[[#This Row],[United States 10y]]-Table7[[#This Row],[United States 3y]],#N/A)</f>
        <v/>
      </c>
    </row>
    <row r="13029">
      <c r="A13029" s="6">
        <f>Database!$A15114</f>
        <v/>
      </c>
      <c r="B13029">
        <f>IF(VLOOKUP(Table7[[#This Row],[Date]],Database!$A:$C,MATCH($B$1,Database!$A$1:$C$1,),)=0,#N/A,VLOOKUP(Table7[[#This Row],[Date]],Database!$A:$C,MATCH($B$1,Database!$A$1:$C$1,),))</f>
        <v/>
      </c>
      <c r="C13029">
        <f>IF(VLOOKUP(Table7[[#This Row],[Date]],Database!$A:$C,MATCH($C$1,Database!$A$1:$C$1,),)=0,#N/A,VLOOKUP(Table7[[#This Row],[Date]],Database!$A:$C,MATCH($C$1,Database!$A$1:$C$1,),))</f>
        <v/>
      </c>
      <c r="D13029">
        <f>IFERROR(Table7[[#This Row],[United States 10y]]-Table7[[#This Row],[United States 3y]],#N/A)</f>
        <v/>
      </c>
    </row>
    <row r="13030">
      <c r="A13030" s="6">
        <f>Database!$A15115</f>
        <v/>
      </c>
      <c r="B13030">
        <f>IF(VLOOKUP(Table7[[#This Row],[Date]],Database!$A:$C,MATCH($B$1,Database!$A$1:$C$1,),)=0,#N/A,VLOOKUP(Table7[[#This Row],[Date]],Database!$A:$C,MATCH($B$1,Database!$A$1:$C$1,),))</f>
        <v/>
      </c>
      <c r="C13030">
        <f>IF(VLOOKUP(Table7[[#This Row],[Date]],Database!$A:$C,MATCH($C$1,Database!$A$1:$C$1,),)=0,#N/A,VLOOKUP(Table7[[#This Row],[Date]],Database!$A:$C,MATCH($C$1,Database!$A$1:$C$1,),))</f>
        <v/>
      </c>
      <c r="D13030">
        <f>IFERROR(Table7[[#This Row],[United States 10y]]-Table7[[#This Row],[United States 3y]],#N/A)</f>
        <v/>
      </c>
    </row>
    <row r="13031">
      <c r="A13031" s="6">
        <f>Database!$A15116</f>
        <v/>
      </c>
      <c r="B13031">
        <f>IF(VLOOKUP(Table7[[#This Row],[Date]],Database!$A:$C,MATCH($B$1,Database!$A$1:$C$1,),)=0,#N/A,VLOOKUP(Table7[[#This Row],[Date]],Database!$A:$C,MATCH($B$1,Database!$A$1:$C$1,),))</f>
        <v/>
      </c>
      <c r="C13031">
        <f>IF(VLOOKUP(Table7[[#This Row],[Date]],Database!$A:$C,MATCH($C$1,Database!$A$1:$C$1,),)=0,#N/A,VLOOKUP(Table7[[#This Row],[Date]],Database!$A:$C,MATCH($C$1,Database!$A$1:$C$1,),))</f>
        <v/>
      </c>
      <c r="D13031">
        <f>IFERROR(Table7[[#This Row],[United States 10y]]-Table7[[#This Row],[United States 3y]],#N/A)</f>
        <v/>
      </c>
    </row>
    <row r="13032">
      <c r="A13032" s="6">
        <f>Database!$A15117</f>
        <v/>
      </c>
      <c r="B13032">
        <f>IF(VLOOKUP(Table7[[#This Row],[Date]],Database!$A:$C,MATCH($B$1,Database!$A$1:$C$1,),)=0,#N/A,VLOOKUP(Table7[[#This Row],[Date]],Database!$A:$C,MATCH($B$1,Database!$A$1:$C$1,),))</f>
        <v/>
      </c>
      <c r="C13032">
        <f>IF(VLOOKUP(Table7[[#This Row],[Date]],Database!$A:$C,MATCH($C$1,Database!$A$1:$C$1,),)=0,#N/A,VLOOKUP(Table7[[#This Row],[Date]],Database!$A:$C,MATCH($C$1,Database!$A$1:$C$1,),))</f>
        <v/>
      </c>
      <c r="D13032">
        <f>IFERROR(Table7[[#This Row],[United States 10y]]-Table7[[#This Row],[United States 3y]],#N/A)</f>
        <v/>
      </c>
    </row>
    <row r="13033">
      <c r="A13033" s="6">
        <f>Database!$A15118</f>
        <v/>
      </c>
      <c r="B13033">
        <f>IF(VLOOKUP(Table7[[#This Row],[Date]],Database!$A:$C,MATCH($B$1,Database!$A$1:$C$1,),)=0,#N/A,VLOOKUP(Table7[[#This Row],[Date]],Database!$A:$C,MATCH($B$1,Database!$A$1:$C$1,),))</f>
        <v/>
      </c>
      <c r="C13033">
        <f>IF(VLOOKUP(Table7[[#This Row],[Date]],Database!$A:$C,MATCH($C$1,Database!$A$1:$C$1,),)=0,#N/A,VLOOKUP(Table7[[#This Row],[Date]],Database!$A:$C,MATCH($C$1,Database!$A$1:$C$1,),))</f>
        <v/>
      </c>
      <c r="D13033">
        <f>IFERROR(Table7[[#This Row],[United States 10y]]-Table7[[#This Row],[United States 3y]],#N/A)</f>
        <v/>
      </c>
    </row>
    <row r="13034">
      <c r="A13034" s="6">
        <f>Database!$A15119</f>
        <v/>
      </c>
      <c r="B13034">
        <f>IF(VLOOKUP(Table7[[#This Row],[Date]],Database!$A:$C,MATCH($B$1,Database!$A$1:$C$1,),)=0,#N/A,VLOOKUP(Table7[[#This Row],[Date]],Database!$A:$C,MATCH($B$1,Database!$A$1:$C$1,),))</f>
        <v/>
      </c>
      <c r="C13034">
        <f>IF(VLOOKUP(Table7[[#This Row],[Date]],Database!$A:$C,MATCH($C$1,Database!$A$1:$C$1,),)=0,#N/A,VLOOKUP(Table7[[#This Row],[Date]],Database!$A:$C,MATCH($C$1,Database!$A$1:$C$1,),))</f>
        <v/>
      </c>
      <c r="D13034">
        <f>IFERROR(Table7[[#This Row],[United States 10y]]-Table7[[#This Row],[United States 3y]],#N/A)</f>
        <v/>
      </c>
    </row>
    <row r="13035">
      <c r="A13035" s="6">
        <f>Database!$A15120</f>
        <v/>
      </c>
      <c r="B13035">
        <f>IF(VLOOKUP(Table7[[#This Row],[Date]],Database!$A:$C,MATCH($B$1,Database!$A$1:$C$1,),)=0,#N/A,VLOOKUP(Table7[[#This Row],[Date]],Database!$A:$C,MATCH($B$1,Database!$A$1:$C$1,),))</f>
        <v/>
      </c>
      <c r="C13035">
        <f>IF(VLOOKUP(Table7[[#This Row],[Date]],Database!$A:$C,MATCH($C$1,Database!$A$1:$C$1,),)=0,#N/A,VLOOKUP(Table7[[#This Row],[Date]],Database!$A:$C,MATCH($C$1,Database!$A$1:$C$1,),))</f>
        <v/>
      </c>
      <c r="D13035">
        <f>IFERROR(Table7[[#This Row],[United States 10y]]-Table7[[#This Row],[United States 3y]],#N/A)</f>
        <v/>
      </c>
    </row>
    <row r="13036">
      <c r="A13036" s="6">
        <f>Database!$A15121</f>
        <v/>
      </c>
      <c r="B13036">
        <f>IF(VLOOKUP(Table7[[#This Row],[Date]],Database!$A:$C,MATCH($B$1,Database!$A$1:$C$1,),)=0,#N/A,VLOOKUP(Table7[[#This Row],[Date]],Database!$A:$C,MATCH($B$1,Database!$A$1:$C$1,),))</f>
        <v/>
      </c>
      <c r="C13036">
        <f>IF(VLOOKUP(Table7[[#This Row],[Date]],Database!$A:$C,MATCH($C$1,Database!$A$1:$C$1,),)=0,#N/A,VLOOKUP(Table7[[#This Row],[Date]],Database!$A:$C,MATCH($C$1,Database!$A$1:$C$1,),))</f>
        <v/>
      </c>
      <c r="D13036">
        <f>IFERROR(Table7[[#This Row],[United States 10y]]-Table7[[#This Row],[United States 3y]],#N/A)</f>
        <v/>
      </c>
    </row>
    <row r="13037">
      <c r="A13037" s="6">
        <f>Database!$A15122</f>
        <v/>
      </c>
      <c r="B13037">
        <f>IF(VLOOKUP(Table7[[#This Row],[Date]],Database!$A:$C,MATCH($B$1,Database!$A$1:$C$1,),)=0,#N/A,VLOOKUP(Table7[[#This Row],[Date]],Database!$A:$C,MATCH($B$1,Database!$A$1:$C$1,),))</f>
        <v/>
      </c>
      <c r="C13037">
        <f>IF(VLOOKUP(Table7[[#This Row],[Date]],Database!$A:$C,MATCH($C$1,Database!$A$1:$C$1,),)=0,#N/A,VLOOKUP(Table7[[#This Row],[Date]],Database!$A:$C,MATCH($C$1,Database!$A$1:$C$1,),))</f>
        <v/>
      </c>
      <c r="D13037">
        <f>IFERROR(Table7[[#This Row],[United States 10y]]-Table7[[#This Row],[United States 3y]],#N/A)</f>
        <v/>
      </c>
    </row>
    <row r="13038">
      <c r="A13038" s="6">
        <f>Database!$A15123</f>
        <v/>
      </c>
      <c r="B13038">
        <f>IF(VLOOKUP(Table7[[#This Row],[Date]],Database!$A:$C,MATCH($B$1,Database!$A$1:$C$1,),)=0,#N/A,VLOOKUP(Table7[[#This Row],[Date]],Database!$A:$C,MATCH($B$1,Database!$A$1:$C$1,),))</f>
        <v/>
      </c>
      <c r="C13038">
        <f>IF(VLOOKUP(Table7[[#This Row],[Date]],Database!$A:$C,MATCH($C$1,Database!$A$1:$C$1,),)=0,#N/A,VLOOKUP(Table7[[#This Row],[Date]],Database!$A:$C,MATCH($C$1,Database!$A$1:$C$1,),))</f>
        <v/>
      </c>
      <c r="D13038">
        <f>IFERROR(Table7[[#This Row],[United States 10y]]-Table7[[#This Row],[United States 3y]],#N/A)</f>
        <v/>
      </c>
    </row>
    <row r="13039">
      <c r="A13039" s="6">
        <f>Database!$A15124</f>
        <v/>
      </c>
      <c r="B13039">
        <f>IF(VLOOKUP(Table7[[#This Row],[Date]],Database!$A:$C,MATCH($B$1,Database!$A$1:$C$1,),)=0,#N/A,VLOOKUP(Table7[[#This Row],[Date]],Database!$A:$C,MATCH($B$1,Database!$A$1:$C$1,),))</f>
        <v/>
      </c>
      <c r="C13039">
        <f>IF(VLOOKUP(Table7[[#This Row],[Date]],Database!$A:$C,MATCH($C$1,Database!$A$1:$C$1,),)=0,#N/A,VLOOKUP(Table7[[#This Row],[Date]],Database!$A:$C,MATCH($C$1,Database!$A$1:$C$1,),))</f>
        <v/>
      </c>
      <c r="D13039">
        <f>IFERROR(Table7[[#This Row],[United States 10y]]-Table7[[#This Row],[United States 3y]],#N/A)</f>
        <v/>
      </c>
    </row>
    <row r="13040">
      <c r="A13040" s="6">
        <f>Database!$A15125</f>
        <v/>
      </c>
      <c r="B13040">
        <f>IF(VLOOKUP(Table7[[#This Row],[Date]],Database!$A:$C,MATCH($B$1,Database!$A$1:$C$1,),)=0,#N/A,VLOOKUP(Table7[[#This Row],[Date]],Database!$A:$C,MATCH($B$1,Database!$A$1:$C$1,),))</f>
        <v/>
      </c>
      <c r="C13040">
        <f>IF(VLOOKUP(Table7[[#This Row],[Date]],Database!$A:$C,MATCH($C$1,Database!$A$1:$C$1,),)=0,#N/A,VLOOKUP(Table7[[#This Row],[Date]],Database!$A:$C,MATCH($C$1,Database!$A$1:$C$1,),))</f>
        <v/>
      </c>
      <c r="D13040">
        <f>IFERROR(Table7[[#This Row],[United States 10y]]-Table7[[#This Row],[United States 3y]],#N/A)</f>
        <v/>
      </c>
    </row>
    <row r="13041">
      <c r="A13041" s="6">
        <f>Database!$A15126</f>
        <v/>
      </c>
      <c r="B13041">
        <f>IF(VLOOKUP(Table7[[#This Row],[Date]],Database!$A:$C,MATCH($B$1,Database!$A$1:$C$1,),)=0,#N/A,VLOOKUP(Table7[[#This Row],[Date]],Database!$A:$C,MATCH($B$1,Database!$A$1:$C$1,),))</f>
        <v/>
      </c>
      <c r="C13041">
        <f>IF(VLOOKUP(Table7[[#This Row],[Date]],Database!$A:$C,MATCH($C$1,Database!$A$1:$C$1,),)=0,#N/A,VLOOKUP(Table7[[#This Row],[Date]],Database!$A:$C,MATCH($C$1,Database!$A$1:$C$1,),))</f>
        <v/>
      </c>
      <c r="D13041">
        <f>IFERROR(Table7[[#This Row],[United States 10y]]-Table7[[#This Row],[United States 3y]],#N/A)</f>
        <v/>
      </c>
    </row>
    <row r="13042">
      <c r="A13042" s="6">
        <f>Database!$A15127</f>
        <v/>
      </c>
      <c r="B13042">
        <f>IF(VLOOKUP(Table7[[#This Row],[Date]],Database!$A:$C,MATCH($B$1,Database!$A$1:$C$1,),)=0,#N/A,VLOOKUP(Table7[[#This Row],[Date]],Database!$A:$C,MATCH($B$1,Database!$A$1:$C$1,),))</f>
        <v/>
      </c>
      <c r="C13042">
        <f>IF(VLOOKUP(Table7[[#This Row],[Date]],Database!$A:$C,MATCH($C$1,Database!$A$1:$C$1,),)=0,#N/A,VLOOKUP(Table7[[#This Row],[Date]],Database!$A:$C,MATCH($C$1,Database!$A$1:$C$1,),))</f>
        <v/>
      </c>
      <c r="D13042">
        <f>IFERROR(Table7[[#This Row],[United States 10y]]-Table7[[#This Row],[United States 3y]],#N/A)</f>
        <v/>
      </c>
    </row>
    <row r="13043">
      <c r="A13043" s="6">
        <f>Database!$A15128</f>
        <v/>
      </c>
      <c r="B13043">
        <f>IF(VLOOKUP(Table7[[#This Row],[Date]],Database!$A:$C,MATCH($B$1,Database!$A$1:$C$1,),)=0,#N/A,VLOOKUP(Table7[[#This Row],[Date]],Database!$A:$C,MATCH($B$1,Database!$A$1:$C$1,),))</f>
        <v/>
      </c>
      <c r="C13043">
        <f>IF(VLOOKUP(Table7[[#This Row],[Date]],Database!$A:$C,MATCH($C$1,Database!$A$1:$C$1,),)=0,#N/A,VLOOKUP(Table7[[#This Row],[Date]],Database!$A:$C,MATCH($C$1,Database!$A$1:$C$1,),))</f>
        <v/>
      </c>
      <c r="D13043">
        <f>IFERROR(Table7[[#This Row],[United States 10y]]-Table7[[#This Row],[United States 3y]],#N/A)</f>
        <v/>
      </c>
    </row>
    <row r="13044">
      <c r="A13044" s="6">
        <f>Database!$A15129</f>
        <v/>
      </c>
      <c r="B13044">
        <f>IF(VLOOKUP(Table7[[#This Row],[Date]],Database!$A:$C,MATCH($B$1,Database!$A$1:$C$1,),)=0,#N/A,VLOOKUP(Table7[[#This Row],[Date]],Database!$A:$C,MATCH($B$1,Database!$A$1:$C$1,),))</f>
        <v/>
      </c>
      <c r="C13044">
        <f>IF(VLOOKUP(Table7[[#This Row],[Date]],Database!$A:$C,MATCH($C$1,Database!$A$1:$C$1,),)=0,#N/A,VLOOKUP(Table7[[#This Row],[Date]],Database!$A:$C,MATCH($C$1,Database!$A$1:$C$1,),))</f>
        <v/>
      </c>
      <c r="D13044">
        <f>IFERROR(Table7[[#This Row],[United States 10y]]-Table7[[#This Row],[United States 3y]],#N/A)</f>
        <v/>
      </c>
    </row>
    <row r="13045">
      <c r="A13045" s="6">
        <f>Database!$A15130</f>
        <v/>
      </c>
      <c r="B13045">
        <f>IF(VLOOKUP(Table7[[#This Row],[Date]],Database!$A:$C,MATCH($B$1,Database!$A$1:$C$1,),)=0,#N/A,VLOOKUP(Table7[[#This Row],[Date]],Database!$A:$C,MATCH($B$1,Database!$A$1:$C$1,),))</f>
        <v/>
      </c>
      <c r="C13045">
        <f>IF(VLOOKUP(Table7[[#This Row],[Date]],Database!$A:$C,MATCH($C$1,Database!$A$1:$C$1,),)=0,#N/A,VLOOKUP(Table7[[#This Row],[Date]],Database!$A:$C,MATCH($C$1,Database!$A$1:$C$1,),))</f>
        <v/>
      </c>
      <c r="D13045">
        <f>IFERROR(Table7[[#This Row],[United States 10y]]-Table7[[#This Row],[United States 3y]],#N/A)</f>
        <v/>
      </c>
    </row>
    <row r="13046">
      <c r="A13046" s="6">
        <f>Database!$A15131</f>
        <v/>
      </c>
      <c r="B13046">
        <f>IF(VLOOKUP(Table7[[#This Row],[Date]],Database!$A:$C,MATCH($B$1,Database!$A$1:$C$1,),)=0,#N/A,VLOOKUP(Table7[[#This Row],[Date]],Database!$A:$C,MATCH($B$1,Database!$A$1:$C$1,),))</f>
        <v/>
      </c>
      <c r="C13046">
        <f>IF(VLOOKUP(Table7[[#This Row],[Date]],Database!$A:$C,MATCH($C$1,Database!$A$1:$C$1,),)=0,#N/A,VLOOKUP(Table7[[#This Row],[Date]],Database!$A:$C,MATCH($C$1,Database!$A$1:$C$1,),))</f>
        <v/>
      </c>
      <c r="D13046">
        <f>IFERROR(Table7[[#This Row],[United States 10y]]-Table7[[#This Row],[United States 3y]],#N/A)</f>
        <v/>
      </c>
    </row>
    <row r="13047">
      <c r="A13047" s="6">
        <f>Database!$A15132</f>
        <v/>
      </c>
      <c r="B13047">
        <f>IF(VLOOKUP(Table7[[#This Row],[Date]],Database!$A:$C,MATCH($B$1,Database!$A$1:$C$1,),)=0,#N/A,VLOOKUP(Table7[[#This Row],[Date]],Database!$A:$C,MATCH($B$1,Database!$A$1:$C$1,),))</f>
        <v/>
      </c>
      <c r="C13047">
        <f>IF(VLOOKUP(Table7[[#This Row],[Date]],Database!$A:$C,MATCH($C$1,Database!$A$1:$C$1,),)=0,#N/A,VLOOKUP(Table7[[#This Row],[Date]],Database!$A:$C,MATCH($C$1,Database!$A$1:$C$1,),))</f>
        <v/>
      </c>
      <c r="D13047">
        <f>IFERROR(Table7[[#This Row],[United States 10y]]-Table7[[#This Row],[United States 3y]],#N/A)</f>
        <v/>
      </c>
    </row>
    <row r="13048">
      <c r="A13048" s="6">
        <f>Database!$A15133</f>
        <v/>
      </c>
      <c r="B13048">
        <f>IF(VLOOKUP(Table7[[#This Row],[Date]],Database!$A:$C,MATCH($B$1,Database!$A$1:$C$1,),)=0,#N/A,VLOOKUP(Table7[[#This Row],[Date]],Database!$A:$C,MATCH($B$1,Database!$A$1:$C$1,),))</f>
        <v/>
      </c>
      <c r="C13048">
        <f>IF(VLOOKUP(Table7[[#This Row],[Date]],Database!$A:$C,MATCH($C$1,Database!$A$1:$C$1,),)=0,#N/A,VLOOKUP(Table7[[#This Row],[Date]],Database!$A:$C,MATCH($C$1,Database!$A$1:$C$1,),))</f>
        <v/>
      </c>
      <c r="D13048">
        <f>IFERROR(Table7[[#This Row],[United States 10y]]-Table7[[#This Row],[United States 3y]],#N/A)</f>
        <v/>
      </c>
    </row>
    <row r="13049">
      <c r="A13049" s="6">
        <f>Database!$A15134</f>
        <v/>
      </c>
      <c r="B13049">
        <f>IF(VLOOKUP(Table7[[#This Row],[Date]],Database!$A:$C,MATCH($B$1,Database!$A$1:$C$1,),)=0,#N/A,VLOOKUP(Table7[[#This Row],[Date]],Database!$A:$C,MATCH($B$1,Database!$A$1:$C$1,),))</f>
        <v/>
      </c>
      <c r="C13049">
        <f>IF(VLOOKUP(Table7[[#This Row],[Date]],Database!$A:$C,MATCH($C$1,Database!$A$1:$C$1,),)=0,#N/A,VLOOKUP(Table7[[#This Row],[Date]],Database!$A:$C,MATCH($C$1,Database!$A$1:$C$1,),))</f>
        <v/>
      </c>
      <c r="D13049">
        <f>IFERROR(Table7[[#This Row],[United States 10y]]-Table7[[#This Row],[United States 3y]],#N/A)</f>
        <v/>
      </c>
    </row>
    <row r="13050">
      <c r="A13050" s="6">
        <f>Database!$A15135</f>
        <v/>
      </c>
      <c r="B13050">
        <f>IF(VLOOKUP(Table7[[#This Row],[Date]],Database!$A:$C,MATCH($B$1,Database!$A$1:$C$1,),)=0,#N/A,VLOOKUP(Table7[[#This Row],[Date]],Database!$A:$C,MATCH($B$1,Database!$A$1:$C$1,),))</f>
        <v/>
      </c>
      <c r="C13050">
        <f>IF(VLOOKUP(Table7[[#This Row],[Date]],Database!$A:$C,MATCH($C$1,Database!$A$1:$C$1,),)=0,#N/A,VLOOKUP(Table7[[#This Row],[Date]],Database!$A:$C,MATCH($C$1,Database!$A$1:$C$1,),))</f>
        <v/>
      </c>
      <c r="D13050">
        <f>IFERROR(Table7[[#This Row],[United States 10y]]-Table7[[#This Row],[United States 3y]],#N/A)</f>
        <v/>
      </c>
    </row>
    <row r="13051">
      <c r="A13051" s="6">
        <f>Database!$A15136</f>
        <v/>
      </c>
      <c r="B13051">
        <f>IF(VLOOKUP(Table7[[#This Row],[Date]],Database!$A:$C,MATCH($B$1,Database!$A$1:$C$1,),)=0,#N/A,VLOOKUP(Table7[[#This Row],[Date]],Database!$A:$C,MATCH($B$1,Database!$A$1:$C$1,),))</f>
        <v/>
      </c>
      <c r="C13051">
        <f>IF(VLOOKUP(Table7[[#This Row],[Date]],Database!$A:$C,MATCH($C$1,Database!$A$1:$C$1,),)=0,#N/A,VLOOKUP(Table7[[#This Row],[Date]],Database!$A:$C,MATCH($C$1,Database!$A$1:$C$1,),))</f>
        <v/>
      </c>
      <c r="D13051">
        <f>IFERROR(Table7[[#This Row],[United States 10y]]-Table7[[#This Row],[United States 3y]],#N/A)</f>
        <v/>
      </c>
    </row>
    <row r="13052">
      <c r="A13052" s="6">
        <f>Database!$A15137</f>
        <v/>
      </c>
      <c r="B13052">
        <f>IF(VLOOKUP(Table7[[#This Row],[Date]],Database!$A:$C,MATCH($B$1,Database!$A$1:$C$1,),)=0,#N/A,VLOOKUP(Table7[[#This Row],[Date]],Database!$A:$C,MATCH($B$1,Database!$A$1:$C$1,),))</f>
        <v/>
      </c>
      <c r="C13052">
        <f>IF(VLOOKUP(Table7[[#This Row],[Date]],Database!$A:$C,MATCH($C$1,Database!$A$1:$C$1,),)=0,#N/A,VLOOKUP(Table7[[#This Row],[Date]],Database!$A:$C,MATCH($C$1,Database!$A$1:$C$1,),))</f>
        <v/>
      </c>
      <c r="D13052">
        <f>IFERROR(Table7[[#This Row],[United States 10y]]-Table7[[#This Row],[United States 3y]],#N/A)</f>
        <v/>
      </c>
    </row>
    <row r="13053">
      <c r="A13053" s="6">
        <f>Database!$A15138</f>
        <v/>
      </c>
      <c r="B13053">
        <f>IF(VLOOKUP(Table7[[#This Row],[Date]],Database!$A:$C,MATCH($B$1,Database!$A$1:$C$1,),)=0,#N/A,VLOOKUP(Table7[[#This Row],[Date]],Database!$A:$C,MATCH($B$1,Database!$A$1:$C$1,),))</f>
        <v/>
      </c>
      <c r="C13053">
        <f>IF(VLOOKUP(Table7[[#This Row],[Date]],Database!$A:$C,MATCH($C$1,Database!$A$1:$C$1,),)=0,#N/A,VLOOKUP(Table7[[#This Row],[Date]],Database!$A:$C,MATCH($C$1,Database!$A$1:$C$1,),))</f>
        <v/>
      </c>
      <c r="D13053">
        <f>IFERROR(Table7[[#This Row],[United States 10y]]-Table7[[#This Row],[United States 3y]],#N/A)</f>
        <v/>
      </c>
    </row>
    <row r="13054">
      <c r="A13054" s="6">
        <f>Database!$A15139</f>
        <v/>
      </c>
      <c r="B13054">
        <f>IF(VLOOKUP(Table7[[#This Row],[Date]],Database!$A:$C,MATCH($B$1,Database!$A$1:$C$1,),)=0,#N/A,VLOOKUP(Table7[[#This Row],[Date]],Database!$A:$C,MATCH($B$1,Database!$A$1:$C$1,),))</f>
        <v/>
      </c>
      <c r="C13054">
        <f>IF(VLOOKUP(Table7[[#This Row],[Date]],Database!$A:$C,MATCH($C$1,Database!$A$1:$C$1,),)=0,#N/A,VLOOKUP(Table7[[#This Row],[Date]],Database!$A:$C,MATCH($C$1,Database!$A$1:$C$1,),))</f>
        <v/>
      </c>
      <c r="D13054">
        <f>IFERROR(Table7[[#This Row],[United States 10y]]-Table7[[#This Row],[United States 3y]],#N/A)</f>
        <v/>
      </c>
    </row>
    <row r="13055">
      <c r="A13055" s="6">
        <f>Database!$A15140</f>
        <v/>
      </c>
      <c r="B13055">
        <f>IF(VLOOKUP(Table7[[#This Row],[Date]],Database!$A:$C,MATCH($B$1,Database!$A$1:$C$1,),)=0,#N/A,VLOOKUP(Table7[[#This Row],[Date]],Database!$A:$C,MATCH($B$1,Database!$A$1:$C$1,),))</f>
        <v/>
      </c>
      <c r="C13055">
        <f>IF(VLOOKUP(Table7[[#This Row],[Date]],Database!$A:$C,MATCH($C$1,Database!$A$1:$C$1,),)=0,#N/A,VLOOKUP(Table7[[#This Row],[Date]],Database!$A:$C,MATCH($C$1,Database!$A$1:$C$1,),))</f>
        <v/>
      </c>
      <c r="D13055">
        <f>IFERROR(Table7[[#This Row],[United States 10y]]-Table7[[#This Row],[United States 3y]],#N/A)</f>
        <v/>
      </c>
    </row>
    <row r="13056">
      <c r="A13056" s="6">
        <f>Database!$A15141</f>
        <v/>
      </c>
      <c r="B13056">
        <f>IF(VLOOKUP(Table7[[#This Row],[Date]],Database!$A:$C,MATCH($B$1,Database!$A$1:$C$1,),)=0,#N/A,VLOOKUP(Table7[[#This Row],[Date]],Database!$A:$C,MATCH($B$1,Database!$A$1:$C$1,),))</f>
        <v/>
      </c>
      <c r="C13056">
        <f>IF(VLOOKUP(Table7[[#This Row],[Date]],Database!$A:$C,MATCH($C$1,Database!$A$1:$C$1,),)=0,#N/A,VLOOKUP(Table7[[#This Row],[Date]],Database!$A:$C,MATCH($C$1,Database!$A$1:$C$1,),))</f>
        <v/>
      </c>
      <c r="D13056">
        <f>IFERROR(Table7[[#This Row],[United States 10y]]-Table7[[#This Row],[United States 3y]],#N/A)</f>
        <v/>
      </c>
    </row>
    <row r="13057">
      <c r="A13057" s="6">
        <f>Database!$A15142</f>
        <v/>
      </c>
      <c r="B13057">
        <f>IF(VLOOKUP(Table7[[#This Row],[Date]],Database!$A:$C,MATCH($B$1,Database!$A$1:$C$1,),)=0,#N/A,VLOOKUP(Table7[[#This Row],[Date]],Database!$A:$C,MATCH($B$1,Database!$A$1:$C$1,),))</f>
        <v/>
      </c>
      <c r="C13057">
        <f>IF(VLOOKUP(Table7[[#This Row],[Date]],Database!$A:$C,MATCH($C$1,Database!$A$1:$C$1,),)=0,#N/A,VLOOKUP(Table7[[#This Row],[Date]],Database!$A:$C,MATCH($C$1,Database!$A$1:$C$1,),))</f>
        <v/>
      </c>
      <c r="D13057">
        <f>IFERROR(Table7[[#This Row],[United States 10y]]-Table7[[#This Row],[United States 3y]],#N/A)</f>
        <v/>
      </c>
    </row>
    <row r="13058">
      <c r="A13058" s="6">
        <f>Database!$A15143</f>
        <v/>
      </c>
      <c r="B13058">
        <f>IF(VLOOKUP(Table7[[#This Row],[Date]],Database!$A:$C,MATCH($B$1,Database!$A$1:$C$1,),)=0,#N/A,VLOOKUP(Table7[[#This Row],[Date]],Database!$A:$C,MATCH($B$1,Database!$A$1:$C$1,),))</f>
        <v/>
      </c>
      <c r="C13058">
        <f>IF(VLOOKUP(Table7[[#This Row],[Date]],Database!$A:$C,MATCH($C$1,Database!$A$1:$C$1,),)=0,#N/A,VLOOKUP(Table7[[#This Row],[Date]],Database!$A:$C,MATCH($C$1,Database!$A$1:$C$1,),))</f>
        <v/>
      </c>
      <c r="D13058">
        <f>IFERROR(Table7[[#This Row],[United States 10y]]-Table7[[#This Row],[United States 3y]],#N/A)</f>
        <v/>
      </c>
    </row>
    <row r="13059">
      <c r="A13059" s="6">
        <f>Database!$A15144</f>
        <v/>
      </c>
      <c r="B13059">
        <f>IF(VLOOKUP(Table7[[#This Row],[Date]],Database!$A:$C,MATCH($B$1,Database!$A$1:$C$1,),)=0,#N/A,VLOOKUP(Table7[[#This Row],[Date]],Database!$A:$C,MATCH($B$1,Database!$A$1:$C$1,),))</f>
        <v/>
      </c>
      <c r="C13059">
        <f>IF(VLOOKUP(Table7[[#This Row],[Date]],Database!$A:$C,MATCH($C$1,Database!$A$1:$C$1,),)=0,#N/A,VLOOKUP(Table7[[#This Row],[Date]],Database!$A:$C,MATCH($C$1,Database!$A$1:$C$1,),))</f>
        <v/>
      </c>
      <c r="D13059">
        <f>IFERROR(Table7[[#This Row],[United States 10y]]-Table7[[#This Row],[United States 3y]],#N/A)</f>
        <v/>
      </c>
    </row>
    <row r="13060">
      <c r="A13060" s="6">
        <f>Database!$A15145</f>
        <v/>
      </c>
      <c r="B13060">
        <f>IF(VLOOKUP(Table7[[#This Row],[Date]],Database!$A:$C,MATCH($B$1,Database!$A$1:$C$1,),)=0,#N/A,VLOOKUP(Table7[[#This Row],[Date]],Database!$A:$C,MATCH($B$1,Database!$A$1:$C$1,),))</f>
        <v/>
      </c>
      <c r="C13060">
        <f>IF(VLOOKUP(Table7[[#This Row],[Date]],Database!$A:$C,MATCH($C$1,Database!$A$1:$C$1,),)=0,#N/A,VLOOKUP(Table7[[#This Row],[Date]],Database!$A:$C,MATCH($C$1,Database!$A$1:$C$1,),))</f>
        <v/>
      </c>
      <c r="D13060">
        <f>IFERROR(Table7[[#This Row],[United States 10y]]-Table7[[#This Row],[United States 3y]],#N/A)</f>
        <v/>
      </c>
    </row>
    <row r="13061">
      <c r="A13061" s="6">
        <f>Database!$A15146</f>
        <v/>
      </c>
      <c r="B13061">
        <f>IF(VLOOKUP(Table7[[#This Row],[Date]],Database!$A:$C,MATCH($B$1,Database!$A$1:$C$1,),)=0,#N/A,VLOOKUP(Table7[[#This Row],[Date]],Database!$A:$C,MATCH($B$1,Database!$A$1:$C$1,),))</f>
        <v/>
      </c>
      <c r="C13061">
        <f>IF(VLOOKUP(Table7[[#This Row],[Date]],Database!$A:$C,MATCH($C$1,Database!$A$1:$C$1,),)=0,#N/A,VLOOKUP(Table7[[#This Row],[Date]],Database!$A:$C,MATCH($C$1,Database!$A$1:$C$1,),))</f>
        <v/>
      </c>
      <c r="D13061">
        <f>IFERROR(Table7[[#This Row],[United States 10y]]-Table7[[#This Row],[United States 3y]],#N/A)</f>
        <v/>
      </c>
    </row>
    <row r="13062">
      <c r="A13062" s="6">
        <f>Database!$A15147</f>
        <v/>
      </c>
      <c r="B13062">
        <f>IF(VLOOKUP(Table7[[#This Row],[Date]],Database!$A:$C,MATCH($B$1,Database!$A$1:$C$1,),)=0,#N/A,VLOOKUP(Table7[[#This Row],[Date]],Database!$A:$C,MATCH($B$1,Database!$A$1:$C$1,),))</f>
        <v/>
      </c>
      <c r="C13062">
        <f>IF(VLOOKUP(Table7[[#This Row],[Date]],Database!$A:$C,MATCH($C$1,Database!$A$1:$C$1,),)=0,#N/A,VLOOKUP(Table7[[#This Row],[Date]],Database!$A:$C,MATCH($C$1,Database!$A$1:$C$1,),))</f>
        <v/>
      </c>
      <c r="D13062">
        <f>IFERROR(Table7[[#This Row],[United States 10y]]-Table7[[#This Row],[United States 3y]],#N/A)</f>
        <v/>
      </c>
    </row>
    <row r="13063">
      <c r="A13063" s="6">
        <f>Database!$A15148</f>
        <v/>
      </c>
      <c r="B13063">
        <f>IF(VLOOKUP(Table7[[#This Row],[Date]],Database!$A:$C,MATCH($B$1,Database!$A$1:$C$1,),)=0,#N/A,VLOOKUP(Table7[[#This Row],[Date]],Database!$A:$C,MATCH($B$1,Database!$A$1:$C$1,),))</f>
        <v/>
      </c>
      <c r="C13063">
        <f>IF(VLOOKUP(Table7[[#This Row],[Date]],Database!$A:$C,MATCH($C$1,Database!$A$1:$C$1,),)=0,#N/A,VLOOKUP(Table7[[#This Row],[Date]],Database!$A:$C,MATCH($C$1,Database!$A$1:$C$1,),))</f>
        <v/>
      </c>
      <c r="D13063">
        <f>IFERROR(Table7[[#This Row],[United States 10y]]-Table7[[#This Row],[United States 3y]],#N/A)</f>
        <v/>
      </c>
    </row>
    <row r="13064">
      <c r="A13064" s="6">
        <f>Database!$A15149</f>
        <v/>
      </c>
      <c r="B13064">
        <f>IF(VLOOKUP(Table7[[#This Row],[Date]],Database!$A:$C,MATCH($B$1,Database!$A$1:$C$1,),)=0,#N/A,VLOOKUP(Table7[[#This Row],[Date]],Database!$A:$C,MATCH($B$1,Database!$A$1:$C$1,),))</f>
        <v/>
      </c>
      <c r="C13064">
        <f>IF(VLOOKUP(Table7[[#This Row],[Date]],Database!$A:$C,MATCH($C$1,Database!$A$1:$C$1,),)=0,#N/A,VLOOKUP(Table7[[#This Row],[Date]],Database!$A:$C,MATCH($C$1,Database!$A$1:$C$1,),))</f>
        <v/>
      </c>
      <c r="D13064">
        <f>IFERROR(Table7[[#This Row],[United States 10y]]-Table7[[#This Row],[United States 3y]],#N/A)</f>
        <v/>
      </c>
    </row>
    <row r="13065">
      <c r="A13065" s="6">
        <f>Database!$A15150</f>
        <v/>
      </c>
      <c r="B13065">
        <f>IF(VLOOKUP(Table7[[#This Row],[Date]],Database!$A:$C,MATCH($B$1,Database!$A$1:$C$1,),)=0,#N/A,VLOOKUP(Table7[[#This Row],[Date]],Database!$A:$C,MATCH($B$1,Database!$A$1:$C$1,),))</f>
        <v/>
      </c>
      <c r="C13065">
        <f>IF(VLOOKUP(Table7[[#This Row],[Date]],Database!$A:$C,MATCH($C$1,Database!$A$1:$C$1,),)=0,#N/A,VLOOKUP(Table7[[#This Row],[Date]],Database!$A:$C,MATCH($C$1,Database!$A$1:$C$1,),))</f>
        <v/>
      </c>
      <c r="D13065">
        <f>IFERROR(Table7[[#This Row],[United States 10y]]-Table7[[#This Row],[United States 3y]],#N/A)</f>
        <v/>
      </c>
    </row>
    <row r="13066">
      <c r="A13066" s="6">
        <f>Database!$A15151</f>
        <v/>
      </c>
      <c r="B13066">
        <f>IF(VLOOKUP(Table7[[#This Row],[Date]],Database!$A:$C,MATCH($B$1,Database!$A$1:$C$1,),)=0,#N/A,VLOOKUP(Table7[[#This Row],[Date]],Database!$A:$C,MATCH($B$1,Database!$A$1:$C$1,),))</f>
        <v/>
      </c>
      <c r="C13066">
        <f>IF(VLOOKUP(Table7[[#This Row],[Date]],Database!$A:$C,MATCH($C$1,Database!$A$1:$C$1,),)=0,#N/A,VLOOKUP(Table7[[#This Row],[Date]],Database!$A:$C,MATCH($C$1,Database!$A$1:$C$1,),))</f>
        <v/>
      </c>
      <c r="D13066">
        <f>IFERROR(Table7[[#This Row],[United States 10y]]-Table7[[#This Row],[United States 3y]],#N/A)</f>
        <v/>
      </c>
    </row>
    <row r="13067">
      <c r="A13067" s="6">
        <f>Database!$A15152</f>
        <v/>
      </c>
      <c r="B13067">
        <f>IF(VLOOKUP(Table7[[#This Row],[Date]],Database!$A:$C,MATCH($B$1,Database!$A$1:$C$1,),)=0,#N/A,VLOOKUP(Table7[[#This Row],[Date]],Database!$A:$C,MATCH($B$1,Database!$A$1:$C$1,),))</f>
        <v/>
      </c>
      <c r="C13067">
        <f>IF(VLOOKUP(Table7[[#This Row],[Date]],Database!$A:$C,MATCH($C$1,Database!$A$1:$C$1,),)=0,#N/A,VLOOKUP(Table7[[#This Row],[Date]],Database!$A:$C,MATCH($C$1,Database!$A$1:$C$1,),))</f>
        <v/>
      </c>
      <c r="D13067">
        <f>IFERROR(Table7[[#This Row],[United States 10y]]-Table7[[#This Row],[United States 3y]],#N/A)</f>
        <v/>
      </c>
    </row>
    <row r="13068">
      <c r="A13068" s="6">
        <f>Database!$A15153</f>
        <v/>
      </c>
      <c r="B13068">
        <f>IF(VLOOKUP(Table7[[#This Row],[Date]],Database!$A:$C,MATCH($B$1,Database!$A$1:$C$1,),)=0,#N/A,VLOOKUP(Table7[[#This Row],[Date]],Database!$A:$C,MATCH($B$1,Database!$A$1:$C$1,),))</f>
        <v/>
      </c>
      <c r="C13068">
        <f>IF(VLOOKUP(Table7[[#This Row],[Date]],Database!$A:$C,MATCH($C$1,Database!$A$1:$C$1,),)=0,#N/A,VLOOKUP(Table7[[#This Row],[Date]],Database!$A:$C,MATCH($C$1,Database!$A$1:$C$1,),))</f>
        <v/>
      </c>
      <c r="D13068">
        <f>IFERROR(Table7[[#This Row],[United States 10y]]-Table7[[#This Row],[United States 3y]],#N/A)</f>
        <v/>
      </c>
    </row>
    <row r="13069">
      <c r="A13069" s="6">
        <f>Database!$A15154</f>
        <v/>
      </c>
      <c r="B13069">
        <f>IF(VLOOKUP(Table7[[#This Row],[Date]],Database!$A:$C,MATCH($B$1,Database!$A$1:$C$1,),)=0,#N/A,VLOOKUP(Table7[[#This Row],[Date]],Database!$A:$C,MATCH($B$1,Database!$A$1:$C$1,),))</f>
        <v/>
      </c>
      <c r="C13069">
        <f>IF(VLOOKUP(Table7[[#This Row],[Date]],Database!$A:$C,MATCH($C$1,Database!$A$1:$C$1,),)=0,#N/A,VLOOKUP(Table7[[#This Row],[Date]],Database!$A:$C,MATCH($C$1,Database!$A$1:$C$1,),))</f>
        <v/>
      </c>
      <c r="D13069">
        <f>IFERROR(Table7[[#This Row],[United States 10y]]-Table7[[#This Row],[United States 3y]],#N/A)</f>
        <v/>
      </c>
    </row>
    <row r="13070">
      <c r="A13070" s="6">
        <f>Database!$A15155</f>
        <v/>
      </c>
      <c r="B13070">
        <f>IF(VLOOKUP(Table7[[#This Row],[Date]],Database!$A:$C,MATCH($B$1,Database!$A$1:$C$1,),)=0,#N/A,VLOOKUP(Table7[[#This Row],[Date]],Database!$A:$C,MATCH($B$1,Database!$A$1:$C$1,),))</f>
        <v/>
      </c>
      <c r="C13070">
        <f>IF(VLOOKUP(Table7[[#This Row],[Date]],Database!$A:$C,MATCH($C$1,Database!$A$1:$C$1,),)=0,#N/A,VLOOKUP(Table7[[#This Row],[Date]],Database!$A:$C,MATCH($C$1,Database!$A$1:$C$1,),))</f>
        <v/>
      </c>
      <c r="D13070">
        <f>IFERROR(Table7[[#This Row],[United States 10y]]-Table7[[#This Row],[United States 3y]],#N/A)</f>
        <v/>
      </c>
    </row>
    <row r="13071">
      <c r="A13071" s="6">
        <f>Database!$A15156</f>
        <v/>
      </c>
      <c r="B13071">
        <f>IF(VLOOKUP(Table7[[#This Row],[Date]],Database!$A:$C,MATCH($B$1,Database!$A$1:$C$1,),)=0,#N/A,VLOOKUP(Table7[[#This Row],[Date]],Database!$A:$C,MATCH($B$1,Database!$A$1:$C$1,),))</f>
        <v/>
      </c>
      <c r="C13071">
        <f>IF(VLOOKUP(Table7[[#This Row],[Date]],Database!$A:$C,MATCH($C$1,Database!$A$1:$C$1,),)=0,#N/A,VLOOKUP(Table7[[#This Row],[Date]],Database!$A:$C,MATCH($C$1,Database!$A$1:$C$1,),))</f>
        <v/>
      </c>
      <c r="D13071">
        <f>IFERROR(Table7[[#This Row],[United States 10y]]-Table7[[#This Row],[United States 3y]],#N/A)</f>
        <v/>
      </c>
    </row>
    <row r="13072">
      <c r="A13072" s="6">
        <f>Database!$A15157</f>
        <v/>
      </c>
      <c r="B13072">
        <f>IF(VLOOKUP(Table7[[#This Row],[Date]],Database!$A:$C,MATCH($B$1,Database!$A$1:$C$1,),)=0,#N/A,VLOOKUP(Table7[[#This Row],[Date]],Database!$A:$C,MATCH($B$1,Database!$A$1:$C$1,),))</f>
        <v/>
      </c>
      <c r="C13072">
        <f>IF(VLOOKUP(Table7[[#This Row],[Date]],Database!$A:$C,MATCH($C$1,Database!$A$1:$C$1,),)=0,#N/A,VLOOKUP(Table7[[#This Row],[Date]],Database!$A:$C,MATCH($C$1,Database!$A$1:$C$1,),))</f>
        <v/>
      </c>
      <c r="D13072">
        <f>IFERROR(Table7[[#This Row],[United States 10y]]-Table7[[#This Row],[United States 3y]],#N/A)</f>
        <v/>
      </c>
    </row>
    <row r="13073">
      <c r="A13073" s="6">
        <f>Database!$A15158</f>
        <v/>
      </c>
      <c r="B13073">
        <f>IF(VLOOKUP(Table7[[#This Row],[Date]],Database!$A:$C,MATCH($B$1,Database!$A$1:$C$1,),)=0,#N/A,VLOOKUP(Table7[[#This Row],[Date]],Database!$A:$C,MATCH($B$1,Database!$A$1:$C$1,),))</f>
        <v/>
      </c>
      <c r="C13073">
        <f>IF(VLOOKUP(Table7[[#This Row],[Date]],Database!$A:$C,MATCH($C$1,Database!$A$1:$C$1,),)=0,#N/A,VLOOKUP(Table7[[#This Row],[Date]],Database!$A:$C,MATCH($C$1,Database!$A$1:$C$1,),))</f>
        <v/>
      </c>
      <c r="D13073">
        <f>IFERROR(Table7[[#This Row],[United States 10y]]-Table7[[#This Row],[United States 3y]],#N/A)</f>
        <v/>
      </c>
    </row>
    <row r="13074">
      <c r="A13074" s="6">
        <f>Database!$A15159</f>
        <v/>
      </c>
      <c r="B13074">
        <f>IF(VLOOKUP(Table7[[#This Row],[Date]],Database!$A:$C,MATCH($B$1,Database!$A$1:$C$1,),)=0,#N/A,VLOOKUP(Table7[[#This Row],[Date]],Database!$A:$C,MATCH($B$1,Database!$A$1:$C$1,),))</f>
        <v/>
      </c>
      <c r="C13074">
        <f>IF(VLOOKUP(Table7[[#This Row],[Date]],Database!$A:$C,MATCH($C$1,Database!$A$1:$C$1,),)=0,#N/A,VLOOKUP(Table7[[#This Row],[Date]],Database!$A:$C,MATCH($C$1,Database!$A$1:$C$1,),))</f>
        <v/>
      </c>
      <c r="D13074">
        <f>IFERROR(Table7[[#This Row],[United States 10y]]-Table7[[#This Row],[United States 3y]],#N/A)</f>
        <v/>
      </c>
    </row>
    <row r="13075">
      <c r="A13075" s="6">
        <f>Database!$A15160</f>
        <v/>
      </c>
      <c r="B13075">
        <f>IF(VLOOKUP(Table7[[#This Row],[Date]],Database!$A:$C,MATCH($B$1,Database!$A$1:$C$1,),)=0,#N/A,VLOOKUP(Table7[[#This Row],[Date]],Database!$A:$C,MATCH($B$1,Database!$A$1:$C$1,),))</f>
        <v/>
      </c>
      <c r="C13075">
        <f>IF(VLOOKUP(Table7[[#This Row],[Date]],Database!$A:$C,MATCH($C$1,Database!$A$1:$C$1,),)=0,#N/A,VLOOKUP(Table7[[#This Row],[Date]],Database!$A:$C,MATCH($C$1,Database!$A$1:$C$1,),))</f>
        <v/>
      </c>
      <c r="D13075">
        <f>IFERROR(Table7[[#This Row],[United States 10y]]-Table7[[#This Row],[United States 3y]],#N/A)</f>
        <v/>
      </c>
    </row>
    <row r="13076">
      <c r="A13076" s="6">
        <f>Database!$A15161</f>
        <v/>
      </c>
      <c r="B13076">
        <f>IF(VLOOKUP(Table7[[#This Row],[Date]],Database!$A:$C,MATCH($B$1,Database!$A$1:$C$1,),)=0,#N/A,VLOOKUP(Table7[[#This Row],[Date]],Database!$A:$C,MATCH($B$1,Database!$A$1:$C$1,),))</f>
        <v/>
      </c>
      <c r="C13076">
        <f>IF(VLOOKUP(Table7[[#This Row],[Date]],Database!$A:$C,MATCH($C$1,Database!$A$1:$C$1,),)=0,#N/A,VLOOKUP(Table7[[#This Row],[Date]],Database!$A:$C,MATCH($C$1,Database!$A$1:$C$1,),))</f>
        <v/>
      </c>
      <c r="D13076">
        <f>IFERROR(Table7[[#This Row],[United States 10y]]-Table7[[#This Row],[United States 3y]],#N/A)</f>
        <v/>
      </c>
    </row>
    <row r="13077">
      <c r="A13077" s="6">
        <f>Database!$A15162</f>
        <v/>
      </c>
      <c r="B13077">
        <f>IF(VLOOKUP(Table7[[#This Row],[Date]],Database!$A:$C,MATCH($B$1,Database!$A$1:$C$1,),)=0,#N/A,VLOOKUP(Table7[[#This Row],[Date]],Database!$A:$C,MATCH($B$1,Database!$A$1:$C$1,),))</f>
        <v/>
      </c>
      <c r="C13077">
        <f>IF(VLOOKUP(Table7[[#This Row],[Date]],Database!$A:$C,MATCH($C$1,Database!$A$1:$C$1,),)=0,#N/A,VLOOKUP(Table7[[#This Row],[Date]],Database!$A:$C,MATCH($C$1,Database!$A$1:$C$1,),))</f>
        <v/>
      </c>
      <c r="D13077">
        <f>IFERROR(Table7[[#This Row],[United States 10y]]-Table7[[#This Row],[United States 3y]],#N/A)</f>
        <v/>
      </c>
    </row>
    <row r="13078">
      <c r="A13078" s="6">
        <f>Database!$A15163</f>
        <v/>
      </c>
      <c r="B13078">
        <f>IF(VLOOKUP(Table7[[#This Row],[Date]],Database!$A:$C,MATCH($B$1,Database!$A$1:$C$1,),)=0,#N/A,VLOOKUP(Table7[[#This Row],[Date]],Database!$A:$C,MATCH($B$1,Database!$A$1:$C$1,),))</f>
        <v/>
      </c>
      <c r="C13078">
        <f>IF(VLOOKUP(Table7[[#This Row],[Date]],Database!$A:$C,MATCH($C$1,Database!$A$1:$C$1,),)=0,#N/A,VLOOKUP(Table7[[#This Row],[Date]],Database!$A:$C,MATCH($C$1,Database!$A$1:$C$1,),))</f>
        <v/>
      </c>
      <c r="D13078">
        <f>IFERROR(Table7[[#This Row],[United States 10y]]-Table7[[#This Row],[United States 3y]],#N/A)</f>
        <v/>
      </c>
    </row>
    <row r="13079">
      <c r="A13079" s="6">
        <f>Database!$A15164</f>
        <v/>
      </c>
      <c r="B13079">
        <f>IF(VLOOKUP(Table7[[#This Row],[Date]],Database!$A:$C,MATCH($B$1,Database!$A$1:$C$1,),)=0,#N/A,VLOOKUP(Table7[[#This Row],[Date]],Database!$A:$C,MATCH($B$1,Database!$A$1:$C$1,),))</f>
        <v/>
      </c>
      <c r="C13079">
        <f>IF(VLOOKUP(Table7[[#This Row],[Date]],Database!$A:$C,MATCH($C$1,Database!$A$1:$C$1,),)=0,#N/A,VLOOKUP(Table7[[#This Row],[Date]],Database!$A:$C,MATCH($C$1,Database!$A$1:$C$1,),))</f>
        <v/>
      </c>
      <c r="D13079">
        <f>IFERROR(Table7[[#This Row],[United States 10y]]-Table7[[#This Row],[United States 3y]],#N/A)</f>
        <v/>
      </c>
    </row>
    <row r="13080">
      <c r="A13080" s="6">
        <f>Database!$A15165</f>
        <v/>
      </c>
      <c r="B13080">
        <f>IF(VLOOKUP(Table7[[#This Row],[Date]],Database!$A:$C,MATCH($B$1,Database!$A$1:$C$1,),)=0,#N/A,VLOOKUP(Table7[[#This Row],[Date]],Database!$A:$C,MATCH($B$1,Database!$A$1:$C$1,),))</f>
        <v/>
      </c>
      <c r="C13080">
        <f>IF(VLOOKUP(Table7[[#This Row],[Date]],Database!$A:$C,MATCH($C$1,Database!$A$1:$C$1,),)=0,#N/A,VLOOKUP(Table7[[#This Row],[Date]],Database!$A:$C,MATCH($C$1,Database!$A$1:$C$1,),))</f>
        <v/>
      </c>
      <c r="D13080">
        <f>IFERROR(Table7[[#This Row],[United States 10y]]-Table7[[#This Row],[United States 3y]],#N/A)</f>
        <v/>
      </c>
    </row>
    <row r="13081">
      <c r="A13081" s="6">
        <f>Database!$A15166</f>
        <v/>
      </c>
      <c r="B13081">
        <f>IF(VLOOKUP(Table7[[#This Row],[Date]],Database!$A:$C,MATCH($B$1,Database!$A$1:$C$1,),)=0,#N/A,VLOOKUP(Table7[[#This Row],[Date]],Database!$A:$C,MATCH($B$1,Database!$A$1:$C$1,),))</f>
        <v/>
      </c>
      <c r="C13081">
        <f>IF(VLOOKUP(Table7[[#This Row],[Date]],Database!$A:$C,MATCH($C$1,Database!$A$1:$C$1,),)=0,#N/A,VLOOKUP(Table7[[#This Row],[Date]],Database!$A:$C,MATCH($C$1,Database!$A$1:$C$1,),))</f>
        <v/>
      </c>
      <c r="D13081">
        <f>IFERROR(Table7[[#This Row],[United States 10y]]-Table7[[#This Row],[United States 3y]],#N/A)</f>
        <v/>
      </c>
    </row>
    <row r="13082">
      <c r="A13082" s="6">
        <f>Database!$A15167</f>
        <v/>
      </c>
      <c r="B13082">
        <f>IF(VLOOKUP(Table7[[#This Row],[Date]],Database!$A:$C,MATCH($B$1,Database!$A$1:$C$1,),)=0,#N/A,VLOOKUP(Table7[[#This Row],[Date]],Database!$A:$C,MATCH($B$1,Database!$A$1:$C$1,),))</f>
        <v/>
      </c>
      <c r="C13082">
        <f>IF(VLOOKUP(Table7[[#This Row],[Date]],Database!$A:$C,MATCH($C$1,Database!$A$1:$C$1,),)=0,#N/A,VLOOKUP(Table7[[#This Row],[Date]],Database!$A:$C,MATCH($C$1,Database!$A$1:$C$1,),))</f>
        <v/>
      </c>
      <c r="D13082">
        <f>IFERROR(Table7[[#This Row],[United States 10y]]-Table7[[#This Row],[United States 3y]],#N/A)</f>
        <v/>
      </c>
    </row>
    <row r="13083">
      <c r="A13083" s="6">
        <f>Database!$A15168</f>
        <v/>
      </c>
      <c r="B13083">
        <f>IF(VLOOKUP(Table7[[#This Row],[Date]],Database!$A:$C,MATCH($B$1,Database!$A$1:$C$1,),)=0,#N/A,VLOOKUP(Table7[[#This Row],[Date]],Database!$A:$C,MATCH($B$1,Database!$A$1:$C$1,),))</f>
        <v/>
      </c>
      <c r="C13083">
        <f>IF(VLOOKUP(Table7[[#This Row],[Date]],Database!$A:$C,MATCH($C$1,Database!$A$1:$C$1,),)=0,#N/A,VLOOKUP(Table7[[#This Row],[Date]],Database!$A:$C,MATCH($C$1,Database!$A$1:$C$1,),))</f>
        <v/>
      </c>
      <c r="D13083">
        <f>IFERROR(Table7[[#This Row],[United States 10y]]-Table7[[#This Row],[United States 3y]],#N/A)</f>
        <v/>
      </c>
    </row>
    <row r="13084">
      <c r="A13084" s="6">
        <f>Database!$A15169</f>
        <v/>
      </c>
      <c r="B13084">
        <f>IF(VLOOKUP(Table7[[#This Row],[Date]],Database!$A:$C,MATCH($B$1,Database!$A$1:$C$1,),)=0,#N/A,VLOOKUP(Table7[[#This Row],[Date]],Database!$A:$C,MATCH($B$1,Database!$A$1:$C$1,),))</f>
        <v/>
      </c>
      <c r="C13084">
        <f>IF(VLOOKUP(Table7[[#This Row],[Date]],Database!$A:$C,MATCH($C$1,Database!$A$1:$C$1,),)=0,#N/A,VLOOKUP(Table7[[#This Row],[Date]],Database!$A:$C,MATCH($C$1,Database!$A$1:$C$1,),))</f>
        <v/>
      </c>
      <c r="D13084">
        <f>IFERROR(Table7[[#This Row],[United States 10y]]-Table7[[#This Row],[United States 3y]],#N/A)</f>
        <v/>
      </c>
    </row>
    <row r="13085">
      <c r="A13085" s="6">
        <f>Database!$A15170</f>
        <v/>
      </c>
      <c r="B13085">
        <f>IF(VLOOKUP(Table7[[#This Row],[Date]],Database!$A:$C,MATCH($B$1,Database!$A$1:$C$1,),)=0,#N/A,VLOOKUP(Table7[[#This Row],[Date]],Database!$A:$C,MATCH($B$1,Database!$A$1:$C$1,),))</f>
        <v/>
      </c>
      <c r="C13085">
        <f>IF(VLOOKUP(Table7[[#This Row],[Date]],Database!$A:$C,MATCH($C$1,Database!$A$1:$C$1,),)=0,#N/A,VLOOKUP(Table7[[#This Row],[Date]],Database!$A:$C,MATCH($C$1,Database!$A$1:$C$1,),))</f>
        <v/>
      </c>
      <c r="D13085">
        <f>IFERROR(Table7[[#This Row],[United States 10y]]-Table7[[#This Row],[United States 3y]],#N/A)</f>
        <v/>
      </c>
    </row>
    <row r="13086">
      <c r="A13086" s="6">
        <f>Database!$A15171</f>
        <v/>
      </c>
      <c r="B13086">
        <f>IF(VLOOKUP(Table7[[#This Row],[Date]],Database!$A:$C,MATCH($B$1,Database!$A$1:$C$1,),)=0,#N/A,VLOOKUP(Table7[[#This Row],[Date]],Database!$A:$C,MATCH($B$1,Database!$A$1:$C$1,),))</f>
        <v/>
      </c>
      <c r="C13086">
        <f>IF(VLOOKUP(Table7[[#This Row],[Date]],Database!$A:$C,MATCH($C$1,Database!$A$1:$C$1,),)=0,#N/A,VLOOKUP(Table7[[#This Row],[Date]],Database!$A:$C,MATCH($C$1,Database!$A$1:$C$1,),))</f>
        <v/>
      </c>
      <c r="D13086">
        <f>IFERROR(Table7[[#This Row],[United States 10y]]-Table7[[#This Row],[United States 3y]],#N/A)</f>
        <v/>
      </c>
    </row>
    <row r="13087">
      <c r="A13087" s="6">
        <f>Database!$A15172</f>
        <v/>
      </c>
      <c r="B13087">
        <f>IF(VLOOKUP(Table7[[#This Row],[Date]],Database!$A:$C,MATCH($B$1,Database!$A$1:$C$1,),)=0,#N/A,VLOOKUP(Table7[[#This Row],[Date]],Database!$A:$C,MATCH($B$1,Database!$A$1:$C$1,),))</f>
        <v/>
      </c>
      <c r="C13087">
        <f>IF(VLOOKUP(Table7[[#This Row],[Date]],Database!$A:$C,MATCH($C$1,Database!$A$1:$C$1,),)=0,#N/A,VLOOKUP(Table7[[#This Row],[Date]],Database!$A:$C,MATCH($C$1,Database!$A$1:$C$1,),))</f>
        <v/>
      </c>
      <c r="D13087">
        <f>IFERROR(Table7[[#This Row],[United States 10y]]-Table7[[#This Row],[United States 3y]],#N/A)</f>
        <v/>
      </c>
    </row>
    <row r="13088">
      <c r="A13088" s="6">
        <f>Database!$A15173</f>
        <v/>
      </c>
      <c r="B13088">
        <f>IF(VLOOKUP(Table7[[#This Row],[Date]],Database!$A:$C,MATCH($B$1,Database!$A$1:$C$1,),)=0,#N/A,VLOOKUP(Table7[[#This Row],[Date]],Database!$A:$C,MATCH($B$1,Database!$A$1:$C$1,),))</f>
        <v/>
      </c>
      <c r="C13088">
        <f>IF(VLOOKUP(Table7[[#This Row],[Date]],Database!$A:$C,MATCH($C$1,Database!$A$1:$C$1,),)=0,#N/A,VLOOKUP(Table7[[#This Row],[Date]],Database!$A:$C,MATCH($C$1,Database!$A$1:$C$1,),))</f>
        <v/>
      </c>
      <c r="D13088">
        <f>IFERROR(Table7[[#This Row],[United States 10y]]-Table7[[#This Row],[United States 3y]],#N/A)</f>
        <v/>
      </c>
    </row>
    <row r="13089">
      <c r="A13089" s="6">
        <f>Database!$A15174</f>
        <v/>
      </c>
      <c r="B13089">
        <f>IF(VLOOKUP(Table7[[#This Row],[Date]],Database!$A:$C,MATCH($B$1,Database!$A$1:$C$1,),)=0,#N/A,VLOOKUP(Table7[[#This Row],[Date]],Database!$A:$C,MATCH($B$1,Database!$A$1:$C$1,),))</f>
        <v/>
      </c>
      <c r="C13089">
        <f>IF(VLOOKUP(Table7[[#This Row],[Date]],Database!$A:$C,MATCH($C$1,Database!$A$1:$C$1,),)=0,#N/A,VLOOKUP(Table7[[#This Row],[Date]],Database!$A:$C,MATCH($C$1,Database!$A$1:$C$1,),))</f>
        <v/>
      </c>
      <c r="D13089">
        <f>IFERROR(Table7[[#This Row],[United States 10y]]-Table7[[#This Row],[United States 3y]],#N/A)</f>
        <v/>
      </c>
    </row>
    <row r="13090">
      <c r="A13090" s="6">
        <f>Database!$A15175</f>
        <v/>
      </c>
      <c r="B13090">
        <f>IF(VLOOKUP(Table7[[#This Row],[Date]],Database!$A:$C,MATCH($B$1,Database!$A$1:$C$1,),)=0,#N/A,VLOOKUP(Table7[[#This Row],[Date]],Database!$A:$C,MATCH($B$1,Database!$A$1:$C$1,),))</f>
        <v/>
      </c>
      <c r="C13090">
        <f>IF(VLOOKUP(Table7[[#This Row],[Date]],Database!$A:$C,MATCH($C$1,Database!$A$1:$C$1,),)=0,#N/A,VLOOKUP(Table7[[#This Row],[Date]],Database!$A:$C,MATCH($C$1,Database!$A$1:$C$1,),))</f>
        <v/>
      </c>
      <c r="D13090">
        <f>IFERROR(Table7[[#This Row],[United States 10y]]-Table7[[#This Row],[United States 3y]],#N/A)</f>
        <v/>
      </c>
    </row>
    <row r="13091">
      <c r="A13091" s="6">
        <f>Database!$A15176</f>
        <v/>
      </c>
      <c r="B13091">
        <f>IF(VLOOKUP(Table7[[#This Row],[Date]],Database!$A:$C,MATCH($B$1,Database!$A$1:$C$1,),)=0,#N/A,VLOOKUP(Table7[[#This Row],[Date]],Database!$A:$C,MATCH($B$1,Database!$A$1:$C$1,),))</f>
        <v/>
      </c>
      <c r="C13091">
        <f>IF(VLOOKUP(Table7[[#This Row],[Date]],Database!$A:$C,MATCH($C$1,Database!$A$1:$C$1,),)=0,#N/A,VLOOKUP(Table7[[#This Row],[Date]],Database!$A:$C,MATCH($C$1,Database!$A$1:$C$1,),))</f>
        <v/>
      </c>
      <c r="D13091">
        <f>IFERROR(Table7[[#This Row],[United States 10y]]-Table7[[#This Row],[United States 3y]],#N/A)</f>
        <v/>
      </c>
    </row>
    <row r="13092">
      <c r="A13092" s="6">
        <f>Database!$A15177</f>
        <v/>
      </c>
      <c r="B13092">
        <f>IF(VLOOKUP(Table7[[#This Row],[Date]],Database!$A:$C,MATCH($B$1,Database!$A$1:$C$1,),)=0,#N/A,VLOOKUP(Table7[[#This Row],[Date]],Database!$A:$C,MATCH($B$1,Database!$A$1:$C$1,),))</f>
        <v/>
      </c>
      <c r="C13092">
        <f>IF(VLOOKUP(Table7[[#This Row],[Date]],Database!$A:$C,MATCH($C$1,Database!$A$1:$C$1,),)=0,#N/A,VLOOKUP(Table7[[#This Row],[Date]],Database!$A:$C,MATCH($C$1,Database!$A$1:$C$1,),))</f>
        <v/>
      </c>
      <c r="D13092">
        <f>IFERROR(Table7[[#This Row],[United States 10y]]-Table7[[#This Row],[United States 3y]],#N/A)</f>
        <v/>
      </c>
    </row>
    <row r="13093">
      <c r="A13093" s="6">
        <f>Database!$A15178</f>
        <v/>
      </c>
      <c r="B13093">
        <f>IF(VLOOKUP(Table7[[#This Row],[Date]],Database!$A:$C,MATCH($B$1,Database!$A$1:$C$1,),)=0,#N/A,VLOOKUP(Table7[[#This Row],[Date]],Database!$A:$C,MATCH($B$1,Database!$A$1:$C$1,),))</f>
        <v/>
      </c>
      <c r="C13093">
        <f>IF(VLOOKUP(Table7[[#This Row],[Date]],Database!$A:$C,MATCH($C$1,Database!$A$1:$C$1,),)=0,#N/A,VLOOKUP(Table7[[#This Row],[Date]],Database!$A:$C,MATCH($C$1,Database!$A$1:$C$1,),))</f>
        <v/>
      </c>
      <c r="D13093">
        <f>IFERROR(Table7[[#This Row],[United States 10y]]-Table7[[#This Row],[United States 3y]],#N/A)</f>
        <v/>
      </c>
    </row>
    <row r="13094">
      <c r="A13094" s="6">
        <f>Database!$A15179</f>
        <v/>
      </c>
      <c r="B13094">
        <f>IF(VLOOKUP(Table7[[#This Row],[Date]],Database!$A:$C,MATCH($B$1,Database!$A$1:$C$1,),)=0,#N/A,VLOOKUP(Table7[[#This Row],[Date]],Database!$A:$C,MATCH($B$1,Database!$A$1:$C$1,),))</f>
        <v/>
      </c>
      <c r="C13094">
        <f>IF(VLOOKUP(Table7[[#This Row],[Date]],Database!$A:$C,MATCH($C$1,Database!$A$1:$C$1,),)=0,#N/A,VLOOKUP(Table7[[#This Row],[Date]],Database!$A:$C,MATCH($C$1,Database!$A$1:$C$1,),))</f>
        <v/>
      </c>
      <c r="D13094">
        <f>IFERROR(Table7[[#This Row],[United States 10y]]-Table7[[#This Row],[United States 3y]],#N/A)</f>
        <v/>
      </c>
    </row>
    <row r="13095">
      <c r="A13095" s="6">
        <f>Database!$A15180</f>
        <v/>
      </c>
      <c r="B13095">
        <f>IF(VLOOKUP(Table7[[#This Row],[Date]],Database!$A:$C,MATCH($B$1,Database!$A$1:$C$1,),)=0,#N/A,VLOOKUP(Table7[[#This Row],[Date]],Database!$A:$C,MATCH($B$1,Database!$A$1:$C$1,),))</f>
        <v/>
      </c>
      <c r="C13095">
        <f>IF(VLOOKUP(Table7[[#This Row],[Date]],Database!$A:$C,MATCH($C$1,Database!$A$1:$C$1,),)=0,#N/A,VLOOKUP(Table7[[#This Row],[Date]],Database!$A:$C,MATCH($C$1,Database!$A$1:$C$1,),))</f>
        <v/>
      </c>
      <c r="D13095">
        <f>IFERROR(Table7[[#This Row],[United States 10y]]-Table7[[#This Row],[United States 3y]],#N/A)</f>
        <v/>
      </c>
    </row>
    <row r="13096">
      <c r="A13096" s="6">
        <f>Database!$A15181</f>
        <v/>
      </c>
      <c r="B13096">
        <f>IF(VLOOKUP(Table7[[#This Row],[Date]],Database!$A:$C,MATCH($B$1,Database!$A$1:$C$1,),)=0,#N/A,VLOOKUP(Table7[[#This Row],[Date]],Database!$A:$C,MATCH($B$1,Database!$A$1:$C$1,),))</f>
        <v/>
      </c>
      <c r="C13096">
        <f>IF(VLOOKUP(Table7[[#This Row],[Date]],Database!$A:$C,MATCH($C$1,Database!$A$1:$C$1,),)=0,#N/A,VLOOKUP(Table7[[#This Row],[Date]],Database!$A:$C,MATCH($C$1,Database!$A$1:$C$1,),))</f>
        <v/>
      </c>
      <c r="D13096">
        <f>IFERROR(Table7[[#This Row],[United States 10y]]-Table7[[#This Row],[United States 3y]],#N/A)</f>
        <v/>
      </c>
    </row>
    <row r="13097">
      <c r="A13097" s="6">
        <f>Database!$A15182</f>
        <v/>
      </c>
      <c r="B13097">
        <f>IF(VLOOKUP(Table7[[#This Row],[Date]],Database!$A:$C,MATCH($B$1,Database!$A$1:$C$1,),)=0,#N/A,VLOOKUP(Table7[[#This Row],[Date]],Database!$A:$C,MATCH($B$1,Database!$A$1:$C$1,),))</f>
        <v/>
      </c>
      <c r="C13097">
        <f>IF(VLOOKUP(Table7[[#This Row],[Date]],Database!$A:$C,MATCH($C$1,Database!$A$1:$C$1,),)=0,#N/A,VLOOKUP(Table7[[#This Row],[Date]],Database!$A:$C,MATCH($C$1,Database!$A$1:$C$1,),))</f>
        <v/>
      </c>
      <c r="D13097">
        <f>IFERROR(Table7[[#This Row],[United States 10y]]-Table7[[#This Row],[United States 3y]],#N/A)</f>
        <v/>
      </c>
    </row>
    <row r="13098">
      <c r="A13098" s="6">
        <f>Database!$A15183</f>
        <v/>
      </c>
      <c r="B13098">
        <f>IF(VLOOKUP(Table7[[#This Row],[Date]],Database!$A:$C,MATCH($B$1,Database!$A$1:$C$1,),)=0,#N/A,VLOOKUP(Table7[[#This Row],[Date]],Database!$A:$C,MATCH($B$1,Database!$A$1:$C$1,),))</f>
        <v/>
      </c>
      <c r="C13098">
        <f>IF(VLOOKUP(Table7[[#This Row],[Date]],Database!$A:$C,MATCH($C$1,Database!$A$1:$C$1,),)=0,#N/A,VLOOKUP(Table7[[#This Row],[Date]],Database!$A:$C,MATCH($C$1,Database!$A$1:$C$1,),))</f>
        <v/>
      </c>
      <c r="D13098">
        <f>IFERROR(Table7[[#This Row],[United States 10y]]-Table7[[#This Row],[United States 3y]],#N/A)</f>
        <v/>
      </c>
    </row>
    <row r="13099">
      <c r="A13099" s="6">
        <f>Database!$A15184</f>
        <v/>
      </c>
      <c r="B13099">
        <f>IF(VLOOKUP(Table7[[#This Row],[Date]],Database!$A:$C,MATCH($B$1,Database!$A$1:$C$1,),)=0,#N/A,VLOOKUP(Table7[[#This Row],[Date]],Database!$A:$C,MATCH($B$1,Database!$A$1:$C$1,),))</f>
        <v/>
      </c>
      <c r="C13099">
        <f>IF(VLOOKUP(Table7[[#This Row],[Date]],Database!$A:$C,MATCH($C$1,Database!$A$1:$C$1,),)=0,#N/A,VLOOKUP(Table7[[#This Row],[Date]],Database!$A:$C,MATCH($C$1,Database!$A$1:$C$1,),))</f>
        <v/>
      </c>
      <c r="D13099">
        <f>IFERROR(Table7[[#This Row],[United States 10y]]-Table7[[#This Row],[United States 3y]],#N/A)</f>
        <v/>
      </c>
    </row>
    <row r="13100">
      <c r="A13100" s="6">
        <f>Database!$A15185</f>
        <v/>
      </c>
      <c r="B13100">
        <f>IF(VLOOKUP(Table7[[#This Row],[Date]],Database!$A:$C,MATCH($B$1,Database!$A$1:$C$1,),)=0,#N/A,VLOOKUP(Table7[[#This Row],[Date]],Database!$A:$C,MATCH($B$1,Database!$A$1:$C$1,),))</f>
        <v/>
      </c>
      <c r="C13100">
        <f>IF(VLOOKUP(Table7[[#This Row],[Date]],Database!$A:$C,MATCH($C$1,Database!$A$1:$C$1,),)=0,#N/A,VLOOKUP(Table7[[#This Row],[Date]],Database!$A:$C,MATCH($C$1,Database!$A$1:$C$1,),))</f>
        <v/>
      </c>
      <c r="D13100">
        <f>IFERROR(Table7[[#This Row],[United States 10y]]-Table7[[#This Row],[United States 3y]],#N/A)</f>
        <v/>
      </c>
    </row>
    <row r="13101">
      <c r="A13101" s="6">
        <f>Database!$A15186</f>
        <v/>
      </c>
      <c r="B13101">
        <f>IF(VLOOKUP(Table7[[#This Row],[Date]],Database!$A:$C,MATCH($B$1,Database!$A$1:$C$1,),)=0,#N/A,VLOOKUP(Table7[[#This Row],[Date]],Database!$A:$C,MATCH($B$1,Database!$A$1:$C$1,),))</f>
        <v/>
      </c>
      <c r="C13101">
        <f>IF(VLOOKUP(Table7[[#This Row],[Date]],Database!$A:$C,MATCH($C$1,Database!$A$1:$C$1,),)=0,#N/A,VLOOKUP(Table7[[#This Row],[Date]],Database!$A:$C,MATCH($C$1,Database!$A$1:$C$1,),))</f>
        <v/>
      </c>
      <c r="D13101">
        <f>IFERROR(Table7[[#This Row],[United States 10y]]-Table7[[#This Row],[United States 3y]],#N/A)</f>
        <v/>
      </c>
    </row>
    <row r="13102">
      <c r="A13102" s="6">
        <f>Database!$A15187</f>
        <v/>
      </c>
      <c r="B13102">
        <f>IF(VLOOKUP(Table7[[#This Row],[Date]],Database!$A:$C,MATCH($B$1,Database!$A$1:$C$1,),)=0,#N/A,VLOOKUP(Table7[[#This Row],[Date]],Database!$A:$C,MATCH($B$1,Database!$A$1:$C$1,),))</f>
        <v/>
      </c>
      <c r="C13102">
        <f>IF(VLOOKUP(Table7[[#This Row],[Date]],Database!$A:$C,MATCH($C$1,Database!$A$1:$C$1,),)=0,#N/A,VLOOKUP(Table7[[#This Row],[Date]],Database!$A:$C,MATCH($C$1,Database!$A$1:$C$1,),))</f>
        <v/>
      </c>
      <c r="D13102">
        <f>IFERROR(Table7[[#This Row],[United States 10y]]-Table7[[#This Row],[United States 3y]],#N/A)</f>
        <v/>
      </c>
    </row>
    <row r="13103">
      <c r="A13103" s="6">
        <f>Database!$A15188</f>
        <v/>
      </c>
      <c r="B13103">
        <f>IF(VLOOKUP(Table7[[#This Row],[Date]],Database!$A:$C,MATCH($B$1,Database!$A$1:$C$1,),)=0,#N/A,VLOOKUP(Table7[[#This Row],[Date]],Database!$A:$C,MATCH($B$1,Database!$A$1:$C$1,),))</f>
        <v/>
      </c>
      <c r="C13103">
        <f>IF(VLOOKUP(Table7[[#This Row],[Date]],Database!$A:$C,MATCH($C$1,Database!$A$1:$C$1,),)=0,#N/A,VLOOKUP(Table7[[#This Row],[Date]],Database!$A:$C,MATCH($C$1,Database!$A$1:$C$1,),))</f>
        <v/>
      </c>
      <c r="D13103">
        <f>IFERROR(Table7[[#This Row],[United States 10y]]-Table7[[#This Row],[United States 3y]],#N/A)</f>
        <v/>
      </c>
    </row>
    <row r="13104">
      <c r="A13104" s="6">
        <f>Database!$A15189</f>
        <v/>
      </c>
      <c r="B13104">
        <f>IF(VLOOKUP(Table7[[#This Row],[Date]],Database!$A:$C,MATCH($B$1,Database!$A$1:$C$1,),)=0,#N/A,VLOOKUP(Table7[[#This Row],[Date]],Database!$A:$C,MATCH($B$1,Database!$A$1:$C$1,),))</f>
        <v/>
      </c>
      <c r="C13104">
        <f>IF(VLOOKUP(Table7[[#This Row],[Date]],Database!$A:$C,MATCH($C$1,Database!$A$1:$C$1,),)=0,#N/A,VLOOKUP(Table7[[#This Row],[Date]],Database!$A:$C,MATCH($C$1,Database!$A$1:$C$1,),))</f>
        <v/>
      </c>
      <c r="D13104">
        <f>IFERROR(Table7[[#This Row],[United States 10y]]-Table7[[#This Row],[United States 3y]],#N/A)</f>
        <v/>
      </c>
    </row>
    <row r="13105">
      <c r="A13105" s="6">
        <f>Database!$A15190</f>
        <v/>
      </c>
      <c r="B13105">
        <f>IF(VLOOKUP(Table7[[#This Row],[Date]],Database!$A:$C,MATCH($B$1,Database!$A$1:$C$1,),)=0,#N/A,VLOOKUP(Table7[[#This Row],[Date]],Database!$A:$C,MATCH($B$1,Database!$A$1:$C$1,),))</f>
        <v/>
      </c>
      <c r="C13105">
        <f>IF(VLOOKUP(Table7[[#This Row],[Date]],Database!$A:$C,MATCH($C$1,Database!$A$1:$C$1,),)=0,#N/A,VLOOKUP(Table7[[#This Row],[Date]],Database!$A:$C,MATCH($C$1,Database!$A$1:$C$1,),))</f>
        <v/>
      </c>
      <c r="D13105">
        <f>IFERROR(Table7[[#This Row],[United States 10y]]-Table7[[#This Row],[United States 3y]],#N/A)</f>
        <v/>
      </c>
    </row>
    <row r="13106">
      <c r="A13106" s="6">
        <f>Database!$A15191</f>
        <v/>
      </c>
      <c r="B13106">
        <f>IF(VLOOKUP(Table7[[#This Row],[Date]],Database!$A:$C,MATCH($B$1,Database!$A$1:$C$1,),)=0,#N/A,VLOOKUP(Table7[[#This Row],[Date]],Database!$A:$C,MATCH($B$1,Database!$A$1:$C$1,),))</f>
        <v/>
      </c>
      <c r="C13106">
        <f>IF(VLOOKUP(Table7[[#This Row],[Date]],Database!$A:$C,MATCH($C$1,Database!$A$1:$C$1,),)=0,#N/A,VLOOKUP(Table7[[#This Row],[Date]],Database!$A:$C,MATCH($C$1,Database!$A$1:$C$1,),))</f>
        <v/>
      </c>
      <c r="D13106">
        <f>IFERROR(Table7[[#This Row],[United States 10y]]-Table7[[#This Row],[United States 3y]],#N/A)</f>
        <v/>
      </c>
    </row>
    <row r="13107">
      <c r="A13107" s="6">
        <f>Database!$A15192</f>
        <v/>
      </c>
      <c r="B13107">
        <f>IF(VLOOKUP(Table7[[#This Row],[Date]],Database!$A:$C,MATCH($B$1,Database!$A$1:$C$1,),)=0,#N/A,VLOOKUP(Table7[[#This Row],[Date]],Database!$A:$C,MATCH($B$1,Database!$A$1:$C$1,),))</f>
        <v/>
      </c>
      <c r="C13107">
        <f>IF(VLOOKUP(Table7[[#This Row],[Date]],Database!$A:$C,MATCH($C$1,Database!$A$1:$C$1,),)=0,#N/A,VLOOKUP(Table7[[#This Row],[Date]],Database!$A:$C,MATCH($C$1,Database!$A$1:$C$1,),))</f>
        <v/>
      </c>
      <c r="D13107">
        <f>IFERROR(Table7[[#This Row],[United States 10y]]-Table7[[#This Row],[United States 3y]],#N/A)</f>
        <v/>
      </c>
    </row>
    <row r="13108">
      <c r="A13108" s="6">
        <f>Database!$A15193</f>
        <v/>
      </c>
      <c r="B13108">
        <f>IF(VLOOKUP(Table7[[#This Row],[Date]],Database!$A:$C,MATCH($B$1,Database!$A$1:$C$1,),)=0,#N/A,VLOOKUP(Table7[[#This Row],[Date]],Database!$A:$C,MATCH($B$1,Database!$A$1:$C$1,),))</f>
        <v/>
      </c>
      <c r="C13108">
        <f>IF(VLOOKUP(Table7[[#This Row],[Date]],Database!$A:$C,MATCH($C$1,Database!$A$1:$C$1,),)=0,#N/A,VLOOKUP(Table7[[#This Row],[Date]],Database!$A:$C,MATCH($C$1,Database!$A$1:$C$1,),))</f>
        <v/>
      </c>
      <c r="D13108">
        <f>IFERROR(Table7[[#This Row],[United States 10y]]-Table7[[#This Row],[United States 3y]],#N/A)</f>
        <v/>
      </c>
    </row>
    <row r="13109">
      <c r="A13109" s="6">
        <f>Database!$A15194</f>
        <v/>
      </c>
      <c r="B13109">
        <f>IF(VLOOKUP(Table7[[#This Row],[Date]],Database!$A:$C,MATCH($B$1,Database!$A$1:$C$1,),)=0,#N/A,VLOOKUP(Table7[[#This Row],[Date]],Database!$A:$C,MATCH($B$1,Database!$A$1:$C$1,),))</f>
        <v/>
      </c>
      <c r="C13109">
        <f>IF(VLOOKUP(Table7[[#This Row],[Date]],Database!$A:$C,MATCH($C$1,Database!$A$1:$C$1,),)=0,#N/A,VLOOKUP(Table7[[#This Row],[Date]],Database!$A:$C,MATCH($C$1,Database!$A$1:$C$1,),))</f>
        <v/>
      </c>
      <c r="D13109">
        <f>IFERROR(Table7[[#This Row],[United States 10y]]-Table7[[#This Row],[United States 3y]],#N/A)</f>
        <v/>
      </c>
    </row>
    <row r="13110">
      <c r="A13110" s="6">
        <f>Database!$A15195</f>
        <v/>
      </c>
      <c r="B13110">
        <f>IF(VLOOKUP(Table7[[#This Row],[Date]],Database!$A:$C,MATCH($B$1,Database!$A$1:$C$1,),)=0,#N/A,VLOOKUP(Table7[[#This Row],[Date]],Database!$A:$C,MATCH($B$1,Database!$A$1:$C$1,),))</f>
        <v/>
      </c>
      <c r="C13110">
        <f>IF(VLOOKUP(Table7[[#This Row],[Date]],Database!$A:$C,MATCH($C$1,Database!$A$1:$C$1,),)=0,#N/A,VLOOKUP(Table7[[#This Row],[Date]],Database!$A:$C,MATCH($C$1,Database!$A$1:$C$1,),))</f>
        <v/>
      </c>
      <c r="D13110">
        <f>IFERROR(Table7[[#This Row],[United States 10y]]-Table7[[#This Row],[United States 3y]],#N/A)</f>
        <v/>
      </c>
    </row>
    <row r="13111">
      <c r="A13111" s="6">
        <f>Database!$A15196</f>
        <v/>
      </c>
      <c r="B13111">
        <f>IF(VLOOKUP(Table7[[#This Row],[Date]],Database!$A:$C,MATCH($B$1,Database!$A$1:$C$1,),)=0,#N/A,VLOOKUP(Table7[[#This Row],[Date]],Database!$A:$C,MATCH($B$1,Database!$A$1:$C$1,),))</f>
        <v/>
      </c>
      <c r="C13111">
        <f>IF(VLOOKUP(Table7[[#This Row],[Date]],Database!$A:$C,MATCH($C$1,Database!$A$1:$C$1,),)=0,#N/A,VLOOKUP(Table7[[#This Row],[Date]],Database!$A:$C,MATCH($C$1,Database!$A$1:$C$1,),))</f>
        <v/>
      </c>
      <c r="D13111">
        <f>IFERROR(Table7[[#This Row],[United States 10y]]-Table7[[#This Row],[United States 3y]],#N/A)</f>
        <v/>
      </c>
    </row>
    <row r="13112">
      <c r="A13112" s="6">
        <f>Database!$A15197</f>
        <v/>
      </c>
      <c r="B13112">
        <f>IF(VLOOKUP(Table7[[#This Row],[Date]],Database!$A:$C,MATCH($B$1,Database!$A$1:$C$1,),)=0,#N/A,VLOOKUP(Table7[[#This Row],[Date]],Database!$A:$C,MATCH($B$1,Database!$A$1:$C$1,),))</f>
        <v/>
      </c>
      <c r="C13112">
        <f>IF(VLOOKUP(Table7[[#This Row],[Date]],Database!$A:$C,MATCH($C$1,Database!$A$1:$C$1,),)=0,#N/A,VLOOKUP(Table7[[#This Row],[Date]],Database!$A:$C,MATCH($C$1,Database!$A$1:$C$1,),))</f>
        <v/>
      </c>
      <c r="D13112">
        <f>IFERROR(Table7[[#This Row],[United States 10y]]-Table7[[#This Row],[United States 3y]],#N/A)</f>
        <v/>
      </c>
    </row>
    <row r="13113">
      <c r="A13113" s="6">
        <f>Database!$A15198</f>
        <v/>
      </c>
      <c r="B13113">
        <f>IF(VLOOKUP(Table7[[#This Row],[Date]],Database!$A:$C,MATCH($B$1,Database!$A$1:$C$1,),)=0,#N/A,VLOOKUP(Table7[[#This Row],[Date]],Database!$A:$C,MATCH($B$1,Database!$A$1:$C$1,),))</f>
        <v/>
      </c>
      <c r="C13113">
        <f>IF(VLOOKUP(Table7[[#This Row],[Date]],Database!$A:$C,MATCH($C$1,Database!$A$1:$C$1,),)=0,#N/A,VLOOKUP(Table7[[#This Row],[Date]],Database!$A:$C,MATCH($C$1,Database!$A$1:$C$1,),))</f>
        <v/>
      </c>
      <c r="D13113">
        <f>IFERROR(Table7[[#This Row],[United States 10y]]-Table7[[#This Row],[United States 3y]],#N/A)</f>
        <v/>
      </c>
    </row>
    <row r="13114">
      <c r="A13114" s="6">
        <f>Database!$A15199</f>
        <v/>
      </c>
      <c r="B13114">
        <f>IF(VLOOKUP(Table7[[#This Row],[Date]],Database!$A:$C,MATCH($B$1,Database!$A$1:$C$1,),)=0,#N/A,VLOOKUP(Table7[[#This Row],[Date]],Database!$A:$C,MATCH($B$1,Database!$A$1:$C$1,),))</f>
        <v/>
      </c>
      <c r="C13114">
        <f>IF(VLOOKUP(Table7[[#This Row],[Date]],Database!$A:$C,MATCH($C$1,Database!$A$1:$C$1,),)=0,#N/A,VLOOKUP(Table7[[#This Row],[Date]],Database!$A:$C,MATCH($C$1,Database!$A$1:$C$1,),))</f>
        <v/>
      </c>
      <c r="D13114">
        <f>IFERROR(Table7[[#This Row],[United States 10y]]-Table7[[#This Row],[United States 3y]],#N/A)</f>
        <v/>
      </c>
    </row>
    <row r="13115">
      <c r="A13115" s="6">
        <f>Database!$A15200</f>
        <v/>
      </c>
      <c r="B13115">
        <f>IF(VLOOKUP(Table7[[#This Row],[Date]],Database!$A:$C,MATCH($B$1,Database!$A$1:$C$1,),)=0,#N/A,VLOOKUP(Table7[[#This Row],[Date]],Database!$A:$C,MATCH($B$1,Database!$A$1:$C$1,),))</f>
        <v/>
      </c>
      <c r="C13115">
        <f>IF(VLOOKUP(Table7[[#This Row],[Date]],Database!$A:$C,MATCH($C$1,Database!$A$1:$C$1,),)=0,#N/A,VLOOKUP(Table7[[#This Row],[Date]],Database!$A:$C,MATCH($C$1,Database!$A$1:$C$1,),))</f>
        <v/>
      </c>
      <c r="D13115">
        <f>IFERROR(Table7[[#This Row],[United States 10y]]-Table7[[#This Row],[United States 3y]],#N/A)</f>
        <v/>
      </c>
    </row>
    <row r="13116">
      <c r="A13116" s="6">
        <f>Database!$A15201</f>
        <v/>
      </c>
      <c r="B13116">
        <f>IF(VLOOKUP(Table7[[#This Row],[Date]],Database!$A:$C,MATCH($B$1,Database!$A$1:$C$1,),)=0,#N/A,VLOOKUP(Table7[[#This Row],[Date]],Database!$A:$C,MATCH($B$1,Database!$A$1:$C$1,),))</f>
        <v/>
      </c>
      <c r="C13116">
        <f>IF(VLOOKUP(Table7[[#This Row],[Date]],Database!$A:$C,MATCH($C$1,Database!$A$1:$C$1,),)=0,#N/A,VLOOKUP(Table7[[#This Row],[Date]],Database!$A:$C,MATCH($C$1,Database!$A$1:$C$1,),))</f>
        <v/>
      </c>
      <c r="D13116">
        <f>IFERROR(Table7[[#This Row],[United States 10y]]-Table7[[#This Row],[United States 3y]],#N/A)</f>
        <v/>
      </c>
    </row>
    <row r="13117">
      <c r="A13117" s="6">
        <f>Database!$A15202</f>
        <v/>
      </c>
      <c r="B13117">
        <f>IF(VLOOKUP(Table7[[#This Row],[Date]],Database!$A:$C,MATCH($B$1,Database!$A$1:$C$1,),)=0,#N/A,VLOOKUP(Table7[[#This Row],[Date]],Database!$A:$C,MATCH($B$1,Database!$A$1:$C$1,),))</f>
        <v/>
      </c>
      <c r="C13117">
        <f>IF(VLOOKUP(Table7[[#This Row],[Date]],Database!$A:$C,MATCH($C$1,Database!$A$1:$C$1,),)=0,#N/A,VLOOKUP(Table7[[#This Row],[Date]],Database!$A:$C,MATCH($C$1,Database!$A$1:$C$1,),))</f>
        <v/>
      </c>
      <c r="D13117">
        <f>IFERROR(Table7[[#This Row],[United States 10y]]-Table7[[#This Row],[United States 3y]],#N/A)</f>
        <v/>
      </c>
    </row>
    <row r="13118">
      <c r="A13118" s="6">
        <f>Database!$A15203</f>
        <v/>
      </c>
      <c r="B13118">
        <f>IF(VLOOKUP(Table7[[#This Row],[Date]],Database!$A:$C,MATCH($B$1,Database!$A$1:$C$1,),)=0,#N/A,VLOOKUP(Table7[[#This Row],[Date]],Database!$A:$C,MATCH($B$1,Database!$A$1:$C$1,),))</f>
        <v/>
      </c>
      <c r="C13118">
        <f>IF(VLOOKUP(Table7[[#This Row],[Date]],Database!$A:$C,MATCH($C$1,Database!$A$1:$C$1,),)=0,#N/A,VLOOKUP(Table7[[#This Row],[Date]],Database!$A:$C,MATCH($C$1,Database!$A$1:$C$1,),))</f>
        <v/>
      </c>
      <c r="D13118">
        <f>IFERROR(Table7[[#This Row],[United States 10y]]-Table7[[#This Row],[United States 3y]],#N/A)</f>
        <v/>
      </c>
    </row>
    <row r="13119">
      <c r="A13119" s="6">
        <f>Database!$A15204</f>
        <v/>
      </c>
      <c r="B13119">
        <f>IF(VLOOKUP(Table7[[#This Row],[Date]],Database!$A:$C,MATCH($B$1,Database!$A$1:$C$1,),)=0,#N/A,VLOOKUP(Table7[[#This Row],[Date]],Database!$A:$C,MATCH($B$1,Database!$A$1:$C$1,),))</f>
        <v/>
      </c>
      <c r="C13119">
        <f>IF(VLOOKUP(Table7[[#This Row],[Date]],Database!$A:$C,MATCH($C$1,Database!$A$1:$C$1,),)=0,#N/A,VLOOKUP(Table7[[#This Row],[Date]],Database!$A:$C,MATCH($C$1,Database!$A$1:$C$1,),))</f>
        <v/>
      </c>
      <c r="D13119">
        <f>IFERROR(Table7[[#This Row],[United States 10y]]-Table7[[#This Row],[United States 3y]],#N/A)</f>
        <v/>
      </c>
    </row>
    <row r="13120">
      <c r="A13120" s="6">
        <f>Database!$A15205</f>
        <v/>
      </c>
      <c r="B13120">
        <f>IF(VLOOKUP(Table7[[#This Row],[Date]],Database!$A:$C,MATCH($B$1,Database!$A$1:$C$1,),)=0,#N/A,VLOOKUP(Table7[[#This Row],[Date]],Database!$A:$C,MATCH($B$1,Database!$A$1:$C$1,),))</f>
        <v/>
      </c>
      <c r="C13120">
        <f>IF(VLOOKUP(Table7[[#This Row],[Date]],Database!$A:$C,MATCH($C$1,Database!$A$1:$C$1,),)=0,#N/A,VLOOKUP(Table7[[#This Row],[Date]],Database!$A:$C,MATCH($C$1,Database!$A$1:$C$1,),))</f>
        <v/>
      </c>
      <c r="D13120">
        <f>IFERROR(Table7[[#This Row],[United States 10y]]-Table7[[#This Row],[United States 3y]],#N/A)</f>
        <v/>
      </c>
    </row>
    <row r="13121">
      <c r="A13121" s="6">
        <f>Database!$A15206</f>
        <v/>
      </c>
      <c r="B13121">
        <f>IF(VLOOKUP(Table7[[#This Row],[Date]],Database!$A:$C,MATCH($B$1,Database!$A$1:$C$1,),)=0,#N/A,VLOOKUP(Table7[[#This Row],[Date]],Database!$A:$C,MATCH($B$1,Database!$A$1:$C$1,),))</f>
        <v/>
      </c>
      <c r="C13121">
        <f>IF(VLOOKUP(Table7[[#This Row],[Date]],Database!$A:$C,MATCH($C$1,Database!$A$1:$C$1,),)=0,#N/A,VLOOKUP(Table7[[#This Row],[Date]],Database!$A:$C,MATCH($C$1,Database!$A$1:$C$1,),))</f>
        <v/>
      </c>
      <c r="D13121">
        <f>IFERROR(Table7[[#This Row],[United States 10y]]-Table7[[#This Row],[United States 3y]],#N/A)</f>
        <v/>
      </c>
    </row>
    <row r="13122">
      <c r="A13122" s="6">
        <f>Database!$A15207</f>
        <v/>
      </c>
      <c r="B13122">
        <f>IF(VLOOKUP(Table7[[#This Row],[Date]],Database!$A:$C,MATCH($B$1,Database!$A$1:$C$1,),)=0,#N/A,VLOOKUP(Table7[[#This Row],[Date]],Database!$A:$C,MATCH($B$1,Database!$A$1:$C$1,),))</f>
        <v/>
      </c>
      <c r="C13122">
        <f>IF(VLOOKUP(Table7[[#This Row],[Date]],Database!$A:$C,MATCH($C$1,Database!$A$1:$C$1,),)=0,#N/A,VLOOKUP(Table7[[#This Row],[Date]],Database!$A:$C,MATCH($C$1,Database!$A$1:$C$1,),))</f>
        <v/>
      </c>
      <c r="D13122">
        <f>IFERROR(Table7[[#This Row],[United States 10y]]-Table7[[#This Row],[United States 3y]],#N/A)</f>
        <v/>
      </c>
    </row>
    <row r="13123">
      <c r="A13123" s="6">
        <f>Database!$A15208</f>
        <v/>
      </c>
      <c r="B13123">
        <f>IF(VLOOKUP(Table7[[#This Row],[Date]],Database!$A:$C,MATCH($B$1,Database!$A$1:$C$1,),)=0,#N/A,VLOOKUP(Table7[[#This Row],[Date]],Database!$A:$C,MATCH($B$1,Database!$A$1:$C$1,),))</f>
        <v/>
      </c>
      <c r="C13123">
        <f>IF(VLOOKUP(Table7[[#This Row],[Date]],Database!$A:$C,MATCH($C$1,Database!$A$1:$C$1,),)=0,#N/A,VLOOKUP(Table7[[#This Row],[Date]],Database!$A:$C,MATCH($C$1,Database!$A$1:$C$1,),))</f>
        <v/>
      </c>
      <c r="D13123">
        <f>IFERROR(Table7[[#This Row],[United States 10y]]-Table7[[#This Row],[United States 3y]],#N/A)</f>
        <v/>
      </c>
    </row>
    <row r="13124">
      <c r="A13124" s="6">
        <f>Database!$A15209</f>
        <v/>
      </c>
      <c r="B13124">
        <f>IF(VLOOKUP(Table7[[#This Row],[Date]],Database!$A:$C,MATCH($B$1,Database!$A$1:$C$1,),)=0,#N/A,VLOOKUP(Table7[[#This Row],[Date]],Database!$A:$C,MATCH($B$1,Database!$A$1:$C$1,),))</f>
        <v/>
      </c>
      <c r="C13124">
        <f>IF(VLOOKUP(Table7[[#This Row],[Date]],Database!$A:$C,MATCH($C$1,Database!$A$1:$C$1,),)=0,#N/A,VLOOKUP(Table7[[#This Row],[Date]],Database!$A:$C,MATCH($C$1,Database!$A$1:$C$1,),))</f>
        <v/>
      </c>
      <c r="D13124">
        <f>IFERROR(Table7[[#This Row],[United States 10y]]-Table7[[#This Row],[United States 3y]],#N/A)</f>
        <v/>
      </c>
    </row>
    <row r="13125">
      <c r="A13125" s="6">
        <f>Database!$A15210</f>
        <v/>
      </c>
      <c r="B13125">
        <f>IF(VLOOKUP(Table7[[#This Row],[Date]],Database!$A:$C,MATCH($B$1,Database!$A$1:$C$1,),)=0,#N/A,VLOOKUP(Table7[[#This Row],[Date]],Database!$A:$C,MATCH($B$1,Database!$A$1:$C$1,),))</f>
        <v/>
      </c>
      <c r="C13125">
        <f>IF(VLOOKUP(Table7[[#This Row],[Date]],Database!$A:$C,MATCH($C$1,Database!$A$1:$C$1,),)=0,#N/A,VLOOKUP(Table7[[#This Row],[Date]],Database!$A:$C,MATCH($C$1,Database!$A$1:$C$1,),))</f>
        <v/>
      </c>
      <c r="D13125">
        <f>IFERROR(Table7[[#This Row],[United States 10y]]-Table7[[#This Row],[United States 3y]],#N/A)</f>
        <v/>
      </c>
    </row>
    <row r="13126">
      <c r="A13126" s="6">
        <f>Database!$A15211</f>
        <v/>
      </c>
      <c r="B13126">
        <f>IF(VLOOKUP(Table7[[#This Row],[Date]],Database!$A:$C,MATCH($B$1,Database!$A$1:$C$1,),)=0,#N/A,VLOOKUP(Table7[[#This Row],[Date]],Database!$A:$C,MATCH($B$1,Database!$A$1:$C$1,),))</f>
        <v/>
      </c>
      <c r="C13126">
        <f>IF(VLOOKUP(Table7[[#This Row],[Date]],Database!$A:$C,MATCH($C$1,Database!$A$1:$C$1,),)=0,#N/A,VLOOKUP(Table7[[#This Row],[Date]],Database!$A:$C,MATCH($C$1,Database!$A$1:$C$1,),))</f>
        <v/>
      </c>
      <c r="D13126">
        <f>IFERROR(Table7[[#This Row],[United States 10y]]-Table7[[#This Row],[United States 3y]],#N/A)</f>
        <v/>
      </c>
    </row>
    <row r="13127">
      <c r="A13127" s="6">
        <f>Database!$A15212</f>
        <v/>
      </c>
      <c r="B13127">
        <f>IF(VLOOKUP(Table7[[#This Row],[Date]],Database!$A:$C,MATCH($B$1,Database!$A$1:$C$1,),)=0,#N/A,VLOOKUP(Table7[[#This Row],[Date]],Database!$A:$C,MATCH($B$1,Database!$A$1:$C$1,),))</f>
        <v/>
      </c>
      <c r="C13127">
        <f>IF(VLOOKUP(Table7[[#This Row],[Date]],Database!$A:$C,MATCH($C$1,Database!$A$1:$C$1,),)=0,#N/A,VLOOKUP(Table7[[#This Row],[Date]],Database!$A:$C,MATCH($C$1,Database!$A$1:$C$1,),))</f>
        <v/>
      </c>
      <c r="D13127">
        <f>IFERROR(Table7[[#This Row],[United States 10y]]-Table7[[#This Row],[United States 3y]],#N/A)</f>
        <v/>
      </c>
    </row>
    <row r="13128">
      <c r="A13128" s="6">
        <f>Database!$A15213</f>
        <v/>
      </c>
      <c r="B13128">
        <f>IF(VLOOKUP(Table7[[#This Row],[Date]],Database!$A:$C,MATCH($B$1,Database!$A$1:$C$1,),)=0,#N/A,VLOOKUP(Table7[[#This Row],[Date]],Database!$A:$C,MATCH($B$1,Database!$A$1:$C$1,),))</f>
        <v/>
      </c>
      <c r="C13128">
        <f>IF(VLOOKUP(Table7[[#This Row],[Date]],Database!$A:$C,MATCH($C$1,Database!$A$1:$C$1,),)=0,#N/A,VLOOKUP(Table7[[#This Row],[Date]],Database!$A:$C,MATCH($C$1,Database!$A$1:$C$1,),))</f>
        <v/>
      </c>
      <c r="D13128">
        <f>IFERROR(Table7[[#This Row],[United States 10y]]-Table7[[#This Row],[United States 3y]],#N/A)</f>
        <v/>
      </c>
    </row>
    <row r="13129">
      <c r="A13129" s="6">
        <f>Database!$A15214</f>
        <v/>
      </c>
      <c r="B13129">
        <f>IF(VLOOKUP(Table7[[#This Row],[Date]],Database!$A:$C,MATCH($B$1,Database!$A$1:$C$1,),)=0,#N/A,VLOOKUP(Table7[[#This Row],[Date]],Database!$A:$C,MATCH($B$1,Database!$A$1:$C$1,),))</f>
        <v/>
      </c>
      <c r="C13129">
        <f>IF(VLOOKUP(Table7[[#This Row],[Date]],Database!$A:$C,MATCH($C$1,Database!$A$1:$C$1,),)=0,#N/A,VLOOKUP(Table7[[#This Row],[Date]],Database!$A:$C,MATCH($C$1,Database!$A$1:$C$1,),))</f>
        <v/>
      </c>
      <c r="D13129">
        <f>IFERROR(Table7[[#This Row],[United States 10y]]-Table7[[#This Row],[United States 3y]],#N/A)</f>
        <v/>
      </c>
    </row>
    <row r="13130">
      <c r="A13130" s="6">
        <f>Database!$A15215</f>
        <v/>
      </c>
      <c r="B13130">
        <f>IF(VLOOKUP(Table7[[#This Row],[Date]],Database!$A:$C,MATCH($B$1,Database!$A$1:$C$1,),)=0,#N/A,VLOOKUP(Table7[[#This Row],[Date]],Database!$A:$C,MATCH($B$1,Database!$A$1:$C$1,),))</f>
        <v/>
      </c>
      <c r="C13130">
        <f>IF(VLOOKUP(Table7[[#This Row],[Date]],Database!$A:$C,MATCH($C$1,Database!$A$1:$C$1,),)=0,#N/A,VLOOKUP(Table7[[#This Row],[Date]],Database!$A:$C,MATCH($C$1,Database!$A$1:$C$1,),))</f>
        <v/>
      </c>
      <c r="D13130">
        <f>IFERROR(Table7[[#This Row],[United States 10y]]-Table7[[#This Row],[United States 3y]],#N/A)</f>
        <v/>
      </c>
    </row>
    <row r="13131">
      <c r="A13131" s="6">
        <f>Database!$A15216</f>
        <v/>
      </c>
      <c r="B13131">
        <f>IF(VLOOKUP(Table7[[#This Row],[Date]],Database!$A:$C,MATCH($B$1,Database!$A$1:$C$1,),)=0,#N/A,VLOOKUP(Table7[[#This Row],[Date]],Database!$A:$C,MATCH($B$1,Database!$A$1:$C$1,),))</f>
        <v/>
      </c>
      <c r="C13131">
        <f>IF(VLOOKUP(Table7[[#This Row],[Date]],Database!$A:$C,MATCH($C$1,Database!$A$1:$C$1,),)=0,#N/A,VLOOKUP(Table7[[#This Row],[Date]],Database!$A:$C,MATCH($C$1,Database!$A$1:$C$1,),))</f>
        <v/>
      </c>
      <c r="D13131">
        <f>IFERROR(Table7[[#This Row],[United States 10y]]-Table7[[#This Row],[United States 3y]],#N/A)</f>
        <v/>
      </c>
    </row>
    <row r="13132">
      <c r="A13132" s="6">
        <f>Database!$A15217</f>
        <v/>
      </c>
      <c r="B13132">
        <f>IF(VLOOKUP(Table7[[#This Row],[Date]],Database!$A:$C,MATCH($B$1,Database!$A$1:$C$1,),)=0,#N/A,VLOOKUP(Table7[[#This Row],[Date]],Database!$A:$C,MATCH($B$1,Database!$A$1:$C$1,),))</f>
        <v/>
      </c>
      <c r="C13132">
        <f>IF(VLOOKUP(Table7[[#This Row],[Date]],Database!$A:$C,MATCH($C$1,Database!$A$1:$C$1,),)=0,#N/A,VLOOKUP(Table7[[#This Row],[Date]],Database!$A:$C,MATCH($C$1,Database!$A$1:$C$1,),))</f>
        <v/>
      </c>
      <c r="D13132">
        <f>IFERROR(Table7[[#This Row],[United States 10y]]-Table7[[#This Row],[United States 3y]],#N/A)</f>
        <v/>
      </c>
    </row>
    <row r="13133">
      <c r="A13133" s="6">
        <f>Database!$A15218</f>
        <v/>
      </c>
      <c r="B13133">
        <f>IF(VLOOKUP(Table7[[#This Row],[Date]],Database!$A:$C,MATCH($B$1,Database!$A$1:$C$1,),)=0,#N/A,VLOOKUP(Table7[[#This Row],[Date]],Database!$A:$C,MATCH($B$1,Database!$A$1:$C$1,),))</f>
        <v/>
      </c>
      <c r="C13133">
        <f>IF(VLOOKUP(Table7[[#This Row],[Date]],Database!$A:$C,MATCH($C$1,Database!$A$1:$C$1,),)=0,#N/A,VLOOKUP(Table7[[#This Row],[Date]],Database!$A:$C,MATCH($C$1,Database!$A$1:$C$1,),))</f>
        <v/>
      </c>
      <c r="D13133">
        <f>IFERROR(Table7[[#This Row],[United States 10y]]-Table7[[#This Row],[United States 3y]],#N/A)</f>
        <v/>
      </c>
    </row>
    <row r="13134">
      <c r="A13134" s="6">
        <f>Database!$A15219</f>
        <v/>
      </c>
      <c r="B13134">
        <f>IF(VLOOKUP(Table7[[#This Row],[Date]],Database!$A:$C,MATCH($B$1,Database!$A$1:$C$1,),)=0,#N/A,VLOOKUP(Table7[[#This Row],[Date]],Database!$A:$C,MATCH($B$1,Database!$A$1:$C$1,),))</f>
        <v/>
      </c>
      <c r="C13134">
        <f>IF(VLOOKUP(Table7[[#This Row],[Date]],Database!$A:$C,MATCH($C$1,Database!$A$1:$C$1,),)=0,#N/A,VLOOKUP(Table7[[#This Row],[Date]],Database!$A:$C,MATCH($C$1,Database!$A$1:$C$1,),))</f>
        <v/>
      </c>
      <c r="D13134">
        <f>IFERROR(Table7[[#This Row],[United States 10y]]-Table7[[#This Row],[United States 3y]],#N/A)</f>
        <v/>
      </c>
    </row>
    <row r="13135">
      <c r="A13135" s="6">
        <f>Database!$A15220</f>
        <v/>
      </c>
      <c r="B13135">
        <f>IF(VLOOKUP(Table7[[#This Row],[Date]],Database!$A:$C,MATCH($B$1,Database!$A$1:$C$1,),)=0,#N/A,VLOOKUP(Table7[[#This Row],[Date]],Database!$A:$C,MATCH($B$1,Database!$A$1:$C$1,),))</f>
        <v/>
      </c>
      <c r="C13135">
        <f>IF(VLOOKUP(Table7[[#This Row],[Date]],Database!$A:$C,MATCH($C$1,Database!$A$1:$C$1,),)=0,#N/A,VLOOKUP(Table7[[#This Row],[Date]],Database!$A:$C,MATCH($C$1,Database!$A$1:$C$1,),))</f>
        <v/>
      </c>
      <c r="D13135">
        <f>IFERROR(Table7[[#This Row],[United States 10y]]-Table7[[#This Row],[United States 3y]],#N/A)</f>
        <v/>
      </c>
    </row>
    <row r="13136">
      <c r="A13136" s="6">
        <f>Database!$A15221</f>
        <v/>
      </c>
      <c r="B13136">
        <f>IF(VLOOKUP(Table7[[#This Row],[Date]],Database!$A:$C,MATCH($B$1,Database!$A$1:$C$1,),)=0,#N/A,VLOOKUP(Table7[[#This Row],[Date]],Database!$A:$C,MATCH($B$1,Database!$A$1:$C$1,),))</f>
        <v/>
      </c>
      <c r="C13136">
        <f>IF(VLOOKUP(Table7[[#This Row],[Date]],Database!$A:$C,MATCH($C$1,Database!$A$1:$C$1,),)=0,#N/A,VLOOKUP(Table7[[#This Row],[Date]],Database!$A:$C,MATCH($C$1,Database!$A$1:$C$1,),))</f>
        <v/>
      </c>
      <c r="D13136">
        <f>IFERROR(Table7[[#This Row],[United States 10y]]-Table7[[#This Row],[United States 3y]],#N/A)</f>
        <v/>
      </c>
    </row>
    <row r="13137">
      <c r="A13137" s="6">
        <f>Database!$A15222</f>
        <v/>
      </c>
      <c r="B13137">
        <f>IF(VLOOKUP(Table7[[#This Row],[Date]],Database!$A:$C,MATCH($B$1,Database!$A$1:$C$1,),)=0,#N/A,VLOOKUP(Table7[[#This Row],[Date]],Database!$A:$C,MATCH($B$1,Database!$A$1:$C$1,),))</f>
        <v/>
      </c>
      <c r="C13137">
        <f>IF(VLOOKUP(Table7[[#This Row],[Date]],Database!$A:$C,MATCH($C$1,Database!$A$1:$C$1,),)=0,#N/A,VLOOKUP(Table7[[#This Row],[Date]],Database!$A:$C,MATCH($C$1,Database!$A$1:$C$1,),))</f>
        <v/>
      </c>
      <c r="D13137">
        <f>IFERROR(Table7[[#This Row],[United States 10y]]-Table7[[#This Row],[United States 3y]],#N/A)</f>
        <v/>
      </c>
    </row>
    <row r="13138">
      <c r="A13138" s="6">
        <f>Database!$A15223</f>
        <v/>
      </c>
      <c r="B13138">
        <f>IF(VLOOKUP(Table7[[#This Row],[Date]],Database!$A:$C,MATCH($B$1,Database!$A$1:$C$1,),)=0,#N/A,VLOOKUP(Table7[[#This Row],[Date]],Database!$A:$C,MATCH($B$1,Database!$A$1:$C$1,),))</f>
        <v/>
      </c>
      <c r="C13138">
        <f>IF(VLOOKUP(Table7[[#This Row],[Date]],Database!$A:$C,MATCH($C$1,Database!$A$1:$C$1,),)=0,#N/A,VLOOKUP(Table7[[#This Row],[Date]],Database!$A:$C,MATCH($C$1,Database!$A$1:$C$1,),))</f>
        <v/>
      </c>
      <c r="D13138">
        <f>IFERROR(Table7[[#This Row],[United States 10y]]-Table7[[#This Row],[United States 3y]],#N/A)</f>
        <v/>
      </c>
    </row>
    <row r="13139">
      <c r="A13139" s="6">
        <f>Database!$A15224</f>
        <v/>
      </c>
      <c r="B13139">
        <f>IF(VLOOKUP(Table7[[#This Row],[Date]],Database!$A:$C,MATCH($B$1,Database!$A$1:$C$1,),)=0,#N/A,VLOOKUP(Table7[[#This Row],[Date]],Database!$A:$C,MATCH($B$1,Database!$A$1:$C$1,),))</f>
        <v/>
      </c>
      <c r="C13139">
        <f>IF(VLOOKUP(Table7[[#This Row],[Date]],Database!$A:$C,MATCH($C$1,Database!$A$1:$C$1,),)=0,#N/A,VLOOKUP(Table7[[#This Row],[Date]],Database!$A:$C,MATCH($C$1,Database!$A$1:$C$1,),))</f>
        <v/>
      </c>
      <c r="D13139">
        <f>IFERROR(Table7[[#This Row],[United States 10y]]-Table7[[#This Row],[United States 3y]],#N/A)</f>
        <v/>
      </c>
    </row>
    <row r="13140">
      <c r="A13140" s="6">
        <f>Database!$A15225</f>
        <v/>
      </c>
      <c r="B13140">
        <f>IF(VLOOKUP(Table7[[#This Row],[Date]],Database!$A:$C,MATCH($B$1,Database!$A$1:$C$1,),)=0,#N/A,VLOOKUP(Table7[[#This Row],[Date]],Database!$A:$C,MATCH($B$1,Database!$A$1:$C$1,),))</f>
        <v/>
      </c>
      <c r="C13140">
        <f>IF(VLOOKUP(Table7[[#This Row],[Date]],Database!$A:$C,MATCH($C$1,Database!$A$1:$C$1,),)=0,#N/A,VLOOKUP(Table7[[#This Row],[Date]],Database!$A:$C,MATCH($C$1,Database!$A$1:$C$1,),))</f>
        <v/>
      </c>
      <c r="D13140">
        <f>IFERROR(Table7[[#This Row],[United States 10y]]-Table7[[#This Row],[United States 3y]],#N/A)</f>
        <v/>
      </c>
    </row>
    <row r="13141">
      <c r="A13141" s="6">
        <f>Database!$A15226</f>
        <v/>
      </c>
      <c r="B13141">
        <f>IF(VLOOKUP(Table7[[#This Row],[Date]],Database!$A:$C,MATCH($B$1,Database!$A$1:$C$1,),)=0,#N/A,VLOOKUP(Table7[[#This Row],[Date]],Database!$A:$C,MATCH($B$1,Database!$A$1:$C$1,),))</f>
        <v/>
      </c>
      <c r="C13141">
        <f>IF(VLOOKUP(Table7[[#This Row],[Date]],Database!$A:$C,MATCH($C$1,Database!$A$1:$C$1,),)=0,#N/A,VLOOKUP(Table7[[#This Row],[Date]],Database!$A:$C,MATCH($C$1,Database!$A$1:$C$1,),))</f>
        <v/>
      </c>
      <c r="D13141">
        <f>IFERROR(Table7[[#This Row],[United States 10y]]-Table7[[#This Row],[United States 3y]],#N/A)</f>
        <v/>
      </c>
    </row>
    <row r="13142">
      <c r="A13142" s="6">
        <f>Database!$A15227</f>
        <v/>
      </c>
      <c r="B13142">
        <f>IF(VLOOKUP(Table7[[#This Row],[Date]],Database!$A:$C,MATCH($B$1,Database!$A$1:$C$1,),)=0,#N/A,VLOOKUP(Table7[[#This Row],[Date]],Database!$A:$C,MATCH($B$1,Database!$A$1:$C$1,),))</f>
        <v/>
      </c>
      <c r="C13142">
        <f>IF(VLOOKUP(Table7[[#This Row],[Date]],Database!$A:$C,MATCH($C$1,Database!$A$1:$C$1,),)=0,#N/A,VLOOKUP(Table7[[#This Row],[Date]],Database!$A:$C,MATCH($C$1,Database!$A$1:$C$1,),))</f>
        <v/>
      </c>
      <c r="D13142">
        <f>IFERROR(Table7[[#This Row],[United States 10y]]-Table7[[#This Row],[United States 3y]],#N/A)</f>
        <v/>
      </c>
    </row>
    <row r="13143">
      <c r="A13143" s="6">
        <f>Database!$A15228</f>
        <v/>
      </c>
      <c r="B13143">
        <f>IF(VLOOKUP(Table7[[#This Row],[Date]],Database!$A:$C,MATCH($B$1,Database!$A$1:$C$1,),)=0,#N/A,VLOOKUP(Table7[[#This Row],[Date]],Database!$A:$C,MATCH($B$1,Database!$A$1:$C$1,),))</f>
        <v/>
      </c>
      <c r="C13143">
        <f>IF(VLOOKUP(Table7[[#This Row],[Date]],Database!$A:$C,MATCH($C$1,Database!$A$1:$C$1,),)=0,#N/A,VLOOKUP(Table7[[#This Row],[Date]],Database!$A:$C,MATCH($C$1,Database!$A$1:$C$1,),))</f>
        <v/>
      </c>
      <c r="D13143">
        <f>IFERROR(Table7[[#This Row],[United States 10y]]-Table7[[#This Row],[United States 3y]],#N/A)</f>
        <v/>
      </c>
    </row>
    <row r="13144">
      <c r="A13144" s="6">
        <f>Database!$A15229</f>
        <v/>
      </c>
      <c r="B13144">
        <f>IF(VLOOKUP(Table7[[#This Row],[Date]],Database!$A:$C,MATCH($B$1,Database!$A$1:$C$1,),)=0,#N/A,VLOOKUP(Table7[[#This Row],[Date]],Database!$A:$C,MATCH($B$1,Database!$A$1:$C$1,),))</f>
        <v/>
      </c>
      <c r="C13144">
        <f>IF(VLOOKUP(Table7[[#This Row],[Date]],Database!$A:$C,MATCH($C$1,Database!$A$1:$C$1,),)=0,#N/A,VLOOKUP(Table7[[#This Row],[Date]],Database!$A:$C,MATCH($C$1,Database!$A$1:$C$1,),))</f>
        <v/>
      </c>
      <c r="D13144">
        <f>IFERROR(Table7[[#This Row],[United States 10y]]-Table7[[#This Row],[United States 3y]],#N/A)</f>
        <v/>
      </c>
    </row>
    <row r="13145">
      <c r="A13145" s="6">
        <f>Database!$A15230</f>
        <v/>
      </c>
      <c r="B13145">
        <f>IF(VLOOKUP(Table7[[#This Row],[Date]],Database!$A:$C,MATCH($B$1,Database!$A$1:$C$1,),)=0,#N/A,VLOOKUP(Table7[[#This Row],[Date]],Database!$A:$C,MATCH($B$1,Database!$A$1:$C$1,),))</f>
        <v/>
      </c>
      <c r="C13145">
        <f>IF(VLOOKUP(Table7[[#This Row],[Date]],Database!$A:$C,MATCH($C$1,Database!$A$1:$C$1,),)=0,#N/A,VLOOKUP(Table7[[#This Row],[Date]],Database!$A:$C,MATCH($C$1,Database!$A$1:$C$1,),))</f>
        <v/>
      </c>
      <c r="D13145">
        <f>IFERROR(Table7[[#This Row],[United States 10y]]-Table7[[#This Row],[United States 3y]],#N/A)</f>
        <v/>
      </c>
    </row>
    <row r="13146">
      <c r="A13146" s="6">
        <f>Database!$A15231</f>
        <v/>
      </c>
      <c r="B13146">
        <f>IF(VLOOKUP(Table7[[#This Row],[Date]],Database!$A:$C,MATCH($B$1,Database!$A$1:$C$1,),)=0,#N/A,VLOOKUP(Table7[[#This Row],[Date]],Database!$A:$C,MATCH($B$1,Database!$A$1:$C$1,),))</f>
        <v/>
      </c>
      <c r="C13146">
        <f>IF(VLOOKUP(Table7[[#This Row],[Date]],Database!$A:$C,MATCH($C$1,Database!$A$1:$C$1,),)=0,#N/A,VLOOKUP(Table7[[#This Row],[Date]],Database!$A:$C,MATCH($C$1,Database!$A$1:$C$1,),))</f>
        <v/>
      </c>
      <c r="D13146">
        <f>IFERROR(Table7[[#This Row],[United States 10y]]-Table7[[#This Row],[United States 3y]],#N/A)</f>
        <v/>
      </c>
    </row>
    <row r="13147">
      <c r="A13147" s="6">
        <f>Database!$A15232</f>
        <v/>
      </c>
      <c r="B13147">
        <f>IF(VLOOKUP(Table7[[#This Row],[Date]],Database!$A:$C,MATCH($B$1,Database!$A$1:$C$1,),)=0,#N/A,VLOOKUP(Table7[[#This Row],[Date]],Database!$A:$C,MATCH($B$1,Database!$A$1:$C$1,),))</f>
        <v/>
      </c>
      <c r="C13147">
        <f>IF(VLOOKUP(Table7[[#This Row],[Date]],Database!$A:$C,MATCH($C$1,Database!$A$1:$C$1,),)=0,#N/A,VLOOKUP(Table7[[#This Row],[Date]],Database!$A:$C,MATCH($C$1,Database!$A$1:$C$1,),))</f>
        <v/>
      </c>
      <c r="D13147">
        <f>IFERROR(Table7[[#This Row],[United States 10y]]-Table7[[#This Row],[United States 3y]],#N/A)</f>
        <v/>
      </c>
    </row>
    <row r="13148">
      <c r="A13148" s="6">
        <f>Database!$A15233</f>
        <v/>
      </c>
      <c r="B13148">
        <f>IF(VLOOKUP(Table7[[#This Row],[Date]],Database!$A:$C,MATCH($B$1,Database!$A$1:$C$1,),)=0,#N/A,VLOOKUP(Table7[[#This Row],[Date]],Database!$A:$C,MATCH($B$1,Database!$A$1:$C$1,),))</f>
        <v/>
      </c>
      <c r="C13148">
        <f>IF(VLOOKUP(Table7[[#This Row],[Date]],Database!$A:$C,MATCH($C$1,Database!$A$1:$C$1,),)=0,#N/A,VLOOKUP(Table7[[#This Row],[Date]],Database!$A:$C,MATCH($C$1,Database!$A$1:$C$1,),))</f>
        <v/>
      </c>
      <c r="D13148">
        <f>IFERROR(Table7[[#This Row],[United States 10y]]-Table7[[#This Row],[United States 3y]],#N/A)</f>
        <v/>
      </c>
    </row>
    <row r="13149">
      <c r="A13149" s="6">
        <f>Database!$A15234</f>
        <v/>
      </c>
      <c r="B13149">
        <f>IF(VLOOKUP(Table7[[#This Row],[Date]],Database!$A:$C,MATCH($B$1,Database!$A$1:$C$1,),)=0,#N/A,VLOOKUP(Table7[[#This Row],[Date]],Database!$A:$C,MATCH($B$1,Database!$A$1:$C$1,),))</f>
        <v/>
      </c>
      <c r="C13149">
        <f>IF(VLOOKUP(Table7[[#This Row],[Date]],Database!$A:$C,MATCH($C$1,Database!$A$1:$C$1,),)=0,#N/A,VLOOKUP(Table7[[#This Row],[Date]],Database!$A:$C,MATCH($C$1,Database!$A$1:$C$1,),))</f>
        <v/>
      </c>
      <c r="D13149">
        <f>IFERROR(Table7[[#This Row],[United States 10y]]-Table7[[#This Row],[United States 3y]],#N/A)</f>
        <v/>
      </c>
    </row>
    <row r="13150">
      <c r="A13150" s="6">
        <f>Database!$A15235</f>
        <v/>
      </c>
      <c r="B13150">
        <f>IF(VLOOKUP(Table7[[#This Row],[Date]],Database!$A:$C,MATCH($B$1,Database!$A$1:$C$1,),)=0,#N/A,VLOOKUP(Table7[[#This Row],[Date]],Database!$A:$C,MATCH($B$1,Database!$A$1:$C$1,),))</f>
        <v/>
      </c>
      <c r="C13150">
        <f>IF(VLOOKUP(Table7[[#This Row],[Date]],Database!$A:$C,MATCH($C$1,Database!$A$1:$C$1,),)=0,#N/A,VLOOKUP(Table7[[#This Row],[Date]],Database!$A:$C,MATCH($C$1,Database!$A$1:$C$1,),))</f>
        <v/>
      </c>
      <c r="D13150">
        <f>IFERROR(Table7[[#This Row],[United States 10y]]-Table7[[#This Row],[United States 3y]],#N/A)</f>
        <v/>
      </c>
    </row>
    <row r="13151">
      <c r="A13151" s="6">
        <f>Database!$A15236</f>
        <v/>
      </c>
      <c r="B13151">
        <f>IF(VLOOKUP(Table7[[#This Row],[Date]],Database!$A:$C,MATCH($B$1,Database!$A$1:$C$1,),)=0,#N/A,VLOOKUP(Table7[[#This Row],[Date]],Database!$A:$C,MATCH($B$1,Database!$A$1:$C$1,),))</f>
        <v/>
      </c>
      <c r="C13151">
        <f>IF(VLOOKUP(Table7[[#This Row],[Date]],Database!$A:$C,MATCH($C$1,Database!$A$1:$C$1,),)=0,#N/A,VLOOKUP(Table7[[#This Row],[Date]],Database!$A:$C,MATCH($C$1,Database!$A$1:$C$1,),))</f>
        <v/>
      </c>
      <c r="D13151">
        <f>IFERROR(Table7[[#This Row],[United States 10y]]-Table7[[#This Row],[United States 3y]],#N/A)</f>
        <v/>
      </c>
    </row>
    <row r="13152">
      <c r="A13152" s="6">
        <f>Database!$A15237</f>
        <v/>
      </c>
      <c r="B13152">
        <f>IF(VLOOKUP(Table7[[#This Row],[Date]],Database!$A:$C,MATCH($B$1,Database!$A$1:$C$1,),)=0,#N/A,VLOOKUP(Table7[[#This Row],[Date]],Database!$A:$C,MATCH($B$1,Database!$A$1:$C$1,),))</f>
        <v/>
      </c>
      <c r="C13152">
        <f>IF(VLOOKUP(Table7[[#This Row],[Date]],Database!$A:$C,MATCH($C$1,Database!$A$1:$C$1,),)=0,#N/A,VLOOKUP(Table7[[#This Row],[Date]],Database!$A:$C,MATCH($C$1,Database!$A$1:$C$1,),))</f>
        <v/>
      </c>
      <c r="D13152">
        <f>IFERROR(Table7[[#This Row],[United States 10y]]-Table7[[#This Row],[United States 3y]],#N/A)</f>
        <v/>
      </c>
    </row>
    <row r="13153">
      <c r="A13153" s="6">
        <f>Database!$A15238</f>
        <v/>
      </c>
      <c r="B13153">
        <f>IF(VLOOKUP(Table7[[#This Row],[Date]],Database!$A:$C,MATCH($B$1,Database!$A$1:$C$1,),)=0,#N/A,VLOOKUP(Table7[[#This Row],[Date]],Database!$A:$C,MATCH($B$1,Database!$A$1:$C$1,),))</f>
        <v/>
      </c>
      <c r="C13153">
        <f>IF(VLOOKUP(Table7[[#This Row],[Date]],Database!$A:$C,MATCH($C$1,Database!$A$1:$C$1,),)=0,#N/A,VLOOKUP(Table7[[#This Row],[Date]],Database!$A:$C,MATCH($C$1,Database!$A$1:$C$1,),))</f>
        <v/>
      </c>
      <c r="D13153">
        <f>IFERROR(Table7[[#This Row],[United States 10y]]-Table7[[#This Row],[United States 3y]],#N/A)</f>
        <v/>
      </c>
    </row>
    <row r="13154">
      <c r="A13154" s="6">
        <f>Database!$A15239</f>
        <v/>
      </c>
      <c r="B13154">
        <f>IF(VLOOKUP(Table7[[#This Row],[Date]],Database!$A:$C,MATCH($B$1,Database!$A$1:$C$1,),)=0,#N/A,VLOOKUP(Table7[[#This Row],[Date]],Database!$A:$C,MATCH($B$1,Database!$A$1:$C$1,),))</f>
        <v/>
      </c>
      <c r="C13154">
        <f>IF(VLOOKUP(Table7[[#This Row],[Date]],Database!$A:$C,MATCH($C$1,Database!$A$1:$C$1,),)=0,#N/A,VLOOKUP(Table7[[#This Row],[Date]],Database!$A:$C,MATCH($C$1,Database!$A$1:$C$1,),))</f>
        <v/>
      </c>
      <c r="D13154">
        <f>IFERROR(Table7[[#This Row],[United States 10y]]-Table7[[#This Row],[United States 3y]],#N/A)</f>
        <v/>
      </c>
    </row>
    <row r="13155">
      <c r="A13155" s="6">
        <f>Database!$A15240</f>
        <v/>
      </c>
      <c r="B13155">
        <f>IF(VLOOKUP(Table7[[#This Row],[Date]],Database!$A:$C,MATCH($B$1,Database!$A$1:$C$1,),)=0,#N/A,VLOOKUP(Table7[[#This Row],[Date]],Database!$A:$C,MATCH($B$1,Database!$A$1:$C$1,),))</f>
        <v/>
      </c>
      <c r="C13155">
        <f>IF(VLOOKUP(Table7[[#This Row],[Date]],Database!$A:$C,MATCH($C$1,Database!$A$1:$C$1,),)=0,#N/A,VLOOKUP(Table7[[#This Row],[Date]],Database!$A:$C,MATCH($C$1,Database!$A$1:$C$1,),))</f>
        <v/>
      </c>
      <c r="D13155">
        <f>IFERROR(Table7[[#This Row],[United States 10y]]-Table7[[#This Row],[United States 3y]],#N/A)</f>
        <v/>
      </c>
    </row>
    <row r="13156">
      <c r="A13156" s="6">
        <f>Database!$A15241</f>
        <v/>
      </c>
      <c r="B13156">
        <f>IF(VLOOKUP(Table7[[#This Row],[Date]],Database!$A:$C,MATCH($B$1,Database!$A$1:$C$1,),)=0,#N/A,VLOOKUP(Table7[[#This Row],[Date]],Database!$A:$C,MATCH($B$1,Database!$A$1:$C$1,),))</f>
        <v/>
      </c>
      <c r="C13156">
        <f>IF(VLOOKUP(Table7[[#This Row],[Date]],Database!$A:$C,MATCH($C$1,Database!$A$1:$C$1,),)=0,#N/A,VLOOKUP(Table7[[#This Row],[Date]],Database!$A:$C,MATCH($C$1,Database!$A$1:$C$1,),))</f>
        <v/>
      </c>
      <c r="D13156">
        <f>IFERROR(Table7[[#This Row],[United States 10y]]-Table7[[#This Row],[United States 3y]],#N/A)</f>
        <v/>
      </c>
    </row>
    <row r="13157">
      <c r="A13157" s="6">
        <f>Database!$A15242</f>
        <v/>
      </c>
      <c r="B13157">
        <f>IF(VLOOKUP(Table7[[#This Row],[Date]],Database!$A:$C,MATCH($B$1,Database!$A$1:$C$1,),)=0,#N/A,VLOOKUP(Table7[[#This Row],[Date]],Database!$A:$C,MATCH($B$1,Database!$A$1:$C$1,),))</f>
        <v/>
      </c>
      <c r="C13157">
        <f>IF(VLOOKUP(Table7[[#This Row],[Date]],Database!$A:$C,MATCH($C$1,Database!$A$1:$C$1,),)=0,#N/A,VLOOKUP(Table7[[#This Row],[Date]],Database!$A:$C,MATCH($C$1,Database!$A$1:$C$1,),))</f>
        <v/>
      </c>
      <c r="D13157">
        <f>IFERROR(Table7[[#This Row],[United States 10y]]-Table7[[#This Row],[United States 3y]],#N/A)</f>
        <v/>
      </c>
    </row>
    <row r="13158">
      <c r="A13158" s="6">
        <f>Database!$A15243</f>
        <v/>
      </c>
      <c r="B13158">
        <f>IF(VLOOKUP(Table7[[#This Row],[Date]],Database!$A:$C,MATCH($B$1,Database!$A$1:$C$1,),)=0,#N/A,VLOOKUP(Table7[[#This Row],[Date]],Database!$A:$C,MATCH($B$1,Database!$A$1:$C$1,),))</f>
        <v/>
      </c>
      <c r="C13158">
        <f>IF(VLOOKUP(Table7[[#This Row],[Date]],Database!$A:$C,MATCH($C$1,Database!$A$1:$C$1,),)=0,#N/A,VLOOKUP(Table7[[#This Row],[Date]],Database!$A:$C,MATCH($C$1,Database!$A$1:$C$1,),))</f>
        <v/>
      </c>
      <c r="D13158">
        <f>IFERROR(Table7[[#This Row],[United States 10y]]-Table7[[#This Row],[United States 3y]],#N/A)</f>
        <v/>
      </c>
    </row>
    <row r="13159">
      <c r="A13159" s="6">
        <f>Database!$A15244</f>
        <v/>
      </c>
      <c r="B13159">
        <f>IF(VLOOKUP(Table7[[#This Row],[Date]],Database!$A:$C,MATCH($B$1,Database!$A$1:$C$1,),)=0,#N/A,VLOOKUP(Table7[[#This Row],[Date]],Database!$A:$C,MATCH($B$1,Database!$A$1:$C$1,),))</f>
        <v/>
      </c>
      <c r="C13159">
        <f>IF(VLOOKUP(Table7[[#This Row],[Date]],Database!$A:$C,MATCH($C$1,Database!$A$1:$C$1,),)=0,#N/A,VLOOKUP(Table7[[#This Row],[Date]],Database!$A:$C,MATCH($C$1,Database!$A$1:$C$1,),))</f>
        <v/>
      </c>
      <c r="D13159">
        <f>IFERROR(Table7[[#This Row],[United States 10y]]-Table7[[#This Row],[United States 3y]],#N/A)</f>
        <v/>
      </c>
    </row>
    <row r="13160">
      <c r="A13160" s="6">
        <f>Database!$A15245</f>
        <v/>
      </c>
      <c r="B13160">
        <f>IF(VLOOKUP(Table7[[#This Row],[Date]],Database!$A:$C,MATCH($B$1,Database!$A$1:$C$1,),)=0,#N/A,VLOOKUP(Table7[[#This Row],[Date]],Database!$A:$C,MATCH($B$1,Database!$A$1:$C$1,),))</f>
        <v/>
      </c>
      <c r="C13160">
        <f>IF(VLOOKUP(Table7[[#This Row],[Date]],Database!$A:$C,MATCH($C$1,Database!$A$1:$C$1,),)=0,#N/A,VLOOKUP(Table7[[#This Row],[Date]],Database!$A:$C,MATCH($C$1,Database!$A$1:$C$1,),))</f>
        <v/>
      </c>
      <c r="D13160">
        <f>IFERROR(Table7[[#This Row],[United States 10y]]-Table7[[#This Row],[United States 3y]],#N/A)</f>
        <v/>
      </c>
    </row>
    <row r="13161">
      <c r="A13161" s="6">
        <f>Database!$A15246</f>
        <v/>
      </c>
      <c r="B13161">
        <f>IF(VLOOKUP(Table7[[#This Row],[Date]],Database!$A:$C,MATCH($B$1,Database!$A$1:$C$1,),)=0,#N/A,VLOOKUP(Table7[[#This Row],[Date]],Database!$A:$C,MATCH($B$1,Database!$A$1:$C$1,),))</f>
        <v/>
      </c>
      <c r="C13161">
        <f>IF(VLOOKUP(Table7[[#This Row],[Date]],Database!$A:$C,MATCH($C$1,Database!$A$1:$C$1,),)=0,#N/A,VLOOKUP(Table7[[#This Row],[Date]],Database!$A:$C,MATCH($C$1,Database!$A$1:$C$1,),))</f>
        <v/>
      </c>
      <c r="D13161">
        <f>IFERROR(Table7[[#This Row],[United States 10y]]-Table7[[#This Row],[United States 3y]],#N/A)</f>
        <v/>
      </c>
    </row>
    <row r="13162">
      <c r="A13162" s="6">
        <f>Database!$A15247</f>
        <v/>
      </c>
      <c r="B13162">
        <f>IF(VLOOKUP(Table7[[#This Row],[Date]],Database!$A:$C,MATCH($B$1,Database!$A$1:$C$1,),)=0,#N/A,VLOOKUP(Table7[[#This Row],[Date]],Database!$A:$C,MATCH($B$1,Database!$A$1:$C$1,),))</f>
        <v/>
      </c>
      <c r="C13162">
        <f>IF(VLOOKUP(Table7[[#This Row],[Date]],Database!$A:$C,MATCH($C$1,Database!$A$1:$C$1,),)=0,#N/A,VLOOKUP(Table7[[#This Row],[Date]],Database!$A:$C,MATCH($C$1,Database!$A$1:$C$1,),))</f>
        <v/>
      </c>
      <c r="D13162">
        <f>IFERROR(Table7[[#This Row],[United States 10y]]-Table7[[#This Row],[United States 3y]],#N/A)</f>
        <v/>
      </c>
    </row>
    <row r="13163">
      <c r="A13163" s="6">
        <f>Database!$A15248</f>
        <v/>
      </c>
      <c r="B13163">
        <f>IF(VLOOKUP(Table7[[#This Row],[Date]],Database!$A:$C,MATCH($B$1,Database!$A$1:$C$1,),)=0,#N/A,VLOOKUP(Table7[[#This Row],[Date]],Database!$A:$C,MATCH($B$1,Database!$A$1:$C$1,),))</f>
        <v/>
      </c>
      <c r="C13163">
        <f>IF(VLOOKUP(Table7[[#This Row],[Date]],Database!$A:$C,MATCH($C$1,Database!$A$1:$C$1,),)=0,#N/A,VLOOKUP(Table7[[#This Row],[Date]],Database!$A:$C,MATCH($C$1,Database!$A$1:$C$1,),))</f>
        <v/>
      </c>
      <c r="D13163">
        <f>IFERROR(Table7[[#This Row],[United States 10y]]-Table7[[#This Row],[United States 3y]],#N/A)</f>
        <v/>
      </c>
    </row>
    <row r="13164">
      <c r="A13164" s="6">
        <f>Database!$A15249</f>
        <v/>
      </c>
      <c r="B13164">
        <f>IF(VLOOKUP(Table7[[#This Row],[Date]],Database!$A:$C,MATCH($B$1,Database!$A$1:$C$1,),)=0,#N/A,VLOOKUP(Table7[[#This Row],[Date]],Database!$A:$C,MATCH($B$1,Database!$A$1:$C$1,),))</f>
        <v/>
      </c>
      <c r="C13164">
        <f>IF(VLOOKUP(Table7[[#This Row],[Date]],Database!$A:$C,MATCH($C$1,Database!$A$1:$C$1,),)=0,#N/A,VLOOKUP(Table7[[#This Row],[Date]],Database!$A:$C,MATCH($C$1,Database!$A$1:$C$1,),))</f>
        <v/>
      </c>
      <c r="D13164">
        <f>IFERROR(Table7[[#This Row],[United States 10y]]-Table7[[#This Row],[United States 3y]],#N/A)</f>
        <v/>
      </c>
    </row>
    <row r="13165">
      <c r="A13165" s="6">
        <f>Database!$A15250</f>
        <v/>
      </c>
      <c r="B13165">
        <f>IF(VLOOKUP(Table7[[#This Row],[Date]],Database!$A:$C,MATCH($B$1,Database!$A$1:$C$1,),)=0,#N/A,VLOOKUP(Table7[[#This Row],[Date]],Database!$A:$C,MATCH($B$1,Database!$A$1:$C$1,),))</f>
        <v/>
      </c>
      <c r="C13165">
        <f>IF(VLOOKUP(Table7[[#This Row],[Date]],Database!$A:$C,MATCH($C$1,Database!$A$1:$C$1,),)=0,#N/A,VLOOKUP(Table7[[#This Row],[Date]],Database!$A:$C,MATCH($C$1,Database!$A$1:$C$1,),))</f>
        <v/>
      </c>
      <c r="D13165">
        <f>IFERROR(Table7[[#This Row],[United States 10y]]-Table7[[#This Row],[United States 3y]],#N/A)</f>
        <v/>
      </c>
    </row>
    <row r="13166">
      <c r="A13166" s="6">
        <f>Database!$A15251</f>
        <v/>
      </c>
      <c r="B13166">
        <f>IF(VLOOKUP(Table7[[#This Row],[Date]],Database!$A:$C,MATCH($B$1,Database!$A$1:$C$1,),)=0,#N/A,VLOOKUP(Table7[[#This Row],[Date]],Database!$A:$C,MATCH($B$1,Database!$A$1:$C$1,),))</f>
        <v/>
      </c>
      <c r="C13166">
        <f>IF(VLOOKUP(Table7[[#This Row],[Date]],Database!$A:$C,MATCH($C$1,Database!$A$1:$C$1,),)=0,#N/A,VLOOKUP(Table7[[#This Row],[Date]],Database!$A:$C,MATCH($C$1,Database!$A$1:$C$1,),))</f>
        <v/>
      </c>
      <c r="D13166">
        <f>IFERROR(Table7[[#This Row],[United States 10y]]-Table7[[#This Row],[United States 3y]],#N/A)</f>
        <v/>
      </c>
    </row>
    <row r="13167">
      <c r="A13167" s="6">
        <f>Database!$A15252</f>
        <v/>
      </c>
      <c r="B13167">
        <f>IF(VLOOKUP(Table7[[#This Row],[Date]],Database!$A:$C,MATCH($B$1,Database!$A$1:$C$1,),)=0,#N/A,VLOOKUP(Table7[[#This Row],[Date]],Database!$A:$C,MATCH($B$1,Database!$A$1:$C$1,),))</f>
        <v/>
      </c>
      <c r="C13167">
        <f>IF(VLOOKUP(Table7[[#This Row],[Date]],Database!$A:$C,MATCH($C$1,Database!$A$1:$C$1,),)=0,#N/A,VLOOKUP(Table7[[#This Row],[Date]],Database!$A:$C,MATCH($C$1,Database!$A$1:$C$1,),))</f>
        <v/>
      </c>
      <c r="D13167">
        <f>IFERROR(Table7[[#This Row],[United States 10y]]-Table7[[#This Row],[United States 3y]],#N/A)</f>
        <v/>
      </c>
    </row>
    <row r="13168">
      <c r="A13168" s="6">
        <f>Database!$A15253</f>
        <v/>
      </c>
      <c r="B13168">
        <f>IF(VLOOKUP(Table7[[#This Row],[Date]],Database!$A:$C,MATCH($B$1,Database!$A$1:$C$1,),)=0,#N/A,VLOOKUP(Table7[[#This Row],[Date]],Database!$A:$C,MATCH($B$1,Database!$A$1:$C$1,),))</f>
        <v/>
      </c>
      <c r="C13168">
        <f>IF(VLOOKUP(Table7[[#This Row],[Date]],Database!$A:$C,MATCH($C$1,Database!$A$1:$C$1,),)=0,#N/A,VLOOKUP(Table7[[#This Row],[Date]],Database!$A:$C,MATCH($C$1,Database!$A$1:$C$1,),))</f>
        <v/>
      </c>
      <c r="D13168">
        <f>IFERROR(Table7[[#This Row],[United States 10y]]-Table7[[#This Row],[United States 3y]],#N/A)</f>
        <v/>
      </c>
    </row>
    <row r="13169">
      <c r="A13169" s="6">
        <f>Database!$A15254</f>
        <v/>
      </c>
      <c r="B13169">
        <f>IF(VLOOKUP(Table7[[#This Row],[Date]],Database!$A:$C,MATCH($B$1,Database!$A$1:$C$1,),)=0,#N/A,VLOOKUP(Table7[[#This Row],[Date]],Database!$A:$C,MATCH($B$1,Database!$A$1:$C$1,),))</f>
        <v/>
      </c>
      <c r="C13169">
        <f>IF(VLOOKUP(Table7[[#This Row],[Date]],Database!$A:$C,MATCH($C$1,Database!$A$1:$C$1,),)=0,#N/A,VLOOKUP(Table7[[#This Row],[Date]],Database!$A:$C,MATCH($C$1,Database!$A$1:$C$1,),))</f>
        <v/>
      </c>
      <c r="D13169">
        <f>IFERROR(Table7[[#This Row],[United States 10y]]-Table7[[#This Row],[United States 3y]],#N/A)</f>
        <v/>
      </c>
    </row>
    <row r="13170">
      <c r="A13170" s="6">
        <f>Database!$A15255</f>
        <v/>
      </c>
      <c r="B13170">
        <f>IF(VLOOKUP(Table7[[#This Row],[Date]],Database!$A:$C,MATCH($B$1,Database!$A$1:$C$1,),)=0,#N/A,VLOOKUP(Table7[[#This Row],[Date]],Database!$A:$C,MATCH($B$1,Database!$A$1:$C$1,),))</f>
        <v/>
      </c>
      <c r="C13170">
        <f>IF(VLOOKUP(Table7[[#This Row],[Date]],Database!$A:$C,MATCH($C$1,Database!$A$1:$C$1,),)=0,#N/A,VLOOKUP(Table7[[#This Row],[Date]],Database!$A:$C,MATCH($C$1,Database!$A$1:$C$1,),))</f>
        <v/>
      </c>
      <c r="D13170">
        <f>IFERROR(Table7[[#This Row],[United States 10y]]-Table7[[#This Row],[United States 3y]],#N/A)</f>
        <v/>
      </c>
    </row>
    <row r="13171">
      <c r="A13171" s="6">
        <f>Database!$A15256</f>
        <v/>
      </c>
      <c r="B13171">
        <f>IF(VLOOKUP(Table7[[#This Row],[Date]],Database!$A:$C,MATCH($B$1,Database!$A$1:$C$1,),)=0,#N/A,VLOOKUP(Table7[[#This Row],[Date]],Database!$A:$C,MATCH($B$1,Database!$A$1:$C$1,),))</f>
        <v/>
      </c>
      <c r="C13171">
        <f>IF(VLOOKUP(Table7[[#This Row],[Date]],Database!$A:$C,MATCH($C$1,Database!$A$1:$C$1,),)=0,#N/A,VLOOKUP(Table7[[#This Row],[Date]],Database!$A:$C,MATCH($C$1,Database!$A$1:$C$1,),))</f>
        <v/>
      </c>
      <c r="D13171">
        <f>IFERROR(Table7[[#This Row],[United States 10y]]-Table7[[#This Row],[United States 3y]],#N/A)</f>
        <v/>
      </c>
    </row>
    <row r="13172">
      <c r="A13172" s="6">
        <f>Database!$A15257</f>
        <v/>
      </c>
      <c r="B13172">
        <f>IF(VLOOKUP(Table7[[#This Row],[Date]],Database!$A:$C,MATCH($B$1,Database!$A$1:$C$1,),)=0,#N/A,VLOOKUP(Table7[[#This Row],[Date]],Database!$A:$C,MATCH($B$1,Database!$A$1:$C$1,),))</f>
        <v/>
      </c>
      <c r="C13172">
        <f>IF(VLOOKUP(Table7[[#This Row],[Date]],Database!$A:$C,MATCH($C$1,Database!$A$1:$C$1,),)=0,#N/A,VLOOKUP(Table7[[#This Row],[Date]],Database!$A:$C,MATCH($C$1,Database!$A$1:$C$1,),))</f>
        <v/>
      </c>
      <c r="D13172">
        <f>IFERROR(Table7[[#This Row],[United States 10y]]-Table7[[#This Row],[United States 3y]],#N/A)</f>
        <v/>
      </c>
    </row>
    <row r="13173">
      <c r="A13173" s="6">
        <f>Database!$A15258</f>
        <v/>
      </c>
      <c r="B13173">
        <f>IF(VLOOKUP(Table7[[#This Row],[Date]],Database!$A:$C,MATCH($B$1,Database!$A$1:$C$1,),)=0,#N/A,VLOOKUP(Table7[[#This Row],[Date]],Database!$A:$C,MATCH($B$1,Database!$A$1:$C$1,),))</f>
        <v/>
      </c>
      <c r="C13173">
        <f>IF(VLOOKUP(Table7[[#This Row],[Date]],Database!$A:$C,MATCH($C$1,Database!$A$1:$C$1,),)=0,#N/A,VLOOKUP(Table7[[#This Row],[Date]],Database!$A:$C,MATCH($C$1,Database!$A$1:$C$1,),))</f>
        <v/>
      </c>
      <c r="D13173">
        <f>IFERROR(Table7[[#This Row],[United States 10y]]-Table7[[#This Row],[United States 3y]],#N/A)</f>
        <v/>
      </c>
    </row>
    <row r="13174">
      <c r="A13174" s="6">
        <f>Database!$A15259</f>
        <v/>
      </c>
      <c r="B13174">
        <f>IF(VLOOKUP(Table7[[#This Row],[Date]],Database!$A:$C,MATCH($B$1,Database!$A$1:$C$1,),)=0,#N/A,VLOOKUP(Table7[[#This Row],[Date]],Database!$A:$C,MATCH($B$1,Database!$A$1:$C$1,),))</f>
        <v/>
      </c>
      <c r="C13174">
        <f>IF(VLOOKUP(Table7[[#This Row],[Date]],Database!$A:$C,MATCH($C$1,Database!$A$1:$C$1,),)=0,#N/A,VLOOKUP(Table7[[#This Row],[Date]],Database!$A:$C,MATCH($C$1,Database!$A$1:$C$1,),))</f>
        <v/>
      </c>
      <c r="D13174">
        <f>IFERROR(Table7[[#This Row],[United States 10y]]-Table7[[#This Row],[United States 3y]],#N/A)</f>
        <v/>
      </c>
    </row>
    <row r="13175">
      <c r="A13175" s="6">
        <f>Database!$A15260</f>
        <v/>
      </c>
      <c r="B13175">
        <f>IF(VLOOKUP(Table7[[#This Row],[Date]],Database!$A:$C,MATCH($B$1,Database!$A$1:$C$1,),)=0,#N/A,VLOOKUP(Table7[[#This Row],[Date]],Database!$A:$C,MATCH($B$1,Database!$A$1:$C$1,),))</f>
        <v/>
      </c>
      <c r="C13175">
        <f>IF(VLOOKUP(Table7[[#This Row],[Date]],Database!$A:$C,MATCH($C$1,Database!$A$1:$C$1,),)=0,#N/A,VLOOKUP(Table7[[#This Row],[Date]],Database!$A:$C,MATCH($C$1,Database!$A$1:$C$1,),))</f>
        <v/>
      </c>
      <c r="D13175">
        <f>IFERROR(Table7[[#This Row],[United States 10y]]-Table7[[#This Row],[United States 3y]],#N/A)</f>
        <v/>
      </c>
    </row>
    <row r="13176">
      <c r="A13176" s="6">
        <f>Database!$A15261</f>
        <v/>
      </c>
      <c r="B13176">
        <f>IF(VLOOKUP(Table7[[#This Row],[Date]],Database!$A:$C,MATCH($B$1,Database!$A$1:$C$1,),)=0,#N/A,VLOOKUP(Table7[[#This Row],[Date]],Database!$A:$C,MATCH($B$1,Database!$A$1:$C$1,),))</f>
        <v/>
      </c>
      <c r="C13176">
        <f>IF(VLOOKUP(Table7[[#This Row],[Date]],Database!$A:$C,MATCH($C$1,Database!$A$1:$C$1,),)=0,#N/A,VLOOKUP(Table7[[#This Row],[Date]],Database!$A:$C,MATCH($C$1,Database!$A$1:$C$1,),))</f>
        <v/>
      </c>
      <c r="D13176">
        <f>IFERROR(Table7[[#This Row],[United States 10y]]-Table7[[#This Row],[United States 3y]],#N/A)</f>
        <v/>
      </c>
    </row>
    <row r="13177">
      <c r="A13177" s="6">
        <f>Database!$A15262</f>
        <v/>
      </c>
      <c r="B13177">
        <f>IF(VLOOKUP(Table7[[#This Row],[Date]],Database!$A:$C,MATCH($B$1,Database!$A$1:$C$1,),)=0,#N/A,VLOOKUP(Table7[[#This Row],[Date]],Database!$A:$C,MATCH($B$1,Database!$A$1:$C$1,),))</f>
        <v/>
      </c>
      <c r="C13177">
        <f>IF(VLOOKUP(Table7[[#This Row],[Date]],Database!$A:$C,MATCH($C$1,Database!$A$1:$C$1,),)=0,#N/A,VLOOKUP(Table7[[#This Row],[Date]],Database!$A:$C,MATCH($C$1,Database!$A$1:$C$1,),))</f>
        <v/>
      </c>
      <c r="D13177">
        <f>IFERROR(Table7[[#This Row],[United States 10y]]-Table7[[#This Row],[United States 3y]],#N/A)</f>
        <v/>
      </c>
    </row>
    <row r="13178">
      <c r="A13178" s="6">
        <f>Database!$A15263</f>
        <v/>
      </c>
      <c r="B13178">
        <f>IF(VLOOKUP(Table7[[#This Row],[Date]],Database!$A:$C,MATCH($B$1,Database!$A$1:$C$1,),)=0,#N/A,VLOOKUP(Table7[[#This Row],[Date]],Database!$A:$C,MATCH($B$1,Database!$A$1:$C$1,),))</f>
        <v/>
      </c>
      <c r="C13178">
        <f>IF(VLOOKUP(Table7[[#This Row],[Date]],Database!$A:$C,MATCH($C$1,Database!$A$1:$C$1,),)=0,#N/A,VLOOKUP(Table7[[#This Row],[Date]],Database!$A:$C,MATCH($C$1,Database!$A$1:$C$1,),))</f>
        <v/>
      </c>
      <c r="D13178">
        <f>IFERROR(Table7[[#This Row],[United States 10y]]-Table7[[#This Row],[United States 3y]],#N/A)</f>
        <v/>
      </c>
    </row>
    <row r="13179">
      <c r="A13179" s="6">
        <f>Database!$A15264</f>
        <v/>
      </c>
      <c r="B13179">
        <f>IF(VLOOKUP(Table7[[#This Row],[Date]],Database!$A:$C,MATCH($B$1,Database!$A$1:$C$1,),)=0,#N/A,VLOOKUP(Table7[[#This Row],[Date]],Database!$A:$C,MATCH($B$1,Database!$A$1:$C$1,),))</f>
        <v/>
      </c>
      <c r="C13179">
        <f>IF(VLOOKUP(Table7[[#This Row],[Date]],Database!$A:$C,MATCH($C$1,Database!$A$1:$C$1,),)=0,#N/A,VLOOKUP(Table7[[#This Row],[Date]],Database!$A:$C,MATCH($C$1,Database!$A$1:$C$1,),))</f>
        <v/>
      </c>
      <c r="D13179">
        <f>IFERROR(Table7[[#This Row],[United States 10y]]-Table7[[#This Row],[United States 3y]],#N/A)</f>
        <v/>
      </c>
    </row>
    <row r="13180">
      <c r="A13180" s="6">
        <f>Database!$A15265</f>
        <v/>
      </c>
      <c r="B13180">
        <f>IF(VLOOKUP(Table7[[#This Row],[Date]],Database!$A:$C,MATCH($B$1,Database!$A$1:$C$1,),)=0,#N/A,VLOOKUP(Table7[[#This Row],[Date]],Database!$A:$C,MATCH($B$1,Database!$A$1:$C$1,),))</f>
        <v/>
      </c>
      <c r="C13180">
        <f>IF(VLOOKUP(Table7[[#This Row],[Date]],Database!$A:$C,MATCH($C$1,Database!$A$1:$C$1,),)=0,#N/A,VLOOKUP(Table7[[#This Row],[Date]],Database!$A:$C,MATCH($C$1,Database!$A$1:$C$1,),))</f>
        <v/>
      </c>
      <c r="D13180">
        <f>IFERROR(Table7[[#This Row],[United States 10y]]-Table7[[#This Row],[United States 3y]],#N/A)</f>
        <v/>
      </c>
    </row>
    <row r="13181">
      <c r="A13181" s="6">
        <f>Database!$A15266</f>
        <v/>
      </c>
      <c r="B13181">
        <f>IF(VLOOKUP(Table7[[#This Row],[Date]],Database!$A:$C,MATCH($B$1,Database!$A$1:$C$1,),)=0,#N/A,VLOOKUP(Table7[[#This Row],[Date]],Database!$A:$C,MATCH($B$1,Database!$A$1:$C$1,),))</f>
        <v/>
      </c>
      <c r="C13181">
        <f>IF(VLOOKUP(Table7[[#This Row],[Date]],Database!$A:$C,MATCH($C$1,Database!$A$1:$C$1,),)=0,#N/A,VLOOKUP(Table7[[#This Row],[Date]],Database!$A:$C,MATCH($C$1,Database!$A$1:$C$1,),))</f>
        <v/>
      </c>
      <c r="D13181">
        <f>IFERROR(Table7[[#This Row],[United States 10y]]-Table7[[#This Row],[United States 3y]],#N/A)</f>
        <v/>
      </c>
    </row>
    <row r="13182">
      <c r="A13182" s="6">
        <f>Database!$A15267</f>
        <v/>
      </c>
      <c r="B13182">
        <f>IF(VLOOKUP(Table7[[#This Row],[Date]],Database!$A:$C,MATCH($B$1,Database!$A$1:$C$1,),)=0,#N/A,VLOOKUP(Table7[[#This Row],[Date]],Database!$A:$C,MATCH($B$1,Database!$A$1:$C$1,),))</f>
        <v/>
      </c>
      <c r="C13182">
        <f>IF(VLOOKUP(Table7[[#This Row],[Date]],Database!$A:$C,MATCH($C$1,Database!$A$1:$C$1,),)=0,#N/A,VLOOKUP(Table7[[#This Row],[Date]],Database!$A:$C,MATCH($C$1,Database!$A$1:$C$1,),))</f>
        <v/>
      </c>
      <c r="D13182">
        <f>IFERROR(Table7[[#This Row],[United States 10y]]-Table7[[#This Row],[United States 3y]],#N/A)</f>
        <v/>
      </c>
    </row>
    <row r="13183">
      <c r="A13183" s="6">
        <f>Database!$A15268</f>
        <v/>
      </c>
      <c r="B13183">
        <f>IF(VLOOKUP(Table7[[#This Row],[Date]],Database!$A:$C,MATCH($B$1,Database!$A$1:$C$1,),)=0,#N/A,VLOOKUP(Table7[[#This Row],[Date]],Database!$A:$C,MATCH($B$1,Database!$A$1:$C$1,),))</f>
        <v/>
      </c>
      <c r="C13183">
        <f>IF(VLOOKUP(Table7[[#This Row],[Date]],Database!$A:$C,MATCH($C$1,Database!$A$1:$C$1,),)=0,#N/A,VLOOKUP(Table7[[#This Row],[Date]],Database!$A:$C,MATCH($C$1,Database!$A$1:$C$1,),))</f>
        <v/>
      </c>
      <c r="D13183">
        <f>IFERROR(Table7[[#This Row],[United States 10y]]-Table7[[#This Row],[United States 3y]],#N/A)</f>
        <v/>
      </c>
    </row>
    <row r="13184">
      <c r="A13184" s="6">
        <f>Database!$A15269</f>
        <v/>
      </c>
      <c r="B13184">
        <f>IF(VLOOKUP(Table7[[#This Row],[Date]],Database!$A:$C,MATCH($B$1,Database!$A$1:$C$1,),)=0,#N/A,VLOOKUP(Table7[[#This Row],[Date]],Database!$A:$C,MATCH($B$1,Database!$A$1:$C$1,),))</f>
        <v/>
      </c>
      <c r="C13184">
        <f>IF(VLOOKUP(Table7[[#This Row],[Date]],Database!$A:$C,MATCH($C$1,Database!$A$1:$C$1,),)=0,#N/A,VLOOKUP(Table7[[#This Row],[Date]],Database!$A:$C,MATCH($C$1,Database!$A$1:$C$1,),))</f>
        <v/>
      </c>
      <c r="D13184">
        <f>IFERROR(Table7[[#This Row],[United States 10y]]-Table7[[#This Row],[United States 3y]],#N/A)</f>
        <v/>
      </c>
    </row>
    <row r="13185">
      <c r="A13185" s="6">
        <f>Database!$A15270</f>
        <v/>
      </c>
      <c r="B13185">
        <f>IF(VLOOKUP(Table7[[#This Row],[Date]],Database!$A:$C,MATCH($B$1,Database!$A$1:$C$1,),)=0,#N/A,VLOOKUP(Table7[[#This Row],[Date]],Database!$A:$C,MATCH($B$1,Database!$A$1:$C$1,),))</f>
        <v/>
      </c>
      <c r="C13185">
        <f>IF(VLOOKUP(Table7[[#This Row],[Date]],Database!$A:$C,MATCH($C$1,Database!$A$1:$C$1,),)=0,#N/A,VLOOKUP(Table7[[#This Row],[Date]],Database!$A:$C,MATCH($C$1,Database!$A$1:$C$1,),))</f>
        <v/>
      </c>
      <c r="D13185">
        <f>IFERROR(Table7[[#This Row],[United States 10y]]-Table7[[#This Row],[United States 3y]],#N/A)</f>
        <v/>
      </c>
    </row>
    <row r="13186">
      <c r="A13186" s="6">
        <f>Database!$A15271</f>
        <v/>
      </c>
      <c r="B13186">
        <f>IF(VLOOKUP(Table7[[#This Row],[Date]],Database!$A:$C,MATCH($B$1,Database!$A$1:$C$1,),)=0,#N/A,VLOOKUP(Table7[[#This Row],[Date]],Database!$A:$C,MATCH($B$1,Database!$A$1:$C$1,),))</f>
        <v/>
      </c>
      <c r="C13186">
        <f>IF(VLOOKUP(Table7[[#This Row],[Date]],Database!$A:$C,MATCH($C$1,Database!$A$1:$C$1,),)=0,#N/A,VLOOKUP(Table7[[#This Row],[Date]],Database!$A:$C,MATCH($C$1,Database!$A$1:$C$1,),))</f>
        <v/>
      </c>
      <c r="D13186">
        <f>IFERROR(Table7[[#This Row],[United States 10y]]-Table7[[#This Row],[United States 3y]],#N/A)</f>
        <v/>
      </c>
    </row>
    <row r="13187">
      <c r="A13187" s="6">
        <f>Database!$A15272</f>
        <v/>
      </c>
      <c r="B13187">
        <f>IF(VLOOKUP(Table7[[#This Row],[Date]],Database!$A:$C,MATCH($B$1,Database!$A$1:$C$1,),)=0,#N/A,VLOOKUP(Table7[[#This Row],[Date]],Database!$A:$C,MATCH($B$1,Database!$A$1:$C$1,),))</f>
        <v/>
      </c>
      <c r="C13187">
        <f>IF(VLOOKUP(Table7[[#This Row],[Date]],Database!$A:$C,MATCH($C$1,Database!$A$1:$C$1,),)=0,#N/A,VLOOKUP(Table7[[#This Row],[Date]],Database!$A:$C,MATCH($C$1,Database!$A$1:$C$1,),))</f>
        <v/>
      </c>
      <c r="D13187">
        <f>IFERROR(Table7[[#This Row],[United States 10y]]-Table7[[#This Row],[United States 3y]],#N/A)</f>
        <v/>
      </c>
    </row>
    <row r="13188">
      <c r="A13188" s="6">
        <f>Database!$A15273</f>
        <v/>
      </c>
      <c r="B13188">
        <f>IF(VLOOKUP(Table7[[#This Row],[Date]],Database!$A:$C,MATCH($B$1,Database!$A$1:$C$1,),)=0,#N/A,VLOOKUP(Table7[[#This Row],[Date]],Database!$A:$C,MATCH($B$1,Database!$A$1:$C$1,),))</f>
        <v/>
      </c>
      <c r="C13188">
        <f>IF(VLOOKUP(Table7[[#This Row],[Date]],Database!$A:$C,MATCH($C$1,Database!$A$1:$C$1,),)=0,#N/A,VLOOKUP(Table7[[#This Row],[Date]],Database!$A:$C,MATCH($C$1,Database!$A$1:$C$1,),))</f>
        <v/>
      </c>
      <c r="D13188">
        <f>IFERROR(Table7[[#This Row],[United States 10y]]-Table7[[#This Row],[United States 3y]],#N/A)</f>
        <v/>
      </c>
    </row>
    <row r="13189">
      <c r="A13189" s="6">
        <f>Database!$A15274</f>
        <v/>
      </c>
      <c r="B13189">
        <f>IF(VLOOKUP(Table7[[#This Row],[Date]],Database!$A:$C,MATCH($B$1,Database!$A$1:$C$1,),)=0,#N/A,VLOOKUP(Table7[[#This Row],[Date]],Database!$A:$C,MATCH($B$1,Database!$A$1:$C$1,),))</f>
        <v/>
      </c>
      <c r="C13189">
        <f>IF(VLOOKUP(Table7[[#This Row],[Date]],Database!$A:$C,MATCH($C$1,Database!$A$1:$C$1,),)=0,#N/A,VLOOKUP(Table7[[#This Row],[Date]],Database!$A:$C,MATCH($C$1,Database!$A$1:$C$1,),))</f>
        <v/>
      </c>
      <c r="D13189">
        <f>IFERROR(Table7[[#This Row],[United States 10y]]-Table7[[#This Row],[United States 3y]],#N/A)</f>
        <v/>
      </c>
    </row>
    <row r="13190">
      <c r="A13190" s="6">
        <f>Database!$A15275</f>
        <v/>
      </c>
      <c r="B13190">
        <f>IF(VLOOKUP(Table7[[#This Row],[Date]],Database!$A:$C,MATCH($B$1,Database!$A$1:$C$1,),)=0,#N/A,VLOOKUP(Table7[[#This Row],[Date]],Database!$A:$C,MATCH($B$1,Database!$A$1:$C$1,),))</f>
        <v/>
      </c>
      <c r="C13190">
        <f>IF(VLOOKUP(Table7[[#This Row],[Date]],Database!$A:$C,MATCH($C$1,Database!$A$1:$C$1,),)=0,#N/A,VLOOKUP(Table7[[#This Row],[Date]],Database!$A:$C,MATCH($C$1,Database!$A$1:$C$1,),))</f>
        <v/>
      </c>
      <c r="D13190">
        <f>IFERROR(Table7[[#This Row],[United States 10y]]-Table7[[#This Row],[United States 3y]],#N/A)</f>
        <v/>
      </c>
    </row>
    <row r="13191">
      <c r="A13191" s="6">
        <f>Database!$A15276</f>
        <v/>
      </c>
      <c r="B13191">
        <f>IF(VLOOKUP(Table7[[#This Row],[Date]],Database!$A:$C,MATCH($B$1,Database!$A$1:$C$1,),)=0,#N/A,VLOOKUP(Table7[[#This Row],[Date]],Database!$A:$C,MATCH($B$1,Database!$A$1:$C$1,),))</f>
        <v/>
      </c>
      <c r="C13191">
        <f>IF(VLOOKUP(Table7[[#This Row],[Date]],Database!$A:$C,MATCH($C$1,Database!$A$1:$C$1,),)=0,#N/A,VLOOKUP(Table7[[#This Row],[Date]],Database!$A:$C,MATCH($C$1,Database!$A$1:$C$1,),))</f>
        <v/>
      </c>
      <c r="D13191">
        <f>IFERROR(Table7[[#This Row],[United States 10y]]-Table7[[#This Row],[United States 3y]],#N/A)</f>
        <v/>
      </c>
    </row>
    <row r="13192">
      <c r="A13192" s="6">
        <f>Database!$A15277</f>
        <v/>
      </c>
      <c r="B13192">
        <f>IF(VLOOKUP(Table7[[#This Row],[Date]],Database!$A:$C,MATCH($B$1,Database!$A$1:$C$1,),)=0,#N/A,VLOOKUP(Table7[[#This Row],[Date]],Database!$A:$C,MATCH($B$1,Database!$A$1:$C$1,),))</f>
        <v/>
      </c>
      <c r="C13192">
        <f>IF(VLOOKUP(Table7[[#This Row],[Date]],Database!$A:$C,MATCH($C$1,Database!$A$1:$C$1,),)=0,#N/A,VLOOKUP(Table7[[#This Row],[Date]],Database!$A:$C,MATCH($C$1,Database!$A$1:$C$1,),))</f>
        <v/>
      </c>
      <c r="D13192">
        <f>IFERROR(Table7[[#This Row],[United States 10y]]-Table7[[#This Row],[United States 3y]],#N/A)</f>
        <v/>
      </c>
    </row>
    <row r="13193">
      <c r="A13193" s="6">
        <f>Database!$A15278</f>
        <v/>
      </c>
      <c r="B13193">
        <f>IF(VLOOKUP(Table7[[#This Row],[Date]],Database!$A:$C,MATCH($B$1,Database!$A$1:$C$1,),)=0,#N/A,VLOOKUP(Table7[[#This Row],[Date]],Database!$A:$C,MATCH($B$1,Database!$A$1:$C$1,),))</f>
        <v/>
      </c>
      <c r="C13193">
        <f>IF(VLOOKUP(Table7[[#This Row],[Date]],Database!$A:$C,MATCH($C$1,Database!$A$1:$C$1,),)=0,#N/A,VLOOKUP(Table7[[#This Row],[Date]],Database!$A:$C,MATCH($C$1,Database!$A$1:$C$1,),))</f>
        <v/>
      </c>
      <c r="D13193">
        <f>IFERROR(Table7[[#This Row],[United States 10y]]-Table7[[#This Row],[United States 3y]],#N/A)</f>
        <v/>
      </c>
    </row>
    <row r="13194">
      <c r="A13194" s="6">
        <f>Database!$A15279</f>
        <v/>
      </c>
      <c r="B13194">
        <f>IF(VLOOKUP(Table7[[#This Row],[Date]],Database!$A:$C,MATCH($B$1,Database!$A$1:$C$1,),)=0,#N/A,VLOOKUP(Table7[[#This Row],[Date]],Database!$A:$C,MATCH($B$1,Database!$A$1:$C$1,),))</f>
        <v/>
      </c>
      <c r="C13194">
        <f>IF(VLOOKUP(Table7[[#This Row],[Date]],Database!$A:$C,MATCH($C$1,Database!$A$1:$C$1,),)=0,#N/A,VLOOKUP(Table7[[#This Row],[Date]],Database!$A:$C,MATCH($C$1,Database!$A$1:$C$1,),))</f>
        <v/>
      </c>
      <c r="D13194">
        <f>IFERROR(Table7[[#This Row],[United States 10y]]-Table7[[#This Row],[United States 3y]],#N/A)</f>
        <v/>
      </c>
    </row>
    <row r="13195">
      <c r="A13195" s="6">
        <f>Database!$A15280</f>
        <v/>
      </c>
      <c r="B13195">
        <f>IF(VLOOKUP(Table7[[#This Row],[Date]],Database!$A:$C,MATCH($B$1,Database!$A$1:$C$1,),)=0,#N/A,VLOOKUP(Table7[[#This Row],[Date]],Database!$A:$C,MATCH($B$1,Database!$A$1:$C$1,),))</f>
        <v/>
      </c>
      <c r="C13195">
        <f>IF(VLOOKUP(Table7[[#This Row],[Date]],Database!$A:$C,MATCH($C$1,Database!$A$1:$C$1,),)=0,#N/A,VLOOKUP(Table7[[#This Row],[Date]],Database!$A:$C,MATCH($C$1,Database!$A$1:$C$1,),))</f>
        <v/>
      </c>
      <c r="D13195">
        <f>IFERROR(Table7[[#This Row],[United States 10y]]-Table7[[#This Row],[United States 3y]],#N/A)</f>
        <v/>
      </c>
    </row>
    <row r="13196">
      <c r="A13196" s="6">
        <f>Database!$A15281</f>
        <v/>
      </c>
      <c r="B13196">
        <f>IF(VLOOKUP(Table7[[#This Row],[Date]],Database!$A:$C,MATCH($B$1,Database!$A$1:$C$1,),)=0,#N/A,VLOOKUP(Table7[[#This Row],[Date]],Database!$A:$C,MATCH($B$1,Database!$A$1:$C$1,),))</f>
        <v/>
      </c>
      <c r="C13196">
        <f>IF(VLOOKUP(Table7[[#This Row],[Date]],Database!$A:$C,MATCH($C$1,Database!$A$1:$C$1,),)=0,#N/A,VLOOKUP(Table7[[#This Row],[Date]],Database!$A:$C,MATCH($C$1,Database!$A$1:$C$1,),))</f>
        <v/>
      </c>
      <c r="D13196">
        <f>IFERROR(Table7[[#This Row],[United States 10y]]-Table7[[#This Row],[United States 3y]],#N/A)</f>
        <v/>
      </c>
    </row>
    <row r="13197">
      <c r="A13197" s="6">
        <f>Database!$A15282</f>
        <v/>
      </c>
      <c r="B13197">
        <f>IF(VLOOKUP(Table7[[#This Row],[Date]],Database!$A:$C,MATCH($B$1,Database!$A$1:$C$1,),)=0,#N/A,VLOOKUP(Table7[[#This Row],[Date]],Database!$A:$C,MATCH($B$1,Database!$A$1:$C$1,),))</f>
        <v/>
      </c>
      <c r="C13197">
        <f>IF(VLOOKUP(Table7[[#This Row],[Date]],Database!$A:$C,MATCH($C$1,Database!$A$1:$C$1,),)=0,#N/A,VLOOKUP(Table7[[#This Row],[Date]],Database!$A:$C,MATCH($C$1,Database!$A$1:$C$1,),))</f>
        <v/>
      </c>
      <c r="D13197">
        <f>IFERROR(Table7[[#This Row],[United States 10y]]-Table7[[#This Row],[United States 3y]],#N/A)</f>
        <v/>
      </c>
    </row>
    <row r="13198">
      <c r="A13198" s="6">
        <f>Database!$A15283</f>
        <v/>
      </c>
      <c r="B13198">
        <f>IF(VLOOKUP(Table7[[#This Row],[Date]],Database!$A:$C,MATCH($B$1,Database!$A$1:$C$1,),)=0,#N/A,VLOOKUP(Table7[[#This Row],[Date]],Database!$A:$C,MATCH($B$1,Database!$A$1:$C$1,),))</f>
        <v/>
      </c>
      <c r="C13198">
        <f>IF(VLOOKUP(Table7[[#This Row],[Date]],Database!$A:$C,MATCH($C$1,Database!$A$1:$C$1,),)=0,#N/A,VLOOKUP(Table7[[#This Row],[Date]],Database!$A:$C,MATCH($C$1,Database!$A$1:$C$1,),))</f>
        <v/>
      </c>
      <c r="D13198">
        <f>IFERROR(Table7[[#This Row],[United States 10y]]-Table7[[#This Row],[United States 3y]],#N/A)</f>
        <v/>
      </c>
    </row>
    <row r="13199">
      <c r="A13199" s="6">
        <f>Database!$A15284</f>
        <v/>
      </c>
      <c r="B13199">
        <f>IF(VLOOKUP(Table7[[#This Row],[Date]],Database!$A:$C,MATCH($B$1,Database!$A$1:$C$1,),)=0,#N/A,VLOOKUP(Table7[[#This Row],[Date]],Database!$A:$C,MATCH($B$1,Database!$A$1:$C$1,),))</f>
        <v/>
      </c>
      <c r="C13199">
        <f>IF(VLOOKUP(Table7[[#This Row],[Date]],Database!$A:$C,MATCH($C$1,Database!$A$1:$C$1,),)=0,#N/A,VLOOKUP(Table7[[#This Row],[Date]],Database!$A:$C,MATCH($C$1,Database!$A$1:$C$1,),))</f>
        <v/>
      </c>
      <c r="D13199">
        <f>IFERROR(Table7[[#This Row],[United States 10y]]-Table7[[#This Row],[United States 3y]],#N/A)</f>
        <v/>
      </c>
    </row>
    <row r="13200">
      <c r="A13200" s="6">
        <f>Database!$A15285</f>
        <v/>
      </c>
      <c r="B13200">
        <f>IF(VLOOKUP(Table7[[#This Row],[Date]],Database!$A:$C,MATCH($B$1,Database!$A$1:$C$1,),)=0,#N/A,VLOOKUP(Table7[[#This Row],[Date]],Database!$A:$C,MATCH($B$1,Database!$A$1:$C$1,),))</f>
        <v/>
      </c>
      <c r="C13200">
        <f>IF(VLOOKUP(Table7[[#This Row],[Date]],Database!$A:$C,MATCH($C$1,Database!$A$1:$C$1,),)=0,#N/A,VLOOKUP(Table7[[#This Row],[Date]],Database!$A:$C,MATCH($C$1,Database!$A$1:$C$1,),))</f>
        <v/>
      </c>
      <c r="D13200">
        <f>IFERROR(Table7[[#This Row],[United States 10y]]-Table7[[#This Row],[United States 3y]],#N/A)</f>
        <v/>
      </c>
    </row>
    <row r="13201">
      <c r="A13201" s="6">
        <f>Database!$A15286</f>
        <v/>
      </c>
      <c r="B13201">
        <f>IF(VLOOKUP(Table7[[#This Row],[Date]],Database!$A:$C,MATCH($B$1,Database!$A$1:$C$1,),)=0,#N/A,VLOOKUP(Table7[[#This Row],[Date]],Database!$A:$C,MATCH($B$1,Database!$A$1:$C$1,),))</f>
        <v/>
      </c>
      <c r="C13201">
        <f>IF(VLOOKUP(Table7[[#This Row],[Date]],Database!$A:$C,MATCH($C$1,Database!$A$1:$C$1,),)=0,#N/A,VLOOKUP(Table7[[#This Row],[Date]],Database!$A:$C,MATCH($C$1,Database!$A$1:$C$1,),))</f>
        <v/>
      </c>
      <c r="D13201">
        <f>IFERROR(Table7[[#This Row],[United States 10y]]-Table7[[#This Row],[United States 3y]],#N/A)</f>
        <v/>
      </c>
    </row>
    <row r="13202">
      <c r="A13202" s="6">
        <f>Database!$A15287</f>
        <v/>
      </c>
      <c r="B13202">
        <f>IF(VLOOKUP(Table7[[#This Row],[Date]],Database!$A:$C,MATCH($B$1,Database!$A$1:$C$1,),)=0,#N/A,VLOOKUP(Table7[[#This Row],[Date]],Database!$A:$C,MATCH($B$1,Database!$A$1:$C$1,),))</f>
        <v/>
      </c>
      <c r="C13202">
        <f>IF(VLOOKUP(Table7[[#This Row],[Date]],Database!$A:$C,MATCH($C$1,Database!$A$1:$C$1,),)=0,#N/A,VLOOKUP(Table7[[#This Row],[Date]],Database!$A:$C,MATCH($C$1,Database!$A$1:$C$1,),))</f>
        <v/>
      </c>
      <c r="D13202">
        <f>IFERROR(Table7[[#This Row],[United States 10y]]-Table7[[#This Row],[United States 3y]],#N/A)</f>
        <v/>
      </c>
    </row>
    <row r="13203">
      <c r="A13203" s="6">
        <f>Database!$A15288</f>
        <v/>
      </c>
      <c r="B13203">
        <f>IF(VLOOKUP(Table7[[#This Row],[Date]],Database!$A:$C,MATCH($B$1,Database!$A$1:$C$1,),)=0,#N/A,VLOOKUP(Table7[[#This Row],[Date]],Database!$A:$C,MATCH($B$1,Database!$A$1:$C$1,),))</f>
        <v/>
      </c>
      <c r="C13203">
        <f>IF(VLOOKUP(Table7[[#This Row],[Date]],Database!$A:$C,MATCH($C$1,Database!$A$1:$C$1,),)=0,#N/A,VLOOKUP(Table7[[#This Row],[Date]],Database!$A:$C,MATCH($C$1,Database!$A$1:$C$1,),))</f>
        <v/>
      </c>
      <c r="D13203">
        <f>IFERROR(Table7[[#This Row],[United States 10y]]-Table7[[#This Row],[United States 3y]],#N/A)</f>
        <v/>
      </c>
    </row>
    <row r="13204">
      <c r="A13204" s="6">
        <f>Database!$A15289</f>
        <v/>
      </c>
      <c r="B13204">
        <f>IF(VLOOKUP(Table7[[#This Row],[Date]],Database!$A:$C,MATCH($B$1,Database!$A$1:$C$1,),)=0,#N/A,VLOOKUP(Table7[[#This Row],[Date]],Database!$A:$C,MATCH($B$1,Database!$A$1:$C$1,),))</f>
        <v/>
      </c>
      <c r="C13204">
        <f>IF(VLOOKUP(Table7[[#This Row],[Date]],Database!$A:$C,MATCH($C$1,Database!$A$1:$C$1,),)=0,#N/A,VLOOKUP(Table7[[#This Row],[Date]],Database!$A:$C,MATCH($C$1,Database!$A$1:$C$1,),))</f>
        <v/>
      </c>
      <c r="D13204">
        <f>IFERROR(Table7[[#This Row],[United States 10y]]-Table7[[#This Row],[United States 3y]],#N/A)</f>
        <v/>
      </c>
    </row>
    <row r="13205">
      <c r="A13205" s="6">
        <f>Database!$A15290</f>
        <v/>
      </c>
      <c r="B13205">
        <f>IF(VLOOKUP(Table7[[#This Row],[Date]],Database!$A:$C,MATCH($B$1,Database!$A$1:$C$1,),)=0,#N/A,VLOOKUP(Table7[[#This Row],[Date]],Database!$A:$C,MATCH($B$1,Database!$A$1:$C$1,),))</f>
        <v/>
      </c>
      <c r="C13205">
        <f>IF(VLOOKUP(Table7[[#This Row],[Date]],Database!$A:$C,MATCH($C$1,Database!$A$1:$C$1,),)=0,#N/A,VLOOKUP(Table7[[#This Row],[Date]],Database!$A:$C,MATCH($C$1,Database!$A$1:$C$1,),))</f>
        <v/>
      </c>
      <c r="D13205">
        <f>IFERROR(Table7[[#This Row],[United States 10y]]-Table7[[#This Row],[United States 3y]],#N/A)</f>
        <v/>
      </c>
    </row>
    <row r="13206">
      <c r="A13206" s="6">
        <f>Database!$A15291</f>
        <v/>
      </c>
      <c r="B13206">
        <f>IF(VLOOKUP(Table7[[#This Row],[Date]],Database!$A:$C,MATCH($B$1,Database!$A$1:$C$1,),)=0,#N/A,VLOOKUP(Table7[[#This Row],[Date]],Database!$A:$C,MATCH($B$1,Database!$A$1:$C$1,),))</f>
        <v/>
      </c>
      <c r="C13206">
        <f>IF(VLOOKUP(Table7[[#This Row],[Date]],Database!$A:$C,MATCH($C$1,Database!$A$1:$C$1,),)=0,#N/A,VLOOKUP(Table7[[#This Row],[Date]],Database!$A:$C,MATCH($C$1,Database!$A$1:$C$1,),))</f>
        <v/>
      </c>
      <c r="D13206">
        <f>IFERROR(Table7[[#This Row],[United States 10y]]-Table7[[#This Row],[United States 3y]],#N/A)</f>
        <v/>
      </c>
    </row>
    <row r="13207">
      <c r="A13207" s="6">
        <f>Database!$A15292</f>
        <v/>
      </c>
      <c r="B13207">
        <f>IF(VLOOKUP(Table7[[#This Row],[Date]],Database!$A:$C,MATCH($B$1,Database!$A$1:$C$1,),)=0,#N/A,VLOOKUP(Table7[[#This Row],[Date]],Database!$A:$C,MATCH($B$1,Database!$A$1:$C$1,),))</f>
        <v/>
      </c>
      <c r="C13207">
        <f>IF(VLOOKUP(Table7[[#This Row],[Date]],Database!$A:$C,MATCH($C$1,Database!$A$1:$C$1,),)=0,#N/A,VLOOKUP(Table7[[#This Row],[Date]],Database!$A:$C,MATCH($C$1,Database!$A$1:$C$1,),))</f>
        <v/>
      </c>
      <c r="D13207">
        <f>IFERROR(Table7[[#This Row],[United States 10y]]-Table7[[#This Row],[United States 3y]],#N/A)</f>
        <v/>
      </c>
    </row>
    <row r="13208">
      <c r="A13208" s="6">
        <f>Database!$A15293</f>
        <v/>
      </c>
      <c r="B13208">
        <f>IF(VLOOKUP(Table7[[#This Row],[Date]],Database!$A:$C,MATCH($B$1,Database!$A$1:$C$1,),)=0,#N/A,VLOOKUP(Table7[[#This Row],[Date]],Database!$A:$C,MATCH($B$1,Database!$A$1:$C$1,),))</f>
        <v/>
      </c>
      <c r="C13208">
        <f>IF(VLOOKUP(Table7[[#This Row],[Date]],Database!$A:$C,MATCH($C$1,Database!$A$1:$C$1,),)=0,#N/A,VLOOKUP(Table7[[#This Row],[Date]],Database!$A:$C,MATCH($C$1,Database!$A$1:$C$1,),))</f>
        <v/>
      </c>
      <c r="D13208">
        <f>IFERROR(Table7[[#This Row],[United States 10y]]-Table7[[#This Row],[United States 3y]],#N/A)</f>
        <v/>
      </c>
    </row>
    <row r="13209">
      <c r="A13209" s="6">
        <f>Database!$A15294</f>
        <v/>
      </c>
      <c r="B13209">
        <f>IF(VLOOKUP(Table7[[#This Row],[Date]],Database!$A:$C,MATCH($B$1,Database!$A$1:$C$1,),)=0,#N/A,VLOOKUP(Table7[[#This Row],[Date]],Database!$A:$C,MATCH($B$1,Database!$A$1:$C$1,),))</f>
        <v/>
      </c>
      <c r="C13209">
        <f>IF(VLOOKUP(Table7[[#This Row],[Date]],Database!$A:$C,MATCH($C$1,Database!$A$1:$C$1,),)=0,#N/A,VLOOKUP(Table7[[#This Row],[Date]],Database!$A:$C,MATCH($C$1,Database!$A$1:$C$1,),))</f>
        <v/>
      </c>
      <c r="D13209">
        <f>IFERROR(Table7[[#This Row],[United States 10y]]-Table7[[#This Row],[United States 3y]],#N/A)</f>
        <v/>
      </c>
    </row>
    <row r="13210">
      <c r="A13210" s="6">
        <f>Database!$A15295</f>
        <v/>
      </c>
      <c r="B13210">
        <f>IF(VLOOKUP(Table7[[#This Row],[Date]],Database!$A:$C,MATCH($B$1,Database!$A$1:$C$1,),)=0,#N/A,VLOOKUP(Table7[[#This Row],[Date]],Database!$A:$C,MATCH($B$1,Database!$A$1:$C$1,),))</f>
        <v/>
      </c>
      <c r="C13210">
        <f>IF(VLOOKUP(Table7[[#This Row],[Date]],Database!$A:$C,MATCH($C$1,Database!$A$1:$C$1,),)=0,#N/A,VLOOKUP(Table7[[#This Row],[Date]],Database!$A:$C,MATCH($C$1,Database!$A$1:$C$1,),))</f>
        <v/>
      </c>
      <c r="D13210">
        <f>IFERROR(Table7[[#This Row],[United States 10y]]-Table7[[#This Row],[United States 3y]],#N/A)</f>
        <v/>
      </c>
    </row>
    <row r="13211">
      <c r="A13211" s="6">
        <f>Database!$A15296</f>
        <v/>
      </c>
      <c r="B13211">
        <f>IF(VLOOKUP(Table7[[#This Row],[Date]],Database!$A:$C,MATCH($B$1,Database!$A$1:$C$1,),)=0,#N/A,VLOOKUP(Table7[[#This Row],[Date]],Database!$A:$C,MATCH($B$1,Database!$A$1:$C$1,),))</f>
        <v/>
      </c>
      <c r="C13211">
        <f>IF(VLOOKUP(Table7[[#This Row],[Date]],Database!$A:$C,MATCH($C$1,Database!$A$1:$C$1,),)=0,#N/A,VLOOKUP(Table7[[#This Row],[Date]],Database!$A:$C,MATCH($C$1,Database!$A$1:$C$1,),))</f>
        <v/>
      </c>
      <c r="D13211">
        <f>IFERROR(Table7[[#This Row],[United States 10y]]-Table7[[#This Row],[United States 3y]],#N/A)</f>
        <v/>
      </c>
    </row>
    <row r="13212">
      <c r="A13212" s="6">
        <f>Database!$A15297</f>
        <v/>
      </c>
      <c r="B13212">
        <f>IF(VLOOKUP(Table7[[#This Row],[Date]],Database!$A:$C,MATCH($B$1,Database!$A$1:$C$1,),)=0,#N/A,VLOOKUP(Table7[[#This Row],[Date]],Database!$A:$C,MATCH($B$1,Database!$A$1:$C$1,),))</f>
        <v/>
      </c>
      <c r="C13212">
        <f>IF(VLOOKUP(Table7[[#This Row],[Date]],Database!$A:$C,MATCH($C$1,Database!$A$1:$C$1,),)=0,#N/A,VLOOKUP(Table7[[#This Row],[Date]],Database!$A:$C,MATCH($C$1,Database!$A$1:$C$1,),))</f>
        <v/>
      </c>
      <c r="D13212">
        <f>IFERROR(Table7[[#This Row],[United States 10y]]-Table7[[#This Row],[United States 3y]],#N/A)</f>
        <v/>
      </c>
    </row>
    <row r="13213">
      <c r="A13213" s="6">
        <f>Database!$A15298</f>
        <v/>
      </c>
      <c r="B13213">
        <f>IF(VLOOKUP(Table7[[#This Row],[Date]],Database!$A:$C,MATCH($B$1,Database!$A$1:$C$1,),)=0,#N/A,VLOOKUP(Table7[[#This Row],[Date]],Database!$A:$C,MATCH($B$1,Database!$A$1:$C$1,),))</f>
        <v/>
      </c>
      <c r="C13213">
        <f>IF(VLOOKUP(Table7[[#This Row],[Date]],Database!$A:$C,MATCH($C$1,Database!$A$1:$C$1,),)=0,#N/A,VLOOKUP(Table7[[#This Row],[Date]],Database!$A:$C,MATCH($C$1,Database!$A$1:$C$1,),))</f>
        <v/>
      </c>
      <c r="D13213">
        <f>IFERROR(Table7[[#This Row],[United States 10y]]-Table7[[#This Row],[United States 3y]],#N/A)</f>
        <v/>
      </c>
    </row>
    <row r="13214">
      <c r="A13214" s="6">
        <f>Database!$A15299</f>
        <v/>
      </c>
      <c r="B13214">
        <f>IF(VLOOKUP(Table7[[#This Row],[Date]],Database!$A:$C,MATCH($B$1,Database!$A$1:$C$1,),)=0,#N/A,VLOOKUP(Table7[[#This Row],[Date]],Database!$A:$C,MATCH($B$1,Database!$A$1:$C$1,),))</f>
        <v/>
      </c>
      <c r="C13214">
        <f>IF(VLOOKUP(Table7[[#This Row],[Date]],Database!$A:$C,MATCH($C$1,Database!$A$1:$C$1,),)=0,#N/A,VLOOKUP(Table7[[#This Row],[Date]],Database!$A:$C,MATCH($C$1,Database!$A$1:$C$1,),))</f>
        <v/>
      </c>
      <c r="D13214">
        <f>IFERROR(Table7[[#This Row],[United States 10y]]-Table7[[#This Row],[United States 3y]],#N/A)</f>
        <v/>
      </c>
    </row>
    <row r="13215">
      <c r="A13215" s="6">
        <f>Database!$A15300</f>
        <v/>
      </c>
      <c r="B13215">
        <f>IF(VLOOKUP(Table7[[#This Row],[Date]],Database!$A:$C,MATCH($B$1,Database!$A$1:$C$1,),)=0,#N/A,VLOOKUP(Table7[[#This Row],[Date]],Database!$A:$C,MATCH($B$1,Database!$A$1:$C$1,),))</f>
        <v/>
      </c>
      <c r="C13215">
        <f>IF(VLOOKUP(Table7[[#This Row],[Date]],Database!$A:$C,MATCH($C$1,Database!$A$1:$C$1,),)=0,#N/A,VLOOKUP(Table7[[#This Row],[Date]],Database!$A:$C,MATCH($C$1,Database!$A$1:$C$1,),))</f>
        <v/>
      </c>
      <c r="D13215">
        <f>IFERROR(Table7[[#This Row],[United States 10y]]-Table7[[#This Row],[United States 3y]],#N/A)</f>
        <v/>
      </c>
    </row>
    <row r="13216">
      <c r="A13216" s="6">
        <f>Database!$A15301</f>
        <v/>
      </c>
      <c r="B13216">
        <f>IF(VLOOKUP(Table7[[#This Row],[Date]],Database!$A:$C,MATCH($B$1,Database!$A$1:$C$1,),)=0,#N/A,VLOOKUP(Table7[[#This Row],[Date]],Database!$A:$C,MATCH($B$1,Database!$A$1:$C$1,),))</f>
        <v/>
      </c>
      <c r="C13216">
        <f>IF(VLOOKUP(Table7[[#This Row],[Date]],Database!$A:$C,MATCH($C$1,Database!$A$1:$C$1,),)=0,#N/A,VLOOKUP(Table7[[#This Row],[Date]],Database!$A:$C,MATCH($C$1,Database!$A$1:$C$1,),))</f>
        <v/>
      </c>
      <c r="D13216">
        <f>IFERROR(Table7[[#This Row],[United States 10y]]-Table7[[#This Row],[United States 3y]],#N/A)</f>
        <v/>
      </c>
    </row>
    <row r="13217">
      <c r="A13217" s="6">
        <f>Database!$A15302</f>
        <v/>
      </c>
      <c r="B13217">
        <f>IF(VLOOKUP(Table7[[#This Row],[Date]],Database!$A:$C,MATCH($B$1,Database!$A$1:$C$1,),)=0,#N/A,VLOOKUP(Table7[[#This Row],[Date]],Database!$A:$C,MATCH($B$1,Database!$A$1:$C$1,),))</f>
        <v/>
      </c>
      <c r="C13217">
        <f>IF(VLOOKUP(Table7[[#This Row],[Date]],Database!$A:$C,MATCH($C$1,Database!$A$1:$C$1,),)=0,#N/A,VLOOKUP(Table7[[#This Row],[Date]],Database!$A:$C,MATCH($C$1,Database!$A$1:$C$1,),))</f>
        <v/>
      </c>
      <c r="D13217">
        <f>IFERROR(Table7[[#This Row],[United States 10y]]-Table7[[#This Row],[United States 3y]],#N/A)</f>
        <v/>
      </c>
    </row>
    <row r="13218">
      <c r="A13218" s="6">
        <f>Database!$A15303</f>
        <v/>
      </c>
      <c r="B13218">
        <f>IF(VLOOKUP(Table7[[#This Row],[Date]],Database!$A:$C,MATCH($B$1,Database!$A$1:$C$1,),)=0,#N/A,VLOOKUP(Table7[[#This Row],[Date]],Database!$A:$C,MATCH($B$1,Database!$A$1:$C$1,),))</f>
        <v/>
      </c>
      <c r="C13218">
        <f>IF(VLOOKUP(Table7[[#This Row],[Date]],Database!$A:$C,MATCH($C$1,Database!$A$1:$C$1,),)=0,#N/A,VLOOKUP(Table7[[#This Row],[Date]],Database!$A:$C,MATCH($C$1,Database!$A$1:$C$1,),))</f>
        <v/>
      </c>
      <c r="D13218">
        <f>IFERROR(Table7[[#This Row],[United States 10y]]-Table7[[#This Row],[United States 3y]],#N/A)</f>
        <v/>
      </c>
    </row>
    <row r="13219">
      <c r="A13219" s="6">
        <f>Database!$A15304</f>
        <v/>
      </c>
      <c r="B13219">
        <f>IF(VLOOKUP(Table7[[#This Row],[Date]],Database!$A:$C,MATCH($B$1,Database!$A$1:$C$1,),)=0,#N/A,VLOOKUP(Table7[[#This Row],[Date]],Database!$A:$C,MATCH($B$1,Database!$A$1:$C$1,),))</f>
        <v/>
      </c>
      <c r="C13219">
        <f>IF(VLOOKUP(Table7[[#This Row],[Date]],Database!$A:$C,MATCH($C$1,Database!$A$1:$C$1,),)=0,#N/A,VLOOKUP(Table7[[#This Row],[Date]],Database!$A:$C,MATCH($C$1,Database!$A$1:$C$1,),))</f>
        <v/>
      </c>
      <c r="D13219">
        <f>IFERROR(Table7[[#This Row],[United States 10y]]-Table7[[#This Row],[United States 3y]],#N/A)</f>
        <v/>
      </c>
    </row>
    <row r="13220">
      <c r="A13220" s="6">
        <f>Database!$A15305</f>
        <v/>
      </c>
      <c r="B13220">
        <f>IF(VLOOKUP(Table7[[#This Row],[Date]],Database!$A:$C,MATCH($B$1,Database!$A$1:$C$1,),)=0,#N/A,VLOOKUP(Table7[[#This Row],[Date]],Database!$A:$C,MATCH($B$1,Database!$A$1:$C$1,),))</f>
        <v/>
      </c>
      <c r="C13220">
        <f>IF(VLOOKUP(Table7[[#This Row],[Date]],Database!$A:$C,MATCH($C$1,Database!$A$1:$C$1,),)=0,#N/A,VLOOKUP(Table7[[#This Row],[Date]],Database!$A:$C,MATCH($C$1,Database!$A$1:$C$1,),))</f>
        <v/>
      </c>
      <c r="D13220">
        <f>IFERROR(Table7[[#This Row],[United States 10y]]-Table7[[#This Row],[United States 3y]],#N/A)</f>
        <v/>
      </c>
    </row>
    <row r="13221">
      <c r="A13221" s="6">
        <f>Database!$A15306</f>
        <v/>
      </c>
      <c r="B13221">
        <f>IF(VLOOKUP(Table7[[#This Row],[Date]],Database!$A:$C,MATCH($B$1,Database!$A$1:$C$1,),)=0,#N/A,VLOOKUP(Table7[[#This Row],[Date]],Database!$A:$C,MATCH($B$1,Database!$A$1:$C$1,),))</f>
        <v/>
      </c>
      <c r="C13221">
        <f>IF(VLOOKUP(Table7[[#This Row],[Date]],Database!$A:$C,MATCH($C$1,Database!$A$1:$C$1,),)=0,#N/A,VLOOKUP(Table7[[#This Row],[Date]],Database!$A:$C,MATCH($C$1,Database!$A$1:$C$1,),))</f>
        <v/>
      </c>
      <c r="D13221">
        <f>IFERROR(Table7[[#This Row],[United States 10y]]-Table7[[#This Row],[United States 3y]],#N/A)</f>
        <v/>
      </c>
    </row>
    <row r="13222">
      <c r="A13222" s="6">
        <f>Database!$A15307</f>
        <v/>
      </c>
      <c r="B13222">
        <f>IF(VLOOKUP(Table7[[#This Row],[Date]],Database!$A:$C,MATCH($B$1,Database!$A$1:$C$1,),)=0,#N/A,VLOOKUP(Table7[[#This Row],[Date]],Database!$A:$C,MATCH($B$1,Database!$A$1:$C$1,),))</f>
        <v/>
      </c>
      <c r="C13222">
        <f>IF(VLOOKUP(Table7[[#This Row],[Date]],Database!$A:$C,MATCH($C$1,Database!$A$1:$C$1,),)=0,#N/A,VLOOKUP(Table7[[#This Row],[Date]],Database!$A:$C,MATCH($C$1,Database!$A$1:$C$1,),))</f>
        <v/>
      </c>
      <c r="D13222">
        <f>IFERROR(Table7[[#This Row],[United States 10y]]-Table7[[#This Row],[United States 3y]],#N/A)</f>
        <v/>
      </c>
    </row>
    <row r="13223">
      <c r="A13223" s="6">
        <f>Database!$A15308</f>
        <v/>
      </c>
      <c r="B13223">
        <f>IF(VLOOKUP(Table7[[#This Row],[Date]],Database!$A:$C,MATCH($B$1,Database!$A$1:$C$1,),)=0,#N/A,VLOOKUP(Table7[[#This Row],[Date]],Database!$A:$C,MATCH($B$1,Database!$A$1:$C$1,),))</f>
        <v/>
      </c>
      <c r="C13223">
        <f>IF(VLOOKUP(Table7[[#This Row],[Date]],Database!$A:$C,MATCH($C$1,Database!$A$1:$C$1,),)=0,#N/A,VLOOKUP(Table7[[#This Row],[Date]],Database!$A:$C,MATCH($C$1,Database!$A$1:$C$1,),))</f>
        <v/>
      </c>
      <c r="D13223">
        <f>IFERROR(Table7[[#This Row],[United States 10y]]-Table7[[#This Row],[United States 3y]],#N/A)</f>
        <v/>
      </c>
    </row>
    <row r="13224">
      <c r="A13224" s="6">
        <f>Database!$A15309</f>
        <v/>
      </c>
      <c r="B13224">
        <f>IF(VLOOKUP(Table7[[#This Row],[Date]],Database!$A:$C,MATCH($B$1,Database!$A$1:$C$1,),)=0,#N/A,VLOOKUP(Table7[[#This Row],[Date]],Database!$A:$C,MATCH($B$1,Database!$A$1:$C$1,),))</f>
        <v/>
      </c>
      <c r="C13224">
        <f>IF(VLOOKUP(Table7[[#This Row],[Date]],Database!$A:$C,MATCH($C$1,Database!$A$1:$C$1,),)=0,#N/A,VLOOKUP(Table7[[#This Row],[Date]],Database!$A:$C,MATCH($C$1,Database!$A$1:$C$1,),))</f>
        <v/>
      </c>
      <c r="D13224">
        <f>IFERROR(Table7[[#This Row],[United States 10y]]-Table7[[#This Row],[United States 3y]],#N/A)</f>
        <v/>
      </c>
    </row>
    <row r="13225">
      <c r="A13225" s="6">
        <f>Database!$A15310</f>
        <v/>
      </c>
      <c r="B13225">
        <f>IF(VLOOKUP(Table7[[#This Row],[Date]],Database!$A:$C,MATCH($B$1,Database!$A$1:$C$1,),)=0,#N/A,VLOOKUP(Table7[[#This Row],[Date]],Database!$A:$C,MATCH($B$1,Database!$A$1:$C$1,),))</f>
        <v/>
      </c>
      <c r="C13225">
        <f>IF(VLOOKUP(Table7[[#This Row],[Date]],Database!$A:$C,MATCH($C$1,Database!$A$1:$C$1,),)=0,#N/A,VLOOKUP(Table7[[#This Row],[Date]],Database!$A:$C,MATCH($C$1,Database!$A$1:$C$1,),))</f>
        <v/>
      </c>
      <c r="D13225">
        <f>IFERROR(Table7[[#This Row],[United States 10y]]-Table7[[#This Row],[United States 3y]],#N/A)</f>
        <v/>
      </c>
    </row>
    <row r="13226">
      <c r="A13226" s="6">
        <f>Database!$A15311</f>
        <v/>
      </c>
      <c r="B13226">
        <f>IF(VLOOKUP(Table7[[#This Row],[Date]],Database!$A:$C,MATCH($B$1,Database!$A$1:$C$1,),)=0,#N/A,VLOOKUP(Table7[[#This Row],[Date]],Database!$A:$C,MATCH($B$1,Database!$A$1:$C$1,),))</f>
        <v/>
      </c>
      <c r="C13226">
        <f>IF(VLOOKUP(Table7[[#This Row],[Date]],Database!$A:$C,MATCH($C$1,Database!$A$1:$C$1,),)=0,#N/A,VLOOKUP(Table7[[#This Row],[Date]],Database!$A:$C,MATCH($C$1,Database!$A$1:$C$1,),))</f>
        <v/>
      </c>
      <c r="D13226">
        <f>IFERROR(Table7[[#This Row],[United States 10y]]-Table7[[#This Row],[United States 3y]],#N/A)</f>
        <v/>
      </c>
    </row>
    <row r="13227">
      <c r="A13227" s="6">
        <f>Database!$A15312</f>
        <v/>
      </c>
      <c r="B13227">
        <f>IF(VLOOKUP(Table7[[#This Row],[Date]],Database!$A:$C,MATCH($B$1,Database!$A$1:$C$1,),)=0,#N/A,VLOOKUP(Table7[[#This Row],[Date]],Database!$A:$C,MATCH($B$1,Database!$A$1:$C$1,),))</f>
        <v/>
      </c>
      <c r="C13227">
        <f>IF(VLOOKUP(Table7[[#This Row],[Date]],Database!$A:$C,MATCH($C$1,Database!$A$1:$C$1,),)=0,#N/A,VLOOKUP(Table7[[#This Row],[Date]],Database!$A:$C,MATCH($C$1,Database!$A$1:$C$1,),))</f>
        <v/>
      </c>
      <c r="D13227">
        <f>IFERROR(Table7[[#This Row],[United States 10y]]-Table7[[#This Row],[United States 3y]],#N/A)</f>
        <v/>
      </c>
    </row>
    <row r="13228">
      <c r="A13228" s="6">
        <f>Database!$A15313</f>
        <v/>
      </c>
      <c r="B13228">
        <f>IF(VLOOKUP(Table7[[#This Row],[Date]],Database!$A:$C,MATCH($B$1,Database!$A$1:$C$1,),)=0,#N/A,VLOOKUP(Table7[[#This Row],[Date]],Database!$A:$C,MATCH($B$1,Database!$A$1:$C$1,),))</f>
        <v/>
      </c>
      <c r="C13228">
        <f>IF(VLOOKUP(Table7[[#This Row],[Date]],Database!$A:$C,MATCH($C$1,Database!$A$1:$C$1,),)=0,#N/A,VLOOKUP(Table7[[#This Row],[Date]],Database!$A:$C,MATCH($C$1,Database!$A$1:$C$1,),))</f>
        <v/>
      </c>
      <c r="D13228">
        <f>IFERROR(Table7[[#This Row],[United States 10y]]-Table7[[#This Row],[United States 3y]],#N/A)</f>
        <v/>
      </c>
    </row>
    <row r="13229">
      <c r="A13229" s="6">
        <f>Database!$A15314</f>
        <v/>
      </c>
      <c r="B13229">
        <f>IF(VLOOKUP(Table7[[#This Row],[Date]],Database!$A:$C,MATCH($B$1,Database!$A$1:$C$1,),)=0,#N/A,VLOOKUP(Table7[[#This Row],[Date]],Database!$A:$C,MATCH($B$1,Database!$A$1:$C$1,),))</f>
        <v/>
      </c>
      <c r="C13229">
        <f>IF(VLOOKUP(Table7[[#This Row],[Date]],Database!$A:$C,MATCH($C$1,Database!$A$1:$C$1,),)=0,#N/A,VLOOKUP(Table7[[#This Row],[Date]],Database!$A:$C,MATCH($C$1,Database!$A$1:$C$1,),))</f>
        <v/>
      </c>
      <c r="D13229">
        <f>IFERROR(Table7[[#This Row],[United States 10y]]-Table7[[#This Row],[United States 3y]],#N/A)</f>
        <v/>
      </c>
    </row>
    <row r="13230">
      <c r="A13230" s="6">
        <f>Database!$A15315</f>
        <v/>
      </c>
      <c r="B13230">
        <f>IF(VLOOKUP(Table7[[#This Row],[Date]],Database!$A:$C,MATCH($B$1,Database!$A$1:$C$1,),)=0,#N/A,VLOOKUP(Table7[[#This Row],[Date]],Database!$A:$C,MATCH($B$1,Database!$A$1:$C$1,),))</f>
        <v/>
      </c>
      <c r="C13230">
        <f>IF(VLOOKUP(Table7[[#This Row],[Date]],Database!$A:$C,MATCH($C$1,Database!$A$1:$C$1,),)=0,#N/A,VLOOKUP(Table7[[#This Row],[Date]],Database!$A:$C,MATCH($C$1,Database!$A$1:$C$1,),))</f>
        <v/>
      </c>
      <c r="D13230">
        <f>IFERROR(Table7[[#This Row],[United States 10y]]-Table7[[#This Row],[United States 3y]],#N/A)</f>
        <v/>
      </c>
    </row>
    <row r="13231">
      <c r="A13231" s="6">
        <f>Database!$A15316</f>
        <v/>
      </c>
      <c r="B13231">
        <f>IF(VLOOKUP(Table7[[#This Row],[Date]],Database!$A:$C,MATCH($B$1,Database!$A$1:$C$1,),)=0,#N/A,VLOOKUP(Table7[[#This Row],[Date]],Database!$A:$C,MATCH($B$1,Database!$A$1:$C$1,),))</f>
        <v/>
      </c>
      <c r="C13231">
        <f>IF(VLOOKUP(Table7[[#This Row],[Date]],Database!$A:$C,MATCH($C$1,Database!$A$1:$C$1,),)=0,#N/A,VLOOKUP(Table7[[#This Row],[Date]],Database!$A:$C,MATCH($C$1,Database!$A$1:$C$1,),))</f>
        <v/>
      </c>
      <c r="D13231">
        <f>IFERROR(Table7[[#This Row],[United States 10y]]-Table7[[#This Row],[United States 3y]],#N/A)</f>
        <v/>
      </c>
    </row>
    <row r="13232">
      <c r="A13232" s="6">
        <f>Database!$A15317</f>
        <v/>
      </c>
      <c r="B13232">
        <f>IF(VLOOKUP(Table7[[#This Row],[Date]],Database!$A:$C,MATCH($B$1,Database!$A$1:$C$1,),)=0,#N/A,VLOOKUP(Table7[[#This Row],[Date]],Database!$A:$C,MATCH($B$1,Database!$A$1:$C$1,),))</f>
        <v/>
      </c>
      <c r="C13232">
        <f>IF(VLOOKUP(Table7[[#This Row],[Date]],Database!$A:$C,MATCH($C$1,Database!$A$1:$C$1,),)=0,#N/A,VLOOKUP(Table7[[#This Row],[Date]],Database!$A:$C,MATCH($C$1,Database!$A$1:$C$1,),))</f>
        <v/>
      </c>
      <c r="D13232">
        <f>IFERROR(Table7[[#This Row],[United States 10y]]-Table7[[#This Row],[United States 3y]],#N/A)</f>
        <v/>
      </c>
    </row>
    <row r="13233">
      <c r="A13233" s="6">
        <f>Database!$A15318</f>
        <v/>
      </c>
      <c r="B13233">
        <f>IF(VLOOKUP(Table7[[#This Row],[Date]],Database!$A:$C,MATCH($B$1,Database!$A$1:$C$1,),)=0,#N/A,VLOOKUP(Table7[[#This Row],[Date]],Database!$A:$C,MATCH($B$1,Database!$A$1:$C$1,),))</f>
        <v/>
      </c>
      <c r="C13233">
        <f>IF(VLOOKUP(Table7[[#This Row],[Date]],Database!$A:$C,MATCH($C$1,Database!$A$1:$C$1,),)=0,#N/A,VLOOKUP(Table7[[#This Row],[Date]],Database!$A:$C,MATCH($C$1,Database!$A$1:$C$1,),))</f>
        <v/>
      </c>
      <c r="D13233">
        <f>IFERROR(Table7[[#This Row],[United States 10y]]-Table7[[#This Row],[United States 3y]],#N/A)</f>
        <v/>
      </c>
    </row>
    <row r="13234">
      <c r="A13234" s="6">
        <f>Database!$A15319</f>
        <v/>
      </c>
      <c r="B13234">
        <f>IF(VLOOKUP(Table7[[#This Row],[Date]],Database!$A:$C,MATCH($B$1,Database!$A$1:$C$1,),)=0,#N/A,VLOOKUP(Table7[[#This Row],[Date]],Database!$A:$C,MATCH($B$1,Database!$A$1:$C$1,),))</f>
        <v/>
      </c>
      <c r="C13234">
        <f>IF(VLOOKUP(Table7[[#This Row],[Date]],Database!$A:$C,MATCH($C$1,Database!$A$1:$C$1,),)=0,#N/A,VLOOKUP(Table7[[#This Row],[Date]],Database!$A:$C,MATCH($C$1,Database!$A$1:$C$1,),))</f>
        <v/>
      </c>
      <c r="D13234">
        <f>IFERROR(Table7[[#This Row],[United States 10y]]-Table7[[#This Row],[United States 3y]],#N/A)</f>
        <v/>
      </c>
    </row>
    <row r="13235">
      <c r="A13235" s="6">
        <f>Database!$A15320</f>
        <v/>
      </c>
      <c r="B13235">
        <f>IF(VLOOKUP(Table7[[#This Row],[Date]],Database!$A:$C,MATCH($B$1,Database!$A$1:$C$1,),)=0,#N/A,VLOOKUP(Table7[[#This Row],[Date]],Database!$A:$C,MATCH($B$1,Database!$A$1:$C$1,),))</f>
        <v/>
      </c>
      <c r="C13235">
        <f>IF(VLOOKUP(Table7[[#This Row],[Date]],Database!$A:$C,MATCH($C$1,Database!$A$1:$C$1,),)=0,#N/A,VLOOKUP(Table7[[#This Row],[Date]],Database!$A:$C,MATCH($C$1,Database!$A$1:$C$1,),))</f>
        <v/>
      </c>
      <c r="D13235">
        <f>IFERROR(Table7[[#This Row],[United States 10y]]-Table7[[#This Row],[United States 3y]],#N/A)</f>
        <v/>
      </c>
    </row>
    <row r="13236">
      <c r="A13236" s="6">
        <f>Database!$A15321</f>
        <v/>
      </c>
      <c r="B13236">
        <f>IF(VLOOKUP(Table7[[#This Row],[Date]],Database!$A:$C,MATCH($B$1,Database!$A$1:$C$1,),)=0,#N/A,VLOOKUP(Table7[[#This Row],[Date]],Database!$A:$C,MATCH($B$1,Database!$A$1:$C$1,),))</f>
        <v/>
      </c>
      <c r="C13236">
        <f>IF(VLOOKUP(Table7[[#This Row],[Date]],Database!$A:$C,MATCH($C$1,Database!$A$1:$C$1,),)=0,#N/A,VLOOKUP(Table7[[#This Row],[Date]],Database!$A:$C,MATCH($C$1,Database!$A$1:$C$1,),))</f>
        <v/>
      </c>
      <c r="D13236">
        <f>IFERROR(Table7[[#This Row],[United States 10y]]-Table7[[#This Row],[United States 3y]],#N/A)</f>
        <v/>
      </c>
    </row>
    <row r="13237">
      <c r="A13237" s="6">
        <f>Database!$A15322</f>
        <v/>
      </c>
      <c r="B13237">
        <f>IF(VLOOKUP(Table7[[#This Row],[Date]],Database!$A:$C,MATCH($B$1,Database!$A$1:$C$1,),)=0,#N/A,VLOOKUP(Table7[[#This Row],[Date]],Database!$A:$C,MATCH($B$1,Database!$A$1:$C$1,),))</f>
        <v/>
      </c>
      <c r="C13237">
        <f>IF(VLOOKUP(Table7[[#This Row],[Date]],Database!$A:$C,MATCH($C$1,Database!$A$1:$C$1,),)=0,#N/A,VLOOKUP(Table7[[#This Row],[Date]],Database!$A:$C,MATCH($C$1,Database!$A$1:$C$1,),))</f>
        <v/>
      </c>
      <c r="D13237">
        <f>IFERROR(Table7[[#This Row],[United States 10y]]-Table7[[#This Row],[United States 3y]],#N/A)</f>
        <v/>
      </c>
    </row>
    <row r="13238">
      <c r="A13238" s="6">
        <f>Database!$A15323</f>
        <v/>
      </c>
      <c r="B13238">
        <f>IF(VLOOKUP(Table7[[#This Row],[Date]],Database!$A:$C,MATCH($B$1,Database!$A$1:$C$1,),)=0,#N/A,VLOOKUP(Table7[[#This Row],[Date]],Database!$A:$C,MATCH($B$1,Database!$A$1:$C$1,),))</f>
        <v/>
      </c>
      <c r="C13238">
        <f>IF(VLOOKUP(Table7[[#This Row],[Date]],Database!$A:$C,MATCH($C$1,Database!$A$1:$C$1,),)=0,#N/A,VLOOKUP(Table7[[#This Row],[Date]],Database!$A:$C,MATCH($C$1,Database!$A$1:$C$1,),))</f>
        <v/>
      </c>
      <c r="D13238">
        <f>IFERROR(Table7[[#This Row],[United States 10y]]-Table7[[#This Row],[United States 3y]],#N/A)</f>
        <v/>
      </c>
    </row>
    <row r="13239">
      <c r="A13239" s="6">
        <f>Database!$A15324</f>
        <v/>
      </c>
      <c r="B13239">
        <f>IF(VLOOKUP(Table7[[#This Row],[Date]],Database!$A:$C,MATCH($B$1,Database!$A$1:$C$1,),)=0,#N/A,VLOOKUP(Table7[[#This Row],[Date]],Database!$A:$C,MATCH($B$1,Database!$A$1:$C$1,),))</f>
        <v/>
      </c>
      <c r="C13239">
        <f>IF(VLOOKUP(Table7[[#This Row],[Date]],Database!$A:$C,MATCH($C$1,Database!$A$1:$C$1,),)=0,#N/A,VLOOKUP(Table7[[#This Row],[Date]],Database!$A:$C,MATCH($C$1,Database!$A$1:$C$1,),))</f>
        <v/>
      </c>
      <c r="D13239">
        <f>IFERROR(Table7[[#This Row],[United States 10y]]-Table7[[#This Row],[United States 3y]],#N/A)</f>
        <v/>
      </c>
    </row>
    <row r="13240">
      <c r="A13240" s="6">
        <f>Database!$A15325</f>
        <v/>
      </c>
      <c r="B13240">
        <f>IF(VLOOKUP(Table7[[#This Row],[Date]],Database!$A:$C,MATCH($B$1,Database!$A$1:$C$1,),)=0,#N/A,VLOOKUP(Table7[[#This Row],[Date]],Database!$A:$C,MATCH($B$1,Database!$A$1:$C$1,),))</f>
        <v/>
      </c>
      <c r="C13240">
        <f>IF(VLOOKUP(Table7[[#This Row],[Date]],Database!$A:$C,MATCH($C$1,Database!$A$1:$C$1,),)=0,#N/A,VLOOKUP(Table7[[#This Row],[Date]],Database!$A:$C,MATCH($C$1,Database!$A$1:$C$1,),))</f>
        <v/>
      </c>
      <c r="D13240">
        <f>IFERROR(Table7[[#This Row],[United States 10y]]-Table7[[#This Row],[United States 3y]],#N/A)</f>
        <v/>
      </c>
    </row>
    <row r="13241">
      <c r="A13241" s="6">
        <f>Database!$A15326</f>
        <v/>
      </c>
      <c r="B13241">
        <f>IF(VLOOKUP(Table7[[#This Row],[Date]],Database!$A:$C,MATCH($B$1,Database!$A$1:$C$1,),)=0,#N/A,VLOOKUP(Table7[[#This Row],[Date]],Database!$A:$C,MATCH($B$1,Database!$A$1:$C$1,),))</f>
        <v/>
      </c>
      <c r="C13241">
        <f>IF(VLOOKUP(Table7[[#This Row],[Date]],Database!$A:$C,MATCH($C$1,Database!$A$1:$C$1,),)=0,#N/A,VLOOKUP(Table7[[#This Row],[Date]],Database!$A:$C,MATCH($C$1,Database!$A$1:$C$1,),))</f>
        <v/>
      </c>
      <c r="D13241">
        <f>IFERROR(Table7[[#This Row],[United States 10y]]-Table7[[#This Row],[United States 3y]],#N/A)</f>
        <v/>
      </c>
    </row>
    <row r="13242">
      <c r="A13242" s="6">
        <f>Database!$A15327</f>
        <v/>
      </c>
      <c r="B13242">
        <f>IF(VLOOKUP(Table7[[#This Row],[Date]],Database!$A:$C,MATCH($B$1,Database!$A$1:$C$1,),)=0,#N/A,VLOOKUP(Table7[[#This Row],[Date]],Database!$A:$C,MATCH($B$1,Database!$A$1:$C$1,),))</f>
        <v/>
      </c>
      <c r="C13242">
        <f>IF(VLOOKUP(Table7[[#This Row],[Date]],Database!$A:$C,MATCH($C$1,Database!$A$1:$C$1,),)=0,#N/A,VLOOKUP(Table7[[#This Row],[Date]],Database!$A:$C,MATCH($C$1,Database!$A$1:$C$1,),))</f>
        <v/>
      </c>
      <c r="D13242">
        <f>IFERROR(Table7[[#This Row],[United States 10y]]-Table7[[#This Row],[United States 3y]],#N/A)</f>
        <v/>
      </c>
    </row>
    <row r="13243">
      <c r="A13243" s="6">
        <f>Database!$A15328</f>
        <v/>
      </c>
      <c r="B13243">
        <f>IF(VLOOKUP(Table7[[#This Row],[Date]],Database!$A:$C,MATCH($B$1,Database!$A$1:$C$1,),)=0,#N/A,VLOOKUP(Table7[[#This Row],[Date]],Database!$A:$C,MATCH($B$1,Database!$A$1:$C$1,),))</f>
        <v/>
      </c>
      <c r="C13243">
        <f>IF(VLOOKUP(Table7[[#This Row],[Date]],Database!$A:$C,MATCH($C$1,Database!$A$1:$C$1,),)=0,#N/A,VLOOKUP(Table7[[#This Row],[Date]],Database!$A:$C,MATCH($C$1,Database!$A$1:$C$1,),))</f>
        <v/>
      </c>
      <c r="D13243">
        <f>IFERROR(Table7[[#This Row],[United States 10y]]-Table7[[#This Row],[United States 3y]],#N/A)</f>
        <v/>
      </c>
    </row>
    <row r="13244">
      <c r="A13244" s="6">
        <f>Database!$A15329</f>
        <v/>
      </c>
      <c r="B13244">
        <f>IF(VLOOKUP(Table7[[#This Row],[Date]],Database!$A:$C,MATCH($B$1,Database!$A$1:$C$1,),)=0,#N/A,VLOOKUP(Table7[[#This Row],[Date]],Database!$A:$C,MATCH($B$1,Database!$A$1:$C$1,),))</f>
        <v/>
      </c>
      <c r="C13244">
        <f>IF(VLOOKUP(Table7[[#This Row],[Date]],Database!$A:$C,MATCH($C$1,Database!$A$1:$C$1,),)=0,#N/A,VLOOKUP(Table7[[#This Row],[Date]],Database!$A:$C,MATCH($C$1,Database!$A$1:$C$1,),))</f>
        <v/>
      </c>
      <c r="D13244">
        <f>IFERROR(Table7[[#This Row],[United States 10y]]-Table7[[#This Row],[United States 3y]],#N/A)</f>
        <v/>
      </c>
    </row>
    <row r="13245">
      <c r="A13245" s="6">
        <f>Database!$A15330</f>
        <v/>
      </c>
      <c r="B13245">
        <f>IF(VLOOKUP(Table7[[#This Row],[Date]],Database!$A:$C,MATCH($B$1,Database!$A$1:$C$1,),)=0,#N/A,VLOOKUP(Table7[[#This Row],[Date]],Database!$A:$C,MATCH($B$1,Database!$A$1:$C$1,),))</f>
        <v/>
      </c>
      <c r="C13245">
        <f>IF(VLOOKUP(Table7[[#This Row],[Date]],Database!$A:$C,MATCH($C$1,Database!$A$1:$C$1,),)=0,#N/A,VLOOKUP(Table7[[#This Row],[Date]],Database!$A:$C,MATCH($C$1,Database!$A$1:$C$1,),))</f>
        <v/>
      </c>
      <c r="D13245">
        <f>IFERROR(Table7[[#This Row],[United States 10y]]-Table7[[#This Row],[United States 3y]],#N/A)</f>
        <v/>
      </c>
    </row>
    <row r="13246">
      <c r="A13246" s="6">
        <f>Database!$A15331</f>
        <v/>
      </c>
      <c r="B13246">
        <f>IF(VLOOKUP(Table7[[#This Row],[Date]],Database!$A:$C,MATCH($B$1,Database!$A$1:$C$1,),)=0,#N/A,VLOOKUP(Table7[[#This Row],[Date]],Database!$A:$C,MATCH($B$1,Database!$A$1:$C$1,),))</f>
        <v/>
      </c>
      <c r="C13246">
        <f>IF(VLOOKUP(Table7[[#This Row],[Date]],Database!$A:$C,MATCH($C$1,Database!$A$1:$C$1,),)=0,#N/A,VLOOKUP(Table7[[#This Row],[Date]],Database!$A:$C,MATCH($C$1,Database!$A$1:$C$1,),))</f>
        <v/>
      </c>
      <c r="D13246">
        <f>IFERROR(Table7[[#This Row],[United States 10y]]-Table7[[#This Row],[United States 3y]],#N/A)</f>
        <v/>
      </c>
    </row>
    <row r="13247">
      <c r="A13247" s="6">
        <f>Database!$A15332</f>
        <v/>
      </c>
      <c r="B13247">
        <f>IF(VLOOKUP(Table7[[#This Row],[Date]],Database!$A:$C,MATCH($B$1,Database!$A$1:$C$1,),)=0,#N/A,VLOOKUP(Table7[[#This Row],[Date]],Database!$A:$C,MATCH($B$1,Database!$A$1:$C$1,),))</f>
        <v/>
      </c>
      <c r="C13247">
        <f>IF(VLOOKUP(Table7[[#This Row],[Date]],Database!$A:$C,MATCH($C$1,Database!$A$1:$C$1,),)=0,#N/A,VLOOKUP(Table7[[#This Row],[Date]],Database!$A:$C,MATCH($C$1,Database!$A$1:$C$1,),))</f>
        <v/>
      </c>
      <c r="D13247">
        <f>IFERROR(Table7[[#This Row],[United States 10y]]-Table7[[#This Row],[United States 3y]],#N/A)</f>
        <v/>
      </c>
    </row>
    <row r="13248">
      <c r="A13248" s="6">
        <f>Database!$A15333</f>
        <v/>
      </c>
      <c r="B13248">
        <f>IF(VLOOKUP(Table7[[#This Row],[Date]],Database!$A:$C,MATCH($B$1,Database!$A$1:$C$1,),)=0,#N/A,VLOOKUP(Table7[[#This Row],[Date]],Database!$A:$C,MATCH($B$1,Database!$A$1:$C$1,),))</f>
        <v/>
      </c>
      <c r="C13248">
        <f>IF(VLOOKUP(Table7[[#This Row],[Date]],Database!$A:$C,MATCH($C$1,Database!$A$1:$C$1,),)=0,#N/A,VLOOKUP(Table7[[#This Row],[Date]],Database!$A:$C,MATCH($C$1,Database!$A$1:$C$1,),))</f>
        <v/>
      </c>
      <c r="D13248">
        <f>IFERROR(Table7[[#This Row],[United States 10y]]-Table7[[#This Row],[United States 3y]],#N/A)</f>
        <v/>
      </c>
    </row>
    <row r="13249">
      <c r="A13249" s="6">
        <f>Database!$A15334</f>
        <v/>
      </c>
      <c r="B13249">
        <f>IF(VLOOKUP(Table7[[#This Row],[Date]],Database!$A:$C,MATCH($B$1,Database!$A$1:$C$1,),)=0,#N/A,VLOOKUP(Table7[[#This Row],[Date]],Database!$A:$C,MATCH($B$1,Database!$A$1:$C$1,),))</f>
        <v/>
      </c>
      <c r="C13249">
        <f>IF(VLOOKUP(Table7[[#This Row],[Date]],Database!$A:$C,MATCH($C$1,Database!$A$1:$C$1,),)=0,#N/A,VLOOKUP(Table7[[#This Row],[Date]],Database!$A:$C,MATCH($C$1,Database!$A$1:$C$1,),))</f>
        <v/>
      </c>
      <c r="D13249">
        <f>IFERROR(Table7[[#This Row],[United States 10y]]-Table7[[#This Row],[United States 3y]],#N/A)</f>
        <v/>
      </c>
    </row>
    <row r="13250">
      <c r="A13250" s="6">
        <f>Database!$A15335</f>
        <v/>
      </c>
      <c r="B13250">
        <f>IF(VLOOKUP(Table7[[#This Row],[Date]],Database!$A:$C,MATCH($B$1,Database!$A$1:$C$1,),)=0,#N/A,VLOOKUP(Table7[[#This Row],[Date]],Database!$A:$C,MATCH($B$1,Database!$A$1:$C$1,),))</f>
        <v/>
      </c>
      <c r="C13250">
        <f>IF(VLOOKUP(Table7[[#This Row],[Date]],Database!$A:$C,MATCH($C$1,Database!$A$1:$C$1,),)=0,#N/A,VLOOKUP(Table7[[#This Row],[Date]],Database!$A:$C,MATCH($C$1,Database!$A$1:$C$1,),))</f>
        <v/>
      </c>
      <c r="D13250">
        <f>IFERROR(Table7[[#This Row],[United States 10y]]-Table7[[#This Row],[United States 3y]],#N/A)</f>
        <v/>
      </c>
    </row>
    <row r="13251">
      <c r="A13251" s="6">
        <f>Database!$A15336</f>
        <v/>
      </c>
      <c r="B13251">
        <f>IF(VLOOKUP(Table7[[#This Row],[Date]],Database!$A:$C,MATCH($B$1,Database!$A$1:$C$1,),)=0,#N/A,VLOOKUP(Table7[[#This Row],[Date]],Database!$A:$C,MATCH($B$1,Database!$A$1:$C$1,),))</f>
        <v/>
      </c>
      <c r="C13251">
        <f>IF(VLOOKUP(Table7[[#This Row],[Date]],Database!$A:$C,MATCH($C$1,Database!$A$1:$C$1,),)=0,#N/A,VLOOKUP(Table7[[#This Row],[Date]],Database!$A:$C,MATCH($C$1,Database!$A$1:$C$1,),))</f>
        <v/>
      </c>
      <c r="D13251">
        <f>IFERROR(Table7[[#This Row],[United States 10y]]-Table7[[#This Row],[United States 3y]],#N/A)</f>
        <v/>
      </c>
    </row>
    <row r="13252">
      <c r="A13252" s="6">
        <f>Database!$A15337</f>
        <v/>
      </c>
      <c r="B13252">
        <f>IF(VLOOKUP(Table7[[#This Row],[Date]],Database!$A:$C,MATCH($B$1,Database!$A$1:$C$1,),)=0,#N/A,VLOOKUP(Table7[[#This Row],[Date]],Database!$A:$C,MATCH($B$1,Database!$A$1:$C$1,),))</f>
        <v/>
      </c>
      <c r="C13252">
        <f>IF(VLOOKUP(Table7[[#This Row],[Date]],Database!$A:$C,MATCH($C$1,Database!$A$1:$C$1,),)=0,#N/A,VLOOKUP(Table7[[#This Row],[Date]],Database!$A:$C,MATCH($C$1,Database!$A$1:$C$1,),))</f>
        <v/>
      </c>
      <c r="D13252">
        <f>IFERROR(Table7[[#This Row],[United States 10y]]-Table7[[#This Row],[United States 3y]],#N/A)</f>
        <v/>
      </c>
    </row>
    <row r="13253">
      <c r="A13253" s="6">
        <f>Database!$A15338</f>
        <v/>
      </c>
      <c r="B13253">
        <f>IF(VLOOKUP(Table7[[#This Row],[Date]],Database!$A:$C,MATCH($B$1,Database!$A$1:$C$1,),)=0,#N/A,VLOOKUP(Table7[[#This Row],[Date]],Database!$A:$C,MATCH($B$1,Database!$A$1:$C$1,),))</f>
        <v/>
      </c>
      <c r="C13253">
        <f>IF(VLOOKUP(Table7[[#This Row],[Date]],Database!$A:$C,MATCH($C$1,Database!$A$1:$C$1,),)=0,#N/A,VLOOKUP(Table7[[#This Row],[Date]],Database!$A:$C,MATCH($C$1,Database!$A$1:$C$1,),))</f>
        <v/>
      </c>
      <c r="D13253">
        <f>IFERROR(Table7[[#This Row],[United States 10y]]-Table7[[#This Row],[United States 3y]],#N/A)</f>
        <v/>
      </c>
    </row>
    <row r="13254">
      <c r="A13254" s="6">
        <f>Database!$A15339</f>
        <v/>
      </c>
      <c r="B13254">
        <f>IF(VLOOKUP(Table7[[#This Row],[Date]],Database!$A:$C,MATCH($B$1,Database!$A$1:$C$1,),)=0,#N/A,VLOOKUP(Table7[[#This Row],[Date]],Database!$A:$C,MATCH($B$1,Database!$A$1:$C$1,),))</f>
        <v/>
      </c>
      <c r="C13254">
        <f>IF(VLOOKUP(Table7[[#This Row],[Date]],Database!$A:$C,MATCH($C$1,Database!$A$1:$C$1,),)=0,#N/A,VLOOKUP(Table7[[#This Row],[Date]],Database!$A:$C,MATCH($C$1,Database!$A$1:$C$1,),))</f>
        <v/>
      </c>
      <c r="D13254">
        <f>IFERROR(Table7[[#This Row],[United States 10y]]-Table7[[#This Row],[United States 3y]],#N/A)</f>
        <v/>
      </c>
    </row>
    <row r="13255">
      <c r="A13255" s="6">
        <f>Database!$A15340</f>
        <v/>
      </c>
      <c r="B13255">
        <f>IF(VLOOKUP(Table7[[#This Row],[Date]],Database!$A:$C,MATCH($B$1,Database!$A$1:$C$1,),)=0,#N/A,VLOOKUP(Table7[[#This Row],[Date]],Database!$A:$C,MATCH($B$1,Database!$A$1:$C$1,),))</f>
        <v/>
      </c>
      <c r="C13255">
        <f>IF(VLOOKUP(Table7[[#This Row],[Date]],Database!$A:$C,MATCH($C$1,Database!$A$1:$C$1,),)=0,#N/A,VLOOKUP(Table7[[#This Row],[Date]],Database!$A:$C,MATCH($C$1,Database!$A$1:$C$1,),))</f>
        <v/>
      </c>
      <c r="D13255">
        <f>IFERROR(Table7[[#This Row],[United States 10y]]-Table7[[#This Row],[United States 3y]],#N/A)</f>
        <v/>
      </c>
    </row>
    <row r="13256">
      <c r="A13256" s="6">
        <f>Database!$A15341</f>
        <v/>
      </c>
      <c r="B13256">
        <f>IF(VLOOKUP(Table7[[#This Row],[Date]],Database!$A:$C,MATCH($B$1,Database!$A$1:$C$1,),)=0,#N/A,VLOOKUP(Table7[[#This Row],[Date]],Database!$A:$C,MATCH($B$1,Database!$A$1:$C$1,),))</f>
        <v/>
      </c>
      <c r="C13256">
        <f>IF(VLOOKUP(Table7[[#This Row],[Date]],Database!$A:$C,MATCH($C$1,Database!$A$1:$C$1,),)=0,#N/A,VLOOKUP(Table7[[#This Row],[Date]],Database!$A:$C,MATCH($C$1,Database!$A$1:$C$1,),))</f>
        <v/>
      </c>
      <c r="D13256">
        <f>IFERROR(Table7[[#This Row],[United States 10y]]-Table7[[#This Row],[United States 3y]],#N/A)</f>
        <v/>
      </c>
    </row>
    <row r="13257">
      <c r="A13257" s="6">
        <f>Database!$A15342</f>
        <v/>
      </c>
      <c r="B13257">
        <f>IF(VLOOKUP(Table7[[#This Row],[Date]],Database!$A:$C,MATCH($B$1,Database!$A$1:$C$1,),)=0,#N/A,VLOOKUP(Table7[[#This Row],[Date]],Database!$A:$C,MATCH($B$1,Database!$A$1:$C$1,),))</f>
        <v/>
      </c>
      <c r="C13257">
        <f>IF(VLOOKUP(Table7[[#This Row],[Date]],Database!$A:$C,MATCH($C$1,Database!$A$1:$C$1,),)=0,#N/A,VLOOKUP(Table7[[#This Row],[Date]],Database!$A:$C,MATCH($C$1,Database!$A$1:$C$1,),))</f>
        <v/>
      </c>
      <c r="D13257">
        <f>IFERROR(Table7[[#This Row],[United States 10y]]-Table7[[#This Row],[United States 3y]],#N/A)</f>
        <v/>
      </c>
    </row>
    <row r="13258">
      <c r="A13258" s="6">
        <f>Database!$A15343</f>
        <v/>
      </c>
      <c r="B13258">
        <f>IF(VLOOKUP(Table7[[#This Row],[Date]],Database!$A:$C,MATCH($B$1,Database!$A$1:$C$1,),)=0,#N/A,VLOOKUP(Table7[[#This Row],[Date]],Database!$A:$C,MATCH($B$1,Database!$A$1:$C$1,),))</f>
        <v/>
      </c>
      <c r="C13258">
        <f>IF(VLOOKUP(Table7[[#This Row],[Date]],Database!$A:$C,MATCH($C$1,Database!$A$1:$C$1,),)=0,#N/A,VLOOKUP(Table7[[#This Row],[Date]],Database!$A:$C,MATCH($C$1,Database!$A$1:$C$1,),))</f>
        <v/>
      </c>
      <c r="D13258">
        <f>IFERROR(Table7[[#This Row],[United States 10y]]-Table7[[#This Row],[United States 3y]],#N/A)</f>
        <v/>
      </c>
    </row>
    <row r="13259">
      <c r="A13259" s="6">
        <f>Database!$A15344</f>
        <v/>
      </c>
      <c r="B13259">
        <f>IF(VLOOKUP(Table7[[#This Row],[Date]],Database!$A:$C,MATCH($B$1,Database!$A$1:$C$1,),)=0,#N/A,VLOOKUP(Table7[[#This Row],[Date]],Database!$A:$C,MATCH($B$1,Database!$A$1:$C$1,),))</f>
        <v/>
      </c>
      <c r="C13259">
        <f>IF(VLOOKUP(Table7[[#This Row],[Date]],Database!$A:$C,MATCH($C$1,Database!$A$1:$C$1,),)=0,#N/A,VLOOKUP(Table7[[#This Row],[Date]],Database!$A:$C,MATCH($C$1,Database!$A$1:$C$1,),))</f>
        <v/>
      </c>
      <c r="D13259">
        <f>IFERROR(Table7[[#This Row],[United States 10y]]-Table7[[#This Row],[United States 3y]],#N/A)</f>
        <v/>
      </c>
    </row>
    <row r="13260">
      <c r="A13260" s="6">
        <f>Database!$A15345</f>
        <v/>
      </c>
      <c r="B13260">
        <f>IF(VLOOKUP(Table7[[#This Row],[Date]],Database!$A:$C,MATCH($B$1,Database!$A$1:$C$1,),)=0,#N/A,VLOOKUP(Table7[[#This Row],[Date]],Database!$A:$C,MATCH($B$1,Database!$A$1:$C$1,),))</f>
        <v/>
      </c>
      <c r="C13260">
        <f>IF(VLOOKUP(Table7[[#This Row],[Date]],Database!$A:$C,MATCH($C$1,Database!$A$1:$C$1,),)=0,#N/A,VLOOKUP(Table7[[#This Row],[Date]],Database!$A:$C,MATCH($C$1,Database!$A$1:$C$1,),))</f>
        <v/>
      </c>
      <c r="D13260">
        <f>IFERROR(Table7[[#This Row],[United States 10y]]-Table7[[#This Row],[United States 3y]],#N/A)</f>
        <v/>
      </c>
    </row>
    <row r="13261">
      <c r="A13261" s="6">
        <f>Database!$A15346</f>
        <v/>
      </c>
      <c r="B13261">
        <f>IF(VLOOKUP(Table7[[#This Row],[Date]],Database!$A:$C,MATCH($B$1,Database!$A$1:$C$1,),)=0,#N/A,VLOOKUP(Table7[[#This Row],[Date]],Database!$A:$C,MATCH($B$1,Database!$A$1:$C$1,),))</f>
        <v/>
      </c>
      <c r="C13261">
        <f>IF(VLOOKUP(Table7[[#This Row],[Date]],Database!$A:$C,MATCH($C$1,Database!$A$1:$C$1,),)=0,#N/A,VLOOKUP(Table7[[#This Row],[Date]],Database!$A:$C,MATCH($C$1,Database!$A$1:$C$1,),))</f>
        <v/>
      </c>
      <c r="D13261">
        <f>IFERROR(Table7[[#This Row],[United States 10y]]-Table7[[#This Row],[United States 3y]],#N/A)</f>
        <v/>
      </c>
    </row>
    <row r="13262">
      <c r="A13262" s="6">
        <f>Database!$A15347</f>
        <v/>
      </c>
      <c r="B13262">
        <f>IF(VLOOKUP(Table7[[#This Row],[Date]],Database!$A:$C,MATCH($B$1,Database!$A$1:$C$1,),)=0,#N/A,VLOOKUP(Table7[[#This Row],[Date]],Database!$A:$C,MATCH($B$1,Database!$A$1:$C$1,),))</f>
        <v/>
      </c>
      <c r="C13262">
        <f>IF(VLOOKUP(Table7[[#This Row],[Date]],Database!$A:$C,MATCH($C$1,Database!$A$1:$C$1,),)=0,#N/A,VLOOKUP(Table7[[#This Row],[Date]],Database!$A:$C,MATCH($C$1,Database!$A$1:$C$1,),))</f>
        <v/>
      </c>
      <c r="D13262">
        <f>IFERROR(Table7[[#This Row],[United States 10y]]-Table7[[#This Row],[United States 3y]],#N/A)</f>
        <v/>
      </c>
    </row>
    <row r="13263">
      <c r="A13263" s="6">
        <f>Database!$A15348</f>
        <v/>
      </c>
      <c r="B13263">
        <f>IF(VLOOKUP(Table7[[#This Row],[Date]],Database!$A:$C,MATCH($B$1,Database!$A$1:$C$1,),)=0,#N/A,VLOOKUP(Table7[[#This Row],[Date]],Database!$A:$C,MATCH($B$1,Database!$A$1:$C$1,),))</f>
        <v/>
      </c>
      <c r="C13263">
        <f>IF(VLOOKUP(Table7[[#This Row],[Date]],Database!$A:$C,MATCH($C$1,Database!$A$1:$C$1,),)=0,#N/A,VLOOKUP(Table7[[#This Row],[Date]],Database!$A:$C,MATCH($C$1,Database!$A$1:$C$1,),))</f>
        <v/>
      </c>
      <c r="D13263">
        <f>IFERROR(Table7[[#This Row],[United States 10y]]-Table7[[#This Row],[United States 3y]],#N/A)</f>
        <v/>
      </c>
    </row>
    <row r="13264">
      <c r="A13264" s="6">
        <f>Database!$A15349</f>
        <v/>
      </c>
      <c r="B13264">
        <f>IF(VLOOKUP(Table7[[#This Row],[Date]],Database!$A:$C,MATCH($B$1,Database!$A$1:$C$1,),)=0,#N/A,VLOOKUP(Table7[[#This Row],[Date]],Database!$A:$C,MATCH($B$1,Database!$A$1:$C$1,),))</f>
        <v/>
      </c>
      <c r="C13264">
        <f>IF(VLOOKUP(Table7[[#This Row],[Date]],Database!$A:$C,MATCH($C$1,Database!$A$1:$C$1,),)=0,#N/A,VLOOKUP(Table7[[#This Row],[Date]],Database!$A:$C,MATCH($C$1,Database!$A$1:$C$1,),))</f>
        <v/>
      </c>
      <c r="D13264">
        <f>IFERROR(Table7[[#This Row],[United States 10y]]-Table7[[#This Row],[United States 3y]],#N/A)</f>
        <v/>
      </c>
    </row>
    <row r="13265">
      <c r="A13265" s="6">
        <f>Database!$A15350</f>
        <v/>
      </c>
      <c r="B13265">
        <f>IF(VLOOKUP(Table7[[#This Row],[Date]],Database!$A:$C,MATCH($B$1,Database!$A$1:$C$1,),)=0,#N/A,VLOOKUP(Table7[[#This Row],[Date]],Database!$A:$C,MATCH($B$1,Database!$A$1:$C$1,),))</f>
        <v/>
      </c>
      <c r="C13265">
        <f>IF(VLOOKUP(Table7[[#This Row],[Date]],Database!$A:$C,MATCH($C$1,Database!$A$1:$C$1,),)=0,#N/A,VLOOKUP(Table7[[#This Row],[Date]],Database!$A:$C,MATCH($C$1,Database!$A$1:$C$1,),))</f>
        <v/>
      </c>
      <c r="D13265">
        <f>IFERROR(Table7[[#This Row],[United States 10y]]-Table7[[#This Row],[United States 3y]],#N/A)</f>
        <v/>
      </c>
    </row>
    <row r="13266">
      <c r="A13266" s="6">
        <f>Database!$A15351</f>
        <v/>
      </c>
      <c r="B13266">
        <f>IF(VLOOKUP(Table7[[#This Row],[Date]],Database!$A:$C,MATCH($B$1,Database!$A$1:$C$1,),)=0,#N/A,VLOOKUP(Table7[[#This Row],[Date]],Database!$A:$C,MATCH($B$1,Database!$A$1:$C$1,),))</f>
        <v/>
      </c>
      <c r="C13266">
        <f>IF(VLOOKUP(Table7[[#This Row],[Date]],Database!$A:$C,MATCH($C$1,Database!$A$1:$C$1,),)=0,#N/A,VLOOKUP(Table7[[#This Row],[Date]],Database!$A:$C,MATCH($C$1,Database!$A$1:$C$1,),))</f>
        <v/>
      </c>
      <c r="D13266">
        <f>IFERROR(Table7[[#This Row],[United States 10y]]-Table7[[#This Row],[United States 3y]],#N/A)</f>
        <v/>
      </c>
    </row>
    <row r="13267">
      <c r="A13267" s="6">
        <f>Database!$A15352</f>
        <v/>
      </c>
      <c r="B13267">
        <f>IF(VLOOKUP(Table7[[#This Row],[Date]],Database!$A:$C,MATCH($B$1,Database!$A$1:$C$1,),)=0,#N/A,VLOOKUP(Table7[[#This Row],[Date]],Database!$A:$C,MATCH($B$1,Database!$A$1:$C$1,),))</f>
        <v/>
      </c>
      <c r="C13267">
        <f>IF(VLOOKUP(Table7[[#This Row],[Date]],Database!$A:$C,MATCH($C$1,Database!$A$1:$C$1,),)=0,#N/A,VLOOKUP(Table7[[#This Row],[Date]],Database!$A:$C,MATCH($C$1,Database!$A$1:$C$1,),))</f>
        <v/>
      </c>
      <c r="D13267">
        <f>IFERROR(Table7[[#This Row],[United States 10y]]-Table7[[#This Row],[United States 3y]],#N/A)</f>
        <v/>
      </c>
    </row>
    <row r="13268">
      <c r="A13268" s="6">
        <f>Database!$A15353</f>
        <v/>
      </c>
      <c r="B13268">
        <f>IF(VLOOKUP(Table7[[#This Row],[Date]],Database!$A:$C,MATCH($B$1,Database!$A$1:$C$1,),)=0,#N/A,VLOOKUP(Table7[[#This Row],[Date]],Database!$A:$C,MATCH($B$1,Database!$A$1:$C$1,),))</f>
        <v/>
      </c>
      <c r="C13268">
        <f>IF(VLOOKUP(Table7[[#This Row],[Date]],Database!$A:$C,MATCH($C$1,Database!$A$1:$C$1,),)=0,#N/A,VLOOKUP(Table7[[#This Row],[Date]],Database!$A:$C,MATCH($C$1,Database!$A$1:$C$1,),))</f>
        <v/>
      </c>
      <c r="D13268">
        <f>IFERROR(Table7[[#This Row],[United States 10y]]-Table7[[#This Row],[United States 3y]],#N/A)</f>
        <v/>
      </c>
    </row>
    <row r="13269">
      <c r="A13269" s="6">
        <f>Database!$A15354</f>
        <v/>
      </c>
      <c r="B13269">
        <f>IF(VLOOKUP(Table7[[#This Row],[Date]],Database!$A:$C,MATCH($B$1,Database!$A$1:$C$1,),)=0,#N/A,VLOOKUP(Table7[[#This Row],[Date]],Database!$A:$C,MATCH($B$1,Database!$A$1:$C$1,),))</f>
        <v/>
      </c>
      <c r="C13269">
        <f>IF(VLOOKUP(Table7[[#This Row],[Date]],Database!$A:$C,MATCH($C$1,Database!$A$1:$C$1,),)=0,#N/A,VLOOKUP(Table7[[#This Row],[Date]],Database!$A:$C,MATCH($C$1,Database!$A$1:$C$1,),))</f>
        <v/>
      </c>
      <c r="D13269">
        <f>IFERROR(Table7[[#This Row],[United States 10y]]-Table7[[#This Row],[United States 3y]],#N/A)</f>
        <v/>
      </c>
    </row>
    <row r="13270">
      <c r="A13270" s="6">
        <f>Database!$A15355</f>
        <v/>
      </c>
      <c r="B13270">
        <f>IF(VLOOKUP(Table7[[#This Row],[Date]],Database!$A:$C,MATCH($B$1,Database!$A$1:$C$1,),)=0,#N/A,VLOOKUP(Table7[[#This Row],[Date]],Database!$A:$C,MATCH($B$1,Database!$A$1:$C$1,),))</f>
        <v/>
      </c>
      <c r="C13270">
        <f>IF(VLOOKUP(Table7[[#This Row],[Date]],Database!$A:$C,MATCH($C$1,Database!$A$1:$C$1,),)=0,#N/A,VLOOKUP(Table7[[#This Row],[Date]],Database!$A:$C,MATCH($C$1,Database!$A$1:$C$1,),))</f>
        <v/>
      </c>
      <c r="D13270">
        <f>IFERROR(Table7[[#This Row],[United States 10y]]-Table7[[#This Row],[United States 3y]],#N/A)</f>
        <v/>
      </c>
    </row>
    <row r="13271">
      <c r="A13271" s="6">
        <f>Database!$A15356</f>
        <v/>
      </c>
      <c r="B13271">
        <f>IF(VLOOKUP(Table7[[#This Row],[Date]],Database!$A:$C,MATCH($B$1,Database!$A$1:$C$1,),)=0,#N/A,VLOOKUP(Table7[[#This Row],[Date]],Database!$A:$C,MATCH($B$1,Database!$A$1:$C$1,),))</f>
        <v/>
      </c>
      <c r="C13271">
        <f>IF(VLOOKUP(Table7[[#This Row],[Date]],Database!$A:$C,MATCH($C$1,Database!$A$1:$C$1,),)=0,#N/A,VLOOKUP(Table7[[#This Row],[Date]],Database!$A:$C,MATCH($C$1,Database!$A$1:$C$1,),))</f>
        <v/>
      </c>
      <c r="D13271">
        <f>IFERROR(Table7[[#This Row],[United States 10y]]-Table7[[#This Row],[United States 3y]],#N/A)</f>
        <v/>
      </c>
    </row>
    <row r="13272">
      <c r="A13272" s="6">
        <f>Database!$A15357</f>
        <v/>
      </c>
      <c r="B13272">
        <f>IF(VLOOKUP(Table7[[#This Row],[Date]],Database!$A:$C,MATCH($B$1,Database!$A$1:$C$1,),)=0,#N/A,VLOOKUP(Table7[[#This Row],[Date]],Database!$A:$C,MATCH($B$1,Database!$A$1:$C$1,),))</f>
        <v/>
      </c>
      <c r="C13272">
        <f>IF(VLOOKUP(Table7[[#This Row],[Date]],Database!$A:$C,MATCH($C$1,Database!$A$1:$C$1,),)=0,#N/A,VLOOKUP(Table7[[#This Row],[Date]],Database!$A:$C,MATCH($C$1,Database!$A$1:$C$1,),))</f>
        <v/>
      </c>
      <c r="D13272">
        <f>IFERROR(Table7[[#This Row],[United States 10y]]-Table7[[#This Row],[United States 3y]],#N/A)</f>
        <v/>
      </c>
    </row>
    <row r="13273">
      <c r="A13273" s="6">
        <f>Database!$A15358</f>
        <v/>
      </c>
      <c r="B13273">
        <f>IF(VLOOKUP(Table7[[#This Row],[Date]],Database!$A:$C,MATCH($B$1,Database!$A$1:$C$1,),)=0,#N/A,VLOOKUP(Table7[[#This Row],[Date]],Database!$A:$C,MATCH($B$1,Database!$A$1:$C$1,),))</f>
        <v/>
      </c>
      <c r="C13273">
        <f>IF(VLOOKUP(Table7[[#This Row],[Date]],Database!$A:$C,MATCH($C$1,Database!$A$1:$C$1,),)=0,#N/A,VLOOKUP(Table7[[#This Row],[Date]],Database!$A:$C,MATCH($C$1,Database!$A$1:$C$1,),))</f>
        <v/>
      </c>
      <c r="D13273">
        <f>IFERROR(Table7[[#This Row],[United States 10y]]-Table7[[#This Row],[United States 3y]],#N/A)</f>
        <v/>
      </c>
    </row>
    <row r="13274">
      <c r="A13274" s="6">
        <f>Database!$A15359</f>
        <v/>
      </c>
      <c r="B13274">
        <f>IF(VLOOKUP(Table7[[#This Row],[Date]],Database!$A:$C,MATCH($B$1,Database!$A$1:$C$1,),)=0,#N/A,VLOOKUP(Table7[[#This Row],[Date]],Database!$A:$C,MATCH($B$1,Database!$A$1:$C$1,),))</f>
        <v/>
      </c>
      <c r="C13274">
        <f>IF(VLOOKUP(Table7[[#This Row],[Date]],Database!$A:$C,MATCH($C$1,Database!$A$1:$C$1,),)=0,#N/A,VLOOKUP(Table7[[#This Row],[Date]],Database!$A:$C,MATCH($C$1,Database!$A$1:$C$1,),))</f>
        <v/>
      </c>
      <c r="D13274">
        <f>IFERROR(Table7[[#This Row],[United States 10y]]-Table7[[#This Row],[United States 3y]],#N/A)</f>
        <v/>
      </c>
    </row>
    <row r="13275">
      <c r="A13275" s="6">
        <f>Database!$A15360</f>
        <v/>
      </c>
      <c r="B13275">
        <f>IF(VLOOKUP(Table7[[#This Row],[Date]],Database!$A:$C,MATCH($B$1,Database!$A$1:$C$1,),)=0,#N/A,VLOOKUP(Table7[[#This Row],[Date]],Database!$A:$C,MATCH($B$1,Database!$A$1:$C$1,),))</f>
        <v/>
      </c>
      <c r="C13275">
        <f>IF(VLOOKUP(Table7[[#This Row],[Date]],Database!$A:$C,MATCH($C$1,Database!$A$1:$C$1,),)=0,#N/A,VLOOKUP(Table7[[#This Row],[Date]],Database!$A:$C,MATCH($C$1,Database!$A$1:$C$1,),))</f>
        <v/>
      </c>
      <c r="D13275">
        <f>IFERROR(Table7[[#This Row],[United States 10y]]-Table7[[#This Row],[United States 3y]],#N/A)</f>
        <v/>
      </c>
    </row>
    <row r="13276">
      <c r="A13276" s="6">
        <f>Database!$A15361</f>
        <v/>
      </c>
      <c r="B13276">
        <f>IF(VLOOKUP(Table7[[#This Row],[Date]],Database!$A:$C,MATCH($B$1,Database!$A$1:$C$1,),)=0,#N/A,VLOOKUP(Table7[[#This Row],[Date]],Database!$A:$C,MATCH($B$1,Database!$A$1:$C$1,),))</f>
        <v/>
      </c>
      <c r="C13276">
        <f>IF(VLOOKUP(Table7[[#This Row],[Date]],Database!$A:$C,MATCH($C$1,Database!$A$1:$C$1,),)=0,#N/A,VLOOKUP(Table7[[#This Row],[Date]],Database!$A:$C,MATCH($C$1,Database!$A$1:$C$1,),))</f>
        <v/>
      </c>
      <c r="D13276">
        <f>IFERROR(Table7[[#This Row],[United States 10y]]-Table7[[#This Row],[United States 3y]],#N/A)</f>
        <v/>
      </c>
    </row>
    <row r="13277">
      <c r="A13277" s="6">
        <f>Database!$A15362</f>
        <v/>
      </c>
      <c r="B13277">
        <f>IF(VLOOKUP(Table7[[#This Row],[Date]],Database!$A:$C,MATCH($B$1,Database!$A$1:$C$1,),)=0,#N/A,VLOOKUP(Table7[[#This Row],[Date]],Database!$A:$C,MATCH($B$1,Database!$A$1:$C$1,),))</f>
        <v/>
      </c>
      <c r="C13277">
        <f>IF(VLOOKUP(Table7[[#This Row],[Date]],Database!$A:$C,MATCH($C$1,Database!$A$1:$C$1,),)=0,#N/A,VLOOKUP(Table7[[#This Row],[Date]],Database!$A:$C,MATCH($C$1,Database!$A$1:$C$1,),))</f>
        <v/>
      </c>
      <c r="D13277">
        <f>IFERROR(Table7[[#This Row],[United States 10y]]-Table7[[#This Row],[United States 3y]],#N/A)</f>
        <v/>
      </c>
    </row>
    <row r="13278">
      <c r="A13278" s="6">
        <f>Database!$A15363</f>
        <v/>
      </c>
      <c r="B13278">
        <f>IF(VLOOKUP(Table7[[#This Row],[Date]],Database!$A:$C,MATCH($B$1,Database!$A$1:$C$1,),)=0,#N/A,VLOOKUP(Table7[[#This Row],[Date]],Database!$A:$C,MATCH($B$1,Database!$A$1:$C$1,),))</f>
        <v/>
      </c>
      <c r="C13278">
        <f>IF(VLOOKUP(Table7[[#This Row],[Date]],Database!$A:$C,MATCH($C$1,Database!$A$1:$C$1,),)=0,#N/A,VLOOKUP(Table7[[#This Row],[Date]],Database!$A:$C,MATCH($C$1,Database!$A$1:$C$1,),))</f>
        <v/>
      </c>
      <c r="D13278">
        <f>IFERROR(Table7[[#This Row],[United States 10y]]-Table7[[#This Row],[United States 3y]],#N/A)</f>
        <v/>
      </c>
    </row>
    <row r="13279">
      <c r="A13279" s="6">
        <f>Database!$A15364</f>
        <v/>
      </c>
      <c r="B13279">
        <f>IF(VLOOKUP(Table7[[#This Row],[Date]],Database!$A:$C,MATCH($B$1,Database!$A$1:$C$1,),)=0,#N/A,VLOOKUP(Table7[[#This Row],[Date]],Database!$A:$C,MATCH($B$1,Database!$A$1:$C$1,),))</f>
        <v/>
      </c>
      <c r="C13279">
        <f>IF(VLOOKUP(Table7[[#This Row],[Date]],Database!$A:$C,MATCH($C$1,Database!$A$1:$C$1,),)=0,#N/A,VLOOKUP(Table7[[#This Row],[Date]],Database!$A:$C,MATCH($C$1,Database!$A$1:$C$1,),))</f>
        <v/>
      </c>
      <c r="D13279">
        <f>IFERROR(Table7[[#This Row],[United States 10y]]-Table7[[#This Row],[United States 3y]],#N/A)</f>
        <v/>
      </c>
    </row>
    <row r="13280">
      <c r="A13280" s="6">
        <f>Database!$A15365</f>
        <v/>
      </c>
      <c r="B13280">
        <f>IF(VLOOKUP(Table7[[#This Row],[Date]],Database!$A:$C,MATCH($B$1,Database!$A$1:$C$1,),)=0,#N/A,VLOOKUP(Table7[[#This Row],[Date]],Database!$A:$C,MATCH($B$1,Database!$A$1:$C$1,),))</f>
        <v/>
      </c>
      <c r="C13280">
        <f>IF(VLOOKUP(Table7[[#This Row],[Date]],Database!$A:$C,MATCH($C$1,Database!$A$1:$C$1,),)=0,#N/A,VLOOKUP(Table7[[#This Row],[Date]],Database!$A:$C,MATCH($C$1,Database!$A$1:$C$1,),))</f>
        <v/>
      </c>
      <c r="D13280">
        <f>IFERROR(Table7[[#This Row],[United States 10y]]-Table7[[#This Row],[United States 3y]],#N/A)</f>
        <v/>
      </c>
    </row>
    <row r="13281">
      <c r="A13281" s="6">
        <f>Database!$A15366</f>
        <v/>
      </c>
      <c r="B13281">
        <f>IF(VLOOKUP(Table7[[#This Row],[Date]],Database!$A:$C,MATCH($B$1,Database!$A$1:$C$1,),)=0,#N/A,VLOOKUP(Table7[[#This Row],[Date]],Database!$A:$C,MATCH($B$1,Database!$A$1:$C$1,),))</f>
        <v/>
      </c>
      <c r="C13281">
        <f>IF(VLOOKUP(Table7[[#This Row],[Date]],Database!$A:$C,MATCH($C$1,Database!$A$1:$C$1,),)=0,#N/A,VLOOKUP(Table7[[#This Row],[Date]],Database!$A:$C,MATCH($C$1,Database!$A$1:$C$1,),))</f>
        <v/>
      </c>
      <c r="D13281">
        <f>IFERROR(Table7[[#This Row],[United States 10y]]-Table7[[#This Row],[United States 3y]],#N/A)</f>
        <v/>
      </c>
    </row>
    <row r="13282">
      <c r="A13282" s="6">
        <f>Database!$A15367</f>
        <v/>
      </c>
      <c r="B13282">
        <f>IF(VLOOKUP(Table7[[#This Row],[Date]],Database!$A:$C,MATCH($B$1,Database!$A$1:$C$1,),)=0,#N/A,VLOOKUP(Table7[[#This Row],[Date]],Database!$A:$C,MATCH($B$1,Database!$A$1:$C$1,),))</f>
        <v/>
      </c>
      <c r="C13282">
        <f>IF(VLOOKUP(Table7[[#This Row],[Date]],Database!$A:$C,MATCH($C$1,Database!$A$1:$C$1,),)=0,#N/A,VLOOKUP(Table7[[#This Row],[Date]],Database!$A:$C,MATCH($C$1,Database!$A$1:$C$1,),))</f>
        <v/>
      </c>
      <c r="D13282">
        <f>IFERROR(Table7[[#This Row],[United States 10y]]-Table7[[#This Row],[United States 3y]],#N/A)</f>
        <v/>
      </c>
    </row>
    <row r="13283">
      <c r="A13283" s="6">
        <f>Database!$A15368</f>
        <v/>
      </c>
      <c r="B13283">
        <f>IF(VLOOKUP(Table7[[#This Row],[Date]],Database!$A:$C,MATCH($B$1,Database!$A$1:$C$1,),)=0,#N/A,VLOOKUP(Table7[[#This Row],[Date]],Database!$A:$C,MATCH($B$1,Database!$A$1:$C$1,),))</f>
        <v/>
      </c>
      <c r="C13283">
        <f>IF(VLOOKUP(Table7[[#This Row],[Date]],Database!$A:$C,MATCH($C$1,Database!$A$1:$C$1,),)=0,#N/A,VLOOKUP(Table7[[#This Row],[Date]],Database!$A:$C,MATCH($C$1,Database!$A$1:$C$1,),))</f>
        <v/>
      </c>
      <c r="D13283">
        <f>IFERROR(Table7[[#This Row],[United States 10y]]-Table7[[#This Row],[United States 3y]],#N/A)</f>
        <v/>
      </c>
    </row>
    <row r="13284">
      <c r="A13284" s="6">
        <f>Database!$A15369</f>
        <v/>
      </c>
      <c r="B13284">
        <f>IF(VLOOKUP(Table7[[#This Row],[Date]],Database!$A:$C,MATCH($B$1,Database!$A$1:$C$1,),)=0,#N/A,VLOOKUP(Table7[[#This Row],[Date]],Database!$A:$C,MATCH($B$1,Database!$A$1:$C$1,),))</f>
        <v/>
      </c>
      <c r="C13284">
        <f>IF(VLOOKUP(Table7[[#This Row],[Date]],Database!$A:$C,MATCH($C$1,Database!$A$1:$C$1,),)=0,#N/A,VLOOKUP(Table7[[#This Row],[Date]],Database!$A:$C,MATCH($C$1,Database!$A$1:$C$1,),))</f>
        <v/>
      </c>
      <c r="D13284">
        <f>IFERROR(Table7[[#This Row],[United States 10y]]-Table7[[#This Row],[United States 3y]],#N/A)</f>
        <v/>
      </c>
    </row>
    <row r="13285">
      <c r="A13285" s="6">
        <f>Database!$A15370</f>
        <v/>
      </c>
      <c r="B13285">
        <f>IF(VLOOKUP(Table7[[#This Row],[Date]],Database!$A:$C,MATCH($B$1,Database!$A$1:$C$1,),)=0,#N/A,VLOOKUP(Table7[[#This Row],[Date]],Database!$A:$C,MATCH($B$1,Database!$A$1:$C$1,),))</f>
        <v/>
      </c>
      <c r="C13285">
        <f>IF(VLOOKUP(Table7[[#This Row],[Date]],Database!$A:$C,MATCH($C$1,Database!$A$1:$C$1,),)=0,#N/A,VLOOKUP(Table7[[#This Row],[Date]],Database!$A:$C,MATCH($C$1,Database!$A$1:$C$1,),))</f>
        <v/>
      </c>
      <c r="D13285">
        <f>IFERROR(Table7[[#This Row],[United States 10y]]-Table7[[#This Row],[United States 3y]],#N/A)</f>
        <v/>
      </c>
    </row>
    <row r="13286">
      <c r="A13286" s="6">
        <f>Database!$A15371</f>
        <v/>
      </c>
      <c r="B13286">
        <f>IF(VLOOKUP(Table7[[#This Row],[Date]],Database!$A:$C,MATCH($B$1,Database!$A$1:$C$1,),)=0,#N/A,VLOOKUP(Table7[[#This Row],[Date]],Database!$A:$C,MATCH($B$1,Database!$A$1:$C$1,),))</f>
        <v/>
      </c>
      <c r="C13286">
        <f>IF(VLOOKUP(Table7[[#This Row],[Date]],Database!$A:$C,MATCH($C$1,Database!$A$1:$C$1,),)=0,#N/A,VLOOKUP(Table7[[#This Row],[Date]],Database!$A:$C,MATCH($C$1,Database!$A$1:$C$1,),))</f>
        <v/>
      </c>
      <c r="D13286">
        <f>IFERROR(Table7[[#This Row],[United States 10y]]-Table7[[#This Row],[United States 3y]],#N/A)</f>
        <v/>
      </c>
    </row>
    <row r="13287">
      <c r="A13287" s="6">
        <f>Database!$A15372</f>
        <v/>
      </c>
      <c r="B13287">
        <f>IF(VLOOKUP(Table7[[#This Row],[Date]],Database!$A:$C,MATCH($B$1,Database!$A$1:$C$1,),)=0,#N/A,VLOOKUP(Table7[[#This Row],[Date]],Database!$A:$C,MATCH($B$1,Database!$A$1:$C$1,),))</f>
        <v/>
      </c>
      <c r="C13287">
        <f>IF(VLOOKUP(Table7[[#This Row],[Date]],Database!$A:$C,MATCH($C$1,Database!$A$1:$C$1,),)=0,#N/A,VLOOKUP(Table7[[#This Row],[Date]],Database!$A:$C,MATCH($C$1,Database!$A$1:$C$1,),))</f>
        <v/>
      </c>
      <c r="D13287">
        <f>IFERROR(Table7[[#This Row],[United States 10y]]-Table7[[#This Row],[United States 3y]],#N/A)</f>
        <v/>
      </c>
    </row>
    <row r="13288">
      <c r="A13288" s="6">
        <f>Database!$A15373</f>
        <v/>
      </c>
      <c r="B13288">
        <f>IF(VLOOKUP(Table7[[#This Row],[Date]],Database!$A:$C,MATCH($B$1,Database!$A$1:$C$1,),)=0,#N/A,VLOOKUP(Table7[[#This Row],[Date]],Database!$A:$C,MATCH($B$1,Database!$A$1:$C$1,),))</f>
        <v/>
      </c>
      <c r="C13288">
        <f>IF(VLOOKUP(Table7[[#This Row],[Date]],Database!$A:$C,MATCH($C$1,Database!$A$1:$C$1,),)=0,#N/A,VLOOKUP(Table7[[#This Row],[Date]],Database!$A:$C,MATCH($C$1,Database!$A$1:$C$1,),))</f>
        <v/>
      </c>
      <c r="D13288">
        <f>IFERROR(Table7[[#This Row],[United States 10y]]-Table7[[#This Row],[United States 3y]],#N/A)</f>
        <v/>
      </c>
    </row>
    <row r="13289">
      <c r="A13289" s="6">
        <f>Database!$A15374</f>
        <v/>
      </c>
      <c r="B13289">
        <f>IF(VLOOKUP(Table7[[#This Row],[Date]],Database!$A:$C,MATCH($B$1,Database!$A$1:$C$1,),)=0,#N/A,VLOOKUP(Table7[[#This Row],[Date]],Database!$A:$C,MATCH($B$1,Database!$A$1:$C$1,),))</f>
        <v/>
      </c>
      <c r="C13289">
        <f>IF(VLOOKUP(Table7[[#This Row],[Date]],Database!$A:$C,MATCH($C$1,Database!$A$1:$C$1,),)=0,#N/A,VLOOKUP(Table7[[#This Row],[Date]],Database!$A:$C,MATCH($C$1,Database!$A$1:$C$1,),))</f>
        <v/>
      </c>
      <c r="D13289">
        <f>IFERROR(Table7[[#This Row],[United States 10y]]-Table7[[#This Row],[United States 3y]],#N/A)</f>
        <v/>
      </c>
    </row>
    <row r="13290">
      <c r="A13290" s="6">
        <f>Database!$A15375</f>
        <v/>
      </c>
      <c r="B13290">
        <f>IF(VLOOKUP(Table7[[#This Row],[Date]],Database!$A:$C,MATCH($B$1,Database!$A$1:$C$1,),)=0,#N/A,VLOOKUP(Table7[[#This Row],[Date]],Database!$A:$C,MATCH($B$1,Database!$A$1:$C$1,),))</f>
        <v/>
      </c>
      <c r="C13290">
        <f>IF(VLOOKUP(Table7[[#This Row],[Date]],Database!$A:$C,MATCH($C$1,Database!$A$1:$C$1,),)=0,#N/A,VLOOKUP(Table7[[#This Row],[Date]],Database!$A:$C,MATCH($C$1,Database!$A$1:$C$1,),))</f>
        <v/>
      </c>
      <c r="D13290">
        <f>IFERROR(Table7[[#This Row],[United States 10y]]-Table7[[#This Row],[United States 3y]],#N/A)</f>
        <v/>
      </c>
    </row>
    <row r="13291">
      <c r="A13291" s="6">
        <f>Database!$A15376</f>
        <v/>
      </c>
      <c r="B13291">
        <f>IF(VLOOKUP(Table7[[#This Row],[Date]],Database!$A:$C,MATCH($B$1,Database!$A$1:$C$1,),)=0,#N/A,VLOOKUP(Table7[[#This Row],[Date]],Database!$A:$C,MATCH($B$1,Database!$A$1:$C$1,),))</f>
        <v/>
      </c>
      <c r="C13291">
        <f>IF(VLOOKUP(Table7[[#This Row],[Date]],Database!$A:$C,MATCH($C$1,Database!$A$1:$C$1,),)=0,#N/A,VLOOKUP(Table7[[#This Row],[Date]],Database!$A:$C,MATCH($C$1,Database!$A$1:$C$1,),))</f>
        <v/>
      </c>
      <c r="D13291">
        <f>IFERROR(Table7[[#This Row],[United States 10y]]-Table7[[#This Row],[United States 3y]],#N/A)</f>
        <v/>
      </c>
    </row>
    <row r="13292">
      <c r="A13292" s="6">
        <f>Database!$A15377</f>
        <v/>
      </c>
      <c r="B13292">
        <f>IF(VLOOKUP(Table7[[#This Row],[Date]],Database!$A:$C,MATCH($B$1,Database!$A$1:$C$1,),)=0,#N/A,VLOOKUP(Table7[[#This Row],[Date]],Database!$A:$C,MATCH($B$1,Database!$A$1:$C$1,),))</f>
        <v/>
      </c>
      <c r="C13292">
        <f>IF(VLOOKUP(Table7[[#This Row],[Date]],Database!$A:$C,MATCH($C$1,Database!$A$1:$C$1,),)=0,#N/A,VLOOKUP(Table7[[#This Row],[Date]],Database!$A:$C,MATCH($C$1,Database!$A$1:$C$1,),))</f>
        <v/>
      </c>
      <c r="D13292">
        <f>IFERROR(Table7[[#This Row],[United States 10y]]-Table7[[#This Row],[United States 3y]],#N/A)</f>
        <v/>
      </c>
    </row>
    <row r="13293">
      <c r="A13293" s="6">
        <f>Database!$A15378</f>
        <v/>
      </c>
      <c r="B13293">
        <f>IF(VLOOKUP(Table7[[#This Row],[Date]],Database!$A:$C,MATCH($B$1,Database!$A$1:$C$1,),)=0,#N/A,VLOOKUP(Table7[[#This Row],[Date]],Database!$A:$C,MATCH($B$1,Database!$A$1:$C$1,),))</f>
        <v/>
      </c>
      <c r="C13293">
        <f>IF(VLOOKUP(Table7[[#This Row],[Date]],Database!$A:$C,MATCH($C$1,Database!$A$1:$C$1,),)=0,#N/A,VLOOKUP(Table7[[#This Row],[Date]],Database!$A:$C,MATCH($C$1,Database!$A$1:$C$1,),))</f>
        <v/>
      </c>
      <c r="D13293">
        <f>IFERROR(Table7[[#This Row],[United States 10y]]-Table7[[#This Row],[United States 3y]],#N/A)</f>
        <v/>
      </c>
    </row>
    <row r="13294">
      <c r="A13294" s="6">
        <f>Database!$A15379</f>
        <v/>
      </c>
      <c r="B13294">
        <f>IF(VLOOKUP(Table7[[#This Row],[Date]],Database!$A:$C,MATCH($B$1,Database!$A$1:$C$1,),)=0,#N/A,VLOOKUP(Table7[[#This Row],[Date]],Database!$A:$C,MATCH($B$1,Database!$A$1:$C$1,),))</f>
        <v/>
      </c>
      <c r="C13294">
        <f>IF(VLOOKUP(Table7[[#This Row],[Date]],Database!$A:$C,MATCH($C$1,Database!$A$1:$C$1,),)=0,#N/A,VLOOKUP(Table7[[#This Row],[Date]],Database!$A:$C,MATCH($C$1,Database!$A$1:$C$1,),))</f>
        <v/>
      </c>
      <c r="D13294">
        <f>IFERROR(Table7[[#This Row],[United States 10y]]-Table7[[#This Row],[United States 3y]],#N/A)</f>
        <v/>
      </c>
    </row>
    <row r="13295">
      <c r="A13295" s="6">
        <f>Database!$A15380</f>
        <v/>
      </c>
      <c r="B13295">
        <f>IF(VLOOKUP(Table7[[#This Row],[Date]],Database!$A:$C,MATCH($B$1,Database!$A$1:$C$1,),)=0,#N/A,VLOOKUP(Table7[[#This Row],[Date]],Database!$A:$C,MATCH($B$1,Database!$A$1:$C$1,),))</f>
        <v/>
      </c>
      <c r="C13295">
        <f>IF(VLOOKUP(Table7[[#This Row],[Date]],Database!$A:$C,MATCH($C$1,Database!$A$1:$C$1,),)=0,#N/A,VLOOKUP(Table7[[#This Row],[Date]],Database!$A:$C,MATCH($C$1,Database!$A$1:$C$1,),))</f>
        <v/>
      </c>
      <c r="D13295">
        <f>IFERROR(Table7[[#This Row],[United States 10y]]-Table7[[#This Row],[United States 3y]],#N/A)</f>
        <v/>
      </c>
    </row>
    <row r="13296">
      <c r="A13296" s="6">
        <f>Database!$A15381</f>
        <v/>
      </c>
      <c r="B13296">
        <f>IF(VLOOKUP(Table7[[#This Row],[Date]],Database!$A:$C,MATCH($B$1,Database!$A$1:$C$1,),)=0,#N/A,VLOOKUP(Table7[[#This Row],[Date]],Database!$A:$C,MATCH($B$1,Database!$A$1:$C$1,),))</f>
        <v/>
      </c>
      <c r="C13296">
        <f>IF(VLOOKUP(Table7[[#This Row],[Date]],Database!$A:$C,MATCH($C$1,Database!$A$1:$C$1,),)=0,#N/A,VLOOKUP(Table7[[#This Row],[Date]],Database!$A:$C,MATCH($C$1,Database!$A$1:$C$1,),))</f>
        <v/>
      </c>
      <c r="D13296">
        <f>IFERROR(Table7[[#This Row],[United States 10y]]-Table7[[#This Row],[United States 3y]],#N/A)</f>
        <v/>
      </c>
    </row>
    <row r="13297">
      <c r="A13297" s="6">
        <f>Database!$A15382</f>
        <v/>
      </c>
      <c r="B13297">
        <f>IF(VLOOKUP(Table7[[#This Row],[Date]],Database!$A:$C,MATCH($B$1,Database!$A$1:$C$1,),)=0,#N/A,VLOOKUP(Table7[[#This Row],[Date]],Database!$A:$C,MATCH($B$1,Database!$A$1:$C$1,),))</f>
        <v/>
      </c>
      <c r="C13297">
        <f>IF(VLOOKUP(Table7[[#This Row],[Date]],Database!$A:$C,MATCH($C$1,Database!$A$1:$C$1,),)=0,#N/A,VLOOKUP(Table7[[#This Row],[Date]],Database!$A:$C,MATCH($C$1,Database!$A$1:$C$1,),))</f>
        <v/>
      </c>
      <c r="D13297">
        <f>IFERROR(Table7[[#This Row],[United States 10y]]-Table7[[#This Row],[United States 3y]],#N/A)</f>
        <v/>
      </c>
    </row>
    <row r="13298">
      <c r="A13298" s="6">
        <f>Database!$A15383</f>
        <v/>
      </c>
      <c r="B13298">
        <f>IF(VLOOKUP(Table7[[#This Row],[Date]],Database!$A:$C,MATCH($B$1,Database!$A$1:$C$1,),)=0,#N/A,VLOOKUP(Table7[[#This Row],[Date]],Database!$A:$C,MATCH($B$1,Database!$A$1:$C$1,),))</f>
        <v/>
      </c>
      <c r="C13298">
        <f>IF(VLOOKUP(Table7[[#This Row],[Date]],Database!$A:$C,MATCH($C$1,Database!$A$1:$C$1,),)=0,#N/A,VLOOKUP(Table7[[#This Row],[Date]],Database!$A:$C,MATCH($C$1,Database!$A$1:$C$1,),))</f>
        <v/>
      </c>
      <c r="D13298">
        <f>IFERROR(Table7[[#This Row],[United States 10y]]-Table7[[#This Row],[United States 3y]],#N/A)</f>
        <v/>
      </c>
    </row>
    <row r="13299">
      <c r="A13299" s="6">
        <f>Database!$A15384</f>
        <v/>
      </c>
      <c r="B13299">
        <f>IF(VLOOKUP(Table7[[#This Row],[Date]],Database!$A:$C,MATCH($B$1,Database!$A$1:$C$1,),)=0,#N/A,VLOOKUP(Table7[[#This Row],[Date]],Database!$A:$C,MATCH($B$1,Database!$A$1:$C$1,),))</f>
        <v/>
      </c>
      <c r="C13299">
        <f>IF(VLOOKUP(Table7[[#This Row],[Date]],Database!$A:$C,MATCH($C$1,Database!$A$1:$C$1,),)=0,#N/A,VLOOKUP(Table7[[#This Row],[Date]],Database!$A:$C,MATCH($C$1,Database!$A$1:$C$1,),))</f>
        <v/>
      </c>
      <c r="D13299">
        <f>IFERROR(Table7[[#This Row],[United States 10y]]-Table7[[#This Row],[United States 3y]],#N/A)</f>
        <v/>
      </c>
    </row>
    <row r="13300">
      <c r="A13300" s="6">
        <f>Database!$A15385</f>
        <v/>
      </c>
      <c r="B13300">
        <f>IF(VLOOKUP(Table7[[#This Row],[Date]],Database!$A:$C,MATCH($B$1,Database!$A$1:$C$1,),)=0,#N/A,VLOOKUP(Table7[[#This Row],[Date]],Database!$A:$C,MATCH($B$1,Database!$A$1:$C$1,),))</f>
        <v/>
      </c>
      <c r="C13300">
        <f>IF(VLOOKUP(Table7[[#This Row],[Date]],Database!$A:$C,MATCH($C$1,Database!$A$1:$C$1,),)=0,#N/A,VLOOKUP(Table7[[#This Row],[Date]],Database!$A:$C,MATCH($C$1,Database!$A$1:$C$1,),))</f>
        <v/>
      </c>
      <c r="D13300">
        <f>IFERROR(Table7[[#This Row],[United States 10y]]-Table7[[#This Row],[United States 3y]],#N/A)</f>
        <v/>
      </c>
    </row>
    <row r="13301">
      <c r="A13301" s="6">
        <f>Database!$A15386</f>
        <v/>
      </c>
      <c r="B13301">
        <f>IF(VLOOKUP(Table7[[#This Row],[Date]],Database!$A:$C,MATCH($B$1,Database!$A$1:$C$1,),)=0,#N/A,VLOOKUP(Table7[[#This Row],[Date]],Database!$A:$C,MATCH($B$1,Database!$A$1:$C$1,),))</f>
        <v/>
      </c>
      <c r="C13301">
        <f>IF(VLOOKUP(Table7[[#This Row],[Date]],Database!$A:$C,MATCH($C$1,Database!$A$1:$C$1,),)=0,#N/A,VLOOKUP(Table7[[#This Row],[Date]],Database!$A:$C,MATCH($C$1,Database!$A$1:$C$1,),))</f>
        <v/>
      </c>
      <c r="D13301">
        <f>IFERROR(Table7[[#This Row],[United States 10y]]-Table7[[#This Row],[United States 3y]],#N/A)</f>
        <v/>
      </c>
    </row>
    <row r="13302">
      <c r="A13302" s="6">
        <f>Database!$A15387</f>
        <v/>
      </c>
      <c r="B13302">
        <f>IF(VLOOKUP(Table7[[#This Row],[Date]],Database!$A:$C,MATCH($B$1,Database!$A$1:$C$1,),)=0,#N/A,VLOOKUP(Table7[[#This Row],[Date]],Database!$A:$C,MATCH($B$1,Database!$A$1:$C$1,),))</f>
        <v/>
      </c>
      <c r="C13302">
        <f>IF(VLOOKUP(Table7[[#This Row],[Date]],Database!$A:$C,MATCH($C$1,Database!$A$1:$C$1,),)=0,#N/A,VLOOKUP(Table7[[#This Row],[Date]],Database!$A:$C,MATCH($C$1,Database!$A$1:$C$1,),))</f>
        <v/>
      </c>
      <c r="D13302">
        <f>IFERROR(Table7[[#This Row],[United States 10y]]-Table7[[#This Row],[United States 3y]],#N/A)</f>
        <v/>
      </c>
    </row>
    <row r="13303">
      <c r="A13303" s="6">
        <f>Database!$A15388</f>
        <v/>
      </c>
      <c r="B13303">
        <f>IF(VLOOKUP(Table7[[#This Row],[Date]],Database!$A:$C,MATCH($B$1,Database!$A$1:$C$1,),)=0,#N/A,VLOOKUP(Table7[[#This Row],[Date]],Database!$A:$C,MATCH($B$1,Database!$A$1:$C$1,),))</f>
        <v/>
      </c>
      <c r="C13303">
        <f>IF(VLOOKUP(Table7[[#This Row],[Date]],Database!$A:$C,MATCH($C$1,Database!$A$1:$C$1,),)=0,#N/A,VLOOKUP(Table7[[#This Row],[Date]],Database!$A:$C,MATCH($C$1,Database!$A$1:$C$1,),))</f>
        <v/>
      </c>
      <c r="D13303">
        <f>IFERROR(Table7[[#This Row],[United States 10y]]-Table7[[#This Row],[United States 3y]],#N/A)</f>
        <v/>
      </c>
    </row>
    <row r="13304">
      <c r="A13304" s="6">
        <f>Database!$A15389</f>
        <v/>
      </c>
      <c r="B13304">
        <f>IF(VLOOKUP(Table7[[#This Row],[Date]],Database!$A:$C,MATCH($B$1,Database!$A$1:$C$1,),)=0,#N/A,VLOOKUP(Table7[[#This Row],[Date]],Database!$A:$C,MATCH($B$1,Database!$A$1:$C$1,),))</f>
        <v/>
      </c>
      <c r="C13304">
        <f>IF(VLOOKUP(Table7[[#This Row],[Date]],Database!$A:$C,MATCH($C$1,Database!$A$1:$C$1,),)=0,#N/A,VLOOKUP(Table7[[#This Row],[Date]],Database!$A:$C,MATCH($C$1,Database!$A$1:$C$1,),))</f>
        <v/>
      </c>
      <c r="D13304">
        <f>IFERROR(Table7[[#This Row],[United States 10y]]-Table7[[#This Row],[United States 3y]],#N/A)</f>
        <v/>
      </c>
    </row>
    <row r="13305">
      <c r="A13305" s="6">
        <f>Database!$A15390</f>
        <v/>
      </c>
      <c r="B13305">
        <f>IF(VLOOKUP(Table7[[#This Row],[Date]],Database!$A:$C,MATCH($B$1,Database!$A$1:$C$1,),)=0,#N/A,VLOOKUP(Table7[[#This Row],[Date]],Database!$A:$C,MATCH($B$1,Database!$A$1:$C$1,),))</f>
        <v/>
      </c>
      <c r="C13305">
        <f>IF(VLOOKUP(Table7[[#This Row],[Date]],Database!$A:$C,MATCH($C$1,Database!$A$1:$C$1,),)=0,#N/A,VLOOKUP(Table7[[#This Row],[Date]],Database!$A:$C,MATCH($C$1,Database!$A$1:$C$1,),))</f>
        <v/>
      </c>
      <c r="D13305">
        <f>IFERROR(Table7[[#This Row],[United States 10y]]-Table7[[#This Row],[United States 3y]],#N/A)</f>
        <v/>
      </c>
    </row>
    <row r="13306">
      <c r="A13306" s="6">
        <f>Database!$A15391</f>
        <v/>
      </c>
      <c r="B13306">
        <f>IF(VLOOKUP(Table7[[#This Row],[Date]],Database!$A:$C,MATCH($B$1,Database!$A$1:$C$1,),)=0,#N/A,VLOOKUP(Table7[[#This Row],[Date]],Database!$A:$C,MATCH($B$1,Database!$A$1:$C$1,),))</f>
        <v/>
      </c>
      <c r="C13306">
        <f>IF(VLOOKUP(Table7[[#This Row],[Date]],Database!$A:$C,MATCH($C$1,Database!$A$1:$C$1,),)=0,#N/A,VLOOKUP(Table7[[#This Row],[Date]],Database!$A:$C,MATCH($C$1,Database!$A$1:$C$1,),))</f>
        <v/>
      </c>
      <c r="D13306">
        <f>IFERROR(Table7[[#This Row],[United States 10y]]-Table7[[#This Row],[United States 3y]],#N/A)</f>
        <v/>
      </c>
    </row>
    <row r="13307">
      <c r="A13307" s="6">
        <f>Database!$A15392</f>
        <v/>
      </c>
      <c r="B13307">
        <f>IF(VLOOKUP(Table7[[#This Row],[Date]],Database!$A:$C,MATCH($B$1,Database!$A$1:$C$1,),)=0,#N/A,VLOOKUP(Table7[[#This Row],[Date]],Database!$A:$C,MATCH($B$1,Database!$A$1:$C$1,),))</f>
        <v/>
      </c>
      <c r="C13307">
        <f>IF(VLOOKUP(Table7[[#This Row],[Date]],Database!$A:$C,MATCH($C$1,Database!$A$1:$C$1,),)=0,#N/A,VLOOKUP(Table7[[#This Row],[Date]],Database!$A:$C,MATCH($C$1,Database!$A$1:$C$1,),))</f>
        <v/>
      </c>
      <c r="D13307">
        <f>IFERROR(Table7[[#This Row],[United States 10y]]-Table7[[#This Row],[United States 3y]],#N/A)</f>
        <v/>
      </c>
    </row>
    <row r="13308">
      <c r="A13308" s="6">
        <f>Database!$A15393</f>
        <v/>
      </c>
      <c r="B13308">
        <f>IF(VLOOKUP(Table7[[#This Row],[Date]],Database!$A:$C,MATCH($B$1,Database!$A$1:$C$1,),)=0,#N/A,VLOOKUP(Table7[[#This Row],[Date]],Database!$A:$C,MATCH($B$1,Database!$A$1:$C$1,),))</f>
        <v/>
      </c>
      <c r="C13308">
        <f>IF(VLOOKUP(Table7[[#This Row],[Date]],Database!$A:$C,MATCH($C$1,Database!$A$1:$C$1,),)=0,#N/A,VLOOKUP(Table7[[#This Row],[Date]],Database!$A:$C,MATCH($C$1,Database!$A$1:$C$1,),))</f>
        <v/>
      </c>
      <c r="D13308">
        <f>IFERROR(Table7[[#This Row],[United States 10y]]-Table7[[#This Row],[United States 3y]],#N/A)</f>
        <v/>
      </c>
    </row>
    <row r="13309">
      <c r="A13309" s="6">
        <f>Database!$A15394</f>
        <v/>
      </c>
      <c r="B13309">
        <f>IF(VLOOKUP(Table7[[#This Row],[Date]],Database!$A:$C,MATCH($B$1,Database!$A$1:$C$1,),)=0,#N/A,VLOOKUP(Table7[[#This Row],[Date]],Database!$A:$C,MATCH($B$1,Database!$A$1:$C$1,),))</f>
        <v/>
      </c>
      <c r="C13309">
        <f>IF(VLOOKUP(Table7[[#This Row],[Date]],Database!$A:$C,MATCH($C$1,Database!$A$1:$C$1,),)=0,#N/A,VLOOKUP(Table7[[#This Row],[Date]],Database!$A:$C,MATCH($C$1,Database!$A$1:$C$1,),))</f>
        <v/>
      </c>
      <c r="D13309">
        <f>IFERROR(Table7[[#This Row],[United States 10y]]-Table7[[#This Row],[United States 3y]],#N/A)</f>
        <v/>
      </c>
    </row>
    <row r="13310">
      <c r="A13310" s="6">
        <f>Database!$A15395</f>
        <v/>
      </c>
      <c r="B13310">
        <f>IF(VLOOKUP(Table7[[#This Row],[Date]],Database!$A:$C,MATCH($B$1,Database!$A$1:$C$1,),)=0,#N/A,VLOOKUP(Table7[[#This Row],[Date]],Database!$A:$C,MATCH($B$1,Database!$A$1:$C$1,),))</f>
        <v/>
      </c>
      <c r="C13310">
        <f>IF(VLOOKUP(Table7[[#This Row],[Date]],Database!$A:$C,MATCH($C$1,Database!$A$1:$C$1,),)=0,#N/A,VLOOKUP(Table7[[#This Row],[Date]],Database!$A:$C,MATCH($C$1,Database!$A$1:$C$1,),))</f>
        <v/>
      </c>
      <c r="D13310">
        <f>IFERROR(Table7[[#This Row],[United States 10y]]-Table7[[#This Row],[United States 3y]],#N/A)</f>
        <v/>
      </c>
    </row>
    <row r="13311">
      <c r="A13311" s="6">
        <f>Database!$A15396</f>
        <v/>
      </c>
      <c r="B13311">
        <f>IF(VLOOKUP(Table7[[#This Row],[Date]],Database!$A:$C,MATCH($B$1,Database!$A$1:$C$1,),)=0,#N/A,VLOOKUP(Table7[[#This Row],[Date]],Database!$A:$C,MATCH($B$1,Database!$A$1:$C$1,),))</f>
        <v/>
      </c>
      <c r="C13311">
        <f>IF(VLOOKUP(Table7[[#This Row],[Date]],Database!$A:$C,MATCH($C$1,Database!$A$1:$C$1,),)=0,#N/A,VLOOKUP(Table7[[#This Row],[Date]],Database!$A:$C,MATCH($C$1,Database!$A$1:$C$1,),))</f>
        <v/>
      </c>
      <c r="D13311">
        <f>IFERROR(Table7[[#This Row],[United States 10y]]-Table7[[#This Row],[United States 3y]],#N/A)</f>
        <v/>
      </c>
    </row>
    <row r="13312">
      <c r="A13312" s="6">
        <f>Database!$A15397</f>
        <v/>
      </c>
      <c r="B13312">
        <f>IF(VLOOKUP(Table7[[#This Row],[Date]],Database!$A:$C,MATCH($B$1,Database!$A$1:$C$1,),)=0,#N/A,VLOOKUP(Table7[[#This Row],[Date]],Database!$A:$C,MATCH($B$1,Database!$A$1:$C$1,),))</f>
        <v/>
      </c>
      <c r="C13312">
        <f>IF(VLOOKUP(Table7[[#This Row],[Date]],Database!$A:$C,MATCH($C$1,Database!$A$1:$C$1,),)=0,#N/A,VLOOKUP(Table7[[#This Row],[Date]],Database!$A:$C,MATCH($C$1,Database!$A$1:$C$1,),))</f>
        <v/>
      </c>
      <c r="D13312">
        <f>IFERROR(Table7[[#This Row],[United States 10y]]-Table7[[#This Row],[United States 3y]],#N/A)</f>
        <v/>
      </c>
    </row>
    <row r="13313">
      <c r="A13313" s="6">
        <f>Database!$A15398</f>
        <v/>
      </c>
      <c r="B13313">
        <f>IF(VLOOKUP(Table7[[#This Row],[Date]],Database!$A:$C,MATCH($B$1,Database!$A$1:$C$1,),)=0,#N/A,VLOOKUP(Table7[[#This Row],[Date]],Database!$A:$C,MATCH($B$1,Database!$A$1:$C$1,),))</f>
        <v/>
      </c>
      <c r="C13313">
        <f>IF(VLOOKUP(Table7[[#This Row],[Date]],Database!$A:$C,MATCH($C$1,Database!$A$1:$C$1,),)=0,#N/A,VLOOKUP(Table7[[#This Row],[Date]],Database!$A:$C,MATCH($C$1,Database!$A$1:$C$1,),))</f>
        <v/>
      </c>
      <c r="D13313">
        <f>IFERROR(Table7[[#This Row],[United States 10y]]-Table7[[#This Row],[United States 3y]],#N/A)</f>
        <v/>
      </c>
    </row>
    <row r="13314">
      <c r="A13314" s="6">
        <f>Database!$A15399</f>
        <v/>
      </c>
      <c r="B13314">
        <f>IF(VLOOKUP(Table7[[#This Row],[Date]],Database!$A:$C,MATCH($B$1,Database!$A$1:$C$1,),)=0,#N/A,VLOOKUP(Table7[[#This Row],[Date]],Database!$A:$C,MATCH($B$1,Database!$A$1:$C$1,),))</f>
        <v/>
      </c>
      <c r="C13314">
        <f>IF(VLOOKUP(Table7[[#This Row],[Date]],Database!$A:$C,MATCH($C$1,Database!$A$1:$C$1,),)=0,#N/A,VLOOKUP(Table7[[#This Row],[Date]],Database!$A:$C,MATCH($C$1,Database!$A$1:$C$1,),))</f>
        <v/>
      </c>
      <c r="D13314">
        <f>IFERROR(Table7[[#This Row],[United States 10y]]-Table7[[#This Row],[United States 3y]],#N/A)</f>
        <v/>
      </c>
    </row>
    <row r="13315">
      <c r="A13315" s="6">
        <f>Database!$A15400</f>
        <v/>
      </c>
      <c r="B13315">
        <f>IF(VLOOKUP(Table7[[#This Row],[Date]],Database!$A:$C,MATCH($B$1,Database!$A$1:$C$1,),)=0,#N/A,VLOOKUP(Table7[[#This Row],[Date]],Database!$A:$C,MATCH($B$1,Database!$A$1:$C$1,),))</f>
        <v/>
      </c>
      <c r="C13315">
        <f>IF(VLOOKUP(Table7[[#This Row],[Date]],Database!$A:$C,MATCH($C$1,Database!$A$1:$C$1,),)=0,#N/A,VLOOKUP(Table7[[#This Row],[Date]],Database!$A:$C,MATCH($C$1,Database!$A$1:$C$1,),))</f>
        <v/>
      </c>
      <c r="D13315">
        <f>IFERROR(Table7[[#This Row],[United States 10y]]-Table7[[#This Row],[United States 3y]],#N/A)</f>
        <v/>
      </c>
    </row>
    <row r="13316">
      <c r="A13316" s="6">
        <f>Database!$A15401</f>
        <v/>
      </c>
      <c r="B13316">
        <f>IF(VLOOKUP(Table7[[#This Row],[Date]],Database!$A:$C,MATCH($B$1,Database!$A$1:$C$1,),)=0,#N/A,VLOOKUP(Table7[[#This Row],[Date]],Database!$A:$C,MATCH($B$1,Database!$A$1:$C$1,),))</f>
        <v/>
      </c>
      <c r="C13316">
        <f>IF(VLOOKUP(Table7[[#This Row],[Date]],Database!$A:$C,MATCH($C$1,Database!$A$1:$C$1,),)=0,#N/A,VLOOKUP(Table7[[#This Row],[Date]],Database!$A:$C,MATCH($C$1,Database!$A$1:$C$1,),))</f>
        <v/>
      </c>
      <c r="D13316">
        <f>IFERROR(Table7[[#This Row],[United States 10y]]-Table7[[#This Row],[United States 3y]],#N/A)</f>
        <v/>
      </c>
    </row>
    <row r="13317">
      <c r="A13317" s="6">
        <f>Database!$A15402</f>
        <v/>
      </c>
      <c r="B13317">
        <f>IF(VLOOKUP(Table7[[#This Row],[Date]],Database!$A:$C,MATCH($B$1,Database!$A$1:$C$1,),)=0,#N/A,VLOOKUP(Table7[[#This Row],[Date]],Database!$A:$C,MATCH($B$1,Database!$A$1:$C$1,),))</f>
        <v/>
      </c>
      <c r="C13317">
        <f>IF(VLOOKUP(Table7[[#This Row],[Date]],Database!$A:$C,MATCH($C$1,Database!$A$1:$C$1,),)=0,#N/A,VLOOKUP(Table7[[#This Row],[Date]],Database!$A:$C,MATCH($C$1,Database!$A$1:$C$1,),))</f>
        <v/>
      </c>
      <c r="D13317">
        <f>IFERROR(Table7[[#This Row],[United States 10y]]-Table7[[#This Row],[United States 3y]],#N/A)</f>
        <v/>
      </c>
    </row>
    <row r="13318">
      <c r="A13318" s="6">
        <f>Database!$A15403</f>
        <v/>
      </c>
      <c r="B13318">
        <f>IF(VLOOKUP(Table7[[#This Row],[Date]],Database!$A:$C,MATCH($B$1,Database!$A$1:$C$1,),)=0,#N/A,VLOOKUP(Table7[[#This Row],[Date]],Database!$A:$C,MATCH($B$1,Database!$A$1:$C$1,),))</f>
        <v/>
      </c>
      <c r="C13318">
        <f>IF(VLOOKUP(Table7[[#This Row],[Date]],Database!$A:$C,MATCH($C$1,Database!$A$1:$C$1,),)=0,#N/A,VLOOKUP(Table7[[#This Row],[Date]],Database!$A:$C,MATCH($C$1,Database!$A$1:$C$1,),))</f>
        <v/>
      </c>
      <c r="D13318">
        <f>IFERROR(Table7[[#This Row],[United States 10y]]-Table7[[#This Row],[United States 3y]],#N/A)</f>
        <v/>
      </c>
    </row>
    <row r="13319">
      <c r="A13319" s="6">
        <f>Database!$A15404</f>
        <v/>
      </c>
      <c r="B13319">
        <f>IF(VLOOKUP(Table7[[#This Row],[Date]],Database!$A:$C,MATCH($B$1,Database!$A$1:$C$1,),)=0,#N/A,VLOOKUP(Table7[[#This Row],[Date]],Database!$A:$C,MATCH($B$1,Database!$A$1:$C$1,),))</f>
        <v/>
      </c>
      <c r="C13319">
        <f>IF(VLOOKUP(Table7[[#This Row],[Date]],Database!$A:$C,MATCH($C$1,Database!$A$1:$C$1,),)=0,#N/A,VLOOKUP(Table7[[#This Row],[Date]],Database!$A:$C,MATCH($C$1,Database!$A$1:$C$1,),))</f>
        <v/>
      </c>
      <c r="D13319">
        <f>IFERROR(Table7[[#This Row],[United States 10y]]-Table7[[#This Row],[United States 3y]],#N/A)</f>
        <v/>
      </c>
    </row>
    <row r="13320">
      <c r="A13320" s="6">
        <f>Database!$A15405</f>
        <v/>
      </c>
      <c r="B13320">
        <f>IF(VLOOKUP(Table7[[#This Row],[Date]],Database!$A:$C,MATCH($B$1,Database!$A$1:$C$1,),)=0,#N/A,VLOOKUP(Table7[[#This Row],[Date]],Database!$A:$C,MATCH($B$1,Database!$A$1:$C$1,),))</f>
        <v/>
      </c>
      <c r="C13320">
        <f>IF(VLOOKUP(Table7[[#This Row],[Date]],Database!$A:$C,MATCH($C$1,Database!$A$1:$C$1,),)=0,#N/A,VLOOKUP(Table7[[#This Row],[Date]],Database!$A:$C,MATCH($C$1,Database!$A$1:$C$1,),))</f>
        <v/>
      </c>
      <c r="D13320">
        <f>IFERROR(Table7[[#This Row],[United States 10y]]-Table7[[#This Row],[United States 3y]],#N/A)</f>
        <v/>
      </c>
    </row>
    <row r="13321">
      <c r="A13321" s="6">
        <f>Database!$A15406</f>
        <v/>
      </c>
      <c r="B13321">
        <f>IF(VLOOKUP(Table7[[#This Row],[Date]],Database!$A:$C,MATCH($B$1,Database!$A$1:$C$1,),)=0,#N/A,VLOOKUP(Table7[[#This Row],[Date]],Database!$A:$C,MATCH($B$1,Database!$A$1:$C$1,),))</f>
        <v/>
      </c>
      <c r="C13321">
        <f>IF(VLOOKUP(Table7[[#This Row],[Date]],Database!$A:$C,MATCH($C$1,Database!$A$1:$C$1,),)=0,#N/A,VLOOKUP(Table7[[#This Row],[Date]],Database!$A:$C,MATCH($C$1,Database!$A$1:$C$1,),))</f>
        <v/>
      </c>
      <c r="D13321">
        <f>IFERROR(Table7[[#This Row],[United States 10y]]-Table7[[#This Row],[United States 3y]],#N/A)</f>
        <v/>
      </c>
    </row>
    <row r="13322">
      <c r="A13322" s="6">
        <f>Database!$A15407</f>
        <v/>
      </c>
      <c r="B13322">
        <f>IF(VLOOKUP(Table7[[#This Row],[Date]],Database!$A:$C,MATCH($B$1,Database!$A$1:$C$1,),)=0,#N/A,VLOOKUP(Table7[[#This Row],[Date]],Database!$A:$C,MATCH($B$1,Database!$A$1:$C$1,),))</f>
        <v/>
      </c>
      <c r="C13322">
        <f>IF(VLOOKUP(Table7[[#This Row],[Date]],Database!$A:$C,MATCH($C$1,Database!$A$1:$C$1,),)=0,#N/A,VLOOKUP(Table7[[#This Row],[Date]],Database!$A:$C,MATCH($C$1,Database!$A$1:$C$1,),))</f>
        <v/>
      </c>
      <c r="D13322">
        <f>IFERROR(Table7[[#This Row],[United States 10y]]-Table7[[#This Row],[United States 3y]],#N/A)</f>
        <v/>
      </c>
    </row>
    <row r="13323">
      <c r="A13323" s="6">
        <f>Database!$A15408</f>
        <v/>
      </c>
      <c r="B13323">
        <f>IF(VLOOKUP(Table7[[#This Row],[Date]],Database!$A:$C,MATCH($B$1,Database!$A$1:$C$1,),)=0,#N/A,VLOOKUP(Table7[[#This Row],[Date]],Database!$A:$C,MATCH($B$1,Database!$A$1:$C$1,),))</f>
        <v/>
      </c>
      <c r="C13323">
        <f>IF(VLOOKUP(Table7[[#This Row],[Date]],Database!$A:$C,MATCH($C$1,Database!$A$1:$C$1,),)=0,#N/A,VLOOKUP(Table7[[#This Row],[Date]],Database!$A:$C,MATCH($C$1,Database!$A$1:$C$1,),))</f>
        <v/>
      </c>
      <c r="D13323">
        <f>IFERROR(Table7[[#This Row],[United States 10y]]-Table7[[#This Row],[United States 3y]],#N/A)</f>
        <v/>
      </c>
    </row>
    <row r="13324">
      <c r="A13324" s="6">
        <f>Database!$A15409</f>
        <v/>
      </c>
      <c r="B13324">
        <f>IF(VLOOKUP(Table7[[#This Row],[Date]],Database!$A:$C,MATCH($B$1,Database!$A$1:$C$1,),)=0,#N/A,VLOOKUP(Table7[[#This Row],[Date]],Database!$A:$C,MATCH($B$1,Database!$A$1:$C$1,),))</f>
        <v/>
      </c>
      <c r="C13324">
        <f>IF(VLOOKUP(Table7[[#This Row],[Date]],Database!$A:$C,MATCH($C$1,Database!$A$1:$C$1,),)=0,#N/A,VLOOKUP(Table7[[#This Row],[Date]],Database!$A:$C,MATCH($C$1,Database!$A$1:$C$1,),))</f>
        <v/>
      </c>
      <c r="D13324">
        <f>IFERROR(Table7[[#This Row],[United States 10y]]-Table7[[#This Row],[United States 3y]],#N/A)</f>
        <v/>
      </c>
    </row>
    <row r="13325">
      <c r="A13325" s="6">
        <f>Database!$A15410</f>
        <v/>
      </c>
      <c r="B13325">
        <f>IF(VLOOKUP(Table7[[#This Row],[Date]],Database!$A:$C,MATCH($B$1,Database!$A$1:$C$1,),)=0,#N/A,VLOOKUP(Table7[[#This Row],[Date]],Database!$A:$C,MATCH($B$1,Database!$A$1:$C$1,),))</f>
        <v/>
      </c>
      <c r="C13325">
        <f>IF(VLOOKUP(Table7[[#This Row],[Date]],Database!$A:$C,MATCH($C$1,Database!$A$1:$C$1,),)=0,#N/A,VLOOKUP(Table7[[#This Row],[Date]],Database!$A:$C,MATCH($C$1,Database!$A$1:$C$1,),))</f>
        <v/>
      </c>
      <c r="D13325">
        <f>IFERROR(Table7[[#This Row],[United States 10y]]-Table7[[#This Row],[United States 3y]],#N/A)</f>
        <v/>
      </c>
    </row>
    <row r="13326">
      <c r="A13326" s="6">
        <f>Database!$A15411</f>
        <v/>
      </c>
      <c r="B13326">
        <f>IF(VLOOKUP(Table7[[#This Row],[Date]],Database!$A:$C,MATCH($B$1,Database!$A$1:$C$1,),)=0,#N/A,VLOOKUP(Table7[[#This Row],[Date]],Database!$A:$C,MATCH($B$1,Database!$A$1:$C$1,),))</f>
        <v/>
      </c>
      <c r="C13326">
        <f>IF(VLOOKUP(Table7[[#This Row],[Date]],Database!$A:$C,MATCH($C$1,Database!$A$1:$C$1,),)=0,#N/A,VLOOKUP(Table7[[#This Row],[Date]],Database!$A:$C,MATCH($C$1,Database!$A$1:$C$1,),))</f>
        <v/>
      </c>
      <c r="D13326">
        <f>IFERROR(Table7[[#This Row],[United States 10y]]-Table7[[#This Row],[United States 3y]],#N/A)</f>
        <v/>
      </c>
    </row>
    <row r="13327">
      <c r="A13327" s="6">
        <f>Database!$A15412</f>
        <v/>
      </c>
      <c r="B13327">
        <f>IF(VLOOKUP(Table7[[#This Row],[Date]],Database!$A:$C,MATCH($B$1,Database!$A$1:$C$1,),)=0,#N/A,VLOOKUP(Table7[[#This Row],[Date]],Database!$A:$C,MATCH($B$1,Database!$A$1:$C$1,),))</f>
        <v/>
      </c>
      <c r="C13327">
        <f>IF(VLOOKUP(Table7[[#This Row],[Date]],Database!$A:$C,MATCH($C$1,Database!$A$1:$C$1,),)=0,#N/A,VLOOKUP(Table7[[#This Row],[Date]],Database!$A:$C,MATCH($C$1,Database!$A$1:$C$1,),))</f>
        <v/>
      </c>
      <c r="D13327">
        <f>IFERROR(Table7[[#This Row],[United States 10y]]-Table7[[#This Row],[United States 3y]],#N/A)</f>
        <v/>
      </c>
    </row>
    <row r="13328">
      <c r="A13328" s="6">
        <f>Database!$A15413</f>
        <v/>
      </c>
      <c r="B13328">
        <f>IF(VLOOKUP(Table7[[#This Row],[Date]],Database!$A:$C,MATCH($B$1,Database!$A$1:$C$1,),)=0,#N/A,VLOOKUP(Table7[[#This Row],[Date]],Database!$A:$C,MATCH($B$1,Database!$A$1:$C$1,),))</f>
        <v/>
      </c>
      <c r="C13328">
        <f>IF(VLOOKUP(Table7[[#This Row],[Date]],Database!$A:$C,MATCH($C$1,Database!$A$1:$C$1,),)=0,#N/A,VLOOKUP(Table7[[#This Row],[Date]],Database!$A:$C,MATCH($C$1,Database!$A$1:$C$1,),))</f>
        <v/>
      </c>
      <c r="D13328">
        <f>IFERROR(Table7[[#This Row],[United States 10y]]-Table7[[#This Row],[United States 3y]],#N/A)</f>
        <v/>
      </c>
    </row>
    <row r="13329">
      <c r="A13329" s="6">
        <f>Database!$A15414</f>
        <v/>
      </c>
      <c r="B13329">
        <f>IF(VLOOKUP(Table7[[#This Row],[Date]],Database!$A:$C,MATCH($B$1,Database!$A$1:$C$1,),)=0,#N/A,VLOOKUP(Table7[[#This Row],[Date]],Database!$A:$C,MATCH($B$1,Database!$A$1:$C$1,),))</f>
        <v/>
      </c>
      <c r="C13329">
        <f>IF(VLOOKUP(Table7[[#This Row],[Date]],Database!$A:$C,MATCH($C$1,Database!$A$1:$C$1,),)=0,#N/A,VLOOKUP(Table7[[#This Row],[Date]],Database!$A:$C,MATCH($C$1,Database!$A$1:$C$1,),))</f>
        <v/>
      </c>
      <c r="D13329">
        <f>IFERROR(Table7[[#This Row],[United States 10y]]-Table7[[#This Row],[United States 3y]],#N/A)</f>
        <v/>
      </c>
    </row>
    <row r="13330">
      <c r="A13330" s="6">
        <f>Database!$A15415</f>
        <v/>
      </c>
      <c r="B13330">
        <f>IF(VLOOKUP(Table7[[#This Row],[Date]],Database!$A:$C,MATCH($B$1,Database!$A$1:$C$1,),)=0,#N/A,VLOOKUP(Table7[[#This Row],[Date]],Database!$A:$C,MATCH($B$1,Database!$A$1:$C$1,),))</f>
        <v/>
      </c>
      <c r="C13330">
        <f>IF(VLOOKUP(Table7[[#This Row],[Date]],Database!$A:$C,MATCH($C$1,Database!$A$1:$C$1,),)=0,#N/A,VLOOKUP(Table7[[#This Row],[Date]],Database!$A:$C,MATCH($C$1,Database!$A$1:$C$1,),))</f>
        <v/>
      </c>
      <c r="D13330">
        <f>IFERROR(Table7[[#This Row],[United States 10y]]-Table7[[#This Row],[United States 3y]],#N/A)</f>
        <v/>
      </c>
    </row>
    <row r="13331">
      <c r="A13331" s="6">
        <f>Database!$A15416</f>
        <v/>
      </c>
      <c r="B13331">
        <f>IF(VLOOKUP(Table7[[#This Row],[Date]],Database!$A:$C,MATCH($B$1,Database!$A$1:$C$1,),)=0,#N/A,VLOOKUP(Table7[[#This Row],[Date]],Database!$A:$C,MATCH($B$1,Database!$A$1:$C$1,),))</f>
        <v/>
      </c>
      <c r="C13331">
        <f>IF(VLOOKUP(Table7[[#This Row],[Date]],Database!$A:$C,MATCH($C$1,Database!$A$1:$C$1,),)=0,#N/A,VLOOKUP(Table7[[#This Row],[Date]],Database!$A:$C,MATCH($C$1,Database!$A$1:$C$1,),))</f>
        <v/>
      </c>
      <c r="D13331">
        <f>IFERROR(Table7[[#This Row],[United States 10y]]-Table7[[#This Row],[United States 3y]],#N/A)</f>
        <v/>
      </c>
    </row>
    <row r="13332">
      <c r="A13332" s="6">
        <f>Database!$A15417</f>
        <v/>
      </c>
      <c r="B13332">
        <f>IF(VLOOKUP(Table7[[#This Row],[Date]],Database!$A:$C,MATCH($B$1,Database!$A$1:$C$1,),)=0,#N/A,VLOOKUP(Table7[[#This Row],[Date]],Database!$A:$C,MATCH($B$1,Database!$A$1:$C$1,),))</f>
        <v/>
      </c>
      <c r="C13332">
        <f>IF(VLOOKUP(Table7[[#This Row],[Date]],Database!$A:$C,MATCH($C$1,Database!$A$1:$C$1,),)=0,#N/A,VLOOKUP(Table7[[#This Row],[Date]],Database!$A:$C,MATCH($C$1,Database!$A$1:$C$1,),))</f>
        <v/>
      </c>
      <c r="D13332">
        <f>IFERROR(Table7[[#This Row],[United States 10y]]-Table7[[#This Row],[United States 3y]],#N/A)</f>
        <v/>
      </c>
    </row>
    <row r="13333">
      <c r="A13333" s="6">
        <f>Database!$A15418</f>
        <v/>
      </c>
      <c r="B13333">
        <f>IF(VLOOKUP(Table7[[#This Row],[Date]],Database!$A:$C,MATCH($B$1,Database!$A$1:$C$1,),)=0,#N/A,VLOOKUP(Table7[[#This Row],[Date]],Database!$A:$C,MATCH($B$1,Database!$A$1:$C$1,),))</f>
        <v/>
      </c>
      <c r="C13333">
        <f>IF(VLOOKUP(Table7[[#This Row],[Date]],Database!$A:$C,MATCH($C$1,Database!$A$1:$C$1,),)=0,#N/A,VLOOKUP(Table7[[#This Row],[Date]],Database!$A:$C,MATCH($C$1,Database!$A$1:$C$1,),))</f>
        <v/>
      </c>
      <c r="D13333">
        <f>IFERROR(Table7[[#This Row],[United States 10y]]-Table7[[#This Row],[United States 3y]],#N/A)</f>
        <v/>
      </c>
    </row>
    <row r="13334">
      <c r="A13334" s="6">
        <f>Database!$A15419</f>
        <v/>
      </c>
      <c r="B13334">
        <f>IF(VLOOKUP(Table7[[#This Row],[Date]],Database!$A:$C,MATCH($B$1,Database!$A$1:$C$1,),)=0,#N/A,VLOOKUP(Table7[[#This Row],[Date]],Database!$A:$C,MATCH($B$1,Database!$A$1:$C$1,),))</f>
        <v/>
      </c>
      <c r="C13334">
        <f>IF(VLOOKUP(Table7[[#This Row],[Date]],Database!$A:$C,MATCH($C$1,Database!$A$1:$C$1,),)=0,#N/A,VLOOKUP(Table7[[#This Row],[Date]],Database!$A:$C,MATCH($C$1,Database!$A$1:$C$1,),))</f>
        <v/>
      </c>
      <c r="D13334">
        <f>IFERROR(Table7[[#This Row],[United States 10y]]-Table7[[#This Row],[United States 3y]],#N/A)</f>
        <v/>
      </c>
    </row>
    <row r="13335">
      <c r="A13335" s="6">
        <f>Database!$A15420</f>
        <v/>
      </c>
      <c r="B13335">
        <f>IF(VLOOKUP(Table7[[#This Row],[Date]],Database!$A:$C,MATCH($B$1,Database!$A$1:$C$1,),)=0,#N/A,VLOOKUP(Table7[[#This Row],[Date]],Database!$A:$C,MATCH($B$1,Database!$A$1:$C$1,),))</f>
        <v/>
      </c>
      <c r="C13335">
        <f>IF(VLOOKUP(Table7[[#This Row],[Date]],Database!$A:$C,MATCH($C$1,Database!$A$1:$C$1,),)=0,#N/A,VLOOKUP(Table7[[#This Row],[Date]],Database!$A:$C,MATCH($C$1,Database!$A$1:$C$1,),))</f>
        <v/>
      </c>
      <c r="D13335">
        <f>IFERROR(Table7[[#This Row],[United States 10y]]-Table7[[#This Row],[United States 3y]],#N/A)</f>
        <v/>
      </c>
    </row>
    <row r="13336">
      <c r="A13336" s="6">
        <f>Database!$A15421</f>
        <v/>
      </c>
      <c r="B13336">
        <f>IF(VLOOKUP(Table7[[#This Row],[Date]],Database!$A:$C,MATCH($B$1,Database!$A$1:$C$1,),)=0,#N/A,VLOOKUP(Table7[[#This Row],[Date]],Database!$A:$C,MATCH($B$1,Database!$A$1:$C$1,),))</f>
        <v/>
      </c>
      <c r="C13336">
        <f>IF(VLOOKUP(Table7[[#This Row],[Date]],Database!$A:$C,MATCH($C$1,Database!$A$1:$C$1,),)=0,#N/A,VLOOKUP(Table7[[#This Row],[Date]],Database!$A:$C,MATCH($C$1,Database!$A$1:$C$1,),))</f>
        <v/>
      </c>
      <c r="D13336">
        <f>IFERROR(Table7[[#This Row],[United States 10y]]-Table7[[#This Row],[United States 3y]],#N/A)</f>
        <v/>
      </c>
    </row>
    <row r="13337">
      <c r="A13337" s="6">
        <f>Database!$A15422</f>
        <v/>
      </c>
      <c r="B13337">
        <f>IF(VLOOKUP(Table7[[#This Row],[Date]],Database!$A:$C,MATCH($B$1,Database!$A$1:$C$1,),)=0,#N/A,VLOOKUP(Table7[[#This Row],[Date]],Database!$A:$C,MATCH($B$1,Database!$A$1:$C$1,),))</f>
        <v/>
      </c>
      <c r="C13337">
        <f>IF(VLOOKUP(Table7[[#This Row],[Date]],Database!$A:$C,MATCH($C$1,Database!$A$1:$C$1,),)=0,#N/A,VLOOKUP(Table7[[#This Row],[Date]],Database!$A:$C,MATCH($C$1,Database!$A$1:$C$1,),))</f>
        <v/>
      </c>
      <c r="D13337">
        <f>IFERROR(Table7[[#This Row],[United States 10y]]-Table7[[#This Row],[United States 3y]],#N/A)</f>
        <v/>
      </c>
    </row>
    <row r="13338">
      <c r="A13338" s="6">
        <f>Database!$A15423</f>
        <v/>
      </c>
      <c r="B13338">
        <f>IF(VLOOKUP(Table7[[#This Row],[Date]],Database!$A:$C,MATCH($B$1,Database!$A$1:$C$1,),)=0,#N/A,VLOOKUP(Table7[[#This Row],[Date]],Database!$A:$C,MATCH($B$1,Database!$A$1:$C$1,),))</f>
        <v/>
      </c>
      <c r="C13338">
        <f>IF(VLOOKUP(Table7[[#This Row],[Date]],Database!$A:$C,MATCH($C$1,Database!$A$1:$C$1,),)=0,#N/A,VLOOKUP(Table7[[#This Row],[Date]],Database!$A:$C,MATCH($C$1,Database!$A$1:$C$1,),))</f>
        <v/>
      </c>
      <c r="D13338">
        <f>IFERROR(Table7[[#This Row],[United States 10y]]-Table7[[#This Row],[United States 3y]],#N/A)</f>
        <v/>
      </c>
    </row>
    <row r="13339">
      <c r="A13339" s="6">
        <f>Database!$A15424</f>
        <v/>
      </c>
      <c r="B13339">
        <f>IF(VLOOKUP(Table7[[#This Row],[Date]],Database!$A:$C,MATCH($B$1,Database!$A$1:$C$1,),)=0,#N/A,VLOOKUP(Table7[[#This Row],[Date]],Database!$A:$C,MATCH($B$1,Database!$A$1:$C$1,),))</f>
        <v/>
      </c>
      <c r="C13339">
        <f>IF(VLOOKUP(Table7[[#This Row],[Date]],Database!$A:$C,MATCH($C$1,Database!$A$1:$C$1,),)=0,#N/A,VLOOKUP(Table7[[#This Row],[Date]],Database!$A:$C,MATCH($C$1,Database!$A$1:$C$1,),))</f>
        <v/>
      </c>
      <c r="D13339">
        <f>IFERROR(Table7[[#This Row],[United States 10y]]-Table7[[#This Row],[United States 3y]],#N/A)</f>
        <v/>
      </c>
    </row>
    <row r="13340">
      <c r="A13340" s="6">
        <f>Database!$A15425</f>
        <v/>
      </c>
      <c r="B13340">
        <f>IF(VLOOKUP(Table7[[#This Row],[Date]],Database!$A:$C,MATCH($B$1,Database!$A$1:$C$1,),)=0,#N/A,VLOOKUP(Table7[[#This Row],[Date]],Database!$A:$C,MATCH($B$1,Database!$A$1:$C$1,),))</f>
        <v/>
      </c>
      <c r="C13340">
        <f>IF(VLOOKUP(Table7[[#This Row],[Date]],Database!$A:$C,MATCH($C$1,Database!$A$1:$C$1,),)=0,#N/A,VLOOKUP(Table7[[#This Row],[Date]],Database!$A:$C,MATCH($C$1,Database!$A$1:$C$1,),))</f>
        <v/>
      </c>
      <c r="D13340">
        <f>IFERROR(Table7[[#This Row],[United States 10y]]-Table7[[#This Row],[United States 3y]],#N/A)</f>
        <v/>
      </c>
    </row>
    <row r="13341">
      <c r="A13341" s="6">
        <f>Database!$A15426</f>
        <v/>
      </c>
      <c r="B13341">
        <f>IF(VLOOKUP(Table7[[#This Row],[Date]],Database!$A:$C,MATCH($B$1,Database!$A$1:$C$1,),)=0,#N/A,VLOOKUP(Table7[[#This Row],[Date]],Database!$A:$C,MATCH($B$1,Database!$A$1:$C$1,),))</f>
        <v/>
      </c>
      <c r="C13341">
        <f>IF(VLOOKUP(Table7[[#This Row],[Date]],Database!$A:$C,MATCH($C$1,Database!$A$1:$C$1,),)=0,#N/A,VLOOKUP(Table7[[#This Row],[Date]],Database!$A:$C,MATCH($C$1,Database!$A$1:$C$1,),))</f>
        <v/>
      </c>
      <c r="D13341">
        <f>IFERROR(Table7[[#This Row],[United States 10y]]-Table7[[#This Row],[United States 3y]],#N/A)</f>
        <v/>
      </c>
    </row>
    <row r="13342">
      <c r="A13342" s="6">
        <f>Database!$A15427</f>
        <v/>
      </c>
      <c r="B13342">
        <f>IF(VLOOKUP(Table7[[#This Row],[Date]],Database!$A:$C,MATCH($B$1,Database!$A$1:$C$1,),)=0,#N/A,VLOOKUP(Table7[[#This Row],[Date]],Database!$A:$C,MATCH($B$1,Database!$A$1:$C$1,),))</f>
        <v/>
      </c>
      <c r="C13342">
        <f>IF(VLOOKUP(Table7[[#This Row],[Date]],Database!$A:$C,MATCH($C$1,Database!$A$1:$C$1,),)=0,#N/A,VLOOKUP(Table7[[#This Row],[Date]],Database!$A:$C,MATCH($C$1,Database!$A$1:$C$1,),))</f>
        <v/>
      </c>
      <c r="D13342">
        <f>IFERROR(Table7[[#This Row],[United States 10y]]-Table7[[#This Row],[United States 3y]],#N/A)</f>
        <v/>
      </c>
    </row>
    <row r="13343">
      <c r="A13343" s="6">
        <f>Database!$A15428</f>
        <v/>
      </c>
      <c r="B13343">
        <f>IF(VLOOKUP(Table7[[#This Row],[Date]],Database!$A:$C,MATCH($B$1,Database!$A$1:$C$1,),)=0,#N/A,VLOOKUP(Table7[[#This Row],[Date]],Database!$A:$C,MATCH($B$1,Database!$A$1:$C$1,),))</f>
        <v/>
      </c>
      <c r="C13343">
        <f>IF(VLOOKUP(Table7[[#This Row],[Date]],Database!$A:$C,MATCH($C$1,Database!$A$1:$C$1,),)=0,#N/A,VLOOKUP(Table7[[#This Row],[Date]],Database!$A:$C,MATCH($C$1,Database!$A$1:$C$1,),))</f>
        <v/>
      </c>
      <c r="D13343">
        <f>IFERROR(Table7[[#This Row],[United States 10y]]-Table7[[#This Row],[United States 3y]],#N/A)</f>
        <v/>
      </c>
    </row>
    <row r="13344">
      <c r="A13344" s="6">
        <f>Database!$A15429</f>
        <v/>
      </c>
      <c r="B13344">
        <f>IF(VLOOKUP(Table7[[#This Row],[Date]],Database!$A:$C,MATCH($B$1,Database!$A$1:$C$1,),)=0,#N/A,VLOOKUP(Table7[[#This Row],[Date]],Database!$A:$C,MATCH($B$1,Database!$A$1:$C$1,),))</f>
        <v/>
      </c>
      <c r="C13344">
        <f>IF(VLOOKUP(Table7[[#This Row],[Date]],Database!$A:$C,MATCH($C$1,Database!$A$1:$C$1,),)=0,#N/A,VLOOKUP(Table7[[#This Row],[Date]],Database!$A:$C,MATCH($C$1,Database!$A$1:$C$1,),))</f>
        <v/>
      </c>
      <c r="D13344">
        <f>IFERROR(Table7[[#This Row],[United States 10y]]-Table7[[#This Row],[United States 3y]],#N/A)</f>
        <v/>
      </c>
    </row>
    <row r="13345">
      <c r="A13345" s="6">
        <f>Database!$A15430</f>
        <v/>
      </c>
      <c r="B13345">
        <f>IF(VLOOKUP(Table7[[#This Row],[Date]],Database!$A:$C,MATCH($B$1,Database!$A$1:$C$1,),)=0,#N/A,VLOOKUP(Table7[[#This Row],[Date]],Database!$A:$C,MATCH($B$1,Database!$A$1:$C$1,),))</f>
        <v/>
      </c>
      <c r="C13345">
        <f>IF(VLOOKUP(Table7[[#This Row],[Date]],Database!$A:$C,MATCH($C$1,Database!$A$1:$C$1,),)=0,#N/A,VLOOKUP(Table7[[#This Row],[Date]],Database!$A:$C,MATCH($C$1,Database!$A$1:$C$1,),))</f>
        <v/>
      </c>
      <c r="D13345">
        <f>IFERROR(Table7[[#This Row],[United States 10y]]-Table7[[#This Row],[United States 3y]],#N/A)</f>
        <v/>
      </c>
    </row>
    <row r="13346">
      <c r="A13346" s="6">
        <f>Database!$A15431</f>
        <v/>
      </c>
      <c r="B13346">
        <f>IF(VLOOKUP(Table7[[#This Row],[Date]],Database!$A:$C,MATCH($B$1,Database!$A$1:$C$1,),)=0,#N/A,VLOOKUP(Table7[[#This Row],[Date]],Database!$A:$C,MATCH($B$1,Database!$A$1:$C$1,),))</f>
        <v/>
      </c>
      <c r="C13346">
        <f>IF(VLOOKUP(Table7[[#This Row],[Date]],Database!$A:$C,MATCH($C$1,Database!$A$1:$C$1,),)=0,#N/A,VLOOKUP(Table7[[#This Row],[Date]],Database!$A:$C,MATCH($C$1,Database!$A$1:$C$1,),))</f>
        <v/>
      </c>
      <c r="D13346">
        <f>IFERROR(Table7[[#This Row],[United States 10y]]-Table7[[#This Row],[United States 3y]],#N/A)</f>
        <v/>
      </c>
    </row>
    <row r="13347">
      <c r="A13347" s="6">
        <f>Database!$A15432</f>
        <v/>
      </c>
      <c r="B13347">
        <f>IF(VLOOKUP(Table7[[#This Row],[Date]],Database!$A:$C,MATCH($B$1,Database!$A$1:$C$1,),)=0,#N/A,VLOOKUP(Table7[[#This Row],[Date]],Database!$A:$C,MATCH($B$1,Database!$A$1:$C$1,),))</f>
        <v/>
      </c>
      <c r="C13347">
        <f>IF(VLOOKUP(Table7[[#This Row],[Date]],Database!$A:$C,MATCH($C$1,Database!$A$1:$C$1,),)=0,#N/A,VLOOKUP(Table7[[#This Row],[Date]],Database!$A:$C,MATCH($C$1,Database!$A$1:$C$1,),))</f>
        <v/>
      </c>
      <c r="D13347">
        <f>IFERROR(Table7[[#This Row],[United States 10y]]-Table7[[#This Row],[United States 3y]],#N/A)</f>
        <v/>
      </c>
    </row>
    <row r="13348">
      <c r="A13348" s="6">
        <f>Database!$A15433</f>
        <v/>
      </c>
      <c r="B13348">
        <f>IF(VLOOKUP(Table7[[#This Row],[Date]],Database!$A:$C,MATCH($B$1,Database!$A$1:$C$1,),)=0,#N/A,VLOOKUP(Table7[[#This Row],[Date]],Database!$A:$C,MATCH($B$1,Database!$A$1:$C$1,),))</f>
        <v/>
      </c>
      <c r="C13348">
        <f>IF(VLOOKUP(Table7[[#This Row],[Date]],Database!$A:$C,MATCH($C$1,Database!$A$1:$C$1,),)=0,#N/A,VLOOKUP(Table7[[#This Row],[Date]],Database!$A:$C,MATCH($C$1,Database!$A$1:$C$1,),))</f>
        <v/>
      </c>
      <c r="D13348">
        <f>IFERROR(Table7[[#This Row],[United States 10y]]-Table7[[#This Row],[United States 3y]],#N/A)</f>
        <v/>
      </c>
    </row>
    <row r="13349">
      <c r="A13349" s="6">
        <f>Database!$A15434</f>
        <v/>
      </c>
      <c r="B13349">
        <f>IF(VLOOKUP(Table7[[#This Row],[Date]],Database!$A:$C,MATCH($B$1,Database!$A$1:$C$1,),)=0,#N/A,VLOOKUP(Table7[[#This Row],[Date]],Database!$A:$C,MATCH($B$1,Database!$A$1:$C$1,),))</f>
        <v/>
      </c>
      <c r="C13349">
        <f>IF(VLOOKUP(Table7[[#This Row],[Date]],Database!$A:$C,MATCH($C$1,Database!$A$1:$C$1,),)=0,#N/A,VLOOKUP(Table7[[#This Row],[Date]],Database!$A:$C,MATCH($C$1,Database!$A$1:$C$1,),))</f>
        <v/>
      </c>
      <c r="D13349">
        <f>IFERROR(Table7[[#This Row],[United States 10y]]-Table7[[#This Row],[United States 3y]],#N/A)</f>
        <v/>
      </c>
    </row>
    <row r="13350">
      <c r="A13350" s="6">
        <f>Database!$A15435</f>
        <v/>
      </c>
      <c r="B13350">
        <f>IF(VLOOKUP(Table7[[#This Row],[Date]],Database!$A:$C,MATCH($B$1,Database!$A$1:$C$1,),)=0,#N/A,VLOOKUP(Table7[[#This Row],[Date]],Database!$A:$C,MATCH($B$1,Database!$A$1:$C$1,),))</f>
        <v/>
      </c>
      <c r="C13350">
        <f>IF(VLOOKUP(Table7[[#This Row],[Date]],Database!$A:$C,MATCH($C$1,Database!$A$1:$C$1,),)=0,#N/A,VLOOKUP(Table7[[#This Row],[Date]],Database!$A:$C,MATCH($C$1,Database!$A$1:$C$1,),))</f>
        <v/>
      </c>
      <c r="D13350">
        <f>IFERROR(Table7[[#This Row],[United States 10y]]-Table7[[#This Row],[United States 3y]],#N/A)</f>
        <v/>
      </c>
    </row>
    <row r="13351">
      <c r="A13351" s="6">
        <f>Database!$A15436</f>
        <v/>
      </c>
      <c r="B13351">
        <f>IF(VLOOKUP(Table7[[#This Row],[Date]],Database!$A:$C,MATCH($B$1,Database!$A$1:$C$1,),)=0,#N/A,VLOOKUP(Table7[[#This Row],[Date]],Database!$A:$C,MATCH($B$1,Database!$A$1:$C$1,),))</f>
        <v/>
      </c>
      <c r="C13351">
        <f>IF(VLOOKUP(Table7[[#This Row],[Date]],Database!$A:$C,MATCH($C$1,Database!$A$1:$C$1,),)=0,#N/A,VLOOKUP(Table7[[#This Row],[Date]],Database!$A:$C,MATCH($C$1,Database!$A$1:$C$1,),))</f>
        <v/>
      </c>
      <c r="D13351">
        <f>IFERROR(Table7[[#This Row],[United States 10y]]-Table7[[#This Row],[United States 3y]],#N/A)</f>
        <v/>
      </c>
    </row>
    <row r="13352">
      <c r="A13352" s="6">
        <f>Database!$A15437</f>
        <v/>
      </c>
      <c r="B13352">
        <f>IF(VLOOKUP(Table7[[#This Row],[Date]],Database!$A:$C,MATCH($B$1,Database!$A$1:$C$1,),)=0,#N/A,VLOOKUP(Table7[[#This Row],[Date]],Database!$A:$C,MATCH($B$1,Database!$A$1:$C$1,),))</f>
        <v/>
      </c>
      <c r="C13352">
        <f>IF(VLOOKUP(Table7[[#This Row],[Date]],Database!$A:$C,MATCH($C$1,Database!$A$1:$C$1,),)=0,#N/A,VLOOKUP(Table7[[#This Row],[Date]],Database!$A:$C,MATCH($C$1,Database!$A$1:$C$1,),))</f>
        <v/>
      </c>
      <c r="D13352">
        <f>IFERROR(Table7[[#This Row],[United States 10y]]-Table7[[#This Row],[United States 3y]],#N/A)</f>
        <v/>
      </c>
    </row>
    <row r="13353">
      <c r="A13353" s="6">
        <f>Database!$A15438</f>
        <v/>
      </c>
      <c r="B13353">
        <f>IF(VLOOKUP(Table7[[#This Row],[Date]],Database!$A:$C,MATCH($B$1,Database!$A$1:$C$1,),)=0,#N/A,VLOOKUP(Table7[[#This Row],[Date]],Database!$A:$C,MATCH($B$1,Database!$A$1:$C$1,),))</f>
        <v/>
      </c>
      <c r="C13353">
        <f>IF(VLOOKUP(Table7[[#This Row],[Date]],Database!$A:$C,MATCH($C$1,Database!$A$1:$C$1,),)=0,#N/A,VLOOKUP(Table7[[#This Row],[Date]],Database!$A:$C,MATCH($C$1,Database!$A$1:$C$1,),))</f>
        <v/>
      </c>
      <c r="D13353">
        <f>IFERROR(Table7[[#This Row],[United States 10y]]-Table7[[#This Row],[United States 3y]],#N/A)</f>
        <v/>
      </c>
    </row>
    <row r="13354">
      <c r="A13354" s="6">
        <f>Database!$A15439</f>
        <v/>
      </c>
      <c r="B13354">
        <f>IF(VLOOKUP(Table7[[#This Row],[Date]],Database!$A:$C,MATCH($B$1,Database!$A$1:$C$1,),)=0,#N/A,VLOOKUP(Table7[[#This Row],[Date]],Database!$A:$C,MATCH($B$1,Database!$A$1:$C$1,),))</f>
        <v/>
      </c>
      <c r="C13354">
        <f>IF(VLOOKUP(Table7[[#This Row],[Date]],Database!$A:$C,MATCH($C$1,Database!$A$1:$C$1,),)=0,#N/A,VLOOKUP(Table7[[#This Row],[Date]],Database!$A:$C,MATCH($C$1,Database!$A$1:$C$1,),))</f>
        <v/>
      </c>
      <c r="D13354">
        <f>IFERROR(Table7[[#This Row],[United States 10y]]-Table7[[#This Row],[United States 3y]],#N/A)</f>
        <v/>
      </c>
    </row>
    <row r="13355">
      <c r="A13355" s="6">
        <f>Database!$A15440</f>
        <v/>
      </c>
      <c r="B13355">
        <f>IF(VLOOKUP(Table7[[#This Row],[Date]],Database!$A:$C,MATCH($B$1,Database!$A$1:$C$1,),)=0,#N/A,VLOOKUP(Table7[[#This Row],[Date]],Database!$A:$C,MATCH($B$1,Database!$A$1:$C$1,),))</f>
        <v/>
      </c>
      <c r="C13355">
        <f>IF(VLOOKUP(Table7[[#This Row],[Date]],Database!$A:$C,MATCH($C$1,Database!$A$1:$C$1,),)=0,#N/A,VLOOKUP(Table7[[#This Row],[Date]],Database!$A:$C,MATCH($C$1,Database!$A$1:$C$1,),))</f>
        <v/>
      </c>
      <c r="D13355">
        <f>IFERROR(Table7[[#This Row],[United States 10y]]-Table7[[#This Row],[United States 3y]],#N/A)</f>
        <v/>
      </c>
    </row>
    <row r="13356">
      <c r="A13356" s="6">
        <f>Database!$A15441</f>
        <v/>
      </c>
      <c r="B13356">
        <f>IF(VLOOKUP(Table7[[#This Row],[Date]],Database!$A:$C,MATCH($B$1,Database!$A$1:$C$1,),)=0,#N/A,VLOOKUP(Table7[[#This Row],[Date]],Database!$A:$C,MATCH($B$1,Database!$A$1:$C$1,),))</f>
        <v/>
      </c>
      <c r="C13356">
        <f>IF(VLOOKUP(Table7[[#This Row],[Date]],Database!$A:$C,MATCH($C$1,Database!$A$1:$C$1,),)=0,#N/A,VLOOKUP(Table7[[#This Row],[Date]],Database!$A:$C,MATCH($C$1,Database!$A$1:$C$1,),))</f>
        <v/>
      </c>
      <c r="D13356">
        <f>IFERROR(Table7[[#This Row],[United States 10y]]-Table7[[#This Row],[United States 3y]],#N/A)</f>
        <v/>
      </c>
    </row>
    <row r="13357">
      <c r="A13357" s="6">
        <f>Database!$A15442</f>
        <v/>
      </c>
      <c r="B13357">
        <f>IF(VLOOKUP(Table7[[#This Row],[Date]],Database!$A:$C,MATCH($B$1,Database!$A$1:$C$1,),)=0,#N/A,VLOOKUP(Table7[[#This Row],[Date]],Database!$A:$C,MATCH($B$1,Database!$A$1:$C$1,),))</f>
        <v/>
      </c>
      <c r="C13357">
        <f>IF(VLOOKUP(Table7[[#This Row],[Date]],Database!$A:$C,MATCH($C$1,Database!$A$1:$C$1,),)=0,#N/A,VLOOKUP(Table7[[#This Row],[Date]],Database!$A:$C,MATCH($C$1,Database!$A$1:$C$1,),))</f>
        <v/>
      </c>
      <c r="D13357">
        <f>IFERROR(Table7[[#This Row],[United States 10y]]-Table7[[#This Row],[United States 3y]],#N/A)</f>
        <v/>
      </c>
    </row>
    <row r="13358">
      <c r="A13358" s="6">
        <f>Database!$A15443</f>
        <v/>
      </c>
      <c r="B13358">
        <f>IF(VLOOKUP(Table7[[#This Row],[Date]],Database!$A:$C,MATCH($B$1,Database!$A$1:$C$1,),)=0,#N/A,VLOOKUP(Table7[[#This Row],[Date]],Database!$A:$C,MATCH($B$1,Database!$A$1:$C$1,),))</f>
        <v/>
      </c>
      <c r="C13358">
        <f>IF(VLOOKUP(Table7[[#This Row],[Date]],Database!$A:$C,MATCH($C$1,Database!$A$1:$C$1,),)=0,#N/A,VLOOKUP(Table7[[#This Row],[Date]],Database!$A:$C,MATCH($C$1,Database!$A$1:$C$1,),))</f>
        <v/>
      </c>
      <c r="D13358">
        <f>IFERROR(Table7[[#This Row],[United States 10y]]-Table7[[#This Row],[United States 3y]],#N/A)</f>
        <v/>
      </c>
    </row>
    <row r="13359">
      <c r="A13359" s="6">
        <f>Database!$A15444</f>
        <v/>
      </c>
      <c r="B13359">
        <f>IF(VLOOKUP(Table7[[#This Row],[Date]],Database!$A:$C,MATCH($B$1,Database!$A$1:$C$1,),)=0,#N/A,VLOOKUP(Table7[[#This Row],[Date]],Database!$A:$C,MATCH($B$1,Database!$A$1:$C$1,),))</f>
        <v/>
      </c>
      <c r="C13359">
        <f>IF(VLOOKUP(Table7[[#This Row],[Date]],Database!$A:$C,MATCH($C$1,Database!$A$1:$C$1,),)=0,#N/A,VLOOKUP(Table7[[#This Row],[Date]],Database!$A:$C,MATCH($C$1,Database!$A$1:$C$1,),))</f>
        <v/>
      </c>
      <c r="D13359">
        <f>IFERROR(Table7[[#This Row],[United States 10y]]-Table7[[#This Row],[United States 3y]],#N/A)</f>
        <v/>
      </c>
    </row>
    <row r="13360">
      <c r="A13360" s="6">
        <f>Database!$A15445</f>
        <v/>
      </c>
      <c r="B13360">
        <f>IF(VLOOKUP(Table7[[#This Row],[Date]],Database!$A:$C,MATCH($B$1,Database!$A$1:$C$1,),)=0,#N/A,VLOOKUP(Table7[[#This Row],[Date]],Database!$A:$C,MATCH($B$1,Database!$A$1:$C$1,),))</f>
        <v/>
      </c>
      <c r="C13360">
        <f>IF(VLOOKUP(Table7[[#This Row],[Date]],Database!$A:$C,MATCH($C$1,Database!$A$1:$C$1,),)=0,#N/A,VLOOKUP(Table7[[#This Row],[Date]],Database!$A:$C,MATCH($C$1,Database!$A$1:$C$1,),))</f>
        <v/>
      </c>
      <c r="D13360">
        <f>IFERROR(Table7[[#This Row],[United States 10y]]-Table7[[#This Row],[United States 3y]],#N/A)</f>
        <v/>
      </c>
    </row>
    <row r="13361">
      <c r="A13361" s="6">
        <f>Database!$A15446</f>
        <v/>
      </c>
      <c r="B13361">
        <f>IF(VLOOKUP(Table7[[#This Row],[Date]],Database!$A:$C,MATCH($B$1,Database!$A$1:$C$1,),)=0,#N/A,VLOOKUP(Table7[[#This Row],[Date]],Database!$A:$C,MATCH($B$1,Database!$A$1:$C$1,),))</f>
        <v/>
      </c>
      <c r="C13361">
        <f>IF(VLOOKUP(Table7[[#This Row],[Date]],Database!$A:$C,MATCH($C$1,Database!$A$1:$C$1,),)=0,#N/A,VLOOKUP(Table7[[#This Row],[Date]],Database!$A:$C,MATCH($C$1,Database!$A$1:$C$1,),))</f>
        <v/>
      </c>
      <c r="D13361">
        <f>IFERROR(Table7[[#This Row],[United States 10y]]-Table7[[#This Row],[United States 3y]],#N/A)</f>
        <v/>
      </c>
    </row>
    <row r="13362">
      <c r="A13362" s="6">
        <f>Database!$A15447</f>
        <v/>
      </c>
      <c r="B13362">
        <f>IF(VLOOKUP(Table7[[#This Row],[Date]],Database!$A:$C,MATCH($B$1,Database!$A$1:$C$1,),)=0,#N/A,VLOOKUP(Table7[[#This Row],[Date]],Database!$A:$C,MATCH($B$1,Database!$A$1:$C$1,),))</f>
        <v/>
      </c>
      <c r="C13362">
        <f>IF(VLOOKUP(Table7[[#This Row],[Date]],Database!$A:$C,MATCH($C$1,Database!$A$1:$C$1,),)=0,#N/A,VLOOKUP(Table7[[#This Row],[Date]],Database!$A:$C,MATCH($C$1,Database!$A$1:$C$1,),))</f>
        <v/>
      </c>
      <c r="D13362">
        <f>IFERROR(Table7[[#This Row],[United States 10y]]-Table7[[#This Row],[United States 3y]],#N/A)</f>
        <v/>
      </c>
    </row>
    <row r="13363">
      <c r="A13363" s="6">
        <f>Database!$A15448</f>
        <v/>
      </c>
      <c r="B13363">
        <f>IF(VLOOKUP(Table7[[#This Row],[Date]],Database!$A:$C,MATCH($B$1,Database!$A$1:$C$1,),)=0,#N/A,VLOOKUP(Table7[[#This Row],[Date]],Database!$A:$C,MATCH($B$1,Database!$A$1:$C$1,),))</f>
        <v/>
      </c>
      <c r="C13363">
        <f>IF(VLOOKUP(Table7[[#This Row],[Date]],Database!$A:$C,MATCH($C$1,Database!$A$1:$C$1,),)=0,#N/A,VLOOKUP(Table7[[#This Row],[Date]],Database!$A:$C,MATCH($C$1,Database!$A$1:$C$1,),))</f>
        <v/>
      </c>
      <c r="D13363">
        <f>IFERROR(Table7[[#This Row],[United States 10y]]-Table7[[#This Row],[United States 3y]],#N/A)</f>
        <v/>
      </c>
    </row>
    <row r="13364">
      <c r="A13364" s="6">
        <f>Database!$A15449</f>
        <v/>
      </c>
      <c r="B13364">
        <f>IF(VLOOKUP(Table7[[#This Row],[Date]],Database!$A:$C,MATCH($B$1,Database!$A$1:$C$1,),)=0,#N/A,VLOOKUP(Table7[[#This Row],[Date]],Database!$A:$C,MATCH($B$1,Database!$A$1:$C$1,),))</f>
        <v/>
      </c>
      <c r="C13364">
        <f>IF(VLOOKUP(Table7[[#This Row],[Date]],Database!$A:$C,MATCH($C$1,Database!$A$1:$C$1,),)=0,#N/A,VLOOKUP(Table7[[#This Row],[Date]],Database!$A:$C,MATCH($C$1,Database!$A$1:$C$1,),))</f>
        <v/>
      </c>
      <c r="D13364">
        <f>IFERROR(Table7[[#This Row],[United States 10y]]-Table7[[#This Row],[United States 3y]],#N/A)</f>
        <v/>
      </c>
    </row>
    <row r="13365">
      <c r="A13365" s="6">
        <f>Database!$A15450</f>
        <v/>
      </c>
      <c r="B13365">
        <f>IF(VLOOKUP(Table7[[#This Row],[Date]],Database!$A:$C,MATCH($B$1,Database!$A$1:$C$1,),)=0,#N/A,VLOOKUP(Table7[[#This Row],[Date]],Database!$A:$C,MATCH($B$1,Database!$A$1:$C$1,),))</f>
        <v/>
      </c>
      <c r="C13365">
        <f>IF(VLOOKUP(Table7[[#This Row],[Date]],Database!$A:$C,MATCH($C$1,Database!$A$1:$C$1,),)=0,#N/A,VLOOKUP(Table7[[#This Row],[Date]],Database!$A:$C,MATCH($C$1,Database!$A$1:$C$1,),))</f>
        <v/>
      </c>
      <c r="D13365">
        <f>IFERROR(Table7[[#This Row],[United States 10y]]-Table7[[#This Row],[United States 3y]],#N/A)</f>
        <v/>
      </c>
    </row>
    <row r="13366">
      <c r="A13366" s="6">
        <f>Database!$A15451</f>
        <v/>
      </c>
      <c r="B13366">
        <f>IF(VLOOKUP(Table7[[#This Row],[Date]],Database!$A:$C,MATCH($B$1,Database!$A$1:$C$1,),)=0,#N/A,VLOOKUP(Table7[[#This Row],[Date]],Database!$A:$C,MATCH($B$1,Database!$A$1:$C$1,),))</f>
        <v/>
      </c>
      <c r="C13366">
        <f>IF(VLOOKUP(Table7[[#This Row],[Date]],Database!$A:$C,MATCH($C$1,Database!$A$1:$C$1,),)=0,#N/A,VLOOKUP(Table7[[#This Row],[Date]],Database!$A:$C,MATCH($C$1,Database!$A$1:$C$1,),))</f>
        <v/>
      </c>
      <c r="D13366">
        <f>IFERROR(Table7[[#This Row],[United States 10y]]-Table7[[#This Row],[United States 3y]],#N/A)</f>
        <v/>
      </c>
    </row>
    <row r="13367">
      <c r="A13367" s="6">
        <f>Database!$A15452</f>
        <v/>
      </c>
      <c r="B13367">
        <f>IF(VLOOKUP(Table7[[#This Row],[Date]],Database!$A:$C,MATCH($B$1,Database!$A$1:$C$1,),)=0,#N/A,VLOOKUP(Table7[[#This Row],[Date]],Database!$A:$C,MATCH($B$1,Database!$A$1:$C$1,),))</f>
        <v/>
      </c>
      <c r="C13367">
        <f>IF(VLOOKUP(Table7[[#This Row],[Date]],Database!$A:$C,MATCH($C$1,Database!$A$1:$C$1,),)=0,#N/A,VLOOKUP(Table7[[#This Row],[Date]],Database!$A:$C,MATCH($C$1,Database!$A$1:$C$1,),))</f>
        <v/>
      </c>
      <c r="D13367">
        <f>IFERROR(Table7[[#This Row],[United States 10y]]-Table7[[#This Row],[United States 3y]],#N/A)</f>
        <v/>
      </c>
    </row>
    <row r="13368">
      <c r="A13368" s="6">
        <f>Database!$A15453</f>
        <v/>
      </c>
      <c r="B13368">
        <f>IF(VLOOKUP(Table7[[#This Row],[Date]],Database!$A:$C,MATCH($B$1,Database!$A$1:$C$1,),)=0,#N/A,VLOOKUP(Table7[[#This Row],[Date]],Database!$A:$C,MATCH($B$1,Database!$A$1:$C$1,),))</f>
        <v/>
      </c>
      <c r="C13368">
        <f>IF(VLOOKUP(Table7[[#This Row],[Date]],Database!$A:$C,MATCH($C$1,Database!$A$1:$C$1,),)=0,#N/A,VLOOKUP(Table7[[#This Row],[Date]],Database!$A:$C,MATCH($C$1,Database!$A$1:$C$1,),))</f>
        <v/>
      </c>
      <c r="D13368">
        <f>IFERROR(Table7[[#This Row],[United States 10y]]-Table7[[#This Row],[United States 3y]],#N/A)</f>
        <v/>
      </c>
    </row>
    <row r="13369">
      <c r="A13369" s="6">
        <f>Database!$A15454</f>
        <v/>
      </c>
      <c r="B13369">
        <f>IF(VLOOKUP(Table7[[#This Row],[Date]],Database!$A:$C,MATCH($B$1,Database!$A$1:$C$1,),)=0,#N/A,VLOOKUP(Table7[[#This Row],[Date]],Database!$A:$C,MATCH($B$1,Database!$A$1:$C$1,),))</f>
        <v/>
      </c>
      <c r="C13369">
        <f>IF(VLOOKUP(Table7[[#This Row],[Date]],Database!$A:$C,MATCH($C$1,Database!$A$1:$C$1,),)=0,#N/A,VLOOKUP(Table7[[#This Row],[Date]],Database!$A:$C,MATCH($C$1,Database!$A$1:$C$1,),))</f>
        <v/>
      </c>
      <c r="D13369">
        <f>IFERROR(Table7[[#This Row],[United States 10y]]-Table7[[#This Row],[United States 3y]],#N/A)</f>
        <v/>
      </c>
    </row>
    <row r="13370">
      <c r="A13370" s="6">
        <f>Database!$A15455</f>
        <v/>
      </c>
      <c r="B13370">
        <f>IF(VLOOKUP(Table7[[#This Row],[Date]],Database!$A:$C,MATCH($B$1,Database!$A$1:$C$1,),)=0,#N/A,VLOOKUP(Table7[[#This Row],[Date]],Database!$A:$C,MATCH($B$1,Database!$A$1:$C$1,),))</f>
        <v/>
      </c>
      <c r="C13370">
        <f>IF(VLOOKUP(Table7[[#This Row],[Date]],Database!$A:$C,MATCH($C$1,Database!$A$1:$C$1,),)=0,#N/A,VLOOKUP(Table7[[#This Row],[Date]],Database!$A:$C,MATCH($C$1,Database!$A$1:$C$1,),))</f>
        <v/>
      </c>
      <c r="D13370">
        <f>IFERROR(Table7[[#This Row],[United States 10y]]-Table7[[#This Row],[United States 3y]],#N/A)</f>
        <v/>
      </c>
    </row>
    <row r="13371">
      <c r="A13371" s="6">
        <f>Database!$A15456</f>
        <v/>
      </c>
      <c r="B13371">
        <f>IF(VLOOKUP(Table7[[#This Row],[Date]],Database!$A:$C,MATCH($B$1,Database!$A$1:$C$1,),)=0,#N/A,VLOOKUP(Table7[[#This Row],[Date]],Database!$A:$C,MATCH($B$1,Database!$A$1:$C$1,),))</f>
        <v/>
      </c>
      <c r="C13371">
        <f>IF(VLOOKUP(Table7[[#This Row],[Date]],Database!$A:$C,MATCH($C$1,Database!$A$1:$C$1,),)=0,#N/A,VLOOKUP(Table7[[#This Row],[Date]],Database!$A:$C,MATCH($C$1,Database!$A$1:$C$1,),))</f>
        <v/>
      </c>
      <c r="D13371">
        <f>IFERROR(Table7[[#This Row],[United States 10y]]-Table7[[#This Row],[United States 3y]],#N/A)</f>
        <v/>
      </c>
    </row>
    <row r="13372">
      <c r="A13372" s="6">
        <f>Database!$A15457</f>
        <v/>
      </c>
      <c r="B13372">
        <f>IF(VLOOKUP(Table7[[#This Row],[Date]],Database!$A:$C,MATCH($B$1,Database!$A$1:$C$1,),)=0,#N/A,VLOOKUP(Table7[[#This Row],[Date]],Database!$A:$C,MATCH($B$1,Database!$A$1:$C$1,),))</f>
        <v/>
      </c>
      <c r="C13372">
        <f>IF(VLOOKUP(Table7[[#This Row],[Date]],Database!$A:$C,MATCH($C$1,Database!$A$1:$C$1,),)=0,#N/A,VLOOKUP(Table7[[#This Row],[Date]],Database!$A:$C,MATCH($C$1,Database!$A$1:$C$1,),))</f>
        <v/>
      </c>
      <c r="D13372">
        <f>IFERROR(Table7[[#This Row],[United States 10y]]-Table7[[#This Row],[United States 3y]],#N/A)</f>
        <v/>
      </c>
    </row>
    <row r="13373">
      <c r="A13373" s="6">
        <f>Database!$A15458</f>
        <v/>
      </c>
      <c r="B13373">
        <f>IF(VLOOKUP(Table7[[#This Row],[Date]],Database!$A:$C,MATCH($B$1,Database!$A$1:$C$1,),)=0,#N/A,VLOOKUP(Table7[[#This Row],[Date]],Database!$A:$C,MATCH($B$1,Database!$A$1:$C$1,),))</f>
        <v/>
      </c>
      <c r="C13373">
        <f>IF(VLOOKUP(Table7[[#This Row],[Date]],Database!$A:$C,MATCH($C$1,Database!$A$1:$C$1,),)=0,#N/A,VLOOKUP(Table7[[#This Row],[Date]],Database!$A:$C,MATCH($C$1,Database!$A$1:$C$1,),))</f>
        <v/>
      </c>
      <c r="D13373">
        <f>IFERROR(Table7[[#This Row],[United States 10y]]-Table7[[#This Row],[United States 3y]],#N/A)</f>
        <v/>
      </c>
    </row>
    <row r="13374">
      <c r="A13374" s="6">
        <f>Database!$A15459</f>
        <v/>
      </c>
      <c r="B13374">
        <f>IF(VLOOKUP(Table7[[#This Row],[Date]],Database!$A:$C,MATCH($B$1,Database!$A$1:$C$1,),)=0,#N/A,VLOOKUP(Table7[[#This Row],[Date]],Database!$A:$C,MATCH($B$1,Database!$A$1:$C$1,),))</f>
        <v/>
      </c>
      <c r="C13374">
        <f>IF(VLOOKUP(Table7[[#This Row],[Date]],Database!$A:$C,MATCH($C$1,Database!$A$1:$C$1,),)=0,#N/A,VLOOKUP(Table7[[#This Row],[Date]],Database!$A:$C,MATCH($C$1,Database!$A$1:$C$1,),))</f>
        <v/>
      </c>
      <c r="D13374">
        <f>IFERROR(Table7[[#This Row],[United States 10y]]-Table7[[#This Row],[United States 3y]],#N/A)</f>
        <v/>
      </c>
    </row>
    <row r="13375">
      <c r="A13375" s="6">
        <f>Database!$A15460</f>
        <v/>
      </c>
      <c r="B13375">
        <f>IF(VLOOKUP(Table7[[#This Row],[Date]],Database!$A:$C,MATCH($B$1,Database!$A$1:$C$1,),)=0,#N/A,VLOOKUP(Table7[[#This Row],[Date]],Database!$A:$C,MATCH($B$1,Database!$A$1:$C$1,),))</f>
        <v/>
      </c>
      <c r="C13375">
        <f>IF(VLOOKUP(Table7[[#This Row],[Date]],Database!$A:$C,MATCH($C$1,Database!$A$1:$C$1,),)=0,#N/A,VLOOKUP(Table7[[#This Row],[Date]],Database!$A:$C,MATCH($C$1,Database!$A$1:$C$1,),))</f>
        <v/>
      </c>
      <c r="D13375">
        <f>IFERROR(Table7[[#This Row],[United States 10y]]-Table7[[#This Row],[United States 3y]],#N/A)</f>
        <v/>
      </c>
    </row>
    <row r="13376">
      <c r="A13376" s="6">
        <f>Database!$A15461</f>
        <v/>
      </c>
      <c r="B13376">
        <f>IF(VLOOKUP(Table7[[#This Row],[Date]],Database!$A:$C,MATCH($B$1,Database!$A$1:$C$1,),)=0,#N/A,VLOOKUP(Table7[[#This Row],[Date]],Database!$A:$C,MATCH($B$1,Database!$A$1:$C$1,),))</f>
        <v/>
      </c>
      <c r="C13376">
        <f>IF(VLOOKUP(Table7[[#This Row],[Date]],Database!$A:$C,MATCH($C$1,Database!$A$1:$C$1,),)=0,#N/A,VLOOKUP(Table7[[#This Row],[Date]],Database!$A:$C,MATCH($C$1,Database!$A$1:$C$1,),))</f>
        <v/>
      </c>
      <c r="D13376">
        <f>IFERROR(Table7[[#This Row],[United States 10y]]-Table7[[#This Row],[United States 3y]],#N/A)</f>
        <v/>
      </c>
    </row>
    <row r="13377">
      <c r="A13377" s="6">
        <f>Database!$A15462</f>
        <v/>
      </c>
      <c r="B13377">
        <f>IF(VLOOKUP(Table7[[#This Row],[Date]],Database!$A:$C,MATCH($B$1,Database!$A$1:$C$1,),)=0,#N/A,VLOOKUP(Table7[[#This Row],[Date]],Database!$A:$C,MATCH($B$1,Database!$A$1:$C$1,),))</f>
        <v/>
      </c>
      <c r="C13377">
        <f>IF(VLOOKUP(Table7[[#This Row],[Date]],Database!$A:$C,MATCH($C$1,Database!$A$1:$C$1,),)=0,#N/A,VLOOKUP(Table7[[#This Row],[Date]],Database!$A:$C,MATCH($C$1,Database!$A$1:$C$1,),))</f>
        <v/>
      </c>
      <c r="D13377">
        <f>IFERROR(Table7[[#This Row],[United States 10y]]-Table7[[#This Row],[United States 3y]],#N/A)</f>
        <v/>
      </c>
    </row>
    <row r="13378">
      <c r="A13378" s="6">
        <f>Database!$A15463</f>
        <v/>
      </c>
      <c r="B13378">
        <f>IF(VLOOKUP(Table7[[#This Row],[Date]],Database!$A:$C,MATCH($B$1,Database!$A$1:$C$1,),)=0,#N/A,VLOOKUP(Table7[[#This Row],[Date]],Database!$A:$C,MATCH($B$1,Database!$A$1:$C$1,),))</f>
        <v/>
      </c>
      <c r="C13378">
        <f>IF(VLOOKUP(Table7[[#This Row],[Date]],Database!$A:$C,MATCH($C$1,Database!$A$1:$C$1,),)=0,#N/A,VLOOKUP(Table7[[#This Row],[Date]],Database!$A:$C,MATCH($C$1,Database!$A$1:$C$1,),))</f>
        <v/>
      </c>
      <c r="D13378">
        <f>IFERROR(Table7[[#This Row],[United States 10y]]-Table7[[#This Row],[United States 3y]],#N/A)</f>
        <v/>
      </c>
    </row>
    <row r="13379">
      <c r="A13379" s="6">
        <f>Database!$A15464</f>
        <v/>
      </c>
      <c r="B13379">
        <f>IF(VLOOKUP(Table7[[#This Row],[Date]],Database!$A:$C,MATCH($B$1,Database!$A$1:$C$1,),)=0,#N/A,VLOOKUP(Table7[[#This Row],[Date]],Database!$A:$C,MATCH($B$1,Database!$A$1:$C$1,),))</f>
        <v/>
      </c>
      <c r="C13379">
        <f>IF(VLOOKUP(Table7[[#This Row],[Date]],Database!$A:$C,MATCH($C$1,Database!$A$1:$C$1,),)=0,#N/A,VLOOKUP(Table7[[#This Row],[Date]],Database!$A:$C,MATCH($C$1,Database!$A$1:$C$1,),))</f>
        <v/>
      </c>
      <c r="D13379">
        <f>IFERROR(Table7[[#This Row],[United States 10y]]-Table7[[#This Row],[United States 3y]],#N/A)</f>
        <v/>
      </c>
    </row>
    <row r="13380">
      <c r="A13380" s="6">
        <f>Database!$A15465</f>
        <v/>
      </c>
      <c r="B13380">
        <f>IF(VLOOKUP(Table7[[#This Row],[Date]],Database!$A:$C,MATCH($B$1,Database!$A$1:$C$1,),)=0,#N/A,VLOOKUP(Table7[[#This Row],[Date]],Database!$A:$C,MATCH($B$1,Database!$A$1:$C$1,),))</f>
        <v/>
      </c>
      <c r="C13380">
        <f>IF(VLOOKUP(Table7[[#This Row],[Date]],Database!$A:$C,MATCH($C$1,Database!$A$1:$C$1,),)=0,#N/A,VLOOKUP(Table7[[#This Row],[Date]],Database!$A:$C,MATCH($C$1,Database!$A$1:$C$1,),))</f>
        <v/>
      </c>
      <c r="D13380">
        <f>IFERROR(Table7[[#This Row],[United States 10y]]-Table7[[#This Row],[United States 3y]],#N/A)</f>
        <v/>
      </c>
    </row>
    <row r="13381">
      <c r="A13381" s="6">
        <f>Database!$A15466</f>
        <v/>
      </c>
      <c r="B13381">
        <f>IF(VLOOKUP(Table7[[#This Row],[Date]],Database!$A:$C,MATCH($B$1,Database!$A$1:$C$1,),)=0,#N/A,VLOOKUP(Table7[[#This Row],[Date]],Database!$A:$C,MATCH($B$1,Database!$A$1:$C$1,),))</f>
        <v/>
      </c>
      <c r="C13381">
        <f>IF(VLOOKUP(Table7[[#This Row],[Date]],Database!$A:$C,MATCH($C$1,Database!$A$1:$C$1,),)=0,#N/A,VLOOKUP(Table7[[#This Row],[Date]],Database!$A:$C,MATCH($C$1,Database!$A$1:$C$1,),))</f>
        <v/>
      </c>
      <c r="D13381">
        <f>IFERROR(Table7[[#This Row],[United States 10y]]-Table7[[#This Row],[United States 3y]],#N/A)</f>
        <v/>
      </c>
    </row>
    <row r="13382">
      <c r="A13382" s="6">
        <f>Database!$A15467</f>
        <v/>
      </c>
      <c r="B13382">
        <f>IF(VLOOKUP(Table7[[#This Row],[Date]],Database!$A:$C,MATCH($B$1,Database!$A$1:$C$1,),)=0,#N/A,VLOOKUP(Table7[[#This Row],[Date]],Database!$A:$C,MATCH($B$1,Database!$A$1:$C$1,),))</f>
        <v/>
      </c>
      <c r="C13382">
        <f>IF(VLOOKUP(Table7[[#This Row],[Date]],Database!$A:$C,MATCH($C$1,Database!$A$1:$C$1,),)=0,#N/A,VLOOKUP(Table7[[#This Row],[Date]],Database!$A:$C,MATCH($C$1,Database!$A$1:$C$1,),))</f>
        <v/>
      </c>
      <c r="D13382">
        <f>IFERROR(Table7[[#This Row],[United States 10y]]-Table7[[#This Row],[United States 3y]],#N/A)</f>
        <v/>
      </c>
    </row>
    <row r="13383">
      <c r="A13383" s="6">
        <f>Database!$A15468</f>
        <v/>
      </c>
      <c r="B13383">
        <f>IF(VLOOKUP(Table7[[#This Row],[Date]],Database!$A:$C,MATCH($B$1,Database!$A$1:$C$1,),)=0,#N/A,VLOOKUP(Table7[[#This Row],[Date]],Database!$A:$C,MATCH($B$1,Database!$A$1:$C$1,),))</f>
        <v/>
      </c>
      <c r="C13383">
        <f>IF(VLOOKUP(Table7[[#This Row],[Date]],Database!$A:$C,MATCH($C$1,Database!$A$1:$C$1,),)=0,#N/A,VLOOKUP(Table7[[#This Row],[Date]],Database!$A:$C,MATCH($C$1,Database!$A$1:$C$1,),))</f>
        <v/>
      </c>
      <c r="D13383">
        <f>IFERROR(Table7[[#This Row],[United States 10y]]-Table7[[#This Row],[United States 3y]],#N/A)</f>
        <v/>
      </c>
    </row>
    <row r="13384">
      <c r="A13384" s="6">
        <f>Database!$A15469</f>
        <v/>
      </c>
      <c r="B13384">
        <f>IF(VLOOKUP(Table7[[#This Row],[Date]],Database!$A:$C,MATCH($B$1,Database!$A$1:$C$1,),)=0,#N/A,VLOOKUP(Table7[[#This Row],[Date]],Database!$A:$C,MATCH($B$1,Database!$A$1:$C$1,),))</f>
        <v/>
      </c>
      <c r="C13384">
        <f>IF(VLOOKUP(Table7[[#This Row],[Date]],Database!$A:$C,MATCH($C$1,Database!$A$1:$C$1,),)=0,#N/A,VLOOKUP(Table7[[#This Row],[Date]],Database!$A:$C,MATCH($C$1,Database!$A$1:$C$1,),))</f>
        <v/>
      </c>
      <c r="D13384">
        <f>IFERROR(Table7[[#This Row],[United States 10y]]-Table7[[#This Row],[United States 3y]],#N/A)</f>
        <v/>
      </c>
    </row>
    <row r="13385">
      <c r="A13385" s="6">
        <f>Database!$A15470</f>
        <v/>
      </c>
      <c r="B13385">
        <f>IF(VLOOKUP(Table7[[#This Row],[Date]],Database!$A:$C,MATCH($B$1,Database!$A$1:$C$1,),)=0,#N/A,VLOOKUP(Table7[[#This Row],[Date]],Database!$A:$C,MATCH($B$1,Database!$A$1:$C$1,),))</f>
        <v/>
      </c>
      <c r="C13385">
        <f>IF(VLOOKUP(Table7[[#This Row],[Date]],Database!$A:$C,MATCH($C$1,Database!$A$1:$C$1,),)=0,#N/A,VLOOKUP(Table7[[#This Row],[Date]],Database!$A:$C,MATCH($C$1,Database!$A$1:$C$1,),))</f>
        <v/>
      </c>
      <c r="D13385">
        <f>IFERROR(Table7[[#This Row],[United States 10y]]-Table7[[#This Row],[United States 3y]],#N/A)</f>
        <v/>
      </c>
    </row>
    <row r="13386">
      <c r="A13386" s="6">
        <f>Database!$A15471</f>
        <v/>
      </c>
      <c r="B13386">
        <f>IF(VLOOKUP(Table7[[#This Row],[Date]],Database!$A:$C,MATCH($B$1,Database!$A$1:$C$1,),)=0,#N/A,VLOOKUP(Table7[[#This Row],[Date]],Database!$A:$C,MATCH($B$1,Database!$A$1:$C$1,),))</f>
        <v/>
      </c>
      <c r="C13386">
        <f>IF(VLOOKUP(Table7[[#This Row],[Date]],Database!$A:$C,MATCH($C$1,Database!$A$1:$C$1,),)=0,#N/A,VLOOKUP(Table7[[#This Row],[Date]],Database!$A:$C,MATCH($C$1,Database!$A$1:$C$1,),))</f>
        <v/>
      </c>
      <c r="D13386">
        <f>IFERROR(Table7[[#This Row],[United States 10y]]-Table7[[#This Row],[United States 3y]],#N/A)</f>
        <v/>
      </c>
    </row>
    <row r="13387">
      <c r="A13387" s="6">
        <f>Database!$A15472</f>
        <v/>
      </c>
      <c r="B13387">
        <f>IF(VLOOKUP(Table7[[#This Row],[Date]],Database!$A:$C,MATCH($B$1,Database!$A$1:$C$1,),)=0,#N/A,VLOOKUP(Table7[[#This Row],[Date]],Database!$A:$C,MATCH($B$1,Database!$A$1:$C$1,),))</f>
        <v/>
      </c>
      <c r="C13387">
        <f>IF(VLOOKUP(Table7[[#This Row],[Date]],Database!$A:$C,MATCH($C$1,Database!$A$1:$C$1,),)=0,#N/A,VLOOKUP(Table7[[#This Row],[Date]],Database!$A:$C,MATCH($C$1,Database!$A$1:$C$1,),))</f>
        <v/>
      </c>
      <c r="D13387">
        <f>IFERROR(Table7[[#This Row],[United States 10y]]-Table7[[#This Row],[United States 3y]],#N/A)</f>
        <v/>
      </c>
    </row>
    <row r="13388">
      <c r="A13388" s="6">
        <f>Database!$A15473</f>
        <v/>
      </c>
      <c r="B13388">
        <f>IF(VLOOKUP(Table7[[#This Row],[Date]],Database!$A:$C,MATCH($B$1,Database!$A$1:$C$1,),)=0,#N/A,VLOOKUP(Table7[[#This Row],[Date]],Database!$A:$C,MATCH($B$1,Database!$A$1:$C$1,),))</f>
        <v/>
      </c>
      <c r="C13388">
        <f>IF(VLOOKUP(Table7[[#This Row],[Date]],Database!$A:$C,MATCH($C$1,Database!$A$1:$C$1,),)=0,#N/A,VLOOKUP(Table7[[#This Row],[Date]],Database!$A:$C,MATCH($C$1,Database!$A$1:$C$1,),))</f>
        <v/>
      </c>
      <c r="D13388">
        <f>IFERROR(Table7[[#This Row],[United States 10y]]-Table7[[#This Row],[United States 3y]],#N/A)</f>
        <v/>
      </c>
    </row>
    <row r="13389">
      <c r="A13389" s="6">
        <f>Database!$A15474</f>
        <v/>
      </c>
      <c r="B13389">
        <f>IF(VLOOKUP(Table7[[#This Row],[Date]],Database!$A:$C,MATCH($B$1,Database!$A$1:$C$1,),)=0,#N/A,VLOOKUP(Table7[[#This Row],[Date]],Database!$A:$C,MATCH($B$1,Database!$A$1:$C$1,),))</f>
        <v/>
      </c>
      <c r="C13389">
        <f>IF(VLOOKUP(Table7[[#This Row],[Date]],Database!$A:$C,MATCH($C$1,Database!$A$1:$C$1,),)=0,#N/A,VLOOKUP(Table7[[#This Row],[Date]],Database!$A:$C,MATCH($C$1,Database!$A$1:$C$1,),))</f>
        <v/>
      </c>
      <c r="D13389">
        <f>IFERROR(Table7[[#This Row],[United States 10y]]-Table7[[#This Row],[United States 3y]],#N/A)</f>
        <v/>
      </c>
    </row>
    <row r="13390">
      <c r="A13390" s="6">
        <f>Database!$A15475</f>
        <v/>
      </c>
      <c r="B13390">
        <f>IF(VLOOKUP(Table7[[#This Row],[Date]],Database!$A:$C,MATCH($B$1,Database!$A$1:$C$1,),)=0,#N/A,VLOOKUP(Table7[[#This Row],[Date]],Database!$A:$C,MATCH($B$1,Database!$A$1:$C$1,),))</f>
        <v/>
      </c>
      <c r="C13390">
        <f>IF(VLOOKUP(Table7[[#This Row],[Date]],Database!$A:$C,MATCH($C$1,Database!$A$1:$C$1,),)=0,#N/A,VLOOKUP(Table7[[#This Row],[Date]],Database!$A:$C,MATCH($C$1,Database!$A$1:$C$1,),))</f>
        <v/>
      </c>
      <c r="D13390">
        <f>IFERROR(Table7[[#This Row],[United States 10y]]-Table7[[#This Row],[United States 3y]],#N/A)</f>
        <v/>
      </c>
    </row>
    <row r="13391">
      <c r="A13391" s="6">
        <f>Database!$A15476</f>
        <v/>
      </c>
      <c r="B13391">
        <f>IF(VLOOKUP(Table7[[#This Row],[Date]],Database!$A:$C,MATCH($B$1,Database!$A$1:$C$1,),)=0,#N/A,VLOOKUP(Table7[[#This Row],[Date]],Database!$A:$C,MATCH($B$1,Database!$A$1:$C$1,),))</f>
        <v/>
      </c>
      <c r="C13391">
        <f>IF(VLOOKUP(Table7[[#This Row],[Date]],Database!$A:$C,MATCH($C$1,Database!$A$1:$C$1,),)=0,#N/A,VLOOKUP(Table7[[#This Row],[Date]],Database!$A:$C,MATCH($C$1,Database!$A$1:$C$1,),))</f>
        <v/>
      </c>
      <c r="D13391">
        <f>IFERROR(Table7[[#This Row],[United States 10y]]-Table7[[#This Row],[United States 3y]],#N/A)</f>
        <v/>
      </c>
    </row>
    <row r="13392">
      <c r="A13392" s="6">
        <f>Database!$A15477</f>
        <v/>
      </c>
      <c r="B13392">
        <f>IF(VLOOKUP(Table7[[#This Row],[Date]],Database!$A:$C,MATCH($B$1,Database!$A$1:$C$1,),)=0,#N/A,VLOOKUP(Table7[[#This Row],[Date]],Database!$A:$C,MATCH($B$1,Database!$A$1:$C$1,),))</f>
        <v/>
      </c>
      <c r="C13392">
        <f>IF(VLOOKUP(Table7[[#This Row],[Date]],Database!$A:$C,MATCH($C$1,Database!$A$1:$C$1,),)=0,#N/A,VLOOKUP(Table7[[#This Row],[Date]],Database!$A:$C,MATCH($C$1,Database!$A$1:$C$1,),))</f>
        <v/>
      </c>
      <c r="D13392">
        <f>IFERROR(Table7[[#This Row],[United States 10y]]-Table7[[#This Row],[United States 3y]],#N/A)</f>
        <v/>
      </c>
    </row>
    <row r="13393">
      <c r="A13393" s="6">
        <f>Database!$A15478</f>
        <v/>
      </c>
      <c r="B13393">
        <f>IF(VLOOKUP(Table7[[#This Row],[Date]],Database!$A:$C,MATCH($B$1,Database!$A$1:$C$1,),)=0,#N/A,VLOOKUP(Table7[[#This Row],[Date]],Database!$A:$C,MATCH($B$1,Database!$A$1:$C$1,),))</f>
        <v/>
      </c>
      <c r="C13393">
        <f>IF(VLOOKUP(Table7[[#This Row],[Date]],Database!$A:$C,MATCH($C$1,Database!$A$1:$C$1,),)=0,#N/A,VLOOKUP(Table7[[#This Row],[Date]],Database!$A:$C,MATCH($C$1,Database!$A$1:$C$1,),))</f>
        <v/>
      </c>
      <c r="D13393">
        <f>IFERROR(Table7[[#This Row],[United States 10y]]-Table7[[#This Row],[United States 3y]],#N/A)</f>
        <v/>
      </c>
    </row>
    <row r="13394">
      <c r="A13394" s="6">
        <f>Database!$A15479</f>
        <v/>
      </c>
      <c r="B13394">
        <f>IF(VLOOKUP(Table7[[#This Row],[Date]],Database!$A:$C,MATCH($B$1,Database!$A$1:$C$1,),)=0,#N/A,VLOOKUP(Table7[[#This Row],[Date]],Database!$A:$C,MATCH($B$1,Database!$A$1:$C$1,),))</f>
        <v/>
      </c>
      <c r="C13394">
        <f>IF(VLOOKUP(Table7[[#This Row],[Date]],Database!$A:$C,MATCH($C$1,Database!$A$1:$C$1,),)=0,#N/A,VLOOKUP(Table7[[#This Row],[Date]],Database!$A:$C,MATCH($C$1,Database!$A$1:$C$1,),))</f>
        <v/>
      </c>
      <c r="D13394">
        <f>IFERROR(Table7[[#This Row],[United States 10y]]-Table7[[#This Row],[United States 3y]],#N/A)</f>
        <v/>
      </c>
    </row>
    <row r="13395">
      <c r="A13395" s="6">
        <f>Database!$A15480</f>
        <v/>
      </c>
      <c r="B13395">
        <f>IF(VLOOKUP(Table7[[#This Row],[Date]],Database!$A:$C,MATCH($B$1,Database!$A$1:$C$1,),)=0,#N/A,VLOOKUP(Table7[[#This Row],[Date]],Database!$A:$C,MATCH($B$1,Database!$A$1:$C$1,),))</f>
        <v/>
      </c>
      <c r="C13395">
        <f>IF(VLOOKUP(Table7[[#This Row],[Date]],Database!$A:$C,MATCH($C$1,Database!$A$1:$C$1,),)=0,#N/A,VLOOKUP(Table7[[#This Row],[Date]],Database!$A:$C,MATCH($C$1,Database!$A$1:$C$1,),))</f>
        <v/>
      </c>
      <c r="D13395">
        <f>IFERROR(Table7[[#This Row],[United States 10y]]-Table7[[#This Row],[United States 3y]],#N/A)</f>
        <v/>
      </c>
    </row>
    <row r="13396">
      <c r="A13396" s="6">
        <f>Database!$A15481</f>
        <v/>
      </c>
      <c r="B13396">
        <f>IF(VLOOKUP(Table7[[#This Row],[Date]],Database!$A:$C,MATCH($B$1,Database!$A$1:$C$1,),)=0,#N/A,VLOOKUP(Table7[[#This Row],[Date]],Database!$A:$C,MATCH($B$1,Database!$A$1:$C$1,),))</f>
        <v/>
      </c>
      <c r="C13396">
        <f>IF(VLOOKUP(Table7[[#This Row],[Date]],Database!$A:$C,MATCH($C$1,Database!$A$1:$C$1,),)=0,#N/A,VLOOKUP(Table7[[#This Row],[Date]],Database!$A:$C,MATCH($C$1,Database!$A$1:$C$1,),))</f>
        <v/>
      </c>
      <c r="D13396">
        <f>IFERROR(Table7[[#This Row],[United States 10y]]-Table7[[#This Row],[United States 3y]],#N/A)</f>
        <v/>
      </c>
    </row>
    <row r="13397">
      <c r="A13397" s="6">
        <f>Database!$A15482</f>
        <v/>
      </c>
      <c r="B13397">
        <f>IF(VLOOKUP(Table7[[#This Row],[Date]],Database!$A:$C,MATCH($B$1,Database!$A$1:$C$1,),)=0,#N/A,VLOOKUP(Table7[[#This Row],[Date]],Database!$A:$C,MATCH($B$1,Database!$A$1:$C$1,),))</f>
        <v/>
      </c>
      <c r="C13397">
        <f>IF(VLOOKUP(Table7[[#This Row],[Date]],Database!$A:$C,MATCH($C$1,Database!$A$1:$C$1,),)=0,#N/A,VLOOKUP(Table7[[#This Row],[Date]],Database!$A:$C,MATCH($C$1,Database!$A$1:$C$1,),))</f>
        <v/>
      </c>
      <c r="D13397">
        <f>IFERROR(Table7[[#This Row],[United States 10y]]-Table7[[#This Row],[United States 3y]],#N/A)</f>
        <v/>
      </c>
    </row>
    <row r="13398">
      <c r="A13398" s="6">
        <f>Database!$A15483</f>
        <v/>
      </c>
      <c r="B13398">
        <f>IF(VLOOKUP(Table7[[#This Row],[Date]],Database!$A:$C,MATCH($B$1,Database!$A$1:$C$1,),)=0,#N/A,VLOOKUP(Table7[[#This Row],[Date]],Database!$A:$C,MATCH($B$1,Database!$A$1:$C$1,),))</f>
        <v/>
      </c>
      <c r="C13398">
        <f>IF(VLOOKUP(Table7[[#This Row],[Date]],Database!$A:$C,MATCH($C$1,Database!$A$1:$C$1,),)=0,#N/A,VLOOKUP(Table7[[#This Row],[Date]],Database!$A:$C,MATCH($C$1,Database!$A$1:$C$1,),))</f>
        <v/>
      </c>
      <c r="D13398">
        <f>IFERROR(Table7[[#This Row],[United States 10y]]-Table7[[#This Row],[United States 3y]],#N/A)</f>
        <v/>
      </c>
    </row>
    <row r="13399">
      <c r="A13399" s="6">
        <f>Database!$A15484</f>
        <v/>
      </c>
      <c r="B13399">
        <f>IF(VLOOKUP(Table7[[#This Row],[Date]],Database!$A:$C,MATCH($B$1,Database!$A$1:$C$1,),)=0,#N/A,VLOOKUP(Table7[[#This Row],[Date]],Database!$A:$C,MATCH($B$1,Database!$A$1:$C$1,),))</f>
        <v/>
      </c>
      <c r="C13399">
        <f>IF(VLOOKUP(Table7[[#This Row],[Date]],Database!$A:$C,MATCH($C$1,Database!$A$1:$C$1,),)=0,#N/A,VLOOKUP(Table7[[#This Row],[Date]],Database!$A:$C,MATCH($C$1,Database!$A$1:$C$1,),))</f>
        <v/>
      </c>
      <c r="D13399">
        <f>IFERROR(Table7[[#This Row],[United States 10y]]-Table7[[#This Row],[United States 3y]],#N/A)</f>
        <v/>
      </c>
    </row>
    <row r="13400">
      <c r="A13400" s="6">
        <f>Database!$A15485</f>
        <v/>
      </c>
      <c r="B13400">
        <f>IF(VLOOKUP(Table7[[#This Row],[Date]],Database!$A:$C,MATCH($B$1,Database!$A$1:$C$1,),)=0,#N/A,VLOOKUP(Table7[[#This Row],[Date]],Database!$A:$C,MATCH($B$1,Database!$A$1:$C$1,),))</f>
        <v/>
      </c>
      <c r="C13400">
        <f>IF(VLOOKUP(Table7[[#This Row],[Date]],Database!$A:$C,MATCH($C$1,Database!$A$1:$C$1,),)=0,#N/A,VLOOKUP(Table7[[#This Row],[Date]],Database!$A:$C,MATCH($C$1,Database!$A$1:$C$1,),))</f>
        <v/>
      </c>
      <c r="D13400">
        <f>IFERROR(Table7[[#This Row],[United States 10y]]-Table7[[#This Row],[United States 3y]],#N/A)</f>
        <v/>
      </c>
    </row>
    <row r="13401">
      <c r="A13401" s="6">
        <f>Database!$A15486</f>
        <v/>
      </c>
      <c r="B13401">
        <f>IF(VLOOKUP(Table7[[#This Row],[Date]],Database!$A:$C,MATCH($B$1,Database!$A$1:$C$1,),)=0,#N/A,VLOOKUP(Table7[[#This Row],[Date]],Database!$A:$C,MATCH($B$1,Database!$A$1:$C$1,),))</f>
        <v/>
      </c>
      <c r="C13401">
        <f>IF(VLOOKUP(Table7[[#This Row],[Date]],Database!$A:$C,MATCH($C$1,Database!$A$1:$C$1,),)=0,#N/A,VLOOKUP(Table7[[#This Row],[Date]],Database!$A:$C,MATCH($C$1,Database!$A$1:$C$1,),))</f>
        <v/>
      </c>
      <c r="D13401">
        <f>IFERROR(Table7[[#This Row],[United States 10y]]-Table7[[#This Row],[United States 3y]],#N/A)</f>
        <v/>
      </c>
    </row>
    <row r="13402">
      <c r="A13402" s="6">
        <f>Database!$A15487</f>
        <v/>
      </c>
      <c r="B13402">
        <f>IF(VLOOKUP(Table7[[#This Row],[Date]],Database!$A:$C,MATCH($B$1,Database!$A$1:$C$1,),)=0,#N/A,VLOOKUP(Table7[[#This Row],[Date]],Database!$A:$C,MATCH($B$1,Database!$A$1:$C$1,),))</f>
        <v/>
      </c>
      <c r="C13402">
        <f>IF(VLOOKUP(Table7[[#This Row],[Date]],Database!$A:$C,MATCH($C$1,Database!$A$1:$C$1,),)=0,#N/A,VLOOKUP(Table7[[#This Row],[Date]],Database!$A:$C,MATCH($C$1,Database!$A$1:$C$1,),))</f>
        <v/>
      </c>
      <c r="D13402">
        <f>IFERROR(Table7[[#This Row],[United States 10y]]-Table7[[#This Row],[United States 3y]],#N/A)</f>
        <v/>
      </c>
    </row>
    <row r="13403">
      <c r="A13403" s="6">
        <f>Database!$A15488</f>
        <v/>
      </c>
      <c r="B13403">
        <f>IF(VLOOKUP(Table7[[#This Row],[Date]],Database!$A:$C,MATCH($B$1,Database!$A$1:$C$1,),)=0,#N/A,VLOOKUP(Table7[[#This Row],[Date]],Database!$A:$C,MATCH($B$1,Database!$A$1:$C$1,),))</f>
        <v/>
      </c>
      <c r="C13403">
        <f>IF(VLOOKUP(Table7[[#This Row],[Date]],Database!$A:$C,MATCH($C$1,Database!$A$1:$C$1,),)=0,#N/A,VLOOKUP(Table7[[#This Row],[Date]],Database!$A:$C,MATCH($C$1,Database!$A$1:$C$1,),))</f>
        <v/>
      </c>
      <c r="D13403">
        <f>IFERROR(Table7[[#This Row],[United States 10y]]-Table7[[#This Row],[United States 3y]],#N/A)</f>
        <v/>
      </c>
    </row>
    <row r="13404">
      <c r="A13404" s="6">
        <f>Database!$A15489</f>
        <v/>
      </c>
      <c r="B13404">
        <f>IF(VLOOKUP(Table7[[#This Row],[Date]],Database!$A:$C,MATCH($B$1,Database!$A$1:$C$1,),)=0,#N/A,VLOOKUP(Table7[[#This Row],[Date]],Database!$A:$C,MATCH($B$1,Database!$A$1:$C$1,),))</f>
        <v/>
      </c>
      <c r="C13404">
        <f>IF(VLOOKUP(Table7[[#This Row],[Date]],Database!$A:$C,MATCH($C$1,Database!$A$1:$C$1,),)=0,#N/A,VLOOKUP(Table7[[#This Row],[Date]],Database!$A:$C,MATCH($C$1,Database!$A$1:$C$1,),))</f>
        <v/>
      </c>
      <c r="D13404">
        <f>IFERROR(Table7[[#This Row],[United States 10y]]-Table7[[#This Row],[United States 3y]],#N/A)</f>
        <v/>
      </c>
    </row>
    <row r="13405">
      <c r="A13405" s="6">
        <f>Database!$A15490</f>
        <v/>
      </c>
      <c r="B13405">
        <f>IF(VLOOKUP(Table7[[#This Row],[Date]],Database!$A:$C,MATCH($B$1,Database!$A$1:$C$1,),)=0,#N/A,VLOOKUP(Table7[[#This Row],[Date]],Database!$A:$C,MATCH($B$1,Database!$A$1:$C$1,),))</f>
        <v/>
      </c>
      <c r="C13405">
        <f>IF(VLOOKUP(Table7[[#This Row],[Date]],Database!$A:$C,MATCH($C$1,Database!$A$1:$C$1,),)=0,#N/A,VLOOKUP(Table7[[#This Row],[Date]],Database!$A:$C,MATCH($C$1,Database!$A$1:$C$1,),))</f>
        <v/>
      </c>
      <c r="D13405">
        <f>IFERROR(Table7[[#This Row],[United States 10y]]-Table7[[#This Row],[United States 3y]],#N/A)</f>
        <v/>
      </c>
    </row>
    <row r="13406">
      <c r="A13406" s="6">
        <f>Database!$A15491</f>
        <v/>
      </c>
      <c r="B13406">
        <f>IF(VLOOKUP(Table7[[#This Row],[Date]],Database!$A:$C,MATCH($B$1,Database!$A$1:$C$1,),)=0,#N/A,VLOOKUP(Table7[[#This Row],[Date]],Database!$A:$C,MATCH($B$1,Database!$A$1:$C$1,),))</f>
        <v/>
      </c>
      <c r="C13406">
        <f>IF(VLOOKUP(Table7[[#This Row],[Date]],Database!$A:$C,MATCH($C$1,Database!$A$1:$C$1,),)=0,#N/A,VLOOKUP(Table7[[#This Row],[Date]],Database!$A:$C,MATCH($C$1,Database!$A$1:$C$1,),))</f>
        <v/>
      </c>
      <c r="D13406">
        <f>IFERROR(Table7[[#This Row],[United States 10y]]-Table7[[#This Row],[United States 3y]],#N/A)</f>
        <v/>
      </c>
    </row>
    <row r="13407">
      <c r="A13407" s="6">
        <f>Database!$A15492</f>
        <v/>
      </c>
      <c r="B13407">
        <f>IF(VLOOKUP(Table7[[#This Row],[Date]],Database!$A:$C,MATCH($B$1,Database!$A$1:$C$1,),)=0,#N/A,VLOOKUP(Table7[[#This Row],[Date]],Database!$A:$C,MATCH($B$1,Database!$A$1:$C$1,),))</f>
        <v/>
      </c>
      <c r="C13407">
        <f>IF(VLOOKUP(Table7[[#This Row],[Date]],Database!$A:$C,MATCH($C$1,Database!$A$1:$C$1,),)=0,#N/A,VLOOKUP(Table7[[#This Row],[Date]],Database!$A:$C,MATCH($C$1,Database!$A$1:$C$1,),))</f>
        <v/>
      </c>
      <c r="D13407">
        <f>IFERROR(Table7[[#This Row],[United States 10y]]-Table7[[#This Row],[United States 3y]],#N/A)</f>
        <v/>
      </c>
    </row>
    <row r="13408">
      <c r="A13408" s="6">
        <f>Database!$A15493</f>
        <v/>
      </c>
      <c r="B13408">
        <f>IF(VLOOKUP(Table7[[#This Row],[Date]],Database!$A:$C,MATCH($B$1,Database!$A$1:$C$1,),)=0,#N/A,VLOOKUP(Table7[[#This Row],[Date]],Database!$A:$C,MATCH($B$1,Database!$A$1:$C$1,),))</f>
        <v/>
      </c>
      <c r="C13408">
        <f>IF(VLOOKUP(Table7[[#This Row],[Date]],Database!$A:$C,MATCH($C$1,Database!$A$1:$C$1,),)=0,#N/A,VLOOKUP(Table7[[#This Row],[Date]],Database!$A:$C,MATCH($C$1,Database!$A$1:$C$1,),))</f>
        <v/>
      </c>
      <c r="D13408">
        <f>IFERROR(Table7[[#This Row],[United States 10y]]-Table7[[#This Row],[United States 3y]],#N/A)</f>
        <v/>
      </c>
    </row>
    <row r="13409">
      <c r="A13409" s="6">
        <f>Database!$A15494</f>
        <v/>
      </c>
      <c r="B13409">
        <f>IF(VLOOKUP(Table7[[#This Row],[Date]],Database!$A:$C,MATCH($B$1,Database!$A$1:$C$1,),)=0,#N/A,VLOOKUP(Table7[[#This Row],[Date]],Database!$A:$C,MATCH($B$1,Database!$A$1:$C$1,),))</f>
        <v/>
      </c>
      <c r="C13409">
        <f>IF(VLOOKUP(Table7[[#This Row],[Date]],Database!$A:$C,MATCH($C$1,Database!$A$1:$C$1,),)=0,#N/A,VLOOKUP(Table7[[#This Row],[Date]],Database!$A:$C,MATCH($C$1,Database!$A$1:$C$1,),))</f>
        <v/>
      </c>
      <c r="D13409">
        <f>IFERROR(Table7[[#This Row],[United States 10y]]-Table7[[#This Row],[United States 3y]],#N/A)</f>
        <v/>
      </c>
    </row>
    <row r="13410">
      <c r="A13410" s="6">
        <f>Database!$A15495</f>
        <v/>
      </c>
      <c r="B13410">
        <f>IF(VLOOKUP(Table7[[#This Row],[Date]],Database!$A:$C,MATCH($B$1,Database!$A$1:$C$1,),)=0,#N/A,VLOOKUP(Table7[[#This Row],[Date]],Database!$A:$C,MATCH($B$1,Database!$A$1:$C$1,),))</f>
        <v/>
      </c>
      <c r="C13410">
        <f>IF(VLOOKUP(Table7[[#This Row],[Date]],Database!$A:$C,MATCH($C$1,Database!$A$1:$C$1,),)=0,#N/A,VLOOKUP(Table7[[#This Row],[Date]],Database!$A:$C,MATCH($C$1,Database!$A$1:$C$1,),))</f>
        <v/>
      </c>
      <c r="D13410">
        <f>IFERROR(Table7[[#This Row],[United States 10y]]-Table7[[#This Row],[United States 3y]],#N/A)</f>
        <v/>
      </c>
    </row>
    <row r="13411">
      <c r="A13411" s="6">
        <f>Database!$A15496</f>
        <v/>
      </c>
      <c r="B13411">
        <f>IF(VLOOKUP(Table7[[#This Row],[Date]],Database!$A:$C,MATCH($B$1,Database!$A$1:$C$1,),)=0,#N/A,VLOOKUP(Table7[[#This Row],[Date]],Database!$A:$C,MATCH($B$1,Database!$A$1:$C$1,),))</f>
        <v/>
      </c>
      <c r="C13411">
        <f>IF(VLOOKUP(Table7[[#This Row],[Date]],Database!$A:$C,MATCH($C$1,Database!$A$1:$C$1,),)=0,#N/A,VLOOKUP(Table7[[#This Row],[Date]],Database!$A:$C,MATCH($C$1,Database!$A$1:$C$1,),))</f>
        <v/>
      </c>
      <c r="D13411">
        <f>IFERROR(Table7[[#This Row],[United States 10y]]-Table7[[#This Row],[United States 3y]],#N/A)</f>
        <v/>
      </c>
    </row>
    <row r="13412">
      <c r="A13412" s="6">
        <f>Database!$A15497</f>
        <v/>
      </c>
      <c r="B13412">
        <f>IF(VLOOKUP(Table7[[#This Row],[Date]],Database!$A:$C,MATCH($B$1,Database!$A$1:$C$1,),)=0,#N/A,VLOOKUP(Table7[[#This Row],[Date]],Database!$A:$C,MATCH($B$1,Database!$A$1:$C$1,),))</f>
        <v/>
      </c>
      <c r="C13412">
        <f>IF(VLOOKUP(Table7[[#This Row],[Date]],Database!$A:$C,MATCH($C$1,Database!$A$1:$C$1,),)=0,#N/A,VLOOKUP(Table7[[#This Row],[Date]],Database!$A:$C,MATCH($C$1,Database!$A$1:$C$1,),))</f>
        <v/>
      </c>
      <c r="D13412">
        <f>IFERROR(Table7[[#This Row],[United States 10y]]-Table7[[#This Row],[United States 3y]],#N/A)</f>
        <v/>
      </c>
    </row>
    <row r="13413">
      <c r="A13413" s="6">
        <f>Database!$A15498</f>
        <v/>
      </c>
      <c r="B13413">
        <f>IF(VLOOKUP(Table7[[#This Row],[Date]],Database!$A:$C,MATCH($B$1,Database!$A$1:$C$1,),)=0,#N/A,VLOOKUP(Table7[[#This Row],[Date]],Database!$A:$C,MATCH($B$1,Database!$A$1:$C$1,),))</f>
        <v/>
      </c>
      <c r="C13413">
        <f>IF(VLOOKUP(Table7[[#This Row],[Date]],Database!$A:$C,MATCH($C$1,Database!$A$1:$C$1,),)=0,#N/A,VLOOKUP(Table7[[#This Row],[Date]],Database!$A:$C,MATCH($C$1,Database!$A$1:$C$1,),))</f>
        <v/>
      </c>
      <c r="D13413">
        <f>IFERROR(Table7[[#This Row],[United States 10y]]-Table7[[#This Row],[United States 3y]],#N/A)</f>
        <v/>
      </c>
    </row>
    <row r="13414">
      <c r="A13414" s="6">
        <f>Database!$A15499</f>
        <v/>
      </c>
      <c r="B13414">
        <f>IF(VLOOKUP(Table7[[#This Row],[Date]],Database!$A:$C,MATCH($B$1,Database!$A$1:$C$1,),)=0,#N/A,VLOOKUP(Table7[[#This Row],[Date]],Database!$A:$C,MATCH($B$1,Database!$A$1:$C$1,),))</f>
        <v/>
      </c>
      <c r="C13414">
        <f>IF(VLOOKUP(Table7[[#This Row],[Date]],Database!$A:$C,MATCH($C$1,Database!$A$1:$C$1,),)=0,#N/A,VLOOKUP(Table7[[#This Row],[Date]],Database!$A:$C,MATCH($C$1,Database!$A$1:$C$1,),))</f>
        <v/>
      </c>
      <c r="D13414">
        <f>IFERROR(Table7[[#This Row],[United States 10y]]-Table7[[#This Row],[United States 3y]],#N/A)</f>
        <v/>
      </c>
    </row>
    <row r="13415">
      <c r="A13415" s="6">
        <f>Database!$A15500</f>
        <v/>
      </c>
      <c r="B13415">
        <f>IF(VLOOKUP(Table7[[#This Row],[Date]],Database!$A:$C,MATCH($B$1,Database!$A$1:$C$1,),)=0,#N/A,VLOOKUP(Table7[[#This Row],[Date]],Database!$A:$C,MATCH($B$1,Database!$A$1:$C$1,),))</f>
        <v/>
      </c>
      <c r="C13415">
        <f>IF(VLOOKUP(Table7[[#This Row],[Date]],Database!$A:$C,MATCH($C$1,Database!$A$1:$C$1,),)=0,#N/A,VLOOKUP(Table7[[#This Row],[Date]],Database!$A:$C,MATCH($C$1,Database!$A$1:$C$1,),))</f>
        <v/>
      </c>
      <c r="D13415">
        <f>IFERROR(Table7[[#This Row],[United States 10y]]-Table7[[#This Row],[United States 3y]],#N/A)</f>
        <v/>
      </c>
    </row>
    <row r="13416">
      <c r="A13416" s="6">
        <f>Database!$A15501</f>
        <v/>
      </c>
      <c r="B13416">
        <f>IF(VLOOKUP(Table7[[#This Row],[Date]],Database!$A:$C,MATCH($B$1,Database!$A$1:$C$1,),)=0,#N/A,VLOOKUP(Table7[[#This Row],[Date]],Database!$A:$C,MATCH($B$1,Database!$A$1:$C$1,),))</f>
        <v/>
      </c>
      <c r="C13416">
        <f>IF(VLOOKUP(Table7[[#This Row],[Date]],Database!$A:$C,MATCH($C$1,Database!$A$1:$C$1,),)=0,#N/A,VLOOKUP(Table7[[#This Row],[Date]],Database!$A:$C,MATCH($C$1,Database!$A$1:$C$1,),))</f>
        <v/>
      </c>
      <c r="D13416">
        <f>IFERROR(Table7[[#This Row],[United States 10y]]-Table7[[#This Row],[United States 3y]],#N/A)</f>
        <v/>
      </c>
    </row>
    <row r="13417">
      <c r="A13417" s="6">
        <f>Database!$A15502</f>
        <v/>
      </c>
      <c r="B13417">
        <f>IF(VLOOKUP(Table7[[#This Row],[Date]],Database!$A:$C,MATCH($B$1,Database!$A$1:$C$1,),)=0,#N/A,VLOOKUP(Table7[[#This Row],[Date]],Database!$A:$C,MATCH($B$1,Database!$A$1:$C$1,),))</f>
        <v/>
      </c>
      <c r="C13417">
        <f>IF(VLOOKUP(Table7[[#This Row],[Date]],Database!$A:$C,MATCH($C$1,Database!$A$1:$C$1,),)=0,#N/A,VLOOKUP(Table7[[#This Row],[Date]],Database!$A:$C,MATCH($C$1,Database!$A$1:$C$1,),))</f>
        <v/>
      </c>
      <c r="D13417">
        <f>IFERROR(Table7[[#This Row],[United States 10y]]-Table7[[#This Row],[United States 3y]],#N/A)</f>
        <v/>
      </c>
    </row>
    <row r="13418">
      <c r="A13418" s="6">
        <f>Database!$A15503</f>
        <v/>
      </c>
      <c r="B13418">
        <f>IF(VLOOKUP(Table7[[#This Row],[Date]],Database!$A:$C,MATCH($B$1,Database!$A$1:$C$1,),)=0,#N/A,VLOOKUP(Table7[[#This Row],[Date]],Database!$A:$C,MATCH($B$1,Database!$A$1:$C$1,),))</f>
        <v/>
      </c>
      <c r="C13418">
        <f>IF(VLOOKUP(Table7[[#This Row],[Date]],Database!$A:$C,MATCH($C$1,Database!$A$1:$C$1,),)=0,#N/A,VLOOKUP(Table7[[#This Row],[Date]],Database!$A:$C,MATCH($C$1,Database!$A$1:$C$1,),))</f>
        <v/>
      </c>
      <c r="D13418">
        <f>IFERROR(Table7[[#This Row],[United States 10y]]-Table7[[#This Row],[United States 3y]],#N/A)</f>
        <v/>
      </c>
    </row>
    <row r="13419">
      <c r="A13419" s="6">
        <f>Database!$A15504</f>
        <v/>
      </c>
      <c r="B13419">
        <f>IF(VLOOKUP(Table7[[#This Row],[Date]],Database!$A:$C,MATCH($B$1,Database!$A$1:$C$1,),)=0,#N/A,VLOOKUP(Table7[[#This Row],[Date]],Database!$A:$C,MATCH($B$1,Database!$A$1:$C$1,),))</f>
        <v/>
      </c>
      <c r="C13419">
        <f>IF(VLOOKUP(Table7[[#This Row],[Date]],Database!$A:$C,MATCH($C$1,Database!$A$1:$C$1,),)=0,#N/A,VLOOKUP(Table7[[#This Row],[Date]],Database!$A:$C,MATCH($C$1,Database!$A$1:$C$1,),))</f>
        <v/>
      </c>
      <c r="D13419">
        <f>IFERROR(Table7[[#This Row],[United States 10y]]-Table7[[#This Row],[United States 3y]],#N/A)</f>
        <v/>
      </c>
    </row>
    <row r="13420">
      <c r="A13420" s="6">
        <f>Database!$A15505</f>
        <v/>
      </c>
      <c r="B13420">
        <f>IF(VLOOKUP(Table7[[#This Row],[Date]],Database!$A:$C,MATCH($B$1,Database!$A$1:$C$1,),)=0,#N/A,VLOOKUP(Table7[[#This Row],[Date]],Database!$A:$C,MATCH($B$1,Database!$A$1:$C$1,),))</f>
        <v/>
      </c>
      <c r="C13420">
        <f>IF(VLOOKUP(Table7[[#This Row],[Date]],Database!$A:$C,MATCH($C$1,Database!$A$1:$C$1,),)=0,#N/A,VLOOKUP(Table7[[#This Row],[Date]],Database!$A:$C,MATCH($C$1,Database!$A$1:$C$1,),))</f>
        <v/>
      </c>
      <c r="D13420">
        <f>IFERROR(Table7[[#This Row],[United States 10y]]-Table7[[#This Row],[United States 3y]],#N/A)</f>
        <v/>
      </c>
    </row>
    <row r="13421">
      <c r="A13421" s="6">
        <f>Database!$A15506</f>
        <v/>
      </c>
      <c r="B13421">
        <f>IF(VLOOKUP(Table7[[#This Row],[Date]],Database!$A:$C,MATCH($B$1,Database!$A$1:$C$1,),)=0,#N/A,VLOOKUP(Table7[[#This Row],[Date]],Database!$A:$C,MATCH($B$1,Database!$A$1:$C$1,),))</f>
        <v/>
      </c>
      <c r="C13421">
        <f>IF(VLOOKUP(Table7[[#This Row],[Date]],Database!$A:$C,MATCH($C$1,Database!$A$1:$C$1,),)=0,#N/A,VLOOKUP(Table7[[#This Row],[Date]],Database!$A:$C,MATCH($C$1,Database!$A$1:$C$1,),))</f>
        <v/>
      </c>
      <c r="D13421">
        <f>IFERROR(Table7[[#This Row],[United States 10y]]-Table7[[#This Row],[United States 3y]],#N/A)</f>
        <v/>
      </c>
    </row>
    <row r="13422">
      <c r="A13422" s="6">
        <f>Database!$A15507</f>
        <v/>
      </c>
      <c r="B13422">
        <f>IF(VLOOKUP(Table7[[#This Row],[Date]],Database!$A:$C,MATCH($B$1,Database!$A$1:$C$1,),)=0,#N/A,VLOOKUP(Table7[[#This Row],[Date]],Database!$A:$C,MATCH($B$1,Database!$A$1:$C$1,),))</f>
        <v/>
      </c>
      <c r="C13422">
        <f>IF(VLOOKUP(Table7[[#This Row],[Date]],Database!$A:$C,MATCH($C$1,Database!$A$1:$C$1,),)=0,#N/A,VLOOKUP(Table7[[#This Row],[Date]],Database!$A:$C,MATCH($C$1,Database!$A$1:$C$1,),))</f>
        <v/>
      </c>
      <c r="D13422">
        <f>IFERROR(Table7[[#This Row],[United States 10y]]-Table7[[#This Row],[United States 3y]],#N/A)</f>
        <v/>
      </c>
    </row>
    <row r="13423">
      <c r="A13423" s="6">
        <f>Database!$A15508</f>
        <v/>
      </c>
      <c r="B13423">
        <f>IF(VLOOKUP(Table7[[#This Row],[Date]],Database!$A:$C,MATCH($B$1,Database!$A$1:$C$1,),)=0,#N/A,VLOOKUP(Table7[[#This Row],[Date]],Database!$A:$C,MATCH($B$1,Database!$A$1:$C$1,),))</f>
        <v/>
      </c>
      <c r="C13423">
        <f>IF(VLOOKUP(Table7[[#This Row],[Date]],Database!$A:$C,MATCH($C$1,Database!$A$1:$C$1,),)=0,#N/A,VLOOKUP(Table7[[#This Row],[Date]],Database!$A:$C,MATCH($C$1,Database!$A$1:$C$1,),))</f>
        <v/>
      </c>
      <c r="D13423">
        <f>IFERROR(Table7[[#This Row],[United States 10y]]-Table7[[#This Row],[United States 3y]],#N/A)</f>
        <v/>
      </c>
    </row>
    <row r="13424">
      <c r="A13424" s="6">
        <f>Database!$A15509</f>
        <v/>
      </c>
      <c r="B13424">
        <f>IF(VLOOKUP(Table7[[#This Row],[Date]],Database!$A:$C,MATCH($B$1,Database!$A$1:$C$1,),)=0,#N/A,VLOOKUP(Table7[[#This Row],[Date]],Database!$A:$C,MATCH($B$1,Database!$A$1:$C$1,),))</f>
        <v/>
      </c>
      <c r="C13424">
        <f>IF(VLOOKUP(Table7[[#This Row],[Date]],Database!$A:$C,MATCH($C$1,Database!$A$1:$C$1,),)=0,#N/A,VLOOKUP(Table7[[#This Row],[Date]],Database!$A:$C,MATCH($C$1,Database!$A$1:$C$1,),))</f>
        <v/>
      </c>
      <c r="D13424">
        <f>IFERROR(Table7[[#This Row],[United States 10y]]-Table7[[#This Row],[United States 3y]],#N/A)</f>
        <v/>
      </c>
    </row>
    <row r="13425">
      <c r="A13425" s="6">
        <f>Database!$A15510</f>
        <v/>
      </c>
      <c r="B13425">
        <f>IF(VLOOKUP(Table7[[#This Row],[Date]],Database!$A:$C,MATCH($B$1,Database!$A$1:$C$1,),)=0,#N/A,VLOOKUP(Table7[[#This Row],[Date]],Database!$A:$C,MATCH($B$1,Database!$A$1:$C$1,),))</f>
        <v/>
      </c>
      <c r="C13425">
        <f>IF(VLOOKUP(Table7[[#This Row],[Date]],Database!$A:$C,MATCH($C$1,Database!$A$1:$C$1,),)=0,#N/A,VLOOKUP(Table7[[#This Row],[Date]],Database!$A:$C,MATCH($C$1,Database!$A$1:$C$1,),))</f>
        <v/>
      </c>
      <c r="D13425">
        <f>IFERROR(Table7[[#This Row],[United States 10y]]-Table7[[#This Row],[United States 3y]],#N/A)</f>
        <v/>
      </c>
    </row>
    <row r="13426">
      <c r="A13426" s="6">
        <f>Database!$A15511</f>
        <v/>
      </c>
      <c r="B13426">
        <f>IF(VLOOKUP(Table7[[#This Row],[Date]],Database!$A:$C,MATCH($B$1,Database!$A$1:$C$1,),)=0,#N/A,VLOOKUP(Table7[[#This Row],[Date]],Database!$A:$C,MATCH($B$1,Database!$A$1:$C$1,),))</f>
        <v/>
      </c>
      <c r="C13426">
        <f>IF(VLOOKUP(Table7[[#This Row],[Date]],Database!$A:$C,MATCH($C$1,Database!$A$1:$C$1,),)=0,#N/A,VLOOKUP(Table7[[#This Row],[Date]],Database!$A:$C,MATCH($C$1,Database!$A$1:$C$1,),))</f>
        <v/>
      </c>
      <c r="D13426">
        <f>IFERROR(Table7[[#This Row],[United States 10y]]-Table7[[#This Row],[United States 3y]],#N/A)</f>
        <v/>
      </c>
    </row>
    <row r="13427">
      <c r="A13427" s="6">
        <f>Database!$A15512</f>
        <v/>
      </c>
      <c r="B13427">
        <f>IF(VLOOKUP(Table7[[#This Row],[Date]],Database!$A:$C,MATCH($B$1,Database!$A$1:$C$1,),)=0,#N/A,VLOOKUP(Table7[[#This Row],[Date]],Database!$A:$C,MATCH($B$1,Database!$A$1:$C$1,),))</f>
        <v/>
      </c>
      <c r="C13427">
        <f>IF(VLOOKUP(Table7[[#This Row],[Date]],Database!$A:$C,MATCH($C$1,Database!$A$1:$C$1,),)=0,#N/A,VLOOKUP(Table7[[#This Row],[Date]],Database!$A:$C,MATCH($C$1,Database!$A$1:$C$1,),))</f>
        <v/>
      </c>
      <c r="D13427">
        <f>IFERROR(Table7[[#This Row],[United States 10y]]-Table7[[#This Row],[United States 3y]],#N/A)</f>
        <v/>
      </c>
    </row>
    <row r="13428">
      <c r="A13428" s="6">
        <f>Database!$A15513</f>
        <v/>
      </c>
      <c r="B13428">
        <f>IF(VLOOKUP(Table7[[#This Row],[Date]],Database!$A:$C,MATCH($B$1,Database!$A$1:$C$1,),)=0,#N/A,VLOOKUP(Table7[[#This Row],[Date]],Database!$A:$C,MATCH($B$1,Database!$A$1:$C$1,),))</f>
        <v/>
      </c>
      <c r="C13428">
        <f>IF(VLOOKUP(Table7[[#This Row],[Date]],Database!$A:$C,MATCH($C$1,Database!$A$1:$C$1,),)=0,#N/A,VLOOKUP(Table7[[#This Row],[Date]],Database!$A:$C,MATCH($C$1,Database!$A$1:$C$1,),))</f>
        <v/>
      </c>
      <c r="D13428">
        <f>IFERROR(Table7[[#This Row],[United States 10y]]-Table7[[#This Row],[United States 3y]],#N/A)</f>
        <v/>
      </c>
    </row>
    <row r="13429">
      <c r="A13429" s="6">
        <f>Database!$A15514</f>
        <v/>
      </c>
      <c r="B13429">
        <f>IF(VLOOKUP(Table7[[#This Row],[Date]],Database!$A:$C,MATCH($B$1,Database!$A$1:$C$1,),)=0,#N/A,VLOOKUP(Table7[[#This Row],[Date]],Database!$A:$C,MATCH($B$1,Database!$A$1:$C$1,),))</f>
        <v/>
      </c>
      <c r="C13429">
        <f>IF(VLOOKUP(Table7[[#This Row],[Date]],Database!$A:$C,MATCH($C$1,Database!$A$1:$C$1,),)=0,#N/A,VLOOKUP(Table7[[#This Row],[Date]],Database!$A:$C,MATCH($C$1,Database!$A$1:$C$1,),))</f>
        <v/>
      </c>
      <c r="D13429">
        <f>IFERROR(Table7[[#This Row],[United States 10y]]-Table7[[#This Row],[United States 3y]],#N/A)</f>
        <v/>
      </c>
    </row>
    <row r="13430">
      <c r="A13430" s="6">
        <f>Database!$A15515</f>
        <v/>
      </c>
      <c r="B13430">
        <f>IF(VLOOKUP(Table7[[#This Row],[Date]],Database!$A:$C,MATCH($B$1,Database!$A$1:$C$1,),)=0,#N/A,VLOOKUP(Table7[[#This Row],[Date]],Database!$A:$C,MATCH($B$1,Database!$A$1:$C$1,),))</f>
        <v/>
      </c>
      <c r="C13430">
        <f>IF(VLOOKUP(Table7[[#This Row],[Date]],Database!$A:$C,MATCH($C$1,Database!$A$1:$C$1,),)=0,#N/A,VLOOKUP(Table7[[#This Row],[Date]],Database!$A:$C,MATCH($C$1,Database!$A$1:$C$1,),))</f>
        <v/>
      </c>
      <c r="D13430">
        <f>IFERROR(Table7[[#This Row],[United States 10y]]-Table7[[#This Row],[United States 3y]],#N/A)</f>
        <v/>
      </c>
    </row>
    <row r="13431">
      <c r="A13431" s="6">
        <f>Database!$A15516</f>
        <v/>
      </c>
      <c r="B13431">
        <f>IF(VLOOKUP(Table7[[#This Row],[Date]],Database!$A:$C,MATCH($B$1,Database!$A$1:$C$1,),)=0,#N/A,VLOOKUP(Table7[[#This Row],[Date]],Database!$A:$C,MATCH($B$1,Database!$A$1:$C$1,),))</f>
        <v/>
      </c>
      <c r="C13431">
        <f>IF(VLOOKUP(Table7[[#This Row],[Date]],Database!$A:$C,MATCH($C$1,Database!$A$1:$C$1,),)=0,#N/A,VLOOKUP(Table7[[#This Row],[Date]],Database!$A:$C,MATCH($C$1,Database!$A$1:$C$1,),))</f>
        <v/>
      </c>
      <c r="D13431">
        <f>IFERROR(Table7[[#This Row],[United States 10y]]-Table7[[#This Row],[United States 3y]],#N/A)</f>
        <v/>
      </c>
    </row>
    <row r="13432">
      <c r="A13432" s="6">
        <f>Database!$A15517</f>
        <v/>
      </c>
      <c r="B13432">
        <f>IF(VLOOKUP(Table7[[#This Row],[Date]],Database!$A:$C,MATCH($B$1,Database!$A$1:$C$1,),)=0,#N/A,VLOOKUP(Table7[[#This Row],[Date]],Database!$A:$C,MATCH($B$1,Database!$A$1:$C$1,),))</f>
        <v/>
      </c>
      <c r="C13432">
        <f>IF(VLOOKUP(Table7[[#This Row],[Date]],Database!$A:$C,MATCH($C$1,Database!$A$1:$C$1,),)=0,#N/A,VLOOKUP(Table7[[#This Row],[Date]],Database!$A:$C,MATCH($C$1,Database!$A$1:$C$1,),))</f>
        <v/>
      </c>
      <c r="D13432">
        <f>IFERROR(Table7[[#This Row],[United States 10y]]-Table7[[#This Row],[United States 3y]],#N/A)</f>
        <v/>
      </c>
    </row>
    <row r="13433">
      <c r="A13433" s="6">
        <f>Database!$A15518</f>
        <v/>
      </c>
      <c r="B13433">
        <f>IF(VLOOKUP(Table7[[#This Row],[Date]],Database!$A:$C,MATCH($B$1,Database!$A$1:$C$1,),)=0,#N/A,VLOOKUP(Table7[[#This Row],[Date]],Database!$A:$C,MATCH($B$1,Database!$A$1:$C$1,),))</f>
        <v/>
      </c>
      <c r="C13433">
        <f>IF(VLOOKUP(Table7[[#This Row],[Date]],Database!$A:$C,MATCH($C$1,Database!$A$1:$C$1,),)=0,#N/A,VLOOKUP(Table7[[#This Row],[Date]],Database!$A:$C,MATCH($C$1,Database!$A$1:$C$1,),))</f>
        <v/>
      </c>
      <c r="D13433">
        <f>IFERROR(Table7[[#This Row],[United States 10y]]-Table7[[#This Row],[United States 3y]],#N/A)</f>
        <v/>
      </c>
    </row>
    <row r="13434">
      <c r="A13434" s="6">
        <f>Database!$A15519</f>
        <v/>
      </c>
      <c r="B13434">
        <f>IF(VLOOKUP(Table7[[#This Row],[Date]],Database!$A:$C,MATCH($B$1,Database!$A$1:$C$1,),)=0,#N/A,VLOOKUP(Table7[[#This Row],[Date]],Database!$A:$C,MATCH($B$1,Database!$A$1:$C$1,),))</f>
        <v/>
      </c>
      <c r="C13434">
        <f>IF(VLOOKUP(Table7[[#This Row],[Date]],Database!$A:$C,MATCH($C$1,Database!$A$1:$C$1,),)=0,#N/A,VLOOKUP(Table7[[#This Row],[Date]],Database!$A:$C,MATCH($C$1,Database!$A$1:$C$1,),))</f>
        <v/>
      </c>
      <c r="D13434">
        <f>IFERROR(Table7[[#This Row],[United States 10y]]-Table7[[#This Row],[United States 3y]],#N/A)</f>
        <v/>
      </c>
    </row>
    <row r="13435">
      <c r="A13435" s="6">
        <f>Database!$A15520</f>
        <v/>
      </c>
      <c r="B13435">
        <f>IF(VLOOKUP(Table7[[#This Row],[Date]],Database!$A:$C,MATCH($B$1,Database!$A$1:$C$1,),)=0,#N/A,VLOOKUP(Table7[[#This Row],[Date]],Database!$A:$C,MATCH($B$1,Database!$A$1:$C$1,),))</f>
        <v/>
      </c>
      <c r="C13435">
        <f>IF(VLOOKUP(Table7[[#This Row],[Date]],Database!$A:$C,MATCH($C$1,Database!$A$1:$C$1,),)=0,#N/A,VLOOKUP(Table7[[#This Row],[Date]],Database!$A:$C,MATCH($C$1,Database!$A$1:$C$1,),))</f>
        <v/>
      </c>
      <c r="D13435">
        <f>IFERROR(Table7[[#This Row],[United States 10y]]-Table7[[#This Row],[United States 3y]],#N/A)</f>
        <v/>
      </c>
    </row>
    <row r="13436">
      <c r="A13436" s="6">
        <f>Database!$A15521</f>
        <v/>
      </c>
      <c r="B13436">
        <f>IF(VLOOKUP(Table7[[#This Row],[Date]],Database!$A:$C,MATCH($B$1,Database!$A$1:$C$1,),)=0,#N/A,VLOOKUP(Table7[[#This Row],[Date]],Database!$A:$C,MATCH($B$1,Database!$A$1:$C$1,),))</f>
        <v/>
      </c>
      <c r="C13436">
        <f>IF(VLOOKUP(Table7[[#This Row],[Date]],Database!$A:$C,MATCH($C$1,Database!$A$1:$C$1,),)=0,#N/A,VLOOKUP(Table7[[#This Row],[Date]],Database!$A:$C,MATCH($C$1,Database!$A$1:$C$1,),))</f>
        <v/>
      </c>
      <c r="D13436">
        <f>IFERROR(Table7[[#This Row],[United States 10y]]-Table7[[#This Row],[United States 3y]],#N/A)</f>
        <v/>
      </c>
    </row>
    <row r="13437">
      <c r="A13437" s="6">
        <f>Database!$A15522</f>
        <v/>
      </c>
      <c r="B13437">
        <f>IF(VLOOKUP(Table7[[#This Row],[Date]],Database!$A:$C,MATCH($B$1,Database!$A$1:$C$1,),)=0,#N/A,VLOOKUP(Table7[[#This Row],[Date]],Database!$A:$C,MATCH($B$1,Database!$A$1:$C$1,),))</f>
        <v/>
      </c>
      <c r="C13437">
        <f>IF(VLOOKUP(Table7[[#This Row],[Date]],Database!$A:$C,MATCH($C$1,Database!$A$1:$C$1,),)=0,#N/A,VLOOKUP(Table7[[#This Row],[Date]],Database!$A:$C,MATCH($C$1,Database!$A$1:$C$1,),))</f>
        <v/>
      </c>
      <c r="D13437">
        <f>IFERROR(Table7[[#This Row],[United States 10y]]-Table7[[#This Row],[United States 3y]],#N/A)</f>
        <v/>
      </c>
    </row>
    <row r="13438">
      <c r="A13438" s="6">
        <f>Database!$A15523</f>
        <v/>
      </c>
      <c r="B13438">
        <f>IF(VLOOKUP(Table7[[#This Row],[Date]],Database!$A:$C,MATCH($B$1,Database!$A$1:$C$1,),)=0,#N/A,VLOOKUP(Table7[[#This Row],[Date]],Database!$A:$C,MATCH($B$1,Database!$A$1:$C$1,),))</f>
        <v/>
      </c>
      <c r="C13438">
        <f>IF(VLOOKUP(Table7[[#This Row],[Date]],Database!$A:$C,MATCH($C$1,Database!$A$1:$C$1,),)=0,#N/A,VLOOKUP(Table7[[#This Row],[Date]],Database!$A:$C,MATCH($C$1,Database!$A$1:$C$1,),))</f>
        <v/>
      </c>
      <c r="D13438">
        <f>IFERROR(Table7[[#This Row],[United States 10y]]-Table7[[#This Row],[United States 3y]],#N/A)</f>
        <v/>
      </c>
    </row>
    <row r="13439">
      <c r="A13439" s="6">
        <f>Database!$A15524</f>
        <v/>
      </c>
      <c r="B13439">
        <f>IF(VLOOKUP(Table7[[#This Row],[Date]],Database!$A:$C,MATCH($B$1,Database!$A$1:$C$1,),)=0,#N/A,VLOOKUP(Table7[[#This Row],[Date]],Database!$A:$C,MATCH($B$1,Database!$A$1:$C$1,),))</f>
        <v/>
      </c>
      <c r="C13439">
        <f>IF(VLOOKUP(Table7[[#This Row],[Date]],Database!$A:$C,MATCH($C$1,Database!$A$1:$C$1,),)=0,#N/A,VLOOKUP(Table7[[#This Row],[Date]],Database!$A:$C,MATCH($C$1,Database!$A$1:$C$1,),))</f>
        <v/>
      </c>
      <c r="D13439">
        <f>IFERROR(Table7[[#This Row],[United States 10y]]-Table7[[#This Row],[United States 3y]],#N/A)</f>
        <v/>
      </c>
    </row>
    <row r="13440">
      <c r="A13440" s="6">
        <f>Database!$A15525</f>
        <v/>
      </c>
      <c r="B13440">
        <f>IF(VLOOKUP(Table7[[#This Row],[Date]],Database!$A:$C,MATCH($B$1,Database!$A$1:$C$1,),)=0,#N/A,VLOOKUP(Table7[[#This Row],[Date]],Database!$A:$C,MATCH($B$1,Database!$A$1:$C$1,),))</f>
        <v/>
      </c>
      <c r="C13440">
        <f>IF(VLOOKUP(Table7[[#This Row],[Date]],Database!$A:$C,MATCH($C$1,Database!$A$1:$C$1,),)=0,#N/A,VLOOKUP(Table7[[#This Row],[Date]],Database!$A:$C,MATCH($C$1,Database!$A$1:$C$1,),))</f>
        <v/>
      </c>
      <c r="D13440">
        <f>IFERROR(Table7[[#This Row],[United States 10y]]-Table7[[#This Row],[United States 3y]],#N/A)</f>
        <v/>
      </c>
    </row>
    <row r="13441">
      <c r="A13441" s="6">
        <f>Database!$A15526</f>
        <v/>
      </c>
      <c r="B13441">
        <f>IF(VLOOKUP(Table7[[#This Row],[Date]],Database!$A:$C,MATCH($B$1,Database!$A$1:$C$1,),)=0,#N/A,VLOOKUP(Table7[[#This Row],[Date]],Database!$A:$C,MATCH($B$1,Database!$A$1:$C$1,),))</f>
        <v/>
      </c>
      <c r="C13441">
        <f>IF(VLOOKUP(Table7[[#This Row],[Date]],Database!$A:$C,MATCH($C$1,Database!$A$1:$C$1,),)=0,#N/A,VLOOKUP(Table7[[#This Row],[Date]],Database!$A:$C,MATCH($C$1,Database!$A$1:$C$1,),))</f>
        <v/>
      </c>
      <c r="D13441">
        <f>IFERROR(Table7[[#This Row],[United States 10y]]-Table7[[#This Row],[United States 3y]],#N/A)</f>
        <v/>
      </c>
    </row>
    <row r="13442">
      <c r="A13442" s="6">
        <f>Database!$A15527</f>
        <v/>
      </c>
      <c r="B13442">
        <f>IF(VLOOKUP(Table7[[#This Row],[Date]],Database!$A:$C,MATCH($B$1,Database!$A$1:$C$1,),)=0,#N/A,VLOOKUP(Table7[[#This Row],[Date]],Database!$A:$C,MATCH($B$1,Database!$A$1:$C$1,),))</f>
        <v/>
      </c>
      <c r="C13442">
        <f>IF(VLOOKUP(Table7[[#This Row],[Date]],Database!$A:$C,MATCH($C$1,Database!$A$1:$C$1,),)=0,#N/A,VLOOKUP(Table7[[#This Row],[Date]],Database!$A:$C,MATCH($C$1,Database!$A$1:$C$1,),))</f>
        <v/>
      </c>
      <c r="D13442">
        <f>IFERROR(Table7[[#This Row],[United States 10y]]-Table7[[#This Row],[United States 3y]],#N/A)</f>
        <v/>
      </c>
    </row>
    <row r="13443">
      <c r="A13443" s="6">
        <f>Database!$A15528</f>
        <v/>
      </c>
      <c r="B13443">
        <f>IF(VLOOKUP(Table7[[#This Row],[Date]],Database!$A:$C,MATCH($B$1,Database!$A$1:$C$1,),)=0,#N/A,VLOOKUP(Table7[[#This Row],[Date]],Database!$A:$C,MATCH($B$1,Database!$A$1:$C$1,),))</f>
        <v/>
      </c>
      <c r="C13443">
        <f>IF(VLOOKUP(Table7[[#This Row],[Date]],Database!$A:$C,MATCH($C$1,Database!$A$1:$C$1,),)=0,#N/A,VLOOKUP(Table7[[#This Row],[Date]],Database!$A:$C,MATCH($C$1,Database!$A$1:$C$1,),))</f>
        <v/>
      </c>
      <c r="D13443">
        <f>IFERROR(Table7[[#This Row],[United States 10y]]-Table7[[#This Row],[United States 3y]],#N/A)</f>
        <v/>
      </c>
    </row>
    <row r="13444">
      <c r="A13444" s="6">
        <f>Database!$A15529</f>
        <v/>
      </c>
      <c r="B13444">
        <f>IF(VLOOKUP(Table7[[#This Row],[Date]],Database!$A:$C,MATCH($B$1,Database!$A$1:$C$1,),)=0,#N/A,VLOOKUP(Table7[[#This Row],[Date]],Database!$A:$C,MATCH($B$1,Database!$A$1:$C$1,),))</f>
        <v/>
      </c>
      <c r="C13444">
        <f>IF(VLOOKUP(Table7[[#This Row],[Date]],Database!$A:$C,MATCH($C$1,Database!$A$1:$C$1,),)=0,#N/A,VLOOKUP(Table7[[#This Row],[Date]],Database!$A:$C,MATCH($C$1,Database!$A$1:$C$1,),))</f>
        <v/>
      </c>
      <c r="D13444">
        <f>IFERROR(Table7[[#This Row],[United States 10y]]-Table7[[#This Row],[United States 3y]],#N/A)</f>
        <v/>
      </c>
    </row>
    <row r="13445">
      <c r="A13445" s="6">
        <f>Database!$A15530</f>
        <v/>
      </c>
      <c r="B13445">
        <f>IF(VLOOKUP(Table7[[#This Row],[Date]],Database!$A:$C,MATCH($B$1,Database!$A$1:$C$1,),)=0,#N/A,VLOOKUP(Table7[[#This Row],[Date]],Database!$A:$C,MATCH($B$1,Database!$A$1:$C$1,),))</f>
        <v/>
      </c>
      <c r="C13445">
        <f>IF(VLOOKUP(Table7[[#This Row],[Date]],Database!$A:$C,MATCH($C$1,Database!$A$1:$C$1,),)=0,#N/A,VLOOKUP(Table7[[#This Row],[Date]],Database!$A:$C,MATCH($C$1,Database!$A$1:$C$1,),))</f>
        <v/>
      </c>
      <c r="D13445">
        <f>IFERROR(Table7[[#This Row],[United States 10y]]-Table7[[#This Row],[United States 3y]],#N/A)</f>
        <v/>
      </c>
    </row>
    <row r="13446">
      <c r="A13446" s="6">
        <f>Database!$A15531</f>
        <v/>
      </c>
      <c r="B13446">
        <f>IF(VLOOKUP(Table7[[#This Row],[Date]],Database!$A:$C,MATCH($B$1,Database!$A$1:$C$1,),)=0,#N/A,VLOOKUP(Table7[[#This Row],[Date]],Database!$A:$C,MATCH($B$1,Database!$A$1:$C$1,),))</f>
        <v/>
      </c>
      <c r="C13446">
        <f>IF(VLOOKUP(Table7[[#This Row],[Date]],Database!$A:$C,MATCH($C$1,Database!$A$1:$C$1,),)=0,#N/A,VLOOKUP(Table7[[#This Row],[Date]],Database!$A:$C,MATCH($C$1,Database!$A$1:$C$1,),))</f>
        <v/>
      </c>
      <c r="D13446">
        <f>IFERROR(Table7[[#This Row],[United States 10y]]-Table7[[#This Row],[United States 3y]],#N/A)</f>
        <v/>
      </c>
    </row>
    <row r="13447">
      <c r="A13447" s="6">
        <f>Database!$A15532</f>
        <v/>
      </c>
      <c r="B13447">
        <f>IF(VLOOKUP(Table7[[#This Row],[Date]],Database!$A:$C,MATCH($B$1,Database!$A$1:$C$1,),)=0,#N/A,VLOOKUP(Table7[[#This Row],[Date]],Database!$A:$C,MATCH($B$1,Database!$A$1:$C$1,),))</f>
        <v/>
      </c>
      <c r="C13447">
        <f>IF(VLOOKUP(Table7[[#This Row],[Date]],Database!$A:$C,MATCH($C$1,Database!$A$1:$C$1,),)=0,#N/A,VLOOKUP(Table7[[#This Row],[Date]],Database!$A:$C,MATCH($C$1,Database!$A$1:$C$1,),))</f>
        <v/>
      </c>
      <c r="D13447">
        <f>IFERROR(Table7[[#This Row],[United States 10y]]-Table7[[#This Row],[United States 3y]],#N/A)</f>
        <v/>
      </c>
    </row>
    <row r="13448">
      <c r="A13448" s="6">
        <f>Database!$A15533</f>
        <v/>
      </c>
      <c r="B13448">
        <f>IF(VLOOKUP(Table7[[#This Row],[Date]],Database!$A:$C,MATCH($B$1,Database!$A$1:$C$1,),)=0,#N/A,VLOOKUP(Table7[[#This Row],[Date]],Database!$A:$C,MATCH($B$1,Database!$A$1:$C$1,),))</f>
        <v/>
      </c>
      <c r="C13448">
        <f>IF(VLOOKUP(Table7[[#This Row],[Date]],Database!$A:$C,MATCH($C$1,Database!$A$1:$C$1,),)=0,#N/A,VLOOKUP(Table7[[#This Row],[Date]],Database!$A:$C,MATCH($C$1,Database!$A$1:$C$1,),))</f>
        <v/>
      </c>
      <c r="D13448">
        <f>IFERROR(Table7[[#This Row],[United States 10y]]-Table7[[#This Row],[United States 3y]],#N/A)</f>
        <v/>
      </c>
    </row>
    <row r="13449">
      <c r="A13449" s="6">
        <f>Database!$A15534</f>
        <v/>
      </c>
      <c r="B13449">
        <f>IF(VLOOKUP(Table7[[#This Row],[Date]],Database!$A:$C,MATCH($B$1,Database!$A$1:$C$1,),)=0,#N/A,VLOOKUP(Table7[[#This Row],[Date]],Database!$A:$C,MATCH($B$1,Database!$A$1:$C$1,),))</f>
        <v/>
      </c>
      <c r="C13449">
        <f>IF(VLOOKUP(Table7[[#This Row],[Date]],Database!$A:$C,MATCH($C$1,Database!$A$1:$C$1,),)=0,#N/A,VLOOKUP(Table7[[#This Row],[Date]],Database!$A:$C,MATCH($C$1,Database!$A$1:$C$1,),))</f>
        <v/>
      </c>
      <c r="D13449">
        <f>IFERROR(Table7[[#This Row],[United States 10y]]-Table7[[#This Row],[United States 3y]],#N/A)</f>
        <v/>
      </c>
    </row>
    <row r="13450">
      <c r="A13450" s="6">
        <f>Database!$A15535</f>
        <v/>
      </c>
      <c r="B13450">
        <f>IF(VLOOKUP(Table7[[#This Row],[Date]],Database!$A:$C,MATCH($B$1,Database!$A$1:$C$1,),)=0,#N/A,VLOOKUP(Table7[[#This Row],[Date]],Database!$A:$C,MATCH($B$1,Database!$A$1:$C$1,),))</f>
        <v/>
      </c>
      <c r="C13450">
        <f>IF(VLOOKUP(Table7[[#This Row],[Date]],Database!$A:$C,MATCH($C$1,Database!$A$1:$C$1,),)=0,#N/A,VLOOKUP(Table7[[#This Row],[Date]],Database!$A:$C,MATCH($C$1,Database!$A$1:$C$1,),))</f>
        <v/>
      </c>
      <c r="D13450">
        <f>IFERROR(Table7[[#This Row],[United States 10y]]-Table7[[#This Row],[United States 3y]],#N/A)</f>
        <v/>
      </c>
    </row>
    <row r="13451">
      <c r="A13451" s="6">
        <f>Database!$A15536</f>
        <v/>
      </c>
      <c r="B13451">
        <f>IF(VLOOKUP(Table7[[#This Row],[Date]],Database!$A:$C,MATCH($B$1,Database!$A$1:$C$1,),)=0,#N/A,VLOOKUP(Table7[[#This Row],[Date]],Database!$A:$C,MATCH($B$1,Database!$A$1:$C$1,),))</f>
        <v/>
      </c>
      <c r="C13451">
        <f>IF(VLOOKUP(Table7[[#This Row],[Date]],Database!$A:$C,MATCH($C$1,Database!$A$1:$C$1,),)=0,#N/A,VLOOKUP(Table7[[#This Row],[Date]],Database!$A:$C,MATCH($C$1,Database!$A$1:$C$1,),))</f>
        <v/>
      </c>
      <c r="D13451">
        <f>IFERROR(Table7[[#This Row],[United States 10y]]-Table7[[#This Row],[United States 3y]],#N/A)</f>
        <v/>
      </c>
    </row>
    <row r="13452">
      <c r="A13452" s="6">
        <f>Database!$A15537</f>
        <v/>
      </c>
      <c r="B13452">
        <f>IF(VLOOKUP(Table7[[#This Row],[Date]],Database!$A:$C,MATCH($B$1,Database!$A$1:$C$1,),)=0,#N/A,VLOOKUP(Table7[[#This Row],[Date]],Database!$A:$C,MATCH($B$1,Database!$A$1:$C$1,),))</f>
        <v/>
      </c>
      <c r="C13452">
        <f>IF(VLOOKUP(Table7[[#This Row],[Date]],Database!$A:$C,MATCH($C$1,Database!$A$1:$C$1,),)=0,#N/A,VLOOKUP(Table7[[#This Row],[Date]],Database!$A:$C,MATCH($C$1,Database!$A$1:$C$1,),))</f>
        <v/>
      </c>
      <c r="D13452">
        <f>IFERROR(Table7[[#This Row],[United States 10y]]-Table7[[#This Row],[United States 3y]],#N/A)</f>
        <v/>
      </c>
    </row>
    <row r="13453">
      <c r="A13453" s="6">
        <f>Database!$A15538</f>
        <v/>
      </c>
      <c r="B13453">
        <f>IF(VLOOKUP(Table7[[#This Row],[Date]],Database!$A:$C,MATCH($B$1,Database!$A$1:$C$1,),)=0,#N/A,VLOOKUP(Table7[[#This Row],[Date]],Database!$A:$C,MATCH($B$1,Database!$A$1:$C$1,),))</f>
        <v/>
      </c>
      <c r="C13453">
        <f>IF(VLOOKUP(Table7[[#This Row],[Date]],Database!$A:$C,MATCH($C$1,Database!$A$1:$C$1,),)=0,#N/A,VLOOKUP(Table7[[#This Row],[Date]],Database!$A:$C,MATCH($C$1,Database!$A$1:$C$1,),))</f>
        <v/>
      </c>
      <c r="D13453">
        <f>IFERROR(Table7[[#This Row],[United States 10y]]-Table7[[#This Row],[United States 3y]],#N/A)</f>
        <v/>
      </c>
    </row>
    <row r="13454">
      <c r="A13454" s="6">
        <f>Database!$A15539</f>
        <v/>
      </c>
      <c r="B13454">
        <f>IF(VLOOKUP(Table7[[#This Row],[Date]],Database!$A:$C,MATCH($B$1,Database!$A$1:$C$1,),)=0,#N/A,VLOOKUP(Table7[[#This Row],[Date]],Database!$A:$C,MATCH($B$1,Database!$A$1:$C$1,),))</f>
        <v/>
      </c>
      <c r="C13454">
        <f>IF(VLOOKUP(Table7[[#This Row],[Date]],Database!$A:$C,MATCH($C$1,Database!$A$1:$C$1,),)=0,#N/A,VLOOKUP(Table7[[#This Row],[Date]],Database!$A:$C,MATCH($C$1,Database!$A$1:$C$1,),))</f>
        <v/>
      </c>
      <c r="D13454">
        <f>IFERROR(Table7[[#This Row],[United States 10y]]-Table7[[#This Row],[United States 3y]],#N/A)</f>
        <v/>
      </c>
    </row>
    <row r="13455">
      <c r="A13455" s="6">
        <f>Database!$A15540</f>
        <v/>
      </c>
      <c r="B13455">
        <f>IF(VLOOKUP(Table7[[#This Row],[Date]],Database!$A:$C,MATCH($B$1,Database!$A$1:$C$1,),)=0,#N/A,VLOOKUP(Table7[[#This Row],[Date]],Database!$A:$C,MATCH($B$1,Database!$A$1:$C$1,),))</f>
        <v/>
      </c>
      <c r="C13455">
        <f>IF(VLOOKUP(Table7[[#This Row],[Date]],Database!$A:$C,MATCH($C$1,Database!$A$1:$C$1,),)=0,#N/A,VLOOKUP(Table7[[#This Row],[Date]],Database!$A:$C,MATCH($C$1,Database!$A$1:$C$1,),))</f>
        <v/>
      </c>
      <c r="D13455">
        <f>IFERROR(Table7[[#This Row],[United States 10y]]-Table7[[#This Row],[United States 3y]],#N/A)</f>
        <v/>
      </c>
    </row>
    <row r="13456">
      <c r="A13456" s="6">
        <f>Database!$A15541</f>
        <v/>
      </c>
      <c r="B13456">
        <f>IF(VLOOKUP(Table7[[#This Row],[Date]],Database!$A:$C,MATCH($B$1,Database!$A$1:$C$1,),)=0,#N/A,VLOOKUP(Table7[[#This Row],[Date]],Database!$A:$C,MATCH($B$1,Database!$A$1:$C$1,),))</f>
        <v/>
      </c>
      <c r="C13456">
        <f>IF(VLOOKUP(Table7[[#This Row],[Date]],Database!$A:$C,MATCH($C$1,Database!$A$1:$C$1,),)=0,#N/A,VLOOKUP(Table7[[#This Row],[Date]],Database!$A:$C,MATCH($C$1,Database!$A$1:$C$1,),))</f>
        <v/>
      </c>
      <c r="D13456">
        <f>IFERROR(Table7[[#This Row],[United States 10y]]-Table7[[#This Row],[United States 3y]],#N/A)</f>
        <v/>
      </c>
    </row>
    <row r="13457">
      <c r="A13457" s="6">
        <f>Database!$A15542</f>
        <v/>
      </c>
      <c r="B13457">
        <f>IF(VLOOKUP(Table7[[#This Row],[Date]],Database!$A:$C,MATCH($B$1,Database!$A$1:$C$1,),)=0,#N/A,VLOOKUP(Table7[[#This Row],[Date]],Database!$A:$C,MATCH($B$1,Database!$A$1:$C$1,),))</f>
        <v/>
      </c>
      <c r="C13457">
        <f>IF(VLOOKUP(Table7[[#This Row],[Date]],Database!$A:$C,MATCH($C$1,Database!$A$1:$C$1,),)=0,#N/A,VLOOKUP(Table7[[#This Row],[Date]],Database!$A:$C,MATCH($C$1,Database!$A$1:$C$1,),))</f>
        <v/>
      </c>
      <c r="D13457">
        <f>IFERROR(Table7[[#This Row],[United States 10y]]-Table7[[#This Row],[United States 3y]],#N/A)</f>
        <v/>
      </c>
    </row>
    <row r="13458">
      <c r="A13458" s="6">
        <f>Database!$A15543</f>
        <v/>
      </c>
      <c r="B13458">
        <f>IF(VLOOKUP(Table7[[#This Row],[Date]],Database!$A:$C,MATCH($B$1,Database!$A$1:$C$1,),)=0,#N/A,VLOOKUP(Table7[[#This Row],[Date]],Database!$A:$C,MATCH($B$1,Database!$A$1:$C$1,),))</f>
        <v/>
      </c>
      <c r="C13458">
        <f>IF(VLOOKUP(Table7[[#This Row],[Date]],Database!$A:$C,MATCH($C$1,Database!$A$1:$C$1,),)=0,#N/A,VLOOKUP(Table7[[#This Row],[Date]],Database!$A:$C,MATCH($C$1,Database!$A$1:$C$1,),))</f>
        <v/>
      </c>
      <c r="D13458">
        <f>IFERROR(Table7[[#This Row],[United States 10y]]-Table7[[#This Row],[United States 3y]],#N/A)</f>
        <v/>
      </c>
    </row>
    <row r="13459">
      <c r="A13459" s="6">
        <f>Database!$A15544</f>
        <v/>
      </c>
      <c r="B13459">
        <f>IF(VLOOKUP(Table7[[#This Row],[Date]],Database!$A:$C,MATCH($B$1,Database!$A$1:$C$1,),)=0,#N/A,VLOOKUP(Table7[[#This Row],[Date]],Database!$A:$C,MATCH($B$1,Database!$A$1:$C$1,),))</f>
        <v/>
      </c>
      <c r="C13459">
        <f>IF(VLOOKUP(Table7[[#This Row],[Date]],Database!$A:$C,MATCH($C$1,Database!$A$1:$C$1,),)=0,#N/A,VLOOKUP(Table7[[#This Row],[Date]],Database!$A:$C,MATCH($C$1,Database!$A$1:$C$1,),))</f>
        <v/>
      </c>
      <c r="D13459">
        <f>IFERROR(Table7[[#This Row],[United States 10y]]-Table7[[#This Row],[United States 3y]],#N/A)</f>
        <v/>
      </c>
    </row>
    <row r="13460">
      <c r="A13460" s="6">
        <f>Database!$A15545</f>
        <v/>
      </c>
      <c r="B13460">
        <f>IF(VLOOKUP(Table7[[#This Row],[Date]],Database!$A:$C,MATCH($B$1,Database!$A$1:$C$1,),)=0,#N/A,VLOOKUP(Table7[[#This Row],[Date]],Database!$A:$C,MATCH($B$1,Database!$A$1:$C$1,),))</f>
        <v/>
      </c>
      <c r="C13460">
        <f>IF(VLOOKUP(Table7[[#This Row],[Date]],Database!$A:$C,MATCH($C$1,Database!$A$1:$C$1,),)=0,#N/A,VLOOKUP(Table7[[#This Row],[Date]],Database!$A:$C,MATCH($C$1,Database!$A$1:$C$1,),))</f>
        <v/>
      </c>
      <c r="D13460">
        <f>IFERROR(Table7[[#This Row],[United States 10y]]-Table7[[#This Row],[United States 3y]],#N/A)</f>
        <v/>
      </c>
    </row>
    <row r="13461">
      <c r="A13461" s="6">
        <f>Database!$A15546</f>
        <v/>
      </c>
      <c r="B13461">
        <f>IF(VLOOKUP(Table7[[#This Row],[Date]],Database!$A:$C,MATCH($B$1,Database!$A$1:$C$1,),)=0,#N/A,VLOOKUP(Table7[[#This Row],[Date]],Database!$A:$C,MATCH($B$1,Database!$A$1:$C$1,),))</f>
        <v/>
      </c>
      <c r="C13461">
        <f>IF(VLOOKUP(Table7[[#This Row],[Date]],Database!$A:$C,MATCH($C$1,Database!$A$1:$C$1,),)=0,#N/A,VLOOKUP(Table7[[#This Row],[Date]],Database!$A:$C,MATCH($C$1,Database!$A$1:$C$1,),))</f>
        <v/>
      </c>
      <c r="D13461">
        <f>IFERROR(Table7[[#This Row],[United States 10y]]-Table7[[#This Row],[United States 3y]],#N/A)</f>
        <v/>
      </c>
    </row>
    <row r="13462">
      <c r="A13462" s="6">
        <f>Database!$A15547</f>
        <v/>
      </c>
      <c r="B13462">
        <f>IF(VLOOKUP(Table7[[#This Row],[Date]],Database!$A:$C,MATCH($B$1,Database!$A$1:$C$1,),)=0,#N/A,VLOOKUP(Table7[[#This Row],[Date]],Database!$A:$C,MATCH($B$1,Database!$A$1:$C$1,),))</f>
        <v/>
      </c>
      <c r="C13462">
        <f>IF(VLOOKUP(Table7[[#This Row],[Date]],Database!$A:$C,MATCH($C$1,Database!$A$1:$C$1,),)=0,#N/A,VLOOKUP(Table7[[#This Row],[Date]],Database!$A:$C,MATCH($C$1,Database!$A$1:$C$1,),))</f>
        <v/>
      </c>
      <c r="D13462">
        <f>IFERROR(Table7[[#This Row],[United States 10y]]-Table7[[#This Row],[United States 3y]],#N/A)</f>
        <v/>
      </c>
    </row>
    <row r="13463">
      <c r="A13463" s="6">
        <f>Database!$A15548</f>
        <v/>
      </c>
      <c r="B13463">
        <f>IF(VLOOKUP(Table7[[#This Row],[Date]],Database!$A:$C,MATCH($B$1,Database!$A$1:$C$1,),)=0,#N/A,VLOOKUP(Table7[[#This Row],[Date]],Database!$A:$C,MATCH($B$1,Database!$A$1:$C$1,),))</f>
        <v/>
      </c>
      <c r="C13463">
        <f>IF(VLOOKUP(Table7[[#This Row],[Date]],Database!$A:$C,MATCH($C$1,Database!$A$1:$C$1,),)=0,#N/A,VLOOKUP(Table7[[#This Row],[Date]],Database!$A:$C,MATCH($C$1,Database!$A$1:$C$1,),))</f>
        <v/>
      </c>
      <c r="D13463">
        <f>IFERROR(Table7[[#This Row],[United States 10y]]-Table7[[#This Row],[United States 3y]],#N/A)</f>
        <v/>
      </c>
    </row>
    <row r="13464">
      <c r="A13464" s="6">
        <f>Database!$A15549</f>
        <v/>
      </c>
      <c r="B13464">
        <f>IF(VLOOKUP(Table7[[#This Row],[Date]],Database!$A:$C,MATCH($B$1,Database!$A$1:$C$1,),)=0,#N/A,VLOOKUP(Table7[[#This Row],[Date]],Database!$A:$C,MATCH($B$1,Database!$A$1:$C$1,),))</f>
        <v/>
      </c>
      <c r="C13464">
        <f>IF(VLOOKUP(Table7[[#This Row],[Date]],Database!$A:$C,MATCH($C$1,Database!$A$1:$C$1,),)=0,#N/A,VLOOKUP(Table7[[#This Row],[Date]],Database!$A:$C,MATCH($C$1,Database!$A$1:$C$1,),))</f>
        <v/>
      </c>
      <c r="D13464">
        <f>IFERROR(Table7[[#This Row],[United States 10y]]-Table7[[#This Row],[United States 3y]],#N/A)</f>
        <v/>
      </c>
    </row>
    <row r="13465">
      <c r="A13465" s="6">
        <f>Database!$A15550</f>
        <v/>
      </c>
      <c r="B13465">
        <f>IF(VLOOKUP(Table7[[#This Row],[Date]],Database!$A:$C,MATCH($B$1,Database!$A$1:$C$1,),)=0,#N/A,VLOOKUP(Table7[[#This Row],[Date]],Database!$A:$C,MATCH($B$1,Database!$A$1:$C$1,),))</f>
        <v/>
      </c>
      <c r="C13465">
        <f>IF(VLOOKUP(Table7[[#This Row],[Date]],Database!$A:$C,MATCH($C$1,Database!$A$1:$C$1,),)=0,#N/A,VLOOKUP(Table7[[#This Row],[Date]],Database!$A:$C,MATCH($C$1,Database!$A$1:$C$1,),))</f>
        <v/>
      </c>
      <c r="D13465">
        <f>IFERROR(Table7[[#This Row],[United States 10y]]-Table7[[#This Row],[United States 3y]],#N/A)</f>
        <v/>
      </c>
    </row>
    <row r="13466">
      <c r="A13466" s="6">
        <f>Database!$A15551</f>
        <v/>
      </c>
      <c r="B13466">
        <f>IF(VLOOKUP(Table7[[#This Row],[Date]],Database!$A:$C,MATCH($B$1,Database!$A$1:$C$1,),)=0,#N/A,VLOOKUP(Table7[[#This Row],[Date]],Database!$A:$C,MATCH($B$1,Database!$A$1:$C$1,),))</f>
        <v/>
      </c>
      <c r="C13466">
        <f>IF(VLOOKUP(Table7[[#This Row],[Date]],Database!$A:$C,MATCH($C$1,Database!$A$1:$C$1,),)=0,#N/A,VLOOKUP(Table7[[#This Row],[Date]],Database!$A:$C,MATCH($C$1,Database!$A$1:$C$1,),))</f>
        <v/>
      </c>
      <c r="D13466">
        <f>IFERROR(Table7[[#This Row],[United States 10y]]-Table7[[#This Row],[United States 3y]],#N/A)</f>
        <v/>
      </c>
    </row>
    <row r="13467">
      <c r="A13467" s="6">
        <f>Database!$A15552</f>
        <v/>
      </c>
      <c r="B13467">
        <f>IF(VLOOKUP(Table7[[#This Row],[Date]],Database!$A:$C,MATCH($B$1,Database!$A$1:$C$1,),)=0,#N/A,VLOOKUP(Table7[[#This Row],[Date]],Database!$A:$C,MATCH($B$1,Database!$A$1:$C$1,),))</f>
        <v/>
      </c>
      <c r="C13467">
        <f>IF(VLOOKUP(Table7[[#This Row],[Date]],Database!$A:$C,MATCH($C$1,Database!$A$1:$C$1,),)=0,#N/A,VLOOKUP(Table7[[#This Row],[Date]],Database!$A:$C,MATCH($C$1,Database!$A$1:$C$1,),))</f>
        <v/>
      </c>
      <c r="D13467">
        <f>IFERROR(Table7[[#This Row],[United States 10y]]-Table7[[#This Row],[United States 3y]],#N/A)</f>
        <v/>
      </c>
    </row>
    <row r="13468">
      <c r="A13468" s="6">
        <f>Database!$A15553</f>
        <v/>
      </c>
      <c r="B13468">
        <f>IF(VLOOKUP(Table7[[#This Row],[Date]],Database!$A:$C,MATCH($B$1,Database!$A$1:$C$1,),)=0,#N/A,VLOOKUP(Table7[[#This Row],[Date]],Database!$A:$C,MATCH($B$1,Database!$A$1:$C$1,),))</f>
        <v/>
      </c>
      <c r="C13468">
        <f>IF(VLOOKUP(Table7[[#This Row],[Date]],Database!$A:$C,MATCH($C$1,Database!$A$1:$C$1,),)=0,#N/A,VLOOKUP(Table7[[#This Row],[Date]],Database!$A:$C,MATCH($C$1,Database!$A$1:$C$1,),))</f>
        <v/>
      </c>
      <c r="D13468">
        <f>IFERROR(Table7[[#This Row],[United States 10y]]-Table7[[#This Row],[United States 3y]],#N/A)</f>
        <v/>
      </c>
    </row>
    <row r="13469">
      <c r="A13469" s="6">
        <f>Database!$A15554</f>
        <v/>
      </c>
      <c r="B13469">
        <f>IF(VLOOKUP(Table7[[#This Row],[Date]],Database!$A:$C,MATCH($B$1,Database!$A$1:$C$1,),)=0,#N/A,VLOOKUP(Table7[[#This Row],[Date]],Database!$A:$C,MATCH($B$1,Database!$A$1:$C$1,),))</f>
        <v/>
      </c>
      <c r="C13469">
        <f>IF(VLOOKUP(Table7[[#This Row],[Date]],Database!$A:$C,MATCH($C$1,Database!$A$1:$C$1,),)=0,#N/A,VLOOKUP(Table7[[#This Row],[Date]],Database!$A:$C,MATCH($C$1,Database!$A$1:$C$1,),))</f>
        <v/>
      </c>
      <c r="D13469">
        <f>IFERROR(Table7[[#This Row],[United States 10y]]-Table7[[#This Row],[United States 3y]],#N/A)</f>
        <v/>
      </c>
    </row>
    <row r="13470">
      <c r="A13470" s="6">
        <f>Database!$A15555</f>
        <v/>
      </c>
      <c r="B13470">
        <f>IF(VLOOKUP(Table7[[#This Row],[Date]],Database!$A:$C,MATCH($B$1,Database!$A$1:$C$1,),)=0,#N/A,VLOOKUP(Table7[[#This Row],[Date]],Database!$A:$C,MATCH($B$1,Database!$A$1:$C$1,),))</f>
        <v/>
      </c>
      <c r="C13470">
        <f>IF(VLOOKUP(Table7[[#This Row],[Date]],Database!$A:$C,MATCH($C$1,Database!$A$1:$C$1,),)=0,#N/A,VLOOKUP(Table7[[#This Row],[Date]],Database!$A:$C,MATCH($C$1,Database!$A$1:$C$1,),))</f>
        <v/>
      </c>
      <c r="D13470">
        <f>IFERROR(Table7[[#This Row],[United States 10y]]-Table7[[#This Row],[United States 3y]],#N/A)</f>
        <v/>
      </c>
    </row>
    <row r="13471">
      <c r="A13471" s="6">
        <f>Database!$A15556</f>
        <v/>
      </c>
      <c r="B13471">
        <f>IF(VLOOKUP(Table7[[#This Row],[Date]],Database!$A:$C,MATCH($B$1,Database!$A$1:$C$1,),)=0,#N/A,VLOOKUP(Table7[[#This Row],[Date]],Database!$A:$C,MATCH($B$1,Database!$A$1:$C$1,),))</f>
        <v/>
      </c>
      <c r="C13471">
        <f>IF(VLOOKUP(Table7[[#This Row],[Date]],Database!$A:$C,MATCH($C$1,Database!$A$1:$C$1,),)=0,#N/A,VLOOKUP(Table7[[#This Row],[Date]],Database!$A:$C,MATCH($C$1,Database!$A$1:$C$1,),))</f>
        <v/>
      </c>
      <c r="D13471">
        <f>IFERROR(Table7[[#This Row],[United States 10y]]-Table7[[#This Row],[United States 3y]],#N/A)</f>
        <v/>
      </c>
    </row>
    <row r="13472">
      <c r="A13472" s="6">
        <f>Database!$A15557</f>
        <v/>
      </c>
      <c r="B13472">
        <f>IF(VLOOKUP(Table7[[#This Row],[Date]],Database!$A:$C,MATCH($B$1,Database!$A$1:$C$1,),)=0,#N/A,VLOOKUP(Table7[[#This Row],[Date]],Database!$A:$C,MATCH($B$1,Database!$A$1:$C$1,),))</f>
        <v/>
      </c>
      <c r="C13472">
        <f>IF(VLOOKUP(Table7[[#This Row],[Date]],Database!$A:$C,MATCH($C$1,Database!$A$1:$C$1,),)=0,#N/A,VLOOKUP(Table7[[#This Row],[Date]],Database!$A:$C,MATCH($C$1,Database!$A$1:$C$1,),))</f>
        <v/>
      </c>
      <c r="D13472">
        <f>IFERROR(Table7[[#This Row],[United States 10y]]-Table7[[#This Row],[United States 3y]],#N/A)</f>
        <v/>
      </c>
    </row>
    <row r="13473">
      <c r="A13473" s="6">
        <f>Database!$A15558</f>
        <v/>
      </c>
      <c r="B13473">
        <f>IF(VLOOKUP(Table7[[#This Row],[Date]],Database!$A:$C,MATCH($B$1,Database!$A$1:$C$1,),)=0,#N/A,VLOOKUP(Table7[[#This Row],[Date]],Database!$A:$C,MATCH($B$1,Database!$A$1:$C$1,),))</f>
        <v/>
      </c>
      <c r="C13473">
        <f>IF(VLOOKUP(Table7[[#This Row],[Date]],Database!$A:$C,MATCH($C$1,Database!$A$1:$C$1,),)=0,#N/A,VLOOKUP(Table7[[#This Row],[Date]],Database!$A:$C,MATCH($C$1,Database!$A$1:$C$1,),))</f>
        <v/>
      </c>
      <c r="D13473">
        <f>IFERROR(Table7[[#This Row],[United States 10y]]-Table7[[#This Row],[United States 3y]],#N/A)</f>
        <v/>
      </c>
    </row>
    <row r="13474">
      <c r="A13474" s="6">
        <f>Database!$A15559</f>
        <v/>
      </c>
      <c r="B13474">
        <f>IF(VLOOKUP(Table7[[#This Row],[Date]],Database!$A:$C,MATCH($B$1,Database!$A$1:$C$1,),)=0,#N/A,VLOOKUP(Table7[[#This Row],[Date]],Database!$A:$C,MATCH($B$1,Database!$A$1:$C$1,),))</f>
        <v/>
      </c>
      <c r="C13474">
        <f>IF(VLOOKUP(Table7[[#This Row],[Date]],Database!$A:$C,MATCH($C$1,Database!$A$1:$C$1,),)=0,#N/A,VLOOKUP(Table7[[#This Row],[Date]],Database!$A:$C,MATCH($C$1,Database!$A$1:$C$1,),))</f>
        <v/>
      </c>
      <c r="D13474">
        <f>IFERROR(Table7[[#This Row],[United States 10y]]-Table7[[#This Row],[United States 3y]],#N/A)</f>
        <v/>
      </c>
    </row>
    <row r="13475">
      <c r="A13475" s="6">
        <f>Database!$A15560</f>
        <v/>
      </c>
      <c r="B13475">
        <f>IF(VLOOKUP(Table7[[#This Row],[Date]],Database!$A:$C,MATCH($B$1,Database!$A$1:$C$1,),)=0,#N/A,VLOOKUP(Table7[[#This Row],[Date]],Database!$A:$C,MATCH($B$1,Database!$A$1:$C$1,),))</f>
        <v/>
      </c>
      <c r="C13475">
        <f>IF(VLOOKUP(Table7[[#This Row],[Date]],Database!$A:$C,MATCH($C$1,Database!$A$1:$C$1,),)=0,#N/A,VLOOKUP(Table7[[#This Row],[Date]],Database!$A:$C,MATCH($C$1,Database!$A$1:$C$1,),))</f>
        <v/>
      </c>
      <c r="D13475">
        <f>IFERROR(Table7[[#This Row],[United States 10y]]-Table7[[#This Row],[United States 3y]],#N/A)</f>
        <v/>
      </c>
    </row>
    <row r="13476">
      <c r="A13476" s="6">
        <f>Database!$A15561</f>
        <v/>
      </c>
      <c r="B13476">
        <f>IF(VLOOKUP(Table7[[#This Row],[Date]],Database!$A:$C,MATCH($B$1,Database!$A$1:$C$1,),)=0,#N/A,VLOOKUP(Table7[[#This Row],[Date]],Database!$A:$C,MATCH($B$1,Database!$A$1:$C$1,),))</f>
        <v/>
      </c>
      <c r="C13476">
        <f>IF(VLOOKUP(Table7[[#This Row],[Date]],Database!$A:$C,MATCH($C$1,Database!$A$1:$C$1,),)=0,#N/A,VLOOKUP(Table7[[#This Row],[Date]],Database!$A:$C,MATCH($C$1,Database!$A$1:$C$1,),))</f>
        <v/>
      </c>
      <c r="D13476">
        <f>IFERROR(Table7[[#This Row],[United States 10y]]-Table7[[#This Row],[United States 3y]],#N/A)</f>
        <v/>
      </c>
    </row>
    <row r="13477">
      <c r="A13477" s="6">
        <f>Database!$A15562</f>
        <v/>
      </c>
      <c r="B13477">
        <f>IF(VLOOKUP(Table7[[#This Row],[Date]],Database!$A:$C,MATCH($B$1,Database!$A$1:$C$1,),)=0,#N/A,VLOOKUP(Table7[[#This Row],[Date]],Database!$A:$C,MATCH($B$1,Database!$A$1:$C$1,),))</f>
        <v/>
      </c>
      <c r="C13477">
        <f>IF(VLOOKUP(Table7[[#This Row],[Date]],Database!$A:$C,MATCH($C$1,Database!$A$1:$C$1,),)=0,#N/A,VLOOKUP(Table7[[#This Row],[Date]],Database!$A:$C,MATCH($C$1,Database!$A$1:$C$1,),))</f>
        <v/>
      </c>
      <c r="D13477">
        <f>IFERROR(Table7[[#This Row],[United States 10y]]-Table7[[#This Row],[United States 3y]],#N/A)</f>
        <v/>
      </c>
    </row>
    <row r="13478">
      <c r="A13478" s="6">
        <f>Database!$A15563</f>
        <v/>
      </c>
      <c r="B13478">
        <f>IF(VLOOKUP(Table7[[#This Row],[Date]],Database!$A:$C,MATCH($B$1,Database!$A$1:$C$1,),)=0,#N/A,VLOOKUP(Table7[[#This Row],[Date]],Database!$A:$C,MATCH($B$1,Database!$A$1:$C$1,),))</f>
        <v/>
      </c>
      <c r="C13478">
        <f>IF(VLOOKUP(Table7[[#This Row],[Date]],Database!$A:$C,MATCH($C$1,Database!$A$1:$C$1,),)=0,#N/A,VLOOKUP(Table7[[#This Row],[Date]],Database!$A:$C,MATCH($C$1,Database!$A$1:$C$1,),))</f>
        <v/>
      </c>
      <c r="D13478">
        <f>IFERROR(Table7[[#This Row],[United States 10y]]-Table7[[#This Row],[United States 3y]],#N/A)</f>
        <v/>
      </c>
    </row>
    <row r="13479">
      <c r="A13479" s="6">
        <f>Database!$A15564</f>
        <v/>
      </c>
      <c r="B13479">
        <f>IF(VLOOKUP(Table7[[#This Row],[Date]],Database!$A:$C,MATCH($B$1,Database!$A$1:$C$1,),)=0,#N/A,VLOOKUP(Table7[[#This Row],[Date]],Database!$A:$C,MATCH($B$1,Database!$A$1:$C$1,),))</f>
        <v/>
      </c>
      <c r="C13479">
        <f>IF(VLOOKUP(Table7[[#This Row],[Date]],Database!$A:$C,MATCH($C$1,Database!$A$1:$C$1,),)=0,#N/A,VLOOKUP(Table7[[#This Row],[Date]],Database!$A:$C,MATCH($C$1,Database!$A$1:$C$1,),))</f>
        <v/>
      </c>
      <c r="D13479">
        <f>IFERROR(Table7[[#This Row],[United States 10y]]-Table7[[#This Row],[United States 3y]],#N/A)</f>
        <v/>
      </c>
    </row>
    <row r="13480">
      <c r="A13480" s="6">
        <f>Database!$A15565</f>
        <v/>
      </c>
      <c r="B13480">
        <f>IF(VLOOKUP(Table7[[#This Row],[Date]],Database!$A:$C,MATCH($B$1,Database!$A$1:$C$1,),)=0,#N/A,VLOOKUP(Table7[[#This Row],[Date]],Database!$A:$C,MATCH($B$1,Database!$A$1:$C$1,),))</f>
        <v/>
      </c>
      <c r="C13480">
        <f>IF(VLOOKUP(Table7[[#This Row],[Date]],Database!$A:$C,MATCH($C$1,Database!$A$1:$C$1,),)=0,#N/A,VLOOKUP(Table7[[#This Row],[Date]],Database!$A:$C,MATCH($C$1,Database!$A$1:$C$1,),))</f>
        <v/>
      </c>
      <c r="D13480">
        <f>IFERROR(Table7[[#This Row],[United States 10y]]-Table7[[#This Row],[United States 3y]],#N/A)</f>
        <v/>
      </c>
    </row>
    <row r="13481">
      <c r="A13481" s="6">
        <f>Database!$A15566</f>
        <v/>
      </c>
      <c r="B13481">
        <f>IF(VLOOKUP(Table7[[#This Row],[Date]],Database!$A:$C,MATCH($B$1,Database!$A$1:$C$1,),)=0,#N/A,VLOOKUP(Table7[[#This Row],[Date]],Database!$A:$C,MATCH($B$1,Database!$A$1:$C$1,),))</f>
        <v/>
      </c>
      <c r="C13481">
        <f>IF(VLOOKUP(Table7[[#This Row],[Date]],Database!$A:$C,MATCH($C$1,Database!$A$1:$C$1,),)=0,#N/A,VLOOKUP(Table7[[#This Row],[Date]],Database!$A:$C,MATCH($C$1,Database!$A$1:$C$1,),))</f>
        <v/>
      </c>
      <c r="D13481">
        <f>IFERROR(Table7[[#This Row],[United States 10y]]-Table7[[#This Row],[United States 3y]],#N/A)</f>
        <v/>
      </c>
    </row>
    <row r="13482">
      <c r="A13482" s="6">
        <f>Database!$A15567</f>
        <v/>
      </c>
      <c r="B13482">
        <f>IF(VLOOKUP(Table7[[#This Row],[Date]],Database!$A:$C,MATCH($B$1,Database!$A$1:$C$1,),)=0,#N/A,VLOOKUP(Table7[[#This Row],[Date]],Database!$A:$C,MATCH($B$1,Database!$A$1:$C$1,),))</f>
        <v/>
      </c>
      <c r="C13482">
        <f>IF(VLOOKUP(Table7[[#This Row],[Date]],Database!$A:$C,MATCH($C$1,Database!$A$1:$C$1,),)=0,#N/A,VLOOKUP(Table7[[#This Row],[Date]],Database!$A:$C,MATCH($C$1,Database!$A$1:$C$1,),))</f>
        <v/>
      </c>
      <c r="D13482">
        <f>IFERROR(Table7[[#This Row],[United States 10y]]-Table7[[#This Row],[United States 3y]],#N/A)</f>
        <v/>
      </c>
    </row>
    <row r="13483">
      <c r="A13483" s="6">
        <f>Database!$A15568</f>
        <v/>
      </c>
      <c r="B13483">
        <f>IF(VLOOKUP(Table7[[#This Row],[Date]],Database!$A:$C,MATCH($B$1,Database!$A$1:$C$1,),)=0,#N/A,VLOOKUP(Table7[[#This Row],[Date]],Database!$A:$C,MATCH($B$1,Database!$A$1:$C$1,),))</f>
        <v/>
      </c>
      <c r="C13483">
        <f>IF(VLOOKUP(Table7[[#This Row],[Date]],Database!$A:$C,MATCH($C$1,Database!$A$1:$C$1,),)=0,#N/A,VLOOKUP(Table7[[#This Row],[Date]],Database!$A:$C,MATCH($C$1,Database!$A$1:$C$1,),))</f>
        <v/>
      </c>
      <c r="D13483">
        <f>IFERROR(Table7[[#This Row],[United States 10y]]-Table7[[#This Row],[United States 3y]],#N/A)</f>
        <v/>
      </c>
    </row>
    <row r="13484">
      <c r="A13484" s="6">
        <f>Database!$A15569</f>
        <v/>
      </c>
      <c r="B13484">
        <f>IF(VLOOKUP(Table7[[#This Row],[Date]],Database!$A:$C,MATCH($B$1,Database!$A$1:$C$1,),)=0,#N/A,VLOOKUP(Table7[[#This Row],[Date]],Database!$A:$C,MATCH($B$1,Database!$A$1:$C$1,),))</f>
        <v/>
      </c>
      <c r="C13484">
        <f>IF(VLOOKUP(Table7[[#This Row],[Date]],Database!$A:$C,MATCH($C$1,Database!$A$1:$C$1,),)=0,#N/A,VLOOKUP(Table7[[#This Row],[Date]],Database!$A:$C,MATCH($C$1,Database!$A$1:$C$1,),))</f>
        <v/>
      </c>
      <c r="D13484">
        <f>IFERROR(Table7[[#This Row],[United States 10y]]-Table7[[#This Row],[United States 3y]],#N/A)</f>
        <v/>
      </c>
    </row>
    <row r="13485">
      <c r="A13485" s="6">
        <f>Database!$A15570</f>
        <v/>
      </c>
      <c r="B13485">
        <f>IF(VLOOKUP(Table7[[#This Row],[Date]],Database!$A:$C,MATCH($B$1,Database!$A$1:$C$1,),)=0,#N/A,VLOOKUP(Table7[[#This Row],[Date]],Database!$A:$C,MATCH($B$1,Database!$A$1:$C$1,),))</f>
        <v/>
      </c>
      <c r="C13485">
        <f>IF(VLOOKUP(Table7[[#This Row],[Date]],Database!$A:$C,MATCH($C$1,Database!$A$1:$C$1,),)=0,#N/A,VLOOKUP(Table7[[#This Row],[Date]],Database!$A:$C,MATCH($C$1,Database!$A$1:$C$1,),))</f>
        <v/>
      </c>
      <c r="D13485">
        <f>IFERROR(Table7[[#This Row],[United States 10y]]-Table7[[#This Row],[United States 3y]],#N/A)</f>
        <v/>
      </c>
    </row>
    <row r="13486">
      <c r="A13486" s="6">
        <f>Database!$A15571</f>
        <v/>
      </c>
      <c r="B13486">
        <f>IF(VLOOKUP(Table7[[#This Row],[Date]],Database!$A:$C,MATCH($B$1,Database!$A$1:$C$1,),)=0,#N/A,VLOOKUP(Table7[[#This Row],[Date]],Database!$A:$C,MATCH($B$1,Database!$A$1:$C$1,),))</f>
        <v/>
      </c>
      <c r="C13486">
        <f>IF(VLOOKUP(Table7[[#This Row],[Date]],Database!$A:$C,MATCH($C$1,Database!$A$1:$C$1,),)=0,#N/A,VLOOKUP(Table7[[#This Row],[Date]],Database!$A:$C,MATCH($C$1,Database!$A$1:$C$1,),))</f>
        <v/>
      </c>
      <c r="D13486">
        <f>IFERROR(Table7[[#This Row],[United States 10y]]-Table7[[#This Row],[United States 3y]],#N/A)</f>
        <v/>
      </c>
    </row>
    <row r="13487">
      <c r="A13487" s="6">
        <f>Database!$A15572</f>
        <v/>
      </c>
      <c r="B13487">
        <f>IF(VLOOKUP(Table7[[#This Row],[Date]],Database!$A:$C,MATCH($B$1,Database!$A$1:$C$1,),)=0,#N/A,VLOOKUP(Table7[[#This Row],[Date]],Database!$A:$C,MATCH($B$1,Database!$A$1:$C$1,),))</f>
        <v/>
      </c>
      <c r="C13487">
        <f>IF(VLOOKUP(Table7[[#This Row],[Date]],Database!$A:$C,MATCH($C$1,Database!$A$1:$C$1,),)=0,#N/A,VLOOKUP(Table7[[#This Row],[Date]],Database!$A:$C,MATCH($C$1,Database!$A$1:$C$1,),))</f>
        <v/>
      </c>
      <c r="D13487">
        <f>IFERROR(Table7[[#This Row],[United States 10y]]-Table7[[#This Row],[United States 3y]],#N/A)</f>
        <v/>
      </c>
    </row>
    <row r="13488">
      <c r="A13488" s="6">
        <f>Database!$A15573</f>
        <v/>
      </c>
      <c r="B13488">
        <f>IF(VLOOKUP(Table7[[#This Row],[Date]],Database!$A:$C,MATCH($B$1,Database!$A$1:$C$1,),)=0,#N/A,VLOOKUP(Table7[[#This Row],[Date]],Database!$A:$C,MATCH($B$1,Database!$A$1:$C$1,),))</f>
        <v/>
      </c>
      <c r="C13488">
        <f>IF(VLOOKUP(Table7[[#This Row],[Date]],Database!$A:$C,MATCH($C$1,Database!$A$1:$C$1,),)=0,#N/A,VLOOKUP(Table7[[#This Row],[Date]],Database!$A:$C,MATCH($C$1,Database!$A$1:$C$1,),))</f>
        <v/>
      </c>
      <c r="D13488">
        <f>IFERROR(Table7[[#This Row],[United States 10y]]-Table7[[#This Row],[United States 3y]],#N/A)</f>
        <v/>
      </c>
    </row>
    <row r="13489">
      <c r="A13489" s="6">
        <f>Database!$A15574</f>
        <v/>
      </c>
      <c r="B13489">
        <f>IF(VLOOKUP(Table7[[#This Row],[Date]],Database!$A:$C,MATCH($B$1,Database!$A$1:$C$1,),)=0,#N/A,VLOOKUP(Table7[[#This Row],[Date]],Database!$A:$C,MATCH($B$1,Database!$A$1:$C$1,),))</f>
        <v/>
      </c>
      <c r="C13489">
        <f>IF(VLOOKUP(Table7[[#This Row],[Date]],Database!$A:$C,MATCH($C$1,Database!$A$1:$C$1,),)=0,#N/A,VLOOKUP(Table7[[#This Row],[Date]],Database!$A:$C,MATCH($C$1,Database!$A$1:$C$1,),))</f>
        <v/>
      </c>
      <c r="D13489">
        <f>IFERROR(Table7[[#This Row],[United States 10y]]-Table7[[#This Row],[United States 3y]],#N/A)</f>
        <v/>
      </c>
    </row>
    <row r="13490">
      <c r="A13490" s="6">
        <f>Database!$A15575</f>
        <v/>
      </c>
      <c r="B13490">
        <f>IF(VLOOKUP(Table7[[#This Row],[Date]],Database!$A:$C,MATCH($B$1,Database!$A$1:$C$1,),)=0,#N/A,VLOOKUP(Table7[[#This Row],[Date]],Database!$A:$C,MATCH($B$1,Database!$A$1:$C$1,),))</f>
        <v/>
      </c>
      <c r="C13490">
        <f>IF(VLOOKUP(Table7[[#This Row],[Date]],Database!$A:$C,MATCH($C$1,Database!$A$1:$C$1,),)=0,#N/A,VLOOKUP(Table7[[#This Row],[Date]],Database!$A:$C,MATCH($C$1,Database!$A$1:$C$1,),))</f>
        <v/>
      </c>
      <c r="D13490">
        <f>IFERROR(Table7[[#This Row],[United States 10y]]-Table7[[#This Row],[United States 3y]],#N/A)</f>
        <v/>
      </c>
    </row>
    <row r="13491">
      <c r="A13491" s="6">
        <f>Database!$A15576</f>
        <v/>
      </c>
      <c r="B13491">
        <f>IF(VLOOKUP(Table7[[#This Row],[Date]],Database!$A:$C,MATCH($B$1,Database!$A$1:$C$1,),)=0,#N/A,VLOOKUP(Table7[[#This Row],[Date]],Database!$A:$C,MATCH($B$1,Database!$A$1:$C$1,),))</f>
        <v/>
      </c>
      <c r="C13491">
        <f>IF(VLOOKUP(Table7[[#This Row],[Date]],Database!$A:$C,MATCH($C$1,Database!$A$1:$C$1,),)=0,#N/A,VLOOKUP(Table7[[#This Row],[Date]],Database!$A:$C,MATCH($C$1,Database!$A$1:$C$1,),))</f>
        <v/>
      </c>
      <c r="D13491">
        <f>IFERROR(Table7[[#This Row],[United States 10y]]-Table7[[#This Row],[United States 3y]],#N/A)</f>
        <v/>
      </c>
    </row>
    <row r="13492">
      <c r="A13492" s="6">
        <f>Database!$A15577</f>
        <v/>
      </c>
      <c r="B13492">
        <f>IF(VLOOKUP(Table7[[#This Row],[Date]],Database!$A:$C,MATCH($B$1,Database!$A$1:$C$1,),)=0,#N/A,VLOOKUP(Table7[[#This Row],[Date]],Database!$A:$C,MATCH($B$1,Database!$A$1:$C$1,),))</f>
        <v/>
      </c>
      <c r="C13492">
        <f>IF(VLOOKUP(Table7[[#This Row],[Date]],Database!$A:$C,MATCH($C$1,Database!$A$1:$C$1,),)=0,#N/A,VLOOKUP(Table7[[#This Row],[Date]],Database!$A:$C,MATCH($C$1,Database!$A$1:$C$1,),))</f>
        <v/>
      </c>
      <c r="D13492">
        <f>IFERROR(Table7[[#This Row],[United States 10y]]-Table7[[#This Row],[United States 3y]],#N/A)</f>
        <v/>
      </c>
    </row>
    <row r="13493">
      <c r="A13493" s="6">
        <f>Database!$A15578</f>
        <v/>
      </c>
      <c r="B13493">
        <f>IF(VLOOKUP(Table7[[#This Row],[Date]],Database!$A:$C,MATCH($B$1,Database!$A$1:$C$1,),)=0,#N/A,VLOOKUP(Table7[[#This Row],[Date]],Database!$A:$C,MATCH($B$1,Database!$A$1:$C$1,),))</f>
        <v/>
      </c>
      <c r="C13493">
        <f>IF(VLOOKUP(Table7[[#This Row],[Date]],Database!$A:$C,MATCH($C$1,Database!$A$1:$C$1,),)=0,#N/A,VLOOKUP(Table7[[#This Row],[Date]],Database!$A:$C,MATCH($C$1,Database!$A$1:$C$1,),))</f>
        <v/>
      </c>
      <c r="D13493">
        <f>IFERROR(Table7[[#This Row],[United States 10y]]-Table7[[#This Row],[United States 3y]],#N/A)</f>
        <v/>
      </c>
    </row>
    <row r="13494">
      <c r="A13494" s="6">
        <f>Database!$A15579</f>
        <v/>
      </c>
      <c r="B13494">
        <f>IF(VLOOKUP(Table7[[#This Row],[Date]],Database!$A:$C,MATCH($B$1,Database!$A$1:$C$1,),)=0,#N/A,VLOOKUP(Table7[[#This Row],[Date]],Database!$A:$C,MATCH($B$1,Database!$A$1:$C$1,),))</f>
        <v/>
      </c>
      <c r="C13494">
        <f>IF(VLOOKUP(Table7[[#This Row],[Date]],Database!$A:$C,MATCH($C$1,Database!$A$1:$C$1,),)=0,#N/A,VLOOKUP(Table7[[#This Row],[Date]],Database!$A:$C,MATCH($C$1,Database!$A$1:$C$1,),))</f>
        <v/>
      </c>
      <c r="D13494">
        <f>IFERROR(Table7[[#This Row],[United States 10y]]-Table7[[#This Row],[United States 3y]],#N/A)</f>
        <v/>
      </c>
    </row>
    <row r="13495">
      <c r="A13495" s="6">
        <f>Database!$A15580</f>
        <v/>
      </c>
      <c r="B13495">
        <f>IF(VLOOKUP(Table7[[#This Row],[Date]],Database!$A:$C,MATCH($B$1,Database!$A$1:$C$1,),)=0,#N/A,VLOOKUP(Table7[[#This Row],[Date]],Database!$A:$C,MATCH($B$1,Database!$A$1:$C$1,),))</f>
        <v/>
      </c>
      <c r="C13495">
        <f>IF(VLOOKUP(Table7[[#This Row],[Date]],Database!$A:$C,MATCH($C$1,Database!$A$1:$C$1,),)=0,#N/A,VLOOKUP(Table7[[#This Row],[Date]],Database!$A:$C,MATCH($C$1,Database!$A$1:$C$1,),))</f>
        <v/>
      </c>
      <c r="D13495">
        <f>IFERROR(Table7[[#This Row],[United States 10y]]-Table7[[#This Row],[United States 3y]],#N/A)</f>
        <v/>
      </c>
    </row>
    <row r="13496">
      <c r="A13496" s="6">
        <f>Database!$A15581</f>
        <v/>
      </c>
      <c r="B13496">
        <f>IF(VLOOKUP(Table7[[#This Row],[Date]],Database!$A:$C,MATCH($B$1,Database!$A$1:$C$1,),)=0,#N/A,VLOOKUP(Table7[[#This Row],[Date]],Database!$A:$C,MATCH($B$1,Database!$A$1:$C$1,),))</f>
        <v/>
      </c>
      <c r="C13496">
        <f>IF(VLOOKUP(Table7[[#This Row],[Date]],Database!$A:$C,MATCH($C$1,Database!$A$1:$C$1,),)=0,#N/A,VLOOKUP(Table7[[#This Row],[Date]],Database!$A:$C,MATCH($C$1,Database!$A$1:$C$1,),))</f>
        <v/>
      </c>
      <c r="D13496">
        <f>IFERROR(Table7[[#This Row],[United States 10y]]-Table7[[#This Row],[United States 3y]],#N/A)</f>
        <v/>
      </c>
    </row>
    <row r="13497">
      <c r="A13497" s="6">
        <f>Database!$A15582</f>
        <v/>
      </c>
      <c r="B13497">
        <f>IF(VLOOKUP(Table7[[#This Row],[Date]],Database!$A:$C,MATCH($B$1,Database!$A$1:$C$1,),)=0,#N/A,VLOOKUP(Table7[[#This Row],[Date]],Database!$A:$C,MATCH($B$1,Database!$A$1:$C$1,),))</f>
        <v/>
      </c>
      <c r="C13497">
        <f>IF(VLOOKUP(Table7[[#This Row],[Date]],Database!$A:$C,MATCH($C$1,Database!$A$1:$C$1,),)=0,#N/A,VLOOKUP(Table7[[#This Row],[Date]],Database!$A:$C,MATCH($C$1,Database!$A$1:$C$1,),))</f>
        <v/>
      </c>
      <c r="D13497">
        <f>IFERROR(Table7[[#This Row],[United States 10y]]-Table7[[#This Row],[United States 3y]],#N/A)</f>
        <v/>
      </c>
    </row>
    <row r="13498">
      <c r="A13498" s="6">
        <f>Database!$A15583</f>
        <v/>
      </c>
      <c r="B13498">
        <f>IF(VLOOKUP(Table7[[#This Row],[Date]],Database!$A:$C,MATCH($B$1,Database!$A$1:$C$1,),)=0,#N/A,VLOOKUP(Table7[[#This Row],[Date]],Database!$A:$C,MATCH($B$1,Database!$A$1:$C$1,),))</f>
        <v/>
      </c>
      <c r="C13498">
        <f>IF(VLOOKUP(Table7[[#This Row],[Date]],Database!$A:$C,MATCH($C$1,Database!$A$1:$C$1,),)=0,#N/A,VLOOKUP(Table7[[#This Row],[Date]],Database!$A:$C,MATCH($C$1,Database!$A$1:$C$1,),))</f>
        <v/>
      </c>
      <c r="D13498">
        <f>IFERROR(Table7[[#This Row],[United States 10y]]-Table7[[#This Row],[United States 3y]],#N/A)</f>
        <v/>
      </c>
    </row>
    <row r="13499">
      <c r="A13499" s="6">
        <f>Database!$A15584</f>
        <v/>
      </c>
      <c r="B13499">
        <f>IF(VLOOKUP(Table7[[#This Row],[Date]],Database!$A:$C,MATCH($B$1,Database!$A$1:$C$1,),)=0,#N/A,VLOOKUP(Table7[[#This Row],[Date]],Database!$A:$C,MATCH($B$1,Database!$A$1:$C$1,),))</f>
        <v/>
      </c>
      <c r="C13499">
        <f>IF(VLOOKUP(Table7[[#This Row],[Date]],Database!$A:$C,MATCH($C$1,Database!$A$1:$C$1,),)=0,#N/A,VLOOKUP(Table7[[#This Row],[Date]],Database!$A:$C,MATCH($C$1,Database!$A$1:$C$1,),))</f>
        <v/>
      </c>
      <c r="D13499">
        <f>IFERROR(Table7[[#This Row],[United States 10y]]-Table7[[#This Row],[United States 3y]],#N/A)</f>
        <v/>
      </c>
    </row>
    <row r="13500">
      <c r="A13500" s="6">
        <f>Database!$A15585</f>
        <v/>
      </c>
      <c r="B13500">
        <f>IF(VLOOKUP(Table7[[#This Row],[Date]],Database!$A:$C,MATCH($B$1,Database!$A$1:$C$1,),)=0,#N/A,VLOOKUP(Table7[[#This Row],[Date]],Database!$A:$C,MATCH($B$1,Database!$A$1:$C$1,),))</f>
        <v/>
      </c>
      <c r="C13500">
        <f>IF(VLOOKUP(Table7[[#This Row],[Date]],Database!$A:$C,MATCH($C$1,Database!$A$1:$C$1,),)=0,#N/A,VLOOKUP(Table7[[#This Row],[Date]],Database!$A:$C,MATCH($C$1,Database!$A$1:$C$1,),))</f>
        <v/>
      </c>
      <c r="D13500">
        <f>IFERROR(Table7[[#This Row],[United States 10y]]-Table7[[#This Row],[United States 3y]],#N/A)</f>
        <v/>
      </c>
    </row>
    <row r="13501">
      <c r="A13501" s="6">
        <f>Database!$A15586</f>
        <v/>
      </c>
      <c r="B13501">
        <f>IF(VLOOKUP(Table7[[#This Row],[Date]],Database!$A:$C,MATCH($B$1,Database!$A$1:$C$1,),)=0,#N/A,VLOOKUP(Table7[[#This Row],[Date]],Database!$A:$C,MATCH($B$1,Database!$A$1:$C$1,),))</f>
        <v/>
      </c>
      <c r="C13501">
        <f>IF(VLOOKUP(Table7[[#This Row],[Date]],Database!$A:$C,MATCH($C$1,Database!$A$1:$C$1,),)=0,#N/A,VLOOKUP(Table7[[#This Row],[Date]],Database!$A:$C,MATCH($C$1,Database!$A$1:$C$1,),))</f>
        <v/>
      </c>
      <c r="D13501">
        <f>IFERROR(Table7[[#This Row],[United States 10y]]-Table7[[#This Row],[United States 3y]],#N/A)</f>
        <v/>
      </c>
    </row>
    <row r="13502">
      <c r="A13502" s="6">
        <f>Database!$A15587</f>
        <v/>
      </c>
      <c r="B13502">
        <f>IF(VLOOKUP(Table7[[#This Row],[Date]],Database!$A:$C,MATCH($B$1,Database!$A$1:$C$1,),)=0,#N/A,VLOOKUP(Table7[[#This Row],[Date]],Database!$A:$C,MATCH($B$1,Database!$A$1:$C$1,),))</f>
        <v/>
      </c>
      <c r="C13502">
        <f>IF(VLOOKUP(Table7[[#This Row],[Date]],Database!$A:$C,MATCH($C$1,Database!$A$1:$C$1,),)=0,#N/A,VLOOKUP(Table7[[#This Row],[Date]],Database!$A:$C,MATCH($C$1,Database!$A$1:$C$1,),))</f>
        <v/>
      </c>
      <c r="D13502">
        <f>IFERROR(Table7[[#This Row],[United States 10y]]-Table7[[#This Row],[United States 3y]],#N/A)</f>
        <v/>
      </c>
    </row>
    <row r="13503">
      <c r="A13503" s="6">
        <f>Database!$A15588</f>
        <v/>
      </c>
      <c r="B13503">
        <f>IF(VLOOKUP(Table7[[#This Row],[Date]],Database!$A:$C,MATCH($B$1,Database!$A$1:$C$1,),)=0,#N/A,VLOOKUP(Table7[[#This Row],[Date]],Database!$A:$C,MATCH($B$1,Database!$A$1:$C$1,),))</f>
        <v/>
      </c>
      <c r="C13503">
        <f>IF(VLOOKUP(Table7[[#This Row],[Date]],Database!$A:$C,MATCH($C$1,Database!$A$1:$C$1,),)=0,#N/A,VLOOKUP(Table7[[#This Row],[Date]],Database!$A:$C,MATCH($C$1,Database!$A$1:$C$1,),))</f>
        <v/>
      </c>
      <c r="D13503">
        <f>IFERROR(Table7[[#This Row],[United States 10y]]-Table7[[#This Row],[United States 3y]],#N/A)</f>
        <v/>
      </c>
    </row>
    <row r="13504">
      <c r="A13504" s="6">
        <f>Database!$A15589</f>
        <v/>
      </c>
      <c r="B13504">
        <f>IF(VLOOKUP(Table7[[#This Row],[Date]],Database!$A:$C,MATCH($B$1,Database!$A$1:$C$1,),)=0,#N/A,VLOOKUP(Table7[[#This Row],[Date]],Database!$A:$C,MATCH($B$1,Database!$A$1:$C$1,),))</f>
        <v/>
      </c>
      <c r="C13504">
        <f>IF(VLOOKUP(Table7[[#This Row],[Date]],Database!$A:$C,MATCH($C$1,Database!$A$1:$C$1,),)=0,#N/A,VLOOKUP(Table7[[#This Row],[Date]],Database!$A:$C,MATCH($C$1,Database!$A$1:$C$1,),))</f>
        <v/>
      </c>
      <c r="D13504">
        <f>IFERROR(Table7[[#This Row],[United States 10y]]-Table7[[#This Row],[United States 3y]],#N/A)</f>
        <v/>
      </c>
    </row>
    <row r="13505">
      <c r="A13505" s="6">
        <f>Database!$A15590</f>
        <v/>
      </c>
      <c r="B13505">
        <f>IF(VLOOKUP(Table7[[#This Row],[Date]],Database!$A:$C,MATCH($B$1,Database!$A$1:$C$1,),)=0,#N/A,VLOOKUP(Table7[[#This Row],[Date]],Database!$A:$C,MATCH($B$1,Database!$A$1:$C$1,),))</f>
        <v/>
      </c>
      <c r="C13505">
        <f>IF(VLOOKUP(Table7[[#This Row],[Date]],Database!$A:$C,MATCH($C$1,Database!$A$1:$C$1,),)=0,#N/A,VLOOKUP(Table7[[#This Row],[Date]],Database!$A:$C,MATCH($C$1,Database!$A$1:$C$1,),))</f>
        <v/>
      </c>
      <c r="D13505">
        <f>IFERROR(Table7[[#This Row],[United States 10y]]-Table7[[#This Row],[United States 3y]],#N/A)</f>
        <v/>
      </c>
    </row>
    <row r="13506">
      <c r="A13506" s="6">
        <f>Database!$A15591</f>
        <v/>
      </c>
      <c r="B13506">
        <f>IF(VLOOKUP(Table7[[#This Row],[Date]],Database!$A:$C,MATCH($B$1,Database!$A$1:$C$1,),)=0,#N/A,VLOOKUP(Table7[[#This Row],[Date]],Database!$A:$C,MATCH($B$1,Database!$A$1:$C$1,),))</f>
        <v/>
      </c>
      <c r="C13506">
        <f>IF(VLOOKUP(Table7[[#This Row],[Date]],Database!$A:$C,MATCH($C$1,Database!$A$1:$C$1,),)=0,#N/A,VLOOKUP(Table7[[#This Row],[Date]],Database!$A:$C,MATCH($C$1,Database!$A$1:$C$1,),))</f>
        <v/>
      </c>
      <c r="D13506">
        <f>IFERROR(Table7[[#This Row],[United States 10y]]-Table7[[#This Row],[United States 3y]],#N/A)</f>
        <v/>
      </c>
    </row>
    <row r="13507">
      <c r="A13507" s="6">
        <f>Database!$A15592</f>
        <v/>
      </c>
      <c r="B13507">
        <f>IF(VLOOKUP(Table7[[#This Row],[Date]],Database!$A:$C,MATCH($B$1,Database!$A$1:$C$1,),)=0,#N/A,VLOOKUP(Table7[[#This Row],[Date]],Database!$A:$C,MATCH($B$1,Database!$A$1:$C$1,),))</f>
        <v/>
      </c>
      <c r="C13507">
        <f>IF(VLOOKUP(Table7[[#This Row],[Date]],Database!$A:$C,MATCH($C$1,Database!$A$1:$C$1,),)=0,#N/A,VLOOKUP(Table7[[#This Row],[Date]],Database!$A:$C,MATCH($C$1,Database!$A$1:$C$1,),))</f>
        <v/>
      </c>
      <c r="D13507">
        <f>IFERROR(Table7[[#This Row],[United States 10y]]-Table7[[#This Row],[United States 3y]],#N/A)</f>
        <v/>
      </c>
    </row>
    <row r="13508">
      <c r="A13508" s="6">
        <f>Database!$A15593</f>
        <v/>
      </c>
      <c r="B13508">
        <f>IF(VLOOKUP(Table7[[#This Row],[Date]],Database!$A:$C,MATCH($B$1,Database!$A$1:$C$1,),)=0,#N/A,VLOOKUP(Table7[[#This Row],[Date]],Database!$A:$C,MATCH($B$1,Database!$A$1:$C$1,),))</f>
        <v/>
      </c>
      <c r="C13508">
        <f>IF(VLOOKUP(Table7[[#This Row],[Date]],Database!$A:$C,MATCH($C$1,Database!$A$1:$C$1,),)=0,#N/A,VLOOKUP(Table7[[#This Row],[Date]],Database!$A:$C,MATCH($C$1,Database!$A$1:$C$1,),))</f>
        <v/>
      </c>
      <c r="D13508">
        <f>IFERROR(Table7[[#This Row],[United States 10y]]-Table7[[#This Row],[United States 3y]],#N/A)</f>
        <v/>
      </c>
    </row>
    <row r="13509">
      <c r="A13509" s="6">
        <f>Database!$A15594</f>
        <v/>
      </c>
      <c r="B13509">
        <f>IF(VLOOKUP(Table7[[#This Row],[Date]],Database!$A:$C,MATCH($B$1,Database!$A$1:$C$1,),)=0,#N/A,VLOOKUP(Table7[[#This Row],[Date]],Database!$A:$C,MATCH($B$1,Database!$A$1:$C$1,),))</f>
        <v/>
      </c>
      <c r="C13509">
        <f>IF(VLOOKUP(Table7[[#This Row],[Date]],Database!$A:$C,MATCH($C$1,Database!$A$1:$C$1,),)=0,#N/A,VLOOKUP(Table7[[#This Row],[Date]],Database!$A:$C,MATCH($C$1,Database!$A$1:$C$1,),))</f>
        <v/>
      </c>
      <c r="D13509">
        <f>IFERROR(Table7[[#This Row],[United States 10y]]-Table7[[#This Row],[United States 3y]],#N/A)</f>
        <v/>
      </c>
    </row>
    <row r="13510">
      <c r="A13510" s="6">
        <f>Database!$A15595</f>
        <v/>
      </c>
      <c r="B13510">
        <f>IF(VLOOKUP(Table7[[#This Row],[Date]],Database!$A:$C,MATCH($B$1,Database!$A$1:$C$1,),)=0,#N/A,VLOOKUP(Table7[[#This Row],[Date]],Database!$A:$C,MATCH($B$1,Database!$A$1:$C$1,),))</f>
        <v/>
      </c>
      <c r="C13510">
        <f>IF(VLOOKUP(Table7[[#This Row],[Date]],Database!$A:$C,MATCH($C$1,Database!$A$1:$C$1,),)=0,#N/A,VLOOKUP(Table7[[#This Row],[Date]],Database!$A:$C,MATCH($C$1,Database!$A$1:$C$1,),))</f>
        <v/>
      </c>
      <c r="D13510">
        <f>IFERROR(Table7[[#This Row],[United States 10y]]-Table7[[#This Row],[United States 3y]],#N/A)</f>
        <v/>
      </c>
    </row>
    <row r="13511">
      <c r="A13511" s="6">
        <f>Database!$A15596</f>
        <v/>
      </c>
      <c r="B13511">
        <f>IF(VLOOKUP(Table7[[#This Row],[Date]],Database!$A:$C,MATCH($B$1,Database!$A$1:$C$1,),)=0,#N/A,VLOOKUP(Table7[[#This Row],[Date]],Database!$A:$C,MATCH($B$1,Database!$A$1:$C$1,),))</f>
        <v/>
      </c>
      <c r="C13511">
        <f>IF(VLOOKUP(Table7[[#This Row],[Date]],Database!$A:$C,MATCH($C$1,Database!$A$1:$C$1,),)=0,#N/A,VLOOKUP(Table7[[#This Row],[Date]],Database!$A:$C,MATCH($C$1,Database!$A$1:$C$1,),))</f>
        <v/>
      </c>
      <c r="D13511">
        <f>IFERROR(Table7[[#This Row],[United States 10y]]-Table7[[#This Row],[United States 3y]],#N/A)</f>
        <v/>
      </c>
    </row>
    <row r="13512">
      <c r="A13512" s="6">
        <f>Database!$A15597</f>
        <v/>
      </c>
      <c r="B13512">
        <f>IF(VLOOKUP(Table7[[#This Row],[Date]],Database!$A:$C,MATCH($B$1,Database!$A$1:$C$1,),)=0,#N/A,VLOOKUP(Table7[[#This Row],[Date]],Database!$A:$C,MATCH($B$1,Database!$A$1:$C$1,),))</f>
        <v/>
      </c>
      <c r="C13512">
        <f>IF(VLOOKUP(Table7[[#This Row],[Date]],Database!$A:$C,MATCH($C$1,Database!$A$1:$C$1,),)=0,#N/A,VLOOKUP(Table7[[#This Row],[Date]],Database!$A:$C,MATCH($C$1,Database!$A$1:$C$1,),))</f>
        <v/>
      </c>
      <c r="D13512">
        <f>IFERROR(Table7[[#This Row],[United States 10y]]-Table7[[#This Row],[United States 3y]],#N/A)</f>
        <v/>
      </c>
    </row>
    <row r="13513">
      <c r="A13513" s="6">
        <f>Database!$A15598</f>
        <v/>
      </c>
      <c r="B13513">
        <f>IF(VLOOKUP(Table7[[#This Row],[Date]],Database!$A:$C,MATCH($B$1,Database!$A$1:$C$1,),)=0,#N/A,VLOOKUP(Table7[[#This Row],[Date]],Database!$A:$C,MATCH($B$1,Database!$A$1:$C$1,),))</f>
        <v/>
      </c>
      <c r="C13513">
        <f>IF(VLOOKUP(Table7[[#This Row],[Date]],Database!$A:$C,MATCH($C$1,Database!$A$1:$C$1,),)=0,#N/A,VLOOKUP(Table7[[#This Row],[Date]],Database!$A:$C,MATCH($C$1,Database!$A$1:$C$1,),))</f>
        <v/>
      </c>
      <c r="D13513">
        <f>IFERROR(Table7[[#This Row],[United States 10y]]-Table7[[#This Row],[United States 3y]],#N/A)</f>
        <v/>
      </c>
    </row>
    <row r="13514">
      <c r="A13514" s="6">
        <f>Database!$A15599</f>
        <v/>
      </c>
      <c r="B13514">
        <f>IF(VLOOKUP(Table7[[#This Row],[Date]],Database!$A:$C,MATCH($B$1,Database!$A$1:$C$1,),)=0,#N/A,VLOOKUP(Table7[[#This Row],[Date]],Database!$A:$C,MATCH($B$1,Database!$A$1:$C$1,),))</f>
        <v/>
      </c>
      <c r="C13514">
        <f>IF(VLOOKUP(Table7[[#This Row],[Date]],Database!$A:$C,MATCH($C$1,Database!$A$1:$C$1,),)=0,#N/A,VLOOKUP(Table7[[#This Row],[Date]],Database!$A:$C,MATCH($C$1,Database!$A$1:$C$1,),))</f>
        <v/>
      </c>
      <c r="D13514">
        <f>IFERROR(Table7[[#This Row],[United States 10y]]-Table7[[#This Row],[United States 3y]],#N/A)</f>
        <v/>
      </c>
    </row>
    <row r="13515">
      <c r="A13515" s="6">
        <f>Database!$A15600</f>
        <v/>
      </c>
      <c r="B13515">
        <f>IF(VLOOKUP(Table7[[#This Row],[Date]],Database!$A:$C,MATCH($B$1,Database!$A$1:$C$1,),)=0,#N/A,VLOOKUP(Table7[[#This Row],[Date]],Database!$A:$C,MATCH($B$1,Database!$A$1:$C$1,),))</f>
        <v/>
      </c>
      <c r="C13515">
        <f>IF(VLOOKUP(Table7[[#This Row],[Date]],Database!$A:$C,MATCH($C$1,Database!$A$1:$C$1,),)=0,#N/A,VLOOKUP(Table7[[#This Row],[Date]],Database!$A:$C,MATCH($C$1,Database!$A$1:$C$1,),))</f>
        <v/>
      </c>
      <c r="D13515">
        <f>IFERROR(Table7[[#This Row],[United States 10y]]-Table7[[#This Row],[United States 3y]],#N/A)</f>
        <v/>
      </c>
    </row>
    <row r="13516">
      <c r="A13516" s="6">
        <f>Database!$A15601</f>
        <v/>
      </c>
      <c r="B13516">
        <f>IF(VLOOKUP(Table7[[#This Row],[Date]],Database!$A:$C,MATCH($B$1,Database!$A$1:$C$1,),)=0,#N/A,VLOOKUP(Table7[[#This Row],[Date]],Database!$A:$C,MATCH($B$1,Database!$A$1:$C$1,),))</f>
        <v/>
      </c>
      <c r="C13516">
        <f>IF(VLOOKUP(Table7[[#This Row],[Date]],Database!$A:$C,MATCH($C$1,Database!$A$1:$C$1,),)=0,#N/A,VLOOKUP(Table7[[#This Row],[Date]],Database!$A:$C,MATCH($C$1,Database!$A$1:$C$1,),))</f>
        <v/>
      </c>
      <c r="D13516">
        <f>IFERROR(Table7[[#This Row],[United States 10y]]-Table7[[#This Row],[United States 3y]],#N/A)</f>
        <v/>
      </c>
    </row>
    <row r="13517">
      <c r="A13517" s="6">
        <f>Database!$A15602</f>
        <v/>
      </c>
      <c r="B13517">
        <f>IF(VLOOKUP(Table7[[#This Row],[Date]],Database!$A:$C,MATCH($B$1,Database!$A$1:$C$1,),)=0,#N/A,VLOOKUP(Table7[[#This Row],[Date]],Database!$A:$C,MATCH($B$1,Database!$A$1:$C$1,),))</f>
        <v/>
      </c>
      <c r="C13517">
        <f>IF(VLOOKUP(Table7[[#This Row],[Date]],Database!$A:$C,MATCH($C$1,Database!$A$1:$C$1,),)=0,#N/A,VLOOKUP(Table7[[#This Row],[Date]],Database!$A:$C,MATCH($C$1,Database!$A$1:$C$1,),))</f>
        <v/>
      </c>
      <c r="D13517">
        <f>IFERROR(Table7[[#This Row],[United States 10y]]-Table7[[#This Row],[United States 3y]],#N/A)</f>
        <v/>
      </c>
    </row>
    <row r="13518">
      <c r="A13518" s="6">
        <f>Database!$A15603</f>
        <v/>
      </c>
      <c r="B13518">
        <f>IF(VLOOKUP(Table7[[#This Row],[Date]],Database!$A:$C,MATCH($B$1,Database!$A$1:$C$1,),)=0,#N/A,VLOOKUP(Table7[[#This Row],[Date]],Database!$A:$C,MATCH($B$1,Database!$A$1:$C$1,),))</f>
        <v/>
      </c>
      <c r="C13518">
        <f>IF(VLOOKUP(Table7[[#This Row],[Date]],Database!$A:$C,MATCH($C$1,Database!$A$1:$C$1,),)=0,#N/A,VLOOKUP(Table7[[#This Row],[Date]],Database!$A:$C,MATCH($C$1,Database!$A$1:$C$1,),))</f>
        <v/>
      </c>
      <c r="D13518">
        <f>IFERROR(Table7[[#This Row],[United States 10y]]-Table7[[#This Row],[United States 3y]],#N/A)</f>
        <v/>
      </c>
    </row>
    <row r="13519">
      <c r="A13519" s="6">
        <f>Database!$A15604</f>
        <v/>
      </c>
      <c r="B13519">
        <f>IF(VLOOKUP(Table7[[#This Row],[Date]],Database!$A:$C,MATCH($B$1,Database!$A$1:$C$1,),)=0,#N/A,VLOOKUP(Table7[[#This Row],[Date]],Database!$A:$C,MATCH($B$1,Database!$A$1:$C$1,),))</f>
        <v/>
      </c>
      <c r="C13519">
        <f>IF(VLOOKUP(Table7[[#This Row],[Date]],Database!$A:$C,MATCH($C$1,Database!$A$1:$C$1,),)=0,#N/A,VLOOKUP(Table7[[#This Row],[Date]],Database!$A:$C,MATCH($C$1,Database!$A$1:$C$1,),))</f>
        <v/>
      </c>
      <c r="D13519">
        <f>IFERROR(Table7[[#This Row],[United States 10y]]-Table7[[#This Row],[United States 3y]],#N/A)</f>
        <v/>
      </c>
    </row>
    <row r="13520">
      <c r="A13520" s="6">
        <f>Database!$A15605</f>
        <v/>
      </c>
      <c r="B13520">
        <f>IF(VLOOKUP(Table7[[#This Row],[Date]],Database!$A:$C,MATCH($B$1,Database!$A$1:$C$1,),)=0,#N/A,VLOOKUP(Table7[[#This Row],[Date]],Database!$A:$C,MATCH($B$1,Database!$A$1:$C$1,),))</f>
        <v/>
      </c>
      <c r="C13520">
        <f>IF(VLOOKUP(Table7[[#This Row],[Date]],Database!$A:$C,MATCH($C$1,Database!$A$1:$C$1,),)=0,#N/A,VLOOKUP(Table7[[#This Row],[Date]],Database!$A:$C,MATCH($C$1,Database!$A$1:$C$1,),))</f>
        <v/>
      </c>
      <c r="D13520">
        <f>IFERROR(Table7[[#This Row],[United States 10y]]-Table7[[#This Row],[United States 3y]],#N/A)</f>
        <v/>
      </c>
    </row>
    <row r="13521">
      <c r="A13521" s="6">
        <f>Database!$A15606</f>
        <v/>
      </c>
      <c r="B13521">
        <f>IF(VLOOKUP(Table7[[#This Row],[Date]],Database!$A:$C,MATCH($B$1,Database!$A$1:$C$1,),)=0,#N/A,VLOOKUP(Table7[[#This Row],[Date]],Database!$A:$C,MATCH($B$1,Database!$A$1:$C$1,),))</f>
        <v/>
      </c>
      <c r="C13521">
        <f>IF(VLOOKUP(Table7[[#This Row],[Date]],Database!$A:$C,MATCH($C$1,Database!$A$1:$C$1,),)=0,#N/A,VLOOKUP(Table7[[#This Row],[Date]],Database!$A:$C,MATCH($C$1,Database!$A$1:$C$1,),))</f>
        <v/>
      </c>
      <c r="D13521">
        <f>IFERROR(Table7[[#This Row],[United States 10y]]-Table7[[#This Row],[United States 3y]],#N/A)</f>
        <v/>
      </c>
    </row>
    <row r="13522">
      <c r="A13522" s="6">
        <f>Database!$A15607</f>
        <v/>
      </c>
      <c r="B13522">
        <f>IF(VLOOKUP(Table7[[#This Row],[Date]],Database!$A:$C,MATCH($B$1,Database!$A$1:$C$1,),)=0,#N/A,VLOOKUP(Table7[[#This Row],[Date]],Database!$A:$C,MATCH($B$1,Database!$A$1:$C$1,),))</f>
        <v/>
      </c>
      <c r="C13522">
        <f>IF(VLOOKUP(Table7[[#This Row],[Date]],Database!$A:$C,MATCH($C$1,Database!$A$1:$C$1,),)=0,#N/A,VLOOKUP(Table7[[#This Row],[Date]],Database!$A:$C,MATCH($C$1,Database!$A$1:$C$1,),))</f>
        <v/>
      </c>
      <c r="D13522">
        <f>IFERROR(Table7[[#This Row],[United States 10y]]-Table7[[#This Row],[United States 3y]],#N/A)</f>
        <v/>
      </c>
    </row>
    <row r="13523">
      <c r="A13523" s="6">
        <f>Database!$A15608</f>
        <v/>
      </c>
      <c r="B13523">
        <f>IF(VLOOKUP(Table7[[#This Row],[Date]],Database!$A:$C,MATCH($B$1,Database!$A$1:$C$1,),)=0,#N/A,VLOOKUP(Table7[[#This Row],[Date]],Database!$A:$C,MATCH($B$1,Database!$A$1:$C$1,),))</f>
        <v/>
      </c>
      <c r="C13523">
        <f>IF(VLOOKUP(Table7[[#This Row],[Date]],Database!$A:$C,MATCH($C$1,Database!$A$1:$C$1,),)=0,#N/A,VLOOKUP(Table7[[#This Row],[Date]],Database!$A:$C,MATCH($C$1,Database!$A$1:$C$1,),))</f>
        <v/>
      </c>
      <c r="D13523">
        <f>IFERROR(Table7[[#This Row],[United States 10y]]-Table7[[#This Row],[United States 3y]],#N/A)</f>
        <v/>
      </c>
    </row>
    <row r="13524">
      <c r="A13524" s="6">
        <f>Database!$A15609</f>
        <v/>
      </c>
      <c r="B13524">
        <f>IF(VLOOKUP(Table7[[#This Row],[Date]],Database!$A:$C,MATCH($B$1,Database!$A$1:$C$1,),)=0,#N/A,VLOOKUP(Table7[[#This Row],[Date]],Database!$A:$C,MATCH($B$1,Database!$A$1:$C$1,),))</f>
        <v/>
      </c>
      <c r="C13524">
        <f>IF(VLOOKUP(Table7[[#This Row],[Date]],Database!$A:$C,MATCH($C$1,Database!$A$1:$C$1,),)=0,#N/A,VLOOKUP(Table7[[#This Row],[Date]],Database!$A:$C,MATCH($C$1,Database!$A$1:$C$1,),))</f>
        <v/>
      </c>
      <c r="D13524">
        <f>IFERROR(Table7[[#This Row],[United States 10y]]-Table7[[#This Row],[United States 3y]],#N/A)</f>
        <v/>
      </c>
    </row>
    <row r="13525">
      <c r="A13525" s="6">
        <f>Database!$A15610</f>
        <v/>
      </c>
      <c r="B13525">
        <f>IF(VLOOKUP(Table7[[#This Row],[Date]],Database!$A:$C,MATCH($B$1,Database!$A$1:$C$1,),)=0,#N/A,VLOOKUP(Table7[[#This Row],[Date]],Database!$A:$C,MATCH($B$1,Database!$A$1:$C$1,),))</f>
        <v/>
      </c>
      <c r="C13525">
        <f>IF(VLOOKUP(Table7[[#This Row],[Date]],Database!$A:$C,MATCH($C$1,Database!$A$1:$C$1,),)=0,#N/A,VLOOKUP(Table7[[#This Row],[Date]],Database!$A:$C,MATCH($C$1,Database!$A$1:$C$1,),))</f>
        <v/>
      </c>
      <c r="D13525">
        <f>IFERROR(Table7[[#This Row],[United States 10y]]-Table7[[#This Row],[United States 3y]],#N/A)</f>
        <v/>
      </c>
    </row>
    <row r="13526">
      <c r="A13526" s="6">
        <f>Database!$A15611</f>
        <v/>
      </c>
      <c r="B13526">
        <f>IF(VLOOKUP(Table7[[#This Row],[Date]],Database!$A:$C,MATCH($B$1,Database!$A$1:$C$1,),)=0,#N/A,VLOOKUP(Table7[[#This Row],[Date]],Database!$A:$C,MATCH($B$1,Database!$A$1:$C$1,),))</f>
        <v/>
      </c>
      <c r="C13526">
        <f>IF(VLOOKUP(Table7[[#This Row],[Date]],Database!$A:$C,MATCH($C$1,Database!$A$1:$C$1,),)=0,#N/A,VLOOKUP(Table7[[#This Row],[Date]],Database!$A:$C,MATCH($C$1,Database!$A$1:$C$1,),))</f>
        <v/>
      </c>
      <c r="D13526">
        <f>IFERROR(Table7[[#This Row],[United States 10y]]-Table7[[#This Row],[United States 3y]],#N/A)</f>
        <v/>
      </c>
    </row>
    <row r="13527">
      <c r="A13527" s="6">
        <f>Database!$A15612</f>
        <v/>
      </c>
      <c r="B13527">
        <f>IF(VLOOKUP(Table7[[#This Row],[Date]],Database!$A:$C,MATCH($B$1,Database!$A$1:$C$1,),)=0,#N/A,VLOOKUP(Table7[[#This Row],[Date]],Database!$A:$C,MATCH($B$1,Database!$A$1:$C$1,),))</f>
        <v/>
      </c>
      <c r="C13527">
        <f>IF(VLOOKUP(Table7[[#This Row],[Date]],Database!$A:$C,MATCH($C$1,Database!$A$1:$C$1,),)=0,#N/A,VLOOKUP(Table7[[#This Row],[Date]],Database!$A:$C,MATCH($C$1,Database!$A$1:$C$1,),))</f>
        <v/>
      </c>
      <c r="D13527">
        <f>IFERROR(Table7[[#This Row],[United States 10y]]-Table7[[#This Row],[United States 3y]],#N/A)</f>
        <v/>
      </c>
    </row>
    <row r="13528">
      <c r="A13528" s="6">
        <f>Database!$A15613</f>
        <v/>
      </c>
      <c r="B13528">
        <f>IF(VLOOKUP(Table7[[#This Row],[Date]],Database!$A:$C,MATCH($B$1,Database!$A$1:$C$1,),)=0,#N/A,VLOOKUP(Table7[[#This Row],[Date]],Database!$A:$C,MATCH($B$1,Database!$A$1:$C$1,),))</f>
        <v/>
      </c>
      <c r="C13528">
        <f>IF(VLOOKUP(Table7[[#This Row],[Date]],Database!$A:$C,MATCH($C$1,Database!$A$1:$C$1,),)=0,#N/A,VLOOKUP(Table7[[#This Row],[Date]],Database!$A:$C,MATCH($C$1,Database!$A$1:$C$1,),))</f>
        <v/>
      </c>
      <c r="D13528">
        <f>IFERROR(Table7[[#This Row],[United States 10y]]-Table7[[#This Row],[United States 3y]],#N/A)</f>
        <v/>
      </c>
    </row>
    <row r="13529">
      <c r="A13529" s="6">
        <f>Database!$A15614</f>
        <v/>
      </c>
      <c r="B13529">
        <f>IF(VLOOKUP(Table7[[#This Row],[Date]],Database!$A:$C,MATCH($B$1,Database!$A$1:$C$1,),)=0,#N/A,VLOOKUP(Table7[[#This Row],[Date]],Database!$A:$C,MATCH($B$1,Database!$A$1:$C$1,),))</f>
        <v/>
      </c>
      <c r="C13529">
        <f>IF(VLOOKUP(Table7[[#This Row],[Date]],Database!$A:$C,MATCH($C$1,Database!$A$1:$C$1,),)=0,#N/A,VLOOKUP(Table7[[#This Row],[Date]],Database!$A:$C,MATCH($C$1,Database!$A$1:$C$1,),))</f>
        <v/>
      </c>
      <c r="D13529">
        <f>IFERROR(Table7[[#This Row],[United States 10y]]-Table7[[#This Row],[United States 3y]],#N/A)</f>
        <v/>
      </c>
    </row>
    <row r="13530">
      <c r="A13530" s="6">
        <f>Database!$A15615</f>
        <v/>
      </c>
      <c r="B13530">
        <f>IF(VLOOKUP(Table7[[#This Row],[Date]],Database!$A:$C,MATCH($B$1,Database!$A$1:$C$1,),)=0,#N/A,VLOOKUP(Table7[[#This Row],[Date]],Database!$A:$C,MATCH($B$1,Database!$A$1:$C$1,),))</f>
        <v/>
      </c>
      <c r="C13530">
        <f>IF(VLOOKUP(Table7[[#This Row],[Date]],Database!$A:$C,MATCH($C$1,Database!$A$1:$C$1,),)=0,#N/A,VLOOKUP(Table7[[#This Row],[Date]],Database!$A:$C,MATCH($C$1,Database!$A$1:$C$1,),))</f>
        <v/>
      </c>
      <c r="D13530">
        <f>IFERROR(Table7[[#This Row],[United States 10y]]-Table7[[#This Row],[United States 3y]],#N/A)</f>
        <v/>
      </c>
    </row>
    <row r="13531">
      <c r="A13531" s="6">
        <f>Database!$A15616</f>
        <v/>
      </c>
      <c r="B13531">
        <f>IF(VLOOKUP(Table7[[#This Row],[Date]],Database!$A:$C,MATCH($B$1,Database!$A$1:$C$1,),)=0,#N/A,VLOOKUP(Table7[[#This Row],[Date]],Database!$A:$C,MATCH($B$1,Database!$A$1:$C$1,),))</f>
        <v/>
      </c>
      <c r="C13531">
        <f>IF(VLOOKUP(Table7[[#This Row],[Date]],Database!$A:$C,MATCH($C$1,Database!$A$1:$C$1,),)=0,#N/A,VLOOKUP(Table7[[#This Row],[Date]],Database!$A:$C,MATCH($C$1,Database!$A$1:$C$1,),))</f>
        <v/>
      </c>
      <c r="D13531">
        <f>IFERROR(Table7[[#This Row],[United States 10y]]-Table7[[#This Row],[United States 3y]],#N/A)</f>
        <v/>
      </c>
    </row>
    <row r="13532">
      <c r="A13532" s="6">
        <f>Database!$A15617</f>
        <v/>
      </c>
      <c r="B13532">
        <f>IF(VLOOKUP(Table7[[#This Row],[Date]],Database!$A:$C,MATCH($B$1,Database!$A$1:$C$1,),)=0,#N/A,VLOOKUP(Table7[[#This Row],[Date]],Database!$A:$C,MATCH($B$1,Database!$A$1:$C$1,),))</f>
        <v/>
      </c>
      <c r="C13532">
        <f>IF(VLOOKUP(Table7[[#This Row],[Date]],Database!$A:$C,MATCH($C$1,Database!$A$1:$C$1,),)=0,#N/A,VLOOKUP(Table7[[#This Row],[Date]],Database!$A:$C,MATCH($C$1,Database!$A$1:$C$1,),))</f>
        <v/>
      </c>
      <c r="D13532">
        <f>IFERROR(Table7[[#This Row],[United States 10y]]-Table7[[#This Row],[United States 3y]],#N/A)</f>
        <v/>
      </c>
    </row>
    <row r="13533">
      <c r="A13533" s="6">
        <f>Database!$A15618</f>
        <v/>
      </c>
      <c r="B13533">
        <f>IF(VLOOKUP(Table7[[#This Row],[Date]],Database!$A:$C,MATCH($B$1,Database!$A$1:$C$1,),)=0,#N/A,VLOOKUP(Table7[[#This Row],[Date]],Database!$A:$C,MATCH($B$1,Database!$A$1:$C$1,),))</f>
        <v/>
      </c>
      <c r="C13533">
        <f>IF(VLOOKUP(Table7[[#This Row],[Date]],Database!$A:$C,MATCH($C$1,Database!$A$1:$C$1,),)=0,#N/A,VLOOKUP(Table7[[#This Row],[Date]],Database!$A:$C,MATCH($C$1,Database!$A$1:$C$1,),))</f>
        <v/>
      </c>
      <c r="D13533">
        <f>IFERROR(Table7[[#This Row],[United States 10y]]-Table7[[#This Row],[United States 3y]],#N/A)</f>
        <v/>
      </c>
    </row>
    <row r="13534">
      <c r="A13534" s="6">
        <f>Database!$A15619</f>
        <v/>
      </c>
      <c r="B13534">
        <f>IF(VLOOKUP(Table7[[#This Row],[Date]],Database!$A:$C,MATCH($B$1,Database!$A$1:$C$1,),)=0,#N/A,VLOOKUP(Table7[[#This Row],[Date]],Database!$A:$C,MATCH($B$1,Database!$A$1:$C$1,),))</f>
        <v/>
      </c>
      <c r="C13534">
        <f>IF(VLOOKUP(Table7[[#This Row],[Date]],Database!$A:$C,MATCH($C$1,Database!$A$1:$C$1,),)=0,#N/A,VLOOKUP(Table7[[#This Row],[Date]],Database!$A:$C,MATCH($C$1,Database!$A$1:$C$1,),))</f>
        <v/>
      </c>
      <c r="D13534">
        <f>IFERROR(Table7[[#This Row],[United States 10y]]-Table7[[#This Row],[United States 3y]],#N/A)</f>
        <v/>
      </c>
    </row>
    <row r="13535">
      <c r="A13535" s="6">
        <f>Database!$A15620</f>
        <v/>
      </c>
      <c r="B13535">
        <f>IF(VLOOKUP(Table7[[#This Row],[Date]],Database!$A:$C,MATCH($B$1,Database!$A$1:$C$1,),)=0,#N/A,VLOOKUP(Table7[[#This Row],[Date]],Database!$A:$C,MATCH($B$1,Database!$A$1:$C$1,),))</f>
        <v/>
      </c>
      <c r="C13535">
        <f>IF(VLOOKUP(Table7[[#This Row],[Date]],Database!$A:$C,MATCH($C$1,Database!$A$1:$C$1,),)=0,#N/A,VLOOKUP(Table7[[#This Row],[Date]],Database!$A:$C,MATCH($C$1,Database!$A$1:$C$1,),))</f>
        <v/>
      </c>
      <c r="D13535">
        <f>IFERROR(Table7[[#This Row],[United States 10y]]-Table7[[#This Row],[United States 3y]],#N/A)</f>
        <v/>
      </c>
    </row>
    <row r="13536">
      <c r="A13536" s="6">
        <f>Database!$A15621</f>
        <v/>
      </c>
      <c r="B13536">
        <f>IF(VLOOKUP(Table7[[#This Row],[Date]],Database!$A:$C,MATCH($B$1,Database!$A$1:$C$1,),)=0,#N/A,VLOOKUP(Table7[[#This Row],[Date]],Database!$A:$C,MATCH($B$1,Database!$A$1:$C$1,),))</f>
        <v/>
      </c>
      <c r="C13536">
        <f>IF(VLOOKUP(Table7[[#This Row],[Date]],Database!$A:$C,MATCH($C$1,Database!$A$1:$C$1,),)=0,#N/A,VLOOKUP(Table7[[#This Row],[Date]],Database!$A:$C,MATCH($C$1,Database!$A$1:$C$1,),))</f>
        <v/>
      </c>
      <c r="D13536">
        <f>IFERROR(Table7[[#This Row],[United States 10y]]-Table7[[#This Row],[United States 3y]],#N/A)</f>
        <v/>
      </c>
    </row>
    <row r="13537">
      <c r="A13537" s="6">
        <f>Database!$A15622</f>
        <v/>
      </c>
      <c r="B13537">
        <f>IF(VLOOKUP(Table7[[#This Row],[Date]],Database!$A:$C,MATCH($B$1,Database!$A$1:$C$1,),)=0,#N/A,VLOOKUP(Table7[[#This Row],[Date]],Database!$A:$C,MATCH($B$1,Database!$A$1:$C$1,),))</f>
        <v/>
      </c>
      <c r="C13537">
        <f>IF(VLOOKUP(Table7[[#This Row],[Date]],Database!$A:$C,MATCH($C$1,Database!$A$1:$C$1,),)=0,#N/A,VLOOKUP(Table7[[#This Row],[Date]],Database!$A:$C,MATCH($C$1,Database!$A$1:$C$1,),))</f>
        <v/>
      </c>
      <c r="D13537">
        <f>IFERROR(Table7[[#This Row],[United States 10y]]-Table7[[#This Row],[United States 3y]],#N/A)</f>
        <v/>
      </c>
    </row>
    <row r="13538">
      <c r="A13538" s="6">
        <f>Database!$A15623</f>
        <v/>
      </c>
      <c r="B13538">
        <f>IF(VLOOKUP(Table7[[#This Row],[Date]],Database!$A:$C,MATCH($B$1,Database!$A$1:$C$1,),)=0,#N/A,VLOOKUP(Table7[[#This Row],[Date]],Database!$A:$C,MATCH($B$1,Database!$A$1:$C$1,),))</f>
        <v/>
      </c>
      <c r="C13538">
        <f>IF(VLOOKUP(Table7[[#This Row],[Date]],Database!$A:$C,MATCH($C$1,Database!$A$1:$C$1,),)=0,#N/A,VLOOKUP(Table7[[#This Row],[Date]],Database!$A:$C,MATCH($C$1,Database!$A$1:$C$1,),))</f>
        <v/>
      </c>
      <c r="D13538">
        <f>IFERROR(Table7[[#This Row],[United States 10y]]-Table7[[#This Row],[United States 3y]],#N/A)</f>
        <v/>
      </c>
    </row>
    <row r="13539">
      <c r="A13539" s="6">
        <f>Database!$A15624</f>
        <v/>
      </c>
      <c r="B13539">
        <f>IF(VLOOKUP(Table7[[#This Row],[Date]],Database!$A:$C,MATCH($B$1,Database!$A$1:$C$1,),)=0,#N/A,VLOOKUP(Table7[[#This Row],[Date]],Database!$A:$C,MATCH($B$1,Database!$A$1:$C$1,),))</f>
        <v/>
      </c>
      <c r="C13539">
        <f>IF(VLOOKUP(Table7[[#This Row],[Date]],Database!$A:$C,MATCH($C$1,Database!$A$1:$C$1,),)=0,#N/A,VLOOKUP(Table7[[#This Row],[Date]],Database!$A:$C,MATCH($C$1,Database!$A$1:$C$1,),))</f>
        <v/>
      </c>
      <c r="D13539">
        <f>IFERROR(Table7[[#This Row],[United States 10y]]-Table7[[#This Row],[United States 3y]],#N/A)</f>
        <v/>
      </c>
    </row>
    <row r="13540">
      <c r="A13540" s="6">
        <f>Database!$A15625</f>
        <v/>
      </c>
      <c r="B13540">
        <f>IF(VLOOKUP(Table7[[#This Row],[Date]],Database!$A:$C,MATCH($B$1,Database!$A$1:$C$1,),)=0,#N/A,VLOOKUP(Table7[[#This Row],[Date]],Database!$A:$C,MATCH($B$1,Database!$A$1:$C$1,),))</f>
        <v/>
      </c>
      <c r="C13540">
        <f>IF(VLOOKUP(Table7[[#This Row],[Date]],Database!$A:$C,MATCH($C$1,Database!$A$1:$C$1,),)=0,#N/A,VLOOKUP(Table7[[#This Row],[Date]],Database!$A:$C,MATCH($C$1,Database!$A$1:$C$1,),))</f>
        <v/>
      </c>
      <c r="D13540">
        <f>IFERROR(Table7[[#This Row],[United States 10y]]-Table7[[#This Row],[United States 3y]],#N/A)</f>
        <v/>
      </c>
    </row>
    <row r="13541">
      <c r="A13541" s="6">
        <f>Database!$A15626</f>
        <v/>
      </c>
      <c r="B13541">
        <f>IF(VLOOKUP(Table7[[#This Row],[Date]],Database!$A:$C,MATCH($B$1,Database!$A$1:$C$1,),)=0,#N/A,VLOOKUP(Table7[[#This Row],[Date]],Database!$A:$C,MATCH($B$1,Database!$A$1:$C$1,),))</f>
        <v/>
      </c>
      <c r="C13541">
        <f>IF(VLOOKUP(Table7[[#This Row],[Date]],Database!$A:$C,MATCH($C$1,Database!$A$1:$C$1,),)=0,#N/A,VLOOKUP(Table7[[#This Row],[Date]],Database!$A:$C,MATCH($C$1,Database!$A$1:$C$1,),))</f>
        <v/>
      </c>
      <c r="D13541">
        <f>IFERROR(Table7[[#This Row],[United States 10y]]-Table7[[#This Row],[United States 3y]],#N/A)</f>
        <v/>
      </c>
    </row>
    <row r="13542">
      <c r="A13542" s="6">
        <f>Database!$A15627</f>
        <v/>
      </c>
      <c r="B13542">
        <f>IF(VLOOKUP(Table7[[#This Row],[Date]],Database!$A:$C,MATCH($B$1,Database!$A$1:$C$1,),)=0,#N/A,VLOOKUP(Table7[[#This Row],[Date]],Database!$A:$C,MATCH($B$1,Database!$A$1:$C$1,),))</f>
        <v/>
      </c>
      <c r="C13542">
        <f>IF(VLOOKUP(Table7[[#This Row],[Date]],Database!$A:$C,MATCH($C$1,Database!$A$1:$C$1,),)=0,#N/A,VLOOKUP(Table7[[#This Row],[Date]],Database!$A:$C,MATCH($C$1,Database!$A$1:$C$1,),))</f>
        <v/>
      </c>
      <c r="D13542">
        <f>IFERROR(Table7[[#This Row],[United States 10y]]-Table7[[#This Row],[United States 3y]],#N/A)</f>
        <v/>
      </c>
    </row>
    <row r="13543">
      <c r="A13543" s="6">
        <f>Database!$A15628</f>
        <v/>
      </c>
      <c r="B13543">
        <f>IF(VLOOKUP(Table7[[#This Row],[Date]],Database!$A:$C,MATCH($B$1,Database!$A$1:$C$1,),)=0,#N/A,VLOOKUP(Table7[[#This Row],[Date]],Database!$A:$C,MATCH($B$1,Database!$A$1:$C$1,),))</f>
        <v/>
      </c>
      <c r="C13543">
        <f>IF(VLOOKUP(Table7[[#This Row],[Date]],Database!$A:$C,MATCH($C$1,Database!$A$1:$C$1,),)=0,#N/A,VLOOKUP(Table7[[#This Row],[Date]],Database!$A:$C,MATCH($C$1,Database!$A$1:$C$1,),))</f>
        <v/>
      </c>
      <c r="D13543">
        <f>IFERROR(Table7[[#This Row],[United States 10y]]-Table7[[#This Row],[United States 3y]],#N/A)</f>
        <v/>
      </c>
    </row>
    <row r="13544">
      <c r="A13544" s="6">
        <f>Database!$A15629</f>
        <v/>
      </c>
      <c r="B13544">
        <f>IF(VLOOKUP(Table7[[#This Row],[Date]],Database!$A:$C,MATCH($B$1,Database!$A$1:$C$1,),)=0,#N/A,VLOOKUP(Table7[[#This Row],[Date]],Database!$A:$C,MATCH($B$1,Database!$A$1:$C$1,),))</f>
        <v/>
      </c>
      <c r="C13544">
        <f>IF(VLOOKUP(Table7[[#This Row],[Date]],Database!$A:$C,MATCH($C$1,Database!$A$1:$C$1,),)=0,#N/A,VLOOKUP(Table7[[#This Row],[Date]],Database!$A:$C,MATCH($C$1,Database!$A$1:$C$1,),))</f>
        <v/>
      </c>
      <c r="D13544">
        <f>IFERROR(Table7[[#This Row],[United States 10y]]-Table7[[#This Row],[United States 3y]],#N/A)</f>
        <v/>
      </c>
    </row>
    <row r="13545">
      <c r="A13545" s="6">
        <f>Database!$A15630</f>
        <v/>
      </c>
      <c r="B13545">
        <f>IF(VLOOKUP(Table7[[#This Row],[Date]],Database!$A:$C,MATCH($B$1,Database!$A$1:$C$1,),)=0,#N/A,VLOOKUP(Table7[[#This Row],[Date]],Database!$A:$C,MATCH($B$1,Database!$A$1:$C$1,),))</f>
        <v/>
      </c>
      <c r="C13545">
        <f>IF(VLOOKUP(Table7[[#This Row],[Date]],Database!$A:$C,MATCH($C$1,Database!$A$1:$C$1,),)=0,#N/A,VLOOKUP(Table7[[#This Row],[Date]],Database!$A:$C,MATCH($C$1,Database!$A$1:$C$1,),))</f>
        <v/>
      </c>
      <c r="D13545">
        <f>IFERROR(Table7[[#This Row],[United States 10y]]-Table7[[#This Row],[United States 3y]],#N/A)</f>
        <v/>
      </c>
    </row>
    <row r="13546">
      <c r="A13546" s="6">
        <f>Database!$A15631</f>
        <v/>
      </c>
      <c r="B13546">
        <f>IF(VLOOKUP(Table7[[#This Row],[Date]],Database!$A:$C,MATCH($B$1,Database!$A$1:$C$1,),)=0,#N/A,VLOOKUP(Table7[[#This Row],[Date]],Database!$A:$C,MATCH($B$1,Database!$A$1:$C$1,),))</f>
        <v/>
      </c>
      <c r="C13546">
        <f>IF(VLOOKUP(Table7[[#This Row],[Date]],Database!$A:$C,MATCH($C$1,Database!$A$1:$C$1,),)=0,#N/A,VLOOKUP(Table7[[#This Row],[Date]],Database!$A:$C,MATCH($C$1,Database!$A$1:$C$1,),))</f>
        <v/>
      </c>
      <c r="D13546">
        <f>IFERROR(Table7[[#This Row],[United States 10y]]-Table7[[#This Row],[United States 3y]],#N/A)</f>
        <v/>
      </c>
    </row>
    <row r="13547">
      <c r="A13547" s="6">
        <f>Database!$A15632</f>
        <v/>
      </c>
      <c r="B13547">
        <f>IF(VLOOKUP(Table7[[#This Row],[Date]],Database!$A:$C,MATCH($B$1,Database!$A$1:$C$1,),)=0,#N/A,VLOOKUP(Table7[[#This Row],[Date]],Database!$A:$C,MATCH($B$1,Database!$A$1:$C$1,),))</f>
        <v/>
      </c>
      <c r="C13547">
        <f>IF(VLOOKUP(Table7[[#This Row],[Date]],Database!$A:$C,MATCH($C$1,Database!$A$1:$C$1,),)=0,#N/A,VLOOKUP(Table7[[#This Row],[Date]],Database!$A:$C,MATCH($C$1,Database!$A$1:$C$1,),))</f>
        <v/>
      </c>
      <c r="D13547">
        <f>IFERROR(Table7[[#This Row],[United States 10y]]-Table7[[#This Row],[United States 3y]],#N/A)</f>
        <v/>
      </c>
    </row>
    <row r="13548">
      <c r="A13548" s="6">
        <f>Database!$A15633</f>
        <v/>
      </c>
      <c r="B13548">
        <f>IF(VLOOKUP(Table7[[#This Row],[Date]],Database!$A:$C,MATCH($B$1,Database!$A$1:$C$1,),)=0,#N/A,VLOOKUP(Table7[[#This Row],[Date]],Database!$A:$C,MATCH($B$1,Database!$A$1:$C$1,),))</f>
        <v/>
      </c>
      <c r="C13548">
        <f>IF(VLOOKUP(Table7[[#This Row],[Date]],Database!$A:$C,MATCH($C$1,Database!$A$1:$C$1,),)=0,#N/A,VLOOKUP(Table7[[#This Row],[Date]],Database!$A:$C,MATCH($C$1,Database!$A$1:$C$1,),))</f>
        <v/>
      </c>
      <c r="D13548">
        <f>IFERROR(Table7[[#This Row],[United States 10y]]-Table7[[#This Row],[United States 3y]],#N/A)</f>
        <v/>
      </c>
    </row>
    <row r="13549">
      <c r="A13549" s="6">
        <f>Database!$A15634</f>
        <v/>
      </c>
      <c r="B13549">
        <f>IF(VLOOKUP(Table7[[#This Row],[Date]],Database!$A:$C,MATCH($B$1,Database!$A$1:$C$1,),)=0,#N/A,VLOOKUP(Table7[[#This Row],[Date]],Database!$A:$C,MATCH($B$1,Database!$A$1:$C$1,),))</f>
        <v/>
      </c>
      <c r="C13549">
        <f>IF(VLOOKUP(Table7[[#This Row],[Date]],Database!$A:$C,MATCH($C$1,Database!$A$1:$C$1,),)=0,#N/A,VLOOKUP(Table7[[#This Row],[Date]],Database!$A:$C,MATCH($C$1,Database!$A$1:$C$1,),))</f>
        <v/>
      </c>
      <c r="D13549">
        <f>IFERROR(Table7[[#This Row],[United States 10y]]-Table7[[#This Row],[United States 3y]],#N/A)</f>
        <v/>
      </c>
    </row>
    <row r="13550">
      <c r="A13550" s="6">
        <f>Database!$A15635</f>
        <v/>
      </c>
      <c r="B13550">
        <f>IF(VLOOKUP(Table7[[#This Row],[Date]],Database!$A:$C,MATCH($B$1,Database!$A$1:$C$1,),)=0,#N/A,VLOOKUP(Table7[[#This Row],[Date]],Database!$A:$C,MATCH($B$1,Database!$A$1:$C$1,),))</f>
        <v/>
      </c>
      <c r="C13550">
        <f>IF(VLOOKUP(Table7[[#This Row],[Date]],Database!$A:$C,MATCH($C$1,Database!$A$1:$C$1,),)=0,#N/A,VLOOKUP(Table7[[#This Row],[Date]],Database!$A:$C,MATCH($C$1,Database!$A$1:$C$1,),))</f>
        <v/>
      </c>
      <c r="D13550">
        <f>IFERROR(Table7[[#This Row],[United States 10y]]-Table7[[#This Row],[United States 3y]],#N/A)</f>
        <v/>
      </c>
    </row>
    <row r="13551">
      <c r="A13551" s="6">
        <f>Database!$A15636</f>
        <v/>
      </c>
      <c r="B13551">
        <f>IF(VLOOKUP(Table7[[#This Row],[Date]],Database!$A:$C,MATCH($B$1,Database!$A$1:$C$1,),)=0,#N/A,VLOOKUP(Table7[[#This Row],[Date]],Database!$A:$C,MATCH($B$1,Database!$A$1:$C$1,),))</f>
        <v/>
      </c>
      <c r="C13551">
        <f>IF(VLOOKUP(Table7[[#This Row],[Date]],Database!$A:$C,MATCH($C$1,Database!$A$1:$C$1,),)=0,#N/A,VLOOKUP(Table7[[#This Row],[Date]],Database!$A:$C,MATCH($C$1,Database!$A$1:$C$1,),))</f>
        <v/>
      </c>
      <c r="D13551">
        <f>IFERROR(Table7[[#This Row],[United States 10y]]-Table7[[#This Row],[United States 3y]],#N/A)</f>
        <v/>
      </c>
    </row>
    <row r="13552">
      <c r="A13552" s="6">
        <f>Database!$A15637</f>
        <v/>
      </c>
      <c r="B13552">
        <f>IF(VLOOKUP(Table7[[#This Row],[Date]],Database!$A:$C,MATCH($B$1,Database!$A$1:$C$1,),)=0,#N/A,VLOOKUP(Table7[[#This Row],[Date]],Database!$A:$C,MATCH($B$1,Database!$A$1:$C$1,),))</f>
        <v/>
      </c>
      <c r="C13552">
        <f>IF(VLOOKUP(Table7[[#This Row],[Date]],Database!$A:$C,MATCH($C$1,Database!$A$1:$C$1,),)=0,#N/A,VLOOKUP(Table7[[#This Row],[Date]],Database!$A:$C,MATCH($C$1,Database!$A$1:$C$1,),))</f>
        <v/>
      </c>
      <c r="D13552">
        <f>IFERROR(Table7[[#This Row],[United States 10y]]-Table7[[#This Row],[United States 3y]],#N/A)</f>
        <v/>
      </c>
    </row>
    <row r="13553">
      <c r="A13553" s="6">
        <f>Database!$A15638</f>
        <v/>
      </c>
      <c r="B13553">
        <f>IF(VLOOKUP(Table7[[#This Row],[Date]],Database!$A:$C,MATCH($B$1,Database!$A$1:$C$1,),)=0,#N/A,VLOOKUP(Table7[[#This Row],[Date]],Database!$A:$C,MATCH($B$1,Database!$A$1:$C$1,),))</f>
        <v/>
      </c>
      <c r="C13553">
        <f>IF(VLOOKUP(Table7[[#This Row],[Date]],Database!$A:$C,MATCH($C$1,Database!$A$1:$C$1,),)=0,#N/A,VLOOKUP(Table7[[#This Row],[Date]],Database!$A:$C,MATCH($C$1,Database!$A$1:$C$1,),))</f>
        <v/>
      </c>
      <c r="D13553">
        <f>IFERROR(Table7[[#This Row],[United States 10y]]-Table7[[#This Row],[United States 3y]],#N/A)</f>
        <v/>
      </c>
    </row>
    <row r="13554">
      <c r="A13554" s="6">
        <f>Database!$A15639</f>
        <v/>
      </c>
      <c r="B13554">
        <f>IF(VLOOKUP(Table7[[#This Row],[Date]],Database!$A:$C,MATCH($B$1,Database!$A$1:$C$1,),)=0,#N/A,VLOOKUP(Table7[[#This Row],[Date]],Database!$A:$C,MATCH($B$1,Database!$A$1:$C$1,),))</f>
        <v/>
      </c>
      <c r="C13554">
        <f>IF(VLOOKUP(Table7[[#This Row],[Date]],Database!$A:$C,MATCH($C$1,Database!$A$1:$C$1,),)=0,#N/A,VLOOKUP(Table7[[#This Row],[Date]],Database!$A:$C,MATCH($C$1,Database!$A$1:$C$1,),))</f>
        <v/>
      </c>
      <c r="D13554">
        <f>IFERROR(Table7[[#This Row],[United States 10y]]-Table7[[#This Row],[United States 3y]],#N/A)</f>
        <v/>
      </c>
    </row>
    <row r="13555">
      <c r="A13555" s="6">
        <f>Database!$A15640</f>
        <v/>
      </c>
      <c r="B13555">
        <f>IF(VLOOKUP(Table7[[#This Row],[Date]],Database!$A:$C,MATCH($B$1,Database!$A$1:$C$1,),)=0,#N/A,VLOOKUP(Table7[[#This Row],[Date]],Database!$A:$C,MATCH($B$1,Database!$A$1:$C$1,),))</f>
        <v/>
      </c>
      <c r="C13555">
        <f>IF(VLOOKUP(Table7[[#This Row],[Date]],Database!$A:$C,MATCH($C$1,Database!$A$1:$C$1,),)=0,#N/A,VLOOKUP(Table7[[#This Row],[Date]],Database!$A:$C,MATCH($C$1,Database!$A$1:$C$1,),))</f>
        <v/>
      </c>
      <c r="D13555">
        <f>IFERROR(Table7[[#This Row],[United States 10y]]-Table7[[#This Row],[United States 3y]],#N/A)</f>
        <v/>
      </c>
    </row>
    <row r="13556">
      <c r="A13556" s="6">
        <f>Database!$A15641</f>
        <v/>
      </c>
      <c r="B13556">
        <f>IF(VLOOKUP(Table7[[#This Row],[Date]],Database!$A:$C,MATCH($B$1,Database!$A$1:$C$1,),)=0,#N/A,VLOOKUP(Table7[[#This Row],[Date]],Database!$A:$C,MATCH($B$1,Database!$A$1:$C$1,),))</f>
        <v/>
      </c>
      <c r="C13556">
        <f>IF(VLOOKUP(Table7[[#This Row],[Date]],Database!$A:$C,MATCH($C$1,Database!$A$1:$C$1,),)=0,#N/A,VLOOKUP(Table7[[#This Row],[Date]],Database!$A:$C,MATCH($C$1,Database!$A$1:$C$1,),))</f>
        <v/>
      </c>
      <c r="D13556">
        <f>IFERROR(Table7[[#This Row],[United States 10y]]-Table7[[#This Row],[United States 3y]],#N/A)</f>
        <v/>
      </c>
    </row>
    <row r="13557">
      <c r="A13557" s="6">
        <f>Database!$A15642</f>
        <v/>
      </c>
      <c r="B13557">
        <f>IF(VLOOKUP(Table7[[#This Row],[Date]],Database!$A:$C,MATCH($B$1,Database!$A$1:$C$1,),)=0,#N/A,VLOOKUP(Table7[[#This Row],[Date]],Database!$A:$C,MATCH($B$1,Database!$A$1:$C$1,),))</f>
        <v/>
      </c>
      <c r="C13557">
        <f>IF(VLOOKUP(Table7[[#This Row],[Date]],Database!$A:$C,MATCH($C$1,Database!$A$1:$C$1,),)=0,#N/A,VLOOKUP(Table7[[#This Row],[Date]],Database!$A:$C,MATCH($C$1,Database!$A$1:$C$1,),))</f>
        <v/>
      </c>
      <c r="D13557">
        <f>IFERROR(Table7[[#This Row],[United States 10y]]-Table7[[#This Row],[United States 3y]],#N/A)</f>
        <v/>
      </c>
    </row>
    <row r="13558">
      <c r="A13558" s="6">
        <f>Database!$A15643</f>
        <v/>
      </c>
      <c r="B13558">
        <f>IF(VLOOKUP(Table7[[#This Row],[Date]],Database!$A:$C,MATCH($B$1,Database!$A$1:$C$1,),)=0,#N/A,VLOOKUP(Table7[[#This Row],[Date]],Database!$A:$C,MATCH($B$1,Database!$A$1:$C$1,),))</f>
        <v/>
      </c>
      <c r="C13558">
        <f>IF(VLOOKUP(Table7[[#This Row],[Date]],Database!$A:$C,MATCH($C$1,Database!$A$1:$C$1,),)=0,#N/A,VLOOKUP(Table7[[#This Row],[Date]],Database!$A:$C,MATCH($C$1,Database!$A$1:$C$1,),))</f>
        <v/>
      </c>
      <c r="D13558">
        <f>IFERROR(Table7[[#This Row],[United States 10y]]-Table7[[#This Row],[United States 3y]],#N/A)</f>
        <v/>
      </c>
    </row>
    <row r="13559">
      <c r="A13559" s="6">
        <f>Database!$A15644</f>
        <v/>
      </c>
      <c r="B13559">
        <f>IF(VLOOKUP(Table7[[#This Row],[Date]],Database!$A:$C,MATCH($B$1,Database!$A$1:$C$1,),)=0,#N/A,VLOOKUP(Table7[[#This Row],[Date]],Database!$A:$C,MATCH($B$1,Database!$A$1:$C$1,),))</f>
        <v/>
      </c>
      <c r="C13559">
        <f>IF(VLOOKUP(Table7[[#This Row],[Date]],Database!$A:$C,MATCH($C$1,Database!$A$1:$C$1,),)=0,#N/A,VLOOKUP(Table7[[#This Row],[Date]],Database!$A:$C,MATCH($C$1,Database!$A$1:$C$1,),))</f>
        <v/>
      </c>
      <c r="D13559">
        <f>IFERROR(Table7[[#This Row],[United States 10y]]-Table7[[#This Row],[United States 3y]],#N/A)</f>
        <v/>
      </c>
    </row>
    <row r="13560">
      <c r="A13560" s="6">
        <f>Database!$A15645</f>
        <v/>
      </c>
      <c r="B13560">
        <f>IF(VLOOKUP(Table7[[#This Row],[Date]],Database!$A:$C,MATCH($B$1,Database!$A$1:$C$1,),)=0,#N/A,VLOOKUP(Table7[[#This Row],[Date]],Database!$A:$C,MATCH($B$1,Database!$A$1:$C$1,),))</f>
        <v/>
      </c>
      <c r="C13560">
        <f>IF(VLOOKUP(Table7[[#This Row],[Date]],Database!$A:$C,MATCH($C$1,Database!$A$1:$C$1,),)=0,#N/A,VLOOKUP(Table7[[#This Row],[Date]],Database!$A:$C,MATCH($C$1,Database!$A$1:$C$1,),))</f>
        <v/>
      </c>
      <c r="D13560">
        <f>IFERROR(Table7[[#This Row],[United States 10y]]-Table7[[#This Row],[United States 3y]],#N/A)</f>
        <v/>
      </c>
    </row>
    <row r="13561">
      <c r="A13561" s="6">
        <f>Database!$A15646</f>
        <v/>
      </c>
      <c r="B13561">
        <f>IF(VLOOKUP(Table7[[#This Row],[Date]],Database!$A:$C,MATCH($B$1,Database!$A$1:$C$1,),)=0,#N/A,VLOOKUP(Table7[[#This Row],[Date]],Database!$A:$C,MATCH($B$1,Database!$A$1:$C$1,),))</f>
        <v/>
      </c>
      <c r="C13561">
        <f>IF(VLOOKUP(Table7[[#This Row],[Date]],Database!$A:$C,MATCH($C$1,Database!$A$1:$C$1,),)=0,#N/A,VLOOKUP(Table7[[#This Row],[Date]],Database!$A:$C,MATCH($C$1,Database!$A$1:$C$1,),))</f>
        <v/>
      </c>
      <c r="D13561">
        <f>IFERROR(Table7[[#This Row],[United States 10y]]-Table7[[#This Row],[United States 3y]],#N/A)</f>
        <v/>
      </c>
    </row>
    <row r="13562">
      <c r="A13562" s="6">
        <f>Database!$A15647</f>
        <v/>
      </c>
      <c r="B13562">
        <f>IF(VLOOKUP(Table7[[#This Row],[Date]],Database!$A:$C,MATCH($B$1,Database!$A$1:$C$1,),)=0,#N/A,VLOOKUP(Table7[[#This Row],[Date]],Database!$A:$C,MATCH($B$1,Database!$A$1:$C$1,),))</f>
        <v/>
      </c>
      <c r="C13562">
        <f>IF(VLOOKUP(Table7[[#This Row],[Date]],Database!$A:$C,MATCH($C$1,Database!$A$1:$C$1,),)=0,#N/A,VLOOKUP(Table7[[#This Row],[Date]],Database!$A:$C,MATCH($C$1,Database!$A$1:$C$1,),))</f>
        <v/>
      </c>
      <c r="D13562">
        <f>IFERROR(Table7[[#This Row],[United States 10y]]-Table7[[#This Row],[United States 3y]],#N/A)</f>
        <v/>
      </c>
    </row>
    <row r="13563">
      <c r="A13563" s="6">
        <f>Database!$A15648</f>
        <v/>
      </c>
      <c r="B13563">
        <f>IF(VLOOKUP(Table7[[#This Row],[Date]],Database!$A:$C,MATCH($B$1,Database!$A$1:$C$1,),)=0,#N/A,VLOOKUP(Table7[[#This Row],[Date]],Database!$A:$C,MATCH($B$1,Database!$A$1:$C$1,),))</f>
        <v/>
      </c>
      <c r="C13563">
        <f>IF(VLOOKUP(Table7[[#This Row],[Date]],Database!$A:$C,MATCH($C$1,Database!$A$1:$C$1,),)=0,#N/A,VLOOKUP(Table7[[#This Row],[Date]],Database!$A:$C,MATCH($C$1,Database!$A$1:$C$1,),))</f>
        <v/>
      </c>
      <c r="D13563">
        <f>IFERROR(Table7[[#This Row],[United States 10y]]-Table7[[#This Row],[United States 3y]],#N/A)</f>
        <v/>
      </c>
    </row>
    <row r="13564">
      <c r="A13564" s="6">
        <f>Database!$A15649</f>
        <v/>
      </c>
      <c r="B13564">
        <f>IF(VLOOKUP(Table7[[#This Row],[Date]],Database!$A:$C,MATCH($B$1,Database!$A$1:$C$1,),)=0,#N/A,VLOOKUP(Table7[[#This Row],[Date]],Database!$A:$C,MATCH($B$1,Database!$A$1:$C$1,),))</f>
        <v/>
      </c>
      <c r="C13564">
        <f>IF(VLOOKUP(Table7[[#This Row],[Date]],Database!$A:$C,MATCH($C$1,Database!$A$1:$C$1,),)=0,#N/A,VLOOKUP(Table7[[#This Row],[Date]],Database!$A:$C,MATCH($C$1,Database!$A$1:$C$1,),))</f>
        <v/>
      </c>
      <c r="D13564">
        <f>IFERROR(Table7[[#This Row],[United States 10y]]-Table7[[#This Row],[United States 3y]],#N/A)</f>
        <v/>
      </c>
    </row>
    <row r="13565">
      <c r="A13565" s="6">
        <f>Database!$A15650</f>
        <v/>
      </c>
      <c r="B13565">
        <f>IF(VLOOKUP(Table7[[#This Row],[Date]],Database!$A:$C,MATCH($B$1,Database!$A$1:$C$1,),)=0,#N/A,VLOOKUP(Table7[[#This Row],[Date]],Database!$A:$C,MATCH($B$1,Database!$A$1:$C$1,),))</f>
        <v/>
      </c>
      <c r="C13565">
        <f>IF(VLOOKUP(Table7[[#This Row],[Date]],Database!$A:$C,MATCH($C$1,Database!$A$1:$C$1,),)=0,#N/A,VLOOKUP(Table7[[#This Row],[Date]],Database!$A:$C,MATCH($C$1,Database!$A$1:$C$1,),))</f>
        <v/>
      </c>
      <c r="D13565">
        <f>IFERROR(Table7[[#This Row],[United States 10y]]-Table7[[#This Row],[United States 3y]],#N/A)</f>
        <v/>
      </c>
    </row>
    <row r="13566">
      <c r="A13566" s="6">
        <f>Database!$A15651</f>
        <v/>
      </c>
      <c r="B13566">
        <f>IF(VLOOKUP(Table7[[#This Row],[Date]],Database!$A:$C,MATCH($B$1,Database!$A$1:$C$1,),)=0,#N/A,VLOOKUP(Table7[[#This Row],[Date]],Database!$A:$C,MATCH($B$1,Database!$A$1:$C$1,),))</f>
        <v/>
      </c>
      <c r="C13566">
        <f>IF(VLOOKUP(Table7[[#This Row],[Date]],Database!$A:$C,MATCH($C$1,Database!$A$1:$C$1,),)=0,#N/A,VLOOKUP(Table7[[#This Row],[Date]],Database!$A:$C,MATCH($C$1,Database!$A$1:$C$1,),))</f>
        <v/>
      </c>
      <c r="D13566">
        <f>IFERROR(Table7[[#This Row],[United States 10y]]-Table7[[#This Row],[United States 3y]],#N/A)</f>
        <v/>
      </c>
    </row>
    <row r="13567">
      <c r="A13567" s="6">
        <f>Database!$A15652</f>
        <v/>
      </c>
      <c r="B13567">
        <f>IF(VLOOKUP(Table7[[#This Row],[Date]],Database!$A:$C,MATCH($B$1,Database!$A$1:$C$1,),)=0,#N/A,VLOOKUP(Table7[[#This Row],[Date]],Database!$A:$C,MATCH($B$1,Database!$A$1:$C$1,),))</f>
        <v/>
      </c>
      <c r="C13567">
        <f>IF(VLOOKUP(Table7[[#This Row],[Date]],Database!$A:$C,MATCH($C$1,Database!$A$1:$C$1,),)=0,#N/A,VLOOKUP(Table7[[#This Row],[Date]],Database!$A:$C,MATCH($C$1,Database!$A$1:$C$1,),))</f>
        <v/>
      </c>
      <c r="D13567">
        <f>IFERROR(Table7[[#This Row],[United States 10y]]-Table7[[#This Row],[United States 3y]],#N/A)</f>
        <v/>
      </c>
    </row>
    <row r="13568">
      <c r="A13568" s="6">
        <f>Database!$A15653</f>
        <v/>
      </c>
      <c r="B13568">
        <f>IF(VLOOKUP(Table7[[#This Row],[Date]],Database!$A:$C,MATCH($B$1,Database!$A$1:$C$1,),)=0,#N/A,VLOOKUP(Table7[[#This Row],[Date]],Database!$A:$C,MATCH($B$1,Database!$A$1:$C$1,),))</f>
        <v/>
      </c>
      <c r="C13568">
        <f>IF(VLOOKUP(Table7[[#This Row],[Date]],Database!$A:$C,MATCH($C$1,Database!$A$1:$C$1,),)=0,#N/A,VLOOKUP(Table7[[#This Row],[Date]],Database!$A:$C,MATCH($C$1,Database!$A$1:$C$1,),))</f>
        <v/>
      </c>
      <c r="D13568">
        <f>IFERROR(Table7[[#This Row],[United States 10y]]-Table7[[#This Row],[United States 3y]],#N/A)</f>
        <v/>
      </c>
    </row>
    <row r="13569">
      <c r="A13569" s="6">
        <f>Database!$A15654</f>
        <v/>
      </c>
      <c r="B13569">
        <f>IF(VLOOKUP(Table7[[#This Row],[Date]],Database!$A:$C,MATCH($B$1,Database!$A$1:$C$1,),)=0,#N/A,VLOOKUP(Table7[[#This Row],[Date]],Database!$A:$C,MATCH($B$1,Database!$A$1:$C$1,),))</f>
        <v/>
      </c>
      <c r="C13569">
        <f>IF(VLOOKUP(Table7[[#This Row],[Date]],Database!$A:$C,MATCH($C$1,Database!$A$1:$C$1,),)=0,#N/A,VLOOKUP(Table7[[#This Row],[Date]],Database!$A:$C,MATCH($C$1,Database!$A$1:$C$1,),))</f>
        <v/>
      </c>
      <c r="D13569">
        <f>IFERROR(Table7[[#This Row],[United States 10y]]-Table7[[#This Row],[United States 3y]],#N/A)</f>
        <v/>
      </c>
    </row>
    <row r="13570">
      <c r="A13570" s="6">
        <f>Database!$A15655</f>
        <v/>
      </c>
      <c r="B13570">
        <f>IF(VLOOKUP(Table7[[#This Row],[Date]],Database!$A:$C,MATCH($B$1,Database!$A$1:$C$1,),)=0,#N/A,VLOOKUP(Table7[[#This Row],[Date]],Database!$A:$C,MATCH($B$1,Database!$A$1:$C$1,),))</f>
        <v/>
      </c>
      <c r="C13570">
        <f>IF(VLOOKUP(Table7[[#This Row],[Date]],Database!$A:$C,MATCH($C$1,Database!$A$1:$C$1,),)=0,#N/A,VLOOKUP(Table7[[#This Row],[Date]],Database!$A:$C,MATCH($C$1,Database!$A$1:$C$1,),))</f>
        <v/>
      </c>
      <c r="D13570">
        <f>IFERROR(Table7[[#This Row],[United States 10y]]-Table7[[#This Row],[United States 3y]],#N/A)</f>
        <v/>
      </c>
    </row>
    <row r="13571">
      <c r="A13571" s="6">
        <f>Database!$A15656</f>
        <v/>
      </c>
      <c r="B13571">
        <f>IF(VLOOKUP(Table7[[#This Row],[Date]],Database!$A:$C,MATCH($B$1,Database!$A$1:$C$1,),)=0,#N/A,VLOOKUP(Table7[[#This Row],[Date]],Database!$A:$C,MATCH($B$1,Database!$A$1:$C$1,),))</f>
        <v/>
      </c>
      <c r="C13571">
        <f>IF(VLOOKUP(Table7[[#This Row],[Date]],Database!$A:$C,MATCH($C$1,Database!$A$1:$C$1,),)=0,#N/A,VLOOKUP(Table7[[#This Row],[Date]],Database!$A:$C,MATCH($C$1,Database!$A$1:$C$1,),))</f>
        <v/>
      </c>
      <c r="D13571">
        <f>IFERROR(Table7[[#This Row],[United States 10y]]-Table7[[#This Row],[United States 3y]],#N/A)</f>
        <v/>
      </c>
    </row>
    <row r="13572">
      <c r="A13572" s="6">
        <f>Database!$A15657</f>
        <v/>
      </c>
      <c r="B13572">
        <f>IF(VLOOKUP(Table7[[#This Row],[Date]],Database!$A:$C,MATCH($B$1,Database!$A$1:$C$1,),)=0,#N/A,VLOOKUP(Table7[[#This Row],[Date]],Database!$A:$C,MATCH($B$1,Database!$A$1:$C$1,),))</f>
        <v/>
      </c>
      <c r="C13572">
        <f>IF(VLOOKUP(Table7[[#This Row],[Date]],Database!$A:$C,MATCH($C$1,Database!$A$1:$C$1,),)=0,#N/A,VLOOKUP(Table7[[#This Row],[Date]],Database!$A:$C,MATCH($C$1,Database!$A$1:$C$1,),))</f>
        <v/>
      </c>
      <c r="D13572">
        <f>IFERROR(Table7[[#This Row],[United States 10y]]-Table7[[#This Row],[United States 3y]],#N/A)</f>
        <v/>
      </c>
    </row>
    <row r="13573">
      <c r="A13573" s="6">
        <f>Database!$A15658</f>
        <v/>
      </c>
      <c r="B13573">
        <f>IF(VLOOKUP(Table7[[#This Row],[Date]],Database!$A:$C,MATCH($B$1,Database!$A$1:$C$1,),)=0,#N/A,VLOOKUP(Table7[[#This Row],[Date]],Database!$A:$C,MATCH($B$1,Database!$A$1:$C$1,),))</f>
        <v/>
      </c>
      <c r="C13573">
        <f>IF(VLOOKUP(Table7[[#This Row],[Date]],Database!$A:$C,MATCH($C$1,Database!$A$1:$C$1,),)=0,#N/A,VLOOKUP(Table7[[#This Row],[Date]],Database!$A:$C,MATCH($C$1,Database!$A$1:$C$1,),))</f>
        <v/>
      </c>
      <c r="D13573">
        <f>IFERROR(Table7[[#This Row],[United States 10y]]-Table7[[#This Row],[United States 3y]],#N/A)</f>
        <v/>
      </c>
    </row>
    <row r="13574">
      <c r="A13574" s="6">
        <f>Database!$A15659</f>
        <v/>
      </c>
      <c r="B13574">
        <f>IF(VLOOKUP(Table7[[#This Row],[Date]],Database!$A:$C,MATCH($B$1,Database!$A$1:$C$1,),)=0,#N/A,VLOOKUP(Table7[[#This Row],[Date]],Database!$A:$C,MATCH($B$1,Database!$A$1:$C$1,),))</f>
        <v/>
      </c>
      <c r="C13574">
        <f>IF(VLOOKUP(Table7[[#This Row],[Date]],Database!$A:$C,MATCH($C$1,Database!$A$1:$C$1,),)=0,#N/A,VLOOKUP(Table7[[#This Row],[Date]],Database!$A:$C,MATCH($C$1,Database!$A$1:$C$1,),))</f>
        <v/>
      </c>
      <c r="D13574">
        <f>IFERROR(Table7[[#This Row],[United States 10y]]-Table7[[#This Row],[United States 3y]],#N/A)</f>
        <v/>
      </c>
    </row>
    <row r="13575">
      <c r="A13575" s="6">
        <f>Database!$A15660</f>
        <v/>
      </c>
      <c r="B13575">
        <f>IF(VLOOKUP(Table7[[#This Row],[Date]],Database!$A:$C,MATCH($B$1,Database!$A$1:$C$1,),)=0,#N/A,VLOOKUP(Table7[[#This Row],[Date]],Database!$A:$C,MATCH($B$1,Database!$A$1:$C$1,),))</f>
        <v/>
      </c>
      <c r="C13575">
        <f>IF(VLOOKUP(Table7[[#This Row],[Date]],Database!$A:$C,MATCH($C$1,Database!$A$1:$C$1,),)=0,#N/A,VLOOKUP(Table7[[#This Row],[Date]],Database!$A:$C,MATCH($C$1,Database!$A$1:$C$1,),))</f>
        <v/>
      </c>
      <c r="D13575">
        <f>IFERROR(Table7[[#This Row],[United States 10y]]-Table7[[#This Row],[United States 3y]],#N/A)</f>
        <v/>
      </c>
    </row>
    <row r="13576">
      <c r="A13576" s="6">
        <f>Database!$A15661</f>
        <v/>
      </c>
      <c r="B13576">
        <f>IF(VLOOKUP(Table7[[#This Row],[Date]],Database!$A:$C,MATCH($B$1,Database!$A$1:$C$1,),)=0,#N/A,VLOOKUP(Table7[[#This Row],[Date]],Database!$A:$C,MATCH($B$1,Database!$A$1:$C$1,),))</f>
        <v/>
      </c>
      <c r="C13576">
        <f>IF(VLOOKUP(Table7[[#This Row],[Date]],Database!$A:$C,MATCH($C$1,Database!$A$1:$C$1,),)=0,#N/A,VLOOKUP(Table7[[#This Row],[Date]],Database!$A:$C,MATCH($C$1,Database!$A$1:$C$1,),))</f>
        <v/>
      </c>
      <c r="D13576">
        <f>IFERROR(Table7[[#This Row],[United States 10y]]-Table7[[#This Row],[United States 3y]],#N/A)</f>
        <v/>
      </c>
    </row>
    <row r="13577">
      <c r="A13577" s="6">
        <f>Database!$A15662</f>
        <v/>
      </c>
      <c r="B13577">
        <f>IF(VLOOKUP(Table7[[#This Row],[Date]],Database!$A:$C,MATCH($B$1,Database!$A$1:$C$1,),)=0,#N/A,VLOOKUP(Table7[[#This Row],[Date]],Database!$A:$C,MATCH($B$1,Database!$A$1:$C$1,),))</f>
        <v/>
      </c>
      <c r="C13577">
        <f>IF(VLOOKUP(Table7[[#This Row],[Date]],Database!$A:$C,MATCH($C$1,Database!$A$1:$C$1,),)=0,#N/A,VLOOKUP(Table7[[#This Row],[Date]],Database!$A:$C,MATCH($C$1,Database!$A$1:$C$1,),))</f>
        <v/>
      </c>
      <c r="D13577">
        <f>IFERROR(Table7[[#This Row],[United States 10y]]-Table7[[#This Row],[United States 3y]],#N/A)</f>
        <v/>
      </c>
    </row>
    <row r="13578">
      <c r="A13578" s="6">
        <f>Database!$A15663</f>
        <v/>
      </c>
      <c r="B13578">
        <f>IF(VLOOKUP(Table7[[#This Row],[Date]],Database!$A:$C,MATCH($B$1,Database!$A$1:$C$1,),)=0,#N/A,VLOOKUP(Table7[[#This Row],[Date]],Database!$A:$C,MATCH($B$1,Database!$A$1:$C$1,),))</f>
        <v/>
      </c>
      <c r="C13578">
        <f>IF(VLOOKUP(Table7[[#This Row],[Date]],Database!$A:$C,MATCH($C$1,Database!$A$1:$C$1,),)=0,#N/A,VLOOKUP(Table7[[#This Row],[Date]],Database!$A:$C,MATCH($C$1,Database!$A$1:$C$1,),))</f>
        <v/>
      </c>
      <c r="D13578">
        <f>IFERROR(Table7[[#This Row],[United States 10y]]-Table7[[#This Row],[United States 3y]],#N/A)</f>
        <v/>
      </c>
    </row>
    <row r="13579">
      <c r="A13579" s="6">
        <f>Database!$A15664</f>
        <v/>
      </c>
      <c r="B13579">
        <f>IF(VLOOKUP(Table7[[#This Row],[Date]],Database!$A:$C,MATCH($B$1,Database!$A$1:$C$1,),)=0,#N/A,VLOOKUP(Table7[[#This Row],[Date]],Database!$A:$C,MATCH($B$1,Database!$A$1:$C$1,),))</f>
        <v/>
      </c>
      <c r="C13579">
        <f>IF(VLOOKUP(Table7[[#This Row],[Date]],Database!$A:$C,MATCH($C$1,Database!$A$1:$C$1,),)=0,#N/A,VLOOKUP(Table7[[#This Row],[Date]],Database!$A:$C,MATCH($C$1,Database!$A$1:$C$1,),))</f>
        <v/>
      </c>
      <c r="D13579">
        <f>IFERROR(Table7[[#This Row],[United States 10y]]-Table7[[#This Row],[United States 3y]],#N/A)</f>
        <v/>
      </c>
    </row>
    <row r="13580">
      <c r="A13580" s="6">
        <f>Database!$A15665</f>
        <v/>
      </c>
      <c r="B13580">
        <f>IF(VLOOKUP(Table7[[#This Row],[Date]],Database!$A:$C,MATCH($B$1,Database!$A$1:$C$1,),)=0,#N/A,VLOOKUP(Table7[[#This Row],[Date]],Database!$A:$C,MATCH($B$1,Database!$A$1:$C$1,),))</f>
        <v/>
      </c>
      <c r="C13580">
        <f>IF(VLOOKUP(Table7[[#This Row],[Date]],Database!$A:$C,MATCH($C$1,Database!$A$1:$C$1,),)=0,#N/A,VLOOKUP(Table7[[#This Row],[Date]],Database!$A:$C,MATCH($C$1,Database!$A$1:$C$1,),))</f>
        <v/>
      </c>
      <c r="D13580">
        <f>IFERROR(Table7[[#This Row],[United States 10y]]-Table7[[#This Row],[United States 3y]],#N/A)</f>
        <v/>
      </c>
    </row>
    <row r="13581">
      <c r="A13581" s="6">
        <f>Database!$A15666</f>
        <v/>
      </c>
      <c r="B13581">
        <f>IF(VLOOKUP(Table7[[#This Row],[Date]],Database!$A:$C,MATCH($B$1,Database!$A$1:$C$1,),)=0,#N/A,VLOOKUP(Table7[[#This Row],[Date]],Database!$A:$C,MATCH($B$1,Database!$A$1:$C$1,),))</f>
        <v/>
      </c>
      <c r="C13581">
        <f>IF(VLOOKUP(Table7[[#This Row],[Date]],Database!$A:$C,MATCH($C$1,Database!$A$1:$C$1,),)=0,#N/A,VLOOKUP(Table7[[#This Row],[Date]],Database!$A:$C,MATCH($C$1,Database!$A$1:$C$1,),))</f>
        <v/>
      </c>
      <c r="D13581">
        <f>IFERROR(Table7[[#This Row],[United States 10y]]-Table7[[#This Row],[United States 3y]],#N/A)</f>
        <v/>
      </c>
    </row>
    <row r="13582">
      <c r="A13582" s="6">
        <f>Database!$A15667</f>
        <v/>
      </c>
      <c r="B13582">
        <f>IF(VLOOKUP(Table7[[#This Row],[Date]],Database!$A:$C,MATCH($B$1,Database!$A$1:$C$1,),)=0,#N/A,VLOOKUP(Table7[[#This Row],[Date]],Database!$A:$C,MATCH($B$1,Database!$A$1:$C$1,),))</f>
        <v/>
      </c>
      <c r="C13582">
        <f>IF(VLOOKUP(Table7[[#This Row],[Date]],Database!$A:$C,MATCH($C$1,Database!$A$1:$C$1,),)=0,#N/A,VLOOKUP(Table7[[#This Row],[Date]],Database!$A:$C,MATCH($C$1,Database!$A$1:$C$1,),))</f>
        <v/>
      </c>
      <c r="D13582">
        <f>IFERROR(Table7[[#This Row],[United States 10y]]-Table7[[#This Row],[United States 3y]],#N/A)</f>
        <v/>
      </c>
    </row>
    <row r="13583">
      <c r="A13583" s="6">
        <f>Database!$A15668</f>
        <v/>
      </c>
      <c r="B13583">
        <f>IF(VLOOKUP(Table7[[#This Row],[Date]],Database!$A:$C,MATCH($B$1,Database!$A$1:$C$1,),)=0,#N/A,VLOOKUP(Table7[[#This Row],[Date]],Database!$A:$C,MATCH($B$1,Database!$A$1:$C$1,),))</f>
        <v/>
      </c>
      <c r="C13583">
        <f>IF(VLOOKUP(Table7[[#This Row],[Date]],Database!$A:$C,MATCH($C$1,Database!$A$1:$C$1,),)=0,#N/A,VLOOKUP(Table7[[#This Row],[Date]],Database!$A:$C,MATCH($C$1,Database!$A$1:$C$1,),))</f>
        <v/>
      </c>
      <c r="D13583">
        <f>IFERROR(Table7[[#This Row],[United States 10y]]-Table7[[#This Row],[United States 3y]],#N/A)</f>
        <v/>
      </c>
    </row>
    <row r="13584">
      <c r="A13584" s="6">
        <f>Database!$A15669</f>
        <v/>
      </c>
      <c r="B13584">
        <f>IF(VLOOKUP(Table7[[#This Row],[Date]],Database!$A:$C,MATCH($B$1,Database!$A$1:$C$1,),)=0,#N/A,VLOOKUP(Table7[[#This Row],[Date]],Database!$A:$C,MATCH($B$1,Database!$A$1:$C$1,),))</f>
        <v/>
      </c>
      <c r="C13584">
        <f>IF(VLOOKUP(Table7[[#This Row],[Date]],Database!$A:$C,MATCH($C$1,Database!$A$1:$C$1,),)=0,#N/A,VLOOKUP(Table7[[#This Row],[Date]],Database!$A:$C,MATCH($C$1,Database!$A$1:$C$1,),))</f>
        <v/>
      </c>
      <c r="D13584">
        <f>IFERROR(Table7[[#This Row],[United States 10y]]-Table7[[#This Row],[United States 3y]],#N/A)</f>
        <v/>
      </c>
    </row>
    <row r="13585">
      <c r="A13585" s="6">
        <f>Database!$A15670</f>
        <v/>
      </c>
      <c r="B13585">
        <f>IF(VLOOKUP(Table7[[#This Row],[Date]],Database!$A:$C,MATCH($B$1,Database!$A$1:$C$1,),)=0,#N/A,VLOOKUP(Table7[[#This Row],[Date]],Database!$A:$C,MATCH($B$1,Database!$A$1:$C$1,),))</f>
        <v/>
      </c>
      <c r="C13585">
        <f>IF(VLOOKUP(Table7[[#This Row],[Date]],Database!$A:$C,MATCH($C$1,Database!$A$1:$C$1,),)=0,#N/A,VLOOKUP(Table7[[#This Row],[Date]],Database!$A:$C,MATCH($C$1,Database!$A$1:$C$1,),))</f>
        <v/>
      </c>
      <c r="D13585">
        <f>IFERROR(Table7[[#This Row],[United States 10y]]-Table7[[#This Row],[United States 3y]],#N/A)</f>
        <v/>
      </c>
    </row>
    <row r="13586">
      <c r="A13586" s="6">
        <f>Database!$A15671</f>
        <v/>
      </c>
      <c r="B13586">
        <f>IF(VLOOKUP(Table7[[#This Row],[Date]],Database!$A:$C,MATCH($B$1,Database!$A$1:$C$1,),)=0,#N/A,VLOOKUP(Table7[[#This Row],[Date]],Database!$A:$C,MATCH($B$1,Database!$A$1:$C$1,),))</f>
        <v/>
      </c>
      <c r="C13586">
        <f>IF(VLOOKUP(Table7[[#This Row],[Date]],Database!$A:$C,MATCH($C$1,Database!$A$1:$C$1,),)=0,#N/A,VLOOKUP(Table7[[#This Row],[Date]],Database!$A:$C,MATCH($C$1,Database!$A$1:$C$1,),))</f>
        <v/>
      </c>
      <c r="D13586">
        <f>IFERROR(Table7[[#This Row],[United States 10y]]-Table7[[#This Row],[United States 3y]],#N/A)</f>
        <v/>
      </c>
    </row>
    <row r="13587">
      <c r="A13587" s="6">
        <f>Database!$A15672</f>
        <v/>
      </c>
      <c r="B13587">
        <f>IF(VLOOKUP(Table7[[#This Row],[Date]],Database!$A:$C,MATCH($B$1,Database!$A$1:$C$1,),)=0,#N/A,VLOOKUP(Table7[[#This Row],[Date]],Database!$A:$C,MATCH($B$1,Database!$A$1:$C$1,),))</f>
        <v/>
      </c>
      <c r="C13587">
        <f>IF(VLOOKUP(Table7[[#This Row],[Date]],Database!$A:$C,MATCH($C$1,Database!$A$1:$C$1,),)=0,#N/A,VLOOKUP(Table7[[#This Row],[Date]],Database!$A:$C,MATCH($C$1,Database!$A$1:$C$1,),))</f>
        <v/>
      </c>
      <c r="D13587">
        <f>IFERROR(Table7[[#This Row],[United States 10y]]-Table7[[#This Row],[United States 3y]],#N/A)</f>
        <v/>
      </c>
    </row>
    <row r="13588">
      <c r="A13588" s="6">
        <f>Database!$A15673</f>
        <v/>
      </c>
      <c r="B13588">
        <f>IF(VLOOKUP(Table7[[#This Row],[Date]],Database!$A:$C,MATCH($B$1,Database!$A$1:$C$1,),)=0,#N/A,VLOOKUP(Table7[[#This Row],[Date]],Database!$A:$C,MATCH($B$1,Database!$A$1:$C$1,),))</f>
        <v/>
      </c>
      <c r="C13588">
        <f>IF(VLOOKUP(Table7[[#This Row],[Date]],Database!$A:$C,MATCH($C$1,Database!$A$1:$C$1,),)=0,#N/A,VLOOKUP(Table7[[#This Row],[Date]],Database!$A:$C,MATCH($C$1,Database!$A$1:$C$1,),))</f>
        <v/>
      </c>
      <c r="D13588">
        <f>IFERROR(Table7[[#This Row],[United States 10y]]-Table7[[#This Row],[United States 3y]],#N/A)</f>
        <v/>
      </c>
    </row>
    <row r="13589">
      <c r="A13589" s="6">
        <f>Database!$A15674</f>
        <v/>
      </c>
      <c r="B13589">
        <f>IF(VLOOKUP(Table7[[#This Row],[Date]],Database!$A:$C,MATCH($B$1,Database!$A$1:$C$1,),)=0,#N/A,VLOOKUP(Table7[[#This Row],[Date]],Database!$A:$C,MATCH($B$1,Database!$A$1:$C$1,),))</f>
        <v/>
      </c>
      <c r="C13589">
        <f>IF(VLOOKUP(Table7[[#This Row],[Date]],Database!$A:$C,MATCH($C$1,Database!$A$1:$C$1,),)=0,#N/A,VLOOKUP(Table7[[#This Row],[Date]],Database!$A:$C,MATCH($C$1,Database!$A$1:$C$1,),))</f>
        <v/>
      </c>
      <c r="D13589">
        <f>IFERROR(Table7[[#This Row],[United States 10y]]-Table7[[#This Row],[United States 3y]],#N/A)</f>
        <v/>
      </c>
    </row>
    <row r="13590">
      <c r="A13590" s="6">
        <f>Database!$A15675</f>
        <v/>
      </c>
      <c r="B13590">
        <f>IF(VLOOKUP(Table7[[#This Row],[Date]],Database!$A:$C,MATCH($B$1,Database!$A$1:$C$1,),)=0,#N/A,VLOOKUP(Table7[[#This Row],[Date]],Database!$A:$C,MATCH($B$1,Database!$A$1:$C$1,),))</f>
        <v/>
      </c>
      <c r="C13590">
        <f>IF(VLOOKUP(Table7[[#This Row],[Date]],Database!$A:$C,MATCH($C$1,Database!$A$1:$C$1,),)=0,#N/A,VLOOKUP(Table7[[#This Row],[Date]],Database!$A:$C,MATCH($C$1,Database!$A$1:$C$1,),))</f>
        <v/>
      </c>
      <c r="D13590">
        <f>IFERROR(Table7[[#This Row],[United States 10y]]-Table7[[#This Row],[United States 3y]],#N/A)</f>
        <v/>
      </c>
    </row>
    <row r="13591">
      <c r="A13591" s="6">
        <f>Database!$A15676</f>
        <v/>
      </c>
      <c r="B13591">
        <f>IF(VLOOKUP(Table7[[#This Row],[Date]],Database!$A:$C,MATCH($B$1,Database!$A$1:$C$1,),)=0,#N/A,VLOOKUP(Table7[[#This Row],[Date]],Database!$A:$C,MATCH($B$1,Database!$A$1:$C$1,),))</f>
        <v/>
      </c>
      <c r="C13591">
        <f>IF(VLOOKUP(Table7[[#This Row],[Date]],Database!$A:$C,MATCH($C$1,Database!$A$1:$C$1,),)=0,#N/A,VLOOKUP(Table7[[#This Row],[Date]],Database!$A:$C,MATCH($C$1,Database!$A$1:$C$1,),))</f>
        <v/>
      </c>
      <c r="D13591">
        <f>IFERROR(Table7[[#This Row],[United States 10y]]-Table7[[#This Row],[United States 3y]],#N/A)</f>
        <v/>
      </c>
    </row>
    <row r="13592">
      <c r="A13592" s="6">
        <f>Database!$A15677</f>
        <v/>
      </c>
      <c r="B13592">
        <f>IF(VLOOKUP(Table7[[#This Row],[Date]],Database!$A:$C,MATCH($B$1,Database!$A$1:$C$1,),)=0,#N/A,VLOOKUP(Table7[[#This Row],[Date]],Database!$A:$C,MATCH($B$1,Database!$A$1:$C$1,),))</f>
        <v/>
      </c>
      <c r="C13592">
        <f>IF(VLOOKUP(Table7[[#This Row],[Date]],Database!$A:$C,MATCH($C$1,Database!$A$1:$C$1,),)=0,#N/A,VLOOKUP(Table7[[#This Row],[Date]],Database!$A:$C,MATCH($C$1,Database!$A$1:$C$1,),))</f>
        <v/>
      </c>
      <c r="D13592">
        <f>IFERROR(Table7[[#This Row],[United States 10y]]-Table7[[#This Row],[United States 3y]],#N/A)</f>
        <v/>
      </c>
    </row>
    <row r="13593">
      <c r="A13593" s="6">
        <f>Database!$A15678</f>
        <v/>
      </c>
      <c r="B13593">
        <f>IF(VLOOKUP(Table7[[#This Row],[Date]],Database!$A:$C,MATCH($B$1,Database!$A$1:$C$1,),)=0,#N/A,VLOOKUP(Table7[[#This Row],[Date]],Database!$A:$C,MATCH($B$1,Database!$A$1:$C$1,),))</f>
        <v/>
      </c>
      <c r="C13593">
        <f>IF(VLOOKUP(Table7[[#This Row],[Date]],Database!$A:$C,MATCH($C$1,Database!$A$1:$C$1,),)=0,#N/A,VLOOKUP(Table7[[#This Row],[Date]],Database!$A:$C,MATCH($C$1,Database!$A$1:$C$1,),))</f>
        <v/>
      </c>
      <c r="D13593">
        <f>IFERROR(Table7[[#This Row],[United States 10y]]-Table7[[#This Row],[United States 3y]],#N/A)</f>
        <v/>
      </c>
    </row>
    <row r="13594">
      <c r="A13594" s="6">
        <f>Database!$A15679</f>
        <v/>
      </c>
      <c r="B13594">
        <f>IF(VLOOKUP(Table7[[#This Row],[Date]],Database!$A:$C,MATCH($B$1,Database!$A$1:$C$1,),)=0,#N/A,VLOOKUP(Table7[[#This Row],[Date]],Database!$A:$C,MATCH($B$1,Database!$A$1:$C$1,),))</f>
        <v/>
      </c>
      <c r="C13594">
        <f>IF(VLOOKUP(Table7[[#This Row],[Date]],Database!$A:$C,MATCH($C$1,Database!$A$1:$C$1,),)=0,#N/A,VLOOKUP(Table7[[#This Row],[Date]],Database!$A:$C,MATCH($C$1,Database!$A$1:$C$1,),))</f>
        <v/>
      </c>
      <c r="D13594">
        <f>IFERROR(Table7[[#This Row],[United States 10y]]-Table7[[#This Row],[United States 3y]],#N/A)</f>
        <v/>
      </c>
    </row>
    <row r="13595">
      <c r="A13595" s="6">
        <f>Database!$A15680</f>
        <v/>
      </c>
      <c r="B13595">
        <f>IF(VLOOKUP(Table7[[#This Row],[Date]],Database!$A:$C,MATCH($B$1,Database!$A$1:$C$1,),)=0,#N/A,VLOOKUP(Table7[[#This Row],[Date]],Database!$A:$C,MATCH($B$1,Database!$A$1:$C$1,),))</f>
        <v/>
      </c>
      <c r="C13595">
        <f>IF(VLOOKUP(Table7[[#This Row],[Date]],Database!$A:$C,MATCH($C$1,Database!$A$1:$C$1,),)=0,#N/A,VLOOKUP(Table7[[#This Row],[Date]],Database!$A:$C,MATCH($C$1,Database!$A$1:$C$1,),))</f>
        <v/>
      </c>
      <c r="D13595">
        <f>IFERROR(Table7[[#This Row],[United States 10y]]-Table7[[#This Row],[United States 3y]],#N/A)</f>
        <v/>
      </c>
    </row>
    <row r="13596">
      <c r="A13596" s="6">
        <f>Database!$A15681</f>
        <v/>
      </c>
      <c r="B13596">
        <f>IF(VLOOKUP(Table7[[#This Row],[Date]],Database!$A:$C,MATCH($B$1,Database!$A$1:$C$1,),)=0,#N/A,VLOOKUP(Table7[[#This Row],[Date]],Database!$A:$C,MATCH($B$1,Database!$A$1:$C$1,),))</f>
        <v/>
      </c>
      <c r="C13596">
        <f>IF(VLOOKUP(Table7[[#This Row],[Date]],Database!$A:$C,MATCH($C$1,Database!$A$1:$C$1,),)=0,#N/A,VLOOKUP(Table7[[#This Row],[Date]],Database!$A:$C,MATCH($C$1,Database!$A$1:$C$1,),))</f>
        <v/>
      </c>
      <c r="D13596">
        <f>IFERROR(Table7[[#This Row],[United States 10y]]-Table7[[#This Row],[United States 3y]],#N/A)</f>
        <v/>
      </c>
    </row>
    <row r="13597">
      <c r="A13597" s="6">
        <f>Database!$A15682</f>
        <v/>
      </c>
      <c r="B13597">
        <f>IF(VLOOKUP(Table7[[#This Row],[Date]],Database!$A:$C,MATCH($B$1,Database!$A$1:$C$1,),)=0,#N/A,VLOOKUP(Table7[[#This Row],[Date]],Database!$A:$C,MATCH($B$1,Database!$A$1:$C$1,),))</f>
        <v/>
      </c>
      <c r="C13597">
        <f>IF(VLOOKUP(Table7[[#This Row],[Date]],Database!$A:$C,MATCH($C$1,Database!$A$1:$C$1,),)=0,#N/A,VLOOKUP(Table7[[#This Row],[Date]],Database!$A:$C,MATCH($C$1,Database!$A$1:$C$1,),))</f>
        <v/>
      </c>
      <c r="D13597">
        <f>IFERROR(Table7[[#This Row],[United States 10y]]-Table7[[#This Row],[United States 3y]],#N/A)</f>
        <v/>
      </c>
    </row>
    <row r="13598">
      <c r="A13598" s="6">
        <f>Database!$A15683</f>
        <v/>
      </c>
      <c r="B13598">
        <f>IF(VLOOKUP(Table7[[#This Row],[Date]],Database!$A:$C,MATCH($B$1,Database!$A$1:$C$1,),)=0,#N/A,VLOOKUP(Table7[[#This Row],[Date]],Database!$A:$C,MATCH($B$1,Database!$A$1:$C$1,),))</f>
        <v/>
      </c>
      <c r="C13598">
        <f>IF(VLOOKUP(Table7[[#This Row],[Date]],Database!$A:$C,MATCH($C$1,Database!$A$1:$C$1,),)=0,#N/A,VLOOKUP(Table7[[#This Row],[Date]],Database!$A:$C,MATCH($C$1,Database!$A$1:$C$1,),))</f>
        <v/>
      </c>
      <c r="D13598">
        <f>IFERROR(Table7[[#This Row],[United States 10y]]-Table7[[#This Row],[United States 3y]],#N/A)</f>
        <v/>
      </c>
    </row>
    <row r="13599">
      <c r="A13599" s="6">
        <f>Database!$A15684</f>
        <v/>
      </c>
      <c r="B13599">
        <f>IF(VLOOKUP(Table7[[#This Row],[Date]],Database!$A:$C,MATCH($B$1,Database!$A$1:$C$1,),)=0,#N/A,VLOOKUP(Table7[[#This Row],[Date]],Database!$A:$C,MATCH($B$1,Database!$A$1:$C$1,),))</f>
        <v/>
      </c>
      <c r="C13599">
        <f>IF(VLOOKUP(Table7[[#This Row],[Date]],Database!$A:$C,MATCH($C$1,Database!$A$1:$C$1,),)=0,#N/A,VLOOKUP(Table7[[#This Row],[Date]],Database!$A:$C,MATCH($C$1,Database!$A$1:$C$1,),))</f>
        <v/>
      </c>
      <c r="D13599">
        <f>IFERROR(Table7[[#This Row],[United States 10y]]-Table7[[#This Row],[United States 3y]],#N/A)</f>
        <v/>
      </c>
    </row>
    <row r="13600">
      <c r="A13600" s="6">
        <f>Database!$A15685</f>
        <v/>
      </c>
      <c r="B13600">
        <f>IF(VLOOKUP(Table7[[#This Row],[Date]],Database!$A:$C,MATCH($B$1,Database!$A$1:$C$1,),)=0,#N/A,VLOOKUP(Table7[[#This Row],[Date]],Database!$A:$C,MATCH($B$1,Database!$A$1:$C$1,),))</f>
        <v/>
      </c>
      <c r="C13600">
        <f>IF(VLOOKUP(Table7[[#This Row],[Date]],Database!$A:$C,MATCH($C$1,Database!$A$1:$C$1,),)=0,#N/A,VLOOKUP(Table7[[#This Row],[Date]],Database!$A:$C,MATCH($C$1,Database!$A$1:$C$1,),))</f>
        <v/>
      </c>
      <c r="D13600">
        <f>IFERROR(Table7[[#This Row],[United States 10y]]-Table7[[#This Row],[United States 3y]],#N/A)</f>
        <v/>
      </c>
    </row>
    <row r="13601">
      <c r="A13601" s="6">
        <f>Database!$A15686</f>
        <v/>
      </c>
      <c r="B13601">
        <f>IF(VLOOKUP(Table7[[#This Row],[Date]],Database!$A:$C,MATCH($B$1,Database!$A$1:$C$1,),)=0,#N/A,VLOOKUP(Table7[[#This Row],[Date]],Database!$A:$C,MATCH($B$1,Database!$A$1:$C$1,),))</f>
        <v/>
      </c>
      <c r="C13601">
        <f>IF(VLOOKUP(Table7[[#This Row],[Date]],Database!$A:$C,MATCH($C$1,Database!$A$1:$C$1,),)=0,#N/A,VLOOKUP(Table7[[#This Row],[Date]],Database!$A:$C,MATCH($C$1,Database!$A$1:$C$1,),))</f>
        <v/>
      </c>
      <c r="D13601">
        <f>IFERROR(Table7[[#This Row],[United States 10y]]-Table7[[#This Row],[United States 3y]],#N/A)</f>
        <v/>
      </c>
    </row>
    <row r="13602">
      <c r="A13602" s="6">
        <f>Database!$A15687</f>
        <v/>
      </c>
      <c r="B13602">
        <f>IF(VLOOKUP(Table7[[#This Row],[Date]],Database!$A:$C,MATCH($B$1,Database!$A$1:$C$1,),)=0,#N/A,VLOOKUP(Table7[[#This Row],[Date]],Database!$A:$C,MATCH($B$1,Database!$A$1:$C$1,),))</f>
        <v/>
      </c>
      <c r="C13602">
        <f>IF(VLOOKUP(Table7[[#This Row],[Date]],Database!$A:$C,MATCH($C$1,Database!$A$1:$C$1,),)=0,#N/A,VLOOKUP(Table7[[#This Row],[Date]],Database!$A:$C,MATCH($C$1,Database!$A$1:$C$1,),))</f>
        <v/>
      </c>
      <c r="D13602">
        <f>IFERROR(Table7[[#This Row],[United States 10y]]-Table7[[#This Row],[United States 3y]],#N/A)</f>
        <v/>
      </c>
    </row>
    <row r="13603">
      <c r="A13603" s="6">
        <f>Database!$A15688</f>
        <v/>
      </c>
      <c r="B13603">
        <f>IF(VLOOKUP(Table7[[#This Row],[Date]],Database!$A:$C,MATCH($B$1,Database!$A$1:$C$1,),)=0,#N/A,VLOOKUP(Table7[[#This Row],[Date]],Database!$A:$C,MATCH($B$1,Database!$A$1:$C$1,),))</f>
        <v/>
      </c>
      <c r="C13603">
        <f>IF(VLOOKUP(Table7[[#This Row],[Date]],Database!$A:$C,MATCH($C$1,Database!$A$1:$C$1,),)=0,#N/A,VLOOKUP(Table7[[#This Row],[Date]],Database!$A:$C,MATCH($C$1,Database!$A$1:$C$1,),))</f>
        <v/>
      </c>
      <c r="D13603">
        <f>IFERROR(Table7[[#This Row],[United States 10y]]-Table7[[#This Row],[United States 3y]],#N/A)</f>
        <v/>
      </c>
    </row>
    <row r="13604">
      <c r="A13604" s="6">
        <f>Database!$A15689</f>
        <v/>
      </c>
      <c r="B13604">
        <f>IF(VLOOKUP(Table7[[#This Row],[Date]],Database!$A:$C,MATCH($B$1,Database!$A$1:$C$1,),)=0,#N/A,VLOOKUP(Table7[[#This Row],[Date]],Database!$A:$C,MATCH($B$1,Database!$A$1:$C$1,),))</f>
        <v/>
      </c>
      <c r="C13604">
        <f>IF(VLOOKUP(Table7[[#This Row],[Date]],Database!$A:$C,MATCH($C$1,Database!$A$1:$C$1,),)=0,#N/A,VLOOKUP(Table7[[#This Row],[Date]],Database!$A:$C,MATCH($C$1,Database!$A$1:$C$1,),))</f>
        <v/>
      </c>
      <c r="D13604">
        <f>IFERROR(Table7[[#This Row],[United States 10y]]-Table7[[#This Row],[United States 3y]],#N/A)</f>
        <v/>
      </c>
    </row>
    <row r="13605">
      <c r="A13605" s="6">
        <f>Database!$A15690</f>
        <v/>
      </c>
      <c r="B13605">
        <f>IF(VLOOKUP(Table7[[#This Row],[Date]],Database!$A:$C,MATCH($B$1,Database!$A$1:$C$1,),)=0,#N/A,VLOOKUP(Table7[[#This Row],[Date]],Database!$A:$C,MATCH($B$1,Database!$A$1:$C$1,),))</f>
        <v/>
      </c>
      <c r="C13605">
        <f>IF(VLOOKUP(Table7[[#This Row],[Date]],Database!$A:$C,MATCH($C$1,Database!$A$1:$C$1,),)=0,#N/A,VLOOKUP(Table7[[#This Row],[Date]],Database!$A:$C,MATCH($C$1,Database!$A$1:$C$1,),))</f>
        <v/>
      </c>
      <c r="D13605">
        <f>IFERROR(Table7[[#This Row],[United States 10y]]-Table7[[#This Row],[United States 3y]],#N/A)</f>
        <v/>
      </c>
    </row>
    <row r="13606">
      <c r="A13606" s="6">
        <f>Database!$A15691</f>
        <v/>
      </c>
      <c r="B13606">
        <f>IF(VLOOKUP(Table7[[#This Row],[Date]],Database!$A:$C,MATCH($B$1,Database!$A$1:$C$1,),)=0,#N/A,VLOOKUP(Table7[[#This Row],[Date]],Database!$A:$C,MATCH($B$1,Database!$A$1:$C$1,),))</f>
        <v/>
      </c>
      <c r="C13606">
        <f>IF(VLOOKUP(Table7[[#This Row],[Date]],Database!$A:$C,MATCH($C$1,Database!$A$1:$C$1,),)=0,#N/A,VLOOKUP(Table7[[#This Row],[Date]],Database!$A:$C,MATCH($C$1,Database!$A$1:$C$1,),))</f>
        <v/>
      </c>
      <c r="D13606">
        <f>IFERROR(Table7[[#This Row],[United States 10y]]-Table7[[#This Row],[United States 3y]],#N/A)</f>
        <v/>
      </c>
    </row>
    <row r="13607">
      <c r="A13607" s="6">
        <f>Database!$A15692</f>
        <v/>
      </c>
      <c r="B13607">
        <f>IF(VLOOKUP(Table7[[#This Row],[Date]],Database!$A:$C,MATCH($B$1,Database!$A$1:$C$1,),)=0,#N/A,VLOOKUP(Table7[[#This Row],[Date]],Database!$A:$C,MATCH($B$1,Database!$A$1:$C$1,),))</f>
        <v/>
      </c>
      <c r="C13607">
        <f>IF(VLOOKUP(Table7[[#This Row],[Date]],Database!$A:$C,MATCH($C$1,Database!$A$1:$C$1,),)=0,#N/A,VLOOKUP(Table7[[#This Row],[Date]],Database!$A:$C,MATCH($C$1,Database!$A$1:$C$1,),))</f>
        <v/>
      </c>
      <c r="D13607">
        <f>IFERROR(Table7[[#This Row],[United States 10y]]-Table7[[#This Row],[United States 3y]],#N/A)</f>
        <v/>
      </c>
    </row>
    <row r="13608">
      <c r="A13608" s="6">
        <f>Database!$A15693</f>
        <v/>
      </c>
      <c r="B13608">
        <f>IF(VLOOKUP(Table7[[#This Row],[Date]],Database!$A:$C,MATCH($B$1,Database!$A$1:$C$1,),)=0,#N/A,VLOOKUP(Table7[[#This Row],[Date]],Database!$A:$C,MATCH($B$1,Database!$A$1:$C$1,),))</f>
        <v/>
      </c>
      <c r="C13608">
        <f>IF(VLOOKUP(Table7[[#This Row],[Date]],Database!$A:$C,MATCH($C$1,Database!$A$1:$C$1,),)=0,#N/A,VLOOKUP(Table7[[#This Row],[Date]],Database!$A:$C,MATCH($C$1,Database!$A$1:$C$1,),))</f>
        <v/>
      </c>
      <c r="D13608">
        <f>IFERROR(Table7[[#This Row],[United States 10y]]-Table7[[#This Row],[United States 3y]],#N/A)</f>
        <v/>
      </c>
    </row>
    <row r="13609">
      <c r="A13609" s="6">
        <f>Database!$A15694</f>
        <v/>
      </c>
      <c r="B13609">
        <f>IF(VLOOKUP(Table7[[#This Row],[Date]],Database!$A:$C,MATCH($B$1,Database!$A$1:$C$1,),)=0,#N/A,VLOOKUP(Table7[[#This Row],[Date]],Database!$A:$C,MATCH($B$1,Database!$A$1:$C$1,),))</f>
        <v/>
      </c>
      <c r="C13609">
        <f>IF(VLOOKUP(Table7[[#This Row],[Date]],Database!$A:$C,MATCH($C$1,Database!$A$1:$C$1,),)=0,#N/A,VLOOKUP(Table7[[#This Row],[Date]],Database!$A:$C,MATCH($C$1,Database!$A$1:$C$1,),))</f>
        <v/>
      </c>
      <c r="D13609">
        <f>IFERROR(Table7[[#This Row],[United States 10y]]-Table7[[#This Row],[United States 3y]],#N/A)</f>
        <v/>
      </c>
    </row>
    <row r="13610">
      <c r="A13610" s="6">
        <f>Database!$A15695</f>
        <v/>
      </c>
      <c r="B13610">
        <f>IF(VLOOKUP(Table7[[#This Row],[Date]],Database!$A:$C,MATCH($B$1,Database!$A$1:$C$1,),)=0,#N/A,VLOOKUP(Table7[[#This Row],[Date]],Database!$A:$C,MATCH($B$1,Database!$A$1:$C$1,),))</f>
        <v/>
      </c>
      <c r="C13610">
        <f>IF(VLOOKUP(Table7[[#This Row],[Date]],Database!$A:$C,MATCH($C$1,Database!$A$1:$C$1,),)=0,#N/A,VLOOKUP(Table7[[#This Row],[Date]],Database!$A:$C,MATCH($C$1,Database!$A$1:$C$1,),))</f>
        <v/>
      </c>
      <c r="D13610">
        <f>IFERROR(Table7[[#This Row],[United States 10y]]-Table7[[#This Row],[United States 3y]],#N/A)</f>
        <v/>
      </c>
    </row>
    <row r="13611">
      <c r="A13611" s="6">
        <f>Database!$A15696</f>
        <v/>
      </c>
      <c r="B13611">
        <f>IF(VLOOKUP(Table7[[#This Row],[Date]],Database!$A:$C,MATCH($B$1,Database!$A$1:$C$1,),)=0,#N/A,VLOOKUP(Table7[[#This Row],[Date]],Database!$A:$C,MATCH($B$1,Database!$A$1:$C$1,),))</f>
        <v/>
      </c>
      <c r="C13611">
        <f>IF(VLOOKUP(Table7[[#This Row],[Date]],Database!$A:$C,MATCH($C$1,Database!$A$1:$C$1,),)=0,#N/A,VLOOKUP(Table7[[#This Row],[Date]],Database!$A:$C,MATCH($C$1,Database!$A$1:$C$1,),))</f>
        <v/>
      </c>
      <c r="D13611">
        <f>IFERROR(Table7[[#This Row],[United States 10y]]-Table7[[#This Row],[United States 3y]],#N/A)</f>
        <v/>
      </c>
    </row>
    <row r="13612">
      <c r="A13612" s="6">
        <f>Database!$A15697</f>
        <v/>
      </c>
      <c r="B13612">
        <f>IF(VLOOKUP(Table7[[#This Row],[Date]],Database!$A:$C,MATCH($B$1,Database!$A$1:$C$1,),)=0,#N/A,VLOOKUP(Table7[[#This Row],[Date]],Database!$A:$C,MATCH($B$1,Database!$A$1:$C$1,),))</f>
        <v/>
      </c>
      <c r="C13612">
        <f>IF(VLOOKUP(Table7[[#This Row],[Date]],Database!$A:$C,MATCH($C$1,Database!$A$1:$C$1,),)=0,#N/A,VLOOKUP(Table7[[#This Row],[Date]],Database!$A:$C,MATCH($C$1,Database!$A$1:$C$1,),))</f>
        <v/>
      </c>
      <c r="D13612">
        <f>IFERROR(Table7[[#This Row],[United States 10y]]-Table7[[#This Row],[United States 3y]],#N/A)</f>
        <v/>
      </c>
    </row>
    <row r="13613">
      <c r="A13613" s="6">
        <f>Database!$A15698</f>
        <v/>
      </c>
      <c r="B13613">
        <f>IF(VLOOKUP(Table7[[#This Row],[Date]],Database!$A:$C,MATCH($B$1,Database!$A$1:$C$1,),)=0,#N/A,VLOOKUP(Table7[[#This Row],[Date]],Database!$A:$C,MATCH($B$1,Database!$A$1:$C$1,),))</f>
        <v/>
      </c>
      <c r="C13613">
        <f>IF(VLOOKUP(Table7[[#This Row],[Date]],Database!$A:$C,MATCH($C$1,Database!$A$1:$C$1,),)=0,#N/A,VLOOKUP(Table7[[#This Row],[Date]],Database!$A:$C,MATCH($C$1,Database!$A$1:$C$1,),))</f>
        <v/>
      </c>
      <c r="D13613">
        <f>IFERROR(Table7[[#This Row],[United States 10y]]-Table7[[#This Row],[United States 3y]],#N/A)</f>
        <v/>
      </c>
    </row>
    <row r="13614">
      <c r="A13614" s="6">
        <f>Database!$A15699</f>
        <v/>
      </c>
      <c r="B13614">
        <f>IF(VLOOKUP(Table7[[#This Row],[Date]],Database!$A:$C,MATCH($B$1,Database!$A$1:$C$1,),)=0,#N/A,VLOOKUP(Table7[[#This Row],[Date]],Database!$A:$C,MATCH($B$1,Database!$A$1:$C$1,),))</f>
        <v/>
      </c>
      <c r="C13614">
        <f>IF(VLOOKUP(Table7[[#This Row],[Date]],Database!$A:$C,MATCH($C$1,Database!$A$1:$C$1,),)=0,#N/A,VLOOKUP(Table7[[#This Row],[Date]],Database!$A:$C,MATCH($C$1,Database!$A$1:$C$1,),))</f>
        <v/>
      </c>
      <c r="D13614">
        <f>IFERROR(Table7[[#This Row],[United States 10y]]-Table7[[#This Row],[United States 3y]],#N/A)</f>
        <v/>
      </c>
    </row>
    <row r="13615">
      <c r="A13615" s="6">
        <f>Database!$A15700</f>
        <v/>
      </c>
      <c r="B13615">
        <f>IF(VLOOKUP(Table7[[#This Row],[Date]],Database!$A:$C,MATCH($B$1,Database!$A$1:$C$1,),)=0,#N/A,VLOOKUP(Table7[[#This Row],[Date]],Database!$A:$C,MATCH($B$1,Database!$A$1:$C$1,),))</f>
        <v/>
      </c>
      <c r="C13615">
        <f>IF(VLOOKUP(Table7[[#This Row],[Date]],Database!$A:$C,MATCH($C$1,Database!$A$1:$C$1,),)=0,#N/A,VLOOKUP(Table7[[#This Row],[Date]],Database!$A:$C,MATCH($C$1,Database!$A$1:$C$1,),))</f>
        <v/>
      </c>
      <c r="D13615">
        <f>IFERROR(Table7[[#This Row],[United States 10y]]-Table7[[#This Row],[United States 3y]],#N/A)</f>
        <v/>
      </c>
    </row>
    <row r="13616">
      <c r="A13616" s="6">
        <f>Database!$A15701</f>
        <v/>
      </c>
      <c r="B13616">
        <f>IF(VLOOKUP(Table7[[#This Row],[Date]],Database!$A:$C,MATCH($B$1,Database!$A$1:$C$1,),)=0,#N/A,VLOOKUP(Table7[[#This Row],[Date]],Database!$A:$C,MATCH($B$1,Database!$A$1:$C$1,),))</f>
        <v/>
      </c>
      <c r="C13616">
        <f>IF(VLOOKUP(Table7[[#This Row],[Date]],Database!$A:$C,MATCH($C$1,Database!$A$1:$C$1,),)=0,#N/A,VLOOKUP(Table7[[#This Row],[Date]],Database!$A:$C,MATCH($C$1,Database!$A$1:$C$1,),))</f>
        <v/>
      </c>
      <c r="D13616">
        <f>IFERROR(Table7[[#This Row],[United States 10y]]-Table7[[#This Row],[United States 3y]],#N/A)</f>
        <v/>
      </c>
    </row>
    <row r="13617">
      <c r="A13617" s="6">
        <f>Database!$A15702</f>
        <v/>
      </c>
      <c r="B13617">
        <f>IF(VLOOKUP(Table7[[#This Row],[Date]],Database!$A:$C,MATCH($B$1,Database!$A$1:$C$1,),)=0,#N/A,VLOOKUP(Table7[[#This Row],[Date]],Database!$A:$C,MATCH($B$1,Database!$A$1:$C$1,),))</f>
        <v/>
      </c>
      <c r="C13617">
        <f>IF(VLOOKUP(Table7[[#This Row],[Date]],Database!$A:$C,MATCH($C$1,Database!$A$1:$C$1,),)=0,#N/A,VLOOKUP(Table7[[#This Row],[Date]],Database!$A:$C,MATCH($C$1,Database!$A$1:$C$1,),))</f>
        <v/>
      </c>
      <c r="D13617">
        <f>IFERROR(Table7[[#This Row],[United States 10y]]-Table7[[#This Row],[United States 3y]],#N/A)</f>
        <v/>
      </c>
    </row>
    <row r="13618">
      <c r="A13618" s="6">
        <f>Database!$A15703</f>
        <v/>
      </c>
      <c r="B13618">
        <f>IF(VLOOKUP(Table7[[#This Row],[Date]],Database!$A:$C,MATCH($B$1,Database!$A$1:$C$1,),)=0,#N/A,VLOOKUP(Table7[[#This Row],[Date]],Database!$A:$C,MATCH($B$1,Database!$A$1:$C$1,),))</f>
        <v/>
      </c>
      <c r="C13618">
        <f>IF(VLOOKUP(Table7[[#This Row],[Date]],Database!$A:$C,MATCH($C$1,Database!$A$1:$C$1,),)=0,#N/A,VLOOKUP(Table7[[#This Row],[Date]],Database!$A:$C,MATCH($C$1,Database!$A$1:$C$1,),))</f>
        <v/>
      </c>
      <c r="D13618">
        <f>IFERROR(Table7[[#This Row],[United States 10y]]-Table7[[#This Row],[United States 3y]],#N/A)</f>
        <v/>
      </c>
    </row>
    <row r="13619">
      <c r="A13619" s="6">
        <f>Database!$A15704</f>
        <v/>
      </c>
      <c r="B13619">
        <f>IF(VLOOKUP(Table7[[#This Row],[Date]],Database!$A:$C,MATCH($B$1,Database!$A$1:$C$1,),)=0,#N/A,VLOOKUP(Table7[[#This Row],[Date]],Database!$A:$C,MATCH($B$1,Database!$A$1:$C$1,),))</f>
        <v/>
      </c>
      <c r="C13619">
        <f>IF(VLOOKUP(Table7[[#This Row],[Date]],Database!$A:$C,MATCH($C$1,Database!$A$1:$C$1,),)=0,#N/A,VLOOKUP(Table7[[#This Row],[Date]],Database!$A:$C,MATCH($C$1,Database!$A$1:$C$1,),))</f>
        <v/>
      </c>
      <c r="D13619">
        <f>IFERROR(Table7[[#This Row],[United States 10y]]-Table7[[#This Row],[United States 3y]],#N/A)</f>
        <v/>
      </c>
    </row>
    <row r="13620">
      <c r="A13620" s="6">
        <f>Database!$A15705</f>
        <v/>
      </c>
      <c r="B13620">
        <f>IF(VLOOKUP(Table7[[#This Row],[Date]],Database!$A:$C,MATCH($B$1,Database!$A$1:$C$1,),)=0,#N/A,VLOOKUP(Table7[[#This Row],[Date]],Database!$A:$C,MATCH($B$1,Database!$A$1:$C$1,),))</f>
        <v/>
      </c>
      <c r="C13620">
        <f>IF(VLOOKUP(Table7[[#This Row],[Date]],Database!$A:$C,MATCH($C$1,Database!$A$1:$C$1,),)=0,#N/A,VLOOKUP(Table7[[#This Row],[Date]],Database!$A:$C,MATCH($C$1,Database!$A$1:$C$1,),))</f>
        <v/>
      </c>
      <c r="D13620">
        <f>IFERROR(Table7[[#This Row],[United States 10y]]-Table7[[#This Row],[United States 3y]],#N/A)</f>
        <v/>
      </c>
    </row>
    <row r="13621">
      <c r="A13621" s="6">
        <f>Database!$A15706</f>
        <v/>
      </c>
      <c r="B13621">
        <f>IF(VLOOKUP(Table7[[#This Row],[Date]],Database!$A:$C,MATCH($B$1,Database!$A$1:$C$1,),)=0,#N/A,VLOOKUP(Table7[[#This Row],[Date]],Database!$A:$C,MATCH($B$1,Database!$A$1:$C$1,),))</f>
        <v/>
      </c>
      <c r="C13621">
        <f>IF(VLOOKUP(Table7[[#This Row],[Date]],Database!$A:$C,MATCH($C$1,Database!$A$1:$C$1,),)=0,#N/A,VLOOKUP(Table7[[#This Row],[Date]],Database!$A:$C,MATCH($C$1,Database!$A$1:$C$1,),))</f>
        <v/>
      </c>
      <c r="D13621">
        <f>IFERROR(Table7[[#This Row],[United States 10y]]-Table7[[#This Row],[United States 3y]],#N/A)</f>
        <v/>
      </c>
    </row>
    <row r="13622">
      <c r="A13622" s="6">
        <f>Database!$A15707</f>
        <v/>
      </c>
      <c r="B13622">
        <f>IF(VLOOKUP(Table7[[#This Row],[Date]],Database!$A:$C,MATCH($B$1,Database!$A$1:$C$1,),)=0,#N/A,VLOOKUP(Table7[[#This Row],[Date]],Database!$A:$C,MATCH($B$1,Database!$A$1:$C$1,),))</f>
        <v/>
      </c>
      <c r="C13622">
        <f>IF(VLOOKUP(Table7[[#This Row],[Date]],Database!$A:$C,MATCH($C$1,Database!$A$1:$C$1,),)=0,#N/A,VLOOKUP(Table7[[#This Row],[Date]],Database!$A:$C,MATCH($C$1,Database!$A$1:$C$1,),))</f>
        <v/>
      </c>
      <c r="D13622">
        <f>IFERROR(Table7[[#This Row],[United States 10y]]-Table7[[#This Row],[United States 3y]],#N/A)</f>
        <v/>
      </c>
    </row>
    <row r="13623">
      <c r="A13623" s="6">
        <f>Database!$A15708</f>
        <v/>
      </c>
      <c r="B13623">
        <f>IF(VLOOKUP(Table7[[#This Row],[Date]],Database!$A:$C,MATCH($B$1,Database!$A$1:$C$1,),)=0,#N/A,VLOOKUP(Table7[[#This Row],[Date]],Database!$A:$C,MATCH($B$1,Database!$A$1:$C$1,),))</f>
        <v/>
      </c>
      <c r="C13623">
        <f>IF(VLOOKUP(Table7[[#This Row],[Date]],Database!$A:$C,MATCH($C$1,Database!$A$1:$C$1,),)=0,#N/A,VLOOKUP(Table7[[#This Row],[Date]],Database!$A:$C,MATCH($C$1,Database!$A$1:$C$1,),))</f>
        <v/>
      </c>
      <c r="D13623">
        <f>IFERROR(Table7[[#This Row],[United States 10y]]-Table7[[#This Row],[United States 3y]],#N/A)</f>
        <v/>
      </c>
    </row>
    <row r="13624">
      <c r="A13624" s="6">
        <f>Database!$A15709</f>
        <v/>
      </c>
      <c r="B13624">
        <f>IF(VLOOKUP(Table7[[#This Row],[Date]],Database!$A:$C,MATCH($B$1,Database!$A$1:$C$1,),)=0,#N/A,VLOOKUP(Table7[[#This Row],[Date]],Database!$A:$C,MATCH($B$1,Database!$A$1:$C$1,),))</f>
        <v/>
      </c>
      <c r="C13624">
        <f>IF(VLOOKUP(Table7[[#This Row],[Date]],Database!$A:$C,MATCH($C$1,Database!$A$1:$C$1,),)=0,#N/A,VLOOKUP(Table7[[#This Row],[Date]],Database!$A:$C,MATCH($C$1,Database!$A$1:$C$1,),))</f>
        <v/>
      </c>
      <c r="D13624">
        <f>IFERROR(Table7[[#This Row],[United States 10y]]-Table7[[#This Row],[United States 3y]],#N/A)</f>
        <v/>
      </c>
    </row>
    <row r="13625">
      <c r="A13625" s="6">
        <f>Database!$A15710</f>
        <v/>
      </c>
      <c r="B13625">
        <f>IF(VLOOKUP(Table7[[#This Row],[Date]],Database!$A:$C,MATCH($B$1,Database!$A$1:$C$1,),)=0,#N/A,VLOOKUP(Table7[[#This Row],[Date]],Database!$A:$C,MATCH($B$1,Database!$A$1:$C$1,),))</f>
        <v/>
      </c>
      <c r="C13625">
        <f>IF(VLOOKUP(Table7[[#This Row],[Date]],Database!$A:$C,MATCH($C$1,Database!$A$1:$C$1,),)=0,#N/A,VLOOKUP(Table7[[#This Row],[Date]],Database!$A:$C,MATCH($C$1,Database!$A$1:$C$1,),))</f>
        <v/>
      </c>
      <c r="D13625">
        <f>IFERROR(Table7[[#This Row],[United States 10y]]-Table7[[#This Row],[United States 3y]],#N/A)</f>
        <v/>
      </c>
    </row>
    <row r="13626">
      <c r="A13626" s="6">
        <f>Database!$A15711</f>
        <v/>
      </c>
      <c r="B13626">
        <f>IF(VLOOKUP(Table7[[#This Row],[Date]],Database!$A:$C,MATCH($B$1,Database!$A$1:$C$1,),)=0,#N/A,VLOOKUP(Table7[[#This Row],[Date]],Database!$A:$C,MATCH($B$1,Database!$A$1:$C$1,),))</f>
        <v/>
      </c>
      <c r="C13626">
        <f>IF(VLOOKUP(Table7[[#This Row],[Date]],Database!$A:$C,MATCH($C$1,Database!$A$1:$C$1,),)=0,#N/A,VLOOKUP(Table7[[#This Row],[Date]],Database!$A:$C,MATCH($C$1,Database!$A$1:$C$1,),))</f>
        <v/>
      </c>
      <c r="D13626">
        <f>IFERROR(Table7[[#This Row],[United States 10y]]-Table7[[#This Row],[United States 3y]],#N/A)</f>
        <v/>
      </c>
    </row>
    <row r="13627">
      <c r="A13627" s="6">
        <f>Database!$A15712</f>
        <v/>
      </c>
      <c r="B13627">
        <f>IF(VLOOKUP(Table7[[#This Row],[Date]],Database!$A:$C,MATCH($B$1,Database!$A$1:$C$1,),)=0,#N/A,VLOOKUP(Table7[[#This Row],[Date]],Database!$A:$C,MATCH($B$1,Database!$A$1:$C$1,),))</f>
        <v/>
      </c>
      <c r="C13627">
        <f>IF(VLOOKUP(Table7[[#This Row],[Date]],Database!$A:$C,MATCH($C$1,Database!$A$1:$C$1,),)=0,#N/A,VLOOKUP(Table7[[#This Row],[Date]],Database!$A:$C,MATCH($C$1,Database!$A$1:$C$1,),))</f>
        <v/>
      </c>
      <c r="D13627">
        <f>IFERROR(Table7[[#This Row],[United States 10y]]-Table7[[#This Row],[United States 3y]],#N/A)</f>
        <v/>
      </c>
    </row>
    <row r="13628">
      <c r="A13628" s="6">
        <f>Database!$A15713</f>
        <v/>
      </c>
      <c r="B13628">
        <f>IF(VLOOKUP(Table7[[#This Row],[Date]],Database!$A:$C,MATCH($B$1,Database!$A$1:$C$1,),)=0,#N/A,VLOOKUP(Table7[[#This Row],[Date]],Database!$A:$C,MATCH($B$1,Database!$A$1:$C$1,),))</f>
        <v/>
      </c>
      <c r="C13628">
        <f>IF(VLOOKUP(Table7[[#This Row],[Date]],Database!$A:$C,MATCH($C$1,Database!$A$1:$C$1,),)=0,#N/A,VLOOKUP(Table7[[#This Row],[Date]],Database!$A:$C,MATCH($C$1,Database!$A$1:$C$1,),))</f>
        <v/>
      </c>
      <c r="D13628">
        <f>IFERROR(Table7[[#This Row],[United States 10y]]-Table7[[#This Row],[United States 3y]],#N/A)</f>
        <v/>
      </c>
    </row>
    <row r="13629">
      <c r="A13629" s="6">
        <f>Database!$A15714</f>
        <v/>
      </c>
      <c r="B13629">
        <f>IF(VLOOKUP(Table7[[#This Row],[Date]],Database!$A:$C,MATCH($B$1,Database!$A$1:$C$1,),)=0,#N/A,VLOOKUP(Table7[[#This Row],[Date]],Database!$A:$C,MATCH($B$1,Database!$A$1:$C$1,),))</f>
        <v/>
      </c>
      <c r="C13629">
        <f>IF(VLOOKUP(Table7[[#This Row],[Date]],Database!$A:$C,MATCH($C$1,Database!$A$1:$C$1,),)=0,#N/A,VLOOKUP(Table7[[#This Row],[Date]],Database!$A:$C,MATCH($C$1,Database!$A$1:$C$1,),))</f>
        <v/>
      </c>
      <c r="D13629">
        <f>IFERROR(Table7[[#This Row],[United States 10y]]-Table7[[#This Row],[United States 3y]],#N/A)</f>
        <v/>
      </c>
    </row>
    <row r="13630">
      <c r="A13630" s="6">
        <f>Database!$A15715</f>
        <v/>
      </c>
      <c r="B13630">
        <f>IF(VLOOKUP(Table7[[#This Row],[Date]],Database!$A:$C,MATCH($B$1,Database!$A$1:$C$1,),)=0,#N/A,VLOOKUP(Table7[[#This Row],[Date]],Database!$A:$C,MATCH($B$1,Database!$A$1:$C$1,),))</f>
        <v/>
      </c>
      <c r="C13630">
        <f>IF(VLOOKUP(Table7[[#This Row],[Date]],Database!$A:$C,MATCH($C$1,Database!$A$1:$C$1,),)=0,#N/A,VLOOKUP(Table7[[#This Row],[Date]],Database!$A:$C,MATCH($C$1,Database!$A$1:$C$1,),))</f>
        <v/>
      </c>
      <c r="D13630">
        <f>IFERROR(Table7[[#This Row],[United States 10y]]-Table7[[#This Row],[United States 3y]],#N/A)</f>
        <v/>
      </c>
    </row>
    <row r="13631">
      <c r="A13631" s="6">
        <f>Database!$A15716</f>
        <v/>
      </c>
      <c r="B13631">
        <f>IF(VLOOKUP(Table7[[#This Row],[Date]],Database!$A:$C,MATCH($B$1,Database!$A$1:$C$1,),)=0,#N/A,VLOOKUP(Table7[[#This Row],[Date]],Database!$A:$C,MATCH($B$1,Database!$A$1:$C$1,),))</f>
        <v/>
      </c>
      <c r="C13631">
        <f>IF(VLOOKUP(Table7[[#This Row],[Date]],Database!$A:$C,MATCH($C$1,Database!$A$1:$C$1,),)=0,#N/A,VLOOKUP(Table7[[#This Row],[Date]],Database!$A:$C,MATCH($C$1,Database!$A$1:$C$1,),))</f>
        <v/>
      </c>
      <c r="D13631">
        <f>IFERROR(Table7[[#This Row],[United States 10y]]-Table7[[#This Row],[United States 3y]],#N/A)</f>
        <v/>
      </c>
    </row>
    <row r="13632">
      <c r="A13632" s="6">
        <f>Database!$A15717</f>
        <v/>
      </c>
      <c r="B13632">
        <f>IF(VLOOKUP(Table7[[#This Row],[Date]],Database!$A:$C,MATCH($B$1,Database!$A$1:$C$1,),)=0,#N/A,VLOOKUP(Table7[[#This Row],[Date]],Database!$A:$C,MATCH($B$1,Database!$A$1:$C$1,),))</f>
        <v/>
      </c>
      <c r="C13632">
        <f>IF(VLOOKUP(Table7[[#This Row],[Date]],Database!$A:$C,MATCH($C$1,Database!$A$1:$C$1,),)=0,#N/A,VLOOKUP(Table7[[#This Row],[Date]],Database!$A:$C,MATCH($C$1,Database!$A$1:$C$1,),))</f>
        <v/>
      </c>
      <c r="D13632">
        <f>IFERROR(Table7[[#This Row],[United States 10y]]-Table7[[#This Row],[United States 3y]],#N/A)</f>
        <v/>
      </c>
    </row>
    <row r="13633">
      <c r="A13633" s="6">
        <f>Database!$A15718</f>
        <v/>
      </c>
      <c r="B13633">
        <f>IF(VLOOKUP(Table7[[#This Row],[Date]],Database!$A:$C,MATCH($B$1,Database!$A$1:$C$1,),)=0,#N/A,VLOOKUP(Table7[[#This Row],[Date]],Database!$A:$C,MATCH($B$1,Database!$A$1:$C$1,),))</f>
        <v/>
      </c>
      <c r="C13633">
        <f>IF(VLOOKUP(Table7[[#This Row],[Date]],Database!$A:$C,MATCH($C$1,Database!$A$1:$C$1,),)=0,#N/A,VLOOKUP(Table7[[#This Row],[Date]],Database!$A:$C,MATCH($C$1,Database!$A$1:$C$1,),))</f>
        <v/>
      </c>
      <c r="D13633">
        <f>IFERROR(Table7[[#This Row],[United States 10y]]-Table7[[#This Row],[United States 3y]],#N/A)</f>
        <v/>
      </c>
    </row>
    <row r="13634">
      <c r="A13634" s="6">
        <f>Database!$A15719</f>
        <v/>
      </c>
      <c r="B13634">
        <f>IF(VLOOKUP(Table7[[#This Row],[Date]],Database!$A:$C,MATCH($B$1,Database!$A$1:$C$1,),)=0,#N/A,VLOOKUP(Table7[[#This Row],[Date]],Database!$A:$C,MATCH($B$1,Database!$A$1:$C$1,),))</f>
        <v/>
      </c>
      <c r="C13634">
        <f>IF(VLOOKUP(Table7[[#This Row],[Date]],Database!$A:$C,MATCH($C$1,Database!$A$1:$C$1,),)=0,#N/A,VLOOKUP(Table7[[#This Row],[Date]],Database!$A:$C,MATCH($C$1,Database!$A$1:$C$1,),))</f>
        <v/>
      </c>
      <c r="D13634">
        <f>IFERROR(Table7[[#This Row],[United States 10y]]-Table7[[#This Row],[United States 3y]],#N/A)</f>
        <v/>
      </c>
    </row>
    <row r="13635">
      <c r="A13635" s="6">
        <f>Database!$A15720</f>
        <v/>
      </c>
      <c r="B13635">
        <f>IF(VLOOKUP(Table7[[#This Row],[Date]],Database!$A:$C,MATCH($B$1,Database!$A$1:$C$1,),)=0,#N/A,VLOOKUP(Table7[[#This Row],[Date]],Database!$A:$C,MATCH($B$1,Database!$A$1:$C$1,),))</f>
        <v/>
      </c>
      <c r="C13635">
        <f>IF(VLOOKUP(Table7[[#This Row],[Date]],Database!$A:$C,MATCH($C$1,Database!$A$1:$C$1,),)=0,#N/A,VLOOKUP(Table7[[#This Row],[Date]],Database!$A:$C,MATCH($C$1,Database!$A$1:$C$1,),))</f>
        <v/>
      </c>
      <c r="D13635">
        <f>IFERROR(Table7[[#This Row],[United States 10y]]-Table7[[#This Row],[United States 3y]],#N/A)</f>
        <v/>
      </c>
    </row>
    <row r="13636">
      <c r="A13636" s="6">
        <f>Database!$A15721</f>
        <v/>
      </c>
      <c r="B13636">
        <f>IF(VLOOKUP(Table7[[#This Row],[Date]],Database!$A:$C,MATCH($B$1,Database!$A$1:$C$1,),)=0,#N/A,VLOOKUP(Table7[[#This Row],[Date]],Database!$A:$C,MATCH($B$1,Database!$A$1:$C$1,),))</f>
        <v/>
      </c>
      <c r="C13636">
        <f>IF(VLOOKUP(Table7[[#This Row],[Date]],Database!$A:$C,MATCH($C$1,Database!$A$1:$C$1,),)=0,#N/A,VLOOKUP(Table7[[#This Row],[Date]],Database!$A:$C,MATCH($C$1,Database!$A$1:$C$1,),))</f>
        <v/>
      </c>
      <c r="D13636">
        <f>IFERROR(Table7[[#This Row],[United States 10y]]-Table7[[#This Row],[United States 3y]],#N/A)</f>
        <v/>
      </c>
    </row>
    <row r="13637">
      <c r="A13637" s="6">
        <f>Database!$A15722</f>
        <v/>
      </c>
      <c r="B13637">
        <f>IF(VLOOKUP(Table7[[#This Row],[Date]],Database!$A:$C,MATCH($B$1,Database!$A$1:$C$1,),)=0,#N/A,VLOOKUP(Table7[[#This Row],[Date]],Database!$A:$C,MATCH($B$1,Database!$A$1:$C$1,),))</f>
        <v/>
      </c>
      <c r="C13637">
        <f>IF(VLOOKUP(Table7[[#This Row],[Date]],Database!$A:$C,MATCH($C$1,Database!$A$1:$C$1,),)=0,#N/A,VLOOKUP(Table7[[#This Row],[Date]],Database!$A:$C,MATCH($C$1,Database!$A$1:$C$1,),))</f>
        <v/>
      </c>
      <c r="D13637">
        <f>IFERROR(Table7[[#This Row],[United States 10y]]-Table7[[#This Row],[United States 3y]],#N/A)</f>
        <v/>
      </c>
    </row>
    <row r="13638">
      <c r="A13638" s="6">
        <f>Database!$A15723</f>
        <v/>
      </c>
      <c r="B13638">
        <f>IF(VLOOKUP(Table7[[#This Row],[Date]],Database!$A:$C,MATCH($B$1,Database!$A$1:$C$1,),)=0,#N/A,VLOOKUP(Table7[[#This Row],[Date]],Database!$A:$C,MATCH($B$1,Database!$A$1:$C$1,),))</f>
        <v/>
      </c>
      <c r="C13638">
        <f>IF(VLOOKUP(Table7[[#This Row],[Date]],Database!$A:$C,MATCH($C$1,Database!$A$1:$C$1,),)=0,#N/A,VLOOKUP(Table7[[#This Row],[Date]],Database!$A:$C,MATCH($C$1,Database!$A$1:$C$1,),))</f>
        <v/>
      </c>
      <c r="D13638">
        <f>IFERROR(Table7[[#This Row],[United States 10y]]-Table7[[#This Row],[United States 3y]],#N/A)</f>
        <v/>
      </c>
    </row>
    <row r="13639">
      <c r="A13639" s="6">
        <f>Database!$A15724</f>
        <v/>
      </c>
      <c r="B13639">
        <f>IF(VLOOKUP(Table7[[#This Row],[Date]],Database!$A:$C,MATCH($B$1,Database!$A$1:$C$1,),)=0,#N/A,VLOOKUP(Table7[[#This Row],[Date]],Database!$A:$C,MATCH($B$1,Database!$A$1:$C$1,),))</f>
        <v/>
      </c>
      <c r="C13639">
        <f>IF(VLOOKUP(Table7[[#This Row],[Date]],Database!$A:$C,MATCH($C$1,Database!$A$1:$C$1,),)=0,#N/A,VLOOKUP(Table7[[#This Row],[Date]],Database!$A:$C,MATCH($C$1,Database!$A$1:$C$1,),))</f>
        <v/>
      </c>
      <c r="D13639">
        <f>IFERROR(Table7[[#This Row],[United States 10y]]-Table7[[#This Row],[United States 3y]],#N/A)</f>
        <v/>
      </c>
    </row>
    <row r="13640">
      <c r="A13640" s="6">
        <f>Database!$A15725</f>
        <v/>
      </c>
      <c r="B13640">
        <f>IF(VLOOKUP(Table7[[#This Row],[Date]],Database!$A:$C,MATCH($B$1,Database!$A$1:$C$1,),)=0,#N/A,VLOOKUP(Table7[[#This Row],[Date]],Database!$A:$C,MATCH($B$1,Database!$A$1:$C$1,),))</f>
        <v/>
      </c>
      <c r="C13640">
        <f>IF(VLOOKUP(Table7[[#This Row],[Date]],Database!$A:$C,MATCH($C$1,Database!$A$1:$C$1,),)=0,#N/A,VLOOKUP(Table7[[#This Row],[Date]],Database!$A:$C,MATCH($C$1,Database!$A$1:$C$1,),))</f>
        <v/>
      </c>
      <c r="D13640">
        <f>IFERROR(Table7[[#This Row],[United States 10y]]-Table7[[#This Row],[United States 3y]],#N/A)</f>
        <v/>
      </c>
    </row>
    <row r="13641">
      <c r="A13641" s="6">
        <f>Database!$A15726</f>
        <v/>
      </c>
      <c r="B13641">
        <f>IF(VLOOKUP(Table7[[#This Row],[Date]],Database!$A:$C,MATCH($B$1,Database!$A$1:$C$1,),)=0,#N/A,VLOOKUP(Table7[[#This Row],[Date]],Database!$A:$C,MATCH($B$1,Database!$A$1:$C$1,),))</f>
        <v/>
      </c>
      <c r="C13641">
        <f>IF(VLOOKUP(Table7[[#This Row],[Date]],Database!$A:$C,MATCH($C$1,Database!$A$1:$C$1,),)=0,#N/A,VLOOKUP(Table7[[#This Row],[Date]],Database!$A:$C,MATCH($C$1,Database!$A$1:$C$1,),))</f>
        <v/>
      </c>
      <c r="D13641">
        <f>IFERROR(Table7[[#This Row],[United States 10y]]-Table7[[#This Row],[United States 3y]],#N/A)</f>
        <v/>
      </c>
    </row>
    <row r="13642">
      <c r="A13642" s="6">
        <f>Database!$A15727</f>
        <v/>
      </c>
      <c r="B13642">
        <f>IF(VLOOKUP(Table7[[#This Row],[Date]],Database!$A:$C,MATCH($B$1,Database!$A$1:$C$1,),)=0,#N/A,VLOOKUP(Table7[[#This Row],[Date]],Database!$A:$C,MATCH($B$1,Database!$A$1:$C$1,),))</f>
        <v/>
      </c>
      <c r="C13642">
        <f>IF(VLOOKUP(Table7[[#This Row],[Date]],Database!$A:$C,MATCH($C$1,Database!$A$1:$C$1,),)=0,#N/A,VLOOKUP(Table7[[#This Row],[Date]],Database!$A:$C,MATCH($C$1,Database!$A$1:$C$1,),))</f>
        <v/>
      </c>
      <c r="D13642">
        <f>IFERROR(Table7[[#This Row],[United States 10y]]-Table7[[#This Row],[United States 3y]],#N/A)</f>
        <v/>
      </c>
    </row>
    <row r="13643">
      <c r="A13643" s="6">
        <f>Database!$A15728</f>
        <v/>
      </c>
      <c r="B13643">
        <f>IF(VLOOKUP(Table7[[#This Row],[Date]],Database!$A:$C,MATCH($B$1,Database!$A$1:$C$1,),)=0,#N/A,VLOOKUP(Table7[[#This Row],[Date]],Database!$A:$C,MATCH($B$1,Database!$A$1:$C$1,),))</f>
        <v/>
      </c>
      <c r="C13643">
        <f>IF(VLOOKUP(Table7[[#This Row],[Date]],Database!$A:$C,MATCH($C$1,Database!$A$1:$C$1,),)=0,#N/A,VLOOKUP(Table7[[#This Row],[Date]],Database!$A:$C,MATCH($C$1,Database!$A$1:$C$1,),))</f>
        <v/>
      </c>
      <c r="D13643">
        <f>IFERROR(Table7[[#This Row],[United States 10y]]-Table7[[#This Row],[United States 3y]],#N/A)</f>
        <v/>
      </c>
    </row>
    <row r="13644">
      <c r="A13644" s="6">
        <f>Database!$A15729</f>
        <v/>
      </c>
      <c r="B13644">
        <f>IF(VLOOKUP(Table7[[#This Row],[Date]],Database!$A:$C,MATCH($B$1,Database!$A$1:$C$1,),)=0,#N/A,VLOOKUP(Table7[[#This Row],[Date]],Database!$A:$C,MATCH($B$1,Database!$A$1:$C$1,),))</f>
        <v/>
      </c>
      <c r="C13644">
        <f>IF(VLOOKUP(Table7[[#This Row],[Date]],Database!$A:$C,MATCH($C$1,Database!$A$1:$C$1,),)=0,#N/A,VLOOKUP(Table7[[#This Row],[Date]],Database!$A:$C,MATCH($C$1,Database!$A$1:$C$1,),))</f>
        <v/>
      </c>
      <c r="D13644">
        <f>IFERROR(Table7[[#This Row],[United States 10y]]-Table7[[#This Row],[United States 3y]],#N/A)</f>
        <v/>
      </c>
    </row>
    <row r="13645">
      <c r="A13645" s="6">
        <f>Database!$A15730</f>
        <v/>
      </c>
      <c r="B13645">
        <f>IF(VLOOKUP(Table7[[#This Row],[Date]],Database!$A:$C,MATCH($B$1,Database!$A$1:$C$1,),)=0,#N/A,VLOOKUP(Table7[[#This Row],[Date]],Database!$A:$C,MATCH($B$1,Database!$A$1:$C$1,),))</f>
        <v/>
      </c>
      <c r="C13645">
        <f>IF(VLOOKUP(Table7[[#This Row],[Date]],Database!$A:$C,MATCH($C$1,Database!$A$1:$C$1,),)=0,#N/A,VLOOKUP(Table7[[#This Row],[Date]],Database!$A:$C,MATCH($C$1,Database!$A$1:$C$1,),))</f>
        <v/>
      </c>
      <c r="D13645">
        <f>IFERROR(Table7[[#This Row],[United States 10y]]-Table7[[#This Row],[United States 3y]],#N/A)</f>
        <v/>
      </c>
    </row>
    <row r="13646">
      <c r="A13646" s="6">
        <f>Database!$A15731</f>
        <v/>
      </c>
      <c r="B13646">
        <f>IF(VLOOKUP(Table7[[#This Row],[Date]],Database!$A:$C,MATCH($B$1,Database!$A$1:$C$1,),)=0,#N/A,VLOOKUP(Table7[[#This Row],[Date]],Database!$A:$C,MATCH($B$1,Database!$A$1:$C$1,),))</f>
        <v/>
      </c>
      <c r="C13646">
        <f>IF(VLOOKUP(Table7[[#This Row],[Date]],Database!$A:$C,MATCH($C$1,Database!$A$1:$C$1,),)=0,#N/A,VLOOKUP(Table7[[#This Row],[Date]],Database!$A:$C,MATCH($C$1,Database!$A$1:$C$1,),))</f>
        <v/>
      </c>
      <c r="D13646">
        <f>IFERROR(Table7[[#This Row],[United States 10y]]-Table7[[#This Row],[United States 3y]],#N/A)</f>
        <v/>
      </c>
    </row>
    <row r="13647">
      <c r="A13647" s="6">
        <f>Database!$A15732</f>
        <v/>
      </c>
      <c r="B13647">
        <f>IF(VLOOKUP(Table7[[#This Row],[Date]],Database!$A:$C,MATCH($B$1,Database!$A$1:$C$1,),)=0,#N/A,VLOOKUP(Table7[[#This Row],[Date]],Database!$A:$C,MATCH($B$1,Database!$A$1:$C$1,),))</f>
        <v/>
      </c>
      <c r="C13647">
        <f>IF(VLOOKUP(Table7[[#This Row],[Date]],Database!$A:$C,MATCH($C$1,Database!$A$1:$C$1,),)=0,#N/A,VLOOKUP(Table7[[#This Row],[Date]],Database!$A:$C,MATCH($C$1,Database!$A$1:$C$1,),))</f>
        <v/>
      </c>
      <c r="D13647">
        <f>IFERROR(Table7[[#This Row],[United States 10y]]-Table7[[#This Row],[United States 3y]],#N/A)</f>
        <v/>
      </c>
    </row>
    <row r="13648">
      <c r="A13648" s="6">
        <f>Database!$A15733</f>
        <v/>
      </c>
      <c r="B13648">
        <f>IF(VLOOKUP(Table7[[#This Row],[Date]],Database!$A:$C,MATCH($B$1,Database!$A$1:$C$1,),)=0,#N/A,VLOOKUP(Table7[[#This Row],[Date]],Database!$A:$C,MATCH($B$1,Database!$A$1:$C$1,),))</f>
        <v/>
      </c>
      <c r="C13648">
        <f>IF(VLOOKUP(Table7[[#This Row],[Date]],Database!$A:$C,MATCH($C$1,Database!$A$1:$C$1,),)=0,#N/A,VLOOKUP(Table7[[#This Row],[Date]],Database!$A:$C,MATCH($C$1,Database!$A$1:$C$1,),))</f>
        <v/>
      </c>
      <c r="D13648">
        <f>IFERROR(Table7[[#This Row],[United States 10y]]-Table7[[#This Row],[United States 3y]],#N/A)</f>
        <v/>
      </c>
    </row>
    <row r="13649">
      <c r="A13649" s="6">
        <f>Database!$A15734</f>
        <v/>
      </c>
      <c r="B13649">
        <f>IF(VLOOKUP(Table7[[#This Row],[Date]],Database!$A:$C,MATCH($B$1,Database!$A$1:$C$1,),)=0,#N/A,VLOOKUP(Table7[[#This Row],[Date]],Database!$A:$C,MATCH($B$1,Database!$A$1:$C$1,),))</f>
        <v/>
      </c>
      <c r="C13649">
        <f>IF(VLOOKUP(Table7[[#This Row],[Date]],Database!$A:$C,MATCH($C$1,Database!$A$1:$C$1,),)=0,#N/A,VLOOKUP(Table7[[#This Row],[Date]],Database!$A:$C,MATCH($C$1,Database!$A$1:$C$1,),))</f>
        <v/>
      </c>
      <c r="D13649">
        <f>IFERROR(Table7[[#This Row],[United States 10y]]-Table7[[#This Row],[United States 3y]],#N/A)</f>
        <v/>
      </c>
    </row>
    <row r="13650">
      <c r="A13650" s="6">
        <f>Database!$A15735</f>
        <v/>
      </c>
      <c r="B13650">
        <f>IF(VLOOKUP(Table7[[#This Row],[Date]],Database!$A:$C,MATCH($B$1,Database!$A$1:$C$1,),)=0,#N/A,VLOOKUP(Table7[[#This Row],[Date]],Database!$A:$C,MATCH($B$1,Database!$A$1:$C$1,),))</f>
        <v/>
      </c>
      <c r="C13650">
        <f>IF(VLOOKUP(Table7[[#This Row],[Date]],Database!$A:$C,MATCH($C$1,Database!$A$1:$C$1,),)=0,#N/A,VLOOKUP(Table7[[#This Row],[Date]],Database!$A:$C,MATCH($C$1,Database!$A$1:$C$1,),))</f>
        <v/>
      </c>
      <c r="D13650">
        <f>IFERROR(Table7[[#This Row],[United States 10y]]-Table7[[#This Row],[United States 3y]],#N/A)</f>
        <v/>
      </c>
    </row>
    <row r="13651">
      <c r="A13651" s="6">
        <f>Database!$A15736</f>
        <v/>
      </c>
      <c r="B13651">
        <f>IF(VLOOKUP(Table7[[#This Row],[Date]],Database!$A:$C,MATCH($B$1,Database!$A$1:$C$1,),)=0,#N/A,VLOOKUP(Table7[[#This Row],[Date]],Database!$A:$C,MATCH($B$1,Database!$A$1:$C$1,),))</f>
        <v/>
      </c>
      <c r="C13651">
        <f>IF(VLOOKUP(Table7[[#This Row],[Date]],Database!$A:$C,MATCH($C$1,Database!$A$1:$C$1,),)=0,#N/A,VLOOKUP(Table7[[#This Row],[Date]],Database!$A:$C,MATCH($C$1,Database!$A$1:$C$1,),))</f>
        <v/>
      </c>
      <c r="D13651">
        <f>IFERROR(Table7[[#This Row],[United States 10y]]-Table7[[#This Row],[United States 3y]],#N/A)</f>
        <v/>
      </c>
    </row>
    <row r="13652">
      <c r="A13652" s="6">
        <f>Database!$A15737</f>
        <v/>
      </c>
      <c r="B13652">
        <f>IF(VLOOKUP(Table7[[#This Row],[Date]],Database!$A:$C,MATCH($B$1,Database!$A$1:$C$1,),)=0,#N/A,VLOOKUP(Table7[[#This Row],[Date]],Database!$A:$C,MATCH($B$1,Database!$A$1:$C$1,),))</f>
        <v/>
      </c>
      <c r="C13652">
        <f>IF(VLOOKUP(Table7[[#This Row],[Date]],Database!$A:$C,MATCH($C$1,Database!$A$1:$C$1,),)=0,#N/A,VLOOKUP(Table7[[#This Row],[Date]],Database!$A:$C,MATCH($C$1,Database!$A$1:$C$1,),))</f>
        <v/>
      </c>
      <c r="D13652">
        <f>IFERROR(Table7[[#This Row],[United States 10y]]-Table7[[#This Row],[United States 3y]],#N/A)</f>
        <v/>
      </c>
    </row>
    <row r="13653">
      <c r="A13653" s="6">
        <f>Database!$A15738</f>
        <v/>
      </c>
      <c r="B13653">
        <f>IF(VLOOKUP(Table7[[#This Row],[Date]],Database!$A:$C,MATCH($B$1,Database!$A$1:$C$1,),)=0,#N/A,VLOOKUP(Table7[[#This Row],[Date]],Database!$A:$C,MATCH($B$1,Database!$A$1:$C$1,),))</f>
        <v/>
      </c>
      <c r="C13653">
        <f>IF(VLOOKUP(Table7[[#This Row],[Date]],Database!$A:$C,MATCH($C$1,Database!$A$1:$C$1,),)=0,#N/A,VLOOKUP(Table7[[#This Row],[Date]],Database!$A:$C,MATCH($C$1,Database!$A$1:$C$1,),))</f>
        <v/>
      </c>
      <c r="D13653">
        <f>IFERROR(Table7[[#This Row],[United States 10y]]-Table7[[#This Row],[United States 3y]],#N/A)</f>
        <v/>
      </c>
    </row>
    <row r="13654">
      <c r="A13654" s="6">
        <f>Database!$A15739</f>
        <v/>
      </c>
      <c r="B13654">
        <f>IF(VLOOKUP(Table7[[#This Row],[Date]],Database!$A:$C,MATCH($B$1,Database!$A$1:$C$1,),)=0,#N/A,VLOOKUP(Table7[[#This Row],[Date]],Database!$A:$C,MATCH($B$1,Database!$A$1:$C$1,),))</f>
        <v/>
      </c>
      <c r="C13654">
        <f>IF(VLOOKUP(Table7[[#This Row],[Date]],Database!$A:$C,MATCH($C$1,Database!$A$1:$C$1,),)=0,#N/A,VLOOKUP(Table7[[#This Row],[Date]],Database!$A:$C,MATCH($C$1,Database!$A$1:$C$1,),))</f>
        <v/>
      </c>
      <c r="D13654">
        <f>IFERROR(Table7[[#This Row],[United States 10y]]-Table7[[#This Row],[United States 3y]],#N/A)</f>
        <v/>
      </c>
    </row>
    <row r="13655">
      <c r="A13655" s="6">
        <f>Database!$A15740</f>
        <v/>
      </c>
      <c r="B13655">
        <f>IF(VLOOKUP(Table7[[#This Row],[Date]],Database!$A:$C,MATCH($B$1,Database!$A$1:$C$1,),)=0,#N/A,VLOOKUP(Table7[[#This Row],[Date]],Database!$A:$C,MATCH($B$1,Database!$A$1:$C$1,),))</f>
        <v/>
      </c>
      <c r="C13655">
        <f>IF(VLOOKUP(Table7[[#This Row],[Date]],Database!$A:$C,MATCH($C$1,Database!$A$1:$C$1,),)=0,#N/A,VLOOKUP(Table7[[#This Row],[Date]],Database!$A:$C,MATCH($C$1,Database!$A$1:$C$1,),))</f>
        <v/>
      </c>
      <c r="D13655">
        <f>IFERROR(Table7[[#This Row],[United States 10y]]-Table7[[#This Row],[United States 3y]],#N/A)</f>
        <v/>
      </c>
    </row>
    <row r="13656">
      <c r="A13656" s="6">
        <f>Database!$A15741</f>
        <v/>
      </c>
      <c r="B13656">
        <f>IF(VLOOKUP(Table7[[#This Row],[Date]],Database!$A:$C,MATCH($B$1,Database!$A$1:$C$1,),)=0,#N/A,VLOOKUP(Table7[[#This Row],[Date]],Database!$A:$C,MATCH($B$1,Database!$A$1:$C$1,),))</f>
        <v/>
      </c>
      <c r="C13656">
        <f>IF(VLOOKUP(Table7[[#This Row],[Date]],Database!$A:$C,MATCH($C$1,Database!$A$1:$C$1,),)=0,#N/A,VLOOKUP(Table7[[#This Row],[Date]],Database!$A:$C,MATCH($C$1,Database!$A$1:$C$1,),))</f>
        <v/>
      </c>
      <c r="D13656">
        <f>IFERROR(Table7[[#This Row],[United States 10y]]-Table7[[#This Row],[United States 3y]],#N/A)</f>
        <v/>
      </c>
    </row>
    <row r="13657">
      <c r="A13657" s="6">
        <f>Database!$A15742</f>
        <v/>
      </c>
      <c r="B13657">
        <f>IF(VLOOKUP(Table7[[#This Row],[Date]],Database!$A:$C,MATCH($B$1,Database!$A$1:$C$1,),)=0,#N/A,VLOOKUP(Table7[[#This Row],[Date]],Database!$A:$C,MATCH($B$1,Database!$A$1:$C$1,),))</f>
        <v/>
      </c>
      <c r="C13657">
        <f>IF(VLOOKUP(Table7[[#This Row],[Date]],Database!$A:$C,MATCH($C$1,Database!$A$1:$C$1,),)=0,#N/A,VLOOKUP(Table7[[#This Row],[Date]],Database!$A:$C,MATCH($C$1,Database!$A$1:$C$1,),))</f>
        <v/>
      </c>
      <c r="D13657">
        <f>IFERROR(Table7[[#This Row],[United States 10y]]-Table7[[#This Row],[United States 3y]],#N/A)</f>
        <v/>
      </c>
    </row>
    <row r="13658">
      <c r="A13658" s="6">
        <f>Database!$A15743</f>
        <v/>
      </c>
      <c r="B13658">
        <f>IF(VLOOKUP(Table7[[#This Row],[Date]],Database!$A:$C,MATCH($B$1,Database!$A$1:$C$1,),)=0,#N/A,VLOOKUP(Table7[[#This Row],[Date]],Database!$A:$C,MATCH($B$1,Database!$A$1:$C$1,),))</f>
        <v/>
      </c>
      <c r="C13658">
        <f>IF(VLOOKUP(Table7[[#This Row],[Date]],Database!$A:$C,MATCH($C$1,Database!$A$1:$C$1,),)=0,#N/A,VLOOKUP(Table7[[#This Row],[Date]],Database!$A:$C,MATCH($C$1,Database!$A$1:$C$1,),))</f>
        <v/>
      </c>
      <c r="D13658">
        <f>IFERROR(Table7[[#This Row],[United States 10y]]-Table7[[#This Row],[United States 3y]],#N/A)</f>
        <v/>
      </c>
    </row>
    <row r="13659">
      <c r="A13659" s="6">
        <f>Database!$A15744</f>
        <v/>
      </c>
      <c r="B13659">
        <f>IF(VLOOKUP(Table7[[#This Row],[Date]],Database!$A:$C,MATCH($B$1,Database!$A$1:$C$1,),)=0,#N/A,VLOOKUP(Table7[[#This Row],[Date]],Database!$A:$C,MATCH($B$1,Database!$A$1:$C$1,),))</f>
        <v/>
      </c>
      <c r="C13659">
        <f>IF(VLOOKUP(Table7[[#This Row],[Date]],Database!$A:$C,MATCH($C$1,Database!$A$1:$C$1,),)=0,#N/A,VLOOKUP(Table7[[#This Row],[Date]],Database!$A:$C,MATCH($C$1,Database!$A$1:$C$1,),))</f>
        <v/>
      </c>
      <c r="D13659">
        <f>IFERROR(Table7[[#This Row],[United States 10y]]-Table7[[#This Row],[United States 3y]],#N/A)</f>
        <v/>
      </c>
    </row>
    <row r="13660">
      <c r="A13660" s="6">
        <f>Database!$A15745</f>
        <v/>
      </c>
      <c r="B13660">
        <f>IF(VLOOKUP(Table7[[#This Row],[Date]],Database!$A:$C,MATCH($B$1,Database!$A$1:$C$1,),)=0,#N/A,VLOOKUP(Table7[[#This Row],[Date]],Database!$A:$C,MATCH($B$1,Database!$A$1:$C$1,),))</f>
        <v/>
      </c>
      <c r="C13660">
        <f>IF(VLOOKUP(Table7[[#This Row],[Date]],Database!$A:$C,MATCH($C$1,Database!$A$1:$C$1,),)=0,#N/A,VLOOKUP(Table7[[#This Row],[Date]],Database!$A:$C,MATCH($C$1,Database!$A$1:$C$1,),))</f>
        <v/>
      </c>
      <c r="D13660">
        <f>IFERROR(Table7[[#This Row],[United States 10y]]-Table7[[#This Row],[United States 3y]],#N/A)</f>
        <v/>
      </c>
    </row>
    <row r="13661">
      <c r="A13661" s="6">
        <f>Database!$A15746</f>
        <v/>
      </c>
      <c r="B13661">
        <f>IF(VLOOKUP(Table7[[#This Row],[Date]],Database!$A:$C,MATCH($B$1,Database!$A$1:$C$1,),)=0,#N/A,VLOOKUP(Table7[[#This Row],[Date]],Database!$A:$C,MATCH($B$1,Database!$A$1:$C$1,),))</f>
        <v/>
      </c>
      <c r="C13661">
        <f>IF(VLOOKUP(Table7[[#This Row],[Date]],Database!$A:$C,MATCH($C$1,Database!$A$1:$C$1,),)=0,#N/A,VLOOKUP(Table7[[#This Row],[Date]],Database!$A:$C,MATCH($C$1,Database!$A$1:$C$1,),))</f>
        <v/>
      </c>
      <c r="D13661">
        <f>IFERROR(Table7[[#This Row],[United States 10y]]-Table7[[#This Row],[United States 3y]],#N/A)</f>
        <v/>
      </c>
    </row>
    <row r="13662">
      <c r="A13662" s="6">
        <f>Database!$A15747</f>
        <v/>
      </c>
      <c r="B13662">
        <f>IF(VLOOKUP(Table7[[#This Row],[Date]],Database!$A:$C,MATCH($B$1,Database!$A$1:$C$1,),)=0,#N/A,VLOOKUP(Table7[[#This Row],[Date]],Database!$A:$C,MATCH($B$1,Database!$A$1:$C$1,),))</f>
        <v/>
      </c>
      <c r="C13662">
        <f>IF(VLOOKUP(Table7[[#This Row],[Date]],Database!$A:$C,MATCH($C$1,Database!$A$1:$C$1,),)=0,#N/A,VLOOKUP(Table7[[#This Row],[Date]],Database!$A:$C,MATCH($C$1,Database!$A$1:$C$1,),))</f>
        <v/>
      </c>
      <c r="D13662">
        <f>IFERROR(Table7[[#This Row],[United States 10y]]-Table7[[#This Row],[United States 3y]],#N/A)</f>
        <v/>
      </c>
    </row>
    <row r="13663">
      <c r="A13663" s="6">
        <f>Database!$A15748</f>
        <v/>
      </c>
      <c r="B13663">
        <f>IF(VLOOKUP(Table7[[#This Row],[Date]],Database!$A:$C,MATCH($B$1,Database!$A$1:$C$1,),)=0,#N/A,VLOOKUP(Table7[[#This Row],[Date]],Database!$A:$C,MATCH($B$1,Database!$A$1:$C$1,),))</f>
        <v/>
      </c>
      <c r="C13663">
        <f>IF(VLOOKUP(Table7[[#This Row],[Date]],Database!$A:$C,MATCH($C$1,Database!$A$1:$C$1,),)=0,#N/A,VLOOKUP(Table7[[#This Row],[Date]],Database!$A:$C,MATCH($C$1,Database!$A$1:$C$1,),))</f>
        <v/>
      </c>
      <c r="D13663">
        <f>IFERROR(Table7[[#This Row],[United States 10y]]-Table7[[#This Row],[United States 3y]],#N/A)</f>
        <v/>
      </c>
    </row>
    <row r="13664">
      <c r="A13664" s="6">
        <f>Database!$A15749</f>
        <v/>
      </c>
      <c r="B13664">
        <f>IF(VLOOKUP(Table7[[#This Row],[Date]],Database!$A:$C,MATCH($B$1,Database!$A$1:$C$1,),)=0,#N/A,VLOOKUP(Table7[[#This Row],[Date]],Database!$A:$C,MATCH($B$1,Database!$A$1:$C$1,),))</f>
        <v/>
      </c>
      <c r="C13664">
        <f>IF(VLOOKUP(Table7[[#This Row],[Date]],Database!$A:$C,MATCH($C$1,Database!$A$1:$C$1,),)=0,#N/A,VLOOKUP(Table7[[#This Row],[Date]],Database!$A:$C,MATCH($C$1,Database!$A$1:$C$1,),))</f>
        <v/>
      </c>
      <c r="D13664">
        <f>IFERROR(Table7[[#This Row],[United States 10y]]-Table7[[#This Row],[United States 3y]],#N/A)</f>
        <v/>
      </c>
    </row>
    <row r="13665">
      <c r="A13665" s="6">
        <f>Database!$A15750</f>
        <v/>
      </c>
      <c r="B13665">
        <f>IF(VLOOKUP(Table7[[#This Row],[Date]],Database!$A:$C,MATCH($B$1,Database!$A$1:$C$1,),)=0,#N/A,VLOOKUP(Table7[[#This Row],[Date]],Database!$A:$C,MATCH($B$1,Database!$A$1:$C$1,),))</f>
        <v/>
      </c>
      <c r="C13665">
        <f>IF(VLOOKUP(Table7[[#This Row],[Date]],Database!$A:$C,MATCH($C$1,Database!$A$1:$C$1,),)=0,#N/A,VLOOKUP(Table7[[#This Row],[Date]],Database!$A:$C,MATCH($C$1,Database!$A$1:$C$1,),))</f>
        <v/>
      </c>
      <c r="D13665">
        <f>IFERROR(Table7[[#This Row],[United States 10y]]-Table7[[#This Row],[United States 3y]],#N/A)</f>
        <v/>
      </c>
    </row>
    <row r="13666">
      <c r="A13666" s="6">
        <f>Database!$A15751</f>
        <v/>
      </c>
      <c r="B13666">
        <f>IF(VLOOKUP(Table7[[#This Row],[Date]],Database!$A:$C,MATCH($B$1,Database!$A$1:$C$1,),)=0,#N/A,VLOOKUP(Table7[[#This Row],[Date]],Database!$A:$C,MATCH($B$1,Database!$A$1:$C$1,),))</f>
        <v/>
      </c>
      <c r="C13666">
        <f>IF(VLOOKUP(Table7[[#This Row],[Date]],Database!$A:$C,MATCH($C$1,Database!$A$1:$C$1,),)=0,#N/A,VLOOKUP(Table7[[#This Row],[Date]],Database!$A:$C,MATCH($C$1,Database!$A$1:$C$1,),))</f>
        <v/>
      </c>
      <c r="D13666">
        <f>IFERROR(Table7[[#This Row],[United States 10y]]-Table7[[#This Row],[United States 3y]],#N/A)</f>
        <v/>
      </c>
    </row>
    <row r="13667">
      <c r="A13667" s="6">
        <f>Database!$A15752</f>
        <v/>
      </c>
      <c r="B13667">
        <f>IF(VLOOKUP(Table7[[#This Row],[Date]],Database!$A:$C,MATCH($B$1,Database!$A$1:$C$1,),)=0,#N/A,VLOOKUP(Table7[[#This Row],[Date]],Database!$A:$C,MATCH($B$1,Database!$A$1:$C$1,),))</f>
        <v/>
      </c>
      <c r="C13667">
        <f>IF(VLOOKUP(Table7[[#This Row],[Date]],Database!$A:$C,MATCH($C$1,Database!$A$1:$C$1,),)=0,#N/A,VLOOKUP(Table7[[#This Row],[Date]],Database!$A:$C,MATCH($C$1,Database!$A$1:$C$1,),))</f>
        <v/>
      </c>
      <c r="D13667">
        <f>IFERROR(Table7[[#This Row],[United States 10y]]-Table7[[#This Row],[United States 3y]],#N/A)</f>
        <v/>
      </c>
    </row>
    <row r="13668">
      <c r="A13668" s="6">
        <f>Database!$A15753</f>
        <v/>
      </c>
      <c r="B13668">
        <f>IF(VLOOKUP(Table7[[#This Row],[Date]],Database!$A:$C,MATCH($B$1,Database!$A$1:$C$1,),)=0,#N/A,VLOOKUP(Table7[[#This Row],[Date]],Database!$A:$C,MATCH($B$1,Database!$A$1:$C$1,),))</f>
        <v/>
      </c>
      <c r="C13668">
        <f>IF(VLOOKUP(Table7[[#This Row],[Date]],Database!$A:$C,MATCH($C$1,Database!$A$1:$C$1,),)=0,#N/A,VLOOKUP(Table7[[#This Row],[Date]],Database!$A:$C,MATCH($C$1,Database!$A$1:$C$1,),))</f>
        <v/>
      </c>
      <c r="D13668">
        <f>IFERROR(Table7[[#This Row],[United States 10y]]-Table7[[#This Row],[United States 3y]],#N/A)</f>
        <v/>
      </c>
    </row>
    <row r="13669">
      <c r="A13669" s="6">
        <f>Database!$A15754</f>
        <v/>
      </c>
      <c r="B13669">
        <f>IF(VLOOKUP(Table7[[#This Row],[Date]],Database!$A:$C,MATCH($B$1,Database!$A$1:$C$1,),)=0,#N/A,VLOOKUP(Table7[[#This Row],[Date]],Database!$A:$C,MATCH($B$1,Database!$A$1:$C$1,),))</f>
        <v/>
      </c>
      <c r="C13669">
        <f>IF(VLOOKUP(Table7[[#This Row],[Date]],Database!$A:$C,MATCH($C$1,Database!$A$1:$C$1,),)=0,#N/A,VLOOKUP(Table7[[#This Row],[Date]],Database!$A:$C,MATCH($C$1,Database!$A$1:$C$1,),))</f>
        <v/>
      </c>
      <c r="D13669">
        <f>IFERROR(Table7[[#This Row],[United States 10y]]-Table7[[#This Row],[United States 3y]],#N/A)</f>
        <v/>
      </c>
    </row>
    <row r="13670">
      <c r="A13670" s="6">
        <f>Database!$A15755</f>
        <v/>
      </c>
      <c r="B13670">
        <f>IF(VLOOKUP(Table7[[#This Row],[Date]],Database!$A:$C,MATCH($B$1,Database!$A$1:$C$1,),)=0,#N/A,VLOOKUP(Table7[[#This Row],[Date]],Database!$A:$C,MATCH($B$1,Database!$A$1:$C$1,),))</f>
        <v/>
      </c>
      <c r="C13670">
        <f>IF(VLOOKUP(Table7[[#This Row],[Date]],Database!$A:$C,MATCH($C$1,Database!$A$1:$C$1,),)=0,#N/A,VLOOKUP(Table7[[#This Row],[Date]],Database!$A:$C,MATCH($C$1,Database!$A$1:$C$1,),))</f>
        <v/>
      </c>
      <c r="D13670">
        <f>IFERROR(Table7[[#This Row],[United States 10y]]-Table7[[#This Row],[United States 3y]],#N/A)</f>
        <v/>
      </c>
    </row>
    <row r="13671">
      <c r="A13671" s="6">
        <f>Database!$A15756</f>
        <v/>
      </c>
      <c r="B13671">
        <f>IF(VLOOKUP(Table7[[#This Row],[Date]],Database!$A:$C,MATCH($B$1,Database!$A$1:$C$1,),)=0,#N/A,VLOOKUP(Table7[[#This Row],[Date]],Database!$A:$C,MATCH($B$1,Database!$A$1:$C$1,),))</f>
        <v/>
      </c>
      <c r="C13671">
        <f>IF(VLOOKUP(Table7[[#This Row],[Date]],Database!$A:$C,MATCH($C$1,Database!$A$1:$C$1,),)=0,#N/A,VLOOKUP(Table7[[#This Row],[Date]],Database!$A:$C,MATCH($C$1,Database!$A$1:$C$1,),))</f>
        <v/>
      </c>
      <c r="D13671">
        <f>IFERROR(Table7[[#This Row],[United States 10y]]-Table7[[#This Row],[United States 3y]],#N/A)</f>
        <v/>
      </c>
    </row>
    <row r="13672">
      <c r="A13672" s="6">
        <f>Database!$A15757</f>
        <v/>
      </c>
      <c r="B13672">
        <f>IF(VLOOKUP(Table7[[#This Row],[Date]],Database!$A:$C,MATCH($B$1,Database!$A$1:$C$1,),)=0,#N/A,VLOOKUP(Table7[[#This Row],[Date]],Database!$A:$C,MATCH($B$1,Database!$A$1:$C$1,),))</f>
        <v/>
      </c>
      <c r="C13672">
        <f>IF(VLOOKUP(Table7[[#This Row],[Date]],Database!$A:$C,MATCH($C$1,Database!$A$1:$C$1,),)=0,#N/A,VLOOKUP(Table7[[#This Row],[Date]],Database!$A:$C,MATCH($C$1,Database!$A$1:$C$1,),))</f>
        <v/>
      </c>
      <c r="D13672">
        <f>IFERROR(Table7[[#This Row],[United States 10y]]-Table7[[#This Row],[United States 3y]],#N/A)</f>
        <v/>
      </c>
    </row>
    <row r="13673">
      <c r="A13673" s="6">
        <f>Database!$A15758</f>
        <v/>
      </c>
      <c r="B13673">
        <f>IF(VLOOKUP(Table7[[#This Row],[Date]],Database!$A:$C,MATCH($B$1,Database!$A$1:$C$1,),)=0,#N/A,VLOOKUP(Table7[[#This Row],[Date]],Database!$A:$C,MATCH($B$1,Database!$A$1:$C$1,),))</f>
        <v/>
      </c>
      <c r="C13673">
        <f>IF(VLOOKUP(Table7[[#This Row],[Date]],Database!$A:$C,MATCH($C$1,Database!$A$1:$C$1,),)=0,#N/A,VLOOKUP(Table7[[#This Row],[Date]],Database!$A:$C,MATCH($C$1,Database!$A$1:$C$1,),))</f>
        <v/>
      </c>
      <c r="D13673">
        <f>IFERROR(Table7[[#This Row],[United States 10y]]-Table7[[#This Row],[United States 3y]],#N/A)</f>
        <v/>
      </c>
    </row>
    <row r="13674">
      <c r="A13674" s="6">
        <f>Database!$A15759</f>
        <v/>
      </c>
      <c r="B13674">
        <f>IF(VLOOKUP(Table7[[#This Row],[Date]],Database!$A:$C,MATCH($B$1,Database!$A$1:$C$1,),)=0,#N/A,VLOOKUP(Table7[[#This Row],[Date]],Database!$A:$C,MATCH($B$1,Database!$A$1:$C$1,),))</f>
        <v/>
      </c>
      <c r="C13674">
        <f>IF(VLOOKUP(Table7[[#This Row],[Date]],Database!$A:$C,MATCH($C$1,Database!$A$1:$C$1,),)=0,#N/A,VLOOKUP(Table7[[#This Row],[Date]],Database!$A:$C,MATCH($C$1,Database!$A$1:$C$1,),))</f>
        <v/>
      </c>
      <c r="D13674">
        <f>IFERROR(Table7[[#This Row],[United States 10y]]-Table7[[#This Row],[United States 3y]],#N/A)</f>
        <v/>
      </c>
    </row>
    <row r="13675">
      <c r="A13675" s="6">
        <f>Database!$A15760</f>
        <v/>
      </c>
      <c r="B13675">
        <f>IF(VLOOKUP(Table7[[#This Row],[Date]],Database!$A:$C,MATCH($B$1,Database!$A$1:$C$1,),)=0,#N/A,VLOOKUP(Table7[[#This Row],[Date]],Database!$A:$C,MATCH($B$1,Database!$A$1:$C$1,),))</f>
        <v/>
      </c>
      <c r="C13675">
        <f>IF(VLOOKUP(Table7[[#This Row],[Date]],Database!$A:$C,MATCH($C$1,Database!$A$1:$C$1,),)=0,#N/A,VLOOKUP(Table7[[#This Row],[Date]],Database!$A:$C,MATCH($C$1,Database!$A$1:$C$1,),))</f>
        <v/>
      </c>
      <c r="D13675">
        <f>IFERROR(Table7[[#This Row],[United States 10y]]-Table7[[#This Row],[United States 3y]],#N/A)</f>
        <v/>
      </c>
    </row>
    <row r="13676">
      <c r="A13676" s="6">
        <f>Database!$A15761</f>
        <v/>
      </c>
      <c r="B13676">
        <f>IF(VLOOKUP(Table7[[#This Row],[Date]],Database!$A:$C,MATCH($B$1,Database!$A$1:$C$1,),)=0,#N/A,VLOOKUP(Table7[[#This Row],[Date]],Database!$A:$C,MATCH($B$1,Database!$A$1:$C$1,),))</f>
        <v/>
      </c>
      <c r="C13676">
        <f>IF(VLOOKUP(Table7[[#This Row],[Date]],Database!$A:$C,MATCH($C$1,Database!$A$1:$C$1,),)=0,#N/A,VLOOKUP(Table7[[#This Row],[Date]],Database!$A:$C,MATCH($C$1,Database!$A$1:$C$1,),))</f>
        <v/>
      </c>
      <c r="D13676">
        <f>IFERROR(Table7[[#This Row],[United States 10y]]-Table7[[#This Row],[United States 3y]],#N/A)</f>
        <v/>
      </c>
    </row>
    <row r="13677">
      <c r="A13677" s="6">
        <f>Database!$A15762</f>
        <v/>
      </c>
      <c r="B13677">
        <f>IF(VLOOKUP(Table7[[#This Row],[Date]],Database!$A:$C,MATCH($B$1,Database!$A$1:$C$1,),)=0,#N/A,VLOOKUP(Table7[[#This Row],[Date]],Database!$A:$C,MATCH($B$1,Database!$A$1:$C$1,),))</f>
        <v/>
      </c>
      <c r="C13677">
        <f>IF(VLOOKUP(Table7[[#This Row],[Date]],Database!$A:$C,MATCH($C$1,Database!$A$1:$C$1,),)=0,#N/A,VLOOKUP(Table7[[#This Row],[Date]],Database!$A:$C,MATCH($C$1,Database!$A$1:$C$1,),))</f>
        <v/>
      </c>
      <c r="D13677">
        <f>IFERROR(Table7[[#This Row],[United States 10y]]-Table7[[#This Row],[United States 3y]],#N/A)</f>
        <v/>
      </c>
    </row>
    <row r="13678">
      <c r="A13678" s="6">
        <f>Database!$A15763</f>
        <v/>
      </c>
      <c r="B13678">
        <f>IF(VLOOKUP(Table7[[#This Row],[Date]],Database!$A:$C,MATCH($B$1,Database!$A$1:$C$1,),)=0,#N/A,VLOOKUP(Table7[[#This Row],[Date]],Database!$A:$C,MATCH($B$1,Database!$A$1:$C$1,),))</f>
        <v/>
      </c>
      <c r="C13678">
        <f>IF(VLOOKUP(Table7[[#This Row],[Date]],Database!$A:$C,MATCH($C$1,Database!$A$1:$C$1,),)=0,#N/A,VLOOKUP(Table7[[#This Row],[Date]],Database!$A:$C,MATCH($C$1,Database!$A$1:$C$1,),))</f>
        <v/>
      </c>
      <c r="D13678">
        <f>IFERROR(Table7[[#This Row],[United States 10y]]-Table7[[#This Row],[United States 3y]],#N/A)</f>
        <v/>
      </c>
    </row>
    <row r="13679">
      <c r="A13679" s="6">
        <f>Database!$A15764</f>
        <v/>
      </c>
      <c r="B13679">
        <f>IF(VLOOKUP(Table7[[#This Row],[Date]],Database!$A:$C,MATCH($B$1,Database!$A$1:$C$1,),)=0,#N/A,VLOOKUP(Table7[[#This Row],[Date]],Database!$A:$C,MATCH($B$1,Database!$A$1:$C$1,),))</f>
        <v/>
      </c>
      <c r="C13679">
        <f>IF(VLOOKUP(Table7[[#This Row],[Date]],Database!$A:$C,MATCH($C$1,Database!$A$1:$C$1,),)=0,#N/A,VLOOKUP(Table7[[#This Row],[Date]],Database!$A:$C,MATCH($C$1,Database!$A$1:$C$1,),))</f>
        <v/>
      </c>
      <c r="D13679">
        <f>IFERROR(Table7[[#This Row],[United States 10y]]-Table7[[#This Row],[United States 3y]],#N/A)</f>
        <v/>
      </c>
    </row>
    <row r="13680">
      <c r="A13680" s="6">
        <f>Database!$A15765</f>
        <v/>
      </c>
      <c r="B13680">
        <f>IF(VLOOKUP(Table7[[#This Row],[Date]],Database!$A:$C,MATCH($B$1,Database!$A$1:$C$1,),)=0,#N/A,VLOOKUP(Table7[[#This Row],[Date]],Database!$A:$C,MATCH($B$1,Database!$A$1:$C$1,),))</f>
        <v/>
      </c>
      <c r="C13680">
        <f>IF(VLOOKUP(Table7[[#This Row],[Date]],Database!$A:$C,MATCH($C$1,Database!$A$1:$C$1,),)=0,#N/A,VLOOKUP(Table7[[#This Row],[Date]],Database!$A:$C,MATCH($C$1,Database!$A$1:$C$1,),))</f>
        <v/>
      </c>
      <c r="D13680">
        <f>IFERROR(Table7[[#This Row],[United States 10y]]-Table7[[#This Row],[United States 3y]],#N/A)</f>
        <v/>
      </c>
    </row>
    <row r="13681">
      <c r="A13681" s="6">
        <f>Database!$A15766</f>
        <v/>
      </c>
      <c r="B13681">
        <f>IF(VLOOKUP(Table7[[#This Row],[Date]],Database!$A:$C,MATCH($B$1,Database!$A$1:$C$1,),)=0,#N/A,VLOOKUP(Table7[[#This Row],[Date]],Database!$A:$C,MATCH($B$1,Database!$A$1:$C$1,),))</f>
        <v/>
      </c>
      <c r="C13681">
        <f>IF(VLOOKUP(Table7[[#This Row],[Date]],Database!$A:$C,MATCH($C$1,Database!$A$1:$C$1,),)=0,#N/A,VLOOKUP(Table7[[#This Row],[Date]],Database!$A:$C,MATCH($C$1,Database!$A$1:$C$1,),))</f>
        <v/>
      </c>
      <c r="D13681">
        <f>IFERROR(Table7[[#This Row],[United States 10y]]-Table7[[#This Row],[United States 3y]],#N/A)</f>
        <v/>
      </c>
    </row>
    <row r="13682">
      <c r="A13682" s="6">
        <f>Database!$A15767</f>
        <v/>
      </c>
      <c r="B13682">
        <f>IF(VLOOKUP(Table7[[#This Row],[Date]],Database!$A:$C,MATCH($B$1,Database!$A$1:$C$1,),)=0,#N/A,VLOOKUP(Table7[[#This Row],[Date]],Database!$A:$C,MATCH($B$1,Database!$A$1:$C$1,),))</f>
        <v/>
      </c>
      <c r="C13682">
        <f>IF(VLOOKUP(Table7[[#This Row],[Date]],Database!$A:$C,MATCH($C$1,Database!$A$1:$C$1,),)=0,#N/A,VLOOKUP(Table7[[#This Row],[Date]],Database!$A:$C,MATCH($C$1,Database!$A$1:$C$1,),))</f>
        <v/>
      </c>
      <c r="D13682">
        <f>IFERROR(Table7[[#This Row],[United States 10y]]-Table7[[#This Row],[United States 3y]],#N/A)</f>
        <v/>
      </c>
    </row>
    <row r="13683">
      <c r="A13683" s="6">
        <f>Database!$A15768</f>
        <v/>
      </c>
      <c r="B13683">
        <f>IF(VLOOKUP(Table7[[#This Row],[Date]],Database!$A:$C,MATCH($B$1,Database!$A$1:$C$1,),)=0,#N/A,VLOOKUP(Table7[[#This Row],[Date]],Database!$A:$C,MATCH($B$1,Database!$A$1:$C$1,),))</f>
        <v/>
      </c>
      <c r="C13683">
        <f>IF(VLOOKUP(Table7[[#This Row],[Date]],Database!$A:$C,MATCH($C$1,Database!$A$1:$C$1,),)=0,#N/A,VLOOKUP(Table7[[#This Row],[Date]],Database!$A:$C,MATCH($C$1,Database!$A$1:$C$1,),))</f>
        <v/>
      </c>
      <c r="D13683">
        <f>IFERROR(Table7[[#This Row],[United States 10y]]-Table7[[#This Row],[United States 3y]],#N/A)</f>
        <v/>
      </c>
    </row>
    <row r="13684">
      <c r="A13684" s="6">
        <f>Database!$A15769</f>
        <v/>
      </c>
      <c r="B13684">
        <f>IF(VLOOKUP(Table7[[#This Row],[Date]],Database!$A:$C,MATCH($B$1,Database!$A$1:$C$1,),)=0,#N/A,VLOOKUP(Table7[[#This Row],[Date]],Database!$A:$C,MATCH($B$1,Database!$A$1:$C$1,),))</f>
        <v/>
      </c>
      <c r="C13684">
        <f>IF(VLOOKUP(Table7[[#This Row],[Date]],Database!$A:$C,MATCH($C$1,Database!$A$1:$C$1,),)=0,#N/A,VLOOKUP(Table7[[#This Row],[Date]],Database!$A:$C,MATCH($C$1,Database!$A$1:$C$1,),))</f>
        <v/>
      </c>
      <c r="D13684">
        <f>IFERROR(Table7[[#This Row],[United States 10y]]-Table7[[#This Row],[United States 3y]],#N/A)</f>
        <v/>
      </c>
    </row>
    <row r="13685">
      <c r="A13685" s="6">
        <f>Database!$A15770</f>
        <v/>
      </c>
      <c r="B13685">
        <f>IF(VLOOKUP(Table7[[#This Row],[Date]],Database!$A:$C,MATCH($B$1,Database!$A$1:$C$1,),)=0,#N/A,VLOOKUP(Table7[[#This Row],[Date]],Database!$A:$C,MATCH($B$1,Database!$A$1:$C$1,),))</f>
        <v/>
      </c>
      <c r="C13685">
        <f>IF(VLOOKUP(Table7[[#This Row],[Date]],Database!$A:$C,MATCH($C$1,Database!$A$1:$C$1,),)=0,#N/A,VLOOKUP(Table7[[#This Row],[Date]],Database!$A:$C,MATCH($C$1,Database!$A$1:$C$1,),))</f>
        <v/>
      </c>
      <c r="D13685">
        <f>IFERROR(Table7[[#This Row],[United States 10y]]-Table7[[#This Row],[United States 3y]],#N/A)</f>
        <v/>
      </c>
    </row>
    <row r="13686">
      <c r="A13686" s="6">
        <f>Database!$A15771</f>
        <v/>
      </c>
      <c r="B13686">
        <f>IF(VLOOKUP(Table7[[#This Row],[Date]],Database!$A:$C,MATCH($B$1,Database!$A$1:$C$1,),)=0,#N/A,VLOOKUP(Table7[[#This Row],[Date]],Database!$A:$C,MATCH($B$1,Database!$A$1:$C$1,),))</f>
        <v/>
      </c>
      <c r="C13686">
        <f>IF(VLOOKUP(Table7[[#This Row],[Date]],Database!$A:$C,MATCH($C$1,Database!$A$1:$C$1,),)=0,#N/A,VLOOKUP(Table7[[#This Row],[Date]],Database!$A:$C,MATCH($C$1,Database!$A$1:$C$1,),))</f>
        <v/>
      </c>
      <c r="D13686">
        <f>IFERROR(Table7[[#This Row],[United States 10y]]-Table7[[#This Row],[United States 3y]],#N/A)</f>
        <v/>
      </c>
    </row>
    <row r="13687">
      <c r="A13687" s="6">
        <f>Database!$A15772</f>
        <v/>
      </c>
      <c r="B13687">
        <f>IF(VLOOKUP(Table7[[#This Row],[Date]],Database!$A:$C,MATCH($B$1,Database!$A$1:$C$1,),)=0,#N/A,VLOOKUP(Table7[[#This Row],[Date]],Database!$A:$C,MATCH($B$1,Database!$A$1:$C$1,),))</f>
        <v/>
      </c>
      <c r="C13687">
        <f>IF(VLOOKUP(Table7[[#This Row],[Date]],Database!$A:$C,MATCH($C$1,Database!$A$1:$C$1,),)=0,#N/A,VLOOKUP(Table7[[#This Row],[Date]],Database!$A:$C,MATCH($C$1,Database!$A$1:$C$1,),))</f>
        <v/>
      </c>
      <c r="D13687">
        <f>IFERROR(Table7[[#This Row],[United States 10y]]-Table7[[#This Row],[United States 3y]],#N/A)</f>
        <v/>
      </c>
    </row>
    <row r="13688">
      <c r="A13688" s="6">
        <f>Database!$A15773</f>
        <v/>
      </c>
      <c r="B13688">
        <f>IF(VLOOKUP(Table7[[#This Row],[Date]],Database!$A:$C,MATCH($B$1,Database!$A$1:$C$1,),)=0,#N/A,VLOOKUP(Table7[[#This Row],[Date]],Database!$A:$C,MATCH($B$1,Database!$A$1:$C$1,),))</f>
        <v/>
      </c>
      <c r="C13688">
        <f>IF(VLOOKUP(Table7[[#This Row],[Date]],Database!$A:$C,MATCH($C$1,Database!$A$1:$C$1,),)=0,#N/A,VLOOKUP(Table7[[#This Row],[Date]],Database!$A:$C,MATCH($C$1,Database!$A$1:$C$1,),))</f>
        <v/>
      </c>
      <c r="D13688">
        <f>IFERROR(Table7[[#This Row],[United States 10y]]-Table7[[#This Row],[United States 3y]],#N/A)</f>
        <v/>
      </c>
    </row>
    <row r="13689">
      <c r="A13689" s="6">
        <f>Database!$A15774</f>
        <v/>
      </c>
      <c r="B13689">
        <f>IF(VLOOKUP(Table7[[#This Row],[Date]],Database!$A:$C,MATCH($B$1,Database!$A$1:$C$1,),)=0,#N/A,VLOOKUP(Table7[[#This Row],[Date]],Database!$A:$C,MATCH($B$1,Database!$A$1:$C$1,),))</f>
        <v/>
      </c>
      <c r="C13689">
        <f>IF(VLOOKUP(Table7[[#This Row],[Date]],Database!$A:$C,MATCH($C$1,Database!$A$1:$C$1,),)=0,#N/A,VLOOKUP(Table7[[#This Row],[Date]],Database!$A:$C,MATCH($C$1,Database!$A$1:$C$1,),))</f>
        <v/>
      </c>
      <c r="D13689">
        <f>IFERROR(Table7[[#This Row],[United States 10y]]-Table7[[#This Row],[United States 3y]],#N/A)</f>
        <v/>
      </c>
    </row>
    <row r="13690">
      <c r="A13690" s="6">
        <f>Database!$A15775</f>
        <v/>
      </c>
      <c r="B13690">
        <f>IF(VLOOKUP(Table7[[#This Row],[Date]],Database!$A:$C,MATCH($B$1,Database!$A$1:$C$1,),)=0,#N/A,VLOOKUP(Table7[[#This Row],[Date]],Database!$A:$C,MATCH($B$1,Database!$A$1:$C$1,),))</f>
        <v/>
      </c>
      <c r="C13690">
        <f>IF(VLOOKUP(Table7[[#This Row],[Date]],Database!$A:$C,MATCH($C$1,Database!$A$1:$C$1,),)=0,#N/A,VLOOKUP(Table7[[#This Row],[Date]],Database!$A:$C,MATCH($C$1,Database!$A$1:$C$1,),))</f>
        <v/>
      </c>
      <c r="D13690">
        <f>IFERROR(Table7[[#This Row],[United States 10y]]-Table7[[#This Row],[United States 3y]],#N/A)</f>
        <v/>
      </c>
    </row>
    <row r="13691">
      <c r="A13691" s="6">
        <f>Database!$A15776</f>
        <v/>
      </c>
      <c r="B13691">
        <f>IF(VLOOKUP(Table7[[#This Row],[Date]],Database!$A:$C,MATCH($B$1,Database!$A$1:$C$1,),)=0,#N/A,VLOOKUP(Table7[[#This Row],[Date]],Database!$A:$C,MATCH($B$1,Database!$A$1:$C$1,),))</f>
        <v/>
      </c>
      <c r="C13691">
        <f>IF(VLOOKUP(Table7[[#This Row],[Date]],Database!$A:$C,MATCH($C$1,Database!$A$1:$C$1,),)=0,#N/A,VLOOKUP(Table7[[#This Row],[Date]],Database!$A:$C,MATCH($C$1,Database!$A$1:$C$1,),))</f>
        <v/>
      </c>
      <c r="D13691">
        <f>IFERROR(Table7[[#This Row],[United States 10y]]-Table7[[#This Row],[United States 3y]],#N/A)</f>
        <v/>
      </c>
    </row>
    <row r="13692">
      <c r="A13692" s="6">
        <f>Database!$A15777</f>
        <v/>
      </c>
      <c r="B13692">
        <f>IF(VLOOKUP(Table7[[#This Row],[Date]],Database!$A:$C,MATCH($B$1,Database!$A$1:$C$1,),)=0,#N/A,VLOOKUP(Table7[[#This Row],[Date]],Database!$A:$C,MATCH($B$1,Database!$A$1:$C$1,),))</f>
        <v/>
      </c>
      <c r="C13692">
        <f>IF(VLOOKUP(Table7[[#This Row],[Date]],Database!$A:$C,MATCH($C$1,Database!$A$1:$C$1,),)=0,#N/A,VLOOKUP(Table7[[#This Row],[Date]],Database!$A:$C,MATCH($C$1,Database!$A$1:$C$1,),))</f>
        <v/>
      </c>
      <c r="D13692">
        <f>IFERROR(Table7[[#This Row],[United States 10y]]-Table7[[#This Row],[United States 3y]],#N/A)</f>
        <v/>
      </c>
    </row>
    <row r="13693">
      <c r="A13693" s="6">
        <f>Database!$A15778</f>
        <v/>
      </c>
      <c r="B13693">
        <f>IF(VLOOKUP(Table7[[#This Row],[Date]],Database!$A:$C,MATCH($B$1,Database!$A$1:$C$1,),)=0,#N/A,VLOOKUP(Table7[[#This Row],[Date]],Database!$A:$C,MATCH($B$1,Database!$A$1:$C$1,),))</f>
        <v/>
      </c>
      <c r="C13693">
        <f>IF(VLOOKUP(Table7[[#This Row],[Date]],Database!$A:$C,MATCH($C$1,Database!$A$1:$C$1,),)=0,#N/A,VLOOKUP(Table7[[#This Row],[Date]],Database!$A:$C,MATCH($C$1,Database!$A$1:$C$1,),))</f>
        <v/>
      </c>
      <c r="D13693">
        <f>IFERROR(Table7[[#This Row],[United States 10y]]-Table7[[#This Row],[United States 3y]],#N/A)</f>
        <v/>
      </c>
    </row>
    <row r="13694">
      <c r="A13694" s="6">
        <f>Database!$A15779</f>
        <v/>
      </c>
      <c r="B13694">
        <f>IF(VLOOKUP(Table7[[#This Row],[Date]],Database!$A:$C,MATCH($B$1,Database!$A$1:$C$1,),)=0,#N/A,VLOOKUP(Table7[[#This Row],[Date]],Database!$A:$C,MATCH($B$1,Database!$A$1:$C$1,),))</f>
        <v/>
      </c>
      <c r="C13694">
        <f>IF(VLOOKUP(Table7[[#This Row],[Date]],Database!$A:$C,MATCH($C$1,Database!$A$1:$C$1,),)=0,#N/A,VLOOKUP(Table7[[#This Row],[Date]],Database!$A:$C,MATCH($C$1,Database!$A$1:$C$1,),))</f>
        <v/>
      </c>
      <c r="D13694">
        <f>IFERROR(Table7[[#This Row],[United States 10y]]-Table7[[#This Row],[United States 3y]],#N/A)</f>
        <v/>
      </c>
    </row>
    <row r="13695">
      <c r="A13695" s="6">
        <f>Database!$A15780</f>
        <v/>
      </c>
      <c r="B13695">
        <f>IF(VLOOKUP(Table7[[#This Row],[Date]],Database!$A:$C,MATCH($B$1,Database!$A$1:$C$1,),)=0,#N/A,VLOOKUP(Table7[[#This Row],[Date]],Database!$A:$C,MATCH($B$1,Database!$A$1:$C$1,),))</f>
        <v/>
      </c>
      <c r="C13695">
        <f>IF(VLOOKUP(Table7[[#This Row],[Date]],Database!$A:$C,MATCH($C$1,Database!$A$1:$C$1,),)=0,#N/A,VLOOKUP(Table7[[#This Row],[Date]],Database!$A:$C,MATCH($C$1,Database!$A$1:$C$1,),))</f>
        <v/>
      </c>
      <c r="D13695">
        <f>IFERROR(Table7[[#This Row],[United States 10y]]-Table7[[#This Row],[United States 3y]],#N/A)</f>
        <v/>
      </c>
    </row>
    <row r="13696">
      <c r="A13696" s="6">
        <f>Database!$A15781</f>
        <v/>
      </c>
      <c r="B13696">
        <f>IF(VLOOKUP(Table7[[#This Row],[Date]],Database!$A:$C,MATCH($B$1,Database!$A$1:$C$1,),)=0,#N/A,VLOOKUP(Table7[[#This Row],[Date]],Database!$A:$C,MATCH($B$1,Database!$A$1:$C$1,),))</f>
        <v/>
      </c>
      <c r="C13696">
        <f>IF(VLOOKUP(Table7[[#This Row],[Date]],Database!$A:$C,MATCH($C$1,Database!$A$1:$C$1,),)=0,#N/A,VLOOKUP(Table7[[#This Row],[Date]],Database!$A:$C,MATCH($C$1,Database!$A$1:$C$1,),))</f>
        <v/>
      </c>
      <c r="D13696">
        <f>IFERROR(Table7[[#This Row],[United States 10y]]-Table7[[#This Row],[United States 3y]],#N/A)</f>
        <v/>
      </c>
    </row>
    <row r="13697">
      <c r="A13697" s="6">
        <f>Database!$A15782</f>
        <v/>
      </c>
      <c r="B13697">
        <f>IF(VLOOKUP(Table7[[#This Row],[Date]],Database!$A:$C,MATCH($B$1,Database!$A$1:$C$1,),)=0,#N/A,VLOOKUP(Table7[[#This Row],[Date]],Database!$A:$C,MATCH($B$1,Database!$A$1:$C$1,),))</f>
        <v/>
      </c>
      <c r="C13697">
        <f>IF(VLOOKUP(Table7[[#This Row],[Date]],Database!$A:$C,MATCH($C$1,Database!$A$1:$C$1,),)=0,#N/A,VLOOKUP(Table7[[#This Row],[Date]],Database!$A:$C,MATCH($C$1,Database!$A$1:$C$1,),))</f>
        <v/>
      </c>
      <c r="D13697">
        <f>IFERROR(Table7[[#This Row],[United States 10y]]-Table7[[#This Row],[United States 3y]],#N/A)</f>
        <v/>
      </c>
    </row>
    <row r="13698">
      <c r="A13698" s="6">
        <f>Database!$A15783</f>
        <v/>
      </c>
      <c r="B13698">
        <f>IF(VLOOKUP(Table7[[#This Row],[Date]],Database!$A:$C,MATCH($B$1,Database!$A$1:$C$1,),)=0,#N/A,VLOOKUP(Table7[[#This Row],[Date]],Database!$A:$C,MATCH($B$1,Database!$A$1:$C$1,),))</f>
        <v/>
      </c>
      <c r="C13698">
        <f>IF(VLOOKUP(Table7[[#This Row],[Date]],Database!$A:$C,MATCH($C$1,Database!$A$1:$C$1,),)=0,#N/A,VLOOKUP(Table7[[#This Row],[Date]],Database!$A:$C,MATCH($C$1,Database!$A$1:$C$1,),))</f>
        <v/>
      </c>
      <c r="D13698">
        <f>IFERROR(Table7[[#This Row],[United States 10y]]-Table7[[#This Row],[United States 3y]],#N/A)</f>
        <v/>
      </c>
    </row>
    <row r="13699">
      <c r="A13699" s="6">
        <f>Database!$A15784</f>
        <v/>
      </c>
      <c r="B13699">
        <f>IF(VLOOKUP(Table7[[#This Row],[Date]],Database!$A:$C,MATCH($B$1,Database!$A$1:$C$1,),)=0,#N/A,VLOOKUP(Table7[[#This Row],[Date]],Database!$A:$C,MATCH($B$1,Database!$A$1:$C$1,),))</f>
        <v/>
      </c>
      <c r="C13699">
        <f>IF(VLOOKUP(Table7[[#This Row],[Date]],Database!$A:$C,MATCH($C$1,Database!$A$1:$C$1,),)=0,#N/A,VLOOKUP(Table7[[#This Row],[Date]],Database!$A:$C,MATCH($C$1,Database!$A$1:$C$1,),))</f>
        <v/>
      </c>
      <c r="D13699">
        <f>IFERROR(Table7[[#This Row],[United States 10y]]-Table7[[#This Row],[United States 3y]],#N/A)</f>
        <v/>
      </c>
    </row>
    <row r="13700">
      <c r="A13700" s="6">
        <f>Database!$A15785</f>
        <v/>
      </c>
      <c r="B13700">
        <f>IF(VLOOKUP(Table7[[#This Row],[Date]],Database!$A:$C,MATCH($B$1,Database!$A$1:$C$1,),)=0,#N/A,VLOOKUP(Table7[[#This Row],[Date]],Database!$A:$C,MATCH($B$1,Database!$A$1:$C$1,),))</f>
        <v/>
      </c>
      <c r="C13700">
        <f>IF(VLOOKUP(Table7[[#This Row],[Date]],Database!$A:$C,MATCH($C$1,Database!$A$1:$C$1,),)=0,#N/A,VLOOKUP(Table7[[#This Row],[Date]],Database!$A:$C,MATCH($C$1,Database!$A$1:$C$1,),))</f>
        <v/>
      </c>
      <c r="D13700">
        <f>IFERROR(Table7[[#This Row],[United States 10y]]-Table7[[#This Row],[United States 3y]],#N/A)</f>
        <v/>
      </c>
    </row>
    <row r="13701">
      <c r="A13701" s="6">
        <f>Database!$A15786</f>
        <v/>
      </c>
      <c r="B13701">
        <f>IF(VLOOKUP(Table7[[#This Row],[Date]],Database!$A:$C,MATCH($B$1,Database!$A$1:$C$1,),)=0,#N/A,VLOOKUP(Table7[[#This Row],[Date]],Database!$A:$C,MATCH($B$1,Database!$A$1:$C$1,),))</f>
        <v/>
      </c>
      <c r="C13701">
        <f>IF(VLOOKUP(Table7[[#This Row],[Date]],Database!$A:$C,MATCH($C$1,Database!$A$1:$C$1,),)=0,#N/A,VLOOKUP(Table7[[#This Row],[Date]],Database!$A:$C,MATCH($C$1,Database!$A$1:$C$1,),))</f>
        <v/>
      </c>
      <c r="D13701">
        <f>IFERROR(Table7[[#This Row],[United States 10y]]-Table7[[#This Row],[United States 3y]],#N/A)</f>
        <v/>
      </c>
    </row>
    <row r="13702">
      <c r="A13702" s="6">
        <f>Database!$A15787</f>
        <v/>
      </c>
      <c r="B13702">
        <f>IF(VLOOKUP(Table7[[#This Row],[Date]],Database!$A:$C,MATCH($B$1,Database!$A$1:$C$1,),)=0,#N/A,VLOOKUP(Table7[[#This Row],[Date]],Database!$A:$C,MATCH($B$1,Database!$A$1:$C$1,),))</f>
        <v/>
      </c>
      <c r="C13702">
        <f>IF(VLOOKUP(Table7[[#This Row],[Date]],Database!$A:$C,MATCH($C$1,Database!$A$1:$C$1,),)=0,#N/A,VLOOKUP(Table7[[#This Row],[Date]],Database!$A:$C,MATCH($C$1,Database!$A$1:$C$1,),))</f>
        <v/>
      </c>
      <c r="D13702">
        <f>IFERROR(Table7[[#This Row],[United States 10y]]-Table7[[#This Row],[United States 3y]],#N/A)</f>
        <v/>
      </c>
    </row>
    <row r="13703">
      <c r="A13703" s="6">
        <f>Database!$A15788</f>
        <v/>
      </c>
      <c r="B13703">
        <f>IF(VLOOKUP(Table7[[#This Row],[Date]],Database!$A:$C,MATCH($B$1,Database!$A$1:$C$1,),)=0,#N/A,VLOOKUP(Table7[[#This Row],[Date]],Database!$A:$C,MATCH($B$1,Database!$A$1:$C$1,),))</f>
        <v/>
      </c>
      <c r="C13703">
        <f>IF(VLOOKUP(Table7[[#This Row],[Date]],Database!$A:$C,MATCH($C$1,Database!$A$1:$C$1,),)=0,#N/A,VLOOKUP(Table7[[#This Row],[Date]],Database!$A:$C,MATCH($C$1,Database!$A$1:$C$1,),))</f>
        <v/>
      </c>
      <c r="D13703">
        <f>IFERROR(Table7[[#This Row],[United States 10y]]-Table7[[#This Row],[United States 3y]],#N/A)</f>
        <v/>
      </c>
    </row>
    <row r="13704">
      <c r="A13704" s="6">
        <f>Database!$A15789</f>
        <v/>
      </c>
      <c r="B13704">
        <f>IF(VLOOKUP(Table7[[#This Row],[Date]],Database!$A:$C,MATCH($B$1,Database!$A$1:$C$1,),)=0,#N/A,VLOOKUP(Table7[[#This Row],[Date]],Database!$A:$C,MATCH($B$1,Database!$A$1:$C$1,),))</f>
        <v/>
      </c>
      <c r="C13704">
        <f>IF(VLOOKUP(Table7[[#This Row],[Date]],Database!$A:$C,MATCH($C$1,Database!$A$1:$C$1,),)=0,#N/A,VLOOKUP(Table7[[#This Row],[Date]],Database!$A:$C,MATCH($C$1,Database!$A$1:$C$1,),))</f>
        <v/>
      </c>
      <c r="D13704">
        <f>IFERROR(Table7[[#This Row],[United States 10y]]-Table7[[#This Row],[United States 3y]],#N/A)</f>
        <v/>
      </c>
    </row>
    <row r="13705">
      <c r="A13705" s="6">
        <f>Database!$A15790</f>
        <v/>
      </c>
      <c r="B13705">
        <f>IF(VLOOKUP(Table7[[#This Row],[Date]],Database!$A:$C,MATCH($B$1,Database!$A$1:$C$1,),)=0,#N/A,VLOOKUP(Table7[[#This Row],[Date]],Database!$A:$C,MATCH($B$1,Database!$A$1:$C$1,),))</f>
        <v/>
      </c>
      <c r="C13705">
        <f>IF(VLOOKUP(Table7[[#This Row],[Date]],Database!$A:$C,MATCH($C$1,Database!$A$1:$C$1,),)=0,#N/A,VLOOKUP(Table7[[#This Row],[Date]],Database!$A:$C,MATCH($C$1,Database!$A$1:$C$1,),))</f>
        <v/>
      </c>
      <c r="D13705">
        <f>IFERROR(Table7[[#This Row],[United States 10y]]-Table7[[#This Row],[United States 3y]],#N/A)</f>
        <v/>
      </c>
    </row>
    <row r="13706">
      <c r="A13706" s="6">
        <f>Database!$A15791</f>
        <v/>
      </c>
      <c r="B13706">
        <f>IF(VLOOKUP(Table7[[#This Row],[Date]],Database!$A:$C,MATCH($B$1,Database!$A$1:$C$1,),)=0,#N/A,VLOOKUP(Table7[[#This Row],[Date]],Database!$A:$C,MATCH($B$1,Database!$A$1:$C$1,),))</f>
        <v/>
      </c>
      <c r="C13706">
        <f>IF(VLOOKUP(Table7[[#This Row],[Date]],Database!$A:$C,MATCH($C$1,Database!$A$1:$C$1,),)=0,#N/A,VLOOKUP(Table7[[#This Row],[Date]],Database!$A:$C,MATCH($C$1,Database!$A$1:$C$1,),))</f>
        <v/>
      </c>
      <c r="D13706">
        <f>IFERROR(Table7[[#This Row],[United States 10y]]-Table7[[#This Row],[United States 3y]],#N/A)</f>
        <v/>
      </c>
    </row>
    <row r="13707">
      <c r="A13707" s="6">
        <f>Database!$A15792</f>
        <v/>
      </c>
      <c r="B13707">
        <f>IF(VLOOKUP(Table7[[#This Row],[Date]],Database!$A:$C,MATCH($B$1,Database!$A$1:$C$1,),)=0,#N/A,VLOOKUP(Table7[[#This Row],[Date]],Database!$A:$C,MATCH($B$1,Database!$A$1:$C$1,),))</f>
        <v/>
      </c>
      <c r="C13707">
        <f>IF(VLOOKUP(Table7[[#This Row],[Date]],Database!$A:$C,MATCH($C$1,Database!$A$1:$C$1,),)=0,#N/A,VLOOKUP(Table7[[#This Row],[Date]],Database!$A:$C,MATCH($C$1,Database!$A$1:$C$1,),))</f>
        <v/>
      </c>
      <c r="D13707">
        <f>IFERROR(Table7[[#This Row],[United States 10y]]-Table7[[#This Row],[United States 3y]],#N/A)</f>
        <v/>
      </c>
    </row>
    <row r="13708">
      <c r="A13708" s="6">
        <f>Database!$A15793</f>
        <v/>
      </c>
      <c r="B13708">
        <f>IF(VLOOKUP(Table7[[#This Row],[Date]],Database!$A:$C,MATCH($B$1,Database!$A$1:$C$1,),)=0,#N/A,VLOOKUP(Table7[[#This Row],[Date]],Database!$A:$C,MATCH($B$1,Database!$A$1:$C$1,),))</f>
        <v/>
      </c>
      <c r="C13708">
        <f>IF(VLOOKUP(Table7[[#This Row],[Date]],Database!$A:$C,MATCH($C$1,Database!$A$1:$C$1,),)=0,#N/A,VLOOKUP(Table7[[#This Row],[Date]],Database!$A:$C,MATCH($C$1,Database!$A$1:$C$1,),))</f>
        <v/>
      </c>
      <c r="D13708">
        <f>IFERROR(Table7[[#This Row],[United States 10y]]-Table7[[#This Row],[United States 3y]],#N/A)</f>
        <v/>
      </c>
    </row>
    <row r="13709">
      <c r="A13709" s="6">
        <f>Database!$A15794</f>
        <v/>
      </c>
      <c r="B13709">
        <f>IF(VLOOKUP(Table7[[#This Row],[Date]],Database!$A:$C,MATCH($B$1,Database!$A$1:$C$1,),)=0,#N/A,VLOOKUP(Table7[[#This Row],[Date]],Database!$A:$C,MATCH($B$1,Database!$A$1:$C$1,),))</f>
        <v/>
      </c>
      <c r="C13709">
        <f>IF(VLOOKUP(Table7[[#This Row],[Date]],Database!$A:$C,MATCH($C$1,Database!$A$1:$C$1,),)=0,#N/A,VLOOKUP(Table7[[#This Row],[Date]],Database!$A:$C,MATCH($C$1,Database!$A$1:$C$1,),))</f>
        <v/>
      </c>
      <c r="D13709">
        <f>IFERROR(Table7[[#This Row],[United States 10y]]-Table7[[#This Row],[United States 3y]],#N/A)</f>
        <v/>
      </c>
    </row>
    <row r="13710">
      <c r="A13710" s="6">
        <f>Database!$A15795</f>
        <v/>
      </c>
      <c r="B13710">
        <f>IF(VLOOKUP(Table7[[#This Row],[Date]],Database!$A:$C,MATCH($B$1,Database!$A$1:$C$1,),)=0,#N/A,VLOOKUP(Table7[[#This Row],[Date]],Database!$A:$C,MATCH($B$1,Database!$A$1:$C$1,),))</f>
        <v/>
      </c>
      <c r="C13710">
        <f>IF(VLOOKUP(Table7[[#This Row],[Date]],Database!$A:$C,MATCH($C$1,Database!$A$1:$C$1,),)=0,#N/A,VLOOKUP(Table7[[#This Row],[Date]],Database!$A:$C,MATCH($C$1,Database!$A$1:$C$1,),))</f>
        <v/>
      </c>
      <c r="D13710">
        <f>IFERROR(Table7[[#This Row],[United States 10y]]-Table7[[#This Row],[United States 3y]],#N/A)</f>
        <v/>
      </c>
    </row>
    <row r="13711">
      <c r="A13711" s="6">
        <f>Database!$A15796</f>
        <v/>
      </c>
      <c r="B13711">
        <f>IF(VLOOKUP(Table7[[#This Row],[Date]],Database!$A:$C,MATCH($B$1,Database!$A$1:$C$1,),)=0,#N/A,VLOOKUP(Table7[[#This Row],[Date]],Database!$A:$C,MATCH($B$1,Database!$A$1:$C$1,),))</f>
        <v/>
      </c>
      <c r="C13711">
        <f>IF(VLOOKUP(Table7[[#This Row],[Date]],Database!$A:$C,MATCH($C$1,Database!$A$1:$C$1,),)=0,#N/A,VLOOKUP(Table7[[#This Row],[Date]],Database!$A:$C,MATCH($C$1,Database!$A$1:$C$1,),))</f>
        <v/>
      </c>
      <c r="D13711">
        <f>IFERROR(Table7[[#This Row],[United States 10y]]-Table7[[#This Row],[United States 3y]],#N/A)</f>
        <v/>
      </c>
    </row>
    <row r="13712">
      <c r="A13712" s="6">
        <f>Database!$A15797</f>
        <v/>
      </c>
      <c r="B13712">
        <f>IF(VLOOKUP(Table7[[#This Row],[Date]],Database!$A:$C,MATCH($B$1,Database!$A$1:$C$1,),)=0,#N/A,VLOOKUP(Table7[[#This Row],[Date]],Database!$A:$C,MATCH($B$1,Database!$A$1:$C$1,),))</f>
        <v/>
      </c>
      <c r="C13712">
        <f>IF(VLOOKUP(Table7[[#This Row],[Date]],Database!$A:$C,MATCH($C$1,Database!$A$1:$C$1,),)=0,#N/A,VLOOKUP(Table7[[#This Row],[Date]],Database!$A:$C,MATCH($C$1,Database!$A$1:$C$1,),))</f>
        <v/>
      </c>
      <c r="D13712">
        <f>IFERROR(Table7[[#This Row],[United States 10y]]-Table7[[#This Row],[United States 3y]],#N/A)</f>
        <v/>
      </c>
    </row>
    <row r="13713">
      <c r="A13713" s="6">
        <f>Database!$A15798</f>
        <v/>
      </c>
      <c r="B13713">
        <f>IF(VLOOKUP(Table7[[#This Row],[Date]],Database!$A:$C,MATCH($B$1,Database!$A$1:$C$1,),)=0,#N/A,VLOOKUP(Table7[[#This Row],[Date]],Database!$A:$C,MATCH($B$1,Database!$A$1:$C$1,),))</f>
        <v/>
      </c>
      <c r="C13713">
        <f>IF(VLOOKUP(Table7[[#This Row],[Date]],Database!$A:$C,MATCH($C$1,Database!$A$1:$C$1,),)=0,#N/A,VLOOKUP(Table7[[#This Row],[Date]],Database!$A:$C,MATCH($C$1,Database!$A$1:$C$1,),))</f>
        <v/>
      </c>
      <c r="D13713">
        <f>IFERROR(Table7[[#This Row],[United States 10y]]-Table7[[#This Row],[United States 3y]],#N/A)</f>
        <v/>
      </c>
    </row>
    <row r="13714">
      <c r="A13714" s="6">
        <f>Database!$A15799</f>
        <v/>
      </c>
      <c r="B13714">
        <f>IF(VLOOKUP(Table7[[#This Row],[Date]],Database!$A:$C,MATCH($B$1,Database!$A$1:$C$1,),)=0,#N/A,VLOOKUP(Table7[[#This Row],[Date]],Database!$A:$C,MATCH($B$1,Database!$A$1:$C$1,),))</f>
        <v/>
      </c>
      <c r="C13714">
        <f>IF(VLOOKUP(Table7[[#This Row],[Date]],Database!$A:$C,MATCH($C$1,Database!$A$1:$C$1,),)=0,#N/A,VLOOKUP(Table7[[#This Row],[Date]],Database!$A:$C,MATCH($C$1,Database!$A$1:$C$1,),))</f>
        <v/>
      </c>
      <c r="D13714">
        <f>IFERROR(Table7[[#This Row],[United States 10y]]-Table7[[#This Row],[United States 3y]],#N/A)</f>
        <v/>
      </c>
    </row>
    <row r="13715">
      <c r="A13715" s="6">
        <f>Database!$A15800</f>
        <v/>
      </c>
      <c r="B13715">
        <f>IF(VLOOKUP(Table7[[#This Row],[Date]],Database!$A:$C,MATCH($B$1,Database!$A$1:$C$1,),)=0,#N/A,VLOOKUP(Table7[[#This Row],[Date]],Database!$A:$C,MATCH($B$1,Database!$A$1:$C$1,),))</f>
        <v/>
      </c>
      <c r="C13715">
        <f>IF(VLOOKUP(Table7[[#This Row],[Date]],Database!$A:$C,MATCH($C$1,Database!$A$1:$C$1,),)=0,#N/A,VLOOKUP(Table7[[#This Row],[Date]],Database!$A:$C,MATCH($C$1,Database!$A$1:$C$1,),))</f>
        <v/>
      </c>
      <c r="D13715">
        <f>IFERROR(Table7[[#This Row],[United States 10y]]-Table7[[#This Row],[United States 3y]],#N/A)</f>
        <v/>
      </c>
    </row>
    <row r="13716">
      <c r="A13716" s="6">
        <f>Database!$A15801</f>
        <v/>
      </c>
      <c r="B13716">
        <f>IF(VLOOKUP(Table7[[#This Row],[Date]],Database!$A:$C,MATCH($B$1,Database!$A$1:$C$1,),)=0,#N/A,VLOOKUP(Table7[[#This Row],[Date]],Database!$A:$C,MATCH($B$1,Database!$A$1:$C$1,),))</f>
        <v/>
      </c>
      <c r="C13716">
        <f>IF(VLOOKUP(Table7[[#This Row],[Date]],Database!$A:$C,MATCH($C$1,Database!$A$1:$C$1,),)=0,#N/A,VLOOKUP(Table7[[#This Row],[Date]],Database!$A:$C,MATCH($C$1,Database!$A$1:$C$1,),))</f>
        <v/>
      </c>
      <c r="D13716">
        <f>IFERROR(Table7[[#This Row],[United States 10y]]-Table7[[#This Row],[United States 3y]],#N/A)</f>
        <v/>
      </c>
    </row>
    <row r="13717">
      <c r="A13717" s="6">
        <f>Database!$A15802</f>
        <v/>
      </c>
      <c r="B13717">
        <f>IF(VLOOKUP(Table7[[#This Row],[Date]],Database!$A:$C,MATCH($B$1,Database!$A$1:$C$1,),)=0,#N/A,VLOOKUP(Table7[[#This Row],[Date]],Database!$A:$C,MATCH($B$1,Database!$A$1:$C$1,),))</f>
        <v/>
      </c>
      <c r="C13717">
        <f>IF(VLOOKUP(Table7[[#This Row],[Date]],Database!$A:$C,MATCH($C$1,Database!$A$1:$C$1,),)=0,#N/A,VLOOKUP(Table7[[#This Row],[Date]],Database!$A:$C,MATCH($C$1,Database!$A$1:$C$1,),))</f>
        <v/>
      </c>
      <c r="D13717">
        <f>IFERROR(Table7[[#This Row],[United States 10y]]-Table7[[#This Row],[United States 3y]],#N/A)</f>
        <v/>
      </c>
    </row>
    <row r="13718">
      <c r="A13718" s="6">
        <f>Database!$A15803</f>
        <v/>
      </c>
      <c r="B13718">
        <f>IF(VLOOKUP(Table7[[#This Row],[Date]],Database!$A:$C,MATCH($B$1,Database!$A$1:$C$1,),)=0,#N/A,VLOOKUP(Table7[[#This Row],[Date]],Database!$A:$C,MATCH($B$1,Database!$A$1:$C$1,),))</f>
        <v/>
      </c>
      <c r="C13718">
        <f>IF(VLOOKUP(Table7[[#This Row],[Date]],Database!$A:$C,MATCH($C$1,Database!$A$1:$C$1,),)=0,#N/A,VLOOKUP(Table7[[#This Row],[Date]],Database!$A:$C,MATCH($C$1,Database!$A$1:$C$1,),))</f>
        <v/>
      </c>
      <c r="D13718">
        <f>IFERROR(Table7[[#This Row],[United States 10y]]-Table7[[#This Row],[United States 3y]],#N/A)</f>
        <v/>
      </c>
    </row>
    <row r="13719">
      <c r="A13719" s="6">
        <f>Database!$A15804</f>
        <v/>
      </c>
      <c r="B13719">
        <f>IF(VLOOKUP(Table7[[#This Row],[Date]],Database!$A:$C,MATCH($B$1,Database!$A$1:$C$1,),)=0,#N/A,VLOOKUP(Table7[[#This Row],[Date]],Database!$A:$C,MATCH($B$1,Database!$A$1:$C$1,),))</f>
        <v/>
      </c>
      <c r="C13719">
        <f>IF(VLOOKUP(Table7[[#This Row],[Date]],Database!$A:$C,MATCH($C$1,Database!$A$1:$C$1,),)=0,#N/A,VLOOKUP(Table7[[#This Row],[Date]],Database!$A:$C,MATCH($C$1,Database!$A$1:$C$1,),))</f>
        <v/>
      </c>
      <c r="D13719">
        <f>IFERROR(Table7[[#This Row],[United States 10y]]-Table7[[#This Row],[United States 3y]],#N/A)</f>
        <v/>
      </c>
    </row>
    <row r="13720">
      <c r="A13720" s="6">
        <f>Database!$A15805</f>
        <v/>
      </c>
      <c r="B13720">
        <f>IF(VLOOKUP(Table7[[#This Row],[Date]],Database!$A:$C,MATCH($B$1,Database!$A$1:$C$1,),)=0,#N/A,VLOOKUP(Table7[[#This Row],[Date]],Database!$A:$C,MATCH($B$1,Database!$A$1:$C$1,),))</f>
        <v/>
      </c>
      <c r="C13720">
        <f>IF(VLOOKUP(Table7[[#This Row],[Date]],Database!$A:$C,MATCH($C$1,Database!$A$1:$C$1,),)=0,#N/A,VLOOKUP(Table7[[#This Row],[Date]],Database!$A:$C,MATCH($C$1,Database!$A$1:$C$1,),))</f>
        <v/>
      </c>
      <c r="D13720">
        <f>IFERROR(Table7[[#This Row],[United States 10y]]-Table7[[#This Row],[United States 3y]],#N/A)</f>
        <v/>
      </c>
    </row>
    <row r="13721">
      <c r="A13721" s="6">
        <f>Database!$A15806</f>
        <v/>
      </c>
      <c r="B13721">
        <f>IF(VLOOKUP(Table7[[#This Row],[Date]],Database!$A:$C,MATCH($B$1,Database!$A$1:$C$1,),)=0,#N/A,VLOOKUP(Table7[[#This Row],[Date]],Database!$A:$C,MATCH($B$1,Database!$A$1:$C$1,),))</f>
        <v/>
      </c>
      <c r="C13721">
        <f>IF(VLOOKUP(Table7[[#This Row],[Date]],Database!$A:$C,MATCH($C$1,Database!$A$1:$C$1,),)=0,#N/A,VLOOKUP(Table7[[#This Row],[Date]],Database!$A:$C,MATCH($C$1,Database!$A$1:$C$1,),))</f>
        <v/>
      </c>
      <c r="D13721">
        <f>IFERROR(Table7[[#This Row],[United States 10y]]-Table7[[#This Row],[United States 3y]],#N/A)</f>
        <v/>
      </c>
    </row>
    <row r="13722">
      <c r="A13722" s="6">
        <f>Database!$A15807</f>
        <v/>
      </c>
      <c r="B13722">
        <f>IF(VLOOKUP(Table7[[#This Row],[Date]],Database!$A:$C,MATCH($B$1,Database!$A$1:$C$1,),)=0,#N/A,VLOOKUP(Table7[[#This Row],[Date]],Database!$A:$C,MATCH($B$1,Database!$A$1:$C$1,),))</f>
        <v/>
      </c>
      <c r="C13722">
        <f>IF(VLOOKUP(Table7[[#This Row],[Date]],Database!$A:$C,MATCH($C$1,Database!$A$1:$C$1,),)=0,#N/A,VLOOKUP(Table7[[#This Row],[Date]],Database!$A:$C,MATCH($C$1,Database!$A$1:$C$1,),))</f>
        <v/>
      </c>
      <c r="D13722">
        <f>IFERROR(Table7[[#This Row],[United States 10y]]-Table7[[#This Row],[United States 3y]],#N/A)</f>
        <v/>
      </c>
    </row>
    <row r="13723">
      <c r="A13723" s="6">
        <f>Database!$A15808</f>
        <v/>
      </c>
      <c r="B13723">
        <f>IF(VLOOKUP(Table7[[#This Row],[Date]],Database!$A:$C,MATCH($B$1,Database!$A$1:$C$1,),)=0,#N/A,VLOOKUP(Table7[[#This Row],[Date]],Database!$A:$C,MATCH($B$1,Database!$A$1:$C$1,),))</f>
        <v/>
      </c>
      <c r="C13723">
        <f>IF(VLOOKUP(Table7[[#This Row],[Date]],Database!$A:$C,MATCH($C$1,Database!$A$1:$C$1,),)=0,#N/A,VLOOKUP(Table7[[#This Row],[Date]],Database!$A:$C,MATCH($C$1,Database!$A$1:$C$1,),))</f>
        <v/>
      </c>
      <c r="D13723">
        <f>IFERROR(Table7[[#This Row],[United States 10y]]-Table7[[#This Row],[United States 3y]],#N/A)</f>
        <v/>
      </c>
    </row>
    <row r="13724">
      <c r="A13724" s="6">
        <f>Database!$A15809</f>
        <v/>
      </c>
      <c r="B13724">
        <f>IF(VLOOKUP(Table7[[#This Row],[Date]],Database!$A:$C,MATCH($B$1,Database!$A$1:$C$1,),)=0,#N/A,VLOOKUP(Table7[[#This Row],[Date]],Database!$A:$C,MATCH($B$1,Database!$A$1:$C$1,),))</f>
        <v/>
      </c>
      <c r="C13724">
        <f>IF(VLOOKUP(Table7[[#This Row],[Date]],Database!$A:$C,MATCH($C$1,Database!$A$1:$C$1,),)=0,#N/A,VLOOKUP(Table7[[#This Row],[Date]],Database!$A:$C,MATCH($C$1,Database!$A$1:$C$1,),))</f>
        <v/>
      </c>
      <c r="D13724">
        <f>IFERROR(Table7[[#This Row],[United States 10y]]-Table7[[#This Row],[United States 3y]],#N/A)</f>
        <v/>
      </c>
    </row>
    <row r="13725">
      <c r="A13725" s="6">
        <f>Database!$A15810</f>
        <v/>
      </c>
      <c r="B13725">
        <f>IF(VLOOKUP(Table7[[#This Row],[Date]],Database!$A:$C,MATCH($B$1,Database!$A$1:$C$1,),)=0,#N/A,VLOOKUP(Table7[[#This Row],[Date]],Database!$A:$C,MATCH($B$1,Database!$A$1:$C$1,),))</f>
        <v/>
      </c>
      <c r="C13725">
        <f>IF(VLOOKUP(Table7[[#This Row],[Date]],Database!$A:$C,MATCH($C$1,Database!$A$1:$C$1,),)=0,#N/A,VLOOKUP(Table7[[#This Row],[Date]],Database!$A:$C,MATCH($C$1,Database!$A$1:$C$1,),))</f>
        <v/>
      </c>
      <c r="D13725">
        <f>IFERROR(Table7[[#This Row],[United States 10y]]-Table7[[#This Row],[United States 3y]],#N/A)</f>
        <v/>
      </c>
    </row>
    <row r="13726">
      <c r="A13726" s="6">
        <f>Database!$A15811</f>
        <v/>
      </c>
      <c r="B13726">
        <f>IF(VLOOKUP(Table7[[#This Row],[Date]],Database!$A:$C,MATCH($B$1,Database!$A$1:$C$1,),)=0,#N/A,VLOOKUP(Table7[[#This Row],[Date]],Database!$A:$C,MATCH($B$1,Database!$A$1:$C$1,),))</f>
        <v/>
      </c>
      <c r="C13726">
        <f>IF(VLOOKUP(Table7[[#This Row],[Date]],Database!$A:$C,MATCH($C$1,Database!$A$1:$C$1,),)=0,#N/A,VLOOKUP(Table7[[#This Row],[Date]],Database!$A:$C,MATCH($C$1,Database!$A$1:$C$1,),))</f>
        <v/>
      </c>
      <c r="D13726">
        <f>IFERROR(Table7[[#This Row],[United States 10y]]-Table7[[#This Row],[United States 3y]],#N/A)</f>
        <v/>
      </c>
    </row>
    <row r="13727">
      <c r="A13727" s="6">
        <f>Database!$A15812</f>
        <v/>
      </c>
      <c r="B13727">
        <f>IF(VLOOKUP(Table7[[#This Row],[Date]],Database!$A:$C,MATCH($B$1,Database!$A$1:$C$1,),)=0,#N/A,VLOOKUP(Table7[[#This Row],[Date]],Database!$A:$C,MATCH($B$1,Database!$A$1:$C$1,),))</f>
        <v/>
      </c>
      <c r="C13727">
        <f>IF(VLOOKUP(Table7[[#This Row],[Date]],Database!$A:$C,MATCH($C$1,Database!$A$1:$C$1,),)=0,#N/A,VLOOKUP(Table7[[#This Row],[Date]],Database!$A:$C,MATCH($C$1,Database!$A$1:$C$1,),))</f>
        <v/>
      </c>
      <c r="D13727">
        <f>IFERROR(Table7[[#This Row],[United States 10y]]-Table7[[#This Row],[United States 3y]],#N/A)</f>
        <v/>
      </c>
    </row>
    <row r="13728">
      <c r="A13728" s="6">
        <f>Database!$A15813</f>
        <v/>
      </c>
      <c r="B13728">
        <f>IF(VLOOKUP(Table7[[#This Row],[Date]],Database!$A:$C,MATCH($B$1,Database!$A$1:$C$1,),)=0,#N/A,VLOOKUP(Table7[[#This Row],[Date]],Database!$A:$C,MATCH($B$1,Database!$A$1:$C$1,),))</f>
        <v/>
      </c>
      <c r="C13728">
        <f>IF(VLOOKUP(Table7[[#This Row],[Date]],Database!$A:$C,MATCH($C$1,Database!$A$1:$C$1,),)=0,#N/A,VLOOKUP(Table7[[#This Row],[Date]],Database!$A:$C,MATCH($C$1,Database!$A$1:$C$1,),))</f>
        <v/>
      </c>
      <c r="D13728">
        <f>IFERROR(Table7[[#This Row],[United States 10y]]-Table7[[#This Row],[United States 3y]],#N/A)</f>
        <v/>
      </c>
    </row>
    <row r="13729">
      <c r="A13729" s="6">
        <f>Database!$A15814</f>
        <v/>
      </c>
      <c r="B13729">
        <f>IF(VLOOKUP(Table7[[#This Row],[Date]],Database!$A:$C,MATCH($B$1,Database!$A$1:$C$1,),)=0,#N/A,VLOOKUP(Table7[[#This Row],[Date]],Database!$A:$C,MATCH($B$1,Database!$A$1:$C$1,),))</f>
        <v/>
      </c>
      <c r="C13729">
        <f>IF(VLOOKUP(Table7[[#This Row],[Date]],Database!$A:$C,MATCH($C$1,Database!$A$1:$C$1,),)=0,#N/A,VLOOKUP(Table7[[#This Row],[Date]],Database!$A:$C,MATCH($C$1,Database!$A$1:$C$1,),))</f>
        <v/>
      </c>
      <c r="D13729">
        <f>IFERROR(Table7[[#This Row],[United States 10y]]-Table7[[#This Row],[United States 3y]],#N/A)</f>
        <v/>
      </c>
    </row>
    <row r="13730">
      <c r="A13730" s="6">
        <f>Database!$A15815</f>
        <v/>
      </c>
      <c r="B13730">
        <f>IF(VLOOKUP(Table7[[#This Row],[Date]],Database!$A:$C,MATCH($B$1,Database!$A$1:$C$1,),)=0,#N/A,VLOOKUP(Table7[[#This Row],[Date]],Database!$A:$C,MATCH($B$1,Database!$A$1:$C$1,),))</f>
        <v/>
      </c>
      <c r="C13730">
        <f>IF(VLOOKUP(Table7[[#This Row],[Date]],Database!$A:$C,MATCH($C$1,Database!$A$1:$C$1,),)=0,#N/A,VLOOKUP(Table7[[#This Row],[Date]],Database!$A:$C,MATCH($C$1,Database!$A$1:$C$1,),))</f>
        <v/>
      </c>
      <c r="D13730">
        <f>IFERROR(Table7[[#This Row],[United States 10y]]-Table7[[#This Row],[United States 3y]],#N/A)</f>
        <v/>
      </c>
    </row>
    <row r="13731">
      <c r="A13731" s="6">
        <f>Database!$A15816</f>
        <v/>
      </c>
      <c r="B13731">
        <f>IF(VLOOKUP(Table7[[#This Row],[Date]],Database!$A:$C,MATCH($B$1,Database!$A$1:$C$1,),)=0,#N/A,VLOOKUP(Table7[[#This Row],[Date]],Database!$A:$C,MATCH($B$1,Database!$A$1:$C$1,),))</f>
        <v/>
      </c>
      <c r="C13731">
        <f>IF(VLOOKUP(Table7[[#This Row],[Date]],Database!$A:$C,MATCH($C$1,Database!$A$1:$C$1,),)=0,#N/A,VLOOKUP(Table7[[#This Row],[Date]],Database!$A:$C,MATCH($C$1,Database!$A$1:$C$1,),))</f>
        <v/>
      </c>
      <c r="D13731">
        <f>IFERROR(Table7[[#This Row],[United States 10y]]-Table7[[#This Row],[United States 3y]],#N/A)</f>
        <v/>
      </c>
    </row>
    <row r="13732">
      <c r="A13732" s="6">
        <f>Database!$A15817</f>
        <v/>
      </c>
      <c r="B13732">
        <f>IF(VLOOKUP(Table7[[#This Row],[Date]],Database!$A:$C,MATCH($B$1,Database!$A$1:$C$1,),)=0,#N/A,VLOOKUP(Table7[[#This Row],[Date]],Database!$A:$C,MATCH($B$1,Database!$A$1:$C$1,),))</f>
        <v/>
      </c>
      <c r="C13732">
        <f>IF(VLOOKUP(Table7[[#This Row],[Date]],Database!$A:$C,MATCH($C$1,Database!$A$1:$C$1,),)=0,#N/A,VLOOKUP(Table7[[#This Row],[Date]],Database!$A:$C,MATCH($C$1,Database!$A$1:$C$1,),))</f>
        <v/>
      </c>
      <c r="D13732">
        <f>IFERROR(Table7[[#This Row],[United States 10y]]-Table7[[#This Row],[United States 3y]],#N/A)</f>
        <v/>
      </c>
    </row>
    <row r="13733">
      <c r="A13733" s="6">
        <f>Database!$A15818</f>
        <v/>
      </c>
      <c r="B13733">
        <f>IF(VLOOKUP(Table7[[#This Row],[Date]],Database!$A:$C,MATCH($B$1,Database!$A$1:$C$1,),)=0,#N/A,VLOOKUP(Table7[[#This Row],[Date]],Database!$A:$C,MATCH($B$1,Database!$A$1:$C$1,),))</f>
        <v/>
      </c>
      <c r="C13733">
        <f>IF(VLOOKUP(Table7[[#This Row],[Date]],Database!$A:$C,MATCH($C$1,Database!$A$1:$C$1,),)=0,#N/A,VLOOKUP(Table7[[#This Row],[Date]],Database!$A:$C,MATCH($C$1,Database!$A$1:$C$1,),))</f>
        <v/>
      </c>
      <c r="D13733">
        <f>IFERROR(Table7[[#This Row],[United States 10y]]-Table7[[#This Row],[United States 3y]],#N/A)</f>
        <v/>
      </c>
    </row>
    <row r="13734">
      <c r="A13734" s="6">
        <f>Database!$A15819</f>
        <v/>
      </c>
      <c r="B13734">
        <f>IF(VLOOKUP(Table7[[#This Row],[Date]],Database!$A:$C,MATCH($B$1,Database!$A$1:$C$1,),)=0,#N/A,VLOOKUP(Table7[[#This Row],[Date]],Database!$A:$C,MATCH($B$1,Database!$A$1:$C$1,),))</f>
        <v/>
      </c>
      <c r="C13734">
        <f>IF(VLOOKUP(Table7[[#This Row],[Date]],Database!$A:$C,MATCH($C$1,Database!$A$1:$C$1,),)=0,#N/A,VLOOKUP(Table7[[#This Row],[Date]],Database!$A:$C,MATCH($C$1,Database!$A$1:$C$1,),))</f>
        <v/>
      </c>
      <c r="D13734">
        <f>IFERROR(Table7[[#This Row],[United States 10y]]-Table7[[#This Row],[United States 3y]],#N/A)</f>
        <v/>
      </c>
    </row>
    <row r="13735">
      <c r="A13735" s="6">
        <f>Database!$A15820</f>
        <v/>
      </c>
      <c r="B13735">
        <f>IF(VLOOKUP(Table7[[#This Row],[Date]],Database!$A:$C,MATCH($B$1,Database!$A$1:$C$1,),)=0,#N/A,VLOOKUP(Table7[[#This Row],[Date]],Database!$A:$C,MATCH($B$1,Database!$A$1:$C$1,),))</f>
        <v/>
      </c>
      <c r="C13735">
        <f>IF(VLOOKUP(Table7[[#This Row],[Date]],Database!$A:$C,MATCH($C$1,Database!$A$1:$C$1,),)=0,#N/A,VLOOKUP(Table7[[#This Row],[Date]],Database!$A:$C,MATCH($C$1,Database!$A$1:$C$1,),))</f>
        <v/>
      </c>
      <c r="D13735">
        <f>IFERROR(Table7[[#This Row],[United States 10y]]-Table7[[#This Row],[United States 3y]],#N/A)</f>
        <v/>
      </c>
    </row>
    <row r="13736">
      <c r="A13736" s="6">
        <f>Database!$A15821</f>
        <v/>
      </c>
      <c r="B13736">
        <f>IF(VLOOKUP(Table7[[#This Row],[Date]],Database!$A:$C,MATCH($B$1,Database!$A$1:$C$1,),)=0,#N/A,VLOOKUP(Table7[[#This Row],[Date]],Database!$A:$C,MATCH($B$1,Database!$A$1:$C$1,),))</f>
        <v/>
      </c>
      <c r="C13736">
        <f>IF(VLOOKUP(Table7[[#This Row],[Date]],Database!$A:$C,MATCH($C$1,Database!$A$1:$C$1,),)=0,#N/A,VLOOKUP(Table7[[#This Row],[Date]],Database!$A:$C,MATCH($C$1,Database!$A$1:$C$1,),))</f>
        <v/>
      </c>
      <c r="D13736">
        <f>IFERROR(Table7[[#This Row],[United States 10y]]-Table7[[#This Row],[United States 3y]],#N/A)</f>
        <v/>
      </c>
    </row>
    <row r="13737">
      <c r="A13737" s="6">
        <f>Database!$A15822</f>
        <v/>
      </c>
      <c r="B13737">
        <f>IF(VLOOKUP(Table7[[#This Row],[Date]],Database!$A:$C,MATCH($B$1,Database!$A$1:$C$1,),)=0,#N/A,VLOOKUP(Table7[[#This Row],[Date]],Database!$A:$C,MATCH($B$1,Database!$A$1:$C$1,),))</f>
        <v/>
      </c>
      <c r="C13737">
        <f>IF(VLOOKUP(Table7[[#This Row],[Date]],Database!$A:$C,MATCH($C$1,Database!$A$1:$C$1,),)=0,#N/A,VLOOKUP(Table7[[#This Row],[Date]],Database!$A:$C,MATCH($C$1,Database!$A$1:$C$1,),))</f>
        <v/>
      </c>
      <c r="D13737">
        <f>IFERROR(Table7[[#This Row],[United States 10y]]-Table7[[#This Row],[United States 3y]],#N/A)</f>
        <v/>
      </c>
    </row>
    <row r="13738">
      <c r="A13738" s="6">
        <f>Database!$A15823</f>
        <v/>
      </c>
      <c r="B13738">
        <f>IF(VLOOKUP(Table7[[#This Row],[Date]],Database!$A:$C,MATCH($B$1,Database!$A$1:$C$1,),)=0,#N/A,VLOOKUP(Table7[[#This Row],[Date]],Database!$A:$C,MATCH($B$1,Database!$A$1:$C$1,),))</f>
        <v/>
      </c>
      <c r="C13738">
        <f>IF(VLOOKUP(Table7[[#This Row],[Date]],Database!$A:$C,MATCH($C$1,Database!$A$1:$C$1,),)=0,#N/A,VLOOKUP(Table7[[#This Row],[Date]],Database!$A:$C,MATCH($C$1,Database!$A$1:$C$1,),))</f>
        <v/>
      </c>
      <c r="D13738">
        <f>IFERROR(Table7[[#This Row],[United States 10y]]-Table7[[#This Row],[United States 3y]],#N/A)</f>
        <v/>
      </c>
    </row>
    <row r="13739">
      <c r="A13739" s="6">
        <f>Database!$A15824</f>
        <v/>
      </c>
      <c r="B13739">
        <f>IF(VLOOKUP(Table7[[#This Row],[Date]],Database!$A:$C,MATCH($B$1,Database!$A$1:$C$1,),)=0,#N/A,VLOOKUP(Table7[[#This Row],[Date]],Database!$A:$C,MATCH($B$1,Database!$A$1:$C$1,),))</f>
        <v/>
      </c>
      <c r="C13739">
        <f>IF(VLOOKUP(Table7[[#This Row],[Date]],Database!$A:$C,MATCH($C$1,Database!$A$1:$C$1,),)=0,#N/A,VLOOKUP(Table7[[#This Row],[Date]],Database!$A:$C,MATCH($C$1,Database!$A$1:$C$1,),))</f>
        <v/>
      </c>
      <c r="D13739">
        <f>IFERROR(Table7[[#This Row],[United States 10y]]-Table7[[#This Row],[United States 3y]],#N/A)</f>
        <v/>
      </c>
    </row>
    <row r="13740">
      <c r="A13740" s="6">
        <f>Database!$A15825</f>
        <v/>
      </c>
      <c r="B13740">
        <f>IF(VLOOKUP(Table7[[#This Row],[Date]],Database!$A:$C,MATCH($B$1,Database!$A$1:$C$1,),)=0,#N/A,VLOOKUP(Table7[[#This Row],[Date]],Database!$A:$C,MATCH($B$1,Database!$A$1:$C$1,),))</f>
        <v/>
      </c>
      <c r="C13740">
        <f>IF(VLOOKUP(Table7[[#This Row],[Date]],Database!$A:$C,MATCH($C$1,Database!$A$1:$C$1,),)=0,#N/A,VLOOKUP(Table7[[#This Row],[Date]],Database!$A:$C,MATCH($C$1,Database!$A$1:$C$1,),))</f>
        <v/>
      </c>
      <c r="D13740">
        <f>IFERROR(Table7[[#This Row],[United States 10y]]-Table7[[#This Row],[United States 3y]],#N/A)</f>
        <v/>
      </c>
    </row>
    <row r="13741">
      <c r="A13741" s="6">
        <f>Database!$A15826</f>
        <v/>
      </c>
      <c r="B13741">
        <f>IF(VLOOKUP(Table7[[#This Row],[Date]],Database!$A:$C,MATCH($B$1,Database!$A$1:$C$1,),)=0,#N/A,VLOOKUP(Table7[[#This Row],[Date]],Database!$A:$C,MATCH($B$1,Database!$A$1:$C$1,),))</f>
        <v/>
      </c>
      <c r="C13741">
        <f>IF(VLOOKUP(Table7[[#This Row],[Date]],Database!$A:$C,MATCH($C$1,Database!$A$1:$C$1,),)=0,#N/A,VLOOKUP(Table7[[#This Row],[Date]],Database!$A:$C,MATCH($C$1,Database!$A$1:$C$1,),))</f>
        <v/>
      </c>
      <c r="D13741">
        <f>IFERROR(Table7[[#This Row],[United States 10y]]-Table7[[#This Row],[United States 3y]],#N/A)</f>
        <v/>
      </c>
    </row>
    <row r="13742">
      <c r="A13742" s="6">
        <f>Database!$A15827</f>
        <v/>
      </c>
      <c r="B13742">
        <f>IF(VLOOKUP(Table7[[#This Row],[Date]],Database!$A:$C,MATCH($B$1,Database!$A$1:$C$1,),)=0,#N/A,VLOOKUP(Table7[[#This Row],[Date]],Database!$A:$C,MATCH($B$1,Database!$A$1:$C$1,),))</f>
        <v/>
      </c>
      <c r="C13742">
        <f>IF(VLOOKUP(Table7[[#This Row],[Date]],Database!$A:$C,MATCH($C$1,Database!$A$1:$C$1,),)=0,#N/A,VLOOKUP(Table7[[#This Row],[Date]],Database!$A:$C,MATCH($C$1,Database!$A$1:$C$1,),))</f>
        <v/>
      </c>
      <c r="D13742">
        <f>IFERROR(Table7[[#This Row],[United States 10y]]-Table7[[#This Row],[United States 3y]],#N/A)</f>
        <v/>
      </c>
    </row>
    <row r="13743">
      <c r="A13743" s="6">
        <f>Database!$A15828</f>
        <v/>
      </c>
      <c r="B13743">
        <f>IF(VLOOKUP(Table7[[#This Row],[Date]],Database!$A:$C,MATCH($B$1,Database!$A$1:$C$1,),)=0,#N/A,VLOOKUP(Table7[[#This Row],[Date]],Database!$A:$C,MATCH($B$1,Database!$A$1:$C$1,),))</f>
        <v/>
      </c>
      <c r="C13743">
        <f>IF(VLOOKUP(Table7[[#This Row],[Date]],Database!$A:$C,MATCH($C$1,Database!$A$1:$C$1,),)=0,#N/A,VLOOKUP(Table7[[#This Row],[Date]],Database!$A:$C,MATCH($C$1,Database!$A$1:$C$1,),))</f>
        <v/>
      </c>
      <c r="D13743">
        <f>IFERROR(Table7[[#This Row],[United States 10y]]-Table7[[#This Row],[United States 3y]],#N/A)</f>
        <v/>
      </c>
    </row>
    <row r="13744">
      <c r="A13744" s="6">
        <f>Database!$A15829</f>
        <v/>
      </c>
      <c r="B13744">
        <f>IF(VLOOKUP(Table7[[#This Row],[Date]],Database!$A:$C,MATCH($B$1,Database!$A$1:$C$1,),)=0,#N/A,VLOOKUP(Table7[[#This Row],[Date]],Database!$A:$C,MATCH($B$1,Database!$A$1:$C$1,),))</f>
        <v/>
      </c>
      <c r="C13744">
        <f>IF(VLOOKUP(Table7[[#This Row],[Date]],Database!$A:$C,MATCH($C$1,Database!$A$1:$C$1,),)=0,#N/A,VLOOKUP(Table7[[#This Row],[Date]],Database!$A:$C,MATCH($C$1,Database!$A$1:$C$1,),))</f>
        <v/>
      </c>
      <c r="D13744">
        <f>IFERROR(Table7[[#This Row],[United States 10y]]-Table7[[#This Row],[United States 3y]],#N/A)</f>
        <v/>
      </c>
    </row>
    <row r="13745">
      <c r="A13745" s="6">
        <f>Database!$A15830</f>
        <v/>
      </c>
      <c r="B13745">
        <f>IF(VLOOKUP(Table7[[#This Row],[Date]],Database!$A:$C,MATCH($B$1,Database!$A$1:$C$1,),)=0,#N/A,VLOOKUP(Table7[[#This Row],[Date]],Database!$A:$C,MATCH($B$1,Database!$A$1:$C$1,),))</f>
        <v/>
      </c>
      <c r="C13745">
        <f>IF(VLOOKUP(Table7[[#This Row],[Date]],Database!$A:$C,MATCH($C$1,Database!$A$1:$C$1,),)=0,#N/A,VLOOKUP(Table7[[#This Row],[Date]],Database!$A:$C,MATCH($C$1,Database!$A$1:$C$1,),))</f>
        <v/>
      </c>
      <c r="D13745">
        <f>IFERROR(Table7[[#This Row],[United States 10y]]-Table7[[#This Row],[United States 3y]],#N/A)</f>
        <v/>
      </c>
    </row>
    <row r="13746">
      <c r="A13746" s="6">
        <f>Database!$A15831</f>
        <v/>
      </c>
      <c r="B13746">
        <f>IF(VLOOKUP(Table7[[#This Row],[Date]],Database!$A:$C,MATCH($B$1,Database!$A$1:$C$1,),)=0,#N/A,VLOOKUP(Table7[[#This Row],[Date]],Database!$A:$C,MATCH($B$1,Database!$A$1:$C$1,),))</f>
        <v/>
      </c>
      <c r="C13746">
        <f>IF(VLOOKUP(Table7[[#This Row],[Date]],Database!$A:$C,MATCH($C$1,Database!$A$1:$C$1,),)=0,#N/A,VLOOKUP(Table7[[#This Row],[Date]],Database!$A:$C,MATCH($C$1,Database!$A$1:$C$1,),))</f>
        <v/>
      </c>
      <c r="D13746">
        <f>IFERROR(Table7[[#This Row],[United States 10y]]-Table7[[#This Row],[United States 3y]],#N/A)</f>
        <v/>
      </c>
    </row>
    <row r="13747">
      <c r="A13747" s="6">
        <f>Database!$A15832</f>
        <v/>
      </c>
      <c r="B13747">
        <f>IF(VLOOKUP(Table7[[#This Row],[Date]],Database!$A:$C,MATCH($B$1,Database!$A$1:$C$1,),)=0,#N/A,VLOOKUP(Table7[[#This Row],[Date]],Database!$A:$C,MATCH($B$1,Database!$A$1:$C$1,),))</f>
        <v/>
      </c>
      <c r="C13747">
        <f>IF(VLOOKUP(Table7[[#This Row],[Date]],Database!$A:$C,MATCH($C$1,Database!$A$1:$C$1,),)=0,#N/A,VLOOKUP(Table7[[#This Row],[Date]],Database!$A:$C,MATCH($C$1,Database!$A$1:$C$1,),))</f>
        <v/>
      </c>
      <c r="D13747">
        <f>IFERROR(Table7[[#This Row],[United States 10y]]-Table7[[#This Row],[United States 3y]],#N/A)</f>
        <v/>
      </c>
    </row>
    <row r="13748">
      <c r="A13748" s="6">
        <f>Database!$A15833</f>
        <v/>
      </c>
      <c r="B13748">
        <f>IF(VLOOKUP(Table7[[#This Row],[Date]],Database!$A:$C,MATCH($B$1,Database!$A$1:$C$1,),)=0,#N/A,VLOOKUP(Table7[[#This Row],[Date]],Database!$A:$C,MATCH($B$1,Database!$A$1:$C$1,),))</f>
        <v/>
      </c>
      <c r="C13748">
        <f>IF(VLOOKUP(Table7[[#This Row],[Date]],Database!$A:$C,MATCH($C$1,Database!$A$1:$C$1,),)=0,#N/A,VLOOKUP(Table7[[#This Row],[Date]],Database!$A:$C,MATCH($C$1,Database!$A$1:$C$1,),))</f>
        <v/>
      </c>
      <c r="D13748">
        <f>IFERROR(Table7[[#This Row],[United States 10y]]-Table7[[#This Row],[United States 3y]],#N/A)</f>
        <v/>
      </c>
    </row>
    <row r="13749">
      <c r="A13749" s="6">
        <f>Database!$A15834</f>
        <v/>
      </c>
      <c r="B13749">
        <f>IF(VLOOKUP(Table7[[#This Row],[Date]],Database!$A:$C,MATCH($B$1,Database!$A$1:$C$1,),)=0,#N/A,VLOOKUP(Table7[[#This Row],[Date]],Database!$A:$C,MATCH($B$1,Database!$A$1:$C$1,),))</f>
        <v/>
      </c>
      <c r="C13749">
        <f>IF(VLOOKUP(Table7[[#This Row],[Date]],Database!$A:$C,MATCH($C$1,Database!$A$1:$C$1,),)=0,#N/A,VLOOKUP(Table7[[#This Row],[Date]],Database!$A:$C,MATCH($C$1,Database!$A$1:$C$1,),))</f>
        <v/>
      </c>
      <c r="D13749">
        <f>IFERROR(Table7[[#This Row],[United States 10y]]-Table7[[#This Row],[United States 3y]],#N/A)</f>
        <v/>
      </c>
    </row>
    <row r="13750">
      <c r="A13750" s="6">
        <f>Database!$A15835</f>
        <v/>
      </c>
      <c r="B13750">
        <f>IF(VLOOKUP(Table7[[#This Row],[Date]],Database!$A:$C,MATCH($B$1,Database!$A$1:$C$1,),)=0,#N/A,VLOOKUP(Table7[[#This Row],[Date]],Database!$A:$C,MATCH($B$1,Database!$A$1:$C$1,),))</f>
        <v/>
      </c>
      <c r="C13750">
        <f>IF(VLOOKUP(Table7[[#This Row],[Date]],Database!$A:$C,MATCH($C$1,Database!$A$1:$C$1,),)=0,#N/A,VLOOKUP(Table7[[#This Row],[Date]],Database!$A:$C,MATCH($C$1,Database!$A$1:$C$1,),))</f>
        <v/>
      </c>
      <c r="D13750">
        <f>IFERROR(Table7[[#This Row],[United States 10y]]-Table7[[#This Row],[United States 3y]],#N/A)</f>
        <v/>
      </c>
    </row>
    <row r="13751">
      <c r="A13751" s="6">
        <f>Database!$A15836</f>
        <v/>
      </c>
      <c r="B13751">
        <f>IF(VLOOKUP(Table7[[#This Row],[Date]],Database!$A:$C,MATCH($B$1,Database!$A$1:$C$1,),)=0,#N/A,VLOOKUP(Table7[[#This Row],[Date]],Database!$A:$C,MATCH($B$1,Database!$A$1:$C$1,),))</f>
        <v/>
      </c>
      <c r="C13751">
        <f>IF(VLOOKUP(Table7[[#This Row],[Date]],Database!$A:$C,MATCH($C$1,Database!$A$1:$C$1,),)=0,#N/A,VLOOKUP(Table7[[#This Row],[Date]],Database!$A:$C,MATCH($C$1,Database!$A$1:$C$1,),))</f>
        <v/>
      </c>
      <c r="D13751">
        <f>IFERROR(Table7[[#This Row],[United States 10y]]-Table7[[#This Row],[United States 3y]],#N/A)</f>
        <v/>
      </c>
    </row>
    <row r="13752">
      <c r="A13752" s="6">
        <f>Database!$A15837</f>
        <v/>
      </c>
      <c r="B13752">
        <f>IF(VLOOKUP(Table7[[#This Row],[Date]],Database!$A:$C,MATCH($B$1,Database!$A$1:$C$1,),)=0,#N/A,VLOOKUP(Table7[[#This Row],[Date]],Database!$A:$C,MATCH($B$1,Database!$A$1:$C$1,),))</f>
        <v/>
      </c>
      <c r="C13752">
        <f>IF(VLOOKUP(Table7[[#This Row],[Date]],Database!$A:$C,MATCH($C$1,Database!$A$1:$C$1,),)=0,#N/A,VLOOKUP(Table7[[#This Row],[Date]],Database!$A:$C,MATCH($C$1,Database!$A$1:$C$1,),))</f>
        <v/>
      </c>
      <c r="D13752">
        <f>IFERROR(Table7[[#This Row],[United States 10y]]-Table7[[#This Row],[United States 3y]],#N/A)</f>
        <v/>
      </c>
    </row>
    <row r="13753">
      <c r="A13753" s="6">
        <f>Database!$A15838</f>
        <v/>
      </c>
      <c r="B13753">
        <f>IF(VLOOKUP(Table7[[#This Row],[Date]],Database!$A:$C,MATCH($B$1,Database!$A$1:$C$1,),)=0,#N/A,VLOOKUP(Table7[[#This Row],[Date]],Database!$A:$C,MATCH($B$1,Database!$A$1:$C$1,),))</f>
        <v/>
      </c>
      <c r="C13753">
        <f>IF(VLOOKUP(Table7[[#This Row],[Date]],Database!$A:$C,MATCH($C$1,Database!$A$1:$C$1,),)=0,#N/A,VLOOKUP(Table7[[#This Row],[Date]],Database!$A:$C,MATCH($C$1,Database!$A$1:$C$1,),))</f>
        <v/>
      </c>
      <c r="D13753">
        <f>IFERROR(Table7[[#This Row],[United States 10y]]-Table7[[#This Row],[United States 3y]],#N/A)</f>
        <v/>
      </c>
    </row>
    <row r="13754">
      <c r="A13754" s="6">
        <f>Database!$A15839</f>
        <v/>
      </c>
      <c r="B13754">
        <f>IF(VLOOKUP(Table7[[#This Row],[Date]],Database!$A:$C,MATCH($B$1,Database!$A$1:$C$1,),)=0,#N/A,VLOOKUP(Table7[[#This Row],[Date]],Database!$A:$C,MATCH($B$1,Database!$A$1:$C$1,),))</f>
        <v/>
      </c>
      <c r="C13754">
        <f>IF(VLOOKUP(Table7[[#This Row],[Date]],Database!$A:$C,MATCH($C$1,Database!$A$1:$C$1,),)=0,#N/A,VLOOKUP(Table7[[#This Row],[Date]],Database!$A:$C,MATCH($C$1,Database!$A$1:$C$1,),))</f>
        <v/>
      </c>
      <c r="D13754">
        <f>IFERROR(Table7[[#This Row],[United States 10y]]-Table7[[#This Row],[United States 3y]],#N/A)</f>
        <v/>
      </c>
    </row>
    <row r="13755">
      <c r="A13755" s="6">
        <f>Database!$A15840</f>
        <v/>
      </c>
      <c r="B13755">
        <f>IF(VLOOKUP(Table7[[#This Row],[Date]],Database!$A:$C,MATCH($B$1,Database!$A$1:$C$1,),)=0,#N/A,VLOOKUP(Table7[[#This Row],[Date]],Database!$A:$C,MATCH($B$1,Database!$A$1:$C$1,),))</f>
        <v/>
      </c>
      <c r="C13755">
        <f>IF(VLOOKUP(Table7[[#This Row],[Date]],Database!$A:$C,MATCH($C$1,Database!$A$1:$C$1,),)=0,#N/A,VLOOKUP(Table7[[#This Row],[Date]],Database!$A:$C,MATCH($C$1,Database!$A$1:$C$1,),))</f>
        <v/>
      </c>
      <c r="D13755">
        <f>IFERROR(Table7[[#This Row],[United States 10y]]-Table7[[#This Row],[United States 3y]],#N/A)</f>
        <v/>
      </c>
    </row>
    <row r="13756">
      <c r="A13756" s="6">
        <f>Database!$A15841</f>
        <v/>
      </c>
      <c r="B13756">
        <f>IF(VLOOKUP(Table7[[#This Row],[Date]],Database!$A:$C,MATCH($B$1,Database!$A$1:$C$1,),)=0,#N/A,VLOOKUP(Table7[[#This Row],[Date]],Database!$A:$C,MATCH($B$1,Database!$A$1:$C$1,),))</f>
        <v/>
      </c>
      <c r="C13756">
        <f>IF(VLOOKUP(Table7[[#This Row],[Date]],Database!$A:$C,MATCH($C$1,Database!$A$1:$C$1,),)=0,#N/A,VLOOKUP(Table7[[#This Row],[Date]],Database!$A:$C,MATCH($C$1,Database!$A$1:$C$1,),))</f>
        <v/>
      </c>
      <c r="D13756">
        <f>IFERROR(Table7[[#This Row],[United States 10y]]-Table7[[#This Row],[United States 3y]],#N/A)</f>
        <v/>
      </c>
    </row>
    <row r="13757">
      <c r="A13757" s="6">
        <f>Database!$A15842</f>
        <v/>
      </c>
      <c r="B13757">
        <f>IF(VLOOKUP(Table7[[#This Row],[Date]],Database!$A:$C,MATCH($B$1,Database!$A$1:$C$1,),)=0,#N/A,VLOOKUP(Table7[[#This Row],[Date]],Database!$A:$C,MATCH($B$1,Database!$A$1:$C$1,),))</f>
        <v/>
      </c>
      <c r="C13757">
        <f>IF(VLOOKUP(Table7[[#This Row],[Date]],Database!$A:$C,MATCH($C$1,Database!$A$1:$C$1,),)=0,#N/A,VLOOKUP(Table7[[#This Row],[Date]],Database!$A:$C,MATCH($C$1,Database!$A$1:$C$1,),))</f>
        <v/>
      </c>
      <c r="D13757">
        <f>IFERROR(Table7[[#This Row],[United States 10y]]-Table7[[#This Row],[United States 3y]],#N/A)</f>
        <v/>
      </c>
    </row>
    <row r="13758">
      <c r="A13758" s="6">
        <f>Database!$A15843</f>
        <v/>
      </c>
      <c r="B13758">
        <f>IF(VLOOKUP(Table7[[#This Row],[Date]],Database!$A:$C,MATCH($B$1,Database!$A$1:$C$1,),)=0,#N/A,VLOOKUP(Table7[[#This Row],[Date]],Database!$A:$C,MATCH($B$1,Database!$A$1:$C$1,),))</f>
        <v/>
      </c>
      <c r="C13758">
        <f>IF(VLOOKUP(Table7[[#This Row],[Date]],Database!$A:$C,MATCH($C$1,Database!$A$1:$C$1,),)=0,#N/A,VLOOKUP(Table7[[#This Row],[Date]],Database!$A:$C,MATCH($C$1,Database!$A$1:$C$1,),))</f>
        <v/>
      </c>
      <c r="D13758">
        <f>IFERROR(Table7[[#This Row],[United States 10y]]-Table7[[#This Row],[United States 3y]],#N/A)</f>
        <v/>
      </c>
    </row>
    <row r="13759">
      <c r="A13759" s="6">
        <f>Database!$A15844</f>
        <v/>
      </c>
      <c r="B13759">
        <f>IF(VLOOKUP(Table7[[#This Row],[Date]],Database!$A:$C,MATCH($B$1,Database!$A$1:$C$1,),)=0,#N/A,VLOOKUP(Table7[[#This Row],[Date]],Database!$A:$C,MATCH($B$1,Database!$A$1:$C$1,),))</f>
        <v/>
      </c>
      <c r="C13759">
        <f>IF(VLOOKUP(Table7[[#This Row],[Date]],Database!$A:$C,MATCH($C$1,Database!$A$1:$C$1,),)=0,#N/A,VLOOKUP(Table7[[#This Row],[Date]],Database!$A:$C,MATCH($C$1,Database!$A$1:$C$1,),))</f>
        <v/>
      </c>
      <c r="D13759">
        <f>IFERROR(Table7[[#This Row],[United States 10y]]-Table7[[#This Row],[United States 3y]],#N/A)</f>
        <v/>
      </c>
    </row>
    <row r="13760">
      <c r="A13760" s="6">
        <f>Database!$A15845</f>
        <v/>
      </c>
      <c r="B13760">
        <f>IF(VLOOKUP(Table7[[#This Row],[Date]],Database!$A:$C,MATCH($B$1,Database!$A$1:$C$1,),)=0,#N/A,VLOOKUP(Table7[[#This Row],[Date]],Database!$A:$C,MATCH($B$1,Database!$A$1:$C$1,),))</f>
        <v/>
      </c>
      <c r="C13760">
        <f>IF(VLOOKUP(Table7[[#This Row],[Date]],Database!$A:$C,MATCH($C$1,Database!$A$1:$C$1,),)=0,#N/A,VLOOKUP(Table7[[#This Row],[Date]],Database!$A:$C,MATCH($C$1,Database!$A$1:$C$1,),))</f>
        <v/>
      </c>
      <c r="D13760">
        <f>IFERROR(Table7[[#This Row],[United States 10y]]-Table7[[#This Row],[United States 3y]],#N/A)</f>
        <v/>
      </c>
    </row>
    <row r="13761">
      <c r="A13761" s="6">
        <f>Database!$A15846</f>
        <v/>
      </c>
      <c r="B13761">
        <f>IF(VLOOKUP(Table7[[#This Row],[Date]],Database!$A:$C,MATCH($B$1,Database!$A$1:$C$1,),)=0,#N/A,VLOOKUP(Table7[[#This Row],[Date]],Database!$A:$C,MATCH($B$1,Database!$A$1:$C$1,),))</f>
        <v/>
      </c>
      <c r="C13761">
        <f>IF(VLOOKUP(Table7[[#This Row],[Date]],Database!$A:$C,MATCH($C$1,Database!$A$1:$C$1,),)=0,#N/A,VLOOKUP(Table7[[#This Row],[Date]],Database!$A:$C,MATCH($C$1,Database!$A$1:$C$1,),))</f>
        <v/>
      </c>
      <c r="D13761">
        <f>IFERROR(Table7[[#This Row],[United States 10y]]-Table7[[#This Row],[United States 3y]],#N/A)</f>
        <v/>
      </c>
    </row>
    <row r="13762">
      <c r="A13762" s="6">
        <f>Database!$A15847</f>
        <v/>
      </c>
      <c r="B13762">
        <f>IF(VLOOKUP(Table7[[#This Row],[Date]],Database!$A:$C,MATCH($B$1,Database!$A$1:$C$1,),)=0,#N/A,VLOOKUP(Table7[[#This Row],[Date]],Database!$A:$C,MATCH($B$1,Database!$A$1:$C$1,),))</f>
        <v/>
      </c>
      <c r="C13762">
        <f>IF(VLOOKUP(Table7[[#This Row],[Date]],Database!$A:$C,MATCH($C$1,Database!$A$1:$C$1,),)=0,#N/A,VLOOKUP(Table7[[#This Row],[Date]],Database!$A:$C,MATCH($C$1,Database!$A$1:$C$1,),))</f>
        <v/>
      </c>
      <c r="D13762">
        <f>IFERROR(Table7[[#This Row],[United States 10y]]-Table7[[#This Row],[United States 3y]],#N/A)</f>
        <v/>
      </c>
    </row>
    <row r="13763">
      <c r="A13763" s="6">
        <f>Database!$A15848</f>
        <v/>
      </c>
      <c r="B13763">
        <f>IF(VLOOKUP(Table7[[#This Row],[Date]],Database!$A:$C,MATCH($B$1,Database!$A$1:$C$1,),)=0,#N/A,VLOOKUP(Table7[[#This Row],[Date]],Database!$A:$C,MATCH($B$1,Database!$A$1:$C$1,),))</f>
        <v/>
      </c>
      <c r="C13763">
        <f>IF(VLOOKUP(Table7[[#This Row],[Date]],Database!$A:$C,MATCH($C$1,Database!$A$1:$C$1,),)=0,#N/A,VLOOKUP(Table7[[#This Row],[Date]],Database!$A:$C,MATCH($C$1,Database!$A$1:$C$1,),))</f>
        <v/>
      </c>
      <c r="D13763">
        <f>IFERROR(Table7[[#This Row],[United States 10y]]-Table7[[#This Row],[United States 3y]],#N/A)</f>
        <v/>
      </c>
    </row>
    <row r="13764">
      <c r="A13764" s="6">
        <f>Database!$A15849</f>
        <v/>
      </c>
      <c r="B13764">
        <f>IF(VLOOKUP(Table7[[#This Row],[Date]],Database!$A:$C,MATCH($B$1,Database!$A$1:$C$1,),)=0,#N/A,VLOOKUP(Table7[[#This Row],[Date]],Database!$A:$C,MATCH($B$1,Database!$A$1:$C$1,),))</f>
        <v/>
      </c>
      <c r="C13764">
        <f>IF(VLOOKUP(Table7[[#This Row],[Date]],Database!$A:$C,MATCH($C$1,Database!$A$1:$C$1,),)=0,#N/A,VLOOKUP(Table7[[#This Row],[Date]],Database!$A:$C,MATCH($C$1,Database!$A$1:$C$1,),))</f>
        <v/>
      </c>
      <c r="D13764">
        <f>IFERROR(Table7[[#This Row],[United States 10y]]-Table7[[#This Row],[United States 3y]],#N/A)</f>
        <v/>
      </c>
    </row>
    <row r="13765">
      <c r="A13765" s="6">
        <f>Database!$A15850</f>
        <v/>
      </c>
      <c r="B13765">
        <f>IF(VLOOKUP(Table7[[#This Row],[Date]],Database!$A:$C,MATCH($B$1,Database!$A$1:$C$1,),)=0,#N/A,VLOOKUP(Table7[[#This Row],[Date]],Database!$A:$C,MATCH($B$1,Database!$A$1:$C$1,),))</f>
        <v/>
      </c>
      <c r="C13765">
        <f>IF(VLOOKUP(Table7[[#This Row],[Date]],Database!$A:$C,MATCH($C$1,Database!$A$1:$C$1,),)=0,#N/A,VLOOKUP(Table7[[#This Row],[Date]],Database!$A:$C,MATCH($C$1,Database!$A$1:$C$1,),))</f>
        <v/>
      </c>
      <c r="D13765">
        <f>IFERROR(Table7[[#This Row],[United States 10y]]-Table7[[#This Row],[United States 3y]],#N/A)</f>
        <v/>
      </c>
    </row>
    <row r="13766">
      <c r="A13766" s="6">
        <f>Database!$A15851</f>
        <v/>
      </c>
      <c r="B13766">
        <f>IF(VLOOKUP(Table7[[#This Row],[Date]],Database!$A:$C,MATCH($B$1,Database!$A$1:$C$1,),)=0,#N/A,VLOOKUP(Table7[[#This Row],[Date]],Database!$A:$C,MATCH($B$1,Database!$A$1:$C$1,),))</f>
        <v/>
      </c>
      <c r="C13766">
        <f>IF(VLOOKUP(Table7[[#This Row],[Date]],Database!$A:$C,MATCH($C$1,Database!$A$1:$C$1,),)=0,#N/A,VLOOKUP(Table7[[#This Row],[Date]],Database!$A:$C,MATCH($C$1,Database!$A$1:$C$1,),))</f>
        <v/>
      </c>
      <c r="D13766">
        <f>IFERROR(Table7[[#This Row],[United States 10y]]-Table7[[#This Row],[United States 3y]],#N/A)</f>
        <v/>
      </c>
    </row>
    <row r="13767">
      <c r="A13767" s="6">
        <f>Database!$A15852</f>
        <v/>
      </c>
      <c r="B13767">
        <f>IF(VLOOKUP(Table7[[#This Row],[Date]],Database!$A:$C,MATCH($B$1,Database!$A$1:$C$1,),)=0,#N/A,VLOOKUP(Table7[[#This Row],[Date]],Database!$A:$C,MATCH($B$1,Database!$A$1:$C$1,),))</f>
        <v/>
      </c>
      <c r="C13767">
        <f>IF(VLOOKUP(Table7[[#This Row],[Date]],Database!$A:$C,MATCH($C$1,Database!$A$1:$C$1,),)=0,#N/A,VLOOKUP(Table7[[#This Row],[Date]],Database!$A:$C,MATCH($C$1,Database!$A$1:$C$1,),))</f>
        <v/>
      </c>
      <c r="D13767">
        <f>IFERROR(Table7[[#This Row],[United States 10y]]-Table7[[#This Row],[United States 3y]],#N/A)</f>
        <v/>
      </c>
    </row>
    <row r="13768">
      <c r="A13768" s="6">
        <f>Database!$A15853</f>
        <v/>
      </c>
      <c r="B13768">
        <f>IF(VLOOKUP(Table7[[#This Row],[Date]],Database!$A:$C,MATCH($B$1,Database!$A$1:$C$1,),)=0,#N/A,VLOOKUP(Table7[[#This Row],[Date]],Database!$A:$C,MATCH($B$1,Database!$A$1:$C$1,),))</f>
        <v/>
      </c>
      <c r="C13768">
        <f>IF(VLOOKUP(Table7[[#This Row],[Date]],Database!$A:$C,MATCH($C$1,Database!$A$1:$C$1,),)=0,#N/A,VLOOKUP(Table7[[#This Row],[Date]],Database!$A:$C,MATCH($C$1,Database!$A$1:$C$1,),))</f>
        <v/>
      </c>
      <c r="D13768">
        <f>IFERROR(Table7[[#This Row],[United States 10y]]-Table7[[#This Row],[United States 3y]],#N/A)</f>
        <v/>
      </c>
    </row>
    <row r="13769">
      <c r="A13769" s="6">
        <f>Database!$A15854</f>
        <v/>
      </c>
      <c r="B13769">
        <f>IF(VLOOKUP(Table7[[#This Row],[Date]],Database!$A:$C,MATCH($B$1,Database!$A$1:$C$1,),)=0,#N/A,VLOOKUP(Table7[[#This Row],[Date]],Database!$A:$C,MATCH($B$1,Database!$A$1:$C$1,),))</f>
        <v/>
      </c>
      <c r="C13769">
        <f>IF(VLOOKUP(Table7[[#This Row],[Date]],Database!$A:$C,MATCH($C$1,Database!$A$1:$C$1,),)=0,#N/A,VLOOKUP(Table7[[#This Row],[Date]],Database!$A:$C,MATCH($C$1,Database!$A$1:$C$1,),))</f>
        <v/>
      </c>
      <c r="D13769">
        <f>IFERROR(Table7[[#This Row],[United States 10y]]-Table7[[#This Row],[United States 3y]],#N/A)</f>
        <v/>
      </c>
    </row>
    <row r="13770">
      <c r="A13770" s="6">
        <f>Database!$A15855</f>
        <v/>
      </c>
      <c r="B13770">
        <f>IF(VLOOKUP(Table7[[#This Row],[Date]],Database!$A:$C,MATCH($B$1,Database!$A$1:$C$1,),)=0,#N/A,VLOOKUP(Table7[[#This Row],[Date]],Database!$A:$C,MATCH($B$1,Database!$A$1:$C$1,),))</f>
        <v/>
      </c>
      <c r="C13770">
        <f>IF(VLOOKUP(Table7[[#This Row],[Date]],Database!$A:$C,MATCH($C$1,Database!$A$1:$C$1,),)=0,#N/A,VLOOKUP(Table7[[#This Row],[Date]],Database!$A:$C,MATCH($C$1,Database!$A$1:$C$1,),))</f>
        <v/>
      </c>
      <c r="D13770">
        <f>IFERROR(Table7[[#This Row],[United States 10y]]-Table7[[#This Row],[United States 3y]],#N/A)</f>
        <v/>
      </c>
    </row>
    <row r="13771">
      <c r="A13771" s="6">
        <f>Database!$A15856</f>
        <v/>
      </c>
      <c r="B13771">
        <f>IF(VLOOKUP(Table7[[#This Row],[Date]],Database!$A:$C,MATCH($B$1,Database!$A$1:$C$1,),)=0,#N/A,VLOOKUP(Table7[[#This Row],[Date]],Database!$A:$C,MATCH($B$1,Database!$A$1:$C$1,),))</f>
        <v/>
      </c>
      <c r="C13771">
        <f>IF(VLOOKUP(Table7[[#This Row],[Date]],Database!$A:$C,MATCH($C$1,Database!$A$1:$C$1,),)=0,#N/A,VLOOKUP(Table7[[#This Row],[Date]],Database!$A:$C,MATCH($C$1,Database!$A$1:$C$1,),))</f>
        <v/>
      </c>
      <c r="D13771">
        <f>IFERROR(Table7[[#This Row],[United States 10y]]-Table7[[#This Row],[United States 3y]],#N/A)</f>
        <v/>
      </c>
    </row>
    <row r="13772">
      <c r="A13772" s="6">
        <f>Database!$A15857</f>
        <v/>
      </c>
      <c r="B13772">
        <f>IF(VLOOKUP(Table7[[#This Row],[Date]],Database!$A:$C,MATCH($B$1,Database!$A$1:$C$1,),)=0,#N/A,VLOOKUP(Table7[[#This Row],[Date]],Database!$A:$C,MATCH($B$1,Database!$A$1:$C$1,),))</f>
        <v/>
      </c>
      <c r="C13772">
        <f>IF(VLOOKUP(Table7[[#This Row],[Date]],Database!$A:$C,MATCH($C$1,Database!$A$1:$C$1,),)=0,#N/A,VLOOKUP(Table7[[#This Row],[Date]],Database!$A:$C,MATCH($C$1,Database!$A$1:$C$1,),))</f>
        <v/>
      </c>
      <c r="D13772">
        <f>IFERROR(Table7[[#This Row],[United States 10y]]-Table7[[#This Row],[United States 3y]],#N/A)</f>
        <v/>
      </c>
    </row>
    <row r="13773">
      <c r="A13773" s="6">
        <f>Database!$A15858</f>
        <v/>
      </c>
      <c r="B13773">
        <f>IF(VLOOKUP(Table7[[#This Row],[Date]],Database!$A:$C,MATCH($B$1,Database!$A$1:$C$1,),)=0,#N/A,VLOOKUP(Table7[[#This Row],[Date]],Database!$A:$C,MATCH($B$1,Database!$A$1:$C$1,),))</f>
        <v/>
      </c>
      <c r="C13773">
        <f>IF(VLOOKUP(Table7[[#This Row],[Date]],Database!$A:$C,MATCH($C$1,Database!$A$1:$C$1,),)=0,#N/A,VLOOKUP(Table7[[#This Row],[Date]],Database!$A:$C,MATCH($C$1,Database!$A$1:$C$1,),))</f>
        <v/>
      </c>
      <c r="D13773">
        <f>IFERROR(Table7[[#This Row],[United States 10y]]-Table7[[#This Row],[United States 3y]],#N/A)</f>
        <v/>
      </c>
    </row>
    <row r="13774">
      <c r="A13774" s="6">
        <f>Database!$A15859</f>
        <v/>
      </c>
      <c r="B13774">
        <f>IF(VLOOKUP(Table7[[#This Row],[Date]],Database!$A:$C,MATCH($B$1,Database!$A$1:$C$1,),)=0,#N/A,VLOOKUP(Table7[[#This Row],[Date]],Database!$A:$C,MATCH($B$1,Database!$A$1:$C$1,),))</f>
        <v/>
      </c>
      <c r="C13774">
        <f>IF(VLOOKUP(Table7[[#This Row],[Date]],Database!$A:$C,MATCH($C$1,Database!$A$1:$C$1,),)=0,#N/A,VLOOKUP(Table7[[#This Row],[Date]],Database!$A:$C,MATCH($C$1,Database!$A$1:$C$1,),))</f>
        <v/>
      </c>
      <c r="D13774">
        <f>IFERROR(Table7[[#This Row],[United States 10y]]-Table7[[#This Row],[United States 3y]],#N/A)</f>
        <v/>
      </c>
    </row>
    <row r="13775">
      <c r="A13775" s="6">
        <f>Database!$A15860</f>
        <v/>
      </c>
      <c r="B13775">
        <f>IF(VLOOKUP(Table7[[#This Row],[Date]],Database!$A:$C,MATCH($B$1,Database!$A$1:$C$1,),)=0,#N/A,VLOOKUP(Table7[[#This Row],[Date]],Database!$A:$C,MATCH($B$1,Database!$A$1:$C$1,),))</f>
        <v/>
      </c>
      <c r="C13775">
        <f>IF(VLOOKUP(Table7[[#This Row],[Date]],Database!$A:$C,MATCH($C$1,Database!$A$1:$C$1,),)=0,#N/A,VLOOKUP(Table7[[#This Row],[Date]],Database!$A:$C,MATCH($C$1,Database!$A$1:$C$1,),))</f>
        <v/>
      </c>
      <c r="D13775">
        <f>IFERROR(Table7[[#This Row],[United States 10y]]-Table7[[#This Row],[United States 3y]],#N/A)</f>
        <v/>
      </c>
    </row>
    <row r="13776">
      <c r="A13776" s="6">
        <f>Database!$A15861</f>
        <v/>
      </c>
      <c r="B13776">
        <f>IF(VLOOKUP(Table7[[#This Row],[Date]],Database!$A:$C,MATCH($B$1,Database!$A$1:$C$1,),)=0,#N/A,VLOOKUP(Table7[[#This Row],[Date]],Database!$A:$C,MATCH($B$1,Database!$A$1:$C$1,),))</f>
        <v/>
      </c>
      <c r="C13776">
        <f>IF(VLOOKUP(Table7[[#This Row],[Date]],Database!$A:$C,MATCH($C$1,Database!$A$1:$C$1,),)=0,#N/A,VLOOKUP(Table7[[#This Row],[Date]],Database!$A:$C,MATCH($C$1,Database!$A$1:$C$1,),))</f>
        <v/>
      </c>
      <c r="D13776">
        <f>IFERROR(Table7[[#This Row],[United States 10y]]-Table7[[#This Row],[United States 3y]],#N/A)</f>
        <v/>
      </c>
    </row>
    <row r="13777">
      <c r="A13777" s="6">
        <f>Database!$A15862</f>
        <v/>
      </c>
      <c r="B13777">
        <f>IF(VLOOKUP(Table7[[#This Row],[Date]],Database!$A:$C,MATCH($B$1,Database!$A$1:$C$1,),)=0,#N/A,VLOOKUP(Table7[[#This Row],[Date]],Database!$A:$C,MATCH($B$1,Database!$A$1:$C$1,),))</f>
        <v/>
      </c>
      <c r="C13777">
        <f>IF(VLOOKUP(Table7[[#This Row],[Date]],Database!$A:$C,MATCH($C$1,Database!$A$1:$C$1,),)=0,#N/A,VLOOKUP(Table7[[#This Row],[Date]],Database!$A:$C,MATCH($C$1,Database!$A$1:$C$1,),))</f>
        <v/>
      </c>
      <c r="D13777">
        <f>IFERROR(Table7[[#This Row],[United States 10y]]-Table7[[#This Row],[United States 3y]],#N/A)</f>
        <v/>
      </c>
    </row>
    <row r="13778">
      <c r="A13778" s="6">
        <f>Database!$A15863</f>
        <v/>
      </c>
      <c r="B13778">
        <f>IF(VLOOKUP(Table7[[#This Row],[Date]],Database!$A:$C,MATCH($B$1,Database!$A$1:$C$1,),)=0,#N/A,VLOOKUP(Table7[[#This Row],[Date]],Database!$A:$C,MATCH($B$1,Database!$A$1:$C$1,),))</f>
        <v/>
      </c>
      <c r="C13778">
        <f>IF(VLOOKUP(Table7[[#This Row],[Date]],Database!$A:$C,MATCH($C$1,Database!$A$1:$C$1,),)=0,#N/A,VLOOKUP(Table7[[#This Row],[Date]],Database!$A:$C,MATCH($C$1,Database!$A$1:$C$1,),))</f>
        <v/>
      </c>
      <c r="D13778">
        <f>IFERROR(Table7[[#This Row],[United States 10y]]-Table7[[#This Row],[United States 3y]],#N/A)</f>
        <v/>
      </c>
    </row>
    <row r="13779">
      <c r="A13779" s="6">
        <f>Database!$A15864</f>
        <v/>
      </c>
      <c r="B13779">
        <f>IF(VLOOKUP(Table7[[#This Row],[Date]],Database!$A:$C,MATCH($B$1,Database!$A$1:$C$1,),)=0,#N/A,VLOOKUP(Table7[[#This Row],[Date]],Database!$A:$C,MATCH($B$1,Database!$A$1:$C$1,),))</f>
        <v/>
      </c>
      <c r="C13779">
        <f>IF(VLOOKUP(Table7[[#This Row],[Date]],Database!$A:$C,MATCH($C$1,Database!$A$1:$C$1,),)=0,#N/A,VLOOKUP(Table7[[#This Row],[Date]],Database!$A:$C,MATCH($C$1,Database!$A$1:$C$1,),))</f>
        <v/>
      </c>
      <c r="D13779">
        <f>IFERROR(Table7[[#This Row],[United States 10y]]-Table7[[#This Row],[United States 3y]],#N/A)</f>
        <v/>
      </c>
    </row>
    <row r="13780">
      <c r="A13780" s="6">
        <f>Database!$A15865</f>
        <v/>
      </c>
      <c r="B13780">
        <f>IF(VLOOKUP(Table7[[#This Row],[Date]],Database!$A:$C,MATCH($B$1,Database!$A$1:$C$1,),)=0,#N/A,VLOOKUP(Table7[[#This Row],[Date]],Database!$A:$C,MATCH($B$1,Database!$A$1:$C$1,),))</f>
        <v/>
      </c>
      <c r="C13780">
        <f>IF(VLOOKUP(Table7[[#This Row],[Date]],Database!$A:$C,MATCH($C$1,Database!$A$1:$C$1,),)=0,#N/A,VLOOKUP(Table7[[#This Row],[Date]],Database!$A:$C,MATCH($C$1,Database!$A$1:$C$1,),))</f>
        <v/>
      </c>
      <c r="D13780">
        <f>IFERROR(Table7[[#This Row],[United States 10y]]-Table7[[#This Row],[United States 3y]],#N/A)</f>
        <v/>
      </c>
    </row>
    <row r="13781">
      <c r="A13781" s="6">
        <f>Database!$A15866</f>
        <v/>
      </c>
      <c r="B13781">
        <f>IF(VLOOKUP(Table7[[#This Row],[Date]],Database!$A:$C,MATCH($B$1,Database!$A$1:$C$1,),)=0,#N/A,VLOOKUP(Table7[[#This Row],[Date]],Database!$A:$C,MATCH($B$1,Database!$A$1:$C$1,),))</f>
        <v/>
      </c>
      <c r="C13781">
        <f>IF(VLOOKUP(Table7[[#This Row],[Date]],Database!$A:$C,MATCH($C$1,Database!$A$1:$C$1,),)=0,#N/A,VLOOKUP(Table7[[#This Row],[Date]],Database!$A:$C,MATCH($C$1,Database!$A$1:$C$1,),))</f>
        <v/>
      </c>
      <c r="D13781">
        <f>IFERROR(Table7[[#This Row],[United States 10y]]-Table7[[#This Row],[United States 3y]],#N/A)</f>
        <v/>
      </c>
    </row>
    <row r="13782">
      <c r="A13782" s="6">
        <f>Database!$A15867</f>
        <v/>
      </c>
      <c r="B13782">
        <f>IF(VLOOKUP(Table7[[#This Row],[Date]],Database!$A:$C,MATCH($B$1,Database!$A$1:$C$1,),)=0,#N/A,VLOOKUP(Table7[[#This Row],[Date]],Database!$A:$C,MATCH($B$1,Database!$A$1:$C$1,),))</f>
        <v/>
      </c>
      <c r="C13782">
        <f>IF(VLOOKUP(Table7[[#This Row],[Date]],Database!$A:$C,MATCH($C$1,Database!$A$1:$C$1,),)=0,#N/A,VLOOKUP(Table7[[#This Row],[Date]],Database!$A:$C,MATCH($C$1,Database!$A$1:$C$1,),))</f>
        <v/>
      </c>
      <c r="D13782">
        <f>IFERROR(Table7[[#This Row],[United States 10y]]-Table7[[#This Row],[United States 3y]],#N/A)</f>
        <v/>
      </c>
    </row>
    <row r="13783">
      <c r="A13783" s="6">
        <f>Database!$A15868</f>
        <v/>
      </c>
      <c r="B13783">
        <f>IF(VLOOKUP(Table7[[#This Row],[Date]],Database!$A:$C,MATCH($B$1,Database!$A$1:$C$1,),)=0,#N/A,VLOOKUP(Table7[[#This Row],[Date]],Database!$A:$C,MATCH($B$1,Database!$A$1:$C$1,),))</f>
        <v/>
      </c>
      <c r="C13783">
        <f>IF(VLOOKUP(Table7[[#This Row],[Date]],Database!$A:$C,MATCH($C$1,Database!$A$1:$C$1,),)=0,#N/A,VLOOKUP(Table7[[#This Row],[Date]],Database!$A:$C,MATCH($C$1,Database!$A$1:$C$1,),))</f>
        <v/>
      </c>
      <c r="D13783">
        <f>IFERROR(Table7[[#This Row],[United States 10y]]-Table7[[#This Row],[United States 3y]],#N/A)</f>
        <v/>
      </c>
    </row>
    <row r="13784">
      <c r="A13784" s="6">
        <f>Database!$A15869</f>
        <v/>
      </c>
      <c r="B13784">
        <f>IF(VLOOKUP(Table7[[#This Row],[Date]],Database!$A:$C,MATCH($B$1,Database!$A$1:$C$1,),)=0,#N/A,VLOOKUP(Table7[[#This Row],[Date]],Database!$A:$C,MATCH($B$1,Database!$A$1:$C$1,),))</f>
        <v/>
      </c>
      <c r="C13784">
        <f>IF(VLOOKUP(Table7[[#This Row],[Date]],Database!$A:$C,MATCH($C$1,Database!$A$1:$C$1,),)=0,#N/A,VLOOKUP(Table7[[#This Row],[Date]],Database!$A:$C,MATCH($C$1,Database!$A$1:$C$1,),))</f>
        <v/>
      </c>
      <c r="D13784">
        <f>IFERROR(Table7[[#This Row],[United States 10y]]-Table7[[#This Row],[United States 3y]],#N/A)</f>
        <v/>
      </c>
    </row>
    <row r="13785">
      <c r="A13785" s="6">
        <f>Database!$A15870</f>
        <v/>
      </c>
      <c r="B13785">
        <f>IF(VLOOKUP(Table7[[#This Row],[Date]],Database!$A:$C,MATCH($B$1,Database!$A$1:$C$1,),)=0,#N/A,VLOOKUP(Table7[[#This Row],[Date]],Database!$A:$C,MATCH($B$1,Database!$A$1:$C$1,),))</f>
        <v/>
      </c>
      <c r="C13785">
        <f>IF(VLOOKUP(Table7[[#This Row],[Date]],Database!$A:$C,MATCH($C$1,Database!$A$1:$C$1,),)=0,#N/A,VLOOKUP(Table7[[#This Row],[Date]],Database!$A:$C,MATCH($C$1,Database!$A$1:$C$1,),))</f>
        <v/>
      </c>
      <c r="D13785">
        <f>IFERROR(Table7[[#This Row],[United States 10y]]-Table7[[#This Row],[United States 3y]],#N/A)</f>
        <v/>
      </c>
    </row>
    <row r="13786">
      <c r="A13786" s="6">
        <f>Database!$A15871</f>
        <v/>
      </c>
      <c r="B13786">
        <f>IF(VLOOKUP(Table7[[#This Row],[Date]],Database!$A:$C,MATCH($B$1,Database!$A$1:$C$1,),)=0,#N/A,VLOOKUP(Table7[[#This Row],[Date]],Database!$A:$C,MATCH($B$1,Database!$A$1:$C$1,),))</f>
        <v/>
      </c>
      <c r="C13786">
        <f>IF(VLOOKUP(Table7[[#This Row],[Date]],Database!$A:$C,MATCH($C$1,Database!$A$1:$C$1,),)=0,#N/A,VLOOKUP(Table7[[#This Row],[Date]],Database!$A:$C,MATCH($C$1,Database!$A$1:$C$1,),))</f>
        <v/>
      </c>
      <c r="D13786">
        <f>IFERROR(Table7[[#This Row],[United States 10y]]-Table7[[#This Row],[United States 3y]],#N/A)</f>
        <v/>
      </c>
    </row>
    <row r="13787">
      <c r="A13787" s="6">
        <f>Database!$A15872</f>
        <v/>
      </c>
      <c r="B13787">
        <f>IF(VLOOKUP(Table7[[#This Row],[Date]],Database!$A:$C,MATCH($B$1,Database!$A$1:$C$1,),)=0,#N/A,VLOOKUP(Table7[[#This Row],[Date]],Database!$A:$C,MATCH($B$1,Database!$A$1:$C$1,),))</f>
        <v/>
      </c>
      <c r="C13787">
        <f>IF(VLOOKUP(Table7[[#This Row],[Date]],Database!$A:$C,MATCH($C$1,Database!$A$1:$C$1,),)=0,#N/A,VLOOKUP(Table7[[#This Row],[Date]],Database!$A:$C,MATCH($C$1,Database!$A$1:$C$1,),))</f>
        <v/>
      </c>
      <c r="D13787">
        <f>IFERROR(Table7[[#This Row],[United States 10y]]-Table7[[#This Row],[United States 3y]],#N/A)</f>
        <v/>
      </c>
    </row>
    <row r="13788">
      <c r="A13788" s="6">
        <f>Database!$A15873</f>
        <v/>
      </c>
      <c r="B13788">
        <f>IF(VLOOKUP(Table7[[#This Row],[Date]],Database!$A:$C,MATCH($B$1,Database!$A$1:$C$1,),)=0,#N/A,VLOOKUP(Table7[[#This Row],[Date]],Database!$A:$C,MATCH($B$1,Database!$A$1:$C$1,),))</f>
        <v/>
      </c>
      <c r="C13788">
        <f>IF(VLOOKUP(Table7[[#This Row],[Date]],Database!$A:$C,MATCH($C$1,Database!$A$1:$C$1,),)=0,#N/A,VLOOKUP(Table7[[#This Row],[Date]],Database!$A:$C,MATCH($C$1,Database!$A$1:$C$1,),))</f>
        <v/>
      </c>
      <c r="D13788">
        <f>IFERROR(Table7[[#This Row],[United States 10y]]-Table7[[#This Row],[United States 3y]],#N/A)</f>
        <v/>
      </c>
    </row>
    <row r="13789">
      <c r="A13789" s="6">
        <f>Database!$A15874</f>
        <v/>
      </c>
      <c r="B13789">
        <f>IF(VLOOKUP(Table7[[#This Row],[Date]],Database!$A:$C,MATCH($B$1,Database!$A$1:$C$1,),)=0,#N/A,VLOOKUP(Table7[[#This Row],[Date]],Database!$A:$C,MATCH($B$1,Database!$A$1:$C$1,),))</f>
        <v/>
      </c>
      <c r="C13789">
        <f>IF(VLOOKUP(Table7[[#This Row],[Date]],Database!$A:$C,MATCH($C$1,Database!$A$1:$C$1,),)=0,#N/A,VLOOKUP(Table7[[#This Row],[Date]],Database!$A:$C,MATCH($C$1,Database!$A$1:$C$1,),))</f>
        <v/>
      </c>
      <c r="D13789">
        <f>IFERROR(Table7[[#This Row],[United States 10y]]-Table7[[#This Row],[United States 3y]],#N/A)</f>
        <v/>
      </c>
    </row>
    <row r="13790">
      <c r="A13790" s="6">
        <f>Database!$A15875</f>
        <v/>
      </c>
      <c r="B13790">
        <f>IF(VLOOKUP(Table7[[#This Row],[Date]],Database!$A:$C,MATCH($B$1,Database!$A$1:$C$1,),)=0,#N/A,VLOOKUP(Table7[[#This Row],[Date]],Database!$A:$C,MATCH($B$1,Database!$A$1:$C$1,),))</f>
        <v/>
      </c>
      <c r="C13790">
        <f>IF(VLOOKUP(Table7[[#This Row],[Date]],Database!$A:$C,MATCH($C$1,Database!$A$1:$C$1,),)=0,#N/A,VLOOKUP(Table7[[#This Row],[Date]],Database!$A:$C,MATCH($C$1,Database!$A$1:$C$1,),))</f>
        <v/>
      </c>
      <c r="D13790">
        <f>IFERROR(Table7[[#This Row],[United States 10y]]-Table7[[#This Row],[United States 3y]],#N/A)</f>
        <v/>
      </c>
    </row>
    <row r="13791">
      <c r="A13791" s="6">
        <f>Database!$A15876</f>
        <v/>
      </c>
      <c r="B13791">
        <f>IF(VLOOKUP(Table7[[#This Row],[Date]],Database!$A:$C,MATCH($B$1,Database!$A$1:$C$1,),)=0,#N/A,VLOOKUP(Table7[[#This Row],[Date]],Database!$A:$C,MATCH($B$1,Database!$A$1:$C$1,),))</f>
        <v/>
      </c>
      <c r="C13791">
        <f>IF(VLOOKUP(Table7[[#This Row],[Date]],Database!$A:$C,MATCH($C$1,Database!$A$1:$C$1,),)=0,#N/A,VLOOKUP(Table7[[#This Row],[Date]],Database!$A:$C,MATCH($C$1,Database!$A$1:$C$1,),))</f>
        <v/>
      </c>
      <c r="D13791">
        <f>IFERROR(Table7[[#This Row],[United States 10y]]-Table7[[#This Row],[United States 3y]],#N/A)</f>
        <v/>
      </c>
    </row>
    <row r="13792">
      <c r="A13792" s="6">
        <f>Database!$A15877</f>
        <v/>
      </c>
      <c r="B13792">
        <f>IF(VLOOKUP(Table7[[#This Row],[Date]],Database!$A:$C,MATCH($B$1,Database!$A$1:$C$1,),)=0,#N/A,VLOOKUP(Table7[[#This Row],[Date]],Database!$A:$C,MATCH($B$1,Database!$A$1:$C$1,),))</f>
        <v/>
      </c>
      <c r="C13792">
        <f>IF(VLOOKUP(Table7[[#This Row],[Date]],Database!$A:$C,MATCH($C$1,Database!$A$1:$C$1,),)=0,#N/A,VLOOKUP(Table7[[#This Row],[Date]],Database!$A:$C,MATCH($C$1,Database!$A$1:$C$1,),))</f>
        <v/>
      </c>
      <c r="D13792">
        <f>IFERROR(Table7[[#This Row],[United States 10y]]-Table7[[#This Row],[United States 3y]],#N/A)</f>
        <v/>
      </c>
    </row>
    <row r="13793">
      <c r="A13793" s="6">
        <f>Database!$A15878</f>
        <v/>
      </c>
      <c r="B13793">
        <f>IF(VLOOKUP(Table7[[#This Row],[Date]],Database!$A:$C,MATCH($B$1,Database!$A$1:$C$1,),)=0,#N/A,VLOOKUP(Table7[[#This Row],[Date]],Database!$A:$C,MATCH($B$1,Database!$A$1:$C$1,),))</f>
        <v/>
      </c>
      <c r="C13793">
        <f>IF(VLOOKUP(Table7[[#This Row],[Date]],Database!$A:$C,MATCH($C$1,Database!$A$1:$C$1,),)=0,#N/A,VLOOKUP(Table7[[#This Row],[Date]],Database!$A:$C,MATCH($C$1,Database!$A$1:$C$1,),))</f>
        <v/>
      </c>
      <c r="D13793">
        <f>IFERROR(Table7[[#This Row],[United States 10y]]-Table7[[#This Row],[United States 3y]],#N/A)</f>
        <v/>
      </c>
    </row>
    <row r="13794">
      <c r="A13794" s="6">
        <f>Database!$A15879</f>
        <v/>
      </c>
      <c r="B13794">
        <f>IF(VLOOKUP(Table7[[#This Row],[Date]],Database!$A:$C,MATCH($B$1,Database!$A$1:$C$1,),)=0,#N/A,VLOOKUP(Table7[[#This Row],[Date]],Database!$A:$C,MATCH($B$1,Database!$A$1:$C$1,),))</f>
        <v/>
      </c>
      <c r="C13794">
        <f>IF(VLOOKUP(Table7[[#This Row],[Date]],Database!$A:$C,MATCH($C$1,Database!$A$1:$C$1,),)=0,#N/A,VLOOKUP(Table7[[#This Row],[Date]],Database!$A:$C,MATCH($C$1,Database!$A$1:$C$1,),))</f>
        <v/>
      </c>
      <c r="D13794">
        <f>IFERROR(Table7[[#This Row],[United States 10y]]-Table7[[#This Row],[United States 3y]],#N/A)</f>
        <v/>
      </c>
    </row>
    <row r="13795">
      <c r="A13795" s="6">
        <f>Database!$A15880</f>
        <v/>
      </c>
      <c r="B13795">
        <f>IF(VLOOKUP(Table7[[#This Row],[Date]],Database!$A:$C,MATCH($B$1,Database!$A$1:$C$1,),)=0,#N/A,VLOOKUP(Table7[[#This Row],[Date]],Database!$A:$C,MATCH($B$1,Database!$A$1:$C$1,),))</f>
        <v/>
      </c>
      <c r="C13795">
        <f>IF(VLOOKUP(Table7[[#This Row],[Date]],Database!$A:$C,MATCH($C$1,Database!$A$1:$C$1,),)=0,#N/A,VLOOKUP(Table7[[#This Row],[Date]],Database!$A:$C,MATCH($C$1,Database!$A$1:$C$1,),))</f>
        <v/>
      </c>
      <c r="D13795">
        <f>IFERROR(Table7[[#This Row],[United States 10y]]-Table7[[#This Row],[United States 3y]],#N/A)</f>
        <v/>
      </c>
    </row>
    <row r="13796">
      <c r="A13796" s="6">
        <f>Database!$A15881</f>
        <v/>
      </c>
      <c r="B13796">
        <f>IF(VLOOKUP(Table7[[#This Row],[Date]],Database!$A:$C,MATCH($B$1,Database!$A$1:$C$1,),)=0,#N/A,VLOOKUP(Table7[[#This Row],[Date]],Database!$A:$C,MATCH($B$1,Database!$A$1:$C$1,),))</f>
        <v/>
      </c>
      <c r="C13796">
        <f>IF(VLOOKUP(Table7[[#This Row],[Date]],Database!$A:$C,MATCH($C$1,Database!$A$1:$C$1,),)=0,#N/A,VLOOKUP(Table7[[#This Row],[Date]],Database!$A:$C,MATCH($C$1,Database!$A$1:$C$1,),))</f>
        <v/>
      </c>
      <c r="D13796">
        <f>IFERROR(Table7[[#This Row],[United States 10y]]-Table7[[#This Row],[United States 3y]],#N/A)</f>
        <v/>
      </c>
    </row>
    <row r="13797">
      <c r="A13797" s="6">
        <f>Database!$A15882</f>
        <v/>
      </c>
      <c r="B13797">
        <f>IF(VLOOKUP(Table7[[#This Row],[Date]],Database!$A:$C,MATCH($B$1,Database!$A$1:$C$1,),)=0,#N/A,VLOOKUP(Table7[[#This Row],[Date]],Database!$A:$C,MATCH($B$1,Database!$A$1:$C$1,),))</f>
        <v/>
      </c>
      <c r="C13797">
        <f>IF(VLOOKUP(Table7[[#This Row],[Date]],Database!$A:$C,MATCH($C$1,Database!$A$1:$C$1,),)=0,#N/A,VLOOKUP(Table7[[#This Row],[Date]],Database!$A:$C,MATCH($C$1,Database!$A$1:$C$1,),))</f>
        <v/>
      </c>
      <c r="D13797">
        <f>IFERROR(Table7[[#This Row],[United States 10y]]-Table7[[#This Row],[United States 3y]],#N/A)</f>
        <v/>
      </c>
    </row>
    <row r="13798">
      <c r="A13798" s="6">
        <f>Database!$A15883</f>
        <v/>
      </c>
      <c r="B13798">
        <f>IF(VLOOKUP(Table7[[#This Row],[Date]],Database!$A:$C,MATCH($B$1,Database!$A$1:$C$1,),)=0,#N/A,VLOOKUP(Table7[[#This Row],[Date]],Database!$A:$C,MATCH($B$1,Database!$A$1:$C$1,),))</f>
        <v/>
      </c>
      <c r="C13798">
        <f>IF(VLOOKUP(Table7[[#This Row],[Date]],Database!$A:$C,MATCH($C$1,Database!$A$1:$C$1,),)=0,#N/A,VLOOKUP(Table7[[#This Row],[Date]],Database!$A:$C,MATCH($C$1,Database!$A$1:$C$1,),))</f>
        <v/>
      </c>
      <c r="D13798">
        <f>IFERROR(Table7[[#This Row],[United States 10y]]-Table7[[#This Row],[United States 3y]],#N/A)</f>
        <v/>
      </c>
    </row>
    <row r="13799">
      <c r="A13799" s="6">
        <f>Database!$A15884</f>
        <v/>
      </c>
      <c r="B13799">
        <f>IF(VLOOKUP(Table7[[#This Row],[Date]],Database!$A:$C,MATCH($B$1,Database!$A$1:$C$1,),)=0,#N/A,VLOOKUP(Table7[[#This Row],[Date]],Database!$A:$C,MATCH($B$1,Database!$A$1:$C$1,),))</f>
        <v/>
      </c>
      <c r="C13799">
        <f>IF(VLOOKUP(Table7[[#This Row],[Date]],Database!$A:$C,MATCH($C$1,Database!$A$1:$C$1,),)=0,#N/A,VLOOKUP(Table7[[#This Row],[Date]],Database!$A:$C,MATCH($C$1,Database!$A$1:$C$1,),))</f>
        <v/>
      </c>
      <c r="D13799">
        <f>IFERROR(Table7[[#This Row],[United States 10y]]-Table7[[#This Row],[United States 3y]],#N/A)</f>
        <v/>
      </c>
    </row>
    <row r="13800">
      <c r="A13800" s="6">
        <f>Database!$A15885</f>
        <v/>
      </c>
      <c r="B13800">
        <f>IF(VLOOKUP(Table7[[#This Row],[Date]],Database!$A:$C,MATCH($B$1,Database!$A$1:$C$1,),)=0,#N/A,VLOOKUP(Table7[[#This Row],[Date]],Database!$A:$C,MATCH($B$1,Database!$A$1:$C$1,),))</f>
        <v/>
      </c>
      <c r="C13800">
        <f>IF(VLOOKUP(Table7[[#This Row],[Date]],Database!$A:$C,MATCH($C$1,Database!$A$1:$C$1,),)=0,#N/A,VLOOKUP(Table7[[#This Row],[Date]],Database!$A:$C,MATCH($C$1,Database!$A$1:$C$1,),))</f>
        <v/>
      </c>
      <c r="D13800">
        <f>IFERROR(Table7[[#This Row],[United States 10y]]-Table7[[#This Row],[United States 3y]],#N/A)</f>
        <v/>
      </c>
    </row>
    <row r="13801">
      <c r="A13801" s="6">
        <f>Database!$A15886</f>
        <v/>
      </c>
      <c r="B13801">
        <f>IF(VLOOKUP(Table7[[#This Row],[Date]],Database!$A:$C,MATCH($B$1,Database!$A$1:$C$1,),)=0,#N/A,VLOOKUP(Table7[[#This Row],[Date]],Database!$A:$C,MATCH($B$1,Database!$A$1:$C$1,),))</f>
        <v/>
      </c>
      <c r="C13801">
        <f>IF(VLOOKUP(Table7[[#This Row],[Date]],Database!$A:$C,MATCH($C$1,Database!$A$1:$C$1,),)=0,#N/A,VLOOKUP(Table7[[#This Row],[Date]],Database!$A:$C,MATCH($C$1,Database!$A$1:$C$1,),))</f>
        <v/>
      </c>
      <c r="D13801">
        <f>IFERROR(Table7[[#This Row],[United States 10y]]-Table7[[#This Row],[United States 3y]],#N/A)</f>
        <v/>
      </c>
    </row>
    <row r="13802">
      <c r="A13802" s="6">
        <f>Database!$A15887</f>
        <v/>
      </c>
      <c r="B13802">
        <f>IF(VLOOKUP(Table7[[#This Row],[Date]],Database!$A:$C,MATCH($B$1,Database!$A$1:$C$1,),)=0,#N/A,VLOOKUP(Table7[[#This Row],[Date]],Database!$A:$C,MATCH($B$1,Database!$A$1:$C$1,),))</f>
        <v/>
      </c>
      <c r="C13802">
        <f>IF(VLOOKUP(Table7[[#This Row],[Date]],Database!$A:$C,MATCH($C$1,Database!$A$1:$C$1,),)=0,#N/A,VLOOKUP(Table7[[#This Row],[Date]],Database!$A:$C,MATCH($C$1,Database!$A$1:$C$1,),))</f>
        <v/>
      </c>
      <c r="D13802">
        <f>IFERROR(Table7[[#This Row],[United States 10y]]-Table7[[#This Row],[United States 3y]],#N/A)</f>
        <v/>
      </c>
    </row>
    <row r="13803">
      <c r="A13803" s="6">
        <f>Database!$A15888</f>
        <v/>
      </c>
      <c r="B13803">
        <f>IF(VLOOKUP(Table7[[#This Row],[Date]],Database!$A:$C,MATCH($B$1,Database!$A$1:$C$1,),)=0,#N/A,VLOOKUP(Table7[[#This Row],[Date]],Database!$A:$C,MATCH($B$1,Database!$A$1:$C$1,),))</f>
        <v/>
      </c>
      <c r="C13803">
        <f>IF(VLOOKUP(Table7[[#This Row],[Date]],Database!$A:$C,MATCH($C$1,Database!$A$1:$C$1,),)=0,#N/A,VLOOKUP(Table7[[#This Row],[Date]],Database!$A:$C,MATCH($C$1,Database!$A$1:$C$1,),))</f>
        <v/>
      </c>
      <c r="D13803">
        <f>IFERROR(Table7[[#This Row],[United States 10y]]-Table7[[#This Row],[United States 3y]],#N/A)</f>
        <v/>
      </c>
    </row>
    <row r="13804">
      <c r="A13804" s="6">
        <f>Database!$A15889</f>
        <v/>
      </c>
      <c r="B13804">
        <f>IF(VLOOKUP(Table7[[#This Row],[Date]],Database!$A:$C,MATCH($B$1,Database!$A$1:$C$1,),)=0,#N/A,VLOOKUP(Table7[[#This Row],[Date]],Database!$A:$C,MATCH($B$1,Database!$A$1:$C$1,),))</f>
        <v/>
      </c>
      <c r="C13804">
        <f>IF(VLOOKUP(Table7[[#This Row],[Date]],Database!$A:$C,MATCH($C$1,Database!$A$1:$C$1,),)=0,#N/A,VLOOKUP(Table7[[#This Row],[Date]],Database!$A:$C,MATCH($C$1,Database!$A$1:$C$1,),))</f>
        <v/>
      </c>
      <c r="D13804">
        <f>IFERROR(Table7[[#This Row],[United States 10y]]-Table7[[#This Row],[United States 3y]],#N/A)</f>
        <v/>
      </c>
    </row>
    <row r="13805">
      <c r="A13805" s="6">
        <f>Database!$A15890</f>
        <v/>
      </c>
      <c r="B13805">
        <f>IF(VLOOKUP(Table7[[#This Row],[Date]],Database!$A:$C,MATCH($B$1,Database!$A$1:$C$1,),)=0,#N/A,VLOOKUP(Table7[[#This Row],[Date]],Database!$A:$C,MATCH($B$1,Database!$A$1:$C$1,),))</f>
        <v/>
      </c>
      <c r="C13805">
        <f>IF(VLOOKUP(Table7[[#This Row],[Date]],Database!$A:$C,MATCH($C$1,Database!$A$1:$C$1,),)=0,#N/A,VLOOKUP(Table7[[#This Row],[Date]],Database!$A:$C,MATCH($C$1,Database!$A$1:$C$1,),))</f>
        <v/>
      </c>
      <c r="D13805">
        <f>IFERROR(Table7[[#This Row],[United States 10y]]-Table7[[#This Row],[United States 3y]],#N/A)</f>
        <v/>
      </c>
    </row>
    <row r="13806">
      <c r="A13806" s="6">
        <f>Database!$A15891</f>
        <v/>
      </c>
      <c r="B13806">
        <f>IF(VLOOKUP(Table7[[#This Row],[Date]],Database!$A:$C,MATCH($B$1,Database!$A$1:$C$1,),)=0,#N/A,VLOOKUP(Table7[[#This Row],[Date]],Database!$A:$C,MATCH($B$1,Database!$A$1:$C$1,),))</f>
        <v/>
      </c>
      <c r="C13806">
        <f>IF(VLOOKUP(Table7[[#This Row],[Date]],Database!$A:$C,MATCH($C$1,Database!$A$1:$C$1,),)=0,#N/A,VLOOKUP(Table7[[#This Row],[Date]],Database!$A:$C,MATCH($C$1,Database!$A$1:$C$1,),))</f>
        <v/>
      </c>
      <c r="D13806">
        <f>IFERROR(Table7[[#This Row],[United States 10y]]-Table7[[#This Row],[United States 3y]],#N/A)</f>
        <v/>
      </c>
    </row>
    <row r="13807">
      <c r="A13807" s="6">
        <f>Database!$A15892</f>
        <v/>
      </c>
      <c r="B13807">
        <f>IF(VLOOKUP(Table7[[#This Row],[Date]],Database!$A:$C,MATCH($B$1,Database!$A$1:$C$1,),)=0,#N/A,VLOOKUP(Table7[[#This Row],[Date]],Database!$A:$C,MATCH($B$1,Database!$A$1:$C$1,),))</f>
        <v/>
      </c>
      <c r="C13807">
        <f>IF(VLOOKUP(Table7[[#This Row],[Date]],Database!$A:$C,MATCH($C$1,Database!$A$1:$C$1,),)=0,#N/A,VLOOKUP(Table7[[#This Row],[Date]],Database!$A:$C,MATCH($C$1,Database!$A$1:$C$1,),))</f>
        <v/>
      </c>
      <c r="D13807">
        <f>IFERROR(Table7[[#This Row],[United States 10y]]-Table7[[#This Row],[United States 3y]],#N/A)</f>
        <v/>
      </c>
    </row>
    <row r="13808">
      <c r="A13808" s="6">
        <f>Database!$A15893</f>
        <v/>
      </c>
      <c r="B13808">
        <f>IF(VLOOKUP(Table7[[#This Row],[Date]],Database!$A:$C,MATCH($B$1,Database!$A$1:$C$1,),)=0,#N/A,VLOOKUP(Table7[[#This Row],[Date]],Database!$A:$C,MATCH($B$1,Database!$A$1:$C$1,),))</f>
        <v/>
      </c>
      <c r="C13808">
        <f>IF(VLOOKUP(Table7[[#This Row],[Date]],Database!$A:$C,MATCH($C$1,Database!$A$1:$C$1,),)=0,#N/A,VLOOKUP(Table7[[#This Row],[Date]],Database!$A:$C,MATCH($C$1,Database!$A$1:$C$1,),))</f>
        <v/>
      </c>
      <c r="D13808">
        <f>IFERROR(Table7[[#This Row],[United States 10y]]-Table7[[#This Row],[United States 3y]],#N/A)</f>
        <v/>
      </c>
    </row>
    <row r="13809">
      <c r="A13809" s="6">
        <f>Database!$A15894</f>
        <v/>
      </c>
      <c r="B13809">
        <f>IF(VLOOKUP(Table7[[#This Row],[Date]],Database!$A:$C,MATCH($B$1,Database!$A$1:$C$1,),)=0,#N/A,VLOOKUP(Table7[[#This Row],[Date]],Database!$A:$C,MATCH($B$1,Database!$A$1:$C$1,),))</f>
        <v/>
      </c>
      <c r="C13809">
        <f>IF(VLOOKUP(Table7[[#This Row],[Date]],Database!$A:$C,MATCH($C$1,Database!$A$1:$C$1,),)=0,#N/A,VLOOKUP(Table7[[#This Row],[Date]],Database!$A:$C,MATCH($C$1,Database!$A$1:$C$1,),))</f>
        <v/>
      </c>
      <c r="D13809">
        <f>IFERROR(Table7[[#This Row],[United States 10y]]-Table7[[#This Row],[United States 3y]],#N/A)</f>
        <v/>
      </c>
    </row>
    <row r="13810">
      <c r="A13810" s="6">
        <f>Database!$A15895</f>
        <v/>
      </c>
      <c r="B13810">
        <f>IF(VLOOKUP(Table7[[#This Row],[Date]],Database!$A:$C,MATCH($B$1,Database!$A$1:$C$1,),)=0,#N/A,VLOOKUP(Table7[[#This Row],[Date]],Database!$A:$C,MATCH($B$1,Database!$A$1:$C$1,),))</f>
        <v/>
      </c>
      <c r="C13810">
        <f>IF(VLOOKUP(Table7[[#This Row],[Date]],Database!$A:$C,MATCH($C$1,Database!$A$1:$C$1,),)=0,#N/A,VLOOKUP(Table7[[#This Row],[Date]],Database!$A:$C,MATCH($C$1,Database!$A$1:$C$1,),))</f>
        <v/>
      </c>
      <c r="D13810">
        <f>IFERROR(Table7[[#This Row],[United States 10y]]-Table7[[#This Row],[United States 3y]],#N/A)</f>
        <v/>
      </c>
    </row>
    <row r="13811">
      <c r="A13811" s="6">
        <f>Database!$A15896</f>
        <v/>
      </c>
      <c r="B13811">
        <f>IF(VLOOKUP(Table7[[#This Row],[Date]],Database!$A:$C,MATCH($B$1,Database!$A$1:$C$1,),)=0,#N/A,VLOOKUP(Table7[[#This Row],[Date]],Database!$A:$C,MATCH($B$1,Database!$A$1:$C$1,),))</f>
        <v/>
      </c>
      <c r="C13811">
        <f>IF(VLOOKUP(Table7[[#This Row],[Date]],Database!$A:$C,MATCH($C$1,Database!$A$1:$C$1,),)=0,#N/A,VLOOKUP(Table7[[#This Row],[Date]],Database!$A:$C,MATCH($C$1,Database!$A$1:$C$1,),))</f>
        <v/>
      </c>
      <c r="D13811">
        <f>IFERROR(Table7[[#This Row],[United States 10y]]-Table7[[#This Row],[United States 3y]],#N/A)</f>
        <v/>
      </c>
    </row>
    <row r="13812">
      <c r="A13812" s="6">
        <f>Database!$A15897</f>
        <v/>
      </c>
      <c r="B13812">
        <f>IF(VLOOKUP(Table7[[#This Row],[Date]],Database!$A:$C,MATCH($B$1,Database!$A$1:$C$1,),)=0,#N/A,VLOOKUP(Table7[[#This Row],[Date]],Database!$A:$C,MATCH($B$1,Database!$A$1:$C$1,),))</f>
        <v/>
      </c>
      <c r="C13812">
        <f>IF(VLOOKUP(Table7[[#This Row],[Date]],Database!$A:$C,MATCH($C$1,Database!$A$1:$C$1,),)=0,#N/A,VLOOKUP(Table7[[#This Row],[Date]],Database!$A:$C,MATCH($C$1,Database!$A$1:$C$1,),))</f>
        <v/>
      </c>
      <c r="D13812">
        <f>IFERROR(Table7[[#This Row],[United States 10y]]-Table7[[#This Row],[United States 3y]],#N/A)</f>
        <v/>
      </c>
    </row>
    <row r="13813">
      <c r="A13813" s="6">
        <f>Database!$A15898</f>
        <v/>
      </c>
      <c r="B13813">
        <f>IF(VLOOKUP(Table7[[#This Row],[Date]],Database!$A:$C,MATCH($B$1,Database!$A$1:$C$1,),)=0,#N/A,VLOOKUP(Table7[[#This Row],[Date]],Database!$A:$C,MATCH($B$1,Database!$A$1:$C$1,),))</f>
        <v/>
      </c>
      <c r="C13813">
        <f>IF(VLOOKUP(Table7[[#This Row],[Date]],Database!$A:$C,MATCH($C$1,Database!$A$1:$C$1,),)=0,#N/A,VLOOKUP(Table7[[#This Row],[Date]],Database!$A:$C,MATCH($C$1,Database!$A$1:$C$1,),))</f>
        <v/>
      </c>
      <c r="D13813">
        <f>IFERROR(Table7[[#This Row],[United States 10y]]-Table7[[#This Row],[United States 3y]],#N/A)</f>
        <v/>
      </c>
    </row>
    <row r="13814">
      <c r="A13814" s="6">
        <f>Database!$A15899</f>
        <v/>
      </c>
      <c r="B13814">
        <f>IF(VLOOKUP(Table7[[#This Row],[Date]],Database!$A:$C,MATCH($B$1,Database!$A$1:$C$1,),)=0,#N/A,VLOOKUP(Table7[[#This Row],[Date]],Database!$A:$C,MATCH($B$1,Database!$A$1:$C$1,),))</f>
        <v/>
      </c>
      <c r="C13814">
        <f>IF(VLOOKUP(Table7[[#This Row],[Date]],Database!$A:$C,MATCH($C$1,Database!$A$1:$C$1,),)=0,#N/A,VLOOKUP(Table7[[#This Row],[Date]],Database!$A:$C,MATCH($C$1,Database!$A$1:$C$1,),))</f>
        <v/>
      </c>
      <c r="D13814">
        <f>IFERROR(Table7[[#This Row],[United States 10y]]-Table7[[#This Row],[United States 3y]],#N/A)</f>
        <v/>
      </c>
    </row>
    <row r="13815">
      <c r="A13815" s="6">
        <f>Database!$A15900</f>
        <v/>
      </c>
      <c r="B13815">
        <f>IF(VLOOKUP(Table7[[#This Row],[Date]],Database!$A:$C,MATCH($B$1,Database!$A$1:$C$1,),)=0,#N/A,VLOOKUP(Table7[[#This Row],[Date]],Database!$A:$C,MATCH($B$1,Database!$A$1:$C$1,),))</f>
        <v/>
      </c>
      <c r="C13815">
        <f>IF(VLOOKUP(Table7[[#This Row],[Date]],Database!$A:$C,MATCH($C$1,Database!$A$1:$C$1,),)=0,#N/A,VLOOKUP(Table7[[#This Row],[Date]],Database!$A:$C,MATCH($C$1,Database!$A$1:$C$1,),))</f>
        <v/>
      </c>
      <c r="D13815">
        <f>IFERROR(Table7[[#This Row],[United States 10y]]-Table7[[#This Row],[United States 3y]],#N/A)</f>
        <v/>
      </c>
    </row>
    <row r="13816">
      <c r="A13816" s="6">
        <f>Database!$A15901</f>
        <v/>
      </c>
      <c r="B13816">
        <f>IF(VLOOKUP(Table7[[#This Row],[Date]],Database!$A:$C,MATCH($B$1,Database!$A$1:$C$1,),)=0,#N/A,VLOOKUP(Table7[[#This Row],[Date]],Database!$A:$C,MATCH($B$1,Database!$A$1:$C$1,),))</f>
        <v/>
      </c>
      <c r="C13816">
        <f>IF(VLOOKUP(Table7[[#This Row],[Date]],Database!$A:$C,MATCH($C$1,Database!$A$1:$C$1,),)=0,#N/A,VLOOKUP(Table7[[#This Row],[Date]],Database!$A:$C,MATCH($C$1,Database!$A$1:$C$1,),))</f>
        <v/>
      </c>
      <c r="D13816">
        <f>IFERROR(Table7[[#This Row],[United States 10y]]-Table7[[#This Row],[United States 3y]],#N/A)</f>
        <v/>
      </c>
    </row>
    <row r="13817">
      <c r="A13817" s="6">
        <f>Database!$A15902</f>
        <v/>
      </c>
      <c r="B13817">
        <f>IF(VLOOKUP(Table7[[#This Row],[Date]],Database!$A:$C,MATCH($B$1,Database!$A$1:$C$1,),)=0,#N/A,VLOOKUP(Table7[[#This Row],[Date]],Database!$A:$C,MATCH($B$1,Database!$A$1:$C$1,),))</f>
        <v/>
      </c>
      <c r="C13817">
        <f>IF(VLOOKUP(Table7[[#This Row],[Date]],Database!$A:$C,MATCH($C$1,Database!$A$1:$C$1,),)=0,#N/A,VLOOKUP(Table7[[#This Row],[Date]],Database!$A:$C,MATCH($C$1,Database!$A$1:$C$1,),))</f>
        <v/>
      </c>
      <c r="D13817">
        <f>IFERROR(Table7[[#This Row],[United States 10y]]-Table7[[#This Row],[United States 3y]],#N/A)</f>
        <v/>
      </c>
    </row>
    <row r="13818">
      <c r="A13818" s="6">
        <f>Database!$A15903</f>
        <v/>
      </c>
      <c r="B13818">
        <f>IF(VLOOKUP(Table7[[#This Row],[Date]],Database!$A:$C,MATCH($B$1,Database!$A$1:$C$1,),)=0,#N/A,VLOOKUP(Table7[[#This Row],[Date]],Database!$A:$C,MATCH($B$1,Database!$A$1:$C$1,),))</f>
        <v/>
      </c>
      <c r="C13818">
        <f>IF(VLOOKUP(Table7[[#This Row],[Date]],Database!$A:$C,MATCH($C$1,Database!$A$1:$C$1,),)=0,#N/A,VLOOKUP(Table7[[#This Row],[Date]],Database!$A:$C,MATCH($C$1,Database!$A$1:$C$1,),))</f>
        <v/>
      </c>
      <c r="D13818">
        <f>IFERROR(Table7[[#This Row],[United States 10y]]-Table7[[#This Row],[United States 3y]],#N/A)</f>
        <v/>
      </c>
    </row>
    <row r="13819">
      <c r="A13819" s="6">
        <f>Database!$A15904</f>
        <v/>
      </c>
      <c r="B13819">
        <f>IF(VLOOKUP(Table7[[#This Row],[Date]],Database!$A:$C,MATCH($B$1,Database!$A$1:$C$1,),)=0,#N/A,VLOOKUP(Table7[[#This Row],[Date]],Database!$A:$C,MATCH($B$1,Database!$A$1:$C$1,),))</f>
        <v/>
      </c>
      <c r="C13819">
        <f>IF(VLOOKUP(Table7[[#This Row],[Date]],Database!$A:$C,MATCH($C$1,Database!$A$1:$C$1,),)=0,#N/A,VLOOKUP(Table7[[#This Row],[Date]],Database!$A:$C,MATCH($C$1,Database!$A$1:$C$1,),))</f>
        <v/>
      </c>
      <c r="D13819">
        <f>IFERROR(Table7[[#This Row],[United States 10y]]-Table7[[#This Row],[United States 3y]],#N/A)</f>
        <v/>
      </c>
    </row>
    <row r="13820">
      <c r="A13820" s="6">
        <f>Database!$A15905</f>
        <v/>
      </c>
      <c r="B13820">
        <f>IF(VLOOKUP(Table7[[#This Row],[Date]],Database!$A:$C,MATCH($B$1,Database!$A$1:$C$1,),)=0,#N/A,VLOOKUP(Table7[[#This Row],[Date]],Database!$A:$C,MATCH($B$1,Database!$A$1:$C$1,),))</f>
        <v/>
      </c>
      <c r="C13820">
        <f>IF(VLOOKUP(Table7[[#This Row],[Date]],Database!$A:$C,MATCH($C$1,Database!$A$1:$C$1,),)=0,#N/A,VLOOKUP(Table7[[#This Row],[Date]],Database!$A:$C,MATCH($C$1,Database!$A$1:$C$1,),))</f>
        <v/>
      </c>
      <c r="D13820">
        <f>IFERROR(Table7[[#This Row],[United States 10y]]-Table7[[#This Row],[United States 3y]],#N/A)</f>
        <v/>
      </c>
    </row>
    <row r="13821">
      <c r="A13821" s="6">
        <f>Database!$A15906</f>
        <v/>
      </c>
      <c r="B13821">
        <f>IF(VLOOKUP(Table7[[#This Row],[Date]],Database!$A:$C,MATCH($B$1,Database!$A$1:$C$1,),)=0,#N/A,VLOOKUP(Table7[[#This Row],[Date]],Database!$A:$C,MATCH($B$1,Database!$A$1:$C$1,),))</f>
        <v/>
      </c>
      <c r="C13821">
        <f>IF(VLOOKUP(Table7[[#This Row],[Date]],Database!$A:$C,MATCH($C$1,Database!$A$1:$C$1,),)=0,#N/A,VLOOKUP(Table7[[#This Row],[Date]],Database!$A:$C,MATCH($C$1,Database!$A$1:$C$1,),))</f>
        <v/>
      </c>
      <c r="D13821">
        <f>IFERROR(Table7[[#This Row],[United States 10y]]-Table7[[#This Row],[United States 3y]],#N/A)</f>
        <v/>
      </c>
    </row>
    <row r="13822">
      <c r="A13822" s="6">
        <f>Database!$A15907</f>
        <v/>
      </c>
      <c r="B13822">
        <f>IF(VLOOKUP(Table7[[#This Row],[Date]],Database!$A:$C,MATCH($B$1,Database!$A$1:$C$1,),)=0,#N/A,VLOOKUP(Table7[[#This Row],[Date]],Database!$A:$C,MATCH($B$1,Database!$A$1:$C$1,),))</f>
        <v/>
      </c>
      <c r="C13822">
        <f>IF(VLOOKUP(Table7[[#This Row],[Date]],Database!$A:$C,MATCH($C$1,Database!$A$1:$C$1,),)=0,#N/A,VLOOKUP(Table7[[#This Row],[Date]],Database!$A:$C,MATCH($C$1,Database!$A$1:$C$1,),))</f>
        <v/>
      </c>
      <c r="D13822">
        <f>IFERROR(Table7[[#This Row],[United States 10y]]-Table7[[#This Row],[United States 3y]],#N/A)</f>
        <v/>
      </c>
    </row>
    <row r="13823">
      <c r="A13823" s="6">
        <f>Database!$A15908</f>
        <v/>
      </c>
      <c r="B13823">
        <f>IF(VLOOKUP(Table7[[#This Row],[Date]],Database!$A:$C,MATCH($B$1,Database!$A$1:$C$1,),)=0,#N/A,VLOOKUP(Table7[[#This Row],[Date]],Database!$A:$C,MATCH($B$1,Database!$A$1:$C$1,),))</f>
        <v/>
      </c>
      <c r="C13823">
        <f>IF(VLOOKUP(Table7[[#This Row],[Date]],Database!$A:$C,MATCH($C$1,Database!$A$1:$C$1,),)=0,#N/A,VLOOKUP(Table7[[#This Row],[Date]],Database!$A:$C,MATCH($C$1,Database!$A$1:$C$1,),))</f>
        <v/>
      </c>
      <c r="D13823">
        <f>IFERROR(Table7[[#This Row],[United States 10y]]-Table7[[#This Row],[United States 3y]],#N/A)</f>
        <v/>
      </c>
    </row>
    <row r="13824">
      <c r="A13824" s="6">
        <f>Database!$A15909</f>
        <v/>
      </c>
      <c r="B13824">
        <f>IF(VLOOKUP(Table7[[#This Row],[Date]],Database!$A:$C,MATCH($B$1,Database!$A$1:$C$1,),)=0,#N/A,VLOOKUP(Table7[[#This Row],[Date]],Database!$A:$C,MATCH($B$1,Database!$A$1:$C$1,),))</f>
        <v/>
      </c>
      <c r="C13824">
        <f>IF(VLOOKUP(Table7[[#This Row],[Date]],Database!$A:$C,MATCH($C$1,Database!$A$1:$C$1,),)=0,#N/A,VLOOKUP(Table7[[#This Row],[Date]],Database!$A:$C,MATCH($C$1,Database!$A$1:$C$1,),))</f>
        <v/>
      </c>
      <c r="D13824">
        <f>IFERROR(Table7[[#This Row],[United States 10y]]-Table7[[#This Row],[United States 3y]],#N/A)</f>
        <v/>
      </c>
    </row>
    <row r="13825">
      <c r="A13825" s="6">
        <f>Database!$A15910</f>
        <v/>
      </c>
      <c r="B13825">
        <f>IF(VLOOKUP(Table7[[#This Row],[Date]],Database!$A:$C,MATCH($B$1,Database!$A$1:$C$1,),)=0,#N/A,VLOOKUP(Table7[[#This Row],[Date]],Database!$A:$C,MATCH($B$1,Database!$A$1:$C$1,),))</f>
        <v/>
      </c>
      <c r="C13825">
        <f>IF(VLOOKUP(Table7[[#This Row],[Date]],Database!$A:$C,MATCH($C$1,Database!$A$1:$C$1,),)=0,#N/A,VLOOKUP(Table7[[#This Row],[Date]],Database!$A:$C,MATCH($C$1,Database!$A$1:$C$1,),))</f>
        <v/>
      </c>
      <c r="D13825">
        <f>IFERROR(Table7[[#This Row],[United States 10y]]-Table7[[#This Row],[United States 3y]],#N/A)</f>
        <v/>
      </c>
    </row>
    <row r="13826">
      <c r="A13826" s="6">
        <f>Database!$A15911</f>
        <v/>
      </c>
      <c r="B13826">
        <f>IF(VLOOKUP(Table7[[#This Row],[Date]],Database!$A:$C,MATCH($B$1,Database!$A$1:$C$1,),)=0,#N/A,VLOOKUP(Table7[[#This Row],[Date]],Database!$A:$C,MATCH($B$1,Database!$A$1:$C$1,),))</f>
        <v/>
      </c>
      <c r="C13826">
        <f>IF(VLOOKUP(Table7[[#This Row],[Date]],Database!$A:$C,MATCH($C$1,Database!$A$1:$C$1,),)=0,#N/A,VLOOKUP(Table7[[#This Row],[Date]],Database!$A:$C,MATCH($C$1,Database!$A$1:$C$1,),))</f>
        <v/>
      </c>
      <c r="D13826">
        <f>IFERROR(Table7[[#This Row],[United States 10y]]-Table7[[#This Row],[United States 3y]],#N/A)</f>
        <v/>
      </c>
    </row>
    <row r="13827">
      <c r="A13827" s="6">
        <f>Database!$A15912</f>
        <v/>
      </c>
      <c r="B13827">
        <f>IF(VLOOKUP(Table7[[#This Row],[Date]],Database!$A:$C,MATCH($B$1,Database!$A$1:$C$1,),)=0,#N/A,VLOOKUP(Table7[[#This Row],[Date]],Database!$A:$C,MATCH($B$1,Database!$A$1:$C$1,),))</f>
        <v/>
      </c>
      <c r="C13827">
        <f>IF(VLOOKUP(Table7[[#This Row],[Date]],Database!$A:$C,MATCH($C$1,Database!$A$1:$C$1,),)=0,#N/A,VLOOKUP(Table7[[#This Row],[Date]],Database!$A:$C,MATCH($C$1,Database!$A$1:$C$1,),))</f>
        <v/>
      </c>
      <c r="D13827">
        <f>IFERROR(Table7[[#This Row],[United States 10y]]-Table7[[#This Row],[United States 3y]],#N/A)</f>
        <v/>
      </c>
    </row>
    <row r="13828">
      <c r="A13828" s="6">
        <f>Database!$A15913</f>
        <v/>
      </c>
      <c r="B13828">
        <f>IF(VLOOKUP(Table7[[#This Row],[Date]],Database!$A:$C,MATCH($B$1,Database!$A$1:$C$1,),)=0,#N/A,VLOOKUP(Table7[[#This Row],[Date]],Database!$A:$C,MATCH($B$1,Database!$A$1:$C$1,),))</f>
        <v/>
      </c>
      <c r="C13828">
        <f>IF(VLOOKUP(Table7[[#This Row],[Date]],Database!$A:$C,MATCH($C$1,Database!$A$1:$C$1,),)=0,#N/A,VLOOKUP(Table7[[#This Row],[Date]],Database!$A:$C,MATCH($C$1,Database!$A$1:$C$1,),))</f>
        <v/>
      </c>
      <c r="D13828">
        <f>IFERROR(Table7[[#This Row],[United States 10y]]-Table7[[#This Row],[United States 3y]],#N/A)</f>
        <v/>
      </c>
    </row>
    <row r="13829">
      <c r="A13829" s="6">
        <f>Database!$A15914</f>
        <v/>
      </c>
      <c r="B13829">
        <f>IF(VLOOKUP(Table7[[#This Row],[Date]],Database!$A:$C,MATCH($B$1,Database!$A$1:$C$1,),)=0,#N/A,VLOOKUP(Table7[[#This Row],[Date]],Database!$A:$C,MATCH($B$1,Database!$A$1:$C$1,),))</f>
        <v/>
      </c>
      <c r="C13829">
        <f>IF(VLOOKUP(Table7[[#This Row],[Date]],Database!$A:$C,MATCH($C$1,Database!$A$1:$C$1,),)=0,#N/A,VLOOKUP(Table7[[#This Row],[Date]],Database!$A:$C,MATCH($C$1,Database!$A$1:$C$1,),))</f>
        <v/>
      </c>
      <c r="D13829">
        <f>IFERROR(Table7[[#This Row],[United States 10y]]-Table7[[#This Row],[United States 3y]],#N/A)</f>
        <v/>
      </c>
    </row>
    <row r="13830">
      <c r="A13830" s="6">
        <f>Database!$A15915</f>
        <v/>
      </c>
      <c r="B13830">
        <f>IF(VLOOKUP(Table7[[#This Row],[Date]],Database!$A:$C,MATCH($B$1,Database!$A$1:$C$1,),)=0,#N/A,VLOOKUP(Table7[[#This Row],[Date]],Database!$A:$C,MATCH($B$1,Database!$A$1:$C$1,),))</f>
        <v/>
      </c>
      <c r="C13830">
        <f>IF(VLOOKUP(Table7[[#This Row],[Date]],Database!$A:$C,MATCH($C$1,Database!$A$1:$C$1,),)=0,#N/A,VLOOKUP(Table7[[#This Row],[Date]],Database!$A:$C,MATCH($C$1,Database!$A$1:$C$1,),))</f>
        <v/>
      </c>
      <c r="D13830">
        <f>IFERROR(Table7[[#This Row],[United States 10y]]-Table7[[#This Row],[United States 3y]],#N/A)</f>
        <v/>
      </c>
    </row>
    <row r="13831">
      <c r="A13831" s="6">
        <f>Database!$A15916</f>
        <v/>
      </c>
      <c r="B13831">
        <f>IF(VLOOKUP(Table7[[#This Row],[Date]],Database!$A:$C,MATCH($B$1,Database!$A$1:$C$1,),)=0,#N/A,VLOOKUP(Table7[[#This Row],[Date]],Database!$A:$C,MATCH($B$1,Database!$A$1:$C$1,),))</f>
        <v/>
      </c>
      <c r="C13831">
        <f>IF(VLOOKUP(Table7[[#This Row],[Date]],Database!$A:$C,MATCH($C$1,Database!$A$1:$C$1,),)=0,#N/A,VLOOKUP(Table7[[#This Row],[Date]],Database!$A:$C,MATCH($C$1,Database!$A$1:$C$1,),))</f>
        <v/>
      </c>
      <c r="D13831">
        <f>IFERROR(Table7[[#This Row],[United States 10y]]-Table7[[#This Row],[United States 3y]],#N/A)</f>
        <v/>
      </c>
    </row>
    <row r="13832">
      <c r="A13832" s="6">
        <f>Database!$A15917</f>
        <v/>
      </c>
      <c r="B13832">
        <f>IF(VLOOKUP(Table7[[#This Row],[Date]],Database!$A:$C,MATCH($B$1,Database!$A$1:$C$1,),)=0,#N/A,VLOOKUP(Table7[[#This Row],[Date]],Database!$A:$C,MATCH($B$1,Database!$A$1:$C$1,),))</f>
        <v/>
      </c>
      <c r="C13832">
        <f>IF(VLOOKUP(Table7[[#This Row],[Date]],Database!$A:$C,MATCH($C$1,Database!$A$1:$C$1,),)=0,#N/A,VLOOKUP(Table7[[#This Row],[Date]],Database!$A:$C,MATCH($C$1,Database!$A$1:$C$1,),))</f>
        <v/>
      </c>
      <c r="D13832">
        <f>IFERROR(Table7[[#This Row],[United States 10y]]-Table7[[#This Row],[United States 3y]],#N/A)</f>
        <v/>
      </c>
    </row>
    <row r="13833">
      <c r="A13833" s="6">
        <f>Database!$A15918</f>
        <v/>
      </c>
      <c r="B13833">
        <f>IF(VLOOKUP(Table7[[#This Row],[Date]],Database!$A:$C,MATCH($B$1,Database!$A$1:$C$1,),)=0,#N/A,VLOOKUP(Table7[[#This Row],[Date]],Database!$A:$C,MATCH($B$1,Database!$A$1:$C$1,),))</f>
        <v/>
      </c>
      <c r="C13833">
        <f>IF(VLOOKUP(Table7[[#This Row],[Date]],Database!$A:$C,MATCH($C$1,Database!$A$1:$C$1,),)=0,#N/A,VLOOKUP(Table7[[#This Row],[Date]],Database!$A:$C,MATCH($C$1,Database!$A$1:$C$1,),))</f>
        <v/>
      </c>
      <c r="D13833">
        <f>IFERROR(Table7[[#This Row],[United States 10y]]-Table7[[#This Row],[United States 3y]],#N/A)</f>
        <v/>
      </c>
    </row>
    <row r="13834">
      <c r="A13834" s="6">
        <f>Database!$A15919</f>
        <v/>
      </c>
      <c r="B13834">
        <f>IF(VLOOKUP(Table7[[#This Row],[Date]],Database!$A:$C,MATCH($B$1,Database!$A$1:$C$1,),)=0,#N/A,VLOOKUP(Table7[[#This Row],[Date]],Database!$A:$C,MATCH($B$1,Database!$A$1:$C$1,),))</f>
        <v/>
      </c>
      <c r="C13834">
        <f>IF(VLOOKUP(Table7[[#This Row],[Date]],Database!$A:$C,MATCH($C$1,Database!$A$1:$C$1,),)=0,#N/A,VLOOKUP(Table7[[#This Row],[Date]],Database!$A:$C,MATCH($C$1,Database!$A$1:$C$1,),))</f>
        <v/>
      </c>
      <c r="D13834">
        <f>IFERROR(Table7[[#This Row],[United States 10y]]-Table7[[#This Row],[United States 3y]],#N/A)</f>
        <v/>
      </c>
    </row>
    <row r="13835">
      <c r="A13835" s="6">
        <f>Database!$A15920</f>
        <v/>
      </c>
      <c r="B13835">
        <f>IF(VLOOKUP(Table7[[#This Row],[Date]],Database!$A:$C,MATCH($B$1,Database!$A$1:$C$1,),)=0,#N/A,VLOOKUP(Table7[[#This Row],[Date]],Database!$A:$C,MATCH($B$1,Database!$A$1:$C$1,),))</f>
        <v/>
      </c>
      <c r="C13835">
        <f>IF(VLOOKUP(Table7[[#This Row],[Date]],Database!$A:$C,MATCH($C$1,Database!$A$1:$C$1,),)=0,#N/A,VLOOKUP(Table7[[#This Row],[Date]],Database!$A:$C,MATCH($C$1,Database!$A$1:$C$1,),))</f>
        <v/>
      </c>
      <c r="D13835">
        <f>IFERROR(Table7[[#This Row],[United States 10y]]-Table7[[#This Row],[United States 3y]],#N/A)</f>
        <v/>
      </c>
    </row>
    <row r="13836">
      <c r="A13836" s="6">
        <f>Database!$A15921</f>
        <v/>
      </c>
      <c r="B13836">
        <f>IF(VLOOKUP(Table7[[#This Row],[Date]],Database!$A:$C,MATCH($B$1,Database!$A$1:$C$1,),)=0,#N/A,VLOOKUP(Table7[[#This Row],[Date]],Database!$A:$C,MATCH($B$1,Database!$A$1:$C$1,),))</f>
        <v/>
      </c>
      <c r="C13836">
        <f>IF(VLOOKUP(Table7[[#This Row],[Date]],Database!$A:$C,MATCH($C$1,Database!$A$1:$C$1,),)=0,#N/A,VLOOKUP(Table7[[#This Row],[Date]],Database!$A:$C,MATCH($C$1,Database!$A$1:$C$1,),))</f>
        <v/>
      </c>
      <c r="D13836">
        <f>IFERROR(Table7[[#This Row],[United States 10y]]-Table7[[#This Row],[United States 3y]],#N/A)</f>
        <v/>
      </c>
    </row>
    <row r="13837">
      <c r="A13837" s="6">
        <f>Database!$A15922</f>
        <v/>
      </c>
      <c r="B13837">
        <f>IF(VLOOKUP(Table7[[#This Row],[Date]],Database!$A:$C,MATCH($B$1,Database!$A$1:$C$1,),)=0,#N/A,VLOOKUP(Table7[[#This Row],[Date]],Database!$A:$C,MATCH($B$1,Database!$A$1:$C$1,),))</f>
        <v/>
      </c>
      <c r="C13837">
        <f>IF(VLOOKUP(Table7[[#This Row],[Date]],Database!$A:$C,MATCH($C$1,Database!$A$1:$C$1,),)=0,#N/A,VLOOKUP(Table7[[#This Row],[Date]],Database!$A:$C,MATCH($C$1,Database!$A$1:$C$1,),))</f>
        <v/>
      </c>
      <c r="D13837">
        <f>IFERROR(Table7[[#This Row],[United States 10y]]-Table7[[#This Row],[United States 3y]],#N/A)</f>
        <v/>
      </c>
    </row>
    <row r="13838">
      <c r="A13838" s="6">
        <f>Database!$A15923</f>
        <v/>
      </c>
      <c r="B13838">
        <f>IF(VLOOKUP(Table7[[#This Row],[Date]],Database!$A:$C,MATCH($B$1,Database!$A$1:$C$1,),)=0,#N/A,VLOOKUP(Table7[[#This Row],[Date]],Database!$A:$C,MATCH($B$1,Database!$A$1:$C$1,),))</f>
        <v/>
      </c>
      <c r="C13838">
        <f>IF(VLOOKUP(Table7[[#This Row],[Date]],Database!$A:$C,MATCH($C$1,Database!$A$1:$C$1,),)=0,#N/A,VLOOKUP(Table7[[#This Row],[Date]],Database!$A:$C,MATCH($C$1,Database!$A$1:$C$1,),))</f>
        <v/>
      </c>
      <c r="D13838">
        <f>IFERROR(Table7[[#This Row],[United States 10y]]-Table7[[#This Row],[United States 3y]],#N/A)</f>
        <v/>
      </c>
    </row>
    <row r="13839">
      <c r="A13839" s="6">
        <f>Database!$A15924</f>
        <v/>
      </c>
      <c r="B13839">
        <f>IF(VLOOKUP(Table7[[#This Row],[Date]],Database!$A:$C,MATCH($B$1,Database!$A$1:$C$1,),)=0,#N/A,VLOOKUP(Table7[[#This Row],[Date]],Database!$A:$C,MATCH($B$1,Database!$A$1:$C$1,),))</f>
        <v/>
      </c>
      <c r="C13839">
        <f>IF(VLOOKUP(Table7[[#This Row],[Date]],Database!$A:$C,MATCH($C$1,Database!$A$1:$C$1,),)=0,#N/A,VLOOKUP(Table7[[#This Row],[Date]],Database!$A:$C,MATCH($C$1,Database!$A$1:$C$1,),))</f>
        <v/>
      </c>
      <c r="D13839">
        <f>IFERROR(Table7[[#This Row],[United States 10y]]-Table7[[#This Row],[United States 3y]],#N/A)</f>
        <v/>
      </c>
    </row>
    <row r="13840">
      <c r="A13840" s="6">
        <f>Database!$A15925</f>
        <v/>
      </c>
      <c r="B13840">
        <f>IF(VLOOKUP(Table7[[#This Row],[Date]],Database!$A:$C,MATCH($B$1,Database!$A$1:$C$1,),)=0,#N/A,VLOOKUP(Table7[[#This Row],[Date]],Database!$A:$C,MATCH($B$1,Database!$A$1:$C$1,),))</f>
        <v/>
      </c>
      <c r="C13840">
        <f>IF(VLOOKUP(Table7[[#This Row],[Date]],Database!$A:$C,MATCH($C$1,Database!$A$1:$C$1,),)=0,#N/A,VLOOKUP(Table7[[#This Row],[Date]],Database!$A:$C,MATCH($C$1,Database!$A$1:$C$1,),))</f>
        <v/>
      </c>
      <c r="D13840">
        <f>IFERROR(Table7[[#This Row],[United States 10y]]-Table7[[#This Row],[United States 3y]],#N/A)</f>
        <v/>
      </c>
    </row>
    <row r="13841">
      <c r="A13841" s="6">
        <f>Database!$A15926</f>
        <v/>
      </c>
      <c r="B13841">
        <f>IF(VLOOKUP(Table7[[#This Row],[Date]],Database!$A:$C,MATCH($B$1,Database!$A$1:$C$1,),)=0,#N/A,VLOOKUP(Table7[[#This Row],[Date]],Database!$A:$C,MATCH($B$1,Database!$A$1:$C$1,),))</f>
        <v/>
      </c>
      <c r="C13841">
        <f>IF(VLOOKUP(Table7[[#This Row],[Date]],Database!$A:$C,MATCH($C$1,Database!$A$1:$C$1,),)=0,#N/A,VLOOKUP(Table7[[#This Row],[Date]],Database!$A:$C,MATCH($C$1,Database!$A$1:$C$1,),))</f>
        <v/>
      </c>
      <c r="D13841">
        <f>IFERROR(Table7[[#This Row],[United States 10y]]-Table7[[#This Row],[United States 3y]],#N/A)</f>
        <v/>
      </c>
    </row>
    <row r="13842">
      <c r="A13842" s="6">
        <f>Database!$A15927</f>
        <v/>
      </c>
      <c r="B13842">
        <f>IF(VLOOKUP(Table7[[#This Row],[Date]],Database!$A:$C,MATCH($B$1,Database!$A$1:$C$1,),)=0,#N/A,VLOOKUP(Table7[[#This Row],[Date]],Database!$A:$C,MATCH($B$1,Database!$A$1:$C$1,),))</f>
        <v/>
      </c>
      <c r="C13842">
        <f>IF(VLOOKUP(Table7[[#This Row],[Date]],Database!$A:$C,MATCH($C$1,Database!$A$1:$C$1,),)=0,#N/A,VLOOKUP(Table7[[#This Row],[Date]],Database!$A:$C,MATCH($C$1,Database!$A$1:$C$1,),))</f>
        <v/>
      </c>
      <c r="D13842">
        <f>IFERROR(Table7[[#This Row],[United States 10y]]-Table7[[#This Row],[United States 3y]],#N/A)</f>
        <v/>
      </c>
    </row>
    <row r="13843">
      <c r="A13843" s="6">
        <f>Database!$A15928</f>
        <v/>
      </c>
      <c r="B13843">
        <f>IF(VLOOKUP(Table7[[#This Row],[Date]],Database!$A:$C,MATCH($B$1,Database!$A$1:$C$1,),)=0,#N/A,VLOOKUP(Table7[[#This Row],[Date]],Database!$A:$C,MATCH($B$1,Database!$A$1:$C$1,),))</f>
        <v/>
      </c>
      <c r="C13843">
        <f>IF(VLOOKUP(Table7[[#This Row],[Date]],Database!$A:$C,MATCH($C$1,Database!$A$1:$C$1,),)=0,#N/A,VLOOKUP(Table7[[#This Row],[Date]],Database!$A:$C,MATCH($C$1,Database!$A$1:$C$1,),))</f>
        <v/>
      </c>
      <c r="D13843">
        <f>IFERROR(Table7[[#This Row],[United States 10y]]-Table7[[#This Row],[United States 3y]],#N/A)</f>
        <v/>
      </c>
    </row>
    <row r="13844">
      <c r="A13844" s="6">
        <f>Database!$A15929</f>
        <v/>
      </c>
      <c r="B13844">
        <f>IF(VLOOKUP(Table7[[#This Row],[Date]],Database!$A:$C,MATCH($B$1,Database!$A$1:$C$1,),)=0,#N/A,VLOOKUP(Table7[[#This Row],[Date]],Database!$A:$C,MATCH($B$1,Database!$A$1:$C$1,),))</f>
        <v/>
      </c>
      <c r="C13844">
        <f>IF(VLOOKUP(Table7[[#This Row],[Date]],Database!$A:$C,MATCH($C$1,Database!$A$1:$C$1,),)=0,#N/A,VLOOKUP(Table7[[#This Row],[Date]],Database!$A:$C,MATCH($C$1,Database!$A$1:$C$1,),))</f>
        <v/>
      </c>
      <c r="D13844">
        <f>IFERROR(Table7[[#This Row],[United States 10y]]-Table7[[#This Row],[United States 3y]],#N/A)</f>
        <v/>
      </c>
    </row>
    <row r="13845">
      <c r="A13845" s="6">
        <f>Database!$A15930</f>
        <v/>
      </c>
      <c r="B13845">
        <f>IF(VLOOKUP(Table7[[#This Row],[Date]],Database!$A:$C,MATCH($B$1,Database!$A$1:$C$1,),)=0,#N/A,VLOOKUP(Table7[[#This Row],[Date]],Database!$A:$C,MATCH($B$1,Database!$A$1:$C$1,),))</f>
        <v/>
      </c>
      <c r="C13845">
        <f>IF(VLOOKUP(Table7[[#This Row],[Date]],Database!$A:$C,MATCH($C$1,Database!$A$1:$C$1,),)=0,#N/A,VLOOKUP(Table7[[#This Row],[Date]],Database!$A:$C,MATCH($C$1,Database!$A$1:$C$1,),))</f>
        <v/>
      </c>
      <c r="D13845">
        <f>IFERROR(Table7[[#This Row],[United States 10y]]-Table7[[#This Row],[United States 3y]],#N/A)</f>
        <v/>
      </c>
    </row>
    <row r="13846">
      <c r="A13846" s="6">
        <f>Database!$A15931</f>
        <v/>
      </c>
      <c r="B13846">
        <f>IF(VLOOKUP(Table7[[#This Row],[Date]],Database!$A:$C,MATCH($B$1,Database!$A$1:$C$1,),)=0,#N/A,VLOOKUP(Table7[[#This Row],[Date]],Database!$A:$C,MATCH($B$1,Database!$A$1:$C$1,),))</f>
        <v/>
      </c>
      <c r="C13846">
        <f>IF(VLOOKUP(Table7[[#This Row],[Date]],Database!$A:$C,MATCH($C$1,Database!$A$1:$C$1,),)=0,#N/A,VLOOKUP(Table7[[#This Row],[Date]],Database!$A:$C,MATCH($C$1,Database!$A$1:$C$1,),))</f>
        <v/>
      </c>
      <c r="D13846">
        <f>IFERROR(Table7[[#This Row],[United States 10y]]-Table7[[#This Row],[United States 3y]],#N/A)</f>
        <v/>
      </c>
    </row>
    <row r="13847">
      <c r="A13847" s="6">
        <f>Database!$A15932</f>
        <v/>
      </c>
      <c r="B13847">
        <f>IF(VLOOKUP(Table7[[#This Row],[Date]],Database!$A:$C,MATCH($B$1,Database!$A$1:$C$1,),)=0,#N/A,VLOOKUP(Table7[[#This Row],[Date]],Database!$A:$C,MATCH($B$1,Database!$A$1:$C$1,),))</f>
        <v/>
      </c>
      <c r="C13847">
        <f>IF(VLOOKUP(Table7[[#This Row],[Date]],Database!$A:$C,MATCH($C$1,Database!$A$1:$C$1,),)=0,#N/A,VLOOKUP(Table7[[#This Row],[Date]],Database!$A:$C,MATCH($C$1,Database!$A$1:$C$1,),))</f>
        <v/>
      </c>
      <c r="D13847">
        <f>IFERROR(Table7[[#This Row],[United States 10y]]-Table7[[#This Row],[United States 3y]],#N/A)</f>
        <v/>
      </c>
    </row>
    <row r="13848">
      <c r="A13848" s="6">
        <f>Database!$A15933</f>
        <v/>
      </c>
      <c r="B13848">
        <f>IF(VLOOKUP(Table7[[#This Row],[Date]],Database!$A:$C,MATCH($B$1,Database!$A$1:$C$1,),)=0,#N/A,VLOOKUP(Table7[[#This Row],[Date]],Database!$A:$C,MATCH($B$1,Database!$A$1:$C$1,),))</f>
        <v/>
      </c>
      <c r="C13848">
        <f>IF(VLOOKUP(Table7[[#This Row],[Date]],Database!$A:$C,MATCH($C$1,Database!$A$1:$C$1,),)=0,#N/A,VLOOKUP(Table7[[#This Row],[Date]],Database!$A:$C,MATCH($C$1,Database!$A$1:$C$1,),))</f>
        <v/>
      </c>
      <c r="D13848">
        <f>IFERROR(Table7[[#This Row],[United States 10y]]-Table7[[#This Row],[United States 3y]],#N/A)</f>
        <v/>
      </c>
    </row>
    <row r="13849">
      <c r="A13849" s="6">
        <f>Database!$A15934</f>
        <v/>
      </c>
      <c r="B13849">
        <f>IF(VLOOKUP(Table7[[#This Row],[Date]],Database!$A:$C,MATCH($B$1,Database!$A$1:$C$1,),)=0,#N/A,VLOOKUP(Table7[[#This Row],[Date]],Database!$A:$C,MATCH($B$1,Database!$A$1:$C$1,),))</f>
        <v/>
      </c>
      <c r="C13849">
        <f>IF(VLOOKUP(Table7[[#This Row],[Date]],Database!$A:$C,MATCH($C$1,Database!$A$1:$C$1,),)=0,#N/A,VLOOKUP(Table7[[#This Row],[Date]],Database!$A:$C,MATCH($C$1,Database!$A$1:$C$1,),))</f>
        <v/>
      </c>
      <c r="D13849">
        <f>IFERROR(Table7[[#This Row],[United States 10y]]-Table7[[#This Row],[United States 3y]],#N/A)</f>
        <v/>
      </c>
    </row>
    <row r="13850">
      <c r="A13850" s="6">
        <f>Database!$A15935</f>
        <v/>
      </c>
      <c r="B13850">
        <f>IF(VLOOKUP(Table7[[#This Row],[Date]],Database!$A:$C,MATCH($B$1,Database!$A$1:$C$1,),)=0,#N/A,VLOOKUP(Table7[[#This Row],[Date]],Database!$A:$C,MATCH($B$1,Database!$A$1:$C$1,),))</f>
        <v/>
      </c>
      <c r="C13850">
        <f>IF(VLOOKUP(Table7[[#This Row],[Date]],Database!$A:$C,MATCH($C$1,Database!$A$1:$C$1,),)=0,#N/A,VLOOKUP(Table7[[#This Row],[Date]],Database!$A:$C,MATCH($C$1,Database!$A$1:$C$1,),))</f>
        <v/>
      </c>
      <c r="D13850">
        <f>IFERROR(Table7[[#This Row],[United States 10y]]-Table7[[#This Row],[United States 3y]],#N/A)</f>
        <v/>
      </c>
    </row>
    <row r="13851">
      <c r="A13851" s="6">
        <f>Database!$A15936</f>
        <v/>
      </c>
      <c r="B13851">
        <f>IF(VLOOKUP(Table7[[#This Row],[Date]],Database!$A:$C,MATCH($B$1,Database!$A$1:$C$1,),)=0,#N/A,VLOOKUP(Table7[[#This Row],[Date]],Database!$A:$C,MATCH($B$1,Database!$A$1:$C$1,),))</f>
        <v/>
      </c>
      <c r="C13851">
        <f>IF(VLOOKUP(Table7[[#This Row],[Date]],Database!$A:$C,MATCH($C$1,Database!$A$1:$C$1,),)=0,#N/A,VLOOKUP(Table7[[#This Row],[Date]],Database!$A:$C,MATCH($C$1,Database!$A$1:$C$1,),))</f>
        <v/>
      </c>
      <c r="D13851">
        <f>IFERROR(Table7[[#This Row],[United States 10y]]-Table7[[#This Row],[United States 3y]],#N/A)</f>
        <v/>
      </c>
    </row>
    <row r="13852">
      <c r="A13852" s="6">
        <f>Database!$A15937</f>
        <v/>
      </c>
      <c r="B13852">
        <f>IF(VLOOKUP(Table7[[#This Row],[Date]],Database!$A:$C,MATCH($B$1,Database!$A$1:$C$1,),)=0,#N/A,VLOOKUP(Table7[[#This Row],[Date]],Database!$A:$C,MATCH($B$1,Database!$A$1:$C$1,),))</f>
        <v/>
      </c>
      <c r="C13852">
        <f>IF(VLOOKUP(Table7[[#This Row],[Date]],Database!$A:$C,MATCH($C$1,Database!$A$1:$C$1,),)=0,#N/A,VLOOKUP(Table7[[#This Row],[Date]],Database!$A:$C,MATCH($C$1,Database!$A$1:$C$1,),))</f>
        <v/>
      </c>
      <c r="D13852">
        <f>IFERROR(Table7[[#This Row],[United States 10y]]-Table7[[#This Row],[United States 3y]],#N/A)</f>
        <v/>
      </c>
    </row>
    <row r="13853">
      <c r="A13853" s="6">
        <f>Database!$A15938</f>
        <v/>
      </c>
      <c r="B13853">
        <f>IF(VLOOKUP(Table7[[#This Row],[Date]],Database!$A:$C,MATCH($B$1,Database!$A$1:$C$1,),)=0,#N/A,VLOOKUP(Table7[[#This Row],[Date]],Database!$A:$C,MATCH($B$1,Database!$A$1:$C$1,),))</f>
        <v/>
      </c>
      <c r="C13853">
        <f>IF(VLOOKUP(Table7[[#This Row],[Date]],Database!$A:$C,MATCH($C$1,Database!$A$1:$C$1,),)=0,#N/A,VLOOKUP(Table7[[#This Row],[Date]],Database!$A:$C,MATCH($C$1,Database!$A$1:$C$1,),))</f>
        <v/>
      </c>
      <c r="D13853">
        <f>IFERROR(Table7[[#This Row],[United States 10y]]-Table7[[#This Row],[United States 3y]],#N/A)</f>
        <v/>
      </c>
    </row>
    <row r="13854">
      <c r="A13854" s="6">
        <f>Database!$A15939</f>
        <v/>
      </c>
      <c r="B13854">
        <f>IF(VLOOKUP(Table7[[#This Row],[Date]],Database!$A:$C,MATCH($B$1,Database!$A$1:$C$1,),)=0,#N/A,VLOOKUP(Table7[[#This Row],[Date]],Database!$A:$C,MATCH($B$1,Database!$A$1:$C$1,),))</f>
        <v/>
      </c>
      <c r="C13854">
        <f>IF(VLOOKUP(Table7[[#This Row],[Date]],Database!$A:$C,MATCH($C$1,Database!$A$1:$C$1,),)=0,#N/A,VLOOKUP(Table7[[#This Row],[Date]],Database!$A:$C,MATCH($C$1,Database!$A$1:$C$1,),))</f>
        <v/>
      </c>
      <c r="D13854">
        <f>IFERROR(Table7[[#This Row],[United States 10y]]-Table7[[#This Row],[United States 3y]],#N/A)</f>
        <v/>
      </c>
    </row>
    <row r="13855">
      <c r="A13855" s="6">
        <f>Database!$A15940</f>
        <v/>
      </c>
      <c r="B13855">
        <f>IF(VLOOKUP(Table7[[#This Row],[Date]],Database!$A:$C,MATCH($B$1,Database!$A$1:$C$1,),)=0,#N/A,VLOOKUP(Table7[[#This Row],[Date]],Database!$A:$C,MATCH($B$1,Database!$A$1:$C$1,),))</f>
        <v/>
      </c>
      <c r="C13855">
        <f>IF(VLOOKUP(Table7[[#This Row],[Date]],Database!$A:$C,MATCH($C$1,Database!$A$1:$C$1,),)=0,#N/A,VLOOKUP(Table7[[#This Row],[Date]],Database!$A:$C,MATCH($C$1,Database!$A$1:$C$1,),))</f>
        <v/>
      </c>
      <c r="D13855">
        <f>IFERROR(Table7[[#This Row],[United States 10y]]-Table7[[#This Row],[United States 3y]],#N/A)</f>
        <v/>
      </c>
    </row>
    <row r="13856">
      <c r="A13856" s="6">
        <f>Database!$A15941</f>
        <v/>
      </c>
      <c r="B13856">
        <f>IF(VLOOKUP(Table7[[#This Row],[Date]],Database!$A:$C,MATCH($B$1,Database!$A$1:$C$1,),)=0,#N/A,VLOOKUP(Table7[[#This Row],[Date]],Database!$A:$C,MATCH($B$1,Database!$A$1:$C$1,),))</f>
        <v/>
      </c>
      <c r="C13856">
        <f>IF(VLOOKUP(Table7[[#This Row],[Date]],Database!$A:$C,MATCH($C$1,Database!$A$1:$C$1,),)=0,#N/A,VLOOKUP(Table7[[#This Row],[Date]],Database!$A:$C,MATCH($C$1,Database!$A$1:$C$1,),))</f>
        <v/>
      </c>
      <c r="D13856">
        <f>IFERROR(Table7[[#This Row],[United States 10y]]-Table7[[#This Row],[United States 3y]],#N/A)</f>
        <v/>
      </c>
    </row>
    <row r="13857">
      <c r="A13857" s="6">
        <f>Database!$A15942</f>
        <v/>
      </c>
      <c r="B13857">
        <f>IF(VLOOKUP(Table7[[#This Row],[Date]],Database!$A:$C,MATCH($B$1,Database!$A$1:$C$1,),)=0,#N/A,VLOOKUP(Table7[[#This Row],[Date]],Database!$A:$C,MATCH($B$1,Database!$A$1:$C$1,),))</f>
        <v/>
      </c>
      <c r="C13857">
        <f>IF(VLOOKUP(Table7[[#This Row],[Date]],Database!$A:$C,MATCH($C$1,Database!$A$1:$C$1,),)=0,#N/A,VLOOKUP(Table7[[#This Row],[Date]],Database!$A:$C,MATCH($C$1,Database!$A$1:$C$1,),))</f>
        <v/>
      </c>
      <c r="D13857">
        <f>IFERROR(Table7[[#This Row],[United States 10y]]-Table7[[#This Row],[United States 3y]],#N/A)</f>
        <v/>
      </c>
    </row>
    <row r="13858">
      <c r="A13858" s="6">
        <f>Database!$A15943</f>
        <v/>
      </c>
      <c r="B13858">
        <f>IF(VLOOKUP(Table7[[#This Row],[Date]],Database!$A:$C,MATCH($B$1,Database!$A$1:$C$1,),)=0,#N/A,VLOOKUP(Table7[[#This Row],[Date]],Database!$A:$C,MATCH($B$1,Database!$A$1:$C$1,),))</f>
        <v/>
      </c>
      <c r="C13858">
        <f>IF(VLOOKUP(Table7[[#This Row],[Date]],Database!$A:$C,MATCH($C$1,Database!$A$1:$C$1,),)=0,#N/A,VLOOKUP(Table7[[#This Row],[Date]],Database!$A:$C,MATCH($C$1,Database!$A$1:$C$1,),))</f>
        <v/>
      </c>
      <c r="D13858">
        <f>IFERROR(Table7[[#This Row],[United States 10y]]-Table7[[#This Row],[United States 3y]],#N/A)</f>
        <v/>
      </c>
    </row>
    <row r="13859">
      <c r="A13859" s="6">
        <f>Database!$A15944</f>
        <v/>
      </c>
      <c r="B13859">
        <f>IF(VLOOKUP(Table7[[#This Row],[Date]],Database!$A:$C,MATCH($B$1,Database!$A$1:$C$1,),)=0,#N/A,VLOOKUP(Table7[[#This Row],[Date]],Database!$A:$C,MATCH($B$1,Database!$A$1:$C$1,),))</f>
        <v/>
      </c>
      <c r="C13859">
        <f>IF(VLOOKUP(Table7[[#This Row],[Date]],Database!$A:$C,MATCH($C$1,Database!$A$1:$C$1,),)=0,#N/A,VLOOKUP(Table7[[#This Row],[Date]],Database!$A:$C,MATCH($C$1,Database!$A$1:$C$1,),))</f>
        <v/>
      </c>
      <c r="D13859">
        <f>IFERROR(Table7[[#This Row],[United States 10y]]-Table7[[#This Row],[United States 3y]],#N/A)</f>
        <v/>
      </c>
    </row>
    <row r="13860">
      <c r="A13860" s="6">
        <f>Database!$A15945</f>
        <v/>
      </c>
      <c r="B13860">
        <f>IF(VLOOKUP(Table7[[#This Row],[Date]],Database!$A:$C,MATCH($B$1,Database!$A$1:$C$1,),)=0,#N/A,VLOOKUP(Table7[[#This Row],[Date]],Database!$A:$C,MATCH($B$1,Database!$A$1:$C$1,),))</f>
        <v/>
      </c>
      <c r="C13860">
        <f>IF(VLOOKUP(Table7[[#This Row],[Date]],Database!$A:$C,MATCH($C$1,Database!$A$1:$C$1,),)=0,#N/A,VLOOKUP(Table7[[#This Row],[Date]],Database!$A:$C,MATCH($C$1,Database!$A$1:$C$1,),))</f>
        <v/>
      </c>
      <c r="D13860">
        <f>IFERROR(Table7[[#This Row],[United States 10y]]-Table7[[#This Row],[United States 3y]],#N/A)</f>
        <v/>
      </c>
    </row>
    <row r="13861">
      <c r="A13861" s="6">
        <f>Database!$A15946</f>
        <v/>
      </c>
      <c r="B13861">
        <f>IF(VLOOKUP(Table7[[#This Row],[Date]],Database!$A:$C,MATCH($B$1,Database!$A$1:$C$1,),)=0,#N/A,VLOOKUP(Table7[[#This Row],[Date]],Database!$A:$C,MATCH($B$1,Database!$A$1:$C$1,),))</f>
        <v/>
      </c>
      <c r="C13861">
        <f>IF(VLOOKUP(Table7[[#This Row],[Date]],Database!$A:$C,MATCH($C$1,Database!$A$1:$C$1,),)=0,#N/A,VLOOKUP(Table7[[#This Row],[Date]],Database!$A:$C,MATCH($C$1,Database!$A$1:$C$1,),))</f>
        <v/>
      </c>
      <c r="D13861">
        <f>IFERROR(Table7[[#This Row],[United States 10y]]-Table7[[#This Row],[United States 3y]],#N/A)</f>
        <v/>
      </c>
    </row>
    <row r="13862">
      <c r="A13862" s="6">
        <f>Database!$A15947</f>
        <v/>
      </c>
      <c r="B13862">
        <f>IF(VLOOKUP(Table7[[#This Row],[Date]],Database!$A:$C,MATCH($B$1,Database!$A$1:$C$1,),)=0,#N/A,VLOOKUP(Table7[[#This Row],[Date]],Database!$A:$C,MATCH($B$1,Database!$A$1:$C$1,),))</f>
        <v/>
      </c>
      <c r="C13862">
        <f>IF(VLOOKUP(Table7[[#This Row],[Date]],Database!$A:$C,MATCH($C$1,Database!$A$1:$C$1,),)=0,#N/A,VLOOKUP(Table7[[#This Row],[Date]],Database!$A:$C,MATCH($C$1,Database!$A$1:$C$1,),))</f>
        <v/>
      </c>
      <c r="D13862">
        <f>IFERROR(Table7[[#This Row],[United States 10y]]-Table7[[#This Row],[United States 3y]],#N/A)</f>
        <v/>
      </c>
    </row>
    <row r="13863">
      <c r="A13863" s="6">
        <f>Database!$A15948</f>
        <v/>
      </c>
      <c r="B13863">
        <f>IF(VLOOKUP(Table7[[#This Row],[Date]],Database!$A:$C,MATCH($B$1,Database!$A$1:$C$1,),)=0,#N/A,VLOOKUP(Table7[[#This Row],[Date]],Database!$A:$C,MATCH($B$1,Database!$A$1:$C$1,),))</f>
        <v/>
      </c>
      <c r="C13863">
        <f>IF(VLOOKUP(Table7[[#This Row],[Date]],Database!$A:$C,MATCH($C$1,Database!$A$1:$C$1,),)=0,#N/A,VLOOKUP(Table7[[#This Row],[Date]],Database!$A:$C,MATCH($C$1,Database!$A$1:$C$1,),))</f>
        <v/>
      </c>
      <c r="D13863">
        <f>IFERROR(Table7[[#This Row],[United States 10y]]-Table7[[#This Row],[United States 3y]],#N/A)</f>
        <v/>
      </c>
    </row>
    <row r="13864">
      <c r="A13864" s="6">
        <f>Database!$A15949</f>
        <v/>
      </c>
      <c r="B13864">
        <f>IF(VLOOKUP(Table7[[#This Row],[Date]],Database!$A:$C,MATCH($B$1,Database!$A$1:$C$1,),)=0,#N/A,VLOOKUP(Table7[[#This Row],[Date]],Database!$A:$C,MATCH($B$1,Database!$A$1:$C$1,),))</f>
        <v/>
      </c>
      <c r="C13864">
        <f>IF(VLOOKUP(Table7[[#This Row],[Date]],Database!$A:$C,MATCH($C$1,Database!$A$1:$C$1,),)=0,#N/A,VLOOKUP(Table7[[#This Row],[Date]],Database!$A:$C,MATCH($C$1,Database!$A$1:$C$1,),))</f>
        <v/>
      </c>
      <c r="D13864">
        <f>IFERROR(Table7[[#This Row],[United States 10y]]-Table7[[#This Row],[United States 3y]],#N/A)</f>
        <v/>
      </c>
    </row>
    <row r="13865">
      <c r="A13865" s="6">
        <f>Database!$A15950</f>
        <v/>
      </c>
      <c r="B13865">
        <f>IF(VLOOKUP(Table7[[#This Row],[Date]],Database!$A:$C,MATCH($B$1,Database!$A$1:$C$1,),)=0,#N/A,VLOOKUP(Table7[[#This Row],[Date]],Database!$A:$C,MATCH($B$1,Database!$A$1:$C$1,),))</f>
        <v/>
      </c>
      <c r="C13865">
        <f>IF(VLOOKUP(Table7[[#This Row],[Date]],Database!$A:$C,MATCH($C$1,Database!$A$1:$C$1,),)=0,#N/A,VLOOKUP(Table7[[#This Row],[Date]],Database!$A:$C,MATCH($C$1,Database!$A$1:$C$1,),))</f>
        <v/>
      </c>
      <c r="D13865">
        <f>IFERROR(Table7[[#This Row],[United States 10y]]-Table7[[#This Row],[United States 3y]],#N/A)</f>
        <v/>
      </c>
    </row>
    <row r="13866">
      <c r="A13866" s="6">
        <f>Database!$A15951</f>
        <v/>
      </c>
      <c r="B13866">
        <f>IF(VLOOKUP(Table7[[#This Row],[Date]],Database!$A:$C,MATCH($B$1,Database!$A$1:$C$1,),)=0,#N/A,VLOOKUP(Table7[[#This Row],[Date]],Database!$A:$C,MATCH($B$1,Database!$A$1:$C$1,),))</f>
        <v/>
      </c>
      <c r="C13866">
        <f>IF(VLOOKUP(Table7[[#This Row],[Date]],Database!$A:$C,MATCH($C$1,Database!$A$1:$C$1,),)=0,#N/A,VLOOKUP(Table7[[#This Row],[Date]],Database!$A:$C,MATCH($C$1,Database!$A$1:$C$1,),))</f>
        <v/>
      </c>
      <c r="D13866">
        <f>IFERROR(Table7[[#This Row],[United States 10y]]-Table7[[#This Row],[United States 3y]],#N/A)</f>
        <v/>
      </c>
    </row>
    <row r="13867">
      <c r="A13867" s="6">
        <f>Database!$A15952</f>
        <v/>
      </c>
      <c r="B13867">
        <f>IF(VLOOKUP(Table7[[#This Row],[Date]],Database!$A:$C,MATCH($B$1,Database!$A$1:$C$1,),)=0,#N/A,VLOOKUP(Table7[[#This Row],[Date]],Database!$A:$C,MATCH($B$1,Database!$A$1:$C$1,),))</f>
        <v/>
      </c>
      <c r="C13867">
        <f>IF(VLOOKUP(Table7[[#This Row],[Date]],Database!$A:$C,MATCH($C$1,Database!$A$1:$C$1,),)=0,#N/A,VLOOKUP(Table7[[#This Row],[Date]],Database!$A:$C,MATCH($C$1,Database!$A$1:$C$1,),))</f>
        <v/>
      </c>
      <c r="D13867">
        <f>IFERROR(Table7[[#This Row],[United States 10y]]-Table7[[#This Row],[United States 3y]],#N/A)</f>
        <v/>
      </c>
    </row>
    <row r="13868">
      <c r="A13868" s="6">
        <f>Database!$A15953</f>
        <v/>
      </c>
      <c r="B13868">
        <f>IF(VLOOKUP(Table7[[#This Row],[Date]],Database!$A:$C,MATCH($B$1,Database!$A$1:$C$1,),)=0,#N/A,VLOOKUP(Table7[[#This Row],[Date]],Database!$A:$C,MATCH($B$1,Database!$A$1:$C$1,),))</f>
        <v/>
      </c>
      <c r="C13868">
        <f>IF(VLOOKUP(Table7[[#This Row],[Date]],Database!$A:$C,MATCH($C$1,Database!$A$1:$C$1,),)=0,#N/A,VLOOKUP(Table7[[#This Row],[Date]],Database!$A:$C,MATCH($C$1,Database!$A$1:$C$1,),))</f>
        <v/>
      </c>
      <c r="D13868">
        <f>IFERROR(Table7[[#This Row],[United States 10y]]-Table7[[#This Row],[United States 3y]],#N/A)</f>
        <v/>
      </c>
    </row>
    <row r="13869">
      <c r="A13869" s="6">
        <f>Database!$A15954</f>
        <v/>
      </c>
      <c r="B13869">
        <f>IF(VLOOKUP(Table7[[#This Row],[Date]],Database!$A:$C,MATCH($B$1,Database!$A$1:$C$1,),)=0,#N/A,VLOOKUP(Table7[[#This Row],[Date]],Database!$A:$C,MATCH($B$1,Database!$A$1:$C$1,),))</f>
        <v/>
      </c>
      <c r="C13869">
        <f>IF(VLOOKUP(Table7[[#This Row],[Date]],Database!$A:$C,MATCH($C$1,Database!$A$1:$C$1,),)=0,#N/A,VLOOKUP(Table7[[#This Row],[Date]],Database!$A:$C,MATCH($C$1,Database!$A$1:$C$1,),))</f>
        <v/>
      </c>
      <c r="D13869">
        <f>IFERROR(Table7[[#This Row],[United States 10y]]-Table7[[#This Row],[United States 3y]],#N/A)</f>
        <v/>
      </c>
    </row>
    <row r="13870">
      <c r="A13870" s="6">
        <f>Database!$A15955</f>
        <v/>
      </c>
      <c r="B13870">
        <f>IF(VLOOKUP(Table7[[#This Row],[Date]],Database!$A:$C,MATCH($B$1,Database!$A$1:$C$1,),)=0,#N/A,VLOOKUP(Table7[[#This Row],[Date]],Database!$A:$C,MATCH($B$1,Database!$A$1:$C$1,),))</f>
        <v/>
      </c>
      <c r="C13870">
        <f>IF(VLOOKUP(Table7[[#This Row],[Date]],Database!$A:$C,MATCH($C$1,Database!$A$1:$C$1,),)=0,#N/A,VLOOKUP(Table7[[#This Row],[Date]],Database!$A:$C,MATCH($C$1,Database!$A$1:$C$1,),))</f>
        <v/>
      </c>
      <c r="D13870">
        <f>IFERROR(Table7[[#This Row],[United States 10y]]-Table7[[#This Row],[United States 3y]],#N/A)</f>
        <v/>
      </c>
    </row>
    <row r="13871">
      <c r="A13871" s="6">
        <f>Database!$A15956</f>
        <v/>
      </c>
      <c r="B13871">
        <f>IF(VLOOKUP(Table7[[#This Row],[Date]],Database!$A:$C,MATCH($B$1,Database!$A$1:$C$1,),)=0,#N/A,VLOOKUP(Table7[[#This Row],[Date]],Database!$A:$C,MATCH($B$1,Database!$A$1:$C$1,),))</f>
        <v/>
      </c>
      <c r="C13871">
        <f>IF(VLOOKUP(Table7[[#This Row],[Date]],Database!$A:$C,MATCH($C$1,Database!$A$1:$C$1,),)=0,#N/A,VLOOKUP(Table7[[#This Row],[Date]],Database!$A:$C,MATCH($C$1,Database!$A$1:$C$1,),))</f>
        <v/>
      </c>
      <c r="D13871">
        <f>IFERROR(Table7[[#This Row],[United States 10y]]-Table7[[#This Row],[United States 3y]],#N/A)</f>
        <v/>
      </c>
    </row>
    <row r="13872">
      <c r="A13872" s="6">
        <f>Database!$A15957</f>
        <v/>
      </c>
      <c r="B13872">
        <f>IF(VLOOKUP(Table7[[#This Row],[Date]],Database!$A:$C,MATCH($B$1,Database!$A$1:$C$1,),)=0,#N/A,VLOOKUP(Table7[[#This Row],[Date]],Database!$A:$C,MATCH($B$1,Database!$A$1:$C$1,),))</f>
        <v/>
      </c>
      <c r="C13872">
        <f>IF(VLOOKUP(Table7[[#This Row],[Date]],Database!$A:$C,MATCH($C$1,Database!$A$1:$C$1,),)=0,#N/A,VLOOKUP(Table7[[#This Row],[Date]],Database!$A:$C,MATCH($C$1,Database!$A$1:$C$1,),))</f>
        <v/>
      </c>
      <c r="D13872">
        <f>IFERROR(Table7[[#This Row],[United States 10y]]-Table7[[#This Row],[United States 3y]],#N/A)</f>
        <v/>
      </c>
    </row>
    <row r="13873">
      <c r="A13873" s="6">
        <f>Database!$A15958</f>
        <v/>
      </c>
      <c r="B13873">
        <f>IF(VLOOKUP(Table7[[#This Row],[Date]],Database!$A:$C,MATCH($B$1,Database!$A$1:$C$1,),)=0,#N/A,VLOOKUP(Table7[[#This Row],[Date]],Database!$A:$C,MATCH($B$1,Database!$A$1:$C$1,),))</f>
        <v/>
      </c>
      <c r="C13873">
        <f>IF(VLOOKUP(Table7[[#This Row],[Date]],Database!$A:$C,MATCH($C$1,Database!$A$1:$C$1,),)=0,#N/A,VLOOKUP(Table7[[#This Row],[Date]],Database!$A:$C,MATCH($C$1,Database!$A$1:$C$1,),))</f>
        <v/>
      </c>
      <c r="D13873">
        <f>IFERROR(Table7[[#This Row],[United States 10y]]-Table7[[#This Row],[United States 3y]],#N/A)</f>
        <v/>
      </c>
    </row>
    <row r="13874">
      <c r="A13874" s="6">
        <f>Database!$A15959</f>
        <v/>
      </c>
      <c r="B13874">
        <f>IF(VLOOKUP(Table7[[#This Row],[Date]],Database!$A:$C,MATCH($B$1,Database!$A$1:$C$1,),)=0,#N/A,VLOOKUP(Table7[[#This Row],[Date]],Database!$A:$C,MATCH($B$1,Database!$A$1:$C$1,),))</f>
        <v/>
      </c>
      <c r="C13874">
        <f>IF(VLOOKUP(Table7[[#This Row],[Date]],Database!$A:$C,MATCH($C$1,Database!$A$1:$C$1,),)=0,#N/A,VLOOKUP(Table7[[#This Row],[Date]],Database!$A:$C,MATCH($C$1,Database!$A$1:$C$1,),))</f>
        <v/>
      </c>
      <c r="D13874">
        <f>IFERROR(Table7[[#This Row],[United States 10y]]-Table7[[#This Row],[United States 3y]],#N/A)</f>
        <v/>
      </c>
    </row>
    <row r="13875">
      <c r="A13875" s="6">
        <f>Database!$A15960</f>
        <v/>
      </c>
      <c r="B13875">
        <f>IF(VLOOKUP(Table7[[#This Row],[Date]],Database!$A:$C,MATCH($B$1,Database!$A$1:$C$1,),)=0,#N/A,VLOOKUP(Table7[[#This Row],[Date]],Database!$A:$C,MATCH($B$1,Database!$A$1:$C$1,),))</f>
        <v/>
      </c>
      <c r="C13875">
        <f>IF(VLOOKUP(Table7[[#This Row],[Date]],Database!$A:$C,MATCH($C$1,Database!$A$1:$C$1,),)=0,#N/A,VLOOKUP(Table7[[#This Row],[Date]],Database!$A:$C,MATCH($C$1,Database!$A$1:$C$1,),))</f>
        <v/>
      </c>
      <c r="D13875">
        <f>IFERROR(Table7[[#This Row],[United States 10y]]-Table7[[#This Row],[United States 3y]],#N/A)</f>
        <v/>
      </c>
    </row>
    <row r="13876">
      <c r="A13876" s="6">
        <f>Database!$A15961</f>
        <v/>
      </c>
      <c r="B13876">
        <f>IF(VLOOKUP(Table7[[#This Row],[Date]],Database!$A:$C,MATCH($B$1,Database!$A$1:$C$1,),)=0,#N/A,VLOOKUP(Table7[[#This Row],[Date]],Database!$A:$C,MATCH($B$1,Database!$A$1:$C$1,),))</f>
        <v/>
      </c>
      <c r="C13876">
        <f>IF(VLOOKUP(Table7[[#This Row],[Date]],Database!$A:$C,MATCH($C$1,Database!$A$1:$C$1,),)=0,#N/A,VLOOKUP(Table7[[#This Row],[Date]],Database!$A:$C,MATCH($C$1,Database!$A$1:$C$1,),))</f>
        <v/>
      </c>
      <c r="D13876">
        <f>IFERROR(Table7[[#This Row],[United States 10y]]-Table7[[#This Row],[United States 3y]],#N/A)</f>
        <v/>
      </c>
    </row>
    <row r="13877">
      <c r="A13877" s="6">
        <f>Database!$A15962</f>
        <v/>
      </c>
      <c r="B13877">
        <f>IF(VLOOKUP(Table7[[#This Row],[Date]],Database!$A:$C,MATCH($B$1,Database!$A$1:$C$1,),)=0,#N/A,VLOOKUP(Table7[[#This Row],[Date]],Database!$A:$C,MATCH($B$1,Database!$A$1:$C$1,),))</f>
        <v/>
      </c>
      <c r="C13877">
        <f>IF(VLOOKUP(Table7[[#This Row],[Date]],Database!$A:$C,MATCH($C$1,Database!$A$1:$C$1,),)=0,#N/A,VLOOKUP(Table7[[#This Row],[Date]],Database!$A:$C,MATCH($C$1,Database!$A$1:$C$1,),))</f>
        <v/>
      </c>
      <c r="D13877">
        <f>IFERROR(Table7[[#This Row],[United States 10y]]-Table7[[#This Row],[United States 3y]],#N/A)</f>
        <v/>
      </c>
    </row>
    <row r="13878">
      <c r="A13878" s="6">
        <f>Database!$A15963</f>
        <v/>
      </c>
      <c r="B13878">
        <f>IF(VLOOKUP(Table7[[#This Row],[Date]],Database!$A:$C,MATCH($B$1,Database!$A$1:$C$1,),)=0,#N/A,VLOOKUP(Table7[[#This Row],[Date]],Database!$A:$C,MATCH($B$1,Database!$A$1:$C$1,),))</f>
        <v/>
      </c>
      <c r="C13878">
        <f>IF(VLOOKUP(Table7[[#This Row],[Date]],Database!$A:$C,MATCH($C$1,Database!$A$1:$C$1,),)=0,#N/A,VLOOKUP(Table7[[#This Row],[Date]],Database!$A:$C,MATCH($C$1,Database!$A$1:$C$1,),))</f>
        <v/>
      </c>
      <c r="D13878">
        <f>IFERROR(Table7[[#This Row],[United States 10y]]-Table7[[#This Row],[United States 3y]],#N/A)</f>
        <v/>
      </c>
    </row>
    <row r="13879">
      <c r="A13879" s="6">
        <f>Database!$A15964</f>
        <v/>
      </c>
      <c r="B13879">
        <f>IF(VLOOKUP(Table7[[#This Row],[Date]],Database!$A:$C,MATCH($B$1,Database!$A$1:$C$1,),)=0,#N/A,VLOOKUP(Table7[[#This Row],[Date]],Database!$A:$C,MATCH($B$1,Database!$A$1:$C$1,),))</f>
        <v/>
      </c>
      <c r="C13879">
        <f>IF(VLOOKUP(Table7[[#This Row],[Date]],Database!$A:$C,MATCH($C$1,Database!$A$1:$C$1,),)=0,#N/A,VLOOKUP(Table7[[#This Row],[Date]],Database!$A:$C,MATCH($C$1,Database!$A$1:$C$1,),))</f>
        <v/>
      </c>
      <c r="D13879">
        <f>IFERROR(Table7[[#This Row],[United States 10y]]-Table7[[#This Row],[United States 3y]],#N/A)</f>
        <v/>
      </c>
    </row>
    <row r="13880">
      <c r="A13880" s="6">
        <f>Database!$A15965</f>
        <v/>
      </c>
      <c r="B13880">
        <f>IF(VLOOKUP(Table7[[#This Row],[Date]],Database!$A:$C,MATCH($B$1,Database!$A$1:$C$1,),)=0,#N/A,VLOOKUP(Table7[[#This Row],[Date]],Database!$A:$C,MATCH($B$1,Database!$A$1:$C$1,),))</f>
        <v/>
      </c>
      <c r="C13880">
        <f>IF(VLOOKUP(Table7[[#This Row],[Date]],Database!$A:$C,MATCH($C$1,Database!$A$1:$C$1,),)=0,#N/A,VLOOKUP(Table7[[#This Row],[Date]],Database!$A:$C,MATCH($C$1,Database!$A$1:$C$1,),))</f>
        <v/>
      </c>
      <c r="D13880">
        <f>IFERROR(Table7[[#This Row],[United States 10y]]-Table7[[#This Row],[United States 3y]],#N/A)</f>
        <v/>
      </c>
    </row>
    <row r="13881">
      <c r="A13881" s="6">
        <f>Database!$A15966</f>
        <v/>
      </c>
      <c r="B13881">
        <f>IF(VLOOKUP(Table7[[#This Row],[Date]],Database!$A:$C,MATCH($B$1,Database!$A$1:$C$1,),)=0,#N/A,VLOOKUP(Table7[[#This Row],[Date]],Database!$A:$C,MATCH($B$1,Database!$A$1:$C$1,),))</f>
        <v/>
      </c>
      <c r="C13881">
        <f>IF(VLOOKUP(Table7[[#This Row],[Date]],Database!$A:$C,MATCH($C$1,Database!$A$1:$C$1,),)=0,#N/A,VLOOKUP(Table7[[#This Row],[Date]],Database!$A:$C,MATCH($C$1,Database!$A$1:$C$1,),))</f>
        <v/>
      </c>
      <c r="D13881">
        <f>IFERROR(Table7[[#This Row],[United States 10y]]-Table7[[#This Row],[United States 3y]],#N/A)</f>
        <v/>
      </c>
    </row>
    <row r="13882">
      <c r="A13882" s="6">
        <f>Database!$A15967</f>
        <v/>
      </c>
      <c r="B13882">
        <f>IF(VLOOKUP(Table7[[#This Row],[Date]],Database!$A:$C,MATCH($B$1,Database!$A$1:$C$1,),)=0,#N/A,VLOOKUP(Table7[[#This Row],[Date]],Database!$A:$C,MATCH($B$1,Database!$A$1:$C$1,),))</f>
        <v/>
      </c>
      <c r="C13882">
        <f>IF(VLOOKUP(Table7[[#This Row],[Date]],Database!$A:$C,MATCH($C$1,Database!$A$1:$C$1,),)=0,#N/A,VLOOKUP(Table7[[#This Row],[Date]],Database!$A:$C,MATCH($C$1,Database!$A$1:$C$1,),))</f>
        <v/>
      </c>
      <c r="D13882">
        <f>IFERROR(Table7[[#This Row],[United States 10y]]-Table7[[#This Row],[United States 3y]],#N/A)</f>
        <v/>
      </c>
    </row>
    <row r="13883">
      <c r="A13883" s="6">
        <f>Database!$A15968</f>
        <v/>
      </c>
      <c r="B13883">
        <f>IF(VLOOKUP(Table7[[#This Row],[Date]],Database!$A:$C,MATCH($B$1,Database!$A$1:$C$1,),)=0,#N/A,VLOOKUP(Table7[[#This Row],[Date]],Database!$A:$C,MATCH($B$1,Database!$A$1:$C$1,),))</f>
        <v/>
      </c>
      <c r="C13883">
        <f>IF(VLOOKUP(Table7[[#This Row],[Date]],Database!$A:$C,MATCH($C$1,Database!$A$1:$C$1,),)=0,#N/A,VLOOKUP(Table7[[#This Row],[Date]],Database!$A:$C,MATCH($C$1,Database!$A$1:$C$1,),))</f>
        <v/>
      </c>
      <c r="D13883">
        <f>IFERROR(Table7[[#This Row],[United States 10y]]-Table7[[#This Row],[United States 3y]],#N/A)</f>
        <v/>
      </c>
    </row>
    <row r="13884">
      <c r="A13884" s="6">
        <f>Database!$A15969</f>
        <v/>
      </c>
      <c r="B13884">
        <f>IF(VLOOKUP(Table7[[#This Row],[Date]],Database!$A:$C,MATCH($B$1,Database!$A$1:$C$1,),)=0,#N/A,VLOOKUP(Table7[[#This Row],[Date]],Database!$A:$C,MATCH($B$1,Database!$A$1:$C$1,),))</f>
        <v/>
      </c>
      <c r="C13884">
        <f>IF(VLOOKUP(Table7[[#This Row],[Date]],Database!$A:$C,MATCH($C$1,Database!$A$1:$C$1,),)=0,#N/A,VLOOKUP(Table7[[#This Row],[Date]],Database!$A:$C,MATCH($C$1,Database!$A$1:$C$1,),))</f>
        <v/>
      </c>
      <c r="D13884">
        <f>IFERROR(Table7[[#This Row],[United States 10y]]-Table7[[#This Row],[United States 3y]],#N/A)</f>
        <v/>
      </c>
    </row>
    <row r="13885">
      <c r="A13885" s="6">
        <f>Database!$A15970</f>
        <v/>
      </c>
      <c r="B13885">
        <f>IF(VLOOKUP(Table7[[#This Row],[Date]],Database!$A:$C,MATCH($B$1,Database!$A$1:$C$1,),)=0,#N/A,VLOOKUP(Table7[[#This Row],[Date]],Database!$A:$C,MATCH($B$1,Database!$A$1:$C$1,),))</f>
        <v/>
      </c>
      <c r="C13885">
        <f>IF(VLOOKUP(Table7[[#This Row],[Date]],Database!$A:$C,MATCH($C$1,Database!$A$1:$C$1,),)=0,#N/A,VLOOKUP(Table7[[#This Row],[Date]],Database!$A:$C,MATCH($C$1,Database!$A$1:$C$1,),))</f>
        <v/>
      </c>
      <c r="D13885">
        <f>IFERROR(Table7[[#This Row],[United States 10y]]-Table7[[#This Row],[United States 3y]],#N/A)</f>
        <v/>
      </c>
    </row>
    <row r="13886">
      <c r="A13886" s="6">
        <f>Database!$A15971</f>
        <v/>
      </c>
      <c r="B13886">
        <f>IF(VLOOKUP(Table7[[#This Row],[Date]],Database!$A:$C,MATCH($B$1,Database!$A$1:$C$1,),)=0,#N/A,VLOOKUP(Table7[[#This Row],[Date]],Database!$A:$C,MATCH($B$1,Database!$A$1:$C$1,),))</f>
        <v/>
      </c>
      <c r="C13886">
        <f>IF(VLOOKUP(Table7[[#This Row],[Date]],Database!$A:$C,MATCH($C$1,Database!$A$1:$C$1,),)=0,#N/A,VLOOKUP(Table7[[#This Row],[Date]],Database!$A:$C,MATCH($C$1,Database!$A$1:$C$1,),))</f>
        <v/>
      </c>
      <c r="D13886">
        <f>IFERROR(Table7[[#This Row],[United States 10y]]-Table7[[#This Row],[United States 3y]],#N/A)</f>
        <v/>
      </c>
    </row>
    <row r="13887">
      <c r="A13887" s="6">
        <f>Database!$A15972</f>
        <v/>
      </c>
      <c r="B13887">
        <f>IF(VLOOKUP(Table7[[#This Row],[Date]],Database!$A:$C,MATCH($B$1,Database!$A$1:$C$1,),)=0,#N/A,VLOOKUP(Table7[[#This Row],[Date]],Database!$A:$C,MATCH($B$1,Database!$A$1:$C$1,),))</f>
        <v/>
      </c>
      <c r="C13887">
        <f>IF(VLOOKUP(Table7[[#This Row],[Date]],Database!$A:$C,MATCH($C$1,Database!$A$1:$C$1,),)=0,#N/A,VLOOKUP(Table7[[#This Row],[Date]],Database!$A:$C,MATCH($C$1,Database!$A$1:$C$1,),))</f>
        <v/>
      </c>
      <c r="D13887">
        <f>IFERROR(Table7[[#This Row],[United States 10y]]-Table7[[#This Row],[United States 3y]],#N/A)</f>
        <v/>
      </c>
    </row>
    <row r="13888">
      <c r="A13888" s="6">
        <f>Database!$A15973</f>
        <v/>
      </c>
      <c r="B13888">
        <f>IF(VLOOKUP(Table7[[#This Row],[Date]],Database!$A:$C,MATCH($B$1,Database!$A$1:$C$1,),)=0,#N/A,VLOOKUP(Table7[[#This Row],[Date]],Database!$A:$C,MATCH($B$1,Database!$A$1:$C$1,),))</f>
        <v/>
      </c>
      <c r="C13888">
        <f>IF(VLOOKUP(Table7[[#This Row],[Date]],Database!$A:$C,MATCH($C$1,Database!$A$1:$C$1,),)=0,#N/A,VLOOKUP(Table7[[#This Row],[Date]],Database!$A:$C,MATCH($C$1,Database!$A$1:$C$1,),))</f>
        <v/>
      </c>
      <c r="D13888">
        <f>IFERROR(Table7[[#This Row],[United States 10y]]-Table7[[#This Row],[United States 3y]],#N/A)</f>
        <v/>
      </c>
    </row>
    <row r="13889">
      <c r="A13889" s="6">
        <f>Database!$A15974</f>
        <v/>
      </c>
      <c r="B13889">
        <f>IF(VLOOKUP(Table7[[#This Row],[Date]],Database!$A:$C,MATCH($B$1,Database!$A$1:$C$1,),)=0,#N/A,VLOOKUP(Table7[[#This Row],[Date]],Database!$A:$C,MATCH($B$1,Database!$A$1:$C$1,),))</f>
        <v/>
      </c>
      <c r="C13889">
        <f>IF(VLOOKUP(Table7[[#This Row],[Date]],Database!$A:$C,MATCH($C$1,Database!$A$1:$C$1,),)=0,#N/A,VLOOKUP(Table7[[#This Row],[Date]],Database!$A:$C,MATCH($C$1,Database!$A$1:$C$1,),))</f>
        <v/>
      </c>
      <c r="D13889">
        <f>IFERROR(Table7[[#This Row],[United States 10y]]-Table7[[#This Row],[United States 3y]],#N/A)</f>
        <v/>
      </c>
    </row>
    <row r="13890">
      <c r="A13890" s="6">
        <f>Database!$A15975</f>
        <v/>
      </c>
      <c r="B13890">
        <f>IF(VLOOKUP(Table7[[#This Row],[Date]],Database!$A:$C,MATCH($B$1,Database!$A$1:$C$1,),)=0,#N/A,VLOOKUP(Table7[[#This Row],[Date]],Database!$A:$C,MATCH($B$1,Database!$A$1:$C$1,),))</f>
        <v/>
      </c>
      <c r="C13890">
        <f>IF(VLOOKUP(Table7[[#This Row],[Date]],Database!$A:$C,MATCH($C$1,Database!$A$1:$C$1,),)=0,#N/A,VLOOKUP(Table7[[#This Row],[Date]],Database!$A:$C,MATCH($C$1,Database!$A$1:$C$1,),))</f>
        <v/>
      </c>
      <c r="D13890">
        <f>IFERROR(Table7[[#This Row],[United States 10y]]-Table7[[#This Row],[United States 3y]],#N/A)</f>
        <v/>
      </c>
    </row>
    <row r="13891">
      <c r="A13891" s="6">
        <f>Database!$A15976</f>
        <v/>
      </c>
      <c r="B13891">
        <f>IF(VLOOKUP(Table7[[#This Row],[Date]],Database!$A:$C,MATCH($B$1,Database!$A$1:$C$1,),)=0,#N/A,VLOOKUP(Table7[[#This Row],[Date]],Database!$A:$C,MATCH($B$1,Database!$A$1:$C$1,),))</f>
        <v/>
      </c>
      <c r="C13891">
        <f>IF(VLOOKUP(Table7[[#This Row],[Date]],Database!$A:$C,MATCH($C$1,Database!$A$1:$C$1,),)=0,#N/A,VLOOKUP(Table7[[#This Row],[Date]],Database!$A:$C,MATCH($C$1,Database!$A$1:$C$1,),))</f>
        <v/>
      </c>
      <c r="D13891">
        <f>IFERROR(Table7[[#This Row],[United States 10y]]-Table7[[#This Row],[United States 3y]],#N/A)</f>
        <v/>
      </c>
    </row>
    <row r="13892">
      <c r="A13892" s="6">
        <f>Database!$A15977</f>
        <v/>
      </c>
      <c r="B13892">
        <f>IF(VLOOKUP(Table7[[#This Row],[Date]],Database!$A:$C,MATCH($B$1,Database!$A$1:$C$1,),)=0,#N/A,VLOOKUP(Table7[[#This Row],[Date]],Database!$A:$C,MATCH($B$1,Database!$A$1:$C$1,),))</f>
        <v/>
      </c>
      <c r="C13892">
        <f>IF(VLOOKUP(Table7[[#This Row],[Date]],Database!$A:$C,MATCH($C$1,Database!$A$1:$C$1,),)=0,#N/A,VLOOKUP(Table7[[#This Row],[Date]],Database!$A:$C,MATCH($C$1,Database!$A$1:$C$1,),))</f>
        <v/>
      </c>
      <c r="D13892">
        <f>IFERROR(Table7[[#This Row],[United States 10y]]-Table7[[#This Row],[United States 3y]],#N/A)</f>
        <v/>
      </c>
    </row>
    <row r="13893">
      <c r="A13893" s="6">
        <f>Database!$A15978</f>
        <v/>
      </c>
      <c r="B13893">
        <f>IF(VLOOKUP(Table7[[#This Row],[Date]],Database!$A:$C,MATCH($B$1,Database!$A$1:$C$1,),)=0,#N/A,VLOOKUP(Table7[[#This Row],[Date]],Database!$A:$C,MATCH($B$1,Database!$A$1:$C$1,),))</f>
        <v/>
      </c>
      <c r="C13893">
        <f>IF(VLOOKUP(Table7[[#This Row],[Date]],Database!$A:$C,MATCH($C$1,Database!$A$1:$C$1,),)=0,#N/A,VLOOKUP(Table7[[#This Row],[Date]],Database!$A:$C,MATCH($C$1,Database!$A$1:$C$1,),))</f>
        <v/>
      </c>
      <c r="D13893">
        <f>IFERROR(Table7[[#This Row],[United States 10y]]-Table7[[#This Row],[United States 3y]],#N/A)</f>
        <v/>
      </c>
    </row>
    <row r="13894">
      <c r="A13894" s="6">
        <f>Database!$A15979</f>
        <v/>
      </c>
      <c r="B13894">
        <f>IF(VLOOKUP(Table7[[#This Row],[Date]],Database!$A:$C,MATCH($B$1,Database!$A$1:$C$1,),)=0,#N/A,VLOOKUP(Table7[[#This Row],[Date]],Database!$A:$C,MATCH($B$1,Database!$A$1:$C$1,),))</f>
        <v/>
      </c>
      <c r="C13894">
        <f>IF(VLOOKUP(Table7[[#This Row],[Date]],Database!$A:$C,MATCH($C$1,Database!$A$1:$C$1,),)=0,#N/A,VLOOKUP(Table7[[#This Row],[Date]],Database!$A:$C,MATCH($C$1,Database!$A$1:$C$1,),))</f>
        <v/>
      </c>
      <c r="D13894">
        <f>IFERROR(Table7[[#This Row],[United States 10y]]-Table7[[#This Row],[United States 3y]],#N/A)</f>
        <v/>
      </c>
    </row>
    <row r="13895">
      <c r="A13895" s="6">
        <f>Database!$A15980</f>
        <v/>
      </c>
      <c r="B13895">
        <f>IF(VLOOKUP(Table7[[#This Row],[Date]],Database!$A:$C,MATCH($B$1,Database!$A$1:$C$1,),)=0,#N/A,VLOOKUP(Table7[[#This Row],[Date]],Database!$A:$C,MATCH($B$1,Database!$A$1:$C$1,),))</f>
        <v/>
      </c>
      <c r="C13895">
        <f>IF(VLOOKUP(Table7[[#This Row],[Date]],Database!$A:$C,MATCH($C$1,Database!$A$1:$C$1,),)=0,#N/A,VLOOKUP(Table7[[#This Row],[Date]],Database!$A:$C,MATCH($C$1,Database!$A$1:$C$1,),))</f>
        <v/>
      </c>
      <c r="D13895">
        <f>IFERROR(Table7[[#This Row],[United States 10y]]-Table7[[#This Row],[United States 3y]],#N/A)</f>
        <v/>
      </c>
    </row>
    <row r="13896">
      <c r="A13896" s="6">
        <f>Database!$A15981</f>
        <v/>
      </c>
      <c r="B13896">
        <f>IF(VLOOKUP(Table7[[#This Row],[Date]],Database!$A:$C,MATCH($B$1,Database!$A$1:$C$1,),)=0,#N/A,VLOOKUP(Table7[[#This Row],[Date]],Database!$A:$C,MATCH($B$1,Database!$A$1:$C$1,),))</f>
        <v/>
      </c>
      <c r="C13896">
        <f>IF(VLOOKUP(Table7[[#This Row],[Date]],Database!$A:$C,MATCH($C$1,Database!$A$1:$C$1,),)=0,#N/A,VLOOKUP(Table7[[#This Row],[Date]],Database!$A:$C,MATCH($C$1,Database!$A$1:$C$1,),))</f>
        <v/>
      </c>
      <c r="D13896">
        <f>IFERROR(Table7[[#This Row],[United States 10y]]-Table7[[#This Row],[United States 3y]],#N/A)</f>
        <v/>
      </c>
    </row>
    <row r="13897">
      <c r="A13897" s="6">
        <f>Database!$A15982</f>
        <v/>
      </c>
      <c r="B13897">
        <f>IF(VLOOKUP(Table7[[#This Row],[Date]],Database!$A:$C,MATCH($B$1,Database!$A$1:$C$1,),)=0,#N/A,VLOOKUP(Table7[[#This Row],[Date]],Database!$A:$C,MATCH($B$1,Database!$A$1:$C$1,),))</f>
        <v/>
      </c>
      <c r="C13897">
        <f>IF(VLOOKUP(Table7[[#This Row],[Date]],Database!$A:$C,MATCH($C$1,Database!$A$1:$C$1,),)=0,#N/A,VLOOKUP(Table7[[#This Row],[Date]],Database!$A:$C,MATCH($C$1,Database!$A$1:$C$1,),))</f>
        <v/>
      </c>
      <c r="D13897">
        <f>IFERROR(Table7[[#This Row],[United States 10y]]-Table7[[#This Row],[United States 3y]],#N/A)</f>
        <v/>
      </c>
    </row>
    <row r="13898">
      <c r="A13898" s="6">
        <f>Database!$A15983</f>
        <v/>
      </c>
      <c r="B13898">
        <f>IF(VLOOKUP(Table7[[#This Row],[Date]],Database!$A:$C,MATCH($B$1,Database!$A$1:$C$1,),)=0,#N/A,VLOOKUP(Table7[[#This Row],[Date]],Database!$A:$C,MATCH($B$1,Database!$A$1:$C$1,),))</f>
        <v/>
      </c>
      <c r="C13898">
        <f>IF(VLOOKUP(Table7[[#This Row],[Date]],Database!$A:$C,MATCH($C$1,Database!$A$1:$C$1,),)=0,#N/A,VLOOKUP(Table7[[#This Row],[Date]],Database!$A:$C,MATCH($C$1,Database!$A$1:$C$1,),))</f>
        <v/>
      </c>
      <c r="D13898">
        <f>IFERROR(Table7[[#This Row],[United States 10y]]-Table7[[#This Row],[United States 3y]],#N/A)</f>
        <v/>
      </c>
    </row>
    <row r="13899">
      <c r="A13899" s="6">
        <f>Database!$A15984</f>
        <v/>
      </c>
      <c r="B13899">
        <f>IF(VLOOKUP(Table7[[#This Row],[Date]],Database!$A:$C,MATCH($B$1,Database!$A$1:$C$1,),)=0,#N/A,VLOOKUP(Table7[[#This Row],[Date]],Database!$A:$C,MATCH($B$1,Database!$A$1:$C$1,),))</f>
        <v/>
      </c>
      <c r="C13899">
        <f>IF(VLOOKUP(Table7[[#This Row],[Date]],Database!$A:$C,MATCH($C$1,Database!$A$1:$C$1,),)=0,#N/A,VLOOKUP(Table7[[#This Row],[Date]],Database!$A:$C,MATCH($C$1,Database!$A$1:$C$1,),))</f>
        <v/>
      </c>
      <c r="D13899">
        <f>IFERROR(Table7[[#This Row],[United States 10y]]-Table7[[#This Row],[United States 3y]],#N/A)</f>
        <v/>
      </c>
    </row>
    <row r="13900">
      <c r="A13900" s="6">
        <f>Database!$A15985</f>
        <v/>
      </c>
      <c r="B13900">
        <f>IF(VLOOKUP(Table7[[#This Row],[Date]],Database!$A:$C,MATCH($B$1,Database!$A$1:$C$1,),)=0,#N/A,VLOOKUP(Table7[[#This Row],[Date]],Database!$A:$C,MATCH($B$1,Database!$A$1:$C$1,),))</f>
        <v/>
      </c>
      <c r="C13900">
        <f>IF(VLOOKUP(Table7[[#This Row],[Date]],Database!$A:$C,MATCH($C$1,Database!$A$1:$C$1,),)=0,#N/A,VLOOKUP(Table7[[#This Row],[Date]],Database!$A:$C,MATCH($C$1,Database!$A$1:$C$1,),))</f>
        <v/>
      </c>
      <c r="D13900">
        <f>IFERROR(Table7[[#This Row],[United States 10y]]-Table7[[#This Row],[United States 3y]],#N/A)</f>
        <v/>
      </c>
    </row>
    <row r="13901">
      <c r="A13901" s="6">
        <f>Database!$A15986</f>
        <v/>
      </c>
      <c r="B13901">
        <f>IF(VLOOKUP(Table7[[#This Row],[Date]],Database!$A:$C,MATCH($B$1,Database!$A$1:$C$1,),)=0,#N/A,VLOOKUP(Table7[[#This Row],[Date]],Database!$A:$C,MATCH($B$1,Database!$A$1:$C$1,),))</f>
        <v/>
      </c>
      <c r="C13901">
        <f>IF(VLOOKUP(Table7[[#This Row],[Date]],Database!$A:$C,MATCH($C$1,Database!$A$1:$C$1,),)=0,#N/A,VLOOKUP(Table7[[#This Row],[Date]],Database!$A:$C,MATCH($C$1,Database!$A$1:$C$1,),))</f>
        <v/>
      </c>
      <c r="D13901">
        <f>IFERROR(Table7[[#This Row],[United States 10y]]-Table7[[#This Row],[United States 3y]],#N/A)</f>
        <v/>
      </c>
    </row>
    <row r="13902">
      <c r="A13902" s="6">
        <f>Database!$A15987</f>
        <v/>
      </c>
      <c r="B13902">
        <f>IF(VLOOKUP(Table7[[#This Row],[Date]],Database!$A:$C,MATCH($B$1,Database!$A$1:$C$1,),)=0,#N/A,VLOOKUP(Table7[[#This Row],[Date]],Database!$A:$C,MATCH($B$1,Database!$A$1:$C$1,),))</f>
        <v/>
      </c>
      <c r="C13902">
        <f>IF(VLOOKUP(Table7[[#This Row],[Date]],Database!$A:$C,MATCH($C$1,Database!$A$1:$C$1,),)=0,#N/A,VLOOKUP(Table7[[#This Row],[Date]],Database!$A:$C,MATCH($C$1,Database!$A$1:$C$1,),))</f>
        <v/>
      </c>
      <c r="D13902">
        <f>IFERROR(Table7[[#This Row],[United States 10y]]-Table7[[#This Row],[United States 3y]],#N/A)</f>
        <v/>
      </c>
    </row>
    <row r="13903">
      <c r="A13903" s="6">
        <f>Database!$A15988</f>
        <v/>
      </c>
      <c r="B13903">
        <f>IF(VLOOKUP(Table7[[#This Row],[Date]],Database!$A:$C,MATCH($B$1,Database!$A$1:$C$1,),)=0,#N/A,VLOOKUP(Table7[[#This Row],[Date]],Database!$A:$C,MATCH($B$1,Database!$A$1:$C$1,),))</f>
        <v/>
      </c>
      <c r="C13903">
        <f>IF(VLOOKUP(Table7[[#This Row],[Date]],Database!$A:$C,MATCH($C$1,Database!$A$1:$C$1,),)=0,#N/A,VLOOKUP(Table7[[#This Row],[Date]],Database!$A:$C,MATCH($C$1,Database!$A$1:$C$1,),))</f>
        <v/>
      </c>
      <c r="D13903">
        <f>IFERROR(Table7[[#This Row],[United States 10y]]-Table7[[#This Row],[United States 3y]],#N/A)</f>
        <v/>
      </c>
    </row>
    <row r="13904">
      <c r="A13904" s="6">
        <f>Database!$A15989</f>
        <v/>
      </c>
      <c r="B13904">
        <f>IF(VLOOKUP(Table7[[#This Row],[Date]],Database!$A:$C,MATCH($B$1,Database!$A$1:$C$1,),)=0,#N/A,VLOOKUP(Table7[[#This Row],[Date]],Database!$A:$C,MATCH($B$1,Database!$A$1:$C$1,),))</f>
        <v/>
      </c>
      <c r="C13904">
        <f>IF(VLOOKUP(Table7[[#This Row],[Date]],Database!$A:$C,MATCH($C$1,Database!$A$1:$C$1,),)=0,#N/A,VLOOKUP(Table7[[#This Row],[Date]],Database!$A:$C,MATCH($C$1,Database!$A$1:$C$1,),))</f>
        <v/>
      </c>
      <c r="D13904">
        <f>IFERROR(Table7[[#This Row],[United States 10y]]-Table7[[#This Row],[United States 3y]],#N/A)</f>
        <v/>
      </c>
    </row>
    <row r="13905">
      <c r="A13905" s="6">
        <f>Database!$A15990</f>
        <v/>
      </c>
      <c r="B13905">
        <f>IF(VLOOKUP(Table7[[#This Row],[Date]],Database!$A:$C,MATCH($B$1,Database!$A$1:$C$1,),)=0,#N/A,VLOOKUP(Table7[[#This Row],[Date]],Database!$A:$C,MATCH($B$1,Database!$A$1:$C$1,),))</f>
        <v/>
      </c>
      <c r="C13905">
        <f>IF(VLOOKUP(Table7[[#This Row],[Date]],Database!$A:$C,MATCH($C$1,Database!$A$1:$C$1,),)=0,#N/A,VLOOKUP(Table7[[#This Row],[Date]],Database!$A:$C,MATCH($C$1,Database!$A$1:$C$1,),))</f>
        <v/>
      </c>
      <c r="D13905">
        <f>IFERROR(Table7[[#This Row],[United States 10y]]-Table7[[#This Row],[United States 3y]],#N/A)</f>
        <v/>
      </c>
    </row>
    <row r="13906">
      <c r="A13906" s="6">
        <f>Database!$A15991</f>
        <v/>
      </c>
      <c r="B13906">
        <f>IF(VLOOKUP(Table7[[#This Row],[Date]],Database!$A:$C,MATCH($B$1,Database!$A$1:$C$1,),)=0,#N/A,VLOOKUP(Table7[[#This Row],[Date]],Database!$A:$C,MATCH($B$1,Database!$A$1:$C$1,),))</f>
        <v/>
      </c>
      <c r="C13906">
        <f>IF(VLOOKUP(Table7[[#This Row],[Date]],Database!$A:$C,MATCH($C$1,Database!$A$1:$C$1,),)=0,#N/A,VLOOKUP(Table7[[#This Row],[Date]],Database!$A:$C,MATCH($C$1,Database!$A$1:$C$1,),))</f>
        <v/>
      </c>
      <c r="D13906">
        <f>IFERROR(Table7[[#This Row],[United States 10y]]-Table7[[#This Row],[United States 3y]],#N/A)</f>
        <v/>
      </c>
    </row>
    <row r="13907">
      <c r="A13907" s="6">
        <f>Database!$A15992</f>
        <v/>
      </c>
      <c r="B13907">
        <f>IF(VLOOKUP(Table7[[#This Row],[Date]],Database!$A:$C,MATCH($B$1,Database!$A$1:$C$1,),)=0,#N/A,VLOOKUP(Table7[[#This Row],[Date]],Database!$A:$C,MATCH($B$1,Database!$A$1:$C$1,),))</f>
        <v/>
      </c>
      <c r="C13907">
        <f>IF(VLOOKUP(Table7[[#This Row],[Date]],Database!$A:$C,MATCH($C$1,Database!$A$1:$C$1,),)=0,#N/A,VLOOKUP(Table7[[#This Row],[Date]],Database!$A:$C,MATCH($C$1,Database!$A$1:$C$1,),))</f>
        <v/>
      </c>
      <c r="D13907">
        <f>IFERROR(Table7[[#This Row],[United States 10y]]-Table7[[#This Row],[United States 3y]],#N/A)</f>
        <v/>
      </c>
    </row>
    <row r="13908">
      <c r="A13908" s="6">
        <f>Database!$A15993</f>
        <v/>
      </c>
      <c r="B13908">
        <f>IF(VLOOKUP(Table7[[#This Row],[Date]],Database!$A:$C,MATCH($B$1,Database!$A$1:$C$1,),)=0,#N/A,VLOOKUP(Table7[[#This Row],[Date]],Database!$A:$C,MATCH($B$1,Database!$A$1:$C$1,),))</f>
        <v/>
      </c>
      <c r="C13908">
        <f>IF(VLOOKUP(Table7[[#This Row],[Date]],Database!$A:$C,MATCH($C$1,Database!$A$1:$C$1,),)=0,#N/A,VLOOKUP(Table7[[#This Row],[Date]],Database!$A:$C,MATCH($C$1,Database!$A$1:$C$1,),))</f>
        <v/>
      </c>
      <c r="D13908">
        <f>IFERROR(Table7[[#This Row],[United States 10y]]-Table7[[#This Row],[United States 3y]],#N/A)</f>
        <v/>
      </c>
    </row>
    <row r="13909">
      <c r="A13909" s="6">
        <f>Database!$A15994</f>
        <v/>
      </c>
      <c r="B13909">
        <f>IF(VLOOKUP(Table7[[#This Row],[Date]],Database!$A:$C,MATCH($B$1,Database!$A$1:$C$1,),)=0,#N/A,VLOOKUP(Table7[[#This Row],[Date]],Database!$A:$C,MATCH($B$1,Database!$A$1:$C$1,),))</f>
        <v/>
      </c>
      <c r="C13909">
        <f>IF(VLOOKUP(Table7[[#This Row],[Date]],Database!$A:$C,MATCH($C$1,Database!$A$1:$C$1,),)=0,#N/A,VLOOKUP(Table7[[#This Row],[Date]],Database!$A:$C,MATCH($C$1,Database!$A$1:$C$1,),))</f>
        <v/>
      </c>
      <c r="D13909">
        <f>IFERROR(Table7[[#This Row],[United States 10y]]-Table7[[#This Row],[United States 3y]],#N/A)</f>
        <v/>
      </c>
    </row>
    <row r="13910">
      <c r="A13910" s="6">
        <f>Database!$A15995</f>
        <v/>
      </c>
      <c r="B13910">
        <f>IF(VLOOKUP(Table7[[#This Row],[Date]],Database!$A:$C,MATCH($B$1,Database!$A$1:$C$1,),)=0,#N/A,VLOOKUP(Table7[[#This Row],[Date]],Database!$A:$C,MATCH($B$1,Database!$A$1:$C$1,),))</f>
        <v/>
      </c>
      <c r="C13910">
        <f>IF(VLOOKUP(Table7[[#This Row],[Date]],Database!$A:$C,MATCH($C$1,Database!$A$1:$C$1,),)=0,#N/A,VLOOKUP(Table7[[#This Row],[Date]],Database!$A:$C,MATCH($C$1,Database!$A$1:$C$1,),))</f>
        <v/>
      </c>
      <c r="D13910">
        <f>IFERROR(Table7[[#This Row],[United States 10y]]-Table7[[#This Row],[United States 3y]],#N/A)</f>
        <v/>
      </c>
    </row>
    <row r="13911">
      <c r="A13911" s="6">
        <f>Database!$A15996</f>
        <v/>
      </c>
      <c r="B13911">
        <f>IF(VLOOKUP(Table7[[#This Row],[Date]],Database!$A:$C,MATCH($B$1,Database!$A$1:$C$1,),)=0,#N/A,VLOOKUP(Table7[[#This Row],[Date]],Database!$A:$C,MATCH($B$1,Database!$A$1:$C$1,),))</f>
        <v/>
      </c>
      <c r="C13911">
        <f>IF(VLOOKUP(Table7[[#This Row],[Date]],Database!$A:$C,MATCH($C$1,Database!$A$1:$C$1,),)=0,#N/A,VLOOKUP(Table7[[#This Row],[Date]],Database!$A:$C,MATCH($C$1,Database!$A$1:$C$1,),))</f>
        <v/>
      </c>
      <c r="D13911">
        <f>IFERROR(Table7[[#This Row],[United States 10y]]-Table7[[#This Row],[United States 3y]],#N/A)</f>
        <v/>
      </c>
    </row>
    <row r="13912">
      <c r="A13912" s="6">
        <f>Database!$A15997</f>
        <v/>
      </c>
      <c r="B13912">
        <f>IF(VLOOKUP(Table7[[#This Row],[Date]],Database!$A:$C,MATCH($B$1,Database!$A$1:$C$1,),)=0,#N/A,VLOOKUP(Table7[[#This Row],[Date]],Database!$A:$C,MATCH($B$1,Database!$A$1:$C$1,),))</f>
        <v/>
      </c>
      <c r="C13912">
        <f>IF(VLOOKUP(Table7[[#This Row],[Date]],Database!$A:$C,MATCH($C$1,Database!$A$1:$C$1,),)=0,#N/A,VLOOKUP(Table7[[#This Row],[Date]],Database!$A:$C,MATCH($C$1,Database!$A$1:$C$1,),))</f>
        <v/>
      </c>
      <c r="D13912">
        <f>IFERROR(Table7[[#This Row],[United States 10y]]-Table7[[#This Row],[United States 3y]],#N/A)</f>
        <v/>
      </c>
    </row>
    <row r="13913">
      <c r="A13913" s="6">
        <f>Database!$A15998</f>
        <v/>
      </c>
      <c r="B13913">
        <f>IF(VLOOKUP(Table7[[#This Row],[Date]],Database!$A:$C,MATCH($B$1,Database!$A$1:$C$1,),)=0,#N/A,VLOOKUP(Table7[[#This Row],[Date]],Database!$A:$C,MATCH($B$1,Database!$A$1:$C$1,),))</f>
        <v/>
      </c>
      <c r="C13913">
        <f>IF(VLOOKUP(Table7[[#This Row],[Date]],Database!$A:$C,MATCH($C$1,Database!$A$1:$C$1,),)=0,#N/A,VLOOKUP(Table7[[#This Row],[Date]],Database!$A:$C,MATCH($C$1,Database!$A$1:$C$1,),))</f>
        <v/>
      </c>
      <c r="D13913">
        <f>IFERROR(Table7[[#This Row],[United States 10y]]-Table7[[#This Row],[United States 3y]],#N/A)</f>
        <v/>
      </c>
    </row>
    <row r="13914">
      <c r="A13914" s="6">
        <f>Database!$A15999</f>
        <v/>
      </c>
      <c r="B13914">
        <f>IF(VLOOKUP(Table7[[#This Row],[Date]],Database!$A:$C,MATCH($B$1,Database!$A$1:$C$1,),)=0,#N/A,VLOOKUP(Table7[[#This Row],[Date]],Database!$A:$C,MATCH($B$1,Database!$A$1:$C$1,),))</f>
        <v/>
      </c>
      <c r="C13914">
        <f>IF(VLOOKUP(Table7[[#This Row],[Date]],Database!$A:$C,MATCH($C$1,Database!$A$1:$C$1,),)=0,#N/A,VLOOKUP(Table7[[#This Row],[Date]],Database!$A:$C,MATCH($C$1,Database!$A$1:$C$1,),))</f>
        <v/>
      </c>
      <c r="D13914">
        <f>IFERROR(Table7[[#This Row],[United States 10y]]-Table7[[#This Row],[United States 3y]],#N/A)</f>
        <v/>
      </c>
    </row>
    <row r="13915">
      <c r="A13915" s="6">
        <f>Database!$A16000</f>
        <v/>
      </c>
      <c r="B13915">
        <f>IF(VLOOKUP(Table7[[#This Row],[Date]],Database!$A:$C,MATCH($B$1,Database!$A$1:$C$1,),)=0,#N/A,VLOOKUP(Table7[[#This Row],[Date]],Database!$A:$C,MATCH($B$1,Database!$A$1:$C$1,),))</f>
        <v/>
      </c>
      <c r="C13915">
        <f>IF(VLOOKUP(Table7[[#This Row],[Date]],Database!$A:$C,MATCH($C$1,Database!$A$1:$C$1,),)=0,#N/A,VLOOKUP(Table7[[#This Row],[Date]],Database!$A:$C,MATCH($C$1,Database!$A$1:$C$1,),))</f>
        <v/>
      </c>
      <c r="D13915">
        <f>IFERROR(Table7[[#This Row],[United States 10y]]-Table7[[#This Row],[United States 3y]],#N/A)</f>
        <v/>
      </c>
    </row>
    <row r="13916">
      <c r="A13916" s="6">
        <f>Database!$A16001</f>
        <v/>
      </c>
      <c r="B13916">
        <f>IF(VLOOKUP(Table7[[#This Row],[Date]],Database!$A:$C,MATCH($B$1,Database!$A$1:$C$1,),)=0,#N/A,VLOOKUP(Table7[[#This Row],[Date]],Database!$A:$C,MATCH($B$1,Database!$A$1:$C$1,),))</f>
        <v/>
      </c>
      <c r="C13916">
        <f>IF(VLOOKUP(Table7[[#This Row],[Date]],Database!$A:$C,MATCH($C$1,Database!$A$1:$C$1,),)=0,#N/A,VLOOKUP(Table7[[#This Row],[Date]],Database!$A:$C,MATCH($C$1,Database!$A$1:$C$1,),))</f>
        <v/>
      </c>
      <c r="D13916">
        <f>IFERROR(Table7[[#This Row],[United States 10y]]-Table7[[#This Row],[United States 3y]],#N/A)</f>
        <v/>
      </c>
    </row>
    <row r="13917">
      <c r="A13917" s="6">
        <f>Database!$A16002</f>
        <v/>
      </c>
      <c r="B13917">
        <f>IF(VLOOKUP(Table7[[#This Row],[Date]],Database!$A:$C,MATCH($B$1,Database!$A$1:$C$1,),)=0,#N/A,VLOOKUP(Table7[[#This Row],[Date]],Database!$A:$C,MATCH($B$1,Database!$A$1:$C$1,),))</f>
        <v/>
      </c>
      <c r="C13917">
        <f>IF(VLOOKUP(Table7[[#This Row],[Date]],Database!$A:$C,MATCH($C$1,Database!$A$1:$C$1,),)=0,#N/A,VLOOKUP(Table7[[#This Row],[Date]],Database!$A:$C,MATCH($C$1,Database!$A$1:$C$1,),))</f>
        <v/>
      </c>
      <c r="D13917">
        <f>IFERROR(Table7[[#This Row],[United States 10y]]-Table7[[#This Row],[United States 3y]],#N/A)</f>
        <v/>
      </c>
    </row>
    <row r="13918">
      <c r="A13918" s="6">
        <f>Database!$A16003</f>
        <v/>
      </c>
      <c r="B13918">
        <f>IF(VLOOKUP(Table7[[#This Row],[Date]],Database!$A:$C,MATCH($B$1,Database!$A$1:$C$1,),)=0,#N/A,VLOOKUP(Table7[[#This Row],[Date]],Database!$A:$C,MATCH($B$1,Database!$A$1:$C$1,),))</f>
        <v/>
      </c>
      <c r="C13918">
        <f>IF(VLOOKUP(Table7[[#This Row],[Date]],Database!$A:$C,MATCH($C$1,Database!$A$1:$C$1,),)=0,#N/A,VLOOKUP(Table7[[#This Row],[Date]],Database!$A:$C,MATCH($C$1,Database!$A$1:$C$1,),))</f>
        <v/>
      </c>
      <c r="D13918">
        <f>IFERROR(Table7[[#This Row],[United States 10y]]-Table7[[#This Row],[United States 3y]],#N/A)</f>
        <v/>
      </c>
    </row>
    <row r="13919">
      <c r="A13919" s="6">
        <f>Database!$A16004</f>
        <v/>
      </c>
      <c r="B13919">
        <f>IF(VLOOKUP(Table7[[#This Row],[Date]],Database!$A:$C,MATCH($B$1,Database!$A$1:$C$1,),)=0,#N/A,VLOOKUP(Table7[[#This Row],[Date]],Database!$A:$C,MATCH($B$1,Database!$A$1:$C$1,),))</f>
        <v/>
      </c>
      <c r="C13919">
        <f>IF(VLOOKUP(Table7[[#This Row],[Date]],Database!$A:$C,MATCH($C$1,Database!$A$1:$C$1,),)=0,#N/A,VLOOKUP(Table7[[#This Row],[Date]],Database!$A:$C,MATCH($C$1,Database!$A$1:$C$1,),))</f>
        <v/>
      </c>
      <c r="D13919">
        <f>IFERROR(Table7[[#This Row],[United States 10y]]-Table7[[#This Row],[United States 3y]],#N/A)</f>
        <v/>
      </c>
    </row>
    <row r="13920">
      <c r="A13920" s="6">
        <f>Database!$A16005</f>
        <v/>
      </c>
      <c r="B13920">
        <f>IF(VLOOKUP(Table7[[#This Row],[Date]],Database!$A:$C,MATCH($B$1,Database!$A$1:$C$1,),)=0,#N/A,VLOOKUP(Table7[[#This Row],[Date]],Database!$A:$C,MATCH($B$1,Database!$A$1:$C$1,),))</f>
        <v/>
      </c>
      <c r="C13920">
        <f>IF(VLOOKUP(Table7[[#This Row],[Date]],Database!$A:$C,MATCH($C$1,Database!$A$1:$C$1,),)=0,#N/A,VLOOKUP(Table7[[#This Row],[Date]],Database!$A:$C,MATCH($C$1,Database!$A$1:$C$1,),))</f>
        <v/>
      </c>
      <c r="D13920">
        <f>IFERROR(Table7[[#This Row],[United States 10y]]-Table7[[#This Row],[United States 3y]],#N/A)</f>
        <v/>
      </c>
    </row>
    <row r="13921">
      <c r="A13921" s="6">
        <f>Database!$A16006</f>
        <v/>
      </c>
      <c r="B13921">
        <f>IF(VLOOKUP(Table7[[#This Row],[Date]],Database!$A:$C,MATCH($B$1,Database!$A$1:$C$1,),)=0,#N/A,VLOOKUP(Table7[[#This Row],[Date]],Database!$A:$C,MATCH($B$1,Database!$A$1:$C$1,),))</f>
        <v/>
      </c>
      <c r="C13921">
        <f>IF(VLOOKUP(Table7[[#This Row],[Date]],Database!$A:$C,MATCH($C$1,Database!$A$1:$C$1,),)=0,#N/A,VLOOKUP(Table7[[#This Row],[Date]],Database!$A:$C,MATCH($C$1,Database!$A$1:$C$1,),))</f>
        <v/>
      </c>
      <c r="D13921">
        <f>IFERROR(Table7[[#This Row],[United States 10y]]-Table7[[#This Row],[United States 3y]],#N/A)</f>
        <v/>
      </c>
    </row>
    <row r="13922">
      <c r="A13922" s="6">
        <f>Database!$A16007</f>
        <v/>
      </c>
      <c r="B13922">
        <f>IF(VLOOKUP(Table7[[#This Row],[Date]],Database!$A:$C,MATCH($B$1,Database!$A$1:$C$1,),)=0,#N/A,VLOOKUP(Table7[[#This Row],[Date]],Database!$A:$C,MATCH($B$1,Database!$A$1:$C$1,),))</f>
        <v/>
      </c>
      <c r="C13922">
        <f>IF(VLOOKUP(Table7[[#This Row],[Date]],Database!$A:$C,MATCH($C$1,Database!$A$1:$C$1,),)=0,#N/A,VLOOKUP(Table7[[#This Row],[Date]],Database!$A:$C,MATCH($C$1,Database!$A$1:$C$1,),))</f>
        <v/>
      </c>
      <c r="D13922">
        <f>IFERROR(Table7[[#This Row],[United States 10y]]-Table7[[#This Row],[United States 3y]],#N/A)</f>
        <v/>
      </c>
    </row>
    <row r="13923">
      <c r="A13923" s="6">
        <f>Database!$A16008</f>
        <v/>
      </c>
      <c r="B13923">
        <f>IF(VLOOKUP(Table7[[#This Row],[Date]],Database!$A:$C,MATCH($B$1,Database!$A$1:$C$1,),)=0,#N/A,VLOOKUP(Table7[[#This Row],[Date]],Database!$A:$C,MATCH($B$1,Database!$A$1:$C$1,),))</f>
        <v/>
      </c>
      <c r="C13923">
        <f>IF(VLOOKUP(Table7[[#This Row],[Date]],Database!$A:$C,MATCH($C$1,Database!$A$1:$C$1,),)=0,#N/A,VLOOKUP(Table7[[#This Row],[Date]],Database!$A:$C,MATCH($C$1,Database!$A$1:$C$1,),))</f>
        <v/>
      </c>
      <c r="D13923">
        <f>IFERROR(Table7[[#This Row],[United States 10y]]-Table7[[#This Row],[United States 3y]],#N/A)</f>
        <v/>
      </c>
    </row>
    <row r="13924">
      <c r="A13924" s="6">
        <f>Database!$A16009</f>
        <v/>
      </c>
      <c r="B13924">
        <f>IF(VLOOKUP(Table7[[#This Row],[Date]],Database!$A:$C,MATCH($B$1,Database!$A$1:$C$1,),)=0,#N/A,VLOOKUP(Table7[[#This Row],[Date]],Database!$A:$C,MATCH($B$1,Database!$A$1:$C$1,),))</f>
        <v/>
      </c>
      <c r="C13924">
        <f>IF(VLOOKUP(Table7[[#This Row],[Date]],Database!$A:$C,MATCH($C$1,Database!$A$1:$C$1,),)=0,#N/A,VLOOKUP(Table7[[#This Row],[Date]],Database!$A:$C,MATCH($C$1,Database!$A$1:$C$1,),))</f>
        <v/>
      </c>
      <c r="D13924">
        <f>IFERROR(Table7[[#This Row],[United States 10y]]-Table7[[#This Row],[United States 3y]],#N/A)</f>
        <v/>
      </c>
    </row>
    <row r="13925">
      <c r="A13925" s="6">
        <f>Database!$A16010</f>
        <v/>
      </c>
      <c r="B13925">
        <f>IF(VLOOKUP(Table7[[#This Row],[Date]],Database!$A:$C,MATCH($B$1,Database!$A$1:$C$1,),)=0,#N/A,VLOOKUP(Table7[[#This Row],[Date]],Database!$A:$C,MATCH($B$1,Database!$A$1:$C$1,),))</f>
        <v/>
      </c>
      <c r="C13925">
        <f>IF(VLOOKUP(Table7[[#This Row],[Date]],Database!$A:$C,MATCH($C$1,Database!$A$1:$C$1,),)=0,#N/A,VLOOKUP(Table7[[#This Row],[Date]],Database!$A:$C,MATCH($C$1,Database!$A$1:$C$1,),))</f>
        <v/>
      </c>
      <c r="D13925">
        <f>IFERROR(Table7[[#This Row],[United States 10y]]-Table7[[#This Row],[United States 3y]],#N/A)</f>
        <v/>
      </c>
    </row>
    <row r="13926">
      <c r="A13926" s="6">
        <f>Database!$A16011</f>
        <v/>
      </c>
      <c r="B13926">
        <f>IF(VLOOKUP(Table7[[#This Row],[Date]],Database!$A:$C,MATCH($B$1,Database!$A$1:$C$1,),)=0,#N/A,VLOOKUP(Table7[[#This Row],[Date]],Database!$A:$C,MATCH($B$1,Database!$A$1:$C$1,),))</f>
        <v/>
      </c>
      <c r="C13926">
        <f>IF(VLOOKUP(Table7[[#This Row],[Date]],Database!$A:$C,MATCH($C$1,Database!$A$1:$C$1,),)=0,#N/A,VLOOKUP(Table7[[#This Row],[Date]],Database!$A:$C,MATCH($C$1,Database!$A$1:$C$1,),))</f>
        <v/>
      </c>
      <c r="D13926">
        <f>IFERROR(Table7[[#This Row],[United States 10y]]-Table7[[#This Row],[United States 3y]],#N/A)</f>
        <v/>
      </c>
    </row>
    <row r="13927">
      <c r="A13927" s="6">
        <f>Database!$A16012</f>
        <v/>
      </c>
      <c r="B13927">
        <f>IF(VLOOKUP(Table7[[#This Row],[Date]],Database!$A:$C,MATCH($B$1,Database!$A$1:$C$1,),)=0,#N/A,VLOOKUP(Table7[[#This Row],[Date]],Database!$A:$C,MATCH($B$1,Database!$A$1:$C$1,),))</f>
        <v/>
      </c>
      <c r="C13927">
        <f>IF(VLOOKUP(Table7[[#This Row],[Date]],Database!$A:$C,MATCH($C$1,Database!$A$1:$C$1,),)=0,#N/A,VLOOKUP(Table7[[#This Row],[Date]],Database!$A:$C,MATCH($C$1,Database!$A$1:$C$1,),))</f>
        <v/>
      </c>
      <c r="D13927">
        <f>IFERROR(Table7[[#This Row],[United States 10y]]-Table7[[#This Row],[United States 3y]],#N/A)</f>
        <v/>
      </c>
    </row>
    <row r="13928">
      <c r="A13928" s="6">
        <f>Database!$A16013</f>
        <v/>
      </c>
      <c r="B13928">
        <f>IF(VLOOKUP(Table7[[#This Row],[Date]],Database!$A:$C,MATCH($B$1,Database!$A$1:$C$1,),)=0,#N/A,VLOOKUP(Table7[[#This Row],[Date]],Database!$A:$C,MATCH($B$1,Database!$A$1:$C$1,),))</f>
        <v/>
      </c>
      <c r="C13928">
        <f>IF(VLOOKUP(Table7[[#This Row],[Date]],Database!$A:$C,MATCH($C$1,Database!$A$1:$C$1,),)=0,#N/A,VLOOKUP(Table7[[#This Row],[Date]],Database!$A:$C,MATCH($C$1,Database!$A$1:$C$1,),))</f>
        <v/>
      </c>
      <c r="D13928">
        <f>IFERROR(Table7[[#This Row],[United States 10y]]-Table7[[#This Row],[United States 3y]],#N/A)</f>
        <v/>
      </c>
    </row>
    <row r="13929">
      <c r="A13929" s="6">
        <f>Database!$A16014</f>
        <v/>
      </c>
      <c r="B13929">
        <f>IF(VLOOKUP(Table7[[#This Row],[Date]],Database!$A:$C,MATCH($B$1,Database!$A$1:$C$1,),)=0,#N/A,VLOOKUP(Table7[[#This Row],[Date]],Database!$A:$C,MATCH($B$1,Database!$A$1:$C$1,),))</f>
        <v/>
      </c>
      <c r="C13929">
        <f>IF(VLOOKUP(Table7[[#This Row],[Date]],Database!$A:$C,MATCH($C$1,Database!$A$1:$C$1,),)=0,#N/A,VLOOKUP(Table7[[#This Row],[Date]],Database!$A:$C,MATCH($C$1,Database!$A$1:$C$1,),))</f>
        <v/>
      </c>
      <c r="D13929">
        <f>IFERROR(Table7[[#This Row],[United States 10y]]-Table7[[#This Row],[United States 3y]],#N/A)</f>
        <v/>
      </c>
    </row>
    <row r="13930">
      <c r="A13930" s="6">
        <f>Database!$A16015</f>
        <v/>
      </c>
      <c r="B13930">
        <f>IF(VLOOKUP(Table7[[#This Row],[Date]],Database!$A:$C,MATCH($B$1,Database!$A$1:$C$1,),)=0,#N/A,VLOOKUP(Table7[[#This Row],[Date]],Database!$A:$C,MATCH($B$1,Database!$A$1:$C$1,),))</f>
        <v/>
      </c>
      <c r="C13930">
        <f>IF(VLOOKUP(Table7[[#This Row],[Date]],Database!$A:$C,MATCH($C$1,Database!$A$1:$C$1,),)=0,#N/A,VLOOKUP(Table7[[#This Row],[Date]],Database!$A:$C,MATCH($C$1,Database!$A$1:$C$1,),))</f>
        <v/>
      </c>
      <c r="D13930">
        <f>IFERROR(Table7[[#This Row],[United States 10y]]-Table7[[#This Row],[United States 3y]],#N/A)</f>
        <v/>
      </c>
    </row>
    <row r="13931">
      <c r="A13931" s="6">
        <f>Database!$A16016</f>
        <v/>
      </c>
      <c r="B13931">
        <f>IF(VLOOKUP(Table7[[#This Row],[Date]],Database!$A:$C,MATCH($B$1,Database!$A$1:$C$1,),)=0,#N/A,VLOOKUP(Table7[[#This Row],[Date]],Database!$A:$C,MATCH($B$1,Database!$A$1:$C$1,),))</f>
        <v/>
      </c>
      <c r="C13931">
        <f>IF(VLOOKUP(Table7[[#This Row],[Date]],Database!$A:$C,MATCH($C$1,Database!$A$1:$C$1,),)=0,#N/A,VLOOKUP(Table7[[#This Row],[Date]],Database!$A:$C,MATCH($C$1,Database!$A$1:$C$1,),))</f>
        <v/>
      </c>
      <c r="D13931">
        <f>IFERROR(Table7[[#This Row],[United States 10y]]-Table7[[#This Row],[United States 3y]],#N/A)</f>
        <v/>
      </c>
    </row>
    <row r="13932">
      <c r="A13932" s="6">
        <f>Database!$A16017</f>
        <v/>
      </c>
      <c r="B13932">
        <f>IF(VLOOKUP(Table7[[#This Row],[Date]],Database!$A:$C,MATCH($B$1,Database!$A$1:$C$1,),)=0,#N/A,VLOOKUP(Table7[[#This Row],[Date]],Database!$A:$C,MATCH($B$1,Database!$A$1:$C$1,),))</f>
        <v/>
      </c>
      <c r="C13932">
        <f>IF(VLOOKUP(Table7[[#This Row],[Date]],Database!$A:$C,MATCH($C$1,Database!$A$1:$C$1,),)=0,#N/A,VLOOKUP(Table7[[#This Row],[Date]],Database!$A:$C,MATCH($C$1,Database!$A$1:$C$1,),))</f>
        <v/>
      </c>
      <c r="D13932">
        <f>IFERROR(Table7[[#This Row],[United States 10y]]-Table7[[#This Row],[United States 3y]],#N/A)</f>
        <v/>
      </c>
    </row>
    <row r="13933">
      <c r="A13933" s="6">
        <f>Database!$A16018</f>
        <v/>
      </c>
      <c r="B13933">
        <f>IF(VLOOKUP(Table7[[#This Row],[Date]],Database!$A:$C,MATCH($B$1,Database!$A$1:$C$1,),)=0,#N/A,VLOOKUP(Table7[[#This Row],[Date]],Database!$A:$C,MATCH($B$1,Database!$A$1:$C$1,),))</f>
        <v/>
      </c>
      <c r="C13933">
        <f>IF(VLOOKUP(Table7[[#This Row],[Date]],Database!$A:$C,MATCH($C$1,Database!$A$1:$C$1,),)=0,#N/A,VLOOKUP(Table7[[#This Row],[Date]],Database!$A:$C,MATCH($C$1,Database!$A$1:$C$1,),))</f>
        <v/>
      </c>
      <c r="D13933">
        <f>IFERROR(Table7[[#This Row],[United States 10y]]-Table7[[#This Row],[United States 3y]],#N/A)</f>
        <v/>
      </c>
    </row>
    <row r="13934">
      <c r="A13934" s="6">
        <f>Database!$A16019</f>
        <v/>
      </c>
      <c r="B13934">
        <f>IF(VLOOKUP(Table7[[#This Row],[Date]],Database!$A:$C,MATCH($B$1,Database!$A$1:$C$1,),)=0,#N/A,VLOOKUP(Table7[[#This Row],[Date]],Database!$A:$C,MATCH($B$1,Database!$A$1:$C$1,),))</f>
        <v/>
      </c>
      <c r="C13934">
        <f>IF(VLOOKUP(Table7[[#This Row],[Date]],Database!$A:$C,MATCH($C$1,Database!$A$1:$C$1,),)=0,#N/A,VLOOKUP(Table7[[#This Row],[Date]],Database!$A:$C,MATCH($C$1,Database!$A$1:$C$1,),))</f>
        <v/>
      </c>
      <c r="D13934">
        <f>IFERROR(Table7[[#This Row],[United States 10y]]-Table7[[#This Row],[United States 3y]],#N/A)</f>
        <v/>
      </c>
    </row>
    <row r="13935">
      <c r="A13935" s="6">
        <f>Database!$A16020</f>
        <v/>
      </c>
      <c r="B13935">
        <f>IF(VLOOKUP(Table7[[#This Row],[Date]],Database!$A:$C,MATCH($B$1,Database!$A$1:$C$1,),)=0,#N/A,VLOOKUP(Table7[[#This Row],[Date]],Database!$A:$C,MATCH($B$1,Database!$A$1:$C$1,),))</f>
        <v/>
      </c>
      <c r="C13935">
        <f>IF(VLOOKUP(Table7[[#This Row],[Date]],Database!$A:$C,MATCH($C$1,Database!$A$1:$C$1,),)=0,#N/A,VLOOKUP(Table7[[#This Row],[Date]],Database!$A:$C,MATCH($C$1,Database!$A$1:$C$1,),))</f>
        <v/>
      </c>
      <c r="D13935">
        <f>IFERROR(Table7[[#This Row],[United States 10y]]-Table7[[#This Row],[United States 3y]],#N/A)</f>
        <v/>
      </c>
    </row>
    <row r="13936">
      <c r="A13936" s="6">
        <f>Database!$A16021</f>
        <v/>
      </c>
      <c r="B13936">
        <f>IF(VLOOKUP(Table7[[#This Row],[Date]],Database!$A:$C,MATCH($B$1,Database!$A$1:$C$1,),)=0,#N/A,VLOOKUP(Table7[[#This Row],[Date]],Database!$A:$C,MATCH($B$1,Database!$A$1:$C$1,),))</f>
        <v/>
      </c>
      <c r="C13936">
        <f>IF(VLOOKUP(Table7[[#This Row],[Date]],Database!$A:$C,MATCH($C$1,Database!$A$1:$C$1,),)=0,#N/A,VLOOKUP(Table7[[#This Row],[Date]],Database!$A:$C,MATCH($C$1,Database!$A$1:$C$1,),))</f>
        <v/>
      </c>
      <c r="D13936">
        <f>IFERROR(Table7[[#This Row],[United States 10y]]-Table7[[#This Row],[United States 3y]],#N/A)</f>
        <v/>
      </c>
    </row>
    <row r="13937">
      <c r="A13937" s="6">
        <f>Database!$A16022</f>
        <v/>
      </c>
      <c r="B13937">
        <f>IF(VLOOKUP(Table7[[#This Row],[Date]],Database!$A:$C,MATCH($B$1,Database!$A$1:$C$1,),)=0,#N/A,VLOOKUP(Table7[[#This Row],[Date]],Database!$A:$C,MATCH($B$1,Database!$A$1:$C$1,),))</f>
        <v/>
      </c>
      <c r="C13937">
        <f>IF(VLOOKUP(Table7[[#This Row],[Date]],Database!$A:$C,MATCH($C$1,Database!$A$1:$C$1,),)=0,#N/A,VLOOKUP(Table7[[#This Row],[Date]],Database!$A:$C,MATCH($C$1,Database!$A$1:$C$1,),))</f>
        <v/>
      </c>
      <c r="D13937">
        <f>IFERROR(Table7[[#This Row],[United States 10y]]-Table7[[#This Row],[United States 3y]],#N/A)</f>
        <v/>
      </c>
    </row>
    <row r="13938">
      <c r="A13938" s="6">
        <f>Database!$A16023</f>
        <v/>
      </c>
      <c r="B13938">
        <f>IF(VLOOKUP(Table7[[#This Row],[Date]],Database!$A:$C,MATCH($B$1,Database!$A$1:$C$1,),)=0,#N/A,VLOOKUP(Table7[[#This Row],[Date]],Database!$A:$C,MATCH($B$1,Database!$A$1:$C$1,),))</f>
        <v/>
      </c>
      <c r="C13938">
        <f>IF(VLOOKUP(Table7[[#This Row],[Date]],Database!$A:$C,MATCH($C$1,Database!$A$1:$C$1,),)=0,#N/A,VLOOKUP(Table7[[#This Row],[Date]],Database!$A:$C,MATCH($C$1,Database!$A$1:$C$1,),))</f>
        <v/>
      </c>
      <c r="D13938">
        <f>IFERROR(Table7[[#This Row],[United States 10y]]-Table7[[#This Row],[United States 3y]],#N/A)</f>
        <v/>
      </c>
    </row>
    <row r="13939">
      <c r="A13939" s="6">
        <f>Database!$A16024</f>
        <v/>
      </c>
      <c r="B13939">
        <f>IF(VLOOKUP(Table7[[#This Row],[Date]],Database!$A:$C,MATCH($B$1,Database!$A$1:$C$1,),)=0,#N/A,VLOOKUP(Table7[[#This Row],[Date]],Database!$A:$C,MATCH($B$1,Database!$A$1:$C$1,),))</f>
        <v/>
      </c>
      <c r="C13939">
        <f>IF(VLOOKUP(Table7[[#This Row],[Date]],Database!$A:$C,MATCH($C$1,Database!$A$1:$C$1,),)=0,#N/A,VLOOKUP(Table7[[#This Row],[Date]],Database!$A:$C,MATCH($C$1,Database!$A$1:$C$1,),))</f>
        <v/>
      </c>
      <c r="D13939">
        <f>IFERROR(Table7[[#This Row],[United States 10y]]-Table7[[#This Row],[United States 3y]],#N/A)</f>
        <v/>
      </c>
    </row>
    <row r="13940">
      <c r="A13940" s="6">
        <f>Database!$A16025</f>
        <v/>
      </c>
      <c r="B13940">
        <f>IF(VLOOKUP(Table7[[#This Row],[Date]],Database!$A:$C,MATCH($B$1,Database!$A$1:$C$1,),)=0,#N/A,VLOOKUP(Table7[[#This Row],[Date]],Database!$A:$C,MATCH($B$1,Database!$A$1:$C$1,),))</f>
        <v/>
      </c>
      <c r="C13940">
        <f>IF(VLOOKUP(Table7[[#This Row],[Date]],Database!$A:$C,MATCH($C$1,Database!$A$1:$C$1,),)=0,#N/A,VLOOKUP(Table7[[#This Row],[Date]],Database!$A:$C,MATCH($C$1,Database!$A$1:$C$1,),))</f>
        <v/>
      </c>
      <c r="D13940">
        <f>IFERROR(Table7[[#This Row],[United States 10y]]-Table7[[#This Row],[United States 3y]],#N/A)</f>
        <v/>
      </c>
    </row>
    <row r="13941">
      <c r="A13941" s="6">
        <f>Database!$A16026</f>
        <v/>
      </c>
      <c r="B13941">
        <f>IF(VLOOKUP(Table7[[#This Row],[Date]],Database!$A:$C,MATCH($B$1,Database!$A$1:$C$1,),)=0,#N/A,VLOOKUP(Table7[[#This Row],[Date]],Database!$A:$C,MATCH($B$1,Database!$A$1:$C$1,),))</f>
        <v/>
      </c>
      <c r="C13941">
        <f>IF(VLOOKUP(Table7[[#This Row],[Date]],Database!$A:$C,MATCH($C$1,Database!$A$1:$C$1,),)=0,#N/A,VLOOKUP(Table7[[#This Row],[Date]],Database!$A:$C,MATCH($C$1,Database!$A$1:$C$1,),))</f>
        <v/>
      </c>
      <c r="D13941">
        <f>IFERROR(Table7[[#This Row],[United States 10y]]-Table7[[#This Row],[United States 3y]],#N/A)</f>
        <v/>
      </c>
    </row>
    <row r="13942">
      <c r="A13942" s="6">
        <f>Database!$A16027</f>
        <v/>
      </c>
      <c r="B13942">
        <f>IF(VLOOKUP(Table7[[#This Row],[Date]],Database!$A:$C,MATCH($B$1,Database!$A$1:$C$1,),)=0,#N/A,VLOOKUP(Table7[[#This Row],[Date]],Database!$A:$C,MATCH($B$1,Database!$A$1:$C$1,),))</f>
        <v/>
      </c>
      <c r="C13942">
        <f>IF(VLOOKUP(Table7[[#This Row],[Date]],Database!$A:$C,MATCH($C$1,Database!$A$1:$C$1,),)=0,#N/A,VLOOKUP(Table7[[#This Row],[Date]],Database!$A:$C,MATCH($C$1,Database!$A$1:$C$1,),))</f>
        <v/>
      </c>
      <c r="D13942">
        <f>IFERROR(Table7[[#This Row],[United States 10y]]-Table7[[#This Row],[United States 3y]],#N/A)</f>
        <v/>
      </c>
    </row>
    <row r="13943">
      <c r="A13943" s="6">
        <f>Database!$A16028</f>
        <v/>
      </c>
      <c r="B13943">
        <f>IF(VLOOKUP(Table7[[#This Row],[Date]],Database!$A:$C,MATCH($B$1,Database!$A$1:$C$1,),)=0,#N/A,VLOOKUP(Table7[[#This Row],[Date]],Database!$A:$C,MATCH($B$1,Database!$A$1:$C$1,),))</f>
        <v/>
      </c>
      <c r="C13943">
        <f>IF(VLOOKUP(Table7[[#This Row],[Date]],Database!$A:$C,MATCH($C$1,Database!$A$1:$C$1,),)=0,#N/A,VLOOKUP(Table7[[#This Row],[Date]],Database!$A:$C,MATCH($C$1,Database!$A$1:$C$1,),))</f>
        <v/>
      </c>
      <c r="D13943">
        <f>IFERROR(Table7[[#This Row],[United States 10y]]-Table7[[#This Row],[United States 3y]],#N/A)</f>
        <v/>
      </c>
    </row>
    <row r="13944">
      <c r="A13944" s="6">
        <f>Database!$A16029</f>
        <v/>
      </c>
      <c r="B13944">
        <f>IF(VLOOKUP(Table7[[#This Row],[Date]],Database!$A:$C,MATCH($B$1,Database!$A$1:$C$1,),)=0,#N/A,VLOOKUP(Table7[[#This Row],[Date]],Database!$A:$C,MATCH($B$1,Database!$A$1:$C$1,),))</f>
        <v/>
      </c>
      <c r="C13944">
        <f>IF(VLOOKUP(Table7[[#This Row],[Date]],Database!$A:$C,MATCH($C$1,Database!$A$1:$C$1,),)=0,#N/A,VLOOKUP(Table7[[#This Row],[Date]],Database!$A:$C,MATCH($C$1,Database!$A$1:$C$1,),))</f>
        <v/>
      </c>
      <c r="D13944">
        <f>IFERROR(Table7[[#This Row],[United States 10y]]-Table7[[#This Row],[United States 3y]],#N/A)</f>
        <v/>
      </c>
    </row>
    <row r="13945">
      <c r="A13945" s="6">
        <f>Database!$A16030</f>
        <v/>
      </c>
      <c r="B13945">
        <f>IF(VLOOKUP(Table7[[#This Row],[Date]],Database!$A:$C,MATCH($B$1,Database!$A$1:$C$1,),)=0,#N/A,VLOOKUP(Table7[[#This Row],[Date]],Database!$A:$C,MATCH($B$1,Database!$A$1:$C$1,),))</f>
        <v/>
      </c>
      <c r="C13945">
        <f>IF(VLOOKUP(Table7[[#This Row],[Date]],Database!$A:$C,MATCH($C$1,Database!$A$1:$C$1,),)=0,#N/A,VLOOKUP(Table7[[#This Row],[Date]],Database!$A:$C,MATCH($C$1,Database!$A$1:$C$1,),))</f>
        <v/>
      </c>
      <c r="D13945">
        <f>IFERROR(Table7[[#This Row],[United States 10y]]-Table7[[#This Row],[United States 3y]],#N/A)</f>
        <v/>
      </c>
    </row>
    <row r="13946">
      <c r="A13946" s="6">
        <f>Database!$A16031</f>
        <v/>
      </c>
      <c r="B13946">
        <f>IF(VLOOKUP(Table7[[#This Row],[Date]],Database!$A:$C,MATCH($B$1,Database!$A$1:$C$1,),)=0,#N/A,VLOOKUP(Table7[[#This Row],[Date]],Database!$A:$C,MATCH($B$1,Database!$A$1:$C$1,),))</f>
        <v/>
      </c>
      <c r="C13946">
        <f>IF(VLOOKUP(Table7[[#This Row],[Date]],Database!$A:$C,MATCH($C$1,Database!$A$1:$C$1,),)=0,#N/A,VLOOKUP(Table7[[#This Row],[Date]],Database!$A:$C,MATCH($C$1,Database!$A$1:$C$1,),))</f>
        <v/>
      </c>
      <c r="D13946">
        <f>IFERROR(Table7[[#This Row],[United States 10y]]-Table7[[#This Row],[United States 3y]],#N/A)</f>
        <v/>
      </c>
    </row>
    <row r="13947">
      <c r="A13947" s="6">
        <f>Database!$A16032</f>
        <v/>
      </c>
      <c r="B13947">
        <f>IF(VLOOKUP(Table7[[#This Row],[Date]],Database!$A:$C,MATCH($B$1,Database!$A$1:$C$1,),)=0,#N/A,VLOOKUP(Table7[[#This Row],[Date]],Database!$A:$C,MATCH($B$1,Database!$A$1:$C$1,),))</f>
        <v/>
      </c>
      <c r="C13947">
        <f>IF(VLOOKUP(Table7[[#This Row],[Date]],Database!$A:$C,MATCH($C$1,Database!$A$1:$C$1,),)=0,#N/A,VLOOKUP(Table7[[#This Row],[Date]],Database!$A:$C,MATCH($C$1,Database!$A$1:$C$1,),))</f>
        <v/>
      </c>
      <c r="D13947">
        <f>IFERROR(Table7[[#This Row],[United States 10y]]-Table7[[#This Row],[United States 3y]],#N/A)</f>
        <v/>
      </c>
    </row>
    <row r="13948">
      <c r="A13948" s="6">
        <f>Database!$A16033</f>
        <v/>
      </c>
      <c r="B13948">
        <f>IF(VLOOKUP(Table7[[#This Row],[Date]],Database!$A:$C,MATCH($B$1,Database!$A$1:$C$1,),)=0,#N/A,VLOOKUP(Table7[[#This Row],[Date]],Database!$A:$C,MATCH($B$1,Database!$A$1:$C$1,),))</f>
        <v/>
      </c>
      <c r="C13948">
        <f>IF(VLOOKUP(Table7[[#This Row],[Date]],Database!$A:$C,MATCH($C$1,Database!$A$1:$C$1,),)=0,#N/A,VLOOKUP(Table7[[#This Row],[Date]],Database!$A:$C,MATCH($C$1,Database!$A$1:$C$1,),))</f>
        <v/>
      </c>
      <c r="D13948">
        <f>IFERROR(Table7[[#This Row],[United States 10y]]-Table7[[#This Row],[United States 3y]],#N/A)</f>
        <v/>
      </c>
    </row>
    <row r="13949">
      <c r="A13949" s="6">
        <f>Database!$A16034</f>
        <v/>
      </c>
      <c r="B13949">
        <f>IF(VLOOKUP(Table7[[#This Row],[Date]],Database!$A:$C,MATCH($B$1,Database!$A$1:$C$1,),)=0,#N/A,VLOOKUP(Table7[[#This Row],[Date]],Database!$A:$C,MATCH($B$1,Database!$A$1:$C$1,),))</f>
        <v/>
      </c>
      <c r="C13949">
        <f>IF(VLOOKUP(Table7[[#This Row],[Date]],Database!$A:$C,MATCH($C$1,Database!$A$1:$C$1,),)=0,#N/A,VLOOKUP(Table7[[#This Row],[Date]],Database!$A:$C,MATCH($C$1,Database!$A$1:$C$1,),))</f>
        <v/>
      </c>
      <c r="D13949">
        <f>IFERROR(Table7[[#This Row],[United States 10y]]-Table7[[#This Row],[United States 3y]],#N/A)</f>
        <v/>
      </c>
    </row>
    <row r="13950">
      <c r="A13950" s="6">
        <f>Database!$A16035</f>
        <v/>
      </c>
      <c r="B13950">
        <f>IF(VLOOKUP(Table7[[#This Row],[Date]],Database!$A:$C,MATCH($B$1,Database!$A$1:$C$1,),)=0,#N/A,VLOOKUP(Table7[[#This Row],[Date]],Database!$A:$C,MATCH($B$1,Database!$A$1:$C$1,),))</f>
        <v/>
      </c>
      <c r="C13950">
        <f>IF(VLOOKUP(Table7[[#This Row],[Date]],Database!$A:$C,MATCH($C$1,Database!$A$1:$C$1,),)=0,#N/A,VLOOKUP(Table7[[#This Row],[Date]],Database!$A:$C,MATCH($C$1,Database!$A$1:$C$1,),))</f>
        <v/>
      </c>
      <c r="D13950">
        <f>IFERROR(Table7[[#This Row],[United States 10y]]-Table7[[#This Row],[United States 3y]],#N/A)</f>
        <v/>
      </c>
    </row>
    <row r="13951">
      <c r="A13951" s="6">
        <f>Database!$A16036</f>
        <v/>
      </c>
      <c r="B13951">
        <f>IF(VLOOKUP(Table7[[#This Row],[Date]],Database!$A:$C,MATCH($B$1,Database!$A$1:$C$1,),)=0,#N/A,VLOOKUP(Table7[[#This Row],[Date]],Database!$A:$C,MATCH($B$1,Database!$A$1:$C$1,),))</f>
        <v/>
      </c>
      <c r="C13951">
        <f>IF(VLOOKUP(Table7[[#This Row],[Date]],Database!$A:$C,MATCH($C$1,Database!$A$1:$C$1,),)=0,#N/A,VLOOKUP(Table7[[#This Row],[Date]],Database!$A:$C,MATCH($C$1,Database!$A$1:$C$1,),))</f>
        <v/>
      </c>
      <c r="D13951">
        <f>IFERROR(Table7[[#This Row],[United States 10y]]-Table7[[#This Row],[United States 3y]],#N/A)</f>
        <v/>
      </c>
    </row>
    <row r="13952">
      <c r="A13952" s="6">
        <f>Database!$A16037</f>
        <v/>
      </c>
      <c r="B13952">
        <f>IF(VLOOKUP(Table7[[#This Row],[Date]],Database!$A:$C,MATCH($B$1,Database!$A$1:$C$1,),)=0,#N/A,VLOOKUP(Table7[[#This Row],[Date]],Database!$A:$C,MATCH($B$1,Database!$A$1:$C$1,),))</f>
        <v/>
      </c>
      <c r="C13952">
        <f>IF(VLOOKUP(Table7[[#This Row],[Date]],Database!$A:$C,MATCH($C$1,Database!$A$1:$C$1,),)=0,#N/A,VLOOKUP(Table7[[#This Row],[Date]],Database!$A:$C,MATCH($C$1,Database!$A$1:$C$1,),))</f>
        <v/>
      </c>
      <c r="D13952">
        <f>IFERROR(Table7[[#This Row],[United States 10y]]-Table7[[#This Row],[United States 3y]],#N/A)</f>
        <v/>
      </c>
    </row>
    <row r="13953">
      <c r="A13953" s="6">
        <f>Database!$A16038</f>
        <v/>
      </c>
      <c r="B13953">
        <f>IF(VLOOKUP(Table7[[#This Row],[Date]],Database!$A:$C,MATCH($B$1,Database!$A$1:$C$1,),)=0,#N/A,VLOOKUP(Table7[[#This Row],[Date]],Database!$A:$C,MATCH($B$1,Database!$A$1:$C$1,),))</f>
        <v/>
      </c>
      <c r="C13953">
        <f>IF(VLOOKUP(Table7[[#This Row],[Date]],Database!$A:$C,MATCH($C$1,Database!$A$1:$C$1,),)=0,#N/A,VLOOKUP(Table7[[#This Row],[Date]],Database!$A:$C,MATCH($C$1,Database!$A$1:$C$1,),))</f>
        <v/>
      </c>
      <c r="D13953">
        <f>IFERROR(Table7[[#This Row],[United States 10y]]-Table7[[#This Row],[United States 3y]],#N/A)</f>
        <v/>
      </c>
    </row>
    <row r="13954">
      <c r="A13954" s="6">
        <f>Database!$A16039</f>
        <v/>
      </c>
      <c r="B13954">
        <f>IF(VLOOKUP(Table7[[#This Row],[Date]],Database!$A:$C,MATCH($B$1,Database!$A$1:$C$1,),)=0,#N/A,VLOOKUP(Table7[[#This Row],[Date]],Database!$A:$C,MATCH($B$1,Database!$A$1:$C$1,),))</f>
        <v/>
      </c>
      <c r="C13954">
        <f>IF(VLOOKUP(Table7[[#This Row],[Date]],Database!$A:$C,MATCH($C$1,Database!$A$1:$C$1,),)=0,#N/A,VLOOKUP(Table7[[#This Row],[Date]],Database!$A:$C,MATCH($C$1,Database!$A$1:$C$1,),))</f>
        <v/>
      </c>
      <c r="D13954">
        <f>IFERROR(Table7[[#This Row],[United States 10y]]-Table7[[#This Row],[United States 3y]],#N/A)</f>
        <v/>
      </c>
    </row>
    <row r="13955">
      <c r="A13955" s="6">
        <f>Database!$A16040</f>
        <v/>
      </c>
      <c r="B13955">
        <f>IF(VLOOKUP(Table7[[#This Row],[Date]],Database!$A:$C,MATCH($B$1,Database!$A$1:$C$1,),)=0,#N/A,VLOOKUP(Table7[[#This Row],[Date]],Database!$A:$C,MATCH($B$1,Database!$A$1:$C$1,),))</f>
        <v/>
      </c>
      <c r="C13955">
        <f>IF(VLOOKUP(Table7[[#This Row],[Date]],Database!$A:$C,MATCH($C$1,Database!$A$1:$C$1,),)=0,#N/A,VLOOKUP(Table7[[#This Row],[Date]],Database!$A:$C,MATCH($C$1,Database!$A$1:$C$1,),))</f>
        <v/>
      </c>
      <c r="D13955">
        <f>IFERROR(Table7[[#This Row],[United States 10y]]-Table7[[#This Row],[United States 3y]],#N/A)</f>
        <v/>
      </c>
    </row>
    <row r="13956">
      <c r="A13956" s="6">
        <f>Database!$A16041</f>
        <v/>
      </c>
      <c r="B13956">
        <f>IF(VLOOKUP(Table7[[#This Row],[Date]],Database!$A:$C,MATCH($B$1,Database!$A$1:$C$1,),)=0,#N/A,VLOOKUP(Table7[[#This Row],[Date]],Database!$A:$C,MATCH($B$1,Database!$A$1:$C$1,),))</f>
        <v/>
      </c>
      <c r="C13956">
        <f>IF(VLOOKUP(Table7[[#This Row],[Date]],Database!$A:$C,MATCH($C$1,Database!$A$1:$C$1,),)=0,#N/A,VLOOKUP(Table7[[#This Row],[Date]],Database!$A:$C,MATCH($C$1,Database!$A$1:$C$1,),))</f>
        <v/>
      </c>
      <c r="D13956">
        <f>IFERROR(Table7[[#This Row],[United States 10y]]-Table7[[#This Row],[United States 3y]],#N/A)</f>
        <v/>
      </c>
    </row>
    <row r="13957">
      <c r="A13957" s="6">
        <f>Database!$A16042</f>
        <v/>
      </c>
      <c r="B13957">
        <f>IF(VLOOKUP(Table7[[#This Row],[Date]],Database!$A:$C,MATCH($B$1,Database!$A$1:$C$1,),)=0,#N/A,VLOOKUP(Table7[[#This Row],[Date]],Database!$A:$C,MATCH($B$1,Database!$A$1:$C$1,),))</f>
        <v/>
      </c>
      <c r="C13957">
        <f>IF(VLOOKUP(Table7[[#This Row],[Date]],Database!$A:$C,MATCH($C$1,Database!$A$1:$C$1,),)=0,#N/A,VLOOKUP(Table7[[#This Row],[Date]],Database!$A:$C,MATCH($C$1,Database!$A$1:$C$1,),))</f>
        <v/>
      </c>
      <c r="D13957">
        <f>IFERROR(Table7[[#This Row],[United States 10y]]-Table7[[#This Row],[United States 3y]],#N/A)</f>
        <v/>
      </c>
    </row>
    <row r="13958">
      <c r="A13958" s="6">
        <f>Database!$A16043</f>
        <v/>
      </c>
      <c r="B13958">
        <f>IF(VLOOKUP(Table7[[#This Row],[Date]],Database!$A:$C,MATCH($B$1,Database!$A$1:$C$1,),)=0,#N/A,VLOOKUP(Table7[[#This Row],[Date]],Database!$A:$C,MATCH($B$1,Database!$A$1:$C$1,),))</f>
        <v/>
      </c>
      <c r="C13958">
        <f>IF(VLOOKUP(Table7[[#This Row],[Date]],Database!$A:$C,MATCH($C$1,Database!$A$1:$C$1,),)=0,#N/A,VLOOKUP(Table7[[#This Row],[Date]],Database!$A:$C,MATCH($C$1,Database!$A$1:$C$1,),))</f>
        <v/>
      </c>
      <c r="D13958">
        <f>IFERROR(Table7[[#This Row],[United States 10y]]-Table7[[#This Row],[United States 3y]],#N/A)</f>
        <v/>
      </c>
    </row>
    <row r="13959">
      <c r="A13959" s="6">
        <f>Database!$A16044</f>
        <v/>
      </c>
      <c r="B13959">
        <f>IF(VLOOKUP(Table7[[#This Row],[Date]],Database!$A:$C,MATCH($B$1,Database!$A$1:$C$1,),)=0,#N/A,VLOOKUP(Table7[[#This Row],[Date]],Database!$A:$C,MATCH($B$1,Database!$A$1:$C$1,),))</f>
        <v/>
      </c>
      <c r="C13959">
        <f>IF(VLOOKUP(Table7[[#This Row],[Date]],Database!$A:$C,MATCH($C$1,Database!$A$1:$C$1,),)=0,#N/A,VLOOKUP(Table7[[#This Row],[Date]],Database!$A:$C,MATCH($C$1,Database!$A$1:$C$1,),))</f>
        <v/>
      </c>
      <c r="D13959">
        <f>IFERROR(Table7[[#This Row],[United States 10y]]-Table7[[#This Row],[United States 3y]],#N/A)</f>
        <v/>
      </c>
    </row>
    <row r="13960">
      <c r="A13960" s="6">
        <f>Database!$A16045</f>
        <v/>
      </c>
      <c r="B13960">
        <f>IF(VLOOKUP(Table7[[#This Row],[Date]],Database!$A:$C,MATCH($B$1,Database!$A$1:$C$1,),)=0,#N/A,VLOOKUP(Table7[[#This Row],[Date]],Database!$A:$C,MATCH($B$1,Database!$A$1:$C$1,),))</f>
        <v/>
      </c>
      <c r="C13960">
        <f>IF(VLOOKUP(Table7[[#This Row],[Date]],Database!$A:$C,MATCH($C$1,Database!$A$1:$C$1,),)=0,#N/A,VLOOKUP(Table7[[#This Row],[Date]],Database!$A:$C,MATCH($C$1,Database!$A$1:$C$1,),))</f>
        <v/>
      </c>
      <c r="D13960">
        <f>IFERROR(Table7[[#This Row],[United States 10y]]-Table7[[#This Row],[United States 3y]],#N/A)</f>
        <v/>
      </c>
    </row>
    <row r="13961">
      <c r="A13961" s="6">
        <f>Database!$A16046</f>
        <v/>
      </c>
      <c r="B13961">
        <f>IF(VLOOKUP(Table7[[#This Row],[Date]],Database!$A:$C,MATCH($B$1,Database!$A$1:$C$1,),)=0,#N/A,VLOOKUP(Table7[[#This Row],[Date]],Database!$A:$C,MATCH($B$1,Database!$A$1:$C$1,),))</f>
        <v/>
      </c>
      <c r="C13961">
        <f>IF(VLOOKUP(Table7[[#This Row],[Date]],Database!$A:$C,MATCH($C$1,Database!$A$1:$C$1,),)=0,#N/A,VLOOKUP(Table7[[#This Row],[Date]],Database!$A:$C,MATCH($C$1,Database!$A$1:$C$1,),))</f>
        <v/>
      </c>
      <c r="D13961">
        <f>IFERROR(Table7[[#This Row],[United States 10y]]-Table7[[#This Row],[United States 3y]],#N/A)</f>
        <v/>
      </c>
    </row>
    <row r="13962">
      <c r="A13962" s="6">
        <f>Database!$A16047</f>
        <v/>
      </c>
      <c r="B13962">
        <f>IF(VLOOKUP(Table7[[#This Row],[Date]],Database!$A:$C,MATCH($B$1,Database!$A$1:$C$1,),)=0,#N/A,VLOOKUP(Table7[[#This Row],[Date]],Database!$A:$C,MATCH($B$1,Database!$A$1:$C$1,),))</f>
        <v/>
      </c>
      <c r="C13962">
        <f>IF(VLOOKUP(Table7[[#This Row],[Date]],Database!$A:$C,MATCH($C$1,Database!$A$1:$C$1,),)=0,#N/A,VLOOKUP(Table7[[#This Row],[Date]],Database!$A:$C,MATCH($C$1,Database!$A$1:$C$1,),))</f>
        <v/>
      </c>
      <c r="D13962">
        <f>IFERROR(Table7[[#This Row],[United States 10y]]-Table7[[#This Row],[United States 3y]],#N/A)</f>
        <v/>
      </c>
    </row>
    <row r="13963">
      <c r="A13963" s="6">
        <f>Database!$A16048</f>
        <v/>
      </c>
      <c r="B13963">
        <f>IF(VLOOKUP(Table7[[#This Row],[Date]],Database!$A:$C,MATCH($B$1,Database!$A$1:$C$1,),)=0,#N/A,VLOOKUP(Table7[[#This Row],[Date]],Database!$A:$C,MATCH($B$1,Database!$A$1:$C$1,),))</f>
        <v/>
      </c>
      <c r="C13963">
        <f>IF(VLOOKUP(Table7[[#This Row],[Date]],Database!$A:$C,MATCH($C$1,Database!$A$1:$C$1,),)=0,#N/A,VLOOKUP(Table7[[#This Row],[Date]],Database!$A:$C,MATCH($C$1,Database!$A$1:$C$1,),))</f>
        <v/>
      </c>
      <c r="D13963">
        <f>IFERROR(Table7[[#This Row],[United States 10y]]-Table7[[#This Row],[United States 3y]],#N/A)</f>
        <v/>
      </c>
    </row>
    <row r="13964">
      <c r="A13964" s="6">
        <f>Database!$A16049</f>
        <v/>
      </c>
      <c r="B13964">
        <f>IF(VLOOKUP(Table7[[#This Row],[Date]],Database!$A:$C,MATCH($B$1,Database!$A$1:$C$1,),)=0,#N/A,VLOOKUP(Table7[[#This Row],[Date]],Database!$A:$C,MATCH($B$1,Database!$A$1:$C$1,),))</f>
        <v/>
      </c>
      <c r="C13964">
        <f>IF(VLOOKUP(Table7[[#This Row],[Date]],Database!$A:$C,MATCH($C$1,Database!$A$1:$C$1,),)=0,#N/A,VLOOKUP(Table7[[#This Row],[Date]],Database!$A:$C,MATCH($C$1,Database!$A$1:$C$1,),))</f>
        <v/>
      </c>
      <c r="D13964">
        <f>IFERROR(Table7[[#This Row],[United States 10y]]-Table7[[#This Row],[United States 3y]],#N/A)</f>
        <v/>
      </c>
    </row>
    <row r="13965">
      <c r="A13965" s="6">
        <f>Database!$A16050</f>
        <v/>
      </c>
      <c r="B13965">
        <f>IF(VLOOKUP(Table7[[#This Row],[Date]],Database!$A:$C,MATCH($B$1,Database!$A$1:$C$1,),)=0,#N/A,VLOOKUP(Table7[[#This Row],[Date]],Database!$A:$C,MATCH($B$1,Database!$A$1:$C$1,),))</f>
        <v/>
      </c>
      <c r="C13965">
        <f>IF(VLOOKUP(Table7[[#This Row],[Date]],Database!$A:$C,MATCH($C$1,Database!$A$1:$C$1,),)=0,#N/A,VLOOKUP(Table7[[#This Row],[Date]],Database!$A:$C,MATCH($C$1,Database!$A$1:$C$1,),))</f>
        <v/>
      </c>
      <c r="D13965">
        <f>IFERROR(Table7[[#This Row],[United States 10y]]-Table7[[#This Row],[United States 3y]],#N/A)</f>
        <v/>
      </c>
    </row>
    <row r="13966">
      <c r="A13966" s="6">
        <f>Database!$A16051</f>
        <v/>
      </c>
      <c r="B13966">
        <f>IF(VLOOKUP(Table7[[#This Row],[Date]],Database!$A:$C,MATCH($B$1,Database!$A$1:$C$1,),)=0,#N/A,VLOOKUP(Table7[[#This Row],[Date]],Database!$A:$C,MATCH($B$1,Database!$A$1:$C$1,),))</f>
        <v/>
      </c>
      <c r="C13966">
        <f>IF(VLOOKUP(Table7[[#This Row],[Date]],Database!$A:$C,MATCH($C$1,Database!$A$1:$C$1,),)=0,#N/A,VLOOKUP(Table7[[#This Row],[Date]],Database!$A:$C,MATCH($C$1,Database!$A$1:$C$1,),))</f>
        <v/>
      </c>
      <c r="D13966">
        <f>IFERROR(Table7[[#This Row],[United States 10y]]-Table7[[#This Row],[United States 3y]],#N/A)</f>
        <v/>
      </c>
    </row>
    <row r="13967">
      <c r="A13967" s="6">
        <f>Database!$A16052</f>
        <v/>
      </c>
      <c r="B13967">
        <f>IF(VLOOKUP(Table7[[#This Row],[Date]],Database!$A:$C,MATCH($B$1,Database!$A$1:$C$1,),)=0,#N/A,VLOOKUP(Table7[[#This Row],[Date]],Database!$A:$C,MATCH($B$1,Database!$A$1:$C$1,),))</f>
        <v/>
      </c>
      <c r="C13967">
        <f>IF(VLOOKUP(Table7[[#This Row],[Date]],Database!$A:$C,MATCH($C$1,Database!$A$1:$C$1,),)=0,#N/A,VLOOKUP(Table7[[#This Row],[Date]],Database!$A:$C,MATCH($C$1,Database!$A$1:$C$1,),))</f>
        <v/>
      </c>
      <c r="D13967">
        <f>IFERROR(Table7[[#This Row],[United States 10y]]-Table7[[#This Row],[United States 3y]],#N/A)</f>
        <v/>
      </c>
    </row>
    <row r="13968">
      <c r="A13968" s="6">
        <f>Database!$A16053</f>
        <v/>
      </c>
      <c r="B13968">
        <f>IF(VLOOKUP(Table7[[#This Row],[Date]],Database!$A:$C,MATCH($B$1,Database!$A$1:$C$1,),)=0,#N/A,VLOOKUP(Table7[[#This Row],[Date]],Database!$A:$C,MATCH($B$1,Database!$A$1:$C$1,),))</f>
        <v/>
      </c>
      <c r="C13968">
        <f>IF(VLOOKUP(Table7[[#This Row],[Date]],Database!$A:$C,MATCH($C$1,Database!$A$1:$C$1,),)=0,#N/A,VLOOKUP(Table7[[#This Row],[Date]],Database!$A:$C,MATCH($C$1,Database!$A$1:$C$1,),))</f>
        <v/>
      </c>
      <c r="D13968">
        <f>IFERROR(Table7[[#This Row],[United States 10y]]-Table7[[#This Row],[United States 3y]],#N/A)</f>
        <v/>
      </c>
    </row>
    <row r="13969">
      <c r="A13969" s="6">
        <f>Database!$A16054</f>
        <v/>
      </c>
      <c r="B13969">
        <f>IF(VLOOKUP(Table7[[#This Row],[Date]],Database!$A:$C,MATCH($B$1,Database!$A$1:$C$1,),)=0,#N/A,VLOOKUP(Table7[[#This Row],[Date]],Database!$A:$C,MATCH($B$1,Database!$A$1:$C$1,),))</f>
        <v/>
      </c>
      <c r="C13969">
        <f>IF(VLOOKUP(Table7[[#This Row],[Date]],Database!$A:$C,MATCH($C$1,Database!$A$1:$C$1,),)=0,#N/A,VLOOKUP(Table7[[#This Row],[Date]],Database!$A:$C,MATCH($C$1,Database!$A$1:$C$1,),))</f>
        <v/>
      </c>
      <c r="D13969">
        <f>IFERROR(Table7[[#This Row],[United States 10y]]-Table7[[#This Row],[United States 3y]],#N/A)</f>
        <v/>
      </c>
    </row>
    <row r="13970">
      <c r="A13970" s="6">
        <f>Database!$A16055</f>
        <v/>
      </c>
      <c r="B13970">
        <f>IF(VLOOKUP(Table7[[#This Row],[Date]],Database!$A:$C,MATCH($B$1,Database!$A$1:$C$1,),)=0,#N/A,VLOOKUP(Table7[[#This Row],[Date]],Database!$A:$C,MATCH($B$1,Database!$A$1:$C$1,),))</f>
        <v/>
      </c>
      <c r="C13970">
        <f>IF(VLOOKUP(Table7[[#This Row],[Date]],Database!$A:$C,MATCH($C$1,Database!$A$1:$C$1,),)=0,#N/A,VLOOKUP(Table7[[#This Row],[Date]],Database!$A:$C,MATCH($C$1,Database!$A$1:$C$1,),))</f>
        <v/>
      </c>
      <c r="D13970">
        <f>IFERROR(Table7[[#This Row],[United States 10y]]-Table7[[#This Row],[United States 3y]],#N/A)</f>
        <v/>
      </c>
    </row>
    <row r="13971">
      <c r="A13971" s="6">
        <f>Database!$A16056</f>
        <v/>
      </c>
      <c r="B13971">
        <f>IF(VLOOKUP(Table7[[#This Row],[Date]],Database!$A:$C,MATCH($B$1,Database!$A$1:$C$1,),)=0,#N/A,VLOOKUP(Table7[[#This Row],[Date]],Database!$A:$C,MATCH($B$1,Database!$A$1:$C$1,),))</f>
        <v/>
      </c>
      <c r="C13971">
        <f>IF(VLOOKUP(Table7[[#This Row],[Date]],Database!$A:$C,MATCH($C$1,Database!$A$1:$C$1,),)=0,#N/A,VLOOKUP(Table7[[#This Row],[Date]],Database!$A:$C,MATCH($C$1,Database!$A$1:$C$1,),))</f>
        <v/>
      </c>
      <c r="D13971">
        <f>IFERROR(Table7[[#This Row],[United States 10y]]-Table7[[#This Row],[United States 3y]],#N/A)</f>
        <v/>
      </c>
    </row>
    <row r="13972">
      <c r="A13972" s="6">
        <f>Database!$A16057</f>
        <v/>
      </c>
      <c r="B13972">
        <f>IF(VLOOKUP(Table7[[#This Row],[Date]],Database!$A:$C,MATCH($B$1,Database!$A$1:$C$1,),)=0,#N/A,VLOOKUP(Table7[[#This Row],[Date]],Database!$A:$C,MATCH($B$1,Database!$A$1:$C$1,),))</f>
        <v/>
      </c>
      <c r="C13972">
        <f>IF(VLOOKUP(Table7[[#This Row],[Date]],Database!$A:$C,MATCH($C$1,Database!$A$1:$C$1,),)=0,#N/A,VLOOKUP(Table7[[#This Row],[Date]],Database!$A:$C,MATCH($C$1,Database!$A$1:$C$1,),))</f>
        <v/>
      </c>
      <c r="D13972">
        <f>IFERROR(Table7[[#This Row],[United States 10y]]-Table7[[#This Row],[United States 3y]],#N/A)</f>
        <v/>
      </c>
    </row>
    <row r="13973">
      <c r="A13973" s="6">
        <f>Database!$A16058</f>
        <v/>
      </c>
      <c r="B13973">
        <f>IF(VLOOKUP(Table7[[#This Row],[Date]],Database!$A:$C,MATCH($B$1,Database!$A$1:$C$1,),)=0,#N/A,VLOOKUP(Table7[[#This Row],[Date]],Database!$A:$C,MATCH($B$1,Database!$A$1:$C$1,),))</f>
        <v/>
      </c>
      <c r="C13973">
        <f>IF(VLOOKUP(Table7[[#This Row],[Date]],Database!$A:$C,MATCH($C$1,Database!$A$1:$C$1,),)=0,#N/A,VLOOKUP(Table7[[#This Row],[Date]],Database!$A:$C,MATCH($C$1,Database!$A$1:$C$1,),))</f>
        <v/>
      </c>
      <c r="D13973">
        <f>IFERROR(Table7[[#This Row],[United States 10y]]-Table7[[#This Row],[United States 3y]],#N/A)</f>
        <v/>
      </c>
    </row>
    <row r="13974">
      <c r="A13974" s="6">
        <f>Database!$A16059</f>
        <v/>
      </c>
      <c r="B13974">
        <f>IF(VLOOKUP(Table7[[#This Row],[Date]],Database!$A:$C,MATCH($B$1,Database!$A$1:$C$1,),)=0,#N/A,VLOOKUP(Table7[[#This Row],[Date]],Database!$A:$C,MATCH($B$1,Database!$A$1:$C$1,),))</f>
        <v/>
      </c>
      <c r="C13974">
        <f>IF(VLOOKUP(Table7[[#This Row],[Date]],Database!$A:$C,MATCH($C$1,Database!$A$1:$C$1,),)=0,#N/A,VLOOKUP(Table7[[#This Row],[Date]],Database!$A:$C,MATCH($C$1,Database!$A$1:$C$1,),))</f>
        <v/>
      </c>
      <c r="D13974">
        <f>IFERROR(Table7[[#This Row],[United States 10y]]-Table7[[#This Row],[United States 3y]],#N/A)</f>
        <v/>
      </c>
    </row>
    <row r="13975">
      <c r="A13975" s="6">
        <f>Database!$A16060</f>
        <v/>
      </c>
      <c r="B13975">
        <f>IF(VLOOKUP(Table7[[#This Row],[Date]],Database!$A:$C,MATCH($B$1,Database!$A$1:$C$1,),)=0,#N/A,VLOOKUP(Table7[[#This Row],[Date]],Database!$A:$C,MATCH($B$1,Database!$A$1:$C$1,),))</f>
        <v/>
      </c>
      <c r="C13975">
        <f>IF(VLOOKUP(Table7[[#This Row],[Date]],Database!$A:$C,MATCH($C$1,Database!$A$1:$C$1,),)=0,#N/A,VLOOKUP(Table7[[#This Row],[Date]],Database!$A:$C,MATCH($C$1,Database!$A$1:$C$1,),))</f>
        <v/>
      </c>
      <c r="D13975">
        <f>IFERROR(Table7[[#This Row],[United States 10y]]-Table7[[#This Row],[United States 3y]],#N/A)</f>
        <v/>
      </c>
    </row>
    <row r="13976">
      <c r="A13976" s="6">
        <f>Database!$A16061</f>
        <v/>
      </c>
      <c r="B13976">
        <f>IF(VLOOKUP(Table7[[#This Row],[Date]],Database!$A:$C,MATCH($B$1,Database!$A$1:$C$1,),)=0,#N/A,VLOOKUP(Table7[[#This Row],[Date]],Database!$A:$C,MATCH($B$1,Database!$A$1:$C$1,),))</f>
        <v/>
      </c>
      <c r="C13976">
        <f>IF(VLOOKUP(Table7[[#This Row],[Date]],Database!$A:$C,MATCH($C$1,Database!$A$1:$C$1,),)=0,#N/A,VLOOKUP(Table7[[#This Row],[Date]],Database!$A:$C,MATCH($C$1,Database!$A$1:$C$1,),))</f>
        <v/>
      </c>
      <c r="D13976">
        <f>IFERROR(Table7[[#This Row],[United States 10y]]-Table7[[#This Row],[United States 3y]],#N/A)</f>
        <v/>
      </c>
    </row>
    <row r="13977">
      <c r="A13977" s="6">
        <f>Database!$A16062</f>
        <v/>
      </c>
      <c r="B13977">
        <f>IF(VLOOKUP(Table7[[#This Row],[Date]],Database!$A:$C,MATCH($B$1,Database!$A$1:$C$1,),)=0,#N/A,VLOOKUP(Table7[[#This Row],[Date]],Database!$A:$C,MATCH($B$1,Database!$A$1:$C$1,),))</f>
        <v/>
      </c>
      <c r="C13977">
        <f>IF(VLOOKUP(Table7[[#This Row],[Date]],Database!$A:$C,MATCH($C$1,Database!$A$1:$C$1,),)=0,#N/A,VLOOKUP(Table7[[#This Row],[Date]],Database!$A:$C,MATCH($C$1,Database!$A$1:$C$1,),))</f>
        <v/>
      </c>
      <c r="D13977">
        <f>IFERROR(Table7[[#This Row],[United States 10y]]-Table7[[#This Row],[United States 3y]],#N/A)</f>
        <v/>
      </c>
    </row>
    <row r="13978">
      <c r="A13978" s="6">
        <f>Database!$A16063</f>
        <v/>
      </c>
      <c r="B13978">
        <f>IF(VLOOKUP(Table7[[#This Row],[Date]],Database!$A:$C,MATCH($B$1,Database!$A$1:$C$1,),)=0,#N/A,VLOOKUP(Table7[[#This Row],[Date]],Database!$A:$C,MATCH($B$1,Database!$A$1:$C$1,),))</f>
        <v/>
      </c>
      <c r="C13978">
        <f>IF(VLOOKUP(Table7[[#This Row],[Date]],Database!$A:$C,MATCH($C$1,Database!$A$1:$C$1,),)=0,#N/A,VLOOKUP(Table7[[#This Row],[Date]],Database!$A:$C,MATCH($C$1,Database!$A$1:$C$1,),))</f>
        <v/>
      </c>
      <c r="D13978">
        <f>IFERROR(Table7[[#This Row],[United States 10y]]-Table7[[#This Row],[United States 3y]],#N/A)</f>
        <v/>
      </c>
    </row>
    <row r="13979">
      <c r="A13979" s="6">
        <f>Database!$A16064</f>
        <v/>
      </c>
      <c r="B13979">
        <f>IF(VLOOKUP(Table7[[#This Row],[Date]],Database!$A:$C,MATCH($B$1,Database!$A$1:$C$1,),)=0,#N/A,VLOOKUP(Table7[[#This Row],[Date]],Database!$A:$C,MATCH($B$1,Database!$A$1:$C$1,),))</f>
        <v/>
      </c>
      <c r="C13979">
        <f>IF(VLOOKUP(Table7[[#This Row],[Date]],Database!$A:$C,MATCH($C$1,Database!$A$1:$C$1,),)=0,#N/A,VLOOKUP(Table7[[#This Row],[Date]],Database!$A:$C,MATCH($C$1,Database!$A$1:$C$1,),))</f>
        <v/>
      </c>
      <c r="D13979">
        <f>IFERROR(Table7[[#This Row],[United States 10y]]-Table7[[#This Row],[United States 3y]],#N/A)</f>
        <v/>
      </c>
    </row>
    <row r="13980">
      <c r="A13980" s="6">
        <f>Database!$A16065</f>
        <v/>
      </c>
      <c r="B13980">
        <f>IF(VLOOKUP(Table7[[#This Row],[Date]],Database!$A:$C,MATCH($B$1,Database!$A$1:$C$1,),)=0,#N/A,VLOOKUP(Table7[[#This Row],[Date]],Database!$A:$C,MATCH($B$1,Database!$A$1:$C$1,),))</f>
        <v/>
      </c>
      <c r="C13980">
        <f>IF(VLOOKUP(Table7[[#This Row],[Date]],Database!$A:$C,MATCH($C$1,Database!$A$1:$C$1,),)=0,#N/A,VLOOKUP(Table7[[#This Row],[Date]],Database!$A:$C,MATCH($C$1,Database!$A$1:$C$1,),))</f>
        <v/>
      </c>
      <c r="D13980">
        <f>IFERROR(Table7[[#This Row],[United States 10y]]-Table7[[#This Row],[United States 3y]],#N/A)</f>
        <v/>
      </c>
    </row>
    <row r="13981">
      <c r="A13981" s="6">
        <f>Database!$A16066</f>
        <v/>
      </c>
      <c r="B13981">
        <f>IF(VLOOKUP(Table7[[#This Row],[Date]],Database!$A:$C,MATCH($B$1,Database!$A$1:$C$1,),)=0,#N/A,VLOOKUP(Table7[[#This Row],[Date]],Database!$A:$C,MATCH($B$1,Database!$A$1:$C$1,),))</f>
        <v/>
      </c>
      <c r="C13981">
        <f>IF(VLOOKUP(Table7[[#This Row],[Date]],Database!$A:$C,MATCH($C$1,Database!$A$1:$C$1,),)=0,#N/A,VLOOKUP(Table7[[#This Row],[Date]],Database!$A:$C,MATCH($C$1,Database!$A$1:$C$1,),))</f>
        <v/>
      </c>
      <c r="D13981">
        <f>IFERROR(Table7[[#This Row],[United States 10y]]-Table7[[#This Row],[United States 3y]],#N/A)</f>
        <v/>
      </c>
    </row>
    <row r="13982">
      <c r="A13982" s="6">
        <f>Database!$A16067</f>
        <v/>
      </c>
      <c r="B13982">
        <f>IF(VLOOKUP(Table7[[#This Row],[Date]],Database!$A:$C,MATCH($B$1,Database!$A$1:$C$1,),)=0,#N/A,VLOOKUP(Table7[[#This Row],[Date]],Database!$A:$C,MATCH($B$1,Database!$A$1:$C$1,),))</f>
        <v/>
      </c>
      <c r="C13982">
        <f>IF(VLOOKUP(Table7[[#This Row],[Date]],Database!$A:$C,MATCH($C$1,Database!$A$1:$C$1,),)=0,#N/A,VLOOKUP(Table7[[#This Row],[Date]],Database!$A:$C,MATCH($C$1,Database!$A$1:$C$1,),))</f>
        <v/>
      </c>
      <c r="D13982">
        <f>IFERROR(Table7[[#This Row],[United States 10y]]-Table7[[#This Row],[United States 3y]],#N/A)</f>
        <v/>
      </c>
    </row>
    <row r="13983">
      <c r="A13983" s="6">
        <f>Database!$A16068</f>
        <v/>
      </c>
      <c r="B13983">
        <f>IF(VLOOKUP(Table7[[#This Row],[Date]],Database!$A:$C,MATCH($B$1,Database!$A$1:$C$1,),)=0,#N/A,VLOOKUP(Table7[[#This Row],[Date]],Database!$A:$C,MATCH($B$1,Database!$A$1:$C$1,),))</f>
        <v/>
      </c>
      <c r="C13983">
        <f>IF(VLOOKUP(Table7[[#This Row],[Date]],Database!$A:$C,MATCH($C$1,Database!$A$1:$C$1,),)=0,#N/A,VLOOKUP(Table7[[#This Row],[Date]],Database!$A:$C,MATCH($C$1,Database!$A$1:$C$1,),))</f>
        <v/>
      </c>
      <c r="D13983">
        <f>IFERROR(Table7[[#This Row],[United States 10y]]-Table7[[#This Row],[United States 3y]],#N/A)</f>
        <v/>
      </c>
    </row>
    <row r="13984">
      <c r="A13984" s="6">
        <f>Database!$A16069</f>
        <v/>
      </c>
      <c r="B13984">
        <f>IF(VLOOKUP(Table7[[#This Row],[Date]],Database!$A:$C,MATCH($B$1,Database!$A$1:$C$1,),)=0,#N/A,VLOOKUP(Table7[[#This Row],[Date]],Database!$A:$C,MATCH($B$1,Database!$A$1:$C$1,),))</f>
        <v/>
      </c>
      <c r="C13984">
        <f>IF(VLOOKUP(Table7[[#This Row],[Date]],Database!$A:$C,MATCH($C$1,Database!$A$1:$C$1,),)=0,#N/A,VLOOKUP(Table7[[#This Row],[Date]],Database!$A:$C,MATCH($C$1,Database!$A$1:$C$1,),))</f>
        <v/>
      </c>
      <c r="D13984">
        <f>IFERROR(Table7[[#This Row],[United States 10y]]-Table7[[#This Row],[United States 3y]],#N/A)</f>
        <v/>
      </c>
    </row>
    <row r="13985">
      <c r="A13985" s="6">
        <f>Database!$A16070</f>
        <v/>
      </c>
      <c r="B13985">
        <f>IF(VLOOKUP(Table7[[#This Row],[Date]],Database!$A:$C,MATCH($B$1,Database!$A$1:$C$1,),)=0,#N/A,VLOOKUP(Table7[[#This Row],[Date]],Database!$A:$C,MATCH($B$1,Database!$A$1:$C$1,),))</f>
        <v/>
      </c>
      <c r="C13985">
        <f>IF(VLOOKUP(Table7[[#This Row],[Date]],Database!$A:$C,MATCH($C$1,Database!$A$1:$C$1,),)=0,#N/A,VLOOKUP(Table7[[#This Row],[Date]],Database!$A:$C,MATCH($C$1,Database!$A$1:$C$1,),))</f>
        <v/>
      </c>
      <c r="D13985">
        <f>IFERROR(Table7[[#This Row],[United States 10y]]-Table7[[#This Row],[United States 3y]],#N/A)</f>
        <v/>
      </c>
    </row>
    <row r="13986">
      <c r="A13986" s="6">
        <f>Database!$A16071</f>
        <v/>
      </c>
      <c r="B13986">
        <f>IF(VLOOKUP(Table7[[#This Row],[Date]],Database!$A:$C,MATCH($B$1,Database!$A$1:$C$1,),)=0,#N/A,VLOOKUP(Table7[[#This Row],[Date]],Database!$A:$C,MATCH($B$1,Database!$A$1:$C$1,),))</f>
        <v/>
      </c>
      <c r="C13986">
        <f>IF(VLOOKUP(Table7[[#This Row],[Date]],Database!$A:$C,MATCH($C$1,Database!$A$1:$C$1,),)=0,#N/A,VLOOKUP(Table7[[#This Row],[Date]],Database!$A:$C,MATCH($C$1,Database!$A$1:$C$1,),))</f>
        <v/>
      </c>
      <c r="D13986">
        <f>IFERROR(Table7[[#This Row],[United States 10y]]-Table7[[#This Row],[United States 3y]],#N/A)</f>
        <v/>
      </c>
    </row>
    <row r="13987">
      <c r="A13987" s="6">
        <f>Database!$A16072</f>
        <v/>
      </c>
      <c r="B13987">
        <f>IF(VLOOKUP(Table7[[#This Row],[Date]],Database!$A:$C,MATCH($B$1,Database!$A$1:$C$1,),)=0,#N/A,VLOOKUP(Table7[[#This Row],[Date]],Database!$A:$C,MATCH($B$1,Database!$A$1:$C$1,),))</f>
        <v/>
      </c>
      <c r="C13987">
        <f>IF(VLOOKUP(Table7[[#This Row],[Date]],Database!$A:$C,MATCH($C$1,Database!$A$1:$C$1,),)=0,#N/A,VLOOKUP(Table7[[#This Row],[Date]],Database!$A:$C,MATCH($C$1,Database!$A$1:$C$1,),))</f>
        <v/>
      </c>
      <c r="D13987">
        <f>IFERROR(Table7[[#This Row],[United States 10y]]-Table7[[#This Row],[United States 3y]],#N/A)</f>
        <v/>
      </c>
    </row>
    <row r="13988">
      <c r="A13988" s="6">
        <f>Database!$A16073</f>
        <v/>
      </c>
      <c r="B13988">
        <f>IF(VLOOKUP(Table7[[#This Row],[Date]],Database!$A:$C,MATCH($B$1,Database!$A$1:$C$1,),)=0,#N/A,VLOOKUP(Table7[[#This Row],[Date]],Database!$A:$C,MATCH($B$1,Database!$A$1:$C$1,),))</f>
        <v/>
      </c>
      <c r="C13988">
        <f>IF(VLOOKUP(Table7[[#This Row],[Date]],Database!$A:$C,MATCH($C$1,Database!$A$1:$C$1,),)=0,#N/A,VLOOKUP(Table7[[#This Row],[Date]],Database!$A:$C,MATCH($C$1,Database!$A$1:$C$1,),))</f>
        <v/>
      </c>
      <c r="D13988">
        <f>IFERROR(Table7[[#This Row],[United States 10y]]-Table7[[#This Row],[United States 3y]],#N/A)</f>
        <v/>
      </c>
    </row>
    <row r="13989">
      <c r="A13989" s="6">
        <f>Database!$A16074</f>
        <v/>
      </c>
      <c r="B13989">
        <f>IF(VLOOKUP(Table7[[#This Row],[Date]],Database!$A:$C,MATCH($B$1,Database!$A$1:$C$1,),)=0,#N/A,VLOOKUP(Table7[[#This Row],[Date]],Database!$A:$C,MATCH($B$1,Database!$A$1:$C$1,),))</f>
        <v/>
      </c>
      <c r="C13989">
        <f>IF(VLOOKUP(Table7[[#This Row],[Date]],Database!$A:$C,MATCH($C$1,Database!$A$1:$C$1,),)=0,#N/A,VLOOKUP(Table7[[#This Row],[Date]],Database!$A:$C,MATCH($C$1,Database!$A$1:$C$1,),))</f>
        <v/>
      </c>
      <c r="D13989">
        <f>IFERROR(Table7[[#This Row],[United States 10y]]-Table7[[#This Row],[United States 3y]],#N/A)</f>
        <v/>
      </c>
    </row>
    <row r="13990">
      <c r="A13990" s="6">
        <f>Database!$A16075</f>
        <v/>
      </c>
      <c r="B13990">
        <f>IF(VLOOKUP(Table7[[#This Row],[Date]],Database!$A:$C,MATCH($B$1,Database!$A$1:$C$1,),)=0,#N/A,VLOOKUP(Table7[[#This Row],[Date]],Database!$A:$C,MATCH($B$1,Database!$A$1:$C$1,),))</f>
        <v/>
      </c>
      <c r="C13990">
        <f>IF(VLOOKUP(Table7[[#This Row],[Date]],Database!$A:$C,MATCH($C$1,Database!$A$1:$C$1,),)=0,#N/A,VLOOKUP(Table7[[#This Row],[Date]],Database!$A:$C,MATCH($C$1,Database!$A$1:$C$1,),))</f>
        <v/>
      </c>
      <c r="D13990">
        <f>IFERROR(Table7[[#This Row],[United States 10y]]-Table7[[#This Row],[United States 3y]],#N/A)</f>
        <v/>
      </c>
    </row>
    <row r="13991">
      <c r="A13991" s="6">
        <f>Database!$A16076</f>
        <v/>
      </c>
      <c r="B13991">
        <f>IF(VLOOKUP(Table7[[#This Row],[Date]],Database!$A:$C,MATCH($B$1,Database!$A$1:$C$1,),)=0,#N/A,VLOOKUP(Table7[[#This Row],[Date]],Database!$A:$C,MATCH($B$1,Database!$A$1:$C$1,),))</f>
        <v/>
      </c>
      <c r="C13991">
        <f>IF(VLOOKUP(Table7[[#This Row],[Date]],Database!$A:$C,MATCH($C$1,Database!$A$1:$C$1,),)=0,#N/A,VLOOKUP(Table7[[#This Row],[Date]],Database!$A:$C,MATCH($C$1,Database!$A$1:$C$1,),))</f>
        <v/>
      </c>
      <c r="D13991">
        <f>IFERROR(Table7[[#This Row],[United States 10y]]-Table7[[#This Row],[United States 3y]],#N/A)</f>
        <v/>
      </c>
    </row>
    <row r="13992">
      <c r="A13992" s="6">
        <f>Database!$A16077</f>
        <v/>
      </c>
      <c r="B13992">
        <f>IF(VLOOKUP(Table7[[#This Row],[Date]],Database!$A:$C,MATCH($B$1,Database!$A$1:$C$1,),)=0,#N/A,VLOOKUP(Table7[[#This Row],[Date]],Database!$A:$C,MATCH($B$1,Database!$A$1:$C$1,),))</f>
        <v/>
      </c>
      <c r="C13992">
        <f>IF(VLOOKUP(Table7[[#This Row],[Date]],Database!$A:$C,MATCH($C$1,Database!$A$1:$C$1,),)=0,#N/A,VLOOKUP(Table7[[#This Row],[Date]],Database!$A:$C,MATCH($C$1,Database!$A$1:$C$1,),))</f>
        <v/>
      </c>
      <c r="D13992">
        <f>IFERROR(Table7[[#This Row],[United States 10y]]-Table7[[#This Row],[United States 3y]],#N/A)</f>
        <v/>
      </c>
    </row>
    <row r="13993">
      <c r="A13993" s="6">
        <f>Database!$A16078</f>
        <v/>
      </c>
      <c r="B13993">
        <f>IF(VLOOKUP(Table7[[#This Row],[Date]],Database!$A:$C,MATCH($B$1,Database!$A$1:$C$1,),)=0,#N/A,VLOOKUP(Table7[[#This Row],[Date]],Database!$A:$C,MATCH($B$1,Database!$A$1:$C$1,),))</f>
        <v/>
      </c>
      <c r="C13993">
        <f>IF(VLOOKUP(Table7[[#This Row],[Date]],Database!$A:$C,MATCH($C$1,Database!$A$1:$C$1,),)=0,#N/A,VLOOKUP(Table7[[#This Row],[Date]],Database!$A:$C,MATCH($C$1,Database!$A$1:$C$1,),))</f>
        <v/>
      </c>
      <c r="D13993">
        <f>IFERROR(Table7[[#This Row],[United States 10y]]-Table7[[#This Row],[United States 3y]],#N/A)</f>
        <v/>
      </c>
    </row>
    <row r="13994">
      <c r="A13994" s="6">
        <f>Database!$A16079</f>
        <v/>
      </c>
      <c r="B13994">
        <f>IF(VLOOKUP(Table7[[#This Row],[Date]],Database!$A:$C,MATCH($B$1,Database!$A$1:$C$1,),)=0,#N/A,VLOOKUP(Table7[[#This Row],[Date]],Database!$A:$C,MATCH($B$1,Database!$A$1:$C$1,),))</f>
        <v/>
      </c>
      <c r="C13994">
        <f>IF(VLOOKUP(Table7[[#This Row],[Date]],Database!$A:$C,MATCH($C$1,Database!$A$1:$C$1,),)=0,#N/A,VLOOKUP(Table7[[#This Row],[Date]],Database!$A:$C,MATCH($C$1,Database!$A$1:$C$1,),))</f>
        <v/>
      </c>
      <c r="D13994">
        <f>IFERROR(Table7[[#This Row],[United States 10y]]-Table7[[#This Row],[United States 3y]],#N/A)</f>
        <v/>
      </c>
    </row>
    <row r="13995">
      <c r="A13995" s="6">
        <f>Database!$A16080</f>
        <v/>
      </c>
      <c r="B13995">
        <f>IF(VLOOKUP(Table7[[#This Row],[Date]],Database!$A:$C,MATCH($B$1,Database!$A$1:$C$1,),)=0,#N/A,VLOOKUP(Table7[[#This Row],[Date]],Database!$A:$C,MATCH($B$1,Database!$A$1:$C$1,),))</f>
        <v/>
      </c>
      <c r="C13995">
        <f>IF(VLOOKUP(Table7[[#This Row],[Date]],Database!$A:$C,MATCH($C$1,Database!$A$1:$C$1,),)=0,#N/A,VLOOKUP(Table7[[#This Row],[Date]],Database!$A:$C,MATCH($C$1,Database!$A$1:$C$1,),))</f>
        <v/>
      </c>
      <c r="D13995">
        <f>IFERROR(Table7[[#This Row],[United States 10y]]-Table7[[#This Row],[United States 3y]],#N/A)</f>
        <v/>
      </c>
    </row>
    <row r="13996">
      <c r="A13996" s="6">
        <f>Database!$A16081</f>
        <v/>
      </c>
      <c r="B13996">
        <f>IF(VLOOKUP(Table7[[#This Row],[Date]],Database!$A:$C,MATCH($B$1,Database!$A$1:$C$1,),)=0,#N/A,VLOOKUP(Table7[[#This Row],[Date]],Database!$A:$C,MATCH($B$1,Database!$A$1:$C$1,),))</f>
        <v/>
      </c>
      <c r="C13996">
        <f>IF(VLOOKUP(Table7[[#This Row],[Date]],Database!$A:$C,MATCH($C$1,Database!$A$1:$C$1,),)=0,#N/A,VLOOKUP(Table7[[#This Row],[Date]],Database!$A:$C,MATCH($C$1,Database!$A$1:$C$1,),))</f>
        <v/>
      </c>
      <c r="D13996">
        <f>IFERROR(Table7[[#This Row],[United States 10y]]-Table7[[#This Row],[United States 3y]],#N/A)</f>
        <v/>
      </c>
    </row>
    <row r="13997">
      <c r="A13997" s="6">
        <f>Database!$A16082</f>
        <v/>
      </c>
      <c r="B13997">
        <f>IF(VLOOKUP(Table7[[#This Row],[Date]],Database!$A:$C,MATCH($B$1,Database!$A$1:$C$1,),)=0,#N/A,VLOOKUP(Table7[[#This Row],[Date]],Database!$A:$C,MATCH($B$1,Database!$A$1:$C$1,),))</f>
        <v/>
      </c>
      <c r="C13997">
        <f>IF(VLOOKUP(Table7[[#This Row],[Date]],Database!$A:$C,MATCH($C$1,Database!$A$1:$C$1,),)=0,#N/A,VLOOKUP(Table7[[#This Row],[Date]],Database!$A:$C,MATCH($C$1,Database!$A$1:$C$1,),))</f>
        <v/>
      </c>
      <c r="D13997">
        <f>IFERROR(Table7[[#This Row],[United States 10y]]-Table7[[#This Row],[United States 3y]],#N/A)</f>
        <v/>
      </c>
    </row>
    <row r="13998">
      <c r="A13998" s="6">
        <f>Database!$A16083</f>
        <v/>
      </c>
      <c r="B13998">
        <f>IF(VLOOKUP(Table7[[#This Row],[Date]],Database!$A:$C,MATCH($B$1,Database!$A$1:$C$1,),)=0,#N/A,VLOOKUP(Table7[[#This Row],[Date]],Database!$A:$C,MATCH($B$1,Database!$A$1:$C$1,),))</f>
        <v/>
      </c>
      <c r="C13998">
        <f>IF(VLOOKUP(Table7[[#This Row],[Date]],Database!$A:$C,MATCH($C$1,Database!$A$1:$C$1,),)=0,#N/A,VLOOKUP(Table7[[#This Row],[Date]],Database!$A:$C,MATCH($C$1,Database!$A$1:$C$1,),))</f>
        <v/>
      </c>
      <c r="D13998">
        <f>IFERROR(Table7[[#This Row],[United States 10y]]-Table7[[#This Row],[United States 3y]],#N/A)</f>
        <v/>
      </c>
    </row>
    <row r="13999">
      <c r="A13999" s="6">
        <f>Database!$A16084</f>
        <v/>
      </c>
      <c r="B13999">
        <f>IF(VLOOKUP(Table7[[#This Row],[Date]],Database!$A:$C,MATCH($B$1,Database!$A$1:$C$1,),)=0,#N/A,VLOOKUP(Table7[[#This Row],[Date]],Database!$A:$C,MATCH($B$1,Database!$A$1:$C$1,),))</f>
        <v/>
      </c>
      <c r="C13999">
        <f>IF(VLOOKUP(Table7[[#This Row],[Date]],Database!$A:$C,MATCH($C$1,Database!$A$1:$C$1,),)=0,#N/A,VLOOKUP(Table7[[#This Row],[Date]],Database!$A:$C,MATCH($C$1,Database!$A$1:$C$1,),))</f>
        <v/>
      </c>
      <c r="D13999">
        <f>IFERROR(Table7[[#This Row],[United States 10y]]-Table7[[#This Row],[United States 3y]],#N/A)</f>
        <v/>
      </c>
    </row>
    <row r="14000">
      <c r="A14000" s="6">
        <f>Database!$A16085</f>
        <v/>
      </c>
      <c r="B14000">
        <f>IF(VLOOKUP(Table7[[#This Row],[Date]],Database!$A:$C,MATCH($B$1,Database!$A$1:$C$1,),)=0,#N/A,VLOOKUP(Table7[[#This Row],[Date]],Database!$A:$C,MATCH($B$1,Database!$A$1:$C$1,),))</f>
        <v/>
      </c>
      <c r="C14000">
        <f>IF(VLOOKUP(Table7[[#This Row],[Date]],Database!$A:$C,MATCH($C$1,Database!$A$1:$C$1,),)=0,#N/A,VLOOKUP(Table7[[#This Row],[Date]],Database!$A:$C,MATCH($C$1,Database!$A$1:$C$1,),))</f>
        <v/>
      </c>
      <c r="D14000">
        <f>IFERROR(Table7[[#This Row],[United States 10y]]-Table7[[#This Row],[United States 3y]],#N/A)</f>
        <v/>
      </c>
    </row>
    <row r="14001">
      <c r="A14001" s="6">
        <f>Database!$A16086</f>
        <v/>
      </c>
      <c r="B14001">
        <f>IF(VLOOKUP(Table7[[#This Row],[Date]],Database!$A:$C,MATCH($B$1,Database!$A$1:$C$1,),)=0,#N/A,VLOOKUP(Table7[[#This Row],[Date]],Database!$A:$C,MATCH($B$1,Database!$A$1:$C$1,),))</f>
        <v/>
      </c>
      <c r="C14001">
        <f>IF(VLOOKUP(Table7[[#This Row],[Date]],Database!$A:$C,MATCH($C$1,Database!$A$1:$C$1,),)=0,#N/A,VLOOKUP(Table7[[#This Row],[Date]],Database!$A:$C,MATCH($C$1,Database!$A$1:$C$1,),))</f>
        <v/>
      </c>
      <c r="D14001">
        <f>IFERROR(Table7[[#This Row],[United States 10y]]-Table7[[#This Row],[United States 3y]],#N/A)</f>
        <v/>
      </c>
    </row>
    <row r="14002">
      <c r="A14002" s="6">
        <f>Database!$A16087</f>
        <v/>
      </c>
      <c r="B14002">
        <f>IF(VLOOKUP(Table7[[#This Row],[Date]],Database!$A:$C,MATCH($B$1,Database!$A$1:$C$1,),)=0,#N/A,VLOOKUP(Table7[[#This Row],[Date]],Database!$A:$C,MATCH($B$1,Database!$A$1:$C$1,),))</f>
        <v/>
      </c>
      <c r="C14002">
        <f>IF(VLOOKUP(Table7[[#This Row],[Date]],Database!$A:$C,MATCH($C$1,Database!$A$1:$C$1,),)=0,#N/A,VLOOKUP(Table7[[#This Row],[Date]],Database!$A:$C,MATCH($C$1,Database!$A$1:$C$1,),))</f>
        <v/>
      </c>
      <c r="D14002">
        <f>IFERROR(Table7[[#This Row],[United States 10y]]-Table7[[#This Row],[United States 3y]],#N/A)</f>
        <v/>
      </c>
    </row>
    <row r="14003">
      <c r="A14003" s="6">
        <f>Database!$A16088</f>
        <v/>
      </c>
      <c r="B14003">
        <f>IF(VLOOKUP(Table7[[#This Row],[Date]],Database!$A:$C,MATCH($B$1,Database!$A$1:$C$1,),)=0,#N/A,VLOOKUP(Table7[[#This Row],[Date]],Database!$A:$C,MATCH($B$1,Database!$A$1:$C$1,),))</f>
        <v/>
      </c>
      <c r="C14003">
        <f>IF(VLOOKUP(Table7[[#This Row],[Date]],Database!$A:$C,MATCH($C$1,Database!$A$1:$C$1,),)=0,#N/A,VLOOKUP(Table7[[#This Row],[Date]],Database!$A:$C,MATCH($C$1,Database!$A$1:$C$1,),))</f>
        <v/>
      </c>
      <c r="D14003">
        <f>IFERROR(Table7[[#This Row],[United States 10y]]-Table7[[#This Row],[United States 3y]],#N/A)</f>
        <v/>
      </c>
    </row>
    <row r="14004">
      <c r="A14004" s="6">
        <f>Database!$A16089</f>
        <v/>
      </c>
      <c r="B14004">
        <f>IF(VLOOKUP(Table7[[#This Row],[Date]],Database!$A:$C,MATCH($B$1,Database!$A$1:$C$1,),)=0,#N/A,VLOOKUP(Table7[[#This Row],[Date]],Database!$A:$C,MATCH($B$1,Database!$A$1:$C$1,),))</f>
        <v/>
      </c>
      <c r="C14004">
        <f>IF(VLOOKUP(Table7[[#This Row],[Date]],Database!$A:$C,MATCH($C$1,Database!$A$1:$C$1,),)=0,#N/A,VLOOKUP(Table7[[#This Row],[Date]],Database!$A:$C,MATCH($C$1,Database!$A$1:$C$1,),))</f>
        <v/>
      </c>
      <c r="D14004">
        <f>IFERROR(Table7[[#This Row],[United States 10y]]-Table7[[#This Row],[United States 3y]],#N/A)</f>
        <v/>
      </c>
    </row>
    <row r="14005">
      <c r="A14005" s="6">
        <f>Database!$A16090</f>
        <v/>
      </c>
      <c r="B14005">
        <f>IF(VLOOKUP(Table7[[#This Row],[Date]],Database!$A:$C,MATCH($B$1,Database!$A$1:$C$1,),)=0,#N/A,VLOOKUP(Table7[[#This Row],[Date]],Database!$A:$C,MATCH($B$1,Database!$A$1:$C$1,),))</f>
        <v/>
      </c>
      <c r="C14005">
        <f>IF(VLOOKUP(Table7[[#This Row],[Date]],Database!$A:$C,MATCH($C$1,Database!$A$1:$C$1,),)=0,#N/A,VLOOKUP(Table7[[#This Row],[Date]],Database!$A:$C,MATCH($C$1,Database!$A$1:$C$1,),))</f>
        <v/>
      </c>
      <c r="D14005">
        <f>IFERROR(Table7[[#This Row],[United States 10y]]-Table7[[#This Row],[United States 3y]],#N/A)</f>
        <v/>
      </c>
    </row>
    <row r="14006">
      <c r="A14006" s="6">
        <f>Database!$A16091</f>
        <v/>
      </c>
      <c r="B14006">
        <f>IF(VLOOKUP(Table7[[#This Row],[Date]],Database!$A:$C,MATCH($B$1,Database!$A$1:$C$1,),)=0,#N/A,VLOOKUP(Table7[[#This Row],[Date]],Database!$A:$C,MATCH($B$1,Database!$A$1:$C$1,),))</f>
        <v/>
      </c>
      <c r="C14006">
        <f>IF(VLOOKUP(Table7[[#This Row],[Date]],Database!$A:$C,MATCH($C$1,Database!$A$1:$C$1,),)=0,#N/A,VLOOKUP(Table7[[#This Row],[Date]],Database!$A:$C,MATCH($C$1,Database!$A$1:$C$1,),))</f>
        <v/>
      </c>
      <c r="D14006">
        <f>IFERROR(Table7[[#This Row],[United States 10y]]-Table7[[#This Row],[United States 3y]],#N/A)</f>
        <v/>
      </c>
    </row>
    <row r="14007">
      <c r="A14007" s="6">
        <f>Database!$A16092</f>
        <v/>
      </c>
      <c r="B14007">
        <f>IF(VLOOKUP(Table7[[#This Row],[Date]],Database!$A:$C,MATCH($B$1,Database!$A$1:$C$1,),)=0,#N/A,VLOOKUP(Table7[[#This Row],[Date]],Database!$A:$C,MATCH($B$1,Database!$A$1:$C$1,),))</f>
        <v/>
      </c>
      <c r="C14007">
        <f>IF(VLOOKUP(Table7[[#This Row],[Date]],Database!$A:$C,MATCH($C$1,Database!$A$1:$C$1,),)=0,#N/A,VLOOKUP(Table7[[#This Row],[Date]],Database!$A:$C,MATCH($C$1,Database!$A$1:$C$1,),))</f>
        <v/>
      </c>
      <c r="D14007">
        <f>IFERROR(Table7[[#This Row],[United States 10y]]-Table7[[#This Row],[United States 3y]],#N/A)</f>
        <v/>
      </c>
    </row>
    <row r="14008">
      <c r="A14008" s="6">
        <f>Database!$A16093</f>
        <v/>
      </c>
      <c r="B14008">
        <f>IF(VLOOKUP(Table7[[#This Row],[Date]],Database!$A:$C,MATCH($B$1,Database!$A$1:$C$1,),)=0,#N/A,VLOOKUP(Table7[[#This Row],[Date]],Database!$A:$C,MATCH($B$1,Database!$A$1:$C$1,),))</f>
        <v/>
      </c>
      <c r="C14008">
        <f>IF(VLOOKUP(Table7[[#This Row],[Date]],Database!$A:$C,MATCH($C$1,Database!$A$1:$C$1,),)=0,#N/A,VLOOKUP(Table7[[#This Row],[Date]],Database!$A:$C,MATCH($C$1,Database!$A$1:$C$1,),))</f>
        <v/>
      </c>
      <c r="D14008">
        <f>IFERROR(Table7[[#This Row],[United States 10y]]-Table7[[#This Row],[United States 3y]],#N/A)</f>
        <v/>
      </c>
    </row>
    <row r="14009">
      <c r="A14009" s="6">
        <f>Database!$A16094</f>
        <v/>
      </c>
      <c r="B14009">
        <f>IF(VLOOKUP(Table7[[#This Row],[Date]],Database!$A:$C,MATCH($B$1,Database!$A$1:$C$1,),)=0,#N/A,VLOOKUP(Table7[[#This Row],[Date]],Database!$A:$C,MATCH($B$1,Database!$A$1:$C$1,),))</f>
        <v/>
      </c>
      <c r="C14009">
        <f>IF(VLOOKUP(Table7[[#This Row],[Date]],Database!$A:$C,MATCH($C$1,Database!$A$1:$C$1,),)=0,#N/A,VLOOKUP(Table7[[#This Row],[Date]],Database!$A:$C,MATCH($C$1,Database!$A$1:$C$1,),))</f>
        <v/>
      </c>
      <c r="D14009">
        <f>IFERROR(Table7[[#This Row],[United States 10y]]-Table7[[#This Row],[United States 3y]],#N/A)</f>
        <v/>
      </c>
    </row>
    <row r="14010">
      <c r="A14010" s="6">
        <f>Database!$A16095</f>
        <v/>
      </c>
      <c r="B14010">
        <f>IF(VLOOKUP(Table7[[#This Row],[Date]],Database!$A:$C,MATCH($B$1,Database!$A$1:$C$1,),)=0,#N/A,VLOOKUP(Table7[[#This Row],[Date]],Database!$A:$C,MATCH($B$1,Database!$A$1:$C$1,),))</f>
        <v/>
      </c>
      <c r="C14010">
        <f>IF(VLOOKUP(Table7[[#This Row],[Date]],Database!$A:$C,MATCH($C$1,Database!$A$1:$C$1,),)=0,#N/A,VLOOKUP(Table7[[#This Row],[Date]],Database!$A:$C,MATCH($C$1,Database!$A$1:$C$1,),))</f>
        <v/>
      </c>
      <c r="D14010">
        <f>IFERROR(Table7[[#This Row],[United States 10y]]-Table7[[#This Row],[United States 3y]],#N/A)</f>
        <v/>
      </c>
    </row>
    <row r="14011">
      <c r="A14011" s="6">
        <f>Database!$A16096</f>
        <v/>
      </c>
      <c r="B14011">
        <f>IF(VLOOKUP(Table7[[#This Row],[Date]],Database!$A:$C,MATCH($B$1,Database!$A$1:$C$1,),)=0,#N/A,VLOOKUP(Table7[[#This Row],[Date]],Database!$A:$C,MATCH($B$1,Database!$A$1:$C$1,),))</f>
        <v/>
      </c>
      <c r="C14011">
        <f>IF(VLOOKUP(Table7[[#This Row],[Date]],Database!$A:$C,MATCH($C$1,Database!$A$1:$C$1,),)=0,#N/A,VLOOKUP(Table7[[#This Row],[Date]],Database!$A:$C,MATCH($C$1,Database!$A$1:$C$1,),))</f>
        <v/>
      </c>
      <c r="D14011">
        <f>IFERROR(Table7[[#This Row],[United States 10y]]-Table7[[#This Row],[United States 3y]],#N/A)</f>
        <v/>
      </c>
    </row>
    <row r="14012">
      <c r="A14012" s="6">
        <f>Database!$A16097</f>
        <v/>
      </c>
      <c r="B14012">
        <f>IF(VLOOKUP(Table7[[#This Row],[Date]],Database!$A:$C,MATCH($B$1,Database!$A$1:$C$1,),)=0,#N/A,VLOOKUP(Table7[[#This Row],[Date]],Database!$A:$C,MATCH($B$1,Database!$A$1:$C$1,),))</f>
        <v/>
      </c>
      <c r="C14012">
        <f>IF(VLOOKUP(Table7[[#This Row],[Date]],Database!$A:$C,MATCH($C$1,Database!$A$1:$C$1,),)=0,#N/A,VLOOKUP(Table7[[#This Row],[Date]],Database!$A:$C,MATCH($C$1,Database!$A$1:$C$1,),))</f>
        <v/>
      </c>
      <c r="D14012">
        <f>IFERROR(Table7[[#This Row],[United States 10y]]-Table7[[#This Row],[United States 3y]],#N/A)</f>
        <v/>
      </c>
    </row>
    <row r="14013">
      <c r="A14013" s="6">
        <f>Database!$A16098</f>
        <v/>
      </c>
      <c r="B14013">
        <f>IF(VLOOKUP(Table7[[#This Row],[Date]],Database!$A:$C,MATCH($B$1,Database!$A$1:$C$1,),)=0,#N/A,VLOOKUP(Table7[[#This Row],[Date]],Database!$A:$C,MATCH($B$1,Database!$A$1:$C$1,),))</f>
        <v/>
      </c>
      <c r="C14013">
        <f>IF(VLOOKUP(Table7[[#This Row],[Date]],Database!$A:$C,MATCH($C$1,Database!$A$1:$C$1,),)=0,#N/A,VLOOKUP(Table7[[#This Row],[Date]],Database!$A:$C,MATCH($C$1,Database!$A$1:$C$1,),))</f>
        <v/>
      </c>
      <c r="D14013">
        <f>IFERROR(Table7[[#This Row],[United States 10y]]-Table7[[#This Row],[United States 3y]],#N/A)</f>
        <v/>
      </c>
    </row>
    <row r="14014">
      <c r="A14014" s="6">
        <f>Database!$A16099</f>
        <v/>
      </c>
      <c r="B14014">
        <f>IF(VLOOKUP(Table7[[#This Row],[Date]],Database!$A:$C,MATCH($B$1,Database!$A$1:$C$1,),)=0,#N/A,VLOOKUP(Table7[[#This Row],[Date]],Database!$A:$C,MATCH($B$1,Database!$A$1:$C$1,),))</f>
        <v/>
      </c>
      <c r="C14014">
        <f>IF(VLOOKUP(Table7[[#This Row],[Date]],Database!$A:$C,MATCH($C$1,Database!$A$1:$C$1,),)=0,#N/A,VLOOKUP(Table7[[#This Row],[Date]],Database!$A:$C,MATCH($C$1,Database!$A$1:$C$1,),))</f>
        <v/>
      </c>
      <c r="D14014">
        <f>IFERROR(Table7[[#This Row],[United States 10y]]-Table7[[#This Row],[United States 3y]],#N/A)</f>
        <v/>
      </c>
    </row>
    <row r="14015">
      <c r="A14015" s="6">
        <f>Database!$A16100</f>
        <v/>
      </c>
      <c r="B14015">
        <f>IF(VLOOKUP(Table7[[#This Row],[Date]],Database!$A:$C,MATCH($B$1,Database!$A$1:$C$1,),)=0,#N/A,VLOOKUP(Table7[[#This Row],[Date]],Database!$A:$C,MATCH($B$1,Database!$A$1:$C$1,),))</f>
        <v/>
      </c>
      <c r="C14015">
        <f>IF(VLOOKUP(Table7[[#This Row],[Date]],Database!$A:$C,MATCH($C$1,Database!$A$1:$C$1,),)=0,#N/A,VLOOKUP(Table7[[#This Row],[Date]],Database!$A:$C,MATCH($C$1,Database!$A$1:$C$1,),))</f>
        <v/>
      </c>
      <c r="D14015">
        <f>IFERROR(Table7[[#This Row],[United States 10y]]-Table7[[#This Row],[United States 3y]],#N/A)</f>
        <v/>
      </c>
    </row>
    <row r="14016">
      <c r="A14016" s="6">
        <f>Database!$A16101</f>
        <v/>
      </c>
      <c r="B14016">
        <f>IF(VLOOKUP(Table7[[#This Row],[Date]],Database!$A:$C,MATCH($B$1,Database!$A$1:$C$1,),)=0,#N/A,VLOOKUP(Table7[[#This Row],[Date]],Database!$A:$C,MATCH($B$1,Database!$A$1:$C$1,),))</f>
        <v/>
      </c>
      <c r="C14016">
        <f>IF(VLOOKUP(Table7[[#This Row],[Date]],Database!$A:$C,MATCH($C$1,Database!$A$1:$C$1,),)=0,#N/A,VLOOKUP(Table7[[#This Row],[Date]],Database!$A:$C,MATCH($C$1,Database!$A$1:$C$1,),))</f>
        <v/>
      </c>
      <c r="D14016">
        <f>IFERROR(Table7[[#This Row],[United States 10y]]-Table7[[#This Row],[United States 3y]],#N/A)</f>
        <v/>
      </c>
    </row>
    <row r="14017">
      <c r="A14017" s="6">
        <f>Database!$A16102</f>
        <v/>
      </c>
      <c r="B14017">
        <f>IF(VLOOKUP(Table7[[#This Row],[Date]],Database!$A:$C,MATCH($B$1,Database!$A$1:$C$1,),)=0,#N/A,VLOOKUP(Table7[[#This Row],[Date]],Database!$A:$C,MATCH($B$1,Database!$A$1:$C$1,),))</f>
        <v/>
      </c>
      <c r="C14017">
        <f>IF(VLOOKUP(Table7[[#This Row],[Date]],Database!$A:$C,MATCH($C$1,Database!$A$1:$C$1,),)=0,#N/A,VLOOKUP(Table7[[#This Row],[Date]],Database!$A:$C,MATCH($C$1,Database!$A$1:$C$1,),))</f>
        <v/>
      </c>
      <c r="D14017">
        <f>IFERROR(Table7[[#This Row],[United States 10y]]-Table7[[#This Row],[United States 3y]],#N/A)</f>
        <v/>
      </c>
    </row>
    <row r="14018">
      <c r="A14018" s="6">
        <f>Database!$A16103</f>
        <v/>
      </c>
      <c r="B14018">
        <f>IF(VLOOKUP(Table7[[#This Row],[Date]],Database!$A:$C,MATCH($B$1,Database!$A$1:$C$1,),)=0,#N/A,VLOOKUP(Table7[[#This Row],[Date]],Database!$A:$C,MATCH($B$1,Database!$A$1:$C$1,),))</f>
        <v/>
      </c>
      <c r="C14018">
        <f>IF(VLOOKUP(Table7[[#This Row],[Date]],Database!$A:$C,MATCH($C$1,Database!$A$1:$C$1,),)=0,#N/A,VLOOKUP(Table7[[#This Row],[Date]],Database!$A:$C,MATCH($C$1,Database!$A$1:$C$1,),))</f>
        <v/>
      </c>
      <c r="D14018">
        <f>IFERROR(Table7[[#This Row],[United States 10y]]-Table7[[#This Row],[United States 3y]],#N/A)</f>
        <v/>
      </c>
    </row>
    <row r="14019">
      <c r="A14019" s="6">
        <f>Database!$A16104</f>
        <v/>
      </c>
      <c r="B14019">
        <f>IF(VLOOKUP(Table7[[#This Row],[Date]],Database!$A:$C,MATCH($B$1,Database!$A$1:$C$1,),)=0,#N/A,VLOOKUP(Table7[[#This Row],[Date]],Database!$A:$C,MATCH($B$1,Database!$A$1:$C$1,),))</f>
        <v/>
      </c>
      <c r="C14019">
        <f>IF(VLOOKUP(Table7[[#This Row],[Date]],Database!$A:$C,MATCH($C$1,Database!$A$1:$C$1,),)=0,#N/A,VLOOKUP(Table7[[#This Row],[Date]],Database!$A:$C,MATCH($C$1,Database!$A$1:$C$1,),))</f>
        <v/>
      </c>
      <c r="D14019">
        <f>IFERROR(Table7[[#This Row],[United States 10y]]-Table7[[#This Row],[United States 3y]],#N/A)</f>
        <v/>
      </c>
    </row>
    <row r="14020">
      <c r="A14020" s="6">
        <f>Database!$A16105</f>
        <v/>
      </c>
      <c r="B14020">
        <f>IF(VLOOKUP(Table7[[#This Row],[Date]],Database!$A:$C,MATCH($B$1,Database!$A$1:$C$1,),)=0,#N/A,VLOOKUP(Table7[[#This Row],[Date]],Database!$A:$C,MATCH($B$1,Database!$A$1:$C$1,),))</f>
        <v/>
      </c>
      <c r="C14020">
        <f>IF(VLOOKUP(Table7[[#This Row],[Date]],Database!$A:$C,MATCH($C$1,Database!$A$1:$C$1,),)=0,#N/A,VLOOKUP(Table7[[#This Row],[Date]],Database!$A:$C,MATCH($C$1,Database!$A$1:$C$1,),))</f>
        <v/>
      </c>
      <c r="D14020">
        <f>IFERROR(Table7[[#This Row],[United States 10y]]-Table7[[#This Row],[United States 3y]],#N/A)</f>
        <v/>
      </c>
    </row>
    <row r="14021">
      <c r="A14021" s="6">
        <f>Database!$A16106</f>
        <v/>
      </c>
      <c r="B14021">
        <f>IF(VLOOKUP(Table7[[#This Row],[Date]],Database!$A:$C,MATCH($B$1,Database!$A$1:$C$1,),)=0,#N/A,VLOOKUP(Table7[[#This Row],[Date]],Database!$A:$C,MATCH($B$1,Database!$A$1:$C$1,),))</f>
        <v/>
      </c>
      <c r="C14021">
        <f>IF(VLOOKUP(Table7[[#This Row],[Date]],Database!$A:$C,MATCH($C$1,Database!$A$1:$C$1,),)=0,#N/A,VLOOKUP(Table7[[#This Row],[Date]],Database!$A:$C,MATCH($C$1,Database!$A$1:$C$1,),))</f>
        <v/>
      </c>
      <c r="D14021">
        <f>IFERROR(Table7[[#This Row],[United States 10y]]-Table7[[#This Row],[United States 3y]],#N/A)</f>
        <v/>
      </c>
    </row>
    <row r="14022">
      <c r="A14022" s="6">
        <f>Database!$A16107</f>
        <v/>
      </c>
      <c r="B14022">
        <f>IF(VLOOKUP(Table7[[#This Row],[Date]],Database!$A:$C,MATCH($B$1,Database!$A$1:$C$1,),)=0,#N/A,VLOOKUP(Table7[[#This Row],[Date]],Database!$A:$C,MATCH($B$1,Database!$A$1:$C$1,),))</f>
        <v/>
      </c>
      <c r="C14022">
        <f>IF(VLOOKUP(Table7[[#This Row],[Date]],Database!$A:$C,MATCH($C$1,Database!$A$1:$C$1,),)=0,#N/A,VLOOKUP(Table7[[#This Row],[Date]],Database!$A:$C,MATCH($C$1,Database!$A$1:$C$1,),))</f>
        <v/>
      </c>
      <c r="D14022">
        <f>IFERROR(Table7[[#This Row],[United States 10y]]-Table7[[#This Row],[United States 3y]],#N/A)</f>
        <v/>
      </c>
    </row>
    <row r="14023">
      <c r="A14023" s="6">
        <f>Database!$A16108</f>
        <v/>
      </c>
      <c r="B14023">
        <f>IF(VLOOKUP(Table7[[#This Row],[Date]],Database!$A:$C,MATCH($B$1,Database!$A$1:$C$1,),)=0,#N/A,VLOOKUP(Table7[[#This Row],[Date]],Database!$A:$C,MATCH($B$1,Database!$A$1:$C$1,),))</f>
        <v/>
      </c>
      <c r="C14023">
        <f>IF(VLOOKUP(Table7[[#This Row],[Date]],Database!$A:$C,MATCH($C$1,Database!$A$1:$C$1,),)=0,#N/A,VLOOKUP(Table7[[#This Row],[Date]],Database!$A:$C,MATCH($C$1,Database!$A$1:$C$1,),))</f>
        <v/>
      </c>
      <c r="D14023">
        <f>IFERROR(Table7[[#This Row],[United States 10y]]-Table7[[#This Row],[United States 3y]],#N/A)</f>
        <v/>
      </c>
    </row>
    <row r="14024">
      <c r="A14024" s="6">
        <f>Database!$A16109</f>
        <v/>
      </c>
      <c r="B14024">
        <f>IF(VLOOKUP(Table7[[#This Row],[Date]],Database!$A:$C,MATCH($B$1,Database!$A$1:$C$1,),)=0,#N/A,VLOOKUP(Table7[[#This Row],[Date]],Database!$A:$C,MATCH($B$1,Database!$A$1:$C$1,),))</f>
        <v/>
      </c>
      <c r="C14024">
        <f>IF(VLOOKUP(Table7[[#This Row],[Date]],Database!$A:$C,MATCH($C$1,Database!$A$1:$C$1,),)=0,#N/A,VLOOKUP(Table7[[#This Row],[Date]],Database!$A:$C,MATCH($C$1,Database!$A$1:$C$1,),))</f>
        <v/>
      </c>
      <c r="D14024">
        <f>IFERROR(Table7[[#This Row],[United States 10y]]-Table7[[#This Row],[United States 3y]],#N/A)</f>
        <v/>
      </c>
    </row>
    <row r="14025">
      <c r="A14025" s="6">
        <f>Database!$A16110</f>
        <v/>
      </c>
      <c r="B14025">
        <f>IF(VLOOKUP(Table7[[#This Row],[Date]],Database!$A:$C,MATCH($B$1,Database!$A$1:$C$1,),)=0,#N/A,VLOOKUP(Table7[[#This Row],[Date]],Database!$A:$C,MATCH($B$1,Database!$A$1:$C$1,),))</f>
        <v/>
      </c>
      <c r="C14025">
        <f>IF(VLOOKUP(Table7[[#This Row],[Date]],Database!$A:$C,MATCH($C$1,Database!$A$1:$C$1,),)=0,#N/A,VLOOKUP(Table7[[#This Row],[Date]],Database!$A:$C,MATCH($C$1,Database!$A$1:$C$1,),))</f>
        <v/>
      </c>
      <c r="D14025">
        <f>IFERROR(Table7[[#This Row],[United States 10y]]-Table7[[#This Row],[United States 3y]],#N/A)</f>
        <v/>
      </c>
    </row>
    <row r="14026">
      <c r="A14026" s="6">
        <f>Database!$A16111</f>
        <v/>
      </c>
      <c r="B14026">
        <f>IF(VLOOKUP(Table7[[#This Row],[Date]],Database!$A:$C,MATCH($B$1,Database!$A$1:$C$1,),)=0,#N/A,VLOOKUP(Table7[[#This Row],[Date]],Database!$A:$C,MATCH($B$1,Database!$A$1:$C$1,),))</f>
        <v/>
      </c>
      <c r="C14026">
        <f>IF(VLOOKUP(Table7[[#This Row],[Date]],Database!$A:$C,MATCH($C$1,Database!$A$1:$C$1,),)=0,#N/A,VLOOKUP(Table7[[#This Row],[Date]],Database!$A:$C,MATCH($C$1,Database!$A$1:$C$1,),))</f>
        <v/>
      </c>
      <c r="D14026">
        <f>IFERROR(Table7[[#This Row],[United States 10y]]-Table7[[#This Row],[United States 3y]],#N/A)</f>
        <v/>
      </c>
    </row>
    <row r="14027">
      <c r="A14027" s="6">
        <f>Database!$A16112</f>
        <v/>
      </c>
      <c r="B14027">
        <f>IF(VLOOKUP(Table7[[#This Row],[Date]],Database!$A:$C,MATCH($B$1,Database!$A$1:$C$1,),)=0,#N/A,VLOOKUP(Table7[[#This Row],[Date]],Database!$A:$C,MATCH($B$1,Database!$A$1:$C$1,),))</f>
        <v/>
      </c>
      <c r="C14027">
        <f>IF(VLOOKUP(Table7[[#This Row],[Date]],Database!$A:$C,MATCH($C$1,Database!$A$1:$C$1,),)=0,#N/A,VLOOKUP(Table7[[#This Row],[Date]],Database!$A:$C,MATCH($C$1,Database!$A$1:$C$1,),))</f>
        <v/>
      </c>
      <c r="D14027">
        <f>IFERROR(Table7[[#This Row],[United States 10y]]-Table7[[#This Row],[United States 3y]],#N/A)</f>
        <v/>
      </c>
    </row>
    <row r="14028">
      <c r="A14028" s="6">
        <f>Database!$A16113</f>
        <v/>
      </c>
      <c r="B14028">
        <f>IF(VLOOKUP(Table7[[#This Row],[Date]],Database!$A:$C,MATCH($B$1,Database!$A$1:$C$1,),)=0,#N/A,VLOOKUP(Table7[[#This Row],[Date]],Database!$A:$C,MATCH($B$1,Database!$A$1:$C$1,),))</f>
        <v/>
      </c>
      <c r="C14028">
        <f>IF(VLOOKUP(Table7[[#This Row],[Date]],Database!$A:$C,MATCH($C$1,Database!$A$1:$C$1,),)=0,#N/A,VLOOKUP(Table7[[#This Row],[Date]],Database!$A:$C,MATCH($C$1,Database!$A$1:$C$1,),))</f>
        <v/>
      </c>
      <c r="D14028">
        <f>IFERROR(Table7[[#This Row],[United States 10y]]-Table7[[#This Row],[United States 3y]],#N/A)</f>
        <v/>
      </c>
    </row>
    <row r="14029">
      <c r="A14029" s="6">
        <f>Database!$A16114</f>
        <v/>
      </c>
      <c r="B14029">
        <f>IF(VLOOKUP(Table7[[#This Row],[Date]],Database!$A:$C,MATCH($B$1,Database!$A$1:$C$1,),)=0,#N/A,VLOOKUP(Table7[[#This Row],[Date]],Database!$A:$C,MATCH($B$1,Database!$A$1:$C$1,),))</f>
        <v/>
      </c>
      <c r="C14029">
        <f>IF(VLOOKUP(Table7[[#This Row],[Date]],Database!$A:$C,MATCH($C$1,Database!$A$1:$C$1,),)=0,#N/A,VLOOKUP(Table7[[#This Row],[Date]],Database!$A:$C,MATCH($C$1,Database!$A$1:$C$1,),))</f>
        <v/>
      </c>
      <c r="D14029">
        <f>IFERROR(Table7[[#This Row],[United States 10y]]-Table7[[#This Row],[United States 3y]],#N/A)</f>
        <v/>
      </c>
    </row>
    <row r="14030">
      <c r="A14030" s="6">
        <f>Database!$A16115</f>
        <v/>
      </c>
      <c r="B14030">
        <f>IF(VLOOKUP(Table7[[#This Row],[Date]],Database!$A:$C,MATCH($B$1,Database!$A$1:$C$1,),)=0,#N/A,VLOOKUP(Table7[[#This Row],[Date]],Database!$A:$C,MATCH($B$1,Database!$A$1:$C$1,),))</f>
        <v/>
      </c>
      <c r="C14030">
        <f>IF(VLOOKUP(Table7[[#This Row],[Date]],Database!$A:$C,MATCH($C$1,Database!$A$1:$C$1,),)=0,#N/A,VLOOKUP(Table7[[#This Row],[Date]],Database!$A:$C,MATCH($C$1,Database!$A$1:$C$1,),))</f>
        <v/>
      </c>
      <c r="D14030">
        <f>IFERROR(Table7[[#This Row],[United States 10y]]-Table7[[#This Row],[United States 3y]],#N/A)</f>
        <v/>
      </c>
    </row>
    <row r="14031">
      <c r="A14031" s="6">
        <f>Database!$A16116</f>
        <v/>
      </c>
      <c r="B14031">
        <f>IF(VLOOKUP(Table7[[#This Row],[Date]],Database!$A:$C,MATCH($B$1,Database!$A$1:$C$1,),)=0,#N/A,VLOOKUP(Table7[[#This Row],[Date]],Database!$A:$C,MATCH($B$1,Database!$A$1:$C$1,),))</f>
        <v/>
      </c>
      <c r="C14031">
        <f>IF(VLOOKUP(Table7[[#This Row],[Date]],Database!$A:$C,MATCH($C$1,Database!$A$1:$C$1,),)=0,#N/A,VLOOKUP(Table7[[#This Row],[Date]],Database!$A:$C,MATCH($C$1,Database!$A$1:$C$1,),))</f>
        <v/>
      </c>
      <c r="D14031">
        <f>IFERROR(Table7[[#This Row],[United States 10y]]-Table7[[#This Row],[United States 3y]],#N/A)</f>
        <v/>
      </c>
    </row>
    <row r="14032">
      <c r="A14032" s="6">
        <f>Database!$A16117</f>
        <v/>
      </c>
      <c r="B14032">
        <f>IF(VLOOKUP(Table7[[#This Row],[Date]],Database!$A:$C,MATCH($B$1,Database!$A$1:$C$1,),)=0,#N/A,VLOOKUP(Table7[[#This Row],[Date]],Database!$A:$C,MATCH($B$1,Database!$A$1:$C$1,),))</f>
        <v/>
      </c>
      <c r="C14032">
        <f>IF(VLOOKUP(Table7[[#This Row],[Date]],Database!$A:$C,MATCH($C$1,Database!$A$1:$C$1,),)=0,#N/A,VLOOKUP(Table7[[#This Row],[Date]],Database!$A:$C,MATCH($C$1,Database!$A$1:$C$1,),))</f>
        <v/>
      </c>
      <c r="D14032">
        <f>IFERROR(Table7[[#This Row],[United States 10y]]-Table7[[#This Row],[United States 3y]],#N/A)</f>
        <v/>
      </c>
    </row>
    <row r="14033">
      <c r="A14033" s="6">
        <f>Database!$A16118</f>
        <v/>
      </c>
      <c r="B14033">
        <f>IF(VLOOKUP(Table7[[#This Row],[Date]],Database!$A:$C,MATCH($B$1,Database!$A$1:$C$1,),)=0,#N/A,VLOOKUP(Table7[[#This Row],[Date]],Database!$A:$C,MATCH($B$1,Database!$A$1:$C$1,),))</f>
        <v/>
      </c>
      <c r="C14033">
        <f>IF(VLOOKUP(Table7[[#This Row],[Date]],Database!$A:$C,MATCH($C$1,Database!$A$1:$C$1,),)=0,#N/A,VLOOKUP(Table7[[#This Row],[Date]],Database!$A:$C,MATCH($C$1,Database!$A$1:$C$1,),))</f>
        <v/>
      </c>
      <c r="D14033">
        <f>IFERROR(Table7[[#This Row],[United States 10y]]-Table7[[#This Row],[United States 3y]],#N/A)</f>
        <v/>
      </c>
    </row>
    <row r="14034">
      <c r="A14034" s="6">
        <f>Database!$A16119</f>
        <v/>
      </c>
      <c r="B14034">
        <f>IF(VLOOKUP(Table7[[#This Row],[Date]],Database!$A:$C,MATCH($B$1,Database!$A$1:$C$1,),)=0,#N/A,VLOOKUP(Table7[[#This Row],[Date]],Database!$A:$C,MATCH($B$1,Database!$A$1:$C$1,),))</f>
        <v/>
      </c>
      <c r="C14034">
        <f>IF(VLOOKUP(Table7[[#This Row],[Date]],Database!$A:$C,MATCH($C$1,Database!$A$1:$C$1,),)=0,#N/A,VLOOKUP(Table7[[#This Row],[Date]],Database!$A:$C,MATCH($C$1,Database!$A$1:$C$1,),))</f>
        <v/>
      </c>
      <c r="D14034">
        <f>IFERROR(Table7[[#This Row],[United States 10y]]-Table7[[#This Row],[United States 3y]],#N/A)</f>
        <v/>
      </c>
    </row>
    <row r="14035">
      <c r="A14035" s="6">
        <f>Database!$A16120</f>
        <v/>
      </c>
      <c r="B14035">
        <f>IF(VLOOKUP(Table7[[#This Row],[Date]],Database!$A:$C,MATCH($B$1,Database!$A$1:$C$1,),)=0,#N/A,VLOOKUP(Table7[[#This Row],[Date]],Database!$A:$C,MATCH($B$1,Database!$A$1:$C$1,),))</f>
        <v/>
      </c>
      <c r="C14035">
        <f>IF(VLOOKUP(Table7[[#This Row],[Date]],Database!$A:$C,MATCH($C$1,Database!$A$1:$C$1,),)=0,#N/A,VLOOKUP(Table7[[#This Row],[Date]],Database!$A:$C,MATCH($C$1,Database!$A$1:$C$1,),))</f>
        <v/>
      </c>
      <c r="D14035">
        <f>IFERROR(Table7[[#This Row],[United States 10y]]-Table7[[#This Row],[United States 3y]],#N/A)</f>
        <v/>
      </c>
    </row>
    <row r="14036">
      <c r="A14036" s="6">
        <f>Database!$A16121</f>
        <v/>
      </c>
      <c r="B14036">
        <f>IF(VLOOKUP(Table7[[#This Row],[Date]],Database!$A:$C,MATCH($B$1,Database!$A$1:$C$1,),)=0,#N/A,VLOOKUP(Table7[[#This Row],[Date]],Database!$A:$C,MATCH($B$1,Database!$A$1:$C$1,),))</f>
        <v/>
      </c>
      <c r="C14036">
        <f>IF(VLOOKUP(Table7[[#This Row],[Date]],Database!$A:$C,MATCH($C$1,Database!$A$1:$C$1,),)=0,#N/A,VLOOKUP(Table7[[#This Row],[Date]],Database!$A:$C,MATCH($C$1,Database!$A$1:$C$1,),))</f>
        <v/>
      </c>
      <c r="D14036">
        <f>IFERROR(Table7[[#This Row],[United States 10y]]-Table7[[#This Row],[United States 3y]],#N/A)</f>
        <v/>
      </c>
    </row>
    <row r="14037">
      <c r="A14037" s="6">
        <f>Database!$A16122</f>
        <v/>
      </c>
      <c r="B14037">
        <f>IF(VLOOKUP(Table7[[#This Row],[Date]],Database!$A:$C,MATCH($B$1,Database!$A$1:$C$1,),)=0,#N/A,VLOOKUP(Table7[[#This Row],[Date]],Database!$A:$C,MATCH($B$1,Database!$A$1:$C$1,),))</f>
        <v/>
      </c>
      <c r="C14037">
        <f>IF(VLOOKUP(Table7[[#This Row],[Date]],Database!$A:$C,MATCH($C$1,Database!$A$1:$C$1,),)=0,#N/A,VLOOKUP(Table7[[#This Row],[Date]],Database!$A:$C,MATCH($C$1,Database!$A$1:$C$1,),))</f>
        <v/>
      </c>
      <c r="D14037">
        <f>IFERROR(Table7[[#This Row],[United States 10y]]-Table7[[#This Row],[United States 3y]],#N/A)</f>
        <v/>
      </c>
    </row>
    <row r="14038">
      <c r="A14038" s="6">
        <f>Database!$A16123</f>
        <v/>
      </c>
      <c r="B14038">
        <f>IF(VLOOKUP(Table7[[#This Row],[Date]],Database!$A:$C,MATCH($B$1,Database!$A$1:$C$1,),)=0,#N/A,VLOOKUP(Table7[[#This Row],[Date]],Database!$A:$C,MATCH($B$1,Database!$A$1:$C$1,),))</f>
        <v/>
      </c>
      <c r="C14038">
        <f>IF(VLOOKUP(Table7[[#This Row],[Date]],Database!$A:$C,MATCH($C$1,Database!$A$1:$C$1,),)=0,#N/A,VLOOKUP(Table7[[#This Row],[Date]],Database!$A:$C,MATCH($C$1,Database!$A$1:$C$1,),))</f>
        <v/>
      </c>
      <c r="D14038">
        <f>IFERROR(Table7[[#This Row],[United States 10y]]-Table7[[#This Row],[United States 3y]],#N/A)</f>
        <v/>
      </c>
    </row>
    <row r="14039">
      <c r="A14039" s="6">
        <f>Database!$A16124</f>
        <v/>
      </c>
      <c r="B14039">
        <f>IF(VLOOKUP(Table7[[#This Row],[Date]],Database!$A:$C,MATCH($B$1,Database!$A$1:$C$1,),)=0,#N/A,VLOOKUP(Table7[[#This Row],[Date]],Database!$A:$C,MATCH($B$1,Database!$A$1:$C$1,),))</f>
        <v/>
      </c>
      <c r="C14039">
        <f>IF(VLOOKUP(Table7[[#This Row],[Date]],Database!$A:$C,MATCH($C$1,Database!$A$1:$C$1,),)=0,#N/A,VLOOKUP(Table7[[#This Row],[Date]],Database!$A:$C,MATCH($C$1,Database!$A$1:$C$1,),))</f>
        <v/>
      </c>
      <c r="D14039">
        <f>IFERROR(Table7[[#This Row],[United States 10y]]-Table7[[#This Row],[United States 3y]],#N/A)</f>
        <v/>
      </c>
    </row>
    <row r="14040">
      <c r="A14040" s="6">
        <f>Database!$A16125</f>
        <v/>
      </c>
      <c r="B14040">
        <f>IF(VLOOKUP(Table7[[#This Row],[Date]],Database!$A:$C,MATCH($B$1,Database!$A$1:$C$1,),)=0,#N/A,VLOOKUP(Table7[[#This Row],[Date]],Database!$A:$C,MATCH($B$1,Database!$A$1:$C$1,),))</f>
        <v/>
      </c>
      <c r="C14040">
        <f>IF(VLOOKUP(Table7[[#This Row],[Date]],Database!$A:$C,MATCH($C$1,Database!$A$1:$C$1,),)=0,#N/A,VLOOKUP(Table7[[#This Row],[Date]],Database!$A:$C,MATCH($C$1,Database!$A$1:$C$1,),))</f>
        <v/>
      </c>
      <c r="D14040">
        <f>IFERROR(Table7[[#This Row],[United States 10y]]-Table7[[#This Row],[United States 3y]],#N/A)</f>
        <v/>
      </c>
    </row>
    <row r="14041">
      <c r="A14041" s="6">
        <f>Database!$A16126</f>
        <v/>
      </c>
      <c r="B14041">
        <f>IF(VLOOKUP(Table7[[#This Row],[Date]],Database!$A:$C,MATCH($B$1,Database!$A$1:$C$1,),)=0,#N/A,VLOOKUP(Table7[[#This Row],[Date]],Database!$A:$C,MATCH($B$1,Database!$A$1:$C$1,),))</f>
        <v/>
      </c>
      <c r="C14041">
        <f>IF(VLOOKUP(Table7[[#This Row],[Date]],Database!$A:$C,MATCH($C$1,Database!$A$1:$C$1,),)=0,#N/A,VLOOKUP(Table7[[#This Row],[Date]],Database!$A:$C,MATCH($C$1,Database!$A$1:$C$1,),))</f>
        <v/>
      </c>
      <c r="D14041">
        <f>IFERROR(Table7[[#This Row],[United States 10y]]-Table7[[#This Row],[United States 3y]],#N/A)</f>
        <v/>
      </c>
    </row>
    <row r="14042">
      <c r="A14042" s="6">
        <f>Database!$A16127</f>
        <v/>
      </c>
      <c r="B14042">
        <f>IF(VLOOKUP(Table7[[#This Row],[Date]],Database!$A:$C,MATCH($B$1,Database!$A$1:$C$1,),)=0,#N/A,VLOOKUP(Table7[[#This Row],[Date]],Database!$A:$C,MATCH($B$1,Database!$A$1:$C$1,),))</f>
        <v/>
      </c>
      <c r="C14042">
        <f>IF(VLOOKUP(Table7[[#This Row],[Date]],Database!$A:$C,MATCH($C$1,Database!$A$1:$C$1,),)=0,#N/A,VLOOKUP(Table7[[#This Row],[Date]],Database!$A:$C,MATCH($C$1,Database!$A$1:$C$1,),))</f>
        <v/>
      </c>
      <c r="D14042">
        <f>IFERROR(Table7[[#This Row],[United States 10y]]-Table7[[#This Row],[United States 3y]],#N/A)</f>
        <v/>
      </c>
    </row>
    <row r="14043">
      <c r="A14043" s="6">
        <f>Database!$A16128</f>
        <v/>
      </c>
      <c r="B14043">
        <f>IF(VLOOKUP(Table7[[#This Row],[Date]],Database!$A:$C,MATCH($B$1,Database!$A$1:$C$1,),)=0,#N/A,VLOOKUP(Table7[[#This Row],[Date]],Database!$A:$C,MATCH($B$1,Database!$A$1:$C$1,),))</f>
        <v/>
      </c>
      <c r="C14043">
        <f>IF(VLOOKUP(Table7[[#This Row],[Date]],Database!$A:$C,MATCH($C$1,Database!$A$1:$C$1,),)=0,#N/A,VLOOKUP(Table7[[#This Row],[Date]],Database!$A:$C,MATCH($C$1,Database!$A$1:$C$1,),))</f>
        <v/>
      </c>
      <c r="D14043">
        <f>IFERROR(Table7[[#This Row],[United States 10y]]-Table7[[#This Row],[United States 3y]],#N/A)</f>
        <v/>
      </c>
    </row>
    <row r="14044">
      <c r="A14044" s="6">
        <f>Database!$A16129</f>
        <v/>
      </c>
      <c r="B14044">
        <f>IF(VLOOKUP(Table7[[#This Row],[Date]],Database!$A:$C,MATCH($B$1,Database!$A$1:$C$1,),)=0,#N/A,VLOOKUP(Table7[[#This Row],[Date]],Database!$A:$C,MATCH($B$1,Database!$A$1:$C$1,),))</f>
        <v/>
      </c>
      <c r="C14044">
        <f>IF(VLOOKUP(Table7[[#This Row],[Date]],Database!$A:$C,MATCH($C$1,Database!$A$1:$C$1,),)=0,#N/A,VLOOKUP(Table7[[#This Row],[Date]],Database!$A:$C,MATCH($C$1,Database!$A$1:$C$1,),))</f>
        <v/>
      </c>
      <c r="D14044">
        <f>IFERROR(Table7[[#This Row],[United States 10y]]-Table7[[#This Row],[United States 3y]],#N/A)</f>
        <v/>
      </c>
    </row>
    <row r="14045">
      <c r="A14045" s="6">
        <f>Database!$A16130</f>
        <v/>
      </c>
      <c r="B14045">
        <f>IF(VLOOKUP(Table7[[#This Row],[Date]],Database!$A:$C,MATCH($B$1,Database!$A$1:$C$1,),)=0,#N/A,VLOOKUP(Table7[[#This Row],[Date]],Database!$A:$C,MATCH($B$1,Database!$A$1:$C$1,),))</f>
        <v/>
      </c>
      <c r="C14045">
        <f>IF(VLOOKUP(Table7[[#This Row],[Date]],Database!$A:$C,MATCH($C$1,Database!$A$1:$C$1,),)=0,#N/A,VLOOKUP(Table7[[#This Row],[Date]],Database!$A:$C,MATCH($C$1,Database!$A$1:$C$1,),))</f>
        <v/>
      </c>
      <c r="D14045">
        <f>IFERROR(Table7[[#This Row],[United States 10y]]-Table7[[#This Row],[United States 3y]],#N/A)</f>
        <v/>
      </c>
    </row>
    <row r="14046">
      <c r="A14046" s="6">
        <f>Database!$A16131</f>
        <v/>
      </c>
      <c r="B14046">
        <f>IF(VLOOKUP(Table7[[#This Row],[Date]],Database!$A:$C,MATCH($B$1,Database!$A$1:$C$1,),)=0,#N/A,VLOOKUP(Table7[[#This Row],[Date]],Database!$A:$C,MATCH($B$1,Database!$A$1:$C$1,),))</f>
        <v/>
      </c>
      <c r="C14046">
        <f>IF(VLOOKUP(Table7[[#This Row],[Date]],Database!$A:$C,MATCH($C$1,Database!$A$1:$C$1,),)=0,#N/A,VLOOKUP(Table7[[#This Row],[Date]],Database!$A:$C,MATCH($C$1,Database!$A$1:$C$1,),))</f>
        <v/>
      </c>
      <c r="D14046">
        <f>IFERROR(Table7[[#This Row],[United States 10y]]-Table7[[#This Row],[United States 3y]],#N/A)</f>
        <v/>
      </c>
    </row>
    <row r="14047">
      <c r="A14047" s="6">
        <f>Database!$A16132</f>
        <v/>
      </c>
      <c r="B14047">
        <f>IF(VLOOKUP(Table7[[#This Row],[Date]],Database!$A:$C,MATCH($B$1,Database!$A$1:$C$1,),)=0,#N/A,VLOOKUP(Table7[[#This Row],[Date]],Database!$A:$C,MATCH($B$1,Database!$A$1:$C$1,),))</f>
        <v/>
      </c>
      <c r="C14047">
        <f>IF(VLOOKUP(Table7[[#This Row],[Date]],Database!$A:$C,MATCH($C$1,Database!$A$1:$C$1,),)=0,#N/A,VLOOKUP(Table7[[#This Row],[Date]],Database!$A:$C,MATCH($C$1,Database!$A$1:$C$1,),))</f>
        <v/>
      </c>
      <c r="D14047">
        <f>IFERROR(Table7[[#This Row],[United States 10y]]-Table7[[#This Row],[United States 3y]],#N/A)</f>
        <v/>
      </c>
    </row>
    <row r="14048">
      <c r="A14048" s="6">
        <f>Database!$A16133</f>
        <v/>
      </c>
      <c r="B14048">
        <f>IF(VLOOKUP(Table7[[#This Row],[Date]],Database!$A:$C,MATCH($B$1,Database!$A$1:$C$1,),)=0,#N/A,VLOOKUP(Table7[[#This Row],[Date]],Database!$A:$C,MATCH($B$1,Database!$A$1:$C$1,),))</f>
        <v/>
      </c>
      <c r="C14048">
        <f>IF(VLOOKUP(Table7[[#This Row],[Date]],Database!$A:$C,MATCH($C$1,Database!$A$1:$C$1,),)=0,#N/A,VLOOKUP(Table7[[#This Row],[Date]],Database!$A:$C,MATCH($C$1,Database!$A$1:$C$1,),))</f>
        <v/>
      </c>
      <c r="D14048">
        <f>IFERROR(Table7[[#This Row],[United States 10y]]-Table7[[#This Row],[United States 3y]],#N/A)</f>
        <v/>
      </c>
    </row>
    <row r="14049">
      <c r="A14049" s="6">
        <f>Database!$A16134</f>
        <v/>
      </c>
      <c r="B14049">
        <f>IF(VLOOKUP(Table7[[#This Row],[Date]],Database!$A:$C,MATCH($B$1,Database!$A$1:$C$1,),)=0,#N/A,VLOOKUP(Table7[[#This Row],[Date]],Database!$A:$C,MATCH($B$1,Database!$A$1:$C$1,),))</f>
        <v/>
      </c>
      <c r="C14049">
        <f>IF(VLOOKUP(Table7[[#This Row],[Date]],Database!$A:$C,MATCH($C$1,Database!$A$1:$C$1,),)=0,#N/A,VLOOKUP(Table7[[#This Row],[Date]],Database!$A:$C,MATCH($C$1,Database!$A$1:$C$1,),))</f>
        <v/>
      </c>
      <c r="D14049">
        <f>IFERROR(Table7[[#This Row],[United States 10y]]-Table7[[#This Row],[United States 3y]],#N/A)</f>
        <v/>
      </c>
    </row>
    <row r="14050">
      <c r="A14050" s="6">
        <f>Database!$A16135</f>
        <v/>
      </c>
      <c r="B14050">
        <f>IF(VLOOKUP(Table7[[#This Row],[Date]],Database!$A:$C,MATCH($B$1,Database!$A$1:$C$1,),)=0,#N/A,VLOOKUP(Table7[[#This Row],[Date]],Database!$A:$C,MATCH($B$1,Database!$A$1:$C$1,),))</f>
        <v/>
      </c>
      <c r="C14050">
        <f>IF(VLOOKUP(Table7[[#This Row],[Date]],Database!$A:$C,MATCH($C$1,Database!$A$1:$C$1,),)=0,#N/A,VLOOKUP(Table7[[#This Row],[Date]],Database!$A:$C,MATCH($C$1,Database!$A$1:$C$1,),))</f>
        <v/>
      </c>
      <c r="D14050">
        <f>IFERROR(Table7[[#This Row],[United States 10y]]-Table7[[#This Row],[United States 3y]],#N/A)</f>
        <v/>
      </c>
    </row>
    <row r="14051">
      <c r="A14051" s="6">
        <f>Database!$A16136</f>
        <v/>
      </c>
      <c r="B14051">
        <f>IF(VLOOKUP(Table7[[#This Row],[Date]],Database!$A:$C,MATCH($B$1,Database!$A$1:$C$1,),)=0,#N/A,VLOOKUP(Table7[[#This Row],[Date]],Database!$A:$C,MATCH($B$1,Database!$A$1:$C$1,),))</f>
        <v/>
      </c>
      <c r="C14051">
        <f>IF(VLOOKUP(Table7[[#This Row],[Date]],Database!$A:$C,MATCH($C$1,Database!$A$1:$C$1,),)=0,#N/A,VLOOKUP(Table7[[#This Row],[Date]],Database!$A:$C,MATCH($C$1,Database!$A$1:$C$1,),))</f>
        <v/>
      </c>
      <c r="D14051">
        <f>IFERROR(Table7[[#This Row],[United States 10y]]-Table7[[#This Row],[United States 3y]],#N/A)</f>
        <v/>
      </c>
    </row>
    <row r="14052">
      <c r="A14052" s="6">
        <f>Database!$A16137</f>
        <v/>
      </c>
      <c r="B14052">
        <f>IF(VLOOKUP(Table7[[#This Row],[Date]],Database!$A:$C,MATCH($B$1,Database!$A$1:$C$1,),)=0,#N/A,VLOOKUP(Table7[[#This Row],[Date]],Database!$A:$C,MATCH($B$1,Database!$A$1:$C$1,),))</f>
        <v/>
      </c>
      <c r="C14052">
        <f>IF(VLOOKUP(Table7[[#This Row],[Date]],Database!$A:$C,MATCH($C$1,Database!$A$1:$C$1,),)=0,#N/A,VLOOKUP(Table7[[#This Row],[Date]],Database!$A:$C,MATCH($C$1,Database!$A$1:$C$1,),))</f>
        <v/>
      </c>
      <c r="D14052">
        <f>IFERROR(Table7[[#This Row],[United States 10y]]-Table7[[#This Row],[United States 3y]],#N/A)</f>
        <v/>
      </c>
    </row>
    <row r="14053">
      <c r="A14053" s="6">
        <f>Database!$A16138</f>
        <v/>
      </c>
      <c r="B14053">
        <f>IF(VLOOKUP(Table7[[#This Row],[Date]],Database!$A:$C,MATCH($B$1,Database!$A$1:$C$1,),)=0,#N/A,VLOOKUP(Table7[[#This Row],[Date]],Database!$A:$C,MATCH($B$1,Database!$A$1:$C$1,),))</f>
        <v/>
      </c>
      <c r="C14053">
        <f>IF(VLOOKUP(Table7[[#This Row],[Date]],Database!$A:$C,MATCH($C$1,Database!$A$1:$C$1,),)=0,#N/A,VLOOKUP(Table7[[#This Row],[Date]],Database!$A:$C,MATCH($C$1,Database!$A$1:$C$1,),))</f>
        <v/>
      </c>
      <c r="D14053">
        <f>IFERROR(Table7[[#This Row],[United States 10y]]-Table7[[#This Row],[United States 3y]],#N/A)</f>
        <v/>
      </c>
    </row>
    <row r="14054">
      <c r="A14054" s="6">
        <f>Database!$A16139</f>
        <v/>
      </c>
      <c r="B14054">
        <f>IF(VLOOKUP(Table7[[#This Row],[Date]],Database!$A:$C,MATCH($B$1,Database!$A$1:$C$1,),)=0,#N/A,VLOOKUP(Table7[[#This Row],[Date]],Database!$A:$C,MATCH($B$1,Database!$A$1:$C$1,),))</f>
        <v/>
      </c>
      <c r="C14054">
        <f>IF(VLOOKUP(Table7[[#This Row],[Date]],Database!$A:$C,MATCH($C$1,Database!$A$1:$C$1,),)=0,#N/A,VLOOKUP(Table7[[#This Row],[Date]],Database!$A:$C,MATCH($C$1,Database!$A$1:$C$1,),))</f>
        <v/>
      </c>
      <c r="D14054">
        <f>IFERROR(Table7[[#This Row],[United States 10y]]-Table7[[#This Row],[United States 3y]],#N/A)</f>
        <v/>
      </c>
    </row>
    <row r="14055">
      <c r="A14055" s="6">
        <f>Database!$A16140</f>
        <v/>
      </c>
      <c r="B14055">
        <f>IF(VLOOKUP(Table7[[#This Row],[Date]],Database!$A:$C,MATCH($B$1,Database!$A$1:$C$1,),)=0,#N/A,VLOOKUP(Table7[[#This Row],[Date]],Database!$A:$C,MATCH($B$1,Database!$A$1:$C$1,),))</f>
        <v/>
      </c>
      <c r="C14055">
        <f>IF(VLOOKUP(Table7[[#This Row],[Date]],Database!$A:$C,MATCH($C$1,Database!$A$1:$C$1,),)=0,#N/A,VLOOKUP(Table7[[#This Row],[Date]],Database!$A:$C,MATCH($C$1,Database!$A$1:$C$1,),))</f>
        <v/>
      </c>
      <c r="D14055">
        <f>IFERROR(Table7[[#This Row],[United States 10y]]-Table7[[#This Row],[United States 3y]],#N/A)</f>
        <v/>
      </c>
    </row>
    <row r="14056">
      <c r="A14056" s="6">
        <f>Database!$A16141</f>
        <v/>
      </c>
      <c r="B14056">
        <f>IF(VLOOKUP(Table7[[#This Row],[Date]],Database!$A:$C,MATCH($B$1,Database!$A$1:$C$1,),)=0,#N/A,VLOOKUP(Table7[[#This Row],[Date]],Database!$A:$C,MATCH($B$1,Database!$A$1:$C$1,),))</f>
        <v/>
      </c>
      <c r="C14056">
        <f>IF(VLOOKUP(Table7[[#This Row],[Date]],Database!$A:$C,MATCH($C$1,Database!$A$1:$C$1,),)=0,#N/A,VLOOKUP(Table7[[#This Row],[Date]],Database!$A:$C,MATCH($C$1,Database!$A$1:$C$1,),))</f>
        <v/>
      </c>
      <c r="D14056">
        <f>IFERROR(Table7[[#This Row],[United States 10y]]-Table7[[#This Row],[United States 3y]],#N/A)</f>
        <v/>
      </c>
    </row>
    <row r="14057">
      <c r="A14057" s="6">
        <f>Database!$A16142</f>
        <v/>
      </c>
      <c r="B14057">
        <f>IF(VLOOKUP(Table7[[#This Row],[Date]],Database!$A:$C,MATCH($B$1,Database!$A$1:$C$1,),)=0,#N/A,VLOOKUP(Table7[[#This Row],[Date]],Database!$A:$C,MATCH($B$1,Database!$A$1:$C$1,),))</f>
        <v/>
      </c>
      <c r="C14057">
        <f>IF(VLOOKUP(Table7[[#This Row],[Date]],Database!$A:$C,MATCH($C$1,Database!$A$1:$C$1,),)=0,#N/A,VLOOKUP(Table7[[#This Row],[Date]],Database!$A:$C,MATCH($C$1,Database!$A$1:$C$1,),))</f>
        <v/>
      </c>
      <c r="D14057">
        <f>IFERROR(Table7[[#This Row],[United States 10y]]-Table7[[#This Row],[United States 3y]],#N/A)</f>
        <v/>
      </c>
    </row>
    <row r="14058">
      <c r="A14058" s="6">
        <f>Database!$A16143</f>
        <v/>
      </c>
      <c r="B14058">
        <f>IF(VLOOKUP(Table7[[#This Row],[Date]],Database!$A:$C,MATCH($B$1,Database!$A$1:$C$1,),)=0,#N/A,VLOOKUP(Table7[[#This Row],[Date]],Database!$A:$C,MATCH($B$1,Database!$A$1:$C$1,),))</f>
        <v/>
      </c>
      <c r="C14058">
        <f>IF(VLOOKUP(Table7[[#This Row],[Date]],Database!$A:$C,MATCH($C$1,Database!$A$1:$C$1,),)=0,#N/A,VLOOKUP(Table7[[#This Row],[Date]],Database!$A:$C,MATCH($C$1,Database!$A$1:$C$1,),))</f>
        <v/>
      </c>
      <c r="D14058">
        <f>IFERROR(Table7[[#This Row],[United States 10y]]-Table7[[#This Row],[United States 3y]],#N/A)</f>
        <v/>
      </c>
    </row>
    <row r="14059">
      <c r="A14059" s="6">
        <f>Database!$A16144</f>
        <v/>
      </c>
      <c r="B14059">
        <f>IF(VLOOKUP(Table7[[#This Row],[Date]],Database!$A:$C,MATCH($B$1,Database!$A$1:$C$1,),)=0,#N/A,VLOOKUP(Table7[[#This Row],[Date]],Database!$A:$C,MATCH($B$1,Database!$A$1:$C$1,),))</f>
        <v/>
      </c>
      <c r="C14059">
        <f>IF(VLOOKUP(Table7[[#This Row],[Date]],Database!$A:$C,MATCH($C$1,Database!$A$1:$C$1,),)=0,#N/A,VLOOKUP(Table7[[#This Row],[Date]],Database!$A:$C,MATCH($C$1,Database!$A$1:$C$1,),))</f>
        <v/>
      </c>
      <c r="D14059">
        <f>IFERROR(Table7[[#This Row],[United States 10y]]-Table7[[#This Row],[United States 3y]],#N/A)</f>
        <v/>
      </c>
    </row>
    <row r="14060">
      <c r="A14060" s="6">
        <f>Database!$A16145</f>
        <v/>
      </c>
      <c r="B14060">
        <f>IF(VLOOKUP(Table7[[#This Row],[Date]],Database!$A:$C,MATCH($B$1,Database!$A$1:$C$1,),)=0,#N/A,VLOOKUP(Table7[[#This Row],[Date]],Database!$A:$C,MATCH($B$1,Database!$A$1:$C$1,),))</f>
        <v/>
      </c>
      <c r="C14060">
        <f>IF(VLOOKUP(Table7[[#This Row],[Date]],Database!$A:$C,MATCH($C$1,Database!$A$1:$C$1,),)=0,#N/A,VLOOKUP(Table7[[#This Row],[Date]],Database!$A:$C,MATCH($C$1,Database!$A$1:$C$1,),))</f>
        <v/>
      </c>
      <c r="D14060">
        <f>IFERROR(Table7[[#This Row],[United States 10y]]-Table7[[#This Row],[United States 3y]],#N/A)</f>
        <v/>
      </c>
    </row>
    <row r="14061">
      <c r="A14061" s="6">
        <f>Database!$A16146</f>
        <v/>
      </c>
      <c r="B14061">
        <f>IF(VLOOKUP(Table7[[#This Row],[Date]],Database!$A:$C,MATCH($B$1,Database!$A$1:$C$1,),)=0,#N/A,VLOOKUP(Table7[[#This Row],[Date]],Database!$A:$C,MATCH($B$1,Database!$A$1:$C$1,),))</f>
        <v/>
      </c>
      <c r="C14061">
        <f>IF(VLOOKUP(Table7[[#This Row],[Date]],Database!$A:$C,MATCH($C$1,Database!$A$1:$C$1,),)=0,#N/A,VLOOKUP(Table7[[#This Row],[Date]],Database!$A:$C,MATCH($C$1,Database!$A$1:$C$1,),))</f>
        <v/>
      </c>
      <c r="D14061">
        <f>IFERROR(Table7[[#This Row],[United States 10y]]-Table7[[#This Row],[United States 3y]],#N/A)</f>
        <v/>
      </c>
    </row>
    <row r="14062">
      <c r="A14062" s="6">
        <f>Database!$A16147</f>
        <v/>
      </c>
      <c r="B14062">
        <f>IF(VLOOKUP(Table7[[#This Row],[Date]],Database!$A:$C,MATCH($B$1,Database!$A$1:$C$1,),)=0,#N/A,VLOOKUP(Table7[[#This Row],[Date]],Database!$A:$C,MATCH($B$1,Database!$A$1:$C$1,),))</f>
        <v/>
      </c>
      <c r="C14062">
        <f>IF(VLOOKUP(Table7[[#This Row],[Date]],Database!$A:$C,MATCH($C$1,Database!$A$1:$C$1,),)=0,#N/A,VLOOKUP(Table7[[#This Row],[Date]],Database!$A:$C,MATCH($C$1,Database!$A$1:$C$1,),))</f>
        <v/>
      </c>
      <c r="D14062">
        <f>IFERROR(Table7[[#This Row],[United States 10y]]-Table7[[#This Row],[United States 3y]],#N/A)</f>
        <v/>
      </c>
    </row>
    <row r="14063">
      <c r="A14063" s="6">
        <f>Database!$A16148</f>
        <v/>
      </c>
      <c r="B14063">
        <f>IF(VLOOKUP(Table7[[#This Row],[Date]],Database!$A:$C,MATCH($B$1,Database!$A$1:$C$1,),)=0,#N/A,VLOOKUP(Table7[[#This Row],[Date]],Database!$A:$C,MATCH($B$1,Database!$A$1:$C$1,),))</f>
        <v/>
      </c>
      <c r="C14063">
        <f>IF(VLOOKUP(Table7[[#This Row],[Date]],Database!$A:$C,MATCH($C$1,Database!$A$1:$C$1,),)=0,#N/A,VLOOKUP(Table7[[#This Row],[Date]],Database!$A:$C,MATCH($C$1,Database!$A$1:$C$1,),))</f>
        <v/>
      </c>
      <c r="D14063">
        <f>IFERROR(Table7[[#This Row],[United States 10y]]-Table7[[#This Row],[United States 3y]],#N/A)</f>
        <v/>
      </c>
    </row>
    <row r="14064">
      <c r="A14064" s="6">
        <f>Database!$A16149</f>
        <v/>
      </c>
      <c r="B14064">
        <f>IF(VLOOKUP(Table7[[#This Row],[Date]],Database!$A:$C,MATCH($B$1,Database!$A$1:$C$1,),)=0,#N/A,VLOOKUP(Table7[[#This Row],[Date]],Database!$A:$C,MATCH($B$1,Database!$A$1:$C$1,),))</f>
        <v/>
      </c>
      <c r="C14064">
        <f>IF(VLOOKUP(Table7[[#This Row],[Date]],Database!$A:$C,MATCH($C$1,Database!$A$1:$C$1,),)=0,#N/A,VLOOKUP(Table7[[#This Row],[Date]],Database!$A:$C,MATCH($C$1,Database!$A$1:$C$1,),))</f>
        <v/>
      </c>
      <c r="D14064">
        <f>IFERROR(Table7[[#This Row],[United States 10y]]-Table7[[#This Row],[United States 3y]],#N/A)</f>
        <v/>
      </c>
    </row>
    <row r="14065">
      <c r="A14065" s="6">
        <f>Database!$A16150</f>
        <v/>
      </c>
      <c r="B14065">
        <f>IF(VLOOKUP(Table7[[#This Row],[Date]],Database!$A:$C,MATCH($B$1,Database!$A$1:$C$1,),)=0,#N/A,VLOOKUP(Table7[[#This Row],[Date]],Database!$A:$C,MATCH($B$1,Database!$A$1:$C$1,),))</f>
        <v/>
      </c>
      <c r="C14065">
        <f>IF(VLOOKUP(Table7[[#This Row],[Date]],Database!$A:$C,MATCH($C$1,Database!$A$1:$C$1,),)=0,#N/A,VLOOKUP(Table7[[#This Row],[Date]],Database!$A:$C,MATCH($C$1,Database!$A$1:$C$1,),))</f>
        <v/>
      </c>
      <c r="D14065">
        <f>IFERROR(Table7[[#This Row],[United States 10y]]-Table7[[#This Row],[United States 3y]],#N/A)</f>
        <v/>
      </c>
    </row>
    <row r="14066">
      <c r="A14066" s="6">
        <f>Database!$A16151</f>
        <v/>
      </c>
      <c r="B14066">
        <f>IF(VLOOKUP(Table7[[#This Row],[Date]],Database!$A:$C,MATCH($B$1,Database!$A$1:$C$1,),)=0,#N/A,VLOOKUP(Table7[[#This Row],[Date]],Database!$A:$C,MATCH($B$1,Database!$A$1:$C$1,),))</f>
        <v/>
      </c>
      <c r="C14066">
        <f>IF(VLOOKUP(Table7[[#This Row],[Date]],Database!$A:$C,MATCH($C$1,Database!$A$1:$C$1,),)=0,#N/A,VLOOKUP(Table7[[#This Row],[Date]],Database!$A:$C,MATCH($C$1,Database!$A$1:$C$1,),))</f>
        <v/>
      </c>
      <c r="D14066">
        <f>IFERROR(Table7[[#This Row],[United States 10y]]-Table7[[#This Row],[United States 3y]],#N/A)</f>
        <v/>
      </c>
    </row>
    <row r="14067">
      <c r="A14067" s="6">
        <f>Database!$A16152</f>
        <v/>
      </c>
      <c r="B14067">
        <f>IF(VLOOKUP(Table7[[#This Row],[Date]],Database!$A:$C,MATCH($B$1,Database!$A$1:$C$1,),)=0,#N/A,VLOOKUP(Table7[[#This Row],[Date]],Database!$A:$C,MATCH($B$1,Database!$A$1:$C$1,),))</f>
        <v/>
      </c>
      <c r="C14067">
        <f>IF(VLOOKUP(Table7[[#This Row],[Date]],Database!$A:$C,MATCH($C$1,Database!$A$1:$C$1,),)=0,#N/A,VLOOKUP(Table7[[#This Row],[Date]],Database!$A:$C,MATCH($C$1,Database!$A$1:$C$1,),))</f>
        <v/>
      </c>
      <c r="D14067">
        <f>IFERROR(Table7[[#This Row],[United States 10y]]-Table7[[#This Row],[United States 3y]],#N/A)</f>
        <v/>
      </c>
    </row>
    <row r="14068">
      <c r="A14068" s="6">
        <f>Database!$A16153</f>
        <v/>
      </c>
      <c r="B14068">
        <f>IF(VLOOKUP(Table7[[#This Row],[Date]],Database!$A:$C,MATCH($B$1,Database!$A$1:$C$1,),)=0,#N/A,VLOOKUP(Table7[[#This Row],[Date]],Database!$A:$C,MATCH($B$1,Database!$A$1:$C$1,),))</f>
        <v/>
      </c>
      <c r="C14068">
        <f>IF(VLOOKUP(Table7[[#This Row],[Date]],Database!$A:$C,MATCH($C$1,Database!$A$1:$C$1,),)=0,#N/A,VLOOKUP(Table7[[#This Row],[Date]],Database!$A:$C,MATCH($C$1,Database!$A$1:$C$1,),))</f>
        <v/>
      </c>
      <c r="D14068">
        <f>IFERROR(Table7[[#This Row],[United States 10y]]-Table7[[#This Row],[United States 3y]],#N/A)</f>
        <v/>
      </c>
    </row>
    <row r="14069">
      <c r="A14069" s="6">
        <f>Database!$A16154</f>
        <v/>
      </c>
      <c r="B14069">
        <f>IF(VLOOKUP(Table7[[#This Row],[Date]],Database!$A:$C,MATCH($B$1,Database!$A$1:$C$1,),)=0,#N/A,VLOOKUP(Table7[[#This Row],[Date]],Database!$A:$C,MATCH($B$1,Database!$A$1:$C$1,),))</f>
        <v/>
      </c>
      <c r="C14069">
        <f>IF(VLOOKUP(Table7[[#This Row],[Date]],Database!$A:$C,MATCH($C$1,Database!$A$1:$C$1,),)=0,#N/A,VLOOKUP(Table7[[#This Row],[Date]],Database!$A:$C,MATCH($C$1,Database!$A$1:$C$1,),))</f>
        <v/>
      </c>
      <c r="D14069">
        <f>IFERROR(Table7[[#This Row],[United States 10y]]-Table7[[#This Row],[United States 3y]],#N/A)</f>
        <v/>
      </c>
    </row>
    <row r="14070">
      <c r="A14070" s="6">
        <f>Database!$A16155</f>
        <v/>
      </c>
      <c r="B14070">
        <f>IF(VLOOKUP(Table7[[#This Row],[Date]],Database!$A:$C,MATCH($B$1,Database!$A$1:$C$1,),)=0,#N/A,VLOOKUP(Table7[[#This Row],[Date]],Database!$A:$C,MATCH($B$1,Database!$A$1:$C$1,),))</f>
        <v/>
      </c>
      <c r="C14070">
        <f>IF(VLOOKUP(Table7[[#This Row],[Date]],Database!$A:$C,MATCH($C$1,Database!$A$1:$C$1,),)=0,#N/A,VLOOKUP(Table7[[#This Row],[Date]],Database!$A:$C,MATCH($C$1,Database!$A$1:$C$1,),))</f>
        <v/>
      </c>
      <c r="D14070">
        <f>IFERROR(Table7[[#This Row],[United States 10y]]-Table7[[#This Row],[United States 3y]],#N/A)</f>
        <v/>
      </c>
    </row>
    <row r="14071">
      <c r="A14071" s="6">
        <f>Database!$A16156</f>
        <v/>
      </c>
      <c r="B14071">
        <f>IF(VLOOKUP(Table7[[#This Row],[Date]],Database!$A:$C,MATCH($B$1,Database!$A$1:$C$1,),)=0,#N/A,VLOOKUP(Table7[[#This Row],[Date]],Database!$A:$C,MATCH($B$1,Database!$A$1:$C$1,),))</f>
        <v/>
      </c>
      <c r="C14071">
        <f>IF(VLOOKUP(Table7[[#This Row],[Date]],Database!$A:$C,MATCH($C$1,Database!$A$1:$C$1,),)=0,#N/A,VLOOKUP(Table7[[#This Row],[Date]],Database!$A:$C,MATCH($C$1,Database!$A$1:$C$1,),))</f>
        <v/>
      </c>
      <c r="D14071">
        <f>IFERROR(Table7[[#This Row],[United States 10y]]-Table7[[#This Row],[United States 3y]],#N/A)</f>
        <v/>
      </c>
    </row>
    <row r="14072">
      <c r="A14072" s="6">
        <f>Database!$A16157</f>
        <v/>
      </c>
      <c r="B14072">
        <f>IF(VLOOKUP(Table7[[#This Row],[Date]],Database!$A:$C,MATCH($B$1,Database!$A$1:$C$1,),)=0,#N/A,VLOOKUP(Table7[[#This Row],[Date]],Database!$A:$C,MATCH($B$1,Database!$A$1:$C$1,),))</f>
        <v/>
      </c>
      <c r="C14072">
        <f>IF(VLOOKUP(Table7[[#This Row],[Date]],Database!$A:$C,MATCH($C$1,Database!$A$1:$C$1,),)=0,#N/A,VLOOKUP(Table7[[#This Row],[Date]],Database!$A:$C,MATCH($C$1,Database!$A$1:$C$1,),))</f>
        <v/>
      </c>
      <c r="D14072">
        <f>IFERROR(Table7[[#This Row],[United States 10y]]-Table7[[#This Row],[United States 3y]],#N/A)</f>
        <v/>
      </c>
    </row>
    <row r="14073">
      <c r="A14073" s="6">
        <f>Database!$A16158</f>
        <v/>
      </c>
      <c r="B14073">
        <f>IF(VLOOKUP(Table7[[#This Row],[Date]],Database!$A:$C,MATCH($B$1,Database!$A$1:$C$1,),)=0,#N/A,VLOOKUP(Table7[[#This Row],[Date]],Database!$A:$C,MATCH($B$1,Database!$A$1:$C$1,),))</f>
        <v/>
      </c>
      <c r="C14073">
        <f>IF(VLOOKUP(Table7[[#This Row],[Date]],Database!$A:$C,MATCH($C$1,Database!$A$1:$C$1,),)=0,#N/A,VLOOKUP(Table7[[#This Row],[Date]],Database!$A:$C,MATCH($C$1,Database!$A$1:$C$1,),))</f>
        <v/>
      </c>
      <c r="D14073">
        <f>IFERROR(Table7[[#This Row],[United States 10y]]-Table7[[#This Row],[United States 3y]],#N/A)</f>
        <v/>
      </c>
    </row>
    <row r="14074">
      <c r="A14074" s="6">
        <f>Database!$A16159</f>
        <v/>
      </c>
      <c r="B14074">
        <f>IF(VLOOKUP(Table7[[#This Row],[Date]],Database!$A:$C,MATCH($B$1,Database!$A$1:$C$1,),)=0,#N/A,VLOOKUP(Table7[[#This Row],[Date]],Database!$A:$C,MATCH($B$1,Database!$A$1:$C$1,),))</f>
        <v/>
      </c>
      <c r="C14074">
        <f>IF(VLOOKUP(Table7[[#This Row],[Date]],Database!$A:$C,MATCH($C$1,Database!$A$1:$C$1,),)=0,#N/A,VLOOKUP(Table7[[#This Row],[Date]],Database!$A:$C,MATCH($C$1,Database!$A$1:$C$1,),))</f>
        <v/>
      </c>
      <c r="D14074">
        <f>IFERROR(Table7[[#This Row],[United States 10y]]-Table7[[#This Row],[United States 3y]],#N/A)</f>
        <v/>
      </c>
    </row>
    <row r="14075">
      <c r="A14075" s="6">
        <f>Database!$A16160</f>
        <v/>
      </c>
      <c r="B14075">
        <f>IF(VLOOKUP(Table7[[#This Row],[Date]],Database!$A:$C,MATCH($B$1,Database!$A$1:$C$1,),)=0,#N/A,VLOOKUP(Table7[[#This Row],[Date]],Database!$A:$C,MATCH($B$1,Database!$A$1:$C$1,),))</f>
        <v/>
      </c>
      <c r="C14075">
        <f>IF(VLOOKUP(Table7[[#This Row],[Date]],Database!$A:$C,MATCH($C$1,Database!$A$1:$C$1,),)=0,#N/A,VLOOKUP(Table7[[#This Row],[Date]],Database!$A:$C,MATCH($C$1,Database!$A$1:$C$1,),))</f>
        <v/>
      </c>
      <c r="D14075">
        <f>IFERROR(Table7[[#This Row],[United States 10y]]-Table7[[#This Row],[United States 3y]],#N/A)</f>
        <v/>
      </c>
    </row>
    <row r="14076">
      <c r="A14076" s="6">
        <f>Database!$A16161</f>
        <v/>
      </c>
      <c r="B14076">
        <f>IF(VLOOKUP(Table7[[#This Row],[Date]],Database!$A:$C,MATCH($B$1,Database!$A$1:$C$1,),)=0,#N/A,VLOOKUP(Table7[[#This Row],[Date]],Database!$A:$C,MATCH($B$1,Database!$A$1:$C$1,),))</f>
        <v/>
      </c>
      <c r="C14076">
        <f>IF(VLOOKUP(Table7[[#This Row],[Date]],Database!$A:$C,MATCH($C$1,Database!$A$1:$C$1,),)=0,#N/A,VLOOKUP(Table7[[#This Row],[Date]],Database!$A:$C,MATCH($C$1,Database!$A$1:$C$1,),))</f>
        <v/>
      </c>
      <c r="D14076">
        <f>IFERROR(Table7[[#This Row],[United States 10y]]-Table7[[#This Row],[United States 3y]],#N/A)</f>
        <v/>
      </c>
    </row>
    <row r="14077">
      <c r="A14077" s="6">
        <f>Database!$A16162</f>
        <v/>
      </c>
      <c r="B14077">
        <f>IF(VLOOKUP(Table7[[#This Row],[Date]],Database!$A:$C,MATCH($B$1,Database!$A$1:$C$1,),)=0,#N/A,VLOOKUP(Table7[[#This Row],[Date]],Database!$A:$C,MATCH($B$1,Database!$A$1:$C$1,),))</f>
        <v/>
      </c>
      <c r="C14077">
        <f>IF(VLOOKUP(Table7[[#This Row],[Date]],Database!$A:$C,MATCH($C$1,Database!$A$1:$C$1,),)=0,#N/A,VLOOKUP(Table7[[#This Row],[Date]],Database!$A:$C,MATCH($C$1,Database!$A$1:$C$1,),))</f>
        <v/>
      </c>
      <c r="D14077">
        <f>IFERROR(Table7[[#This Row],[United States 10y]]-Table7[[#This Row],[United States 3y]],#N/A)</f>
        <v/>
      </c>
    </row>
    <row r="14078">
      <c r="A14078" s="6">
        <f>Database!$A16163</f>
        <v/>
      </c>
      <c r="B14078">
        <f>IF(VLOOKUP(Table7[[#This Row],[Date]],Database!$A:$C,MATCH($B$1,Database!$A$1:$C$1,),)=0,#N/A,VLOOKUP(Table7[[#This Row],[Date]],Database!$A:$C,MATCH($B$1,Database!$A$1:$C$1,),))</f>
        <v/>
      </c>
      <c r="C14078">
        <f>IF(VLOOKUP(Table7[[#This Row],[Date]],Database!$A:$C,MATCH($C$1,Database!$A$1:$C$1,),)=0,#N/A,VLOOKUP(Table7[[#This Row],[Date]],Database!$A:$C,MATCH($C$1,Database!$A$1:$C$1,),))</f>
        <v/>
      </c>
      <c r="D14078">
        <f>IFERROR(Table7[[#This Row],[United States 10y]]-Table7[[#This Row],[United States 3y]],#N/A)</f>
        <v/>
      </c>
    </row>
    <row r="14079">
      <c r="A14079" s="6">
        <f>Database!$A16164</f>
        <v/>
      </c>
      <c r="B14079">
        <f>IF(VLOOKUP(Table7[[#This Row],[Date]],Database!$A:$C,MATCH($B$1,Database!$A$1:$C$1,),)=0,#N/A,VLOOKUP(Table7[[#This Row],[Date]],Database!$A:$C,MATCH($B$1,Database!$A$1:$C$1,),))</f>
        <v/>
      </c>
      <c r="C14079">
        <f>IF(VLOOKUP(Table7[[#This Row],[Date]],Database!$A:$C,MATCH($C$1,Database!$A$1:$C$1,),)=0,#N/A,VLOOKUP(Table7[[#This Row],[Date]],Database!$A:$C,MATCH($C$1,Database!$A$1:$C$1,),))</f>
        <v/>
      </c>
      <c r="D14079">
        <f>IFERROR(Table7[[#This Row],[United States 10y]]-Table7[[#This Row],[United States 3y]],#N/A)</f>
        <v/>
      </c>
    </row>
    <row r="14080">
      <c r="A14080" s="6">
        <f>Database!$A16165</f>
        <v/>
      </c>
      <c r="B14080">
        <f>IF(VLOOKUP(Table7[[#This Row],[Date]],Database!$A:$C,MATCH($B$1,Database!$A$1:$C$1,),)=0,#N/A,VLOOKUP(Table7[[#This Row],[Date]],Database!$A:$C,MATCH($B$1,Database!$A$1:$C$1,),))</f>
        <v/>
      </c>
      <c r="C14080">
        <f>IF(VLOOKUP(Table7[[#This Row],[Date]],Database!$A:$C,MATCH($C$1,Database!$A$1:$C$1,),)=0,#N/A,VLOOKUP(Table7[[#This Row],[Date]],Database!$A:$C,MATCH($C$1,Database!$A$1:$C$1,),))</f>
        <v/>
      </c>
      <c r="D14080">
        <f>IFERROR(Table7[[#This Row],[United States 10y]]-Table7[[#This Row],[United States 3y]],#N/A)</f>
        <v/>
      </c>
    </row>
    <row r="14081">
      <c r="A14081" s="6">
        <f>Database!$A16166</f>
        <v/>
      </c>
      <c r="B14081">
        <f>IF(VLOOKUP(Table7[[#This Row],[Date]],Database!$A:$C,MATCH($B$1,Database!$A$1:$C$1,),)=0,#N/A,VLOOKUP(Table7[[#This Row],[Date]],Database!$A:$C,MATCH($B$1,Database!$A$1:$C$1,),))</f>
        <v/>
      </c>
      <c r="C14081">
        <f>IF(VLOOKUP(Table7[[#This Row],[Date]],Database!$A:$C,MATCH($C$1,Database!$A$1:$C$1,),)=0,#N/A,VLOOKUP(Table7[[#This Row],[Date]],Database!$A:$C,MATCH($C$1,Database!$A$1:$C$1,),))</f>
        <v/>
      </c>
      <c r="D14081">
        <f>IFERROR(Table7[[#This Row],[United States 10y]]-Table7[[#This Row],[United States 3y]],#N/A)</f>
        <v/>
      </c>
    </row>
    <row r="14082">
      <c r="A14082" s="6">
        <f>Database!$A16167</f>
        <v/>
      </c>
      <c r="B14082">
        <f>IF(VLOOKUP(Table7[[#This Row],[Date]],Database!$A:$C,MATCH($B$1,Database!$A$1:$C$1,),)=0,#N/A,VLOOKUP(Table7[[#This Row],[Date]],Database!$A:$C,MATCH($B$1,Database!$A$1:$C$1,),))</f>
        <v/>
      </c>
      <c r="C14082">
        <f>IF(VLOOKUP(Table7[[#This Row],[Date]],Database!$A:$C,MATCH($C$1,Database!$A$1:$C$1,),)=0,#N/A,VLOOKUP(Table7[[#This Row],[Date]],Database!$A:$C,MATCH($C$1,Database!$A$1:$C$1,),))</f>
        <v/>
      </c>
      <c r="D14082">
        <f>IFERROR(Table7[[#This Row],[United States 10y]]-Table7[[#This Row],[United States 3y]],#N/A)</f>
        <v/>
      </c>
    </row>
    <row r="14083">
      <c r="A14083" s="6">
        <f>Database!$A16168</f>
        <v/>
      </c>
      <c r="B14083">
        <f>IF(VLOOKUP(Table7[[#This Row],[Date]],Database!$A:$C,MATCH($B$1,Database!$A$1:$C$1,),)=0,#N/A,VLOOKUP(Table7[[#This Row],[Date]],Database!$A:$C,MATCH($B$1,Database!$A$1:$C$1,),))</f>
        <v/>
      </c>
      <c r="C14083">
        <f>IF(VLOOKUP(Table7[[#This Row],[Date]],Database!$A:$C,MATCH($C$1,Database!$A$1:$C$1,),)=0,#N/A,VLOOKUP(Table7[[#This Row],[Date]],Database!$A:$C,MATCH($C$1,Database!$A$1:$C$1,),))</f>
        <v/>
      </c>
      <c r="D14083">
        <f>IFERROR(Table7[[#This Row],[United States 10y]]-Table7[[#This Row],[United States 3y]],#N/A)</f>
        <v/>
      </c>
    </row>
    <row r="14084">
      <c r="A14084" s="6">
        <f>Database!$A16169</f>
        <v/>
      </c>
      <c r="B14084">
        <f>IF(VLOOKUP(Table7[[#This Row],[Date]],Database!$A:$C,MATCH($B$1,Database!$A$1:$C$1,),)=0,#N/A,VLOOKUP(Table7[[#This Row],[Date]],Database!$A:$C,MATCH($B$1,Database!$A$1:$C$1,),))</f>
        <v/>
      </c>
      <c r="C14084">
        <f>IF(VLOOKUP(Table7[[#This Row],[Date]],Database!$A:$C,MATCH($C$1,Database!$A$1:$C$1,),)=0,#N/A,VLOOKUP(Table7[[#This Row],[Date]],Database!$A:$C,MATCH($C$1,Database!$A$1:$C$1,),))</f>
        <v/>
      </c>
      <c r="D14084">
        <f>IFERROR(Table7[[#This Row],[United States 10y]]-Table7[[#This Row],[United States 3y]],#N/A)</f>
        <v/>
      </c>
    </row>
    <row r="14085">
      <c r="A14085" s="6">
        <f>Database!$A16170</f>
        <v/>
      </c>
      <c r="B14085">
        <f>IF(VLOOKUP(Table7[[#This Row],[Date]],Database!$A:$C,MATCH($B$1,Database!$A$1:$C$1,),)=0,#N/A,VLOOKUP(Table7[[#This Row],[Date]],Database!$A:$C,MATCH($B$1,Database!$A$1:$C$1,),))</f>
        <v/>
      </c>
      <c r="C14085">
        <f>IF(VLOOKUP(Table7[[#This Row],[Date]],Database!$A:$C,MATCH($C$1,Database!$A$1:$C$1,),)=0,#N/A,VLOOKUP(Table7[[#This Row],[Date]],Database!$A:$C,MATCH($C$1,Database!$A$1:$C$1,),))</f>
        <v/>
      </c>
      <c r="D14085">
        <f>IFERROR(Table7[[#This Row],[United States 10y]]-Table7[[#This Row],[United States 3y]],#N/A)</f>
        <v/>
      </c>
    </row>
    <row r="14086">
      <c r="A14086" s="6">
        <f>Database!$A16171</f>
        <v/>
      </c>
      <c r="B14086">
        <f>IF(VLOOKUP(Table7[[#This Row],[Date]],Database!$A:$C,MATCH($B$1,Database!$A$1:$C$1,),)=0,#N/A,VLOOKUP(Table7[[#This Row],[Date]],Database!$A:$C,MATCH($B$1,Database!$A$1:$C$1,),))</f>
        <v/>
      </c>
      <c r="C14086">
        <f>IF(VLOOKUP(Table7[[#This Row],[Date]],Database!$A:$C,MATCH($C$1,Database!$A$1:$C$1,),)=0,#N/A,VLOOKUP(Table7[[#This Row],[Date]],Database!$A:$C,MATCH($C$1,Database!$A$1:$C$1,),))</f>
        <v/>
      </c>
      <c r="D14086">
        <f>IFERROR(Table7[[#This Row],[United States 10y]]-Table7[[#This Row],[United States 3y]],#N/A)</f>
        <v/>
      </c>
    </row>
    <row r="14087">
      <c r="A14087" s="6">
        <f>Database!$A16172</f>
        <v/>
      </c>
      <c r="B14087">
        <f>IF(VLOOKUP(Table7[[#This Row],[Date]],Database!$A:$C,MATCH($B$1,Database!$A$1:$C$1,),)=0,#N/A,VLOOKUP(Table7[[#This Row],[Date]],Database!$A:$C,MATCH($B$1,Database!$A$1:$C$1,),))</f>
        <v/>
      </c>
      <c r="C14087">
        <f>IF(VLOOKUP(Table7[[#This Row],[Date]],Database!$A:$C,MATCH($C$1,Database!$A$1:$C$1,),)=0,#N/A,VLOOKUP(Table7[[#This Row],[Date]],Database!$A:$C,MATCH($C$1,Database!$A$1:$C$1,),))</f>
        <v/>
      </c>
      <c r="D14087">
        <f>IFERROR(Table7[[#This Row],[United States 10y]]-Table7[[#This Row],[United States 3y]],#N/A)</f>
        <v/>
      </c>
    </row>
    <row r="14088">
      <c r="A14088" s="6">
        <f>Database!$A16173</f>
        <v/>
      </c>
      <c r="B14088">
        <f>IF(VLOOKUP(Table7[[#This Row],[Date]],Database!$A:$C,MATCH($B$1,Database!$A$1:$C$1,),)=0,#N/A,VLOOKUP(Table7[[#This Row],[Date]],Database!$A:$C,MATCH($B$1,Database!$A$1:$C$1,),))</f>
        <v/>
      </c>
      <c r="C14088">
        <f>IF(VLOOKUP(Table7[[#This Row],[Date]],Database!$A:$C,MATCH($C$1,Database!$A$1:$C$1,),)=0,#N/A,VLOOKUP(Table7[[#This Row],[Date]],Database!$A:$C,MATCH($C$1,Database!$A$1:$C$1,),))</f>
        <v/>
      </c>
      <c r="D14088">
        <f>IFERROR(Table7[[#This Row],[United States 10y]]-Table7[[#This Row],[United States 3y]],#N/A)</f>
        <v/>
      </c>
    </row>
    <row r="14089">
      <c r="A14089" s="6">
        <f>Database!$A16174</f>
        <v/>
      </c>
      <c r="B14089">
        <f>IF(VLOOKUP(Table7[[#This Row],[Date]],Database!$A:$C,MATCH($B$1,Database!$A$1:$C$1,),)=0,#N/A,VLOOKUP(Table7[[#This Row],[Date]],Database!$A:$C,MATCH($B$1,Database!$A$1:$C$1,),))</f>
        <v/>
      </c>
      <c r="C14089">
        <f>IF(VLOOKUP(Table7[[#This Row],[Date]],Database!$A:$C,MATCH($C$1,Database!$A$1:$C$1,),)=0,#N/A,VLOOKUP(Table7[[#This Row],[Date]],Database!$A:$C,MATCH($C$1,Database!$A$1:$C$1,),))</f>
        <v/>
      </c>
      <c r="D14089">
        <f>IFERROR(Table7[[#This Row],[United States 10y]]-Table7[[#This Row],[United States 3y]],#N/A)</f>
        <v/>
      </c>
    </row>
    <row r="14090">
      <c r="A14090" s="6">
        <f>Database!$A16175</f>
        <v/>
      </c>
      <c r="B14090">
        <f>IF(VLOOKUP(Table7[[#This Row],[Date]],Database!$A:$C,MATCH($B$1,Database!$A$1:$C$1,),)=0,#N/A,VLOOKUP(Table7[[#This Row],[Date]],Database!$A:$C,MATCH($B$1,Database!$A$1:$C$1,),))</f>
        <v/>
      </c>
      <c r="C14090">
        <f>IF(VLOOKUP(Table7[[#This Row],[Date]],Database!$A:$C,MATCH($C$1,Database!$A$1:$C$1,),)=0,#N/A,VLOOKUP(Table7[[#This Row],[Date]],Database!$A:$C,MATCH($C$1,Database!$A$1:$C$1,),))</f>
        <v/>
      </c>
      <c r="D14090">
        <f>IFERROR(Table7[[#This Row],[United States 10y]]-Table7[[#This Row],[United States 3y]],#N/A)</f>
        <v/>
      </c>
    </row>
    <row r="14091">
      <c r="A14091" s="6">
        <f>Database!$A16176</f>
        <v/>
      </c>
      <c r="B14091">
        <f>IF(VLOOKUP(Table7[[#This Row],[Date]],Database!$A:$C,MATCH($B$1,Database!$A$1:$C$1,),)=0,#N/A,VLOOKUP(Table7[[#This Row],[Date]],Database!$A:$C,MATCH($B$1,Database!$A$1:$C$1,),))</f>
        <v/>
      </c>
      <c r="C14091">
        <f>IF(VLOOKUP(Table7[[#This Row],[Date]],Database!$A:$C,MATCH($C$1,Database!$A$1:$C$1,),)=0,#N/A,VLOOKUP(Table7[[#This Row],[Date]],Database!$A:$C,MATCH($C$1,Database!$A$1:$C$1,),))</f>
        <v/>
      </c>
      <c r="D14091">
        <f>IFERROR(Table7[[#This Row],[United States 10y]]-Table7[[#This Row],[United States 3y]],#N/A)</f>
        <v/>
      </c>
    </row>
    <row r="14092">
      <c r="A14092" s="6">
        <f>Database!$A16177</f>
        <v/>
      </c>
      <c r="B14092">
        <f>IF(VLOOKUP(Table7[[#This Row],[Date]],Database!$A:$C,MATCH($B$1,Database!$A$1:$C$1,),)=0,#N/A,VLOOKUP(Table7[[#This Row],[Date]],Database!$A:$C,MATCH($B$1,Database!$A$1:$C$1,),))</f>
        <v/>
      </c>
      <c r="C14092">
        <f>IF(VLOOKUP(Table7[[#This Row],[Date]],Database!$A:$C,MATCH($C$1,Database!$A$1:$C$1,),)=0,#N/A,VLOOKUP(Table7[[#This Row],[Date]],Database!$A:$C,MATCH($C$1,Database!$A$1:$C$1,),))</f>
        <v/>
      </c>
      <c r="D14092">
        <f>IFERROR(Table7[[#This Row],[United States 10y]]-Table7[[#This Row],[United States 3y]],#N/A)</f>
        <v/>
      </c>
    </row>
    <row r="14093">
      <c r="A14093" s="6">
        <f>Database!$A16178</f>
        <v/>
      </c>
      <c r="B14093">
        <f>IF(VLOOKUP(Table7[[#This Row],[Date]],Database!$A:$C,MATCH($B$1,Database!$A$1:$C$1,),)=0,#N/A,VLOOKUP(Table7[[#This Row],[Date]],Database!$A:$C,MATCH($B$1,Database!$A$1:$C$1,),))</f>
        <v/>
      </c>
      <c r="C14093">
        <f>IF(VLOOKUP(Table7[[#This Row],[Date]],Database!$A:$C,MATCH($C$1,Database!$A$1:$C$1,),)=0,#N/A,VLOOKUP(Table7[[#This Row],[Date]],Database!$A:$C,MATCH($C$1,Database!$A$1:$C$1,),))</f>
        <v/>
      </c>
      <c r="D14093">
        <f>IFERROR(Table7[[#This Row],[United States 10y]]-Table7[[#This Row],[United States 3y]],#N/A)</f>
        <v/>
      </c>
    </row>
    <row r="14094">
      <c r="A14094" s="6">
        <f>Database!$A16179</f>
        <v/>
      </c>
      <c r="B14094">
        <f>IF(VLOOKUP(Table7[[#This Row],[Date]],Database!$A:$C,MATCH($B$1,Database!$A$1:$C$1,),)=0,#N/A,VLOOKUP(Table7[[#This Row],[Date]],Database!$A:$C,MATCH($B$1,Database!$A$1:$C$1,),))</f>
        <v/>
      </c>
      <c r="C14094">
        <f>IF(VLOOKUP(Table7[[#This Row],[Date]],Database!$A:$C,MATCH($C$1,Database!$A$1:$C$1,),)=0,#N/A,VLOOKUP(Table7[[#This Row],[Date]],Database!$A:$C,MATCH($C$1,Database!$A$1:$C$1,),))</f>
        <v/>
      </c>
      <c r="D14094">
        <f>IFERROR(Table7[[#This Row],[United States 10y]]-Table7[[#This Row],[United States 3y]],#N/A)</f>
        <v/>
      </c>
    </row>
    <row r="14095">
      <c r="A14095" s="6">
        <f>Database!$A16180</f>
        <v/>
      </c>
      <c r="B14095">
        <f>IF(VLOOKUP(Table7[[#This Row],[Date]],Database!$A:$C,MATCH($B$1,Database!$A$1:$C$1,),)=0,#N/A,VLOOKUP(Table7[[#This Row],[Date]],Database!$A:$C,MATCH($B$1,Database!$A$1:$C$1,),))</f>
        <v/>
      </c>
      <c r="C14095">
        <f>IF(VLOOKUP(Table7[[#This Row],[Date]],Database!$A:$C,MATCH($C$1,Database!$A$1:$C$1,),)=0,#N/A,VLOOKUP(Table7[[#This Row],[Date]],Database!$A:$C,MATCH($C$1,Database!$A$1:$C$1,),))</f>
        <v/>
      </c>
      <c r="D14095">
        <f>IFERROR(Table7[[#This Row],[United States 10y]]-Table7[[#This Row],[United States 3y]],#N/A)</f>
        <v/>
      </c>
    </row>
    <row r="14096">
      <c r="A14096" s="6">
        <f>Database!$A16181</f>
        <v/>
      </c>
      <c r="B14096">
        <f>IF(VLOOKUP(Table7[[#This Row],[Date]],Database!$A:$C,MATCH($B$1,Database!$A$1:$C$1,),)=0,#N/A,VLOOKUP(Table7[[#This Row],[Date]],Database!$A:$C,MATCH($B$1,Database!$A$1:$C$1,),))</f>
        <v/>
      </c>
      <c r="C14096">
        <f>IF(VLOOKUP(Table7[[#This Row],[Date]],Database!$A:$C,MATCH($C$1,Database!$A$1:$C$1,),)=0,#N/A,VLOOKUP(Table7[[#This Row],[Date]],Database!$A:$C,MATCH($C$1,Database!$A$1:$C$1,),))</f>
        <v/>
      </c>
      <c r="D14096">
        <f>IFERROR(Table7[[#This Row],[United States 10y]]-Table7[[#This Row],[United States 3y]],#N/A)</f>
        <v/>
      </c>
    </row>
    <row r="14097">
      <c r="A14097" s="6">
        <f>Database!$A16182</f>
        <v/>
      </c>
      <c r="B14097">
        <f>IF(VLOOKUP(Table7[[#This Row],[Date]],Database!$A:$C,MATCH($B$1,Database!$A$1:$C$1,),)=0,#N/A,VLOOKUP(Table7[[#This Row],[Date]],Database!$A:$C,MATCH($B$1,Database!$A$1:$C$1,),))</f>
        <v/>
      </c>
      <c r="C14097">
        <f>IF(VLOOKUP(Table7[[#This Row],[Date]],Database!$A:$C,MATCH($C$1,Database!$A$1:$C$1,),)=0,#N/A,VLOOKUP(Table7[[#This Row],[Date]],Database!$A:$C,MATCH($C$1,Database!$A$1:$C$1,),))</f>
        <v/>
      </c>
      <c r="D14097">
        <f>IFERROR(Table7[[#This Row],[United States 10y]]-Table7[[#This Row],[United States 3y]],#N/A)</f>
        <v/>
      </c>
    </row>
    <row r="14098">
      <c r="A14098" s="6">
        <f>Database!$A16183</f>
        <v/>
      </c>
      <c r="B14098">
        <f>IF(VLOOKUP(Table7[[#This Row],[Date]],Database!$A:$C,MATCH($B$1,Database!$A$1:$C$1,),)=0,#N/A,VLOOKUP(Table7[[#This Row],[Date]],Database!$A:$C,MATCH($B$1,Database!$A$1:$C$1,),))</f>
        <v/>
      </c>
      <c r="C14098">
        <f>IF(VLOOKUP(Table7[[#This Row],[Date]],Database!$A:$C,MATCH($C$1,Database!$A$1:$C$1,),)=0,#N/A,VLOOKUP(Table7[[#This Row],[Date]],Database!$A:$C,MATCH($C$1,Database!$A$1:$C$1,),))</f>
        <v/>
      </c>
      <c r="D14098">
        <f>IFERROR(Table7[[#This Row],[United States 10y]]-Table7[[#This Row],[United States 3y]],#N/A)</f>
        <v/>
      </c>
    </row>
    <row r="14099">
      <c r="A14099" s="6">
        <f>Database!$A16184</f>
        <v/>
      </c>
      <c r="B14099">
        <f>IF(VLOOKUP(Table7[[#This Row],[Date]],Database!$A:$C,MATCH($B$1,Database!$A$1:$C$1,),)=0,#N/A,VLOOKUP(Table7[[#This Row],[Date]],Database!$A:$C,MATCH($B$1,Database!$A$1:$C$1,),))</f>
        <v/>
      </c>
      <c r="C14099">
        <f>IF(VLOOKUP(Table7[[#This Row],[Date]],Database!$A:$C,MATCH($C$1,Database!$A$1:$C$1,),)=0,#N/A,VLOOKUP(Table7[[#This Row],[Date]],Database!$A:$C,MATCH($C$1,Database!$A$1:$C$1,),))</f>
        <v/>
      </c>
      <c r="D14099">
        <f>IFERROR(Table7[[#This Row],[United States 10y]]-Table7[[#This Row],[United States 3y]],#N/A)</f>
        <v/>
      </c>
    </row>
    <row r="14100">
      <c r="A14100" s="6">
        <f>Database!$A16185</f>
        <v/>
      </c>
      <c r="B14100">
        <f>IF(VLOOKUP(Table7[[#This Row],[Date]],Database!$A:$C,MATCH($B$1,Database!$A$1:$C$1,),)=0,#N/A,VLOOKUP(Table7[[#This Row],[Date]],Database!$A:$C,MATCH($B$1,Database!$A$1:$C$1,),))</f>
        <v/>
      </c>
      <c r="C14100">
        <f>IF(VLOOKUP(Table7[[#This Row],[Date]],Database!$A:$C,MATCH($C$1,Database!$A$1:$C$1,),)=0,#N/A,VLOOKUP(Table7[[#This Row],[Date]],Database!$A:$C,MATCH($C$1,Database!$A$1:$C$1,),))</f>
        <v/>
      </c>
      <c r="D14100">
        <f>IFERROR(Table7[[#This Row],[United States 10y]]-Table7[[#This Row],[United States 3y]],#N/A)</f>
        <v/>
      </c>
    </row>
    <row r="14101">
      <c r="A14101" s="6">
        <f>Database!$A16186</f>
        <v/>
      </c>
      <c r="B14101">
        <f>IF(VLOOKUP(Table7[[#This Row],[Date]],Database!$A:$C,MATCH($B$1,Database!$A$1:$C$1,),)=0,#N/A,VLOOKUP(Table7[[#This Row],[Date]],Database!$A:$C,MATCH($B$1,Database!$A$1:$C$1,),))</f>
        <v/>
      </c>
      <c r="C14101">
        <f>IF(VLOOKUP(Table7[[#This Row],[Date]],Database!$A:$C,MATCH($C$1,Database!$A$1:$C$1,),)=0,#N/A,VLOOKUP(Table7[[#This Row],[Date]],Database!$A:$C,MATCH($C$1,Database!$A$1:$C$1,),))</f>
        <v/>
      </c>
      <c r="D14101">
        <f>IFERROR(Table7[[#This Row],[United States 10y]]-Table7[[#This Row],[United States 3y]],#N/A)</f>
        <v/>
      </c>
    </row>
    <row r="14102">
      <c r="A14102" s="6">
        <f>Database!$A16187</f>
        <v/>
      </c>
      <c r="B14102">
        <f>IF(VLOOKUP(Table7[[#This Row],[Date]],Database!$A:$C,MATCH($B$1,Database!$A$1:$C$1,),)=0,#N/A,VLOOKUP(Table7[[#This Row],[Date]],Database!$A:$C,MATCH($B$1,Database!$A$1:$C$1,),))</f>
        <v/>
      </c>
      <c r="C14102">
        <f>IF(VLOOKUP(Table7[[#This Row],[Date]],Database!$A:$C,MATCH($C$1,Database!$A$1:$C$1,),)=0,#N/A,VLOOKUP(Table7[[#This Row],[Date]],Database!$A:$C,MATCH($C$1,Database!$A$1:$C$1,),))</f>
        <v/>
      </c>
      <c r="D14102">
        <f>IFERROR(Table7[[#This Row],[United States 10y]]-Table7[[#This Row],[United States 3y]],#N/A)</f>
        <v/>
      </c>
    </row>
    <row r="14103">
      <c r="A14103" s="6">
        <f>Database!$A16188</f>
        <v/>
      </c>
      <c r="B14103">
        <f>IF(VLOOKUP(Table7[[#This Row],[Date]],Database!$A:$C,MATCH($B$1,Database!$A$1:$C$1,),)=0,#N/A,VLOOKUP(Table7[[#This Row],[Date]],Database!$A:$C,MATCH($B$1,Database!$A$1:$C$1,),))</f>
        <v/>
      </c>
      <c r="C14103">
        <f>IF(VLOOKUP(Table7[[#This Row],[Date]],Database!$A:$C,MATCH($C$1,Database!$A$1:$C$1,),)=0,#N/A,VLOOKUP(Table7[[#This Row],[Date]],Database!$A:$C,MATCH($C$1,Database!$A$1:$C$1,),))</f>
        <v/>
      </c>
      <c r="D14103">
        <f>IFERROR(Table7[[#This Row],[United States 10y]]-Table7[[#This Row],[United States 3y]],#N/A)</f>
        <v/>
      </c>
    </row>
    <row r="14104">
      <c r="A14104" s="6">
        <f>Database!$A16189</f>
        <v/>
      </c>
      <c r="B14104">
        <f>IF(VLOOKUP(Table7[[#This Row],[Date]],Database!$A:$C,MATCH($B$1,Database!$A$1:$C$1,),)=0,#N/A,VLOOKUP(Table7[[#This Row],[Date]],Database!$A:$C,MATCH($B$1,Database!$A$1:$C$1,),))</f>
        <v/>
      </c>
      <c r="C14104">
        <f>IF(VLOOKUP(Table7[[#This Row],[Date]],Database!$A:$C,MATCH($C$1,Database!$A$1:$C$1,),)=0,#N/A,VLOOKUP(Table7[[#This Row],[Date]],Database!$A:$C,MATCH($C$1,Database!$A$1:$C$1,),))</f>
        <v/>
      </c>
      <c r="D14104">
        <f>IFERROR(Table7[[#This Row],[United States 10y]]-Table7[[#This Row],[United States 3y]],#N/A)</f>
        <v/>
      </c>
    </row>
    <row r="14105">
      <c r="A14105" s="6">
        <f>Database!$A16190</f>
        <v/>
      </c>
      <c r="B14105">
        <f>IF(VLOOKUP(Table7[[#This Row],[Date]],Database!$A:$C,MATCH($B$1,Database!$A$1:$C$1,),)=0,#N/A,VLOOKUP(Table7[[#This Row],[Date]],Database!$A:$C,MATCH($B$1,Database!$A$1:$C$1,),))</f>
        <v/>
      </c>
      <c r="C14105">
        <f>IF(VLOOKUP(Table7[[#This Row],[Date]],Database!$A:$C,MATCH($C$1,Database!$A$1:$C$1,),)=0,#N/A,VLOOKUP(Table7[[#This Row],[Date]],Database!$A:$C,MATCH($C$1,Database!$A$1:$C$1,),))</f>
        <v/>
      </c>
      <c r="D14105">
        <f>IFERROR(Table7[[#This Row],[United States 10y]]-Table7[[#This Row],[United States 3y]],#N/A)</f>
        <v/>
      </c>
    </row>
    <row r="14106">
      <c r="A14106" s="6">
        <f>Database!$A16191</f>
        <v/>
      </c>
      <c r="B14106">
        <f>IF(VLOOKUP(Table7[[#This Row],[Date]],Database!$A:$C,MATCH($B$1,Database!$A$1:$C$1,),)=0,#N/A,VLOOKUP(Table7[[#This Row],[Date]],Database!$A:$C,MATCH($B$1,Database!$A$1:$C$1,),))</f>
        <v/>
      </c>
      <c r="C14106">
        <f>IF(VLOOKUP(Table7[[#This Row],[Date]],Database!$A:$C,MATCH($C$1,Database!$A$1:$C$1,),)=0,#N/A,VLOOKUP(Table7[[#This Row],[Date]],Database!$A:$C,MATCH($C$1,Database!$A$1:$C$1,),))</f>
        <v/>
      </c>
      <c r="D14106">
        <f>IFERROR(Table7[[#This Row],[United States 10y]]-Table7[[#This Row],[United States 3y]],#N/A)</f>
        <v/>
      </c>
    </row>
    <row r="14107">
      <c r="A14107" s="6">
        <f>Database!$A16192</f>
        <v/>
      </c>
      <c r="B14107">
        <f>IF(VLOOKUP(Table7[[#This Row],[Date]],Database!$A:$C,MATCH($B$1,Database!$A$1:$C$1,),)=0,#N/A,VLOOKUP(Table7[[#This Row],[Date]],Database!$A:$C,MATCH($B$1,Database!$A$1:$C$1,),))</f>
        <v/>
      </c>
      <c r="C14107">
        <f>IF(VLOOKUP(Table7[[#This Row],[Date]],Database!$A:$C,MATCH($C$1,Database!$A$1:$C$1,),)=0,#N/A,VLOOKUP(Table7[[#This Row],[Date]],Database!$A:$C,MATCH($C$1,Database!$A$1:$C$1,),))</f>
        <v/>
      </c>
      <c r="D14107">
        <f>IFERROR(Table7[[#This Row],[United States 10y]]-Table7[[#This Row],[United States 3y]],#N/A)</f>
        <v/>
      </c>
    </row>
    <row r="14108">
      <c r="A14108" s="6">
        <f>Database!$A16193</f>
        <v/>
      </c>
      <c r="B14108">
        <f>IF(VLOOKUP(Table7[[#This Row],[Date]],Database!$A:$C,MATCH($B$1,Database!$A$1:$C$1,),)=0,#N/A,VLOOKUP(Table7[[#This Row],[Date]],Database!$A:$C,MATCH($B$1,Database!$A$1:$C$1,),))</f>
        <v/>
      </c>
      <c r="C14108">
        <f>IF(VLOOKUP(Table7[[#This Row],[Date]],Database!$A:$C,MATCH($C$1,Database!$A$1:$C$1,),)=0,#N/A,VLOOKUP(Table7[[#This Row],[Date]],Database!$A:$C,MATCH($C$1,Database!$A$1:$C$1,),))</f>
        <v/>
      </c>
      <c r="D14108">
        <f>IFERROR(Table7[[#This Row],[United States 10y]]-Table7[[#This Row],[United States 3y]],#N/A)</f>
        <v/>
      </c>
    </row>
    <row r="14109">
      <c r="A14109" s="6">
        <f>Database!$A16194</f>
        <v/>
      </c>
      <c r="B14109">
        <f>IF(VLOOKUP(Table7[[#This Row],[Date]],Database!$A:$C,MATCH($B$1,Database!$A$1:$C$1,),)=0,#N/A,VLOOKUP(Table7[[#This Row],[Date]],Database!$A:$C,MATCH($B$1,Database!$A$1:$C$1,),))</f>
        <v/>
      </c>
      <c r="C14109">
        <f>IF(VLOOKUP(Table7[[#This Row],[Date]],Database!$A:$C,MATCH($C$1,Database!$A$1:$C$1,),)=0,#N/A,VLOOKUP(Table7[[#This Row],[Date]],Database!$A:$C,MATCH($C$1,Database!$A$1:$C$1,),))</f>
        <v/>
      </c>
      <c r="D14109">
        <f>IFERROR(Table7[[#This Row],[United States 10y]]-Table7[[#This Row],[United States 3y]],#N/A)</f>
        <v/>
      </c>
    </row>
    <row r="14110">
      <c r="A14110" s="6">
        <f>Database!$A16195</f>
        <v/>
      </c>
      <c r="B14110">
        <f>IF(VLOOKUP(Table7[[#This Row],[Date]],Database!$A:$C,MATCH($B$1,Database!$A$1:$C$1,),)=0,#N/A,VLOOKUP(Table7[[#This Row],[Date]],Database!$A:$C,MATCH($B$1,Database!$A$1:$C$1,),))</f>
        <v/>
      </c>
      <c r="C14110">
        <f>IF(VLOOKUP(Table7[[#This Row],[Date]],Database!$A:$C,MATCH($C$1,Database!$A$1:$C$1,),)=0,#N/A,VLOOKUP(Table7[[#This Row],[Date]],Database!$A:$C,MATCH($C$1,Database!$A$1:$C$1,),))</f>
        <v/>
      </c>
      <c r="D14110">
        <f>IFERROR(Table7[[#This Row],[United States 10y]]-Table7[[#This Row],[United States 3y]],#N/A)</f>
        <v/>
      </c>
    </row>
    <row r="14111">
      <c r="A14111" s="6">
        <f>Database!$A16196</f>
        <v/>
      </c>
      <c r="B14111">
        <f>IF(VLOOKUP(Table7[[#This Row],[Date]],Database!$A:$C,MATCH($B$1,Database!$A$1:$C$1,),)=0,#N/A,VLOOKUP(Table7[[#This Row],[Date]],Database!$A:$C,MATCH($B$1,Database!$A$1:$C$1,),))</f>
        <v/>
      </c>
      <c r="C14111">
        <f>IF(VLOOKUP(Table7[[#This Row],[Date]],Database!$A:$C,MATCH($C$1,Database!$A$1:$C$1,),)=0,#N/A,VLOOKUP(Table7[[#This Row],[Date]],Database!$A:$C,MATCH($C$1,Database!$A$1:$C$1,),))</f>
        <v/>
      </c>
      <c r="D14111">
        <f>IFERROR(Table7[[#This Row],[United States 10y]]-Table7[[#This Row],[United States 3y]],#N/A)</f>
        <v/>
      </c>
    </row>
    <row r="14112">
      <c r="A14112" s="6">
        <f>Database!$A16197</f>
        <v/>
      </c>
      <c r="B14112">
        <f>IF(VLOOKUP(Table7[[#This Row],[Date]],Database!$A:$C,MATCH($B$1,Database!$A$1:$C$1,),)=0,#N/A,VLOOKUP(Table7[[#This Row],[Date]],Database!$A:$C,MATCH($B$1,Database!$A$1:$C$1,),))</f>
        <v/>
      </c>
      <c r="C14112">
        <f>IF(VLOOKUP(Table7[[#This Row],[Date]],Database!$A:$C,MATCH($C$1,Database!$A$1:$C$1,),)=0,#N/A,VLOOKUP(Table7[[#This Row],[Date]],Database!$A:$C,MATCH($C$1,Database!$A$1:$C$1,),))</f>
        <v/>
      </c>
      <c r="D14112">
        <f>IFERROR(Table7[[#This Row],[United States 10y]]-Table7[[#This Row],[United States 3y]],#N/A)</f>
        <v/>
      </c>
    </row>
    <row r="14113">
      <c r="A14113" s="6">
        <f>Database!$A16198</f>
        <v/>
      </c>
      <c r="B14113">
        <f>IF(VLOOKUP(Table7[[#This Row],[Date]],Database!$A:$C,MATCH($B$1,Database!$A$1:$C$1,),)=0,#N/A,VLOOKUP(Table7[[#This Row],[Date]],Database!$A:$C,MATCH($B$1,Database!$A$1:$C$1,),))</f>
        <v/>
      </c>
      <c r="C14113">
        <f>IF(VLOOKUP(Table7[[#This Row],[Date]],Database!$A:$C,MATCH($C$1,Database!$A$1:$C$1,),)=0,#N/A,VLOOKUP(Table7[[#This Row],[Date]],Database!$A:$C,MATCH($C$1,Database!$A$1:$C$1,),))</f>
        <v/>
      </c>
      <c r="D14113">
        <f>IFERROR(Table7[[#This Row],[United States 10y]]-Table7[[#This Row],[United States 3y]],#N/A)</f>
        <v/>
      </c>
    </row>
    <row r="14114">
      <c r="A14114" s="6">
        <f>Database!$A16199</f>
        <v/>
      </c>
      <c r="B14114">
        <f>IF(VLOOKUP(Table7[[#This Row],[Date]],Database!$A:$C,MATCH($B$1,Database!$A$1:$C$1,),)=0,#N/A,VLOOKUP(Table7[[#This Row],[Date]],Database!$A:$C,MATCH($B$1,Database!$A$1:$C$1,),))</f>
        <v/>
      </c>
      <c r="C14114">
        <f>IF(VLOOKUP(Table7[[#This Row],[Date]],Database!$A:$C,MATCH($C$1,Database!$A$1:$C$1,),)=0,#N/A,VLOOKUP(Table7[[#This Row],[Date]],Database!$A:$C,MATCH($C$1,Database!$A$1:$C$1,),))</f>
        <v/>
      </c>
      <c r="D14114">
        <f>IFERROR(Table7[[#This Row],[United States 10y]]-Table7[[#This Row],[United States 3y]],#N/A)</f>
        <v/>
      </c>
    </row>
    <row r="14115">
      <c r="A14115" s="6">
        <f>Database!$A16200</f>
        <v/>
      </c>
      <c r="B14115">
        <f>IF(VLOOKUP(Table7[[#This Row],[Date]],Database!$A:$C,MATCH($B$1,Database!$A$1:$C$1,),)=0,#N/A,VLOOKUP(Table7[[#This Row],[Date]],Database!$A:$C,MATCH($B$1,Database!$A$1:$C$1,),))</f>
        <v/>
      </c>
      <c r="C14115">
        <f>IF(VLOOKUP(Table7[[#This Row],[Date]],Database!$A:$C,MATCH($C$1,Database!$A$1:$C$1,),)=0,#N/A,VLOOKUP(Table7[[#This Row],[Date]],Database!$A:$C,MATCH($C$1,Database!$A$1:$C$1,),))</f>
        <v/>
      </c>
      <c r="D14115">
        <f>IFERROR(Table7[[#This Row],[United States 10y]]-Table7[[#This Row],[United States 3y]],#N/A)</f>
        <v/>
      </c>
    </row>
    <row r="14116">
      <c r="A14116" s="6">
        <f>Database!$A16201</f>
        <v/>
      </c>
      <c r="B14116">
        <f>IF(VLOOKUP(Table7[[#This Row],[Date]],Database!$A:$C,MATCH($B$1,Database!$A$1:$C$1,),)=0,#N/A,VLOOKUP(Table7[[#This Row],[Date]],Database!$A:$C,MATCH($B$1,Database!$A$1:$C$1,),))</f>
        <v/>
      </c>
      <c r="C14116">
        <f>IF(VLOOKUP(Table7[[#This Row],[Date]],Database!$A:$C,MATCH($C$1,Database!$A$1:$C$1,),)=0,#N/A,VLOOKUP(Table7[[#This Row],[Date]],Database!$A:$C,MATCH($C$1,Database!$A$1:$C$1,),))</f>
        <v/>
      </c>
      <c r="D14116">
        <f>IFERROR(Table7[[#This Row],[United States 10y]]-Table7[[#This Row],[United States 3y]],#N/A)</f>
        <v/>
      </c>
    </row>
    <row r="14117">
      <c r="A14117" s="6">
        <f>Database!$A16202</f>
        <v/>
      </c>
      <c r="B14117">
        <f>IF(VLOOKUP(Table7[[#This Row],[Date]],Database!$A:$C,MATCH($B$1,Database!$A$1:$C$1,),)=0,#N/A,VLOOKUP(Table7[[#This Row],[Date]],Database!$A:$C,MATCH($B$1,Database!$A$1:$C$1,),))</f>
        <v/>
      </c>
      <c r="C14117">
        <f>IF(VLOOKUP(Table7[[#This Row],[Date]],Database!$A:$C,MATCH($C$1,Database!$A$1:$C$1,),)=0,#N/A,VLOOKUP(Table7[[#This Row],[Date]],Database!$A:$C,MATCH($C$1,Database!$A$1:$C$1,),))</f>
        <v/>
      </c>
      <c r="D14117">
        <f>IFERROR(Table7[[#This Row],[United States 10y]]-Table7[[#This Row],[United States 3y]],#N/A)</f>
        <v/>
      </c>
    </row>
    <row r="14118">
      <c r="A14118" s="6">
        <f>Database!$A16203</f>
        <v/>
      </c>
      <c r="B14118">
        <f>IF(VLOOKUP(Table7[[#This Row],[Date]],Database!$A:$C,MATCH($B$1,Database!$A$1:$C$1,),)=0,#N/A,VLOOKUP(Table7[[#This Row],[Date]],Database!$A:$C,MATCH($B$1,Database!$A$1:$C$1,),))</f>
        <v/>
      </c>
      <c r="C14118">
        <f>IF(VLOOKUP(Table7[[#This Row],[Date]],Database!$A:$C,MATCH($C$1,Database!$A$1:$C$1,),)=0,#N/A,VLOOKUP(Table7[[#This Row],[Date]],Database!$A:$C,MATCH($C$1,Database!$A$1:$C$1,),))</f>
        <v/>
      </c>
      <c r="D14118">
        <f>IFERROR(Table7[[#This Row],[United States 10y]]-Table7[[#This Row],[United States 3y]],#N/A)</f>
        <v/>
      </c>
    </row>
    <row r="14119">
      <c r="A14119" s="6">
        <f>Database!$A16204</f>
        <v/>
      </c>
      <c r="B14119">
        <f>IF(VLOOKUP(Table7[[#This Row],[Date]],Database!$A:$C,MATCH($B$1,Database!$A$1:$C$1,),)=0,#N/A,VLOOKUP(Table7[[#This Row],[Date]],Database!$A:$C,MATCH($B$1,Database!$A$1:$C$1,),))</f>
        <v/>
      </c>
      <c r="C14119">
        <f>IF(VLOOKUP(Table7[[#This Row],[Date]],Database!$A:$C,MATCH($C$1,Database!$A$1:$C$1,),)=0,#N/A,VLOOKUP(Table7[[#This Row],[Date]],Database!$A:$C,MATCH($C$1,Database!$A$1:$C$1,),))</f>
        <v/>
      </c>
      <c r="D14119">
        <f>IFERROR(Table7[[#This Row],[United States 10y]]-Table7[[#This Row],[United States 3y]],#N/A)</f>
        <v/>
      </c>
    </row>
    <row r="14120">
      <c r="A14120" s="6">
        <f>Database!$A16205</f>
        <v/>
      </c>
      <c r="B14120">
        <f>IF(VLOOKUP(Table7[[#This Row],[Date]],Database!$A:$C,MATCH($B$1,Database!$A$1:$C$1,),)=0,#N/A,VLOOKUP(Table7[[#This Row],[Date]],Database!$A:$C,MATCH($B$1,Database!$A$1:$C$1,),))</f>
        <v/>
      </c>
      <c r="C14120">
        <f>IF(VLOOKUP(Table7[[#This Row],[Date]],Database!$A:$C,MATCH($C$1,Database!$A$1:$C$1,),)=0,#N/A,VLOOKUP(Table7[[#This Row],[Date]],Database!$A:$C,MATCH($C$1,Database!$A$1:$C$1,),))</f>
        <v/>
      </c>
      <c r="D14120">
        <f>IFERROR(Table7[[#This Row],[United States 10y]]-Table7[[#This Row],[United States 3y]],#N/A)</f>
        <v/>
      </c>
    </row>
    <row r="14121">
      <c r="A14121" s="6">
        <f>Database!$A16206</f>
        <v/>
      </c>
      <c r="B14121">
        <f>IF(VLOOKUP(Table7[[#This Row],[Date]],Database!$A:$C,MATCH($B$1,Database!$A$1:$C$1,),)=0,#N/A,VLOOKUP(Table7[[#This Row],[Date]],Database!$A:$C,MATCH($B$1,Database!$A$1:$C$1,),))</f>
        <v/>
      </c>
      <c r="C14121">
        <f>IF(VLOOKUP(Table7[[#This Row],[Date]],Database!$A:$C,MATCH($C$1,Database!$A$1:$C$1,),)=0,#N/A,VLOOKUP(Table7[[#This Row],[Date]],Database!$A:$C,MATCH($C$1,Database!$A$1:$C$1,),))</f>
        <v/>
      </c>
      <c r="D14121">
        <f>IFERROR(Table7[[#This Row],[United States 10y]]-Table7[[#This Row],[United States 3y]],#N/A)</f>
        <v/>
      </c>
    </row>
    <row r="14122">
      <c r="A14122" s="6">
        <f>Database!$A16207</f>
        <v/>
      </c>
      <c r="B14122">
        <f>IF(VLOOKUP(Table7[[#This Row],[Date]],Database!$A:$C,MATCH($B$1,Database!$A$1:$C$1,),)=0,#N/A,VLOOKUP(Table7[[#This Row],[Date]],Database!$A:$C,MATCH($B$1,Database!$A$1:$C$1,),))</f>
        <v/>
      </c>
      <c r="C14122">
        <f>IF(VLOOKUP(Table7[[#This Row],[Date]],Database!$A:$C,MATCH($C$1,Database!$A$1:$C$1,),)=0,#N/A,VLOOKUP(Table7[[#This Row],[Date]],Database!$A:$C,MATCH($C$1,Database!$A$1:$C$1,),))</f>
        <v/>
      </c>
      <c r="D14122">
        <f>IFERROR(Table7[[#This Row],[United States 10y]]-Table7[[#This Row],[United States 3y]],#N/A)</f>
        <v/>
      </c>
    </row>
    <row r="14123">
      <c r="A14123" s="6">
        <f>Database!$A16208</f>
        <v/>
      </c>
      <c r="B14123">
        <f>IF(VLOOKUP(Table7[[#This Row],[Date]],Database!$A:$C,MATCH($B$1,Database!$A$1:$C$1,),)=0,#N/A,VLOOKUP(Table7[[#This Row],[Date]],Database!$A:$C,MATCH($B$1,Database!$A$1:$C$1,),))</f>
        <v/>
      </c>
      <c r="C14123">
        <f>IF(VLOOKUP(Table7[[#This Row],[Date]],Database!$A:$C,MATCH($C$1,Database!$A$1:$C$1,),)=0,#N/A,VLOOKUP(Table7[[#This Row],[Date]],Database!$A:$C,MATCH($C$1,Database!$A$1:$C$1,),))</f>
        <v/>
      </c>
      <c r="D14123">
        <f>IFERROR(Table7[[#This Row],[United States 10y]]-Table7[[#This Row],[United States 3y]],#N/A)</f>
        <v/>
      </c>
    </row>
    <row r="14124">
      <c r="A14124" s="6">
        <f>Database!$A16209</f>
        <v/>
      </c>
      <c r="B14124">
        <f>IF(VLOOKUP(Table7[[#This Row],[Date]],Database!$A:$C,MATCH($B$1,Database!$A$1:$C$1,),)=0,#N/A,VLOOKUP(Table7[[#This Row],[Date]],Database!$A:$C,MATCH($B$1,Database!$A$1:$C$1,),))</f>
        <v/>
      </c>
      <c r="C14124">
        <f>IF(VLOOKUP(Table7[[#This Row],[Date]],Database!$A:$C,MATCH($C$1,Database!$A$1:$C$1,),)=0,#N/A,VLOOKUP(Table7[[#This Row],[Date]],Database!$A:$C,MATCH($C$1,Database!$A$1:$C$1,),))</f>
        <v/>
      </c>
      <c r="D14124">
        <f>IFERROR(Table7[[#This Row],[United States 10y]]-Table7[[#This Row],[United States 3y]],#N/A)</f>
        <v/>
      </c>
    </row>
    <row r="14125">
      <c r="A14125" s="6">
        <f>Database!$A16210</f>
        <v/>
      </c>
      <c r="B14125">
        <f>IF(VLOOKUP(Table7[[#This Row],[Date]],Database!$A:$C,MATCH($B$1,Database!$A$1:$C$1,),)=0,#N/A,VLOOKUP(Table7[[#This Row],[Date]],Database!$A:$C,MATCH($B$1,Database!$A$1:$C$1,),))</f>
        <v/>
      </c>
      <c r="C14125">
        <f>IF(VLOOKUP(Table7[[#This Row],[Date]],Database!$A:$C,MATCH($C$1,Database!$A$1:$C$1,),)=0,#N/A,VLOOKUP(Table7[[#This Row],[Date]],Database!$A:$C,MATCH($C$1,Database!$A$1:$C$1,),))</f>
        <v/>
      </c>
      <c r="D14125">
        <f>IFERROR(Table7[[#This Row],[United States 10y]]-Table7[[#This Row],[United States 3y]],#N/A)</f>
        <v/>
      </c>
    </row>
    <row r="14126">
      <c r="A14126" s="6">
        <f>Database!$A16211</f>
        <v/>
      </c>
      <c r="B14126">
        <f>IF(VLOOKUP(Table7[[#This Row],[Date]],Database!$A:$C,MATCH($B$1,Database!$A$1:$C$1,),)=0,#N/A,VLOOKUP(Table7[[#This Row],[Date]],Database!$A:$C,MATCH($B$1,Database!$A$1:$C$1,),))</f>
        <v/>
      </c>
      <c r="C14126">
        <f>IF(VLOOKUP(Table7[[#This Row],[Date]],Database!$A:$C,MATCH($C$1,Database!$A$1:$C$1,),)=0,#N/A,VLOOKUP(Table7[[#This Row],[Date]],Database!$A:$C,MATCH($C$1,Database!$A$1:$C$1,),))</f>
        <v/>
      </c>
      <c r="D14126">
        <f>IFERROR(Table7[[#This Row],[United States 10y]]-Table7[[#This Row],[United States 3y]],#N/A)</f>
        <v/>
      </c>
    </row>
    <row r="14127">
      <c r="A14127" s="6">
        <f>Database!$A16212</f>
        <v/>
      </c>
      <c r="B14127">
        <f>IF(VLOOKUP(Table7[[#This Row],[Date]],Database!$A:$C,MATCH($B$1,Database!$A$1:$C$1,),)=0,#N/A,VLOOKUP(Table7[[#This Row],[Date]],Database!$A:$C,MATCH($B$1,Database!$A$1:$C$1,),))</f>
        <v/>
      </c>
      <c r="C14127">
        <f>IF(VLOOKUP(Table7[[#This Row],[Date]],Database!$A:$C,MATCH($C$1,Database!$A$1:$C$1,),)=0,#N/A,VLOOKUP(Table7[[#This Row],[Date]],Database!$A:$C,MATCH($C$1,Database!$A$1:$C$1,),))</f>
        <v/>
      </c>
      <c r="D14127">
        <f>IFERROR(Table7[[#This Row],[United States 10y]]-Table7[[#This Row],[United States 3y]],#N/A)</f>
        <v/>
      </c>
    </row>
    <row r="14128">
      <c r="A14128" s="6">
        <f>Database!$A16213</f>
        <v/>
      </c>
      <c r="B14128">
        <f>IF(VLOOKUP(Table7[[#This Row],[Date]],Database!$A:$C,MATCH($B$1,Database!$A$1:$C$1,),)=0,#N/A,VLOOKUP(Table7[[#This Row],[Date]],Database!$A:$C,MATCH($B$1,Database!$A$1:$C$1,),))</f>
        <v/>
      </c>
      <c r="C14128">
        <f>IF(VLOOKUP(Table7[[#This Row],[Date]],Database!$A:$C,MATCH($C$1,Database!$A$1:$C$1,),)=0,#N/A,VLOOKUP(Table7[[#This Row],[Date]],Database!$A:$C,MATCH($C$1,Database!$A$1:$C$1,),))</f>
        <v/>
      </c>
      <c r="D14128">
        <f>IFERROR(Table7[[#This Row],[United States 10y]]-Table7[[#This Row],[United States 3y]],#N/A)</f>
        <v/>
      </c>
    </row>
    <row r="14129">
      <c r="A14129" s="6">
        <f>Database!$A16214</f>
        <v/>
      </c>
      <c r="B14129">
        <f>IF(VLOOKUP(Table7[[#This Row],[Date]],Database!$A:$C,MATCH($B$1,Database!$A$1:$C$1,),)=0,#N/A,VLOOKUP(Table7[[#This Row],[Date]],Database!$A:$C,MATCH($B$1,Database!$A$1:$C$1,),))</f>
        <v/>
      </c>
      <c r="C14129">
        <f>IF(VLOOKUP(Table7[[#This Row],[Date]],Database!$A:$C,MATCH($C$1,Database!$A$1:$C$1,),)=0,#N/A,VLOOKUP(Table7[[#This Row],[Date]],Database!$A:$C,MATCH($C$1,Database!$A$1:$C$1,),))</f>
        <v/>
      </c>
      <c r="D14129">
        <f>IFERROR(Table7[[#This Row],[United States 10y]]-Table7[[#This Row],[United States 3y]],#N/A)</f>
        <v/>
      </c>
    </row>
    <row r="14130">
      <c r="A14130" s="6">
        <f>Database!$A16215</f>
        <v/>
      </c>
      <c r="B14130">
        <f>IF(VLOOKUP(Table7[[#This Row],[Date]],Database!$A:$C,MATCH($B$1,Database!$A$1:$C$1,),)=0,#N/A,VLOOKUP(Table7[[#This Row],[Date]],Database!$A:$C,MATCH($B$1,Database!$A$1:$C$1,),))</f>
        <v/>
      </c>
      <c r="C14130">
        <f>IF(VLOOKUP(Table7[[#This Row],[Date]],Database!$A:$C,MATCH($C$1,Database!$A$1:$C$1,),)=0,#N/A,VLOOKUP(Table7[[#This Row],[Date]],Database!$A:$C,MATCH($C$1,Database!$A$1:$C$1,),))</f>
        <v/>
      </c>
      <c r="D14130">
        <f>IFERROR(Table7[[#This Row],[United States 10y]]-Table7[[#This Row],[United States 3y]],#N/A)</f>
        <v/>
      </c>
    </row>
    <row r="14131">
      <c r="A14131" s="6">
        <f>Database!$A16216</f>
        <v/>
      </c>
      <c r="B14131">
        <f>IF(VLOOKUP(Table7[[#This Row],[Date]],Database!$A:$C,MATCH($B$1,Database!$A$1:$C$1,),)=0,#N/A,VLOOKUP(Table7[[#This Row],[Date]],Database!$A:$C,MATCH($B$1,Database!$A$1:$C$1,),))</f>
        <v/>
      </c>
      <c r="C14131">
        <f>IF(VLOOKUP(Table7[[#This Row],[Date]],Database!$A:$C,MATCH($C$1,Database!$A$1:$C$1,),)=0,#N/A,VLOOKUP(Table7[[#This Row],[Date]],Database!$A:$C,MATCH($C$1,Database!$A$1:$C$1,),))</f>
        <v/>
      </c>
      <c r="D14131">
        <f>IFERROR(Table7[[#This Row],[United States 10y]]-Table7[[#This Row],[United States 3y]],#N/A)</f>
        <v/>
      </c>
    </row>
    <row r="14132">
      <c r="A14132" s="6">
        <f>Database!$A16217</f>
        <v/>
      </c>
      <c r="B14132">
        <f>IF(VLOOKUP(Table7[[#This Row],[Date]],Database!$A:$C,MATCH($B$1,Database!$A$1:$C$1,),)=0,#N/A,VLOOKUP(Table7[[#This Row],[Date]],Database!$A:$C,MATCH($B$1,Database!$A$1:$C$1,),))</f>
        <v/>
      </c>
      <c r="C14132">
        <f>IF(VLOOKUP(Table7[[#This Row],[Date]],Database!$A:$C,MATCH($C$1,Database!$A$1:$C$1,),)=0,#N/A,VLOOKUP(Table7[[#This Row],[Date]],Database!$A:$C,MATCH($C$1,Database!$A$1:$C$1,),))</f>
        <v/>
      </c>
      <c r="D14132">
        <f>IFERROR(Table7[[#This Row],[United States 10y]]-Table7[[#This Row],[United States 3y]],#N/A)</f>
        <v/>
      </c>
    </row>
    <row r="14133">
      <c r="A14133" s="6">
        <f>Database!$A16218</f>
        <v/>
      </c>
      <c r="B14133">
        <f>IF(VLOOKUP(Table7[[#This Row],[Date]],Database!$A:$C,MATCH($B$1,Database!$A$1:$C$1,),)=0,#N/A,VLOOKUP(Table7[[#This Row],[Date]],Database!$A:$C,MATCH($B$1,Database!$A$1:$C$1,),))</f>
        <v/>
      </c>
      <c r="C14133">
        <f>IF(VLOOKUP(Table7[[#This Row],[Date]],Database!$A:$C,MATCH($C$1,Database!$A$1:$C$1,),)=0,#N/A,VLOOKUP(Table7[[#This Row],[Date]],Database!$A:$C,MATCH($C$1,Database!$A$1:$C$1,),))</f>
        <v/>
      </c>
      <c r="D14133">
        <f>IFERROR(Table7[[#This Row],[United States 10y]]-Table7[[#This Row],[United States 3y]],#N/A)</f>
        <v/>
      </c>
    </row>
    <row r="14134">
      <c r="A14134" s="6">
        <f>Database!$A16219</f>
        <v/>
      </c>
      <c r="B14134">
        <f>IF(VLOOKUP(Table7[[#This Row],[Date]],Database!$A:$C,MATCH($B$1,Database!$A$1:$C$1,),)=0,#N/A,VLOOKUP(Table7[[#This Row],[Date]],Database!$A:$C,MATCH($B$1,Database!$A$1:$C$1,),))</f>
        <v/>
      </c>
      <c r="C14134">
        <f>IF(VLOOKUP(Table7[[#This Row],[Date]],Database!$A:$C,MATCH($C$1,Database!$A$1:$C$1,),)=0,#N/A,VLOOKUP(Table7[[#This Row],[Date]],Database!$A:$C,MATCH($C$1,Database!$A$1:$C$1,),))</f>
        <v/>
      </c>
      <c r="D14134">
        <f>IFERROR(Table7[[#This Row],[United States 10y]]-Table7[[#This Row],[United States 3y]],#N/A)</f>
        <v/>
      </c>
    </row>
    <row r="14135">
      <c r="A14135" s="6">
        <f>Database!$A16220</f>
        <v/>
      </c>
      <c r="B14135">
        <f>IF(VLOOKUP(Table7[[#This Row],[Date]],Database!$A:$C,MATCH($B$1,Database!$A$1:$C$1,),)=0,#N/A,VLOOKUP(Table7[[#This Row],[Date]],Database!$A:$C,MATCH($B$1,Database!$A$1:$C$1,),))</f>
        <v/>
      </c>
      <c r="C14135">
        <f>IF(VLOOKUP(Table7[[#This Row],[Date]],Database!$A:$C,MATCH($C$1,Database!$A$1:$C$1,),)=0,#N/A,VLOOKUP(Table7[[#This Row],[Date]],Database!$A:$C,MATCH($C$1,Database!$A$1:$C$1,),))</f>
        <v/>
      </c>
      <c r="D14135">
        <f>IFERROR(Table7[[#This Row],[United States 10y]]-Table7[[#This Row],[United States 3y]],#N/A)</f>
        <v/>
      </c>
    </row>
    <row r="14136">
      <c r="A14136" s="6">
        <f>Database!$A16221</f>
        <v/>
      </c>
      <c r="B14136">
        <f>IF(VLOOKUP(Table7[[#This Row],[Date]],Database!$A:$C,MATCH($B$1,Database!$A$1:$C$1,),)=0,#N/A,VLOOKUP(Table7[[#This Row],[Date]],Database!$A:$C,MATCH($B$1,Database!$A$1:$C$1,),))</f>
        <v/>
      </c>
      <c r="C14136">
        <f>IF(VLOOKUP(Table7[[#This Row],[Date]],Database!$A:$C,MATCH($C$1,Database!$A$1:$C$1,),)=0,#N/A,VLOOKUP(Table7[[#This Row],[Date]],Database!$A:$C,MATCH($C$1,Database!$A$1:$C$1,),))</f>
        <v/>
      </c>
      <c r="D14136">
        <f>IFERROR(Table7[[#This Row],[United States 10y]]-Table7[[#This Row],[United States 3y]],#N/A)</f>
        <v/>
      </c>
    </row>
    <row r="14137">
      <c r="A14137" s="6">
        <f>Database!$A16222</f>
        <v/>
      </c>
      <c r="B14137">
        <f>IF(VLOOKUP(Table7[[#This Row],[Date]],Database!$A:$C,MATCH($B$1,Database!$A$1:$C$1,),)=0,#N/A,VLOOKUP(Table7[[#This Row],[Date]],Database!$A:$C,MATCH($B$1,Database!$A$1:$C$1,),))</f>
        <v/>
      </c>
      <c r="C14137">
        <f>IF(VLOOKUP(Table7[[#This Row],[Date]],Database!$A:$C,MATCH($C$1,Database!$A$1:$C$1,),)=0,#N/A,VLOOKUP(Table7[[#This Row],[Date]],Database!$A:$C,MATCH($C$1,Database!$A$1:$C$1,),))</f>
        <v/>
      </c>
      <c r="D14137">
        <f>IFERROR(Table7[[#This Row],[United States 10y]]-Table7[[#This Row],[United States 3y]],#N/A)</f>
        <v/>
      </c>
    </row>
    <row r="14138">
      <c r="A14138" s="6">
        <f>Database!$A16223</f>
        <v/>
      </c>
      <c r="B14138">
        <f>IF(VLOOKUP(Table7[[#This Row],[Date]],Database!$A:$C,MATCH($B$1,Database!$A$1:$C$1,),)=0,#N/A,VLOOKUP(Table7[[#This Row],[Date]],Database!$A:$C,MATCH($B$1,Database!$A$1:$C$1,),))</f>
        <v/>
      </c>
      <c r="C14138">
        <f>IF(VLOOKUP(Table7[[#This Row],[Date]],Database!$A:$C,MATCH($C$1,Database!$A$1:$C$1,),)=0,#N/A,VLOOKUP(Table7[[#This Row],[Date]],Database!$A:$C,MATCH($C$1,Database!$A$1:$C$1,),))</f>
        <v/>
      </c>
      <c r="D14138">
        <f>IFERROR(Table7[[#This Row],[United States 10y]]-Table7[[#This Row],[United States 3y]],#N/A)</f>
        <v/>
      </c>
    </row>
    <row r="14139">
      <c r="A14139" s="6">
        <f>Database!$A16224</f>
        <v/>
      </c>
      <c r="B14139">
        <f>IF(VLOOKUP(Table7[[#This Row],[Date]],Database!$A:$C,MATCH($B$1,Database!$A$1:$C$1,),)=0,#N/A,VLOOKUP(Table7[[#This Row],[Date]],Database!$A:$C,MATCH($B$1,Database!$A$1:$C$1,),))</f>
        <v/>
      </c>
      <c r="C14139">
        <f>IF(VLOOKUP(Table7[[#This Row],[Date]],Database!$A:$C,MATCH($C$1,Database!$A$1:$C$1,),)=0,#N/A,VLOOKUP(Table7[[#This Row],[Date]],Database!$A:$C,MATCH($C$1,Database!$A$1:$C$1,),))</f>
        <v/>
      </c>
      <c r="D14139">
        <f>IFERROR(Table7[[#This Row],[United States 10y]]-Table7[[#This Row],[United States 3y]],#N/A)</f>
        <v/>
      </c>
    </row>
    <row r="14140">
      <c r="A14140" s="6">
        <f>Database!$A16225</f>
        <v/>
      </c>
      <c r="B14140">
        <f>IF(VLOOKUP(Table7[[#This Row],[Date]],Database!$A:$C,MATCH($B$1,Database!$A$1:$C$1,),)=0,#N/A,VLOOKUP(Table7[[#This Row],[Date]],Database!$A:$C,MATCH($B$1,Database!$A$1:$C$1,),))</f>
        <v/>
      </c>
      <c r="C14140">
        <f>IF(VLOOKUP(Table7[[#This Row],[Date]],Database!$A:$C,MATCH($C$1,Database!$A$1:$C$1,),)=0,#N/A,VLOOKUP(Table7[[#This Row],[Date]],Database!$A:$C,MATCH($C$1,Database!$A$1:$C$1,),))</f>
        <v/>
      </c>
      <c r="D14140">
        <f>IFERROR(Table7[[#This Row],[United States 10y]]-Table7[[#This Row],[United States 3y]],#N/A)</f>
        <v/>
      </c>
    </row>
    <row r="14141">
      <c r="A14141" s="6">
        <f>Database!$A16226</f>
        <v/>
      </c>
      <c r="B14141">
        <f>IF(VLOOKUP(Table7[[#This Row],[Date]],Database!$A:$C,MATCH($B$1,Database!$A$1:$C$1,),)=0,#N/A,VLOOKUP(Table7[[#This Row],[Date]],Database!$A:$C,MATCH($B$1,Database!$A$1:$C$1,),))</f>
        <v/>
      </c>
      <c r="C14141">
        <f>IF(VLOOKUP(Table7[[#This Row],[Date]],Database!$A:$C,MATCH($C$1,Database!$A$1:$C$1,),)=0,#N/A,VLOOKUP(Table7[[#This Row],[Date]],Database!$A:$C,MATCH($C$1,Database!$A$1:$C$1,),))</f>
        <v/>
      </c>
      <c r="D14141">
        <f>IFERROR(Table7[[#This Row],[United States 10y]]-Table7[[#This Row],[United States 3y]],#N/A)</f>
        <v/>
      </c>
    </row>
    <row r="14142">
      <c r="A14142" s="6">
        <f>Database!$A16227</f>
        <v/>
      </c>
      <c r="B14142">
        <f>IF(VLOOKUP(Table7[[#This Row],[Date]],Database!$A:$C,MATCH($B$1,Database!$A$1:$C$1,),)=0,#N/A,VLOOKUP(Table7[[#This Row],[Date]],Database!$A:$C,MATCH($B$1,Database!$A$1:$C$1,),))</f>
        <v/>
      </c>
      <c r="C14142">
        <f>IF(VLOOKUP(Table7[[#This Row],[Date]],Database!$A:$C,MATCH($C$1,Database!$A$1:$C$1,),)=0,#N/A,VLOOKUP(Table7[[#This Row],[Date]],Database!$A:$C,MATCH($C$1,Database!$A$1:$C$1,),))</f>
        <v/>
      </c>
      <c r="D14142">
        <f>IFERROR(Table7[[#This Row],[United States 10y]]-Table7[[#This Row],[United States 3y]],#N/A)</f>
        <v/>
      </c>
    </row>
    <row r="14143">
      <c r="A14143" s="6">
        <f>Database!$A16228</f>
        <v/>
      </c>
      <c r="B14143">
        <f>IF(VLOOKUP(Table7[[#This Row],[Date]],Database!$A:$C,MATCH($B$1,Database!$A$1:$C$1,),)=0,#N/A,VLOOKUP(Table7[[#This Row],[Date]],Database!$A:$C,MATCH($B$1,Database!$A$1:$C$1,),))</f>
        <v/>
      </c>
      <c r="C14143">
        <f>IF(VLOOKUP(Table7[[#This Row],[Date]],Database!$A:$C,MATCH($C$1,Database!$A$1:$C$1,),)=0,#N/A,VLOOKUP(Table7[[#This Row],[Date]],Database!$A:$C,MATCH($C$1,Database!$A$1:$C$1,),))</f>
        <v/>
      </c>
      <c r="D14143">
        <f>IFERROR(Table7[[#This Row],[United States 10y]]-Table7[[#This Row],[United States 3y]],#N/A)</f>
        <v/>
      </c>
    </row>
    <row r="14144">
      <c r="A14144" s="6">
        <f>Database!$A16229</f>
        <v/>
      </c>
      <c r="B14144">
        <f>IF(VLOOKUP(Table7[[#This Row],[Date]],Database!$A:$C,MATCH($B$1,Database!$A$1:$C$1,),)=0,#N/A,VLOOKUP(Table7[[#This Row],[Date]],Database!$A:$C,MATCH($B$1,Database!$A$1:$C$1,),))</f>
        <v/>
      </c>
      <c r="C14144">
        <f>IF(VLOOKUP(Table7[[#This Row],[Date]],Database!$A:$C,MATCH($C$1,Database!$A$1:$C$1,),)=0,#N/A,VLOOKUP(Table7[[#This Row],[Date]],Database!$A:$C,MATCH($C$1,Database!$A$1:$C$1,),))</f>
        <v/>
      </c>
      <c r="D14144">
        <f>IFERROR(Table7[[#This Row],[United States 10y]]-Table7[[#This Row],[United States 3y]],#N/A)</f>
        <v/>
      </c>
    </row>
    <row r="14145">
      <c r="A14145" s="6">
        <f>Database!$A16230</f>
        <v/>
      </c>
      <c r="B14145">
        <f>IF(VLOOKUP(Table7[[#This Row],[Date]],Database!$A:$C,MATCH($B$1,Database!$A$1:$C$1,),)=0,#N/A,VLOOKUP(Table7[[#This Row],[Date]],Database!$A:$C,MATCH($B$1,Database!$A$1:$C$1,),))</f>
        <v/>
      </c>
      <c r="C14145">
        <f>IF(VLOOKUP(Table7[[#This Row],[Date]],Database!$A:$C,MATCH($C$1,Database!$A$1:$C$1,),)=0,#N/A,VLOOKUP(Table7[[#This Row],[Date]],Database!$A:$C,MATCH($C$1,Database!$A$1:$C$1,),))</f>
        <v/>
      </c>
      <c r="D14145">
        <f>IFERROR(Table7[[#This Row],[United States 10y]]-Table7[[#This Row],[United States 3y]],#N/A)</f>
        <v/>
      </c>
    </row>
    <row r="14146">
      <c r="A14146" s="6">
        <f>Database!$A16231</f>
        <v/>
      </c>
      <c r="B14146">
        <f>IF(VLOOKUP(Table7[[#This Row],[Date]],Database!$A:$C,MATCH($B$1,Database!$A$1:$C$1,),)=0,#N/A,VLOOKUP(Table7[[#This Row],[Date]],Database!$A:$C,MATCH($B$1,Database!$A$1:$C$1,),))</f>
        <v/>
      </c>
      <c r="C14146">
        <f>IF(VLOOKUP(Table7[[#This Row],[Date]],Database!$A:$C,MATCH($C$1,Database!$A$1:$C$1,),)=0,#N/A,VLOOKUP(Table7[[#This Row],[Date]],Database!$A:$C,MATCH($C$1,Database!$A$1:$C$1,),))</f>
        <v/>
      </c>
      <c r="D14146">
        <f>IFERROR(Table7[[#This Row],[United States 10y]]-Table7[[#This Row],[United States 3y]],#N/A)</f>
        <v/>
      </c>
    </row>
    <row r="14147">
      <c r="A14147" s="6">
        <f>Database!$A16232</f>
        <v/>
      </c>
      <c r="B14147">
        <f>IF(VLOOKUP(Table7[[#This Row],[Date]],Database!$A:$C,MATCH($B$1,Database!$A$1:$C$1,),)=0,#N/A,VLOOKUP(Table7[[#This Row],[Date]],Database!$A:$C,MATCH($B$1,Database!$A$1:$C$1,),))</f>
        <v/>
      </c>
      <c r="C14147">
        <f>IF(VLOOKUP(Table7[[#This Row],[Date]],Database!$A:$C,MATCH($C$1,Database!$A$1:$C$1,),)=0,#N/A,VLOOKUP(Table7[[#This Row],[Date]],Database!$A:$C,MATCH($C$1,Database!$A$1:$C$1,),))</f>
        <v/>
      </c>
      <c r="D14147">
        <f>IFERROR(Table7[[#This Row],[United States 10y]]-Table7[[#This Row],[United States 3y]],#N/A)</f>
        <v/>
      </c>
    </row>
    <row r="14148">
      <c r="A14148" s="6">
        <f>Database!$A16233</f>
        <v/>
      </c>
      <c r="B14148">
        <f>IF(VLOOKUP(Table7[[#This Row],[Date]],Database!$A:$C,MATCH($B$1,Database!$A$1:$C$1,),)=0,#N/A,VLOOKUP(Table7[[#This Row],[Date]],Database!$A:$C,MATCH($B$1,Database!$A$1:$C$1,),))</f>
        <v/>
      </c>
      <c r="C14148">
        <f>IF(VLOOKUP(Table7[[#This Row],[Date]],Database!$A:$C,MATCH($C$1,Database!$A$1:$C$1,),)=0,#N/A,VLOOKUP(Table7[[#This Row],[Date]],Database!$A:$C,MATCH($C$1,Database!$A$1:$C$1,),))</f>
        <v/>
      </c>
      <c r="D14148">
        <f>IFERROR(Table7[[#This Row],[United States 10y]]-Table7[[#This Row],[United States 3y]],#N/A)</f>
        <v/>
      </c>
    </row>
    <row r="14149">
      <c r="A14149" s="6">
        <f>Database!$A16234</f>
        <v/>
      </c>
      <c r="B14149">
        <f>IF(VLOOKUP(Table7[[#This Row],[Date]],Database!$A:$C,MATCH($B$1,Database!$A$1:$C$1,),)=0,#N/A,VLOOKUP(Table7[[#This Row],[Date]],Database!$A:$C,MATCH($B$1,Database!$A$1:$C$1,),))</f>
        <v/>
      </c>
      <c r="C14149">
        <f>IF(VLOOKUP(Table7[[#This Row],[Date]],Database!$A:$C,MATCH($C$1,Database!$A$1:$C$1,),)=0,#N/A,VLOOKUP(Table7[[#This Row],[Date]],Database!$A:$C,MATCH($C$1,Database!$A$1:$C$1,),))</f>
        <v/>
      </c>
      <c r="D14149">
        <f>IFERROR(Table7[[#This Row],[United States 10y]]-Table7[[#This Row],[United States 3y]],#N/A)</f>
        <v/>
      </c>
    </row>
    <row r="14150">
      <c r="A14150" s="6">
        <f>Database!$A16235</f>
        <v/>
      </c>
      <c r="B14150">
        <f>IF(VLOOKUP(Table7[[#This Row],[Date]],Database!$A:$C,MATCH($B$1,Database!$A$1:$C$1,),)=0,#N/A,VLOOKUP(Table7[[#This Row],[Date]],Database!$A:$C,MATCH($B$1,Database!$A$1:$C$1,),))</f>
        <v/>
      </c>
      <c r="C14150">
        <f>IF(VLOOKUP(Table7[[#This Row],[Date]],Database!$A:$C,MATCH($C$1,Database!$A$1:$C$1,),)=0,#N/A,VLOOKUP(Table7[[#This Row],[Date]],Database!$A:$C,MATCH($C$1,Database!$A$1:$C$1,),))</f>
        <v/>
      </c>
      <c r="D14150">
        <f>IFERROR(Table7[[#This Row],[United States 10y]]-Table7[[#This Row],[United States 3y]],#N/A)</f>
        <v/>
      </c>
    </row>
    <row r="14151">
      <c r="A14151" s="6">
        <f>Database!$A16236</f>
        <v/>
      </c>
      <c r="B14151">
        <f>IF(VLOOKUP(Table7[[#This Row],[Date]],Database!$A:$C,MATCH($B$1,Database!$A$1:$C$1,),)=0,#N/A,VLOOKUP(Table7[[#This Row],[Date]],Database!$A:$C,MATCH($B$1,Database!$A$1:$C$1,),))</f>
        <v/>
      </c>
      <c r="C14151">
        <f>IF(VLOOKUP(Table7[[#This Row],[Date]],Database!$A:$C,MATCH($C$1,Database!$A$1:$C$1,),)=0,#N/A,VLOOKUP(Table7[[#This Row],[Date]],Database!$A:$C,MATCH($C$1,Database!$A$1:$C$1,),))</f>
        <v/>
      </c>
      <c r="D14151">
        <f>IFERROR(Table7[[#This Row],[United States 10y]]-Table7[[#This Row],[United States 3y]],#N/A)</f>
        <v/>
      </c>
    </row>
    <row r="14152">
      <c r="A14152" s="6">
        <f>Database!$A16237</f>
        <v/>
      </c>
      <c r="B14152">
        <f>IF(VLOOKUP(Table7[[#This Row],[Date]],Database!$A:$C,MATCH($B$1,Database!$A$1:$C$1,),)=0,#N/A,VLOOKUP(Table7[[#This Row],[Date]],Database!$A:$C,MATCH($B$1,Database!$A$1:$C$1,),))</f>
        <v/>
      </c>
      <c r="C14152">
        <f>IF(VLOOKUP(Table7[[#This Row],[Date]],Database!$A:$C,MATCH($C$1,Database!$A$1:$C$1,),)=0,#N/A,VLOOKUP(Table7[[#This Row],[Date]],Database!$A:$C,MATCH($C$1,Database!$A$1:$C$1,),))</f>
        <v/>
      </c>
      <c r="D14152">
        <f>IFERROR(Table7[[#This Row],[United States 10y]]-Table7[[#This Row],[United States 3y]],#N/A)</f>
        <v/>
      </c>
    </row>
    <row r="14153">
      <c r="A14153" s="6">
        <f>Database!$A16238</f>
        <v/>
      </c>
      <c r="B14153">
        <f>IF(VLOOKUP(Table7[[#This Row],[Date]],Database!$A:$C,MATCH($B$1,Database!$A$1:$C$1,),)=0,#N/A,VLOOKUP(Table7[[#This Row],[Date]],Database!$A:$C,MATCH($B$1,Database!$A$1:$C$1,),))</f>
        <v/>
      </c>
      <c r="C14153">
        <f>IF(VLOOKUP(Table7[[#This Row],[Date]],Database!$A:$C,MATCH($C$1,Database!$A$1:$C$1,),)=0,#N/A,VLOOKUP(Table7[[#This Row],[Date]],Database!$A:$C,MATCH($C$1,Database!$A$1:$C$1,),))</f>
        <v/>
      </c>
      <c r="D14153">
        <f>IFERROR(Table7[[#This Row],[United States 10y]]-Table7[[#This Row],[United States 3y]],#N/A)</f>
        <v/>
      </c>
    </row>
    <row r="14154">
      <c r="A14154" s="6">
        <f>Database!$A16239</f>
        <v/>
      </c>
      <c r="B14154">
        <f>IF(VLOOKUP(Table7[[#This Row],[Date]],Database!$A:$C,MATCH($B$1,Database!$A$1:$C$1,),)=0,#N/A,VLOOKUP(Table7[[#This Row],[Date]],Database!$A:$C,MATCH($B$1,Database!$A$1:$C$1,),))</f>
        <v/>
      </c>
      <c r="C14154">
        <f>IF(VLOOKUP(Table7[[#This Row],[Date]],Database!$A:$C,MATCH($C$1,Database!$A$1:$C$1,),)=0,#N/A,VLOOKUP(Table7[[#This Row],[Date]],Database!$A:$C,MATCH($C$1,Database!$A$1:$C$1,),))</f>
        <v/>
      </c>
      <c r="D14154">
        <f>IFERROR(Table7[[#This Row],[United States 10y]]-Table7[[#This Row],[United States 3y]],#N/A)</f>
        <v/>
      </c>
    </row>
    <row r="14155">
      <c r="A14155" s="6">
        <f>Database!$A16240</f>
        <v/>
      </c>
      <c r="B14155">
        <f>IF(VLOOKUP(Table7[[#This Row],[Date]],Database!$A:$C,MATCH($B$1,Database!$A$1:$C$1,),)=0,#N/A,VLOOKUP(Table7[[#This Row],[Date]],Database!$A:$C,MATCH($B$1,Database!$A$1:$C$1,),))</f>
        <v/>
      </c>
      <c r="C14155">
        <f>IF(VLOOKUP(Table7[[#This Row],[Date]],Database!$A:$C,MATCH($C$1,Database!$A$1:$C$1,),)=0,#N/A,VLOOKUP(Table7[[#This Row],[Date]],Database!$A:$C,MATCH($C$1,Database!$A$1:$C$1,),))</f>
        <v/>
      </c>
      <c r="D14155">
        <f>IFERROR(Table7[[#This Row],[United States 10y]]-Table7[[#This Row],[United States 3y]],#N/A)</f>
        <v/>
      </c>
    </row>
    <row r="14156">
      <c r="A14156" s="6">
        <f>Database!$A16241</f>
        <v/>
      </c>
      <c r="B14156">
        <f>IF(VLOOKUP(Table7[[#This Row],[Date]],Database!$A:$C,MATCH($B$1,Database!$A$1:$C$1,),)=0,#N/A,VLOOKUP(Table7[[#This Row],[Date]],Database!$A:$C,MATCH($B$1,Database!$A$1:$C$1,),))</f>
        <v/>
      </c>
      <c r="C14156">
        <f>IF(VLOOKUP(Table7[[#This Row],[Date]],Database!$A:$C,MATCH($C$1,Database!$A$1:$C$1,),)=0,#N/A,VLOOKUP(Table7[[#This Row],[Date]],Database!$A:$C,MATCH($C$1,Database!$A$1:$C$1,),))</f>
        <v/>
      </c>
      <c r="D14156">
        <f>IFERROR(Table7[[#This Row],[United States 10y]]-Table7[[#This Row],[United States 3y]],#N/A)</f>
        <v/>
      </c>
    </row>
    <row r="14157">
      <c r="A14157" s="6">
        <f>Database!$A16242</f>
        <v/>
      </c>
      <c r="B14157">
        <f>IF(VLOOKUP(Table7[[#This Row],[Date]],Database!$A:$C,MATCH($B$1,Database!$A$1:$C$1,),)=0,#N/A,VLOOKUP(Table7[[#This Row],[Date]],Database!$A:$C,MATCH($B$1,Database!$A$1:$C$1,),))</f>
        <v/>
      </c>
      <c r="C14157">
        <f>IF(VLOOKUP(Table7[[#This Row],[Date]],Database!$A:$C,MATCH($C$1,Database!$A$1:$C$1,),)=0,#N/A,VLOOKUP(Table7[[#This Row],[Date]],Database!$A:$C,MATCH($C$1,Database!$A$1:$C$1,),))</f>
        <v/>
      </c>
      <c r="D14157">
        <f>IFERROR(Table7[[#This Row],[United States 10y]]-Table7[[#This Row],[United States 3y]],#N/A)</f>
        <v/>
      </c>
    </row>
    <row r="14158">
      <c r="A14158" s="6">
        <f>Database!$A16243</f>
        <v/>
      </c>
      <c r="B14158">
        <f>IF(VLOOKUP(Table7[[#This Row],[Date]],Database!$A:$C,MATCH($B$1,Database!$A$1:$C$1,),)=0,#N/A,VLOOKUP(Table7[[#This Row],[Date]],Database!$A:$C,MATCH($B$1,Database!$A$1:$C$1,),))</f>
        <v/>
      </c>
      <c r="C14158">
        <f>IF(VLOOKUP(Table7[[#This Row],[Date]],Database!$A:$C,MATCH($C$1,Database!$A$1:$C$1,),)=0,#N/A,VLOOKUP(Table7[[#This Row],[Date]],Database!$A:$C,MATCH($C$1,Database!$A$1:$C$1,),))</f>
        <v/>
      </c>
      <c r="D14158">
        <f>IFERROR(Table7[[#This Row],[United States 10y]]-Table7[[#This Row],[United States 3y]],#N/A)</f>
        <v/>
      </c>
    </row>
    <row r="14159">
      <c r="A14159" s="6">
        <f>Database!$A16244</f>
        <v/>
      </c>
      <c r="B14159">
        <f>IF(VLOOKUP(Table7[[#This Row],[Date]],Database!$A:$C,MATCH($B$1,Database!$A$1:$C$1,),)=0,#N/A,VLOOKUP(Table7[[#This Row],[Date]],Database!$A:$C,MATCH($B$1,Database!$A$1:$C$1,),))</f>
        <v/>
      </c>
      <c r="C14159">
        <f>IF(VLOOKUP(Table7[[#This Row],[Date]],Database!$A:$C,MATCH($C$1,Database!$A$1:$C$1,),)=0,#N/A,VLOOKUP(Table7[[#This Row],[Date]],Database!$A:$C,MATCH($C$1,Database!$A$1:$C$1,),))</f>
        <v/>
      </c>
      <c r="D14159">
        <f>IFERROR(Table7[[#This Row],[United States 10y]]-Table7[[#This Row],[United States 3y]],#N/A)</f>
        <v/>
      </c>
    </row>
    <row r="14160">
      <c r="A14160" s="6">
        <f>Database!$A16245</f>
        <v/>
      </c>
      <c r="B14160">
        <f>IF(VLOOKUP(Table7[[#This Row],[Date]],Database!$A:$C,MATCH($B$1,Database!$A$1:$C$1,),)=0,#N/A,VLOOKUP(Table7[[#This Row],[Date]],Database!$A:$C,MATCH($B$1,Database!$A$1:$C$1,),))</f>
        <v/>
      </c>
      <c r="C14160">
        <f>IF(VLOOKUP(Table7[[#This Row],[Date]],Database!$A:$C,MATCH($C$1,Database!$A$1:$C$1,),)=0,#N/A,VLOOKUP(Table7[[#This Row],[Date]],Database!$A:$C,MATCH($C$1,Database!$A$1:$C$1,),))</f>
        <v/>
      </c>
      <c r="D14160">
        <f>IFERROR(Table7[[#This Row],[United States 10y]]-Table7[[#This Row],[United States 3y]],#N/A)</f>
        <v/>
      </c>
    </row>
    <row r="14161">
      <c r="A14161" s="6">
        <f>Database!$A16246</f>
        <v/>
      </c>
      <c r="B14161">
        <f>IF(VLOOKUP(Table7[[#This Row],[Date]],Database!$A:$C,MATCH($B$1,Database!$A$1:$C$1,),)=0,#N/A,VLOOKUP(Table7[[#This Row],[Date]],Database!$A:$C,MATCH($B$1,Database!$A$1:$C$1,),))</f>
        <v/>
      </c>
      <c r="C14161">
        <f>IF(VLOOKUP(Table7[[#This Row],[Date]],Database!$A:$C,MATCH($C$1,Database!$A$1:$C$1,),)=0,#N/A,VLOOKUP(Table7[[#This Row],[Date]],Database!$A:$C,MATCH($C$1,Database!$A$1:$C$1,),))</f>
        <v/>
      </c>
      <c r="D14161">
        <f>IFERROR(Table7[[#This Row],[United States 10y]]-Table7[[#This Row],[United States 3y]],#N/A)</f>
        <v/>
      </c>
    </row>
    <row r="14162">
      <c r="A14162" s="6">
        <f>Database!$A16247</f>
        <v/>
      </c>
      <c r="B14162">
        <f>IF(VLOOKUP(Table7[[#This Row],[Date]],Database!$A:$C,MATCH($B$1,Database!$A$1:$C$1,),)=0,#N/A,VLOOKUP(Table7[[#This Row],[Date]],Database!$A:$C,MATCH($B$1,Database!$A$1:$C$1,),))</f>
        <v/>
      </c>
      <c r="C14162">
        <f>IF(VLOOKUP(Table7[[#This Row],[Date]],Database!$A:$C,MATCH($C$1,Database!$A$1:$C$1,),)=0,#N/A,VLOOKUP(Table7[[#This Row],[Date]],Database!$A:$C,MATCH($C$1,Database!$A$1:$C$1,),))</f>
        <v/>
      </c>
      <c r="D14162">
        <f>IFERROR(Table7[[#This Row],[United States 10y]]-Table7[[#This Row],[United States 3y]],#N/A)</f>
        <v/>
      </c>
    </row>
    <row r="14163">
      <c r="A14163" s="6">
        <f>Database!$A16248</f>
        <v/>
      </c>
      <c r="B14163">
        <f>IF(VLOOKUP(Table7[[#This Row],[Date]],Database!$A:$C,MATCH($B$1,Database!$A$1:$C$1,),)=0,#N/A,VLOOKUP(Table7[[#This Row],[Date]],Database!$A:$C,MATCH($B$1,Database!$A$1:$C$1,),))</f>
        <v/>
      </c>
      <c r="C14163">
        <f>IF(VLOOKUP(Table7[[#This Row],[Date]],Database!$A:$C,MATCH($C$1,Database!$A$1:$C$1,),)=0,#N/A,VLOOKUP(Table7[[#This Row],[Date]],Database!$A:$C,MATCH($C$1,Database!$A$1:$C$1,),))</f>
        <v/>
      </c>
      <c r="D14163">
        <f>IFERROR(Table7[[#This Row],[United States 10y]]-Table7[[#This Row],[United States 3y]],#N/A)</f>
        <v/>
      </c>
    </row>
    <row r="14164">
      <c r="A14164" s="6">
        <f>Database!$A16249</f>
        <v/>
      </c>
      <c r="B14164">
        <f>IF(VLOOKUP(Table7[[#This Row],[Date]],Database!$A:$C,MATCH($B$1,Database!$A$1:$C$1,),)=0,#N/A,VLOOKUP(Table7[[#This Row],[Date]],Database!$A:$C,MATCH($B$1,Database!$A$1:$C$1,),))</f>
        <v/>
      </c>
      <c r="C14164">
        <f>IF(VLOOKUP(Table7[[#This Row],[Date]],Database!$A:$C,MATCH($C$1,Database!$A$1:$C$1,),)=0,#N/A,VLOOKUP(Table7[[#This Row],[Date]],Database!$A:$C,MATCH($C$1,Database!$A$1:$C$1,),))</f>
        <v/>
      </c>
      <c r="D14164">
        <f>IFERROR(Table7[[#This Row],[United States 10y]]-Table7[[#This Row],[United States 3y]],#N/A)</f>
        <v/>
      </c>
    </row>
    <row r="14165">
      <c r="A14165" s="6">
        <f>Database!$A16250</f>
        <v/>
      </c>
      <c r="B14165">
        <f>IF(VLOOKUP(Table7[[#This Row],[Date]],Database!$A:$C,MATCH($B$1,Database!$A$1:$C$1,),)=0,#N/A,VLOOKUP(Table7[[#This Row],[Date]],Database!$A:$C,MATCH($B$1,Database!$A$1:$C$1,),))</f>
        <v/>
      </c>
      <c r="C14165">
        <f>IF(VLOOKUP(Table7[[#This Row],[Date]],Database!$A:$C,MATCH($C$1,Database!$A$1:$C$1,),)=0,#N/A,VLOOKUP(Table7[[#This Row],[Date]],Database!$A:$C,MATCH($C$1,Database!$A$1:$C$1,),))</f>
        <v/>
      </c>
      <c r="D14165">
        <f>IFERROR(Table7[[#This Row],[United States 10y]]-Table7[[#This Row],[United States 3y]],#N/A)</f>
        <v/>
      </c>
    </row>
    <row r="14166">
      <c r="A14166" s="6">
        <f>Database!$A16251</f>
        <v/>
      </c>
      <c r="B14166">
        <f>IF(VLOOKUP(Table7[[#This Row],[Date]],Database!$A:$C,MATCH($B$1,Database!$A$1:$C$1,),)=0,#N/A,VLOOKUP(Table7[[#This Row],[Date]],Database!$A:$C,MATCH($B$1,Database!$A$1:$C$1,),))</f>
        <v/>
      </c>
      <c r="C14166">
        <f>IF(VLOOKUP(Table7[[#This Row],[Date]],Database!$A:$C,MATCH($C$1,Database!$A$1:$C$1,),)=0,#N/A,VLOOKUP(Table7[[#This Row],[Date]],Database!$A:$C,MATCH($C$1,Database!$A$1:$C$1,),))</f>
        <v/>
      </c>
      <c r="D14166">
        <f>IFERROR(Table7[[#This Row],[United States 10y]]-Table7[[#This Row],[United States 3y]],#N/A)</f>
        <v/>
      </c>
    </row>
    <row r="14167">
      <c r="A14167" s="6">
        <f>Database!$A16252</f>
        <v/>
      </c>
      <c r="B14167">
        <f>IF(VLOOKUP(Table7[[#This Row],[Date]],Database!$A:$C,MATCH($B$1,Database!$A$1:$C$1,),)=0,#N/A,VLOOKUP(Table7[[#This Row],[Date]],Database!$A:$C,MATCH($B$1,Database!$A$1:$C$1,),))</f>
        <v/>
      </c>
      <c r="C14167">
        <f>IF(VLOOKUP(Table7[[#This Row],[Date]],Database!$A:$C,MATCH($C$1,Database!$A$1:$C$1,),)=0,#N/A,VLOOKUP(Table7[[#This Row],[Date]],Database!$A:$C,MATCH($C$1,Database!$A$1:$C$1,),))</f>
        <v/>
      </c>
      <c r="D14167">
        <f>IFERROR(Table7[[#This Row],[United States 10y]]-Table7[[#This Row],[United States 3y]],#N/A)</f>
        <v/>
      </c>
    </row>
    <row r="14168">
      <c r="A14168" s="6">
        <f>Database!$A16253</f>
        <v/>
      </c>
      <c r="B14168">
        <f>IF(VLOOKUP(Table7[[#This Row],[Date]],Database!$A:$C,MATCH($B$1,Database!$A$1:$C$1,),)=0,#N/A,VLOOKUP(Table7[[#This Row],[Date]],Database!$A:$C,MATCH($B$1,Database!$A$1:$C$1,),))</f>
        <v/>
      </c>
      <c r="C14168">
        <f>IF(VLOOKUP(Table7[[#This Row],[Date]],Database!$A:$C,MATCH($C$1,Database!$A$1:$C$1,),)=0,#N/A,VLOOKUP(Table7[[#This Row],[Date]],Database!$A:$C,MATCH($C$1,Database!$A$1:$C$1,),))</f>
        <v/>
      </c>
      <c r="D14168">
        <f>IFERROR(Table7[[#This Row],[United States 10y]]-Table7[[#This Row],[United States 3y]],#N/A)</f>
        <v/>
      </c>
    </row>
    <row r="14169">
      <c r="A14169" s="6">
        <f>Database!$A16254</f>
        <v/>
      </c>
      <c r="B14169">
        <f>IF(VLOOKUP(Table7[[#This Row],[Date]],Database!$A:$C,MATCH($B$1,Database!$A$1:$C$1,),)=0,#N/A,VLOOKUP(Table7[[#This Row],[Date]],Database!$A:$C,MATCH($B$1,Database!$A$1:$C$1,),))</f>
        <v/>
      </c>
      <c r="C14169">
        <f>IF(VLOOKUP(Table7[[#This Row],[Date]],Database!$A:$C,MATCH($C$1,Database!$A$1:$C$1,),)=0,#N/A,VLOOKUP(Table7[[#This Row],[Date]],Database!$A:$C,MATCH($C$1,Database!$A$1:$C$1,),))</f>
        <v/>
      </c>
      <c r="D14169">
        <f>IFERROR(Table7[[#This Row],[United States 10y]]-Table7[[#This Row],[United States 3y]],#N/A)</f>
        <v/>
      </c>
    </row>
    <row r="14170">
      <c r="A14170" s="6">
        <f>Database!$A16255</f>
        <v/>
      </c>
      <c r="B14170">
        <f>IF(VLOOKUP(Table7[[#This Row],[Date]],Database!$A:$C,MATCH($B$1,Database!$A$1:$C$1,),)=0,#N/A,VLOOKUP(Table7[[#This Row],[Date]],Database!$A:$C,MATCH($B$1,Database!$A$1:$C$1,),))</f>
        <v/>
      </c>
      <c r="C14170">
        <f>IF(VLOOKUP(Table7[[#This Row],[Date]],Database!$A:$C,MATCH($C$1,Database!$A$1:$C$1,),)=0,#N/A,VLOOKUP(Table7[[#This Row],[Date]],Database!$A:$C,MATCH($C$1,Database!$A$1:$C$1,),))</f>
        <v/>
      </c>
      <c r="D14170">
        <f>IFERROR(Table7[[#This Row],[United States 10y]]-Table7[[#This Row],[United States 3y]],#N/A)</f>
        <v/>
      </c>
    </row>
    <row r="14171">
      <c r="A14171" s="6">
        <f>Database!$A16256</f>
        <v/>
      </c>
      <c r="B14171">
        <f>IF(VLOOKUP(Table7[[#This Row],[Date]],Database!$A:$C,MATCH($B$1,Database!$A$1:$C$1,),)=0,#N/A,VLOOKUP(Table7[[#This Row],[Date]],Database!$A:$C,MATCH($B$1,Database!$A$1:$C$1,),))</f>
        <v/>
      </c>
      <c r="C14171">
        <f>IF(VLOOKUP(Table7[[#This Row],[Date]],Database!$A:$C,MATCH($C$1,Database!$A$1:$C$1,),)=0,#N/A,VLOOKUP(Table7[[#This Row],[Date]],Database!$A:$C,MATCH($C$1,Database!$A$1:$C$1,),))</f>
        <v/>
      </c>
      <c r="D14171">
        <f>IFERROR(Table7[[#This Row],[United States 10y]]-Table7[[#This Row],[United States 3y]],#N/A)</f>
        <v/>
      </c>
    </row>
    <row r="14172">
      <c r="A14172" s="6">
        <f>Database!$A16257</f>
        <v/>
      </c>
      <c r="B14172">
        <f>IF(VLOOKUP(Table7[[#This Row],[Date]],Database!$A:$C,MATCH($B$1,Database!$A$1:$C$1,),)=0,#N/A,VLOOKUP(Table7[[#This Row],[Date]],Database!$A:$C,MATCH($B$1,Database!$A$1:$C$1,),))</f>
        <v/>
      </c>
      <c r="C14172">
        <f>IF(VLOOKUP(Table7[[#This Row],[Date]],Database!$A:$C,MATCH($C$1,Database!$A$1:$C$1,),)=0,#N/A,VLOOKUP(Table7[[#This Row],[Date]],Database!$A:$C,MATCH($C$1,Database!$A$1:$C$1,),))</f>
        <v/>
      </c>
      <c r="D14172">
        <f>IFERROR(Table7[[#This Row],[United States 10y]]-Table7[[#This Row],[United States 3y]],#N/A)</f>
        <v/>
      </c>
    </row>
    <row r="14173">
      <c r="A14173" s="6">
        <f>Database!$A16258</f>
        <v/>
      </c>
      <c r="B14173">
        <f>IF(VLOOKUP(Table7[[#This Row],[Date]],Database!$A:$C,MATCH($B$1,Database!$A$1:$C$1,),)=0,#N/A,VLOOKUP(Table7[[#This Row],[Date]],Database!$A:$C,MATCH($B$1,Database!$A$1:$C$1,),))</f>
        <v/>
      </c>
      <c r="C14173">
        <f>IF(VLOOKUP(Table7[[#This Row],[Date]],Database!$A:$C,MATCH($C$1,Database!$A$1:$C$1,),)=0,#N/A,VLOOKUP(Table7[[#This Row],[Date]],Database!$A:$C,MATCH($C$1,Database!$A$1:$C$1,),))</f>
        <v/>
      </c>
      <c r="D14173">
        <f>IFERROR(Table7[[#This Row],[United States 10y]]-Table7[[#This Row],[United States 3y]],#N/A)</f>
        <v/>
      </c>
    </row>
    <row r="14174">
      <c r="A14174" s="6">
        <f>Database!$A16259</f>
        <v/>
      </c>
      <c r="B14174">
        <f>IF(VLOOKUP(Table7[[#This Row],[Date]],Database!$A:$C,MATCH($B$1,Database!$A$1:$C$1,),)=0,#N/A,VLOOKUP(Table7[[#This Row],[Date]],Database!$A:$C,MATCH($B$1,Database!$A$1:$C$1,),))</f>
        <v/>
      </c>
      <c r="C14174">
        <f>IF(VLOOKUP(Table7[[#This Row],[Date]],Database!$A:$C,MATCH($C$1,Database!$A$1:$C$1,),)=0,#N/A,VLOOKUP(Table7[[#This Row],[Date]],Database!$A:$C,MATCH($C$1,Database!$A$1:$C$1,),))</f>
        <v/>
      </c>
      <c r="D14174">
        <f>IFERROR(Table7[[#This Row],[United States 10y]]-Table7[[#This Row],[United States 3y]],#N/A)</f>
        <v/>
      </c>
    </row>
    <row r="14175">
      <c r="A14175" s="6">
        <f>Database!$A16260</f>
        <v/>
      </c>
      <c r="B14175">
        <f>IF(VLOOKUP(Table7[[#This Row],[Date]],Database!$A:$C,MATCH($B$1,Database!$A$1:$C$1,),)=0,#N/A,VLOOKUP(Table7[[#This Row],[Date]],Database!$A:$C,MATCH($B$1,Database!$A$1:$C$1,),))</f>
        <v/>
      </c>
      <c r="C14175">
        <f>IF(VLOOKUP(Table7[[#This Row],[Date]],Database!$A:$C,MATCH($C$1,Database!$A$1:$C$1,),)=0,#N/A,VLOOKUP(Table7[[#This Row],[Date]],Database!$A:$C,MATCH($C$1,Database!$A$1:$C$1,),))</f>
        <v/>
      </c>
      <c r="D14175">
        <f>IFERROR(Table7[[#This Row],[United States 10y]]-Table7[[#This Row],[United States 3y]],#N/A)</f>
        <v/>
      </c>
    </row>
    <row r="14176">
      <c r="A14176" s="6">
        <f>Database!$A16261</f>
        <v/>
      </c>
      <c r="B14176">
        <f>IF(VLOOKUP(Table7[[#This Row],[Date]],Database!$A:$C,MATCH($B$1,Database!$A$1:$C$1,),)=0,#N/A,VLOOKUP(Table7[[#This Row],[Date]],Database!$A:$C,MATCH($B$1,Database!$A$1:$C$1,),))</f>
        <v/>
      </c>
      <c r="C14176">
        <f>IF(VLOOKUP(Table7[[#This Row],[Date]],Database!$A:$C,MATCH($C$1,Database!$A$1:$C$1,),)=0,#N/A,VLOOKUP(Table7[[#This Row],[Date]],Database!$A:$C,MATCH($C$1,Database!$A$1:$C$1,),))</f>
        <v/>
      </c>
      <c r="D14176">
        <f>IFERROR(Table7[[#This Row],[United States 10y]]-Table7[[#This Row],[United States 3y]],#N/A)</f>
        <v/>
      </c>
    </row>
    <row r="14177">
      <c r="A14177" s="6">
        <f>Database!$A16262</f>
        <v/>
      </c>
      <c r="B14177">
        <f>IF(VLOOKUP(Table7[[#This Row],[Date]],Database!$A:$C,MATCH($B$1,Database!$A$1:$C$1,),)=0,#N/A,VLOOKUP(Table7[[#This Row],[Date]],Database!$A:$C,MATCH($B$1,Database!$A$1:$C$1,),))</f>
        <v/>
      </c>
      <c r="C14177">
        <f>IF(VLOOKUP(Table7[[#This Row],[Date]],Database!$A:$C,MATCH($C$1,Database!$A$1:$C$1,),)=0,#N/A,VLOOKUP(Table7[[#This Row],[Date]],Database!$A:$C,MATCH($C$1,Database!$A$1:$C$1,),))</f>
        <v/>
      </c>
      <c r="D14177">
        <f>IFERROR(Table7[[#This Row],[United States 10y]]-Table7[[#This Row],[United States 3y]],#N/A)</f>
        <v/>
      </c>
    </row>
    <row r="14178">
      <c r="A14178" s="6">
        <f>Database!$A16263</f>
        <v/>
      </c>
      <c r="B14178">
        <f>IF(VLOOKUP(Table7[[#This Row],[Date]],Database!$A:$C,MATCH($B$1,Database!$A$1:$C$1,),)=0,#N/A,VLOOKUP(Table7[[#This Row],[Date]],Database!$A:$C,MATCH($B$1,Database!$A$1:$C$1,),))</f>
        <v/>
      </c>
      <c r="C14178">
        <f>IF(VLOOKUP(Table7[[#This Row],[Date]],Database!$A:$C,MATCH($C$1,Database!$A$1:$C$1,),)=0,#N/A,VLOOKUP(Table7[[#This Row],[Date]],Database!$A:$C,MATCH($C$1,Database!$A$1:$C$1,),))</f>
        <v/>
      </c>
      <c r="D14178">
        <f>IFERROR(Table7[[#This Row],[United States 10y]]-Table7[[#This Row],[United States 3y]],#N/A)</f>
        <v/>
      </c>
    </row>
    <row r="14179">
      <c r="A14179" s="6">
        <f>Database!$A16264</f>
        <v/>
      </c>
      <c r="B14179">
        <f>IF(VLOOKUP(Table7[[#This Row],[Date]],Database!$A:$C,MATCH($B$1,Database!$A$1:$C$1,),)=0,#N/A,VLOOKUP(Table7[[#This Row],[Date]],Database!$A:$C,MATCH($B$1,Database!$A$1:$C$1,),))</f>
        <v/>
      </c>
      <c r="C14179">
        <f>IF(VLOOKUP(Table7[[#This Row],[Date]],Database!$A:$C,MATCH($C$1,Database!$A$1:$C$1,),)=0,#N/A,VLOOKUP(Table7[[#This Row],[Date]],Database!$A:$C,MATCH($C$1,Database!$A$1:$C$1,),))</f>
        <v/>
      </c>
      <c r="D14179">
        <f>IFERROR(Table7[[#This Row],[United States 10y]]-Table7[[#This Row],[United States 3y]],#N/A)</f>
        <v/>
      </c>
    </row>
    <row r="14180">
      <c r="A14180" s="6">
        <f>Database!$A16265</f>
        <v/>
      </c>
      <c r="B14180">
        <f>IF(VLOOKUP(Table7[[#This Row],[Date]],Database!$A:$C,MATCH($B$1,Database!$A$1:$C$1,),)=0,#N/A,VLOOKUP(Table7[[#This Row],[Date]],Database!$A:$C,MATCH($B$1,Database!$A$1:$C$1,),))</f>
        <v/>
      </c>
      <c r="C14180">
        <f>IF(VLOOKUP(Table7[[#This Row],[Date]],Database!$A:$C,MATCH($C$1,Database!$A$1:$C$1,),)=0,#N/A,VLOOKUP(Table7[[#This Row],[Date]],Database!$A:$C,MATCH($C$1,Database!$A$1:$C$1,),))</f>
        <v/>
      </c>
      <c r="D14180">
        <f>IFERROR(Table7[[#This Row],[United States 10y]]-Table7[[#This Row],[United States 3y]],#N/A)</f>
        <v/>
      </c>
    </row>
    <row r="14181">
      <c r="A14181" s="6">
        <f>Database!$A16266</f>
        <v/>
      </c>
      <c r="B14181">
        <f>IF(VLOOKUP(Table7[[#This Row],[Date]],Database!$A:$C,MATCH($B$1,Database!$A$1:$C$1,),)=0,#N/A,VLOOKUP(Table7[[#This Row],[Date]],Database!$A:$C,MATCH($B$1,Database!$A$1:$C$1,),))</f>
        <v/>
      </c>
      <c r="C14181">
        <f>IF(VLOOKUP(Table7[[#This Row],[Date]],Database!$A:$C,MATCH($C$1,Database!$A$1:$C$1,),)=0,#N/A,VLOOKUP(Table7[[#This Row],[Date]],Database!$A:$C,MATCH($C$1,Database!$A$1:$C$1,),))</f>
        <v/>
      </c>
      <c r="D14181">
        <f>IFERROR(Table7[[#This Row],[United States 10y]]-Table7[[#This Row],[United States 3y]],#N/A)</f>
        <v/>
      </c>
    </row>
    <row r="14182">
      <c r="A14182" s="6">
        <f>Database!$A16267</f>
        <v/>
      </c>
      <c r="B14182">
        <f>IF(VLOOKUP(Table7[[#This Row],[Date]],Database!$A:$C,MATCH($B$1,Database!$A$1:$C$1,),)=0,#N/A,VLOOKUP(Table7[[#This Row],[Date]],Database!$A:$C,MATCH($B$1,Database!$A$1:$C$1,),))</f>
        <v/>
      </c>
      <c r="C14182">
        <f>IF(VLOOKUP(Table7[[#This Row],[Date]],Database!$A:$C,MATCH($C$1,Database!$A$1:$C$1,),)=0,#N/A,VLOOKUP(Table7[[#This Row],[Date]],Database!$A:$C,MATCH($C$1,Database!$A$1:$C$1,),))</f>
        <v/>
      </c>
      <c r="D14182">
        <f>IFERROR(Table7[[#This Row],[United States 10y]]-Table7[[#This Row],[United States 3y]],#N/A)</f>
        <v/>
      </c>
    </row>
    <row r="14183">
      <c r="A14183" s="6">
        <f>Database!$A16268</f>
        <v/>
      </c>
      <c r="B14183">
        <f>IF(VLOOKUP(Table7[[#This Row],[Date]],Database!$A:$C,MATCH($B$1,Database!$A$1:$C$1,),)=0,#N/A,VLOOKUP(Table7[[#This Row],[Date]],Database!$A:$C,MATCH($B$1,Database!$A$1:$C$1,),))</f>
        <v/>
      </c>
      <c r="C14183">
        <f>IF(VLOOKUP(Table7[[#This Row],[Date]],Database!$A:$C,MATCH($C$1,Database!$A$1:$C$1,),)=0,#N/A,VLOOKUP(Table7[[#This Row],[Date]],Database!$A:$C,MATCH($C$1,Database!$A$1:$C$1,),))</f>
        <v/>
      </c>
      <c r="D14183">
        <f>IFERROR(Table7[[#This Row],[United States 10y]]-Table7[[#This Row],[United States 3y]],#N/A)</f>
        <v/>
      </c>
    </row>
    <row r="14184">
      <c r="A14184" s="6">
        <f>Database!$A16269</f>
        <v/>
      </c>
      <c r="B14184">
        <f>IF(VLOOKUP(Table7[[#This Row],[Date]],Database!$A:$C,MATCH($B$1,Database!$A$1:$C$1,),)=0,#N/A,VLOOKUP(Table7[[#This Row],[Date]],Database!$A:$C,MATCH($B$1,Database!$A$1:$C$1,),))</f>
        <v/>
      </c>
      <c r="C14184">
        <f>IF(VLOOKUP(Table7[[#This Row],[Date]],Database!$A:$C,MATCH($C$1,Database!$A$1:$C$1,),)=0,#N/A,VLOOKUP(Table7[[#This Row],[Date]],Database!$A:$C,MATCH($C$1,Database!$A$1:$C$1,),))</f>
        <v/>
      </c>
      <c r="D14184">
        <f>IFERROR(Table7[[#This Row],[United States 10y]]-Table7[[#This Row],[United States 3y]],#N/A)</f>
        <v/>
      </c>
    </row>
    <row r="14185">
      <c r="A14185" s="6">
        <f>Database!$A16270</f>
        <v/>
      </c>
      <c r="B14185">
        <f>IF(VLOOKUP(Table7[[#This Row],[Date]],Database!$A:$C,MATCH($B$1,Database!$A$1:$C$1,),)=0,#N/A,VLOOKUP(Table7[[#This Row],[Date]],Database!$A:$C,MATCH($B$1,Database!$A$1:$C$1,),))</f>
        <v/>
      </c>
      <c r="C14185">
        <f>IF(VLOOKUP(Table7[[#This Row],[Date]],Database!$A:$C,MATCH($C$1,Database!$A$1:$C$1,),)=0,#N/A,VLOOKUP(Table7[[#This Row],[Date]],Database!$A:$C,MATCH($C$1,Database!$A$1:$C$1,),))</f>
        <v/>
      </c>
      <c r="D14185">
        <f>IFERROR(Table7[[#This Row],[United States 10y]]-Table7[[#This Row],[United States 3y]],#N/A)</f>
        <v/>
      </c>
    </row>
    <row r="14186">
      <c r="A14186" s="6">
        <f>Database!$A16271</f>
        <v/>
      </c>
      <c r="B14186">
        <f>IF(VLOOKUP(Table7[[#This Row],[Date]],Database!$A:$C,MATCH($B$1,Database!$A$1:$C$1,),)=0,#N/A,VLOOKUP(Table7[[#This Row],[Date]],Database!$A:$C,MATCH($B$1,Database!$A$1:$C$1,),))</f>
        <v/>
      </c>
      <c r="C14186">
        <f>IF(VLOOKUP(Table7[[#This Row],[Date]],Database!$A:$C,MATCH($C$1,Database!$A$1:$C$1,),)=0,#N/A,VLOOKUP(Table7[[#This Row],[Date]],Database!$A:$C,MATCH($C$1,Database!$A$1:$C$1,),))</f>
        <v/>
      </c>
      <c r="D14186">
        <f>IFERROR(Table7[[#This Row],[United States 10y]]-Table7[[#This Row],[United States 3y]],#N/A)</f>
        <v/>
      </c>
    </row>
    <row r="14187">
      <c r="A14187" s="6">
        <f>Database!$A16272</f>
        <v/>
      </c>
      <c r="B14187">
        <f>IF(VLOOKUP(Table7[[#This Row],[Date]],Database!$A:$C,MATCH($B$1,Database!$A$1:$C$1,),)=0,#N/A,VLOOKUP(Table7[[#This Row],[Date]],Database!$A:$C,MATCH($B$1,Database!$A$1:$C$1,),))</f>
        <v/>
      </c>
      <c r="C14187">
        <f>IF(VLOOKUP(Table7[[#This Row],[Date]],Database!$A:$C,MATCH($C$1,Database!$A$1:$C$1,),)=0,#N/A,VLOOKUP(Table7[[#This Row],[Date]],Database!$A:$C,MATCH($C$1,Database!$A$1:$C$1,),))</f>
        <v/>
      </c>
      <c r="D14187">
        <f>IFERROR(Table7[[#This Row],[United States 10y]]-Table7[[#This Row],[United States 3y]],#N/A)</f>
        <v/>
      </c>
    </row>
    <row r="14188">
      <c r="A14188" s="6">
        <f>Database!$A16273</f>
        <v/>
      </c>
      <c r="B14188">
        <f>IF(VLOOKUP(Table7[[#This Row],[Date]],Database!$A:$C,MATCH($B$1,Database!$A$1:$C$1,),)=0,#N/A,VLOOKUP(Table7[[#This Row],[Date]],Database!$A:$C,MATCH($B$1,Database!$A$1:$C$1,),))</f>
        <v/>
      </c>
      <c r="C14188">
        <f>IF(VLOOKUP(Table7[[#This Row],[Date]],Database!$A:$C,MATCH($C$1,Database!$A$1:$C$1,),)=0,#N/A,VLOOKUP(Table7[[#This Row],[Date]],Database!$A:$C,MATCH($C$1,Database!$A$1:$C$1,),))</f>
        <v/>
      </c>
      <c r="D14188">
        <f>IFERROR(Table7[[#This Row],[United States 10y]]-Table7[[#This Row],[United States 3y]],#N/A)</f>
        <v/>
      </c>
    </row>
    <row r="14189">
      <c r="A14189" s="6">
        <f>Database!$A16274</f>
        <v/>
      </c>
      <c r="B14189">
        <f>IF(VLOOKUP(Table7[[#This Row],[Date]],Database!$A:$C,MATCH($B$1,Database!$A$1:$C$1,),)=0,#N/A,VLOOKUP(Table7[[#This Row],[Date]],Database!$A:$C,MATCH($B$1,Database!$A$1:$C$1,),))</f>
        <v/>
      </c>
      <c r="C14189">
        <f>IF(VLOOKUP(Table7[[#This Row],[Date]],Database!$A:$C,MATCH($C$1,Database!$A$1:$C$1,),)=0,#N/A,VLOOKUP(Table7[[#This Row],[Date]],Database!$A:$C,MATCH($C$1,Database!$A$1:$C$1,),))</f>
        <v/>
      </c>
      <c r="D14189">
        <f>IFERROR(Table7[[#This Row],[United States 10y]]-Table7[[#This Row],[United States 3y]],#N/A)</f>
        <v/>
      </c>
    </row>
    <row r="14190">
      <c r="A14190" s="6">
        <f>Database!$A16275</f>
        <v/>
      </c>
      <c r="B14190">
        <f>IF(VLOOKUP(Table7[[#This Row],[Date]],Database!$A:$C,MATCH($B$1,Database!$A$1:$C$1,),)=0,#N/A,VLOOKUP(Table7[[#This Row],[Date]],Database!$A:$C,MATCH($B$1,Database!$A$1:$C$1,),))</f>
        <v/>
      </c>
      <c r="C14190">
        <f>IF(VLOOKUP(Table7[[#This Row],[Date]],Database!$A:$C,MATCH($C$1,Database!$A$1:$C$1,),)=0,#N/A,VLOOKUP(Table7[[#This Row],[Date]],Database!$A:$C,MATCH($C$1,Database!$A$1:$C$1,),))</f>
        <v/>
      </c>
      <c r="D14190">
        <f>IFERROR(Table7[[#This Row],[United States 10y]]-Table7[[#This Row],[United States 3y]],#N/A)</f>
        <v/>
      </c>
    </row>
    <row r="14191">
      <c r="A14191" s="6">
        <f>Database!$A16276</f>
        <v/>
      </c>
      <c r="B14191">
        <f>IF(VLOOKUP(Table7[[#This Row],[Date]],Database!$A:$C,MATCH($B$1,Database!$A$1:$C$1,),)=0,#N/A,VLOOKUP(Table7[[#This Row],[Date]],Database!$A:$C,MATCH($B$1,Database!$A$1:$C$1,),))</f>
        <v/>
      </c>
      <c r="C14191">
        <f>IF(VLOOKUP(Table7[[#This Row],[Date]],Database!$A:$C,MATCH($C$1,Database!$A$1:$C$1,),)=0,#N/A,VLOOKUP(Table7[[#This Row],[Date]],Database!$A:$C,MATCH($C$1,Database!$A$1:$C$1,),))</f>
        <v/>
      </c>
      <c r="D14191">
        <f>IFERROR(Table7[[#This Row],[United States 10y]]-Table7[[#This Row],[United States 3y]],#N/A)</f>
        <v/>
      </c>
    </row>
    <row r="14192">
      <c r="A14192" s="6">
        <f>Database!$A16277</f>
        <v/>
      </c>
      <c r="B14192">
        <f>IF(VLOOKUP(Table7[[#This Row],[Date]],Database!$A:$C,MATCH($B$1,Database!$A$1:$C$1,),)=0,#N/A,VLOOKUP(Table7[[#This Row],[Date]],Database!$A:$C,MATCH($B$1,Database!$A$1:$C$1,),))</f>
        <v/>
      </c>
      <c r="C14192">
        <f>IF(VLOOKUP(Table7[[#This Row],[Date]],Database!$A:$C,MATCH($C$1,Database!$A$1:$C$1,),)=0,#N/A,VLOOKUP(Table7[[#This Row],[Date]],Database!$A:$C,MATCH($C$1,Database!$A$1:$C$1,),))</f>
        <v/>
      </c>
      <c r="D14192">
        <f>IFERROR(Table7[[#This Row],[United States 10y]]-Table7[[#This Row],[United States 3y]],#N/A)</f>
        <v/>
      </c>
    </row>
    <row r="14193">
      <c r="A14193" s="6">
        <f>Database!$A16278</f>
        <v/>
      </c>
      <c r="B14193">
        <f>IF(VLOOKUP(Table7[[#This Row],[Date]],Database!$A:$C,MATCH($B$1,Database!$A$1:$C$1,),)=0,#N/A,VLOOKUP(Table7[[#This Row],[Date]],Database!$A:$C,MATCH($B$1,Database!$A$1:$C$1,),))</f>
        <v/>
      </c>
      <c r="C14193">
        <f>IF(VLOOKUP(Table7[[#This Row],[Date]],Database!$A:$C,MATCH($C$1,Database!$A$1:$C$1,),)=0,#N/A,VLOOKUP(Table7[[#This Row],[Date]],Database!$A:$C,MATCH($C$1,Database!$A$1:$C$1,),))</f>
        <v/>
      </c>
      <c r="D14193">
        <f>IFERROR(Table7[[#This Row],[United States 10y]]-Table7[[#This Row],[United States 3y]],#N/A)</f>
        <v/>
      </c>
    </row>
    <row r="14194">
      <c r="A14194" s="6">
        <f>Database!$A16279</f>
        <v/>
      </c>
      <c r="B14194">
        <f>IF(VLOOKUP(Table7[[#This Row],[Date]],Database!$A:$C,MATCH($B$1,Database!$A$1:$C$1,),)=0,#N/A,VLOOKUP(Table7[[#This Row],[Date]],Database!$A:$C,MATCH($B$1,Database!$A$1:$C$1,),))</f>
        <v/>
      </c>
      <c r="C14194">
        <f>IF(VLOOKUP(Table7[[#This Row],[Date]],Database!$A:$C,MATCH($C$1,Database!$A$1:$C$1,),)=0,#N/A,VLOOKUP(Table7[[#This Row],[Date]],Database!$A:$C,MATCH($C$1,Database!$A$1:$C$1,),))</f>
        <v/>
      </c>
      <c r="D14194">
        <f>IFERROR(Table7[[#This Row],[United States 10y]]-Table7[[#This Row],[United States 3y]],#N/A)</f>
        <v/>
      </c>
    </row>
    <row r="14195">
      <c r="A14195" s="6">
        <f>Database!$A16280</f>
        <v/>
      </c>
      <c r="B14195">
        <f>IF(VLOOKUP(Table7[[#This Row],[Date]],Database!$A:$C,MATCH($B$1,Database!$A$1:$C$1,),)=0,#N/A,VLOOKUP(Table7[[#This Row],[Date]],Database!$A:$C,MATCH($B$1,Database!$A$1:$C$1,),))</f>
        <v/>
      </c>
      <c r="C14195">
        <f>IF(VLOOKUP(Table7[[#This Row],[Date]],Database!$A:$C,MATCH($C$1,Database!$A$1:$C$1,),)=0,#N/A,VLOOKUP(Table7[[#This Row],[Date]],Database!$A:$C,MATCH($C$1,Database!$A$1:$C$1,),))</f>
        <v/>
      </c>
      <c r="D14195">
        <f>IFERROR(Table7[[#This Row],[United States 10y]]-Table7[[#This Row],[United States 3y]],#N/A)</f>
        <v/>
      </c>
    </row>
    <row r="14196">
      <c r="A14196" s="6">
        <f>Database!$A16281</f>
        <v/>
      </c>
      <c r="B14196">
        <f>IF(VLOOKUP(Table7[[#This Row],[Date]],Database!$A:$C,MATCH($B$1,Database!$A$1:$C$1,),)=0,#N/A,VLOOKUP(Table7[[#This Row],[Date]],Database!$A:$C,MATCH($B$1,Database!$A$1:$C$1,),))</f>
        <v/>
      </c>
      <c r="C14196">
        <f>IF(VLOOKUP(Table7[[#This Row],[Date]],Database!$A:$C,MATCH($C$1,Database!$A$1:$C$1,),)=0,#N/A,VLOOKUP(Table7[[#This Row],[Date]],Database!$A:$C,MATCH($C$1,Database!$A$1:$C$1,),))</f>
        <v/>
      </c>
      <c r="D14196">
        <f>IFERROR(Table7[[#This Row],[United States 10y]]-Table7[[#This Row],[United States 3y]],#N/A)</f>
        <v/>
      </c>
    </row>
    <row r="14197">
      <c r="A14197" s="6">
        <f>Database!$A16282</f>
        <v/>
      </c>
      <c r="B14197">
        <f>IF(VLOOKUP(Table7[[#This Row],[Date]],Database!$A:$C,MATCH($B$1,Database!$A$1:$C$1,),)=0,#N/A,VLOOKUP(Table7[[#This Row],[Date]],Database!$A:$C,MATCH($B$1,Database!$A$1:$C$1,),))</f>
        <v/>
      </c>
      <c r="C14197">
        <f>IF(VLOOKUP(Table7[[#This Row],[Date]],Database!$A:$C,MATCH($C$1,Database!$A$1:$C$1,),)=0,#N/A,VLOOKUP(Table7[[#This Row],[Date]],Database!$A:$C,MATCH($C$1,Database!$A$1:$C$1,),))</f>
        <v/>
      </c>
      <c r="D14197">
        <f>IFERROR(Table7[[#This Row],[United States 10y]]-Table7[[#This Row],[United States 3y]],#N/A)</f>
        <v/>
      </c>
    </row>
    <row r="14198">
      <c r="A14198" s="6">
        <f>Database!$A16283</f>
        <v/>
      </c>
      <c r="B14198">
        <f>IF(VLOOKUP(Table7[[#This Row],[Date]],Database!$A:$C,MATCH($B$1,Database!$A$1:$C$1,),)=0,#N/A,VLOOKUP(Table7[[#This Row],[Date]],Database!$A:$C,MATCH($B$1,Database!$A$1:$C$1,),))</f>
        <v/>
      </c>
      <c r="C14198">
        <f>IF(VLOOKUP(Table7[[#This Row],[Date]],Database!$A:$C,MATCH($C$1,Database!$A$1:$C$1,),)=0,#N/A,VLOOKUP(Table7[[#This Row],[Date]],Database!$A:$C,MATCH($C$1,Database!$A$1:$C$1,),))</f>
        <v/>
      </c>
      <c r="D14198">
        <f>IFERROR(Table7[[#This Row],[United States 10y]]-Table7[[#This Row],[United States 3y]],#N/A)</f>
        <v/>
      </c>
    </row>
    <row r="14199">
      <c r="A14199" s="6">
        <f>Database!$A16284</f>
        <v/>
      </c>
      <c r="B14199">
        <f>IF(VLOOKUP(Table7[[#This Row],[Date]],Database!$A:$C,MATCH($B$1,Database!$A$1:$C$1,),)=0,#N/A,VLOOKUP(Table7[[#This Row],[Date]],Database!$A:$C,MATCH($B$1,Database!$A$1:$C$1,),))</f>
        <v/>
      </c>
      <c r="C14199">
        <f>IF(VLOOKUP(Table7[[#This Row],[Date]],Database!$A:$C,MATCH($C$1,Database!$A$1:$C$1,),)=0,#N/A,VLOOKUP(Table7[[#This Row],[Date]],Database!$A:$C,MATCH($C$1,Database!$A$1:$C$1,),))</f>
        <v/>
      </c>
      <c r="D14199">
        <f>IFERROR(Table7[[#This Row],[United States 10y]]-Table7[[#This Row],[United States 3y]],#N/A)</f>
        <v/>
      </c>
    </row>
    <row r="14200">
      <c r="A14200" s="6">
        <f>Database!$A16285</f>
        <v/>
      </c>
      <c r="B14200">
        <f>IF(VLOOKUP(Table7[[#This Row],[Date]],Database!$A:$C,MATCH($B$1,Database!$A$1:$C$1,),)=0,#N/A,VLOOKUP(Table7[[#This Row],[Date]],Database!$A:$C,MATCH($B$1,Database!$A$1:$C$1,),))</f>
        <v/>
      </c>
      <c r="C14200">
        <f>IF(VLOOKUP(Table7[[#This Row],[Date]],Database!$A:$C,MATCH($C$1,Database!$A$1:$C$1,),)=0,#N/A,VLOOKUP(Table7[[#This Row],[Date]],Database!$A:$C,MATCH($C$1,Database!$A$1:$C$1,),))</f>
        <v/>
      </c>
      <c r="D14200">
        <f>IFERROR(Table7[[#This Row],[United States 10y]]-Table7[[#This Row],[United States 3y]],#N/A)</f>
        <v/>
      </c>
    </row>
    <row r="14201">
      <c r="A14201" s="6">
        <f>Database!$A16286</f>
        <v/>
      </c>
      <c r="B14201">
        <f>IF(VLOOKUP(Table7[[#This Row],[Date]],Database!$A:$C,MATCH($B$1,Database!$A$1:$C$1,),)=0,#N/A,VLOOKUP(Table7[[#This Row],[Date]],Database!$A:$C,MATCH($B$1,Database!$A$1:$C$1,),))</f>
        <v/>
      </c>
      <c r="C14201">
        <f>IF(VLOOKUP(Table7[[#This Row],[Date]],Database!$A:$C,MATCH($C$1,Database!$A$1:$C$1,),)=0,#N/A,VLOOKUP(Table7[[#This Row],[Date]],Database!$A:$C,MATCH($C$1,Database!$A$1:$C$1,),))</f>
        <v/>
      </c>
      <c r="D14201">
        <f>IFERROR(Table7[[#This Row],[United States 10y]]-Table7[[#This Row],[United States 3y]],#N/A)</f>
        <v/>
      </c>
    </row>
    <row r="14202">
      <c r="A14202" s="6">
        <f>Database!$A16287</f>
        <v/>
      </c>
      <c r="B14202">
        <f>IF(VLOOKUP(Table7[[#This Row],[Date]],Database!$A:$C,MATCH($B$1,Database!$A$1:$C$1,),)=0,#N/A,VLOOKUP(Table7[[#This Row],[Date]],Database!$A:$C,MATCH($B$1,Database!$A$1:$C$1,),))</f>
        <v/>
      </c>
      <c r="C14202">
        <f>IF(VLOOKUP(Table7[[#This Row],[Date]],Database!$A:$C,MATCH($C$1,Database!$A$1:$C$1,),)=0,#N/A,VLOOKUP(Table7[[#This Row],[Date]],Database!$A:$C,MATCH($C$1,Database!$A$1:$C$1,),))</f>
        <v/>
      </c>
      <c r="D14202">
        <f>IFERROR(Table7[[#This Row],[United States 10y]]-Table7[[#This Row],[United States 3y]],#N/A)</f>
        <v/>
      </c>
    </row>
    <row r="14203">
      <c r="A14203" s="6">
        <f>Database!$A16288</f>
        <v/>
      </c>
      <c r="B14203">
        <f>IF(VLOOKUP(Table7[[#This Row],[Date]],Database!$A:$C,MATCH($B$1,Database!$A$1:$C$1,),)=0,#N/A,VLOOKUP(Table7[[#This Row],[Date]],Database!$A:$C,MATCH($B$1,Database!$A$1:$C$1,),))</f>
        <v/>
      </c>
      <c r="C14203">
        <f>IF(VLOOKUP(Table7[[#This Row],[Date]],Database!$A:$C,MATCH($C$1,Database!$A$1:$C$1,),)=0,#N/A,VLOOKUP(Table7[[#This Row],[Date]],Database!$A:$C,MATCH($C$1,Database!$A$1:$C$1,),))</f>
        <v/>
      </c>
      <c r="D14203">
        <f>IFERROR(Table7[[#This Row],[United States 10y]]-Table7[[#This Row],[United States 3y]],#N/A)</f>
        <v/>
      </c>
    </row>
    <row r="14204">
      <c r="A14204" s="6">
        <f>Database!$A16289</f>
        <v/>
      </c>
      <c r="B14204">
        <f>IF(VLOOKUP(Table7[[#This Row],[Date]],Database!$A:$C,MATCH($B$1,Database!$A$1:$C$1,),)=0,#N/A,VLOOKUP(Table7[[#This Row],[Date]],Database!$A:$C,MATCH($B$1,Database!$A$1:$C$1,),))</f>
        <v/>
      </c>
      <c r="C14204">
        <f>IF(VLOOKUP(Table7[[#This Row],[Date]],Database!$A:$C,MATCH($C$1,Database!$A$1:$C$1,),)=0,#N/A,VLOOKUP(Table7[[#This Row],[Date]],Database!$A:$C,MATCH($C$1,Database!$A$1:$C$1,),))</f>
        <v/>
      </c>
      <c r="D14204">
        <f>IFERROR(Table7[[#This Row],[United States 10y]]-Table7[[#This Row],[United States 3y]],#N/A)</f>
        <v/>
      </c>
    </row>
    <row r="14205">
      <c r="A14205" s="6">
        <f>Database!$A16290</f>
        <v/>
      </c>
      <c r="B14205">
        <f>IF(VLOOKUP(Table7[[#This Row],[Date]],Database!$A:$C,MATCH($B$1,Database!$A$1:$C$1,),)=0,#N/A,VLOOKUP(Table7[[#This Row],[Date]],Database!$A:$C,MATCH($B$1,Database!$A$1:$C$1,),))</f>
        <v/>
      </c>
      <c r="C14205">
        <f>IF(VLOOKUP(Table7[[#This Row],[Date]],Database!$A:$C,MATCH($C$1,Database!$A$1:$C$1,),)=0,#N/A,VLOOKUP(Table7[[#This Row],[Date]],Database!$A:$C,MATCH($C$1,Database!$A$1:$C$1,),))</f>
        <v/>
      </c>
      <c r="D14205">
        <f>IFERROR(Table7[[#This Row],[United States 10y]]-Table7[[#This Row],[United States 3y]],#N/A)</f>
        <v/>
      </c>
    </row>
    <row r="14206">
      <c r="A14206" s="6">
        <f>Database!$A16291</f>
        <v/>
      </c>
      <c r="B14206">
        <f>IF(VLOOKUP(Table7[[#This Row],[Date]],Database!$A:$C,MATCH($B$1,Database!$A$1:$C$1,),)=0,#N/A,VLOOKUP(Table7[[#This Row],[Date]],Database!$A:$C,MATCH($B$1,Database!$A$1:$C$1,),))</f>
        <v/>
      </c>
      <c r="C14206">
        <f>IF(VLOOKUP(Table7[[#This Row],[Date]],Database!$A:$C,MATCH($C$1,Database!$A$1:$C$1,),)=0,#N/A,VLOOKUP(Table7[[#This Row],[Date]],Database!$A:$C,MATCH($C$1,Database!$A$1:$C$1,),))</f>
        <v/>
      </c>
      <c r="D14206">
        <f>IFERROR(Table7[[#This Row],[United States 10y]]-Table7[[#This Row],[United States 3y]],#N/A)</f>
        <v/>
      </c>
    </row>
    <row r="14207">
      <c r="A14207" s="6">
        <f>Database!$A16292</f>
        <v/>
      </c>
      <c r="B14207">
        <f>IF(VLOOKUP(Table7[[#This Row],[Date]],Database!$A:$C,MATCH($B$1,Database!$A$1:$C$1,),)=0,#N/A,VLOOKUP(Table7[[#This Row],[Date]],Database!$A:$C,MATCH($B$1,Database!$A$1:$C$1,),))</f>
        <v/>
      </c>
      <c r="C14207">
        <f>IF(VLOOKUP(Table7[[#This Row],[Date]],Database!$A:$C,MATCH($C$1,Database!$A$1:$C$1,),)=0,#N/A,VLOOKUP(Table7[[#This Row],[Date]],Database!$A:$C,MATCH($C$1,Database!$A$1:$C$1,),))</f>
        <v/>
      </c>
      <c r="D14207">
        <f>IFERROR(Table7[[#This Row],[United States 10y]]-Table7[[#This Row],[United States 3y]],#N/A)</f>
        <v/>
      </c>
    </row>
    <row r="14208">
      <c r="A14208" s="6">
        <f>Database!$A16293</f>
        <v/>
      </c>
      <c r="B14208">
        <f>IF(VLOOKUP(Table7[[#This Row],[Date]],Database!$A:$C,MATCH($B$1,Database!$A$1:$C$1,),)=0,#N/A,VLOOKUP(Table7[[#This Row],[Date]],Database!$A:$C,MATCH($B$1,Database!$A$1:$C$1,),))</f>
        <v/>
      </c>
      <c r="C14208">
        <f>IF(VLOOKUP(Table7[[#This Row],[Date]],Database!$A:$C,MATCH($C$1,Database!$A$1:$C$1,),)=0,#N/A,VLOOKUP(Table7[[#This Row],[Date]],Database!$A:$C,MATCH($C$1,Database!$A$1:$C$1,),))</f>
        <v/>
      </c>
      <c r="D14208">
        <f>IFERROR(Table7[[#This Row],[United States 10y]]-Table7[[#This Row],[United States 3y]],#N/A)</f>
        <v/>
      </c>
    </row>
    <row r="14209">
      <c r="A14209" s="6">
        <f>Database!$A16294</f>
        <v/>
      </c>
      <c r="B14209">
        <f>IF(VLOOKUP(Table7[[#This Row],[Date]],Database!$A:$C,MATCH($B$1,Database!$A$1:$C$1,),)=0,#N/A,VLOOKUP(Table7[[#This Row],[Date]],Database!$A:$C,MATCH($B$1,Database!$A$1:$C$1,),))</f>
        <v/>
      </c>
      <c r="C14209">
        <f>IF(VLOOKUP(Table7[[#This Row],[Date]],Database!$A:$C,MATCH($C$1,Database!$A$1:$C$1,),)=0,#N/A,VLOOKUP(Table7[[#This Row],[Date]],Database!$A:$C,MATCH($C$1,Database!$A$1:$C$1,),))</f>
        <v/>
      </c>
      <c r="D14209">
        <f>IFERROR(Table7[[#This Row],[United States 10y]]-Table7[[#This Row],[United States 3y]],#N/A)</f>
        <v/>
      </c>
    </row>
    <row r="14210">
      <c r="A14210" s="6">
        <f>Database!$A16295</f>
        <v/>
      </c>
      <c r="B14210">
        <f>IF(VLOOKUP(Table7[[#This Row],[Date]],Database!$A:$C,MATCH($B$1,Database!$A$1:$C$1,),)=0,#N/A,VLOOKUP(Table7[[#This Row],[Date]],Database!$A:$C,MATCH($B$1,Database!$A$1:$C$1,),))</f>
        <v/>
      </c>
      <c r="C14210">
        <f>IF(VLOOKUP(Table7[[#This Row],[Date]],Database!$A:$C,MATCH($C$1,Database!$A$1:$C$1,),)=0,#N/A,VLOOKUP(Table7[[#This Row],[Date]],Database!$A:$C,MATCH($C$1,Database!$A$1:$C$1,),))</f>
        <v/>
      </c>
      <c r="D14210">
        <f>IFERROR(Table7[[#This Row],[United States 10y]]-Table7[[#This Row],[United States 3y]],#N/A)</f>
        <v/>
      </c>
    </row>
    <row r="14211">
      <c r="A14211" s="6">
        <f>Database!$A16296</f>
        <v/>
      </c>
      <c r="B14211">
        <f>IF(VLOOKUP(Table7[[#This Row],[Date]],Database!$A:$C,MATCH($B$1,Database!$A$1:$C$1,),)=0,#N/A,VLOOKUP(Table7[[#This Row],[Date]],Database!$A:$C,MATCH($B$1,Database!$A$1:$C$1,),))</f>
        <v/>
      </c>
      <c r="C14211">
        <f>IF(VLOOKUP(Table7[[#This Row],[Date]],Database!$A:$C,MATCH($C$1,Database!$A$1:$C$1,),)=0,#N/A,VLOOKUP(Table7[[#This Row],[Date]],Database!$A:$C,MATCH($C$1,Database!$A$1:$C$1,),))</f>
        <v/>
      </c>
      <c r="D14211">
        <f>IFERROR(Table7[[#This Row],[United States 10y]]-Table7[[#This Row],[United States 3y]],#N/A)</f>
        <v/>
      </c>
    </row>
    <row r="14212">
      <c r="A14212" s="6">
        <f>Database!$A16297</f>
        <v/>
      </c>
      <c r="B14212">
        <f>IF(VLOOKUP(Table7[[#This Row],[Date]],Database!$A:$C,MATCH($B$1,Database!$A$1:$C$1,),)=0,#N/A,VLOOKUP(Table7[[#This Row],[Date]],Database!$A:$C,MATCH($B$1,Database!$A$1:$C$1,),))</f>
        <v/>
      </c>
      <c r="C14212">
        <f>IF(VLOOKUP(Table7[[#This Row],[Date]],Database!$A:$C,MATCH($C$1,Database!$A$1:$C$1,),)=0,#N/A,VLOOKUP(Table7[[#This Row],[Date]],Database!$A:$C,MATCH($C$1,Database!$A$1:$C$1,),))</f>
        <v/>
      </c>
      <c r="D14212">
        <f>IFERROR(Table7[[#This Row],[United States 10y]]-Table7[[#This Row],[United States 3y]],#N/A)</f>
        <v/>
      </c>
    </row>
    <row r="14213">
      <c r="A14213" s="6">
        <f>Database!$A16298</f>
        <v/>
      </c>
      <c r="B14213">
        <f>IF(VLOOKUP(Table7[[#This Row],[Date]],Database!$A:$C,MATCH($B$1,Database!$A$1:$C$1,),)=0,#N/A,VLOOKUP(Table7[[#This Row],[Date]],Database!$A:$C,MATCH($B$1,Database!$A$1:$C$1,),))</f>
        <v/>
      </c>
      <c r="C14213">
        <f>IF(VLOOKUP(Table7[[#This Row],[Date]],Database!$A:$C,MATCH($C$1,Database!$A$1:$C$1,),)=0,#N/A,VLOOKUP(Table7[[#This Row],[Date]],Database!$A:$C,MATCH($C$1,Database!$A$1:$C$1,),))</f>
        <v/>
      </c>
      <c r="D14213">
        <f>IFERROR(Table7[[#This Row],[United States 10y]]-Table7[[#This Row],[United States 3y]],#N/A)</f>
        <v/>
      </c>
    </row>
    <row r="14214">
      <c r="A14214" s="6">
        <f>Database!$A16299</f>
        <v/>
      </c>
      <c r="B14214">
        <f>IF(VLOOKUP(Table7[[#This Row],[Date]],Database!$A:$C,MATCH($B$1,Database!$A$1:$C$1,),)=0,#N/A,VLOOKUP(Table7[[#This Row],[Date]],Database!$A:$C,MATCH($B$1,Database!$A$1:$C$1,),))</f>
        <v/>
      </c>
      <c r="C14214">
        <f>IF(VLOOKUP(Table7[[#This Row],[Date]],Database!$A:$C,MATCH($C$1,Database!$A$1:$C$1,),)=0,#N/A,VLOOKUP(Table7[[#This Row],[Date]],Database!$A:$C,MATCH($C$1,Database!$A$1:$C$1,),))</f>
        <v/>
      </c>
      <c r="D14214">
        <f>IFERROR(Table7[[#This Row],[United States 10y]]-Table7[[#This Row],[United States 3y]],#N/A)</f>
        <v/>
      </c>
    </row>
    <row r="14215">
      <c r="A14215" s="6">
        <f>Database!$A16300</f>
        <v/>
      </c>
      <c r="B14215">
        <f>IF(VLOOKUP(Table7[[#This Row],[Date]],Database!$A:$C,MATCH($B$1,Database!$A$1:$C$1,),)=0,#N/A,VLOOKUP(Table7[[#This Row],[Date]],Database!$A:$C,MATCH($B$1,Database!$A$1:$C$1,),))</f>
        <v/>
      </c>
      <c r="C14215">
        <f>IF(VLOOKUP(Table7[[#This Row],[Date]],Database!$A:$C,MATCH($C$1,Database!$A$1:$C$1,),)=0,#N/A,VLOOKUP(Table7[[#This Row],[Date]],Database!$A:$C,MATCH($C$1,Database!$A$1:$C$1,),))</f>
        <v/>
      </c>
      <c r="D14215">
        <f>IFERROR(Table7[[#This Row],[United States 10y]]-Table7[[#This Row],[United States 3y]],#N/A)</f>
        <v/>
      </c>
    </row>
    <row r="14216">
      <c r="A14216" s="6">
        <f>Database!$A16301</f>
        <v/>
      </c>
      <c r="B14216">
        <f>IF(VLOOKUP(Table7[[#This Row],[Date]],Database!$A:$C,MATCH($B$1,Database!$A$1:$C$1,),)=0,#N/A,VLOOKUP(Table7[[#This Row],[Date]],Database!$A:$C,MATCH($B$1,Database!$A$1:$C$1,),))</f>
        <v/>
      </c>
      <c r="C14216">
        <f>IF(VLOOKUP(Table7[[#This Row],[Date]],Database!$A:$C,MATCH($C$1,Database!$A$1:$C$1,),)=0,#N/A,VLOOKUP(Table7[[#This Row],[Date]],Database!$A:$C,MATCH($C$1,Database!$A$1:$C$1,),))</f>
        <v/>
      </c>
      <c r="D14216">
        <f>IFERROR(Table7[[#This Row],[United States 10y]]-Table7[[#This Row],[United States 3y]],#N/A)</f>
        <v/>
      </c>
    </row>
    <row r="14217">
      <c r="A14217" s="6">
        <f>Database!$A16302</f>
        <v/>
      </c>
      <c r="B14217">
        <f>IF(VLOOKUP(Table7[[#This Row],[Date]],Database!$A:$C,MATCH($B$1,Database!$A$1:$C$1,),)=0,#N/A,VLOOKUP(Table7[[#This Row],[Date]],Database!$A:$C,MATCH($B$1,Database!$A$1:$C$1,),))</f>
        <v/>
      </c>
      <c r="C14217">
        <f>IF(VLOOKUP(Table7[[#This Row],[Date]],Database!$A:$C,MATCH($C$1,Database!$A$1:$C$1,),)=0,#N/A,VLOOKUP(Table7[[#This Row],[Date]],Database!$A:$C,MATCH($C$1,Database!$A$1:$C$1,),))</f>
        <v/>
      </c>
      <c r="D14217">
        <f>IFERROR(Table7[[#This Row],[United States 10y]]-Table7[[#This Row],[United States 3y]],#N/A)</f>
        <v/>
      </c>
    </row>
    <row r="14218">
      <c r="A14218" s="6">
        <f>Database!$A16303</f>
        <v/>
      </c>
      <c r="B14218">
        <f>IF(VLOOKUP(Table7[[#This Row],[Date]],Database!$A:$C,MATCH($B$1,Database!$A$1:$C$1,),)=0,#N/A,VLOOKUP(Table7[[#This Row],[Date]],Database!$A:$C,MATCH($B$1,Database!$A$1:$C$1,),))</f>
        <v/>
      </c>
      <c r="C14218">
        <f>IF(VLOOKUP(Table7[[#This Row],[Date]],Database!$A:$C,MATCH($C$1,Database!$A$1:$C$1,),)=0,#N/A,VLOOKUP(Table7[[#This Row],[Date]],Database!$A:$C,MATCH($C$1,Database!$A$1:$C$1,),))</f>
        <v/>
      </c>
      <c r="D14218">
        <f>IFERROR(Table7[[#This Row],[United States 10y]]-Table7[[#This Row],[United States 3y]],#N/A)</f>
        <v/>
      </c>
    </row>
    <row r="14219">
      <c r="A14219" s="6">
        <f>Database!$A16304</f>
        <v/>
      </c>
      <c r="B14219">
        <f>IF(VLOOKUP(Table7[[#This Row],[Date]],Database!$A:$C,MATCH($B$1,Database!$A$1:$C$1,),)=0,#N/A,VLOOKUP(Table7[[#This Row],[Date]],Database!$A:$C,MATCH($B$1,Database!$A$1:$C$1,),))</f>
        <v/>
      </c>
      <c r="C14219">
        <f>IF(VLOOKUP(Table7[[#This Row],[Date]],Database!$A:$C,MATCH($C$1,Database!$A$1:$C$1,),)=0,#N/A,VLOOKUP(Table7[[#This Row],[Date]],Database!$A:$C,MATCH($C$1,Database!$A$1:$C$1,),))</f>
        <v/>
      </c>
      <c r="D14219">
        <f>IFERROR(Table7[[#This Row],[United States 10y]]-Table7[[#This Row],[United States 3y]],#N/A)</f>
        <v/>
      </c>
    </row>
    <row r="14220">
      <c r="A14220" s="6">
        <f>Database!$A16305</f>
        <v/>
      </c>
      <c r="B14220">
        <f>IF(VLOOKUP(Table7[[#This Row],[Date]],Database!$A:$C,MATCH($B$1,Database!$A$1:$C$1,),)=0,#N/A,VLOOKUP(Table7[[#This Row],[Date]],Database!$A:$C,MATCH($B$1,Database!$A$1:$C$1,),))</f>
        <v/>
      </c>
      <c r="C14220">
        <f>IF(VLOOKUP(Table7[[#This Row],[Date]],Database!$A:$C,MATCH($C$1,Database!$A$1:$C$1,),)=0,#N/A,VLOOKUP(Table7[[#This Row],[Date]],Database!$A:$C,MATCH($C$1,Database!$A$1:$C$1,),))</f>
        <v/>
      </c>
      <c r="D14220">
        <f>IFERROR(Table7[[#This Row],[United States 10y]]-Table7[[#This Row],[United States 3y]],#N/A)</f>
        <v/>
      </c>
    </row>
    <row r="14221">
      <c r="A14221" s="6">
        <f>Database!$A16306</f>
        <v/>
      </c>
      <c r="B14221">
        <f>IF(VLOOKUP(Table7[[#This Row],[Date]],Database!$A:$C,MATCH($B$1,Database!$A$1:$C$1,),)=0,#N/A,VLOOKUP(Table7[[#This Row],[Date]],Database!$A:$C,MATCH($B$1,Database!$A$1:$C$1,),))</f>
        <v/>
      </c>
      <c r="C14221">
        <f>IF(VLOOKUP(Table7[[#This Row],[Date]],Database!$A:$C,MATCH($C$1,Database!$A$1:$C$1,),)=0,#N/A,VLOOKUP(Table7[[#This Row],[Date]],Database!$A:$C,MATCH($C$1,Database!$A$1:$C$1,),))</f>
        <v/>
      </c>
      <c r="D14221">
        <f>IFERROR(Table7[[#This Row],[United States 10y]]-Table7[[#This Row],[United States 3y]],#N/A)</f>
        <v/>
      </c>
    </row>
    <row r="14222">
      <c r="A14222" s="6">
        <f>Database!$A16307</f>
        <v/>
      </c>
      <c r="B14222">
        <f>IF(VLOOKUP(Table7[[#This Row],[Date]],Database!$A:$C,MATCH($B$1,Database!$A$1:$C$1,),)=0,#N/A,VLOOKUP(Table7[[#This Row],[Date]],Database!$A:$C,MATCH($B$1,Database!$A$1:$C$1,),))</f>
        <v/>
      </c>
      <c r="C14222">
        <f>IF(VLOOKUP(Table7[[#This Row],[Date]],Database!$A:$C,MATCH($C$1,Database!$A$1:$C$1,),)=0,#N/A,VLOOKUP(Table7[[#This Row],[Date]],Database!$A:$C,MATCH($C$1,Database!$A$1:$C$1,),))</f>
        <v/>
      </c>
      <c r="D14222">
        <f>IFERROR(Table7[[#This Row],[United States 10y]]-Table7[[#This Row],[United States 3y]],#N/A)</f>
        <v/>
      </c>
    </row>
    <row r="14223">
      <c r="A14223" s="6">
        <f>Database!$A16308</f>
        <v/>
      </c>
      <c r="B14223">
        <f>IF(VLOOKUP(Table7[[#This Row],[Date]],Database!$A:$C,MATCH($B$1,Database!$A$1:$C$1,),)=0,#N/A,VLOOKUP(Table7[[#This Row],[Date]],Database!$A:$C,MATCH($B$1,Database!$A$1:$C$1,),))</f>
        <v/>
      </c>
      <c r="C14223">
        <f>IF(VLOOKUP(Table7[[#This Row],[Date]],Database!$A:$C,MATCH($C$1,Database!$A$1:$C$1,),)=0,#N/A,VLOOKUP(Table7[[#This Row],[Date]],Database!$A:$C,MATCH($C$1,Database!$A$1:$C$1,),))</f>
        <v/>
      </c>
      <c r="D14223">
        <f>IFERROR(Table7[[#This Row],[United States 10y]]-Table7[[#This Row],[United States 3y]],#N/A)</f>
        <v/>
      </c>
    </row>
    <row r="14224">
      <c r="A14224" s="6">
        <f>Database!$A16309</f>
        <v/>
      </c>
      <c r="B14224">
        <f>IF(VLOOKUP(Table7[[#This Row],[Date]],Database!$A:$C,MATCH($B$1,Database!$A$1:$C$1,),)=0,#N/A,VLOOKUP(Table7[[#This Row],[Date]],Database!$A:$C,MATCH($B$1,Database!$A$1:$C$1,),))</f>
        <v/>
      </c>
      <c r="C14224">
        <f>IF(VLOOKUP(Table7[[#This Row],[Date]],Database!$A:$C,MATCH($C$1,Database!$A$1:$C$1,),)=0,#N/A,VLOOKUP(Table7[[#This Row],[Date]],Database!$A:$C,MATCH($C$1,Database!$A$1:$C$1,),))</f>
        <v/>
      </c>
      <c r="D14224">
        <f>IFERROR(Table7[[#This Row],[United States 10y]]-Table7[[#This Row],[United States 3y]],#N/A)</f>
        <v/>
      </c>
    </row>
    <row r="14225">
      <c r="A14225" s="6">
        <f>Database!$A16310</f>
        <v/>
      </c>
      <c r="B14225">
        <f>IF(VLOOKUP(Table7[[#This Row],[Date]],Database!$A:$C,MATCH($B$1,Database!$A$1:$C$1,),)=0,#N/A,VLOOKUP(Table7[[#This Row],[Date]],Database!$A:$C,MATCH($B$1,Database!$A$1:$C$1,),))</f>
        <v/>
      </c>
      <c r="C14225">
        <f>IF(VLOOKUP(Table7[[#This Row],[Date]],Database!$A:$C,MATCH($C$1,Database!$A$1:$C$1,),)=0,#N/A,VLOOKUP(Table7[[#This Row],[Date]],Database!$A:$C,MATCH($C$1,Database!$A$1:$C$1,),))</f>
        <v/>
      </c>
      <c r="D14225">
        <f>IFERROR(Table7[[#This Row],[United States 10y]]-Table7[[#This Row],[United States 3y]],#N/A)</f>
        <v/>
      </c>
    </row>
    <row r="14226">
      <c r="A14226" s="6">
        <f>Database!$A16311</f>
        <v/>
      </c>
      <c r="B14226">
        <f>IF(VLOOKUP(Table7[[#This Row],[Date]],Database!$A:$C,MATCH($B$1,Database!$A$1:$C$1,),)=0,#N/A,VLOOKUP(Table7[[#This Row],[Date]],Database!$A:$C,MATCH($B$1,Database!$A$1:$C$1,),))</f>
        <v/>
      </c>
      <c r="C14226">
        <f>IF(VLOOKUP(Table7[[#This Row],[Date]],Database!$A:$C,MATCH($C$1,Database!$A$1:$C$1,),)=0,#N/A,VLOOKUP(Table7[[#This Row],[Date]],Database!$A:$C,MATCH($C$1,Database!$A$1:$C$1,),))</f>
        <v/>
      </c>
      <c r="D14226">
        <f>IFERROR(Table7[[#This Row],[United States 10y]]-Table7[[#This Row],[United States 3y]],#N/A)</f>
        <v/>
      </c>
    </row>
    <row r="14227">
      <c r="A14227" s="6">
        <f>Database!$A16312</f>
        <v/>
      </c>
      <c r="B14227">
        <f>IF(VLOOKUP(Table7[[#This Row],[Date]],Database!$A:$C,MATCH($B$1,Database!$A$1:$C$1,),)=0,#N/A,VLOOKUP(Table7[[#This Row],[Date]],Database!$A:$C,MATCH($B$1,Database!$A$1:$C$1,),))</f>
        <v/>
      </c>
      <c r="C14227">
        <f>IF(VLOOKUP(Table7[[#This Row],[Date]],Database!$A:$C,MATCH($C$1,Database!$A$1:$C$1,),)=0,#N/A,VLOOKUP(Table7[[#This Row],[Date]],Database!$A:$C,MATCH($C$1,Database!$A$1:$C$1,),))</f>
        <v/>
      </c>
      <c r="D14227">
        <f>IFERROR(Table7[[#This Row],[United States 10y]]-Table7[[#This Row],[United States 3y]],#N/A)</f>
        <v/>
      </c>
    </row>
    <row r="14228">
      <c r="A14228" s="6">
        <f>Database!$A16313</f>
        <v/>
      </c>
      <c r="B14228">
        <f>IF(VLOOKUP(Table7[[#This Row],[Date]],Database!$A:$C,MATCH($B$1,Database!$A$1:$C$1,),)=0,#N/A,VLOOKUP(Table7[[#This Row],[Date]],Database!$A:$C,MATCH($B$1,Database!$A$1:$C$1,),))</f>
        <v/>
      </c>
      <c r="C14228">
        <f>IF(VLOOKUP(Table7[[#This Row],[Date]],Database!$A:$C,MATCH($C$1,Database!$A$1:$C$1,),)=0,#N/A,VLOOKUP(Table7[[#This Row],[Date]],Database!$A:$C,MATCH($C$1,Database!$A$1:$C$1,),))</f>
        <v/>
      </c>
      <c r="D14228">
        <f>IFERROR(Table7[[#This Row],[United States 10y]]-Table7[[#This Row],[United States 3y]],#N/A)</f>
        <v/>
      </c>
    </row>
    <row r="14229">
      <c r="A14229" s="6">
        <f>Database!$A16314</f>
        <v/>
      </c>
      <c r="B14229">
        <f>IF(VLOOKUP(Table7[[#This Row],[Date]],Database!$A:$C,MATCH($B$1,Database!$A$1:$C$1,),)=0,#N/A,VLOOKUP(Table7[[#This Row],[Date]],Database!$A:$C,MATCH($B$1,Database!$A$1:$C$1,),))</f>
        <v/>
      </c>
      <c r="C14229">
        <f>IF(VLOOKUP(Table7[[#This Row],[Date]],Database!$A:$C,MATCH($C$1,Database!$A$1:$C$1,),)=0,#N/A,VLOOKUP(Table7[[#This Row],[Date]],Database!$A:$C,MATCH($C$1,Database!$A$1:$C$1,),))</f>
        <v/>
      </c>
      <c r="D14229">
        <f>IFERROR(Table7[[#This Row],[United States 10y]]-Table7[[#This Row],[United States 3y]],#N/A)</f>
        <v/>
      </c>
    </row>
    <row r="14230">
      <c r="A14230" s="6">
        <f>Database!$A16315</f>
        <v/>
      </c>
      <c r="B14230">
        <f>IF(VLOOKUP(Table7[[#This Row],[Date]],Database!$A:$C,MATCH($B$1,Database!$A$1:$C$1,),)=0,#N/A,VLOOKUP(Table7[[#This Row],[Date]],Database!$A:$C,MATCH($B$1,Database!$A$1:$C$1,),))</f>
        <v/>
      </c>
      <c r="C14230">
        <f>IF(VLOOKUP(Table7[[#This Row],[Date]],Database!$A:$C,MATCH($C$1,Database!$A$1:$C$1,),)=0,#N/A,VLOOKUP(Table7[[#This Row],[Date]],Database!$A:$C,MATCH($C$1,Database!$A$1:$C$1,),))</f>
        <v/>
      </c>
      <c r="D14230">
        <f>IFERROR(Table7[[#This Row],[United States 10y]]-Table7[[#This Row],[United States 3y]],#N/A)</f>
        <v/>
      </c>
    </row>
    <row r="14231">
      <c r="A14231" s="6">
        <f>Database!$A16316</f>
        <v/>
      </c>
      <c r="B14231">
        <f>IF(VLOOKUP(Table7[[#This Row],[Date]],Database!$A:$C,MATCH($B$1,Database!$A$1:$C$1,),)=0,#N/A,VLOOKUP(Table7[[#This Row],[Date]],Database!$A:$C,MATCH($B$1,Database!$A$1:$C$1,),))</f>
        <v/>
      </c>
      <c r="C14231">
        <f>IF(VLOOKUP(Table7[[#This Row],[Date]],Database!$A:$C,MATCH($C$1,Database!$A$1:$C$1,),)=0,#N/A,VLOOKUP(Table7[[#This Row],[Date]],Database!$A:$C,MATCH($C$1,Database!$A$1:$C$1,),))</f>
        <v/>
      </c>
      <c r="D14231">
        <f>IFERROR(Table7[[#This Row],[United States 10y]]-Table7[[#This Row],[United States 3y]],#N/A)</f>
        <v/>
      </c>
    </row>
    <row r="14232">
      <c r="A14232" s="6">
        <f>Database!$A16317</f>
        <v/>
      </c>
      <c r="B14232">
        <f>IF(VLOOKUP(Table7[[#This Row],[Date]],Database!$A:$C,MATCH($B$1,Database!$A$1:$C$1,),)=0,#N/A,VLOOKUP(Table7[[#This Row],[Date]],Database!$A:$C,MATCH($B$1,Database!$A$1:$C$1,),))</f>
        <v/>
      </c>
      <c r="C14232">
        <f>IF(VLOOKUP(Table7[[#This Row],[Date]],Database!$A:$C,MATCH($C$1,Database!$A$1:$C$1,),)=0,#N/A,VLOOKUP(Table7[[#This Row],[Date]],Database!$A:$C,MATCH($C$1,Database!$A$1:$C$1,),))</f>
        <v/>
      </c>
      <c r="D14232">
        <f>IFERROR(Table7[[#This Row],[United States 10y]]-Table7[[#This Row],[United States 3y]],#N/A)</f>
        <v/>
      </c>
    </row>
    <row r="14233">
      <c r="A14233" s="6">
        <f>Database!$A16318</f>
        <v/>
      </c>
      <c r="B14233">
        <f>IF(VLOOKUP(Table7[[#This Row],[Date]],Database!$A:$C,MATCH($B$1,Database!$A$1:$C$1,),)=0,#N/A,VLOOKUP(Table7[[#This Row],[Date]],Database!$A:$C,MATCH($B$1,Database!$A$1:$C$1,),))</f>
        <v/>
      </c>
      <c r="C14233">
        <f>IF(VLOOKUP(Table7[[#This Row],[Date]],Database!$A:$C,MATCH($C$1,Database!$A$1:$C$1,),)=0,#N/A,VLOOKUP(Table7[[#This Row],[Date]],Database!$A:$C,MATCH($C$1,Database!$A$1:$C$1,),))</f>
        <v/>
      </c>
      <c r="D14233">
        <f>IFERROR(Table7[[#This Row],[United States 10y]]-Table7[[#This Row],[United States 3y]],#N/A)</f>
        <v/>
      </c>
    </row>
    <row r="14234">
      <c r="A14234" s="6">
        <f>Database!$A16319</f>
        <v/>
      </c>
      <c r="B14234">
        <f>IF(VLOOKUP(Table7[[#This Row],[Date]],Database!$A:$C,MATCH($B$1,Database!$A$1:$C$1,),)=0,#N/A,VLOOKUP(Table7[[#This Row],[Date]],Database!$A:$C,MATCH($B$1,Database!$A$1:$C$1,),))</f>
        <v/>
      </c>
      <c r="C14234">
        <f>IF(VLOOKUP(Table7[[#This Row],[Date]],Database!$A:$C,MATCH($C$1,Database!$A$1:$C$1,),)=0,#N/A,VLOOKUP(Table7[[#This Row],[Date]],Database!$A:$C,MATCH($C$1,Database!$A$1:$C$1,),))</f>
        <v/>
      </c>
      <c r="D14234">
        <f>IFERROR(Table7[[#This Row],[United States 10y]]-Table7[[#This Row],[United States 3y]],#N/A)</f>
        <v/>
      </c>
    </row>
    <row r="14235">
      <c r="A14235" s="6">
        <f>Database!$A16320</f>
        <v/>
      </c>
      <c r="B14235">
        <f>IF(VLOOKUP(Table7[[#This Row],[Date]],Database!$A:$C,MATCH($B$1,Database!$A$1:$C$1,),)=0,#N/A,VLOOKUP(Table7[[#This Row],[Date]],Database!$A:$C,MATCH($B$1,Database!$A$1:$C$1,),))</f>
        <v/>
      </c>
      <c r="C14235">
        <f>IF(VLOOKUP(Table7[[#This Row],[Date]],Database!$A:$C,MATCH($C$1,Database!$A$1:$C$1,),)=0,#N/A,VLOOKUP(Table7[[#This Row],[Date]],Database!$A:$C,MATCH($C$1,Database!$A$1:$C$1,),))</f>
        <v/>
      </c>
      <c r="D14235">
        <f>IFERROR(Table7[[#This Row],[United States 10y]]-Table7[[#This Row],[United States 3y]],#N/A)</f>
        <v/>
      </c>
    </row>
    <row r="14236">
      <c r="A14236" s="6">
        <f>Database!$A16321</f>
        <v/>
      </c>
      <c r="B14236">
        <f>IF(VLOOKUP(Table7[[#This Row],[Date]],Database!$A:$C,MATCH($B$1,Database!$A$1:$C$1,),)=0,#N/A,VLOOKUP(Table7[[#This Row],[Date]],Database!$A:$C,MATCH($B$1,Database!$A$1:$C$1,),))</f>
        <v/>
      </c>
      <c r="C14236">
        <f>IF(VLOOKUP(Table7[[#This Row],[Date]],Database!$A:$C,MATCH($C$1,Database!$A$1:$C$1,),)=0,#N/A,VLOOKUP(Table7[[#This Row],[Date]],Database!$A:$C,MATCH($C$1,Database!$A$1:$C$1,),))</f>
        <v/>
      </c>
      <c r="D14236">
        <f>IFERROR(Table7[[#This Row],[United States 10y]]-Table7[[#This Row],[United States 3y]],#N/A)</f>
        <v/>
      </c>
    </row>
    <row r="14237">
      <c r="A14237" s="6">
        <f>Database!$A16322</f>
        <v/>
      </c>
      <c r="B14237">
        <f>IF(VLOOKUP(Table7[[#This Row],[Date]],Database!$A:$C,MATCH($B$1,Database!$A$1:$C$1,),)=0,#N/A,VLOOKUP(Table7[[#This Row],[Date]],Database!$A:$C,MATCH($B$1,Database!$A$1:$C$1,),))</f>
        <v/>
      </c>
      <c r="C14237">
        <f>IF(VLOOKUP(Table7[[#This Row],[Date]],Database!$A:$C,MATCH($C$1,Database!$A$1:$C$1,),)=0,#N/A,VLOOKUP(Table7[[#This Row],[Date]],Database!$A:$C,MATCH($C$1,Database!$A$1:$C$1,),))</f>
        <v/>
      </c>
      <c r="D14237">
        <f>IFERROR(Table7[[#This Row],[United States 10y]]-Table7[[#This Row],[United States 3y]],#N/A)</f>
        <v/>
      </c>
    </row>
    <row r="14238">
      <c r="A14238" s="6">
        <f>Database!$A16323</f>
        <v/>
      </c>
      <c r="B14238">
        <f>IF(VLOOKUP(Table7[[#This Row],[Date]],Database!$A:$C,MATCH($B$1,Database!$A$1:$C$1,),)=0,#N/A,VLOOKUP(Table7[[#This Row],[Date]],Database!$A:$C,MATCH($B$1,Database!$A$1:$C$1,),))</f>
        <v/>
      </c>
      <c r="C14238">
        <f>IF(VLOOKUP(Table7[[#This Row],[Date]],Database!$A:$C,MATCH($C$1,Database!$A$1:$C$1,),)=0,#N/A,VLOOKUP(Table7[[#This Row],[Date]],Database!$A:$C,MATCH($C$1,Database!$A$1:$C$1,),))</f>
        <v/>
      </c>
      <c r="D14238">
        <f>IFERROR(Table7[[#This Row],[United States 10y]]-Table7[[#This Row],[United States 3y]],#N/A)</f>
        <v/>
      </c>
    </row>
    <row r="14239">
      <c r="A14239" s="6">
        <f>Database!$A16324</f>
        <v/>
      </c>
      <c r="B14239">
        <f>IF(VLOOKUP(Table7[[#This Row],[Date]],Database!$A:$C,MATCH($B$1,Database!$A$1:$C$1,),)=0,#N/A,VLOOKUP(Table7[[#This Row],[Date]],Database!$A:$C,MATCH($B$1,Database!$A$1:$C$1,),))</f>
        <v/>
      </c>
      <c r="C14239">
        <f>IF(VLOOKUP(Table7[[#This Row],[Date]],Database!$A:$C,MATCH($C$1,Database!$A$1:$C$1,),)=0,#N/A,VLOOKUP(Table7[[#This Row],[Date]],Database!$A:$C,MATCH($C$1,Database!$A$1:$C$1,),))</f>
        <v/>
      </c>
      <c r="D14239">
        <f>IFERROR(Table7[[#This Row],[United States 10y]]-Table7[[#This Row],[United States 3y]],#N/A)</f>
        <v/>
      </c>
    </row>
    <row r="14240">
      <c r="A14240" s="6">
        <f>Database!$A16325</f>
        <v/>
      </c>
      <c r="B14240">
        <f>IF(VLOOKUP(Table7[[#This Row],[Date]],Database!$A:$C,MATCH($B$1,Database!$A$1:$C$1,),)=0,#N/A,VLOOKUP(Table7[[#This Row],[Date]],Database!$A:$C,MATCH($B$1,Database!$A$1:$C$1,),))</f>
        <v/>
      </c>
      <c r="C14240">
        <f>IF(VLOOKUP(Table7[[#This Row],[Date]],Database!$A:$C,MATCH($C$1,Database!$A$1:$C$1,),)=0,#N/A,VLOOKUP(Table7[[#This Row],[Date]],Database!$A:$C,MATCH($C$1,Database!$A$1:$C$1,),))</f>
        <v/>
      </c>
      <c r="D14240">
        <f>IFERROR(Table7[[#This Row],[United States 10y]]-Table7[[#This Row],[United States 3y]],#N/A)</f>
        <v/>
      </c>
    </row>
    <row r="14241">
      <c r="A14241" s="6">
        <f>Database!$A16326</f>
        <v/>
      </c>
      <c r="B14241">
        <f>IF(VLOOKUP(Table7[[#This Row],[Date]],Database!$A:$C,MATCH($B$1,Database!$A$1:$C$1,),)=0,#N/A,VLOOKUP(Table7[[#This Row],[Date]],Database!$A:$C,MATCH($B$1,Database!$A$1:$C$1,),))</f>
        <v/>
      </c>
      <c r="C14241">
        <f>IF(VLOOKUP(Table7[[#This Row],[Date]],Database!$A:$C,MATCH($C$1,Database!$A$1:$C$1,),)=0,#N/A,VLOOKUP(Table7[[#This Row],[Date]],Database!$A:$C,MATCH($C$1,Database!$A$1:$C$1,),))</f>
        <v/>
      </c>
      <c r="D14241">
        <f>IFERROR(Table7[[#This Row],[United States 10y]]-Table7[[#This Row],[United States 3y]],#N/A)</f>
        <v/>
      </c>
    </row>
    <row r="14242">
      <c r="A14242" s="6">
        <f>Database!$A16327</f>
        <v/>
      </c>
      <c r="B14242">
        <f>IF(VLOOKUP(Table7[[#This Row],[Date]],Database!$A:$C,MATCH($B$1,Database!$A$1:$C$1,),)=0,#N/A,VLOOKUP(Table7[[#This Row],[Date]],Database!$A:$C,MATCH($B$1,Database!$A$1:$C$1,),))</f>
        <v/>
      </c>
      <c r="C14242">
        <f>IF(VLOOKUP(Table7[[#This Row],[Date]],Database!$A:$C,MATCH($C$1,Database!$A$1:$C$1,),)=0,#N/A,VLOOKUP(Table7[[#This Row],[Date]],Database!$A:$C,MATCH($C$1,Database!$A$1:$C$1,),))</f>
        <v/>
      </c>
      <c r="D14242">
        <f>IFERROR(Table7[[#This Row],[United States 10y]]-Table7[[#This Row],[United States 3y]],#N/A)</f>
        <v/>
      </c>
    </row>
    <row r="14243">
      <c r="A14243" s="6">
        <f>Database!$A16328</f>
        <v/>
      </c>
      <c r="B14243">
        <f>IF(VLOOKUP(Table7[[#This Row],[Date]],Database!$A:$C,MATCH($B$1,Database!$A$1:$C$1,),)=0,#N/A,VLOOKUP(Table7[[#This Row],[Date]],Database!$A:$C,MATCH($B$1,Database!$A$1:$C$1,),))</f>
        <v/>
      </c>
      <c r="C14243">
        <f>IF(VLOOKUP(Table7[[#This Row],[Date]],Database!$A:$C,MATCH($C$1,Database!$A$1:$C$1,),)=0,#N/A,VLOOKUP(Table7[[#This Row],[Date]],Database!$A:$C,MATCH($C$1,Database!$A$1:$C$1,),))</f>
        <v/>
      </c>
      <c r="D14243">
        <f>IFERROR(Table7[[#This Row],[United States 10y]]-Table7[[#This Row],[United States 3y]],#N/A)</f>
        <v/>
      </c>
    </row>
    <row r="14244">
      <c r="A14244" s="6">
        <f>Database!$A16329</f>
        <v/>
      </c>
      <c r="B14244">
        <f>IF(VLOOKUP(Table7[[#This Row],[Date]],Database!$A:$C,MATCH($B$1,Database!$A$1:$C$1,),)=0,#N/A,VLOOKUP(Table7[[#This Row],[Date]],Database!$A:$C,MATCH($B$1,Database!$A$1:$C$1,),))</f>
        <v/>
      </c>
      <c r="C14244">
        <f>IF(VLOOKUP(Table7[[#This Row],[Date]],Database!$A:$C,MATCH($C$1,Database!$A$1:$C$1,),)=0,#N/A,VLOOKUP(Table7[[#This Row],[Date]],Database!$A:$C,MATCH($C$1,Database!$A$1:$C$1,),))</f>
        <v/>
      </c>
      <c r="D14244">
        <f>IFERROR(Table7[[#This Row],[United States 10y]]-Table7[[#This Row],[United States 3y]],#N/A)</f>
        <v/>
      </c>
    </row>
    <row r="14245">
      <c r="A14245" s="6">
        <f>Database!$A16330</f>
        <v/>
      </c>
      <c r="B14245">
        <f>IF(VLOOKUP(Table7[[#This Row],[Date]],Database!$A:$C,MATCH($B$1,Database!$A$1:$C$1,),)=0,#N/A,VLOOKUP(Table7[[#This Row],[Date]],Database!$A:$C,MATCH($B$1,Database!$A$1:$C$1,),))</f>
        <v/>
      </c>
      <c r="C14245">
        <f>IF(VLOOKUP(Table7[[#This Row],[Date]],Database!$A:$C,MATCH($C$1,Database!$A$1:$C$1,),)=0,#N/A,VLOOKUP(Table7[[#This Row],[Date]],Database!$A:$C,MATCH($C$1,Database!$A$1:$C$1,),))</f>
        <v/>
      </c>
      <c r="D14245">
        <f>IFERROR(Table7[[#This Row],[United States 10y]]-Table7[[#This Row],[United States 3y]],#N/A)</f>
        <v/>
      </c>
    </row>
    <row r="14246">
      <c r="A14246" s="6">
        <f>Database!$A16331</f>
        <v/>
      </c>
      <c r="B14246">
        <f>IF(VLOOKUP(Table7[[#This Row],[Date]],Database!$A:$C,MATCH($B$1,Database!$A$1:$C$1,),)=0,#N/A,VLOOKUP(Table7[[#This Row],[Date]],Database!$A:$C,MATCH($B$1,Database!$A$1:$C$1,),))</f>
        <v/>
      </c>
      <c r="C14246">
        <f>IF(VLOOKUP(Table7[[#This Row],[Date]],Database!$A:$C,MATCH($C$1,Database!$A$1:$C$1,),)=0,#N/A,VLOOKUP(Table7[[#This Row],[Date]],Database!$A:$C,MATCH($C$1,Database!$A$1:$C$1,),))</f>
        <v/>
      </c>
      <c r="D14246">
        <f>IFERROR(Table7[[#This Row],[United States 10y]]-Table7[[#This Row],[United States 3y]],#N/A)</f>
        <v/>
      </c>
    </row>
    <row r="14247">
      <c r="A14247" s="6">
        <f>Database!$A16332</f>
        <v/>
      </c>
      <c r="B14247">
        <f>IF(VLOOKUP(Table7[[#This Row],[Date]],Database!$A:$C,MATCH($B$1,Database!$A$1:$C$1,),)=0,#N/A,VLOOKUP(Table7[[#This Row],[Date]],Database!$A:$C,MATCH($B$1,Database!$A$1:$C$1,),))</f>
        <v/>
      </c>
      <c r="C14247">
        <f>IF(VLOOKUP(Table7[[#This Row],[Date]],Database!$A:$C,MATCH($C$1,Database!$A$1:$C$1,),)=0,#N/A,VLOOKUP(Table7[[#This Row],[Date]],Database!$A:$C,MATCH($C$1,Database!$A$1:$C$1,),))</f>
        <v/>
      </c>
      <c r="D14247">
        <f>IFERROR(Table7[[#This Row],[United States 10y]]-Table7[[#This Row],[United States 3y]],#N/A)</f>
        <v/>
      </c>
    </row>
    <row r="14248">
      <c r="A14248" s="6">
        <f>Database!$A16333</f>
        <v/>
      </c>
      <c r="B14248">
        <f>IF(VLOOKUP(Table7[[#This Row],[Date]],Database!$A:$C,MATCH($B$1,Database!$A$1:$C$1,),)=0,#N/A,VLOOKUP(Table7[[#This Row],[Date]],Database!$A:$C,MATCH($B$1,Database!$A$1:$C$1,),))</f>
        <v/>
      </c>
      <c r="C14248">
        <f>IF(VLOOKUP(Table7[[#This Row],[Date]],Database!$A:$C,MATCH($C$1,Database!$A$1:$C$1,),)=0,#N/A,VLOOKUP(Table7[[#This Row],[Date]],Database!$A:$C,MATCH($C$1,Database!$A$1:$C$1,),))</f>
        <v/>
      </c>
      <c r="D14248">
        <f>IFERROR(Table7[[#This Row],[United States 10y]]-Table7[[#This Row],[United States 3y]],#N/A)</f>
        <v/>
      </c>
    </row>
    <row r="14249">
      <c r="A14249" s="6">
        <f>Database!$A16334</f>
        <v/>
      </c>
      <c r="B14249">
        <f>IF(VLOOKUP(Table7[[#This Row],[Date]],Database!$A:$C,MATCH($B$1,Database!$A$1:$C$1,),)=0,#N/A,VLOOKUP(Table7[[#This Row],[Date]],Database!$A:$C,MATCH($B$1,Database!$A$1:$C$1,),))</f>
        <v/>
      </c>
      <c r="C14249">
        <f>IF(VLOOKUP(Table7[[#This Row],[Date]],Database!$A:$C,MATCH($C$1,Database!$A$1:$C$1,),)=0,#N/A,VLOOKUP(Table7[[#This Row],[Date]],Database!$A:$C,MATCH($C$1,Database!$A$1:$C$1,),))</f>
        <v/>
      </c>
      <c r="D14249">
        <f>IFERROR(Table7[[#This Row],[United States 10y]]-Table7[[#This Row],[United States 3y]],#N/A)</f>
        <v/>
      </c>
    </row>
    <row r="14250">
      <c r="A14250" s="6">
        <f>Database!$A16335</f>
        <v/>
      </c>
      <c r="B14250">
        <f>IF(VLOOKUP(Table7[[#This Row],[Date]],Database!$A:$C,MATCH($B$1,Database!$A$1:$C$1,),)=0,#N/A,VLOOKUP(Table7[[#This Row],[Date]],Database!$A:$C,MATCH($B$1,Database!$A$1:$C$1,),))</f>
        <v/>
      </c>
      <c r="C14250">
        <f>IF(VLOOKUP(Table7[[#This Row],[Date]],Database!$A:$C,MATCH($C$1,Database!$A$1:$C$1,),)=0,#N/A,VLOOKUP(Table7[[#This Row],[Date]],Database!$A:$C,MATCH($C$1,Database!$A$1:$C$1,),))</f>
        <v/>
      </c>
      <c r="D14250">
        <f>IFERROR(Table7[[#This Row],[United States 10y]]-Table7[[#This Row],[United States 3y]],#N/A)</f>
        <v/>
      </c>
    </row>
    <row r="14251">
      <c r="A14251" s="6">
        <f>Database!$A16336</f>
        <v/>
      </c>
      <c r="B14251">
        <f>IF(VLOOKUP(Table7[[#This Row],[Date]],Database!$A:$C,MATCH($B$1,Database!$A$1:$C$1,),)=0,#N/A,VLOOKUP(Table7[[#This Row],[Date]],Database!$A:$C,MATCH($B$1,Database!$A$1:$C$1,),))</f>
        <v/>
      </c>
      <c r="C14251">
        <f>IF(VLOOKUP(Table7[[#This Row],[Date]],Database!$A:$C,MATCH($C$1,Database!$A$1:$C$1,),)=0,#N/A,VLOOKUP(Table7[[#This Row],[Date]],Database!$A:$C,MATCH($C$1,Database!$A$1:$C$1,),))</f>
        <v/>
      </c>
      <c r="D14251">
        <f>IFERROR(Table7[[#This Row],[United States 10y]]-Table7[[#This Row],[United States 3y]],#N/A)</f>
        <v/>
      </c>
    </row>
    <row r="14252">
      <c r="A14252" s="6">
        <f>Database!$A16337</f>
        <v/>
      </c>
      <c r="B14252">
        <f>IF(VLOOKUP(Table7[[#This Row],[Date]],Database!$A:$C,MATCH($B$1,Database!$A$1:$C$1,),)=0,#N/A,VLOOKUP(Table7[[#This Row],[Date]],Database!$A:$C,MATCH($B$1,Database!$A$1:$C$1,),))</f>
        <v/>
      </c>
      <c r="C14252">
        <f>IF(VLOOKUP(Table7[[#This Row],[Date]],Database!$A:$C,MATCH($C$1,Database!$A$1:$C$1,),)=0,#N/A,VLOOKUP(Table7[[#This Row],[Date]],Database!$A:$C,MATCH($C$1,Database!$A$1:$C$1,),))</f>
        <v/>
      </c>
      <c r="D14252">
        <f>IFERROR(Table7[[#This Row],[United States 10y]]-Table7[[#This Row],[United States 3y]],#N/A)</f>
        <v/>
      </c>
    </row>
    <row r="14253">
      <c r="A14253" s="6">
        <f>Database!$A16338</f>
        <v/>
      </c>
      <c r="B14253">
        <f>IF(VLOOKUP(Table7[[#This Row],[Date]],Database!$A:$C,MATCH($B$1,Database!$A$1:$C$1,),)=0,#N/A,VLOOKUP(Table7[[#This Row],[Date]],Database!$A:$C,MATCH($B$1,Database!$A$1:$C$1,),))</f>
        <v/>
      </c>
      <c r="C14253">
        <f>IF(VLOOKUP(Table7[[#This Row],[Date]],Database!$A:$C,MATCH($C$1,Database!$A$1:$C$1,),)=0,#N/A,VLOOKUP(Table7[[#This Row],[Date]],Database!$A:$C,MATCH($C$1,Database!$A$1:$C$1,),))</f>
        <v/>
      </c>
      <c r="D14253">
        <f>IFERROR(Table7[[#This Row],[United States 10y]]-Table7[[#This Row],[United States 3y]],#N/A)</f>
        <v/>
      </c>
    </row>
    <row r="14254">
      <c r="A14254" s="6">
        <f>Database!$A16339</f>
        <v/>
      </c>
      <c r="B14254">
        <f>IF(VLOOKUP(Table7[[#This Row],[Date]],Database!$A:$C,MATCH($B$1,Database!$A$1:$C$1,),)=0,#N/A,VLOOKUP(Table7[[#This Row],[Date]],Database!$A:$C,MATCH($B$1,Database!$A$1:$C$1,),))</f>
        <v/>
      </c>
      <c r="C14254">
        <f>IF(VLOOKUP(Table7[[#This Row],[Date]],Database!$A:$C,MATCH($C$1,Database!$A$1:$C$1,),)=0,#N/A,VLOOKUP(Table7[[#This Row],[Date]],Database!$A:$C,MATCH($C$1,Database!$A$1:$C$1,),))</f>
        <v/>
      </c>
      <c r="D14254">
        <f>IFERROR(Table7[[#This Row],[United States 10y]]-Table7[[#This Row],[United States 3y]],#N/A)</f>
        <v/>
      </c>
    </row>
    <row r="14255">
      <c r="A14255" s="6">
        <f>Database!$A16340</f>
        <v/>
      </c>
      <c r="B14255">
        <f>IF(VLOOKUP(Table7[[#This Row],[Date]],Database!$A:$C,MATCH($B$1,Database!$A$1:$C$1,),)=0,#N/A,VLOOKUP(Table7[[#This Row],[Date]],Database!$A:$C,MATCH($B$1,Database!$A$1:$C$1,),))</f>
        <v/>
      </c>
      <c r="C14255">
        <f>IF(VLOOKUP(Table7[[#This Row],[Date]],Database!$A:$C,MATCH($C$1,Database!$A$1:$C$1,),)=0,#N/A,VLOOKUP(Table7[[#This Row],[Date]],Database!$A:$C,MATCH($C$1,Database!$A$1:$C$1,),))</f>
        <v/>
      </c>
      <c r="D14255">
        <f>IFERROR(Table7[[#This Row],[United States 10y]]-Table7[[#This Row],[United States 3y]],#N/A)</f>
        <v/>
      </c>
    </row>
    <row r="14256">
      <c r="A14256" s="6">
        <f>Database!$A16341</f>
        <v/>
      </c>
      <c r="B14256">
        <f>IF(VLOOKUP(Table7[[#This Row],[Date]],Database!$A:$C,MATCH($B$1,Database!$A$1:$C$1,),)=0,#N/A,VLOOKUP(Table7[[#This Row],[Date]],Database!$A:$C,MATCH($B$1,Database!$A$1:$C$1,),))</f>
        <v/>
      </c>
      <c r="C14256">
        <f>IF(VLOOKUP(Table7[[#This Row],[Date]],Database!$A:$C,MATCH($C$1,Database!$A$1:$C$1,),)=0,#N/A,VLOOKUP(Table7[[#This Row],[Date]],Database!$A:$C,MATCH($C$1,Database!$A$1:$C$1,),))</f>
        <v/>
      </c>
      <c r="D14256">
        <f>IFERROR(Table7[[#This Row],[United States 10y]]-Table7[[#This Row],[United States 3y]],#N/A)</f>
        <v/>
      </c>
    </row>
    <row r="14257">
      <c r="A14257" s="6">
        <f>Database!$A16342</f>
        <v/>
      </c>
      <c r="B14257">
        <f>IF(VLOOKUP(Table7[[#This Row],[Date]],Database!$A:$C,MATCH($B$1,Database!$A$1:$C$1,),)=0,#N/A,VLOOKUP(Table7[[#This Row],[Date]],Database!$A:$C,MATCH($B$1,Database!$A$1:$C$1,),))</f>
        <v/>
      </c>
      <c r="C14257">
        <f>IF(VLOOKUP(Table7[[#This Row],[Date]],Database!$A:$C,MATCH($C$1,Database!$A$1:$C$1,),)=0,#N/A,VLOOKUP(Table7[[#This Row],[Date]],Database!$A:$C,MATCH($C$1,Database!$A$1:$C$1,),))</f>
        <v/>
      </c>
      <c r="D14257">
        <f>IFERROR(Table7[[#This Row],[United States 10y]]-Table7[[#This Row],[United States 3y]],#N/A)</f>
        <v/>
      </c>
    </row>
    <row r="14258">
      <c r="A14258" s="6">
        <f>Database!$A16343</f>
        <v/>
      </c>
      <c r="B14258">
        <f>IF(VLOOKUP(Table7[[#This Row],[Date]],Database!$A:$C,MATCH($B$1,Database!$A$1:$C$1,),)=0,#N/A,VLOOKUP(Table7[[#This Row],[Date]],Database!$A:$C,MATCH($B$1,Database!$A$1:$C$1,),))</f>
        <v/>
      </c>
      <c r="C14258">
        <f>IF(VLOOKUP(Table7[[#This Row],[Date]],Database!$A:$C,MATCH($C$1,Database!$A$1:$C$1,),)=0,#N/A,VLOOKUP(Table7[[#This Row],[Date]],Database!$A:$C,MATCH($C$1,Database!$A$1:$C$1,),))</f>
        <v/>
      </c>
      <c r="D14258">
        <f>IFERROR(Table7[[#This Row],[United States 10y]]-Table7[[#This Row],[United States 3y]],#N/A)</f>
        <v/>
      </c>
    </row>
    <row r="14259">
      <c r="A14259" s="6">
        <f>Database!$A16344</f>
        <v/>
      </c>
      <c r="B14259">
        <f>IF(VLOOKUP(Table7[[#This Row],[Date]],Database!$A:$C,MATCH($B$1,Database!$A$1:$C$1,),)=0,#N/A,VLOOKUP(Table7[[#This Row],[Date]],Database!$A:$C,MATCH($B$1,Database!$A$1:$C$1,),))</f>
        <v/>
      </c>
      <c r="C14259">
        <f>IF(VLOOKUP(Table7[[#This Row],[Date]],Database!$A:$C,MATCH($C$1,Database!$A$1:$C$1,),)=0,#N/A,VLOOKUP(Table7[[#This Row],[Date]],Database!$A:$C,MATCH($C$1,Database!$A$1:$C$1,),))</f>
        <v/>
      </c>
      <c r="D14259">
        <f>IFERROR(Table7[[#This Row],[United States 10y]]-Table7[[#This Row],[United States 3y]],#N/A)</f>
        <v/>
      </c>
    </row>
    <row r="14260">
      <c r="A14260" s="6">
        <f>Database!$A16345</f>
        <v/>
      </c>
      <c r="B14260">
        <f>IF(VLOOKUP(Table7[[#This Row],[Date]],Database!$A:$C,MATCH($B$1,Database!$A$1:$C$1,),)=0,#N/A,VLOOKUP(Table7[[#This Row],[Date]],Database!$A:$C,MATCH($B$1,Database!$A$1:$C$1,),))</f>
        <v/>
      </c>
      <c r="C14260">
        <f>IF(VLOOKUP(Table7[[#This Row],[Date]],Database!$A:$C,MATCH($C$1,Database!$A$1:$C$1,),)=0,#N/A,VLOOKUP(Table7[[#This Row],[Date]],Database!$A:$C,MATCH($C$1,Database!$A$1:$C$1,),))</f>
        <v/>
      </c>
      <c r="D14260">
        <f>IFERROR(Table7[[#This Row],[United States 10y]]-Table7[[#This Row],[United States 3y]],#N/A)</f>
        <v/>
      </c>
    </row>
    <row r="14261">
      <c r="A14261" s="6">
        <f>Database!$A16346</f>
        <v/>
      </c>
      <c r="B14261">
        <f>IF(VLOOKUP(Table7[[#This Row],[Date]],Database!$A:$C,MATCH($B$1,Database!$A$1:$C$1,),)=0,#N/A,VLOOKUP(Table7[[#This Row],[Date]],Database!$A:$C,MATCH($B$1,Database!$A$1:$C$1,),))</f>
        <v/>
      </c>
      <c r="C14261">
        <f>IF(VLOOKUP(Table7[[#This Row],[Date]],Database!$A:$C,MATCH($C$1,Database!$A$1:$C$1,),)=0,#N/A,VLOOKUP(Table7[[#This Row],[Date]],Database!$A:$C,MATCH($C$1,Database!$A$1:$C$1,),))</f>
        <v/>
      </c>
      <c r="D14261">
        <f>IFERROR(Table7[[#This Row],[United States 10y]]-Table7[[#This Row],[United States 3y]],#N/A)</f>
        <v/>
      </c>
    </row>
    <row r="14262">
      <c r="A14262" s="6">
        <f>Database!$A16347</f>
        <v/>
      </c>
      <c r="B14262">
        <f>IF(VLOOKUP(Table7[[#This Row],[Date]],Database!$A:$C,MATCH($B$1,Database!$A$1:$C$1,),)=0,#N/A,VLOOKUP(Table7[[#This Row],[Date]],Database!$A:$C,MATCH($B$1,Database!$A$1:$C$1,),))</f>
        <v/>
      </c>
      <c r="C14262">
        <f>IF(VLOOKUP(Table7[[#This Row],[Date]],Database!$A:$C,MATCH($C$1,Database!$A$1:$C$1,),)=0,#N/A,VLOOKUP(Table7[[#This Row],[Date]],Database!$A:$C,MATCH($C$1,Database!$A$1:$C$1,),))</f>
        <v/>
      </c>
      <c r="D14262">
        <f>IFERROR(Table7[[#This Row],[United States 10y]]-Table7[[#This Row],[United States 3y]],#N/A)</f>
        <v/>
      </c>
    </row>
    <row r="14263">
      <c r="A14263" s="6">
        <f>Database!$A16348</f>
        <v/>
      </c>
      <c r="B14263">
        <f>IF(VLOOKUP(Table7[[#This Row],[Date]],Database!$A:$C,MATCH($B$1,Database!$A$1:$C$1,),)=0,#N/A,VLOOKUP(Table7[[#This Row],[Date]],Database!$A:$C,MATCH($B$1,Database!$A$1:$C$1,),))</f>
        <v/>
      </c>
      <c r="C14263">
        <f>IF(VLOOKUP(Table7[[#This Row],[Date]],Database!$A:$C,MATCH($C$1,Database!$A$1:$C$1,),)=0,#N/A,VLOOKUP(Table7[[#This Row],[Date]],Database!$A:$C,MATCH($C$1,Database!$A$1:$C$1,),))</f>
        <v/>
      </c>
      <c r="D14263">
        <f>IFERROR(Table7[[#This Row],[United States 10y]]-Table7[[#This Row],[United States 3y]],#N/A)</f>
        <v/>
      </c>
    </row>
    <row r="14264">
      <c r="A14264" s="6">
        <f>Database!$A16349</f>
        <v/>
      </c>
      <c r="B14264">
        <f>IF(VLOOKUP(Table7[[#This Row],[Date]],Database!$A:$C,MATCH($B$1,Database!$A$1:$C$1,),)=0,#N/A,VLOOKUP(Table7[[#This Row],[Date]],Database!$A:$C,MATCH($B$1,Database!$A$1:$C$1,),))</f>
        <v/>
      </c>
      <c r="C14264">
        <f>IF(VLOOKUP(Table7[[#This Row],[Date]],Database!$A:$C,MATCH($C$1,Database!$A$1:$C$1,),)=0,#N/A,VLOOKUP(Table7[[#This Row],[Date]],Database!$A:$C,MATCH($C$1,Database!$A$1:$C$1,),))</f>
        <v/>
      </c>
      <c r="D14264">
        <f>IFERROR(Table7[[#This Row],[United States 10y]]-Table7[[#This Row],[United States 3y]],#N/A)</f>
        <v/>
      </c>
    </row>
    <row r="14265">
      <c r="A14265" s="6">
        <f>Database!$A16350</f>
        <v/>
      </c>
      <c r="B14265">
        <f>IF(VLOOKUP(Table7[[#This Row],[Date]],Database!$A:$C,MATCH($B$1,Database!$A$1:$C$1,),)=0,#N/A,VLOOKUP(Table7[[#This Row],[Date]],Database!$A:$C,MATCH($B$1,Database!$A$1:$C$1,),))</f>
        <v/>
      </c>
      <c r="C14265">
        <f>IF(VLOOKUP(Table7[[#This Row],[Date]],Database!$A:$C,MATCH($C$1,Database!$A$1:$C$1,),)=0,#N/A,VLOOKUP(Table7[[#This Row],[Date]],Database!$A:$C,MATCH($C$1,Database!$A$1:$C$1,),))</f>
        <v/>
      </c>
      <c r="D14265">
        <f>IFERROR(Table7[[#This Row],[United States 10y]]-Table7[[#This Row],[United States 3y]],#N/A)</f>
        <v/>
      </c>
    </row>
    <row r="14266">
      <c r="A14266" s="6">
        <f>Database!$A16351</f>
        <v/>
      </c>
      <c r="B14266">
        <f>IF(VLOOKUP(Table7[[#This Row],[Date]],Database!$A:$C,MATCH($B$1,Database!$A$1:$C$1,),)=0,#N/A,VLOOKUP(Table7[[#This Row],[Date]],Database!$A:$C,MATCH($B$1,Database!$A$1:$C$1,),))</f>
        <v/>
      </c>
      <c r="C14266">
        <f>IF(VLOOKUP(Table7[[#This Row],[Date]],Database!$A:$C,MATCH($C$1,Database!$A$1:$C$1,),)=0,#N/A,VLOOKUP(Table7[[#This Row],[Date]],Database!$A:$C,MATCH($C$1,Database!$A$1:$C$1,),))</f>
        <v/>
      </c>
      <c r="D14266">
        <f>IFERROR(Table7[[#This Row],[United States 10y]]-Table7[[#This Row],[United States 3y]],#N/A)</f>
        <v/>
      </c>
    </row>
    <row r="14267">
      <c r="A14267" s="6">
        <f>Database!$A16352</f>
        <v/>
      </c>
      <c r="B14267">
        <f>IF(VLOOKUP(Table7[[#This Row],[Date]],Database!$A:$C,MATCH($B$1,Database!$A$1:$C$1,),)=0,#N/A,VLOOKUP(Table7[[#This Row],[Date]],Database!$A:$C,MATCH($B$1,Database!$A$1:$C$1,),))</f>
        <v/>
      </c>
      <c r="C14267">
        <f>IF(VLOOKUP(Table7[[#This Row],[Date]],Database!$A:$C,MATCH($C$1,Database!$A$1:$C$1,),)=0,#N/A,VLOOKUP(Table7[[#This Row],[Date]],Database!$A:$C,MATCH($C$1,Database!$A$1:$C$1,),))</f>
        <v/>
      </c>
      <c r="D14267">
        <f>IFERROR(Table7[[#This Row],[United States 10y]]-Table7[[#This Row],[United States 3y]],#N/A)</f>
        <v/>
      </c>
    </row>
    <row r="14268">
      <c r="A14268" s="6">
        <f>Database!$A16353</f>
        <v/>
      </c>
      <c r="B14268">
        <f>IF(VLOOKUP(Table7[[#This Row],[Date]],Database!$A:$C,MATCH($B$1,Database!$A$1:$C$1,),)=0,#N/A,VLOOKUP(Table7[[#This Row],[Date]],Database!$A:$C,MATCH($B$1,Database!$A$1:$C$1,),))</f>
        <v/>
      </c>
      <c r="C14268">
        <f>IF(VLOOKUP(Table7[[#This Row],[Date]],Database!$A:$C,MATCH($C$1,Database!$A$1:$C$1,),)=0,#N/A,VLOOKUP(Table7[[#This Row],[Date]],Database!$A:$C,MATCH($C$1,Database!$A$1:$C$1,),))</f>
        <v/>
      </c>
      <c r="D14268">
        <f>IFERROR(Table7[[#This Row],[United States 10y]]-Table7[[#This Row],[United States 3y]],#N/A)</f>
        <v/>
      </c>
    </row>
    <row r="14269">
      <c r="A14269" s="6">
        <f>Database!$A16354</f>
        <v/>
      </c>
      <c r="B14269">
        <f>IF(VLOOKUP(Table7[[#This Row],[Date]],Database!$A:$C,MATCH($B$1,Database!$A$1:$C$1,),)=0,#N/A,VLOOKUP(Table7[[#This Row],[Date]],Database!$A:$C,MATCH($B$1,Database!$A$1:$C$1,),))</f>
        <v/>
      </c>
      <c r="C14269">
        <f>IF(VLOOKUP(Table7[[#This Row],[Date]],Database!$A:$C,MATCH($C$1,Database!$A$1:$C$1,),)=0,#N/A,VLOOKUP(Table7[[#This Row],[Date]],Database!$A:$C,MATCH($C$1,Database!$A$1:$C$1,),))</f>
        <v/>
      </c>
      <c r="D14269">
        <f>IFERROR(Table7[[#This Row],[United States 10y]]-Table7[[#This Row],[United States 3y]],#N/A)</f>
        <v/>
      </c>
    </row>
    <row r="14270">
      <c r="A14270" s="6">
        <f>Database!$A16355</f>
        <v/>
      </c>
      <c r="B14270">
        <f>IF(VLOOKUP(Table7[[#This Row],[Date]],Database!$A:$C,MATCH($B$1,Database!$A$1:$C$1,),)=0,#N/A,VLOOKUP(Table7[[#This Row],[Date]],Database!$A:$C,MATCH($B$1,Database!$A$1:$C$1,),))</f>
        <v/>
      </c>
      <c r="C14270">
        <f>IF(VLOOKUP(Table7[[#This Row],[Date]],Database!$A:$C,MATCH($C$1,Database!$A$1:$C$1,),)=0,#N/A,VLOOKUP(Table7[[#This Row],[Date]],Database!$A:$C,MATCH($C$1,Database!$A$1:$C$1,),))</f>
        <v/>
      </c>
      <c r="D14270">
        <f>IFERROR(Table7[[#This Row],[United States 10y]]-Table7[[#This Row],[United States 3y]],#N/A)</f>
        <v/>
      </c>
    </row>
    <row r="14271">
      <c r="A14271" s="6">
        <f>Database!$A16356</f>
        <v/>
      </c>
      <c r="B14271">
        <f>IF(VLOOKUP(Table7[[#This Row],[Date]],Database!$A:$C,MATCH($B$1,Database!$A$1:$C$1,),)=0,#N/A,VLOOKUP(Table7[[#This Row],[Date]],Database!$A:$C,MATCH($B$1,Database!$A$1:$C$1,),))</f>
        <v/>
      </c>
      <c r="C14271">
        <f>IF(VLOOKUP(Table7[[#This Row],[Date]],Database!$A:$C,MATCH($C$1,Database!$A$1:$C$1,),)=0,#N/A,VLOOKUP(Table7[[#This Row],[Date]],Database!$A:$C,MATCH($C$1,Database!$A$1:$C$1,),))</f>
        <v/>
      </c>
      <c r="D14271">
        <f>IFERROR(Table7[[#This Row],[United States 10y]]-Table7[[#This Row],[United States 3y]],#N/A)</f>
        <v/>
      </c>
    </row>
    <row r="14272">
      <c r="A14272" s="6">
        <f>Database!$A16357</f>
        <v/>
      </c>
      <c r="B14272">
        <f>IF(VLOOKUP(Table7[[#This Row],[Date]],Database!$A:$C,MATCH($B$1,Database!$A$1:$C$1,),)=0,#N/A,VLOOKUP(Table7[[#This Row],[Date]],Database!$A:$C,MATCH($B$1,Database!$A$1:$C$1,),))</f>
        <v/>
      </c>
      <c r="C14272">
        <f>IF(VLOOKUP(Table7[[#This Row],[Date]],Database!$A:$C,MATCH($C$1,Database!$A$1:$C$1,),)=0,#N/A,VLOOKUP(Table7[[#This Row],[Date]],Database!$A:$C,MATCH($C$1,Database!$A$1:$C$1,),))</f>
        <v/>
      </c>
      <c r="D14272">
        <f>IFERROR(Table7[[#This Row],[United States 10y]]-Table7[[#This Row],[United States 3y]],#N/A)</f>
        <v/>
      </c>
    </row>
    <row r="14273">
      <c r="A14273" s="6">
        <f>Database!$A16358</f>
        <v/>
      </c>
      <c r="B14273">
        <f>IF(VLOOKUP(Table7[[#This Row],[Date]],Database!$A:$C,MATCH($B$1,Database!$A$1:$C$1,),)=0,#N/A,VLOOKUP(Table7[[#This Row],[Date]],Database!$A:$C,MATCH($B$1,Database!$A$1:$C$1,),))</f>
        <v/>
      </c>
      <c r="C14273">
        <f>IF(VLOOKUP(Table7[[#This Row],[Date]],Database!$A:$C,MATCH($C$1,Database!$A$1:$C$1,),)=0,#N/A,VLOOKUP(Table7[[#This Row],[Date]],Database!$A:$C,MATCH($C$1,Database!$A$1:$C$1,),))</f>
        <v/>
      </c>
      <c r="D14273">
        <f>IFERROR(Table7[[#This Row],[United States 10y]]-Table7[[#This Row],[United States 3y]],#N/A)</f>
        <v/>
      </c>
    </row>
    <row r="14274">
      <c r="A14274" s="6">
        <f>Database!$A16359</f>
        <v/>
      </c>
      <c r="B14274">
        <f>IF(VLOOKUP(Table7[[#This Row],[Date]],Database!$A:$C,MATCH($B$1,Database!$A$1:$C$1,),)=0,#N/A,VLOOKUP(Table7[[#This Row],[Date]],Database!$A:$C,MATCH($B$1,Database!$A$1:$C$1,),))</f>
        <v/>
      </c>
      <c r="C14274">
        <f>IF(VLOOKUP(Table7[[#This Row],[Date]],Database!$A:$C,MATCH($C$1,Database!$A$1:$C$1,),)=0,#N/A,VLOOKUP(Table7[[#This Row],[Date]],Database!$A:$C,MATCH($C$1,Database!$A$1:$C$1,),))</f>
        <v/>
      </c>
      <c r="D14274">
        <f>IFERROR(Table7[[#This Row],[United States 10y]]-Table7[[#This Row],[United States 3y]],#N/A)</f>
        <v/>
      </c>
    </row>
    <row r="14275">
      <c r="A14275" s="6">
        <f>Database!$A16360</f>
        <v/>
      </c>
      <c r="B14275">
        <f>IF(VLOOKUP(Table7[[#This Row],[Date]],Database!$A:$C,MATCH($B$1,Database!$A$1:$C$1,),)=0,#N/A,VLOOKUP(Table7[[#This Row],[Date]],Database!$A:$C,MATCH($B$1,Database!$A$1:$C$1,),))</f>
        <v/>
      </c>
      <c r="C14275">
        <f>IF(VLOOKUP(Table7[[#This Row],[Date]],Database!$A:$C,MATCH($C$1,Database!$A$1:$C$1,),)=0,#N/A,VLOOKUP(Table7[[#This Row],[Date]],Database!$A:$C,MATCH($C$1,Database!$A$1:$C$1,),))</f>
        <v/>
      </c>
      <c r="D14275">
        <f>IFERROR(Table7[[#This Row],[United States 10y]]-Table7[[#This Row],[United States 3y]],#N/A)</f>
        <v/>
      </c>
    </row>
    <row r="14276">
      <c r="A14276" s="6">
        <f>Database!$A16361</f>
        <v/>
      </c>
      <c r="B14276">
        <f>IF(VLOOKUP(Table7[[#This Row],[Date]],Database!$A:$C,MATCH($B$1,Database!$A$1:$C$1,),)=0,#N/A,VLOOKUP(Table7[[#This Row],[Date]],Database!$A:$C,MATCH($B$1,Database!$A$1:$C$1,),))</f>
        <v/>
      </c>
      <c r="C14276">
        <f>IF(VLOOKUP(Table7[[#This Row],[Date]],Database!$A:$C,MATCH($C$1,Database!$A$1:$C$1,),)=0,#N/A,VLOOKUP(Table7[[#This Row],[Date]],Database!$A:$C,MATCH($C$1,Database!$A$1:$C$1,),))</f>
        <v/>
      </c>
      <c r="D14276">
        <f>IFERROR(Table7[[#This Row],[United States 10y]]-Table7[[#This Row],[United States 3y]],#N/A)</f>
        <v/>
      </c>
    </row>
    <row r="14277">
      <c r="A14277" s="6">
        <f>Database!$A16362</f>
        <v/>
      </c>
      <c r="B14277">
        <f>IF(VLOOKUP(Table7[[#This Row],[Date]],Database!$A:$C,MATCH($B$1,Database!$A$1:$C$1,),)=0,#N/A,VLOOKUP(Table7[[#This Row],[Date]],Database!$A:$C,MATCH($B$1,Database!$A$1:$C$1,),))</f>
        <v/>
      </c>
      <c r="C14277">
        <f>IF(VLOOKUP(Table7[[#This Row],[Date]],Database!$A:$C,MATCH($C$1,Database!$A$1:$C$1,),)=0,#N/A,VLOOKUP(Table7[[#This Row],[Date]],Database!$A:$C,MATCH($C$1,Database!$A$1:$C$1,),))</f>
        <v/>
      </c>
      <c r="D14277">
        <f>IFERROR(Table7[[#This Row],[United States 10y]]-Table7[[#This Row],[United States 3y]],#N/A)</f>
        <v/>
      </c>
    </row>
    <row r="14278">
      <c r="A14278" s="6">
        <f>Database!$A16363</f>
        <v/>
      </c>
      <c r="B14278">
        <f>IF(VLOOKUP(Table7[[#This Row],[Date]],Database!$A:$C,MATCH($B$1,Database!$A$1:$C$1,),)=0,#N/A,VLOOKUP(Table7[[#This Row],[Date]],Database!$A:$C,MATCH($B$1,Database!$A$1:$C$1,),))</f>
        <v/>
      </c>
      <c r="C14278">
        <f>IF(VLOOKUP(Table7[[#This Row],[Date]],Database!$A:$C,MATCH($C$1,Database!$A$1:$C$1,),)=0,#N/A,VLOOKUP(Table7[[#This Row],[Date]],Database!$A:$C,MATCH($C$1,Database!$A$1:$C$1,),))</f>
        <v/>
      </c>
      <c r="D14278">
        <f>IFERROR(Table7[[#This Row],[United States 10y]]-Table7[[#This Row],[United States 3y]],#N/A)</f>
        <v/>
      </c>
    </row>
    <row r="14279">
      <c r="A14279" s="6">
        <f>Database!$A16364</f>
        <v/>
      </c>
      <c r="B14279">
        <f>IF(VLOOKUP(Table7[[#This Row],[Date]],Database!$A:$C,MATCH($B$1,Database!$A$1:$C$1,),)=0,#N/A,VLOOKUP(Table7[[#This Row],[Date]],Database!$A:$C,MATCH($B$1,Database!$A$1:$C$1,),))</f>
        <v/>
      </c>
      <c r="C14279">
        <f>IF(VLOOKUP(Table7[[#This Row],[Date]],Database!$A:$C,MATCH($C$1,Database!$A$1:$C$1,),)=0,#N/A,VLOOKUP(Table7[[#This Row],[Date]],Database!$A:$C,MATCH($C$1,Database!$A$1:$C$1,),))</f>
        <v/>
      </c>
      <c r="D14279">
        <f>IFERROR(Table7[[#This Row],[United States 10y]]-Table7[[#This Row],[United States 3y]],#N/A)</f>
        <v/>
      </c>
    </row>
    <row r="14280">
      <c r="A14280" s="6">
        <f>Database!$A16365</f>
        <v/>
      </c>
      <c r="B14280">
        <f>IF(VLOOKUP(Table7[[#This Row],[Date]],Database!$A:$C,MATCH($B$1,Database!$A$1:$C$1,),)=0,#N/A,VLOOKUP(Table7[[#This Row],[Date]],Database!$A:$C,MATCH($B$1,Database!$A$1:$C$1,),))</f>
        <v/>
      </c>
      <c r="C14280">
        <f>IF(VLOOKUP(Table7[[#This Row],[Date]],Database!$A:$C,MATCH($C$1,Database!$A$1:$C$1,),)=0,#N/A,VLOOKUP(Table7[[#This Row],[Date]],Database!$A:$C,MATCH($C$1,Database!$A$1:$C$1,),))</f>
        <v/>
      </c>
      <c r="D14280">
        <f>IFERROR(Table7[[#This Row],[United States 10y]]-Table7[[#This Row],[United States 3y]],#N/A)</f>
        <v/>
      </c>
    </row>
    <row r="14281">
      <c r="A14281" s="6">
        <f>Database!$A16366</f>
        <v/>
      </c>
      <c r="B14281">
        <f>IF(VLOOKUP(Table7[[#This Row],[Date]],Database!$A:$C,MATCH($B$1,Database!$A$1:$C$1,),)=0,#N/A,VLOOKUP(Table7[[#This Row],[Date]],Database!$A:$C,MATCH($B$1,Database!$A$1:$C$1,),))</f>
        <v/>
      </c>
      <c r="C14281">
        <f>IF(VLOOKUP(Table7[[#This Row],[Date]],Database!$A:$C,MATCH($C$1,Database!$A$1:$C$1,),)=0,#N/A,VLOOKUP(Table7[[#This Row],[Date]],Database!$A:$C,MATCH($C$1,Database!$A$1:$C$1,),))</f>
        <v/>
      </c>
      <c r="D14281">
        <f>IFERROR(Table7[[#This Row],[United States 10y]]-Table7[[#This Row],[United States 3y]],#N/A)</f>
        <v/>
      </c>
    </row>
    <row r="14282">
      <c r="A14282" s="6">
        <f>Database!$A16367</f>
        <v/>
      </c>
      <c r="B14282">
        <f>IF(VLOOKUP(Table7[[#This Row],[Date]],Database!$A:$C,MATCH($B$1,Database!$A$1:$C$1,),)=0,#N/A,VLOOKUP(Table7[[#This Row],[Date]],Database!$A:$C,MATCH($B$1,Database!$A$1:$C$1,),))</f>
        <v/>
      </c>
      <c r="C14282">
        <f>IF(VLOOKUP(Table7[[#This Row],[Date]],Database!$A:$C,MATCH($C$1,Database!$A$1:$C$1,),)=0,#N/A,VLOOKUP(Table7[[#This Row],[Date]],Database!$A:$C,MATCH($C$1,Database!$A$1:$C$1,),))</f>
        <v/>
      </c>
      <c r="D14282">
        <f>IFERROR(Table7[[#This Row],[United States 10y]]-Table7[[#This Row],[United States 3y]],#N/A)</f>
        <v/>
      </c>
    </row>
    <row r="14283">
      <c r="A14283" s="6">
        <f>Database!$A16368</f>
        <v/>
      </c>
      <c r="B14283">
        <f>IF(VLOOKUP(Table7[[#This Row],[Date]],Database!$A:$C,MATCH($B$1,Database!$A$1:$C$1,),)=0,#N/A,VLOOKUP(Table7[[#This Row],[Date]],Database!$A:$C,MATCH($B$1,Database!$A$1:$C$1,),))</f>
        <v/>
      </c>
      <c r="C14283">
        <f>IF(VLOOKUP(Table7[[#This Row],[Date]],Database!$A:$C,MATCH($C$1,Database!$A$1:$C$1,),)=0,#N/A,VLOOKUP(Table7[[#This Row],[Date]],Database!$A:$C,MATCH($C$1,Database!$A$1:$C$1,),))</f>
        <v/>
      </c>
      <c r="D14283">
        <f>IFERROR(Table7[[#This Row],[United States 10y]]-Table7[[#This Row],[United States 3y]],#N/A)</f>
        <v/>
      </c>
    </row>
    <row r="14284">
      <c r="A14284" s="6">
        <f>Database!$A16369</f>
        <v/>
      </c>
      <c r="B14284">
        <f>IF(VLOOKUP(Table7[[#This Row],[Date]],Database!$A:$C,MATCH($B$1,Database!$A$1:$C$1,),)=0,#N/A,VLOOKUP(Table7[[#This Row],[Date]],Database!$A:$C,MATCH($B$1,Database!$A$1:$C$1,),))</f>
        <v/>
      </c>
      <c r="C14284">
        <f>IF(VLOOKUP(Table7[[#This Row],[Date]],Database!$A:$C,MATCH($C$1,Database!$A$1:$C$1,),)=0,#N/A,VLOOKUP(Table7[[#This Row],[Date]],Database!$A:$C,MATCH($C$1,Database!$A$1:$C$1,),))</f>
        <v/>
      </c>
      <c r="D14284">
        <f>IFERROR(Table7[[#This Row],[United States 10y]]-Table7[[#This Row],[United States 3y]],#N/A)</f>
        <v/>
      </c>
    </row>
    <row r="14285">
      <c r="A14285" s="6">
        <f>Database!$A16370</f>
        <v/>
      </c>
      <c r="B14285">
        <f>IF(VLOOKUP(Table7[[#This Row],[Date]],Database!$A:$C,MATCH($B$1,Database!$A$1:$C$1,),)=0,#N/A,VLOOKUP(Table7[[#This Row],[Date]],Database!$A:$C,MATCH($B$1,Database!$A$1:$C$1,),))</f>
        <v/>
      </c>
      <c r="C14285">
        <f>IF(VLOOKUP(Table7[[#This Row],[Date]],Database!$A:$C,MATCH($C$1,Database!$A$1:$C$1,),)=0,#N/A,VLOOKUP(Table7[[#This Row],[Date]],Database!$A:$C,MATCH($C$1,Database!$A$1:$C$1,),))</f>
        <v/>
      </c>
      <c r="D14285">
        <f>IFERROR(Table7[[#This Row],[United States 10y]]-Table7[[#This Row],[United States 3y]],#N/A)</f>
        <v/>
      </c>
    </row>
    <row r="14286">
      <c r="A14286" s="6">
        <f>Database!$A16371</f>
        <v/>
      </c>
      <c r="B14286">
        <f>IF(VLOOKUP(Table7[[#This Row],[Date]],Database!$A:$C,MATCH($B$1,Database!$A$1:$C$1,),)=0,#N/A,VLOOKUP(Table7[[#This Row],[Date]],Database!$A:$C,MATCH($B$1,Database!$A$1:$C$1,),))</f>
        <v/>
      </c>
      <c r="C14286">
        <f>IF(VLOOKUP(Table7[[#This Row],[Date]],Database!$A:$C,MATCH($C$1,Database!$A$1:$C$1,),)=0,#N/A,VLOOKUP(Table7[[#This Row],[Date]],Database!$A:$C,MATCH($C$1,Database!$A$1:$C$1,),))</f>
        <v/>
      </c>
      <c r="D14286">
        <f>IFERROR(Table7[[#This Row],[United States 10y]]-Table7[[#This Row],[United States 3y]],#N/A)</f>
        <v/>
      </c>
    </row>
    <row r="14287">
      <c r="A14287" s="6">
        <f>Database!$A16372</f>
        <v/>
      </c>
      <c r="B14287">
        <f>IF(VLOOKUP(Table7[[#This Row],[Date]],Database!$A:$C,MATCH($B$1,Database!$A$1:$C$1,),)=0,#N/A,VLOOKUP(Table7[[#This Row],[Date]],Database!$A:$C,MATCH($B$1,Database!$A$1:$C$1,),))</f>
        <v/>
      </c>
      <c r="C14287">
        <f>IF(VLOOKUP(Table7[[#This Row],[Date]],Database!$A:$C,MATCH($C$1,Database!$A$1:$C$1,),)=0,#N/A,VLOOKUP(Table7[[#This Row],[Date]],Database!$A:$C,MATCH($C$1,Database!$A$1:$C$1,),))</f>
        <v/>
      </c>
      <c r="D14287">
        <f>IFERROR(Table7[[#This Row],[United States 10y]]-Table7[[#This Row],[United States 3y]],#N/A)</f>
        <v/>
      </c>
    </row>
    <row r="14288">
      <c r="A14288" s="6">
        <f>Database!$A16373</f>
        <v/>
      </c>
      <c r="B14288">
        <f>IF(VLOOKUP(Table7[[#This Row],[Date]],Database!$A:$C,MATCH($B$1,Database!$A$1:$C$1,),)=0,#N/A,VLOOKUP(Table7[[#This Row],[Date]],Database!$A:$C,MATCH($B$1,Database!$A$1:$C$1,),))</f>
        <v/>
      </c>
      <c r="C14288">
        <f>IF(VLOOKUP(Table7[[#This Row],[Date]],Database!$A:$C,MATCH($C$1,Database!$A$1:$C$1,),)=0,#N/A,VLOOKUP(Table7[[#This Row],[Date]],Database!$A:$C,MATCH($C$1,Database!$A$1:$C$1,),))</f>
        <v/>
      </c>
      <c r="D14288">
        <f>IFERROR(Table7[[#This Row],[United States 10y]]-Table7[[#This Row],[United States 3y]],#N/A)</f>
        <v/>
      </c>
    </row>
    <row r="14289">
      <c r="A14289" s="6">
        <f>Database!$A16374</f>
        <v/>
      </c>
      <c r="B14289">
        <f>IF(VLOOKUP(Table7[[#This Row],[Date]],Database!$A:$C,MATCH($B$1,Database!$A$1:$C$1,),)=0,#N/A,VLOOKUP(Table7[[#This Row],[Date]],Database!$A:$C,MATCH($B$1,Database!$A$1:$C$1,),))</f>
        <v/>
      </c>
      <c r="C14289">
        <f>IF(VLOOKUP(Table7[[#This Row],[Date]],Database!$A:$C,MATCH($C$1,Database!$A$1:$C$1,),)=0,#N/A,VLOOKUP(Table7[[#This Row],[Date]],Database!$A:$C,MATCH($C$1,Database!$A$1:$C$1,),))</f>
        <v/>
      </c>
      <c r="D14289">
        <f>IFERROR(Table7[[#This Row],[United States 10y]]-Table7[[#This Row],[United States 3y]],#N/A)</f>
        <v/>
      </c>
    </row>
    <row r="14290">
      <c r="A14290" s="6">
        <f>Database!$A16375</f>
        <v/>
      </c>
      <c r="B14290">
        <f>IF(VLOOKUP(Table7[[#This Row],[Date]],Database!$A:$C,MATCH($B$1,Database!$A$1:$C$1,),)=0,#N/A,VLOOKUP(Table7[[#This Row],[Date]],Database!$A:$C,MATCH($B$1,Database!$A$1:$C$1,),))</f>
        <v/>
      </c>
      <c r="C14290">
        <f>IF(VLOOKUP(Table7[[#This Row],[Date]],Database!$A:$C,MATCH($C$1,Database!$A$1:$C$1,),)=0,#N/A,VLOOKUP(Table7[[#This Row],[Date]],Database!$A:$C,MATCH($C$1,Database!$A$1:$C$1,),))</f>
        <v/>
      </c>
      <c r="D14290">
        <f>IFERROR(Table7[[#This Row],[United States 10y]]-Table7[[#This Row],[United States 3y]],#N/A)</f>
        <v/>
      </c>
    </row>
    <row r="14291">
      <c r="A14291" s="6">
        <f>Database!$A16376</f>
        <v/>
      </c>
      <c r="B14291">
        <f>IF(VLOOKUP(Table7[[#This Row],[Date]],Database!$A:$C,MATCH($B$1,Database!$A$1:$C$1,),)=0,#N/A,VLOOKUP(Table7[[#This Row],[Date]],Database!$A:$C,MATCH($B$1,Database!$A$1:$C$1,),))</f>
        <v/>
      </c>
      <c r="C14291">
        <f>IF(VLOOKUP(Table7[[#This Row],[Date]],Database!$A:$C,MATCH($C$1,Database!$A$1:$C$1,),)=0,#N/A,VLOOKUP(Table7[[#This Row],[Date]],Database!$A:$C,MATCH($C$1,Database!$A$1:$C$1,),))</f>
        <v/>
      </c>
      <c r="D14291">
        <f>IFERROR(Table7[[#This Row],[United States 10y]]-Table7[[#This Row],[United States 3y]],#N/A)</f>
        <v/>
      </c>
    </row>
    <row r="14292">
      <c r="A14292" s="6">
        <f>Database!$A16377</f>
        <v/>
      </c>
      <c r="B14292">
        <f>IF(VLOOKUP(Table7[[#This Row],[Date]],Database!$A:$C,MATCH($B$1,Database!$A$1:$C$1,),)=0,#N/A,VLOOKUP(Table7[[#This Row],[Date]],Database!$A:$C,MATCH($B$1,Database!$A$1:$C$1,),))</f>
        <v/>
      </c>
      <c r="C14292">
        <f>IF(VLOOKUP(Table7[[#This Row],[Date]],Database!$A:$C,MATCH($C$1,Database!$A$1:$C$1,),)=0,#N/A,VLOOKUP(Table7[[#This Row],[Date]],Database!$A:$C,MATCH($C$1,Database!$A$1:$C$1,),))</f>
        <v/>
      </c>
      <c r="D14292">
        <f>IFERROR(Table7[[#This Row],[United States 10y]]-Table7[[#This Row],[United States 3y]],#N/A)</f>
        <v/>
      </c>
    </row>
    <row r="14293">
      <c r="A14293" s="6">
        <f>Database!$A16378</f>
        <v/>
      </c>
      <c r="B14293">
        <f>IF(VLOOKUP(Table7[[#This Row],[Date]],Database!$A:$C,MATCH($B$1,Database!$A$1:$C$1,),)=0,#N/A,VLOOKUP(Table7[[#This Row],[Date]],Database!$A:$C,MATCH($B$1,Database!$A$1:$C$1,),))</f>
        <v/>
      </c>
      <c r="C14293">
        <f>IF(VLOOKUP(Table7[[#This Row],[Date]],Database!$A:$C,MATCH($C$1,Database!$A$1:$C$1,),)=0,#N/A,VLOOKUP(Table7[[#This Row],[Date]],Database!$A:$C,MATCH($C$1,Database!$A$1:$C$1,),))</f>
        <v/>
      </c>
      <c r="D14293">
        <f>IFERROR(Table7[[#This Row],[United States 10y]]-Table7[[#This Row],[United States 3y]],#N/A)</f>
        <v/>
      </c>
    </row>
    <row r="14294">
      <c r="A14294" s="6">
        <f>Database!$A16379</f>
        <v/>
      </c>
      <c r="B14294">
        <f>IF(VLOOKUP(Table7[[#This Row],[Date]],Database!$A:$C,MATCH($B$1,Database!$A$1:$C$1,),)=0,#N/A,VLOOKUP(Table7[[#This Row],[Date]],Database!$A:$C,MATCH($B$1,Database!$A$1:$C$1,),))</f>
        <v/>
      </c>
      <c r="C14294">
        <f>IF(VLOOKUP(Table7[[#This Row],[Date]],Database!$A:$C,MATCH($C$1,Database!$A$1:$C$1,),)=0,#N/A,VLOOKUP(Table7[[#This Row],[Date]],Database!$A:$C,MATCH($C$1,Database!$A$1:$C$1,),))</f>
        <v/>
      </c>
      <c r="D14294">
        <f>IFERROR(Table7[[#This Row],[United States 10y]]-Table7[[#This Row],[United States 3y]],#N/A)</f>
        <v/>
      </c>
    </row>
    <row r="14295">
      <c r="A14295" s="6">
        <f>Database!$A16380</f>
        <v/>
      </c>
      <c r="B14295">
        <f>IF(VLOOKUP(Table7[[#This Row],[Date]],Database!$A:$C,MATCH($B$1,Database!$A$1:$C$1,),)=0,#N/A,VLOOKUP(Table7[[#This Row],[Date]],Database!$A:$C,MATCH($B$1,Database!$A$1:$C$1,),))</f>
        <v/>
      </c>
      <c r="C14295">
        <f>IF(VLOOKUP(Table7[[#This Row],[Date]],Database!$A:$C,MATCH($C$1,Database!$A$1:$C$1,),)=0,#N/A,VLOOKUP(Table7[[#This Row],[Date]],Database!$A:$C,MATCH($C$1,Database!$A$1:$C$1,),))</f>
        <v/>
      </c>
      <c r="D14295">
        <f>IFERROR(Table7[[#This Row],[United States 10y]]-Table7[[#This Row],[United States 3y]],#N/A)</f>
        <v/>
      </c>
    </row>
    <row r="14296">
      <c r="A14296" s="6">
        <f>Database!$A16381</f>
        <v/>
      </c>
      <c r="B14296">
        <f>IF(VLOOKUP(Table7[[#This Row],[Date]],Database!$A:$C,MATCH($B$1,Database!$A$1:$C$1,),)=0,#N/A,VLOOKUP(Table7[[#This Row],[Date]],Database!$A:$C,MATCH($B$1,Database!$A$1:$C$1,),))</f>
        <v/>
      </c>
      <c r="C14296">
        <f>IF(VLOOKUP(Table7[[#This Row],[Date]],Database!$A:$C,MATCH($C$1,Database!$A$1:$C$1,),)=0,#N/A,VLOOKUP(Table7[[#This Row],[Date]],Database!$A:$C,MATCH($C$1,Database!$A$1:$C$1,),))</f>
        <v/>
      </c>
      <c r="D14296">
        <f>IFERROR(Table7[[#This Row],[United States 10y]]-Table7[[#This Row],[United States 3y]],#N/A)</f>
        <v/>
      </c>
    </row>
    <row r="14297">
      <c r="A14297" s="6">
        <f>Database!$A16382</f>
        <v/>
      </c>
      <c r="B14297">
        <f>IF(VLOOKUP(Table7[[#This Row],[Date]],Database!$A:$C,MATCH($B$1,Database!$A$1:$C$1,),)=0,#N/A,VLOOKUP(Table7[[#This Row],[Date]],Database!$A:$C,MATCH($B$1,Database!$A$1:$C$1,),))</f>
        <v/>
      </c>
      <c r="C14297">
        <f>IF(VLOOKUP(Table7[[#This Row],[Date]],Database!$A:$C,MATCH($C$1,Database!$A$1:$C$1,),)=0,#N/A,VLOOKUP(Table7[[#This Row],[Date]],Database!$A:$C,MATCH($C$1,Database!$A$1:$C$1,),))</f>
        <v/>
      </c>
      <c r="D14297">
        <f>IFERROR(Table7[[#This Row],[United States 10y]]-Table7[[#This Row],[United States 3y]],#N/A)</f>
        <v/>
      </c>
    </row>
    <row r="14298">
      <c r="A14298" s="6">
        <f>Database!$A16383</f>
        <v/>
      </c>
      <c r="B14298">
        <f>IF(VLOOKUP(Table7[[#This Row],[Date]],Database!$A:$C,MATCH($B$1,Database!$A$1:$C$1,),)=0,#N/A,VLOOKUP(Table7[[#This Row],[Date]],Database!$A:$C,MATCH($B$1,Database!$A$1:$C$1,),))</f>
        <v/>
      </c>
      <c r="C14298">
        <f>IF(VLOOKUP(Table7[[#This Row],[Date]],Database!$A:$C,MATCH($C$1,Database!$A$1:$C$1,),)=0,#N/A,VLOOKUP(Table7[[#This Row],[Date]],Database!$A:$C,MATCH($C$1,Database!$A$1:$C$1,),))</f>
        <v/>
      </c>
      <c r="D14298">
        <f>IFERROR(Table7[[#This Row],[United States 10y]]-Table7[[#This Row],[United States 3y]],#N/A)</f>
        <v/>
      </c>
    </row>
    <row r="14299">
      <c r="A14299" s="6">
        <f>Database!$A16384</f>
        <v/>
      </c>
      <c r="B14299">
        <f>IF(VLOOKUP(Table7[[#This Row],[Date]],Database!$A:$C,MATCH($B$1,Database!$A$1:$C$1,),)=0,#N/A,VLOOKUP(Table7[[#This Row],[Date]],Database!$A:$C,MATCH($B$1,Database!$A$1:$C$1,),))</f>
        <v/>
      </c>
      <c r="C14299">
        <f>IF(VLOOKUP(Table7[[#This Row],[Date]],Database!$A:$C,MATCH($C$1,Database!$A$1:$C$1,),)=0,#N/A,VLOOKUP(Table7[[#This Row],[Date]],Database!$A:$C,MATCH($C$1,Database!$A$1:$C$1,),))</f>
        <v/>
      </c>
      <c r="D14299">
        <f>IFERROR(Table7[[#This Row],[United States 10y]]-Table7[[#This Row],[United States 3y]],#N/A)</f>
        <v/>
      </c>
    </row>
    <row r="14300">
      <c r="A14300" s="6">
        <f>Database!$A16385</f>
        <v/>
      </c>
      <c r="B14300">
        <f>IF(VLOOKUP(Table7[[#This Row],[Date]],Database!$A:$C,MATCH($B$1,Database!$A$1:$C$1,),)=0,#N/A,VLOOKUP(Table7[[#This Row],[Date]],Database!$A:$C,MATCH($B$1,Database!$A$1:$C$1,),))</f>
        <v/>
      </c>
      <c r="C14300">
        <f>IF(VLOOKUP(Table7[[#This Row],[Date]],Database!$A:$C,MATCH($C$1,Database!$A$1:$C$1,),)=0,#N/A,VLOOKUP(Table7[[#This Row],[Date]],Database!$A:$C,MATCH($C$1,Database!$A$1:$C$1,),))</f>
        <v/>
      </c>
      <c r="D14300">
        <f>IFERROR(Table7[[#This Row],[United States 10y]]-Table7[[#This Row],[United States 3y]],#N/A)</f>
        <v/>
      </c>
    </row>
    <row r="14301">
      <c r="A14301" s="6">
        <f>Database!$A16386</f>
        <v/>
      </c>
      <c r="B14301">
        <f>IF(VLOOKUP(Table7[[#This Row],[Date]],Database!$A:$C,MATCH($B$1,Database!$A$1:$C$1,),)=0,#N/A,VLOOKUP(Table7[[#This Row],[Date]],Database!$A:$C,MATCH($B$1,Database!$A$1:$C$1,),))</f>
        <v/>
      </c>
      <c r="C14301">
        <f>IF(VLOOKUP(Table7[[#This Row],[Date]],Database!$A:$C,MATCH($C$1,Database!$A$1:$C$1,),)=0,#N/A,VLOOKUP(Table7[[#This Row],[Date]],Database!$A:$C,MATCH($C$1,Database!$A$1:$C$1,),))</f>
        <v/>
      </c>
      <c r="D14301">
        <f>IFERROR(Table7[[#This Row],[United States 10y]]-Table7[[#This Row],[United States 3y]],#N/A)</f>
        <v/>
      </c>
    </row>
    <row r="14302">
      <c r="A14302" s="6">
        <f>Database!$A16387</f>
        <v/>
      </c>
      <c r="B14302">
        <f>IF(VLOOKUP(Table7[[#This Row],[Date]],Database!$A:$C,MATCH($B$1,Database!$A$1:$C$1,),)=0,#N/A,VLOOKUP(Table7[[#This Row],[Date]],Database!$A:$C,MATCH($B$1,Database!$A$1:$C$1,),))</f>
        <v/>
      </c>
      <c r="C14302">
        <f>IF(VLOOKUP(Table7[[#This Row],[Date]],Database!$A:$C,MATCH($C$1,Database!$A$1:$C$1,),)=0,#N/A,VLOOKUP(Table7[[#This Row],[Date]],Database!$A:$C,MATCH($C$1,Database!$A$1:$C$1,),))</f>
        <v/>
      </c>
      <c r="D14302">
        <f>IFERROR(Table7[[#This Row],[United States 10y]]-Table7[[#This Row],[United States 3y]],#N/A)</f>
        <v/>
      </c>
    </row>
    <row r="14303">
      <c r="A14303" s="6">
        <f>Database!$A16388</f>
        <v/>
      </c>
      <c r="B14303">
        <f>IF(VLOOKUP(Table7[[#This Row],[Date]],Database!$A:$C,MATCH($B$1,Database!$A$1:$C$1,),)=0,#N/A,VLOOKUP(Table7[[#This Row],[Date]],Database!$A:$C,MATCH($B$1,Database!$A$1:$C$1,),))</f>
        <v/>
      </c>
      <c r="C14303">
        <f>IF(VLOOKUP(Table7[[#This Row],[Date]],Database!$A:$C,MATCH($C$1,Database!$A$1:$C$1,),)=0,#N/A,VLOOKUP(Table7[[#This Row],[Date]],Database!$A:$C,MATCH($C$1,Database!$A$1:$C$1,),))</f>
        <v/>
      </c>
      <c r="D14303">
        <f>IFERROR(Table7[[#This Row],[United States 10y]]-Table7[[#This Row],[United States 3y]],#N/A)</f>
        <v/>
      </c>
    </row>
    <row r="14304">
      <c r="A14304" s="6">
        <f>Database!$A16389</f>
        <v/>
      </c>
      <c r="B14304">
        <f>IF(VLOOKUP(Table7[[#This Row],[Date]],Database!$A:$C,MATCH($B$1,Database!$A$1:$C$1,),)=0,#N/A,VLOOKUP(Table7[[#This Row],[Date]],Database!$A:$C,MATCH($B$1,Database!$A$1:$C$1,),))</f>
        <v/>
      </c>
      <c r="C14304">
        <f>IF(VLOOKUP(Table7[[#This Row],[Date]],Database!$A:$C,MATCH($C$1,Database!$A$1:$C$1,),)=0,#N/A,VLOOKUP(Table7[[#This Row],[Date]],Database!$A:$C,MATCH($C$1,Database!$A$1:$C$1,),))</f>
        <v/>
      </c>
      <c r="D14304">
        <f>IFERROR(Table7[[#This Row],[United States 10y]]-Table7[[#This Row],[United States 3y]],#N/A)</f>
        <v/>
      </c>
    </row>
    <row r="14305">
      <c r="A14305" s="6">
        <f>Database!$A16390</f>
        <v/>
      </c>
      <c r="B14305">
        <f>IF(VLOOKUP(Table7[[#This Row],[Date]],Database!$A:$C,MATCH($B$1,Database!$A$1:$C$1,),)=0,#N/A,VLOOKUP(Table7[[#This Row],[Date]],Database!$A:$C,MATCH($B$1,Database!$A$1:$C$1,),))</f>
        <v/>
      </c>
      <c r="C14305">
        <f>IF(VLOOKUP(Table7[[#This Row],[Date]],Database!$A:$C,MATCH($C$1,Database!$A$1:$C$1,),)=0,#N/A,VLOOKUP(Table7[[#This Row],[Date]],Database!$A:$C,MATCH($C$1,Database!$A$1:$C$1,),))</f>
        <v/>
      </c>
      <c r="D14305">
        <f>IFERROR(Table7[[#This Row],[United States 10y]]-Table7[[#This Row],[United States 3y]],#N/A)</f>
        <v/>
      </c>
    </row>
    <row r="14306">
      <c r="A14306" s="6">
        <f>Database!$A16391</f>
        <v/>
      </c>
      <c r="B14306">
        <f>IF(VLOOKUP(Table7[[#This Row],[Date]],Database!$A:$C,MATCH($B$1,Database!$A$1:$C$1,),)=0,#N/A,VLOOKUP(Table7[[#This Row],[Date]],Database!$A:$C,MATCH($B$1,Database!$A$1:$C$1,),))</f>
        <v/>
      </c>
      <c r="C14306">
        <f>IF(VLOOKUP(Table7[[#This Row],[Date]],Database!$A:$C,MATCH($C$1,Database!$A$1:$C$1,),)=0,#N/A,VLOOKUP(Table7[[#This Row],[Date]],Database!$A:$C,MATCH($C$1,Database!$A$1:$C$1,),))</f>
        <v/>
      </c>
      <c r="D14306">
        <f>IFERROR(Table7[[#This Row],[United States 10y]]-Table7[[#This Row],[United States 3y]],#N/A)</f>
        <v/>
      </c>
    </row>
    <row r="14307">
      <c r="A14307" s="6">
        <f>Database!$A16392</f>
        <v/>
      </c>
      <c r="B14307">
        <f>IF(VLOOKUP(Table7[[#This Row],[Date]],Database!$A:$C,MATCH($B$1,Database!$A$1:$C$1,),)=0,#N/A,VLOOKUP(Table7[[#This Row],[Date]],Database!$A:$C,MATCH($B$1,Database!$A$1:$C$1,),))</f>
        <v/>
      </c>
      <c r="C14307">
        <f>IF(VLOOKUP(Table7[[#This Row],[Date]],Database!$A:$C,MATCH($C$1,Database!$A$1:$C$1,),)=0,#N/A,VLOOKUP(Table7[[#This Row],[Date]],Database!$A:$C,MATCH($C$1,Database!$A$1:$C$1,),))</f>
        <v/>
      </c>
      <c r="D14307">
        <f>IFERROR(Table7[[#This Row],[United States 10y]]-Table7[[#This Row],[United States 3y]],#N/A)</f>
        <v/>
      </c>
    </row>
    <row r="14308">
      <c r="A14308" s="6">
        <f>Database!$A16393</f>
        <v/>
      </c>
      <c r="B14308">
        <f>IF(VLOOKUP(Table7[[#This Row],[Date]],Database!$A:$C,MATCH($B$1,Database!$A$1:$C$1,),)=0,#N/A,VLOOKUP(Table7[[#This Row],[Date]],Database!$A:$C,MATCH($B$1,Database!$A$1:$C$1,),))</f>
        <v/>
      </c>
      <c r="C14308">
        <f>IF(VLOOKUP(Table7[[#This Row],[Date]],Database!$A:$C,MATCH($C$1,Database!$A$1:$C$1,),)=0,#N/A,VLOOKUP(Table7[[#This Row],[Date]],Database!$A:$C,MATCH($C$1,Database!$A$1:$C$1,),))</f>
        <v/>
      </c>
      <c r="D14308">
        <f>IFERROR(Table7[[#This Row],[United States 10y]]-Table7[[#This Row],[United States 3y]],#N/A)</f>
        <v/>
      </c>
    </row>
    <row r="14309">
      <c r="A14309" s="6">
        <f>Database!$A16394</f>
        <v/>
      </c>
      <c r="B14309">
        <f>IF(VLOOKUP(Table7[[#This Row],[Date]],Database!$A:$C,MATCH($B$1,Database!$A$1:$C$1,),)=0,#N/A,VLOOKUP(Table7[[#This Row],[Date]],Database!$A:$C,MATCH($B$1,Database!$A$1:$C$1,),))</f>
        <v/>
      </c>
      <c r="C14309">
        <f>IF(VLOOKUP(Table7[[#This Row],[Date]],Database!$A:$C,MATCH($C$1,Database!$A$1:$C$1,),)=0,#N/A,VLOOKUP(Table7[[#This Row],[Date]],Database!$A:$C,MATCH($C$1,Database!$A$1:$C$1,),))</f>
        <v/>
      </c>
      <c r="D14309">
        <f>IFERROR(Table7[[#This Row],[United States 10y]]-Table7[[#This Row],[United States 3y]],#N/A)</f>
        <v/>
      </c>
    </row>
    <row r="14310">
      <c r="A14310" s="6">
        <f>Database!$A16395</f>
        <v/>
      </c>
      <c r="B14310">
        <f>IF(VLOOKUP(Table7[[#This Row],[Date]],Database!$A:$C,MATCH($B$1,Database!$A$1:$C$1,),)=0,#N/A,VLOOKUP(Table7[[#This Row],[Date]],Database!$A:$C,MATCH($B$1,Database!$A$1:$C$1,),))</f>
        <v/>
      </c>
      <c r="C14310">
        <f>IF(VLOOKUP(Table7[[#This Row],[Date]],Database!$A:$C,MATCH($C$1,Database!$A$1:$C$1,),)=0,#N/A,VLOOKUP(Table7[[#This Row],[Date]],Database!$A:$C,MATCH($C$1,Database!$A$1:$C$1,),))</f>
        <v/>
      </c>
      <c r="D14310">
        <f>IFERROR(Table7[[#This Row],[United States 10y]]-Table7[[#This Row],[United States 3y]],#N/A)</f>
        <v/>
      </c>
    </row>
    <row r="14311">
      <c r="A14311" s="6">
        <f>Database!$A16396</f>
        <v/>
      </c>
      <c r="B14311">
        <f>IF(VLOOKUP(Table7[[#This Row],[Date]],Database!$A:$C,MATCH($B$1,Database!$A$1:$C$1,),)=0,#N/A,VLOOKUP(Table7[[#This Row],[Date]],Database!$A:$C,MATCH($B$1,Database!$A$1:$C$1,),))</f>
        <v/>
      </c>
      <c r="C14311">
        <f>IF(VLOOKUP(Table7[[#This Row],[Date]],Database!$A:$C,MATCH($C$1,Database!$A$1:$C$1,),)=0,#N/A,VLOOKUP(Table7[[#This Row],[Date]],Database!$A:$C,MATCH($C$1,Database!$A$1:$C$1,),))</f>
        <v/>
      </c>
      <c r="D14311">
        <f>IFERROR(Table7[[#This Row],[United States 10y]]-Table7[[#This Row],[United States 3y]],#N/A)</f>
        <v/>
      </c>
    </row>
    <row r="14312">
      <c r="A14312" s="6">
        <f>Database!$A16397</f>
        <v/>
      </c>
      <c r="B14312">
        <f>IF(VLOOKUP(Table7[[#This Row],[Date]],Database!$A:$C,MATCH($B$1,Database!$A$1:$C$1,),)=0,#N/A,VLOOKUP(Table7[[#This Row],[Date]],Database!$A:$C,MATCH($B$1,Database!$A$1:$C$1,),))</f>
        <v/>
      </c>
      <c r="C14312">
        <f>IF(VLOOKUP(Table7[[#This Row],[Date]],Database!$A:$C,MATCH($C$1,Database!$A$1:$C$1,),)=0,#N/A,VLOOKUP(Table7[[#This Row],[Date]],Database!$A:$C,MATCH($C$1,Database!$A$1:$C$1,),))</f>
        <v/>
      </c>
      <c r="D14312">
        <f>IFERROR(Table7[[#This Row],[United States 10y]]-Table7[[#This Row],[United States 3y]],#N/A)</f>
        <v/>
      </c>
    </row>
    <row r="14313">
      <c r="A14313" s="6">
        <f>Database!$A16398</f>
        <v/>
      </c>
      <c r="B14313">
        <f>IF(VLOOKUP(Table7[[#This Row],[Date]],Database!$A:$C,MATCH($B$1,Database!$A$1:$C$1,),)=0,#N/A,VLOOKUP(Table7[[#This Row],[Date]],Database!$A:$C,MATCH($B$1,Database!$A$1:$C$1,),))</f>
        <v/>
      </c>
      <c r="C14313">
        <f>IF(VLOOKUP(Table7[[#This Row],[Date]],Database!$A:$C,MATCH($C$1,Database!$A$1:$C$1,),)=0,#N/A,VLOOKUP(Table7[[#This Row],[Date]],Database!$A:$C,MATCH($C$1,Database!$A$1:$C$1,),))</f>
        <v/>
      </c>
      <c r="D14313">
        <f>IFERROR(Table7[[#This Row],[United States 10y]]-Table7[[#This Row],[United States 3y]],#N/A)</f>
        <v/>
      </c>
    </row>
    <row r="14314">
      <c r="A14314" s="6">
        <f>Database!$A16399</f>
        <v/>
      </c>
      <c r="B14314">
        <f>IF(VLOOKUP(Table7[[#This Row],[Date]],Database!$A:$C,MATCH($B$1,Database!$A$1:$C$1,),)=0,#N/A,VLOOKUP(Table7[[#This Row],[Date]],Database!$A:$C,MATCH($B$1,Database!$A$1:$C$1,),))</f>
        <v/>
      </c>
      <c r="C14314">
        <f>IF(VLOOKUP(Table7[[#This Row],[Date]],Database!$A:$C,MATCH($C$1,Database!$A$1:$C$1,),)=0,#N/A,VLOOKUP(Table7[[#This Row],[Date]],Database!$A:$C,MATCH($C$1,Database!$A$1:$C$1,),))</f>
        <v/>
      </c>
      <c r="D14314">
        <f>IFERROR(Table7[[#This Row],[United States 10y]]-Table7[[#This Row],[United States 3y]],#N/A)</f>
        <v/>
      </c>
    </row>
    <row r="14315">
      <c r="A14315" s="6">
        <f>Database!$A16400</f>
        <v/>
      </c>
      <c r="B14315">
        <f>IF(VLOOKUP(Table7[[#This Row],[Date]],Database!$A:$C,MATCH($B$1,Database!$A$1:$C$1,),)=0,#N/A,VLOOKUP(Table7[[#This Row],[Date]],Database!$A:$C,MATCH($B$1,Database!$A$1:$C$1,),))</f>
        <v/>
      </c>
      <c r="C14315">
        <f>IF(VLOOKUP(Table7[[#This Row],[Date]],Database!$A:$C,MATCH($C$1,Database!$A$1:$C$1,),)=0,#N/A,VLOOKUP(Table7[[#This Row],[Date]],Database!$A:$C,MATCH($C$1,Database!$A$1:$C$1,),))</f>
        <v/>
      </c>
      <c r="D14315">
        <f>IFERROR(Table7[[#This Row],[United States 10y]]-Table7[[#This Row],[United States 3y]],#N/A)</f>
        <v/>
      </c>
    </row>
    <row r="14316">
      <c r="A14316" s="6">
        <f>Database!$A16401</f>
        <v/>
      </c>
      <c r="B14316">
        <f>IF(VLOOKUP(Table7[[#This Row],[Date]],Database!$A:$C,MATCH($B$1,Database!$A$1:$C$1,),)=0,#N/A,VLOOKUP(Table7[[#This Row],[Date]],Database!$A:$C,MATCH($B$1,Database!$A$1:$C$1,),))</f>
        <v/>
      </c>
      <c r="C14316">
        <f>IF(VLOOKUP(Table7[[#This Row],[Date]],Database!$A:$C,MATCH($C$1,Database!$A$1:$C$1,),)=0,#N/A,VLOOKUP(Table7[[#This Row],[Date]],Database!$A:$C,MATCH($C$1,Database!$A$1:$C$1,),))</f>
        <v/>
      </c>
      <c r="D14316">
        <f>IFERROR(Table7[[#This Row],[United States 10y]]-Table7[[#This Row],[United States 3y]],#N/A)</f>
        <v/>
      </c>
    </row>
    <row r="14317">
      <c r="A14317" s="6">
        <f>Database!$A16402</f>
        <v/>
      </c>
      <c r="B14317">
        <f>IF(VLOOKUP(Table7[[#This Row],[Date]],Database!$A:$C,MATCH($B$1,Database!$A$1:$C$1,),)=0,#N/A,VLOOKUP(Table7[[#This Row],[Date]],Database!$A:$C,MATCH($B$1,Database!$A$1:$C$1,),))</f>
        <v/>
      </c>
      <c r="C14317">
        <f>IF(VLOOKUP(Table7[[#This Row],[Date]],Database!$A:$C,MATCH($C$1,Database!$A$1:$C$1,),)=0,#N/A,VLOOKUP(Table7[[#This Row],[Date]],Database!$A:$C,MATCH($C$1,Database!$A$1:$C$1,),))</f>
        <v/>
      </c>
      <c r="D14317">
        <f>IFERROR(Table7[[#This Row],[United States 10y]]-Table7[[#This Row],[United States 3y]],#N/A)</f>
        <v/>
      </c>
    </row>
    <row r="14318">
      <c r="A14318" s="6">
        <f>Database!$A16403</f>
        <v/>
      </c>
      <c r="B14318">
        <f>IF(VLOOKUP(Table7[[#This Row],[Date]],Database!$A:$C,MATCH($B$1,Database!$A$1:$C$1,),)=0,#N/A,VLOOKUP(Table7[[#This Row],[Date]],Database!$A:$C,MATCH($B$1,Database!$A$1:$C$1,),))</f>
        <v/>
      </c>
      <c r="C14318">
        <f>IF(VLOOKUP(Table7[[#This Row],[Date]],Database!$A:$C,MATCH($C$1,Database!$A$1:$C$1,),)=0,#N/A,VLOOKUP(Table7[[#This Row],[Date]],Database!$A:$C,MATCH($C$1,Database!$A$1:$C$1,),))</f>
        <v/>
      </c>
      <c r="D14318">
        <f>IFERROR(Table7[[#This Row],[United States 10y]]-Table7[[#This Row],[United States 3y]],#N/A)</f>
        <v/>
      </c>
    </row>
    <row r="14319">
      <c r="A14319" s="6">
        <f>Database!$A16404</f>
        <v/>
      </c>
      <c r="B14319">
        <f>IF(VLOOKUP(Table7[[#This Row],[Date]],Database!$A:$C,MATCH($B$1,Database!$A$1:$C$1,),)=0,#N/A,VLOOKUP(Table7[[#This Row],[Date]],Database!$A:$C,MATCH($B$1,Database!$A$1:$C$1,),))</f>
        <v/>
      </c>
      <c r="C14319">
        <f>IF(VLOOKUP(Table7[[#This Row],[Date]],Database!$A:$C,MATCH($C$1,Database!$A$1:$C$1,),)=0,#N/A,VLOOKUP(Table7[[#This Row],[Date]],Database!$A:$C,MATCH($C$1,Database!$A$1:$C$1,),))</f>
        <v/>
      </c>
      <c r="D14319">
        <f>IFERROR(Table7[[#This Row],[United States 10y]]-Table7[[#This Row],[United States 3y]],#N/A)</f>
        <v/>
      </c>
    </row>
    <row r="14320">
      <c r="A14320" s="6">
        <f>Database!$A16405</f>
        <v/>
      </c>
      <c r="B14320">
        <f>IF(VLOOKUP(Table7[[#This Row],[Date]],Database!$A:$C,MATCH($B$1,Database!$A$1:$C$1,),)=0,#N/A,VLOOKUP(Table7[[#This Row],[Date]],Database!$A:$C,MATCH($B$1,Database!$A$1:$C$1,),))</f>
        <v/>
      </c>
      <c r="C14320">
        <f>IF(VLOOKUP(Table7[[#This Row],[Date]],Database!$A:$C,MATCH($C$1,Database!$A$1:$C$1,),)=0,#N/A,VLOOKUP(Table7[[#This Row],[Date]],Database!$A:$C,MATCH($C$1,Database!$A$1:$C$1,),))</f>
        <v/>
      </c>
      <c r="D14320">
        <f>IFERROR(Table7[[#This Row],[United States 10y]]-Table7[[#This Row],[United States 3y]],#N/A)</f>
        <v/>
      </c>
    </row>
    <row r="14321">
      <c r="A14321" s="6">
        <f>Database!$A16406</f>
        <v/>
      </c>
      <c r="B14321">
        <f>IF(VLOOKUP(Table7[[#This Row],[Date]],Database!$A:$C,MATCH($B$1,Database!$A$1:$C$1,),)=0,#N/A,VLOOKUP(Table7[[#This Row],[Date]],Database!$A:$C,MATCH($B$1,Database!$A$1:$C$1,),))</f>
        <v/>
      </c>
      <c r="C14321">
        <f>IF(VLOOKUP(Table7[[#This Row],[Date]],Database!$A:$C,MATCH($C$1,Database!$A$1:$C$1,),)=0,#N/A,VLOOKUP(Table7[[#This Row],[Date]],Database!$A:$C,MATCH($C$1,Database!$A$1:$C$1,),))</f>
        <v/>
      </c>
      <c r="D14321">
        <f>IFERROR(Table7[[#This Row],[United States 10y]]-Table7[[#This Row],[United States 3y]],#N/A)</f>
        <v/>
      </c>
    </row>
    <row r="14322">
      <c r="A14322" s="6">
        <f>Database!$A16407</f>
        <v/>
      </c>
      <c r="B14322">
        <f>IF(VLOOKUP(Table7[[#This Row],[Date]],Database!$A:$C,MATCH($B$1,Database!$A$1:$C$1,),)=0,#N/A,VLOOKUP(Table7[[#This Row],[Date]],Database!$A:$C,MATCH($B$1,Database!$A$1:$C$1,),))</f>
        <v/>
      </c>
      <c r="C14322">
        <f>IF(VLOOKUP(Table7[[#This Row],[Date]],Database!$A:$C,MATCH($C$1,Database!$A$1:$C$1,),)=0,#N/A,VLOOKUP(Table7[[#This Row],[Date]],Database!$A:$C,MATCH($C$1,Database!$A$1:$C$1,),))</f>
        <v/>
      </c>
      <c r="D14322">
        <f>IFERROR(Table7[[#This Row],[United States 10y]]-Table7[[#This Row],[United States 3y]],#N/A)</f>
        <v/>
      </c>
    </row>
    <row r="14323">
      <c r="A14323" s="6">
        <f>Database!$A16408</f>
        <v/>
      </c>
      <c r="B14323">
        <f>IF(VLOOKUP(Table7[[#This Row],[Date]],Database!$A:$C,MATCH($B$1,Database!$A$1:$C$1,),)=0,#N/A,VLOOKUP(Table7[[#This Row],[Date]],Database!$A:$C,MATCH($B$1,Database!$A$1:$C$1,),))</f>
        <v/>
      </c>
      <c r="C14323">
        <f>IF(VLOOKUP(Table7[[#This Row],[Date]],Database!$A:$C,MATCH($C$1,Database!$A$1:$C$1,),)=0,#N/A,VLOOKUP(Table7[[#This Row],[Date]],Database!$A:$C,MATCH($C$1,Database!$A$1:$C$1,),))</f>
        <v/>
      </c>
      <c r="D14323">
        <f>IFERROR(Table7[[#This Row],[United States 10y]]-Table7[[#This Row],[United States 3y]],#N/A)</f>
        <v/>
      </c>
    </row>
    <row r="14324">
      <c r="A14324" s="6">
        <f>Database!$A16409</f>
        <v/>
      </c>
      <c r="B14324">
        <f>IF(VLOOKUP(Table7[[#This Row],[Date]],Database!$A:$C,MATCH($B$1,Database!$A$1:$C$1,),)=0,#N/A,VLOOKUP(Table7[[#This Row],[Date]],Database!$A:$C,MATCH($B$1,Database!$A$1:$C$1,),))</f>
        <v/>
      </c>
      <c r="C14324">
        <f>IF(VLOOKUP(Table7[[#This Row],[Date]],Database!$A:$C,MATCH($C$1,Database!$A$1:$C$1,),)=0,#N/A,VLOOKUP(Table7[[#This Row],[Date]],Database!$A:$C,MATCH($C$1,Database!$A$1:$C$1,),))</f>
        <v/>
      </c>
      <c r="D14324">
        <f>IFERROR(Table7[[#This Row],[United States 10y]]-Table7[[#This Row],[United States 3y]],#N/A)</f>
        <v/>
      </c>
    </row>
    <row r="14325">
      <c r="A14325" s="6">
        <f>Database!$A16410</f>
        <v/>
      </c>
      <c r="B14325">
        <f>IF(VLOOKUP(Table7[[#This Row],[Date]],Database!$A:$C,MATCH($B$1,Database!$A$1:$C$1,),)=0,#N/A,VLOOKUP(Table7[[#This Row],[Date]],Database!$A:$C,MATCH($B$1,Database!$A$1:$C$1,),))</f>
        <v/>
      </c>
      <c r="C14325">
        <f>IF(VLOOKUP(Table7[[#This Row],[Date]],Database!$A:$C,MATCH($C$1,Database!$A$1:$C$1,),)=0,#N/A,VLOOKUP(Table7[[#This Row],[Date]],Database!$A:$C,MATCH($C$1,Database!$A$1:$C$1,),))</f>
        <v/>
      </c>
      <c r="D14325">
        <f>IFERROR(Table7[[#This Row],[United States 10y]]-Table7[[#This Row],[United States 3y]],#N/A)</f>
        <v/>
      </c>
    </row>
    <row r="14326">
      <c r="A14326" s="6">
        <f>Database!$A16411</f>
        <v/>
      </c>
      <c r="B14326">
        <f>IF(VLOOKUP(Table7[[#This Row],[Date]],Database!$A:$C,MATCH($B$1,Database!$A$1:$C$1,),)=0,#N/A,VLOOKUP(Table7[[#This Row],[Date]],Database!$A:$C,MATCH($B$1,Database!$A$1:$C$1,),))</f>
        <v/>
      </c>
      <c r="C14326">
        <f>IF(VLOOKUP(Table7[[#This Row],[Date]],Database!$A:$C,MATCH($C$1,Database!$A$1:$C$1,),)=0,#N/A,VLOOKUP(Table7[[#This Row],[Date]],Database!$A:$C,MATCH($C$1,Database!$A$1:$C$1,),))</f>
        <v/>
      </c>
      <c r="D14326">
        <f>IFERROR(Table7[[#This Row],[United States 10y]]-Table7[[#This Row],[United States 3y]],#N/A)</f>
        <v/>
      </c>
    </row>
    <row r="14327">
      <c r="A14327" s="6">
        <f>Database!$A16412</f>
        <v/>
      </c>
      <c r="B14327">
        <f>IF(VLOOKUP(Table7[[#This Row],[Date]],Database!$A:$C,MATCH($B$1,Database!$A$1:$C$1,),)=0,#N/A,VLOOKUP(Table7[[#This Row],[Date]],Database!$A:$C,MATCH($B$1,Database!$A$1:$C$1,),))</f>
        <v/>
      </c>
      <c r="C14327">
        <f>IF(VLOOKUP(Table7[[#This Row],[Date]],Database!$A:$C,MATCH($C$1,Database!$A$1:$C$1,),)=0,#N/A,VLOOKUP(Table7[[#This Row],[Date]],Database!$A:$C,MATCH($C$1,Database!$A$1:$C$1,),))</f>
        <v/>
      </c>
      <c r="D14327">
        <f>IFERROR(Table7[[#This Row],[United States 10y]]-Table7[[#This Row],[United States 3y]],#N/A)</f>
        <v/>
      </c>
    </row>
    <row r="14328">
      <c r="A14328" s="6">
        <f>Database!$A16413</f>
        <v/>
      </c>
      <c r="B14328">
        <f>IF(VLOOKUP(Table7[[#This Row],[Date]],Database!$A:$C,MATCH($B$1,Database!$A$1:$C$1,),)=0,#N/A,VLOOKUP(Table7[[#This Row],[Date]],Database!$A:$C,MATCH($B$1,Database!$A$1:$C$1,),))</f>
        <v/>
      </c>
      <c r="C14328">
        <f>IF(VLOOKUP(Table7[[#This Row],[Date]],Database!$A:$C,MATCH($C$1,Database!$A$1:$C$1,),)=0,#N/A,VLOOKUP(Table7[[#This Row],[Date]],Database!$A:$C,MATCH($C$1,Database!$A$1:$C$1,),))</f>
        <v/>
      </c>
      <c r="D14328">
        <f>IFERROR(Table7[[#This Row],[United States 10y]]-Table7[[#This Row],[United States 3y]],#N/A)</f>
        <v/>
      </c>
    </row>
    <row r="14329">
      <c r="A14329" s="6">
        <f>Database!$A16414</f>
        <v/>
      </c>
      <c r="B14329">
        <f>IF(VLOOKUP(Table7[[#This Row],[Date]],Database!$A:$C,MATCH($B$1,Database!$A$1:$C$1,),)=0,#N/A,VLOOKUP(Table7[[#This Row],[Date]],Database!$A:$C,MATCH($B$1,Database!$A$1:$C$1,),))</f>
        <v/>
      </c>
      <c r="C14329">
        <f>IF(VLOOKUP(Table7[[#This Row],[Date]],Database!$A:$C,MATCH($C$1,Database!$A$1:$C$1,),)=0,#N/A,VLOOKUP(Table7[[#This Row],[Date]],Database!$A:$C,MATCH($C$1,Database!$A$1:$C$1,),))</f>
        <v/>
      </c>
      <c r="D14329">
        <f>IFERROR(Table7[[#This Row],[United States 10y]]-Table7[[#This Row],[United States 3y]],#N/A)</f>
        <v/>
      </c>
    </row>
    <row r="14330">
      <c r="A14330" s="6">
        <f>Database!$A16415</f>
        <v/>
      </c>
      <c r="B14330">
        <f>IF(VLOOKUP(Table7[[#This Row],[Date]],Database!$A:$C,MATCH($B$1,Database!$A$1:$C$1,),)=0,#N/A,VLOOKUP(Table7[[#This Row],[Date]],Database!$A:$C,MATCH($B$1,Database!$A$1:$C$1,),))</f>
        <v/>
      </c>
      <c r="C14330">
        <f>IF(VLOOKUP(Table7[[#This Row],[Date]],Database!$A:$C,MATCH($C$1,Database!$A$1:$C$1,),)=0,#N/A,VLOOKUP(Table7[[#This Row],[Date]],Database!$A:$C,MATCH($C$1,Database!$A$1:$C$1,),))</f>
        <v/>
      </c>
      <c r="D14330">
        <f>IFERROR(Table7[[#This Row],[United States 10y]]-Table7[[#This Row],[United States 3y]],#N/A)</f>
        <v/>
      </c>
    </row>
    <row r="14331">
      <c r="A14331" s="6">
        <f>Database!$A16416</f>
        <v/>
      </c>
      <c r="B14331">
        <f>IF(VLOOKUP(Table7[[#This Row],[Date]],Database!$A:$C,MATCH($B$1,Database!$A$1:$C$1,),)=0,#N/A,VLOOKUP(Table7[[#This Row],[Date]],Database!$A:$C,MATCH($B$1,Database!$A$1:$C$1,),))</f>
        <v/>
      </c>
      <c r="C14331">
        <f>IF(VLOOKUP(Table7[[#This Row],[Date]],Database!$A:$C,MATCH($C$1,Database!$A$1:$C$1,),)=0,#N/A,VLOOKUP(Table7[[#This Row],[Date]],Database!$A:$C,MATCH($C$1,Database!$A$1:$C$1,),))</f>
        <v/>
      </c>
      <c r="D14331">
        <f>IFERROR(Table7[[#This Row],[United States 10y]]-Table7[[#This Row],[United States 3y]],#N/A)</f>
        <v/>
      </c>
    </row>
    <row r="14332">
      <c r="A14332" s="6">
        <f>Database!$A16417</f>
        <v/>
      </c>
      <c r="B14332">
        <f>IF(VLOOKUP(Table7[[#This Row],[Date]],Database!$A:$C,MATCH($B$1,Database!$A$1:$C$1,),)=0,#N/A,VLOOKUP(Table7[[#This Row],[Date]],Database!$A:$C,MATCH($B$1,Database!$A$1:$C$1,),))</f>
        <v/>
      </c>
      <c r="C14332">
        <f>IF(VLOOKUP(Table7[[#This Row],[Date]],Database!$A:$C,MATCH($C$1,Database!$A$1:$C$1,),)=0,#N/A,VLOOKUP(Table7[[#This Row],[Date]],Database!$A:$C,MATCH($C$1,Database!$A$1:$C$1,),))</f>
        <v/>
      </c>
      <c r="D14332">
        <f>IFERROR(Table7[[#This Row],[United States 10y]]-Table7[[#This Row],[United States 3y]],#N/A)</f>
        <v/>
      </c>
    </row>
    <row r="14333">
      <c r="A14333" s="6">
        <f>Database!$A16418</f>
        <v/>
      </c>
      <c r="B14333">
        <f>IF(VLOOKUP(Table7[[#This Row],[Date]],Database!$A:$C,MATCH($B$1,Database!$A$1:$C$1,),)=0,#N/A,VLOOKUP(Table7[[#This Row],[Date]],Database!$A:$C,MATCH($B$1,Database!$A$1:$C$1,),))</f>
        <v/>
      </c>
      <c r="C14333">
        <f>IF(VLOOKUP(Table7[[#This Row],[Date]],Database!$A:$C,MATCH($C$1,Database!$A$1:$C$1,),)=0,#N/A,VLOOKUP(Table7[[#This Row],[Date]],Database!$A:$C,MATCH($C$1,Database!$A$1:$C$1,),))</f>
        <v/>
      </c>
      <c r="D14333">
        <f>IFERROR(Table7[[#This Row],[United States 10y]]-Table7[[#This Row],[United States 3y]],#N/A)</f>
        <v/>
      </c>
    </row>
    <row r="14334">
      <c r="A14334" s="6">
        <f>Database!$A16419</f>
        <v/>
      </c>
      <c r="B14334">
        <f>IF(VLOOKUP(Table7[[#This Row],[Date]],Database!$A:$C,MATCH($B$1,Database!$A$1:$C$1,),)=0,#N/A,VLOOKUP(Table7[[#This Row],[Date]],Database!$A:$C,MATCH($B$1,Database!$A$1:$C$1,),))</f>
        <v/>
      </c>
      <c r="C14334">
        <f>IF(VLOOKUP(Table7[[#This Row],[Date]],Database!$A:$C,MATCH($C$1,Database!$A$1:$C$1,),)=0,#N/A,VLOOKUP(Table7[[#This Row],[Date]],Database!$A:$C,MATCH($C$1,Database!$A$1:$C$1,),))</f>
        <v/>
      </c>
      <c r="D14334">
        <f>IFERROR(Table7[[#This Row],[United States 10y]]-Table7[[#This Row],[United States 3y]],#N/A)</f>
        <v/>
      </c>
    </row>
    <row r="14335">
      <c r="A14335" s="6">
        <f>Database!$A16420</f>
        <v/>
      </c>
      <c r="B14335">
        <f>IF(VLOOKUP(Table7[[#This Row],[Date]],Database!$A:$C,MATCH($B$1,Database!$A$1:$C$1,),)=0,#N/A,VLOOKUP(Table7[[#This Row],[Date]],Database!$A:$C,MATCH($B$1,Database!$A$1:$C$1,),))</f>
        <v/>
      </c>
      <c r="C14335">
        <f>IF(VLOOKUP(Table7[[#This Row],[Date]],Database!$A:$C,MATCH($C$1,Database!$A$1:$C$1,),)=0,#N/A,VLOOKUP(Table7[[#This Row],[Date]],Database!$A:$C,MATCH($C$1,Database!$A$1:$C$1,),))</f>
        <v/>
      </c>
      <c r="D14335">
        <f>IFERROR(Table7[[#This Row],[United States 10y]]-Table7[[#This Row],[United States 3y]],#N/A)</f>
        <v/>
      </c>
    </row>
    <row r="14336">
      <c r="A14336" s="6">
        <f>Database!$A16421</f>
        <v/>
      </c>
      <c r="B14336">
        <f>IF(VLOOKUP(Table7[[#This Row],[Date]],Database!$A:$C,MATCH($B$1,Database!$A$1:$C$1,),)=0,#N/A,VLOOKUP(Table7[[#This Row],[Date]],Database!$A:$C,MATCH($B$1,Database!$A$1:$C$1,),))</f>
        <v/>
      </c>
      <c r="C14336">
        <f>IF(VLOOKUP(Table7[[#This Row],[Date]],Database!$A:$C,MATCH($C$1,Database!$A$1:$C$1,),)=0,#N/A,VLOOKUP(Table7[[#This Row],[Date]],Database!$A:$C,MATCH($C$1,Database!$A$1:$C$1,),))</f>
        <v/>
      </c>
      <c r="D14336">
        <f>IFERROR(Table7[[#This Row],[United States 10y]]-Table7[[#This Row],[United States 3y]],#N/A)</f>
        <v/>
      </c>
    </row>
    <row r="14337">
      <c r="A14337" s="6">
        <f>Database!$A16422</f>
        <v/>
      </c>
      <c r="B14337">
        <f>IF(VLOOKUP(Table7[[#This Row],[Date]],Database!$A:$C,MATCH($B$1,Database!$A$1:$C$1,),)=0,#N/A,VLOOKUP(Table7[[#This Row],[Date]],Database!$A:$C,MATCH($B$1,Database!$A$1:$C$1,),))</f>
        <v/>
      </c>
      <c r="C14337">
        <f>IF(VLOOKUP(Table7[[#This Row],[Date]],Database!$A:$C,MATCH($C$1,Database!$A$1:$C$1,),)=0,#N/A,VLOOKUP(Table7[[#This Row],[Date]],Database!$A:$C,MATCH($C$1,Database!$A$1:$C$1,),))</f>
        <v/>
      </c>
      <c r="D14337">
        <f>IFERROR(Table7[[#This Row],[United States 10y]]-Table7[[#This Row],[United States 3y]],#N/A)</f>
        <v/>
      </c>
    </row>
    <row r="14338">
      <c r="A14338" s="6">
        <f>Database!$A16423</f>
        <v/>
      </c>
      <c r="B14338">
        <f>IF(VLOOKUP(Table7[[#This Row],[Date]],Database!$A:$C,MATCH($B$1,Database!$A$1:$C$1,),)=0,#N/A,VLOOKUP(Table7[[#This Row],[Date]],Database!$A:$C,MATCH($B$1,Database!$A$1:$C$1,),))</f>
        <v/>
      </c>
      <c r="C14338">
        <f>IF(VLOOKUP(Table7[[#This Row],[Date]],Database!$A:$C,MATCH($C$1,Database!$A$1:$C$1,),)=0,#N/A,VLOOKUP(Table7[[#This Row],[Date]],Database!$A:$C,MATCH($C$1,Database!$A$1:$C$1,),))</f>
        <v/>
      </c>
      <c r="D14338">
        <f>IFERROR(Table7[[#This Row],[United States 10y]]-Table7[[#This Row],[United States 3y]],#N/A)</f>
        <v/>
      </c>
    </row>
    <row r="14339">
      <c r="A14339" s="6">
        <f>Database!$A16424</f>
        <v/>
      </c>
      <c r="B14339">
        <f>IF(VLOOKUP(Table7[[#This Row],[Date]],Database!$A:$C,MATCH($B$1,Database!$A$1:$C$1,),)=0,#N/A,VLOOKUP(Table7[[#This Row],[Date]],Database!$A:$C,MATCH($B$1,Database!$A$1:$C$1,),))</f>
        <v/>
      </c>
      <c r="C14339">
        <f>IF(VLOOKUP(Table7[[#This Row],[Date]],Database!$A:$C,MATCH($C$1,Database!$A$1:$C$1,),)=0,#N/A,VLOOKUP(Table7[[#This Row],[Date]],Database!$A:$C,MATCH($C$1,Database!$A$1:$C$1,),))</f>
        <v/>
      </c>
      <c r="D14339">
        <f>IFERROR(Table7[[#This Row],[United States 10y]]-Table7[[#This Row],[United States 3y]],#N/A)</f>
        <v/>
      </c>
    </row>
    <row r="14340">
      <c r="A14340" s="6">
        <f>Database!$A16425</f>
        <v/>
      </c>
      <c r="B14340">
        <f>IF(VLOOKUP(Table7[[#This Row],[Date]],Database!$A:$C,MATCH($B$1,Database!$A$1:$C$1,),)=0,#N/A,VLOOKUP(Table7[[#This Row],[Date]],Database!$A:$C,MATCH($B$1,Database!$A$1:$C$1,),))</f>
        <v/>
      </c>
      <c r="C14340">
        <f>IF(VLOOKUP(Table7[[#This Row],[Date]],Database!$A:$C,MATCH($C$1,Database!$A$1:$C$1,),)=0,#N/A,VLOOKUP(Table7[[#This Row],[Date]],Database!$A:$C,MATCH($C$1,Database!$A$1:$C$1,),))</f>
        <v/>
      </c>
      <c r="D14340">
        <f>IFERROR(Table7[[#This Row],[United States 10y]]-Table7[[#This Row],[United States 3y]],#N/A)</f>
        <v/>
      </c>
    </row>
    <row r="14341">
      <c r="A14341" s="6">
        <f>Database!$A16426</f>
        <v/>
      </c>
      <c r="B14341">
        <f>IF(VLOOKUP(Table7[[#This Row],[Date]],Database!$A:$C,MATCH($B$1,Database!$A$1:$C$1,),)=0,#N/A,VLOOKUP(Table7[[#This Row],[Date]],Database!$A:$C,MATCH($B$1,Database!$A$1:$C$1,),))</f>
        <v/>
      </c>
      <c r="C14341">
        <f>IF(VLOOKUP(Table7[[#This Row],[Date]],Database!$A:$C,MATCH($C$1,Database!$A$1:$C$1,),)=0,#N/A,VLOOKUP(Table7[[#This Row],[Date]],Database!$A:$C,MATCH($C$1,Database!$A$1:$C$1,),))</f>
        <v/>
      </c>
      <c r="D14341">
        <f>IFERROR(Table7[[#This Row],[United States 10y]]-Table7[[#This Row],[United States 3y]],#N/A)</f>
        <v/>
      </c>
    </row>
    <row r="14342">
      <c r="A14342" s="6">
        <f>Database!$A16427</f>
        <v/>
      </c>
      <c r="B14342">
        <f>IF(VLOOKUP(Table7[[#This Row],[Date]],Database!$A:$C,MATCH($B$1,Database!$A$1:$C$1,),)=0,#N/A,VLOOKUP(Table7[[#This Row],[Date]],Database!$A:$C,MATCH($B$1,Database!$A$1:$C$1,),))</f>
        <v/>
      </c>
      <c r="C14342">
        <f>IF(VLOOKUP(Table7[[#This Row],[Date]],Database!$A:$C,MATCH($C$1,Database!$A$1:$C$1,),)=0,#N/A,VLOOKUP(Table7[[#This Row],[Date]],Database!$A:$C,MATCH($C$1,Database!$A$1:$C$1,),))</f>
        <v/>
      </c>
      <c r="D14342">
        <f>IFERROR(Table7[[#This Row],[United States 10y]]-Table7[[#This Row],[United States 3y]],#N/A)</f>
        <v/>
      </c>
    </row>
    <row r="14343">
      <c r="A14343" s="6">
        <f>Database!$A16428</f>
        <v/>
      </c>
      <c r="B14343">
        <f>IF(VLOOKUP(Table7[[#This Row],[Date]],Database!$A:$C,MATCH($B$1,Database!$A$1:$C$1,),)=0,#N/A,VLOOKUP(Table7[[#This Row],[Date]],Database!$A:$C,MATCH($B$1,Database!$A$1:$C$1,),))</f>
        <v/>
      </c>
      <c r="C14343">
        <f>IF(VLOOKUP(Table7[[#This Row],[Date]],Database!$A:$C,MATCH($C$1,Database!$A$1:$C$1,),)=0,#N/A,VLOOKUP(Table7[[#This Row],[Date]],Database!$A:$C,MATCH($C$1,Database!$A$1:$C$1,),))</f>
        <v/>
      </c>
      <c r="D14343">
        <f>IFERROR(Table7[[#This Row],[United States 10y]]-Table7[[#This Row],[United States 3y]],#N/A)</f>
        <v/>
      </c>
    </row>
    <row r="14344">
      <c r="A14344" s="6">
        <f>Database!$A16429</f>
        <v/>
      </c>
      <c r="B14344">
        <f>IF(VLOOKUP(Table7[[#This Row],[Date]],Database!$A:$C,MATCH($B$1,Database!$A$1:$C$1,),)=0,#N/A,VLOOKUP(Table7[[#This Row],[Date]],Database!$A:$C,MATCH($B$1,Database!$A$1:$C$1,),))</f>
        <v/>
      </c>
      <c r="C14344">
        <f>IF(VLOOKUP(Table7[[#This Row],[Date]],Database!$A:$C,MATCH($C$1,Database!$A$1:$C$1,),)=0,#N/A,VLOOKUP(Table7[[#This Row],[Date]],Database!$A:$C,MATCH($C$1,Database!$A$1:$C$1,),))</f>
        <v/>
      </c>
      <c r="D14344">
        <f>IFERROR(Table7[[#This Row],[United States 10y]]-Table7[[#This Row],[United States 3y]],#N/A)</f>
        <v/>
      </c>
    </row>
    <row r="14345">
      <c r="A14345" s="6">
        <f>Database!$A16430</f>
        <v/>
      </c>
      <c r="B14345">
        <f>IF(VLOOKUP(Table7[[#This Row],[Date]],Database!$A:$C,MATCH($B$1,Database!$A$1:$C$1,),)=0,#N/A,VLOOKUP(Table7[[#This Row],[Date]],Database!$A:$C,MATCH($B$1,Database!$A$1:$C$1,),))</f>
        <v/>
      </c>
      <c r="C14345">
        <f>IF(VLOOKUP(Table7[[#This Row],[Date]],Database!$A:$C,MATCH($C$1,Database!$A$1:$C$1,),)=0,#N/A,VLOOKUP(Table7[[#This Row],[Date]],Database!$A:$C,MATCH($C$1,Database!$A$1:$C$1,),))</f>
        <v/>
      </c>
      <c r="D14345">
        <f>IFERROR(Table7[[#This Row],[United States 10y]]-Table7[[#This Row],[United States 3y]],#N/A)</f>
        <v/>
      </c>
    </row>
    <row r="14346">
      <c r="A14346" s="6">
        <f>Database!$A16431</f>
        <v/>
      </c>
      <c r="B14346">
        <f>IF(VLOOKUP(Table7[[#This Row],[Date]],Database!$A:$C,MATCH($B$1,Database!$A$1:$C$1,),)=0,#N/A,VLOOKUP(Table7[[#This Row],[Date]],Database!$A:$C,MATCH($B$1,Database!$A$1:$C$1,),))</f>
        <v/>
      </c>
      <c r="C14346">
        <f>IF(VLOOKUP(Table7[[#This Row],[Date]],Database!$A:$C,MATCH($C$1,Database!$A$1:$C$1,),)=0,#N/A,VLOOKUP(Table7[[#This Row],[Date]],Database!$A:$C,MATCH($C$1,Database!$A$1:$C$1,),))</f>
        <v/>
      </c>
      <c r="D14346">
        <f>IFERROR(Table7[[#This Row],[United States 10y]]-Table7[[#This Row],[United States 3y]],#N/A)</f>
        <v/>
      </c>
    </row>
    <row r="14347">
      <c r="A14347" s="6">
        <f>Database!$A16432</f>
        <v/>
      </c>
      <c r="B14347">
        <f>IF(VLOOKUP(Table7[[#This Row],[Date]],Database!$A:$C,MATCH($B$1,Database!$A$1:$C$1,),)=0,#N/A,VLOOKUP(Table7[[#This Row],[Date]],Database!$A:$C,MATCH($B$1,Database!$A$1:$C$1,),))</f>
        <v/>
      </c>
      <c r="C14347">
        <f>IF(VLOOKUP(Table7[[#This Row],[Date]],Database!$A:$C,MATCH($C$1,Database!$A$1:$C$1,),)=0,#N/A,VLOOKUP(Table7[[#This Row],[Date]],Database!$A:$C,MATCH($C$1,Database!$A$1:$C$1,),))</f>
        <v/>
      </c>
      <c r="D14347">
        <f>IFERROR(Table7[[#This Row],[United States 10y]]-Table7[[#This Row],[United States 3y]],#N/A)</f>
        <v/>
      </c>
    </row>
    <row r="14348">
      <c r="A14348" s="6">
        <f>Database!$A16433</f>
        <v/>
      </c>
      <c r="B14348">
        <f>IF(VLOOKUP(Table7[[#This Row],[Date]],Database!$A:$C,MATCH($B$1,Database!$A$1:$C$1,),)=0,#N/A,VLOOKUP(Table7[[#This Row],[Date]],Database!$A:$C,MATCH($B$1,Database!$A$1:$C$1,),))</f>
        <v/>
      </c>
      <c r="C14348">
        <f>IF(VLOOKUP(Table7[[#This Row],[Date]],Database!$A:$C,MATCH($C$1,Database!$A$1:$C$1,),)=0,#N/A,VLOOKUP(Table7[[#This Row],[Date]],Database!$A:$C,MATCH($C$1,Database!$A$1:$C$1,),))</f>
        <v/>
      </c>
      <c r="D14348">
        <f>IFERROR(Table7[[#This Row],[United States 10y]]-Table7[[#This Row],[United States 3y]],#N/A)</f>
        <v/>
      </c>
    </row>
    <row r="14349">
      <c r="A14349" s="6">
        <f>Database!$A16434</f>
        <v/>
      </c>
      <c r="B14349">
        <f>IF(VLOOKUP(Table7[[#This Row],[Date]],Database!$A:$C,MATCH($B$1,Database!$A$1:$C$1,),)=0,#N/A,VLOOKUP(Table7[[#This Row],[Date]],Database!$A:$C,MATCH($B$1,Database!$A$1:$C$1,),))</f>
        <v/>
      </c>
      <c r="C14349">
        <f>IF(VLOOKUP(Table7[[#This Row],[Date]],Database!$A:$C,MATCH($C$1,Database!$A$1:$C$1,),)=0,#N/A,VLOOKUP(Table7[[#This Row],[Date]],Database!$A:$C,MATCH($C$1,Database!$A$1:$C$1,),))</f>
        <v/>
      </c>
      <c r="D14349">
        <f>IFERROR(Table7[[#This Row],[United States 10y]]-Table7[[#This Row],[United States 3y]],#N/A)</f>
        <v/>
      </c>
    </row>
    <row r="14350">
      <c r="A14350" s="6">
        <f>Database!$A16435</f>
        <v/>
      </c>
      <c r="B14350">
        <f>IF(VLOOKUP(Table7[[#This Row],[Date]],Database!$A:$C,MATCH($B$1,Database!$A$1:$C$1,),)=0,#N/A,VLOOKUP(Table7[[#This Row],[Date]],Database!$A:$C,MATCH($B$1,Database!$A$1:$C$1,),))</f>
        <v/>
      </c>
      <c r="C14350">
        <f>IF(VLOOKUP(Table7[[#This Row],[Date]],Database!$A:$C,MATCH($C$1,Database!$A$1:$C$1,),)=0,#N/A,VLOOKUP(Table7[[#This Row],[Date]],Database!$A:$C,MATCH($C$1,Database!$A$1:$C$1,),))</f>
        <v/>
      </c>
      <c r="D14350">
        <f>IFERROR(Table7[[#This Row],[United States 10y]]-Table7[[#This Row],[United States 3y]],#N/A)</f>
        <v/>
      </c>
    </row>
    <row r="14351">
      <c r="A14351" s="6">
        <f>Database!$A16436</f>
        <v/>
      </c>
      <c r="B14351">
        <f>IF(VLOOKUP(Table7[[#This Row],[Date]],Database!$A:$C,MATCH($B$1,Database!$A$1:$C$1,),)=0,#N/A,VLOOKUP(Table7[[#This Row],[Date]],Database!$A:$C,MATCH($B$1,Database!$A$1:$C$1,),))</f>
        <v/>
      </c>
      <c r="C14351">
        <f>IF(VLOOKUP(Table7[[#This Row],[Date]],Database!$A:$C,MATCH($C$1,Database!$A$1:$C$1,),)=0,#N/A,VLOOKUP(Table7[[#This Row],[Date]],Database!$A:$C,MATCH($C$1,Database!$A$1:$C$1,),))</f>
        <v/>
      </c>
      <c r="D14351">
        <f>IFERROR(Table7[[#This Row],[United States 10y]]-Table7[[#This Row],[United States 3y]],#N/A)</f>
        <v/>
      </c>
    </row>
    <row r="14352">
      <c r="A14352" s="6">
        <f>Database!$A16437</f>
        <v/>
      </c>
      <c r="B14352">
        <f>IF(VLOOKUP(Table7[[#This Row],[Date]],Database!$A:$C,MATCH($B$1,Database!$A$1:$C$1,),)=0,#N/A,VLOOKUP(Table7[[#This Row],[Date]],Database!$A:$C,MATCH($B$1,Database!$A$1:$C$1,),))</f>
        <v/>
      </c>
      <c r="C14352">
        <f>IF(VLOOKUP(Table7[[#This Row],[Date]],Database!$A:$C,MATCH($C$1,Database!$A$1:$C$1,),)=0,#N/A,VLOOKUP(Table7[[#This Row],[Date]],Database!$A:$C,MATCH($C$1,Database!$A$1:$C$1,),))</f>
        <v/>
      </c>
      <c r="D14352">
        <f>IFERROR(Table7[[#This Row],[United States 10y]]-Table7[[#This Row],[United States 3y]],#N/A)</f>
        <v/>
      </c>
    </row>
    <row r="14353">
      <c r="A14353" s="6">
        <f>Database!$A16438</f>
        <v/>
      </c>
      <c r="B14353">
        <f>IF(VLOOKUP(Table7[[#This Row],[Date]],Database!$A:$C,MATCH($B$1,Database!$A$1:$C$1,),)=0,#N/A,VLOOKUP(Table7[[#This Row],[Date]],Database!$A:$C,MATCH($B$1,Database!$A$1:$C$1,),))</f>
        <v/>
      </c>
      <c r="C14353">
        <f>IF(VLOOKUP(Table7[[#This Row],[Date]],Database!$A:$C,MATCH($C$1,Database!$A$1:$C$1,),)=0,#N/A,VLOOKUP(Table7[[#This Row],[Date]],Database!$A:$C,MATCH($C$1,Database!$A$1:$C$1,),))</f>
        <v/>
      </c>
      <c r="D14353">
        <f>IFERROR(Table7[[#This Row],[United States 10y]]-Table7[[#This Row],[United States 3y]],#N/A)</f>
        <v/>
      </c>
    </row>
    <row r="14354">
      <c r="A14354" s="6">
        <f>Database!$A16439</f>
        <v/>
      </c>
      <c r="B14354">
        <f>IF(VLOOKUP(Table7[[#This Row],[Date]],Database!$A:$C,MATCH($B$1,Database!$A$1:$C$1,),)=0,#N/A,VLOOKUP(Table7[[#This Row],[Date]],Database!$A:$C,MATCH($B$1,Database!$A$1:$C$1,),))</f>
        <v/>
      </c>
      <c r="C14354">
        <f>IF(VLOOKUP(Table7[[#This Row],[Date]],Database!$A:$C,MATCH($C$1,Database!$A$1:$C$1,),)=0,#N/A,VLOOKUP(Table7[[#This Row],[Date]],Database!$A:$C,MATCH($C$1,Database!$A$1:$C$1,),))</f>
        <v/>
      </c>
      <c r="D14354">
        <f>IFERROR(Table7[[#This Row],[United States 10y]]-Table7[[#This Row],[United States 3y]],#N/A)</f>
        <v/>
      </c>
    </row>
    <row r="14355">
      <c r="A14355" s="6">
        <f>Database!$A16440</f>
        <v/>
      </c>
      <c r="B14355">
        <f>IF(VLOOKUP(Table7[[#This Row],[Date]],Database!$A:$C,MATCH($B$1,Database!$A$1:$C$1,),)=0,#N/A,VLOOKUP(Table7[[#This Row],[Date]],Database!$A:$C,MATCH($B$1,Database!$A$1:$C$1,),))</f>
        <v/>
      </c>
      <c r="C14355">
        <f>IF(VLOOKUP(Table7[[#This Row],[Date]],Database!$A:$C,MATCH($C$1,Database!$A$1:$C$1,),)=0,#N/A,VLOOKUP(Table7[[#This Row],[Date]],Database!$A:$C,MATCH($C$1,Database!$A$1:$C$1,),))</f>
        <v/>
      </c>
      <c r="D14355">
        <f>IFERROR(Table7[[#This Row],[United States 10y]]-Table7[[#This Row],[United States 3y]],#N/A)</f>
        <v/>
      </c>
    </row>
    <row r="14356">
      <c r="A14356" s="6">
        <f>Database!$A16441</f>
        <v/>
      </c>
      <c r="B14356">
        <f>IF(VLOOKUP(Table7[[#This Row],[Date]],Database!$A:$C,MATCH($B$1,Database!$A$1:$C$1,),)=0,#N/A,VLOOKUP(Table7[[#This Row],[Date]],Database!$A:$C,MATCH($B$1,Database!$A$1:$C$1,),))</f>
        <v/>
      </c>
      <c r="C14356">
        <f>IF(VLOOKUP(Table7[[#This Row],[Date]],Database!$A:$C,MATCH($C$1,Database!$A$1:$C$1,),)=0,#N/A,VLOOKUP(Table7[[#This Row],[Date]],Database!$A:$C,MATCH($C$1,Database!$A$1:$C$1,),))</f>
        <v/>
      </c>
      <c r="D14356">
        <f>IFERROR(Table7[[#This Row],[United States 10y]]-Table7[[#This Row],[United States 3y]],#N/A)</f>
        <v/>
      </c>
    </row>
    <row r="14357">
      <c r="A14357" s="6">
        <f>Database!$A16442</f>
        <v/>
      </c>
      <c r="B14357">
        <f>IF(VLOOKUP(Table7[[#This Row],[Date]],Database!$A:$C,MATCH($B$1,Database!$A$1:$C$1,),)=0,#N/A,VLOOKUP(Table7[[#This Row],[Date]],Database!$A:$C,MATCH($B$1,Database!$A$1:$C$1,),))</f>
        <v/>
      </c>
      <c r="C14357">
        <f>IF(VLOOKUP(Table7[[#This Row],[Date]],Database!$A:$C,MATCH($C$1,Database!$A$1:$C$1,),)=0,#N/A,VLOOKUP(Table7[[#This Row],[Date]],Database!$A:$C,MATCH($C$1,Database!$A$1:$C$1,),))</f>
        <v/>
      </c>
      <c r="D14357">
        <f>IFERROR(Table7[[#This Row],[United States 10y]]-Table7[[#This Row],[United States 3y]],#N/A)</f>
        <v/>
      </c>
    </row>
    <row r="14358">
      <c r="A14358" s="6">
        <f>Database!$A16443</f>
        <v/>
      </c>
      <c r="B14358">
        <f>IF(VLOOKUP(Table7[[#This Row],[Date]],Database!$A:$C,MATCH($B$1,Database!$A$1:$C$1,),)=0,#N/A,VLOOKUP(Table7[[#This Row],[Date]],Database!$A:$C,MATCH($B$1,Database!$A$1:$C$1,),))</f>
        <v/>
      </c>
      <c r="C14358">
        <f>IF(VLOOKUP(Table7[[#This Row],[Date]],Database!$A:$C,MATCH($C$1,Database!$A$1:$C$1,),)=0,#N/A,VLOOKUP(Table7[[#This Row],[Date]],Database!$A:$C,MATCH($C$1,Database!$A$1:$C$1,),))</f>
        <v/>
      </c>
      <c r="D14358">
        <f>IFERROR(Table7[[#This Row],[United States 10y]]-Table7[[#This Row],[United States 3y]],#N/A)</f>
        <v/>
      </c>
    </row>
    <row r="14359">
      <c r="A14359" s="6">
        <f>Database!$A16444</f>
        <v/>
      </c>
      <c r="B14359">
        <f>IF(VLOOKUP(Table7[[#This Row],[Date]],Database!$A:$C,MATCH($B$1,Database!$A$1:$C$1,),)=0,#N/A,VLOOKUP(Table7[[#This Row],[Date]],Database!$A:$C,MATCH($B$1,Database!$A$1:$C$1,),))</f>
        <v/>
      </c>
      <c r="C14359">
        <f>IF(VLOOKUP(Table7[[#This Row],[Date]],Database!$A:$C,MATCH($C$1,Database!$A$1:$C$1,),)=0,#N/A,VLOOKUP(Table7[[#This Row],[Date]],Database!$A:$C,MATCH($C$1,Database!$A$1:$C$1,),))</f>
        <v/>
      </c>
      <c r="D14359">
        <f>IFERROR(Table7[[#This Row],[United States 10y]]-Table7[[#This Row],[United States 3y]],#N/A)</f>
        <v/>
      </c>
    </row>
    <row r="14360">
      <c r="A14360" s="6">
        <f>Database!$A16445</f>
        <v/>
      </c>
      <c r="B14360">
        <f>IF(VLOOKUP(Table7[[#This Row],[Date]],Database!$A:$C,MATCH($B$1,Database!$A$1:$C$1,),)=0,#N/A,VLOOKUP(Table7[[#This Row],[Date]],Database!$A:$C,MATCH($B$1,Database!$A$1:$C$1,),))</f>
        <v/>
      </c>
      <c r="C14360">
        <f>IF(VLOOKUP(Table7[[#This Row],[Date]],Database!$A:$C,MATCH($C$1,Database!$A$1:$C$1,),)=0,#N/A,VLOOKUP(Table7[[#This Row],[Date]],Database!$A:$C,MATCH($C$1,Database!$A$1:$C$1,),))</f>
        <v/>
      </c>
      <c r="D14360">
        <f>IFERROR(Table7[[#This Row],[United States 10y]]-Table7[[#This Row],[United States 3y]],#N/A)</f>
        <v/>
      </c>
    </row>
    <row r="14361">
      <c r="A14361" s="6">
        <f>Database!$A16446</f>
        <v/>
      </c>
      <c r="B14361">
        <f>IF(VLOOKUP(Table7[[#This Row],[Date]],Database!$A:$C,MATCH($B$1,Database!$A$1:$C$1,),)=0,#N/A,VLOOKUP(Table7[[#This Row],[Date]],Database!$A:$C,MATCH($B$1,Database!$A$1:$C$1,),))</f>
        <v/>
      </c>
      <c r="C14361">
        <f>IF(VLOOKUP(Table7[[#This Row],[Date]],Database!$A:$C,MATCH($C$1,Database!$A$1:$C$1,),)=0,#N/A,VLOOKUP(Table7[[#This Row],[Date]],Database!$A:$C,MATCH($C$1,Database!$A$1:$C$1,),))</f>
        <v/>
      </c>
      <c r="D14361">
        <f>IFERROR(Table7[[#This Row],[United States 10y]]-Table7[[#This Row],[United States 3y]],#N/A)</f>
        <v/>
      </c>
    </row>
    <row r="14362">
      <c r="A14362" s="6">
        <f>Database!$A16447</f>
        <v/>
      </c>
      <c r="B14362">
        <f>IF(VLOOKUP(Table7[[#This Row],[Date]],Database!$A:$C,MATCH($B$1,Database!$A$1:$C$1,),)=0,#N/A,VLOOKUP(Table7[[#This Row],[Date]],Database!$A:$C,MATCH($B$1,Database!$A$1:$C$1,),))</f>
        <v/>
      </c>
      <c r="C14362">
        <f>IF(VLOOKUP(Table7[[#This Row],[Date]],Database!$A:$C,MATCH($C$1,Database!$A$1:$C$1,),)=0,#N/A,VLOOKUP(Table7[[#This Row],[Date]],Database!$A:$C,MATCH($C$1,Database!$A$1:$C$1,),))</f>
        <v/>
      </c>
      <c r="D14362">
        <f>IFERROR(Table7[[#This Row],[United States 10y]]-Table7[[#This Row],[United States 3y]],#N/A)</f>
        <v/>
      </c>
    </row>
    <row r="14363">
      <c r="A14363" s="6">
        <f>Database!$A16448</f>
        <v/>
      </c>
      <c r="B14363">
        <f>IF(VLOOKUP(Table7[[#This Row],[Date]],Database!$A:$C,MATCH($B$1,Database!$A$1:$C$1,),)=0,#N/A,VLOOKUP(Table7[[#This Row],[Date]],Database!$A:$C,MATCH($B$1,Database!$A$1:$C$1,),))</f>
        <v/>
      </c>
      <c r="C14363">
        <f>IF(VLOOKUP(Table7[[#This Row],[Date]],Database!$A:$C,MATCH($C$1,Database!$A$1:$C$1,),)=0,#N/A,VLOOKUP(Table7[[#This Row],[Date]],Database!$A:$C,MATCH($C$1,Database!$A$1:$C$1,),))</f>
        <v/>
      </c>
      <c r="D14363">
        <f>IFERROR(Table7[[#This Row],[United States 10y]]-Table7[[#This Row],[United States 3y]],#N/A)</f>
        <v/>
      </c>
    </row>
    <row r="14364">
      <c r="A14364" s="6">
        <f>Database!$A16449</f>
        <v/>
      </c>
      <c r="B14364">
        <f>IF(VLOOKUP(Table7[[#This Row],[Date]],Database!$A:$C,MATCH($B$1,Database!$A$1:$C$1,),)=0,#N/A,VLOOKUP(Table7[[#This Row],[Date]],Database!$A:$C,MATCH($B$1,Database!$A$1:$C$1,),))</f>
        <v/>
      </c>
      <c r="C14364">
        <f>IF(VLOOKUP(Table7[[#This Row],[Date]],Database!$A:$C,MATCH($C$1,Database!$A$1:$C$1,),)=0,#N/A,VLOOKUP(Table7[[#This Row],[Date]],Database!$A:$C,MATCH($C$1,Database!$A$1:$C$1,),))</f>
        <v/>
      </c>
      <c r="D14364">
        <f>IFERROR(Table7[[#This Row],[United States 10y]]-Table7[[#This Row],[United States 3y]],#N/A)</f>
        <v/>
      </c>
    </row>
    <row r="14365">
      <c r="A14365" s="6">
        <f>Database!$A16450</f>
        <v/>
      </c>
      <c r="B14365">
        <f>IF(VLOOKUP(Table7[[#This Row],[Date]],Database!$A:$C,MATCH($B$1,Database!$A$1:$C$1,),)=0,#N/A,VLOOKUP(Table7[[#This Row],[Date]],Database!$A:$C,MATCH($B$1,Database!$A$1:$C$1,),))</f>
        <v/>
      </c>
      <c r="C14365">
        <f>IF(VLOOKUP(Table7[[#This Row],[Date]],Database!$A:$C,MATCH($C$1,Database!$A$1:$C$1,),)=0,#N/A,VLOOKUP(Table7[[#This Row],[Date]],Database!$A:$C,MATCH($C$1,Database!$A$1:$C$1,),))</f>
        <v/>
      </c>
      <c r="D14365">
        <f>IFERROR(Table7[[#This Row],[United States 10y]]-Table7[[#This Row],[United States 3y]],#N/A)</f>
        <v/>
      </c>
    </row>
    <row r="14366">
      <c r="A14366" s="6">
        <f>Database!$A16451</f>
        <v/>
      </c>
      <c r="B14366">
        <f>IF(VLOOKUP(Table7[[#This Row],[Date]],Database!$A:$C,MATCH($B$1,Database!$A$1:$C$1,),)=0,#N/A,VLOOKUP(Table7[[#This Row],[Date]],Database!$A:$C,MATCH($B$1,Database!$A$1:$C$1,),))</f>
        <v/>
      </c>
      <c r="C14366">
        <f>IF(VLOOKUP(Table7[[#This Row],[Date]],Database!$A:$C,MATCH($C$1,Database!$A$1:$C$1,),)=0,#N/A,VLOOKUP(Table7[[#This Row],[Date]],Database!$A:$C,MATCH($C$1,Database!$A$1:$C$1,),))</f>
        <v/>
      </c>
      <c r="D14366">
        <f>IFERROR(Table7[[#This Row],[United States 10y]]-Table7[[#This Row],[United States 3y]],#N/A)</f>
        <v/>
      </c>
    </row>
    <row r="14367">
      <c r="A14367" s="6">
        <f>Database!$A16452</f>
        <v/>
      </c>
      <c r="B14367">
        <f>IF(VLOOKUP(Table7[[#This Row],[Date]],Database!$A:$C,MATCH($B$1,Database!$A$1:$C$1,),)=0,#N/A,VLOOKUP(Table7[[#This Row],[Date]],Database!$A:$C,MATCH($B$1,Database!$A$1:$C$1,),))</f>
        <v/>
      </c>
      <c r="C14367">
        <f>IF(VLOOKUP(Table7[[#This Row],[Date]],Database!$A:$C,MATCH($C$1,Database!$A$1:$C$1,),)=0,#N/A,VLOOKUP(Table7[[#This Row],[Date]],Database!$A:$C,MATCH($C$1,Database!$A$1:$C$1,),))</f>
        <v/>
      </c>
      <c r="D14367">
        <f>IFERROR(Table7[[#This Row],[United States 10y]]-Table7[[#This Row],[United States 3y]],#N/A)</f>
        <v/>
      </c>
    </row>
    <row r="14368">
      <c r="A14368" s="6">
        <f>Database!$A16453</f>
        <v/>
      </c>
      <c r="B14368">
        <f>IF(VLOOKUP(Table7[[#This Row],[Date]],Database!$A:$C,MATCH($B$1,Database!$A$1:$C$1,),)=0,#N/A,VLOOKUP(Table7[[#This Row],[Date]],Database!$A:$C,MATCH($B$1,Database!$A$1:$C$1,),))</f>
        <v/>
      </c>
      <c r="C14368">
        <f>IF(VLOOKUP(Table7[[#This Row],[Date]],Database!$A:$C,MATCH($C$1,Database!$A$1:$C$1,),)=0,#N/A,VLOOKUP(Table7[[#This Row],[Date]],Database!$A:$C,MATCH($C$1,Database!$A$1:$C$1,),))</f>
        <v/>
      </c>
      <c r="D14368">
        <f>IFERROR(Table7[[#This Row],[United States 10y]]-Table7[[#This Row],[United States 3y]],#N/A)</f>
        <v/>
      </c>
    </row>
    <row r="14369">
      <c r="A14369" s="6">
        <f>Database!$A16454</f>
        <v/>
      </c>
      <c r="B14369">
        <f>IF(VLOOKUP(Table7[[#This Row],[Date]],Database!$A:$C,MATCH($B$1,Database!$A$1:$C$1,),)=0,#N/A,VLOOKUP(Table7[[#This Row],[Date]],Database!$A:$C,MATCH($B$1,Database!$A$1:$C$1,),))</f>
        <v/>
      </c>
      <c r="C14369">
        <f>IF(VLOOKUP(Table7[[#This Row],[Date]],Database!$A:$C,MATCH($C$1,Database!$A$1:$C$1,),)=0,#N/A,VLOOKUP(Table7[[#This Row],[Date]],Database!$A:$C,MATCH($C$1,Database!$A$1:$C$1,),))</f>
        <v/>
      </c>
      <c r="D14369">
        <f>IFERROR(Table7[[#This Row],[United States 10y]]-Table7[[#This Row],[United States 3y]],#N/A)</f>
        <v/>
      </c>
    </row>
    <row r="14370">
      <c r="A14370" s="6">
        <f>Database!$A16455</f>
        <v/>
      </c>
      <c r="B14370">
        <f>IF(VLOOKUP(Table7[[#This Row],[Date]],Database!$A:$C,MATCH($B$1,Database!$A$1:$C$1,),)=0,#N/A,VLOOKUP(Table7[[#This Row],[Date]],Database!$A:$C,MATCH($B$1,Database!$A$1:$C$1,),))</f>
        <v/>
      </c>
      <c r="C14370">
        <f>IF(VLOOKUP(Table7[[#This Row],[Date]],Database!$A:$C,MATCH($C$1,Database!$A$1:$C$1,),)=0,#N/A,VLOOKUP(Table7[[#This Row],[Date]],Database!$A:$C,MATCH($C$1,Database!$A$1:$C$1,),))</f>
        <v/>
      </c>
      <c r="D14370">
        <f>IFERROR(Table7[[#This Row],[United States 10y]]-Table7[[#This Row],[United States 3y]],#N/A)</f>
        <v/>
      </c>
    </row>
    <row r="14371">
      <c r="A14371" s="6">
        <f>Database!$A16456</f>
        <v/>
      </c>
      <c r="B14371">
        <f>IF(VLOOKUP(Table7[[#This Row],[Date]],Database!$A:$C,MATCH($B$1,Database!$A$1:$C$1,),)=0,#N/A,VLOOKUP(Table7[[#This Row],[Date]],Database!$A:$C,MATCH($B$1,Database!$A$1:$C$1,),))</f>
        <v/>
      </c>
      <c r="C14371">
        <f>IF(VLOOKUP(Table7[[#This Row],[Date]],Database!$A:$C,MATCH($C$1,Database!$A$1:$C$1,),)=0,#N/A,VLOOKUP(Table7[[#This Row],[Date]],Database!$A:$C,MATCH($C$1,Database!$A$1:$C$1,),))</f>
        <v/>
      </c>
      <c r="D14371">
        <f>IFERROR(Table7[[#This Row],[United States 10y]]-Table7[[#This Row],[United States 3y]],#N/A)</f>
        <v/>
      </c>
    </row>
    <row r="14372">
      <c r="A14372" s="6">
        <f>Database!$A16457</f>
        <v/>
      </c>
      <c r="B14372">
        <f>IF(VLOOKUP(Table7[[#This Row],[Date]],Database!$A:$C,MATCH($B$1,Database!$A$1:$C$1,),)=0,#N/A,VLOOKUP(Table7[[#This Row],[Date]],Database!$A:$C,MATCH($B$1,Database!$A$1:$C$1,),))</f>
        <v/>
      </c>
      <c r="C14372">
        <f>IF(VLOOKUP(Table7[[#This Row],[Date]],Database!$A:$C,MATCH($C$1,Database!$A$1:$C$1,),)=0,#N/A,VLOOKUP(Table7[[#This Row],[Date]],Database!$A:$C,MATCH($C$1,Database!$A$1:$C$1,),))</f>
        <v/>
      </c>
      <c r="D14372">
        <f>IFERROR(Table7[[#This Row],[United States 10y]]-Table7[[#This Row],[United States 3y]],#N/A)</f>
        <v/>
      </c>
    </row>
    <row r="14373">
      <c r="A14373" s="6">
        <f>Database!$A16458</f>
        <v/>
      </c>
      <c r="B14373">
        <f>IF(VLOOKUP(Table7[[#This Row],[Date]],Database!$A:$C,MATCH($B$1,Database!$A$1:$C$1,),)=0,#N/A,VLOOKUP(Table7[[#This Row],[Date]],Database!$A:$C,MATCH($B$1,Database!$A$1:$C$1,),))</f>
        <v/>
      </c>
      <c r="C14373">
        <f>IF(VLOOKUP(Table7[[#This Row],[Date]],Database!$A:$C,MATCH($C$1,Database!$A$1:$C$1,),)=0,#N/A,VLOOKUP(Table7[[#This Row],[Date]],Database!$A:$C,MATCH($C$1,Database!$A$1:$C$1,),))</f>
        <v/>
      </c>
      <c r="D14373">
        <f>IFERROR(Table7[[#This Row],[United States 10y]]-Table7[[#This Row],[United States 3y]],#N/A)</f>
        <v/>
      </c>
    </row>
    <row r="14374">
      <c r="A14374" s="6">
        <f>Database!$A16459</f>
        <v/>
      </c>
      <c r="B14374">
        <f>IF(VLOOKUP(Table7[[#This Row],[Date]],Database!$A:$C,MATCH($B$1,Database!$A$1:$C$1,),)=0,#N/A,VLOOKUP(Table7[[#This Row],[Date]],Database!$A:$C,MATCH($B$1,Database!$A$1:$C$1,),))</f>
        <v/>
      </c>
      <c r="C14374">
        <f>IF(VLOOKUP(Table7[[#This Row],[Date]],Database!$A:$C,MATCH($C$1,Database!$A$1:$C$1,),)=0,#N/A,VLOOKUP(Table7[[#This Row],[Date]],Database!$A:$C,MATCH($C$1,Database!$A$1:$C$1,),))</f>
        <v/>
      </c>
      <c r="D14374">
        <f>IFERROR(Table7[[#This Row],[United States 10y]]-Table7[[#This Row],[United States 3y]],#N/A)</f>
        <v/>
      </c>
    </row>
    <row r="14375">
      <c r="A14375" s="6">
        <f>Database!$A16460</f>
        <v/>
      </c>
      <c r="B14375">
        <f>IF(VLOOKUP(Table7[[#This Row],[Date]],Database!$A:$C,MATCH($B$1,Database!$A$1:$C$1,),)=0,#N/A,VLOOKUP(Table7[[#This Row],[Date]],Database!$A:$C,MATCH($B$1,Database!$A$1:$C$1,),))</f>
        <v/>
      </c>
      <c r="C14375">
        <f>IF(VLOOKUP(Table7[[#This Row],[Date]],Database!$A:$C,MATCH($C$1,Database!$A$1:$C$1,),)=0,#N/A,VLOOKUP(Table7[[#This Row],[Date]],Database!$A:$C,MATCH($C$1,Database!$A$1:$C$1,),))</f>
        <v/>
      </c>
      <c r="D14375">
        <f>IFERROR(Table7[[#This Row],[United States 10y]]-Table7[[#This Row],[United States 3y]],#N/A)</f>
        <v/>
      </c>
    </row>
    <row r="14376">
      <c r="A14376" s="6">
        <f>Database!$A16461</f>
        <v/>
      </c>
      <c r="B14376">
        <f>IF(VLOOKUP(Table7[[#This Row],[Date]],Database!$A:$C,MATCH($B$1,Database!$A$1:$C$1,),)=0,#N/A,VLOOKUP(Table7[[#This Row],[Date]],Database!$A:$C,MATCH($B$1,Database!$A$1:$C$1,),))</f>
        <v/>
      </c>
      <c r="C14376">
        <f>IF(VLOOKUP(Table7[[#This Row],[Date]],Database!$A:$C,MATCH($C$1,Database!$A$1:$C$1,),)=0,#N/A,VLOOKUP(Table7[[#This Row],[Date]],Database!$A:$C,MATCH($C$1,Database!$A$1:$C$1,),))</f>
        <v/>
      </c>
      <c r="D14376">
        <f>IFERROR(Table7[[#This Row],[United States 10y]]-Table7[[#This Row],[United States 3y]],#N/A)</f>
        <v/>
      </c>
    </row>
    <row r="14377">
      <c r="A14377" s="6">
        <f>Database!$A16462</f>
        <v/>
      </c>
      <c r="B14377">
        <f>IF(VLOOKUP(Table7[[#This Row],[Date]],Database!$A:$C,MATCH($B$1,Database!$A$1:$C$1,),)=0,#N/A,VLOOKUP(Table7[[#This Row],[Date]],Database!$A:$C,MATCH($B$1,Database!$A$1:$C$1,),))</f>
        <v/>
      </c>
      <c r="C14377">
        <f>IF(VLOOKUP(Table7[[#This Row],[Date]],Database!$A:$C,MATCH($C$1,Database!$A$1:$C$1,),)=0,#N/A,VLOOKUP(Table7[[#This Row],[Date]],Database!$A:$C,MATCH($C$1,Database!$A$1:$C$1,),))</f>
        <v/>
      </c>
      <c r="D14377">
        <f>IFERROR(Table7[[#This Row],[United States 10y]]-Table7[[#This Row],[United States 3y]],#N/A)</f>
        <v/>
      </c>
    </row>
    <row r="14378">
      <c r="A14378" s="6">
        <f>Database!$A16463</f>
        <v/>
      </c>
      <c r="B14378">
        <f>IF(VLOOKUP(Table7[[#This Row],[Date]],Database!$A:$C,MATCH($B$1,Database!$A$1:$C$1,),)=0,#N/A,VLOOKUP(Table7[[#This Row],[Date]],Database!$A:$C,MATCH($B$1,Database!$A$1:$C$1,),))</f>
        <v/>
      </c>
      <c r="C14378">
        <f>IF(VLOOKUP(Table7[[#This Row],[Date]],Database!$A:$C,MATCH($C$1,Database!$A$1:$C$1,),)=0,#N/A,VLOOKUP(Table7[[#This Row],[Date]],Database!$A:$C,MATCH($C$1,Database!$A$1:$C$1,),))</f>
        <v/>
      </c>
      <c r="D14378">
        <f>IFERROR(Table7[[#This Row],[United States 10y]]-Table7[[#This Row],[United States 3y]],#N/A)</f>
        <v/>
      </c>
    </row>
    <row r="14379">
      <c r="A14379" s="6">
        <f>Database!$A16464</f>
        <v/>
      </c>
      <c r="B14379">
        <f>IF(VLOOKUP(Table7[[#This Row],[Date]],Database!$A:$C,MATCH($B$1,Database!$A$1:$C$1,),)=0,#N/A,VLOOKUP(Table7[[#This Row],[Date]],Database!$A:$C,MATCH($B$1,Database!$A$1:$C$1,),))</f>
        <v/>
      </c>
      <c r="C14379">
        <f>IF(VLOOKUP(Table7[[#This Row],[Date]],Database!$A:$C,MATCH($C$1,Database!$A$1:$C$1,),)=0,#N/A,VLOOKUP(Table7[[#This Row],[Date]],Database!$A:$C,MATCH($C$1,Database!$A$1:$C$1,),))</f>
        <v/>
      </c>
      <c r="D14379">
        <f>IFERROR(Table7[[#This Row],[United States 10y]]-Table7[[#This Row],[United States 3y]],#N/A)</f>
        <v/>
      </c>
    </row>
    <row r="14380">
      <c r="A14380" s="6">
        <f>Database!$A16465</f>
        <v/>
      </c>
      <c r="B14380">
        <f>IF(VLOOKUP(Table7[[#This Row],[Date]],Database!$A:$C,MATCH($B$1,Database!$A$1:$C$1,),)=0,#N/A,VLOOKUP(Table7[[#This Row],[Date]],Database!$A:$C,MATCH($B$1,Database!$A$1:$C$1,),))</f>
        <v/>
      </c>
      <c r="C14380">
        <f>IF(VLOOKUP(Table7[[#This Row],[Date]],Database!$A:$C,MATCH($C$1,Database!$A$1:$C$1,),)=0,#N/A,VLOOKUP(Table7[[#This Row],[Date]],Database!$A:$C,MATCH($C$1,Database!$A$1:$C$1,),))</f>
        <v/>
      </c>
      <c r="D14380">
        <f>IFERROR(Table7[[#This Row],[United States 10y]]-Table7[[#This Row],[United States 3y]],#N/A)</f>
        <v/>
      </c>
    </row>
    <row r="14381">
      <c r="A14381" s="6">
        <f>Database!$A16466</f>
        <v/>
      </c>
      <c r="B14381">
        <f>IF(VLOOKUP(Table7[[#This Row],[Date]],Database!$A:$C,MATCH($B$1,Database!$A$1:$C$1,),)=0,#N/A,VLOOKUP(Table7[[#This Row],[Date]],Database!$A:$C,MATCH($B$1,Database!$A$1:$C$1,),))</f>
        <v/>
      </c>
      <c r="C14381">
        <f>IF(VLOOKUP(Table7[[#This Row],[Date]],Database!$A:$C,MATCH($C$1,Database!$A$1:$C$1,),)=0,#N/A,VLOOKUP(Table7[[#This Row],[Date]],Database!$A:$C,MATCH($C$1,Database!$A$1:$C$1,),))</f>
        <v/>
      </c>
      <c r="D14381">
        <f>IFERROR(Table7[[#This Row],[United States 10y]]-Table7[[#This Row],[United States 3y]],#N/A)</f>
        <v/>
      </c>
    </row>
    <row r="14382">
      <c r="A14382" s="6">
        <f>Database!$A16467</f>
        <v/>
      </c>
      <c r="B14382">
        <f>IF(VLOOKUP(Table7[[#This Row],[Date]],Database!$A:$C,MATCH($B$1,Database!$A$1:$C$1,),)=0,#N/A,VLOOKUP(Table7[[#This Row],[Date]],Database!$A:$C,MATCH($B$1,Database!$A$1:$C$1,),))</f>
        <v/>
      </c>
      <c r="C14382">
        <f>IF(VLOOKUP(Table7[[#This Row],[Date]],Database!$A:$C,MATCH($C$1,Database!$A$1:$C$1,),)=0,#N/A,VLOOKUP(Table7[[#This Row],[Date]],Database!$A:$C,MATCH($C$1,Database!$A$1:$C$1,),))</f>
        <v/>
      </c>
      <c r="D14382">
        <f>IFERROR(Table7[[#This Row],[United States 10y]]-Table7[[#This Row],[United States 3y]],#N/A)</f>
        <v/>
      </c>
    </row>
    <row r="14383">
      <c r="A14383" s="6">
        <f>Database!$A16468</f>
        <v/>
      </c>
      <c r="B14383">
        <f>IF(VLOOKUP(Table7[[#This Row],[Date]],Database!$A:$C,MATCH($B$1,Database!$A$1:$C$1,),)=0,#N/A,VLOOKUP(Table7[[#This Row],[Date]],Database!$A:$C,MATCH($B$1,Database!$A$1:$C$1,),))</f>
        <v/>
      </c>
      <c r="C14383">
        <f>IF(VLOOKUP(Table7[[#This Row],[Date]],Database!$A:$C,MATCH($C$1,Database!$A$1:$C$1,),)=0,#N/A,VLOOKUP(Table7[[#This Row],[Date]],Database!$A:$C,MATCH($C$1,Database!$A$1:$C$1,),))</f>
        <v/>
      </c>
      <c r="D14383">
        <f>IFERROR(Table7[[#This Row],[United States 10y]]-Table7[[#This Row],[United States 3y]],#N/A)</f>
        <v/>
      </c>
    </row>
    <row r="14384">
      <c r="A14384" s="6">
        <f>Database!$A16469</f>
        <v/>
      </c>
      <c r="B14384">
        <f>IF(VLOOKUP(Table7[[#This Row],[Date]],Database!$A:$C,MATCH($B$1,Database!$A$1:$C$1,),)=0,#N/A,VLOOKUP(Table7[[#This Row],[Date]],Database!$A:$C,MATCH($B$1,Database!$A$1:$C$1,),))</f>
        <v/>
      </c>
      <c r="C14384">
        <f>IF(VLOOKUP(Table7[[#This Row],[Date]],Database!$A:$C,MATCH($C$1,Database!$A$1:$C$1,),)=0,#N/A,VLOOKUP(Table7[[#This Row],[Date]],Database!$A:$C,MATCH($C$1,Database!$A$1:$C$1,),))</f>
        <v/>
      </c>
      <c r="D14384">
        <f>IFERROR(Table7[[#This Row],[United States 10y]]-Table7[[#This Row],[United States 3y]],#N/A)</f>
        <v/>
      </c>
    </row>
    <row r="14385">
      <c r="A14385" s="6">
        <f>Database!$A16470</f>
        <v/>
      </c>
      <c r="B14385">
        <f>IF(VLOOKUP(Table7[[#This Row],[Date]],Database!$A:$C,MATCH($B$1,Database!$A$1:$C$1,),)=0,#N/A,VLOOKUP(Table7[[#This Row],[Date]],Database!$A:$C,MATCH($B$1,Database!$A$1:$C$1,),))</f>
        <v/>
      </c>
      <c r="C14385">
        <f>IF(VLOOKUP(Table7[[#This Row],[Date]],Database!$A:$C,MATCH($C$1,Database!$A$1:$C$1,),)=0,#N/A,VLOOKUP(Table7[[#This Row],[Date]],Database!$A:$C,MATCH($C$1,Database!$A$1:$C$1,),))</f>
        <v/>
      </c>
      <c r="D14385">
        <f>IFERROR(Table7[[#This Row],[United States 10y]]-Table7[[#This Row],[United States 3y]],#N/A)</f>
        <v/>
      </c>
    </row>
    <row r="14386">
      <c r="A14386" s="6">
        <f>Database!$A16471</f>
        <v/>
      </c>
      <c r="B14386">
        <f>IF(VLOOKUP(Table7[[#This Row],[Date]],Database!$A:$C,MATCH($B$1,Database!$A$1:$C$1,),)=0,#N/A,VLOOKUP(Table7[[#This Row],[Date]],Database!$A:$C,MATCH($B$1,Database!$A$1:$C$1,),))</f>
        <v/>
      </c>
      <c r="C14386">
        <f>IF(VLOOKUP(Table7[[#This Row],[Date]],Database!$A:$C,MATCH($C$1,Database!$A$1:$C$1,),)=0,#N/A,VLOOKUP(Table7[[#This Row],[Date]],Database!$A:$C,MATCH($C$1,Database!$A$1:$C$1,),))</f>
        <v/>
      </c>
      <c r="D14386">
        <f>IFERROR(Table7[[#This Row],[United States 10y]]-Table7[[#This Row],[United States 3y]],#N/A)</f>
        <v/>
      </c>
    </row>
    <row r="14387">
      <c r="A14387" s="6">
        <f>Database!$A16472</f>
        <v/>
      </c>
      <c r="B14387">
        <f>IF(VLOOKUP(Table7[[#This Row],[Date]],Database!$A:$C,MATCH($B$1,Database!$A$1:$C$1,),)=0,#N/A,VLOOKUP(Table7[[#This Row],[Date]],Database!$A:$C,MATCH($B$1,Database!$A$1:$C$1,),))</f>
        <v/>
      </c>
      <c r="C14387">
        <f>IF(VLOOKUP(Table7[[#This Row],[Date]],Database!$A:$C,MATCH($C$1,Database!$A$1:$C$1,),)=0,#N/A,VLOOKUP(Table7[[#This Row],[Date]],Database!$A:$C,MATCH($C$1,Database!$A$1:$C$1,),))</f>
        <v/>
      </c>
      <c r="D14387">
        <f>IFERROR(Table7[[#This Row],[United States 10y]]-Table7[[#This Row],[United States 3y]],#N/A)</f>
        <v/>
      </c>
    </row>
    <row r="14388">
      <c r="A14388" s="6">
        <f>Database!$A16473</f>
        <v/>
      </c>
      <c r="B14388">
        <f>IF(VLOOKUP(Table7[[#This Row],[Date]],Database!$A:$C,MATCH($B$1,Database!$A$1:$C$1,),)=0,#N/A,VLOOKUP(Table7[[#This Row],[Date]],Database!$A:$C,MATCH($B$1,Database!$A$1:$C$1,),))</f>
        <v/>
      </c>
      <c r="C14388">
        <f>IF(VLOOKUP(Table7[[#This Row],[Date]],Database!$A:$C,MATCH($C$1,Database!$A$1:$C$1,),)=0,#N/A,VLOOKUP(Table7[[#This Row],[Date]],Database!$A:$C,MATCH($C$1,Database!$A$1:$C$1,),))</f>
        <v/>
      </c>
      <c r="D14388">
        <f>IFERROR(Table7[[#This Row],[United States 10y]]-Table7[[#This Row],[United States 3y]],#N/A)</f>
        <v/>
      </c>
    </row>
    <row r="14389">
      <c r="A14389" s="6">
        <f>Database!$A16474</f>
        <v/>
      </c>
      <c r="B14389">
        <f>IF(VLOOKUP(Table7[[#This Row],[Date]],Database!$A:$C,MATCH($B$1,Database!$A$1:$C$1,),)=0,#N/A,VLOOKUP(Table7[[#This Row],[Date]],Database!$A:$C,MATCH($B$1,Database!$A$1:$C$1,),))</f>
        <v/>
      </c>
      <c r="C14389">
        <f>IF(VLOOKUP(Table7[[#This Row],[Date]],Database!$A:$C,MATCH($C$1,Database!$A$1:$C$1,),)=0,#N/A,VLOOKUP(Table7[[#This Row],[Date]],Database!$A:$C,MATCH($C$1,Database!$A$1:$C$1,),))</f>
        <v/>
      </c>
      <c r="D14389">
        <f>IFERROR(Table7[[#This Row],[United States 10y]]-Table7[[#This Row],[United States 3y]],#N/A)</f>
        <v/>
      </c>
    </row>
    <row r="14390">
      <c r="A14390" s="6">
        <f>Database!$A16475</f>
        <v/>
      </c>
      <c r="B14390">
        <f>IF(VLOOKUP(Table7[[#This Row],[Date]],Database!$A:$C,MATCH($B$1,Database!$A$1:$C$1,),)=0,#N/A,VLOOKUP(Table7[[#This Row],[Date]],Database!$A:$C,MATCH($B$1,Database!$A$1:$C$1,),))</f>
        <v/>
      </c>
      <c r="C14390">
        <f>IF(VLOOKUP(Table7[[#This Row],[Date]],Database!$A:$C,MATCH($C$1,Database!$A$1:$C$1,),)=0,#N/A,VLOOKUP(Table7[[#This Row],[Date]],Database!$A:$C,MATCH($C$1,Database!$A$1:$C$1,),))</f>
        <v/>
      </c>
      <c r="D14390">
        <f>IFERROR(Table7[[#This Row],[United States 10y]]-Table7[[#This Row],[United States 3y]],#N/A)</f>
        <v/>
      </c>
    </row>
    <row r="14391">
      <c r="A14391" s="6">
        <f>Database!$A16476</f>
        <v/>
      </c>
      <c r="B14391">
        <f>IF(VLOOKUP(Table7[[#This Row],[Date]],Database!$A:$C,MATCH($B$1,Database!$A$1:$C$1,),)=0,#N/A,VLOOKUP(Table7[[#This Row],[Date]],Database!$A:$C,MATCH($B$1,Database!$A$1:$C$1,),))</f>
        <v/>
      </c>
      <c r="C14391">
        <f>IF(VLOOKUP(Table7[[#This Row],[Date]],Database!$A:$C,MATCH($C$1,Database!$A$1:$C$1,),)=0,#N/A,VLOOKUP(Table7[[#This Row],[Date]],Database!$A:$C,MATCH($C$1,Database!$A$1:$C$1,),))</f>
        <v/>
      </c>
      <c r="D14391">
        <f>IFERROR(Table7[[#This Row],[United States 10y]]-Table7[[#This Row],[United States 3y]],#N/A)</f>
        <v/>
      </c>
    </row>
    <row r="14392">
      <c r="A14392" s="6">
        <f>Database!$A16477</f>
        <v/>
      </c>
      <c r="B14392">
        <f>IF(VLOOKUP(Table7[[#This Row],[Date]],Database!$A:$C,MATCH($B$1,Database!$A$1:$C$1,),)=0,#N/A,VLOOKUP(Table7[[#This Row],[Date]],Database!$A:$C,MATCH($B$1,Database!$A$1:$C$1,),))</f>
        <v/>
      </c>
      <c r="C14392">
        <f>IF(VLOOKUP(Table7[[#This Row],[Date]],Database!$A:$C,MATCH($C$1,Database!$A$1:$C$1,),)=0,#N/A,VLOOKUP(Table7[[#This Row],[Date]],Database!$A:$C,MATCH($C$1,Database!$A$1:$C$1,),))</f>
        <v/>
      </c>
      <c r="D14392">
        <f>IFERROR(Table7[[#This Row],[United States 10y]]-Table7[[#This Row],[United States 3y]],#N/A)</f>
        <v/>
      </c>
    </row>
    <row r="14393">
      <c r="A14393" s="6">
        <f>Database!$A16478</f>
        <v/>
      </c>
      <c r="B14393">
        <f>IF(VLOOKUP(Table7[[#This Row],[Date]],Database!$A:$C,MATCH($B$1,Database!$A$1:$C$1,),)=0,#N/A,VLOOKUP(Table7[[#This Row],[Date]],Database!$A:$C,MATCH($B$1,Database!$A$1:$C$1,),))</f>
        <v/>
      </c>
      <c r="C14393">
        <f>IF(VLOOKUP(Table7[[#This Row],[Date]],Database!$A:$C,MATCH($C$1,Database!$A$1:$C$1,),)=0,#N/A,VLOOKUP(Table7[[#This Row],[Date]],Database!$A:$C,MATCH($C$1,Database!$A$1:$C$1,),))</f>
        <v/>
      </c>
      <c r="D14393">
        <f>IFERROR(Table7[[#This Row],[United States 10y]]-Table7[[#This Row],[United States 3y]],#N/A)</f>
        <v/>
      </c>
    </row>
    <row r="14394">
      <c r="A14394" s="6">
        <f>Database!$A16479</f>
        <v/>
      </c>
      <c r="B14394">
        <f>IF(VLOOKUP(Table7[[#This Row],[Date]],Database!$A:$C,MATCH($B$1,Database!$A$1:$C$1,),)=0,#N/A,VLOOKUP(Table7[[#This Row],[Date]],Database!$A:$C,MATCH($B$1,Database!$A$1:$C$1,),))</f>
        <v/>
      </c>
      <c r="C14394">
        <f>IF(VLOOKUP(Table7[[#This Row],[Date]],Database!$A:$C,MATCH($C$1,Database!$A$1:$C$1,),)=0,#N/A,VLOOKUP(Table7[[#This Row],[Date]],Database!$A:$C,MATCH($C$1,Database!$A$1:$C$1,),))</f>
        <v/>
      </c>
      <c r="D14394">
        <f>IFERROR(Table7[[#This Row],[United States 10y]]-Table7[[#This Row],[United States 3y]],#N/A)</f>
        <v/>
      </c>
    </row>
    <row r="14395">
      <c r="A14395" s="6">
        <f>Database!$A16480</f>
        <v/>
      </c>
      <c r="B14395">
        <f>IF(VLOOKUP(Table7[[#This Row],[Date]],Database!$A:$C,MATCH($B$1,Database!$A$1:$C$1,),)=0,#N/A,VLOOKUP(Table7[[#This Row],[Date]],Database!$A:$C,MATCH($B$1,Database!$A$1:$C$1,),))</f>
        <v/>
      </c>
      <c r="C14395">
        <f>IF(VLOOKUP(Table7[[#This Row],[Date]],Database!$A:$C,MATCH($C$1,Database!$A$1:$C$1,),)=0,#N/A,VLOOKUP(Table7[[#This Row],[Date]],Database!$A:$C,MATCH($C$1,Database!$A$1:$C$1,),))</f>
        <v/>
      </c>
      <c r="D14395">
        <f>IFERROR(Table7[[#This Row],[United States 10y]]-Table7[[#This Row],[United States 3y]],#N/A)</f>
        <v/>
      </c>
    </row>
    <row r="14396">
      <c r="A14396" s="6">
        <f>Database!$A16481</f>
        <v/>
      </c>
      <c r="B14396">
        <f>IF(VLOOKUP(Table7[[#This Row],[Date]],Database!$A:$C,MATCH($B$1,Database!$A$1:$C$1,),)=0,#N/A,VLOOKUP(Table7[[#This Row],[Date]],Database!$A:$C,MATCH($B$1,Database!$A$1:$C$1,),))</f>
        <v/>
      </c>
      <c r="C14396">
        <f>IF(VLOOKUP(Table7[[#This Row],[Date]],Database!$A:$C,MATCH($C$1,Database!$A$1:$C$1,),)=0,#N/A,VLOOKUP(Table7[[#This Row],[Date]],Database!$A:$C,MATCH($C$1,Database!$A$1:$C$1,),))</f>
        <v/>
      </c>
      <c r="D14396">
        <f>IFERROR(Table7[[#This Row],[United States 10y]]-Table7[[#This Row],[United States 3y]],#N/A)</f>
        <v/>
      </c>
    </row>
    <row r="14397">
      <c r="A14397" s="6">
        <f>Database!$A16482</f>
        <v/>
      </c>
      <c r="B14397">
        <f>IF(VLOOKUP(Table7[[#This Row],[Date]],Database!$A:$C,MATCH($B$1,Database!$A$1:$C$1,),)=0,#N/A,VLOOKUP(Table7[[#This Row],[Date]],Database!$A:$C,MATCH($B$1,Database!$A$1:$C$1,),))</f>
        <v/>
      </c>
      <c r="C14397">
        <f>IF(VLOOKUP(Table7[[#This Row],[Date]],Database!$A:$C,MATCH($C$1,Database!$A$1:$C$1,),)=0,#N/A,VLOOKUP(Table7[[#This Row],[Date]],Database!$A:$C,MATCH($C$1,Database!$A$1:$C$1,),))</f>
        <v/>
      </c>
      <c r="D14397">
        <f>IFERROR(Table7[[#This Row],[United States 10y]]-Table7[[#This Row],[United States 3y]],#N/A)</f>
        <v/>
      </c>
    </row>
    <row r="14398">
      <c r="A14398" s="6">
        <f>Database!$A16483</f>
        <v/>
      </c>
      <c r="B14398">
        <f>IF(VLOOKUP(Table7[[#This Row],[Date]],Database!$A:$C,MATCH($B$1,Database!$A$1:$C$1,),)=0,#N/A,VLOOKUP(Table7[[#This Row],[Date]],Database!$A:$C,MATCH($B$1,Database!$A$1:$C$1,),))</f>
        <v/>
      </c>
      <c r="C14398">
        <f>IF(VLOOKUP(Table7[[#This Row],[Date]],Database!$A:$C,MATCH($C$1,Database!$A$1:$C$1,),)=0,#N/A,VLOOKUP(Table7[[#This Row],[Date]],Database!$A:$C,MATCH($C$1,Database!$A$1:$C$1,),))</f>
        <v/>
      </c>
      <c r="D14398">
        <f>IFERROR(Table7[[#This Row],[United States 10y]]-Table7[[#This Row],[United States 3y]],#N/A)</f>
        <v/>
      </c>
    </row>
    <row r="14399">
      <c r="A14399" s="6">
        <f>Database!$A16484</f>
        <v/>
      </c>
      <c r="B14399">
        <f>IF(VLOOKUP(Table7[[#This Row],[Date]],Database!$A:$C,MATCH($B$1,Database!$A$1:$C$1,),)=0,#N/A,VLOOKUP(Table7[[#This Row],[Date]],Database!$A:$C,MATCH($B$1,Database!$A$1:$C$1,),))</f>
        <v/>
      </c>
      <c r="C14399">
        <f>IF(VLOOKUP(Table7[[#This Row],[Date]],Database!$A:$C,MATCH($C$1,Database!$A$1:$C$1,),)=0,#N/A,VLOOKUP(Table7[[#This Row],[Date]],Database!$A:$C,MATCH($C$1,Database!$A$1:$C$1,),))</f>
        <v/>
      </c>
      <c r="D14399">
        <f>IFERROR(Table7[[#This Row],[United States 10y]]-Table7[[#This Row],[United States 3y]],#N/A)</f>
        <v/>
      </c>
    </row>
    <row r="14400">
      <c r="A14400" s="6">
        <f>Database!$A16485</f>
        <v/>
      </c>
      <c r="B14400">
        <f>IF(VLOOKUP(Table7[[#This Row],[Date]],Database!$A:$C,MATCH($B$1,Database!$A$1:$C$1,),)=0,#N/A,VLOOKUP(Table7[[#This Row],[Date]],Database!$A:$C,MATCH($B$1,Database!$A$1:$C$1,),))</f>
        <v/>
      </c>
      <c r="C14400">
        <f>IF(VLOOKUP(Table7[[#This Row],[Date]],Database!$A:$C,MATCH($C$1,Database!$A$1:$C$1,),)=0,#N/A,VLOOKUP(Table7[[#This Row],[Date]],Database!$A:$C,MATCH($C$1,Database!$A$1:$C$1,),))</f>
        <v/>
      </c>
      <c r="D14400">
        <f>IFERROR(Table7[[#This Row],[United States 10y]]-Table7[[#This Row],[United States 3y]],#N/A)</f>
        <v/>
      </c>
    </row>
    <row r="14401">
      <c r="A14401" s="6">
        <f>Database!$A16486</f>
        <v/>
      </c>
      <c r="B14401">
        <f>IF(VLOOKUP(Table7[[#This Row],[Date]],Database!$A:$C,MATCH($B$1,Database!$A$1:$C$1,),)=0,#N/A,VLOOKUP(Table7[[#This Row],[Date]],Database!$A:$C,MATCH($B$1,Database!$A$1:$C$1,),))</f>
        <v/>
      </c>
      <c r="C14401">
        <f>IF(VLOOKUP(Table7[[#This Row],[Date]],Database!$A:$C,MATCH($C$1,Database!$A$1:$C$1,),)=0,#N/A,VLOOKUP(Table7[[#This Row],[Date]],Database!$A:$C,MATCH($C$1,Database!$A$1:$C$1,),))</f>
        <v/>
      </c>
      <c r="D14401">
        <f>IFERROR(Table7[[#This Row],[United States 10y]]-Table7[[#This Row],[United States 3y]],#N/A)</f>
        <v/>
      </c>
    </row>
    <row r="14402">
      <c r="A14402" s="6">
        <f>Database!$A16487</f>
        <v/>
      </c>
      <c r="B14402">
        <f>IF(VLOOKUP(Table7[[#This Row],[Date]],Database!$A:$C,MATCH($B$1,Database!$A$1:$C$1,),)=0,#N/A,VLOOKUP(Table7[[#This Row],[Date]],Database!$A:$C,MATCH($B$1,Database!$A$1:$C$1,),))</f>
        <v/>
      </c>
      <c r="C14402">
        <f>IF(VLOOKUP(Table7[[#This Row],[Date]],Database!$A:$C,MATCH($C$1,Database!$A$1:$C$1,),)=0,#N/A,VLOOKUP(Table7[[#This Row],[Date]],Database!$A:$C,MATCH($C$1,Database!$A$1:$C$1,),))</f>
        <v/>
      </c>
      <c r="D14402">
        <f>IFERROR(Table7[[#This Row],[United States 10y]]-Table7[[#This Row],[United States 3y]],#N/A)</f>
        <v/>
      </c>
    </row>
    <row r="14403">
      <c r="A14403" s="6">
        <f>Database!$A16488</f>
        <v/>
      </c>
      <c r="B14403">
        <f>IF(VLOOKUP(Table7[[#This Row],[Date]],Database!$A:$C,MATCH($B$1,Database!$A$1:$C$1,),)=0,#N/A,VLOOKUP(Table7[[#This Row],[Date]],Database!$A:$C,MATCH($B$1,Database!$A$1:$C$1,),))</f>
        <v/>
      </c>
      <c r="C14403">
        <f>IF(VLOOKUP(Table7[[#This Row],[Date]],Database!$A:$C,MATCH($C$1,Database!$A$1:$C$1,),)=0,#N/A,VLOOKUP(Table7[[#This Row],[Date]],Database!$A:$C,MATCH($C$1,Database!$A$1:$C$1,),))</f>
        <v/>
      </c>
      <c r="D14403">
        <f>IFERROR(Table7[[#This Row],[United States 10y]]-Table7[[#This Row],[United States 3y]],#N/A)</f>
        <v/>
      </c>
    </row>
    <row r="14404">
      <c r="A14404" s="6">
        <f>Database!$A16489</f>
        <v/>
      </c>
      <c r="B14404">
        <f>IF(VLOOKUP(Table7[[#This Row],[Date]],Database!$A:$C,MATCH($B$1,Database!$A$1:$C$1,),)=0,#N/A,VLOOKUP(Table7[[#This Row],[Date]],Database!$A:$C,MATCH($B$1,Database!$A$1:$C$1,),))</f>
        <v/>
      </c>
      <c r="C14404">
        <f>IF(VLOOKUP(Table7[[#This Row],[Date]],Database!$A:$C,MATCH($C$1,Database!$A$1:$C$1,),)=0,#N/A,VLOOKUP(Table7[[#This Row],[Date]],Database!$A:$C,MATCH($C$1,Database!$A$1:$C$1,),))</f>
        <v/>
      </c>
      <c r="D14404">
        <f>IFERROR(Table7[[#This Row],[United States 10y]]-Table7[[#This Row],[United States 3y]],#N/A)</f>
        <v/>
      </c>
    </row>
    <row r="14405">
      <c r="A14405" s="6">
        <f>Database!$A16490</f>
        <v/>
      </c>
      <c r="B14405">
        <f>IF(VLOOKUP(Table7[[#This Row],[Date]],Database!$A:$C,MATCH($B$1,Database!$A$1:$C$1,),)=0,#N/A,VLOOKUP(Table7[[#This Row],[Date]],Database!$A:$C,MATCH($B$1,Database!$A$1:$C$1,),))</f>
        <v/>
      </c>
      <c r="C14405">
        <f>IF(VLOOKUP(Table7[[#This Row],[Date]],Database!$A:$C,MATCH($C$1,Database!$A$1:$C$1,),)=0,#N/A,VLOOKUP(Table7[[#This Row],[Date]],Database!$A:$C,MATCH($C$1,Database!$A$1:$C$1,),))</f>
        <v/>
      </c>
      <c r="D14405">
        <f>IFERROR(Table7[[#This Row],[United States 10y]]-Table7[[#This Row],[United States 3y]],#N/A)</f>
        <v/>
      </c>
    </row>
    <row r="14406">
      <c r="A14406" s="6">
        <f>Database!$A16491</f>
        <v/>
      </c>
      <c r="B14406">
        <f>IF(VLOOKUP(Table7[[#This Row],[Date]],Database!$A:$C,MATCH($B$1,Database!$A$1:$C$1,),)=0,#N/A,VLOOKUP(Table7[[#This Row],[Date]],Database!$A:$C,MATCH($B$1,Database!$A$1:$C$1,),))</f>
        <v/>
      </c>
      <c r="C14406">
        <f>IF(VLOOKUP(Table7[[#This Row],[Date]],Database!$A:$C,MATCH($C$1,Database!$A$1:$C$1,),)=0,#N/A,VLOOKUP(Table7[[#This Row],[Date]],Database!$A:$C,MATCH($C$1,Database!$A$1:$C$1,),))</f>
        <v/>
      </c>
      <c r="D14406">
        <f>IFERROR(Table7[[#This Row],[United States 10y]]-Table7[[#This Row],[United States 3y]],#N/A)</f>
        <v/>
      </c>
    </row>
    <row r="14407">
      <c r="A14407" s="6">
        <f>Database!$A16492</f>
        <v/>
      </c>
      <c r="B14407">
        <f>IF(VLOOKUP(Table7[[#This Row],[Date]],Database!$A:$C,MATCH($B$1,Database!$A$1:$C$1,),)=0,#N/A,VLOOKUP(Table7[[#This Row],[Date]],Database!$A:$C,MATCH($B$1,Database!$A$1:$C$1,),))</f>
        <v/>
      </c>
      <c r="C14407">
        <f>IF(VLOOKUP(Table7[[#This Row],[Date]],Database!$A:$C,MATCH($C$1,Database!$A$1:$C$1,),)=0,#N/A,VLOOKUP(Table7[[#This Row],[Date]],Database!$A:$C,MATCH($C$1,Database!$A$1:$C$1,),))</f>
        <v/>
      </c>
      <c r="D14407">
        <f>IFERROR(Table7[[#This Row],[United States 10y]]-Table7[[#This Row],[United States 3y]],#N/A)</f>
        <v/>
      </c>
    </row>
    <row r="14408">
      <c r="A14408" s="6">
        <f>Database!$A16493</f>
        <v/>
      </c>
      <c r="B14408">
        <f>IF(VLOOKUP(Table7[[#This Row],[Date]],Database!$A:$C,MATCH($B$1,Database!$A$1:$C$1,),)=0,#N/A,VLOOKUP(Table7[[#This Row],[Date]],Database!$A:$C,MATCH($B$1,Database!$A$1:$C$1,),))</f>
        <v/>
      </c>
      <c r="C14408">
        <f>IF(VLOOKUP(Table7[[#This Row],[Date]],Database!$A:$C,MATCH($C$1,Database!$A$1:$C$1,),)=0,#N/A,VLOOKUP(Table7[[#This Row],[Date]],Database!$A:$C,MATCH($C$1,Database!$A$1:$C$1,),))</f>
        <v/>
      </c>
      <c r="D14408">
        <f>IFERROR(Table7[[#This Row],[United States 10y]]-Table7[[#This Row],[United States 3y]],#N/A)</f>
        <v/>
      </c>
    </row>
    <row r="14409">
      <c r="A14409" s="6">
        <f>Database!$A16494</f>
        <v/>
      </c>
      <c r="B14409">
        <f>IF(VLOOKUP(Table7[[#This Row],[Date]],Database!$A:$C,MATCH($B$1,Database!$A$1:$C$1,),)=0,#N/A,VLOOKUP(Table7[[#This Row],[Date]],Database!$A:$C,MATCH($B$1,Database!$A$1:$C$1,),))</f>
        <v/>
      </c>
      <c r="C14409">
        <f>IF(VLOOKUP(Table7[[#This Row],[Date]],Database!$A:$C,MATCH($C$1,Database!$A$1:$C$1,),)=0,#N/A,VLOOKUP(Table7[[#This Row],[Date]],Database!$A:$C,MATCH($C$1,Database!$A$1:$C$1,),))</f>
        <v/>
      </c>
      <c r="D14409">
        <f>IFERROR(Table7[[#This Row],[United States 10y]]-Table7[[#This Row],[United States 3y]],#N/A)</f>
        <v/>
      </c>
    </row>
    <row r="14410">
      <c r="A14410" s="6">
        <f>Database!$A16495</f>
        <v/>
      </c>
      <c r="B14410">
        <f>IF(VLOOKUP(Table7[[#This Row],[Date]],Database!$A:$C,MATCH($B$1,Database!$A$1:$C$1,),)=0,#N/A,VLOOKUP(Table7[[#This Row],[Date]],Database!$A:$C,MATCH($B$1,Database!$A$1:$C$1,),))</f>
        <v/>
      </c>
      <c r="C14410">
        <f>IF(VLOOKUP(Table7[[#This Row],[Date]],Database!$A:$C,MATCH($C$1,Database!$A$1:$C$1,),)=0,#N/A,VLOOKUP(Table7[[#This Row],[Date]],Database!$A:$C,MATCH($C$1,Database!$A$1:$C$1,),))</f>
        <v/>
      </c>
      <c r="D14410">
        <f>IFERROR(Table7[[#This Row],[United States 10y]]-Table7[[#This Row],[United States 3y]],#N/A)</f>
        <v/>
      </c>
    </row>
    <row r="14411">
      <c r="A14411" s="6">
        <f>Database!$A16496</f>
        <v/>
      </c>
      <c r="B14411">
        <f>IF(VLOOKUP(Table7[[#This Row],[Date]],Database!$A:$C,MATCH($B$1,Database!$A$1:$C$1,),)=0,#N/A,VLOOKUP(Table7[[#This Row],[Date]],Database!$A:$C,MATCH($B$1,Database!$A$1:$C$1,),))</f>
        <v/>
      </c>
      <c r="C14411">
        <f>IF(VLOOKUP(Table7[[#This Row],[Date]],Database!$A:$C,MATCH($C$1,Database!$A$1:$C$1,),)=0,#N/A,VLOOKUP(Table7[[#This Row],[Date]],Database!$A:$C,MATCH($C$1,Database!$A$1:$C$1,),))</f>
        <v/>
      </c>
      <c r="D14411">
        <f>IFERROR(Table7[[#This Row],[United States 10y]]-Table7[[#This Row],[United States 3y]],#N/A)</f>
        <v/>
      </c>
    </row>
    <row r="14412">
      <c r="A14412" s="6">
        <f>Database!$A16497</f>
        <v/>
      </c>
      <c r="B14412">
        <f>IF(VLOOKUP(Table7[[#This Row],[Date]],Database!$A:$C,MATCH($B$1,Database!$A$1:$C$1,),)=0,#N/A,VLOOKUP(Table7[[#This Row],[Date]],Database!$A:$C,MATCH($B$1,Database!$A$1:$C$1,),))</f>
        <v/>
      </c>
      <c r="C14412">
        <f>IF(VLOOKUP(Table7[[#This Row],[Date]],Database!$A:$C,MATCH($C$1,Database!$A$1:$C$1,),)=0,#N/A,VLOOKUP(Table7[[#This Row],[Date]],Database!$A:$C,MATCH($C$1,Database!$A$1:$C$1,),))</f>
        <v/>
      </c>
      <c r="D14412">
        <f>IFERROR(Table7[[#This Row],[United States 10y]]-Table7[[#This Row],[United States 3y]],#N/A)</f>
        <v/>
      </c>
    </row>
    <row r="14413">
      <c r="A14413" s="6">
        <f>Database!$A16498</f>
        <v/>
      </c>
      <c r="B14413">
        <f>IF(VLOOKUP(Table7[[#This Row],[Date]],Database!$A:$C,MATCH($B$1,Database!$A$1:$C$1,),)=0,#N/A,VLOOKUP(Table7[[#This Row],[Date]],Database!$A:$C,MATCH($B$1,Database!$A$1:$C$1,),))</f>
        <v/>
      </c>
      <c r="C14413">
        <f>IF(VLOOKUP(Table7[[#This Row],[Date]],Database!$A:$C,MATCH($C$1,Database!$A$1:$C$1,),)=0,#N/A,VLOOKUP(Table7[[#This Row],[Date]],Database!$A:$C,MATCH($C$1,Database!$A$1:$C$1,),))</f>
        <v/>
      </c>
      <c r="D14413">
        <f>IFERROR(Table7[[#This Row],[United States 10y]]-Table7[[#This Row],[United States 3y]],#N/A)</f>
        <v/>
      </c>
    </row>
    <row r="14414">
      <c r="A14414" s="6">
        <f>Database!$A16499</f>
        <v/>
      </c>
      <c r="B14414">
        <f>IF(VLOOKUP(Table7[[#This Row],[Date]],Database!$A:$C,MATCH($B$1,Database!$A$1:$C$1,),)=0,#N/A,VLOOKUP(Table7[[#This Row],[Date]],Database!$A:$C,MATCH($B$1,Database!$A$1:$C$1,),))</f>
        <v/>
      </c>
      <c r="C14414">
        <f>IF(VLOOKUP(Table7[[#This Row],[Date]],Database!$A:$C,MATCH($C$1,Database!$A$1:$C$1,),)=0,#N/A,VLOOKUP(Table7[[#This Row],[Date]],Database!$A:$C,MATCH($C$1,Database!$A$1:$C$1,),))</f>
        <v/>
      </c>
      <c r="D14414">
        <f>IFERROR(Table7[[#This Row],[United States 10y]]-Table7[[#This Row],[United States 3y]],#N/A)</f>
        <v/>
      </c>
    </row>
    <row r="14415">
      <c r="A14415" s="6">
        <f>Database!$A16500</f>
        <v/>
      </c>
      <c r="B14415">
        <f>IF(VLOOKUP(Table7[[#This Row],[Date]],Database!$A:$C,MATCH($B$1,Database!$A$1:$C$1,),)=0,#N/A,VLOOKUP(Table7[[#This Row],[Date]],Database!$A:$C,MATCH($B$1,Database!$A$1:$C$1,),))</f>
        <v/>
      </c>
      <c r="C14415">
        <f>IF(VLOOKUP(Table7[[#This Row],[Date]],Database!$A:$C,MATCH($C$1,Database!$A$1:$C$1,),)=0,#N/A,VLOOKUP(Table7[[#This Row],[Date]],Database!$A:$C,MATCH($C$1,Database!$A$1:$C$1,),))</f>
        <v/>
      </c>
      <c r="D14415">
        <f>IFERROR(Table7[[#This Row],[United States 10y]]-Table7[[#This Row],[United States 3y]],#N/A)</f>
        <v/>
      </c>
    </row>
    <row r="14416">
      <c r="A14416" s="6">
        <f>Database!$A16501</f>
        <v/>
      </c>
      <c r="B14416">
        <f>IF(VLOOKUP(Table7[[#This Row],[Date]],Database!$A:$C,MATCH($B$1,Database!$A$1:$C$1,),)=0,#N/A,VLOOKUP(Table7[[#This Row],[Date]],Database!$A:$C,MATCH($B$1,Database!$A$1:$C$1,),))</f>
        <v/>
      </c>
      <c r="C14416">
        <f>IF(VLOOKUP(Table7[[#This Row],[Date]],Database!$A:$C,MATCH($C$1,Database!$A$1:$C$1,),)=0,#N/A,VLOOKUP(Table7[[#This Row],[Date]],Database!$A:$C,MATCH($C$1,Database!$A$1:$C$1,),))</f>
        <v/>
      </c>
      <c r="D14416">
        <f>IFERROR(Table7[[#This Row],[United States 10y]]-Table7[[#This Row],[United States 3y]],#N/A)</f>
        <v/>
      </c>
    </row>
    <row r="14417">
      <c r="A14417" s="6">
        <f>Database!$A16502</f>
        <v/>
      </c>
      <c r="B14417">
        <f>IF(VLOOKUP(Table7[[#This Row],[Date]],Database!$A:$C,MATCH($B$1,Database!$A$1:$C$1,),)=0,#N/A,VLOOKUP(Table7[[#This Row],[Date]],Database!$A:$C,MATCH($B$1,Database!$A$1:$C$1,),))</f>
        <v/>
      </c>
      <c r="C14417">
        <f>IF(VLOOKUP(Table7[[#This Row],[Date]],Database!$A:$C,MATCH($C$1,Database!$A$1:$C$1,),)=0,#N/A,VLOOKUP(Table7[[#This Row],[Date]],Database!$A:$C,MATCH($C$1,Database!$A$1:$C$1,),))</f>
        <v/>
      </c>
      <c r="D14417">
        <f>IFERROR(Table7[[#This Row],[United States 10y]]-Table7[[#This Row],[United States 3y]],#N/A)</f>
        <v/>
      </c>
    </row>
    <row r="14418">
      <c r="A14418" s="6">
        <f>Database!$A16503</f>
        <v/>
      </c>
      <c r="B14418">
        <f>IF(VLOOKUP(Table7[[#This Row],[Date]],Database!$A:$C,MATCH($B$1,Database!$A$1:$C$1,),)=0,#N/A,VLOOKUP(Table7[[#This Row],[Date]],Database!$A:$C,MATCH($B$1,Database!$A$1:$C$1,),))</f>
        <v/>
      </c>
      <c r="C14418">
        <f>IF(VLOOKUP(Table7[[#This Row],[Date]],Database!$A:$C,MATCH($C$1,Database!$A$1:$C$1,),)=0,#N/A,VLOOKUP(Table7[[#This Row],[Date]],Database!$A:$C,MATCH($C$1,Database!$A$1:$C$1,),))</f>
        <v/>
      </c>
      <c r="D14418">
        <f>IFERROR(Table7[[#This Row],[United States 10y]]-Table7[[#This Row],[United States 3y]],#N/A)</f>
        <v/>
      </c>
    </row>
    <row r="14419">
      <c r="A14419" s="6">
        <f>Database!$A16504</f>
        <v/>
      </c>
      <c r="B14419">
        <f>IF(VLOOKUP(Table7[[#This Row],[Date]],Database!$A:$C,MATCH($B$1,Database!$A$1:$C$1,),)=0,#N/A,VLOOKUP(Table7[[#This Row],[Date]],Database!$A:$C,MATCH($B$1,Database!$A$1:$C$1,),))</f>
        <v/>
      </c>
      <c r="C14419">
        <f>IF(VLOOKUP(Table7[[#This Row],[Date]],Database!$A:$C,MATCH($C$1,Database!$A$1:$C$1,),)=0,#N/A,VLOOKUP(Table7[[#This Row],[Date]],Database!$A:$C,MATCH($C$1,Database!$A$1:$C$1,),))</f>
        <v/>
      </c>
      <c r="D14419">
        <f>IFERROR(Table7[[#This Row],[United States 10y]]-Table7[[#This Row],[United States 3y]],#N/A)</f>
        <v/>
      </c>
    </row>
    <row r="14420">
      <c r="A14420" s="6">
        <f>Database!$A16505</f>
        <v/>
      </c>
      <c r="B14420">
        <f>IF(VLOOKUP(Table7[[#This Row],[Date]],Database!$A:$C,MATCH($B$1,Database!$A$1:$C$1,),)=0,#N/A,VLOOKUP(Table7[[#This Row],[Date]],Database!$A:$C,MATCH($B$1,Database!$A$1:$C$1,),))</f>
        <v/>
      </c>
      <c r="C14420">
        <f>IF(VLOOKUP(Table7[[#This Row],[Date]],Database!$A:$C,MATCH($C$1,Database!$A$1:$C$1,),)=0,#N/A,VLOOKUP(Table7[[#This Row],[Date]],Database!$A:$C,MATCH($C$1,Database!$A$1:$C$1,),))</f>
        <v/>
      </c>
      <c r="D14420">
        <f>IFERROR(Table7[[#This Row],[United States 10y]]-Table7[[#This Row],[United States 3y]],#N/A)</f>
        <v/>
      </c>
    </row>
    <row r="14421">
      <c r="A14421" s="6">
        <f>Database!$A16506</f>
        <v/>
      </c>
      <c r="B14421">
        <f>IF(VLOOKUP(Table7[[#This Row],[Date]],Database!$A:$C,MATCH($B$1,Database!$A$1:$C$1,),)=0,#N/A,VLOOKUP(Table7[[#This Row],[Date]],Database!$A:$C,MATCH($B$1,Database!$A$1:$C$1,),))</f>
        <v/>
      </c>
      <c r="C14421">
        <f>IF(VLOOKUP(Table7[[#This Row],[Date]],Database!$A:$C,MATCH($C$1,Database!$A$1:$C$1,),)=0,#N/A,VLOOKUP(Table7[[#This Row],[Date]],Database!$A:$C,MATCH($C$1,Database!$A$1:$C$1,),))</f>
        <v/>
      </c>
      <c r="D14421">
        <f>IFERROR(Table7[[#This Row],[United States 10y]]-Table7[[#This Row],[United States 3y]],#N/A)</f>
        <v/>
      </c>
    </row>
    <row r="14422">
      <c r="A14422" s="6">
        <f>Database!$A16507</f>
        <v/>
      </c>
      <c r="B14422">
        <f>IF(VLOOKUP(Table7[[#This Row],[Date]],Database!$A:$C,MATCH($B$1,Database!$A$1:$C$1,),)=0,#N/A,VLOOKUP(Table7[[#This Row],[Date]],Database!$A:$C,MATCH($B$1,Database!$A$1:$C$1,),))</f>
        <v/>
      </c>
      <c r="C14422">
        <f>IF(VLOOKUP(Table7[[#This Row],[Date]],Database!$A:$C,MATCH($C$1,Database!$A$1:$C$1,),)=0,#N/A,VLOOKUP(Table7[[#This Row],[Date]],Database!$A:$C,MATCH($C$1,Database!$A$1:$C$1,),))</f>
        <v/>
      </c>
      <c r="D14422">
        <f>IFERROR(Table7[[#This Row],[United States 10y]]-Table7[[#This Row],[United States 3y]],#N/A)</f>
        <v/>
      </c>
    </row>
    <row r="14423">
      <c r="A14423" s="6">
        <f>Database!$A16508</f>
        <v/>
      </c>
      <c r="B14423">
        <f>IF(VLOOKUP(Table7[[#This Row],[Date]],Database!$A:$C,MATCH($B$1,Database!$A$1:$C$1,),)=0,#N/A,VLOOKUP(Table7[[#This Row],[Date]],Database!$A:$C,MATCH($B$1,Database!$A$1:$C$1,),))</f>
        <v/>
      </c>
      <c r="C14423">
        <f>IF(VLOOKUP(Table7[[#This Row],[Date]],Database!$A:$C,MATCH($C$1,Database!$A$1:$C$1,),)=0,#N/A,VLOOKUP(Table7[[#This Row],[Date]],Database!$A:$C,MATCH($C$1,Database!$A$1:$C$1,),))</f>
        <v/>
      </c>
      <c r="D14423">
        <f>IFERROR(Table7[[#This Row],[United States 10y]]-Table7[[#This Row],[United States 3y]],#N/A)</f>
        <v/>
      </c>
    </row>
    <row r="14424">
      <c r="A14424" s="6">
        <f>Database!$A16509</f>
        <v/>
      </c>
      <c r="B14424">
        <f>IF(VLOOKUP(Table7[[#This Row],[Date]],Database!$A:$C,MATCH($B$1,Database!$A$1:$C$1,),)=0,#N/A,VLOOKUP(Table7[[#This Row],[Date]],Database!$A:$C,MATCH($B$1,Database!$A$1:$C$1,),))</f>
        <v/>
      </c>
      <c r="C14424">
        <f>IF(VLOOKUP(Table7[[#This Row],[Date]],Database!$A:$C,MATCH($C$1,Database!$A$1:$C$1,),)=0,#N/A,VLOOKUP(Table7[[#This Row],[Date]],Database!$A:$C,MATCH($C$1,Database!$A$1:$C$1,),))</f>
        <v/>
      </c>
      <c r="D14424">
        <f>IFERROR(Table7[[#This Row],[United States 10y]]-Table7[[#This Row],[United States 3y]],#N/A)</f>
        <v/>
      </c>
    </row>
    <row r="14425">
      <c r="A14425" s="6">
        <f>Database!$A16510</f>
        <v/>
      </c>
      <c r="B14425">
        <f>IF(VLOOKUP(Table7[[#This Row],[Date]],Database!$A:$C,MATCH($B$1,Database!$A$1:$C$1,),)=0,#N/A,VLOOKUP(Table7[[#This Row],[Date]],Database!$A:$C,MATCH($B$1,Database!$A$1:$C$1,),))</f>
        <v/>
      </c>
      <c r="C14425">
        <f>IF(VLOOKUP(Table7[[#This Row],[Date]],Database!$A:$C,MATCH($C$1,Database!$A$1:$C$1,),)=0,#N/A,VLOOKUP(Table7[[#This Row],[Date]],Database!$A:$C,MATCH($C$1,Database!$A$1:$C$1,),))</f>
        <v/>
      </c>
      <c r="D14425">
        <f>IFERROR(Table7[[#This Row],[United States 10y]]-Table7[[#This Row],[United States 3y]],#N/A)</f>
        <v/>
      </c>
    </row>
    <row r="14426">
      <c r="A14426" s="6">
        <f>Database!$A16511</f>
        <v/>
      </c>
      <c r="B14426">
        <f>IF(VLOOKUP(Table7[[#This Row],[Date]],Database!$A:$C,MATCH($B$1,Database!$A$1:$C$1,),)=0,#N/A,VLOOKUP(Table7[[#This Row],[Date]],Database!$A:$C,MATCH($B$1,Database!$A$1:$C$1,),))</f>
        <v/>
      </c>
      <c r="C14426">
        <f>IF(VLOOKUP(Table7[[#This Row],[Date]],Database!$A:$C,MATCH($C$1,Database!$A$1:$C$1,),)=0,#N/A,VLOOKUP(Table7[[#This Row],[Date]],Database!$A:$C,MATCH($C$1,Database!$A$1:$C$1,),))</f>
        <v/>
      </c>
      <c r="D14426">
        <f>IFERROR(Table7[[#This Row],[United States 10y]]-Table7[[#This Row],[United States 3y]],#N/A)</f>
        <v/>
      </c>
    </row>
    <row r="14427">
      <c r="A14427" s="6">
        <f>Database!$A16512</f>
        <v/>
      </c>
      <c r="B14427">
        <f>IF(VLOOKUP(Table7[[#This Row],[Date]],Database!$A:$C,MATCH($B$1,Database!$A$1:$C$1,),)=0,#N/A,VLOOKUP(Table7[[#This Row],[Date]],Database!$A:$C,MATCH($B$1,Database!$A$1:$C$1,),))</f>
        <v/>
      </c>
      <c r="C14427">
        <f>IF(VLOOKUP(Table7[[#This Row],[Date]],Database!$A:$C,MATCH($C$1,Database!$A$1:$C$1,),)=0,#N/A,VLOOKUP(Table7[[#This Row],[Date]],Database!$A:$C,MATCH($C$1,Database!$A$1:$C$1,),))</f>
        <v/>
      </c>
      <c r="D14427">
        <f>IFERROR(Table7[[#This Row],[United States 10y]]-Table7[[#This Row],[United States 3y]],#N/A)</f>
        <v/>
      </c>
    </row>
    <row r="14428">
      <c r="A14428" s="6">
        <f>Database!$A16513</f>
        <v/>
      </c>
      <c r="B14428">
        <f>IF(VLOOKUP(Table7[[#This Row],[Date]],Database!$A:$C,MATCH($B$1,Database!$A$1:$C$1,),)=0,#N/A,VLOOKUP(Table7[[#This Row],[Date]],Database!$A:$C,MATCH($B$1,Database!$A$1:$C$1,),))</f>
        <v/>
      </c>
      <c r="C14428">
        <f>IF(VLOOKUP(Table7[[#This Row],[Date]],Database!$A:$C,MATCH($C$1,Database!$A$1:$C$1,),)=0,#N/A,VLOOKUP(Table7[[#This Row],[Date]],Database!$A:$C,MATCH($C$1,Database!$A$1:$C$1,),))</f>
        <v/>
      </c>
      <c r="D14428">
        <f>IFERROR(Table7[[#This Row],[United States 10y]]-Table7[[#This Row],[United States 3y]],#N/A)</f>
        <v/>
      </c>
    </row>
    <row r="14429">
      <c r="A14429" s="6">
        <f>Database!$A16514</f>
        <v/>
      </c>
      <c r="B14429">
        <f>IF(VLOOKUP(Table7[[#This Row],[Date]],Database!$A:$C,MATCH($B$1,Database!$A$1:$C$1,),)=0,#N/A,VLOOKUP(Table7[[#This Row],[Date]],Database!$A:$C,MATCH($B$1,Database!$A$1:$C$1,),))</f>
        <v/>
      </c>
      <c r="C14429">
        <f>IF(VLOOKUP(Table7[[#This Row],[Date]],Database!$A:$C,MATCH($C$1,Database!$A$1:$C$1,),)=0,#N/A,VLOOKUP(Table7[[#This Row],[Date]],Database!$A:$C,MATCH($C$1,Database!$A$1:$C$1,),))</f>
        <v/>
      </c>
      <c r="D14429">
        <f>IFERROR(Table7[[#This Row],[United States 10y]]-Table7[[#This Row],[United States 3y]],#N/A)</f>
        <v/>
      </c>
    </row>
    <row r="14430">
      <c r="A14430" s="6">
        <f>Database!$A16515</f>
        <v/>
      </c>
      <c r="B14430">
        <f>IF(VLOOKUP(Table7[[#This Row],[Date]],Database!$A:$C,MATCH($B$1,Database!$A$1:$C$1,),)=0,#N/A,VLOOKUP(Table7[[#This Row],[Date]],Database!$A:$C,MATCH($B$1,Database!$A$1:$C$1,),))</f>
        <v/>
      </c>
      <c r="C14430">
        <f>IF(VLOOKUP(Table7[[#This Row],[Date]],Database!$A:$C,MATCH($C$1,Database!$A$1:$C$1,),)=0,#N/A,VLOOKUP(Table7[[#This Row],[Date]],Database!$A:$C,MATCH($C$1,Database!$A$1:$C$1,),))</f>
        <v/>
      </c>
      <c r="D14430">
        <f>IFERROR(Table7[[#This Row],[United States 10y]]-Table7[[#This Row],[United States 3y]],#N/A)</f>
        <v/>
      </c>
    </row>
    <row r="14431">
      <c r="A14431" s="6">
        <f>Database!$A16516</f>
        <v/>
      </c>
      <c r="B14431">
        <f>IF(VLOOKUP(Table7[[#This Row],[Date]],Database!$A:$C,MATCH($B$1,Database!$A$1:$C$1,),)=0,#N/A,VLOOKUP(Table7[[#This Row],[Date]],Database!$A:$C,MATCH($B$1,Database!$A$1:$C$1,),))</f>
        <v/>
      </c>
      <c r="C14431">
        <f>IF(VLOOKUP(Table7[[#This Row],[Date]],Database!$A:$C,MATCH($C$1,Database!$A$1:$C$1,),)=0,#N/A,VLOOKUP(Table7[[#This Row],[Date]],Database!$A:$C,MATCH($C$1,Database!$A$1:$C$1,),))</f>
        <v/>
      </c>
      <c r="D14431">
        <f>IFERROR(Table7[[#This Row],[United States 10y]]-Table7[[#This Row],[United States 3y]],#N/A)</f>
        <v/>
      </c>
    </row>
    <row r="14432">
      <c r="A14432" s="6">
        <f>Database!$A16517</f>
        <v/>
      </c>
      <c r="B14432">
        <f>IF(VLOOKUP(Table7[[#This Row],[Date]],Database!$A:$C,MATCH($B$1,Database!$A$1:$C$1,),)=0,#N/A,VLOOKUP(Table7[[#This Row],[Date]],Database!$A:$C,MATCH($B$1,Database!$A$1:$C$1,),))</f>
        <v/>
      </c>
      <c r="C14432">
        <f>IF(VLOOKUP(Table7[[#This Row],[Date]],Database!$A:$C,MATCH($C$1,Database!$A$1:$C$1,),)=0,#N/A,VLOOKUP(Table7[[#This Row],[Date]],Database!$A:$C,MATCH($C$1,Database!$A$1:$C$1,),))</f>
        <v/>
      </c>
      <c r="D14432">
        <f>IFERROR(Table7[[#This Row],[United States 10y]]-Table7[[#This Row],[United States 3y]],#N/A)</f>
        <v/>
      </c>
    </row>
    <row r="14433">
      <c r="A14433" s="6">
        <f>Database!$A16518</f>
        <v/>
      </c>
      <c r="B14433">
        <f>IF(VLOOKUP(Table7[[#This Row],[Date]],Database!$A:$C,MATCH($B$1,Database!$A$1:$C$1,),)=0,#N/A,VLOOKUP(Table7[[#This Row],[Date]],Database!$A:$C,MATCH($B$1,Database!$A$1:$C$1,),))</f>
        <v/>
      </c>
      <c r="C14433">
        <f>IF(VLOOKUP(Table7[[#This Row],[Date]],Database!$A:$C,MATCH($C$1,Database!$A$1:$C$1,),)=0,#N/A,VLOOKUP(Table7[[#This Row],[Date]],Database!$A:$C,MATCH($C$1,Database!$A$1:$C$1,),))</f>
        <v/>
      </c>
      <c r="D14433">
        <f>IFERROR(Table7[[#This Row],[United States 10y]]-Table7[[#This Row],[United States 3y]],#N/A)</f>
        <v/>
      </c>
    </row>
    <row r="14434">
      <c r="A14434" s="6">
        <f>Database!$A16519</f>
        <v/>
      </c>
      <c r="B14434">
        <f>IF(VLOOKUP(Table7[[#This Row],[Date]],Database!$A:$C,MATCH($B$1,Database!$A$1:$C$1,),)=0,#N/A,VLOOKUP(Table7[[#This Row],[Date]],Database!$A:$C,MATCH($B$1,Database!$A$1:$C$1,),))</f>
        <v/>
      </c>
      <c r="C14434">
        <f>IF(VLOOKUP(Table7[[#This Row],[Date]],Database!$A:$C,MATCH($C$1,Database!$A$1:$C$1,),)=0,#N/A,VLOOKUP(Table7[[#This Row],[Date]],Database!$A:$C,MATCH($C$1,Database!$A$1:$C$1,),))</f>
        <v/>
      </c>
      <c r="D14434">
        <f>IFERROR(Table7[[#This Row],[United States 10y]]-Table7[[#This Row],[United States 3y]],#N/A)</f>
        <v/>
      </c>
    </row>
    <row r="14435">
      <c r="A14435" s="6">
        <f>Database!$A16520</f>
        <v/>
      </c>
      <c r="B14435">
        <f>IF(VLOOKUP(Table7[[#This Row],[Date]],Database!$A:$C,MATCH($B$1,Database!$A$1:$C$1,),)=0,#N/A,VLOOKUP(Table7[[#This Row],[Date]],Database!$A:$C,MATCH($B$1,Database!$A$1:$C$1,),))</f>
        <v/>
      </c>
      <c r="C14435">
        <f>IF(VLOOKUP(Table7[[#This Row],[Date]],Database!$A:$C,MATCH($C$1,Database!$A$1:$C$1,),)=0,#N/A,VLOOKUP(Table7[[#This Row],[Date]],Database!$A:$C,MATCH($C$1,Database!$A$1:$C$1,),))</f>
        <v/>
      </c>
      <c r="D14435">
        <f>IFERROR(Table7[[#This Row],[United States 10y]]-Table7[[#This Row],[United States 3y]],#N/A)</f>
        <v/>
      </c>
    </row>
    <row r="14436">
      <c r="A14436" s="6">
        <f>Database!$A16521</f>
        <v/>
      </c>
      <c r="B14436">
        <f>IF(VLOOKUP(Table7[[#This Row],[Date]],Database!$A:$C,MATCH($B$1,Database!$A$1:$C$1,),)=0,#N/A,VLOOKUP(Table7[[#This Row],[Date]],Database!$A:$C,MATCH($B$1,Database!$A$1:$C$1,),))</f>
        <v/>
      </c>
      <c r="C14436">
        <f>IF(VLOOKUP(Table7[[#This Row],[Date]],Database!$A:$C,MATCH($C$1,Database!$A$1:$C$1,),)=0,#N/A,VLOOKUP(Table7[[#This Row],[Date]],Database!$A:$C,MATCH($C$1,Database!$A$1:$C$1,),))</f>
        <v/>
      </c>
      <c r="D14436">
        <f>IFERROR(Table7[[#This Row],[United States 10y]]-Table7[[#This Row],[United States 3y]],#N/A)</f>
        <v/>
      </c>
    </row>
    <row r="14437">
      <c r="A14437" s="6">
        <f>Database!$A16522</f>
        <v/>
      </c>
      <c r="B14437">
        <f>IF(VLOOKUP(Table7[[#This Row],[Date]],Database!$A:$C,MATCH($B$1,Database!$A$1:$C$1,),)=0,#N/A,VLOOKUP(Table7[[#This Row],[Date]],Database!$A:$C,MATCH($B$1,Database!$A$1:$C$1,),))</f>
        <v/>
      </c>
      <c r="C14437">
        <f>IF(VLOOKUP(Table7[[#This Row],[Date]],Database!$A:$C,MATCH($C$1,Database!$A$1:$C$1,),)=0,#N/A,VLOOKUP(Table7[[#This Row],[Date]],Database!$A:$C,MATCH($C$1,Database!$A$1:$C$1,),))</f>
        <v/>
      </c>
      <c r="D14437">
        <f>IFERROR(Table7[[#This Row],[United States 10y]]-Table7[[#This Row],[United States 3y]],#N/A)</f>
        <v/>
      </c>
    </row>
    <row r="14438">
      <c r="A14438" s="6">
        <f>Database!$A16523</f>
        <v/>
      </c>
      <c r="B14438">
        <f>IF(VLOOKUP(Table7[[#This Row],[Date]],Database!$A:$C,MATCH($B$1,Database!$A$1:$C$1,),)=0,#N/A,VLOOKUP(Table7[[#This Row],[Date]],Database!$A:$C,MATCH($B$1,Database!$A$1:$C$1,),))</f>
        <v/>
      </c>
      <c r="C14438">
        <f>IF(VLOOKUP(Table7[[#This Row],[Date]],Database!$A:$C,MATCH($C$1,Database!$A$1:$C$1,),)=0,#N/A,VLOOKUP(Table7[[#This Row],[Date]],Database!$A:$C,MATCH($C$1,Database!$A$1:$C$1,),))</f>
        <v/>
      </c>
      <c r="D14438">
        <f>IFERROR(Table7[[#This Row],[United States 10y]]-Table7[[#This Row],[United States 3y]],#N/A)</f>
        <v/>
      </c>
    </row>
    <row r="14439">
      <c r="A14439" s="6">
        <f>Database!$A16524</f>
        <v/>
      </c>
      <c r="B14439">
        <f>IF(VLOOKUP(Table7[[#This Row],[Date]],Database!$A:$C,MATCH($B$1,Database!$A$1:$C$1,),)=0,#N/A,VLOOKUP(Table7[[#This Row],[Date]],Database!$A:$C,MATCH($B$1,Database!$A$1:$C$1,),))</f>
        <v/>
      </c>
      <c r="C14439">
        <f>IF(VLOOKUP(Table7[[#This Row],[Date]],Database!$A:$C,MATCH($C$1,Database!$A$1:$C$1,),)=0,#N/A,VLOOKUP(Table7[[#This Row],[Date]],Database!$A:$C,MATCH($C$1,Database!$A$1:$C$1,),))</f>
        <v/>
      </c>
      <c r="D14439">
        <f>IFERROR(Table7[[#This Row],[United States 10y]]-Table7[[#This Row],[United States 3y]],#N/A)</f>
        <v/>
      </c>
    </row>
    <row r="14440">
      <c r="A14440" s="6">
        <f>Database!$A16525</f>
        <v/>
      </c>
      <c r="B14440">
        <f>IF(VLOOKUP(Table7[[#This Row],[Date]],Database!$A:$C,MATCH($B$1,Database!$A$1:$C$1,),)=0,#N/A,VLOOKUP(Table7[[#This Row],[Date]],Database!$A:$C,MATCH($B$1,Database!$A$1:$C$1,),))</f>
        <v/>
      </c>
      <c r="C14440">
        <f>IF(VLOOKUP(Table7[[#This Row],[Date]],Database!$A:$C,MATCH($C$1,Database!$A$1:$C$1,),)=0,#N/A,VLOOKUP(Table7[[#This Row],[Date]],Database!$A:$C,MATCH($C$1,Database!$A$1:$C$1,),))</f>
        <v/>
      </c>
      <c r="D14440">
        <f>IFERROR(Table7[[#This Row],[United States 10y]]-Table7[[#This Row],[United States 3y]],#N/A)</f>
        <v/>
      </c>
    </row>
    <row r="14441">
      <c r="A14441" s="6">
        <f>Database!$A16526</f>
        <v/>
      </c>
      <c r="B14441">
        <f>IF(VLOOKUP(Table7[[#This Row],[Date]],Database!$A:$C,MATCH($B$1,Database!$A$1:$C$1,),)=0,#N/A,VLOOKUP(Table7[[#This Row],[Date]],Database!$A:$C,MATCH($B$1,Database!$A$1:$C$1,),))</f>
        <v/>
      </c>
      <c r="C14441">
        <f>IF(VLOOKUP(Table7[[#This Row],[Date]],Database!$A:$C,MATCH($C$1,Database!$A$1:$C$1,),)=0,#N/A,VLOOKUP(Table7[[#This Row],[Date]],Database!$A:$C,MATCH($C$1,Database!$A$1:$C$1,),))</f>
        <v/>
      </c>
      <c r="D14441">
        <f>IFERROR(Table7[[#This Row],[United States 10y]]-Table7[[#This Row],[United States 3y]],#N/A)</f>
        <v/>
      </c>
    </row>
    <row r="14442">
      <c r="A14442" s="6">
        <f>Database!$A16527</f>
        <v/>
      </c>
      <c r="B14442">
        <f>IF(VLOOKUP(Table7[[#This Row],[Date]],Database!$A:$C,MATCH($B$1,Database!$A$1:$C$1,),)=0,#N/A,VLOOKUP(Table7[[#This Row],[Date]],Database!$A:$C,MATCH($B$1,Database!$A$1:$C$1,),))</f>
        <v/>
      </c>
      <c r="C14442">
        <f>IF(VLOOKUP(Table7[[#This Row],[Date]],Database!$A:$C,MATCH($C$1,Database!$A$1:$C$1,),)=0,#N/A,VLOOKUP(Table7[[#This Row],[Date]],Database!$A:$C,MATCH($C$1,Database!$A$1:$C$1,),))</f>
        <v/>
      </c>
      <c r="D14442">
        <f>IFERROR(Table7[[#This Row],[United States 10y]]-Table7[[#This Row],[United States 3y]],#N/A)</f>
        <v/>
      </c>
    </row>
    <row r="14443">
      <c r="A14443" s="6">
        <f>Database!$A16528</f>
        <v/>
      </c>
      <c r="B14443">
        <f>IF(VLOOKUP(Table7[[#This Row],[Date]],Database!$A:$C,MATCH($B$1,Database!$A$1:$C$1,),)=0,#N/A,VLOOKUP(Table7[[#This Row],[Date]],Database!$A:$C,MATCH($B$1,Database!$A$1:$C$1,),))</f>
        <v/>
      </c>
      <c r="C14443">
        <f>IF(VLOOKUP(Table7[[#This Row],[Date]],Database!$A:$C,MATCH($C$1,Database!$A$1:$C$1,),)=0,#N/A,VLOOKUP(Table7[[#This Row],[Date]],Database!$A:$C,MATCH($C$1,Database!$A$1:$C$1,),))</f>
        <v/>
      </c>
      <c r="D14443">
        <f>IFERROR(Table7[[#This Row],[United States 10y]]-Table7[[#This Row],[United States 3y]],#N/A)</f>
        <v/>
      </c>
    </row>
    <row r="14444">
      <c r="A14444" s="6">
        <f>Database!$A16529</f>
        <v/>
      </c>
      <c r="B14444">
        <f>IF(VLOOKUP(Table7[[#This Row],[Date]],Database!$A:$C,MATCH($B$1,Database!$A$1:$C$1,),)=0,#N/A,VLOOKUP(Table7[[#This Row],[Date]],Database!$A:$C,MATCH($B$1,Database!$A$1:$C$1,),))</f>
        <v/>
      </c>
      <c r="C14444">
        <f>IF(VLOOKUP(Table7[[#This Row],[Date]],Database!$A:$C,MATCH($C$1,Database!$A$1:$C$1,),)=0,#N/A,VLOOKUP(Table7[[#This Row],[Date]],Database!$A:$C,MATCH($C$1,Database!$A$1:$C$1,),))</f>
        <v/>
      </c>
      <c r="D14444">
        <f>IFERROR(Table7[[#This Row],[United States 10y]]-Table7[[#This Row],[United States 3y]],#N/A)</f>
        <v/>
      </c>
    </row>
    <row r="14445">
      <c r="A14445" s="6">
        <f>Database!$A16530</f>
        <v/>
      </c>
      <c r="B14445">
        <f>IF(VLOOKUP(Table7[[#This Row],[Date]],Database!$A:$C,MATCH($B$1,Database!$A$1:$C$1,),)=0,#N/A,VLOOKUP(Table7[[#This Row],[Date]],Database!$A:$C,MATCH($B$1,Database!$A$1:$C$1,),))</f>
        <v/>
      </c>
      <c r="C14445">
        <f>IF(VLOOKUP(Table7[[#This Row],[Date]],Database!$A:$C,MATCH($C$1,Database!$A$1:$C$1,),)=0,#N/A,VLOOKUP(Table7[[#This Row],[Date]],Database!$A:$C,MATCH($C$1,Database!$A$1:$C$1,),))</f>
        <v/>
      </c>
      <c r="D14445">
        <f>IFERROR(Table7[[#This Row],[United States 10y]]-Table7[[#This Row],[United States 3y]],#N/A)</f>
        <v/>
      </c>
    </row>
    <row r="14446">
      <c r="A14446" s="6">
        <f>Database!$A16531</f>
        <v/>
      </c>
      <c r="B14446">
        <f>IF(VLOOKUP(Table7[[#This Row],[Date]],Database!$A:$C,MATCH($B$1,Database!$A$1:$C$1,),)=0,#N/A,VLOOKUP(Table7[[#This Row],[Date]],Database!$A:$C,MATCH($B$1,Database!$A$1:$C$1,),))</f>
        <v/>
      </c>
      <c r="C14446">
        <f>IF(VLOOKUP(Table7[[#This Row],[Date]],Database!$A:$C,MATCH($C$1,Database!$A$1:$C$1,),)=0,#N/A,VLOOKUP(Table7[[#This Row],[Date]],Database!$A:$C,MATCH($C$1,Database!$A$1:$C$1,),))</f>
        <v/>
      </c>
      <c r="D14446">
        <f>IFERROR(Table7[[#This Row],[United States 10y]]-Table7[[#This Row],[United States 3y]],#N/A)</f>
        <v/>
      </c>
    </row>
    <row r="14447">
      <c r="A14447" s="6">
        <f>Database!$A16532</f>
        <v/>
      </c>
      <c r="B14447">
        <f>IF(VLOOKUP(Table7[[#This Row],[Date]],Database!$A:$C,MATCH($B$1,Database!$A$1:$C$1,),)=0,#N/A,VLOOKUP(Table7[[#This Row],[Date]],Database!$A:$C,MATCH($B$1,Database!$A$1:$C$1,),))</f>
        <v/>
      </c>
      <c r="C14447">
        <f>IF(VLOOKUP(Table7[[#This Row],[Date]],Database!$A:$C,MATCH($C$1,Database!$A$1:$C$1,),)=0,#N/A,VLOOKUP(Table7[[#This Row],[Date]],Database!$A:$C,MATCH($C$1,Database!$A$1:$C$1,),))</f>
        <v/>
      </c>
      <c r="D14447">
        <f>IFERROR(Table7[[#This Row],[United States 10y]]-Table7[[#This Row],[United States 3y]],#N/A)</f>
        <v/>
      </c>
    </row>
    <row r="14448">
      <c r="A14448" s="6">
        <f>Database!$A16533</f>
        <v/>
      </c>
      <c r="B14448">
        <f>IF(VLOOKUP(Table7[[#This Row],[Date]],Database!$A:$C,MATCH($B$1,Database!$A$1:$C$1,),)=0,#N/A,VLOOKUP(Table7[[#This Row],[Date]],Database!$A:$C,MATCH($B$1,Database!$A$1:$C$1,),))</f>
        <v/>
      </c>
      <c r="C14448">
        <f>IF(VLOOKUP(Table7[[#This Row],[Date]],Database!$A:$C,MATCH($C$1,Database!$A$1:$C$1,),)=0,#N/A,VLOOKUP(Table7[[#This Row],[Date]],Database!$A:$C,MATCH($C$1,Database!$A$1:$C$1,),))</f>
        <v/>
      </c>
      <c r="D14448">
        <f>IFERROR(Table7[[#This Row],[United States 10y]]-Table7[[#This Row],[United States 3y]],#N/A)</f>
        <v/>
      </c>
    </row>
    <row r="14449">
      <c r="A14449" s="6">
        <f>Database!$A16534</f>
        <v/>
      </c>
      <c r="B14449">
        <f>IF(VLOOKUP(Table7[[#This Row],[Date]],Database!$A:$C,MATCH($B$1,Database!$A$1:$C$1,),)=0,#N/A,VLOOKUP(Table7[[#This Row],[Date]],Database!$A:$C,MATCH($B$1,Database!$A$1:$C$1,),))</f>
        <v/>
      </c>
      <c r="C14449">
        <f>IF(VLOOKUP(Table7[[#This Row],[Date]],Database!$A:$C,MATCH($C$1,Database!$A$1:$C$1,),)=0,#N/A,VLOOKUP(Table7[[#This Row],[Date]],Database!$A:$C,MATCH($C$1,Database!$A$1:$C$1,),))</f>
        <v/>
      </c>
      <c r="D14449">
        <f>IFERROR(Table7[[#This Row],[United States 10y]]-Table7[[#This Row],[United States 3y]],#N/A)</f>
        <v/>
      </c>
    </row>
    <row r="14450">
      <c r="A14450" s="6">
        <f>Database!$A16535</f>
        <v/>
      </c>
      <c r="B14450">
        <f>IF(VLOOKUP(Table7[[#This Row],[Date]],Database!$A:$C,MATCH($B$1,Database!$A$1:$C$1,),)=0,#N/A,VLOOKUP(Table7[[#This Row],[Date]],Database!$A:$C,MATCH($B$1,Database!$A$1:$C$1,),))</f>
        <v/>
      </c>
      <c r="C14450">
        <f>IF(VLOOKUP(Table7[[#This Row],[Date]],Database!$A:$C,MATCH($C$1,Database!$A$1:$C$1,),)=0,#N/A,VLOOKUP(Table7[[#This Row],[Date]],Database!$A:$C,MATCH($C$1,Database!$A$1:$C$1,),))</f>
        <v/>
      </c>
      <c r="D14450">
        <f>IFERROR(Table7[[#This Row],[United States 10y]]-Table7[[#This Row],[United States 3y]],#N/A)</f>
        <v/>
      </c>
    </row>
    <row r="14451">
      <c r="A14451" s="6">
        <f>Database!$A16536</f>
        <v/>
      </c>
      <c r="B14451">
        <f>IF(VLOOKUP(Table7[[#This Row],[Date]],Database!$A:$C,MATCH($B$1,Database!$A$1:$C$1,),)=0,#N/A,VLOOKUP(Table7[[#This Row],[Date]],Database!$A:$C,MATCH($B$1,Database!$A$1:$C$1,),))</f>
        <v/>
      </c>
      <c r="C14451">
        <f>IF(VLOOKUP(Table7[[#This Row],[Date]],Database!$A:$C,MATCH($C$1,Database!$A$1:$C$1,),)=0,#N/A,VLOOKUP(Table7[[#This Row],[Date]],Database!$A:$C,MATCH($C$1,Database!$A$1:$C$1,),))</f>
        <v/>
      </c>
      <c r="D14451">
        <f>IFERROR(Table7[[#This Row],[United States 10y]]-Table7[[#This Row],[United States 3y]],#N/A)</f>
        <v/>
      </c>
    </row>
    <row r="14452">
      <c r="A14452" s="6">
        <f>Database!$A16537</f>
        <v/>
      </c>
      <c r="B14452">
        <f>IF(VLOOKUP(Table7[[#This Row],[Date]],Database!$A:$C,MATCH($B$1,Database!$A$1:$C$1,),)=0,#N/A,VLOOKUP(Table7[[#This Row],[Date]],Database!$A:$C,MATCH($B$1,Database!$A$1:$C$1,),))</f>
        <v/>
      </c>
      <c r="C14452">
        <f>IF(VLOOKUP(Table7[[#This Row],[Date]],Database!$A:$C,MATCH($C$1,Database!$A$1:$C$1,),)=0,#N/A,VLOOKUP(Table7[[#This Row],[Date]],Database!$A:$C,MATCH($C$1,Database!$A$1:$C$1,),))</f>
        <v/>
      </c>
      <c r="D14452">
        <f>IFERROR(Table7[[#This Row],[United States 10y]]-Table7[[#This Row],[United States 3y]],#N/A)</f>
        <v/>
      </c>
    </row>
    <row r="14453">
      <c r="A14453" s="6">
        <f>Database!$A16538</f>
        <v/>
      </c>
      <c r="B14453">
        <f>IF(VLOOKUP(Table7[[#This Row],[Date]],Database!$A:$C,MATCH($B$1,Database!$A$1:$C$1,),)=0,#N/A,VLOOKUP(Table7[[#This Row],[Date]],Database!$A:$C,MATCH($B$1,Database!$A$1:$C$1,),))</f>
        <v/>
      </c>
      <c r="C14453">
        <f>IF(VLOOKUP(Table7[[#This Row],[Date]],Database!$A:$C,MATCH($C$1,Database!$A$1:$C$1,),)=0,#N/A,VLOOKUP(Table7[[#This Row],[Date]],Database!$A:$C,MATCH($C$1,Database!$A$1:$C$1,),))</f>
        <v/>
      </c>
      <c r="D14453">
        <f>IFERROR(Table7[[#This Row],[United States 10y]]-Table7[[#This Row],[United States 3y]],#N/A)</f>
        <v/>
      </c>
    </row>
    <row r="14454">
      <c r="A14454" s="6">
        <f>Database!$A16539</f>
        <v/>
      </c>
      <c r="B14454">
        <f>IF(VLOOKUP(Table7[[#This Row],[Date]],Database!$A:$C,MATCH($B$1,Database!$A$1:$C$1,),)=0,#N/A,VLOOKUP(Table7[[#This Row],[Date]],Database!$A:$C,MATCH($B$1,Database!$A$1:$C$1,),))</f>
        <v/>
      </c>
      <c r="C14454">
        <f>IF(VLOOKUP(Table7[[#This Row],[Date]],Database!$A:$C,MATCH($C$1,Database!$A$1:$C$1,),)=0,#N/A,VLOOKUP(Table7[[#This Row],[Date]],Database!$A:$C,MATCH($C$1,Database!$A$1:$C$1,),))</f>
        <v/>
      </c>
      <c r="D14454">
        <f>IFERROR(Table7[[#This Row],[United States 10y]]-Table7[[#This Row],[United States 3y]],#N/A)</f>
        <v/>
      </c>
    </row>
    <row r="14455">
      <c r="A14455" s="6">
        <f>Database!$A16540</f>
        <v/>
      </c>
      <c r="B14455">
        <f>IF(VLOOKUP(Table7[[#This Row],[Date]],Database!$A:$C,MATCH($B$1,Database!$A$1:$C$1,),)=0,#N/A,VLOOKUP(Table7[[#This Row],[Date]],Database!$A:$C,MATCH($B$1,Database!$A$1:$C$1,),))</f>
        <v/>
      </c>
      <c r="C14455">
        <f>IF(VLOOKUP(Table7[[#This Row],[Date]],Database!$A:$C,MATCH($C$1,Database!$A$1:$C$1,),)=0,#N/A,VLOOKUP(Table7[[#This Row],[Date]],Database!$A:$C,MATCH($C$1,Database!$A$1:$C$1,),))</f>
        <v/>
      </c>
      <c r="D14455">
        <f>IFERROR(Table7[[#This Row],[United States 10y]]-Table7[[#This Row],[United States 3y]],#N/A)</f>
        <v/>
      </c>
    </row>
    <row r="14456">
      <c r="A14456" s="6">
        <f>Database!$A16541</f>
        <v/>
      </c>
      <c r="B14456">
        <f>IF(VLOOKUP(Table7[[#This Row],[Date]],Database!$A:$C,MATCH($B$1,Database!$A$1:$C$1,),)=0,#N/A,VLOOKUP(Table7[[#This Row],[Date]],Database!$A:$C,MATCH($B$1,Database!$A$1:$C$1,),))</f>
        <v/>
      </c>
      <c r="C14456">
        <f>IF(VLOOKUP(Table7[[#This Row],[Date]],Database!$A:$C,MATCH($C$1,Database!$A$1:$C$1,),)=0,#N/A,VLOOKUP(Table7[[#This Row],[Date]],Database!$A:$C,MATCH($C$1,Database!$A$1:$C$1,),))</f>
        <v/>
      </c>
      <c r="D14456">
        <f>IFERROR(Table7[[#This Row],[United States 10y]]-Table7[[#This Row],[United States 3y]],#N/A)</f>
        <v/>
      </c>
    </row>
    <row r="14457">
      <c r="A14457" s="6">
        <f>Database!$A16542</f>
        <v/>
      </c>
      <c r="B14457">
        <f>IF(VLOOKUP(Table7[[#This Row],[Date]],Database!$A:$C,MATCH($B$1,Database!$A$1:$C$1,),)=0,#N/A,VLOOKUP(Table7[[#This Row],[Date]],Database!$A:$C,MATCH($B$1,Database!$A$1:$C$1,),))</f>
        <v/>
      </c>
      <c r="C14457">
        <f>IF(VLOOKUP(Table7[[#This Row],[Date]],Database!$A:$C,MATCH($C$1,Database!$A$1:$C$1,),)=0,#N/A,VLOOKUP(Table7[[#This Row],[Date]],Database!$A:$C,MATCH($C$1,Database!$A$1:$C$1,),))</f>
        <v/>
      </c>
      <c r="D14457">
        <f>IFERROR(Table7[[#This Row],[United States 10y]]-Table7[[#This Row],[United States 3y]],#N/A)</f>
        <v/>
      </c>
    </row>
    <row r="14458">
      <c r="A14458" s="6">
        <f>Database!$A16543</f>
        <v/>
      </c>
      <c r="B14458">
        <f>IF(VLOOKUP(Table7[[#This Row],[Date]],Database!$A:$C,MATCH($B$1,Database!$A$1:$C$1,),)=0,#N/A,VLOOKUP(Table7[[#This Row],[Date]],Database!$A:$C,MATCH($B$1,Database!$A$1:$C$1,),))</f>
        <v/>
      </c>
      <c r="C14458">
        <f>IF(VLOOKUP(Table7[[#This Row],[Date]],Database!$A:$C,MATCH($C$1,Database!$A$1:$C$1,),)=0,#N/A,VLOOKUP(Table7[[#This Row],[Date]],Database!$A:$C,MATCH($C$1,Database!$A$1:$C$1,),))</f>
        <v/>
      </c>
      <c r="D14458">
        <f>IFERROR(Table7[[#This Row],[United States 10y]]-Table7[[#This Row],[United States 3y]],#N/A)</f>
        <v/>
      </c>
    </row>
    <row r="14459">
      <c r="A14459" s="6">
        <f>Database!$A16544</f>
        <v/>
      </c>
      <c r="B14459">
        <f>IF(VLOOKUP(Table7[[#This Row],[Date]],Database!$A:$C,MATCH($B$1,Database!$A$1:$C$1,),)=0,#N/A,VLOOKUP(Table7[[#This Row],[Date]],Database!$A:$C,MATCH($B$1,Database!$A$1:$C$1,),))</f>
        <v/>
      </c>
      <c r="C14459">
        <f>IF(VLOOKUP(Table7[[#This Row],[Date]],Database!$A:$C,MATCH($C$1,Database!$A$1:$C$1,),)=0,#N/A,VLOOKUP(Table7[[#This Row],[Date]],Database!$A:$C,MATCH($C$1,Database!$A$1:$C$1,),))</f>
        <v/>
      </c>
      <c r="D14459">
        <f>IFERROR(Table7[[#This Row],[United States 10y]]-Table7[[#This Row],[United States 3y]],#N/A)</f>
        <v/>
      </c>
    </row>
    <row r="14460">
      <c r="A14460" s="6">
        <f>Database!$A16545</f>
        <v/>
      </c>
      <c r="B14460">
        <f>IF(VLOOKUP(Table7[[#This Row],[Date]],Database!$A:$C,MATCH($B$1,Database!$A$1:$C$1,),)=0,#N/A,VLOOKUP(Table7[[#This Row],[Date]],Database!$A:$C,MATCH($B$1,Database!$A$1:$C$1,),))</f>
        <v/>
      </c>
      <c r="C14460">
        <f>IF(VLOOKUP(Table7[[#This Row],[Date]],Database!$A:$C,MATCH($C$1,Database!$A$1:$C$1,),)=0,#N/A,VLOOKUP(Table7[[#This Row],[Date]],Database!$A:$C,MATCH($C$1,Database!$A$1:$C$1,),))</f>
        <v/>
      </c>
      <c r="D14460">
        <f>IFERROR(Table7[[#This Row],[United States 10y]]-Table7[[#This Row],[United States 3y]],#N/A)</f>
        <v/>
      </c>
    </row>
    <row r="14461">
      <c r="A14461" s="6">
        <f>Database!$A16546</f>
        <v/>
      </c>
      <c r="B14461">
        <f>IF(VLOOKUP(Table7[[#This Row],[Date]],Database!$A:$C,MATCH($B$1,Database!$A$1:$C$1,),)=0,#N/A,VLOOKUP(Table7[[#This Row],[Date]],Database!$A:$C,MATCH($B$1,Database!$A$1:$C$1,),))</f>
        <v/>
      </c>
      <c r="C14461">
        <f>IF(VLOOKUP(Table7[[#This Row],[Date]],Database!$A:$C,MATCH($C$1,Database!$A$1:$C$1,),)=0,#N/A,VLOOKUP(Table7[[#This Row],[Date]],Database!$A:$C,MATCH($C$1,Database!$A$1:$C$1,),))</f>
        <v/>
      </c>
      <c r="D14461">
        <f>IFERROR(Table7[[#This Row],[United States 10y]]-Table7[[#This Row],[United States 3y]],#N/A)</f>
        <v/>
      </c>
    </row>
    <row r="14462">
      <c r="A14462" s="6">
        <f>Database!$A16547</f>
        <v/>
      </c>
      <c r="B14462">
        <f>IF(VLOOKUP(Table7[[#This Row],[Date]],Database!$A:$C,MATCH($B$1,Database!$A$1:$C$1,),)=0,#N/A,VLOOKUP(Table7[[#This Row],[Date]],Database!$A:$C,MATCH($B$1,Database!$A$1:$C$1,),))</f>
        <v/>
      </c>
      <c r="C14462">
        <f>IF(VLOOKUP(Table7[[#This Row],[Date]],Database!$A:$C,MATCH($C$1,Database!$A$1:$C$1,),)=0,#N/A,VLOOKUP(Table7[[#This Row],[Date]],Database!$A:$C,MATCH($C$1,Database!$A$1:$C$1,),))</f>
        <v/>
      </c>
      <c r="D14462">
        <f>IFERROR(Table7[[#This Row],[United States 10y]]-Table7[[#This Row],[United States 3y]],#N/A)</f>
        <v/>
      </c>
    </row>
    <row r="14463">
      <c r="A14463" s="6">
        <f>Database!$A16548</f>
        <v/>
      </c>
      <c r="B14463">
        <f>IF(VLOOKUP(Table7[[#This Row],[Date]],Database!$A:$C,MATCH($B$1,Database!$A$1:$C$1,),)=0,#N/A,VLOOKUP(Table7[[#This Row],[Date]],Database!$A:$C,MATCH($B$1,Database!$A$1:$C$1,),))</f>
        <v/>
      </c>
      <c r="C14463">
        <f>IF(VLOOKUP(Table7[[#This Row],[Date]],Database!$A:$C,MATCH($C$1,Database!$A$1:$C$1,),)=0,#N/A,VLOOKUP(Table7[[#This Row],[Date]],Database!$A:$C,MATCH($C$1,Database!$A$1:$C$1,),))</f>
        <v/>
      </c>
      <c r="D14463">
        <f>IFERROR(Table7[[#This Row],[United States 10y]]-Table7[[#This Row],[United States 3y]],#N/A)</f>
        <v/>
      </c>
    </row>
    <row r="14464">
      <c r="A14464" s="6">
        <f>Database!$A16549</f>
        <v/>
      </c>
      <c r="B14464">
        <f>IF(VLOOKUP(Table7[[#This Row],[Date]],Database!$A:$C,MATCH($B$1,Database!$A$1:$C$1,),)=0,#N/A,VLOOKUP(Table7[[#This Row],[Date]],Database!$A:$C,MATCH($B$1,Database!$A$1:$C$1,),))</f>
        <v/>
      </c>
      <c r="C14464">
        <f>IF(VLOOKUP(Table7[[#This Row],[Date]],Database!$A:$C,MATCH($C$1,Database!$A$1:$C$1,),)=0,#N/A,VLOOKUP(Table7[[#This Row],[Date]],Database!$A:$C,MATCH($C$1,Database!$A$1:$C$1,),))</f>
        <v/>
      </c>
      <c r="D14464">
        <f>IFERROR(Table7[[#This Row],[United States 10y]]-Table7[[#This Row],[United States 3y]],#N/A)</f>
        <v/>
      </c>
    </row>
    <row r="14465">
      <c r="A14465" s="6">
        <f>Database!$A16550</f>
        <v/>
      </c>
      <c r="B14465">
        <f>IF(VLOOKUP(Table7[[#This Row],[Date]],Database!$A:$C,MATCH($B$1,Database!$A$1:$C$1,),)=0,#N/A,VLOOKUP(Table7[[#This Row],[Date]],Database!$A:$C,MATCH($B$1,Database!$A$1:$C$1,),))</f>
        <v/>
      </c>
      <c r="C14465">
        <f>IF(VLOOKUP(Table7[[#This Row],[Date]],Database!$A:$C,MATCH($C$1,Database!$A$1:$C$1,),)=0,#N/A,VLOOKUP(Table7[[#This Row],[Date]],Database!$A:$C,MATCH($C$1,Database!$A$1:$C$1,),))</f>
        <v/>
      </c>
      <c r="D14465">
        <f>IFERROR(Table7[[#This Row],[United States 10y]]-Table7[[#This Row],[United States 3y]],#N/A)</f>
        <v/>
      </c>
    </row>
    <row r="14466">
      <c r="A14466" s="6">
        <f>Database!$A16551</f>
        <v/>
      </c>
      <c r="B14466">
        <f>IF(VLOOKUP(Table7[[#This Row],[Date]],Database!$A:$C,MATCH($B$1,Database!$A$1:$C$1,),)=0,#N/A,VLOOKUP(Table7[[#This Row],[Date]],Database!$A:$C,MATCH($B$1,Database!$A$1:$C$1,),))</f>
        <v/>
      </c>
      <c r="C14466">
        <f>IF(VLOOKUP(Table7[[#This Row],[Date]],Database!$A:$C,MATCH($C$1,Database!$A$1:$C$1,),)=0,#N/A,VLOOKUP(Table7[[#This Row],[Date]],Database!$A:$C,MATCH($C$1,Database!$A$1:$C$1,),))</f>
        <v/>
      </c>
      <c r="D14466">
        <f>IFERROR(Table7[[#This Row],[United States 10y]]-Table7[[#This Row],[United States 3y]],#N/A)</f>
        <v/>
      </c>
    </row>
    <row r="14467">
      <c r="A14467" s="6">
        <f>Database!$A16552</f>
        <v/>
      </c>
      <c r="B14467">
        <f>IF(VLOOKUP(Table7[[#This Row],[Date]],Database!$A:$C,MATCH($B$1,Database!$A$1:$C$1,),)=0,#N/A,VLOOKUP(Table7[[#This Row],[Date]],Database!$A:$C,MATCH($B$1,Database!$A$1:$C$1,),))</f>
        <v/>
      </c>
      <c r="C14467">
        <f>IF(VLOOKUP(Table7[[#This Row],[Date]],Database!$A:$C,MATCH($C$1,Database!$A$1:$C$1,),)=0,#N/A,VLOOKUP(Table7[[#This Row],[Date]],Database!$A:$C,MATCH($C$1,Database!$A$1:$C$1,),))</f>
        <v/>
      </c>
      <c r="D14467">
        <f>IFERROR(Table7[[#This Row],[United States 10y]]-Table7[[#This Row],[United States 3y]],#N/A)</f>
        <v/>
      </c>
    </row>
    <row r="14468">
      <c r="A14468" s="6">
        <f>Database!$A16553</f>
        <v/>
      </c>
      <c r="B14468">
        <f>IF(VLOOKUP(Table7[[#This Row],[Date]],Database!$A:$C,MATCH($B$1,Database!$A$1:$C$1,),)=0,#N/A,VLOOKUP(Table7[[#This Row],[Date]],Database!$A:$C,MATCH($B$1,Database!$A$1:$C$1,),))</f>
        <v/>
      </c>
      <c r="C14468">
        <f>IF(VLOOKUP(Table7[[#This Row],[Date]],Database!$A:$C,MATCH($C$1,Database!$A$1:$C$1,),)=0,#N/A,VLOOKUP(Table7[[#This Row],[Date]],Database!$A:$C,MATCH($C$1,Database!$A$1:$C$1,),))</f>
        <v/>
      </c>
      <c r="D14468">
        <f>IFERROR(Table7[[#This Row],[United States 10y]]-Table7[[#This Row],[United States 3y]],#N/A)</f>
        <v/>
      </c>
    </row>
    <row r="14469">
      <c r="A14469" s="6">
        <f>Database!$A16554</f>
        <v/>
      </c>
      <c r="B14469">
        <f>IF(VLOOKUP(Table7[[#This Row],[Date]],Database!$A:$C,MATCH($B$1,Database!$A$1:$C$1,),)=0,#N/A,VLOOKUP(Table7[[#This Row],[Date]],Database!$A:$C,MATCH($B$1,Database!$A$1:$C$1,),))</f>
        <v/>
      </c>
      <c r="C14469">
        <f>IF(VLOOKUP(Table7[[#This Row],[Date]],Database!$A:$C,MATCH($C$1,Database!$A$1:$C$1,),)=0,#N/A,VLOOKUP(Table7[[#This Row],[Date]],Database!$A:$C,MATCH($C$1,Database!$A$1:$C$1,),))</f>
        <v/>
      </c>
      <c r="D14469">
        <f>IFERROR(Table7[[#This Row],[United States 10y]]-Table7[[#This Row],[United States 3y]],#N/A)</f>
        <v/>
      </c>
    </row>
    <row r="14470">
      <c r="A14470" s="6">
        <f>Database!$A16555</f>
        <v/>
      </c>
      <c r="B14470">
        <f>IF(VLOOKUP(Table7[[#This Row],[Date]],Database!$A:$C,MATCH($B$1,Database!$A$1:$C$1,),)=0,#N/A,VLOOKUP(Table7[[#This Row],[Date]],Database!$A:$C,MATCH($B$1,Database!$A$1:$C$1,),))</f>
        <v/>
      </c>
      <c r="C14470">
        <f>IF(VLOOKUP(Table7[[#This Row],[Date]],Database!$A:$C,MATCH($C$1,Database!$A$1:$C$1,),)=0,#N/A,VLOOKUP(Table7[[#This Row],[Date]],Database!$A:$C,MATCH($C$1,Database!$A$1:$C$1,),))</f>
        <v/>
      </c>
      <c r="D14470">
        <f>IFERROR(Table7[[#This Row],[United States 10y]]-Table7[[#This Row],[United States 3y]],#N/A)</f>
        <v/>
      </c>
    </row>
    <row r="14471">
      <c r="A14471" s="6">
        <f>Database!$A16556</f>
        <v/>
      </c>
      <c r="B14471">
        <f>IF(VLOOKUP(Table7[[#This Row],[Date]],Database!$A:$C,MATCH($B$1,Database!$A$1:$C$1,),)=0,#N/A,VLOOKUP(Table7[[#This Row],[Date]],Database!$A:$C,MATCH($B$1,Database!$A$1:$C$1,),))</f>
        <v/>
      </c>
      <c r="C14471">
        <f>IF(VLOOKUP(Table7[[#This Row],[Date]],Database!$A:$C,MATCH($C$1,Database!$A$1:$C$1,),)=0,#N/A,VLOOKUP(Table7[[#This Row],[Date]],Database!$A:$C,MATCH($C$1,Database!$A$1:$C$1,),))</f>
        <v/>
      </c>
      <c r="D14471">
        <f>IFERROR(Table7[[#This Row],[United States 10y]]-Table7[[#This Row],[United States 3y]],#N/A)</f>
        <v/>
      </c>
    </row>
    <row r="14472">
      <c r="A14472" s="6">
        <f>Database!$A16557</f>
        <v/>
      </c>
      <c r="B14472">
        <f>IF(VLOOKUP(Table7[[#This Row],[Date]],Database!$A:$C,MATCH($B$1,Database!$A$1:$C$1,),)=0,#N/A,VLOOKUP(Table7[[#This Row],[Date]],Database!$A:$C,MATCH($B$1,Database!$A$1:$C$1,),))</f>
        <v/>
      </c>
      <c r="C14472">
        <f>IF(VLOOKUP(Table7[[#This Row],[Date]],Database!$A:$C,MATCH($C$1,Database!$A$1:$C$1,),)=0,#N/A,VLOOKUP(Table7[[#This Row],[Date]],Database!$A:$C,MATCH($C$1,Database!$A$1:$C$1,),))</f>
        <v/>
      </c>
      <c r="D14472">
        <f>IFERROR(Table7[[#This Row],[United States 10y]]-Table7[[#This Row],[United States 3y]],#N/A)</f>
        <v/>
      </c>
    </row>
    <row r="14473">
      <c r="A14473" s="6">
        <f>Database!$A16558</f>
        <v/>
      </c>
      <c r="B14473">
        <f>IF(VLOOKUP(Table7[[#This Row],[Date]],Database!$A:$C,MATCH($B$1,Database!$A$1:$C$1,),)=0,#N/A,VLOOKUP(Table7[[#This Row],[Date]],Database!$A:$C,MATCH($B$1,Database!$A$1:$C$1,),))</f>
        <v/>
      </c>
      <c r="C14473">
        <f>IF(VLOOKUP(Table7[[#This Row],[Date]],Database!$A:$C,MATCH($C$1,Database!$A$1:$C$1,),)=0,#N/A,VLOOKUP(Table7[[#This Row],[Date]],Database!$A:$C,MATCH($C$1,Database!$A$1:$C$1,),))</f>
        <v/>
      </c>
      <c r="D14473">
        <f>IFERROR(Table7[[#This Row],[United States 10y]]-Table7[[#This Row],[United States 3y]],#N/A)</f>
        <v/>
      </c>
    </row>
    <row r="14474">
      <c r="A14474" s="6">
        <f>Database!$A16559</f>
        <v/>
      </c>
      <c r="B14474">
        <f>IF(VLOOKUP(Table7[[#This Row],[Date]],Database!$A:$C,MATCH($B$1,Database!$A$1:$C$1,),)=0,#N/A,VLOOKUP(Table7[[#This Row],[Date]],Database!$A:$C,MATCH($B$1,Database!$A$1:$C$1,),))</f>
        <v/>
      </c>
      <c r="C14474">
        <f>IF(VLOOKUP(Table7[[#This Row],[Date]],Database!$A:$C,MATCH($C$1,Database!$A$1:$C$1,),)=0,#N/A,VLOOKUP(Table7[[#This Row],[Date]],Database!$A:$C,MATCH($C$1,Database!$A$1:$C$1,),))</f>
        <v/>
      </c>
      <c r="D14474">
        <f>IFERROR(Table7[[#This Row],[United States 10y]]-Table7[[#This Row],[United States 3y]],#N/A)</f>
        <v/>
      </c>
    </row>
    <row r="14475">
      <c r="A14475" s="6">
        <f>Database!$A16560</f>
        <v/>
      </c>
      <c r="B14475">
        <f>IF(VLOOKUP(Table7[[#This Row],[Date]],Database!$A:$C,MATCH($B$1,Database!$A$1:$C$1,),)=0,#N/A,VLOOKUP(Table7[[#This Row],[Date]],Database!$A:$C,MATCH($B$1,Database!$A$1:$C$1,),))</f>
        <v/>
      </c>
      <c r="C14475">
        <f>IF(VLOOKUP(Table7[[#This Row],[Date]],Database!$A:$C,MATCH($C$1,Database!$A$1:$C$1,),)=0,#N/A,VLOOKUP(Table7[[#This Row],[Date]],Database!$A:$C,MATCH($C$1,Database!$A$1:$C$1,),))</f>
        <v/>
      </c>
      <c r="D14475">
        <f>IFERROR(Table7[[#This Row],[United States 10y]]-Table7[[#This Row],[United States 3y]],#N/A)</f>
        <v/>
      </c>
    </row>
    <row r="14476">
      <c r="A14476" s="6">
        <f>Database!$A16561</f>
        <v/>
      </c>
      <c r="B14476">
        <f>IF(VLOOKUP(Table7[[#This Row],[Date]],Database!$A:$C,MATCH($B$1,Database!$A$1:$C$1,),)=0,#N/A,VLOOKUP(Table7[[#This Row],[Date]],Database!$A:$C,MATCH($B$1,Database!$A$1:$C$1,),))</f>
        <v/>
      </c>
      <c r="C14476">
        <f>IF(VLOOKUP(Table7[[#This Row],[Date]],Database!$A:$C,MATCH($C$1,Database!$A$1:$C$1,),)=0,#N/A,VLOOKUP(Table7[[#This Row],[Date]],Database!$A:$C,MATCH($C$1,Database!$A$1:$C$1,),))</f>
        <v/>
      </c>
      <c r="D14476">
        <f>IFERROR(Table7[[#This Row],[United States 10y]]-Table7[[#This Row],[United States 3y]],#N/A)</f>
        <v/>
      </c>
    </row>
    <row r="14477">
      <c r="A14477" s="6">
        <f>Database!$A16562</f>
        <v/>
      </c>
      <c r="B14477">
        <f>IF(VLOOKUP(Table7[[#This Row],[Date]],Database!$A:$C,MATCH($B$1,Database!$A$1:$C$1,),)=0,#N/A,VLOOKUP(Table7[[#This Row],[Date]],Database!$A:$C,MATCH($B$1,Database!$A$1:$C$1,),))</f>
        <v/>
      </c>
      <c r="C14477">
        <f>IF(VLOOKUP(Table7[[#This Row],[Date]],Database!$A:$C,MATCH($C$1,Database!$A$1:$C$1,),)=0,#N/A,VLOOKUP(Table7[[#This Row],[Date]],Database!$A:$C,MATCH($C$1,Database!$A$1:$C$1,),))</f>
        <v/>
      </c>
      <c r="D14477">
        <f>IFERROR(Table7[[#This Row],[United States 10y]]-Table7[[#This Row],[United States 3y]],#N/A)</f>
        <v/>
      </c>
    </row>
    <row r="14478">
      <c r="A14478" s="6">
        <f>Database!$A16563</f>
        <v/>
      </c>
      <c r="B14478">
        <f>IF(VLOOKUP(Table7[[#This Row],[Date]],Database!$A:$C,MATCH($B$1,Database!$A$1:$C$1,),)=0,#N/A,VLOOKUP(Table7[[#This Row],[Date]],Database!$A:$C,MATCH($B$1,Database!$A$1:$C$1,),))</f>
        <v/>
      </c>
      <c r="C14478">
        <f>IF(VLOOKUP(Table7[[#This Row],[Date]],Database!$A:$C,MATCH($C$1,Database!$A$1:$C$1,),)=0,#N/A,VLOOKUP(Table7[[#This Row],[Date]],Database!$A:$C,MATCH($C$1,Database!$A$1:$C$1,),))</f>
        <v/>
      </c>
      <c r="D14478">
        <f>IFERROR(Table7[[#This Row],[United States 10y]]-Table7[[#This Row],[United States 3y]],#N/A)</f>
        <v/>
      </c>
    </row>
    <row r="14479">
      <c r="A14479" s="6">
        <f>Database!$A16564</f>
        <v/>
      </c>
      <c r="B14479">
        <f>IF(VLOOKUP(Table7[[#This Row],[Date]],Database!$A:$C,MATCH($B$1,Database!$A$1:$C$1,),)=0,#N/A,VLOOKUP(Table7[[#This Row],[Date]],Database!$A:$C,MATCH($B$1,Database!$A$1:$C$1,),))</f>
        <v/>
      </c>
      <c r="C14479">
        <f>IF(VLOOKUP(Table7[[#This Row],[Date]],Database!$A:$C,MATCH($C$1,Database!$A$1:$C$1,),)=0,#N/A,VLOOKUP(Table7[[#This Row],[Date]],Database!$A:$C,MATCH($C$1,Database!$A$1:$C$1,),))</f>
        <v/>
      </c>
      <c r="D14479">
        <f>IFERROR(Table7[[#This Row],[United States 10y]]-Table7[[#This Row],[United States 3y]],#N/A)</f>
        <v/>
      </c>
    </row>
    <row r="14480">
      <c r="A14480" s="6">
        <f>Database!$A16565</f>
        <v/>
      </c>
      <c r="B14480">
        <f>IF(VLOOKUP(Table7[[#This Row],[Date]],Database!$A:$C,MATCH($B$1,Database!$A$1:$C$1,),)=0,#N/A,VLOOKUP(Table7[[#This Row],[Date]],Database!$A:$C,MATCH($B$1,Database!$A$1:$C$1,),))</f>
        <v/>
      </c>
      <c r="C14480">
        <f>IF(VLOOKUP(Table7[[#This Row],[Date]],Database!$A:$C,MATCH($C$1,Database!$A$1:$C$1,),)=0,#N/A,VLOOKUP(Table7[[#This Row],[Date]],Database!$A:$C,MATCH($C$1,Database!$A$1:$C$1,),))</f>
        <v/>
      </c>
      <c r="D14480">
        <f>IFERROR(Table7[[#This Row],[United States 10y]]-Table7[[#This Row],[United States 3y]],#N/A)</f>
        <v/>
      </c>
    </row>
    <row r="14481">
      <c r="A14481" s="6">
        <f>Database!$A16566</f>
        <v/>
      </c>
      <c r="B14481">
        <f>IF(VLOOKUP(Table7[[#This Row],[Date]],Database!$A:$C,MATCH($B$1,Database!$A$1:$C$1,),)=0,#N/A,VLOOKUP(Table7[[#This Row],[Date]],Database!$A:$C,MATCH($B$1,Database!$A$1:$C$1,),))</f>
        <v/>
      </c>
      <c r="C14481">
        <f>IF(VLOOKUP(Table7[[#This Row],[Date]],Database!$A:$C,MATCH($C$1,Database!$A$1:$C$1,),)=0,#N/A,VLOOKUP(Table7[[#This Row],[Date]],Database!$A:$C,MATCH($C$1,Database!$A$1:$C$1,),))</f>
        <v/>
      </c>
      <c r="D14481">
        <f>IFERROR(Table7[[#This Row],[United States 10y]]-Table7[[#This Row],[United States 3y]],#N/A)</f>
        <v/>
      </c>
    </row>
    <row r="14482">
      <c r="A14482" s="6">
        <f>Database!$A16567</f>
        <v/>
      </c>
      <c r="B14482">
        <f>IF(VLOOKUP(Table7[[#This Row],[Date]],Database!$A:$C,MATCH($B$1,Database!$A$1:$C$1,),)=0,#N/A,VLOOKUP(Table7[[#This Row],[Date]],Database!$A:$C,MATCH($B$1,Database!$A$1:$C$1,),))</f>
        <v/>
      </c>
      <c r="C14482">
        <f>IF(VLOOKUP(Table7[[#This Row],[Date]],Database!$A:$C,MATCH($C$1,Database!$A$1:$C$1,),)=0,#N/A,VLOOKUP(Table7[[#This Row],[Date]],Database!$A:$C,MATCH($C$1,Database!$A$1:$C$1,),))</f>
        <v/>
      </c>
      <c r="D14482">
        <f>IFERROR(Table7[[#This Row],[United States 10y]]-Table7[[#This Row],[United States 3y]],#N/A)</f>
        <v/>
      </c>
    </row>
    <row r="14483">
      <c r="A14483" s="6">
        <f>Database!$A16568</f>
        <v/>
      </c>
      <c r="B14483">
        <f>IF(VLOOKUP(Table7[[#This Row],[Date]],Database!$A:$C,MATCH($B$1,Database!$A$1:$C$1,),)=0,#N/A,VLOOKUP(Table7[[#This Row],[Date]],Database!$A:$C,MATCH($B$1,Database!$A$1:$C$1,),))</f>
        <v/>
      </c>
      <c r="C14483">
        <f>IF(VLOOKUP(Table7[[#This Row],[Date]],Database!$A:$C,MATCH($C$1,Database!$A$1:$C$1,),)=0,#N/A,VLOOKUP(Table7[[#This Row],[Date]],Database!$A:$C,MATCH($C$1,Database!$A$1:$C$1,),))</f>
        <v/>
      </c>
      <c r="D14483">
        <f>IFERROR(Table7[[#This Row],[United States 10y]]-Table7[[#This Row],[United States 3y]],#N/A)</f>
        <v/>
      </c>
    </row>
    <row r="14484">
      <c r="A14484" s="6">
        <f>Database!$A16569</f>
        <v/>
      </c>
      <c r="B14484">
        <f>IF(VLOOKUP(Table7[[#This Row],[Date]],Database!$A:$C,MATCH($B$1,Database!$A$1:$C$1,),)=0,#N/A,VLOOKUP(Table7[[#This Row],[Date]],Database!$A:$C,MATCH($B$1,Database!$A$1:$C$1,),))</f>
        <v/>
      </c>
      <c r="C14484">
        <f>IF(VLOOKUP(Table7[[#This Row],[Date]],Database!$A:$C,MATCH($C$1,Database!$A$1:$C$1,),)=0,#N/A,VLOOKUP(Table7[[#This Row],[Date]],Database!$A:$C,MATCH($C$1,Database!$A$1:$C$1,),))</f>
        <v/>
      </c>
      <c r="D14484">
        <f>IFERROR(Table7[[#This Row],[United States 10y]]-Table7[[#This Row],[United States 3y]],#N/A)</f>
        <v/>
      </c>
    </row>
    <row r="14485">
      <c r="A14485" s="6">
        <f>Database!$A16570</f>
        <v/>
      </c>
      <c r="B14485">
        <f>IF(VLOOKUP(Table7[[#This Row],[Date]],Database!$A:$C,MATCH($B$1,Database!$A$1:$C$1,),)=0,#N/A,VLOOKUP(Table7[[#This Row],[Date]],Database!$A:$C,MATCH($B$1,Database!$A$1:$C$1,),))</f>
        <v/>
      </c>
      <c r="C14485">
        <f>IF(VLOOKUP(Table7[[#This Row],[Date]],Database!$A:$C,MATCH($C$1,Database!$A$1:$C$1,),)=0,#N/A,VLOOKUP(Table7[[#This Row],[Date]],Database!$A:$C,MATCH($C$1,Database!$A$1:$C$1,),))</f>
        <v/>
      </c>
      <c r="D14485">
        <f>IFERROR(Table7[[#This Row],[United States 10y]]-Table7[[#This Row],[United States 3y]],#N/A)</f>
        <v/>
      </c>
    </row>
    <row r="14486">
      <c r="A14486" s="6">
        <f>Database!$A16571</f>
        <v/>
      </c>
      <c r="B14486">
        <f>IF(VLOOKUP(Table7[[#This Row],[Date]],Database!$A:$C,MATCH($B$1,Database!$A$1:$C$1,),)=0,#N/A,VLOOKUP(Table7[[#This Row],[Date]],Database!$A:$C,MATCH($B$1,Database!$A$1:$C$1,),))</f>
        <v/>
      </c>
      <c r="C14486">
        <f>IF(VLOOKUP(Table7[[#This Row],[Date]],Database!$A:$C,MATCH($C$1,Database!$A$1:$C$1,),)=0,#N/A,VLOOKUP(Table7[[#This Row],[Date]],Database!$A:$C,MATCH($C$1,Database!$A$1:$C$1,),))</f>
        <v/>
      </c>
      <c r="D14486">
        <f>IFERROR(Table7[[#This Row],[United States 10y]]-Table7[[#This Row],[United States 3y]],#N/A)</f>
        <v/>
      </c>
    </row>
    <row r="14487">
      <c r="A14487" s="6">
        <f>Database!$A16572</f>
        <v/>
      </c>
      <c r="B14487">
        <f>IF(VLOOKUP(Table7[[#This Row],[Date]],Database!$A:$C,MATCH($B$1,Database!$A$1:$C$1,),)=0,#N/A,VLOOKUP(Table7[[#This Row],[Date]],Database!$A:$C,MATCH($B$1,Database!$A$1:$C$1,),))</f>
        <v/>
      </c>
      <c r="C14487">
        <f>IF(VLOOKUP(Table7[[#This Row],[Date]],Database!$A:$C,MATCH($C$1,Database!$A$1:$C$1,),)=0,#N/A,VLOOKUP(Table7[[#This Row],[Date]],Database!$A:$C,MATCH($C$1,Database!$A$1:$C$1,),))</f>
        <v/>
      </c>
      <c r="D14487">
        <f>IFERROR(Table7[[#This Row],[United States 10y]]-Table7[[#This Row],[United States 3y]],#N/A)</f>
        <v/>
      </c>
    </row>
    <row r="14488">
      <c r="A14488" s="6">
        <f>Database!$A16573</f>
        <v/>
      </c>
      <c r="B14488">
        <f>IF(VLOOKUP(Table7[[#This Row],[Date]],Database!$A:$C,MATCH($B$1,Database!$A$1:$C$1,),)=0,#N/A,VLOOKUP(Table7[[#This Row],[Date]],Database!$A:$C,MATCH($B$1,Database!$A$1:$C$1,),))</f>
        <v/>
      </c>
      <c r="C14488">
        <f>IF(VLOOKUP(Table7[[#This Row],[Date]],Database!$A:$C,MATCH($C$1,Database!$A$1:$C$1,),)=0,#N/A,VLOOKUP(Table7[[#This Row],[Date]],Database!$A:$C,MATCH($C$1,Database!$A$1:$C$1,),))</f>
        <v/>
      </c>
      <c r="D14488">
        <f>IFERROR(Table7[[#This Row],[United States 10y]]-Table7[[#This Row],[United States 3y]],#N/A)</f>
        <v/>
      </c>
    </row>
    <row r="14489">
      <c r="A14489" s="6">
        <f>Database!$A16574</f>
        <v/>
      </c>
      <c r="B14489">
        <f>IF(VLOOKUP(Table7[[#This Row],[Date]],Database!$A:$C,MATCH($B$1,Database!$A$1:$C$1,),)=0,#N/A,VLOOKUP(Table7[[#This Row],[Date]],Database!$A:$C,MATCH($B$1,Database!$A$1:$C$1,),))</f>
        <v/>
      </c>
      <c r="C14489">
        <f>IF(VLOOKUP(Table7[[#This Row],[Date]],Database!$A:$C,MATCH($C$1,Database!$A$1:$C$1,),)=0,#N/A,VLOOKUP(Table7[[#This Row],[Date]],Database!$A:$C,MATCH($C$1,Database!$A$1:$C$1,),))</f>
        <v/>
      </c>
      <c r="D14489">
        <f>IFERROR(Table7[[#This Row],[United States 10y]]-Table7[[#This Row],[United States 3y]],#N/A)</f>
        <v/>
      </c>
    </row>
    <row r="14490">
      <c r="A14490" s="6">
        <f>Database!$A16575</f>
        <v/>
      </c>
      <c r="B14490">
        <f>IF(VLOOKUP(Table7[[#This Row],[Date]],Database!$A:$C,MATCH($B$1,Database!$A$1:$C$1,),)=0,#N/A,VLOOKUP(Table7[[#This Row],[Date]],Database!$A:$C,MATCH($B$1,Database!$A$1:$C$1,),))</f>
        <v/>
      </c>
      <c r="C14490">
        <f>IF(VLOOKUP(Table7[[#This Row],[Date]],Database!$A:$C,MATCH($C$1,Database!$A$1:$C$1,),)=0,#N/A,VLOOKUP(Table7[[#This Row],[Date]],Database!$A:$C,MATCH($C$1,Database!$A$1:$C$1,),))</f>
        <v/>
      </c>
      <c r="D14490">
        <f>IFERROR(Table7[[#This Row],[United States 10y]]-Table7[[#This Row],[United States 3y]],#N/A)</f>
        <v/>
      </c>
    </row>
    <row r="14491">
      <c r="A14491" s="6">
        <f>Database!$A16576</f>
        <v/>
      </c>
      <c r="B14491">
        <f>IF(VLOOKUP(Table7[[#This Row],[Date]],Database!$A:$C,MATCH($B$1,Database!$A$1:$C$1,),)=0,#N/A,VLOOKUP(Table7[[#This Row],[Date]],Database!$A:$C,MATCH($B$1,Database!$A$1:$C$1,),))</f>
        <v/>
      </c>
      <c r="C14491">
        <f>IF(VLOOKUP(Table7[[#This Row],[Date]],Database!$A:$C,MATCH($C$1,Database!$A$1:$C$1,),)=0,#N/A,VLOOKUP(Table7[[#This Row],[Date]],Database!$A:$C,MATCH($C$1,Database!$A$1:$C$1,),))</f>
        <v/>
      </c>
      <c r="D14491">
        <f>IFERROR(Table7[[#This Row],[United States 10y]]-Table7[[#This Row],[United States 3y]],#N/A)</f>
        <v/>
      </c>
    </row>
    <row r="14492">
      <c r="A14492" s="6">
        <f>Database!$A16577</f>
        <v/>
      </c>
      <c r="B14492">
        <f>IF(VLOOKUP(Table7[[#This Row],[Date]],Database!$A:$C,MATCH($B$1,Database!$A$1:$C$1,),)=0,#N/A,VLOOKUP(Table7[[#This Row],[Date]],Database!$A:$C,MATCH($B$1,Database!$A$1:$C$1,),))</f>
        <v/>
      </c>
      <c r="C14492">
        <f>IF(VLOOKUP(Table7[[#This Row],[Date]],Database!$A:$C,MATCH($C$1,Database!$A$1:$C$1,),)=0,#N/A,VLOOKUP(Table7[[#This Row],[Date]],Database!$A:$C,MATCH($C$1,Database!$A$1:$C$1,),))</f>
        <v/>
      </c>
      <c r="D14492">
        <f>IFERROR(Table7[[#This Row],[United States 10y]]-Table7[[#This Row],[United States 3y]],#N/A)</f>
        <v/>
      </c>
    </row>
    <row r="14493">
      <c r="A14493" s="6">
        <f>Database!$A16578</f>
        <v/>
      </c>
      <c r="B14493">
        <f>IF(VLOOKUP(Table7[[#This Row],[Date]],Database!$A:$C,MATCH($B$1,Database!$A$1:$C$1,),)=0,#N/A,VLOOKUP(Table7[[#This Row],[Date]],Database!$A:$C,MATCH($B$1,Database!$A$1:$C$1,),))</f>
        <v/>
      </c>
      <c r="C14493">
        <f>IF(VLOOKUP(Table7[[#This Row],[Date]],Database!$A:$C,MATCH($C$1,Database!$A$1:$C$1,),)=0,#N/A,VLOOKUP(Table7[[#This Row],[Date]],Database!$A:$C,MATCH($C$1,Database!$A$1:$C$1,),))</f>
        <v/>
      </c>
      <c r="D14493">
        <f>IFERROR(Table7[[#This Row],[United States 10y]]-Table7[[#This Row],[United States 3y]],#N/A)</f>
        <v/>
      </c>
    </row>
    <row r="14494">
      <c r="A14494" s="6">
        <f>Database!$A16579</f>
        <v/>
      </c>
      <c r="B14494">
        <f>IF(VLOOKUP(Table7[[#This Row],[Date]],Database!$A:$C,MATCH($B$1,Database!$A$1:$C$1,),)=0,#N/A,VLOOKUP(Table7[[#This Row],[Date]],Database!$A:$C,MATCH($B$1,Database!$A$1:$C$1,),))</f>
        <v/>
      </c>
      <c r="C14494">
        <f>IF(VLOOKUP(Table7[[#This Row],[Date]],Database!$A:$C,MATCH($C$1,Database!$A$1:$C$1,),)=0,#N/A,VLOOKUP(Table7[[#This Row],[Date]],Database!$A:$C,MATCH($C$1,Database!$A$1:$C$1,),))</f>
        <v/>
      </c>
      <c r="D14494">
        <f>IFERROR(Table7[[#This Row],[United States 10y]]-Table7[[#This Row],[United States 3y]],#N/A)</f>
        <v/>
      </c>
    </row>
    <row r="14495">
      <c r="A14495" s="6">
        <f>Database!$A16580</f>
        <v/>
      </c>
      <c r="B14495">
        <f>IF(VLOOKUP(Table7[[#This Row],[Date]],Database!$A:$C,MATCH($B$1,Database!$A$1:$C$1,),)=0,#N/A,VLOOKUP(Table7[[#This Row],[Date]],Database!$A:$C,MATCH($B$1,Database!$A$1:$C$1,),))</f>
        <v/>
      </c>
      <c r="C14495">
        <f>IF(VLOOKUP(Table7[[#This Row],[Date]],Database!$A:$C,MATCH($C$1,Database!$A$1:$C$1,),)=0,#N/A,VLOOKUP(Table7[[#This Row],[Date]],Database!$A:$C,MATCH($C$1,Database!$A$1:$C$1,),))</f>
        <v/>
      </c>
      <c r="D14495">
        <f>IFERROR(Table7[[#This Row],[United States 10y]]-Table7[[#This Row],[United States 3y]],#N/A)</f>
        <v/>
      </c>
    </row>
    <row r="14496">
      <c r="A14496" s="6">
        <f>Database!$A16581</f>
        <v/>
      </c>
      <c r="B14496">
        <f>IF(VLOOKUP(Table7[[#This Row],[Date]],Database!$A:$C,MATCH($B$1,Database!$A$1:$C$1,),)=0,#N/A,VLOOKUP(Table7[[#This Row],[Date]],Database!$A:$C,MATCH($B$1,Database!$A$1:$C$1,),))</f>
        <v/>
      </c>
      <c r="C14496">
        <f>IF(VLOOKUP(Table7[[#This Row],[Date]],Database!$A:$C,MATCH($C$1,Database!$A$1:$C$1,),)=0,#N/A,VLOOKUP(Table7[[#This Row],[Date]],Database!$A:$C,MATCH($C$1,Database!$A$1:$C$1,),))</f>
        <v/>
      </c>
      <c r="D14496">
        <f>IFERROR(Table7[[#This Row],[United States 10y]]-Table7[[#This Row],[United States 3y]],#N/A)</f>
        <v/>
      </c>
    </row>
    <row r="14497">
      <c r="A14497" s="6">
        <f>Database!$A16582</f>
        <v/>
      </c>
      <c r="B14497">
        <f>IF(VLOOKUP(Table7[[#This Row],[Date]],Database!$A:$C,MATCH($B$1,Database!$A$1:$C$1,),)=0,#N/A,VLOOKUP(Table7[[#This Row],[Date]],Database!$A:$C,MATCH($B$1,Database!$A$1:$C$1,),))</f>
        <v/>
      </c>
      <c r="C14497">
        <f>IF(VLOOKUP(Table7[[#This Row],[Date]],Database!$A:$C,MATCH($C$1,Database!$A$1:$C$1,),)=0,#N/A,VLOOKUP(Table7[[#This Row],[Date]],Database!$A:$C,MATCH($C$1,Database!$A$1:$C$1,),))</f>
        <v/>
      </c>
      <c r="D14497">
        <f>IFERROR(Table7[[#This Row],[United States 10y]]-Table7[[#This Row],[United States 3y]],#N/A)</f>
        <v/>
      </c>
    </row>
    <row r="14498">
      <c r="A14498" s="6">
        <f>Database!$A16583</f>
        <v/>
      </c>
      <c r="B14498">
        <f>IF(VLOOKUP(Table7[[#This Row],[Date]],Database!$A:$C,MATCH($B$1,Database!$A$1:$C$1,),)=0,#N/A,VLOOKUP(Table7[[#This Row],[Date]],Database!$A:$C,MATCH($B$1,Database!$A$1:$C$1,),))</f>
        <v/>
      </c>
      <c r="C14498">
        <f>IF(VLOOKUP(Table7[[#This Row],[Date]],Database!$A:$C,MATCH($C$1,Database!$A$1:$C$1,),)=0,#N/A,VLOOKUP(Table7[[#This Row],[Date]],Database!$A:$C,MATCH($C$1,Database!$A$1:$C$1,),))</f>
        <v/>
      </c>
      <c r="D14498">
        <f>IFERROR(Table7[[#This Row],[United States 10y]]-Table7[[#This Row],[United States 3y]],#N/A)</f>
        <v/>
      </c>
    </row>
    <row r="14499">
      <c r="A14499" s="6">
        <f>Database!$A16584</f>
        <v/>
      </c>
      <c r="B14499">
        <f>IF(VLOOKUP(Table7[[#This Row],[Date]],Database!$A:$C,MATCH($B$1,Database!$A$1:$C$1,),)=0,#N/A,VLOOKUP(Table7[[#This Row],[Date]],Database!$A:$C,MATCH($B$1,Database!$A$1:$C$1,),))</f>
        <v/>
      </c>
      <c r="C14499">
        <f>IF(VLOOKUP(Table7[[#This Row],[Date]],Database!$A:$C,MATCH($C$1,Database!$A$1:$C$1,),)=0,#N/A,VLOOKUP(Table7[[#This Row],[Date]],Database!$A:$C,MATCH($C$1,Database!$A$1:$C$1,),))</f>
        <v/>
      </c>
      <c r="D14499">
        <f>IFERROR(Table7[[#This Row],[United States 10y]]-Table7[[#This Row],[United States 3y]],#N/A)</f>
        <v/>
      </c>
    </row>
    <row r="14500">
      <c r="A14500" s="6">
        <f>Database!$A16585</f>
        <v/>
      </c>
      <c r="B14500">
        <f>IF(VLOOKUP(Table7[[#This Row],[Date]],Database!$A:$C,MATCH($B$1,Database!$A$1:$C$1,),)=0,#N/A,VLOOKUP(Table7[[#This Row],[Date]],Database!$A:$C,MATCH($B$1,Database!$A$1:$C$1,),))</f>
        <v/>
      </c>
      <c r="C14500">
        <f>IF(VLOOKUP(Table7[[#This Row],[Date]],Database!$A:$C,MATCH($C$1,Database!$A$1:$C$1,),)=0,#N/A,VLOOKUP(Table7[[#This Row],[Date]],Database!$A:$C,MATCH($C$1,Database!$A$1:$C$1,),))</f>
        <v/>
      </c>
      <c r="D14500">
        <f>IFERROR(Table7[[#This Row],[United States 10y]]-Table7[[#This Row],[United States 3y]],#N/A)</f>
        <v/>
      </c>
    </row>
    <row r="14501">
      <c r="A14501" s="6">
        <f>Database!$A16586</f>
        <v/>
      </c>
      <c r="B14501">
        <f>IF(VLOOKUP(Table7[[#This Row],[Date]],Database!$A:$C,MATCH($B$1,Database!$A$1:$C$1,),)=0,#N/A,VLOOKUP(Table7[[#This Row],[Date]],Database!$A:$C,MATCH($B$1,Database!$A$1:$C$1,),))</f>
        <v/>
      </c>
      <c r="C14501">
        <f>IF(VLOOKUP(Table7[[#This Row],[Date]],Database!$A:$C,MATCH($C$1,Database!$A$1:$C$1,),)=0,#N/A,VLOOKUP(Table7[[#This Row],[Date]],Database!$A:$C,MATCH($C$1,Database!$A$1:$C$1,),))</f>
        <v/>
      </c>
      <c r="D14501">
        <f>IFERROR(Table7[[#This Row],[United States 10y]]-Table7[[#This Row],[United States 3y]],#N/A)</f>
        <v/>
      </c>
    </row>
    <row r="14502">
      <c r="A14502" s="6">
        <f>Database!$A16587</f>
        <v/>
      </c>
      <c r="B14502">
        <f>IF(VLOOKUP(Table7[[#This Row],[Date]],Database!$A:$C,MATCH($B$1,Database!$A$1:$C$1,),)=0,#N/A,VLOOKUP(Table7[[#This Row],[Date]],Database!$A:$C,MATCH($B$1,Database!$A$1:$C$1,),))</f>
        <v/>
      </c>
      <c r="C14502">
        <f>IF(VLOOKUP(Table7[[#This Row],[Date]],Database!$A:$C,MATCH($C$1,Database!$A$1:$C$1,),)=0,#N/A,VLOOKUP(Table7[[#This Row],[Date]],Database!$A:$C,MATCH($C$1,Database!$A$1:$C$1,),))</f>
        <v/>
      </c>
      <c r="D14502">
        <f>IFERROR(Table7[[#This Row],[United States 10y]]-Table7[[#This Row],[United States 3y]],#N/A)</f>
        <v/>
      </c>
    </row>
    <row r="14503">
      <c r="A14503" s="6">
        <f>Database!$A16588</f>
        <v/>
      </c>
      <c r="B14503">
        <f>IF(VLOOKUP(Table7[[#This Row],[Date]],Database!$A:$C,MATCH($B$1,Database!$A$1:$C$1,),)=0,#N/A,VLOOKUP(Table7[[#This Row],[Date]],Database!$A:$C,MATCH($B$1,Database!$A$1:$C$1,),))</f>
        <v/>
      </c>
      <c r="C14503">
        <f>IF(VLOOKUP(Table7[[#This Row],[Date]],Database!$A:$C,MATCH($C$1,Database!$A$1:$C$1,),)=0,#N/A,VLOOKUP(Table7[[#This Row],[Date]],Database!$A:$C,MATCH($C$1,Database!$A$1:$C$1,),))</f>
        <v/>
      </c>
      <c r="D14503">
        <f>IFERROR(Table7[[#This Row],[United States 10y]]-Table7[[#This Row],[United States 3y]],#N/A)</f>
        <v/>
      </c>
    </row>
    <row r="14504">
      <c r="A14504" s="6">
        <f>Database!$A16589</f>
        <v/>
      </c>
      <c r="B14504">
        <f>IF(VLOOKUP(Table7[[#This Row],[Date]],Database!$A:$C,MATCH($B$1,Database!$A$1:$C$1,),)=0,#N/A,VLOOKUP(Table7[[#This Row],[Date]],Database!$A:$C,MATCH($B$1,Database!$A$1:$C$1,),))</f>
        <v/>
      </c>
      <c r="C14504">
        <f>IF(VLOOKUP(Table7[[#This Row],[Date]],Database!$A:$C,MATCH($C$1,Database!$A$1:$C$1,),)=0,#N/A,VLOOKUP(Table7[[#This Row],[Date]],Database!$A:$C,MATCH($C$1,Database!$A$1:$C$1,),))</f>
        <v/>
      </c>
      <c r="D14504">
        <f>IFERROR(Table7[[#This Row],[United States 10y]]-Table7[[#This Row],[United States 3y]],#N/A)</f>
        <v/>
      </c>
    </row>
    <row r="14505">
      <c r="A14505" s="6">
        <f>Database!$A16590</f>
        <v/>
      </c>
      <c r="B14505">
        <f>IF(VLOOKUP(Table7[[#This Row],[Date]],Database!$A:$C,MATCH($B$1,Database!$A$1:$C$1,),)=0,#N/A,VLOOKUP(Table7[[#This Row],[Date]],Database!$A:$C,MATCH($B$1,Database!$A$1:$C$1,),))</f>
        <v/>
      </c>
      <c r="C14505">
        <f>IF(VLOOKUP(Table7[[#This Row],[Date]],Database!$A:$C,MATCH($C$1,Database!$A$1:$C$1,),)=0,#N/A,VLOOKUP(Table7[[#This Row],[Date]],Database!$A:$C,MATCH($C$1,Database!$A$1:$C$1,),))</f>
        <v/>
      </c>
      <c r="D14505">
        <f>IFERROR(Table7[[#This Row],[United States 10y]]-Table7[[#This Row],[United States 3y]],#N/A)</f>
        <v/>
      </c>
    </row>
    <row r="14506">
      <c r="A14506" s="6">
        <f>Database!$A16591</f>
        <v/>
      </c>
      <c r="B14506">
        <f>IF(VLOOKUP(Table7[[#This Row],[Date]],Database!$A:$C,MATCH($B$1,Database!$A$1:$C$1,),)=0,#N/A,VLOOKUP(Table7[[#This Row],[Date]],Database!$A:$C,MATCH($B$1,Database!$A$1:$C$1,),))</f>
        <v/>
      </c>
      <c r="C14506">
        <f>IF(VLOOKUP(Table7[[#This Row],[Date]],Database!$A:$C,MATCH($C$1,Database!$A$1:$C$1,),)=0,#N/A,VLOOKUP(Table7[[#This Row],[Date]],Database!$A:$C,MATCH($C$1,Database!$A$1:$C$1,),))</f>
        <v/>
      </c>
      <c r="D14506">
        <f>IFERROR(Table7[[#This Row],[United States 10y]]-Table7[[#This Row],[United States 3y]],#N/A)</f>
        <v/>
      </c>
    </row>
    <row r="14507">
      <c r="A14507" s="6">
        <f>Database!$A16592</f>
        <v/>
      </c>
      <c r="B14507">
        <f>IF(VLOOKUP(Table7[[#This Row],[Date]],Database!$A:$C,MATCH($B$1,Database!$A$1:$C$1,),)=0,#N/A,VLOOKUP(Table7[[#This Row],[Date]],Database!$A:$C,MATCH($B$1,Database!$A$1:$C$1,),))</f>
        <v/>
      </c>
      <c r="C14507">
        <f>IF(VLOOKUP(Table7[[#This Row],[Date]],Database!$A:$C,MATCH($C$1,Database!$A$1:$C$1,),)=0,#N/A,VLOOKUP(Table7[[#This Row],[Date]],Database!$A:$C,MATCH($C$1,Database!$A$1:$C$1,),))</f>
        <v/>
      </c>
      <c r="D14507">
        <f>IFERROR(Table7[[#This Row],[United States 10y]]-Table7[[#This Row],[United States 3y]],#N/A)</f>
        <v/>
      </c>
    </row>
    <row r="14508">
      <c r="A14508" s="6">
        <f>Database!$A16593</f>
        <v/>
      </c>
      <c r="B14508">
        <f>IF(VLOOKUP(Table7[[#This Row],[Date]],Database!$A:$C,MATCH($B$1,Database!$A$1:$C$1,),)=0,#N/A,VLOOKUP(Table7[[#This Row],[Date]],Database!$A:$C,MATCH($B$1,Database!$A$1:$C$1,),))</f>
        <v/>
      </c>
      <c r="C14508">
        <f>IF(VLOOKUP(Table7[[#This Row],[Date]],Database!$A:$C,MATCH($C$1,Database!$A$1:$C$1,),)=0,#N/A,VLOOKUP(Table7[[#This Row],[Date]],Database!$A:$C,MATCH($C$1,Database!$A$1:$C$1,),))</f>
        <v/>
      </c>
      <c r="D14508">
        <f>IFERROR(Table7[[#This Row],[United States 10y]]-Table7[[#This Row],[United States 3y]],#N/A)</f>
        <v/>
      </c>
    </row>
    <row r="14509">
      <c r="A14509" s="6">
        <f>Database!$A16594</f>
        <v/>
      </c>
      <c r="B14509">
        <f>IF(VLOOKUP(Table7[[#This Row],[Date]],Database!$A:$C,MATCH($B$1,Database!$A$1:$C$1,),)=0,#N/A,VLOOKUP(Table7[[#This Row],[Date]],Database!$A:$C,MATCH($B$1,Database!$A$1:$C$1,),))</f>
        <v/>
      </c>
      <c r="C14509">
        <f>IF(VLOOKUP(Table7[[#This Row],[Date]],Database!$A:$C,MATCH($C$1,Database!$A$1:$C$1,),)=0,#N/A,VLOOKUP(Table7[[#This Row],[Date]],Database!$A:$C,MATCH($C$1,Database!$A$1:$C$1,),))</f>
        <v/>
      </c>
      <c r="D14509">
        <f>IFERROR(Table7[[#This Row],[United States 10y]]-Table7[[#This Row],[United States 3y]],#N/A)</f>
        <v/>
      </c>
    </row>
    <row r="14510">
      <c r="A14510" s="6">
        <f>Database!$A16595</f>
        <v/>
      </c>
      <c r="B14510">
        <f>IF(VLOOKUP(Table7[[#This Row],[Date]],Database!$A:$C,MATCH($B$1,Database!$A$1:$C$1,),)=0,#N/A,VLOOKUP(Table7[[#This Row],[Date]],Database!$A:$C,MATCH($B$1,Database!$A$1:$C$1,),))</f>
        <v/>
      </c>
      <c r="C14510">
        <f>IF(VLOOKUP(Table7[[#This Row],[Date]],Database!$A:$C,MATCH($C$1,Database!$A$1:$C$1,),)=0,#N/A,VLOOKUP(Table7[[#This Row],[Date]],Database!$A:$C,MATCH($C$1,Database!$A$1:$C$1,),))</f>
        <v/>
      </c>
      <c r="D14510">
        <f>IFERROR(Table7[[#This Row],[United States 10y]]-Table7[[#This Row],[United States 3y]],#N/A)</f>
        <v/>
      </c>
    </row>
    <row r="14511">
      <c r="A14511" s="6">
        <f>Database!$A16596</f>
        <v/>
      </c>
      <c r="B14511">
        <f>IF(VLOOKUP(Table7[[#This Row],[Date]],Database!$A:$C,MATCH($B$1,Database!$A$1:$C$1,),)=0,#N/A,VLOOKUP(Table7[[#This Row],[Date]],Database!$A:$C,MATCH($B$1,Database!$A$1:$C$1,),))</f>
        <v/>
      </c>
      <c r="C14511">
        <f>IF(VLOOKUP(Table7[[#This Row],[Date]],Database!$A:$C,MATCH($C$1,Database!$A$1:$C$1,),)=0,#N/A,VLOOKUP(Table7[[#This Row],[Date]],Database!$A:$C,MATCH($C$1,Database!$A$1:$C$1,),))</f>
        <v/>
      </c>
      <c r="D14511">
        <f>IFERROR(Table7[[#This Row],[United States 10y]]-Table7[[#This Row],[United States 3y]],#N/A)</f>
        <v/>
      </c>
    </row>
    <row r="14512">
      <c r="A14512" s="6">
        <f>Database!$A16597</f>
        <v/>
      </c>
      <c r="B14512">
        <f>IF(VLOOKUP(Table7[[#This Row],[Date]],Database!$A:$C,MATCH($B$1,Database!$A$1:$C$1,),)=0,#N/A,VLOOKUP(Table7[[#This Row],[Date]],Database!$A:$C,MATCH($B$1,Database!$A$1:$C$1,),))</f>
        <v/>
      </c>
      <c r="C14512">
        <f>IF(VLOOKUP(Table7[[#This Row],[Date]],Database!$A:$C,MATCH($C$1,Database!$A$1:$C$1,),)=0,#N/A,VLOOKUP(Table7[[#This Row],[Date]],Database!$A:$C,MATCH($C$1,Database!$A$1:$C$1,),))</f>
        <v/>
      </c>
      <c r="D14512">
        <f>IFERROR(Table7[[#This Row],[United States 10y]]-Table7[[#This Row],[United States 3y]],#N/A)</f>
        <v/>
      </c>
    </row>
    <row r="14513">
      <c r="A14513" s="6">
        <f>Database!$A16598</f>
        <v/>
      </c>
      <c r="B14513">
        <f>IF(VLOOKUP(Table7[[#This Row],[Date]],Database!$A:$C,MATCH($B$1,Database!$A$1:$C$1,),)=0,#N/A,VLOOKUP(Table7[[#This Row],[Date]],Database!$A:$C,MATCH($B$1,Database!$A$1:$C$1,),))</f>
        <v/>
      </c>
      <c r="C14513">
        <f>IF(VLOOKUP(Table7[[#This Row],[Date]],Database!$A:$C,MATCH($C$1,Database!$A$1:$C$1,),)=0,#N/A,VLOOKUP(Table7[[#This Row],[Date]],Database!$A:$C,MATCH($C$1,Database!$A$1:$C$1,),))</f>
        <v/>
      </c>
      <c r="D14513">
        <f>IFERROR(Table7[[#This Row],[United States 10y]]-Table7[[#This Row],[United States 3y]],#N/A)</f>
        <v/>
      </c>
    </row>
    <row r="14514">
      <c r="A14514" s="6">
        <f>Database!$A16599</f>
        <v/>
      </c>
      <c r="B14514">
        <f>IF(VLOOKUP(Table7[[#This Row],[Date]],Database!$A:$C,MATCH($B$1,Database!$A$1:$C$1,),)=0,#N/A,VLOOKUP(Table7[[#This Row],[Date]],Database!$A:$C,MATCH($B$1,Database!$A$1:$C$1,),))</f>
        <v/>
      </c>
      <c r="C14514">
        <f>IF(VLOOKUP(Table7[[#This Row],[Date]],Database!$A:$C,MATCH($C$1,Database!$A$1:$C$1,),)=0,#N/A,VLOOKUP(Table7[[#This Row],[Date]],Database!$A:$C,MATCH($C$1,Database!$A$1:$C$1,),))</f>
        <v/>
      </c>
      <c r="D14514">
        <f>IFERROR(Table7[[#This Row],[United States 10y]]-Table7[[#This Row],[United States 3y]],#N/A)</f>
        <v/>
      </c>
    </row>
    <row r="14515">
      <c r="A14515" s="6">
        <f>Database!$A16600</f>
        <v/>
      </c>
      <c r="B14515">
        <f>IF(VLOOKUP(Table7[[#This Row],[Date]],Database!$A:$C,MATCH($B$1,Database!$A$1:$C$1,),)=0,#N/A,VLOOKUP(Table7[[#This Row],[Date]],Database!$A:$C,MATCH($B$1,Database!$A$1:$C$1,),))</f>
        <v/>
      </c>
      <c r="C14515">
        <f>IF(VLOOKUP(Table7[[#This Row],[Date]],Database!$A:$C,MATCH($C$1,Database!$A$1:$C$1,),)=0,#N/A,VLOOKUP(Table7[[#This Row],[Date]],Database!$A:$C,MATCH($C$1,Database!$A$1:$C$1,),))</f>
        <v/>
      </c>
      <c r="D14515">
        <f>IFERROR(Table7[[#This Row],[United States 10y]]-Table7[[#This Row],[United States 3y]],#N/A)</f>
        <v/>
      </c>
    </row>
    <row r="14516">
      <c r="A14516" s="6">
        <f>Database!$A16601</f>
        <v/>
      </c>
      <c r="B14516">
        <f>IF(VLOOKUP(Table7[[#This Row],[Date]],Database!$A:$C,MATCH($B$1,Database!$A$1:$C$1,),)=0,#N/A,VLOOKUP(Table7[[#This Row],[Date]],Database!$A:$C,MATCH($B$1,Database!$A$1:$C$1,),))</f>
        <v/>
      </c>
      <c r="C14516">
        <f>IF(VLOOKUP(Table7[[#This Row],[Date]],Database!$A:$C,MATCH($C$1,Database!$A$1:$C$1,),)=0,#N/A,VLOOKUP(Table7[[#This Row],[Date]],Database!$A:$C,MATCH($C$1,Database!$A$1:$C$1,),))</f>
        <v/>
      </c>
      <c r="D14516">
        <f>IFERROR(Table7[[#This Row],[United States 10y]]-Table7[[#This Row],[United States 3y]],#N/A)</f>
        <v/>
      </c>
    </row>
    <row r="14517">
      <c r="A14517" s="6">
        <f>Database!$A16602</f>
        <v/>
      </c>
      <c r="B14517">
        <f>IF(VLOOKUP(Table7[[#This Row],[Date]],Database!$A:$C,MATCH($B$1,Database!$A$1:$C$1,),)=0,#N/A,VLOOKUP(Table7[[#This Row],[Date]],Database!$A:$C,MATCH($B$1,Database!$A$1:$C$1,),))</f>
        <v/>
      </c>
      <c r="C14517">
        <f>IF(VLOOKUP(Table7[[#This Row],[Date]],Database!$A:$C,MATCH($C$1,Database!$A$1:$C$1,),)=0,#N/A,VLOOKUP(Table7[[#This Row],[Date]],Database!$A:$C,MATCH($C$1,Database!$A$1:$C$1,),))</f>
        <v/>
      </c>
      <c r="D14517">
        <f>IFERROR(Table7[[#This Row],[United States 10y]]-Table7[[#This Row],[United States 3y]],#N/A)</f>
        <v/>
      </c>
    </row>
    <row r="14518">
      <c r="A14518" s="6">
        <f>Database!$A16603</f>
        <v/>
      </c>
      <c r="B14518">
        <f>IF(VLOOKUP(Table7[[#This Row],[Date]],Database!$A:$C,MATCH($B$1,Database!$A$1:$C$1,),)=0,#N/A,VLOOKUP(Table7[[#This Row],[Date]],Database!$A:$C,MATCH($B$1,Database!$A$1:$C$1,),))</f>
        <v/>
      </c>
      <c r="C14518">
        <f>IF(VLOOKUP(Table7[[#This Row],[Date]],Database!$A:$C,MATCH($C$1,Database!$A$1:$C$1,),)=0,#N/A,VLOOKUP(Table7[[#This Row],[Date]],Database!$A:$C,MATCH($C$1,Database!$A$1:$C$1,),))</f>
        <v/>
      </c>
      <c r="D14518">
        <f>IFERROR(Table7[[#This Row],[United States 10y]]-Table7[[#This Row],[United States 3y]],#N/A)</f>
        <v/>
      </c>
    </row>
    <row r="14519">
      <c r="A14519" s="6">
        <f>Database!$A16604</f>
        <v/>
      </c>
      <c r="B14519">
        <f>IF(VLOOKUP(Table7[[#This Row],[Date]],Database!$A:$C,MATCH($B$1,Database!$A$1:$C$1,),)=0,#N/A,VLOOKUP(Table7[[#This Row],[Date]],Database!$A:$C,MATCH($B$1,Database!$A$1:$C$1,),))</f>
        <v/>
      </c>
      <c r="C14519">
        <f>IF(VLOOKUP(Table7[[#This Row],[Date]],Database!$A:$C,MATCH($C$1,Database!$A$1:$C$1,),)=0,#N/A,VLOOKUP(Table7[[#This Row],[Date]],Database!$A:$C,MATCH($C$1,Database!$A$1:$C$1,),))</f>
        <v/>
      </c>
      <c r="D14519">
        <f>IFERROR(Table7[[#This Row],[United States 10y]]-Table7[[#This Row],[United States 3y]],#N/A)</f>
        <v/>
      </c>
    </row>
    <row r="14520">
      <c r="A14520" s="6">
        <f>Database!$A16605</f>
        <v/>
      </c>
      <c r="B14520">
        <f>IF(VLOOKUP(Table7[[#This Row],[Date]],Database!$A:$C,MATCH($B$1,Database!$A$1:$C$1,),)=0,#N/A,VLOOKUP(Table7[[#This Row],[Date]],Database!$A:$C,MATCH($B$1,Database!$A$1:$C$1,),))</f>
        <v/>
      </c>
      <c r="C14520">
        <f>IF(VLOOKUP(Table7[[#This Row],[Date]],Database!$A:$C,MATCH($C$1,Database!$A$1:$C$1,),)=0,#N/A,VLOOKUP(Table7[[#This Row],[Date]],Database!$A:$C,MATCH($C$1,Database!$A$1:$C$1,),))</f>
        <v/>
      </c>
      <c r="D14520">
        <f>IFERROR(Table7[[#This Row],[United States 10y]]-Table7[[#This Row],[United States 3y]],#N/A)</f>
        <v/>
      </c>
    </row>
    <row r="14521">
      <c r="A14521" s="6">
        <f>Database!$A16606</f>
        <v/>
      </c>
      <c r="B14521">
        <f>IF(VLOOKUP(Table7[[#This Row],[Date]],Database!$A:$C,MATCH($B$1,Database!$A$1:$C$1,),)=0,#N/A,VLOOKUP(Table7[[#This Row],[Date]],Database!$A:$C,MATCH($B$1,Database!$A$1:$C$1,),))</f>
        <v/>
      </c>
      <c r="C14521">
        <f>IF(VLOOKUP(Table7[[#This Row],[Date]],Database!$A:$C,MATCH($C$1,Database!$A$1:$C$1,),)=0,#N/A,VLOOKUP(Table7[[#This Row],[Date]],Database!$A:$C,MATCH($C$1,Database!$A$1:$C$1,),))</f>
        <v/>
      </c>
      <c r="D14521">
        <f>IFERROR(Table7[[#This Row],[United States 10y]]-Table7[[#This Row],[United States 3y]],#N/A)</f>
        <v/>
      </c>
    </row>
    <row r="14522">
      <c r="A14522" s="6">
        <f>Database!$A16607</f>
        <v/>
      </c>
      <c r="B14522">
        <f>IF(VLOOKUP(Table7[[#This Row],[Date]],Database!$A:$C,MATCH($B$1,Database!$A$1:$C$1,),)=0,#N/A,VLOOKUP(Table7[[#This Row],[Date]],Database!$A:$C,MATCH($B$1,Database!$A$1:$C$1,),))</f>
        <v/>
      </c>
      <c r="C14522">
        <f>IF(VLOOKUP(Table7[[#This Row],[Date]],Database!$A:$C,MATCH($C$1,Database!$A$1:$C$1,),)=0,#N/A,VLOOKUP(Table7[[#This Row],[Date]],Database!$A:$C,MATCH($C$1,Database!$A$1:$C$1,),))</f>
        <v/>
      </c>
      <c r="D14522">
        <f>IFERROR(Table7[[#This Row],[United States 10y]]-Table7[[#This Row],[United States 3y]],#N/A)</f>
        <v/>
      </c>
    </row>
    <row r="14523">
      <c r="A14523" s="6">
        <f>Database!$A16608</f>
        <v/>
      </c>
      <c r="B14523">
        <f>IF(VLOOKUP(Table7[[#This Row],[Date]],Database!$A:$C,MATCH($B$1,Database!$A$1:$C$1,),)=0,#N/A,VLOOKUP(Table7[[#This Row],[Date]],Database!$A:$C,MATCH($B$1,Database!$A$1:$C$1,),))</f>
        <v/>
      </c>
      <c r="C14523">
        <f>IF(VLOOKUP(Table7[[#This Row],[Date]],Database!$A:$C,MATCH($C$1,Database!$A$1:$C$1,),)=0,#N/A,VLOOKUP(Table7[[#This Row],[Date]],Database!$A:$C,MATCH($C$1,Database!$A$1:$C$1,),))</f>
        <v/>
      </c>
      <c r="D14523">
        <f>IFERROR(Table7[[#This Row],[United States 10y]]-Table7[[#This Row],[United States 3y]],#N/A)</f>
        <v/>
      </c>
    </row>
    <row r="14524">
      <c r="A14524" s="6">
        <f>Database!$A16609</f>
        <v/>
      </c>
      <c r="B14524">
        <f>IF(VLOOKUP(Table7[[#This Row],[Date]],Database!$A:$C,MATCH($B$1,Database!$A$1:$C$1,),)=0,#N/A,VLOOKUP(Table7[[#This Row],[Date]],Database!$A:$C,MATCH($B$1,Database!$A$1:$C$1,),))</f>
        <v/>
      </c>
      <c r="C14524">
        <f>IF(VLOOKUP(Table7[[#This Row],[Date]],Database!$A:$C,MATCH($C$1,Database!$A$1:$C$1,),)=0,#N/A,VLOOKUP(Table7[[#This Row],[Date]],Database!$A:$C,MATCH($C$1,Database!$A$1:$C$1,),))</f>
        <v/>
      </c>
      <c r="D14524">
        <f>IFERROR(Table7[[#This Row],[United States 10y]]-Table7[[#This Row],[United States 3y]],#N/A)</f>
        <v/>
      </c>
    </row>
    <row r="14525">
      <c r="A14525" s="6">
        <f>Database!$A16610</f>
        <v/>
      </c>
      <c r="B14525">
        <f>IF(VLOOKUP(Table7[[#This Row],[Date]],Database!$A:$C,MATCH($B$1,Database!$A$1:$C$1,),)=0,#N/A,VLOOKUP(Table7[[#This Row],[Date]],Database!$A:$C,MATCH($B$1,Database!$A$1:$C$1,),))</f>
        <v/>
      </c>
      <c r="C14525">
        <f>IF(VLOOKUP(Table7[[#This Row],[Date]],Database!$A:$C,MATCH($C$1,Database!$A$1:$C$1,),)=0,#N/A,VLOOKUP(Table7[[#This Row],[Date]],Database!$A:$C,MATCH($C$1,Database!$A$1:$C$1,),))</f>
        <v/>
      </c>
      <c r="D14525">
        <f>IFERROR(Table7[[#This Row],[United States 10y]]-Table7[[#This Row],[United States 3y]],#N/A)</f>
        <v/>
      </c>
    </row>
    <row r="14526">
      <c r="A14526" s="6">
        <f>Database!$A16611</f>
        <v/>
      </c>
      <c r="B14526">
        <f>IF(VLOOKUP(Table7[[#This Row],[Date]],Database!$A:$C,MATCH($B$1,Database!$A$1:$C$1,),)=0,#N/A,VLOOKUP(Table7[[#This Row],[Date]],Database!$A:$C,MATCH($B$1,Database!$A$1:$C$1,),))</f>
        <v/>
      </c>
      <c r="C14526">
        <f>IF(VLOOKUP(Table7[[#This Row],[Date]],Database!$A:$C,MATCH($C$1,Database!$A$1:$C$1,),)=0,#N/A,VLOOKUP(Table7[[#This Row],[Date]],Database!$A:$C,MATCH($C$1,Database!$A$1:$C$1,),))</f>
        <v/>
      </c>
      <c r="D14526">
        <f>IFERROR(Table7[[#This Row],[United States 10y]]-Table7[[#This Row],[United States 3y]],#N/A)</f>
        <v/>
      </c>
    </row>
    <row r="14527">
      <c r="A14527" s="6">
        <f>Database!$A16612</f>
        <v/>
      </c>
      <c r="B14527">
        <f>IF(VLOOKUP(Table7[[#This Row],[Date]],Database!$A:$C,MATCH($B$1,Database!$A$1:$C$1,),)=0,#N/A,VLOOKUP(Table7[[#This Row],[Date]],Database!$A:$C,MATCH($B$1,Database!$A$1:$C$1,),))</f>
        <v/>
      </c>
      <c r="C14527">
        <f>IF(VLOOKUP(Table7[[#This Row],[Date]],Database!$A:$C,MATCH($C$1,Database!$A$1:$C$1,),)=0,#N/A,VLOOKUP(Table7[[#This Row],[Date]],Database!$A:$C,MATCH($C$1,Database!$A$1:$C$1,),))</f>
        <v/>
      </c>
      <c r="D14527">
        <f>IFERROR(Table7[[#This Row],[United States 10y]]-Table7[[#This Row],[United States 3y]],#N/A)</f>
        <v/>
      </c>
    </row>
    <row r="14528">
      <c r="A14528" s="6">
        <f>Database!$A16613</f>
        <v/>
      </c>
      <c r="B14528">
        <f>IF(VLOOKUP(Table7[[#This Row],[Date]],Database!$A:$C,MATCH($B$1,Database!$A$1:$C$1,),)=0,#N/A,VLOOKUP(Table7[[#This Row],[Date]],Database!$A:$C,MATCH($B$1,Database!$A$1:$C$1,),))</f>
        <v/>
      </c>
      <c r="C14528">
        <f>IF(VLOOKUP(Table7[[#This Row],[Date]],Database!$A:$C,MATCH($C$1,Database!$A$1:$C$1,),)=0,#N/A,VLOOKUP(Table7[[#This Row],[Date]],Database!$A:$C,MATCH($C$1,Database!$A$1:$C$1,),))</f>
        <v/>
      </c>
      <c r="D14528">
        <f>IFERROR(Table7[[#This Row],[United States 10y]]-Table7[[#This Row],[United States 3y]],#N/A)</f>
        <v/>
      </c>
    </row>
    <row r="14529">
      <c r="A14529" s="6">
        <f>Database!$A16614</f>
        <v/>
      </c>
      <c r="B14529">
        <f>IF(VLOOKUP(Table7[[#This Row],[Date]],Database!$A:$C,MATCH($B$1,Database!$A$1:$C$1,),)=0,#N/A,VLOOKUP(Table7[[#This Row],[Date]],Database!$A:$C,MATCH($B$1,Database!$A$1:$C$1,),))</f>
        <v/>
      </c>
      <c r="C14529">
        <f>IF(VLOOKUP(Table7[[#This Row],[Date]],Database!$A:$C,MATCH($C$1,Database!$A$1:$C$1,),)=0,#N/A,VLOOKUP(Table7[[#This Row],[Date]],Database!$A:$C,MATCH($C$1,Database!$A$1:$C$1,),))</f>
        <v/>
      </c>
      <c r="D14529">
        <f>IFERROR(Table7[[#This Row],[United States 10y]]-Table7[[#This Row],[United States 3y]],#N/A)</f>
        <v/>
      </c>
    </row>
    <row r="14530">
      <c r="A14530" s="6">
        <f>Database!$A16615</f>
        <v/>
      </c>
      <c r="B14530">
        <f>IF(VLOOKUP(Table7[[#This Row],[Date]],Database!$A:$C,MATCH($B$1,Database!$A$1:$C$1,),)=0,#N/A,VLOOKUP(Table7[[#This Row],[Date]],Database!$A:$C,MATCH($B$1,Database!$A$1:$C$1,),))</f>
        <v/>
      </c>
      <c r="C14530">
        <f>IF(VLOOKUP(Table7[[#This Row],[Date]],Database!$A:$C,MATCH($C$1,Database!$A$1:$C$1,),)=0,#N/A,VLOOKUP(Table7[[#This Row],[Date]],Database!$A:$C,MATCH($C$1,Database!$A$1:$C$1,),))</f>
        <v/>
      </c>
      <c r="D14530">
        <f>IFERROR(Table7[[#This Row],[United States 10y]]-Table7[[#This Row],[United States 3y]],#N/A)</f>
        <v/>
      </c>
    </row>
    <row r="14531">
      <c r="A14531" s="6">
        <f>Database!$A16616</f>
        <v/>
      </c>
      <c r="B14531">
        <f>IF(VLOOKUP(Table7[[#This Row],[Date]],Database!$A:$C,MATCH($B$1,Database!$A$1:$C$1,),)=0,#N/A,VLOOKUP(Table7[[#This Row],[Date]],Database!$A:$C,MATCH($B$1,Database!$A$1:$C$1,),))</f>
        <v/>
      </c>
      <c r="C14531">
        <f>IF(VLOOKUP(Table7[[#This Row],[Date]],Database!$A:$C,MATCH($C$1,Database!$A$1:$C$1,),)=0,#N/A,VLOOKUP(Table7[[#This Row],[Date]],Database!$A:$C,MATCH($C$1,Database!$A$1:$C$1,),))</f>
        <v/>
      </c>
      <c r="D14531">
        <f>IFERROR(Table7[[#This Row],[United States 10y]]-Table7[[#This Row],[United States 3y]],#N/A)</f>
        <v/>
      </c>
    </row>
    <row r="14532">
      <c r="A14532" s="6">
        <f>Database!$A16617</f>
        <v/>
      </c>
      <c r="B14532">
        <f>IF(VLOOKUP(Table7[[#This Row],[Date]],Database!$A:$C,MATCH($B$1,Database!$A$1:$C$1,),)=0,#N/A,VLOOKUP(Table7[[#This Row],[Date]],Database!$A:$C,MATCH($B$1,Database!$A$1:$C$1,),))</f>
        <v/>
      </c>
      <c r="C14532">
        <f>IF(VLOOKUP(Table7[[#This Row],[Date]],Database!$A:$C,MATCH($C$1,Database!$A$1:$C$1,),)=0,#N/A,VLOOKUP(Table7[[#This Row],[Date]],Database!$A:$C,MATCH($C$1,Database!$A$1:$C$1,),))</f>
        <v/>
      </c>
      <c r="D14532">
        <f>IFERROR(Table7[[#This Row],[United States 10y]]-Table7[[#This Row],[United States 3y]],#N/A)</f>
        <v/>
      </c>
    </row>
    <row r="14533">
      <c r="A14533" s="6">
        <f>Database!$A16618</f>
        <v/>
      </c>
      <c r="B14533">
        <f>IF(VLOOKUP(Table7[[#This Row],[Date]],Database!$A:$C,MATCH($B$1,Database!$A$1:$C$1,),)=0,#N/A,VLOOKUP(Table7[[#This Row],[Date]],Database!$A:$C,MATCH($B$1,Database!$A$1:$C$1,),))</f>
        <v/>
      </c>
      <c r="C14533">
        <f>IF(VLOOKUP(Table7[[#This Row],[Date]],Database!$A:$C,MATCH($C$1,Database!$A$1:$C$1,),)=0,#N/A,VLOOKUP(Table7[[#This Row],[Date]],Database!$A:$C,MATCH($C$1,Database!$A$1:$C$1,),))</f>
        <v/>
      </c>
      <c r="D14533">
        <f>IFERROR(Table7[[#This Row],[United States 10y]]-Table7[[#This Row],[United States 3y]],#N/A)</f>
        <v/>
      </c>
    </row>
    <row r="14534">
      <c r="A14534" s="6">
        <f>Database!$A16619</f>
        <v/>
      </c>
      <c r="B14534">
        <f>IF(VLOOKUP(Table7[[#This Row],[Date]],Database!$A:$C,MATCH($B$1,Database!$A$1:$C$1,),)=0,#N/A,VLOOKUP(Table7[[#This Row],[Date]],Database!$A:$C,MATCH($B$1,Database!$A$1:$C$1,),))</f>
        <v/>
      </c>
      <c r="C14534">
        <f>IF(VLOOKUP(Table7[[#This Row],[Date]],Database!$A:$C,MATCH($C$1,Database!$A$1:$C$1,),)=0,#N/A,VLOOKUP(Table7[[#This Row],[Date]],Database!$A:$C,MATCH($C$1,Database!$A$1:$C$1,),))</f>
        <v/>
      </c>
      <c r="D14534">
        <f>IFERROR(Table7[[#This Row],[United States 10y]]-Table7[[#This Row],[United States 3y]],#N/A)</f>
        <v/>
      </c>
    </row>
    <row r="14535">
      <c r="A14535" s="6">
        <f>Database!$A16620</f>
        <v/>
      </c>
      <c r="B14535">
        <f>IF(VLOOKUP(Table7[[#This Row],[Date]],Database!$A:$C,MATCH($B$1,Database!$A$1:$C$1,),)=0,#N/A,VLOOKUP(Table7[[#This Row],[Date]],Database!$A:$C,MATCH($B$1,Database!$A$1:$C$1,),))</f>
        <v/>
      </c>
      <c r="C14535">
        <f>IF(VLOOKUP(Table7[[#This Row],[Date]],Database!$A:$C,MATCH($C$1,Database!$A$1:$C$1,),)=0,#N/A,VLOOKUP(Table7[[#This Row],[Date]],Database!$A:$C,MATCH($C$1,Database!$A$1:$C$1,),))</f>
        <v/>
      </c>
      <c r="D14535">
        <f>IFERROR(Table7[[#This Row],[United States 10y]]-Table7[[#This Row],[United States 3y]],#N/A)</f>
        <v/>
      </c>
    </row>
    <row r="14536">
      <c r="A14536" s="6">
        <f>Database!$A16621</f>
        <v/>
      </c>
      <c r="B14536">
        <f>IF(VLOOKUP(Table7[[#This Row],[Date]],Database!$A:$C,MATCH($B$1,Database!$A$1:$C$1,),)=0,#N/A,VLOOKUP(Table7[[#This Row],[Date]],Database!$A:$C,MATCH($B$1,Database!$A$1:$C$1,),))</f>
        <v/>
      </c>
      <c r="C14536">
        <f>IF(VLOOKUP(Table7[[#This Row],[Date]],Database!$A:$C,MATCH($C$1,Database!$A$1:$C$1,),)=0,#N/A,VLOOKUP(Table7[[#This Row],[Date]],Database!$A:$C,MATCH($C$1,Database!$A$1:$C$1,),))</f>
        <v/>
      </c>
      <c r="D14536">
        <f>IFERROR(Table7[[#This Row],[United States 10y]]-Table7[[#This Row],[United States 3y]],#N/A)</f>
        <v/>
      </c>
    </row>
    <row r="14537">
      <c r="A14537" s="6">
        <f>Database!$A16622</f>
        <v/>
      </c>
      <c r="B14537">
        <f>IF(VLOOKUP(Table7[[#This Row],[Date]],Database!$A:$C,MATCH($B$1,Database!$A$1:$C$1,),)=0,#N/A,VLOOKUP(Table7[[#This Row],[Date]],Database!$A:$C,MATCH($B$1,Database!$A$1:$C$1,),))</f>
        <v/>
      </c>
      <c r="C14537">
        <f>IF(VLOOKUP(Table7[[#This Row],[Date]],Database!$A:$C,MATCH($C$1,Database!$A$1:$C$1,),)=0,#N/A,VLOOKUP(Table7[[#This Row],[Date]],Database!$A:$C,MATCH($C$1,Database!$A$1:$C$1,),))</f>
        <v/>
      </c>
      <c r="D14537">
        <f>IFERROR(Table7[[#This Row],[United States 10y]]-Table7[[#This Row],[United States 3y]],#N/A)</f>
        <v/>
      </c>
    </row>
    <row r="14538">
      <c r="A14538" s="6">
        <f>Database!$A16623</f>
        <v/>
      </c>
      <c r="B14538">
        <f>IF(VLOOKUP(Table7[[#This Row],[Date]],Database!$A:$C,MATCH($B$1,Database!$A$1:$C$1,),)=0,#N/A,VLOOKUP(Table7[[#This Row],[Date]],Database!$A:$C,MATCH($B$1,Database!$A$1:$C$1,),))</f>
        <v/>
      </c>
      <c r="C14538">
        <f>IF(VLOOKUP(Table7[[#This Row],[Date]],Database!$A:$C,MATCH($C$1,Database!$A$1:$C$1,),)=0,#N/A,VLOOKUP(Table7[[#This Row],[Date]],Database!$A:$C,MATCH($C$1,Database!$A$1:$C$1,),))</f>
        <v/>
      </c>
      <c r="D14538">
        <f>IFERROR(Table7[[#This Row],[United States 10y]]-Table7[[#This Row],[United States 3y]],#N/A)</f>
        <v/>
      </c>
    </row>
    <row r="14539">
      <c r="A14539" s="6">
        <f>Database!$A16624</f>
        <v/>
      </c>
      <c r="B14539">
        <f>IF(VLOOKUP(Table7[[#This Row],[Date]],Database!$A:$C,MATCH($B$1,Database!$A$1:$C$1,),)=0,#N/A,VLOOKUP(Table7[[#This Row],[Date]],Database!$A:$C,MATCH($B$1,Database!$A$1:$C$1,),))</f>
        <v/>
      </c>
      <c r="C14539">
        <f>IF(VLOOKUP(Table7[[#This Row],[Date]],Database!$A:$C,MATCH($C$1,Database!$A$1:$C$1,),)=0,#N/A,VLOOKUP(Table7[[#This Row],[Date]],Database!$A:$C,MATCH($C$1,Database!$A$1:$C$1,),))</f>
        <v/>
      </c>
      <c r="D14539">
        <f>IFERROR(Table7[[#This Row],[United States 10y]]-Table7[[#This Row],[United States 3y]],#N/A)</f>
        <v/>
      </c>
    </row>
    <row r="14540">
      <c r="A14540" s="6">
        <f>Database!$A16625</f>
        <v/>
      </c>
      <c r="B14540">
        <f>IF(VLOOKUP(Table7[[#This Row],[Date]],Database!$A:$C,MATCH($B$1,Database!$A$1:$C$1,),)=0,#N/A,VLOOKUP(Table7[[#This Row],[Date]],Database!$A:$C,MATCH($B$1,Database!$A$1:$C$1,),))</f>
        <v/>
      </c>
      <c r="C14540">
        <f>IF(VLOOKUP(Table7[[#This Row],[Date]],Database!$A:$C,MATCH($C$1,Database!$A$1:$C$1,),)=0,#N/A,VLOOKUP(Table7[[#This Row],[Date]],Database!$A:$C,MATCH($C$1,Database!$A$1:$C$1,),))</f>
        <v/>
      </c>
      <c r="D14540">
        <f>IFERROR(Table7[[#This Row],[United States 10y]]-Table7[[#This Row],[United States 3y]],#N/A)</f>
        <v/>
      </c>
    </row>
    <row r="14541">
      <c r="A14541" s="6">
        <f>Database!$A16626</f>
        <v/>
      </c>
      <c r="B14541">
        <f>IF(VLOOKUP(Table7[[#This Row],[Date]],Database!$A:$C,MATCH($B$1,Database!$A$1:$C$1,),)=0,#N/A,VLOOKUP(Table7[[#This Row],[Date]],Database!$A:$C,MATCH($B$1,Database!$A$1:$C$1,),))</f>
        <v/>
      </c>
      <c r="C14541">
        <f>IF(VLOOKUP(Table7[[#This Row],[Date]],Database!$A:$C,MATCH($C$1,Database!$A$1:$C$1,),)=0,#N/A,VLOOKUP(Table7[[#This Row],[Date]],Database!$A:$C,MATCH($C$1,Database!$A$1:$C$1,),))</f>
        <v/>
      </c>
      <c r="D14541">
        <f>IFERROR(Table7[[#This Row],[United States 10y]]-Table7[[#This Row],[United States 3y]],#N/A)</f>
        <v/>
      </c>
    </row>
    <row r="14542">
      <c r="A14542" s="6">
        <f>Database!$A16627</f>
        <v/>
      </c>
      <c r="B14542">
        <f>IF(VLOOKUP(Table7[[#This Row],[Date]],Database!$A:$C,MATCH($B$1,Database!$A$1:$C$1,),)=0,#N/A,VLOOKUP(Table7[[#This Row],[Date]],Database!$A:$C,MATCH($B$1,Database!$A$1:$C$1,),))</f>
        <v/>
      </c>
      <c r="C14542">
        <f>IF(VLOOKUP(Table7[[#This Row],[Date]],Database!$A:$C,MATCH($C$1,Database!$A$1:$C$1,),)=0,#N/A,VLOOKUP(Table7[[#This Row],[Date]],Database!$A:$C,MATCH($C$1,Database!$A$1:$C$1,),))</f>
        <v/>
      </c>
      <c r="D14542">
        <f>IFERROR(Table7[[#This Row],[United States 10y]]-Table7[[#This Row],[United States 3y]],#N/A)</f>
        <v/>
      </c>
    </row>
    <row r="14543">
      <c r="A14543" s="6">
        <f>Database!$A16628</f>
        <v/>
      </c>
      <c r="B14543">
        <f>IF(VLOOKUP(Table7[[#This Row],[Date]],Database!$A:$C,MATCH($B$1,Database!$A$1:$C$1,),)=0,#N/A,VLOOKUP(Table7[[#This Row],[Date]],Database!$A:$C,MATCH($B$1,Database!$A$1:$C$1,),))</f>
        <v/>
      </c>
      <c r="C14543">
        <f>IF(VLOOKUP(Table7[[#This Row],[Date]],Database!$A:$C,MATCH($C$1,Database!$A$1:$C$1,),)=0,#N/A,VLOOKUP(Table7[[#This Row],[Date]],Database!$A:$C,MATCH($C$1,Database!$A$1:$C$1,),))</f>
        <v/>
      </c>
      <c r="D14543">
        <f>IFERROR(Table7[[#This Row],[United States 10y]]-Table7[[#This Row],[United States 3y]],#N/A)</f>
        <v/>
      </c>
    </row>
    <row r="14544">
      <c r="A14544" s="6">
        <f>Database!$A16629</f>
        <v/>
      </c>
      <c r="B14544">
        <f>IF(VLOOKUP(Table7[[#This Row],[Date]],Database!$A:$C,MATCH($B$1,Database!$A$1:$C$1,),)=0,#N/A,VLOOKUP(Table7[[#This Row],[Date]],Database!$A:$C,MATCH($B$1,Database!$A$1:$C$1,),))</f>
        <v/>
      </c>
      <c r="C14544">
        <f>IF(VLOOKUP(Table7[[#This Row],[Date]],Database!$A:$C,MATCH($C$1,Database!$A$1:$C$1,),)=0,#N/A,VLOOKUP(Table7[[#This Row],[Date]],Database!$A:$C,MATCH($C$1,Database!$A$1:$C$1,),))</f>
        <v/>
      </c>
      <c r="D14544">
        <f>IFERROR(Table7[[#This Row],[United States 10y]]-Table7[[#This Row],[United States 3y]],#N/A)</f>
        <v/>
      </c>
    </row>
    <row r="14545">
      <c r="A14545" s="6">
        <f>Database!$A16630</f>
        <v/>
      </c>
      <c r="B14545">
        <f>IF(VLOOKUP(Table7[[#This Row],[Date]],Database!$A:$C,MATCH($B$1,Database!$A$1:$C$1,),)=0,#N/A,VLOOKUP(Table7[[#This Row],[Date]],Database!$A:$C,MATCH($B$1,Database!$A$1:$C$1,),))</f>
        <v/>
      </c>
      <c r="C14545">
        <f>IF(VLOOKUP(Table7[[#This Row],[Date]],Database!$A:$C,MATCH($C$1,Database!$A$1:$C$1,),)=0,#N/A,VLOOKUP(Table7[[#This Row],[Date]],Database!$A:$C,MATCH($C$1,Database!$A$1:$C$1,),))</f>
        <v/>
      </c>
      <c r="D14545">
        <f>IFERROR(Table7[[#This Row],[United States 10y]]-Table7[[#This Row],[United States 3y]],#N/A)</f>
        <v/>
      </c>
    </row>
    <row r="14546">
      <c r="A14546" s="6">
        <f>Database!$A16631</f>
        <v/>
      </c>
      <c r="B14546">
        <f>IF(VLOOKUP(Table7[[#This Row],[Date]],Database!$A:$C,MATCH($B$1,Database!$A$1:$C$1,),)=0,#N/A,VLOOKUP(Table7[[#This Row],[Date]],Database!$A:$C,MATCH($B$1,Database!$A$1:$C$1,),))</f>
        <v/>
      </c>
      <c r="C14546">
        <f>IF(VLOOKUP(Table7[[#This Row],[Date]],Database!$A:$C,MATCH($C$1,Database!$A$1:$C$1,),)=0,#N/A,VLOOKUP(Table7[[#This Row],[Date]],Database!$A:$C,MATCH($C$1,Database!$A$1:$C$1,),))</f>
        <v/>
      </c>
      <c r="D14546">
        <f>IFERROR(Table7[[#This Row],[United States 10y]]-Table7[[#This Row],[United States 3y]],#N/A)</f>
        <v/>
      </c>
    </row>
    <row r="14547">
      <c r="A14547" s="6">
        <f>Database!$A16632</f>
        <v/>
      </c>
      <c r="B14547">
        <f>IF(VLOOKUP(Table7[[#This Row],[Date]],Database!$A:$C,MATCH($B$1,Database!$A$1:$C$1,),)=0,#N/A,VLOOKUP(Table7[[#This Row],[Date]],Database!$A:$C,MATCH($B$1,Database!$A$1:$C$1,),))</f>
        <v/>
      </c>
      <c r="C14547">
        <f>IF(VLOOKUP(Table7[[#This Row],[Date]],Database!$A:$C,MATCH($C$1,Database!$A$1:$C$1,),)=0,#N/A,VLOOKUP(Table7[[#This Row],[Date]],Database!$A:$C,MATCH($C$1,Database!$A$1:$C$1,),))</f>
        <v/>
      </c>
      <c r="D14547">
        <f>IFERROR(Table7[[#This Row],[United States 10y]]-Table7[[#This Row],[United States 3y]],#N/A)</f>
        <v/>
      </c>
    </row>
    <row r="14548">
      <c r="A14548" s="6">
        <f>Database!$A16633</f>
        <v/>
      </c>
      <c r="B14548">
        <f>IF(VLOOKUP(Table7[[#This Row],[Date]],Database!$A:$C,MATCH($B$1,Database!$A$1:$C$1,),)=0,#N/A,VLOOKUP(Table7[[#This Row],[Date]],Database!$A:$C,MATCH($B$1,Database!$A$1:$C$1,),))</f>
        <v/>
      </c>
      <c r="C14548">
        <f>IF(VLOOKUP(Table7[[#This Row],[Date]],Database!$A:$C,MATCH($C$1,Database!$A$1:$C$1,),)=0,#N/A,VLOOKUP(Table7[[#This Row],[Date]],Database!$A:$C,MATCH($C$1,Database!$A$1:$C$1,),))</f>
        <v/>
      </c>
      <c r="D14548">
        <f>IFERROR(Table7[[#This Row],[United States 10y]]-Table7[[#This Row],[United States 3y]],#N/A)</f>
        <v/>
      </c>
    </row>
    <row r="14549">
      <c r="A14549" s="6">
        <f>Database!$A16634</f>
        <v/>
      </c>
      <c r="B14549">
        <f>IF(VLOOKUP(Table7[[#This Row],[Date]],Database!$A:$C,MATCH($B$1,Database!$A$1:$C$1,),)=0,#N/A,VLOOKUP(Table7[[#This Row],[Date]],Database!$A:$C,MATCH($B$1,Database!$A$1:$C$1,),))</f>
        <v/>
      </c>
      <c r="C14549">
        <f>IF(VLOOKUP(Table7[[#This Row],[Date]],Database!$A:$C,MATCH($C$1,Database!$A$1:$C$1,),)=0,#N/A,VLOOKUP(Table7[[#This Row],[Date]],Database!$A:$C,MATCH($C$1,Database!$A$1:$C$1,),))</f>
        <v/>
      </c>
      <c r="D14549">
        <f>IFERROR(Table7[[#This Row],[United States 10y]]-Table7[[#This Row],[United States 3y]],#N/A)</f>
        <v/>
      </c>
    </row>
    <row r="14550">
      <c r="A14550" s="6">
        <f>Database!$A16635</f>
        <v/>
      </c>
      <c r="B14550">
        <f>IF(VLOOKUP(Table7[[#This Row],[Date]],Database!$A:$C,MATCH($B$1,Database!$A$1:$C$1,),)=0,#N/A,VLOOKUP(Table7[[#This Row],[Date]],Database!$A:$C,MATCH($B$1,Database!$A$1:$C$1,),))</f>
        <v/>
      </c>
      <c r="C14550">
        <f>IF(VLOOKUP(Table7[[#This Row],[Date]],Database!$A:$C,MATCH($C$1,Database!$A$1:$C$1,),)=0,#N/A,VLOOKUP(Table7[[#This Row],[Date]],Database!$A:$C,MATCH($C$1,Database!$A$1:$C$1,),))</f>
        <v/>
      </c>
      <c r="D14550">
        <f>IFERROR(Table7[[#This Row],[United States 10y]]-Table7[[#This Row],[United States 3y]],#N/A)</f>
        <v/>
      </c>
    </row>
    <row r="14551">
      <c r="A14551" s="6">
        <f>Database!$A16636</f>
        <v/>
      </c>
      <c r="B14551">
        <f>IF(VLOOKUP(Table7[[#This Row],[Date]],Database!$A:$C,MATCH($B$1,Database!$A$1:$C$1,),)=0,#N/A,VLOOKUP(Table7[[#This Row],[Date]],Database!$A:$C,MATCH($B$1,Database!$A$1:$C$1,),))</f>
        <v/>
      </c>
      <c r="C14551">
        <f>IF(VLOOKUP(Table7[[#This Row],[Date]],Database!$A:$C,MATCH($C$1,Database!$A$1:$C$1,),)=0,#N/A,VLOOKUP(Table7[[#This Row],[Date]],Database!$A:$C,MATCH($C$1,Database!$A$1:$C$1,),))</f>
        <v/>
      </c>
      <c r="D14551">
        <f>IFERROR(Table7[[#This Row],[United States 10y]]-Table7[[#This Row],[United States 3y]],#N/A)</f>
        <v/>
      </c>
    </row>
    <row r="14552">
      <c r="A14552" s="6">
        <f>Database!$A16637</f>
        <v/>
      </c>
      <c r="B14552">
        <f>IF(VLOOKUP(Table7[[#This Row],[Date]],Database!$A:$C,MATCH($B$1,Database!$A$1:$C$1,),)=0,#N/A,VLOOKUP(Table7[[#This Row],[Date]],Database!$A:$C,MATCH($B$1,Database!$A$1:$C$1,),))</f>
        <v/>
      </c>
      <c r="C14552">
        <f>IF(VLOOKUP(Table7[[#This Row],[Date]],Database!$A:$C,MATCH($C$1,Database!$A$1:$C$1,),)=0,#N/A,VLOOKUP(Table7[[#This Row],[Date]],Database!$A:$C,MATCH($C$1,Database!$A$1:$C$1,),))</f>
        <v/>
      </c>
      <c r="D14552">
        <f>IFERROR(Table7[[#This Row],[United States 10y]]-Table7[[#This Row],[United States 3y]],#N/A)</f>
        <v/>
      </c>
    </row>
    <row r="14553">
      <c r="A14553" s="6">
        <f>Database!$A16638</f>
        <v/>
      </c>
      <c r="B14553">
        <f>IF(VLOOKUP(Table7[[#This Row],[Date]],Database!$A:$C,MATCH($B$1,Database!$A$1:$C$1,),)=0,#N/A,VLOOKUP(Table7[[#This Row],[Date]],Database!$A:$C,MATCH($B$1,Database!$A$1:$C$1,),))</f>
        <v/>
      </c>
      <c r="C14553">
        <f>IF(VLOOKUP(Table7[[#This Row],[Date]],Database!$A:$C,MATCH($C$1,Database!$A$1:$C$1,),)=0,#N/A,VLOOKUP(Table7[[#This Row],[Date]],Database!$A:$C,MATCH($C$1,Database!$A$1:$C$1,),))</f>
        <v/>
      </c>
      <c r="D14553">
        <f>IFERROR(Table7[[#This Row],[United States 10y]]-Table7[[#This Row],[United States 3y]],#N/A)</f>
        <v/>
      </c>
    </row>
    <row r="14554">
      <c r="A14554" s="6">
        <f>Database!$A16639</f>
        <v/>
      </c>
      <c r="B14554">
        <f>IF(VLOOKUP(Table7[[#This Row],[Date]],Database!$A:$C,MATCH($B$1,Database!$A$1:$C$1,),)=0,#N/A,VLOOKUP(Table7[[#This Row],[Date]],Database!$A:$C,MATCH($B$1,Database!$A$1:$C$1,),))</f>
        <v/>
      </c>
      <c r="C14554">
        <f>IF(VLOOKUP(Table7[[#This Row],[Date]],Database!$A:$C,MATCH($C$1,Database!$A$1:$C$1,),)=0,#N/A,VLOOKUP(Table7[[#This Row],[Date]],Database!$A:$C,MATCH($C$1,Database!$A$1:$C$1,),))</f>
        <v/>
      </c>
      <c r="D14554">
        <f>IFERROR(Table7[[#This Row],[United States 10y]]-Table7[[#This Row],[United States 3y]],#N/A)</f>
        <v/>
      </c>
    </row>
    <row r="14555">
      <c r="A14555" s="6">
        <f>Database!$A16640</f>
        <v/>
      </c>
      <c r="B14555">
        <f>IF(VLOOKUP(Table7[[#This Row],[Date]],Database!$A:$C,MATCH($B$1,Database!$A$1:$C$1,),)=0,#N/A,VLOOKUP(Table7[[#This Row],[Date]],Database!$A:$C,MATCH($B$1,Database!$A$1:$C$1,),))</f>
        <v/>
      </c>
      <c r="C14555">
        <f>IF(VLOOKUP(Table7[[#This Row],[Date]],Database!$A:$C,MATCH($C$1,Database!$A$1:$C$1,),)=0,#N/A,VLOOKUP(Table7[[#This Row],[Date]],Database!$A:$C,MATCH($C$1,Database!$A$1:$C$1,),))</f>
        <v/>
      </c>
      <c r="D14555">
        <f>IFERROR(Table7[[#This Row],[United States 10y]]-Table7[[#This Row],[United States 3y]],#N/A)</f>
        <v/>
      </c>
    </row>
    <row r="14556">
      <c r="A14556" s="6">
        <f>Database!$A16641</f>
        <v/>
      </c>
      <c r="B14556">
        <f>IF(VLOOKUP(Table7[[#This Row],[Date]],Database!$A:$C,MATCH($B$1,Database!$A$1:$C$1,),)=0,#N/A,VLOOKUP(Table7[[#This Row],[Date]],Database!$A:$C,MATCH($B$1,Database!$A$1:$C$1,),))</f>
        <v/>
      </c>
      <c r="C14556">
        <f>IF(VLOOKUP(Table7[[#This Row],[Date]],Database!$A:$C,MATCH($C$1,Database!$A$1:$C$1,),)=0,#N/A,VLOOKUP(Table7[[#This Row],[Date]],Database!$A:$C,MATCH($C$1,Database!$A$1:$C$1,),))</f>
        <v/>
      </c>
      <c r="D14556">
        <f>IFERROR(Table7[[#This Row],[United States 10y]]-Table7[[#This Row],[United States 3y]],#N/A)</f>
        <v/>
      </c>
    </row>
    <row r="14557">
      <c r="A14557" s="6">
        <f>Database!$A16642</f>
        <v/>
      </c>
      <c r="B14557">
        <f>IF(VLOOKUP(Table7[[#This Row],[Date]],Database!$A:$C,MATCH($B$1,Database!$A$1:$C$1,),)=0,#N/A,VLOOKUP(Table7[[#This Row],[Date]],Database!$A:$C,MATCH($B$1,Database!$A$1:$C$1,),))</f>
        <v/>
      </c>
      <c r="C14557">
        <f>IF(VLOOKUP(Table7[[#This Row],[Date]],Database!$A:$C,MATCH($C$1,Database!$A$1:$C$1,),)=0,#N/A,VLOOKUP(Table7[[#This Row],[Date]],Database!$A:$C,MATCH($C$1,Database!$A$1:$C$1,),))</f>
        <v/>
      </c>
      <c r="D14557">
        <f>IFERROR(Table7[[#This Row],[United States 10y]]-Table7[[#This Row],[United States 3y]],#N/A)</f>
        <v/>
      </c>
    </row>
    <row r="14558">
      <c r="A14558" s="6">
        <f>Database!$A16643</f>
        <v/>
      </c>
      <c r="B14558">
        <f>IF(VLOOKUP(Table7[[#This Row],[Date]],Database!$A:$C,MATCH($B$1,Database!$A$1:$C$1,),)=0,#N/A,VLOOKUP(Table7[[#This Row],[Date]],Database!$A:$C,MATCH($B$1,Database!$A$1:$C$1,),))</f>
        <v/>
      </c>
      <c r="C14558">
        <f>IF(VLOOKUP(Table7[[#This Row],[Date]],Database!$A:$C,MATCH($C$1,Database!$A$1:$C$1,),)=0,#N/A,VLOOKUP(Table7[[#This Row],[Date]],Database!$A:$C,MATCH($C$1,Database!$A$1:$C$1,),))</f>
        <v/>
      </c>
      <c r="D14558">
        <f>IFERROR(Table7[[#This Row],[United States 10y]]-Table7[[#This Row],[United States 3y]],#N/A)</f>
        <v/>
      </c>
    </row>
    <row r="14559">
      <c r="A14559" s="6">
        <f>Database!$A16644</f>
        <v/>
      </c>
      <c r="B14559">
        <f>IF(VLOOKUP(Table7[[#This Row],[Date]],Database!$A:$C,MATCH($B$1,Database!$A$1:$C$1,),)=0,#N/A,VLOOKUP(Table7[[#This Row],[Date]],Database!$A:$C,MATCH($B$1,Database!$A$1:$C$1,),))</f>
        <v/>
      </c>
      <c r="C14559">
        <f>IF(VLOOKUP(Table7[[#This Row],[Date]],Database!$A:$C,MATCH($C$1,Database!$A$1:$C$1,),)=0,#N/A,VLOOKUP(Table7[[#This Row],[Date]],Database!$A:$C,MATCH($C$1,Database!$A$1:$C$1,),))</f>
        <v/>
      </c>
      <c r="D14559">
        <f>IFERROR(Table7[[#This Row],[United States 10y]]-Table7[[#This Row],[United States 3y]],#N/A)</f>
        <v/>
      </c>
    </row>
    <row r="14560">
      <c r="A14560" s="6">
        <f>Database!$A16645</f>
        <v/>
      </c>
      <c r="B14560">
        <f>IF(VLOOKUP(Table7[[#This Row],[Date]],Database!$A:$C,MATCH($B$1,Database!$A$1:$C$1,),)=0,#N/A,VLOOKUP(Table7[[#This Row],[Date]],Database!$A:$C,MATCH($B$1,Database!$A$1:$C$1,),))</f>
        <v/>
      </c>
      <c r="C14560">
        <f>IF(VLOOKUP(Table7[[#This Row],[Date]],Database!$A:$C,MATCH($C$1,Database!$A$1:$C$1,),)=0,#N/A,VLOOKUP(Table7[[#This Row],[Date]],Database!$A:$C,MATCH($C$1,Database!$A$1:$C$1,),))</f>
        <v/>
      </c>
      <c r="D14560">
        <f>IFERROR(Table7[[#This Row],[United States 10y]]-Table7[[#This Row],[United States 3y]],#N/A)</f>
        <v/>
      </c>
    </row>
    <row r="14561">
      <c r="A14561" s="6">
        <f>Database!$A16646</f>
        <v/>
      </c>
      <c r="B14561">
        <f>IF(VLOOKUP(Table7[[#This Row],[Date]],Database!$A:$C,MATCH($B$1,Database!$A$1:$C$1,),)=0,#N/A,VLOOKUP(Table7[[#This Row],[Date]],Database!$A:$C,MATCH($B$1,Database!$A$1:$C$1,),))</f>
        <v/>
      </c>
      <c r="C14561">
        <f>IF(VLOOKUP(Table7[[#This Row],[Date]],Database!$A:$C,MATCH($C$1,Database!$A$1:$C$1,),)=0,#N/A,VLOOKUP(Table7[[#This Row],[Date]],Database!$A:$C,MATCH($C$1,Database!$A$1:$C$1,),))</f>
        <v/>
      </c>
      <c r="D14561">
        <f>IFERROR(Table7[[#This Row],[United States 10y]]-Table7[[#This Row],[United States 3y]],#N/A)</f>
        <v/>
      </c>
    </row>
    <row r="14562">
      <c r="A14562" s="6">
        <f>Database!$A16647</f>
        <v/>
      </c>
      <c r="B14562">
        <f>IF(VLOOKUP(Table7[[#This Row],[Date]],Database!$A:$C,MATCH($B$1,Database!$A$1:$C$1,),)=0,#N/A,VLOOKUP(Table7[[#This Row],[Date]],Database!$A:$C,MATCH($B$1,Database!$A$1:$C$1,),))</f>
        <v/>
      </c>
      <c r="C14562">
        <f>IF(VLOOKUP(Table7[[#This Row],[Date]],Database!$A:$C,MATCH($C$1,Database!$A$1:$C$1,),)=0,#N/A,VLOOKUP(Table7[[#This Row],[Date]],Database!$A:$C,MATCH($C$1,Database!$A$1:$C$1,),))</f>
        <v/>
      </c>
      <c r="D14562">
        <f>IFERROR(Table7[[#This Row],[United States 10y]]-Table7[[#This Row],[United States 3y]],#N/A)</f>
        <v/>
      </c>
    </row>
    <row r="14563">
      <c r="A14563" s="6">
        <f>Database!$A16648</f>
        <v/>
      </c>
      <c r="B14563">
        <f>IF(VLOOKUP(Table7[[#This Row],[Date]],Database!$A:$C,MATCH($B$1,Database!$A$1:$C$1,),)=0,#N/A,VLOOKUP(Table7[[#This Row],[Date]],Database!$A:$C,MATCH($B$1,Database!$A$1:$C$1,),))</f>
        <v/>
      </c>
      <c r="C14563">
        <f>IF(VLOOKUP(Table7[[#This Row],[Date]],Database!$A:$C,MATCH($C$1,Database!$A$1:$C$1,),)=0,#N/A,VLOOKUP(Table7[[#This Row],[Date]],Database!$A:$C,MATCH($C$1,Database!$A$1:$C$1,),))</f>
        <v/>
      </c>
      <c r="D14563">
        <f>IFERROR(Table7[[#This Row],[United States 10y]]-Table7[[#This Row],[United States 3y]],#N/A)</f>
        <v/>
      </c>
    </row>
    <row r="14564">
      <c r="A14564" s="6">
        <f>Database!$A16649</f>
        <v/>
      </c>
      <c r="B14564">
        <f>IF(VLOOKUP(Table7[[#This Row],[Date]],Database!$A:$C,MATCH($B$1,Database!$A$1:$C$1,),)=0,#N/A,VLOOKUP(Table7[[#This Row],[Date]],Database!$A:$C,MATCH($B$1,Database!$A$1:$C$1,),))</f>
        <v/>
      </c>
      <c r="C14564">
        <f>IF(VLOOKUP(Table7[[#This Row],[Date]],Database!$A:$C,MATCH($C$1,Database!$A$1:$C$1,),)=0,#N/A,VLOOKUP(Table7[[#This Row],[Date]],Database!$A:$C,MATCH($C$1,Database!$A$1:$C$1,),))</f>
        <v/>
      </c>
      <c r="D14564">
        <f>IFERROR(Table7[[#This Row],[United States 10y]]-Table7[[#This Row],[United States 3y]],#N/A)</f>
        <v/>
      </c>
    </row>
    <row r="14565">
      <c r="A14565" s="6">
        <f>Database!$A16650</f>
        <v/>
      </c>
      <c r="B14565">
        <f>IF(VLOOKUP(Table7[[#This Row],[Date]],Database!$A:$C,MATCH($B$1,Database!$A$1:$C$1,),)=0,#N/A,VLOOKUP(Table7[[#This Row],[Date]],Database!$A:$C,MATCH($B$1,Database!$A$1:$C$1,),))</f>
        <v/>
      </c>
      <c r="C14565">
        <f>IF(VLOOKUP(Table7[[#This Row],[Date]],Database!$A:$C,MATCH($C$1,Database!$A$1:$C$1,),)=0,#N/A,VLOOKUP(Table7[[#This Row],[Date]],Database!$A:$C,MATCH($C$1,Database!$A$1:$C$1,),))</f>
        <v/>
      </c>
      <c r="D14565">
        <f>IFERROR(Table7[[#This Row],[United States 10y]]-Table7[[#This Row],[United States 3y]],#N/A)</f>
        <v/>
      </c>
    </row>
    <row r="14566">
      <c r="A14566" s="6">
        <f>Database!$A16651</f>
        <v/>
      </c>
      <c r="B14566">
        <f>IF(VLOOKUP(Table7[[#This Row],[Date]],Database!$A:$C,MATCH($B$1,Database!$A$1:$C$1,),)=0,#N/A,VLOOKUP(Table7[[#This Row],[Date]],Database!$A:$C,MATCH($B$1,Database!$A$1:$C$1,),))</f>
        <v/>
      </c>
      <c r="C14566">
        <f>IF(VLOOKUP(Table7[[#This Row],[Date]],Database!$A:$C,MATCH($C$1,Database!$A$1:$C$1,),)=0,#N/A,VLOOKUP(Table7[[#This Row],[Date]],Database!$A:$C,MATCH($C$1,Database!$A$1:$C$1,),))</f>
        <v/>
      </c>
      <c r="D14566">
        <f>IFERROR(Table7[[#This Row],[United States 10y]]-Table7[[#This Row],[United States 3y]],#N/A)</f>
        <v/>
      </c>
    </row>
    <row r="14567">
      <c r="A14567" s="6">
        <f>Database!$A16652</f>
        <v/>
      </c>
      <c r="B14567">
        <f>IF(VLOOKUP(Table7[[#This Row],[Date]],Database!$A:$C,MATCH($B$1,Database!$A$1:$C$1,),)=0,#N/A,VLOOKUP(Table7[[#This Row],[Date]],Database!$A:$C,MATCH($B$1,Database!$A$1:$C$1,),))</f>
        <v/>
      </c>
      <c r="C14567">
        <f>IF(VLOOKUP(Table7[[#This Row],[Date]],Database!$A:$C,MATCH($C$1,Database!$A$1:$C$1,),)=0,#N/A,VLOOKUP(Table7[[#This Row],[Date]],Database!$A:$C,MATCH($C$1,Database!$A$1:$C$1,),))</f>
        <v/>
      </c>
      <c r="D14567">
        <f>IFERROR(Table7[[#This Row],[United States 10y]]-Table7[[#This Row],[United States 3y]],#N/A)</f>
        <v/>
      </c>
    </row>
    <row r="14568">
      <c r="A14568" s="6">
        <f>Database!$A16653</f>
        <v/>
      </c>
      <c r="B14568">
        <f>IF(VLOOKUP(Table7[[#This Row],[Date]],Database!$A:$C,MATCH($B$1,Database!$A$1:$C$1,),)=0,#N/A,VLOOKUP(Table7[[#This Row],[Date]],Database!$A:$C,MATCH($B$1,Database!$A$1:$C$1,),))</f>
        <v/>
      </c>
      <c r="C14568">
        <f>IF(VLOOKUP(Table7[[#This Row],[Date]],Database!$A:$C,MATCH($C$1,Database!$A$1:$C$1,),)=0,#N/A,VLOOKUP(Table7[[#This Row],[Date]],Database!$A:$C,MATCH($C$1,Database!$A$1:$C$1,),))</f>
        <v/>
      </c>
      <c r="D14568">
        <f>IFERROR(Table7[[#This Row],[United States 10y]]-Table7[[#This Row],[United States 3y]],#N/A)</f>
        <v/>
      </c>
    </row>
    <row r="14569">
      <c r="A14569" s="6">
        <f>Database!$A16654</f>
        <v/>
      </c>
      <c r="B14569">
        <f>IF(VLOOKUP(Table7[[#This Row],[Date]],Database!$A:$C,MATCH($B$1,Database!$A$1:$C$1,),)=0,#N/A,VLOOKUP(Table7[[#This Row],[Date]],Database!$A:$C,MATCH($B$1,Database!$A$1:$C$1,),))</f>
        <v/>
      </c>
      <c r="C14569">
        <f>IF(VLOOKUP(Table7[[#This Row],[Date]],Database!$A:$C,MATCH($C$1,Database!$A$1:$C$1,),)=0,#N/A,VLOOKUP(Table7[[#This Row],[Date]],Database!$A:$C,MATCH($C$1,Database!$A$1:$C$1,),))</f>
        <v/>
      </c>
      <c r="D14569">
        <f>IFERROR(Table7[[#This Row],[United States 10y]]-Table7[[#This Row],[United States 3y]],#N/A)</f>
        <v/>
      </c>
    </row>
    <row r="14570">
      <c r="A14570" s="6">
        <f>Database!$A16655</f>
        <v/>
      </c>
      <c r="B14570">
        <f>IF(VLOOKUP(Table7[[#This Row],[Date]],Database!$A:$C,MATCH($B$1,Database!$A$1:$C$1,),)=0,#N/A,VLOOKUP(Table7[[#This Row],[Date]],Database!$A:$C,MATCH($B$1,Database!$A$1:$C$1,),))</f>
        <v/>
      </c>
      <c r="C14570">
        <f>IF(VLOOKUP(Table7[[#This Row],[Date]],Database!$A:$C,MATCH($C$1,Database!$A$1:$C$1,),)=0,#N/A,VLOOKUP(Table7[[#This Row],[Date]],Database!$A:$C,MATCH($C$1,Database!$A$1:$C$1,),))</f>
        <v/>
      </c>
      <c r="D14570">
        <f>IFERROR(Table7[[#This Row],[United States 10y]]-Table7[[#This Row],[United States 3y]],#N/A)</f>
        <v/>
      </c>
    </row>
    <row r="14571">
      <c r="A14571" s="6">
        <f>Database!$A16656</f>
        <v/>
      </c>
      <c r="B14571">
        <f>IF(VLOOKUP(Table7[[#This Row],[Date]],Database!$A:$C,MATCH($B$1,Database!$A$1:$C$1,),)=0,#N/A,VLOOKUP(Table7[[#This Row],[Date]],Database!$A:$C,MATCH($B$1,Database!$A$1:$C$1,),))</f>
        <v/>
      </c>
      <c r="C14571">
        <f>IF(VLOOKUP(Table7[[#This Row],[Date]],Database!$A:$C,MATCH($C$1,Database!$A$1:$C$1,),)=0,#N/A,VLOOKUP(Table7[[#This Row],[Date]],Database!$A:$C,MATCH($C$1,Database!$A$1:$C$1,),))</f>
        <v/>
      </c>
      <c r="D14571">
        <f>IFERROR(Table7[[#This Row],[United States 10y]]-Table7[[#This Row],[United States 3y]],#N/A)</f>
        <v/>
      </c>
    </row>
    <row r="14572">
      <c r="A14572" s="6">
        <f>Database!$A16657</f>
        <v/>
      </c>
      <c r="B14572">
        <f>IF(VLOOKUP(Table7[[#This Row],[Date]],Database!$A:$C,MATCH($B$1,Database!$A$1:$C$1,),)=0,#N/A,VLOOKUP(Table7[[#This Row],[Date]],Database!$A:$C,MATCH($B$1,Database!$A$1:$C$1,),))</f>
        <v/>
      </c>
      <c r="C14572">
        <f>IF(VLOOKUP(Table7[[#This Row],[Date]],Database!$A:$C,MATCH($C$1,Database!$A$1:$C$1,),)=0,#N/A,VLOOKUP(Table7[[#This Row],[Date]],Database!$A:$C,MATCH($C$1,Database!$A$1:$C$1,),))</f>
        <v/>
      </c>
      <c r="D14572">
        <f>IFERROR(Table7[[#This Row],[United States 10y]]-Table7[[#This Row],[United States 3y]],#N/A)</f>
        <v/>
      </c>
    </row>
    <row r="14573">
      <c r="A14573" s="6">
        <f>Database!$A16658</f>
        <v/>
      </c>
      <c r="B14573">
        <f>IF(VLOOKUP(Table7[[#This Row],[Date]],Database!$A:$C,MATCH($B$1,Database!$A$1:$C$1,),)=0,#N/A,VLOOKUP(Table7[[#This Row],[Date]],Database!$A:$C,MATCH($B$1,Database!$A$1:$C$1,),))</f>
        <v/>
      </c>
      <c r="C14573">
        <f>IF(VLOOKUP(Table7[[#This Row],[Date]],Database!$A:$C,MATCH($C$1,Database!$A$1:$C$1,),)=0,#N/A,VLOOKUP(Table7[[#This Row],[Date]],Database!$A:$C,MATCH($C$1,Database!$A$1:$C$1,),))</f>
        <v/>
      </c>
      <c r="D14573">
        <f>IFERROR(Table7[[#This Row],[United States 10y]]-Table7[[#This Row],[United States 3y]],#N/A)</f>
        <v/>
      </c>
    </row>
    <row r="14574">
      <c r="A14574" s="6">
        <f>Database!$A16659</f>
        <v/>
      </c>
      <c r="B14574">
        <f>IF(VLOOKUP(Table7[[#This Row],[Date]],Database!$A:$C,MATCH($B$1,Database!$A$1:$C$1,),)=0,#N/A,VLOOKUP(Table7[[#This Row],[Date]],Database!$A:$C,MATCH($B$1,Database!$A$1:$C$1,),))</f>
        <v/>
      </c>
      <c r="C14574">
        <f>IF(VLOOKUP(Table7[[#This Row],[Date]],Database!$A:$C,MATCH($C$1,Database!$A$1:$C$1,),)=0,#N/A,VLOOKUP(Table7[[#This Row],[Date]],Database!$A:$C,MATCH($C$1,Database!$A$1:$C$1,),))</f>
        <v/>
      </c>
      <c r="D14574">
        <f>IFERROR(Table7[[#This Row],[United States 10y]]-Table7[[#This Row],[United States 3y]],#N/A)</f>
        <v/>
      </c>
    </row>
    <row r="14575">
      <c r="A14575" s="6">
        <f>Database!$A16660</f>
        <v/>
      </c>
      <c r="B14575">
        <f>IF(VLOOKUP(Table7[[#This Row],[Date]],Database!$A:$C,MATCH($B$1,Database!$A$1:$C$1,),)=0,#N/A,VLOOKUP(Table7[[#This Row],[Date]],Database!$A:$C,MATCH($B$1,Database!$A$1:$C$1,),))</f>
        <v/>
      </c>
      <c r="C14575">
        <f>IF(VLOOKUP(Table7[[#This Row],[Date]],Database!$A:$C,MATCH($C$1,Database!$A$1:$C$1,),)=0,#N/A,VLOOKUP(Table7[[#This Row],[Date]],Database!$A:$C,MATCH($C$1,Database!$A$1:$C$1,),))</f>
        <v/>
      </c>
      <c r="D14575">
        <f>IFERROR(Table7[[#This Row],[United States 10y]]-Table7[[#This Row],[United States 3y]],#N/A)</f>
        <v/>
      </c>
    </row>
    <row r="14576">
      <c r="A14576" s="6">
        <f>Database!$A16661</f>
        <v/>
      </c>
      <c r="B14576">
        <f>IF(VLOOKUP(Table7[[#This Row],[Date]],Database!$A:$C,MATCH($B$1,Database!$A$1:$C$1,),)=0,#N/A,VLOOKUP(Table7[[#This Row],[Date]],Database!$A:$C,MATCH($B$1,Database!$A$1:$C$1,),))</f>
        <v/>
      </c>
      <c r="C14576">
        <f>IF(VLOOKUP(Table7[[#This Row],[Date]],Database!$A:$C,MATCH($C$1,Database!$A$1:$C$1,),)=0,#N/A,VLOOKUP(Table7[[#This Row],[Date]],Database!$A:$C,MATCH($C$1,Database!$A$1:$C$1,),))</f>
        <v/>
      </c>
      <c r="D14576">
        <f>IFERROR(Table7[[#This Row],[United States 10y]]-Table7[[#This Row],[United States 3y]],#N/A)</f>
        <v/>
      </c>
    </row>
    <row r="14577">
      <c r="A14577" s="6">
        <f>Database!$A16662</f>
        <v/>
      </c>
      <c r="B14577">
        <f>IF(VLOOKUP(Table7[[#This Row],[Date]],Database!$A:$C,MATCH($B$1,Database!$A$1:$C$1,),)=0,#N/A,VLOOKUP(Table7[[#This Row],[Date]],Database!$A:$C,MATCH($B$1,Database!$A$1:$C$1,),))</f>
        <v/>
      </c>
      <c r="C14577">
        <f>IF(VLOOKUP(Table7[[#This Row],[Date]],Database!$A:$C,MATCH($C$1,Database!$A$1:$C$1,),)=0,#N/A,VLOOKUP(Table7[[#This Row],[Date]],Database!$A:$C,MATCH($C$1,Database!$A$1:$C$1,),))</f>
        <v/>
      </c>
      <c r="D14577">
        <f>IFERROR(Table7[[#This Row],[United States 10y]]-Table7[[#This Row],[United States 3y]],#N/A)</f>
        <v/>
      </c>
    </row>
    <row r="14578">
      <c r="A14578" s="6">
        <f>Database!$A16663</f>
        <v/>
      </c>
      <c r="B14578">
        <f>IF(VLOOKUP(Table7[[#This Row],[Date]],Database!$A:$C,MATCH($B$1,Database!$A$1:$C$1,),)=0,#N/A,VLOOKUP(Table7[[#This Row],[Date]],Database!$A:$C,MATCH($B$1,Database!$A$1:$C$1,),))</f>
        <v/>
      </c>
      <c r="C14578">
        <f>IF(VLOOKUP(Table7[[#This Row],[Date]],Database!$A:$C,MATCH($C$1,Database!$A$1:$C$1,),)=0,#N/A,VLOOKUP(Table7[[#This Row],[Date]],Database!$A:$C,MATCH($C$1,Database!$A$1:$C$1,),))</f>
        <v/>
      </c>
      <c r="D14578">
        <f>IFERROR(Table7[[#This Row],[United States 10y]]-Table7[[#This Row],[United States 3y]],#N/A)</f>
        <v/>
      </c>
    </row>
    <row r="14579">
      <c r="A14579" s="6">
        <f>Database!$A16664</f>
        <v/>
      </c>
      <c r="B14579">
        <f>IF(VLOOKUP(Table7[[#This Row],[Date]],Database!$A:$C,MATCH($B$1,Database!$A$1:$C$1,),)=0,#N/A,VLOOKUP(Table7[[#This Row],[Date]],Database!$A:$C,MATCH($B$1,Database!$A$1:$C$1,),))</f>
        <v/>
      </c>
      <c r="C14579">
        <f>IF(VLOOKUP(Table7[[#This Row],[Date]],Database!$A:$C,MATCH($C$1,Database!$A$1:$C$1,),)=0,#N/A,VLOOKUP(Table7[[#This Row],[Date]],Database!$A:$C,MATCH($C$1,Database!$A$1:$C$1,),))</f>
        <v/>
      </c>
      <c r="D14579">
        <f>IFERROR(Table7[[#This Row],[United States 10y]]-Table7[[#This Row],[United States 3y]],#N/A)</f>
        <v/>
      </c>
    </row>
    <row r="14580">
      <c r="A14580" s="6">
        <f>Database!$A16665</f>
        <v/>
      </c>
      <c r="B14580">
        <f>IF(VLOOKUP(Table7[[#This Row],[Date]],Database!$A:$C,MATCH($B$1,Database!$A$1:$C$1,),)=0,#N/A,VLOOKUP(Table7[[#This Row],[Date]],Database!$A:$C,MATCH($B$1,Database!$A$1:$C$1,),))</f>
        <v/>
      </c>
      <c r="C14580">
        <f>IF(VLOOKUP(Table7[[#This Row],[Date]],Database!$A:$C,MATCH($C$1,Database!$A$1:$C$1,),)=0,#N/A,VLOOKUP(Table7[[#This Row],[Date]],Database!$A:$C,MATCH($C$1,Database!$A$1:$C$1,),))</f>
        <v/>
      </c>
      <c r="D14580">
        <f>IFERROR(Table7[[#This Row],[United States 10y]]-Table7[[#This Row],[United States 3y]],#N/A)</f>
        <v/>
      </c>
    </row>
    <row r="14581">
      <c r="A14581" s="6">
        <f>Database!$A16666</f>
        <v/>
      </c>
      <c r="B14581">
        <f>IF(VLOOKUP(Table7[[#This Row],[Date]],Database!$A:$C,MATCH($B$1,Database!$A$1:$C$1,),)=0,#N/A,VLOOKUP(Table7[[#This Row],[Date]],Database!$A:$C,MATCH($B$1,Database!$A$1:$C$1,),))</f>
        <v/>
      </c>
      <c r="C14581">
        <f>IF(VLOOKUP(Table7[[#This Row],[Date]],Database!$A:$C,MATCH($C$1,Database!$A$1:$C$1,),)=0,#N/A,VLOOKUP(Table7[[#This Row],[Date]],Database!$A:$C,MATCH($C$1,Database!$A$1:$C$1,),))</f>
        <v/>
      </c>
      <c r="D14581">
        <f>IFERROR(Table7[[#This Row],[United States 10y]]-Table7[[#This Row],[United States 3y]],#N/A)</f>
        <v/>
      </c>
    </row>
    <row r="14582">
      <c r="A14582" s="6">
        <f>Database!$A16667</f>
        <v/>
      </c>
      <c r="B14582">
        <f>IF(VLOOKUP(Table7[[#This Row],[Date]],Database!$A:$C,MATCH($B$1,Database!$A$1:$C$1,),)=0,#N/A,VLOOKUP(Table7[[#This Row],[Date]],Database!$A:$C,MATCH($B$1,Database!$A$1:$C$1,),))</f>
        <v/>
      </c>
      <c r="C14582">
        <f>IF(VLOOKUP(Table7[[#This Row],[Date]],Database!$A:$C,MATCH($C$1,Database!$A$1:$C$1,),)=0,#N/A,VLOOKUP(Table7[[#This Row],[Date]],Database!$A:$C,MATCH($C$1,Database!$A$1:$C$1,),))</f>
        <v/>
      </c>
      <c r="D14582">
        <f>IFERROR(Table7[[#This Row],[United States 10y]]-Table7[[#This Row],[United States 3y]],#N/A)</f>
        <v/>
      </c>
    </row>
    <row r="14583">
      <c r="A14583" s="6">
        <f>Database!$A16668</f>
        <v/>
      </c>
      <c r="B14583">
        <f>IF(VLOOKUP(Table7[[#This Row],[Date]],Database!$A:$C,MATCH($B$1,Database!$A$1:$C$1,),)=0,#N/A,VLOOKUP(Table7[[#This Row],[Date]],Database!$A:$C,MATCH($B$1,Database!$A$1:$C$1,),))</f>
        <v/>
      </c>
      <c r="C14583">
        <f>IF(VLOOKUP(Table7[[#This Row],[Date]],Database!$A:$C,MATCH($C$1,Database!$A$1:$C$1,),)=0,#N/A,VLOOKUP(Table7[[#This Row],[Date]],Database!$A:$C,MATCH($C$1,Database!$A$1:$C$1,),))</f>
        <v/>
      </c>
      <c r="D14583">
        <f>IFERROR(Table7[[#This Row],[United States 10y]]-Table7[[#This Row],[United States 3y]],#N/A)</f>
        <v/>
      </c>
    </row>
    <row r="14584">
      <c r="A14584" s="6">
        <f>Database!$A16669</f>
        <v/>
      </c>
      <c r="B14584">
        <f>IF(VLOOKUP(Table7[[#This Row],[Date]],Database!$A:$C,MATCH($B$1,Database!$A$1:$C$1,),)=0,#N/A,VLOOKUP(Table7[[#This Row],[Date]],Database!$A:$C,MATCH($B$1,Database!$A$1:$C$1,),))</f>
        <v/>
      </c>
      <c r="C14584">
        <f>IF(VLOOKUP(Table7[[#This Row],[Date]],Database!$A:$C,MATCH($C$1,Database!$A$1:$C$1,),)=0,#N/A,VLOOKUP(Table7[[#This Row],[Date]],Database!$A:$C,MATCH($C$1,Database!$A$1:$C$1,),))</f>
        <v/>
      </c>
      <c r="D14584">
        <f>IFERROR(Table7[[#This Row],[United States 10y]]-Table7[[#This Row],[United States 3y]],#N/A)</f>
        <v/>
      </c>
    </row>
    <row r="14585">
      <c r="A14585" s="6">
        <f>Database!$A16670</f>
        <v/>
      </c>
      <c r="B14585">
        <f>IF(VLOOKUP(Table7[[#This Row],[Date]],Database!$A:$C,MATCH($B$1,Database!$A$1:$C$1,),)=0,#N/A,VLOOKUP(Table7[[#This Row],[Date]],Database!$A:$C,MATCH($B$1,Database!$A$1:$C$1,),))</f>
        <v/>
      </c>
      <c r="C14585">
        <f>IF(VLOOKUP(Table7[[#This Row],[Date]],Database!$A:$C,MATCH($C$1,Database!$A$1:$C$1,),)=0,#N/A,VLOOKUP(Table7[[#This Row],[Date]],Database!$A:$C,MATCH($C$1,Database!$A$1:$C$1,),))</f>
        <v/>
      </c>
      <c r="D14585">
        <f>IFERROR(Table7[[#This Row],[United States 10y]]-Table7[[#This Row],[United States 3y]],#N/A)</f>
        <v/>
      </c>
    </row>
    <row r="14586">
      <c r="A14586" s="6">
        <f>Database!$A16671</f>
        <v/>
      </c>
      <c r="B14586">
        <f>IF(VLOOKUP(Table7[[#This Row],[Date]],Database!$A:$C,MATCH($B$1,Database!$A$1:$C$1,),)=0,#N/A,VLOOKUP(Table7[[#This Row],[Date]],Database!$A:$C,MATCH($B$1,Database!$A$1:$C$1,),))</f>
        <v/>
      </c>
      <c r="C14586">
        <f>IF(VLOOKUP(Table7[[#This Row],[Date]],Database!$A:$C,MATCH($C$1,Database!$A$1:$C$1,),)=0,#N/A,VLOOKUP(Table7[[#This Row],[Date]],Database!$A:$C,MATCH($C$1,Database!$A$1:$C$1,),))</f>
        <v/>
      </c>
      <c r="D14586">
        <f>IFERROR(Table7[[#This Row],[United States 10y]]-Table7[[#This Row],[United States 3y]],#N/A)</f>
        <v/>
      </c>
    </row>
    <row r="14587">
      <c r="A14587" s="6">
        <f>Database!$A16672</f>
        <v/>
      </c>
      <c r="B14587">
        <f>IF(VLOOKUP(Table7[[#This Row],[Date]],Database!$A:$C,MATCH($B$1,Database!$A$1:$C$1,),)=0,#N/A,VLOOKUP(Table7[[#This Row],[Date]],Database!$A:$C,MATCH($B$1,Database!$A$1:$C$1,),))</f>
        <v/>
      </c>
      <c r="C14587">
        <f>IF(VLOOKUP(Table7[[#This Row],[Date]],Database!$A:$C,MATCH($C$1,Database!$A$1:$C$1,),)=0,#N/A,VLOOKUP(Table7[[#This Row],[Date]],Database!$A:$C,MATCH($C$1,Database!$A$1:$C$1,),))</f>
        <v/>
      </c>
      <c r="D14587">
        <f>IFERROR(Table7[[#This Row],[United States 10y]]-Table7[[#This Row],[United States 3y]],#N/A)</f>
        <v/>
      </c>
    </row>
    <row r="14588">
      <c r="A14588" s="6">
        <f>Database!$A16673</f>
        <v/>
      </c>
      <c r="B14588">
        <f>IF(VLOOKUP(Table7[[#This Row],[Date]],Database!$A:$C,MATCH($B$1,Database!$A$1:$C$1,),)=0,#N/A,VLOOKUP(Table7[[#This Row],[Date]],Database!$A:$C,MATCH($B$1,Database!$A$1:$C$1,),))</f>
        <v/>
      </c>
      <c r="C14588">
        <f>IF(VLOOKUP(Table7[[#This Row],[Date]],Database!$A:$C,MATCH($C$1,Database!$A$1:$C$1,),)=0,#N/A,VLOOKUP(Table7[[#This Row],[Date]],Database!$A:$C,MATCH($C$1,Database!$A$1:$C$1,),))</f>
        <v/>
      </c>
      <c r="D14588">
        <f>IFERROR(Table7[[#This Row],[United States 10y]]-Table7[[#This Row],[United States 3y]],#N/A)</f>
        <v/>
      </c>
    </row>
    <row r="14589">
      <c r="A14589" s="6">
        <f>Database!$A16674</f>
        <v/>
      </c>
      <c r="B14589">
        <f>IF(VLOOKUP(Table7[[#This Row],[Date]],Database!$A:$C,MATCH($B$1,Database!$A$1:$C$1,),)=0,#N/A,VLOOKUP(Table7[[#This Row],[Date]],Database!$A:$C,MATCH($B$1,Database!$A$1:$C$1,),))</f>
        <v/>
      </c>
      <c r="C14589">
        <f>IF(VLOOKUP(Table7[[#This Row],[Date]],Database!$A:$C,MATCH($C$1,Database!$A$1:$C$1,),)=0,#N/A,VLOOKUP(Table7[[#This Row],[Date]],Database!$A:$C,MATCH($C$1,Database!$A$1:$C$1,),))</f>
        <v/>
      </c>
      <c r="D14589">
        <f>IFERROR(Table7[[#This Row],[United States 10y]]-Table7[[#This Row],[United States 3y]],#N/A)</f>
        <v/>
      </c>
    </row>
    <row r="14590">
      <c r="A14590" s="6">
        <f>Database!$A16675</f>
        <v/>
      </c>
      <c r="B14590">
        <f>IF(VLOOKUP(Table7[[#This Row],[Date]],Database!$A:$C,MATCH($B$1,Database!$A$1:$C$1,),)=0,#N/A,VLOOKUP(Table7[[#This Row],[Date]],Database!$A:$C,MATCH($B$1,Database!$A$1:$C$1,),))</f>
        <v/>
      </c>
      <c r="C14590">
        <f>IF(VLOOKUP(Table7[[#This Row],[Date]],Database!$A:$C,MATCH($C$1,Database!$A$1:$C$1,),)=0,#N/A,VLOOKUP(Table7[[#This Row],[Date]],Database!$A:$C,MATCH($C$1,Database!$A$1:$C$1,),))</f>
        <v/>
      </c>
      <c r="D14590">
        <f>IFERROR(Table7[[#This Row],[United States 10y]]-Table7[[#This Row],[United States 3y]],#N/A)</f>
        <v/>
      </c>
    </row>
    <row r="14591">
      <c r="A14591" s="6">
        <f>Database!$A16676</f>
        <v/>
      </c>
      <c r="B14591">
        <f>IF(VLOOKUP(Table7[[#This Row],[Date]],Database!$A:$C,MATCH($B$1,Database!$A$1:$C$1,),)=0,#N/A,VLOOKUP(Table7[[#This Row],[Date]],Database!$A:$C,MATCH($B$1,Database!$A$1:$C$1,),))</f>
        <v/>
      </c>
      <c r="C14591">
        <f>IF(VLOOKUP(Table7[[#This Row],[Date]],Database!$A:$C,MATCH($C$1,Database!$A$1:$C$1,),)=0,#N/A,VLOOKUP(Table7[[#This Row],[Date]],Database!$A:$C,MATCH($C$1,Database!$A$1:$C$1,),))</f>
        <v/>
      </c>
      <c r="D14591">
        <f>IFERROR(Table7[[#This Row],[United States 10y]]-Table7[[#This Row],[United States 3y]],#N/A)</f>
        <v/>
      </c>
    </row>
    <row r="14592">
      <c r="A14592" s="6">
        <f>Database!$A16677</f>
        <v/>
      </c>
      <c r="B14592">
        <f>IF(VLOOKUP(Table7[[#This Row],[Date]],Database!$A:$C,MATCH($B$1,Database!$A$1:$C$1,),)=0,#N/A,VLOOKUP(Table7[[#This Row],[Date]],Database!$A:$C,MATCH($B$1,Database!$A$1:$C$1,),))</f>
        <v/>
      </c>
      <c r="C14592">
        <f>IF(VLOOKUP(Table7[[#This Row],[Date]],Database!$A:$C,MATCH($C$1,Database!$A$1:$C$1,),)=0,#N/A,VLOOKUP(Table7[[#This Row],[Date]],Database!$A:$C,MATCH($C$1,Database!$A$1:$C$1,),))</f>
        <v/>
      </c>
      <c r="D14592">
        <f>IFERROR(Table7[[#This Row],[United States 10y]]-Table7[[#This Row],[United States 3y]],#N/A)</f>
        <v/>
      </c>
    </row>
    <row r="14593">
      <c r="A14593" s="6">
        <f>Database!$A16678</f>
        <v/>
      </c>
      <c r="B14593">
        <f>IF(VLOOKUP(Table7[[#This Row],[Date]],Database!$A:$C,MATCH($B$1,Database!$A$1:$C$1,),)=0,#N/A,VLOOKUP(Table7[[#This Row],[Date]],Database!$A:$C,MATCH($B$1,Database!$A$1:$C$1,),))</f>
        <v/>
      </c>
      <c r="C14593">
        <f>IF(VLOOKUP(Table7[[#This Row],[Date]],Database!$A:$C,MATCH($C$1,Database!$A$1:$C$1,),)=0,#N/A,VLOOKUP(Table7[[#This Row],[Date]],Database!$A:$C,MATCH($C$1,Database!$A$1:$C$1,),))</f>
        <v/>
      </c>
      <c r="D14593">
        <f>IFERROR(Table7[[#This Row],[United States 10y]]-Table7[[#This Row],[United States 3y]],#N/A)</f>
        <v/>
      </c>
    </row>
    <row r="14594">
      <c r="A14594" s="6">
        <f>Database!$A16679</f>
        <v/>
      </c>
      <c r="B14594">
        <f>IF(VLOOKUP(Table7[[#This Row],[Date]],Database!$A:$C,MATCH($B$1,Database!$A$1:$C$1,),)=0,#N/A,VLOOKUP(Table7[[#This Row],[Date]],Database!$A:$C,MATCH($B$1,Database!$A$1:$C$1,),))</f>
        <v/>
      </c>
      <c r="C14594">
        <f>IF(VLOOKUP(Table7[[#This Row],[Date]],Database!$A:$C,MATCH($C$1,Database!$A$1:$C$1,),)=0,#N/A,VLOOKUP(Table7[[#This Row],[Date]],Database!$A:$C,MATCH($C$1,Database!$A$1:$C$1,),))</f>
        <v/>
      </c>
      <c r="D14594">
        <f>IFERROR(Table7[[#This Row],[United States 10y]]-Table7[[#This Row],[United States 3y]],#N/A)</f>
        <v/>
      </c>
    </row>
    <row r="14595">
      <c r="A14595" s="6">
        <f>Database!$A16680</f>
        <v/>
      </c>
      <c r="B14595">
        <f>IF(VLOOKUP(Table7[[#This Row],[Date]],Database!$A:$C,MATCH($B$1,Database!$A$1:$C$1,),)=0,#N/A,VLOOKUP(Table7[[#This Row],[Date]],Database!$A:$C,MATCH($B$1,Database!$A$1:$C$1,),))</f>
        <v/>
      </c>
      <c r="C14595">
        <f>IF(VLOOKUP(Table7[[#This Row],[Date]],Database!$A:$C,MATCH($C$1,Database!$A$1:$C$1,),)=0,#N/A,VLOOKUP(Table7[[#This Row],[Date]],Database!$A:$C,MATCH($C$1,Database!$A$1:$C$1,),))</f>
        <v/>
      </c>
      <c r="D14595">
        <f>IFERROR(Table7[[#This Row],[United States 10y]]-Table7[[#This Row],[United States 3y]],#N/A)</f>
        <v/>
      </c>
    </row>
    <row r="14596">
      <c r="A14596" s="6">
        <f>Database!$A16681</f>
        <v/>
      </c>
      <c r="B14596">
        <f>IF(VLOOKUP(Table7[[#This Row],[Date]],Database!$A:$C,MATCH($B$1,Database!$A$1:$C$1,),)=0,#N/A,VLOOKUP(Table7[[#This Row],[Date]],Database!$A:$C,MATCH($B$1,Database!$A$1:$C$1,),))</f>
        <v/>
      </c>
      <c r="C14596">
        <f>IF(VLOOKUP(Table7[[#This Row],[Date]],Database!$A:$C,MATCH($C$1,Database!$A$1:$C$1,),)=0,#N/A,VLOOKUP(Table7[[#This Row],[Date]],Database!$A:$C,MATCH($C$1,Database!$A$1:$C$1,),))</f>
        <v/>
      </c>
      <c r="D14596">
        <f>IFERROR(Table7[[#This Row],[United States 10y]]-Table7[[#This Row],[United States 3y]],#N/A)</f>
        <v/>
      </c>
    </row>
    <row r="14597">
      <c r="A14597" s="6">
        <f>Database!$A16682</f>
        <v/>
      </c>
      <c r="B14597">
        <f>IF(VLOOKUP(Table7[[#This Row],[Date]],Database!$A:$C,MATCH($B$1,Database!$A$1:$C$1,),)=0,#N/A,VLOOKUP(Table7[[#This Row],[Date]],Database!$A:$C,MATCH($B$1,Database!$A$1:$C$1,),))</f>
        <v/>
      </c>
      <c r="C14597">
        <f>IF(VLOOKUP(Table7[[#This Row],[Date]],Database!$A:$C,MATCH($C$1,Database!$A$1:$C$1,),)=0,#N/A,VLOOKUP(Table7[[#This Row],[Date]],Database!$A:$C,MATCH($C$1,Database!$A$1:$C$1,),))</f>
        <v/>
      </c>
      <c r="D14597">
        <f>IFERROR(Table7[[#This Row],[United States 10y]]-Table7[[#This Row],[United States 3y]],#N/A)</f>
        <v/>
      </c>
    </row>
    <row r="14598">
      <c r="A14598" s="6">
        <f>Database!$A16683</f>
        <v/>
      </c>
      <c r="B14598">
        <f>IF(VLOOKUP(Table7[[#This Row],[Date]],Database!$A:$C,MATCH($B$1,Database!$A$1:$C$1,),)=0,#N/A,VLOOKUP(Table7[[#This Row],[Date]],Database!$A:$C,MATCH($B$1,Database!$A$1:$C$1,),))</f>
        <v/>
      </c>
      <c r="C14598">
        <f>IF(VLOOKUP(Table7[[#This Row],[Date]],Database!$A:$C,MATCH($C$1,Database!$A$1:$C$1,),)=0,#N/A,VLOOKUP(Table7[[#This Row],[Date]],Database!$A:$C,MATCH($C$1,Database!$A$1:$C$1,),))</f>
        <v/>
      </c>
      <c r="D14598">
        <f>IFERROR(Table7[[#This Row],[United States 10y]]-Table7[[#This Row],[United States 3y]],#N/A)</f>
        <v/>
      </c>
    </row>
    <row r="14599">
      <c r="A14599" s="6">
        <f>Database!$A16684</f>
        <v/>
      </c>
      <c r="B14599">
        <f>IF(VLOOKUP(Table7[[#This Row],[Date]],Database!$A:$C,MATCH($B$1,Database!$A$1:$C$1,),)=0,#N/A,VLOOKUP(Table7[[#This Row],[Date]],Database!$A:$C,MATCH($B$1,Database!$A$1:$C$1,),))</f>
        <v/>
      </c>
      <c r="C14599">
        <f>IF(VLOOKUP(Table7[[#This Row],[Date]],Database!$A:$C,MATCH($C$1,Database!$A$1:$C$1,),)=0,#N/A,VLOOKUP(Table7[[#This Row],[Date]],Database!$A:$C,MATCH($C$1,Database!$A$1:$C$1,),))</f>
        <v/>
      </c>
      <c r="D14599">
        <f>IFERROR(Table7[[#This Row],[United States 10y]]-Table7[[#This Row],[United States 3y]],#N/A)</f>
        <v/>
      </c>
    </row>
    <row r="14600">
      <c r="A14600" s="6">
        <f>Database!$A16685</f>
        <v/>
      </c>
      <c r="B14600">
        <f>IF(VLOOKUP(Table7[[#This Row],[Date]],Database!$A:$C,MATCH($B$1,Database!$A$1:$C$1,),)=0,#N/A,VLOOKUP(Table7[[#This Row],[Date]],Database!$A:$C,MATCH($B$1,Database!$A$1:$C$1,),))</f>
        <v/>
      </c>
      <c r="C14600">
        <f>IF(VLOOKUP(Table7[[#This Row],[Date]],Database!$A:$C,MATCH($C$1,Database!$A$1:$C$1,),)=0,#N/A,VLOOKUP(Table7[[#This Row],[Date]],Database!$A:$C,MATCH($C$1,Database!$A$1:$C$1,),))</f>
        <v/>
      </c>
      <c r="D14600">
        <f>IFERROR(Table7[[#This Row],[United States 10y]]-Table7[[#This Row],[United States 3y]],#N/A)</f>
        <v/>
      </c>
    </row>
    <row r="14601">
      <c r="A14601" s="6">
        <f>Database!$A16686</f>
        <v/>
      </c>
      <c r="B14601">
        <f>IF(VLOOKUP(Table7[[#This Row],[Date]],Database!$A:$C,MATCH($B$1,Database!$A$1:$C$1,),)=0,#N/A,VLOOKUP(Table7[[#This Row],[Date]],Database!$A:$C,MATCH($B$1,Database!$A$1:$C$1,),))</f>
        <v/>
      </c>
      <c r="C14601">
        <f>IF(VLOOKUP(Table7[[#This Row],[Date]],Database!$A:$C,MATCH($C$1,Database!$A$1:$C$1,),)=0,#N/A,VLOOKUP(Table7[[#This Row],[Date]],Database!$A:$C,MATCH($C$1,Database!$A$1:$C$1,),))</f>
        <v/>
      </c>
      <c r="D14601">
        <f>IFERROR(Table7[[#This Row],[United States 10y]]-Table7[[#This Row],[United States 3y]],#N/A)</f>
        <v/>
      </c>
    </row>
    <row r="14602">
      <c r="A14602" s="6">
        <f>Database!$A16687</f>
        <v/>
      </c>
      <c r="B14602">
        <f>IF(VLOOKUP(Table7[[#This Row],[Date]],Database!$A:$C,MATCH($B$1,Database!$A$1:$C$1,),)=0,#N/A,VLOOKUP(Table7[[#This Row],[Date]],Database!$A:$C,MATCH($B$1,Database!$A$1:$C$1,),))</f>
        <v/>
      </c>
      <c r="C14602">
        <f>IF(VLOOKUP(Table7[[#This Row],[Date]],Database!$A:$C,MATCH($C$1,Database!$A$1:$C$1,),)=0,#N/A,VLOOKUP(Table7[[#This Row],[Date]],Database!$A:$C,MATCH($C$1,Database!$A$1:$C$1,),))</f>
        <v/>
      </c>
      <c r="D14602">
        <f>IFERROR(Table7[[#This Row],[United States 10y]]-Table7[[#This Row],[United States 3y]],#N/A)</f>
        <v/>
      </c>
    </row>
    <row r="14603">
      <c r="A14603" s="6">
        <f>Database!$A16688</f>
        <v/>
      </c>
      <c r="B14603">
        <f>IF(VLOOKUP(Table7[[#This Row],[Date]],Database!$A:$C,MATCH($B$1,Database!$A$1:$C$1,),)=0,#N/A,VLOOKUP(Table7[[#This Row],[Date]],Database!$A:$C,MATCH($B$1,Database!$A$1:$C$1,),))</f>
        <v/>
      </c>
      <c r="C14603">
        <f>IF(VLOOKUP(Table7[[#This Row],[Date]],Database!$A:$C,MATCH($C$1,Database!$A$1:$C$1,),)=0,#N/A,VLOOKUP(Table7[[#This Row],[Date]],Database!$A:$C,MATCH($C$1,Database!$A$1:$C$1,),))</f>
        <v/>
      </c>
      <c r="D14603">
        <f>IFERROR(Table7[[#This Row],[United States 10y]]-Table7[[#This Row],[United States 3y]],#N/A)</f>
        <v/>
      </c>
    </row>
    <row r="14604">
      <c r="A14604" s="6">
        <f>Database!$A16689</f>
        <v/>
      </c>
      <c r="B14604">
        <f>IF(VLOOKUP(Table7[[#This Row],[Date]],Database!$A:$C,MATCH($B$1,Database!$A$1:$C$1,),)=0,#N/A,VLOOKUP(Table7[[#This Row],[Date]],Database!$A:$C,MATCH($B$1,Database!$A$1:$C$1,),))</f>
        <v/>
      </c>
      <c r="C14604">
        <f>IF(VLOOKUP(Table7[[#This Row],[Date]],Database!$A:$C,MATCH($C$1,Database!$A$1:$C$1,),)=0,#N/A,VLOOKUP(Table7[[#This Row],[Date]],Database!$A:$C,MATCH($C$1,Database!$A$1:$C$1,),))</f>
        <v/>
      </c>
      <c r="D14604">
        <f>IFERROR(Table7[[#This Row],[United States 10y]]-Table7[[#This Row],[United States 3y]],#N/A)</f>
        <v/>
      </c>
    </row>
    <row r="14605">
      <c r="A14605" s="6">
        <f>Database!$A16690</f>
        <v/>
      </c>
      <c r="B14605">
        <f>IF(VLOOKUP(Table7[[#This Row],[Date]],Database!$A:$C,MATCH($B$1,Database!$A$1:$C$1,),)=0,#N/A,VLOOKUP(Table7[[#This Row],[Date]],Database!$A:$C,MATCH($B$1,Database!$A$1:$C$1,),))</f>
        <v/>
      </c>
      <c r="C14605">
        <f>IF(VLOOKUP(Table7[[#This Row],[Date]],Database!$A:$C,MATCH($C$1,Database!$A$1:$C$1,),)=0,#N/A,VLOOKUP(Table7[[#This Row],[Date]],Database!$A:$C,MATCH($C$1,Database!$A$1:$C$1,),))</f>
        <v/>
      </c>
      <c r="D14605">
        <f>IFERROR(Table7[[#This Row],[United States 10y]]-Table7[[#This Row],[United States 3y]],#N/A)</f>
        <v/>
      </c>
    </row>
    <row r="14606">
      <c r="A14606" s="6">
        <f>Database!$A16691</f>
        <v/>
      </c>
      <c r="B14606">
        <f>IF(VLOOKUP(Table7[[#This Row],[Date]],Database!$A:$C,MATCH($B$1,Database!$A$1:$C$1,),)=0,#N/A,VLOOKUP(Table7[[#This Row],[Date]],Database!$A:$C,MATCH($B$1,Database!$A$1:$C$1,),))</f>
        <v/>
      </c>
      <c r="C14606">
        <f>IF(VLOOKUP(Table7[[#This Row],[Date]],Database!$A:$C,MATCH($C$1,Database!$A$1:$C$1,),)=0,#N/A,VLOOKUP(Table7[[#This Row],[Date]],Database!$A:$C,MATCH($C$1,Database!$A$1:$C$1,),))</f>
        <v/>
      </c>
      <c r="D14606">
        <f>IFERROR(Table7[[#This Row],[United States 10y]]-Table7[[#This Row],[United States 3y]],#N/A)</f>
        <v/>
      </c>
    </row>
    <row r="14607">
      <c r="A14607" s="6">
        <f>Database!$A16692</f>
        <v/>
      </c>
      <c r="B14607">
        <f>IF(VLOOKUP(Table7[[#This Row],[Date]],Database!$A:$C,MATCH($B$1,Database!$A$1:$C$1,),)=0,#N/A,VLOOKUP(Table7[[#This Row],[Date]],Database!$A:$C,MATCH($B$1,Database!$A$1:$C$1,),))</f>
        <v/>
      </c>
      <c r="C14607">
        <f>IF(VLOOKUP(Table7[[#This Row],[Date]],Database!$A:$C,MATCH($C$1,Database!$A$1:$C$1,),)=0,#N/A,VLOOKUP(Table7[[#This Row],[Date]],Database!$A:$C,MATCH($C$1,Database!$A$1:$C$1,),))</f>
        <v/>
      </c>
      <c r="D14607">
        <f>IFERROR(Table7[[#This Row],[United States 10y]]-Table7[[#This Row],[United States 3y]],#N/A)</f>
        <v/>
      </c>
    </row>
    <row r="14608">
      <c r="A14608" s="6">
        <f>Database!$A16693</f>
        <v/>
      </c>
      <c r="B14608">
        <f>IF(VLOOKUP(Table7[[#This Row],[Date]],Database!$A:$C,MATCH($B$1,Database!$A$1:$C$1,),)=0,#N/A,VLOOKUP(Table7[[#This Row],[Date]],Database!$A:$C,MATCH($B$1,Database!$A$1:$C$1,),))</f>
        <v/>
      </c>
      <c r="C14608">
        <f>IF(VLOOKUP(Table7[[#This Row],[Date]],Database!$A:$C,MATCH($C$1,Database!$A$1:$C$1,),)=0,#N/A,VLOOKUP(Table7[[#This Row],[Date]],Database!$A:$C,MATCH($C$1,Database!$A$1:$C$1,),))</f>
        <v/>
      </c>
      <c r="D14608">
        <f>IFERROR(Table7[[#This Row],[United States 10y]]-Table7[[#This Row],[United States 3y]],#N/A)</f>
        <v/>
      </c>
    </row>
    <row r="14609">
      <c r="A14609" s="6">
        <f>Database!$A16694</f>
        <v/>
      </c>
      <c r="B14609">
        <f>IF(VLOOKUP(Table7[[#This Row],[Date]],Database!$A:$C,MATCH($B$1,Database!$A$1:$C$1,),)=0,#N/A,VLOOKUP(Table7[[#This Row],[Date]],Database!$A:$C,MATCH($B$1,Database!$A$1:$C$1,),))</f>
        <v/>
      </c>
      <c r="C14609">
        <f>IF(VLOOKUP(Table7[[#This Row],[Date]],Database!$A:$C,MATCH($C$1,Database!$A$1:$C$1,),)=0,#N/A,VLOOKUP(Table7[[#This Row],[Date]],Database!$A:$C,MATCH($C$1,Database!$A$1:$C$1,),))</f>
        <v/>
      </c>
      <c r="D14609">
        <f>IFERROR(Table7[[#This Row],[United States 10y]]-Table7[[#This Row],[United States 3y]],#N/A)</f>
        <v/>
      </c>
    </row>
    <row r="14610">
      <c r="A14610" s="6">
        <f>Database!$A16695</f>
        <v/>
      </c>
      <c r="B14610">
        <f>IF(VLOOKUP(Table7[[#This Row],[Date]],Database!$A:$C,MATCH($B$1,Database!$A$1:$C$1,),)=0,#N/A,VLOOKUP(Table7[[#This Row],[Date]],Database!$A:$C,MATCH($B$1,Database!$A$1:$C$1,),))</f>
        <v/>
      </c>
      <c r="C14610">
        <f>IF(VLOOKUP(Table7[[#This Row],[Date]],Database!$A:$C,MATCH($C$1,Database!$A$1:$C$1,),)=0,#N/A,VLOOKUP(Table7[[#This Row],[Date]],Database!$A:$C,MATCH($C$1,Database!$A$1:$C$1,),))</f>
        <v/>
      </c>
      <c r="D14610">
        <f>IFERROR(Table7[[#This Row],[United States 10y]]-Table7[[#This Row],[United States 3y]],#N/A)</f>
        <v/>
      </c>
    </row>
    <row r="14611">
      <c r="A14611" s="6">
        <f>Database!$A16696</f>
        <v/>
      </c>
      <c r="B14611">
        <f>IF(VLOOKUP(Table7[[#This Row],[Date]],Database!$A:$C,MATCH($B$1,Database!$A$1:$C$1,),)=0,#N/A,VLOOKUP(Table7[[#This Row],[Date]],Database!$A:$C,MATCH($B$1,Database!$A$1:$C$1,),))</f>
        <v/>
      </c>
      <c r="C14611">
        <f>IF(VLOOKUP(Table7[[#This Row],[Date]],Database!$A:$C,MATCH($C$1,Database!$A$1:$C$1,),)=0,#N/A,VLOOKUP(Table7[[#This Row],[Date]],Database!$A:$C,MATCH($C$1,Database!$A$1:$C$1,),))</f>
        <v/>
      </c>
      <c r="D14611">
        <f>IFERROR(Table7[[#This Row],[United States 10y]]-Table7[[#This Row],[United States 3y]],#N/A)</f>
        <v/>
      </c>
    </row>
    <row r="14612">
      <c r="A14612" s="6">
        <f>Database!$A16697</f>
        <v/>
      </c>
      <c r="B14612">
        <f>IF(VLOOKUP(Table7[[#This Row],[Date]],Database!$A:$C,MATCH($B$1,Database!$A$1:$C$1,),)=0,#N/A,VLOOKUP(Table7[[#This Row],[Date]],Database!$A:$C,MATCH($B$1,Database!$A$1:$C$1,),))</f>
        <v/>
      </c>
      <c r="C14612">
        <f>IF(VLOOKUP(Table7[[#This Row],[Date]],Database!$A:$C,MATCH($C$1,Database!$A$1:$C$1,),)=0,#N/A,VLOOKUP(Table7[[#This Row],[Date]],Database!$A:$C,MATCH($C$1,Database!$A$1:$C$1,),))</f>
        <v/>
      </c>
      <c r="D14612">
        <f>IFERROR(Table7[[#This Row],[United States 10y]]-Table7[[#This Row],[United States 3y]],#N/A)</f>
        <v/>
      </c>
    </row>
    <row r="14613">
      <c r="A14613" s="6">
        <f>Database!$A16698</f>
        <v/>
      </c>
      <c r="B14613">
        <f>IF(VLOOKUP(Table7[[#This Row],[Date]],Database!$A:$C,MATCH($B$1,Database!$A$1:$C$1,),)=0,#N/A,VLOOKUP(Table7[[#This Row],[Date]],Database!$A:$C,MATCH($B$1,Database!$A$1:$C$1,),))</f>
        <v/>
      </c>
      <c r="C14613">
        <f>IF(VLOOKUP(Table7[[#This Row],[Date]],Database!$A:$C,MATCH($C$1,Database!$A$1:$C$1,),)=0,#N/A,VLOOKUP(Table7[[#This Row],[Date]],Database!$A:$C,MATCH($C$1,Database!$A$1:$C$1,),))</f>
        <v/>
      </c>
      <c r="D14613">
        <f>IFERROR(Table7[[#This Row],[United States 10y]]-Table7[[#This Row],[United States 3y]],#N/A)</f>
        <v/>
      </c>
    </row>
    <row r="14614">
      <c r="A14614" s="6">
        <f>Database!$A16699</f>
        <v/>
      </c>
      <c r="B14614">
        <f>IF(VLOOKUP(Table7[[#This Row],[Date]],Database!$A:$C,MATCH($B$1,Database!$A$1:$C$1,),)=0,#N/A,VLOOKUP(Table7[[#This Row],[Date]],Database!$A:$C,MATCH($B$1,Database!$A$1:$C$1,),))</f>
        <v/>
      </c>
      <c r="C14614">
        <f>IF(VLOOKUP(Table7[[#This Row],[Date]],Database!$A:$C,MATCH($C$1,Database!$A$1:$C$1,),)=0,#N/A,VLOOKUP(Table7[[#This Row],[Date]],Database!$A:$C,MATCH($C$1,Database!$A$1:$C$1,),))</f>
        <v/>
      </c>
      <c r="D14614">
        <f>IFERROR(Table7[[#This Row],[United States 10y]]-Table7[[#This Row],[United States 3y]],#N/A)</f>
        <v/>
      </c>
    </row>
    <row r="14615">
      <c r="A14615" s="6">
        <f>Database!$A16700</f>
        <v/>
      </c>
      <c r="B14615">
        <f>IF(VLOOKUP(Table7[[#This Row],[Date]],Database!$A:$C,MATCH($B$1,Database!$A$1:$C$1,),)=0,#N/A,VLOOKUP(Table7[[#This Row],[Date]],Database!$A:$C,MATCH($B$1,Database!$A$1:$C$1,),))</f>
        <v/>
      </c>
      <c r="C14615">
        <f>IF(VLOOKUP(Table7[[#This Row],[Date]],Database!$A:$C,MATCH($C$1,Database!$A$1:$C$1,),)=0,#N/A,VLOOKUP(Table7[[#This Row],[Date]],Database!$A:$C,MATCH($C$1,Database!$A$1:$C$1,),))</f>
        <v/>
      </c>
      <c r="D14615">
        <f>IFERROR(Table7[[#This Row],[United States 10y]]-Table7[[#This Row],[United States 3y]],#N/A)</f>
        <v/>
      </c>
    </row>
    <row r="14616">
      <c r="A14616" s="6">
        <f>Database!$A16701</f>
        <v/>
      </c>
      <c r="B14616">
        <f>IF(VLOOKUP(Table7[[#This Row],[Date]],Database!$A:$C,MATCH($B$1,Database!$A$1:$C$1,),)=0,#N/A,VLOOKUP(Table7[[#This Row],[Date]],Database!$A:$C,MATCH($B$1,Database!$A$1:$C$1,),))</f>
        <v/>
      </c>
      <c r="C14616">
        <f>IF(VLOOKUP(Table7[[#This Row],[Date]],Database!$A:$C,MATCH($C$1,Database!$A$1:$C$1,),)=0,#N/A,VLOOKUP(Table7[[#This Row],[Date]],Database!$A:$C,MATCH($C$1,Database!$A$1:$C$1,),))</f>
        <v/>
      </c>
      <c r="D14616">
        <f>IFERROR(Table7[[#This Row],[United States 10y]]-Table7[[#This Row],[United States 3y]],#N/A)</f>
        <v/>
      </c>
    </row>
    <row r="14617">
      <c r="A14617" s="6">
        <f>Database!$A16702</f>
        <v/>
      </c>
      <c r="B14617">
        <f>IF(VLOOKUP(Table7[[#This Row],[Date]],Database!$A:$C,MATCH($B$1,Database!$A$1:$C$1,),)=0,#N/A,VLOOKUP(Table7[[#This Row],[Date]],Database!$A:$C,MATCH($B$1,Database!$A$1:$C$1,),))</f>
        <v/>
      </c>
      <c r="C14617">
        <f>IF(VLOOKUP(Table7[[#This Row],[Date]],Database!$A:$C,MATCH($C$1,Database!$A$1:$C$1,),)=0,#N/A,VLOOKUP(Table7[[#This Row],[Date]],Database!$A:$C,MATCH($C$1,Database!$A$1:$C$1,),))</f>
        <v/>
      </c>
      <c r="D14617">
        <f>IFERROR(Table7[[#This Row],[United States 10y]]-Table7[[#This Row],[United States 3y]],#N/A)</f>
        <v/>
      </c>
    </row>
    <row r="14618">
      <c r="A14618" s="6">
        <f>Database!$A16703</f>
        <v/>
      </c>
      <c r="B14618">
        <f>IF(VLOOKUP(Table7[[#This Row],[Date]],Database!$A:$C,MATCH($B$1,Database!$A$1:$C$1,),)=0,#N/A,VLOOKUP(Table7[[#This Row],[Date]],Database!$A:$C,MATCH($B$1,Database!$A$1:$C$1,),))</f>
        <v/>
      </c>
      <c r="C14618">
        <f>IF(VLOOKUP(Table7[[#This Row],[Date]],Database!$A:$C,MATCH($C$1,Database!$A$1:$C$1,),)=0,#N/A,VLOOKUP(Table7[[#This Row],[Date]],Database!$A:$C,MATCH($C$1,Database!$A$1:$C$1,),))</f>
        <v/>
      </c>
      <c r="D14618">
        <f>IFERROR(Table7[[#This Row],[United States 10y]]-Table7[[#This Row],[United States 3y]],#N/A)</f>
        <v/>
      </c>
    </row>
    <row r="14619">
      <c r="A14619" s="6">
        <f>Database!$A16704</f>
        <v/>
      </c>
      <c r="B14619">
        <f>IF(VLOOKUP(Table7[[#This Row],[Date]],Database!$A:$C,MATCH($B$1,Database!$A$1:$C$1,),)=0,#N/A,VLOOKUP(Table7[[#This Row],[Date]],Database!$A:$C,MATCH($B$1,Database!$A$1:$C$1,),))</f>
        <v/>
      </c>
      <c r="C14619">
        <f>IF(VLOOKUP(Table7[[#This Row],[Date]],Database!$A:$C,MATCH($C$1,Database!$A$1:$C$1,),)=0,#N/A,VLOOKUP(Table7[[#This Row],[Date]],Database!$A:$C,MATCH($C$1,Database!$A$1:$C$1,),))</f>
        <v/>
      </c>
      <c r="D14619">
        <f>IFERROR(Table7[[#This Row],[United States 10y]]-Table7[[#This Row],[United States 3y]],#N/A)</f>
        <v/>
      </c>
    </row>
    <row r="14620">
      <c r="A14620" s="6">
        <f>Database!$A16705</f>
        <v/>
      </c>
      <c r="B14620">
        <f>IF(VLOOKUP(Table7[[#This Row],[Date]],Database!$A:$C,MATCH($B$1,Database!$A$1:$C$1,),)=0,#N/A,VLOOKUP(Table7[[#This Row],[Date]],Database!$A:$C,MATCH($B$1,Database!$A$1:$C$1,),))</f>
        <v/>
      </c>
      <c r="C14620">
        <f>IF(VLOOKUP(Table7[[#This Row],[Date]],Database!$A:$C,MATCH($C$1,Database!$A$1:$C$1,),)=0,#N/A,VLOOKUP(Table7[[#This Row],[Date]],Database!$A:$C,MATCH($C$1,Database!$A$1:$C$1,),))</f>
        <v/>
      </c>
      <c r="D14620">
        <f>IFERROR(Table7[[#This Row],[United States 10y]]-Table7[[#This Row],[United States 3y]],#N/A)</f>
        <v/>
      </c>
    </row>
    <row r="14621">
      <c r="A14621" s="6">
        <f>Database!$A16706</f>
        <v/>
      </c>
      <c r="B14621">
        <f>IF(VLOOKUP(Table7[[#This Row],[Date]],Database!$A:$C,MATCH($B$1,Database!$A$1:$C$1,),)=0,#N/A,VLOOKUP(Table7[[#This Row],[Date]],Database!$A:$C,MATCH($B$1,Database!$A$1:$C$1,),))</f>
        <v/>
      </c>
      <c r="C14621">
        <f>IF(VLOOKUP(Table7[[#This Row],[Date]],Database!$A:$C,MATCH($C$1,Database!$A$1:$C$1,),)=0,#N/A,VLOOKUP(Table7[[#This Row],[Date]],Database!$A:$C,MATCH($C$1,Database!$A$1:$C$1,),))</f>
        <v/>
      </c>
      <c r="D14621">
        <f>IFERROR(Table7[[#This Row],[United States 10y]]-Table7[[#This Row],[United States 3y]],#N/A)</f>
        <v/>
      </c>
    </row>
    <row r="14622">
      <c r="A14622" s="6">
        <f>Database!$A16707</f>
        <v/>
      </c>
      <c r="B14622">
        <f>IF(VLOOKUP(Table7[[#This Row],[Date]],Database!$A:$C,MATCH($B$1,Database!$A$1:$C$1,),)=0,#N/A,VLOOKUP(Table7[[#This Row],[Date]],Database!$A:$C,MATCH($B$1,Database!$A$1:$C$1,),))</f>
        <v/>
      </c>
      <c r="C14622">
        <f>IF(VLOOKUP(Table7[[#This Row],[Date]],Database!$A:$C,MATCH($C$1,Database!$A$1:$C$1,),)=0,#N/A,VLOOKUP(Table7[[#This Row],[Date]],Database!$A:$C,MATCH($C$1,Database!$A$1:$C$1,),))</f>
        <v/>
      </c>
      <c r="D14622">
        <f>IFERROR(Table7[[#This Row],[United States 10y]]-Table7[[#This Row],[United States 3y]],#N/A)</f>
        <v/>
      </c>
    </row>
    <row r="14623">
      <c r="A14623" s="6">
        <f>Database!$A16708</f>
        <v/>
      </c>
      <c r="B14623">
        <f>IF(VLOOKUP(Table7[[#This Row],[Date]],Database!$A:$C,MATCH($B$1,Database!$A$1:$C$1,),)=0,#N/A,VLOOKUP(Table7[[#This Row],[Date]],Database!$A:$C,MATCH($B$1,Database!$A$1:$C$1,),))</f>
        <v/>
      </c>
      <c r="C14623">
        <f>IF(VLOOKUP(Table7[[#This Row],[Date]],Database!$A:$C,MATCH($C$1,Database!$A$1:$C$1,),)=0,#N/A,VLOOKUP(Table7[[#This Row],[Date]],Database!$A:$C,MATCH($C$1,Database!$A$1:$C$1,),))</f>
        <v/>
      </c>
      <c r="D14623">
        <f>IFERROR(Table7[[#This Row],[United States 10y]]-Table7[[#This Row],[United States 3y]],#N/A)</f>
        <v/>
      </c>
    </row>
    <row r="14624">
      <c r="A14624" s="6">
        <f>Database!$A16709</f>
        <v/>
      </c>
      <c r="B14624">
        <f>IF(VLOOKUP(Table7[[#This Row],[Date]],Database!$A:$C,MATCH($B$1,Database!$A$1:$C$1,),)=0,#N/A,VLOOKUP(Table7[[#This Row],[Date]],Database!$A:$C,MATCH($B$1,Database!$A$1:$C$1,),))</f>
        <v/>
      </c>
      <c r="C14624">
        <f>IF(VLOOKUP(Table7[[#This Row],[Date]],Database!$A:$C,MATCH($C$1,Database!$A$1:$C$1,),)=0,#N/A,VLOOKUP(Table7[[#This Row],[Date]],Database!$A:$C,MATCH($C$1,Database!$A$1:$C$1,),))</f>
        <v/>
      </c>
      <c r="D14624">
        <f>IFERROR(Table7[[#This Row],[United States 10y]]-Table7[[#This Row],[United States 3y]],#N/A)</f>
        <v/>
      </c>
    </row>
    <row r="14625">
      <c r="A14625" s="6">
        <f>Database!$A16710</f>
        <v/>
      </c>
      <c r="B14625">
        <f>IF(VLOOKUP(Table7[[#This Row],[Date]],Database!$A:$C,MATCH($B$1,Database!$A$1:$C$1,),)=0,#N/A,VLOOKUP(Table7[[#This Row],[Date]],Database!$A:$C,MATCH($B$1,Database!$A$1:$C$1,),))</f>
        <v/>
      </c>
      <c r="C14625">
        <f>IF(VLOOKUP(Table7[[#This Row],[Date]],Database!$A:$C,MATCH($C$1,Database!$A$1:$C$1,),)=0,#N/A,VLOOKUP(Table7[[#This Row],[Date]],Database!$A:$C,MATCH($C$1,Database!$A$1:$C$1,),))</f>
        <v/>
      </c>
      <c r="D14625">
        <f>IFERROR(Table7[[#This Row],[United States 10y]]-Table7[[#This Row],[United States 3y]],#N/A)</f>
        <v/>
      </c>
    </row>
    <row r="14626">
      <c r="A14626" s="6">
        <f>Database!$A16711</f>
        <v/>
      </c>
      <c r="B14626">
        <f>IF(VLOOKUP(Table7[[#This Row],[Date]],Database!$A:$C,MATCH($B$1,Database!$A$1:$C$1,),)=0,#N/A,VLOOKUP(Table7[[#This Row],[Date]],Database!$A:$C,MATCH($B$1,Database!$A$1:$C$1,),))</f>
        <v/>
      </c>
      <c r="C14626">
        <f>IF(VLOOKUP(Table7[[#This Row],[Date]],Database!$A:$C,MATCH($C$1,Database!$A$1:$C$1,),)=0,#N/A,VLOOKUP(Table7[[#This Row],[Date]],Database!$A:$C,MATCH($C$1,Database!$A$1:$C$1,),))</f>
        <v/>
      </c>
      <c r="D14626">
        <f>IFERROR(Table7[[#This Row],[United States 10y]]-Table7[[#This Row],[United States 3y]],#N/A)</f>
        <v/>
      </c>
    </row>
    <row r="14627">
      <c r="A14627" s="6">
        <f>Database!$A16712</f>
        <v/>
      </c>
      <c r="B14627">
        <f>IF(VLOOKUP(Table7[[#This Row],[Date]],Database!$A:$C,MATCH($B$1,Database!$A$1:$C$1,),)=0,#N/A,VLOOKUP(Table7[[#This Row],[Date]],Database!$A:$C,MATCH($B$1,Database!$A$1:$C$1,),))</f>
        <v/>
      </c>
      <c r="C14627">
        <f>IF(VLOOKUP(Table7[[#This Row],[Date]],Database!$A:$C,MATCH($C$1,Database!$A$1:$C$1,),)=0,#N/A,VLOOKUP(Table7[[#This Row],[Date]],Database!$A:$C,MATCH($C$1,Database!$A$1:$C$1,),))</f>
        <v/>
      </c>
      <c r="D14627">
        <f>IFERROR(Table7[[#This Row],[United States 10y]]-Table7[[#This Row],[United States 3y]],#N/A)</f>
        <v/>
      </c>
    </row>
    <row r="14628">
      <c r="A14628" s="6">
        <f>Database!$A16713</f>
        <v/>
      </c>
      <c r="B14628">
        <f>IF(VLOOKUP(Table7[[#This Row],[Date]],Database!$A:$C,MATCH($B$1,Database!$A$1:$C$1,),)=0,#N/A,VLOOKUP(Table7[[#This Row],[Date]],Database!$A:$C,MATCH($B$1,Database!$A$1:$C$1,),))</f>
        <v/>
      </c>
      <c r="C14628">
        <f>IF(VLOOKUP(Table7[[#This Row],[Date]],Database!$A:$C,MATCH($C$1,Database!$A$1:$C$1,),)=0,#N/A,VLOOKUP(Table7[[#This Row],[Date]],Database!$A:$C,MATCH($C$1,Database!$A$1:$C$1,),))</f>
        <v/>
      </c>
      <c r="D14628">
        <f>IFERROR(Table7[[#This Row],[United States 10y]]-Table7[[#This Row],[United States 3y]],#N/A)</f>
        <v/>
      </c>
    </row>
    <row r="14629">
      <c r="A14629" s="6">
        <f>Database!$A16714</f>
        <v/>
      </c>
      <c r="B14629">
        <f>IF(VLOOKUP(Table7[[#This Row],[Date]],Database!$A:$C,MATCH($B$1,Database!$A$1:$C$1,),)=0,#N/A,VLOOKUP(Table7[[#This Row],[Date]],Database!$A:$C,MATCH($B$1,Database!$A$1:$C$1,),))</f>
        <v/>
      </c>
      <c r="C14629">
        <f>IF(VLOOKUP(Table7[[#This Row],[Date]],Database!$A:$C,MATCH($C$1,Database!$A$1:$C$1,),)=0,#N/A,VLOOKUP(Table7[[#This Row],[Date]],Database!$A:$C,MATCH($C$1,Database!$A$1:$C$1,),))</f>
        <v/>
      </c>
      <c r="D14629">
        <f>IFERROR(Table7[[#This Row],[United States 10y]]-Table7[[#This Row],[United States 3y]],#N/A)</f>
        <v/>
      </c>
    </row>
    <row r="14630">
      <c r="A14630" s="6">
        <f>Database!$A16715</f>
        <v/>
      </c>
      <c r="B14630">
        <f>IF(VLOOKUP(Table7[[#This Row],[Date]],Database!$A:$C,MATCH($B$1,Database!$A$1:$C$1,),)=0,#N/A,VLOOKUP(Table7[[#This Row],[Date]],Database!$A:$C,MATCH($B$1,Database!$A$1:$C$1,),))</f>
        <v/>
      </c>
      <c r="C14630">
        <f>IF(VLOOKUP(Table7[[#This Row],[Date]],Database!$A:$C,MATCH($C$1,Database!$A$1:$C$1,),)=0,#N/A,VLOOKUP(Table7[[#This Row],[Date]],Database!$A:$C,MATCH($C$1,Database!$A$1:$C$1,),))</f>
        <v/>
      </c>
      <c r="D14630">
        <f>IFERROR(Table7[[#This Row],[United States 10y]]-Table7[[#This Row],[United States 3y]],#N/A)</f>
        <v/>
      </c>
    </row>
    <row r="14631">
      <c r="A14631" s="6">
        <f>Database!$A16716</f>
        <v/>
      </c>
      <c r="B14631">
        <f>IF(VLOOKUP(Table7[[#This Row],[Date]],Database!$A:$C,MATCH($B$1,Database!$A$1:$C$1,),)=0,#N/A,VLOOKUP(Table7[[#This Row],[Date]],Database!$A:$C,MATCH($B$1,Database!$A$1:$C$1,),))</f>
        <v/>
      </c>
      <c r="C14631">
        <f>IF(VLOOKUP(Table7[[#This Row],[Date]],Database!$A:$C,MATCH($C$1,Database!$A$1:$C$1,),)=0,#N/A,VLOOKUP(Table7[[#This Row],[Date]],Database!$A:$C,MATCH($C$1,Database!$A$1:$C$1,),))</f>
        <v/>
      </c>
      <c r="D14631">
        <f>IFERROR(Table7[[#This Row],[United States 10y]]-Table7[[#This Row],[United States 3y]],#N/A)</f>
        <v/>
      </c>
    </row>
    <row r="14632">
      <c r="A14632" s="6">
        <f>Database!$A16717</f>
        <v/>
      </c>
      <c r="B14632">
        <f>IF(VLOOKUP(Table7[[#This Row],[Date]],Database!$A:$C,MATCH($B$1,Database!$A$1:$C$1,),)=0,#N/A,VLOOKUP(Table7[[#This Row],[Date]],Database!$A:$C,MATCH($B$1,Database!$A$1:$C$1,),))</f>
        <v/>
      </c>
      <c r="C14632">
        <f>IF(VLOOKUP(Table7[[#This Row],[Date]],Database!$A:$C,MATCH($C$1,Database!$A$1:$C$1,),)=0,#N/A,VLOOKUP(Table7[[#This Row],[Date]],Database!$A:$C,MATCH($C$1,Database!$A$1:$C$1,),))</f>
        <v/>
      </c>
      <c r="D14632">
        <f>IFERROR(Table7[[#This Row],[United States 10y]]-Table7[[#This Row],[United States 3y]],#N/A)</f>
        <v/>
      </c>
    </row>
    <row r="14633">
      <c r="A14633" s="6">
        <f>Database!$A16718</f>
        <v/>
      </c>
      <c r="B14633">
        <f>IF(VLOOKUP(Table7[[#This Row],[Date]],Database!$A:$C,MATCH($B$1,Database!$A$1:$C$1,),)=0,#N/A,VLOOKUP(Table7[[#This Row],[Date]],Database!$A:$C,MATCH($B$1,Database!$A$1:$C$1,),))</f>
        <v/>
      </c>
      <c r="C14633">
        <f>IF(VLOOKUP(Table7[[#This Row],[Date]],Database!$A:$C,MATCH($C$1,Database!$A$1:$C$1,),)=0,#N/A,VLOOKUP(Table7[[#This Row],[Date]],Database!$A:$C,MATCH($C$1,Database!$A$1:$C$1,),))</f>
        <v/>
      </c>
      <c r="D14633">
        <f>IFERROR(Table7[[#This Row],[United States 10y]]-Table7[[#This Row],[United States 3y]],#N/A)</f>
        <v/>
      </c>
    </row>
    <row r="14634">
      <c r="A14634" s="6">
        <f>Database!$A16719</f>
        <v/>
      </c>
      <c r="B14634">
        <f>IF(VLOOKUP(Table7[[#This Row],[Date]],Database!$A:$C,MATCH($B$1,Database!$A$1:$C$1,),)=0,#N/A,VLOOKUP(Table7[[#This Row],[Date]],Database!$A:$C,MATCH($B$1,Database!$A$1:$C$1,),))</f>
        <v/>
      </c>
      <c r="C14634">
        <f>IF(VLOOKUP(Table7[[#This Row],[Date]],Database!$A:$C,MATCH($C$1,Database!$A$1:$C$1,),)=0,#N/A,VLOOKUP(Table7[[#This Row],[Date]],Database!$A:$C,MATCH($C$1,Database!$A$1:$C$1,),))</f>
        <v/>
      </c>
      <c r="D14634">
        <f>IFERROR(Table7[[#This Row],[United States 10y]]-Table7[[#This Row],[United States 3y]],#N/A)</f>
        <v/>
      </c>
    </row>
    <row r="14635">
      <c r="A14635" s="6">
        <f>Database!$A16720</f>
        <v/>
      </c>
      <c r="B14635">
        <f>IF(VLOOKUP(Table7[[#This Row],[Date]],Database!$A:$C,MATCH($B$1,Database!$A$1:$C$1,),)=0,#N/A,VLOOKUP(Table7[[#This Row],[Date]],Database!$A:$C,MATCH($B$1,Database!$A$1:$C$1,),))</f>
        <v/>
      </c>
      <c r="C14635">
        <f>IF(VLOOKUP(Table7[[#This Row],[Date]],Database!$A:$C,MATCH($C$1,Database!$A$1:$C$1,),)=0,#N/A,VLOOKUP(Table7[[#This Row],[Date]],Database!$A:$C,MATCH($C$1,Database!$A$1:$C$1,),))</f>
        <v/>
      </c>
      <c r="D14635">
        <f>IFERROR(Table7[[#This Row],[United States 10y]]-Table7[[#This Row],[United States 3y]],#N/A)</f>
        <v/>
      </c>
    </row>
    <row r="14636">
      <c r="A14636" s="6">
        <f>Database!$A16721</f>
        <v/>
      </c>
      <c r="B14636">
        <f>IF(VLOOKUP(Table7[[#This Row],[Date]],Database!$A:$C,MATCH($B$1,Database!$A$1:$C$1,),)=0,#N/A,VLOOKUP(Table7[[#This Row],[Date]],Database!$A:$C,MATCH($B$1,Database!$A$1:$C$1,),))</f>
        <v/>
      </c>
      <c r="C14636">
        <f>IF(VLOOKUP(Table7[[#This Row],[Date]],Database!$A:$C,MATCH($C$1,Database!$A$1:$C$1,),)=0,#N/A,VLOOKUP(Table7[[#This Row],[Date]],Database!$A:$C,MATCH($C$1,Database!$A$1:$C$1,),))</f>
        <v/>
      </c>
      <c r="D14636">
        <f>IFERROR(Table7[[#This Row],[United States 10y]]-Table7[[#This Row],[United States 3y]],#N/A)</f>
        <v/>
      </c>
    </row>
    <row r="14637">
      <c r="A14637" s="6">
        <f>Database!$A16722</f>
        <v/>
      </c>
      <c r="B14637">
        <f>IF(VLOOKUP(Table7[[#This Row],[Date]],Database!$A:$C,MATCH($B$1,Database!$A$1:$C$1,),)=0,#N/A,VLOOKUP(Table7[[#This Row],[Date]],Database!$A:$C,MATCH($B$1,Database!$A$1:$C$1,),))</f>
        <v/>
      </c>
      <c r="C14637">
        <f>IF(VLOOKUP(Table7[[#This Row],[Date]],Database!$A:$C,MATCH($C$1,Database!$A$1:$C$1,),)=0,#N/A,VLOOKUP(Table7[[#This Row],[Date]],Database!$A:$C,MATCH($C$1,Database!$A$1:$C$1,),))</f>
        <v/>
      </c>
      <c r="D14637">
        <f>IFERROR(Table7[[#This Row],[United States 10y]]-Table7[[#This Row],[United States 3y]],#N/A)</f>
        <v/>
      </c>
    </row>
    <row r="14638">
      <c r="A14638" s="6">
        <f>Database!$A16723</f>
        <v/>
      </c>
      <c r="B14638">
        <f>IF(VLOOKUP(Table7[[#This Row],[Date]],Database!$A:$C,MATCH($B$1,Database!$A$1:$C$1,),)=0,#N/A,VLOOKUP(Table7[[#This Row],[Date]],Database!$A:$C,MATCH($B$1,Database!$A$1:$C$1,),))</f>
        <v/>
      </c>
      <c r="C14638">
        <f>IF(VLOOKUP(Table7[[#This Row],[Date]],Database!$A:$C,MATCH($C$1,Database!$A$1:$C$1,),)=0,#N/A,VLOOKUP(Table7[[#This Row],[Date]],Database!$A:$C,MATCH($C$1,Database!$A$1:$C$1,),))</f>
        <v/>
      </c>
      <c r="D14638">
        <f>IFERROR(Table7[[#This Row],[United States 10y]]-Table7[[#This Row],[United States 3y]],#N/A)</f>
        <v/>
      </c>
    </row>
    <row r="14639">
      <c r="A14639" s="6">
        <f>Database!$A16724</f>
        <v/>
      </c>
      <c r="B14639">
        <f>IF(VLOOKUP(Table7[[#This Row],[Date]],Database!$A:$C,MATCH($B$1,Database!$A$1:$C$1,),)=0,#N/A,VLOOKUP(Table7[[#This Row],[Date]],Database!$A:$C,MATCH($B$1,Database!$A$1:$C$1,),))</f>
        <v/>
      </c>
      <c r="C14639">
        <f>IF(VLOOKUP(Table7[[#This Row],[Date]],Database!$A:$C,MATCH($C$1,Database!$A$1:$C$1,),)=0,#N/A,VLOOKUP(Table7[[#This Row],[Date]],Database!$A:$C,MATCH($C$1,Database!$A$1:$C$1,),))</f>
        <v/>
      </c>
      <c r="D14639">
        <f>IFERROR(Table7[[#This Row],[United States 10y]]-Table7[[#This Row],[United States 3y]],#N/A)</f>
        <v/>
      </c>
    </row>
    <row r="14640">
      <c r="A14640" s="6">
        <f>Database!$A16725</f>
        <v/>
      </c>
      <c r="B14640">
        <f>IF(VLOOKUP(Table7[[#This Row],[Date]],Database!$A:$C,MATCH($B$1,Database!$A$1:$C$1,),)=0,#N/A,VLOOKUP(Table7[[#This Row],[Date]],Database!$A:$C,MATCH($B$1,Database!$A$1:$C$1,),))</f>
        <v/>
      </c>
      <c r="C14640">
        <f>IF(VLOOKUP(Table7[[#This Row],[Date]],Database!$A:$C,MATCH($C$1,Database!$A$1:$C$1,),)=0,#N/A,VLOOKUP(Table7[[#This Row],[Date]],Database!$A:$C,MATCH($C$1,Database!$A$1:$C$1,),))</f>
        <v/>
      </c>
      <c r="D14640">
        <f>IFERROR(Table7[[#This Row],[United States 10y]]-Table7[[#This Row],[United States 3y]],#N/A)</f>
        <v/>
      </c>
    </row>
    <row r="14641">
      <c r="A14641" s="6">
        <f>Database!$A16726</f>
        <v/>
      </c>
      <c r="B14641">
        <f>IF(VLOOKUP(Table7[[#This Row],[Date]],Database!$A:$C,MATCH($B$1,Database!$A$1:$C$1,),)=0,#N/A,VLOOKUP(Table7[[#This Row],[Date]],Database!$A:$C,MATCH($B$1,Database!$A$1:$C$1,),))</f>
        <v/>
      </c>
      <c r="C14641">
        <f>IF(VLOOKUP(Table7[[#This Row],[Date]],Database!$A:$C,MATCH($C$1,Database!$A$1:$C$1,),)=0,#N/A,VLOOKUP(Table7[[#This Row],[Date]],Database!$A:$C,MATCH($C$1,Database!$A$1:$C$1,),))</f>
        <v/>
      </c>
      <c r="D14641">
        <f>IFERROR(Table7[[#This Row],[United States 10y]]-Table7[[#This Row],[United States 3y]],#N/A)</f>
        <v/>
      </c>
    </row>
    <row r="14642">
      <c r="A14642" s="6">
        <f>Database!$A16727</f>
        <v/>
      </c>
      <c r="B14642">
        <f>IF(VLOOKUP(Table7[[#This Row],[Date]],Database!$A:$C,MATCH($B$1,Database!$A$1:$C$1,),)=0,#N/A,VLOOKUP(Table7[[#This Row],[Date]],Database!$A:$C,MATCH($B$1,Database!$A$1:$C$1,),))</f>
        <v/>
      </c>
      <c r="C14642">
        <f>IF(VLOOKUP(Table7[[#This Row],[Date]],Database!$A:$C,MATCH($C$1,Database!$A$1:$C$1,),)=0,#N/A,VLOOKUP(Table7[[#This Row],[Date]],Database!$A:$C,MATCH($C$1,Database!$A$1:$C$1,),))</f>
        <v/>
      </c>
      <c r="D14642">
        <f>IFERROR(Table7[[#This Row],[United States 10y]]-Table7[[#This Row],[United States 3y]],#N/A)</f>
        <v/>
      </c>
    </row>
    <row r="14643">
      <c r="A14643" s="6">
        <f>Database!$A16728</f>
        <v/>
      </c>
      <c r="B14643">
        <f>IF(VLOOKUP(Table7[[#This Row],[Date]],Database!$A:$C,MATCH($B$1,Database!$A$1:$C$1,),)=0,#N/A,VLOOKUP(Table7[[#This Row],[Date]],Database!$A:$C,MATCH($B$1,Database!$A$1:$C$1,),))</f>
        <v/>
      </c>
      <c r="C14643">
        <f>IF(VLOOKUP(Table7[[#This Row],[Date]],Database!$A:$C,MATCH($C$1,Database!$A$1:$C$1,),)=0,#N/A,VLOOKUP(Table7[[#This Row],[Date]],Database!$A:$C,MATCH($C$1,Database!$A$1:$C$1,),))</f>
        <v/>
      </c>
      <c r="D14643">
        <f>IFERROR(Table7[[#This Row],[United States 10y]]-Table7[[#This Row],[United States 3y]],#N/A)</f>
        <v/>
      </c>
    </row>
    <row r="14644">
      <c r="A14644" s="6">
        <f>Database!$A16729</f>
        <v/>
      </c>
      <c r="B14644">
        <f>IF(VLOOKUP(Table7[[#This Row],[Date]],Database!$A:$C,MATCH($B$1,Database!$A$1:$C$1,),)=0,#N/A,VLOOKUP(Table7[[#This Row],[Date]],Database!$A:$C,MATCH($B$1,Database!$A$1:$C$1,),))</f>
        <v/>
      </c>
      <c r="C14644">
        <f>IF(VLOOKUP(Table7[[#This Row],[Date]],Database!$A:$C,MATCH($C$1,Database!$A$1:$C$1,),)=0,#N/A,VLOOKUP(Table7[[#This Row],[Date]],Database!$A:$C,MATCH($C$1,Database!$A$1:$C$1,),))</f>
        <v/>
      </c>
      <c r="D14644">
        <f>IFERROR(Table7[[#This Row],[United States 10y]]-Table7[[#This Row],[United States 3y]],#N/A)</f>
        <v/>
      </c>
    </row>
    <row r="14645">
      <c r="A14645" s="6">
        <f>Database!$A16730</f>
        <v/>
      </c>
      <c r="B14645">
        <f>IF(VLOOKUP(Table7[[#This Row],[Date]],Database!$A:$C,MATCH($B$1,Database!$A$1:$C$1,),)=0,#N/A,VLOOKUP(Table7[[#This Row],[Date]],Database!$A:$C,MATCH($B$1,Database!$A$1:$C$1,),))</f>
        <v/>
      </c>
      <c r="C14645">
        <f>IF(VLOOKUP(Table7[[#This Row],[Date]],Database!$A:$C,MATCH($C$1,Database!$A$1:$C$1,),)=0,#N/A,VLOOKUP(Table7[[#This Row],[Date]],Database!$A:$C,MATCH($C$1,Database!$A$1:$C$1,),))</f>
        <v/>
      </c>
      <c r="D14645">
        <f>IFERROR(Table7[[#This Row],[United States 10y]]-Table7[[#This Row],[United States 3y]],#N/A)</f>
        <v/>
      </c>
    </row>
    <row r="14646">
      <c r="A14646" s="6">
        <f>Database!$A16731</f>
        <v/>
      </c>
      <c r="B14646">
        <f>IF(VLOOKUP(Table7[[#This Row],[Date]],Database!$A:$C,MATCH($B$1,Database!$A$1:$C$1,),)=0,#N/A,VLOOKUP(Table7[[#This Row],[Date]],Database!$A:$C,MATCH($B$1,Database!$A$1:$C$1,),))</f>
        <v/>
      </c>
      <c r="C14646">
        <f>IF(VLOOKUP(Table7[[#This Row],[Date]],Database!$A:$C,MATCH($C$1,Database!$A$1:$C$1,),)=0,#N/A,VLOOKUP(Table7[[#This Row],[Date]],Database!$A:$C,MATCH($C$1,Database!$A$1:$C$1,),))</f>
        <v/>
      </c>
      <c r="D14646">
        <f>IFERROR(Table7[[#This Row],[United States 10y]]-Table7[[#This Row],[United States 3y]],#N/A)</f>
        <v/>
      </c>
    </row>
    <row r="14647">
      <c r="A14647" s="6">
        <f>Database!$A16732</f>
        <v/>
      </c>
      <c r="B14647">
        <f>IF(VLOOKUP(Table7[[#This Row],[Date]],Database!$A:$C,MATCH($B$1,Database!$A$1:$C$1,),)=0,#N/A,VLOOKUP(Table7[[#This Row],[Date]],Database!$A:$C,MATCH($B$1,Database!$A$1:$C$1,),))</f>
        <v/>
      </c>
      <c r="C14647">
        <f>IF(VLOOKUP(Table7[[#This Row],[Date]],Database!$A:$C,MATCH($C$1,Database!$A$1:$C$1,),)=0,#N/A,VLOOKUP(Table7[[#This Row],[Date]],Database!$A:$C,MATCH($C$1,Database!$A$1:$C$1,),))</f>
        <v/>
      </c>
      <c r="D14647">
        <f>IFERROR(Table7[[#This Row],[United States 10y]]-Table7[[#This Row],[United States 3y]],#N/A)</f>
        <v/>
      </c>
    </row>
    <row r="14648">
      <c r="A14648" s="6">
        <f>Database!$A16733</f>
        <v/>
      </c>
      <c r="B14648">
        <f>IF(VLOOKUP(Table7[[#This Row],[Date]],Database!$A:$C,MATCH($B$1,Database!$A$1:$C$1,),)=0,#N/A,VLOOKUP(Table7[[#This Row],[Date]],Database!$A:$C,MATCH($B$1,Database!$A$1:$C$1,),))</f>
        <v/>
      </c>
      <c r="C14648">
        <f>IF(VLOOKUP(Table7[[#This Row],[Date]],Database!$A:$C,MATCH($C$1,Database!$A$1:$C$1,),)=0,#N/A,VLOOKUP(Table7[[#This Row],[Date]],Database!$A:$C,MATCH($C$1,Database!$A$1:$C$1,),))</f>
        <v/>
      </c>
      <c r="D14648">
        <f>IFERROR(Table7[[#This Row],[United States 10y]]-Table7[[#This Row],[United States 3y]],#N/A)</f>
        <v/>
      </c>
    </row>
    <row r="14649">
      <c r="A14649" s="6">
        <f>Database!$A16734</f>
        <v/>
      </c>
      <c r="B14649">
        <f>IF(VLOOKUP(Table7[[#This Row],[Date]],Database!$A:$C,MATCH($B$1,Database!$A$1:$C$1,),)=0,#N/A,VLOOKUP(Table7[[#This Row],[Date]],Database!$A:$C,MATCH($B$1,Database!$A$1:$C$1,),))</f>
        <v/>
      </c>
      <c r="C14649">
        <f>IF(VLOOKUP(Table7[[#This Row],[Date]],Database!$A:$C,MATCH($C$1,Database!$A$1:$C$1,),)=0,#N/A,VLOOKUP(Table7[[#This Row],[Date]],Database!$A:$C,MATCH($C$1,Database!$A$1:$C$1,),))</f>
        <v/>
      </c>
      <c r="D14649">
        <f>IFERROR(Table7[[#This Row],[United States 10y]]-Table7[[#This Row],[United States 3y]],#N/A)</f>
        <v/>
      </c>
    </row>
    <row r="14650">
      <c r="A14650" s="6">
        <f>Database!$A16735</f>
        <v/>
      </c>
      <c r="B14650">
        <f>IF(VLOOKUP(Table7[[#This Row],[Date]],Database!$A:$C,MATCH($B$1,Database!$A$1:$C$1,),)=0,#N/A,VLOOKUP(Table7[[#This Row],[Date]],Database!$A:$C,MATCH($B$1,Database!$A$1:$C$1,),))</f>
        <v/>
      </c>
      <c r="C14650">
        <f>IF(VLOOKUP(Table7[[#This Row],[Date]],Database!$A:$C,MATCH($C$1,Database!$A$1:$C$1,),)=0,#N/A,VLOOKUP(Table7[[#This Row],[Date]],Database!$A:$C,MATCH($C$1,Database!$A$1:$C$1,),))</f>
        <v/>
      </c>
      <c r="D14650">
        <f>IFERROR(Table7[[#This Row],[United States 10y]]-Table7[[#This Row],[United States 3y]],#N/A)</f>
        <v/>
      </c>
    </row>
    <row r="14651">
      <c r="A14651" s="6">
        <f>Database!$A16736</f>
        <v/>
      </c>
      <c r="B14651">
        <f>IF(VLOOKUP(Table7[[#This Row],[Date]],Database!$A:$C,MATCH($B$1,Database!$A$1:$C$1,),)=0,#N/A,VLOOKUP(Table7[[#This Row],[Date]],Database!$A:$C,MATCH($B$1,Database!$A$1:$C$1,),))</f>
        <v/>
      </c>
      <c r="C14651">
        <f>IF(VLOOKUP(Table7[[#This Row],[Date]],Database!$A:$C,MATCH($C$1,Database!$A$1:$C$1,),)=0,#N/A,VLOOKUP(Table7[[#This Row],[Date]],Database!$A:$C,MATCH($C$1,Database!$A$1:$C$1,),))</f>
        <v/>
      </c>
      <c r="D14651">
        <f>IFERROR(Table7[[#This Row],[United States 10y]]-Table7[[#This Row],[United States 3y]],#N/A)</f>
        <v/>
      </c>
    </row>
    <row r="14652">
      <c r="A14652" s="6">
        <f>Database!$A16737</f>
        <v/>
      </c>
      <c r="B14652">
        <f>IF(VLOOKUP(Table7[[#This Row],[Date]],Database!$A:$C,MATCH($B$1,Database!$A$1:$C$1,),)=0,#N/A,VLOOKUP(Table7[[#This Row],[Date]],Database!$A:$C,MATCH($B$1,Database!$A$1:$C$1,),))</f>
        <v/>
      </c>
      <c r="C14652">
        <f>IF(VLOOKUP(Table7[[#This Row],[Date]],Database!$A:$C,MATCH($C$1,Database!$A$1:$C$1,),)=0,#N/A,VLOOKUP(Table7[[#This Row],[Date]],Database!$A:$C,MATCH($C$1,Database!$A$1:$C$1,),))</f>
        <v/>
      </c>
      <c r="D14652">
        <f>IFERROR(Table7[[#This Row],[United States 10y]]-Table7[[#This Row],[United States 3y]],#N/A)</f>
        <v/>
      </c>
    </row>
    <row r="14653">
      <c r="A14653" s="6">
        <f>Database!$A16738</f>
        <v/>
      </c>
      <c r="B14653">
        <f>IF(VLOOKUP(Table7[[#This Row],[Date]],Database!$A:$C,MATCH($B$1,Database!$A$1:$C$1,),)=0,#N/A,VLOOKUP(Table7[[#This Row],[Date]],Database!$A:$C,MATCH($B$1,Database!$A$1:$C$1,),))</f>
        <v/>
      </c>
      <c r="C14653">
        <f>IF(VLOOKUP(Table7[[#This Row],[Date]],Database!$A:$C,MATCH($C$1,Database!$A$1:$C$1,),)=0,#N/A,VLOOKUP(Table7[[#This Row],[Date]],Database!$A:$C,MATCH($C$1,Database!$A$1:$C$1,),))</f>
        <v/>
      </c>
      <c r="D14653">
        <f>IFERROR(Table7[[#This Row],[United States 10y]]-Table7[[#This Row],[United States 3y]],#N/A)</f>
        <v/>
      </c>
    </row>
    <row r="14654">
      <c r="A14654" s="6">
        <f>Database!$A16739</f>
        <v/>
      </c>
      <c r="B14654">
        <f>IF(VLOOKUP(Table7[[#This Row],[Date]],Database!$A:$C,MATCH($B$1,Database!$A$1:$C$1,),)=0,#N/A,VLOOKUP(Table7[[#This Row],[Date]],Database!$A:$C,MATCH($B$1,Database!$A$1:$C$1,),))</f>
        <v/>
      </c>
      <c r="C14654">
        <f>IF(VLOOKUP(Table7[[#This Row],[Date]],Database!$A:$C,MATCH($C$1,Database!$A$1:$C$1,),)=0,#N/A,VLOOKUP(Table7[[#This Row],[Date]],Database!$A:$C,MATCH($C$1,Database!$A$1:$C$1,),))</f>
        <v/>
      </c>
      <c r="D14654">
        <f>IFERROR(Table7[[#This Row],[United States 10y]]-Table7[[#This Row],[United States 3y]],#N/A)</f>
        <v/>
      </c>
    </row>
    <row r="14655">
      <c r="A14655" s="6">
        <f>Database!$A16740</f>
        <v/>
      </c>
      <c r="B14655">
        <f>IF(VLOOKUP(Table7[[#This Row],[Date]],Database!$A:$C,MATCH($B$1,Database!$A$1:$C$1,),)=0,#N/A,VLOOKUP(Table7[[#This Row],[Date]],Database!$A:$C,MATCH($B$1,Database!$A$1:$C$1,),))</f>
        <v/>
      </c>
      <c r="C14655">
        <f>IF(VLOOKUP(Table7[[#This Row],[Date]],Database!$A:$C,MATCH($C$1,Database!$A$1:$C$1,),)=0,#N/A,VLOOKUP(Table7[[#This Row],[Date]],Database!$A:$C,MATCH($C$1,Database!$A$1:$C$1,),))</f>
        <v/>
      </c>
      <c r="D14655">
        <f>IFERROR(Table7[[#This Row],[United States 10y]]-Table7[[#This Row],[United States 3y]],#N/A)</f>
        <v/>
      </c>
    </row>
    <row r="14656">
      <c r="A14656" s="6">
        <f>Database!$A16741</f>
        <v/>
      </c>
      <c r="B14656">
        <f>IF(VLOOKUP(Table7[[#This Row],[Date]],Database!$A:$C,MATCH($B$1,Database!$A$1:$C$1,),)=0,#N/A,VLOOKUP(Table7[[#This Row],[Date]],Database!$A:$C,MATCH($B$1,Database!$A$1:$C$1,),))</f>
        <v/>
      </c>
      <c r="C14656">
        <f>IF(VLOOKUP(Table7[[#This Row],[Date]],Database!$A:$C,MATCH($C$1,Database!$A$1:$C$1,),)=0,#N/A,VLOOKUP(Table7[[#This Row],[Date]],Database!$A:$C,MATCH($C$1,Database!$A$1:$C$1,),))</f>
        <v/>
      </c>
      <c r="D14656">
        <f>IFERROR(Table7[[#This Row],[United States 10y]]-Table7[[#This Row],[United States 3y]],#N/A)</f>
        <v/>
      </c>
    </row>
    <row r="14657">
      <c r="A14657" s="6">
        <f>Database!$A16742</f>
        <v/>
      </c>
      <c r="B14657">
        <f>IF(VLOOKUP(Table7[[#This Row],[Date]],Database!$A:$C,MATCH($B$1,Database!$A$1:$C$1,),)=0,#N/A,VLOOKUP(Table7[[#This Row],[Date]],Database!$A:$C,MATCH($B$1,Database!$A$1:$C$1,),))</f>
        <v/>
      </c>
      <c r="C14657">
        <f>IF(VLOOKUP(Table7[[#This Row],[Date]],Database!$A:$C,MATCH($C$1,Database!$A$1:$C$1,),)=0,#N/A,VLOOKUP(Table7[[#This Row],[Date]],Database!$A:$C,MATCH($C$1,Database!$A$1:$C$1,),))</f>
        <v/>
      </c>
      <c r="D14657">
        <f>IFERROR(Table7[[#This Row],[United States 10y]]-Table7[[#This Row],[United States 3y]],#N/A)</f>
        <v/>
      </c>
    </row>
    <row r="14658">
      <c r="A14658" s="6">
        <f>Database!$A16743</f>
        <v/>
      </c>
      <c r="B14658">
        <f>IF(VLOOKUP(Table7[[#This Row],[Date]],Database!$A:$C,MATCH($B$1,Database!$A$1:$C$1,),)=0,#N/A,VLOOKUP(Table7[[#This Row],[Date]],Database!$A:$C,MATCH($B$1,Database!$A$1:$C$1,),))</f>
        <v/>
      </c>
      <c r="C14658">
        <f>IF(VLOOKUP(Table7[[#This Row],[Date]],Database!$A:$C,MATCH($C$1,Database!$A$1:$C$1,),)=0,#N/A,VLOOKUP(Table7[[#This Row],[Date]],Database!$A:$C,MATCH($C$1,Database!$A$1:$C$1,),))</f>
        <v/>
      </c>
      <c r="D14658">
        <f>IFERROR(Table7[[#This Row],[United States 10y]]-Table7[[#This Row],[United States 3y]],#N/A)</f>
        <v/>
      </c>
    </row>
    <row r="14659">
      <c r="A14659" s="6">
        <f>Database!$A16744</f>
        <v/>
      </c>
      <c r="B14659">
        <f>IF(VLOOKUP(Table7[[#This Row],[Date]],Database!$A:$C,MATCH($B$1,Database!$A$1:$C$1,),)=0,#N/A,VLOOKUP(Table7[[#This Row],[Date]],Database!$A:$C,MATCH($B$1,Database!$A$1:$C$1,),))</f>
        <v/>
      </c>
      <c r="C14659">
        <f>IF(VLOOKUP(Table7[[#This Row],[Date]],Database!$A:$C,MATCH($C$1,Database!$A$1:$C$1,),)=0,#N/A,VLOOKUP(Table7[[#This Row],[Date]],Database!$A:$C,MATCH($C$1,Database!$A$1:$C$1,),))</f>
        <v/>
      </c>
      <c r="D14659">
        <f>IFERROR(Table7[[#This Row],[United States 10y]]-Table7[[#This Row],[United States 3y]],#N/A)</f>
        <v/>
      </c>
    </row>
    <row r="14660">
      <c r="A14660" s="6">
        <f>Database!$A16745</f>
        <v/>
      </c>
      <c r="B14660">
        <f>IF(VLOOKUP(Table7[[#This Row],[Date]],Database!$A:$C,MATCH($B$1,Database!$A$1:$C$1,),)=0,#N/A,VLOOKUP(Table7[[#This Row],[Date]],Database!$A:$C,MATCH($B$1,Database!$A$1:$C$1,),))</f>
        <v/>
      </c>
      <c r="C14660">
        <f>IF(VLOOKUP(Table7[[#This Row],[Date]],Database!$A:$C,MATCH($C$1,Database!$A$1:$C$1,),)=0,#N/A,VLOOKUP(Table7[[#This Row],[Date]],Database!$A:$C,MATCH($C$1,Database!$A$1:$C$1,),))</f>
        <v/>
      </c>
      <c r="D14660">
        <f>IFERROR(Table7[[#This Row],[United States 10y]]-Table7[[#This Row],[United States 3y]],#N/A)</f>
        <v/>
      </c>
    </row>
    <row r="14661">
      <c r="A14661" s="6">
        <f>Database!$A16746</f>
        <v/>
      </c>
      <c r="B14661">
        <f>IF(VLOOKUP(Table7[[#This Row],[Date]],Database!$A:$C,MATCH($B$1,Database!$A$1:$C$1,),)=0,#N/A,VLOOKUP(Table7[[#This Row],[Date]],Database!$A:$C,MATCH($B$1,Database!$A$1:$C$1,),))</f>
        <v/>
      </c>
      <c r="C14661">
        <f>IF(VLOOKUP(Table7[[#This Row],[Date]],Database!$A:$C,MATCH($C$1,Database!$A$1:$C$1,),)=0,#N/A,VLOOKUP(Table7[[#This Row],[Date]],Database!$A:$C,MATCH($C$1,Database!$A$1:$C$1,),))</f>
        <v/>
      </c>
      <c r="D14661">
        <f>IFERROR(Table7[[#This Row],[United States 10y]]-Table7[[#This Row],[United States 3y]],#N/A)</f>
        <v/>
      </c>
    </row>
    <row r="14662">
      <c r="A14662" s="6">
        <f>Database!$A16747</f>
        <v/>
      </c>
      <c r="B14662">
        <f>IF(VLOOKUP(Table7[[#This Row],[Date]],Database!$A:$C,MATCH($B$1,Database!$A$1:$C$1,),)=0,#N/A,VLOOKUP(Table7[[#This Row],[Date]],Database!$A:$C,MATCH($B$1,Database!$A$1:$C$1,),))</f>
        <v/>
      </c>
      <c r="C14662">
        <f>IF(VLOOKUP(Table7[[#This Row],[Date]],Database!$A:$C,MATCH($C$1,Database!$A$1:$C$1,),)=0,#N/A,VLOOKUP(Table7[[#This Row],[Date]],Database!$A:$C,MATCH($C$1,Database!$A$1:$C$1,),))</f>
        <v/>
      </c>
      <c r="D14662">
        <f>IFERROR(Table7[[#This Row],[United States 10y]]-Table7[[#This Row],[United States 3y]],#N/A)</f>
        <v/>
      </c>
    </row>
    <row r="14663">
      <c r="A14663" s="6">
        <f>Database!$A16748</f>
        <v/>
      </c>
      <c r="B14663">
        <f>IF(VLOOKUP(Table7[[#This Row],[Date]],Database!$A:$C,MATCH($B$1,Database!$A$1:$C$1,),)=0,#N/A,VLOOKUP(Table7[[#This Row],[Date]],Database!$A:$C,MATCH($B$1,Database!$A$1:$C$1,),))</f>
        <v/>
      </c>
      <c r="C14663">
        <f>IF(VLOOKUP(Table7[[#This Row],[Date]],Database!$A:$C,MATCH($C$1,Database!$A$1:$C$1,),)=0,#N/A,VLOOKUP(Table7[[#This Row],[Date]],Database!$A:$C,MATCH($C$1,Database!$A$1:$C$1,),))</f>
        <v/>
      </c>
      <c r="D14663">
        <f>IFERROR(Table7[[#This Row],[United States 10y]]-Table7[[#This Row],[United States 3y]],#N/A)</f>
        <v/>
      </c>
    </row>
    <row r="14664">
      <c r="A14664" s="6">
        <f>Database!$A16749</f>
        <v/>
      </c>
      <c r="B14664">
        <f>IF(VLOOKUP(Table7[[#This Row],[Date]],Database!$A:$C,MATCH($B$1,Database!$A$1:$C$1,),)=0,#N/A,VLOOKUP(Table7[[#This Row],[Date]],Database!$A:$C,MATCH($B$1,Database!$A$1:$C$1,),))</f>
        <v/>
      </c>
      <c r="C14664">
        <f>IF(VLOOKUP(Table7[[#This Row],[Date]],Database!$A:$C,MATCH($C$1,Database!$A$1:$C$1,),)=0,#N/A,VLOOKUP(Table7[[#This Row],[Date]],Database!$A:$C,MATCH($C$1,Database!$A$1:$C$1,),))</f>
        <v/>
      </c>
      <c r="D14664">
        <f>IFERROR(Table7[[#This Row],[United States 10y]]-Table7[[#This Row],[United States 3y]],#N/A)</f>
        <v/>
      </c>
    </row>
    <row r="14665">
      <c r="A14665" s="6">
        <f>Database!$A16750</f>
        <v/>
      </c>
      <c r="B14665">
        <f>IF(VLOOKUP(Table7[[#This Row],[Date]],Database!$A:$C,MATCH($B$1,Database!$A$1:$C$1,),)=0,#N/A,VLOOKUP(Table7[[#This Row],[Date]],Database!$A:$C,MATCH($B$1,Database!$A$1:$C$1,),))</f>
        <v/>
      </c>
      <c r="C14665">
        <f>IF(VLOOKUP(Table7[[#This Row],[Date]],Database!$A:$C,MATCH($C$1,Database!$A$1:$C$1,),)=0,#N/A,VLOOKUP(Table7[[#This Row],[Date]],Database!$A:$C,MATCH($C$1,Database!$A$1:$C$1,),))</f>
        <v/>
      </c>
      <c r="D14665">
        <f>IFERROR(Table7[[#This Row],[United States 10y]]-Table7[[#This Row],[United States 3y]],#N/A)</f>
        <v/>
      </c>
    </row>
    <row r="14666">
      <c r="A14666" s="6">
        <f>Database!$A16751</f>
        <v/>
      </c>
      <c r="B14666">
        <f>IF(VLOOKUP(Table7[[#This Row],[Date]],Database!$A:$C,MATCH($B$1,Database!$A$1:$C$1,),)=0,#N/A,VLOOKUP(Table7[[#This Row],[Date]],Database!$A:$C,MATCH($B$1,Database!$A$1:$C$1,),))</f>
        <v/>
      </c>
      <c r="C14666">
        <f>IF(VLOOKUP(Table7[[#This Row],[Date]],Database!$A:$C,MATCH($C$1,Database!$A$1:$C$1,),)=0,#N/A,VLOOKUP(Table7[[#This Row],[Date]],Database!$A:$C,MATCH($C$1,Database!$A$1:$C$1,),))</f>
        <v/>
      </c>
      <c r="D14666">
        <f>IFERROR(Table7[[#This Row],[United States 10y]]-Table7[[#This Row],[United States 3y]],#N/A)</f>
        <v/>
      </c>
    </row>
    <row r="14667">
      <c r="A14667" s="6">
        <f>Database!$A16752</f>
        <v/>
      </c>
      <c r="B14667">
        <f>IF(VLOOKUP(Table7[[#This Row],[Date]],Database!$A:$C,MATCH($B$1,Database!$A$1:$C$1,),)=0,#N/A,VLOOKUP(Table7[[#This Row],[Date]],Database!$A:$C,MATCH($B$1,Database!$A$1:$C$1,),))</f>
        <v/>
      </c>
      <c r="C14667">
        <f>IF(VLOOKUP(Table7[[#This Row],[Date]],Database!$A:$C,MATCH($C$1,Database!$A$1:$C$1,),)=0,#N/A,VLOOKUP(Table7[[#This Row],[Date]],Database!$A:$C,MATCH($C$1,Database!$A$1:$C$1,),))</f>
        <v/>
      </c>
      <c r="D14667">
        <f>IFERROR(Table7[[#This Row],[United States 10y]]-Table7[[#This Row],[United States 3y]],#N/A)</f>
        <v/>
      </c>
    </row>
    <row r="14668">
      <c r="A14668" s="6">
        <f>Database!$A16753</f>
        <v/>
      </c>
      <c r="B14668">
        <f>IF(VLOOKUP(Table7[[#This Row],[Date]],Database!$A:$C,MATCH($B$1,Database!$A$1:$C$1,),)=0,#N/A,VLOOKUP(Table7[[#This Row],[Date]],Database!$A:$C,MATCH($B$1,Database!$A$1:$C$1,),))</f>
        <v/>
      </c>
      <c r="C14668">
        <f>IF(VLOOKUP(Table7[[#This Row],[Date]],Database!$A:$C,MATCH($C$1,Database!$A$1:$C$1,),)=0,#N/A,VLOOKUP(Table7[[#This Row],[Date]],Database!$A:$C,MATCH($C$1,Database!$A$1:$C$1,),))</f>
        <v/>
      </c>
      <c r="D14668">
        <f>IFERROR(Table7[[#This Row],[United States 10y]]-Table7[[#This Row],[United States 3y]],#N/A)</f>
        <v/>
      </c>
    </row>
    <row r="14669">
      <c r="A14669" s="6">
        <f>Database!$A16754</f>
        <v/>
      </c>
      <c r="B14669">
        <f>IF(VLOOKUP(Table7[[#This Row],[Date]],Database!$A:$C,MATCH($B$1,Database!$A$1:$C$1,),)=0,#N/A,VLOOKUP(Table7[[#This Row],[Date]],Database!$A:$C,MATCH($B$1,Database!$A$1:$C$1,),))</f>
        <v/>
      </c>
      <c r="C14669">
        <f>IF(VLOOKUP(Table7[[#This Row],[Date]],Database!$A:$C,MATCH($C$1,Database!$A$1:$C$1,),)=0,#N/A,VLOOKUP(Table7[[#This Row],[Date]],Database!$A:$C,MATCH($C$1,Database!$A$1:$C$1,),))</f>
        <v/>
      </c>
      <c r="D14669">
        <f>IFERROR(Table7[[#This Row],[United States 10y]]-Table7[[#This Row],[United States 3y]],#N/A)</f>
        <v/>
      </c>
    </row>
    <row r="14670">
      <c r="A14670" s="6">
        <f>Database!$A16755</f>
        <v/>
      </c>
      <c r="B14670">
        <f>IF(VLOOKUP(Table7[[#This Row],[Date]],Database!$A:$C,MATCH($B$1,Database!$A$1:$C$1,),)=0,#N/A,VLOOKUP(Table7[[#This Row],[Date]],Database!$A:$C,MATCH($B$1,Database!$A$1:$C$1,),))</f>
        <v/>
      </c>
      <c r="C14670">
        <f>IF(VLOOKUP(Table7[[#This Row],[Date]],Database!$A:$C,MATCH($C$1,Database!$A$1:$C$1,),)=0,#N/A,VLOOKUP(Table7[[#This Row],[Date]],Database!$A:$C,MATCH($C$1,Database!$A$1:$C$1,),))</f>
        <v/>
      </c>
      <c r="D14670">
        <f>IFERROR(Table7[[#This Row],[United States 10y]]-Table7[[#This Row],[United States 3y]],#N/A)</f>
        <v/>
      </c>
    </row>
    <row r="14671">
      <c r="A14671" s="6">
        <f>Database!$A16756</f>
        <v/>
      </c>
      <c r="B14671">
        <f>IF(VLOOKUP(Table7[[#This Row],[Date]],Database!$A:$C,MATCH($B$1,Database!$A$1:$C$1,),)=0,#N/A,VLOOKUP(Table7[[#This Row],[Date]],Database!$A:$C,MATCH($B$1,Database!$A$1:$C$1,),))</f>
        <v/>
      </c>
      <c r="C14671">
        <f>IF(VLOOKUP(Table7[[#This Row],[Date]],Database!$A:$C,MATCH($C$1,Database!$A$1:$C$1,),)=0,#N/A,VLOOKUP(Table7[[#This Row],[Date]],Database!$A:$C,MATCH($C$1,Database!$A$1:$C$1,),))</f>
        <v/>
      </c>
      <c r="D14671">
        <f>IFERROR(Table7[[#This Row],[United States 10y]]-Table7[[#This Row],[United States 3y]],#N/A)</f>
        <v/>
      </c>
    </row>
    <row r="14672">
      <c r="A14672" s="6">
        <f>Database!$A16757</f>
        <v/>
      </c>
      <c r="B14672">
        <f>IF(VLOOKUP(Table7[[#This Row],[Date]],Database!$A:$C,MATCH($B$1,Database!$A$1:$C$1,),)=0,#N/A,VLOOKUP(Table7[[#This Row],[Date]],Database!$A:$C,MATCH($B$1,Database!$A$1:$C$1,),))</f>
        <v/>
      </c>
      <c r="C14672">
        <f>IF(VLOOKUP(Table7[[#This Row],[Date]],Database!$A:$C,MATCH($C$1,Database!$A$1:$C$1,),)=0,#N/A,VLOOKUP(Table7[[#This Row],[Date]],Database!$A:$C,MATCH($C$1,Database!$A$1:$C$1,),))</f>
        <v/>
      </c>
      <c r="D14672">
        <f>IFERROR(Table7[[#This Row],[United States 10y]]-Table7[[#This Row],[United States 3y]],#N/A)</f>
        <v/>
      </c>
    </row>
    <row r="14673">
      <c r="A14673" s="6">
        <f>Database!$A16758</f>
        <v/>
      </c>
      <c r="B14673">
        <f>IF(VLOOKUP(Table7[[#This Row],[Date]],Database!$A:$C,MATCH($B$1,Database!$A$1:$C$1,),)=0,#N/A,VLOOKUP(Table7[[#This Row],[Date]],Database!$A:$C,MATCH($B$1,Database!$A$1:$C$1,),))</f>
        <v/>
      </c>
      <c r="C14673">
        <f>IF(VLOOKUP(Table7[[#This Row],[Date]],Database!$A:$C,MATCH($C$1,Database!$A$1:$C$1,),)=0,#N/A,VLOOKUP(Table7[[#This Row],[Date]],Database!$A:$C,MATCH($C$1,Database!$A$1:$C$1,),))</f>
        <v/>
      </c>
      <c r="D14673">
        <f>IFERROR(Table7[[#This Row],[United States 10y]]-Table7[[#This Row],[United States 3y]],#N/A)</f>
        <v/>
      </c>
    </row>
    <row r="14674">
      <c r="A14674" s="6">
        <f>Database!$A16759</f>
        <v/>
      </c>
      <c r="B14674">
        <f>IF(VLOOKUP(Table7[[#This Row],[Date]],Database!$A:$C,MATCH($B$1,Database!$A$1:$C$1,),)=0,#N/A,VLOOKUP(Table7[[#This Row],[Date]],Database!$A:$C,MATCH($B$1,Database!$A$1:$C$1,),))</f>
        <v/>
      </c>
      <c r="C14674">
        <f>IF(VLOOKUP(Table7[[#This Row],[Date]],Database!$A:$C,MATCH($C$1,Database!$A$1:$C$1,),)=0,#N/A,VLOOKUP(Table7[[#This Row],[Date]],Database!$A:$C,MATCH($C$1,Database!$A$1:$C$1,),))</f>
        <v/>
      </c>
      <c r="D14674">
        <f>IFERROR(Table7[[#This Row],[United States 10y]]-Table7[[#This Row],[United States 3y]],#N/A)</f>
        <v/>
      </c>
    </row>
    <row r="14675">
      <c r="A14675" s="6">
        <f>Database!$A16760</f>
        <v/>
      </c>
      <c r="B14675">
        <f>IF(VLOOKUP(Table7[[#This Row],[Date]],Database!$A:$C,MATCH($B$1,Database!$A$1:$C$1,),)=0,#N/A,VLOOKUP(Table7[[#This Row],[Date]],Database!$A:$C,MATCH($B$1,Database!$A$1:$C$1,),))</f>
        <v/>
      </c>
      <c r="C14675">
        <f>IF(VLOOKUP(Table7[[#This Row],[Date]],Database!$A:$C,MATCH($C$1,Database!$A$1:$C$1,),)=0,#N/A,VLOOKUP(Table7[[#This Row],[Date]],Database!$A:$C,MATCH($C$1,Database!$A$1:$C$1,),))</f>
        <v/>
      </c>
      <c r="D14675">
        <f>IFERROR(Table7[[#This Row],[United States 10y]]-Table7[[#This Row],[United States 3y]],#N/A)</f>
        <v/>
      </c>
    </row>
    <row r="14676">
      <c r="A14676" s="6">
        <f>Database!$A16761</f>
        <v/>
      </c>
      <c r="B14676">
        <f>IF(VLOOKUP(Table7[[#This Row],[Date]],Database!$A:$C,MATCH($B$1,Database!$A$1:$C$1,),)=0,#N/A,VLOOKUP(Table7[[#This Row],[Date]],Database!$A:$C,MATCH($B$1,Database!$A$1:$C$1,),))</f>
        <v/>
      </c>
      <c r="C14676">
        <f>IF(VLOOKUP(Table7[[#This Row],[Date]],Database!$A:$C,MATCH($C$1,Database!$A$1:$C$1,),)=0,#N/A,VLOOKUP(Table7[[#This Row],[Date]],Database!$A:$C,MATCH($C$1,Database!$A$1:$C$1,),))</f>
        <v/>
      </c>
      <c r="D14676">
        <f>IFERROR(Table7[[#This Row],[United States 10y]]-Table7[[#This Row],[United States 3y]],#N/A)</f>
        <v/>
      </c>
    </row>
    <row r="14677">
      <c r="A14677" s="6">
        <f>Database!$A16762</f>
        <v/>
      </c>
      <c r="B14677">
        <f>IF(VLOOKUP(Table7[[#This Row],[Date]],Database!$A:$C,MATCH($B$1,Database!$A$1:$C$1,),)=0,#N/A,VLOOKUP(Table7[[#This Row],[Date]],Database!$A:$C,MATCH($B$1,Database!$A$1:$C$1,),))</f>
        <v/>
      </c>
      <c r="C14677">
        <f>IF(VLOOKUP(Table7[[#This Row],[Date]],Database!$A:$C,MATCH($C$1,Database!$A$1:$C$1,),)=0,#N/A,VLOOKUP(Table7[[#This Row],[Date]],Database!$A:$C,MATCH($C$1,Database!$A$1:$C$1,),))</f>
        <v/>
      </c>
      <c r="D14677">
        <f>IFERROR(Table7[[#This Row],[United States 10y]]-Table7[[#This Row],[United States 3y]],#N/A)</f>
        <v/>
      </c>
    </row>
    <row r="14678">
      <c r="A14678" s="6">
        <f>Database!$A16763</f>
        <v/>
      </c>
      <c r="B14678">
        <f>IF(VLOOKUP(Table7[[#This Row],[Date]],Database!$A:$C,MATCH($B$1,Database!$A$1:$C$1,),)=0,#N/A,VLOOKUP(Table7[[#This Row],[Date]],Database!$A:$C,MATCH($B$1,Database!$A$1:$C$1,),))</f>
        <v/>
      </c>
      <c r="C14678">
        <f>IF(VLOOKUP(Table7[[#This Row],[Date]],Database!$A:$C,MATCH($C$1,Database!$A$1:$C$1,),)=0,#N/A,VLOOKUP(Table7[[#This Row],[Date]],Database!$A:$C,MATCH($C$1,Database!$A$1:$C$1,),))</f>
        <v/>
      </c>
      <c r="D14678">
        <f>IFERROR(Table7[[#This Row],[United States 10y]]-Table7[[#This Row],[United States 3y]],#N/A)</f>
        <v/>
      </c>
    </row>
    <row r="14679">
      <c r="A14679" s="6">
        <f>Database!$A16764</f>
        <v/>
      </c>
      <c r="B14679">
        <f>IF(VLOOKUP(Table7[[#This Row],[Date]],Database!$A:$C,MATCH($B$1,Database!$A$1:$C$1,),)=0,#N/A,VLOOKUP(Table7[[#This Row],[Date]],Database!$A:$C,MATCH($B$1,Database!$A$1:$C$1,),))</f>
        <v/>
      </c>
      <c r="C14679">
        <f>IF(VLOOKUP(Table7[[#This Row],[Date]],Database!$A:$C,MATCH($C$1,Database!$A$1:$C$1,),)=0,#N/A,VLOOKUP(Table7[[#This Row],[Date]],Database!$A:$C,MATCH($C$1,Database!$A$1:$C$1,),))</f>
        <v/>
      </c>
      <c r="D14679">
        <f>IFERROR(Table7[[#This Row],[United States 10y]]-Table7[[#This Row],[United States 3y]],#N/A)</f>
        <v/>
      </c>
    </row>
    <row r="14680">
      <c r="A14680" s="6">
        <f>Database!$A16765</f>
        <v/>
      </c>
      <c r="B14680">
        <f>IF(VLOOKUP(Table7[[#This Row],[Date]],Database!$A:$C,MATCH($B$1,Database!$A$1:$C$1,),)=0,#N/A,VLOOKUP(Table7[[#This Row],[Date]],Database!$A:$C,MATCH($B$1,Database!$A$1:$C$1,),))</f>
        <v/>
      </c>
      <c r="C14680">
        <f>IF(VLOOKUP(Table7[[#This Row],[Date]],Database!$A:$C,MATCH($C$1,Database!$A$1:$C$1,),)=0,#N/A,VLOOKUP(Table7[[#This Row],[Date]],Database!$A:$C,MATCH($C$1,Database!$A$1:$C$1,),))</f>
        <v/>
      </c>
      <c r="D14680">
        <f>IFERROR(Table7[[#This Row],[United States 10y]]-Table7[[#This Row],[United States 3y]],#N/A)</f>
        <v/>
      </c>
    </row>
    <row r="14681">
      <c r="A14681" s="6">
        <f>Database!$A16766</f>
        <v/>
      </c>
      <c r="B14681">
        <f>IF(VLOOKUP(Table7[[#This Row],[Date]],Database!$A:$C,MATCH($B$1,Database!$A$1:$C$1,),)=0,#N/A,VLOOKUP(Table7[[#This Row],[Date]],Database!$A:$C,MATCH($B$1,Database!$A$1:$C$1,),))</f>
        <v/>
      </c>
      <c r="C14681">
        <f>IF(VLOOKUP(Table7[[#This Row],[Date]],Database!$A:$C,MATCH($C$1,Database!$A$1:$C$1,),)=0,#N/A,VLOOKUP(Table7[[#This Row],[Date]],Database!$A:$C,MATCH($C$1,Database!$A$1:$C$1,),))</f>
        <v/>
      </c>
      <c r="D14681">
        <f>IFERROR(Table7[[#This Row],[United States 10y]]-Table7[[#This Row],[United States 3y]],#N/A)</f>
        <v/>
      </c>
    </row>
    <row r="14682">
      <c r="A14682" s="6">
        <f>Database!$A16767</f>
        <v/>
      </c>
      <c r="B14682">
        <f>IF(VLOOKUP(Table7[[#This Row],[Date]],Database!$A:$C,MATCH($B$1,Database!$A$1:$C$1,),)=0,#N/A,VLOOKUP(Table7[[#This Row],[Date]],Database!$A:$C,MATCH($B$1,Database!$A$1:$C$1,),))</f>
        <v/>
      </c>
      <c r="C14682">
        <f>IF(VLOOKUP(Table7[[#This Row],[Date]],Database!$A:$C,MATCH($C$1,Database!$A$1:$C$1,),)=0,#N/A,VLOOKUP(Table7[[#This Row],[Date]],Database!$A:$C,MATCH($C$1,Database!$A$1:$C$1,),))</f>
        <v/>
      </c>
      <c r="D14682">
        <f>IFERROR(Table7[[#This Row],[United States 10y]]-Table7[[#This Row],[United States 3y]],#N/A)</f>
        <v/>
      </c>
    </row>
    <row r="14683">
      <c r="A14683" s="6">
        <f>Database!$A16768</f>
        <v/>
      </c>
      <c r="B14683">
        <f>IF(VLOOKUP(Table7[[#This Row],[Date]],Database!$A:$C,MATCH($B$1,Database!$A$1:$C$1,),)=0,#N/A,VLOOKUP(Table7[[#This Row],[Date]],Database!$A:$C,MATCH($B$1,Database!$A$1:$C$1,),))</f>
        <v/>
      </c>
      <c r="C14683">
        <f>IF(VLOOKUP(Table7[[#This Row],[Date]],Database!$A:$C,MATCH($C$1,Database!$A$1:$C$1,),)=0,#N/A,VLOOKUP(Table7[[#This Row],[Date]],Database!$A:$C,MATCH($C$1,Database!$A$1:$C$1,),))</f>
        <v/>
      </c>
      <c r="D14683">
        <f>IFERROR(Table7[[#This Row],[United States 10y]]-Table7[[#This Row],[United States 3y]],#N/A)</f>
        <v/>
      </c>
    </row>
    <row r="14684">
      <c r="A14684" s="6">
        <f>Database!$A16769</f>
        <v/>
      </c>
      <c r="B14684">
        <f>IF(VLOOKUP(Table7[[#This Row],[Date]],Database!$A:$C,MATCH($B$1,Database!$A$1:$C$1,),)=0,#N/A,VLOOKUP(Table7[[#This Row],[Date]],Database!$A:$C,MATCH($B$1,Database!$A$1:$C$1,),))</f>
        <v/>
      </c>
      <c r="C14684">
        <f>IF(VLOOKUP(Table7[[#This Row],[Date]],Database!$A:$C,MATCH($C$1,Database!$A$1:$C$1,),)=0,#N/A,VLOOKUP(Table7[[#This Row],[Date]],Database!$A:$C,MATCH($C$1,Database!$A$1:$C$1,),))</f>
        <v/>
      </c>
      <c r="D14684">
        <f>IFERROR(Table7[[#This Row],[United States 10y]]-Table7[[#This Row],[United States 3y]],#N/A)</f>
        <v/>
      </c>
    </row>
    <row r="14685">
      <c r="A14685" s="6">
        <f>Database!$A16770</f>
        <v/>
      </c>
      <c r="B14685">
        <f>IF(VLOOKUP(Table7[[#This Row],[Date]],Database!$A:$C,MATCH($B$1,Database!$A$1:$C$1,),)=0,#N/A,VLOOKUP(Table7[[#This Row],[Date]],Database!$A:$C,MATCH($B$1,Database!$A$1:$C$1,),))</f>
        <v/>
      </c>
      <c r="C14685">
        <f>IF(VLOOKUP(Table7[[#This Row],[Date]],Database!$A:$C,MATCH($C$1,Database!$A$1:$C$1,),)=0,#N/A,VLOOKUP(Table7[[#This Row],[Date]],Database!$A:$C,MATCH($C$1,Database!$A$1:$C$1,),))</f>
        <v/>
      </c>
      <c r="D14685">
        <f>IFERROR(Table7[[#This Row],[United States 10y]]-Table7[[#This Row],[United States 3y]],#N/A)</f>
        <v/>
      </c>
    </row>
    <row r="14686">
      <c r="A14686" s="6">
        <f>Database!$A16771</f>
        <v/>
      </c>
      <c r="B14686">
        <f>IF(VLOOKUP(Table7[[#This Row],[Date]],Database!$A:$C,MATCH($B$1,Database!$A$1:$C$1,),)=0,#N/A,VLOOKUP(Table7[[#This Row],[Date]],Database!$A:$C,MATCH($B$1,Database!$A$1:$C$1,),))</f>
        <v/>
      </c>
      <c r="C14686">
        <f>IF(VLOOKUP(Table7[[#This Row],[Date]],Database!$A:$C,MATCH($C$1,Database!$A$1:$C$1,),)=0,#N/A,VLOOKUP(Table7[[#This Row],[Date]],Database!$A:$C,MATCH($C$1,Database!$A$1:$C$1,),))</f>
        <v/>
      </c>
      <c r="D14686">
        <f>IFERROR(Table7[[#This Row],[United States 10y]]-Table7[[#This Row],[United States 3y]],#N/A)</f>
        <v/>
      </c>
    </row>
    <row r="14687">
      <c r="A14687" s="6">
        <f>Database!$A16772</f>
        <v/>
      </c>
      <c r="B14687">
        <f>IF(VLOOKUP(Table7[[#This Row],[Date]],Database!$A:$C,MATCH($B$1,Database!$A$1:$C$1,),)=0,#N/A,VLOOKUP(Table7[[#This Row],[Date]],Database!$A:$C,MATCH($B$1,Database!$A$1:$C$1,),))</f>
        <v/>
      </c>
      <c r="C14687">
        <f>IF(VLOOKUP(Table7[[#This Row],[Date]],Database!$A:$C,MATCH($C$1,Database!$A$1:$C$1,),)=0,#N/A,VLOOKUP(Table7[[#This Row],[Date]],Database!$A:$C,MATCH($C$1,Database!$A$1:$C$1,),))</f>
        <v/>
      </c>
      <c r="D14687">
        <f>IFERROR(Table7[[#This Row],[United States 10y]]-Table7[[#This Row],[United States 3y]],#N/A)</f>
        <v/>
      </c>
    </row>
    <row r="14688">
      <c r="A14688" s="6">
        <f>Database!$A16773</f>
        <v/>
      </c>
      <c r="B14688">
        <f>IF(VLOOKUP(Table7[[#This Row],[Date]],Database!$A:$C,MATCH($B$1,Database!$A$1:$C$1,),)=0,#N/A,VLOOKUP(Table7[[#This Row],[Date]],Database!$A:$C,MATCH($B$1,Database!$A$1:$C$1,),))</f>
        <v/>
      </c>
      <c r="C14688">
        <f>IF(VLOOKUP(Table7[[#This Row],[Date]],Database!$A:$C,MATCH($C$1,Database!$A$1:$C$1,),)=0,#N/A,VLOOKUP(Table7[[#This Row],[Date]],Database!$A:$C,MATCH($C$1,Database!$A$1:$C$1,),))</f>
        <v/>
      </c>
      <c r="D14688">
        <f>IFERROR(Table7[[#This Row],[United States 10y]]-Table7[[#This Row],[United States 3y]],#N/A)</f>
        <v/>
      </c>
    </row>
    <row r="14689">
      <c r="A14689" s="6">
        <f>Database!$A16774</f>
        <v/>
      </c>
      <c r="B14689">
        <f>IF(VLOOKUP(Table7[[#This Row],[Date]],Database!$A:$C,MATCH($B$1,Database!$A$1:$C$1,),)=0,#N/A,VLOOKUP(Table7[[#This Row],[Date]],Database!$A:$C,MATCH($B$1,Database!$A$1:$C$1,),))</f>
        <v/>
      </c>
      <c r="C14689">
        <f>IF(VLOOKUP(Table7[[#This Row],[Date]],Database!$A:$C,MATCH($C$1,Database!$A$1:$C$1,),)=0,#N/A,VLOOKUP(Table7[[#This Row],[Date]],Database!$A:$C,MATCH($C$1,Database!$A$1:$C$1,),))</f>
        <v/>
      </c>
      <c r="D14689">
        <f>IFERROR(Table7[[#This Row],[United States 10y]]-Table7[[#This Row],[United States 3y]],#N/A)</f>
        <v/>
      </c>
    </row>
    <row r="14690">
      <c r="A14690" s="6">
        <f>Database!$A16775</f>
        <v/>
      </c>
      <c r="B14690">
        <f>IF(VLOOKUP(Table7[[#This Row],[Date]],Database!$A:$C,MATCH($B$1,Database!$A$1:$C$1,),)=0,#N/A,VLOOKUP(Table7[[#This Row],[Date]],Database!$A:$C,MATCH($B$1,Database!$A$1:$C$1,),))</f>
        <v/>
      </c>
      <c r="C14690">
        <f>IF(VLOOKUP(Table7[[#This Row],[Date]],Database!$A:$C,MATCH($C$1,Database!$A$1:$C$1,),)=0,#N/A,VLOOKUP(Table7[[#This Row],[Date]],Database!$A:$C,MATCH($C$1,Database!$A$1:$C$1,),))</f>
        <v/>
      </c>
      <c r="D14690">
        <f>IFERROR(Table7[[#This Row],[United States 10y]]-Table7[[#This Row],[United States 3y]],#N/A)</f>
        <v/>
      </c>
    </row>
    <row r="14691">
      <c r="A14691" s="6">
        <f>Database!$A16776</f>
        <v/>
      </c>
      <c r="B14691">
        <f>IF(VLOOKUP(Table7[[#This Row],[Date]],Database!$A:$C,MATCH($B$1,Database!$A$1:$C$1,),)=0,#N/A,VLOOKUP(Table7[[#This Row],[Date]],Database!$A:$C,MATCH($B$1,Database!$A$1:$C$1,),))</f>
        <v/>
      </c>
      <c r="C14691">
        <f>IF(VLOOKUP(Table7[[#This Row],[Date]],Database!$A:$C,MATCH($C$1,Database!$A$1:$C$1,),)=0,#N/A,VLOOKUP(Table7[[#This Row],[Date]],Database!$A:$C,MATCH($C$1,Database!$A$1:$C$1,),))</f>
        <v/>
      </c>
      <c r="D14691">
        <f>IFERROR(Table7[[#This Row],[United States 10y]]-Table7[[#This Row],[United States 3y]],#N/A)</f>
        <v/>
      </c>
    </row>
    <row r="14692">
      <c r="A14692" s="6">
        <f>Database!$A16777</f>
        <v/>
      </c>
      <c r="B14692">
        <f>IF(VLOOKUP(Table7[[#This Row],[Date]],Database!$A:$C,MATCH($B$1,Database!$A$1:$C$1,),)=0,#N/A,VLOOKUP(Table7[[#This Row],[Date]],Database!$A:$C,MATCH($B$1,Database!$A$1:$C$1,),))</f>
        <v/>
      </c>
      <c r="C14692">
        <f>IF(VLOOKUP(Table7[[#This Row],[Date]],Database!$A:$C,MATCH($C$1,Database!$A$1:$C$1,),)=0,#N/A,VLOOKUP(Table7[[#This Row],[Date]],Database!$A:$C,MATCH($C$1,Database!$A$1:$C$1,),))</f>
        <v/>
      </c>
      <c r="D14692">
        <f>IFERROR(Table7[[#This Row],[United States 10y]]-Table7[[#This Row],[United States 3y]],#N/A)</f>
        <v/>
      </c>
    </row>
    <row r="14693">
      <c r="A14693" s="6">
        <f>Database!$A16778</f>
        <v/>
      </c>
      <c r="B14693">
        <f>IF(VLOOKUP(Table7[[#This Row],[Date]],Database!$A:$C,MATCH($B$1,Database!$A$1:$C$1,),)=0,#N/A,VLOOKUP(Table7[[#This Row],[Date]],Database!$A:$C,MATCH($B$1,Database!$A$1:$C$1,),))</f>
        <v/>
      </c>
      <c r="C14693">
        <f>IF(VLOOKUP(Table7[[#This Row],[Date]],Database!$A:$C,MATCH($C$1,Database!$A$1:$C$1,),)=0,#N/A,VLOOKUP(Table7[[#This Row],[Date]],Database!$A:$C,MATCH($C$1,Database!$A$1:$C$1,),))</f>
        <v/>
      </c>
      <c r="D14693">
        <f>IFERROR(Table7[[#This Row],[United States 10y]]-Table7[[#This Row],[United States 3y]],#N/A)</f>
        <v/>
      </c>
    </row>
    <row r="14694">
      <c r="A14694" s="6">
        <f>Database!$A16779</f>
        <v/>
      </c>
      <c r="B14694">
        <f>IF(VLOOKUP(Table7[[#This Row],[Date]],Database!$A:$C,MATCH($B$1,Database!$A$1:$C$1,),)=0,#N/A,VLOOKUP(Table7[[#This Row],[Date]],Database!$A:$C,MATCH($B$1,Database!$A$1:$C$1,),))</f>
        <v/>
      </c>
      <c r="C14694">
        <f>IF(VLOOKUP(Table7[[#This Row],[Date]],Database!$A:$C,MATCH($C$1,Database!$A$1:$C$1,),)=0,#N/A,VLOOKUP(Table7[[#This Row],[Date]],Database!$A:$C,MATCH($C$1,Database!$A$1:$C$1,),))</f>
        <v/>
      </c>
      <c r="D14694">
        <f>IFERROR(Table7[[#This Row],[United States 10y]]-Table7[[#This Row],[United States 3y]],#N/A)</f>
        <v/>
      </c>
    </row>
    <row r="14695">
      <c r="A14695" s="6">
        <f>Database!$A16780</f>
        <v/>
      </c>
      <c r="B14695">
        <f>IF(VLOOKUP(Table7[[#This Row],[Date]],Database!$A:$C,MATCH($B$1,Database!$A$1:$C$1,),)=0,#N/A,VLOOKUP(Table7[[#This Row],[Date]],Database!$A:$C,MATCH($B$1,Database!$A$1:$C$1,),))</f>
        <v/>
      </c>
      <c r="C14695">
        <f>IF(VLOOKUP(Table7[[#This Row],[Date]],Database!$A:$C,MATCH($C$1,Database!$A$1:$C$1,),)=0,#N/A,VLOOKUP(Table7[[#This Row],[Date]],Database!$A:$C,MATCH($C$1,Database!$A$1:$C$1,),))</f>
        <v/>
      </c>
      <c r="D14695">
        <f>IFERROR(Table7[[#This Row],[United States 10y]]-Table7[[#This Row],[United States 3y]],#N/A)</f>
        <v/>
      </c>
    </row>
    <row r="14696">
      <c r="A14696" s="6">
        <f>Database!$A16781</f>
        <v/>
      </c>
      <c r="B14696">
        <f>IF(VLOOKUP(Table7[[#This Row],[Date]],Database!$A:$C,MATCH($B$1,Database!$A$1:$C$1,),)=0,#N/A,VLOOKUP(Table7[[#This Row],[Date]],Database!$A:$C,MATCH($B$1,Database!$A$1:$C$1,),))</f>
        <v/>
      </c>
      <c r="C14696">
        <f>IF(VLOOKUP(Table7[[#This Row],[Date]],Database!$A:$C,MATCH($C$1,Database!$A$1:$C$1,),)=0,#N/A,VLOOKUP(Table7[[#This Row],[Date]],Database!$A:$C,MATCH($C$1,Database!$A$1:$C$1,),))</f>
        <v/>
      </c>
      <c r="D14696">
        <f>IFERROR(Table7[[#This Row],[United States 10y]]-Table7[[#This Row],[United States 3y]],#N/A)</f>
        <v/>
      </c>
    </row>
    <row r="14697">
      <c r="A14697" s="6">
        <f>Database!$A16782</f>
        <v/>
      </c>
      <c r="B14697">
        <f>IF(VLOOKUP(Table7[[#This Row],[Date]],Database!$A:$C,MATCH($B$1,Database!$A$1:$C$1,),)=0,#N/A,VLOOKUP(Table7[[#This Row],[Date]],Database!$A:$C,MATCH($B$1,Database!$A$1:$C$1,),))</f>
        <v/>
      </c>
      <c r="C14697">
        <f>IF(VLOOKUP(Table7[[#This Row],[Date]],Database!$A:$C,MATCH($C$1,Database!$A$1:$C$1,),)=0,#N/A,VLOOKUP(Table7[[#This Row],[Date]],Database!$A:$C,MATCH($C$1,Database!$A$1:$C$1,),))</f>
        <v/>
      </c>
      <c r="D14697">
        <f>IFERROR(Table7[[#This Row],[United States 10y]]-Table7[[#This Row],[United States 3y]],#N/A)</f>
        <v/>
      </c>
    </row>
    <row r="14698">
      <c r="A14698" s="6">
        <f>Database!$A16783</f>
        <v/>
      </c>
      <c r="B14698">
        <f>IF(VLOOKUP(Table7[[#This Row],[Date]],Database!$A:$C,MATCH($B$1,Database!$A$1:$C$1,),)=0,#N/A,VLOOKUP(Table7[[#This Row],[Date]],Database!$A:$C,MATCH($B$1,Database!$A$1:$C$1,),))</f>
        <v/>
      </c>
      <c r="C14698">
        <f>IF(VLOOKUP(Table7[[#This Row],[Date]],Database!$A:$C,MATCH($C$1,Database!$A$1:$C$1,),)=0,#N/A,VLOOKUP(Table7[[#This Row],[Date]],Database!$A:$C,MATCH($C$1,Database!$A$1:$C$1,),))</f>
        <v/>
      </c>
      <c r="D14698">
        <f>IFERROR(Table7[[#This Row],[United States 10y]]-Table7[[#This Row],[United States 3y]],#N/A)</f>
        <v/>
      </c>
    </row>
    <row r="14699">
      <c r="A14699" s="6">
        <f>Database!$A16784</f>
        <v/>
      </c>
      <c r="B14699">
        <f>IF(VLOOKUP(Table7[[#This Row],[Date]],Database!$A:$C,MATCH($B$1,Database!$A$1:$C$1,),)=0,#N/A,VLOOKUP(Table7[[#This Row],[Date]],Database!$A:$C,MATCH($B$1,Database!$A$1:$C$1,),))</f>
        <v/>
      </c>
      <c r="C14699">
        <f>IF(VLOOKUP(Table7[[#This Row],[Date]],Database!$A:$C,MATCH($C$1,Database!$A$1:$C$1,),)=0,#N/A,VLOOKUP(Table7[[#This Row],[Date]],Database!$A:$C,MATCH($C$1,Database!$A$1:$C$1,),))</f>
        <v/>
      </c>
      <c r="D14699">
        <f>IFERROR(Table7[[#This Row],[United States 10y]]-Table7[[#This Row],[United States 3y]],#N/A)</f>
        <v/>
      </c>
    </row>
    <row r="14700">
      <c r="A14700" s="6">
        <f>Database!$A16785</f>
        <v/>
      </c>
      <c r="B14700">
        <f>IF(VLOOKUP(Table7[[#This Row],[Date]],Database!$A:$C,MATCH($B$1,Database!$A$1:$C$1,),)=0,#N/A,VLOOKUP(Table7[[#This Row],[Date]],Database!$A:$C,MATCH($B$1,Database!$A$1:$C$1,),))</f>
        <v/>
      </c>
      <c r="C14700">
        <f>IF(VLOOKUP(Table7[[#This Row],[Date]],Database!$A:$C,MATCH($C$1,Database!$A$1:$C$1,),)=0,#N/A,VLOOKUP(Table7[[#This Row],[Date]],Database!$A:$C,MATCH($C$1,Database!$A$1:$C$1,),))</f>
        <v/>
      </c>
      <c r="D14700">
        <f>IFERROR(Table7[[#This Row],[United States 10y]]-Table7[[#This Row],[United States 3y]],#N/A)</f>
        <v/>
      </c>
    </row>
    <row r="14701">
      <c r="A14701" s="6">
        <f>Database!$A16786</f>
        <v/>
      </c>
      <c r="B14701">
        <f>IF(VLOOKUP(Table7[[#This Row],[Date]],Database!$A:$C,MATCH($B$1,Database!$A$1:$C$1,),)=0,#N/A,VLOOKUP(Table7[[#This Row],[Date]],Database!$A:$C,MATCH($B$1,Database!$A$1:$C$1,),))</f>
        <v/>
      </c>
      <c r="C14701">
        <f>IF(VLOOKUP(Table7[[#This Row],[Date]],Database!$A:$C,MATCH($C$1,Database!$A$1:$C$1,),)=0,#N/A,VLOOKUP(Table7[[#This Row],[Date]],Database!$A:$C,MATCH($C$1,Database!$A$1:$C$1,),))</f>
        <v/>
      </c>
      <c r="D14701">
        <f>IFERROR(Table7[[#This Row],[United States 10y]]-Table7[[#This Row],[United States 3y]],#N/A)</f>
        <v/>
      </c>
    </row>
    <row r="14702">
      <c r="A14702" s="6">
        <f>Database!$A16787</f>
        <v/>
      </c>
      <c r="B14702">
        <f>IF(VLOOKUP(Table7[[#This Row],[Date]],Database!$A:$C,MATCH($B$1,Database!$A$1:$C$1,),)=0,#N/A,VLOOKUP(Table7[[#This Row],[Date]],Database!$A:$C,MATCH($B$1,Database!$A$1:$C$1,),))</f>
        <v/>
      </c>
      <c r="C14702">
        <f>IF(VLOOKUP(Table7[[#This Row],[Date]],Database!$A:$C,MATCH($C$1,Database!$A$1:$C$1,),)=0,#N/A,VLOOKUP(Table7[[#This Row],[Date]],Database!$A:$C,MATCH($C$1,Database!$A$1:$C$1,),))</f>
        <v/>
      </c>
      <c r="D14702">
        <f>IFERROR(Table7[[#This Row],[United States 10y]]-Table7[[#This Row],[United States 3y]],#N/A)</f>
        <v/>
      </c>
    </row>
    <row r="14703">
      <c r="A14703" s="6">
        <f>Database!$A16788</f>
        <v/>
      </c>
      <c r="B14703">
        <f>IF(VLOOKUP(Table7[[#This Row],[Date]],Database!$A:$C,MATCH($B$1,Database!$A$1:$C$1,),)=0,#N/A,VLOOKUP(Table7[[#This Row],[Date]],Database!$A:$C,MATCH($B$1,Database!$A$1:$C$1,),))</f>
        <v/>
      </c>
      <c r="C14703">
        <f>IF(VLOOKUP(Table7[[#This Row],[Date]],Database!$A:$C,MATCH($C$1,Database!$A$1:$C$1,),)=0,#N/A,VLOOKUP(Table7[[#This Row],[Date]],Database!$A:$C,MATCH($C$1,Database!$A$1:$C$1,),))</f>
        <v/>
      </c>
      <c r="D14703">
        <f>IFERROR(Table7[[#This Row],[United States 10y]]-Table7[[#This Row],[United States 3y]],#N/A)</f>
        <v/>
      </c>
    </row>
    <row r="14704">
      <c r="A14704" s="6">
        <f>Database!$A16789</f>
        <v/>
      </c>
      <c r="B14704">
        <f>IF(VLOOKUP(Table7[[#This Row],[Date]],Database!$A:$C,MATCH($B$1,Database!$A$1:$C$1,),)=0,#N/A,VLOOKUP(Table7[[#This Row],[Date]],Database!$A:$C,MATCH($B$1,Database!$A$1:$C$1,),))</f>
        <v/>
      </c>
      <c r="C14704">
        <f>IF(VLOOKUP(Table7[[#This Row],[Date]],Database!$A:$C,MATCH($C$1,Database!$A$1:$C$1,),)=0,#N/A,VLOOKUP(Table7[[#This Row],[Date]],Database!$A:$C,MATCH($C$1,Database!$A$1:$C$1,),))</f>
        <v/>
      </c>
      <c r="D14704">
        <f>IFERROR(Table7[[#This Row],[United States 10y]]-Table7[[#This Row],[United States 3y]],#N/A)</f>
        <v/>
      </c>
    </row>
    <row r="14705">
      <c r="A14705" s="6">
        <f>Database!$A16790</f>
        <v/>
      </c>
      <c r="B14705">
        <f>IF(VLOOKUP(Table7[[#This Row],[Date]],Database!$A:$C,MATCH($B$1,Database!$A$1:$C$1,),)=0,#N/A,VLOOKUP(Table7[[#This Row],[Date]],Database!$A:$C,MATCH($B$1,Database!$A$1:$C$1,),))</f>
        <v/>
      </c>
      <c r="C14705">
        <f>IF(VLOOKUP(Table7[[#This Row],[Date]],Database!$A:$C,MATCH($C$1,Database!$A$1:$C$1,),)=0,#N/A,VLOOKUP(Table7[[#This Row],[Date]],Database!$A:$C,MATCH($C$1,Database!$A$1:$C$1,),))</f>
        <v/>
      </c>
      <c r="D14705">
        <f>IFERROR(Table7[[#This Row],[United States 10y]]-Table7[[#This Row],[United States 3y]],#N/A)</f>
        <v/>
      </c>
    </row>
    <row r="14706">
      <c r="A14706" s="6">
        <f>Database!$A16791</f>
        <v/>
      </c>
      <c r="B14706">
        <f>IF(VLOOKUP(Table7[[#This Row],[Date]],Database!$A:$C,MATCH($B$1,Database!$A$1:$C$1,),)=0,#N/A,VLOOKUP(Table7[[#This Row],[Date]],Database!$A:$C,MATCH($B$1,Database!$A$1:$C$1,),))</f>
        <v/>
      </c>
      <c r="C14706">
        <f>IF(VLOOKUP(Table7[[#This Row],[Date]],Database!$A:$C,MATCH($C$1,Database!$A$1:$C$1,),)=0,#N/A,VLOOKUP(Table7[[#This Row],[Date]],Database!$A:$C,MATCH($C$1,Database!$A$1:$C$1,),))</f>
        <v/>
      </c>
      <c r="D14706">
        <f>IFERROR(Table7[[#This Row],[United States 10y]]-Table7[[#This Row],[United States 3y]],#N/A)</f>
        <v/>
      </c>
    </row>
    <row r="14707">
      <c r="A14707" s="6">
        <f>Database!$A16792</f>
        <v/>
      </c>
      <c r="B14707">
        <f>IF(VLOOKUP(Table7[[#This Row],[Date]],Database!$A:$C,MATCH($B$1,Database!$A$1:$C$1,),)=0,#N/A,VLOOKUP(Table7[[#This Row],[Date]],Database!$A:$C,MATCH($B$1,Database!$A$1:$C$1,),))</f>
        <v/>
      </c>
      <c r="C14707">
        <f>IF(VLOOKUP(Table7[[#This Row],[Date]],Database!$A:$C,MATCH($C$1,Database!$A$1:$C$1,),)=0,#N/A,VLOOKUP(Table7[[#This Row],[Date]],Database!$A:$C,MATCH($C$1,Database!$A$1:$C$1,),))</f>
        <v/>
      </c>
      <c r="D14707">
        <f>IFERROR(Table7[[#This Row],[United States 10y]]-Table7[[#This Row],[United States 3y]],#N/A)</f>
        <v/>
      </c>
    </row>
    <row r="14708">
      <c r="A14708" s="6">
        <f>Database!$A16793</f>
        <v/>
      </c>
      <c r="B14708">
        <f>IF(VLOOKUP(Table7[[#This Row],[Date]],Database!$A:$C,MATCH($B$1,Database!$A$1:$C$1,),)=0,#N/A,VLOOKUP(Table7[[#This Row],[Date]],Database!$A:$C,MATCH($B$1,Database!$A$1:$C$1,),))</f>
        <v/>
      </c>
      <c r="C14708">
        <f>IF(VLOOKUP(Table7[[#This Row],[Date]],Database!$A:$C,MATCH($C$1,Database!$A$1:$C$1,),)=0,#N/A,VLOOKUP(Table7[[#This Row],[Date]],Database!$A:$C,MATCH($C$1,Database!$A$1:$C$1,),))</f>
        <v/>
      </c>
      <c r="D14708">
        <f>IFERROR(Table7[[#This Row],[United States 10y]]-Table7[[#This Row],[United States 3y]],#N/A)</f>
        <v/>
      </c>
    </row>
    <row r="14709">
      <c r="A14709" s="6">
        <f>Database!$A16794</f>
        <v/>
      </c>
      <c r="B14709">
        <f>IF(VLOOKUP(Table7[[#This Row],[Date]],Database!$A:$C,MATCH($B$1,Database!$A$1:$C$1,),)=0,#N/A,VLOOKUP(Table7[[#This Row],[Date]],Database!$A:$C,MATCH($B$1,Database!$A$1:$C$1,),))</f>
        <v/>
      </c>
      <c r="C14709">
        <f>IF(VLOOKUP(Table7[[#This Row],[Date]],Database!$A:$C,MATCH($C$1,Database!$A$1:$C$1,),)=0,#N/A,VLOOKUP(Table7[[#This Row],[Date]],Database!$A:$C,MATCH($C$1,Database!$A$1:$C$1,),))</f>
        <v/>
      </c>
      <c r="D14709">
        <f>IFERROR(Table7[[#This Row],[United States 10y]]-Table7[[#This Row],[United States 3y]],#N/A)</f>
        <v/>
      </c>
    </row>
    <row r="14710">
      <c r="A14710" s="6">
        <f>Database!$A16795</f>
        <v/>
      </c>
      <c r="B14710">
        <f>IF(VLOOKUP(Table7[[#This Row],[Date]],Database!$A:$C,MATCH($B$1,Database!$A$1:$C$1,),)=0,#N/A,VLOOKUP(Table7[[#This Row],[Date]],Database!$A:$C,MATCH($B$1,Database!$A$1:$C$1,),))</f>
        <v/>
      </c>
      <c r="C14710">
        <f>IF(VLOOKUP(Table7[[#This Row],[Date]],Database!$A:$C,MATCH($C$1,Database!$A$1:$C$1,),)=0,#N/A,VLOOKUP(Table7[[#This Row],[Date]],Database!$A:$C,MATCH($C$1,Database!$A$1:$C$1,),))</f>
        <v/>
      </c>
      <c r="D14710">
        <f>IFERROR(Table7[[#This Row],[United States 10y]]-Table7[[#This Row],[United States 3y]],#N/A)</f>
        <v/>
      </c>
    </row>
    <row r="14711">
      <c r="A14711" s="6">
        <f>Database!$A16796</f>
        <v/>
      </c>
      <c r="B14711">
        <f>IF(VLOOKUP(Table7[[#This Row],[Date]],Database!$A:$C,MATCH($B$1,Database!$A$1:$C$1,),)=0,#N/A,VLOOKUP(Table7[[#This Row],[Date]],Database!$A:$C,MATCH($B$1,Database!$A$1:$C$1,),))</f>
        <v/>
      </c>
      <c r="C14711">
        <f>IF(VLOOKUP(Table7[[#This Row],[Date]],Database!$A:$C,MATCH($C$1,Database!$A$1:$C$1,),)=0,#N/A,VLOOKUP(Table7[[#This Row],[Date]],Database!$A:$C,MATCH($C$1,Database!$A$1:$C$1,),))</f>
        <v/>
      </c>
      <c r="D14711">
        <f>IFERROR(Table7[[#This Row],[United States 10y]]-Table7[[#This Row],[United States 3y]],#N/A)</f>
        <v/>
      </c>
    </row>
    <row r="14712">
      <c r="A14712" s="6">
        <f>Database!$A16797</f>
        <v/>
      </c>
      <c r="B14712">
        <f>IF(VLOOKUP(Table7[[#This Row],[Date]],Database!$A:$C,MATCH($B$1,Database!$A$1:$C$1,),)=0,#N/A,VLOOKUP(Table7[[#This Row],[Date]],Database!$A:$C,MATCH($B$1,Database!$A$1:$C$1,),))</f>
        <v/>
      </c>
      <c r="C14712">
        <f>IF(VLOOKUP(Table7[[#This Row],[Date]],Database!$A:$C,MATCH($C$1,Database!$A$1:$C$1,),)=0,#N/A,VLOOKUP(Table7[[#This Row],[Date]],Database!$A:$C,MATCH($C$1,Database!$A$1:$C$1,),))</f>
        <v/>
      </c>
      <c r="D14712">
        <f>IFERROR(Table7[[#This Row],[United States 10y]]-Table7[[#This Row],[United States 3y]],#N/A)</f>
        <v/>
      </c>
    </row>
    <row r="14713">
      <c r="A14713" s="6">
        <f>Database!$A16798</f>
        <v/>
      </c>
      <c r="B14713">
        <f>IF(VLOOKUP(Table7[[#This Row],[Date]],Database!$A:$C,MATCH($B$1,Database!$A$1:$C$1,),)=0,#N/A,VLOOKUP(Table7[[#This Row],[Date]],Database!$A:$C,MATCH($B$1,Database!$A$1:$C$1,),))</f>
        <v/>
      </c>
      <c r="C14713">
        <f>IF(VLOOKUP(Table7[[#This Row],[Date]],Database!$A:$C,MATCH($C$1,Database!$A$1:$C$1,),)=0,#N/A,VLOOKUP(Table7[[#This Row],[Date]],Database!$A:$C,MATCH($C$1,Database!$A$1:$C$1,),))</f>
        <v/>
      </c>
      <c r="D14713">
        <f>IFERROR(Table7[[#This Row],[United States 10y]]-Table7[[#This Row],[United States 3y]],#N/A)</f>
        <v/>
      </c>
    </row>
    <row r="14714">
      <c r="A14714" s="6">
        <f>Database!$A16799</f>
        <v/>
      </c>
      <c r="B14714">
        <f>IF(VLOOKUP(Table7[[#This Row],[Date]],Database!$A:$C,MATCH($B$1,Database!$A$1:$C$1,),)=0,#N/A,VLOOKUP(Table7[[#This Row],[Date]],Database!$A:$C,MATCH($B$1,Database!$A$1:$C$1,),))</f>
        <v/>
      </c>
      <c r="C14714">
        <f>IF(VLOOKUP(Table7[[#This Row],[Date]],Database!$A:$C,MATCH($C$1,Database!$A$1:$C$1,),)=0,#N/A,VLOOKUP(Table7[[#This Row],[Date]],Database!$A:$C,MATCH($C$1,Database!$A$1:$C$1,),))</f>
        <v/>
      </c>
      <c r="D14714">
        <f>IFERROR(Table7[[#This Row],[United States 10y]]-Table7[[#This Row],[United States 3y]],#N/A)</f>
        <v/>
      </c>
    </row>
    <row r="14715">
      <c r="A14715" s="6">
        <f>Database!$A16800</f>
        <v/>
      </c>
      <c r="B14715">
        <f>IF(VLOOKUP(Table7[[#This Row],[Date]],Database!$A:$C,MATCH($B$1,Database!$A$1:$C$1,),)=0,#N/A,VLOOKUP(Table7[[#This Row],[Date]],Database!$A:$C,MATCH($B$1,Database!$A$1:$C$1,),))</f>
        <v/>
      </c>
      <c r="C14715">
        <f>IF(VLOOKUP(Table7[[#This Row],[Date]],Database!$A:$C,MATCH($C$1,Database!$A$1:$C$1,),)=0,#N/A,VLOOKUP(Table7[[#This Row],[Date]],Database!$A:$C,MATCH($C$1,Database!$A$1:$C$1,),))</f>
        <v/>
      </c>
      <c r="D14715">
        <f>IFERROR(Table7[[#This Row],[United States 10y]]-Table7[[#This Row],[United States 3y]],#N/A)</f>
        <v/>
      </c>
    </row>
    <row r="14716">
      <c r="A14716" s="6">
        <f>Database!$A16801</f>
        <v/>
      </c>
      <c r="B14716">
        <f>IF(VLOOKUP(Table7[[#This Row],[Date]],Database!$A:$C,MATCH($B$1,Database!$A$1:$C$1,),)=0,#N/A,VLOOKUP(Table7[[#This Row],[Date]],Database!$A:$C,MATCH($B$1,Database!$A$1:$C$1,),))</f>
        <v/>
      </c>
      <c r="C14716">
        <f>IF(VLOOKUP(Table7[[#This Row],[Date]],Database!$A:$C,MATCH($C$1,Database!$A$1:$C$1,),)=0,#N/A,VLOOKUP(Table7[[#This Row],[Date]],Database!$A:$C,MATCH($C$1,Database!$A$1:$C$1,),))</f>
        <v/>
      </c>
      <c r="D14716">
        <f>IFERROR(Table7[[#This Row],[United States 10y]]-Table7[[#This Row],[United States 3y]],#N/A)</f>
        <v/>
      </c>
    </row>
    <row r="14717">
      <c r="A14717" s="6">
        <f>Database!$A16802</f>
        <v/>
      </c>
      <c r="B14717">
        <f>IF(VLOOKUP(Table7[[#This Row],[Date]],Database!$A:$C,MATCH($B$1,Database!$A$1:$C$1,),)=0,#N/A,VLOOKUP(Table7[[#This Row],[Date]],Database!$A:$C,MATCH($B$1,Database!$A$1:$C$1,),))</f>
        <v/>
      </c>
      <c r="C14717">
        <f>IF(VLOOKUP(Table7[[#This Row],[Date]],Database!$A:$C,MATCH($C$1,Database!$A$1:$C$1,),)=0,#N/A,VLOOKUP(Table7[[#This Row],[Date]],Database!$A:$C,MATCH($C$1,Database!$A$1:$C$1,),))</f>
        <v/>
      </c>
      <c r="D14717">
        <f>IFERROR(Table7[[#This Row],[United States 10y]]-Table7[[#This Row],[United States 3y]],#N/A)</f>
        <v/>
      </c>
    </row>
    <row r="14718">
      <c r="A14718" s="6">
        <f>Database!$A16803</f>
        <v/>
      </c>
      <c r="B14718">
        <f>IF(VLOOKUP(Table7[[#This Row],[Date]],Database!$A:$C,MATCH($B$1,Database!$A$1:$C$1,),)=0,#N/A,VLOOKUP(Table7[[#This Row],[Date]],Database!$A:$C,MATCH($B$1,Database!$A$1:$C$1,),))</f>
        <v/>
      </c>
      <c r="C14718">
        <f>IF(VLOOKUP(Table7[[#This Row],[Date]],Database!$A:$C,MATCH($C$1,Database!$A$1:$C$1,),)=0,#N/A,VLOOKUP(Table7[[#This Row],[Date]],Database!$A:$C,MATCH($C$1,Database!$A$1:$C$1,),))</f>
        <v/>
      </c>
      <c r="D14718">
        <f>IFERROR(Table7[[#This Row],[United States 10y]]-Table7[[#This Row],[United States 3y]],#N/A)</f>
        <v/>
      </c>
    </row>
    <row r="14719">
      <c r="A14719" s="6">
        <f>Database!$A16804</f>
        <v/>
      </c>
      <c r="B14719">
        <f>IF(VLOOKUP(Table7[[#This Row],[Date]],Database!$A:$C,MATCH($B$1,Database!$A$1:$C$1,),)=0,#N/A,VLOOKUP(Table7[[#This Row],[Date]],Database!$A:$C,MATCH($B$1,Database!$A$1:$C$1,),))</f>
        <v/>
      </c>
      <c r="C14719">
        <f>IF(VLOOKUP(Table7[[#This Row],[Date]],Database!$A:$C,MATCH($C$1,Database!$A$1:$C$1,),)=0,#N/A,VLOOKUP(Table7[[#This Row],[Date]],Database!$A:$C,MATCH($C$1,Database!$A$1:$C$1,),))</f>
        <v/>
      </c>
      <c r="D14719">
        <f>IFERROR(Table7[[#This Row],[United States 10y]]-Table7[[#This Row],[United States 3y]],#N/A)</f>
        <v/>
      </c>
    </row>
    <row r="14720">
      <c r="A14720" s="6">
        <f>Database!$A16805</f>
        <v/>
      </c>
      <c r="B14720">
        <f>IF(VLOOKUP(Table7[[#This Row],[Date]],Database!$A:$C,MATCH($B$1,Database!$A$1:$C$1,),)=0,#N/A,VLOOKUP(Table7[[#This Row],[Date]],Database!$A:$C,MATCH($B$1,Database!$A$1:$C$1,),))</f>
        <v/>
      </c>
      <c r="C14720">
        <f>IF(VLOOKUP(Table7[[#This Row],[Date]],Database!$A:$C,MATCH($C$1,Database!$A$1:$C$1,),)=0,#N/A,VLOOKUP(Table7[[#This Row],[Date]],Database!$A:$C,MATCH($C$1,Database!$A$1:$C$1,),))</f>
        <v/>
      </c>
      <c r="D14720">
        <f>IFERROR(Table7[[#This Row],[United States 10y]]-Table7[[#This Row],[United States 3y]],#N/A)</f>
        <v/>
      </c>
    </row>
    <row r="14721">
      <c r="A14721" s="6">
        <f>Database!$A16806</f>
        <v/>
      </c>
      <c r="B14721">
        <f>IF(VLOOKUP(Table7[[#This Row],[Date]],Database!$A:$C,MATCH($B$1,Database!$A$1:$C$1,),)=0,#N/A,VLOOKUP(Table7[[#This Row],[Date]],Database!$A:$C,MATCH($B$1,Database!$A$1:$C$1,),))</f>
        <v/>
      </c>
      <c r="C14721">
        <f>IF(VLOOKUP(Table7[[#This Row],[Date]],Database!$A:$C,MATCH($C$1,Database!$A$1:$C$1,),)=0,#N/A,VLOOKUP(Table7[[#This Row],[Date]],Database!$A:$C,MATCH($C$1,Database!$A$1:$C$1,),))</f>
        <v/>
      </c>
      <c r="D14721">
        <f>IFERROR(Table7[[#This Row],[United States 10y]]-Table7[[#This Row],[United States 3y]],#N/A)</f>
        <v/>
      </c>
    </row>
    <row r="14722">
      <c r="A14722" s="6">
        <f>Database!$A16807</f>
        <v/>
      </c>
      <c r="B14722">
        <f>IF(VLOOKUP(Table7[[#This Row],[Date]],Database!$A:$C,MATCH($B$1,Database!$A$1:$C$1,),)=0,#N/A,VLOOKUP(Table7[[#This Row],[Date]],Database!$A:$C,MATCH($B$1,Database!$A$1:$C$1,),))</f>
        <v/>
      </c>
      <c r="C14722">
        <f>IF(VLOOKUP(Table7[[#This Row],[Date]],Database!$A:$C,MATCH($C$1,Database!$A$1:$C$1,),)=0,#N/A,VLOOKUP(Table7[[#This Row],[Date]],Database!$A:$C,MATCH($C$1,Database!$A$1:$C$1,),))</f>
        <v/>
      </c>
      <c r="D14722">
        <f>IFERROR(Table7[[#This Row],[United States 10y]]-Table7[[#This Row],[United States 3y]],#N/A)</f>
        <v/>
      </c>
    </row>
    <row r="14723">
      <c r="A14723" s="6">
        <f>Database!$A16808</f>
        <v/>
      </c>
      <c r="B14723">
        <f>IF(VLOOKUP(Table7[[#This Row],[Date]],Database!$A:$C,MATCH($B$1,Database!$A$1:$C$1,),)=0,#N/A,VLOOKUP(Table7[[#This Row],[Date]],Database!$A:$C,MATCH($B$1,Database!$A$1:$C$1,),))</f>
        <v/>
      </c>
      <c r="C14723">
        <f>IF(VLOOKUP(Table7[[#This Row],[Date]],Database!$A:$C,MATCH($C$1,Database!$A$1:$C$1,),)=0,#N/A,VLOOKUP(Table7[[#This Row],[Date]],Database!$A:$C,MATCH($C$1,Database!$A$1:$C$1,),))</f>
        <v/>
      </c>
      <c r="D14723">
        <f>IFERROR(Table7[[#This Row],[United States 10y]]-Table7[[#This Row],[United States 3y]],#N/A)</f>
        <v/>
      </c>
    </row>
    <row r="14724">
      <c r="A14724" s="6">
        <f>Database!$A16809</f>
        <v/>
      </c>
      <c r="B14724">
        <f>IF(VLOOKUP(Table7[[#This Row],[Date]],Database!$A:$C,MATCH($B$1,Database!$A$1:$C$1,),)=0,#N/A,VLOOKUP(Table7[[#This Row],[Date]],Database!$A:$C,MATCH($B$1,Database!$A$1:$C$1,),))</f>
        <v/>
      </c>
      <c r="C14724">
        <f>IF(VLOOKUP(Table7[[#This Row],[Date]],Database!$A:$C,MATCH($C$1,Database!$A$1:$C$1,),)=0,#N/A,VLOOKUP(Table7[[#This Row],[Date]],Database!$A:$C,MATCH($C$1,Database!$A$1:$C$1,),))</f>
        <v/>
      </c>
      <c r="D14724">
        <f>IFERROR(Table7[[#This Row],[United States 10y]]-Table7[[#This Row],[United States 3y]],#N/A)</f>
        <v/>
      </c>
    </row>
    <row r="14725">
      <c r="A14725" s="6">
        <f>Database!$A16810</f>
        <v/>
      </c>
      <c r="B14725">
        <f>IF(VLOOKUP(Table7[[#This Row],[Date]],Database!$A:$C,MATCH($B$1,Database!$A$1:$C$1,),)=0,#N/A,VLOOKUP(Table7[[#This Row],[Date]],Database!$A:$C,MATCH($B$1,Database!$A$1:$C$1,),))</f>
        <v/>
      </c>
      <c r="C14725">
        <f>IF(VLOOKUP(Table7[[#This Row],[Date]],Database!$A:$C,MATCH($C$1,Database!$A$1:$C$1,),)=0,#N/A,VLOOKUP(Table7[[#This Row],[Date]],Database!$A:$C,MATCH($C$1,Database!$A$1:$C$1,),))</f>
        <v/>
      </c>
      <c r="D14725">
        <f>IFERROR(Table7[[#This Row],[United States 10y]]-Table7[[#This Row],[United States 3y]],#N/A)</f>
        <v/>
      </c>
    </row>
    <row r="14726">
      <c r="A14726" s="6">
        <f>Database!$A16811</f>
        <v/>
      </c>
      <c r="B14726">
        <f>IF(VLOOKUP(Table7[[#This Row],[Date]],Database!$A:$C,MATCH($B$1,Database!$A$1:$C$1,),)=0,#N/A,VLOOKUP(Table7[[#This Row],[Date]],Database!$A:$C,MATCH($B$1,Database!$A$1:$C$1,),))</f>
        <v/>
      </c>
      <c r="C14726">
        <f>IF(VLOOKUP(Table7[[#This Row],[Date]],Database!$A:$C,MATCH($C$1,Database!$A$1:$C$1,),)=0,#N/A,VLOOKUP(Table7[[#This Row],[Date]],Database!$A:$C,MATCH($C$1,Database!$A$1:$C$1,),))</f>
        <v/>
      </c>
      <c r="D14726">
        <f>IFERROR(Table7[[#This Row],[United States 10y]]-Table7[[#This Row],[United States 3y]],#N/A)</f>
        <v/>
      </c>
    </row>
    <row r="14727">
      <c r="A14727" s="6">
        <f>Database!$A16812</f>
        <v/>
      </c>
      <c r="B14727">
        <f>IF(VLOOKUP(Table7[[#This Row],[Date]],Database!$A:$C,MATCH($B$1,Database!$A$1:$C$1,),)=0,#N/A,VLOOKUP(Table7[[#This Row],[Date]],Database!$A:$C,MATCH($B$1,Database!$A$1:$C$1,),))</f>
        <v/>
      </c>
      <c r="C14727">
        <f>IF(VLOOKUP(Table7[[#This Row],[Date]],Database!$A:$C,MATCH($C$1,Database!$A$1:$C$1,),)=0,#N/A,VLOOKUP(Table7[[#This Row],[Date]],Database!$A:$C,MATCH($C$1,Database!$A$1:$C$1,),))</f>
        <v/>
      </c>
      <c r="D14727">
        <f>IFERROR(Table7[[#This Row],[United States 10y]]-Table7[[#This Row],[United States 3y]],#N/A)</f>
        <v/>
      </c>
    </row>
    <row r="14728">
      <c r="A14728" s="6">
        <f>Database!$A16813</f>
        <v/>
      </c>
      <c r="B14728">
        <f>IF(VLOOKUP(Table7[[#This Row],[Date]],Database!$A:$C,MATCH($B$1,Database!$A$1:$C$1,),)=0,#N/A,VLOOKUP(Table7[[#This Row],[Date]],Database!$A:$C,MATCH($B$1,Database!$A$1:$C$1,),))</f>
        <v/>
      </c>
      <c r="C14728">
        <f>IF(VLOOKUP(Table7[[#This Row],[Date]],Database!$A:$C,MATCH($C$1,Database!$A$1:$C$1,),)=0,#N/A,VLOOKUP(Table7[[#This Row],[Date]],Database!$A:$C,MATCH($C$1,Database!$A$1:$C$1,),))</f>
        <v/>
      </c>
      <c r="D14728">
        <f>IFERROR(Table7[[#This Row],[United States 10y]]-Table7[[#This Row],[United States 3y]],#N/A)</f>
        <v/>
      </c>
    </row>
    <row r="14729">
      <c r="A14729" s="6">
        <f>Database!$A16814</f>
        <v/>
      </c>
      <c r="B14729">
        <f>IF(VLOOKUP(Table7[[#This Row],[Date]],Database!$A:$C,MATCH($B$1,Database!$A$1:$C$1,),)=0,#N/A,VLOOKUP(Table7[[#This Row],[Date]],Database!$A:$C,MATCH($B$1,Database!$A$1:$C$1,),))</f>
        <v/>
      </c>
      <c r="C14729">
        <f>IF(VLOOKUP(Table7[[#This Row],[Date]],Database!$A:$C,MATCH($C$1,Database!$A$1:$C$1,),)=0,#N/A,VLOOKUP(Table7[[#This Row],[Date]],Database!$A:$C,MATCH($C$1,Database!$A$1:$C$1,),))</f>
        <v/>
      </c>
      <c r="D14729">
        <f>IFERROR(Table7[[#This Row],[United States 10y]]-Table7[[#This Row],[United States 3y]],#N/A)</f>
        <v/>
      </c>
    </row>
    <row r="14730">
      <c r="A14730" s="6">
        <f>Database!$A16815</f>
        <v/>
      </c>
      <c r="B14730">
        <f>IF(VLOOKUP(Table7[[#This Row],[Date]],Database!$A:$C,MATCH($B$1,Database!$A$1:$C$1,),)=0,#N/A,VLOOKUP(Table7[[#This Row],[Date]],Database!$A:$C,MATCH($B$1,Database!$A$1:$C$1,),))</f>
        <v/>
      </c>
      <c r="C14730">
        <f>IF(VLOOKUP(Table7[[#This Row],[Date]],Database!$A:$C,MATCH($C$1,Database!$A$1:$C$1,),)=0,#N/A,VLOOKUP(Table7[[#This Row],[Date]],Database!$A:$C,MATCH($C$1,Database!$A$1:$C$1,),))</f>
        <v/>
      </c>
      <c r="D14730">
        <f>IFERROR(Table7[[#This Row],[United States 10y]]-Table7[[#This Row],[United States 3y]],#N/A)</f>
        <v/>
      </c>
    </row>
    <row r="14731">
      <c r="A14731" s="6">
        <f>Database!$A16816</f>
        <v/>
      </c>
      <c r="B14731">
        <f>IF(VLOOKUP(Table7[[#This Row],[Date]],Database!$A:$C,MATCH($B$1,Database!$A$1:$C$1,),)=0,#N/A,VLOOKUP(Table7[[#This Row],[Date]],Database!$A:$C,MATCH($B$1,Database!$A$1:$C$1,),))</f>
        <v/>
      </c>
      <c r="C14731">
        <f>IF(VLOOKUP(Table7[[#This Row],[Date]],Database!$A:$C,MATCH($C$1,Database!$A$1:$C$1,),)=0,#N/A,VLOOKUP(Table7[[#This Row],[Date]],Database!$A:$C,MATCH($C$1,Database!$A$1:$C$1,),))</f>
        <v/>
      </c>
      <c r="D14731">
        <f>IFERROR(Table7[[#This Row],[United States 10y]]-Table7[[#This Row],[United States 3y]],#N/A)</f>
        <v/>
      </c>
    </row>
    <row r="14732">
      <c r="A14732" s="6">
        <f>Database!$A16817</f>
        <v/>
      </c>
      <c r="B14732">
        <f>IF(VLOOKUP(Table7[[#This Row],[Date]],Database!$A:$C,MATCH($B$1,Database!$A$1:$C$1,),)=0,#N/A,VLOOKUP(Table7[[#This Row],[Date]],Database!$A:$C,MATCH($B$1,Database!$A$1:$C$1,),))</f>
        <v/>
      </c>
      <c r="C14732">
        <f>IF(VLOOKUP(Table7[[#This Row],[Date]],Database!$A:$C,MATCH($C$1,Database!$A$1:$C$1,),)=0,#N/A,VLOOKUP(Table7[[#This Row],[Date]],Database!$A:$C,MATCH($C$1,Database!$A$1:$C$1,),))</f>
        <v/>
      </c>
      <c r="D14732">
        <f>IFERROR(Table7[[#This Row],[United States 10y]]-Table7[[#This Row],[United States 3y]],#N/A)</f>
        <v/>
      </c>
    </row>
    <row r="14733">
      <c r="A14733" s="6">
        <f>Database!$A16818</f>
        <v/>
      </c>
      <c r="B14733">
        <f>IF(VLOOKUP(Table7[[#This Row],[Date]],Database!$A:$C,MATCH($B$1,Database!$A$1:$C$1,),)=0,#N/A,VLOOKUP(Table7[[#This Row],[Date]],Database!$A:$C,MATCH($B$1,Database!$A$1:$C$1,),))</f>
        <v/>
      </c>
      <c r="C14733">
        <f>IF(VLOOKUP(Table7[[#This Row],[Date]],Database!$A:$C,MATCH($C$1,Database!$A$1:$C$1,),)=0,#N/A,VLOOKUP(Table7[[#This Row],[Date]],Database!$A:$C,MATCH($C$1,Database!$A$1:$C$1,),))</f>
        <v/>
      </c>
      <c r="D14733">
        <f>IFERROR(Table7[[#This Row],[United States 10y]]-Table7[[#This Row],[United States 3y]],#N/A)</f>
        <v/>
      </c>
    </row>
    <row r="14734">
      <c r="A14734" s="6">
        <f>Database!$A16819</f>
        <v/>
      </c>
      <c r="B14734">
        <f>IF(VLOOKUP(Table7[[#This Row],[Date]],Database!$A:$C,MATCH($B$1,Database!$A$1:$C$1,),)=0,#N/A,VLOOKUP(Table7[[#This Row],[Date]],Database!$A:$C,MATCH($B$1,Database!$A$1:$C$1,),))</f>
        <v/>
      </c>
      <c r="C14734">
        <f>IF(VLOOKUP(Table7[[#This Row],[Date]],Database!$A:$C,MATCH($C$1,Database!$A$1:$C$1,),)=0,#N/A,VLOOKUP(Table7[[#This Row],[Date]],Database!$A:$C,MATCH($C$1,Database!$A$1:$C$1,),))</f>
        <v/>
      </c>
      <c r="D14734">
        <f>IFERROR(Table7[[#This Row],[United States 10y]]-Table7[[#This Row],[United States 3y]],#N/A)</f>
        <v/>
      </c>
    </row>
    <row r="14735">
      <c r="A14735" s="6">
        <f>Database!$A16820</f>
        <v/>
      </c>
      <c r="B14735">
        <f>IF(VLOOKUP(Table7[[#This Row],[Date]],Database!$A:$C,MATCH($B$1,Database!$A$1:$C$1,),)=0,#N/A,VLOOKUP(Table7[[#This Row],[Date]],Database!$A:$C,MATCH($B$1,Database!$A$1:$C$1,),))</f>
        <v/>
      </c>
      <c r="C14735">
        <f>IF(VLOOKUP(Table7[[#This Row],[Date]],Database!$A:$C,MATCH($C$1,Database!$A$1:$C$1,),)=0,#N/A,VLOOKUP(Table7[[#This Row],[Date]],Database!$A:$C,MATCH($C$1,Database!$A$1:$C$1,),))</f>
        <v/>
      </c>
      <c r="D14735">
        <f>IFERROR(Table7[[#This Row],[United States 10y]]-Table7[[#This Row],[United States 3y]],#N/A)</f>
        <v/>
      </c>
    </row>
    <row r="14736">
      <c r="A14736" s="6">
        <f>Database!$A16821</f>
        <v/>
      </c>
      <c r="B14736">
        <f>IF(VLOOKUP(Table7[[#This Row],[Date]],Database!$A:$C,MATCH($B$1,Database!$A$1:$C$1,),)=0,#N/A,VLOOKUP(Table7[[#This Row],[Date]],Database!$A:$C,MATCH($B$1,Database!$A$1:$C$1,),))</f>
        <v/>
      </c>
      <c r="C14736">
        <f>IF(VLOOKUP(Table7[[#This Row],[Date]],Database!$A:$C,MATCH($C$1,Database!$A$1:$C$1,),)=0,#N/A,VLOOKUP(Table7[[#This Row],[Date]],Database!$A:$C,MATCH($C$1,Database!$A$1:$C$1,),))</f>
        <v/>
      </c>
      <c r="D14736">
        <f>IFERROR(Table7[[#This Row],[United States 10y]]-Table7[[#This Row],[United States 3y]],#N/A)</f>
        <v/>
      </c>
    </row>
    <row r="14737">
      <c r="A14737" s="6">
        <f>Database!$A16822</f>
        <v/>
      </c>
      <c r="B14737">
        <f>IF(VLOOKUP(Table7[[#This Row],[Date]],Database!$A:$C,MATCH($B$1,Database!$A$1:$C$1,),)=0,#N/A,VLOOKUP(Table7[[#This Row],[Date]],Database!$A:$C,MATCH($B$1,Database!$A$1:$C$1,),))</f>
        <v/>
      </c>
      <c r="C14737">
        <f>IF(VLOOKUP(Table7[[#This Row],[Date]],Database!$A:$C,MATCH($C$1,Database!$A$1:$C$1,),)=0,#N/A,VLOOKUP(Table7[[#This Row],[Date]],Database!$A:$C,MATCH($C$1,Database!$A$1:$C$1,),))</f>
        <v/>
      </c>
      <c r="D14737">
        <f>IFERROR(Table7[[#This Row],[United States 10y]]-Table7[[#This Row],[United States 3y]],#N/A)</f>
        <v/>
      </c>
    </row>
    <row r="14738">
      <c r="A14738" s="6">
        <f>Database!$A16823</f>
        <v/>
      </c>
      <c r="B14738">
        <f>IF(VLOOKUP(Table7[[#This Row],[Date]],Database!$A:$C,MATCH($B$1,Database!$A$1:$C$1,),)=0,#N/A,VLOOKUP(Table7[[#This Row],[Date]],Database!$A:$C,MATCH($B$1,Database!$A$1:$C$1,),))</f>
        <v/>
      </c>
      <c r="C14738">
        <f>IF(VLOOKUP(Table7[[#This Row],[Date]],Database!$A:$C,MATCH($C$1,Database!$A$1:$C$1,),)=0,#N/A,VLOOKUP(Table7[[#This Row],[Date]],Database!$A:$C,MATCH($C$1,Database!$A$1:$C$1,),))</f>
        <v/>
      </c>
      <c r="D14738">
        <f>IFERROR(Table7[[#This Row],[United States 10y]]-Table7[[#This Row],[United States 3y]],#N/A)</f>
        <v/>
      </c>
    </row>
    <row r="14739">
      <c r="A14739" s="6">
        <f>Database!$A16824</f>
        <v/>
      </c>
      <c r="B14739">
        <f>IF(VLOOKUP(Table7[[#This Row],[Date]],Database!$A:$C,MATCH($B$1,Database!$A$1:$C$1,),)=0,#N/A,VLOOKUP(Table7[[#This Row],[Date]],Database!$A:$C,MATCH($B$1,Database!$A$1:$C$1,),))</f>
        <v/>
      </c>
      <c r="C14739">
        <f>IF(VLOOKUP(Table7[[#This Row],[Date]],Database!$A:$C,MATCH($C$1,Database!$A$1:$C$1,),)=0,#N/A,VLOOKUP(Table7[[#This Row],[Date]],Database!$A:$C,MATCH($C$1,Database!$A$1:$C$1,),))</f>
        <v/>
      </c>
      <c r="D14739">
        <f>IFERROR(Table7[[#This Row],[United States 10y]]-Table7[[#This Row],[United States 3y]],#N/A)</f>
        <v/>
      </c>
    </row>
    <row r="14740">
      <c r="A14740" s="6">
        <f>Database!$A16825</f>
        <v/>
      </c>
      <c r="B14740">
        <f>IF(VLOOKUP(Table7[[#This Row],[Date]],Database!$A:$C,MATCH($B$1,Database!$A$1:$C$1,),)=0,#N/A,VLOOKUP(Table7[[#This Row],[Date]],Database!$A:$C,MATCH($B$1,Database!$A$1:$C$1,),))</f>
        <v/>
      </c>
      <c r="C14740">
        <f>IF(VLOOKUP(Table7[[#This Row],[Date]],Database!$A:$C,MATCH($C$1,Database!$A$1:$C$1,),)=0,#N/A,VLOOKUP(Table7[[#This Row],[Date]],Database!$A:$C,MATCH($C$1,Database!$A$1:$C$1,),))</f>
        <v/>
      </c>
      <c r="D14740">
        <f>IFERROR(Table7[[#This Row],[United States 10y]]-Table7[[#This Row],[United States 3y]],#N/A)</f>
        <v/>
      </c>
    </row>
    <row r="14741">
      <c r="A14741" s="6">
        <f>Database!$A16826</f>
        <v/>
      </c>
      <c r="B14741">
        <f>IF(VLOOKUP(Table7[[#This Row],[Date]],Database!$A:$C,MATCH($B$1,Database!$A$1:$C$1,),)=0,#N/A,VLOOKUP(Table7[[#This Row],[Date]],Database!$A:$C,MATCH($B$1,Database!$A$1:$C$1,),))</f>
        <v/>
      </c>
      <c r="C14741">
        <f>IF(VLOOKUP(Table7[[#This Row],[Date]],Database!$A:$C,MATCH($C$1,Database!$A$1:$C$1,),)=0,#N/A,VLOOKUP(Table7[[#This Row],[Date]],Database!$A:$C,MATCH($C$1,Database!$A$1:$C$1,),))</f>
        <v/>
      </c>
      <c r="D14741">
        <f>IFERROR(Table7[[#This Row],[United States 10y]]-Table7[[#This Row],[United States 3y]],#N/A)</f>
        <v/>
      </c>
    </row>
    <row r="14742">
      <c r="A14742" s="6">
        <f>Database!$A16827</f>
        <v/>
      </c>
      <c r="B14742">
        <f>IF(VLOOKUP(Table7[[#This Row],[Date]],Database!$A:$C,MATCH($B$1,Database!$A$1:$C$1,),)=0,#N/A,VLOOKUP(Table7[[#This Row],[Date]],Database!$A:$C,MATCH($B$1,Database!$A$1:$C$1,),))</f>
        <v/>
      </c>
      <c r="C14742">
        <f>IF(VLOOKUP(Table7[[#This Row],[Date]],Database!$A:$C,MATCH($C$1,Database!$A$1:$C$1,),)=0,#N/A,VLOOKUP(Table7[[#This Row],[Date]],Database!$A:$C,MATCH($C$1,Database!$A$1:$C$1,),))</f>
        <v/>
      </c>
      <c r="D14742">
        <f>IFERROR(Table7[[#This Row],[United States 10y]]-Table7[[#This Row],[United States 3y]],#N/A)</f>
        <v/>
      </c>
    </row>
    <row r="14743">
      <c r="A14743" s="6">
        <f>Database!$A16828</f>
        <v/>
      </c>
      <c r="B14743">
        <f>IF(VLOOKUP(Table7[[#This Row],[Date]],Database!$A:$C,MATCH($B$1,Database!$A$1:$C$1,),)=0,#N/A,VLOOKUP(Table7[[#This Row],[Date]],Database!$A:$C,MATCH($B$1,Database!$A$1:$C$1,),))</f>
        <v/>
      </c>
      <c r="C14743">
        <f>IF(VLOOKUP(Table7[[#This Row],[Date]],Database!$A:$C,MATCH($C$1,Database!$A$1:$C$1,),)=0,#N/A,VLOOKUP(Table7[[#This Row],[Date]],Database!$A:$C,MATCH($C$1,Database!$A$1:$C$1,),))</f>
        <v/>
      </c>
      <c r="D14743">
        <f>IFERROR(Table7[[#This Row],[United States 10y]]-Table7[[#This Row],[United States 3y]],#N/A)</f>
        <v/>
      </c>
    </row>
    <row r="14744">
      <c r="A14744" s="6">
        <f>Database!$A16829</f>
        <v/>
      </c>
      <c r="B14744">
        <f>IF(VLOOKUP(Table7[[#This Row],[Date]],Database!$A:$C,MATCH($B$1,Database!$A$1:$C$1,),)=0,#N/A,VLOOKUP(Table7[[#This Row],[Date]],Database!$A:$C,MATCH($B$1,Database!$A$1:$C$1,),))</f>
        <v/>
      </c>
      <c r="C14744">
        <f>IF(VLOOKUP(Table7[[#This Row],[Date]],Database!$A:$C,MATCH($C$1,Database!$A$1:$C$1,),)=0,#N/A,VLOOKUP(Table7[[#This Row],[Date]],Database!$A:$C,MATCH($C$1,Database!$A$1:$C$1,),))</f>
        <v/>
      </c>
      <c r="D14744">
        <f>IFERROR(Table7[[#This Row],[United States 10y]]-Table7[[#This Row],[United States 3y]],#N/A)</f>
        <v/>
      </c>
    </row>
    <row r="14745">
      <c r="A14745" s="6">
        <f>Database!$A16830</f>
        <v/>
      </c>
      <c r="B14745">
        <f>IF(VLOOKUP(Table7[[#This Row],[Date]],Database!$A:$C,MATCH($B$1,Database!$A$1:$C$1,),)=0,#N/A,VLOOKUP(Table7[[#This Row],[Date]],Database!$A:$C,MATCH($B$1,Database!$A$1:$C$1,),))</f>
        <v/>
      </c>
      <c r="C14745">
        <f>IF(VLOOKUP(Table7[[#This Row],[Date]],Database!$A:$C,MATCH($C$1,Database!$A$1:$C$1,),)=0,#N/A,VLOOKUP(Table7[[#This Row],[Date]],Database!$A:$C,MATCH($C$1,Database!$A$1:$C$1,),))</f>
        <v/>
      </c>
      <c r="D14745">
        <f>IFERROR(Table7[[#This Row],[United States 10y]]-Table7[[#This Row],[United States 3y]],#N/A)</f>
        <v/>
      </c>
    </row>
    <row r="14746">
      <c r="A14746" s="6">
        <f>Database!$A16831</f>
        <v/>
      </c>
      <c r="B14746">
        <f>IF(VLOOKUP(Table7[[#This Row],[Date]],Database!$A:$C,MATCH($B$1,Database!$A$1:$C$1,),)=0,#N/A,VLOOKUP(Table7[[#This Row],[Date]],Database!$A:$C,MATCH($B$1,Database!$A$1:$C$1,),))</f>
        <v/>
      </c>
      <c r="C14746">
        <f>IF(VLOOKUP(Table7[[#This Row],[Date]],Database!$A:$C,MATCH($C$1,Database!$A$1:$C$1,),)=0,#N/A,VLOOKUP(Table7[[#This Row],[Date]],Database!$A:$C,MATCH($C$1,Database!$A$1:$C$1,),))</f>
        <v/>
      </c>
      <c r="D14746">
        <f>IFERROR(Table7[[#This Row],[United States 10y]]-Table7[[#This Row],[United States 3y]],#N/A)</f>
        <v/>
      </c>
    </row>
    <row r="14747">
      <c r="A14747" s="6">
        <f>Database!$A16832</f>
        <v/>
      </c>
      <c r="B14747">
        <f>IF(VLOOKUP(Table7[[#This Row],[Date]],Database!$A:$C,MATCH($B$1,Database!$A$1:$C$1,),)=0,#N/A,VLOOKUP(Table7[[#This Row],[Date]],Database!$A:$C,MATCH($B$1,Database!$A$1:$C$1,),))</f>
        <v/>
      </c>
      <c r="C14747">
        <f>IF(VLOOKUP(Table7[[#This Row],[Date]],Database!$A:$C,MATCH($C$1,Database!$A$1:$C$1,),)=0,#N/A,VLOOKUP(Table7[[#This Row],[Date]],Database!$A:$C,MATCH($C$1,Database!$A$1:$C$1,),))</f>
        <v/>
      </c>
      <c r="D14747">
        <f>IFERROR(Table7[[#This Row],[United States 10y]]-Table7[[#This Row],[United States 3y]],#N/A)</f>
        <v/>
      </c>
    </row>
    <row r="14748">
      <c r="A14748" s="6">
        <f>Database!$A16833</f>
        <v/>
      </c>
      <c r="B14748">
        <f>IF(VLOOKUP(Table7[[#This Row],[Date]],Database!$A:$C,MATCH($B$1,Database!$A$1:$C$1,),)=0,#N/A,VLOOKUP(Table7[[#This Row],[Date]],Database!$A:$C,MATCH($B$1,Database!$A$1:$C$1,),))</f>
        <v/>
      </c>
      <c r="C14748">
        <f>IF(VLOOKUP(Table7[[#This Row],[Date]],Database!$A:$C,MATCH($C$1,Database!$A$1:$C$1,),)=0,#N/A,VLOOKUP(Table7[[#This Row],[Date]],Database!$A:$C,MATCH($C$1,Database!$A$1:$C$1,),))</f>
        <v/>
      </c>
      <c r="D14748">
        <f>IFERROR(Table7[[#This Row],[United States 10y]]-Table7[[#This Row],[United States 3y]],#N/A)</f>
        <v/>
      </c>
    </row>
    <row r="14749">
      <c r="A14749" s="6">
        <f>Database!$A16834</f>
        <v/>
      </c>
      <c r="B14749">
        <f>IF(VLOOKUP(Table7[[#This Row],[Date]],Database!$A:$C,MATCH($B$1,Database!$A$1:$C$1,),)=0,#N/A,VLOOKUP(Table7[[#This Row],[Date]],Database!$A:$C,MATCH($B$1,Database!$A$1:$C$1,),))</f>
        <v/>
      </c>
      <c r="C14749">
        <f>IF(VLOOKUP(Table7[[#This Row],[Date]],Database!$A:$C,MATCH($C$1,Database!$A$1:$C$1,),)=0,#N/A,VLOOKUP(Table7[[#This Row],[Date]],Database!$A:$C,MATCH($C$1,Database!$A$1:$C$1,),))</f>
        <v/>
      </c>
      <c r="D14749">
        <f>IFERROR(Table7[[#This Row],[United States 10y]]-Table7[[#This Row],[United States 3y]],#N/A)</f>
        <v/>
      </c>
    </row>
    <row r="14750">
      <c r="A14750" s="6">
        <f>Database!$A16835</f>
        <v/>
      </c>
      <c r="B14750">
        <f>IF(VLOOKUP(Table7[[#This Row],[Date]],Database!$A:$C,MATCH($B$1,Database!$A$1:$C$1,),)=0,#N/A,VLOOKUP(Table7[[#This Row],[Date]],Database!$A:$C,MATCH($B$1,Database!$A$1:$C$1,),))</f>
        <v/>
      </c>
      <c r="C14750">
        <f>IF(VLOOKUP(Table7[[#This Row],[Date]],Database!$A:$C,MATCH($C$1,Database!$A$1:$C$1,),)=0,#N/A,VLOOKUP(Table7[[#This Row],[Date]],Database!$A:$C,MATCH($C$1,Database!$A$1:$C$1,),))</f>
        <v/>
      </c>
      <c r="D14750">
        <f>IFERROR(Table7[[#This Row],[United States 10y]]-Table7[[#This Row],[United States 3y]],#N/A)</f>
        <v/>
      </c>
    </row>
    <row r="14751">
      <c r="A14751" s="6">
        <f>Database!$A16836</f>
        <v/>
      </c>
      <c r="B14751">
        <f>IF(VLOOKUP(Table7[[#This Row],[Date]],Database!$A:$C,MATCH($B$1,Database!$A$1:$C$1,),)=0,#N/A,VLOOKUP(Table7[[#This Row],[Date]],Database!$A:$C,MATCH($B$1,Database!$A$1:$C$1,),))</f>
        <v/>
      </c>
      <c r="C14751">
        <f>IF(VLOOKUP(Table7[[#This Row],[Date]],Database!$A:$C,MATCH($C$1,Database!$A$1:$C$1,),)=0,#N/A,VLOOKUP(Table7[[#This Row],[Date]],Database!$A:$C,MATCH($C$1,Database!$A$1:$C$1,),))</f>
        <v/>
      </c>
      <c r="D14751">
        <f>IFERROR(Table7[[#This Row],[United States 10y]]-Table7[[#This Row],[United States 3y]],#N/A)</f>
        <v/>
      </c>
    </row>
    <row r="14752">
      <c r="A14752" s="6">
        <f>Database!$A16837</f>
        <v/>
      </c>
      <c r="B14752">
        <f>IF(VLOOKUP(Table7[[#This Row],[Date]],Database!$A:$C,MATCH($B$1,Database!$A$1:$C$1,),)=0,#N/A,VLOOKUP(Table7[[#This Row],[Date]],Database!$A:$C,MATCH($B$1,Database!$A$1:$C$1,),))</f>
        <v/>
      </c>
      <c r="C14752">
        <f>IF(VLOOKUP(Table7[[#This Row],[Date]],Database!$A:$C,MATCH($C$1,Database!$A$1:$C$1,),)=0,#N/A,VLOOKUP(Table7[[#This Row],[Date]],Database!$A:$C,MATCH($C$1,Database!$A$1:$C$1,),))</f>
        <v/>
      </c>
      <c r="D14752">
        <f>IFERROR(Table7[[#This Row],[United States 10y]]-Table7[[#This Row],[United States 3y]],#N/A)</f>
        <v/>
      </c>
    </row>
    <row r="14753">
      <c r="A14753" s="6">
        <f>Database!$A16838</f>
        <v/>
      </c>
      <c r="B14753">
        <f>IF(VLOOKUP(Table7[[#This Row],[Date]],Database!$A:$C,MATCH($B$1,Database!$A$1:$C$1,),)=0,#N/A,VLOOKUP(Table7[[#This Row],[Date]],Database!$A:$C,MATCH($B$1,Database!$A$1:$C$1,),))</f>
        <v/>
      </c>
      <c r="C14753">
        <f>IF(VLOOKUP(Table7[[#This Row],[Date]],Database!$A:$C,MATCH($C$1,Database!$A$1:$C$1,),)=0,#N/A,VLOOKUP(Table7[[#This Row],[Date]],Database!$A:$C,MATCH($C$1,Database!$A$1:$C$1,),))</f>
        <v/>
      </c>
      <c r="D14753">
        <f>IFERROR(Table7[[#This Row],[United States 10y]]-Table7[[#This Row],[United States 3y]],#N/A)</f>
        <v/>
      </c>
    </row>
    <row r="14754">
      <c r="A14754" s="6">
        <f>Database!$A16839</f>
        <v/>
      </c>
      <c r="B14754">
        <f>IF(VLOOKUP(Table7[[#This Row],[Date]],Database!$A:$C,MATCH($B$1,Database!$A$1:$C$1,),)=0,#N/A,VLOOKUP(Table7[[#This Row],[Date]],Database!$A:$C,MATCH($B$1,Database!$A$1:$C$1,),))</f>
        <v/>
      </c>
      <c r="C14754">
        <f>IF(VLOOKUP(Table7[[#This Row],[Date]],Database!$A:$C,MATCH($C$1,Database!$A$1:$C$1,),)=0,#N/A,VLOOKUP(Table7[[#This Row],[Date]],Database!$A:$C,MATCH($C$1,Database!$A$1:$C$1,),))</f>
        <v/>
      </c>
      <c r="D14754">
        <f>IFERROR(Table7[[#This Row],[United States 10y]]-Table7[[#This Row],[United States 3y]],#N/A)</f>
        <v/>
      </c>
    </row>
    <row r="14755">
      <c r="A14755" s="6">
        <f>Database!$A16840</f>
        <v/>
      </c>
      <c r="B14755">
        <f>IF(VLOOKUP(Table7[[#This Row],[Date]],Database!$A:$C,MATCH($B$1,Database!$A$1:$C$1,),)=0,#N/A,VLOOKUP(Table7[[#This Row],[Date]],Database!$A:$C,MATCH($B$1,Database!$A$1:$C$1,),))</f>
        <v/>
      </c>
      <c r="C14755">
        <f>IF(VLOOKUP(Table7[[#This Row],[Date]],Database!$A:$C,MATCH($C$1,Database!$A$1:$C$1,),)=0,#N/A,VLOOKUP(Table7[[#This Row],[Date]],Database!$A:$C,MATCH($C$1,Database!$A$1:$C$1,),))</f>
        <v/>
      </c>
      <c r="D14755">
        <f>IFERROR(Table7[[#This Row],[United States 10y]]-Table7[[#This Row],[United States 3y]],#N/A)</f>
        <v/>
      </c>
    </row>
    <row r="14756">
      <c r="A14756" s="6">
        <f>Database!$A16841</f>
        <v/>
      </c>
      <c r="B14756">
        <f>IF(VLOOKUP(Table7[[#This Row],[Date]],Database!$A:$C,MATCH($B$1,Database!$A$1:$C$1,),)=0,#N/A,VLOOKUP(Table7[[#This Row],[Date]],Database!$A:$C,MATCH($B$1,Database!$A$1:$C$1,),))</f>
        <v/>
      </c>
      <c r="C14756">
        <f>IF(VLOOKUP(Table7[[#This Row],[Date]],Database!$A:$C,MATCH($C$1,Database!$A$1:$C$1,),)=0,#N/A,VLOOKUP(Table7[[#This Row],[Date]],Database!$A:$C,MATCH($C$1,Database!$A$1:$C$1,),))</f>
        <v/>
      </c>
      <c r="D14756">
        <f>IFERROR(Table7[[#This Row],[United States 10y]]-Table7[[#This Row],[United States 3y]],#N/A)</f>
        <v/>
      </c>
    </row>
    <row r="14757">
      <c r="A14757" s="6">
        <f>Database!$A16842</f>
        <v/>
      </c>
      <c r="B14757">
        <f>IF(VLOOKUP(Table7[[#This Row],[Date]],Database!$A:$C,MATCH($B$1,Database!$A$1:$C$1,),)=0,#N/A,VLOOKUP(Table7[[#This Row],[Date]],Database!$A:$C,MATCH($B$1,Database!$A$1:$C$1,),))</f>
        <v/>
      </c>
      <c r="C14757">
        <f>IF(VLOOKUP(Table7[[#This Row],[Date]],Database!$A:$C,MATCH($C$1,Database!$A$1:$C$1,),)=0,#N/A,VLOOKUP(Table7[[#This Row],[Date]],Database!$A:$C,MATCH($C$1,Database!$A$1:$C$1,),))</f>
        <v/>
      </c>
      <c r="D14757">
        <f>IFERROR(Table7[[#This Row],[United States 10y]]-Table7[[#This Row],[United States 3y]],#N/A)</f>
        <v/>
      </c>
    </row>
    <row r="14758">
      <c r="A14758" s="6">
        <f>Database!$A16843</f>
        <v/>
      </c>
      <c r="B14758">
        <f>IF(VLOOKUP(Table7[[#This Row],[Date]],Database!$A:$C,MATCH($B$1,Database!$A$1:$C$1,),)=0,#N/A,VLOOKUP(Table7[[#This Row],[Date]],Database!$A:$C,MATCH($B$1,Database!$A$1:$C$1,),))</f>
        <v/>
      </c>
      <c r="C14758">
        <f>IF(VLOOKUP(Table7[[#This Row],[Date]],Database!$A:$C,MATCH($C$1,Database!$A$1:$C$1,),)=0,#N/A,VLOOKUP(Table7[[#This Row],[Date]],Database!$A:$C,MATCH($C$1,Database!$A$1:$C$1,),))</f>
        <v/>
      </c>
      <c r="D14758">
        <f>IFERROR(Table7[[#This Row],[United States 10y]]-Table7[[#This Row],[United States 3y]],#N/A)</f>
        <v/>
      </c>
    </row>
    <row r="14759">
      <c r="A14759" s="6">
        <f>Database!$A16844</f>
        <v/>
      </c>
      <c r="B14759">
        <f>IF(VLOOKUP(Table7[[#This Row],[Date]],Database!$A:$C,MATCH($B$1,Database!$A$1:$C$1,),)=0,#N/A,VLOOKUP(Table7[[#This Row],[Date]],Database!$A:$C,MATCH($B$1,Database!$A$1:$C$1,),))</f>
        <v/>
      </c>
      <c r="C14759">
        <f>IF(VLOOKUP(Table7[[#This Row],[Date]],Database!$A:$C,MATCH($C$1,Database!$A$1:$C$1,),)=0,#N/A,VLOOKUP(Table7[[#This Row],[Date]],Database!$A:$C,MATCH($C$1,Database!$A$1:$C$1,),))</f>
        <v/>
      </c>
      <c r="D14759">
        <f>IFERROR(Table7[[#This Row],[United States 10y]]-Table7[[#This Row],[United States 3y]],#N/A)</f>
        <v/>
      </c>
    </row>
    <row r="14760">
      <c r="A14760" s="6">
        <f>Database!$A16845</f>
        <v/>
      </c>
      <c r="B14760">
        <f>IF(VLOOKUP(Table7[[#This Row],[Date]],Database!$A:$C,MATCH($B$1,Database!$A$1:$C$1,),)=0,#N/A,VLOOKUP(Table7[[#This Row],[Date]],Database!$A:$C,MATCH($B$1,Database!$A$1:$C$1,),))</f>
        <v/>
      </c>
      <c r="C14760">
        <f>IF(VLOOKUP(Table7[[#This Row],[Date]],Database!$A:$C,MATCH($C$1,Database!$A$1:$C$1,),)=0,#N/A,VLOOKUP(Table7[[#This Row],[Date]],Database!$A:$C,MATCH($C$1,Database!$A$1:$C$1,),))</f>
        <v/>
      </c>
      <c r="D14760">
        <f>IFERROR(Table7[[#This Row],[United States 10y]]-Table7[[#This Row],[United States 3y]],#N/A)</f>
        <v/>
      </c>
    </row>
    <row r="14761">
      <c r="A14761" s="6">
        <f>Database!$A16846</f>
        <v/>
      </c>
      <c r="B14761">
        <f>IF(VLOOKUP(Table7[[#This Row],[Date]],Database!$A:$C,MATCH($B$1,Database!$A$1:$C$1,),)=0,#N/A,VLOOKUP(Table7[[#This Row],[Date]],Database!$A:$C,MATCH($B$1,Database!$A$1:$C$1,),))</f>
        <v/>
      </c>
      <c r="C14761">
        <f>IF(VLOOKUP(Table7[[#This Row],[Date]],Database!$A:$C,MATCH($C$1,Database!$A$1:$C$1,),)=0,#N/A,VLOOKUP(Table7[[#This Row],[Date]],Database!$A:$C,MATCH($C$1,Database!$A$1:$C$1,),))</f>
        <v/>
      </c>
      <c r="D14761">
        <f>IFERROR(Table7[[#This Row],[United States 10y]]-Table7[[#This Row],[United States 3y]],#N/A)</f>
        <v/>
      </c>
    </row>
    <row r="14762">
      <c r="A14762" s="6">
        <f>Database!$A16847</f>
        <v/>
      </c>
      <c r="B14762">
        <f>IF(VLOOKUP(Table7[[#This Row],[Date]],Database!$A:$C,MATCH($B$1,Database!$A$1:$C$1,),)=0,#N/A,VLOOKUP(Table7[[#This Row],[Date]],Database!$A:$C,MATCH($B$1,Database!$A$1:$C$1,),))</f>
        <v/>
      </c>
      <c r="C14762">
        <f>IF(VLOOKUP(Table7[[#This Row],[Date]],Database!$A:$C,MATCH($C$1,Database!$A$1:$C$1,),)=0,#N/A,VLOOKUP(Table7[[#This Row],[Date]],Database!$A:$C,MATCH($C$1,Database!$A$1:$C$1,),))</f>
        <v/>
      </c>
      <c r="D14762">
        <f>IFERROR(Table7[[#This Row],[United States 10y]]-Table7[[#This Row],[United States 3y]],#N/A)</f>
        <v/>
      </c>
    </row>
    <row r="14763">
      <c r="A14763" s="6">
        <f>Database!$A16848</f>
        <v/>
      </c>
      <c r="B14763">
        <f>IF(VLOOKUP(Table7[[#This Row],[Date]],Database!$A:$C,MATCH($B$1,Database!$A$1:$C$1,),)=0,#N/A,VLOOKUP(Table7[[#This Row],[Date]],Database!$A:$C,MATCH($B$1,Database!$A$1:$C$1,),))</f>
        <v/>
      </c>
      <c r="C14763">
        <f>IF(VLOOKUP(Table7[[#This Row],[Date]],Database!$A:$C,MATCH($C$1,Database!$A$1:$C$1,),)=0,#N/A,VLOOKUP(Table7[[#This Row],[Date]],Database!$A:$C,MATCH($C$1,Database!$A$1:$C$1,),))</f>
        <v/>
      </c>
      <c r="D14763">
        <f>IFERROR(Table7[[#This Row],[United States 10y]]-Table7[[#This Row],[United States 3y]],#N/A)</f>
        <v/>
      </c>
    </row>
    <row r="14764">
      <c r="A14764" s="6">
        <f>Database!$A16849</f>
        <v/>
      </c>
      <c r="B14764">
        <f>IF(VLOOKUP(Table7[[#This Row],[Date]],Database!$A:$C,MATCH($B$1,Database!$A$1:$C$1,),)=0,#N/A,VLOOKUP(Table7[[#This Row],[Date]],Database!$A:$C,MATCH($B$1,Database!$A$1:$C$1,),))</f>
        <v/>
      </c>
      <c r="C14764">
        <f>IF(VLOOKUP(Table7[[#This Row],[Date]],Database!$A:$C,MATCH($C$1,Database!$A$1:$C$1,),)=0,#N/A,VLOOKUP(Table7[[#This Row],[Date]],Database!$A:$C,MATCH($C$1,Database!$A$1:$C$1,),))</f>
        <v/>
      </c>
      <c r="D14764">
        <f>IFERROR(Table7[[#This Row],[United States 10y]]-Table7[[#This Row],[United States 3y]],#N/A)</f>
        <v/>
      </c>
    </row>
    <row r="14765">
      <c r="A14765" s="6">
        <f>Database!$A16850</f>
        <v/>
      </c>
      <c r="B14765">
        <f>IF(VLOOKUP(Table7[[#This Row],[Date]],Database!$A:$C,MATCH($B$1,Database!$A$1:$C$1,),)=0,#N/A,VLOOKUP(Table7[[#This Row],[Date]],Database!$A:$C,MATCH($B$1,Database!$A$1:$C$1,),))</f>
        <v/>
      </c>
      <c r="C14765">
        <f>IF(VLOOKUP(Table7[[#This Row],[Date]],Database!$A:$C,MATCH($C$1,Database!$A$1:$C$1,),)=0,#N/A,VLOOKUP(Table7[[#This Row],[Date]],Database!$A:$C,MATCH($C$1,Database!$A$1:$C$1,),))</f>
        <v/>
      </c>
      <c r="D14765">
        <f>IFERROR(Table7[[#This Row],[United States 10y]]-Table7[[#This Row],[United States 3y]],#N/A)</f>
        <v/>
      </c>
    </row>
    <row r="14766">
      <c r="A14766" s="6">
        <f>Database!$A16851</f>
        <v/>
      </c>
      <c r="B14766">
        <f>IF(VLOOKUP(Table7[[#This Row],[Date]],Database!$A:$C,MATCH($B$1,Database!$A$1:$C$1,),)=0,#N/A,VLOOKUP(Table7[[#This Row],[Date]],Database!$A:$C,MATCH($B$1,Database!$A$1:$C$1,),))</f>
        <v/>
      </c>
      <c r="C14766">
        <f>IF(VLOOKUP(Table7[[#This Row],[Date]],Database!$A:$C,MATCH($C$1,Database!$A$1:$C$1,),)=0,#N/A,VLOOKUP(Table7[[#This Row],[Date]],Database!$A:$C,MATCH($C$1,Database!$A$1:$C$1,),))</f>
        <v/>
      </c>
      <c r="D14766">
        <f>IFERROR(Table7[[#This Row],[United States 10y]]-Table7[[#This Row],[United States 3y]],#N/A)</f>
        <v/>
      </c>
    </row>
    <row r="14767">
      <c r="A14767" s="6">
        <f>Database!$A16852</f>
        <v/>
      </c>
      <c r="B14767">
        <f>IF(VLOOKUP(Table7[[#This Row],[Date]],Database!$A:$C,MATCH($B$1,Database!$A$1:$C$1,),)=0,#N/A,VLOOKUP(Table7[[#This Row],[Date]],Database!$A:$C,MATCH($B$1,Database!$A$1:$C$1,),))</f>
        <v/>
      </c>
      <c r="C14767">
        <f>IF(VLOOKUP(Table7[[#This Row],[Date]],Database!$A:$C,MATCH($C$1,Database!$A$1:$C$1,),)=0,#N/A,VLOOKUP(Table7[[#This Row],[Date]],Database!$A:$C,MATCH($C$1,Database!$A$1:$C$1,),))</f>
        <v/>
      </c>
      <c r="D14767">
        <f>IFERROR(Table7[[#This Row],[United States 10y]]-Table7[[#This Row],[United States 3y]],#N/A)</f>
        <v/>
      </c>
    </row>
    <row r="14768">
      <c r="A14768" s="6">
        <f>Database!$A16853</f>
        <v/>
      </c>
      <c r="B14768">
        <f>IF(VLOOKUP(Table7[[#This Row],[Date]],Database!$A:$C,MATCH($B$1,Database!$A$1:$C$1,),)=0,#N/A,VLOOKUP(Table7[[#This Row],[Date]],Database!$A:$C,MATCH($B$1,Database!$A$1:$C$1,),))</f>
        <v/>
      </c>
      <c r="C14768">
        <f>IF(VLOOKUP(Table7[[#This Row],[Date]],Database!$A:$C,MATCH($C$1,Database!$A$1:$C$1,),)=0,#N/A,VLOOKUP(Table7[[#This Row],[Date]],Database!$A:$C,MATCH($C$1,Database!$A$1:$C$1,),))</f>
        <v/>
      </c>
      <c r="D14768">
        <f>IFERROR(Table7[[#This Row],[United States 10y]]-Table7[[#This Row],[United States 3y]],#N/A)</f>
        <v/>
      </c>
    </row>
    <row r="14769">
      <c r="A14769" s="6">
        <f>Database!$A16854</f>
        <v/>
      </c>
      <c r="B14769">
        <f>IF(VLOOKUP(Table7[[#This Row],[Date]],Database!$A:$C,MATCH($B$1,Database!$A$1:$C$1,),)=0,#N/A,VLOOKUP(Table7[[#This Row],[Date]],Database!$A:$C,MATCH($B$1,Database!$A$1:$C$1,),))</f>
        <v/>
      </c>
      <c r="C14769">
        <f>IF(VLOOKUP(Table7[[#This Row],[Date]],Database!$A:$C,MATCH($C$1,Database!$A$1:$C$1,),)=0,#N/A,VLOOKUP(Table7[[#This Row],[Date]],Database!$A:$C,MATCH($C$1,Database!$A$1:$C$1,),))</f>
        <v/>
      </c>
      <c r="D14769">
        <f>IFERROR(Table7[[#This Row],[United States 10y]]-Table7[[#This Row],[United States 3y]],#N/A)</f>
        <v/>
      </c>
    </row>
    <row r="14770">
      <c r="A14770" s="6">
        <f>Database!$A16855</f>
        <v/>
      </c>
      <c r="B14770">
        <f>IF(VLOOKUP(Table7[[#This Row],[Date]],Database!$A:$C,MATCH($B$1,Database!$A$1:$C$1,),)=0,#N/A,VLOOKUP(Table7[[#This Row],[Date]],Database!$A:$C,MATCH($B$1,Database!$A$1:$C$1,),))</f>
        <v/>
      </c>
      <c r="C14770">
        <f>IF(VLOOKUP(Table7[[#This Row],[Date]],Database!$A:$C,MATCH($C$1,Database!$A$1:$C$1,),)=0,#N/A,VLOOKUP(Table7[[#This Row],[Date]],Database!$A:$C,MATCH($C$1,Database!$A$1:$C$1,),))</f>
        <v/>
      </c>
      <c r="D14770">
        <f>IFERROR(Table7[[#This Row],[United States 10y]]-Table7[[#This Row],[United States 3y]],#N/A)</f>
        <v/>
      </c>
    </row>
    <row r="14771">
      <c r="A14771" s="6">
        <f>Database!$A16856</f>
        <v/>
      </c>
      <c r="B14771">
        <f>IF(VLOOKUP(Table7[[#This Row],[Date]],Database!$A:$C,MATCH($B$1,Database!$A$1:$C$1,),)=0,#N/A,VLOOKUP(Table7[[#This Row],[Date]],Database!$A:$C,MATCH($B$1,Database!$A$1:$C$1,),))</f>
        <v/>
      </c>
      <c r="C14771">
        <f>IF(VLOOKUP(Table7[[#This Row],[Date]],Database!$A:$C,MATCH($C$1,Database!$A$1:$C$1,),)=0,#N/A,VLOOKUP(Table7[[#This Row],[Date]],Database!$A:$C,MATCH($C$1,Database!$A$1:$C$1,),))</f>
        <v/>
      </c>
      <c r="D14771">
        <f>IFERROR(Table7[[#This Row],[United States 10y]]-Table7[[#This Row],[United States 3y]],#N/A)</f>
        <v/>
      </c>
    </row>
    <row r="14772">
      <c r="A14772" s="6">
        <f>Database!$A16857</f>
        <v/>
      </c>
      <c r="B14772">
        <f>IF(VLOOKUP(Table7[[#This Row],[Date]],Database!$A:$C,MATCH($B$1,Database!$A$1:$C$1,),)=0,#N/A,VLOOKUP(Table7[[#This Row],[Date]],Database!$A:$C,MATCH($B$1,Database!$A$1:$C$1,),))</f>
        <v/>
      </c>
      <c r="C14772">
        <f>IF(VLOOKUP(Table7[[#This Row],[Date]],Database!$A:$C,MATCH($C$1,Database!$A$1:$C$1,),)=0,#N/A,VLOOKUP(Table7[[#This Row],[Date]],Database!$A:$C,MATCH($C$1,Database!$A$1:$C$1,),))</f>
        <v/>
      </c>
      <c r="D14772">
        <f>IFERROR(Table7[[#This Row],[United States 10y]]-Table7[[#This Row],[United States 3y]],#N/A)</f>
        <v/>
      </c>
    </row>
    <row r="14773">
      <c r="A14773" s="6">
        <f>Database!$A16858</f>
        <v/>
      </c>
      <c r="B14773">
        <f>IF(VLOOKUP(Table7[[#This Row],[Date]],Database!$A:$C,MATCH($B$1,Database!$A$1:$C$1,),)=0,#N/A,VLOOKUP(Table7[[#This Row],[Date]],Database!$A:$C,MATCH($B$1,Database!$A$1:$C$1,),))</f>
        <v/>
      </c>
      <c r="C14773">
        <f>IF(VLOOKUP(Table7[[#This Row],[Date]],Database!$A:$C,MATCH($C$1,Database!$A$1:$C$1,),)=0,#N/A,VLOOKUP(Table7[[#This Row],[Date]],Database!$A:$C,MATCH($C$1,Database!$A$1:$C$1,),))</f>
        <v/>
      </c>
      <c r="D14773">
        <f>IFERROR(Table7[[#This Row],[United States 10y]]-Table7[[#This Row],[United States 3y]],#N/A)</f>
        <v/>
      </c>
    </row>
    <row r="14774">
      <c r="A14774" s="6">
        <f>Database!$A16859</f>
        <v/>
      </c>
      <c r="B14774">
        <f>IF(VLOOKUP(Table7[[#This Row],[Date]],Database!$A:$C,MATCH($B$1,Database!$A$1:$C$1,),)=0,#N/A,VLOOKUP(Table7[[#This Row],[Date]],Database!$A:$C,MATCH($B$1,Database!$A$1:$C$1,),))</f>
        <v/>
      </c>
      <c r="C14774">
        <f>IF(VLOOKUP(Table7[[#This Row],[Date]],Database!$A:$C,MATCH($C$1,Database!$A$1:$C$1,),)=0,#N/A,VLOOKUP(Table7[[#This Row],[Date]],Database!$A:$C,MATCH($C$1,Database!$A$1:$C$1,),))</f>
        <v/>
      </c>
      <c r="D14774">
        <f>IFERROR(Table7[[#This Row],[United States 10y]]-Table7[[#This Row],[United States 3y]],#N/A)</f>
        <v/>
      </c>
    </row>
    <row r="14775">
      <c r="A14775" s="6">
        <f>Database!$A16860</f>
        <v/>
      </c>
      <c r="B14775">
        <f>IF(VLOOKUP(Table7[[#This Row],[Date]],Database!$A:$C,MATCH($B$1,Database!$A$1:$C$1,),)=0,#N/A,VLOOKUP(Table7[[#This Row],[Date]],Database!$A:$C,MATCH($B$1,Database!$A$1:$C$1,),))</f>
        <v/>
      </c>
      <c r="C14775">
        <f>IF(VLOOKUP(Table7[[#This Row],[Date]],Database!$A:$C,MATCH($C$1,Database!$A$1:$C$1,),)=0,#N/A,VLOOKUP(Table7[[#This Row],[Date]],Database!$A:$C,MATCH($C$1,Database!$A$1:$C$1,),))</f>
        <v/>
      </c>
      <c r="D14775">
        <f>IFERROR(Table7[[#This Row],[United States 10y]]-Table7[[#This Row],[United States 3y]],#N/A)</f>
        <v/>
      </c>
    </row>
    <row r="14776">
      <c r="A14776" s="6">
        <f>Database!$A16861</f>
        <v/>
      </c>
      <c r="B14776">
        <f>IF(VLOOKUP(Table7[[#This Row],[Date]],Database!$A:$C,MATCH($B$1,Database!$A$1:$C$1,),)=0,#N/A,VLOOKUP(Table7[[#This Row],[Date]],Database!$A:$C,MATCH($B$1,Database!$A$1:$C$1,),))</f>
        <v/>
      </c>
      <c r="C14776">
        <f>IF(VLOOKUP(Table7[[#This Row],[Date]],Database!$A:$C,MATCH($C$1,Database!$A$1:$C$1,),)=0,#N/A,VLOOKUP(Table7[[#This Row],[Date]],Database!$A:$C,MATCH($C$1,Database!$A$1:$C$1,),))</f>
        <v/>
      </c>
      <c r="D14776">
        <f>IFERROR(Table7[[#This Row],[United States 10y]]-Table7[[#This Row],[United States 3y]],#N/A)</f>
        <v/>
      </c>
    </row>
    <row r="14777">
      <c r="A14777" s="6">
        <f>Database!$A16862</f>
        <v/>
      </c>
      <c r="B14777">
        <f>IF(VLOOKUP(Table7[[#This Row],[Date]],Database!$A:$C,MATCH($B$1,Database!$A$1:$C$1,),)=0,#N/A,VLOOKUP(Table7[[#This Row],[Date]],Database!$A:$C,MATCH($B$1,Database!$A$1:$C$1,),))</f>
        <v/>
      </c>
      <c r="C14777">
        <f>IF(VLOOKUP(Table7[[#This Row],[Date]],Database!$A:$C,MATCH($C$1,Database!$A$1:$C$1,),)=0,#N/A,VLOOKUP(Table7[[#This Row],[Date]],Database!$A:$C,MATCH($C$1,Database!$A$1:$C$1,),))</f>
        <v/>
      </c>
      <c r="D14777">
        <f>IFERROR(Table7[[#This Row],[United States 10y]]-Table7[[#This Row],[United States 3y]],#N/A)</f>
        <v/>
      </c>
    </row>
    <row r="14778">
      <c r="A14778" s="6">
        <f>Database!$A16863</f>
        <v/>
      </c>
      <c r="B14778">
        <f>IF(VLOOKUP(Table7[[#This Row],[Date]],Database!$A:$C,MATCH($B$1,Database!$A$1:$C$1,),)=0,#N/A,VLOOKUP(Table7[[#This Row],[Date]],Database!$A:$C,MATCH($B$1,Database!$A$1:$C$1,),))</f>
        <v/>
      </c>
      <c r="C14778">
        <f>IF(VLOOKUP(Table7[[#This Row],[Date]],Database!$A:$C,MATCH($C$1,Database!$A$1:$C$1,),)=0,#N/A,VLOOKUP(Table7[[#This Row],[Date]],Database!$A:$C,MATCH($C$1,Database!$A$1:$C$1,),))</f>
        <v/>
      </c>
      <c r="D14778">
        <f>IFERROR(Table7[[#This Row],[United States 10y]]-Table7[[#This Row],[United States 3y]],#N/A)</f>
        <v/>
      </c>
    </row>
    <row r="14779">
      <c r="A14779" s="6">
        <f>Database!$A16864</f>
        <v/>
      </c>
      <c r="B14779">
        <f>IF(VLOOKUP(Table7[[#This Row],[Date]],Database!$A:$C,MATCH($B$1,Database!$A$1:$C$1,),)=0,#N/A,VLOOKUP(Table7[[#This Row],[Date]],Database!$A:$C,MATCH($B$1,Database!$A$1:$C$1,),))</f>
        <v/>
      </c>
      <c r="C14779">
        <f>IF(VLOOKUP(Table7[[#This Row],[Date]],Database!$A:$C,MATCH($C$1,Database!$A$1:$C$1,),)=0,#N/A,VLOOKUP(Table7[[#This Row],[Date]],Database!$A:$C,MATCH($C$1,Database!$A$1:$C$1,),))</f>
        <v/>
      </c>
      <c r="D14779">
        <f>IFERROR(Table7[[#This Row],[United States 10y]]-Table7[[#This Row],[United States 3y]],#N/A)</f>
        <v/>
      </c>
    </row>
    <row r="14780">
      <c r="A14780" s="6">
        <f>Database!$A16865</f>
        <v/>
      </c>
      <c r="B14780">
        <f>IF(VLOOKUP(Table7[[#This Row],[Date]],Database!$A:$C,MATCH($B$1,Database!$A$1:$C$1,),)=0,#N/A,VLOOKUP(Table7[[#This Row],[Date]],Database!$A:$C,MATCH($B$1,Database!$A$1:$C$1,),))</f>
        <v/>
      </c>
      <c r="C14780">
        <f>IF(VLOOKUP(Table7[[#This Row],[Date]],Database!$A:$C,MATCH($C$1,Database!$A$1:$C$1,),)=0,#N/A,VLOOKUP(Table7[[#This Row],[Date]],Database!$A:$C,MATCH($C$1,Database!$A$1:$C$1,),))</f>
        <v/>
      </c>
      <c r="D14780">
        <f>IFERROR(Table7[[#This Row],[United States 10y]]-Table7[[#This Row],[United States 3y]],#N/A)</f>
        <v/>
      </c>
    </row>
    <row r="14781">
      <c r="A14781" s="6">
        <f>Database!$A16866</f>
        <v/>
      </c>
      <c r="B14781">
        <f>IF(VLOOKUP(Table7[[#This Row],[Date]],Database!$A:$C,MATCH($B$1,Database!$A$1:$C$1,),)=0,#N/A,VLOOKUP(Table7[[#This Row],[Date]],Database!$A:$C,MATCH($B$1,Database!$A$1:$C$1,),))</f>
        <v/>
      </c>
      <c r="C14781">
        <f>IF(VLOOKUP(Table7[[#This Row],[Date]],Database!$A:$C,MATCH($C$1,Database!$A$1:$C$1,),)=0,#N/A,VLOOKUP(Table7[[#This Row],[Date]],Database!$A:$C,MATCH($C$1,Database!$A$1:$C$1,),))</f>
        <v/>
      </c>
      <c r="D14781">
        <f>IFERROR(Table7[[#This Row],[United States 10y]]-Table7[[#This Row],[United States 3y]],#N/A)</f>
        <v/>
      </c>
    </row>
    <row r="14782">
      <c r="A14782" s="6">
        <f>Database!$A16867</f>
        <v/>
      </c>
      <c r="B14782">
        <f>IF(VLOOKUP(Table7[[#This Row],[Date]],Database!$A:$C,MATCH($B$1,Database!$A$1:$C$1,),)=0,#N/A,VLOOKUP(Table7[[#This Row],[Date]],Database!$A:$C,MATCH($B$1,Database!$A$1:$C$1,),))</f>
        <v/>
      </c>
      <c r="C14782">
        <f>IF(VLOOKUP(Table7[[#This Row],[Date]],Database!$A:$C,MATCH($C$1,Database!$A$1:$C$1,),)=0,#N/A,VLOOKUP(Table7[[#This Row],[Date]],Database!$A:$C,MATCH($C$1,Database!$A$1:$C$1,),))</f>
        <v/>
      </c>
      <c r="D14782">
        <f>IFERROR(Table7[[#This Row],[United States 10y]]-Table7[[#This Row],[United States 3y]],#N/A)</f>
        <v/>
      </c>
    </row>
    <row r="14783">
      <c r="A14783" s="6">
        <f>Database!$A16868</f>
        <v/>
      </c>
      <c r="B14783">
        <f>IF(VLOOKUP(Table7[[#This Row],[Date]],Database!$A:$C,MATCH($B$1,Database!$A$1:$C$1,),)=0,#N/A,VLOOKUP(Table7[[#This Row],[Date]],Database!$A:$C,MATCH($B$1,Database!$A$1:$C$1,),))</f>
        <v/>
      </c>
      <c r="C14783">
        <f>IF(VLOOKUP(Table7[[#This Row],[Date]],Database!$A:$C,MATCH($C$1,Database!$A$1:$C$1,),)=0,#N/A,VLOOKUP(Table7[[#This Row],[Date]],Database!$A:$C,MATCH($C$1,Database!$A$1:$C$1,),))</f>
        <v/>
      </c>
      <c r="D14783">
        <f>IFERROR(Table7[[#This Row],[United States 10y]]-Table7[[#This Row],[United States 3y]],#N/A)</f>
        <v/>
      </c>
    </row>
    <row r="14784">
      <c r="A14784" s="6">
        <f>Database!$A16869</f>
        <v/>
      </c>
      <c r="B14784">
        <f>IF(VLOOKUP(Table7[[#This Row],[Date]],Database!$A:$C,MATCH($B$1,Database!$A$1:$C$1,),)=0,#N/A,VLOOKUP(Table7[[#This Row],[Date]],Database!$A:$C,MATCH($B$1,Database!$A$1:$C$1,),))</f>
        <v/>
      </c>
      <c r="C14784">
        <f>IF(VLOOKUP(Table7[[#This Row],[Date]],Database!$A:$C,MATCH($C$1,Database!$A$1:$C$1,),)=0,#N/A,VLOOKUP(Table7[[#This Row],[Date]],Database!$A:$C,MATCH($C$1,Database!$A$1:$C$1,),))</f>
        <v/>
      </c>
      <c r="D14784">
        <f>IFERROR(Table7[[#This Row],[United States 10y]]-Table7[[#This Row],[United States 3y]],#N/A)</f>
        <v/>
      </c>
    </row>
    <row r="14785">
      <c r="A14785" s="6">
        <f>Database!$A16870</f>
        <v/>
      </c>
      <c r="B14785">
        <f>IF(VLOOKUP(Table7[[#This Row],[Date]],Database!$A:$C,MATCH($B$1,Database!$A$1:$C$1,),)=0,#N/A,VLOOKUP(Table7[[#This Row],[Date]],Database!$A:$C,MATCH($B$1,Database!$A$1:$C$1,),))</f>
        <v/>
      </c>
      <c r="C14785">
        <f>IF(VLOOKUP(Table7[[#This Row],[Date]],Database!$A:$C,MATCH($C$1,Database!$A$1:$C$1,),)=0,#N/A,VLOOKUP(Table7[[#This Row],[Date]],Database!$A:$C,MATCH($C$1,Database!$A$1:$C$1,),))</f>
        <v/>
      </c>
      <c r="D14785">
        <f>IFERROR(Table7[[#This Row],[United States 10y]]-Table7[[#This Row],[United States 3y]],#N/A)</f>
        <v/>
      </c>
    </row>
    <row r="14786">
      <c r="A14786" s="6">
        <f>Database!$A16871</f>
        <v/>
      </c>
      <c r="B14786">
        <f>IF(VLOOKUP(Table7[[#This Row],[Date]],Database!$A:$C,MATCH($B$1,Database!$A$1:$C$1,),)=0,#N/A,VLOOKUP(Table7[[#This Row],[Date]],Database!$A:$C,MATCH($B$1,Database!$A$1:$C$1,),))</f>
        <v/>
      </c>
      <c r="C14786">
        <f>IF(VLOOKUP(Table7[[#This Row],[Date]],Database!$A:$C,MATCH($C$1,Database!$A$1:$C$1,),)=0,#N/A,VLOOKUP(Table7[[#This Row],[Date]],Database!$A:$C,MATCH($C$1,Database!$A$1:$C$1,),))</f>
        <v/>
      </c>
      <c r="D14786">
        <f>IFERROR(Table7[[#This Row],[United States 10y]]-Table7[[#This Row],[United States 3y]],#N/A)</f>
        <v/>
      </c>
    </row>
    <row r="14787">
      <c r="A14787" s="6">
        <f>Database!$A16872</f>
        <v/>
      </c>
      <c r="B14787">
        <f>IF(VLOOKUP(Table7[[#This Row],[Date]],Database!$A:$C,MATCH($B$1,Database!$A$1:$C$1,),)=0,#N/A,VLOOKUP(Table7[[#This Row],[Date]],Database!$A:$C,MATCH($B$1,Database!$A$1:$C$1,),))</f>
        <v/>
      </c>
      <c r="C14787">
        <f>IF(VLOOKUP(Table7[[#This Row],[Date]],Database!$A:$C,MATCH($C$1,Database!$A$1:$C$1,),)=0,#N/A,VLOOKUP(Table7[[#This Row],[Date]],Database!$A:$C,MATCH($C$1,Database!$A$1:$C$1,),))</f>
        <v/>
      </c>
      <c r="D14787">
        <f>IFERROR(Table7[[#This Row],[United States 10y]]-Table7[[#This Row],[United States 3y]],#N/A)</f>
        <v/>
      </c>
    </row>
    <row r="14788">
      <c r="A14788" s="6">
        <f>Database!$A16873</f>
        <v/>
      </c>
      <c r="B14788">
        <f>IF(VLOOKUP(Table7[[#This Row],[Date]],Database!$A:$C,MATCH($B$1,Database!$A$1:$C$1,),)=0,#N/A,VLOOKUP(Table7[[#This Row],[Date]],Database!$A:$C,MATCH($B$1,Database!$A$1:$C$1,),))</f>
        <v/>
      </c>
      <c r="C14788">
        <f>IF(VLOOKUP(Table7[[#This Row],[Date]],Database!$A:$C,MATCH($C$1,Database!$A$1:$C$1,),)=0,#N/A,VLOOKUP(Table7[[#This Row],[Date]],Database!$A:$C,MATCH($C$1,Database!$A$1:$C$1,),))</f>
        <v/>
      </c>
      <c r="D14788">
        <f>IFERROR(Table7[[#This Row],[United States 10y]]-Table7[[#This Row],[United States 3y]],#N/A)</f>
        <v/>
      </c>
    </row>
    <row r="14789">
      <c r="A14789" s="6">
        <f>Database!$A16874</f>
        <v/>
      </c>
      <c r="B14789">
        <f>IF(VLOOKUP(Table7[[#This Row],[Date]],Database!$A:$C,MATCH($B$1,Database!$A$1:$C$1,),)=0,#N/A,VLOOKUP(Table7[[#This Row],[Date]],Database!$A:$C,MATCH($B$1,Database!$A$1:$C$1,),))</f>
        <v/>
      </c>
      <c r="C14789">
        <f>IF(VLOOKUP(Table7[[#This Row],[Date]],Database!$A:$C,MATCH($C$1,Database!$A$1:$C$1,),)=0,#N/A,VLOOKUP(Table7[[#This Row],[Date]],Database!$A:$C,MATCH($C$1,Database!$A$1:$C$1,),))</f>
        <v/>
      </c>
      <c r="D14789">
        <f>IFERROR(Table7[[#This Row],[United States 10y]]-Table7[[#This Row],[United States 3y]],#N/A)</f>
        <v/>
      </c>
    </row>
    <row r="14790">
      <c r="A14790" s="6">
        <f>Database!$A16875</f>
        <v/>
      </c>
      <c r="B14790">
        <f>IF(VLOOKUP(Table7[[#This Row],[Date]],Database!$A:$C,MATCH($B$1,Database!$A$1:$C$1,),)=0,#N/A,VLOOKUP(Table7[[#This Row],[Date]],Database!$A:$C,MATCH($B$1,Database!$A$1:$C$1,),))</f>
        <v/>
      </c>
      <c r="C14790">
        <f>IF(VLOOKUP(Table7[[#This Row],[Date]],Database!$A:$C,MATCH($C$1,Database!$A$1:$C$1,),)=0,#N/A,VLOOKUP(Table7[[#This Row],[Date]],Database!$A:$C,MATCH($C$1,Database!$A$1:$C$1,),))</f>
        <v/>
      </c>
      <c r="D14790">
        <f>IFERROR(Table7[[#This Row],[United States 10y]]-Table7[[#This Row],[United States 3y]],#N/A)</f>
        <v/>
      </c>
    </row>
    <row r="14791">
      <c r="A14791" s="6">
        <f>Database!$A16876</f>
        <v/>
      </c>
      <c r="B14791">
        <f>IF(VLOOKUP(Table7[[#This Row],[Date]],Database!$A:$C,MATCH($B$1,Database!$A$1:$C$1,),)=0,#N/A,VLOOKUP(Table7[[#This Row],[Date]],Database!$A:$C,MATCH($B$1,Database!$A$1:$C$1,),))</f>
        <v/>
      </c>
      <c r="C14791">
        <f>IF(VLOOKUP(Table7[[#This Row],[Date]],Database!$A:$C,MATCH($C$1,Database!$A$1:$C$1,),)=0,#N/A,VLOOKUP(Table7[[#This Row],[Date]],Database!$A:$C,MATCH($C$1,Database!$A$1:$C$1,),))</f>
        <v/>
      </c>
      <c r="D14791">
        <f>IFERROR(Table7[[#This Row],[United States 10y]]-Table7[[#This Row],[United States 3y]],#N/A)</f>
        <v/>
      </c>
    </row>
    <row r="14792">
      <c r="A14792" s="6">
        <f>Database!$A16877</f>
        <v/>
      </c>
      <c r="B14792">
        <f>IF(VLOOKUP(Table7[[#This Row],[Date]],Database!$A:$C,MATCH($B$1,Database!$A$1:$C$1,),)=0,#N/A,VLOOKUP(Table7[[#This Row],[Date]],Database!$A:$C,MATCH($B$1,Database!$A$1:$C$1,),))</f>
        <v/>
      </c>
      <c r="C14792">
        <f>IF(VLOOKUP(Table7[[#This Row],[Date]],Database!$A:$C,MATCH($C$1,Database!$A$1:$C$1,),)=0,#N/A,VLOOKUP(Table7[[#This Row],[Date]],Database!$A:$C,MATCH($C$1,Database!$A$1:$C$1,),))</f>
        <v/>
      </c>
      <c r="D14792">
        <f>IFERROR(Table7[[#This Row],[United States 10y]]-Table7[[#This Row],[United States 3y]],#N/A)</f>
        <v/>
      </c>
    </row>
    <row r="14793">
      <c r="A14793" s="6">
        <f>Database!$A16878</f>
        <v/>
      </c>
      <c r="B14793">
        <f>IF(VLOOKUP(Table7[[#This Row],[Date]],Database!$A:$C,MATCH($B$1,Database!$A$1:$C$1,),)=0,#N/A,VLOOKUP(Table7[[#This Row],[Date]],Database!$A:$C,MATCH($B$1,Database!$A$1:$C$1,),))</f>
        <v/>
      </c>
      <c r="C14793">
        <f>IF(VLOOKUP(Table7[[#This Row],[Date]],Database!$A:$C,MATCH($C$1,Database!$A$1:$C$1,),)=0,#N/A,VLOOKUP(Table7[[#This Row],[Date]],Database!$A:$C,MATCH($C$1,Database!$A$1:$C$1,),))</f>
        <v/>
      </c>
      <c r="D14793">
        <f>IFERROR(Table7[[#This Row],[United States 10y]]-Table7[[#This Row],[United States 3y]],#N/A)</f>
        <v/>
      </c>
    </row>
    <row r="14794">
      <c r="A14794" s="6">
        <f>Database!$A16879</f>
        <v/>
      </c>
      <c r="B14794">
        <f>IF(VLOOKUP(Table7[[#This Row],[Date]],Database!$A:$C,MATCH($B$1,Database!$A$1:$C$1,),)=0,#N/A,VLOOKUP(Table7[[#This Row],[Date]],Database!$A:$C,MATCH($B$1,Database!$A$1:$C$1,),))</f>
        <v/>
      </c>
      <c r="C14794">
        <f>IF(VLOOKUP(Table7[[#This Row],[Date]],Database!$A:$C,MATCH($C$1,Database!$A$1:$C$1,),)=0,#N/A,VLOOKUP(Table7[[#This Row],[Date]],Database!$A:$C,MATCH($C$1,Database!$A$1:$C$1,),))</f>
        <v/>
      </c>
      <c r="D14794">
        <f>IFERROR(Table7[[#This Row],[United States 10y]]-Table7[[#This Row],[United States 3y]],#N/A)</f>
        <v/>
      </c>
    </row>
    <row r="14795">
      <c r="A14795" s="6">
        <f>Database!$A16880</f>
        <v/>
      </c>
      <c r="B14795">
        <f>IF(VLOOKUP(Table7[[#This Row],[Date]],Database!$A:$C,MATCH($B$1,Database!$A$1:$C$1,),)=0,#N/A,VLOOKUP(Table7[[#This Row],[Date]],Database!$A:$C,MATCH($B$1,Database!$A$1:$C$1,),))</f>
        <v/>
      </c>
      <c r="C14795">
        <f>IF(VLOOKUP(Table7[[#This Row],[Date]],Database!$A:$C,MATCH($C$1,Database!$A$1:$C$1,),)=0,#N/A,VLOOKUP(Table7[[#This Row],[Date]],Database!$A:$C,MATCH($C$1,Database!$A$1:$C$1,),))</f>
        <v/>
      </c>
      <c r="D14795">
        <f>IFERROR(Table7[[#This Row],[United States 10y]]-Table7[[#This Row],[United States 3y]],#N/A)</f>
        <v/>
      </c>
    </row>
    <row r="14796">
      <c r="A14796" s="6">
        <f>Database!$A16881</f>
        <v/>
      </c>
      <c r="B14796">
        <f>IF(VLOOKUP(Table7[[#This Row],[Date]],Database!$A:$C,MATCH($B$1,Database!$A$1:$C$1,),)=0,#N/A,VLOOKUP(Table7[[#This Row],[Date]],Database!$A:$C,MATCH($B$1,Database!$A$1:$C$1,),))</f>
        <v/>
      </c>
      <c r="C14796">
        <f>IF(VLOOKUP(Table7[[#This Row],[Date]],Database!$A:$C,MATCH($C$1,Database!$A$1:$C$1,),)=0,#N/A,VLOOKUP(Table7[[#This Row],[Date]],Database!$A:$C,MATCH($C$1,Database!$A$1:$C$1,),))</f>
        <v/>
      </c>
      <c r="D14796">
        <f>IFERROR(Table7[[#This Row],[United States 10y]]-Table7[[#This Row],[United States 3y]],#N/A)</f>
        <v/>
      </c>
    </row>
    <row r="14797">
      <c r="A14797" s="6">
        <f>Database!$A16882</f>
        <v/>
      </c>
      <c r="B14797">
        <f>IF(VLOOKUP(Table7[[#This Row],[Date]],Database!$A:$C,MATCH($B$1,Database!$A$1:$C$1,),)=0,#N/A,VLOOKUP(Table7[[#This Row],[Date]],Database!$A:$C,MATCH($B$1,Database!$A$1:$C$1,),))</f>
        <v/>
      </c>
      <c r="C14797">
        <f>IF(VLOOKUP(Table7[[#This Row],[Date]],Database!$A:$C,MATCH($C$1,Database!$A$1:$C$1,),)=0,#N/A,VLOOKUP(Table7[[#This Row],[Date]],Database!$A:$C,MATCH($C$1,Database!$A$1:$C$1,),))</f>
        <v/>
      </c>
      <c r="D14797">
        <f>IFERROR(Table7[[#This Row],[United States 10y]]-Table7[[#This Row],[United States 3y]],#N/A)</f>
        <v/>
      </c>
    </row>
    <row r="14798">
      <c r="A14798" s="6">
        <f>Database!$A16883</f>
        <v/>
      </c>
      <c r="B14798">
        <f>IF(VLOOKUP(Table7[[#This Row],[Date]],Database!$A:$C,MATCH($B$1,Database!$A$1:$C$1,),)=0,#N/A,VLOOKUP(Table7[[#This Row],[Date]],Database!$A:$C,MATCH($B$1,Database!$A$1:$C$1,),))</f>
        <v/>
      </c>
      <c r="C14798">
        <f>IF(VLOOKUP(Table7[[#This Row],[Date]],Database!$A:$C,MATCH($C$1,Database!$A$1:$C$1,),)=0,#N/A,VLOOKUP(Table7[[#This Row],[Date]],Database!$A:$C,MATCH($C$1,Database!$A$1:$C$1,),))</f>
        <v/>
      </c>
      <c r="D14798">
        <f>IFERROR(Table7[[#This Row],[United States 10y]]-Table7[[#This Row],[United States 3y]],#N/A)</f>
        <v/>
      </c>
    </row>
    <row r="14799">
      <c r="A14799" s="6">
        <f>Database!$A16884</f>
        <v/>
      </c>
      <c r="B14799">
        <f>IF(VLOOKUP(Table7[[#This Row],[Date]],Database!$A:$C,MATCH($B$1,Database!$A$1:$C$1,),)=0,#N/A,VLOOKUP(Table7[[#This Row],[Date]],Database!$A:$C,MATCH($B$1,Database!$A$1:$C$1,),))</f>
        <v/>
      </c>
      <c r="C14799">
        <f>IF(VLOOKUP(Table7[[#This Row],[Date]],Database!$A:$C,MATCH($C$1,Database!$A$1:$C$1,),)=0,#N/A,VLOOKUP(Table7[[#This Row],[Date]],Database!$A:$C,MATCH($C$1,Database!$A$1:$C$1,),))</f>
        <v/>
      </c>
      <c r="D14799">
        <f>IFERROR(Table7[[#This Row],[United States 10y]]-Table7[[#This Row],[United States 3y]],#N/A)</f>
        <v/>
      </c>
    </row>
    <row r="14800">
      <c r="A14800" s="6">
        <f>Database!$A16885</f>
        <v/>
      </c>
      <c r="B14800">
        <f>IF(VLOOKUP(Table7[[#This Row],[Date]],Database!$A:$C,MATCH($B$1,Database!$A$1:$C$1,),)=0,#N/A,VLOOKUP(Table7[[#This Row],[Date]],Database!$A:$C,MATCH($B$1,Database!$A$1:$C$1,),))</f>
        <v/>
      </c>
      <c r="C14800">
        <f>IF(VLOOKUP(Table7[[#This Row],[Date]],Database!$A:$C,MATCH($C$1,Database!$A$1:$C$1,),)=0,#N/A,VLOOKUP(Table7[[#This Row],[Date]],Database!$A:$C,MATCH($C$1,Database!$A$1:$C$1,),))</f>
        <v/>
      </c>
      <c r="D14800">
        <f>IFERROR(Table7[[#This Row],[United States 10y]]-Table7[[#This Row],[United States 3y]],#N/A)</f>
        <v/>
      </c>
    </row>
    <row r="14801">
      <c r="A14801" s="6">
        <f>Database!$A16886</f>
        <v/>
      </c>
      <c r="B14801">
        <f>IF(VLOOKUP(Table7[[#This Row],[Date]],Database!$A:$C,MATCH($B$1,Database!$A$1:$C$1,),)=0,#N/A,VLOOKUP(Table7[[#This Row],[Date]],Database!$A:$C,MATCH($B$1,Database!$A$1:$C$1,),))</f>
        <v/>
      </c>
      <c r="C14801">
        <f>IF(VLOOKUP(Table7[[#This Row],[Date]],Database!$A:$C,MATCH($C$1,Database!$A$1:$C$1,),)=0,#N/A,VLOOKUP(Table7[[#This Row],[Date]],Database!$A:$C,MATCH($C$1,Database!$A$1:$C$1,),))</f>
        <v/>
      </c>
      <c r="D14801">
        <f>IFERROR(Table7[[#This Row],[United States 10y]]-Table7[[#This Row],[United States 3y]],#N/A)</f>
        <v/>
      </c>
    </row>
    <row r="14802">
      <c r="A14802" s="6">
        <f>Database!$A16887</f>
        <v/>
      </c>
      <c r="B14802">
        <f>IF(VLOOKUP(Table7[[#This Row],[Date]],Database!$A:$C,MATCH($B$1,Database!$A$1:$C$1,),)=0,#N/A,VLOOKUP(Table7[[#This Row],[Date]],Database!$A:$C,MATCH($B$1,Database!$A$1:$C$1,),))</f>
        <v/>
      </c>
      <c r="C14802">
        <f>IF(VLOOKUP(Table7[[#This Row],[Date]],Database!$A:$C,MATCH($C$1,Database!$A$1:$C$1,),)=0,#N/A,VLOOKUP(Table7[[#This Row],[Date]],Database!$A:$C,MATCH($C$1,Database!$A$1:$C$1,),))</f>
        <v/>
      </c>
      <c r="D14802">
        <f>IFERROR(Table7[[#This Row],[United States 10y]]-Table7[[#This Row],[United States 3y]],#N/A)</f>
        <v/>
      </c>
    </row>
    <row r="14803">
      <c r="A14803" s="6">
        <f>Database!$A16888</f>
        <v/>
      </c>
      <c r="B14803">
        <f>IF(VLOOKUP(Table7[[#This Row],[Date]],Database!$A:$C,MATCH($B$1,Database!$A$1:$C$1,),)=0,#N/A,VLOOKUP(Table7[[#This Row],[Date]],Database!$A:$C,MATCH($B$1,Database!$A$1:$C$1,),))</f>
        <v/>
      </c>
      <c r="C14803">
        <f>IF(VLOOKUP(Table7[[#This Row],[Date]],Database!$A:$C,MATCH($C$1,Database!$A$1:$C$1,),)=0,#N/A,VLOOKUP(Table7[[#This Row],[Date]],Database!$A:$C,MATCH($C$1,Database!$A$1:$C$1,),))</f>
        <v/>
      </c>
      <c r="D14803">
        <f>IFERROR(Table7[[#This Row],[United States 10y]]-Table7[[#This Row],[United States 3y]],#N/A)</f>
        <v/>
      </c>
    </row>
    <row r="14804">
      <c r="A14804" s="6">
        <f>Database!$A16889</f>
        <v/>
      </c>
      <c r="B14804">
        <f>IF(VLOOKUP(Table7[[#This Row],[Date]],Database!$A:$C,MATCH($B$1,Database!$A$1:$C$1,),)=0,#N/A,VLOOKUP(Table7[[#This Row],[Date]],Database!$A:$C,MATCH($B$1,Database!$A$1:$C$1,),))</f>
        <v/>
      </c>
      <c r="C14804">
        <f>IF(VLOOKUP(Table7[[#This Row],[Date]],Database!$A:$C,MATCH($C$1,Database!$A$1:$C$1,),)=0,#N/A,VLOOKUP(Table7[[#This Row],[Date]],Database!$A:$C,MATCH($C$1,Database!$A$1:$C$1,),))</f>
        <v/>
      </c>
      <c r="D14804">
        <f>IFERROR(Table7[[#This Row],[United States 10y]]-Table7[[#This Row],[United States 3y]],#N/A)</f>
        <v/>
      </c>
    </row>
    <row r="14805">
      <c r="A14805" s="6">
        <f>Database!$A16890</f>
        <v/>
      </c>
      <c r="B14805">
        <f>IF(VLOOKUP(Table7[[#This Row],[Date]],Database!$A:$C,MATCH($B$1,Database!$A$1:$C$1,),)=0,#N/A,VLOOKUP(Table7[[#This Row],[Date]],Database!$A:$C,MATCH($B$1,Database!$A$1:$C$1,),))</f>
        <v/>
      </c>
      <c r="C14805">
        <f>IF(VLOOKUP(Table7[[#This Row],[Date]],Database!$A:$C,MATCH($C$1,Database!$A$1:$C$1,),)=0,#N/A,VLOOKUP(Table7[[#This Row],[Date]],Database!$A:$C,MATCH($C$1,Database!$A$1:$C$1,),))</f>
        <v/>
      </c>
      <c r="D14805">
        <f>IFERROR(Table7[[#This Row],[United States 10y]]-Table7[[#This Row],[United States 3y]],#N/A)</f>
        <v/>
      </c>
    </row>
    <row r="14806">
      <c r="A14806" s="6">
        <f>Database!$A16891</f>
        <v/>
      </c>
      <c r="B14806">
        <f>IF(VLOOKUP(Table7[[#This Row],[Date]],Database!$A:$C,MATCH($B$1,Database!$A$1:$C$1,),)=0,#N/A,VLOOKUP(Table7[[#This Row],[Date]],Database!$A:$C,MATCH($B$1,Database!$A$1:$C$1,),))</f>
        <v/>
      </c>
      <c r="C14806">
        <f>IF(VLOOKUP(Table7[[#This Row],[Date]],Database!$A:$C,MATCH($C$1,Database!$A$1:$C$1,),)=0,#N/A,VLOOKUP(Table7[[#This Row],[Date]],Database!$A:$C,MATCH($C$1,Database!$A$1:$C$1,),))</f>
        <v/>
      </c>
      <c r="D14806">
        <f>IFERROR(Table7[[#This Row],[United States 10y]]-Table7[[#This Row],[United States 3y]],#N/A)</f>
        <v/>
      </c>
    </row>
    <row r="14807">
      <c r="A14807" s="6">
        <f>Database!$A16892</f>
        <v/>
      </c>
      <c r="B14807">
        <f>IF(VLOOKUP(Table7[[#This Row],[Date]],Database!$A:$C,MATCH($B$1,Database!$A$1:$C$1,),)=0,#N/A,VLOOKUP(Table7[[#This Row],[Date]],Database!$A:$C,MATCH($B$1,Database!$A$1:$C$1,),))</f>
        <v/>
      </c>
      <c r="C14807">
        <f>IF(VLOOKUP(Table7[[#This Row],[Date]],Database!$A:$C,MATCH($C$1,Database!$A$1:$C$1,),)=0,#N/A,VLOOKUP(Table7[[#This Row],[Date]],Database!$A:$C,MATCH($C$1,Database!$A$1:$C$1,),))</f>
        <v/>
      </c>
      <c r="D14807">
        <f>IFERROR(Table7[[#This Row],[United States 10y]]-Table7[[#This Row],[United States 3y]],#N/A)</f>
        <v/>
      </c>
    </row>
    <row r="14808">
      <c r="A14808" s="6">
        <f>Database!$A16893</f>
        <v/>
      </c>
      <c r="B14808">
        <f>IF(VLOOKUP(Table7[[#This Row],[Date]],Database!$A:$C,MATCH($B$1,Database!$A$1:$C$1,),)=0,#N/A,VLOOKUP(Table7[[#This Row],[Date]],Database!$A:$C,MATCH($B$1,Database!$A$1:$C$1,),))</f>
        <v/>
      </c>
      <c r="C14808">
        <f>IF(VLOOKUP(Table7[[#This Row],[Date]],Database!$A:$C,MATCH($C$1,Database!$A$1:$C$1,),)=0,#N/A,VLOOKUP(Table7[[#This Row],[Date]],Database!$A:$C,MATCH($C$1,Database!$A$1:$C$1,),))</f>
        <v/>
      </c>
      <c r="D14808">
        <f>IFERROR(Table7[[#This Row],[United States 10y]]-Table7[[#This Row],[United States 3y]],#N/A)</f>
        <v/>
      </c>
    </row>
    <row r="14809">
      <c r="A14809" s="6">
        <f>Database!$A16894</f>
        <v/>
      </c>
      <c r="B14809">
        <f>IF(VLOOKUP(Table7[[#This Row],[Date]],Database!$A:$C,MATCH($B$1,Database!$A$1:$C$1,),)=0,#N/A,VLOOKUP(Table7[[#This Row],[Date]],Database!$A:$C,MATCH($B$1,Database!$A$1:$C$1,),))</f>
        <v/>
      </c>
      <c r="C14809">
        <f>IF(VLOOKUP(Table7[[#This Row],[Date]],Database!$A:$C,MATCH($C$1,Database!$A$1:$C$1,),)=0,#N/A,VLOOKUP(Table7[[#This Row],[Date]],Database!$A:$C,MATCH($C$1,Database!$A$1:$C$1,),))</f>
        <v/>
      </c>
      <c r="D14809">
        <f>IFERROR(Table7[[#This Row],[United States 10y]]-Table7[[#This Row],[United States 3y]],#N/A)</f>
        <v/>
      </c>
    </row>
    <row r="14810">
      <c r="A14810" s="6">
        <f>Database!$A16895</f>
        <v/>
      </c>
      <c r="B14810">
        <f>IF(VLOOKUP(Table7[[#This Row],[Date]],Database!$A:$C,MATCH($B$1,Database!$A$1:$C$1,),)=0,#N/A,VLOOKUP(Table7[[#This Row],[Date]],Database!$A:$C,MATCH($B$1,Database!$A$1:$C$1,),))</f>
        <v/>
      </c>
      <c r="C14810">
        <f>IF(VLOOKUP(Table7[[#This Row],[Date]],Database!$A:$C,MATCH($C$1,Database!$A$1:$C$1,),)=0,#N/A,VLOOKUP(Table7[[#This Row],[Date]],Database!$A:$C,MATCH($C$1,Database!$A$1:$C$1,),))</f>
        <v/>
      </c>
      <c r="D14810">
        <f>IFERROR(Table7[[#This Row],[United States 10y]]-Table7[[#This Row],[United States 3y]],#N/A)</f>
        <v/>
      </c>
    </row>
    <row r="14811">
      <c r="A14811" s="6">
        <f>Database!$A16896</f>
        <v/>
      </c>
      <c r="B14811">
        <f>IF(VLOOKUP(Table7[[#This Row],[Date]],Database!$A:$C,MATCH($B$1,Database!$A$1:$C$1,),)=0,#N/A,VLOOKUP(Table7[[#This Row],[Date]],Database!$A:$C,MATCH($B$1,Database!$A$1:$C$1,),))</f>
        <v/>
      </c>
      <c r="C14811">
        <f>IF(VLOOKUP(Table7[[#This Row],[Date]],Database!$A:$C,MATCH($C$1,Database!$A$1:$C$1,),)=0,#N/A,VLOOKUP(Table7[[#This Row],[Date]],Database!$A:$C,MATCH($C$1,Database!$A$1:$C$1,),))</f>
        <v/>
      </c>
      <c r="D14811">
        <f>IFERROR(Table7[[#This Row],[United States 10y]]-Table7[[#This Row],[United States 3y]],#N/A)</f>
        <v/>
      </c>
    </row>
    <row r="14812">
      <c r="A14812" s="6">
        <f>Database!$A16897</f>
        <v/>
      </c>
      <c r="B14812">
        <f>IF(VLOOKUP(Table7[[#This Row],[Date]],Database!$A:$C,MATCH($B$1,Database!$A$1:$C$1,),)=0,#N/A,VLOOKUP(Table7[[#This Row],[Date]],Database!$A:$C,MATCH($B$1,Database!$A$1:$C$1,),))</f>
        <v/>
      </c>
      <c r="C14812">
        <f>IF(VLOOKUP(Table7[[#This Row],[Date]],Database!$A:$C,MATCH($C$1,Database!$A$1:$C$1,),)=0,#N/A,VLOOKUP(Table7[[#This Row],[Date]],Database!$A:$C,MATCH($C$1,Database!$A$1:$C$1,),))</f>
        <v/>
      </c>
      <c r="D14812">
        <f>IFERROR(Table7[[#This Row],[United States 10y]]-Table7[[#This Row],[United States 3y]],#N/A)</f>
        <v/>
      </c>
    </row>
    <row r="14813">
      <c r="A14813" s="6">
        <f>Database!$A16898</f>
        <v/>
      </c>
      <c r="B14813">
        <f>IF(VLOOKUP(Table7[[#This Row],[Date]],Database!$A:$C,MATCH($B$1,Database!$A$1:$C$1,),)=0,#N/A,VLOOKUP(Table7[[#This Row],[Date]],Database!$A:$C,MATCH($B$1,Database!$A$1:$C$1,),))</f>
        <v/>
      </c>
      <c r="C14813">
        <f>IF(VLOOKUP(Table7[[#This Row],[Date]],Database!$A:$C,MATCH($C$1,Database!$A$1:$C$1,),)=0,#N/A,VLOOKUP(Table7[[#This Row],[Date]],Database!$A:$C,MATCH($C$1,Database!$A$1:$C$1,),))</f>
        <v/>
      </c>
      <c r="D14813">
        <f>IFERROR(Table7[[#This Row],[United States 10y]]-Table7[[#This Row],[United States 3y]],#N/A)</f>
        <v/>
      </c>
    </row>
    <row r="14814">
      <c r="A14814" s="6">
        <f>Database!$A16899</f>
        <v/>
      </c>
      <c r="B14814">
        <f>IF(VLOOKUP(Table7[[#This Row],[Date]],Database!$A:$C,MATCH($B$1,Database!$A$1:$C$1,),)=0,#N/A,VLOOKUP(Table7[[#This Row],[Date]],Database!$A:$C,MATCH($B$1,Database!$A$1:$C$1,),))</f>
        <v/>
      </c>
      <c r="C14814">
        <f>IF(VLOOKUP(Table7[[#This Row],[Date]],Database!$A:$C,MATCH($C$1,Database!$A$1:$C$1,),)=0,#N/A,VLOOKUP(Table7[[#This Row],[Date]],Database!$A:$C,MATCH($C$1,Database!$A$1:$C$1,),))</f>
        <v/>
      </c>
      <c r="D14814">
        <f>IFERROR(Table7[[#This Row],[United States 10y]]-Table7[[#This Row],[United States 3y]],#N/A)</f>
        <v/>
      </c>
    </row>
    <row r="14815">
      <c r="A14815" s="6">
        <f>Database!$A16900</f>
        <v/>
      </c>
      <c r="B14815">
        <f>IF(VLOOKUP(Table7[[#This Row],[Date]],Database!$A:$C,MATCH($B$1,Database!$A$1:$C$1,),)=0,#N/A,VLOOKUP(Table7[[#This Row],[Date]],Database!$A:$C,MATCH($B$1,Database!$A$1:$C$1,),))</f>
        <v/>
      </c>
      <c r="C14815">
        <f>IF(VLOOKUP(Table7[[#This Row],[Date]],Database!$A:$C,MATCH($C$1,Database!$A$1:$C$1,),)=0,#N/A,VLOOKUP(Table7[[#This Row],[Date]],Database!$A:$C,MATCH($C$1,Database!$A$1:$C$1,),))</f>
        <v/>
      </c>
      <c r="D14815">
        <f>IFERROR(Table7[[#This Row],[United States 10y]]-Table7[[#This Row],[United States 3y]],#N/A)</f>
        <v/>
      </c>
    </row>
    <row r="14816">
      <c r="A14816" s="6">
        <f>Database!$A16901</f>
        <v/>
      </c>
      <c r="B14816">
        <f>IF(VLOOKUP(Table7[[#This Row],[Date]],Database!$A:$C,MATCH($B$1,Database!$A$1:$C$1,),)=0,#N/A,VLOOKUP(Table7[[#This Row],[Date]],Database!$A:$C,MATCH($B$1,Database!$A$1:$C$1,),))</f>
        <v/>
      </c>
      <c r="C14816">
        <f>IF(VLOOKUP(Table7[[#This Row],[Date]],Database!$A:$C,MATCH($C$1,Database!$A$1:$C$1,),)=0,#N/A,VLOOKUP(Table7[[#This Row],[Date]],Database!$A:$C,MATCH($C$1,Database!$A$1:$C$1,),))</f>
        <v/>
      </c>
      <c r="D14816">
        <f>IFERROR(Table7[[#This Row],[United States 10y]]-Table7[[#This Row],[United States 3y]],#N/A)</f>
        <v/>
      </c>
    </row>
    <row r="14817">
      <c r="A14817" s="6">
        <f>Database!$A16902</f>
        <v/>
      </c>
      <c r="B14817">
        <f>IF(VLOOKUP(Table7[[#This Row],[Date]],Database!$A:$C,MATCH($B$1,Database!$A$1:$C$1,),)=0,#N/A,VLOOKUP(Table7[[#This Row],[Date]],Database!$A:$C,MATCH($B$1,Database!$A$1:$C$1,),))</f>
        <v/>
      </c>
      <c r="C14817">
        <f>IF(VLOOKUP(Table7[[#This Row],[Date]],Database!$A:$C,MATCH($C$1,Database!$A$1:$C$1,),)=0,#N/A,VLOOKUP(Table7[[#This Row],[Date]],Database!$A:$C,MATCH($C$1,Database!$A$1:$C$1,),))</f>
        <v/>
      </c>
      <c r="D14817">
        <f>IFERROR(Table7[[#This Row],[United States 10y]]-Table7[[#This Row],[United States 3y]],#N/A)</f>
        <v/>
      </c>
    </row>
    <row r="14818">
      <c r="A14818" s="6">
        <f>Database!$A16903</f>
        <v/>
      </c>
      <c r="B14818">
        <f>IF(VLOOKUP(Table7[[#This Row],[Date]],Database!$A:$C,MATCH($B$1,Database!$A$1:$C$1,),)=0,#N/A,VLOOKUP(Table7[[#This Row],[Date]],Database!$A:$C,MATCH($B$1,Database!$A$1:$C$1,),))</f>
        <v/>
      </c>
      <c r="C14818">
        <f>IF(VLOOKUP(Table7[[#This Row],[Date]],Database!$A:$C,MATCH($C$1,Database!$A$1:$C$1,),)=0,#N/A,VLOOKUP(Table7[[#This Row],[Date]],Database!$A:$C,MATCH($C$1,Database!$A$1:$C$1,),))</f>
        <v/>
      </c>
      <c r="D14818">
        <f>IFERROR(Table7[[#This Row],[United States 10y]]-Table7[[#This Row],[United States 3y]],#N/A)</f>
        <v/>
      </c>
    </row>
    <row r="14819">
      <c r="A14819" s="6">
        <f>Database!$A16904</f>
        <v/>
      </c>
      <c r="B14819">
        <f>IF(VLOOKUP(Table7[[#This Row],[Date]],Database!$A:$C,MATCH($B$1,Database!$A$1:$C$1,),)=0,#N/A,VLOOKUP(Table7[[#This Row],[Date]],Database!$A:$C,MATCH($B$1,Database!$A$1:$C$1,),))</f>
        <v/>
      </c>
      <c r="C14819">
        <f>IF(VLOOKUP(Table7[[#This Row],[Date]],Database!$A:$C,MATCH($C$1,Database!$A$1:$C$1,),)=0,#N/A,VLOOKUP(Table7[[#This Row],[Date]],Database!$A:$C,MATCH($C$1,Database!$A$1:$C$1,),))</f>
        <v/>
      </c>
      <c r="D14819">
        <f>IFERROR(Table7[[#This Row],[United States 10y]]-Table7[[#This Row],[United States 3y]],#N/A)</f>
        <v/>
      </c>
    </row>
    <row r="14820">
      <c r="A14820" s="6">
        <f>Database!$A16905</f>
        <v/>
      </c>
      <c r="B14820">
        <f>IF(VLOOKUP(Table7[[#This Row],[Date]],Database!$A:$C,MATCH($B$1,Database!$A$1:$C$1,),)=0,#N/A,VLOOKUP(Table7[[#This Row],[Date]],Database!$A:$C,MATCH($B$1,Database!$A$1:$C$1,),))</f>
        <v/>
      </c>
      <c r="C14820">
        <f>IF(VLOOKUP(Table7[[#This Row],[Date]],Database!$A:$C,MATCH($C$1,Database!$A$1:$C$1,),)=0,#N/A,VLOOKUP(Table7[[#This Row],[Date]],Database!$A:$C,MATCH($C$1,Database!$A$1:$C$1,),))</f>
        <v/>
      </c>
      <c r="D14820">
        <f>IFERROR(Table7[[#This Row],[United States 10y]]-Table7[[#This Row],[United States 3y]],#N/A)</f>
        <v/>
      </c>
    </row>
    <row r="14821">
      <c r="A14821" s="6">
        <f>Database!$A16906</f>
        <v/>
      </c>
      <c r="B14821">
        <f>IF(VLOOKUP(Table7[[#This Row],[Date]],Database!$A:$C,MATCH($B$1,Database!$A$1:$C$1,),)=0,#N/A,VLOOKUP(Table7[[#This Row],[Date]],Database!$A:$C,MATCH($B$1,Database!$A$1:$C$1,),))</f>
        <v/>
      </c>
      <c r="C14821">
        <f>IF(VLOOKUP(Table7[[#This Row],[Date]],Database!$A:$C,MATCH($C$1,Database!$A$1:$C$1,),)=0,#N/A,VLOOKUP(Table7[[#This Row],[Date]],Database!$A:$C,MATCH($C$1,Database!$A$1:$C$1,),))</f>
        <v/>
      </c>
      <c r="D14821">
        <f>IFERROR(Table7[[#This Row],[United States 10y]]-Table7[[#This Row],[United States 3y]],#N/A)</f>
        <v/>
      </c>
    </row>
    <row r="14822">
      <c r="A14822" s="6">
        <f>Database!$A16907</f>
        <v/>
      </c>
      <c r="B14822">
        <f>IF(VLOOKUP(Table7[[#This Row],[Date]],Database!$A:$C,MATCH($B$1,Database!$A$1:$C$1,),)=0,#N/A,VLOOKUP(Table7[[#This Row],[Date]],Database!$A:$C,MATCH($B$1,Database!$A$1:$C$1,),))</f>
        <v/>
      </c>
      <c r="C14822">
        <f>IF(VLOOKUP(Table7[[#This Row],[Date]],Database!$A:$C,MATCH($C$1,Database!$A$1:$C$1,),)=0,#N/A,VLOOKUP(Table7[[#This Row],[Date]],Database!$A:$C,MATCH($C$1,Database!$A$1:$C$1,),))</f>
        <v/>
      </c>
      <c r="D14822">
        <f>IFERROR(Table7[[#This Row],[United States 10y]]-Table7[[#This Row],[United States 3y]],#N/A)</f>
        <v/>
      </c>
    </row>
    <row r="14823">
      <c r="A14823" s="6">
        <f>Database!$A16908</f>
        <v/>
      </c>
      <c r="B14823">
        <f>IF(VLOOKUP(Table7[[#This Row],[Date]],Database!$A:$C,MATCH($B$1,Database!$A$1:$C$1,),)=0,#N/A,VLOOKUP(Table7[[#This Row],[Date]],Database!$A:$C,MATCH($B$1,Database!$A$1:$C$1,),))</f>
        <v/>
      </c>
      <c r="C14823">
        <f>IF(VLOOKUP(Table7[[#This Row],[Date]],Database!$A:$C,MATCH($C$1,Database!$A$1:$C$1,),)=0,#N/A,VLOOKUP(Table7[[#This Row],[Date]],Database!$A:$C,MATCH($C$1,Database!$A$1:$C$1,),))</f>
        <v/>
      </c>
      <c r="D14823">
        <f>IFERROR(Table7[[#This Row],[United States 10y]]-Table7[[#This Row],[United States 3y]],#N/A)</f>
        <v/>
      </c>
    </row>
    <row r="14824">
      <c r="A14824" s="6">
        <f>Database!$A16909</f>
        <v/>
      </c>
      <c r="B14824">
        <f>IF(VLOOKUP(Table7[[#This Row],[Date]],Database!$A:$C,MATCH($B$1,Database!$A$1:$C$1,),)=0,#N/A,VLOOKUP(Table7[[#This Row],[Date]],Database!$A:$C,MATCH($B$1,Database!$A$1:$C$1,),))</f>
        <v/>
      </c>
      <c r="C14824">
        <f>IF(VLOOKUP(Table7[[#This Row],[Date]],Database!$A:$C,MATCH($C$1,Database!$A$1:$C$1,),)=0,#N/A,VLOOKUP(Table7[[#This Row],[Date]],Database!$A:$C,MATCH($C$1,Database!$A$1:$C$1,),))</f>
        <v/>
      </c>
      <c r="D14824">
        <f>IFERROR(Table7[[#This Row],[United States 10y]]-Table7[[#This Row],[United States 3y]],#N/A)</f>
        <v/>
      </c>
    </row>
    <row r="14825">
      <c r="A14825" s="6">
        <f>Database!$A16910</f>
        <v/>
      </c>
      <c r="B14825">
        <f>IF(VLOOKUP(Table7[[#This Row],[Date]],Database!$A:$C,MATCH($B$1,Database!$A$1:$C$1,),)=0,#N/A,VLOOKUP(Table7[[#This Row],[Date]],Database!$A:$C,MATCH($B$1,Database!$A$1:$C$1,),))</f>
        <v/>
      </c>
      <c r="C14825">
        <f>IF(VLOOKUP(Table7[[#This Row],[Date]],Database!$A:$C,MATCH($C$1,Database!$A$1:$C$1,),)=0,#N/A,VLOOKUP(Table7[[#This Row],[Date]],Database!$A:$C,MATCH($C$1,Database!$A$1:$C$1,),))</f>
        <v/>
      </c>
      <c r="D14825">
        <f>IFERROR(Table7[[#This Row],[United States 10y]]-Table7[[#This Row],[United States 3y]],#N/A)</f>
        <v/>
      </c>
    </row>
    <row r="14826">
      <c r="A14826" s="6">
        <f>Database!$A16911</f>
        <v/>
      </c>
      <c r="B14826">
        <f>IF(VLOOKUP(Table7[[#This Row],[Date]],Database!$A:$C,MATCH($B$1,Database!$A$1:$C$1,),)=0,#N/A,VLOOKUP(Table7[[#This Row],[Date]],Database!$A:$C,MATCH($B$1,Database!$A$1:$C$1,),))</f>
        <v/>
      </c>
      <c r="C14826">
        <f>IF(VLOOKUP(Table7[[#This Row],[Date]],Database!$A:$C,MATCH($C$1,Database!$A$1:$C$1,),)=0,#N/A,VLOOKUP(Table7[[#This Row],[Date]],Database!$A:$C,MATCH($C$1,Database!$A$1:$C$1,),))</f>
        <v/>
      </c>
      <c r="D14826">
        <f>IFERROR(Table7[[#This Row],[United States 10y]]-Table7[[#This Row],[United States 3y]],#N/A)</f>
        <v/>
      </c>
    </row>
    <row r="14827">
      <c r="A14827" s="6">
        <f>Database!$A16912</f>
        <v/>
      </c>
      <c r="B14827">
        <f>IF(VLOOKUP(Table7[[#This Row],[Date]],Database!$A:$C,MATCH($B$1,Database!$A$1:$C$1,),)=0,#N/A,VLOOKUP(Table7[[#This Row],[Date]],Database!$A:$C,MATCH($B$1,Database!$A$1:$C$1,),))</f>
        <v/>
      </c>
      <c r="C14827">
        <f>IF(VLOOKUP(Table7[[#This Row],[Date]],Database!$A:$C,MATCH($C$1,Database!$A$1:$C$1,),)=0,#N/A,VLOOKUP(Table7[[#This Row],[Date]],Database!$A:$C,MATCH($C$1,Database!$A$1:$C$1,),))</f>
        <v/>
      </c>
      <c r="D14827">
        <f>IFERROR(Table7[[#This Row],[United States 10y]]-Table7[[#This Row],[United States 3y]],#N/A)</f>
        <v/>
      </c>
    </row>
    <row r="14828">
      <c r="A14828" s="6">
        <f>Database!$A16913</f>
        <v/>
      </c>
      <c r="B14828">
        <f>IF(VLOOKUP(Table7[[#This Row],[Date]],Database!$A:$C,MATCH($B$1,Database!$A$1:$C$1,),)=0,#N/A,VLOOKUP(Table7[[#This Row],[Date]],Database!$A:$C,MATCH($B$1,Database!$A$1:$C$1,),))</f>
        <v/>
      </c>
      <c r="C14828">
        <f>IF(VLOOKUP(Table7[[#This Row],[Date]],Database!$A:$C,MATCH($C$1,Database!$A$1:$C$1,),)=0,#N/A,VLOOKUP(Table7[[#This Row],[Date]],Database!$A:$C,MATCH($C$1,Database!$A$1:$C$1,),))</f>
        <v/>
      </c>
      <c r="D14828">
        <f>IFERROR(Table7[[#This Row],[United States 10y]]-Table7[[#This Row],[United States 3y]],#N/A)</f>
        <v/>
      </c>
    </row>
    <row r="14829">
      <c r="A14829" s="6">
        <f>Database!$A16914</f>
        <v/>
      </c>
      <c r="B14829">
        <f>IF(VLOOKUP(Table7[[#This Row],[Date]],Database!$A:$C,MATCH($B$1,Database!$A$1:$C$1,),)=0,#N/A,VLOOKUP(Table7[[#This Row],[Date]],Database!$A:$C,MATCH($B$1,Database!$A$1:$C$1,),))</f>
        <v/>
      </c>
      <c r="C14829">
        <f>IF(VLOOKUP(Table7[[#This Row],[Date]],Database!$A:$C,MATCH($C$1,Database!$A$1:$C$1,),)=0,#N/A,VLOOKUP(Table7[[#This Row],[Date]],Database!$A:$C,MATCH($C$1,Database!$A$1:$C$1,),))</f>
        <v/>
      </c>
      <c r="D14829">
        <f>IFERROR(Table7[[#This Row],[United States 10y]]-Table7[[#This Row],[United States 3y]],#N/A)</f>
        <v/>
      </c>
    </row>
    <row r="14830">
      <c r="A14830" s="6">
        <f>Database!$A16915</f>
        <v/>
      </c>
      <c r="B14830">
        <f>IF(VLOOKUP(Table7[[#This Row],[Date]],Database!$A:$C,MATCH($B$1,Database!$A$1:$C$1,),)=0,#N/A,VLOOKUP(Table7[[#This Row],[Date]],Database!$A:$C,MATCH($B$1,Database!$A$1:$C$1,),))</f>
        <v/>
      </c>
      <c r="C14830">
        <f>IF(VLOOKUP(Table7[[#This Row],[Date]],Database!$A:$C,MATCH($C$1,Database!$A$1:$C$1,),)=0,#N/A,VLOOKUP(Table7[[#This Row],[Date]],Database!$A:$C,MATCH($C$1,Database!$A$1:$C$1,),))</f>
        <v/>
      </c>
      <c r="D14830">
        <f>IFERROR(Table7[[#This Row],[United States 10y]]-Table7[[#This Row],[United States 3y]],#N/A)</f>
        <v/>
      </c>
    </row>
    <row r="14831">
      <c r="A14831" s="6">
        <f>Database!$A16916</f>
        <v/>
      </c>
      <c r="B14831">
        <f>IF(VLOOKUP(Table7[[#This Row],[Date]],Database!$A:$C,MATCH($B$1,Database!$A$1:$C$1,),)=0,#N/A,VLOOKUP(Table7[[#This Row],[Date]],Database!$A:$C,MATCH($B$1,Database!$A$1:$C$1,),))</f>
        <v/>
      </c>
      <c r="C14831">
        <f>IF(VLOOKUP(Table7[[#This Row],[Date]],Database!$A:$C,MATCH($C$1,Database!$A$1:$C$1,),)=0,#N/A,VLOOKUP(Table7[[#This Row],[Date]],Database!$A:$C,MATCH($C$1,Database!$A$1:$C$1,),))</f>
        <v/>
      </c>
      <c r="D14831">
        <f>IFERROR(Table7[[#This Row],[United States 10y]]-Table7[[#This Row],[United States 3y]],#N/A)</f>
        <v/>
      </c>
    </row>
    <row r="14832">
      <c r="A14832" s="6">
        <f>Database!$A16917</f>
        <v/>
      </c>
      <c r="B14832">
        <f>IF(VLOOKUP(Table7[[#This Row],[Date]],Database!$A:$C,MATCH($B$1,Database!$A$1:$C$1,),)=0,#N/A,VLOOKUP(Table7[[#This Row],[Date]],Database!$A:$C,MATCH($B$1,Database!$A$1:$C$1,),))</f>
        <v/>
      </c>
      <c r="C14832">
        <f>IF(VLOOKUP(Table7[[#This Row],[Date]],Database!$A:$C,MATCH($C$1,Database!$A$1:$C$1,),)=0,#N/A,VLOOKUP(Table7[[#This Row],[Date]],Database!$A:$C,MATCH($C$1,Database!$A$1:$C$1,),))</f>
        <v/>
      </c>
      <c r="D14832">
        <f>IFERROR(Table7[[#This Row],[United States 10y]]-Table7[[#This Row],[United States 3y]],#N/A)</f>
        <v/>
      </c>
    </row>
    <row r="14833">
      <c r="A14833" s="6">
        <f>Database!$A16918</f>
        <v/>
      </c>
      <c r="B14833">
        <f>IF(VLOOKUP(Table7[[#This Row],[Date]],Database!$A:$C,MATCH($B$1,Database!$A$1:$C$1,),)=0,#N/A,VLOOKUP(Table7[[#This Row],[Date]],Database!$A:$C,MATCH($B$1,Database!$A$1:$C$1,),))</f>
        <v/>
      </c>
      <c r="C14833">
        <f>IF(VLOOKUP(Table7[[#This Row],[Date]],Database!$A:$C,MATCH($C$1,Database!$A$1:$C$1,),)=0,#N/A,VLOOKUP(Table7[[#This Row],[Date]],Database!$A:$C,MATCH($C$1,Database!$A$1:$C$1,),))</f>
        <v/>
      </c>
      <c r="D14833">
        <f>IFERROR(Table7[[#This Row],[United States 10y]]-Table7[[#This Row],[United States 3y]],#N/A)</f>
        <v/>
      </c>
    </row>
    <row r="14834">
      <c r="A14834" s="6">
        <f>Database!$A16919</f>
        <v/>
      </c>
      <c r="B14834">
        <f>IF(VLOOKUP(Table7[[#This Row],[Date]],Database!$A:$C,MATCH($B$1,Database!$A$1:$C$1,),)=0,#N/A,VLOOKUP(Table7[[#This Row],[Date]],Database!$A:$C,MATCH($B$1,Database!$A$1:$C$1,),))</f>
        <v/>
      </c>
      <c r="C14834">
        <f>IF(VLOOKUP(Table7[[#This Row],[Date]],Database!$A:$C,MATCH($C$1,Database!$A$1:$C$1,),)=0,#N/A,VLOOKUP(Table7[[#This Row],[Date]],Database!$A:$C,MATCH($C$1,Database!$A$1:$C$1,),))</f>
        <v/>
      </c>
      <c r="D14834">
        <f>IFERROR(Table7[[#This Row],[United States 10y]]-Table7[[#This Row],[United States 3y]],#N/A)</f>
        <v/>
      </c>
    </row>
    <row r="14835">
      <c r="A14835" s="6">
        <f>Database!$A16920</f>
        <v/>
      </c>
      <c r="B14835">
        <f>IF(VLOOKUP(Table7[[#This Row],[Date]],Database!$A:$C,MATCH($B$1,Database!$A$1:$C$1,),)=0,#N/A,VLOOKUP(Table7[[#This Row],[Date]],Database!$A:$C,MATCH($B$1,Database!$A$1:$C$1,),))</f>
        <v/>
      </c>
      <c r="C14835">
        <f>IF(VLOOKUP(Table7[[#This Row],[Date]],Database!$A:$C,MATCH($C$1,Database!$A$1:$C$1,),)=0,#N/A,VLOOKUP(Table7[[#This Row],[Date]],Database!$A:$C,MATCH($C$1,Database!$A$1:$C$1,),))</f>
        <v/>
      </c>
      <c r="D14835">
        <f>IFERROR(Table7[[#This Row],[United States 10y]]-Table7[[#This Row],[United States 3y]],#N/A)</f>
        <v/>
      </c>
    </row>
    <row r="14836">
      <c r="A14836" s="6">
        <f>Database!$A16921</f>
        <v/>
      </c>
      <c r="B14836">
        <f>IF(VLOOKUP(Table7[[#This Row],[Date]],Database!$A:$C,MATCH($B$1,Database!$A$1:$C$1,),)=0,#N/A,VLOOKUP(Table7[[#This Row],[Date]],Database!$A:$C,MATCH($B$1,Database!$A$1:$C$1,),))</f>
        <v/>
      </c>
      <c r="C14836">
        <f>IF(VLOOKUP(Table7[[#This Row],[Date]],Database!$A:$C,MATCH($C$1,Database!$A$1:$C$1,),)=0,#N/A,VLOOKUP(Table7[[#This Row],[Date]],Database!$A:$C,MATCH($C$1,Database!$A$1:$C$1,),))</f>
        <v/>
      </c>
      <c r="D14836">
        <f>IFERROR(Table7[[#This Row],[United States 10y]]-Table7[[#This Row],[United States 3y]],#N/A)</f>
        <v/>
      </c>
    </row>
    <row r="14837">
      <c r="A14837" s="6">
        <f>Database!$A16922</f>
        <v/>
      </c>
      <c r="B14837">
        <f>IF(VLOOKUP(Table7[[#This Row],[Date]],Database!$A:$C,MATCH($B$1,Database!$A$1:$C$1,),)=0,#N/A,VLOOKUP(Table7[[#This Row],[Date]],Database!$A:$C,MATCH($B$1,Database!$A$1:$C$1,),))</f>
        <v/>
      </c>
      <c r="C14837">
        <f>IF(VLOOKUP(Table7[[#This Row],[Date]],Database!$A:$C,MATCH($C$1,Database!$A$1:$C$1,),)=0,#N/A,VLOOKUP(Table7[[#This Row],[Date]],Database!$A:$C,MATCH($C$1,Database!$A$1:$C$1,),))</f>
        <v/>
      </c>
      <c r="D14837">
        <f>IFERROR(Table7[[#This Row],[United States 10y]]-Table7[[#This Row],[United States 3y]],#N/A)</f>
        <v/>
      </c>
    </row>
    <row r="14838">
      <c r="A14838" s="6">
        <f>Database!$A16923</f>
        <v/>
      </c>
      <c r="B14838">
        <f>IF(VLOOKUP(Table7[[#This Row],[Date]],Database!$A:$C,MATCH($B$1,Database!$A$1:$C$1,),)=0,#N/A,VLOOKUP(Table7[[#This Row],[Date]],Database!$A:$C,MATCH($B$1,Database!$A$1:$C$1,),))</f>
        <v/>
      </c>
      <c r="C14838">
        <f>IF(VLOOKUP(Table7[[#This Row],[Date]],Database!$A:$C,MATCH($C$1,Database!$A$1:$C$1,),)=0,#N/A,VLOOKUP(Table7[[#This Row],[Date]],Database!$A:$C,MATCH($C$1,Database!$A$1:$C$1,),))</f>
        <v/>
      </c>
      <c r="D14838">
        <f>IFERROR(Table7[[#This Row],[United States 10y]]-Table7[[#This Row],[United States 3y]],#N/A)</f>
        <v/>
      </c>
    </row>
    <row r="14839">
      <c r="A14839" s="6">
        <f>Database!$A16924</f>
        <v/>
      </c>
      <c r="B14839">
        <f>IF(VLOOKUP(Table7[[#This Row],[Date]],Database!$A:$C,MATCH($B$1,Database!$A$1:$C$1,),)=0,#N/A,VLOOKUP(Table7[[#This Row],[Date]],Database!$A:$C,MATCH($B$1,Database!$A$1:$C$1,),))</f>
        <v/>
      </c>
      <c r="C14839">
        <f>IF(VLOOKUP(Table7[[#This Row],[Date]],Database!$A:$C,MATCH($C$1,Database!$A$1:$C$1,),)=0,#N/A,VLOOKUP(Table7[[#This Row],[Date]],Database!$A:$C,MATCH($C$1,Database!$A$1:$C$1,),))</f>
        <v/>
      </c>
      <c r="D14839">
        <f>IFERROR(Table7[[#This Row],[United States 10y]]-Table7[[#This Row],[United States 3y]],#N/A)</f>
        <v/>
      </c>
    </row>
    <row r="14840">
      <c r="A14840" s="6">
        <f>Database!$A16925</f>
        <v/>
      </c>
      <c r="B14840">
        <f>IF(VLOOKUP(Table7[[#This Row],[Date]],Database!$A:$C,MATCH($B$1,Database!$A$1:$C$1,),)=0,#N/A,VLOOKUP(Table7[[#This Row],[Date]],Database!$A:$C,MATCH($B$1,Database!$A$1:$C$1,),))</f>
        <v/>
      </c>
      <c r="C14840">
        <f>IF(VLOOKUP(Table7[[#This Row],[Date]],Database!$A:$C,MATCH($C$1,Database!$A$1:$C$1,),)=0,#N/A,VLOOKUP(Table7[[#This Row],[Date]],Database!$A:$C,MATCH($C$1,Database!$A$1:$C$1,),))</f>
        <v/>
      </c>
      <c r="D14840">
        <f>IFERROR(Table7[[#This Row],[United States 10y]]-Table7[[#This Row],[United States 3y]],#N/A)</f>
        <v/>
      </c>
    </row>
    <row r="14841">
      <c r="A14841" s="6">
        <f>Database!$A16926</f>
        <v/>
      </c>
      <c r="B14841">
        <f>IF(VLOOKUP(Table7[[#This Row],[Date]],Database!$A:$C,MATCH($B$1,Database!$A$1:$C$1,),)=0,#N/A,VLOOKUP(Table7[[#This Row],[Date]],Database!$A:$C,MATCH($B$1,Database!$A$1:$C$1,),))</f>
        <v/>
      </c>
      <c r="C14841">
        <f>IF(VLOOKUP(Table7[[#This Row],[Date]],Database!$A:$C,MATCH($C$1,Database!$A$1:$C$1,),)=0,#N/A,VLOOKUP(Table7[[#This Row],[Date]],Database!$A:$C,MATCH($C$1,Database!$A$1:$C$1,),))</f>
        <v/>
      </c>
      <c r="D14841">
        <f>IFERROR(Table7[[#This Row],[United States 10y]]-Table7[[#This Row],[United States 3y]],#N/A)</f>
        <v/>
      </c>
    </row>
    <row r="14842">
      <c r="A14842" s="6">
        <f>Database!$A16927</f>
        <v/>
      </c>
      <c r="B14842">
        <f>IF(VLOOKUP(Table7[[#This Row],[Date]],Database!$A:$C,MATCH($B$1,Database!$A$1:$C$1,),)=0,#N/A,VLOOKUP(Table7[[#This Row],[Date]],Database!$A:$C,MATCH($B$1,Database!$A$1:$C$1,),))</f>
        <v/>
      </c>
      <c r="C14842">
        <f>IF(VLOOKUP(Table7[[#This Row],[Date]],Database!$A:$C,MATCH($C$1,Database!$A$1:$C$1,),)=0,#N/A,VLOOKUP(Table7[[#This Row],[Date]],Database!$A:$C,MATCH($C$1,Database!$A$1:$C$1,),))</f>
        <v/>
      </c>
      <c r="D14842">
        <f>IFERROR(Table7[[#This Row],[United States 10y]]-Table7[[#This Row],[United States 3y]],#N/A)</f>
        <v/>
      </c>
    </row>
    <row r="14843">
      <c r="A14843" s="6">
        <f>Database!$A16928</f>
        <v/>
      </c>
      <c r="B14843">
        <f>IF(VLOOKUP(Table7[[#This Row],[Date]],Database!$A:$C,MATCH($B$1,Database!$A$1:$C$1,),)=0,#N/A,VLOOKUP(Table7[[#This Row],[Date]],Database!$A:$C,MATCH($B$1,Database!$A$1:$C$1,),))</f>
        <v/>
      </c>
      <c r="C14843">
        <f>IF(VLOOKUP(Table7[[#This Row],[Date]],Database!$A:$C,MATCH($C$1,Database!$A$1:$C$1,),)=0,#N/A,VLOOKUP(Table7[[#This Row],[Date]],Database!$A:$C,MATCH($C$1,Database!$A$1:$C$1,),))</f>
        <v/>
      </c>
      <c r="D14843">
        <f>IFERROR(Table7[[#This Row],[United States 10y]]-Table7[[#This Row],[United States 3y]],#N/A)</f>
        <v/>
      </c>
    </row>
    <row r="14844">
      <c r="A14844" s="6">
        <f>Database!$A16929</f>
        <v/>
      </c>
      <c r="B14844">
        <f>IF(VLOOKUP(Table7[[#This Row],[Date]],Database!$A:$C,MATCH($B$1,Database!$A$1:$C$1,),)=0,#N/A,VLOOKUP(Table7[[#This Row],[Date]],Database!$A:$C,MATCH($B$1,Database!$A$1:$C$1,),))</f>
        <v/>
      </c>
      <c r="C14844">
        <f>IF(VLOOKUP(Table7[[#This Row],[Date]],Database!$A:$C,MATCH($C$1,Database!$A$1:$C$1,),)=0,#N/A,VLOOKUP(Table7[[#This Row],[Date]],Database!$A:$C,MATCH($C$1,Database!$A$1:$C$1,),))</f>
        <v/>
      </c>
      <c r="D14844">
        <f>IFERROR(Table7[[#This Row],[United States 10y]]-Table7[[#This Row],[United States 3y]],#N/A)</f>
        <v/>
      </c>
    </row>
    <row r="14845">
      <c r="A14845" s="6">
        <f>Database!$A16930</f>
        <v/>
      </c>
      <c r="B14845">
        <f>IF(VLOOKUP(Table7[[#This Row],[Date]],Database!$A:$C,MATCH($B$1,Database!$A$1:$C$1,),)=0,#N/A,VLOOKUP(Table7[[#This Row],[Date]],Database!$A:$C,MATCH($B$1,Database!$A$1:$C$1,),))</f>
        <v/>
      </c>
      <c r="C14845">
        <f>IF(VLOOKUP(Table7[[#This Row],[Date]],Database!$A:$C,MATCH($C$1,Database!$A$1:$C$1,),)=0,#N/A,VLOOKUP(Table7[[#This Row],[Date]],Database!$A:$C,MATCH($C$1,Database!$A$1:$C$1,),))</f>
        <v/>
      </c>
      <c r="D14845">
        <f>IFERROR(Table7[[#This Row],[United States 10y]]-Table7[[#This Row],[United States 3y]],#N/A)</f>
        <v/>
      </c>
    </row>
    <row r="14846">
      <c r="A14846" s="6">
        <f>Database!$A16931</f>
        <v/>
      </c>
      <c r="B14846">
        <f>IF(VLOOKUP(Table7[[#This Row],[Date]],Database!$A:$C,MATCH($B$1,Database!$A$1:$C$1,),)=0,#N/A,VLOOKUP(Table7[[#This Row],[Date]],Database!$A:$C,MATCH($B$1,Database!$A$1:$C$1,),))</f>
        <v/>
      </c>
      <c r="C14846">
        <f>IF(VLOOKUP(Table7[[#This Row],[Date]],Database!$A:$C,MATCH($C$1,Database!$A$1:$C$1,),)=0,#N/A,VLOOKUP(Table7[[#This Row],[Date]],Database!$A:$C,MATCH($C$1,Database!$A$1:$C$1,),))</f>
        <v/>
      </c>
      <c r="D14846">
        <f>IFERROR(Table7[[#This Row],[United States 10y]]-Table7[[#This Row],[United States 3y]],#N/A)</f>
        <v/>
      </c>
    </row>
    <row r="14847">
      <c r="A14847" s="6">
        <f>Database!$A16932</f>
        <v/>
      </c>
      <c r="B14847">
        <f>IF(VLOOKUP(Table7[[#This Row],[Date]],Database!$A:$C,MATCH($B$1,Database!$A$1:$C$1,),)=0,#N/A,VLOOKUP(Table7[[#This Row],[Date]],Database!$A:$C,MATCH($B$1,Database!$A$1:$C$1,),))</f>
        <v/>
      </c>
      <c r="C14847">
        <f>IF(VLOOKUP(Table7[[#This Row],[Date]],Database!$A:$C,MATCH($C$1,Database!$A$1:$C$1,),)=0,#N/A,VLOOKUP(Table7[[#This Row],[Date]],Database!$A:$C,MATCH($C$1,Database!$A$1:$C$1,),))</f>
        <v/>
      </c>
      <c r="D14847">
        <f>IFERROR(Table7[[#This Row],[United States 10y]]-Table7[[#This Row],[United States 3y]],#N/A)</f>
        <v/>
      </c>
    </row>
    <row r="14848">
      <c r="A14848" s="6">
        <f>Database!$A16933</f>
        <v/>
      </c>
      <c r="B14848">
        <f>IF(VLOOKUP(Table7[[#This Row],[Date]],Database!$A:$C,MATCH($B$1,Database!$A$1:$C$1,),)=0,#N/A,VLOOKUP(Table7[[#This Row],[Date]],Database!$A:$C,MATCH($B$1,Database!$A$1:$C$1,),))</f>
        <v/>
      </c>
      <c r="C14848">
        <f>IF(VLOOKUP(Table7[[#This Row],[Date]],Database!$A:$C,MATCH($C$1,Database!$A$1:$C$1,),)=0,#N/A,VLOOKUP(Table7[[#This Row],[Date]],Database!$A:$C,MATCH($C$1,Database!$A$1:$C$1,),))</f>
        <v/>
      </c>
      <c r="D14848">
        <f>IFERROR(Table7[[#This Row],[United States 10y]]-Table7[[#This Row],[United States 3y]],#N/A)</f>
        <v/>
      </c>
    </row>
    <row r="14849">
      <c r="A14849" s="6">
        <f>Database!$A16934</f>
        <v/>
      </c>
      <c r="B14849">
        <f>IF(VLOOKUP(Table7[[#This Row],[Date]],Database!$A:$C,MATCH($B$1,Database!$A$1:$C$1,),)=0,#N/A,VLOOKUP(Table7[[#This Row],[Date]],Database!$A:$C,MATCH($B$1,Database!$A$1:$C$1,),))</f>
        <v/>
      </c>
      <c r="C14849">
        <f>IF(VLOOKUP(Table7[[#This Row],[Date]],Database!$A:$C,MATCH($C$1,Database!$A$1:$C$1,),)=0,#N/A,VLOOKUP(Table7[[#This Row],[Date]],Database!$A:$C,MATCH($C$1,Database!$A$1:$C$1,),))</f>
        <v/>
      </c>
      <c r="D14849">
        <f>IFERROR(Table7[[#This Row],[United States 10y]]-Table7[[#This Row],[United States 3y]],#N/A)</f>
        <v/>
      </c>
    </row>
    <row r="14850">
      <c r="A14850" s="6">
        <f>Database!$A16935</f>
        <v/>
      </c>
      <c r="B14850">
        <f>IF(VLOOKUP(Table7[[#This Row],[Date]],Database!$A:$C,MATCH($B$1,Database!$A$1:$C$1,),)=0,#N/A,VLOOKUP(Table7[[#This Row],[Date]],Database!$A:$C,MATCH($B$1,Database!$A$1:$C$1,),))</f>
        <v/>
      </c>
      <c r="C14850">
        <f>IF(VLOOKUP(Table7[[#This Row],[Date]],Database!$A:$C,MATCH($C$1,Database!$A$1:$C$1,),)=0,#N/A,VLOOKUP(Table7[[#This Row],[Date]],Database!$A:$C,MATCH($C$1,Database!$A$1:$C$1,),))</f>
        <v/>
      </c>
      <c r="D14850">
        <f>IFERROR(Table7[[#This Row],[United States 10y]]-Table7[[#This Row],[United States 3y]],#N/A)</f>
        <v/>
      </c>
    </row>
    <row r="14851">
      <c r="A14851" s="6">
        <f>Database!$A16936</f>
        <v/>
      </c>
      <c r="B14851">
        <f>IF(VLOOKUP(Table7[[#This Row],[Date]],Database!$A:$C,MATCH($B$1,Database!$A$1:$C$1,),)=0,#N/A,VLOOKUP(Table7[[#This Row],[Date]],Database!$A:$C,MATCH($B$1,Database!$A$1:$C$1,),))</f>
        <v/>
      </c>
      <c r="C14851">
        <f>IF(VLOOKUP(Table7[[#This Row],[Date]],Database!$A:$C,MATCH($C$1,Database!$A$1:$C$1,),)=0,#N/A,VLOOKUP(Table7[[#This Row],[Date]],Database!$A:$C,MATCH($C$1,Database!$A$1:$C$1,),))</f>
        <v/>
      </c>
      <c r="D14851">
        <f>IFERROR(Table7[[#This Row],[United States 10y]]-Table7[[#This Row],[United States 3y]],#N/A)</f>
        <v/>
      </c>
    </row>
    <row r="14852">
      <c r="A14852" s="6">
        <f>Database!$A16937</f>
        <v/>
      </c>
      <c r="B14852">
        <f>IF(VLOOKUP(Table7[[#This Row],[Date]],Database!$A:$C,MATCH($B$1,Database!$A$1:$C$1,),)=0,#N/A,VLOOKUP(Table7[[#This Row],[Date]],Database!$A:$C,MATCH($B$1,Database!$A$1:$C$1,),))</f>
        <v/>
      </c>
      <c r="C14852">
        <f>IF(VLOOKUP(Table7[[#This Row],[Date]],Database!$A:$C,MATCH($C$1,Database!$A$1:$C$1,),)=0,#N/A,VLOOKUP(Table7[[#This Row],[Date]],Database!$A:$C,MATCH($C$1,Database!$A$1:$C$1,),))</f>
        <v/>
      </c>
      <c r="D14852">
        <f>IFERROR(Table7[[#This Row],[United States 10y]]-Table7[[#This Row],[United States 3y]],#N/A)</f>
        <v/>
      </c>
    </row>
    <row r="14853">
      <c r="A14853" s="6">
        <f>Database!$A16938</f>
        <v/>
      </c>
      <c r="B14853">
        <f>IF(VLOOKUP(Table7[[#This Row],[Date]],Database!$A:$C,MATCH($B$1,Database!$A$1:$C$1,),)=0,#N/A,VLOOKUP(Table7[[#This Row],[Date]],Database!$A:$C,MATCH($B$1,Database!$A$1:$C$1,),))</f>
        <v/>
      </c>
      <c r="C14853">
        <f>IF(VLOOKUP(Table7[[#This Row],[Date]],Database!$A:$C,MATCH($C$1,Database!$A$1:$C$1,),)=0,#N/A,VLOOKUP(Table7[[#This Row],[Date]],Database!$A:$C,MATCH($C$1,Database!$A$1:$C$1,),))</f>
        <v/>
      </c>
      <c r="D14853">
        <f>IFERROR(Table7[[#This Row],[United States 10y]]-Table7[[#This Row],[United States 3y]],#N/A)</f>
        <v/>
      </c>
    </row>
    <row r="14854">
      <c r="A14854" s="6">
        <f>Database!$A16939</f>
        <v/>
      </c>
      <c r="B14854">
        <f>IF(VLOOKUP(Table7[[#This Row],[Date]],Database!$A:$C,MATCH($B$1,Database!$A$1:$C$1,),)=0,#N/A,VLOOKUP(Table7[[#This Row],[Date]],Database!$A:$C,MATCH($B$1,Database!$A$1:$C$1,),))</f>
        <v/>
      </c>
      <c r="C14854">
        <f>IF(VLOOKUP(Table7[[#This Row],[Date]],Database!$A:$C,MATCH($C$1,Database!$A$1:$C$1,),)=0,#N/A,VLOOKUP(Table7[[#This Row],[Date]],Database!$A:$C,MATCH($C$1,Database!$A$1:$C$1,),))</f>
        <v/>
      </c>
      <c r="D14854">
        <f>IFERROR(Table7[[#This Row],[United States 10y]]-Table7[[#This Row],[United States 3y]],#N/A)</f>
        <v/>
      </c>
    </row>
    <row r="14855">
      <c r="A14855" s="6">
        <f>Database!$A16940</f>
        <v/>
      </c>
      <c r="B14855">
        <f>IF(VLOOKUP(Table7[[#This Row],[Date]],Database!$A:$C,MATCH($B$1,Database!$A$1:$C$1,),)=0,#N/A,VLOOKUP(Table7[[#This Row],[Date]],Database!$A:$C,MATCH($B$1,Database!$A$1:$C$1,),))</f>
        <v/>
      </c>
      <c r="C14855">
        <f>IF(VLOOKUP(Table7[[#This Row],[Date]],Database!$A:$C,MATCH($C$1,Database!$A$1:$C$1,),)=0,#N/A,VLOOKUP(Table7[[#This Row],[Date]],Database!$A:$C,MATCH($C$1,Database!$A$1:$C$1,),))</f>
        <v/>
      </c>
      <c r="D14855">
        <f>IFERROR(Table7[[#This Row],[United States 10y]]-Table7[[#This Row],[United States 3y]],#N/A)</f>
        <v/>
      </c>
    </row>
    <row r="14856">
      <c r="A14856" s="6">
        <f>Database!$A16941</f>
        <v/>
      </c>
      <c r="B14856">
        <f>IF(VLOOKUP(Table7[[#This Row],[Date]],Database!$A:$C,MATCH($B$1,Database!$A$1:$C$1,),)=0,#N/A,VLOOKUP(Table7[[#This Row],[Date]],Database!$A:$C,MATCH($B$1,Database!$A$1:$C$1,),))</f>
        <v/>
      </c>
      <c r="C14856">
        <f>IF(VLOOKUP(Table7[[#This Row],[Date]],Database!$A:$C,MATCH($C$1,Database!$A$1:$C$1,),)=0,#N/A,VLOOKUP(Table7[[#This Row],[Date]],Database!$A:$C,MATCH($C$1,Database!$A$1:$C$1,),))</f>
        <v/>
      </c>
      <c r="D14856">
        <f>IFERROR(Table7[[#This Row],[United States 10y]]-Table7[[#This Row],[United States 3y]],#N/A)</f>
        <v/>
      </c>
    </row>
    <row r="14857">
      <c r="A14857" s="6">
        <f>Database!$A16942</f>
        <v/>
      </c>
      <c r="B14857">
        <f>IF(VLOOKUP(Table7[[#This Row],[Date]],Database!$A:$C,MATCH($B$1,Database!$A$1:$C$1,),)=0,#N/A,VLOOKUP(Table7[[#This Row],[Date]],Database!$A:$C,MATCH($B$1,Database!$A$1:$C$1,),))</f>
        <v/>
      </c>
      <c r="C14857">
        <f>IF(VLOOKUP(Table7[[#This Row],[Date]],Database!$A:$C,MATCH($C$1,Database!$A$1:$C$1,),)=0,#N/A,VLOOKUP(Table7[[#This Row],[Date]],Database!$A:$C,MATCH($C$1,Database!$A$1:$C$1,),))</f>
        <v/>
      </c>
      <c r="D14857">
        <f>IFERROR(Table7[[#This Row],[United States 10y]]-Table7[[#This Row],[United States 3y]],#N/A)</f>
        <v/>
      </c>
    </row>
    <row r="14858">
      <c r="A14858" s="6">
        <f>Database!$A16943</f>
        <v/>
      </c>
      <c r="B14858">
        <f>IF(VLOOKUP(Table7[[#This Row],[Date]],Database!$A:$C,MATCH($B$1,Database!$A$1:$C$1,),)=0,#N/A,VLOOKUP(Table7[[#This Row],[Date]],Database!$A:$C,MATCH($B$1,Database!$A$1:$C$1,),))</f>
        <v/>
      </c>
      <c r="C14858">
        <f>IF(VLOOKUP(Table7[[#This Row],[Date]],Database!$A:$C,MATCH($C$1,Database!$A$1:$C$1,),)=0,#N/A,VLOOKUP(Table7[[#This Row],[Date]],Database!$A:$C,MATCH($C$1,Database!$A$1:$C$1,),))</f>
        <v/>
      </c>
      <c r="D14858">
        <f>IFERROR(Table7[[#This Row],[United States 10y]]-Table7[[#This Row],[United States 3y]],#N/A)</f>
        <v/>
      </c>
    </row>
    <row r="14859">
      <c r="A14859" s="6">
        <f>Database!$A16944</f>
        <v/>
      </c>
      <c r="B14859">
        <f>IF(VLOOKUP(Table7[[#This Row],[Date]],Database!$A:$C,MATCH($B$1,Database!$A$1:$C$1,),)=0,#N/A,VLOOKUP(Table7[[#This Row],[Date]],Database!$A:$C,MATCH($B$1,Database!$A$1:$C$1,),))</f>
        <v/>
      </c>
      <c r="C14859">
        <f>IF(VLOOKUP(Table7[[#This Row],[Date]],Database!$A:$C,MATCH($C$1,Database!$A$1:$C$1,),)=0,#N/A,VLOOKUP(Table7[[#This Row],[Date]],Database!$A:$C,MATCH($C$1,Database!$A$1:$C$1,),))</f>
        <v/>
      </c>
      <c r="D14859">
        <f>IFERROR(Table7[[#This Row],[United States 10y]]-Table7[[#This Row],[United States 3y]],#N/A)</f>
        <v/>
      </c>
    </row>
    <row r="14860">
      <c r="A14860" s="6">
        <f>Database!$A16945</f>
        <v/>
      </c>
      <c r="B14860">
        <f>IF(VLOOKUP(Table7[[#This Row],[Date]],Database!$A:$C,MATCH($B$1,Database!$A$1:$C$1,),)=0,#N/A,VLOOKUP(Table7[[#This Row],[Date]],Database!$A:$C,MATCH($B$1,Database!$A$1:$C$1,),))</f>
        <v/>
      </c>
      <c r="C14860">
        <f>IF(VLOOKUP(Table7[[#This Row],[Date]],Database!$A:$C,MATCH($C$1,Database!$A$1:$C$1,),)=0,#N/A,VLOOKUP(Table7[[#This Row],[Date]],Database!$A:$C,MATCH($C$1,Database!$A$1:$C$1,),))</f>
        <v/>
      </c>
      <c r="D14860">
        <f>IFERROR(Table7[[#This Row],[United States 10y]]-Table7[[#This Row],[United States 3y]],#N/A)</f>
        <v/>
      </c>
    </row>
    <row r="14861">
      <c r="A14861" s="6">
        <f>Database!$A16946</f>
        <v/>
      </c>
      <c r="B14861">
        <f>IF(VLOOKUP(Table7[[#This Row],[Date]],Database!$A:$C,MATCH($B$1,Database!$A$1:$C$1,),)=0,#N/A,VLOOKUP(Table7[[#This Row],[Date]],Database!$A:$C,MATCH($B$1,Database!$A$1:$C$1,),))</f>
        <v/>
      </c>
      <c r="C14861">
        <f>IF(VLOOKUP(Table7[[#This Row],[Date]],Database!$A:$C,MATCH($C$1,Database!$A$1:$C$1,),)=0,#N/A,VLOOKUP(Table7[[#This Row],[Date]],Database!$A:$C,MATCH($C$1,Database!$A$1:$C$1,),))</f>
        <v/>
      </c>
      <c r="D14861">
        <f>IFERROR(Table7[[#This Row],[United States 10y]]-Table7[[#This Row],[United States 3y]],#N/A)</f>
        <v/>
      </c>
    </row>
    <row r="14862">
      <c r="A14862" s="6">
        <f>Database!$A16947</f>
        <v/>
      </c>
      <c r="B14862">
        <f>IF(VLOOKUP(Table7[[#This Row],[Date]],Database!$A:$C,MATCH($B$1,Database!$A$1:$C$1,),)=0,#N/A,VLOOKUP(Table7[[#This Row],[Date]],Database!$A:$C,MATCH($B$1,Database!$A$1:$C$1,),))</f>
        <v/>
      </c>
      <c r="C14862">
        <f>IF(VLOOKUP(Table7[[#This Row],[Date]],Database!$A:$C,MATCH($C$1,Database!$A$1:$C$1,),)=0,#N/A,VLOOKUP(Table7[[#This Row],[Date]],Database!$A:$C,MATCH($C$1,Database!$A$1:$C$1,),))</f>
        <v/>
      </c>
      <c r="D14862">
        <f>IFERROR(Table7[[#This Row],[United States 10y]]-Table7[[#This Row],[United States 3y]],#N/A)</f>
        <v/>
      </c>
    </row>
    <row r="14863">
      <c r="A14863" s="6">
        <f>Database!$A16948</f>
        <v/>
      </c>
      <c r="B14863">
        <f>IF(VLOOKUP(Table7[[#This Row],[Date]],Database!$A:$C,MATCH($B$1,Database!$A$1:$C$1,),)=0,#N/A,VLOOKUP(Table7[[#This Row],[Date]],Database!$A:$C,MATCH($B$1,Database!$A$1:$C$1,),))</f>
        <v/>
      </c>
      <c r="C14863">
        <f>IF(VLOOKUP(Table7[[#This Row],[Date]],Database!$A:$C,MATCH($C$1,Database!$A$1:$C$1,),)=0,#N/A,VLOOKUP(Table7[[#This Row],[Date]],Database!$A:$C,MATCH($C$1,Database!$A$1:$C$1,),))</f>
        <v/>
      </c>
      <c r="D14863">
        <f>IFERROR(Table7[[#This Row],[United States 10y]]-Table7[[#This Row],[United States 3y]],#N/A)</f>
        <v/>
      </c>
    </row>
    <row r="14864">
      <c r="A14864" s="6">
        <f>Database!$A16949</f>
        <v/>
      </c>
      <c r="B14864">
        <f>IF(VLOOKUP(Table7[[#This Row],[Date]],Database!$A:$C,MATCH($B$1,Database!$A$1:$C$1,),)=0,#N/A,VLOOKUP(Table7[[#This Row],[Date]],Database!$A:$C,MATCH($B$1,Database!$A$1:$C$1,),))</f>
        <v/>
      </c>
      <c r="C14864">
        <f>IF(VLOOKUP(Table7[[#This Row],[Date]],Database!$A:$C,MATCH($C$1,Database!$A$1:$C$1,),)=0,#N/A,VLOOKUP(Table7[[#This Row],[Date]],Database!$A:$C,MATCH($C$1,Database!$A$1:$C$1,),))</f>
        <v/>
      </c>
      <c r="D14864">
        <f>IFERROR(Table7[[#This Row],[United States 10y]]-Table7[[#This Row],[United States 3y]],#N/A)</f>
        <v/>
      </c>
    </row>
    <row r="14865">
      <c r="A14865" s="6">
        <f>Database!$A16950</f>
        <v/>
      </c>
      <c r="B14865">
        <f>IF(VLOOKUP(Table7[[#This Row],[Date]],Database!$A:$C,MATCH($B$1,Database!$A$1:$C$1,),)=0,#N/A,VLOOKUP(Table7[[#This Row],[Date]],Database!$A:$C,MATCH($B$1,Database!$A$1:$C$1,),))</f>
        <v/>
      </c>
      <c r="C14865">
        <f>IF(VLOOKUP(Table7[[#This Row],[Date]],Database!$A:$C,MATCH($C$1,Database!$A$1:$C$1,),)=0,#N/A,VLOOKUP(Table7[[#This Row],[Date]],Database!$A:$C,MATCH($C$1,Database!$A$1:$C$1,),))</f>
        <v/>
      </c>
      <c r="D14865">
        <f>IFERROR(Table7[[#This Row],[United States 10y]]-Table7[[#This Row],[United States 3y]],#N/A)</f>
        <v/>
      </c>
    </row>
    <row r="14866">
      <c r="A14866" s="6">
        <f>Database!$A16951</f>
        <v/>
      </c>
      <c r="B14866">
        <f>IF(VLOOKUP(Table7[[#This Row],[Date]],Database!$A:$C,MATCH($B$1,Database!$A$1:$C$1,),)=0,#N/A,VLOOKUP(Table7[[#This Row],[Date]],Database!$A:$C,MATCH($B$1,Database!$A$1:$C$1,),))</f>
        <v/>
      </c>
      <c r="C14866">
        <f>IF(VLOOKUP(Table7[[#This Row],[Date]],Database!$A:$C,MATCH($C$1,Database!$A$1:$C$1,),)=0,#N/A,VLOOKUP(Table7[[#This Row],[Date]],Database!$A:$C,MATCH($C$1,Database!$A$1:$C$1,),))</f>
        <v/>
      </c>
      <c r="D14866">
        <f>IFERROR(Table7[[#This Row],[United States 10y]]-Table7[[#This Row],[United States 3y]],#N/A)</f>
        <v/>
      </c>
    </row>
    <row r="14867">
      <c r="A14867" s="6">
        <f>Database!$A16952</f>
        <v/>
      </c>
      <c r="B14867">
        <f>IF(VLOOKUP(Table7[[#This Row],[Date]],Database!$A:$C,MATCH($B$1,Database!$A$1:$C$1,),)=0,#N/A,VLOOKUP(Table7[[#This Row],[Date]],Database!$A:$C,MATCH($B$1,Database!$A$1:$C$1,),))</f>
        <v/>
      </c>
      <c r="C14867">
        <f>IF(VLOOKUP(Table7[[#This Row],[Date]],Database!$A:$C,MATCH($C$1,Database!$A$1:$C$1,),)=0,#N/A,VLOOKUP(Table7[[#This Row],[Date]],Database!$A:$C,MATCH($C$1,Database!$A$1:$C$1,),))</f>
        <v/>
      </c>
      <c r="D14867">
        <f>IFERROR(Table7[[#This Row],[United States 10y]]-Table7[[#This Row],[United States 3y]],#N/A)</f>
        <v/>
      </c>
    </row>
    <row r="14868">
      <c r="A14868" s="6">
        <f>Database!$A16953</f>
        <v/>
      </c>
      <c r="B14868">
        <f>IF(VLOOKUP(Table7[[#This Row],[Date]],Database!$A:$C,MATCH($B$1,Database!$A$1:$C$1,),)=0,#N/A,VLOOKUP(Table7[[#This Row],[Date]],Database!$A:$C,MATCH($B$1,Database!$A$1:$C$1,),))</f>
        <v/>
      </c>
      <c r="C14868">
        <f>IF(VLOOKUP(Table7[[#This Row],[Date]],Database!$A:$C,MATCH($C$1,Database!$A$1:$C$1,),)=0,#N/A,VLOOKUP(Table7[[#This Row],[Date]],Database!$A:$C,MATCH($C$1,Database!$A$1:$C$1,),))</f>
        <v/>
      </c>
      <c r="D14868">
        <f>IFERROR(Table7[[#This Row],[United States 10y]]-Table7[[#This Row],[United States 3y]],#N/A)</f>
        <v/>
      </c>
    </row>
    <row r="14869">
      <c r="A14869" s="6">
        <f>Database!$A16954</f>
        <v/>
      </c>
      <c r="B14869">
        <f>IF(VLOOKUP(Table7[[#This Row],[Date]],Database!$A:$C,MATCH($B$1,Database!$A$1:$C$1,),)=0,#N/A,VLOOKUP(Table7[[#This Row],[Date]],Database!$A:$C,MATCH($B$1,Database!$A$1:$C$1,),))</f>
        <v/>
      </c>
      <c r="C14869">
        <f>IF(VLOOKUP(Table7[[#This Row],[Date]],Database!$A:$C,MATCH($C$1,Database!$A$1:$C$1,),)=0,#N/A,VLOOKUP(Table7[[#This Row],[Date]],Database!$A:$C,MATCH($C$1,Database!$A$1:$C$1,),))</f>
        <v/>
      </c>
      <c r="D14869">
        <f>IFERROR(Table7[[#This Row],[United States 10y]]-Table7[[#This Row],[United States 3y]],#N/A)</f>
        <v/>
      </c>
    </row>
    <row r="14870">
      <c r="A14870" s="6">
        <f>Database!$A16955</f>
        <v/>
      </c>
      <c r="B14870">
        <f>IF(VLOOKUP(Table7[[#This Row],[Date]],Database!$A:$C,MATCH($B$1,Database!$A$1:$C$1,),)=0,#N/A,VLOOKUP(Table7[[#This Row],[Date]],Database!$A:$C,MATCH($B$1,Database!$A$1:$C$1,),))</f>
        <v/>
      </c>
      <c r="C14870">
        <f>IF(VLOOKUP(Table7[[#This Row],[Date]],Database!$A:$C,MATCH($C$1,Database!$A$1:$C$1,),)=0,#N/A,VLOOKUP(Table7[[#This Row],[Date]],Database!$A:$C,MATCH($C$1,Database!$A$1:$C$1,),))</f>
        <v/>
      </c>
      <c r="D14870">
        <f>IFERROR(Table7[[#This Row],[United States 10y]]-Table7[[#This Row],[United States 3y]],#N/A)</f>
        <v/>
      </c>
    </row>
    <row r="14871">
      <c r="A14871" s="6">
        <f>Database!$A16956</f>
        <v/>
      </c>
      <c r="B14871">
        <f>IF(VLOOKUP(Table7[[#This Row],[Date]],Database!$A:$C,MATCH($B$1,Database!$A$1:$C$1,),)=0,#N/A,VLOOKUP(Table7[[#This Row],[Date]],Database!$A:$C,MATCH($B$1,Database!$A$1:$C$1,),))</f>
        <v/>
      </c>
      <c r="C14871">
        <f>IF(VLOOKUP(Table7[[#This Row],[Date]],Database!$A:$C,MATCH($C$1,Database!$A$1:$C$1,),)=0,#N/A,VLOOKUP(Table7[[#This Row],[Date]],Database!$A:$C,MATCH($C$1,Database!$A$1:$C$1,),))</f>
        <v/>
      </c>
      <c r="D14871">
        <f>IFERROR(Table7[[#This Row],[United States 10y]]-Table7[[#This Row],[United States 3y]],#N/A)</f>
        <v/>
      </c>
    </row>
    <row r="14872">
      <c r="A14872" s="6">
        <f>Database!$A16957</f>
        <v/>
      </c>
      <c r="B14872">
        <f>IF(VLOOKUP(Table7[[#This Row],[Date]],Database!$A:$C,MATCH($B$1,Database!$A$1:$C$1,),)=0,#N/A,VLOOKUP(Table7[[#This Row],[Date]],Database!$A:$C,MATCH($B$1,Database!$A$1:$C$1,),))</f>
        <v/>
      </c>
      <c r="C14872">
        <f>IF(VLOOKUP(Table7[[#This Row],[Date]],Database!$A:$C,MATCH($C$1,Database!$A$1:$C$1,),)=0,#N/A,VLOOKUP(Table7[[#This Row],[Date]],Database!$A:$C,MATCH($C$1,Database!$A$1:$C$1,),))</f>
        <v/>
      </c>
      <c r="D14872">
        <f>IFERROR(Table7[[#This Row],[United States 10y]]-Table7[[#This Row],[United States 3y]],#N/A)</f>
        <v/>
      </c>
    </row>
    <row r="14873">
      <c r="A14873" s="6">
        <f>Database!$A16958</f>
        <v/>
      </c>
      <c r="B14873">
        <f>IF(VLOOKUP(Table7[[#This Row],[Date]],Database!$A:$C,MATCH($B$1,Database!$A$1:$C$1,),)=0,#N/A,VLOOKUP(Table7[[#This Row],[Date]],Database!$A:$C,MATCH($B$1,Database!$A$1:$C$1,),))</f>
        <v/>
      </c>
      <c r="C14873">
        <f>IF(VLOOKUP(Table7[[#This Row],[Date]],Database!$A:$C,MATCH($C$1,Database!$A$1:$C$1,),)=0,#N/A,VLOOKUP(Table7[[#This Row],[Date]],Database!$A:$C,MATCH($C$1,Database!$A$1:$C$1,),))</f>
        <v/>
      </c>
      <c r="D14873">
        <f>IFERROR(Table7[[#This Row],[United States 10y]]-Table7[[#This Row],[United States 3y]],#N/A)</f>
        <v/>
      </c>
    </row>
    <row r="14874">
      <c r="A14874" s="6">
        <f>Database!$A16959</f>
        <v/>
      </c>
      <c r="B14874">
        <f>IF(VLOOKUP(Table7[[#This Row],[Date]],Database!$A:$C,MATCH($B$1,Database!$A$1:$C$1,),)=0,#N/A,VLOOKUP(Table7[[#This Row],[Date]],Database!$A:$C,MATCH($B$1,Database!$A$1:$C$1,),))</f>
        <v/>
      </c>
      <c r="C14874">
        <f>IF(VLOOKUP(Table7[[#This Row],[Date]],Database!$A:$C,MATCH($C$1,Database!$A$1:$C$1,),)=0,#N/A,VLOOKUP(Table7[[#This Row],[Date]],Database!$A:$C,MATCH($C$1,Database!$A$1:$C$1,),))</f>
        <v/>
      </c>
      <c r="D14874">
        <f>IFERROR(Table7[[#This Row],[United States 10y]]-Table7[[#This Row],[United States 3y]],#N/A)</f>
        <v/>
      </c>
    </row>
    <row r="14875">
      <c r="A14875" s="6">
        <f>Database!$A16960</f>
        <v/>
      </c>
      <c r="B14875">
        <f>IF(VLOOKUP(Table7[[#This Row],[Date]],Database!$A:$C,MATCH($B$1,Database!$A$1:$C$1,),)=0,#N/A,VLOOKUP(Table7[[#This Row],[Date]],Database!$A:$C,MATCH($B$1,Database!$A$1:$C$1,),))</f>
        <v/>
      </c>
      <c r="C14875">
        <f>IF(VLOOKUP(Table7[[#This Row],[Date]],Database!$A:$C,MATCH($C$1,Database!$A$1:$C$1,),)=0,#N/A,VLOOKUP(Table7[[#This Row],[Date]],Database!$A:$C,MATCH($C$1,Database!$A$1:$C$1,),))</f>
        <v/>
      </c>
      <c r="D14875">
        <f>IFERROR(Table7[[#This Row],[United States 10y]]-Table7[[#This Row],[United States 3y]],#N/A)</f>
        <v/>
      </c>
    </row>
    <row r="14876">
      <c r="A14876" s="6">
        <f>Database!$A16961</f>
        <v/>
      </c>
      <c r="B14876">
        <f>IF(VLOOKUP(Table7[[#This Row],[Date]],Database!$A:$C,MATCH($B$1,Database!$A$1:$C$1,),)=0,#N/A,VLOOKUP(Table7[[#This Row],[Date]],Database!$A:$C,MATCH($B$1,Database!$A$1:$C$1,),))</f>
        <v/>
      </c>
      <c r="C14876">
        <f>IF(VLOOKUP(Table7[[#This Row],[Date]],Database!$A:$C,MATCH($C$1,Database!$A$1:$C$1,),)=0,#N/A,VLOOKUP(Table7[[#This Row],[Date]],Database!$A:$C,MATCH($C$1,Database!$A$1:$C$1,),))</f>
        <v/>
      </c>
      <c r="D14876">
        <f>IFERROR(Table7[[#This Row],[United States 10y]]-Table7[[#This Row],[United States 3y]],#N/A)</f>
        <v/>
      </c>
    </row>
    <row r="14877">
      <c r="A14877" s="6">
        <f>Database!$A16962</f>
        <v/>
      </c>
      <c r="B14877">
        <f>IF(VLOOKUP(Table7[[#This Row],[Date]],Database!$A:$C,MATCH($B$1,Database!$A$1:$C$1,),)=0,#N/A,VLOOKUP(Table7[[#This Row],[Date]],Database!$A:$C,MATCH($B$1,Database!$A$1:$C$1,),))</f>
        <v/>
      </c>
      <c r="C14877">
        <f>IF(VLOOKUP(Table7[[#This Row],[Date]],Database!$A:$C,MATCH($C$1,Database!$A$1:$C$1,),)=0,#N/A,VLOOKUP(Table7[[#This Row],[Date]],Database!$A:$C,MATCH($C$1,Database!$A$1:$C$1,),))</f>
        <v/>
      </c>
      <c r="D14877">
        <f>IFERROR(Table7[[#This Row],[United States 10y]]-Table7[[#This Row],[United States 3y]],#N/A)</f>
        <v/>
      </c>
    </row>
    <row r="14878">
      <c r="A14878" s="6">
        <f>Database!$A16963</f>
        <v/>
      </c>
      <c r="B14878">
        <f>IF(VLOOKUP(Table7[[#This Row],[Date]],Database!$A:$C,MATCH($B$1,Database!$A$1:$C$1,),)=0,#N/A,VLOOKUP(Table7[[#This Row],[Date]],Database!$A:$C,MATCH($B$1,Database!$A$1:$C$1,),))</f>
        <v/>
      </c>
      <c r="C14878">
        <f>IF(VLOOKUP(Table7[[#This Row],[Date]],Database!$A:$C,MATCH($C$1,Database!$A$1:$C$1,),)=0,#N/A,VLOOKUP(Table7[[#This Row],[Date]],Database!$A:$C,MATCH($C$1,Database!$A$1:$C$1,),))</f>
        <v/>
      </c>
      <c r="D14878">
        <f>IFERROR(Table7[[#This Row],[United States 10y]]-Table7[[#This Row],[United States 3y]],#N/A)</f>
        <v/>
      </c>
    </row>
    <row r="14879">
      <c r="A14879" s="6">
        <f>Database!$A16964</f>
        <v/>
      </c>
      <c r="B14879">
        <f>IF(VLOOKUP(Table7[[#This Row],[Date]],Database!$A:$C,MATCH($B$1,Database!$A$1:$C$1,),)=0,#N/A,VLOOKUP(Table7[[#This Row],[Date]],Database!$A:$C,MATCH($B$1,Database!$A$1:$C$1,),))</f>
        <v/>
      </c>
      <c r="C14879">
        <f>IF(VLOOKUP(Table7[[#This Row],[Date]],Database!$A:$C,MATCH($C$1,Database!$A$1:$C$1,),)=0,#N/A,VLOOKUP(Table7[[#This Row],[Date]],Database!$A:$C,MATCH($C$1,Database!$A$1:$C$1,),))</f>
        <v/>
      </c>
      <c r="D14879">
        <f>IFERROR(Table7[[#This Row],[United States 10y]]-Table7[[#This Row],[United States 3y]],#N/A)</f>
        <v/>
      </c>
    </row>
    <row r="14880">
      <c r="A14880" s="6">
        <f>Database!$A16965</f>
        <v/>
      </c>
      <c r="B14880">
        <f>IF(VLOOKUP(Table7[[#This Row],[Date]],Database!$A:$C,MATCH($B$1,Database!$A$1:$C$1,),)=0,#N/A,VLOOKUP(Table7[[#This Row],[Date]],Database!$A:$C,MATCH($B$1,Database!$A$1:$C$1,),))</f>
        <v/>
      </c>
      <c r="C14880">
        <f>IF(VLOOKUP(Table7[[#This Row],[Date]],Database!$A:$C,MATCH($C$1,Database!$A$1:$C$1,),)=0,#N/A,VLOOKUP(Table7[[#This Row],[Date]],Database!$A:$C,MATCH($C$1,Database!$A$1:$C$1,),))</f>
        <v/>
      </c>
      <c r="D14880">
        <f>IFERROR(Table7[[#This Row],[United States 10y]]-Table7[[#This Row],[United States 3y]],#N/A)</f>
        <v/>
      </c>
    </row>
    <row r="14881">
      <c r="A14881" s="6">
        <f>Database!$A16966</f>
        <v/>
      </c>
      <c r="B14881">
        <f>IF(VLOOKUP(Table7[[#This Row],[Date]],Database!$A:$C,MATCH($B$1,Database!$A$1:$C$1,),)=0,#N/A,VLOOKUP(Table7[[#This Row],[Date]],Database!$A:$C,MATCH($B$1,Database!$A$1:$C$1,),))</f>
        <v/>
      </c>
      <c r="C14881">
        <f>IF(VLOOKUP(Table7[[#This Row],[Date]],Database!$A:$C,MATCH($C$1,Database!$A$1:$C$1,),)=0,#N/A,VLOOKUP(Table7[[#This Row],[Date]],Database!$A:$C,MATCH($C$1,Database!$A$1:$C$1,),))</f>
        <v/>
      </c>
      <c r="D14881">
        <f>IFERROR(Table7[[#This Row],[United States 10y]]-Table7[[#This Row],[United States 3y]],#N/A)</f>
        <v/>
      </c>
    </row>
    <row r="14882">
      <c r="A14882" s="6">
        <f>Database!$A16967</f>
        <v/>
      </c>
      <c r="B14882">
        <f>IF(VLOOKUP(Table7[[#This Row],[Date]],Database!$A:$C,MATCH($B$1,Database!$A$1:$C$1,),)=0,#N/A,VLOOKUP(Table7[[#This Row],[Date]],Database!$A:$C,MATCH($B$1,Database!$A$1:$C$1,),))</f>
        <v/>
      </c>
      <c r="C14882">
        <f>IF(VLOOKUP(Table7[[#This Row],[Date]],Database!$A:$C,MATCH($C$1,Database!$A$1:$C$1,),)=0,#N/A,VLOOKUP(Table7[[#This Row],[Date]],Database!$A:$C,MATCH($C$1,Database!$A$1:$C$1,),))</f>
        <v/>
      </c>
      <c r="D14882">
        <f>IFERROR(Table7[[#This Row],[United States 10y]]-Table7[[#This Row],[United States 3y]],#N/A)</f>
        <v/>
      </c>
    </row>
    <row r="14883">
      <c r="A14883" s="6">
        <f>Database!$A16968</f>
        <v/>
      </c>
      <c r="B14883">
        <f>IF(VLOOKUP(Table7[[#This Row],[Date]],Database!$A:$C,MATCH($B$1,Database!$A$1:$C$1,),)=0,#N/A,VLOOKUP(Table7[[#This Row],[Date]],Database!$A:$C,MATCH($B$1,Database!$A$1:$C$1,),))</f>
        <v/>
      </c>
      <c r="C14883">
        <f>IF(VLOOKUP(Table7[[#This Row],[Date]],Database!$A:$C,MATCH($C$1,Database!$A$1:$C$1,),)=0,#N/A,VLOOKUP(Table7[[#This Row],[Date]],Database!$A:$C,MATCH($C$1,Database!$A$1:$C$1,),))</f>
        <v/>
      </c>
      <c r="D14883">
        <f>IFERROR(Table7[[#This Row],[United States 10y]]-Table7[[#This Row],[United States 3y]],#N/A)</f>
        <v/>
      </c>
    </row>
    <row r="14884">
      <c r="A14884" s="6">
        <f>Database!$A16969</f>
        <v/>
      </c>
      <c r="B14884">
        <f>IF(VLOOKUP(Table7[[#This Row],[Date]],Database!$A:$C,MATCH($B$1,Database!$A$1:$C$1,),)=0,#N/A,VLOOKUP(Table7[[#This Row],[Date]],Database!$A:$C,MATCH($B$1,Database!$A$1:$C$1,),))</f>
        <v/>
      </c>
      <c r="C14884">
        <f>IF(VLOOKUP(Table7[[#This Row],[Date]],Database!$A:$C,MATCH($C$1,Database!$A$1:$C$1,),)=0,#N/A,VLOOKUP(Table7[[#This Row],[Date]],Database!$A:$C,MATCH($C$1,Database!$A$1:$C$1,),))</f>
        <v/>
      </c>
      <c r="D14884">
        <f>IFERROR(Table7[[#This Row],[United States 10y]]-Table7[[#This Row],[United States 3y]],#N/A)</f>
        <v/>
      </c>
    </row>
    <row r="14885">
      <c r="A14885" s="6">
        <f>Database!$A16970</f>
        <v/>
      </c>
      <c r="B14885">
        <f>IF(VLOOKUP(Table7[[#This Row],[Date]],Database!$A:$C,MATCH($B$1,Database!$A$1:$C$1,),)=0,#N/A,VLOOKUP(Table7[[#This Row],[Date]],Database!$A:$C,MATCH($B$1,Database!$A$1:$C$1,),))</f>
        <v/>
      </c>
      <c r="C14885">
        <f>IF(VLOOKUP(Table7[[#This Row],[Date]],Database!$A:$C,MATCH($C$1,Database!$A$1:$C$1,),)=0,#N/A,VLOOKUP(Table7[[#This Row],[Date]],Database!$A:$C,MATCH($C$1,Database!$A$1:$C$1,),))</f>
        <v/>
      </c>
      <c r="D14885">
        <f>IFERROR(Table7[[#This Row],[United States 10y]]-Table7[[#This Row],[United States 3y]],#N/A)</f>
        <v/>
      </c>
    </row>
    <row r="14886">
      <c r="A14886" s="6">
        <f>Database!$A16971</f>
        <v/>
      </c>
      <c r="B14886">
        <f>IF(VLOOKUP(Table7[[#This Row],[Date]],Database!$A:$C,MATCH($B$1,Database!$A$1:$C$1,),)=0,#N/A,VLOOKUP(Table7[[#This Row],[Date]],Database!$A:$C,MATCH($B$1,Database!$A$1:$C$1,),))</f>
        <v/>
      </c>
      <c r="C14886">
        <f>IF(VLOOKUP(Table7[[#This Row],[Date]],Database!$A:$C,MATCH($C$1,Database!$A$1:$C$1,),)=0,#N/A,VLOOKUP(Table7[[#This Row],[Date]],Database!$A:$C,MATCH($C$1,Database!$A$1:$C$1,),))</f>
        <v/>
      </c>
      <c r="D14886">
        <f>IFERROR(Table7[[#This Row],[United States 10y]]-Table7[[#This Row],[United States 3y]],#N/A)</f>
        <v/>
      </c>
    </row>
    <row r="14887">
      <c r="A14887" s="6">
        <f>Database!$A16972</f>
        <v/>
      </c>
      <c r="B14887">
        <f>IF(VLOOKUP(Table7[[#This Row],[Date]],Database!$A:$C,MATCH($B$1,Database!$A$1:$C$1,),)=0,#N/A,VLOOKUP(Table7[[#This Row],[Date]],Database!$A:$C,MATCH($B$1,Database!$A$1:$C$1,),))</f>
        <v/>
      </c>
      <c r="C14887">
        <f>IF(VLOOKUP(Table7[[#This Row],[Date]],Database!$A:$C,MATCH($C$1,Database!$A$1:$C$1,),)=0,#N/A,VLOOKUP(Table7[[#This Row],[Date]],Database!$A:$C,MATCH($C$1,Database!$A$1:$C$1,),))</f>
        <v/>
      </c>
      <c r="D14887">
        <f>IFERROR(Table7[[#This Row],[United States 10y]]-Table7[[#This Row],[United States 3y]],#N/A)</f>
        <v/>
      </c>
    </row>
    <row r="14888">
      <c r="A14888" s="6">
        <f>Database!$A16973</f>
        <v/>
      </c>
      <c r="B14888">
        <f>IF(VLOOKUP(Table7[[#This Row],[Date]],Database!$A:$C,MATCH($B$1,Database!$A$1:$C$1,),)=0,#N/A,VLOOKUP(Table7[[#This Row],[Date]],Database!$A:$C,MATCH($B$1,Database!$A$1:$C$1,),))</f>
        <v/>
      </c>
      <c r="C14888">
        <f>IF(VLOOKUP(Table7[[#This Row],[Date]],Database!$A:$C,MATCH($C$1,Database!$A$1:$C$1,),)=0,#N/A,VLOOKUP(Table7[[#This Row],[Date]],Database!$A:$C,MATCH($C$1,Database!$A$1:$C$1,),))</f>
        <v/>
      </c>
      <c r="D14888">
        <f>IFERROR(Table7[[#This Row],[United States 10y]]-Table7[[#This Row],[United States 3y]],#N/A)</f>
        <v/>
      </c>
    </row>
    <row r="14889">
      <c r="A14889" s="6">
        <f>Database!$A16974</f>
        <v/>
      </c>
      <c r="B14889">
        <f>IF(VLOOKUP(Table7[[#This Row],[Date]],Database!$A:$C,MATCH($B$1,Database!$A$1:$C$1,),)=0,#N/A,VLOOKUP(Table7[[#This Row],[Date]],Database!$A:$C,MATCH($B$1,Database!$A$1:$C$1,),))</f>
        <v/>
      </c>
      <c r="C14889">
        <f>IF(VLOOKUP(Table7[[#This Row],[Date]],Database!$A:$C,MATCH($C$1,Database!$A$1:$C$1,),)=0,#N/A,VLOOKUP(Table7[[#This Row],[Date]],Database!$A:$C,MATCH($C$1,Database!$A$1:$C$1,),))</f>
        <v/>
      </c>
      <c r="D14889">
        <f>IFERROR(Table7[[#This Row],[United States 10y]]-Table7[[#This Row],[United States 3y]],#N/A)</f>
        <v/>
      </c>
    </row>
    <row r="14890">
      <c r="A14890" s="6">
        <f>Database!$A16975</f>
        <v/>
      </c>
      <c r="B14890">
        <f>IF(VLOOKUP(Table7[[#This Row],[Date]],Database!$A:$C,MATCH($B$1,Database!$A$1:$C$1,),)=0,#N/A,VLOOKUP(Table7[[#This Row],[Date]],Database!$A:$C,MATCH($B$1,Database!$A$1:$C$1,),))</f>
        <v/>
      </c>
      <c r="C14890">
        <f>IF(VLOOKUP(Table7[[#This Row],[Date]],Database!$A:$C,MATCH($C$1,Database!$A$1:$C$1,),)=0,#N/A,VLOOKUP(Table7[[#This Row],[Date]],Database!$A:$C,MATCH($C$1,Database!$A$1:$C$1,),))</f>
        <v/>
      </c>
      <c r="D14890">
        <f>IFERROR(Table7[[#This Row],[United States 10y]]-Table7[[#This Row],[United States 3y]],#N/A)</f>
        <v/>
      </c>
    </row>
    <row r="14891">
      <c r="A14891" s="6">
        <f>Database!$A16976</f>
        <v/>
      </c>
      <c r="B14891">
        <f>IF(VLOOKUP(Table7[[#This Row],[Date]],Database!$A:$C,MATCH($B$1,Database!$A$1:$C$1,),)=0,#N/A,VLOOKUP(Table7[[#This Row],[Date]],Database!$A:$C,MATCH($B$1,Database!$A$1:$C$1,),))</f>
        <v/>
      </c>
      <c r="C14891">
        <f>IF(VLOOKUP(Table7[[#This Row],[Date]],Database!$A:$C,MATCH($C$1,Database!$A$1:$C$1,),)=0,#N/A,VLOOKUP(Table7[[#This Row],[Date]],Database!$A:$C,MATCH($C$1,Database!$A$1:$C$1,),))</f>
        <v/>
      </c>
      <c r="D14891">
        <f>IFERROR(Table7[[#This Row],[United States 10y]]-Table7[[#This Row],[United States 3y]],#N/A)</f>
        <v/>
      </c>
    </row>
    <row r="14892">
      <c r="A14892" s="6">
        <f>Database!$A16977</f>
        <v/>
      </c>
      <c r="B14892">
        <f>IF(VLOOKUP(Table7[[#This Row],[Date]],Database!$A:$C,MATCH($B$1,Database!$A$1:$C$1,),)=0,#N/A,VLOOKUP(Table7[[#This Row],[Date]],Database!$A:$C,MATCH($B$1,Database!$A$1:$C$1,),))</f>
        <v/>
      </c>
      <c r="C14892">
        <f>IF(VLOOKUP(Table7[[#This Row],[Date]],Database!$A:$C,MATCH($C$1,Database!$A$1:$C$1,),)=0,#N/A,VLOOKUP(Table7[[#This Row],[Date]],Database!$A:$C,MATCH($C$1,Database!$A$1:$C$1,),))</f>
        <v/>
      </c>
      <c r="D14892">
        <f>IFERROR(Table7[[#This Row],[United States 10y]]-Table7[[#This Row],[United States 3y]],#N/A)</f>
        <v/>
      </c>
    </row>
    <row r="14893">
      <c r="A14893" s="6">
        <f>Database!$A16978</f>
        <v/>
      </c>
      <c r="B14893">
        <f>IF(VLOOKUP(Table7[[#This Row],[Date]],Database!$A:$C,MATCH($B$1,Database!$A$1:$C$1,),)=0,#N/A,VLOOKUP(Table7[[#This Row],[Date]],Database!$A:$C,MATCH($B$1,Database!$A$1:$C$1,),))</f>
        <v/>
      </c>
      <c r="C14893">
        <f>IF(VLOOKUP(Table7[[#This Row],[Date]],Database!$A:$C,MATCH($C$1,Database!$A$1:$C$1,),)=0,#N/A,VLOOKUP(Table7[[#This Row],[Date]],Database!$A:$C,MATCH($C$1,Database!$A$1:$C$1,),))</f>
        <v/>
      </c>
      <c r="D14893">
        <f>IFERROR(Table7[[#This Row],[United States 10y]]-Table7[[#This Row],[United States 3y]],#N/A)</f>
        <v/>
      </c>
    </row>
    <row r="14894">
      <c r="A14894" s="6">
        <f>Database!$A16979</f>
        <v/>
      </c>
      <c r="B14894">
        <f>IF(VLOOKUP(Table7[[#This Row],[Date]],Database!$A:$C,MATCH($B$1,Database!$A$1:$C$1,),)=0,#N/A,VLOOKUP(Table7[[#This Row],[Date]],Database!$A:$C,MATCH($B$1,Database!$A$1:$C$1,),))</f>
        <v/>
      </c>
      <c r="C14894">
        <f>IF(VLOOKUP(Table7[[#This Row],[Date]],Database!$A:$C,MATCH($C$1,Database!$A$1:$C$1,),)=0,#N/A,VLOOKUP(Table7[[#This Row],[Date]],Database!$A:$C,MATCH($C$1,Database!$A$1:$C$1,),))</f>
        <v/>
      </c>
      <c r="D14894">
        <f>IFERROR(Table7[[#This Row],[United States 10y]]-Table7[[#This Row],[United States 3y]],#N/A)</f>
        <v/>
      </c>
    </row>
    <row r="14895">
      <c r="A14895" s="6">
        <f>Database!$A16980</f>
        <v/>
      </c>
      <c r="B14895">
        <f>IF(VLOOKUP(Table7[[#This Row],[Date]],Database!$A:$C,MATCH($B$1,Database!$A$1:$C$1,),)=0,#N/A,VLOOKUP(Table7[[#This Row],[Date]],Database!$A:$C,MATCH($B$1,Database!$A$1:$C$1,),))</f>
        <v/>
      </c>
      <c r="C14895">
        <f>IF(VLOOKUP(Table7[[#This Row],[Date]],Database!$A:$C,MATCH($C$1,Database!$A$1:$C$1,),)=0,#N/A,VLOOKUP(Table7[[#This Row],[Date]],Database!$A:$C,MATCH($C$1,Database!$A$1:$C$1,),))</f>
        <v/>
      </c>
      <c r="D14895">
        <f>IFERROR(Table7[[#This Row],[United States 10y]]-Table7[[#This Row],[United States 3y]],#N/A)</f>
        <v/>
      </c>
    </row>
    <row r="14896">
      <c r="A14896" s="6">
        <f>Database!$A16981</f>
        <v/>
      </c>
      <c r="B14896">
        <f>IF(VLOOKUP(Table7[[#This Row],[Date]],Database!$A:$C,MATCH($B$1,Database!$A$1:$C$1,),)=0,#N/A,VLOOKUP(Table7[[#This Row],[Date]],Database!$A:$C,MATCH($B$1,Database!$A$1:$C$1,),))</f>
        <v/>
      </c>
      <c r="C14896">
        <f>IF(VLOOKUP(Table7[[#This Row],[Date]],Database!$A:$C,MATCH($C$1,Database!$A$1:$C$1,),)=0,#N/A,VLOOKUP(Table7[[#This Row],[Date]],Database!$A:$C,MATCH($C$1,Database!$A$1:$C$1,),))</f>
        <v/>
      </c>
      <c r="D14896">
        <f>IFERROR(Table7[[#This Row],[United States 10y]]-Table7[[#This Row],[United States 3y]],#N/A)</f>
        <v/>
      </c>
    </row>
    <row r="14897">
      <c r="A14897" s="6">
        <f>Database!$A16982</f>
        <v/>
      </c>
      <c r="B14897">
        <f>IF(VLOOKUP(Table7[[#This Row],[Date]],Database!$A:$C,MATCH($B$1,Database!$A$1:$C$1,),)=0,#N/A,VLOOKUP(Table7[[#This Row],[Date]],Database!$A:$C,MATCH($B$1,Database!$A$1:$C$1,),))</f>
        <v/>
      </c>
      <c r="C14897">
        <f>IF(VLOOKUP(Table7[[#This Row],[Date]],Database!$A:$C,MATCH($C$1,Database!$A$1:$C$1,),)=0,#N/A,VLOOKUP(Table7[[#This Row],[Date]],Database!$A:$C,MATCH($C$1,Database!$A$1:$C$1,),))</f>
        <v/>
      </c>
      <c r="D14897">
        <f>IFERROR(Table7[[#This Row],[United States 10y]]-Table7[[#This Row],[United States 3y]],#N/A)</f>
        <v/>
      </c>
    </row>
    <row r="14898">
      <c r="A14898" s="6">
        <f>Database!$A16983</f>
        <v/>
      </c>
      <c r="B14898">
        <f>IF(VLOOKUP(Table7[[#This Row],[Date]],Database!$A:$C,MATCH($B$1,Database!$A$1:$C$1,),)=0,#N/A,VLOOKUP(Table7[[#This Row],[Date]],Database!$A:$C,MATCH($B$1,Database!$A$1:$C$1,),))</f>
        <v/>
      </c>
      <c r="C14898">
        <f>IF(VLOOKUP(Table7[[#This Row],[Date]],Database!$A:$C,MATCH($C$1,Database!$A$1:$C$1,),)=0,#N/A,VLOOKUP(Table7[[#This Row],[Date]],Database!$A:$C,MATCH($C$1,Database!$A$1:$C$1,),))</f>
        <v/>
      </c>
      <c r="D14898">
        <f>IFERROR(Table7[[#This Row],[United States 10y]]-Table7[[#This Row],[United States 3y]],#N/A)</f>
        <v/>
      </c>
    </row>
    <row r="14899">
      <c r="A14899" s="6">
        <f>Database!$A16984</f>
        <v/>
      </c>
      <c r="B14899">
        <f>IF(VLOOKUP(Table7[[#This Row],[Date]],Database!$A:$C,MATCH($B$1,Database!$A$1:$C$1,),)=0,#N/A,VLOOKUP(Table7[[#This Row],[Date]],Database!$A:$C,MATCH($B$1,Database!$A$1:$C$1,),))</f>
        <v/>
      </c>
      <c r="C14899">
        <f>IF(VLOOKUP(Table7[[#This Row],[Date]],Database!$A:$C,MATCH($C$1,Database!$A$1:$C$1,),)=0,#N/A,VLOOKUP(Table7[[#This Row],[Date]],Database!$A:$C,MATCH($C$1,Database!$A$1:$C$1,),))</f>
        <v/>
      </c>
      <c r="D14899">
        <f>IFERROR(Table7[[#This Row],[United States 10y]]-Table7[[#This Row],[United States 3y]],#N/A)</f>
        <v/>
      </c>
    </row>
    <row r="14900">
      <c r="A14900" s="6">
        <f>Database!$A16985</f>
        <v/>
      </c>
      <c r="B14900">
        <f>IF(VLOOKUP(Table7[[#This Row],[Date]],Database!$A:$C,MATCH($B$1,Database!$A$1:$C$1,),)=0,#N/A,VLOOKUP(Table7[[#This Row],[Date]],Database!$A:$C,MATCH($B$1,Database!$A$1:$C$1,),))</f>
        <v/>
      </c>
      <c r="C14900">
        <f>IF(VLOOKUP(Table7[[#This Row],[Date]],Database!$A:$C,MATCH($C$1,Database!$A$1:$C$1,),)=0,#N/A,VLOOKUP(Table7[[#This Row],[Date]],Database!$A:$C,MATCH($C$1,Database!$A$1:$C$1,),))</f>
        <v/>
      </c>
      <c r="D14900">
        <f>IFERROR(Table7[[#This Row],[United States 10y]]-Table7[[#This Row],[United States 3y]],#N/A)</f>
        <v/>
      </c>
    </row>
    <row r="14901">
      <c r="A14901" s="6">
        <f>Database!$A16986</f>
        <v/>
      </c>
      <c r="B14901">
        <f>IF(VLOOKUP(Table7[[#This Row],[Date]],Database!$A:$C,MATCH($B$1,Database!$A$1:$C$1,),)=0,#N/A,VLOOKUP(Table7[[#This Row],[Date]],Database!$A:$C,MATCH($B$1,Database!$A$1:$C$1,),))</f>
        <v/>
      </c>
      <c r="C14901">
        <f>IF(VLOOKUP(Table7[[#This Row],[Date]],Database!$A:$C,MATCH($C$1,Database!$A$1:$C$1,),)=0,#N/A,VLOOKUP(Table7[[#This Row],[Date]],Database!$A:$C,MATCH($C$1,Database!$A$1:$C$1,),))</f>
        <v/>
      </c>
      <c r="D14901">
        <f>IFERROR(Table7[[#This Row],[United States 10y]]-Table7[[#This Row],[United States 3y]],#N/A)</f>
        <v/>
      </c>
    </row>
    <row r="14902">
      <c r="A14902" s="6">
        <f>Database!$A16987</f>
        <v/>
      </c>
      <c r="B14902">
        <f>IF(VLOOKUP(Table7[[#This Row],[Date]],Database!$A:$C,MATCH($B$1,Database!$A$1:$C$1,),)=0,#N/A,VLOOKUP(Table7[[#This Row],[Date]],Database!$A:$C,MATCH($B$1,Database!$A$1:$C$1,),))</f>
        <v/>
      </c>
      <c r="C14902">
        <f>IF(VLOOKUP(Table7[[#This Row],[Date]],Database!$A:$C,MATCH($C$1,Database!$A$1:$C$1,),)=0,#N/A,VLOOKUP(Table7[[#This Row],[Date]],Database!$A:$C,MATCH($C$1,Database!$A$1:$C$1,),))</f>
        <v/>
      </c>
      <c r="D14902">
        <f>IFERROR(Table7[[#This Row],[United States 10y]]-Table7[[#This Row],[United States 3y]],#N/A)</f>
        <v/>
      </c>
    </row>
    <row r="14903">
      <c r="A14903" s="6">
        <f>Database!$A16988</f>
        <v/>
      </c>
      <c r="B14903">
        <f>IF(VLOOKUP(Table7[[#This Row],[Date]],Database!$A:$C,MATCH($B$1,Database!$A$1:$C$1,),)=0,#N/A,VLOOKUP(Table7[[#This Row],[Date]],Database!$A:$C,MATCH($B$1,Database!$A$1:$C$1,),))</f>
        <v/>
      </c>
      <c r="C14903">
        <f>IF(VLOOKUP(Table7[[#This Row],[Date]],Database!$A:$C,MATCH($C$1,Database!$A$1:$C$1,),)=0,#N/A,VLOOKUP(Table7[[#This Row],[Date]],Database!$A:$C,MATCH($C$1,Database!$A$1:$C$1,),))</f>
        <v/>
      </c>
      <c r="D14903">
        <f>IFERROR(Table7[[#This Row],[United States 10y]]-Table7[[#This Row],[United States 3y]],#N/A)</f>
        <v/>
      </c>
    </row>
    <row r="14904">
      <c r="A14904" s="6">
        <f>Database!$A16989</f>
        <v/>
      </c>
      <c r="B14904">
        <f>IF(VLOOKUP(Table7[[#This Row],[Date]],Database!$A:$C,MATCH($B$1,Database!$A$1:$C$1,),)=0,#N/A,VLOOKUP(Table7[[#This Row],[Date]],Database!$A:$C,MATCH($B$1,Database!$A$1:$C$1,),))</f>
        <v/>
      </c>
      <c r="C14904">
        <f>IF(VLOOKUP(Table7[[#This Row],[Date]],Database!$A:$C,MATCH($C$1,Database!$A$1:$C$1,),)=0,#N/A,VLOOKUP(Table7[[#This Row],[Date]],Database!$A:$C,MATCH($C$1,Database!$A$1:$C$1,),))</f>
        <v/>
      </c>
      <c r="D14904">
        <f>IFERROR(Table7[[#This Row],[United States 10y]]-Table7[[#This Row],[United States 3y]],#N/A)</f>
        <v/>
      </c>
    </row>
    <row r="14905">
      <c r="A14905" s="6">
        <f>Database!$A16990</f>
        <v/>
      </c>
      <c r="B14905">
        <f>IF(VLOOKUP(Table7[[#This Row],[Date]],Database!$A:$C,MATCH($B$1,Database!$A$1:$C$1,),)=0,#N/A,VLOOKUP(Table7[[#This Row],[Date]],Database!$A:$C,MATCH($B$1,Database!$A$1:$C$1,),))</f>
        <v/>
      </c>
      <c r="C14905">
        <f>IF(VLOOKUP(Table7[[#This Row],[Date]],Database!$A:$C,MATCH($C$1,Database!$A$1:$C$1,),)=0,#N/A,VLOOKUP(Table7[[#This Row],[Date]],Database!$A:$C,MATCH($C$1,Database!$A$1:$C$1,),))</f>
        <v/>
      </c>
      <c r="D14905">
        <f>IFERROR(Table7[[#This Row],[United States 10y]]-Table7[[#This Row],[United States 3y]],#N/A)</f>
        <v/>
      </c>
    </row>
    <row r="14906">
      <c r="A14906" s="6">
        <f>Database!$A16991</f>
        <v/>
      </c>
      <c r="B14906">
        <f>IF(VLOOKUP(Table7[[#This Row],[Date]],Database!$A:$C,MATCH($B$1,Database!$A$1:$C$1,),)=0,#N/A,VLOOKUP(Table7[[#This Row],[Date]],Database!$A:$C,MATCH($B$1,Database!$A$1:$C$1,),))</f>
        <v/>
      </c>
      <c r="C14906">
        <f>IF(VLOOKUP(Table7[[#This Row],[Date]],Database!$A:$C,MATCH($C$1,Database!$A$1:$C$1,),)=0,#N/A,VLOOKUP(Table7[[#This Row],[Date]],Database!$A:$C,MATCH($C$1,Database!$A$1:$C$1,),))</f>
        <v/>
      </c>
      <c r="D14906">
        <f>IFERROR(Table7[[#This Row],[United States 10y]]-Table7[[#This Row],[United States 3y]],#N/A)</f>
        <v/>
      </c>
    </row>
    <row r="14907">
      <c r="A14907" s="6">
        <f>Database!$A16992</f>
        <v/>
      </c>
      <c r="B14907">
        <f>IF(VLOOKUP(Table7[[#This Row],[Date]],Database!$A:$C,MATCH($B$1,Database!$A$1:$C$1,),)=0,#N/A,VLOOKUP(Table7[[#This Row],[Date]],Database!$A:$C,MATCH($B$1,Database!$A$1:$C$1,),))</f>
        <v/>
      </c>
      <c r="C14907">
        <f>IF(VLOOKUP(Table7[[#This Row],[Date]],Database!$A:$C,MATCH($C$1,Database!$A$1:$C$1,),)=0,#N/A,VLOOKUP(Table7[[#This Row],[Date]],Database!$A:$C,MATCH($C$1,Database!$A$1:$C$1,),))</f>
        <v/>
      </c>
      <c r="D14907">
        <f>IFERROR(Table7[[#This Row],[United States 10y]]-Table7[[#This Row],[United States 3y]],#N/A)</f>
        <v/>
      </c>
    </row>
    <row r="14908">
      <c r="A14908" s="6">
        <f>Database!$A16993</f>
        <v/>
      </c>
      <c r="B14908">
        <f>IF(VLOOKUP(Table7[[#This Row],[Date]],Database!$A:$C,MATCH($B$1,Database!$A$1:$C$1,),)=0,#N/A,VLOOKUP(Table7[[#This Row],[Date]],Database!$A:$C,MATCH($B$1,Database!$A$1:$C$1,),))</f>
        <v/>
      </c>
      <c r="C14908">
        <f>IF(VLOOKUP(Table7[[#This Row],[Date]],Database!$A:$C,MATCH($C$1,Database!$A$1:$C$1,),)=0,#N/A,VLOOKUP(Table7[[#This Row],[Date]],Database!$A:$C,MATCH($C$1,Database!$A$1:$C$1,),))</f>
        <v/>
      </c>
      <c r="D14908">
        <f>IFERROR(Table7[[#This Row],[United States 10y]]-Table7[[#This Row],[United States 3y]],#N/A)</f>
        <v/>
      </c>
    </row>
    <row r="14909">
      <c r="A14909" s="6">
        <f>Database!$A16994</f>
        <v/>
      </c>
      <c r="B14909">
        <f>IF(VLOOKUP(Table7[[#This Row],[Date]],Database!$A:$C,MATCH($B$1,Database!$A$1:$C$1,),)=0,#N/A,VLOOKUP(Table7[[#This Row],[Date]],Database!$A:$C,MATCH($B$1,Database!$A$1:$C$1,),))</f>
        <v/>
      </c>
      <c r="C14909">
        <f>IF(VLOOKUP(Table7[[#This Row],[Date]],Database!$A:$C,MATCH($C$1,Database!$A$1:$C$1,),)=0,#N/A,VLOOKUP(Table7[[#This Row],[Date]],Database!$A:$C,MATCH($C$1,Database!$A$1:$C$1,),))</f>
        <v/>
      </c>
      <c r="D14909">
        <f>IFERROR(Table7[[#This Row],[United States 10y]]-Table7[[#This Row],[United States 3y]],#N/A)</f>
        <v/>
      </c>
    </row>
    <row r="14910">
      <c r="A14910" s="6">
        <f>Database!$A16995</f>
        <v/>
      </c>
      <c r="B14910">
        <f>IF(VLOOKUP(Table7[[#This Row],[Date]],Database!$A:$C,MATCH($B$1,Database!$A$1:$C$1,),)=0,#N/A,VLOOKUP(Table7[[#This Row],[Date]],Database!$A:$C,MATCH($B$1,Database!$A$1:$C$1,),))</f>
        <v/>
      </c>
      <c r="C14910">
        <f>IF(VLOOKUP(Table7[[#This Row],[Date]],Database!$A:$C,MATCH($C$1,Database!$A$1:$C$1,),)=0,#N/A,VLOOKUP(Table7[[#This Row],[Date]],Database!$A:$C,MATCH($C$1,Database!$A$1:$C$1,),))</f>
        <v/>
      </c>
      <c r="D14910">
        <f>IFERROR(Table7[[#This Row],[United States 10y]]-Table7[[#This Row],[United States 3y]],#N/A)</f>
        <v/>
      </c>
    </row>
    <row r="14911">
      <c r="A14911" s="6">
        <f>Database!$A16996</f>
        <v/>
      </c>
      <c r="B14911">
        <f>IF(VLOOKUP(Table7[[#This Row],[Date]],Database!$A:$C,MATCH($B$1,Database!$A$1:$C$1,),)=0,#N/A,VLOOKUP(Table7[[#This Row],[Date]],Database!$A:$C,MATCH($B$1,Database!$A$1:$C$1,),))</f>
        <v/>
      </c>
      <c r="C14911">
        <f>IF(VLOOKUP(Table7[[#This Row],[Date]],Database!$A:$C,MATCH($C$1,Database!$A$1:$C$1,),)=0,#N/A,VLOOKUP(Table7[[#This Row],[Date]],Database!$A:$C,MATCH($C$1,Database!$A$1:$C$1,),))</f>
        <v/>
      </c>
      <c r="D14911">
        <f>IFERROR(Table7[[#This Row],[United States 10y]]-Table7[[#This Row],[United States 3y]],#N/A)</f>
        <v/>
      </c>
    </row>
    <row r="14912">
      <c r="A14912" s="6">
        <f>Database!$A16997</f>
        <v/>
      </c>
      <c r="B14912">
        <f>IF(VLOOKUP(Table7[[#This Row],[Date]],Database!$A:$C,MATCH($B$1,Database!$A$1:$C$1,),)=0,#N/A,VLOOKUP(Table7[[#This Row],[Date]],Database!$A:$C,MATCH($B$1,Database!$A$1:$C$1,),))</f>
        <v/>
      </c>
      <c r="C14912">
        <f>IF(VLOOKUP(Table7[[#This Row],[Date]],Database!$A:$C,MATCH($C$1,Database!$A$1:$C$1,),)=0,#N/A,VLOOKUP(Table7[[#This Row],[Date]],Database!$A:$C,MATCH($C$1,Database!$A$1:$C$1,),))</f>
        <v/>
      </c>
      <c r="D14912">
        <f>IFERROR(Table7[[#This Row],[United States 10y]]-Table7[[#This Row],[United States 3y]],#N/A)</f>
        <v/>
      </c>
    </row>
    <row r="14913">
      <c r="A14913" s="6">
        <f>Database!$A16998</f>
        <v/>
      </c>
      <c r="B14913">
        <f>IF(VLOOKUP(Table7[[#This Row],[Date]],Database!$A:$C,MATCH($B$1,Database!$A$1:$C$1,),)=0,#N/A,VLOOKUP(Table7[[#This Row],[Date]],Database!$A:$C,MATCH($B$1,Database!$A$1:$C$1,),))</f>
        <v/>
      </c>
      <c r="C14913">
        <f>IF(VLOOKUP(Table7[[#This Row],[Date]],Database!$A:$C,MATCH($C$1,Database!$A$1:$C$1,),)=0,#N/A,VLOOKUP(Table7[[#This Row],[Date]],Database!$A:$C,MATCH($C$1,Database!$A$1:$C$1,),))</f>
        <v/>
      </c>
      <c r="D14913">
        <f>IFERROR(Table7[[#This Row],[United States 10y]]-Table7[[#This Row],[United States 3y]],#N/A)</f>
        <v/>
      </c>
    </row>
    <row r="14914">
      <c r="A14914" s="6">
        <f>Database!$A16999</f>
        <v/>
      </c>
      <c r="B14914">
        <f>IF(VLOOKUP(Table7[[#This Row],[Date]],Database!$A:$C,MATCH($B$1,Database!$A$1:$C$1,),)=0,#N/A,VLOOKUP(Table7[[#This Row],[Date]],Database!$A:$C,MATCH($B$1,Database!$A$1:$C$1,),))</f>
        <v/>
      </c>
      <c r="C14914">
        <f>IF(VLOOKUP(Table7[[#This Row],[Date]],Database!$A:$C,MATCH($C$1,Database!$A$1:$C$1,),)=0,#N/A,VLOOKUP(Table7[[#This Row],[Date]],Database!$A:$C,MATCH($C$1,Database!$A$1:$C$1,),))</f>
        <v/>
      </c>
      <c r="D14914">
        <f>IFERROR(Table7[[#This Row],[United States 10y]]-Table7[[#This Row],[United States 3y]],#N/A)</f>
        <v/>
      </c>
    </row>
    <row r="14915">
      <c r="A14915" s="6">
        <f>Database!$A17000</f>
        <v/>
      </c>
      <c r="B14915">
        <f>IF(VLOOKUP(Table7[[#This Row],[Date]],Database!$A:$C,MATCH($B$1,Database!$A$1:$C$1,),)=0,#N/A,VLOOKUP(Table7[[#This Row],[Date]],Database!$A:$C,MATCH($B$1,Database!$A$1:$C$1,),))</f>
        <v/>
      </c>
      <c r="C14915">
        <f>IF(VLOOKUP(Table7[[#This Row],[Date]],Database!$A:$C,MATCH($C$1,Database!$A$1:$C$1,),)=0,#N/A,VLOOKUP(Table7[[#This Row],[Date]],Database!$A:$C,MATCH($C$1,Database!$A$1:$C$1,),))</f>
        <v/>
      </c>
      <c r="D14915">
        <f>IFERROR(Table7[[#This Row],[United States 10y]]-Table7[[#This Row],[United States 3y]],#N/A)</f>
        <v/>
      </c>
    </row>
    <row r="14916">
      <c r="A14916" s="6">
        <f>Database!$A17001</f>
        <v/>
      </c>
      <c r="B14916">
        <f>IF(VLOOKUP(Table7[[#This Row],[Date]],Database!$A:$C,MATCH($B$1,Database!$A$1:$C$1,),)=0,#N/A,VLOOKUP(Table7[[#This Row],[Date]],Database!$A:$C,MATCH($B$1,Database!$A$1:$C$1,),))</f>
        <v/>
      </c>
      <c r="C14916">
        <f>IF(VLOOKUP(Table7[[#This Row],[Date]],Database!$A:$C,MATCH($C$1,Database!$A$1:$C$1,),)=0,#N/A,VLOOKUP(Table7[[#This Row],[Date]],Database!$A:$C,MATCH($C$1,Database!$A$1:$C$1,),))</f>
        <v/>
      </c>
      <c r="D14916">
        <f>IFERROR(Table7[[#This Row],[United States 10y]]-Table7[[#This Row],[United States 3y]],#N/A)</f>
        <v/>
      </c>
    </row>
    <row r="14917">
      <c r="A14917" s="6">
        <f>Database!$A17002</f>
        <v/>
      </c>
      <c r="B14917">
        <f>IF(VLOOKUP(Table7[[#This Row],[Date]],Database!$A:$C,MATCH($B$1,Database!$A$1:$C$1,),)=0,#N/A,VLOOKUP(Table7[[#This Row],[Date]],Database!$A:$C,MATCH($B$1,Database!$A$1:$C$1,),))</f>
        <v/>
      </c>
      <c r="C14917">
        <f>IF(VLOOKUP(Table7[[#This Row],[Date]],Database!$A:$C,MATCH($C$1,Database!$A$1:$C$1,),)=0,#N/A,VLOOKUP(Table7[[#This Row],[Date]],Database!$A:$C,MATCH($C$1,Database!$A$1:$C$1,),))</f>
        <v/>
      </c>
      <c r="D14917">
        <f>IFERROR(Table7[[#This Row],[United States 10y]]-Table7[[#This Row],[United States 3y]],#N/A)</f>
        <v/>
      </c>
    </row>
    <row r="14918">
      <c r="A14918" s="6">
        <f>Database!$A17003</f>
        <v/>
      </c>
      <c r="B14918">
        <f>IF(VLOOKUP(Table7[[#This Row],[Date]],Database!$A:$C,MATCH($B$1,Database!$A$1:$C$1,),)=0,#N/A,VLOOKUP(Table7[[#This Row],[Date]],Database!$A:$C,MATCH($B$1,Database!$A$1:$C$1,),))</f>
        <v/>
      </c>
      <c r="C14918">
        <f>IF(VLOOKUP(Table7[[#This Row],[Date]],Database!$A:$C,MATCH($C$1,Database!$A$1:$C$1,),)=0,#N/A,VLOOKUP(Table7[[#This Row],[Date]],Database!$A:$C,MATCH($C$1,Database!$A$1:$C$1,),))</f>
        <v/>
      </c>
      <c r="D14918">
        <f>IFERROR(Table7[[#This Row],[United States 10y]]-Table7[[#This Row],[United States 3y]],#N/A)</f>
        <v/>
      </c>
    </row>
    <row r="14919">
      <c r="A14919" s="6">
        <f>Database!$A17004</f>
        <v/>
      </c>
      <c r="B14919">
        <f>IF(VLOOKUP(Table7[[#This Row],[Date]],Database!$A:$C,MATCH($B$1,Database!$A$1:$C$1,),)=0,#N/A,VLOOKUP(Table7[[#This Row],[Date]],Database!$A:$C,MATCH($B$1,Database!$A$1:$C$1,),))</f>
        <v/>
      </c>
      <c r="C14919">
        <f>IF(VLOOKUP(Table7[[#This Row],[Date]],Database!$A:$C,MATCH($C$1,Database!$A$1:$C$1,),)=0,#N/A,VLOOKUP(Table7[[#This Row],[Date]],Database!$A:$C,MATCH($C$1,Database!$A$1:$C$1,),))</f>
        <v/>
      </c>
      <c r="D14919">
        <f>IFERROR(Table7[[#This Row],[United States 10y]]-Table7[[#This Row],[United States 3y]],#N/A)</f>
        <v/>
      </c>
    </row>
    <row r="14920">
      <c r="A14920" s="6">
        <f>Database!$A17005</f>
        <v/>
      </c>
      <c r="B14920">
        <f>IF(VLOOKUP(Table7[[#This Row],[Date]],Database!$A:$C,MATCH($B$1,Database!$A$1:$C$1,),)=0,#N/A,VLOOKUP(Table7[[#This Row],[Date]],Database!$A:$C,MATCH($B$1,Database!$A$1:$C$1,),))</f>
        <v/>
      </c>
      <c r="C14920">
        <f>IF(VLOOKUP(Table7[[#This Row],[Date]],Database!$A:$C,MATCH($C$1,Database!$A$1:$C$1,),)=0,#N/A,VLOOKUP(Table7[[#This Row],[Date]],Database!$A:$C,MATCH($C$1,Database!$A$1:$C$1,),))</f>
        <v/>
      </c>
      <c r="D14920">
        <f>IFERROR(Table7[[#This Row],[United States 10y]]-Table7[[#This Row],[United States 3y]],#N/A)</f>
        <v/>
      </c>
    </row>
    <row r="14921">
      <c r="A14921" s="6">
        <f>Database!$A17006</f>
        <v/>
      </c>
      <c r="B14921">
        <f>IF(VLOOKUP(Table7[[#This Row],[Date]],Database!$A:$C,MATCH($B$1,Database!$A$1:$C$1,),)=0,#N/A,VLOOKUP(Table7[[#This Row],[Date]],Database!$A:$C,MATCH($B$1,Database!$A$1:$C$1,),))</f>
        <v/>
      </c>
      <c r="C14921">
        <f>IF(VLOOKUP(Table7[[#This Row],[Date]],Database!$A:$C,MATCH($C$1,Database!$A$1:$C$1,),)=0,#N/A,VLOOKUP(Table7[[#This Row],[Date]],Database!$A:$C,MATCH($C$1,Database!$A$1:$C$1,),))</f>
        <v/>
      </c>
      <c r="D14921">
        <f>IFERROR(Table7[[#This Row],[United States 10y]]-Table7[[#This Row],[United States 3y]],#N/A)</f>
        <v/>
      </c>
    </row>
    <row r="14922">
      <c r="A14922" s="6">
        <f>Database!$A17007</f>
        <v/>
      </c>
      <c r="B14922">
        <f>IF(VLOOKUP(Table7[[#This Row],[Date]],Database!$A:$C,MATCH($B$1,Database!$A$1:$C$1,),)=0,#N/A,VLOOKUP(Table7[[#This Row],[Date]],Database!$A:$C,MATCH($B$1,Database!$A$1:$C$1,),))</f>
        <v/>
      </c>
      <c r="C14922">
        <f>IF(VLOOKUP(Table7[[#This Row],[Date]],Database!$A:$C,MATCH($C$1,Database!$A$1:$C$1,),)=0,#N/A,VLOOKUP(Table7[[#This Row],[Date]],Database!$A:$C,MATCH($C$1,Database!$A$1:$C$1,),))</f>
        <v/>
      </c>
      <c r="D14922">
        <f>IFERROR(Table7[[#This Row],[United States 10y]]-Table7[[#This Row],[United States 3y]],#N/A)</f>
        <v/>
      </c>
    </row>
    <row r="14923">
      <c r="A14923" s="6">
        <f>Database!$A17008</f>
        <v/>
      </c>
      <c r="B14923">
        <f>IF(VLOOKUP(Table7[[#This Row],[Date]],Database!$A:$C,MATCH($B$1,Database!$A$1:$C$1,),)=0,#N/A,VLOOKUP(Table7[[#This Row],[Date]],Database!$A:$C,MATCH($B$1,Database!$A$1:$C$1,),))</f>
        <v/>
      </c>
      <c r="C14923">
        <f>IF(VLOOKUP(Table7[[#This Row],[Date]],Database!$A:$C,MATCH($C$1,Database!$A$1:$C$1,),)=0,#N/A,VLOOKUP(Table7[[#This Row],[Date]],Database!$A:$C,MATCH($C$1,Database!$A$1:$C$1,),))</f>
        <v/>
      </c>
      <c r="D14923">
        <f>IFERROR(Table7[[#This Row],[United States 10y]]-Table7[[#This Row],[United States 3y]],#N/A)</f>
        <v/>
      </c>
    </row>
    <row r="14924">
      <c r="A14924" s="6">
        <f>Database!$A17009</f>
        <v/>
      </c>
      <c r="B14924">
        <f>IF(VLOOKUP(Table7[[#This Row],[Date]],Database!$A:$C,MATCH($B$1,Database!$A$1:$C$1,),)=0,#N/A,VLOOKUP(Table7[[#This Row],[Date]],Database!$A:$C,MATCH($B$1,Database!$A$1:$C$1,),))</f>
        <v/>
      </c>
      <c r="C14924">
        <f>IF(VLOOKUP(Table7[[#This Row],[Date]],Database!$A:$C,MATCH($C$1,Database!$A$1:$C$1,),)=0,#N/A,VLOOKUP(Table7[[#This Row],[Date]],Database!$A:$C,MATCH($C$1,Database!$A$1:$C$1,),))</f>
        <v/>
      </c>
      <c r="D14924">
        <f>IFERROR(Table7[[#This Row],[United States 10y]]-Table7[[#This Row],[United States 3y]],#N/A)</f>
        <v/>
      </c>
    </row>
    <row r="14925">
      <c r="A14925" s="6">
        <f>Database!$A17010</f>
        <v/>
      </c>
      <c r="B14925">
        <f>IF(VLOOKUP(Table7[[#This Row],[Date]],Database!$A:$C,MATCH($B$1,Database!$A$1:$C$1,),)=0,#N/A,VLOOKUP(Table7[[#This Row],[Date]],Database!$A:$C,MATCH($B$1,Database!$A$1:$C$1,),))</f>
        <v/>
      </c>
      <c r="C14925">
        <f>IF(VLOOKUP(Table7[[#This Row],[Date]],Database!$A:$C,MATCH($C$1,Database!$A$1:$C$1,),)=0,#N/A,VLOOKUP(Table7[[#This Row],[Date]],Database!$A:$C,MATCH($C$1,Database!$A$1:$C$1,),))</f>
        <v/>
      </c>
      <c r="D14925">
        <f>IFERROR(Table7[[#This Row],[United States 10y]]-Table7[[#This Row],[United States 3y]],#N/A)</f>
        <v/>
      </c>
    </row>
    <row r="14926">
      <c r="A14926" s="6">
        <f>Database!$A17011</f>
        <v/>
      </c>
      <c r="B14926">
        <f>IF(VLOOKUP(Table7[[#This Row],[Date]],Database!$A:$C,MATCH($B$1,Database!$A$1:$C$1,),)=0,#N/A,VLOOKUP(Table7[[#This Row],[Date]],Database!$A:$C,MATCH($B$1,Database!$A$1:$C$1,),))</f>
        <v/>
      </c>
      <c r="C14926">
        <f>IF(VLOOKUP(Table7[[#This Row],[Date]],Database!$A:$C,MATCH($C$1,Database!$A$1:$C$1,),)=0,#N/A,VLOOKUP(Table7[[#This Row],[Date]],Database!$A:$C,MATCH($C$1,Database!$A$1:$C$1,),))</f>
        <v/>
      </c>
      <c r="D14926">
        <f>IFERROR(Table7[[#This Row],[United States 10y]]-Table7[[#This Row],[United States 3y]],#N/A)</f>
        <v/>
      </c>
    </row>
    <row r="14927">
      <c r="A14927" s="6">
        <f>Database!$A17012</f>
        <v/>
      </c>
      <c r="B14927">
        <f>IF(VLOOKUP(Table7[[#This Row],[Date]],Database!$A:$C,MATCH($B$1,Database!$A$1:$C$1,),)=0,#N/A,VLOOKUP(Table7[[#This Row],[Date]],Database!$A:$C,MATCH($B$1,Database!$A$1:$C$1,),))</f>
        <v/>
      </c>
      <c r="C14927">
        <f>IF(VLOOKUP(Table7[[#This Row],[Date]],Database!$A:$C,MATCH($C$1,Database!$A$1:$C$1,),)=0,#N/A,VLOOKUP(Table7[[#This Row],[Date]],Database!$A:$C,MATCH($C$1,Database!$A$1:$C$1,),))</f>
        <v/>
      </c>
      <c r="D14927">
        <f>IFERROR(Table7[[#This Row],[United States 10y]]-Table7[[#This Row],[United States 3y]],#N/A)</f>
        <v/>
      </c>
    </row>
    <row r="14928">
      <c r="A14928" s="6">
        <f>Database!$A17013</f>
        <v/>
      </c>
      <c r="B14928">
        <f>IF(VLOOKUP(Table7[[#This Row],[Date]],Database!$A:$C,MATCH($B$1,Database!$A$1:$C$1,),)=0,#N/A,VLOOKUP(Table7[[#This Row],[Date]],Database!$A:$C,MATCH($B$1,Database!$A$1:$C$1,),))</f>
        <v/>
      </c>
      <c r="C14928">
        <f>IF(VLOOKUP(Table7[[#This Row],[Date]],Database!$A:$C,MATCH($C$1,Database!$A$1:$C$1,),)=0,#N/A,VLOOKUP(Table7[[#This Row],[Date]],Database!$A:$C,MATCH($C$1,Database!$A$1:$C$1,),))</f>
        <v/>
      </c>
      <c r="D14928">
        <f>IFERROR(Table7[[#This Row],[United States 10y]]-Table7[[#This Row],[United States 3y]],#N/A)</f>
        <v/>
      </c>
    </row>
    <row r="14929">
      <c r="A14929" s="6">
        <f>Database!$A17014</f>
        <v/>
      </c>
      <c r="B14929">
        <f>IF(VLOOKUP(Table7[[#This Row],[Date]],Database!$A:$C,MATCH($B$1,Database!$A$1:$C$1,),)=0,#N/A,VLOOKUP(Table7[[#This Row],[Date]],Database!$A:$C,MATCH($B$1,Database!$A$1:$C$1,),))</f>
        <v/>
      </c>
      <c r="C14929">
        <f>IF(VLOOKUP(Table7[[#This Row],[Date]],Database!$A:$C,MATCH($C$1,Database!$A$1:$C$1,),)=0,#N/A,VLOOKUP(Table7[[#This Row],[Date]],Database!$A:$C,MATCH($C$1,Database!$A$1:$C$1,),))</f>
        <v/>
      </c>
      <c r="D14929">
        <f>IFERROR(Table7[[#This Row],[United States 10y]]-Table7[[#This Row],[United States 3y]],#N/A)</f>
        <v/>
      </c>
    </row>
    <row r="14930">
      <c r="A14930" s="6">
        <f>Database!$A17015</f>
        <v/>
      </c>
      <c r="B14930">
        <f>IF(VLOOKUP(Table7[[#This Row],[Date]],Database!$A:$C,MATCH($B$1,Database!$A$1:$C$1,),)=0,#N/A,VLOOKUP(Table7[[#This Row],[Date]],Database!$A:$C,MATCH($B$1,Database!$A$1:$C$1,),))</f>
        <v/>
      </c>
      <c r="C14930">
        <f>IF(VLOOKUP(Table7[[#This Row],[Date]],Database!$A:$C,MATCH($C$1,Database!$A$1:$C$1,),)=0,#N/A,VLOOKUP(Table7[[#This Row],[Date]],Database!$A:$C,MATCH($C$1,Database!$A$1:$C$1,),))</f>
        <v/>
      </c>
      <c r="D14930">
        <f>IFERROR(Table7[[#This Row],[United States 10y]]-Table7[[#This Row],[United States 3y]],#N/A)</f>
        <v/>
      </c>
    </row>
    <row r="14931">
      <c r="A14931" s="6">
        <f>Database!$A17016</f>
        <v/>
      </c>
      <c r="B14931">
        <f>IF(VLOOKUP(Table7[[#This Row],[Date]],Database!$A:$C,MATCH($B$1,Database!$A$1:$C$1,),)=0,#N/A,VLOOKUP(Table7[[#This Row],[Date]],Database!$A:$C,MATCH($B$1,Database!$A$1:$C$1,),))</f>
        <v/>
      </c>
      <c r="C14931">
        <f>IF(VLOOKUP(Table7[[#This Row],[Date]],Database!$A:$C,MATCH($C$1,Database!$A$1:$C$1,),)=0,#N/A,VLOOKUP(Table7[[#This Row],[Date]],Database!$A:$C,MATCH($C$1,Database!$A$1:$C$1,),))</f>
        <v/>
      </c>
      <c r="D14931">
        <f>IFERROR(Table7[[#This Row],[United States 10y]]-Table7[[#This Row],[United States 3y]],#N/A)</f>
        <v/>
      </c>
    </row>
    <row r="14932">
      <c r="A14932" s="6">
        <f>Database!$A17017</f>
        <v/>
      </c>
      <c r="B14932">
        <f>IF(VLOOKUP(Table7[[#This Row],[Date]],Database!$A:$C,MATCH($B$1,Database!$A$1:$C$1,),)=0,#N/A,VLOOKUP(Table7[[#This Row],[Date]],Database!$A:$C,MATCH($B$1,Database!$A$1:$C$1,),))</f>
        <v/>
      </c>
      <c r="C14932">
        <f>IF(VLOOKUP(Table7[[#This Row],[Date]],Database!$A:$C,MATCH($C$1,Database!$A$1:$C$1,),)=0,#N/A,VLOOKUP(Table7[[#This Row],[Date]],Database!$A:$C,MATCH($C$1,Database!$A$1:$C$1,),))</f>
        <v/>
      </c>
      <c r="D14932">
        <f>IFERROR(Table7[[#This Row],[United States 10y]]-Table7[[#This Row],[United States 3y]],#N/A)</f>
        <v/>
      </c>
    </row>
    <row r="14933">
      <c r="A14933" s="6">
        <f>Database!$A17018</f>
        <v/>
      </c>
      <c r="B14933">
        <f>IF(VLOOKUP(Table7[[#This Row],[Date]],Database!$A:$C,MATCH($B$1,Database!$A$1:$C$1,),)=0,#N/A,VLOOKUP(Table7[[#This Row],[Date]],Database!$A:$C,MATCH($B$1,Database!$A$1:$C$1,),))</f>
        <v/>
      </c>
      <c r="C14933">
        <f>IF(VLOOKUP(Table7[[#This Row],[Date]],Database!$A:$C,MATCH($C$1,Database!$A$1:$C$1,),)=0,#N/A,VLOOKUP(Table7[[#This Row],[Date]],Database!$A:$C,MATCH($C$1,Database!$A$1:$C$1,),))</f>
        <v/>
      </c>
      <c r="D14933">
        <f>IFERROR(Table7[[#This Row],[United States 10y]]-Table7[[#This Row],[United States 3y]],#N/A)</f>
        <v/>
      </c>
    </row>
    <row r="14934">
      <c r="A14934" s="6">
        <f>Database!$A17019</f>
        <v/>
      </c>
      <c r="B14934">
        <f>IF(VLOOKUP(Table7[[#This Row],[Date]],Database!$A:$C,MATCH($B$1,Database!$A$1:$C$1,),)=0,#N/A,VLOOKUP(Table7[[#This Row],[Date]],Database!$A:$C,MATCH($B$1,Database!$A$1:$C$1,),))</f>
        <v/>
      </c>
      <c r="C14934">
        <f>IF(VLOOKUP(Table7[[#This Row],[Date]],Database!$A:$C,MATCH($C$1,Database!$A$1:$C$1,),)=0,#N/A,VLOOKUP(Table7[[#This Row],[Date]],Database!$A:$C,MATCH($C$1,Database!$A$1:$C$1,),))</f>
        <v/>
      </c>
      <c r="D14934">
        <f>IFERROR(Table7[[#This Row],[United States 10y]]-Table7[[#This Row],[United States 3y]],#N/A)</f>
        <v/>
      </c>
    </row>
    <row r="14935">
      <c r="A14935" s="6">
        <f>Database!$A17020</f>
        <v/>
      </c>
      <c r="B14935">
        <f>IF(VLOOKUP(Table7[[#This Row],[Date]],Database!$A:$C,MATCH($B$1,Database!$A$1:$C$1,),)=0,#N/A,VLOOKUP(Table7[[#This Row],[Date]],Database!$A:$C,MATCH($B$1,Database!$A$1:$C$1,),))</f>
        <v/>
      </c>
      <c r="C14935">
        <f>IF(VLOOKUP(Table7[[#This Row],[Date]],Database!$A:$C,MATCH($C$1,Database!$A$1:$C$1,),)=0,#N/A,VLOOKUP(Table7[[#This Row],[Date]],Database!$A:$C,MATCH($C$1,Database!$A$1:$C$1,),))</f>
        <v/>
      </c>
      <c r="D14935">
        <f>IFERROR(Table7[[#This Row],[United States 10y]]-Table7[[#This Row],[United States 3y]],#N/A)</f>
        <v/>
      </c>
    </row>
    <row r="14936">
      <c r="A14936" s="6">
        <f>Database!$A17021</f>
        <v/>
      </c>
      <c r="B14936">
        <f>IF(VLOOKUP(Table7[[#This Row],[Date]],Database!$A:$C,MATCH($B$1,Database!$A$1:$C$1,),)=0,#N/A,VLOOKUP(Table7[[#This Row],[Date]],Database!$A:$C,MATCH($B$1,Database!$A$1:$C$1,),))</f>
        <v/>
      </c>
      <c r="C14936">
        <f>IF(VLOOKUP(Table7[[#This Row],[Date]],Database!$A:$C,MATCH($C$1,Database!$A$1:$C$1,),)=0,#N/A,VLOOKUP(Table7[[#This Row],[Date]],Database!$A:$C,MATCH($C$1,Database!$A$1:$C$1,),))</f>
        <v/>
      </c>
      <c r="D14936">
        <f>IFERROR(Table7[[#This Row],[United States 10y]]-Table7[[#This Row],[United States 3y]],#N/A)</f>
        <v/>
      </c>
    </row>
    <row r="14937">
      <c r="A14937" s="6">
        <f>Database!$A17022</f>
        <v/>
      </c>
      <c r="B14937">
        <f>IF(VLOOKUP(Table7[[#This Row],[Date]],Database!$A:$C,MATCH($B$1,Database!$A$1:$C$1,),)=0,#N/A,VLOOKUP(Table7[[#This Row],[Date]],Database!$A:$C,MATCH($B$1,Database!$A$1:$C$1,),))</f>
        <v/>
      </c>
      <c r="C14937">
        <f>IF(VLOOKUP(Table7[[#This Row],[Date]],Database!$A:$C,MATCH($C$1,Database!$A$1:$C$1,),)=0,#N/A,VLOOKUP(Table7[[#This Row],[Date]],Database!$A:$C,MATCH($C$1,Database!$A$1:$C$1,),))</f>
        <v/>
      </c>
      <c r="D14937">
        <f>IFERROR(Table7[[#This Row],[United States 10y]]-Table7[[#This Row],[United States 3y]],#N/A)</f>
        <v/>
      </c>
    </row>
    <row r="14938">
      <c r="A14938" s="6">
        <f>Database!$A17023</f>
        <v/>
      </c>
      <c r="B14938">
        <f>IF(VLOOKUP(Table7[[#This Row],[Date]],Database!$A:$C,MATCH($B$1,Database!$A$1:$C$1,),)=0,#N/A,VLOOKUP(Table7[[#This Row],[Date]],Database!$A:$C,MATCH($B$1,Database!$A$1:$C$1,),))</f>
        <v/>
      </c>
      <c r="C14938">
        <f>IF(VLOOKUP(Table7[[#This Row],[Date]],Database!$A:$C,MATCH($C$1,Database!$A$1:$C$1,),)=0,#N/A,VLOOKUP(Table7[[#This Row],[Date]],Database!$A:$C,MATCH($C$1,Database!$A$1:$C$1,),))</f>
        <v/>
      </c>
      <c r="D14938">
        <f>IFERROR(Table7[[#This Row],[United States 10y]]-Table7[[#This Row],[United States 3y]],#N/A)</f>
        <v/>
      </c>
    </row>
    <row r="14939">
      <c r="A14939" s="6">
        <f>Database!$A17024</f>
        <v/>
      </c>
      <c r="B14939">
        <f>IF(VLOOKUP(Table7[[#This Row],[Date]],Database!$A:$C,MATCH($B$1,Database!$A$1:$C$1,),)=0,#N/A,VLOOKUP(Table7[[#This Row],[Date]],Database!$A:$C,MATCH($B$1,Database!$A$1:$C$1,),))</f>
        <v/>
      </c>
      <c r="C14939">
        <f>IF(VLOOKUP(Table7[[#This Row],[Date]],Database!$A:$C,MATCH($C$1,Database!$A$1:$C$1,),)=0,#N/A,VLOOKUP(Table7[[#This Row],[Date]],Database!$A:$C,MATCH($C$1,Database!$A$1:$C$1,),))</f>
        <v/>
      </c>
      <c r="D14939">
        <f>IFERROR(Table7[[#This Row],[United States 10y]]-Table7[[#This Row],[United States 3y]],#N/A)</f>
        <v/>
      </c>
    </row>
    <row r="14940">
      <c r="A14940" s="6">
        <f>Database!$A17025</f>
        <v/>
      </c>
      <c r="B14940">
        <f>IF(VLOOKUP(Table7[[#This Row],[Date]],Database!$A:$C,MATCH($B$1,Database!$A$1:$C$1,),)=0,#N/A,VLOOKUP(Table7[[#This Row],[Date]],Database!$A:$C,MATCH($B$1,Database!$A$1:$C$1,),))</f>
        <v/>
      </c>
      <c r="C14940">
        <f>IF(VLOOKUP(Table7[[#This Row],[Date]],Database!$A:$C,MATCH($C$1,Database!$A$1:$C$1,),)=0,#N/A,VLOOKUP(Table7[[#This Row],[Date]],Database!$A:$C,MATCH($C$1,Database!$A$1:$C$1,),))</f>
        <v/>
      </c>
      <c r="D14940">
        <f>IFERROR(Table7[[#This Row],[United States 10y]]-Table7[[#This Row],[United States 3y]],#N/A)</f>
        <v/>
      </c>
    </row>
    <row r="14941">
      <c r="A14941" s="6">
        <f>Database!$A17026</f>
        <v/>
      </c>
      <c r="B14941">
        <f>IF(VLOOKUP(Table7[[#This Row],[Date]],Database!$A:$C,MATCH($B$1,Database!$A$1:$C$1,),)=0,#N/A,VLOOKUP(Table7[[#This Row],[Date]],Database!$A:$C,MATCH($B$1,Database!$A$1:$C$1,),))</f>
        <v/>
      </c>
      <c r="C14941">
        <f>IF(VLOOKUP(Table7[[#This Row],[Date]],Database!$A:$C,MATCH($C$1,Database!$A$1:$C$1,),)=0,#N/A,VLOOKUP(Table7[[#This Row],[Date]],Database!$A:$C,MATCH($C$1,Database!$A$1:$C$1,),))</f>
        <v/>
      </c>
      <c r="D14941">
        <f>IFERROR(Table7[[#This Row],[United States 10y]]-Table7[[#This Row],[United States 3y]],#N/A)</f>
        <v/>
      </c>
    </row>
    <row r="14942">
      <c r="A14942" s="6">
        <f>Database!$A17027</f>
        <v/>
      </c>
      <c r="B14942">
        <f>IF(VLOOKUP(Table7[[#This Row],[Date]],Database!$A:$C,MATCH($B$1,Database!$A$1:$C$1,),)=0,#N/A,VLOOKUP(Table7[[#This Row],[Date]],Database!$A:$C,MATCH($B$1,Database!$A$1:$C$1,),))</f>
        <v/>
      </c>
      <c r="C14942">
        <f>IF(VLOOKUP(Table7[[#This Row],[Date]],Database!$A:$C,MATCH($C$1,Database!$A$1:$C$1,),)=0,#N/A,VLOOKUP(Table7[[#This Row],[Date]],Database!$A:$C,MATCH($C$1,Database!$A$1:$C$1,),))</f>
        <v/>
      </c>
      <c r="D14942">
        <f>IFERROR(Table7[[#This Row],[United States 10y]]-Table7[[#This Row],[United States 3y]],#N/A)</f>
        <v/>
      </c>
    </row>
    <row r="14943">
      <c r="A14943" s="6">
        <f>Database!$A17028</f>
        <v/>
      </c>
      <c r="B14943">
        <f>IF(VLOOKUP(Table7[[#This Row],[Date]],Database!$A:$C,MATCH($B$1,Database!$A$1:$C$1,),)=0,#N/A,VLOOKUP(Table7[[#This Row],[Date]],Database!$A:$C,MATCH($B$1,Database!$A$1:$C$1,),))</f>
        <v/>
      </c>
      <c r="C14943">
        <f>IF(VLOOKUP(Table7[[#This Row],[Date]],Database!$A:$C,MATCH($C$1,Database!$A$1:$C$1,),)=0,#N/A,VLOOKUP(Table7[[#This Row],[Date]],Database!$A:$C,MATCH($C$1,Database!$A$1:$C$1,),))</f>
        <v/>
      </c>
      <c r="D14943">
        <f>IFERROR(Table7[[#This Row],[United States 10y]]-Table7[[#This Row],[United States 3y]],#N/A)</f>
        <v/>
      </c>
    </row>
    <row r="14944">
      <c r="A14944" s="6">
        <f>Database!$A17029</f>
        <v/>
      </c>
      <c r="B14944">
        <f>IF(VLOOKUP(Table7[[#This Row],[Date]],Database!$A:$C,MATCH($B$1,Database!$A$1:$C$1,),)=0,#N/A,VLOOKUP(Table7[[#This Row],[Date]],Database!$A:$C,MATCH($B$1,Database!$A$1:$C$1,),))</f>
        <v/>
      </c>
      <c r="C14944">
        <f>IF(VLOOKUP(Table7[[#This Row],[Date]],Database!$A:$C,MATCH($C$1,Database!$A$1:$C$1,),)=0,#N/A,VLOOKUP(Table7[[#This Row],[Date]],Database!$A:$C,MATCH($C$1,Database!$A$1:$C$1,),))</f>
        <v/>
      </c>
      <c r="D14944">
        <f>IFERROR(Table7[[#This Row],[United States 10y]]-Table7[[#This Row],[United States 3y]],#N/A)</f>
        <v/>
      </c>
    </row>
    <row r="14945">
      <c r="A14945" s="6">
        <f>Database!$A17030</f>
        <v/>
      </c>
      <c r="B14945">
        <f>IF(VLOOKUP(Table7[[#This Row],[Date]],Database!$A:$C,MATCH($B$1,Database!$A$1:$C$1,),)=0,#N/A,VLOOKUP(Table7[[#This Row],[Date]],Database!$A:$C,MATCH($B$1,Database!$A$1:$C$1,),))</f>
        <v/>
      </c>
      <c r="C14945">
        <f>IF(VLOOKUP(Table7[[#This Row],[Date]],Database!$A:$C,MATCH($C$1,Database!$A$1:$C$1,),)=0,#N/A,VLOOKUP(Table7[[#This Row],[Date]],Database!$A:$C,MATCH($C$1,Database!$A$1:$C$1,),))</f>
        <v/>
      </c>
      <c r="D14945">
        <f>IFERROR(Table7[[#This Row],[United States 10y]]-Table7[[#This Row],[United States 3y]],#N/A)</f>
        <v/>
      </c>
    </row>
    <row r="14946">
      <c r="A14946" s="6">
        <f>Database!$A17031</f>
        <v/>
      </c>
      <c r="B14946">
        <f>IF(VLOOKUP(Table7[[#This Row],[Date]],Database!$A:$C,MATCH($B$1,Database!$A$1:$C$1,),)=0,#N/A,VLOOKUP(Table7[[#This Row],[Date]],Database!$A:$C,MATCH($B$1,Database!$A$1:$C$1,),))</f>
        <v/>
      </c>
      <c r="C14946">
        <f>IF(VLOOKUP(Table7[[#This Row],[Date]],Database!$A:$C,MATCH($C$1,Database!$A$1:$C$1,),)=0,#N/A,VLOOKUP(Table7[[#This Row],[Date]],Database!$A:$C,MATCH($C$1,Database!$A$1:$C$1,),))</f>
        <v/>
      </c>
      <c r="D14946">
        <f>IFERROR(Table7[[#This Row],[United States 10y]]-Table7[[#This Row],[United States 3y]],#N/A)</f>
        <v/>
      </c>
    </row>
    <row r="14947">
      <c r="A14947" s="6">
        <f>Database!$A17032</f>
        <v/>
      </c>
      <c r="B14947">
        <f>IF(VLOOKUP(Table7[[#This Row],[Date]],Database!$A:$C,MATCH($B$1,Database!$A$1:$C$1,),)=0,#N/A,VLOOKUP(Table7[[#This Row],[Date]],Database!$A:$C,MATCH($B$1,Database!$A$1:$C$1,),))</f>
        <v/>
      </c>
      <c r="C14947">
        <f>IF(VLOOKUP(Table7[[#This Row],[Date]],Database!$A:$C,MATCH($C$1,Database!$A$1:$C$1,),)=0,#N/A,VLOOKUP(Table7[[#This Row],[Date]],Database!$A:$C,MATCH($C$1,Database!$A$1:$C$1,),))</f>
        <v/>
      </c>
      <c r="D14947">
        <f>IFERROR(Table7[[#This Row],[United States 10y]]-Table7[[#This Row],[United States 3y]],#N/A)</f>
        <v/>
      </c>
    </row>
    <row r="14948">
      <c r="A14948" s="6">
        <f>Database!$A17033</f>
        <v/>
      </c>
      <c r="B14948">
        <f>IF(VLOOKUP(Table7[[#This Row],[Date]],Database!$A:$C,MATCH($B$1,Database!$A$1:$C$1,),)=0,#N/A,VLOOKUP(Table7[[#This Row],[Date]],Database!$A:$C,MATCH($B$1,Database!$A$1:$C$1,),))</f>
        <v/>
      </c>
      <c r="C14948">
        <f>IF(VLOOKUP(Table7[[#This Row],[Date]],Database!$A:$C,MATCH($C$1,Database!$A$1:$C$1,),)=0,#N/A,VLOOKUP(Table7[[#This Row],[Date]],Database!$A:$C,MATCH($C$1,Database!$A$1:$C$1,),))</f>
        <v/>
      </c>
      <c r="D14948">
        <f>IFERROR(Table7[[#This Row],[United States 10y]]-Table7[[#This Row],[United States 3y]],#N/A)</f>
        <v/>
      </c>
    </row>
    <row r="14949">
      <c r="A14949" s="6">
        <f>Database!$A17034</f>
        <v/>
      </c>
      <c r="B14949">
        <f>IF(VLOOKUP(Table7[[#This Row],[Date]],Database!$A:$C,MATCH($B$1,Database!$A$1:$C$1,),)=0,#N/A,VLOOKUP(Table7[[#This Row],[Date]],Database!$A:$C,MATCH($B$1,Database!$A$1:$C$1,),))</f>
        <v/>
      </c>
      <c r="C14949">
        <f>IF(VLOOKUP(Table7[[#This Row],[Date]],Database!$A:$C,MATCH($C$1,Database!$A$1:$C$1,),)=0,#N/A,VLOOKUP(Table7[[#This Row],[Date]],Database!$A:$C,MATCH($C$1,Database!$A$1:$C$1,),))</f>
        <v/>
      </c>
      <c r="D14949">
        <f>IFERROR(Table7[[#This Row],[United States 10y]]-Table7[[#This Row],[United States 3y]],#N/A)</f>
        <v/>
      </c>
    </row>
    <row r="14950">
      <c r="A14950" s="6">
        <f>Database!$A17035</f>
        <v/>
      </c>
      <c r="B14950">
        <f>IF(VLOOKUP(Table7[[#This Row],[Date]],Database!$A:$C,MATCH($B$1,Database!$A$1:$C$1,),)=0,#N/A,VLOOKUP(Table7[[#This Row],[Date]],Database!$A:$C,MATCH($B$1,Database!$A$1:$C$1,),))</f>
        <v/>
      </c>
      <c r="C14950">
        <f>IF(VLOOKUP(Table7[[#This Row],[Date]],Database!$A:$C,MATCH($C$1,Database!$A$1:$C$1,),)=0,#N/A,VLOOKUP(Table7[[#This Row],[Date]],Database!$A:$C,MATCH($C$1,Database!$A$1:$C$1,),))</f>
        <v/>
      </c>
      <c r="D14950">
        <f>IFERROR(Table7[[#This Row],[United States 10y]]-Table7[[#This Row],[United States 3y]],#N/A)</f>
        <v/>
      </c>
    </row>
    <row r="14951">
      <c r="A14951" s="6">
        <f>Database!$A17036</f>
        <v/>
      </c>
      <c r="B14951">
        <f>IF(VLOOKUP(Table7[[#This Row],[Date]],Database!$A:$C,MATCH($B$1,Database!$A$1:$C$1,),)=0,#N/A,VLOOKUP(Table7[[#This Row],[Date]],Database!$A:$C,MATCH($B$1,Database!$A$1:$C$1,),))</f>
        <v/>
      </c>
      <c r="C14951">
        <f>IF(VLOOKUP(Table7[[#This Row],[Date]],Database!$A:$C,MATCH($C$1,Database!$A$1:$C$1,),)=0,#N/A,VLOOKUP(Table7[[#This Row],[Date]],Database!$A:$C,MATCH($C$1,Database!$A$1:$C$1,),))</f>
        <v/>
      </c>
      <c r="D14951">
        <f>IFERROR(Table7[[#This Row],[United States 10y]]-Table7[[#This Row],[United States 3y]],#N/A)</f>
        <v/>
      </c>
    </row>
    <row r="14952">
      <c r="A14952" s="6">
        <f>Database!$A17037</f>
        <v/>
      </c>
      <c r="B14952">
        <f>IF(VLOOKUP(Table7[[#This Row],[Date]],Database!$A:$C,MATCH($B$1,Database!$A$1:$C$1,),)=0,#N/A,VLOOKUP(Table7[[#This Row],[Date]],Database!$A:$C,MATCH($B$1,Database!$A$1:$C$1,),))</f>
        <v/>
      </c>
      <c r="C14952">
        <f>IF(VLOOKUP(Table7[[#This Row],[Date]],Database!$A:$C,MATCH($C$1,Database!$A$1:$C$1,),)=0,#N/A,VLOOKUP(Table7[[#This Row],[Date]],Database!$A:$C,MATCH($C$1,Database!$A$1:$C$1,),))</f>
        <v/>
      </c>
      <c r="D14952">
        <f>IFERROR(Table7[[#This Row],[United States 10y]]-Table7[[#This Row],[United States 3y]],#N/A)</f>
        <v/>
      </c>
    </row>
    <row r="14953">
      <c r="A14953" s="6">
        <f>Database!$A17038</f>
        <v/>
      </c>
      <c r="B14953">
        <f>IF(VLOOKUP(Table7[[#This Row],[Date]],Database!$A:$C,MATCH($B$1,Database!$A$1:$C$1,),)=0,#N/A,VLOOKUP(Table7[[#This Row],[Date]],Database!$A:$C,MATCH($B$1,Database!$A$1:$C$1,),))</f>
        <v/>
      </c>
      <c r="C14953">
        <f>IF(VLOOKUP(Table7[[#This Row],[Date]],Database!$A:$C,MATCH($C$1,Database!$A$1:$C$1,),)=0,#N/A,VLOOKUP(Table7[[#This Row],[Date]],Database!$A:$C,MATCH($C$1,Database!$A$1:$C$1,),))</f>
        <v/>
      </c>
      <c r="D14953">
        <f>IFERROR(Table7[[#This Row],[United States 10y]]-Table7[[#This Row],[United States 3y]],#N/A)</f>
        <v/>
      </c>
    </row>
    <row r="14954">
      <c r="A14954" s="6">
        <f>Database!$A17039</f>
        <v/>
      </c>
      <c r="B14954">
        <f>IF(VLOOKUP(Table7[[#This Row],[Date]],Database!$A:$C,MATCH($B$1,Database!$A$1:$C$1,),)=0,#N/A,VLOOKUP(Table7[[#This Row],[Date]],Database!$A:$C,MATCH($B$1,Database!$A$1:$C$1,),))</f>
        <v/>
      </c>
      <c r="C14954">
        <f>IF(VLOOKUP(Table7[[#This Row],[Date]],Database!$A:$C,MATCH($C$1,Database!$A$1:$C$1,),)=0,#N/A,VLOOKUP(Table7[[#This Row],[Date]],Database!$A:$C,MATCH($C$1,Database!$A$1:$C$1,),))</f>
        <v/>
      </c>
      <c r="D14954">
        <f>IFERROR(Table7[[#This Row],[United States 10y]]-Table7[[#This Row],[United States 3y]],#N/A)</f>
        <v/>
      </c>
    </row>
    <row r="14955">
      <c r="A14955" s="6">
        <f>Database!$A17040</f>
        <v/>
      </c>
      <c r="B14955">
        <f>IF(VLOOKUP(Table7[[#This Row],[Date]],Database!$A:$C,MATCH($B$1,Database!$A$1:$C$1,),)=0,#N/A,VLOOKUP(Table7[[#This Row],[Date]],Database!$A:$C,MATCH($B$1,Database!$A$1:$C$1,),))</f>
        <v/>
      </c>
      <c r="C14955">
        <f>IF(VLOOKUP(Table7[[#This Row],[Date]],Database!$A:$C,MATCH($C$1,Database!$A$1:$C$1,),)=0,#N/A,VLOOKUP(Table7[[#This Row],[Date]],Database!$A:$C,MATCH($C$1,Database!$A$1:$C$1,),))</f>
        <v/>
      </c>
      <c r="D14955">
        <f>IFERROR(Table7[[#This Row],[United States 10y]]-Table7[[#This Row],[United States 3y]],#N/A)</f>
        <v/>
      </c>
    </row>
    <row r="14956">
      <c r="A14956" s="6">
        <f>Database!$A17041</f>
        <v/>
      </c>
      <c r="B14956">
        <f>IF(VLOOKUP(Table7[[#This Row],[Date]],Database!$A:$C,MATCH($B$1,Database!$A$1:$C$1,),)=0,#N/A,VLOOKUP(Table7[[#This Row],[Date]],Database!$A:$C,MATCH($B$1,Database!$A$1:$C$1,),))</f>
        <v/>
      </c>
      <c r="C14956">
        <f>IF(VLOOKUP(Table7[[#This Row],[Date]],Database!$A:$C,MATCH($C$1,Database!$A$1:$C$1,),)=0,#N/A,VLOOKUP(Table7[[#This Row],[Date]],Database!$A:$C,MATCH($C$1,Database!$A$1:$C$1,),))</f>
        <v/>
      </c>
      <c r="D14956">
        <f>IFERROR(Table7[[#This Row],[United States 10y]]-Table7[[#This Row],[United States 3y]],#N/A)</f>
        <v/>
      </c>
    </row>
    <row r="14957">
      <c r="A14957" s="6">
        <f>Database!$A17042</f>
        <v/>
      </c>
      <c r="B14957">
        <f>IF(VLOOKUP(Table7[[#This Row],[Date]],Database!$A:$C,MATCH($B$1,Database!$A$1:$C$1,),)=0,#N/A,VLOOKUP(Table7[[#This Row],[Date]],Database!$A:$C,MATCH($B$1,Database!$A$1:$C$1,),))</f>
        <v/>
      </c>
      <c r="C14957">
        <f>IF(VLOOKUP(Table7[[#This Row],[Date]],Database!$A:$C,MATCH($C$1,Database!$A$1:$C$1,),)=0,#N/A,VLOOKUP(Table7[[#This Row],[Date]],Database!$A:$C,MATCH($C$1,Database!$A$1:$C$1,),))</f>
        <v/>
      </c>
      <c r="D14957">
        <f>IFERROR(Table7[[#This Row],[United States 10y]]-Table7[[#This Row],[United States 3y]],#N/A)</f>
        <v/>
      </c>
    </row>
    <row r="14958">
      <c r="A14958" s="6">
        <f>Database!$A17043</f>
        <v/>
      </c>
      <c r="B14958">
        <f>IF(VLOOKUP(Table7[[#This Row],[Date]],Database!$A:$C,MATCH($B$1,Database!$A$1:$C$1,),)=0,#N/A,VLOOKUP(Table7[[#This Row],[Date]],Database!$A:$C,MATCH($B$1,Database!$A$1:$C$1,),))</f>
        <v/>
      </c>
      <c r="C14958">
        <f>IF(VLOOKUP(Table7[[#This Row],[Date]],Database!$A:$C,MATCH($C$1,Database!$A$1:$C$1,),)=0,#N/A,VLOOKUP(Table7[[#This Row],[Date]],Database!$A:$C,MATCH($C$1,Database!$A$1:$C$1,),))</f>
        <v/>
      </c>
      <c r="D14958">
        <f>IFERROR(Table7[[#This Row],[United States 10y]]-Table7[[#This Row],[United States 3y]],#N/A)</f>
        <v/>
      </c>
    </row>
    <row r="14959">
      <c r="A14959" s="6">
        <f>Database!$A17044</f>
        <v/>
      </c>
      <c r="B14959">
        <f>IF(VLOOKUP(Table7[[#This Row],[Date]],Database!$A:$C,MATCH($B$1,Database!$A$1:$C$1,),)=0,#N/A,VLOOKUP(Table7[[#This Row],[Date]],Database!$A:$C,MATCH($B$1,Database!$A$1:$C$1,),))</f>
        <v/>
      </c>
      <c r="C14959">
        <f>IF(VLOOKUP(Table7[[#This Row],[Date]],Database!$A:$C,MATCH($C$1,Database!$A$1:$C$1,),)=0,#N/A,VLOOKUP(Table7[[#This Row],[Date]],Database!$A:$C,MATCH($C$1,Database!$A$1:$C$1,),))</f>
        <v/>
      </c>
      <c r="D14959">
        <f>IFERROR(Table7[[#This Row],[United States 10y]]-Table7[[#This Row],[United States 3y]],#N/A)</f>
        <v/>
      </c>
    </row>
    <row r="14960">
      <c r="A14960" s="6">
        <f>Database!$A17045</f>
        <v/>
      </c>
      <c r="B14960">
        <f>IF(VLOOKUP(Table7[[#This Row],[Date]],Database!$A:$C,MATCH($B$1,Database!$A$1:$C$1,),)=0,#N/A,VLOOKUP(Table7[[#This Row],[Date]],Database!$A:$C,MATCH($B$1,Database!$A$1:$C$1,),))</f>
        <v/>
      </c>
      <c r="C14960">
        <f>IF(VLOOKUP(Table7[[#This Row],[Date]],Database!$A:$C,MATCH($C$1,Database!$A$1:$C$1,),)=0,#N/A,VLOOKUP(Table7[[#This Row],[Date]],Database!$A:$C,MATCH($C$1,Database!$A$1:$C$1,),))</f>
        <v/>
      </c>
      <c r="D14960">
        <f>IFERROR(Table7[[#This Row],[United States 10y]]-Table7[[#This Row],[United States 3y]],#N/A)</f>
        <v/>
      </c>
    </row>
    <row r="14961">
      <c r="A14961" s="6">
        <f>Database!$A17046</f>
        <v/>
      </c>
      <c r="B14961">
        <f>IF(VLOOKUP(Table7[[#This Row],[Date]],Database!$A:$C,MATCH($B$1,Database!$A$1:$C$1,),)=0,#N/A,VLOOKUP(Table7[[#This Row],[Date]],Database!$A:$C,MATCH($B$1,Database!$A$1:$C$1,),))</f>
        <v/>
      </c>
      <c r="C14961">
        <f>IF(VLOOKUP(Table7[[#This Row],[Date]],Database!$A:$C,MATCH($C$1,Database!$A$1:$C$1,),)=0,#N/A,VLOOKUP(Table7[[#This Row],[Date]],Database!$A:$C,MATCH($C$1,Database!$A$1:$C$1,),))</f>
        <v/>
      </c>
      <c r="D14961">
        <f>IFERROR(Table7[[#This Row],[United States 10y]]-Table7[[#This Row],[United States 3y]],#N/A)</f>
        <v/>
      </c>
    </row>
    <row r="14962">
      <c r="A14962" s="6">
        <f>Database!$A17047</f>
        <v/>
      </c>
      <c r="B14962">
        <f>IF(VLOOKUP(Table7[[#This Row],[Date]],Database!$A:$C,MATCH($B$1,Database!$A$1:$C$1,),)=0,#N/A,VLOOKUP(Table7[[#This Row],[Date]],Database!$A:$C,MATCH($B$1,Database!$A$1:$C$1,),))</f>
        <v/>
      </c>
      <c r="C14962">
        <f>IF(VLOOKUP(Table7[[#This Row],[Date]],Database!$A:$C,MATCH($C$1,Database!$A$1:$C$1,),)=0,#N/A,VLOOKUP(Table7[[#This Row],[Date]],Database!$A:$C,MATCH($C$1,Database!$A$1:$C$1,),))</f>
        <v/>
      </c>
      <c r="D14962">
        <f>IFERROR(Table7[[#This Row],[United States 10y]]-Table7[[#This Row],[United States 3y]],#N/A)</f>
        <v/>
      </c>
    </row>
    <row r="14963">
      <c r="A14963" s="6">
        <f>Database!$A17048</f>
        <v/>
      </c>
      <c r="B14963">
        <f>IF(VLOOKUP(Table7[[#This Row],[Date]],Database!$A:$C,MATCH($B$1,Database!$A$1:$C$1,),)=0,#N/A,VLOOKUP(Table7[[#This Row],[Date]],Database!$A:$C,MATCH($B$1,Database!$A$1:$C$1,),))</f>
        <v/>
      </c>
      <c r="C14963">
        <f>IF(VLOOKUP(Table7[[#This Row],[Date]],Database!$A:$C,MATCH($C$1,Database!$A$1:$C$1,),)=0,#N/A,VLOOKUP(Table7[[#This Row],[Date]],Database!$A:$C,MATCH($C$1,Database!$A$1:$C$1,),))</f>
        <v/>
      </c>
      <c r="D14963">
        <f>IFERROR(Table7[[#This Row],[United States 10y]]-Table7[[#This Row],[United States 3y]],#N/A)</f>
        <v/>
      </c>
    </row>
    <row r="14964">
      <c r="A14964" s="6">
        <f>Database!$A17049</f>
        <v/>
      </c>
      <c r="B14964">
        <f>IF(VLOOKUP(Table7[[#This Row],[Date]],Database!$A:$C,MATCH($B$1,Database!$A$1:$C$1,),)=0,#N/A,VLOOKUP(Table7[[#This Row],[Date]],Database!$A:$C,MATCH($B$1,Database!$A$1:$C$1,),))</f>
        <v/>
      </c>
      <c r="C14964">
        <f>IF(VLOOKUP(Table7[[#This Row],[Date]],Database!$A:$C,MATCH($C$1,Database!$A$1:$C$1,),)=0,#N/A,VLOOKUP(Table7[[#This Row],[Date]],Database!$A:$C,MATCH($C$1,Database!$A$1:$C$1,),))</f>
        <v/>
      </c>
      <c r="D14964">
        <f>IFERROR(Table7[[#This Row],[United States 10y]]-Table7[[#This Row],[United States 3y]],#N/A)</f>
        <v/>
      </c>
    </row>
    <row r="14965">
      <c r="A14965" s="6">
        <f>Database!$A17050</f>
        <v/>
      </c>
      <c r="B14965">
        <f>IF(VLOOKUP(Table7[[#This Row],[Date]],Database!$A:$C,MATCH($B$1,Database!$A$1:$C$1,),)=0,#N/A,VLOOKUP(Table7[[#This Row],[Date]],Database!$A:$C,MATCH($B$1,Database!$A$1:$C$1,),))</f>
        <v/>
      </c>
      <c r="C14965">
        <f>IF(VLOOKUP(Table7[[#This Row],[Date]],Database!$A:$C,MATCH($C$1,Database!$A$1:$C$1,),)=0,#N/A,VLOOKUP(Table7[[#This Row],[Date]],Database!$A:$C,MATCH($C$1,Database!$A$1:$C$1,),))</f>
        <v/>
      </c>
      <c r="D14965">
        <f>IFERROR(Table7[[#This Row],[United States 10y]]-Table7[[#This Row],[United States 3y]],#N/A)</f>
        <v/>
      </c>
    </row>
    <row r="14966">
      <c r="A14966" s="6">
        <f>Database!$A17051</f>
        <v/>
      </c>
      <c r="B14966">
        <f>IF(VLOOKUP(Table7[[#This Row],[Date]],Database!$A:$C,MATCH($B$1,Database!$A$1:$C$1,),)=0,#N/A,VLOOKUP(Table7[[#This Row],[Date]],Database!$A:$C,MATCH($B$1,Database!$A$1:$C$1,),))</f>
        <v/>
      </c>
      <c r="C14966">
        <f>IF(VLOOKUP(Table7[[#This Row],[Date]],Database!$A:$C,MATCH($C$1,Database!$A$1:$C$1,),)=0,#N/A,VLOOKUP(Table7[[#This Row],[Date]],Database!$A:$C,MATCH($C$1,Database!$A$1:$C$1,),))</f>
        <v/>
      </c>
      <c r="D14966">
        <f>IFERROR(Table7[[#This Row],[United States 10y]]-Table7[[#This Row],[United States 3y]],#N/A)</f>
        <v/>
      </c>
    </row>
    <row r="14967">
      <c r="A14967" s="6">
        <f>Database!$A17052</f>
        <v/>
      </c>
      <c r="B14967">
        <f>IF(VLOOKUP(Table7[[#This Row],[Date]],Database!$A:$C,MATCH($B$1,Database!$A$1:$C$1,),)=0,#N/A,VLOOKUP(Table7[[#This Row],[Date]],Database!$A:$C,MATCH($B$1,Database!$A$1:$C$1,),))</f>
        <v/>
      </c>
      <c r="C14967">
        <f>IF(VLOOKUP(Table7[[#This Row],[Date]],Database!$A:$C,MATCH($C$1,Database!$A$1:$C$1,),)=0,#N/A,VLOOKUP(Table7[[#This Row],[Date]],Database!$A:$C,MATCH($C$1,Database!$A$1:$C$1,),))</f>
        <v/>
      </c>
      <c r="D14967">
        <f>IFERROR(Table7[[#This Row],[United States 10y]]-Table7[[#This Row],[United States 3y]],#N/A)</f>
        <v/>
      </c>
    </row>
    <row r="14968">
      <c r="A14968" s="6">
        <f>Database!$A17053</f>
        <v/>
      </c>
      <c r="B14968">
        <f>IF(VLOOKUP(Table7[[#This Row],[Date]],Database!$A:$C,MATCH($B$1,Database!$A$1:$C$1,),)=0,#N/A,VLOOKUP(Table7[[#This Row],[Date]],Database!$A:$C,MATCH($B$1,Database!$A$1:$C$1,),))</f>
        <v/>
      </c>
      <c r="C14968">
        <f>IF(VLOOKUP(Table7[[#This Row],[Date]],Database!$A:$C,MATCH($C$1,Database!$A$1:$C$1,),)=0,#N/A,VLOOKUP(Table7[[#This Row],[Date]],Database!$A:$C,MATCH($C$1,Database!$A$1:$C$1,),))</f>
        <v/>
      </c>
      <c r="D14968">
        <f>IFERROR(Table7[[#This Row],[United States 10y]]-Table7[[#This Row],[United States 3y]],#N/A)</f>
        <v/>
      </c>
    </row>
    <row r="14969">
      <c r="A14969" s="6">
        <f>Database!$A17054</f>
        <v/>
      </c>
      <c r="B14969">
        <f>IF(VLOOKUP(Table7[[#This Row],[Date]],Database!$A:$C,MATCH($B$1,Database!$A$1:$C$1,),)=0,#N/A,VLOOKUP(Table7[[#This Row],[Date]],Database!$A:$C,MATCH($B$1,Database!$A$1:$C$1,),))</f>
        <v/>
      </c>
      <c r="C14969">
        <f>IF(VLOOKUP(Table7[[#This Row],[Date]],Database!$A:$C,MATCH($C$1,Database!$A$1:$C$1,),)=0,#N/A,VLOOKUP(Table7[[#This Row],[Date]],Database!$A:$C,MATCH($C$1,Database!$A$1:$C$1,),))</f>
        <v/>
      </c>
      <c r="D14969">
        <f>IFERROR(Table7[[#This Row],[United States 10y]]-Table7[[#This Row],[United States 3y]],#N/A)</f>
        <v/>
      </c>
    </row>
    <row r="14970">
      <c r="A14970" s="6">
        <f>Database!$A17055</f>
        <v/>
      </c>
      <c r="B14970">
        <f>IF(VLOOKUP(Table7[[#This Row],[Date]],Database!$A:$C,MATCH($B$1,Database!$A$1:$C$1,),)=0,#N/A,VLOOKUP(Table7[[#This Row],[Date]],Database!$A:$C,MATCH($B$1,Database!$A$1:$C$1,),))</f>
        <v/>
      </c>
      <c r="C14970">
        <f>IF(VLOOKUP(Table7[[#This Row],[Date]],Database!$A:$C,MATCH($C$1,Database!$A$1:$C$1,),)=0,#N/A,VLOOKUP(Table7[[#This Row],[Date]],Database!$A:$C,MATCH($C$1,Database!$A$1:$C$1,),))</f>
        <v/>
      </c>
      <c r="D14970">
        <f>IFERROR(Table7[[#This Row],[United States 10y]]-Table7[[#This Row],[United States 3y]],#N/A)</f>
        <v/>
      </c>
    </row>
    <row r="14971">
      <c r="A14971" s="6">
        <f>Database!$A17056</f>
        <v/>
      </c>
      <c r="B14971">
        <f>IF(VLOOKUP(Table7[[#This Row],[Date]],Database!$A:$C,MATCH($B$1,Database!$A$1:$C$1,),)=0,#N/A,VLOOKUP(Table7[[#This Row],[Date]],Database!$A:$C,MATCH($B$1,Database!$A$1:$C$1,),))</f>
        <v/>
      </c>
      <c r="C14971">
        <f>IF(VLOOKUP(Table7[[#This Row],[Date]],Database!$A:$C,MATCH($C$1,Database!$A$1:$C$1,),)=0,#N/A,VLOOKUP(Table7[[#This Row],[Date]],Database!$A:$C,MATCH($C$1,Database!$A$1:$C$1,),))</f>
        <v/>
      </c>
      <c r="D14971">
        <f>IFERROR(Table7[[#This Row],[United States 10y]]-Table7[[#This Row],[United States 3y]],#N/A)</f>
        <v/>
      </c>
    </row>
    <row r="14972">
      <c r="A14972" s="6">
        <f>Database!$A17057</f>
        <v/>
      </c>
      <c r="B14972">
        <f>IF(VLOOKUP(Table7[[#This Row],[Date]],Database!$A:$C,MATCH($B$1,Database!$A$1:$C$1,),)=0,#N/A,VLOOKUP(Table7[[#This Row],[Date]],Database!$A:$C,MATCH($B$1,Database!$A$1:$C$1,),))</f>
        <v/>
      </c>
      <c r="C14972">
        <f>IF(VLOOKUP(Table7[[#This Row],[Date]],Database!$A:$C,MATCH($C$1,Database!$A$1:$C$1,),)=0,#N/A,VLOOKUP(Table7[[#This Row],[Date]],Database!$A:$C,MATCH($C$1,Database!$A$1:$C$1,),))</f>
        <v/>
      </c>
      <c r="D14972">
        <f>IFERROR(Table7[[#This Row],[United States 10y]]-Table7[[#This Row],[United States 3y]],#N/A)</f>
        <v/>
      </c>
    </row>
    <row r="14973">
      <c r="A14973" s="6">
        <f>Database!$A17058</f>
        <v/>
      </c>
      <c r="B14973">
        <f>IF(VLOOKUP(Table7[[#This Row],[Date]],Database!$A:$C,MATCH($B$1,Database!$A$1:$C$1,),)=0,#N/A,VLOOKUP(Table7[[#This Row],[Date]],Database!$A:$C,MATCH($B$1,Database!$A$1:$C$1,),))</f>
        <v/>
      </c>
      <c r="C14973">
        <f>IF(VLOOKUP(Table7[[#This Row],[Date]],Database!$A:$C,MATCH($C$1,Database!$A$1:$C$1,),)=0,#N/A,VLOOKUP(Table7[[#This Row],[Date]],Database!$A:$C,MATCH($C$1,Database!$A$1:$C$1,),))</f>
        <v/>
      </c>
      <c r="D14973">
        <f>IFERROR(Table7[[#This Row],[United States 10y]]-Table7[[#This Row],[United States 3y]],#N/A)</f>
        <v/>
      </c>
    </row>
    <row r="14974">
      <c r="A14974" s="6">
        <f>Database!$A17059</f>
        <v/>
      </c>
      <c r="B14974">
        <f>IF(VLOOKUP(Table7[[#This Row],[Date]],Database!$A:$C,MATCH($B$1,Database!$A$1:$C$1,),)=0,#N/A,VLOOKUP(Table7[[#This Row],[Date]],Database!$A:$C,MATCH($B$1,Database!$A$1:$C$1,),))</f>
        <v/>
      </c>
      <c r="C14974">
        <f>IF(VLOOKUP(Table7[[#This Row],[Date]],Database!$A:$C,MATCH($C$1,Database!$A$1:$C$1,),)=0,#N/A,VLOOKUP(Table7[[#This Row],[Date]],Database!$A:$C,MATCH($C$1,Database!$A$1:$C$1,),))</f>
        <v/>
      </c>
      <c r="D14974">
        <f>IFERROR(Table7[[#This Row],[United States 10y]]-Table7[[#This Row],[United States 3y]],#N/A)</f>
        <v/>
      </c>
    </row>
    <row r="14975">
      <c r="A14975" s="6">
        <f>Database!$A17060</f>
        <v/>
      </c>
      <c r="B14975">
        <f>IF(VLOOKUP(Table7[[#This Row],[Date]],Database!$A:$C,MATCH($B$1,Database!$A$1:$C$1,),)=0,#N/A,VLOOKUP(Table7[[#This Row],[Date]],Database!$A:$C,MATCH($B$1,Database!$A$1:$C$1,),))</f>
        <v/>
      </c>
      <c r="C14975">
        <f>IF(VLOOKUP(Table7[[#This Row],[Date]],Database!$A:$C,MATCH($C$1,Database!$A$1:$C$1,),)=0,#N/A,VLOOKUP(Table7[[#This Row],[Date]],Database!$A:$C,MATCH($C$1,Database!$A$1:$C$1,),))</f>
        <v/>
      </c>
      <c r="D14975">
        <f>IFERROR(Table7[[#This Row],[United States 10y]]-Table7[[#This Row],[United States 3y]],#N/A)</f>
        <v/>
      </c>
    </row>
    <row r="14976">
      <c r="A14976" s="6">
        <f>Database!$A17061</f>
        <v/>
      </c>
      <c r="B14976">
        <f>IF(VLOOKUP(Table7[[#This Row],[Date]],Database!$A:$C,MATCH($B$1,Database!$A$1:$C$1,),)=0,#N/A,VLOOKUP(Table7[[#This Row],[Date]],Database!$A:$C,MATCH($B$1,Database!$A$1:$C$1,),))</f>
        <v/>
      </c>
      <c r="C14976">
        <f>IF(VLOOKUP(Table7[[#This Row],[Date]],Database!$A:$C,MATCH($C$1,Database!$A$1:$C$1,),)=0,#N/A,VLOOKUP(Table7[[#This Row],[Date]],Database!$A:$C,MATCH($C$1,Database!$A$1:$C$1,),))</f>
        <v/>
      </c>
      <c r="D14976">
        <f>IFERROR(Table7[[#This Row],[United States 10y]]-Table7[[#This Row],[United States 3y]],#N/A)</f>
        <v/>
      </c>
    </row>
    <row r="14977">
      <c r="A14977" s="6">
        <f>Database!$A17062</f>
        <v/>
      </c>
      <c r="B14977">
        <f>IF(VLOOKUP(Table7[[#This Row],[Date]],Database!$A:$C,MATCH($B$1,Database!$A$1:$C$1,),)=0,#N/A,VLOOKUP(Table7[[#This Row],[Date]],Database!$A:$C,MATCH($B$1,Database!$A$1:$C$1,),))</f>
        <v/>
      </c>
      <c r="C14977">
        <f>IF(VLOOKUP(Table7[[#This Row],[Date]],Database!$A:$C,MATCH($C$1,Database!$A$1:$C$1,),)=0,#N/A,VLOOKUP(Table7[[#This Row],[Date]],Database!$A:$C,MATCH($C$1,Database!$A$1:$C$1,),))</f>
        <v/>
      </c>
      <c r="D14977">
        <f>IFERROR(Table7[[#This Row],[United States 10y]]-Table7[[#This Row],[United States 3y]],#N/A)</f>
        <v/>
      </c>
    </row>
    <row r="14978">
      <c r="A14978" s="6">
        <f>Database!$A17063</f>
        <v/>
      </c>
      <c r="B14978">
        <f>IF(VLOOKUP(Table7[[#This Row],[Date]],Database!$A:$C,MATCH($B$1,Database!$A$1:$C$1,),)=0,#N/A,VLOOKUP(Table7[[#This Row],[Date]],Database!$A:$C,MATCH($B$1,Database!$A$1:$C$1,),))</f>
        <v/>
      </c>
      <c r="C14978">
        <f>IF(VLOOKUP(Table7[[#This Row],[Date]],Database!$A:$C,MATCH($C$1,Database!$A$1:$C$1,),)=0,#N/A,VLOOKUP(Table7[[#This Row],[Date]],Database!$A:$C,MATCH($C$1,Database!$A$1:$C$1,),))</f>
        <v/>
      </c>
      <c r="D14978">
        <f>IFERROR(Table7[[#This Row],[United States 10y]]-Table7[[#This Row],[United States 3y]],#N/A)</f>
        <v/>
      </c>
    </row>
    <row r="14979">
      <c r="A14979" s="6">
        <f>Database!$A17064</f>
        <v/>
      </c>
      <c r="B14979">
        <f>IF(VLOOKUP(Table7[[#This Row],[Date]],Database!$A:$C,MATCH($B$1,Database!$A$1:$C$1,),)=0,#N/A,VLOOKUP(Table7[[#This Row],[Date]],Database!$A:$C,MATCH($B$1,Database!$A$1:$C$1,),))</f>
        <v/>
      </c>
      <c r="C14979">
        <f>IF(VLOOKUP(Table7[[#This Row],[Date]],Database!$A:$C,MATCH($C$1,Database!$A$1:$C$1,),)=0,#N/A,VLOOKUP(Table7[[#This Row],[Date]],Database!$A:$C,MATCH($C$1,Database!$A$1:$C$1,),))</f>
        <v/>
      </c>
      <c r="D14979">
        <f>IFERROR(Table7[[#This Row],[United States 10y]]-Table7[[#This Row],[United States 3y]],#N/A)</f>
        <v/>
      </c>
    </row>
    <row r="14980">
      <c r="A14980" s="6">
        <f>Database!$A17065</f>
        <v/>
      </c>
      <c r="B14980">
        <f>IF(VLOOKUP(Table7[[#This Row],[Date]],Database!$A:$C,MATCH($B$1,Database!$A$1:$C$1,),)=0,#N/A,VLOOKUP(Table7[[#This Row],[Date]],Database!$A:$C,MATCH($B$1,Database!$A$1:$C$1,),))</f>
        <v/>
      </c>
      <c r="C14980">
        <f>IF(VLOOKUP(Table7[[#This Row],[Date]],Database!$A:$C,MATCH($C$1,Database!$A$1:$C$1,),)=0,#N/A,VLOOKUP(Table7[[#This Row],[Date]],Database!$A:$C,MATCH($C$1,Database!$A$1:$C$1,),))</f>
        <v/>
      </c>
      <c r="D14980">
        <f>IFERROR(Table7[[#This Row],[United States 10y]]-Table7[[#This Row],[United States 3y]],#N/A)</f>
        <v/>
      </c>
    </row>
    <row r="14981">
      <c r="A14981" s="6">
        <f>Database!$A17066</f>
        <v/>
      </c>
      <c r="B14981">
        <f>IF(VLOOKUP(Table7[[#This Row],[Date]],Database!$A:$C,MATCH($B$1,Database!$A$1:$C$1,),)=0,#N/A,VLOOKUP(Table7[[#This Row],[Date]],Database!$A:$C,MATCH($B$1,Database!$A$1:$C$1,),))</f>
        <v/>
      </c>
      <c r="C14981">
        <f>IF(VLOOKUP(Table7[[#This Row],[Date]],Database!$A:$C,MATCH($C$1,Database!$A$1:$C$1,),)=0,#N/A,VLOOKUP(Table7[[#This Row],[Date]],Database!$A:$C,MATCH($C$1,Database!$A$1:$C$1,),))</f>
        <v/>
      </c>
      <c r="D14981">
        <f>IFERROR(Table7[[#This Row],[United States 10y]]-Table7[[#This Row],[United States 3y]],#N/A)</f>
        <v/>
      </c>
    </row>
    <row r="14982">
      <c r="A14982" s="6">
        <f>Database!$A17067</f>
        <v/>
      </c>
      <c r="B14982">
        <f>IF(VLOOKUP(Table7[[#This Row],[Date]],Database!$A:$C,MATCH($B$1,Database!$A$1:$C$1,),)=0,#N/A,VLOOKUP(Table7[[#This Row],[Date]],Database!$A:$C,MATCH($B$1,Database!$A$1:$C$1,),))</f>
        <v/>
      </c>
      <c r="C14982">
        <f>IF(VLOOKUP(Table7[[#This Row],[Date]],Database!$A:$C,MATCH($C$1,Database!$A$1:$C$1,),)=0,#N/A,VLOOKUP(Table7[[#This Row],[Date]],Database!$A:$C,MATCH($C$1,Database!$A$1:$C$1,),))</f>
        <v/>
      </c>
      <c r="D14982">
        <f>IFERROR(Table7[[#This Row],[United States 10y]]-Table7[[#This Row],[United States 3y]],#N/A)</f>
        <v/>
      </c>
    </row>
    <row r="14983">
      <c r="A14983" s="6">
        <f>Database!$A17068</f>
        <v/>
      </c>
      <c r="B14983">
        <f>IF(VLOOKUP(Table7[[#This Row],[Date]],Database!$A:$C,MATCH($B$1,Database!$A$1:$C$1,),)=0,#N/A,VLOOKUP(Table7[[#This Row],[Date]],Database!$A:$C,MATCH($B$1,Database!$A$1:$C$1,),))</f>
        <v/>
      </c>
      <c r="C14983">
        <f>IF(VLOOKUP(Table7[[#This Row],[Date]],Database!$A:$C,MATCH($C$1,Database!$A$1:$C$1,),)=0,#N/A,VLOOKUP(Table7[[#This Row],[Date]],Database!$A:$C,MATCH($C$1,Database!$A$1:$C$1,),))</f>
        <v/>
      </c>
      <c r="D14983">
        <f>IFERROR(Table7[[#This Row],[United States 10y]]-Table7[[#This Row],[United States 3y]],#N/A)</f>
        <v/>
      </c>
    </row>
    <row r="14984">
      <c r="A14984" s="6">
        <f>Database!$A17069</f>
        <v/>
      </c>
      <c r="B14984">
        <f>IF(VLOOKUP(Table7[[#This Row],[Date]],Database!$A:$C,MATCH($B$1,Database!$A$1:$C$1,),)=0,#N/A,VLOOKUP(Table7[[#This Row],[Date]],Database!$A:$C,MATCH($B$1,Database!$A$1:$C$1,),))</f>
        <v/>
      </c>
      <c r="C14984">
        <f>IF(VLOOKUP(Table7[[#This Row],[Date]],Database!$A:$C,MATCH($C$1,Database!$A$1:$C$1,),)=0,#N/A,VLOOKUP(Table7[[#This Row],[Date]],Database!$A:$C,MATCH($C$1,Database!$A$1:$C$1,),))</f>
        <v/>
      </c>
      <c r="D14984">
        <f>IFERROR(Table7[[#This Row],[United States 10y]]-Table7[[#This Row],[United States 3y]],#N/A)</f>
        <v/>
      </c>
    </row>
    <row r="14985">
      <c r="A14985" s="6">
        <f>Database!$A17070</f>
        <v/>
      </c>
      <c r="B14985">
        <f>IF(VLOOKUP(Table7[[#This Row],[Date]],Database!$A:$C,MATCH($B$1,Database!$A$1:$C$1,),)=0,#N/A,VLOOKUP(Table7[[#This Row],[Date]],Database!$A:$C,MATCH($B$1,Database!$A$1:$C$1,),))</f>
        <v/>
      </c>
      <c r="C14985">
        <f>IF(VLOOKUP(Table7[[#This Row],[Date]],Database!$A:$C,MATCH($C$1,Database!$A$1:$C$1,),)=0,#N/A,VLOOKUP(Table7[[#This Row],[Date]],Database!$A:$C,MATCH($C$1,Database!$A$1:$C$1,),))</f>
        <v/>
      </c>
      <c r="D14985">
        <f>IFERROR(Table7[[#This Row],[United States 10y]]-Table7[[#This Row],[United States 3y]],#N/A)</f>
        <v/>
      </c>
    </row>
    <row r="14986">
      <c r="A14986" s="6">
        <f>Database!$A17071</f>
        <v/>
      </c>
      <c r="B14986">
        <f>IF(VLOOKUP(Table7[[#This Row],[Date]],Database!$A:$C,MATCH($B$1,Database!$A$1:$C$1,),)=0,#N/A,VLOOKUP(Table7[[#This Row],[Date]],Database!$A:$C,MATCH($B$1,Database!$A$1:$C$1,),))</f>
        <v/>
      </c>
      <c r="C14986">
        <f>IF(VLOOKUP(Table7[[#This Row],[Date]],Database!$A:$C,MATCH($C$1,Database!$A$1:$C$1,),)=0,#N/A,VLOOKUP(Table7[[#This Row],[Date]],Database!$A:$C,MATCH($C$1,Database!$A$1:$C$1,),))</f>
        <v/>
      </c>
      <c r="D14986">
        <f>IFERROR(Table7[[#This Row],[United States 10y]]-Table7[[#This Row],[United States 3y]],#N/A)</f>
        <v/>
      </c>
    </row>
    <row r="14987">
      <c r="A14987" s="6">
        <f>Database!$A17072</f>
        <v/>
      </c>
      <c r="B14987">
        <f>IF(VLOOKUP(Table7[[#This Row],[Date]],Database!$A:$C,MATCH($B$1,Database!$A$1:$C$1,),)=0,#N/A,VLOOKUP(Table7[[#This Row],[Date]],Database!$A:$C,MATCH($B$1,Database!$A$1:$C$1,),))</f>
        <v/>
      </c>
      <c r="C14987">
        <f>IF(VLOOKUP(Table7[[#This Row],[Date]],Database!$A:$C,MATCH($C$1,Database!$A$1:$C$1,),)=0,#N/A,VLOOKUP(Table7[[#This Row],[Date]],Database!$A:$C,MATCH($C$1,Database!$A$1:$C$1,),))</f>
        <v/>
      </c>
      <c r="D14987">
        <f>IFERROR(Table7[[#This Row],[United States 10y]]-Table7[[#This Row],[United States 3y]],#N/A)</f>
        <v/>
      </c>
    </row>
    <row r="14988">
      <c r="A14988" s="6">
        <f>Database!$A17073</f>
        <v/>
      </c>
      <c r="B14988">
        <f>IF(VLOOKUP(Table7[[#This Row],[Date]],Database!$A:$C,MATCH($B$1,Database!$A$1:$C$1,),)=0,#N/A,VLOOKUP(Table7[[#This Row],[Date]],Database!$A:$C,MATCH($B$1,Database!$A$1:$C$1,),))</f>
        <v/>
      </c>
      <c r="C14988">
        <f>IF(VLOOKUP(Table7[[#This Row],[Date]],Database!$A:$C,MATCH($C$1,Database!$A$1:$C$1,),)=0,#N/A,VLOOKUP(Table7[[#This Row],[Date]],Database!$A:$C,MATCH($C$1,Database!$A$1:$C$1,),))</f>
        <v/>
      </c>
      <c r="D14988">
        <f>IFERROR(Table7[[#This Row],[United States 10y]]-Table7[[#This Row],[United States 3y]],#N/A)</f>
        <v/>
      </c>
    </row>
    <row r="14989">
      <c r="A14989" s="6">
        <f>Database!$A17074</f>
        <v/>
      </c>
      <c r="B14989">
        <f>IF(VLOOKUP(Table7[[#This Row],[Date]],Database!$A:$C,MATCH($B$1,Database!$A$1:$C$1,),)=0,#N/A,VLOOKUP(Table7[[#This Row],[Date]],Database!$A:$C,MATCH($B$1,Database!$A$1:$C$1,),))</f>
        <v/>
      </c>
      <c r="C14989">
        <f>IF(VLOOKUP(Table7[[#This Row],[Date]],Database!$A:$C,MATCH($C$1,Database!$A$1:$C$1,),)=0,#N/A,VLOOKUP(Table7[[#This Row],[Date]],Database!$A:$C,MATCH($C$1,Database!$A$1:$C$1,),))</f>
        <v/>
      </c>
      <c r="D14989">
        <f>IFERROR(Table7[[#This Row],[United States 10y]]-Table7[[#This Row],[United States 3y]],#N/A)</f>
        <v/>
      </c>
    </row>
    <row r="14990">
      <c r="A14990" s="6">
        <f>Database!$A17075</f>
        <v/>
      </c>
      <c r="B14990">
        <f>IF(VLOOKUP(Table7[[#This Row],[Date]],Database!$A:$C,MATCH($B$1,Database!$A$1:$C$1,),)=0,#N/A,VLOOKUP(Table7[[#This Row],[Date]],Database!$A:$C,MATCH($B$1,Database!$A$1:$C$1,),))</f>
        <v/>
      </c>
      <c r="C14990">
        <f>IF(VLOOKUP(Table7[[#This Row],[Date]],Database!$A:$C,MATCH($C$1,Database!$A$1:$C$1,),)=0,#N/A,VLOOKUP(Table7[[#This Row],[Date]],Database!$A:$C,MATCH($C$1,Database!$A$1:$C$1,),))</f>
        <v/>
      </c>
      <c r="D14990">
        <f>IFERROR(Table7[[#This Row],[United States 10y]]-Table7[[#This Row],[United States 3y]],#N/A)</f>
        <v/>
      </c>
    </row>
    <row r="14991">
      <c r="A14991" s="6">
        <f>Database!$A17076</f>
        <v/>
      </c>
      <c r="B14991">
        <f>IF(VLOOKUP(Table7[[#This Row],[Date]],Database!$A:$C,MATCH($B$1,Database!$A$1:$C$1,),)=0,#N/A,VLOOKUP(Table7[[#This Row],[Date]],Database!$A:$C,MATCH($B$1,Database!$A$1:$C$1,),))</f>
        <v/>
      </c>
      <c r="C14991">
        <f>IF(VLOOKUP(Table7[[#This Row],[Date]],Database!$A:$C,MATCH($C$1,Database!$A$1:$C$1,),)=0,#N/A,VLOOKUP(Table7[[#This Row],[Date]],Database!$A:$C,MATCH($C$1,Database!$A$1:$C$1,),))</f>
        <v/>
      </c>
      <c r="D14991">
        <f>IFERROR(Table7[[#This Row],[United States 10y]]-Table7[[#This Row],[United States 3y]],#N/A)</f>
        <v/>
      </c>
    </row>
    <row r="14992">
      <c r="A14992" s="6">
        <f>Database!$A17077</f>
        <v/>
      </c>
      <c r="B14992">
        <f>IF(VLOOKUP(Table7[[#This Row],[Date]],Database!$A:$C,MATCH($B$1,Database!$A$1:$C$1,),)=0,#N/A,VLOOKUP(Table7[[#This Row],[Date]],Database!$A:$C,MATCH($B$1,Database!$A$1:$C$1,),))</f>
        <v/>
      </c>
      <c r="C14992">
        <f>IF(VLOOKUP(Table7[[#This Row],[Date]],Database!$A:$C,MATCH($C$1,Database!$A$1:$C$1,),)=0,#N/A,VLOOKUP(Table7[[#This Row],[Date]],Database!$A:$C,MATCH($C$1,Database!$A$1:$C$1,),))</f>
        <v/>
      </c>
      <c r="D14992">
        <f>IFERROR(Table7[[#This Row],[United States 10y]]-Table7[[#This Row],[United States 3y]],#N/A)</f>
        <v/>
      </c>
    </row>
    <row r="14993">
      <c r="A14993" s="6">
        <f>Database!$A17078</f>
        <v/>
      </c>
      <c r="B14993">
        <f>IF(VLOOKUP(Table7[[#This Row],[Date]],Database!$A:$C,MATCH($B$1,Database!$A$1:$C$1,),)=0,#N/A,VLOOKUP(Table7[[#This Row],[Date]],Database!$A:$C,MATCH($B$1,Database!$A$1:$C$1,),))</f>
        <v/>
      </c>
      <c r="C14993">
        <f>IF(VLOOKUP(Table7[[#This Row],[Date]],Database!$A:$C,MATCH($C$1,Database!$A$1:$C$1,),)=0,#N/A,VLOOKUP(Table7[[#This Row],[Date]],Database!$A:$C,MATCH($C$1,Database!$A$1:$C$1,),))</f>
        <v/>
      </c>
      <c r="D14993">
        <f>IFERROR(Table7[[#This Row],[United States 10y]]-Table7[[#This Row],[United States 3y]],#N/A)</f>
        <v/>
      </c>
    </row>
    <row r="14994">
      <c r="A14994" s="6">
        <f>Database!$A17079</f>
        <v/>
      </c>
      <c r="B14994">
        <f>IF(VLOOKUP(Table7[[#This Row],[Date]],Database!$A:$C,MATCH($B$1,Database!$A$1:$C$1,),)=0,#N/A,VLOOKUP(Table7[[#This Row],[Date]],Database!$A:$C,MATCH($B$1,Database!$A$1:$C$1,),))</f>
        <v/>
      </c>
      <c r="C14994">
        <f>IF(VLOOKUP(Table7[[#This Row],[Date]],Database!$A:$C,MATCH($C$1,Database!$A$1:$C$1,),)=0,#N/A,VLOOKUP(Table7[[#This Row],[Date]],Database!$A:$C,MATCH($C$1,Database!$A$1:$C$1,),))</f>
        <v/>
      </c>
      <c r="D14994">
        <f>IFERROR(Table7[[#This Row],[United States 10y]]-Table7[[#This Row],[United States 3y]],#N/A)</f>
        <v/>
      </c>
    </row>
    <row r="14995">
      <c r="A14995" s="6">
        <f>Database!$A17080</f>
        <v/>
      </c>
      <c r="B14995">
        <f>IF(VLOOKUP(Table7[[#This Row],[Date]],Database!$A:$C,MATCH($B$1,Database!$A$1:$C$1,),)=0,#N/A,VLOOKUP(Table7[[#This Row],[Date]],Database!$A:$C,MATCH($B$1,Database!$A$1:$C$1,),))</f>
        <v/>
      </c>
      <c r="C14995">
        <f>IF(VLOOKUP(Table7[[#This Row],[Date]],Database!$A:$C,MATCH($C$1,Database!$A$1:$C$1,),)=0,#N/A,VLOOKUP(Table7[[#This Row],[Date]],Database!$A:$C,MATCH($C$1,Database!$A$1:$C$1,),))</f>
        <v/>
      </c>
      <c r="D14995">
        <f>IFERROR(Table7[[#This Row],[United States 10y]]-Table7[[#This Row],[United States 3y]],#N/A)</f>
        <v/>
      </c>
    </row>
    <row r="14996">
      <c r="A14996" s="6">
        <f>Database!$A17081</f>
        <v/>
      </c>
      <c r="B14996">
        <f>IF(VLOOKUP(Table7[[#This Row],[Date]],Database!$A:$C,MATCH($B$1,Database!$A$1:$C$1,),)=0,#N/A,VLOOKUP(Table7[[#This Row],[Date]],Database!$A:$C,MATCH($B$1,Database!$A$1:$C$1,),))</f>
        <v/>
      </c>
      <c r="C14996">
        <f>IF(VLOOKUP(Table7[[#This Row],[Date]],Database!$A:$C,MATCH($C$1,Database!$A$1:$C$1,),)=0,#N/A,VLOOKUP(Table7[[#This Row],[Date]],Database!$A:$C,MATCH($C$1,Database!$A$1:$C$1,),))</f>
        <v/>
      </c>
      <c r="D14996">
        <f>IFERROR(Table7[[#This Row],[United States 10y]]-Table7[[#This Row],[United States 3y]],#N/A)</f>
        <v/>
      </c>
    </row>
    <row r="14997">
      <c r="A14997" s="6">
        <f>Database!$A17082</f>
        <v/>
      </c>
      <c r="B14997">
        <f>IF(VLOOKUP(Table7[[#This Row],[Date]],Database!$A:$C,MATCH($B$1,Database!$A$1:$C$1,),)=0,#N/A,VLOOKUP(Table7[[#This Row],[Date]],Database!$A:$C,MATCH($B$1,Database!$A$1:$C$1,),))</f>
        <v/>
      </c>
      <c r="C14997">
        <f>IF(VLOOKUP(Table7[[#This Row],[Date]],Database!$A:$C,MATCH($C$1,Database!$A$1:$C$1,),)=0,#N/A,VLOOKUP(Table7[[#This Row],[Date]],Database!$A:$C,MATCH($C$1,Database!$A$1:$C$1,),))</f>
        <v/>
      </c>
      <c r="D14997">
        <f>IFERROR(Table7[[#This Row],[United States 10y]]-Table7[[#This Row],[United States 3y]],#N/A)</f>
        <v/>
      </c>
    </row>
    <row r="14998">
      <c r="A14998" s="6">
        <f>Database!$A17083</f>
        <v/>
      </c>
      <c r="B14998">
        <f>IF(VLOOKUP(Table7[[#This Row],[Date]],Database!$A:$C,MATCH($B$1,Database!$A$1:$C$1,),)=0,#N/A,VLOOKUP(Table7[[#This Row],[Date]],Database!$A:$C,MATCH($B$1,Database!$A$1:$C$1,),))</f>
        <v/>
      </c>
      <c r="C14998">
        <f>IF(VLOOKUP(Table7[[#This Row],[Date]],Database!$A:$C,MATCH($C$1,Database!$A$1:$C$1,),)=0,#N/A,VLOOKUP(Table7[[#This Row],[Date]],Database!$A:$C,MATCH($C$1,Database!$A$1:$C$1,),))</f>
        <v/>
      </c>
      <c r="D14998">
        <f>IFERROR(Table7[[#This Row],[United States 10y]]-Table7[[#This Row],[United States 3y]],#N/A)</f>
        <v/>
      </c>
    </row>
    <row r="14999">
      <c r="A14999" s="6">
        <f>Database!$A17084</f>
        <v/>
      </c>
      <c r="B14999">
        <f>IF(VLOOKUP(Table7[[#This Row],[Date]],Database!$A:$C,MATCH($B$1,Database!$A$1:$C$1,),)=0,#N/A,VLOOKUP(Table7[[#This Row],[Date]],Database!$A:$C,MATCH($B$1,Database!$A$1:$C$1,),))</f>
        <v/>
      </c>
      <c r="C14999">
        <f>IF(VLOOKUP(Table7[[#This Row],[Date]],Database!$A:$C,MATCH($C$1,Database!$A$1:$C$1,),)=0,#N/A,VLOOKUP(Table7[[#This Row],[Date]],Database!$A:$C,MATCH($C$1,Database!$A$1:$C$1,),))</f>
        <v/>
      </c>
      <c r="D14999">
        <f>IFERROR(Table7[[#This Row],[United States 10y]]-Table7[[#This Row],[United States 3y]],#N/A)</f>
        <v/>
      </c>
    </row>
    <row r="15000">
      <c r="A15000" s="6">
        <f>Database!$A17085</f>
        <v/>
      </c>
      <c r="B15000">
        <f>IF(VLOOKUP(Table7[[#This Row],[Date]],Database!$A:$C,MATCH($B$1,Database!$A$1:$C$1,),)=0,#N/A,VLOOKUP(Table7[[#This Row],[Date]],Database!$A:$C,MATCH($B$1,Database!$A$1:$C$1,),))</f>
        <v/>
      </c>
      <c r="C15000">
        <f>IF(VLOOKUP(Table7[[#This Row],[Date]],Database!$A:$C,MATCH($C$1,Database!$A$1:$C$1,),)=0,#N/A,VLOOKUP(Table7[[#This Row],[Date]],Database!$A:$C,MATCH($C$1,Database!$A$1:$C$1,),))</f>
        <v/>
      </c>
      <c r="D15000">
        <f>IFERROR(Table7[[#This Row],[United States 10y]]-Table7[[#This Row],[United States 3y]],#N/A)</f>
        <v/>
      </c>
    </row>
    <row r="15001">
      <c r="A15001" s="6">
        <f>Database!$A17086</f>
        <v/>
      </c>
      <c r="B15001">
        <f>IF(VLOOKUP(Table7[[#This Row],[Date]],Database!$A:$C,MATCH($B$1,Database!$A$1:$C$1,),)=0,#N/A,VLOOKUP(Table7[[#This Row],[Date]],Database!$A:$C,MATCH($B$1,Database!$A$1:$C$1,),))</f>
        <v/>
      </c>
      <c r="C15001">
        <f>IF(VLOOKUP(Table7[[#This Row],[Date]],Database!$A:$C,MATCH($C$1,Database!$A$1:$C$1,),)=0,#N/A,VLOOKUP(Table7[[#This Row],[Date]],Database!$A:$C,MATCH($C$1,Database!$A$1:$C$1,),))</f>
        <v/>
      </c>
      <c r="D15001">
        <f>IFERROR(Table7[[#This Row],[United States 10y]]-Table7[[#This Row],[United States 3y]],#N/A)</f>
        <v/>
      </c>
    </row>
    <row r="15002">
      <c r="A15002" s="6">
        <f>Database!$A17087</f>
        <v/>
      </c>
      <c r="B15002">
        <f>IF(VLOOKUP(Table7[[#This Row],[Date]],Database!$A:$C,MATCH($B$1,Database!$A$1:$C$1,),)=0,#N/A,VLOOKUP(Table7[[#This Row],[Date]],Database!$A:$C,MATCH($B$1,Database!$A$1:$C$1,),))</f>
        <v/>
      </c>
      <c r="C15002">
        <f>IF(VLOOKUP(Table7[[#This Row],[Date]],Database!$A:$C,MATCH($C$1,Database!$A$1:$C$1,),)=0,#N/A,VLOOKUP(Table7[[#This Row],[Date]],Database!$A:$C,MATCH($C$1,Database!$A$1:$C$1,),))</f>
        <v/>
      </c>
      <c r="D15002">
        <f>IFERROR(Table7[[#This Row],[United States 10y]]-Table7[[#This Row],[United States 3y]],#N/A)</f>
        <v/>
      </c>
    </row>
    <row r="15003">
      <c r="A15003" s="6">
        <f>Database!$A17088</f>
        <v/>
      </c>
      <c r="B15003">
        <f>IF(VLOOKUP(Table7[[#This Row],[Date]],Database!$A:$C,MATCH($B$1,Database!$A$1:$C$1,),)=0,#N/A,VLOOKUP(Table7[[#This Row],[Date]],Database!$A:$C,MATCH($B$1,Database!$A$1:$C$1,),))</f>
        <v/>
      </c>
      <c r="C15003">
        <f>IF(VLOOKUP(Table7[[#This Row],[Date]],Database!$A:$C,MATCH($C$1,Database!$A$1:$C$1,),)=0,#N/A,VLOOKUP(Table7[[#This Row],[Date]],Database!$A:$C,MATCH($C$1,Database!$A$1:$C$1,),))</f>
        <v/>
      </c>
      <c r="D15003">
        <f>IFERROR(Table7[[#This Row],[United States 10y]]-Table7[[#This Row],[United States 3y]],#N/A)</f>
        <v/>
      </c>
    </row>
    <row r="15004">
      <c r="A15004" s="6">
        <f>Database!$A17089</f>
        <v/>
      </c>
      <c r="B15004">
        <f>IF(VLOOKUP(Table7[[#This Row],[Date]],Database!$A:$C,MATCH($B$1,Database!$A$1:$C$1,),)=0,#N/A,VLOOKUP(Table7[[#This Row],[Date]],Database!$A:$C,MATCH($B$1,Database!$A$1:$C$1,),))</f>
        <v/>
      </c>
      <c r="C15004">
        <f>IF(VLOOKUP(Table7[[#This Row],[Date]],Database!$A:$C,MATCH($C$1,Database!$A$1:$C$1,),)=0,#N/A,VLOOKUP(Table7[[#This Row],[Date]],Database!$A:$C,MATCH($C$1,Database!$A$1:$C$1,),))</f>
        <v/>
      </c>
      <c r="D15004">
        <f>IFERROR(Table7[[#This Row],[United States 10y]]-Table7[[#This Row],[United States 3y]],#N/A)</f>
        <v/>
      </c>
    </row>
    <row r="15005">
      <c r="A15005" s="6">
        <f>Database!$A17090</f>
        <v/>
      </c>
      <c r="B15005">
        <f>IF(VLOOKUP(Table7[[#This Row],[Date]],Database!$A:$C,MATCH($B$1,Database!$A$1:$C$1,),)=0,#N/A,VLOOKUP(Table7[[#This Row],[Date]],Database!$A:$C,MATCH($B$1,Database!$A$1:$C$1,),))</f>
        <v/>
      </c>
      <c r="C15005">
        <f>IF(VLOOKUP(Table7[[#This Row],[Date]],Database!$A:$C,MATCH($C$1,Database!$A$1:$C$1,),)=0,#N/A,VLOOKUP(Table7[[#This Row],[Date]],Database!$A:$C,MATCH($C$1,Database!$A$1:$C$1,),))</f>
        <v/>
      </c>
      <c r="D15005">
        <f>IFERROR(Table7[[#This Row],[United States 10y]]-Table7[[#This Row],[United States 3y]],#N/A)</f>
        <v/>
      </c>
    </row>
    <row r="15006">
      <c r="A15006" s="6">
        <f>Database!$A17091</f>
        <v/>
      </c>
      <c r="B15006">
        <f>IF(VLOOKUP(Table7[[#This Row],[Date]],Database!$A:$C,MATCH($B$1,Database!$A$1:$C$1,),)=0,#N/A,VLOOKUP(Table7[[#This Row],[Date]],Database!$A:$C,MATCH($B$1,Database!$A$1:$C$1,),))</f>
        <v/>
      </c>
      <c r="C15006">
        <f>IF(VLOOKUP(Table7[[#This Row],[Date]],Database!$A:$C,MATCH($C$1,Database!$A$1:$C$1,),)=0,#N/A,VLOOKUP(Table7[[#This Row],[Date]],Database!$A:$C,MATCH($C$1,Database!$A$1:$C$1,),))</f>
        <v/>
      </c>
      <c r="D15006">
        <f>IFERROR(Table7[[#This Row],[United States 10y]]-Table7[[#This Row],[United States 3y]],#N/A)</f>
        <v/>
      </c>
    </row>
    <row r="15007">
      <c r="A15007" s="6">
        <f>Database!$A17092</f>
        <v/>
      </c>
      <c r="B15007">
        <f>IF(VLOOKUP(Table7[[#This Row],[Date]],Database!$A:$C,MATCH($B$1,Database!$A$1:$C$1,),)=0,#N/A,VLOOKUP(Table7[[#This Row],[Date]],Database!$A:$C,MATCH($B$1,Database!$A$1:$C$1,),))</f>
        <v/>
      </c>
      <c r="C15007">
        <f>IF(VLOOKUP(Table7[[#This Row],[Date]],Database!$A:$C,MATCH($C$1,Database!$A$1:$C$1,),)=0,#N/A,VLOOKUP(Table7[[#This Row],[Date]],Database!$A:$C,MATCH($C$1,Database!$A$1:$C$1,),))</f>
        <v/>
      </c>
      <c r="D15007">
        <f>IFERROR(Table7[[#This Row],[United States 10y]]-Table7[[#This Row],[United States 3y]],#N/A)</f>
        <v/>
      </c>
    </row>
    <row r="15008">
      <c r="A15008" s="6">
        <f>Database!$A17093</f>
        <v/>
      </c>
      <c r="B15008">
        <f>IF(VLOOKUP(Table7[[#This Row],[Date]],Database!$A:$C,MATCH($B$1,Database!$A$1:$C$1,),)=0,#N/A,VLOOKUP(Table7[[#This Row],[Date]],Database!$A:$C,MATCH($B$1,Database!$A$1:$C$1,),))</f>
        <v/>
      </c>
      <c r="C15008">
        <f>IF(VLOOKUP(Table7[[#This Row],[Date]],Database!$A:$C,MATCH($C$1,Database!$A$1:$C$1,),)=0,#N/A,VLOOKUP(Table7[[#This Row],[Date]],Database!$A:$C,MATCH($C$1,Database!$A$1:$C$1,),))</f>
        <v/>
      </c>
      <c r="D15008">
        <f>IFERROR(Table7[[#This Row],[United States 10y]]-Table7[[#This Row],[United States 3y]],#N/A)</f>
        <v/>
      </c>
    </row>
    <row r="15009">
      <c r="A15009" s="6">
        <f>Database!$A17094</f>
        <v/>
      </c>
      <c r="B15009">
        <f>IF(VLOOKUP(Table7[[#This Row],[Date]],Database!$A:$C,MATCH($B$1,Database!$A$1:$C$1,),)=0,#N/A,VLOOKUP(Table7[[#This Row],[Date]],Database!$A:$C,MATCH($B$1,Database!$A$1:$C$1,),))</f>
        <v/>
      </c>
      <c r="C15009">
        <f>IF(VLOOKUP(Table7[[#This Row],[Date]],Database!$A:$C,MATCH($C$1,Database!$A$1:$C$1,),)=0,#N/A,VLOOKUP(Table7[[#This Row],[Date]],Database!$A:$C,MATCH($C$1,Database!$A$1:$C$1,),))</f>
        <v/>
      </c>
      <c r="D15009">
        <f>IFERROR(Table7[[#This Row],[United States 10y]]-Table7[[#This Row],[United States 3y]],#N/A)</f>
        <v/>
      </c>
    </row>
    <row r="15010">
      <c r="A15010" s="6">
        <f>Database!$A17095</f>
        <v/>
      </c>
      <c r="B15010">
        <f>IF(VLOOKUP(Table7[[#This Row],[Date]],Database!$A:$C,MATCH($B$1,Database!$A$1:$C$1,),)=0,#N/A,VLOOKUP(Table7[[#This Row],[Date]],Database!$A:$C,MATCH($B$1,Database!$A$1:$C$1,),))</f>
        <v/>
      </c>
      <c r="C15010">
        <f>IF(VLOOKUP(Table7[[#This Row],[Date]],Database!$A:$C,MATCH($C$1,Database!$A$1:$C$1,),)=0,#N/A,VLOOKUP(Table7[[#This Row],[Date]],Database!$A:$C,MATCH($C$1,Database!$A$1:$C$1,),))</f>
        <v/>
      </c>
      <c r="D15010">
        <f>IFERROR(Table7[[#This Row],[United States 10y]]-Table7[[#This Row],[United States 3y]],#N/A)</f>
        <v/>
      </c>
    </row>
    <row r="15011">
      <c r="A15011" s="6">
        <f>Database!$A17096</f>
        <v/>
      </c>
      <c r="B15011">
        <f>IF(VLOOKUP(Table7[[#This Row],[Date]],Database!$A:$C,MATCH($B$1,Database!$A$1:$C$1,),)=0,#N/A,VLOOKUP(Table7[[#This Row],[Date]],Database!$A:$C,MATCH($B$1,Database!$A$1:$C$1,),))</f>
        <v/>
      </c>
      <c r="C15011">
        <f>IF(VLOOKUP(Table7[[#This Row],[Date]],Database!$A:$C,MATCH($C$1,Database!$A$1:$C$1,),)=0,#N/A,VLOOKUP(Table7[[#This Row],[Date]],Database!$A:$C,MATCH($C$1,Database!$A$1:$C$1,),))</f>
        <v/>
      </c>
      <c r="D15011">
        <f>IFERROR(Table7[[#This Row],[United States 10y]]-Table7[[#This Row],[United States 3y]],#N/A)</f>
        <v/>
      </c>
    </row>
    <row r="15012">
      <c r="A15012" s="6">
        <f>Database!$A17097</f>
        <v/>
      </c>
      <c r="B15012">
        <f>IF(VLOOKUP(Table7[[#This Row],[Date]],Database!$A:$C,MATCH($B$1,Database!$A$1:$C$1,),)=0,#N/A,VLOOKUP(Table7[[#This Row],[Date]],Database!$A:$C,MATCH($B$1,Database!$A$1:$C$1,),))</f>
        <v/>
      </c>
      <c r="C15012">
        <f>IF(VLOOKUP(Table7[[#This Row],[Date]],Database!$A:$C,MATCH($C$1,Database!$A$1:$C$1,),)=0,#N/A,VLOOKUP(Table7[[#This Row],[Date]],Database!$A:$C,MATCH($C$1,Database!$A$1:$C$1,),))</f>
        <v/>
      </c>
      <c r="D15012">
        <f>IFERROR(Table7[[#This Row],[United States 10y]]-Table7[[#This Row],[United States 3y]],#N/A)</f>
        <v/>
      </c>
    </row>
    <row r="15013">
      <c r="A15013" s="6">
        <f>Database!$A17098</f>
        <v/>
      </c>
      <c r="B15013">
        <f>IF(VLOOKUP(Table7[[#This Row],[Date]],Database!$A:$C,MATCH($B$1,Database!$A$1:$C$1,),)=0,#N/A,VLOOKUP(Table7[[#This Row],[Date]],Database!$A:$C,MATCH($B$1,Database!$A$1:$C$1,),))</f>
        <v/>
      </c>
      <c r="C15013">
        <f>IF(VLOOKUP(Table7[[#This Row],[Date]],Database!$A:$C,MATCH($C$1,Database!$A$1:$C$1,),)=0,#N/A,VLOOKUP(Table7[[#This Row],[Date]],Database!$A:$C,MATCH($C$1,Database!$A$1:$C$1,),))</f>
        <v/>
      </c>
      <c r="D15013">
        <f>IFERROR(Table7[[#This Row],[United States 10y]]-Table7[[#This Row],[United States 3y]],#N/A)</f>
        <v/>
      </c>
    </row>
    <row r="15014">
      <c r="A15014" s="6">
        <f>Database!$A17099</f>
        <v/>
      </c>
      <c r="B15014">
        <f>IF(VLOOKUP(Table7[[#This Row],[Date]],Database!$A:$C,MATCH($B$1,Database!$A$1:$C$1,),)=0,#N/A,VLOOKUP(Table7[[#This Row],[Date]],Database!$A:$C,MATCH($B$1,Database!$A$1:$C$1,),))</f>
        <v/>
      </c>
      <c r="C15014">
        <f>IF(VLOOKUP(Table7[[#This Row],[Date]],Database!$A:$C,MATCH($C$1,Database!$A$1:$C$1,),)=0,#N/A,VLOOKUP(Table7[[#This Row],[Date]],Database!$A:$C,MATCH($C$1,Database!$A$1:$C$1,),))</f>
        <v/>
      </c>
      <c r="D15014">
        <f>IFERROR(Table7[[#This Row],[United States 10y]]-Table7[[#This Row],[United States 3y]],#N/A)</f>
        <v/>
      </c>
    </row>
    <row r="15015">
      <c r="A15015" s="6">
        <f>Database!$A17100</f>
        <v/>
      </c>
      <c r="B15015">
        <f>IF(VLOOKUP(Table7[[#This Row],[Date]],Database!$A:$C,MATCH($B$1,Database!$A$1:$C$1,),)=0,#N/A,VLOOKUP(Table7[[#This Row],[Date]],Database!$A:$C,MATCH($B$1,Database!$A$1:$C$1,),))</f>
        <v/>
      </c>
      <c r="C15015">
        <f>IF(VLOOKUP(Table7[[#This Row],[Date]],Database!$A:$C,MATCH($C$1,Database!$A$1:$C$1,),)=0,#N/A,VLOOKUP(Table7[[#This Row],[Date]],Database!$A:$C,MATCH($C$1,Database!$A$1:$C$1,),))</f>
        <v/>
      </c>
      <c r="D15015">
        <f>IFERROR(Table7[[#This Row],[United States 10y]]-Table7[[#This Row],[United States 3y]],#N/A)</f>
        <v/>
      </c>
    </row>
    <row r="15016">
      <c r="A15016" s="6">
        <f>Database!$A17101</f>
        <v/>
      </c>
      <c r="B15016">
        <f>IF(VLOOKUP(Table7[[#This Row],[Date]],Database!$A:$C,MATCH($B$1,Database!$A$1:$C$1,),)=0,#N/A,VLOOKUP(Table7[[#This Row],[Date]],Database!$A:$C,MATCH($B$1,Database!$A$1:$C$1,),))</f>
        <v/>
      </c>
      <c r="C15016">
        <f>IF(VLOOKUP(Table7[[#This Row],[Date]],Database!$A:$C,MATCH($C$1,Database!$A$1:$C$1,),)=0,#N/A,VLOOKUP(Table7[[#This Row],[Date]],Database!$A:$C,MATCH($C$1,Database!$A$1:$C$1,),))</f>
        <v/>
      </c>
      <c r="D15016">
        <f>IFERROR(Table7[[#This Row],[United States 10y]]-Table7[[#This Row],[United States 3y]],#N/A)</f>
        <v/>
      </c>
    </row>
    <row r="15017">
      <c r="A15017" s="6">
        <f>Database!$A17102</f>
        <v/>
      </c>
      <c r="B15017">
        <f>IF(VLOOKUP(Table7[[#This Row],[Date]],Database!$A:$C,MATCH($B$1,Database!$A$1:$C$1,),)=0,#N/A,VLOOKUP(Table7[[#This Row],[Date]],Database!$A:$C,MATCH($B$1,Database!$A$1:$C$1,),))</f>
        <v/>
      </c>
      <c r="C15017">
        <f>IF(VLOOKUP(Table7[[#This Row],[Date]],Database!$A:$C,MATCH($C$1,Database!$A$1:$C$1,),)=0,#N/A,VLOOKUP(Table7[[#This Row],[Date]],Database!$A:$C,MATCH($C$1,Database!$A$1:$C$1,),))</f>
        <v/>
      </c>
      <c r="D15017">
        <f>IFERROR(Table7[[#This Row],[United States 10y]]-Table7[[#This Row],[United States 3y]],#N/A)</f>
        <v/>
      </c>
    </row>
    <row r="15018">
      <c r="A15018" s="6">
        <f>Database!$A17103</f>
        <v/>
      </c>
      <c r="B15018">
        <f>IF(VLOOKUP(Table7[[#This Row],[Date]],Database!$A:$C,MATCH($B$1,Database!$A$1:$C$1,),)=0,#N/A,VLOOKUP(Table7[[#This Row],[Date]],Database!$A:$C,MATCH($B$1,Database!$A$1:$C$1,),))</f>
        <v/>
      </c>
      <c r="C15018">
        <f>IF(VLOOKUP(Table7[[#This Row],[Date]],Database!$A:$C,MATCH($C$1,Database!$A$1:$C$1,),)=0,#N/A,VLOOKUP(Table7[[#This Row],[Date]],Database!$A:$C,MATCH($C$1,Database!$A$1:$C$1,),))</f>
        <v/>
      </c>
      <c r="D15018">
        <f>IFERROR(Table7[[#This Row],[United States 10y]]-Table7[[#This Row],[United States 3y]],#N/A)</f>
        <v/>
      </c>
    </row>
    <row r="15019">
      <c r="A15019" s="6">
        <f>Database!$A17104</f>
        <v/>
      </c>
      <c r="B15019">
        <f>IF(VLOOKUP(Table7[[#This Row],[Date]],Database!$A:$C,MATCH($B$1,Database!$A$1:$C$1,),)=0,#N/A,VLOOKUP(Table7[[#This Row],[Date]],Database!$A:$C,MATCH($B$1,Database!$A$1:$C$1,),))</f>
        <v/>
      </c>
      <c r="C15019">
        <f>IF(VLOOKUP(Table7[[#This Row],[Date]],Database!$A:$C,MATCH($C$1,Database!$A$1:$C$1,),)=0,#N/A,VLOOKUP(Table7[[#This Row],[Date]],Database!$A:$C,MATCH($C$1,Database!$A$1:$C$1,),))</f>
        <v/>
      </c>
      <c r="D15019">
        <f>IFERROR(Table7[[#This Row],[United States 10y]]-Table7[[#This Row],[United States 3y]],#N/A)</f>
        <v/>
      </c>
    </row>
    <row r="15020">
      <c r="A15020" s="6">
        <f>Database!$A17105</f>
        <v/>
      </c>
      <c r="B15020">
        <f>IF(VLOOKUP(Table7[[#This Row],[Date]],Database!$A:$C,MATCH($B$1,Database!$A$1:$C$1,),)=0,#N/A,VLOOKUP(Table7[[#This Row],[Date]],Database!$A:$C,MATCH($B$1,Database!$A$1:$C$1,),))</f>
        <v/>
      </c>
      <c r="C15020">
        <f>IF(VLOOKUP(Table7[[#This Row],[Date]],Database!$A:$C,MATCH($C$1,Database!$A$1:$C$1,),)=0,#N/A,VLOOKUP(Table7[[#This Row],[Date]],Database!$A:$C,MATCH($C$1,Database!$A$1:$C$1,),))</f>
        <v/>
      </c>
      <c r="D15020">
        <f>IFERROR(Table7[[#This Row],[United States 10y]]-Table7[[#This Row],[United States 3y]],#N/A)</f>
        <v/>
      </c>
    </row>
    <row r="15021">
      <c r="A15021" s="6">
        <f>Database!$A17106</f>
        <v/>
      </c>
      <c r="B15021">
        <f>IF(VLOOKUP(Table7[[#This Row],[Date]],Database!$A:$C,MATCH($B$1,Database!$A$1:$C$1,),)=0,#N/A,VLOOKUP(Table7[[#This Row],[Date]],Database!$A:$C,MATCH($B$1,Database!$A$1:$C$1,),))</f>
        <v/>
      </c>
      <c r="C15021">
        <f>IF(VLOOKUP(Table7[[#This Row],[Date]],Database!$A:$C,MATCH($C$1,Database!$A$1:$C$1,),)=0,#N/A,VLOOKUP(Table7[[#This Row],[Date]],Database!$A:$C,MATCH($C$1,Database!$A$1:$C$1,),))</f>
        <v/>
      </c>
      <c r="D15021">
        <f>IFERROR(Table7[[#This Row],[United States 10y]]-Table7[[#This Row],[United States 3y]],#N/A)</f>
        <v/>
      </c>
    </row>
    <row r="15022">
      <c r="A15022" s="6">
        <f>Database!$A17107</f>
        <v/>
      </c>
      <c r="B15022">
        <f>IF(VLOOKUP(Table7[[#This Row],[Date]],Database!$A:$C,MATCH($B$1,Database!$A$1:$C$1,),)=0,#N/A,VLOOKUP(Table7[[#This Row],[Date]],Database!$A:$C,MATCH($B$1,Database!$A$1:$C$1,),))</f>
        <v/>
      </c>
      <c r="C15022">
        <f>IF(VLOOKUP(Table7[[#This Row],[Date]],Database!$A:$C,MATCH($C$1,Database!$A$1:$C$1,),)=0,#N/A,VLOOKUP(Table7[[#This Row],[Date]],Database!$A:$C,MATCH($C$1,Database!$A$1:$C$1,),))</f>
        <v/>
      </c>
      <c r="D15022">
        <f>IFERROR(Table7[[#This Row],[United States 10y]]-Table7[[#This Row],[United States 3y]],#N/A)</f>
        <v/>
      </c>
    </row>
    <row r="15023">
      <c r="A15023" s="6">
        <f>Database!$A17108</f>
        <v/>
      </c>
      <c r="B15023">
        <f>IF(VLOOKUP(Table7[[#This Row],[Date]],Database!$A:$C,MATCH($B$1,Database!$A$1:$C$1,),)=0,#N/A,VLOOKUP(Table7[[#This Row],[Date]],Database!$A:$C,MATCH($B$1,Database!$A$1:$C$1,),))</f>
        <v/>
      </c>
      <c r="C15023">
        <f>IF(VLOOKUP(Table7[[#This Row],[Date]],Database!$A:$C,MATCH($C$1,Database!$A$1:$C$1,),)=0,#N/A,VLOOKUP(Table7[[#This Row],[Date]],Database!$A:$C,MATCH($C$1,Database!$A$1:$C$1,),))</f>
        <v/>
      </c>
      <c r="D15023">
        <f>IFERROR(Table7[[#This Row],[United States 10y]]-Table7[[#This Row],[United States 3y]],#N/A)</f>
        <v/>
      </c>
    </row>
    <row r="15024">
      <c r="A15024" s="6">
        <f>Database!$A17109</f>
        <v/>
      </c>
      <c r="B15024">
        <f>IF(VLOOKUP(Table7[[#This Row],[Date]],Database!$A:$C,MATCH($B$1,Database!$A$1:$C$1,),)=0,#N/A,VLOOKUP(Table7[[#This Row],[Date]],Database!$A:$C,MATCH($B$1,Database!$A$1:$C$1,),))</f>
        <v/>
      </c>
      <c r="C15024">
        <f>IF(VLOOKUP(Table7[[#This Row],[Date]],Database!$A:$C,MATCH($C$1,Database!$A$1:$C$1,),)=0,#N/A,VLOOKUP(Table7[[#This Row],[Date]],Database!$A:$C,MATCH($C$1,Database!$A$1:$C$1,),))</f>
        <v/>
      </c>
      <c r="D15024">
        <f>IFERROR(Table7[[#This Row],[United States 10y]]-Table7[[#This Row],[United States 3y]],#N/A)</f>
        <v/>
      </c>
    </row>
    <row r="15025">
      <c r="A15025" s="6">
        <f>Database!$A17110</f>
        <v/>
      </c>
      <c r="B15025">
        <f>IF(VLOOKUP(Table7[[#This Row],[Date]],Database!$A:$C,MATCH($B$1,Database!$A$1:$C$1,),)=0,#N/A,VLOOKUP(Table7[[#This Row],[Date]],Database!$A:$C,MATCH($B$1,Database!$A$1:$C$1,),))</f>
        <v/>
      </c>
      <c r="C15025">
        <f>IF(VLOOKUP(Table7[[#This Row],[Date]],Database!$A:$C,MATCH($C$1,Database!$A$1:$C$1,),)=0,#N/A,VLOOKUP(Table7[[#This Row],[Date]],Database!$A:$C,MATCH($C$1,Database!$A$1:$C$1,),))</f>
        <v/>
      </c>
      <c r="D15025">
        <f>IFERROR(Table7[[#This Row],[United States 10y]]-Table7[[#This Row],[United States 3y]],#N/A)</f>
        <v/>
      </c>
    </row>
    <row r="15026">
      <c r="A15026" s="6">
        <f>Database!$A17111</f>
        <v/>
      </c>
      <c r="B15026">
        <f>IF(VLOOKUP(Table7[[#This Row],[Date]],Database!$A:$C,MATCH($B$1,Database!$A$1:$C$1,),)=0,#N/A,VLOOKUP(Table7[[#This Row],[Date]],Database!$A:$C,MATCH($B$1,Database!$A$1:$C$1,),))</f>
        <v/>
      </c>
      <c r="C15026">
        <f>IF(VLOOKUP(Table7[[#This Row],[Date]],Database!$A:$C,MATCH($C$1,Database!$A$1:$C$1,),)=0,#N/A,VLOOKUP(Table7[[#This Row],[Date]],Database!$A:$C,MATCH($C$1,Database!$A$1:$C$1,),))</f>
        <v/>
      </c>
      <c r="D15026">
        <f>IFERROR(Table7[[#This Row],[United States 10y]]-Table7[[#This Row],[United States 3y]],#N/A)</f>
        <v/>
      </c>
    </row>
    <row r="15027">
      <c r="A15027" s="6">
        <f>Database!$A17112</f>
        <v/>
      </c>
      <c r="B15027">
        <f>IF(VLOOKUP(Table7[[#This Row],[Date]],Database!$A:$C,MATCH($B$1,Database!$A$1:$C$1,),)=0,#N/A,VLOOKUP(Table7[[#This Row],[Date]],Database!$A:$C,MATCH($B$1,Database!$A$1:$C$1,),))</f>
        <v/>
      </c>
      <c r="C15027">
        <f>IF(VLOOKUP(Table7[[#This Row],[Date]],Database!$A:$C,MATCH($C$1,Database!$A$1:$C$1,),)=0,#N/A,VLOOKUP(Table7[[#This Row],[Date]],Database!$A:$C,MATCH($C$1,Database!$A$1:$C$1,),))</f>
        <v/>
      </c>
      <c r="D15027">
        <f>IFERROR(Table7[[#This Row],[United States 10y]]-Table7[[#This Row],[United States 3y]],#N/A)</f>
        <v/>
      </c>
    </row>
    <row r="15028">
      <c r="A15028" s="6">
        <f>Database!$A17113</f>
        <v/>
      </c>
      <c r="B15028">
        <f>IF(VLOOKUP(Table7[[#This Row],[Date]],Database!$A:$C,MATCH($B$1,Database!$A$1:$C$1,),)=0,#N/A,VLOOKUP(Table7[[#This Row],[Date]],Database!$A:$C,MATCH($B$1,Database!$A$1:$C$1,),))</f>
        <v/>
      </c>
      <c r="C15028">
        <f>IF(VLOOKUP(Table7[[#This Row],[Date]],Database!$A:$C,MATCH($C$1,Database!$A$1:$C$1,),)=0,#N/A,VLOOKUP(Table7[[#This Row],[Date]],Database!$A:$C,MATCH($C$1,Database!$A$1:$C$1,),))</f>
        <v/>
      </c>
      <c r="D15028">
        <f>IFERROR(Table7[[#This Row],[United States 10y]]-Table7[[#This Row],[United States 3y]],#N/A)</f>
        <v/>
      </c>
    </row>
    <row r="15029">
      <c r="A15029" s="6">
        <f>Database!$A17114</f>
        <v/>
      </c>
      <c r="B15029">
        <f>IF(VLOOKUP(Table7[[#This Row],[Date]],Database!$A:$C,MATCH($B$1,Database!$A$1:$C$1,),)=0,#N/A,VLOOKUP(Table7[[#This Row],[Date]],Database!$A:$C,MATCH($B$1,Database!$A$1:$C$1,),))</f>
        <v/>
      </c>
      <c r="C15029">
        <f>IF(VLOOKUP(Table7[[#This Row],[Date]],Database!$A:$C,MATCH($C$1,Database!$A$1:$C$1,),)=0,#N/A,VLOOKUP(Table7[[#This Row],[Date]],Database!$A:$C,MATCH($C$1,Database!$A$1:$C$1,),))</f>
        <v/>
      </c>
      <c r="D15029">
        <f>IFERROR(Table7[[#This Row],[United States 10y]]-Table7[[#This Row],[United States 3y]],#N/A)</f>
        <v/>
      </c>
    </row>
    <row r="15030">
      <c r="A15030" s="6">
        <f>Database!$A17115</f>
        <v/>
      </c>
      <c r="B15030">
        <f>IF(VLOOKUP(Table7[[#This Row],[Date]],Database!$A:$C,MATCH($B$1,Database!$A$1:$C$1,),)=0,#N/A,VLOOKUP(Table7[[#This Row],[Date]],Database!$A:$C,MATCH($B$1,Database!$A$1:$C$1,),))</f>
        <v/>
      </c>
      <c r="C15030">
        <f>IF(VLOOKUP(Table7[[#This Row],[Date]],Database!$A:$C,MATCH($C$1,Database!$A$1:$C$1,),)=0,#N/A,VLOOKUP(Table7[[#This Row],[Date]],Database!$A:$C,MATCH($C$1,Database!$A$1:$C$1,),))</f>
        <v/>
      </c>
      <c r="D15030">
        <f>IFERROR(Table7[[#This Row],[United States 10y]]-Table7[[#This Row],[United States 3y]],#N/A)</f>
        <v/>
      </c>
    </row>
    <row r="15031">
      <c r="A15031" s="6">
        <f>Database!$A17116</f>
        <v/>
      </c>
      <c r="B15031">
        <f>IF(VLOOKUP(Table7[[#This Row],[Date]],Database!$A:$C,MATCH($B$1,Database!$A$1:$C$1,),)=0,#N/A,VLOOKUP(Table7[[#This Row],[Date]],Database!$A:$C,MATCH($B$1,Database!$A$1:$C$1,),))</f>
        <v/>
      </c>
      <c r="C15031">
        <f>IF(VLOOKUP(Table7[[#This Row],[Date]],Database!$A:$C,MATCH($C$1,Database!$A$1:$C$1,),)=0,#N/A,VLOOKUP(Table7[[#This Row],[Date]],Database!$A:$C,MATCH($C$1,Database!$A$1:$C$1,),))</f>
        <v/>
      </c>
      <c r="D15031">
        <f>IFERROR(Table7[[#This Row],[United States 10y]]-Table7[[#This Row],[United States 3y]],#N/A)</f>
        <v/>
      </c>
    </row>
    <row r="15032">
      <c r="A15032" s="6">
        <f>Database!$A17117</f>
        <v/>
      </c>
      <c r="B15032">
        <f>IF(VLOOKUP(Table7[[#This Row],[Date]],Database!$A:$C,MATCH($B$1,Database!$A$1:$C$1,),)=0,#N/A,VLOOKUP(Table7[[#This Row],[Date]],Database!$A:$C,MATCH($B$1,Database!$A$1:$C$1,),))</f>
        <v/>
      </c>
      <c r="C15032">
        <f>IF(VLOOKUP(Table7[[#This Row],[Date]],Database!$A:$C,MATCH($C$1,Database!$A$1:$C$1,),)=0,#N/A,VLOOKUP(Table7[[#This Row],[Date]],Database!$A:$C,MATCH($C$1,Database!$A$1:$C$1,),))</f>
        <v/>
      </c>
      <c r="D15032">
        <f>IFERROR(Table7[[#This Row],[United States 10y]]-Table7[[#This Row],[United States 3y]],#N/A)</f>
        <v/>
      </c>
    </row>
    <row r="15033">
      <c r="A15033" s="6">
        <f>Database!$A17118</f>
        <v/>
      </c>
      <c r="B15033">
        <f>IF(VLOOKUP(Table7[[#This Row],[Date]],Database!$A:$C,MATCH($B$1,Database!$A$1:$C$1,),)=0,#N/A,VLOOKUP(Table7[[#This Row],[Date]],Database!$A:$C,MATCH($B$1,Database!$A$1:$C$1,),))</f>
        <v/>
      </c>
      <c r="C15033">
        <f>IF(VLOOKUP(Table7[[#This Row],[Date]],Database!$A:$C,MATCH($C$1,Database!$A$1:$C$1,),)=0,#N/A,VLOOKUP(Table7[[#This Row],[Date]],Database!$A:$C,MATCH($C$1,Database!$A$1:$C$1,),))</f>
        <v/>
      </c>
      <c r="D15033">
        <f>IFERROR(Table7[[#This Row],[United States 10y]]-Table7[[#This Row],[United States 3y]],#N/A)</f>
        <v/>
      </c>
    </row>
    <row r="15034">
      <c r="A15034" s="6">
        <f>Database!$A17119</f>
        <v/>
      </c>
      <c r="B15034">
        <f>IF(VLOOKUP(Table7[[#This Row],[Date]],Database!$A:$C,MATCH($B$1,Database!$A$1:$C$1,),)=0,#N/A,VLOOKUP(Table7[[#This Row],[Date]],Database!$A:$C,MATCH($B$1,Database!$A$1:$C$1,),))</f>
        <v/>
      </c>
      <c r="C15034">
        <f>IF(VLOOKUP(Table7[[#This Row],[Date]],Database!$A:$C,MATCH($C$1,Database!$A$1:$C$1,),)=0,#N/A,VLOOKUP(Table7[[#This Row],[Date]],Database!$A:$C,MATCH($C$1,Database!$A$1:$C$1,),))</f>
        <v/>
      </c>
      <c r="D15034">
        <f>IFERROR(Table7[[#This Row],[United States 10y]]-Table7[[#This Row],[United States 3y]],#N/A)</f>
        <v/>
      </c>
    </row>
    <row r="15035">
      <c r="A15035" s="6">
        <f>Database!$A17120</f>
        <v/>
      </c>
      <c r="B15035">
        <f>IF(VLOOKUP(Table7[[#This Row],[Date]],Database!$A:$C,MATCH($B$1,Database!$A$1:$C$1,),)=0,#N/A,VLOOKUP(Table7[[#This Row],[Date]],Database!$A:$C,MATCH($B$1,Database!$A$1:$C$1,),))</f>
        <v/>
      </c>
      <c r="C15035">
        <f>IF(VLOOKUP(Table7[[#This Row],[Date]],Database!$A:$C,MATCH($C$1,Database!$A$1:$C$1,),)=0,#N/A,VLOOKUP(Table7[[#This Row],[Date]],Database!$A:$C,MATCH($C$1,Database!$A$1:$C$1,),))</f>
        <v/>
      </c>
      <c r="D15035">
        <f>IFERROR(Table7[[#This Row],[United States 10y]]-Table7[[#This Row],[United States 3y]],#N/A)</f>
        <v/>
      </c>
    </row>
    <row r="15036">
      <c r="A15036" s="6">
        <f>Database!$A17121</f>
        <v/>
      </c>
      <c r="B15036">
        <f>IF(VLOOKUP(Table7[[#This Row],[Date]],Database!$A:$C,MATCH($B$1,Database!$A$1:$C$1,),)=0,#N/A,VLOOKUP(Table7[[#This Row],[Date]],Database!$A:$C,MATCH($B$1,Database!$A$1:$C$1,),))</f>
        <v/>
      </c>
      <c r="C15036">
        <f>IF(VLOOKUP(Table7[[#This Row],[Date]],Database!$A:$C,MATCH($C$1,Database!$A$1:$C$1,),)=0,#N/A,VLOOKUP(Table7[[#This Row],[Date]],Database!$A:$C,MATCH($C$1,Database!$A$1:$C$1,),))</f>
        <v/>
      </c>
      <c r="D15036">
        <f>IFERROR(Table7[[#This Row],[United States 10y]]-Table7[[#This Row],[United States 3y]],#N/A)</f>
        <v/>
      </c>
    </row>
    <row r="15037">
      <c r="A15037" s="6">
        <f>Database!$A17122</f>
        <v/>
      </c>
      <c r="B15037">
        <f>IF(VLOOKUP(Table7[[#This Row],[Date]],Database!$A:$C,MATCH($B$1,Database!$A$1:$C$1,),)=0,#N/A,VLOOKUP(Table7[[#This Row],[Date]],Database!$A:$C,MATCH($B$1,Database!$A$1:$C$1,),))</f>
        <v/>
      </c>
      <c r="C15037">
        <f>IF(VLOOKUP(Table7[[#This Row],[Date]],Database!$A:$C,MATCH($C$1,Database!$A$1:$C$1,),)=0,#N/A,VLOOKUP(Table7[[#This Row],[Date]],Database!$A:$C,MATCH($C$1,Database!$A$1:$C$1,),))</f>
        <v/>
      </c>
      <c r="D15037">
        <f>IFERROR(Table7[[#This Row],[United States 10y]]-Table7[[#This Row],[United States 3y]],#N/A)</f>
        <v/>
      </c>
    </row>
    <row r="15038">
      <c r="A15038" s="6">
        <f>Database!$A17123</f>
        <v/>
      </c>
      <c r="B15038">
        <f>IF(VLOOKUP(Table7[[#This Row],[Date]],Database!$A:$C,MATCH($B$1,Database!$A$1:$C$1,),)=0,#N/A,VLOOKUP(Table7[[#This Row],[Date]],Database!$A:$C,MATCH($B$1,Database!$A$1:$C$1,),))</f>
        <v/>
      </c>
      <c r="C15038">
        <f>IF(VLOOKUP(Table7[[#This Row],[Date]],Database!$A:$C,MATCH($C$1,Database!$A$1:$C$1,),)=0,#N/A,VLOOKUP(Table7[[#This Row],[Date]],Database!$A:$C,MATCH($C$1,Database!$A$1:$C$1,),))</f>
        <v/>
      </c>
      <c r="D15038">
        <f>IFERROR(Table7[[#This Row],[United States 10y]]-Table7[[#This Row],[United States 3y]],#N/A)</f>
        <v/>
      </c>
    </row>
    <row r="15039">
      <c r="A15039" s="6">
        <f>Database!$A17124</f>
        <v/>
      </c>
      <c r="B15039">
        <f>IF(VLOOKUP(Table7[[#This Row],[Date]],Database!$A:$C,MATCH($B$1,Database!$A$1:$C$1,),)=0,#N/A,VLOOKUP(Table7[[#This Row],[Date]],Database!$A:$C,MATCH($B$1,Database!$A$1:$C$1,),))</f>
        <v/>
      </c>
      <c r="C15039">
        <f>IF(VLOOKUP(Table7[[#This Row],[Date]],Database!$A:$C,MATCH($C$1,Database!$A$1:$C$1,),)=0,#N/A,VLOOKUP(Table7[[#This Row],[Date]],Database!$A:$C,MATCH($C$1,Database!$A$1:$C$1,),))</f>
        <v/>
      </c>
      <c r="D15039">
        <f>IFERROR(Table7[[#This Row],[United States 10y]]-Table7[[#This Row],[United States 3y]],#N/A)</f>
        <v/>
      </c>
    </row>
    <row r="15040">
      <c r="A15040" s="6">
        <f>Database!$A17125</f>
        <v/>
      </c>
      <c r="B15040">
        <f>IF(VLOOKUP(Table7[[#This Row],[Date]],Database!$A:$C,MATCH($B$1,Database!$A$1:$C$1,),)=0,#N/A,VLOOKUP(Table7[[#This Row],[Date]],Database!$A:$C,MATCH($B$1,Database!$A$1:$C$1,),))</f>
        <v/>
      </c>
      <c r="C15040">
        <f>IF(VLOOKUP(Table7[[#This Row],[Date]],Database!$A:$C,MATCH($C$1,Database!$A$1:$C$1,),)=0,#N/A,VLOOKUP(Table7[[#This Row],[Date]],Database!$A:$C,MATCH($C$1,Database!$A$1:$C$1,),))</f>
        <v/>
      </c>
      <c r="D15040">
        <f>IFERROR(Table7[[#This Row],[United States 10y]]-Table7[[#This Row],[United States 3y]],#N/A)</f>
        <v/>
      </c>
    </row>
    <row r="15041">
      <c r="A15041" s="6">
        <f>Database!$A17126</f>
        <v/>
      </c>
      <c r="B15041">
        <f>IF(VLOOKUP(Table7[[#This Row],[Date]],Database!$A:$C,MATCH($B$1,Database!$A$1:$C$1,),)=0,#N/A,VLOOKUP(Table7[[#This Row],[Date]],Database!$A:$C,MATCH($B$1,Database!$A$1:$C$1,),))</f>
        <v/>
      </c>
      <c r="C15041">
        <f>IF(VLOOKUP(Table7[[#This Row],[Date]],Database!$A:$C,MATCH($C$1,Database!$A$1:$C$1,),)=0,#N/A,VLOOKUP(Table7[[#This Row],[Date]],Database!$A:$C,MATCH($C$1,Database!$A$1:$C$1,),))</f>
        <v/>
      </c>
      <c r="D15041">
        <f>IFERROR(Table7[[#This Row],[United States 10y]]-Table7[[#This Row],[United States 3y]],#N/A)</f>
        <v/>
      </c>
    </row>
    <row r="15042">
      <c r="A15042" s="6">
        <f>Database!$A17127</f>
        <v/>
      </c>
      <c r="B15042">
        <f>IF(VLOOKUP(Table7[[#This Row],[Date]],Database!$A:$C,MATCH($B$1,Database!$A$1:$C$1,),)=0,#N/A,VLOOKUP(Table7[[#This Row],[Date]],Database!$A:$C,MATCH($B$1,Database!$A$1:$C$1,),))</f>
        <v/>
      </c>
      <c r="C15042">
        <f>IF(VLOOKUP(Table7[[#This Row],[Date]],Database!$A:$C,MATCH($C$1,Database!$A$1:$C$1,),)=0,#N/A,VLOOKUP(Table7[[#This Row],[Date]],Database!$A:$C,MATCH($C$1,Database!$A$1:$C$1,),))</f>
        <v/>
      </c>
      <c r="D15042">
        <f>IFERROR(Table7[[#This Row],[United States 10y]]-Table7[[#This Row],[United States 3y]],#N/A)</f>
        <v/>
      </c>
    </row>
    <row r="15043">
      <c r="A15043" s="6">
        <f>Database!$A17128</f>
        <v/>
      </c>
      <c r="B15043">
        <f>IF(VLOOKUP(Table7[[#This Row],[Date]],Database!$A:$C,MATCH($B$1,Database!$A$1:$C$1,),)=0,#N/A,VLOOKUP(Table7[[#This Row],[Date]],Database!$A:$C,MATCH($B$1,Database!$A$1:$C$1,),))</f>
        <v/>
      </c>
      <c r="C15043">
        <f>IF(VLOOKUP(Table7[[#This Row],[Date]],Database!$A:$C,MATCH($C$1,Database!$A$1:$C$1,),)=0,#N/A,VLOOKUP(Table7[[#This Row],[Date]],Database!$A:$C,MATCH($C$1,Database!$A$1:$C$1,),))</f>
        <v/>
      </c>
      <c r="D15043">
        <f>IFERROR(Table7[[#This Row],[United States 10y]]-Table7[[#This Row],[United States 3y]],#N/A)</f>
        <v/>
      </c>
    </row>
    <row r="15044">
      <c r="A15044" s="6">
        <f>Database!$A17129</f>
        <v/>
      </c>
      <c r="B15044">
        <f>IF(VLOOKUP(Table7[[#This Row],[Date]],Database!$A:$C,MATCH($B$1,Database!$A$1:$C$1,),)=0,#N/A,VLOOKUP(Table7[[#This Row],[Date]],Database!$A:$C,MATCH($B$1,Database!$A$1:$C$1,),))</f>
        <v/>
      </c>
      <c r="C15044">
        <f>IF(VLOOKUP(Table7[[#This Row],[Date]],Database!$A:$C,MATCH($C$1,Database!$A$1:$C$1,),)=0,#N/A,VLOOKUP(Table7[[#This Row],[Date]],Database!$A:$C,MATCH($C$1,Database!$A$1:$C$1,),))</f>
        <v/>
      </c>
      <c r="D15044">
        <f>IFERROR(Table7[[#This Row],[United States 10y]]-Table7[[#This Row],[United States 3y]],#N/A)</f>
        <v/>
      </c>
    </row>
    <row r="15045">
      <c r="A15045" s="6">
        <f>Database!$A17130</f>
        <v/>
      </c>
      <c r="B15045">
        <f>IF(VLOOKUP(Table7[[#This Row],[Date]],Database!$A:$C,MATCH($B$1,Database!$A$1:$C$1,),)=0,#N/A,VLOOKUP(Table7[[#This Row],[Date]],Database!$A:$C,MATCH($B$1,Database!$A$1:$C$1,),))</f>
        <v/>
      </c>
      <c r="C15045">
        <f>IF(VLOOKUP(Table7[[#This Row],[Date]],Database!$A:$C,MATCH($C$1,Database!$A$1:$C$1,),)=0,#N/A,VLOOKUP(Table7[[#This Row],[Date]],Database!$A:$C,MATCH($C$1,Database!$A$1:$C$1,),))</f>
        <v/>
      </c>
      <c r="D15045">
        <f>IFERROR(Table7[[#This Row],[United States 10y]]-Table7[[#This Row],[United States 3y]],#N/A)</f>
        <v/>
      </c>
    </row>
    <row r="15046">
      <c r="A15046" s="6">
        <f>Database!$A17131</f>
        <v/>
      </c>
      <c r="B15046">
        <f>IF(VLOOKUP(Table7[[#This Row],[Date]],Database!$A:$C,MATCH($B$1,Database!$A$1:$C$1,),)=0,#N/A,VLOOKUP(Table7[[#This Row],[Date]],Database!$A:$C,MATCH($B$1,Database!$A$1:$C$1,),))</f>
        <v/>
      </c>
      <c r="C15046">
        <f>IF(VLOOKUP(Table7[[#This Row],[Date]],Database!$A:$C,MATCH($C$1,Database!$A$1:$C$1,),)=0,#N/A,VLOOKUP(Table7[[#This Row],[Date]],Database!$A:$C,MATCH($C$1,Database!$A$1:$C$1,),))</f>
        <v/>
      </c>
      <c r="D15046">
        <f>IFERROR(Table7[[#This Row],[United States 10y]]-Table7[[#This Row],[United States 3y]],#N/A)</f>
        <v/>
      </c>
    </row>
    <row r="15047">
      <c r="A15047" s="6">
        <f>Database!$A17132</f>
        <v/>
      </c>
      <c r="B15047">
        <f>IF(VLOOKUP(Table7[[#This Row],[Date]],Database!$A:$C,MATCH($B$1,Database!$A$1:$C$1,),)=0,#N/A,VLOOKUP(Table7[[#This Row],[Date]],Database!$A:$C,MATCH($B$1,Database!$A$1:$C$1,),))</f>
        <v/>
      </c>
      <c r="C15047">
        <f>IF(VLOOKUP(Table7[[#This Row],[Date]],Database!$A:$C,MATCH($C$1,Database!$A$1:$C$1,),)=0,#N/A,VLOOKUP(Table7[[#This Row],[Date]],Database!$A:$C,MATCH($C$1,Database!$A$1:$C$1,),))</f>
        <v/>
      </c>
      <c r="D15047">
        <f>IFERROR(Table7[[#This Row],[United States 10y]]-Table7[[#This Row],[United States 3y]],#N/A)</f>
        <v/>
      </c>
    </row>
    <row r="15048">
      <c r="A15048" s="6">
        <f>Database!$A17133</f>
        <v/>
      </c>
      <c r="B15048">
        <f>IF(VLOOKUP(Table7[[#This Row],[Date]],Database!$A:$C,MATCH($B$1,Database!$A$1:$C$1,),)=0,#N/A,VLOOKUP(Table7[[#This Row],[Date]],Database!$A:$C,MATCH($B$1,Database!$A$1:$C$1,),))</f>
        <v/>
      </c>
      <c r="C15048">
        <f>IF(VLOOKUP(Table7[[#This Row],[Date]],Database!$A:$C,MATCH($C$1,Database!$A$1:$C$1,),)=0,#N/A,VLOOKUP(Table7[[#This Row],[Date]],Database!$A:$C,MATCH($C$1,Database!$A$1:$C$1,),))</f>
        <v/>
      </c>
      <c r="D15048">
        <f>IFERROR(Table7[[#This Row],[United States 10y]]-Table7[[#This Row],[United States 3y]],#N/A)</f>
        <v/>
      </c>
    </row>
    <row r="15049">
      <c r="A15049" s="6">
        <f>Database!$A17134</f>
        <v/>
      </c>
      <c r="B15049">
        <f>IF(VLOOKUP(Table7[[#This Row],[Date]],Database!$A:$C,MATCH($B$1,Database!$A$1:$C$1,),)=0,#N/A,VLOOKUP(Table7[[#This Row],[Date]],Database!$A:$C,MATCH($B$1,Database!$A$1:$C$1,),))</f>
        <v/>
      </c>
      <c r="C15049">
        <f>IF(VLOOKUP(Table7[[#This Row],[Date]],Database!$A:$C,MATCH($C$1,Database!$A$1:$C$1,),)=0,#N/A,VLOOKUP(Table7[[#This Row],[Date]],Database!$A:$C,MATCH($C$1,Database!$A$1:$C$1,),))</f>
        <v/>
      </c>
      <c r="D15049">
        <f>IFERROR(Table7[[#This Row],[United States 10y]]-Table7[[#This Row],[United States 3y]],#N/A)</f>
        <v/>
      </c>
    </row>
    <row r="15050">
      <c r="A15050" s="6">
        <f>Database!$A17135</f>
        <v/>
      </c>
      <c r="B15050">
        <f>IF(VLOOKUP(Table7[[#This Row],[Date]],Database!$A:$C,MATCH($B$1,Database!$A$1:$C$1,),)=0,#N/A,VLOOKUP(Table7[[#This Row],[Date]],Database!$A:$C,MATCH($B$1,Database!$A$1:$C$1,),))</f>
        <v/>
      </c>
      <c r="C15050">
        <f>IF(VLOOKUP(Table7[[#This Row],[Date]],Database!$A:$C,MATCH($C$1,Database!$A$1:$C$1,),)=0,#N/A,VLOOKUP(Table7[[#This Row],[Date]],Database!$A:$C,MATCH($C$1,Database!$A$1:$C$1,),))</f>
        <v/>
      </c>
      <c r="D15050">
        <f>IFERROR(Table7[[#This Row],[United States 10y]]-Table7[[#This Row],[United States 3y]],#N/A)</f>
        <v/>
      </c>
    </row>
    <row r="15051">
      <c r="A15051" s="6">
        <f>Database!$A17136</f>
        <v/>
      </c>
      <c r="B15051">
        <f>IF(VLOOKUP(Table7[[#This Row],[Date]],Database!$A:$C,MATCH($B$1,Database!$A$1:$C$1,),)=0,#N/A,VLOOKUP(Table7[[#This Row],[Date]],Database!$A:$C,MATCH($B$1,Database!$A$1:$C$1,),))</f>
        <v/>
      </c>
      <c r="C15051">
        <f>IF(VLOOKUP(Table7[[#This Row],[Date]],Database!$A:$C,MATCH($C$1,Database!$A$1:$C$1,),)=0,#N/A,VLOOKUP(Table7[[#This Row],[Date]],Database!$A:$C,MATCH($C$1,Database!$A$1:$C$1,),))</f>
        <v/>
      </c>
      <c r="D15051">
        <f>IFERROR(Table7[[#This Row],[United States 10y]]-Table7[[#This Row],[United States 3y]],#N/A)</f>
        <v/>
      </c>
    </row>
    <row r="15052">
      <c r="A15052" s="6">
        <f>Database!$A17137</f>
        <v/>
      </c>
      <c r="B15052">
        <f>IF(VLOOKUP(Table7[[#This Row],[Date]],Database!$A:$C,MATCH($B$1,Database!$A$1:$C$1,),)=0,#N/A,VLOOKUP(Table7[[#This Row],[Date]],Database!$A:$C,MATCH($B$1,Database!$A$1:$C$1,),))</f>
        <v/>
      </c>
      <c r="C15052">
        <f>IF(VLOOKUP(Table7[[#This Row],[Date]],Database!$A:$C,MATCH($C$1,Database!$A$1:$C$1,),)=0,#N/A,VLOOKUP(Table7[[#This Row],[Date]],Database!$A:$C,MATCH($C$1,Database!$A$1:$C$1,),))</f>
        <v/>
      </c>
      <c r="D15052">
        <f>IFERROR(Table7[[#This Row],[United States 10y]]-Table7[[#This Row],[United States 3y]],#N/A)</f>
        <v/>
      </c>
    </row>
    <row r="15053">
      <c r="A15053" s="6">
        <f>Database!$A17138</f>
        <v/>
      </c>
      <c r="B15053">
        <f>IF(VLOOKUP(Table7[[#This Row],[Date]],Database!$A:$C,MATCH($B$1,Database!$A$1:$C$1,),)=0,#N/A,VLOOKUP(Table7[[#This Row],[Date]],Database!$A:$C,MATCH($B$1,Database!$A$1:$C$1,),))</f>
        <v/>
      </c>
      <c r="C15053">
        <f>IF(VLOOKUP(Table7[[#This Row],[Date]],Database!$A:$C,MATCH($C$1,Database!$A$1:$C$1,),)=0,#N/A,VLOOKUP(Table7[[#This Row],[Date]],Database!$A:$C,MATCH($C$1,Database!$A$1:$C$1,),))</f>
        <v/>
      </c>
      <c r="D15053">
        <f>IFERROR(Table7[[#This Row],[United States 10y]]-Table7[[#This Row],[United States 3y]],#N/A)</f>
        <v/>
      </c>
    </row>
    <row r="15054">
      <c r="A15054" s="6">
        <f>Database!$A17139</f>
        <v/>
      </c>
      <c r="B15054">
        <f>IF(VLOOKUP(Table7[[#This Row],[Date]],Database!$A:$C,MATCH($B$1,Database!$A$1:$C$1,),)=0,#N/A,VLOOKUP(Table7[[#This Row],[Date]],Database!$A:$C,MATCH($B$1,Database!$A$1:$C$1,),))</f>
        <v/>
      </c>
      <c r="C15054">
        <f>IF(VLOOKUP(Table7[[#This Row],[Date]],Database!$A:$C,MATCH($C$1,Database!$A$1:$C$1,),)=0,#N/A,VLOOKUP(Table7[[#This Row],[Date]],Database!$A:$C,MATCH($C$1,Database!$A$1:$C$1,),))</f>
        <v/>
      </c>
      <c r="D15054">
        <f>IFERROR(Table7[[#This Row],[United States 10y]]-Table7[[#This Row],[United States 3y]],#N/A)</f>
        <v/>
      </c>
    </row>
    <row r="15055">
      <c r="A15055" s="6">
        <f>Database!$A17140</f>
        <v/>
      </c>
      <c r="B15055">
        <f>IF(VLOOKUP(Table7[[#This Row],[Date]],Database!$A:$C,MATCH($B$1,Database!$A$1:$C$1,),)=0,#N/A,VLOOKUP(Table7[[#This Row],[Date]],Database!$A:$C,MATCH($B$1,Database!$A$1:$C$1,),))</f>
        <v/>
      </c>
      <c r="C15055">
        <f>IF(VLOOKUP(Table7[[#This Row],[Date]],Database!$A:$C,MATCH($C$1,Database!$A$1:$C$1,),)=0,#N/A,VLOOKUP(Table7[[#This Row],[Date]],Database!$A:$C,MATCH($C$1,Database!$A$1:$C$1,),))</f>
        <v/>
      </c>
      <c r="D15055">
        <f>IFERROR(Table7[[#This Row],[United States 10y]]-Table7[[#This Row],[United States 3y]],#N/A)</f>
        <v/>
      </c>
    </row>
    <row r="15056">
      <c r="A15056" s="6">
        <f>Database!$A17141</f>
        <v/>
      </c>
      <c r="B15056">
        <f>IF(VLOOKUP(Table7[[#This Row],[Date]],Database!$A:$C,MATCH($B$1,Database!$A$1:$C$1,),)=0,#N/A,VLOOKUP(Table7[[#This Row],[Date]],Database!$A:$C,MATCH($B$1,Database!$A$1:$C$1,),))</f>
        <v/>
      </c>
      <c r="C15056">
        <f>IF(VLOOKUP(Table7[[#This Row],[Date]],Database!$A:$C,MATCH($C$1,Database!$A$1:$C$1,),)=0,#N/A,VLOOKUP(Table7[[#This Row],[Date]],Database!$A:$C,MATCH($C$1,Database!$A$1:$C$1,),))</f>
        <v/>
      </c>
      <c r="D15056">
        <f>IFERROR(Table7[[#This Row],[United States 10y]]-Table7[[#This Row],[United States 3y]],#N/A)</f>
        <v/>
      </c>
    </row>
    <row r="15057">
      <c r="A15057" s="6">
        <f>Database!$A17142</f>
        <v/>
      </c>
      <c r="B15057">
        <f>IF(VLOOKUP(Table7[[#This Row],[Date]],Database!$A:$C,MATCH($B$1,Database!$A$1:$C$1,),)=0,#N/A,VLOOKUP(Table7[[#This Row],[Date]],Database!$A:$C,MATCH($B$1,Database!$A$1:$C$1,),))</f>
        <v/>
      </c>
      <c r="C15057">
        <f>IF(VLOOKUP(Table7[[#This Row],[Date]],Database!$A:$C,MATCH($C$1,Database!$A$1:$C$1,),)=0,#N/A,VLOOKUP(Table7[[#This Row],[Date]],Database!$A:$C,MATCH($C$1,Database!$A$1:$C$1,),))</f>
        <v/>
      </c>
      <c r="D15057">
        <f>IFERROR(Table7[[#This Row],[United States 10y]]-Table7[[#This Row],[United States 3y]],#N/A)</f>
        <v/>
      </c>
    </row>
    <row r="15058">
      <c r="A15058" s="6">
        <f>Database!$A17143</f>
        <v/>
      </c>
      <c r="B15058">
        <f>IF(VLOOKUP(Table7[[#This Row],[Date]],Database!$A:$C,MATCH($B$1,Database!$A$1:$C$1,),)=0,#N/A,VLOOKUP(Table7[[#This Row],[Date]],Database!$A:$C,MATCH($B$1,Database!$A$1:$C$1,),))</f>
        <v/>
      </c>
      <c r="C15058">
        <f>IF(VLOOKUP(Table7[[#This Row],[Date]],Database!$A:$C,MATCH($C$1,Database!$A$1:$C$1,),)=0,#N/A,VLOOKUP(Table7[[#This Row],[Date]],Database!$A:$C,MATCH($C$1,Database!$A$1:$C$1,),))</f>
        <v/>
      </c>
      <c r="D15058">
        <f>IFERROR(Table7[[#This Row],[United States 10y]]-Table7[[#This Row],[United States 3y]],#N/A)</f>
        <v/>
      </c>
    </row>
    <row r="15059">
      <c r="A15059" s="6">
        <f>Database!$A17144</f>
        <v/>
      </c>
      <c r="B15059">
        <f>IF(VLOOKUP(Table7[[#This Row],[Date]],Database!$A:$C,MATCH($B$1,Database!$A$1:$C$1,),)=0,#N/A,VLOOKUP(Table7[[#This Row],[Date]],Database!$A:$C,MATCH($B$1,Database!$A$1:$C$1,),))</f>
        <v/>
      </c>
      <c r="C15059">
        <f>IF(VLOOKUP(Table7[[#This Row],[Date]],Database!$A:$C,MATCH($C$1,Database!$A$1:$C$1,),)=0,#N/A,VLOOKUP(Table7[[#This Row],[Date]],Database!$A:$C,MATCH($C$1,Database!$A$1:$C$1,),))</f>
        <v/>
      </c>
      <c r="D15059">
        <f>IFERROR(Table7[[#This Row],[United States 10y]]-Table7[[#This Row],[United States 3y]],#N/A)</f>
        <v/>
      </c>
    </row>
    <row r="15060">
      <c r="A15060" s="6">
        <f>Database!$A17145</f>
        <v/>
      </c>
      <c r="B15060">
        <f>IF(VLOOKUP(Table7[[#This Row],[Date]],Database!$A:$C,MATCH($B$1,Database!$A$1:$C$1,),)=0,#N/A,VLOOKUP(Table7[[#This Row],[Date]],Database!$A:$C,MATCH($B$1,Database!$A$1:$C$1,),))</f>
        <v/>
      </c>
      <c r="C15060">
        <f>IF(VLOOKUP(Table7[[#This Row],[Date]],Database!$A:$C,MATCH($C$1,Database!$A$1:$C$1,),)=0,#N/A,VLOOKUP(Table7[[#This Row],[Date]],Database!$A:$C,MATCH($C$1,Database!$A$1:$C$1,),))</f>
        <v/>
      </c>
      <c r="D15060">
        <f>IFERROR(Table7[[#This Row],[United States 10y]]-Table7[[#This Row],[United States 3y]],#N/A)</f>
        <v/>
      </c>
    </row>
    <row r="15061">
      <c r="A15061" s="6">
        <f>Database!$A17146</f>
        <v/>
      </c>
      <c r="B15061">
        <f>IF(VLOOKUP(Table7[[#This Row],[Date]],Database!$A:$C,MATCH($B$1,Database!$A$1:$C$1,),)=0,#N/A,VLOOKUP(Table7[[#This Row],[Date]],Database!$A:$C,MATCH($B$1,Database!$A$1:$C$1,),))</f>
        <v/>
      </c>
      <c r="C15061">
        <f>IF(VLOOKUP(Table7[[#This Row],[Date]],Database!$A:$C,MATCH($C$1,Database!$A$1:$C$1,),)=0,#N/A,VLOOKUP(Table7[[#This Row],[Date]],Database!$A:$C,MATCH($C$1,Database!$A$1:$C$1,),))</f>
        <v/>
      </c>
      <c r="D15061">
        <f>IFERROR(Table7[[#This Row],[United States 10y]]-Table7[[#This Row],[United States 3y]],#N/A)</f>
        <v/>
      </c>
    </row>
    <row r="15062">
      <c r="A15062" s="6">
        <f>Database!$A17147</f>
        <v/>
      </c>
      <c r="B15062">
        <f>IF(VLOOKUP(Table7[[#This Row],[Date]],Database!$A:$C,MATCH($B$1,Database!$A$1:$C$1,),)=0,#N/A,VLOOKUP(Table7[[#This Row],[Date]],Database!$A:$C,MATCH($B$1,Database!$A$1:$C$1,),))</f>
        <v/>
      </c>
      <c r="C15062">
        <f>IF(VLOOKUP(Table7[[#This Row],[Date]],Database!$A:$C,MATCH($C$1,Database!$A$1:$C$1,),)=0,#N/A,VLOOKUP(Table7[[#This Row],[Date]],Database!$A:$C,MATCH($C$1,Database!$A$1:$C$1,),))</f>
        <v/>
      </c>
      <c r="D15062">
        <f>IFERROR(Table7[[#This Row],[United States 10y]]-Table7[[#This Row],[United States 3y]],#N/A)</f>
        <v/>
      </c>
    </row>
    <row r="15063">
      <c r="A15063" s="6">
        <f>Database!$A17148</f>
        <v/>
      </c>
      <c r="B15063">
        <f>IF(VLOOKUP(Table7[[#This Row],[Date]],Database!$A:$C,MATCH($B$1,Database!$A$1:$C$1,),)=0,#N/A,VLOOKUP(Table7[[#This Row],[Date]],Database!$A:$C,MATCH($B$1,Database!$A$1:$C$1,),))</f>
        <v/>
      </c>
      <c r="C15063">
        <f>IF(VLOOKUP(Table7[[#This Row],[Date]],Database!$A:$C,MATCH($C$1,Database!$A$1:$C$1,),)=0,#N/A,VLOOKUP(Table7[[#This Row],[Date]],Database!$A:$C,MATCH($C$1,Database!$A$1:$C$1,),))</f>
        <v/>
      </c>
      <c r="D15063">
        <f>IFERROR(Table7[[#This Row],[United States 10y]]-Table7[[#This Row],[United States 3y]],#N/A)</f>
        <v/>
      </c>
    </row>
    <row r="15064">
      <c r="A15064" s="6">
        <f>Database!$A17149</f>
        <v/>
      </c>
      <c r="B15064">
        <f>IF(VLOOKUP(Table7[[#This Row],[Date]],Database!$A:$C,MATCH($B$1,Database!$A$1:$C$1,),)=0,#N/A,VLOOKUP(Table7[[#This Row],[Date]],Database!$A:$C,MATCH($B$1,Database!$A$1:$C$1,),))</f>
        <v/>
      </c>
      <c r="C15064">
        <f>IF(VLOOKUP(Table7[[#This Row],[Date]],Database!$A:$C,MATCH($C$1,Database!$A$1:$C$1,),)=0,#N/A,VLOOKUP(Table7[[#This Row],[Date]],Database!$A:$C,MATCH($C$1,Database!$A$1:$C$1,),))</f>
        <v/>
      </c>
      <c r="D15064">
        <f>IFERROR(Table7[[#This Row],[United States 10y]]-Table7[[#This Row],[United States 3y]],#N/A)</f>
        <v/>
      </c>
    </row>
    <row r="15065">
      <c r="A15065" s="6">
        <f>Database!$A17150</f>
        <v/>
      </c>
      <c r="B15065">
        <f>IF(VLOOKUP(Table7[[#This Row],[Date]],Database!$A:$C,MATCH($B$1,Database!$A$1:$C$1,),)=0,#N/A,VLOOKUP(Table7[[#This Row],[Date]],Database!$A:$C,MATCH($B$1,Database!$A$1:$C$1,),))</f>
        <v/>
      </c>
      <c r="C15065">
        <f>IF(VLOOKUP(Table7[[#This Row],[Date]],Database!$A:$C,MATCH($C$1,Database!$A$1:$C$1,),)=0,#N/A,VLOOKUP(Table7[[#This Row],[Date]],Database!$A:$C,MATCH($C$1,Database!$A$1:$C$1,),))</f>
        <v/>
      </c>
      <c r="D15065">
        <f>IFERROR(Table7[[#This Row],[United States 10y]]-Table7[[#This Row],[United States 3y]],#N/A)</f>
        <v/>
      </c>
    </row>
    <row r="15066">
      <c r="A15066" s="6">
        <f>Database!$A17151</f>
        <v/>
      </c>
      <c r="B15066">
        <f>IF(VLOOKUP(Table7[[#This Row],[Date]],Database!$A:$C,MATCH($B$1,Database!$A$1:$C$1,),)=0,#N/A,VLOOKUP(Table7[[#This Row],[Date]],Database!$A:$C,MATCH($B$1,Database!$A$1:$C$1,),))</f>
        <v/>
      </c>
      <c r="C15066">
        <f>IF(VLOOKUP(Table7[[#This Row],[Date]],Database!$A:$C,MATCH($C$1,Database!$A$1:$C$1,),)=0,#N/A,VLOOKUP(Table7[[#This Row],[Date]],Database!$A:$C,MATCH($C$1,Database!$A$1:$C$1,),))</f>
        <v/>
      </c>
      <c r="D15066">
        <f>IFERROR(Table7[[#This Row],[United States 10y]]-Table7[[#This Row],[United States 3y]],#N/A)</f>
        <v/>
      </c>
    </row>
    <row r="15067">
      <c r="A15067" s="6">
        <f>Database!$A17152</f>
        <v/>
      </c>
      <c r="B15067">
        <f>IF(VLOOKUP(Table7[[#This Row],[Date]],Database!$A:$C,MATCH($B$1,Database!$A$1:$C$1,),)=0,#N/A,VLOOKUP(Table7[[#This Row],[Date]],Database!$A:$C,MATCH($B$1,Database!$A$1:$C$1,),))</f>
        <v/>
      </c>
      <c r="C15067">
        <f>IF(VLOOKUP(Table7[[#This Row],[Date]],Database!$A:$C,MATCH($C$1,Database!$A$1:$C$1,),)=0,#N/A,VLOOKUP(Table7[[#This Row],[Date]],Database!$A:$C,MATCH($C$1,Database!$A$1:$C$1,),))</f>
        <v/>
      </c>
      <c r="D15067">
        <f>IFERROR(Table7[[#This Row],[United States 10y]]-Table7[[#This Row],[United States 3y]],#N/A)</f>
        <v/>
      </c>
    </row>
    <row r="15068">
      <c r="A15068" s="6">
        <f>Database!$A17153</f>
        <v/>
      </c>
      <c r="B15068">
        <f>IF(VLOOKUP(Table7[[#This Row],[Date]],Database!$A:$C,MATCH($B$1,Database!$A$1:$C$1,),)=0,#N/A,VLOOKUP(Table7[[#This Row],[Date]],Database!$A:$C,MATCH($B$1,Database!$A$1:$C$1,),))</f>
        <v/>
      </c>
      <c r="C15068">
        <f>IF(VLOOKUP(Table7[[#This Row],[Date]],Database!$A:$C,MATCH($C$1,Database!$A$1:$C$1,),)=0,#N/A,VLOOKUP(Table7[[#This Row],[Date]],Database!$A:$C,MATCH($C$1,Database!$A$1:$C$1,),))</f>
        <v/>
      </c>
      <c r="D15068">
        <f>IFERROR(Table7[[#This Row],[United States 10y]]-Table7[[#This Row],[United States 3y]],#N/A)</f>
        <v/>
      </c>
    </row>
    <row r="15069">
      <c r="A15069" s="6">
        <f>Database!$A17154</f>
        <v/>
      </c>
      <c r="B15069">
        <f>IF(VLOOKUP(Table7[[#This Row],[Date]],Database!$A:$C,MATCH($B$1,Database!$A$1:$C$1,),)=0,#N/A,VLOOKUP(Table7[[#This Row],[Date]],Database!$A:$C,MATCH($B$1,Database!$A$1:$C$1,),))</f>
        <v/>
      </c>
      <c r="C15069">
        <f>IF(VLOOKUP(Table7[[#This Row],[Date]],Database!$A:$C,MATCH($C$1,Database!$A$1:$C$1,),)=0,#N/A,VLOOKUP(Table7[[#This Row],[Date]],Database!$A:$C,MATCH($C$1,Database!$A$1:$C$1,),))</f>
        <v/>
      </c>
      <c r="D15069">
        <f>IFERROR(Table7[[#This Row],[United States 10y]]-Table7[[#This Row],[United States 3y]],#N/A)</f>
        <v/>
      </c>
    </row>
    <row r="15070">
      <c r="A15070" s="6">
        <f>Database!$A17155</f>
        <v/>
      </c>
      <c r="B15070">
        <f>IF(VLOOKUP(Table7[[#This Row],[Date]],Database!$A:$C,MATCH($B$1,Database!$A$1:$C$1,),)=0,#N/A,VLOOKUP(Table7[[#This Row],[Date]],Database!$A:$C,MATCH($B$1,Database!$A$1:$C$1,),))</f>
        <v/>
      </c>
      <c r="C15070">
        <f>IF(VLOOKUP(Table7[[#This Row],[Date]],Database!$A:$C,MATCH($C$1,Database!$A$1:$C$1,),)=0,#N/A,VLOOKUP(Table7[[#This Row],[Date]],Database!$A:$C,MATCH($C$1,Database!$A$1:$C$1,),))</f>
        <v/>
      </c>
      <c r="D15070">
        <f>IFERROR(Table7[[#This Row],[United States 10y]]-Table7[[#This Row],[United States 3y]],#N/A)</f>
        <v/>
      </c>
    </row>
    <row r="15071">
      <c r="A15071" s="6">
        <f>Database!$A17156</f>
        <v/>
      </c>
      <c r="B15071">
        <f>IF(VLOOKUP(Table7[[#This Row],[Date]],Database!$A:$C,MATCH($B$1,Database!$A$1:$C$1,),)=0,#N/A,VLOOKUP(Table7[[#This Row],[Date]],Database!$A:$C,MATCH($B$1,Database!$A$1:$C$1,),))</f>
        <v/>
      </c>
      <c r="C15071">
        <f>IF(VLOOKUP(Table7[[#This Row],[Date]],Database!$A:$C,MATCH($C$1,Database!$A$1:$C$1,),)=0,#N/A,VLOOKUP(Table7[[#This Row],[Date]],Database!$A:$C,MATCH($C$1,Database!$A$1:$C$1,),))</f>
        <v/>
      </c>
      <c r="D15071">
        <f>IFERROR(Table7[[#This Row],[United States 10y]]-Table7[[#This Row],[United States 3y]],#N/A)</f>
        <v/>
      </c>
    </row>
    <row r="15072">
      <c r="A15072" s="6">
        <f>Database!$A17157</f>
        <v/>
      </c>
      <c r="B15072">
        <f>IF(VLOOKUP(Table7[[#This Row],[Date]],Database!$A:$C,MATCH($B$1,Database!$A$1:$C$1,),)=0,#N/A,VLOOKUP(Table7[[#This Row],[Date]],Database!$A:$C,MATCH($B$1,Database!$A$1:$C$1,),))</f>
        <v/>
      </c>
      <c r="C15072">
        <f>IF(VLOOKUP(Table7[[#This Row],[Date]],Database!$A:$C,MATCH($C$1,Database!$A$1:$C$1,),)=0,#N/A,VLOOKUP(Table7[[#This Row],[Date]],Database!$A:$C,MATCH($C$1,Database!$A$1:$C$1,),))</f>
        <v/>
      </c>
      <c r="D15072">
        <f>IFERROR(Table7[[#This Row],[United States 10y]]-Table7[[#This Row],[United States 3y]],#N/A)</f>
        <v/>
      </c>
    </row>
    <row r="15073">
      <c r="A15073" s="6">
        <f>Database!$A17158</f>
        <v/>
      </c>
      <c r="B15073">
        <f>IF(VLOOKUP(Table7[[#This Row],[Date]],Database!$A:$C,MATCH($B$1,Database!$A$1:$C$1,),)=0,#N/A,VLOOKUP(Table7[[#This Row],[Date]],Database!$A:$C,MATCH($B$1,Database!$A$1:$C$1,),))</f>
        <v/>
      </c>
      <c r="C15073">
        <f>IF(VLOOKUP(Table7[[#This Row],[Date]],Database!$A:$C,MATCH($C$1,Database!$A$1:$C$1,),)=0,#N/A,VLOOKUP(Table7[[#This Row],[Date]],Database!$A:$C,MATCH($C$1,Database!$A$1:$C$1,),))</f>
        <v/>
      </c>
      <c r="D15073">
        <f>IFERROR(Table7[[#This Row],[United States 10y]]-Table7[[#This Row],[United States 3y]],#N/A)</f>
        <v/>
      </c>
    </row>
    <row r="15074">
      <c r="A15074" s="6">
        <f>Database!$A17159</f>
        <v/>
      </c>
      <c r="B15074">
        <f>IF(VLOOKUP(Table7[[#This Row],[Date]],Database!$A:$C,MATCH($B$1,Database!$A$1:$C$1,),)=0,#N/A,VLOOKUP(Table7[[#This Row],[Date]],Database!$A:$C,MATCH($B$1,Database!$A$1:$C$1,),))</f>
        <v/>
      </c>
      <c r="C15074">
        <f>IF(VLOOKUP(Table7[[#This Row],[Date]],Database!$A:$C,MATCH($C$1,Database!$A$1:$C$1,),)=0,#N/A,VLOOKUP(Table7[[#This Row],[Date]],Database!$A:$C,MATCH($C$1,Database!$A$1:$C$1,),))</f>
        <v/>
      </c>
      <c r="D15074">
        <f>IFERROR(Table7[[#This Row],[United States 10y]]-Table7[[#This Row],[United States 3y]],#N/A)</f>
        <v/>
      </c>
    </row>
    <row r="15075">
      <c r="A15075" s="6">
        <f>Database!$A17160</f>
        <v/>
      </c>
      <c r="B15075">
        <f>IF(VLOOKUP(Table7[[#This Row],[Date]],Database!$A:$C,MATCH($B$1,Database!$A$1:$C$1,),)=0,#N/A,VLOOKUP(Table7[[#This Row],[Date]],Database!$A:$C,MATCH($B$1,Database!$A$1:$C$1,),))</f>
        <v/>
      </c>
      <c r="C15075">
        <f>IF(VLOOKUP(Table7[[#This Row],[Date]],Database!$A:$C,MATCH($C$1,Database!$A$1:$C$1,),)=0,#N/A,VLOOKUP(Table7[[#This Row],[Date]],Database!$A:$C,MATCH($C$1,Database!$A$1:$C$1,),))</f>
        <v/>
      </c>
      <c r="D15075">
        <f>IFERROR(Table7[[#This Row],[United States 10y]]-Table7[[#This Row],[United States 3y]],#N/A)</f>
        <v/>
      </c>
    </row>
    <row r="15076">
      <c r="A15076" s="6">
        <f>Database!$A17161</f>
        <v/>
      </c>
      <c r="B15076">
        <f>IF(VLOOKUP(Table7[[#This Row],[Date]],Database!$A:$C,MATCH($B$1,Database!$A$1:$C$1,),)=0,#N/A,VLOOKUP(Table7[[#This Row],[Date]],Database!$A:$C,MATCH($B$1,Database!$A$1:$C$1,),))</f>
        <v/>
      </c>
      <c r="C15076">
        <f>IF(VLOOKUP(Table7[[#This Row],[Date]],Database!$A:$C,MATCH($C$1,Database!$A$1:$C$1,),)=0,#N/A,VLOOKUP(Table7[[#This Row],[Date]],Database!$A:$C,MATCH($C$1,Database!$A$1:$C$1,),))</f>
        <v/>
      </c>
      <c r="D15076">
        <f>IFERROR(Table7[[#This Row],[United States 10y]]-Table7[[#This Row],[United States 3y]],#N/A)</f>
        <v/>
      </c>
    </row>
    <row r="15077">
      <c r="A15077" s="6">
        <f>Database!$A17162</f>
        <v/>
      </c>
      <c r="B15077">
        <f>IF(VLOOKUP(Table7[[#This Row],[Date]],Database!$A:$C,MATCH($B$1,Database!$A$1:$C$1,),)=0,#N/A,VLOOKUP(Table7[[#This Row],[Date]],Database!$A:$C,MATCH($B$1,Database!$A$1:$C$1,),))</f>
        <v/>
      </c>
      <c r="C15077">
        <f>IF(VLOOKUP(Table7[[#This Row],[Date]],Database!$A:$C,MATCH($C$1,Database!$A$1:$C$1,),)=0,#N/A,VLOOKUP(Table7[[#This Row],[Date]],Database!$A:$C,MATCH($C$1,Database!$A$1:$C$1,),))</f>
        <v/>
      </c>
      <c r="D15077">
        <f>IFERROR(Table7[[#This Row],[United States 10y]]-Table7[[#This Row],[United States 3y]],#N/A)</f>
        <v/>
      </c>
    </row>
    <row r="15078">
      <c r="A15078" s="6">
        <f>Database!$A17163</f>
        <v/>
      </c>
      <c r="B15078">
        <f>IF(VLOOKUP(Table7[[#This Row],[Date]],Database!$A:$C,MATCH($B$1,Database!$A$1:$C$1,),)=0,#N/A,VLOOKUP(Table7[[#This Row],[Date]],Database!$A:$C,MATCH($B$1,Database!$A$1:$C$1,),))</f>
        <v/>
      </c>
      <c r="C15078">
        <f>IF(VLOOKUP(Table7[[#This Row],[Date]],Database!$A:$C,MATCH($C$1,Database!$A$1:$C$1,),)=0,#N/A,VLOOKUP(Table7[[#This Row],[Date]],Database!$A:$C,MATCH($C$1,Database!$A$1:$C$1,),))</f>
        <v/>
      </c>
      <c r="D15078">
        <f>IFERROR(Table7[[#This Row],[United States 10y]]-Table7[[#This Row],[United States 3y]],#N/A)</f>
        <v/>
      </c>
    </row>
    <row r="15079">
      <c r="A15079" s="6">
        <f>Database!$A17164</f>
        <v/>
      </c>
      <c r="B15079">
        <f>IF(VLOOKUP(Table7[[#This Row],[Date]],Database!$A:$C,MATCH($B$1,Database!$A$1:$C$1,),)=0,#N/A,VLOOKUP(Table7[[#This Row],[Date]],Database!$A:$C,MATCH($B$1,Database!$A$1:$C$1,),))</f>
        <v/>
      </c>
      <c r="C15079">
        <f>IF(VLOOKUP(Table7[[#This Row],[Date]],Database!$A:$C,MATCH($C$1,Database!$A$1:$C$1,),)=0,#N/A,VLOOKUP(Table7[[#This Row],[Date]],Database!$A:$C,MATCH($C$1,Database!$A$1:$C$1,),))</f>
        <v/>
      </c>
      <c r="D15079">
        <f>IFERROR(Table7[[#This Row],[United States 10y]]-Table7[[#This Row],[United States 3y]],#N/A)</f>
        <v/>
      </c>
    </row>
    <row r="15080">
      <c r="A15080" s="6">
        <f>Database!$A17165</f>
        <v/>
      </c>
      <c r="B15080">
        <f>IF(VLOOKUP(Table7[[#This Row],[Date]],Database!$A:$C,MATCH($B$1,Database!$A$1:$C$1,),)=0,#N/A,VLOOKUP(Table7[[#This Row],[Date]],Database!$A:$C,MATCH($B$1,Database!$A$1:$C$1,),))</f>
        <v/>
      </c>
      <c r="C15080">
        <f>IF(VLOOKUP(Table7[[#This Row],[Date]],Database!$A:$C,MATCH($C$1,Database!$A$1:$C$1,),)=0,#N/A,VLOOKUP(Table7[[#This Row],[Date]],Database!$A:$C,MATCH($C$1,Database!$A$1:$C$1,),))</f>
        <v/>
      </c>
      <c r="D15080">
        <f>IFERROR(Table7[[#This Row],[United States 10y]]-Table7[[#This Row],[United States 3y]],#N/A)</f>
        <v/>
      </c>
    </row>
    <row r="15081">
      <c r="A15081" s="6">
        <f>Database!$A17166</f>
        <v/>
      </c>
      <c r="B15081">
        <f>IF(VLOOKUP(Table7[[#This Row],[Date]],Database!$A:$C,MATCH($B$1,Database!$A$1:$C$1,),)=0,#N/A,VLOOKUP(Table7[[#This Row],[Date]],Database!$A:$C,MATCH($B$1,Database!$A$1:$C$1,),))</f>
        <v/>
      </c>
      <c r="C15081">
        <f>IF(VLOOKUP(Table7[[#This Row],[Date]],Database!$A:$C,MATCH($C$1,Database!$A$1:$C$1,),)=0,#N/A,VLOOKUP(Table7[[#This Row],[Date]],Database!$A:$C,MATCH($C$1,Database!$A$1:$C$1,),))</f>
        <v/>
      </c>
      <c r="D15081">
        <f>IFERROR(Table7[[#This Row],[United States 10y]]-Table7[[#This Row],[United States 3y]],#N/A)</f>
        <v/>
      </c>
    </row>
    <row r="15082">
      <c r="A15082" s="6">
        <f>Database!$A17167</f>
        <v/>
      </c>
      <c r="B15082">
        <f>IF(VLOOKUP(Table7[[#This Row],[Date]],Database!$A:$C,MATCH($B$1,Database!$A$1:$C$1,),)=0,#N/A,VLOOKUP(Table7[[#This Row],[Date]],Database!$A:$C,MATCH($B$1,Database!$A$1:$C$1,),))</f>
        <v/>
      </c>
      <c r="C15082">
        <f>IF(VLOOKUP(Table7[[#This Row],[Date]],Database!$A:$C,MATCH($C$1,Database!$A$1:$C$1,),)=0,#N/A,VLOOKUP(Table7[[#This Row],[Date]],Database!$A:$C,MATCH($C$1,Database!$A$1:$C$1,),))</f>
        <v/>
      </c>
      <c r="D15082">
        <f>IFERROR(Table7[[#This Row],[United States 10y]]-Table7[[#This Row],[United States 3y]],#N/A)</f>
        <v/>
      </c>
    </row>
    <row r="15083">
      <c r="A15083" s="6">
        <f>Database!$A17168</f>
        <v/>
      </c>
      <c r="B15083">
        <f>IF(VLOOKUP(Table7[[#This Row],[Date]],Database!$A:$C,MATCH($B$1,Database!$A$1:$C$1,),)=0,#N/A,VLOOKUP(Table7[[#This Row],[Date]],Database!$A:$C,MATCH($B$1,Database!$A$1:$C$1,),))</f>
        <v/>
      </c>
      <c r="C15083">
        <f>IF(VLOOKUP(Table7[[#This Row],[Date]],Database!$A:$C,MATCH($C$1,Database!$A$1:$C$1,),)=0,#N/A,VLOOKUP(Table7[[#This Row],[Date]],Database!$A:$C,MATCH($C$1,Database!$A$1:$C$1,),))</f>
        <v/>
      </c>
      <c r="D15083">
        <f>IFERROR(Table7[[#This Row],[United States 10y]]-Table7[[#This Row],[United States 3y]],#N/A)</f>
        <v/>
      </c>
    </row>
    <row r="15084">
      <c r="A15084" s="6">
        <f>Database!$A17169</f>
        <v/>
      </c>
      <c r="B15084">
        <f>IF(VLOOKUP(Table7[[#This Row],[Date]],Database!$A:$C,MATCH($B$1,Database!$A$1:$C$1,),)=0,#N/A,VLOOKUP(Table7[[#This Row],[Date]],Database!$A:$C,MATCH($B$1,Database!$A$1:$C$1,),))</f>
        <v/>
      </c>
      <c r="C15084">
        <f>IF(VLOOKUP(Table7[[#This Row],[Date]],Database!$A:$C,MATCH($C$1,Database!$A$1:$C$1,),)=0,#N/A,VLOOKUP(Table7[[#This Row],[Date]],Database!$A:$C,MATCH($C$1,Database!$A$1:$C$1,),))</f>
        <v/>
      </c>
      <c r="D15084">
        <f>IFERROR(Table7[[#This Row],[United States 10y]]-Table7[[#This Row],[United States 3y]],#N/A)</f>
        <v/>
      </c>
    </row>
    <row r="15085">
      <c r="A15085" s="6">
        <f>Database!$A17170</f>
        <v/>
      </c>
      <c r="B15085">
        <f>IF(VLOOKUP(Table7[[#This Row],[Date]],Database!$A:$C,MATCH($B$1,Database!$A$1:$C$1,),)=0,#N/A,VLOOKUP(Table7[[#This Row],[Date]],Database!$A:$C,MATCH($B$1,Database!$A$1:$C$1,),))</f>
        <v/>
      </c>
      <c r="C15085">
        <f>IF(VLOOKUP(Table7[[#This Row],[Date]],Database!$A:$C,MATCH($C$1,Database!$A$1:$C$1,),)=0,#N/A,VLOOKUP(Table7[[#This Row],[Date]],Database!$A:$C,MATCH($C$1,Database!$A$1:$C$1,),))</f>
        <v/>
      </c>
      <c r="D15085">
        <f>IFERROR(Table7[[#This Row],[United States 10y]]-Table7[[#This Row],[United States 3y]],#N/A)</f>
        <v/>
      </c>
    </row>
    <row r="15086">
      <c r="A15086" s="6">
        <f>Database!$A17171</f>
        <v/>
      </c>
      <c r="B15086">
        <f>IF(VLOOKUP(Table7[[#This Row],[Date]],Database!$A:$C,MATCH($B$1,Database!$A$1:$C$1,),)=0,#N/A,VLOOKUP(Table7[[#This Row],[Date]],Database!$A:$C,MATCH($B$1,Database!$A$1:$C$1,),))</f>
        <v/>
      </c>
      <c r="C15086">
        <f>IF(VLOOKUP(Table7[[#This Row],[Date]],Database!$A:$C,MATCH($C$1,Database!$A$1:$C$1,),)=0,#N/A,VLOOKUP(Table7[[#This Row],[Date]],Database!$A:$C,MATCH($C$1,Database!$A$1:$C$1,),))</f>
        <v/>
      </c>
      <c r="D15086">
        <f>IFERROR(Table7[[#This Row],[United States 10y]]-Table7[[#This Row],[United States 3y]],#N/A)</f>
        <v/>
      </c>
    </row>
    <row r="15087">
      <c r="A15087" s="6">
        <f>Database!$A17172</f>
        <v/>
      </c>
      <c r="B15087">
        <f>IF(VLOOKUP(Table7[[#This Row],[Date]],Database!$A:$C,MATCH($B$1,Database!$A$1:$C$1,),)=0,#N/A,VLOOKUP(Table7[[#This Row],[Date]],Database!$A:$C,MATCH($B$1,Database!$A$1:$C$1,),))</f>
        <v/>
      </c>
      <c r="C15087">
        <f>IF(VLOOKUP(Table7[[#This Row],[Date]],Database!$A:$C,MATCH($C$1,Database!$A$1:$C$1,),)=0,#N/A,VLOOKUP(Table7[[#This Row],[Date]],Database!$A:$C,MATCH($C$1,Database!$A$1:$C$1,),))</f>
        <v/>
      </c>
      <c r="D15087">
        <f>IFERROR(Table7[[#This Row],[United States 10y]]-Table7[[#This Row],[United States 3y]],#N/A)</f>
        <v/>
      </c>
    </row>
    <row r="15088">
      <c r="A15088" s="6">
        <f>Database!$A17173</f>
        <v/>
      </c>
      <c r="B15088">
        <f>IF(VLOOKUP(Table7[[#This Row],[Date]],Database!$A:$C,MATCH($B$1,Database!$A$1:$C$1,),)=0,#N/A,VLOOKUP(Table7[[#This Row],[Date]],Database!$A:$C,MATCH($B$1,Database!$A$1:$C$1,),))</f>
        <v/>
      </c>
      <c r="C15088">
        <f>IF(VLOOKUP(Table7[[#This Row],[Date]],Database!$A:$C,MATCH($C$1,Database!$A$1:$C$1,),)=0,#N/A,VLOOKUP(Table7[[#This Row],[Date]],Database!$A:$C,MATCH($C$1,Database!$A$1:$C$1,),))</f>
        <v/>
      </c>
      <c r="D15088">
        <f>IFERROR(Table7[[#This Row],[United States 10y]]-Table7[[#This Row],[United States 3y]],#N/A)</f>
        <v/>
      </c>
    </row>
    <row r="15089">
      <c r="A15089" s="6">
        <f>Database!$A17174</f>
        <v/>
      </c>
      <c r="B15089">
        <f>IF(VLOOKUP(Table7[[#This Row],[Date]],Database!$A:$C,MATCH($B$1,Database!$A$1:$C$1,),)=0,#N/A,VLOOKUP(Table7[[#This Row],[Date]],Database!$A:$C,MATCH($B$1,Database!$A$1:$C$1,),))</f>
        <v/>
      </c>
      <c r="C15089">
        <f>IF(VLOOKUP(Table7[[#This Row],[Date]],Database!$A:$C,MATCH($C$1,Database!$A$1:$C$1,),)=0,#N/A,VLOOKUP(Table7[[#This Row],[Date]],Database!$A:$C,MATCH($C$1,Database!$A$1:$C$1,),))</f>
        <v/>
      </c>
      <c r="D15089">
        <f>IFERROR(Table7[[#This Row],[United States 10y]]-Table7[[#This Row],[United States 3y]],#N/A)</f>
        <v/>
      </c>
    </row>
    <row r="15090">
      <c r="A15090" s="6">
        <f>Database!$A17175</f>
        <v/>
      </c>
      <c r="B15090">
        <f>IF(VLOOKUP(Table7[[#This Row],[Date]],Database!$A:$C,MATCH($B$1,Database!$A$1:$C$1,),)=0,#N/A,VLOOKUP(Table7[[#This Row],[Date]],Database!$A:$C,MATCH($B$1,Database!$A$1:$C$1,),))</f>
        <v/>
      </c>
      <c r="C15090">
        <f>IF(VLOOKUP(Table7[[#This Row],[Date]],Database!$A:$C,MATCH($C$1,Database!$A$1:$C$1,),)=0,#N/A,VLOOKUP(Table7[[#This Row],[Date]],Database!$A:$C,MATCH($C$1,Database!$A$1:$C$1,),))</f>
        <v/>
      </c>
      <c r="D15090">
        <f>IFERROR(Table7[[#This Row],[United States 10y]]-Table7[[#This Row],[United States 3y]],#N/A)</f>
        <v/>
      </c>
    </row>
    <row r="15091">
      <c r="A15091" s="6">
        <f>Database!$A17176</f>
        <v/>
      </c>
      <c r="B15091">
        <f>IF(VLOOKUP(Table7[[#This Row],[Date]],Database!$A:$C,MATCH($B$1,Database!$A$1:$C$1,),)=0,#N/A,VLOOKUP(Table7[[#This Row],[Date]],Database!$A:$C,MATCH($B$1,Database!$A$1:$C$1,),))</f>
        <v/>
      </c>
      <c r="C15091">
        <f>IF(VLOOKUP(Table7[[#This Row],[Date]],Database!$A:$C,MATCH($C$1,Database!$A$1:$C$1,),)=0,#N/A,VLOOKUP(Table7[[#This Row],[Date]],Database!$A:$C,MATCH($C$1,Database!$A$1:$C$1,),))</f>
        <v/>
      </c>
      <c r="D15091">
        <f>IFERROR(Table7[[#This Row],[United States 10y]]-Table7[[#This Row],[United States 3y]],#N/A)</f>
        <v/>
      </c>
    </row>
    <row r="15092">
      <c r="A15092" s="6">
        <f>Database!$A17177</f>
        <v/>
      </c>
      <c r="B15092">
        <f>IF(VLOOKUP(Table7[[#This Row],[Date]],Database!$A:$C,MATCH($B$1,Database!$A$1:$C$1,),)=0,#N/A,VLOOKUP(Table7[[#This Row],[Date]],Database!$A:$C,MATCH($B$1,Database!$A$1:$C$1,),))</f>
        <v/>
      </c>
      <c r="C15092">
        <f>IF(VLOOKUP(Table7[[#This Row],[Date]],Database!$A:$C,MATCH($C$1,Database!$A$1:$C$1,),)=0,#N/A,VLOOKUP(Table7[[#This Row],[Date]],Database!$A:$C,MATCH($C$1,Database!$A$1:$C$1,),))</f>
        <v/>
      </c>
      <c r="D15092">
        <f>IFERROR(Table7[[#This Row],[United States 10y]]-Table7[[#This Row],[United States 3y]],#N/A)</f>
        <v/>
      </c>
    </row>
    <row r="15093">
      <c r="A15093" s="6">
        <f>Database!$A17178</f>
        <v/>
      </c>
      <c r="B15093">
        <f>IF(VLOOKUP(Table7[[#This Row],[Date]],Database!$A:$C,MATCH($B$1,Database!$A$1:$C$1,),)=0,#N/A,VLOOKUP(Table7[[#This Row],[Date]],Database!$A:$C,MATCH($B$1,Database!$A$1:$C$1,),))</f>
        <v/>
      </c>
      <c r="C15093">
        <f>IF(VLOOKUP(Table7[[#This Row],[Date]],Database!$A:$C,MATCH($C$1,Database!$A$1:$C$1,),)=0,#N/A,VLOOKUP(Table7[[#This Row],[Date]],Database!$A:$C,MATCH($C$1,Database!$A$1:$C$1,),))</f>
        <v/>
      </c>
      <c r="D15093">
        <f>IFERROR(Table7[[#This Row],[United States 10y]]-Table7[[#This Row],[United States 3y]],#N/A)</f>
        <v/>
      </c>
    </row>
    <row r="15094">
      <c r="A15094" s="6">
        <f>Database!$A17179</f>
        <v/>
      </c>
      <c r="B15094">
        <f>IF(VLOOKUP(Table7[[#This Row],[Date]],Database!$A:$C,MATCH($B$1,Database!$A$1:$C$1,),)=0,#N/A,VLOOKUP(Table7[[#This Row],[Date]],Database!$A:$C,MATCH($B$1,Database!$A$1:$C$1,),))</f>
        <v/>
      </c>
      <c r="C15094">
        <f>IF(VLOOKUP(Table7[[#This Row],[Date]],Database!$A:$C,MATCH($C$1,Database!$A$1:$C$1,),)=0,#N/A,VLOOKUP(Table7[[#This Row],[Date]],Database!$A:$C,MATCH($C$1,Database!$A$1:$C$1,),))</f>
        <v/>
      </c>
      <c r="D15094">
        <f>IFERROR(Table7[[#This Row],[United States 10y]]-Table7[[#This Row],[United States 3y]],#N/A)</f>
        <v/>
      </c>
    </row>
    <row r="15095">
      <c r="A15095" s="6">
        <f>Database!$A17180</f>
        <v/>
      </c>
      <c r="B15095">
        <f>IF(VLOOKUP(Table7[[#This Row],[Date]],Database!$A:$C,MATCH($B$1,Database!$A$1:$C$1,),)=0,#N/A,VLOOKUP(Table7[[#This Row],[Date]],Database!$A:$C,MATCH($B$1,Database!$A$1:$C$1,),))</f>
        <v/>
      </c>
      <c r="C15095">
        <f>IF(VLOOKUP(Table7[[#This Row],[Date]],Database!$A:$C,MATCH($C$1,Database!$A$1:$C$1,),)=0,#N/A,VLOOKUP(Table7[[#This Row],[Date]],Database!$A:$C,MATCH($C$1,Database!$A$1:$C$1,),))</f>
        <v/>
      </c>
      <c r="D15095">
        <f>IFERROR(Table7[[#This Row],[United States 10y]]-Table7[[#This Row],[United States 3y]],#N/A)</f>
        <v/>
      </c>
    </row>
    <row r="15096">
      <c r="A15096" s="6">
        <f>Database!$A17181</f>
        <v/>
      </c>
      <c r="B15096">
        <f>IF(VLOOKUP(Table7[[#This Row],[Date]],Database!$A:$C,MATCH($B$1,Database!$A$1:$C$1,),)=0,#N/A,VLOOKUP(Table7[[#This Row],[Date]],Database!$A:$C,MATCH($B$1,Database!$A$1:$C$1,),))</f>
        <v/>
      </c>
      <c r="C15096">
        <f>IF(VLOOKUP(Table7[[#This Row],[Date]],Database!$A:$C,MATCH($C$1,Database!$A$1:$C$1,),)=0,#N/A,VLOOKUP(Table7[[#This Row],[Date]],Database!$A:$C,MATCH($C$1,Database!$A$1:$C$1,),))</f>
        <v/>
      </c>
      <c r="D15096">
        <f>IFERROR(Table7[[#This Row],[United States 10y]]-Table7[[#This Row],[United States 3y]],#N/A)</f>
        <v/>
      </c>
    </row>
    <row r="15097">
      <c r="A15097" s="6">
        <f>Database!$A17182</f>
        <v/>
      </c>
      <c r="B15097">
        <f>IF(VLOOKUP(Table7[[#This Row],[Date]],Database!$A:$C,MATCH($B$1,Database!$A$1:$C$1,),)=0,#N/A,VLOOKUP(Table7[[#This Row],[Date]],Database!$A:$C,MATCH($B$1,Database!$A$1:$C$1,),))</f>
        <v/>
      </c>
      <c r="C15097">
        <f>IF(VLOOKUP(Table7[[#This Row],[Date]],Database!$A:$C,MATCH($C$1,Database!$A$1:$C$1,),)=0,#N/A,VLOOKUP(Table7[[#This Row],[Date]],Database!$A:$C,MATCH($C$1,Database!$A$1:$C$1,),))</f>
        <v/>
      </c>
      <c r="D15097">
        <f>IFERROR(Table7[[#This Row],[United States 10y]]-Table7[[#This Row],[United States 3y]],#N/A)</f>
        <v/>
      </c>
    </row>
    <row r="15098">
      <c r="A15098" s="6">
        <f>Database!$A17183</f>
        <v/>
      </c>
      <c r="B15098">
        <f>IF(VLOOKUP(Table7[[#This Row],[Date]],Database!$A:$C,MATCH($B$1,Database!$A$1:$C$1,),)=0,#N/A,VLOOKUP(Table7[[#This Row],[Date]],Database!$A:$C,MATCH($B$1,Database!$A$1:$C$1,),))</f>
        <v/>
      </c>
      <c r="C15098">
        <f>IF(VLOOKUP(Table7[[#This Row],[Date]],Database!$A:$C,MATCH($C$1,Database!$A$1:$C$1,),)=0,#N/A,VLOOKUP(Table7[[#This Row],[Date]],Database!$A:$C,MATCH($C$1,Database!$A$1:$C$1,),))</f>
        <v/>
      </c>
      <c r="D15098">
        <f>IFERROR(Table7[[#This Row],[United States 10y]]-Table7[[#This Row],[United States 3y]],#N/A)</f>
        <v/>
      </c>
    </row>
    <row r="15099">
      <c r="A15099" s="6">
        <f>Database!$A17184</f>
        <v/>
      </c>
      <c r="B15099">
        <f>IF(VLOOKUP(Table7[[#This Row],[Date]],Database!$A:$C,MATCH($B$1,Database!$A$1:$C$1,),)=0,#N/A,VLOOKUP(Table7[[#This Row],[Date]],Database!$A:$C,MATCH($B$1,Database!$A$1:$C$1,),))</f>
        <v/>
      </c>
      <c r="C15099">
        <f>IF(VLOOKUP(Table7[[#This Row],[Date]],Database!$A:$C,MATCH($C$1,Database!$A$1:$C$1,),)=0,#N/A,VLOOKUP(Table7[[#This Row],[Date]],Database!$A:$C,MATCH($C$1,Database!$A$1:$C$1,),))</f>
        <v/>
      </c>
      <c r="D15099">
        <f>IFERROR(Table7[[#This Row],[United States 10y]]-Table7[[#This Row],[United States 3y]],#N/A)</f>
        <v/>
      </c>
    </row>
    <row r="15100">
      <c r="A15100" s="6">
        <f>Database!$A17185</f>
        <v/>
      </c>
      <c r="B15100">
        <f>IF(VLOOKUP(Table7[[#This Row],[Date]],Database!$A:$C,MATCH($B$1,Database!$A$1:$C$1,),)=0,#N/A,VLOOKUP(Table7[[#This Row],[Date]],Database!$A:$C,MATCH($B$1,Database!$A$1:$C$1,),))</f>
        <v/>
      </c>
      <c r="C15100">
        <f>IF(VLOOKUP(Table7[[#This Row],[Date]],Database!$A:$C,MATCH($C$1,Database!$A$1:$C$1,),)=0,#N/A,VLOOKUP(Table7[[#This Row],[Date]],Database!$A:$C,MATCH($C$1,Database!$A$1:$C$1,),))</f>
        <v/>
      </c>
      <c r="D15100">
        <f>IFERROR(Table7[[#This Row],[United States 10y]]-Table7[[#This Row],[United States 3y]],#N/A)</f>
        <v/>
      </c>
    </row>
    <row r="15101">
      <c r="A15101" s="6">
        <f>Database!$A17186</f>
        <v/>
      </c>
      <c r="B15101">
        <f>IF(VLOOKUP(Table7[[#This Row],[Date]],Database!$A:$C,MATCH($B$1,Database!$A$1:$C$1,),)=0,#N/A,VLOOKUP(Table7[[#This Row],[Date]],Database!$A:$C,MATCH($B$1,Database!$A$1:$C$1,),))</f>
        <v/>
      </c>
      <c r="C15101">
        <f>IF(VLOOKUP(Table7[[#This Row],[Date]],Database!$A:$C,MATCH($C$1,Database!$A$1:$C$1,),)=0,#N/A,VLOOKUP(Table7[[#This Row],[Date]],Database!$A:$C,MATCH($C$1,Database!$A$1:$C$1,),))</f>
        <v/>
      </c>
      <c r="D15101">
        <f>IFERROR(Table7[[#This Row],[United States 10y]]-Table7[[#This Row],[United States 3y]],#N/A)</f>
        <v/>
      </c>
    </row>
    <row r="15102">
      <c r="A15102" s="6">
        <f>Database!$A17187</f>
        <v/>
      </c>
      <c r="B15102">
        <f>IF(VLOOKUP(Table7[[#This Row],[Date]],Database!$A:$C,MATCH($B$1,Database!$A$1:$C$1,),)=0,#N/A,VLOOKUP(Table7[[#This Row],[Date]],Database!$A:$C,MATCH($B$1,Database!$A$1:$C$1,),))</f>
        <v/>
      </c>
      <c r="C15102">
        <f>IF(VLOOKUP(Table7[[#This Row],[Date]],Database!$A:$C,MATCH($C$1,Database!$A$1:$C$1,),)=0,#N/A,VLOOKUP(Table7[[#This Row],[Date]],Database!$A:$C,MATCH($C$1,Database!$A$1:$C$1,),))</f>
        <v/>
      </c>
      <c r="D15102">
        <f>IFERROR(Table7[[#This Row],[United States 10y]]-Table7[[#This Row],[United States 3y]],#N/A)</f>
        <v/>
      </c>
    </row>
    <row r="15103">
      <c r="A15103" s="6">
        <f>Database!$A17188</f>
        <v/>
      </c>
      <c r="B15103">
        <f>IF(VLOOKUP(Table7[[#This Row],[Date]],Database!$A:$C,MATCH($B$1,Database!$A$1:$C$1,),)=0,#N/A,VLOOKUP(Table7[[#This Row],[Date]],Database!$A:$C,MATCH($B$1,Database!$A$1:$C$1,),))</f>
        <v/>
      </c>
      <c r="C15103">
        <f>IF(VLOOKUP(Table7[[#This Row],[Date]],Database!$A:$C,MATCH($C$1,Database!$A$1:$C$1,),)=0,#N/A,VLOOKUP(Table7[[#This Row],[Date]],Database!$A:$C,MATCH($C$1,Database!$A$1:$C$1,),))</f>
        <v/>
      </c>
      <c r="D15103">
        <f>IFERROR(Table7[[#This Row],[United States 10y]]-Table7[[#This Row],[United States 3y]],#N/A)</f>
        <v/>
      </c>
    </row>
    <row r="15104">
      <c r="A15104" s="6">
        <f>Database!$A17189</f>
        <v/>
      </c>
      <c r="B15104">
        <f>IF(VLOOKUP(Table7[[#This Row],[Date]],Database!$A:$C,MATCH($B$1,Database!$A$1:$C$1,),)=0,#N/A,VLOOKUP(Table7[[#This Row],[Date]],Database!$A:$C,MATCH($B$1,Database!$A$1:$C$1,),))</f>
        <v/>
      </c>
      <c r="C15104">
        <f>IF(VLOOKUP(Table7[[#This Row],[Date]],Database!$A:$C,MATCH($C$1,Database!$A$1:$C$1,),)=0,#N/A,VLOOKUP(Table7[[#This Row],[Date]],Database!$A:$C,MATCH($C$1,Database!$A$1:$C$1,),))</f>
        <v/>
      </c>
      <c r="D15104">
        <f>IFERROR(Table7[[#This Row],[United States 10y]]-Table7[[#This Row],[United States 3y]],#N/A)</f>
        <v/>
      </c>
    </row>
    <row r="15105">
      <c r="A15105" s="6">
        <f>Database!$A17190</f>
        <v/>
      </c>
      <c r="B15105">
        <f>IF(VLOOKUP(Table7[[#This Row],[Date]],Database!$A:$C,MATCH($B$1,Database!$A$1:$C$1,),)=0,#N/A,VLOOKUP(Table7[[#This Row],[Date]],Database!$A:$C,MATCH($B$1,Database!$A$1:$C$1,),))</f>
        <v/>
      </c>
      <c r="C15105">
        <f>IF(VLOOKUP(Table7[[#This Row],[Date]],Database!$A:$C,MATCH($C$1,Database!$A$1:$C$1,),)=0,#N/A,VLOOKUP(Table7[[#This Row],[Date]],Database!$A:$C,MATCH($C$1,Database!$A$1:$C$1,),))</f>
        <v/>
      </c>
      <c r="D15105">
        <f>IFERROR(Table7[[#This Row],[United States 10y]]-Table7[[#This Row],[United States 3y]],#N/A)</f>
        <v/>
      </c>
    </row>
    <row r="15106">
      <c r="A15106" s="6">
        <f>Database!$A17191</f>
        <v/>
      </c>
      <c r="B15106">
        <f>IF(VLOOKUP(Table7[[#This Row],[Date]],Database!$A:$C,MATCH($B$1,Database!$A$1:$C$1,),)=0,#N/A,VLOOKUP(Table7[[#This Row],[Date]],Database!$A:$C,MATCH($B$1,Database!$A$1:$C$1,),))</f>
        <v/>
      </c>
      <c r="C15106">
        <f>IF(VLOOKUP(Table7[[#This Row],[Date]],Database!$A:$C,MATCH($C$1,Database!$A$1:$C$1,),)=0,#N/A,VLOOKUP(Table7[[#This Row],[Date]],Database!$A:$C,MATCH($C$1,Database!$A$1:$C$1,),))</f>
        <v/>
      </c>
      <c r="D15106">
        <f>IFERROR(Table7[[#This Row],[United States 10y]]-Table7[[#This Row],[United States 3y]],#N/A)</f>
        <v/>
      </c>
    </row>
    <row r="15107">
      <c r="A15107" s="6">
        <f>Database!$A17192</f>
        <v/>
      </c>
      <c r="B15107">
        <f>IF(VLOOKUP(Table7[[#This Row],[Date]],Database!$A:$C,MATCH($B$1,Database!$A$1:$C$1,),)=0,#N/A,VLOOKUP(Table7[[#This Row],[Date]],Database!$A:$C,MATCH($B$1,Database!$A$1:$C$1,),))</f>
        <v/>
      </c>
      <c r="C15107">
        <f>IF(VLOOKUP(Table7[[#This Row],[Date]],Database!$A:$C,MATCH($C$1,Database!$A$1:$C$1,),)=0,#N/A,VLOOKUP(Table7[[#This Row],[Date]],Database!$A:$C,MATCH($C$1,Database!$A$1:$C$1,),))</f>
        <v/>
      </c>
      <c r="D15107">
        <f>IFERROR(Table7[[#This Row],[United States 10y]]-Table7[[#This Row],[United States 3y]],#N/A)</f>
        <v/>
      </c>
    </row>
    <row r="15108">
      <c r="A15108" s="6">
        <f>Database!$A17193</f>
        <v/>
      </c>
      <c r="B15108">
        <f>IF(VLOOKUP(Table7[[#This Row],[Date]],Database!$A:$C,MATCH($B$1,Database!$A$1:$C$1,),)=0,#N/A,VLOOKUP(Table7[[#This Row],[Date]],Database!$A:$C,MATCH($B$1,Database!$A$1:$C$1,),))</f>
        <v/>
      </c>
      <c r="C15108">
        <f>IF(VLOOKUP(Table7[[#This Row],[Date]],Database!$A:$C,MATCH($C$1,Database!$A$1:$C$1,),)=0,#N/A,VLOOKUP(Table7[[#This Row],[Date]],Database!$A:$C,MATCH($C$1,Database!$A$1:$C$1,),))</f>
        <v/>
      </c>
      <c r="D15108">
        <f>IFERROR(Table7[[#This Row],[United States 10y]]-Table7[[#This Row],[United States 3y]],#N/A)</f>
        <v/>
      </c>
    </row>
    <row r="15109">
      <c r="A15109" s="6">
        <f>Database!$A17194</f>
        <v/>
      </c>
      <c r="B15109">
        <f>IF(VLOOKUP(Table7[[#This Row],[Date]],Database!$A:$C,MATCH($B$1,Database!$A$1:$C$1,),)=0,#N/A,VLOOKUP(Table7[[#This Row],[Date]],Database!$A:$C,MATCH($B$1,Database!$A$1:$C$1,),))</f>
        <v/>
      </c>
      <c r="C15109">
        <f>IF(VLOOKUP(Table7[[#This Row],[Date]],Database!$A:$C,MATCH($C$1,Database!$A$1:$C$1,),)=0,#N/A,VLOOKUP(Table7[[#This Row],[Date]],Database!$A:$C,MATCH($C$1,Database!$A$1:$C$1,),))</f>
        <v/>
      </c>
      <c r="D15109">
        <f>IFERROR(Table7[[#This Row],[United States 10y]]-Table7[[#This Row],[United States 3y]],#N/A)</f>
        <v/>
      </c>
    </row>
    <row r="15110">
      <c r="A15110" s="6">
        <f>Database!$A17195</f>
        <v/>
      </c>
      <c r="B15110">
        <f>IF(VLOOKUP(Table7[[#This Row],[Date]],Database!$A:$C,MATCH($B$1,Database!$A$1:$C$1,),)=0,#N/A,VLOOKUP(Table7[[#This Row],[Date]],Database!$A:$C,MATCH($B$1,Database!$A$1:$C$1,),))</f>
        <v/>
      </c>
      <c r="C15110">
        <f>IF(VLOOKUP(Table7[[#This Row],[Date]],Database!$A:$C,MATCH($C$1,Database!$A$1:$C$1,),)=0,#N/A,VLOOKUP(Table7[[#This Row],[Date]],Database!$A:$C,MATCH($C$1,Database!$A$1:$C$1,),))</f>
        <v/>
      </c>
      <c r="D15110">
        <f>IFERROR(Table7[[#This Row],[United States 10y]]-Table7[[#This Row],[United States 3y]],#N/A)</f>
        <v/>
      </c>
    </row>
    <row r="15111">
      <c r="A15111" s="6">
        <f>Database!$A17196</f>
        <v/>
      </c>
      <c r="B15111">
        <f>IF(VLOOKUP(Table7[[#This Row],[Date]],Database!$A:$C,MATCH($B$1,Database!$A$1:$C$1,),)=0,#N/A,VLOOKUP(Table7[[#This Row],[Date]],Database!$A:$C,MATCH($B$1,Database!$A$1:$C$1,),))</f>
        <v/>
      </c>
      <c r="C15111">
        <f>IF(VLOOKUP(Table7[[#This Row],[Date]],Database!$A:$C,MATCH($C$1,Database!$A$1:$C$1,),)=0,#N/A,VLOOKUP(Table7[[#This Row],[Date]],Database!$A:$C,MATCH($C$1,Database!$A$1:$C$1,),))</f>
        <v/>
      </c>
      <c r="D15111">
        <f>IFERROR(Table7[[#This Row],[United States 10y]]-Table7[[#This Row],[United States 3y]],#N/A)</f>
        <v/>
      </c>
    </row>
    <row r="15112">
      <c r="A15112" s="6">
        <f>Database!$A17197</f>
        <v/>
      </c>
      <c r="B15112">
        <f>IF(VLOOKUP(Table7[[#This Row],[Date]],Database!$A:$C,MATCH($B$1,Database!$A$1:$C$1,),)=0,#N/A,VLOOKUP(Table7[[#This Row],[Date]],Database!$A:$C,MATCH($B$1,Database!$A$1:$C$1,),))</f>
        <v/>
      </c>
      <c r="C15112">
        <f>IF(VLOOKUP(Table7[[#This Row],[Date]],Database!$A:$C,MATCH($C$1,Database!$A$1:$C$1,),)=0,#N/A,VLOOKUP(Table7[[#This Row],[Date]],Database!$A:$C,MATCH($C$1,Database!$A$1:$C$1,),))</f>
        <v/>
      </c>
      <c r="D15112">
        <f>IFERROR(Table7[[#This Row],[United States 10y]]-Table7[[#This Row],[United States 3y]],#N/A)</f>
        <v/>
      </c>
    </row>
    <row r="15113">
      <c r="A15113" s="6">
        <f>Database!$A17198</f>
        <v/>
      </c>
      <c r="B15113">
        <f>IF(VLOOKUP(Table7[[#This Row],[Date]],Database!$A:$C,MATCH($B$1,Database!$A$1:$C$1,),)=0,#N/A,VLOOKUP(Table7[[#This Row],[Date]],Database!$A:$C,MATCH($B$1,Database!$A$1:$C$1,),))</f>
        <v/>
      </c>
      <c r="C15113">
        <f>IF(VLOOKUP(Table7[[#This Row],[Date]],Database!$A:$C,MATCH($C$1,Database!$A$1:$C$1,),)=0,#N/A,VLOOKUP(Table7[[#This Row],[Date]],Database!$A:$C,MATCH($C$1,Database!$A$1:$C$1,),))</f>
        <v/>
      </c>
      <c r="D15113">
        <f>IFERROR(Table7[[#This Row],[United States 10y]]-Table7[[#This Row],[United States 3y]],#N/A)</f>
        <v/>
      </c>
    </row>
    <row r="15114">
      <c r="A15114" s="6">
        <f>Database!$A17199</f>
        <v/>
      </c>
      <c r="B15114">
        <f>IF(VLOOKUP(Table7[[#This Row],[Date]],Database!$A:$C,MATCH($B$1,Database!$A$1:$C$1,),)=0,#N/A,VLOOKUP(Table7[[#This Row],[Date]],Database!$A:$C,MATCH($B$1,Database!$A$1:$C$1,),))</f>
        <v/>
      </c>
      <c r="C15114">
        <f>IF(VLOOKUP(Table7[[#This Row],[Date]],Database!$A:$C,MATCH($C$1,Database!$A$1:$C$1,),)=0,#N/A,VLOOKUP(Table7[[#This Row],[Date]],Database!$A:$C,MATCH($C$1,Database!$A$1:$C$1,),))</f>
        <v/>
      </c>
      <c r="D15114">
        <f>IFERROR(Table7[[#This Row],[United States 10y]]-Table7[[#This Row],[United States 3y]],#N/A)</f>
        <v/>
      </c>
    </row>
    <row r="15115">
      <c r="A15115" s="6">
        <f>Database!$A17200</f>
        <v/>
      </c>
      <c r="B15115">
        <f>IF(VLOOKUP(Table7[[#This Row],[Date]],Database!$A:$C,MATCH($B$1,Database!$A$1:$C$1,),)=0,#N/A,VLOOKUP(Table7[[#This Row],[Date]],Database!$A:$C,MATCH($B$1,Database!$A$1:$C$1,),))</f>
        <v/>
      </c>
      <c r="C15115">
        <f>IF(VLOOKUP(Table7[[#This Row],[Date]],Database!$A:$C,MATCH($C$1,Database!$A$1:$C$1,),)=0,#N/A,VLOOKUP(Table7[[#This Row],[Date]],Database!$A:$C,MATCH($C$1,Database!$A$1:$C$1,),))</f>
        <v/>
      </c>
      <c r="D15115">
        <f>IFERROR(Table7[[#This Row],[United States 10y]]-Table7[[#This Row],[United States 3y]],#N/A)</f>
        <v/>
      </c>
    </row>
    <row r="15116">
      <c r="A15116" s="6">
        <f>Database!$A17201</f>
        <v/>
      </c>
      <c r="B15116">
        <f>IF(VLOOKUP(Table7[[#This Row],[Date]],Database!$A:$C,MATCH($B$1,Database!$A$1:$C$1,),)=0,#N/A,VLOOKUP(Table7[[#This Row],[Date]],Database!$A:$C,MATCH($B$1,Database!$A$1:$C$1,),))</f>
        <v/>
      </c>
      <c r="C15116">
        <f>IF(VLOOKUP(Table7[[#This Row],[Date]],Database!$A:$C,MATCH($C$1,Database!$A$1:$C$1,),)=0,#N/A,VLOOKUP(Table7[[#This Row],[Date]],Database!$A:$C,MATCH($C$1,Database!$A$1:$C$1,),))</f>
        <v/>
      </c>
      <c r="D15116">
        <f>IFERROR(Table7[[#This Row],[United States 10y]]-Table7[[#This Row],[United States 3y]],#N/A)</f>
        <v/>
      </c>
    </row>
    <row r="15117">
      <c r="A15117" s="6">
        <f>Database!$A17202</f>
        <v/>
      </c>
      <c r="B15117">
        <f>IF(VLOOKUP(Table7[[#This Row],[Date]],Database!$A:$C,MATCH($B$1,Database!$A$1:$C$1,),)=0,#N/A,VLOOKUP(Table7[[#This Row],[Date]],Database!$A:$C,MATCH($B$1,Database!$A$1:$C$1,),))</f>
        <v/>
      </c>
      <c r="C15117">
        <f>IF(VLOOKUP(Table7[[#This Row],[Date]],Database!$A:$C,MATCH($C$1,Database!$A$1:$C$1,),)=0,#N/A,VLOOKUP(Table7[[#This Row],[Date]],Database!$A:$C,MATCH($C$1,Database!$A$1:$C$1,),))</f>
        <v/>
      </c>
      <c r="D15117">
        <f>IFERROR(Table7[[#This Row],[United States 10y]]-Table7[[#This Row],[United States 3y]],#N/A)</f>
        <v/>
      </c>
    </row>
    <row r="15118">
      <c r="A15118" s="6">
        <f>Database!$A17203</f>
        <v/>
      </c>
      <c r="B15118">
        <f>IF(VLOOKUP(Table7[[#This Row],[Date]],Database!$A:$C,MATCH($B$1,Database!$A$1:$C$1,),)=0,#N/A,VLOOKUP(Table7[[#This Row],[Date]],Database!$A:$C,MATCH($B$1,Database!$A$1:$C$1,),))</f>
        <v/>
      </c>
      <c r="C15118">
        <f>IF(VLOOKUP(Table7[[#This Row],[Date]],Database!$A:$C,MATCH($C$1,Database!$A$1:$C$1,),)=0,#N/A,VLOOKUP(Table7[[#This Row],[Date]],Database!$A:$C,MATCH($C$1,Database!$A$1:$C$1,),))</f>
        <v/>
      </c>
      <c r="D15118">
        <f>IFERROR(Table7[[#This Row],[United States 10y]]-Table7[[#This Row],[United States 3y]],#N/A)</f>
        <v/>
      </c>
    </row>
    <row r="15119">
      <c r="A15119" s="6">
        <f>Database!$A17204</f>
        <v/>
      </c>
      <c r="B15119">
        <f>IF(VLOOKUP(Table7[[#This Row],[Date]],Database!$A:$C,MATCH($B$1,Database!$A$1:$C$1,),)=0,#N/A,VLOOKUP(Table7[[#This Row],[Date]],Database!$A:$C,MATCH($B$1,Database!$A$1:$C$1,),))</f>
        <v/>
      </c>
      <c r="C15119">
        <f>IF(VLOOKUP(Table7[[#This Row],[Date]],Database!$A:$C,MATCH($C$1,Database!$A$1:$C$1,),)=0,#N/A,VLOOKUP(Table7[[#This Row],[Date]],Database!$A:$C,MATCH($C$1,Database!$A$1:$C$1,),))</f>
        <v/>
      </c>
      <c r="D15119">
        <f>IFERROR(Table7[[#This Row],[United States 10y]]-Table7[[#This Row],[United States 3y]],#N/A)</f>
        <v/>
      </c>
    </row>
    <row r="15120">
      <c r="A15120" s="6">
        <f>Database!$A17205</f>
        <v/>
      </c>
      <c r="B15120">
        <f>IF(VLOOKUP(Table7[[#This Row],[Date]],Database!$A:$C,MATCH($B$1,Database!$A$1:$C$1,),)=0,#N/A,VLOOKUP(Table7[[#This Row],[Date]],Database!$A:$C,MATCH($B$1,Database!$A$1:$C$1,),))</f>
        <v/>
      </c>
      <c r="C15120">
        <f>IF(VLOOKUP(Table7[[#This Row],[Date]],Database!$A:$C,MATCH($C$1,Database!$A$1:$C$1,),)=0,#N/A,VLOOKUP(Table7[[#This Row],[Date]],Database!$A:$C,MATCH($C$1,Database!$A$1:$C$1,),))</f>
        <v/>
      </c>
      <c r="D15120">
        <f>IFERROR(Table7[[#This Row],[United States 10y]]-Table7[[#This Row],[United States 3y]],#N/A)</f>
        <v/>
      </c>
    </row>
    <row r="15121">
      <c r="A15121" s="6">
        <f>Database!$A17206</f>
        <v/>
      </c>
      <c r="B15121">
        <f>IF(VLOOKUP(Table7[[#This Row],[Date]],Database!$A:$C,MATCH($B$1,Database!$A$1:$C$1,),)=0,#N/A,VLOOKUP(Table7[[#This Row],[Date]],Database!$A:$C,MATCH($B$1,Database!$A$1:$C$1,),))</f>
        <v/>
      </c>
      <c r="C15121">
        <f>IF(VLOOKUP(Table7[[#This Row],[Date]],Database!$A:$C,MATCH($C$1,Database!$A$1:$C$1,),)=0,#N/A,VLOOKUP(Table7[[#This Row],[Date]],Database!$A:$C,MATCH($C$1,Database!$A$1:$C$1,),))</f>
        <v/>
      </c>
      <c r="D15121">
        <f>IFERROR(Table7[[#This Row],[United States 10y]]-Table7[[#This Row],[United States 3y]],#N/A)</f>
        <v/>
      </c>
    </row>
    <row r="15122">
      <c r="A15122" s="6">
        <f>Database!$A17207</f>
        <v/>
      </c>
      <c r="B15122">
        <f>IF(VLOOKUP(Table7[[#This Row],[Date]],Database!$A:$C,MATCH($B$1,Database!$A$1:$C$1,),)=0,#N/A,VLOOKUP(Table7[[#This Row],[Date]],Database!$A:$C,MATCH($B$1,Database!$A$1:$C$1,),))</f>
        <v/>
      </c>
      <c r="C15122">
        <f>IF(VLOOKUP(Table7[[#This Row],[Date]],Database!$A:$C,MATCH($C$1,Database!$A$1:$C$1,),)=0,#N/A,VLOOKUP(Table7[[#This Row],[Date]],Database!$A:$C,MATCH($C$1,Database!$A$1:$C$1,),))</f>
        <v/>
      </c>
      <c r="D15122">
        <f>IFERROR(Table7[[#This Row],[United States 10y]]-Table7[[#This Row],[United States 3y]],#N/A)</f>
        <v/>
      </c>
    </row>
    <row r="15123">
      <c r="A15123" s="6">
        <f>Database!$A17208</f>
        <v/>
      </c>
      <c r="B15123">
        <f>IF(VLOOKUP(Table7[[#This Row],[Date]],Database!$A:$C,MATCH($B$1,Database!$A$1:$C$1,),)=0,#N/A,VLOOKUP(Table7[[#This Row],[Date]],Database!$A:$C,MATCH($B$1,Database!$A$1:$C$1,),))</f>
        <v/>
      </c>
      <c r="C15123">
        <f>IF(VLOOKUP(Table7[[#This Row],[Date]],Database!$A:$C,MATCH($C$1,Database!$A$1:$C$1,),)=0,#N/A,VLOOKUP(Table7[[#This Row],[Date]],Database!$A:$C,MATCH($C$1,Database!$A$1:$C$1,),))</f>
        <v/>
      </c>
      <c r="D15123">
        <f>IFERROR(Table7[[#This Row],[United States 10y]]-Table7[[#This Row],[United States 3y]],#N/A)</f>
        <v/>
      </c>
    </row>
    <row r="15124">
      <c r="A15124" s="6">
        <f>Database!$A17209</f>
        <v/>
      </c>
      <c r="B15124">
        <f>IF(VLOOKUP(Table7[[#This Row],[Date]],Database!$A:$C,MATCH($B$1,Database!$A$1:$C$1,),)=0,#N/A,VLOOKUP(Table7[[#This Row],[Date]],Database!$A:$C,MATCH($B$1,Database!$A$1:$C$1,),))</f>
        <v/>
      </c>
      <c r="C15124">
        <f>IF(VLOOKUP(Table7[[#This Row],[Date]],Database!$A:$C,MATCH($C$1,Database!$A$1:$C$1,),)=0,#N/A,VLOOKUP(Table7[[#This Row],[Date]],Database!$A:$C,MATCH($C$1,Database!$A$1:$C$1,),))</f>
        <v/>
      </c>
      <c r="D15124">
        <f>IFERROR(Table7[[#This Row],[United States 10y]]-Table7[[#This Row],[United States 3y]],#N/A)</f>
        <v/>
      </c>
    </row>
    <row r="15125">
      <c r="A15125" s="6">
        <f>Database!$A17210</f>
        <v/>
      </c>
      <c r="B15125">
        <f>IF(VLOOKUP(Table7[[#This Row],[Date]],Database!$A:$C,MATCH($B$1,Database!$A$1:$C$1,),)=0,#N/A,VLOOKUP(Table7[[#This Row],[Date]],Database!$A:$C,MATCH($B$1,Database!$A$1:$C$1,),))</f>
        <v/>
      </c>
      <c r="C15125">
        <f>IF(VLOOKUP(Table7[[#This Row],[Date]],Database!$A:$C,MATCH($C$1,Database!$A$1:$C$1,),)=0,#N/A,VLOOKUP(Table7[[#This Row],[Date]],Database!$A:$C,MATCH($C$1,Database!$A$1:$C$1,),))</f>
        <v/>
      </c>
      <c r="D15125">
        <f>IFERROR(Table7[[#This Row],[United States 10y]]-Table7[[#This Row],[United States 3y]],#N/A)</f>
        <v/>
      </c>
    </row>
    <row r="15126">
      <c r="A15126" s="6">
        <f>Database!$A17211</f>
        <v/>
      </c>
      <c r="B15126">
        <f>IF(VLOOKUP(Table7[[#This Row],[Date]],Database!$A:$C,MATCH($B$1,Database!$A$1:$C$1,),)=0,#N/A,VLOOKUP(Table7[[#This Row],[Date]],Database!$A:$C,MATCH($B$1,Database!$A$1:$C$1,),))</f>
        <v/>
      </c>
      <c r="C15126">
        <f>IF(VLOOKUP(Table7[[#This Row],[Date]],Database!$A:$C,MATCH($C$1,Database!$A$1:$C$1,),)=0,#N/A,VLOOKUP(Table7[[#This Row],[Date]],Database!$A:$C,MATCH($C$1,Database!$A$1:$C$1,),))</f>
        <v/>
      </c>
      <c r="D15126">
        <f>IFERROR(Table7[[#This Row],[United States 10y]]-Table7[[#This Row],[United States 3y]],#N/A)</f>
        <v/>
      </c>
    </row>
    <row r="15127">
      <c r="A15127" s="6">
        <f>Database!$A17212</f>
        <v/>
      </c>
      <c r="B15127">
        <f>IF(VLOOKUP(Table7[[#This Row],[Date]],Database!$A:$C,MATCH($B$1,Database!$A$1:$C$1,),)=0,#N/A,VLOOKUP(Table7[[#This Row],[Date]],Database!$A:$C,MATCH($B$1,Database!$A$1:$C$1,),))</f>
        <v/>
      </c>
      <c r="C15127">
        <f>IF(VLOOKUP(Table7[[#This Row],[Date]],Database!$A:$C,MATCH($C$1,Database!$A$1:$C$1,),)=0,#N/A,VLOOKUP(Table7[[#This Row],[Date]],Database!$A:$C,MATCH($C$1,Database!$A$1:$C$1,),))</f>
        <v/>
      </c>
      <c r="D15127">
        <f>IFERROR(Table7[[#This Row],[United States 10y]]-Table7[[#This Row],[United States 3y]],#N/A)</f>
        <v/>
      </c>
    </row>
    <row r="15128">
      <c r="A15128" s="6">
        <f>Database!$A17213</f>
        <v/>
      </c>
      <c r="B15128">
        <f>IF(VLOOKUP(Table7[[#This Row],[Date]],Database!$A:$C,MATCH($B$1,Database!$A$1:$C$1,),)=0,#N/A,VLOOKUP(Table7[[#This Row],[Date]],Database!$A:$C,MATCH($B$1,Database!$A$1:$C$1,),))</f>
        <v/>
      </c>
      <c r="C15128">
        <f>IF(VLOOKUP(Table7[[#This Row],[Date]],Database!$A:$C,MATCH($C$1,Database!$A$1:$C$1,),)=0,#N/A,VLOOKUP(Table7[[#This Row],[Date]],Database!$A:$C,MATCH($C$1,Database!$A$1:$C$1,),))</f>
        <v/>
      </c>
      <c r="D15128">
        <f>IFERROR(Table7[[#This Row],[United States 10y]]-Table7[[#This Row],[United States 3y]],#N/A)</f>
        <v/>
      </c>
    </row>
    <row r="15129">
      <c r="A15129" s="6">
        <f>Database!$A17214</f>
        <v/>
      </c>
      <c r="B15129">
        <f>IF(VLOOKUP(Table7[[#This Row],[Date]],Database!$A:$C,MATCH($B$1,Database!$A$1:$C$1,),)=0,#N/A,VLOOKUP(Table7[[#This Row],[Date]],Database!$A:$C,MATCH($B$1,Database!$A$1:$C$1,),))</f>
        <v/>
      </c>
      <c r="C15129">
        <f>IF(VLOOKUP(Table7[[#This Row],[Date]],Database!$A:$C,MATCH($C$1,Database!$A$1:$C$1,),)=0,#N/A,VLOOKUP(Table7[[#This Row],[Date]],Database!$A:$C,MATCH($C$1,Database!$A$1:$C$1,),))</f>
        <v/>
      </c>
      <c r="D15129">
        <f>IFERROR(Table7[[#This Row],[United States 10y]]-Table7[[#This Row],[United States 3y]],#N/A)</f>
        <v/>
      </c>
    </row>
    <row r="15130">
      <c r="A15130" s="6">
        <f>Database!$A17215</f>
        <v/>
      </c>
      <c r="B15130">
        <f>IF(VLOOKUP(Table7[[#This Row],[Date]],Database!$A:$C,MATCH($B$1,Database!$A$1:$C$1,),)=0,#N/A,VLOOKUP(Table7[[#This Row],[Date]],Database!$A:$C,MATCH($B$1,Database!$A$1:$C$1,),))</f>
        <v/>
      </c>
      <c r="C15130">
        <f>IF(VLOOKUP(Table7[[#This Row],[Date]],Database!$A:$C,MATCH($C$1,Database!$A$1:$C$1,),)=0,#N/A,VLOOKUP(Table7[[#This Row],[Date]],Database!$A:$C,MATCH($C$1,Database!$A$1:$C$1,),))</f>
        <v/>
      </c>
      <c r="D15130">
        <f>IFERROR(Table7[[#This Row],[United States 10y]]-Table7[[#This Row],[United States 3y]],#N/A)</f>
        <v/>
      </c>
    </row>
    <row r="15131">
      <c r="A15131" s="6">
        <f>Database!$A17216</f>
        <v/>
      </c>
      <c r="B15131">
        <f>IF(VLOOKUP(Table7[[#This Row],[Date]],Database!$A:$C,MATCH($B$1,Database!$A$1:$C$1,),)=0,#N/A,VLOOKUP(Table7[[#This Row],[Date]],Database!$A:$C,MATCH($B$1,Database!$A$1:$C$1,),))</f>
        <v/>
      </c>
      <c r="C15131">
        <f>IF(VLOOKUP(Table7[[#This Row],[Date]],Database!$A:$C,MATCH($C$1,Database!$A$1:$C$1,),)=0,#N/A,VLOOKUP(Table7[[#This Row],[Date]],Database!$A:$C,MATCH($C$1,Database!$A$1:$C$1,),))</f>
        <v/>
      </c>
      <c r="D15131">
        <f>IFERROR(Table7[[#This Row],[United States 10y]]-Table7[[#This Row],[United States 3y]],#N/A)</f>
        <v/>
      </c>
    </row>
    <row r="15132">
      <c r="A15132" s="6">
        <f>Database!$A17217</f>
        <v/>
      </c>
      <c r="B15132">
        <f>IF(VLOOKUP(Table7[[#This Row],[Date]],Database!$A:$C,MATCH($B$1,Database!$A$1:$C$1,),)=0,#N/A,VLOOKUP(Table7[[#This Row],[Date]],Database!$A:$C,MATCH($B$1,Database!$A$1:$C$1,),))</f>
        <v/>
      </c>
      <c r="C15132">
        <f>IF(VLOOKUP(Table7[[#This Row],[Date]],Database!$A:$C,MATCH($C$1,Database!$A$1:$C$1,),)=0,#N/A,VLOOKUP(Table7[[#This Row],[Date]],Database!$A:$C,MATCH($C$1,Database!$A$1:$C$1,),))</f>
        <v/>
      </c>
      <c r="D15132">
        <f>IFERROR(Table7[[#This Row],[United States 10y]]-Table7[[#This Row],[United States 3y]],#N/A)</f>
        <v/>
      </c>
    </row>
    <row r="15133">
      <c r="A15133" s="6">
        <f>Database!$A17218</f>
        <v/>
      </c>
      <c r="B15133">
        <f>IF(VLOOKUP(Table7[[#This Row],[Date]],Database!$A:$C,MATCH($B$1,Database!$A$1:$C$1,),)=0,#N/A,VLOOKUP(Table7[[#This Row],[Date]],Database!$A:$C,MATCH($B$1,Database!$A$1:$C$1,),))</f>
        <v/>
      </c>
      <c r="C15133">
        <f>IF(VLOOKUP(Table7[[#This Row],[Date]],Database!$A:$C,MATCH($C$1,Database!$A$1:$C$1,),)=0,#N/A,VLOOKUP(Table7[[#This Row],[Date]],Database!$A:$C,MATCH($C$1,Database!$A$1:$C$1,),))</f>
        <v/>
      </c>
      <c r="D15133">
        <f>IFERROR(Table7[[#This Row],[United States 10y]]-Table7[[#This Row],[United States 3y]],#N/A)</f>
        <v/>
      </c>
    </row>
    <row r="15134">
      <c r="A15134" s="6">
        <f>Database!$A17219</f>
        <v/>
      </c>
      <c r="B15134">
        <f>IF(VLOOKUP(Table7[[#This Row],[Date]],Database!$A:$C,MATCH($B$1,Database!$A$1:$C$1,),)=0,#N/A,VLOOKUP(Table7[[#This Row],[Date]],Database!$A:$C,MATCH($B$1,Database!$A$1:$C$1,),))</f>
        <v/>
      </c>
      <c r="C15134">
        <f>IF(VLOOKUP(Table7[[#This Row],[Date]],Database!$A:$C,MATCH($C$1,Database!$A$1:$C$1,),)=0,#N/A,VLOOKUP(Table7[[#This Row],[Date]],Database!$A:$C,MATCH($C$1,Database!$A$1:$C$1,),))</f>
        <v/>
      </c>
      <c r="D15134">
        <f>IFERROR(Table7[[#This Row],[United States 10y]]-Table7[[#This Row],[United States 3y]],#N/A)</f>
        <v/>
      </c>
    </row>
    <row r="15135">
      <c r="A15135" s="6">
        <f>Database!$A17220</f>
        <v/>
      </c>
      <c r="B15135">
        <f>IF(VLOOKUP(Table7[[#This Row],[Date]],Database!$A:$C,MATCH($B$1,Database!$A$1:$C$1,),)=0,#N/A,VLOOKUP(Table7[[#This Row],[Date]],Database!$A:$C,MATCH($B$1,Database!$A$1:$C$1,),))</f>
        <v/>
      </c>
      <c r="C15135">
        <f>IF(VLOOKUP(Table7[[#This Row],[Date]],Database!$A:$C,MATCH($C$1,Database!$A$1:$C$1,),)=0,#N/A,VLOOKUP(Table7[[#This Row],[Date]],Database!$A:$C,MATCH($C$1,Database!$A$1:$C$1,),))</f>
        <v/>
      </c>
      <c r="D15135">
        <f>IFERROR(Table7[[#This Row],[United States 10y]]-Table7[[#This Row],[United States 3y]],#N/A)</f>
        <v/>
      </c>
    </row>
    <row r="15136">
      <c r="A15136" s="6">
        <f>Database!$A17221</f>
        <v/>
      </c>
      <c r="B15136">
        <f>IF(VLOOKUP(Table7[[#This Row],[Date]],Database!$A:$C,MATCH($B$1,Database!$A$1:$C$1,),)=0,#N/A,VLOOKUP(Table7[[#This Row],[Date]],Database!$A:$C,MATCH($B$1,Database!$A$1:$C$1,),))</f>
        <v/>
      </c>
      <c r="C15136">
        <f>IF(VLOOKUP(Table7[[#This Row],[Date]],Database!$A:$C,MATCH($C$1,Database!$A$1:$C$1,),)=0,#N/A,VLOOKUP(Table7[[#This Row],[Date]],Database!$A:$C,MATCH($C$1,Database!$A$1:$C$1,),))</f>
        <v/>
      </c>
      <c r="D15136">
        <f>IFERROR(Table7[[#This Row],[United States 10y]]-Table7[[#This Row],[United States 3y]],#N/A)</f>
        <v/>
      </c>
    </row>
    <row r="15137">
      <c r="A15137" s="6">
        <f>Database!$A17222</f>
        <v/>
      </c>
      <c r="B15137">
        <f>IF(VLOOKUP(Table7[[#This Row],[Date]],Database!$A:$C,MATCH($B$1,Database!$A$1:$C$1,),)=0,#N/A,VLOOKUP(Table7[[#This Row],[Date]],Database!$A:$C,MATCH($B$1,Database!$A$1:$C$1,),))</f>
        <v/>
      </c>
      <c r="C15137">
        <f>IF(VLOOKUP(Table7[[#This Row],[Date]],Database!$A:$C,MATCH($C$1,Database!$A$1:$C$1,),)=0,#N/A,VLOOKUP(Table7[[#This Row],[Date]],Database!$A:$C,MATCH($C$1,Database!$A$1:$C$1,),))</f>
        <v/>
      </c>
      <c r="D15137">
        <f>IFERROR(Table7[[#This Row],[United States 10y]]-Table7[[#This Row],[United States 3y]],#N/A)</f>
        <v/>
      </c>
    </row>
    <row r="15138">
      <c r="A15138" s="6">
        <f>Database!$A17223</f>
        <v/>
      </c>
      <c r="B15138">
        <f>IF(VLOOKUP(Table7[[#This Row],[Date]],Database!$A:$C,MATCH($B$1,Database!$A$1:$C$1,),)=0,#N/A,VLOOKUP(Table7[[#This Row],[Date]],Database!$A:$C,MATCH($B$1,Database!$A$1:$C$1,),))</f>
        <v/>
      </c>
      <c r="C15138">
        <f>IF(VLOOKUP(Table7[[#This Row],[Date]],Database!$A:$C,MATCH($C$1,Database!$A$1:$C$1,),)=0,#N/A,VLOOKUP(Table7[[#This Row],[Date]],Database!$A:$C,MATCH($C$1,Database!$A$1:$C$1,),))</f>
        <v/>
      </c>
      <c r="D15138">
        <f>IFERROR(Table7[[#This Row],[United States 10y]]-Table7[[#This Row],[United States 3y]],#N/A)</f>
        <v/>
      </c>
    </row>
    <row r="15139">
      <c r="A15139" s="6">
        <f>Database!$A17224</f>
        <v/>
      </c>
      <c r="B15139">
        <f>IF(VLOOKUP(Table7[[#This Row],[Date]],Database!$A:$C,MATCH($B$1,Database!$A$1:$C$1,),)=0,#N/A,VLOOKUP(Table7[[#This Row],[Date]],Database!$A:$C,MATCH($B$1,Database!$A$1:$C$1,),))</f>
        <v/>
      </c>
      <c r="C15139">
        <f>IF(VLOOKUP(Table7[[#This Row],[Date]],Database!$A:$C,MATCH($C$1,Database!$A$1:$C$1,),)=0,#N/A,VLOOKUP(Table7[[#This Row],[Date]],Database!$A:$C,MATCH($C$1,Database!$A$1:$C$1,),))</f>
        <v/>
      </c>
      <c r="D15139">
        <f>IFERROR(Table7[[#This Row],[United States 10y]]-Table7[[#This Row],[United States 3y]],#N/A)</f>
        <v/>
      </c>
    </row>
    <row r="15140">
      <c r="A15140" s="6">
        <f>Database!$A17225</f>
        <v/>
      </c>
      <c r="B15140">
        <f>IF(VLOOKUP(Table7[[#This Row],[Date]],Database!$A:$C,MATCH($B$1,Database!$A$1:$C$1,),)=0,#N/A,VLOOKUP(Table7[[#This Row],[Date]],Database!$A:$C,MATCH($B$1,Database!$A$1:$C$1,),))</f>
        <v/>
      </c>
      <c r="C15140">
        <f>IF(VLOOKUP(Table7[[#This Row],[Date]],Database!$A:$C,MATCH($C$1,Database!$A$1:$C$1,),)=0,#N/A,VLOOKUP(Table7[[#This Row],[Date]],Database!$A:$C,MATCH($C$1,Database!$A$1:$C$1,),))</f>
        <v/>
      </c>
      <c r="D15140">
        <f>IFERROR(Table7[[#This Row],[United States 10y]]-Table7[[#This Row],[United States 3y]],#N/A)</f>
        <v/>
      </c>
    </row>
    <row r="15141">
      <c r="A15141" s="6">
        <f>Database!$A17226</f>
        <v/>
      </c>
      <c r="B15141">
        <f>IF(VLOOKUP(Table7[[#This Row],[Date]],Database!$A:$C,MATCH($B$1,Database!$A$1:$C$1,),)=0,#N/A,VLOOKUP(Table7[[#This Row],[Date]],Database!$A:$C,MATCH($B$1,Database!$A$1:$C$1,),))</f>
        <v/>
      </c>
      <c r="C15141">
        <f>IF(VLOOKUP(Table7[[#This Row],[Date]],Database!$A:$C,MATCH($C$1,Database!$A$1:$C$1,),)=0,#N/A,VLOOKUP(Table7[[#This Row],[Date]],Database!$A:$C,MATCH($C$1,Database!$A$1:$C$1,),))</f>
        <v/>
      </c>
      <c r="D15141">
        <f>IFERROR(Table7[[#This Row],[United States 10y]]-Table7[[#This Row],[United States 3y]],#N/A)</f>
        <v/>
      </c>
    </row>
    <row r="15142">
      <c r="A15142" s="6">
        <f>Database!$A17227</f>
        <v/>
      </c>
      <c r="B15142">
        <f>IF(VLOOKUP(Table7[[#This Row],[Date]],Database!$A:$C,MATCH($B$1,Database!$A$1:$C$1,),)=0,#N/A,VLOOKUP(Table7[[#This Row],[Date]],Database!$A:$C,MATCH($B$1,Database!$A$1:$C$1,),))</f>
        <v/>
      </c>
      <c r="C15142">
        <f>IF(VLOOKUP(Table7[[#This Row],[Date]],Database!$A:$C,MATCH($C$1,Database!$A$1:$C$1,),)=0,#N/A,VLOOKUP(Table7[[#This Row],[Date]],Database!$A:$C,MATCH($C$1,Database!$A$1:$C$1,),))</f>
        <v/>
      </c>
      <c r="D15142">
        <f>IFERROR(Table7[[#This Row],[United States 10y]]-Table7[[#This Row],[United States 3y]],#N/A)</f>
        <v/>
      </c>
    </row>
    <row r="15143">
      <c r="A15143" s="6">
        <f>Database!$A17228</f>
        <v/>
      </c>
      <c r="B15143">
        <f>IF(VLOOKUP(Table7[[#This Row],[Date]],Database!$A:$C,MATCH($B$1,Database!$A$1:$C$1,),)=0,#N/A,VLOOKUP(Table7[[#This Row],[Date]],Database!$A:$C,MATCH($B$1,Database!$A$1:$C$1,),))</f>
        <v/>
      </c>
      <c r="C15143">
        <f>IF(VLOOKUP(Table7[[#This Row],[Date]],Database!$A:$C,MATCH($C$1,Database!$A$1:$C$1,),)=0,#N/A,VLOOKUP(Table7[[#This Row],[Date]],Database!$A:$C,MATCH($C$1,Database!$A$1:$C$1,),))</f>
        <v/>
      </c>
      <c r="D15143">
        <f>IFERROR(Table7[[#This Row],[United States 10y]]-Table7[[#This Row],[United States 3y]],#N/A)</f>
        <v/>
      </c>
    </row>
    <row r="15144">
      <c r="A15144" s="6">
        <f>Database!$A17229</f>
        <v/>
      </c>
      <c r="B15144">
        <f>IF(VLOOKUP(Table7[[#This Row],[Date]],Database!$A:$C,MATCH($B$1,Database!$A$1:$C$1,),)=0,#N/A,VLOOKUP(Table7[[#This Row],[Date]],Database!$A:$C,MATCH($B$1,Database!$A$1:$C$1,),))</f>
        <v/>
      </c>
      <c r="C15144">
        <f>IF(VLOOKUP(Table7[[#This Row],[Date]],Database!$A:$C,MATCH($C$1,Database!$A$1:$C$1,),)=0,#N/A,VLOOKUP(Table7[[#This Row],[Date]],Database!$A:$C,MATCH($C$1,Database!$A$1:$C$1,),))</f>
        <v/>
      </c>
      <c r="D15144">
        <f>IFERROR(Table7[[#This Row],[United States 10y]]-Table7[[#This Row],[United States 3y]],#N/A)</f>
        <v/>
      </c>
    </row>
    <row r="15145">
      <c r="A15145" s="6">
        <f>Database!$A17230</f>
        <v/>
      </c>
      <c r="B15145">
        <f>IF(VLOOKUP(Table7[[#This Row],[Date]],Database!$A:$C,MATCH($B$1,Database!$A$1:$C$1,),)=0,#N/A,VLOOKUP(Table7[[#This Row],[Date]],Database!$A:$C,MATCH($B$1,Database!$A$1:$C$1,),))</f>
        <v/>
      </c>
      <c r="C15145">
        <f>IF(VLOOKUP(Table7[[#This Row],[Date]],Database!$A:$C,MATCH($C$1,Database!$A$1:$C$1,),)=0,#N/A,VLOOKUP(Table7[[#This Row],[Date]],Database!$A:$C,MATCH($C$1,Database!$A$1:$C$1,),))</f>
        <v/>
      </c>
      <c r="D15145">
        <f>IFERROR(Table7[[#This Row],[United States 10y]]-Table7[[#This Row],[United States 3y]],#N/A)</f>
        <v/>
      </c>
    </row>
    <row r="15146">
      <c r="A15146" s="6">
        <f>Database!$A17231</f>
        <v/>
      </c>
      <c r="B15146">
        <f>IF(VLOOKUP(Table7[[#This Row],[Date]],Database!$A:$C,MATCH($B$1,Database!$A$1:$C$1,),)=0,#N/A,VLOOKUP(Table7[[#This Row],[Date]],Database!$A:$C,MATCH($B$1,Database!$A$1:$C$1,),))</f>
        <v/>
      </c>
      <c r="C15146">
        <f>IF(VLOOKUP(Table7[[#This Row],[Date]],Database!$A:$C,MATCH($C$1,Database!$A$1:$C$1,),)=0,#N/A,VLOOKUP(Table7[[#This Row],[Date]],Database!$A:$C,MATCH($C$1,Database!$A$1:$C$1,),))</f>
        <v/>
      </c>
      <c r="D15146">
        <f>IFERROR(Table7[[#This Row],[United States 10y]]-Table7[[#This Row],[United States 3y]],#N/A)</f>
        <v/>
      </c>
    </row>
    <row r="15147">
      <c r="A15147" s="6">
        <f>Database!$A17232</f>
        <v/>
      </c>
      <c r="B15147">
        <f>IF(VLOOKUP(Table7[[#This Row],[Date]],Database!$A:$C,MATCH($B$1,Database!$A$1:$C$1,),)=0,#N/A,VLOOKUP(Table7[[#This Row],[Date]],Database!$A:$C,MATCH($B$1,Database!$A$1:$C$1,),))</f>
        <v/>
      </c>
      <c r="C15147">
        <f>IF(VLOOKUP(Table7[[#This Row],[Date]],Database!$A:$C,MATCH($C$1,Database!$A$1:$C$1,),)=0,#N/A,VLOOKUP(Table7[[#This Row],[Date]],Database!$A:$C,MATCH($C$1,Database!$A$1:$C$1,),))</f>
        <v/>
      </c>
      <c r="D15147">
        <f>IFERROR(Table7[[#This Row],[United States 10y]]-Table7[[#This Row],[United States 3y]],#N/A)</f>
        <v/>
      </c>
    </row>
    <row r="15148">
      <c r="A15148" s="6">
        <f>Database!$A17233</f>
        <v/>
      </c>
      <c r="B15148">
        <f>IF(VLOOKUP(Table7[[#This Row],[Date]],Database!$A:$C,MATCH($B$1,Database!$A$1:$C$1,),)=0,#N/A,VLOOKUP(Table7[[#This Row],[Date]],Database!$A:$C,MATCH($B$1,Database!$A$1:$C$1,),))</f>
        <v/>
      </c>
      <c r="C15148">
        <f>IF(VLOOKUP(Table7[[#This Row],[Date]],Database!$A:$C,MATCH($C$1,Database!$A$1:$C$1,),)=0,#N/A,VLOOKUP(Table7[[#This Row],[Date]],Database!$A:$C,MATCH($C$1,Database!$A$1:$C$1,),))</f>
        <v/>
      </c>
      <c r="D15148">
        <f>IFERROR(Table7[[#This Row],[United States 10y]]-Table7[[#This Row],[United States 3y]],#N/A)</f>
        <v/>
      </c>
    </row>
    <row r="15149">
      <c r="A15149" s="6">
        <f>Database!$A17234</f>
        <v/>
      </c>
      <c r="B15149">
        <f>IF(VLOOKUP(Table7[[#This Row],[Date]],Database!$A:$C,MATCH($B$1,Database!$A$1:$C$1,),)=0,#N/A,VLOOKUP(Table7[[#This Row],[Date]],Database!$A:$C,MATCH($B$1,Database!$A$1:$C$1,),))</f>
        <v/>
      </c>
      <c r="C15149">
        <f>IF(VLOOKUP(Table7[[#This Row],[Date]],Database!$A:$C,MATCH($C$1,Database!$A$1:$C$1,),)=0,#N/A,VLOOKUP(Table7[[#This Row],[Date]],Database!$A:$C,MATCH($C$1,Database!$A$1:$C$1,),))</f>
        <v/>
      </c>
      <c r="D15149">
        <f>IFERROR(Table7[[#This Row],[United States 10y]]-Table7[[#This Row],[United States 3y]],#N/A)</f>
        <v/>
      </c>
    </row>
    <row r="15150">
      <c r="A15150" s="6">
        <f>Database!$A17235</f>
        <v/>
      </c>
      <c r="B15150">
        <f>IF(VLOOKUP(Table7[[#This Row],[Date]],Database!$A:$C,MATCH($B$1,Database!$A$1:$C$1,),)=0,#N/A,VLOOKUP(Table7[[#This Row],[Date]],Database!$A:$C,MATCH($B$1,Database!$A$1:$C$1,),))</f>
        <v/>
      </c>
      <c r="C15150">
        <f>IF(VLOOKUP(Table7[[#This Row],[Date]],Database!$A:$C,MATCH($C$1,Database!$A$1:$C$1,),)=0,#N/A,VLOOKUP(Table7[[#This Row],[Date]],Database!$A:$C,MATCH($C$1,Database!$A$1:$C$1,),))</f>
        <v/>
      </c>
      <c r="D15150">
        <f>IFERROR(Table7[[#This Row],[United States 10y]]-Table7[[#This Row],[United States 3y]],#N/A)</f>
        <v/>
      </c>
    </row>
    <row r="15151">
      <c r="A15151" s="6">
        <f>Database!$A17236</f>
        <v/>
      </c>
      <c r="B15151">
        <f>IF(VLOOKUP(Table7[[#This Row],[Date]],Database!$A:$C,MATCH($B$1,Database!$A$1:$C$1,),)=0,#N/A,VLOOKUP(Table7[[#This Row],[Date]],Database!$A:$C,MATCH($B$1,Database!$A$1:$C$1,),))</f>
        <v/>
      </c>
      <c r="C15151">
        <f>IF(VLOOKUP(Table7[[#This Row],[Date]],Database!$A:$C,MATCH($C$1,Database!$A$1:$C$1,),)=0,#N/A,VLOOKUP(Table7[[#This Row],[Date]],Database!$A:$C,MATCH($C$1,Database!$A$1:$C$1,),))</f>
        <v/>
      </c>
      <c r="D15151">
        <f>IFERROR(Table7[[#This Row],[United States 10y]]-Table7[[#This Row],[United States 3y]],#N/A)</f>
        <v/>
      </c>
    </row>
    <row r="15152">
      <c r="A15152" s="6">
        <f>Database!$A17237</f>
        <v/>
      </c>
      <c r="B15152">
        <f>IF(VLOOKUP(Table7[[#This Row],[Date]],Database!$A:$C,MATCH($B$1,Database!$A$1:$C$1,),)=0,#N/A,VLOOKUP(Table7[[#This Row],[Date]],Database!$A:$C,MATCH($B$1,Database!$A$1:$C$1,),))</f>
        <v/>
      </c>
      <c r="C15152">
        <f>IF(VLOOKUP(Table7[[#This Row],[Date]],Database!$A:$C,MATCH($C$1,Database!$A$1:$C$1,),)=0,#N/A,VLOOKUP(Table7[[#This Row],[Date]],Database!$A:$C,MATCH($C$1,Database!$A$1:$C$1,),))</f>
        <v/>
      </c>
      <c r="D15152">
        <f>IFERROR(Table7[[#This Row],[United States 10y]]-Table7[[#This Row],[United States 3y]],#N/A)</f>
        <v/>
      </c>
    </row>
    <row r="15153">
      <c r="A15153" s="6">
        <f>Database!$A17238</f>
        <v/>
      </c>
      <c r="B15153">
        <f>IF(VLOOKUP(Table7[[#This Row],[Date]],Database!$A:$C,MATCH($B$1,Database!$A$1:$C$1,),)=0,#N/A,VLOOKUP(Table7[[#This Row],[Date]],Database!$A:$C,MATCH($B$1,Database!$A$1:$C$1,),))</f>
        <v/>
      </c>
      <c r="C15153">
        <f>IF(VLOOKUP(Table7[[#This Row],[Date]],Database!$A:$C,MATCH($C$1,Database!$A$1:$C$1,),)=0,#N/A,VLOOKUP(Table7[[#This Row],[Date]],Database!$A:$C,MATCH($C$1,Database!$A$1:$C$1,),))</f>
        <v/>
      </c>
      <c r="D15153">
        <f>IFERROR(Table7[[#This Row],[United States 10y]]-Table7[[#This Row],[United States 3y]],#N/A)</f>
        <v/>
      </c>
    </row>
    <row r="15154">
      <c r="A15154" s="6">
        <f>Database!$A17239</f>
        <v/>
      </c>
      <c r="B15154">
        <f>IF(VLOOKUP(Table7[[#This Row],[Date]],Database!$A:$C,MATCH($B$1,Database!$A$1:$C$1,),)=0,#N/A,VLOOKUP(Table7[[#This Row],[Date]],Database!$A:$C,MATCH($B$1,Database!$A$1:$C$1,),))</f>
        <v/>
      </c>
      <c r="C15154">
        <f>IF(VLOOKUP(Table7[[#This Row],[Date]],Database!$A:$C,MATCH($C$1,Database!$A$1:$C$1,),)=0,#N/A,VLOOKUP(Table7[[#This Row],[Date]],Database!$A:$C,MATCH($C$1,Database!$A$1:$C$1,),))</f>
        <v/>
      </c>
      <c r="D15154">
        <f>IFERROR(Table7[[#This Row],[United States 10y]]-Table7[[#This Row],[United States 3y]],#N/A)</f>
        <v/>
      </c>
    </row>
    <row r="15155">
      <c r="A15155" s="6">
        <f>Database!$A17240</f>
        <v/>
      </c>
      <c r="B15155">
        <f>IF(VLOOKUP(Table7[[#This Row],[Date]],Database!$A:$C,MATCH($B$1,Database!$A$1:$C$1,),)=0,#N/A,VLOOKUP(Table7[[#This Row],[Date]],Database!$A:$C,MATCH($B$1,Database!$A$1:$C$1,),))</f>
        <v/>
      </c>
      <c r="C15155">
        <f>IF(VLOOKUP(Table7[[#This Row],[Date]],Database!$A:$C,MATCH($C$1,Database!$A$1:$C$1,),)=0,#N/A,VLOOKUP(Table7[[#This Row],[Date]],Database!$A:$C,MATCH($C$1,Database!$A$1:$C$1,),))</f>
        <v/>
      </c>
      <c r="D15155">
        <f>IFERROR(Table7[[#This Row],[United States 10y]]-Table7[[#This Row],[United States 3y]],#N/A)</f>
        <v/>
      </c>
    </row>
    <row r="15156">
      <c r="A15156" s="6">
        <f>Database!$A17241</f>
        <v/>
      </c>
      <c r="B15156">
        <f>IF(VLOOKUP(Table7[[#This Row],[Date]],Database!$A:$C,MATCH($B$1,Database!$A$1:$C$1,),)=0,#N/A,VLOOKUP(Table7[[#This Row],[Date]],Database!$A:$C,MATCH($B$1,Database!$A$1:$C$1,),))</f>
        <v/>
      </c>
      <c r="C15156">
        <f>IF(VLOOKUP(Table7[[#This Row],[Date]],Database!$A:$C,MATCH($C$1,Database!$A$1:$C$1,),)=0,#N/A,VLOOKUP(Table7[[#This Row],[Date]],Database!$A:$C,MATCH($C$1,Database!$A$1:$C$1,),))</f>
        <v/>
      </c>
      <c r="D15156">
        <f>IFERROR(Table7[[#This Row],[United States 10y]]-Table7[[#This Row],[United States 3y]],#N/A)</f>
        <v/>
      </c>
    </row>
    <row r="15157">
      <c r="A15157" s="6">
        <f>Database!$A17242</f>
        <v/>
      </c>
      <c r="B15157">
        <f>IF(VLOOKUP(Table7[[#This Row],[Date]],Database!$A:$C,MATCH($B$1,Database!$A$1:$C$1,),)=0,#N/A,VLOOKUP(Table7[[#This Row],[Date]],Database!$A:$C,MATCH($B$1,Database!$A$1:$C$1,),))</f>
        <v/>
      </c>
      <c r="C15157">
        <f>IF(VLOOKUP(Table7[[#This Row],[Date]],Database!$A:$C,MATCH($C$1,Database!$A$1:$C$1,),)=0,#N/A,VLOOKUP(Table7[[#This Row],[Date]],Database!$A:$C,MATCH($C$1,Database!$A$1:$C$1,),))</f>
        <v/>
      </c>
      <c r="D15157">
        <f>IFERROR(Table7[[#This Row],[United States 10y]]-Table7[[#This Row],[United States 3y]],#N/A)</f>
        <v/>
      </c>
    </row>
    <row r="15158">
      <c r="A15158" s="6">
        <f>Database!$A17243</f>
        <v/>
      </c>
      <c r="B15158">
        <f>IF(VLOOKUP(Table7[[#This Row],[Date]],Database!$A:$C,MATCH($B$1,Database!$A$1:$C$1,),)=0,#N/A,VLOOKUP(Table7[[#This Row],[Date]],Database!$A:$C,MATCH($B$1,Database!$A$1:$C$1,),))</f>
        <v/>
      </c>
      <c r="C15158">
        <f>IF(VLOOKUP(Table7[[#This Row],[Date]],Database!$A:$C,MATCH($C$1,Database!$A$1:$C$1,),)=0,#N/A,VLOOKUP(Table7[[#This Row],[Date]],Database!$A:$C,MATCH($C$1,Database!$A$1:$C$1,),))</f>
        <v/>
      </c>
      <c r="D15158">
        <f>IFERROR(Table7[[#This Row],[United States 10y]]-Table7[[#This Row],[United States 3y]],#N/A)</f>
        <v/>
      </c>
    </row>
    <row r="15159">
      <c r="A15159" s="6">
        <f>Database!$A17244</f>
        <v/>
      </c>
      <c r="B15159">
        <f>IF(VLOOKUP(Table7[[#This Row],[Date]],Database!$A:$C,MATCH($B$1,Database!$A$1:$C$1,),)=0,#N/A,VLOOKUP(Table7[[#This Row],[Date]],Database!$A:$C,MATCH($B$1,Database!$A$1:$C$1,),))</f>
        <v/>
      </c>
      <c r="C15159">
        <f>IF(VLOOKUP(Table7[[#This Row],[Date]],Database!$A:$C,MATCH($C$1,Database!$A$1:$C$1,),)=0,#N/A,VLOOKUP(Table7[[#This Row],[Date]],Database!$A:$C,MATCH($C$1,Database!$A$1:$C$1,),))</f>
        <v/>
      </c>
      <c r="D15159">
        <f>IFERROR(Table7[[#This Row],[United States 10y]]-Table7[[#This Row],[United States 3y]],#N/A)</f>
        <v/>
      </c>
    </row>
    <row r="15160">
      <c r="A15160" s="6">
        <f>Database!$A17245</f>
        <v/>
      </c>
      <c r="B15160">
        <f>IF(VLOOKUP(Table7[[#This Row],[Date]],Database!$A:$C,MATCH($B$1,Database!$A$1:$C$1,),)=0,#N/A,VLOOKUP(Table7[[#This Row],[Date]],Database!$A:$C,MATCH($B$1,Database!$A$1:$C$1,),))</f>
        <v/>
      </c>
      <c r="C15160">
        <f>IF(VLOOKUP(Table7[[#This Row],[Date]],Database!$A:$C,MATCH($C$1,Database!$A$1:$C$1,),)=0,#N/A,VLOOKUP(Table7[[#This Row],[Date]],Database!$A:$C,MATCH($C$1,Database!$A$1:$C$1,),))</f>
        <v/>
      </c>
      <c r="D15160">
        <f>IFERROR(Table7[[#This Row],[United States 10y]]-Table7[[#This Row],[United States 3y]],#N/A)</f>
        <v/>
      </c>
    </row>
    <row r="15161">
      <c r="A15161" s="6">
        <f>Database!$A17246</f>
        <v/>
      </c>
      <c r="B15161">
        <f>IF(VLOOKUP(Table7[[#This Row],[Date]],Database!$A:$C,MATCH($B$1,Database!$A$1:$C$1,),)=0,#N/A,VLOOKUP(Table7[[#This Row],[Date]],Database!$A:$C,MATCH($B$1,Database!$A$1:$C$1,),))</f>
        <v/>
      </c>
      <c r="C15161">
        <f>IF(VLOOKUP(Table7[[#This Row],[Date]],Database!$A:$C,MATCH($C$1,Database!$A$1:$C$1,),)=0,#N/A,VLOOKUP(Table7[[#This Row],[Date]],Database!$A:$C,MATCH($C$1,Database!$A$1:$C$1,),))</f>
        <v/>
      </c>
      <c r="D15161">
        <f>IFERROR(Table7[[#This Row],[United States 10y]]-Table7[[#This Row],[United States 3y]],#N/A)</f>
        <v/>
      </c>
    </row>
    <row r="15162">
      <c r="A15162" s="6">
        <f>Database!$A17247</f>
        <v/>
      </c>
      <c r="B15162">
        <f>IF(VLOOKUP(Table7[[#This Row],[Date]],Database!$A:$C,MATCH($B$1,Database!$A$1:$C$1,),)=0,#N/A,VLOOKUP(Table7[[#This Row],[Date]],Database!$A:$C,MATCH($B$1,Database!$A$1:$C$1,),))</f>
        <v/>
      </c>
      <c r="C15162">
        <f>IF(VLOOKUP(Table7[[#This Row],[Date]],Database!$A:$C,MATCH($C$1,Database!$A$1:$C$1,),)=0,#N/A,VLOOKUP(Table7[[#This Row],[Date]],Database!$A:$C,MATCH($C$1,Database!$A$1:$C$1,),))</f>
        <v/>
      </c>
      <c r="D15162">
        <f>IFERROR(Table7[[#This Row],[United States 10y]]-Table7[[#This Row],[United States 3y]],#N/A)</f>
        <v/>
      </c>
    </row>
    <row r="15163">
      <c r="A15163" s="6">
        <f>Database!$A17248</f>
        <v/>
      </c>
      <c r="B15163">
        <f>IF(VLOOKUP(Table7[[#This Row],[Date]],Database!$A:$C,MATCH($B$1,Database!$A$1:$C$1,),)=0,#N/A,VLOOKUP(Table7[[#This Row],[Date]],Database!$A:$C,MATCH($B$1,Database!$A$1:$C$1,),))</f>
        <v/>
      </c>
      <c r="C15163">
        <f>IF(VLOOKUP(Table7[[#This Row],[Date]],Database!$A:$C,MATCH($C$1,Database!$A$1:$C$1,),)=0,#N/A,VLOOKUP(Table7[[#This Row],[Date]],Database!$A:$C,MATCH($C$1,Database!$A$1:$C$1,),))</f>
        <v/>
      </c>
      <c r="D15163">
        <f>IFERROR(Table7[[#This Row],[United States 10y]]-Table7[[#This Row],[United States 3y]],#N/A)</f>
        <v/>
      </c>
    </row>
    <row r="15164">
      <c r="A15164" s="6">
        <f>Database!$A17249</f>
        <v/>
      </c>
      <c r="B15164">
        <f>IF(VLOOKUP(Table7[[#This Row],[Date]],Database!$A:$C,MATCH($B$1,Database!$A$1:$C$1,),)=0,#N/A,VLOOKUP(Table7[[#This Row],[Date]],Database!$A:$C,MATCH($B$1,Database!$A$1:$C$1,),))</f>
        <v/>
      </c>
      <c r="C15164">
        <f>IF(VLOOKUP(Table7[[#This Row],[Date]],Database!$A:$C,MATCH($C$1,Database!$A$1:$C$1,),)=0,#N/A,VLOOKUP(Table7[[#This Row],[Date]],Database!$A:$C,MATCH($C$1,Database!$A$1:$C$1,),))</f>
        <v/>
      </c>
      <c r="D15164">
        <f>IFERROR(Table7[[#This Row],[United States 10y]]-Table7[[#This Row],[United States 3y]],#N/A)</f>
        <v/>
      </c>
    </row>
    <row r="15165">
      <c r="A15165" s="6">
        <f>Database!$A17250</f>
        <v/>
      </c>
      <c r="B15165">
        <f>IF(VLOOKUP(Table7[[#This Row],[Date]],Database!$A:$C,MATCH($B$1,Database!$A$1:$C$1,),)=0,#N/A,VLOOKUP(Table7[[#This Row],[Date]],Database!$A:$C,MATCH($B$1,Database!$A$1:$C$1,),))</f>
        <v/>
      </c>
      <c r="C15165">
        <f>IF(VLOOKUP(Table7[[#This Row],[Date]],Database!$A:$C,MATCH($C$1,Database!$A$1:$C$1,),)=0,#N/A,VLOOKUP(Table7[[#This Row],[Date]],Database!$A:$C,MATCH($C$1,Database!$A$1:$C$1,),))</f>
        <v/>
      </c>
      <c r="D15165">
        <f>IFERROR(Table7[[#This Row],[United States 10y]]-Table7[[#This Row],[United States 3y]],#N/A)</f>
        <v/>
      </c>
    </row>
    <row r="15166">
      <c r="A15166" s="6">
        <f>Database!$A17251</f>
        <v/>
      </c>
      <c r="B15166">
        <f>IF(VLOOKUP(Table7[[#This Row],[Date]],Database!$A:$C,MATCH($B$1,Database!$A$1:$C$1,),)=0,#N/A,VLOOKUP(Table7[[#This Row],[Date]],Database!$A:$C,MATCH($B$1,Database!$A$1:$C$1,),))</f>
        <v/>
      </c>
      <c r="C15166">
        <f>IF(VLOOKUP(Table7[[#This Row],[Date]],Database!$A:$C,MATCH($C$1,Database!$A$1:$C$1,),)=0,#N/A,VLOOKUP(Table7[[#This Row],[Date]],Database!$A:$C,MATCH($C$1,Database!$A$1:$C$1,),))</f>
        <v/>
      </c>
      <c r="D15166">
        <f>IFERROR(Table7[[#This Row],[United States 10y]]-Table7[[#This Row],[United States 3y]],#N/A)</f>
        <v/>
      </c>
    </row>
    <row r="15167">
      <c r="A15167" s="6">
        <f>Database!$A17252</f>
        <v/>
      </c>
      <c r="B15167">
        <f>IF(VLOOKUP(Table7[[#This Row],[Date]],Database!$A:$C,MATCH($B$1,Database!$A$1:$C$1,),)=0,#N/A,VLOOKUP(Table7[[#This Row],[Date]],Database!$A:$C,MATCH($B$1,Database!$A$1:$C$1,),))</f>
        <v/>
      </c>
      <c r="C15167">
        <f>IF(VLOOKUP(Table7[[#This Row],[Date]],Database!$A:$C,MATCH($C$1,Database!$A$1:$C$1,),)=0,#N/A,VLOOKUP(Table7[[#This Row],[Date]],Database!$A:$C,MATCH($C$1,Database!$A$1:$C$1,),))</f>
        <v/>
      </c>
      <c r="D15167">
        <f>IFERROR(Table7[[#This Row],[United States 10y]]-Table7[[#This Row],[United States 3y]],#N/A)</f>
        <v/>
      </c>
    </row>
    <row r="15168">
      <c r="A15168" s="6">
        <f>Database!$A17253</f>
        <v/>
      </c>
      <c r="B15168">
        <f>IF(VLOOKUP(Table7[[#This Row],[Date]],Database!$A:$C,MATCH($B$1,Database!$A$1:$C$1,),)=0,#N/A,VLOOKUP(Table7[[#This Row],[Date]],Database!$A:$C,MATCH($B$1,Database!$A$1:$C$1,),))</f>
        <v/>
      </c>
      <c r="C15168">
        <f>IF(VLOOKUP(Table7[[#This Row],[Date]],Database!$A:$C,MATCH($C$1,Database!$A$1:$C$1,),)=0,#N/A,VLOOKUP(Table7[[#This Row],[Date]],Database!$A:$C,MATCH($C$1,Database!$A$1:$C$1,),))</f>
        <v/>
      </c>
      <c r="D15168">
        <f>IFERROR(Table7[[#This Row],[United States 10y]]-Table7[[#This Row],[United States 3y]],#N/A)</f>
        <v/>
      </c>
    </row>
    <row r="15169">
      <c r="A15169" s="6">
        <f>Database!$A17254</f>
        <v/>
      </c>
      <c r="B15169">
        <f>IF(VLOOKUP(Table7[[#This Row],[Date]],Database!$A:$C,MATCH($B$1,Database!$A$1:$C$1,),)=0,#N/A,VLOOKUP(Table7[[#This Row],[Date]],Database!$A:$C,MATCH($B$1,Database!$A$1:$C$1,),))</f>
        <v/>
      </c>
      <c r="C15169">
        <f>IF(VLOOKUP(Table7[[#This Row],[Date]],Database!$A:$C,MATCH($C$1,Database!$A$1:$C$1,),)=0,#N/A,VLOOKUP(Table7[[#This Row],[Date]],Database!$A:$C,MATCH($C$1,Database!$A$1:$C$1,),))</f>
        <v/>
      </c>
      <c r="D15169">
        <f>IFERROR(Table7[[#This Row],[United States 10y]]-Table7[[#This Row],[United States 3y]],#N/A)</f>
        <v/>
      </c>
    </row>
    <row r="15170">
      <c r="A15170" s="6">
        <f>Database!$A17255</f>
        <v/>
      </c>
      <c r="B15170">
        <f>IF(VLOOKUP(Table7[[#This Row],[Date]],Database!$A:$C,MATCH($B$1,Database!$A$1:$C$1,),)=0,#N/A,VLOOKUP(Table7[[#This Row],[Date]],Database!$A:$C,MATCH($B$1,Database!$A$1:$C$1,),))</f>
        <v/>
      </c>
      <c r="C15170">
        <f>IF(VLOOKUP(Table7[[#This Row],[Date]],Database!$A:$C,MATCH($C$1,Database!$A$1:$C$1,),)=0,#N/A,VLOOKUP(Table7[[#This Row],[Date]],Database!$A:$C,MATCH($C$1,Database!$A$1:$C$1,),))</f>
        <v/>
      </c>
      <c r="D15170">
        <f>IFERROR(Table7[[#This Row],[United States 10y]]-Table7[[#This Row],[United States 3y]],#N/A)</f>
        <v/>
      </c>
    </row>
    <row r="15171">
      <c r="A15171" s="6">
        <f>Database!$A17256</f>
        <v/>
      </c>
      <c r="B15171">
        <f>IF(VLOOKUP(Table7[[#This Row],[Date]],Database!$A:$C,MATCH($B$1,Database!$A$1:$C$1,),)=0,#N/A,VLOOKUP(Table7[[#This Row],[Date]],Database!$A:$C,MATCH($B$1,Database!$A$1:$C$1,),))</f>
        <v/>
      </c>
      <c r="C15171">
        <f>IF(VLOOKUP(Table7[[#This Row],[Date]],Database!$A:$C,MATCH($C$1,Database!$A$1:$C$1,),)=0,#N/A,VLOOKUP(Table7[[#This Row],[Date]],Database!$A:$C,MATCH($C$1,Database!$A$1:$C$1,),))</f>
        <v/>
      </c>
      <c r="D15171">
        <f>IFERROR(Table7[[#This Row],[United States 10y]]-Table7[[#This Row],[United States 3y]],#N/A)</f>
        <v/>
      </c>
    </row>
    <row r="15172">
      <c r="A15172" s="6">
        <f>Database!$A17257</f>
        <v/>
      </c>
      <c r="B15172">
        <f>IF(VLOOKUP(Table7[[#This Row],[Date]],Database!$A:$C,MATCH($B$1,Database!$A$1:$C$1,),)=0,#N/A,VLOOKUP(Table7[[#This Row],[Date]],Database!$A:$C,MATCH($B$1,Database!$A$1:$C$1,),))</f>
        <v/>
      </c>
      <c r="C15172">
        <f>IF(VLOOKUP(Table7[[#This Row],[Date]],Database!$A:$C,MATCH($C$1,Database!$A$1:$C$1,),)=0,#N/A,VLOOKUP(Table7[[#This Row],[Date]],Database!$A:$C,MATCH($C$1,Database!$A$1:$C$1,),))</f>
        <v/>
      </c>
      <c r="D15172">
        <f>IFERROR(Table7[[#This Row],[United States 10y]]-Table7[[#This Row],[United States 3y]],#N/A)</f>
        <v/>
      </c>
    </row>
    <row r="15173">
      <c r="A15173" s="6">
        <f>Database!$A17258</f>
        <v/>
      </c>
      <c r="B15173">
        <f>IF(VLOOKUP(Table7[[#This Row],[Date]],Database!$A:$C,MATCH($B$1,Database!$A$1:$C$1,),)=0,#N/A,VLOOKUP(Table7[[#This Row],[Date]],Database!$A:$C,MATCH($B$1,Database!$A$1:$C$1,),))</f>
        <v/>
      </c>
      <c r="C15173">
        <f>IF(VLOOKUP(Table7[[#This Row],[Date]],Database!$A:$C,MATCH($C$1,Database!$A$1:$C$1,),)=0,#N/A,VLOOKUP(Table7[[#This Row],[Date]],Database!$A:$C,MATCH($C$1,Database!$A$1:$C$1,),))</f>
        <v/>
      </c>
      <c r="D15173">
        <f>IFERROR(Table7[[#This Row],[United States 10y]]-Table7[[#This Row],[United States 3y]],#N/A)</f>
        <v/>
      </c>
    </row>
    <row r="15174">
      <c r="A15174" s="6">
        <f>Database!$A17259</f>
        <v/>
      </c>
      <c r="B15174">
        <f>IF(VLOOKUP(Table7[[#This Row],[Date]],Database!$A:$C,MATCH($B$1,Database!$A$1:$C$1,),)=0,#N/A,VLOOKUP(Table7[[#This Row],[Date]],Database!$A:$C,MATCH($B$1,Database!$A$1:$C$1,),))</f>
        <v/>
      </c>
      <c r="C15174">
        <f>IF(VLOOKUP(Table7[[#This Row],[Date]],Database!$A:$C,MATCH($C$1,Database!$A$1:$C$1,),)=0,#N/A,VLOOKUP(Table7[[#This Row],[Date]],Database!$A:$C,MATCH($C$1,Database!$A$1:$C$1,),))</f>
        <v/>
      </c>
      <c r="D15174">
        <f>IFERROR(Table7[[#This Row],[United States 10y]]-Table7[[#This Row],[United States 3y]],#N/A)</f>
        <v/>
      </c>
    </row>
    <row r="15175">
      <c r="A15175" s="6">
        <f>Database!$A17260</f>
        <v/>
      </c>
      <c r="B15175">
        <f>IF(VLOOKUP(Table7[[#This Row],[Date]],Database!$A:$C,MATCH($B$1,Database!$A$1:$C$1,),)=0,#N/A,VLOOKUP(Table7[[#This Row],[Date]],Database!$A:$C,MATCH($B$1,Database!$A$1:$C$1,),))</f>
        <v/>
      </c>
      <c r="C15175">
        <f>IF(VLOOKUP(Table7[[#This Row],[Date]],Database!$A:$C,MATCH($C$1,Database!$A$1:$C$1,),)=0,#N/A,VLOOKUP(Table7[[#This Row],[Date]],Database!$A:$C,MATCH($C$1,Database!$A$1:$C$1,),))</f>
        <v/>
      </c>
      <c r="D15175">
        <f>IFERROR(Table7[[#This Row],[United States 10y]]-Table7[[#This Row],[United States 3y]],#N/A)</f>
        <v/>
      </c>
    </row>
    <row r="15176">
      <c r="A15176" s="6">
        <f>Database!$A17261</f>
        <v/>
      </c>
      <c r="B15176">
        <f>IF(VLOOKUP(Table7[[#This Row],[Date]],Database!$A:$C,MATCH($B$1,Database!$A$1:$C$1,),)=0,#N/A,VLOOKUP(Table7[[#This Row],[Date]],Database!$A:$C,MATCH($B$1,Database!$A$1:$C$1,),))</f>
        <v/>
      </c>
      <c r="C15176">
        <f>IF(VLOOKUP(Table7[[#This Row],[Date]],Database!$A:$C,MATCH($C$1,Database!$A$1:$C$1,),)=0,#N/A,VLOOKUP(Table7[[#This Row],[Date]],Database!$A:$C,MATCH($C$1,Database!$A$1:$C$1,),))</f>
        <v/>
      </c>
      <c r="D15176">
        <f>IFERROR(Table7[[#This Row],[United States 10y]]-Table7[[#This Row],[United States 3y]],#N/A)</f>
        <v/>
      </c>
    </row>
    <row r="15177">
      <c r="A15177" s="6">
        <f>Database!$A17262</f>
        <v/>
      </c>
      <c r="B15177">
        <f>IF(VLOOKUP(Table7[[#This Row],[Date]],Database!$A:$C,MATCH($B$1,Database!$A$1:$C$1,),)=0,#N/A,VLOOKUP(Table7[[#This Row],[Date]],Database!$A:$C,MATCH($B$1,Database!$A$1:$C$1,),))</f>
        <v/>
      </c>
      <c r="C15177">
        <f>IF(VLOOKUP(Table7[[#This Row],[Date]],Database!$A:$C,MATCH($C$1,Database!$A$1:$C$1,),)=0,#N/A,VLOOKUP(Table7[[#This Row],[Date]],Database!$A:$C,MATCH($C$1,Database!$A$1:$C$1,),))</f>
        <v/>
      </c>
      <c r="D15177">
        <f>IFERROR(Table7[[#This Row],[United States 10y]]-Table7[[#This Row],[United States 3y]],#N/A)</f>
        <v/>
      </c>
    </row>
    <row r="15178">
      <c r="A15178" s="6">
        <f>Database!$A17263</f>
        <v/>
      </c>
      <c r="B15178">
        <f>IF(VLOOKUP(Table7[[#This Row],[Date]],Database!$A:$C,MATCH($B$1,Database!$A$1:$C$1,),)=0,#N/A,VLOOKUP(Table7[[#This Row],[Date]],Database!$A:$C,MATCH($B$1,Database!$A$1:$C$1,),))</f>
        <v/>
      </c>
      <c r="C15178">
        <f>IF(VLOOKUP(Table7[[#This Row],[Date]],Database!$A:$C,MATCH($C$1,Database!$A$1:$C$1,),)=0,#N/A,VLOOKUP(Table7[[#This Row],[Date]],Database!$A:$C,MATCH($C$1,Database!$A$1:$C$1,),))</f>
        <v/>
      </c>
      <c r="D15178">
        <f>IFERROR(Table7[[#This Row],[United States 10y]]-Table7[[#This Row],[United States 3y]],#N/A)</f>
        <v/>
      </c>
    </row>
    <row r="15179">
      <c r="A15179" s="6">
        <f>Database!$A17264</f>
        <v/>
      </c>
      <c r="B15179">
        <f>IF(VLOOKUP(Table7[[#This Row],[Date]],Database!$A:$C,MATCH($B$1,Database!$A$1:$C$1,),)=0,#N/A,VLOOKUP(Table7[[#This Row],[Date]],Database!$A:$C,MATCH($B$1,Database!$A$1:$C$1,),))</f>
        <v/>
      </c>
      <c r="C15179">
        <f>IF(VLOOKUP(Table7[[#This Row],[Date]],Database!$A:$C,MATCH($C$1,Database!$A$1:$C$1,),)=0,#N/A,VLOOKUP(Table7[[#This Row],[Date]],Database!$A:$C,MATCH($C$1,Database!$A$1:$C$1,),))</f>
        <v/>
      </c>
      <c r="D15179">
        <f>IFERROR(Table7[[#This Row],[United States 10y]]-Table7[[#This Row],[United States 3y]],#N/A)</f>
        <v/>
      </c>
    </row>
    <row r="15180">
      <c r="A15180" s="6">
        <f>Database!$A17265</f>
        <v/>
      </c>
      <c r="B15180">
        <f>IF(VLOOKUP(Table7[[#This Row],[Date]],Database!$A:$C,MATCH($B$1,Database!$A$1:$C$1,),)=0,#N/A,VLOOKUP(Table7[[#This Row],[Date]],Database!$A:$C,MATCH($B$1,Database!$A$1:$C$1,),))</f>
        <v/>
      </c>
      <c r="C15180">
        <f>IF(VLOOKUP(Table7[[#This Row],[Date]],Database!$A:$C,MATCH($C$1,Database!$A$1:$C$1,),)=0,#N/A,VLOOKUP(Table7[[#This Row],[Date]],Database!$A:$C,MATCH($C$1,Database!$A$1:$C$1,),))</f>
        <v/>
      </c>
      <c r="D15180">
        <f>IFERROR(Table7[[#This Row],[United States 10y]]-Table7[[#This Row],[United States 3y]],#N/A)</f>
        <v/>
      </c>
    </row>
    <row r="15181">
      <c r="A15181" s="6">
        <f>Database!$A17266</f>
        <v/>
      </c>
      <c r="B15181">
        <f>IF(VLOOKUP(Table7[[#This Row],[Date]],Database!$A:$C,MATCH($B$1,Database!$A$1:$C$1,),)=0,#N/A,VLOOKUP(Table7[[#This Row],[Date]],Database!$A:$C,MATCH($B$1,Database!$A$1:$C$1,),))</f>
        <v/>
      </c>
      <c r="C15181">
        <f>IF(VLOOKUP(Table7[[#This Row],[Date]],Database!$A:$C,MATCH($C$1,Database!$A$1:$C$1,),)=0,#N/A,VLOOKUP(Table7[[#This Row],[Date]],Database!$A:$C,MATCH($C$1,Database!$A$1:$C$1,),))</f>
        <v/>
      </c>
      <c r="D15181">
        <f>IFERROR(Table7[[#This Row],[United States 10y]]-Table7[[#This Row],[United States 3y]],#N/A)</f>
        <v/>
      </c>
    </row>
    <row r="15182">
      <c r="A15182" s="6">
        <f>Database!$A17267</f>
        <v/>
      </c>
      <c r="B15182">
        <f>IF(VLOOKUP(Table7[[#This Row],[Date]],Database!$A:$C,MATCH($B$1,Database!$A$1:$C$1,),)=0,#N/A,VLOOKUP(Table7[[#This Row],[Date]],Database!$A:$C,MATCH($B$1,Database!$A$1:$C$1,),))</f>
        <v/>
      </c>
      <c r="C15182">
        <f>IF(VLOOKUP(Table7[[#This Row],[Date]],Database!$A:$C,MATCH($C$1,Database!$A$1:$C$1,),)=0,#N/A,VLOOKUP(Table7[[#This Row],[Date]],Database!$A:$C,MATCH($C$1,Database!$A$1:$C$1,),))</f>
        <v/>
      </c>
      <c r="D15182">
        <f>IFERROR(Table7[[#This Row],[United States 10y]]-Table7[[#This Row],[United States 3y]],#N/A)</f>
        <v/>
      </c>
    </row>
    <row r="15183">
      <c r="A15183" s="6">
        <f>Database!$A17268</f>
        <v/>
      </c>
      <c r="B15183">
        <f>IF(VLOOKUP(Table7[[#This Row],[Date]],Database!$A:$C,MATCH($B$1,Database!$A$1:$C$1,),)=0,#N/A,VLOOKUP(Table7[[#This Row],[Date]],Database!$A:$C,MATCH($B$1,Database!$A$1:$C$1,),))</f>
        <v/>
      </c>
      <c r="C15183">
        <f>IF(VLOOKUP(Table7[[#This Row],[Date]],Database!$A:$C,MATCH($C$1,Database!$A$1:$C$1,),)=0,#N/A,VLOOKUP(Table7[[#This Row],[Date]],Database!$A:$C,MATCH($C$1,Database!$A$1:$C$1,),))</f>
        <v/>
      </c>
      <c r="D15183">
        <f>IFERROR(Table7[[#This Row],[United States 10y]]-Table7[[#This Row],[United States 3y]],#N/A)</f>
        <v/>
      </c>
    </row>
    <row r="15184">
      <c r="A15184" s="6">
        <f>Database!$A17269</f>
        <v/>
      </c>
      <c r="B15184">
        <f>IF(VLOOKUP(Table7[[#This Row],[Date]],Database!$A:$C,MATCH($B$1,Database!$A$1:$C$1,),)=0,#N/A,VLOOKUP(Table7[[#This Row],[Date]],Database!$A:$C,MATCH($B$1,Database!$A$1:$C$1,),))</f>
        <v/>
      </c>
      <c r="C15184">
        <f>IF(VLOOKUP(Table7[[#This Row],[Date]],Database!$A:$C,MATCH($C$1,Database!$A$1:$C$1,),)=0,#N/A,VLOOKUP(Table7[[#This Row],[Date]],Database!$A:$C,MATCH($C$1,Database!$A$1:$C$1,),))</f>
        <v/>
      </c>
      <c r="D15184">
        <f>IFERROR(Table7[[#This Row],[United States 10y]]-Table7[[#This Row],[United States 3y]],#N/A)</f>
        <v/>
      </c>
    </row>
    <row r="15185">
      <c r="A15185" s="6">
        <f>Database!$A17270</f>
        <v/>
      </c>
      <c r="B15185">
        <f>IF(VLOOKUP(Table7[[#This Row],[Date]],Database!$A:$C,MATCH($B$1,Database!$A$1:$C$1,),)=0,#N/A,VLOOKUP(Table7[[#This Row],[Date]],Database!$A:$C,MATCH($B$1,Database!$A$1:$C$1,),))</f>
        <v/>
      </c>
      <c r="C15185">
        <f>IF(VLOOKUP(Table7[[#This Row],[Date]],Database!$A:$C,MATCH($C$1,Database!$A$1:$C$1,),)=0,#N/A,VLOOKUP(Table7[[#This Row],[Date]],Database!$A:$C,MATCH($C$1,Database!$A$1:$C$1,),))</f>
        <v/>
      </c>
      <c r="D15185">
        <f>IFERROR(Table7[[#This Row],[United States 10y]]-Table7[[#This Row],[United States 3y]],#N/A)</f>
        <v/>
      </c>
    </row>
    <row r="15186">
      <c r="A15186" s="6">
        <f>Database!$A17271</f>
        <v/>
      </c>
      <c r="B15186">
        <f>IF(VLOOKUP(Table7[[#This Row],[Date]],Database!$A:$C,MATCH($B$1,Database!$A$1:$C$1,),)=0,#N/A,VLOOKUP(Table7[[#This Row],[Date]],Database!$A:$C,MATCH($B$1,Database!$A$1:$C$1,),))</f>
        <v/>
      </c>
      <c r="C15186">
        <f>IF(VLOOKUP(Table7[[#This Row],[Date]],Database!$A:$C,MATCH($C$1,Database!$A$1:$C$1,),)=0,#N/A,VLOOKUP(Table7[[#This Row],[Date]],Database!$A:$C,MATCH($C$1,Database!$A$1:$C$1,),))</f>
        <v/>
      </c>
      <c r="D15186">
        <f>IFERROR(Table7[[#This Row],[United States 10y]]-Table7[[#This Row],[United States 3y]],#N/A)</f>
        <v/>
      </c>
    </row>
    <row r="15187">
      <c r="A15187" s="6">
        <f>Database!$A17272</f>
        <v/>
      </c>
      <c r="B15187">
        <f>IF(VLOOKUP(Table7[[#This Row],[Date]],Database!$A:$C,MATCH($B$1,Database!$A$1:$C$1,),)=0,#N/A,VLOOKUP(Table7[[#This Row],[Date]],Database!$A:$C,MATCH($B$1,Database!$A$1:$C$1,),))</f>
        <v/>
      </c>
      <c r="C15187">
        <f>IF(VLOOKUP(Table7[[#This Row],[Date]],Database!$A:$C,MATCH($C$1,Database!$A$1:$C$1,),)=0,#N/A,VLOOKUP(Table7[[#This Row],[Date]],Database!$A:$C,MATCH($C$1,Database!$A$1:$C$1,),))</f>
        <v/>
      </c>
      <c r="D15187">
        <f>IFERROR(Table7[[#This Row],[United States 10y]]-Table7[[#This Row],[United States 3y]],#N/A)</f>
        <v/>
      </c>
    </row>
    <row r="15188">
      <c r="A15188" s="6">
        <f>Database!$A17273</f>
        <v/>
      </c>
      <c r="B15188">
        <f>IF(VLOOKUP(Table7[[#This Row],[Date]],Database!$A:$C,MATCH($B$1,Database!$A$1:$C$1,),)=0,#N/A,VLOOKUP(Table7[[#This Row],[Date]],Database!$A:$C,MATCH($B$1,Database!$A$1:$C$1,),))</f>
        <v/>
      </c>
      <c r="C15188">
        <f>IF(VLOOKUP(Table7[[#This Row],[Date]],Database!$A:$C,MATCH($C$1,Database!$A$1:$C$1,),)=0,#N/A,VLOOKUP(Table7[[#This Row],[Date]],Database!$A:$C,MATCH($C$1,Database!$A$1:$C$1,),))</f>
        <v/>
      </c>
      <c r="D15188">
        <f>IFERROR(Table7[[#This Row],[United States 10y]]-Table7[[#This Row],[United States 3y]],#N/A)</f>
        <v/>
      </c>
    </row>
    <row r="15189">
      <c r="A15189" s="6">
        <f>Database!$A17274</f>
        <v/>
      </c>
      <c r="B15189">
        <f>IF(VLOOKUP(Table7[[#This Row],[Date]],Database!$A:$C,MATCH($B$1,Database!$A$1:$C$1,),)=0,#N/A,VLOOKUP(Table7[[#This Row],[Date]],Database!$A:$C,MATCH($B$1,Database!$A$1:$C$1,),))</f>
        <v/>
      </c>
      <c r="C15189">
        <f>IF(VLOOKUP(Table7[[#This Row],[Date]],Database!$A:$C,MATCH($C$1,Database!$A$1:$C$1,),)=0,#N/A,VLOOKUP(Table7[[#This Row],[Date]],Database!$A:$C,MATCH($C$1,Database!$A$1:$C$1,),))</f>
        <v/>
      </c>
      <c r="D15189">
        <f>IFERROR(Table7[[#This Row],[United States 10y]]-Table7[[#This Row],[United States 3y]],#N/A)</f>
        <v/>
      </c>
    </row>
    <row r="15190">
      <c r="A15190" s="6">
        <f>Database!$A17275</f>
        <v/>
      </c>
      <c r="B15190">
        <f>IF(VLOOKUP(Table7[[#This Row],[Date]],Database!$A:$C,MATCH($B$1,Database!$A$1:$C$1,),)=0,#N/A,VLOOKUP(Table7[[#This Row],[Date]],Database!$A:$C,MATCH($B$1,Database!$A$1:$C$1,),))</f>
        <v/>
      </c>
      <c r="C15190">
        <f>IF(VLOOKUP(Table7[[#This Row],[Date]],Database!$A:$C,MATCH($C$1,Database!$A$1:$C$1,),)=0,#N/A,VLOOKUP(Table7[[#This Row],[Date]],Database!$A:$C,MATCH($C$1,Database!$A$1:$C$1,),))</f>
        <v/>
      </c>
      <c r="D15190">
        <f>IFERROR(Table7[[#This Row],[United States 10y]]-Table7[[#This Row],[United States 3y]],#N/A)</f>
        <v/>
      </c>
    </row>
    <row r="15191">
      <c r="A15191" s="6">
        <f>Database!$A17276</f>
        <v/>
      </c>
      <c r="B15191">
        <f>IF(VLOOKUP(Table7[[#This Row],[Date]],Database!$A:$C,MATCH($B$1,Database!$A$1:$C$1,),)=0,#N/A,VLOOKUP(Table7[[#This Row],[Date]],Database!$A:$C,MATCH($B$1,Database!$A$1:$C$1,),))</f>
        <v/>
      </c>
      <c r="C15191">
        <f>IF(VLOOKUP(Table7[[#This Row],[Date]],Database!$A:$C,MATCH($C$1,Database!$A$1:$C$1,),)=0,#N/A,VLOOKUP(Table7[[#This Row],[Date]],Database!$A:$C,MATCH($C$1,Database!$A$1:$C$1,),))</f>
        <v/>
      </c>
      <c r="D15191">
        <f>IFERROR(Table7[[#This Row],[United States 10y]]-Table7[[#This Row],[United States 3y]],#N/A)</f>
        <v/>
      </c>
    </row>
    <row r="15192">
      <c r="A15192" s="6">
        <f>Database!$A17277</f>
        <v/>
      </c>
      <c r="B15192">
        <f>IF(VLOOKUP(Table7[[#This Row],[Date]],Database!$A:$C,MATCH($B$1,Database!$A$1:$C$1,),)=0,#N/A,VLOOKUP(Table7[[#This Row],[Date]],Database!$A:$C,MATCH($B$1,Database!$A$1:$C$1,),))</f>
        <v/>
      </c>
      <c r="C15192">
        <f>IF(VLOOKUP(Table7[[#This Row],[Date]],Database!$A:$C,MATCH($C$1,Database!$A$1:$C$1,),)=0,#N/A,VLOOKUP(Table7[[#This Row],[Date]],Database!$A:$C,MATCH($C$1,Database!$A$1:$C$1,),))</f>
        <v/>
      </c>
      <c r="D15192">
        <f>IFERROR(Table7[[#This Row],[United States 10y]]-Table7[[#This Row],[United States 3y]],#N/A)</f>
        <v/>
      </c>
    </row>
    <row r="15193">
      <c r="A15193" s="6">
        <f>Database!$A17278</f>
        <v/>
      </c>
      <c r="B15193">
        <f>IF(VLOOKUP(Table7[[#This Row],[Date]],Database!$A:$C,MATCH($B$1,Database!$A$1:$C$1,),)=0,#N/A,VLOOKUP(Table7[[#This Row],[Date]],Database!$A:$C,MATCH($B$1,Database!$A$1:$C$1,),))</f>
        <v/>
      </c>
      <c r="C15193">
        <f>IF(VLOOKUP(Table7[[#This Row],[Date]],Database!$A:$C,MATCH($C$1,Database!$A$1:$C$1,),)=0,#N/A,VLOOKUP(Table7[[#This Row],[Date]],Database!$A:$C,MATCH($C$1,Database!$A$1:$C$1,),))</f>
        <v/>
      </c>
      <c r="D15193">
        <f>IFERROR(Table7[[#This Row],[United States 10y]]-Table7[[#This Row],[United States 3y]],#N/A)</f>
        <v/>
      </c>
    </row>
    <row r="15194">
      <c r="A15194" s="6">
        <f>Database!$A17279</f>
        <v/>
      </c>
      <c r="B15194">
        <f>IF(VLOOKUP(Table7[[#This Row],[Date]],Database!$A:$C,MATCH($B$1,Database!$A$1:$C$1,),)=0,#N/A,VLOOKUP(Table7[[#This Row],[Date]],Database!$A:$C,MATCH($B$1,Database!$A$1:$C$1,),))</f>
        <v/>
      </c>
      <c r="C15194">
        <f>IF(VLOOKUP(Table7[[#This Row],[Date]],Database!$A:$C,MATCH($C$1,Database!$A$1:$C$1,),)=0,#N/A,VLOOKUP(Table7[[#This Row],[Date]],Database!$A:$C,MATCH($C$1,Database!$A$1:$C$1,),))</f>
        <v/>
      </c>
      <c r="D15194">
        <f>IFERROR(Table7[[#This Row],[United States 10y]]-Table7[[#This Row],[United States 3y]],#N/A)</f>
        <v/>
      </c>
    </row>
    <row r="15195">
      <c r="A15195" s="6">
        <f>Database!$A17280</f>
        <v/>
      </c>
      <c r="B15195">
        <f>IF(VLOOKUP(Table7[[#This Row],[Date]],Database!$A:$C,MATCH($B$1,Database!$A$1:$C$1,),)=0,#N/A,VLOOKUP(Table7[[#This Row],[Date]],Database!$A:$C,MATCH($B$1,Database!$A$1:$C$1,),))</f>
        <v/>
      </c>
      <c r="C15195">
        <f>IF(VLOOKUP(Table7[[#This Row],[Date]],Database!$A:$C,MATCH($C$1,Database!$A$1:$C$1,),)=0,#N/A,VLOOKUP(Table7[[#This Row],[Date]],Database!$A:$C,MATCH($C$1,Database!$A$1:$C$1,),))</f>
        <v/>
      </c>
      <c r="D15195">
        <f>IFERROR(Table7[[#This Row],[United States 10y]]-Table7[[#This Row],[United States 3y]],#N/A)</f>
        <v/>
      </c>
    </row>
    <row r="15196">
      <c r="A15196" s="6">
        <f>Database!$A17281</f>
        <v/>
      </c>
      <c r="B15196">
        <f>IF(VLOOKUP(Table7[[#This Row],[Date]],Database!$A:$C,MATCH($B$1,Database!$A$1:$C$1,),)=0,#N/A,VLOOKUP(Table7[[#This Row],[Date]],Database!$A:$C,MATCH($B$1,Database!$A$1:$C$1,),))</f>
        <v/>
      </c>
      <c r="C15196">
        <f>IF(VLOOKUP(Table7[[#This Row],[Date]],Database!$A:$C,MATCH($C$1,Database!$A$1:$C$1,),)=0,#N/A,VLOOKUP(Table7[[#This Row],[Date]],Database!$A:$C,MATCH($C$1,Database!$A$1:$C$1,),))</f>
        <v/>
      </c>
      <c r="D15196">
        <f>IFERROR(Table7[[#This Row],[United States 10y]]-Table7[[#This Row],[United States 3y]],#N/A)</f>
        <v/>
      </c>
    </row>
    <row r="15197">
      <c r="A15197" s="6">
        <f>Database!$A17282</f>
        <v/>
      </c>
      <c r="B15197">
        <f>IF(VLOOKUP(Table7[[#This Row],[Date]],Database!$A:$C,MATCH($B$1,Database!$A$1:$C$1,),)=0,#N/A,VLOOKUP(Table7[[#This Row],[Date]],Database!$A:$C,MATCH($B$1,Database!$A$1:$C$1,),))</f>
        <v/>
      </c>
      <c r="C15197">
        <f>IF(VLOOKUP(Table7[[#This Row],[Date]],Database!$A:$C,MATCH($C$1,Database!$A$1:$C$1,),)=0,#N/A,VLOOKUP(Table7[[#This Row],[Date]],Database!$A:$C,MATCH($C$1,Database!$A$1:$C$1,),))</f>
        <v/>
      </c>
      <c r="D15197">
        <f>IFERROR(Table7[[#This Row],[United States 10y]]-Table7[[#This Row],[United States 3y]],#N/A)</f>
        <v/>
      </c>
    </row>
    <row r="15198">
      <c r="A15198" s="6">
        <f>Database!$A17283</f>
        <v/>
      </c>
      <c r="B15198">
        <f>IF(VLOOKUP(Table7[[#This Row],[Date]],Database!$A:$C,MATCH($B$1,Database!$A$1:$C$1,),)=0,#N/A,VLOOKUP(Table7[[#This Row],[Date]],Database!$A:$C,MATCH($B$1,Database!$A$1:$C$1,),))</f>
        <v/>
      </c>
      <c r="C15198">
        <f>IF(VLOOKUP(Table7[[#This Row],[Date]],Database!$A:$C,MATCH($C$1,Database!$A$1:$C$1,),)=0,#N/A,VLOOKUP(Table7[[#This Row],[Date]],Database!$A:$C,MATCH($C$1,Database!$A$1:$C$1,),))</f>
        <v/>
      </c>
      <c r="D15198">
        <f>IFERROR(Table7[[#This Row],[United States 10y]]-Table7[[#This Row],[United States 3y]],#N/A)</f>
        <v/>
      </c>
    </row>
    <row r="15199">
      <c r="A15199" s="6">
        <f>Database!$A17284</f>
        <v/>
      </c>
      <c r="B15199">
        <f>IF(VLOOKUP(Table7[[#This Row],[Date]],Database!$A:$C,MATCH($B$1,Database!$A$1:$C$1,),)=0,#N/A,VLOOKUP(Table7[[#This Row],[Date]],Database!$A:$C,MATCH($B$1,Database!$A$1:$C$1,),))</f>
        <v/>
      </c>
      <c r="C15199">
        <f>IF(VLOOKUP(Table7[[#This Row],[Date]],Database!$A:$C,MATCH($C$1,Database!$A$1:$C$1,),)=0,#N/A,VLOOKUP(Table7[[#This Row],[Date]],Database!$A:$C,MATCH($C$1,Database!$A$1:$C$1,),))</f>
        <v/>
      </c>
      <c r="D15199">
        <f>IFERROR(Table7[[#This Row],[United States 10y]]-Table7[[#This Row],[United States 3y]],#N/A)</f>
        <v/>
      </c>
    </row>
    <row r="15200">
      <c r="A15200" s="6">
        <f>Database!$A17285</f>
        <v/>
      </c>
      <c r="B15200">
        <f>IF(VLOOKUP(Table7[[#This Row],[Date]],Database!$A:$C,MATCH($B$1,Database!$A$1:$C$1,),)=0,#N/A,VLOOKUP(Table7[[#This Row],[Date]],Database!$A:$C,MATCH($B$1,Database!$A$1:$C$1,),))</f>
        <v/>
      </c>
      <c r="C15200">
        <f>IF(VLOOKUP(Table7[[#This Row],[Date]],Database!$A:$C,MATCH($C$1,Database!$A$1:$C$1,),)=0,#N/A,VLOOKUP(Table7[[#This Row],[Date]],Database!$A:$C,MATCH($C$1,Database!$A$1:$C$1,),))</f>
        <v/>
      </c>
      <c r="D15200">
        <f>IFERROR(Table7[[#This Row],[United States 10y]]-Table7[[#This Row],[United States 3y]],#N/A)</f>
        <v/>
      </c>
    </row>
    <row r="15201">
      <c r="A15201" s="6">
        <f>Database!$A17286</f>
        <v/>
      </c>
      <c r="B15201">
        <f>IF(VLOOKUP(Table7[[#This Row],[Date]],Database!$A:$C,MATCH($B$1,Database!$A$1:$C$1,),)=0,#N/A,VLOOKUP(Table7[[#This Row],[Date]],Database!$A:$C,MATCH($B$1,Database!$A$1:$C$1,),))</f>
        <v/>
      </c>
      <c r="C15201">
        <f>IF(VLOOKUP(Table7[[#This Row],[Date]],Database!$A:$C,MATCH($C$1,Database!$A$1:$C$1,),)=0,#N/A,VLOOKUP(Table7[[#This Row],[Date]],Database!$A:$C,MATCH($C$1,Database!$A$1:$C$1,),))</f>
        <v/>
      </c>
      <c r="D15201">
        <f>IFERROR(Table7[[#This Row],[United States 10y]]-Table7[[#This Row],[United States 3y]],#N/A)</f>
        <v/>
      </c>
    </row>
    <row r="15202">
      <c r="A15202" s="6">
        <f>Database!$A17287</f>
        <v/>
      </c>
      <c r="B15202">
        <f>IF(VLOOKUP(Table7[[#This Row],[Date]],Database!$A:$C,MATCH($B$1,Database!$A$1:$C$1,),)=0,#N/A,VLOOKUP(Table7[[#This Row],[Date]],Database!$A:$C,MATCH($B$1,Database!$A$1:$C$1,),))</f>
        <v/>
      </c>
      <c r="C15202">
        <f>IF(VLOOKUP(Table7[[#This Row],[Date]],Database!$A:$C,MATCH($C$1,Database!$A$1:$C$1,),)=0,#N/A,VLOOKUP(Table7[[#This Row],[Date]],Database!$A:$C,MATCH($C$1,Database!$A$1:$C$1,),))</f>
        <v/>
      </c>
      <c r="D15202">
        <f>IFERROR(Table7[[#This Row],[United States 10y]]-Table7[[#This Row],[United States 3y]],#N/A)</f>
        <v/>
      </c>
    </row>
    <row r="15203">
      <c r="A15203" s="6">
        <f>Database!$A17288</f>
        <v/>
      </c>
      <c r="B15203">
        <f>IF(VLOOKUP(Table7[[#This Row],[Date]],Database!$A:$C,MATCH($B$1,Database!$A$1:$C$1,),)=0,#N/A,VLOOKUP(Table7[[#This Row],[Date]],Database!$A:$C,MATCH($B$1,Database!$A$1:$C$1,),))</f>
        <v/>
      </c>
      <c r="C15203">
        <f>IF(VLOOKUP(Table7[[#This Row],[Date]],Database!$A:$C,MATCH($C$1,Database!$A$1:$C$1,),)=0,#N/A,VLOOKUP(Table7[[#This Row],[Date]],Database!$A:$C,MATCH($C$1,Database!$A$1:$C$1,),))</f>
        <v/>
      </c>
      <c r="D15203">
        <f>IFERROR(Table7[[#This Row],[United States 10y]]-Table7[[#This Row],[United States 3y]],#N/A)</f>
        <v/>
      </c>
    </row>
    <row r="15204">
      <c r="A15204" s="6">
        <f>Database!$A17289</f>
        <v/>
      </c>
      <c r="B15204">
        <f>IF(VLOOKUP(Table7[[#This Row],[Date]],Database!$A:$C,MATCH($B$1,Database!$A$1:$C$1,),)=0,#N/A,VLOOKUP(Table7[[#This Row],[Date]],Database!$A:$C,MATCH($B$1,Database!$A$1:$C$1,),))</f>
        <v/>
      </c>
      <c r="C15204">
        <f>IF(VLOOKUP(Table7[[#This Row],[Date]],Database!$A:$C,MATCH($C$1,Database!$A$1:$C$1,),)=0,#N/A,VLOOKUP(Table7[[#This Row],[Date]],Database!$A:$C,MATCH($C$1,Database!$A$1:$C$1,),))</f>
        <v/>
      </c>
      <c r="D15204">
        <f>IFERROR(Table7[[#This Row],[United States 10y]]-Table7[[#This Row],[United States 3y]],#N/A)</f>
        <v/>
      </c>
    </row>
    <row r="15205">
      <c r="A15205" s="6">
        <f>Database!$A17290</f>
        <v/>
      </c>
      <c r="B15205">
        <f>IF(VLOOKUP(Table7[[#This Row],[Date]],Database!$A:$C,MATCH($B$1,Database!$A$1:$C$1,),)=0,#N/A,VLOOKUP(Table7[[#This Row],[Date]],Database!$A:$C,MATCH($B$1,Database!$A$1:$C$1,),))</f>
        <v/>
      </c>
      <c r="C15205">
        <f>IF(VLOOKUP(Table7[[#This Row],[Date]],Database!$A:$C,MATCH($C$1,Database!$A$1:$C$1,),)=0,#N/A,VLOOKUP(Table7[[#This Row],[Date]],Database!$A:$C,MATCH($C$1,Database!$A$1:$C$1,),))</f>
        <v/>
      </c>
      <c r="D15205">
        <f>IFERROR(Table7[[#This Row],[United States 10y]]-Table7[[#This Row],[United States 3y]],#N/A)</f>
        <v/>
      </c>
    </row>
    <row r="15206">
      <c r="A15206" s="6">
        <f>Database!$A17291</f>
        <v/>
      </c>
      <c r="B15206">
        <f>IF(VLOOKUP(Table7[[#This Row],[Date]],Database!$A:$C,MATCH($B$1,Database!$A$1:$C$1,),)=0,#N/A,VLOOKUP(Table7[[#This Row],[Date]],Database!$A:$C,MATCH($B$1,Database!$A$1:$C$1,),))</f>
        <v/>
      </c>
      <c r="C15206">
        <f>IF(VLOOKUP(Table7[[#This Row],[Date]],Database!$A:$C,MATCH($C$1,Database!$A$1:$C$1,),)=0,#N/A,VLOOKUP(Table7[[#This Row],[Date]],Database!$A:$C,MATCH($C$1,Database!$A$1:$C$1,),))</f>
        <v/>
      </c>
      <c r="D15206">
        <f>IFERROR(Table7[[#This Row],[United States 10y]]-Table7[[#This Row],[United States 3y]],#N/A)</f>
        <v/>
      </c>
    </row>
    <row r="15207">
      <c r="A15207" s="6">
        <f>Database!$A17292</f>
        <v/>
      </c>
      <c r="B15207">
        <f>IF(VLOOKUP(Table7[[#This Row],[Date]],Database!$A:$C,MATCH($B$1,Database!$A$1:$C$1,),)=0,#N/A,VLOOKUP(Table7[[#This Row],[Date]],Database!$A:$C,MATCH($B$1,Database!$A$1:$C$1,),))</f>
        <v/>
      </c>
      <c r="C15207">
        <f>IF(VLOOKUP(Table7[[#This Row],[Date]],Database!$A:$C,MATCH($C$1,Database!$A$1:$C$1,),)=0,#N/A,VLOOKUP(Table7[[#This Row],[Date]],Database!$A:$C,MATCH($C$1,Database!$A$1:$C$1,),))</f>
        <v/>
      </c>
      <c r="D15207">
        <f>IFERROR(Table7[[#This Row],[United States 10y]]-Table7[[#This Row],[United States 3y]],#N/A)</f>
        <v/>
      </c>
    </row>
    <row r="15208">
      <c r="A15208" s="6">
        <f>Database!$A17293</f>
        <v/>
      </c>
      <c r="B15208">
        <f>IF(VLOOKUP(Table7[[#This Row],[Date]],Database!$A:$C,MATCH($B$1,Database!$A$1:$C$1,),)=0,#N/A,VLOOKUP(Table7[[#This Row],[Date]],Database!$A:$C,MATCH($B$1,Database!$A$1:$C$1,),))</f>
        <v/>
      </c>
      <c r="C15208">
        <f>IF(VLOOKUP(Table7[[#This Row],[Date]],Database!$A:$C,MATCH($C$1,Database!$A$1:$C$1,),)=0,#N/A,VLOOKUP(Table7[[#This Row],[Date]],Database!$A:$C,MATCH($C$1,Database!$A$1:$C$1,),))</f>
        <v/>
      </c>
      <c r="D15208">
        <f>IFERROR(Table7[[#This Row],[United States 10y]]-Table7[[#This Row],[United States 3y]],#N/A)</f>
        <v/>
      </c>
    </row>
    <row r="15209">
      <c r="A15209" s="6">
        <f>Database!$A17294</f>
        <v/>
      </c>
      <c r="B15209">
        <f>IF(VLOOKUP(Table7[[#This Row],[Date]],Database!$A:$C,MATCH($B$1,Database!$A$1:$C$1,),)=0,#N/A,VLOOKUP(Table7[[#This Row],[Date]],Database!$A:$C,MATCH($B$1,Database!$A$1:$C$1,),))</f>
        <v/>
      </c>
      <c r="C15209">
        <f>IF(VLOOKUP(Table7[[#This Row],[Date]],Database!$A:$C,MATCH($C$1,Database!$A$1:$C$1,),)=0,#N/A,VLOOKUP(Table7[[#This Row],[Date]],Database!$A:$C,MATCH($C$1,Database!$A$1:$C$1,),))</f>
        <v/>
      </c>
      <c r="D15209">
        <f>IFERROR(Table7[[#This Row],[United States 10y]]-Table7[[#This Row],[United States 3y]],#N/A)</f>
        <v/>
      </c>
    </row>
    <row r="15210">
      <c r="A15210" s="6">
        <f>Database!$A17295</f>
        <v/>
      </c>
      <c r="B15210">
        <f>IF(VLOOKUP(Table7[[#This Row],[Date]],Database!$A:$C,MATCH($B$1,Database!$A$1:$C$1,),)=0,#N/A,VLOOKUP(Table7[[#This Row],[Date]],Database!$A:$C,MATCH($B$1,Database!$A$1:$C$1,),))</f>
        <v/>
      </c>
      <c r="C15210">
        <f>IF(VLOOKUP(Table7[[#This Row],[Date]],Database!$A:$C,MATCH($C$1,Database!$A$1:$C$1,),)=0,#N/A,VLOOKUP(Table7[[#This Row],[Date]],Database!$A:$C,MATCH($C$1,Database!$A$1:$C$1,),))</f>
        <v/>
      </c>
      <c r="D15210">
        <f>IFERROR(Table7[[#This Row],[United States 10y]]-Table7[[#This Row],[United States 3y]],#N/A)</f>
        <v/>
      </c>
    </row>
    <row r="15211">
      <c r="A15211" s="6">
        <f>Database!$A17296</f>
        <v/>
      </c>
      <c r="B15211">
        <f>IF(VLOOKUP(Table7[[#This Row],[Date]],Database!$A:$C,MATCH($B$1,Database!$A$1:$C$1,),)=0,#N/A,VLOOKUP(Table7[[#This Row],[Date]],Database!$A:$C,MATCH($B$1,Database!$A$1:$C$1,),))</f>
        <v/>
      </c>
      <c r="C15211">
        <f>IF(VLOOKUP(Table7[[#This Row],[Date]],Database!$A:$C,MATCH($C$1,Database!$A$1:$C$1,),)=0,#N/A,VLOOKUP(Table7[[#This Row],[Date]],Database!$A:$C,MATCH($C$1,Database!$A$1:$C$1,),))</f>
        <v/>
      </c>
      <c r="D15211">
        <f>IFERROR(Table7[[#This Row],[United States 10y]]-Table7[[#This Row],[United States 3y]],#N/A)</f>
        <v/>
      </c>
    </row>
    <row r="15212">
      <c r="A15212" s="6">
        <f>Database!$A17297</f>
        <v/>
      </c>
      <c r="B15212">
        <f>IF(VLOOKUP(Table7[[#This Row],[Date]],Database!$A:$C,MATCH($B$1,Database!$A$1:$C$1,),)=0,#N/A,VLOOKUP(Table7[[#This Row],[Date]],Database!$A:$C,MATCH($B$1,Database!$A$1:$C$1,),))</f>
        <v/>
      </c>
      <c r="C15212">
        <f>IF(VLOOKUP(Table7[[#This Row],[Date]],Database!$A:$C,MATCH($C$1,Database!$A$1:$C$1,),)=0,#N/A,VLOOKUP(Table7[[#This Row],[Date]],Database!$A:$C,MATCH($C$1,Database!$A$1:$C$1,),))</f>
        <v/>
      </c>
      <c r="D15212">
        <f>IFERROR(Table7[[#This Row],[United States 10y]]-Table7[[#This Row],[United States 3y]],#N/A)</f>
        <v/>
      </c>
    </row>
    <row r="15213">
      <c r="A15213" s="6">
        <f>Database!$A17298</f>
        <v/>
      </c>
      <c r="B15213">
        <f>IF(VLOOKUP(Table7[[#This Row],[Date]],Database!$A:$C,MATCH($B$1,Database!$A$1:$C$1,),)=0,#N/A,VLOOKUP(Table7[[#This Row],[Date]],Database!$A:$C,MATCH($B$1,Database!$A$1:$C$1,),))</f>
        <v/>
      </c>
      <c r="C15213">
        <f>IF(VLOOKUP(Table7[[#This Row],[Date]],Database!$A:$C,MATCH($C$1,Database!$A$1:$C$1,),)=0,#N/A,VLOOKUP(Table7[[#This Row],[Date]],Database!$A:$C,MATCH($C$1,Database!$A$1:$C$1,),))</f>
        <v/>
      </c>
      <c r="D15213">
        <f>IFERROR(Table7[[#This Row],[United States 10y]]-Table7[[#This Row],[United States 3y]],#N/A)</f>
        <v/>
      </c>
    </row>
    <row r="15214">
      <c r="A15214" s="6">
        <f>Database!$A17299</f>
        <v/>
      </c>
      <c r="B15214">
        <f>IF(VLOOKUP(Table7[[#This Row],[Date]],Database!$A:$C,MATCH($B$1,Database!$A$1:$C$1,),)=0,#N/A,VLOOKUP(Table7[[#This Row],[Date]],Database!$A:$C,MATCH($B$1,Database!$A$1:$C$1,),))</f>
        <v/>
      </c>
      <c r="C15214">
        <f>IF(VLOOKUP(Table7[[#This Row],[Date]],Database!$A:$C,MATCH($C$1,Database!$A$1:$C$1,),)=0,#N/A,VLOOKUP(Table7[[#This Row],[Date]],Database!$A:$C,MATCH($C$1,Database!$A$1:$C$1,),))</f>
        <v/>
      </c>
      <c r="D15214">
        <f>IFERROR(Table7[[#This Row],[United States 10y]]-Table7[[#This Row],[United States 3y]],#N/A)</f>
        <v/>
      </c>
    </row>
    <row r="15215">
      <c r="A15215" s="6">
        <f>Database!$A17300</f>
        <v/>
      </c>
      <c r="B15215">
        <f>IF(VLOOKUP(Table7[[#This Row],[Date]],Database!$A:$C,MATCH($B$1,Database!$A$1:$C$1,),)=0,#N/A,VLOOKUP(Table7[[#This Row],[Date]],Database!$A:$C,MATCH($B$1,Database!$A$1:$C$1,),))</f>
        <v/>
      </c>
      <c r="C15215">
        <f>IF(VLOOKUP(Table7[[#This Row],[Date]],Database!$A:$C,MATCH($C$1,Database!$A$1:$C$1,),)=0,#N/A,VLOOKUP(Table7[[#This Row],[Date]],Database!$A:$C,MATCH($C$1,Database!$A$1:$C$1,),))</f>
        <v/>
      </c>
      <c r="D15215">
        <f>IFERROR(Table7[[#This Row],[United States 10y]]-Table7[[#This Row],[United States 3y]],#N/A)</f>
        <v/>
      </c>
    </row>
    <row r="15216">
      <c r="A15216" s="6">
        <f>Database!$A17301</f>
        <v/>
      </c>
      <c r="B15216">
        <f>IF(VLOOKUP(Table7[[#This Row],[Date]],Database!$A:$C,MATCH($B$1,Database!$A$1:$C$1,),)=0,#N/A,VLOOKUP(Table7[[#This Row],[Date]],Database!$A:$C,MATCH($B$1,Database!$A$1:$C$1,),))</f>
        <v/>
      </c>
      <c r="C15216">
        <f>IF(VLOOKUP(Table7[[#This Row],[Date]],Database!$A:$C,MATCH($C$1,Database!$A$1:$C$1,),)=0,#N/A,VLOOKUP(Table7[[#This Row],[Date]],Database!$A:$C,MATCH($C$1,Database!$A$1:$C$1,),))</f>
        <v/>
      </c>
      <c r="D15216">
        <f>IFERROR(Table7[[#This Row],[United States 10y]]-Table7[[#This Row],[United States 3y]],#N/A)</f>
        <v/>
      </c>
    </row>
    <row r="15217">
      <c r="A15217" s="6">
        <f>Database!$A17302</f>
        <v/>
      </c>
      <c r="B15217">
        <f>IF(VLOOKUP(Table7[[#This Row],[Date]],Database!$A:$C,MATCH($B$1,Database!$A$1:$C$1,),)=0,#N/A,VLOOKUP(Table7[[#This Row],[Date]],Database!$A:$C,MATCH($B$1,Database!$A$1:$C$1,),))</f>
        <v/>
      </c>
      <c r="C15217">
        <f>IF(VLOOKUP(Table7[[#This Row],[Date]],Database!$A:$C,MATCH($C$1,Database!$A$1:$C$1,),)=0,#N/A,VLOOKUP(Table7[[#This Row],[Date]],Database!$A:$C,MATCH($C$1,Database!$A$1:$C$1,),))</f>
        <v/>
      </c>
      <c r="D15217">
        <f>IFERROR(Table7[[#This Row],[United States 10y]]-Table7[[#This Row],[United States 3y]],#N/A)</f>
        <v/>
      </c>
    </row>
    <row r="15218">
      <c r="A15218" s="6">
        <f>Database!$A17303</f>
        <v/>
      </c>
      <c r="B15218">
        <f>IF(VLOOKUP(Table7[[#This Row],[Date]],Database!$A:$C,MATCH($B$1,Database!$A$1:$C$1,),)=0,#N/A,VLOOKUP(Table7[[#This Row],[Date]],Database!$A:$C,MATCH($B$1,Database!$A$1:$C$1,),))</f>
        <v/>
      </c>
      <c r="C15218">
        <f>IF(VLOOKUP(Table7[[#This Row],[Date]],Database!$A:$C,MATCH($C$1,Database!$A$1:$C$1,),)=0,#N/A,VLOOKUP(Table7[[#This Row],[Date]],Database!$A:$C,MATCH($C$1,Database!$A$1:$C$1,),))</f>
        <v/>
      </c>
      <c r="D15218">
        <f>IFERROR(Table7[[#This Row],[United States 10y]]-Table7[[#This Row],[United States 3y]],#N/A)</f>
        <v/>
      </c>
    </row>
    <row r="15219">
      <c r="A15219" s="6">
        <f>Database!$A17304</f>
        <v/>
      </c>
      <c r="B15219">
        <f>IF(VLOOKUP(Table7[[#This Row],[Date]],Database!$A:$C,MATCH($B$1,Database!$A$1:$C$1,),)=0,#N/A,VLOOKUP(Table7[[#This Row],[Date]],Database!$A:$C,MATCH($B$1,Database!$A$1:$C$1,),))</f>
        <v/>
      </c>
      <c r="C15219">
        <f>IF(VLOOKUP(Table7[[#This Row],[Date]],Database!$A:$C,MATCH($C$1,Database!$A$1:$C$1,),)=0,#N/A,VLOOKUP(Table7[[#This Row],[Date]],Database!$A:$C,MATCH($C$1,Database!$A$1:$C$1,),))</f>
        <v/>
      </c>
      <c r="D15219">
        <f>IFERROR(Table7[[#This Row],[United States 10y]]-Table7[[#This Row],[United States 3y]],#N/A)</f>
        <v/>
      </c>
    </row>
    <row r="15220">
      <c r="A15220" s="6">
        <f>Database!$A17305</f>
        <v/>
      </c>
      <c r="B15220">
        <f>IF(VLOOKUP(Table7[[#This Row],[Date]],Database!$A:$C,MATCH($B$1,Database!$A$1:$C$1,),)=0,#N/A,VLOOKUP(Table7[[#This Row],[Date]],Database!$A:$C,MATCH($B$1,Database!$A$1:$C$1,),))</f>
        <v/>
      </c>
      <c r="C15220">
        <f>IF(VLOOKUP(Table7[[#This Row],[Date]],Database!$A:$C,MATCH($C$1,Database!$A$1:$C$1,),)=0,#N/A,VLOOKUP(Table7[[#This Row],[Date]],Database!$A:$C,MATCH($C$1,Database!$A$1:$C$1,),))</f>
        <v/>
      </c>
      <c r="D15220">
        <f>IFERROR(Table7[[#This Row],[United States 10y]]-Table7[[#This Row],[United States 3y]],#N/A)</f>
        <v/>
      </c>
    </row>
    <row r="15221">
      <c r="A15221" s="6">
        <f>Database!$A17306</f>
        <v/>
      </c>
      <c r="B15221">
        <f>IF(VLOOKUP(Table7[[#This Row],[Date]],Database!$A:$C,MATCH($B$1,Database!$A$1:$C$1,),)=0,#N/A,VLOOKUP(Table7[[#This Row],[Date]],Database!$A:$C,MATCH($B$1,Database!$A$1:$C$1,),))</f>
        <v/>
      </c>
      <c r="C15221">
        <f>IF(VLOOKUP(Table7[[#This Row],[Date]],Database!$A:$C,MATCH($C$1,Database!$A$1:$C$1,),)=0,#N/A,VLOOKUP(Table7[[#This Row],[Date]],Database!$A:$C,MATCH($C$1,Database!$A$1:$C$1,),))</f>
        <v/>
      </c>
      <c r="D15221">
        <f>IFERROR(Table7[[#This Row],[United States 10y]]-Table7[[#This Row],[United States 3y]],#N/A)</f>
        <v/>
      </c>
    </row>
    <row r="15222">
      <c r="A15222" s="6">
        <f>Database!$A17307</f>
        <v/>
      </c>
      <c r="B15222">
        <f>IF(VLOOKUP(Table7[[#This Row],[Date]],Database!$A:$C,MATCH($B$1,Database!$A$1:$C$1,),)=0,#N/A,VLOOKUP(Table7[[#This Row],[Date]],Database!$A:$C,MATCH($B$1,Database!$A$1:$C$1,),))</f>
        <v/>
      </c>
      <c r="C15222">
        <f>IF(VLOOKUP(Table7[[#This Row],[Date]],Database!$A:$C,MATCH($C$1,Database!$A$1:$C$1,),)=0,#N/A,VLOOKUP(Table7[[#This Row],[Date]],Database!$A:$C,MATCH($C$1,Database!$A$1:$C$1,),))</f>
        <v/>
      </c>
      <c r="D15222">
        <f>IFERROR(Table7[[#This Row],[United States 10y]]-Table7[[#This Row],[United States 3y]],#N/A)</f>
        <v/>
      </c>
    </row>
    <row r="15223">
      <c r="A15223" s="6">
        <f>Database!$A17308</f>
        <v/>
      </c>
      <c r="B15223">
        <f>IF(VLOOKUP(Table7[[#This Row],[Date]],Database!$A:$C,MATCH($B$1,Database!$A$1:$C$1,),)=0,#N/A,VLOOKUP(Table7[[#This Row],[Date]],Database!$A:$C,MATCH($B$1,Database!$A$1:$C$1,),))</f>
        <v/>
      </c>
      <c r="C15223">
        <f>IF(VLOOKUP(Table7[[#This Row],[Date]],Database!$A:$C,MATCH($C$1,Database!$A$1:$C$1,),)=0,#N/A,VLOOKUP(Table7[[#This Row],[Date]],Database!$A:$C,MATCH($C$1,Database!$A$1:$C$1,),))</f>
        <v/>
      </c>
      <c r="D15223">
        <f>IFERROR(Table7[[#This Row],[United States 10y]]-Table7[[#This Row],[United States 3y]],#N/A)</f>
        <v/>
      </c>
    </row>
    <row r="15224">
      <c r="A15224" s="6">
        <f>Database!$A17309</f>
        <v/>
      </c>
      <c r="B15224">
        <f>IF(VLOOKUP(Table7[[#This Row],[Date]],Database!$A:$C,MATCH($B$1,Database!$A$1:$C$1,),)=0,#N/A,VLOOKUP(Table7[[#This Row],[Date]],Database!$A:$C,MATCH($B$1,Database!$A$1:$C$1,),))</f>
        <v/>
      </c>
      <c r="C15224">
        <f>IF(VLOOKUP(Table7[[#This Row],[Date]],Database!$A:$C,MATCH($C$1,Database!$A$1:$C$1,),)=0,#N/A,VLOOKUP(Table7[[#This Row],[Date]],Database!$A:$C,MATCH($C$1,Database!$A$1:$C$1,),))</f>
        <v/>
      </c>
      <c r="D15224">
        <f>IFERROR(Table7[[#This Row],[United States 10y]]-Table7[[#This Row],[United States 3y]],#N/A)</f>
        <v/>
      </c>
    </row>
    <row r="15225">
      <c r="A15225" s="6">
        <f>Database!$A17310</f>
        <v/>
      </c>
      <c r="B15225">
        <f>IF(VLOOKUP(Table7[[#This Row],[Date]],Database!$A:$C,MATCH($B$1,Database!$A$1:$C$1,),)=0,#N/A,VLOOKUP(Table7[[#This Row],[Date]],Database!$A:$C,MATCH($B$1,Database!$A$1:$C$1,),))</f>
        <v/>
      </c>
      <c r="C15225">
        <f>IF(VLOOKUP(Table7[[#This Row],[Date]],Database!$A:$C,MATCH($C$1,Database!$A$1:$C$1,),)=0,#N/A,VLOOKUP(Table7[[#This Row],[Date]],Database!$A:$C,MATCH($C$1,Database!$A$1:$C$1,),))</f>
        <v/>
      </c>
      <c r="D15225">
        <f>IFERROR(Table7[[#This Row],[United States 10y]]-Table7[[#This Row],[United States 3y]],#N/A)</f>
        <v/>
      </c>
    </row>
    <row r="15226">
      <c r="A15226" s="6">
        <f>Database!$A17311</f>
        <v/>
      </c>
      <c r="B15226">
        <f>IF(VLOOKUP(Table7[[#This Row],[Date]],Database!$A:$C,MATCH($B$1,Database!$A$1:$C$1,),)=0,#N/A,VLOOKUP(Table7[[#This Row],[Date]],Database!$A:$C,MATCH($B$1,Database!$A$1:$C$1,),))</f>
        <v/>
      </c>
      <c r="C15226">
        <f>IF(VLOOKUP(Table7[[#This Row],[Date]],Database!$A:$C,MATCH($C$1,Database!$A$1:$C$1,),)=0,#N/A,VLOOKUP(Table7[[#This Row],[Date]],Database!$A:$C,MATCH($C$1,Database!$A$1:$C$1,),))</f>
        <v/>
      </c>
      <c r="D15226">
        <f>IFERROR(Table7[[#This Row],[United States 10y]]-Table7[[#This Row],[United States 3y]],#N/A)</f>
        <v/>
      </c>
    </row>
    <row r="15227">
      <c r="A15227" s="6">
        <f>Database!$A17312</f>
        <v/>
      </c>
      <c r="B15227">
        <f>IF(VLOOKUP(Table7[[#This Row],[Date]],Database!$A:$C,MATCH($B$1,Database!$A$1:$C$1,),)=0,#N/A,VLOOKUP(Table7[[#This Row],[Date]],Database!$A:$C,MATCH($B$1,Database!$A$1:$C$1,),))</f>
        <v/>
      </c>
      <c r="C15227">
        <f>IF(VLOOKUP(Table7[[#This Row],[Date]],Database!$A:$C,MATCH($C$1,Database!$A$1:$C$1,),)=0,#N/A,VLOOKUP(Table7[[#This Row],[Date]],Database!$A:$C,MATCH($C$1,Database!$A$1:$C$1,),))</f>
        <v/>
      </c>
      <c r="D15227">
        <f>IFERROR(Table7[[#This Row],[United States 10y]]-Table7[[#This Row],[United States 3y]],#N/A)</f>
        <v/>
      </c>
    </row>
    <row r="15228">
      <c r="A15228" s="6">
        <f>Database!$A17313</f>
        <v/>
      </c>
      <c r="B15228">
        <f>IF(VLOOKUP(Table7[[#This Row],[Date]],Database!$A:$C,MATCH($B$1,Database!$A$1:$C$1,),)=0,#N/A,VLOOKUP(Table7[[#This Row],[Date]],Database!$A:$C,MATCH($B$1,Database!$A$1:$C$1,),))</f>
        <v/>
      </c>
      <c r="C15228">
        <f>IF(VLOOKUP(Table7[[#This Row],[Date]],Database!$A:$C,MATCH($C$1,Database!$A$1:$C$1,),)=0,#N/A,VLOOKUP(Table7[[#This Row],[Date]],Database!$A:$C,MATCH($C$1,Database!$A$1:$C$1,),))</f>
        <v/>
      </c>
      <c r="D15228">
        <f>IFERROR(Table7[[#This Row],[United States 10y]]-Table7[[#This Row],[United States 3y]],#N/A)</f>
        <v/>
      </c>
    </row>
    <row r="15229">
      <c r="A15229" s="6">
        <f>Database!$A17314</f>
        <v/>
      </c>
      <c r="B15229">
        <f>IF(VLOOKUP(Table7[[#This Row],[Date]],Database!$A:$C,MATCH($B$1,Database!$A$1:$C$1,),)=0,#N/A,VLOOKUP(Table7[[#This Row],[Date]],Database!$A:$C,MATCH($B$1,Database!$A$1:$C$1,),))</f>
        <v/>
      </c>
      <c r="C15229">
        <f>IF(VLOOKUP(Table7[[#This Row],[Date]],Database!$A:$C,MATCH($C$1,Database!$A$1:$C$1,),)=0,#N/A,VLOOKUP(Table7[[#This Row],[Date]],Database!$A:$C,MATCH($C$1,Database!$A$1:$C$1,),))</f>
        <v/>
      </c>
      <c r="D15229">
        <f>IFERROR(Table7[[#This Row],[United States 10y]]-Table7[[#This Row],[United States 3y]],#N/A)</f>
        <v/>
      </c>
    </row>
    <row r="15230">
      <c r="A15230" s="6">
        <f>Database!$A17315</f>
        <v/>
      </c>
      <c r="B15230">
        <f>IF(VLOOKUP(Table7[[#This Row],[Date]],Database!$A:$C,MATCH($B$1,Database!$A$1:$C$1,),)=0,#N/A,VLOOKUP(Table7[[#This Row],[Date]],Database!$A:$C,MATCH($B$1,Database!$A$1:$C$1,),))</f>
        <v/>
      </c>
      <c r="C15230">
        <f>IF(VLOOKUP(Table7[[#This Row],[Date]],Database!$A:$C,MATCH($C$1,Database!$A$1:$C$1,),)=0,#N/A,VLOOKUP(Table7[[#This Row],[Date]],Database!$A:$C,MATCH($C$1,Database!$A$1:$C$1,),))</f>
        <v/>
      </c>
      <c r="D15230">
        <f>IFERROR(Table7[[#This Row],[United States 10y]]-Table7[[#This Row],[United States 3y]],#N/A)</f>
        <v/>
      </c>
    </row>
    <row r="15231">
      <c r="A15231" s="6">
        <f>Database!$A17316</f>
        <v/>
      </c>
      <c r="B15231">
        <f>IF(VLOOKUP(Table7[[#This Row],[Date]],Database!$A:$C,MATCH($B$1,Database!$A$1:$C$1,),)=0,#N/A,VLOOKUP(Table7[[#This Row],[Date]],Database!$A:$C,MATCH($B$1,Database!$A$1:$C$1,),))</f>
        <v/>
      </c>
      <c r="C15231">
        <f>IF(VLOOKUP(Table7[[#This Row],[Date]],Database!$A:$C,MATCH($C$1,Database!$A$1:$C$1,),)=0,#N/A,VLOOKUP(Table7[[#This Row],[Date]],Database!$A:$C,MATCH($C$1,Database!$A$1:$C$1,),))</f>
        <v/>
      </c>
      <c r="D15231">
        <f>IFERROR(Table7[[#This Row],[United States 10y]]-Table7[[#This Row],[United States 3y]],#N/A)</f>
        <v/>
      </c>
    </row>
    <row r="15232">
      <c r="A15232" s="6">
        <f>Database!$A17317</f>
        <v/>
      </c>
      <c r="B15232">
        <f>IF(VLOOKUP(Table7[[#This Row],[Date]],Database!$A:$C,MATCH($B$1,Database!$A$1:$C$1,),)=0,#N/A,VLOOKUP(Table7[[#This Row],[Date]],Database!$A:$C,MATCH($B$1,Database!$A$1:$C$1,),))</f>
        <v/>
      </c>
      <c r="C15232">
        <f>IF(VLOOKUP(Table7[[#This Row],[Date]],Database!$A:$C,MATCH($C$1,Database!$A$1:$C$1,),)=0,#N/A,VLOOKUP(Table7[[#This Row],[Date]],Database!$A:$C,MATCH($C$1,Database!$A$1:$C$1,),))</f>
        <v/>
      </c>
      <c r="D15232">
        <f>IFERROR(Table7[[#This Row],[United States 10y]]-Table7[[#This Row],[United States 3y]],#N/A)</f>
        <v/>
      </c>
    </row>
    <row r="15233">
      <c r="A15233" s="6">
        <f>Database!$A17318</f>
        <v/>
      </c>
      <c r="B15233">
        <f>IF(VLOOKUP(Table7[[#This Row],[Date]],Database!$A:$C,MATCH($B$1,Database!$A$1:$C$1,),)=0,#N/A,VLOOKUP(Table7[[#This Row],[Date]],Database!$A:$C,MATCH($B$1,Database!$A$1:$C$1,),))</f>
        <v/>
      </c>
      <c r="C15233">
        <f>IF(VLOOKUP(Table7[[#This Row],[Date]],Database!$A:$C,MATCH($C$1,Database!$A$1:$C$1,),)=0,#N/A,VLOOKUP(Table7[[#This Row],[Date]],Database!$A:$C,MATCH($C$1,Database!$A$1:$C$1,),))</f>
        <v/>
      </c>
      <c r="D15233">
        <f>IFERROR(Table7[[#This Row],[United States 10y]]-Table7[[#This Row],[United States 3y]],#N/A)</f>
        <v/>
      </c>
    </row>
    <row r="15234">
      <c r="A15234" s="6">
        <f>Database!$A17319</f>
        <v/>
      </c>
      <c r="B15234">
        <f>IF(VLOOKUP(Table7[[#This Row],[Date]],Database!$A:$C,MATCH($B$1,Database!$A$1:$C$1,),)=0,#N/A,VLOOKUP(Table7[[#This Row],[Date]],Database!$A:$C,MATCH($B$1,Database!$A$1:$C$1,),))</f>
        <v/>
      </c>
      <c r="C15234">
        <f>IF(VLOOKUP(Table7[[#This Row],[Date]],Database!$A:$C,MATCH($C$1,Database!$A$1:$C$1,),)=0,#N/A,VLOOKUP(Table7[[#This Row],[Date]],Database!$A:$C,MATCH($C$1,Database!$A$1:$C$1,),))</f>
        <v/>
      </c>
      <c r="D15234">
        <f>IFERROR(Table7[[#This Row],[United States 10y]]-Table7[[#This Row],[United States 3y]],#N/A)</f>
        <v/>
      </c>
    </row>
    <row r="15235">
      <c r="A15235" s="6">
        <f>Database!$A17320</f>
        <v/>
      </c>
      <c r="B15235">
        <f>IF(VLOOKUP(Table7[[#This Row],[Date]],Database!$A:$C,MATCH($B$1,Database!$A$1:$C$1,),)=0,#N/A,VLOOKUP(Table7[[#This Row],[Date]],Database!$A:$C,MATCH($B$1,Database!$A$1:$C$1,),))</f>
        <v/>
      </c>
      <c r="C15235">
        <f>IF(VLOOKUP(Table7[[#This Row],[Date]],Database!$A:$C,MATCH($C$1,Database!$A$1:$C$1,),)=0,#N/A,VLOOKUP(Table7[[#This Row],[Date]],Database!$A:$C,MATCH($C$1,Database!$A$1:$C$1,),))</f>
        <v/>
      </c>
      <c r="D15235">
        <f>IFERROR(Table7[[#This Row],[United States 10y]]-Table7[[#This Row],[United States 3y]],#N/A)</f>
        <v/>
      </c>
    </row>
    <row r="15236">
      <c r="A15236" s="6">
        <f>Database!$A17321</f>
        <v/>
      </c>
      <c r="B15236">
        <f>IF(VLOOKUP(Table7[[#This Row],[Date]],Database!$A:$C,MATCH($B$1,Database!$A$1:$C$1,),)=0,#N/A,VLOOKUP(Table7[[#This Row],[Date]],Database!$A:$C,MATCH($B$1,Database!$A$1:$C$1,),))</f>
        <v/>
      </c>
      <c r="C15236">
        <f>IF(VLOOKUP(Table7[[#This Row],[Date]],Database!$A:$C,MATCH($C$1,Database!$A$1:$C$1,),)=0,#N/A,VLOOKUP(Table7[[#This Row],[Date]],Database!$A:$C,MATCH($C$1,Database!$A$1:$C$1,),))</f>
        <v/>
      </c>
      <c r="D15236">
        <f>IFERROR(Table7[[#This Row],[United States 10y]]-Table7[[#This Row],[United States 3y]],#N/A)</f>
        <v/>
      </c>
    </row>
    <row r="15237">
      <c r="A15237" s="6">
        <f>Database!$A17322</f>
        <v/>
      </c>
      <c r="B15237">
        <f>IF(VLOOKUP(Table7[[#This Row],[Date]],Database!$A:$C,MATCH($B$1,Database!$A$1:$C$1,),)=0,#N/A,VLOOKUP(Table7[[#This Row],[Date]],Database!$A:$C,MATCH($B$1,Database!$A$1:$C$1,),))</f>
        <v/>
      </c>
      <c r="C15237">
        <f>IF(VLOOKUP(Table7[[#This Row],[Date]],Database!$A:$C,MATCH($C$1,Database!$A$1:$C$1,),)=0,#N/A,VLOOKUP(Table7[[#This Row],[Date]],Database!$A:$C,MATCH($C$1,Database!$A$1:$C$1,),))</f>
        <v/>
      </c>
      <c r="D15237">
        <f>IFERROR(Table7[[#This Row],[United States 10y]]-Table7[[#This Row],[United States 3y]],#N/A)</f>
        <v/>
      </c>
    </row>
    <row r="15238">
      <c r="A15238" s="6">
        <f>Database!$A17323</f>
        <v/>
      </c>
      <c r="B15238">
        <f>IF(VLOOKUP(Table7[[#This Row],[Date]],Database!$A:$C,MATCH($B$1,Database!$A$1:$C$1,),)=0,#N/A,VLOOKUP(Table7[[#This Row],[Date]],Database!$A:$C,MATCH($B$1,Database!$A$1:$C$1,),))</f>
        <v/>
      </c>
      <c r="C15238">
        <f>IF(VLOOKUP(Table7[[#This Row],[Date]],Database!$A:$C,MATCH($C$1,Database!$A$1:$C$1,),)=0,#N/A,VLOOKUP(Table7[[#This Row],[Date]],Database!$A:$C,MATCH($C$1,Database!$A$1:$C$1,),))</f>
        <v/>
      </c>
      <c r="D15238">
        <f>IFERROR(Table7[[#This Row],[United States 10y]]-Table7[[#This Row],[United States 3y]],#N/A)</f>
        <v/>
      </c>
    </row>
    <row r="15239">
      <c r="A15239" s="6">
        <f>Database!$A17324</f>
        <v/>
      </c>
      <c r="B15239">
        <f>IF(VLOOKUP(Table7[[#This Row],[Date]],Database!$A:$C,MATCH($B$1,Database!$A$1:$C$1,),)=0,#N/A,VLOOKUP(Table7[[#This Row],[Date]],Database!$A:$C,MATCH($B$1,Database!$A$1:$C$1,),))</f>
        <v/>
      </c>
      <c r="C15239">
        <f>IF(VLOOKUP(Table7[[#This Row],[Date]],Database!$A:$C,MATCH($C$1,Database!$A$1:$C$1,),)=0,#N/A,VLOOKUP(Table7[[#This Row],[Date]],Database!$A:$C,MATCH($C$1,Database!$A$1:$C$1,),))</f>
        <v/>
      </c>
      <c r="D15239">
        <f>IFERROR(Table7[[#This Row],[United States 10y]]-Table7[[#This Row],[United States 3y]],#N/A)</f>
        <v/>
      </c>
    </row>
    <row r="15240">
      <c r="A15240" s="6">
        <f>Database!$A17325</f>
        <v/>
      </c>
      <c r="B15240">
        <f>IF(VLOOKUP(Table7[[#This Row],[Date]],Database!$A:$C,MATCH($B$1,Database!$A$1:$C$1,),)=0,#N/A,VLOOKUP(Table7[[#This Row],[Date]],Database!$A:$C,MATCH($B$1,Database!$A$1:$C$1,),))</f>
        <v/>
      </c>
      <c r="C15240">
        <f>IF(VLOOKUP(Table7[[#This Row],[Date]],Database!$A:$C,MATCH($C$1,Database!$A$1:$C$1,),)=0,#N/A,VLOOKUP(Table7[[#This Row],[Date]],Database!$A:$C,MATCH($C$1,Database!$A$1:$C$1,),))</f>
        <v/>
      </c>
      <c r="D15240">
        <f>IFERROR(Table7[[#This Row],[United States 10y]]-Table7[[#This Row],[United States 3y]],#N/A)</f>
        <v/>
      </c>
    </row>
    <row r="15241">
      <c r="A15241" s="6">
        <f>Database!$A17326</f>
        <v/>
      </c>
      <c r="B15241">
        <f>IF(VLOOKUP(Table7[[#This Row],[Date]],Database!$A:$C,MATCH($B$1,Database!$A$1:$C$1,),)=0,#N/A,VLOOKUP(Table7[[#This Row],[Date]],Database!$A:$C,MATCH($B$1,Database!$A$1:$C$1,),))</f>
        <v/>
      </c>
      <c r="C15241">
        <f>IF(VLOOKUP(Table7[[#This Row],[Date]],Database!$A:$C,MATCH($C$1,Database!$A$1:$C$1,),)=0,#N/A,VLOOKUP(Table7[[#This Row],[Date]],Database!$A:$C,MATCH($C$1,Database!$A$1:$C$1,),))</f>
        <v/>
      </c>
      <c r="D15241">
        <f>IFERROR(Table7[[#This Row],[United States 10y]]-Table7[[#This Row],[United States 3y]],#N/A)</f>
        <v/>
      </c>
    </row>
    <row r="15242">
      <c r="A15242" s="6">
        <f>Database!$A17327</f>
        <v/>
      </c>
      <c r="B15242">
        <f>IF(VLOOKUP(Table7[[#This Row],[Date]],Database!$A:$C,MATCH($B$1,Database!$A$1:$C$1,),)=0,#N/A,VLOOKUP(Table7[[#This Row],[Date]],Database!$A:$C,MATCH($B$1,Database!$A$1:$C$1,),))</f>
        <v/>
      </c>
      <c r="C15242">
        <f>IF(VLOOKUP(Table7[[#This Row],[Date]],Database!$A:$C,MATCH($C$1,Database!$A$1:$C$1,),)=0,#N/A,VLOOKUP(Table7[[#This Row],[Date]],Database!$A:$C,MATCH($C$1,Database!$A$1:$C$1,),))</f>
        <v/>
      </c>
      <c r="D15242">
        <f>IFERROR(Table7[[#This Row],[United States 10y]]-Table7[[#This Row],[United States 3y]],#N/A)</f>
        <v/>
      </c>
    </row>
    <row r="15243">
      <c r="A15243" s="6">
        <f>Database!$A17328</f>
        <v/>
      </c>
      <c r="B15243">
        <f>IF(VLOOKUP(Table7[[#This Row],[Date]],Database!$A:$C,MATCH($B$1,Database!$A$1:$C$1,),)=0,#N/A,VLOOKUP(Table7[[#This Row],[Date]],Database!$A:$C,MATCH($B$1,Database!$A$1:$C$1,),))</f>
        <v/>
      </c>
      <c r="C15243">
        <f>IF(VLOOKUP(Table7[[#This Row],[Date]],Database!$A:$C,MATCH($C$1,Database!$A$1:$C$1,),)=0,#N/A,VLOOKUP(Table7[[#This Row],[Date]],Database!$A:$C,MATCH($C$1,Database!$A$1:$C$1,),))</f>
        <v/>
      </c>
      <c r="D15243">
        <f>IFERROR(Table7[[#This Row],[United States 10y]]-Table7[[#This Row],[United States 3y]],#N/A)</f>
        <v/>
      </c>
    </row>
    <row r="15244">
      <c r="A15244" s="6">
        <f>Database!$A17329</f>
        <v/>
      </c>
      <c r="B15244">
        <f>IF(VLOOKUP(Table7[[#This Row],[Date]],Database!$A:$C,MATCH($B$1,Database!$A$1:$C$1,),)=0,#N/A,VLOOKUP(Table7[[#This Row],[Date]],Database!$A:$C,MATCH($B$1,Database!$A$1:$C$1,),))</f>
        <v/>
      </c>
      <c r="C15244">
        <f>IF(VLOOKUP(Table7[[#This Row],[Date]],Database!$A:$C,MATCH($C$1,Database!$A$1:$C$1,),)=0,#N/A,VLOOKUP(Table7[[#This Row],[Date]],Database!$A:$C,MATCH($C$1,Database!$A$1:$C$1,),))</f>
        <v/>
      </c>
      <c r="D15244">
        <f>IFERROR(Table7[[#This Row],[United States 10y]]-Table7[[#This Row],[United States 3y]],#N/A)</f>
        <v/>
      </c>
    </row>
    <row r="15245">
      <c r="A15245" s="6">
        <f>Database!$A17330</f>
        <v/>
      </c>
      <c r="B15245">
        <f>IF(VLOOKUP(Table7[[#This Row],[Date]],Database!$A:$C,MATCH($B$1,Database!$A$1:$C$1,),)=0,#N/A,VLOOKUP(Table7[[#This Row],[Date]],Database!$A:$C,MATCH($B$1,Database!$A$1:$C$1,),))</f>
        <v/>
      </c>
      <c r="C15245">
        <f>IF(VLOOKUP(Table7[[#This Row],[Date]],Database!$A:$C,MATCH($C$1,Database!$A$1:$C$1,),)=0,#N/A,VLOOKUP(Table7[[#This Row],[Date]],Database!$A:$C,MATCH($C$1,Database!$A$1:$C$1,),))</f>
        <v/>
      </c>
      <c r="D15245">
        <f>IFERROR(Table7[[#This Row],[United States 10y]]-Table7[[#This Row],[United States 3y]],#N/A)</f>
        <v/>
      </c>
    </row>
    <row r="15246">
      <c r="A15246" s="6">
        <f>Database!$A17331</f>
        <v/>
      </c>
      <c r="B15246">
        <f>IF(VLOOKUP(Table7[[#This Row],[Date]],Database!$A:$C,MATCH($B$1,Database!$A$1:$C$1,),)=0,#N/A,VLOOKUP(Table7[[#This Row],[Date]],Database!$A:$C,MATCH($B$1,Database!$A$1:$C$1,),))</f>
        <v/>
      </c>
      <c r="C15246">
        <f>IF(VLOOKUP(Table7[[#This Row],[Date]],Database!$A:$C,MATCH($C$1,Database!$A$1:$C$1,),)=0,#N/A,VLOOKUP(Table7[[#This Row],[Date]],Database!$A:$C,MATCH($C$1,Database!$A$1:$C$1,),))</f>
        <v/>
      </c>
      <c r="D15246">
        <f>IFERROR(Table7[[#This Row],[United States 10y]]-Table7[[#This Row],[United States 3y]],#N/A)</f>
        <v/>
      </c>
    </row>
    <row r="15247">
      <c r="A15247" s="6">
        <f>Database!$A17332</f>
        <v/>
      </c>
      <c r="B15247">
        <f>IF(VLOOKUP(Table7[[#This Row],[Date]],Database!$A:$C,MATCH($B$1,Database!$A$1:$C$1,),)=0,#N/A,VLOOKUP(Table7[[#This Row],[Date]],Database!$A:$C,MATCH($B$1,Database!$A$1:$C$1,),))</f>
        <v/>
      </c>
      <c r="C15247">
        <f>IF(VLOOKUP(Table7[[#This Row],[Date]],Database!$A:$C,MATCH($C$1,Database!$A$1:$C$1,),)=0,#N/A,VLOOKUP(Table7[[#This Row],[Date]],Database!$A:$C,MATCH($C$1,Database!$A$1:$C$1,),))</f>
        <v/>
      </c>
      <c r="D15247">
        <f>IFERROR(Table7[[#This Row],[United States 10y]]-Table7[[#This Row],[United States 3y]],#N/A)</f>
        <v/>
      </c>
    </row>
    <row r="15248">
      <c r="A15248" s="6">
        <f>Database!$A17333</f>
        <v/>
      </c>
      <c r="B15248">
        <f>IF(VLOOKUP(Table7[[#This Row],[Date]],Database!$A:$C,MATCH($B$1,Database!$A$1:$C$1,),)=0,#N/A,VLOOKUP(Table7[[#This Row],[Date]],Database!$A:$C,MATCH($B$1,Database!$A$1:$C$1,),))</f>
        <v/>
      </c>
      <c r="C15248">
        <f>IF(VLOOKUP(Table7[[#This Row],[Date]],Database!$A:$C,MATCH($C$1,Database!$A$1:$C$1,),)=0,#N/A,VLOOKUP(Table7[[#This Row],[Date]],Database!$A:$C,MATCH($C$1,Database!$A$1:$C$1,),))</f>
        <v/>
      </c>
      <c r="D15248">
        <f>IFERROR(Table7[[#This Row],[United States 10y]]-Table7[[#This Row],[United States 3y]],#N/A)</f>
        <v/>
      </c>
    </row>
    <row r="15249">
      <c r="A15249" s="6">
        <f>Database!$A17334</f>
        <v/>
      </c>
      <c r="B15249">
        <f>IF(VLOOKUP(Table7[[#This Row],[Date]],Database!$A:$C,MATCH($B$1,Database!$A$1:$C$1,),)=0,#N/A,VLOOKUP(Table7[[#This Row],[Date]],Database!$A:$C,MATCH($B$1,Database!$A$1:$C$1,),))</f>
        <v/>
      </c>
      <c r="C15249">
        <f>IF(VLOOKUP(Table7[[#This Row],[Date]],Database!$A:$C,MATCH($C$1,Database!$A$1:$C$1,),)=0,#N/A,VLOOKUP(Table7[[#This Row],[Date]],Database!$A:$C,MATCH($C$1,Database!$A$1:$C$1,),))</f>
        <v/>
      </c>
      <c r="D15249">
        <f>IFERROR(Table7[[#This Row],[United States 10y]]-Table7[[#This Row],[United States 3y]],#N/A)</f>
        <v/>
      </c>
    </row>
    <row r="15250">
      <c r="A15250" s="6">
        <f>Database!$A17335</f>
        <v/>
      </c>
      <c r="B15250">
        <f>IF(VLOOKUP(Table7[[#This Row],[Date]],Database!$A:$C,MATCH($B$1,Database!$A$1:$C$1,),)=0,#N/A,VLOOKUP(Table7[[#This Row],[Date]],Database!$A:$C,MATCH($B$1,Database!$A$1:$C$1,),))</f>
        <v/>
      </c>
      <c r="C15250">
        <f>IF(VLOOKUP(Table7[[#This Row],[Date]],Database!$A:$C,MATCH($C$1,Database!$A$1:$C$1,),)=0,#N/A,VLOOKUP(Table7[[#This Row],[Date]],Database!$A:$C,MATCH($C$1,Database!$A$1:$C$1,),))</f>
        <v/>
      </c>
      <c r="D15250">
        <f>IFERROR(Table7[[#This Row],[United States 10y]]-Table7[[#This Row],[United States 3y]],#N/A)</f>
        <v/>
      </c>
    </row>
    <row r="15251">
      <c r="A15251" s="6">
        <f>Database!$A17336</f>
        <v/>
      </c>
      <c r="B15251">
        <f>IF(VLOOKUP(Table7[[#This Row],[Date]],Database!$A:$C,MATCH($B$1,Database!$A$1:$C$1,),)=0,#N/A,VLOOKUP(Table7[[#This Row],[Date]],Database!$A:$C,MATCH($B$1,Database!$A$1:$C$1,),))</f>
        <v/>
      </c>
      <c r="C15251">
        <f>IF(VLOOKUP(Table7[[#This Row],[Date]],Database!$A:$C,MATCH($C$1,Database!$A$1:$C$1,),)=0,#N/A,VLOOKUP(Table7[[#This Row],[Date]],Database!$A:$C,MATCH($C$1,Database!$A$1:$C$1,),))</f>
        <v/>
      </c>
      <c r="D15251">
        <f>IFERROR(Table7[[#This Row],[United States 10y]]-Table7[[#This Row],[United States 3y]],#N/A)</f>
        <v/>
      </c>
    </row>
    <row r="15252">
      <c r="A15252" s="6">
        <f>Database!$A17337</f>
        <v/>
      </c>
      <c r="B15252">
        <f>IF(VLOOKUP(Table7[[#This Row],[Date]],Database!$A:$C,MATCH($B$1,Database!$A$1:$C$1,),)=0,#N/A,VLOOKUP(Table7[[#This Row],[Date]],Database!$A:$C,MATCH($B$1,Database!$A$1:$C$1,),))</f>
        <v/>
      </c>
      <c r="C15252">
        <f>IF(VLOOKUP(Table7[[#This Row],[Date]],Database!$A:$C,MATCH($C$1,Database!$A$1:$C$1,),)=0,#N/A,VLOOKUP(Table7[[#This Row],[Date]],Database!$A:$C,MATCH($C$1,Database!$A$1:$C$1,),))</f>
        <v/>
      </c>
      <c r="D15252">
        <f>IFERROR(Table7[[#This Row],[United States 10y]]-Table7[[#This Row],[United States 3y]],#N/A)</f>
        <v/>
      </c>
    </row>
    <row r="15253">
      <c r="A15253" s="6">
        <f>Database!$A17338</f>
        <v/>
      </c>
      <c r="B15253">
        <f>IF(VLOOKUP(Table7[[#This Row],[Date]],Database!$A:$C,MATCH($B$1,Database!$A$1:$C$1,),)=0,#N/A,VLOOKUP(Table7[[#This Row],[Date]],Database!$A:$C,MATCH($B$1,Database!$A$1:$C$1,),))</f>
        <v/>
      </c>
      <c r="C15253">
        <f>IF(VLOOKUP(Table7[[#This Row],[Date]],Database!$A:$C,MATCH($C$1,Database!$A$1:$C$1,),)=0,#N/A,VLOOKUP(Table7[[#This Row],[Date]],Database!$A:$C,MATCH($C$1,Database!$A$1:$C$1,),))</f>
        <v/>
      </c>
      <c r="D15253">
        <f>IFERROR(Table7[[#This Row],[United States 10y]]-Table7[[#This Row],[United States 3y]],#N/A)</f>
        <v/>
      </c>
    </row>
    <row r="15254">
      <c r="A15254" s="6">
        <f>Database!$A17339</f>
        <v/>
      </c>
      <c r="B15254">
        <f>IF(VLOOKUP(Table7[[#This Row],[Date]],Database!$A:$C,MATCH($B$1,Database!$A$1:$C$1,),)=0,#N/A,VLOOKUP(Table7[[#This Row],[Date]],Database!$A:$C,MATCH($B$1,Database!$A$1:$C$1,),))</f>
        <v/>
      </c>
      <c r="C15254">
        <f>IF(VLOOKUP(Table7[[#This Row],[Date]],Database!$A:$C,MATCH($C$1,Database!$A$1:$C$1,),)=0,#N/A,VLOOKUP(Table7[[#This Row],[Date]],Database!$A:$C,MATCH($C$1,Database!$A$1:$C$1,),))</f>
        <v/>
      </c>
      <c r="D15254">
        <f>IFERROR(Table7[[#This Row],[United States 10y]]-Table7[[#This Row],[United States 3y]],#N/A)</f>
        <v/>
      </c>
    </row>
    <row r="15255">
      <c r="A15255" s="6">
        <f>Database!$A17340</f>
        <v/>
      </c>
      <c r="B15255">
        <f>IF(VLOOKUP(Table7[[#This Row],[Date]],Database!$A:$C,MATCH($B$1,Database!$A$1:$C$1,),)=0,#N/A,VLOOKUP(Table7[[#This Row],[Date]],Database!$A:$C,MATCH($B$1,Database!$A$1:$C$1,),))</f>
        <v/>
      </c>
      <c r="C15255">
        <f>IF(VLOOKUP(Table7[[#This Row],[Date]],Database!$A:$C,MATCH($C$1,Database!$A$1:$C$1,),)=0,#N/A,VLOOKUP(Table7[[#This Row],[Date]],Database!$A:$C,MATCH($C$1,Database!$A$1:$C$1,),))</f>
        <v/>
      </c>
      <c r="D15255">
        <f>IFERROR(Table7[[#This Row],[United States 10y]]-Table7[[#This Row],[United States 3y]],#N/A)</f>
        <v/>
      </c>
    </row>
    <row r="15256">
      <c r="A15256" s="6">
        <f>Database!$A17341</f>
        <v/>
      </c>
      <c r="B15256">
        <f>IF(VLOOKUP(Table7[[#This Row],[Date]],Database!$A:$C,MATCH($B$1,Database!$A$1:$C$1,),)=0,#N/A,VLOOKUP(Table7[[#This Row],[Date]],Database!$A:$C,MATCH($B$1,Database!$A$1:$C$1,),))</f>
        <v/>
      </c>
      <c r="C15256">
        <f>IF(VLOOKUP(Table7[[#This Row],[Date]],Database!$A:$C,MATCH($C$1,Database!$A$1:$C$1,),)=0,#N/A,VLOOKUP(Table7[[#This Row],[Date]],Database!$A:$C,MATCH($C$1,Database!$A$1:$C$1,),))</f>
        <v/>
      </c>
      <c r="D15256">
        <f>IFERROR(Table7[[#This Row],[United States 10y]]-Table7[[#This Row],[United States 3y]],#N/A)</f>
        <v/>
      </c>
    </row>
    <row r="15257">
      <c r="A15257" s="6">
        <f>Database!$A17342</f>
        <v/>
      </c>
      <c r="B15257">
        <f>IF(VLOOKUP(Table7[[#This Row],[Date]],Database!$A:$C,MATCH($B$1,Database!$A$1:$C$1,),)=0,#N/A,VLOOKUP(Table7[[#This Row],[Date]],Database!$A:$C,MATCH($B$1,Database!$A$1:$C$1,),))</f>
        <v/>
      </c>
      <c r="C15257">
        <f>IF(VLOOKUP(Table7[[#This Row],[Date]],Database!$A:$C,MATCH($C$1,Database!$A$1:$C$1,),)=0,#N/A,VLOOKUP(Table7[[#This Row],[Date]],Database!$A:$C,MATCH($C$1,Database!$A$1:$C$1,),))</f>
        <v/>
      </c>
      <c r="D15257">
        <f>IFERROR(Table7[[#This Row],[United States 10y]]-Table7[[#This Row],[United States 3y]],#N/A)</f>
        <v/>
      </c>
    </row>
    <row r="15258">
      <c r="A15258" s="6">
        <f>Database!$A17343</f>
        <v/>
      </c>
      <c r="B15258">
        <f>IF(VLOOKUP(Table7[[#This Row],[Date]],Database!$A:$C,MATCH($B$1,Database!$A$1:$C$1,),)=0,#N/A,VLOOKUP(Table7[[#This Row],[Date]],Database!$A:$C,MATCH($B$1,Database!$A$1:$C$1,),))</f>
        <v/>
      </c>
      <c r="C15258">
        <f>IF(VLOOKUP(Table7[[#This Row],[Date]],Database!$A:$C,MATCH($C$1,Database!$A$1:$C$1,),)=0,#N/A,VLOOKUP(Table7[[#This Row],[Date]],Database!$A:$C,MATCH($C$1,Database!$A$1:$C$1,),))</f>
        <v/>
      </c>
      <c r="D15258">
        <f>IFERROR(Table7[[#This Row],[United States 10y]]-Table7[[#This Row],[United States 3y]],#N/A)</f>
        <v/>
      </c>
    </row>
    <row r="15259">
      <c r="A15259" s="6">
        <f>Database!$A17344</f>
        <v/>
      </c>
      <c r="B15259">
        <f>IF(VLOOKUP(Table7[[#This Row],[Date]],Database!$A:$C,MATCH($B$1,Database!$A$1:$C$1,),)=0,#N/A,VLOOKUP(Table7[[#This Row],[Date]],Database!$A:$C,MATCH($B$1,Database!$A$1:$C$1,),))</f>
        <v/>
      </c>
      <c r="C15259">
        <f>IF(VLOOKUP(Table7[[#This Row],[Date]],Database!$A:$C,MATCH($C$1,Database!$A$1:$C$1,),)=0,#N/A,VLOOKUP(Table7[[#This Row],[Date]],Database!$A:$C,MATCH($C$1,Database!$A$1:$C$1,),))</f>
        <v/>
      </c>
      <c r="D15259">
        <f>IFERROR(Table7[[#This Row],[United States 10y]]-Table7[[#This Row],[United States 3y]],#N/A)</f>
        <v/>
      </c>
    </row>
    <row r="15260">
      <c r="A15260" s="6">
        <f>Database!$A17345</f>
        <v/>
      </c>
      <c r="B15260">
        <f>IF(VLOOKUP(Table7[[#This Row],[Date]],Database!$A:$C,MATCH($B$1,Database!$A$1:$C$1,),)=0,#N/A,VLOOKUP(Table7[[#This Row],[Date]],Database!$A:$C,MATCH($B$1,Database!$A$1:$C$1,),))</f>
        <v/>
      </c>
      <c r="C15260">
        <f>IF(VLOOKUP(Table7[[#This Row],[Date]],Database!$A:$C,MATCH($C$1,Database!$A$1:$C$1,),)=0,#N/A,VLOOKUP(Table7[[#This Row],[Date]],Database!$A:$C,MATCH($C$1,Database!$A$1:$C$1,),))</f>
        <v/>
      </c>
      <c r="D15260">
        <f>IFERROR(Table7[[#This Row],[United States 10y]]-Table7[[#This Row],[United States 3y]],#N/A)</f>
        <v/>
      </c>
    </row>
    <row r="15261">
      <c r="A15261" s="6">
        <f>Database!$A17346</f>
        <v/>
      </c>
      <c r="B15261">
        <f>IF(VLOOKUP(Table7[[#This Row],[Date]],Database!$A:$C,MATCH($B$1,Database!$A$1:$C$1,),)=0,#N/A,VLOOKUP(Table7[[#This Row],[Date]],Database!$A:$C,MATCH($B$1,Database!$A$1:$C$1,),))</f>
        <v/>
      </c>
      <c r="C15261">
        <f>IF(VLOOKUP(Table7[[#This Row],[Date]],Database!$A:$C,MATCH($C$1,Database!$A$1:$C$1,),)=0,#N/A,VLOOKUP(Table7[[#This Row],[Date]],Database!$A:$C,MATCH($C$1,Database!$A$1:$C$1,),))</f>
        <v/>
      </c>
      <c r="D15261">
        <f>IFERROR(Table7[[#This Row],[United States 10y]]-Table7[[#This Row],[United States 3y]],#N/A)</f>
        <v/>
      </c>
    </row>
    <row r="15262">
      <c r="A15262" s="6">
        <f>Database!$A17347</f>
        <v/>
      </c>
      <c r="B15262">
        <f>IF(VLOOKUP(Table7[[#This Row],[Date]],Database!$A:$C,MATCH($B$1,Database!$A$1:$C$1,),)=0,#N/A,VLOOKUP(Table7[[#This Row],[Date]],Database!$A:$C,MATCH($B$1,Database!$A$1:$C$1,),))</f>
        <v/>
      </c>
      <c r="C15262">
        <f>IF(VLOOKUP(Table7[[#This Row],[Date]],Database!$A:$C,MATCH($C$1,Database!$A$1:$C$1,),)=0,#N/A,VLOOKUP(Table7[[#This Row],[Date]],Database!$A:$C,MATCH($C$1,Database!$A$1:$C$1,),))</f>
        <v/>
      </c>
      <c r="D15262">
        <f>IFERROR(Table7[[#This Row],[United States 10y]]-Table7[[#This Row],[United States 3y]],#N/A)</f>
        <v/>
      </c>
    </row>
    <row r="15263">
      <c r="A15263" s="6">
        <f>Database!$A17348</f>
        <v/>
      </c>
      <c r="B15263">
        <f>IF(VLOOKUP(Table7[[#This Row],[Date]],Database!$A:$C,MATCH($B$1,Database!$A$1:$C$1,),)=0,#N/A,VLOOKUP(Table7[[#This Row],[Date]],Database!$A:$C,MATCH($B$1,Database!$A$1:$C$1,),))</f>
        <v/>
      </c>
      <c r="C15263">
        <f>IF(VLOOKUP(Table7[[#This Row],[Date]],Database!$A:$C,MATCH($C$1,Database!$A$1:$C$1,),)=0,#N/A,VLOOKUP(Table7[[#This Row],[Date]],Database!$A:$C,MATCH($C$1,Database!$A$1:$C$1,),))</f>
        <v/>
      </c>
      <c r="D15263">
        <f>IFERROR(Table7[[#This Row],[United States 10y]]-Table7[[#This Row],[United States 3y]],#N/A)</f>
        <v/>
      </c>
    </row>
    <row r="15264">
      <c r="A15264" s="6">
        <f>Database!$A17349</f>
        <v/>
      </c>
      <c r="B15264">
        <f>IF(VLOOKUP(Table7[[#This Row],[Date]],Database!$A:$C,MATCH($B$1,Database!$A$1:$C$1,),)=0,#N/A,VLOOKUP(Table7[[#This Row],[Date]],Database!$A:$C,MATCH($B$1,Database!$A$1:$C$1,),))</f>
        <v/>
      </c>
      <c r="C15264">
        <f>IF(VLOOKUP(Table7[[#This Row],[Date]],Database!$A:$C,MATCH($C$1,Database!$A$1:$C$1,),)=0,#N/A,VLOOKUP(Table7[[#This Row],[Date]],Database!$A:$C,MATCH($C$1,Database!$A$1:$C$1,),))</f>
        <v/>
      </c>
      <c r="D15264">
        <f>IFERROR(Table7[[#This Row],[United States 10y]]-Table7[[#This Row],[United States 3y]],#N/A)</f>
        <v/>
      </c>
    </row>
    <row r="15265">
      <c r="A15265" s="6">
        <f>Database!$A17350</f>
        <v/>
      </c>
      <c r="B15265">
        <f>IF(VLOOKUP(Table7[[#This Row],[Date]],Database!$A:$C,MATCH($B$1,Database!$A$1:$C$1,),)=0,#N/A,VLOOKUP(Table7[[#This Row],[Date]],Database!$A:$C,MATCH($B$1,Database!$A$1:$C$1,),))</f>
        <v/>
      </c>
      <c r="C15265">
        <f>IF(VLOOKUP(Table7[[#This Row],[Date]],Database!$A:$C,MATCH($C$1,Database!$A$1:$C$1,),)=0,#N/A,VLOOKUP(Table7[[#This Row],[Date]],Database!$A:$C,MATCH($C$1,Database!$A$1:$C$1,),))</f>
        <v/>
      </c>
      <c r="D15265">
        <f>IFERROR(Table7[[#This Row],[United States 10y]]-Table7[[#This Row],[United States 3y]],#N/A)</f>
        <v/>
      </c>
    </row>
    <row r="15266">
      <c r="A15266" s="6">
        <f>Database!$A17351</f>
        <v/>
      </c>
      <c r="B15266">
        <f>IF(VLOOKUP(Table7[[#This Row],[Date]],Database!$A:$C,MATCH($B$1,Database!$A$1:$C$1,),)=0,#N/A,VLOOKUP(Table7[[#This Row],[Date]],Database!$A:$C,MATCH($B$1,Database!$A$1:$C$1,),))</f>
        <v/>
      </c>
      <c r="C15266">
        <f>IF(VLOOKUP(Table7[[#This Row],[Date]],Database!$A:$C,MATCH($C$1,Database!$A$1:$C$1,),)=0,#N/A,VLOOKUP(Table7[[#This Row],[Date]],Database!$A:$C,MATCH($C$1,Database!$A$1:$C$1,),))</f>
        <v/>
      </c>
      <c r="D15266">
        <f>IFERROR(Table7[[#This Row],[United States 10y]]-Table7[[#This Row],[United States 3y]],#N/A)</f>
        <v/>
      </c>
    </row>
    <row r="15267">
      <c r="A15267" s="6">
        <f>Database!$A17352</f>
        <v/>
      </c>
      <c r="B15267">
        <f>IF(VLOOKUP(Table7[[#This Row],[Date]],Database!$A:$C,MATCH($B$1,Database!$A$1:$C$1,),)=0,#N/A,VLOOKUP(Table7[[#This Row],[Date]],Database!$A:$C,MATCH($B$1,Database!$A$1:$C$1,),))</f>
        <v/>
      </c>
      <c r="C15267">
        <f>IF(VLOOKUP(Table7[[#This Row],[Date]],Database!$A:$C,MATCH($C$1,Database!$A$1:$C$1,),)=0,#N/A,VLOOKUP(Table7[[#This Row],[Date]],Database!$A:$C,MATCH($C$1,Database!$A$1:$C$1,),))</f>
        <v/>
      </c>
      <c r="D15267">
        <f>IFERROR(Table7[[#This Row],[United States 10y]]-Table7[[#This Row],[United States 3y]],#N/A)</f>
        <v/>
      </c>
    </row>
    <row r="15268">
      <c r="A15268" s="6">
        <f>Database!$A17353</f>
        <v/>
      </c>
      <c r="B15268">
        <f>IF(VLOOKUP(Table7[[#This Row],[Date]],Database!$A:$C,MATCH($B$1,Database!$A$1:$C$1,),)=0,#N/A,VLOOKUP(Table7[[#This Row],[Date]],Database!$A:$C,MATCH($B$1,Database!$A$1:$C$1,),))</f>
        <v/>
      </c>
      <c r="C15268">
        <f>IF(VLOOKUP(Table7[[#This Row],[Date]],Database!$A:$C,MATCH($C$1,Database!$A$1:$C$1,),)=0,#N/A,VLOOKUP(Table7[[#This Row],[Date]],Database!$A:$C,MATCH($C$1,Database!$A$1:$C$1,),))</f>
        <v/>
      </c>
      <c r="D15268">
        <f>IFERROR(Table7[[#This Row],[United States 10y]]-Table7[[#This Row],[United States 3y]],#N/A)</f>
        <v/>
      </c>
    </row>
    <row r="15269">
      <c r="A15269" s="6">
        <f>Database!$A17354</f>
        <v/>
      </c>
      <c r="B15269">
        <f>IF(VLOOKUP(Table7[[#This Row],[Date]],Database!$A:$C,MATCH($B$1,Database!$A$1:$C$1,),)=0,#N/A,VLOOKUP(Table7[[#This Row],[Date]],Database!$A:$C,MATCH($B$1,Database!$A$1:$C$1,),))</f>
        <v/>
      </c>
      <c r="C15269">
        <f>IF(VLOOKUP(Table7[[#This Row],[Date]],Database!$A:$C,MATCH($C$1,Database!$A$1:$C$1,),)=0,#N/A,VLOOKUP(Table7[[#This Row],[Date]],Database!$A:$C,MATCH($C$1,Database!$A$1:$C$1,),))</f>
        <v/>
      </c>
      <c r="D15269">
        <f>IFERROR(Table7[[#This Row],[United States 10y]]-Table7[[#This Row],[United States 3y]],#N/A)</f>
        <v/>
      </c>
    </row>
    <row r="15270">
      <c r="A15270" s="6">
        <f>Database!$A17355</f>
        <v/>
      </c>
      <c r="B15270">
        <f>IF(VLOOKUP(Table7[[#This Row],[Date]],Database!$A:$C,MATCH($B$1,Database!$A$1:$C$1,),)=0,#N/A,VLOOKUP(Table7[[#This Row],[Date]],Database!$A:$C,MATCH($B$1,Database!$A$1:$C$1,),))</f>
        <v/>
      </c>
      <c r="C15270">
        <f>IF(VLOOKUP(Table7[[#This Row],[Date]],Database!$A:$C,MATCH($C$1,Database!$A$1:$C$1,),)=0,#N/A,VLOOKUP(Table7[[#This Row],[Date]],Database!$A:$C,MATCH($C$1,Database!$A$1:$C$1,),))</f>
        <v/>
      </c>
      <c r="D15270">
        <f>IFERROR(Table7[[#This Row],[United States 10y]]-Table7[[#This Row],[United States 3y]],#N/A)</f>
        <v/>
      </c>
    </row>
    <row r="15271">
      <c r="A15271" s="6">
        <f>Database!$A17356</f>
        <v/>
      </c>
      <c r="B15271">
        <f>IF(VLOOKUP(Table7[[#This Row],[Date]],Database!$A:$C,MATCH($B$1,Database!$A$1:$C$1,),)=0,#N/A,VLOOKUP(Table7[[#This Row],[Date]],Database!$A:$C,MATCH($B$1,Database!$A$1:$C$1,),))</f>
        <v/>
      </c>
      <c r="C15271">
        <f>IF(VLOOKUP(Table7[[#This Row],[Date]],Database!$A:$C,MATCH($C$1,Database!$A$1:$C$1,),)=0,#N/A,VLOOKUP(Table7[[#This Row],[Date]],Database!$A:$C,MATCH($C$1,Database!$A$1:$C$1,),))</f>
        <v/>
      </c>
      <c r="D15271">
        <f>IFERROR(Table7[[#This Row],[United States 10y]]-Table7[[#This Row],[United States 3y]],#N/A)</f>
        <v/>
      </c>
    </row>
    <row r="15272">
      <c r="A15272" s="6">
        <f>Database!$A17357</f>
        <v/>
      </c>
      <c r="B15272">
        <f>IF(VLOOKUP(Table7[[#This Row],[Date]],Database!$A:$C,MATCH($B$1,Database!$A$1:$C$1,),)=0,#N/A,VLOOKUP(Table7[[#This Row],[Date]],Database!$A:$C,MATCH($B$1,Database!$A$1:$C$1,),))</f>
        <v/>
      </c>
      <c r="C15272">
        <f>IF(VLOOKUP(Table7[[#This Row],[Date]],Database!$A:$C,MATCH($C$1,Database!$A$1:$C$1,),)=0,#N/A,VLOOKUP(Table7[[#This Row],[Date]],Database!$A:$C,MATCH($C$1,Database!$A$1:$C$1,),))</f>
        <v/>
      </c>
      <c r="D15272">
        <f>IFERROR(Table7[[#This Row],[United States 10y]]-Table7[[#This Row],[United States 3y]],#N/A)</f>
        <v/>
      </c>
    </row>
    <row r="15273">
      <c r="A15273" s="6">
        <f>Database!$A17358</f>
        <v/>
      </c>
      <c r="B15273">
        <f>IF(VLOOKUP(Table7[[#This Row],[Date]],Database!$A:$C,MATCH($B$1,Database!$A$1:$C$1,),)=0,#N/A,VLOOKUP(Table7[[#This Row],[Date]],Database!$A:$C,MATCH($B$1,Database!$A$1:$C$1,),))</f>
        <v/>
      </c>
      <c r="C15273">
        <f>IF(VLOOKUP(Table7[[#This Row],[Date]],Database!$A:$C,MATCH($C$1,Database!$A$1:$C$1,),)=0,#N/A,VLOOKUP(Table7[[#This Row],[Date]],Database!$A:$C,MATCH($C$1,Database!$A$1:$C$1,),))</f>
        <v/>
      </c>
      <c r="D15273">
        <f>IFERROR(Table7[[#This Row],[United States 10y]]-Table7[[#This Row],[United States 3y]],#N/A)</f>
        <v/>
      </c>
    </row>
    <row r="15274">
      <c r="A15274" s="6">
        <f>Database!$A17359</f>
        <v/>
      </c>
      <c r="B15274">
        <f>IF(VLOOKUP(Table7[[#This Row],[Date]],Database!$A:$C,MATCH($B$1,Database!$A$1:$C$1,),)=0,#N/A,VLOOKUP(Table7[[#This Row],[Date]],Database!$A:$C,MATCH($B$1,Database!$A$1:$C$1,),))</f>
        <v/>
      </c>
      <c r="C15274">
        <f>IF(VLOOKUP(Table7[[#This Row],[Date]],Database!$A:$C,MATCH($C$1,Database!$A$1:$C$1,),)=0,#N/A,VLOOKUP(Table7[[#This Row],[Date]],Database!$A:$C,MATCH($C$1,Database!$A$1:$C$1,),))</f>
        <v/>
      </c>
      <c r="D15274">
        <f>IFERROR(Table7[[#This Row],[United States 10y]]-Table7[[#This Row],[United States 3y]],#N/A)</f>
        <v/>
      </c>
    </row>
    <row r="15275">
      <c r="A15275" s="6">
        <f>Database!$A17360</f>
        <v/>
      </c>
      <c r="B15275">
        <f>IF(VLOOKUP(Table7[[#This Row],[Date]],Database!$A:$C,MATCH($B$1,Database!$A$1:$C$1,),)=0,#N/A,VLOOKUP(Table7[[#This Row],[Date]],Database!$A:$C,MATCH($B$1,Database!$A$1:$C$1,),))</f>
        <v/>
      </c>
      <c r="C15275">
        <f>IF(VLOOKUP(Table7[[#This Row],[Date]],Database!$A:$C,MATCH($C$1,Database!$A$1:$C$1,),)=0,#N/A,VLOOKUP(Table7[[#This Row],[Date]],Database!$A:$C,MATCH($C$1,Database!$A$1:$C$1,),))</f>
        <v/>
      </c>
      <c r="D15275">
        <f>IFERROR(Table7[[#This Row],[United States 10y]]-Table7[[#This Row],[United States 3y]],#N/A)</f>
        <v/>
      </c>
    </row>
    <row r="15276">
      <c r="A15276" s="6">
        <f>Database!$A17361</f>
        <v/>
      </c>
      <c r="B15276">
        <f>IF(VLOOKUP(Table7[[#This Row],[Date]],Database!$A:$C,MATCH($B$1,Database!$A$1:$C$1,),)=0,#N/A,VLOOKUP(Table7[[#This Row],[Date]],Database!$A:$C,MATCH($B$1,Database!$A$1:$C$1,),))</f>
        <v/>
      </c>
      <c r="C15276">
        <f>IF(VLOOKUP(Table7[[#This Row],[Date]],Database!$A:$C,MATCH($C$1,Database!$A$1:$C$1,),)=0,#N/A,VLOOKUP(Table7[[#This Row],[Date]],Database!$A:$C,MATCH($C$1,Database!$A$1:$C$1,),))</f>
        <v/>
      </c>
      <c r="D15276">
        <f>IFERROR(Table7[[#This Row],[United States 10y]]-Table7[[#This Row],[United States 3y]],#N/A)</f>
        <v/>
      </c>
    </row>
    <row r="15277">
      <c r="A15277" s="6">
        <f>Database!$A17362</f>
        <v/>
      </c>
      <c r="B15277">
        <f>IF(VLOOKUP(Table7[[#This Row],[Date]],Database!$A:$C,MATCH($B$1,Database!$A$1:$C$1,),)=0,#N/A,VLOOKUP(Table7[[#This Row],[Date]],Database!$A:$C,MATCH($B$1,Database!$A$1:$C$1,),))</f>
        <v/>
      </c>
      <c r="C15277">
        <f>IF(VLOOKUP(Table7[[#This Row],[Date]],Database!$A:$C,MATCH($C$1,Database!$A$1:$C$1,),)=0,#N/A,VLOOKUP(Table7[[#This Row],[Date]],Database!$A:$C,MATCH($C$1,Database!$A$1:$C$1,),))</f>
        <v/>
      </c>
      <c r="D15277">
        <f>IFERROR(Table7[[#This Row],[United States 10y]]-Table7[[#This Row],[United States 3y]],#N/A)</f>
        <v/>
      </c>
    </row>
    <row r="15278">
      <c r="A15278" s="6">
        <f>Database!$A17363</f>
        <v/>
      </c>
      <c r="B15278">
        <f>IF(VLOOKUP(Table7[[#This Row],[Date]],Database!$A:$C,MATCH($B$1,Database!$A$1:$C$1,),)=0,#N/A,VLOOKUP(Table7[[#This Row],[Date]],Database!$A:$C,MATCH($B$1,Database!$A$1:$C$1,),))</f>
        <v/>
      </c>
      <c r="C15278">
        <f>IF(VLOOKUP(Table7[[#This Row],[Date]],Database!$A:$C,MATCH($C$1,Database!$A$1:$C$1,),)=0,#N/A,VLOOKUP(Table7[[#This Row],[Date]],Database!$A:$C,MATCH($C$1,Database!$A$1:$C$1,),))</f>
        <v/>
      </c>
      <c r="D15278">
        <f>IFERROR(Table7[[#This Row],[United States 10y]]-Table7[[#This Row],[United States 3y]],#N/A)</f>
        <v/>
      </c>
    </row>
    <row r="15279">
      <c r="A15279" s="6">
        <f>Database!$A17364</f>
        <v/>
      </c>
      <c r="B15279">
        <f>IF(VLOOKUP(Table7[[#This Row],[Date]],Database!$A:$C,MATCH($B$1,Database!$A$1:$C$1,),)=0,#N/A,VLOOKUP(Table7[[#This Row],[Date]],Database!$A:$C,MATCH($B$1,Database!$A$1:$C$1,),))</f>
        <v/>
      </c>
      <c r="C15279">
        <f>IF(VLOOKUP(Table7[[#This Row],[Date]],Database!$A:$C,MATCH($C$1,Database!$A$1:$C$1,),)=0,#N/A,VLOOKUP(Table7[[#This Row],[Date]],Database!$A:$C,MATCH($C$1,Database!$A$1:$C$1,),))</f>
        <v/>
      </c>
      <c r="D15279">
        <f>IFERROR(Table7[[#This Row],[United States 10y]]-Table7[[#This Row],[United States 3y]],#N/A)</f>
        <v/>
      </c>
    </row>
    <row r="15280">
      <c r="A15280" s="6">
        <f>Database!$A17365</f>
        <v/>
      </c>
      <c r="B15280">
        <f>IF(VLOOKUP(Table7[[#This Row],[Date]],Database!$A:$C,MATCH($B$1,Database!$A$1:$C$1,),)=0,#N/A,VLOOKUP(Table7[[#This Row],[Date]],Database!$A:$C,MATCH($B$1,Database!$A$1:$C$1,),))</f>
        <v/>
      </c>
      <c r="C15280">
        <f>IF(VLOOKUP(Table7[[#This Row],[Date]],Database!$A:$C,MATCH($C$1,Database!$A$1:$C$1,),)=0,#N/A,VLOOKUP(Table7[[#This Row],[Date]],Database!$A:$C,MATCH($C$1,Database!$A$1:$C$1,),))</f>
        <v/>
      </c>
      <c r="D15280">
        <f>IFERROR(Table7[[#This Row],[United States 10y]]-Table7[[#This Row],[United States 3y]],#N/A)</f>
        <v/>
      </c>
    </row>
    <row r="15281">
      <c r="A15281" s="6">
        <f>Database!$A17366</f>
        <v/>
      </c>
      <c r="B15281">
        <f>IF(VLOOKUP(Table7[[#This Row],[Date]],Database!$A:$C,MATCH($B$1,Database!$A$1:$C$1,),)=0,#N/A,VLOOKUP(Table7[[#This Row],[Date]],Database!$A:$C,MATCH($B$1,Database!$A$1:$C$1,),))</f>
        <v/>
      </c>
      <c r="C15281">
        <f>IF(VLOOKUP(Table7[[#This Row],[Date]],Database!$A:$C,MATCH($C$1,Database!$A$1:$C$1,),)=0,#N/A,VLOOKUP(Table7[[#This Row],[Date]],Database!$A:$C,MATCH($C$1,Database!$A$1:$C$1,),))</f>
        <v/>
      </c>
      <c r="D15281">
        <f>IFERROR(Table7[[#This Row],[United States 10y]]-Table7[[#This Row],[United States 3y]],#N/A)</f>
        <v/>
      </c>
    </row>
    <row r="15282">
      <c r="A15282" s="6">
        <f>Database!$A17367</f>
        <v/>
      </c>
      <c r="B15282">
        <f>IF(VLOOKUP(Table7[[#This Row],[Date]],Database!$A:$C,MATCH($B$1,Database!$A$1:$C$1,),)=0,#N/A,VLOOKUP(Table7[[#This Row],[Date]],Database!$A:$C,MATCH($B$1,Database!$A$1:$C$1,),))</f>
        <v/>
      </c>
      <c r="C15282">
        <f>IF(VLOOKUP(Table7[[#This Row],[Date]],Database!$A:$C,MATCH($C$1,Database!$A$1:$C$1,),)=0,#N/A,VLOOKUP(Table7[[#This Row],[Date]],Database!$A:$C,MATCH($C$1,Database!$A$1:$C$1,),))</f>
        <v/>
      </c>
      <c r="D15282">
        <f>IFERROR(Table7[[#This Row],[United States 10y]]-Table7[[#This Row],[United States 3y]],#N/A)</f>
        <v/>
      </c>
    </row>
    <row r="15283">
      <c r="A15283" s="6">
        <f>Database!$A17368</f>
        <v/>
      </c>
      <c r="B15283">
        <f>IF(VLOOKUP(Table7[[#This Row],[Date]],Database!$A:$C,MATCH($B$1,Database!$A$1:$C$1,),)=0,#N/A,VLOOKUP(Table7[[#This Row],[Date]],Database!$A:$C,MATCH($B$1,Database!$A$1:$C$1,),))</f>
        <v/>
      </c>
      <c r="C15283">
        <f>IF(VLOOKUP(Table7[[#This Row],[Date]],Database!$A:$C,MATCH($C$1,Database!$A$1:$C$1,),)=0,#N/A,VLOOKUP(Table7[[#This Row],[Date]],Database!$A:$C,MATCH($C$1,Database!$A$1:$C$1,),))</f>
        <v/>
      </c>
      <c r="D15283">
        <f>IFERROR(Table7[[#This Row],[United States 10y]]-Table7[[#This Row],[United States 3y]],#N/A)</f>
        <v/>
      </c>
    </row>
    <row r="15284">
      <c r="A15284" s="6">
        <f>Database!$A17369</f>
        <v/>
      </c>
      <c r="B15284">
        <f>IF(VLOOKUP(Table7[[#This Row],[Date]],Database!$A:$C,MATCH($B$1,Database!$A$1:$C$1,),)=0,#N/A,VLOOKUP(Table7[[#This Row],[Date]],Database!$A:$C,MATCH($B$1,Database!$A$1:$C$1,),))</f>
        <v/>
      </c>
      <c r="C15284">
        <f>IF(VLOOKUP(Table7[[#This Row],[Date]],Database!$A:$C,MATCH($C$1,Database!$A$1:$C$1,),)=0,#N/A,VLOOKUP(Table7[[#This Row],[Date]],Database!$A:$C,MATCH($C$1,Database!$A$1:$C$1,),))</f>
        <v/>
      </c>
      <c r="D15284">
        <f>IFERROR(Table7[[#This Row],[United States 10y]]-Table7[[#This Row],[United States 3y]],#N/A)</f>
        <v/>
      </c>
    </row>
    <row r="15285">
      <c r="A15285" s="6">
        <f>Database!$A17370</f>
        <v/>
      </c>
      <c r="B15285">
        <f>IF(VLOOKUP(Table7[[#This Row],[Date]],Database!$A:$C,MATCH($B$1,Database!$A$1:$C$1,),)=0,#N/A,VLOOKUP(Table7[[#This Row],[Date]],Database!$A:$C,MATCH($B$1,Database!$A$1:$C$1,),))</f>
        <v/>
      </c>
      <c r="C15285">
        <f>IF(VLOOKUP(Table7[[#This Row],[Date]],Database!$A:$C,MATCH($C$1,Database!$A$1:$C$1,),)=0,#N/A,VLOOKUP(Table7[[#This Row],[Date]],Database!$A:$C,MATCH($C$1,Database!$A$1:$C$1,),))</f>
        <v/>
      </c>
      <c r="D15285">
        <f>IFERROR(Table7[[#This Row],[United States 10y]]-Table7[[#This Row],[United States 3y]],#N/A)</f>
        <v/>
      </c>
    </row>
    <row r="15286">
      <c r="A15286" s="6">
        <f>Database!$A17371</f>
        <v/>
      </c>
      <c r="B15286">
        <f>IF(VLOOKUP(Table7[[#This Row],[Date]],Database!$A:$C,MATCH($B$1,Database!$A$1:$C$1,),)=0,#N/A,VLOOKUP(Table7[[#This Row],[Date]],Database!$A:$C,MATCH($B$1,Database!$A$1:$C$1,),))</f>
        <v/>
      </c>
      <c r="C15286">
        <f>IF(VLOOKUP(Table7[[#This Row],[Date]],Database!$A:$C,MATCH($C$1,Database!$A$1:$C$1,),)=0,#N/A,VLOOKUP(Table7[[#This Row],[Date]],Database!$A:$C,MATCH($C$1,Database!$A$1:$C$1,),))</f>
        <v/>
      </c>
      <c r="D15286">
        <f>IFERROR(Table7[[#This Row],[United States 10y]]-Table7[[#This Row],[United States 3y]],#N/A)</f>
        <v/>
      </c>
    </row>
    <row r="15287">
      <c r="A15287" s="6">
        <f>Database!$A17372</f>
        <v/>
      </c>
      <c r="B15287">
        <f>IF(VLOOKUP(Table7[[#This Row],[Date]],Database!$A:$C,MATCH($B$1,Database!$A$1:$C$1,),)=0,#N/A,VLOOKUP(Table7[[#This Row],[Date]],Database!$A:$C,MATCH($B$1,Database!$A$1:$C$1,),))</f>
        <v/>
      </c>
      <c r="C15287">
        <f>IF(VLOOKUP(Table7[[#This Row],[Date]],Database!$A:$C,MATCH($C$1,Database!$A$1:$C$1,),)=0,#N/A,VLOOKUP(Table7[[#This Row],[Date]],Database!$A:$C,MATCH($C$1,Database!$A$1:$C$1,),))</f>
        <v/>
      </c>
      <c r="D15287">
        <f>IFERROR(Table7[[#This Row],[United States 10y]]-Table7[[#This Row],[United States 3y]],#N/A)</f>
        <v/>
      </c>
    </row>
    <row r="15288">
      <c r="A15288" s="6">
        <f>Database!$A17373</f>
        <v/>
      </c>
      <c r="B15288">
        <f>IF(VLOOKUP(Table7[[#This Row],[Date]],Database!$A:$C,MATCH($B$1,Database!$A$1:$C$1,),)=0,#N/A,VLOOKUP(Table7[[#This Row],[Date]],Database!$A:$C,MATCH($B$1,Database!$A$1:$C$1,),))</f>
        <v/>
      </c>
      <c r="C15288">
        <f>IF(VLOOKUP(Table7[[#This Row],[Date]],Database!$A:$C,MATCH($C$1,Database!$A$1:$C$1,),)=0,#N/A,VLOOKUP(Table7[[#This Row],[Date]],Database!$A:$C,MATCH($C$1,Database!$A$1:$C$1,),))</f>
        <v/>
      </c>
      <c r="D15288">
        <f>IFERROR(Table7[[#This Row],[United States 10y]]-Table7[[#This Row],[United States 3y]],#N/A)</f>
        <v/>
      </c>
    </row>
    <row r="15289">
      <c r="A15289" s="6">
        <f>Database!$A17374</f>
        <v/>
      </c>
      <c r="B15289">
        <f>IF(VLOOKUP(Table7[[#This Row],[Date]],Database!$A:$C,MATCH($B$1,Database!$A$1:$C$1,),)=0,#N/A,VLOOKUP(Table7[[#This Row],[Date]],Database!$A:$C,MATCH($B$1,Database!$A$1:$C$1,),))</f>
        <v/>
      </c>
      <c r="C15289">
        <f>IF(VLOOKUP(Table7[[#This Row],[Date]],Database!$A:$C,MATCH($C$1,Database!$A$1:$C$1,),)=0,#N/A,VLOOKUP(Table7[[#This Row],[Date]],Database!$A:$C,MATCH($C$1,Database!$A$1:$C$1,),))</f>
        <v/>
      </c>
      <c r="D15289">
        <f>IFERROR(Table7[[#This Row],[United States 10y]]-Table7[[#This Row],[United States 3y]],#N/A)</f>
        <v/>
      </c>
    </row>
    <row r="15290">
      <c r="A15290" s="6">
        <f>Database!$A17375</f>
        <v/>
      </c>
      <c r="B15290">
        <f>IF(VLOOKUP(Table7[[#This Row],[Date]],Database!$A:$C,MATCH($B$1,Database!$A$1:$C$1,),)=0,#N/A,VLOOKUP(Table7[[#This Row],[Date]],Database!$A:$C,MATCH($B$1,Database!$A$1:$C$1,),))</f>
        <v/>
      </c>
      <c r="C15290">
        <f>IF(VLOOKUP(Table7[[#This Row],[Date]],Database!$A:$C,MATCH($C$1,Database!$A$1:$C$1,),)=0,#N/A,VLOOKUP(Table7[[#This Row],[Date]],Database!$A:$C,MATCH($C$1,Database!$A$1:$C$1,),))</f>
        <v/>
      </c>
      <c r="D15290">
        <f>IFERROR(Table7[[#This Row],[United States 10y]]-Table7[[#This Row],[United States 3y]],#N/A)</f>
        <v/>
      </c>
    </row>
    <row r="15291">
      <c r="A15291" s="6">
        <f>Database!$A17376</f>
        <v/>
      </c>
      <c r="B15291">
        <f>IF(VLOOKUP(Table7[[#This Row],[Date]],Database!$A:$C,MATCH($B$1,Database!$A$1:$C$1,),)=0,#N/A,VLOOKUP(Table7[[#This Row],[Date]],Database!$A:$C,MATCH($B$1,Database!$A$1:$C$1,),))</f>
        <v/>
      </c>
      <c r="C15291">
        <f>IF(VLOOKUP(Table7[[#This Row],[Date]],Database!$A:$C,MATCH($C$1,Database!$A$1:$C$1,),)=0,#N/A,VLOOKUP(Table7[[#This Row],[Date]],Database!$A:$C,MATCH($C$1,Database!$A$1:$C$1,),))</f>
        <v/>
      </c>
      <c r="D15291">
        <f>IFERROR(Table7[[#This Row],[United States 10y]]-Table7[[#This Row],[United States 3y]],#N/A)</f>
        <v/>
      </c>
    </row>
    <row r="15292">
      <c r="A15292" s="6">
        <f>Database!$A17377</f>
        <v/>
      </c>
      <c r="B15292">
        <f>IF(VLOOKUP(Table7[[#This Row],[Date]],Database!$A:$C,MATCH($B$1,Database!$A$1:$C$1,),)=0,#N/A,VLOOKUP(Table7[[#This Row],[Date]],Database!$A:$C,MATCH($B$1,Database!$A$1:$C$1,),))</f>
        <v/>
      </c>
      <c r="C15292">
        <f>IF(VLOOKUP(Table7[[#This Row],[Date]],Database!$A:$C,MATCH($C$1,Database!$A$1:$C$1,),)=0,#N/A,VLOOKUP(Table7[[#This Row],[Date]],Database!$A:$C,MATCH($C$1,Database!$A$1:$C$1,),))</f>
        <v/>
      </c>
      <c r="D15292">
        <f>IFERROR(Table7[[#This Row],[United States 10y]]-Table7[[#This Row],[United States 3y]],#N/A)</f>
        <v/>
      </c>
    </row>
    <row r="15293">
      <c r="A15293" s="6">
        <f>Database!$A17378</f>
        <v/>
      </c>
      <c r="B15293">
        <f>IF(VLOOKUP(Table7[[#This Row],[Date]],Database!$A:$C,MATCH($B$1,Database!$A$1:$C$1,),)=0,#N/A,VLOOKUP(Table7[[#This Row],[Date]],Database!$A:$C,MATCH($B$1,Database!$A$1:$C$1,),))</f>
        <v/>
      </c>
      <c r="C15293">
        <f>IF(VLOOKUP(Table7[[#This Row],[Date]],Database!$A:$C,MATCH($C$1,Database!$A$1:$C$1,),)=0,#N/A,VLOOKUP(Table7[[#This Row],[Date]],Database!$A:$C,MATCH($C$1,Database!$A$1:$C$1,),))</f>
        <v/>
      </c>
      <c r="D15293">
        <f>IFERROR(Table7[[#This Row],[United States 10y]]-Table7[[#This Row],[United States 3y]],#N/A)</f>
        <v/>
      </c>
    </row>
    <row r="15294">
      <c r="A15294" s="6">
        <f>Database!$A17379</f>
        <v/>
      </c>
      <c r="B15294">
        <f>IF(VLOOKUP(Table7[[#This Row],[Date]],Database!$A:$C,MATCH($B$1,Database!$A$1:$C$1,),)=0,#N/A,VLOOKUP(Table7[[#This Row],[Date]],Database!$A:$C,MATCH($B$1,Database!$A$1:$C$1,),))</f>
        <v/>
      </c>
      <c r="C15294">
        <f>IF(VLOOKUP(Table7[[#This Row],[Date]],Database!$A:$C,MATCH($C$1,Database!$A$1:$C$1,),)=0,#N/A,VLOOKUP(Table7[[#This Row],[Date]],Database!$A:$C,MATCH($C$1,Database!$A$1:$C$1,),))</f>
        <v/>
      </c>
      <c r="D15294">
        <f>IFERROR(Table7[[#This Row],[United States 10y]]-Table7[[#This Row],[United States 3y]],#N/A)</f>
        <v/>
      </c>
    </row>
    <row r="15295">
      <c r="A15295" s="6">
        <f>Database!$A17380</f>
        <v/>
      </c>
      <c r="B15295">
        <f>IF(VLOOKUP(Table7[[#This Row],[Date]],Database!$A:$C,MATCH($B$1,Database!$A$1:$C$1,),)=0,#N/A,VLOOKUP(Table7[[#This Row],[Date]],Database!$A:$C,MATCH($B$1,Database!$A$1:$C$1,),))</f>
        <v/>
      </c>
      <c r="C15295">
        <f>IF(VLOOKUP(Table7[[#This Row],[Date]],Database!$A:$C,MATCH($C$1,Database!$A$1:$C$1,),)=0,#N/A,VLOOKUP(Table7[[#This Row],[Date]],Database!$A:$C,MATCH($C$1,Database!$A$1:$C$1,),))</f>
        <v/>
      </c>
      <c r="D15295">
        <f>IFERROR(Table7[[#This Row],[United States 10y]]-Table7[[#This Row],[United States 3y]],#N/A)</f>
        <v/>
      </c>
    </row>
    <row r="15296">
      <c r="A15296" s="6">
        <f>Database!$A17381</f>
        <v/>
      </c>
      <c r="B15296">
        <f>IF(VLOOKUP(Table7[[#This Row],[Date]],Database!$A:$C,MATCH($B$1,Database!$A$1:$C$1,),)=0,#N/A,VLOOKUP(Table7[[#This Row],[Date]],Database!$A:$C,MATCH($B$1,Database!$A$1:$C$1,),))</f>
        <v/>
      </c>
      <c r="C15296">
        <f>IF(VLOOKUP(Table7[[#This Row],[Date]],Database!$A:$C,MATCH($C$1,Database!$A$1:$C$1,),)=0,#N/A,VLOOKUP(Table7[[#This Row],[Date]],Database!$A:$C,MATCH($C$1,Database!$A$1:$C$1,),))</f>
        <v/>
      </c>
      <c r="D15296">
        <f>IFERROR(Table7[[#This Row],[United States 10y]]-Table7[[#This Row],[United States 3y]],#N/A)</f>
        <v/>
      </c>
    </row>
    <row r="15297">
      <c r="A15297" s="6">
        <f>Database!$A17382</f>
        <v/>
      </c>
      <c r="B15297">
        <f>IF(VLOOKUP(Table7[[#This Row],[Date]],Database!$A:$C,MATCH($B$1,Database!$A$1:$C$1,),)=0,#N/A,VLOOKUP(Table7[[#This Row],[Date]],Database!$A:$C,MATCH($B$1,Database!$A$1:$C$1,),))</f>
        <v/>
      </c>
      <c r="C15297">
        <f>IF(VLOOKUP(Table7[[#This Row],[Date]],Database!$A:$C,MATCH($C$1,Database!$A$1:$C$1,),)=0,#N/A,VLOOKUP(Table7[[#This Row],[Date]],Database!$A:$C,MATCH($C$1,Database!$A$1:$C$1,),))</f>
        <v/>
      </c>
      <c r="D15297">
        <f>IFERROR(Table7[[#This Row],[United States 10y]]-Table7[[#This Row],[United States 3y]],#N/A)</f>
        <v/>
      </c>
    </row>
    <row r="15298">
      <c r="A15298" s="6">
        <f>Database!$A17383</f>
        <v/>
      </c>
      <c r="B15298">
        <f>IF(VLOOKUP(Table7[[#This Row],[Date]],Database!$A:$C,MATCH($B$1,Database!$A$1:$C$1,),)=0,#N/A,VLOOKUP(Table7[[#This Row],[Date]],Database!$A:$C,MATCH($B$1,Database!$A$1:$C$1,),))</f>
        <v/>
      </c>
      <c r="C15298">
        <f>IF(VLOOKUP(Table7[[#This Row],[Date]],Database!$A:$C,MATCH($C$1,Database!$A$1:$C$1,),)=0,#N/A,VLOOKUP(Table7[[#This Row],[Date]],Database!$A:$C,MATCH($C$1,Database!$A$1:$C$1,),))</f>
        <v/>
      </c>
      <c r="D15298">
        <f>IFERROR(Table7[[#This Row],[United States 10y]]-Table7[[#This Row],[United States 3y]],#N/A)</f>
        <v/>
      </c>
    </row>
    <row r="15299">
      <c r="A15299" s="6">
        <f>Database!$A17384</f>
        <v/>
      </c>
      <c r="B15299">
        <f>IF(VLOOKUP(Table7[[#This Row],[Date]],Database!$A:$C,MATCH($B$1,Database!$A$1:$C$1,),)=0,#N/A,VLOOKUP(Table7[[#This Row],[Date]],Database!$A:$C,MATCH($B$1,Database!$A$1:$C$1,),))</f>
        <v/>
      </c>
      <c r="C15299">
        <f>IF(VLOOKUP(Table7[[#This Row],[Date]],Database!$A:$C,MATCH($C$1,Database!$A$1:$C$1,),)=0,#N/A,VLOOKUP(Table7[[#This Row],[Date]],Database!$A:$C,MATCH($C$1,Database!$A$1:$C$1,),))</f>
        <v/>
      </c>
      <c r="D15299">
        <f>IFERROR(Table7[[#This Row],[United States 10y]]-Table7[[#This Row],[United States 3y]],#N/A)</f>
        <v/>
      </c>
    </row>
    <row r="15300">
      <c r="A15300" s="6">
        <f>Database!$A17385</f>
        <v/>
      </c>
      <c r="B15300">
        <f>IF(VLOOKUP(Table7[[#This Row],[Date]],Database!$A:$C,MATCH($B$1,Database!$A$1:$C$1,),)=0,#N/A,VLOOKUP(Table7[[#This Row],[Date]],Database!$A:$C,MATCH($B$1,Database!$A$1:$C$1,),))</f>
        <v/>
      </c>
      <c r="C15300">
        <f>IF(VLOOKUP(Table7[[#This Row],[Date]],Database!$A:$C,MATCH($C$1,Database!$A$1:$C$1,),)=0,#N/A,VLOOKUP(Table7[[#This Row],[Date]],Database!$A:$C,MATCH($C$1,Database!$A$1:$C$1,),))</f>
        <v/>
      </c>
      <c r="D15300">
        <f>IFERROR(Table7[[#This Row],[United States 10y]]-Table7[[#This Row],[United States 3y]],#N/A)</f>
        <v/>
      </c>
    </row>
    <row r="15301">
      <c r="A15301" s="6">
        <f>Database!$A17386</f>
        <v/>
      </c>
      <c r="B15301">
        <f>IF(VLOOKUP(Table7[[#This Row],[Date]],Database!$A:$C,MATCH($B$1,Database!$A$1:$C$1,),)=0,#N/A,VLOOKUP(Table7[[#This Row],[Date]],Database!$A:$C,MATCH($B$1,Database!$A$1:$C$1,),))</f>
        <v/>
      </c>
      <c r="C15301">
        <f>IF(VLOOKUP(Table7[[#This Row],[Date]],Database!$A:$C,MATCH($C$1,Database!$A$1:$C$1,),)=0,#N/A,VLOOKUP(Table7[[#This Row],[Date]],Database!$A:$C,MATCH($C$1,Database!$A$1:$C$1,),))</f>
        <v/>
      </c>
      <c r="D15301">
        <f>IFERROR(Table7[[#This Row],[United States 10y]]-Table7[[#This Row],[United States 3y]],#N/A)</f>
        <v/>
      </c>
    </row>
    <row r="15302">
      <c r="A15302" s="6">
        <f>Database!$A17387</f>
        <v/>
      </c>
      <c r="B15302">
        <f>IF(VLOOKUP(Table7[[#This Row],[Date]],Database!$A:$C,MATCH($B$1,Database!$A$1:$C$1,),)=0,#N/A,VLOOKUP(Table7[[#This Row],[Date]],Database!$A:$C,MATCH($B$1,Database!$A$1:$C$1,),))</f>
        <v/>
      </c>
      <c r="C15302">
        <f>IF(VLOOKUP(Table7[[#This Row],[Date]],Database!$A:$C,MATCH($C$1,Database!$A$1:$C$1,),)=0,#N/A,VLOOKUP(Table7[[#This Row],[Date]],Database!$A:$C,MATCH($C$1,Database!$A$1:$C$1,),))</f>
        <v/>
      </c>
      <c r="D15302">
        <f>IFERROR(Table7[[#This Row],[United States 10y]]-Table7[[#This Row],[United States 3y]],#N/A)</f>
        <v/>
      </c>
    </row>
    <row r="15303">
      <c r="A15303" s="6">
        <f>Database!$A17388</f>
        <v/>
      </c>
      <c r="B15303">
        <f>IF(VLOOKUP(Table7[[#This Row],[Date]],Database!$A:$C,MATCH($B$1,Database!$A$1:$C$1,),)=0,#N/A,VLOOKUP(Table7[[#This Row],[Date]],Database!$A:$C,MATCH($B$1,Database!$A$1:$C$1,),))</f>
        <v/>
      </c>
      <c r="C15303">
        <f>IF(VLOOKUP(Table7[[#This Row],[Date]],Database!$A:$C,MATCH($C$1,Database!$A$1:$C$1,),)=0,#N/A,VLOOKUP(Table7[[#This Row],[Date]],Database!$A:$C,MATCH($C$1,Database!$A$1:$C$1,),))</f>
        <v/>
      </c>
      <c r="D15303">
        <f>IFERROR(Table7[[#This Row],[United States 10y]]-Table7[[#This Row],[United States 3y]],#N/A)</f>
        <v/>
      </c>
    </row>
    <row r="15304">
      <c r="A15304" s="6">
        <f>Database!$A17389</f>
        <v/>
      </c>
      <c r="B15304">
        <f>IF(VLOOKUP(Table7[[#This Row],[Date]],Database!$A:$C,MATCH($B$1,Database!$A$1:$C$1,),)=0,#N/A,VLOOKUP(Table7[[#This Row],[Date]],Database!$A:$C,MATCH($B$1,Database!$A$1:$C$1,),))</f>
        <v/>
      </c>
      <c r="C15304">
        <f>IF(VLOOKUP(Table7[[#This Row],[Date]],Database!$A:$C,MATCH($C$1,Database!$A$1:$C$1,),)=0,#N/A,VLOOKUP(Table7[[#This Row],[Date]],Database!$A:$C,MATCH($C$1,Database!$A$1:$C$1,),))</f>
        <v/>
      </c>
      <c r="D15304">
        <f>IFERROR(Table7[[#This Row],[United States 10y]]-Table7[[#This Row],[United States 3y]],#N/A)</f>
        <v/>
      </c>
    </row>
    <row r="15305">
      <c r="A15305" s="6">
        <f>Database!$A17390</f>
        <v/>
      </c>
      <c r="B15305">
        <f>IF(VLOOKUP(Table7[[#This Row],[Date]],Database!$A:$C,MATCH($B$1,Database!$A$1:$C$1,),)=0,#N/A,VLOOKUP(Table7[[#This Row],[Date]],Database!$A:$C,MATCH($B$1,Database!$A$1:$C$1,),))</f>
        <v/>
      </c>
      <c r="C15305">
        <f>IF(VLOOKUP(Table7[[#This Row],[Date]],Database!$A:$C,MATCH($C$1,Database!$A$1:$C$1,),)=0,#N/A,VLOOKUP(Table7[[#This Row],[Date]],Database!$A:$C,MATCH($C$1,Database!$A$1:$C$1,),))</f>
        <v/>
      </c>
      <c r="D15305">
        <f>IFERROR(Table7[[#This Row],[United States 10y]]-Table7[[#This Row],[United States 3y]],#N/A)</f>
        <v/>
      </c>
    </row>
    <row r="15306">
      <c r="A15306" s="6">
        <f>Database!$A17391</f>
        <v/>
      </c>
      <c r="B15306">
        <f>IF(VLOOKUP(Table7[[#This Row],[Date]],Database!$A:$C,MATCH($B$1,Database!$A$1:$C$1,),)=0,#N/A,VLOOKUP(Table7[[#This Row],[Date]],Database!$A:$C,MATCH($B$1,Database!$A$1:$C$1,),))</f>
        <v/>
      </c>
      <c r="C15306">
        <f>IF(VLOOKUP(Table7[[#This Row],[Date]],Database!$A:$C,MATCH($C$1,Database!$A$1:$C$1,),)=0,#N/A,VLOOKUP(Table7[[#This Row],[Date]],Database!$A:$C,MATCH($C$1,Database!$A$1:$C$1,),))</f>
        <v/>
      </c>
      <c r="D15306">
        <f>IFERROR(Table7[[#This Row],[United States 10y]]-Table7[[#This Row],[United States 3y]],#N/A)</f>
        <v/>
      </c>
    </row>
    <row r="15307">
      <c r="A15307" s="6">
        <f>Database!$A17392</f>
        <v/>
      </c>
      <c r="B15307">
        <f>IF(VLOOKUP(Table7[[#This Row],[Date]],Database!$A:$C,MATCH($B$1,Database!$A$1:$C$1,),)=0,#N/A,VLOOKUP(Table7[[#This Row],[Date]],Database!$A:$C,MATCH($B$1,Database!$A$1:$C$1,),))</f>
        <v/>
      </c>
      <c r="C15307">
        <f>IF(VLOOKUP(Table7[[#This Row],[Date]],Database!$A:$C,MATCH($C$1,Database!$A$1:$C$1,),)=0,#N/A,VLOOKUP(Table7[[#This Row],[Date]],Database!$A:$C,MATCH($C$1,Database!$A$1:$C$1,),))</f>
        <v/>
      </c>
      <c r="D15307">
        <f>IFERROR(Table7[[#This Row],[United States 10y]]-Table7[[#This Row],[United States 3y]],#N/A)</f>
        <v/>
      </c>
    </row>
    <row r="15308">
      <c r="A15308" s="6">
        <f>Database!$A17393</f>
        <v/>
      </c>
      <c r="B15308">
        <f>IF(VLOOKUP(Table7[[#This Row],[Date]],Database!$A:$C,MATCH($B$1,Database!$A$1:$C$1,),)=0,#N/A,VLOOKUP(Table7[[#This Row],[Date]],Database!$A:$C,MATCH($B$1,Database!$A$1:$C$1,),))</f>
        <v/>
      </c>
      <c r="C15308">
        <f>IF(VLOOKUP(Table7[[#This Row],[Date]],Database!$A:$C,MATCH($C$1,Database!$A$1:$C$1,),)=0,#N/A,VLOOKUP(Table7[[#This Row],[Date]],Database!$A:$C,MATCH($C$1,Database!$A$1:$C$1,),))</f>
        <v/>
      </c>
      <c r="D15308">
        <f>IFERROR(Table7[[#This Row],[United States 10y]]-Table7[[#This Row],[United States 3y]],#N/A)</f>
        <v/>
      </c>
    </row>
    <row r="15309">
      <c r="A15309" s="6">
        <f>Database!$A17394</f>
        <v/>
      </c>
      <c r="B15309">
        <f>IF(VLOOKUP(Table7[[#This Row],[Date]],Database!$A:$C,MATCH($B$1,Database!$A$1:$C$1,),)=0,#N/A,VLOOKUP(Table7[[#This Row],[Date]],Database!$A:$C,MATCH($B$1,Database!$A$1:$C$1,),))</f>
        <v/>
      </c>
      <c r="C15309">
        <f>IF(VLOOKUP(Table7[[#This Row],[Date]],Database!$A:$C,MATCH($C$1,Database!$A$1:$C$1,),)=0,#N/A,VLOOKUP(Table7[[#This Row],[Date]],Database!$A:$C,MATCH($C$1,Database!$A$1:$C$1,),))</f>
        <v/>
      </c>
      <c r="D15309">
        <f>IFERROR(Table7[[#This Row],[United States 10y]]-Table7[[#This Row],[United States 3y]],#N/A)</f>
        <v/>
      </c>
    </row>
    <row r="15310">
      <c r="A15310" s="6">
        <f>Database!$A17395</f>
        <v/>
      </c>
      <c r="B15310">
        <f>IF(VLOOKUP(Table7[[#This Row],[Date]],Database!$A:$C,MATCH($B$1,Database!$A$1:$C$1,),)=0,#N/A,VLOOKUP(Table7[[#This Row],[Date]],Database!$A:$C,MATCH($B$1,Database!$A$1:$C$1,),))</f>
        <v/>
      </c>
      <c r="C15310">
        <f>IF(VLOOKUP(Table7[[#This Row],[Date]],Database!$A:$C,MATCH($C$1,Database!$A$1:$C$1,),)=0,#N/A,VLOOKUP(Table7[[#This Row],[Date]],Database!$A:$C,MATCH($C$1,Database!$A$1:$C$1,),))</f>
        <v/>
      </c>
      <c r="D15310">
        <f>IFERROR(Table7[[#This Row],[United States 10y]]-Table7[[#This Row],[United States 3y]],#N/A)</f>
        <v/>
      </c>
    </row>
    <row r="15311">
      <c r="A15311" s="6">
        <f>Database!$A17396</f>
        <v/>
      </c>
      <c r="B15311">
        <f>IF(VLOOKUP(Table7[[#This Row],[Date]],Database!$A:$C,MATCH($B$1,Database!$A$1:$C$1,),)=0,#N/A,VLOOKUP(Table7[[#This Row],[Date]],Database!$A:$C,MATCH($B$1,Database!$A$1:$C$1,),))</f>
        <v/>
      </c>
      <c r="C15311">
        <f>IF(VLOOKUP(Table7[[#This Row],[Date]],Database!$A:$C,MATCH($C$1,Database!$A$1:$C$1,),)=0,#N/A,VLOOKUP(Table7[[#This Row],[Date]],Database!$A:$C,MATCH($C$1,Database!$A$1:$C$1,),))</f>
        <v/>
      </c>
      <c r="D15311">
        <f>IFERROR(Table7[[#This Row],[United States 10y]]-Table7[[#This Row],[United States 3y]],#N/A)</f>
        <v/>
      </c>
    </row>
    <row r="15312">
      <c r="A15312" s="6">
        <f>Database!$A17397</f>
        <v/>
      </c>
      <c r="B15312">
        <f>IF(VLOOKUP(Table7[[#This Row],[Date]],Database!$A:$C,MATCH($B$1,Database!$A$1:$C$1,),)=0,#N/A,VLOOKUP(Table7[[#This Row],[Date]],Database!$A:$C,MATCH($B$1,Database!$A$1:$C$1,),))</f>
        <v/>
      </c>
      <c r="C15312">
        <f>IF(VLOOKUP(Table7[[#This Row],[Date]],Database!$A:$C,MATCH($C$1,Database!$A$1:$C$1,),)=0,#N/A,VLOOKUP(Table7[[#This Row],[Date]],Database!$A:$C,MATCH($C$1,Database!$A$1:$C$1,),))</f>
        <v/>
      </c>
      <c r="D15312">
        <f>IFERROR(Table7[[#This Row],[United States 10y]]-Table7[[#This Row],[United States 3y]],#N/A)</f>
        <v/>
      </c>
    </row>
    <row r="15313">
      <c r="A15313" s="6">
        <f>Database!$A17398</f>
        <v/>
      </c>
      <c r="B15313">
        <f>IF(VLOOKUP(Table7[[#This Row],[Date]],Database!$A:$C,MATCH($B$1,Database!$A$1:$C$1,),)=0,#N/A,VLOOKUP(Table7[[#This Row],[Date]],Database!$A:$C,MATCH($B$1,Database!$A$1:$C$1,),))</f>
        <v/>
      </c>
      <c r="C15313">
        <f>IF(VLOOKUP(Table7[[#This Row],[Date]],Database!$A:$C,MATCH($C$1,Database!$A$1:$C$1,),)=0,#N/A,VLOOKUP(Table7[[#This Row],[Date]],Database!$A:$C,MATCH($C$1,Database!$A$1:$C$1,),))</f>
        <v/>
      </c>
      <c r="D15313">
        <f>IFERROR(Table7[[#This Row],[United States 10y]]-Table7[[#This Row],[United States 3y]],#N/A)</f>
        <v/>
      </c>
    </row>
    <row r="15314">
      <c r="A15314" s="6">
        <f>Database!$A17399</f>
        <v/>
      </c>
      <c r="B15314">
        <f>IF(VLOOKUP(Table7[[#This Row],[Date]],Database!$A:$C,MATCH($B$1,Database!$A$1:$C$1,),)=0,#N/A,VLOOKUP(Table7[[#This Row],[Date]],Database!$A:$C,MATCH($B$1,Database!$A$1:$C$1,),))</f>
        <v/>
      </c>
      <c r="C15314">
        <f>IF(VLOOKUP(Table7[[#This Row],[Date]],Database!$A:$C,MATCH($C$1,Database!$A$1:$C$1,),)=0,#N/A,VLOOKUP(Table7[[#This Row],[Date]],Database!$A:$C,MATCH($C$1,Database!$A$1:$C$1,),))</f>
        <v/>
      </c>
      <c r="D15314">
        <f>IFERROR(Table7[[#This Row],[United States 10y]]-Table7[[#This Row],[United States 3y]],#N/A)</f>
        <v/>
      </c>
    </row>
    <row r="15315">
      <c r="A15315" s="6">
        <f>Database!$A17400</f>
        <v/>
      </c>
      <c r="B15315">
        <f>IF(VLOOKUP(Table7[[#This Row],[Date]],Database!$A:$C,MATCH($B$1,Database!$A$1:$C$1,),)=0,#N/A,VLOOKUP(Table7[[#This Row],[Date]],Database!$A:$C,MATCH($B$1,Database!$A$1:$C$1,),))</f>
        <v/>
      </c>
      <c r="C15315">
        <f>IF(VLOOKUP(Table7[[#This Row],[Date]],Database!$A:$C,MATCH($C$1,Database!$A$1:$C$1,),)=0,#N/A,VLOOKUP(Table7[[#This Row],[Date]],Database!$A:$C,MATCH($C$1,Database!$A$1:$C$1,),))</f>
        <v/>
      </c>
      <c r="D15315">
        <f>IFERROR(Table7[[#This Row],[United States 10y]]-Table7[[#This Row],[United States 3y]],#N/A)</f>
        <v/>
      </c>
    </row>
    <row r="15316">
      <c r="A15316" s="6">
        <f>Database!$A17401</f>
        <v/>
      </c>
      <c r="B15316">
        <f>IF(VLOOKUP(Table7[[#This Row],[Date]],Database!$A:$C,MATCH($B$1,Database!$A$1:$C$1,),)=0,#N/A,VLOOKUP(Table7[[#This Row],[Date]],Database!$A:$C,MATCH($B$1,Database!$A$1:$C$1,),))</f>
        <v/>
      </c>
      <c r="C15316">
        <f>IF(VLOOKUP(Table7[[#This Row],[Date]],Database!$A:$C,MATCH($C$1,Database!$A$1:$C$1,),)=0,#N/A,VLOOKUP(Table7[[#This Row],[Date]],Database!$A:$C,MATCH($C$1,Database!$A$1:$C$1,),))</f>
        <v/>
      </c>
      <c r="D15316">
        <f>IFERROR(Table7[[#This Row],[United States 10y]]-Table7[[#This Row],[United States 3y]],#N/A)</f>
        <v/>
      </c>
    </row>
    <row r="15317">
      <c r="A15317" s="6">
        <f>Database!$A17402</f>
        <v/>
      </c>
      <c r="B15317">
        <f>IF(VLOOKUP(Table7[[#This Row],[Date]],Database!$A:$C,MATCH($B$1,Database!$A$1:$C$1,),)=0,#N/A,VLOOKUP(Table7[[#This Row],[Date]],Database!$A:$C,MATCH($B$1,Database!$A$1:$C$1,),))</f>
        <v/>
      </c>
      <c r="C15317">
        <f>IF(VLOOKUP(Table7[[#This Row],[Date]],Database!$A:$C,MATCH($C$1,Database!$A$1:$C$1,),)=0,#N/A,VLOOKUP(Table7[[#This Row],[Date]],Database!$A:$C,MATCH($C$1,Database!$A$1:$C$1,),))</f>
        <v/>
      </c>
      <c r="D15317">
        <f>IFERROR(Table7[[#This Row],[United States 10y]]-Table7[[#This Row],[United States 3y]],#N/A)</f>
        <v/>
      </c>
    </row>
    <row r="15318">
      <c r="A15318" s="6">
        <f>Database!$A17403</f>
        <v/>
      </c>
      <c r="B15318">
        <f>IF(VLOOKUP(Table7[[#This Row],[Date]],Database!$A:$C,MATCH($B$1,Database!$A$1:$C$1,),)=0,#N/A,VLOOKUP(Table7[[#This Row],[Date]],Database!$A:$C,MATCH($B$1,Database!$A$1:$C$1,),))</f>
        <v/>
      </c>
      <c r="C15318">
        <f>IF(VLOOKUP(Table7[[#This Row],[Date]],Database!$A:$C,MATCH($C$1,Database!$A$1:$C$1,),)=0,#N/A,VLOOKUP(Table7[[#This Row],[Date]],Database!$A:$C,MATCH($C$1,Database!$A$1:$C$1,),))</f>
        <v/>
      </c>
      <c r="D15318">
        <f>IFERROR(Table7[[#This Row],[United States 10y]]-Table7[[#This Row],[United States 3y]],#N/A)</f>
        <v/>
      </c>
    </row>
    <row r="15319">
      <c r="A15319" s="6">
        <f>Database!$A17404</f>
        <v/>
      </c>
      <c r="B15319">
        <f>IF(VLOOKUP(Table7[[#This Row],[Date]],Database!$A:$C,MATCH($B$1,Database!$A$1:$C$1,),)=0,#N/A,VLOOKUP(Table7[[#This Row],[Date]],Database!$A:$C,MATCH($B$1,Database!$A$1:$C$1,),))</f>
        <v/>
      </c>
      <c r="C15319">
        <f>IF(VLOOKUP(Table7[[#This Row],[Date]],Database!$A:$C,MATCH($C$1,Database!$A$1:$C$1,),)=0,#N/A,VLOOKUP(Table7[[#This Row],[Date]],Database!$A:$C,MATCH($C$1,Database!$A$1:$C$1,),))</f>
        <v/>
      </c>
      <c r="D15319">
        <f>IFERROR(Table7[[#This Row],[United States 10y]]-Table7[[#This Row],[United States 3y]],#N/A)</f>
        <v/>
      </c>
    </row>
    <row r="15320">
      <c r="A15320" s="6">
        <f>Database!$A17405</f>
        <v/>
      </c>
      <c r="B15320">
        <f>IF(VLOOKUP(Table7[[#This Row],[Date]],Database!$A:$C,MATCH($B$1,Database!$A$1:$C$1,),)=0,#N/A,VLOOKUP(Table7[[#This Row],[Date]],Database!$A:$C,MATCH($B$1,Database!$A$1:$C$1,),))</f>
        <v/>
      </c>
      <c r="C15320">
        <f>IF(VLOOKUP(Table7[[#This Row],[Date]],Database!$A:$C,MATCH($C$1,Database!$A$1:$C$1,),)=0,#N/A,VLOOKUP(Table7[[#This Row],[Date]],Database!$A:$C,MATCH($C$1,Database!$A$1:$C$1,),))</f>
        <v/>
      </c>
      <c r="D15320">
        <f>IFERROR(Table7[[#This Row],[United States 10y]]-Table7[[#This Row],[United States 3y]],#N/A)</f>
        <v/>
      </c>
    </row>
    <row r="15321">
      <c r="A15321" s="6">
        <f>Database!$A17406</f>
        <v/>
      </c>
      <c r="B15321">
        <f>IF(VLOOKUP(Table7[[#This Row],[Date]],Database!$A:$C,MATCH($B$1,Database!$A$1:$C$1,),)=0,#N/A,VLOOKUP(Table7[[#This Row],[Date]],Database!$A:$C,MATCH($B$1,Database!$A$1:$C$1,),))</f>
        <v/>
      </c>
      <c r="C15321">
        <f>IF(VLOOKUP(Table7[[#This Row],[Date]],Database!$A:$C,MATCH($C$1,Database!$A$1:$C$1,),)=0,#N/A,VLOOKUP(Table7[[#This Row],[Date]],Database!$A:$C,MATCH($C$1,Database!$A$1:$C$1,),))</f>
        <v/>
      </c>
      <c r="D15321">
        <f>IFERROR(Table7[[#This Row],[United States 10y]]-Table7[[#This Row],[United States 3y]],#N/A)</f>
        <v/>
      </c>
    </row>
    <row r="15322">
      <c r="A15322" s="6">
        <f>Database!$A17407</f>
        <v/>
      </c>
      <c r="B15322">
        <f>IF(VLOOKUP(Table7[[#This Row],[Date]],Database!$A:$C,MATCH($B$1,Database!$A$1:$C$1,),)=0,#N/A,VLOOKUP(Table7[[#This Row],[Date]],Database!$A:$C,MATCH($B$1,Database!$A$1:$C$1,),))</f>
        <v/>
      </c>
      <c r="C15322">
        <f>IF(VLOOKUP(Table7[[#This Row],[Date]],Database!$A:$C,MATCH($C$1,Database!$A$1:$C$1,),)=0,#N/A,VLOOKUP(Table7[[#This Row],[Date]],Database!$A:$C,MATCH($C$1,Database!$A$1:$C$1,),))</f>
        <v/>
      </c>
      <c r="D15322">
        <f>IFERROR(Table7[[#This Row],[United States 10y]]-Table7[[#This Row],[United States 3y]],#N/A)</f>
        <v/>
      </c>
    </row>
    <row r="15323">
      <c r="A15323" s="6">
        <f>Database!$A17408</f>
        <v/>
      </c>
      <c r="B15323">
        <f>IF(VLOOKUP(Table7[[#This Row],[Date]],Database!$A:$C,MATCH($B$1,Database!$A$1:$C$1,),)=0,#N/A,VLOOKUP(Table7[[#This Row],[Date]],Database!$A:$C,MATCH($B$1,Database!$A$1:$C$1,),))</f>
        <v/>
      </c>
      <c r="C15323">
        <f>IF(VLOOKUP(Table7[[#This Row],[Date]],Database!$A:$C,MATCH($C$1,Database!$A$1:$C$1,),)=0,#N/A,VLOOKUP(Table7[[#This Row],[Date]],Database!$A:$C,MATCH($C$1,Database!$A$1:$C$1,),))</f>
        <v/>
      </c>
      <c r="D15323">
        <f>IFERROR(Table7[[#This Row],[United States 10y]]-Table7[[#This Row],[United States 3y]],#N/A)</f>
        <v/>
      </c>
    </row>
    <row r="15324">
      <c r="A15324" s="6">
        <f>Database!$A17409</f>
        <v/>
      </c>
      <c r="B15324">
        <f>IF(VLOOKUP(Table7[[#This Row],[Date]],Database!$A:$C,MATCH($B$1,Database!$A$1:$C$1,),)=0,#N/A,VLOOKUP(Table7[[#This Row],[Date]],Database!$A:$C,MATCH($B$1,Database!$A$1:$C$1,),))</f>
        <v/>
      </c>
      <c r="C15324">
        <f>IF(VLOOKUP(Table7[[#This Row],[Date]],Database!$A:$C,MATCH($C$1,Database!$A$1:$C$1,),)=0,#N/A,VLOOKUP(Table7[[#This Row],[Date]],Database!$A:$C,MATCH($C$1,Database!$A$1:$C$1,),))</f>
        <v/>
      </c>
      <c r="D15324">
        <f>IFERROR(Table7[[#This Row],[United States 10y]]-Table7[[#This Row],[United States 3y]],#N/A)</f>
        <v/>
      </c>
    </row>
    <row r="15325">
      <c r="A15325" s="6">
        <f>Database!$A17410</f>
        <v/>
      </c>
      <c r="B15325">
        <f>IF(VLOOKUP(Table7[[#This Row],[Date]],Database!$A:$C,MATCH($B$1,Database!$A$1:$C$1,),)=0,#N/A,VLOOKUP(Table7[[#This Row],[Date]],Database!$A:$C,MATCH($B$1,Database!$A$1:$C$1,),))</f>
        <v/>
      </c>
      <c r="C15325">
        <f>IF(VLOOKUP(Table7[[#This Row],[Date]],Database!$A:$C,MATCH($C$1,Database!$A$1:$C$1,),)=0,#N/A,VLOOKUP(Table7[[#This Row],[Date]],Database!$A:$C,MATCH($C$1,Database!$A$1:$C$1,),))</f>
        <v/>
      </c>
      <c r="D15325">
        <f>IFERROR(Table7[[#This Row],[United States 10y]]-Table7[[#This Row],[United States 3y]],#N/A)</f>
        <v/>
      </c>
    </row>
    <row r="15326">
      <c r="A15326" s="6">
        <f>Database!$A17411</f>
        <v/>
      </c>
      <c r="B15326">
        <f>IF(VLOOKUP(Table7[[#This Row],[Date]],Database!$A:$C,MATCH($B$1,Database!$A$1:$C$1,),)=0,#N/A,VLOOKUP(Table7[[#This Row],[Date]],Database!$A:$C,MATCH($B$1,Database!$A$1:$C$1,),))</f>
        <v/>
      </c>
      <c r="C15326">
        <f>IF(VLOOKUP(Table7[[#This Row],[Date]],Database!$A:$C,MATCH($C$1,Database!$A$1:$C$1,),)=0,#N/A,VLOOKUP(Table7[[#This Row],[Date]],Database!$A:$C,MATCH($C$1,Database!$A$1:$C$1,),))</f>
        <v/>
      </c>
      <c r="D15326">
        <f>IFERROR(Table7[[#This Row],[United States 10y]]-Table7[[#This Row],[United States 3y]],#N/A)</f>
        <v/>
      </c>
    </row>
    <row r="15327">
      <c r="A15327" s="6">
        <f>Database!$A17412</f>
        <v/>
      </c>
      <c r="B15327">
        <f>IF(VLOOKUP(Table7[[#This Row],[Date]],Database!$A:$C,MATCH($B$1,Database!$A$1:$C$1,),)=0,#N/A,VLOOKUP(Table7[[#This Row],[Date]],Database!$A:$C,MATCH($B$1,Database!$A$1:$C$1,),))</f>
        <v/>
      </c>
      <c r="C15327">
        <f>IF(VLOOKUP(Table7[[#This Row],[Date]],Database!$A:$C,MATCH($C$1,Database!$A$1:$C$1,),)=0,#N/A,VLOOKUP(Table7[[#This Row],[Date]],Database!$A:$C,MATCH($C$1,Database!$A$1:$C$1,),))</f>
        <v/>
      </c>
      <c r="D15327">
        <f>IFERROR(Table7[[#This Row],[United States 10y]]-Table7[[#This Row],[United States 3y]],#N/A)</f>
        <v/>
      </c>
    </row>
    <row r="15328">
      <c r="A15328" s="6">
        <f>Database!$A17413</f>
        <v/>
      </c>
      <c r="B15328">
        <f>IF(VLOOKUP(Table7[[#This Row],[Date]],Database!$A:$C,MATCH($B$1,Database!$A$1:$C$1,),)=0,#N/A,VLOOKUP(Table7[[#This Row],[Date]],Database!$A:$C,MATCH($B$1,Database!$A$1:$C$1,),))</f>
        <v/>
      </c>
      <c r="C15328">
        <f>IF(VLOOKUP(Table7[[#This Row],[Date]],Database!$A:$C,MATCH($C$1,Database!$A$1:$C$1,),)=0,#N/A,VLOOKUP(Table7[[#This Row],[Date]],Database!$A:$C,MATCH($C$1,Database!$A$1:$C$1,),))</f>
        <v/>
      </c>
      <c r="D15328">
        <f>IFERROR(Table7[[#This Row],[United States 10y]]-Table7[[#This Row],[United States 3y]],#N/A)</f>
        <v/>
      </c>
    </row>
    <row r="15329">
      <c r="A15329" s="6">
        <f>Database!$A17414</f>
        <v/>
      </c>
      <c r="B15329">
        <f>IF(VLOOKUP(Table7[[#This Row],[Date]],Database!$A:$C,MATCH($B$1,Database!$A$1:$C$1,),)=0,#N/A,VLOOKUP(Table7[[#This Row],[Date]],Database!$A:$C,MATCH($B$1,Database!$A$1:$C$1,),))</f>
        <v/>
      </c>
      <c r="C15329">
        <f>IF(VLOOKUP(Table7[[#This Row],[Date]],Database!$A:$C,MATCH($C$1,Database!$A$1:$C$1,),)=0,#N/A,VLOOKUP(Table7[[#This Row],[Date]],Database!$A:$C,MATCH($C$1,Database!$A$1:$C$1,),))</f>
        <v/>
      </c>
      <c r="D15329">
        <f>IFERROR(Table7[[#This Row],[United States 10y]]-Table7[[#This Row],[United States 3y]],#N/A)</f>
        <v/>
      </c>
    </row>
    <row r="15330">
      <c r="A15330" s="6">
        <f>Database!$A17415</f>
        <v/>
      </c>
      <c r="B15330">
        <f>IF(VLOOKUP(Table7[[#This Row],[Date]],Database!$A:$C,MATCH($B$1,Database!$A$1:$C$1,),)=0,#N/A,VLOOKUP(Table7[[#This Row],[Date]],Database!$A:$C,MATCH($B$1,Database!$A$1:$C$1,),))</f>
        <v/>
      </c>
      <c r="C15330">
        <f>IF(VLOOKUP(Table7[[#This Row],[Date]],Database!$A:$C,MATCH($C$1,Database!$A$1:$C$1,),)=0,#N/A,VLOOKUP(Table7[[#This Row],[Date]],Database!$A:$C,MATCH($C$1,Database!$A$1:$C$1,),))</f>
        <v/>
      </c>
      <c r="D15330">
        <f>IFERROR(Table7[[#This Row],[United States 10y]]-Table7[[#This Row],[United States 3y]],#N/A)</f>
        <v/>
      </c>
    </row>
    <row r="15331">
      <c r="A15331" s="6">
        <f>Database!$A17416</f>
        <v/>
      </c>
      <c r="B15331">
        <f>IF(VLOOKUP(Table7[[#This Row],[Date]],Database!$A:$C,MATCH($B$1,Database!$A$1:$C$1,),)=0,#N/A,VLOOKUP(Table7[[#This Row],[Date]],Database!$A:$C,MATCH($B$1,Database!$A$1:$C$1,),))</f>
        <v/>
      </c>
      <c r="C15331">
        <f>IF(VLOOKUP(Table7[[#This Row],[Date]],Database!$A:$C,MATCH($C$1,Database!$A$1:$C$1,),)=0,#N/A,VLOOKUP(Table7[[#This Row],[Date]],Database!$A:$C,MATCH($C$1,Database!$A$1:$C$1,),))</f>
        <v/>
      </c>
      <c r="D15331">
        <f>IFERROR(Table7[[#This Row],[United States 10y]]-Table7[[#This Row],[United States 3y]],#N/A)</f>
        <v/>
      </c>
    </row>
    <row r="15332">
      <c r="A15332" s="6">
        <f>Database!$A17417</f>
        <v/>
      </c>
      <c r="B15332">
        <f>IF(VLOOKUP(Table7[[#This Row],[Date]],Database!$A:$C,MATCH($B$1,Database!$A$1:$C$1,),)=0,#N/A,VLOOKUP(Table7[[#This Row],[Date]],Database!$A:$C,MATCH($B$1,Database!$A$1:$C$1,),))</f>
        <v/>
      </c>
      <c r="C15332">
        <f>IF(VLOOKUP(Table7[[#This Row],[Date]],Database!$A:$C,MATCH($C$1,Database!$A$1:$C$1,),)=0,#N/A,VLOOKUP(Table7[[#This Row],[Date]],Database!$A:$C,MATCH($C$1,Database!$A$1:$C$1,),))</f>
        <v/>
      </c>
      <c r="D15332">
        <f>IFERROR(Table7[[#This Row],[United States 10y]]-Table7[[#This Row],[United States 3y]],#N/A)</f>
        <v/>
      </c>
    </row>
    <row r="15333">
      <c r="A15333" s="6">
        <f>Database!$A17418</f>
        <v/>
      </c>
      <c r="B15333">
        <f>IF(VLOOKUP(Table7[[#This Row],[Date]],Database!$A:$C,MATCH($B$1,Database!$A$1:$C$1,),)=0,#N/A,VLOOKUP(Table7[[#This Row],[Date]],Database!$A:$C,MATCH($B$1,Database!$A$1:$C$1,),))</f>
        <v/>
      </c>
      <c r="C15333">
        <f>IF(VLOOKUP(Table7[[#This Row],[Date]],Database!$A:$C,MATCH($C$1,Database!$A$1:$C$1,),)=0,#N/A,VLOOKUP(Table7[[#This Row],[Date]],Database!$A:$C,MATCH($C$1,Database!$A$1:$C$1,),))</f>
        <v/>
      </c>
      <c r="D15333">
        <f>IFERROR(Table7[[#This Row],[United States 10y]]-Table7[[#This Row],[United States 3y]],#N/A)</f>
        <v/>
      </c>
    </row>
    <row r="15334">
      <c r="A15334" s="6">
        <f>Database!$A17419</f>
        <v/>
      </c>
      <c r="B15334">
        <f>IF(VLOOKUP(Table7[[#This Row],[Date]],Database!$A:$C,MATCH($B$1,Database!$A$1:$C$1,),)=0,#N/A,VLOOKUP(Table7[[#This Row],[Date]],Database!$A:$C,MATCH($B$1,Database!$A$1:$C$1,),))</f>
        <v/>
      </c>
      <c r="C15334">
        <f>IF(VLOOKUP(Table7[[#This Row],[Date]],Database!$A:$C,MATCH($C$1,Database!$A$1:$C$1,),)=0,#N/A,VLOOKUP(Table7[[#This Row],[Date]],Database!$A:$C,MATCH($C$1,Database!$A$1:$C$1,),))</f>
        <v/>
      </c>
      <c r="D15334">
        <f>IFERROR(Table7[[#This Row],[United States 10y]]-Table7[[#This Row],[United States 3y]],#N/A)</f>
        <v/>
      </c>
    </row>
    <row r="15335">
      <c r="A15335" s="6">
        <f>Database!$A17420</f>
        <v/>
      </c>
      <c r="B15335">
        <f>IF(VLOOKUP(Table7[[#This Row],[Date]],Database!$A:$C,MATCH($B$1,Database!$A$1:$C$1,),)=0,#N/A,VLOOKUP(Table7[[#This Row],[Date]],Database!$A:$C,MATCH($B$1,Database!$A$1:$C$1,),))</f>
        <v/>
      </c>
      <c r="C15335">
        <f>IF(VLOOKUP(Table7[[#This Row],[Date]],Database!$A:$C,MATCH($C$1,Database!$A$1:$C$1,),)=0,#N/A,VLOOKUP(Table7[[#This Row],[Date]],Database!$A:$C,MATCH($C$1,Database!$A$1:$C$1,),))</f>
        <v/>
      </c>
      <c r="D15335">
        <f>IFERROR(Table7[[#This Row],[United States 10y]]-Table7[[#This Row],[United States 3y]],#N/A)</f>
        <v/>
      </c>
    </row>
    <row r="15336">
      <c r="A15336" s="6">
        <f>Database!$A17421</f>
        <v/>
      </c>
      <c r="B15336">
        <f>IF(VLOOKUP(Table7[[#This Row],[Date]],Database!$A:$C,MATCH($B$1,Database!$A$1:$C$1,),)=0,#N/A,VLOOKUP(Table7[[#This Row],[Date]],Database!$A:$C,MATCH($B$1,Database!$A$1:$C$1,),))</f>
        <v/>
      </c>
      <c r="C15336">
        <f>IF(VLOOKUP(Table7[[#This Row],[Date]],Database!$A:$C,MATCH($C$1,Database!$A$1:$C$1,),)=0,#N/A,VLOOKUP(Table7[[#This Row],[Date]],Database!$A:$C,MATCH($C$1,Database!$A$1:$C$1,),))</f>
        <v/>
      </c>
      <c r="D15336">
        <f>IFERROR(Table7[[#This Row],[United States 10y]]-Table7[[#This Row],[United States 3y]],#N/A)</f>
        <v/>
      </c>
    </row>
    <row r="15337">
      <c r="A15337" s="6">
        <f>Database!$A17422</f>
        <v/>
      </c>
      <c r="B15337">
        <f>IF(VLOOKUP(Table7[[#This Row],[Date]],Database!$A:$C,MATCH($B$1,Database!$A$1:$C$1,),)=0,#N/A,VLOOKUP(Table7[[#This Row],[Date]],Database!$A:$C,MATCH($B$1,Database!$A$1:$C$1,),))</f>
        <v/>
      </c>
      <c r="C15337">
        <f>IF(VLOOKUP(Table7[[#This Row],[Date]],Database!$A:$C,MATCH($C$1,Database!$A$1:$C$1,),)=0,#N/A,VLOOKUP(Table7[[#This Row],[Date]],Database!$A:$C,MATCH($C$1,Database!$A$1:$C$1,),))</f>
        <v/>
      </c>
      <c r="D15337">
        <f>IFERROR(Table7[[#This Row],[United States 10y]]-Table7[[#This Row],[United States 3y]],#N/A)</f>
        <v/>
      </c>
    </row>
    <row r="15338">
      <c r="A15338" s="6">
        <f>Database!$A17423</f>
        <v/>
      </c>
      <c r="B15338">
        <f>IF(VLOOKUP(Table7[[#This Row],[Date]],Database!$A:$C,MATCH($B$1,Database!$A$1:$C$1,),)=0,#N/A,VLOOKUP(Table7[[#This Row],[Date]],Database!$A:$C,MATCH($B$1,Database!$A$1:$C$1,),))</f>
        <v/>
      </c>
      <c r="C15338">
        <f>IF(VLOOKUP(Table7[[#This Row],[Date]],Database!$A:$C,MATCH($C$1,Database!$A$1:$C$1,),)=0,#N/A,VLOOKUP(Table7[[#This Row],[Date]],Database!$A:$C,MATCH($C$1,Database!$A$1:$C$1,),))</f>
        <v/>
      </c>
      <c r="D15338">
        <f>IFERROR(Table7[[#This Row],[United States 10y]]-Table7[[#This Row],[United States 3y]],#N/A)</f>
        <v/>
      </c>
    </row>
    <row r="15339">
      <c r="A15339" s="6">
        <f>Database!$A17424</f>
        <v/>
      </c>
      <c r="B15339">
        <f>IF(VLOOKUP(Table7[[#This Row],[Date]],Database!$A:$C,MATCH($B$1,Database!$A$1:$C$1,),)=0,#N/A,VLOOKUP(Table7[[#This Row],[Date]],Database!$A:$C,MATCH($B$1,Database!$A$1:$C$1,),))</f>
        <v/>
      </c>
      <c r="C15339">
        <f>IF(VLOOKUP(Table7[[#This Row],[Date]],Database!$A:$C,MATCH($C$1,Database!$A$1:$C$1,),)=0,#N/A,VLOOKUP(Table7[[#This Row],[Date]],Database!$A:$C,MATCH($C$1,Database!$A$1:$C$1,),))</f>
        <v/>
      </c>
      <c r="D15339">
        <f>IFERROR(Table7[[#This Row],[United States 10y]]-Table7[[#This Row],[United States 3y]],#N/A)</f>
        <v/>
      </c>
    </row>
    <row r="15340">
      <c r="A15340" s="6">
        <f>Database!$A17425</f>
        <v/>
      </c>
      <c r="B15340">
        <f>IF(VLOOKUP(Table7[[#This Row],[Date]],Database!$A:$C,MATCH($B$1,Database!$A$1:$C$1,),)=0,#N/A,VLOOKUP(Table7[[#This Row],[Date]],Database!$A:$C,MATCH($B$1,Database!$A$1:$C$1,),))</f>
        <v/>
      </c>
      <c r="C15340">
        <f>IF(VLOOKUP(Table7[[#This Row],[Date]],Database!$A:$C,MATCH($C$1,Database!$A$1:$C$1,),)=0,#N/A,VLOOKUP(Table7[[#This Row],[Date]],Database!$A:$C,MATCH($C$1,Database!$A$1:$C$1,),))</f>
        <v/>
      </c>
      <c r="D15340">
        <f>IFERROR(Table7[[#This Row],[United States 10y]]-Table7[[#This Row],[United States 3y]],#N/A)</f>
        <v/>
      </c>
    </row>
    <row r="15341">
      <c r="A15341" s="6">
        <f>Database!$A17426</f>
        <v/>
      </c>
      <c r="B15341">
        <f>IF(VLOOKUP(Table7[[#This Row],[Date]],Database!$A:$C,MATCH($B$1,Database!$A$1:$C$1,),)=0,#N/A,VLOOKUP(Table7[[#This Row],[Date]],Database!$A:$C,MATCH($B$1,Database!$A$1:$C$1,),))</f>
        <v/>
      </c>
      <c r="C15341">
        <f>IF(VLOOKUP(Table7[[#This Row],[Date]],Database!$A:$C,MATCH($C$1,Database!$A$1:$C$1,),)=0,#N/A,VLOOKUP(Table7[[#This Row],[Date]],Database!$A:$C,MATCH($C$1,Database!$A$1:$C$1,),))</f>
        <v/>
      </c>
      <c r="D15341">
        <f>IFERROR(Table7[[#This Row],[United States 10y]]-Table7[[#This Row],[United States 3y]],#N/A)</f>
        <v/>
      </c>
    </row>
    <row r="15342">
      <c r="A15342" s="6">
        <f>Database!$A17427</f>
        <v/>
      </c>
      <c r="B15342">
        <f>IF(VLOOKUP(Table7[[#This Row],[Date]],Database!$A:$C,MATCH($B$1,Database!$A$1:$C$1,),)=0,#N/A,VLOOKUP(Table7[[#This Row],[Date]],Database!$A:$C,MATCH($B$1,Database!$A$1:$C$1,),))</f>
        <v/>
      </c>
      <c r="C15342">
        <f>IF(VLOOKUP(Table7[[#This Row],[Date]],Database!$A:$C,MATCH($C$1,Database!$A$1:$C$1,),)=0,#N/A,VLOOKUP(Table7[[#This Row],[Date]],Database!$A:$C,MATCH($C$1,Database!$A$1:$C$1,),))</f>
        <v/>
      </c>
      <c r="D15342">
        <f>IFERROR(Table7[[#This Row],[United States 10y]]-Table7[[#This Row],[United States 3y]],#N/A)</f>
        <v/>
      </c>
    </row>
    <row r="15343">
      <c r="A15343" s="6">
        <f>Database!$A17428</f>
        <v/>
      </c>
      <c r="B15343">
        <f>IF(VLOOKUP(Table7[[#This Row],[Date]],Database!$A:$C,MATCH($B$1,Database!$A$1:$C$1,),)=0,#N/A,VLOOKUP(Table7[[#This Row],[Date]],Database!$A:$C,MATCH($B$1,Database!$A$1:$C$1,),))</f>
        <v/>
      </c>
      <c r="C15343">
        <f>IF(VLOOKUP(Table7[[#This Row],[Date]],Database!$A:$C,MATCH($C$1,Database!$A$1:$C$1,),)=0,#N/A,VLOOKUP(Table7[[#This Row],[Date]],Database!$A:$C,MATCH($C$1,Database!$A$1:$C$1,),))</f>
        <v/>
      </c>
      <c r="D15343">
        <f>IFERROR(Table7[[#This Row],[United States 10y]]-Table7[[#This Row],[United States 3y]],#N/A)</f>
        <v/>
      </c>
    </row>
    <row r="15344">
      <c r="A15344" s="6">
        <f>Database!$A17429</f>
        <v/>
      </c>
      <c r="B15344">
        <f>IF(VLOOKUP(Table7[[#This Row],[Date]],Database!$A:$C,MATCH($B$1,Database!$A$1:$C$1,),)=0,#N/A,VLOOKUP(Table7[[#This Row],[Date]],Database!$A:$C,MATCH($B$1,Database!$A$1:$C$1,),))</f>
        <v/>
      </c>
      <c r="C15344">
        <f>IF(VLOOKUP(Table7[[#This Row],[Date]],Database!$A:$C,MATCH($C$1,Database!$A$1:$C$1,),)=0,#N/A,VLOOKUP(Table7[[#This Row],[Date]],Database!$A:$C,MATCH($C$1,Database!$A$1:$C$1,),))</f>
        <v/>
      </c>
      <c r="D15344">
        <f>IFERROR(Table7[[#This Row],[United States 10y]]-Table7[[#This Row],[United States 3y]],#N/A)</f>
        <v/>
      </c>
    </row>
    <row r="15345">
      <c r="A15345" s="6">
        <f>Database!$A17430</f>
        <v/>
      </c>
      <c r="B15345">
        <f>IF(VLOOKUP(Table7[[#This Row],[Date]],Database!$A:$C,MATCH($B$1,Database!$A$1:$C$1,),)=0,#N/A,VLOOKUP(Table7[[#This Row],[Date]],Database!$A:$C,MATCH($B$1,Database!$A$1:$C$1,),))</f>
        <v/>
      </c>
      <c r="C15345">
        <f>IF(VLOOKUP(Table7[[#This Row],[Date]],Database!$A:$C,MATCH($C$1,Database!$A$1:$C$1,),)=0,#N/A,VLOOKUP(Table7[[#This Row],[Date]],Database!$A:$C,MATCH($C$1,Database!$A$1:$C$1,),))</f>
        <v/>
      </c>
      <c r="D15345">
        <f>IFERROR(Table7[[#This Row],[United States 10y]]-Table7[[#This Row],[United States 3y]],#N/A)</f>
        <v/>
      </c>
    </row>
    <row r="15346">
      <c r="A15346" s="6">
        <f>Database!$A17431</f>
        <v/>
      </c>
      <c r="B15346">
        <f>IF(VLOOKUP(Table7[[#This Row],[Date]],Database!$A:$C,MATCH($B$1,Database!$A$1:$C$1,),)=0,#N/A,VLOOKUP(Table7[[#This Row],[Date]],Database!$A:$C,MATCH($B$1,Database!$A$1:$C$1,),))</f>
        <v/>
      </c>
      <c r="C15346">
        <f>IF(VLOOKUP(Table7[[#This Row],[Date]],Database!$A:$C,MATCH($C$1,Database!$A$1:$C$1,),)=0,#N/A,VLOOKUP(Table7[[#This Row],[Date]],Database!$A:$C,MATCH($C$1,Database!$A$1:$C$1,),))</f>
        <v/>
      </c>
      <c r="D15346">
        <f>IFERROR(Table7[[#This Row],[United States 10y]]-Table7[[#This Row],[United States 3y]],#N/A)</f>
        <v/>
      </c>
    </row>
    <row r="15347">
      <c r="A15347" s="6">
        <f>Database!$A17432</f>
        <v/>
      </c>
      <c r="B15347">
        <f>IF(VLOOKUP(Table7[[#This Row],[Date]],Database!$A:$C,MATCH($B$1,Database!$A$1:$C$1,),)=0,#N/A,VLOOKUP(Table7[[#This Row],[Date]],Database!$A:$C,MATCH($B$1,Database!$A$1:$C$1,),))</f>
        <v/>
      </c>
      <c r="C15347">
        <f>IF(VLOOKUP(Table7[[#This Row],[Date]],Database!$A:$C,MATCH($C$1,Database!$A$1:$C$1,),)=0,#N/A,VLOOKUP(Table7[[#This Row],[Date]],Database!$A:$C,MATCH($C$1,Database!$A$1:$C$1,),))</f>
        <v/>
      </c>
      <c r="D15347">
        <f>IFERROR(Table7[[#This Row],[United States 10y]]-Table7[[#This Row],[United States 3y]],#N/A)</f>
        <v/>
      </c>
    </row>
    <row r="15348">
      <c r="A15348" s="6">
        <f>Database!$A17433</f>
        <v/>
      </c>
      <c r="B15348">
        <f>IF(VLOOKUP(Table7[[#This Row],[Date]],Database!$A:$C,MATCH($B$1,Database!$A$1:$C$1,),)=0,#N/A,VLOOKUP(Table7[[#This Row],[Date]],Database!$A:$C,MATCH($B$1,Database!$A$1:$C$1,),))</f>
        <v/>
      </c>
      <c r="C15348">
        <f>IF(VLOOKUP(Table7[[#This Row],[Date]],Database!$A:$C,MATCH($C$1,Database!$A$1:$C$1,),)=0,#N/A,VLOOKUP(Table7[[#This Row],[Date]],Database!$A:$C,MATCH($C$1,Database!$A$1:$C$1,),))</f>
        <v/>
      </c>
      <c r="D15348">
        <f>IFERROR(Table7[[#This Row],[United States 10y]]-Table7[[#This Row],[United States 3y]],#N/A)</f>
        <v/>
      </c>
    </row>
    <row r="15349">
      <c r="A15349" s="6">
        <f>Database!$A17434</f>
        <v/>
      </c>
      <c r="B15349">
        <f>IF(VLOOKUP(Table7[[#This Row],[Date]],Database!$A:$C,MATCH($B$1,Database!$A$1:$C$1,),)=0,#N/A,VLOOKUP(Table7[[#This Row],[Date]],Database!$A:$C,MATCH($B$1,Database!$A$1:$C$1,),))</f>
        <v/>
      </c>
      <c r="C15349">
        <f>IF(VLOOKUP(Table7[[#This Row],[Date]],Database!$A:$C,MATCH($C$1,Database!$A$1:$C$1,),)=0,#N/A,VLOOKUP(Table7[[#This Row],[Date]],Database!$A:$C,MATCH($C$1,Database!$A$1:$C$1,),))</f>
        <v/>
      </c>
      <c r="D15349">
        <f>IFERROR(Table7[[#This Row],[United States 10y]]-Table7[[#This Row],[United States 3y]],#N/A)</f>
        <v/>
      </c>
    </row>
    <row r="15350">
      <c r="A15350" s="6">
        <f>Database!$A17435</f>
        <v/>
      </c>
      <c r="B15350">
        <f>IF(VLOOKUP(Table7[[#This Row],[Date]],Database!$A:$C,MATCH($B$1,Database!$A$1:$C$1,),)=0,#N/A,VLOOKUP(Table7[[#This Row],[Date]],Database!$A:$C,MATCH($B$1,Database!$A$1:$C$1,),))</f>
        <v/>
      </c>
      <c r="C15350">
        <f>IF(VLOOKUP(Table7[[#This Row],[Date]],Database!$A:$C,MATCH($C$1,Database!$A$1:$C$1,),)=0,#N/A,VLOOKUP(Table7[[#This Row],[Date]],Database!$A:$C,MATCH($C$1,Database!$A$1:$C$1,),))</f>
        <v/>
      </c>
      <c r="D15350">
        <f>IFERROR(Table7[[#This Row],[United States 10y]]-Table7[[#This Row],[United States 3y]],#N/A)</f>
        <v/>
      </c>
    </row>
    <row r="15351">
      <c r="A15351" s="6">
        <f>Database!$A17436</f>
        <v/>
      </c>
      <c r="B15351">
        <f>IF(VLOOKUP(Table7[[#This Row],[Date]],Database!$A:$C,MATCH($B$1,Database!$A$1:$C$1,),)=0,#N/A,VLOOKUP(Table7[[#This Row],[Date]],Database!$A:$C,MATCH($B$1,Database!$A$1:$C$1,),))</f>
        <v/>
      </c>
      <c r="C15351">
        <f>IF(VLOOKUP(Table7[[#This Row],[Date]],Database!$A:$C,MATCH($C$1,Database!$A$1:$C$1,),)=0,#N/A,VLOOKUP(Table7[[#This Row],[Date]],Database!$A:$C,MATCH($C$1,Database!$A$1:$C$1,),))</f>
        <v/>
      </c>
      <c r="D15351">
        <f>IFERROR(Table7[[#This Row],[United States 10y]]-Table7[[#This Row],[United States 3y]],#N/A)</f>
        <v/>
      </c>
    </row>
    <row r="15352">
      <c r="A15352" s="6">
        <f>Database!$A17437</f>
        <v/>
      </c>
      <c r="B15352">
        <f>IF(VLOOKUP(Table7[[#This Row],[Date]],Database!$A:$C,MATCH($B$1,Database!$A$1:$C$1,),)=0,#N/A,VLOOKUP(Table7[[#This Row],[Date]],Database!$A:$C,MATCH($B$1,Database!$A$1:$C$1,),))</f>
        <v/>
      </c>
      <c r="C15352">
        <f>IF(VLOOKUP(Table7[[#This Row],[Date]],Database!$A:$C,MATCH($C$1,Database!$A$1:$C$1,),)=0,#N/A,VLOOKUP(Table7[[#This Row],[Date]],Database!$A:$C,MATCH($C$1,Database!$A$1:$C$1,),))</f>
        <v/>
      </c>
      <c r="D15352">
        <f>IFERROR(Table7[[#This Row],[United States 10y]]-Table7[[#This Row],[United States 3y]],#N/A)</f>
        <v/>
      </c>
    </row>
    <row r="15353">
      <c r="A15353" s="6">
        <f>Database!$A17438</f>
        <v/>
      </c>
      <c r="B15353">
        <f>IF(VLOOKUP(Table7[[#This Row],[Date]],Database!$A:$C,MATCH($B$1,Database!$A$1:$C$1,),)=0,#N/A,VLOOKUP(Table7[[#This Row],[Date]],Database!$A:$C,MATCH($B$1,Database!$A$1:$C$1,),))</f>
        <v/>
      </c>
      <c r="C15353">
        <f>IF(VLOOKUP(Table7[[#This Row],[Date]],Database!$A:$C,MATCH($C$1,Database!$A$1:$C$1,),)=0,#N/A,VLOOKUP(Table7[[#This Row],[Date]],Database!$A:$C,MATCH($C$1,Database!$A$1:$C$1,),))</f>
        <v/>
      </c>
      <c r="D15353">
        <f>IFERROR(Table7[[#This Row],[United States 10y]]-Table7[[#This Row],[United States 3y]],#N/A)</f>
        <v/>
      </c>
    </row>
    <row r="15354">
      <c r="A15354" s="6">
        <f>Database!$A17439</f>
        <v/>
      </c>
      <c r="B15354">
        <f>IF(VLOOKUP(Table7[[#This Row],[Date]],Database!$A:$C,MATCH($B$1,Database!$A$1:$C$1,),)=0,#N/A,VLOOKUP(Table7[[#This Row],[Date]],Database!$A:$C,MATCH($B$1,Database!$A$1:$C$1,),))</f>
        <v/>
      </c>
      <c r="C15354">
        <f>IF(VLOOKUP(Table7[[#This Row],[Date]],Database!$A:$C,MATCH($C$1,Database!$A$1:$C$1,),)=0,#N/A,VLOOKUP(Table7[[#This Row],[Date]],Database!$A:$C,MATCH($C$1,Database!$A$1:$C$1,),))</f>
        <v/>
      </c>
      <c r="D15354">
        <f>IFERROR(Table7[[#This Row],[United States 10y]]-Table7[[#This Row],[United States 3y]],#N/A)</f>
        <v/>
      </c>
    </row>
    <row r="15355">
      <c r="A15355" s="6">
        <f>Database!$A17440</f>
        <v/>
      </c>
      <c r="B15355">
        <f>IF(VLOOKUP(Table7[[#This Row],[Date]],Database!$A:$C,MATCH($B$1,Database!$A$1:$C$1,),)=0,#N/A,VLOOKUP(Table7[[#This Row],[Date]],Database!$A:$C,MATCH($B$1,Database!$A$1:$C$1,),))</f>
        <v/>
      </c>
      <c r="C15355">
        <f>IF(VLOOKUP(Table7[[#This Row],[Date]],Database!$A:$C,MATCH($C$1,Database!$A$1:$C$1,),)=0,#N/A,VLOOKUP(Table7[[#This Row],[Date]],Database!$A:$C,MATCH($C$1,Database!$A$1:$C$1,),))</f>
        <v/>
      </c>
      <c r="D15355">
        <f>IFERROR(Table7[[#This Row],[United States 10y]]-Table7[[#This Row],[United States 3y]],#N/A)</f>
        <v/>
      </c>
    </row>
    <row r="15356">
      <c r="A15356" s="6">
        <f>Database!$A17441</f>
        <v/>
      </c>
      <c r="B15356">
        <f>IF(VLOOKUP(Table7[[#This Row],[Date]],Database!$A:$C,MATCH($B$1,Database!$A$1:$C$1,),)=0,#N/A,VLOOKUP(Table7[[#This Row],[Date]],Database!$A:$C,MATCH($B$1,Database!$A$1:$C$1,),))</f>
        <v/>
      </c>
      <c r="C15356">
        <f>IF(VLOOKUP(Table7[[#This Row],[Date]],Database!$A:$C,MATCH($C$1,Database!$A$1:$C$1,),)=0,#N/A,VLOOKUP(Table7[[#This Row],[Date]],Database!$A:$C,MATCH($C$1,Database!$A$1:$C$1,),))</f>
        <v/>
      </c>
      <c r="D15356">
        <f>IFERROR(Table7[[#This Row],[United States 10y]]-Table7[[#This Row],[United States 3y]],#N/A)</f>
        <v/>
      </c>
    </row>
    <row r="15357">
      <c r="A15357" s="6">
        <f>Database!$A17442</f>
        <v/>
      </c>
      <c r="B15357">
        <f>IF(VLOOKUP(Table7[[#This Row],[Date]],Database!$A:$C,MATCH($B$1,Database!$A$1:$C$1,),)=0,#N/A,VLOOKUP(Table7[[#This Row],[Date]],Database!$A:$C,MATCH($B$1,Database!$A$1:$C$1,),))</f>
        <v/>
      </c>
      <c r="C15357">
        <f>IF(VLOOKUP(Table7[[#This Row],[Date]],Database!$A:$C,MATCH($C$1,Database!$A$1:$C$1,),)=0,#N/A,VLOOKUP(Table7[[#This Row],[Date]],Database!$A:$C,MATCH($C$1,Database!$A$1:$C$1,),))</f>
        <v/>
      </c>
      <c r="D15357">
        <f>IFERROR(Table7[[#This Row],[United States 10y]]-Table7[[#This Row],[United States 3y]],#N/A)</f>
        <v/>
      </c>
    </row>
    <row r="15358">
      <c r="A15358" s="6">
        <f>Database!$A17443</f>
        <v/>
      </c>
      <c r="B15358">
        <f>IF(VLOOKUP(Table7[[#This Row],[Date]],Database!$A:$C,MATCH($B$1,Database!$A$1:$C$1,),)=0,#N/A,VLOOKUP(Table7[[#This Row],[Date]],Database!$A:$C,MATCH($B$1,Database!$A$1:$C$1,),))</f>
        <v/>
      </c>
      <c r="C15358">
        <f>IF(VLOOKUP(Table7[[#This Row],[Date]],Database!$A:$C,MATCH($C$1,Database!$A$1:$C$1,),)=0,#N/A,VLOOKUP(Table7[[#This Row],[Date]],Database!$A:$C,MATCH($C$1,Database!$A$1:$C$1,),))</f>
        <v/>
      </c>
      <c r="D15358">
        <f>IFERROR(Table7[[#This Row],[United States 10y]]-Table7[[#This Row],[United States 3y]],#N/A)</f>
        <v/>
      </c>
    </row>
    <row r="15359">
      <c r="A15359" s="6">
        <f>Database!$A17444</f>
        <v/>
      </c>
      <c r="B15359">
        <f>IF(VLOOKUP(Table7[[#This Row],[Date]],Database!$A:$C,MATCH($B$1,Database!$A$1:$C$1,),)=0,#N/A,VLOOKUP(Table7[[#This Row],[Date]],Database!$A:$C,MATCH($B$1,Database!$A$1:$C$1,),))</f>
        <v/>
      </c>
      <c r="C15359">
        <f>IF(VLOOKUP(Table7[[#This Row],[Date]],Database!$A:$C,MATCH($C$1,Database!$A$1:$C$1,),)=0,#N/A,VLOOKUP(Table7[[#This Row],[Date]],Database!$A:$C,MATCH($C$1,Database!$A$1:$C$1,),))</f>
        <v/>
      </c>
      <c r="D15359">
        <f>IFERROR(Table7[[#This Row],[United States 10y]]-Table7[[#This Row],[United States 3y]],#N/A)</f>
        <v/>
      </c>
    </row>
    <row r="15360">
      <c r="A15360" s="6">
        <f>Database!$A17445</f>
        <v/>
      </c>
      <c r="B15360">
        <f>IF(VLOOKUP(Table7[[#This Row],[Date]],Database!$A:$C,MATCH($B$1,Database!$A$1:$C$1,),)=0,#N/A,VLOOKUP(Table7[[#This Row],[Date]],Database!$A:$C,MATCH($B$1,Database!$A$1:$C$1,),))</f>
        <v/>
      </c>
      <c r="C15360">
        <f>IF(VLOOKUP(Table7[[#This Row],[Date]],Database!$A:$C,MATCH($C$1,Database!$A$1:$C$1,),)=0,#N/A,VLOOKUP(Table7[[#This Row],[Date]],Database!$A:$C,MATCH($C$1,Database!$A$1:$C$1,),))</f>
        <v/>
      </c>
      <c r="D15360">
        <f>IFERROR(Table7[[#This Row],[United States 10y]]-Table7[[#This Row],[United States 3y]],#N/A)</f>
        <v/>
      </c>
    </row>
    <row r="15361">
      <c r="A15361" s="6">
        <f>Database!$A17446</f>
        <v/>
      </c>
      <c r="B15361">
        <f>IF(VLOOKUP(Table7[[#This Row],[Date]],Database!$A:$C,MATCH($B$1,Database!$A$1:$C$1,),)=0,#N/A,VLOOKUP(Table7[[#This Row],[Date]],Database!$A:$C,MATCH($B$1,Database!$A$1:$C$1,),))</f>
        <v/>
      </c>
      <c r="C15361">
        <f>IF(VLOOKUP(Table7[[#This Row],[Date]],Database!$A:$C,MATCH($C$1,Database!$A$1:$C$1,),)=0,#N/A,VLOOKUP(Table7[[#This Row],[Date]],Database!$A:$C,MATCH($C$1,Database!$A$1:$C$1,),))</f>
        <v/>
      </c>
      <c r="D15361">
        <f>IFERROR(Table7[[#This Row],[United States 10y]]-Table7[[#This Row],[United States 3y]],#N/A)</f>
        <v/>
      </c>
    </row>
    <row r="15362">
      <c r="A15362" s="6">
        <f>Database!$A17447</f>
        <v/>
      </c>
      <c r="B15362">
        <f>IF(VLOOKUP(Table7[[#This Row],[Date]],Database!$A:$C,MATCH($B$1,Database!$A$1:$C$1,),)=0,#N/A,VLOOKUP(Table7[[#This Row],[Date]],Database!$A:$C,MATCH($B$1,Database!$A$1:$C$1,),))</f>
        <v/>
      </c>
      <c r="C15362">
        <f>IF(VLOOKUP(Table7[[#This Row],[Date]],Database!$A:$C,MATCH($C$1,Database!$A$1:$C$1,),)=0,#N/A,VLOOKUP(Table7[[#This Row],[Date]],Database!$A:$C,MATCH($C$1,Database!$A$1:$C$1,),))</f>
        <v/>
      </c>
      <c r="D15362">
        <f>IFERROR(Table7[[#This Row],[United States 10y]]-Table7[[#This Row],[United States 3y]],#N/A)</f>
        <v/>
      </c>
    </row>
    <row r="15363">
      <c r="A15363" s="6">
        <f>Database!$A17448</f>
        <v/>
      </c>
      <c r="B15363">
        <f>IF(VLOOKUP(Table7[[#This Row],[Date]],Database!$A:$C,MATCH($B$1,Database!$A$1:$C$1,),)=0,#N/A,VLOOKUP(Table7[[#This Row],[Date]],Database!$A:$C,MATCH($B$1,Database!$A$1:$C$1,),))</f>
        <v/>
      </c>
      <c r="C15363">
        <f>IF(VLOOKUP(Table7[[#This Row],[Date]],Database!$A:$C,MATCH($C$1,Database!$A$1:$C$1,),)=0,#N/A,VLOOKUP(Table7[[#This Row],[Date]],Database!$A:$C,MATCH($C$1,Database!$A$1:$C$1,),))</f>
        <v/>
      </c>
      <c r="D15363">
        <f>IFERROR(Table7[[#This Row],[United States 10y]]-Table7[[#This Row],[United States 3y]],#N/A)</f>
        <v/>
      </c>
    </row>
    <row r="15364">
      <c r="A15364" s="6">
        <f>Database!$A17449</f>
        <v/>
      </c>
      <c r="B15364">
        <f>IF(VLOOKUP(Table7[[#This Row],[Date]],Database!$A:$C,MATCH($B$1,Database!$A$1:$C$1,),)=0,#N/A,VLOOKUP(Table7[[#This Row],[Date]],Database!$A:$C,MATCH($B$1,Database!$A$1:$C$1,),))</f>
        <v/>
      </c>
      <c r="C15364">
        <f>IF(VLOOKUP(Table7[[#This Row],[Date]],Database!$A:$C,MATCH($C$1,Database!$A$1:$C$1,),)=0,#N/A,VLOOKUP(Table7[[#This Row],[Date]],Database!$A:$C,MATCH($C$1,Database!$A$1:$C$1,),))</f>
        <v/>
      </c>
      <c r="D15364">
        <f>IFERROR(Table7[[#This Row],[United States 10y]]-Table7[[#This Row],[United States 3y]],#N/A)</f>
        <v/>
      </c>
    </row>
    <row r="15365">
      <c r="A15365" s="6">
        <f>Database!$A17450</f>
        <v/>
      </c>
      <c r="B15365">
        <f>IF(VLOOKUP(Table7[[#This Row],[Date]],Database!$A:$C,MATCH($B$1,Database!$A$1:$C$1,),)=0,#N/A,VLOOKUP(Table7[[#This Row],[Date]],Database!$A:$C,MATCH($B$1,Database!$A$1:$C$1,),))</f>
        <v/>
      </c>
      <c r="C15365">
        <f>IF(VLOOKUP(Table7[[#This Row],[Date]],Database!$A:$C,MATCH($C$1,Database!$A$1:$C$1,),)=0,#N/A,VLOOKUP(Table7[[#This Row],[Date]],Database!$A:$C,MATCH($C$1,Database!$A$1:$C$1,),))</f>
        <v/>
      </c>
      <c r="D15365">
        <f>IFERROR(Table7[[#This Row],[United States 10y]]-Table7[[#This Row],[United States 3y]],#N/A)</f>
        <v/>
      </c>
    </row>
    <row r="15366">
      <c r="A15366" s="6">
        <f>Database!$A17451</f>
        <v/>
      </c>
      <c r="B15366">
        <f>IF(VLOOKUP(Table7[[#This Row],[Date]],Database!$A:$C,MATCH($B$1,Database!$A$1:$C$1,),)=0,#N/A,VLOOKUP(Table7[[#This Row],[Date]],Database!$A:$C,MATCH($B$1,Database!$A$1:$C$1,),))</f>
        <v/>
      </c>
      <c r="C15366">
        <f>IF(VLOOKUP(Table7[[#This Row],[Date]],Database!$A:$C,MATCH($C$1,Database!$A$1:$C$1,),)=0,#N/A,VLOOKUP(Table7[[#This Row],[Date]],Database!$A:$C,MATCH($C$1,Database!$A$1:$C$1,),))</f>
        <v/>
      </c>
      <c r="D15366">
        <f>IFERROR(Table7[[#This Row],[United States 10y]]-Table7[[#This Row],[United States 3y]],#N/A)</f>
        <v/>
      </c>
    </row>
    <row r="15367">
      <c r="A15367" s="6">
        <f>Database!$A17452</f>
        <v/>
      </c>
      <c r="B15367">
        <f>IF(VLOOKUP(Table7[[#This Row],[Date]],Database!$A:$C,MATCH($B$1,Database!$A$1:$C$1,),)=0,#N/A,VLOOKUP(Table7[[#This Row],[Date]],Database!$A:$C,MATCH($B$1,Database!$A$1:$C$1,),))</f>
        <v/>
      </c>
      <c r="C15367">
        <f>IF(VLOOKUP(Table7[[#This Row],[Date]],Database!$A:$C,MATCH($C$1,Database!$A$1:$C$1,),)=0,#N/A,VLOOKUP(Table7[[#This Row],[Date]],Database!$A:$C,MATCH($C$1,Database!$A$1:$C$1,),))</f>
        <v/>
      </c>
      <c r="D15367">
        <f>IFERROR(Table7[[#This Row],[United States 10y]]-Table7[[#This Row],[United States 3y]],#N/A)</f>
        <v/>
      </c>
    </row>
    <row r="15368">
      <c r="A15368" s="6">
        <f>Database!$A17453</f>
        <v/>
      </c>
      <c r="B15368">
        <f>IF(VLOOKUP(Table7[[#This Row],[Date]],Database!$A:$C,MATCH($B$1,Database!$A$1:$C$1,),)=0,#N/A,VLOOKUP(Table7[[#This Row],[Date]],Database!$A:$C,MATCH($B$1,Database!$A$1:$C$1,),))</f>
        <v/>
      </c>
      <c r="C15368">
        <f>IF(VLOOKUP(Table7[[#This Row],[Date]],Database!$A:$C,MATCH($C$1,Database!$A$1:$C$1,),)=0,#N/A,VLOOKUP(Table7[[#This Row],[Date]],Database!$A:$C,MATCH($C$1,Database!$A$1:$C$1,),))</f>
        <v/>
      </c>
      <c r="D15368">
        <f>IFERROR(Table7[[#This Row],[United States 10y]]-Table7[[#This Row],[United States 3y]],#N/A)</f>
        <v/>
      </c>
    </row>
    <row r="15369">
      <c r="A15369" s="6">
        <f>Database!$A17454</f>
        <v/>
      </c>
      <c r="B15369">
        <f>IF(VLOOKUP(Table7[[#This Row],[Date]],Database!$A:$C,MATCH($B$1,Database!$A$1:$C$1,),)=0,#N/A,VLOOKUP(Table7[[#This Row],[Date]],Database!$A:$C,MATCH($B$1,Database!$A$1:$C$1,),))</f>
        <v/>
      </c>
      <c r="C15369">
        <f>IF(VLOOKUP(Table7[[#This Row],[Date]],Database!$A:$C,MATCH($C$1,Database!$A$1:$C$1,),)=0,#N/A,VLOOKUP(Table7[[#This Row],[Date]],Database!$A:$C,MATCH($C$1,Database!$A$1:$C$1,),))</f>
        <v/>
      </c>
      <c r="D15369">
        <f>IFERROR(Table7[[#This Row],[United States 10y]]-Table7[[#This Row],[United States 3y]],#N/A)</f>
        <v/>
      </c>
    </row>
    <row r="15370">
      <c r="A15370" s="6">
        <f>Database!$A17455</f>
        <v/>
      </c>
      <c r="B15370">
        <f>IF(VLOOKUP(Table7[[#This Row],[Date]],Database!$A:$C,MATCH($B$1,Database!$A$1:$C$1,),)=0,#N/A,VLOOKUP(Table7[[#This Row],[Date]],Database!$A:$C,MATCH($B$1,Database!$A$1:$C$1,),))</f>
        <v/>
      </c>
      <c r="C15370">
        <f>IF(VLOOKUP(Table7[[#This Row],[Date]],Database!$A:$C,MATCH($C$1,Database!$A$1:$C$1,),)=0,#N/A,VLOOKUP(Table7[[#This Row],[Date]],Database!$A:$C,MATCH($C$1,Database!$A$1:$C$1,),))</f>
        <v/>
      </c>
      <c r="D15370">
        <f>IFERROR(Table7[[#This Row],[United States 10y]]-Table7[[#This Row],[United States 3y]],#N/A)</f>
        <v/>
      </c>
    </row>
    <row r="15371">
      <c r="A15371" s="6">
        <f>Database!$A17456</f>
        <v/>
      </c>
      <c r="B15371">
        <f>IF(VLOOKUP(Table7[[#This Row],[Date]],Database!$A:$C,MATCH($B$1,Database!$A$1:$C$1,),)=0,#N/A,VLOOKUP(Table7[[#This Row],[Date]],Database!$A:$C,MATCH($B$1,Database!$A$1:$C$1,),))</f>
        <v/>
      </c>
      <c r="C15371">
        <f>IF(VLOOKUP(Table7[[#This Row],[Date]],Database!$A:$C,MATCH($C$1,Database!$A$1:$C$1,),)=0,#N/A,VLOOKUP(Table7[[#This Row],[Date]],Database!$A:$C,MATCH($C$1,Database!$A$1:$C$1,),))</f>
        <v/>
      </c>
      <c r="D15371">
        <f>IFERROR(Table7[[#This Row],[United States 10y]]-Table7[[#This Row],[United States 3y]],#N/A)</f>
        <v/>
      </c>
    </row>
    <row r="15372">
      <c r="A15372" s="6">
        <f>Database!$A17457</f>
        <v/>
      </c>
      <c r="B15372">
        <f>IF(VLOOKUP(Table7[[#This Row],[Date]],Database!$A:$C,MATCH($B$1,Database!$A$1:$C$1,),)=0,#N/A,VLOOKUP(Table7[[#This Row],[Date]],Database!$A:$C,MATCH($B$1,Database!$A$1:$C$1,),))</f>
        <v/>
      </c>
      <c r="C15372">
        <f>IF(VLOOKUP(Table7[[#This Row],[Date]],Database!$A:$C,MATCH($C$1,Database!$A$1:$C$1,),)=0,#N/A,VLOOKUP(Table7[[#This Row],[Date]],Database!$A:$C,MATCH($C$1,Database!$A$1:$C$1,),))</f>
        <v/>
      </c>
      <c r="D15372">
        <f>IFERROR(Table7[[#This Row],[United States 10y]]-Table7[[#This Row],[United States 3y]],#N/A)</f>
        <v/>
      </c>
    </row>
    <row r="15373">
      <c r="A15373" s="6">
        <f>Database!$A17458</f>
        <v/>
      </c>
      <c r="B15373">
        <f>IF(VLOOKUP(Table7[[#This Row],[Date]],Database!$A:$C,MATCH($B$1,Database!$A$1:$C$1,),)=0,#N/A,VLOOKUP(Table7[[#This Row],[Date]],Database!$A:$C,MATCH($B$1,Database!$A$1:$C$1,),))</f>
        <v/>
      </c>
      <c r="C15373">
        <f>IF(VLOOKUP(Table7[[#This Row],[Date]],Database!$A:$C,MATCH($C$1,Database!$A$1:$C$1,),)=0,#N/A,VLOOKUP(Table7[[#This Row],[Date]],Database!$A:$C,MATCH($C$1,Database!$A$1:$C$1,),))</f>
        <v/>
      </c>
      <c r="D15373">
        <f>IFERROR(Table7[[#This Row],[United States 10y]]-Table7[[#This Row],[United States 3y]],#N/A)</f>
        <v/>
      </c>
    </row>
    <row r="15374">
      <c r="A15374" s="6">
        <f>Database!$A17459</f>
        <v/>
      </c>
      <c r="B15374">
        <f>IF(VLOOKUP(Table7[[#This Row],[Date]],Database!$A:$C,MATCH($B$1,Database!$A$1:$C$1,),)=0,#N/A,VLOOKUP(Table7[[#This Row],[Date]],Database!$A:$C,MATCH($B$1,Database!$A$1:$C$1,),))</f>
        <v/>
      </c>
      <c r="C15374">
        <f>IF(VLOOKUP(Table7[[#This Row],[Date]],Database!$A:$C,MATCH($C$1,Database!$A$1:$C$1,),)=0,#N/A,VLOOKUP(Table7[[#This Row],[Date]],Database!$A:$C,MATCH($C$1,Database!$A$1:$C$1,),))</f>
        <v/>
      </c>
      <c r="D15374">
        <f>IFERROR(Table7[[#This Row],[United States 10y]]-Table7[[#This Row],[United States 3y]],#N/A)</f>
        <v/>
      </c>
    </row>
    <row r="15375">
      <c r="A15375" s="6">
        <f>Database!$A17460</f>
        <v/>
      </c>
      <c r="B15375">
        <f>IF(VLOOKUP(Table7[[#This Row],[Date]],Database!$A:$C,MATCH($B$1,Database!$A$1:$C$1,),)=0,#N/A,VLOOKUP(Table7[[#This Row],[Date]],Database!$A:$C,MATCH($B$1,Database!$A$1:$C$1,),))</f>
        <v/>
      </c>
      <c r="C15375">
        <f>IF(VLOOKUP(Table7[[#This Row],[Date]],Database!$A:$C,MATCH($C$1,Database!$A$1:$C$1,),)=0,#N/A,VLOOKUP(Table7[[#This Row],[Date]],Database!$A:$C,MATCH($C$1,Database!$A$1:$C$1,),))</f>
        <v/>
      </c>
      <c r="D15375">
        <f>IFERROR(Table7[[#This Row],[United States 10y]]-Table7[[#This Row],[United States 3y]],#N/A)</f>
        <v/>
      </c>
    </row>
    <row r="15376">
      <c r="A15376" s="6">
        <f>Database!$A17461</f>
        <v/>
      </c>
      <c r="B15376">
        <f>IF(VLOOKUP(Table7[[#This Row],[Date]],Database!$A:$C,MATCH($B$1,Database!$A$1:$C$1,),)=0,#N/A,VLOOKUP(Table7[[#This Row],[Date]],Database!$A:$C,MATCH($B$1,Database!$A$1:$C$1,),))</f>
        <v/>
      </c>
      <c r="C15376">
        <f>IF(VLOOKUP(Table7[[#This Row],[Date]],Database!$A:$C,MATCH($C$1,Database!$A$1:$C$1,),)=0,#N/A,VLOOKUP(Table7[[#This Row],[Date]],Database!$A:$C,MATCH($C$1,Database!$A$1:$C$1,),))</f>
        <v/>
      </c>
      <c r="D15376">
        <f>IFERROR(Table7[[#This Row],[United States 10y]]-Table7[[#This Row],[United States 3y]],#N/A)</f>
        <v/>
      </c>
    </row>
    <row r="15377">
      <c r="A15377" s="6">
        <f>Database!$A17462</f>
        <v/>
      </c>
      <c r="B15377">
        <f>IF(VLOOKUP(Table7[[#This Row],[Date]],Database!$A:$C,MATCH($B$1,Database!$A$1:$C$1,),)=0,#N/A,VLOOKUP(Table7[[#This Row],[Date]],Database!$A:$C,MATCH($B$1,Database!$A$1:$C$1,),))</f>
        <v/>
      </c>
      <c r="C15377">
        <f>IF(VLOOKUP(Table7[[#This Row],[Date]],Database!$A:$C,MATCH($C$1,Database!$A$1:$C$1,),)=0,#N/A,VLOOKUP(Table7[[#This Row],[Date]],Database!$A:$C,MATCH($C$1,Database!$A$1:$C$1,),))</f>
        <v/>
      </c>
      <c r="D15377">
        <f>IFERROR(Table7[[#This Row],[United States 10y]]-Table7[[#This Row],[United States 3y]],#N/A)</f>
        <v/>
      </c>
    </row>
    <row r="15378">
      <c r="A15378" s="6">
        <f>Database!$A17463</f>
        <v/>
      </c>
      <c r="B15378">
        <f>IF(VLOOKUP(Table7[[#This Row],[Date]],Database!$A:$C,MATCH($B$1,Database!$A$1:$C$1,),)=0,#N/A,VLOOKUP(Table7[[#This Row],[Date]],Database!$A:$C,MATCH($B$1,Database!$A$1:$C$1,),))</f>
        <v/>
      </c>
      <c r="C15378">
        <f>IF(VLOOKUP(Table7[[#This Row],[Date]],Database!$A:$C,MATCH($C$1,Database!$A$1:$C$1,),)=0,#N/A,VLOOKUP(Table7[[#This Row],[Date]],Database!$A:$C,MATCH($C$1,Database!$A$1:$C$1,),))</f>
        <v/>
      </c>
      <c r="D15378">
        <f>IFERROR(Table7[[#This Row],[United States 10y]]-Table7[[#This Row],[United States 3y]],#N/A)</f>
        <v/>
      </c>
    </row>
    <row r="15379">
      <c r="A15379" s="6">
        <f>Database!$A17464</f>
        <v/>
      </c>
      <c r="B15379">
        <f>IF(VLOOKUP(Table7[[#This Row],[Date]],Database!$A:$C,MATCH($B$1,Database!$A$1:$C$1,),)=0,#N/A,VLOOKUP(Table7[[#This Row],[Date]],Database!$A:$C,MATCH($B$1,Database!$A$1:$C$1,),))</f>
        <v/>
      </c>
      <c r="C15379">
        <f>IF(VLOOKUP(Table7[[#This Row],[Date]],Database!$A:$C,MATCH($C$1,Database!$A$1:$C$1,),)=0,#N/A,VLOOKUP(Table7[[#This Row],[Date]],Database!$A:$C,MATCH($C$1,Database!$A$1:$C$1,),))</f>
        <v/>
      </c>
      <c r="D15379">
        <f>IFERROR(Table7[[#This Row],[United States 10y]]-Table7[[#This Row],[United States 3y]],#N/A)</f>
        <v/>
      </c>
    </row>
    <row r="15380">
      <c r="A15380" s="6">
        <f>Database!$A17465</f>
        <v/>
      </c>
      <c r="B15380">
        <f>IF(VLOOKUP(Table7[[#This Row],[Date]],Database!$A:$C,MATCH($B$1,Database!$A$1:$C$1,),)=0,#N/A,VLOOKUP(Table7[[#This Row],[Date]],Database!$A:$C,MATCH($B$1,Database!$A$1:$C$1,),))</f>
        <v/>
      </c>
      <c r="C15380">
        <f>IF(VLOOKUP(Table7[[#This Row],[Date]],Database!$A:$C,MATCH($C$1,Database!$A$1:$C$1,),)=0,#N/A,VLOOKUP(Table7[[#This Row],[Date]],Database!$A:$C,MATCH($C$1,Database!$A$1:$C$1,),))</f>
        <v/>
      </c>
      <c r="D15380">
        <f>IFERROR(Table7[[#This Row],[United States 10y]]-Table7[[#This Row],[United States 3y]],#N/A)</f>
        <v/>
      </c>
    </row>
    <row r="15381">
      <c r="A15381" s="6">
        <f>Database!$A17466</f>
        <v/>
      </c>
      <c r="B15381">
        <f>IF(VLOOKUP(Table7[[#This Row],[Date]],Database!$A:$C,MATCH($B$1,Database!$A$1:$C$1,),)=0,#N/A,VLOOKUP(Table7[[#This Row],[Date]],Database!$A:$C,MATCH($B$1,Database!$A$1:$C$1,),))</f>
        <v/>
      </c>
      <c r="C15381">
        <f>IF(VLOOKUP(Table7[[#This Row],[Date]],Database!$A:$C,MATCH($C$1,Database!$A$1:$C$1,),)=0,#N/A,VLOOKUP(Table7[[#This Row],[Date]],Database!$A:$C,MATCH($C$1,Database!$A$1:$C$1,),))</f>
        <v/>
      </c>
      <c r="D15381">
        <f>IFERROR(Table7[[#This Row],[United States 10y]]-Table7[[#This Row],[United States 3y]],#N/A)</f>
        <v/>
      </c>
    </row>
    <row r="15382">
      <c r="A15382" s="6">
        <f>Database!$A17467</f>
        <v/>
      </c>
      <c r="B15382">
        <f>IF(VLOOKUP(Table7[[#This Row],[Date]],Database!$A:$C,MATCH($B$1,Database!$A$1:$C$1,),)=0,#N/A,VLOOKUP(Table7[[#This Row],[Date]],Database!$A:$C,MATCH($B$1,Database!$A$1:$C$1,),))</f>
        <v/>
      </c>
      <c r="C15382">
        <f>IF(VLOOKUP(Table7[[#This Row],[Date]],Database!$A:$C,MATCH($C$1,Database!$A$1:$C$1,),)=0,#N/A,VLOOKUP(Table7[[#This Row],[Date]],Database!$A:$C,MATCH($C$1,Database!$A$1:$C$1,),))</f>
        <v/>
      </c>
      <c r="D15382">
        <f>IFERROR(Table7[[#This Row],[United States 10y]]-Table7[[#This Row],[United States 3y]],#N/A)</f>
        <v/>
      </c>
    </row>
    <row r="15383">
      <c r="A15383" s="6">
        <f>Database!$A17468</f>
        <v/>
      </c>
      <c r="B15383">
        <f>IF(VLOOKUP(Table7[[#This Row],[Date]],Database!$A:$C,MATCH($B$1,Database!$A$1:$C$1,),)=0,#N/A,VLOOKUP(Table7[[#This Row],[Date]],Database!$A:$C,MATCH($B$1,Database!$A$1:$C$1,),))</f>
        <v/>
      </c>
      <c r="C15383">
        <f>IF(VLOOKUP(Table7[[#This Row],[Date]],Database!$A:$C,MATCH($C$1,Database!$A$1:$C$1,),)=0,#N/A,VLOOKUP(Table7[[#This Row],[Date]],Database!$A:$C,MATCH($C$1,Database!$A$1:$C$1,),))</f>
        <v/>
      </c>
      <c r="D15383">
        <f>IFERROR(Table7[[#This Row],[United States 10y]]-Table7[[#This Row],[United States 3y]],#N/A)</f>
        <v/>
      </c>
    </row>
    <row r="15384">
      <c r="A15384" s="6">
        <f>Database!$A17469</f>
        <v/>
      </c>
      <c r="B15384">
        <f>IF(VLOOKUP(Table7[[#This Row],[Date]],Database!$A:$C,MATCH($B$1,Database!$A$1:$C$1,),)=0,#N/A,VLOOKUP(Table7[[#This Row],[Date]],Database!$A:$C,MATCH($B$1,Database!$A$1:$C$1,),))</f>
        <v/>
      </c>
      <c r="C15384">
        <f>IF(VLOOKUP(Table7[[#This Row],[Date]],Database!$A:$C,MATCH($C$1,Database!$A$1:$C$1,),)=0,#N/A,VLOOKUP(Table7[[#This Row],[Date]],Database!$A:$C,MATCH($C$1,Database!$A$1:$C$1,),))</f>
        <v/>
      </c>
      <c r="D15384">
        <f>IFERROR(Table7[[#This Row],[United States 10y]]-Table7[[#This Row],[United States 3y]],#N/A)</f>
        <v/>
      </c>
    </row>
    <row r="15385">
      <c r="A15385" s="6">
        <f>Database!$A17470</f>
        <v/>
      </c>
      <c r="B15385">
        <f>IF(VLOOKUP(Table7[[#This Row],[Date]],Database!$A:$C,MATCH($B$1,Database!$A$1:$C$1,),)=0,#N/A,VLOOKUP(Table7[[#This Row],[Date]],Database!$A:$C,MATCH($B$1,Database!$A$1:$C$1,),))</f>
        <v/>
      </c>
      <c r="C15385">
        <f>IF(VLOOKUP(Table7[[#This Row],[Date]],Database!$A:$C,MATCH($C$1,Database!$A$1:$C$1,),)=0,#N/A,VLOOKUP(Table7[[#This Row],[Date]],Database!$A:$C,MATCH($C$1,Database!$A$1:$C$1,),))</f>
        <v/>
      </c>
      <c r="D15385">
        <f>IFERROR(Table7[[#This Row],[United States 10y]]-Table7[[#This Row],[United States 3y]],#N/A)</f>
        <v/>
      </c>
    </row>
    <row r="15386">
      <c r="A15386" s="6">
        <f>Database!$A17471</f>
        <v/>
      </c>
      <c r="B15386">
        <f>IF(VLOOKUP(Table7[[#This Row],[Date]],Database!$A:$C,MATCH($B$1,Database!$A$1:$C$1,),)=0,#N/A,VLOOKUP(Table7[[#This Row],[Date]],Database!$A:$C,MATCH($B$1,Database!$A$1:$C$1,),))</f>
        <v/>
      </c>
      <c r="C15386">
        <f>IF(VLOOKUP(Table7[[#This Row],[Date]],Database!$A:$C,MATCH($C$1,Database!$A$1:$C$1,),)=0,#N/A,VLOOKUP(Table7[[#This Row],[Date]],Database!$A:$C,MATCH($C$1,Database!$A$1:$C$1,),))</f>
        <v/>
      </c>
      <c r="D15386">
        <f>IFERROR(Table7[[#This Row],[United States 10y]]-Table7[[#This Row],[United States 3y]],#N/A)</f>
        <v/>
      </c>
    </row>
    <row r="15387">
      <c r="A15387" s="6">
        <f>Database!$A17472</f>
        <v/>
      </c>
      <c r="B15387">
        <f>IF(VLOOKUP(Table7[[#This Row],[Date]],Database!$A:$C,MATCH($B$1,Database!$A$1:$C$1,),)=0,#N/A,VLOOKUP(Table7[[#This Row],[Date]],Database!$A:$C,MATCH($B$1,Database!$A$1:$C$1,),))</f>
        <v/>
      </c>
      <c r="C15387">
        <f>IF(VLOOKUP(Table7[[#This Row],[Date]],Database!$A:$C,MATCH($C$1,Database!$A$1:$C$1,),)=0,#N/A,VLOOKUP(Table7[[#This Row],[Date]],Database!$A:$C,MATCH($C$1,Database!$A$1:$C$1,),))</f>
        <v/>
      </c>
      <c r="D15387">
        <f>IFERROR(Table7[[#This Row],[United States 10y]]-Table7[[#This Row],[United States 3y]],#N/A)</f>
        <v/>
      </c>
    </row>
    <row r="15388">
      <c r="A15388" s="6">
        <f>Database!$A17473</f>
        <v/>
      </c>
      <c r="B15388">
        <f>IF(VLOOKUP(Table7[[#This Row],[Date]],Database!$A:$C,MATCH($B$1,Database!$A$1:$C$1,),)=0,#N/A,VLOOKUP(Table7[[#This Row],[Date]],Database!$A:$C,MATCH($B$1,Database!$A$1:$C$1,),))</f>
        <v/>
      </c>
      <c r="C15388">
        <f>IF(VLOOKUP(Table7[[#This Row],[Date]],Database!$A:$C,MATCH($C$1,Database!$A$1:$C$1,),)=0,#N/A,VLOOKUP(Table7[[#This Row],[Date]],Database!$A:$C,MATCH($C$1,Database!$A$1:$C$1,),))</f>
        <v/>
      </c>
      <c r="D15388">
        <f>IFERROR(Table7[[#This Row],[United States 10y]]-Table7[[#This Row],[United States 3y]],#N/A)</f>
        <v/>
      </c>
    </row>
    <row r="15389">
      <c r="A15389" s="6">
        <f>Database!$A17474</f>
        <v/>
      </c>
      <c r="B15389">
        <f>IF(VLOOKUP(Table7[[#This Row],[Date]],Database!$A:$C,MATCH($B$1,Database!$A$1:$C$1,),)=0,#N/A,VLOOKUP(Table7[[#This Row],[Date]],Database!$A:$C,MATCH($B$1,Database!$A$1:$C$1,),))</f>
        <v/>
      </c>
      <c r="C15389">
        <f>IF(VLOOKUP(Table7[[#This Row],[Date]],Database!$A:$C,MATCH($C$1,Database!$A$1:$C$1,),)=0,#N/A,VLOOKUP(Table7[[#This Row],[Date]],Database!$A:$C,MATCH($C$1,Database!$A$1:$C$1,),))</f>
        <v/>
      </c>
      <c r="D15389">
        <f>IFERROR(Table7[[#This Row],[United States 10y]]-Table7[[#This Row],[United States 3y]],#N/A)</f>
        <v/>
      </c>
    </row>
    <row r="15390">
      <c r="A15390" s="6">
        <f>Database!$A17475</f>
        <v/>
      </c>
      <c r="B15390">
        <f>IF(VLOOKUP(Table7[[#This Row],[Date]],Database!$A:$C,MATCH($B$1,Database!$A$1:$C$1,),)=0,#N/A,VLOOKUP(Table7[[#This Row],[Date]],Database!$A:$C,MATCH($B$1,Database!$A$1:$C$1,),))</f>
        <v/>
      </c>
      <c r="C15390">
        <f>IF(VLOOKUP(Table7[[#This Row],[Date]],Database!$A:$C,MATCH($C$1,Database!$A$1:$C$1,),)=0,#N/A,VLOOKUP(Table7[[#This Row],[Date]],Database!$A:$C,MATCH($C$1,Database!$A$1:$C$1,),))</f>
        <v/>
      </c>
      <c r="D15390">
        <f>IFERROR(Table7[[#This Row],[United States 10y]]-Table7[[#This Row],[United States 3y]],#N/A)</f>
        <v/>
      </c>
    </row>
    <row r="15391">
      <c r="A15391" s="6">
        <f>Database!$A17476</f>
        <v/>
      </c>
      <c r="B15391">
        <f>IF(VLOOKUP(Table7[[#This Row],[Date]],Database!$A:$C,MATCH($B$1,Database!$A$1:$C$1,),)=0,#N/A,VLOOKUP(Table7[[#This Row],[Date]],Database!$A:$C,MATCH($B$1,Database!$A$1:$C$1,),))</f>
        <v/>
      </c>
      <c r="C15391">
        <f>IF(VLOOKUP(Table7[[#This Row],[Date]],Database!$A:$C,MATCH($C$1,Database!$A$1:$C$1,),)=0,#N/A,VLOOKUP(Table7[[#This Row],[Date]],Database!$A:$C,MATCH($C$1,Database!$A$1:$C$1,),))</f>
        <v/>
      </c>
      <c r="D15391">
        <f>IFERROR(Table7[[#This Row],[United States 10y]]-Table7[[#This Row],[United States 3y]],#N/A)</f>
        <v/>
      </c>
    </row>
    <row r="15392">
      <c r="A15392" s="6">
        <f>Database!$A17477</f>
        <v/>
      </c>
      <c r="B15392">
        <f>IF(VLOOKUP(Table7[[#This Row],[Date]],Database!$A:$C,MATCH($B$1,Database!$A$1:$C$1,),)=0,#N/A,VLOOKUP(Table7[[#This Row],[Date]],Database!$A:$C,MATCH($B$1,Database!$A$1:$C$1,),))</f>
        <v/>
      </c>
      <c r="C15392">
        <f>IF(VLOOKUP(Table7[[#This Row],[Date]],Database!$A:$C,MATCH($C$1,Database!$A$1:$C$1,),)=0,#N/A,VLOOKUP(Table7[[#This Row],[Date]],Database!$A:$C,MATCH($C$1,Database!$A$1:$C$1,),))</f>
        <v/>
      </c>
      <c r="D15392">
        <f>IFERROR(Table7[[#This Row],[United States 10y]]-Table7[[#This Row],[United States 3y]],#N/A)</f>
        <v/>
      </c>
    </row>
    <row r="15393">
      <c r="A15393" s="6">
        <f>Database!$A17478</f>
        <v/>
      </c>
      <c r="B15393">
        <f>IF(VLOOKUP(Table7[[#This Row],[Date]],Database!$A:$C,MATCH($B$1,Database!$A$1:$C$1,),)=0,#N/A,VLOOKUP(Table7[[#This Row],[Date]],Database!$A:$C,MATCH($B$1,Database!$A$1:$C$1,),))</f>
        <v/>
      </c>
      <c r="C15393">
        <f>IF(VLOOKUP(Table7[[#This Row],[Date]],Database!$A:$C,MATCH($C$1,Database!$A$1:$C$1,),)=0,#N/A,VLOOKUP(Table7[[#This Row],[Date]],Database!$A:$C,MATCH($C$1,Database!$A$1:$C$1,),))</f>
        <v/>
      </c>
      <c r="D15393">
        <f>IFERROR(Table7[[#This Row],[United States 10y]]-Table7[[#This Row],[United States 3y]],#N/A)</f>
        <v/>
      </c>
    </row>
    <row r="15394">
      <c r="A15394" s="6">
        <f>Database!$A17479</f>
        <v/>
      </c>
      <c r="B15394">
        <f>IF(VLOOKUP(Table7[[#This Row],[Date]],Database!$A:$C,MATCH($B$1,Database!$A$1:$C$1,),)=0,#N/A,VLOOKUP(Table7[[#This Row],[Date]],Database!$A:$C,MATCH($B$1,Database!$A$1:$C$1,),))</f>
        <v/>
      </c>
      <c r="C15394">
        <f>IF(VLOOKUP(Table7[[#This Row],[Date]],Database!$A:$C,MATCH($C$1,Database!$A$1:$C$1,),)=0,#N/A,VLOOKUP(Table7[[#This Row],[Date]],Database!$A:$C,MATCH($C$1,Database!$A$1:$C$1,),))</f>
        <v/>
      </c>
      <c r="D15394">
        <f>IFERROR(Table7[[#This Row],[United States 10y]]-Table7[[#This Row],[United States 3y]],#N/A)</f>
        <v/>
      </c>
    </row>
    <row r="15395">
      <c r="A15395" s="6">
        <f>Database!$A17480</f>
        <v/>
      </c>
      <c r="B15395">
        <f>IF(VLOOKUP(Table7[[#This Row],[Date]],Database!$A:$C,MATCH($B$1,Database!$A$1:$C$1,),)=0,#N/A,VLOOKUP(Table7[[#This Row],[Date]],Database!$A:$C,MATCH($B$1,Database!$A$1:$C$1,),))</f>
        <v/>
      </c>
      <c r="C15395">
        <f>IF(VLOOKUP(Table7[[#This Row],[Date]],Database!$A:$C,MATCH($C$1,Database!$A$1:$C$1,),)=0,#N/A,VLOOKUP(Table7[[#This Row],[Date]],Database!$A:$C,MATCH($C$1,Database!$A$1:$C$1,),))</f>
        <v/>
      </c>
      <c r="D15395">
        <f>IFERROR(Table7[[#This Row],[United States 10y]]-Table7[[#This Row],[United States 3y]],#N/A)</f>
        <v/>
      </c>
    </row>
    <row r="15396">
      <c r="A15396" s="6">
        <f>Database!$A17481</f>
        <v/>
      </c>
      <c r="B15396">
        <f>IF(VLOOKUP(Table7[[#This Row],[Date]],Database!$A:$C,MATCH($B$1,Database!$A$1:$C$1,),)=0,#N/A,VLOOKUP(Table7[[#This Row],[Date]],Database!$A:$C,MATCH($B$1,Database!$A$1:$C$1,),))</f>
        <v/>
      </c>
      <c r="C15396">
        <f>IF(VLOOKUP(Table7[[#This Row],[Date]],Database!$A:$C,MATCH($C$1,Database!$A$1:$C$1,),)=0,#N/A,VLOOKUP(Table7[[#This Row],[Date]],Database!$A:$C,MATCH($C$1,Database!$A$1:$C$1,),))</f>
        <v/>
      </c>
      <c r="D15396">
        <f>IFERROR(Table7[[#This Row],[United States 10y]]-Table7[[#This Row],[United States 3y]],#N/A)</f>
        <v/>
      </c>
    </row>
    <row r="15397">
      <c r="A15397" s="6">
        <f>Database!$A17482</f>
        <v/>
      </c>
      <c r="B15397">
        <f>IF(VLOOKUP(Table7[[#This Row],[Date]],Database!$A:$C,MATCH($B$1,Database!$A$1:$C$1,),)=0,#N/A,VLOOKUP(Table7[[#This Row],[Date]],Database!$A:$C,MATCH($B$1,Database!$A$1:$C$1,),))</f>
        <v/>
      </c>
      <c r="C15397">
        <f>IF(VLOOKUP(Table7[[#This Row],[Date]],Database!$A:$C,MATCH($C$1,Database!$A$1:$C$1,),)=0,#N/A,VLOOKUP(Table7[[#This Row],[Date]],Database!$A:$C,MATCH($C$1,Database!$A$1:$C$1,),))</f>
        <v/>
      </c>
      <c r="D15397">
        <f>IFERROR(Table7[[#This Row],[United States 10y]]-Table7[[#This Row],[United States 3y]],#N/A)</f>
        <v/>
      </c>
    </row>
    <row r="15398">
      <c r="A15398" s="6">
        <f>Database!$A17483</f>
        <v/>
      </c>
      <c r="B15398">
        <f>IF(VLOOKUP(Table7[[#This Row],[Date]],Database!$A:$C,MATCH($B$1,Database!$A$1:$C$1,),)=0,#N/A,VLOOKUP(Table7[[#This Row],[Date]],Database!$A:$C,MATCH($B$1,Database!$A$1:$C$1,),))</f>
        <v/>
      </c>
      <c r="C15398">
        <f>IF(VLOOKUP(Table7[[#This Row],[Date]],Database!$A:$C,MATCH($C$1,Database!$A$1:$C$1,),)=0,#N/A,VLOOKUP(Table7[[#This Row],[Date]],Database!$A:$C,MATCH($C$1,Database!$A$1:$C$1,),))</f>
        <v/>
      </c>
      <c r="D15398">
        <f>IFERROR(Table7[[#This Row],[United States 10y]]-Table7[[#This Row],[United States 3y]],#N/A)</f>
        <v/>
      </c>
    </row>
    <row r="15399">
      <c r="A15399" s="6">
        <f>Database!$A17484</f>
        <v/>
      </c>
      <c r="B15399">
        <f>IF(VLOOKUP(Table7[[#This Row],[Date]],Database!$A:$C,MATCH($B$1,Database!$A$1:$C$1,),)=0,#N/A,VLOOKUP(Table7[[#This Row],[Date]],Database!$A:$C,MATCH($B$1,Database!$A$1:$C$1,),))</f>
        <v/>
      </c>
      <c r="C15399">
        <f>IF(VLOOKUP(Table7[[#This Row],[Date]],Database!$A:$C,MATCH($C$1,Database!$A$1:$C$1,),)=0,#N/A,VLOOKUP(Table7[[#This Row],[Date]],Database!$A:$C,MATCH($C$1,Database!$A$1:$C$1,),))</f>
        <v/>
      </c>
      <c r="D15399">
        <f>IFERROR(Table7[[#This Row],[United States 10y]]-Table7[[#This Row],[United States 3y]],#N/A)</f>
        <v/>
      </c>
    </row>
    <row r="15400">
      <c r="A15400" s="6">
        <f>Database!$A17485</f>
        <v/>
      </c>
      <c r="B15400">
        <f>IF(VLOOKUP(Table7[[#This Row],[Date]],Database!$A:$C,MATCH($B$1,Database!$A$1:$C$1,),)=0,#N/A,VLOOKUP(Table7[[#This Row],[Date]],Database!$A:$C,MATCH($B$1,Database!$A$1:$C$1,),))</f>
        <v/>
      </c>
      <c r="C15400">
        <f>IF(VLOOKUP(Table7[[#This Row],[Date]],Database!$A:$C,MATCH($C$1,Database!$A$1:$C$1,),)=0,#N/A,VLOOKUP(Table7[[#This Row],[Date]],Database!$A:$C,MATCH($C$1,Database!$A$1:$C$1,),))</f>
        <v/>
      </c>
      <c r="D15400">
        <f>IFERROR(Table7[[#This Row],[United States 10y]]-Table7[[#This Row],[United States 3y]],#N/A)</f>
        <v/>
      </c>
    </row>
    <row r="15401">
      <c r="A15401" s="6">
        <f>Database!$A17486</f>
        <v/>
      </c>
      <c r="B15401">
        <f>IF(VLOOKUP(Table7[[#This Row],[Date]],Database!$A:$C,MATCH($B$1,Database!$A$1:$C$1,),)=0,#N/A,VLOOKUP(Table7[[#This Row],[Date]],Database!$A:$C,MATCH($B$1,Database!$A$1:$C$1,),))</f>
        <v/>
      </c>
      <c r="C15401">
        <f>IF(VLOOKUP(Table7[[#This Row],[Date]],Database!$A:$C,MATCH($C$1,Database!$A$1:$C$1,),)=0,#N/A,VLOOKUP(Table7[[#This Row],[Date]],Database!$A:$C,MATCH($C$1,Database!$A$1:$C$1,),))</f>
        <v/>
      </c>
      <c r="D15401">
        <f>IFERROR(Table7[[#This Row],[United States 10y]]-Table7[[#This Row],[United States 3y]],#N/A)</f>
        <v/>
      </c>
    </row>
    <row r="15402">
      <c r="A15402" s="6">
        <f>Database!$A17487</f>
        <v/>
      </c>
      <c r="B15402">
        <f>IF(VLOOKUP(Table7[[#This Row],[Date]],Database!$A:$C,MATCH($B$1,Database!$A$1:$C$1,),)=0,#N/A,VLOOKUP(Table7[[#This Row],[Date]],Database!$A:$C,MATCH($B$1,Database!$A$1:$C$1,),))</f>
        <v/>
      </c>
      <c r="C15402">
        <f>IF(VLOOKUP(Table7[[#This Row],[Date]],Database!$A:$C,MATCH($C$1,Database!$A$1:$C$1,),)=0,#N/A,VLOOKUP(Table7[[#This Row],[Date]],Database!$A:$C,MATCH($C$1,Database!$A$1:$C$1,),))</f>
        <v/>
      </c>
      <c r="D15402">
        <f>IFERROR(Table7[[#This Row],[United States 10y]]-Table7[[#This Row],[United States 3y]],#N/A)</f>
        <v/>
      </c>
    </row>
    <row r="15403">
      <c r="A15403" s="6">
        <f>Database!$A17488</f>
        <v/>
      </c>
      <c r="B15403">
        <f>IF(VLOOKUP(Table7[[#This Row],[Date]],Database!$A:$C,MATCH($B$1,Database!$A$1:$C$1,),)=0,#N/A,VLOOKUP(Table7[[#This Row],[Date]],Database!$A:$C,MATCH($B$1,Database!$A$1:$C$1,),))</f>
        <v/>
      </c>
      <c r="C15403">
        <f>IF(VLOOKUP(Table7[[#This Row],[Date]],Database!$A:$C,MATCH($C$1,Database!$A$1:$C$1,),)=0,#N/A,VLOOKUP(Table7[[#This Row],[Date]],Database!$A:$C,MATCH($C$1,Database!$A$1:$C$1,),))</f>
        <v/>
      </c>
      <c r="D15403">
        <f>IFERROR(Table7[[#This Row],[United States 10y]]-Table7[[#This Row],[United States 3y]],#N/A)</f>
        <v/>
      </c>
    </row>
    <row r="15404">
      <c r="A15404" s="6">
        <f>Database!$A17489</f>
        <v/>
      </c>
      <c r="B15404">
        <f>IF(VLOOKUP(Table7[[#This Row],[Date]],Database!$A:$C,MATCH($B$1,Database!$A$1:$C$1,),)=0,#N/A,VLOOKUP(Table7[[#This Row],[Date]],Database!$A:$C,MATCH($B$1,Database!$A$1:$C$1,),))</f>
        <v/>
      </c>
      <c r="C15404">
        <f>IF(VLOOKUP(Table7[[#This Row],[Date]],Database!$A:$C,MATCH($C$1,Database!$A$1:$C$1,),)=0,#N/A,VLOOKUP(Table7[[#This Row],[Date]],Database!$A:$C,MATCH($C$1,Database!$A$1:$C$1,),))</f>
        <v/>
      </c>
      <c r="D15404">
        <f>IFERROR(Table7[[#This Row],[United States 10y]]-Table7[[#This Row],[United States 3y]],#N/A)</f>
        <v/>
      </c>
    </row>
    <row r="15405">
      <c r="A15405" s="6">
        <f>Database!$A17490</f>
        <v/>
      </c>
      <c r="B15405">
        <f>IF(VLOOKUP(Table7[[#This Row],[Date]],Database!$A:$C,MATCH($B$1,Database!$A$1:$C$1,),)=0,#N/A,VLOOKUP(Table7[[#This Row],[Date]],Database!$A:$C,MATCH($B$1,Database!$A$1:$C$1,),))</f>
        <v/>
      </c>
      <c r="C15405">
        <f>IF(VLOOKUP(Table7[[#This Row],[Date]],Database!$A:$C,MATCH($C$1,Database!$A$1:$C$1,),)=0,#N/A,VLOOKUP(Table7[[#This Row],[Date]],Database!$A:$C,MATCH($C$1,Database!$A$1:$C$1,),))</f>
        <v/>
      </c>
      <c r="D15405">
        <f>IFERROR(Table7[[#This Row],[United States 10y]]-Table7[[#This Row],[United States 3y]],#N/A)</f>
        <v/>
      </c>
    </row>
    <row r="15406">
      <c r="A15406" s="6">
        <f>Database!$A17491</f>
        <v/>
      </c>
      <c r="B15406">
        <f>IF(VLOOKUP(Table7[[#This Row],[Date]],Database!$A:$C,MATCH($B$1,Database!$A$1:$C$1,),)=0,#N/A,VLOOKUP(Table7[[#This Row],[Date]],Database!$A:$C,MATCH($B$1,Database!$A$1:$C$1,),))</f>
        <v/>
      </c>
      <c r="C15406">
        <f>IF(VLOOKUP(Table7[[#This Row],[Date]],Database!$A:$C,MATCH($C$1,Database!$A$1:$C$1,),)=0,#N/A,VLOOKUP(Table7[[#This Row],[Date]],Database!$A:$C,MATCH($C$1,Database!$A$1:$C$1,),))</f>
        <v/>
      </c>
      <c r="D15406">
        <f>IFERROR(Table7[[#This Row],[United States 10y]]-Table7[[#This Row],[United States 3y]],#N/A)</f>
        <v/>
      </c>
    </row>
    <row r="15407">
      <c r="A15407" s="6">
        <f>Database!$A17492</f>
        <v/>
      </c>
      <c r="B15407">
        <f>IF(VLOOKUP(Table7[[#This Row],[Date]],Database!$A:$C,MATCH($B$1,Database!$A$1:$C$1,),)=0,#N/A,VLOOKUP(Table7[[#This Row],[Date]],Database!$A:$C,MATCH($B$1,Database!$A$1:$C$1,),))</f>
        <v/>
      </c>
      <c r="C15407">
        <f>IF(VLOOKUP(Table7[[#This Row],[Date]],Database!$A:$C,MATCH($C$1,Database!$A$1:$C$1,),)=0,#N/A,VLOOKUP(Table7[[#This Row],[Date]],Database!$A:$C,MATCH($C$1,Database!$A$1:$C$1,),))</f>
        <v/>
      </c>
      <c r="D15407">
        <f>IFERROR(Table7[[#This Row],[United States 10y]]-Table7[[#This Row],[United States 3y]],#N/A)</f>
        <v/>
      </c>
    </row>
    <row r="15408">
      <c r="A15408" s="6">
        <f>Database!$A17493</f>
        <v/>
      </c>
      <c r="B15408">
        <f>IF(VLOOKUP(Table7[[#This Row],[Date]],Database!$A:$C,MATCH($B$1,Database!$A$1:$C$1,),)=0,#N/A,VLOOKUP(Table7[[#This Row],[Date]],Database!$A:$C,MATCH($B$1,Database!$A$1:$C$1,),))</f>
        <v/>
      </c>
      <c r="C15408">
        <f>IF(VLOOKUP(Table7[[#This Row],[Date]],Database!$A:$C,MATCH($C$1,Database!$A$1:$C$1,),)=0,#N/A,VLOOKUP(Table7[[#This Row],[Date]],Database!$A:$C,MATCH($C$1,Database!$A$1:$C$1,),))</f>
        <v/>
      </c>
      <c r="D15408">
        <f>IFERROR(Table7[[#This Row],[United States 10y]]-Table7[[#This Row],[United States 3y]],#N/A)</f>
        <v/>
      </c>
    </row>
    <row r="15409">
      <c r="A15409" s="6">
        <f>Database!$A17494</f>
        <v/>
      </c>
      <c r="B15409">
        <f>IF(VLOOKUP(Table7[[#This Row],[Date]],Database!$A:$C,MATCH($B$1,Database!$A$1:$C$1,),)=0,#N/A,VLOOKUP(Table7[[#This Row],[Date]],Database!$A:$C,MATCH($B$1,Database!$A$1:$C$1,),))</f>
        <v/>
      </c>
      <c r="C15409">
        <f>IF(VLOOKUP(Table7[[#This Row],[Date]],Database!$A:$C,MATCH($C$1,Database!$A$1:$C$1,),)=0,#N/A,VLOOKUP(Table7[[#This Row],[Date]],Database!$A:$C,MATCH($C$1,Database!$A$1:$C$1,),))</f>
        <v/>
      </c>
      <c r="D15409">
        <f>IFERROR(Table7[[#This Row],[United States 10y]]-Table7[[#This Row],[United States 3y]],#N/A)</f>
        <v/>
      </c>
    </row>
    <row r="15410">
      <c r="A15410" s="6">
        <f>Database!$A17495</f>
        <v/>
      </c>
      <c r="B15410">
        <f>IF(VLOOKUP(Table7[[#This Row],[Date]],Database!$A:$C,MATCH($B$1,Database!$A$1:$C$1,),)=0,#N/A,VLOOKUP(Table7[[#This Row],[Date]],Database!$A:$C,MATCH($B$1,Database!$A$1:$C$1,),))</f>
        <v/>
      </c>
      <c r="C15410">
        <f>IF(VLOOKUP(Table7[[#This Row],[Date]],Database!$A:$C,MATCH($C$1,Database!$A$1:$C$1,),)=0,#N/A,VLOOKUP(Table7[[#This Row],[Date]],Database!$A:$C,MATCH($C$1,Database!$A$1:$C$1,),))</f>
        <v/>
      </c>
      <c r="D15410">
        <f>IFERROR(Table7[[#This Row],[United States 10y]]-Table7[[#This Row],[United States 3y]],#N/A)</f>
        <v/>
      </c>
    </row>
    <row r="15411">
      <c r="A15411" s="6">
        <f>Database!$A17496</f>
        <v/>
      </c>
      <c r="B15411">
        <f>IF(VLOOKUP(Table7[[#This Row],[Date]],Database!$A:$C,MATCH($B$1,Database!$A$1:$C$1,),)=0,#N/A,VLOOKUP(Table7[[#This Row],[Date]],Database!$A:$C,MATCH($B$1,Database!$A$1:$C$1,),))</f>
        <v/>
      </c>
      <c r="C15411">
        <f>IF(VLOOKUP(Table7[[#This Row],[Date]],Database!$A:$C,MATCH($C$1,Database!$A$1:$C$1,),)=0,#N/A,VLOOKUP(Table7[[#This Row],[Date]],Database!$A:$C,MATCH($C$1,Database!$A$1:$C$1,),))</f>
        <v/>
      </c>
      <c r="D15411">
        <f>IFERROR(Table7[[#This Row],[United States 10y]]-Table7[[#This Row],[United States 3y]],#N/A)</f>
        <v/>
      </c>
    </row>
    <row r="15412">
      <c r="A15412" s="6">
        <f>Database!$A17497</f>
        <v/>
      </c>
      <c r="B15412">
        <f>IF(VLOOKUP(Table7[[#This Row],[Date]],Database!$A:$C,MATCH($B$1,Database!$A$1:$C$1,),)=0,#N/A,VLOOKUP(Table7[[#This Row],[Date]],Database!$A:$C,MATCH($B$1,Database!$A$1:$C$1,),))</f>
        <v/>
      </c>
      <c r="C15412">
        <f>IF(VLOOKUP(Table7[[#This Row],[Date]],Database!$A:$C,MATCH($C$1,Database!$A$1:$C$1,),)=0,#N/A,VLOOKUP(Table7[[#This Row],[Date]],Database!$A:$C,MATCH($C$1,Database!$A$1:$C$1,),))</f>
        <v/>
      </c>
      <c r="D15412">
        <f>IFERROR(Table7[[#This Row],[United States 10y]]-Table7[[#This Row],[United States 3y]],#N/A)</f>
        <v/>
      </c>
    </row>
    <row r="15413">
      <c r="A15413" s="6">
        <f>Database!$A17498</f>
        <v/>
      </c>
      <c r="B15413">
        <f>IF(VLOOKUP(Table7[[#This Row],[Date]],Database!$A:$C,MATCH($B$1,Database!$A$1:$C$1,),)=0,#N/A,VLOOKUP(Table7[[#This Row],[Date]],Database!$A:$C,MATCH($B$1,Database!$A$1:$C$1,),))</f>
        <v/>
      </c>
      <c r="C15413">
        <f>IF(VLOOKUP(Table7[[#This Row],[Date]],Database!$A:$C,MATCH($C$1,Database!$A$1:$C$1,),)=0,#N/A,VLOOKUP(Table7[[#This Row],[Date]],Database!$A:$C,MATCH($C$1,Database!$A$1:$C$1,),))</f>
        <v/>
      </c>
      <c r="D15413">
        <f>IFERROR(Table7[[#This Row],[United States 10y]]-Table7[[#This Row],[United States 3y]],#N/A)</f>
        <v/>
      </c>
    </row>
    <row r="15414">
      <c r="A15414" s="6">
        <f>Database!$A17499</f>
        <v/>
      </c>
      <c r="B15414">
        <f>IF(VLOOKUP(Table7[[#This Row],[Date]],Database!$A:$C,MATCH($B$1,Database!$A$1:$C$1,),)=0,#N/A,VLOOKUP(Table7[[#This Row],[Date]],Database!$A:$C,MATCH($B$1,Database!$A$1:$C$1,),))</f>
        <v/>
      </c>
      <c r="C15414">
        <f>IF(VLOOKUP(Table7[[#This Row],[Date]],Database!$A:$C,MATCH($C$1,Database!$A$1:$C$1,),)=0,#N/A,VLOOKUP(Table7[[#This Row],[Date]],Database!$A:$C,MATCH($C$1,Database!$A$1:$C$1,),))</f>
        <v/>
      </c>
      <c r="D15414">
        <f>IFERROR(Table7[[#This Row],[United States 10y]]-Table7[[#This Row],[United States 3y]],#N/A)</f>
        <v/>
      </c>
    </row>
    <row r="15415">
      <c r="A15415" s="6">
        <f>Database!$A17500</f>
        <v/>
      </c>
      <c r="B15415">
        <f>IF(VLOOKUP(Table7[[#This Row],[Date]],Database!$A:$C,MATCH($B$1,Database!$A$1:$C$1,),)=0,#N/A,VLOOKUP(Table7[[#This Row],[Date]],Database!$A:$C,MATCH($B$1,Database!$A$1:$C$1,),))</f>
        <v/>
      </c>
      <c r="C15415">
        <f>IF(VLOOKUP(Table7[[#This Row],[Date]],Database!$A:$C,MATCH($C$1,Database!$A$1:$C$1,),)=0,#N/A,VLOOKUP(Table7[[#This Row],[Date]],Database!$A:$C,MATCH($C$1,Database!$A$1:$C$1,),))</f>
        <v/>
      </c>
      <c r="D15415">
        <f>IFERROR(Table7[[#This Row],[United States 10y]]-Table7[[#This Row],[United States 3y]],#N/A)</f>
        <v/>
      </c>
    </row>
    <row r="15416">
      <c r="A15416" s="6">
        <f>Database!$A17501</f>
        <v/>
      </c>
      <c r="B15416">
        <f>IF(VLOOKUP(Table7[[#This Row],[Date]],Database!$A:$C,MATCH($B$1,Database!$A$1:$C$1,),)=0,#N/A,VLOOKUP(Table7[[#This Row],[Date]],Database!$A:$C,MATCH($B$1,Database!$A$1:$C$1,),))</f>
        <v/>
      </c>
      <c r="C15416">
        <f>IF(VLOOKUP(Table7[[#This Row],[Date]],Database!$A:$C,MATCH($C$1,Database!$A$1:$C$1,),)=0,#N/A,VLOOKUP(Table7[[#This Row],[Date]],Database!$A:$C,MATCH($C$1,Database!$A$1:$C$1,),))</f>
        <v/>
      </c>
      <c r="D15416">
        <f>IFERROR(Table7[[#This Row],[United States 10y]]-Table7[[#This Row],[United States 3y]],#N/A)</f>
        <v/>
      </c>
    </row>
    <row r="15417">
      <c r="A15417" s="6">
        <f>Database!$A17502</f>
        <v/>
      </c>
      <c r="B15417">
        <f>IF(VLOOKUP(Table7[[#This Row],[Date]],Database!$A:$C,MATCH($B$1,Database!$A$1:$C$1,),)=0,#N/A,VLOOKUP(Table7[[#This Row],[Date]],Database!$A:$C,MATCH($B$1,Database!$A$1:$C$1,),))</f>
        <v/>
      </c>
      <c r="C15417">
        <f>IF(VLOOKUP(Table7[[#This Row],[Date]],Database!$A:$C,MATCH($C$1,Database!$A$1:$C$1,),)=0,#N/A,VLOOKUP(Table7[[#This Row],[Date]],Database!$A:$C,MATCH($C$1,Database!$A$1:$C$1,),))</f>
        <v/>
      </c>
      <c r="D15417">
        <f>IFERROR(Table7[[#This Row],[United States 10y]]-Table7[[#This Row],[United States 3y]],#N/A)</f>
        <v/>
      </c>
    </row>
    <row r="15418">
      <c r="A15418" s="6">
        <f>Database!$A17503</f>
        <v/>
      </c>
      <c r="B15418">
        <f>IF(VLOOKUP(Table7[[#This Row],[Date]],Database!$A:$C,MATCH($B$1,Database!$A$1:$C$1,),)=0,#N/A,VLOOKUP(Table7[[#This Row],[Date]],Database!$A:$C,MATCH($B$1,Database!$A$1:$C$1,),))</f>
        <v/>
      </c>
      <c r="C15418">
        <f>IF(VLOOKUP(Table7[[#This Row],[Date]],Database!$A:$C,MATCH($C$1,Database!$A$1:$C$1,),)=0,#N/A,VLOOKUP(Table7[[#This Row],[Date]],Database!$A:$C,MATCH($C$1,Database!$A$1:$C$1,),))</f>
        <v/>
      </c>
      <c r="D15418">
        <f>IFERROR(Table7[[#This Row],[United States 10y]]-Table7[[#This Row],[United States 3y]],#N/A)</f>
        <v/>
      </c>
    </row>
    <row r="15419">
      <c r="A15419" s="6">
        <f>Database!$A17504</f>
        <v/>
      </c>
      <c r="B15419">
        <f>IF(VLOOKUP(Table7[[#This Row],[Date]],Database!$A:$C,MATCH($B$1,Database!$A$1:$C$1,),)=0,#N/A,VLOOKUP(Table7[[#This Row],[Date]],Database!$A:$C,MATCH($B$1,Database!$A$1:$C$1,),))</f>
        <v/>
      </c>
      <c r="C15419">
        <f>IF(VLOOKUP(Table7[[#This Row],[Date]],Database!$A:$C,MATCH($C$1,Database!$A$1:$C$1,),)=0,#N/A,VLOOKUP(Table7[[#This Row],[Date]],Database!$A:$C,MATCH($C$1,Database!$A$1:$C$1,),))</f>
        <v/>
      </c>
      <c r="D15419">
        <f>IFERROR(Table7[[#This Row],[United States 10y]]-Table7[[#This Row],[United States 3y]],#N/A)</f>
        <v/>
      </c>
    </row>
    <row r="15420">
      <c r="A15420" s="6">
        <f>Database!$A17505</f>
        <v/>
      </c>
      <c r="B15420">
        <f>IF(VLOOKUP(Table7[[#This Row],[Date]],Database!$A:$C,MATCH($B$1,Database!$A$1:$C$1,),)=0,#N/A,VLOOKUP(Table7[[#This Row],[Date]],Database!$A:$C,MATCH($B$1,Database!$A$1:$C$1,),))</f>
        <v/>
      </c>
      <c r="C15420">
        <f>IF(VLOOKUP(Table7[[#This Row],[Date]],Database!$A:$C,MATCH($C$1,Database!$A$1:$C$1,),)=0,#N/A,VLOOKUP(Table7[[#This Row],[Date]],Database!$A:$C,MATCH($C$1,Database!$A$1:$C$1,),))</f>
        <v/>
      </c>
      <c r="D15420">
        <f>IFERROR(Table7[[#This Row],[United States 10y]]-Table7[[#This Row],[United States 3y]],#N/A)</f>
        <v/>
      </c>
    </row>
    <row r="15421">
      <c r="A15421" s="6">
        <f>Database!$A17506</f>
        <v/>
      </c>
      <c r="B15421">
        <f>IF(VLOOKUP(Table7[[#This Row],[Date]],Database!$A:$C,MATCH($B$1,Database!$A$1:$C$1,),)=0,#N/A,VLOOKUP(Table7[[#This Row],[Date]],Database!$A:$C,MATCH($B$1,Database!$A$1:$C$1,),))</f>
        <v/>
      </c>
      <c r="C15421">
        <f>IF(VLOOKUP(Table7[[#This Row],[Date]],Database!$A:$C,MATCH($C$1,Database!$A$1:$C$1,),)=0,#N/A,VLOOKUP(Table7[[#This Row],[Date]],Database!$A:$C,MATCH($C$1,Database!$A$1:$C$1,),))</f>
        <v/>
      </c>
      <c r="D15421">
        <f>IFERROR(Table7[[#This Row],[United States 10y]]-Table7[[#This Row],[United States 3y]],#N/A)</f>
        <v/>
      </c>
    </row>
    <row r="15422">
      <c r="A15422" s="6">
        <f>Database!$A17507</f>
        <v/>
      </c>
      <c r="B15422">
        <f>IF(VLOOKUP(Table7[[#This Row],[Date]],Database!$A:$C,MATCH($B$1,Database!$A$1:$C$1,),)=0,#N/A,VLOOKUP(Table7[[#This Row],[Date]],Database!$A:$C,MATCH($B$1,Database!$A$1:$C$1,),))</f>
        <v/>
      </c>
      <c r="C15422">
        <f>IF(VLOOKUP(Table7[[#This Row],[Date]],Database!$A:$C,MATCH($C$1,Database!$A$1:$C$1,),)=0,#N/A,VLOOKUP(Table7[[#This Row],[Date]],Database!$A:$C,MATCH($C$1,Database!$A$1:$C$1,),))</f>
        <v/>
      </c>
      <c r="D15422">
        <f>IFERROR(Table7[[#This Row],[United States 10y]]-Table7[[#This Row],[United States 3y]],#N/A)</f>
        <v/>
      </c>
    </row>
    <row r="15423">
      <c r="A15423" s="6">
        <f>Database!$A17508</f>
        <v/>
      </c>
      <c r="B15423">
        <f>IF(VLOOKUP(Table7[[#This Row],[Date]],Database!$A:$C,MATCH($B$1,Database!$A$1:$C$1,),)=0,#N/A,VLOOKUP(Table7[[#This Row],[Date]],Database!$A:$C,MATCH($B$1,Database!$A$1:$C$1,),))</f>
        <v/>
      </c>
      <c r="C15423">
        <f>IF(VLOOKUP(Table7[[#This Row],[Date]],Database!$A:$C,MATCH($C$1,Database!$A$1:$C$1,),)=0,#N/A,VLOOKUP(Table7[[#This Row],[Date]],Database!$A:$C,MATCH($C$1,Database!$A$1:$C$1,),))</f>
        <v/>
      </c>
      <c r="D15423">
        <f>IFERROR(Table7[[#This Row],[United States 10y]]-Table7[[#This Row],[United States 3y]],#N/A)</f>
        <v/>
      </c>
    </row>
    <row r="15424">
      <c r="A15424" s="6">
        <f>Database!$A17509</f>
        <v/>
      </c>
      <c r="B15424">
        <f>IF(VLOOKUP(Table7[[#This Row],[Date]],Database!$A:$C,MATCH($B$1,Database!$A$1:$C$1,),)=0,#N/A,VLOOKUP(Table7[[#This Row],[Date]],Database!$A:$C,MATCH($B$1,Database!$A$1:$C$1,),))</f>
        <v/>
      </c>
      <c r="C15424">
        <f>IF(VLOOKUP(Table7[[#This Row],[Date]],Database!$A:$C,MATCH($C$1,Database!$A$1:$C$1,),)=0,#N/A,VLOOKUP(Table7[[#This Row],[Date]],Database!$A:$C,MATCH($C$1,Database!$A$1:$C$1,),))</f>
        <v/>
      </c>
      <c r="D15424">
        <f>IFERROR(Table7[[#This Row],[United States 10y]]-Table7[[#This Row],[United States 3y]],#N/A)</f>
        <v/>
      </c>
    </row>
    <row r="15425">
      <c r="A15425" s="6">
        <f>Database!$A17510</f>
        <v/>
      </c>
      <c r="B15425">
        <f>IF(VLOOKUP(Table7[[#This Row],[Date]],Database!$A:$C,MATCH($B$1,Database!$A$1:$C$1,),)=0,#N/A,VLOOKUP(Table7[[#This Row],[Date]],Database!$A:$C,MATCH($B$1,Database!$A$1:$C$1,),))</f>
        <v/>
      </c>
      <c r="C15425">
        <f>IF(VLOOKUP(Table7[[#This Row],[Date]],Database!$A:$C,MATCH($C$1,Database!$A$1:$C$1,),)=0,#N/A,VLOOKUP(Table7[[#This Row],[Date]],Database!$A:$C,MATCH($C$1,Database!$A$1:$C$1,),))</f>
        <v/>
      </c>
      <c r="D15425">
        <f>IFERROR(Table7[[#This Row],[United States 10y]]-Table7[[#This Row],[United States 3y]],#N/A)</f>
        <v/>
      </c>
    </row>
    <row r="15426">
      <c r="A15426" s="6">
        <f>Database!$A17511</f>
        <v/>
      </c>
      <c r="B15426">
        <f>IF(VLOOKUP(Table7[[#This Row],[Date]],Database!$A:$C,MATCH($B$1,Database!$A$1:$C$1,),)=0,#N/A,VLOOKUP(Table7[[#This Row],[Date]],Database!$A:$C,MATCH($B$1,Database!$A$1:$C$1,),))</f>
        <v/>
      </c>
      <c r="C15426">
        <f>IF(VLOOKUP(Table7[[#This Row],[Date]],Database!$A:$C,MATCH($C$1,Database!$A$1:$C$1,),)=0,#N/A,VLOOKUP(Table7[[#This Row],[Date]],Database!$A:$C,MATCH($C$1,Database!$A$1:$C$1,),))</f>
        <v/>
      </c>
      <c r="D15426">
        <f>IFERROR(Table7[[#This Row],[United States 10y]]-Table7[[#This Row],[United States 3y]],#N/A)</f>
        <v/>
      </c>
    </row>
    <row r="15427">
      <c r="A15427" s="6">
        <f>Database!$A17512</f>
        <v/>
      </c>
      <c r="B15427">
        <f>IF(VLOOKUP(Table7[[#This Row],[Date]],Database!$A:$C,MATCH($B$1,Database!$A$1:$C$1,),)=0,#N/A,VLOOKUP(Table7[[#This Row],[Date]],Database!$A:$C,MATCH($B$1,Database!$A$1:$C$1,),))</f>
        <v/>
      </c>
      <c r="C15427">
        <f>IF(VLOOKUP(Table7[[#This Row],[Date]],Database!$A:$C,MATCH($C$1,Database!$A$1:$C$1,),)=0,#N/A,VLOOKUP(Table7[[#This Row],[Date]],Database!$A:$C,MATCH($C$1,Database!$A$1:$C$1,),))</f>
        <v/>
      </c>
      <c r="D15427">
        <f>IFERROR(Table7[[#This Row],[United States 10y]]-Table7[[#This Row],[United States 3y]],#N/A)</f>
        <v/>
      </c>
    </row>
    <row r="15428">
      <c r="A15428" s="6">
        <f>Database!$A17513</f>
        <v/>
      </c>
      <c r="B15428">
        <f>IF(VLOOKUP(Table7[[#This Row],[Date]],Database!$A:$C,MATCH($B$1,Database!$A$1:$C$1,),)=0,#N/A,VLOOKUP(Table7[[#This Row],[Date]],Database!$A:$C,MATCH($B$1,Database!$A$1:$C$1,),))</f>
        <v/>
      </c>
      <c r="C15428">
        <f>IF(VLOOKUP(Table7[[#This Row],[Date]],Database!$A:$C,MATCH($C$1,Database!$A$1:$C$1,),)=0,#N/A,VLOOKUP(Table7[[#This Row],[Date]],Database!$A:$C,MATCH($C$1,Database!$A$1:$C$1,),))</f>
        <v/>
      </c>
      <c r="D15428">
        <f>IFERROR(Table7[[#This Row],[United States 10y]]-Table7[[#This Row],[United States 3y]],#N/A)</f>
        <v/>
      </c>
    </row>
    <row r="15429">
      <c r="A15429" s="6">
        <f>Database!$A17514</f>
        <v/>
      </c>
      <c r="B15429">
        <f>IF(VLOOKUP(Table7[[#This Row],[Date]],Database!$A:$C,MATCH($B$1,Database!$A$1:$C$1,),)=0,#N/A,VLOOKUP(Table7[[#This Row],[Date]],Database!$A:$C,MATCH($B$1,Database!$A$1:$C$1,),))</f>
        <v/>
      </c>
      <c r="C15429">
        <f>IF(VLOOKUP(Table7[[#This Row],[Date]],Database!$A:$C,MATCH($C$1,Database!$A$1:$C$1,),)=0,#N/A,VLOOKUP(Table7[[#This Row],[Date]],Database!$A:$C,MATCH($C$1,Database!$A$1:$C$1,),))</f>
        <v/>
      </c>
      <c r="D15429">
        <f>IFERROR(Table7[[#This Row],[United States 10y]]-Table7[[#This Row],[United States 3y]],#N/A)</f>
        <v/>
      </c>
    </row>
    <row r="15430">
      <c r="A15430" s="6">
        <f>Database!$A17515</f>
        <v/>
      </c>
      <c r="B15430">
        <f>IF(VLOOKUP(Table7[[#This Row],[Date]],Database!$A:$C,MATCH($B$1,Database!$A$1:$C$1,),)=0,#N/A,VLOOKUP(Table7[[#This Row],[Date]],Database!$A:$C,MATCH($B$1,Database!$A$1:$C$1,),))</f>
        <v/>
      </c>
      <c r="C15430">
        <f>IF(VLOOKUP(Table7[[#This Row],[Date]],Database!$A:$C,MATCH($C$1,Database!$A$1:$C$1,),)=0,#N/A,VLOOKUP(Table7[[#This Row],[Date]],Database!$A:$C,MATCH($C$1,Database!$A$1:$C$1,),))</f>
        <v/>
      </c>
      <c r="D15430">
        <f>IFERROR(Table7[[#This Row],[United States 10y]]-Table7[[#This Row],[United States 3y]],#N/A)</f>
        <v/>
      </c>
    </row>
    <row r="15431">
      <c r="A15431" s="6">
        <f>Database!$A17516</f>
        <v/>
      </c>
      <c r="B15431">
        <f>IF(VLOOKUP(Table7[[#This Row],[Date]],Database!$A:$C,MATCH($B$1,Database!$A$1:$C$1,),)=0,#N/A,VLOOKUP(Table7[[#This Row],[Date]],Database!$A:$C,MATCH($B$1,Database!$A$1:$C$1,),))</f>
        <v/>
      </c>
      <c r="C15431">
        <f>IF(VLOOKUP(Table7[[#This Row],[Date]],Database!$A:$C,MATCH($C$1,Database!$A$1:$C$1,),)=0,#N/A,VLOOKUP(Table7[[#This Row],[Date]],Database!$A:$C,MATCH($C$1,Database!$A$1:$C$1,),))</f>
        <v/>
      </c>
      <c r="D15431">
        <f>IFERROR(Table7[[#This Row],[United States 10y]]-Table7[[#This Row],[United States 3y]],#N/A)</f>
        <v/>
      </c>
    </row>
    <row r="15432">
      <c r="A15432" s="6">
        <f>Database!$A17517</f>
        <v/>
      </c>
      <c r="B15432">
        <f>IF(VLOOKUP(Table7[[#This Row],[Date]],Database!$A:$C,MATCH($B$1,Database!$A$1:$C$1,),)=0,#N/A,VLOOKUP(Table7[[#This Row],[Date]],Database!$A:$C,MATCH($B$1,Database!$A$1:$C$1,),))</f>
        <v/>
      </c>
      <c r="C15432">
        <f>IF(VLOOKUP(Table7[[#This Row],[Date]],Database!$A:$C,MATCH($C$1,Database!$A$1:$C$1,),)=0,#N/A,VLOOKUP(Table7[[#This Row],[Date]],Database!$A:$C,MATCH($C$1,Database!$A$1:$C$1,),))</f>
        <v/>
      </c>
      <c r="D15432">
        <f>IFERROR(Table7[[#This Row],[United States 10y]]-Table7[[#This Row],[United States 3y]],#N/A)</f>
        <v/>
      </c>
    </row>
    <row r="15433">
      <c r="A15433" s="6">
        <f>Database!$A17518</f>
        <v/>
      </c>
      <c r="B15433">
        <f>IF(VLOOKUP(Table7[[#This Row],[Date]],Database!$A:$C,MATCH($B$1,Database!$A$1:$C$1,),)=0,#N/A,VLOOKUP(Table7[[#This Row],[Date]],Database!$A:$C,MATCH($B$1,Database!$A$1:$C$1,),))</f>
        <v/>
      </c>
      <c r="C15433">
        <f>IF(VLOOKUP(Table7[[#This Row],[Date]],Database!$A:$C,MATCH($C$1,Database!$A$1:$C$1,),)=0,#N/A,VLOOKUP(Table7[[#This Row],[Date]],Database!$A:$C,MATCH($C$1,Database!$A$1:$C$1,),))</f>
        <v/>
      </c>
      <c r="D15433">
        <f>IFERROR(Table7[[#This Row],[United States 10y]]-Table7[[#This Row],[United States 3y]],#N/A)</f>
        <v/>
      </c>
    </row>
    <row r="15434">
      <c r="A15434" s="6">
        <f>Database!$A17519</f>
        <v/>
      </c>
      <c r="B15434">
        <f>IF(VLOOKUP(Table7[[#This Row],[Date]],Database!$A:$C,MATCH($B$1,Database!$A$1:$C$1,),)=0,#N/A,VLOOKUP(Table7[[#This Row],[Date]],Database!$A:$C,MATCH($B$1,Database!$A$1:$C$1,),))</f>
        <v/>
      </c>
      <c r="C15434">
        <f>IF(VLOOKUP(Table7[[#This Row],[Date]],Database!$A:$C,MATCH($C$1,Database!$A$1:$C$1,),)=0,#N/A,VLOOKUP(Table7[[#This Row],[Date]],Database!$A:$C,MATCH($C$1,Database!$A$1:$C$1,),))</f>
        <v/>
      </c>
      <c r="D15434">
        <f>IFERROR(Table7[[#This Row],[United States 10y]]-Table7[[#This Row],[United States 3y]],#N/A)</f>
        <v/>
      </c>
    </row>
    <row r="15435">
      <c r="A15435" s="6">
        <f>Database!$A17520</f>
        <v/>
      </c>
      <c r="B15435">
        <f>IF(VLOOKUP(Table7[[#This Row],[Date]],Database!$A:$C,MATCH($B$1,Database!$A$1:$C$1,),)=0,#N/A,VLOOKUP(Table7[[#This Row],[Date]],Database!$A:$C,MATCH($B$1,Database!$A$1:$C$1,),))</f>
        <v/>
      </c>
      <c r="C15435">
        <f>IF(VLOOKUP(Table7[[#This Row],[Date]],Database!$A:$C,MATCH($C$1,Database!$A$1:$C$1,),)=0,#N/A,VLOOKUP(Table7[[#This Row],[Date]],Database!$A:$C,MATCH($C$1,Database!$A$1:$C$1,),))</f>
        <v/>
      </c>
      <c r="D15435">
        <f>IFERROR(Table7[[#This Row],[United States 10y]]-Table7[[#This Row],[United States 3y]],#N/A)</f>
        <v/>
      </c>
    </row>
    <row r="15436">
      <c r="A15436" s="6">
        <f>Database!$A17521</f>
        <v/>
      </c>
      <c r="B15436">
        <f>IF(VLOOKUP(Table7[[#This Row],[Date]],Database!$A:$C,MATCH($B$1,Database!$A$1:$C$1,),)=0,#N/A,VLOOKUP(Table7[[#This Row],[Date]],Database!$A:$C,MATCH($B$1,Database!$A$1:$C$1,),))</f>
        <v/>
      </c>
      <c r="C15436">
        <f>IF(VLOOKUP(Table7[[#This Row],[Date]],Database!$A:$C,MATCH($C$1,Database!$A$1:$C$1,),)=0,#N/A,VLOOKUP(Table7[[#This Row],[Date]],Database!$A:$C,MATCH($C$1,Database!$A$1:$C$1,),))</f>
        <v/>
      </c>
      <c r="D15436">
        <f>IFERROR(Table7[[#This Row],[United States 10y]]-Table7[[#This Row],[United States 3y]],#N/A)</f>
        <v/>
      </c>
    </row>
    <row r="15437">
      <c r="A15437" s="6">
        <f>Database!$A17522</f>
        <v/>
      </c>
      <c r="B15437">
        <f>IF(VLOOKUP(Table7[[#This Row],[Date]],Database!$A:$C,MATCH($B$1,Database!$A$1:$C$1,),)=0,#N/A,VLOOKUP(Table7[[#This Row],[Date]],Database!$A:$C,MATCH($B$1,Database!$A$1:$C$1,),))</f>
        <v/>
      </c>
      <c r="C15437">
        <f>IF(VLOOKUP(Table7[[#This Row],[Date]],Database!$A:$C,MATCH($C$1,Database!$A$1:$C$1,),)=0,#N/A,VLOOKUP(Table7[[#This Row],[Date]],Database!$A:$C,MATCH($C$1,Database!$A$1:$C$1,),))</f>
        <v/>
      </c>
      <c r="D15437">
        <f>IFERROR(Table7[[#This Row],[United States 10y]]-Table7[[#This Row],[United States 3y]],#N/A)</f>
        <v/>
      </c>
    </row>
    <row r="15438">
      <c r="A15438" s="6">
        <f>Database!$A17523</f>
        <v/>
      </c>
      <c r="B15438">
        <f>IF(VLOOKUP(Table7[[#This Row],[Date]],Database!$A:$C,MATCH($B$1,Database!$A$1:$C$1,),)=0,#N/A,VLOOKUP(Table7[[#This Row],[Date]],Database!$A:$C,MATCH($B$1,Database!$A$1:$C$1,),))</f>
        <v/>
      </c>
      <c r="C15438">
        <f>IF(VLOOKUP(Table7[[#This Row],[Date]],Database!$A:$C,MATCH($C$1,Database!$A$1:$C$1,),)=0,#N/A,VLOOKUP(Table7[[#This Row],[Date]],Database!$A:$C,MATCH($C$1,Database!$A$1:$C$1,),))</f>
        <v/>
      </c>
      <c r="D15438">
        <f>IFERROR(Table7[[#This Row],[United States 10y]]-Table7[[#This Row],[United States 3y]],#N/A)</f>
        <v/>
      </c>
    </row>
    <row r="15439">
      <c r="A15439" s="6">
        <f>Database!$A17524</f>
        <v/>
      </c>
      <c r="B15439">
        <f>IF(VLOOKUP(Table7[[#This Row],[Date]],Database!$A:$C,MATCH($B$1,Database!$A$1:$C$1,),)=0,#N/A,VLOOKUP(Table7[[#This Row],[Date]],Database!$A:$C,MATCH($B$1,Database!$A$1:$C$1,),))</f>
        <v/>
      </c>
      <c r="C15439">
        <f>IF(VLOOKUP(Table7[[#This Row],[Date]],Database!$A:$C,MATCH($C$1,Database!$A$1:$C$1,),)=0,#N/A,VLOOKUP(Table7[[#This Row],[Date]],Database!$A:$C,MATCH($C$1,Database!$A$1:$C$1,),))</f>
        <v/>
      </c>
      <c r="D15439">
        <f>IFERROR(Table7[[#This Row],[United States 10y]]-Table7[[#This Row],[United States 3y]],#N/A)</f>
        <v/>
      </c>
    </row>
    <row r="15440">
      <c r="A15440" s="6">
        <f>Database!$A17525</f>
        <v/>
      </c>
      <c r="B15440">
        <f>IF(VLOOKUP(Table7[[#This Row],[Date]],Database!$A:$C,MATCH($B$1,Database!$A$1:$C$1,),)=0,#N/A,VLOOKUP(Table7[[#This Row],[Date]],Database!$A:$C,MATCH($B$1,Database!$A$1:$C$1,),))</f>
        <v/>
      </c>
      <c r="C15440">
        <f>IF(VLOOKUP(Table7[[#This Row],[Date]],Database!$A:$C,MATCH($C$1,Database!$A$1:$C$1,),)=0,#N/A,VLOOKUP(Table7[[#This Row],[Date]],Database!$A:$C,MATCH($C$1,Database!$A$1:$C$1,),))</f>
        <v/>
      </c>
      <c r="D15440">
        <f>IFERROR(Table7[[#This Row],[United States 10y]]-Table7[[#This Row],[United States 3y]],#N/A)</f>
        <v/>
      </c>
    </row>
    <row r="15441">
      <c r="A15441" s="6">
        <f>Database!$A17526</f>
        <v/>
      </c>
      <c r="B15441">
        <f>IF(VLOOKUP(Table7[[#This Row],[Date]],Database!$A:$C,MATCH($B$1,Database!$A$1:$C$1,),)=0,#N/A,VLOOKUP(Table7[[#This Row],[Date]],Database!$A:$C,MATCH($B$1,Database!$A$1:$C$1,),))</f>
        <v/>
      </c>
      <c r="C15441">
        <f>IF(VLOOKUP(Table7[[#This Row],[Date]],Database!$A:$C,MATCH($C$1,Database!$A$1:$C$1,),)=0,#N/A,VLOOKUP(Table7[[#This Row],[Date]],Database!$A:$C,MATCH($C$1,Database!$A$1:$C$1,),))</f>
        <v/>
      </c>
      <c r="D15441">
        <f>IFERROR(Table7[[#This Row],[United States 10y]]-Table7[[#This Row],[United States 3y]],#N/A)</f>
        <v/>
      </c>
    </row>
    <row r="15442">
      <c r="A15442" s="6">
        <f>Database!$A17527</f>
        <v/>
      </c>
      <c r="B15442">
        <f>IF(VLOOKUP(Table7[[#This Row],[Date]],Database!$A:$C,MATCH($B$1,Database!$A$1:$C$1,),)=0,#N/A,VLOOKUP(Table7[[#This Row],[Date]],Database!$A:$C,MATCH($B$1,Database!$A$1:$C$1,),))</f>
        <v/>
      </c>
      <c r="C15442">
        <f>IF(VLOOKUP(Table7[[#This Row],[Date]],Database!$A:$C,MATCH($C$1,Database!$A$1:$C$1,),)=0,#N/A,VLOOKUP(Table7[[#This Row],[Date]],Database!$A:$C,MATCH($C$1,Database!$A$1:$C$1,),))</f>
        <v/>
      </c>
      <c r="D15442">
        <f>IFERROR(Table7[[#This Row],[United States 10y]]-Table7[[#This Row],[United States 3y]],#N/A)</f>
        <v/>
      </c>
    </row>
    <row r="15443">
      <c r="A15443" s="6">
        <f>Database!$A17528</f>
        <v/>
      </c>
      <c r="B15443">
        <f>IF(VLOOKUP(Table7[[#This Row],[Date]],Database!$A:$C,MATCH($B$1,Database!$A$1:$C$1,),)=0,#N/A,VLOOKUP(Table7[[#This Row],[Date]],Database!$A:$C,MATCH($B$1,Database!$A$1:$C$1,),))</f>
        <v/>
      </c>
      <c r="C15443">
        <f>IF(VLOOKUP(Table7[[#This Row],[Date]],Database!$A:$C,MATCH($C$1,Database!$A$1:$C$1,),)=0,#N/A,VLOOKUP(Table7[[#This Row],[Date]],Database!$A:$C,MATCH($C$1,Database!$A$1:$C$1,),))</f>
        <v/>
      </c>
      <c r="D15443">
        <f>IFERROR(Table7[[#This Row],[United States 10y]]-Table7[[#This Row],[United States 3y]],#N/A)</f>
        <v/>
      </c>
    </row>
    <row r="15444">
      <c r="A15444" s="6">
        <f>Database!$A17529</f>
        <v/>
      </c>
      <c r="B15444">
        <f>IF(VLOOKUP(Table7[[#This Row],[Date]],Database!$A:$C,MATCH($B$1,Database!$A$1:$C$1,),)=0,#N/A,VLOOKUP(Table7[[#This Row],[Date]],Database!$A:$C,MATCH($B$1,Database!$A$1:$C$1,),))</f>
        <v/>
      </c>
      <c r="C15444">
        <f>IF(VLOOKUP(Table7[[#This Row],[Date]],Database!$A:$C,MATCH($C$1,Database!$A$1:$C$1,),)=0,#N/A,VLOOKUP(Table7[[#This Row],[Date]],Database!$A:$C,MATCH($C$1,Database!$A$1:$C$1,),))</f>
        <v/>
      </c>
      <c r="D15444">
        <f>IFERROR(Table7[[#This Row],[United States 10y]]-Table7[[#This Row],[United States 3y]],#N/A)</f>
        <v/>
      </c>
    </row>
    <row r="15445">
      <c r="A15445" s="6">
        <f>Database!$A17530</f>
        <v/>
      </c>
      <c r="B15445">
        <f>IF(VLOOKUP(Table7[[#This Row],[Date]],Database!$A:$C,MATCH($B$1,Database!$A$1:$C$1,),)=0,#N/A,VLOOKUP(Table7[[#This Row],[Date]],Database!$A:$C,MATCH($B$1,Database!$A$1:$C$1,),))</f>
        <v/>
      </c>
      <c r="C15445">
        <f>IF(VLOOKUP(Table7[[#This Row],[Date]],Database!$A:$C,MATCH($C$1,Database!$A$1:$C$1,),)=0,#N/A,VLOOKUP(Table7[[#This Row],[Date]],Database!$A:$C,MATCH($C$1,Database!$A$1:$C$1,),))</f>
        <v/>
      </c>
      <c r="D15445">
        <f>IFERROR(Table7[[#This Row],[United States 10y]]-Table7[[#This Row],[United States 3y]],#N/A)</f>
        <v/>
      </c>
    </row>
    <row r="15446">
      <c r="A15446" s="6">
        <f>Database!$A17531</f>
        <v/>
      </c>
      <c r="B15446">
        <f>IF(VLOOKUP(Table7[[#This Row],[Date]],Database!$A:$C,MATCH($B$1,Database!$A$1:$C$1,),)=0,#N/A,VLOOKUP(Table7[[#This Row],[Date]],Database!$A:$C,MATCH($B$1,Database!$A$1:$C$1,),))</f>
        <v/>
      </c>
      <c r="C15446">
        <f>IF(VLOOKUP(Table7[[#This Row],[Date]],Database!$A:$C,MATCH($C$1,Database!$A$1:$C$1,),)=0,#N/A,VLOOKUP(Table7[[#This Row],[Date]],Database!$A:$C,MATCH($C$1,Database!$A$1:$C$1,),))</f>
        <v/>
      </c>
      <c r="D15446">
        <f>IFERROR(Table7[[#This Row],[United States 10y]]-Table7[[#This Row],[United States 3y]],#N/A)</f>
        <v/>
      </c>
    </row>
    <row r="15447">
      <c r="A15447" s="6">
        <f>Database!$A17532</f>
        <v/>
      </c>
      <c r="B15447">
        <f>IF(VLOOKUP(Table7[[#This Row],[Date]],Database!$A:$C,MATCH($B$1,Database!$A$1:$C$1,),)=0,#N/A,VLOOKUP(Table7[[#This Row],[Date]],Database!$A:$C,MATCH($B$1,Database!$A$1:$C$1,),))</f>
        <v/>
      </c>
      <c r="C15447">
        <f>IF(VLOOKUP(Table7[[#This Row],[Date]],Database!$A:$C,MATCH($C$1,Database!$A$1:$C$1,),)=0,#N/A,VLOOKUP(Table7[[#This Row],[Date]],Database!$A:$C,MATCH($C$1,Database!$A$1:$C$1,),))</f>
        <v/>
      </c>
      <c r="D15447">
        <f>IFERROR(Table7[[#This Row],[United States 10y]]-Table7[[#This Row],[United States 3y]],#N/A)</f>
        <v/>
      </c>
    </row>
    <row r="15448">
      <c r="A15448" s="6">
        <f>Database!$A17533</f>
        <v/>
      </c>
      <c r="B15448">
        <f>IF(VLOOKUP(Table7[[#This Row],[Date]],Database!$A:$C,MATCH($B$1,Database!$A$1:$C$1,),)=0,#N/A,VLOOKUP(Table7[[#This Row],[Date]],Database!$A:$C,MATCH($B$1,Database!$A$1:$C$1,),))</f>
        <v/>
      </c>
      <c r="C15448">
        <f>IF(VLOOKUP(Table7[[#This Row],[Date]],Database!$A:$C,MATCH($C$1,Database!$A$1:$C$1,),)=0,#N/A,VLOOKUP(Table7[[#This Row],[Date]],Database!$A:$C,MATCH($C$1,Database!$A$1:$C$1,),))</f>
        <v/>
      </c>
      <c r="D15448">
        <f>IFERROR(Table7[[#This Row],[United States 10y]]-Table7[[#This Row],[United States 3y]],#N/A)</f>
        <v/>
      </c>
    </row>
    <row r="15449">
      <c r="A15449" s="6">
        <f>Database!$A17534</f>
        <v/>
      </c>
      <c r="B15449">
        <f>IF(VLOOKUP(Table7[[#This Row],[Date]],Database!$A:$C,MATCH($B$1,Database!$A$1:$C$1,),)=0,#N/A,VLOOKUP(Table7[[#This Row],[Date]],Database!$A:$C,MATCH($B$1,Database!$A$1:$C$1,),))</f>
        <v/>
      </c>
      <c r="C15449">
        <f>IF(VLOOKUP(Table7[[#This Row],[Date]],Database!$A:$C,MATCH($C$1,Database!$A$1:$C$1,),)=0,#N/A,VLOOKUP(Table7[[#This Row],[Date]],Database!$A:$C,MATCH($C$1,Database!$A$1:$C$1,),))</f>
        <v/>
      </c>
      <c r="D15449">
        <f>IFERROR(Table7[[#This Row],[United States 10y]]-Table7[[#This Row],[United States 3y]],#N/A)</f>
        <v/>
      </c>
    </row>
    <row r="15450">
      <c r="A15450" s="6">
        <f>Database!$A17535</f>
        <v/>
      </c>
      <c r="B15450">
        <f>IF(VLOOKUP(Table7[[#This Row],[Date]],Database!$A:$C,MATCH($B$1,Database!$A$1:$C$1,),)=0,#N/A,VLOOKUP(Table7[[#This Row],[Date]],Database!$A:$C,MATCH($B$1,Database!$A$1:$C$1,),))</f>
        <v/>
      </c>
      <c r="C15450">
        <f>IF(VLOOKUP(Table7[[#This Row],[Date]],Database!$A:$C,MATCH($C$1,Database!$A$1:$C$1,),)=0,#N/A,VLOOKUP(Table7[[#This Row],[Date]],Database!$A:$C,MATCH($C$1,Database!$A$1:$C$1,),))</f>
        <v/>
      </c>
      <c r="D15450">
        <f>IFERROR(Table7[[#This Row],[United States 10y]]-Table7[[#This Row],[United States 3y]],#N/A)</f>
        <v/>
      </c>
    </row>
    <row r="15451">
      <c r="A15451" s="6">
        <f>Database!$A17536</f>
        <v/>
      </c>
      <c r="B15451">
        <f>IF(VLOOKUP(Table7[[#This Row],[Date]],Database!$A:$C,MATCH($B$1,Database!$A$1:$C$1,),)=0,#N/A,VLOOKUP(Table7[[#This Row],[Date]],Database!$A:$C,MATCH($B$1,Database!$A$1:$C$1,),))</f>
        <v/>
      </c>
      <c r="C15451">
        <f>IF(VLOOKUP(Table7[[#This Row],[Date]],Database!$A:$C,MATCH($C$1,Database!$A$1:$C$1,),)=0,#N/A,VLOOKUP(Table7[[#This Row],[Date]],Database!$A:$C,MATCH($C$1,Database!$A$1:$C$1,),))</f>
        <v/>
      </c>
      <c r="D15451">
        <f>IFERROR(Table7[[#This Row],[United States 10y]]-Table7[[#This Row],[United States 3y]],#N/A)</f>
        <v/>
      </c>
    </row>
    <row r="15452">
      <c r="A15452" s="6">
        <f>Database!$A17537</f>
        <v/>
      </c>
      <c r="B15452">
        <f>IF(VLOOKUP(Table7[[#This Row],[Date]],Database!$A:$C,MATCH($B$1,Database!$A$1:$C$1,),)=0,#N/A,VLOOKUP(Table7[[#This Row],[Date]],Database!$A:$C,MATCH($B$1,Database!$A$1:$C$1,),))</f>
        <v/>
      </c>
      <c r="C15452">
        <f>IF(VLOOKUP(Table7[[#This Row],[Date]],Database!$A:$C,MATCH($C$1,Database!$A$1:$C$1,),)=0,#N/A,VLOOKUP(Table7[[#This Row],[Date]],Database!$A:$C,MATCH($C$1,Database!$A$1:$C$1,),))</f>
        <v/>
      </c>
      <c r="D15452">
        <f>IFERROR(Table7[[#This Row],[United States 10y]]-Table7[[#This Row],[United States 3y]],#N/A)</f>
        <v/>
      </c>
    </row>
    <row r="15453">
      <c r="A15453" s="6">
        <f>Database!$A17538</f>
        <v/>
      </c>
      <c r="B15453">
        <f>IF(VLOOKUP(Table7[[#This Row],[Date]],Database!$A:$C,MATCH($B$1,Database!$A$1:$C$1,),)=0,#N/A,VLOOKUP(Table7[[#This Row],[Date]],Database!$A:$C,MATCH($B$1,Database!$A$1:$C$1,),))</f>
        <v/>
      </c>
      <c r="C15453">
        <f>IF(VLOOKUP(Table7[[#This Row],[Date]],Database!$A:$C,MATCH($C$1,Database!$A$1:$C$1,),)=0,#N/A,VLOOKUP(Table7[[#This Row],[Date]],Database!$A:$C,MATCH($C$1,Database!$A$1:$C$1,),))</f>
        <v/>
      </c>
      <c r="D15453">
        <f>IFERROR(Table7[[#This Row],[United States 10y]]-Table7[[#This Row],[United States 3y]],#N/A)</f>
        <v/>
      </c>
    </row>
    <row r="15454">
      <c r="A15454" s="6">
        <f>Database!$A17539</f>
        <v/>
      </c>
      <c r="B15454">
        <f>IF(VLOOKUP(Table7[[#This Row],[Date]],Database!$A:$C,MATCH($B$1,Database!$A$1:$C$1,),)=0,#N/A,VLOOKUP(Table7[[#This Row],[Date]],Database!$A:$C,MATCH($B$1,Database!$A$1:$C$1,),))</f>
        <v/>
      </c>
      <c r="C15454">
        <f>IF(VLOOKUP(Table7[[#This Row],[Date]],Database!$A:$C,MATCH($C$1,Database!$A$1:$C$1,),)=0,#N/A,VLOOKUP(Table7[[#This Row],[Date]],Database!$A:$C,MATCH($C$1,Database!$A$1:$C$1,),))</f>
        <v/>
      </c>
      <c r="D15454">
        <f>IFERROR(Table7[[#This Row],[United States 10y]]-Table7[[#This Row],[United States 3y]],#N/A)</f>
        <v/>
      </c>
    </row>
    <row r="15455">
      <c r="A15455" s="6">
        <f>Database!$A17540</f>
        <v/>
      </c>
      <c r="B15455">
        <f>IF(VLOOKUP(Table7[[#This Row],[Date]],Database!$A:$C,MATCH($B$1,Database!$A$1:$C$1,),)=0,#N/A,VLOOKUP(Table7[[#This Row],[Date]],Database!$A:$C,MATCH($B$1,Database!$A$1:$C$1,),))</f>
        <v/>
      </c>
      <c r="C15455">
        <f>IF(VLOOKUP(Table7[[#This Row],[Date]],Database!$A:$C,MATCH($C$1,Database!$A$1:$C$1,),)=0,#N/A,VLOOKUP(Table7[[#This Row],[Date]],Database!$A:$C,MATCH($C$1,Database!$A$1:$C$1,),))</f>
        <v/>
      </c>
      <c r="D15455">
        <f>IFERROR(Table7[[#This Row],[United States 10y]]-Table7[[#This Row],[United States 3y]],#N/A)</f>
        <v/>
      </c>
    </row>
    <row r="15456">
      <c r="A15456" s="6">
        <f>Database!$A17541</f>
        <v/>
      </c>
      <c r="B15456">
        <f>IF(VLOOKUP(Table7[[#This Row],[Date]],Database!$A:$C,MATCH($B$1,Database!$A$1:$C$1,),)=0,#N/A,VLOOKUP(Table7[[#This Row],[Date]],Database!$A:$C,MATCH($B$1,Database!$A$1:$C$1,),))</f>
        <v/>
      </c>
      <c r="C15456">
        <f>IF(VLOOKUP(Table7[[#This Row],[Date]],Database!$A:$C,MATCH($C$1,Database!$A$1:$C$1,),)=0,#N/A,VLOOKUP(Table7[[#This Row],[Date]],Database!$A:$C,MATCH($C$1,Database!$A$1:$C$1,),))</f>
        <v/>
      </c>
      <c r="D15456">
        <f>IFERROR(Table7[[#This Row],[United States 10y]]-Table7[[#This Row],[United States 3y]],#N/A)</f>
        <v/>
      </c>
    </row>
    <row r="15457">
      <c r="A15457" s="6">
        <f>Database!$A17542</f>
        <v/>
      </c>
      <c r="B15457">
        <f>IF(VLOOKUP(Table7[[#This Row],[Date]],Database!$A:$C,MATCH($B$1,Database!$A$1:$C$1,),)=0,#N/A,VLOOKUP(Table7[[#This Row],[Date]],Database!$A:$C,MATCH($B$1,Database!$A$1:$C$1,),))</f>
        <v/>
      </c>
      <c r="C15457">
        <f>IF(VLOOKUP(Table7[[#This Row],[Date]],Database!$A:$C,MATCH($C$1,Database!$A$1:$C$1,),)=0,#N/A,VLOOKUP(Table7[[#This Row],[Date]],Database!$A:$C,MATCH($C$1,Database!$A$1:$C$1,),))</f>
        <v/>
      </c>
      <c r="D15457">
        <f>IFERROR(Table7[[#This Row],[United States 10y]]-Table7[[#This Row],[United States 3y]],#N/A)</f>
        <v/>
      </c>
    </row>
    <row r="15458">
      <c r="A15458" s="6">
        <f>Database!$A17543</f>
        <v/>
      </c>
      <c r="B15458">
        <f>IF(VLOOKUP(Table7[[#This Row],[Date]],Database!$A:$C,MATCH($B$1,Database!$A$1:$C$1,),)=0,#N/A,VLOOKUP(Table7[[#This Row],[Date]],Database!$A:$C,MATCH($B$1,Database!$A$1:$C$1,),))</f>
        <v/>
      </c>
      <c r="C15458">
        <f>IF(VLOOKUP(Table7[[#This Row],[Date]],Database!$A:$C,MATCH($C$1,Database!$A$1:$C$1,),)=0,#N/A,VLOOKUP(Table7[[#This Row],[Date]],Database!$A:$C,MATCH($C$1,Database!$A$1:$C$1,),))</f>
        <v/>
      </c>
      <c r="D15458">
        <f>IFERROR(Table7[[#This Row],[United States 10y]]-Table7[[#This Row],[United States 3y]],#N/A)</f>
        <v/>
      </c>
    </row>
    <row r="15459">
      <c r="A15459" s="6">
        <f>Database!$A17544</f>
        <v/>
      </c>
      <c r="B15459">
        <f>IF(VLOOKUP(Table7[[#This Row],[Date]],Database!$A:$C,MATCH($B$1,Database!$A$1:$C$1,),)=0,#N/A,VLOOKUP(Table7[[#This Row],[Date]],Database!$A:$C,MATCH($B$1,Database!$A$1:$C$1,),))</f>
        <v/>
      </c>
      <c r="C15459">
        <f>IF(VLOOKUP(Table7[[#This Row],[Date]],Database!$A:$C,MATCH($C$1,Database!$A$1:$C$1,),)=0,#N/A,VLOOKUP(Table7[[#This Row],[Date]],Database!$A:$C,MATCH($C$1,Database!$A$1:$C$1,),))</f>
        <v/>
      </c>
      <c r="D15459">
        <f>IFERROR(Table7[[#This Row],[United States 10y]]-Table7[[#This Row],[United States 3y]],#N/A)</f>
        <v/>
      </c>
    </row>
    <row r="15460">
      <c r="A15460" s="6">
        <f>Database!$A17545</f>
        <v/>
      </c>
      <c r="B15460">
        <f>IF(VLOOKUP(Table7[[#This Row],[Date]],Database!$A:$C,MATCH($B$1,Database!$A$1:$C$1,),)=0,#N/A,VLOOKUP(Table7[[#This Row],[Date]],Database!$A:$C,MATCH($B$1,Database!$A$1:$C$1,),))</f>
        <v/>
      </c>
      <c r="C15460">
        <f>IF(VLOOKUP(Table7[[#This Row],[Date]],Database!$A:$C,MATCH($C$1,Database!$A$1:$C$1,),)=0,#N/A,VLOOKUP(Table7[[#This Row],[Date]],Database!$A:$C,MATCH($C$1,Database!$A$1:$C$1,),))</f>
        <v/>
      </c>
      <c r="D15460">
        <f>IFERROR(Table7[[#This Row],[United States 10y]]-Table7[[#This Row],[United States 3y]],#N/A)</f>
        <v/>
      </c>
    </row>
    <row r="15461">
      <c r="A15461" s="6">
        <f>Database!$A17546</f>
        <v/>
      </c>
      <c r="B15461">
        <f>IF(VLOOKUP(Table7[[#This Row],[Date]],Database!$A:$C,MATCH($B$1,Database!$A$1:$C$1,),)=0,#N/A,VLOOKUP(Table7[[#This Row],[Date]],Database!$A:$C,MATCH($B$1,Database!$A$1:$C$1,),))</f>
        <v/>
      </c>
      <c r="C15461">
        <f>IF(VLOOKUP(Table7[[#This Row],[Date]],Database!$A:$C,MATCH($C$1,Database!$A$1:$C$1,),)=0,#N/A,VLOOKUP(Table7[[#This Row],[Date]],Database!$A:$C,MATCH($C$1,Database!$A$1:$C$1,),))</f>
        <v/>
      </c>
      <c r="D15461">
        <f>IFERROR(Table7[[#This Row],[United States 10y]]-Table7[[#This Row],[United States 3y]],#N/A)</f>
        <v/>
      </c>
    </row>
    <row r="15462">
      <c r="A15462" s="6">
        <f>Database!$A17547</f>
        <v/>
      </c>
      <c r="B15462">
        <f>IF(VLOOKUP(Table7[[#This Row],[Date]],Database!$A:$C,MATCH($B$1,Database!$A$1:$C$1,),)=0,#N/A,VLOOKUP(Table7[[#This Row],[Date]],Database!$A:$C,MATCH($B$1,Database!$A$1:$C$1,),))</f>
        <v/>
      </c>
      <c r="C15462">
        <f>IF(VLOOKUP(Table7[[#This Row],[Date]],Database!$A:$C,MATCH($C$1,Database!$A$1:$C$1,),)=0,#N/A,VLOOKUP(Table7[[#This Row],[Date]],Database!$A:$C,MATCH($C$1,Database!$A$1:$C$1,),))</f>
        <v/>
      </c>
      <c r="D15462">
        <f>IFERROR(Table7[[#This Row],[United States 10y]]-Table7[[#This Row],[United States 3y]],#N/A)</f>
        <v/>
      </c>
    </row>
    <row r="15463">
      <c r="A15463" s="6">
        <f>Database!$A17548</f>
        <v/>
      </c>
      <c r="B15463">
        <f>IF(VLOOKUP(Table7[[#This Row],[Date]],Database!$A:$C,MATCH($B$1,Database!$A$1:$C$1,),)=0,#N/A,VLOOKUP(Table7[[#This Row],[Date]],Database!$A:$C,MATCH($B$1,Database!$A$1:$C$1,),))</f>
        <v/>
      </c>
      <c r="C15463">
        <f>IF(VLOOKUP(Table7[[#This Row],[Date]],Database!$A:$C,MATCH($C$1,Database!$A$1:$C$1,),)=0,#N/A,VLOOKUP(Table7[[#This Row],[Date]],Database!$A:$C,MATCH($C$1,Database!$A$1:$C$1,),))</f>
        <v/>
      </c>
      <c r="D15463">
        <f>IFERROR(Table7[[#This Row],[United States 10y]]-Table7[[#This Row],[United States 3y]],#N/A)</f>
        <v/>
      </c>
    </row>
    <row r="15464">
      <c r="A15464" s="6">
        <f>Database!$A17549</f>
        <v/>
      </c>
      <c r="B15464">
        <f>IF(VLOOKUP(Table7[[#This Row],[Date]],Database!$A:$C,MATCH($B$1,Database!$A$1:$C$1,),)=0,#N/A,VLOOKUP(Table7[[#This Row],[Date]],Database!$A:$C,MATCH($B$1,Database!$A$1:$C$1,),))</f>
        <v/>
      </c>
      <c r="C15464">
        <f>IF(VLOOKUP(Table7[[#This Row],[Date]],Database!$A:$C,MATCH($C$1,Database!$A$1:$C$1,),)=0,#N/A,VLOOKUP(Table7[[#This Row],[Date]],Database!$A:$C,MATCH($C$1,Database!$A$1:$C$1,),))</f>
        <v/>
      </c>
      <c r="D15464">
        <f>IFERROR(Table7[[#This Row],[United States 10y]]-Table7[[#This Row],[United States 3y]],#N/A)</f>
        <v/>
      </c>
    </row>
    <row r="15465">
      <c r="A15465" s="6">
        <f>Database!$A17550</f>
        <v/>
      </c>
      <c r="B15465">
        <f>IF(VLOOKUP(Table7[[#This Row],[Date]],Database!$A:$C,MATCH($B$1,Database!$A$1:$C$1,),)=0,#N/A,VLOOKUP(Table7[[#This Row],[Date]],Database!$A:$C,MATCH($B$1,Database!$A$1:$C$1,),))</f>
        <v/>
      </c>
      <c r="C15465">
        <f>IF(VLOOKUP(Table7[[#This Row],[Date]],Database!$A:$C,MATCH($C$1,Database!$A$1:$C$1,),)=0,#N/A,VLOOKUP(Table7[[#This Row],[Date]],Database!$A:$C,MATCH($C$1,Database!$A$1:$C$1,),))</f>
        <v/>
      </c>
      <c r="D15465">
        <f>IFERROR(Table7[[#This Row],[United States 10y]]-Table7[[#This Row],[United States 3y]],#N/A)</f>
        <v/>
      </c>
    </row>
    <row r="15466">
      <c r="A15466" s="6">
        <f>Database!$A17551</f>
        <v/>
      </c>
      <c r="B15466">
        <f>IF(VLOOKUP(Table7[[#This Row],[Date]],Database!$A:$C,MATCH($B$1,Database!$A$1:$C$1,),)=0,#N/A,VLOOKUP(Table7[[#This Row],[Date]],Database!$A:$C,MATCH($B$1,Database!$A$1:$C$1,),))</f>
        <v/>
      </c>
      <c r="C15466">
        <f>IF(VLOOKUP(Table7[[#This Row],[Date]],Database!$A:$C,MATCH($C$1,Database!$A$1:$C$1,),)=0,#N/A,VLOOKUP(Table7[[#This Row],[Date]],Database!$A:$C,MATCH($C$1,Database!$A$1:$C$1,),))</f>
        <v/>
      </c>
      <c r="D15466">
        <f>IFERROR(Table7[[#This Row],[United States 10y]]-Table7[[#This Row],[United States 3y]],#N/A)</f>
        <v/>
      </c>
    </row>
    <row r="15467">
      <c r="A15467" s="6">
        <f>Database!$A17552</f>
        <v/>
      </c>
      <c r="B15467">
        <f>IF(VLOOKUP(Table7[[#This Row],[Date]],Database!$A:$C,MATCH($B$1,Database!$A$1:$C$1,),)=0,#N/A,VLOOKUP(Table7[[#This Row],[Date]],Database!$A:$C,MATCH($B$1,Database!$A$1:$C$1,),))</f>
        <v/>
      </c>
      <c r="C15467">
        <f>IF(VLOOKUP(Table7[[#This Row],[Date]],Database!$A:$C,MATCH($C$1,Database!$A$1:$C$1,),)=0,#N/A,VLOOKUP(Table7[[#This Row],[Date]],Database!$A:$C,MATCH($C$1,Database!$A$1:$C$1,),))</f>
        <v/>
      </c>
      <c r="D15467">
        <f>IFERROR(Table7[[#This Row],[United States 10y]]-Table7[[#This Row],[United States 3y]],#N/A)</f>
        <v/>
      </c>
    </row>
    <row r="15468">
      <c r="A15468" s="6">
        <f>Database!$A17553</f>
        <v/>
      </c>
      <c r="B15468">
        <f>IF(VLOOKUP(Table7[[#This Row],[Date]],Database!$A:$C,MATCH($B$1,Database!$A$1:$C$1,),)=0,#N/A,VLOOKUP(Table7[[#This Row],[Date]],Database!$A:$C,MATCH($B$1,Database!$A$1:$C$1,),))</f>
        <v/>
      </c>
      <c r="C15468">
        <f>IF(VLOOKUP(Table7[[#This Row],[Date]],Database!$A:$C,MATCH($C$1,Database!$A$1:$C$1,),)=0,#N/A,VLOOKUP(Table7[[#This Row],[Date]],Database!$A:$C,MATCH($C$1,Database!$A$1:$C$1,),))</f>
        <v/>
      </c>
      <c r="D15468">
        <f>IFERROR(Table7[[#This Row],[United States 10y]]-Table7[[#This Row],[United States 3y]],#N/A)</f>
        <v/>
      </c>
    </row>
    <row r="15469">
      <c r="A15469" s="6">
        <f>Database!$A17554</f>
        <v/>
      </c>
      <c r="B15469">
        <f>IF(VLOOKUP(Table7[[#This Row],[Date]],Database!$A:$C,MATCH($B$1,Database!$A$1:$C$1,),)=0,#N/A,VLOOKUP(Table7[[#This Row],[Date]],Database!$A:$C,MATCH($B$1,Database!$A$1:$C$1,),))</f>
        <v/>
      </c>
      <c r="C15469">
        <f>IF(VLOOKUP(Table7[[#This Row],[Date]],Database!$A:$C,MATCH($C$1,Database!$A$1:$C$1,),)=0,#N/A,VLOOKUP(Table7[[#This Row],[Date]],Database!$A:$C,MATCH($C$1,Database!$A$1:$C$1,),))</f>
        <v/>
      </c>
      <c r="D15469">
        <f>IFERROR(Table7[[#This Row],[United States 10y]]-Table7[[#This Row],[United States 3y]],#N/A)</f>
        <v/>
      </c>
    </row>
    <row r="15470">
      <c r="A15470" s="6">
        <f>Database!$A17555</f>
        <v/>
      </c>
      <c r="B15470">
        <f>IF(VLOOKUP(Table7[[#This Row],[Date]],Database!$A:$C,MATCH($B$1,Database!$A$1:$C$1,),)=0,#N/A,VLOOKUP(Table7[[#This Row],[Date]],Database!$A:$C,MATCH($B$1,Database!$A$1:$C$1,),))</f>
        <v/>
      </c>
      <c r="C15470">
        <f>IF(VLOOKUP(Table7[[#This Row],[Date]],Database!$A:$C,MATCH($C$1,Database!$A$1:$C$1,),)=0,#N/A,VLOOKUP(Table7[[#This Row],[Date]],Database!$A:$C,MATCH($C$1,Database!$A$1:$C$1,),))</f>
        <v/>
      </c>
      <c r="D15470">
        <f>IFERROR(Table7[[#This Row],[United States 10y]]-Table7[[#This Row],[United States 3y]],#N/A)</f>
        <v/>
      </c>
    </row>
    <row r="15471">
      <c r="A15471" s="6">
        <f>Database!$A17556</f>
        <v/>
      </c>
      <c r="B15471">
        <f>IF(VLOOKUP(Table7[[#This Row],[Date]],Database!$A:$C,MATCH($B$1,Database!$A$1:$C$1,),)=0,#N/A,VLOOKUP(Table7[[#This Row],[Date]],Database!$A:$C,MATCH($B$1,Database!$A$1:$C$1,),))</f>
        <v/>
      </c>
      <c r="C15471">
        <f>IF(VLOOKUP(Table7[[#This Row],[Date]],Database!$A:$C,MATCH($C$1,Database!$A$1:$C$1,),)=0,#N/A,VLOOKUP(Table7[[#This Row],[Date]],Database!$A:$C,MATCH($C$1,Database!$A$1:$C$1,),))</f>
        <v/>
      </c>
      <c r="D15471">
        <f>IFERROR(Table7[[#This Row],[United States 10y]]-Table7[[#This Row],[United States 3y]],#N/A)</f>
        <v/>
      </c>
    </row>
    <row r="15472">
      <c r="A15472" s="6">
        <f>Database!$A17557</f>
        <v/>
      </c>
      <c r="B15472">
        <f>IF(VLOOKUP(Table7[[#This Row],[Date]],Database!$A:$C,MATCH($B$1,Database!$A$1:$C$1,),)=0,#N/A,VLOOKUP(Table7[[#This Row],[Date]],Database!$A:$C,MATCH($B$1,Database!$A$1:$C$1,),))</f>
        <v/>
      </c>
      <c r="C15472">
        <f>IF(VLOOKUP(Table7[[#This Row],[Date]],Database!$A:$C,MATCH($C$1,Database!$A$1:$C$1,),)=0,#N/A,VLOOKUP(Table7[[#This Row],[Date]],Database!$A:$C,MATCH($C$1,Database!$A$1:$C$1,),))</f>
        <v/>
      </c>
      <c r="D15472">
        <f>IFERROR(Table7[[#This Row],[United States 10y]]-Table7[[#This Row],[United States 3y]],#N/A)</f>
        <v/>
      </c>
    </row>
    <row r="15473">
      <c r="A15473" s="6">
        <f>Database!$A17558</f>
        <v/>
      </c>
      <c r="B15473">
        <f>IF(VLOOKUP(Table7[[#This Row],[Date]],Database!$A:$C,MATCH($B$1,Database!$A$1:$C$1,),)=0,#N/A,VLOOKUP(Table7[[#This Row],[Date]],Database!$A:$C,MATCH($B$1,Database!$A$1:$C$1,),))</f>
        <v/>
      </c>
      <c r="C15473">
        <f>IF(VLOOKUP(Table7[[#This Row],[Date]],Database!$A:$C,MATCH($C$1,Database!$A$1:$C$1,),)=0,#N/A,VLOOKUP(Table7[[#This Row],[Date]],Database!$A:$C,MATCH($C$1,Database!$A$1:$C$1,),))</f>
        <v/>
      </c>
      <c r="D15473">
        <f>IFERROR(Table7[[#This Row],[United States 10y]]-Table7[[#This Row],[United States 3y]],#N/A)</f>
        <v/>
      </c>
    </row>
    <row r="15474">
      <c r="A15474" s="6">
        <f>Database!$A17559</f>
        <v/>
      </c>
      <c r="B15474">
        <f>IF(VLOOKUP(Table7[[#This Row],[Date]],Database!$A:$C,MATCH($B$1,Database!$A$1:$C$1,),)=0,#N/A,VLOOKUP(Table7[[#This Row],[Date]],Database!$A:$C,MATCH($B$1,Database!$A$1:$C$1,),))</f>
        <v/>
      </c>
      <c r="C15474">
        <f>IF(VLOOKUP(Table7[[#This Row],[Date]],Database!$A:$C,MATCH($C$1,Database!$A$1:$C$1,),)=0,#N/A,VLOOKUP(Table7[[#This Row],[Date]],Database!$A:$C,MATCH($C$1,Database!$A$1:$C$1,),))</f>
        <v/>
      </c>
      <c r="D15474">
        <f>IFERROR(Table7[[#This Row],[United States 10y]]-Table7[[#This Row],[United States 3y]],#N/A)</f>
        <v/>
      </c>
    </row>
    <row r="15475">
      <c r="A15475" s="6">
        <f>Database!$A17560</f>
        <v/>
      </c>
      <c r="B15475">
        <f>IF(VLOOKUP(Table7[[#This Row],[Date]],Database!$A:$C,MATCH($B$1,Database!$A$1:$C$1,),)=0,#N/A,VLOOKUP(Table7[[#This Row],[Date]],Database!$A:$C,MATCH($B$1,Database!$A$1:$C$1,),))</f>
        <v/>
      </c>
      <c r="C15475">
        <f>IF(VLOOKUP(Table7[[#This Row],[Date]],Database!$A:$C,MATCH($C$1,Database!$A$1:$C$1,),)=0,#N/A,VLOOKUP(Table7[[#This Row],[Date]],Database!$A:$C,MATCH($C$1,Database!$A$1:$C$1,),))</f>
        <v/>
      </c>
      <c r="D15475">
        <f>IFERROR(Table7[[#This Row],[United States 10y]]-Table7[[#This Row],[United States 3y]],#N/A)</f>
        <v/>
      </c>
    </row>
    <row r="15476">
      <c r="A15476" s="6">
        <f>Database!$A17561</f>
        <v/>
      </c>
      <c r="B15476">
        <f>IF(VLOOKUP(Table7[[#This Row],[Date]],Database!$A:$C,MATCH($B$1,Database!$A$1:$C$1,),)=0,#N/A,VLOOKUP(Table7[[#This Row],[Date]],Database!$A:$C,MATCH($B$1,Database!$A$1:$C$1,),))</f>
        <v/>
      </c>
      <c r="C15476">
        <f>IF(VLOOKUP(Table7[[#This Row],[Date]],Database!$A:$C,MATCH($C$1,Database!$A$1:$C$1,),)=0,#N/A,VLOOKUP(Table7[[#This Row],[Date]],Database!$A:$C,MATCH($C$1,Database!$A$1:$C$1,),))</f>
        <v/>
      </c>
      <c r="D15476">
        <f>IFERROR(Table7[[#This Row],[United States 10y]]-Table7[[#This Row],[United States 3y]],#N/A)</f>
        <v/>
      </c>
    </row>
    <row r="15477">
      <c r="A15477" s="6">
        <f>Database!$A17562</f>
        <v/>
      </c>
      <c r="B15477">
        <f>IF(VLOOKUP(Table7[[#This Row],[Date]],Database!$A:$C,MATCH($B$1,Database!$A$1:$C$1,),)=0,#N/A,VLOOKUP(Table7[[#This Row],[Date]],Database!$A:$C,MATCH($B$1,Database!$A$1:$C$1,),))</f>
        <v/>
      </c>
      <c r="C15477">
        <f>IF(VLOOKUP(Table7[[#This Row],[Date]],Database!$A:$C,MATCH($C$1,Database!$A$1:$C$1,),)=0,#N/A,VLOOKUP(Table7[[#This Row],[Date]],Database!$A:$C,MATCH($C$1,Database!$A$1:$C$1,),))</f>
        <v/>
      </c>
      <c r="D15477">
        <f>IFERROR(Table7[[#This Row],[United States 10y]]-Table7[[#This Row],[United States 3y]],#N/A)</f>
        <v/>
      </c>
    </row>
    <row r="15478">
      <c r="A15478" s="6">
        <f>Database!$A17563</f>
        <v/>
      </c>
      <c r="B15478">
        <f>IF(VLOOKUP(Table7[[#This Row],[Date]],Database!$A:$C,MATCH($B$1,Database!$A$1:$C$1,),)=0,#N/A,VLOOKUP(Table7[[#This Row],[Date]],Database!$A:$C,MATCH($B$1,Database!$A$1:$C$1,),))</f>
        <v/>
      </c>
      <c r="C15478">
        <f>IF(VLOOKUP(Table7[[#This Row],[Date]],Database!$A:$C,MATCH($C$1,Database!$A$1:$C$1,),)=0,#N/A,VLOOKUP(Table7[[#This Row],[Date]],Database!$A:$C,MATCH($C$1,Database!$A$1:$C$1,),))</f>
        <v/>
      </c>
      <c r="D15478">
        <f>IFERROR(Table7[[#This Row],[United States 10y]]-Table7[[#This Row],[United States 3y]],#N/A)</f>
        <v/>
      </c>
    </row>
    <row r="15479">
      <c r="A15479" s="6">
        <f>Database!$A17564</f>
        <v/>
      </c>
      <c r="B15479">
        <f>IF(VLOOKUP(Table7[[#This Row],[Date]],Database!$A:$C,MATCH($B$1,Database!$A$1:$C$1,),)=0,#N/A,VLOOKUP(Table7[[#This Row],[Date]],Database!$A:$C,MATCH($B$1,Database!$A$1:$C$1,),))</f>
        <v/>
      </c>
      <c r="C15479">
        <f>IF(VLOOKUP(Table7[[#This Row],[Date]],Database!$A:$C,MATCH($C$1,Database!$A$1:$C$1,),)=0,#N/A,VLOOKUP(Table7[[#This Row],[Date]],Database!$A:$C,MATCH($C$1,Database!$A$1:$C$1,),))</f>
        <v/>
      </c>
      <c r="D15479">
        <f>IFERROR(Table7[[#This Row],[United States 10y]]-Table7[[#This Row],[United States 3y]],#N/A)</f>
        <v/>
      </c>
    </row>
    <row r="15480">
      <c r="A15480" s="6">
        <f>Database!$A17565</f>
        <v/>
      </c>
      <c r="B15480">
        <f>IF(VLOOKUP(Table7[[#This Row],[Date]],Database!$A:$C,MATCH($B$1,Database!$A$1:$C$1,),)=0,#N/A,VLOOKUP(Table7[[#This Row],[Date]],Database!$A:$C,MATCH($B$1,Database!$A$1:$C$1,),))</f>
        <v/>
      </c>
      <c r="C15480">
        <f>IF(VLOOKUP(Table7[[#This Row],[Date]],Database!$A:$C,MATCH($C$1,Database!$A$1:$C$1,),)=0,#N/A,VLOOKUP(Table7[[#This Row],[Date]],Database!$A:$C,MATCH($C$1,Database!$A$1:$C$1,),))</f>
        <v/>
      </c>
      <c r="D15480">
        <f>IFERROR(Table7[[#This Row],[United States 10y]]-Table7[[#This Row],[United States 3y]],#N/A)</f>
        <v/>
      </c>
    </row>
    <row r="15481">
      <c r="A15481" s="6">
        <f>Database!$A17566</f>
        <v/>
      </c>
      <c r="B15481">
        <f>IF(VLOOKUP(Table7[[#This Row],[Date]],Database!$A:$C,MATCH($B$1,Database!$A$1:$C$1,),)=0,#N/A,VLOOKUP(Table7[[#This Row],[Date]],Database!$A:$C,MATCH($B$1,Database!$A$1:$C$1,),))</f>
        <v/>
      </c>
      <c r="C15481">
        <f>IF(VLOOKUP(Table7[[#This Row],[Date]],Database!$A:$C,MATCH($C$1,Database!$A$1:$C$1,),)=0,#N/A,VLOOKUP(Table7[[#This Row],[Date]],Database!$A:$C,MATCH($C$1,Database!$A$1:$C$1,),))</f>
        <v/>
      </c>
      <c r="D15481">
        <f>IFERROR(Table7[[#This Row],[United States 10y]]-Table7[[#This Row],[United States 3y]],#N/A)</f>
        <v/>
      </c>
    </row>
    <row r="15482">
      <c r="A15482" s="6">
        <f>Database!$A17567</f>
        <v/>
      </c>
      <c r="B15482">
        <f>IF(VLOOKUP(Table7[[#This Row],[Date]],Database!$A:$C,MATCH($B$1,Database!$A$1:$C$1,),)=0,#N/A,VLOOKUP(Table7[[#This Row],[Date]],Database!$A:$C,MATCH($B$1,Database!$A$1:$C$1,),))</f>
        <v/>
      </c>
      <c r="C15482">
        <f>IF(VLOOKUP(Table7[[#This Row],[Date]],Database!$A:$C,MATCH($C$1,Database!$A$1:$C$1,),)=0,#N/A,VLOOKUP(Table7[[#This Row],[Date]],Database!$A:$C,MATCH($C$1,Database!$A$1:$C$1,),))</f>
        <v/>
      </c>
      <c r="D15482">
        <f>IFERROR(Table7[[#This Row],[United States 10y]]-Table7[[#This Row],[United States 3y]],#N/A)</f>
        <v/>
      </c>
    </row>
    <row r="15483">
      <c r="A15483" s="6">
        <f>Database!$A17568</f>
        <v/>
      </c>
      <c r="B15483">
        <f>IF(VLOOKUP(Table7[[#This Row],[Date]],Database!$A:$C,MATCH($B$1,Database!$A$1:$C$1,),)=0,#N/A,VLOOKUP(Table7[[#This Row],[Date]],Database!$A:$C,MATCH($B$1,Database!$A$1:$C$1,),))</f>
        <v/>
      </c>
      <c r="C15483">
        <f>IF(VLOOKUP(Table7[[#This Row],[Date]],Database!$A:$C,MATCH($C$1,Database!$A$1:$C$1,),)=0,#N/A,VLOOKUP(Table7[[#This Row],[Date]],Database!$A:$C,MATCH($C$1,Database!$A$1:$C$1,),))</f>
        <v/>
      </c>
      <c r="D15483">
        <f>IFERROR(Table7[[#This Row],[United States 10y]]-Table7[[#This Row],[United States 3y]],#N/A)</f>
        <v/>
      </c>
    </row>
    <row r="15484">
      <c r="A15484" s="6">
        <f>Database!$A17569</f>
        <v/>
      </c>
      <c r="B15484">
        <f>IF(VLOOKUP(Table7[[#This Row],[Date]],Database!$A:$C,MATCH($B$1,Database!$A$1:$C$1,),)=0,#N/A,VLOOKUP(Table7[[#This Row],[Date]],Database!$A:$C,MATCH($B$1,Database!$A$1:$C$1,),))</f>
        <v/>
      </c>
      <c r="C15484">
        <f>IF(VLOOKUP(Table7[[#This Row],[Date]],Database!$A:$C,MATCH($C$1,Database!$A$1:$C$1,),)=0,#N/A,VLOOKUP(Table7[[#This Row],[Date]],Database!$A:$C,MATCH($C$1,Database!$A$1:$C$1,),))</f>
        <v/>
      </c>
      <c r="D15484">
        <f>IFERROR(Table7[[#This Row],[United States 10y]]-Table7[[#This Row],[United States 3y]],#N/A)</f>
        <v/>
      </c>
    </row>
    <row r="15485">
      <c r="A15485" s="6">
        <f>Database!$A17570</f>
        <v/>
      </c>
      <c r="B15485">
        <f>IF(VLOOKUP(Table7[[#This Row],[Date]],Database!$A:$C,MATCH($B$1,Database!$A$1:$C$1,),)=0,#N/A,VLOOKUP(Table7[[#This Row],[Date]],Database!$A:$C,MATCH($B$1,Database!$A$1:$C$1,),))</f>
        <v/>
      </c>
      <c r="C15485">
        <f>IF(VLOOKUP(Table7[[#This Row],[Date]],Database!$A:$C,MATCH($C$1,Database!$A$1:$C$1,),)=0,#N/A,VLOOKUP(Table7[[#This Row],[Date]],Database!$A:$C,MATCH($C$1,Database!$A$1:$C$1,),))</f>
        <v/>
      </c>
      <c r="D15485">
        <f>IFERROR(Table7[[#This Row],[United States 10y]]-Table7[[#This Row],[United States 3y]],#N/A)</f>
        <v/>
      </c>
    </row>
    <row r="15486">
      <c r="A15486" s="6">
        <f>Database!$A17571</f>
        <v/>
      </c>
      <c r="B15486">
        <f>IF(VLOOKUP(Table7[[#This Row],[Date]],Database!$A:$C,MATCH($B$1,Database!$A$1:$C$1,),)=0,#N/A,VLOOKUP(Table7[[#This Row],[Date]],Database!$A:$C,MATCH($B$1,Database!$A$1:$C$1,),))</f>
        <v/>
      </c>
      <c r="C15486">
        <f>IF(VLOOKUP(Table7[[#This Row],[Date]],Database!$A:$C,MATCH($C$1,Database!$A$1:$C$1,),)=0,#N/A,VLOOKUP(Table7[[#This Row],[Date]],Database!$A:$C,MATCH($C$1,Database!$A$1:$C$1,),))</f>
        <v/>
      </c>
      <c r="D15486">
        <f>IFERROR(Table7[[#This Row],[United States 10y]]-Table7[[#This Row],[United States 3y]],#N/A)</f>
        <v/>
      </c>
    </row>
    <row r="15487">
      <c r="A15487" s="6">
        <f>Database!$A17572</f>
        <v/>
      </c>
      <c r="B15487">
        <f>IF(VLOOKUP(Table7[[#This Row],[Date]],Database!$A:$C,MATCH($B$1,Database!$A$1:$C$1,),)=0,#N/A,VLOOKUP(Table7[[#This Row],[Date]],Database!$A:$C,MATCH($B$1,Database!$A$1:$C$1,),))</f>
        <v/>
      </c>
      <c r="C15487">
        <f>IF(VLOOKUP(Table7[[#This Row],[Date]],Database!$A:$C,MATCH($C$1,Database!$A$1:$C$1,),)=0,#N/A,VLOOKUP(Table7[[#This Row],[Date]],Database!$A:$C,MATCH($C$1,Database!$A$1:$C$1,),))</f>
        <v/>
      </c>
      <c r="D15487">
        <f>IFERROR(Table7[[#This Row],[United States 10y]]-Table7[[#This Row],[United States 3y]],#N/A)</f>
        <v/>
      </c>
    </row>
    <row r="15488">
      <c r="A15488" s="6">
        <f>Database!$A17573</f>
        <v/>
      </c>
      <c r="B15488">
        <f>IF(VLOOKUP(Table7[[#This Row],[Date]],Database!$A:$C,MATCH($B$1,Database!$A$1:$C$1,),)=0,#N/A,VLOOKUP(Table7[[#This Row],[Date]],Database!$A:$C,MATCH($B$1,Database!$A$1:$C$1,),))</f>
        <v/>
      </c>
      <c r="C15488">
        <f>IF(VLOOKUP(Table7[[#This Row],[Date]],Database!$A:$C,MATCH($C$1,Database!$A$1:$C$1,),)=0,#N/A,VLOOKUP(Table7[[#This Row],[Date]],Database!$A:$C,MATCH($C$1,Database!$A$1:$C$1,),))</f>
        <v/>
      </c>
      <c r="D15488">
        <f>IFERROR(Table7[[#This Row],[United States 10y]]-Table7[[#This Row],[United States 3y]],#N/A)</f>
        <v/>
      </c>
    </row>
    <row r="15489">
      <c r="A15489" s="6">
        <f>Database!$A17574</f>
        <v/>
      </c>
      <c r="B15489">
        <f>IF(VLOOKUP(Table7[[#This Row],[Date]],Database!$A:$C,MATCH($B$1,Database!$A$1:$C$1,),)=0,#N/A,VLOOKUP(Table7[[#This Row],[Date]],Database!$A:$C,MATCH($B$1,Database!$A$1:$C$1,),))</f>
        <v/>
      </c>
      <c r="C15489">
        <f>IF(VLOOKUP(Table7[[#This Row],[Date]],Database!$A:$C,MATCH($C$1,Database!$A$1:$C$1,),)=0,#N/A,VLOOKUP(Table7[[#This Row],[Date]],Database!$A:$C,MATCH($C$1,Database!$A$1:$C$1,),))</f>
        <v/>
      </c>
      <c r="D15489">
        <f>IFERROR(Table7[[#This Row],[United States 10y]]-Table7[[#This Row],[United States 3y]],#N/A)</f>
        <v/>
      </c>
    </row>
    <row r="15490">
      <c r="A15490" s="6">
        <f>Database!$A17575</f>
        <v/>
      </c>
      <c r="B15490">
        <f>IF(VLOOKUP(Table7[[#This Row],[Date]],Database!$A:$C,MATCH($B$1,Database!$A$1:$C$1,),)=0,#N/A,VLOOKUP(Table7[[#This Row],[Date]],Database!$A:$C,MATCH($B$1,Database!$A$1:$C$1,),))</f>
        <v/>
      </c>
      <c r="C15490">
        <f>IF(VLOOKUP(Table7[[#This Row],[Date]],Database!$A:$C,MATCH($C$1,Database!$A$1:$C$1,),)=0,#N/A,VLOOKUP(Table7[[#This Row],[Date]],Database!$A:$C,MATCH($C$1,Database!$A$1:$C$1,),))</f>
        <v/>
      </c>
      <c r="D15490">
        <f>IFERROR(Table7[[#This Row],[United States 10y]]-Table7[[#This Row],[United States 3y]],#N/A)</f>
        <v/>
      </c>
    </row>
    <row r="15491">
      <c r="A15491" s="6">
        <f>Database!$A17576</f>
        <v/>
      </c>
      <c r="B15491">
        <f>IF(VLOOKUP(Table7[[#This Row],[Date]],Database!$A:$C,MATCH($B$1,Database!$A$1:$C$1,),)=0,#N/A,VLOOKUP(Table7[[#This Row],[Date]],Database!$A:$C,MATCH($B$1,Database!$A$1:$C$1,),))</f>
        <v/>
      </c>
      <c r="C15491">
        <f>IF(VLOOKUP(Table7[[#This Row],[Date]],Database!$A:$C,MATCH($C$1,Database!$A$1:$C$1,),)=0,#N/A,VLOOKUP(Table7[[#This Row],[Date]],Database!$A:$C,MATCH($C$1,Database!$A$1:$C$1,),))</f>
        <v/>
      </c>
      <c r="D15491">
        <f>IFERROR(Table7[[#This Row],[United States 10y]]-Table7[[#This Row],[United States 3y]],#N/A)</f>
        <v/>
      </c>
    </row>
    <row r="15492">
      <c r="A15492" s="6">
        <f>Database!$A17577</f>
        <v/>
      </c>
      <c r="B15492">
        <f>IF(VLOOKUP(Table7[[#This Row],[Date]],Database!$A:$C,MATCH($B$1,Database!$A$1:$C$1,),)=0,#N/A,VLOOKUP(Table7[[#This Row],[Date]],Database!$A:$C,MATCH($B$1,Database!$A$1:$C$1,),))</f>
        <v/>
      </c>
      <c r="C15492">
        <f>IF(VLOOKUP(Table7[[#This Row],[Date]],Database!$A:$C,MATCH($C$1,Database!$A$1:$C$1,),)=0,#N/A,VLOOKUP(Table7[[#This Row],[Date]],Database!$A:$C,MATCH($C$1,Database!$A$1:$C$1,),))</f>
        <v/>
      </c>
      <c r="D15492">
        <f>IFERROR(Table7[[#This Row],[United States 10y]]-Table7[[#This Row],[United States 3y]],#N/A)</f>
        <v/>
      </c>
    </row>
    <row r="15493">
      <c r="A15493" s="6">
        <f>Database!$A17578</f>
        <v/>
      </c>
      <c r="B15493">
        <f>IF(VLOOKUP(Table7[[#This Row],[Date]],Database!$A:$C,MATCH($B$1,Database!$A$1:$C$1,),)=0,#N/A,VLOOKUP(Table7[[#This Row],[Date]],Database!$A:$C,MATCH($B$1,Database!$A$1:$C$1,),))</f>
        <v/>
      </c>
      <c r="C15493">
        <f>IF(VLOOKUP(Table7[[#This Row],[Date]],Database!$A:$C,MATCH($C$1,Database!$A$1:$C$1,),)=0,#N/A,VLOOKUP(Table7[[#This Row],[Date]],Database!$A:$C,MATCH($C$1,Database!$A$1:$C$1,),))</f>
        <v/>
      </c>
      <c r="D15493">
        <f>IFERROR(Table7[[#This Row],[United States 10y]]-Table7[[#This Row],[United States 3y]],#N/A)</f>
        <v/>
      </c>
    </row>
    <row r="15494">
      <c r="A15494" s="6">
        <f>Database!$A17579</f>
        <v/>
      </c>
      <c r="B15494">
        <f>IF(VLOOKUP(Table7[[#This Row],[Date]],Database!$A:$C,MATCH($B$1,Database!$A$1:$C$1,),)=0,#N/A,VLOOKUP(Table7[[#This Row],[Date]],Database!$A:$C,MATCH($B$1,Database!$A$1:$C$1,),))</f>
        <v/>
      </c>
      <c r="C15494">
        <f>IF(VLOOKUP(Table7[[#This Row],[Date]],Database!$A:$C,MATCH($C$1,Database!$A$1:$C$1,),)=0,#N/A,VLOOKUP(Table7[[#This Row],[Date]],Database!$A:$C,MATCH($C$1,Database!$A$1:$C$1,),))</f>
        <v/>
      </c>
      <c r="D15494">
        <f>IFERROR(Table7[[#This Row],[United States 10y]]-Table7[[#This Row],[United States 3y]],#N/A)</f>
        <v/>
      </c>
    </row>
    <row r="15495">
      <c r="A15495" s="6">
        <f>Database!$A17580</f>
        <v/>
      </c>
      <c r="B15495">
        <f>IF(VLOOKUP(Table7[[#This Row],[Date]],Database!$A:$C,MATCH($B$1,Database!$A$1:$C$1,),)=0,#N/A,VLOOKUP(Table7[[#This Row],[Date]],Database!$A:$C,MATCH($B$1,Database!$A$1:$C$1,),))</f>
        <v/>
      </c>
      <c r="C15495">
        <f>IF(VLOOKUP(Table7[[#This Row],[Date]],Database!$A:$C,MATCH($C$1,Database!$A$1:$C$1,),)=0,#N/A,VLOOKUP(Table7[[#This Row],[Date]],Database!$A:$C,MATCH($C$1,Database!$A$1:$C$1,),))</f>
        <v/>
      </c>
      <c r="D15495">
        <f>IFERROR(Table7[[#This Row],[United States 10y]]-Table7[[#This Row],[United States 3y]],#N/A)</f>
        <v/>
      </c>
    </row>
    <row r="15496">
      <c r="A15496" s="6">
        <f>Database!$A17581</f>
        <v/>
      </c>
      <c r="B15496">
        <f>IF(VLOOKUP(Table7[[#This Row],[Date]],Database!$A:$C,MATCH($B$1,Database!$A$1:$C$1,),)=0,#N/A,VLOOKUP(Table7[[#This Row],[Date]],Database!$A:$C,MATCH($B$1,Database!$A$1:$C$1,),))</f>
        <v/>
      </c>
      <c r="C15496">
        <f>IF(VLOOKUP(Table7[[#This Row],[Date]],Database!$A:$C,MATCH($C$1,Database!$A$1:$C$1,),)=0,#N/A,VLOOKUP(Table7[[#This Row],[Date]],Database!$A:$C,MATCH($C$1,Database!$A$1:$C$1,),))</f>
        <v/>
      </c>
      <c r="D15496">
        <f>IFERROR(Table7[[#This Row],[United States 10y]]-Table7[[#This Row],[United States 3y]],#N/A)</f>
        <v/>
      </c>
    </row>
    <row r="15497">
      <c r="A15497" s="6">
        <f>Database!$A17582</f>
        <v/>
      </c>
      <c r="B15497">
        <f>IF(VLOOKUP(Table7[[#This Row],[Date]],Database!$A:$C,MATCH($B$1,Database!$A$1:$C$1,),)=0,#N/A,VLOOKUP(Table7[[#This Row],[Date]],Database!$A:$C,MATCH($B$1,Database!$A$1:$C$1,),))</f>
        <v/>
      </c>
      <c r="C15497">
        <f>IF(VLOOKUP(Table7[[#This Row],[Date]],Database!$A:$C,MATCH($C$1,Database!$A$1:$C$1,),)=0,#N/A,VLOOKUP(Table7[[#This Row],[Date]],Database!$A:$C,MATCH($C$1,Database!$A$1:$C$1,),))</f>
        <v/>
      </c>
      <c r="D15497">
        <f>IFERROR(Table7[[#This Row],[United States 10y]]-Table7[[#This Row],[United States 3y]],#N/A)</f>
        <v/>
      </c>
    </row>
    <row r="15498">
      <c r="A15498" s="6">
        <f>Database!$A17583</f>
        <v/>
      </c>
      <c r="B15498">
        <f>IF(VLOOKUP(Table7[[#This Row],[Date]],Database!$A:$C,MATCH($B$1,Database!$A$1:$C$1,),)=0,#N/A,VLOOKUP(Table7[[#This Row],[Date]],Database!$A:$C,MATCH($B$1,Database!$A$1:$C$1,),))</f>
        <v/>
      </c>
      <c r="C15498">
        <f>IF(VLOOKUP(Table7[[#This Row],[Date]],Database!$A:$C,MATCH($C$1,Database!$A$1:$C$1,),)=0,#N/A,VLOOKUP(Table7[[#This Row],[Date]],Database!$A:$C,MATCH($C$1,Database!$A$1:$C$1,),))</f>
        <v/>
      </c>
      <c r="D15498">
        <f>IFERROR(Table7[[#This Row],[United States 10y]]-Table7[[#This Row],[United States 3y]],#N/A)</f>
        <v/>
      </c>
    </row>
    <row r="15499">
      <c r="A15499" s="6">
        <f>Database!$A17584</f>
        <v/>
      </c>
      <c r="B15499">
        <f>IF(VLOOKUP(Table7[[#This Row],[Date]],Database!$A:$C,MATCH($B$1,Database!$A$1:$C$1,),)=0,#N/A,VLOOKUP(Table7[[#This Row],[Date]],Database!$A:$C,MATCH($B$1,Database!$A$1:$C$1,),))</f>
        <v/>
      </c>
      <c r="C15499">
        <f>IF(VLOOKUP(Table7[[#This Row],[Date]],Database!$A:$C,MATCH($C$1,Database!$A$1:$C$1,),)=0,#N/A,VLOOKUP(Table7[[#This Row],[Date]],Database!$A:$C,MATCH($C$1,Database!$A$1:$C$1,),))</f>
        <v/>
      </c>
      <c r="D15499">
        <f>IFERROR(Table7[[#This Row],[United States 10y]]-Table7[[#This Row],[United States 3y]],#N/A)</f>
        <v/>
      </c>
    </row>
    <row r="15500">
      <c r="A15500" s="6">
        <f>Database!$A17585</f>
        <v/>
      </c>
      <c r="B15500">
        <f>IF(VLOOKUP(Table7[[#This Row],[Date]],Database!$A:$C,MATCH($B$1,Database!$A$1:$C$1,),)=0,#N/A,VLOOKUP(Table7[[#This Row],[Date]],Database!$A:$C,MATCH($B$1,Database!$A$1:$C$1,),))</f>
        <v/>
      </c>
      <c r="C15500">
        <f>IF(VLOOKUP(Table7[[#This Row],[Date]],Database!$A:$C,MATCH($C$1,Database!$A$1:$C$1,),)=0,#N/A,VLOOKUP(Table7[[#This Row],[Date]],Database!$A:$C,MATCH($C$1,Database!$A$1:$C$1,),))</f>
        <v/>
      </c>
      <c r="D15500">
        <f>IFERROR(Table7[[#This Row],[United States 10y]]-Table7[[#This Row],[United States 3y]],#N/A)</f>
        <v/>
      </c>
    </row>
    <row r="15501">
      <c r="A15501" s="6">
        <f>Database!$A17586</f>
        <v/>
      </c>
      <c r="B15501">
        <f>IF(VLOOKUP(Table7[[#This Row],[Date]],Database!$A:$C,MATCH($B$1,Database!$A$1:$C$1,),)=0,#N/A,VLOOKUP(Table7[[#This Row],[Date]],Database!$A:$C,MATCH($B$1,Database!$A$1:$C$1,),))</f>
        <v/>
      </c>
      <c r="C15501">
        <f>IF(VLOOKUP(Table7[[#This Row],[Date]],Database!$A:$C,MATCH($C$1,Database!$A$1:$C$1,),)=0,#N/A,VLOOKUP(Table7[[#This Row],[Date]],Database!$A:$C,MATCH($C$1,Database!$A$1:$C$1,),))</f>
        <v/>
      </c>
      <c r="D15501">
        <f>IFERROR(Table7[[#This Row],[United States 10y]]-Table7[[#This Row],[United States 3y]],#N/A)</f>
        <v/>
      </c>
    </row>
    <row r="15502">
      <c r="A15502" s="6">
        <f>Database!$A17587</f>
        <v/>
      </c>
      <c r="B15502">
        <f>IF(VLOOKUP(Table7[[#This Row],[Date]],Database!$A:$C,MATCH($B$1,Database!$A$1:$C$1,),)=0,#N/A,VLOOKUP(Table7[[#This Row],[Date]],Database!$A:$C,MATCH($B$1,Database!$A$1:$C$1,),))</f>
        <v/>
      </c>
      <c r="C15502">
        <f>IF(VLOOKUP(Table7[[#This Row],[Date]],Database!$A:$C,MATCH($C$1,Database!$A$1:$C$1,),)=0,#N/A,VLOOKUP(Table7[[#This Row],[Date]],Database!$A:$C,MATCH($C$1,Database!$A$1:$C$1,),))</f>
        <v/>
      </c>
      <c r="D15502">
        <f>IFERROR(Table7[[#This Row],[United States 10y]]-Table7[[#This Row],[United States 3y]],#N/A)</f>
        <v/>
      </c>
    </row>
    <row r="15503">
      <c r="A15503" s="6">
        <f>Database!$A17588</f>
        <v/>
      </c>
      <c r="B15503">
        <f>IF(VLOOKUP(Table7[[#This Row],[Date]],Database!$A:$C,MATCH($B$1,Database!$A$1:$C$1,),)=0,#N/A,VLOOKUP(Table7[[#This Row],[Date]],Database!$A:$C,MATCH($B$1,Database!$A$1:$C$1,),))</f>
        <v/>
      </c>
      <c r="C15503">
        <f>IF(VLOOKUP(Table7[[#This Row],[Date]],Database!$A:$C,MATCH($C$1,Database!$A$1:$C$1,),)=0,#N/A,VLOOKUP(Table7[[#This Row],[Date]],Database!$A:$C,MATCH($C$1,Database!$A$1:$C$1,),))</f>
        <v/>
      </c>
      <c r="D15503">
        <f>IFERROR(Table7[[#This Row],[United States 10y]]-Table7[[#This Row],[United States 3y]],#N/A)</f>
        <v/>
      </c>
    </row>
    <row r="15504">
      <c r="A15504" s="6">
        <f>Database!$A17589</f>
        <v/>
      </c>
      <c r="B15504">
        <f>IF(VLOOKUP(Table7[[#This Row],[Date]],Database!$A:$C,MATCH($B$1,Database!$A$1:$C$1,),)=0,#N/A,VLOOKUP(Table7[[#This Row],[Date]],Database!$A:$C,MATCH($B$1,Database!$A$1:$C$1,),))</f>
        <v/>
      </c>
      <c r="C15504">
        <f>IF(VLOOKUP(Table7[[#This Row],[Date]],Database!$A:$C,MATCH($C$1,Database!$A$1:$C$1,),)=0,#N/A,VLOOKUP(Table7[[#This Row],[Date]],Database!$A:$C,MATCH($C$1,Database!$A$1:$C$1,),))</f>
        <v/>
      </c>
      <c r="D15504">
        <f>IFERROR(Table7[[#This Row],[United States 10y]]-Table7[[#This Row],[United States 3y]],#N/A)</f>
        <v/>
      </c>
    </row>
    <row r="15505">
      <c r="A15505" s="6">
        <f>Database!$A17590</f>
        <v/>
      </c>
      <c r="B15505">
        <f>IF(VLOOKUP(Table7[[#This Row],[Date]],Database!$A:$C,MATCH($B$1,Database!$A$1:$C$1,),)=0,#N/A,VLOOKUP(Table7[[#This Row],[Date]],Database!$A:$C,MATCH($B$1,Database!$A$1:$C$1,),))</f>
        <v/>
      </c>
      <c r="C15505">
        <f>IF(VLOOKUP(Table7[[#This Row],[Date]],Database!$A:$C,MATCH($C$1,Database!$A$1:$C$1,),)=0,#N/A,VLOOKUP(Table7[[#This Row],[Date]],Database!$A:$C,MATCH($C$1,Database!$A$1:$C$1,),))</f>
        <v/>
      </c>
      <c r="D15505">
        <f>IFERROR(Table7[[#This Row],[United States 10y]]-Table7[[#This Row],[United States 3y]],#N/A)</f>
        <v/>
      </c>
    </row>
    <row r="15506">
      <c r="A15506" s="6">
        <f>Database!$A17591</f>
        <v/>
      </c>
      <c r="B15506">
        <f>IF(VLOOKUP(Table7[[#This Row],[Date]],Database!$A:$C,MATCH($B$1,Database!$A$1:$C$1,),)=0,#N/A,VLOOKUP(Table7[[#This Row],[Date]],Database!$A:$C,MATCH($B$1,Database!$A$1:$C$1,),))</f>
        <v/>
      </c>
      <c r="C15506">
        <f>IF(VLOOKUP(Table7[[#This Row],[Date]],Database!$A:$C,MATCH($C$1,Database!$A$1:$C$1,),)=0,#N/A,VLOOKUP(Table7[[#This Row],[Date]],Database!$A:$C,MATCH($C$1,Database!$A$1:$C$1,),))</f>
        <v/>
      </c>
      <c r="D15506">
        <f>IFERROR(Table7[[#This Row],[United States 10y]]-Table7[[#This Row],[United States 3y]],#N/A)</f>
        <v/>
      </c>
    </row>
    <row r="15507">
      <c r="A15507" s="6">
        <f>Database!$A17592</f>
        <v/>
      </c>
      <c r="B15507">
        <f>IF(VLOOKUP(Table7[[#This Row],[Date]],Database!$A:$C,MATCH($B$1,Database!$A$1:$C$1,),)=0,#N/A,VLOOKUP(Table7[[#This Row],[Date]],Database!$A:$C,MATCH($B$1,Database!$A$1:$C$1,),))</f>
        <v/>
      </c>
      <c r="C15507">
        <f>IF(VLOOKUP(Table7[[#This Row],[Date]],Database!$A:$C,MATCH($C$1,Database!$A$1:$C$1,),)=0,#N/A,VLOOKUP(Table7[[#This Row],[Date]],Database!$A:$C,MATCH($C$1,Database!$A$1:$C$1,),))</f>
        <v/>
      </c>
      <c r="D15507">
        <f>IFERROR(Table7[[#This Row],[United States 10y]]-Table7[[#This Row],[United States 3y]],#N/A)</f>
        <v/>
      </c>
    </row>
    <row r="15508">
      <c r="A15508" s="6">
        <f>Database!$A17593</f>
        <v/>
      </c>
      <c r="B15508">
        <f>IF(VLOOKUP(Table7[[#This Row],[Date]],Database!$A:$C,MATCH($B$1,Database!$A$1:$C$1,),)=0,#N/A,VLOOKUP(Table7[[#This Row],[Date]],Database!$A:$C,MATCH($B$1,Database!$A$1:$C$1,),))</f>
        <v/>
      </c>
      <c r="C15508">
        <f>IF(VLOOKUP(Table7[[#This Row],[Date]],Database!$A:$C,MATCH($C$1,Database!$A$1:$C$1,),)=0,#N/A,VLOOKUP(Table7[[#This Row],[Date]],Database!$A:$C,MATCH($C$1,Database!$A$1:$C$1,),))</f>
        <v/>
      </c>
      <c r="D15508">
        <f>IFERROR(Table7[[#This Row],[United States 10y]]-Table7[[#This Row],[United States 3y]],#N/A)</f>
        <v/>
      </c>
    </row>
    <row r="15509">
      <c r="A15509" s="6">
        <f>Database!$A17594</f>
        <v/>
      </c>
      <c r="B15509">
        <f>IF(VLOOKUP(Table7[[#This Row],[Date]],Database!$A:$C,MATCH($B$1,Database!$A$1:$C$1,),)=0,#N/A,VLOOKUP(Table7[[#This Row],[Date]],Database!$A:$C,MATCH($B$1,Database!$A$1:$C$1,),))</f>
        <v/>
      </c>
      <c r="C15509">
        <f>IF(VLOOKUP(Table7[[#This Row],[Date]],Database!$A:$C,MATCH($C$1,Database!$A$1:$C$1,),)=0,#N/A,VLOOKUP(Table7[[#This Row],[Date]],Database!$A:$C,MATCH($C$1,Database!$A$1:$C$1,),))</f>
        <v/>
      </c>
      <c r="D15509">
        <f>IFERROR(Table7[[#This Row],[United States 10y]]-Table7[[#This Row],[United States 3y]],#N/A)</f>
        <v/>
      </c>
    </row>
    <row r="15510">
      <c r="A15510" s="6">
        <f>Database!$A17595</f>
        <v/>
      </c>
      <c r="B15510">
        <f>IF(VLOOKUP(Table7[[#This Row],[Date]],Database!$A:$C,MATCH($B$1,Database!$A$1:$C$1,),)=0,#N/A,VLOOKUP(Table7[[#This Row],[Date]],Database!$A:$C,MATCH($B$1,Database!$A$1:$C$1,),))</f>
        <v/>
      </c>
      <c r="C15510">
        <f>IF(VLOOKUP(Table7[[#This Row],[Date]],Database!$A:$C,MATCH($C$1,Database!$A$1:$C$1,),)=0,#N/A,VLOOKUP(Table7[[#This Row],[Date]],Database!$A:$C,MATCH($C$1,Database!$A$1:$C$1,),))</f>
        <v/>
      </c>
      <c r="D15510">
        <f>IFERROR(Table7[[#This Row],[United States 10y]]-Table7[[#This Row],[United States 3y]],#N/A)</f>
        <v/>
      </c>
    </row>
    <row r="15511">
      <c r="A15511" s="6">
        <f>Database!$A17596</f>
        <v/>
      </c>
      <c r="B15511">
        <f>IF(VLOOKUP(Table7[[#This Row],[Date]],Database!$A:$C,MATCH($B$1,Database!$A$1:$C$1,),)=0,#N/A,VLOOKUP(Table7[[#This Row],[Date]],Database!$A:$C,MATCH($B$1,Database!$A$1:$C$1,),))</f>
        <v/>
      </c>
      <c r="C15511">
        <f>IF(VLOOKUP(Table7[[#This Row],[Date]],Database!$A:$C,MATCH($C$1,Database!$A$1:$C$1,),)=0,#N/A,VLOOKUP(Table7[[#This Row],[Date]],Database!$A:$C,MATCH($C$1,Database!$A$1:$C$1,),))</f>
        <v/>
      </c>
      <c r="D15511">
        <f>IFERROR(Table7[[#This Row],[United States 10y]]-Table7[[#This Row],[United States 3y]],#N/A)</f>
        <v/>
      </c>
    </row>
    <row r="15512">
      <c r="A15512" s="6">
        <f>Database!$A17597</f>
        <v/>
      </c>
      <c r="B15512">
        <f>IF(VLOOKUP(Table7[[#This Row],[Date]],Database!$A:$C,MATCH($B$1,Database!$A$1:$C$1,),)=0,#N/A,VLOOKUP(Table7[[#This Row],[Date]],Database!$A:$C,MATCH($B$1,Database!$A$1:$C$1,),))</f>
        <v/>
      </c>
      <c r="C15512">
        <f>IF(VLOOKUP(Table7[[#This Row],[Date]],Database!$A:$C,MATCH($C$1,Database!$A$1:$C$1,),)=0,#N/A,VLOOKUP(Table7[[#This Row],[Date]],Database!$A:$C,MATCH($C$1,Database!$A$1:$C$1,),))</f>
        <v/>
      </c>
      <c r="D15512">
        <f>IFERROR(Table7[[#This Row],[United States 10y]]-Table7[[#This Row],[United States 3y]],#N/A)</f>
        <v/>
      </c>
    </row>
    <row r="15513">
      <c r="A15513" s="6">
        <f>Database!$A17598</f>
        <v/>
      </c>
      <c r="B15513">
        <f>IF(VLOOKUP(Table7[[#This Row],[Date]],Database!$A:$C,MATCH($B$1,Database!$A$1:$C$1,),)=0,#N/A,VLOOKUP(Table7[[#This Row],[Date]],Database!$A:$C,MATCH($B$1,Database!$A$1:$C$1,),))</f>
        <v/>
      </c>
      <c r="C15513">
        <f>IF(VLOOKUP(Table7[[#This Row],[Date]],Database!$A:$C,MATCH($C$1,Database!$A$1:$C$1,),)=0,#N/A,VLOOKUP(Table7[[#This Row],[Date]],Database!$A:$C,MATCH($C$1,Database!$A$1:$C$1,),))</f>
        <v/>
      </c>
      <c r="D15513">
        <f>IFERROR(Table7[[#This Row],[United States 10y]]-Table7[[#This Row],[United States 3y]],#N/A)</f>
        <v/>
      </c>
    </row>
    <row r="15514">
      <c r="A15514" s="6">
        <f>Database!$A17599</f>
        <v/>
      </c>
      <c r="B15514">
        <f>IF(VLOOKUP(Table7[[#This Row],[Date]],Database!$A:$C,MATCH($B$1,Database!$A$1:$C$1,),)=0,#N/A,VLOOKUP(Table7[[#This Row],[Date]],Database!$A:$C,MATCH($B$1,Database!$A$1:$C$1,),))</f>
        <v/>
      </c>
      <c r="C15514">
        <f>IF(VLOOKUP(Table7[[#This Row],[Date]],Database!$A:$C,MATCH($C$1,Database!$A$1:$C$1,),)=0,#N/A,VLOOKUP(Table7[[#This Row],[Date]],Database!$A:$C,MATCH($C$1,Database!$A$1:$C$1,),))</f>
        <v/>
      </c>
      <c r="D15514">
        <f>IFERROR(Table7[[#This Row],[United States 10y]]-Table7[[#This Row],[United States 3y]],#N/A)</f>
        <v/>
      </c>
    </row>
    <row r="15515">
      <c r="A15515" s="6">
        <f>Database!$A17600</f>
        <v/>
      </c>
      <c r="B15515">
        <f>IF(VLOOKUP(Table7[[#This Row],[Date]],Database!$A:$C,MATCH($B$1,Database!$A$1:$C$1,),)=0,#N/A,VLOOKUP(Table7[[#This Row],[Date]],Database!$A:$C,MATCH($B$1,Database!$A$1:$C$1,),))</f>
        <v/>
      </c>
      <c r="C15515">
        <f>IF(VLOOKUP(Table7[[#This Row],[Date]],Database!$A:$C,MATCH($C$1,Database!$A$1:$C$1,),)=0,#N/A,VLOOKUP(Table7[[#This Row],[Date]],Database!$A:$C,MATCH($C$1,Database!$A$1:$C$1,),))</f>
        <v/>
      </c>
      <c r="D15515">
        <f>IFERROR(Table7[[#This Row],[United States 10y]]-Table7[[#This Row],[United States 3y]],#N/A)</f>
        <v/>
      </c>
    </row>
    <row r="15516">
      <c r="A15516" s="6">
        <f>Database!$A17601</f>
        <v/>
      </c>
      <c r="B15516">
        <f>IF(VLOOKUP(Table7[[#This Row],[Date]],Database!$A:$C,MATCH($B$1,Database!$A$1:$C$1,),)=0,#N/A,VLOOKUP(Table7[[#This Row],[Date]],Database!$A:$C,MATCH($B$1,Database!$A$1:$C$1,),))</f>
        <v/>
      </c>
      <c r="C15516">
        <f>IF(VLOOKUP(Table7[[#This Row],[Date]],Database!$A:$C,MATCH($C$1,Database!$A$1:$C$1,),)=0,#N/A,VLOOKUP(Table7[[#This Row],[Date]],Database!$A:$C,MATCH($C$1,Database!$A$1:$C$1,),))</f>
        <v/>
      </c>
      <c r="D15516">
        <f>IFERROR(Table7[[#This Row],[United States 10y]]-Table7[[#This Row],[United States 3y]],#N/A)</f>
        <v/>
      </c>
    </row>
    <row r="15517">
      <c r="A15517" s="6">
        <f>Database!$A17602</f>
        <v/>
      </c>
      <c r="B15517">
        <f>IF(VLOOKUP(Table7[[#This Row],[Date]],Database!$A:$C,MATCH($B$1,Database!$A$1:$C$1,),)=0,#N/A,VLOOKUP(Table7[[#This Row],[Date]],Database!$A:$C,MATCH($B$1,Database!$A$1:$C$1,),))</f>
        <v/>
      </c>
      <c r="C15517">
        <f>IF(VLOOKUP(Table7[[#This Row],[Date]],Database!$A:$C,MATCH($C$1,Database!$A$1:$C$1,),)=0,#N/A,VLOOKUP(Table7[[#This Row],[Date]],Database!$A:$C,MATCH($C$1,Database!$A$1:$C$1,),))</f>
        <v/>
      </c>
      <c r="D15517">
        <f>IFERROR(Table7[[#This Row],[United States 10y]]-Table7[[#This Row],[United States 3y]],#N/A)</f>
        <v/>
      </c>
    </row>
    <row r="15518">
      <c r="A15518" s="6">
        <f>Database!$A17603</f>
        <v/>
      </c>
      <c r="B15518">
        <f>IF(VLOOKUP(Table7[[#This Row],[Date]],Database!$A:$C,MATCH($B$1,Database!$A$1:$C$1,),)=0,#N/A,VLOOKUP(Table7[[#This Row],[Date]],Database!$A:$C,MATCH($B$1,Database!$A$1:$C$1,),))</f>
        <v/>
      </c>
      <c r="C15518">
        <f>IF(VLOOKUP(Table7[[#This Row],[Date]],Database!$A:$C,MATCH($C$1,Database!$A$1:$C$1,),)=0,#N/A,VLOOKUP(Table7[[#This Row],[Date]],Database!$A:$C,MATCH($C$1,Database!$A$1:$C$1,),))</f>
        <v/>
      </c>
      <c r="D15518">
        <f>IFERROR(Table7[[#This Row],[United States 10y]]-Table7[[#This Row],[United States 3y]],#N/A)</f>
        <v/>
      </c>
    </row>
    <row r="15519">
      <c r="A15519" s="6">
        <f>Database!$A17604</f>
        <v/>
      </c>
      <c r="B15519">
        <f>IF(VLOOKUP(Table7[[#This Row],[Date]],Database!$A:$C,MATCH($B$1,Database!$A$1:$C$1,),)=0,#N/A,VLOOKUP(Table7[[#This Row],[Date]],Database!$A:$C,MATCH($B$1,Database!$A$1:$C$1,),))</f>
        <v/>
      </c>
      <c r="C15519">
        <f>IF(VLOOKUP(Table7[[#This Row],[Date]],Database!$A:$C,MATCH($C$1,Database!$A$1:$C$1,),)=0,#N/A,VLOOKUP(Table7[[#This Row],[Date]],Database!$A:$C,MATCH($C$1,Database!$A$1:$C$1,),))</f>
        <v/>
      </c>
      <c r="D15519">
        <f>IFERROR(Table7[[#This Row],[United States 10y]]-Table7[[#This Row],[United States 3y]],#N/A)</f>
        <v/>
      </c>
    </row>
    <row r="15520">
      <c r="A15520" s="6">
        <f>Database!$A17605</f>
        <v/>
      </c>
      <c r="B15520">
        <f>IF(VLOOKUP(Table7[[#This Row],[Date]],Database!$A:$C,MATCH($B$1,Database!$A$1:$C$1,),)=0,#N/A,VLOOKUP(Table7[[#This Row],[Date]],Database!$A:$C,MATCH($B$1,Database!$A$1:$C$1,),))</f>
        <v/>
      </c>
      <c r="C15520">
        <f>IF(VLOOKUP(Table7[[#This Row],[Date]],Database!$A:$C,MATCH($C$1,Database!$A$1:$C$1,),)=0,#N/A,VLOOKUP(Table7[[#This Row],[Date]],Database!$A:$C,MATCH($C$1,Database!$A$1:$C$1,),))</f>
        <v/>
      </c>
      <c r="D15520">
        <f>IFERROR(Table7[[#This Row],[United States 10y]]-Table7[[#This Row],[United States 3y]],#N/A)</f>
        <v/>
      </c>
    </row>
    <row r="15521">
      <c r="A15521" s="6">
        <f>Database!$A17606</f>
        <v/>
      </c>
      <c r="B15521">
        <f>IF(VLOOKUP(Table7[[#This Row],[Date]],Database!$A:$C,MATCH($B$1,Database!$A$1:$C$1,),)=0,#N/A,VLOOKUP(Table7[[#This Row],[Date]],Database!$A:$C,MATCH($B$1,Database!$A$1:$C$1,),))</f>
        <v/>
      </c>
      <c r="C15521">
        <f>IF(VLOOKUP(Table7[[#This Row],[Date]],Database!$A:$C,MATCH($C$1,Database!$A$1:$C$1,),)=0,#N/A,VLOOKUP(Table7[[#This Row],[Date]],Database!$A:$C,MATCH($C$1,Database!$A$1:$C$1,),))</f>
        <v/>
      </c>
      <c r="D15521">
        <f>IFERROR(Table7[[#This Row],[United States 10y]]-Table7[[#This Row],[United States 3y]],#N/A)</f>
        <v/>
      </c>
    </row>
    <row r="15522">
      <c r="A15522" s="6">
        <f>Database!$A17607</f>
        <v/>
      </c>
      <c r="B15522">
        <f>IF(VLOOKUP(Table7[[#This Row],[Date]],Database!$A:$C,MATCH($B$1,Database!$A$1:$C$1,),)=0,#N/A,VLOOKUP(Table7[[#This Row],[Date]],Database!$A:$C,MATCH($B$1,Database!$A$1:$C$1,),))</f>
        <v/>
      </c>
      <c r="C15522">
        <f>IF(VLOOKUP(Table7[[#This Row],[Date]],Database!$A:$C,MATCH($C$1,Database!$A$1:$C$1,),)=0,#N/A,VLOOKUP(Table7[[#This Row],[Date]],Database!$A:$C,MATCH($C$1,Database!$A$1:$C$1,),))</f>
        <v/>
      </c>
      <c r="D15522">
        <f>IFERROR(Table7[[#This Row],[United States 10y]]-Table7[[#This Row],[United States 3y]],#N/A)</f>
        <v/>
      </c>
    </row>
    <row r="15523">
      <c r="A15523" s="6">
        <f>Database!$A17608</f>
        <v/>
      </c>
      <c r="B15523">
        <f>IF(VLOOKUP(Table7[[#This Row],[Date]],Database!$A:$C,MATCH($B$1,Database!$A$1:$C$1,),)=0,#N/A,VLOOKUP(Table7[[#This Row],[Date]],Database!$A:$C,MATCH($B$1,Database!$A$1:$C$1,),))</f>
        <v/>
      </c>
      <c r="C15523">
        <f>IF(VLOOKUP(Table7[[#This Row],[Date]],Database!$A:$C,MATCH($C$1,Database!$A$1:$C$1,),)=0,#N/A,VLOOKUP(Table7[[#This Row],[Date]],Database!$A:$C,MATCH($C$1,Database!$A$1:$C$1,),))</f>
        <v/>
      </c>
      <c r="D15523">
        <f>IFERROR(Table7[[#This Row],[United States 10y]]-Table7[[#This Row],[United States 3y]],#N/A)</f>
        <v/>
      </c>
    </row>
    <row r="15524">
      <c r="A15524" s="6">
        <f>Database!$A17609</f>
        <v/>
      </c>
      <c r="B15524">
        <f>IF(VLOOKUP(Table7[[#This Row],[Date]],Database!$A:$C,MATCH($B$1,Database!$A$1:$C$1,),)=0,#N/A,VLOOKUP(Table7[[#This Row],[Date]],Database!$A:$C,MATCH($B$1,Database!$A$1:$C$1,),))</f>
        <v/>
      </c>
      <c r="C15524">
        <f>IF(VLOOKUP(Table7[[#This Row],[Date]],Database!$A:$C,MATCH($C$1,Database!$A$1:$C$1,),)=0,#N/A,VLOOKUP(Table7[[#This Row],[Date]],Database!$A:$C,MATCH($C$1,Database!$A$1:$C$1,),))</f>
        <v/>
      </c>
      <c r="D15524">
        <f>IFERROR(Table7[[#This Row],[United States 10y]]-Table7[[#This Row],[United States 3y]],#N/A)</f>
        <v/>
      </c>
    </row>
    <row r="15525">
      <c r="A15525" s="6">
        <f>Database!$A17610</f>
        <v/>
      </c>
      <c r="B15525">
        <f>IF(VLOOKUP(Table7[[#This Row],[Date]],Database!$A:$C,MATCH($B$1,Database!$A$1:$C$1,),)=0,#N/A,VLOOKUP(Table7[[#This Row],[Date]],Database!$A:$C,MATCH($B$1,Database!$A$1:$C$1,),))</f>
        <v/>
      </c>
      <c r="C15525">
        <f>IF(VLOOKUP(Table7[[#This Row],[Date]],Database!$A:$C,MATCH($C$1,Database!$A$1:$C$1,),)=0,#N/A,VLOOKUP(Table7[[#This Row],[Date]],Database!$A:$C,MATCH($C$1,Database!$A$1:$C$1,),))</f>
        <v/>
      </c>
      <c r="D15525">
        <f>IFERROR(Table7[[#This Row],[United States 10y]]-Table7[[#This Row],[United States 3y]],#N/A)</f>
        <v/>
      </c>
    </row>
    <row r="15526">
      <c r="A15526" s="6">
        <f>Database!$A17611</f>
        <v/>
      </c>
      <c r="B15526">
        <f>IF(VLOOKUP(Table7[[#This Row],[Date]],Database!$A:$C,MATCH($B$1,Database!$A$1:$C$1,),)=0,#N/A,VLOOKUP(Table7[[#This Row],[Date]],Database!$A:$C,MATCH($B$1,Database!$A$1:$C$1,),))</f>
        <v/>
      </c>
      <c r="C15526">
        <f>IF(VLOOKUP(Table7[[#This Row],[Date]],Database!$A:$C,MATCH($C$1,Database!$A$1:$C$1,),)=0,#N/A,VLOOKUP(Table7[[#This Row],[Date]],Database!$A:$C,MATCH($C$1,Database!$A$1:$C$1,),))</f>
        <v/>
      </c>
      <c r="D15526">
        <f>IFERROR(Table7[[#This Row],[United States 10y]]-Table7[[#This Row],[United States 3y]],#N/A)</f>
        <v/>
      </c>
    </row>
    <row r="15527">
      <c r="A15527" s="6">
        <f>Database!$A17612</f>
        <v/>
      </c>
      <c r="B15527">
        <f>IF(VLOOKUP(Table7[[#This Row],[Date]],Database!$A:$C,MATCH($B$1,Database!$A$1:$C$1,),)=0,#N/A,VLOOKUP(Table7[[#This Row],[Date]],Database!$A:$C,MATCH($B$1,Database!$A$1:$C$1,),))</f>
        <v/>
      </c>
      <c r="C15527">
        <f>IF(VLOOKUP(Table7[[#This Row],[Date]],Database!$A:$C,MATCH($C$1,Database!$A$1:$C$1,),)=0,#N/A,VLOOKUP(Table7[[#This Row],[Date]],Database!$A:$C,MATCH($C$1,Database!$A$1:$C$1,),))</f>
        <v/>
      </c>
      <c r="D15527">
        <f>IFERROR(Table7[[#This Row],[United States 10y]]-Table7[[#This Row],[United States 3y]],#N/A)</f>
        <v/>
      </c>
    </row>
    <row r="15528">
      <c r="A15528" s="6">
        <f>Database!$A17613</f>
        <v/>
      </c>
      <c r="B15528">
        <f>IF(VLOOKUP(Table7[[#This Row],[Date]],Database!$A:$C,MATCH($B$1,Database!$A$1:$C$1,),)=0,#N/A,VLOOKUP(Table7[[#This Row],[Date]],Database!$A:$C,MATCH($B$1,Database!$A$1:$C$1,),))</f>
        <v/>
      </c>
      <c r="C15528">
        <f>IF(VLOOKUP(Table7[[#This Row],[Date]],Database!$A:$C,MATCH($C$1,Database!$A$1:$C$1,),)=0,#N/A,VLOOKUP(Table7[[#This Row],[Date]],Database!$A:$C,MATCH($C$1,Database!$A$1:$C$1,),))</f>
        <v/>
      </c>
      <c r="D15528">
        <f>IFERROR(Table7[[#This Row],[United States 10y]]-Table7[[#This Row],[United States 3y]],#N/A)</f>
        <v/>
      </c>
    </row>
    <row r="15529">
      <c r="A15529" s="6">
        <f>Database!$A17614</f>
        <v/>
      </c>
      <c r="B15529">
        <f>IF(VLOOKUP(Table7[[#This Row],[Date]],Database!$A:$C,MATCH($B$1,Database!$A$1:$C$1,),)=0,#N/A,VLOOKUP(Table7[[#This Row],[Date]],Database!$A:$C,MATCH($B$1,Database!$A$1:$C$1,),))</f>
        <v/>
      </c>
      <c r="C15529">
        <f>IF(VLOOKUP(Table7[[#This Row],[Date]],Database!$A:$C,MATCH($C$1,Database!$A$1:$C$1,),)=0,#N/A,VLOOKUP(Table7[[#This Row],[Date]],Database!$A:$C,MATCH($C$1,Database!$A$1:$C$1,),))</f>
        <v/>
      </c>
      <c r="D15529">
        <f>IFERROR(Table7[[#This Row],[United States 10y]]-Table7[[#This Row],[United States 3y]],#N/A)</f>
        <v/>
      </c>
    </row>
    <row r="15530">
      <c r="A15530" s="6">
        <f>Database!$A17615</f>
        <v/>
      </c>
      <c r="B15530">
        <f>IF(VLOOKUP(Table7[[#This Row],[Date]],Database!$A:$C,MATCH($B$1,Database!$A$1:$C$1,),)=0,#N/A,VLOOKUP(Table7[[#This Row],[Date]],Database!$A:$C,MATCH($B$1,Database!$A$1:$C$1,),))</f>
        <v/>
      </c>
      <c r="C15530">
        <f>IF(VLOOKUP(Table7[[#This Row],[Date]],Database!$A:$C,MATCH($C$1,Database!$A$1:$C$1,),)=0,#N/A,VLOOKUP(Table7[[#This Row],[Date]],Database!$A:$C,MATCH($C$1,Database!$A$1:$C$1,),))</f>
        <v/>
      </c>
      <c r="D15530">
        <f>IFERROR(Table7[[#This Row],[United States 10y]]-Table7[[#This Row],[United States 3y]],#N/A)</f>
        <v/>
      </c>
    </row>
    <row r="15531">
      <c r="A15531" s="6">
        <f>Database!$A17616</f>
        <v/>
      </c>
      <c r="B15531">
        <f>IF(VLOOKUP(Table7[[#This Row],[Date]],Database!$A:$C,MATCH($B$1,Database!$A$1:$C$1,),)=0,#N/A,VLOOKUP(Table7[[#This Row],[Date]],Database!$A:$C,MATCH($B$1,Database!$A$1:$C$1,),))</f>
        <v/>
      </c>
      <c r="C15531">
        <f>IF(VLOOKUP(Table7[[#This Row],[Date]],Database!$A:$C,MATCH($C$1,Database!$A$1:$C$1,),)=0,#N/A,VLOOKUP(Table7[[#This Row],[Date]],Database!$A:$C,MATCH($C$1,Database!$A$1:$C$1,),))</f>
        <v/>
      </c>
      <c r="D15531">
        <f>IFERROR(Table7[[#This Row],[United States 10y]]-Table7[[#This Row],[United States 3y]],#N/A)</f>
        <v/>
      </c>
    </row>
    <row r="15532">
      <c r="A15532" s="6">
        <f>Database!$A17617</f>
        <v/>
      </c>
      <c r="B15532">
        <f>IF(VLOOKUP(Table7[[#This Row],[Date]],Database!$A:$C,MATCH($B$1,Database!$A$1:$C$1,),)=0,#N/A,VLOOKUP(Table7[[#This Row],[Date]],Database!$A:$C,MATCH($B$1,Database!$A$1:$C$1,),))</f>
        <v/>
      </c>
      <c r="C15532">
        <f>IF(VLOOKUP(Table7[[#This Row],[Date]],Database!$A:$C,MATCH($C$1,Database!$A$1:$C$1,),)=0,#N/A,VLOOKUP(Table7[[#This Row],[Date]],Database!$A:$C,MATCH($C$1,Database!$A$1:$C$1,),))</f>
        <v/>
      </c>
      <c r="D15532">
        <f>IFERROR(Table7[[#This Row],[United States 10y]]-Table7[[#This Row],[United States 3y]],#N/A)</f>
        <v/>
      </c>
    </row>
    <row r="15533">
      <c r="A15533" s="6">
        <f>Database!$A17618</f>
        <v/>
      </c>
      <c r="B15533">
        <f>IF(VLOOKUP(Table7[[#This Row],[Date]],Database!$A:$C,MATCH($B$1,Database!$A$1:$C$1,),)=0,#N/A,VLOOKUP(Table7[[#This Row],[Date]],Database!$A:$C,MATCH($B$1,Database!$A$1:$C$1,),))</f>
        <v/>
      </c>
      <c r="C15533">
        <f>IF(VLOOKUP(Table7[[#This Row],[Date]],Database!$A:$C,MATCH($C$1,Database!$A$1:$C$1,),)=0,#N/A,VLOOKUP(Table7[[#This Row],[Date]],Database!$A:$C,MATCH($C$1,Database!$A$1:$C$1,),))</f>
        <v/>
      </c>
      <c r="D15533">
        <f>IFERROR(Table7[[#This Row],[United States 10y]]-Table7[[#This Row],[United States 3y]],#N/A)</f>
        <v/>
      </c>
    </row>
    <row r="15534">
      <c r="A15534" s="6">
        <f>Database!$A17619</f>
        <v/>
      </c>
      <c r="B15534">
        <f>IF(VLOOKUP(Table7[[#This Row],[Date]],Database!$A:$C,MATCH($B$1,Database!$A$1:$C$1,),)=0,#N/A,VLOOKUP(Table7[[#This Row],[Date]],Database!$A:$C,MATCH($B$1,Database!$A$1:$C$1,),))</f>
        <v/>
      </c>
      <c r="C15534">
        <f>IF(VLOOKUP(Table7[[#This Row],[Date]],Database!$A:$C,MATCH($C$1,Database!$A$1:$C$1,),)=0,#N/A,VLOOKUP(Table7[[#This Row],[Date]],Database!$A:$C,MATCH($C$1,Database!$A$1:$C$1,),))</f>
        <v/>
      </c>
      <c r="D15534">
        <f>IFERROR(Table7[[#This Row],[United States 10y]]-Table7[[#This Row],[United States 3y]],#N/A)</f>
        <v/>
      </c>
    </row>
    <row r="15535">
      <c r="A15535" s="6">
        <f>Database!$A17620</f>
        <v/>
      </c>
      <c r="B15535">
        <f>IF(VLOOKUP(Table7[[#This Row],[Date]],Database!$A:$C,MATCH($B$1,Database!$A$1:$C$1,),)=0,#N/A,VLOOKUP(Table7[[#This Row],[Date]],Database!$A:$C,MATCH($B$1,Database!$A$1:$C$1,),))</f>
        <v/>
      </c>
      <c r="C15535">
        <f>IF(VLOOKUP(Table7[[#This Row],[Date]],Database!$A:$C,MATCH($C$1,Database!$A$1:$C$1,),)=0,#N/A,VLOOKUP(Table7[[#This Row],[Date]],Database!$A:$C,MATCH($C$1,Database!$A$1:$C$1,),))</f>
        <v/>
      </c>
      <c r="D15535">
        <f>IFERROR(Table7[[#This Row],[United States 10y]]-Table7[[#This Row],[United States 3y]],#N/A)</f>
        <v/>
      </c>
    </row>
    <row r="15536">
      <c r="A15536" s="6">
        <f>Database!$A17621</f>
        <v/>
      </c>
      <c r="B15536">
        <f>IF(VLOOKUP(Table7[[#This Row],[Date]],Database!$A:$C,MATCH($B$1,Database!$A$1:$C$1,),)=0,#N/A,VLOOKUP(Table7[[#This Row],[Date]],Database!$A:$C,MATCH($B$1,Database!$A$1:$C$1,),))</f>
        <v/>
      </c>
      <c r="C15536">
        <f>IF(VLOOKUP(Table7[[#This Row],[Date]],Database!$A:$C,MATCH($C$1,Database!$A$1:$C$1,),)=0,#N/A,VLOOKUP(Table7[[#This Row],[Date]],Database!$A:$C,MATCH($C$1,Database!$A$1:$C$1,),))</f>
        <v/>
      </c>
      <c r="D15536">
        <f>IFERROR(Table7[[#This Row],[United States 10y]]-Table7[[#This Row],[United States 3y]],#N/A)</f>
        <v/>
      </c>
    </row>
    <row r="15537">
      <c r="A15537" s="6">
        <f>Database!$A17622</f>
        <v/>
      </c>
      <c r="B15537">
        <f>IF(VLOOKUP(Table7[[#This Row],[Date]],Database!$A:$C,MATCH($B$1,Database!$A$1:$C$1,),)=0,#N/A,VLOOKUP(Table7[[#This Row],[Date]],Database!$A:$C,MATCH($B$1,Database!$A$1:$C$1,),))</f>
        <v/>
      </c>
      <c r="C15537">
        <f>IF(VLOOKUP(Table7[[#This Row],[Date]],Database!$A:$C,MATCH($C$1,Database!$A$1:$C$1,),)=0,#N/A,VLOOKUP(Table7[[#This Row],[Date]],Database!$A:$C,MATCH($C$1,Database!$A$1:$C$1,),))</f>
        <v/>
      </c>
      <c r="D15537">
        <f>IFERROR(Table7[[#This Row],[United States 10y]]-Table7[[#This Row],[United States 3y]],#N/A)</f>
        <v/>
      </c>
    </row>
    <row r="15538">
      <c r="A15538" s="6">
        <f>Database!$A17623</f>
        <v/>
      </c>
      <c r="B15538">
        <f>IF(VLOOKUP(Table7[[#This Row],[Date]],Database!$A:$C,MATCH($B$1,Database!$A$1:$C$1,),)=0,#N/A,VLOOKUP(Table7[[#This Row],[Date]],Database!$A:$C,MATCH($B$1,Database!$A$1:$C$1,),))</f>
        <v/>
      </c>
      <c r="C15538">
        <f>IF(VLOOKUP(Table7[[#This Row],[Date]],Database!$A:$C,MATCH($C$1,Database!$A$1:$C$1,),)=0,#N/A,VLOOKUP(Table7[[#This Row],[Date]],Database!$A:$C,MATCH($C$1,Database!$A$1:$C$1,),))</f>
        <v/>
      </c>
      <c r="D15538">
        <f>IFERROR(Table7[[#This Row],[United States 10y]]-Table7[[#This Row],[United States 3y]],#N/A)</f>
        <v/>
      </c>
    </row>
    <row r="15539">
      <c r="A15539" s="6">
        <f>Database!$A17624</f>
        <v/>
      </c>
      <c r="B15539">
        <f>IF(VLOOKUP(Table7[[#This Row],[Date]],Database!$A:$C,MATCH($B$1,Database!$A$1:$C$1,),)=0,#N/A,VLOOKUP(Table7[[#This Row],[Date]],Database!$A:$C,MATCH($B$1,Database!$A$1:$C$1,),))</f>
        <v/>
      </c>
      <c r="C15539">
        <f>IF(VLOOKUP(Table7[[#This Row],[Date]],Database!$A:$C,MATCH($C$1,Database!$A$1:$C$1,),)=0,#N/A,VLOOKUP(Table7[[#This Row],[Date]],Database!$A:$C,MATCH($C$1,Database!$A$1:$C$1,),))</f>
        <v/>
      </c>
      <c r="D15539">
        <f>IFERROR(Table7[[#This Row],[United States 10y]]-Table7[[#This Row],[United States 3y]],#N/A)</f>
        <v/>
      </c>
    </row>
    <row r="15540">
      <c r="A15540" s="6">
        <f>Database!$A17625</f>
        <v/>
      </c>
      <c r="B15540">
        <f>IF(VLOOKUP(Table7[[#This Row],[Date]],Database!$A:$C,MATCH($B$1,Database!$A$1:$C$1,),)=0,#N/A,VLOOKUP(Table7[[#This Row],[Date]],Database!$A:$C,MATCH($B$1,Database!$A$1:$C$1,),))</f>
        <v/>
      </c>
      <c r="C15540">
        <f>IF(VLOOKUP(Table7[[#This Row],[Date]],Database!$A:$C,MATCH($C$1,Database!$A$1:$C$1,),)=0,#N/A,VLOOKUP(Table7[[#This Row],[Date]],Database!$A:$C,MATCH($C$1,Database!$A$1:$C$1,),))</f>
        <v/>
      </c>
      <c r="D15540">
        <f>IFERROR(Table7[[#This Row],[United States 10y]]-Table7[[#This Row],[United States 3y]],#N/A)</f>
        <v/>
      </c>
    </row>
    <row r="15541">
      <c r="A15541" s="6">
        <f>Database!$A17626</f>
        <v/>
      </c>
      <c r="B15541">
        <f>IF(VLOOKUP(Table7[[#This Row],[Date]],Database!$A:$C,MATCH($B$1,Database!$A$1:$C$1,),)=0,#N/A,VLOOKUP(Table7[[#This Row],[Date]],Database!$A:$C,MATCH($B$1,Database!$A$1:$C$1,),))</f>
        <v/>
      </c>
      <c r="C15541">
        <f>IF(VLOOKUP(Table7[[#This Row],[Date]],Database!$A:$C,MATCH($C$1,Database!$A$1:$C$1,),)=0,#N/A,VLOOKUP(Table7[[#This Row],[Date]],Database!$A:$C,MATCH($C$1,Database!$A$1:$C$1,),))</f>
        <v/>
      </c>
      <c r="D15541">
        <f>IFERROR(Table7[[#This Row],[United States 10y]]-Table7[[#This Row],[United States 3y]],#N/A)</f>
        <v/>
      </c>
    </row>
    <row r="15542">
      <c r="A15542" s="6">
        <f>Database!$A17627</f>
        <v/>
      </c>
      <c r="B15542">
        <f>IF(VLOOKUP(Table7[[#This Row],[Date]],Database!$A:$C,MATCH($B$1,Database!$A$1:$C$1,),)=0,#N/A,VLOOKUP(Table7[[#This Row],[Date]],Database!$A:$C,MATCH($B$1,Database!$A$1:$C$1,),))</f>
        <v/>
      </c>
      <c r="C15542">
        <f>IF(VLOOKUP(Table7[[#This Row],[Date]],Database!$A:$C,MATCH($C$1,Database!$A$1:$C$1,),)=0,#N/A,VLOOKUP(Table7[[#This Row],[Date]],Database!$A:$C,MATCH($C$1,Database!$A$1:$C$1,),))</f>
        <v/>
      </c>
      <c r="D15542">
        <f>IFERROR(Table7[[#This Row],[United States 10y]]-Table7[[#This Row],[United States 3y]],#N/A)</f>
        <v/>
      </c>
    </row>
    <row r="15543">
      <c r="A15543" s="6">
        <f>Database!$A17628</f>
        <v/>
      </c>
      <c r="B15543">
        <f>IF(VLOOKUP(Table7[[#This Row],[Date]],Database!$A:$C,MATCH($B$1,Database!$A$1:$C$1,),)=0,#N/A,VLOOKUP(Table7[[#This Row],[Date]],Database!$A:$C,MATCH($B$1,Database!$A$1:$C$1,),))</f>
        <v/>
      </c>
      <c r="C15543">
        <f>IF(VLOOKUP(Table7[[#This Row],[Date]],Database!$A:$C,MATCH($C$1,Database!$A$1:$C$1,),)=0,#N/A,VLOOKUP(Table7[[#This Row],[Date]],Database!$A:$C,MATCH($C$1,Database!$A$1:$C$1,),))</f>
        <v/>
      </c>
      <c r="D15543">
        <f>IFERROR(Table7[[#This Row],[United States 10y]]-Table7[[#This Row],[United States 3y]],#N/A)</f>
        <v/>
      </c>
    </row>
    <row r="15544">
      <c r="A15544" s="6">
        <f>Database!$A17629</f>
        <v/>
      </c>
      <c r="B15544">
        <f>IF(VLOOKUP(Table7[[#This Row],[Date]],Database!$A:$C,MATCH($B$1,Database!$A$1:$C$1,),)=0,#N/A,VLOOKUP(Table7[[#This Row],[Date]],Database!$A:$C,MATCH($B$1,Database!$A$1:$C$1,),))</f>
        <v/>
      </c>
      <c r="C15544">
        <f>IF(VLOOKUP(Table7[[#This Row],[Date]],Database!$A:$C,MATCH($C$1,Database!$A$1:$C$1,),)=0,#N/A,VLOOKUP(Table7[[#This Row],[Date]],Database!$A:$C,MATCH($C$1,Database!$A$1:$C$1,),))</f>
        <v/>
      </c>
      <c r="D15544">
        <f>IFERROR(Table7[[#This Row],[United States 10y]]-Table7[[#This Row],[United States 3y]],#N/A)</f>
        <v/>
      </c>
    </row>
    <row r="15545">
      <c r="A15545" s="6">
        <f>Database!$A17630</f>
        <v/>
      </c>
      <c r="B15545">
        <f>IF(VLOOKUP(Table7[[#This Row],[Date]],Database!$A:$C,MATCH($B$1,Database!$A$1:$C$1,),)=0,#N/A,VLOOKUP(Table7[[#This Row],[Date]],Database!$A:$C,MATCH($B$1,Database!$A$1:$C$1,),))</f>
        <v/>
      </c>
      <c r="C15545">
        <f>IF(VLOOKUP(Table7[[#This Row],[Date]],Database!$A:$C,MATCH($C$1,Database!$A$1:$C$1,),)=0,#N/A,VLOOKUP(Table7[[#This Row],[Date]],Database!$A:$C,MATCH($C$1,Database!$A$1:$C$1,),))</f>
        <v/>
      </c>
      <c r="D15545">
        <f>IFERROR(Table7[[#This Row],[United States 10y]]-Table7[[#This Row],[United States 3y]],#N/A)</f>
        <v/>
      </c>
    </row>
    <row r="15546">
      <c r="A15546" s="6">
        <f>Database!$A17631</f>
        <v/>
      </c>
      <c r="B15546">
        <f>IF(VLOOKUP(Table7[[#This Row],[Date]],Database!$A:$C,MATCH($B$1,Database!$A$1:$C$1,),)=0,#N/A,VLOOKUP(Table7[[#This Row],[Date]],Database!$A:$C,MATCH($B$1,Database!$A$1:$C$1,),))</f>
        <v/>
      </c>
      <c r="C15546">
        <f>IF(VLOOKUP(Table7[[#This Row],[Date]],Database!$A:$C,MATCH($C$1,Database!$A$1:$C$1,),)=0,#N/A,VLOOKUP(Table7[[#This Row],[Date]],Database!$A:$C,MATCH($C$1,Database!$A$1:$C$1,),))</f>
        <v/>
      </c>
      <c r="D15546">
        <f>IFERROR(Table7[[#This Row],[United States 10y]]-Table7[[#This Row],[United States 3y]],#N/A)</f>
        <v/>
      </c>
    </row>
    <row r="15547">
      <c r="A15547" s="6">
        <f>Database!$A17632</f>
        <v/>
      </c>
      <c r="B15547">
        <f>IF(VLOOKUP(Table7[[#This Row],[Date]],Database!$A:$C,MATCH($B$1,Database!$A$1:$C$1,),)=0,#N/A,VLOOKUP(Table7[[#This Row],[Date]],Database!$A:$C,MATCH($B$1,Database!$A$1:$C$1,),))</f>
        <v/>
      </c>
      <c r="C15547">
        <f>IF(VLOOKUP(Table7[[#This Row],[Date]],Database!$A:$C,MATCH($C$1,Database!$A$1:$C$1,),)=0,#N/A,VLOOKUP(Table7[[#This Row],[Date]],Database!$A:$C,MATCH($C$1,Database!$A$1:$C$1,),))</f>
        <v/>
      </c>
      <c r="D15547">
        <f>IFERROR(Table7[[#This Row],[United States 10y]]-Table7[[#This Row],[United States 3y]],#N/A)</f>
        <v/>
      </c>
    </row>
    <row r="15548">
      <c r="A15548" s="6">
        <f>Database!$A17633</f>
        <v/>
      </c>
      <c r="B15548">
        <f>IF(VLOOKUP(Table7[[#This Row],[Date]],Database!$A:$C,MATCH($B$1,Database!$A$1:$C$1,),)=0,#N/A,VLOOKUP(Table7[[#This Row],[Date]],Database!$A:$C,MATCH($B$1,Database!$A$1:$C$1,),))</f>
        <v/>
      </c>
      <c r="C15548">
        <f>IF(VLOOKUP(Table7[[#This Row],[Date]],Database!$A:$C,MATCH($C$1,Database!$A$1:$C$1,),)=0,#N/A,VLOOKUP(Table7[[#This Row],[Date]],Database!$A:$C,MATCH($C$1,Database!$A$1:$C$1,),))</f>
        <v/>
      </c>
      <c r="D15548">
        <f>IFERROR(Table7[[#This Row],[United States 10y]]-Table7[[#This Row],[United States 3y]],#N/A)</f>
        <v/>
      </c>
    </row>
    <row r="15549">
      <c r="A15549" s="6">
        <f>Database!$A17634</f>
        <v/>
      </c>
      <c r="B15549">
        <f>IF(VLOOKUP(Table7[[#This Row],[Date]],Database!$A:$C,MATCH($B$1,Database!$A$1:$C$1,),)=0,#N/A,VLOOKUP(Table7[[#This Row],[Date]],Database!$A:$C,MATCH($B$1,Database!$A$1:$C$1,),))</f>
        <v/>
      </c>
      <c r="C15549">
        <f>IF(VLOOKUP(Table7[[#This Row],[Date]],Database!$A:$C,MATCH($C$1,Database!$A$1:$C$1,),)=0,#N/A,VLOOKUP(Table7[[#This Row],[Date]],Database!$A:$C,MATCH($C$1,Database!$A$1:$C$1,),))</f>
        <v/>
      </c>
      <c r="D15549">
        <f>IFERROR(Table7[[#This Row],[United States 10y]]-Table7[[#This Row],[United States 3y]],#N/A)</f>
        <v/>
      </c>
    </row>
    <row r="15550">
      <c r="A15550" s="6">
        <f>Database!$A17635</f>
        <v/>
      </c>
      <c r="B15550">
        <f>IF(VLOOKUP(Table7[[#This Row],[Date]],Database!$A:$C,MATCH($B$1,Database!$A$1:$C$1,),)=0,#N/A,VLOOKUP(Table7[[#This Row],[Date]],Database!$A:$C,MATCH($B$1,Database!$A$1:$C$1,),))</f>
        <v/>
      </c>
      <c r="C15550">
        <f>IF(VLOOKUP(Table7[[#This Row],[Date]],Database!$A:$C,MATCH($C$1,Database!$A$1:$C$1,),)=0,#N/A,VLOOKUP(Table7[[#This Row],[Date]],Database!$A:$C,MATCH($C$1,Database!$A$1:$C$1,),))</f>
        <v/>
      </c>
      <c r="D15550">
        <f>IFERROR(Table7[[#This Row],[United States 10y]]-Table7[[#This Row],[United States 3y]],#N/A)</f>
        <v/>
      </c>
    </row>
    <row r="15551">
      <c r="A15551" s="6">
        <f>Database!$A17636</f>
        <v/>
      </c>
      <c r="B15551">
        <f>IF(VLOOKUP(Table7[[#This Row],[Date]],Database!$A:$C,MATCH($B$1,Database!$A$1:$C$1,),)=0,#N/A,VLOOKUP(Table7[[#This Row],[Date]],Database!$A:$C,MATCH($B$1,Database!$A$1:$C$1,),))</f>
        <v/>
      </c>
      <c r="C15551">
        <f>IF(VLOOKUP(Table7[[#This Row],[Date]],Database!$A:$C,MATCH($C$1,Database!$A$1:$C$1,),)=0,#N/A,VLOOKUP(Table7[[#This Row],[Date]],Database!$A:$C,MATCH($C$1,Database!$A$1:$C$1,),))</f>
        <v/>
      </c>
      <c r="D15551">
        <f>IFERROR(Table7[[#This Row],[United States 10y]]-Table7[[#This Row],[United States 3y]],#N/A)</f>
        <v/>
      </c>
    </row>
    <row r="15552">
      <c r="A15552" s="6">
        <f>Database!$A17637</f>
        <v/>
      </c>
      <c r="B15552">
        <f>IF(VLOOKUP(Table7[[#This Row],[Date]],Database!$A:$C,MATCH($B$1,Database!$A$1:$C$1,),)=0,#N/A,VLOOKUP(Table7[[#This Row],[Date]],Database!$A:$C,MATCH($B$1,Database!$A$1:$C$1,),))</f>
        <v/>
      </c>
      <c r="C15552">
        <f>IF(VLOOKUP(Table7[[#This Row],[Date]],Database!$A:$C,MATCH($C$1,Database!$A$1:$C$1,),)=0,#N/A,VLOOKUP(Table7[[#This Row],[Date]],Database!$A:$C,MATCH($C$1,Database!$A$1:$C$1,),))</f>
        <v/>
      </c>
      <c r="D15552">
        <f>IFERROR(Table7[[#This Row],[United States 10y]]-Table7[[#This Row],[United States 3y]],#N/A)</f>
        <v/>
      </c>
    </row>
    <row r="15553">
      <c r="A15553" s="6">
        <f>Database!$A17638</f>
        <v/>
      </c>
      <c r="B15553">
        <f>IF(VLOOKUP(Table7[[#This Row],[Date]],Database!$A:$C,MATCH($B$1,Database!$A$1:$C$1,),)=0,#N/A,VLOOKUP(Table7[[#This Row],[Date]],Database!$A:$C,MATCH($B$1,Database!$A$1:$C$1,),))</f>
        <v/>
      </c>
      <c r="C15553">
        <f>IF(VLOOKUP(Table7[[#This Row],[Date]],Database!$A:$C,MATCH($C$1,Database!$A$1:$C$1,),)=0,#N/A,VLOOKUP(Table7[[#This Row],[Date]],Database!$A:$C,MATCH($C$1,Database!$A$1:$C$1,),))</f>
        <v/>
      </c>
      <c r="D15553">
        <f>IFERROR(Table7[[#This Row],[United States 10y]]-Table7[[#This Row],[United States 3y]],#N/A)</f>
        <v/>
      </c>
    </row>
    <row r="15554">
      <c r="A15554" s="6">
        <f>Database!$A17639</f>
        <v/>
      </c>
      <c r="B15554">
        <f>IF(VLOOKUP(Table7[[#This Row],[Date]],Database!$A:$C,MATCH($B$1,Database!$A$1:$C$1,),)=0,#N/A,VLOOKUP(Table7[[#This Row],[Date]],Database!$A:$C,MATCH($B$1,Database!$A$1:$C$1,),))</f>
        <v/>
      </c>
      <c r="C15554">
        <f>IF(VLOOKUP(Table7[[#This Row],[Date]],Database!$A:$C,MATCH($C$1,Database!$A$1:$C$1,),)=0,#N/A,VLOOKUP(Table7[[#This Row],[Date]],Database!$A:$C,MATCH($C$1,Database!$A$1:$C$1,),))</f>
        <v/>
      </c>
      <c r="D15554">
        <f>IFERROR(Table7[[#This Row],[United States 10y]]-Table7[[#This Row],[United States 3y]],#N/A)</f>
        <v/>
      </c>
    </row>
    <row r="15555">
      <c r="A15555" s="6">
        <f>Database!$A17640</f>
        <v/>
      </c>
      <c r="B15555">
        <f>IF(VLOOKUP(Table7[[#This Row],[Date]],Database!$A:$C,MATCH($B$1,Database!$A$1:$C$1,),)=0,#N/A,VLOOKUP(Table7[[#This Row],[Date]],Database!$A:$C,MATCH($B$1,Database!$A$1:$C$1,),))</f>
        <v/>
      </c>
      <c r="C15555">
        <f>IF(VLOOKUP(Table7[[#This Row],[Date]],Database!$A:$C,MATCH($C$1,Database!$A$1:$C$1,),)=0,#N/A,VLOOKUP(Table7[[#This Row],[Date]],Database!$A:$C,MATCH($C$1,Database!$A$1:$C$1,),))</f>
        <v/>
      </c>
      <c r="D15555">
        <f>IFERROR(Table7[[#This Row],[United States 10y]]-Table7[[#This Row],[United States 3y]],#N/A)</f>
        <v/>
      </c>
    </row>
    <row r="15556">
      <c r="A15556" s="6">
        <f>Database!$A17641</f>
        <v/>
      </c>
      <c r="B15556">
        <f>IF(VLOOKUP(Table7[[#This Row],[Date]],Database!$A:$C,MATCH($B$1,Database!$A$1:$C$1,),)=0,#N/A,VLOOKUP(Table7[[#This Row],[Date]],Database!$A:$C,MATCH($B$1,Database!$A$1:$C$1,),))</f>
        <v/>
      </c>
      <c r="C15556">
        <f>IF(VLOOKUP(Table7[[#This Row],[Date]],Database!$A:$C,MATCH($C$1,Database!$A$1:$C$1,),)=0,#N/A,VLOOKUP(Table7[[#This Row],[Date]],Database!$A:$C,MATCH($C$1,Database!$A$1:$C$1,),))</f>
        <v/>
      </c>
      <c r="D15556">
        <f>IFERROR(Table7[[#This Row],[United States 10y]]-Table7[[#This Row],[United States 3y]],#N/A)</f>
        <v/>
      </c>
    </row>
    <row r="15557">
      <c r="A15557" s="6">
        <f>Database!$A17642</f>
        <v/>
      </c>
      <c r="B15557">
        <f>IF(VLOOKUP(Table7[[#This Row],[Date]],Database!$A:$C,MATCH($B$1,Database!$A$1:$C$1,),)=0,#N/A,VLOOKUP(Table7[[#This Row],[Date]],Database!$A:$C,MATCH($B$1,Database!$A$1:$C$1,),))</f>
        <v/>
      </c>
      <c r="C15557">
        <f>IF(VLOOKUP(Table7[[#This Row],[Date]],Database!$A:$C,MATCH($C$1,Database!$A$1:$C$1,),)=0,#N/A,VLOOKUP(Table7[[#This Row],[Date]],Database!$A:$C,MATCH($C$1,Database!$A$1:$C$1,),))</f>
        <v/>
      </c>
      <c r="D15557">
        <f>IFERROR(Table7[[#This Row],[United States 10y]]-Table7[[#This Row],[United States 3y]],#N/A)</f>
        <v/>
      </c>
    </row>
    <row r="15558">
      <c r="A15558" s="6">
        <f>Database!$A17643</f>
        <v/>
      </c>
      <c r="B15558">
        <f>IF(VLOOKUP(Table7[[#This Row],[Date]],Database!$A:$C,MATCH($B$1,Database!$A$1:$C$1,),)=0,#N/A,VLOOKUP(Table7[[#This Row],[Date]],Database!$A:$C,MATCH($B$1,Database!$A$1:$C$1,),))</f>
        <v/>
      </c>
      <c r="C15558">
        <f>IF(VLOOKUP(Table7[[#This Row],[Date]],Database!$A:$C,MATCH($C$1,Database!$A$1:$C$1,),)=0,#N/A,VLOOKUP(Table7[[#This Row],[Date]],Database!$A:$C,MATCH($C$1,Database!$A$1:$C$1,),))</f>
        <v/>
      </c>
      <c r="D15558">
        <f>IFERROR(Table7[[#This Row],[United States 10y]]-Table7[[#This Row],[United States 3y]],#N/A)</f>
        <v/>
      </c>
    </row>
    <row r="15559">
      <c r="A15559" s="6">
        <f>Database!$A17644</f>
        <v/>
      </c>
      <c r="B15559">
        <f>IF(VLOOKUP(Table7[[#This Row],[Date]],Database!$A:$C,MATCH($B$1,Database!$A$1:$C$1,),)=0,#N/A,VLOOKUP(Table7[[#This Row],[Date]],Database!$A:$C,MATCH($B$1,Database!$A$1:$C$1,),))</f>
        <v/>
      </c>
      <c r="C15559">
        <f>IF(VLOOKUP(Table7[[#This Row],[Date]],Database!$A:$C,MATCH($C$1,Database!$A$1:$C$1,),)=0,#N/A,VLOOKUP(Table7[[#This Row],[Date]],Database!$A:$C,MATCH($C$1,Database!$A$1:$C$1,),))</f>
        <v/>
      </c>
      <c r="D15559">
        <f>IFERROR(Table7[[#This Row],[United States 10y]]-Table7[[#This Row],[United States 3y]],#N/A)</f>
        <v/>
      </c>
    </row>
    <row r="15560">
      <c r="A15560" s="6">
        <f>Database!$A17645</f>
        <v/>
      </c>
      <c r="B15560">
        <f>IF(VLOOKUP(Table7[[#This Row],[Date]],Database!$A:$C,MATCH($B$1,Database!$A$1:$C$1,),)=0,#N/A,VLOOKUP(Table7[[#This Row],[Date]],Database!$A:$C,MATCH($B$1,Database!$A$1:$C$1,),))</f>
        <v/>
      </c>
      <c r="C15560">
        <f>IF(VLOOKUP(Table7[[#This Row],[Date]],Database!$A:$C,MATCH($C$1,Database!$A$1:$C$1,),)=0,#N/A,VLOOKUP(Table7[[#This Row],[Date]],Database!$A:$C,MATCH($C$1,Database!$A$1:$C$1,),))</f>
        <v/>
      </c>
      <c r="D15560">
        <f>IFERROR(Table7[[#This Row],[United States 10y]]-Table7[[#This Row],[United States 3y]],#N/A)</f>
        <v/>
      </c>
    </row>
    <row r="15561">
      <c r="A15561" s="6">
        <f>Database!$A17646</f>
        <v/>
      </c>
      <c r="B15561">
        <f>IF(VLOOKUP(Table7[[#This Row],[Date]],Database!$A:$C,MATCH($B$1,Database!$A$1:$C$1,),)=0,#N/A,VLOOKUP(Table7[[#This Row],[Date]],Database!$A:$C,MATCH($B$1,Database!$A$1:$C$1,),))</f>
        <v/>
      </c>
      <c r="C15561">
        <f>IF(VLOOKUP(Table7[[#This Row],[Date]],Database!$A:$C,MATCH($C$1,Database!$A$1:$C$1,),)=0,#N/A,VLOOKUP(Table7[[#This Row],[Date]],Database!$A:$C,MATCH($C$1,Database!$A$1:$C$1,),))</f>
        <v/>
      </c>
      <c r="D15561">
        <f>IFERROR(Table7[[#This Row],[United States 10y]]-Table7[[#This Row],[United States 3y]],#N/A)</f>
        <v/>
      </c>
    </row>
    <row r="15562">
      <c r="A15562" s="6">
        <f>Database!$A17647</f>
        <v/>
      </c>
      <c r="B15562">
        <f>IF(VLOOKUP(Table7[[#This Row],[Date]],Database!$A:$C,MATCH($B$1,Database!$A$1:$C$1,),)=0,#N/A,VLOOKUP(Table7[[#This Row],[Date]],Database!$A:$C,MATCH($B$1,Database!$A$1:$C$1,),))</f>
        <v/>
      </c>
      <c r="C15562">
        <f>IF(VLOOKUP(Table7[[#This Row],[Date]],Database!$A:$C,MATCH($C$1,Database!$A$1:$C$1,),)=0,#N/A,VLOOKUP(Table7[[#This Row],[Date]],Database!$A:$C,MATCH($C$1,Database!$A$1:$C$1,),))</f>
        <v/>
      </c>
      <c r="D15562">
        <f>IFERROR(Table7[[#This Row],[United States 10y]]-Table7[[#This Row],[United States 3y]],#N/A)</f>
        <v/>
      </c>
    </row>
    <row r="15563">
      <c r="A15563" s="6">
        <f>Database!$A17648</f>
        <v/>
      </c>
      <c r="B15563">
        <f>IF(VLOOKUP(Table7[[#This Row],[Date]],Database!$A:$C,MATCH($B$1,Database!$A$1:$C$1,),)=0,#N/A,VLOOKUP(Table7[[#This Row],[Date]],Database!$A:$C,MATCH($B$1,Database!$A$1:$C$1,),))</f>
        <v/>
      </c>
      <c r="C15563">
        <f>IF(VLOOKUP(Table7[[#This Row],[Date]],Database!$A:$C,MATCH($C$1,Database!$A$1:$C$1,),)=0,#N/A,VLOOKUP(Table7[[#This Row],[Date]],Database!$A:$C,MATCH($C$1,Database!$A$1:$C$1,),))</f>
        <v/>
      </c>
      <c r="D15563">
        <f>IFERROR(Table7[[#This Row],[United States 10y]]-Table7[[#This Row],[United States 3y]],#N/A)</f>
        <v/>
      </c>
    </row>
    <row r="15564">
      <c r="A15564" s="6">
        <f>Database!$A17649</f>
        <v/>
      </c>
      <c r="B15564">
        <f>IF(VLOOKUP(Table7[[#This Row],[Date]],Database!$A:$C,MATCH($B$1,Database!$A$1:$C$1,),)=0,#N/A,VLOOKUP(Table7[[#This Row],[Date]],Database!$A:$C,MATCH($B$1,Database!$A$1:$C$1,),))</f>
        <v/>
      </c>
      <c r="C15564">
        <f>IF(VLOOKUP(Table7[[#This Row],[Date]],Database!$A:$C,MATCH($C$1,Database!$A$1:$C$1,),)=0,#N/A,VLOOKUP(Table7[[#This Row],[Date]],Database!$A:$C,MATCH($C$1,Database!$A$1:$C$1,),))</f>
        <v/>
      </c>
      <c r="D15564">
        <f>IFERROR(Table7[[#This Row],[United States 10y]]-Table7[[#This Row],[United States 3y]],#N/A)</f>
        <v/>
      </c>
    </row>
    <row r="15565">
      <c r="A15565" s="6">
        <f>Database!$A17650</f>
        <v/>
      </c>
      <c r="B15565">
        <f>IF(VLOOKUP(Table7[[#This Row],[Date]],Database!$A:$C,MATCH($B$1,Database!$A$1:$C$1,),)=0,#N/A,VLOOKUP(Table7[[#This Row],[Date]],Database!$A:$C,MATCH($B$1,Database!$A$1:$C$1,),))</f>
        <v/>
      </c>
      <c r="C15565">
        <f>IF(VLOOKUP(Table7[[#This Row],[Date]],Database!$A:$C,MATCH($C$1,Database!$A$1:$C$1,),)=0,#N/A,VLOOKUP(Table7[[#This Row],[Date]],Database!$A:$C,MATCH($C$1,Database!$A$1:$C$1,),))</f>
        <v/>
      </c>
      <c r="D15565">
        <f>IFERROR(Table7[[#This Row],[United States 10y]]-Table7[[#This Row],[United States 3y]],#N/A)</f>
        <v/>
      </c>
    </row>
    <row r="15566">
      <c r="A15566" s="6">
        <f>Database!$A17651</f>
        <v/>
      </c>
      <c r="B15566">
        <f>IF(VLOOKUP(Table7[[#This Row],[Date]],Database!$A:$C,MATCH($B$1,Database!$A$1:$C$1,),)=0,#N/A,VLOOKUP(Table7[[#This Row],[Date]],Database!$A:$C,MATCH($B$1,Database!$A$1:$C$1,),))</f>
        <v/>
      </c>
      <c r="C15566">
        <f>IF(VLOOKUP(Table7[[#This Row],[Date]],Database!$A:$C,MATCH($C$1,Database!$A$1:$C$1,),)=0,#N/A,VLOOKUP(Table7[[#This Row],[Date]],Database!$A:$C,MATCH($C$1,Database!$A$1:$C$1,),))</f>
        <v/>
      </c>
      <c r="D15566">
        <f>IFERROR(Table7[[#This Row],[United States 10y]]-Table7[[#This Row],[United States 3y]],#N/A)</f>
        <v/>
      </c>
    </row>
    <row r="15567">
      <c r="A15567" s="6">
        <f>Database!$A17652</f>
        <v/>
      </c>
      <c r="B15567">
        <f>IF(VLOOKUP(Table7[[#This Row],[Date]],Database!$A:$C,MATCH($B$1,Database!$A$1:$C$1,),)=0,#N/A,VLOOKUP(Table7[[#This Row],[Date]],Database!$A:$C,MATCH($B$1,Database!$A$1:$C$1,),))</f>
        <v/>
      </c>
      <c r="C15567">
        <f>IF(VLOOKUP(Table7[[#This Row],[Date]],Database!$A:$C,MATCH($C$1,Database!$A$1:$C$1,),)=0,#N/A,VLOOKUP(Table7[[#This Row],[Date]],Database!$A:$C,MATCH($C$1,Database!$A$1:$C$1,),))</f>
        <v/>
      </c>
      <c r="D15567">
        <f>IFERROR(Table7[[#This Row],[United States 10y]]-Table7[[#This Row],[United States 3y]],#N/A)</f>
        <v/>
      </c>
    </row>
    <row r="15568">
      <c r="A15568" s="6">
        <f>Database!$A17653</f>
        <v/>
      </c>
      <c r="B15568">
        <f>IF(VLOOKUP(Table7[[#This Row],[Date]],Database!$A:$C,MATCH($B$1,Database!$A$1:$C$1,),)=0,#N/A,VLOOKUP(Table7[[#This Row],[Date]],Database!$A:$C,MATCH($B$1,Database!$A$1:$C$1,),))</f>
        <v/>
      </c>
      <c r="C15568">
        <f>IF(VLOOKUP(Table7[[#This Row],[Date]],Database!$A:$C,MATCH($C$1,Database!$A$1:$C$1,),)=0,#N/A,VLOOKUP(Table7[[#This Row],[Date]],Database!$A:$C,MATCH($C$1,Database!$A$1:$C$1,),))</f>
        <v/>
      </c>
      <c r="D15568">
        <f>IFERROR(Table7[[#This Row],[United States 10y]]-Table7[[#This Row],[United States 3y]],#N/A)</f>
        <v/>
      </c>
    </row>
    <row r="15569">
      <c r="A15569" s="6">
        <f>Database!$A17654</f>
        <v/>
      </c>
      <c r="B15569">
        <f>IF(VLOOKUP(Table7[[#This Row],[Date]],Database!$A:$C,MATCH($B$1,Database!$A$1:$C$1,),)=0,#N/A,VLOOKUP(Table7[[#This Row],[Date]],Database!$A:$C,MATCH($B$1,Database!$A$1:$C$1,),))</f>
        <v/>
      </c>
      <c r="C15569">
        <f>IF(VLOOKUP(Table7[[#This Row],[Date]],Database!$A:$C,MATCH($C$1,Database!$A$1:$C$1,),)=0,#N/A,VLOOKUP(Table7[[#This Row],[Date]],Database!$A:$C,MATCH($C$1,Database!$A$1:$C$1,),))</f>
        <v/>
      </c>
      <c r="D15569">
        <f>IFERROR(Table7[[#This Row],[United States 10y]]-Table7[[#This Row],[United States 3y]],#N/A)</f>
        <v/>
      </c>
    </row>
    <row r="15570">
      <c r="A15570" s="6">
        <f>Database!$A17655</f>
        <v/>
      </c>
      <c r="B15570">
        <f>IF(VLOOKUP(Table7[[#This Row],[Date]],Database!$A:$C,MATCH($B$1,Database!$A$1:$C$1,),)=0,#N/A,VLOOKUP(Table7[[#This Row],[Date]],Database!$A:$C,MATCH($B$1,Database!$A$1:$C$1,),))</f>
        <v/>
      </c>
      <c r="C15570">
        <f>IF(VLOOKUP(Table7[[#This Row],[Date]],Database!$A:$C,MATCH($C$1,Database!$A$1:$C$1,),)=0,#N/A,VLOOKUP(Table7[[#This Row],[Date]],Database!$A:$C,MATCH($C$1,Database!$A$1:$C$1,),))</f>
        <v/>
      </c>
      <c r="D15570">
        <f>IFERROR(Table7[[#This Row],[United States 10y]]-Table7[[#This Row],[United States 3y]],#N/A)</f>
        <v/>
      </c>
    </row>
    <row r="15571">
      <c r="A15571" s="6">
        <f>Database!$A17656</f>
        <v/>
      </c>
      <c r="B15571">
        <f>IF(VLOOKUP(Table7[[#This Row],[Date]],Database!$A:$C,MATCH($B$1,Database!$A$1:$C$1,),)=0,#N/A,VLOOKUP(Table7[[#This Row],[Date]],Database!$A:$C,MATCH($B$1,Database!$A$1:$C$1,),))</f>
        <v/>
      </c>
      <c r="C15571">
        <f>IF(VLOOKUP(Table7[[#This Row],[Date]],Database!$A:$C,MATCH($C$1,Database!$A$1:$C$1,),)=0,#N/A,VLOOKUP(Table7[[#This Row],[Date]],Database!$A:$C,MATCH($C$1,Database!$A$1:$C$1,),))</f>
        <v/>
      </c>
      <c r="D15571">
        <f>IFERROR(Table7[[#This Row],[United States 10y]]-Table7[[#This Row],[United States 3y]],#N/A)</f>
        <v/>
      </c>
    </row>
    <row r="15572">
      <c r="A15572" s="6">
        <f>Database!$A17657</f>
        <v/>
      </c>
      <c r="B15572">
        <f>IF(VLOOKUP(Table7[[#This Row],[Date]],Database!$A:$C,MATCH($B$1,Database!$A$1:$C$1,),)=0,#N/A,VLOOKUP(Table7[[#This Row],[Date]],Database!$A:$C,MATCH($B$1,Database!$A$1:$C$1,),))</f>
        <v/>
      </c>
      <c r="C15572">
        <f>IF(VLOOKUP(Table7[[#This Row],[Date]],Database!$A:$C,MATCH($C$1,Database!$A$1:$C$1,),)=0,#N/A,VLOOKUP(Table7[[#This Row],[Date]],Database!$A:$C,MATCH($C$1,Database!$A$1:$C$1,),))</f>
        <v/>
      </c>
      <c r="D15572">
        <f>IFERROR(Table7[[#This Row],[United States 10y]]-Table7[[#This Row],[United States 3y]],#N/A)</f>
        <v/>
      </c>
    </row>
    <row r="15573">
      <c r="A15573" s="6">
        <f>Database!$A17658</f>
        <v/>
      </c>
      <c r="B15573">
        <f>IF(VLOOKUP(Table7[[#This Row],[Date]],Database!$A:$C,MATCH($B$1,Database!$A$1:$C$1,),)=0,#N/A,VLOOKUP(Table7[[#This Row],[Date]],Database!$A:$C,MATCH($B$1,Database!$A$1:$C$1,),))</f>
        <v/>
      </c>
      <c r="C15573">
        <f>IF(VLOOKUP(Table7[[#This Row],[Date]],Database!$A:$C,MATCH($C$1,Database!$A$1:$C$1,),)=0,#N/A,VLOOKUP(Table7[[#This Row],[Date]],Database!$A:$C,MATCH($C$1,Database!$A$1:$C$1,),))</f>
        <v/>
      </c>
      <c r="D15573">
        <f>IFERROR(Table7[[#This Row],[United States 10y]]-Table7[[#This Row],[United States 3y]],#N/A)</f>
        <v/>
      </c>
    </row>
    <row r="15574">
      <c r="A15574" s="6">
        <f>Database!$A17659</f>
        <v/>
      </c>
      <c r="B15574">
        <f>IF(VLOOKUP(Table7[[#This Row],[Date]],Database!$A:$C,MATCH($B$1,Database!$A$1:$C$1,),)=0,#N/A,VLOOKUP(Table7[[#This Row],[Date]],Database!$A:$C,MATCH($B$1,Database!$A$1:$C$1,),))</f>
        <v/>
      </c>
      <c r="C15574">
        <f>IF(VLOOKUP(Table7[[#This Row],[Date]],Database!$A:$C,MATCH($C$1,Database!$A$1:$C$1,),)=0,#N/A,VLOOKUP(Table7[[#This Row],[Date]],Database!$A:$C,MATCH($C$1,Database!$A$1:$C$1,),))</f>
        <v/>
      </c>
      <c r="D15574">
        <f>IFERROR(Table7[[#This Row],[United States 10y]]-Table7[[#This Row],[United States 3y]],#N/A)</f>
        <v/>
      </c>
    </row>
    <row r="15575">
      <c r="A15575" s="6">
        <f>Database!$A17660</f>
        <v/>
      </c>
      <c r="B15575">
        <f>IF(VLOOKUP(Table7[[#This Row],[Date]],Database!$A:$C,MATCH($B$1,Database!$A$1:$C$1,),)=0,#N/A,VLOOKUP(Table7[[#This Row],[Date]],Database!$A:$C,MATCH($B$1,Database!$A$1:$C$1,),))</f>
        <v/>
      </c>
      <c r="C15575">
        <f>IF(VLOOKUP(Table7[[#This Row],[Date]],Database!$A:$C,MATCH($C$1,Database!$A$1:$C$1,),)=0,#N/A,VLOOKUP(Table7[[#This Row],[Date]],Database!$A:$C,MATCH($C$1,Database!$A$1:$C$1,),))</f>
        <v/>
      </c>
      <c r="D15575">
        <f>IFERROR(Table7[[#This Row],[United States 10y]]-Table7[[#This Row],[United States 3y]],#N/A)</f>
        <v/>
      </c>
    </row>
    <row r="15576">
      <c r="A15576" s="6">
        <f>Database!$A17661</f>
        <v/>
      </c>
      <c r="B15576">
        <f>IF(VLOOKUP(Table7[[#This Row],[Date]],Database!$A:$C,MATCH($B$1,Database!$A$1:$C$1,),)=0,#N/A,VLOOKUP(Table7[[#This Row],[Date]],Database!$A:$C,MATCH($B$1,Database!$A$1:$C$1,),))</f>
        <v/>
      </c>
      <c r="C15576">
        <f>IF(VLOOKUP(Table7[[#This Row],[Date]],Database!$A:$C,MATCH($C$1,Database!$A$1:$C$1,),)=0,#N/A,VLOOKUP(Table7[[#This Row],[Date]],Database!$A:$C,MATCH($C$1,Database!$A$1:$C$1,),))</f>
        <v/>
      </c>
      <c r="D15576">
        <f>IFERROR(Table7[[#This Row],[United States 10y]]-Table7[[#This Row],[United States 3y]],#N/A)</f>
        <v/>
      </c>
    </row>
    <row r="15577">
      <c r="A15577" s="6">
        <f>Database!$A17662</f>
        <v/>
      </c>
      <c r="B15577">
        <f>IF(VLOOKUP(Table7[[#This Row],[Date]],Database!$A:$C,MATCH($B$1,Database!$A$1:$C$1,),)=0,#N/A,VLOOKUP(Table7[[#This Row],[Date]],Database!$A:$C,MATCH($B$1,Database!$A$1:$C$1,),))</f>
        <v/>
      </c>
      <c r="C15577">
        <f>IF(VLOOKUP(Table7[[#This Row],[Date]],Database!$A:$C,MATCH($C$1,Database!$A$1:$C$1,),)=0,#N/A,VLOOKUP(Table7[[#This Row],[Date]],Database!$A:$C,MATCH($C$1,Database!$A$1:$C$1,),))</f>
        <v/>
      </c>
      <c r="D15577">
        <f>IFERROR(Table7[[#This Row],[United States 10y]]-Table7[[#This Row],[United States 3y]],#N/A)</f>
        <v/>
      </c>
    </row>
    <row r="15578">
      <c r="A15578" s="6">
        <f>Database!$A17663</f>
        <v/>
      </c>
      <c r="B15578">
        <f>IF(VLOOKUP(Table7[[#This Row],[Date]],Database!$A:$C,MATCH($B$1,Database!$A$1:$C$1,),)=0,#N/A,VLOOKUP(Table7[[#This Row],[Date]],Database!$A:$C,MATCH($B$1,Database!$A$1:$C$1,),))</f>
        <v/>
      </c>
      <c r="C15578">
        <f>IF(VLOOKUP(Table7[[#This Row],[Date]],Database!$A:$C,MATCH($C$1,Database!$A$1:$C$1,),)=0,#N/A,VLOOKUP(Table7[[#This Row],[Date]],Database!$A:$C,MATCH($C$1,Database!$A$1:$C$1,),))</f>
        <v/>
      </c>
      <c r="D15578">
        <f>IFERROR(Table7[[#This Row],[United States 10y]]-Table7[[#This Row],[United States 3y]],#N/A)</f>
        <v/>
      </c>
    </row>
    <row r="15579">
      <c r="A15579" s="6">
        <f>Database!$A17664</f>
        <v/>
      </c>
      <c r="B15579">
        <f>IF(VLOOKUP(Table7[[#This Row],[Date]],Database!$A:$C,MATCH($B$1,Database!$A$1:$C$1,),)=0,#N/A,VLOOKUP(Table7[[#This Row],[Date]],Database!$A:$C,MATCH($B$1,Database!$A$1:$C$1,),))</f>
        <v/>
      </c>
      <c r="C15579">
        <f>IF(VLOOKUP(Table7[[#This Row],[Date]],Database!$A:$C,MATCH($C$1,Database!$A$1:$C$1,),)=0,#N/A,VLOOKUP(Table7[[#This Row],[Date]],Database!$A:$C,MATCH($C$1,Database!$A$1:$C$1,),))</f>
        <v/>
      </c>
      <c r="D15579">
        <f>IFERROR(Table7[[#This Row],[United States 10y]]-Table7[[#This Row],[United States 3y]],#N/A)</f>
        <v/>
      </c>
    </row>
    <row r="15580">
      <c r="A15580" s="6">
        <f>Database!$A17665</f>
        <v/>
      </c>
      <c r="B15580">
        <f>IF(VLOOKUP(Table7[[#This Row],[Date]],Database!$A:$C,MATCH($B$1,Database!$A$1:$C$1,),)=0,#N/A,VLOOKUP(Table7[[#This Row],[Date]],Database!$A:$C,MATCH($B$1,Database!$A$1:$C$1,),))</f>
        <v/>
      </c>
      <c r="C15580">
        <f>IF(VLOOKUP(Table7[[#This Row],[Date]],Database!$A:$C,MATCH($C$1,Database!$A$1:$C$1,),)=0,#N/A,VLOOKUP(Table7[[#This Row],[Date]],Database!$A:$C,MATCH($C$1,Database!$A$1:$C$1,),))</f>
        <v/>
      </c>
      <c r="D15580">
        <f>IFERROR(Table7[[#This Row],[United States 10y]]-Table7[[#This Row],[United States 3y]],#N/A)</f>
        <v/>
      </c>
    </row>
    <row r="15581">
      <c r="A15581" s="6">
        <f>Database!$A17666</f>
        <v/>
      </c>
      <c r="B15581">
        <f>IF(VLOOKUP(Table7[[#This Row],[Date]],Database!$A:$C,MATCH($B$1,Database!$A$1:$C$1,),)=0,#N/A,VLOOKUP(Table7[[#This Row],[Date]],Database!$A:$C,MATCH($B$1,Database!$A$1:$C$1,),))</f>
        <v/>
      </c>
      <c r="C15581">
        <f>IF(VLOOKUP(Table7[[#This Row],[Date]],Database!$A:$C,MATCH($C$1,Database!$A$1:$C$1,),)=0,#N/A,VLOOKUP(Table7[[#This Row],[Date]],Database!$A:$C,MATCH($C$1,Database!$A$1:$C$1,),))</f>
        <v/>
      </c>
      <c r="D15581">
        <f>IFERROR(Table7[[#This Row],[United States 10y]]-Table7[[#This Row],[United States 3y]],#N/A)</f>
        <v/>
      </c>
    </row>
    <row r="15582">
      <c r="A15582" s="6">
        <f>Database!$A17667</f>
        <v/>
      </c>
      <c r="B15582">
        <f>IF(VLOOKUP(Table7[[#This Row],[Date]],Database!$A:$C,MATCH($B$1,Database!$A$1:$C$1,),)=0,#N/A,VLOOKUP(Table7[[#This Row],[Date]],Database!$A:$C,MATCH($B$1,Database!$A$1:$C$1,),))</f>
        <v/>
      </c>
      <c r="C15582">
        <f>IF(VLOOKUP(Table7[[#This Row],[Date]],Database!$A:$C,MATCH($C$1,Database!$A$1:$C$1,),)=0,#N/A,VLOOKUP(Table7[[#This Row],[Date]],Database!$A:$C,MATCH($C$1,Database!$A$1:$C$1,),))</f>
        <v/>
      </c>
      <c r="D15582">
        <f>IFERROR(Table7[[#This Row],[United States 10y]]-Table7[[#This Row],[United States 3y]],#N/A)</f>
        <v/>
      </c>
    </row>
    <row r="15583">
      <c r="A15583" s="6">
        <f>Database!$A17668</f>
        <v/>
      </c>
      <c r="B15583">
        <f>IF(VLOOKUP(Table7[[#This Row],[Date]],Database!$A:$C,MATCH($B$1,Database!$A$1:$C$1,),)=0,#N/A,VLOOKUP(Table7[[#This Row],[Date]],Database!$A:$C,MATCH($B$1,Database!$A$1:$C$1,),))</f>
        <v/>
      </c>
      <c r="C15583">
        <f>IF(VLOOKUP(Table7[[#This Row],[Date]],Database!$A:$C,MATCH($C$1,Database!$A$1:$C$1,),)=0,#N/A,VLOOKUP(Table7[[#This Row],[Date]],Database!$A:$C,MATCH($C$1,Database!$A$1:$C$1,),))</f>
        <v/>
      </c>
      <c r="D15583">
        <f>IFERROR(Table7[[#This Row],[United States 10y]]-Table7[[#This Row],[United States 3y]],#N/A)</f>
        <v/>
      </c>
    </row>
    <row r="15584">
      <c r="A15584" s="6">
        <f>Database!$A17669</f>
        <v/>
      </c>
      <c r="B15584">
        <f>IF(VLOOKUP(Table7[[#This Row],[Date]],Database!$A:$C,MATCH($B$1,Database!$A$1:$C$1,),)=0,#N/A,VLOOKUP(Table7[[#This Row],[Date]],Database!$A:$C,MATCH($B$1,Database!$A$1:$C$1,),))</f>
        <v/>
      </c>
      <c r="C15584">
        <f>IF(VLOOKUP(Table7[[#This Row],[Date]],Database!$A:$C,MATCH($C$1,Database!$A$1:$C$1,),)=0,#N/A,VLOOKUP(Table7[[#This Row],[Date]],Database!$A:$C,MATCH($C$1,Database!$A$1:$C$1,),))</f>
        <v/>
      </c>
      <c r="D15584">
        <f>IFERROR(Table7[[#This Row],[United States 10y]]-Table7[[#This Row],[United States 3y]],#N/A)</f>
        <v/>
      </c>
    </row>
    <row r="15585">
      <c r="A15585" s="6">
        <f>Database!$A17670</f>
        <v/>
      </c>
      <c r="B15585">
        <f>IF(VLOOKUP(Table7[[#This Row],[Date]],Database!$A:$C,MATCH($B$1,Database!$A$1:$C$1,),)=0,#N/A,VLOOKUP(Table7[[#This Row],[Date]],Database!$A:$C,MATCH($B$1,Database!$A$1:$C$1,),))</f>
        <v/>
      </c>
      <c r="C15585">
        <f>IF(VLOOKUP(Table7[[#This Row],[Date]],Database!$A:$C,MATCH($C$1,Database!$A$1:$C$1,),)=0,#N/A,VLOOKUP(Table7[[#This Row],[Date]],Database!$A:$C,MATCH($C$1,Database!$A$1:$C$1,),))</f>
        <v/>
      </c>
      <c r="D15585">
        <f>IFERROR(Table7[[#This Row],[United States 10y]]-Table7[[#This Row],[United States 3y]],#N/A)</f>
        <v/>
      </c>
    </row>
    <row r="15586">
      <c r="A15586" s="6">
        <f>Database!$A17671</f>
        <v/>
      </c>
      <c r="B15586">
        <f>IF(VLOOKUP(Table7[[#This Row],[Date]],Database!$A:$C,MATCH($B$1,Database!$A$1:$C$1,),)=0,#N/A,VLOOKUP(Table7[[#This Row],[Date]],Database!$A:$C,MATCH($B$1,Database!$A$1:$C$1,),))</f>
        <v/>
      </c>
      <c r="C15586">
        <f>IF(VLOOKUP(Table7[[#This Row],[Date]],Database!$A:$C,MATCH($C$1,Database!$A$1:$C$1,),)=0,#N/A,VLOOKUP(Table7[[#This Row],[Date]],Database!$A:$C,MATCH($C$1,Database!$A$1:$C$1,),))</f>
        <v/>
      </c>
      <c r="D15586">
        <f>IFERROR(Table7[[#This Row],[United States 10y]]-Table7[[#This Row],[United States 3y]],#N/A)</f>
        <v/>
      </c>
    </row>
    <row r="15587">
      <c r="A15587" s="6">
        <f>Database!$A17672</f>
        <v/>
      </c>
      <c r="B15587">
        <f>IF(VLOOKUP(Table7[[#This Row],[Date]],Database!$A:$C,MATCH($B$1,Database!$A$1:$C$1,),)=0,#N/A,VLOOKUP(Table7[[#This Row],[Date]],Database!$A:$C,MATCH($B$1,Database!$A$1:$C$1,),))</f>
        <v/>
      </c>
      <c r="C15587">
        <f>IF(VLOOKUP(Table7[[#This Row],[Date]],Database!$A:$C,MATCH($C$1,Database!$A$1:$C$1,),)=0,#N/A,VLOOKUP(Table7[[#This Row],[Date]],Database!$A:$C,MATCH($C$1,Database!$A$1:$C$1,),))</f>
        <v/>
      </c>
      <c r="D15587">
        <f>IFERROR(Table7[[#This Row],[United States 10y]]-Table7[[#This Row],[United States 3y]],#N/A)</f>
        <v/>
      </c>
    </row>
    <row r="15588">
      <c r="A15588" s="6">
        <f>Database!$A17673</f>
        <v/>
      </c>
      <c r="B15588">
        <f>IF(VLOOKUP(Table7[[#This Row],[Date]],Database!$A:$C,MATCH($B$1,Database!$A$1:$C$1,),)=0,#N/A,VLOOKUP(Table7[[#This Row],[Date]],Database!$A:$C,MATCH($B$1,Database!$A$1:$C$1,),))</f>
        <v/>
      </c>
      <c r="C15588">
        <f>IF(VLOOKUP(Table7[[#This Row],[Date]],Database!$A:$C,MATCH($C$1,Database!$A$1:$C$1,),)=0,#N/A,VLOOKUP(Table7[[#This Row],[Date]],Database!$A:$C,MATCH($C$1,Database!$A$1:$C$1,),))</f>
        <v/>
      </c>
      <c r="D15588">
        <f>IFERROR(Table7[[#This Row],[United States 10y]]-Table7[[#This Row],[United States 3y]],#N/A)</f>
        <v/>
      </c>
    </row>
    <row r="15589">
      <c r="A15589" s="6">
        <f>Database!$A17674</f>
        <v/>
      </c>
      <c r="B15589">
        <f>IF(VLOOKUP(Table7[[#This Row],[Date]],Database!$A:$C,MATCH($B$1,Database!$A$1:$C$1,),)=0,#N/A,VLOOKUP(Table7[[#This Row],[Date]],Database!$A:$C,MATCH($B$1,Database!$A$1:$C$1,),))</f>
        <v/>
      </c>
      <c r="C15589">
        <f>IF(VLOOKUP(Table7[[#This Row],[Date]],Database!$A:$C,MATCH($C$1,Database!$A$1:$C$1,),)=0,#N/A,VLOOKUP(Table7[[#This Row],[Date]],Database!$A:$C,MATCH($C$1,Database!$A$1:$C$1,),))</f>
        <v/>
      </c>
      <c r="D15589">
        <f>IFERROR(Table7[[#This Row],[United States 10y]]-Table7[[#This Row],[United States 3y]],#N/A)</f>
        <v/>
      </c>
    </row>
    <row r="15590">
      <c r="A15590" s="6">
        <f>Database!$A17675</f>
        <v/>
      </c>
      <c r="B15590">
        <f>IF(VLOOKUP(Table7[[#This Row],[Date]],Database!$A:$C,MATCH($B$1,Database!$A$1:$C$1,),)=0,#N/A,VLOOKUP(Table7[[#This Row],[Date]],Database!$A:$C,MATCH($B$1,Database!$A$1:$C$1,),))</f>
        <v/>
      </c>
      <c r="C15590">
        <f>IF(VLOOKUP(Table7[[#This Row],[Date]],Database!$A:$C,MATCH($C$1,Database!$A$1:$C$1,),)=0,#N/A,VLOOKUP(Table7[[#This Row],[Date]],Database!$A:$C,MATCH($C$1,Database!$A$1:$C$1,),))</f>
        <v/>
      </c>
      <c r="D15590">
        <f>IFERROR(Table7[[#This Row],[United States 10y]]-Table7[[#This Row],[United States 3y]],#N/A)</f>
        <v/>
      </c>
    </row>
    <row r="15591">
      <c r="A15591" s="6">
        <f>Database!$A17676</f>
        <v/>
      </c>
      <c r="B15591">
        <f>IF(VLOOKUP(Table7[[#This Row],[Date]],Database!$A:$C,MATCH($B$1,Database!$A$1:$C$1,),)=0,#N/A,VLOOKUP(Table7[[#This Row],[Date]],Database!$A:$C,MATCH($B$1,Database!$A$1:$C$1,),))</f>
        <v/>
      </c>
      <c r="C15591">
        <f>IF(VLOOKUP(Table7[[#This Row],[Date]],Database!$A:$C,MATCH($C$1,Database!$A$1:$C$1,),)=0,#N/A,VLOOKUP(Table7[[#This Row],[Date]],Database!$A:$C,MATCH($C$1,Database!$A$1:$C$1,),))</f>
        <v/>
      </c>
      <c r="D15591">
        <f>IFERROR(Table7[[#This Row],[United States 10y]]-Table7[[#This Row],[United States 3y]],#N/A)</f>
        <v/>
      </c>
    </row>
    <row r="15592">
      <c r="A15592" s="6">
        <f>Database!$A17677</f>
        <v/>
      </c>
      <c r="B15592">
        <f>IF(VLOOKUP(Table7[[#This Row],[Date]],Database!$A:$C,MATCH($B$1,Database!$A$1:$C$1,),)=0,#N/A,VLOOKUP(Table7[[#This Row],[Date]],Database!$A:$C,MATCH($B$1,Database!$A$1:$C$1,),))</f>
        <v/>
      </c>
      <c r="C15592">
        <f>IF(VLOOKUP(Table7[[#This Row],[Date]],Database!$A:$C,MATCH($C$1,Database!$A$1:$C$1,),)=0,#N/A,VLOOKUP(Table7[[#This Row],[Date]],Database!$A:$C,MATCH($C$1,Database!$A$1:$C$1,),))</f>
        <v/>
      </c>
      <c r="D15592">
        <f>IFERROR(Table7[[#This Row],[United States 10y]]-Table7[[#This Row],[United States 3y]],#N/A)</f>
        <v/>
      </c>
    </row>
    <row r="15593">
      <c r="A15593" s="6">
        <f>Database!$A17678</f>
        <v/>
      </c>
      <c r="B15593">
        <f>IF(VLOOKUP(Table7[[#This Row],[Date]],Database!$A:$C,MATCH($B$1,Database!$A$1:$C$1,),)=0,#N/A,VLOOKUP(Table7[[#This Row],[Date]],Database!$A:$C,MATCH($B$1,Database!$A$1:$C$1,),))</f>
        <v/>
      </c>
      <c r="C15593">
        <f>IF(VLOOKUP(Table7[[#This Row],[Date]],Database!$A:$C,MATCH($C$1,Database!$A$1:$C$1,),)=0,#N/A,VLOOKUP(Table7[[#This Row],[Date]],Database!$A:$C,MATCH($C$1,Database!$A$1:$C$1,),))</f>
        <v/>
      </c>
      <c r="D15593">
        <f>IFERROR(Table7[[#This Row],[United States 10y]]-Table7[[#This Row],[United States 3y]],#N/A)</f>
        <v/>
      </c>
    </row>
    <row r="15594">
      <c r="A15594" s="6">
        <f>Database!$A17679</f>
        <v/>
      </c>
      <c r="B15594">
        <f>IF(VLOOKUP(Table7[[#This Row],[Date]],Database!$A:$C,MATCH($B$1,Database!$A$1:$C$1,),)=0,#N/A,VLOOKUP(Table7[[#This Row],[Date]],Database!$A:$C,MATCH($B$1,Database!$A$1:$C$1,),))</f>
        <v/>
      </c>
      <c r="C15594">
        <f>IF(VLOOKUP(Table7[[#This Row],[Date]],Database!$A:$C,MATCH($C$1,Database!$A$1:$C$1,),)=0,#N/A,VLOOKUP(Table7[[#This Row],[Date]],Database!$A:$C,MATCH($C$1,Database!$A$1:$C$1,),))</f>
        <v/>
      </c>
      <c r="D15594">
        <f>IFERROR(Table7[[#This Row],[United States 10y]]-Table7[[#This Row],[United States 3y]],#N/A)</f>
        <v/>
      </c>
    </row>
    <row r="15595">
      <c r="A15595" s="6">
        <f>Database!$A17680</f>
        <v/>
      </c>
      <c r="B15595">
        <f>IF(VLOOKUP(Table7[[#This Row],[Date]],Database!$A:$C,MATCH($B$1,Database!$A$1:$C$1,),)=0,#N/A,VLOOKUP(Table7[[#This Row],[Date]],Database!$A:$C,MATCH($B$1,Database!$A$1:$C$1,),))</f>
        <v/>
      </c>
      <c r="C15595">
        <f>IF(VLOOKUP(Table7[[#This Row],[Date]],Database!$A:$C,MATCH($C$1,Database!$A$1:$C$1,),)=0,#N/A,VLOOKUP(Table7[[#This Row],[Date]],Database!$A:$C,MATCH($C$1,Database!$A$1:$C$1,),))</f>
        <v/>
      </c>
      <c r="D15595">
        <f>IFERROR(Table7[[#This Row],[United States 10y]]-Table7[[#This Row],[United States 3y]],#N/A)</f>
        <v/>
      </c>
    </row>
    <row r="15596">
      <c r="A15596" s="6">
        <f>Database!$A17681</f>
        <v/>
      </c>
      <c r="B15596">
        <f>IF(VLOOKUP(Table7[[#This Row],[Date]],Database!$A:$C,MATCH($B$1,Database!$A$1:$C$1,),)=0,#N/A,VLOOKUP(Table7[[#This Row],[Date]],Database!$A:$C,MATCH($B$1,Database!$A$1:$C$1,),))</f>
        <v/>
      </c>
      <c r="C15596">
        <f>IF(VLOOKUP(Table7[[#This Row],[Date]],Database!$A:$C,MATCH($C$1,Database!$A$1:$C$1,),)=0,#N/A,VLOOKUP(Table7[[#This Row],[Date]],Database!$A:$C,MATCH($C$1,Database!$A$1:$C$1,),))</f>
        <v/>
      </c>
      <c r="D15596">
        <f>IFERROR(Table7[[#This Row],[United States 10y]]-Table7[[#This Row],[United States 3y]],#N/A)</f>
        <v/>
      </c>
    </row>
    <row r="15597">
      <c r="A15597" s="6">
        <f>Database!$A17682</f>
        <v/>
      </c>
      <c r="B15597">
        <f>IF(VLOOKUP(Table7[[#This Row],[Date]],Database!$A:$C,MATCH($B$1,Database!$A$1:$C$1,),)=0,#N/A,VLOOKUP(Table7[[#This Row],[Date]],Database!$A:$C,MATCH($B$1,Database!$A$1:$C$1,),))</f>
        <v/>
      </c>
      <c r="C15597">
        <f>IF(VLOOKUP(Table7[[#This Row],[Date]],Database!$A:$C,MATCH($C$1,Database!$A$1:$C$1,),)=0,#N/A,VLOOKUP(Table7[[#This Row],[Date]],Database!$A:$C,MATCH($C$1,Database!$A$1:$C$1,),))</f>
        <v/>
      </c>
      <c r="D15597">
        <f>IFERROR(Table7[[#This Row],[United States 10y]]-Table7[[#This Row],[United States 3y]],#N/A)</f>
        <v/>
      </c>
    </row>
    <row r="15598">
      <c r="A15598" s="6">
        <f>Database!$A17683</f>
        <v/>
      </c>
      <c r="B15598">
        <f>IF(VLOOKUP(Table7[[#This Row],[Date]],Database!$A:$C,MATCH($B$1,Database!$A$1:$C$1,),)=0,#N/A,VLOOKUP(Table7[[#This Row],[Date]],Database!$A:$C,MATCH($B$1,Database!$A$1:$C$1,),))</f>
        <v/>
      </c>
      <c r="C15598">
        <f>IF(VLOOKUP(Table7[[#This Row],[Date]],Database!$A:$C,MATCH($C$1,Database!$A$1:$C$1,),)=0,#N/A,VLOOKUP(Table7[[#This Row],[Date]],Database!$A:$C,MATCH($C$1,Database!$A$1:$C$1,),))</f>
        <v/>
      </c>
      <c r="D15598">
        <f>IFERROR(Table7[[#This Row],[United States 10y]]-Table7[[#This Row],[United States 3y]],#N/A)</f>
        <v/>
      </c>
    </row>
    <row r="15599">
      <c r="A15599" s="6">
        <f>Database!$A17684</f>
        <v/>
      </c>
      <c r="B15599">
        <f>IF(VLOOKUP(Table7[[#This Row],[Date]],Database!$A:$C,MATCH($B$1,Database!$A$1:$C$1,),)=0,#N/A,VLOOKUP(Table7[[#This Row],[Date]],Database!$A:$C,MATCH($B$1,Database!$A$1:$C$1,),))</f>
        <v/>
      </c>
      <c r="C15599">
        <f>IF(VLOOKUP(Table7[[#This Row],[Date]],Database!$A:$C,MATCH($C$1,Database!$A$1:$C$1,),)=0,#N/A,VLOOKUP(Table7[[#This Row],[Date]],Database!$A:$C,MATCH($C$1,Database!$A$1:$C$1,),))</f>
        <v/>
      </c>
      <c r="D15599">
        <f>IFERROR(Table7[[#This Row],[United States 10y]]-Table7[[#This Row],[United States 3y]],#N/A)</f>
        <v/>
      </c>
    </row>
    <row r="15600">
      <c r="A15600" s="6">
        <f>Database!$A17685</f>
        <v/>
      </c>
      <c r="B15600">
        <f>IF(VLOOKUP(Table7[[#This Row],[Date]],Database!$A:$C,MATCH($B$1,Database!$A$1:$C$1,),)=0,#N/A,VLOOKUP(Table7[[#This Row],[Date]],Database!$A:$C,MATCH($B$1,Database!$A$1:$C$1,),))</f>
        <v/>
      </c>
      <c r="C15600">
        <f>IF(VLOOKUP(Table7[[#This Row],[Date]],Database!$A:$C,MATCH($C$1,Database!$A$1:$C$1,),)=0,#N/A,VLOOKUP(Table7[[#This Row],[Date]],Database!$A:$C,MATCH($C$1,Database!$A$1:$C$1,),))</f>
        <v/>
      </c>
      <c r="D15600">
        <f>IFERROR(Table7[[#This Row],[United States 10y]]-Table7[[#This Row],[United States 3y]],#N/A)</f>
        <v/>
      </c>
    </row>
    <row r="15601">
      <c r="A15601" s="6">
        <f>Database!$A17686</f>
        <v/>
      </c>
      <c r="B15601">
        <f>IF(VLOOKUP(Table7[[#This Row],[Date]],Database!$A:$C,MATCH($B$1,Database!$A$1:$C$1,),)=0,#N/A,VLOOKUP(Table7[[#This Row],[Date]],Database!$A:$C,MATCH($B$1,Database!$A$1:$C$1,),))</f>
        <v/>
      </c>
      <c r="C15601">
        <f>IF(VLOOKUP(Table7[[#This Row],[Date]],Database!$A:$C,MATCH($C$1,Database!$A$1:$C$1,),)=0,#N/A,VLOOKUP(Table7[[#This Row],[Date]],Database!$A:$C,MATCH($C$1,Database!$A$1:$C$1,),))</f>
        <v/>
      </c>
      <c r="D15601">
        <f>IFERROR(Table7[[#This Row],[United States 10y]]-Table7[[#This Row],[United States 3y]],#N/A)</f>
        <v/>
      </c>
    </row>
    <row r="15602">
      <c r="A15602" s="6">
        <f>Database!$A17687</f>
        <v/>
      </c>
      <c r="B15602">
        <f>IF(VLOOKUP(Table7[[#This Row],[Date]],Database!$A:$C,MATCH($B$1,Database!$A$1:$C$1,),)=0,#N/A,VLOOKUP(Table7[[#This Row],[Date]],Database!$A:$C,MATCH($B$1,Database!$A$1:$C$1,),))</f>
        <v/>
      </c>
      <c r="C15602">
        <f>IF(VLOOKUP(Table7[[#This Row],[Date]],Database!$A:$C,MATCH($C$1,Database!$A$1:$C$1,),)=0,#N/A,VLOOKUP(Table7[[#This Row],[Date]],Database!$A:$C,MATCH($C$1,Database!$A$1:$C$1,),))</f>
        <v/>
      </c>
      <c r="D15602">
        <f>IFERROR(Table7[[#This Row],[United States 10y]]-Table7[[#This Row],[United States 3y]],#N/A)</f>
        <v/>
      </c>
    </row>
    <row r="15603">
      <c r="A15603" s="6">
        <f>Database!$A17688</f>
        <v/>
      </c>
      <c r="B15603">
        <f>IF(VLOOKUP(Table7[[#This Row],[Date]],Database!$A:$C,MATCH($B$1,Database!$A$1:$C$1,),)=0,#N/A,VLOOKUP(Table7[[#This Row],[Date]],Database!$A:$C,MATCH($B$1,Database!$A$1:$C$1,),))</f>
        <v/>
      </c>
      <c r="C15603">
        <f>IF(VLOOKUP(Table7[[#This Row],[Date]],Database!$A:$C,MATCH($C$1,Database!$A$1:$C$1,),)=0,#N/A,VLOOKUP(Table7[[#This Row],[Date]],Database!$A:$C,MATCH($C$1,Database!$A$1:$C$1,),))</f>
        <v/>
      </c>
      <c r="D15603">
        <f>IFERROR(Table7[[#This Row],[United States 10y]]-Table7[[#This Row],[United States 3y]],#N/A)</f>
        <v/>
      </c>
    </row>
    <row r="15604">
      <c r="A15604" s="6">
        <f>Database!$A17689</f>
        <v/>
      </c>
      <c r="B15604">
        <f>IF(VLOOKUP(Table7[[#This Row],[Date]],Database!$A:$C,MATCH($B$1,Database!$A$1:$C$1,),)=0,#N/A,VLOOKUP(Table7[[#This Row],[Date]],Database!$A:$C,MATCH($B$1,Database!$A$1:$C$1,),))</f>
        <v/>
      </c>
      <c r="C15604">
        <f>IF(VLOOKUP(Table7[[#This Row],[Date]],Database!$A:$C,MATCH($C$1,Database!$A$1:$C$1,),)=0,#N/A,VLOOKUP(Table7[[#This Row],[Date]],Database!$A:$C,MATCH($C$1,Database!$A$1:$C$1,),))</f>
        <v/>
      </c>
      <c r="D15604">
        <f>IFERROR(Table7[[#This Row],[United States 10y]]-Table7[[#This Row],[United States 3y]],#N/A)</f>
        <v/>
      </c>
    </row>
    <row r="15605">
      <c r="A15605" s="6">
        <f>Database!$A17690</f>
        <v/>
      </c>
      <c r="B15605">
        <f>IF(VLOOKUP(Table7[[#This Row],[Date]],Database!$A:$C,MATCH($B$1,Database!$A$1:$C$1,),)=0,#N/A,VLOOKUP(Table7[[#This Row],[Date]],Database!$A:$C,MATCH($B$1,Database!$A$1:$C$1,),))</f>
        <v/>
      </c>
      <c r="C15605">
        <f>IF(VLOOKUP(Table7[[#This Row],[Date]],Database!$A:$C,MATCH($C$1,Database!$A$1:$C$1,),)=0,#N/A,VLOOKUP(Table7[[#This Row],[Date]],Database!$A:$C,MATCH($C$1,Database!$A$1:$C$1,),))</f>
        <v/>
      </c>
      <c r="D15605">
        <f>IFERROR(Table7[[#This Row],[United States 10y]]-Table7[[#This Row],[United States 3y]],#N/A)</f>
        <v/>
      </c>
    </row>
    <row r="15606">
      <c r="A15606" s="6">
        <f>Database!$A17691</f>
        <v/>
      </c>
      <c r="B15606">
        <f>IF(VLOOKUP(Table7[[#This Row],[Date]],Database!$A:$C,MATCH($B$1,Database!$A$1:$C$1,),)=0,#N/A,VLOOKUP(Table7[[#This Row],[Date]],Database!$A:$C,MATCH($B$1,Database!$A$1:$C$1,),))</f>
        <v/>
      </c>
      <c r="C15606">
        <f>IF(VLOOKUP(Table7[[#This Row],[Date]],Database!$A:$C,MATCH($C$1,Database!$A$1:$C$1,),)=0,#N/A,VLOOKUP(Table7[[#This Row],[Date]],Database!$A:$C,MATCH($C$1,Database!$A$1:$C$1,),))</f>
        <v/>
      </c>
      <c r="D15606">
        <f>IFERROR(Table7[[#This Row],[United States 10y]]-Table7[[#This Row],[United States 3y]],#N/A)</f>
        <v/>
      </c>
    </row>
    <row r="15607">
      <c r="A15607" s="6">
        <f>Database!$A17692</f>
        <v/>
      </c>
      <c r="B15607">
        <f>IF(VLOOKUP(Table7[[#This Row],[Date]],Database!$A:$C,MATCH($B$1,Database!$A$1:$C$1,),)=0,#N/A,VLOOKUP(Table7[[#This Row],[Date]],Database!$A:$C,MATCH($B$1,Database!$A$1:$C$1,),))</f>
        <v/>
      </c>
      <c r="C15607">
        <f>IF(VLOOKUP(Table7[[#This Row],[Date]],Database!$A:$C,MATCH($C$1,Database!$A$1:$C$1,),)=0,#N/A,VLOOKUP(Table7[[#This Row],[Date]],Database!$A:$C,MATCH($C$1,Database!$A$1:$C$1,),))</f>
        <v/>
      </c>
      <c r="D15607">
        <f>IFERROR(Table7[[#This Row],[United States 10y]]-Table7[[#This Row],[United States 3y]],#N/A)</f>
        <v/>
      </c>
    </row>
    <row r="15608">
      <c r="A15608" s="6">
        <f>Database!$A17693</f>
        <v/>
      </c>
      <c r="B15608">
        <f>IF(VLOOKUP(Table7[[#This Row],[Date]],Database!$A:$C,MATCH($B$1,Database!$A$1:$C$1,),)=0,#N/A,VLOOKUP(Table7[[#This Row],[Date]],Database!$A:$C,MATCH($B$1,Database!$A$1:$C$1,),))</f>
        <v/>
      </c>
      <c r="C15608">
        <f>IF(VLOOKUP(Table7[[#This Row],[Date]],Database!$A:$C,MATCH($C$1,Database!$A$1:$C$1,),)=0,#N/A,VLOOKUP(Table7[[#This Row],[Date]],Database!$A:$C,MATCH($C$1,Database!$A$1:$C$1,),))</f>
        <v/>
      </c>
      <c r="D15608">
        <f>IFERROR(Table7[[#This Row],[United States 10y]]-Table7[[#This Row],[United States 3y]],#N/A)</f>
        <v/>
      </c>
    </row>
    <row r="15609">
      <c r="A15609" s="6">
        <f>Database!$A17694</f>
        <v/>
      </c>
      <c r="B15609">
        <f>IF(VLOOKUP(Table7[[#This Row],[Date]],Database!$A:$C,MATCH($B$1,Database!$A$1:$C$1,),)=0,#N/A,VLOOKUP(Table7[[#This Row],[Date]],Database!$A:$C,MATCH($B$1,Database!$A$1:$C$1,),))</f>
        <v/>
      </c>
      <c r="C15609">
        <f>IF(VLOOKUP(Table7[[#This Row],[Date]],Database!$A:$C,MATCH($C$1,Database!$A$1:$C$1,),)=0,#N/A,VLOOKUP(Table7[[#This Row],[Date]],Database!$A:$C,MATCH($C$1,Database!$A$1:$C$1,),))</f>
        <v/>
      </c>
      <c r="D15609">
        <f>IFERROR(Table7[[#This Row],[United States 10y]]-Table7[[#This Row],[United States 3y]],#N/A)</f>
        <v/>
      </c>
    </row>
    <row r="15610">
      <c r="A15610" s="6">
        <f>Database!$A17695</f>
        <v/>
      </c>
      <c r="B15610">
        <f>IF(VLOOKUP(Table7[[#This Row],[Date]],Database!$A:$C,MATCH($B$1,Database!$A$1:$C$1,),)=0,#N/A,VLOOKUP(Table7[[#This Row],[Date]],Database!$A:$C,MATCH($B$1,Database!$A$1:$C$1,),))</f>
        <v/>
      </c>
      <c r="C15610">
        <f>IF(VLOOKUP(Table7[[#This Row],[Date]],Database!$A:$C,MATCH($C$1,Database!$A$1:$C$1,),)=0,#N/A,VLOOKUP(Table7[[#This Row],[Date]],Database!$A:$C,MATCH($C$1,Database!$A$1:$C$1,),))</f>
        <v/>
      </c>
      <c r="D15610">
        <f>IFERROR(Table7[[#This Row],[United States 10y]]-Table7[[#This Row],[United States 3y]],#N/A)</f>
        <v/>
      </c>
    </row>
    <row r="15611">
      <c r="A15611" s="6">
        <f>Database!$A17696</f>
        <v/>
      </c>
      <c r="B15611">
        <f>IF(VLOOKUP(Table7[[#This Row],[Date]],Database!$A:$C,MATCH($B$1,Database!$A$1:$C$1,),)=0,#N/A,VLOOKUP(Table7[[#This Row],[Date]],Database!$A:$C,MATCH($B$1,Database!$A$1:$C$1,),))</f>
        <v/>
      </c>
      <c r="C15611">
        <f>IF(VLOOKUP(Table7[[#This Row],[Date]],Database!$A:$C,MATCH($C$1,Database!$A$1:$C$1,),)=0,#N/A,VLOOKUP(Table7[[#This Row],[Date]],Database!$A:$C,MATCH($C$1,Database!$A$1:$C$1,),))</f>
        <v/>
      </c>
      <c r="D15611">
        <f>IFERROR(Table7[[#This Row],[United States 10y]]-Table7[[#This Row],[United States 3y]],#N/A)</f>
        <v/>
      </c>
    </row>
    <row r="15612">
      <c r="A15612" s="6">
        <f>Database!$A17697</f>
        <v/>
      </c>
      <c r="B15612">
        <f>IF(VLOOKUP(Table7[[#This Row],[Date]],Database!$A:$C,MATCH($B$1,Database!$A$1:$C$1,),)=0,#N/A,VLOOKUP(Table7[[#This Row],[Date]],Database!$A:$C,MATCH($B$1,Database!$A$1:$C$1,),))</f>
        <v/>
      </c>
      <c r="C15612">
        <f>IF(VLOOKUP(Table7[[#This Row],[Date]],Database!$A:$C,MATCH($C$1,Database!$A$1:$C$1,),)=0,#N/A,VLOOKUP(Table7[[#This Row],[Date]],Database!$A:$C,MATCH($C$1,Database!$A$1:$C$1,),))</f>
        <v/>
      </c>
      <c r="D15612">
        <f>IFERROR(Table7[[#This Row],[United States 10y]]-Table7[[#This Row],[United States 3y]],#N/A)</f>
        <v/>
      </c>
    </row>
    <row r="15613">
      <c r="A15613" s="6">
        <f>Database!$A17698</f>
        <v/>
      </c>
      <c r="B15613">
        <f>IF(VLOOKUP(Table7[[#This Row],[Date]],Database!$A:$C,MATCH($B$1,Database!$A$1:$C$1,),)=0,#N/A,VLOOKUP(Table7[[#This Row],[Date]],Database!$A:$C,MATCH($B$1,Database!$A$1:$C$1,),))</f>
        <v/>
      </c>
      <c r="C15613">
        <f>IF(VLOOKUP(Table7[[#This Row],[Date]],Database!$A:$C,MATCH($C$1,Database!$A$1:$C$1,),)=0,#N/A,VLOOKUP(Table7[[#This Row],[Date]],Database!$A:$C,MATCH($C$1,Database!$A$1:$C$1,),))</f>
        <v/>
      </c>
      <c r="D15613">
        <f>IFERROR(Table7[[#This Row],[United States 10y]]-Table7[[#This Row],[United States 3y]],#N/A)</f>
        <v/>
      </c>
    </row>
    <row r="15614">
      <c r="A15614" s="6">
        <f>Database!$A17699</f>
        <v/>
      </c>
      <c r="B15614">
        <f>IF(VLOOKUP(Table7[[#This Row],[Date]],Database!$A:$C,MATCH($B$1,Database!$A$1:$C$1,),)=0,#N/A,VLOOKUP(Table7[[#This Row],[Date]],Database!$A:$C,MATCH($B$1,Database!$A$1:$C$1,),))</f>
        <v/>
      </c>
      <c r="C15614">
        <f>IF(VLOOKUP(Table7[[#This Row],[Date]],Database!$A:$C,MATCH($C$1,Database!$A$1:$C$1,),)=0,#N/A,VLOOKUP(Table7[[#This Row],[Date]],Database!$A:$C,MATCH($C$1,Database!$A$1:$C$1,),))</f>
        <v/>
      </c>
      <c r="D15614">
        <f>IFERROR(Table7[[#This Row],[United States 10y]]-Table7[[#This Row],[United States 3y]],#N/A)</f>
        <v/>
      </c>
    </row>
    <row r="15615">
      <c r="A15615" s="6">
        <f>Database!$A17700</f>
        <v/>
      </c>
      <c r="B15615">
        <f>IF(VLOOKUP(Table7[[#This Row],[Date]],Database!$A:$C,MATCH($B$1,Database!$A$1:$C$1,),)=0,#N/A,VLOOKUP(Table7[[#This Row],[Date]],Database!$A:$C,MATCH($B$1,Database!$A$1:$C$1,),))</f>
        <v/>
      </c>
      <c r="C15615">
        <f>IF(VLOOKUP(Table7[[#This Row],[Date]],Database!$A:$C,MATCH($C$1,Database!$A$1:$C$1,),)=0,#N/A,VLOOKUP(Table7[[#This Row],[Date]],Database!$A:$C,MATCH($C$1,Database!$A$1:$C$1,),))</f>
        <v/>
      </c>
      <c r="D15615">
        <f>IFERROR(Table7[[#This Row],[United States 10y]]-Table7[[#This Row],[United States 3y]],#N/A)</f>
        <v/>
      </c>
    </row>
    <row r="15616">
      <c r="A15616" s="6">
        <f>Database!$A17701</f>
        <v/>
      </c>
      <c r="B15616">
        <f>IF(VLOOKUP(Table7[[#This Row],[Date]],Database!$A:$C,MATCH($B$1,Database!$A$1:$C$1,),)=0,#N/A,VLOOKUP(Table7[[#This Row],[Date]],Database!$A:$C,MATCH($B$1,Database!$A$1:$C$1,),))</f>
        <v/>
      </c>
      <c r="C15616">
        <f>IF(VLOOKUP(Table7[[#This Row],[Date]],Database!$A:$C,MATCH($C$1,Database!$A$1:$C$1,),)=0,#N/A,VLOOKUP(Table7[[#This Row],[Date]],Database!$A:$C,MATCH($C$1,Database!$A$1:$C$1,),))</f>
        <v/>
      </c>
      <c r="D15616">
        <f>IFERROR(Table7[[#This Row],[United States 10y]]-Table7[[#This Row],[United States 3y]],#N/A)</f>
        <v/>
      </c>
    </row>
    <row r="15617">
      <c r="A15617" s="6">
        <f>Database!$A17702</f>
        <v/>
      </c>
      <c r="B15617">
        <f>IF(VLOOKUP(Table7[[#This Row],[Date]],Database!$A:$C,MATCH($B$1,Database!$A$1:$C$1,),)=0,#N/A,VLOOKUP(Table7[[#This Row],[Date]],Database!$A:$C,MATCH($B$1,Database!$A$1:$C$1,),))</f>
        <v/>
      </c>
      <c r="C15617">
        <f>IF(VLOOKUP(Table7[[#This Row],[Date]],Database!$A:$C,MATCH($C$1,Database!$A$1:$C$1,),)=0,#N/A,VLOOKUP(Table7[[#This Row],[Date]],Database!$A:$C,MATCH($C$1,Database!$A$1:$C$1,),))</f>
        <v/>
      </c>
      <c r="D15617">
        <f>IFERROR(Table7[[#This Row],[United States 10y]]-Table7[[#This Row],[United States 3y]],#N/A)</f>
        <v/>
      </c>
    </row>
    <row r="15618">
      <c r="A15618" s="6">
        <f>Database!$A17703</f>
        <v/>
      </c>
      <c r="B15618">
        <f>IF(VLOOKUP(Table7[[#This Row],[Date]],Database!$A:$C,MATCH($B$1,Database!$A$1:$C$1,),)=0,#N/A,VLOOKUP(Table7[[#This Row],[Date]],Database!$A:$C,MATCH($B$1,Database!$A$1:$C$1,),))</f>
        <v/>
      </c>
      <c r="C15618">
        <f>IF(VLOOKUP(Table7[[#This Row],[Date]],Database!$A:$C,MATCH($C$1,Database!$A$1:$C$1,),)=0,#N/A,VLOOKUP(Table7[[#This Row],[Date]],Database!$A:$C,MATCH($C$1,Database!$A$1:$C$1,),))</f>
        <v/>
      </c>
      <c r="D15618">
        <f>IFERROR(Table7[[#This Row],[United States 10y]]-Table7[[#This Row],[United States 3y]],#N/A)</f>
        <v/>
      </c>
    </row>
    <row r="15619">
      <c r="A15619" s="6">
        <f>Database!$A17704</f>
        <v/>
      </c>
      <c r="B15619">
        <f>IF(VLOOKUP(Table7[[#This Row],[Date]],Database!$A:$C,MATCH($B$1,Database!$A$1:$C$1,),)=0,#N/A,VLOOKUP(Table7[[#This Row],[Date]],Database!$A:$C,MATCH($B$1,Database!$A$1:$C$1,),))</f>
        <v/>
      </c>
      <c r="C15619">
        <f>IF(VLOOKUP(Table7[[#This Row],[Date]],Database!$A:$C,MATCH($C$1,Database!$A$1:$C$1,),)=0,#N/A,VLOOKUP(Table7[[#This Row],[Date]],Database!$A:$C,MATCH($C$1,Database!$A$1:$C$1,),))</f>
        <v/>
      </c>
      <c r="D15619">
        <f>IFERROR(Table7[[#This Row],[United States 10y]]-Table7[[#This Row],[United States 3y]],#N/A)</f>
        <v/>
      </c>
    </row>
    <row r="15620">
      <c r="A15620" s="6">
        <f>Database!$A17705</f>
        <v/>
      </c>
      <c r="B15620">
        <f>IF(VLOOKUP(Table7[[#This Row],[Date]],Database!$A:$C,MATCH($B$1,Database!$A$1:$C$1,),)=0,#N/A,VLOOKUP(Table7[[#This Row],[Date]],Database!$A:$C,MATCH($B$1,Database!$A$1:$C$1,),))</f>
        <v/>
      </c>
      <c r="C15620">
        <f>IF(VLOOKUP(Table7[[#This Row],[Date]],Database!$A:$C,MATCH($C$1,Database!$A$1:$C$1,),)=0,#N/A,VLOOKUP(Table7[[#This Row],[Date]],Database!$A:$C,MATCH($C$1,Database!$A$1:$C$1,),))</f>
        <v/>
      </c>
      <c r="D15620">
        <f>IFERROR(Table7[[#This Row],[United States 10y]]-Table7[[#This Row],[United States 3y]],#N/A)</f>
        <v/>
      </c>
    </row>
    <row r="15621">
      <c r="A15621" s="6">
        <f>Database!$A17706</f>
        <v/>
      </c>
      <c r="B15621">
        <f>IF(VLOOKUP(Table7[[#This Row],[Date]],Database!$A:$C,MATCH($B$1,Database!$A$1:$C$1,),)=0,#N/A,VLOOKUP(Table7[[#This Row],[Date]],Database!$A:$C,MATCH($B$1,Database!$A$1:$C$1,),))</f>
        <v/>
      </c>
      <c r="C15621">
        <f>IF(VLOOKUP(Table7[[#This Row],[Date]],Database!$A:$C,MATCH($C$1,Database!$A$1:$C$1,),)=0,#N/A,VLOOKUP(Table7[[#This Row],[Date]],Database!$A:$C,MATCH($C$1,Database!$A$1:$C$1,),))</f>
        <v/>
      </c>
      <c r="D15621">
        <f>IFERROR(Table7[[#This Row],[United States 10y]]-Table7[[#This Row],[United States 3y]],#N/A)</f>
        <v/>
      </c>
    </row>
    <row r="15622">
      <c r="A15622" s="6">
        <f>Database!$A17707</f>
        <v/>
      </c>
      <c r="B15622">
        <f>IF(VLOOKUP(Table7[[#This Row],[Date]],Database!$A:$C,MATCH($B$1,Database!$A$1:$C$1,),)=0,#N/A,VLOOKUP(Table7[[#This Row],[Date]],Database!$A:$C,MATCH($B$1,Database!$A$1:$C$1,),))</f>
        <v/>
      </c>
      <c r="C15622">
        <f>IF(VLOOKUP(Table7[[#This Row],[Date]],Database!$A:$C,MATCH($C$1,Database!$A$1:$C$1,),)=0,#N/A,VLOOKUP(Table7[[#This Row],[Date]],Database!$A:$C,MATCH($C$1,Database!$A$1:$C$1,),))</f>
        <v/>
      </c>
      <c r="D15622">
        <f>IFERROR(Table7[[#This Row],[United States 10y]]-Table7[[#This Row],[United States 3y]],#N/A)</f>
        <v/>
      </c>
    </row>
    <row r="15623">
      <c r="A15623" s="6">
        <f>Database!$A17708</f>
        <v/>
      </c>
      <c r="B15623">
        <f>IF(VLOOKUP(Table7[[#This Row],[Date]],Database!$A:$C,MATCH($B$1,Database!$A$1:$C$1,),)=0,#N/A,VLOOKUP(Table7[[#This Row],[Date]],Database!$A:$C,MATCH($B$1,Database!$A$1:$C$1,),))</f>
        <v/>
      </c>
      <c r="C15623">
        <f>IF(VLOOKUP(Table7[[#This Row],[Date]],Database!$A:$C,MATCH($C$1,Database!$A$1:$C$1,),)=0,#N/A,VLOOKUP(Table7[[#This Row],[Date]],Database!$A:$C,MATCH($C$1,Database!$A$1:$C$1,),))</f>
        <v/>
      </c>
      <c r="D15623">
        <f>IFERROR(Table7[[#This Row],[United States 10y]]-Table7[[#This Row],[United States 3y]],#N/A)</f>
        <v/>
      </c>
    </row>
    <row r="15624">
      <c r="A15624" s="6">
        <f>Database!$A17709</f>
        <v/>
      </c>
      <c r="B15624">
        <f>IF(VLOOKUP(Table7[[#This Row],[Date]],Database!$A:$C,MATCH($B$1,Database!$A$1:$C$1,),)=0,#N/A,VLOOKUP(Table7[[#This Row],[Date]],Database!$A:$C,MATCH($B$1,Database!$A$1:$C$1,),))</f>
        <v/>
      </c>
      <c r="C15624">
        <f>IF(VLOOKUP(Table7[[#This Row],[Date]],Database!$A:$C,MATCH($C$1,Database!$A$1:$C$1,),)=0,#N/A,VLOOKUP(Table7[[#This Row],[Date]],Database!$A:$C,MATCH($C$1,Database!$A$1:$C$1,),))</f>
        <v/>
      </c>
      <c r="D15624">
        <f>IFERROR(Table7[[#This Row],[United States 10y]]-Table7[[#This Row],[United States 3y]],#N/A)</f>
        <v/>
      </c>
    </row>
    <row r="15625">
      <c r="A15625" s="6">
        <f>Database!$A17710</f>
        <v/>
      </c>
      <c r="B15625">
        <f>IF(VLOOKUP(Table7[[#This Row],[Date]],Database!$A:$C,MATCH($B$1,Database!$A$1:$C$1,),)=0,#N/A,VLOOKUP(Table7[[#This Row],[Date]],Database!$A:$C,MATCH($B$1,Database!$A$1:$C$1,),))</f>
        <v/>
      </c>
      <c r="C15625">
        <f>IF(VLOOKUP(Table7[[#This Row],[Date]],Database!$A:$C,MATCH($C$1,Database!$A$1:$C$1,),)=0,#N/A,VLOOKUP(Table7[[#This Row],[Date]],Database!$A:$C,MATCH($C$1,Database!$A$1:$C$1,),))</f>
        <v/>
      </c>
      <c r="D15625">
        <f>IFERROR(Table7[[#This Row],[United States 10y]]-Table7[[#This Row],[United States 3y]],#N/A)</f>
        <v/>
      </c>
    </row>
    <row r="15626">
      <c r="A15626" s="6">
        <f>Database!$A17711</f>
        <v/>
      </c>
      <c r="B15626">
        <f>IF(VLOOKUP(Table7[[#This Row],[Date]],Database!$A:$C,MATCH($B$1,Database!$A$1:$C$1,),)=0,#N/A,VLOOKUP(Table7[[#This Row],[Date]],Database!$A:$C,MATCH($B$1,Database!$A$1:$C$1,),))</f>
        <v/>
      </c>
      <c r="C15626">
        <f>IF(VLOOKUP(Table7[[#This Row],[Date]],Database!$A:$C,MATCH($C$1,Database!$A$1:$C$1,),)=0,#N/A,VLOOKUP(Table7[[#This Row],[Date]],Database!$A:$C,MATCH($C$1,Database!$A$1:$C$1,),))</f>
        <v/>
      </c>
      <c r="D15626">
        <f>IFERROR(Table7[[#This Row],[United States 10y]]-Table7[[#This Row],[United States 3y]],#N/A)</f>
        <v/>
      </c>
    </row>
    <row r="15627">
      <c r="A15627" s="6">
        <f>Database!$A17712</f>
        <v/>
      </c>
      <c r="B15627">
        <f>IF(VLOOKUP(Table7[[#This Row],[Date]],Database!$A:$C,MATCH($B$1,Database!$A$1:$C$1,),)=0,#N/A,VLOOKUP(Table7[[#This Row],[Date]],Database!$A:$C,MATCH($B$1,Database!$A$1:$C$1,),))</f>
        <v/>
      </c>
      <c r="C15627">
        <f>IF(VLOOKUP(Table7[[#This Row],[Date]],Database!$A:$C,MATCH($C$1,Database!$A$1:$C$1,),)=0,#N/A,VLOOKUP(Table7[[#This Row],[Date]],Database!$A:$C,MATCH($C$1,Database!$A$1:$C$1,),))</f>
        <v/>
      </c>
      <c r="D15627">
        <f>IFERROR(Table7[[#This Row],[United States 10y]]-Table7[[#This Row],[United States 3y]],#N/A)</f>
        <v/>
      </c>
    </row>
    <row r="15628">
      <c r="A15628" s="6">
        <f>Database!$A17713</f>
        <v/>
      </c>
      <c r="B15628">
        <f>IF(VLOOKUP(Table7[[#This Row],[Date]],Database!$A:$C,MATCH($B$1,Database!$A$1:$C$1,),)=0,#N/A,VLOOKUP(Table7[[#This Row],[Date]],Database!$A:$C,MATCH($B$1,Database!$A$1:$C$1,),))</f>
        <v/>
      </c>
      <c r="C15628">
        <f>IF(VLOOKUP(Table7[[#This Row],[Date]],Database!$A:$C,MATCH($C$1,Database!$A$1:$C$1,),)=0,#N/A,VLOOKUP(Table7[[#This Row],[Date]],Database!$A:$C,MATCH($C$1,Database!$A$1:$C$1,),))</f>
        <v/>
      </c>
      <c r="D15628">
        <f>IFERROR(Table7[[#This Row],[United States 10y]]-Table7[[#This Row],[United States 3y]],#N/A)</f>
        <v/>
      </c>
    </row>
    <row r="15629">
      <c r="A15629" s="6">
        <f>Database!$A17714</f>
        <v/>
      </c>
      <c r="B15629">
        <f>IF(VLOOKUP(Table7[[#This Row],[Date]],Database!$A:$C,MATCH($B$1,Database!$A$1:$C$1,),)=0,#N/A,VLOOKUP(Table7[[#This Row],[Date]],Database!$A:$C,MATCH($B$1,Database!$A$1:$C$1,),))</f>
        <v/>
      </c>
      <c r="C15629">
        <f>IF(VLOOKUP(Table7[[#This Row],[Date]],Database!$A:$C,MATCH($C$1,Database!$A$1:$C$1,),)=0,#N/A,VLOOKUP(Table7[[#This Row],[Date]],Database!$A:$C,MATCH($C$1,Database!$A$1:$C$1,),))</f>
        <v/>
      </c>
      <c r="D15629">
        <f>IFERROR(Table7[[#This Row],[United States 10y]]-Table7[[#This Row],[United States 3y]],#N/A)</f>
        <v/>
      </c>
    </row>
    <row r="15630">
      <c r="A15630" s="6">
        <f>Database!$A17715</f>
        <v/>
      </c>
      <c r="B15630">
        <f>IF(VLOOKUP(Table7[[#This Row],[Date]],Database!$A:$C,MATCH($B$1,Database!$A$1:$C$1,),)=0,#N/A,VLOOKUP(Table7[[#This Row],[Date]],Database!$A:$C,MATCH($B$1,Database!$A$1:$C$1,),))</f>
        <v/>
      </c>
      <c r="C15630">
        <f>IF(VLOOKUP(Table7[[#This Row],[Date]],Database!$A:$C,MATCH($C$1,Database!$A$1:$C$1,),)=0,#N/A,VLOOKUP(Table7[[#This Row],[Date]],Database!$A:$C,MATCH($C$1,Database!$A$1:$C$1,),))</f>
        <v/>
      </c>
      <c r="D15630">
        <f>IFERROR(Table7[[#This Row],[United States 10y]]-Table7[[#This Row],[United States 3y]],#N/A)</f>
        <v/>
      </c>
    </row>
    <row r="15631">
      <c r="A15631" s="6">
        <f>Database!$A17716</f>
        <v/>
      </c>
      <c r="B15631">
        <f>IF(VLOOKUP(Table7[[#This Row],[Date]],Database!$A:$C,MATCH($B$1,Database!$A$1:$C$1,),)=0,#N/A,VLOOKUP(Table7[[#This Row],[Date]],Database!$A:$C,MATCH($B$1,Database!$A$1:$C$1,),))</f>
        <v/>
      </c>
      <c r="C15631">
        <f>IF(VLOOKUP(Table7[[#This Row],[Date]],Database!$A:$C,MATCH($C$1,Database!$A$1:$C$1,),)=0,#N/A,VLOOKUP(Table7[[#This Row],[Date]],Database!$A:$C,MATCH($C$1,Database!$A$1:$C$1,),))</f>
        <v/>
      </c>
      <c r="D15631">
        <f>IFERROR(Table7[[#This Row],[United States 10y]]-Table7[[#This Row],[United States 3y]],#N/A)</f>
        <v/>
      </c>
    </row>
    <row r="15632">
      <c r="A15632" s="6">
        <f>Database!$A17717</f>
        <v/>
      </c>
      <c r="B15632">
        <f>IF(VLOOKUP(Table7[[#This Row],[Date]],Database!$A:$C,MATCH($B$1,Database!$A$1:$C$1,),)=0,#N/A,VLOOKUP(Table7[[#This Row],[Date]],Database!$A:$C,MATCH($B$1,Database!$A$1:$C$1,),))</f>
        <v/>
      </c>
      <c r="C15632">
        <f>IF(VLOOKUP(Table7[[#This Row],[Date]],Database!$A:$C,MATCH($C$1,Database!$A$1:$C$1,),)=0,#N/A,VLOOKUP(Table7[[#This Row],[Date]],Database!$A:$C,MATCH($C$1,Database!$A$1:$C$1,),))</f>
        <v/>
      </c>
      <c r="D15632">
        <f>IFERROR(Table7[[#This Row],[United States 10y]]-Table7[[#This Row],[United States 3y]],#N/A)</f>
        <v/>
      </c>
    </row>
    <row r="15633">
      <c r="A15633" s="6">
        <f>Database!$A17718</f>
        <v/>
      </c>
      <c r="B15633">
        <f>IF(VLOOKUP(Table7[[#This Row],[Date]],Database!$A:$C,MATCH($B$1,Database!$A$1:$C$1,),)=0,#N/A,VLOOKUP(Table7[[#This Row],[Date]],Database!$A:$C,MATCH($B$1,Database!$A$1:$C$1,),))</f>
        <v/>
      </c>
      <c r="C15633">
        <f>IF(VLOOKUP(Table7[[#This Row],[Date]],Database!$A:$C,MATCH($C$1,Database!$A$1:$C$1,),)=0,#N/A,VLOOKUP(Table7[[#This Row],[Date]],Database!$A:$C,MATCH($C$1,Database!$A$1:$C$1,),))</f>
        <v/>
      </c>
      <c r="D15633">
        <f>IFERROR(Table7[[#This Row],[United States 10y]]-Table7[[#This Row],[United States 3y]],#N/A)</f>
        <v/>
      </c>
    </row>
    <row r="15634">
      <c r="A15634" s="6">
        <f>Database!$A17719</f>
        <v/>
      </c>
      <c r="B15634">
        <f>IF(VLOOKUP(Table7[[#This Row],[Date]],Database!$A:$C,MATCH($B$1,Database!$A$1:$C$1,),)=0,#N/A,VLOOKUP(Table7[[#This Row],[Date]],Database!$A:$C,MATCH($B$1,Database!$A$1:$C$1,),))</f>
        <v/>
      </c>
      <c r="C15634">
        <f>IF(VLOOKUP(Table7[[#This Row],[Date]],Database!$A:$C,MATCH($C$1,Database!$A$1:$C$1,),)=0,#N/A,VLOOKUP(Table7[[#This Row],[Date]],Database!$A:$C,MATCH($C$1,Database!$A$1:$C$1,),))</f>
        <v/>
      </c>
      <c r="D15634">
        <f>IFERROR(Table7[[#This Row],[United States 10y]]-Table7[[#This Row],[United States 3y]],#N/A)</f>
        <v/>
      </c>
    </row>
    <row r="15635">
      <c r="A15635" s="6">
        <f>Database!$A17720</f>
        <v/>
      </c>
      <c r="B15635">
        <f>IF(VLOOKUP(Table7[[#This Row],[Date]],Database!$A:$C,MATCH($B$1,Database!$A$1:$C$1,),)=0,#N/A,VLOOKUP(Table7[[#This Row],[Date]],Database!$A:$C,MATCH($B$1,Database!$A$1:$C$1,),))</f>
        <v/>
      </c>
      <c r="C15635">
        <f>IF(VLOOKUP(Table7[[#This Row],[Date]],Database!$A:$C,MATCH($C$1,Database!$A$1:$C$1,),)=0,#N/A,VLOOKUP(Table7[[#This Row],[Date]],Database!$A:$C,MATCH($C$1,Database!$A$1:$C$1,),))</f>
        <v/>
      </c>
      <c r="D15635">
        <f>IFERROR(Table7[[#This Row],[United States 10y]]-Table7[[#This Row],[United States 3y]],#N/A)</f>
        <v/>
      </c>
    </row>
    <row r="15636">
      <c r="A15636" s="6">
        <f>Database!$A17721</f>
        <v/>
      </c>
      <c r="B15636">
        <f>IF(VLOOKUP(Table7[[#This Row],[Date]],Database!$A:$C,MATCH($B$1,Database!$A$1:$C$1,),)=0,#N/A,VLOOKUP(Table7[[#This Row],[Date]],Database!$A:$C,MATCH($B$1,Database!$A$1:$C$1,),))</f>
        <v/>
      </c>
      <c r="C15636">
        <f>IF(VLOOKUP(Table7[[#This Row],[Date]],Database!$A:$C,MATCH($C$1,Database!$A$1:$C$1,),)=0,#N/A,VLOOKUP(Table7[[#This Row],[Date]],Database!$A:$C,MATCH($C$1,Database!$A$1:$C$1,),))</f>
        <v/>
      </c>
      <c r="D15636">
        <f>IFERROR(Table7[[#This Row],[United States 10y]]-Table7[[#This Row],[United States 3y]],#N/A)</f>
        <v/>
      </c>
    </row>
    <row r="15637">
      <c r="A15637" s="6">
        <f>Database!$A17722</f>
        <v/>
      </c>
      <c r="B15637">
        <f>IF(VLOOKUP(Table7[[#This Row],[Date]],Database!$A:$C,MATCH($B$1,Database!$A$1:$C$1,),)=0,#N/A,VLOOKUP(Table7[[#This Row],[Date]],Database!$A:$C,MATCH($B$1,Database!$A$1:$C$1,),))</f>
        <v/>
      </c>
      <c r="C15637">
        <f>IF(VLOOKUP(Table7[[#This Row],[Date]],Database!$A:$C,MATCH($C$1,Database!$A$1:$C$1,),)=0,#N/A,VLOOKUP(Table7[[#This Row],[Date]],Database!$A:$C,MATCH($C$1,Database!$A$1:$C$1,),))</f>
        <v/>
      </c>
      <c r="D15637">
        <f>IFERROR(Table7[[#This Row],[United States 10y]]-Table7[[#This Row],[United States 3y]],#N/A)</f>
        <v/>
      </c>
    </row>
    <row r="15638">
      <c r="A15638" s="6">
        <f>Database!$A17723</f>
        <v/>
      </c>
      <c r="B15638">
        <f>IF(VLOOKUP(Table7[[#This Row],[Date]],Database!$A:$C,MATCH($B$1,Database!$A$1:$C$1,),)=0,#N/A,VLOOKUP(Table7[[#This Row],[Date]],Database!$A:$C,MATCH($B$1,Database!$A$1:$C$1,),))</f>
        <v/>
      </c>
      <c r="C15638">
        <f>IF(VLOOKUP(Table7[[#This Row],[Date]],Database!$A:$C,MATCH($C$1,Database!$A$1:$C$1,),)=0,#N/A,VLOOKUP(Table7[[#This Row],[Date]],Database!$A:$C,MATCH($C$1,Database!$A$1:$C$1,),))</f>
        <v/>
      </c>
      <c r="D15638">
        <f>IFERROR(Table7[[#This Row],[United States 10y]]-Table7[[#This Row],[United States 3y]],#N/A)</f>
        <v/>
      </c>
    </row>
    <row r="15639">
      <c r="A15639" s="6">
        <f>Database!$A17724</f>
        <v/>
      </c>
      <c r="B15639">
        <f>IF(VLOOKUP(Table7[[#This Row],[Date]],Database!$A:$C,MATCH($B$1,Database!$A$1:$C$1,),)=0,#N/A,VLOOKUP(Table7[[#This Row],[Date]],Database!$A:$C,MATCH($B$1,Database!$A$1:$C$1,),))</f>
        <v/>
      </c>
      <c r="C15639">
        <f>IF(VLOOKUP(Table7[[#This Row],[Date]],Database!$A:$C,MATCH($C$1,Database!$A$1:$C$1,),)=0,#N/A,VLOOKUP(Table7[[#This Row],[Date]],Database!$A:$C,MATCH($C$1,Database!$A$1:$C$1,),))</f>
        <v/>
      </c>
      <c r="D15639">
        <f>IFERROR(Table7[[#This Row],[United States 10y]]-Table7[[#This Row],[United States 3y]],#N/A)</f>
        <v/>
      </c>
    </row>
    <row r="15640">
      <c r="A15640" s="6">
        <f>Database!$A17725</f>
        <v/>
      </c>
      <c r="B15640">
        <f>IF(VLOOKUP(Table7[[#This Row],[Date]],Database!$A:$C,MATCH($B$1,Database!$A$1:$C$1,),)=0,#N/A,VLOOKUP(Table7[[#This Row],[Date]],Database!$A:$C,MATCH($B$1,Database!$A$1:$C$1,),))</f>
        <v/>
      </c>
      <c r="C15640">
        <f>IF(VLOOKUP(Table7[[#This Row],[Date]],Database!$A:$C,MATCH($C$1,Database!$A$1:$C$1,),)=0,#N/A,VLOOKUP(Table7[[#This Row],[Date]],Database!$A:$C,MATCH($C$1,Database!$A$1:$C$1,),))</f>
        <v/>
      </c>
      <c r="D15640">
        <f>IFERROR(Table7[[#This Row],[United States 10y]]-Table7[[#This Row],[United States 3y]],#N/A)</f>
        <v/>
      </c>
    </row>
    <row r="15641">
      <c r="A15641" s="6">
        <f>Database!$A17726</f>
        <v/>
      </c>
      <c r="B15641">
        <f>IF(VLOOKUP(Table7[[#This Row],[Date]],Database!$A:$C,MATCH($B$1,Database!$A$1:$C$1,),)=0,#N/A,VLOOKUP(Table7[[#This Row],[Date]],Database!$A:$C,MATCH($B$1,Database!$A$1:$C$1,),))</f>
        <v/>
      </c>
      <c r="C15641">
        <f>IF(VLOOKUP(Table7[[#This Row],[Date]],Database!$A:$C,MATCH($C$1,Database!$A$1:$C$1,),)=0,#N/A,VLOOKUP(Table7[[#This Row],[Date]],Database!$A:$C,MATCH($C$1,Database!$A$1:$C$1,),))</f>
        <v/>
      </c>
      <c r="D15641">
        <f>IFERROR(Table7[[#This Row],[United States 10y]]-Table7[[#This Row],[United States 3y]],#N/A)</f>
        <v/>
      </c>
    </row>
    <row r="15642">
      <c r="A15642" s="6">
        <f>Database!$A17727</f>
        <v/>
      </c>
      <c r="B15642">
        <f>IF(VLOOKUP(Table7[[#This Row],[Date]],Database!$A:$C,MATCH($B$1,Database!$A$1:$C$1,),)=0,#N/A,VLOOKUP(Table7[[#This Row],[Date]],Database!$A:$C,MATCH($B$1,Database!$A$1:$C$1,),))</f>
        <v/>
      </c>
      <c r="C15642">
        <f>IF(VLOOKUP(Table7[[#This Row],[Date]],Database!$A:$C,MATCH($C$1,Database!$A$1:$C$1,),)=0,#N/A,VLOOKUP(Table7[[#This Row],[Date]],Database!$A:$C,MATCH($C$1,Database!$A$1:$C$1,),))</f>
        <v/>
      </c>
      <c r="D15642">
        <f>IFERROR(Table7[[#This Row],[United States 10y]]-Table7[[#This Row],[United States 3y]],#N/A)</f>
        <v/>
      </c>
    </row>
    <row r="15643">
      <c r="A15643" s="6">
        <f>Database!$A17728</f>
        <v/>
      </c>
      <c r="B15643">
        <f>IF(VLOOKUP(Table7[[#This Row],[Date]],Database!$A:$C,MATCH($B$1,Database!$A$1:$C$1,),)=0,#N/A,VLOOKUP(Table7[[#This Row],[Date]],Database!$A:$C,MATCH($B$1,Database!$A$1:$C$1,),))</f>
        <v/>
      </c>
      <c r="C15643">
        <f>IF(VLOOKUP(Table7[[#This Row],[Date]],Database!$A:$C,MATCH($C$1,Database!$A$1:$C$1,),)=0,#N/A,VLOOKUP(Table7[[#This Row],[Date]],Database!$A:$C,MATCH($C$1,Database!$A$1:$C$1,),))</f>
        <v/>
      </c>
      <c r="D15643">
        <f>IFERROR(Table7[[#This Row],[United States 10y]]-Table7[[#This Row],[United States 3y]],#N/A)</f>
        <v/>
      </c>
    </row>
    <row r="15644">
      <c r="A15644" s="6">
        <f>Database!$A17729</f>
        <v/>
      </c>
      <c r="B15644">
        <f>IF(VLOOKUP(Table7[[#This Row],[Date]],Database!$A:$C,MATCH($B$1,Database!$A$1:$C$1,),)=0,#N/A,VLOOKUP(Table7[[#This Row],[Date]],Database!$A:$C,MATCH($B$1,Database!$A$1:$C$1,),))</f>
        <v/>
      </c>
      <c r="C15644">
        <f>IF(VLOOKUP(Table7[[#This Row],[Date]],Database!$A:$C,MATCH($C$1,Database!$A$1:$C$1,),)=0,#N/A,VLOOKUP(Table7[[#This Row],[Date]],Database!$A:$C,MATCH($C$1,Database!$A$1:$C$1,),))</f>
        <v/>
      </c>
      <c r="D15644">
        <f>IFERROR(Table7[[#This Row],[United States 10y]]-Table7[[#This Row],[United States 3y]],#N/A)</f>
        <v/>
      </c>
    </row>
    <row r="15645">
      <c r="A15645" s="6">
        <f>Database!$A17730</f>
        <v/>
      </c>
      <c r="B15645">
        <f>IF(VLOOKUP(Table7[[#This Row],[Date]],Database!$A:$C,MATCH($B$1,Database!$A$1:$C$1,),)=0,#N/A,VLOOKUP(Table7[[#This Row],[Date]],Database!$A:$C,MATCH($B$1,Database!$A$1:$C$1,),))</f>
        <v/>
      </c>
      <c r="C15645">
        <f>IF(VLOOKUP(Table7[[#This Row],[Date]],Database!$A:$C,MATCH($C$1,Database!$A$1:$C$1,),)=0,#N/A,VLOOKUP(Table7[[#This Row],[Date]],Database!$A:$C,MATCH($C$1,Database!$A$1:$C$1,),))</f>
        <v/>
      </c>
      <c r="D15645">
        <f>IFERROR(Table7[[#This Row],[United States 10y]]-Table7[[#This Row],[United States 3y]],#N/A)</f>
        <v/>
      </c>
    </row>
    <row r="15646">
      <c r="A15646" s="6">
        <f>Database!$A17731</f>
        <v/>
      </c>
      <c r="B15646">
        <f>IF(VLOOKUP(Table7[[#This Row],[Date]],Database!$A:$C,MATCH($B$1,Database!$A$1:$C$1,),)=0,#N/A,VLOOKUP(Table7[[#This Row],[Date]],Database!$A:$C,MATCH($B$1,Database!$A$1:$C$1,),))</f>
        <v/>
      </c>
      <c r="C15646">
        <f>IF(VLOOKUP(Table7[[#This Row],[Date]],Database!$A:$C,MATCH($C$1,Database!$A$1:$C$1,),)=0,#N/A,VLOOKUP(Table7[[#This Row],[Date]],Database!$A:$C,MATCH($C$1,Database!$A$1:$C$1,),))</f>
        <v/>
      </c>
      <c r="D15646">
        <f>IFERROR(Table7[[#This Row],[United States 10y]]-Table7[[#This Row],[United States 3y]],#N/A)</f>
        <v/>
      </c>
    </row>
    <row r="15647">
      <c r="A15647" s="6">
        <f>Database!$A17732</f>
        <v/>
      </c>
      <c r="B15647">
        <f>IF(VLOOKUP(Table7[[#This Row],[Date]],Database!$A:$C,MATCH($B$1,Database!$A$1:$C$1,),)=0,#N/A,VLOOKUP(Table7[[#This Row],[Date]],Database!$A:$C,MATCH($B$1,Database!$A$1:$C$1,),))</f>
        <v/>
      </c>
      <c r="C15647">
        <f>IF(VLOOKUP(Table7[[#This Row],[Date]],Database!$A:$C,MATCH($C$1,Database!$A$1:$C$1,),)=0,#N/A,VLOOKUP(Table7[[#This Row],[Date]],Database!$A:$C,MATCH($C$1,Database!$A$1:$C$1,),))</f>
        <v/>
      </c>
      <c r="D15647">
        <f>IFERROR(Table7[[#This Row],[United States 10y]]-Table7[[#This Row],[United States 3y]],#N/A)</f>
        <v/>
      </c>
    </row>
    <row r="15648">
      <c r="A15648" s="6">
        <f>Database!$A17733</f>
        <v/>
      </c>
      <c r="B15648">
        <f>IF(VLOOKUP(Table7[[#This Row],[Date]],Database!$A:$C,MATCH($B$1,Database!$A$1:$C$1,),)=0,#N/A,VLOOKUP(Table7[[#This Row],[Date]],Database!$A:$C,MATCH($B$1,Database!$A$1:$C$1,),))</f>
        <v/>
      </c>
      <c r="C15648">
        <f>IF(VLOOKUP(Table7[[#This Row],[Date]],Database!$A:$C,MATCH($C$1,Database!$A$1:$C$1,),)=0,#N/A,VLOOKUP(Table7[[#This Row],[Date]],Database!$A:$C,MATCH($C$1,Database!$A$1:$C$1,),))</f>
        <v/>
      </c>
      <c r="D15648">
        <f>IFERROR(Table7[[#This Row],[United States 10y]]-Table7[[#This Row],[United States 3y]],#N/A)</f>
        <v/>
      </c>
    </row>
    <row r="15649">
      <c r="A15649" s="6">
        <f>Database!$A17734</f>
        <v/>
      </c>
      <c r="B15649">
        <f>IF(VLOOKUP(Table7[[#This Row],[Date]],Database!$A:$C,MATCH($B$1,Database!$A$1:$C$1,),)=0,#N/A,VLOOKUP(Table7[[#This Row],[Date]],Database!$A:$C,MATCH($B$1,Database!$A$1:$C$1,),))</f>
        <v/>
      </c>
      <c r="C15649">
        <f>IF(VLOOKUP(Table7[[#This Row],[Date]],Database!$A:$C,MATCH($C$1,Database!$A$1:$C$1,),)=0,#N/A,VLOOKUP(Table7[[#This Row],[Date]],Database!$A:$C,MATCH($C$1,Database!$A$1:$C$1,),))</f>
        <v/>
      </c>
      <c r="D15649">
        <f>IFERROR(Table7[[#This Row],[United States 10y]]-Table7[[#This Row],[United States 3y]],#N/A)</f>
        <v/>
      </c>
    </row>
    <row r="15650">
      <c r="A15650" s="6">
        <f>Database!$A17735</f>
        <v/>
      </c>
      <c r="B15650">
        <f>IF(VLOOKUP(Table7[[#This Row],[Date]],Database!$A:$C,MATCH($B$1,Database!$A$1:$C$1,),)=0,#N/A,VLOOKUP(Table7[[#This Row],[Date]],Database!$A:$C,MATCH($B$1,Database!$A$1:$C$1,),))</f>
        <v/>
      </c>
      <c r="C15650">
        <f>IF(VLOOKUP(Table7[[#This Row],[Date]],Database!$A:$C,MATCH($C$1,Database!$A$1:$C$1,),)=0,#N/A,VLOOKUP(Table7[[#This Row],[Date]],Database!$A:$C,MATCH($C$1,Database!$A$1:$C$1,),))</f>
        <v/>
      </c>
      <c r="D15650">
        <f>IFERROR(Table7[[#This Row],[United States 10y]]-Table7[[#This Row],[United States 3y]],#N/A)</f>
        <v/>
      </c>
    </row>
    <row r="15651">
      <c r="A15651" s="6">
        <f>Database!$A17736</f>
        <v/>
      </c>
      <c r="B15651">
        <f>IF(VLOOKUP(Table7[[#This Row],[Date]],Database!$A:$C,MATCH($B$1,Database!$A$1:$C$1,),)=0,#N/A,VLOOKUP(Table7[[#This Row],[Date]],Database!$A:$C,MATCH($B$1,Database!$A$1:$C$1,),))</f>
        <v/>
      </c>
      <c r="C15651">
        <f>IF(VLOOKUP(Table7[[#This Row],[Date]],Database!$A:$C,MATCH($C$1,Database!$A$1:$C$1,),)=0,#N/A,VLOOKUP(Table7[[#This Row],[Date]],Database!$A:$C,MATCH($C$1,Database!$A$1:$C$1,),))</f>
        <v/>
      </c>
      <c r="D15651">
        <f>IFERROR(Table7[[#This Row],[United States 10y]]-Table7[[#This Row],[United States 3y]],#N/A)</f>
        <v/>
      </c>
    </row>
    <row r="15652">
      <c r="A15652" s="6">
        <f>Database!$A17737</f>
        <v/>
      </c>
      <c r="B15652">
        <f>IF(VLOOKUP(Table7[[#This Row],[Date]],Database!$A:$C,MATCH($B$1,Database!$A$1:$C$1,),)=0,#N/A,VLOOKUP(Table7[[#This Row],[Date]],Database!$A:$C,MATCH($B$1,Database!$A$1:$C$1,),))</f>
        <v/>
      </c>
      <c r="C15652">
        <f>IF(VLOOKUP(Table7[[#This Row],[Date]],Database!$A:$C,MATCH($C$1,Database!$A$1:$C$1,),)=0,#N/A,VLOOKUP(Table7[[#This Row],[Date]],Database!$A:$C,MATCH($C$1,Database!$A$1:$C$1,),))</f>
        <v/>
      </c>
      <c r="D15652">
        <f>IFERROR(Table7[[#This Row],[United States 10y]]-Table7[[#This Row],[United States 3y]],#N/A)</f>
        <v/>
      </c>
    </row>
    <row r="15653">
      <c r="A15653" s="6">
        <f>Database!$A17738</f>
        <v/>
      </c>
      <c r="B15653">
        <f>IF(VLOOKUP(Table7[[#This Row],[Date]],Database!$A:$C,MATCH($B$1,Database!$A$1:$C$1,),)=0,#N/A,VLOOKUP(Table7[[#This Row],[Date]],Database!$A:$C,MATCH($B$1,Database!$A$1:$C$1,),))</f>
        <v/>
      </c>
      <c r="C15653">
        <f>IF(VLOOKUP(Table7[[#This Row],[Date]],Database!$A:$C,MATCH($C$1,Database!$A$1:$C$1,),)=0,#N/A,VLOOKUP(Table7[[#This Row],[Date]],Database!$A:$C,MATCH($C$1,Database!$A$1:$C$1,),))</f>
        <v/>
      </c>
      <c r="D15653">
        <f>IFERROR(Table7[[#This Row],[United States 10y]]-Table7[[#This Row],[United States 3y]],#N/A)</f>
        <v/>
      </c>
    </row>
    <row r="15654">
      <c r="A15654" s="6">
        <f>Database!$A17739</f>
        <v/>
      </c>
      <c r="B15654">
        <f>IF(VLOOKUP(Table7[[#This Row],[Date]],Database!$A:$C,MATCH($B$1,Database!$A$1:$C$1,),)=0,#N/A,VLOOKUP(Table7[[#This Row],[Date]],Database!$A:$C,MATCH($B$1,Database!$A$1:$C$1,),))</f>
        <v/>
      </c>
      <c r="C15654">
        <f>IF(VLOOKUP(Table7[[#This Row],[Date]],Database!$A:$C,MATCH($C$1,Database!$A$1:$C$1,),)=0,#N/A,VLOOKUP(Table7[[#This Row],[Date]],Database!$A:$C,MATCH($C$1,Database!$A$1:$C$1,),))</f>
        <v/>
      </c>
      <c r="D15654">
        <f>IFERROR(Table7[[#This Row],[United States 10y]]-Table7[[#This Row],[United States 3y]],#N/A)</f>
        <v/>
      </c>
    </row>
    <row r="15655">
      <c r="A15655" s="6">
        <f>Database!$A17740</f>
        <v/>
      </c>
      <c r="B15655">
        <f>IF(VLOOKUP(Table7[[#This Row],[Date]],Database!$A:$C,MATCH($B$1,Database!$A$1:$C$1,),)=0,#N/A,VLOOKUP(Table7[[#This Row],[Date]],Database!$A:$C,MATCH($B$1,Database!$A$1:$C$1,),))</f>
        <v/>
      </c>
      <c r="C15655">
        <f>IF(VLOOKUP(Table7[[#This Row],[Date]],Database!$A:$C,MATCH($C$1,Database!$A$1:$C$1,),)=0,#N/A,VLOOKUP(Table7[[#This Row],[Date]],Database!$A:$C,MATCH($C$1,Database!$A$1:$C$1,),))</f>
        <v/>
      </c>
      <c r="D15655">
        <f>IFERROR(Table7[[#This Row],[United States 10y]]-Table7[[#This Row],[United States 3y]],#N/A)</f>
        <v/>
      </c>
    </row>
    <row r="15656">
      <c r="A15656" s="6">
        <f>Database!$A17741</f>
        <v/>
      </c>
      <c r="B15656">
        <f>IF(VLOOKUP(Table7[[#This Row],[Date]],Database!$A:$C,MATCH($B$1,Database!$A$1:$C$1,),)=0,#N/A,VLOOKUP(Table7[[#This Row],[Date]],Database!$A:$C,MATCH($B$1,Database!$A$1:$C$1,),))</f>
        <v/>
      </c>
      <c r="C15656">
        <f>IF(VLOOKUP(Table7[[#This Row],[Date]],Database!$A:$C,MATCH($C$1,Database!$A$1:$C$1,),)=0,#N/A,VLOOKUP(Table7[[#This Row],[Date]],Database!$A:$C,MATCH($C$1,Database!$A$1:$C$1,),))</f>
        <v/>
      </c>
      <c r="D15656">
        <f>IFERROR(Table7[[#This Row],[United States 10y]]-Table7[[#This Row],[United States 3y]],#N/A)</f>
        <v/>
      </c>
    </row>
    <row r="15657">
      <c r="A15657" s="6">
        <f>Database!$A17742</f>
        <v/>
      </c>
      <c r="B15657">
        <f>IF(VLOOKUP(Table7[[#This Row],[Date]],Database!$A:$C,MATCH($B$1,Database!$A$1:$C$1,),)=0,#N/A,VLOOKUP(Table7[[#This Row],[Date]],Database!$A:$C,MATCH($B$1,Database!$A$1:$C$1,),))</f>
        <v/>
      </c>
      <c r="C15657">
        <f>IF(VLOOKUP(Table7[[#This Row],[Date]],Database!$A:$C,MATCH($C$1,Database!$A$1:$C$1,),)=0,#N/A,VLOOKUP(Table7[[#This Row],[Date]],Database!$A:$C,MATCH($C$1,Database!$A$1:$C$1,),))</f>
        <v/>
      </c>
      <c r="D15657">
        <f>IFERROR(Table7[[#This Row],[United States 10y]]-Table7[[#This Row],[United States 3y]],#N/A)</f>
        <v/>
      </c>
    </row>
    <row r="15658">
      <c r="A15658" s="6">
        <f>Database!$A17743</f>
        <v/>
      </c>
      <c r="B15658">
        <f>IF(VLOOKUP(Table7[[#This Row],[Date]],Database!$A:$C,MATCH($B$1,Database!$A$1:$C$1,),)=0,#N/A,VLOOKUP(Table7[[#This Row],[Date]],Database!$A:$C,MATCH($B$1,Database!$A$1:$C$1,),))</f>
        <v/>
      </c>
      <c r="C15658">
        <f>IF(VLOOKUP(Table7[[#This Row],[Date]],Database!$A:$C,MATCH($C$1,Database!$A$1:$C$1,),)=0,#N/A,VLOOKUP(Table7[[#This Row],[Date]],Database!$A:$C,MATCH($C$1,Database!$A$1:$C$1,),))</f>
        <v/>
      </c>
      <c r="D15658">
        <f>IFERROR(Table7[[#This Row],[United States 10y]]-Table7[[#This Row],[United States 3y]],#N/A)</f>
        <v/>
      </c>
    </row>
    <row r="15659">
      <c r="A15659" s="6">
        <f>Database!$A17744</f>
        <v/>
      </c>
      <c r="B15659">
        <f>IF(VLOOKUP(Table7[[#This Row],[Date]],Database!$A:$C,MATCH($B$1,Database!$A$1:$C$1,),)=0,#N/A,VLOOKUP(Table7[[#This Row],[Date]],Database!$A:$C,MATCH($B$1,Database!$A$1:$C$1,),))</f>
        <v/>
      </c>
      <c r="C15659">
        <f>IF(VLOOKUP(Table7[[#This Row],[Date]],Database!$A:$C,MATCH($C$1,Database!$A$1:$C$1,),)=0,#N/A,VLOOKUP(Table7[[#This Row],[Date]],Database!$A:$C,MATCH($C$1,Database!$A$1:$C$1,),))</f>
        <v/>
      </c>
      <c r="D15659">
        <f>IFERROR(Table7[[#This Row],[United States 10y]]-Table7[[#This Row],[United States 3y]],#N/A)</f>
        <v/>
      </c>
    </row>
    <row r="15660">
      <c r="A15660" s="6">
        <f>Database!$A17745</f>
        <v/>
      </c>
      <c r="B15660">
        <f>IF(VLOOKUP(Table7[[#This Row],[Date]],Database!$A:$C,MATCH($B$1,Database!$A$1:$C$1,),)=0,#N/A,VLOOKUP(Table7[[#This Row],[Date]],Database!$A:$C,MATCH($B$1,Database!$A$1:$C$1,),))</f>
        <v/>
      </c>
      <c r="C15660">
        <f>IF(VLOOKUP(Table7[[#This Row],[Date]],Database!$A:$C,MATCH($C$1,Database!$A$1:$C$1,),)=0,#N/A,VLOOKUP(Table7[[#This Row],[Date]],Database!$A:$C,MATCH($C$1,Database!$A$1:$C$1,),))</f>
        <v/>
      </c>
      <c r="D15660">
        <f>IFERROR(Table7[[#This Row],[United States 10y]]-Table7[[#This Row],[United States 3y]],#N/A)</f>
        <v/>
      </c>
    </row>
    <row r="15661">
      <c r="A15661" s="6">
        <f>Database!$A17746</f>
        <v/>
      </c>
      <c r="B15661">
        <f>IF(VLOOKUP(Table7[[#This Row],[Date]],Database!$A:$C,MATCH($B$1,Database!$A$1:$C$1,),)=0,#N/A,VLOOKUP(Table7[[#This Row],[Date]],Database!$A:$C,MATCH($B$1,Database!$A$1:$C$1,),))</f>
        <v/>
      </c>
      <c r="C15661">
        <f>IF(VLOOKUP(Table7[[#This Row],[Date]],Database!$A:$C,MATCH($C$1,Database!$A$1:$C$1,),)=0,#N/A,VLOOKUP(Table7[[#This Row],[Date]],Database!$A:$C,MATCH($C$1,Database!$A$1:$C$1,),))</f>
        <v/>
      </c>
      <c r="D15661">
        <f>IFERROR(Table7[[#This Row],[United States 10y]]-Table7[[#This Row],[United States 3y]],#N/A)</f>
        <v/>
      </c>
    </row>
    <row r="15662">
      <c r="A15662" s="6">
        <f>Database!$A17747</f>
        <v/>
      </c>
      <c r="B15662">
        <f>IF(VLOOKUP(Table7[[#This Row],[Date]],Database!$A:$C,MATCH($B$1,Database!$A$1:$C$1,),)=0,#N/A,VLOOKUP(Table7[[#This Row],[Date]],Database!$A:$C,MATCH($B$1,Database!$A$1:$C$1,),))</f>
        <v/>
      </c>
      <c r="C15662">
        <f>IF(VLOOKUP(Table7[[#This Row],[Date]],Database!$A:$C,MATCH($C$1,Database!$A$1:$C$1,),)=0,#N/A,VLOOKUP(Table7[[#This Row],[Date]],Database!$A:$C,MATCH($C$1,Database!$A$1:$C$1,),))</f>
        <v/>
      </c>
      <c r="D15662">
        <f>IFERROR(Table7[[#This Row],[United States 10y]]-Table7[[#This Row],[United States 3y]],#N/A)</f>
        <v/>
      </c>
    </row>
    <row r="15663">
      <c r="A15663" s="6">
        <f>Database!$A17748</f>
        <v/>
      </c>
      <c r="B15663">
        <f>IF(VLOOKUP(Table7[[#This Row],[Date]],Database!$A:$C,MATCH($B$1,Database!$A$1:$C$1,),)=0,#N/A,VLOOKUP(Table7[[#This Row],[Date]],Database!$A:$C,MATCH($B$1,Database!$A$1:$C$1,),))</f>
        <v/>
      </c>
      <c r="C15663">
        <f>IF(VLOOKUP(Table7[[#This Row],[Date]],Database!$A:$C,MATCH($C$1,Database!$A$1:$C$1,),)=0,#N/A,VLOOKUP(Table7[[#This Row],[Date]],Database!$A:$C,MATCH($C$1,Database!$A$1:$C$1,),))</f>
        <v/>
      </c>
      <c r="D15663">
        <f>IFERROR(Table7[[#This Row],[United States 10y]]-Table7[[#This Row],[United States 3y]],#N/A)</f>
        <v/>
      </c>
    </row>
    <row r="15664">
      <c r="A15664" s="6">
        <f>Database!$A17749</f>
        <v/>
      </c>
      <c r="B15664">
        <f>IF(VLOOKUP(Table7[[#This Row],[Date]],Database!$A:$C,MATCH($B$1,Database!$A$1:$C$1,),)=0,#N/A,VLOOKUP(Table7[[#This Row],[Date]],Database!$A:$C,MATCH($B$1,Database!$A$1:$C$1,),))</f>
        <v/>
      </c>
      <c r="C15664">
        <f>IF(VLOOKUP(Table7[[#This Row],[Date]],Database!$A:$C,MATCH($C$1,Database!$A$1:$C$1,),)=0,#N/A,VLOOKUP(Table7[[#This Row],[Date]],Database!$A:$C,MATCH($C$1,Database!$A$1:$C$1,),))</f>
        <v/>
      </c>
      <c r="D15664">
        <f>IFERROR(Table7[[#This Row],[United States 10y]]-Table7[[#This Row],[United States 3y]],#N/A)</f>
        <v/>
      </c>
    </row>
    <row r="15665">
      <c r="A15665" s="6">
        <f>Database!$A17750</f>
        <v/>
      </c>
      <c r="B15665">
        <f>IF(VLOOKUP(Table7[[#This Row],[Date]],Database!$A:$C,MATCH($B$1,Database!$A$1:$C$1,),)=0,#N/A,VLOOKUP(Table7[[#This Row],[Date]],Database!$A:$C,MATCH($B$1,Database!$A$1:$C$1,),))</f>
        <v/>
      </c>
      <c r="C15665">
        <f>IF(VLOOKUP(Table7[[#This Row],[Date]],Database!$A:$C,MATCH($C$1,Database!$A$1:$C$1,),)=0,#N/A,VLOOKUP(Table7[[#This Row],[Date]],Database!$A:$C,MATCH($C$1,Database!$A$1:$C$1,),))</f>
        <v/>
      </c>
      <c r="D15665">
        <f>IFERROR(Table7[[#This Row],[United States 10y]]-Table7[[#This Row],[United States 3y]],#N/A)</f>
        <v/>
      </c>
    </row>
    <row r="15666">
      <c r="A15666" s="6">
        <f>Database!$A17751</f>
        <v/>
      </c>
      <c r="B15666">
        <f>IF(VLOOKUP(Table7[[#This Row],[Date]],Database!$A:$C,MATCH($B$1,Database!$A$1:$C$1,),)=0,#N/A,VLOOKUP(Table7[[#This Row],[Date]],Database!$A:$C,MATCH($B$1,Database!$A$1:$C$1,),))</f>
        <v/>
      </c>
      <c r="C15666">
        <f>IF(VLOOKUP(Table7[[#This Row],[Date]],Database!$A:$C,MATCH($C$1,Database!$A$1:$C$1,),)=0,#N/A,VLOOKUP(Table7[[#This Row],[Date]],Database!$A:$C,MATCH($C$1,Database!$A$1:$C$1,),))</f>
        <v/>
      </c>
      <c r="D15666">
        <f>IFERROR(Table7[[#This Row],[United States 10y]]-Table7[[#This Row],[United States 3y]],#N/A)</f>
        <v/>
      </c>
    </row>
    <row r="15667">
      <c r="A15667" s="6">
        <f>Database!$A17752</f>
        <v/>
      </c>
      <c r="B15667">
        <f>IF(VLOOKUP(Table7[[#This Row],[Date]],Database!$A:$C,MATCH($B$1,Database!$A$1:$C$1,),)=0,#N/A,VLOOKUP(Table7[[#This Row],[Date]],Database!$A:$C,MATCH($B$1,Database!$A$1:$C$1,),))</f>
        <v/>
      </c>
      <c r="C15667">
        <f>IF(VLOOKUP(Table7[[#This Row],[Date]],Database!$A:$C,MATCH($C$1,Database!$A$1:$C$1,),)=0,#N/A,VLOOKUP(Table7[[#This Row],[Date]],Database!$A:$C,MATCH($C$1,Database!$A$1:$C$1,),))</f>
        <v/>
      </c>
      <c r="D15667">
        <f>IFERROR(Table7[[#This Row],[United States 10y]]-Table7[[#This Row],[United States 3y]],#N/A)</f>
        <v/>
      </c>
    </row>
    <row r="15668">
      <c r="A15668" s="6">
        <f>Database!$A17753</f>
        <v/>
      </c>
      <c r="B15668">
        <f>IF(VLOOKUP(Table7[[#This Row],[Date]],Database!$A:$C,MATCH($B$1,Database!$A$1:$C$1,),)=0,#N/A,VLOOKUP(Table7[[#This Row],[Date]],Database!$A:$C,MATCH($B$1,Database!$A$1:$C$1,),))</f>
        <v/>
      </c>
      <c r="C15668">
        <f>IF(VLOOKUP(Table7[[#This Row],[Date]],Database!$A:$C,MATCH($C$1,Database!$A$1:$C$1,),)=0,#N/A,VLOOKUP(Table7[[#This Row],[Date]],Database!$A:$C,MATCH($C$1,Database!$A$1:$C$1,),))</f>
        <v/>
      </c>
      <c r="D15668">
        <f>IFERROR(Table7[[#This Row],[United States 10y]]-Table7[[#This Row],[United States 3y]],#N/A)</f>
        <v/>
      </c>
    </row>
    <row r="15669">
      <c r="A15669" s="6">
        <f>Database!$A17754</f>
        <v/>
      </c>
      <c r="B15669">
        <f>IF(VLOOKUP(Table7[[#This Row],[Date]],Database!$A:$C,MATCH($B$1,Database!$A$1:$C$1,),)=0,#N/A,VLOOKUP(Table7[[#This Row],[Date]],Database!$A:$C,MATCH($B$1,Database!$A$1:$C$1,),))</f>
        <v/>
      </c>
      <c r="C15669">
        <f>IF(VLOOKUP(Table7[[#This Row],[Date]],Database!$A:$C,MATCH($C$1,Database!$A$1:$C$1,),)=0,#N/A,VLOOKUP(Table7[[#This Row],[Date]],Database!$A:$C,MATCH($C$1,Database!$A$1:$C$1,),))</f>
        <v/>
      </c>
      <c r="D15669">
        <f>IFERROR(Table7[[#This Row],[United States 10y]]-Table7[[#This Row],[United States 3y]],#N/A)</f>
        <v/>
      </c>
    </row>
    <row r="15670">
      <c r="A15670" s="6">
        <f>Database!$A17755</f>
        <v/>
      </c>
      <c r="B15670">
        <f>IF(VLOOKUP(Table7[[#This Row],[Date]],Database!$A:$C,MATCH($B$1,Database!$A$1:$C$1,),)=0,#N/A,VLOOKUP(Table7[[#This Row],[Date]],Database!$A:$C,MATCH($B$1,Database!$A$1:$C$1,),))</f>
        <v/>
      </c>
      <c r="C15670">
        <f>IF(VLOOKUP(Table7[[#This Row],[Date]],Database!$A:$C,MATCH($C$1,Database!$A$1:$C$1,),)=0,#N/A,VLOOKUP(Table7[[#This Row],[Date]],Database!$A:$C,MATCH($C$1,Database!$A$1:$C$1,),))</f>
        <v/>
      </c>
      <c r="D15670">
        <f>IFERROR(Table7[[#This Row],[United States 10y]]-Table7[[#This Row],[United States 3y]],#N/A)</f>
        <v/>
      </c>
    </row>
    <row r="15671">
      <c r="A15671" s="6">
        <f>Database!$A17756</f>
        <v/>
      </c>
      <c r="B15671">
        <f>IF(VLOOKUP(Table7[[#This Row],[Date]],Database!$A:$C,MATCH($B$1,Database!$A$1:$C$1,),)=0,#N/A,VLOOKUP(Table7[[#This Row],[Date]],Database!$A:$C,MATCH($B$1,Database!$A$1:$C$1,),))</f>
        <v/>
      </c>
      <c r="C15671">
        <f>IF(VLOOKUP(Table7[[#This Row],[Date]],Database!$A:$C,MATCH($C$1,Database!$A$1:$C$1,),)=0,#N/A,VLOOKUP(Table7[[#This Row],[Date]],Database!$A:$C,MATCH($C$1,Database!$A$1:$C$1,),))</f>
        <v/>
      </c>
      <c r="D15671">
        <f>IFERROR(Table7[[#This Row],[United States 10y]]-Table7[[#This Row],[United States 3y]],#N/A)</f>
        <v/>
      </c>
    </row>
    <row r="15672">
      <c r="A15672" s="6">
        <f>Database!$A17757</f>
        <v/>
      </c>
      <c r="B15672">
        <f>IF(VLOOKUP(Table7[[#This Row],[Date]],Database!$A:$C,MATCH($B$1,Database!$A$1:$C$1,),)=0,#N/A,VLOOKUP(Table7[[#This Row],[Date]],Database!$A:$C,MATCH($B$1,Database!$A$1:$C$1,),))</f>
        <v/>
      </c>
      <c r="C15672">
        <f>IF(VLOOKUP(Table7[[#This Row],[Date]],Database!$A:$C,MATCH($C$1,Database!$A$1:$C$1,),)=0,#N/A,VLOOKUP(Table7[[#This Row],[Date]],Database!$A:$C,MATCH($C$1,Database!$A$1:$C$1,),))</f>
        <v/>
      </c>
      <c r="D15672">
        <f>IFERROR(Table7[[#This Row],[United States 10y]]-Table7[[#This Row],[United States 3y]],#N/A)</f>
        <v/>
      </c>
    </row>
    <row r="15673">
      <c r="A15673" s="6">
        <f>Database!$A17758</f>
        <v/>
      </c>
      <c r="B15673">
        <f>IF(VLOOKUP(Table7[[#This Row],[Date]],Database!$A:$C,MATCH($B$1,Database!$A$1:$C$1,),)=0,#N/A,VLOOKUP(Table7[[#This Row],[Date]],Database!$A:$C,MATCH($B$1,Database!$A$1:$C$1,),))</f>
        <v/>
      </c>
      <c r="C15673">
        <f>IF(VLOOKUP(Table7[[#This Row],[Date]],Database!$A:$C,MATCH($C$1,Database!$A$1:$C$1,),)=0,#N/A,VLOOKUP(Table7[[#This Row],[Date]],Database!$A:$C,MATCH($C$1,Database!$A$1:$C$1,),))</f>
        <v/>
      </c>
      <c r="D15673">
        <f>IFERROR(Table7[[#This Row],[United States 10y]]-Table7[[#This Row],[United States 3y]],#N/A)</f>
        <v/>
      </c>
    </row>
    <row r="15674">
      <c r="A15674" s="6">
        <f>Database!$A17759</f>
        <v/>
      </c>
      <c r="B15674">
        <f>IF(VLOOKUP(Table7[[#This Row],[Date]],Database!$A:$C,MATCH($B$1,Database!$A$1:$C$1,),)=0,#N/A,VLOOKUP(Table7[[#This Row],[Date]],Database!$A:$C,MATCH($B$1,Database!$A$1:$C$1,),))</f>
        <v/>
      </c>
      <c r="C15674">
        <f>IF(VLOOKUP(Table7[[#This Row],[Date]],Database!$A:$C,MATCH($C$1,Database!$A$1:$C$1,),)=0,#N/A,VLOOKUP(Table7[[#This Row],[Date]],Database!$A:$C,MATCH($C$1,Database!$A$1:$C$1,),))</f>
        <v/>
      </c>
      <c r="D15674">
        <f>IFERROR(Table7[[#This Row],[United States 10y]]-Table7[[#This Row],[United States 3y]],#N/A)</f>
        <v/>
      </c>
    </row>
    <row r="15675">
      <c r="A15675" s="6">
        <f>Database!$A17760</f>
        <v/>
      </c>
      <c r="B15675">
        <f>IF(VLOOKUP(Table7[[#This Row],[Date]],Database!$A:$C,MATCH($B$1,Database!$A$1:$C$1,),)=0,#N/A,VLOOKUP(Table7[[#This Row],[Date]],Database!$A:$C,MATCH($B$1,Database!$A$1:$C$1,),))</f>
        <v/>
      </c>
      <c r="C15675">
        <f>IF(VLOOKUP(Table7[[#This Row],[Date]],Database!$A:$C,MATCH($C$1,Database!$A$1:$C$1,),)=0,#N/A,VLOOKUP(Table7[[#This Row],[Date]],Database!$A:$C,MATCH($C$1,Database!$A$1:$C$1,),))</f>
        <v/>
      </c>
      <c r="D15675">
        <f>IFERROR(Table7[[#This Row],[United States 10y]]-Table7[[#This Row],[United States 3y]],#N/A)</f>
        <v/>
      </c>
    </row>
    <row r="15676">
      <c r="A15676" s="6">
        <f>Database!$A17761</f>
        <v/>
      </c>
      <c r="B15676">
        <f>IF(VLOOKUP(Table7[[#This Row],[Date]],Database!$A:$C,MATCH($B$1,Database!$A$1:$C$1,),)=0,#N/A,VLOOKUP(Table7[[#This Row],[Date]],Database!$A:$C,MATCH($B$1,Database!$A$1:$C$1,),))</f>
        <v/>
      </c>
      <c r="C15676">
        <f>IF(VLOOKUP(Table7[[#This Row],[Date]],Database!$A:$C,MATCH($C$1,Database!$A$1:$C$1,),)=0,#N/A,VLOOKUP(Table7[[#This Row],[Date]],Database!$A:$C,MATCH($C$1,Database!$A$1:$C$1,),))</f>
        <v/>
      </c>
      <c r="D15676">
        <f>IFERROR(Table7[[#This Row],[United States 10y]]-Table7[[#This Row],[United States 3y]],#N/A)</f>
        <v/>
      </c>
    </row>
    <row r="15677">
      <c r="A15677" s="6">
        <f>Database!$A17762</f>
        <v/>
      </c>
      <c r="B15677">
        <f>IF(VLOOKUP(Table7[[#This Row],[Date]],Database!$A:$C,MATCH($B$1,Database!$A$1:$C$1,),)=0,#N/A,VLOOKUP(Table7[[#This Row],[Date]],Database!$A:$C,MATCH($B$1,Database!$A$1:$C$1,),))</f>
        <v/>
      </c>
      <c r="C15677">
        <f>IF(VLOOKUP(Table7[[#This Row],[Date]],Database!$A:$C,MATCH($C$1,Database!$A$1:$C$1,),)=0,#N/A,VLOOKUP(Table7[[#This Row],[Date]],Database!$A:$C,MATCH($C$1,Database!$A$1:$C$1,),))</f>
        <v/>
      </c>
      <c r="D15677">
        <f>IFERROR(Table7[[#This Row],[United States 10y]]-Table7[[#This Row],[United States 3y]],#N/A)</f>
        <v/>
      </c>
    </row>
    <row r="15678">
      <c r="A15678" s="6">
        <f>Database!$A17763</f>
        <v/>
      </c>
      <c r="B15678">
        <f>IF(VLOOKUP(Table7[[#This Row],[Date]],Database!$A:$C,MATCH($B$1,Database!$A$1:$C$1,),)=0,#N/A,VLOOKUP(Table7[[#This Row],[Date]],Database!$A:$C,MATCH($B$1,Database!$A$1:$C$1,),))</f>
        <v/>
      </c>
      <c r="C15678">
        <f>IF(VLOOKUP(Table7[[#This Row],[Date]],Database!$A:$C,MATCH($C$1,Database!$A$1:$C$1,),)=0,#N/A,VLOOKUP(Table7[[#This Row],[Date]],Database!$A:$C,MATCH($C$1,Database!$A$1:$C$1,),))</f>
        <v/>
      </c>
      <c r="D15678">
        <f>IFERROR(Table7[[#This Row],[United States 10y]]-Table7[[#This Row],[United States 3y]],#N/A)</f>
        <v/>
      </c>
    </row>
    <row r="15679">
      <c r="A15679" s="6">
        <f>Database!$A17764</f>
        <v/>
      </c>
      <c r="B15679">
        <f>IF(VLOOKUP(Table7[[#This Row],[Date]],Database!$A:$C,MATCH($B$1,Database!$A$1:$C$1,),)=0,#N/A,VLOOKUP(Table7[[#This Row],[Date]],Database!$A:$C,MATCH($B$1,Database!$A$1:$C$1,),))</f>
        <v/>
      </c>
      <c r="C15679">
        <f>IF(VLOOKUP(Table7[[#This Row],[Date]],Database!$A:$C,MATCH($C$1,Database!$A$1:$C$1,),)=0,#N/A,VLOOKUP(Table7[[#This Row],[Date]],Database!$A:$C,MATCH($C$1,Database!$A$1:$C$1,),))</f>
        <v/>
      </c>
      <c r="D15679">
        <f>IFERROR(Table7[[#This Row],[United States 10y]]-Table7[[#This Row],[United States 3y]],#N/A)</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2018-04-18T10:45:38Z</dcterms:created>
  <dcterms:modified xmlns:dcterms="http://purl.org/dc/terms/" xmlns:xsi="http://www.w3.org/2001/XMLSchema-instance" xsi:type="dcterms:W3CDTF">2022-02-04T05:51:05Z</dcterms:modified>
  <cp:lastModifiedBy>Mark Mukherjee</cp:lastModifiedBy>
</cp:coreProperties>
</file>